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showInkAnnotation="0" codeName="ThisWorkbook"/>
  <mc:AlternateContent xmlns:mc="http://schemas.openxmlformats.org/markup-compatibility/2006">
    <mc:Choice Requires="x15">
      <x15ac:absPath xmlns:x15ac="http://schemas.microsoft.com/office/spreadsheetml/2010/11/ac" url="https://fptsoftware362-my.sharepoint.com/personal/vietph16_fpt_com/Documents/Documents/YokogawaE_RepPortal Project/01. Rep-Portal Project　Timesheet/2026_July/"/>
    </mc:Choice>
  </mc:AlternateContent>
  <xr:revisionPtr revIDLastSave="69" documentId="13_ncr:1_{4F57CC52-6BBA-4DC6-ACC7-4C474E8CFDAC}" xr6:coauthVersionLast="47" xr6:coauthVersionMax="47" xr10:uidLastSave="{679C7ADC-1FF1-431A-AE76-169FFE173107}"/>
  <bookViews>
    <workbookView xWindow="-120" yWindow="-120" windowWidth="29040" windowHeight="15720" tabRatio="727" activeTab="6" xr2:uid="{00000000-000D-0000-FFFF-FFFF00000000}"/>
  </bookViews>
  <sheets>
    <sheet name="1週" sheetId="49333" r:id="rId1"/>
    <sheet name="2週" sheetId="49344" r:id="rId2"/>
    <sheet name="3週" sheetId="49345" r:id="rId3"/>
    <sheet name="4週" sheetId="49346" r:id="rId4"/>
    <sheet name="5週" sheetId="49347" r:id="rId5"/>
    <sheet name="6週" sheetId="49348" r:id="rId6"/>
    <sheet name="勤務報告書" sheetId="49357" r:id="rId7"/>
    <sheet name="会社名" sheetId="49360" state="hidden" r:id="rId8"/>
    <sheet name="氏名" sheetId="49361" state="hidden" r:id="rId9"/>
    <sheet name="月間集計シート" sheetId="49351" state="hidden" r:id="rId10"/>
    <sheet name="工種" sheetId="49352" state="hidden" r:id="rId11"/>
    <sheet name="PJ" sheetId="49349" state="hidden" r:id="rId12"/>
    <sheet name="月間集計サンプル" sheetId="49350" state="hidden" r:id="rId13"/>
    <sheet name="PJ工種集計" sheetId="49353" state="hidden" r:id="rId14"/>
    <sheet name="日別計縦型" sheetId="49354" state="hidden" r:id="rId15"/>
    <sheet name="組織、事業所リスト" sheetId="49362" state="hidden" r:id="rId16"/>
  </sheets>
  <externalReferences>
    <externalReference r:id="rId17"/>
  </externalReferences>
  <definedNames>
    <definedName name="_xlnm._FilterDatabase" localSheetId="0" hidden="1">'1週'!$A$14:$X$54</definedName>
    <definedName name="_xlnm._FilterDatabase" localSheetId="1" hidden="1">'2週'!$A$14:$X$54</definedName>
    <definedName name="_xlnm._FilterDatabase" localSheetId="2" hidden="1">'3週'!$A$14:$X$54</definedName>
    <definedName name="_xlnm._FilterDatabase" localSheetId="3" hidden="1">'4週'!$A$14:$X$54</definedName>
    <definedName name="_xlnm._FilterDatabase" localSheetId="4" hidden="1">'5週'!$A$14:$X$54</definedName>
    <definedName name="_xlnm._FilterDatabase" localSheetId="5" hidden="1">'6週'!$A$14:$X$54</definedName>
    <definedName name="_xlnm._FilterDatabase" localSheetId="11" hidden="1">PJ!$A$2:$D$399</definedName>
    <definedName name="_xlnm._FilterDatabase" localSheetId="13" hidden="1">PJ工種集計!$B$7:$H$1706</definedName>
    <definedName name="_xlnm._FilterDatabase" localSheetId="7" hidden="1">会社名!#REF!</definedName>
    <definedName name="_xlnm._FilterDatabase" localSheetId="9" hidden="1">月間集計シート!$G$29:$I$153</definedName>
    <definedName name="_xlnm._FilterDatabase" localSheetId="10" hidden="1">工種!$A$2:$B$71</definedName>
    <definedName name="_xlnm._FilterDatabase" localSheetId="8" hidden="1">氏名!$A$1:$F$1</definedName>
    <definedName name="_xlnm._FilterDatabase" localSheetId="14" hidden="1">日別計縦型!$A$3:$G$862</definedName>
    <definedName name="ALT">氏名!#REF!</definedName>
    <definedName name="AZURE・PLUS">氏名!#REF!</definedName>
    <definedName name="FPTジャパン">氏名!$D$2:$D$59</definedName>
    <definedName name="GEL研究所">氏名!#REF!</definedName>
    <definedName name="miracleave">氏名!#REF!</definedName>
    <definedName name="MSI">氏名!#REF!</definedName>
    <definedName name="MWI">氏名!#REF!</definedName>
    <definedName name="NTC">氏名!#REF!</definedName>
    <definedName name="_xlnm.Print_Area" localSheetId="0">'1週'!$A$1:$X$86</definedName>
    <definedName name="_xlnm.Print_Area" localSheetId="1">'2週'!$A$1:$X$86</definedName>
    <definedName name="_xlnm.Print_Area" localSheetId="2">'3週'!$A$1:$X$86</definedName>
    <definedName name="_xlnm.Print_Area" localSheetId="3">'4週'!$A$1:$X$86</definedName>
    <definedName name="_xlnm.Print_Area" localSheetId="4">'5週'!$A$1:$X$86</definedName>
    <definedName name="_xlnm.Print_Area" localSheetId="5">'6週'!$A$1:$X$86</definedName>
    <definedName name="_xlnm.Print_Area" localSheetId="6">勤務報告書!$A$1:$R$54</definedName>
    <definedName name="Sharing_Innovations">氏名!#REF!</definedName>
    <definedName name="SHIFT">氏名!#REF!</definedName>
    <definedName name="SIG">氏名!#REF!</definedName>
    <definedName name="XspearConsulting">氏名!#REF!</definedName>
    <definedName name="Z_41CE1A30_58A1_4296_801C_FC79DE46FEF1_.wvu.FilterData" localSheetId="0" hidden="1">'1週'!$A$14:$X$54</definedName>
    <definedName name="Z_41CE1A30_58A1_4296_801C_FC79DE46FEF1_.wvu.FilterData" localSheetId="1" hidden="1">'2週'!$A$14:$X$54</definedName>
    <definedName name="Z_41CE1A30_58A1_4296_801C_FC79DE46FEF1_.wvu.FilterData" localSheetId="2" hidden="1">'3週'!$A$14:$X$54</definedName>
    <definedName name="Z_41CE1A30_58A1_4296_801C_FC79DE46FEF1_.wvu.FilterData" localSheetId="3" hidden="1">'4週'!$A$14:$X$54</definedName>
    <definedName name="Z_41CE1A30_58A1_4296_801C_FC79DE46FEF1_.wvu.FilterData" localSheetId="4" hidden="1">'5週'!$A$14:$X$54</definedName>
    <definedName name="Z_41CE1A30_58A1_4296_801C_FC79DE46FEF1_.wvu.FilterData" localSheetId="5" hidden="1">'6週'!$A$14:$X$54</definedName>
    <definedName name="Z_41CE1A30_58A1_4296_801C_FC79DE46FEF1_.wvu.PrintArea" localSheetId="0" hidden="1">'1週'!$A$1:$Z$86</definedName>
    <definedName name="Z_41CE1A30_58A1_4296_801C_FC79DE46FEF1_.wvu.PrintArea" localSheetId="1" hidden="1">'2週'!$A$1:$Z$86</definedName>
    <definedName name="Z_41CE1A30_58A1_4296_801C_FC79DE46FEF1_.wvu.PrintArea" localSheetId="2" hidden="1">'3週'!$A$1:$Z$86</definedName>
    <definedName name="Z_41CE1A30_58A1_4296_801C_FC79DE46FEF1_.wvu.PrintArea" localSheetId="3" hidden="1">'4週'!$A$1:$Z$86</definedName>
    <definedName name="Z_41CE1A30_58A1_4296_801C_FC79DE46FEF1_.wvu.PrintArea" localSheetId="4" hidden="1">'5週'!$A$1:$Z$86</definedName>
    <definedName name="Z_41CE1A30_58A1_4296_801C_FC79DE46FEF1_.wvu.PrintArea" localSheetId="5" hidden="1">'6週'!$A$1:$Z$86</definedName>
    <definedName name="アイビス">氏名!#REF!</definedName>
    <definedName name="アヴァンティスタッフ">氏名!#REF!</definedName>
    <definedName name="アクサス">氏名!#REF!</definedName>
    <definedName name="アドマックス">氏名!#REF!</definedName>
    <definedName name="インプレス">氏名!#REF!</definedName>
    <definedName name="エイシル">氏名!#REF!</definedName>
    <definedName name="エヌエス・フューチャー">氏名!#REF!</definedName>
    <definedName name="サイバーコム">氏名!#REF!</definedName>
    <definedName name="サンアイエンジニアリング">氏名!#REF!</definedName>
    <definedName name="ジーソル">氏名!#REF!</definedName>
    <definedName name="システムコード" localSheetId="11">PJ!$A:$C</definedName>
    <definedName name="システムコード">PJ!$A:$C</definedName>
    <definedName name="システムプロダクツ">氏名!#REF!</definedName>
    <definedName name="スタッフサービス">氏名!#REF!</definedName>
    <definedName name="ステップITソリューション">氏名!#REF!</definedName>
    <definedName name="スリーエース">氏名!#REF!</definedName>
    <definedName name="ソフトテックス">氏名!#REF!</definedName>
    <definedName name="タクミコーポレーション">氏名!#REF!</definedName>
    <definedName name="テクノプロ">氏名!#REF!</definedName>
    <definedName name="テックビズ">氏名!#REF!</definedName>
    <definedName name="トライベック">氏名!#REF!</definedName>
    <definedName name="ネオテックス">氏名!#REF!</definedName>
    <definedName name="パーソルテクノロジースタッフ">氏名!#REF!</definedName>
    <definedName name="プライマル">氏名!#REF!</definedName>
    <definedName name="プライム">氏名!#REF!</definedName>
    <definedName name="ブレーク">氏名!#REF!</definedName>
    <definedName name="プロジェクトWORK">PJ!$A$2:$D$2</definedName>
    <definedName name="プロジェクトコード" localSheetId="11">PJ!$D:$D</definedName>
    <definedName name="プロジェクトコード">PJ!$D:$D</definedName>
    <definedName name="ラクスパートナーズ">氏名!#REF!</definedName>
    <definedName name="リード">氏名!#REF!</definedName>
    <definedName name="リクルートスタッフィング">氏名!#REF!</definedName>
    <definedName name="会社名">会社名!$B$2:$B$2</definedName>
    <definedName name="工種_間接">工種!$B$77:$B$83</definedName>
    <definedName name="工種_全部">工種!$B$2:$B$83</definedName>
    <definedName name="工種_通常">工種!$B$2:$B$76</definedName>
    <definedName name="社員名">[1]所属!$A$2:$A$303</definedName>
    <definedName name="綜合システム開発">氏名!#REF!</definedName>
    <definedName name="日本ラッド">氏名!#REF!</definedName>
  </definedNames>
  <calcPr calcId="0" iterateDelta="1E-4" fullCalcOnLoad="1"/>
  <customWorkbookViews>
    <customWorkbookView name="0191043 大谷木 窓花 - 個人用ビュー" guid="{41CE1A30-58A1-4296-801C-FC79DE46FEF1}" mergeInterval="0" personalView="1" maximized="1" xWindow="1" yWindow="1" windowWidth="1436" windowHeight="682" tabRatio="937" activeSheetId="4933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0202003 猪股 優</author>
    <author>　</author>
  </authors>
  <commentList>
    <comment ref="S2" authorId="0" shapeId="0" xr:uid="{00000000-0006-0000-0000-000001000000}">
      <text>
        <r>
          <rPr>
            <b/>
            <sz val="9"/>
            <color indexed="81"/>
            <rFont val="ＭＳ Ｐゴシック"/>
            <family val="3"/>
            <charset val="128"/>
          </rPr>
          <t>確認後記名すること。</t>
        </r>
      </text>
    </comment>
    <comment ref="D10" authorId="1" shapeId="0" xr:uid="{00000000-0006-0000-0000-000002000000}">
      <text>
        <r>
          <rPr>
            <sz val="10"/>
            <color indexed="81"/>
            <rFont val="ＭＳ Ｐゴシック"/>
            <family val="3"/>
            <charset val="128"/>
          </rPr>
          <t>工種を入力すると自動で表示されます。
工種は、必ず管理者に確認してください。</t>
        </r>
      </text>
    </comment>
    <comment ref="D11" authorId="1" shapeId="0" xr:uid="{00000000-0006-0000-0000-000003000000}">
      <text>
        <r>
          <rPr>
            <sz val="9"/>
            <color indexed="81"/>
            <rFont val="ＭＳ Ｐゴシック"/>
            <family val="3"/>
            <charset val="128"/>
          </rPr>
          <t>工種は
管理者に確認して、
リストから選択します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10" authorId="0" shapeId="0" xr:uid="{00000000-0006-0000-0100-000001000000}">
      <text>
        <r>
          <rPr>
            <sz val="10"/>
            <color indexed="81"/>
            <rFont val="ＭＳ Ｐゴシック"/>
            <family val="3"/>
            <charset val="128"/>
          </rPr>
          <t xml:space="preserve">工種コードを5桁の数字で入力します。xxは同行括弧内の2桁の数字に置き換えてください。
　例1）総合評価は・・・40108（401と08）
　例2）単体ﾃｽﾄは・・・・30104（301と04）
［工種コード　5桁］
</t>
        </r>
        <r>
          <rPr>
            <b/>
            <sz val="10"/>
            <color indexed="81"/>
            <rFont val="ＭＳ Ｐゴシック"/>
            <family val="3"/>
            <charset val="128"/>
          </rPr>
          <t>101</t>
        </r>
        <r>
          <rPr>
            <sz val="10"/>
            <color indexed="81"/>
            <rFont val="ＭＳ Ｐゴシック"/>
            <family val="3"/>
            <charset val="128"/>
          </rPr>
          <t>xx企画関係（xx：</t>
        </r>
        <r>
          <rPr>
            <b/>
            <sz val="10"/>
            <color indexed="81"/>
            <rFont val="ＭＳ Ｐゴシック"/>
            <family val="3"/>
            <charset val="128"/>
          </rPr>
          <t>01</t>
        </r>
        <r>
          <rPr>
            <sz val="10"/>
            <color indexed="81"/>
            <rFont val="ＭＳ Ｐゴシック"/>
            <family val="3"/>
            <charset val="128"/>
          </rPr>
          <t>調査･分析/</t>
        </r>
        <r>
          <rPr>
            <b/>
            <sz val="10"/>
            <color indexed="81"/>
            <rFont val="ＭＳ Ｐゴシック"/>
            <family val="3"/>
            <charset val="128"/>
          </rPr>
          <t>02</t>
        </r>
        <r>
          <rPr>
            <sz val="10"/>
            <color indexed="81"/>
            <rFont val="ＭＳ Ｐゴシック"/>
            <family val="3"/>
            <charset val="128"/>
          </rPr>
          <t>開発計画/</t>
        </r>
        <r>
          <rPr>
            <b/>
            <sz val="10"/>
            <color indexed="81"/>
            <rFont val="ＭＳ Ｐゴシック"/>
            <family val="3"/>
            <charset val="128"/>
          </rPr>
          <t>03</t>
        </r>
        <r>
          <rPr>
            <sz val="10"/>
            <color indexed="81"/>
            <rFont val="ＭＳ Ｐゴシック"/>
            <family val="3"/>
            <charset val="128"/>
          </rPr>
          <t>企画書作成/</t>
        </r>
        <r>
          <rPr>
            <b/>
            <sz val="10"/>
            <color indexed="81"/>
            <rFont val="ＭＳ Ｐゴシック"/>
            <family val="3"/>
            <charset val="128"/>
          </rPr>
          <t>04</t>
        </r>
        <r>
          <rPr>
            <sz val="10"/>
            <color indexed="81"/>
            <rFont val="ＭＳ Ｐゴシック"/>
            <family val="3"/>
            <charset val="128"/>
          </rPr>
          <t>来客・打合せ/</t>
        </r>
        <r>
          <rPr>
            <b/>
            <sz val="10"/>
            <color indexed="81"/>
            <rFont val="ＭＳ Ｐゴシック"/>
            <family val="3"/>
            <charset val="128"/>
          </rPr>
          <t>99</t>
        </r>
        <r>
          <rPr>
            <sz val="10"/>
            <color indexed="81"/>
            <rFont val="ＭＳ Ｐゴシック"/>
            <family val="3"/>
            <charset val="128"/>
          </rPr>
          <t xml:space="preserve">その他）
</t>
        </r>
        <r>
          <rPr>
            <b/>
            <sz val="10"/>
            <color indexed="81"/>
            <rFont val="ＭＳ Ｐゴシック"/>
            <family val="3"/>
            <charset val="128"/>
          </rPr>
          <t>201</t>
        </r>
        <r>
          <rPr>
            <sz val="10"/>
            <color indexed="81"/>
            <rFont val="ＭＳ Ｐゴシック"/>
            <family val="3"/>
            <charset val="128"/>
          </rPr>
          <t>xx 設計関係（xx：</t>
        </r>
        <r>
          <rPr>
            <b/>
            <sz val="10"/>
            <color indexed="81"/>
            <rFont val="ＭＳ Ｐゴシック"/>
            <family val="3"/>
            <charset val="128"/>
          </rPr>
          <t>01</t>
        </r>
        <r>
          <rPr>
            <sz val="10"/>
            <color indexed="81"/>
            <rFont val="ＭＳ Ｐゴシック"/>
            <family val="3"/>
            <charset val="128"/>
          </rPr>
          <t>基本設計書作成/</t>
        </r>
        <r>
          <rPr>
            <b/>
            <sz val="10"/>
            <color indexed="81"/>
            <rFont val="ＭＳ Ｐゴシック"/>
            <family val="3"/>
            <charset val="128"/>
          </rPr>
          <t>02</t>
        </r>
        <r>
          <rPr>
            <sz val="10"/>
            <color indexed="81"/>
            <rFont val="ＭＳ Ｐゴシック"/>
            <family val="3"/>
            <charset val="128"/>
          </rPr>
          <t>機能設計書作成/</t>
        </r>
        <r>
          <rPr>
            <b/>
            <sz val="10"/>
            <color indexed="81"/>
            <rFont val="ＭＳ Ｐゴシック"/>
            <family val="3"/>
            <charset val="128"/>
          </rPr>
          <t>03</t>
        </r>
        <r>
          <rPr>
            <sz val="10"/>
            <color indexed="81"/>
            <rFont val="ＭＳ Ｐゴシック"/>
            <family val="3"/>
            <charset val="128"/>
          </rPr>
          <t>来客･打合せ/</t>
        </r>
        <r>
          <rPr>
            <b/>
            <sz val="10"/>
            <color indexed="81"/>
            <rFont val="ＭＳ Ｐゴシック"/>
            <family val="3"/>
            <charset val="128"/>
          </rPr>
          <t>99</t>
        </r>
        <r>
          <rPr>
            <sz val="10"/>
            <color indexed="81"/>
            <rFont val="ＭＳ Ｐゴシック"/>
            <family val="3"/>
            <charset val="128"/>
          </rPr>
          <t xml:space="preserve">その他）
</t>
        </r>
        <r>
          <rPr>
            <b/>
            <sz val="10"/>
            <color indexed="81"/>
            <rFont val="ＭＳ Ｐゴシック"/>
            <family val="3"/>
            <charset val="128"/>
          </rPr>
          <t>301</t>
        </r>
        <r>
          <rPr>
            <sz val="10"/>
            <color indexed="81"/>
            <rFont val="ＭＳ Ｐゴシック"/>
            <family val="3"/>
            <charset val="128"/>
          </rPr>
          <t>xxﾌﾟﾛｸﾞﾗﾑ作成（xx：</t>
        </r>
        <r>
          <rPr>
            <b/>
            <sz val="10"/>
            <color indexed="81"/>
            <rFont val="ＭＳ Ｐゴシック"/>
            <family val="3"/>
            <charset val="128"/>
          </rPr>
          <t>01</t>
        </r>
        <r>
          <rPr>
            <sz val="10"/>
            <color indexed="81"/>
            <rFont val="ＭＳ Ｐゴシック"/>
            <family val="3"/>
            <charset val="128"/>
          </rPr>
          <t>詳細設計書作成/</t>
        </r>
        <r>
          <rPr>
            <b/>
            <sz val="10"/>
            <color indexed="81"/>
            <rFont val="ＭＳ Ｐゴシック"/>
            <family val="3"/>
            <charset val="128"/>
          </rPr>
          <t>02</t>
        </r>
        <r>
          <rPr>
            <sz val="10"/>
            <color indexed="81"/>
            <rFont val="ＭＳ Ｐゴシック"/>
            <family val="3"/>
            <charset val="128"/>
          </rPr>
          <t>ｺｰﾃﾞｨﾝｸﾞ/</t>
        </r>
        <r>
          <rPr>
            <b/>
            <sz val="10"/>
            <color indexed="81"/>
            <rFont val="ＭＳ Ｐゴシック"/>
            <family val="3"/>
            <charset val="128"/>
          </rPr>
          <t>03</t>
        </r>
        <r>
          <rPr>
            <sz val="10"/>
            <color indexed="81"/>
            <rFont val="ＭＳ Ｐゴシック"/>
            <family val="3"/>
            <charset val="128"/>
          </rPr>
          <t>各種ﾊﾟﾗﾒｰﾀ作成/</t>
        </r>
        <r>
          <rPr>
            <b/>
            <sz val="10"/>
            <color indexed="81"/>
            <rFont val="ＭＳ Ｐゴシック"/>
            <family val="3"/>
            <charset val="128"/>
          </rPr>
          <t>04</t>
        </r>
        <r>
          <rPr>
            <sz val="10"/>
            <color indexed="81"/>
            <rFont val="ＭＳ Ｐゴシック"/>
            <family val="3"/>
            <charset val="128"/>
          </rPr>
          <t>単体ﾃｽﾄ/</t>
        </r>
        <r>
          <rPr>
            <b/>
            <sz val="10"/>
            <color indexed="81"/>
            <rFont val="ＭＳ Ｐゴシック"/>
            <family val="3"/>
            <charset val="128"/>
          </rPr>
          <t>0</t>
        </r>
        <r>
          <rPr>
            <sz val="10"/>
            <color indexed="81"/>
            <rFont val="ＭＳ Ｐゴシック"/>
            <family val="3"/>
            <charset val="128"/>
          </rPr>
          <t>5来客・打合せ/</t>
        </r>
        <r>
          <rPr>
            <b/>
            <sz val="10"/>
            <color indexed="81"/>
            <rFont val="ＭＳ Ｐゴシック"/>
            <family val="3"/>
            <charset val="128"/>
          </rPr>
          <t>99</t>
        </r>
        <r>
          <rPr>
            <sz val="10"/>
            <color indexed="81"/>
            <rFont val="ＭＳ Ｐゴシック"/>
            <family val="3"/>
            <charset val="128"/>
          </rPr>
          <t xml:space="preserve">その他）
</t>
        </r>
        <r>
          <rPr>
            <b/>
            <sz val="10"/>
            <color indexed="81"/>
            <rFont val="ＭＳ Ｐゴシック"/>
            <family val="3"/>
            <charset val="128"/>
          </rPr>
          <t>401</t>
        </r>
        <r>
          <rPr>
            <sz val="10"/>
            <color indexed="81"/>
            <rFont val="ＭＳ Ｐゴシック"/>
            <family val="3"/>
            <charset val="128"/>
          </rPr>
          <t>xxﾃｽﾄ（xx：</t>
        </r>
        <r>
          <rPr>
            <b/>
            <sz val="10"/>
            <color indexed="81"/>
            <rFont val="ＭＳ Ｐゴシック"/>
            <family val="3"/>
            <charset val="128"/>
          </rPr>
          <t>01</t>
        </r>
        <r>
          <rPr>
            <sz val="10"/>
            <color indexed="81"/>
            <rFont val="ＭＳ Ｐゴシック"/>
            <family val="3"/>
            <charset val="128"/>
          </rPr>
          <t>結合ﾃｽﾄ/</t>
        </r>
        <r>
          <rPr>
            <b/>
            <sz val="10"/>
            <color indexed="81"/>
            <rFont val="ＭＳ Ｐゴシック"/>
            <family val="3"/>
            <charset val="128"/>
          </rPr>
          <t>02</t>
        </r>
        <r>
          <rPr>
            <sz val="10"/>
            <color indexed="81"/>
            <rFont val="ＭＳ Ｐゴシック"/>
            <family val="3"/>
            <charset val="128"/>
          </rPr>
          <t>ｼｽﾃﾑﾃｽﾄ/</t>
        </r>
        <r>
          <rPr>
            <b/>
            <sz val="10"/>
            <color indexed="81"/>
            <rFont val="ＭＳ Ｐゴシック"/>
            <family val="3"/>
            <charset val="128"/>
          </rPr>
          <t>03</t>
        </r>
        <r>
          <rPr>
            <sz val="10"/>
            <color indexed="81"/>
            <rFont val="ＭＳ Ｐゴシック"/>
            <family val="3"/>
            <charset val="128"/>
          </rPr>
          <t>測定ﾃｽﾄ/</t>
        </r>
        <r>
          <rPr>
            <b/>
            <sz val="10"/>
            <color indexed="81"/>
            <rFont val="ＭＳ Ｐゴシック"/>
            <family val="3"/>
            <charset val="128"/>
          </rPr>
          <t>04</t>
        </r>
        <r>
          <rPr>
            <sz val="10"/>
            <color indexed="81"/>
            <rFont val="ＭＳ Ｐゴシック"/>
            <family val="3"/>
            <charset val="128"/>
          </rPr>
          <t>ﾃｽﾄ仕様書作成/</t>
        </r>
        <r>
          <rPr>
            <b/>
            <sz val="10"/>
            <color indexed="81"/>
            <rFont val="ＭＳ Ｐゴシック"/>
            <family val="3"/>
            <charset val="128"/>
          </rPr>
          <t>05</t>
        </r>
        <r>
          <rPr>
            <sz val="10"/>
            <color indexed="81"/>
            <rFont val="ＭＳ Ｐゴシック"/>
            <family val="3"/>
            <charset val="128"/>
          </rPr>
          <t>ｲﾝｽﾄｰﾗ最終確認/</t>
        </r>
        <r>
          <rPr>
            <b/>
            <sz val="10"/>
            <color indexed="81"/>
            <rFont val="ＭＳ Ｐゴシック"/>
            <family val="3"/>
            <charset val="128"/>
          </rPr>
          <t>06</t>
        </r>
        <r>
          <rPr>
            <sz val="10"/>
            <color indexed="81"/>
            <rFont val="ＭＳ Ｐゴシック"/>
            <family val="3"/>
            <charset val="128"/>
          </rPr>
          <t>出荷前自動ﾃｽﾄ/</t>
        </r>
        <r>
          <rPr>
            <b/>
            <sz val="10"/>
            <color indexed="81"/>
            <rFont val="ＭＳ Ｐゴシック"/>
            <family val="3"/>
            <charset val="128"/>
          </rPr>
          <t>07</t>
        </r>
        <r>
          <rPr>
            <sz val="10"/>
            <color indexed="81"/>
            <rFont val="ＭＳ Ｐゴシック"/>
            <family val="3"/>
            <charset val="128"/>
          </rPr>
          <t>評価報告書作成/</t>
        </r>
        <r>
          <rPr>
            <b/>
            <sz val="10"/>
            <color indexed="81"/>
            <rFont val="ＭＳ Ｐゴシック"/>
            <family val="3"/>
            <charset val="128"/>
          </rPr>
          <t>08</t>
        </r>
        <r>
          <rPr>
            <sz val="10"/>
            <color indexed="81"/>
            <rFont val="ＭＳ Ｐゴシック"/>
            <family val="3"/>
            <charset val="128"/>
          </rPr>
          <t>総合評価/</t>
        </r>
        <r>
          <rPr>
            <b/>
            <sz val="10"/>
            <color indexed="81"/>
            <rFont val="ＭＳ Ｐゴシック"/>
            <family val="3"/>
            <charset val="128"/>
          </rPr>
          <t>09</t>
        </r>
        <r>
          <rPr>
            <sz val="10"/>
            <color indexed="81"/>
            <rFont val="ＭＳ Ｐゴシック"/>
            <family val="3"/>
            <charset val="128"/>
          </rPr>
          <t>来客・打合せ/</t>
        </r>
        <r>
          <rPr>
            <b/>
            <sz val="10"/>
            <color indexed="81"/>
            <rFont val="ＭＳ Ｐゴシック"/>
            <family val="3"/>
            <charset val="128"/>
          </rPr>
          <t>99</t>
        </r>
        <r>
          <rPr>
            <sz val="10"/>
            <color indexed="81"/>
            <rFont val="ＭＳ Ｐゴシック"/>
            <family val="3"/>
            <charset val="128"/>
          </rPr>
          <t xml:space="preserve">その他）
</t>
        </r>
        <r>
          <rPr>
            <b/>
            <sz val="10"/>
            <color indexed="81"/>
            <rFont val="ＭＳ Ｐゴシック"/>
            <family val="3"/>
            <charset val="128"/>
          </rPr>
          <t>501x</t>
        </r>
        <r>
          <rPr>
            <sz val="10"/>
            <color indexed="81"/>
            <rFont val="ＭＳ Ｐゴシック"/>
            <family val="3"/>
            <charset val="128"/>
          </rPr>
          <t>xﾏﾆｭｱﾙ作成（xx：</t>
        </r>
        <r>
          <rPr>
            <b/>
            <sz val="10"/>
            <color indexed="81"/>
            <rFont val="ＭＳ Ｐゴシック"/>
            <family val="3"/>
            <charset val="128"/>
          </rPr>
          <t>01</t>
        </r>
        <r>
          <rPr>
            <sz val="10"/>
            <color indexed="81"/>
            <rFont val="ＭＳ Ｐゴシック"/>
            <family val="3"/>
            <charset val="128"/>
          </rPr>
          <t>原稿作成/</t>
        </r>
        <r>
          <rPr>
            <b/>
            <sz val="10"/>
            <color indexed="81"/>
            <rFont val="ＭＳ Ｐゴシック"/>
            <family val="3"/>
            <charset val="128"/>
          </rPr>
          <t>02</t>
        </r>
        <r>
          <rPr>
            <sz val="10"/>
            <color indexed="81"/>
            <rFont val="ＭＳ Ｐゴシック"/>
            <family val="3"/>
            <charset val="128"/>
          </rPr>
          <t>原稿校正/</t>
        </r>
        <r>
          <rPr>
            <b/>
            <sz val="10"/>
            <color indexed="81"/>
            <rFont val="ＭＳ Ｐゴシック"/>
            <family val="3"/>
            <charset val="128"/>
          </rPr>
          <t>03</t>
        </r>
        <r>
          <rPr>
            <sz val="10"/>
            <color indexed="81"/>
            <rFont val="ＭＳ Ｐゴシック"/>
            <family val="3"/>
            <charset val="128"/>
          </rPr>
          <t>編集業務/</t>
        </r>
        <r>
          <rPr>
            <b/>
            <sz val="10"/>
            <color indexed="81"/>
            <rFont val="ＭＳ Ｐゴシック"/>
            <family val="3"/>
            <charset val="128"/>
          </rPr>
          <t>04</t>
        </r>
        <r>
          <rPr>
            <sz val="10"/>
            <color indexed="81"/>
            <rFont val="ＭＳ Ｐゴシック"/>
            <family val="3"/>
            <charset val="128"/>
          </rPr>
          <t>事務処理全般/</t>
        </r>
        <r>
          <rPr>
            <b/>
            <sz val="10"/>
            <color indexed="81"/>
            <rFont val="ＭＳ Ｐゴシック"/>
            <family val="3"/>
            <charset val="128"/>
          </rPr>
          <t>05</t>
        </r>
        <r>
          <rPr>
            <sz val="10"/>
            <color indexed="81"/>
            <rFont val="ＭＳ Ｐゴシック"/>
            <family val="3"/>
            <charset val="128"/>
          </rPr>
          <t>来客・打合せ/</t>
        </r>
        <r>
          <rPr>
            <b/>
            <sz val="10"/>
            <color indexed="81"/>
            <rFont val="ＭＳ Ｐゴシック"/>
            <family val="3"/>
            <charset val="128"/>
          </rPr>
          <t>99</t>
        </r>
        <r>
          <rPr>
            <sz val="10"/>
            <color indexed="81"/>
            <rFont val="ＭＳ Ｐゴシック"/>
            <family val="3"/>
            <charset val="128"/>
          </rPr>
          <t xml:space="preserve">その他）
</t>
        </r>
        <r>
          <rPr>
            <b/>
            <sz val="10"/>
            <color indexed="81"/>
            <rFont val="ＭＳ Ｐゴシック"/>
            <family val="3"/>
            <charset val="128"/>
          </rPr>
          <t>601</t>
        </r>
        <r>
          <rPr>
            <sz val="10"/>
            <color indexed="81"/>
            <rFont val="ＭＳ Ｐゴシック"/>
            <family val="3"/>
            <charset val="128"/>
          </rPr>
          <t>xxﾘﾘｰｽ（xx：</t>
        </r>
        <r>
          <rPr>
            <b/>
            <sz val="10"/>
            <color indexed="81"/>
            <rFont val="ＭＳ Ｐゴシック"/>
            <family val="3"/>
            <charset val="128"/>
          </rPr>
          <t>01</t>
        </r>
        <r>
          <rPr>
            <sz val="10"/>
            <color indexed="81"/>
            <rFont val="ＭＳ Ｐゴシック"/>
            <family val="3"/>
            <charset val="128"/>
          </rPr>
          <t>ｵﾌﾞｼﾞｪｸﾄ作成/</t>
        </r>
        <r>
          <rPr>
            <b/>
            <sz val="10"/>
            <color indexed="81"/>
            <rFont val="ＭＳ Ｐゴシック"/>
            <family val="3"/>
            <charset val="128"/>
          </rPr>
          <t>02</t>
        </r>
        <r>
          <rPr>
            <sz val="10"/>
            <color indexed="81"/>
            <rFont val="ＭＳ Ｐゴシック"/>
            <family val="3"/>
            <charset val="128"/>
          </rPr>
          <t>関連業務/</t>
        </r>
        <r>
          <rPr>
            <b/>
            <sz val="10"/>
            <color indexed="81"/>
            <rFont val="ＭＳ Ｐゴシック"/>
            <family val="3"/>
            <charset val="128"/>
          </rPr>
          <t>03</t>
        </r>
        <r>
          <rPr>
            <sz val="10"/>
            <color indexed="81"/>
            <rFont val="ＭＳ Ｐゴシック"/>
            <family val="3"/>
            <charset val="128"/>
          </rPr>
          <t>CD-ROMｺﾋﾟｰ/</t>
        </r>
        <r>
          <rPr>
            <b/>
            <sz val="10"/>
            <color indexed="81"/>
            <rFont val="ＭＳ Ｐゴシック"/>
            <family val="3"/>
            <charset val="128"/>
          </rPr>
          <t>04</t>
        </r>
        <r>
          <rPr>
            <sz val="10"/>
            <color indexed="81"/>
            <rFont val="ＭＳ Ｐゴシック"/>
            <family val="3"/>
            <charset val="128"/>
          </rPr>
          <t>支社ﾘﾘｰｽ/</t>
        </r>
        <r>
          <rPr>
            <b/>
            <sz val="10"/>
            <color indexed="81"/>
            <rFont val="ＭＳ Ｐゴシック"/>
            <family val="3"/>
            <charset val="128"/>
          </rPr>
          <t>05</t>
        </r>
        <r>
          <rPr>
            <sz val="10"/>
            <color indexed="81"/>
            <rFont val="ＭＳ Ｐゴシック"/>
            <family val="3"/>
            <charset val="128"/>
          </rPr>
          <t>ﾃﾞﾘﾊﾞﾘ関連業務/</t>
        </r>
        <r>
          <rPr>
            <b/>
            <sz val="10"/>
            <color indexed="81"/>
            <rFont val="ＭＳ Ｐゴシック"/>
            <family val="3"/>
            <charset val="128"/>
          </rPr>
          <t>06</t>
        </r>
        <r>
          <rPr>
            <sz val="10"/>
            <color indexed="81"/>
            <rFont val="ＭＳ Ｐゴシック"/>
            <family val="3"/>
            <charset val="128"/>
          </rPr>
          <t>出荷/</t>
        </r>
        <r>
          <rPr>
            <b/>
            <sz val="10"/>
            <color indexed="81"/>
            <rFont val="ＭＳ Ｐゴシック"/>
            <family val="3"/>
            <charset val="128"/>
          </rPr>
          <t>07</t>
        </r>
        <r>
          <rPr>
            <sz val="10"/>
            <color indexed="81"/>
            <rFont val="ＭＳ Ｐゴシック"/>
            <family val="3"/>
            <charset val="128"/>
          </rPr>
          <t>来客・打合せ/</t>
        </r>
        <r>
          <rPr>
            <b/>
            <sz val="10"/>
            <color indexed="81"/>
            <rFont val="ＭＳ Ｐゴシック"/>
            <family val="3"/>
            <charset val="128"/>
          </rPr>
          <t>99</t>
        </r>
        <r>
          <rPr>
            <sz val="10"/>
            <color indexed="81"/>
            <rFont val="ＭＳ Ｐゴシック"/>
            <family val="3"/>
            <charset val="128"/>
          </rPr>
          <t xml:space="preserve">その他）
</t>
        </r>
        <r>
          <rPr>
            <b/>
            <sz val="10"/>
            <color indexed="81"/>
            <rFont val="ＭＳ Ｐゴシック"/>
            <family val="3"/>
            <charset val="128"/>
          </rPr>
          <t>701</t>
        </r>
        <r>
          <rPr>
            <sz val="10"/>
            <color indexed="81"/>
            <rFont val="ＭＳ Ｐゴシック"/>
            <family val="3"/>
            <charset val="128"/>
          </rPr>
          <t>xx不具合修正（xx：</t>
        </r>
        <r>
          <rPr>
            <b/>
            <sz val="10"/>
            <color indexed="81"/>
            <rFont val="ＭＳ Ｐゴシック"/>
            <family val="3"/>
            <charset val="128"/>
          </rPr>
          <t>01</t>
        </r>
        <r>
          <rPr>
            <sz val="10"/>
            <color indexed="81"/>
            <rFont val="ＭＳ Ｐゴシック"/>
            <family val="3"/>
            <charset val="128"/>
          </rPr>
          <t>調査/</t>
        </r>
        <r>
          <rPr>
            <b/>
            <sz val="10"/>
            <color indexed="81"/>
            <rFont val="ＭＳ Ｐゴシック"/>
            <family val="3"/>
            <charset val="128"/>
          </rPr>
          <t>02</t>
        </r>
        <r>
          <rPr>
            <sz val="10"/>
            <color indexed="81"/>
            <rFont val="ＭＳ Ｐゴシック"/>
            <family val="3"/>
            <charset val="128"/>
          </rPr>
          <t>ﾌﾟﾛｸﾞﾗﾑ修正/</t>
        </r>
        <r>
          <rPr>
            <b/>
            <sz val="10"/>
            <color indexed="81"/>
            <rFont val="ＭＳ Ｐゴシック"/>
            <family val="3"/>
            <charset val="128"/>
          </rPr>
          <t>03</t>
        </r>
        <r>
          <rPr>
            <sz val="10"/>
            <color indexed="81"/>
            <rFont val="ＭＳ Ｐゴシック"/>
            <family val="3"/>
            <charset val="128"/>
          </rPr>
          <t>ﾃｽﾄ/</t>
        </r>
        <r>
          <rPr>
            <b/>
            <sz val="10"/>
            <color indexed="81"/>
            <rFont val="ＭＳ Ｐゴシック"/>
            <family val="3"/>
            <charset val="128"/>
          </rPr>
          <t>04</t>
        </r>
        <r>
          <rPr>
            <sz val="10"/>
            <color indexed="81"/>
            <rFont val="ＭＳ Ｐゴシック"/>
            <family val="3"/>
            <charset val="128"/>
          </rPr>
          <t>不具合連絡書作成/</t>
        </r>
        <r>
          <rPr>
            <b/>
            <sz val="10"/>
            <color indexed="81"/>
            <rFont val="ＭＳ Ｐゴシック"/>
            <family val="3"/>
            <charset val="128"/>
          </rPr>
          <t>05</t>
        </r>
        <r>
          <rPr>
            <sz val="10"/>
            <color indexed="81"/>
            <rFont val="ＭＳ Ｐゴシック"/>
            <family val="3"/>
            <charset val="128"/>
          </rPr>
          <t>差分PGｲﾝﾄﾗ掲載/</t>
        </r>
        <r>
          <rPr>
            <b/>
            <sz val="10"/>
            <color indexed="81"/>
            <rFont val="ＭＳ Ｐゴシック"/>
            <family val="3"/>
            <charset val="128"/>
          </rPr>
          <t>06</t>
        </r>
        <r>
          <rPr>
            <sz val="10"/>
            <color indexed="81"/>
            <rFont val="ＭＳ Ｐゴシック"/>
            <family val="3"/>
            <charset val="128"/>
          </rPr>
          <t>来客・打合せ/</t>
        </r>
        <r>
          <rPr>
            <b/>
            <sz val="10"/>
            <color indexed="81"/>
            <rFont val="ＭＳ Ｐゴシック"/>
            <family val="3"/>
            <charset val="128"/>
          </rPr>
          <t>99</t>
        </r>
        <r>
          <rPr>
            <sz val="10"/>
            <color indexed="81"/>
            <rFont val="ＭＳ Ｐゴシック"/>
            <family val="3"/>
            <charset val="128"/>
          </rPr>
          <t xml:space="preserve">その他）
</t>
        </r>
        <r>
          <rPr>
            <b/>
            <sz val="10"/>
            <color indexed="81"/>
            <rFont val="ＭＳ Ｐゴシック"/>
            <family val="3"/>
            <charset val="128"/>
          </rPr>
          <t>801</t>
        </r>
        <r>
          <rPr>
            <sz val="10"/>
            <color indexed="81"/>
            <rFont val="ＭＳ Ｐゴシック"/>
            <family val="3"/>
            <charset val="128"/>
          </rPr>
          <t>xx保守／ｻﾎﾟｰﾄ（xx：</t>
        </r>
        <r>
          <rPr>
            <b/>
            <sz val="10"/>
            <color indexed="81"/>
            <rFont val="ＭＳ Ｐゴシック"/>
            <family val="3"/>
            <charset val="128"/>
          </rPr>
          <t>01</t>
        </r>
        <r>
          <rPr>
            <sz val="10"/>
            <color indexed="81"/>
            <rFont val="ＭＳ Ｐゴシック"/>
            <family val="3"/>
            <charset val="128"/>
          </rPr>
          <t>SRB調査/</t>
        </r>
        <r>
          <rPr>
            <b/>
            <sz val="10"/>
            <color indexed="81"/>
            <rFont val="ＭＳ Ｐゴシック"/>
            <family val="3"/>
            <charset val="128"/>
          </rPr>
          <t>02</t>
        </r>
        <r>
          <rPr>
            <sz val="10"/>
            <color indexed="81"/>
            <rFont val="ＭＳ Ｐゴシック"/>
            <family val="3"/>
            <charset val="128"/>
          </rPr>
          <t>社内問い合せ/</t>
        </r>
        <r>
          <rPr>
            <b/>
            <sz val="10"/>
            <color indexed="81"/>
            <rFont val="ＭＳ Ｐゴシック"/>
            <family val="3"/>
            <charset val="128"/>
          </rPr>
          <t>03</t>
        </r>
        <r>
          <rPr>
            <sz val="10"/>
            <color indexed="81"/>
            <rFont val="ＭＳ Ｐゴシック"/>
            <family val="3"/>
            <charset val="128"/>
          </rPr>
          <t>支社支援/</t>
        </r>
        <r>
          <rPr>
            <b/>
            <sz val="10"/>
            <color indexed="81"/>
            <rFont val="ＭＳ Ｐゴシック"/>
            <family val="3"/>
            <charset val="128"/>
          </rPr>
          <t>04</t>
        </r>
        <r>
          <rPr>
            <sz val="10"/>
            <color indexed="81"/>
            <rFont val="ＭＳ Ｐゴシック"/>
            <family val="3"/>
            <charset val="128"/>
          </rPr>
          <t>他部門支援/</t>
        </r>
        <r>
          <rPr>
            <b/>
            <sz val="10"/>
            <color indexed="81"/>
            <rFont val="ＭＳ Ｐゴシック"/>
            <family val="3"/>
            <charset val="128"/>
          </rPr>
          <t>05</t>
        </r>
        <r>
          <rPr>
            <sz val="10"/>
            <color indexed="81"/>
            <rFont val="ＭＳ Ｐゴシック"/>
            <family val="3"/>
            <charset val="128"/>
          </rPr>
          <t>ｲﾝﾄﾗ資料更新/</t>
        </r>
        <r>
          <rPr>
            <b/>
            <sz val="10"/>
            <color indexed="81"/>
            <rFont val="ＭＳ Ｐゴシック"/>
            <family val="3"/>
            <charset val="128"/>
          </rPr>
          <t>06</t>
        </r>
        <r>
          <rPr>
            <sz val="10"/>
            <color indexed="81"/>
            <rFont val="ＭＳ Ｐゴシック"/>
            <family val="3"/>
            <charset val="128"/>
          </rPr>
          <t>来客・打合せ/</t>
        </r>
        <r>
          <rPr>
            <b/>
            <sz val="10"/>
            <color indexed="81"/>
            <rFont val="ＭＳ Ｐゴシック"/>
            <family val="3"/>
            <charset val="128"/>
          </rPr>
          <t>99</t>
        </r>
        <r>
          <rPr>
            <sz val="10"/>
            <color indexed="81"/>
            <rFont val="ＭＳ Ｐゴシック"/>
            <family val="3"/>
            <charset val="128"/>
          </rPr>
          <t xml:space="preserve">その他）
</t>
        </r>
        <r>
          <rPr>
            <b/>
            <sz val="10"/>
            <color indexed="81"/>
            <rFont val="ＭＳ Ｐゴシック"/>
            <family val="3"/>
            <charset val="128"/>
          </rPr>
          <t>901</t>
        </r>
        <r>
          <rPr>
            <sz val="10"/>
            <color indexed="81"/>
            <rFont val="ＭＳ Ｐゴシック"/>
            <family val="3"/>
            <charset val="128"/>
          </rPr>
          <t>xx管理業務（xx：</t>
        </r>
        <r>
          <rPr>
            <b/>
            <sz val="10"/>
            <color indexed="81"/>
            <rFont val="ＭＳ Ｐゴシック"/>
            <family val="3"/>
            <charset val="128"/>
          </rPr>
          <t>01</t>
        </r>
        <r>
          <rPr>
            <sz val="10"/>
            <color indexed="81"/>
            <rFont val="ＭＳ Ｐゴシック"/>
            <family val="3"/>
            <charset val="128"/>
          </rPr>
          <t>ﾌﾟﾛｼﾞｪｸﾄ管理/</t>
        </r>
        <r>
          <rPr>
            <b/>
            <sz val="10"/>
            <color indexed="81"/>
            <rFont val="ＭＳ Ｐゴシック"/>
            <family val="3"/>
            <charset val="128"/>
          </rPr>
          <t>02</t>
        </r>
        <r>
          <rPr>
            <sz val="10"/>
            <color indexed="81"/>
            <rFont val="ＭＳ Ｐゴシック"/>
            <family val="3"/>
            <charset val="128"/>
          </rPr>
          <t>外注管理/</t>
        </r>
        <r>
          <rPr>
            <b/>
            <sz val="10"/>
            <color indexed="81"/>
            <rFont val="ＭＳ Ｐゴシック"/>
            <family val="3"/>
            <charset val="128"/>
          </rPr>
          <t>03</t>
        </r>
        <r>
          <rPr>
            <sz val="10"/>
            <color indexed="81"/>
            <rFont val="ＭＳ Ｐゴシック"/>
            <family val="3"/>
            <charset val="128"/>
          </rPr>
          <t>経理処理/</t>
        </r>
        <r>
          <rPr>
            <b/>
            <sz val="10"/>
            <color indexed="81"/>
            <rFont val="ＭＳ Ｐゴシック"/>
            <family val="3"/>
            <charset val="128"/>
          </rPr>
          <t>04</t>
        </r>
        <r>
          <rPr>
            <sz val="10"/>
            <color indexed="81"/>
            <rFont val="ＭＳ Ｐゴシック"/>
            <family val="3"/>
            <charset val="128"/>
          </rPr>
          <t>資料作成/</t>
        </r>
        <r>
          <rPr>
            <b/>
            <sz val="10"/>
            <color indexed="81"/>
            <rFont val="ＭＳ Ｐゴシック"/>
            <family val="3"/>
            <charset val="128"/>
          </rPr>
          <t>05</t>
        </r>
        <r>
          <rPr>
            <sz val="10"/>
            <color indexed="81"/>
            <rFont val="ＭＳ Ｐゴシック"/>
            <family val="3"/>
            <charset val="128"/>
          </rPr>
          <t>庶務全般/</t>
        </r>
        <r>
          <rPr>
            <b/>
            <sz val="10"/>
            <color indexed="81"/>
            <rFont val="ＭＳ Ｐゴシック"/>
            <family val="3"/>
            <charset val="128"/>
          </rPr>
          <t>06</t>
        </r>
        <r>
          <rPr>
            <sz val="10"/>
            <color indexed="81"/>
            <rFont val="ＭＳ Ｐゴシック"/>
            <family val="3"/>
            <charset val="128"/>
          </rPr>
          <t>研修・学習/</t>
        </r>
        <r>
          <rPr>
            <b/>
            <sz val="10"/>
            <color indexed="81"/>
            <rFont val="ＭＳ Ｐゴシック"/>
            <family val="3"/>
            <charset val="128"/>
          </rPr>
          <t>07</t>
        </r>
        <r>
          <rPr>
            <sz val="10"/>
            <color indexed="81"/>
            <rFont val="ＭＳ Ｐゴシック"/>
            <family val="3"/>
            <charset val="128"/>
          </rPr>
          <t>事務管理/</t>
        </r>
        <r>
          <rPr>
            <b/>
            <sz val="10"/>
            <color indexed="81"/>
            <rFont val="ＭＳ Ｐゴシック"/>
            <family val="3"/>
            <charset val="128"/>
          </rPr>
          <t>08</t>
        </r>
        <r>
          <rPr>
            <sz val="10"/>
            <color indexed="81"/>
            <rFont val="ＭＳ Ｐゴシック"/>
            <family val="3"/>
            <charset val="128"/>
          </rPr>
          <t>調整・大掃除等/</t>
        </r>
        <r>
          <rPr>
            <b/>
            <sz val="10"/>
            <color indexed="81"/>
            <rFont val="ＭＳ Ｐゴシック"/>
            <family val="3"/>
            <charset val="128"/>
          </rPr>
          <t>99</t>
        </r>
        <r>
          <rPr>
            <sz val="10"/>
            <color indexed="81"/>
            <rFont val="ＭＳ Ｐゴシック"/>
            <family val="3"/>
            <charset val="128"/>
          </rPr>
          <t xml:space="preserve">その他）
</t>
        </r>
      </text>
    </comment>
    <comment ref="D11" authorId="0" shapeId="0" xr:uid="{00000000-0006-0000-0100-000002000000}">
      <text>
        <r>
          <rPr>
            <sz val="9"/>
            <color indexed="81"/>
            <rFont val="ＭＳ Ｐゴシック"/>
            <family val="3"/>
            <charset val="128"/>
          </rPr>
          <t>工種は
管理者に確認して、
リストから選択します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10" authorId="0" shapeId="0" xr:uid="{00000000-0006-0000-0200-000001000000}">
      <text>
        <r>
          <rPr>
            <sz val="10"/>
            <color indexed="81"/>
            <rFont val="ＭＳ Ｐゴシック"/>
            <family val="3"/>
            <charset val="128"/>
          </rPr>
          <t>工種を入力すると自動で表示されます。
工種は、必ず管理者に確認してください。</t>
        </r>
      </text>
    </comment>
    <comment ref="D11" authorId="0" shapeId="0" xr:uid="{00000000-0006-0000-0200-000002000000}">
      <text>
        <r>
          <rPr>
            <sz val="9"/>
            <color indexed="81"/>
            <rFont val="ＭＳ Ｐゴシック"/>
            <family val="3"/>
            <charset val="128"/>
          </rPr>
          <t>工種は
管理者に確認して、
リストから選択します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10" authorId="0" shapeId="0" xr:uid="{00000000-0006-0000-0300-000001000000}">
      <text>
        <r>
          <rPr>
            <sz val="10"/>
            <color indexed="81"/>
            <rFont val="ＭＳ Ｐゴシック"/>
            <family val="3"/>
            <charset val="128"/>
          </rPr>
          <t>工種を入力すると自動で表示されます。
工種は、必ず管理者に確認してください。</t>
        </r>
      </text>
    </comment>
    <comment ref="D11" authorId="0" shapeId="0" xr:uid="{00000000-0006-0000-0300-000002000000}">
      <text>
        <r>
          <rPr>
            <sz val="9"/>
            <color indexed="81"/>
            <rFont val="ＭＳ Ｐゴシック"/>
            <family val="3"/>
            <charset val="128"/>
          </rPr>
          <t>工種は
管理者に確認して、
リストから選択します</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10" authorId="0" shapeId="0" xr:uid="{00000000-0006-0000-0400-000001000000}">
      <text>
        <r>
          <rPr>
            <sz val="10"/>
            <color indexed="81"/>
            <rFont val="ＭＳ Ｐゴシック"/>
            <family val="3"/>
            <charset val="128"/>
          </rPr>
          <t>工種を入力すると自動で表示されます。
工種は、必ずMJSの管理者に確認してください。</t>
        </r>
      </text>
    </comment>
    <comment ref="D11" authorId="0" shapeId="0" xr:uid="{00000000-0006-0000-0400-000002000000}">
      <text>
        <r>
          <rPr>
            <sz val="9"/>
            <color indexed="81"/>
            <rFont val="ＭＳ Ｐゴシック"/>
            <family val="3"/>
            <charset val="128"/>
          </rPr>
          <t>工種は
管理者に確認して、
リストから選択します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10" authorId="0" shapeId="0" xr:uid="{00000000-0006-0000-0500-000001000000}">
      <text>
        <r>
          <rPr>
            <sz val="10"/>
            <color indexed="81"/>
            <rFont val="ＭＳ Ｐゴシック"/>
            <family val="3"/>
            <charset val="128"/>
          </rPr>
          <t>工種を入力すると自動で表示されます。
工種は、必ず管理者に確認してください。</t>
        </r>
      </text>
    </comment>
    <comment ref="D11" authorId="0" shapeId="0" xr:uid="{00000000-0006-0000-0500-000002000000}">
      <text>
        <r>
          <rPr>
            <sz val="9"/>
            <color indexed="81"/>
            <rFont val="ＭＳ Ｐゴシック"/>
            <family val="3"/>
            <charset val="128"/>
          </rPr>
          <t>工種は
管理者に確認して、
リストから選択します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0202003 猪股 優</author>
    <author>mo002558</author>
  </authors>
  <commentList>
    <comment ref="F4" authorId="0" shapeId="0" xr:uid="{00000000-0006-0000-0600-000001000000}">
      <text>
        <r>
          <rPr>
            <b/>
            <sz val="9"/>
            <color indexed="81"/>
            <rFont val="ＭＳ Ｐゴシック"/>
            <family val="3"/>
            <charset val="128"/>
          </rPr>
          <t>派遣の方のみ選択</t>
        </r>
      </text>
    </comment>
    <comment ref="F5" authorId="0" shapeId="0" xr:uid="{00000000-0006-0000-0600-000002000000}">
      <text>
        <r>
          <rPr>
            <b/>
            <sz val="9"/>
            <color indexed="81"/>
            <rFont val="ＭＳ Ｐゴシック"/>
            <family val="3"/>
            <charset val="128"/>
          </rPr>
          <t>派遣の方のみ選択</t>
        </r>
      </text>
    </comment>
    <comment ref="F6" authorId="0" shapeId="0" xr:uid="{00000000-0006-0000-0600-000003000000}">
      <text>
        <r>
          <rPr>
            <b/>
            <sz val="9"/>
            <color indexed="81"/>
            <rFont val="ＭＳ Ｐゴシック"/>
            <family val="3"/>
            <charset val="128"/>
          </rPr>
          <t>派遣の方のみ
業務内容を入力</t>
        </r>
      </text>
    </comment>
    <comment ref="F8" authorId="1" shapeId="0" xr:uid="{00000000-0006-0000-0600-000004000000}">
      <text>
        <r>
          <rPr>
            <sz val="11"/>
            <color indexed="81"/>
            <rFont val="ＭＳ Ｐゴシック"/>
            <family val="3"/>
            <charset val="128"/>
          </rPr>
          <t>有休等の場合は
こちらに記入してください。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I4" authorId="0" shapeId="0" xr:uid="{00000000-0006-0000-0B00-000001000000}">
      <text>
        <r>
          <rPr>
            <sz val="9"/>
            <color indexed="81"/>
            <rFont val="ＭＳ Ｐゴシック"/>
            <family val="3"/>
            <charset val="128"/>
          </rPr>
          <t>この行に集計したいプロジェクトコードを入力します。</t>
        </r>
      </text>
    </comment>
    <comment ref="W4" authorId="0" shapeId="0" xr:uid="{00000000-0006-0000-0B00-000002000000}">
      <text>
        <r>
          <rPr>
            <sz val="9"/>
            <color indexed="81"/>
            <rFont val="ＭＳ Ｐゴシック"/>
            <family val="3"/>
            <charset val="128"/>
          </rPr>
          <t xml:space="preserve">所定日数の入力により当月の
所定勤務時間が表示されます。
プロジェクト毎の比率が表示されますので、
毎週の進捗管理にご利用ください。
</t>
        </r>
      </text>
    </comment>
    <comment ref="I5" authorId="0" shapeId="0" xr:uid="{00000000-0006-0000-0B00-000003000000}">
      <text>
        <r>
          <rPr>
            <sz val="9"/>
            <color indexed="81"/>
            <rFont val="ＭＳ Ｐゴシック"/>
            <family val="3"/>
            <charset val="128"/>
          </rPr>
          <t>この行に集計したいプロジェクトコードを入力します。</t>
        </r>
      </text>
    </comment>
    <comment ref="I6" authorId="0" shapeId="0" xr:uid="{00000000-0006-0000-0B00-000004000000}">
      <text>
        <r>
          <rPr>
            <sz val="9"/>
            <color indexed="81"/>
            <rFont val="ＭＳ Ｐゴシック"/>
            <family val="3"/>
            <charset val="128"/>
          </rPr>
          <t>この行に集計したいプロジェクトコードを入力します。</t>
        </r>
      </text>
    </comment>
    <comment ref="I7" authorId="0" shapeId="0" xr:uid="{00000000-0006-0000-0B00-000005000000}">
      <text>
        <r>
          <rPr>
            <sz val="9"/>
            <color indexed="81"/>
            <rFont val="ＭＳ Ｐゴシック"/>
            <family val="3"/>
            <charset val="128"/>
          </rPr>
          <t>この行に集計したいプロジェクトコードを入力します。</t>
        </r>
      </text>
    </comment>
    <comment ref="I8" authorId="0" shapeId="0" xr:uid="{00000000-0006-0000-0B00-000006000000}">
      <text>
        <r>
          <rPr>
            <sz val="9"/>
            <color indexed="81"/>
            <rFont val="ＭＳ Ｐゴシック"/>
            <family val="3"/>
            <charset val="128"/>
          </rPr>
          <t>この行に集計したいプロジェクトコードを入力します。</t>
        </r>
      </text>
    </comment>
    <comment ref="I9" authorId="0" shapeId="0" xr:uid="{00000000-0006-0000-0B00-000007000000}">
      <text>
        <r>
          <rPr>
            <sz val="9"/>
            <color indexed="81"/>
            <rFont val="ＭＳ Ｐゴシック"/>
            <family val="3"/>
            <charset val="128"/>
          </rPr>
          <t>この行に集計したいプロジェクトコードを入力します。</t>
        </r>
      </text>
    </comment>
    <comment ref="I10" authorId="0" shapeId="0" xr:uid="{00000000-0006-0000-0B00-000008000000}">
      <text>
        <r>
          <rPr>
            <sz val="9"/>
            <color indexed="81"/>
            <rFont val="ＭＳ Ｐゴシック"/>
            <family val="3"/>
            <charset val="128"/>
          </rPr>
          <t>この行に集計したいプロジェクトコードを入力します。</t>
        </r>
      </text>
    </comment>
    <comment ref="I11" authorId="0" shapeId="0" xr:uid="{00000000-0006-0000-0B00-000009000000}">
      <text>
        <r>
          <rPr>
            <sz val="9"/>
            <color indexed="81"/>
            <rFont val="ＭＳ Ｐゴシック"/>
            <family val="3"/>
            <charset val="128"/>
          </rPr>
          <t>この行に集計したいプロジェクトコードを入力します。</t>
        </r>
      </text>
    </comment>
    <comment ref="I12" authorId="0" shapeId="0" xr:uid="{00000000-0006-0000-0B00-00000A000000}">
      <text>
        <r>
          <rPr>
            <sz val="9"/>
            <color indexed="81"/>
            <rFont val="ＭＳ Ｐゴシック"/>
            <family val="3"/>
            <charset val="128"/>
          </rPr>
          <t>この行に集計したいプロジェクトコードを入力します。</t>
        </r>
      </text>
    </comment>
    <comment ref="I13" authorId="0" shapeId="0" xr:uid="{00000000-0006-0000-0B00-00000B000000}">
      <text>
        <r>
          <rPr>
            <sz val="9"/>
            <color indexed="81"/>
            <rFont val="ＭＳ Ｐゴシック"/>
            <family val="3"/>
            <charset val="128"/>
          </rPr>
          <t>この行に集計したいプロジェクトコードを入力します。</t>
        </r>
      </text>
    </comment>
    <comment ref="I14" authorId="0" shapeId="0" xr:uid="{00000000-0006-0000-0B00-00000C000000}">
      <text>
        <r>
          <rPr>
            <sz val="9"/>
            <color indexed="81"/>
            <rFont val="ＭＳ Ｐゴシック"/>
            <family val="3"/>
            <charset val="128"/>
          </rPr>
          <t>この行に集計したいプロジェクトコードを入力します。</t>
        </r>
      </text>
    </comment>
    <comment ref="I15" authorId="0" shapeId="0" xr:uid="{00000000-0006-0000-0B00-00000D000000}">
      <text>
        <r>
          <rPr>
            <sz val="9"/>
            <color indexed="81"/>
            <rFont val="ＭＳ Ｐゴシック"/>
            <family val="3"/>
            <charset val="128"/>
          </rPr>
          <t>この行に集計したいプロジェクトコードを入力します。</t>
        </r>
      </text>
    </comment>
    <comment ref="I16" authorId="0" shapeId="0" xr:uid="{00000000-0006-0000-0B00-00000E000000}">
      <text>
        <r>
          <rPr>
            <sz val="9"/>
            <color indexed="81"/>
            <rFont val="ＭＳ Ｐゴシック"/>
            <family val="3"/>
            <charset val="128"/>
          </rPr>
          <t>この行に集計したいプロジェクトコードを入力します。</t>
        </r>
      </text>
    </comment>
    <comment ref="I17" authorId="0" shapeId="0" xr:uid="{00000000-0006-0000-0B00-00000F000000}">
      <text>
        <r>
          <rPr>
            <sz val="9"/>
            <color indexed="81"/>
            <rFont val="ＭＳ Ｐゴシック"/>
            <family val="3"/>
            <charset val="128"/>
          </rPr>
          <t>この行に集計したいプロジェクトコードを入力します。</t>
        </r>
      </text>
    </comment>
    <comment ref="I18" authorId="0" shapeId="0" xr:uid="{00000000-0006-0000-0B00-000010000000}">
      <text>
        <r>
          <rPr>
            <sz val="9"/>
            <color indexed="81"/>
            <rFont val="ＭＳ Ｐゴシック"/>
            <family val="3"/>
            <charset val="128"/>
          </rPr>
          <t>この行に集計したいプロジェクトコードを入力します。</t>
        </r>
      </text>
    </comment>
    <comment ref="I19" authorId="0" shapeId="0" xr:uid="{00000000-0006-0000-0B00-000011000000}">
      <text>
        <r>
          <rPr>
            <sz val="9"/>
            <color indexed="81"/>
            <rFont val="ＭＳ Ｐゴシック"/>
            <family val="3"/>
            <charset val="128"/>
          </rPr>
          <t>この行に集計したいプロジェクトコードを入力します。</t>
        </r>
      </text>
    </comment>
    <comment ref="I20" authorId="0" shapeId="0" xr:uid="{00000000-0006-0000-0B00-000012000000}">
      <text>
        <r>
          <rPr>
            <sz val="9"/>
            <color indexed="81"/>
            <rFont val="ＭＳ Ｐゴシック"/>
            <family val="3"/>
            <charset val="128"/>
          </rPr>
          <t>この行に集計したいプロジェクトコードを入力します。</t>
        </r>
      </text>
    </comment>
    <comment ref="I21" authorId="0" shapeId="0" xr:uid="{00000000-0006-0000-0B00-000013000000}">
      <text>
        <r>
          <rPr>
            <sz val="9"/>
            <color indexed="81"/>
            <rFont val="ＭＳ Ｐゴシック"/>
            <family val="3"/>
            <charset val="128"/>
          </rPr>
          <t>この行に集計したいプロジェクトコードを入力します。</t>
        </r>
      </text>
    </comment>
    <comment ref="I22" authorId="0" shapeId="0" xr:uid="{00000000-0006-0000-0B00-000014000000}">
      <text>
        <r>
          <rPr>
            <sz val="9"/>
            <color indexed="81"/>
            <rFont val="ＭＳ Ｐゴシック"/>
            <family val="3"/>
            <charset val="128"/>
          </rPr>
          <t>この行に集計したいプロジェクトコードを入力します。</t>
        </r>
      </text>
    </comment>
    <comment ref="I23" authorId="0" shapeId="0" xr:uid="{00000000-0006-0000-0B00-000015000000}">
      <text>
        <r>
          <rPr>
            <sz val="9"/>
            <color indexed="81"/>
            <rFont val="ＭＳ Ｐゴシック"/>
            <family val="3"/>
            <charset val="128"/>
          </rPr>
          <t>この行に集計したいプロジェクトコードを入力します。</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0201023 鈴木 奈美</author>
    <author>0202003 猪股 優</author>
  </authors>
  <commentList>
    <comment ref="D118" authorId="0" shapeId="0" xr:uid="{00000000-0006-0000-0900-000001000000}">
      <text>
        <r>
          <rPr>
            <b/>
            <sz val="9"/>
            <color indexed="81"/>
            <rFont val="ＭＳ Ｐゴシック"/>
            <family val="3"/>
            <charset val="128"/>
          </rPr>
          <t>0201023 鈴木 奈美:</t>
        </r>
        <r>
          <rPr>
            <sz val="9"/>
            <color indexed="81"/>
            <rFont val="ＭＳ Ｐゴシック"/>
            <family val="3"/>
            <charset val="128"/>
          </rPr>
          <t xml:space="preserve">
7月よりPJ名修正
旧PJ名：Galileopt DX 電子申請（e-Gov）API対応</t>
        </r>
      </text>
    </comment>
    <comment ref="A200" authorId="1" shapeId="0" xr:uid="{00000000-0006-0000-0900-000002000000}">
      <text>
        <r>
          <rPr>
            <b/>
            <sz val="9"/>
            <color indexed="81"/>
            <rFont val="MS P ゴシック"/>
            <family val="3"/>
            <charset val="128"/>
          </rPr>
          <t>システムコード修正</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H4" authorId="0" shapeId="0" xr:uid="{00000000-0006-0000-0C00-000001000000}">
      <text>
        <r>
          <rPr>
            <sz val="9"/>
            <color indexed="81"/>
            <rFont val="ＭＳ Ｐゴシック"/>
            <family val="3"/>
            <charset val="128"/>
          </rPr>
          <t>この行に集計したいプロジェクトコードを入力します。</t>
        </r>
      </text>
    </comment>
    <comment ref="U4" authorId="0" shapeId="0" xr:uid="{00000000-0006-0000-0C00-000002000000}">
      <text>
        <r>
          <rPr>
            <sz val="9"/>
            <color indexed="81"/>
            <rFont val="ＭＳ Ｐゴシック"/>
            <family val="3"/>
            <charset val="128"/>
          </rPr>
          <t xml:space="preserve">所定日数を入力すると、当月の所定勤務
時間が表示され、プロジェクト毎の比率に
反映されます。
</t>
        </r>
      </text>
    </comment>
    <comment ref="H5" authorId="0" shapeId="0" xr:uid="{00000000-0006-0000-0C00-000003000000}">
      <text>
        <r>
          <rPr>
            <sz val="9"/>
            <color indexed="81"/>
            <rFont val="ＭＳ Ｐゴシック"/>
            <family val="3"/>
            <charset val="128"/>
          </rPr>
          <t>この行に集計したいプロジェクトコードを入力します。</t>
        </r>
      </text>
    </comment>
    <comment ref="H6" authorId="0" shapeId="0" xr:uid="{00000000-0006-0000-0C00-000004000000}">
      <text>
        <r>
          <rPr>
            <sz val="9"/>
            <color indexed="81"/>
            <rFont val="ＭＳ Ｐゴシック"/>
            <family val="3"/>
            <charset val="128"/>
          </rPr>
          <t>この行に集計したいプロジェクトコードを入力します。</t>
        </r>
      </text>
    </comment>
    <comment ref="H7" authorId="0" shapeId="0" xr:uid="{00000000-0006-0000-0C00-000005000000}">
      <text>
        <r>
          <rPr>
            <sz val="9"/>
            <color indexed="81"/>
            <rFont val="ＭＳ Ｐゴシック"/>
            <family val="3"/>
            <charset val="128"/>
          </rPr>
          <t>この行に集計したいプロジェクトコードを入力します。</t>
        </r>
      </text>
    </comment>
    <comment ref="H8" authorId="0" shapeId="0" xr:uid="{00000000-0006-0000-0C00-000006000000}">
      <text>
        <r>
          <rPr>
            <sz val="9"/>
            <color indexed="81"/>
            <rFont val="ＭＳ Ｐゴシック"/>
            <family val="3"/>
            <charset val="128"/>
          </rPr>
          <t>この行に集計したいプロジェクトコードを入力します。</t>
        </r>
      </text>
    </comment>
    <comment ref="H9" authorId="0" shapeId="0" xr:uid="{00000000-0006-0000-0C00-000007000000}">
      <text>
        <r>
          <rPr>
            <sz val="9"/>
            <color indexed="81"/>
            <rFont val="ＭＳ Ｐゴシック"/>
            <family val="3"/>
            <charset val="128"/>
          </rPr>
          <t>この行に集計したいプロジェクトコードを入力します。</t>
        </r>
      </text>
    </comment>
    <comment ref="H10" authorId="0" shapeId="0" xr:uid="{00000000-0006-0000-0C00-000008000000}">
      <text>
        <r>
          <rPr>
            <sz val="9"/>
            <color indexed="81"/>
            <rFont val="ＭＳ Ｐゴシック"/>
            <family val="3"/>
            <charset val="128"/>
          </rPr>
          <t>この行に集計したいプロジェクトコードを入力します。</t>
        </r>
      </text>
    </comment>
    <comment ref="H11" authorId="0" shapeId="0" xr:uid="{00000000-0006-0000-0C00-000009000000}">
      <text>
        <r>
          <rPr>
            <sz val="9"/>
            <color indexed="81"/>
            <rFont val="ＭＳ Ｐゴシック"/>
            <family val="3"/>
            <charset val="128"/>
          </rPr>
          <t>この行に集計したいプロジェクトコードを入力します。</t>
        </r>
      </text>
    </comment>
    <comment ref="H12" authorId="0" shapeId="0" xr:uid="{00000000-0006-0000-0C00-00000A000000}">
      <text>
        <r>
          <rPr>
            <sz val="9"/>
            <color indexed="81"/>
            <rFont val="ＭＳ Ｐゴシック"/>
            <family val="3"/>
            <charset val="128"/>
          </rPr>
          <t>この行に集計したいプロジェクトコードを入力します。</t>
        </r>
      </text>
    </comment>
    <comment ref="H13" authorId="0" shapeId="0" xr:uid="{00000000-0006-0000-0C00-00000B000000}">
      <text>
        <r>
          <rPr>
            <sz val="9"/>
            <color indexed="81"/>
            <rFont val="ＭＳ Ｐゴシック"/>
            <family val="3"/>
            <charset val="128"/>
          </rPr>
          <t>この行に集計したいプロジェクトコードを入力します。</t>
        </r>
      </text>
    </comment>
    <comment ref="H14" authorId="0" shapeId="0" xr:uid="{00000000-0006-0000-0C00-00000C000000}">
      <text>
        <r>
          <rPr>
            <sz val="9"/>
            <color indexed="81"/>
            <rFont val="ＭＳ Ｐゴシック"/>
            <family val="3"/>
            <charset val="128"/>
          </rPr>
          <t>この行に集計したいプロジェクトコードを入力します。</t>
        </r>
      </text>
    </comment>
    <comment ref="H15" authorId="0" shapeId="0" xr:uid="{00000000-0006-0000-0C00-00000D000000}">
      <text>
        <r>
          <rPr>
            <sz val="9"/>
            <color indexed="81"/>
            <rFont val="ＭＳ Ｐゴシック"/>
            <family val="3"/>
            <charset val="128"/>
          </rPr>
          <t>この行に集計したいプロジェクトコードを入力します。</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H5" authorId="0" shapeId="0" xr:uid="{00000000-0006-0000-0D00-000001000000}">
      <text>
        <r>
          <rPr>
            <sz val="9"/>
            <color indexed="81"/>
            <rFont val="ＭＳ Ｐゴシック"/>
            <family val="3"/>
            <charset val="128"/>
          </rPr>
          <t>集計したい期間の開始日を入力します。</t>
        </r>
      </text>
    </comment>
    <comment ref="H6" authorId="0" shapeId="0" xr:uid="{00000000-0006-0000-0D00-000002000000}">
      <text>
        <r>
          <rPr>
            <sz val="9"/>
            <color indexed="81"/>
            <rFont val="ＭＳ Ｐゴシック"/>
            <family val="3"/>
            <charset val="128"/>
          </rPr>
          <t>集計したい期間の終了日を入力します。</t>
        </r>
      </text>
    </comment>
    <comment ref="H9" authorId="0" shapeId="0" xr:uid="{00000000-0006-0000-0D00-000003000000}">
      <text>
        <r>
          <rPr>
            <sz val="9"/>
            <color indexed="81"/>
            <rFont val="ＭＳ Ｐゴシック"/>
            <family val="3"/>
            <charset val="128"/>
          </rPr>
          <t>選択列に 1 を入力した工類が集計されます。</t>
        </r>
      </text>
    </comment>
    <comment ref="D10" authorId="0" shapeId="0" xr:uid="{00000000-0006-0000-0D00-000004000000}">
      <text>
        <r>
          <rPr>
            <sz val="9"/>
            <color indexed="81"/>
            <rFont val="ＭＳ Ｐゴシック"/>
            <family val="3"/>
            <charset val="128"/>
          </rPr>
          <t>1：選択集計します。
0：選択しません。</t>
        </r>
      </text>
    </comment>
    <comment ref="D11" authorId="0" shapeId="0" xr:uid="{00000000-0006-0000-0D00-000005000000}">
      <text>
        <r>
          <rPr>
            <sz val="9"/>
            <color indexed="81"/>
            <rFont val="ＭＳ Ｐゴシック"/>
            <family val="3"/>
            <charset val="128"/>
          </rPr>
          <t>1：選択集計します。
0：選択しません。</t>
        </r>
      </text>
    </comment>
    <comment ref="D12" authorId="0" shapeId="0" xr:uid="{00000000-0006-0000-0D00-000006000000}">
      <text>
        <r>
          <rPr>
            <sz val="9"/>
            <color indexed="81"/>
            <rFont val="ＭＳ Ｐゴシック"/>
            <family val="3"/>
            <charset val="128"/>
          </rPr>
          <t>1：選択集計します。
0：選択しません。</t>
        </r>
      </text>
    </comment>
    <comment ref="D13" authorId="0" shapeId="0" xr:uid="{00000000-0006-0000-0D00-000007000000}">
      <text>
        <r>
          <rPr>
            <sz val="9"/>
            <color indexed="81"/>
            <rFont val="ＭＳ Ｐゴシック"/>
            <family val="3"/>
            <charset val="128"/>
          </rPr>
          <t>1：選択集計します。
0：選択しません。</t>
        </r>
      </text>
    </comment>
    <comment ref="D14" authorId="0" shapeId="0" xr:uid="{00000000-0006-0000-0D00-000008000000}">
      <text>
        <r>
          <rPr>
            <sz val="9"/>
            <color indexed="81"/>
            <rFont val="ＭＳ Ｐゴシック"/>
            <family val="3"/>
            <charset val="128"/>
          </rPr>
          <t>1：選択集計します。
0：選択しません。</t>
        </r>
      </text>
    </comment>
    <comment ref="D15" authorId="0" shapeId="0" xr:uid="{00000000-0006-0000-0D00-000009000000}">
      <text>
        <r>
          <rPr>
            <sz val="9"/>
            <color indexed="81"/>
            <rFont val="ＭＳ Ｐゴシック"/>
            <family val="3"/>
            <charset val="128"/>
          </rPr>
          <t>1：選択集計します。
0：選択しません。</t>
        </r>
      </text>
    </comment>
    <comment ref="D16" authorId="0" shapeId="0" xr:uid="{00000000-0006-0000-0D00-00000A000000}">
      <text>
        <r>
          <rPr>
            <sz val="9"/>
            <color indexed="81"/>
            <rFont val="ＭＳ Ｐゴシック"/>
            <family val="3"/>
            <charset val="128"/>
          </rPr>
          <t>1：選択集計します。
0：選択しません。</t>
        </r>
      </text>
    </comment>
    <comment ref="D17" authorId="0" shapeId="0" xr:uid="{00000000-0006-0000-0D00-00000B000000}">
      <text>
        <r>
          <rPr>
            <sz val="9"/>
            <color indexed="81"/>
            <rFont val="ＭＳ Ｐゴシック"/>
            <family val="3"/>
            <charset val="128"/>
          </rPr>
          <t>1：選択集計します。
0：選択しません。</t>
        </r>
      </text>
    </comment>
    <comment ref="D18" authorId="0" shapeId="0" xr:uid="{00000000-0006-0000-0D00-00000C000000}">
      <text>
        <r>
          <rPr>
            <sz val="9"/>
            <color indexed="81"/>
            <rFont val="ＭＳ Ｐゴシック"/>
            <family val="3"/>
            <charset val="128"/>
          </rPr>
          <t>1：選択集計します。
0：選択しません。</t>
        </r>
      </text>
    </comment>
    <comment ref="D19" authorId="0" shapeId="0" xr:uid="{00000000-0006-0000-0D00-00000D000000}">
      <text>
        <r>
          <rPr>
            <sz val="9"/>
            <color indexed="81"/>
            <rFont val="ＭＳ Ｐゴシック"/>
            <family val="3"/>
            <charset val="128"/>
          </rPr>
          <t>1：選択集計します。
0：選択しません。</t>
        </r>
      </text>
    </comment>
    <comment ref="D20" authorId="0" shapeId="0" xr:uid="{00000000-0006-0000-0D00-00000E000000}">
      <text>
        <r>
          <rPr>
            <sz val="9"/>
            <color indexed="81"/>
            <rFont val="ＭＳ Ｐゴシック"/>
            <family val="3"/>
            <charset val="128"/>
          </rPr>
          <t>1：選択集計します。
0：選択しません。</t>
        </r>
      </text>
    </comment>
    <comment ref="D21" authorId="0" shapeId="0" xr:uid="{00000000-0006-0000-0D00-00000F000000}">
      <text>
        <r>
          <rPr>
            <sz val="9"/>
            <color indexed="81"/>
            <rFont val="ＭＳ Ｐゴシック"/>
            <family val="3"/>
            <charset val="128"/>
          </rPr>
          <t>1：選択集計します。
0：選択しません。</t>
        </r>
      </text>
    </comment>
    <comment ref="D22" authorId="0" shapeId="0" xr:uid="{00000000-0006-0000-0D00-000010000000}">
      <text>
        <r>
          <rPr>
            <sz val="9"/>
            <color indexed="81"/>
            <rFont val="ＭＳ Ｐゴシック"/>
            <family val="3"/>
            <charset val="128"/>
          </rPr>
          <t>1：選択集計します。
0：選択しません。</t>
        </r>
      </text>
    </comment>
    <comment ref="D23" authorId="0" shapeId="0" xr:uid="{00000000-0006-0000-0D00-000011000000}">
      <text>
        <r>
          <rPr>
            <sz val="9"/>
            <color indexed="81"/>
            <rFont val="ＭＳ Ｐゴシック"/>
            <family val="3"/>
            <charset val="128"/>
          </rPr>
          <t>1：選択集計します。
0：選択しません。</t>
        </r>
      </text>
    </comment>
    <comment ref="D24" authorId="0" shapeId="0" xr:uid="{00000000-0006-0000-0D00-000012000000}">
      <text>
        <r>
          <rPr>
            <sz val="9"/>
            <color indexed="81"/>
            <rFont val="ＭＳ Ｐゴシック"/>
            <family val="3"/>
            <charset val="128"/>
          </rPr>
          <t>1：選択集計します。
0：選択しません。</t>
        </r>
      </text>
    </comment>
    <comment ref="D25" authorId="0" shapeId="0" xr:uid="{00000000-0006-0000-0D00-000013000000}">
      <text>
        <r>
          <rPr>
            <sz val="9"/>
            <color indexed="81"/>
            <rFont val="ＭＳ Ｐゴシック"/>
            <family val="3"/>
            <charset val="128"/>
          </rPr>
          <t>1：選択集計します。
0：選択しません。</t>
        </r>
      </text>
    </comment>
    <comment ref="D26" authorId="0" shapeId="0" xr:uid="{00000000-0006-0000-0D00-000014000000}">
      <text>
        <r>
          <rPr>
            <sz val="9"/>
            <color indexed="81"/>
            <rFont val="ＭＳ Ｐゴシック"/>
            <family val="3"/>
            <charset val="128"/>
          </rPr>
          <t>1：選択集計します。
0：選択しません。</t>
        </r>
      </text>
    </comment>
    <comment ref="D27" authorId="0" shapeId="0" xr:uid="{00000000-0006-0000-0D00-000015000000}">
      <text>
        <r>
          <rPr>
            <sz val="9"/>
            <color indexed="81"/>
            <rFont val="ＭＳ Ｐゴシック"/>
            <family val="3"/>
            <charset val="128"/>
          </rPr>
          <t>1：選択集計します。
0：選択しません。</t>
        </r>
      </text>
    </comment>
    <comment ref="D28" authorId="0" shapeId="0" xr:uid="{00000000-0006-0000-0D00-000016000000}">
      <text>
        <r>
          <rPr>
            <sz val="9"/>
            <color indexed="81"/>
            <rFont val="ＭＳ Ｐゴシック"/>
            <family val="3"/>
            <charset val="128"/>
          </rPr>
          <t>1：選択集計します。
0：選択しません。</t>
        </r>
      </text>
    </comment>
    <comment ref="D29" authorId="0" shapeId="0" xr:uid="{00000000-0006-0000-0D00-000017000000}">
      <text>
        <r>
          <rPr>
            <sz val="9"/>
            <color indexed="81"/>
            <rFont val="ＭＳ Ｐゴシック"/>
            <family val="3"/>
            <charset val="128"/>
          </rPr>
          <t>1：選択集計します。
0：選択しません。</t>
        </r>
      </text>
    </comment>
    <comment ref="D30" authorId="0" shapeId="0" xr:uid="{00000000-0006-0000-0D00-000018000000}">
      <text>
        <r>
          <rPr>
            <sz val="9"/>
            <color indexed="81"/>
            <rFont val="ＭＳ Ｐゴシック"/>
            <family val="3"/>
            <charset val="128"/>
          </rPr>
          <t>1：選択集計します。
0：選択しません。</t>
        </r>
      </text>
    </comment>
    <comment ref="D31" authorId="0" shapeId="0" xr:uid="{00000000-0006-0000-0D00-000019000000}">
      <text>
        <r>
          <rPr>
            <sz val="9"/>
            <color indexed="81"/>
            <rFont val="ＭＳ Ｐゴシック"/>
            <family val="3"/>
            <charset val="128"/>
          </rPr>
          <t>1：選択集計します。
0：選択しません。</t>
        </r>
      </text>
    </comment>
    <comment ref="D32" authorId="0" shapeId="0" xr:uid="{00000000-0006-0000-0D00-00001A000000}">
      <text>
        <r>
          <rPr>
            <sz val="9"/>
            <color indexed="81"/>
            <rFont val="ＭＳ Ｐゴシック"/>
            <family val="3"/>
            <charset val="128"/>
          </rPr>
          <t>1：選択集計します。
0：選択しません。</t>
        </r>
      </text>
    </comment>
    <comment ref="D33" authorId="0" shapeId="0" xr:uid="{00000000-0006-0000-0D00-00001B000000}">
      <text>
        <r>
          <rPr>
            <sz val="9"/>
            <color indexed="81"/>
            <rFont val="ＭＳ Ｐゴシック"/>
            <family val="3"/>
            <charset val="128"/>
          </rPr>
          <t>1：選択集計します。
0：選択しません。</t>
        </r>
      </text>
    </comment>
    <comment ref="D34" authorId="0" shapeId="0" xr:uid="{00000000-0006-0000-0D00-00001C000000}">
      <text>
        <r>
          <rPr>
            <sz val="9"/>
            <color indexed="81"/>
            <rFont val="ＭＳ Ｐゴシック"/>
            <family val="3"/>
            <charset val="128"/>
          </rPr>
          <t>1：選択集計します。
0：選択しません。</t>
        </r>
      </text>
    </comment>
    <comment ref="D35" authorId="0" shapeId="0" xr:uid="{00000000-0006-0000-0D00-00001D000000}">
      <text>
        <r>
          <rPr>
            <sz val="9"/>
            <color indexed="81"/>
            <rFont val="ＭＳ Ｐゴシック"/>
            <family val="3"/>
            <charset val="128"/>
          </rPr>
          <t>1：選択集計します。
0：選択しません。</t>
        </r>
      </text>
    </comment>
    <comment ref="D36" authorId="0" shapeId="0" xr:uid="{00000000-0006-0000-0D00-00001E000000}">
      <text>
        <r>
          <rPr>
            <sz val="9"/>
            <color indexed="81"/>
            <rFont val="ＭＳ Ｐゴシック"/>
            <family val="3"/>
            <charset val="128"/>
          </rPr>
          <t>1：選択集計します。
0：選択しません。</t>
        </r>
      </text>
    </comment>
    <comment ref="D37" authorId="0" shapeId="0" xr:uid="{00000000-0006-0000-0D00-00001F000000}">
      <text>
        <r>
          <rPr>
            <sz val="9"/>
            <color indexed="81"/>
            <rFont val="ＭＳ Ｐゴシック"/>
            <family val="3"/>
            <charset val="128"/>
          </rPr>
          <t>1：選択集計します。
0：選択しません。</t>
        </r>
      </text>
    </comment>
    <comment ref="D38" authorId="0" shapeId="0" xr:uid="{00000000-0006-0000-0D00-000020000000}">
      <text>
        <r>
          <rPr>
            <sz val="9"/>
            <color indexed="81"/>
            <rFont val="ＭＳ Ｐゴシック"/>
            <family val="3"/>
            <charset val="128"/>
          </rPr>
          <t>1：選択集計します。
0：選択しません。</t>
        </r>
      </text>
    </comment>
    <comment ref="D39" authorId="0" shapeId="0" xr:uid="{00000000-0006-0000-0D00-000021000000}">
      <text>
        <r>
          <rPr>
            <sz val="9"/>
            <color indexed="81"/>
            <rFont val="ＭＳ Ｐゴシック"/>
            <family val="3"/>
            <charset val="128"/>
          </rPr>
          <t>1：選択集計します。
0：選択しません。</t>
        </r>
      </text>
    </comment>
    <comment ref="D40" authorId="0" shapeId="0" xr:uid="{00000000-0006-0000-0D00-000022000000}">
      <text>
        <r>
          <rPr>
            <sz val="9"/>
            <color indexed="81"/>
            <rFont val="ＭＳ Ｐゴシック"/>
            <family val="3"/>
            <charset val="128"/>
          </rPr>
          <t>1：選択集計します。
0：選択しません。</t>
        </r>
      </text>
    </comment>
    <comment ref="D41" authorId="0" shapeId="0" xr:uid="{00000000-0006-0000-0D00-000023000000}">
      <text>
        <r>
          <rPr>
            <sz val="9"/>
            <color indexed="81"/>
            <rFont val="ＭＳ Ｐゴシック"/>
            <family val="3"/>
            <charset val="128"/>
          </rPr>
          <t>1：選択集計します。
0：選択しません。</t>
        </r>
      </text>
    </comment>
    <comment ref="D42" authorId="0" shapeId="0" xr:uid="{00000000-0006-0000-0D00-000024000000}">
      <text>
        <r>
          <rPr>
            <sz val="9"/>
            <color indexed="81"/>
            <rFont val="ＭＳ Ｐゴシック"/>
            <family val="3"/>
            <charset val="128"/>
          </rPr>
          <t>1：選択集計します。
0：選択しません。</t>
        </r>
      </text>
    </comment>
    <comment ref="D43" authorId="0" shapeId="0" xr:uid="{00000000-0006-0000-0D00-000025000000}">
      <text>
        <r>
          <rPr>
            <sz val="9"/>
            <color indexed="81"/>
            <rFont val="ＭＳ Ｐゴシック"/>
            <family val="3"/>
            <charset val="128"/>
          </rPr>
          <t>1：選択集計します。
0：選択しません。</t>
        </r>
      </text>
    </comment>
    <comment ref="D44" authorId="0" shapeId="0" xr:uid="{00000000-0006-0000-0D00-000026000000}">
      <text>
        <r>
          <rPr>
            <sz val="9"/>
            <color indexed="81"/>
            <rFont val="ＭＳ Ｐゴシック"/>
            <family val="3"/>
            <charset val="128"/>
          </rPr>
          <t>1：選択集計します。
0：選択しません。</t>
        </r>
      </text>
    </comment>
    <comment ref="D45" authorId="0" shapeId="0" xr:uid="{00000000-0006-0000-0D00-000027000000}">
      <text>
        <r>
          <rPr>
            <sz val="9"/>
            <color indexed="81"/>
            <rFont val="ＭＳ Ｐゴシック"/>
            <family val="3"/>
            <charset val="128"/>
          </rPr>
          <t>1：選択集計します。
0：選択しません。</t>
        </r>
      </text>
    </comment>
    <comment ref="D46" authorId="0" shapeId="0" xr:uid="{00000000-0006-0000-0D00-000028000000}">
      <text>
        <r>
          <rPr>
            <sz val="9"/>
            <color indexed="81"/>
            <rFont val="ＭＳ Ｐゴシック"/>
            <family val="3"/>
            <charset val="128"/>
          </rPr>
          <t>1：選択集計します。
0：選択しません。</t>
        </r>
      </text>
    </comment>
    <comment ref="D47" authorId="0" shapeId="0" xr:uid="{00000000-0006-0000-0D00-000029000000}">
      <text>
        <r>
          <rPr>
            <sz val="9"/>
            <color indexed="81"/>
            <rFont val="ＭＳ Ｐゴシック"/>
            <family val="3"/>
            <charset val="128"/>
          </rPr>
          <t>1：選択集計します。
0：選択しません。</t>
        </r>
      </text>
    </comment>
    <comment ref="D48" authorId="0" shapeId="0" xr:uid="{00000000-0006-0000-0D00-00002A000000}">
      <text>
        <r>
          <rPr>
            <sz val="9"/>
            <color indexed="81"/>
            <rFont val="ＭＳ Ｐゴシック"/>
            <family val="3"/>
            <charset val="128"/>
          </rPr>
          <t>1：選択集計します。
0：選択しません。</t>
        </r>
      </text>
    </comment>
    <comment ref="D49" authorId="0" shapeId="0" xr:uid="{00000000-0006-0000-0D00-00002B000000}">
      <text>
        <r>
          <rPr>
            <sz val="9"/>
            <color indexed="81"/>
            <rFont val="ＭＳ Ｐゴシック"/>
            <family val="3"/>
            <charset val="128"/>
          </rPr>
          <t>1：選択集計します。
0：選択しません。</t>
        </r>
      </text>
    </comment>
    <comment ref="D50" authorId="0" shapeId="0" xr:uid="{00000000-0006-0000-0D00-00002C000000}">
      <text>
        <r>
          <rPr>
            <sz val="9"/>
            <color indexed="81"/>
            <rFont val="ＭＳ Ｐゴシック"/>
            <family val="3"/>
            <charset val="128"/>
          </rPr>
          <t>1：選択集計します。
0：選択しません。</t>
        </r>
      </text>
    </comment>
    <comment ref="D51" authorId="0" shapeId="0" xr:uid="{00000000-0006-0000-0D00-00002D000000}">
      <text>
        <r>
          <rPr>
            <sz val="9"/>
            <color indexed="81"/>
            <rFont val="ＭＳ Ｐゴシック"/>
            <family val="3"/>
            <charset val="128"/>
          </rPr>
          <t>1：選択集計します。
0：選択しません。</t>
        </r>
      </text>
    </comment>
    <comment ref="D52" authorId="0" shapeId="0" xr:uid="{00000000-0006-0000-0D00-00002E000000}">
      <text>
        <r>
          <rPr>
            <sz val="9"/>
            <color indexed="81"/>
            <rFont val="ＭＳ Ｐゴシック"/>
            <family val="3"/>
            <charset val="128"/>
          </rPr>
          <t>1：選択集計します。
0：選択しません。</t>
        </r>
      </text>
    </comment>
    <comment ref="D53" authorId="0" shapeId="0" xr:uid="{00000000-0006-0000-0D00-00002F000000}">
      <text>
        <r>
          <rPr>
            <sz val="9"/>
            <color indexed="81"/>
            <rFont val="ＭＳ Ｐゴシック"/>
            <family val="3"/>
            <charset val="128"/>
          </rPr>
          <t>1：選択集計します。
0：選択しません。</t>
        </r>
      </text>
    </comment>
    <comment ref="D54" authorId="0" shapeId="0" xr:uid="{00000000-0006-0000-0D00-000030000000}">
      <text>
        <r>
          <rPr>
            <sz val="9"/>
            <color indexed="81"/>
            <rFont val="ＭＳ Ｐゴシック"/>
            <family val="3"/>
            <charset val="128"/>
          </rPr>
          <t>1：選択集計します。
0：選択しません。</t>
        </r>
      </text>
    </comment>
    <comment ref="D55" authorId="0" shapeId="0" xr:uid="{00000000-0006-0000-0D00-000031000000}">
      <text>
        <r>
          <rPr>
            <sz val="9"/>
            <color indexed="81"/>
            <rFont val="ＭＳ Ｐゴシック"/>
            <family val="3"/>
            <charset val="128"/>
          </rPr>
          <t>1：選択集計します。
0：選択しません。</t>
        </r>
      </text>
    </comment>
    <comment ref="D56" authorId="0" shapeId="0" xr:uid="{00000000-0006-0000-0D00-000032000000}">
      <text>
        <r>
          <rPr>
            <sz val="9"/>
            <color indexed="81"/>
            <rFont val="ＭＳ Ｐゴシック"/>
            <family val="3"/>
            <charset val="128"/>
          </rPr>
          <t>1：選択集計します。
0：選択しません。</t>
        </r>
      </text>
    </comment>
    <comment ref="D57" authorId="0" shapeId="0" xr:uid="{00000000-0006-0000-0D00-000033000000}">
      <text>
        <r>
          <rPr>
            <sz val="9"/>
            <color indexed="81"/>
            <rFont val="ＭＳ Ｐゴシック"/>
            <family val="3"/>
            <charset val="128"/>
          </rPr>
          <t>1：選択集計します。
0：選択しません。</t>
        </r>
      </text>
    </comment>
    <comment ref="D58" authorId="0" shapeId="0" xr:uid="{00000000-0006-0000-0D00-000034000000}">
      <text>
        <r>
          <rPr>
            <sz val="9"/>
            <color indexed="81"/>
            <rFont val="ＭＳ Ｐゴシック"/>
            <family val="3"/>
            <charset val="128"/>
          </rPr>
          <t>1：選択集計します。
0：選択しません。</t>
        </r>
      </text>
    </comment>
    <comment ref="D59" authorId="0" shapeId="0" xr:uid="{00000000-0006-0000-0D00-000035000000}">
      <text>
        <r>
          <rPr>
            <sz val="9"/>
            <color indexed="81"/>
            <rFont val="ＭＳ Ｐゴシック"/>
            <family val="3"/>
            <charset val="128"/>
          </rPr>
          <t>1：選択集計します。
0：選択しません。</t>
        </r>
      </text>
    </comment>
    <comment ref="D60" authorId="0" shapeId="0" xr:uid="{00000000-0006-0000-0D00-000036000000}">
      <text>
        <r>
          <rPr>
            <sz val="9"/>
            <color indexed="81"/>
            <rFont val="ＭＳ Ｐゴシック"/>
            <family val="3"/>
            <charset val="128"/>
          </rPr>
          <t>1：選択集計します。
0：選択しません。</t>
        </r>
      </text>
    </comment>
    <comment ref="D61" authorId="0" shapeId="0" xr:uid="{00000000-0006-0000-0D00-000037000000}">
      <text>
        <r>
          <rPr>
            <sz val="9"/>
            <color indexed="81"/>
            <rFont val="ＭＳ Ｐゴシック"/>
            <family val="3"/>
            <charset val="128"/>
          </rPr>
          <t>1：選択集計します。
0：選択しません。</t>
        </r>
      </text>
    </comment>
    <comment ref="D62" authorId="0" shapeId="0" xr:uid="{00000000-0006-0000-0D00-000038000000}">
      <text>
        <r>
          <rPr>
            <sz val="9"/>
            <color indexed="81"/>
            <rFont val="ＭＳ Ｐゴシック"/>
            <family val="3"/>
            <charset val="128"/>
          </rPr>
          <t>1：選択集計します。
0：選択しません。</t>
        </r>
      </text>
    </comment>
    <comment ref="D63" authorId="0" shapeId="0" xr:uid="{00000000-0006-0000-0D00-000039000000}">
      <text>
        <r>
          <rPr>
            <sz val="9"/>
            <color indexed="81"/>
            <rFont val="ＭＳ Ｐゴシック"/>
            <family val="3"/>
            <charset val="128"/>
          </rPr>
          <t>1：選択集計します。
0：選択しません。</t>
        </r>
      </text>
    </comment>
    <comment ref="D64" authorId="0" shapeId="0" xr:uid="{00000000-0006-0000-0D00-00003A000000}">
      <text>
        <r>
          <rPr>
            <sz val="9"/>
            <color indexed="81"/>
            <rFont val="ＭＳ Ｐゴシック"/>
            <family val="3"/>
            <charset val="128"/>
          </rPr>
          <t>1：選択集計します。
0：選択しません。</t>
        </r>
      </text>
    </comment>
    <comment ref="D65" authorId="0" shapeId="0" xr:uid="{00000000-0006-0000-0D00-00003B000000}">
      <text>
        <r>
          <rPr>
            <sz val="9"/>
            <color indexed="81"/>
            <rFont val="ＭＳ Ｐゴシック"/>
            <family val="3"/>
            <charset val="128"/>
          </rPr>
          <t>1：選択集計します。
0：選択しません。</t>
        </r>
      </text>
    </comment>
    <comment ref="D66" authorId="0" shapeId="0" xr:uid="{00000000-0006-0000-0D00-00003C000000}">
      <text>
        <r>
          <rPr>
            <sz val="9"/>
            <color indexed="81"/>
            <rFont val="ＭＳ Ｐゴシック"/>
            <family val="3"/>
            <charset val="128"/>
          </rPr>
          <t>1：選択集計します。
0：選択しません。</t>
        </r>
      </text>
    </comment>
    <comment ref="D67" authorId="0" shapeId="0" xr:uid="{00000000-0006-0000-0D00-00003D000000}">
      <text>
        <r>
          <rPr>
            <sz val="9"/>
            <color indexed="81"/>
            <rFont val="ＭＳ Ｐゴシック"/>
            <family val="3"/>
            <charset val="128"/>
          </rPr>
          <t>1：選択集計します。
0：選択しません。</t>
        </r>
      </text>
    </comment>
    <comment ref="D68" authorId="0" shapeId="0" xr:uid="{00000000-0006-0000-0D00-00003E000000}">
      <text>
        <r>
          <rPr>
            <sz val="9"/>
            <color indexed="81"/>
            <rFont val="ＭＳ Ｐゴシック"/>
            <family val="3"/>
            <charset val="128"/>
          </rPr>
          <t>1：選択集計します。
0：選択しません。</t>
        </r>
      </text>
    </comment>
    <comment ref="D69" authorId="0" shapeId="0" xr:uid="{00000000-0006-0000-0D00-00003F000000}">
      <text>
        <r>
          <rPr>
            <sz val="9"/>
            <color indexed="81"/>
            <rFont val="ＭＳ Ｐゴシック"/>
            <family val="3"/>
            <charset val="128"/>
          </rPr>
          <t>1：選択集計します。
0：選択しません。</t>
        </r>
      </text>
    </comment>
    <comment ref="D70" authorId="0" shapeId="0" xr:uid="{00000000-0006-0000-0D00-000040000000}">
      <text>
        <r>
          <rPr>
            <sz val="9"/>
            <color indexed="81"/>
            <rFont val="ＭＳ Ｐゴシック"/>
            <family val="3"/>
            <charset val="128"/>
          </rPr>
          <t>1：選択集計します。
0：選択しません。</t>
        </r>
      </text>
    </comment>
    <comment ref="D71" authorId="0" shapeId="0" xr:uid="{00000000-0006-0000-0D00-000041000000}">
      <text>
        <r>
          <rPr>
            <sz val="9"/>
            <color indexed="81"/>
            <rFont val="ＭＳ Ｐゴシック"/>
            <family val="3"/>
            <charset val="128"/>
          </rPr>
          <t>1：選択集計します。
0：選択しません。</t>
        </r>
      </text>
    </comment>
    <comment ref="D72" authorId="0" shapeId="0" xr:uid="{00000000-0006-0000-0D00-000042000000}">
      <text>
        <r>
          <rPr>
            <sz val="9"/>
            <color indexed="81"/>
            <rFont val="ＭＳ Ｐゴシック"/>
            <family val="3"/>
            <charset val="128"/>
          </rPr>
          <t>1：選択集計します。
0：選択しません。</t>
        </r>
      </text>
    </comment>
    <comment ref="D73" authorId="0" shapeId="0" xr:uid="{00000000-0006-0000-0D00-000043000000}">
      <text>
        <r>
          <rPr>
            <sz val="9"/>
            <color indexed="81"/>
            <rFont val="ＭＳ Ｐゴシック"/>
            <family val="3"/>
            <charset val="128"/>
          </rPr>
          <t>1：選択集計します。
0：選択しません。</t>
        </r>
      </text>
    </comment>
    <comment ref="D74" authorId="0" shapeId="0" xr:uid="{00000000-0006-0000-0D00-000044000000}">
      <text>
        <r>
          <rPr>
            <sz val="9"/>
            <color indexed="81"/>
            <rFont val="ＭＳ Ｐゴシック"/>
            <family val="3"/>
            <charset val="128"/>
          </rPr>
          <t>1：選択集計します。
0：選択しません。</t>
        </r>
      </text>
    </comment>
    <comment ref="D75" authorId="0" shapeId="0" xr:uid="{00000000-0006-0000-0D00-000045000000}">
      <text>
        <r>
          <rPr>
            <sz val="9"/>
            <color indexed="81"/>
            <rFont val="ＭＳ Ｐゴシック"/>
            <family val="3"/>
            <charset val="128"/>
          </rPr>
          <t>1：選択集計します。
0：選択しません。</t>
        </r>
      </text>
    </comment>
    <comment ref="D76" authorId="0" shapeId="0" xr:uid="{00000000-0006-0000-0D00-000046000000}">
      <text>
        <r>
          <rPr>
            <sz val="9"/>
            <color indexed="81"/>
            <rFont val="ＭＳ Ｐゴシック"/>
            <family val="3"/>
            <charset val="128"/>
          </rPr>
          <t>1：選択集計します。
0：選択しません。</t>
        </r>
      </text>
    </comment>
    <comment ref="D77" authorId="0" shapeId="0" xr:uid="{00000000-0006-0000-0D00-000047000000}">
      <text>
        <r>
          <rPr>
            <sz val="9"/>
            <color indexed="81"/>
            <rFont val="ＭＳ Ｐゴシック"/>
            <family val="3"/>
            <charset val="128"/>
          </rPr>
          <t>1：選択集計します。
0：選択しません。</t>
        </r>
      </text>
    </comment>
    <comment ref="D78" authorId="0" shapeId="0" xr:uid="{00000000-0006-0000-0D00-000048000000}">
      <text>
        <r>
          <rPr>
            <sz val="9"/>
            <color indexed="81"/>
            <rFont val="ＭＳ Ｐゴシック"/>
            <family val="3"/>
            <charset val="128"/>
          </rPr>
          <t>1：選択集計します。
0：選択しません。</t>
        </r>
      </text>
    </comment>
    <comment ref="D79" authorId="0" shapeId="0" xr:uid="{00000000-0006-0000-0D00-000049000000}">
      <text>
        <r>
          <rPr>
            <sz val="9"/>
            <color indexed="81"/>
            <rFont val="ＭＳ Ｐゴシック"/>
            <family val="3"/>
            <charset val="128"/>
          </rPr>
          <t>1：選択集計します。
0：選択しません。</t>
        </r>
      </text>
    </comment>
    <comment ref="D80" authorId="0" shapeId="0" xr:uid="{00000000-0006-0000-0D00-00004A000000}">
      <text>
        <r>
          <rPr>
            <sz val="9"/>
            <color indexed="81"/>
            <rFont val="ＭＳ Ｐゴシック"/>
            <family val="3"/>
            <charset val="128"/>
          </rPr>
          <t>1：選択集計します。
0：選択しません。</t>
        </r>
      </text>
    </comment>
    <comment ref="D81" authorId="0" shapeId="0" xr:uid="{00000000-0006-0000-0D00-00004B000000}">
      <text>
        <r>
          <rPr>
            <sz val="9"/>
            <color indexed="81"/>
            <rFont val="ＭＳ Ｐゴシック"/>
            <family val="3"/>
            <charset val="128"/>
          </rPr>
          <t>1：選択集計します。
0：選択しません。</t>
        </r>
      </text>
    </comment>
    <comment ref="D82" authorId="0" shapeId="0" xr:uid="{00000000-0006-0000-0D00-00004C000000}">
      <text>
        <r>
          <rPr>
            <sz val="9"/>
            <color indexed="81"/>
            <rFont val="ＭＳ Ｐゴシック"/>
            <family val="3"/>
            <charset val="128"/>
          </rPr>
          <t>1：選択集計します。
0：選択しません。</t>
        </r>
      </text>
    </comment>
    <comment ref="D83" authorId="0" shapeId="0" xr:uid="{00000000-0006-0000-0D00-00004D000000}">
      <text>
        <r>
          <rPr>
            <sz val="9"/>
            <color indexed="81"/>
            <rFont val="ＭＳ Ｐゴシック"/>
            <family val="3"/>
            <charset val="128"/>
          </rPr>
          <t>1：選択集計します。
0：選択しません。</t>
        </r>
      </text>
    </comment>
    <comment ref="D84" authorId="0" shapeId="0" xr:uid="{00000000-0006-0000-0D00-00004E000000}">
      <text>
        <r>
          <rPr>
            <sz val="9"/>
            <color indexed="81"/>
            <rFont val="ＭＳ Ｐゴシック"/>
            <family val="3"/>
            <charset val="128"/>
          </rPr>
          <t>1：選択集計します。
0：選択しません。</t>
        </r>
      </text>
    </comment>
    <comment ref="D85" authorId="0" shapeId="0" xr:uid="{00000000-0006-0000-0D00-00004F000000}">
      <text>
        <r>
          <rPr>
            <sz val="9"/>
            <color indexed="81"/>
            <rFont val="ＭＳ Ｐゴシック"/>
            <family val="3"/>
            <charset val="128"/>
          </rPr>
          <t>1：選択集計します。
0：選択しません。</t>
        </r>
      </text>
    </comment>
    <comment ref="D86" authorId="0" shapeId="0" xr:uid="{00000000-0006-0000-0D00-000050000000}">
      <text>
        <r>
          <rPr>
            <sz val="9"/>
            <color indexed="81"/>
            <rFont val="ＭＳ Ｐゴシック"/>
            <family val="3"/>
            <charset val="128"/>
          </rPr>
          <t>1：選択集計します。
0：選択しません。</t>
        </r>
      </text>
    </comment>
    <comment ref="D87" authorId="0" shapeId="0" xr:uid="{00000000-0006-0000-0D00-000051000000}">
      <text>
        <r>
          <rPr>
            <sz val="9"/>
            <color indexed="81"/>
            <rFont val="ＭＳ Ｐゴシック"/>
            <family val="3"/>
            <charset val="128"/>
          </rPr>
          <t>1：選択集計します。
0：選択しません。</t>
        </r>
      </text>
    </comment>
    <comment ref="D88" authorId="0" shapeId="0" xr:uid="{00000000-0006-0000-0D00-000052000000}">
      <text>
        <r>
          <rPr>
            <sz val="9"/>
            <color indexed="81"/>
            <rFont val="ＭＳ Ｐゴシック"/>
            <family val="3"/>
            <charset val="128"/>
          </rPr>
          <t>1：選択集計します。
0：選択しません。</t>
        </r>
      </text>
    </comment>
    <comment ref="D89" authorId="0" shapeId="0" xr:uid="{00000000-0006-0000-0D00-000053000000}">
      <text>
        <r>
          <rPr>
            <sz val="9"/>
            <color indexed="81"/>
            <rFont val="ＭＳ Ｐゴシック"/>
            <family val="3"/>
            <charset val="128"/>
          </rPr>
          <t>1：選択集計します。
0：選択しません。</t>
        </r>
      </text>
    </comment>
    <comment ref="D90" authorId="0" shapeId="0" xr:uid="{00000000-0006-0000-0D00-000054000000}">
      <text>
        <r>
          <rPr>
            <sz val="9"/>
            <color indexed="81"/>
            <rFont val="ＭＳ Ｐゴシック"/>
            <family val="3"/>
            <charset val="128"/>
          </rPr>
          <t>1：選択集計します。
0：選択しません。</t>
        </r>
      </text>
    </comment>
    <comment ref="D91" authorId="0" shapeId="0" xr:uid="{00000000-0006-0000-0D00-000055000000}">
      <text>
        <r>
          <rPr>
            <sz val="9"/>
            <color indexed="81"/>
            <rFont val="ＭＳ Ｐゴシック"/>
            <family val="3"/>
            <charset val="128"/>
          </rPr>
          <t>1：選択集計します。
0：選択しません。</t>
        </r>
      </text>
    </comment>
    <comment ref="H94" authorId="0" shapeId="0" xr:uid="{00000000-0006-0000-0D00-000056000000}">
      <text>
        <r>
          <rPr>
            <sz val="9"/>
            <color indexed="81"/>
            <rFont val="ＭＳ Ｐゴシック"/>
            <family val="3"/>
            <charset val="128"/>
          </rPr>
          <t>選択列に 1 を入力した工類が集計されます。</t>
        </r>
      </text>
    </comment>
    <comment ref="D95" authorId="0" shapeId="0" xr:uid="{00000000-0006-0000-0D00-000057000000}">
      <text>
        <r>
          <rPr>
            <sz val="9"/>
            <color indexed="81"/>
            <rFont val="ＭＳ Ｐゴシック"/>
            <family val="3"/>
            <charset val="128"/>
          </rPr>
          <t>1：選択集計します。
0：選択しません。</t>
        </r>
      </text>
    </comment>
    <comment ref="D96" authorId="0" shapeId="0" xr:uid="{00000000-0006-0000-0D00-000058000000}">
      <text>
        <r>
          <rPr>
            <sz val="9"/>
            <color indexed="81"/>
            <rFont val="ＭＳ Ｐゴシック"/>
            <family val="3"/>
            <charset val="128"/>
          </rPr>
          <t>1：選択集計します。
0：選択しません。</t>
        </r>
      </text>
    </comment>
    <comment ref="D97" authorId="0" shapeId="0" xr:uid="{00000000-0006-0000-0D00-000059000000}">
      <text>
        <r>
          <rPr>
            <sz val="9"/>
            <color indexed="81"/>
            <rFont val="ＭＳ Ｐゴシック"/>
            <family val="3"/>
            <charset val="128"/>
          </rPr>
          <t>1：選択集計します。
0：選択しません。</t>
        </r>
      </text>
    </comment>
    <comment ref="D98" authorId="0" shapeId="0" xr:uid="{00000000-0006-0000-0D00-00005A000000}">
      <text>
        <r>
          <rPr>
            <sz val="9"/>
            <color indexed="81"/>
            <rFont val="ＭＳ Ｐゴシック"/>
            <family val="3"/>
            <charset val="128"/>
          </rPr>
          <t>1：選択集計します。
0：選択しません。</t>
        </r>
      </text>
    </comment>
    <comment ref="D99" authorId="0" shapeId="0" xr:uid="{00000000-0006-0000-0D00-00005B000000}">
      <text>
        <r>
          <rPr>
            <sz val="9"/>
            <color indexed="81"/>
            <rFont val="ＭＳ Ｐゴシック"/>
            <family val="3"/>
            <charset val="128"/>
          </rPr>
          <t>1：選択集計します。
0：選択しません。</t>
        </r>
      </text>
    </comment>
    <comment ref="D100" authorId="0" shapeId="0" xr:uid="{00000000-0006-0000-0D00-00005C000000}">
      <text>
        <r>
          <rPr>
            <sz val="9"/>
            <color indexed="81"/>
            <rFont val="ＭＳ Ｐゴシック"/>
            <family val="3"/>
            <charset val="128"/>
          </rPr>
          <t>1：選択集計します。
0：選択しません。</t>
        </r>
      </text>
    </comment>
    <comment ref="D101" authorId="0" shapeId="0" xr:uid="{00000000-0006-0000-0D00-00005D000000}">
      <text>
        <r>
          <rPr>
            <sz val="9"/>
            <color indexed="81"/>
            <rFont val="ＭＳ Ｐゴシック"/>
            <family val="3"/>
            <charset val="128"/>
          </rPr>
          <t>1：選択集計します。
0：選択しません。</t>
        </r>
      </text>
    </comment>
    <comment ref="D102" authorId="0" shapeId="0" xr:uid="{00000000-0006-0000-0D00-00005E000000}">
      <text>
        <r>
          <rPr>
            <sz val="9"/>
            <color indexed="81"/>
            <rFont val="ＭＳ Ｐゴシック"/>
            <family val="3"/>
            <charset val="128"/>
          </rPr>
          <t>1：選択集計します。
0：選択しません。</t>
        </r>
      </text>
    </comment>
    <comment ref="D103" authorId="0" shapeId="0" xr:uid="{00000000-0006-0000-0D00-00005F000000}">
      <text>
        <r>
          <rPr>
            <sz val="9"/>
            <color indexed="81"/>
            <rFont val="ＭＳ Ｐゴシック"/>
            <family val="3"/>
            <charset val="128"/>
          </rPr>
          <t>1：選択集計します。
0：選択しません。</t>
        </r>
      </text>
    </comment>
    <comment ref="D104" authorId="0" shapeId="0" xr:uid="{00000000-0006-0000-0D00-000060000000}">
      <text>
        <r>
          <rPr>
            <sz val="9"/>
            <color indexed="81"/>
            <rFont val="ＭＳ Ｐゴシック"/>
            <family val="3"/>
            <charset val="128"/>
          </rPr>
          <t>1：選択集計します。
0：選択しません。</t>
        </r>
      </text>
    </comment>
    <comment ref="D105" authorId="0" shapeId="0" xr:uid="{00000000-0006-0000-0D00-000061000000}">
      <text>
        <r>
          <rPr>
            <sz val="9"/>
            <color indexed="81"/>
            <rFont val="ＭＳ Ｐゴシック"/>
            <family val="3"/>
            <charset val="128"/>
          </rPr>
          <t>1：選択集計します。
0：選択しません。</t>
        </r>
      </text>
    </comment>
    <comment ref="D106" authorId="0" shapeId="0" xr:uid="{00000000-0006-0000-0D00-000062000000}">
      <text>
        <r>
          <rPr>
            <sz val="9"/>
            <color indexed="81"/>
            <rFont val="ＭＳ Ｐゴシック"/>
            <family val="3"/>
            <charset val="128"/>
          </rPr>
          <t>1：選択集計します。
0：選択しません。</t>
        </r>
      </text>
    </comment>
    <comment ref="D107" authorId="0" shapeId="0" xr:uid="{00000000-0006-0000-0D00-000063000000}">
      <text>
        <r>
          <rPr>
            <sz val="9"/>
            <color indexed="81"/>
            <rFont val="ＭＳ Ｐゴシック"/>
            <family val="3"/>
            <charset val="128"/>
          </rPr>
          <t>1：選択集計します。
0：選択しません。</t>
        </r>
      </text>
    </comment>
    <comment ref="D108" authorId="0" shapeId="0" xr:uid="{00000000-0006-0000-0D00-000064000000}">
      <text>
        <r>
          <rPr>
            <sz val="9"/>
            <color indexed="81"/>
            <rFont val="ＭＳ Ｐゴシック"/>
            <family val="3"/>
            <charset val="128"/>
          </rPr>
          <t>1：選択集計します。
0：選択しません。</t>
        </r>
      </text>
    </comment>
    <comment ref="D109" authorId="0" shapeId="0" xr:uid="{00000000-0006-0000-0D00-000065000000}">
      <text>
        <r>
          <rPr>
            <sz val="9"/>
            <color indexed="81"/>
            <rFont val="ＭＳ Ｐゴシック"/>
            <family val="3"/>
            <charset val="128"/>
          </rPr>
          <t>1：選択集計します。
0：選択しません。</t>
        </r>
      </text>
    </comment>
    <comment ref="D110" authorId="0" shapeId="0" xr:uid="{00000000-0006-0000-0D00-000066000000}">
      <text>
        <r>
          <rPr>
            <sz val="9"/>
            <color indexed="81"/>
            <rFont val="ＭＳ Ｐゴシック"/>
            <family val="3"/>
            <charset val="128"/>
          </rPr>
          <t>1：選択集計します。
0：選択しません。</t>
        </r>
      </text>
    </comment>
    <comment ref="D111" authorId="0" shapeId="0" xr:uid="{00000000-0006-0000-0D00-000067000000}">
      <text>
        <r>
          <rPr>
            <sz val="9"/>
            <color indexed="81"/>
            <rFont val="ＭＳ Ｐゴシック"/>
            <family val="3"/>
            <charset val="128"/>
          </rPr>
          <t>1：選択集計します。
0：選択しません。</t>
        </r>
      </text>
    </comment>
    <comment ref="D112" authorId="0" shapeId="0" xr:uid="{00000000-0006-0000-0D00-000068000000}">
      <text>
        <r>
          <rPr>
            <sz val="9"/>
            <color indexed="81"/>
            <rFont val="ＭＳ Ｐゴシック"/>
            <family val="3"/>
            <charset val="128"/>
          </rPr>
          <t>1：選択集計します。
0：選択しません。</t>
        </r>
      </text>
    </comment>
    <comment ref="D113" authorId="0" shapeId="0" xr:uid="{00000000-0006-0000-0D00-000069000000}">
      <text>
        <r>
          <rPr>
            <sz val="9"/>
            <color indexed="81"/>
            <rFont val="ＭＳ Ｐゴシック"/>
            <family val="3"/>
            <charset val="128"/>
          </rPr>
          <t>1：選択集計します。
0：選択しません。</t>
        </r>
      </text>
    </comment>
    <comment ref="D114" authorId="0" shapeId="0" xr:uid="{00000000-0006-0000-0D00-00006A000000}">
      <text>
        <r>
          <rPr>
            <sz val="9"/>
            <color indexed="81"/>
            <rFont val="ＭＳ Ｐゴシック"/>
            <family val="3"/>
            <charset val="128"/>
          </rPr>
          <t>1：選択集計します。
0：選択しません。</t>
        </r>
      </text>
    </comment>
    <comment ref="D115" authorId="0" shapeId="0" xr:uid="{00000000-0006-0000-0D00-00006B000000}">
      <text>
        <r>
          <rPr>
            <sz val="9"/>
            <color indexed="81"/>
            <rFont val="ＭＳ Ｐゴシック"/>
            <family val="3"/>
            <charset val="128"/>
          </rPr>
          <t>1：選択集計します。
0：選択しません。</t>
        </r>
      </text>
    </comment>
    <comment ref="D116" authorId="0" shapeId="0" xr:uid="{00000000-0006-0000-0D00-00006C000000}">
      <text>
        <r>
          <rPr>
            <sz val="9"/>
            <color indexed="81"/>
            <rFont val="ＭＳ Ｐゴシック"/>
            <family val="3"/>
            <charset val="128"/>
          </rPr>
          <t>1：選択集計します。
0：選択しません。</t>
        </r>
      </text>
    </comment>
    <comment ref="D117" authorId="0" shapeId="0" xr:uid="{00000000-0006-0000-0D00-00006D000000}">
      <text>
        <r>
          <rPr>
            <sz val="9"/>
            <color indexed="81"/>
            <rFont val="ＭＳ Ｐゴシック"/>
            <family val="3"/>
            <charset val="128"/>
          </rPr>
          <t>1：選択集計します。
0：選択しません。</t>
        </r>
      </text>
    </comment>
    <comment ref="D118" authorId="0" shapeId="0" xr:uid="{00000000-0006-0000-0D00-00006E000000}">
      <text>
        <r>
          <rPr>
            <sz val="9"/>
            <color indexed="81"/>
            <rFont val="ＭＳ Ｐゴシック"/>
            <family val="3"/>
            <charset val="128"/>
          </rPr>
          <t>1：選択集計します。
0：選択しません。</t>
        </r>
      </text>
    </comment>
    <comment ref="D119" authorId="0" shapeId="0" xr:uid="{00000000-0006-0000-0D00-00006F000000}">
      <text>
        <r>
          <rPr>
            <sz val="9"/>
            <color indexed="81"/>
            <rFont val="ＭＳ Ｐゴシック"/>
            <family val="3"/>
            <charset val="128"/>
          </rPr>
          <t>1：選択集計します。
0：選択しません。</t>
        </r>
      </text>
    </comment>
    <comment ref="D120" authorId="0" shapeId="0" xr:uid="{00000000-0006-0000-0D00-000070000000}">
      <text>
        <r>
          <rPr>
            <sz val="9"/>
            <color indexed="81"/>
            <rFont val="ＭＳ Ｐゴシック"/>
            <family val="3"/>
            <charset val="128"/>
          </rPr>
          <t>1：選択集計します。
0：選択しません。</t>
        </r>
      </text>
    </comment>
    <comment ref="D121" authorId="0" shapeId="0" xr:uid="{00000000-0006-0000-0D00-000071000000}">
      <text>
        <r>
          <rPr>
            <sz val="9"/>
            <color indexed="81"/>
            <rFont val="ＭＳ Ｐゴシック"/>
            <family val="3"/>
            <charset val="128"/>
          </rPr>
          <t>1：選択集計します。
0：選択しません。</t>
        </r>
      </text>
    </comment>
    <comment ref="D122" authorId="0" shapeId="0" xr:uid="{00000000-0006-0000-0D00-000072000000}">
      <text>
        <r>
          <rPr>
            <sz val="9"/>
            <color indexed="81"/>
            <rFont val="ＭＳ Ｐゴシック"/>
            <family val="3"/>
            <charset val="128"/>
          </rPr>
          <t>1：選択集計します。
0：選択しません。</t>
        </r>
      </text>
    </comment>
    <comment ref="D123" authorId="0" shapeId="0" xr:uid="{00000000-0006-0000-0D00-000073000000}">
      <text>
        <r>
          <rPr>
            <sz val="9"/>
            <color indexed="81"/>
            <rFont val="ＭＳ Ｐゴシック"/>
            <family val="3"/>
            <charset val="128"/>
          </rPr>
          <t>1：選択集計します。
0：選択しません。</t>
        </r>
      </text>
    </comment>
    <comment ref="D124" authorId="0" shapeId="0" xr:uid="{00000000-0006-0000-0D00-000074000000}">
      <text>
        <r>
          <rPr>
            <sz val="9"/>
            <color indexed="81"/>
            <rFont val="ＭＳ Ｐゴシック"/>
            <family val="3"/>
            <charset val="128"/>
          </rPr>
          <t>1：選択集計します。
0：選択しません。</t>
        </r>
      </text>
    </comment>
    <comment ref="D125" authorId="0" shapeId="0" xr:uid="{00000000-0006-0000-0D00-000075000000}">
      <text>
        <r>
          <rPr>
            <sz val="9"/>
            <color indexed="81"/>
            <rFont val="ＭＳ Ｐゴシック"/>
            <family val="3"/>
            <charset val="128"/>
          </rPr>
          <t>1：選択集計します。
0：選択しません。</t>
        </r>
      </text>
    </comment>
    <comment ref="D126" authorId="0" shapeId="0" xr:uid="{00000000-0006-0000-0D00-000076000000}">
      <text>
        <r>
          <rPr>
            <sz val="9"/>
            <color indexed="81"/>
            <rFont val="ＭＳ Ｐゴシック"/>
            <family val="3"/>
            <charset val="128"/>
          </rPr>
          <t>1：選択集計します。
0：選択しません。</t>
        </r>
      </text>
    </comment>
    <comment ref="D127" authorId="0" shapeId="0" xr:uid="{00000000-0006-0000-0D00-000077000000}">
      <text>
        <r>
          <rPr>
            <sz val="9"/>
            <color indexed="81"/>
            <rFont val="ＭＳ Ｐゴシック"/>
            <family val="3"/>
            <charset val="128"/>
          </rPr>
          <t>1：選択集計します。
0：選択しません。</t>
        </r>
      </text>
    </comment>
    <comment ref="D128" authorId="0" shapeId="0" xr:uid="{00000000-0006-0000-0D00-000078000000}">
      <text>
        <r>
          <rPr>
            <sz val="9"/>
            <color indexed="81"/>
            <rFont val="ＭＳ Ｐゴシック"/>
            <family val="3"/>
            <charset val="128"/>
          </rPr>
          <t>1：選択集計します。
0：選択しません。</t>
        </r>
      </text>
    </comment>
    <comment ref="D129" authorId="0" shapeId="0" xr:uid="{00000000-0006-0000-0D00-000079000000}">
      <text>
        <r>
          <rPr>
            <sz val="9"/>
            <color indexed="81"/>
            <rFont val="ＭＳ Ｐゴシック"/>
            <family val="3"/>
            <charset val="128"/>
          </rPr>
          <t>1：選択集計します。
0：選択しません。</t>
        </r>
      </text>
    </comment>
    <comment ref="D130" authorId="0" shapeId="0" xr:uid="{00000000-0006-0000-0D00-00007A000000}">
      <text>
        <r>
          <rPr>
            <sz val="9"/>
            <color indexed="81"/>
            <rFont val="ＭＳ Ｐゴシック"/>
            <family val="3"/>
            <charset val="128"/>
          </rPr>
          <t>1：選択集計します。
0：選択しません。</t>
        </r>
      </text>
    </comment>
    <comment ref="D131" authorId="0" shapeId="0" xr:uid="{00000000-0006-0000-0D00-00007B000000}">
      <text>
        <r>
          <rPr>
            <sz val="9"/>
            <color indexed="81"/>
            <rFont val="ＭＳ Ｐゴシック"/>
            <family val="3"/>
            <charset val="128"/>
          </rPr>
          <t>1：選択集計します。
0：選択しません。</t>
        </r>
      </text>
    </comment>
    <comment ref="D132" authorId="0" shapeId="0" xr:uid="{00000000-0006-0000-0D00-00007C000000}">
      <text>
        <r>
          <rPr>
            <sz val="9"/>
            <color indexed="81"/>
            <rFont val="ＭＳ Ｐゴシック"/>
            <family val="3"/>
            <charset val="128"/>
          </rPr>
          <t>1：選択集計します。
0：選択しません。</t>
        </r>
      </text>
    </comment>
    <comment ref="D133" authorId="0" shapeId="0" xr:uid="{00000000-0006-0000-0D00-00007D000000}">
      <text>
        <r>
          <rPr>
            <sz val="9"/>
            <color indexed="81"/>
            <rFont val="ＭＳ Ｐゴシック"/>
            <family val="3"/>
            <charset val="128"/>
          </rPr>
          <t>1：選択集計します。
0：選択しません。</t>
        </r>
      </text>
    </comment>
    <comment ref="D134" authorId="0" shapeId="0" xr:uid="{00000000-0006-0000-0D00-00007E000000}">
      <text>
        <r>
          <rPr>
            <sz val="9"/>
            <color indexed="81"/>
            <rFont val="ＭＳ Ｐゴシック"/>
            <family val="3"/>
            <charset val="128"/>
          </rPr>
          <t>1：選択集計します。
0：選択しません。</t>
        </r>
      </text>
    </comment>
    <comment ref="D135" authorId="0" shapeId="0" xr:uid="{00000000-0006-0000-0D00-00007F000000}">
      <text>
        <r>
          <rPr>
            <sz val="9"/>
            <color indexed="81"/>
            <rFont val="ＭＳ Ｐゴシック"/>
            <family val="3"/>
            <charset val="128"/>
          </rPr>
          <t>1：選択集計します。
0：選択しません。</t>
        </r>
      </text>
    </comment>
    <comment ref="D136" authorId="0" shapeId="0" xr:uid="{00000000-0006-0000-0D00-000080000000}">
      <text>
        <r>
          <rPr>
            <sz val="9"/>
            <color indexed="81"/>
            <rFont val="ＭＳ Ｐゴシック"/>
            <family val="3"/>
            <charset val="128"/>
          </rPr>
          <t>1：選択集計します。
0：選択しません。</t>
        </r>
      </text>
    </comment>
    <comment ref="D137" authorId="0" shapeId="0" xr:uid="{00000000-0006-0000-0D00-000081000000}">
      <text>
        <r>
          <rPr>
            <sz val="9"/>
            <color indexed="81"/>
            <rFont val="ＭＳ Ｐゴシック"/>
            <family val="3"/>
            <charset val="128"/>
          </rPr>
          <t>1：選択集計します。
0：選択しません。</t>
        </r>
      </text>
    </comment>
    <comment ref="D138" authorId="0" shapeId="0" xr:uid="{00000000-0006-0000-0D00-000082000000}">
      <text>
        <r>
          <rPr>
            <sz val="9"/>
            <color indexed="81"/>
            <rFont val="ＭＳ Ｐゴシック"/>
            <family val="3"/>
            <charset val="128"/>
          </rPr>
          <t>1：選択集計します。
0：選択しません。</t>
        </r>
      </text>
    </comment>
    <comment ref="D139" authorId="0" shapeId="0" xr:uid="{00000000-0006-0000-0D00-000083000000}">
      <text>
        <r>
          <rPr>
            <sz val="9"/>
            <color indexed="81"/>
            <rFont val="ＭＳ Ｐゴシック"/>
            <family val="3"/>
            <charset val="128"/>
          </rPr>
          <t>1：選択集計します。
0：選択しません。</t>
        </r>
      </text>
    </comment>
    <comment ref="D140" authorId="0" shapeId="0" xr:uid="{00000000-0006-0000-0D00-000084000000}">
      <text>
        <r>
          <rPr>
            <sz val="9"/>
            <color indexed="81"/>
            <rFont val="ＭＳ Ｐゴシック"/>
            <family val="3"/>
            <charset val="128"/>
          </rPr>
          <t>1：選択集計します。
0：選択しません。</t>
        </r>
      </text>
    </comment>
    <comment ref="D141" authorId="0" shapeId="0" xr:uid="{00000000-0006-0000-0D00-000085000000}">
      <text>
        <r>
          <rPr>
            <sz val="9"/>
            <color indexed="81"/>
            <rFont val="ＭＳ Ｐゴシック"/>
            <family val="3"/>
            <charset val="128"/>
          </rPr>
          <t>1：選択集計します。
0：選択しません。</t>
        </r>
      </text>
    </comment>
    <comment ref="D142" authorId="0" shapeId="0" xr:uid="{00000000-0006-0000-0D00-000086000000}">
      <text>
        <r>
          <rPr>
            <sz val="9"/>
            <color indexed="81"/>
            <rFont val="ＭＳ Ｐゴシック"/>
            <family val="3"/>
            <charset val="128"/>
          </rPr>
          <t>1：選択集計します。
0：選択しません。</t>
        </r>
      </text>
    </comment>
    <comment ref="D143" authorId="0" shapeId="0" xr:uid="{00000000-0006-0000-0D00-000087000000}">
      <text>
        <r>
          <rPr>
            <sz val="9"/>
            <color indexed="81"/>
            <rFont val="ＭＳ Ｐゴシック"/>
            <family val="3"/>
            <charset val="128"/>
          </rPr>
          <t>1：選択集計します。
0：選択しません。</t>
        </r>
      </text>
    </comment>
    <comment ref="D144" authorId="0" shapeId="0" xr:uid="{00000000-0006-0000-0D00-000088000000}">
      <text>
        <r>
          <rPr>
            <sz val="9"/>
            <color indexed="81"/>
            <rFont val="ＭＳ Ｐゴシック"/>
            <family val="3"/>
            <charset val="128"/>
          </rPr>
          <t>1：選択集計します。
0：選択しません。</t>
        </r>
      </text>
    </comment>
    <comment ref="D145" authorId="0" shapeId="0" xr:uid="{00000000-0006-0000-0D00-000089000000}">
      <text>
        <r>
          <rPr>
            <sz val="9"/>
            <color indexed="81"/>
            <rFont val="ＭＳ Ｐゴシック"/>
            <family val="3"/>
            <charset val="128"/>
          </rPr>
          <t>1：選択集計します。
0：選択しません。</t>
        </r>
      </text>
    </comment>
    <comment ref="D146" authorId="0" shapeId="0" xr:uid="{00000000-0006-0000-0D00-00008A000000}">
      <text>
        <r>
          <rPr>
            <sz val="9"/>
            <color indexed="81"/>
            <rFont val="ＭＳ Ｐゴシック"/>
            <family val="3"/>
            <charset val="128"/>
          </rPr>
          <t>1：選択集計します。
0：選択しません。</t>
        </r>
      </text>
    </comment>
    <comment ref="D147" authorId="0" shapeId="0" xr:uid="{00000000-0006-0000-0D00-00008B000000}">
      <text>
        <r>
          <rPr>
            <sz val="9"/>
            <color indexed="81"/>
            <rFont val="ＭＳ Ｐゴシック"/>
            <family val="3"/>
            <charset val="128"/>
          </rPr>
          <t>1：選択集計します。
0：選択しません。</t>
        </r>
      </text>
    </comment>
    <comment ref="D148" authorId="0" shapeId="0" xr:uid="{00000000-0006-0000-0D00-00008C000000}">
      <text>
        <r>
          <rPr>
            <sz val="9"/>
            <color indexed="81"/>
            <rFont val="ＭＳ Ｐゴシック"/>
            <family val="3"/>
            <charset val="128"/>
          </rPr>
          <t>1：選択集計します。
0：選択しません。</t>
        </r>
      </text>
    </comment>
    <comment ref="D149" authorId="0" shapeId="0" xr:uid="{00000000-0006-0000-0D00-00008D000000}">
      <text>
        <r>
          <rPr>
            <sz val="9"/>
            <color indexed="81"/>
            <rFont val="ＭＳ Ｐゴシック"/>
            <family val="3"/>
            <charset val="128"/>
          </rPr>
          <t>1：選択集計します。
0：選択しません。</t>
        </r>
      </text>
    </comment>
    <comment ref="D150" authorId="0" shapeId="0" xr:uid="{00000000-0006-0000-0D00-00008E000000}">
      <text>
        <r>
          <rPr>
            <sz val="9"/>
            <color indexed="81"/>
            <rFont val="ＭＳ Ｐゴシック"/>
            <family val="3"/>
            <charset val="128"/>
          </rPr>
          <t>1：選択集計します。
0：選択しません。</t>
        </r>
      </text>
    </comment>
    <comment ref="D151" authorId="0" shapeId="0" xr:uid="{00000000-0006-0000-0D00-00008F000000}">
      <text>
        <r>
          <rPr>
            <sz val="9"/>
            <color indexed="81"/>
            <rFont val="ＭＳ Ｐゴシック"/>
            <family val="3"/>
            <charset val="128"/>
          </rPr>
          <t>1：選択集計します。
0：選択しません。</t>
        </r>
      </text>
    </comment>
    <comment ref="D152" authorId="0" shapeId="0" xr:uid="{00000000-0006-0000-0D00-000090000000}">
      <text>
        <r>
          <rPr>
            <sz val="9"/>
            <color indexed="81"/>
            <rFont val="ＭＳ Ｐゴシック"/>
            <family val="3"/>
            <charset val="128"/>
          </rPr>
          <t>1：選択集計します。
0：選択しません。</t>
        </r>
      </text>
    </comment>
    <comment ref="D153" authorId="0" shapeId="0" xr:uid="{00000000-0006-0000-0D00-000091000000}">
      <text>
        <r>
          <rPr>
            <sz val="9"/>
            <color indexed="81"/>
            <rFont val="ＭＳ Ｐゴシック"/>
            <family val="3"/>
            <charset val="128"/>
          </rPr>
          <t>1：選択集計します。
0：選択しません。</t>
        </r>
      </text>
    </comment>
    <comment ref="D154" authorId="0" shapeId="0" xr:uid="{00000000-0006-0000-0D00-000092000000}">
      <text>
        <r>
          <rPr>
            <sz val="9"/>
            <color indexed="81"/>
            <rFont val="ＭＳ Ｐゴシック"/>
            <family val="3"/>
            <charset val="128"/>
          </rPr>
          <t>1：選択集計します。
0：選択しません。</t>
        </r>
      </text>
    </comment>
    <comment ref="D155" authorId="0" shapeId="0" xr:uid="{00000000-0006-0000-0D00-000093000000}">
      <text>
        <r>
          <rPr>
            <sz val="9"/>
            <color indexed="81"/>
            <rFont val="ＭＳ Ｐゴシック"/>
            <family val="3"/>
            <charset val="128"/>
          </rPr>
          <t>1：選択集計します。
0：選択しません。</t>
        </r>
      </text>
    </comment>
    <comment ref="D156" authorId="0" shapeId="0" xr:uid="{00000000-0006-0000-0D00-000094000000}">
      <text>
        <r>
          <rPr>
            <sz val="9"/>
            <color indexed="81"/>
            <rFont val="ＭＳ Ｐゴシック"/>
            <family val="3"/>
            <charset val="128"/>
          </rPr>
          <t>1：選択集計します。
0：選択しません。</t>
        </r>
      </text>
    </comment>
    <comment ref="D157" authorId="0" shapeId="0" xr:uid="{00000000-0006-0000-0D00-000095000000}">
      <text>
        <r>
          <rPr>
            <sz val="9"/>
            <color indexed="81"/>
            <rFont val="ＭＳ Ｐゴシック"/>
            <family val="3"/>
            <charset val="128"/>
          </rPr>
          <t>1：選択集計します。
0：選択しません。</t>
        </r>
      </text>
    </comment>
    <comment ref="D158" authorId="0" shapeId="0" xr:uid="{00000000-0006-0000-0D00-000096000000}">
      <text>
        <r>
          <rPr>
            <sz val="9"/>
            <color indexed="81"/>
            <rFont val="ＭＳ Ｐゴシック"/>
            <family val="3"/>
            <charset val="128"/>
          </rPr>
          <t>1：選択集計します。
0：選択しません。</t>
        </r>
      </text>
    </comment>
    <comment ref="D159" authorId="0" shapeId="0" xr:uid="{00000000-0006-0000-0D00-000097000000}">
      <text>
        <r>
          <rPr>
            <sz val="9"/>
            <color indexed="81"/>
            <rFont val="ＭＳ Ｐゴシック"/>
            <family val="3"/>
            <charset val="128"/>
          </rPr>
          <t>1：選択集計します。
0：選択しません。</t>
        </r>
      </text>
    </comment>
    <comment ref="D160" authorId="0" shapeId="0" xr:uid="{00000000-0006-0000-0D00-000098000000}">
      <text>
        <r>
          <rPr>
            <sz val="9"/>
            <color indexed="81"/>
            <rFont val="ＭＳ Ｐゴシック"/>
            <family val="3"/>
            <charset val="128"/>
          </rPr>
          <t>1：選択集計します。
0：選択しません。</t>
        </r>
      </text>
    </comment>
    <comment ref="D161" authorId="0" shapeId="0" xr:uid="{00000000-0006-0000-0D00-000099000000}">
      <text>
        <r>
          <rPr>
            <sz val="9"/>
            <color indexed="81"/>
            <rFont val="ＭＳ Ｐゴシック"/>
            <family val="3"/>
            <charset val="128"/>
          </rPr>
          <t>1：選択集計します。
0：選択しません。</t>
        </r>
      </text>
    </comment>
    <comment ref="D162" authorId="0" shapeId="0" xr:uid="{00000000-0006-0000-0D00-00009A000000}">
      <text>
        <r>
          <rPr>
            <sz val="9"/>
            <color indexed="81"/>
            <rFont val="ＭＳ Ｐゴシック"/>
            <family val="3"/>
            <charset val="128"/>
          </rPr>
          <t>1：選択集計します。
0：選択しません。</t>
        </r>
      </text>
    </comment>
    <comment ref="D163" authorId="0" shapeId="0" xr:uid="{00000000-0006-0000-0D00-00009B000000}">
      <text>
        <r>
          <rPr>
            <sz val="9"/>
            <color indexed="81"/>
            <rFont val="ＭＳ Ｐゴシック"/>
            <family val="3"/>
            <charset val="128"/>
          </rPr>
          <t>1：選択集計します。
0：選択しません。</t>
        </r>
      </text>
    </comment>
    <comment ref="D164" authorId="0" shapeId="0" xr:uid="{00000000-0006-0000-0D00-00009C000000}">
      <text>
        <r>
          <rPr>
            <sz val="9"/>
            <color indexed="81"/>
            <rFont val="ＭＳ Ｐゴシック"/>
            <family val="3"/>
            <charset val="128"/>
          </rPr>
          <t>1：選択集計します。
0：選択しません。</t>
        </r>
      </text>
    </comment>
    <comment ref="D165" authorId="0" shapeId="0" xr:uid="{00000000-0006-0000-0D00-00009D000000}">
      <text>
        <r>
          <rPr>
            <sz val="9"/>
            <color indexed="81"/>
            <rFont val="ＭＳ Ｐゴシック"/>
            <family val="3"/>
            <charset val="128"/>
          </rPr>
          <t>1：選択集計します。
0：選択しません。</t>
        </r>
      </text>
    </comment>
    <comment ref="D166" authorId="0" shapeId="0" xr:uid="{00000000-0006-0000-0D00-00009E000000}">
      <text>
        <r>
          <rPr>
            <sz val="9"/>
            <color indexed="81"/>
            <rFont val="ＭＳ Ｐゴシック"/>
            <family val="3"/>
            <charset val="128"/>
          </rPr>
          <t>1：選択集計します。
0：選択しません。</t>
        </r>
      </text>
    </comment>
    <comment ref="D167" authorId="0" shapeId="0" xr:uid="{00000000-0006-0000-0D00-00009F000000}">
      <text>
        <r>
          <rPr>
            <sz val="9"/>
            <color indexed="81"/>
            <rFont val="ＭＳ Ｐゴシック"/>
            <family val="3"/>
            <charset val="128"/>
          </rPr>
          <t>1：選択集計します。
0：選択しません。</t>
        </r>
      </text>
    </comment>
    <comment ref="D168" authorId="0" shapeId="0" xr:uid="{00000000-0006-0000-0D00-0000A0000000}">
      <text>
        <r>
          <rPr>
            <sz val="9"/>
            <color indexed="81"/>
            <rFont val="ＭＳ Ｐゴシック"/>
            <family val="3"/>
            <charset val="128"/>
          </rPr>
          <t>1：選択集計します。
0：選択しません。</t>
        </r>
      </text>
    </comment>
    <comment ref="D169" authorId="0" shapeId="0" xr:uid="{00000000-0006-0000-0D00-0000A1000000}">
      <text>
        <r>
          <rPr>
            <sz val="9"/>
            <color indexed="81"/>
            <rFont val="ＭＳ Ｐゴシック"/>
            <family val="3"/>
            <charset val="128"/>
          </rPr>
          <t>1：選択集計します。
0：選択しません。</t>
        </r>
      </text>
    </comment>
    <comment ref="D170" authorId="0" shapeId="0" xr:uid="{00000000-0006-0000-0D00-0000A2000000}">
      <text>
        <r>
          <rPr>
            <sz val="9"/>
            <color indexed="81"/>
            <rFont val="ＭＳ Ｐゴシック"/>
            <family val="3"/>
            <charset val="128"/>
          </rPr>
          <t>1：選択集計します。
0：選択しません。</t>
        </r>
      </text>
    </comment>
    <comment ref="D171" authorId="0" shapeId="0" xr:uid="{00000000-0006-0000-0D00-0000A3000000}">
      <text>
        <r>
          <rPr>
            <sz val="9"/>
            <color indexed="81"/>
            <rFont val="ＭＳ Ｐゴシック"/>
            <family val="3"/>
            <charset val="128"/>
          </rPr>
          <t>1：選択集計します。
0：選択しません。</t>
        </r>
      </text>
    </comment>
    <comment ref="D172" authorId="0" shapeId="0" xr:uid="{00000000-0006-0000-0D00-0000A4000000}">
      <text>
        <r>
          <rPr>
            <sz val="9"/>
            <color indexed="81"/>
            <rFont val="ＭＳ Ｐゴシック"/>
            <family val="3"/>
            <charset val="128"/>
          </rPr>
          <t>1：選択集計します。
0：選択しません。</t>
        </r>
      </text>
    </comment>
    <comment ref="D173" authorId="0" shapeId="0" xr:uid="{00000000-0006-0000-0D00-0000A5000000}">
      <text>
        <r>
          <rPr>
            <sz val="9"/>
            <color indexed="81"/>
            <rFont val="ＭＳ Ｐゴシック"/>
            <family val="3"/>
            <charset val="128"/>
          </rPr>
          <t>1：選択集計します。
0：選択しません。</t>
        </r>
      </text>
    </comment>
    <comment ref="D174" authorId="0" shapeId="0" xr:uid="{00000000-0006-0000-0D00-0000A6000000}">
      <text>
        <r>
          <rPr>
            <sz val="9"/>
            <color indexed="81"/>
            <rFont val="ＭＳ Ｐゴシック"/>
            <family val="3"/>
            <charset val="128"/>
          </rPr>
          <t>1：選択集計します。
0：選択しません。</t>
        </r>
      </text>
    </comment>
    <comment ref="D175" authorId="0" shapeId="0" xr:uid="{00000000-0006-0000-0D00-0000A7000000}">
      <text>
        <r>
          <rPr>
            <sz val="9"/>
            <color indexed="81"/>
            <rFont val="ＭＳ Ｐゴシック"/>
            <family val="3"/>
            <charset val="128"/>
          </rPr>
          <t>1：選択集計します。
0：選択しません。</t>
        </r>
      </text>
    </comment>
    <comment ref="D176" authorId="0" shapeId="0" xr:uid="{00000000-0006-0000-0D00-0000A8000000}">
      <text>
        <r>
          <rPr>
            <sz val="9"/>
            <color indexed="81"/>
            <rFont val="ＭＳ Ｐゴシック"/>
            <family val="3"/>
            <charset val="128"/>
          </rPr>
          <t>1：選択集計します。
0：選択しません。</t>
        </r>
      </text>
    </comment>
    <comment ref="H179" authorId="0" shapeId="0" xr:uid="{00000000-0006-0000-0D00-0000A9000000}">
      <text>
        <r>
          <rPr>
            <sz val="9"/>
            <color indexed="81"/>
            <rFont val="ＭＳ Ｐゴシック"/>
            <family val="3"/>
            <charset val="128"/>
          </rPr>
          <t>選択列に 1 を入力した工類が集計されます。</t>
        </r>
      </text>
    </comment>
    <comment ref="D180" authorId="0" shapeId="0" xr:uid="{00000000-0006-0000-0D00-0000AA000000}">
      <text>
        <r>
          <rPr>
            <sz val="9"/>
            <color indexed="81"/>
            <rFont val="ＭＳ Ｐゴシック"/>
            <family val="3"/>
            <charset val="128"/>
          </rPr>
          <t>1：選択集計します。
0：選択しません。</t>
        </r>
      </text>
    </comment>
    <comment ref="D181" authorId="0" shapeId="0" xr:uid="{00000000-0006-0000-0D00-0000AB000000}">
      <text>
        <r>
          <rPr>
            <sz val="9"/>
            <color indexed="81"/>
            <rFont val="ＭＳ Ｐゴシック"/>
            <family val="3"/>
            <charset val="128"/>
          </rPr>
          <t>1：選択集計します。
0：選択しません。</t>
        </r>
      </text>
    </comment>
    <comment ref="D182" authorId="0" shapeId="0" xr:uid="{00000000-0006-0000-0D00-0000AC000000}">
      <text>
        <r>
          <rPr>
            <sz val="9"/>
            <color indexed="81"/>
            <rFont val="ＭＳ Ｐゴシック"/>
            <family val="3"/>
            <charset val="128"/>
          </rPr>
          <t>1：選択集計します。
0：選択しません。</t>
        </r>
      </text>
    </comment>
    <comment ref="D183" authorId="0" shapeId="0" xr:uid="{00000000-0006-0000-0D00-0000AD000000}">
      <text>
        <r>
          <rPr>
            <sz val="9"/>
            <color indexed="81"/>
            <rFont val="ＭＳ Ｐゴシック"/>
            <family val="3"/>
            <charset val="128"/>
          </rPr>
          <t>1：選択集計します。
0：選択しません。</t>
        </r>
      </text>
    </comment>
    <comment ref="D184" authorId="0" shapeId="0" xr:uid="{00000000-0006-0000-0D00-0000AE000000}">
      <text>
        <r>
          <rPr>
            <sz val="9"/>
            <color indexed="81"/>
            <rFont val="ＭＳ Ｐゴシック"/>
            <family val="3"/>
            <charset val="128"/>
          </rPr>
          <t>1：選択集計します。
0：選択しません。</t>
        </r>
      </text>
    </comment>
    <comment ref="D185" authorId="0" shapeId="0" xr:uid="{00000000-0006-0000-0D00-0000AF000000}">
      <text>
        <r>
          <rPr>
            <sz val="9"/>
            <color indexed="81"/>
            <rFont val="ＭＳ Ｐゴシック"/>
            <family val="3"/>
            <charset val="128"/>
          </rPr>
          <t>1：選択集計します。
0：選択しません。</t>
        </r>
      </text>
    </comment>
    <comment ref="D186" authorId="0" shapeId="0" xr:uid="{00000000-0006-0000-0D00-0000B0000000}">
      <text>
        <r>
          <rPr>
            <sz val="9"/>
            <color indexed="81"/>
            <rFont val="ＭＳ Ｐゴシック"/>
            <family val="3"/>
            <charset val="128"/>
          </rPr>
          <t>1：選択集計します。
0：選択しません。</t>
        </r>
      </text>
    </comment>
    <comment ref="D187" authorId="0" shapeId="0" xr:uid="{00000000-0006-0000-0D00-0000B1000000}">
      <text>
        <r>
          <rPr>
            <sz val="9"/>
            <color indexed="81"/>
            <rFont val="ＭＳ Ｐゴシック"/>
            <family val="3"/>
            <charset val="128"/>
          </rPr>
          <t>1：選択集計します。
0：選択しません。</t>
        </r>
      </text>
    </comment>
    <comment ref="D188" authorId="0" shapeId="0" xr:uid="{00000000-0006-0000-0D00-0000B2000000}">
      <text>
        <r>
          <rPr>
            <sz val="9"/>
            <color indexed="81"/>
            <rFont val="ＭＳ Ｐゴシック"/>
            <family val="3"/>
            <charset val="128"/>
          </rPr>
          <t>1：選択集計します。
0：選択しません。</t>
        </r>
      </text>
    </comment>
    <comment ref="D189" authorId="0" shapeId="0" xr:uid="{00000000-0006-0000-0D00-0000B3000000}">
      <text>
        <r>
          <rPr>
            <sz val="9"/>
            <color indexed="81"/>
            <rFont val="ＭＳ Ｐゴシック"/>
            <family val="3"/>
            <charset val="128"/>
          </rPr>
          <t>1：選択集計します。
0：選択しません。</t>
        </r>
      </text>
    </comment>
    <comment ref="D190" authorId="0" shapeId="0" xr:uid="{00000000-0006-0000-0D00-0000B4000000}">
      <text>
        <r>
          <rPr>
            <sz val="9"/>
            <color indexed="81"/>
            <rFont val="ＭＳ Ｐゴシック"/>
            <family val="3"/>
            <charset val="128"/>
          </rPr>
          <t>1：選択集計します。
0：選択しません。</t>
        </r>
      </text>
    </comment>
    <comment ref="D191" authorId="0" shapeId="0" xr:uid="{00000000-0006-0000-0D00-0000B5000000}">
      <text>
        <r>
          <rPr>
            <sz val="9"/>
            <color indexed="81"/>
            <rFont val="ＭＳ Ｐゴシック"/>
            <family val="3"/>
            <charset val="128"/>
          </rPr>
          <t>1：選択集計します。
0：選択しません。</t>
        </r>
      </text>
    </comment>
    <comment ref="D192" authorId="0" shapeId="0" xr:uid="{00000000-0006-0000-0D00-0000B6000000}">
      <text>
        <r>
          <rPr>
            <sz val="9"/>
            <color indexed="81"/>
            <rFont val="ＭＳ Ｐゴシック"/>
            <family val="3"/>
            <charset val="128"/>
          </rPr>
          <t>1：選択集計します。
0：選択しません。</t>
        </r>
      </text>
    </comment>
    <comment ref="D193" authorId="0" shapeId="0" xr:uid="{00000000-0006-0000-0D00-0000B7000000}">
      <text>
        <r>
          <rPr>
            <sz val="9"/>
            <color indexed="81"/>
            <rFont val="ＭＳ Ｐゴシック"/>
            <family val="3"/>
            <charset val="128"/>
          </rPr>
          <t>1：選択集計します。
0：選択しません。</t>
        </r>
      </text>
    </comment>
    <comment ref="D194" authorId="0" shapeId="0" xr:uid="{00000000-0006-0000-0D00-0000B8000000}">
      <text>
        <r>
          <rPr>
            <sz val="9"/>
            <color indexed="81"/>
            <rFont val="ＭＳ Ｐゴシック"/>
            <family val="3"/>
            <charset val="128"/>
          </rPr>
          <t>1：選択集計します。
0：選択しません。</t>
        </r>
      </text>
    </comment>
    <comment ref="D195" authorId="0" shapeId="0" xr:uid="{00000000-0006-0000-0D00-0000B9000000}">
      <text>
        <r>
          <rPr>
            <sz val="9"/>
            <color indexed="81"/>
            <rFont val="ＭＳ Ｐゴシック"/>
            <family val="3"/>
            <charset val="128"/>
          </rPr>
          <t>1：選択集計します。
0：選択しません。</t>
        </r>
      </text>
    </comment>
    <comment ref="D196" authorId="0" shapeId="0" xr:uid="{00000000-0006-0000-0D00-0000BA000000}">
      <text>
        <r>
          <rPr>
            <sz val="9"/>
            <color indexed="81"/>
            <rFont val="ＭＳ Ｐゴシック"/>
            <family val="3"/>
            <charset val="128"/>
          </rPr>
          <t>1：選択集計します。
0：選択しません。</t>
        </r>
      </text>
    </comment>
    <comment ref="D197" authorId="0" shapeId="0" xr:uid="{00000000-0006-0000-0D00-0000BB000000}">
      <text>
        <r>
          <rPr>
            <sz val="9"/>
            <color indexed="81"/>
            <rFont val="ＭＳ Ｐゴシック"/>
            <family val="3"/>
            <charset val="128"/>
          </rPr>
          <t>1：選択集計します。
0：選択しません。</t>
        </r>
      </text>
    </comment>
    <comment ref="D198" authorId="0" shapeId="0" xr:uid="{00000000-0006-0000-0D00-0000BC000000}">
      <text>
        <r>
          <rPr>
            <sz val="9"/>
            <color indexed="81"/>
            <rFont val="ＭＳ Ｐゴシック"/>
            <family val="3"/>
            <charset val="128"/>
          </rPr>
          <t>1：選択集計します。
0：選択しません。</t>
        </r>
      </text>
    </comment>
    <comment ref="D199" authorId="0" shapeId="0" xr:uid="{00000000-0006-0000-0D00-0000BD000000}">
      <text>
        <r>
          <rPr>
            <sz val="9"/>
            <color indexed="81"/>
            <rFont val="ＭＳ Ｐゴシック"/>
            <family val="3"/>
            <charset val="128"/>
          </rPr>
          <t>1：選択集計します。
0：選択しません。</t>
        </r>
      </text>
    </comment>
    <comment ref="D200" authorId="0" shapeId="0" xr:uid="{00000000-0006-0000-0D00-0000BE000000}">
      <text>
        <r>
          <rPr>
            <sz val="9"/>
            <color indexed="81"/>
            <rFont val="ＭＳ Ｐゴシック"/>
            <family val="3"/>
            <charset val="128"/>
          </rPr>
          <t>1：選択集計します。
0：選択しません。</t>
        </r>
      </text>
    </comment>
    <comment ref="D201" authorId="0" shapeId="0" xr:uid="{00000000-0006-0000-0D00-0000BF000000}">
      <text>
        <r>
          <rPr>
            <sz val="9"/>
            <color indexed="81"/>
            <rFont val="ＭＳ Ｐゴシック"/>
            <family val="3"/>
            <charset val="128"/>
          </rPr>
          <t>1：選択集計します。
0：選択しません。</t>
        </r>
      </text>
    </comment>
    <comment ref="D202" authorId="0" shapeId="0" xr:uid="{00000000-0006-0000-0D00-0000C0000000}">
      <text>
        <r>
          <rPr>
            <sz val="9"/>
            <color indexed="81"/>
            <rFont val="ＭＳ Ｐゴシック"/>
            <family val="3"/>
            <charset val="128"/>
          </rPr>
          <t>1：選択集計します。
0：選択しません。</t>
        </r>
      </text>
    </comment>
    <comment ref="D203" authorId="0" shapeId="0" xr:uid="{00000000-0006-0000-0D00-0000C1000000}">
      <text>
        <r>
          <rPr>
            <sz val="9"/>
            <color indexed="81"/>
            <rFont val="ＭＳ Ｐゴシック"/>
            <family val="3"/>
            <charset val="128"/>
          </rPr>
          <t>1：選択集計します。
0：選択しません。</t>
        </r>
      </text>
    </comment>
    <comment ref="D204" authorId="0" shapeId="0" xr:uid="{00000000-0006-0000-0D00-0000C2000000}">
      <text>
        <r>
          <rPr>
            <sz val="9"/>
            <color indexed="81"/>
            <rFont val="ＭＳ Ｐゴシック"/>
            <family val="3"/>
            <charset val="128"/>
          </rPr>
          <t>1：選択集計します。
0：選択しません。</t>
        </r>
      </text>
    </comment>
    <comment ref="D205" authorId="0" shapeId="0" xr:uid="{00000000-0006-0000-0D00-0000C3000000}">
      <text>
        <r>
          <rPr>
            <sz val="9"/>
            <color indexed="81"/>
            <rFont val="ＭＳ Ｐゴシック"/>
            <family val="3"/>
            <charset val="128"/>
          </rPr>
          <t>1：選択集計します。
0：選択しません。</t>
        </r>
      </text>
    </comment>
    <comment ref="D206" authorId="0" shapeId="0" xr:uid="{00000000-0006-0000-0D00-0000C4000000}">
      <text>
        <r>
          <rPr>
            <sz val="9"/>
            <color indexed="81"/>
            <rFont val="ＭＳ Ｐゴシック"/>
            <family val="3"/>
            <charset val="128"/>
          </rPr>
          <t>1：選択集計します。
0：選択しません。</t>
        </r>
      </text>
    </comment>
    <comment ref="D207" authorId="0" shapeId="0" xr:uid="{00000000-0006-0000-0D00-0000C5000000}">
      <text>
        <r>
          <rPr>
            <sz val="9"/>
            <color indexed="81"/>
            <rFont val="ＭＳ Ｐゴシック"/>
            <family val="3"/>
            <charset val="128"/>
          </rPr>
          <t>1：選択集計します。
0：選択しません。</t>
        </r>
      </text>
    </comment>
    <comment ref="D208" authorId="0" shapeId="0" xr:uid="{00000000-0006-0000-0D00-0000C6000000}">
      <text>
        <r>
          <rPr>
            <sz val="9"/>
            <color indexed="81"/>
            <rFont val="ＭＳ Ｐゴシック"/>
            <family val="3"/>
            <charset val="128"/>
          </rPr>
          <t>1：選択集計します。
0：選択しません。</t>
        </r>
      </text>
    </comment>
    <comment ref="D209" authorId="0" shapeId="0" xr:uid="{00000000-0006-0000-0D00-0000C7000000}">
      <text>
        <r>
          <rPr>
            <sz val="9"/>
            <color indexed="81"/>
            <rFont val="ＭＳ Ｐゴシック"/>
            <family val="3"/>
            <charset val="128"/>
          </rPr>
          <t>1：選択集計します。
0：選択しません。</t>
        </r>
      </text>
    </comment>
    <comment ref="D210" authorId="0" shapeId="0" xr:uid="{00000000-0006-0000-0D00-0000C8000000}">
      <text>
        <r>
          <rPr>
            <sz val="9"/>
            <color indexed="81"/>
            <rFont val="ＭＳ Ｐゴシック"/>
            <family val="3"/>
            <charset val="128"/>
          </rPr>
          <t>1：選択集計します。
0：選択しません。</t>
        </r>
      </text>
    </comment>
    <comment ref="D211" authorId="0" shapeId="0" xr:uid="{00000000-0006-0000-0D00-0000C9000000}">
      <text>
        <r>
          <rPr>
            <sz val="9"/>
            <color indexed="81"/>
            <rFont val="ＭＳ Ｐゴシック"/>
            <family val="3"/>
            <charset val="128"/>
          </rPr>
          <t>1：選択集計します。
0：選択しません。</t>
        </r>
      </text>
    </comment>
    <comment ref="D212" authorId="0" shapeId="0" xr:uid="{00000000-0006-0000-0D00-0000CA000000}">
      <text>
        <r>
          <rPr>
            <sz val="9"/>
            <color indexed="81"/>
            <rFont val="ＭＳ Ｐゴシック"/>
            <family val="3"/>
            <charset val="128"/>
          </rPr>
          <t>1：選択集計します。
0：選択しません。</t>
        </r>
      </text>
    </comment>
    <comment ref="D213" authorId="0" shapeId="0" xr:uid="{00000000-0006-0000-0D00-0000CB000000}">
      <text>
        <r>
          <rPr>
            <sz val="9"/>
            <color indexed="81"/>
            <rFont val="ＭＳ Ｐゴシック"/>
            <family val="3"/>
            <charset val="128"/>
          </rPr>
          <t>1：選択集計します。
0：選択しません。</t>
        </r>
      </text>
    </comment>
    <comment ref="D214" authorId="0" shapeId="0" xr:uid="{00000000-0006-0000-0D00-0000CC000000}">
      <text>
        <r>
          <rPr>
            <sz val="9"/>
            <color indexed="81"/>
            <rFont val="ＭＳ Ｐゴシック"/>
            <family val="3"/>
            <charset val="128"/>
          </rPr>
          <t>1：選択集計します。
0：選択しません。</t>
        </r>
      </text>
    </comment>
    <comment ref="D215" authorId="0" shapeId="0" xr:uid="{00000000-0006-0000-0D00-0000CD000000}">
      <text>
        <r>
          <rPr>
            <sz val="9"/>
            <color indexed="81"/>
            <rFont val="ＭＳ Ｐゴシック"/>
            <family val="3"/>
            <charset val="128"/>
          </rPr>
          <t>1：選択集計します。
0：選択しません。</t>
        </r>
      </text>
    </comment>
    <comment ref="D216" authorId="0" shapeId="0" xr:uid="{00000000-0006-0000-0D00-0000CE000000}">
      <text>
        <r>
          <rPr>
            <sz val="9"/>
            <color indexed="81"/>
            <rFont val="ＭＳ Ｐゴシック"/>
            <family val="3"/>
            <charset val="128"/>
          </rPr>
          <t>1：選択集計します。
0：選択しません。</t>
        </r>
      </text>
    </comment>
    <comment ref="D217" authorId="0" shapeId="0" xr:uid="{00000000-0006-0000-0D00-0000CF000000}">
      <text>
        <r>
          <rPr>
            <sz val="9"/>
            <color indexed="81"/>
            <rFont val="ＭＳ Ｐゴシック"/>
            <family val="3"/>
            <charset val="128"/>
          </rPr>
          <t>1：選択集計します。
0：選択しません。</t>
        </r>
      </text>
    </comment>
    <comment ref="D218" authorId="0" shapeId="0" xr:uid="{00000000-0006-0000-0D00-0000D0000000}">
      <text>
        <r>
          <rPr>
            <sz val="9"/>
            <color indexed="81"/>
            <rFont val="ＭＳ Ｐゴシック"/>
            <family val="3"/>
            <charset val="128"/>
          </rPr>
          <t>1：選択集計します。
0：選択しません。</t>
        </r>
      </text>
    </comment>
    <comment ref="D219" authorId="0" shapeId="0" xr:uid="{00000000-0006-0000-0D00-0000D1000000}">
      <text>
        <r>
          <rPr>
            <sz val="9"/>
            <color indexed="81"/>
            <rFont val="ＭＳ Ｐゴシック"/>
            <family val="3"/>
            <charset val="128"/>
          </rPr>
          <t>1：選択集計します。
0：選択しません。</t>
        </r>
      </text>
    </comment>
    <comment ref="D220" authorId="0" shapeId="0" xr:uid="{00000000-0006-0000-0D00-0000D2000000}">
      <text>
        <r>
          <rPr>
            <sz val="9"/>
            <color indexed="81"/>
            <rFont val="ＭＳ Ｐゴシック"/>
            <family val="3"/>
            <charset val="128"/>
          </rPr>
          <t>1：選択集計します。
0：選択しません。</t>
        </r>
      </text>
    </comment>
    <comment ref="D221" authorId="0" shapeId="0" xr:uid="{00000000-0006-0000-0D00-0000D3000000}">
      <text>
        <r>
          <rPr>
            <sz val="9"/>
            <color indexed="81"/>
            <rFont val="ＭＳ Ｐゴシック"/>
            <family val="3"/>
            <charset val="128"/>
          </rPr>
          <t>1：選択集計します。
0：選択しません。</t>
        </r>
      </text>
    </comment>
    <comment ref="D222" authorId="0" shapeId="0" xr:uid="{00000000-0006-0000-0D00-0000D4000000}">
      <text>
        <r>
          <rPr>
            <sz val="9"/>
            <color indexed="81"/>
            <rFont val="ＭＳ Ｐゴシック"/>
            <family val="3"/>
            <charset val="128"/>
          </rPr>
          <t>1：選択集計します。
0：選択しません。</t>
        </r>
      </text>
    </comment>
    <comment ref="D223" authorId="0" shapeId="0" xr:uid="{00000000-0006-0000-0D00-0000D5000000}">
      <text>
        <r>
          <rPr>
            <sz val="9"/>
            <color indexed="81"/>
            <rFont val="ＭＳ Ｐゴシック"/>
            <family val="3"/>
            <charset val="128"/>
          </rPr>
          <t>1：選択集計します。
0：選択しません。</t>
        </r>
      </text>
    </comment>
    <comment ref="D224" authorId="0" shapeId="0" xr:uid="{00000000-0006-0000-0D00-0000D6000000}">
      <text>
        <r>
          <rPr>
            <sz val="9"/>
            <color indexed="81"/>
            <rFont val="ＭＳ Ｐゴシック"/>
            <family val="3"/>
            <charset val="128"/>
          </rPr>
          <t>1：選択集計します。
0：選択しません。</t>
        </r>
      </text>
    </comment>
    <comment ref="D225" authorId="0" shapeId="0" xr:uid="{00000000-0006-0000-0D00-0000D7000000}">
      <text>
        <r>
          <rPr>
            <sz val="9"/>
            <color indexed="81"/>
            <rFont val="ＭＳ Ｐゴシック"/>
            <family val="3"/>
            <charset val="128"/>
          </rPr>
          <t>1：選択集計します。
0：選択しません。</t>
        </r>
      </text>
    </comment>
    <comment ref="D226" authorId="0" shapeId="0" xr:uid="{00000000-0006-0000-0D00-0000D8000000}">
      <text>
        <r>
          <rPr>
            <sz val="9"/>
            <color indexed="81"/>
            <rFont val="ＭＳ Ｐゴシック"/>
            <family val="3"/>
            <charset val="128"/>
          </rPr>
          <t>1：選択集計します。
0：選択しません。</t>
        </r>
      </text>
    </comment>
    <comment ref="D227" authorId="0" shapeId="0" xr:uid="{00000000-0006-0000-0D00-0000D9000000}">
      <text>
        <r>
          <rPr>
            <sz val="9"/>
            <color indexed="81"/>
            <rFont val="ＭＳ Ｐゴシック"/>
            <family val="3"/>
            <charset val="128"/>
          </rPr>
          <t>1：選択集計します。
0：選択しません。</t>
        </r>
      </text>
    </comment>
    <comment ref="D228" authorId="0" shapeId="0" xr:uid="{00000000-0006-0000-0D00-0000DA000000}">
      <text>
        <r>
          <rPr>
            <sz val="9"/>
            <color indexed="81"/>
            <rFont val="ＭＳ Ｐゴシック"/>
            <family val="3"/>
            <charset val="128"/>
          </rPr>
          <t>1：選択集計します。
0：選択しません。</t>
        </r>
      </text>
    </comment>
    <comment ref="D229" authorId="0" shapeId="0" xr:uid="{00000000-0006-0000-0D00-0000DB000000}">
      <text>
        <r>
          <rPr>
            <sz val="9"/>
            <color indexed="81"/>
            <rFont val="ＭＳ Ｐゴシック"/>
            <family val="3"/>
            <charset val="128"/>
          </rPr>
          <t>1：選択集計します。
0：選択しません。</t>
        </r>
      </text>
    </comment>
    <comment ref="D230" authorId="0" shapeId="0" xr:uid="{00000000-0006-0000-0D00-0000DC000000}">
      <text>
        <r>
          <rPr>
            <sz val="9"/>
            <color indexed="81"/>
            <rFont val="ＭＳ Ｐゴシック"/>
            <family val="3"/>
            <charset val="128"/>
          </rPr>
          <t>1：選択集計します。
0：選択しません。</t>
        </r>
      </text>
    </comment>
    <comment ref="D231" authorId="0" shapeId="0" xr:uid="{00000000-0006-0000-0D00-0000DD000000}">
      <text>
        <r>
          <rPr>
            <sz val="9"/>
            <color indexed="81"/>
            <rFont val="ＭＳ Ｐゴシック"/>
            <family val="3"/>
            <charset val="128"/>
          </rPr>
          <t>1：選択集計します。
0：選択しません。</t>
        </r>
      </text>
    </comment>
    <comment ref="D232" authorId="0" shapeId="0" xr:uid="{00000000-0006-0000-0D00-0000DE000000}">
      <text>
        <r>
          <rPr>
            <sz val="9"/>
            <color indexed="81"/>
            <rFont val="ＭＳ Ｐゴシック"/>
            <family val="3"/>
            <charset val="128"/>
          </rPr>
          <t>1：選択集計します。
0：選択しません。</t>
        </r>
      </text>
    </comment>
    <comment ref="D233" authorId="0" shapeId="0" xr:uid="{00000000-0006-0000-0D00-0000DF000000}">
      <text>
        <r>
          <rPr>
            <sz val="9"/>
            <color indexed="81"/>
            <rFont val="ＭＳ Ｐゴシック"/>
            <family val="3"/>
            <charset val="128"/>
          </rPr>
          <t>1：選択集計します。
0：選択しません。</t>
        </r>
      </text>
    </comment>
    <comment ref="D234" authorId="0" shapeId="0" xr:uid="{00000000-0006-0000-0D00-0000E0000000}">
      <text>
        <r>
          <rPr>
            <sz val="9"/>
            <color indexed="81"/>
            <rFont val="ＭＳ Ｐゴシック"/>
            <family val="3"/>
            <charset val="128"/>
          </rPr>
          <t>1：選択集計します。
0：選択しません。</t>
        </r>
      </text>
    </comment>
    <comment ref="D235" authorId="0" shapeId="0" xr:uid="{00000000-0006-0000-0D00-0000E1000000}">
      <text>
        <r>
          <rPr>
            <sz val="9"/>
            <color indexed="81"/>
            <rFont val="ＭＳ Ｐゴシック"/>
            <family val="3"/>
            <charset val="128"/>
          </rPr>
          <t>1：選択集計します。
0：選択しません。</t>
        </r>
      </text>
    </comment>
    <comment ref="D236" authorId="0" shapeId="0" xr:uid="{00000000-0006-0000-0D00-0000E2000000}">
      <text>
        <r>
          <rPr>
            <sz val="9"/>
            <color indexed="81"/>
            <rFont val="ＭＳ Ｐゴシック"/>
            <family val="3"/>
            <charset val="128"/>
          </rPr>
          <t>1：選択集計します。
0：選択しません。</t>
        </r>
      </text>
    </comment>
    <comment ref="D237" authorId="0" shapeId="0" xr:uid="{00000000-0006-0000-0D00-0000E3000000}">
      <text>
        <r>
          <rPr>
            <sz val="9"/>
            <color indexed="81"/>
            <rFont val="ＭＳ Ｐゴシック"/>
            <family val="3"/>
            <charset val="128"/>
          </rPr>
          <t>1：選択集計します。
0：選択しません。</t>
        </r>
      </text>
    </comment>
    <comment ref="D238" authorId="0" shapeId="0" xr:uid="{00000000-0006-0000-0D00-0000E4000000}">
      <text>
        <r>
          <rPr>
            <sz val="9"/>
            <color indexed="81"/>
            <rFont val="ＭＳ Ｐゴシック"/>
            <family val="3"/>
            <charset val="128"/>
          </rPr>
          <t>1：選択集計します。
0：選択しません。</t>
        </r>
      </text>
    </comment>
    <comment ref="D239" authorId="0" shapeId="0" xr:uid="{00000000-0006-0000-0D00-0000E5000000}">
      <text>
        <r>
          <rPr>
            <sz val="9"/>
            <color indexed="81"/>
            <rFont val="ＭＳ Ｐゴシック"/>
            <family val="3"/>
            <charset val="128"/>
          </rPr>
          <t>1：選択集計します。
0：選択しません。</t>
        </r>
      </text>
    </comment>
    <comment ref="D240" authorId="0" shapeId="0" xr:uid="{00000000-0006-0000-0D00-0000E6000000}">
      <text>
        <r>
          <rPr>
            <sz val="9"/>
            <color indexed="81"/>
            <rFont val="ＭＳ Ｐゴシック"/>
            <family val="3"/>
            <charset val="128"/>
          </rPr>
          <t>1：選択集計します。
0：選択しません。</t>
        </r>
      </text>
    </comment>
    <comment ref="D241" authorId="0" shapeId="0" xr:uid="{00000000-0006-0000-0D00-0000E7000000}">
      <text>
        <r>
          <rPr>
            <sz val="9"/>
            <color indexed="81"/>
            <rFont val="ＭＳ Ｐゴシック"/>
            <family val="3"/>
            <charset val="128"/>
          </rPr>
          <t>1：選択集計します。
0：選択しません。</t>
        </r>
      </text>
    </comment>
    <comment ref="D242" authorId="0" shapeId="0" xr:uid="{00000000-0006-0000-0D00-0000E8000000}">
      <text>
        <r>
          <rPr>
            <sz val="9"/>
            <color indexed="81"/>
            <rFont val="ＭＳ Ｐゴシック"/>
            <family val="3"/>
            <charset val="128"/>
          </rPr>
          <t>1：選択集計します。
0：選択しません。</t>
        </r>
      </text>
    </comment>
    <comment ref="D243" authorId="0" shapeId="0" xr:uid="{00000000-0006-0000-0D00-0000E9000000}">
      <text>
        <r>
          <rPr>
            <sz val="9"/>
            <color indexed="81"/>
            <rFont val="ＭＳ Ｐゴシック"/>
            <family val="3"/>
            <charset val="128"/>
          </rPr>
          <t>1：選択集計します。
0：選択しません。</t>
        </r>
      </text>
    </comment>
    <comment ref="D244" authorId="0" shapeId="0" xr:uid="{00000000-0006-0000-0D00-0000EA000000}">
      <text>
        <r>
          <rPr>
            <sz val="9"/>
            <color indexed="81"/>
            <rFont val="ＭＳ Ｐゴシック"/>
            <family val="3"/>
            <charset val="128"/>
          </rPr>
          <t>1：選択集計します。
0：選択しません。</t>
        </r>
      </text>
    </comment>
    <comment ref="D245" authorId="0" shapeId="0" xr:uid="{00000000-0006-0000-0D00-0000EB000000}">
      <text>
        <r>
          <rPr>
            <sz val="9"/>
            <color indexed="81"/>
            <rFont val="ＭＳ Ｐゴシック"/>
            <family val="3"/>
            <charset val="128"/>
          </rPr>
          <t>1：選択集計します。
0：選択しません。</t>
        </r>
      </text>
    </comment>
    <comment ref="D246" authorId="0" shapeId="0" xr:uid="{00000000-0006-0000-0D00-0000EC000000}">
      <text>
        <r>
          <rPr>
            <sz val="9"/>
            <color indexed="81"/>
            <rFont val="ＭＳ Ｐゴシック"/>
            <family val="3"/>
            <charset val="128"/>
          </rPr>
          <t>1：選択集計します。
0：選択しません。</t>
        </r>
      </text>
    </comment>
    <comment ref="D247" authorId="0" shapeId="0" xr:uid="{00000000-0006-0000-0D00-0000ED000000}">
      <text>
        <r>
          <rPr>
            <sz val="9"/>
            <color indexed="81"/>
            <rFont val="ＭＳ Ｐゴシック"/>
            <family val="3"/>
            <charset val="128"/>
          </rPr>
          <t>1：選択集計します。
0：選択しません。</t>
        </r>
      </text>
    </comment>
    <comment ref="D248" authorId="0" shapeId="0" xr:uid="{00000000-0006-0000-0D00-0000EE000000}">
      <text>
        <r>
          <rPr>
            <sz val="9"/>
            <color indexed="81"/>
            <rFont val="ＭＳ Ｐゴシック"/>
            <family val="3"/>
            <charset val="128"/>
          </rPr>
          <t>1：選択集計します。
0：選択しません。</t>
        </r>
      </text>
    </comment>
    <comment ref="D249" authorId="0" shapeId="0" xr:uid="{00000000-0006-0000-0D00-0000EF000000}">
      <text>
        <r>
          <rPr>
            <sz val="9"/>
            <color indexed="81"/>
            <rFont val="ＭＳ Ｐゴシック"/>
            <family val="3"/>
            <charset val="128"/>
          </rPr>
          <t>1：選択集計します。
0：選択しません。</t>
        </r>
      </text>
    </comment>
    <comment ref="D250" authorId="0" shapeId="0" xr:uid="{00000000-0006-0000-0D00-0000F0000000}">
      <text>
        <r>
          <rPr>
            <sz val="9"/>
            <color indexed="81"/>
            <rFont val="ＭＳ Ｐゴシック"/>
            <family val="3"/>
            <charset val="128"/>
          </rPr>
          <t>1：選択集計します。
0：選択しません。</t>
        </r>
      </text>
    </comment>
    <comment ref="D251" authorId="0" shapeId="0" xr:uid="{00000000-0006-0000-0D00-0000F1000000}">
      <text>
        <r>
          <rPr>
            <sz val="9"/>
            <color indexed="81"/>
            <rFont val="ＭＳ Ｐゴシック"/>
            <family val="3"/>
            <charset val="128"/>
          </rPr>
          <t>1：選択集計します。
0：選択しません。</t>
        </r>
      </text>
    </comment>
    <comment ref="D252" authorId="0" shapeId="0" xr:uid="{00000000-0006-0000-0D00-0000F2000000}">
      <text>
        <r>
          <rPr>
            <sz val="9"/>
            <color indexed="81"/>
            <rFont val="ＭＳ Ｐゴシック"/>
            <family val="3"/>
            <charset val="128"/>
          </rPr>
          <t>1：選択集計します。
0：選択しません。</t>
        </r>
      </text>
    </comment>
    <comment ref="D253" authorId="0" shapeId="0" xr:uid="{00000000-0006-0000-0D00-0000F3000000}">
      <text>
        <r>
          <rPr>
            <sz val="9"/>
            <color indexed="81"/>
            <rFont val="ＭＳ Ｐゴシック"/>
            <family val="3"/>
            <charset val="128"/>
          </rPr>
          <t>1：選択集計します。
0：選択しません。</t>
        </r>
      </text>
    </comment>
    <comment ref="D254" authorId="0" shapeId="0" xr:uid="{00000000-0006-0000-0D00-0000F4000000}">
      <text>
        <r>
          <rPr>
            <sz val="9"/>
            <color indexed="81"/>
            <rFont val="ＭＳ Ｐゴシック"/>
            <family val="3"/>
            <charset val="128"/>
          </rPr>
          <t>1：選択集計します。
0：選択しません。</t>
        </r>
      </text>
    </comment>
    <comment ref="D255" authorId="0" shapeId="0" xr:uid="{00000000-0006-0000-0D00-0000F5000000}">
      <text>
        <r>
          <rPr>
            <sz val="9"/>
            <color indexed="81"/>
            <rFont val="ＭＳ Ｐゴシック"/>
            <family val="3"/>
            <charset val="128"/>
          </rPr>
          <t>1：選択集計します。
0：選択しません。</t>
        </r>
      </text>
    </comment>
    <comment ref="D256" authorId="0" shapeId="0" xr:uid="{00000000-0006-0000-0D00-0000F6000000}">
      <text>
        <r>
          <rPr>
            <sz val="9"/>
            <color indexed="81"/>
            <rFont val="ＭＳ Ｐゴシック"/>
            <family val="3"/>
            <charset val="128"/>
          </rPr>
          <t>1：選択集計します。
0：選択しません。</t>
        </r>
      </text>
    </comment>
    <comment ref="D257" authorId="0" shapeId="0" xr:uid="{00000000-0006-0000-0D00-0000F7000000}">
      <text>
        <r>
          <rPr>
            <sz val="9"/>
            <color indexed="81"/>
            <rFont val="ＭＳ Ｐゴシック"/>
            <family val="3"/>
            <charset val="128"/>
          </rPr>
          <t>1：選択集計します。
0：選択しません。</t>
        </r>
      </text>
    </comment>
    <comment ref="D258" authorId="0" shapeId="0" xr:uid="{00000000-0006-0000-0D00-0000F8000000}">
      <text>
        <r>
          <rPr>
            <sz val="9"/>
            <color indexed="81"/>
            <rFont val="ＭＳ Ｐゴシック"/>
            <family val="3"/>
            <charset val="128"/>
          </rPr>
          <t>1：選択集計します。
0：選択しません。</t>
        </r>
      </text>
    </comment>
    <comment ref="D259" authorId="0" shapeId="0" xr:uid="{00000000-0006-0000-0D00-0000F9000000}">
      <text>
        <r>
          <rPr>
            <sz val="9"/>
            <color indexed="81"/>
            <rFont val="ＭＳ Ｐゴシック"/>
            <family val="3"/>
            <charset val="128"/>
          </rPr>
          <t>1：選択集計します。
0：選択しません。</t>
        </r>
      </text>
    </comment>
    <comment ref="D260" authorId="0" shapeId="0" xr:uid="{00000000-0006-0000-0D00-0000FA000000}">
      <text>
        <r>
          <rPr>
            <sz val="9"/>
            <color indexed="81"/>
            <rFont val="ＭＳ Ｐゴシック"/>
            <family val="3"/>
            <charset val="128"/>
          </rPr>
          <t>1：選択集計します。
0：選択しません。</t>
        </r>
      </text>
    </comment>
    <comment ref="D261" authorId="0" shapeId="0" xr:uid="{00000000-0006-0000-0D00-0000FB000000}">
      <text>
        <r>
          <rPr>
            <sz val="9"/>
            <color indexed="81"/>
            <rFont val="ＭＳ Ｐゴシック"/>
            <family val="3"/>
            <charset val="128"/>
          </rPr>
          <t>1：選択集計します。
0：選択しません。</t>
        </r>
      </text>
    </comment>
    <comment ref="H264" authorId="0" shapeId="0" xr:uid="{00000000-0006-0000-0D00-0000FC000000}">
      <text>
        <r>
          <rPr>
            <sz val="9"/>
            <color indexed="81"/>
            <rFont val="ＭＳ Ｐゴシック"/>
            <family val="3"/>
            <charset val="128"/>
          </rPr>
          <t>選択列に 1 を入力した工類が集計されます。</t>
        </r>
      </text>
    </comment>
    <comment ref="D265" authorId="0" shapeId="0" xr:uid="{00000000-0006-0000-0D00-0000FD000000}">
      <text>
        <r>
          <rPr>
            <sz val="9"/>
            <color indexed="81"/>
            <rFont val="ＭＳ Ｐゴシック"/>
            <family val="3"/>
            <charset val="128"/>
          </rPr>
          <t>1：選択集計します。
0：選択しません。</t>
        </r>
      </text>
    </comment>
    <comment ref="D266" authorId="0" shapeId="0" xr:uid="{00000000-0006-0000-0D00-0000FE000000}">
      <text>
        <r>
          <rPr>
            <sz val="9"/>
            <color indexed="81"/>
            <rFont val="ＭＳ Ｐゴシック"/>
            <family val="3"/>
            <charset val="128"/>
          </rPr>
          <t>1：選択集計します。
0：選択しません。</t>
        </r>
      </text>
    </comment>
    <comment ref="D267" authorId="0" shapeId="0" xr:uid="{00000000-0006-0000-0D00-0000FF000000}">
      <text>
        <r>
          <rPr>
            <sz val="9"/>
            <color indexed="81"/>
            <rFont val="ＭＳ Ｐゴシック"/>
            <family val="3"/>
            <charset val="128"/>
          </rPr>
          <t>1：選択集計します。
0：選択しません。</t>
        </r>
      </text>
    </comment>
    <comment ref="D268" authorId="0" shapeId="0" xr:uid="{00000000-0006-0000-0D00-000000010000}">
      <text>
        <r>
          <rPr>
            <sz val="9"/>
            <color indexed="81"/>
            <rFont val="ＭＳ Ｐゴシック"/>
            <family val="3"/>
            <charset val="128"/>
          </rPr>
          <t>1：選択集計します。
0：選択しません。</t>
        </r>
      </text>
    </comment>
    <comment ref="D269" authorId="0" shapeId="0" xr:uid="{00000000-0006-0000-0D00-000001010000}">
      <text>
        <r>
          <rPr>
            <sz val="9"/>
            <color indexed="81"/>
            <rFont val="ＭＳ Ｐゴシック"/>
            <family val="3"/>
            <charset val="128"/>
          </rPr>
          <t>1：選択集計します。
0：選択しません。</t>
        </r>
      </text>
    </comment>
    <comment ref="D270" authorId="0" shapeId="0" xr:uid="{00000000-0006-0000-0D00-000002010000}">
      <text>
        <r>
          <rPr>
            <sz val="9"/>
            <color indexed="81"/>
            <rFont val="ＭＳ Ｐゴシック"/>
            <family val="3"/>
            <charset val="128"/>
          </rPr>
          <t>1：選択集計します。
0：選択しません。</t>
        </r>
      </text>
    </comment>
    <comment ref="D271" authorId="0" shapeId="0" xr:uid="{00000000-0006-0000-0D00-000003010000}">
      <text>
        <r>
          <rPr>
            <sz val="9"/>
            <color indexed="81"/>
            <rFont val="ＭＳ Ｐゴシック"/>
            <family val="3"/>
            <charset val="128"/>
          </rPr>
          <t>1：選択集計します。
0：選択しません。</t>
        </r>
      </text>
    </comment>
    <comment ref="D272" authorId="0" shapeId="0" xr:uid="{00000000-0006-0000-0D00-000004010000}">
      <text>
        <r>
          <rPr>
            <sz val="9"/>
            <color indexed="81"/>
            <rFont val="ＭＳ Ｐゴシック"/>
            <family val="3"/>
            <charset val="128"/>
          </rPr>
          <t>1：選択集計します。
0：選択しません。</t>
        </r>
      </text>
    </comment>
    <comment ref="D273" authorId="0" shapeId="0" xr:uid="{00000000-0006-0000-0D00-000005010000}">
      <text>
        <r>
          <rPr>
            <sz val="9"/>
            <color indexed="81"/>
            <rFont val="ＭＳ Ｐゴシック"/>
            <family val="3"/>
            <charset val="128"/>
          </rPr>
          <t>1：選択集計します。
0：選択しません。</t>
        </r>
      </text>
    </comment>
    <comment ref="D274" authorId="0" shapeId="0" xr:uid="{00000000-0006-0000-0D00-000006010000}">
      <text>
        <r>
          <rPr>
            <sz val="9"/>
            <color indexed="81"/>
            <rFont val="ＭＳ Ｐゴシック"/>
            <family val="3"/>
            <charset val="128"/>
          </rPr>
          <t>1：選択集計します。
0：選択しません。</t>
        </r>
      </text>
    </comment>
    <comment ref="D275" authorId="0" shapeId="0" xr:uid="{00000000-0006-0000-0D00-000007010000}">
      <text>
        <r>
          <rPr>
            <sz val="9"/>
            <color indexed="81"/>
            <rFont val="ＭＳ Ｐゴシック"/>
            <family val="3"/>
            <charset val="128"/>
          </rPr>
          <t>1：選択集計します。
0：選択しません。</t>
        </r>
      </text>
    </comment>
    <comment ref="D276" authorId="0" shapeId="0" xr:uid="{00000000-0006-0000-0D00-000008010000}">
      <text>
        <r>
          <rPr>
            <sz val="9"/>
            <color indexed="81"/>
            <rFont val="ＭＳ Ｐゴシック"/>
            <family val="3"/>
            <charset val="128"/>
          </rPr>
          <t>1：選択集計します。
0：選択しません。</t>
        </r>
      </text>
    </comment>
    <comment ref="D277" authorId="0" shapeId="0" xr:uid="{00000000-0006-0000-0D00-000009010000}">
      <text>
        <r>
          <rPr>
            <sz val="9"/>
            <color indexed="81"/>
            <rFont val="ＭＳ Ｐゴシック"/>
            <family val="3"/>
            <charset val="128"/>
          </rPr>
          <t>1：選択集計します。
0：選択しません。</t>
        </r>
      </text>
    </comment>
    <comment ref="D278" authorId="0" shapeId="0" xr:uid="{00000000-0006-0000-0D00-00000A010000}">
      <text>
        <r>
          <rPr>
            <sz val="9"/>
            <color indexed="81"/>
            <rFont val="ＭＳ Ｐゴシック"/>
            <family val="3"/>
            <charset val="128"/>
          </rPr>
          <t>1：選択集計します。
0：選択しません。</t>
        </r>
      </text>
    </comment>
    <comment ref="D279" authorId="0" shapeId="0" xr:uid="{00000000-0006-0000-0D00-00000B010000}">
      <text>
        <r>
          <rPr>
            <sz val="9"/>
            <color indexed="81"/>
            <rFont val="ＭＳ Ｐゴシック"/>
            <family val="3"/>
            <charset val="128"/>
          </rPr>
          <t>1：選択集計します。
0：選択しません。</t>
        </r>
      </text>
    </comment>
    <comment ref="D280" authorId="0" shapeId="0" xr:uid="{00000000-0006-0000-0D00-00000C010000}">
      <text>
        <r>
          <rPr>
            <sz val="9"/>
            <color indexed="81"/>
            <rFont val="ＭＳ Ｐゴシック"/>
            <family val="3"/>
            <charset val="128"/>
          </rPr>
          <t>1：選択集計します。
0：選択しません。</t>
        </r>
      </text>
    </comment>
    <comment ref="D281" authorId="0" shapeId="0" xr:uid="{00000000-0006-0000-0D00-00000D010000}">
      <text>
        <r>
          <rPr>
            <sz val="9"/>
            <color indexed="81"/>
            <rFont val="ＭＳ Ｐゴシック"/>
            <family val="3"/>
            <charset val="128"/>
          </rPr>
          <t>1：選択集計します。
0：選択しません。</t>
        </r>
      </text>
    </comment>
    <comment ref="D282" authorId="0" shapeId="0" xr:uid="{00000000-0006-0000-0D00-00000E010000}">
      <text>
        <r>
          <rPr>
            <sz val="9"/>
            <color indexed="81"/>
            <rFont val="ＭＳ Ｐゴシック"/>
            <family val="3"/>
            <charset val="128"/>
          </rPr>
          <t>1：選択集計します。
0：選択しません。</t>
        </r>
      </text>
    </comment>
    <comment ref="D283" authorId="0" shapeId="0" xr:uid="{00000000-0006-0000-0D00-00000F010000}">
      <text>
        <r>
          <rPr>
            <sz val="9"/>
            <color indexed="81"/>
            <rFont val="ＭＳ Ｐゴシック"/>
            <family val="3"/>
            <charset val="128"/>
          </rPr>
          <t>1：選択集計します。
0：選択しません。</t>
        </r>
      </text>
    </comment>
    <comment ref="D284" authorId="0" shapeId="0" xr:uid="{00000000-0006-0000-0D00-000010010000}">
      <text>
        <r>
          <rPr>
            <sz val="9"/>
            <color indexed="81"/>
            <rFont val="ＭＳ Ｐゴシック"/>
            <family val="3"/>
            <charset val="128"/>
          </rPr>
          <t>1：選択集計します。
0：選択しません。</t>
        </r>
      </text>
    </comment>
    <comment ref="D285" authorId="0" shapeId="0" xr:uid="{00000000-0006-0000-0D00-000011010000}">
      <text>
        <r>
          <rPr>
            <sz val="9"/>
            <color indexed="81"/>
            <rFont val="ＭＳ Ｐゴシック"/>
            <family val="3"/>
            <charset val="128"/>
          </rPr>
          <t>1：選択集計します。
0：選択しません。</t>
        </r>
      </text>
    </comment>
    <comment ref="D286" authorId="0" shapeId="0" xr:uid="{00000000-0006-0000-0D00-000012010000}">
      <text>
        <r>
          <rPr>
            <sz val="9"/>
            <color indexed="81"/>
            <rFont val="ＭＳ Ｐゴシック"/>
            <family val="3"/>
            <charset val="128"/>
          </rPr>
          <t>1：選択集計します。
0：選択しません。</t>
        </r>
      </text>
    </comment>
    <comment ref="D287" authorId="0" shapeId="0" xr:uid="{00000000-0006-0000-0D00-000013010000}">
      <text>
        <r>
          <rPr>
            <sz val="9"/>
            <color indexed="81"/>
            <rFont val="ＭＳ Ｐゴシック"/>
            <family val="3"/>
            <charset val="128"/>
          </rPr>
          <t>1：選択集計します。
0：選択しません。</t>
        </r>
      </text>
    </comment>
    <comment ref="D288" authorId="0" shapeId="0" xr:uid="{00000000-0006-0000-0D00-000014010000}">
      <text>
        <r>
          <rPr>
            <sz val="9"/>
            <color indexed="81"/>
            <rFont val="ＭＳ Ｐゴシック"/>
            <family val="3"/>
            <charset val="128"/>
          </rPr>
          <t>1：選択集計します。
0：選択しません。</t>
        </r>
      </text>
    </comment>
    <comment ref="D289" authorId="0" shapeId="0" xr:uid="{00000000-0006-0000-0D00-000015010000}">
      <text>
        <r>
          <rPr>
            <sz val="9"/>
            <color indexed="81"/>
            <rFont val="ＭＳ Ｐゴシック"/>
            <family val="3"/>
            <charset val="128"/>
          </rPr>
          <t>1：選択集計します。
0：選択しません。</t>
        </r>
      </text>
    </comment>
    <comment ref="D290" authorId="0" shapeId="0" xr:uid="{00000000-0006-0000-0D00-000016010000}">
      <text>
        <r>
          <rPr>
            <sz val="9"/>
            <color indexed="81"/>
            <rFont val="ＭＳ Ｐゴシック"/>
            <family val="3"/>
            <charset val="128"/>
          </rPr>
          <t>1：選択集計します。
0：選択しません。</t>
        </r>
      </text>
    </comment>
    <comment ref="D291" authorId="0" shapeId="0" xr:uid="{00000000-0006-0000-0D00-000017010000}">
      <text>
        <r>
          <rPr>
            <sz val="9"/>
            <color indexed="81"/>
            <rFont val="ＭＳ Ｐゴシック"/>
            <family val="3"/>
            <charset val="128"/>
          </rPr>
          <t>1：選択集計します。
0：選択しません。</t>
        </r>
      </text>
    </comment>
    <comment ref="D292" authorId="0" shapeId="0" xr:uid="{00000000-0006-0000-0D00-000018010000}">
      <text>
        <r>
          <rPr>
            <sz val="9"/>
            <color indexed="81"/>
            <rFont val="ＭＳ Ｐゴシック"/>
            <family val="3"/>
            <charset val="128"/>
          </rPr>
          <t>1：選択集計します。
0：選択しません。</t>
        </r>
      </text>
    </comment>
    <comment ref="D293" authorId="0" shapeId="0" xr:uid="{00000000-0006-0000-0D00-000019010000}">
      <text>
        <r>
          <rPr>
            <sz val="9"/>
            <color indexed="81"/>
            <rFont val="ＭＳ Ｐゴシック"/>
            <family val="3"/>
            <charset val="128"/>
          </rPr>
          <t>1：選択集計します。
0：選択しません。</t>
        </r>
      </text>
    </comment>
    <comment ref="D294" authorId="0" shapeId="0" xr:uid="{00000000-0006-0000-0D00-00001A010000}">
      <text>
        <r>
          <rPr>
            <sz val="9"/>
            <color indexed="81"/>
            <rFont val="ＭＳ Ｐゴシック"/>
            <family val="3"/>
            <charset val="128"/>
          </rPr>
          <t>1：選択集計します。
0：選択しません。</t>
        </r>
      </text>
    </comment>
    <comment ref="D295" authorId="0" shapeId="0" xr:uid="{00000000-0006-0000-0D00-00001B010000}">
      <text>
        <r>
          <rPr>
            <sz val="9"/>
            <color indexed="81"/>
            <rFont val="ＭＳ Ｐゴシック"/>
            <family val="3"/>
            <charset val="128"/>
          </rPr>
          <t>1：選択集計します。
0：選択しません。</t>
        </r>
      </text>
    </comment>
    <comment ref="D296" authorId="0" shapeId="0" xr:uid="{00000000-0006-0000-0D00-00001C010000}">
      <text>
        <r>
          <rPr>
            <sz val="9"/>
            <color indexed="81"/>
            <rFont val="ＭＳ Ｐゴシック"/>
            <family val="3"/>
            <charset val="128"/>
          </rPr>
          <t>1：選択集計します。
0：選択しません。</t>
        </r>
      </text>
    </comment>
    <comment ref="D297" authorId="0" shapeId="0" xr:uid="{00000000-0006-0000-0D00-00001D010000}">
      <text>
        <r>
          <rPr>
            <sz val="9"/>
            <color indexed="81"/>
            <rFont val="ＭＳ Ｐゴシック"/>
            <family val="3"/>
            <charset val="128"/>
          </rPr>
          <t>1：選択集計します。
0：選択しません。</t>
        </r>
      </text>
    </comment>
    <comment ref="D298" authorId="0" shapeId="0" xr:uid="{00000000-0006-0000-0D00-00001E010000}">
      <text>
        <r>
          <rPr>
            <sz val="9"/>
            <color indexed="81"/>
            <rFont val="ＭＳ Ｐゴシック"/>
            <family val="3"/>
            <charset val="128"/>
          </rPr>
          <t>1：選択集計します。
0：選択しません。</t>
        </r>
      </text>
    </comment>
    <comment ref="D299" authorId="0" shapeId="0" xr:uid="{00000000-0006-0000-0D00-00001F010000}">
      <text>
        <r>
          <rPr>
            <sz val="9"/>
            <color indexed="81"/>
            <rFont val="ＭＳ Ｐゴシック"/>
            <family val="3"/>
            <charset val="128"/>
          </rPr>
          <t>1：選択集計します。
0：選択しません。</t>
        </r>
      </text>
    </comment>
    <comment ref="D300" authorId="0" shapeId="0" xr:uid="{00000000-0006-0000-0D00-000020010000}">
      <text>
        <r>
          <rPr>
            <sz val="9"/>
            <color indexed="81"/>
            <rFont val="ＭＳ Ｐゴシック"/>
            <family val="3"/>
            <charset val="128"/>
          </rPr>
          <t>1：選択集計します。
0：選択しません。</t>
        </r>
      </text>
    </comment>
    <comment ref="D301" authorId="0" shapeId="0" xr:uid="{00000000-0006-0000-0D00-000021010000}">
      <text>
        <r>
          <rPr>
            <sz val="9"/>
            <color indexed="81"/>
            <rFont val="ＭＳ Ｐゴシック"/>
            <family val="3"/>
            <charset val="128"/>
          </rPr>
          <t>1：選択集計します。
0：選択しません。</t>
        </r>
      </text>
    </comment>
    <comment ref="D302" authorId="0" shapeId="0" xr:uid="{00000000-0006-0000-0D00-000022010000}">
      <text>
        <r>
          <rPr>
            <sz val="9"/>
            <color indexed="81"/>
            <rFont val="ＭＳ Ｐゴシック"/>
            <family val="3"/>
            <charset val="128"/>
          </rPr>
          <t>1：選択集計します。
0：選択しません。</t>
        </r>
      </text>
    </comment>
    <comment ref="D303" authorId="0" shapeId="0" xr:uid="{00000000-0006-0000-0D00-000023010000}">
      <text>
        <r>
          <rPr>
            <sz val="9"/>
            <color indexed="81"/>
            <rFont val="ＭＳ Ｐゴシック"/>
            <family val="3"/>
            <charset val="128"/>
          </rPr>
          <t>1：選択集計します。
0：選択しません。</t>
        </r>
      </text>
    </comment>
    <comment ref="D304" authorId="0" shapeId="0" xr:uid="{00000000-0006-0000-0D00-000024010000}">
      <text>
        <r>
          <rPr>
            <sz val="9"/>
            <color indexed="81"/>
            <rFont val="ＭＳ Ｐゴシック"/>
            <family val="3"/>
            <charset val="128"/>
          </rPr>
          <t>1：選択集計します。
0：選択しません。</t>
        </r>
      </text>
    </comment>
    <comment ref="D305" authorId="0" shapeId="0" xr:uid="{00000000-0006-0000-0D00-000025010000}">
      <text>
        <r>
          <rPr>
            <sz val="9"/>
            <color indexed="81"/>
            <rFont val="ＭＳ Ｐゴシック"/>
            <family val="3"/>
            <charset val="128"/>
          </rPr>
          <t>1：選択集計します。
0：選択しません。</t>
        </r>
      </text>
    </comment>
    <comment ref="D306" authorId="0" shapeId="0" xr:uid="{00000000-0006-0000-0D00-000026010000}">
      <text>
        <r>
          <rPr>
            <sz val="9"/>
            <color indexed="81"/>
            <rFont val="ＭＳ Ｐゴシック"/>
            <family val="3"/>
            <charset val="128"/>
          </rPr>
          <t>1：選択集計します。
0：選択しません。</t>
        </r>
      </text>
    </comment>
    <comment ref="D307" authorId="0" shapeId="0" xr:uid="{00000000-0006-0000-0D00-000027010000}">
      <text>
        <r>
          <rPr>
            <sz val="9"/>
            <color indexed="81"/>
            <rFont val="ＭＳ Ｐゴシック"/>
            <family val="3"/>
            <charset val="128"/>
          </rPr>
          <t>1：選択集計します。
0：選択しません。</t>
        </r>
      </text>
    </comment>
    <comment ref="D308" authorId="0" shapeId="0" xr:uid="{00000000-0006-0000-0D00-000028010000}">
      <text>
        <r>
          <rPr>
            <sz val="9"/>
            <color indexed="81"/>
            <rFont val="ＭＳ Ｐゴシック"/>
            <family val="3"/>
            <charset val="128"/>
          </rPr>
          <t>1：選択集計します。
0：選択しません。</t>
        </r>
      </text>
    </comment>
    <comment ref="D309" authorId="0" shapeId="0" xr:uid="{00000000-0006-0000-0D00-000029010000}">
      <text>
        <r>
          <rPr>
            <sz val="9"/>
            <color indexed="81"/>
            <rFont val="ＭＳ Ｐゴシック"/>
            <family val="3"/>
            <charset val="128"/>
          </rPr>
          <t>1：選択集計します。
0：選択しません。</t>
        </r>
      </text>
    </comment>
    <comment ref="D310" authorId="0" shapeId="0" xr:uid="{00000000-0006-0000-0D00-00002A010000}">
      <text>
        <r>
          <rPr>
            <sz val="9"/>
            <color indexed="81"/>
            <rFont val="ＭＳ Ｐゴシック"/>
            <family val="3"/>
            <charset val="128"/>
          </rPr>
          <t>1：選択集計します。
0：選択しません。</t>
        </r>
      </text>
    </comment>
    <comment ref="D311" authorId="0" shapeId="0" xr:uid="{00000000-0006-0000-0D00-00002B010000}">
      <text>
        <r>
          <rPr>
            <sz val="9"/>
            <color indexed="81"/>
            <rFont val="ＭＳ Ｐゴシック"/>
            <family val="3"/>
            <charset val="128"/>
          </rPr>
          <t>1：選択集計します。
0：選択しません。</t>
        </r>
      </text>
    </comment>
    <comment ref="D312" authorId="0" shapeId="0" xr:uid="{00000000-0006-0000-0D00-00002C010000}">
      <text>
        <r>
          <rPr>
            <sz val="9"/>
            <color indexed="81"/>
            <rFont val="ＭＳ Ｐゴシック"/>
            <family val="3"/>
            <charset val="128"/>
          </rPr>
          <t>1：選択集計します。
0：選択しません。</t>
        </r>
      </text>
    </comment>
    <comment ref="D313" authorId="0" shapeId="0" xr:uid="{00000000-0006-0000-0D00-00002D010000}">
      <text>
        <r>
          <rPr>
            <sz val="9"/>
            <color indexed="81"/>
            <rFont val="ＭＳ Ｐゴシック"/>
            <family val="3"/>
            <charset val="128"/>
          </rPr>
          <t>1：選択集計します。
0：選択しません。</t>
        </r>
      </text>
    </comment>
    <comment ref="D314" authorId="0" shapeId="0" xr:uid="{00000000-0006-0000-0D00-00002E010000}">
      <text>
        <r>
          <rPr>
            <sz val="9"/>
            <color indexed="81"/>
            <rFont val="ＭＳ Ｐゴシック"/>
            <family val="3"/>
            <charset val="128"/>
          </rPr>
          <t>1：選択集計します。
0：選択しません。</t>
        </r>
      </text>
    </comment>
    <comment ref="D315" authorId="0" shapeId="0" xr:uid="{00000000-0006-0000-0D00-00002F010000}">
      <text>
        <r>
          <rPr>
            <sz val="9"/>
            <color indexed="81"/>
            <rFont val="ＭＳ Ｐゴシック"/>
            <family val="3"/>
            <charset val="128"/>
          </rPr>
          <t>1：選択集計します。
0：選択しません。</t>
        </r>
      </text>
    </comment>
    <comment ref="D316" authorId="0" shapeId="0" xr:uid="{00000000-0006-0000-0D00-000030010000}">
      <text>
        <r>
          <rPr>
            <sz val="9"/>
            <color indexed="81"/>
            <rFont val="ＭＳ Ｐゴシック"/>
            <family val="3"/>
            <charset val="128"/>
          </rPr>
          <t>1：選択集計します。
0：選択しません。</t>
        </r>
      </text>
    </comment>
    <comment ref="D317" authorId="0" shapeId="0" xr:uid="{00000000-0006-0000-0D00-000031010000}">
      <text>
        <r>
          <rPr>
            <sz val="9"/>
            <color indexed="81"/>
            <rFont val="ＭＳ Ｐゴシック"/>
            <family val="3"/>
            <charset val="128"/>
          </rPr>
          <t>1：選択集計します。
0：選択しません。</t>
        </r>
      </text>
    </comment>
    <comment ref="D318" authorId="0" shapeId="0" xr:uid="{00000000-0006-0000-0D00-000032010000}">
      <text>
        <r>
          <rPr>
            <sz val="9"/>
            <color indexed="81"/>
            <rFont val="ＭＳ Ｐゴシック"/>
            <family val="3"/>
            <charset val="128"/>
          </rPr>
          <t>1：選択集計します。
0：選択しません。</t>
        </r>
      </text>
    </comment>
    <comment ref="D319" authorId="0" shapeId="0" xr:uid="{00000000-0006-0000-0D00-000033010000}">
      <text>
        <r>
          <rPr>
            <sz val="9"/>
            <color indexed="81"/>
            <rFont val="ＭＳ Ｐゴシック"/>
            <family val="3"/>
            <charset val="128"/>
          </rPr>
          <t>1：選択集計します。
0：選択しません。</t>
        </r>
      </text>
    </comment>
    <comment ref="D320" authorId="0" shapeId="0" xr:uid="{00000000-0006-0000-0D00-000034010000}">
      <text>
        <r>
          <rPr>
            <sz val="9"/>
            <color indexed="81"/>
            <rFont val="ＭＳ Ｐゴシック"/>
            <family val="3"/>
            <charset val="128"/>
          </rPr>
          <t>1：選択集計します。
0：選択しません。</t>
        </r>
      </text>
    </comment>
    <comment ref="D321" authorId="0" shapeId="0" xr:uid="{00000000-0006-0000-0D00-000035010000}">
      <text>
        <r>
          <rPr>
            <sz val="9"/>
            <color indexed="81"/>
            <rFont val="ＭＳ Ｐゴシック"/>
            <family val="3"/>
            <charset val="128"/>
          </rPr>
          <t>1：選択集計します。
0：選択しません。</t>
        </r>
      </text>
    </comment>
    <comment ref="D322" authorId="0" shapeId="0" xr:uid="{00000000-0006-0000-0D00-000036010000}">
      <text>
        <r>
          <rPr>
            <sz val="9"/>
            <color indexed="81"/>
            <rFont val="ＭＳ Ｐゴシック"/>
            <family val="3"/>
            <charset val="128"/>
          </rPr>
          <t>1：選択集計します。
0：選択しません。</t>
        </r>
      </text>
    </comment>
    <comment ref="D323" authorId="0" shapeId="0" xr:uid="{00000000-0006-0000-0D00-000037010000}">
      <text>
        <r>
          <rPr>
            <sz val="9"/>
            <color indexed="81"/>
            <rFont val="ＭＳ Ｐゴシック"/>
            <family val="3"/>
            <charset val="128"/>
          </rPr>
          <t>1：選択集計します。
0：選択しません。</t>
        </r>
      </text>
    </comment>
    <comment ref="D324" authorId="0" shapeId="0" xr:uid="{00000000-0006-0000-0D00-000038010000}">
      <text>
        <r>
          <rPr>
            <sz val="9"/>
            <color indexed="81"/>
            <rFont val="ＭＳ Ｐゴシック"/>
            <family val="3"/>
            <charset val="128"/>
          </rPr>
          <t>1：選択集計します。
0：選択しません。</t>
        </r>
      </text>
    </comment>
    <comment ref="D325" authorId="0" shapeId="0" xr:uid="{00000000-0006-0000-0D00-000039010000}">
      <text>
        <r>
          <rPr>
            <sz val="9"/>
            <color indexed="81"/>
            <rFont val="ＭＳ Ｐゴシック"/>
            <family val="3"/>
            <charset val="128"/>
          </rPr>
          <t>1：選択集計します。
0：選択しません。</t>
        </r>
      </text>
    </comment>
    <comment ref="D326" authorId="0" shapeId="0" xr:uid="{00000000-0006-0000-0D00-00003A010000}">
      <text>
        <r>
          <rPr>
            <sz val="9"/>
            <color indexed="81"/>
            <rFont val="ＭＳ Ｐゴシック"/>
            <family val="3"/>
            <charset val="128"/>
          </rPr>
          <t>1：選択集計します。
0：選択しません。</t>
        </r>
      </text>
    </comment>
    <comment ref="D327" authorId="0" shapeId="0" xr:uid="{00000000-0006-0000-0D00-00003B010000}">
      <text>
        <r>
          <rPr>
            <sz val="9"/>
            <color indexed="81"/>
            <rFont val="ＭＳ Ｐゴシック"/>
            <family val="3"/>
            <charset val="128"/>
          </rPr>
          <t>1：選択集計します。
0：選択しません。</t>
        </r>
      </text>
    </comment>
    <comment ref="D328" authorId="0" shapeId="0" xr:uid="{00000000-0006-0000-0D00-00003C010000}">
      <text>
        <r>
          <rPr>
            <sz val="9"/>
            <color indexed="81"/>
            <rFont val="ＭＳ Ｐゴシック"/>
            <family val="3"/>
            <charset val="128"/>
          </rPr>
          <t>1：選択集計します。
0：選択しません。</t>
        </r>
      </text>
    </comment>
    <comment ref="D329" authorId="0" shapeId="0" xr:uid="{00000000-0006-0000-0D00-00003D010000}">
      <text>
        <r>
          <rPr>
            <sz val="9"/>
            <color indexed="81"/>
            <rFont val="ＭＳ Ｐゴシック"/>
            <family val="3"/>
            <charset val="128"/>
          </rPr>
          <t>1：選択集計します。
0：選択しません。</t>
        </r>
      </text>
    </comment>
    <comment ref="D330" authorId="0" shapeId="0" xr:uid="{00000000-0006-0000-0D00-00003E010000}">
      <text>
        <r>
          <rPr>
            <sz val="9"/>
            <color indexed="81"/>
            <rFont val="ＭＳ Ｐゴシック"/>
            <family val="3"/>
            <charset val="128"/>
          </rPr>
          <t>1：選択集計します。
0：選択しません。</t>
        </r>
      </text>
    </comment>
    <comment ref="D331" authorId="0" shapeId="0" xr:uid="{00000000-0006-0000-0D00-00003F010000}">
      <text>
        <r>
          <rPr>
            <sz val="9"/>
            <color indexed="81"/>
            <rFont val="ＭＳ Ｐゴシック"/>
            <family val="3"/>
            <charset val="128"/>
          </rPr>
          <t>1：選択集計します。
0：選択しません。</t>
        </r>
      </text>
    </comment>
    <comment ref="D332" authorId="0" shapeId="0" xr:uid="{00000000-0006-0000-0D00-000040010000}">
      <text>
        <r>
          <rPr>
            <sz val="9"/>
            <color indexed="81"/>
            <rFont val="ＭＳ Ｐゴシック"/>
            <family val="3"/>
            <charset val="128"/>
          </rPr>
          <t>1：選択集計します。
0：選択しません。</t>
        </r>
      </text>
    </comment>
    <comment ref="D333" authorId="0" shapeId="0" xr:uid="{00000000-0006-0000-0D00-000041010000}">
      <text>
        <r>
          <rPr>
            <sz val="9"/>
            <color indexed="81"/>
            <rFont val="ＭＳ Ｐゴシック"/>
            <family val="3"/>
            <charset val="128"/>
          </rPr>
          <t>1：選択集計します。
0：選択しません。</t>
        </r>
      </text>
    </comment>
    <comment ref="D334" authorId="0" shapeId="0" xr:uid="{00000000-0006-0000-0D00-000042010000}">
      <text>
        <r>
          <rPr>
            <sz val="9"/>
            <color indexed="81"/>
            <rFont val="ＭＳ Ｐゴシック"/>
            <family val="3"/>
            <charset val="128"/>
          </rPr>
          <t>1：選択集計します。
0：選択しません。</t>
        </r>
      </text>
    </comment>
    <comment ref="D335" authorId="0" shapeId="0" xr:uid="{00000000-0006-0000-0D00-000043010000}">
      <text>
        <r>
          <rPr>
            <sz val="9"/>
            <color indexed="81"/>
            <rFont val="ＭＳ Ｐゴシック"/>
            <family val="3"/>
            <charset val="128"/>
          </rPr>
          <t>1：選択集計します。
0：選択しません。</t>
        </r>
      </text>
    </comment>
    <comment ref="D336" authorId="0" shapeId="0" xr:uid="{00000000-0006-0000-0D00-000044010000}">
      <text>
        <r>
          <rPr>
            <sz val="9"/>
            <color indexed="81"/>
            <rFont val="ＭＳ Ｐゴシック"/>
            <family val="3"/>
            <charset val="128"/>
          </rPr>
          <t>1：選択集計します。
0：選択しません。</t>
        </r>
      </text>
    </comment>
    <comment ref="D337" authorId="0" shapeId="0" xr:uid="{00000000-0006-0000-0D00-000045010000}">
      <text>
        <r>
          <rPr>
            <sz val="9"/>
            <color indexed="81"/>
            <rFont val="ＭＳ Ｐゴシック"/>
            <family val="3"/>
            <charset val="128"/>
          </rPr>
          <t>1：選択集計します。
0：選択しません。</t>
        </r>
      </text>
    </comment>
    <comment ref="D338" authorId="0" shapeId="0" xr:uid="{00000000-0006-0000-0D00-000046010000}">
      <text>
        <r>
          <rPr>
            <sz val="9"/>
            <color indexed="81"/>
            <rFont val="ＭＳ Ｐゴシック"/>
            <family val="3"/>
            <charset val="128"/>
          </rPr>
          <t>1：選択集計します。
0：選択しません。</t>
        </r>
      </text>
    </comment>
    <comment ref="D339" authorId="0" shapeId="0" xr:uid="{00000000-0006-0000-0D00-000047010000}">
      <text>
        <r>
          <rPr>
            <sz val="9"/>
            <color indexed="81"/>
            <rFont val="ＭＳ Ｐゴシック"/>
            <family val="3"/>
            <charset val="128"/>
          </rPr>
          <t>1：選択集計します。
0：選択しません。</t>
        </r>
      </text>
    </comment>
    <comment ref="D340" authorId="0" shapeId="0" xr:uid="{00000000-0006-0000-0D00-000048010000}">
      <text>
        <r>
          <rPr>
            <sz val="9"/>
            <color indexed="81"/>
            <rFont val="ＭＳ Ｐゴシック"/>
            <family val="3"/>
            <charset val="128"/>
          </rPr>
          <t>1：選択集計します。
0：選択しません。</t>
        </r>
      </text>
    </comment>
    <comment ref="D341" authorId="0" shapeId="0" xr:uid="{00000000-0006-0000-0D00-000049010000}">
      <text>
        <r>
          <rPr>
            <sz val="9"/>
            <color indexed="81"/>
            <rFont val="ＭＳ Ｐゴシック"/>
            <family val="3"/>
            <charset val="128"/>
          </rPr>
          <t>1：選択集計します。
0：選択しません。</t>
        </r>
      </text>
    </comment>
    <comment ref="D342" authorId="0" shapeId="0" xr:uid="{00000000-0006-0000-0D00-00004A010000}">
      <text>
        <r>
          <rPr>
            <sz val="9"/>
            <color indexed="81"/>
            <rFont val="ＭＳ Ｐゴシック"/>
            <family val="3"/>
            <charset val="128"/>
          </rPr>
          <t>1：選択集計します。
0：選択しません。</t>
        </r>
      </text>
    </comment>
    <comment ref="D343" authorId="0" shapeId="0" xr:uid="{00000000-0006-0000-0D00-00004B010000}">
      <text>
        <r>
          <rPr>
            <sz val="9"/>
            <color indexed="81"/>
            <rFont val="ＭＳ Ｐゴシック"/>
            <family val="3"/>
            <charset val="128"/>
          </rPr>
          <t>1：選択集計します。
0：選択しません。</t>
        </r>
      </text>
    </comment>
    <comment ref="D344" authorId="0" shapeId="0" xr:uid="{00000000-0006-0000-0D00-00004C010000}">
      <text>
        <r>
          <rPr>
            <sz val="9"/>
            <color indexed="81"/>
            <rFont val="ＭＳ Ｐゴシック"/>
            <family val="3"/>
            <charset val="128"/>
          </rPr>
          <t>1：選択集計します。
0：選択しません。</t>
        </r>
      </text>
    </comment>
    <comment ref="D345" authorId="0" shapeId="0" xr:uid="{00000000-0006-0000-0D00-00004D010000}">
      <text>
        <r>
          <rPr>
            <sz val="9"/>
            <color indexed="81"/>
            <rFont val="ＭＳ Ｐゴシック"/>
            <family val="3"/>
            <charset val="128"/>
          </rPr>
          <t>1：選択集計します。
0：選択しません。</t>
        </r>
      </text>
    </comment>
    <comment ref="D346" authorId="0" shapeId="0" xr:uid="{00000000-0006-0000-0D00-00004E010000}">
      <text>
        <r>
          <rPr>
            <sz val="9"/>
            <color indexed="81"/>
            <rFont val="ＭＳ Ｐゴシック"/>
            <family val="3"/>
            <charset val="128"/>
          </rPr>
          <t>1：選択集計します。
0：選択しません。</t>
        </r>
      </text>
    </comment>
    <comment ref="H349" authorId="0" shapeId="0" xr:uid="{00000000-0006-0000-0D00-00004F010000}">
      <text>
        <r>
          <rPr>
            <sz val="9"/>
            <color indexed="81"/>
            <rFont val="ＭＳ Ｐゴシック"/>
            <family val="3"/>
            <charset val="128"/>
          </rPr>
          <t>選択列に 1 を入力した工類が集計されます。</t>
        </r>
      </text>
    </comment>
    <comment ref="D350" authorId="0" shapeId="0" xr:uid="{00000000-0006-0000-0D00-000050010000}">
      <text>
        <r>
          <rPr>
            <sz val="9"/>
            <color indexed="81"/>
            <rFont val="ＭＳ Ｐゴシック"/>
            <family val="3"/>
            <charset val="128"/>
          </rPr>
          <t>1：選択集計します。
0：選択しません。</t>
        </r>
      </text>
    </comment>
    <comment ref="D351" authorId="0" shapeId="0" xr:uid="{00000000-0006-0000-0D00-000051010000}">
      <text>
        <r>
          <rPr>
            <sz val="9"/>
            <color indexed="81"/>
            <rFont val="ＭＳ Ｐゴシック"/>
            <family val="3"/>
            <charset val="128"/>
          </rPr>
          <t>1：選択集計します。
0：選択しません。</t>
        </r>
      </text>
    </comment>
    <comment ref="D352" authorId="0" shapeId="0" xr:uid="{00000000-0006-0000-0D00-000052010000}">
      <text>
        <r>
          <rPr>
            <sz val="9"/>
            <color indexed="81"/>
            <rFont val="ＭＳ Ｐゴシック"/>
            <family val="3"/>
            <charset val="128"/>
          </rPr>
          <t>1：選択集計します。
0：選択しません。</t>
        </r>
      </text>
    </comment>
    <comment ref="D353" authorId="0" shapeId="0" xr:uid="{00000000-0006-0000-0D00-000053010000}">
      <text>
        <r>
          <rPr>
            <sz val="9"/>
            <color indexed="81"/>
            <rFont val="ＭＳ Ｐゴシック"/>
            <family val="3"/>
            <charset val="128"/>
          </rPr>
          <t>1：選択集計します。
0：選択しません。</t>
        </r>
      </text>
    </comment>
    <comment ref="D354" authorId="0" shapeId="0" xr:uid="{00000000-0006-0000-0D00-000054010000}">
      <text>
        <r>
          <rPr>
            <sz val="9"/>
            <color indexed="81"/>
            <rFont val="ＭＳ Ｐゴシック"/>
            <family val="3"/>
            <charset val="128"/>
          </rPr>
          <t>1：選択集計します。
0：選択しません。</t>
        </r>
      </text>
    </comment>
    <comment ref="D355" authorId="0" shapeId="0" xr:uid="{00000000-0006-0000-0D00-000055010000}">
      <text>
        <r>
          <rPr>
            <sz val="9"/>
            <color indexed="81"/>
            <rFont val="ＭＳ Ｐゴシック"/>
            <family val="3"/>
            <charset val="128"/>
          </rPr>
          <t>1：選択集計します。
0：選択しません。</t>
        </r>
      </text>
    </comment>
    <comment ref="D356" authorId="0" shapeId="0" xr:uid="{00000000-0006-0000-0D00-000056010000}">
      <text>
        <r>
          <rPr>
            <sz val="9"/>
            <color indexed="81"/>
            <rFont val="ＭＳ Ｐゴシック"/>
            <family val="3"/>
            <charset val="128"/>
          </rPr>
          <t>1：選択集計します。
0：選択しません。</t>
        </r>
      </text>
    </comment>
    <comment ref="D357" authorId="0" shapeId="0" xr:uid="{00000000-0006-0000-0D00-000057010000}">
      <text>
        <r>
          <rPr>
            <sz val="9"/>
            <color indexed="81"/>
            <rFont val="ＭＳ Ｐゴシック"/>
            <family val="3"/>
            <charset val="128"/>
          </rPr>
          <t>1：選択集計します。
0：選択しません。</t>
        </r>
      </text>
    </comment>
    <comment ref="D358" authorId="0" shapeId="0" xr:uid="{00000000-0006-0000-0D00-000058010000}">
      <text>
        <r>
          <rPr>
            <sz val="9"/>
            <color indexed="81"/>
            <rFont val="ＭＳ Ｐゴシック"/>
            <family val="3"/>
            <charset val="128"/>
          </rPr>
          <t>1：選択集計します。
0：選択しません。</t>
        </r>
      </text>
    </comment>
    <comment ref="D359" authorId="0" shapeId="0" xr:uid="{00000000-0006-0000-0D00-000059010000}">
      <text>
        <r>
          <rPr>
            <sz val="9"/>
            <color indexed="81"/>
            <rFont val="ＭＳ Ｐゴシック"/>
            <family val="3"/>
            <charset val="128"/>
          </rPr>
          <t>1：選択集計します。
0：選択しません。</t>
        </r>
      </text>
    </comment>
    <comment ref="D360" authorId="0" shapeId="0" xr:uid="{00000000-0006-0000-0D00-00005A010000}">
      <text>
        <r>
          <rPr>
            <sz val="9"/>
            <color indexed="81"/>
            <rFont val="ＭＳ Ｐゴシック"/>
            <family val="3"/>
            <charset val="128"/>
          </rPr>
          <t>1：選択集計します。
0：選択しません。</t>
        </r>
      </text>
    </comment>
    <comment ref="D361" authorId="0" shapeId="0" xr:uid="{00000000-0006-0000-0D00-00005B010000}">
      <text>
        <r>
          <rPr>
            <sz val="9"/>
            <color indexed="81"/>
            <rFont val="ＭＳ Ｐゴシック"/>
            <family val="3"/>
            <charset val="128"/>
          </rPr>
          <t>1：選択集計します。
0：選択しません。</t>
        </r>
      </text>
    </comment>
    <comment ref="D362" authorId="0" shapeId="0" xr:uid="{00000000-0006-0000-0D00-00005C010000}">
      <text>
        <r>
          <rPr>
            <sz val="9"/>
            <color indexed="81"/>
            <rFont val="ＭＳ Ｐゴシック"/>
            <family val="3"/>
            <charset val="128"/>
          </rPr>
          <t>1：選択集計します。
0：選択しません。</t>
        </r>
      </text>
    </comment>
    <comment ref="D363" authorId="0" shapeId="0" xr:uid="{00000000-0006-0000-0D00-00005D010000}">
      <text>
        <r>
          <rPr>
            <sz val="9"/>
            <color indexed="81"/>
            <rFont val="ＭＳ Ｐゴシック"/>
            <family val="3"/>
            <charset val="128"/>
          </rPr>
          <t>1：選択集計します。
0：選択しません。</t>
        </r>
      </text>
    </comment>
    <comment ref="D364" authorId="0" shapeId="0" xr:uid="{00000000-0006-0000-0D00-00005E010000}">
      <text>
        <r>
          <rPr>
            <sz val="9"/>
            <color indexed="81"/>
            <rFont val="ＭＳ Ｐゴシック"/>
            <family val="3"/>
            <charset val="128"/>
          </rPr>
          <t>1：選択集計します。
0：選択しません。</t>
        </r>
      </text>
    </comment>
    <comment ref="D365" authorId="0" shapeId="0" xr:uid="{00000000-0006-0000-0D00-00005F010000}">
      <text>
        <r>
          <rPr>
            <sz val="9"/>
            <color indexed="81"/>
            <rFont val="ＭＳ Ｐゴシック"/>
            <family val="3"/>
            <charset val="128"/>
          </rPr>
          <t>1：選択集計します。
0：選択しません。</t>
        </r>
      </text>
    </comment>
    <comment ref="D366" authorId="0" shapeId="0" xr:uid="{00000000-0006-0000-0D00-000060010000}">
      <text>
        <r>
          <rPr>
            <sz val="9"/>
            <color indexed="81"/>
            <rFont val="ＭＳ Ｐゴシック"/>
            <family val="3"/>
            <charset val="128"/>
          </rPr>
          <t>1：選択集計します。
0：選択しません。</t>
        </r>
      </text>
    </comment>
    <comment ref="D367" authorId="0" shapeId="0" xr:uid="{00000000-0006-0000-0D00-000061010000}">
      <text>
        <r>
          <rPr>
            <sz val="9"/>
            <color indexed="81"/>
            <rFont val="ＭＳ Ｐゴシック"/>
            <family val="3"/>
            <charset val="128"/>
          </rPr>
          <t>1：選択集計します。
0：選択しません。</t>
        </r>
      </text>
    </comment>
    <comment ref="D368" authorId="0" shapeId="0" xr:uid="{00000000-0006-0000-0D00-000062010000}">
      <text>
        <r>
          <rPr>
            <sz val="9"/>
            <color indexed="81"/>
            <rFont val="ＭＳ Ｐゴシック"/>
            <family val="3"/>
            <charset val="128"/>
          </rPr>
          <t>1：選択集計します。
0：選択しません。</t>
        </r>
      </text>
    </comment>
    <comment ref="D369" authorId="0" shapeId="0" xr:uid="{00000000-0006-0000-0D00-000063010000}">
      <text>
        <r>
          <rPr>
            <sz val="9"/>
            <color indexed="81"/>
            <rFont val="ＭＳ Ｐゴシック"/>
            <family val="3"/>
            <charset val="128"/>
          </rPr>
          <t>1：選択集計します。
0：選択しません。</t>
        </r>
      </text>
    </comment>
    <comment ref="D370" authorId="0" shapeId="0" xr:uid="{00000000-0006-0000-0D00-000064010000}">
      <text>
        <r>
          <rPr>
            <sz val="9"/>
            <color indexed="81"/>
            <rFont val="ＭＳ Ｐゴシック"/>
            <family val="3"/>
            <charset val="128"/>
          </rPr>
          <t>1：選択集計します。
0：選択しません。</t>
        </r>
      </text>
    </comment>
    <comment ref="D371" authorId="0" shapeId="0" xr:uid="{00000000-0006-0000-0D00-000065010000}">
      <text>
        <r>
          <rPr>
            <sz val="9"/>
            <color indexed="81"/>
            <rFont val="ＭＳ Ｐゴシック"/>
            <family val="3"/>
            <charset val="128"/>
          </rPr>
          <t>1：選択集計します。
0：選択しません。</t>
        </r>
      </text>
    </comment>
    <comment ref="D372" authorId="0" shapeId="0" xr:uid="{00000000-0006-0000-0D00-000066010000}">
      <text>
        <r>
          <rPr>
            <sz val="9"/>
            <color indexed="81"/>
            <rFont val="ＭＳ Ｐゴシック"/>
            <family val="3"/>
            <charset val="128"/>
          </rPr>
          <t>1：選択集計します。
0：選択しません。</t>
        </r>
      </text>
    </comment>
    <comment ref="D373" authorId="0" shapeId="0" xr:uid="{00000000-0006-0000-0D00-000067010000}">
      <text>
        <r>
          <rPr>
            <sz val="9"/>
            <color indexed="81"/>
            <rFont val="ＭＳ Ｐゴシック"/>
            <family val="3"/>
            <charset val="128"/>
          </rPr>
          <t>1：選択集計します。
0：選択しません。</t>
        </r>
      </text>
    </comment>
    <comment ref="D374" authorId="0" shapeId="0" xr:uid="{00000000-0006-0000-0D00-000068010000}">
      <text>
        <r>
          <rPr>
            <sz val="9"/>
            <color indexed="81"/>
            <rFont val="ＭＳ Ｐゴシック"/>
            <family val="3"/>
            <charset val="128"/>
          </rPr>
          <t>1：選択集計します。
0：選択しません。</t>
        </r>
      </text>
    </comment>
    <comment ref="D375" authorId="0" shapeId="0" xr:uid="{00000000-0006-0000-0D00-000069010000}">
      <text>
        <r>
          <rPr>
            <sz val="9"/>
            <color indexed="81"/>
            <rFont val="ＭＳ Ｐゴシック"/>
            <family val="3"/>
            <charset val="128"/>
          </rPr>
          <t>1：選択集計します。
0：選択しません。</t>
        </r>
      </text>
    </comment>
    <comment ref="D376" authorId="0" shapeId="0" xr:uid="{00000000-0006-0000-0D00-00006A010000}">
      <text>
        <r>
          <rPr>
            <sz val="9"/>
            <color indexed="81"/>
            <rFont val="ＭＳ Ｐゴシック"/>
            <family val="3"/>
            <charset val="128"/>
          </rPr>
          <t>1：選択集計します。
0：選択しません。</t>
        </r>
      </text>
    </comment>
    <comment ref="D377" authorId="0" shapeId="0" xr:uid="{00000000-0006-0000-0D00-00006B010000}">
      <text>
        <r>
          <rPr>
            <sz val="9"/>
            <color indexed="81"/>
            <rFont val="ＭＳ Ｐゴシック"/>
            <family val="3"/>
            <charset val="128"/>
          </rPr>
          <t>1：選択集計します。
0：選択しません。</t>
        </r>
      </text>
    </comment>
    <comment ref="D378" authorId="0" shapeId="0" xr:uid="{00000000-0006-0000-0D00-00006C010000}">
      <text>
        <r>
          <rPr>
            <sz val="9"/>
            <color indexed="81"/>
            <rFont val="ＭＳ Ｐゴシック"/>
            <family val="3"/>
            <charset val="128"/>
          </rPr>
          <t>1：選択集計します。
0：選択しません。</t>
        </r>
      </text>
    </comment>
    <comment ref="D379" authorId="0" shapeId="0" xr:uid="{00000000-0006-0000-0D00-00006D010000}">
      <text>
        <r>
          <rPr>
            <sz val="9"/>
            <color indexed="81"/>
            <rFont val="ＭＳ Ｐゴシック"/>
            <family val="3"/>
            <charset val="128"/>
          </rPr>
          <t>1：選択集計します。
0：選択しません。</t>
        </r>
      </text>
    </comment>
    <comment ref="D380" authorId="0" shapeId="0" xr:uid="{00000000-0006-0000-0D00-00006E010000}">
      <text>
        <r>
          <rPr>
            <sz val="9"/>
            <color indexed="81"/>
            <rFont val="ＭＳ Ｐゴシック"/>
            <family val="3"/>
            <charset val="128"/>
          </rPr>
          <t>1：選択集計します。
0：選択しません。</t>
        </r>
      </text>
    </comment>
    <comment ref="D381" authorId="0" shapeId="0" xr:uid="{00000000-0006-0000-0D00-00006F010000}">
      <text>
        <r>
          <rPr>
            <sz val="9"/>
            <color indexed="81"/>
            <rFont val="ＭＳ Ｐゴシック"/>
            <family val="3"/>
            <charset val="128"/>
          </rPr>
          <t>1：選択集計します。
0：選択しません。</t>
        </r>
      </text>
    </comment>
    <comment ref="D382" authorId="0" shapeId="0" xr:uid="{00000000-0006-0000-0D00-000070010000}">
      <text>
        <r>
          <rPr>
            <sz val="9"/>
            <color indexed="81"/>
            <rFont val="ＭＳ Ｐゴシック"/>
            <family val="3"/>
            <charset val="128"/>
          </rPr>
          <t>1：選択集計します。
0：選択しません。</t>
        </r>
      </text>
    </comment>
    <comment ref="D383" authorId="0" shapeId="0" xr:uid="{00000000-0006-0000-0D00-000071010000}">
      <text>
        <r>
          <rPr>
            <sz val="9"/>
            <color indexed="81"/>
            <rFont val="ＭＳ Ｐゴシック"/>
            <family val="3"/>
            <charset val="128"/>
          </rPr>
          <t>1：選択集計します。
0：選択しません。</t>
        </r>
      </text>
    </comment>
    <comment ref="D384" authorId="0" shapeId="0" xr:uid="{00000000-0006-0000-0D00-000072010000}">
      <text>
        <r>
          <rPr>
            <sz val="9"/>
            <color indexed="81"/>
            <rFont val="ＭＳ Ｐゴシック"/>
            <family val="3"/>
            <charset val="128"/>
          </rPr>
          <t>1：選択集計します。
0：選択しません。</t>
        </r>
      </text>
    </comment>
    <comment ref="D385" authorId="0" shapeId="0" xr:uid="{00000000-0006-0000-0D00-000073010000}">
      <text>
        <r>
          <rPr>
            <sz val="9"/>
            <color indexed="81"/>
            <rFont val="ＭＳ Ｐゴシック"/>
            <family val="3"/>
            <charset val="128"/>
          </rPr>
          <t>1：選択集計します。
0：選択しません。</t>
        </r>
      </text>
    </comment>
    <comment ref="D386" authorId="0" shapeId="0" xr:uid="{00000000-0006-0000-0D00-000074010000}">
      <text>
        <r>
          <rPr>
            <sz val="9"/>
            <color indexed="81"/>
            <rFont val="ＭＳ Ｐゴシック"/>
            <family val="3"/>
            <charset val="128"/>
          </rPr>
          <t>1：選択集計します。
0：選択しません。</t>
        </r>
      </text>
    </comment>
    <comment ref="D387" authorId="0" shapeId="0" xr:uid="{00000000-0006-0000-0D00-000075010000}">
      <text>
        <r>
          <rPr>
            <sz val="9"/>
            <color indexed="81"/>
            <rFont val="ＭＳ Ｐゴシック"/>
            <family val="3"/>
            <charset val="128"/>
          </rPr>
          <t>1：選択集計します。
0：選択しません。</t>
        </r>
      </text>
    </comment>
    <comment ref="D388" authorId="0" shapeId="0" xr:uid="{00000000-0006-0000-0D00-000076010000}">
      <text>
        <r>
          <rPr>
            <sz val="9"/>
            <color indexed="81"/>
            <rFont val="ＭＳ Ｐゴシック"/>
            <family val="3"/>
            <charset val="128"/>
          </rPr>
          <t>1：選択集計します。
0：選択しません。</t>
        </r>
      </text>
    </comment>
    <comment ref="D389" authorId="0" shapeId="0" xr:uid="{00000000-0006-0000-0D00-000077010000}">
      <text>
        <r>
          <rPr>
            <sz val="9"/>
            <color indexed="81"/>
            <rFont val="ＭＳ Ｐゴシック"/>
            <family val="3"/>
            <charset val="128"/>
          </rPr>
          <t>1：選択集計します。
0：選択しません。</t>
        </r>
      </text>
    </comment>
    <comment ref="D390" authorId="0" shapeId="0" xr:uid="{00000000-0006-0000-0D00-000078010000}">
      <text>
        <r>
          <rPr>
            <sz val="9"/>
            <color indexed="81"/>
            <rFont val="ＭＳ Ｐゴシック"/>
            <family val="3"/>
            <charset val="128"/>
          </rPr>
          <t>1：選択集計します。
0：選択しません。</t>
        </r>
      </text>
    </comment>
    <comment ref="D391" authorId="0" shapeId="0" xr:uid="{00000000-0006-0000-0D00-000079010000}">
      <text>
        <r>
          <rPr>
            <sz val="9"/>
            <color indexed="81"/>
            <rFont val="ＭＳ Ｐゴシック"/>
            <family val="3"/>
            <charset val="128"/>
          </rPr>
          <t>1：選択集計します。
0：選択しません。</t>
        </r>
      </text>
    </comment>
    <comment ref="D392" authorId="0" shapeId="0" xr:uid="{00000000-0006-0000-0D00-00007A010000}">
      <text>
        <r>
          <rPr>
            <sz val="9"/>
            <color indexed="81"/>
            <rFont val="ＭＳ Ｐゴシック"/>
            <family val="3"/>
            <charset val="128"/>
          </rPr>
          <t>1：選択集計します。
0：選択しません。</t>
        </r>
      </text>
    </comment>
    <comment ref="D393" authorId="0" shapeId="0" xr:uid="{00000000-0006-0000-0D00-00007B010000}">
      <text>
        <r>
          <rPr>
            <sz val="9"/>
            <color indexed="81"/>
            <rFont val="ＭＳ Ｐゴシック"/>
            <family val="3"/>
            <charset val="128"/>
          </rPr>
          <t>1：選択集計します。
0：選択しません。</t>
        </r>
      </text>
    </comment>
    <comment ref="D394" authorId="0" shapeId="0" xr:uid="{00000000-0006-0000-0D00-00007C010000}">
      <text>
        <r>
          <rPr>
            <sz val="9"/>
            <color indexed="81"/>
            <rFont val="ＭＳ Ｐゴシック"/>
            <family val="3"/>
            <charset val="128"/>
          </rPr>
          <t>1：選択集計します。
0：選択しません。</t>
        </r>
      </text>
    </comment>
    <comment ref="D395" authorId="0" shapeId="0" xr:uid="{00000000-0006-0000-0D00-00007D010000}">
      <text>
        <r>
          <rPr>
            <sz val="9"/>
            <color indexed="81"/>
            <rFont val="ＭＳ Ｐゴシック"/>
            <family val="3"/>
            <charset val="128"/>
          </rPr>
          <t>1：選択集計します。
0：選択しません。</t>
        </r>
      </text>
    </comment>
    <comment ref="D396" authorId="0" shapeId="0" xr:uid="{00000000-0006-0000-0D00-00007E010000}">
      <text>
        <r>
          <rPr>
            <sz val="9"/>
            <color indexed="81"/>
            <rFont val="ＭＳ Ｐゴシック"/>
            <family val="3"/>
            <charset val="128"/>
          </rPr>
          <t>1：選択集計します。
0：選択しません。</t>
        </r>
      </text>
    </comment>
    <comment ref="D397" authorId="0" shapeId="0" xr:uid="{00000000-0006-0000-0D00-00007F010000}">
      <text>
        <r>
          <rPr>
            <sz val="9"/>
            <color indexed="81"/>
            <rFont val="ＭＳ Ｐゴシック"/>
            <family val="3"/>
            <charset val="128"/>
          </rPr>
          <t>1：選択集計します。
0：選択しません。</t>
        </r>
      </text>
    </comment>
    <comment ref="D398" authorId="0" shapeId="0" xr:uid="{00000000-0006-0000-0D00-000080010000}">
      <text>
        <r>
          <rPr>
            <sz val="9"/>
            <color indexed="81"/>
            <rFont val="ＭＳ Ｐゴシック"/>
            <family val="3"/>
            <charset val="128"/>
          </rPr>
          <t>1：選択集計します。
0：選択しません。</t>
        </r>
      </text>
    </comment>
    <comment ref="D399" authorId="0" shapeId="0" xr:uid="{00000000-0006-0000-0D00-000081010000}">
      <text>
        <r>
          <rPr>
            <sz val="9"/>
            <color indexed="81"/>
            <rFont val="ＭＳ Ｐゴシック"/>
            <family val="3"/>
            <charset val="128"/>
          </rPr>
          <t>1：選択集計します。
0：選択しません。</t>
        </r>
      </text>
    </comment>
    <comment ref="D400" authorId="0" shapeId="0" xr:uid="{00000000-0006-0000-0D00-000082010000}">
      <text>
        <r>
          <rPr>
            <sz val="9"/>
            <color indexed="81"/>
            <rFont val="ＭＳ Ｐゴシック"/>
            <family val="3"/>
            <charset val="128"/>
          </rPr>
          <t>1：選択集計します。
0：選択しません。</t>
        </r>
      </text>
    </comment>
    <comment ref="D401" authorId="0" shapeId="0" xr:uid="{00000000-0006-0000-0D00-000083010000}">
      <text>
        <r>
          <rPr>
            <sz val="9"/>
            <color indexed="81"/>
            <rFont val="ＭＳ Ｐゴシック"/>
            <family val="3"/>
            <charset val="128"/>
          </rPr>
          <t>1：選択集計します。
0：選択しません。</t>
        </r>
      </text>
    </comment>
    <comment ref="D402" authorId="0" shapeId="0" xr:uid="{00000000-0006-0000-0D00-000084010000}">
      <text>
        <r>
          <rPr>
            <sz val="9"/>
            <color indexed="81"/>
            <rFont val="ＭＳ Ｐゴシック"/>
            <family val="3"/>
            <charset val="128"/>
          </rPr>
          <t>1：選択集計します。
0：選択しません。</t>
        </r>
      </text>
    </comment>
    <comment ref="D403" authorId="0" shapeId="0" xr:uid="{00000000-0006-0000-0D00-000085010000}">
      <text>
        <r>
          <rPr>
            <sz val="9"/>
            <color indexed="81"/>
            <rFont val="ＭＳ Ｐゴシック"/>
            <family val="3"/>
            <charset val="128"/>
          </rPr>
          <t>1：選択集計します。
0：選択しません。</t>
        </r>
      </text>
    </comment>
    <comment ref="D404" authorId="0" shapeId="0" xr:uid="{00000000-0006-0000-0D00-000086010000}">
      <text>
        <r>
          <rPr>
            <sz val="9"/>
            <color indexed="81"/>
            <rFont val="ＭＳ Ｐゴシック"/>
            <family val="3"/>
            <charset val="128"/>
          </rPr>
          <t>1：選択集計します。
0：選択しません。</t>
        </r>
      </text>
    </comment>
    <comment ref="D405" authorId="0" shapeId="0" xr:uid="{00000000-0006-0000-0D00-000087010000}">
      <text>
        <r>
          <rPr>
            <sz val="9"/>
            <color indexed="81"/>
            <rFont val="ＭＳ Ｐゴシック"/>
            <family val="3"/>
            <charset val="128"/>
          </rPr>
          <t>1：選択集計します。
0：選択しません。</t>
        </r>
      </text>
    </comment>
    <comment ref="D406" authorId="0" shapeId="0" xr:uid="{00000000-0006-0000-0D00-000088010000}">
      <text>
        <r>
          <rPr>
            <sz val="9"/>
            <color indexed="81"/>
            <rFont val="ＭＳ Ｐゴシック"/>
            <family val="3"/>
            <charset val="128"/>
          </rPr>
          <t>1：選択集計します。
0：選択しません。</t>
        </r>
      </text>
    </comment>
    <comment ref="D407" authorId="0" shapeId="0" xr:uid="{00000000-0006-0000-0D00-000089010000}">
      <text>
        <r>
          <rPr>
            <sz val="9"/>
            <color indexed="81"/>
            <rFont val="ＭＳ Ｐゴシック"/>
            <family val="3"/>
            <charset val="128"/>
          </rPr>
          <t>1：選択集計します。
0：選択しません。</t>
        </r>
      </text>
    </comment>
    <comment ref="D408" authorId="0" shapeId="0" xr:uid="{00000000-0006-0000-0D00-00008A010000}">
      <text>
        <r>
          <rPr>
            <sz val="9"/>
            <color indexed="81"/>
            <rFont val="ＭＳ Ｐゴシック"/>
            <family val="3"/>
            <charset val="128"/>
          </rPr>
          <t>1：選択集計します。
0：選択しません。</t>
        </r>
      </text>
    </comment>
    <comment ref="D409" authorId="0" shapeId="0" xr:uid="{00000000-0006-0000-0D00-00008B010000}">
      <text>
        <r>
          <rPr>
            <sz val="9"/>
            <color indexed="81"/>
            <rFont val="ＭＳ Ｐゴシック"/>
            <family val="3"/>
            <charset val="128"/>
          </rPr>
          <t>1：選択集計します。
0：選択しません。</t>
        </r>
      </text>
    </comment>
    <comment ref="D410" authorId="0" shapeId="0" xr:uid="{00000000-0006-0000-0D00-00008C010000}">
      <text>
        <r>
          <rPr>
            <sz val="9"/>
            <color indexed="81"/>
            <rFont val="ＭＳ Ｐゴシック"/>
            <family val="3"/>
            <charset val="128"/>
          </rPr>
          <t>1：選択集計します。
0：選択しません。</t>
        </r>
      </text>
    </comment>
    <comment ref="D411" authorId="0" shapeId="0" xr:uid="{00000000-0006-0000-0D00-00008D010000}">
      <text>
        <r>
          <rPr>
            <sz val="9"/>
            <color indexed="81"/>
            <rFont val="ＭＳ Ｐゴシック"/>
            <family val="3"/>
            <charset val="128"/>
          </rPr>
          <t>1：選択集計します。
0：選択しません。</t>
        </r>
      </text>
    </comment>
    <comment ref="D412" authorId="0" shapeId="0" xr:uid="{00000000-0006-0000-0D00-00008E010000}">
      <text>
        <r>
          <rPr>
            <sz val="9"/>
            <color indexed="81"/>
            <rFont val="ＭＳ Ｐゴシック"/>
            <family val="3"/>
            <charset val="128"/>
          </rPr>
          <t>1：選択集計します。
0：選択しません。</t>
        </r>
      </text>
    </comment>
    <comment ref="D413" authorId="0" shapeId="0" xr:uid="{00000000-0006-0000-0D00-00008F010000}">
      <text>
        <r>
          <rPr>
            <sz val="9"/>
            <color indexed="81"/>
            <rFont val="ＭＳ Ｐゴシック"/>
            <family val="3"/>
            <charset val="128"/>
          </rPr>
          <t>1：選択集計します。
0：選択しません。</t>
        </r>
      </text>
    </comment>
    <comment ref="D414" authorId="0" shapeId="0" xr:uid="{00000000-0006-0000-0D00-000090010000}">
      <text>
        <r>
          <rPr>
            <sz val="9"/>
            <color indexed="81"/>
            <rFont val="ＭＳ Ｐゴシック"/>
            <family val="3"/>
            <charset val="128"/>
          </rPr>
          <t>1：選択集計します。
0：選択しません。</t>
        </r>
      </text>
    </comment>
    <comment ref="D415" authorId="0" shapeId="0" xr:uid="{00000000-0006-0000-0D00-000091010000}">
      <text>
        <r>
          <rPr>
            <sz val="9"/>
            <color indexed="81"/>
            <rFont val="ＭＳ Ｐゴシック"/>
            <family val="3"/>
            <charset val="128"/>
          </rPr>
          <t>1：選択集計します。
0：選択しません。</t>
        </r>
      </text>
    </comment>
    <comment ref="D416" authorId="0" shapeId="0" xr:uid="{00000000-0006-0000-0D00-000092010000}">
      <text>
        <r>
          <rPr>
            <sz val="9"/>
            <color indexed="81"/>
            <rFont val="ＭＳ Ｐゴシック"/>
            <family val="3"/>
            <charset val="128"/>
          </rPr>
          <t>1：選択集計します。
0：選択しません。</t>
        </r>
      </text>
    </comment>
    <comment ref="D417" authorId="0" shapeId="0" xr:uid="{00000000-0006-0000-0D00-000093010000}">
      <text>
        <r>
          <rPr>
            <sz val="9"/>
            <color indexed="81"/>
            <rFont val="ＭＳ Ｐゴシック"/>
            <family val="3"/>
            <charset val="128"/>
          </rPr>
          <t>1：選択集計します。
0：選択しません。</t>
        </r>
      </text>
    </comment>
    <comment ref="D418" authorId="0" shapeId="0" xr:uid="{00000000-0006-0000-0D00-000094010000}">
      <text>
        <r>
          <rPr>
            <sz val="9"/>
            <color indexed="81"/>
            <rFont val="ＭＳ Ｐゴシック"/>
            <family val="3"/>
            <charset val="128"/>
          </rPr>
          <t>1：選択集計します。
0：選択しません。</t>
        </r>
      </text>
    </comment>
    <comment ref="D419" authorId="0" shapeId="0" xr:uid="{00000000-0006-0000-0D00-000095010000}">
      <text>
        <r>
          <rPr>
            <sz val="9"/>
            <color indexed="81"/>
            <rFont val="ＭＳ Ｐゴシック"/>
            <family val="3"/>
            <charset val="128"/>
          </rPr>
          <t>1：選択集計します。
0：選択しません。</t>
        </r>
      </text>
    </comment>
    <comment ref="D420" authorId="0" shapeId="0" xr:uid="{00000000-0006-0000-0D00-000096010000}">
      <text>
        <r>
          <rPr>
            <sz val="9"/>
            <color indexed="81"/>
            <rFont val="ＭＳ Ｐゴシック"/>
            <family val="3"/>
            <charset val="128"/>
          </rPr>
          <t>1：選択集計します。
0：選択しません。</t>
        </r>
      </text>
    </comment>
    <comment ref="D421" authorId="0" shapeId="0" xr:uid="{00000000-0006-0000-0D00-000097010000}">
      <text>
        <r>
          <rPr>
            <sz val="9"/>
            <color indexed="81"/>
            <rFont val="ＭＳ Ｐゴシック"/>
            <family val="3"/>
            <charset val="128"/>
          </rPr>
          <t>1：選択集計します。
0：選択しません。</t>
        </r>
      </text>
    </comment>
    <comment ref="D422" authorId="0" shapeId="0" xr:uid="{00000000-0006-0000-0D00-000098010000}">
      <text>
        <r>
          <rPr>
            <sz val="9"/>
            <color indexed="81"/>
            <rFont val="ＭＳ Ｐゴシック"/>
            <family val="3"/>
            <charset val="128"/>
          </rPr>
          <t>1：選択集計します。
0：選択しません。</t>
        </r>
      </text>
    </comment>
    <comment ref="D423" authorId="0" shapeId="0" xr:uid="{00000000-0006-0000-0D00-000099010000}">
      <text>
        <r>
          <rPr>
            <sz val="9"/>
            <color indexed="81"/>
            <rFont val="ＭＳ Ｐゴシック"/>
            <family val="3"/>
            <charset val="128"/>
          </rPr>
          <t>1：選択集計します。
0：選択しません。</t>
        </r>
      </text>
    </comment>
    <comment ref="D424" authorId="0" shapeId="0" xr:uid="{00000000-0006-0000-0D00-00009A010000}">
      <text>
        <r>
          <rPr>
            <sz val="9"/>
            <color indexed="81"/>
            <rFont val="ＭＳ Ｐゴシック"/>
            <family val="3"/>
            <charset val="128"/>
          </rPr>
          <t>1：選択集計します。
0：選択しません。</t>
        </r>
      </text>
    </comment>
    <comment ref="D425" authorId="0" shapeId="0" xr:uid="{00000000-0006-0000-0D00-00009B010000}">
      <text>
        <r>
          <rPr>
            <sz val="9"/>
            <color indexed="81"/>
            <rFont val="ＭＳ Ｐゴシック"/>
            <family val="3"/>
            <charset val="128"/>
          </rPr>
          <t>1：選択集計します。
0：選択しません。</t>
        </r>
      </text>
    </comment>
    <comment ref="D426" authorId="0" shapeId="0" xr:uid="{00000000-0006-0000-0D00-00009C010000}">
      <text>
        <r>
          <rPr>
            <sz val="9"/>
            <color indexed="81"/>
            <rFont val="ＭＳ Ｐゴシック"/>
            <family val="3"/>
            <charset val="128"/>
          </rPr>
          <t>1：選択集計します。
0：選択しません。</t>
        </r>
      </text>
    </comment>
    <comment ref="D427" authorId="0" shapeId="0" xr:uid="{00000000-0006-0000-0D00-00009D010000}">
      <text>
        <r>
          <rPr>
            <sz val="9"/>
            <color indexed="81"/>
            <rFont val="ＭＳ Ｐゴシック"/>
            <family val="3"/>
            <charset val="128"/>
          </rPr>
          <t>1：選択集計します。
0：選択しません。</t>
        </r>
      </text>
    </comment>
    <comment ref="D428" authorId="0" shapeId="0" xr:uid="{00000000-0006-0000-0D00-00009E010000}">
      <text>
        <r>
          <rPr>
            <sz val="9"/>
            <color indexed="81"/>
            <rFont val="ＭＳ Ｐゴシック"/>
            <family val="3"/>
            <charset val="128"/>
          </rPr>
          <t>1：選択集計します。
0：選択しません。</t>
        </r>
      </text>
    </comment>
    <comment ref="D429" authorId="0" shapeId="0" xr:uid="{00000000-0006-0000-0D00-00009F010000}">
      <text>
        <r>
          <rPr>
            <sz val="9"/>
            <color indexed="81"/>
            <rFont val="ＭＳ Ｐゴシック"/>
            <family val="3"/>
            <charset val="128"/>
          </rPr>
          <t>1：選択集計します。
0：選択しません。</t>
        </r>
      </text>
    </comment>
    <comment ref="D430" authorId="0" shapeId="0" xr:uid="{00000000-0006-0000-0D00-0000A0010000}">
      <text>
        <r>
          <rPr>
            <sz val="9"/>
            <color indexed="81"/>
            <rFont val="ＭＳ Ｐゴシック"/>
            <family val="3"/>
            <charset val="128"/>
          </rPr>
          <t>1：選択集計します。
0：選択しません。</t>
        </r>
      </text>
    </comment>
    <comment ref="D431" authorId="0" shapeId="0" xr:uid="{00000000-0006-0000-0D00-0000A1010000}">
      <text>
        <r>
          <rPr>
            <sz val="9"/>
            <color indexed="81"/>
            <rFont val="ＭＳ Ｐゴシック"/>
            <family val="3"/>
            <charset val="128"/>
          </rPr>
          <t>1：選択集計します。
0：選択しません。</t>
        </r>
      </text>
    </comment>
    <comment ref="H434" authorId="0" shapeId="0" xr:uid="{00000000-0006-0000-0D00-0000A2010000}">
      <text>
        <r>
          <rPr>
            <sz val="9"/>
            <color indexed="81"/>
            <rFont val="ＭＳ Ｐゴシック"/>
            <family val="3"/>
            <charset val="128"/>
          </rPr>
          <t>選択列に 1 を入力した工類が集計されます。</t>
        </r>
      </text>
    </comment>
    <comment ref="D435" authorId="0" shapeId="0" xr:uid="{00000000-0006-0000-0D00-0000A3010000}">
      <text>
        <r>
          <rPr>
            <sz val="9"/>
            <color indexed="81"/>
            <rFont val="ＭＳ Ｐゴシック"/>
            <family val="3"/>
            <charset val="128"/>
          </rPr>
          <t>1：選択集計します。
0：選択しません。</t>
        </r>
      </text>
    </comment>
    <comment ref="D436" authorId="0" shapeId="0" xr:uid="{00000000-0006-0000-0D00-0000A4010000}">
      <text>
        <r>
          <rPr>
            <sz val="9"/>
            <color indexed="81"/>
            <rFont val="ＭＳ Ｐゴシック"/>
            <family val="3"/>
            <charset val="128"/>
          </rPr>
          <t>1：選択集計します。
0：選択しません。</t>
        </r>
      </text>
    </comment>
    <comment ref="D437" authorId="0" shapeId="0" xr:uid="{00000000-0006-0000-0D00-0000A5010000}">
      <text>
        <r>
          <rPr>
            <sz val="9"/>
            <color indexed="81"/>
            <rFont val="ＭＳ Ｐゴシック"/>
            <family val="3"/>
            <charset val="128"/>
          </rPr>
          <t>1：選択集計します。
0：選択しません。</t>
        </r>
      </text>
    </comment>
    <comment ref="D438" authorId="0" shapeId="0" xr:uid="{00000000-0006-0000-0D00-0000A6010000}">
      <text>
        <r>
          <rPr>
            <sz val="9"/>
            <color indexed="81"/>
            <rFont val="ＭＳ Ｐゴシック"/>
            <family val="3"/>
            <charset val="128"/>
          </rPr>
          <t>1：選択集計します。
0：選択しません。</t>
        </r>
      </text>
    </comment>
    <comment ref="D439" authorId="0" shapeId="0" xr:uid="{00000000-0006-0000-0D00-0000A7010000}">
      <text>
        <r>
          <rPr>
            <sz val="9"/>
            <color indexed="81"/>
            <rFont val="ＭＳ Ｐゴシック"/>
            <family val="3"/>
            <charset val="128"/>
          </rPr>
          <t>1：選択集計します。
0：選択しません。</t>
        </r>
      </text>
    </comment>
    <comment ref="D440" authorId="0" shapeId="0" xr:uid="{00000000-0006-0000-0D00-0000A8010000}">
      <text>
        <r>
          <rPr>
            <sz val="9"/>
            <color indexed="81"/>
            <rFont val="ＭＳ Ｐゴシック"/>
            <family val="3"/>
            <charset val="128"/>
          </rPr>
          <t>1：選択集計します。
0：選択しません。</t>
        </r>
      </text>
    </comment>
    <comment ref="D441" authorId="0" shapeId="0" xr:uid="{00000000-0006-0000-0D00-0000A9010000}">
      <text>
        <r>
          <rPr>
            <sz val="9"/>
            <color indexed="81"/>
            <rFont val="ＭＳ Ｐゴシック"/>
            <family val="3"/>
            <charset val="128"/>
          </rPr>
          <t>1：選択集計します。
0：選択しません。</t>
        </r>
      </text>
    </comment>
    <comment ref="D442" authorId="0" shapeId="0" xr:uid="{00000000-0006-0000-0D00-0000AA010000}">
      <text>
        <r>
          <rPr>
            <sz val="9"/>
            <color indexed="81"/>
            <rFont val="ＭＳ Ｐゴシック"/>
            <family val="3"/>
            <charset val="128"/>
          </rPr>
          <t>1：選択集計します。
0：選択しません。</t>
        </r>
      </text>
    </comment>
    <comment ref="D443" authorId="0" shapeId="0" xr:uid="{00000000-0006-0000-0D00-0000AB010000}">
      <text>
        <r>
          <rPr>
            <sz val="9"/>
            <color indexed="81"/>
            <rFont val="ＭＳ Ｐゴシック"/>
            <family val="3"/>
            <charset val="128"/>
          </rPr>
          <t>1：選択集計します。
0：選択しません。</t>
        </r>
      </text>
    </comment>
    <comment ref="D444" authorId="0" shapeId="0" xr:uid="{00000000-0006-0000-0D00-0000AC010000}">
      <text>
        <r>
          <rPr>
            <sz val="9"/>
            <color indexed="81"/>
            <rFont val="ＭＳ Ｐゴシック"/>
            <family val="3"/>
            <charset val="128"/>
          </rPr>
          <t>1：選択集計します。
0：選択しません。</t>
        </r>
      </text>
    </comment>
    <comment ref="D445" authorId="0" shapeId="0" xr:uid="{00000000-0006-0000-0D00-0000AD010000}">
      <text>
        <r>
          <rPr>
            <sz val="9"/>
            <color indexed="81"/>
            <rFont val="ＭＳ Ｐゴシック"/>
            <family val="3"/>
            <charset val="128"/>
          </rPr>
          <t>1：選択集計します。
0：選択しません。</t>
        </r>
      </text>
    </comment>
    <comment ref="D446" authorId="0" shapeId="0" xr:uid="{00000000-0006-0000-0D00-0000AE010000}">
      <text>
        <r>
          <rPr>
            <sz val="9"/>
            <color indexed="81"/>
            <rFont val="ＭＳ Ｐゴシック"/>
            <family val="3"/>
            <charset val="128"/>
          </rPr>
          <t>1：選択集計します。
0：選択しません。</t>
        </r>
      </text>
    </comment>
    <comment ref="D447" authorId="0" shapeId="0" xr:uid="{00000000-0006-0000-0D00-0000AF010000}">
      <text>
        <r>
          <rPr>
            <sz val="9"/>
            <color indexed="81"/>
            <rFont val="ＭＳ Ｐゴシック"/>
            <family val="3"/>
            <charset val="128"/>
          </rPr>
          <t>1：選択集計します。
0：選択しません。</t>
        </r>
      </text>
    </comment>
    <comment ref="D448" authorId="0" shapeId="0" xr:uid="{00000000-0006-0000-0D00-0000B0010000}">
      <text>
        <r>
          <rPr>
            <sz val="9"/>
            <color indexed="81"/>
            <rFont val="ＭＳ Ｐゴシック"/>
            <family val="3"/>
            <charset val="128"/>
          </rPr>
          <t>1：選択集計します。
0：選択しません。</t>
        </r>
      </text>
    </comment>
    <comment ref="D449" authorId="0" shapeId="0" xr:uid="{00000000-0006-0000-0D00-0000B1010000}">
      <text>
        <r>
          <rPr>
            <sz val="9"/>
            <color indexed="81"/>
            <rFont val="ＭＳ Ｐゴシック"/>
            <family val="3"/>
            <charset val="128"/>
          </rPr>
          <t>1：選択集計します。
0：選択しません。</t>
        </r>
      </text>
    </comment>
    <comment ref="D450" authorId="0" shapeId="0" xr:uid="{00000000-0006-0000-0D00-0000B2010000}">
      <text>
        <r>
          <rPr>
            <sz val="9"/>
            <color indexed="81"/>
            <rFont val="ＭＳ Ｐゴシック"/>
            <family val="3"/>
            <charset val="128"/>
          </rPr>
          <t>1：選択集計します。
0：選択しません。</t>
        </r>
      </text>
    </comment>
    <comment ref="D451" authorId="0" shapeId="0" xr:uid="{00000000-0006-0000-0D00-0000B3010000}">
      <text>
        <r>
          <rPr>
            <sz val="9"/>
            <color indexed="81"/>
            <rFont val="ＭＳ Ｐゴシック"/>
            <family val="3"/>
            <charset val="128"/>
          </rPr>
          <t>1：選択集計します。
0：選択しません。</t>
        </r>
      </text>
    </comment>
    <comment ref="D452" authorId="0" shapeId="0" xr:uid="{00000000-0006-0000-0D00-0000B4010000}">
      <text>
        <r>
          <rPr>
            <sz val="9"/>
            <color indexed="81"/>
            <rFont val="ＭＳ Ｐゴシック"/>
            <family val="3"/>
            <charset val="128"/>
          </rPr>
          <t>1：選択集計します。
0：選択しません。</t>
        </r>
      </text>
    </comment>
    <comment ref="D453" authorId="0" shapeId="0" xr:uid="{00000000-0006-0000-0D00-0000B5010000}">
      <text>
        <r>
          <rPr>
            <sz val="9"/>
            <color indexed="81"/>
            <rFont val="ＭＳ Ｐゴシック"/>
            <family val="3"/>
            <charset val="128"/>
          </rPr>
          <t>1：選択集計します。
0：選択しません。</t>
        </r>
      </text>
    </comment>
    <comment ref="D454" authorId="0" shapeId="0" xr:uid="{00000000-0006-0000-0D00-0000B6010000}">
      <text>
        <r>
          <rPr>
            <sz val="9"/>
            <color indexed="81"/>
            <rFont val="ＭＳ Ｐゴシック"/>
            <family val="3"/>
            <charset val="128"/>
          </rPr>
          <t>1：選択集計します。
0：選択しません。</t>
        </r>
      </text>
    </comment>
    <comment ref="D455" authorId="0" shapeId="0" xr:uid="{00000000-0006-0000-0D00-0000B7010000}">
      <text>
        <r>
          <rPr>
            <sz val="9"/>
            <color indexed="81"/>
            <rFont val="ＭＳ Ｐゴシック"/>
            <family val="3"/>
            <charset val="128"/>
          </rPr>
          <t>1：選択集計します。
0：選択しません。</t>
        </r>
      </text>
    </comment>
    <comment ref="D456" authorId="0" shapeId="0" xr:uid="{00000000-0006-0000-0D00-0000B8010000}">
      <text>
        <r>
          <rPr>
            <sz val="9"/>
            <color indexed="81"/>
            <rFont val="ＭＳ Ｐゴシック"/>
            <family val="3"/>
            <charset val="128"/>
          </rPr>
          <t>1：選択集計します。
0：選択しません。</t>
        </r>
      </text>
    </comment>
    <comment ref="D457" authorId="0" shapeId="0" xr:uid="{00000000-0006-0000-0D00-0000B9010000}">
      <text>
        <r>
          <rPr>
            <sz val="9"/>
            <color indexed="81"/>
            <rFont val="ＭＳ Ｐゴシック"/>
            <family val="3"/>
            <charset val="128"/>
          </rPr>
          <t>1：選択集計します。
0：選択しません。</t>
        </r>
      </text>
    </comment>
    <comment ref="D458" authorId="0" shapeId="0" xr:uid="{00000000-0006-0000-0D00-0000BA010000}">
      <text>
        <r>
          <rPr>
            <sz val="9"/>
            <color indexed="81"/>
            <rFont val="ＭＳ Ｐゴシック"/>
            <family val="3"/>
            <charset val="128"/>
          </rPr>
          <t>1：選択集計します。
0：選択しません。</t>
        </r>
      </text>
    </comment>
    <comment ref="D459" authorId="0" shapeId="0" xr:uid="{00000000-0006-0000-0D00-0000BB010000}">
      <text>
        <r>
          <rPr>
            <sz val="9"/>
            <color indexed="81"/>
            <rFont val="ＭＳ Ｐゴシック"/>
            <family val="3"/>
            <charset val="128"/>
          </rPr>
          <t>1：選択集計します。
0：選択しません。</t>
        </r>
      </text>
    </comment>
    <comment ref="D460" authorId="0" shapeId="0" xr:uid="{00000000-0006-0000-0D00-0000BC010000}">
      <text>
        <r>
          <rPr>
            <sz val="9"/>
            <color indexed="81"/>
            <rFont val="ＭＳ Ｐゴシック"/>
            <family val="3"/>
            <charset val="128"/>
          </rPr>
          <t>1：選択集計します。
0：選択しません。</t>
        </r>
      </text>
    </comment>
    <comment ref="D461" authorId="0" shapeId="0" xr:uid="{00000000-0006-0000-0D00-0000BD010000}">
      <text>
        <r>
          <rPr>
            <sz val="9"/>
            <color indexed="81"/>
            <rFont val="ＭＳ Ｐゴシック"/>
            <family val="3"/>
            <charset val="128"/>
          </rPr>
          <t>1：選択集計します。
0：選択しません。</t>
        </r>
      </text>
    </comment>
    <comment ref="D462" authorId="0" shapeId="0" xr:uid="{00000000-0006-0000-0D00-0000BE010000}">
      <text>
        <r>
          <rPr>
            <sz val="9"/>
            <color indexed="81"/>
            <rFont val="ＭＳ Ｐゴシック"/>
            <family val="3"/>
            <charset val="128"/>
          </rPr>
          <t>1：選択集計します。
0：選択しません。</t>
        </r>
      </text>
    </comment>
    <comment ref="D463" authorId="0" shapeId="0" xr:uid="{00000000-0006-0000-0D00-0000BF010000}">
      <text>
        <r>
          <rPr>
            <sz val="9"/>
            <color indexed="81"/>
            <rFont val="ＭＳ Ｐゴシック"/>
            <family val="3"/>
            <charset val="128"/>
          </rPr>
          <t>1：選択集計します。
0：選択しません。</t>
        </r>
      </text>
    </comment>
    <comment ref="D464" authorId="0" shapeId="0" xr:uid="{00000000-0006-0000-0D00-0000C0010000}">
      <text>
        <r>
          <rPr>
            <sz val="9"/>
            <color indexed="81"/>
            <rFont val="ＭＳ Ｐゴシック"/>
            <family val="3"/>
            <charset val="128"/>
          </rPr>
          <t>1：選択集計します。
0：選択しません。</t>
        </r>
      </text>
    </comment>
    <comment ref="D465" authorId="0" shapeId="0" xr:uid="{00000000-0006-0000-0D00-0000C1010000}">
      <text>
        <r>
          <rPr>
            <sz val="9"/>
            <color indexed="81"/>
            <rFont val="ＭＳ Ｐゴシック"/>
            <family val="3"/>
            <charset val="128"/>
          </rPr>
          <t>1：選択集計します。
0：選択しません。</t>
        </r>
      </text>
    </comment>
    <comment ref="D466" authorId="0" shapeId="0" xr:uid="{00000000-0006-0000-0D00-0000C2010000}">
      <text>
        <r>
          <rPr>
            <sz val="9"/>
            <color indexed="81"/>
            <rFont val="ＭＳ Ｐゴシック"/>
            <family val="3"/>
            <charset val="128"/>
          </rPr>
          <t>1：選択集計します。
0：選択しません。</t>
        </r>
      </text>
    </comment>
    <comment ref="D467" authorId="0" shapeId="0" xr:uid="{00000000-0006-0000-0D00-0000C3010000}">
      <text>
        <r>
          <rPr>
            <sz val="9"/>
            <color indexed="81"/>
            <rFont val="ＭＳ Ｐゴシック"/>
            <family val="3"/>
            <charset val="128"/>
          </rPr>
          <t>1：選択集計します。
0：選択しません。</t>
        </r>
      </text>
    </comment>
    <comment ref="D468" authorId="0" shapeId="0" xr:uid="{00000000-0006-0000-0D00-0000C4010000}">
      <text>
        <r>
          <rPr>
            <sz val="9"/>
            <color indexed="81"/>
            <rFont val="ＭＳ Ｐゴシック"/>
            <family val="3"/>
            <charset val="128"/>
          </rPr>
          <t>1：選択集計します。
0：選択しません。</t>
        </r>
      </text>
    </comment>
    <comment ref="D469" authorId="0" shapeId="0" xr:uid="{00000000-0006-0000-0D00-0000C5010000}">
      <text>
        <r>
          <rPr>
            <sz val="9"/>
            <color indexed="81"/>
            <rFont val="ＭＳ Ｐゴシック"/>
            <family val="3"/>
            <charset val="128"/>
          </rPr>
          <t>1：選択集計します。
0：選択しません。</t>
        </r>
      </text>
    </comment>
    <comment ref="D470" authorId="0" shapeId="0" xr:uid="{00000000-0006-0000-0D00-0000C6010000}">
      <text>
        <r>
          <rPr>
            <sz val="9"/>
            <color indexed="81"/>
            <rFont val="ＭＳ Ｐゴシック"/>
            <family val="3"/>
            <charset val="128"/>
          </rPr>
          <t>1：選択集計します。
0：選択しません。</t>
        </r>
      </text>
    </comment>
    <comment ref="D471" authorId="0" shapeId="0" xr:uid="{00000000-0006-0000-0D00-0000C7010000}">
      <text>
        <r>
          <rPr>
            <sz val="9"/>
            <color indexed="81"/>
            <rFont val="ＭＳ Ｐゴシック"/>
            <family val="3"/>
            <charset val="128"/>
          </rPr>
          <t>1：選択集計します。
0：選択しません。</t>
        </r>
      </text>
    </comment>
    <comment ref="D472" authorId="0" shapeId="0" xr:uid="{00000000-0006-0000-0D00-0000C8010000}">
      <text>
        <r>
          <rPr>
            <sz val="9"/>
            <color indexed="81"/>
            <rFont val="ＭＳ Ｐゴシック"/>
            <family val="3"/>
            <charset val="128"/>
          </rPr>
          <t>1：選択集計します。
0：選択しません。</t>
        </r>
      </text>
    </comment>
    <comment ref="D473" authorId="0" shapeId="0" xr:uid="{00000000-0006-0000-0D00-0000C9010000}">
      <text>
        <r>
          <rPr>
            <sz val="9"/>
            <color indexed="81"/>
            <rFont val="ＭＳ Ｐゴシック"/>
            <family val="3"/>
            <charset val="128"/>
          </rPr>
          <t>1：選択集計します。
0：選択しません。</t>
        </r>
      </text>
    </comment>
    <comment ref="D474" authorId="0" shapeId="0" xr:uid="{00000000-0006-0000-0D00-0000CA010000}">
      <text>
        <r>
          <rPr>
            <sz val="9"/>
            <color indexed="81"/>
            <rFont val="ＭＳ Ｐゴシック"/>
            <family val="3"/>
            <charset val="128"/>
          </rPr>
          <t>1：選択集計します。
0：選択しません。</t>
        </r>
      </text>
    </comment>
    <comment ref="D475" authorId="0" shapeId="0" xr:uid="{00000000-0006-0000-0D00-0000CB010000}">
      <text>
        <r>
          <rPr>
            <sz val="9"/>
            <color indexed="81"/>
            <rFont val="ＭＳ Ｐゴシック"/>
            <family val="3"/>
            <charset val="128"/>
          </rPr>
          <t>1：選択集計します。
0：選択しません。</t>
        </r>
      </text>
    </comment>
    <comment ref="D476" authorId="0" shapeId="0" xr:uid="{00000000-0006-0000-0D00-0000CC010000}">
      <text>
        <r>
          <rPr>
            <sz val="9"/>
            <color indexed="81"/>
            <rFont val="ＭＳ Ｐゴシック"/>
            <family val="3"/>
            <charset val="128"/>
          </rPr>
          <t>1：選択集計します。
0：選択しません。</t>
        </r>
      </text>
    </comment>
    <comment ref="D477" authorId="0" shapeId="0" xr:uid="{00000000-0006-0000-0D00-0000CD010000}">
      <text>
        <r>
          <rPr>
            <sz val="9"/>
            <color indexed="81"/>
            <rFont val="ＭＳ Ｐゴシック"/>
            <family val="3"/>
            <charset val="128"/>
          </rPr>
          <t>1：選択集計します。
0：選択しません。</t>
        </r>
      </text>
    </comment>
    <comment ref="D478" authorId="0" shapeId="0" xr:uid="{00000000-0006-0000-0D00-0000CE010000}">
      <text>
        <r>
          <rPr>
            <sz val="9"/>
            <color indexed="81"/>
            <rFont val="ＭＳ Ｐゴシック"/>
            <family val="3"/>
            <charset val="128"/>
          </rPr>
          <t>1：選択集計します。
0：選択しません。</t>
        </r>
      </text>
    </comment>
    <comment ref="D479" authorId="0" shapeId="0" xr:uid="{00000000-0006-0000-0D00-0000CF010000}">
      <text>
        <r>
          <rPr>
            <sz val="9"/>
            <color indexed="81"/>
            <rFont val="ＭＳ Ｐゴシック"/>
            <family val="3"/>
            <charset val="128"/>
          </rPr>
          <t>1：選択集計します。
0：選択しません。</t>
        </r>
      </text>
    </comment>
    <comment ref="D480" authorId="0" shapeId="0" xr:uid="{00000000-0006-0000-0D00-0000D0010000}">
      <text>
        <r>
          <rPr>
            <sz val="9"/>
            <color indexed="81"/>
            <rFont val="ＭＳ Ｐゴシック"/>
            <family val="3"/>
            <charset val="128"/>
          </rPr>
          <t>1：選択集計します。
0：選択しません。</t>
        </r>
      </text>
    </comment>
    <comment ref="D481" authorId="0" shapeId="0" xr:uid="{00000000-0006-0000-0D00-0000D1010000}">
      <text>
        <r>
          <rPr>
            <sz val="9"/>
            <color indexed="81"/>
            <rFont val="ＭＳ Ｐゴシック"/>
            <family val="3"/>
            <charset val="128"/>
          </rPr>
          <t>1：選択集計します。
0：選択しません。</t>
        </r>
      </text>
    </comment>
    <comment ref="D482" authorId="0" shapeId="0" xr:uid="{00000000-0006-0000-0D00-0000D2010000}">
      <text>
        <r>
          <rPr>
            <sz val="9"/>
            <color indexed="81"/>
            <rFont val="ＭＳ Ｐゴシック"/>
            <family val="3"/>
            <charset val="128"/>
          </rPr>
          <t>1：選択集計します。
0：選択しません。</t>
        </r>
      </text>
    </comment>
    <comment ref="D483" authorId="0" shapeId="0" xr:uid="{00000000-0006-0000-0D00-0000D3010000}">
      <text>
        <r>
          <rPr>
            <sz val="9"/>
            <color indexed="81"/>
            <rFont val="ＭＳ Ｐゴシック"/>
            <family val="3"/>
            <charset val="128"/>
          </rPr>
          <t>1：選択集計します。
0：選択しません。</t>
        </r>
      </text>
    </comment>
    <comment ref="D484" authorId="0" shapeId="0" xr:uid="{00000000-0006-0000-0D00-0000D4010000}">
      <text>
        <r>
          <rPr>
            <sz val="9"/>
            <color indexed="81"/>
            <rFont val="ＭＳ Ｐゴシック"/>
            <family val="3"/>
            <charset val="128"/>
          </rPr>
          <t>1：選択集計します。
0：選択しません。</t>
        </r>
      </text>
    </comment>
    <comment ref="D485" authorId="0" shapeId="0" xr:uid="{00000000-0006-0000-0D00-0000D5010000}">
      <text>
        <r>
          <rPr>
            <sz val="9"/>
            <color indexed="81"/>
            <rFont val="ＭＳ Ｐゴシック"/>
            <family val="3"/>
            <charset val="128"/>
          </rPr>
          <t>1：選択集計します。
0：選択しません。</t>
        </r>
      </text>
    </comment>
    <comment ref="D486" authorId="0" shapeId="0" xr:uid="{00000000-0006-0000-0D00-0000D6010000}">
      <text>
        <r>
          <rPr>
            <sz val="9"/>
            <color indexed="81"/>
            <rFont val="ＭＳ Ｐゴシック"/>
            <family val="3"/>
            <charset val="128"/>
          </rPr>
          <t>1：選択集計します。
0：選択しません。</t>
        </r>
      </text>
    </comment>
    <comment ref="D487" authorId="0" shapeId="0" xr:uid="{00000000-0006-0000-0D00-0000D7010000}">
      <text>
        <r>
          <rPr>
            <sz val="9"/>
            <color indexed="81"/>
            <rFont val="ＭＳ Ｐゴシック"/>
            <family val="3"/>
            <charset val="128"/>
          </rPr>
          <t>1：選択集計します。
0：選択しません。</t>
        </r>
      </text>
    </comment>
    <comment ref="D488" authorId="0" shapeId="0" xr:uid="{00000000-0006-0000-0D00-0000D8010000}">
      <text>
        <r>
          <rPr>
            <sz val="9"/>
            <color indexed="81"/>
            <rFont val="ＭＳ Ｐゴシック"/>
            <family val="3"/>
            <charset val="128"/>
          </rPr>
          <t>1：選択集計します。
0：選択しません。</t>
        </r>
      </text>
    </comment>
    <comment ref="D489" authorId="0" shapeId="0" xr:uid="{00000000-0006-0000-0D00-0000D9010000}">
      <text>
        <r>
          <rPr>
            <sz val="9"/>
            <color indexed="81"/>
            <rFont val="ＭＳ Ｐゴシック"/>
            <family val="3"/>
            <charset val="128"/>
          </rPr>
          <t>1：選択集計します。
0：選択しません。</t>
        </r>
      </text>
    </comment>
    <comment ref="D490" authorId="0" shapeId="0" xr:uid="{00000000-0006-0000-0D00-0000DA010000}">
      <text>
        <r>
          <rPr>
            <sz val="9"/>
            <color indexed="81"/>
            <rFont val="ＭＳ Ｐゴシック"/>
            <family val="3"/>
            <charset val="128"/>
          </rPr>
          <t>1：選択集計します。
0：選択しません。</t>
        </r>
      </text>
    </comment>
    <comment ref="D491" authorId="0" shapeId="0" xr:uid="{00000000-0006-0000-0D00-0000DB010000}">
      <text>
        <r>
          <rPr>
            <sz val="9"/>
            <color indexed="81"/>
            <rFont val="ＭＳ Ｐゴシック"/>
            <family val="3"/>
            <charset val="128"/>
          </rPr>
          <t>1：選択集計します。
0：選択しません。</t>
        </r>
      </text>
    </comment>
    <comment ref="D492" authorId="0" shapeId="0" xr:uid="{00000000-0006-0000-0D00-0000DC010000}">
      <text>
        <r>
          <rPr>
            <sz val="9"/>
            <color indexed="81"/>
            <rFont val="ＭＳ Ｐゴシック"/>
            <family val="3"/>
            <charset val="128"/>
          </rPr>
          <t>1：選択集計します。
0：選択しません。</t>
        </r>
      </text>
    </comment>
    <comment ref="D493" authorId="0" shapeId="0" xr:uid="{00000000-0006-0000-0D00-0000DD010000}">
      <text>
        <r>
          <rPr>
            <sz val="9"/>
            <color indexed="81"/>
            <rFont val="ＭＳ Ｐゴシック"/>
            <family val="3"/>
            <charset val="128"/>
          </rPr>
          <t>1：選択集計します。
0：選択しません。</t>
        </r>
      </text>
    </comment>
    <comment ref="D494" authorId="0" shapeId="0" xr:uid="{00000000-0006-0000-0D00-0000DE010000}">
      <text>
        <r>
          <rPr>
            <sz val="9"/>
            <color indexed="81"/>
            <rFont val="ＭＳ Ｐゴシック"/>
            <family val="3"/>
            <charset val="128"/>
          </rPr>
          <t>1：選択集計します。
0：選択しません。</t>
        </r>
      </text>
    </comment>
    <comment ref="D495" authorId="0" shapeId="0" xr:uid="{00000000-0006-0000-0D00-0000DF010000}">
      <text>
        <r>
          <rPr>
            <sz val="9"/>
            <color indexed="81"/>
            <rFont val="ＭＳ Ｐゴシック"/>
            <family val="3"/>
            <charset val="128"/>
          </rPr>
          <t>1：選択集計します。
0：選択しません。</t>
        </r>
      </text>
    </comment>
    <comment ref="D496" authorId="0" shapeId="0" xr:uid="{00000000-0006-0000-0D00-0000E0010000}">
      <text>
        <r>
          <rPr>
            <sz val="9"/>
            <color indexed="81"/>
            <rFont val="ＭＳ Ｐゴシック"/>
            <family val="3"/>
            <charset val="128"/>
          </rPr>
          <t>1：選択集計します。
0：選択しません。</t>
        </r>
      </text>
    </comment>
    <comment ref="D497" authorId="0" shapeId="0" xr:uid="{00000000-0006-0000-0D00-0000E1010000}">
      <text>
        <r>
          <rPr>
            <sz val="9"/>
            <color indexed="81"/>
            <rFont val="ＭＳ Ｐゴシック"/>
            <family val="3"/>
            <charset val="128"/>
          </rPr>
          <t>1：選択集計します。
0：選択しません。</t>
        </r>
      </text>
    </comment>
    <comment ref="D498" authorId="0" shapeId="0" xr:uid="{00000000-0006-0000-0D00-0000E2010000}">
      <text>
        <r>
          <rPr>
            <sz val="9"/>
            <color indexed="81"/>
            <rFont val="ＭＳ Ｐゴシック"/>
            <family val="3"/>
            <charset val="128"/>
          </rPr>
          <t>1：選択集計します。
0：選択しません。</t>
        </r>
      </text>
    </comment>
    <comment ref="D499" authorId="0" shapeId="0" xr:uid="{00000000-0006-0000-0D00-0000E3010000}">
      <text>
        <r>
          <rPr>
            <sz val="9"/>
            <color indexed="81"/>
            <rFont val="ＭＳ Ｐゴシック"/>
            <family val="3"/>
            <charset val="128"/>
          </rPr>
          <t>1：選択集計します。
0：選択しません。</t>
        </r>
      </text>
    </comment>
    <comment ref="D500" authorId="0" shapeId="0" xr:uid="{00000000-0006-0000-0D00-0000E4010000}">
      <text>
        <r>
          <rPr>
            <sz val="9"/>
            <color indexed="81"/>
            <rFont val="ＭＳ Ｐゴシック"/>
            <family val="3"/>
            <charset val="128"/>
          </rPr>
          <t>1：選択集計します。
0：選択しません。</t>
        </r>
      </text>
    </comment>
    <comment ref="D501" authorId="0" shapeId="0" xr:uid="{00000000-0006-0000-0D00-0000E5010000}">
      <text>
        <r>
          <rPr>
            <sz val="9"/>
            <color indexed="81"/>
            <rFont val="ＭＳ Ｐゴシック"/>
            <family val="3"/>
            <charset val="128"/>
          </rPr>
          <t>1：選択集計します。
0：選択しません。</t>
        </r>
      </text>
    </comment>
    <comment ref="D502" authorId="0" shapeId="0" xr:uid="{00000000-0006-0000-0D00-0000E6010000}">
      <text>
        <r>
          <rPr>
            <sz val="9"/>
            <color indexed="81"/>
            <rFont val="ＭＳ Ｐゴシック"/>
            <family val="3"/>
            <charset val="128"/>
          </rPr>
          <t>1：選択集計します。
0：選択しません。</t>
        </r>
      </text>
    </comment>
    <comment ref="D503" authorId="0" shapeId="0" xr:uid="{00000000-0006-0000-0D00-0000E7010000}">
      <text>
        <r>
          <rPr>
            <sz val="9"/>
            <color indexed="81"/>
            <rFont val="ＭＳ Ｐゴシック"/>
            <family val="3"/>
            <charset val="128"/>
          </rPr>
          <t>1：選択集計します。
0：選択しません。</t>
        </r>
      </text>
    </comment>
    <comment ref="D504" authorId="0" shapeId="0" xr:uid="{00000000-0006-0000-0D00-0000E8010000}">
      <text>
        <r>
          <rPr>
            <sz val="9"/>
            <color indexed="81"/>
            <rFont val="ＭＳ Ｐゴシック"/>
            <family val="3"/>
            <charset val="128"/>
          </rPr>
          <t>1：選択集計します。
0：選択しません。</t>
        </r>
      </text>
    </comment>
    <comment ref="D505" authorId="0" shapeId="0" xr:uid="{00000000-0006-0000-0D00-0000E9010000}">
      <text>
        <r>
          <rPr>
            <sz val="9"/>
            <color indexed="81"/>
            <rFont val="ＭＳ Ｐゴシック"/>
            <family val="3"/>
            <charset val="128"/>
          </rPr>
          <t>1：選択集計します。
0：選択しません。</t>
        </r>
      </text>
    </comment>
    <comment ref="D506" authorId="0" shapeId="0" xr:uid="{00000000-0006-0000-0D00-0000EA010000}">
      <text>
        <r>
          <rPr>
            <sz val="9"/>
            <color indexed="81"/>
            <rFont val="ＭＳ Ｐゴシック"/>
            <family val="3"/>
            <charset val="128"/>
          </rPr>
          <t>1：選択集計します。
0：選択しません。</t>
        </r>
      </text>
    </comment>
    <comment ref="D507" authorId="0" shapeId="0" xr:uid="{00000000-0006-0000-0D00-0000EB010000}">
      <text>
        <r>
          <rPr>
            <sz val="9"/>
            <color indexed="81"/>
            <rFont val="ＭＳ Ｐゴシック"/>
            <family val="3"/>
            <charset val="128"/>
          </rPr>
          <t>1：選択集計します。
0：選択しません。</t>
        </r>
      </text>
    </comment>
    <comment ref="D508" authorId="0" shapeId="0" xr:uid="{00000000-0006-0000-0D00-0000EC010000}">
      <text>
        <r>
          <rPr>
            <sz val="9"/>
            <color indexed="81"/>
            <rFont val="ＭＳ Ｐゴシック"/>
            <family val="3"/>
            <charset val="128"/>
          </rPr>
          <t>1：選択集計します。
0：選択しません。</t>
        </r>
      </text>
    </comment>
    <comment ref="D509" authorId="0" shapeId="0" xr:uid="{00000000-0006-0000-0D00-0000ED010000}">
      <text>
        <r>
          <rPr>
            <sz val="9"/>
            <color indexed="81"/>
            <rFont val="ＭＳ Ｐゴシック"/>
            <family val="3"/>
            <charset val="128"/>
          </rPr>
          <t>1：選択集計します。
0：選択しません。</t>
        </r>
      </text>
    </comment>
    <comment ref="D510" authorId="0" shapeId="0" xr:uid="{00000000-0006-0000-0D00-0000EE010000}">
      <text>
        <r>
          <rPr>
            <sz val="9"/>
            <color indexed="81"/>
            <rFont val="ＭＳ Ｐゴシック"/>
            <family val="3"/>
            <charset val="128"/>
          </rPr>
          <t>1：選択集計します。
0：選択しません。</t>
        </r>
      </text>
    </comment>
    <comment ref="D511" authorId="0" shapeId="0" xr:uid="{00000000-0006-0000-0D00-0000EF010000}">
      <text>
        <r>
          <rPr>
            <sz val="9"/>
            <color indexed="81"/>
            <rFont val="ＭＳ Ｐゴシック"/>
            <family val="3"/>
            <charset val="128"/>
          </rPr>
          <t>1：選択集計します。
0：選択しません。</t>
        </r>
      </text>
    </comment>
    <comment ref="D512" authorId="0" shapeId="0" xr:uid="{00000000-0006-0000-0D00-0000F0010000}">
      <text>
        <r>
          <rPr>
            <sz val="9"/>
            <color indexed="81"/>
            <rFont val="ＭＳ Ｐゴシック"/>
            <family val="3"/>
            <charset val="128"/>
          </rPr>
          <t>1：選択集計します。
0：選択しません。</t>
        </r>
      </text>
    </comment>
    <comment ref="D513" authorId="0" shapeId="0" xr:uid="{00000000-0006-0000-0D00-0000F1010000}">
      <text>
        <r>
          <rPr>
            <sz val="9"/>
            <color indexed="81"/>
            <rFont val="ＭＳ Ｐゴシック"/>
            <family val="3"/>
            <charset val="128"/>
          </rPr>
          <t>1：選択集計します。
0：選択しません。</t>
        </r>
      </text>
    </comment>
    <comment ref="D514" authorId="0" shapeId="0" xr:uid="{00000000-0006-0000-0D00-0000F2010000}">
      <text>
        <r>
          <rPr>
            <sz val="9"/>
            <color indexed="81"/>
            <rFont val="ＭＳ Ｐゴシック"/>
            <family val="3"/>
            <charset val="128"/>
          </rPr>
          <t>1：選択集計します。
0：選択しません。</t>
        </r>
      </text>
    </comment>
    <comment ref="D515" authorId="0" shapeId="0" xr:uid="{00000000-0006-0000-0D00-0000F3010000}">
      <text>
        <r>
          <rPr>
            <sz val="9"/>
            <color indexed="81"/>
            <rFont val="ＭＳ Ｐゴシック"/>
            <family val="3"/>
            <charset val="128"/>
          </rPr>
          <t>1：選択集計します。
0：選択しません。</t>
        </r>
      </text>
    </comment>
    <comment ref="D516" authorId="0" shapeId="0" xr:uid="{00000000-0006-0000-0D00-0000F4010000}">
      <text>
        <r>
          <rPr>
            <sz val="9"/>
            <color indexed="81"/>
            <rFont val="ＭＳ Ｐゴシック"/>
            <family val="3"/>
            <charset val="128"/>
          </rPr>
          <t>1：選択集計します。
0：選択しません。</t>
        </r>
      </text>
    </comment>
    <comment ref="H519" authorId="0" shapeId="0" xr:uid="{00000000-0006-0000-0D00-0000F5010000}">
      <text>
        <r>
          <rPr>
            <sz val="9"/>
            <color indexed="81"/>
            <rFont val="ＭＳ Ｐゴシック"/>
            <family val="3"/>
            <charset val="128"/>
          </rPr>
          <t>選択列に 1 を入力した工類が集計されます。</t>
        </r>
      </text>
    </comment>
    <comment ref="D520" authorId="0" shapeId="0" xr:uid="{00000000-0006-0000-0D00-0000F6010000}">
      <text>
        <r>
          <rPr>
            <sz val="9"/>
            <color indexed="81"/>
            <rFont val="ＭＳ Ｐゴシック"/>
            <family val="3"/>
            <charset val="128"/>
          </rPr>
          <t>1：選択集計します。
0：選択しません。</t>
        </r>
      </text>
    </comment>
    <comment ref="D521" authorId="0" shapeId="0" xr:uid="{00000000-0006-0000-0D00-0000F7010000}">
      <text>
        <r>
          <rPr>
            <sz val="9"/>
            <color indexed="81"/>
            <rFont val="ＭＳ Ｐゴシック"/>
            <family val="3"/>
            <charset val="128"/>
          </rPr>
          <t>1：選択集計します。
0：選択しません。</t>
        </r>
      </text>
    </comment>
    <comment ref="D522" authorId="0" shapeId="0" xr:uid="{00000000-0006-0000-0D00-0000F8010000}">
      <text>
        <r>
          <rPr>
            <sz val="9"/>
            <color indexed="81"/>
            <rFont val="ＭＳ Ｐゴシック"/>
            <family val="3"/>
            <charset val="128"/>
          </rPr>
          <t>1：選択集計します。
0：選択しません。</t>
        </r>
      </text>
    </comment>
    <comment ref="D523" authorId="0" shapeId="0" xr:uid="{00000000-0006-0000-0D00-0000F9010000}">
      <text>
        <r>
          <rPr>
            <sz val="9"/>
            <color indexed="81"/>
            <rFont val="ＭＳ Ｐゴシック"/>
            <family val="3"/>
            <charset val="128"/>
          </rPr>
          <t>1：選択集計します。
0：選択しません。</t>
        </r>
      </text>
    </comment>
    <comment ref="D524" authorId="0" shapeId="0" xr:uid="{00000000-0006-0000-0D00-0000FA010000}">
      <text>
        <r>
          <rPr>
            <sz val="9"/>
            <color indexed="81"/>
            <rFont val="ＭＳ Ｐゴシック"/>
            <family val="3"/>
            <charset val="128"/>
          </rPr>
          <t>1：選択集計します。
0：選択しません。</t>
        </r>
      </text>
    </comment>
    <comment ref="D525" authorId="0" shapeId="0" xr:uid="{00000000-0006-0000-0D00-0000FB010000}">
      <text>
        <r>
          <rPr>
            <sz val="9"/>
            <color indexed="81"/>
            <rFont val="ＭＳ Ｐゴシック"/>
            <family val="3"/>
            <charset val="128"/>
          </rPr>
          <t>1：選択集計します。
0：選択しません。</t>
        </r>
      </text>
    </comment>
    <comment ref="D526" authorId="0" shapeId="0" xr:uid="{00000000-0006-0000-0D00-0000FC010000}">
      <text>
        <r>
          <rPr>
            <sz val="9"/>
            <color indexed="81"/>
            <rFont val="ＭＳ Ｐゴシック"/>
            <family val="3"/>
            <charset val="128"/>
          </rPr>
          <t>1：選択集計します。
0：選択しません。</t>
        </r>
      </text>
    </comment>
    <comment ref="D527" authorId="0" shapeId="0" xr:uid="{00000000-0006-0000-0D00-0000FD010000}">
      <text>
        <r>
          <rPr>
            <sz val="9"/>
            <color indexed="81"/>
            <rFont val="ＭＳ Ｐゴシック"/>
            <family val="3"/>
            <charset val="128"/>
          </rPr>
          <t>1：選択集計します。
0：選択しません。</t>
        </r>
      </text>
    </comment>
    <comment ref="D528" authorId="0" shapeId="0" xr:uid="{00000000-0006-0000-0D00-0000FE010000}">
      <text>
        <r>
          <rPr>
            <sz val="9"/>
            <color indexed="81"/>
            <rFont val="ＭＳ Ｐゴシック"/>
            <family val="3"/>
            <charset val="128"/>
          </rPr>
          <t>1：選択集計します。
0：選択しません。</t>
        </r>
      </text>
    </comment>
    <comment ref="D529" authorId="0" shapeId="0" xr:uid="{00000000-0006-0000-0D00-0000FF010000}">
      <text>
        <r>
          <rPr>
            <sz val="9"/>
            <color indexed="81"/>
            <rFont val="ＭＳ Ｐゴシック"/>
            <family val="3"/>
            <charset val="128"/>
          </rPr>
          <t>1：選択集計します。
0：選択しません。</t>
        </r>
      </text>
    </comment>
    <comment ref="D530" authorId="0" shapeId="0" xr:uid="{00000000-0006-0000-0D00-000000020000}">
      <text>
        <r>
          <rPr>
            <sz val="9"/>
            <color indexed="81"/>
            <rFont val="ＭＳ Ｐゴシック"/>
            <family val="3"/>
            <charset val="128"/>
          </rPr>
          <t>1：選択集計します。
0：選択しません。</t>
        </r>
      </text>
    </comment>
    <comment ref="D531" authorId="0" shapeId="0" xr:uid="{00000000-0006-0000-0D00-000001020000}">
      <text>
        <r>
          <rPr>
            <sz val="9"/>
            <color indexed="81"/>
            <rFont val="ＭＳ Ｐゴシック"/>
            <family val="3"/>
            <charset val="128"/>
          </rPr>
          <t>1：選択集計します。
0：選択しません。</t>
        </r>
      </text>
    </comment>
    <comment ref="D532" authorId="0" shapeId="0" xr:uid="{00000000-0006-0000-0D00-000002020000}">
      <text>
        <r>
          <rPr>
            <sz val="9"/>
            <color indexed="81"/>
            <rFont val="ＭＳ Ｐゴシック"/>
            <family val="3"/>
            <charset val="128"/>
          </rPr>
          <t>1：選択集計します。
0：選択しません。</t>
        </r>
      </text>
    </comment>
    <comment ref="D533" authorId="0" shapeId="0" xr:uid="{00000000-0006-0000-0D00-000003020000}">
      <text>
        <r>
          <rPr>
            <sz val="9"/>
            <color indexed="81"/>
            <rFont val="ＭＳ Ｐゴシック"/>
            <family val="3"/>
            <charset val="128"/>
          </rPr>
          <t>1：選択集計します。
0：選択しません。</t>
        </r>
      </text>
    </comment>
    <comment ref="D534" authorId="0" shapeId="0" xr:uid="{00000000-0006-0000-0D00-000004020000}">
      <text>
        <r>
          <rPr>
            <sz val="9"/>
            <color indexed="81"/>
            <rFont val="ＭＳ Ｐゴシック"/>
            <family val="3"/>
            <charset val="128"/>
          </rPr>
          <t>1：選択集計します。
0：選択しません。</t>
        </r>
      </text>
    </comment>
    <comment ref="D535" authorId="0" shapeId="0" xr:uid="{00000000-0006-0000-0D00-000005020000}">
      <text>
        <r>
          <rPr>
            <sz val="9"/>
            <color indexed="81"/>
            <rFont val="ＭＳ Ｐゴシック"/>
            <family val="3"/>
            <charset val="128"/>
          </rPr>
          <t>1：選択集計します。
0：選択しません。</t>
        </r>
      </text>
    </comment>
    <comment ref="D536" authorId="0" shapeId="0" xr:uid="{00000000-0006-0000-0D00-000006020000}">
      <text>
        <r>
          <rPr>
            <sz val="9"/>
            <color indexed="81"/>
            <rFont val="ＭＳ Ｐゴシック"/>
            <family val="3"/>
            <charset val="128"/>
          </rPr>
          <t>1：選択集計します。
0：選択しません。</t>
        </r>
      </text>
    </comment>
    <comment ref="D537" authorId="0" shapeId="0" xr:uid="{00000000-0006-0000-0D00-000007020000}">
      <text>
        <r>
          <rPr>
            <sz val="9"/>
            <color indexed="81"/>
            <rFont val="ＭＳ Ｐゴシック"/>
            <family val="3"/>
            <charset val="128"/>
          </rPr>
          <t>1：選択集計します。
0：選択しません。</t>
        </r>
      </text>
    </comment>
    <comment ref="D538" authorId="0" shapeId="0" xr:uid="{00000000-0006-0000-0D00-000008020000}">
      <text>
        <r>
          <rPr>
            <sz val="9"/>
            <color indexed="81"/>
            <rFont val="ＭＳ Ｐゴシック"/>
            <family val="3"/>
            <charset val="128"/>
          </rPr>
          <t>1：選択集計します。
0：選択しません。</t>
        </r>
      </text>
    </comment>
    <comment ref="D539" authorId="0" shapeId="0" xr:uid="{00000000-0006-0000-0D00-000009020000}">
      <text>
        <r>
          <rPr>
            <sz val="9"/>
            <color indexed="81"/>
            <rFont val="ＭＳ Ｐゴシック"/>
            <family val="3"/>
            <charset val="128"/>
          </rPr>
          <t>1：選択集計します。
0：選択しません。</t>
        </r>
      </text>
    </comment>
    <comment ref="D540" authorId="0" shapeId="0" xr:uid="{00000000-0006-0000-0D00-00000A020000}">
      <text>
        <r>
          <rPr>
            <sz val="9"/>
            <color indexed="81"/>
            <rFont val="ＭＳ Ｐゴシック"/>
            <family val="3"/>
            <charset val="128"/>
          </rPr>
          <t>1：選択集計します。
0：選択しません。</t>
        </r>
      </text>
    </comment>
    <comment ref="D541" authorId="0" shapeId="0" xr:uid="{00000000-0006-0000-0D00-00000B020000}">
      <text>
        <r>
          <rPr>
            <sz val="9"/>
            <color indexed="81"/>
            <rFont val="ＭＳ Ｐゴシック"/>
            <family val="3"/>
            <charset val="128"/>
          </rPr>
          <t>1：選択集計します。
0：選択しません。</t>
        </r>
      </text>
    </comment>
    <comment ref="D542" authorId="0" shapeId="0" xr:uid="{00000000-0006-0000-0D00-00000C020000}">
      <text>
        <r>
          <rPr>
            <sz val="9"/>
            <color indexed="81"/>
            <rFont val="ＭＳ Ｐゴシック"/>
            <family val="3"/>
            <charset val="128"/>
          </rPr>
          <t>1：選択集計します。
0：選択しません。</t>
        </r>
      </text>
    </comment>
    <comment ref="D543" authorId="0" shapeId="0" xr:uid="{00000000-0006-0000-0D00-00000D020000}">
      <text>
        <r>
          <rPr>
            <sz val="9"/>
            <color indexed="81"/>
            <rFont val="ＭＳ Ｐゴシック"/>
            <family val="3"/>
            <charset val="128"/>
          </rPr>
          <t>1：選択集計します。
0：選択しません。</t>
        </r>
      </text>
    </comment>
    <comment ref="D544" authorId="0" shapeId="0" xr:uid="{00000000-0006-0000-0D00-00000E020000}">
      <text>
        <r>
          <rPr>
            <sz val="9"/>
            <color indexed="81"/>
            <rFont val="ＭＳ Ｐゴシック"/>
            <family val="3"/>
            <charset val="128"/>
          </rPr>
          <t>1：選択集計します。
0：選択しません。</t>
        </r>
      </text>
    </comment>
    <comment ref="D545" authorId="0" shapeId="0" xr:uid="{00000000-0006-0000-0D00-00000F020000}">
      <text>
        <r>
          <rPr>
            <sz val="9"/>
            <color indexed="81"/>
            <rFont val="ＭＳ Ｐゴシック"/>
            <family val="3"/>
            <charset val="128"/>
          </rPr>
          <t>1：選択集計します。
0：選択しません。</t>
        </r>
      </text>
    </comment>
    <comment ref="D546" authorId="0" shapeId="0" xr:uid="{00000000-0006-0000-0D00-000010020000}">
      <text>
        <r>
          <rPr>
            <sz val="9"/>
            <color indexed="81"/>
            <rFont val="ＭＳ Ｐゴシック"/>
            <family val="3"/>
            <charset val="128"/>
          </rPr>
          <t>1：選択集計します。
0：選択しません。</t>
        </r>
      </text>
    </comment>
    <comment ref="D547" authorId="0" shapeId="0" xr:uid="{00000000-0006-0000-0D00-000011020000}">
      <text>
        <r>
          <rPr>
            <sz val="9"/>
            <color indexed="81"/>
            <rFont val="ＭＳ Ｐゴシック"/>
            <family val="3"/>
            <charset val="128"/>
          </rPr>
          <t>1：選択集計します。
0：選択しません。</t>
        </r>
      </text>
    </comment>
    <comment ref="D548" authorId="0" shapeId="0" xr:uid="{00000000-0006-0000-0D00-000012020000}">
      <text>
        <r>
          <rPr>
            <sz val="9"/>
            <color indexed="81"/>
            <rFont val="ＭＳ Ｐゴシック"/>
            <family val="3"/>
            <charset val="128"/>
          </rPr>
          <t>1：選択集計します。
0：選択しません。</t>
        </r>
      </text>
    </comment>
    <comment ref="D549" authorId="0" shapeId="0" xr:uid="{00000000-0006-0000-0D00-000013020000}">
      <text>
        <r>
          <rPr>
            <sz val="9"/>
            <color indexed="81"/>
            <rFont val="ＭＳ Ｐゴシック"/>
            <family val="3"/>
            <charset val="128"/>
          </rPr>
          <t>1：選択集計します。
0：選択しません。</t>
        </r>
      </text>
    </comment>
    <comment ref="D550" authorId="0" shapeId="0" xr:uid="{00000000-0006-0000-0D00-000014020000}">
      <text>
        <r>
          <rPr>
            <sz val="9"/>
            <color indexed="81"/>
            <rFont val="ＭＳ Ｐゴシック"/>
            <family val="3"/>
            <charset val="128"/>
          </rPr>
          <t>1：選択集計します。
0：選択しません。</t>
        </r>
      </text>
    </comment>
    <comment ref="D551" authorId="0" shapeId="0" xr:uid="{00000000-0006-0000-0D00-000015020000}">
      <text>
        <r>
          <rPr>
            <sz val="9"/>
            <color indexed="81"/>
            <rFont val="ＭＳ Ｐゴシック"/>
            <family val="3"/>
            <charset val="128"/>
          </rPr>
          <t>1：選択集計します。
0：選択しません。</t>
        </r>
      </text>
    </comment>
    <comment ref="D552" authorId="0" shapeId="0" xr:uid="{00000000-0006-0000-0D00-000016020000}">
      <text>
        <r>
          <rPr>
            <sz val="9"/>
            <color indexed="81"/>
            <rFont val="ＭＳ Ｐゴシック"/>
            <family val="3"/>
            <charset val="128"/>
          </rPr>
          <t>1：選択集計します。
0：選択しません。</t>
        </r>
      </text>
    </comment>
    <comment ref="D553" authorId="0" shapeId="0" xr:uid="{00000000-0006-0000-0D00-000017020000}">
      <text>
        <r>
          <rPr>
            <sz val="9"/>
            <color indexed="81"/>
            <rFont val="ＭＳ Ｐゴシック"/>
            <family val="3"/>
            <charset val="128"/>
          </rPr>
          <t>1：選択集計します。
0：選択しません。</t>
        </r>
      </text>
    </comment>
    <comment ref="D554" authorId="0" shapeId="0" xr:uid="{00000000-0006-0000-0D00-000018020000}">
      <text>
        <r>
          <rPr>
            <sz val="9"/>
            <color indexed="81"/>
            <rFont val="ＭＳ Ｐゴシック"/>
            <family val="3"/>
            <charset val="128"/>
          </rPr>
          <t>1：選択集計します。
0：選択しません。</t>
        </r>
      </text>
    </comment>
    <comment ref="D555" authorId="0" shapeId="0" xr:uid="{00000000-0006-0000-0D00-000019020000}">
      <text>
        <r>
          <rPr>
            <sz val="9"/>
            <color indexed="81"/>
            <rFont val="ＭＳ Ｐゴシック"/>
            <family val="3"/>
            <charset val="128"/>
          </rPr>
          <t>1：選択集計します。
0：選択しません。</t>
        </r>
      </text>
    </comment>
    <comment ref="D556" authorId="0" shapeId="0" xr:uid="{00000000-0006-0000-0D00-00001A020000}">
      <text>
        <r>
          <rPr>
            <sz val="9"/>
            <color indexed="81"/>
            <rFont val="ＭＳ Ｐゴシック"/>
            <family val="3"/>
            <charset val="128"/>
          </rPr>
          <t>1：選択集計します。
0：選択しません。</t>
        </r>
      </text>
    </comment>
    <comment ref="D557" authorId="0" shapeId="0" xr:uid="{00000000-0006-0000-0D00-00001B020000}">
      <text>
        <r>
          <rPr>
            <sz val="9"/>
            <color indexed="81"/>
            <rFont val="ＭＳ Ｐゴシック"/>
            <family val="3"/>
            <charset val="128"/>
          </rPr>
          <t>1：選択集計します。
0：選択しません。</t>
        </r>
      </text>
    </comment>
    <comment ref="D558" authorId="0" shapeId="0" xr:uid="{00000000-0006-0000-0D00-00001C020000}">
      <text>
        <r>
          <rPr>
            <sz val="9"/>
            <color indexed="81"/>
            <rFont val="ＭＳ Ｐゴシック"/>
            <family val="3"/>
            <charset val="128"/>
          </rPr>
          <t>1：選択集計します。
0：選択しません。</t>
        </r>
      </text>
    </comment>
    <comment ref="D559" authorId="0" shapeId="0" xr:uid="{00000000-0006-0000-0D00-00001D020000}">
      <text>
        <r>
          <rPr>
            <sz val="9"/>
            <color indexed="81"/>
            <rFont val="ＭＳ Ｐゴシック"/>
            <family val="3"/>
            <charset val="128"/>
          </rPr>
          <t>1：選択集計します。
0：選択しません。</t>
        </r>
      </text>
    </comment>
    <comment ref="D560" authorId="0" shapeId="0" xr:uid="{00000000-0006-0000-0D00-00001E020000}">
      <text>
        <r>
          <rPr>
            <sz val="9"/>
            <color indexed="81"/>
            <rFont val="ＭＳ Ｐゴシック"/>
            <family val="3"/>
            <charset val="128"/>
          </rPr>
          <t>1：選択集計します。
0：選択しません。</t>
        </r>
      </text>
    </comment>
    <comment ref="D561" authorId="0" shapeId="0" xr:uid="{00000000-0006-0000-0D00-00001F020000}">
      <text>
        <r>
          <rPr>
            <sz val="9"/>
            <color indexed="81"/>
            <rFont val="ＭＳ Ｐゴシック"/>
            <family val="3"/>
            <charset val="128"/>
          </rPr>
          <t>1：選択集計します。
0：選択しません。</t>
        </r>
      </text>
    </comment>
    <comment ref="D562" authorId="0" shapeId="0" xr:uid="{00000000-0006-0000-0D00-000020020000}">
      <text>
        <r>
          <rPr>
            <sz val="9"/>
            <color indexed="81"/>
            <rFont val="ＭＳ Ｐゴシック"/>
            <family val="3"/>
            <charset val="128"/>
          </rPr>
          <t>1：選択集計します。
0：選択しません。</t>
        </r>
      </text>
    </comment>
    <comment ref="D563" authorId="0" shapeId="0" xr:uid="{00000000-0006-0000-0D00-000021020000}">
      <text>
        <r>
          <rPr>
            <sz val="9"/>
            <color indexed="81"/>
            <rFont val="ＭＳ Ｐゴシック"/>
            <family val="3"/>
            <charset val="128"/>
          </rPr>
          <t>1：選択集計します。
0：選択しません。</t>
        </r>
      </text>
    </comment>
    <comment ref="D564" authorId="0" shapeId="0" xr:uid="{00000000-0006-0000-0D00-000022020000}">
      <text>
        <r>
          <rPr>
            <sz val="9"/>
            <color indexed="81"/>
            <rFont val="ＭＳ Ｐゴシック"/>
            <family val="3"/>
            <charset val="128"/>
          </rPr>
          <t>1：選択集計します。
0：選択しません。</t>
        </r>
      </text>
    </comment>
    <comment ref="D565" authorId="0" shapeId="0" xr:uid="{00000000-0006-0000-0D00-000023020000}">
      <text>
        <r>
          <rPr>
            <sz val="9"/>
            <color indexed="81"/>
            <rFont val="ＭＳ Ｐゴシック"/>
            <family val="3"/>
            <charset val="128"/>
          </rPr>
          <t>1：選択集計します。
0：選択しません。</t>
        </r>
      </text>
    </comment>
    <comment ref="D566" authorId="0" shapeId="0" xr:uid="{00000000-0006-0000-0D00-000024020000}">
      <text>
        <r>
          <rPr>
            <sz val="9"/>
            <color indexed="81"/>
            <rFont val="ＭＳ Ｐゴシック"/>
            <family val="3"/>
            <charset val="128"/>
          </rPr>
          <t>1：選択集計します。
0：選択しません。</t>
        </r>
      </text>
    </comment>
    <comment ref="D567" authorId="0" shapeId="0" xr:uid="{00000000-0006-0000-0D00-000025020000}">
      <text>
        <r>
          <rPr>
            <sz val="9"/>
            <color indexed="81"/>
            <rFont val="ＭＳ Ｐゴシック"/>
            <family val="3"/>
            <charset val="128"/>
          </rPr>
          <t>1：選択集計します。
0：選択しません。</t>
        </r>
      </text>
    </comment>
    <comment ref="D568" authorId="0" shapeId="0" xr:uid="{00000000-0006-0000-0D00-000026020000}">
      <text>
        <r>
          <rPr>
            <sz val="9"/>
            <color indexed="81"/>
            <rFont val="ＭＳ Ｐゴシック"/>
            <family val="3"/>
            <charset val="128"/>
          </rPr>
          <t>1：選択集計します。
0：選択しません。</t>
        </r>
      </text>
    </comment>
    <comment ref="D569" authorId="0" shapeId="0" xr:uid="{00000000-0006-0000-0D00-000027020000}">
      <text>
        <r>
          <rPr>
            <sz val="9"/>
            <color indexed="81"/>
            <rFont val="ＭＳ Ｐゴシック"/>
            <family val="3"/>
            <charset val="128"/>
          </rPr>
          <t>1：選択集計します。
0：選択しません。</t>
        </r>
      </text>
    </comment>
    <comment ref="D570" authorId="0" shapeId="0" xr:uid="{00000000-0006-0000-0D00-000028020000}">
      <text>
        <r>
          <rPr>
            <sz val="9"/>
            <color indexed="81"/>
            <rFont val="ＭＳ Ｐゴシック"/>
            <family val="3"/>
            <charset val="128"/>
          </rPr>
          <t>1：選択集計します。
0：選択しません。</t>
        </r>
      </text>
    </comment>
    <comment ref="D571" authorId="0" shapeId="0" xr:uid="{00000000-0006-0000-0D00-000029020000}">
      <text>
        <r>
          <rPr>
            <sz val="9"/>
            <color indexed="81"/>
            <rFont val="ＭＳ Ｐゴシック"/>
            <family val="3"/>
            <charset val="128"/>
          </rPr>
          <t>1：選択集計します。
0：選択しません。</t>
        </r>
      </text>
    </comment>
    <comment ref="D572" authorId="0" shapeId="0" xr:uid="{00000000-0006-0000-0D00-00002A020000}">
      <text>
        <r>
          <rPr>
            <sz val="9"/>
            <color indexed="81"/>
            <rFont val="ＭＳ Ｐゴシック"/>
            <family val="3"/>
            <charset val="128"/>
          </rPr>
          <t>1：選択集計します。
0：選択しません。</t>
        </r>
      </text>
    </comment>
    <comment ref="D573" authorId="0" shapeId="0" xr:uid="{00000000-0006-0000-0D00-00002B020000}">
      <text>
        <r>
          <rPr>
            <sz val="9"/>
            <color indexed="81"/>
            <rFont val="ＭＳ Ｐゴシック"/>
            <family val="3"/>
            <charset val="128"/>
          </rPr>
          <t>1：選択集計します。
0：選択しません。</t>
        </r>
      </text>
    </comment>
    <comment ref="D574" authorId="0" shapeId="0" xr:uid="{00000000-0006-0000-0D00-00002C020000}">
      <text>
        <r>
          <rPr>
            <sz val="9"/>
            <color indexed="81"/>
            <rFont val="ＭＳ Ｐゴシック"/>
            <family val="3"/>
            <charset val="128"/>
          </rPr>
          <t>1：選択集計します。
0：選択しません。</t>
        </r>
      </text>
    </comment>
    <comment ref="D575" authorId="0" shapeId="0" xr:uid="{00000000-0006-0000-0D00-00002D020000}">
      <text>
        <r>
          <rPr>
            <sz val="9"/>
            <color indexed="81"/>
            <rFont val="ＭＳ Ｐゴシック"/>
            <family val="3"/>
            <charset val="128"/>
          </rPr>
          <t>1：選択集計します。
0：選択しません。</t>
        </r>
      </text>
    </comment>
    <comment ref="D576" authorId="0" shapeId="0" xr:uid="{00000000-0006-0000-0D00-00002E020000}">
      <text>
        <r>
          <rPr>
            <sz val="9"/>
            <color indexed="81"/>
            <rFont val="ＭＳ Ｐゴシック"/>
            <family val="3"/>
            <charset val="128"/>
          </rPr>
          <t>1：選択集計します。
0：選択しません。</t>
        </r>
      </text>
    </comment>
    <comment ref="D577" authorId="0" shapeId="0" xr:uid="{00000000-0006-0000-0D00-00002F020000}">
      <text>
        <r>
          <rPr>
            <sz val="9"/>
            <color indexed="81"/>
            <rFont val="ＭＳ Ｐゴシック"/>
            <family val="3"/>
            <charset val="128"/>
          </rPr>
          <t>1：選択集計します。
0：選択しません。</t>
        </r>
      </text>
    </comment>
    <comment ref="D578" authorId="0" shapeId="0" xr:uid="{00000000-0006-0000-0D00-000030020000}">
      <text>
        <r>
          <rPr>
            <sz val="9"/>
            <color indexed="81"/>
            <rFont val="ＭＳ Ｐゴシック"/>
            <family val="3"/>
            <charset val="128"/>
          </rPr>
          <t>1：選択集計します。
0：選択しません。</t>
        </r>
      </text>
    </comment>
    <comment ref="D579" authorId="0" shapeId="0" xr:uid="{00000000-0006-0000-0D00-000031020000}">
      <text>
        <r>
          <rPr>
            <sz val="9"/>
            <color indexed="81"/>
            <rFont val="ＭＳ Ｐゴシック"/>
            <family val="3"/>
            <charset val="128"/>
          </rPr>
          <t>1：選択集計します。
0：選択しません。</t>
        </r>
      </text>
    </comment>
    <comment ref="D580" authorId="0" shapeId="0" xr:uid="{00000000-0006-0000-0D00-000032020000}">
      <text>
        <r>
          <rPr>
            <sz val="9"/>
            <color indexed="81"/>
            <rFont val="ＭＳ Ｐゴシック"/>
            <family val="3"/>
            <charset val="128"/>
          </rPr>
          <t>1：選択集計します。
0：選択しません。</t>
        </r>
      </text>
    </comment>
    <comment ref="D581" authorId="0" shapeId="0" xr:uid="{00000000-0006-0000-0D00-000033020000}">
      <text>
        <r>
          <rPr>
            <sz val="9"/>
            <color indexed="81"/>
            <rFont val="ＭＳ Ｐゴシック"/>
            <family val="3"/>
            <charset val="128"/>
          </rPr>
          <t>1：選択集計します。
0：選択しません。</t>
        </r>
      </text>
    </comment>
    <comment ref="D582" authorId="0" shapeId="0" xr:uid="{00000000-0006-0000-0D00-000034020000}">
      <text>
        <r>
          <rPr>
            <sz val="9"/>
            <color indexed="81"/>
            <rFont val="ＭＳ Ｐゴシック"/>
            <family val="3"/>
            <charset val="128"/>
          </rPr>
          <t>1：選択集計します。
0：選択しません。</t>
        </r>
      </text>
    </comment>
    <comment ref="D583" authorId="0" shapeId="0" xr:uid="{00000000-0006-0000-0D00-000035020000}">
      <text>
        <r>
          <rPr>
            <sz val="9"/>
            <color indexed="81"/>
            <rFont val="ＭＳ Ｐゴシック"/>
            <family val="3"/>
            <charset val="128"/>
          </rPr>
          <t>1：選択集計します。
0：選択しません。</t>
        </r>
      </text>
    </comment>
    <comment ref="D584" authorId="0" shapeId="0" xr:uid="{00000000-0006-0000-0D00-000036020000}">
      <text>
        <r>
          <rPr>
            <sz val="9"/>
            <color indexed="81"/>
            <rFont val="ＭＳ Ｐゴシック"/>
            <family val="3"/>
            <charset val="128"/>
          </rPr>
          <t>1：選択集計します。
0：選択しません。</t>
        </r>
      </text>
    </comment>
    <comment ref="D585" authorId="0" shapeId="0" xr:uid="{00000000-0006-0000-0D00-000037020000}">
      <text>
        <r>
          <rPr>
            <sz val="9"/>
            <color indexed="81"/>
            <rFont val="ＭＳ Ｐゴシック"/>
            <family val="3"/>
            <charset val="128"/>
          </rPr>
          <t>1：選択集計します。
0：選択しません。</t>
        </r>
      </text>
    </comment>
    <comment ref="D586" authorId="0" shapeId="0" xr:uid="{00000000-0006-0000-0D00-000038020000}">
      <text>
        <r>
          <rPr>
            <sz val="9"/>
            <color indexed="81"/>
            <rFont val="ＭＳ Ｐゴシック"/>
            <family val="3"/>
            <charset val="128"/>
          </rPr>
          <t>1：選択集計します。
0：選択しません。</t>
        </r>
      </text>
    </comment>
    <comment ref="D587" authorId="0" shapeId="0" xr:uid="{00000000-0006-0000-0D00-000039020000}">
      <text>
        <r>
          <rPr>
            <sz val="9"/>
            <color indexed="81"/>
            <rFont val="ＭＳ Ｐゴシック"/>
            <family val="3"/>
            <charset val="128"/>
          </rPr>
          <t>1：選択集計します。
0：選択しません。</t>
        </r>
      </text>
    </comment>
    <comment ref="D588" authorId="0" shapeId="0" xr:uid="{00000000-0006-0000-0D00-00003A020000}">
      <text>
        <r>
          <rPr>
            <sz val="9"/>
            <color indexed="81"/>
            <rFont val="ＭＳ Ｐゴシック"/>
            <family val="3"/>
            <charset val="128"/>
          </rPr>
          <t>1：選択集計します。
0：選択しません。</t>
        </r>
      </text>
    </comment>
    <comment ref="D589" authorId="0" shapeId="0" xr:uid="{00000000-0006-0000-0D00-00003B020000}">
      <text>
        <r>
          <rPr>
            <sz val="9"/>
            <color indexed="81"/>
            <rFont val="ＭＳ Ｐゴシック"/>
            <family val="3"/>
            <charset val="128"/>
          </rPr>
          <t>1：選択集計します。
0：選択しません。</t>
        </r>
      </text>
    </comment>
    <comment ref="D590" authorId="0" shapeId="0" xr:uid="{00000000-0006-0000-0D00-00003C020000}">
      <text>
        <r>
          <rPr>
            <sz val="9"/>
            <color indexed="81"/>
            <rFont val="ＭＳ Ｐゴシック"/>
            <family val="3"/>
            <charset val="128"/>
          </rPr>
          <t>1：選択集計します。
0：選択しません。</t>
        </r>
      </text>
    </comment>
    <comment ref="D591" authorId="0" shapeId="0" xr:uid="{00000000-0006-0000-0D00-00003D020000}">
      <text>
        <r>
          <rPr>
            <sz val="9"/>
            <color indexed="81"/>
            <rFont val="ＭＳ Ｐゴシック"/>
            <family val="3"/>
            <charset val="128"/>
          </rPr>
          <t>1：選択集計します。
0：選択しません。</t>
        </r>
      </text>
    </comment>
    <comment ref="D592" authorId="0" shapeId="0" xr:uid="{00000000-0006-0000-0D00-00003E020000}">
      <text>
        <r>
          <rPr>
            <sz val="9"/>
            <color indexed="81"/>
            <rFont val="ＭＳ Ｐゴシック"/>
            <family val="3"/>
            <charset val="128"/>
          </rPr>
          <t>1：選択集計します。
0：選択しません。</t>
        </r>
      </text>
    </comment>
    <comment ref="D593" authorId="0" shapeId="0" xr:uid="{00000000-0006-0000-0D00-00003F020000}">
      <text>
        <r>
          <rPr>
            <sz val="9"/>
            <color indexed="81"/>
            <rFont val="ＭＳ Ｐゴシック"/>
            <family val="3"/>
            <charset val="128"/>
          </rPr>
          <t>1：選択集計します。
0：選択しません。</t>
        </r>
      </text>
    </comment>
    <comment ref="D594" authorId="0" shapeId="0" xr:uid="{00000000-0006-0000-0D00-000040020000}">
      <text>
        <r>
          <rPr>
            <sz val="9"/>
            <color indexed="81"/>
            <rFont val="ＭＳ Ｐゴシック"/>
            <family val="3"/>
            <charset val="128"/>
          </rPr>
          <t>1：選択集計します。
0：選択しません。</t>
        </r>
      </text>
    </comment>
    <comment ref="D595" authorId="0" shapeId="0" xr:uid="{00000000-0006-0000-0D00-000041020000}">
      <text>
        <r>
          <rPr>
            <sz val="9"/>
            <color indexed="81"/>
            <rFont val="ＭＳ Ｐゴシック"/>
            <family val="3"/>
            <charset val="128"/>
          </rPr>
          <t>1：選択集計します。
0：選択しません。</t>
        </r>
      </text>
    </comment>
    <comment ref="D596" authorId="0" shapeId="0" xr:uid="{00000000-0006-0000-0D00-000042020000}">
      <text>
        <r>
          <rPr>
            <sz val="9"/>
            <color indexed="81"/>
            <rFont val="ＭＳ Ｐゴシック"/>
            <family val="3"/>
            <charset val="128"/>
          </rPr>
          <t>1：選択集計します。
0：選択しません。</t>
        </r>
      </text>
    </comment>
    <comment ref="D597" authorId="0" shapeId="0" xr:uid="{00000000-0006-0000-0D00-000043020000}">
      <text>
        <r>
          <rPr>
            <sz val="9"/>
            <color indexed="81"/>
            <rFont val="ＭＳ Ｐゴシック"/>
            <family val="3"/>
            <charset val="128"/>
          </rPr>
          <t>1：選択集計します。
0：選択しません。</t>
        </r>
      </text>
    </comment>
    <comment ref="D598" authorId="0" shapeId="0" xr:uid="{00000000-0006-0000-0D00-000044020000}">
      <text>
        <r>
          <rPr>
            <sz val="9"/>
            <color indexed="81"/>
            <rFont val="ＭＳ Ｐゴシック"/>
            <family val="3"/>
            <charset val="128"/>
          </rPr>
          <t>1：選択集計します。
0：選択しません。</t>
        </r>
      </text>
    </comment>
    <comment ref="D599" authorId="0" shapeId="0" xr:uid="{00000000-0006-0000-0D00-000045020000}">
      <text>
        <r>
          <rPr>
            <sz val="9"/>
            <color indexed="81"/>
            <rFont val="ＭＳ Ｐゴシック"/>
            <family val="3"/>
            <charset val="128"/>
          </rPr>
          <t>1：選択集計します。
0：選択しません。</t>
        </r>
      </text>
    </comment>
    <comment ref="D600" authorId="0" shapeId="0" xr:uid="{00000000-0006-0000-0D00-000046020000}">
      <text>
        <r>
          <rPr>
            <sz val="9"/>
            <color indexed="81"/>
            <rFont val="ＭＳ Ｐゴシック"/>
            <family val="3"/>
            <charset val="128"/>
          </rPr>
          <t>1：選択集計します。
0：選択しません。</t>
        </r>
      </text>
    </comment>
    <comment ref="D601" authorId="0" shapeId="0" xr:uid="{00000000-0006-0000-0D00-000047020000}">
      <text>
        <r>
          <rPr>
            <sz val="9"/>
            <color indexed="81"/>
            <rFont val="ＭＳ Ｐゴシック"/>
            <family val="3"/>
            <charset val="128"/>
          </rPr>
          <t>1：選択集計します。
0：選択しません。</t>
        </r>
      </text>
    </comment>
    <comment ref="H604" authorId="0" shapeId="0" xr:uid="{00000000-0006-0000-0D00-000048020000}">
      <text>
        <r>
          <rPr>
            <sz val="9"/>
            <color indexed="81"/>
            <rFont val="ＭＳ Ｐゴシック"/>
            <family val="3"/>
            <charset val="128"/>
          </rPr>
          <t>選択列に 1 を入力した工類が集計されます。</t>
        </r>
      </text>
    </comment>
    <comment ref="D605" authorId="0" shapeId="0" xr:uid="{00000000-0006-0000-0D00-000049020000}">
      <text>
        <r>
          <rPr>
            <sz val="9"/>
            <color indexed="81"/>
            <rFont val="ＭＳ Ｐゴシック"/>
            <family val="3"/>
            <charset val="128"/>
          </rPr>
          <t>1：選択集計します。
0：選択しません。</t>
        </r>
      </text>
    </comment>
    <comment ref="D606" authorId="0" shapeId="0" xr:uid="{00000000-0006-0000-0D00-00004A020000}">
      <text>
        <r>
          <rPr>
            <sz val="9"/>
            <color indexed="81"/>
            <rFont val="ＭＳ Ｐゴシック"/>
            <family val="3"/>
            <charset val="128"/>
          </rPr>
          <t>1：選択集計します。
0：選択しません。</t>
        </r>
      </text>
    </comment>
    <comment ref="D607" authorId="0" shapeId="0" xr:uid="{00000000-0006-0000-0D00-00004B020000}">
      <text>
        <r>
          <rPr>
            <sz val="9"/>
            <color indexed="81"/>
            <rFont val="ＭＳ Ｐゴシック"/>
            <family val="3"/>
            <charset val="128"/>
          </rPr>
          <t>1：選択集計します。
0：選択しません。</t>
        </r>
      </text>
    </comment>
    <comment ref="D608" authorId="0" shapeId="0" xr:uid="{00000000-0006-0000-0D00-00004C020000}">
      <text>
        <r>
          <rPr>
            <sz val="9"/>
            <color indexed="81"/>
            <rFont val="ＭＳ Ｐゴシック"/>
            <family val="3"/>
            <charset val="128"/>
          </rPr>
          <t>1：選択集計します。
0：選択しません。</t>
        </r>
      </text>
    </comment>
    <comment ref="D609" authorId="0" shapeId="0" xr:uid="{00000000-0006-0000-0D00-00004D020000}">
      <text>
        <r>
          <rPr>
            <sz val="9"/>
            <color indexed="81"/>
            <rFont val="ＭＳ Ｐゴシック"/>
            <family val="3"/>
            <charset val="128"/>
          </rPr>
          <t>1：選択集計します。
0：選択しません。</t>
        </r>
      </text>
    </comment>
    <comment ref="D610" authorId="0" shapeId="0" xr:uid="{00000000-0006-0000-0D00-00004E020000}">
      <text>
        <r>
          <rPr>
            <sz val="9"/>
            <color indexed="81"/>
            <rFont val="ＭＳ Ｐゴシック"/>
            <family val="3"/>
            <charset val="128"/>
          </rPr>
          <t>1：選択集計します。
0：選択しません。</t>
        </r>
      </text>
    </comment>
    <comment ref="D611" authorId="0" shapeId="0" xr:uid="{00000000-0006-0000-0D00-00004F020000}">
      <text>
        <r>
          <rPr>
            <sz val="9"/>
            <color indexed="81"/>
            <rFont val="ＭＳ Ｐゴシック"/>
            <family val="3"/>
            <charset val="128"/>
          </rPr>
          <t>1：選択集計します。
0：選択しません。</t>
        </r>
      </text>
    </comment>
    <comment ref="D612" authorId="0" shapeId="0" xr:uid="{00000000-0006-0000-0D00-000050020000}">
      <text>
        <r>
          <rPr>
            <sz val="9"/>
            <color indexed="81"/>
            <rFont val="ＭＳ Ｐゴシック"/>
            <family val="3"/>
            <charset val="128"/>
          </rPr>
          <t>1：選択集計します。
0：選択しません。</t>
        </r>
      </text>
    </comment>
    <comment ref="D613" authorId="0" shapeId="0" xr:uid="{00000000-0006-0000-0D00-000051020000}">
      <text>
        <r>
          <rPr>
            <sz val="9"/>
            <color indexed="81"/>
            <rFont val="ＭＳ Ｐゴシック"/>
            <family val="3"/>
            <charset val="128"/>
          </rPr>
          <t>1：選択集計します。
0：選択しません。</t>
        </r>
      </text>
    </comment>
    <comment ref="D614" authorId="0" shapeId="0" xr:uid="{00000000-0006-0000-0D00-000052020000}">
      <text>
        <r>
          <rPr>
            <sz val="9"/>
            <color indexed="81"/>
            <rFont val="ＭＳ Ｐゴシック"/>
            <family val="3"/>
            <charset val="128"/>
          </rPr>
          <t>1：選択集計します。
0：選択しません。</t>
        </r>
      </text>
    </comment>
    <comment ref="D615" authorId="0" shapeId="0" xr:uid="{00000000-0006-0000-0D00-000053020000}">
      <text>
        <r>
          <rPr>
            <sz val="9"/>
            <color indexed="81"/>
            <rFont val="ＭＳ Ｐゴシック"/>
            <family val="3"/>
            <charset val="128"/>
          </rPr>
          <t>1：選択集計します。
0：選択しません。</t>
        </r>
      </text>
    </comment>
    <comment ref="D616" authorId="0" shapeId="0" xr:uid="{00000000-0006-0000-0D00-000054020000}">
      <text>
        <r>
          <rPr>
            <sz val="9"/>
            <color indexed="81"/>
            <rFont val="ＭＳ Ｐゴシック"/>
            <family val="3"/>
            <charset val="128"/>
          </rPr>
          <t>1：選択集計します。
0：選択しません。</t>
        </r>
      </text>
    </comment>
    <comment ref="D617" authorId="0" shapeId="0" xr:uid="{00000000-0006-0000-0D00-000055020000}">
      <text>
        <r>
          <rPr>
            <sz val="9"/>
            <color indexed="81"/>
            <rFont val="ＭＳ Ｐゴシック"/>
            <family val="3"/>
            <charset val="128"/>
          </rPr>
          <t>1：選択集計します。
0：選択しません。</t>
        </r>
      </text>
    </comment>
    <comment ref="D618" authorId="0" shapeId="0" xr:uid="{00000000-0006-0000-0D00-000056020000}">
      <text>
        <r>
          <rPr>
            <sz val="9"/>
            <color indexed="81"/>
            <rFont val="ＭＳ Ｐゴシック"/>
            <family val="3"/>
            <charset val="128"/>
          </rPr>
          <t>1：選択集計します。
0：選択しません。</t>
        </r>
      </text>
    </comment>
    <comment ref="D619" authorId="0" shapeId="0" xr:uid="{00000000-0006-0000-0D00-000057020000}">
      <text>
        <r>
          <rPr>
            <sz val="9"/>
            <color indexed="81"/>
            <rFont val="ＭＳ Ｐゴシック"/>
            <family val="3"/>
            <charset val="128"/>
          </rPr>
          <t>1：選択集計します。
0：選択しません。</t>
        </r>
      </text>
    </comment>
    <comment ref="D620" authorId="0" shapeId="0" xr:uid="{00000000-0006-0000-0D00-000058020000}">
      <text>
        <r>
          <rPr>
            <sz val="9"/>
            <color indexed="81"/>
            <rFont val="ＭＳ Ｐゴシック"/>
            <family val="3"/>
            <charset val="128"/>
          </rPr>
          <t>1：選択集計します。
0：選択しません。</t>
        </r>
      </text>
    </comment>
    <comment ref="D621" authorId="0" shapeId="0" xr:uid="{00000000-0006-0000-0D00-000059020000}">
      <text>
        <r>
          <rPr>
            <sz val="9"/>
            <color indexed="81"/>
            <rFont val="ＭＳ Ｐゴシック"/>
            <family val="3"/>
            <charset val="128"/>
          </rPr>
          <t>1：選択集計します。
0：選択しません。</t>
        </r>
      </text>
    </comment>
    <comment ref="D622" authorId="0" shapeId="0" xr:uid="{00000000-0006-0000-0D00-00005A020000}">
      <text>
        <r>
          <rPr>
            <sz val="9"/>
            <color indexed="81"/>
            <rFont val="ＭＳ Ｐゴシック"/>
            <family val="3"/>
            <charset val="128"/>
          </rPr>
          <t>1：選択集計します。
0：選択しません。</t>
        </r>
      </text>
    </comment>
    <comment ref="D623" authorId="0" shapeId="0" xr:uid="{00000000-0006-0000-0D00-00005B020000}">
      <text>
        <r>
          <rPr>
            <sz val="9"/>
            <color indexed="81"/>
            <rFont val="ＭＳ Ｐゴシック"/>
            <family val="3"/>
            <charset val="128"/>
          </rPr>
          <t>1：選択集計します。
0：選択しません。</t>
        </r>
      </text>
    </comment>
    <comment ref="D624" authorId="0" shapeId="0" xr:uid="{00000000-0006-0000-0D00-00005C020000}">
      <text>
        <r>
          <rPr>
            <sz val="9"/>
            <color indexed="81"/>
            <rFont val="ＭＳ Ｐゴシック"/>
            <family val="3"/>
            <charset val="128"/>
          </rPr>
          <t>1：選択集計します。
0：選択しません。</t>
        </r>
      </text>
    </comment>
    <comment ref="D625" authorId="0" shapeId="0" xr:uid="{00000000-0006-0000-0D00-00005D020000}">
      <text>
        <r>
          <rPr>
            <sz val="9"/>
            <color indexed="81"/>
            <rFont val="ＭＳ Ｐゴシック"/>
            <family val="3"/>
            <charset val="128"/>
          </rPr>
          <t>1：選択集計します。
0：選択しません。</t>
        </r>
      </text>
    </comment>
    <comment ref="D626" authorId="0" shapeId="0" xr:uid="{00000000-0006-0000-0D00-00005E020000}">
      <text>
        <r>
          <rPr>
            <sz val="9"/>
            <color indexed="81"/>
            <rFont val="ＭＳ Ｐゴシック"/>
            <family val="3"/>
            <charset val="128"/>
          </rPr>
          <t>1：選択集計します。
0：選択しません。</t>
        </r>
      </text>
    </comment>
    <comment ref="D627" authorId="0" shapeId="0" xr:uid="{00000000-0006-0000-0D00-00005F020000}">
      <text>
        <r>
          <rPr>
            <sz val="9"/>
            <color indexed="81"/>
            <rFont val="ＭＳ Ｐゴシック"/>
            <family val="3"/>
            <charset val="128"/>
          </rPr>
          <t>1：選択集計します。
0：選択しません。</t>
        </r>
      </text>
    </comment>
    <comment ref="D628" authorId="0" shapeId="0" xr:uid="{00000000-0006-0000-0D00-000060020000}">
      <text>
        <r>
          <rPr>
            <sz val="9"/>
            <color indexed="81"/>
            <rFont val="ＭＳ Ｐゴシック"/>
            <family val="3"/>
            <charset val="128"/>
          </rPr>
          <t>1：選択集計します。
0：選択しません。</t>
        </r>
      </text>
    </comment>
    <comment ref="D629" authorId="0" shapeId="0" xr:uid="{00000000-0006-0000-0D00-000061020000}">
      <text>
        <r>
          <rPr>
            <sz val="9"/>
            <color indexed="81"/>
            <rFont val="ＭＳ Ｐゴシック"/>
            <family val="3"/>
            <charset val="128"/>
          </rPr>
          <t>1：選択集計します。
0：選択しません。</t>
        </r>
      </text>
    </comment>
    <comment ref="D630" authorId="0" shapeId="0" xr:uid="{00000000-0006-0000-0D00-000062020000}">
      <text>
        <r>
          <rPr>
            <sz val="9"/>
            <color indexed="81"/>
            <rFont val="ＭＳ Ｐゴシック"/>
            <family val="3"/>
            <charset val="128"/>
          </rPr>
          <t>1：選択集計します。
0：選択しません。</t>
        </r>
      </text>
    </comment>
    <comment ref="D631" authorId="0" shapeId="0" xr:uid="{00000000-0006-0000-0D00-000063020000}">
      <text>
        <r>
          <rPr>
            <sz val="9"/>
            <color indexed="81"/>
            <rFont val="ＭＳ Ｐゴシック"/>
            <family val="3"/>
            <charset val="128"/>
          </rPr>
          <t>1：選択集計します。
0：選択しません。</t>
        </r>
      </text>
    </comment>
    <comment ref="D632" authorId="0" shapeId="0" xr:uid="{00000000-0006-0000-0D00-000064020000}">
      <text>
        <r>
          <rPr>
            <sz val="9"/>
            <color indexed="81"/>
            <rFont val="ＭＳ Ｐゴシック"/>
            <family val="3"/>
            <charset val="128"/>
          </rPr>
          <t>1：選択集計します。
0：選択しません。</t>
        </r>
      </text>
    </comment>
    <comment ref="D633" authorId="0" shapeId="0" xr:uid="{00000000-0006-0000-0D00-000065020000}">
      <text>
        <r>
          <rPr>
            <sz val="9"/>
            <color indexed="81"/>
            <rFont val="ＭＳ Ｐゴシック"/>
            <family val="3"/>
            <charset val="128"/>
          </rPr>
          <t>1：選択集計します。
0：選択しません。</t>
        </r>
      </text>
    </comment>
    <comment ref="D634" authorId="0" shapeId="0" xr:uid="{00000000-0006-0000-0D00-000066020000}">
      <text>
        <r>
          <rPr>
            <sz val="9"/>
            <color indexed="81"/>
            <rFont val="ＭＳ Ｐゴシック"/>
            <family val="3"/>
            <charset val="128"/>
          </rPr>
          <t>1：選択集計します。
0：選択しません。</t>
        </r>
      </text>
    </comment>
    <comment ref="D635" authorId="0" shapeId="0" xr:uid="{00000000-0006-0000-0D00-000067020000}">
      <text>
        <r>
          <rPr>
            <sz val="9"/>
            <color indexed="81"/>
            <rFont val="ＭＳ Ｐゴシック"/>
            <family val="3"/>
            <charset val="128"/>
          </rPr>
          <t>1：選択集計します。
0：選択しません。</t>
        </r>
      </text>
    </comment>
    <comment ref="D636" authorId="0" shapeId="0" xr:uid="{00000000-0006-0000-0D00-000068020000}">
      <text>
        <r>
          <rPr>
            <sz val="9"/>
            <color indexed="81"/>
            <rFont val="ＭＳ Ｐゴシック"/>
            <family val="3"/>
            <charset val="128"/>
          </rPr>
          <t>1：選択集計します。
0：選択しません。</t>
        </r>
      </text>
    </comment>
    <comment ref="D637" authorId="0" shapeId="0" xr:uid="{00000000-0006-0000-0D00-000069020000}">
      <text>
        <r>
          <rPr>
            <sz val="9"/>
            <color indexed="81"/>
            <rFont val="ＭＳ Ｐゴシック"/>
            <family val="3"/>
            <charset val="128"/>
          </rPr>
          <t>1：選択集計します。
0：選択しません。</t>
        </r>
      </text>
    </comment>
    <comment ref="D638" authorId="0" shapeId="0" xr:uid="{00000000-0006-0000-0D00-00006A020000}">
      <text>
        <r>
          <rPr>
            <sz val="9"/>
            <color indexed="81"/>
            <rFont val="ＭＳ Ｐゴシック"/>
            <family val="3"/>
            <charset val="128"/>
          </rPr>
          <t>1：選択集計します。
0：選択しません。</t>
        </r>
      </text>
    </comment>
    <comment ref="D639" authorId="0" shapeId="0" xr:uid="{00000000-0006-0000-0D00-00006B020000}">
      <text>
        <r>
          <rPr>
            <sz val="9"/>
            <color indexed="81"/>
            <rFont val="ＭＳ Ｐゴシック"/>
            <family val="3"/>
            <charset val="128"/>
          </rPr>
          <t>1：選択集計します。
0：選択しません。</t>
        </r>
      </text>
    </comment>
    <comment ref="D640" authorId="0" shapeId="0" xr:uid="{00000000-0006-0000-0D00-00006C020000}">
      <text>
        <r>
          <rPr>
            <sz val="9"/>
            <color indexed="81"/>
            <rFont val="ＭＳ Ｐゴシック"/>
            <family val="3"/>
            <charset val="128"/>
          </rPr>
          <t>1：選択集計します。
0：選択しません。</t>
        </r>
      </text>
    </comment>
    <comment ref="D641" authorId="0" shapeId="0" xr:uid="{00000000-0006-0000-0D00-00006D020000}">
      <text>
        <r>
          <rPr>
            <sz val="9"/>
            <color indexed="81"/>
            <rFont val="ＭＳ Ｐゴシック"/>
            <family val="3"/>
            <charset val="128"/>
          </rPr>
          <t>1：選択集計します。
0：選択しません。</t>
        </r>
      </text>
    </comment>
    <comment ref="D642" authorId="0" shapeId="0" xr:uid="{00000000-0006-0000-0D00-00006E020000}">
      <text>
        <r>
          <rPr>
            <sz val="9"/>
            <color indexed="81"/>
            <rFont val="ＭＳ Ｐゴシック"/>
            <family val="3"/>
            <charset val="128"/>
          </rPr>
          <t>1：選択集計します。
0：選択しません。</t>
        </r>
      </text>
    </comment>
    <comment ref="D643" authorId="0" shapeId="0" xr:uid="{00000000-0006-0000-0D00-00006F020000}">
      <text>
        <r>
          <rPr>
            <sz val="9"/>
            <color indexed="81"/>
            <rFont val="ＭＳ Ｐゴシック"/>
            <family val="3"/>
            <charset val="128"/>
          </rPr>
          <t>1：選択集計します。
0：選択しません。</t>
        </r>
      </text>
    </comment>
    <comment ref="D644" authorId="0" shapeId="0" xr:uid="{00000000-0006-0000-0D00-000070020000}">
      <text>
        <r>
          <rPr>
            <sz val="9"/>
            <color indexed="81"/>
            <rFont val="ＭＳ Ｐゴシック"/>
            <family val="3"/>
            <charset val="128"/>
          </rPr>
          <t>1：選択集計します。
0：選択しません。</t>
        </r>
      </text>
    </comment>
    <comment ref="D645" authorId="0" shapeId="0" xr:uid="{00000000-0006-0000-0D00-000071020000}">
      <text>
        <r>
          <rPr>
            <sz val="9"/>
            <color indexed="81"/>
            <rFont val="ＭＳ Ｐゴシック"/>
            <family val="3"/>
            <charset val="128"/>
          </rPr>
          <t>1：選択集計します。
0：選択しません。</t>
        </r>
      </text>
    </comment>
    <comment ref="D646" authorId="0" shapeId="0" xr:uid="{00000000-0006-0000-0D00-000072020000}">
      <text>
        <r>
          <rPr>
            <sz val="9"/>
            <color indexed="81"/>
            <rFont val="ＭＳ Ｐゴシック"/>
            <family val="3"/>
            <charset val="128"/>
          </rPr>
          <t>1：選択集計します。
0：選択しません。</t>
        </r>
      </text>
    </comment>
    <comment ref="D647" authorId="0" shapeId="0" xr:uid="{00000000-0006-0000-0D00-000073020000}">
      <text>
        <r>
          <rPr>
            <sz val="9"/>
            <color indexed="81"/>
            <rFont val="ＭＳ Ｐゴシック"/>
            <family val="3"/>
            <charset val="128"/>
          </rPr>
          <t>1：選択集計します。
0：選択しません。</t>
        </r>
      </text>
    </comment>
    <comment ref="D648" authorId="0" shapeId="0" xr:uid="{00000000-0006-0000-0D00-000074020000}">
      <text>
        <r>
          <rPr>
            <sz val="9"/>
            <color indexed="81"/>
            <rFont val="ＭＳ Ｐゴシック"/>
            <family val="3"/>
            <charset val="128"/>
          </rPr>
          <t>1：選択集計します。
0：選択しません。</t>
        </r>
      </text>
    </comment>
    <comment ref="D649" authorId="0" shapeId="0" xr:uid="{00000000-0006-0000-0D00-000075020000}">
      <text>
        <r>
          <rPr>
            <sz val="9"/>
            <color indexed="81"/>
            <rFont val="ＭＳ Ｐゴシック"/>
            <family val="3"/>
            <charset val="128"/>
          </rPr>
          <t>1：選択集計します。
0：選択しません。</t>
        </r>
      </text>
    </comment>
    <comment ref="D650" authorId="0" shapeId="0" xr:uid="{00000000-0006-0000-0D00-000076020000}">
      <text>
        <r>
          <rPr>
            <sz val="9"/>
            <color indexed="81"/>
            <rFont val="ＭＳ Ｐゴシック"/>
            <family val="3"/>
            <charset val="128"/>
          </rPr>
          <t>1：選択集計します。
0：選択しません。</t>
        </r>
      </text>
    </comment>
    <comment ref="D651" authorId="0" shapeId="0" xr:uid="{00000000-0006-0000-0D00-000077020000}">
      <text>
        <r>
          <rPr>
            <sz val="9"/>
            <color indexed="81"/>
            <rFont val="ＭＳ Ｐゴシック"/>
            <family val="3"/>
            <charset val="128"/>
          </rPr>
          <t>1：選択集計します。
0：選択しません。</t>
        </r>
      </text>
    </comment>
    <comment ref="D652" authorId="0" shapeId="0" xr:uid="{00000000-0006-0000-0D00-000078020000}">
      <text>
        <r>
          <rPr>
            <sz val="9"/>
            <color indexed="81"/>
            <rFont val="ＭＳ Ｐゴシック"/>
            <family val="3"/>
            <charset val="128"/>
          </rPr>
          <t>1：選択集計します。
0：選択しません。</t>
        </r>
      </text>
    </comment>
    <comment ref="D653" authorId="0" shapeId="0" xr:uid="{00000000-0006-0000-0D00-000079020000}">
      <text>
        <r>
          <rPr>
            <sz val="9"/>
            <color indexed="81"/>
            <rFont val="ＭＳ Ｐゴシック"/>
            <family val="3"/>
            <charset val="128"/>
          </rPr>
          <t>1：選択集計します。
0：選択しません。</t>
        </r>
      </text>
    </comment>
    <comment ref="D654" authorId="0" shapeId="0" xr:uid="{00000000-0006-0000-0D00-00007A020000}">
      <text>
        <r>
          <rPr>
            <sz val="9"/>
            <color indexed="81"/>
            <rFont val="ＭＳ Ｐゴシック"/>
            <family val="3"/>
            <charset val="128"/>
          </rPr>
          <t>1：選択集計します。
0：選択しません。</t>
        </r>
      </text>
    </comment>
    <comment ref="D655" authorId="0" shapeId="0" xr:uid="{00000000-0006-0000-0D00-00007B020000}">
      <text>
        <r>
          <rPr>
            <sz val="9"/>
            <color indexed="81"/>
            <rFont val="ＭＳ Ｐゴシック"/>
            <family val="3"/>
            <charset val="128"/>
          </rPr>
          <t>1：選択集計します。
0：選択しません。</t>
        </r>
      </text>
    </comment>
    <comment ref="D656" authorId="0" shapeId="0" xr:uid="{00000000-0006-0000-0D00-00007C020000}">
      <text>
        <r>
          <rPr>
            <sz val="9"/>
            <color indexed="81"/>
            <rFont val="ＭＳ Ｐゴシック"/>
            <family val="3"/>
            <charset val="128"/>
          </rPr>
          <t>1：選択集計します。
0：選択しません。</t>
        </r>
      </text>
    </comment>
    <comment ref="D657" authorId="0" shapeId="0" xr:uid="{00000000-0006-0000-0D00-00007D020000}">
      <text>
        <r>
          <rPr>
            <sz val="9"/>
            <color indexed="81"/>
            <rFont val="ＭＳ Ｐゴシック"/>
            <family val="3"/>
            <charset val="128"/>
          </rPr>
          <t>1：選択集計します。
0：選択しません。</t>
        </r>
      </text>
    </comment>
    <comment ref="D658" authorId="0" shapeId="0" xr:uid="{00000000-0006-0000-0D00-00007E020000}">
      <text>
        <r>
          <rPr>
            <sz val="9"/>
            <color indexed="81"/>
            <rFont val="ＭＳ Ｐゴシック"/>
            <family val="3"/>
            <charset val="128"/>
          </rPr>
          <t>1：選択集計します。
0：選択しません。</t>
        </r>
      </text>
    </comment>
    <comment ref="D659" authorId="0" shapeId="0" xr:uid="{00000000-0006-0000-0D00-00007F020000}">
      <text>
        <r>
          <rPr>
            <sz val="9"/>
            <color indexed="81"/>
            <rFont val="ＭＳ Ｐゴシック"/>
            <family val="3"/>
            <charset val="128"/>
          </rPr>
          <t>1：選択集計します。
0：選択しません。</t>
        </r>
      </text>
    </comment>
    <comment ref="D660" authorId="0" shapeId="0" xr:uid="{00000000-0006-0000-0D00-000080020000}">
      <text>
        <r>
          <rPr>
            <sz val="9"/>
            <color indexed="81"/>
            <rFont val="ＭＳ Ｐゴシック"/>
            <family val="3"/>
            <charset val="128"/>
          </rPr>
          <t>1：選択集計します。
0：選択しません。</t>
        </r>
      </text>
    </comment>
    <comment ref="D661" authorId="0" shapeId="0" xr:uid="{00000000-0006-0000-0D00-000081020000}">
      <text>
        <r>
          <rPr>
            <sz val="9"/>
            <color indexed="81"/>
            <rFont val="ＭＳ Ｐゴシック"/>
            <family val="3"/>
            <charset val="128"/>
          </rPr>
          <t>1：選択集計します。
0：選択しません。</t>
        </r>
      </text>
    </comment>
    <comment ref="D662" authorId="0" shapeId="0" xr:uid="{00000000-0006-0000-0D00-000082020000}">
      <text>
        <r>
          <rPr>
            <sz val="9"/>
            <color indexed="81"/>
            <rFont val="ＭＳ Ｐゴシック"/>
            <family val="3"/>
            <charset val="128"/>
          </rPr>
          <t>1：選択集計します。
0：選択しません。</t>
        </r>
      </text>
    </comment>
    <comment ref="D663" authorId="0" shapeId="0" xr:uid="{00000000-0006-0000-0D00-000083020000}">
      <text>
        <r>
          <rPr>
            <sz val="9"/>
            <color indexed="81"/>
            <rFont val="ＭＳ Ｐゴシック"/>
            <family val="3"/>
            <charset val="128"/>
          </rPr>
          <t>1：選択集計します。
0：選択しません。</t>
        </r>
      </text>
    </comment>
    <comment ref="D664" authorId="0" shapeId="0" xr:uid="{00000000-0006-0000-0D00-000084020000}">
      <text>
        <r>
          <rPr>
            <sz val="9"/>
            <color indexed="81"/>
            <rFont val="ＭＳ Ｐゴシック"/>
            <family val="3"/>
            <charset val="128"/>
          </rPr>
          <t>1：選択集計します。
0：選択しません。</t>
        </r>
      </text>
    </comment>
    <comment ref="D665" authorId="0" shapeId="0" xr:uid="{00000000-0006-0000-0D00-000085020000}">
      <text>
        <r>
          <rPr>
            <sz val="9"/>
            <color indexed="81"/>
            <rFont val="ＭＳ Ｐゴシック"/>
            <family val="3"/>
            <charset val="128"/>
          </rPr>
          <t>1：選択集計します。
0：選択しません。</t>
        </r>
      </text>
    </comment>
    <comment ref="D666" authorId="0" shapeId="0" xr:uid="{00000000-0006-0000-0D00-000086020000}">
      <text>
        <r>
          <rPr>
            <sz val="9"/>
            <color indexed="81"/>
            <rFont val="ＭＳ Ｐゴシック"/>
            <family val="3"/>
            <charset val="128"/>
          </rPr>
          <t>1：選択集計します。
0：選択しません。</t>
        </r>
      </text>
    </comment>
    <comment ref="D667" authorId="0" shapeId="0" xr:uid="{00000000-0006-0000-0D00-000087020000}">
      <text>
        <r>
          <rPr>
            <sz val="9"/>
            <color indexed="81"/>
            <rFont val="ＭＳ Ｐゴシック"/>
            <family val="3"/>
            <charset val="128"/>
          </rPr>
          <t>1：選択集計します。
0：選択しません。</t>
        </r>
      </text>
    </comment>
    <comment ref="D668" authorId="0" shapeId="0" xr:uid="{00000000-0006-0000-0D00-000088020000}">
      <text>
        <r>
          <rPr>
            <sz val="9"/>
            <color indexed="81"/>
            <rFont val="ＭＳ Ｐゴシック"/>
            <family val="3"/>
            <charset val="128"/>
          </rPr>
          <t>1：選択集計します。
0：選択しません。</t>
        </r>
      </text>
    </comment>
    <comment ref="D669" authorId="0" shapeId="0" xr:uid="{00000000-0006-0000-0D00-000089020000}">
      <text>
        <r>
          <rPr>
            <sz val="9"/>
            <color indexed="81"/>
            <rFont val="ＭＳ Ｐゴシック"/>
            <family val="3"/>
            <charset val="128"/>
          </rPr>
          <t>1：選択集計します。
0：選択しません。</t>
        </r>
      </text>
    </comment>
    <comment ref="D670" authorId="0" shapeId="0" xr:uid="{00000000-0006-0000-0D00-00008A020000}">
      <text>
        <r>
          <rPr>
            <sz val="9"/>
            <color indexed="81"/>
            <rFont val="ＭＳ Ｐゴシック"/>
            <family val="3"/>
            <charset val="128"/>
          </rPr>
          <t>1：選択集計します。
0：選択しません。</t>
        </r>
      </text>
    </comment>
    <comment ref="D671" authorId="0" shapeId="0" xr:uid="{00000000-0006-0000-0D00-00008B020000}">
      <text>
        <r>
          <rPr>
            <sz val="9"/>
            <color indexed="81"/>
            <rFont val="ＭＳ Ｐゴシック"/>
            <family val="3"/>
            <charset val="128"/>
          </rPr>
          <t>1：選択集計します。
0：選択しません。</t>
        </r>
      </text>
    </comment>
    <comment ref="D672" authorId="0" shapeId="0" xr:uid="{00000000-0006-0000-0D00-00008C020000}">
      <text>
        <r>
          <rPr>
            <sz val="9"/>
            <color indexed="81"/>
            <rFont val="ＭＳ Ｐゴシック"/>
            <family val="3"/>
            <charset val="128"/>
          </rPr>
          <t>1：選択集計します。
0：選択しません。</t>
        </r>
      </text>
    </comment>
    <comment ref="D673" authorId="0" shapeId="0" xr:uid="{00000000-0006-0000-0D00-00008D020000}">
      <text>
        <r>
          <rPr>
            <sz val="9"/>
            <color indexed="81"/>
            <rFont val="ＭＳ Ｐゴシック"/>
            <family val="3"/>
            <charset val="128"/>
          </rPr>
          <t>1：選択集計します。
0：選択しません。</t>
        </r>
      </text>
    </comment>
    <comment ref="D674" authorId="0" shapeId="0" xr:uid="{00000000-0006-0000-0D00-00008E020000}">
      <text>
        <r>
          <rPr>
            <sz val="9"/>
            <color indexed="81"/>
            <rFont val="ＭＳ Ｐゴシック"/>
            <family val="3"/>
            <charset val="128"/>
          </rPr>
          <t>1：選択集計します。
0：選択しません。</t>
        </r>
      </text>
    </comment>
    <comment ref="D675" authorId="0" shapeId="0" xr:uid="{00000000-0006-0000-0D00-00008F020000}">
      <text>
        <r>
          <rPr>
            <sz val="9"/>
            <color indexed="81"/>
            <rFont val="ＭＳ Ｐゴシック"/>
            <family val="3"/>
            <charset val="128"/>
          </rPr>
          <t>1：選択集計します。
0：選択しません。</t>
        </r>
      </text>
    </comment>
    <comment ref="D676" authorId="0" shapeId="0" xr:uid="{00000000-0006-0000-0D00-000090020000}">
      <text>
        <r>
          <rPr>
            <sz val="9"/>
            <color indexed="81"/>
            <rFont val="ＭＳ Ｐゴシック"/>
            <family val="3"/>
            <charset val="128"/>
          </rPr>
          <t>1：選択集計します。
0：選択しません。</t>
        </r>
      </text>
    </comment>
    <comment ref="D677" authorId="0" shapeId="0" xr:uid="{00000000-0006-0000-0D00-000091020000}">
      <text>
        <r>
          <rPr>
            <sz val="9"/>
            <color indexed="81"/>
            <rFont val="ＭＳ Ｐゴシック"/>
            <family val="3"/>
            <charset val="128"/>
          </rPr>
          <t>1：選択集計します。
0：選択しません。</t>
        </r>
      </text>
    </comment>
    <comment ref="D678" authorId="0" shapeId="0" xr:uid="{00000000-0006-0000-0D00-000092020000}">
      <text>
        <r>
          <rPr>
            <sz val="9"/>
            <color indexed="81"/>
            <rFont val="ＭＳ Ｐゴシック"/>
            <family val="3"/>
            <charset val="128"/>
          </rPr>
          <t>1：選択集計します。
0：選択しません。</t>
        </r>
      </text>
    </comment>
    <comment ref="D679" authorId="0" shapeId="0" xr:uid="{00000000-0006-0000-0D00-000093020000}">
      <text>
        <r>
          <rPr>
            <sz val="9"/>
            <color indexed="81"/>
            <rFont val="ＭＳ Ｐゴシック"/>
            <family val="3"/>
            <charset val="128"/>
          </rPr>
          <t>1：選択集計します。
0：選択しません。</t>
        </r>
      </text>
    </comment>
    <comment ref="D680" authorId="0" shapeId="0" xr:uid="{00000000-0006-0000-0D00-000094020000}">
      <text>
        <r>
          <rPr>
            <sz val="9"/>
            <color indexed="81"/>
            <rFont val="ＭＳ Ｐゴシック"/>
            <family val="3"/>
            <charset val="128"/>
          </rPr>
          <t>1：選択集計します。
0：選択しません。</t>
        </r>
      </text>
    </comment>
    <comment ref="D681" authorId="0" shapeId="0" xr:uid="{00000000-0006-0000-0D00-000095020000}">
      <text>
        <r>
          <rPr>
            <sz val="9"/>
            <color indexed="81"/>
            <rFont val="ＭＳ Ｐゴシック"/>
            <family val="3"/>
            <charset val="128"/>
          </rPr>
          <t>1：選択集計します。
0：選択しません。</t>
        </r>
      </text>
    </comment>
    <comment ref="D682" authorId="0" shapeId="0" xr:uid="{00000000-0006-0000-0D00-000096020000}">
      <text>
        <r>
          <rPr>
            <sz val="9"/>
            <color indexed="81"/>
            <rFont val="ＭＳ Ｐゴシック"/>
            <family val="3"/>
            <charset val="128"/>
          </rPr>
          <t>1：選択集計します。
0：選択しません。</t>
        </r>
      </text>
    </comment>
    <comment ref="D683" authorId="0" shapeId="0" xr:uid="{00000000-0006-0000-0D00-000097020000}">
      <text>
        <r>
          <rPr>
            <sz val="9"/>
            <color indexed="81"/>
            <rFont val="ＭＳ Ｐゴシック"/>
            <family val="3"/>
            <charset val="128"/>
          </rPr>
          <t>1：選択集計します。
0：選択しません。</t>
        </r>
      </text>
    </comment>
    <comment ref="D684" authorId="0" shapeId="0" xr:uid="{00000000-0006-0000-0D00-000098020000}">
      <text>
        <r>
          <rPr>
            <sz val="9"/>
            <color indexed="81"/>
            <rFont val="ＭＳ Ｐゴシック"/>
            <family val="3"/>
            <charset val="128"/>
          </rPr>
          <t>1：選択集計します。
0：選択しません。</t>
        </r>
      </text>
    </comment>
    <comment ref="D685" authorId="0" shapeId="0" xr:uid="{00000000-0006-0000-0D00-000099020000}">
      <text>
        <r>
          <rPr>
            <sz val="9"/>
            <color indexed="81"/>
            <rFont val="ＭＳ Ｐゴシック"/>
            <family val="3"/>
            <charset val="128"/>
          </rPr>
          <t>1：選択集計します。
0：選択しません。</t>
        </r>
      </text>
    </comment>
    <comment ref="D686" authorId="0" shapeId="0" xr:uid="{00000000-0006-0000-0D00-00009A020000}">
      <text>
        <r>
          <rPr>
            <sz val="9"/>
            <color indexed="81"/>
            <rFont val="ＭＳ Ｐゴシック"/>
            <family val="3"/>
            <charset val="128"/>
          </rPr>
          <t>1：選択集計します。
0：選択しません。</t>
        </r>
      </text>
    </comment>
    <comment ref="H689" authorId="0" shapeId="0" xr:uid="{00000000-0006-0000-0D00-00009B020000}">
      <text>
        <r>
          <rPr>
            <sz val="9"/>
            <color indexed="81"/>
            <rFont val="ＭＳ Ｐゴシック"/>
            <family val="3"/>
            <charset val="128"/>
          </rPr>
          <t>選択列に 1 を入力した工類が集計されます。</t>
        </r>
      </text>
    </comment>
    <comment ref="D690" authorId="0" shapeId="0" xr:uid="{00000000-0006-0000-0D00-00009C020000}">
      <text>
        <r>
          <rPr>
            <sz val="9"/>
            <color indexed="81"/>
            <rFont val="ＭＳ Ｐゴシック"/>
            <family val="3"/>
            <charset val="128"/>
          </rPr>
          <t>1：選択集計します。
0：選択しません。</t>
        </r>
      </text>
    </comment>
    <comment ref="D691" authorId="0" shapeId="0" xr:uid="{00000000-0006-0000-0D00-00009D020000}">
      <text>
        <r>
          <rPr>
            <sz val="9"/>
            <color indexed="81"/>
            <rFont val="ＭＳ Ｐゴシック"/>
            <family val="3"/>
            <charset val="128"/>
          </rPr>
          <t>1：選択集計します。
0：選択しません。</t>
        </r>
      </text>
    </comment>
    <comment ref="D692" authorId="0" shapeId="0" xr:uid="{00000000-0006-0000-0D00-00009E020000}">
      <text>
        <r>
          <rPr>
            <sz val="9"/>
            <color indexed="81"/>
            <rFont val="ＭＳ Ｐゴシック"/>
            <family val="3"/>
            <charset val="128"/>
          </rPr>
          <t>1：選択集計します。
0：選択しません。</t>
        </r>
      </text>
    </comment>
    <comment ref="D693" authorId="0" shapeId="0" xr:uid="{00000000-0006-0000-0D00-00009F020000}">
      <text>
        <r>
          <rPr>
            <sz val="9"/>
            <color indexed="81"/>
            <rFont val="ＭＳ Ｐゴシック"/>
            <family val="3"/>
            <charset val="128"/>
          </rPr>
          <t>1：選択集計します。
0：選択しません。</t>
        </r>
      </text>
    </comment>
    <comment ref="D694" authorId="0" shapeId="0" xr:uid="{00000000-0006-0000-0D00-0000A0020000}">
      <text>
        <r>
          <rPr>
            <sz val="9"/>
            <color indexed="81"/>
            <rFont val="ＭＳ Ｐゴシック"/>
            <family val="3"/>
            <charset val="128"/>
          </rPr>
          <t>1：選択集計します。
0：選択しません。</t>
        </r>
      </text>
    </comment>
    <comment ref="D695" authorId="0" shapeId="0" xr:uid="{00000000-0006-0000-0D00-0000A1020000}">
      <text>
        <r>
          <rPr>
            <sz val="9"/>
            <color indexed="81"/>
            <rFont val="ＭＳ Ｐゴシック"/>
            <family val="3"/>
            <charset val="128"/>
          </rPr>
          <t>1：選択集計します。
0：選択しません。</t>
        </r>
      </text>
    </comment>
    <comment ref="D696" authorId="0" shapeId="0" xr:uid="{00000000-0006-0000-0D00-0000A2020000}">
      <text>
        <r>
          <rPr>
            <sz val="9"/>
            <color indexed="81"/>
            <rFont val="ＭＳ Ｐゴシック"/>
            <family val="3"/>
            <charset val="128"/>
          </rPr>
          <t>1：選択集計します。
0：選択しません。</t>
        </r>
      </text>
    </comment>
    <comment ref="D697" authorId="0" shapeId="0" xr:uid="{00000000-0006-0000-0D00-0000A3020000}">
      <text>
        <r>
          <rPr>
            <sz val="9"/>
            <color indexed="81"/>
            <rFont val="ＭＳ Ｐゴシック"/>
            <family val="3"/>
            <charset val="128"/>
          </rPr>
          <t>1：選択集計します。
0：選択しません。</t>
        </r>
      </text>
    </comment>
    <comment ref="D698" authorId="0" shapeId="0" xr:uid="{00000000-0006-0000-0D00-0000A4020000}">
      <text>
        <r>
          <rPr>
            <sz val="9"/>
            <color indexed="81"/>
            <rFont val="ＭＳ Ｐゴシック"/>
            <family val="3"/>
            <charset val="128"/>
          </rPr>
          <t>1：選択集計します。
0：選択しません。</t>
        </r>
      </text>
    </comment>
    <comment ref="D699" authorId="0" shapeId="0" xr:uid="{00000000-0006-0000-0D00-0000A5020000}">
      <text>
        <r>
          <rPr>
            <sz val="9"/>
            <color indexed="81"/>
            <rFont val="ＭＳ Ｐゴシック"/>
            <family val="3"/>
            <charset val="128"/>
          </rPr>
          <t>1：選択集計します。
0：選択しません。</t>
        </r>
      </text>
    </comment>
    <comment ref="D700" authorId="0" shapeId="0" xr:uid="{00000000-0006-0000-0D00-0000A6020000}">
      <text>
        <r>
          <rPr>
            <sz val="9"/>
            <color indexed="81"/>
            <rFont val="ＭＳ Ｐゴシック"/>
            <family val="3"/>
            <charset val="128"/>
          </rPr>
          <t>1：選択集計します。
0：選択しません。</t>
        </r>
      </text>
    </comment>
    <comment ref="D701" authorId="0" shapeId="0" xr:uid="{00000000-0006-0000-0D00-0000A7020000}">
      <text>
        <r>
          <rPr>
            <sz val="9"/>
            <color indexed="81"/>
            <rFont val="ＭＳ Ｐゴシック"/>
            <family val="3"/>
            <charset val="128"/>
          </rPr>
          <t>1：選択集計します。
0：選択しません。</t>
        </r>
      </text>
    </comment>
    <comment ref="D702" authorId="0" shapeId="0" xr:uid="{00000000-0006-0000-0D00-0000A8020000}">
      <text>
        <r>
          <rPr>
            <sz val="9"/>
            <color indexed="81"/>
            <rFont val="ＭＳ Ｐゴシック"/>
            <family val="3"/>
            <charset val="128"/>
          </rPr>
          <t>1：選択集計します。
0：選択しません。</t>
        </r>
      </text>
    </comment>
    <comment ref="D703" authorId="0" shapeId="0" xr:uid="{00000000-0006-0000-0D00-0000A9020000}">
      <text>
        <r>
          <rPr>
            <sz val="9"/>
            <color indexed="81"/>
            <rFont val="ＭＳ Ｐゴシック"/>
            <family val="3"/>
            <charset val="128"/>
          </rPr>
          <t>1：選択集計します。
0：選択しません。</t>
        </r>
      </text>
    </comment>
    <comment ref="D704" authorId="0" shapeId="0" xr:uid="{00000000-0006-0000-0D00-0000AA020000}">
      <text>
        <r>
          <rPr>
            <sz val="9"/>
            <color indexed="81"/>
            <rFont val="ＭＳ Ｐゴシック"/>
            <family val="3"/>
            <charset val="128"/>
          </rPr>
          <t>1：選択集計します。
0：選択しません。</t>
        </r>
      </text>
    </comment>
    <comment ref="D705" authorId="0" shapeId="0" xr:uid="{00000000-0006-0000-0D00-0000AB020000}">
      <text>
        <r>
          <rPr>
            <sz val="9"/>
            <color indexed="81"/>
            <rFont val="ＭＳ Ｐゴシック"/>
            <family val="3"/>
            <charset val="128"/>
          </rPr>
          <t>1：選択集計します。
0：選択しません。</t>
        </r>
      </text>
    </comment>
    <comment ref="D706" authorId="0" shapeId="0" xr:uid="{00000000-0006-0000-0D00-0000AC020000}">
      <text>
        <r>
          <rPr>
            <sz val="9"/>
            <color indexed="81"/>
            <rFont val="ＭＳ Ｐゴシック"/>
            <family val="3"/>
            <charset val="128"/>
          </rPr>
          <t>1：選択集計します。
0：選択しません。</t>
        </r>
      </text>
    </comment>
    <comment ref="D707" authorId="0" shapeId="0" xr:uid="{00000000-0006-0000-0D00-0000AD020000}">
      <text>
        <r>
          <rPr>
            <sz val="9"/>
            <color indexed="81"/>
            <rFont val="ＭＳ Ｐゴシック"/>
            <family val="3"/>
            <charset val="128"/>
          </rPr>
          <t>1：選択集計します。
0：選択しません。</t>
        </r>
      </text>
    </comment>
    <comment ref="D708" authorId="0" shapeId="0" xr:uid="{00000000-0006-0000-0D00-0000AE020000}">
      <text>
        <r>
          <rPr>
            <sz val="9"/>
            <color indexed="81"/>
            <rFont val="ＭＳ Ｐゴシック"/>
            <family val="3"/>
            <charset val="128"/>
          </rPr>
          <t>1：選択集計します。
0：選択しません。</t>
        </r>
      </text>
    </comment>
    <comment ref="D709" authorId="0" shapeId="0" xr:uid="{00000000-0006-0000-0D00-0000AF020000}">
      <text>
        <r>
          <rPr>
            <sz val="9"/>
            <color indexed="81"/>
            <rFont val="ＭＳ Ｐゴシック"/>
            <family val="3"/>
            <charset val="128"/>
          </rPr>
          <t>1：選択集計します。
0：選択しません。</t>
        </r>
      </text>
    </comment>
    <comment ref="D710" authorId="0" shapeId="0" xr:uid="{00000000-0006-0000-0D00-0000B0020000}">
      <text>
        <r>
          <rPr>
            <sz val="9"/>
            <color indexed="81"/>
            <rFont val="ＭＳ Ｐゴシック"/>
            <family val="3"/>
            <charset val="128"/>
          </rPr>
          <t>1：選択集計します。
0：選択しません。</t>
        </r>
      </text>
    </comment>
    <comment ref="D711" authorId="0" shapeId="0" xr:uid="{00000000-0006-0000-0D00-0000B1020000}">
      <text>
        <r>
          <rPr>
            <sz val="9"/>
            <color indexed="81"/>
            <rFont val="ＭＳ Ｐゴシック"/>
            <family val="3"/>
            <charset val="128"/>
          </rPr>
          <t>1：選択集計します。
0：選択しません。</t>
        </r>
      </text>
    </comment>
    <comment ref="D712" authorId="0" shapeId="0" xr:uid="{00000000-0006-0000-0D00-0000B2020000}">
      <text>
        <r>
          <rPr>
            <sz val="9"/>
            <color indexed="81"/>
            <rFont val="ＭＳ Ｐゴシック"/>
            <family val="3"/>
            <charset val="128"/>
          </rPr>
          <t>1：選択集計します。
0：選択しません。</t>
        </r>
      </text>
    </comment>
    <comment ref="D713" authorId="0" shapeId="0" xr:uid="{00000000-0006-0000-0D00-0000B3020000}">
      <text>
        <r>
          <rPr>
            <sz val="9"/>
            <color indexed="81"/>
            <rFont val="ＭＳ Ｐゴシック"/>
            <family val="3"/>
            <charset val="128"/>
          </rPr>
          <t>1：選択集計します。
0：選択しません。</t>
        </r>
      </text>
    </comment>
    <comment ref="D714" authorId="0" shapeId="0" xr:uid="{00000000-0006-0000-0D00-0000B4020000}">
      <text>
        <r>
          <rPr>
            <sz val="9"/>
            <color indexed="81"/>
            <rFont val="ＭＳ Ｐゴシック"/>
            <family val="3"/>
            <charset val="128"/>
          </rPr>
          <t>1：選択集計します。
0：選択しません。</t>
        </r>
      </text>
    </comment>
    <comment ref="D715" authorId="0" shapeId="0" xr:uid="{00000000-0006-0000-0D00-0000B5020000}">
      <text>
        <r>
          <rPr>
            <sz val="9"/>
            <color indexed="81"/>
            <rFont val="ＭＳ Ｐゴシック"/>
            <family val="3"/>
            <charset val="128"/>
          </rPr>
          <t>1：選択集計します。
0：選択しません。</t>
        </r>
      </text>
    </comment>
    <comment ref="D716" authorId="0" shapeId="0" xr:uid="{00000000-0006-0000-0D00-0000B6020000}">
      <text>
        <r>
          <rPr>
            <sz val="9"/>
            <color indexed="81"/>
            <rFont val="ＭＳ Ｐゴシック"/>
            <family val="3"/>
            <charset val="128"/>
          </rPr>
          <t>1：選択集計します。
0：選択しません。</t>
        </r>
      </text>
    </comment>
    <comment ref="D717" authorId="0" shapeId="0" xr:uid="{00000000-0006-0000-0D00-0000B7020000}">
      <text>
        <r>
          <rPr>
            <sz val="9"/>
            <color indexed="81"/>
            <rFont val="ＭＳ Ｐゴシック"/>
            <family val="3"/>
            <charset val="128"/>
          </rPr>
          <t>1：選択集計します。
0：選択しません。</t>
        </r>
      </text>
    </comment>
    <comment ref="D718" authorId="0" shapeId="0" xr:uid="{00000000-0006-0000-0D00-0000B8020000}">
      <text>
        <r>
          <rPr>
            <sz val="9"/>
            <color indexed="81"/>
            <rFont val="ＭＳ Ｐゴシック"/>
            <family val="3"/>
            <charset val="128"/>
          </rPr>
          <t>1：選択集計します。
0：選択しません。</t>
        </r>
      </text>
    </comment>
    <comment ref="D719" authorId="0" shapeId="0" xr:uid="{00000000-0006-0000-0D00-0000B9020000}">
      <text>
        <r>
          <rPr>
            <sz val="9"/>
            <color indexed="81"/>
            <rFont val="ＭＳ Ｐゴシック"/>
            <family val="3"/>
            <charset val="128"/>
          </rPr>
          <t>1：選択集計します。
0：選択しません。</t>
        </r>
      </text>
    </comment>
    <comment ref="D720" authorId="0" shapeId="0" xr:uid="{00000000-0006-0000-0D00-0000BA020000}">
      <text>
        <r>
          <rPr>
            <sz val="9"/>
            <color indexed="81"/>
            <rFont val="ＭＳ Ｐゴシック"/>
            <family val="3"/>
            <charset val="128"/>
          </rPr>
          <t>1：選択集計します。
0：選択しません。</t>
        </r>
      </text>
    </comment>
    <comment ref="D721" authorId="0" shapeId="0" xr:uid="{00000000-0006-0000-0D00-0000BB020000}">
      <text>
        <r>
          <rPr>
            <sz val="9"/>
            <color indexed="81"/>
            <rFont val="ＭＳ Ｐゴシック"/>
            <family val="3"/>
            <charset val="128"/>
          </rPr>
          <t>1：選択集計します。
0：選択しません。</t>
        </r>
      </text>
    </comment>
    <comment ref="D722" authorId="0" shapeId="0" xr:uid="{00000000-0006-0000-0D00-0000BC020000}">
      <text>
        <r>
          <rPr>
            <sz val="9"/>
            <color indexed="81"/>
            <rFont val="ＭＳ Ｐゴシック"/>
            <family val="3"/>
            <charset val="128"/>
          </rPr>
          <t>1：選択集計します。
0：選択しません。</t>
        </r>
      </text>
    </comment>
    <comment ref="D723" authorId="0" shapeId="0" xr:uid="{00000000-0006-0000-0D00-0000BD020000}">
      <text>
        <r>
          <rPr>
            <sz val="9"/>
            <color indexed="81"/>
            <rFont val="ＭＳ Ｐゴシック"/>
            <family val="3"/>
            <charset val="128"/>
          </rPr>
          <t>1：選択集計します。
0：選択しません。</t>
        </r>
      </text>
    </comment>
    <comment ref="D724" authorId="0" shapeId="0" xr:uid="{00000000-0006-0000-0D00-0000BE020000}">
      <text>
        <r>
          <rPr>
            <sz val="9"/>
            <color indexed="81"/>
            <rFont val="ＭＳ Ｐゴシック"/>
            <family val="3"/>
            <charset val="128"/>
          </rPr>
          <t>1：選択集計します。
0：選択しません。</t>
        </r>
      </text>
    </comment>
    <comment ref="D725" authorId="0" shapeId="0" xr:uid="{00000000-0006-0000-0D00-0000BF020000}">
      <text>
        <r>
          <rPr>
            <sz val="9"/>
            <color indexed="81"/>
            <rFont val="ＭＳ Ｐゴシック"/>
            <family val="3"/>
            <charset val="128"/>
          </rPr>
          <t>1：選択集計します。
0：選択しません。</t>
        </r>
      </text>
    </comment>
    <comment ref="D726" authorId="0" shapeId="0" xr:uid="{00000000-0006-0000-0D00-0000C0020000}">
      <text>
        <r>
          <rPr>
            <sz val="9"/>
            <color indexed="81"/>
            <rFont val="ＭＳ Ｐゴシック"/>
            <family val="3"/>
            <charset val="128"/>
          </rPr>
          <t>1：選択集計します。
0：選択しません。</t>
        </r>
      </text>
    </comment>
    <comment ref="D727" authorId="0" shapeId="0" xr:uid="{00000000-0006-0000-0D00-0000C1020000}">
      <text>
        <r>
          <rPr>
            <sz val="9"/>
            <color indexed="81"/>
            <rFont val="ＭＳ Ｐゴシック"/>
            <family val="3"/>
            <charset val="128"/>
          </rPr>
          <t>1：選択集計します。
0：選択しません。</t>
        </r>
      </text>
    </comment>
    <comment ref="D728" authorId="0" shapeId="0" xr:uid="{00000000-0006-0000-0D00-0000C2020000}">
      <text>
        <r>
          <rPr>
            <sz val="9"/>
            <color indexed="81"/>
            <rFont val="ＭＳ Ｐゴシック"/>
            <family val="3"/>
            <charset val="128"/>
          </rPr>
          <t>1：選択集計します。
0：選択しません。</t>
        </r>
      </text>
    </comment>
    <comment ref="D729" authorId="0" shapeId="0" xr:uid="{00000000-0006-0000-0D00-0000C3020000}">
      <text>
        <r>
          <rPr>
            <sz val="9"/>
            <color indexed="81"/>
            <rFont val="ＭＳ Ｐゴシック"/>
            <family val="3"/>
            <charset val="128"/>
          </rPr>
          <t>1：選択集計します。
0：選択しません。</t>
        </r>
      </text>
    </comment>
    <comment ref="D730" authorId="0" shapeId="0" xr:uid="{00000000-0006-0000-0D00-0000C4020000}">
      <text>
        <r>
          <rPr>
            <sz val="9"/>
            <color indexed="81"/>
            <rFont val="ＭＳ Ｐゴシック"/>
            <family val="3"/>
            <charset val="128"/>
          </rPr>
          <t>1：選択集計します。
0：選択しません。</t>
        </r>
      </text>
    </comment>
    <comment ref="D731" authorId="0" shapeId="0" xr:uid="{00000000-0006-0000-0D00-0000C5020000}">
      <text>
        <r>
          <rPr>
            <sz val="9"/>
            <color indexed="81"/>
            <rFont val="ＭＳ Ｐゴシック"/>
            <family val="3"/>
            <charset val="128"/>
          </rPr>
          <t>1：選択集計します。
0：選択しません。</t>
        </r>
      </text>
    </comment>
    <comment ref="D732" authorId="0" shapeId="0" xr:uid="{00000000-0006-0000-0D00-0000C6020000}">
      <text>
        <r>
          <rPr>
            <sz val="9"/>
            <color indexed="81"/>
            <rFont val="ＭＳ Ｐゴシック"/>
            <family val="3"/>
            <charset val="128"/>
          </rPr>
          <t>1：選択集計します。
0：選択しません。</t>
        </r>
      </text>
    </comment>
    <comment ref="D733" authorId="0" shapeId="0" xr:uid="{00000000-0006-0000-0D00-0000C7020000}">
      <text>
        <r>
          <rPr>
            <sz val="9"/>
            <color indexed="81"/>
            <rFont val="ＭＳ Ｐゴシック"/>
            <family val="3"/>
            <charset val="128"/>
          </rPr>
          <t>1：選択集計します。
0：選択しません。</t>
        </r>
      </text>
    </comment>
    <comment ref="D734" authorId="0" shapeId="0" xr:uid="{00000000-0006-0000-0D00-0000C8020000}">
      <text>
        <r>
          <rPr>
            <sz val="9"/>
            <color indexed="81"/>
            <rFont val="ＭＳ Ｐゴシック"/>
            <family val="3"/>
            <charset val="128"/>
          </rPr>
          <t>1：選択集計します。
0：選択しません。</t>
        </r>
      </text>
    </comment>
    <comment ref="D735" authorId="0" shapeId="0" xr:uid="{00000000-0006-0000-0D00-0000C9020000}">
      <text>
        <r>
          <rPr>
            <sz val="9"/>
            <color indexed="81"/>
            <rFont val="ＭＳ Ｐゴシック"/>
            <family val="3"/>
            <charset val="128"/>
          </rPr>
          <t>1：選択集計します。
0：選択しません。</t>
        </r>
      </text>
    </comment>
    <comment ref="D736" authorId="0" shapeId="0" xr:uid="{00000000-0006-0000-0D00-0000CA020000}">
      <text>
        <r>
          <rPr>
            <sz val="9"/>
            <color indexed="81"/>
            <rFont val="ＭＳ Ｐゴシック"/>
            <family val="3"/>
            <charset val="128"/>
          </rPr>
          <t>1：選択集計します。
0：選択しません。</t>
        </r>
      </text>
    </comment>
    <comment ref="D737" authorId="0" shapeId="0" xr:uid="{00000000-0006-0000-0D00-0000CB020000}">
      <text>
        <r>
          <rPr>
            <sz val="9"/>
            <color indexed="81"/>
            <rFont val="ＭＳ Ｐゴシック"/>
            <family val="3"/>
            <charset val="128"/>
          </rPr>
          <t>1：選択集計します。
0：選択しません。</t>
        </r>
      </text>
    </comment>
    <comment ref="D738" authorId="0" shapeId="0" xr:uid="{00000000-0006-0000-0D00-0000CC020000}">
      <text>
        <r>
          <rPr>
            <sz val="9"/>
            <color indexed="81"/>
            <rFont val="ＭＳ Ｐゴシック"/>
            <family val="3"/>
            <charset val="128"/>
          </rPr>
          <t>1：選択集計します。
0：選択しません。</t>
        </r>
      </text>
    </comment>
    <comment ref="D739" authorId="0" shapeId="0" xr:uid="{00000000-0006-0000-0D00-0000CD020000}">
      <text>
        <r>
          <rPr>
            <sz val="9"/>
            <color indexed="81"/>
            <rFont val="ＭＳ Ｐゴシック"/>
            <family val="3"/>
            <charset val="128"/>
          </rPr>
          <t>1：選択集計します。
0：選択しません。</t>
        </r>
      </text>
    </comment>
    <comment ref="D740" authorId="0" shapeId="0" xr:uid="{00000000-0006-0000-0D00-0000CE020000}">
      <text>
        <r>
          <rPr>
            <sz val="9"/>
            <color indexed="81"/>
            <rFont val="ＭＳ Ｐゴシック"/>
            <family val="3"/>
            <charset val="128"/>
          </rPr>
          <t>1：選択集計します。
0：選択しません。</t>
        </r>
      </text>
    </comment>
    <comment ref="D741" authorId="0" shapeId="0" xr:uid="{00000000-0006-0000-0D00-0000CF020000}">
      <text>
        <r>
          <rPr>
            <sz val="9"/>
            <color indexed="81"/>
            <rFont val="ＭＳ Ｐゴシック"/>
            <family val="3"/>
            <charset val="128"/>
          </rPr>
          <t>1：選択集計します。
0：選択しません。</t>
        </r>
      </text>
    </comment>
    <comment ref="D742" authorId="0" shapeId="0" xr:uid="{00000000-0006-0000-0D00-0000D0020000}">
      <text>
        <r>
          <rPr>
            <sz val="9"/>
            <color indexed="81"/>
            <rFont val="ＭＳ Ｐゴシック"/>
            <family val="3"/>
            <charset val="128"/>
          </rPr>
          <t>1：選択集計します。
0：選択しません。</t>
        </r>
      </text>
    </comment>
    <comment ref="D743" authorId="0" shapeId="0" xr:uid="{00000000-0006-0000-0D00-0000D1020000}">
      <text>
        <r>
          <rPr>
            <sz val="9"/>
            <color indexed="81"/>
            <rFont val="ＭＳ Ｐゴシック"/>
            <family val="3"/>
            <charset val="128"/>
          </rPr>
          <t>1：選択集計します。
0：選択しません。</t>
        </r>
      </text>
    </comment>
    <comment ref="D744" authorId="0" shapeId="0" xr:uid="{00000000-0006-0000-0D00-0000D2020000}">
      <text>
        <r>
          <rPr>
            <sz val="9"/>
            <color indexed="81"/>
            <rFont val="ＭＳ Ｐゴシック"/>
            <family val="3"/>
            <charset val="128"/>
          </rPr>
          <t>1：選択集計します。
0：選択しません。</t>
        </r>
      </text>
    </comment>
    <comment ref="D745" authorId="0" shapeId="0" xr:uid="{00000000-0006-0000-0D00-0000D3020000}">
      <text>
        <r>
          <rPr>
            <sz val="9"/>
            <color indexed="81"/>
            <rFont val="ＭＳ Ｐゴシック"/>
            <family val="3"/>
            <charset val="128"/>
          </rPr>
          <t>1：選択集計します。
0：選択しません。</t>
        </r>
      </text>
    </comment>
    <comment ref="D746" authorId="0" shapeId="0" xr:uid="{00000000-0006-0000-0D00-0000D4020000}">
      <text>
        <r>
          <rPr>
            <sz val="9"/>
            <color indexed="81"/>
            <rFont val="ＭＳ Ｐゴシック"/>
            <family val="3"/>
            <charset val="128"/>
          </rPr>
          <t>1：選択集計します。
0：選択しません。</t>
        </r>
      </text>
    </comment>
    <comment ref="D747" authorId="0" shapeId="0" xr:uid="{00000000-0006-0000-0D00-0000D5020000}">
      <text>
        <r>
          <rPr>
            <sz val="9"/>
            <color indexed="81"/>
            <rFont val="ＭＳ Ｐゴシック"/>
            <family val="3"/>
            <charset val="128"/>
          </rPr>
          <t>1：選択集計します。
0：選択しません。</t>
        </r>
      </text>
    </comment>
    <comment ref="D748" authorId="0" shapeId="0" xr:uid="{00000000-0006-0000-0D00-0000D6020000}">
      <text>
        <r>
          <rPr>
            <sz val="9"/>
            <color indexed="81"/>
            <rFont val="ＭＳ Ｐゴシック"/>
            <family val="3"/>
            <charset val="128"/>
          </rPr>
          <t>1：選択集計します。
0：選択しません。</t>
        </r>
      </text>
    </comment>
    <comment ref="D749" authorId="0" shapeId="0" xr:uid="{00000000-0006-0000-0D00-0000D7020000}">
      <text>
        <r>
          <rPr>
            <sz val="9"/>
            <color indexed="81"/>
            <rFont val="ＭＳ Ｐゴシック"/>
            <family val="3"/>
            <charset val="128"/>
          </rPr>
          <t>1：選択集計します。
0：選択しません。</t>
        </r>
      </text>
    </comment>
    <comment ref="D750" authorId="0" shapeId="0" xr:uid="{00000000-0006-0000-0D00-0000D8020000}">
      <text>
        <r>
          <rPr>
            <sz val="9"/>
            <color indexed="81"/>
            <rFont val="ＭＳ Ｐゴシック"/>
            <family val="3"/>
            <charset val="128"/>
          </rPr>
          <t>1：選択集計します。
0：選択しません。</t>
        </r>
      </text>
    </comment>
    <comment ref="D751" authorId="0" shapeId="0" xr:uid="{00000000-0006-0000-0D00-0000D9020000}">
      <text>
        <r>
          <rPr>
            <sz val="9"/>
            <color indexed="81"/>
            <rFont val="ＭＳ Ｐゴシック"/>
            <family val="3"/>
            <charset val="128"/>
          </rPr>
          <t>1：選択集計します。
0：選択しません。</t>
        </r>
      </text>
    </comment>
    <comment ref="D752" authorId="0" shapeId="0" xr:uid="{00000000-0006-0000-0D00-0000DA020000}">
      <text>
        <r>
          <rPr>
            <sz val="9"/>
            <color indexed="81"/>
            <rFont val="ＭＳ Ｐゴシック"/>
            <family val="3"/>
            <charset val="128"/>
          </rPr>
          <t>1：選択集計します。
0：選択しません。</t>
        </r>
      </text>
    </comment>
    <comment ref="D753" authorId="0" shapeId="0" xr:uid="{00000000-0006-0000-0D00-0000DB020000}">
      <text>
        <r>
          <rPr>
            <sz val="9"/>
            <color indexed="81"/>
            <rFont val="ＭＳ Ｐゴシック"/>
            <family val="3"/>
            <charset val="128"/>
          </rPr>
          <t>1：選択集計します。
0：選択しません。</t>
        </r>
      </text>
    </comment>
    <comment ref="D754" authorId="0" shapeId="0" xr:uid="{00000000-0006-0000-0D00-0000DC020000}">
      <text>
        <r>
          <rPr>
            <sz val="9"/>
            <color indexed="81"/>
            <rFont val="ＭＳ Ｐゴシック"/>
            <family val="3"/>
            <charset val="128"/>
          </rPr>
          <t>1：選択集計します。
0：選択しません。</t>
        </r>
      </text>
    </comment>
    <comment ref="D755" authorId="0" shapeId="0" xr:uid="{00000000-0006-0000-0D00-0000DD020000}">
      <text>
        <r>
          <rPr>
            <sz val="9"/>
            <color indexed="81"/>
            <rFont val="ＭＳ Ｐゴシック"/>
            <family val="3"/>
            <charset val="128"/>
          </rPr>
          <t>1：選択集計します。
0：選択しません。</t>
        </r>
      </text>
    </comment>
    <comment ref="D756" authorId="0" shapeId="0" xr:uid="{00000000-0006-0000-0D00-0000DE020000}">
      <text>
        <r>
          <rPr>
            <sz val="9"/>
            <color indexed="81"/>
            <rFont val="ＭＳ Ｐゴシック"/>
            <family val="3"/>
            <charset val="128"/>
          </rPr>
          <t>1：選択集計します。
0：選択しません。</t>
        </r>
      </text>
    </comment>
    <comment ref="D757" authorId="0" shapeId="0" xr:uid="{00000000-0006-0000-0D00-0000DF020000}">
      <text>
        <r>
          <rPr>
            <sz val="9"/>
            <color indexed="81"/>
            <rFont val="ＭＳ Ｐゴシック"/>
            <family val="3"/>
            <charset val="128"/>
          </rPr>
          <t>1：選択集計します。
0：選択しません。</t>
        </r>
      </text>
    </comment>
    <comment ref="D758" authorId="0" shapeId="0" xr:uid="{00000000-0006-0000-0D00-0000E0020000}">
      <text>
        <r>
          <rPr>
            <sz val="9"/>
            <color indexed="81"/>
            <rFont val="ＭＳ Ｐゴシック"/>
            <family val="3"/>
            <charset val="128"/>
          </rPr>
          <t>1：選択集計します。
0：選択しません。</t>
        </r>
      </text>
    </comment>
    <comment ref="D759" authorId="0" shapeId="0" xr:uid="{00000000-0006-0000-0D00-0000E1020000}">
      <text>
        <r>
          <rPr>
            <sz val="9"/>
            <color indexed="81"/>
            <rFont val="ＭＳ Ｐゴシック"/>
            <family val="3"/>
            <charset val="128"/>
          </rPr>
          <t>1：選択集計します。
0：選択しません。</t>
        </r>
      </text>
    </comment>
    <comment ref="D760" authorId="0" shapeId="0" xr:uid="{00000000-0006-0000-0D00-0000E2020000}">
      <text>
        <r>
          <rPr>
            <sz val="9"/>
            <color indexed="81"/>
            <rFont val="ＭＳ Ｐゴシック"/>
            <family val="3"/>
            <charset val="128"/>
          </rPr>
          <t>1：選択集計します。
0：選択しません。</t>
        </r>
      </text>
    </comment>
    <comment ref="D761" authorId="0" shapeId="0" xr:uid="{00000000-0006-0000-0D00-0000E3020000}">
      <text>
        <r>
          <rPr>
            <sz val="9"/>
            <color indexed="81"/>
            <rFont val="ＭＳ Ｐゴシック"/>
            <family val="3"/>
            <charset val="128"/>
          </rPr>
          <t>1：選択集計します。
0：選択しません。</t>
        </r>
      </text>
    </comment>
    <comment ref="D762" authorId="0" shapeId="0" xr:uid="{00000000-0006-0000-0D00-0000E4020000}">
      <text>
        <r>
          <rPr>
            <sz val="9"/>
            <color indexed="81"/>
            <rFont val="ＭＳ Ｐゴシック"/>
            <family val="3"/>
            <charset val="128"/>
          </rPr>
          <t>1：選択集計します。
0：選択しません。</t>
        </r>
      </text>
    </comment>
    <comment ref="D763" authorId="0" shapeId="0" xr:uid="{00000000-0006-0000-0D00-0000E5020000}">
      <text>
        <r>
          <rPr>
            <sz val="9"/>
            <color indexed="81"/>
            <rFont val="ＭＳ Ｐゴシック"/>
            <family val="3"/>
            <charset val="128"/>
          </rPr>
          <t>1：選択集計します。
0：選択しません。</t>
        </r>
      </text>
    </comment>
    <comment ref="D764" authorId="0" shapeId="0" xr:uid="{00000000-0006-0000-0D00-0000E6020000}">
      <text>
        <r>
          <rPr>
            <sz val="9"/>
            <color indexed="81"/>
            <rFont val="ＭＳ Ｐゴシック"/>
            <family val="3"/>
            <charset val="128"/>
          </rPr>
          <t>1：選択集計します。
0：選択しません。</t>
        </r>
      </text>
    </comment>
    <comment ref="D765" authorId="0" shapeId="0" xr:uid="{00000000-0006-0000-0D00-0000E7020000}">
      <text>
        <r>
          <rPr>
            <sz val="9"/>
            <color indexed="81"/>
            <rFont val="ＭＳ Ｐゴシック"/>
            <family val="3"/>
            <charset val="128"/>
          </rPr>
          <t>1：選択集計します。
0：選択しません。</t>
        </r>
      </text>
    </comment>
    <comment ref="D766" authorId="0" shapeId="0" xr:uid="{00000000-0006-0000-0D00-0000E8020000}">
      <text>
        <r>
          <rPr>
            <sz val="9"/>
            <color indexed="81"/>
            <rFont val="ＭＳ Ｐゴシック"/>
            <family val="3"/>
            <charset val="128"/>
          </rPr>
          <t>1：選択集計します。
0：選択しません。</t>
        </r>
      </text>
    </comment>
    <comment ref="D767" authorId="0" shapeId="0" xr:uid="{00000000-0006-0000-0D00-0000E9020000}">
      <text>
        <r>
          <rPr>
            <sz val="9"/>
            <color indexed="81"/>
            <rFont val="ＭＳ Ｐゴシック"/>
            <family val="3"/>
            <charset val="128"/>
          </rPr>
          <t>1：選択集計します。
0：選択しません。</t>
        </r>
      </text>
    </comment>
    <comment ref="D768" authorId="0" shapeId="0" xr:uid="{00000000-0006-0000-0D00-0000EA020000}">
      <text>
        <r>
          <rPr>
            <sz val="9"/>
            <color indexed="81"/>
            <rFont val="ＭＳ Ｐゴシック"/>
            <family val="3"/>
            <charset val="128"/>
          </rPr>
          <t>1：選択集計します。
0：選択しません。</t>
        </r>
      </text>
    </comment>
    <comment ref="D769" authorId="0" shapeId="0" xr:uid="{00000000-0006-0000-0D00-0000EB020000}">
      <text>
        <r>
          <rPr>
            <sz val="9"/>
            <color indexed="81"/>
            <rFont val="ＭＳ Ｐゴシック"/>
            <family val="3"/>
            <charset val="128"/>
          </rPr>
          <t>1：選択集計します。
0：選択しません。</t>
        </r>
      </text>
    </comment>
    <comment ref="D770" authorId="0" shapeId="0" xr:uid="{00000000-0006-0000-0D00-0000EC020000}">
      <text>
        <r>
          <rPr>
            <sz val="9"/>
            <color indexed="81"/>
            <rFont val="ＭＳ Ｐゴシック"/>
            <family val="3"/>
            <charset val="128"/>
          </rPr>
          <t>1：選択集計します。
0：選択しません。</t>
        </r>
      </text>
    </comment>
    <comment ref="D771" authorId="0" shapeId="0" xr:uid="{00000000-0006-0000-0D00-0000ED020000}">
      <text>
        <r>
          <rPr>
            <sz val="9"/>
            <color indexed="81"/>
            <rFont val="ＭＳ Ｐゴシック"/>
            <family val="3"/>
            <charset val="128"/>
          </rPr>
          <t>1：選択集計します。
0：選択しません。</t>
        </r>
      </text>
    </comment>
    <comment ref="H774" authorId="0" shapeId="0" xr:uid="{00000000-0006-0000-0D00-0000EE020000}">
      <text>
        <r>
          <rPr>
            <sz val="9"/>
            <color indexed="81"/>
            <rFont val="ＭＳ Ｐゴシック"/>
            <family val="3"/>
            <charset val="128"/>
          </rPr>
          <t>選択列に 1 を入力した工類が集計されます。</t>
        </r>
      </text>
    </comment>
    <comment ref="D775" authorId="0" shapeId="0" xr:uid="{00000000-0006-0000-0D00-0000EF020000}">
      <text>
        <r>
          <rPr>
            <sz val="9"/>
            <color indexed="81"/>
            <rFont val="ＭＳ Ｐゴシック"/>
            <family val="3"/>
            <charset val="128"/>
          </rPr>
          <t>1：選択集計します。
0：選択しません。</t>
        </r>
      </text>
    </comment>
    <comment ref="D776" authorId="0" shapeId="0" xr:uid="{00000000-0006-0000-0D00-0000F0020000}">
      <text>
        <r>
          <rPr>
            <sz val="9"/>
            <color indexed="81"/>
            <rFont val="ＭＳ Ｐゴシック"/>
            <family val="3"/>
            <charset val="128"/>
          </rPr>
          <t>1：選択集計します。
0：選択しません。</t>
        </r>
      </text>
    </comment>
    <comment ref="D777" authorId="0" shapeId="0" xr:uid="{00000000-0006-0000-0D00-0000F1020000}">
      <text>
        <r>
          <rPr>
            <sz val="9"/>
            <color indexed="81"/>
            <rFont val="ＭＳ Ｐゴシック"/>
            <family val="3"/>
            <charset val="128"/>
          </rPr>
          <t>1：選択集計します。
0：選択しません。</t>
        </r>
      </text>
    </comment>
    <comment ref="D778" authorId="0" shapeId="0" xr:uid="{00000000-0006-0000-0D00-0000F2020000}">
      <text>
        <r>
          <rPr>
            <sz val="9"/>
            <color indexed="81"/>
            <rFont val="ＭＳ Ｐゴシック"/>
            <family val="3"/>
            <charset val="128"/>
          </rPr>
          <t>1：選択集計します。
0：選択しません。</t>
        </r>
      </text>
    </comment>
    <comment ref="D779" authorId="0" shapeId="0" xr:uid="{00000000-0006-0000-0D00-0000F3020000}">
      <text>
        <r>
          <rPr>
            <sz val="9"/>
            <color indexed="81"/>
            <rFont val="ＭＳ Ｐゴシック"/>
            <family val="3"/>
            <charset val="128"/>
          </rPr>
          <t>1：選択集計します。
0：選択しません。</t>
        </r>
      </text>
    </comment>
    <comment ref="D780" authorId="0" shapeId="0" xr:uid="{00000000-0006-0000-0D00-0000F4020000}">
      <text>
        <r>
          <rPr>
            <sz val="9"/>
            <color indexed="81"/>
            <rFont val="ＭＳ Ｐゴシック"/>
            <family val="3"/>
            <charset val="128"/>
          </rPr>
          <t>1：選択集計します。
0：選択しません。</t>
        </r>
      </text>
    </comment>
    <comment ref="D781" authorId="0" shapeId="0" xr:uid="{00000000-0006-0000-0D00-0000F5020000}">
      <text>
        <r>
          <rPr>
            <sz val="9"/>
            <color indexed="81"/>
            <rFont val="ＭＳ Ｐゴシック"/>
            <family val="3"/>
            <charset val="128"/>
          </rPr>
          <t>1：選択集計します。
0：選択しません。</t>
        </r>
      </text>
    </comment>
    <comment ref="D782" authorId="0" shapeId="0" xr:uid="{00000000-0006-0000-0D00-0000F6020000}">
      <text>
        <r>
          <rPr>
            <sz val="9"/>
            <color indexed="81"/>
            <rFont val="ＭＳ Ｐゴシック"/>
            <family val="3"/>
            <charset val="128"/>
          </rPr>
          <t>1：選択集計します。
0：選択しません。</t>
        </r>
      </text>
    </comment>
    <comment ref="D783" authorId="0" shapeId="0" xr:uid="{00000000-0006-0000-0D00-0000F7020000}">
      <text>
        <r>
          <rPr>
            <sz val="9"/>
            <color indexed="81"/>
            <rFont val="ＭＳ Ｐゴシック"/>
            <family val="3"/>
            <charset val="128"/>
          </rPr>
          <t>1：選択集計します。
0：選択しません。</t>
        </r>
      </text>
    </comment>
    <comment ref="D784" authorId="0" shapeId="0" xr:uid="{00000000-0006-0000-0D00-0000F8020000}">
      <text>
        <r>
          <rPr>
            <sz val="9"/>
            <color indexed="81"/>
            <rFont val="ＭＳ Ｐゴシック"/>
            <family val="3"/>
            <charset val="128"/>
          </rPr>
          <t>1：選択集計します。
0：選択しません。</t>
        </r>
      </text>
    </comment>
    <comment ref="D785" authorId="0" shapeId="0" xr:uid="{00000000-0006-0000-0D00-0000F9020000}">
      <text>
        <r>
          <rPr>
            <sz val="9"/>
            <color indexed="81"/>
            <rFont val="ＭＳ Ｐゴシック"/>
            <family val="3"/>
            <charset val="128"/>
          </rPr>
          <t>1：選択集計します。
0：選択しません。</t>
        </r>
      </text>
    </comment>
    <comment ref="D786" authorId="0" shapeId="0" xr:uid="{00000000-0006-0000-0D00-0000FA020000}">
      <text>
        <r>
          <rPr>
            <sz val="9"/>
            <color indexed="81"/>
            <rFont val="ＭＳ Ｐゴシック"/>
            <family val="3"/>
            <charset val="128"/>
          </rPr>
          <t>1：選択集計します。
0：選択しません。</t>
        </r>
      </text>
    </comment>
    <comment ref="D787" authorId="0" shapeId="0" xr:uid="{00000000-0006-0000-0D00-0000FB020000}">
      <text>
        <r>
          <rPr>
            <sz val="9"/>
            <color indexed="81"/>
            <rFont val="ＭＳ Ｐゴシック"/>
            <family val="3"/>
            <charset val="128"/>
          </rPr>
          <t>1：選択集計します。
0：選択しません。</t>
        </r>
      </text>
    </comment>
    <comment ref="D788" authorId="0" shapeId="0" xr:uid="{00000000-0006-0000-0D00-0000FC020000}">
      <text>
        <r>
          <rPr>
            <sz val="9"/>
            <color indexed="81"/>
            <rFont val="ＭＳ Ｐゴシック"/>
            <family val="3"/>
            <charset val="128"/>
          </rPr>
          <t>1：選択集計します。
0：選択しません。</t>
        </r>
      </text>
    </comment>
    <comment ref="D789" authorId="0" shapeId="0" xr:uid="{00000000-0006-0000-0D00-0000FD020000}">
      <text>
        <r>
          <rPr>
            <sz val="9"/>
            <color indexed="81"/>
            <rFont val="ＭＳ Ｐゴシック"/>
            <family val="3"/>
            <charset val="128"/>
          </rPr>
          <t>1：選択集計します。
0：選択しません。</t>
        </r>
      </text>
    </comment>
    <comment ref="D790" authorId="0" shapeId="0" xr:uid="{00000000-0006-0000-0D00-0000FE020000}">
      <text>
        <r>
          <rPr>
            <sz val="9"/>
            <color indexed="81"/>
            <rFont val="ＭＳ Ｐゴシック"/>
            <family val="3"/>
            <charset val="128"/>
          </rPr>
          <t>1：選択集計します。
0：選択しません。</t>
        </r>
      </text>
    </comment>
    <comment ref="D791" authorId="0" shapeId="0" xr:uid="{00000000-0006-0000-0D00-0000FF020000}">
      <text>
        <r>
          <rPr>
            <sz val="9"/>
            <color indexed="81"/>
            <rFont val="ＭＳ Ｐゴシック"/>
            <family val="3"/>
            <charset val="128"/>
          </rPr>
          <t>1：選択集計します。
0：選択しません。</t>
        </r>
      </text>
    </comment>
    <comment ref="D792" authorId="0" shapeId="0" xr:uid="{00000000-0006-0000-0D00-000000030000}">
      <text>
        <r>
          <rPr>
            <sz val="9"/>
            <color indexed="81"/>
            <rFont val="ＭＳ Ｐゴシック"/>
            <family val="3"/>
            <charset val="128"/>
          </rPr>
          <t>1：選択集計します。
0：選択しません。</t>
        </r>
      </text>
    </comment>
    <comment ref="D793" authorId="0" shapeId="0" xr:uid="{00000000-0006-0000-0D00-000001030000}">
      <text>
        <r>
          <rPr>
            <sz val="9"/>
            <color indexed="81"/>
            <rFont val="ＭＳ Ｐゴシック"/>
            <family val="3"/>
            <charset val="128"/>
          </rPr>
          <t>1：選択集計します。
0：選択しません。</t>
        </r>
      </text>
    </comment>
    <comment ref="D794" authorId="0" shapeId="0" xr:uid="{00000000-0006-0000-0D00-000002030000}">
      <text>
        <r>
          <rPr>
            <sz val="9"/>
            <color indexed="81"/>
            <rFont val="ＭＳ Ｐゴシック"/>
            <family val="3"/>
            <charset val="128"/>
          </rPr>
          <t>1：選択集計します。
0：選択しません。</t>
        </r>
      </text>
    </comment>
    <comment ref="D795" authorId="0" shapeId="0" xr:uid="{00000000-0006-0000-0D00-000003030000}">
      <text>
        <r>
          <rPr>
            <sz val="9"/>
            <color indexed="81"/>
            <rFont val="ＭＳ Ｐゴシック"/>
            <family val="3"/>
            <charset val="128"/>
          </rPr>
          <t>1：選択集計します。
0：選択しません。</t>
        </r>
      </text>
    </comment>
    <comment ref="D796" authorId="0" shapeId="0" xr:uid="{00000000-0006-0000-0D00-000004030000}">
      <text>
        <r>
          <rPr>
            <sz val="9"/>
            <color indexed="81"/>
            <rFont val="ＭＳ Ｐゴシック"/>
            <family val="3"/>
            <charset val="128"/>
          </rPr>
          <t>1：選択集計します。
0：選択しません。</t>
        </r>
      </text>
    </comment>
    <comment ref="D797" authorId="0" shapeId="0" xr:uid="{00000000-0006-0000-0D00-000005030000}">
      <text>
        <r>
          <rPr>
            <sz val="9"/>
            <color indexed="81"/>
            <rFont val="ＭＳ Ｐゴシック"/>
            <family val="3"/>
            <charset val="128"/>
          </rPr>
          <t>1：選択集計します。
0：選択しません。</t>
        </r>
      </text>
    </comment>
    <comment ref="D798" authorId="0" shapeId="0" xr:uid="{00000000-0006-0000-0D00-000006030000}">
      <text>
        <r>
          <rPr>
            <sz val="9"/>
            <color indexed="81"/>
            <rFont val="ＭＳ Ｐゴシック"/>
            <family val="3"/>
            <charset val="128"/>
          </rPr>
          <t>1：選択集計します。
0：選択しません。</t>
        </r>
      </text>
    </comment>
    <comment ref="D799" authorId="0" shapeId="0" xr:uid="{00000000-0006-0000-0D00-000007030000}">
      <text>
        <r>
          <rPr>
            <sz val="9"/>
            <color indexed="81"/>
            <rFont val="ＭＳ Ｐゴシック"/>
            <family val="3"/>
            <charset val="128"/>
          </rPr>
          <t>1：選択集計します。
0：選択しません。</t>
        </r>
      </text>
    </comment>
    <comment ref="D800" authorId="0" shapeId="0" xr:uid="{00000000-0006-0000-0D00-000008030000}">
      <text>
        <r>
          <rPr>
            <sz val="9"/>
            <color indexed="81"/>
            <rFont val="ＭＳ Ｐゴシック"/>
            <family val="3"/>
            <charset val="128"/>
          </rPr>
          <t>1：選択集計します。
0：選択しません。</t>
        </r>
      </text>
    </comment>
    <comment ref="D801" authorId="0" shapeId="0" xr:uid="{00000000-0006-0000-0D00-000009030000}">
      <text>
        <r>
          <rPr>
            <sz val="9"/>
            <color indexed="81"/>
            <rFont val="ＭＳ Ｐゴシック"/>
            <family val="3"/>
            <charset val="128"/>
          </rPr>
          <t>1：選択集計します。
0：選択しません。</t>
        </r>
      </text>
    </comment>
    <comment ref="D802" authorId="0" shapeId="0" xr:uid="{00000000-0006-0000-0D00-00000A030000}">
      <text>
        <r>
          <rPr>
            <sz val="9"/>
            <color indexed="81"/>
            <rFont val="ＭＳ Ｐゴシック"/>
            <family val="3"/>
            <charset val="128"/>
          </rPr>
          <t>1：選択集計します。
0：選択しません。</t>
        </r>
      </text>
    </comment>
    <comment ref="D803" authorId="0" shapeId="0" xr:uid="{00000000-0006-0000-0D00-00000B030000}">
      <text>
        <r>
          <rPr>
            <sz val="9"/>
            <color indexed="81"/>
            <rFont val="ＭＳ Ｐゴシック"/>
            <family val="3"/>
            <charset val="128"/>
          </rPr>
          <t>1：選択集計します。
0：選択しません。</t>
        </r>
      </text>
    </comment>
    <comment ref="D804" authorId="0" shapeId="0" xr:uid="{00000000-0006-0000-0D00-00000C030000}">
      <text>
        <r>
          <rPr>
            <sz val="9"/>
            <color indexed="81"/>
            <rFont val="ＭＳ Ｐゴシック"/>
            <family val="3"/>
            <charset val="128"/>
          </rPr>
          <t>1：選択集計します。
0：選択しません。</t>
        </r>
      </text>
    </comment>
    <comment ref="D805" authorId="0" shapeId="0" xr:uid="{00000000-0006-0000-0D00-00000D030000}">
      <text>
        <r>
          <rPr>
            <sz val="9"/>
            <color indexed="81"/>
            <rFont val="ＭＳ Ｐゴシック"/>
            <family val="3"/>
            <charset val="128"/>
          </rPr>
          <t>1：選択集計します。
0：選択しません。</t>
        </r>
      </text>
    </comment>
    <comment ref="D806" authorId="0" shapeId="0" xr:uid="{00000000-0006-0000-0D00-00000E030000}">
      <text>
        <r>
          <rPr>
            <sz val="9"/>
            <color indexed="81"/>
            <rFont val="ＭＳ Ｐゴシック"/>
            <family val="3"/>
            <charset val="128"/>
          </rPr>
          <t>1：選択集計します。
0：選択しません。</t>
        </r>
      </text>
    </comment>
    <comment ref="D807" authorId="0" shapeId="0" xr:uid="{00000000-0006-0000-0D00-00000F030000}">
      <text>
        <r>
          <rPr>
            <sz val="9"/>
            <color indexed="81"/>
            <rFont val="ＭＳ Ｐゴシック"/>
            <family val="3"/>
            <charset val="128"/>
          </rPr>
          <t>1：選択集計します。
0：選択しません。</t>
        </r>
      </text>
    </comment>
    <comment ref="D808" authorId="0" shapeId="0" xr:uid="{00000000-0006-0000-0D00-000010030000}">
      <text>
        <r>
          <rPr>
            <sz val="9"/>
            <color indexed="81"/>
            <rFont val="ＭＳ Ｐゴシック"/>
            <family val="3"/>
            <charset val="128"/>
          </rPr>
          <t>1：選択集計します。
0：選択しません。</t>
        </r>
      </text>
    </comment>
    <comment ref="D809" authorId="0" shapeId="0" xr:uid="{00000000-0006-0000-0D00-000011030000}">
      <text>
        <r>
          <rPr>
            <sz val="9"/>
            <color indexed="81"/>
            <rFont val="ＭＳ Ｐゴシック"/>
            <family val="3"/>
            <charset val="128"/>
          </rPr>
          <t>1：選択集計します。
0：選択しません。</t>
        </r>
      </text>
    </comment>
    <comment ref="D810" authorId="0" shapeId="0" xr:uid="{00000000-0006-0000-0D00-000012030000}">
      <text>
        <r>
          <rPr>
            <sz val="9"/>
            <color indexed="81"/>
            <rFont val="ＭＳ Ｐゴシック"/>
            <family val="3"/>
            <charset val="128"/>
          </rPr>
          <t>1：選択集計します。
0：選択しません。</t>
        </r>
      </text>
    </comment>
    <comment ref="D811" authorId="0" shapeId="0" xr:uid="{00000000-0006-0000-0D00-000013030000}">
      <text>
        <r>
          <rPr>
            <sz val="9"/>
            <color indexed="81"/>
            <rFont val="ＭＳ Ｐゴシック"/>
            <family val="3"/>
            <charset val="128"/>
          </rPr>
          <t>1：選択集計します。
0：選択しません。</t>
        </r>
      </text>
    </comment>
    <comment ref="D812" authorId="0" shapeId="0" xr:uid="{00000000-0006-0000-0D00-000014030000}">
      <text>
        <r>
          <rPr>
            <sz val="9"/>
            <color indexed="81"/>
            <rFont val="ＭＳ Ｐゴシック"/>
            <family val="3"/>
            <charset val="128"/>
          </rPr>
          <t>1：選択集計します。
0：選択しません。</t>
        </r>
      </text>
    </comment>
    <comment ref="D813" authorId="0" shapeId="0" xr:uid="{00000000-0006-0000-0D00-000015030000}">
      <text>
        <r>
          <rPr>
            <sz val="9"/>
            <color indexed="81"/>
            <rFont val="ＭＳ Ｐゴシック"/>
            <family val="3"/>
            <charset val="128"/>
          </rPr>
          <t>1：選択集計します。
0：選択しません。</t>
        </r>
      </text>
    </comment>
    <comment ref="D814" authorId="0" shapeId="0" xr:uid="{00000000-0006-0000-0D00-000016030000}">
      <text>
        <r>
          <rPr>
            <sz val="9"/>
            <color indexed="81"/>
            <rFont val="ＭＳ Ｐゴシック"/>
            <family val="3"/>
            <charset val="128"/>
          </rPr>
          <t>1：選択集計します。
0：選択しません。</t>
        </r>
      </text>
    </comment>
    <comment ref="D815" authorId="0" shapeId="0" xr:uid="{00000000-0006-0000-0D00-000017030000}">
      <text>
        <r>
          <rPr>
            <sz val="9"/>
            <color indexed="81"/>
            <rFont val="ＭＳ Ｐゴシック"/>
            <family val="3"/>
            <charset val="128"/>
          </rPr>
          <t>1：選択集計します。
0：選択しません。</t>
        </r>
      </text>
    </comment>
    <comment ref="D816" authorId="0" shapeId="0" xr:uid="{00000000-0006-0000-0D00-000018030000}">
      <text>
        <r>
          <rPr>
            <sz val="9"/>
            <color indexed="81"/>
            <rFont val="ＭＳ Ｐゴシック"/>
            <family val="3"/>
            <charset val="128"/>
          </rPr>
          <t>1：選択集計します。
0：選択しません。</t>
        </r>
      </text>
    </comment>
    <comment ref="D817" authorId="0" shapeId="0" xr:uid="{00000000-0006-0000-0D00-000019030000}">
      <text>
        <r>
          <rPr>
            <sz val="9"/>
            <color indexed="81"/>
            <rFont val="ＭＳ Ｐゴシック"/>
            <family val="3"/>
            <charset val="128"/>
          </rPr>
          <t>1：選択集計します。
0：選択しません。</t>
        </r>
      </text>
    </comment>
    <comment ref="D818" authorId="0" shapeId="0" xr:uid="{00000000-0006-0000-0D00-00001A030000}">
      <text>
        <r>
          <rPr>
            <sz val="9"/>
            <color indexed="81"/>
            <rFont val="ＭＳ Ｐゴシック"/>
            <family val="3"/>
            <charset val="128"/>
          </rPr>
          <t>1：選択集計します。
0：選択しません。</t>
        </r>
      </text>
    </comment>
    <comment ref="D819" authorId="0" shapeId="0" xr:uid="{00000000-0006-0000-0D00-00001B030000}">
      <text>
        <r>
          <rPr>
            <sz val="9"/>
            <color indexed="81"/>
            <rFont val="ＭＳ Ｐゴシック"/>
            <family val="3"/>
            <charset val="128"/>
          </rPr>
          <t>1：選択集計します。
0：選択しません。</t>
        </r>
      </text>
    </comment>
    <comment ref="D820" authorId="0" shapeId="0" xr:uid="{00000000-0006-0000-0D00-00001C030000}">
      <text>
        <r>
          <rPr>
            <sz val="9"/>
            <color indexed="81"/>
            <rFont val="ＭＳ Ｐゴシック"/>
            <family val="3"/>
            <charset val="128"/>
          </rPr>
          <t>1：選択集計します。
0：選択しません。</t>
        </r>
      </text>
    </comment>
    <comment ref="D821" authorId="0" shapeId="0" xr:uid="{00000000-0006-0000-0D00-00001D030000}">
      <text>
        <r>
          <rPr>
            <sz val="9"/>
            <color indexed="81"/>
            <rFont val="ＭＳ Ｐゴシック"/>
            <family val="3"/>
            <charset val="128"/>
          </rPr>
          <t>1：選択集計します。
0：選択しません。</t>
        </r>
      </text>
    </comment>
    <comment ref="D822" authorId="0" shapeId="0" xr:uid="{00000000-0006-0000-0D00-00001E030000}">
      <text>
        <r>
          <rPr>
            <sz val="9"/>
            <color indexed="81"/>
            <rFont val="ＭＳ Ｐゴシック"/>
            <family val="3"/>
            <charset val="128"/>
          </rPr>
          <t>1：選択集計します。
0：選択しません。</t>
        </r>
      </text>
    </comment>
    <comment ref="D823" authorId="0" shapeId="0" xr:uid="{00000000-0006-0000-0D00-00001F030000}">
      <text>
        <r>
          <rPr>
            <sz val="9"/>
            <color indexed="81"/>
            <rFont val="ＭＳ Ｐゴシック"/>
            <family val="3"/>
            <charset val="128"/>
          </rPr>
          <t>1：選択集計します。
0：選択しません。</t>
        </r>
      </text>
    </comment>
    <comment ref="D824" authorId="0" shapeId="0" xr:uid="{00000000-0006-0000-0D00-000020030000}">
      <text>
        <r>
          <rPr>
            <sz val="9"/>
            <color indexed="81"/>
            <rFont val="ＭＳ Ｐゴシック"/>
            <family val="3"/>
            <charset val="128"/>
          </rPr>
          <t>1：選択集計します。
0：選択しません。</t>
        </r>
      </text>
    </comment>
    <comment ref="D825" authorId="0" shapeId="0" xr:uid="{00000000-0006-0000-0D00-000021030000}">
      <text>
        <r>
          <rPr>
            <sz val="9"/>
            <color indexed="81"/>
            <rFont val="ＭＳ Ｐゴシック"/>
            <family val="3"/>
            <charset val="128"/>
          </rPr>
          <t>1：選択集計します。
0：選択しません。</t>
        </r>
      </text>
    </comment>
    <comment ref="D826" authorId="0" shapeId="0" xr:uid="{00000000-0006-0000-0D00-000022030000}">
      <text>
        <r>
          <rPr>
            <sz val="9"/>
            <color indexed="81"/>
            <rFont val="ＭＳ Ｐゴシック"/>
            <family val="3"/>
            <charset val="128"/>
          </rPr>
          <t>1：選択集計します。
0：選択しません。</t>
        </r>
      </text>
    </comment>
    <comment ref="D827" authorId="0" shapeId="0" xr:uid="{00000000-0006-0000-0D00-000023030000}">
      <text>
        <r>
          <rPr>
            <sz val="9"/>
            <color indexed="81"/>
            <rFont val="ＭＳ Ｐゴシック"/>
            <family val="3"/>
            <charset val="128"/>
          </rPr>
          <t>1：選択集計します。
0：選択しません。</t>
        </r>
      </text>
    </comment>
    <comment ref="D828" authorId="0" shapeId="0" xr:uid="{00000000-0006-0000-0D00-000024030000}">
      <text>
        <r>
          <rPr>
            <sz val="9"/>
            <color indexed="81"/>
            <rFont val="ＭＳ Ｐゴシック"/>
            <family val="3"/>
            <charset val="128"/>
          </rPr>
          <t>1：選択集計します。
0：選択しません。</t>
        </r>
      </text>
    </comment>
    <comment ref="D829" authorId="0" shapeId="0" xr:uid="{00000000-0006-0000-0D00-000025030000}">
      <text>
        <r>
          <rPr>
            <sz val="9"/>
            <color indexed="81"/>
            <rFont val="ＭＳ Ｐゴシック"/>
            <family val="3"/>
            <charset val="128"/>
          </rPr>
          <t>1：選択集計します。
0：選択しません。</t>
        </r>
      </text>
    </comment>
    <comment ref="D830" authorId="0" shapeId="0" xr:uid="{00000000-0006-0000-0D00-000026030000}">
      <text>
        <r>
          <rPr>
            <sz val="9"/>
            <color indexed="81"/>
            <rFont val="ＭＳ Ｐゴシック"/>
            <family val="3"/>
            <charset val="128"/>
          </rPr>
          <t>1：選択集計します。
0：選択しません。</t>
        </r>
      </text>
    </comment>
    <comment ref="D831" authorId="0" shapeId="0" xr:uid="{00000000-0006-0000-0D00-000027030000}">
      <text>
        <r>
          <rPr>
            <sz val="9"/>
            <color indexed="81"/>
            <rFont val="ＭＳ Ｐゴシック"/>
            <family val="3"/>
            <charset val="128"/>
          </rPr>
          <t>1：選択集計します。
0：選択しません。</t>
        </r>
      </text>
    </comment>
    <comment ref="D832" authorId="0" shapeId="0" xr:uid="{00000000-0006-0000-0D00-000028030000}">
      <text>
        <r>
          <rPr>
            <sz val="9"/>
            <color indexed="81"/>
            <rFont val="ＭＳ Ｐゴシック"/>
            <family val="3"/>
            <charset val="128"/>
          </rPr>
          <t>1：選択集計します。
0：選択しません。</t>
        </r>
      </text>
    </comment>
    <comment ref="D833" authorId="0" shapeId="0" xr:uid="{00000000-0006-0000-0D00-000029030000}">
      <text>
        <r>
          <rPr>
            <sz val="9"/>
            <color indexed="81"/>
            <rFont val="ＭＳ Ｐゴシック"/>
            <family val="3"/>
            <charset val="128"/>
          </rPr>
          <t>1：選択集計します。
0：選択しません。</t>
        </r>
      </text>
    </comment>
    <comment ref="D834" authorId="0" shapeId="0" xr:uid="{00000000-0006-0000-0D00-00002A030000}">
      <text>
        <r>
          <rPr>
            <sz val="9"/>
            <color indexed="81"/>
            <rFont val="ＭＳ Ｐゴシック"/>
            <family val="3"/>
            <charset val="128"/>
          </rPr>
          <t>1：選択集計します。
0：選択しません。</t>
        </r>
      </text>
    </comment>
    <comment ref="D835" authorId="0" shapeId="0" xr:uid="{00000000-0006-0000-0D00-00002B030000}">
      <text>
        <r>
          <rPr>
            <sz val="9"/>
            <color indexed="81"/>
            <rFont val="ＭＳ Ｐゴシック"/>
            <family val="3"/>
            <charset val="128"/>
          </rPr>
          <t>1：選択集計します。
0：選択しません。</t>
        </r>
      </text>
    </comment>
    <comment ref="D836" authorId="0" shapeId="0" xr:uid="{00000000-0006-0000-0D00-00002C030000}">
      <text>
        <r>
          <rPr>
            <sz val="9"/>
            <color indexed="81"/>
            <rFont val="ＭＳ Ｐゴシック"/>
            <family val="3"/>
            <charset val="128"/>
          </rPr>
          <t>1：選択集計します。
0：選択しません。</t>
        </r>
      </text>
    </comment>
    <comment ref="D837" authorId="0" shapeId="0" xr:uid="{00000000-0006-0000-0D00-00002D030000}">
      <text>
        <r>
          <rPr>
            <sz val="9"/>
            <color indexed="81"/>
            <rFont val="ＭＳ Ｐゴシック"/>
            <family val="3"/>
            <charset val="128"/>
          </rPr>
          <t>1：選択集計します。
0：選択しません。</t>
        </r>
      </text>
    </comment>
    <comment ref="D838" authorId="0" shapeId="0" xr:uid="{00000000-0006-0000-0D00-00002E030000}">
      <text>
        <r>
          <rPr>
            <sz val="9"/>
            <color indexed="81"/>
            <rFont val="ＭＳ Ｐゴシック"/>
            <family val="3"/>
            <charset val="128"/>
          </rPr>
          <t>1：選択集計します。
0：選択しません。</t>
        </r>
      </text>
    </comment>
    <comment ref="D839" authorId="0" shapeId="0" xr:uid="{00000000-0006-0000-0D00-00002F030000}">
      <text>
        <r>
          <rPr>
            <sz val="9"/>
            <color indexed="81"/>
            <rFont val="ＭＳ Ｐゴシック"/>
            <family val="3"/>
            <charset val="128"/>
          </rPr>
          <t>1：選択集計します。
0：選択しません。</t>
        </r>
      </text>
    </comment>
    <comment ref="D840" authorId="0" shapeId="0" xr:uid="{00000000-0006-0000-0D00-000030030000}">
      <text>
        <r>
          <rPr>
            <sz val="9"/>
            <color indexed="81"/>
            <rFont val="ＭＳ Ｐゴシック"/>
            <family val="3"/>
            <charset val="128"/>
          </rPr>
          <t>1：選択集計します。
0：選択しません。</t>
        </r>
      </text>
    </comment>
    <comment ref="D841" authorId="0" shapeId="0" xr:uid="{00000000-0006-0000-0D00-000031030000}">
      <text>
        <r>
          <rPr>
            <sz val="9"/>
            <color indexed="81"/>
            <rFont val="ＭＳ Ｐゴシック"/>
            <family val="3"/>
            <charset val="128"/>
          </rPr>
          <t>1：選択集計します。
0：選択しません。</t>
        </r>
      </text>
    </comment>
    <comment ref="D842" authorId="0" shapeId="0" xr:uid="{00000000-0006-0000-0D00-000032030000}">
      <text>
        <r>
          <rPr>
            <sz val="9"/>
            <color indexed="81"/>
            <rFont val="ＭＳ Ｐゴシック"/>
            <family val="3"/>
            <charset val="128"/>
          </rPr>
          <t>1：選択集計します。
0：選択しません。</t>
        </r>
      </text>
    </comment>
    <comment ref="D843" authorId="0" shapeId="0" xr:uid="{00000000-0006-0000-0D00-000033030000}">
      <text>
        <r>
          <rPr>
            <sz val="9"/>
            <color indexed="81"/>
            <rFont val="ＭＳ Ｐゴシック"/>
            <family val="3"/>
            <charset val="128"/>
          </rPr>
          <t>1：選択集計します。
0：選択しません。</t>
        </r>
      </text>
    </comment>
    <comment ref="D844" authorId="0" shapeId="0" xr:uid="{00000000-0006-0000-0D00-000034030000}">
      <text>
        <r>
          <rPr>
            <sz val="9"/>
            <color indexed="81"/>
            <rFont val="ＭＳ Ｐゴシック"/>
            <family val="3"/>
            <charset val="128"/>
          </rPr>
          <t>1：選択集計します。
0：選択しません。</t>
        </r>
      </text>
    </comment>
    <comment ref="D845" authorId="0" shapeId="0" xr:uid="{00000000-0006-0000-0D00-000035030000}">
      <text>
        <r>
          <rPr>
            <sz val="9"/>
            <color indexed="81"/>
            <rFont val="ＭＳ Ｐゴシック"/>
            <family val="3"/>
            <charset val="128"/>
          </rPr>
          <t>1：選択集計します。
0：選択しません。</t>
        </r>
      </text>
    </comment>
    <comment ref="D846" authorId="0" shapeId="0" xr:uid="{00000000-0006-0000-0D00-000036030000}">
      <text>
        <r>
          <rPr>
            <sz val="9"/>
            <color indexed="81"/>
            <rFont val="ＭＳ Ｐゴシック"/>
            <family val="3"/>
            <charset val="128"/>
          </rPr>
          <t>1：選択集計します。
0：選択しません。</t>
        </r>
      </text>
    </comment>
    <comment ref="D847" authorId="0" shapeId="0" xr:uid="{00000000-0006-0000-0D00-000037030000}">
      <text>
        <r>
          <rPr>
            <sz val="9"/>
            <color indexed="81"/>
            <rFont val="ＭＳ Ｐゴシック"/>
            <family val="3"/>
            <charset val="128"/>
          </rPr>
          <t>1：選択集計します。
0：選択しません。</t>
        </r>
      </text>
    </comment>
    <comment ref="D848" authorId="0" shapeId="0" xr:uid="{00000000-0006-0000-0D00-000038030000}">
      <text>
        <r>
          <rPr>
            <sz val="9"/>
            <color indexed="81"/>
            <rFont val="ＭＳ Ｐゴシック"/>
            <family val="3"/>
            <charset val="128"/>
          </rPr>
          <t>1：選択集計します。
0：選択しません。</t>
        </r>
      </text>
    </comment>
    <comment ref="D849" authorId="0" shapeId="0" xr:uid="{00000000-0006-0000-0D00-000039030000}">
      <text>
        <r>
          <rPr>
            <sz val="9"/>
            <color indexed="81"/>
            <rFont val="ＭＳ Ｐゴシック"/>
            <family val="3"/>
            <charset val="128"/>
          </rPr>
          <t>1：選択集計します。
0：選択しません。</t>
        </r>
      </text>
    </comment>
    <comment ref="D850" authorId="0" shapeId="0" xr:uid="{00000000-0006-0000-0D00-00003A030000}">
      <text>
        <r>
          <rPr>
            <sz val="9"/>
            <color indexed="81"/>
            <rFont val="ＭＳ Ｐゴシック"/>
            <family val="3"/>
            <charset val="128"/>
          </rPr>
          <t>1：選択集計します。
0：選択しません。</t>
        </r>
      </text>
    </comment>
    <comment ref="D851" authorId="0" shapeId="0" xr:uid="{00000000-0006-0000-0D00-00003B030000}">
      <text>
        <r>
          <rPr>
            <sz val="9"/>
            <color indexed="81"/>
            <rFont val="ＭＳ Ｐゴシック"/>
            <family val="3"/>
            <charset val="128"/>
          </rPr>
          <t>1：選択集計します。
0：選択しません。</t>
        </r>
      </text>
    </comment>
    <comment ref="D852" authorId="0" shapeId="0" xr:uid="{00000000-0006-0000-0D00-00003C030000}">
      <text>
        <r>
          <rPr>
            <sz val="9"/>
            <color indexed="81"/>
            <rFont val="ＭＳ Ｐゴシック"/>
            <family val="3"/>
            <charset val="128"/>
          </rPr>
          <t>1：選択集計します。
0：選択しません。</t>
        </r>
      </text>
    </comment>
    <comment ref="D853" authorId="0" shapeId="0" xr:uid="{00000000-0006-0000-0D00-00003D030000}">
      <text>
        <r>
          <rPr>
            <sz val="9"/>
            <color indexed="81"/>
            <rFont val="ＭＳ Ｐゴシック"/>
            <family val="3"/>
            <charset val="128"/>
          </rPr>
          <t>1：選択集計します。
0：選択しません。</t>
        </r>
      </text>
    </comment>
    <comment ref="D854" authorId="0" shapeId="0" xr:uid="{00000000-0006-0000-0D00-00003E030000}">
      <text>
        <r>
          <rPr>
            <sz val="9"/>
            <color indexed="81"/>
            <rFont val="ＭＳ Ｐゴシック"/>
            <family val="3"/>
            <charset val="128"/>
          </rPr>
          <t>1：選択集計します。
0：選択しません。</t>
        </r>
      </text>
    </comment>
    <comment ref="D855" authorId="0" shapeId="0" xr:uid="{00000000-0006-0000-0D00-00003F030000}">
      <text>
        <r>
          <rPr>
            <sz val="9"/>
            <color indexed="81"/>
            <rFont val="ＭＳ Ｐゴシック"/>
            <family val="3"/>
            <charset val="128"/>
          </rPr>
          <t>1：選択集計します。
0：選択しません。</t>
        </r>
      </text>
    </comment>
    <comment ref="D856" authorId="0" shapeId="0" xr:uid="{00000000-0006-0000-0D00-000040030000}">
      <text>
        <r>
          <rPr>
            <sz val="9"/>
            <color indexed="81"/>
            <rFont val="ＭＳ Ｐゴシック"/>
            <family val="3"/>
            <charset val="128"/>
          </rPr>
          <t>1：選択集計します。
0：選択しません。</t>
        </r>
      </text>
    </comment>
    <comment ref="H859" authorId="0" shapeId="0" xr:uid="{00000000-0006-0000-0D00-000041030000}">
      <text>
        <r>
          <rPr>
            <sz val="9"/>
            <color indexed="81"/>
            <rFont val="ＭＳ Ｐゴシック"/>
            <family val="3"/>
            <charset val="128"/>
          </rPr>
          <t>選択列に 1 を入力した工類が集計されます。</t>
        </r>
      </text>
    </comment>
    <comment ref="D860" authorId="0" shapeId="0" xr:uid="{00000000-0006-0000-0D00-000042030000}">
      <text>
        <r>
          <rPr>
            <sz val="9"/>
            <color indexed="81"/>
            <rFont val="ＭＳ Ｐゴシック"/>
            <family val="3"/>
            <charset val="128"/>
          </rPr>
          <t>1：選択集計します。
0：選択しません。</t>
        </r>
      </text>
    </comment>
    <comment ref="D861" authorId="0" shapeId="0" xr:uid="{00000000-0006-0000-0D00-000043030000}">
      <text>
        <r>
          <rPr>
            <sz val="9"/>
            <color indexed="81"/>
            <rFont val="ＭＳ Ｐゴシック"/>
            <family val="3"/>
            <charset val="128"/>
          </rPr>
          <t>1：選択集計します。
0：選択しません。</t>
        </r>
      </text>
    </comment>
    <comment ref="D862" authorId="0" shapeId="0" xr:uid="{00000000-0006-0000-0D00-000044030000}">
      <text>
        <r>
          <rPr>
            <sz val="9"/>
            <color indexed="81"/>
            <rFont val="ＭＳ Ｐゴシック"/>
            <family val="3"/>
            <charset val="128"/>
          </rPr>
          <t>1：選択集計します。
0：選択しません。</t>
        </r>
      </text>
    </comment>
    <comment ref="D863" authorId="0" shapeId="0" xr:uid="{00000000-0006-0000-0D00-000045030000}">
      <text>
        <r>
          <rPr>
            <sz val="9"/>
            <color indexed="81"/>
            <rFont val="ＭＳ Ｐゴシック"/>
            <family val="3"/>
            <charset val="128"/>
          </rPr>
          <t>1：選択集計します。
0：選択しません。</t>
        </r>
      </text>
    </comment>
    <comment ref="D864" authorId="0" shapeId="0" xr:uid="{00000000-0006-0000-0D00-000046030000}">
      <text>
        <r>
          <rPr>
            <sz val="9"/>
            <color indexed="81"/>
            <rFont val="ＭＳ Ｐゴシック"/>
            <family val="3"/>
            <charset val="128"/>
          </rPr>
          <t>1：選択集計します。
0：選択しません。</t>
        </r>
      </text>
    </comment>
    <comment ref="D865" authorId="0" shapeId="0" xr:uid="{00000000-0006-0000-0D00-000047030000}">
      <text>
        <r>
          <rPr>
            <sz val="9"/>
            <color indexed="81"/>
            <rFont val="ＭＳ Ｐゴシック"/>
            <family val="3"/>
            <charset val="128"/>
          </rPr>
          <t>1：選択集計します。
0：選択しません。</t>
        </r>
      </text>
    </comment>
    <comment ref="D866" authorId="0" shapeId="0" xr:uid="{00000000-0006-0000-0D00-000048030000}">
      <text>
        <r>
          <rPr>
            <sz val="9"/>
            <color indexed="81"/>
            <rFont val="ＭＳ Ｐゴシック"/>
            <family val="3"/>
            <charset val="128"/>
          </rPr>
          <t>1：選択集計します。
0：選択しません。</t>
        </r>
      </text>
    </comment>
    <comment ref="D867" authorId="0" shapeId="0" xr:uid="{00000000-0006-0000-0D00-000049030000}">
      <text>
        <r>
          <rPr>
            <sz val="9"/>
            <color indexed="81"/>
            <rFont val="ＭＳ Ｐゴシック"/>
            <family val="3"/>
            <charset val="128"/>
          </rPr>
          <t>1：選択集計します。
0：選択しません。</t>
        </r>
      </text>
    </comment>
    <comment ref="D868" authorId="0" shapeId="0" xr:uid="{00000000-0006-0000-0D00-00004A030000}">
      <text>
        <r>
          <rPr>
            <sz val="9"/>
            <color indexed="81"/>
            <rFont val="ＭＳ Ｐゴシック"/>
            <family val="3"/>
            <charset val="128"/>
          </rPr>
          <t>1：選択集計します。
0：選択しません。</t>
        </r>
      </text>
    </comment>
    <comment ref="D869" authorId="0" shapeId="0" xr:uid="{00000000-0006-0000-0D00-00004B030000}">
      <text>
        <r>
          <rPr>
            <sz val="9"/>
            <color indexed="81"/>
            <rFont val="ＭＳ Ｐゴシック"/>
            <family val="3"/>
            <charset val="128"/>
          </rPr>
          <t>1：選択集計します。
0：選択しません。</t>
        </r>
      </text>
    </comment>
    <comment ref="D870" authorId="0" shapeId="0" xr:uid="{00000000-0006-0000-0D00-00004C030000}">
      <text>
        <r>
          <rPr>
            <sz val="9"/>
            <color indexed="81"/>
            <rFont val="ＭＳ Ｐゴシック"/>
            <family val="3"/>
            <charset val="128"/>
          </rPr>
          <t>1：選択集計します。
0：選択しません。</t>
        </r>
      </text>
    </comment>
    <comment ref="D871" authorId="0" shapeId="0" xr:uid="{00000000-0006-0000-0D00-00004D030000}">
      <text>
        <r>
          <rPr>
            <sz val="9"/>
            <color indexed="81"/>
            <rFont val="ＭＳ Ｐゴシック"/>
            <family val="3"/>
            <charset val="128"/>
          </rPr>
          <t>1：選択集計します。
0：選択しません。</t>
        </r>
      </text>
    </comment>
    <comment ref="D872" authorId="0" shapeId="0" xr:uid="{00000000-0006-0000-0D00-00004E030000}">
      <text>
        <r>
          <rPr>
            <sz val="9"/>
            <color indexed="81"/>
            <rFont val="ＭＳ Ｐゴシック"/>
            <family val="3"/>
            <charset val="128"/>
          </rPr>
          <t>1：選択集計します。
0：選択しません。</t>
        </r>
      </text>
    </comment>
    <comment ref="D873" authorId="0" shapeId="0" xr:uid="{00000000-0006-0000-0D00-00004F030000}">
      <text>
        <r>
          <rPr>
            <sz val="9"/>
            <color indexed="81"/>
            <rFont val="ＭＳ Ｐゴシック"/>
            <family val="3"/>
            <charset val="128"/>
          </rPr>
          <t>1：選択集計します。
0：選択しません。</t>
        </r>
      </text>
    </comment>
    <comment ref="D874" authorId="0" shapeId="0" xr:uid="{00000000-0006-0000-0D00-000050030000}">
      <text>
        <r>
          <rPr>
            <sz val="9"/>
            <color indexed="81"/>
            <rFont val="ＭＳ Ｐゴシック"/>
            <family val="3"/>
            <charset val="128"/>
          </rPr>
          <t>1：選択集計します。
0：選択しません。</t>
        </r>
      </text>
    </comment>
    <comment ref="D875" authorId="0" shapeId="0" xr:uid="{00000000-0006-0000-0D00-000051030000}">
      <text>
        <r>
          <rPr>
            <sz val="9"/>
            <color indexed="81"/>
            <rFont val="ＭＳ Ｐゴシック"/>
            <family val="3"/>
            <charset val="128"/>
          </rPr>
          <t>1：選択集計します。
0：選択しません。</t>
        </r>
      </text>
    </comment>
    <comment ref="D876" authorId="0" shapeId="0" xr:uid="{00000000-0006-0000-0D00-000052030000}">
      <text>
        <r>
          <rPr>
            <sz val="9"/>
            <color indexed="81"/>
            <rFont val="ＭＳ Ｐゴシック"/>
            <family val="3"/>
            <charset val="128"/>
          </rPr>
          <t>1：選択集計します。
0：選択しません。</t>
        </r>
      </text>
    </comment>
    <comment ref="D877" authorId="0" shapeId="0" xr:uid="{00000000-0006-0000-0D00-000053030000}">
      <text>
        <r>
          <rPr>
            <sz val="9"/>
            <color indexed="81"/>
            <rFont val="ＭＳ Ｐゴシック"/>
            <family val="3"/>
            <charset val="128"/>
          </rPr>
          <t>1：選択集計します。
0：選択しません。</t>
        </r>
      </text>
    </comment>
    <comment ref="D878" authorId="0" shapeId="0" xr:uid="{00000000-0006-0000-0D00-000054030000}">
      <text>
        <r>
          <rPr>
            <sz val="9"/>
            <color indexed="81"/>
            <rFont val="ＭＳ Ｐゴシック"/>
            <family val="3"/>
            <charset val="128"/>
          </rPr>
          <t>1：選択集計します。
0：選択しません。</t>
        </r>
      </text>
    </comment>
    <comment ref="D879" authorId="0" shapeId="0" xr:uid="{00000000-0006-0000-0D00-000055030000}">
      <text>
        <r>
          <rPr>
            <sz val="9"/>
            <color indexed="81"/>
            <rFont val="ＭＳ Ｐゴシック"/>
            <family val="3"/>
            <charset val="128"/>
          </rPr>
          <t>1：選択集計します。
0：選択しません。</t>
        </r>
      </text>
    </comment>
    <comment ref="D880" authorId="0" shapeId="0" xr:uid="{00000000-0006-0000-0D00-000056030000}">
      <text>
        <r>
          <rPr>
            <sz val="9"/>
            <color indexed="81"/>
            <rFont val="ＭＳ Ｐゴシック"/>
            <family val="3"/>
            <charset val="128"/>
          </rPr>
          <t>1：選択集計します。
0：選択しません。</t>
        </r>
      </text>
    </comment>
    <comment ref="D881" authorId="0" shapeId="0" xr:uid="{00000000-0006-0000-0D00-000057030000}">
      <text>
        <r>
          <rPr>
            <sz val="9"/>
            <color indexed="81"/>
            <rFont val="ＭＳ Ｐゴシック"/>
            <family val="3"/>
            <charset val="128"/>
          </rPr>
          <t>1：選択集計します。
0：選択しません。</t>
        </r>
      </text>
    </comment>
    <comment ref="D882" authorId="0" shapeId="0" xr:uid="{00000000-0006-0000-0D00-000058030000}">
      <text>
        <r>
          <rPr>
            <sz val="9"/>
            <color indexed="81"/>
            <rFont val="ＭＳ Ｐゴシック"/>
            <family val="3"/>
            <charset val="128"/>
          </rPr>
          <t>1：選択集計します。
0：選択しません。</t>
        </r>
      </text>
    </comment>
    <comment ref="D883" authorId="0" shapeId="0" xr:uid="{00000000-0006-0000-0D00-000059030000}">
      <text>
        <r>
          <rPr>
            <sz val="9"/>
            <color indexed="81"/>
            <rFont val="ＭＳ Ｐゴシック"/>
            <family val="3"/>
            <charset val="128"/>
          </rPr>
          <t>1：選択集計します。
0：選択しません。</t>
        </r>
      </text>
    </comment>
    <comment ref="D884" authorId="0" shapeId="0" xr:uid="{00000000-0006-0000-0D00-00005A030000}">
      <text>
        <r>
          <rPr>
            <sz val="9"/>
            <color indexed="81"/>
            <rFont val="ＭＳ Ｐゴシック"/>
            <family val="3"/>
            <charset val="128"/>
          </rPr>
          <t>1：選択集計します。
0：選択しません。</t>
        </r>
      </text>
    </comment>
    <comment ref="D885" authorId="0" shapeId="0" xr:uid="{00000000-0006-0000-0D00-00005B030000}">
      <text>
        <r>
          <rPr>
            <sz val="9"/>
            <color indexed="81"/>
            <rFont val="ＭＳ Ｐゴシック"/>
            <family val="3"/>
            <charset val="128"/>
          </rPr>
          <t>1：選択集計します。
0：選択しません。</t>
        </r>
      </text>
    </comment>
    <comment ref="D886" authorId="0" shapeId="0" xr:uid="{00000000-0006-0000-0D00-00005C030000}">
      <text>
        <r>
          <rPr>
            <sz val="9"/>
            <color indexed="81"/>
            <rFont val="ＭＳ Ｐゴシック"/>
            <family val="3"/>
            <charset val="128"/>
          </rPr>
          <t>1：選択集計します。
0：選択しません。</t>
        </r>
      </text>
    </comment>
    <comment ref="D887" authorId="0" shapeId="0" xr:uid="{00000000-0006-0000-0D00-00005D030000}">
      <text>
        <r>
          <rPr>
            <sz val="9"/>
            <color indexed="81"/>
            <rFont val="ＭＳ Ｐゴシック"/>
            <family val="3"/>
            <charset val="128"/>
          </rPr>
          <t>1：選択集計します。
0：選択しません。</t>
        </r>
      </text>
    </comment>
    <comment ref="D888" authorId="0" shapeId="0" xr:uid="{00000000-0006-0000-0D00-00005E030000}">
      <text>
        <r>
          <rPr>
            <sz val="9"/>
            <color indexed="81"/>
            <rFont val="ＭＳ Ｐゴシック"/>
            <family val="3"/>
            <charset val="128"/>
          </rPr>
          <t>1：選択集計します。
0：選択しません。</t>
        </r>
      </text>
    </comment>
    <comment ref="D889" authorId="0" shapeId="0" xr:uid="{00000000-0006-0000-0D00-00005F030000}">
      <text>
        <r>
          <rPr>
            <sz val="9"/>
            <color indexed="81"/>
            <rFont val="ＭＳ Ｐゴシック"/>
            <family val="3"/>
            <charset val="128"/>
          </rPr>
          <t>1：選択集計します。
0：選択しません。</t>
        </r>
      </text>
    </comment>
    <comment ref="D890" authorId="0" shapeId="0" xr:uid="{00000000-0006-0000-0D00-000060030000}">
      <text>
        <r>
          <rPr>
            <sz val="9"/>
            <color indexed="81"/>
            <rFont val="ＭＳ Ｐゴシック"/>
            <family val="3"/>
            <charset val="128"/>
          </rPr>
          <t>1：選択集計します。
0：選択しません。</t>
        </r>
      </text>
    </comment>
    <comment ref="D891" authorId="0" shapeId="0" xr:uid="{00000000-0006-0000-0D00-000061030000}">
      <text>
        <r>
          <rPr>
            <sz val="9"/>
            <color indexed="81"/>
            <rFont val="ＭＳ Ｐゴシック"/>
            <family val="3"/>
            <charset val="128"/>
          </rPr>
          <t>1：選択集計します。
0：選択しません。</t>
        </r>
      </text>
    </comment>
    <comment ref="D892" authorId="0" shapeId="0" xr:uid="{00000000-0006-0000-0D00-000062030000}">
      <text>
        <r>
          <rPr>
            <sz val="9"/>
            <color indexed="81"/>
            <rFont val="ＭＳ Ｐゴシック"/>
            <family val="3"/>
            <charset val="128"/>
          </rPr>
          <t>1：選択集計します。
0：選択しません。</t>
        </r>
      </text>
    </comment>
    <comment ref="D893" authorId="0" shapeId="0" xr:uid="{00000000-0006-0000-0D00-000063030000}">
      <text>
        <r>
          <rPr>
            <sz val="9"/>
            <color indexed="81"/>
            <rFont val="ＭＳ Ｐゴシック"/>
            <family val="3"/>
            <charset val="128"/>
          </rPr>
          <t>1：選択集計します。
0：選択しません。</t>
        </r>
      </text>
    </comment>
    <comment ref="D894" authorId="0" shapeId="0" xr:uid="{00000000-0006-0000-0D00-000064030000}">
      <text>
        <r>
          <rPr>
            <sz val="9"/>
            <color indexed="81"/>
            <rFont val="ＭＳ Ｐゴシック"/>
            <family val="3"/>
            <charset val="128"/>
          </rPr>
          <t>1：選択集計します。
0：選択しません。</t>
        </r>
      </text>
    </comment>
    <comment ref="D895" authorId="0" shapeId="0" xr:uid="{00000000-0006-0000-0D00-000065030000}">
      <text>
        <r>
          <rPr>
            <sz val="9"/>
            <color indexed="81"/>
            <rFont val="ＭＳ Ｐゴシック"/>
            <family val="3"/>
            <charset val="128"/>
          </rPr>
          <t>1：選択集計します。
0：選択しません。</t>
        </r>
      </text>
    </comment>
    <comment ref="D896" authorId="0" shapeId="0" xr:uid="{00000000-0006-0000-0D00-000066030000}">
      <text>
        <r>
          <rPr>
            <sz val="9"/>
            <color indexed="81"/>
            <rFont val="ＭＳ Ｐゴシック"/>
            <family val="3"/>
            <charset val="128"/>
          </rPr>
          <t>1：選択集計します。
0：選択しません。</t>
        </r>
      </text>
    </comment>
    <comment ref="D897" authorId="0" shapeId="0" xr:uid="{00000000-0006-0000-0D00-000067030000}">
      <text>
        <r>
          <rPr>
            <sz val="9"/>
            <color indexed="81"/>
            <rFont val="ＭＳ Ｐゴシック"/>
            <family val="3"/>
            <charset val="128"/>
          </rPr>
          <t>1：選択集計します。
0：選択しません。</t>
        </r>
      </text>
    </comment>
    <comment ref="D898" authorId="0" shapeId="0" xr:uid="{00000000-0006-0000-0D00-000068030000}">
      <text>
        <r>
          <rPr>
            <sz val="9"/>
            <color indexed="81"/>
            <rFont val="ＭＳ Ｐゴシック"/>
            <family val="3"/>
            <charset val="128"/>
          </rPr>
          <t>1：選択集計します。
0：選択しません。</t>
        </r>
      </text>
    </comment>
    <comment ref="D899" authorId="0" shapeId="0" xr:uid="{00000000-0006-0000-0D00-000069030000}">
      <text>
        <r>
          <rPr>
            <sz val="9"/>
            <color indexed="81"/>
            <rFont val="ＭＳ Ｐゴシック"/>
            <family val="3"/>
            <charset val="128"/>
          </rPr>
          <t>1：選択集計します。
0：選択しません。</t>
        </r>
      </text>
    </comment>
    <comment ref="D900" authorId="0" shapeId="0" xr:uid="{00000000-0006-0000-0D00-00006A030000}">
      <text>
        <r>
          <rPr>
            <sz val="9"/>
            <color indexed="81"/>
            <rFont val="ＭＳ Ｐゴシック"/>
            <family val="3"/>
            <charset val="128"/>
          </rPr>
          <t>1：選択集計します。
0：選択しません。</t>
        </r>
      </text>
    </comment>
    <comment ref="D901" authorId="0" shapeId="0" xr:uid="{00000000-0006-0000-0D00-00006B030000}">
      <text>
        <r>
          <rPr>
            <sz val="9"/>
            <color indexed="81"/>
            <rFont val="ＭＳ Ｐゴシック"/>
            <family val="3"/>
            <charset val="128"/>
          </rPr>
          <t>1：選択集計します。
0：選択しません。</t>
        </r>
      </text>
    </comment>
    <comment ref="D902" authorId="0" shapeId="0" xr:uid="{00000000-0006-0000-0D00-00006C030000}">
      <text>
        <r>
          <rPr>
            <sz val="9"/>
            <color indexed="81"/>
            <rFont val="ＭＳ Ｐゴシック"/>
            <family val="3"/>
            <charset val="128"/>
          </rPr>
          <t>1：選択集計します。
0：選択しません。</t>
        </r>
      </text>
    </comment>
    <comment ref="D903" authorId="0" shapeId="0" xr:uid="{00000000-0006-0000-0D00-00006D030000}">
      <text>
        <r>
          <rPr>
            <sz val="9"/>
            <color indexed="81"/>
            <rFont val="ＭＳ Ｐゴシック"/>
            <family val="3"/>
            <charset val="128"/>
          </rPr>
          <t>1：選択集計します。
0：選択しません。</t>
        </r>
      </text>
    </comment>
    <comment ref="D904" authorId="0" shapeId="0" xr:uid="{00000000-0006-0000-0D00-00006E030000}">
      <text>
        <r>
          <rPr>
            <sz val="9"/>
            <color indexed="81"/>
            <rFont val="ＭＳ Ｐゴシック"/>
            <family val="3"/>
            <charset val="128"/>
          </rPr>
          <t>1：選択集計します。
0：選択しません。</t>
        </r>
      </text>
    </comment>
    <comment ref="D905" authorId="0" shapeId="0" xr:uid="{00000000-0006-0000-0D00-00006F030000}">
      <text>
        <r>
          <rPr>
            <sz val="9"/>
            <color indexed="81"/>
            <rFont val="ＭＳ Ｐゴシック"/>
            <family val="3"/>
            <charset val="128"/>
          </rPr>
          <t>1：選択集計します。
0：選択しません。</t>
        </r>
      </text>
    </comment>
    <comment ref="D906" authorId="0" shapeId="0" xr:uid="{00000000-0006-0000-0D00-000070030000}">
      <text>
        <r>
          <rPr>
            <sz val="9"/>
            <color indexed="81"/>
            <rFont val="ＭＳ Ｐゴシック"/>
            <family val="3"/>
            <charset val="128"/>
          </rPr>
          <t>1：選択集計します。
0：選択しません。</t>
        </r>
      </text>
    </comment>
    <comment ref="D907" authorId="0" shapeId="0" xr:uid="{00000000-0006-0000-0D00-000071030000}">
      <text>
        <r>
          <rPr>
            <sz val="9"/>
            <color indexed="81"/>
            <rFont val="ＭＳ Ｐゴシック"/>
            <family val="3"/>
            <charset val="128"/>
          </rPr>
          <t>1：選択集計します。
0：選択しません。</t>
        </r>
      </text>
    </comment>
    <comment ref="D908" authorId="0" shapeId="0" xr:uid="{00000000-0006-0000-0D00-000072030000}">
      <text>
        <r>
          <rPr>
            <sz val="9"/>
            <color indexed="81"/>
            <rFont val="ＭＳ Ｐゴシック"/>
            <family val="3"/>
            <charset val="128"/>
          </rPr>
          <t>1：選択集計します。
0：選択しません。</t>
        </r>
      </text>
    </comment>
    <comment ref="D909" authorId="0" shapeId="0" xr:uid="{00000000-0006-0000-0D00-000073030000}">
      <text>
        <r>
          <rPr>
            <sz val="9"/>
            <color indexed="81"/>
            <rFont val="ＭＳ Ｐゴシック"/>
            <family val="3"/>
            <charset val="128"/>
          </rPr>
          <t>1：選択集計します。
0：選択しません。</t>
        </r>
      </text>
    </comment>
    <comment ref="D910" authorId="0" shapeId="0" xr:uid="{00000000-0006-0000-0D00-000074030000}">
      <text>
        <r>
          <rPr>
            <sz val="9"/>
            <color indexed="81"/>
            <rFont val="ＭＳ Ｐゴシック"/>
            <family val="3"/>
            <charset val="128"/>
          </rPr>
          <t>1：選択集計します。
0：選択しません。</t>
        </r>
      </text>
    </comment>
    <comment ref="D911" authorId="0" shapeId="0" xr:uid="{00000000-0006-0000-0D00-000075030000}">
      <text>
        <r>
          <rPr>
            <sz val="9"/>
            <color indexed="81"/>
            <rFont val="ＭＳ Ｐゴシック"/>
            <family val="3"/>
            <charset val="128"/>
          </rPr>
          <t>1：選択集計します。
0：選択しません。</t>
        </r>
      </text>
    </comment>
    <comment ref="D912" authorId="0" shapeId="0" xr:uid="{00000000-0006-0000-0D00-000076030000}">
      <text>
        <r>
          <rPr>
            <sz val="9"/>
            <color indexed="81"/>
            <rFont val="ＭＳ Ｐゴシック"/>
            <family val="3"/>
            <charset val="128"/>
          </rPr>
          <t>1：選択集計します。
0：選択しません。</t>
        </r>
      </text>
    </comment>
    <comment ref="D913" authorId="0" shapeId="0" xr:uid="{00000000-0006-0000-0D00-000077030000}">
      <text>
        <r>
          <rPr>
            <sz val="9"/>
            <color indexed="81"/>
            <rFont val="ＭＳ Ｐゴシック"/>
            <family val="3"/>
            <charset val="128"/>
          </rPr>
          <t>1：選択集計します。
0：選択しません。</t>
        </r>
      </text>
    </comment>
    <comment ref="D914" authorId="0" shapeId="0" xr:uid="{00000000-0006-0000-0D00-000078030000}">
      <text>
        <r>
          <rPr>
            <sz val="9"/>
            <color indexed="81"/>
            <rFont val="ＭＳ Ｐゴシック"/>
            <family val="3"/>
            <charset val="128"/>
          </rPr>
          <t>1：選択集計します。
0：選択しません。</t>
        </r>
      </text>
    </comment>
    <comment ref="D915" authorId="0" shapeId="0" xr:uid="{00000000-0006-0000-0D00-000079030000}">
      <text>
        <r>
          <rPr>
            <sz val="9"/>
            <color indexed="81"/>
            <rFont val="ＭＳ Ｐゴシック"/>
            <family val="3"/>
            <charset val="128"/>
          </rPr>
          <t>1：選択集計します。
0：選択しません。</t>
        </r>
      </text>
    </comment>
    <comment ref="D916" authorId="0" shapeId="0" xr:uid="{00000000-0006-0000-0D00-00007A030000}">
      <text>
        <r>
          <rPr>
            <sz val="9"/>
            <color indexed="81"/>
            <rFont val="ＭＳ Ｐゴシック"/>
            <family val="3"/>
            <charset val="128"/>
          </rPr>
          <t>1：選択集計します。
0：選択しません。</t>
        </r>
      </text>
    </comment>
    <comment ref="D917" authorId="0" shapeId="0" xr:uid="{00000000-0006-0000-0D00-00007B030000}">
      <text>
        <r>
          <rPr>
            <sz val="9"/>
            <color indexed="81"/>
            <rFont val="ＭＳ Ｐゴシック"/>
            <family val="3"/>
            <charset val="128"/>
          </rPr>
          <t>1：選択集計します。
0：選択しません。</t>
        </r>
      </text>
    </comment>
    <comment ref="D918" authorId="0" shapeId="0" xr:uid="{00000000-0006-0000-0D00-00007C030000}">
      <text>
        <r>
          <rPr>
            <sz val="9"/>
            <color indexed="81"/>
            <rFont val="ＭＳ Ｐゴシック"/>
            <family val="3"/>
            <charset val="128"/>
          </rPr>
          <t>1：選択集計します。
0：選択しません。</t>
        </r>
      </text>
    </comment>
    <comment ref="D919" authorId="0" shapeId="0" xr:uid="{00000000-0006-0000-0D00-00007D030000}">
      <text>
        <r>
          <rPr>
            <sz val="9"/>
            <color indexed="81"/>
            <rFont val="ＭＳ Ｐゴシック"/>
            <family val="3"/>
            <charset val="128"/>
          </rPr>
          <t>1：選択集計します。
0：選択しません。</t>
        </r>
      </text>
    </comment>
    <comment ref="D920" authorId="0" shapeId="0" xr:uid="{00000000-0006-0000-0D00-00007E030000}">
      <text>
        <r>
          <rPr>
            <sz val="9"/>
            <color indexed="81"/>
            <rFont val="ＭＳ Ｐゴシック"/>
            <family val="3"/>
            <charset val="128"/>
          </rPr>
          <t>1：選択集計します。
0：選択しません。</t>
        </r>
      </text>
    </comment>
    <comment ref="D921" authorId="0" shapeId="0" xr:uid="{00000000-0006-0000-0D00-00007F030000}">
      <text>
        <r>
          <rPr>
            <sz val="9"/>
            <color indexed="81"/>
            <rFont val="ＭＳ Ｐゴシック"/>
            <family val="3"/>
            <charset val="128"/>
          </rPr>
          <t>1：選択集計します。
0：選択しません。</t>
        </r>
      </text>
    </comment>
    <comment ref="D922" authorId="0" shapeId="0" xr:uid="{00000000-0006-0000-0D00-000080030000}">
      <text>
        <r>
          <rPr>
            <sz val="9"/>
            <color indexed="81"/>
            <rFont val="ＭＳ Ｐゴシック"/>
            <family val="3"/>
            <charset val="128"/>
          </rPr>
          <t>1：選択集計します。
0：選択しません。</t>
        </r>
      </text>
    </comment>
    <comment ref="D923" authorId="0" shapeId="0" xr:uid="{00000000-0006-0000-0D00-000081030000}">
      <text>
        <r>
          <rPr>
            <sz val="9"/>
            <color indexed="81"/>
            <rFont val="ＭＳ Ｐゴシック"/>
            <family val="3"/>
            <charset val="128"/>
          </rPr>
          <t>1：選択集計します。
0：選択しません。</t>
        </r>
      </text>
    </comment>
    <comment ref="D924" authorId="0" shapeId="0" xr:uid="{00000000-0006-0000-0D00-000082030000}">
      <text>
        <r>
          <rPr>
            <sz val="9"/>
            <color indexed="81"/>
            <rFont val="ＭＳ Ｐゴシック"/>
            <family val="3"/>
            <charset val="128"/>
          </rPr>
          <t>1：選択集計します。
0：選択しません。</t>
        </r>
      </text>
    </comment>
    <comment ref="D925" authorId="0" shapeId="0" xr:uid="{00000000-0006-0000-0D00-000083030000}">
      <text>
        <r>
          <rPr>
            <sz val="9"/>
            <color indexed="81"/>
            <rFont val="ＭＳ Ｐゴシック"/>
            <family val="3"/>
            <charset val="128"/>
          </rPr>
          <t>1：選択集計します。
0：選択しません。</t>
        </r>
      </text>
    </comment>
    <comment ref="D926" authorId="0" shapeId="0" xr:uid="{00000000-0006-0000-0D00-000084030000}">
      <text>
        <r>
          <rPr>
            <sz val="9"/>
            <color indexed="81"/>
            <rFont val="ＭＳ Ｐゴシック"/>
            <family val="3"/>
            <charset val="128"/>
          </rPr>
          <t>1：選択集計します。
0：選択しません。</t>
        </r>
      </text>
    </comment>
    <comment ref="D927" authorId="0" shapeId="0" xr:uid="{00000000-0006-0000-0D00-000085030000}">
      <text>
        <r>
          <rPr>
            <sz val="9"/>
            <color indexed="81"/>
            <rFont val="ＭＳ Ｐゴシック"/>
            <family val="3"/>
            <charset val="128"/>
          </rPr>
          <t>1：選択集計します。
0：選択しません。</t>
        </r>
      </text>
    </comment>
    <comment ref="D928" authorId="0" shapeId="0" xr:uid="{00000000-0006-0000-0D00-000086030000}">
      <text>
        <r>
          <rPr>
            <sz val="9"/>
            <color indexed="81"/>
            <rFont val="ＭＳ Ｐゴシック"/>
            <family val="3"/>
            <charset val="128"/>
          </rPr>
          <t>1：選択集計します。
0：選択しません。</t>
        </r>
      </text>
    </comment>
    <comment ref="D929" authorId="0" shapeId="0" xr:uid="{00000000-0006-0000-0D00-000087030000}">
      <text>
        <r>
          <rPr>
            <sz val="9"/>
            <color indexed="81"/>
            <rFont val="ＭＳ Ｐゴシック"/>
            <family val="3"/>
            <charset val="128"/>
          </rPr>
          <t>1：選択集計します。
0：選択しません。</t>
        </r>
      </text>
    </comment>
    <comment ref="D930" authorId="0" shapeId="0" xr:uid="{00000000-0006-0000-0D00-000088030000}">
      <text>
        <r>
          <rPr>
            <sz val="9"/>
            <color indexed="81"/>
            <rFont val="ＭＳ Ｐゴシック"/>
            <family val="3"/>
            <charset val="128"/>
          </rPr>
          <t>1：選択集計します。
0：選択しません。</t>
        </r>
      </text>
    </comment>
    <comment ref="D931" authorId="0" shapeId="0" xr:uid="{00000000-0006-0000-0D00-000089030000}">
      <text>
        <r>
          <rPr>
            <sz val="9"/>
            <color indexed="81"/>
            <rFont val="ＭＳ Ｐゴシック"/>
            <family val="3"/>
            <charset val="128"/>
          </rPr>
          <t>1：選択集計します。
0：選択しません。</t>
        </r>
      </text>
    </comment>
    <comment ref="D932" authorId="0" shapeId="0" xr:uid="{00000000-0006-0000-0D00-00008A030000}">
      <text>
        <r>
          <rPr>
            <sz val="9"/>
            <color indexed="81"/>
            <rFont val="ＭＳ Ｐゴシック"/>
            <family val="3"/>
            <charset val="128"/>
          </rPr>
          <t>1：選択集計します。
0：選択しません。</t>
        </r>
      </text>
    </comment>
    <comment ref="D933" authorId="0" shapeId="0" xr:uid="{00000000-0006-0000-0D00-00008B030000}">
      <text>
        <r>
          <rPr>
            <sz val="9"/>
            <color indexed="81"/>
            <rFont val="ＭＳ Ｐゴシック"/>
            <family val="3"/>
            <charset val="128"/>
          </rPr>
          <t>1：選択集計します。
0：選択しません。</t>
        </r>
      </text>
    </comment>
    <comment ref="D934" authorId="0" shapeId="0" xr:uid="{00000000-0006-0000-0D00-00008C030000}">
      <text>
        <r>
          <rPr>
            <sz val="9"/>
            <color indexed="81"/>
            <rFont val="ＭＳ Ｐゴシック"/>
            <family val="3"/>
            <charset val="128"/>
          </rPr>
          <t>1：選択集計します。
0：選択しません。</t>
        </r>
      </text>
    </comment>
    <comment ref="D935" authorId="0" shapeId="0" xr:uid="{00000000-0006-0000-0D00-00008D030000}">
      <text>
        <r>
          <rPr>
            <sz val="9"/>
            <color indexed="81"/>
            <rFont val="ＭＳ Ｐゴシック"/>
            <family val="3"/>
            <charset val="128"/>
          </rPr>
          <t>1：選択集計します。
0：選択しません。</t>
        </r>
      </text>
    </comment>
    <comment ref="D936" authorId="0" shapeId="0" xr:uid="{00000000-0006-0000-0D00-00008E030000}">
      <text>
        <r>
          <rPr>
            <sz val="9"/>
            <color indexed="81"/>
            <rFont val="ＭＳ Ｐゴシック"/>
            <family val="3"/>
            <charset val="128"/>
          </rPr>
          <t>1：選択集計します。
0：選択しません。</t>
        </r>
      </text>
    </comment>
    <comment ref="D937" authorId="0" shapeId="0" xr:uid="{00000000-0006-0000-0D00-00008F030000}">
      <text>
        <r>
          <rPr>
            <sz val="9"/>
            <color indexed="81"/>
            <rFont val="ＭＳ Ｐゴシック"/>
            <family val="3"/>
            <charset val="128"/>
          </rPr>
          <t>1：選択集計します。
0：選択しません。</t>
        </r>
      </text>
    </comment>
    <comment ref="D938" authorId="0" shapeId="0" xr:uid="{00000000-0006-0000-0D00-000090030000}">
      <text>
        <r>
          <rPr>
            <sz val="9"/>
            <color indexed="81"/>
            <rFont val="ＭＳ Ｐゴシック"/>
            <family val="3"/>
            <charset val="128"/>
          </rPr>
          <t>1：選択集計します。
0：選択しません。</t>
        </r>
      </text>
    </comment>
    <comment ref="D939" authorId="0" shapeId="0" xr:uid="{00000000-0006-0000-0D00-000091030000}">
      <text>
        <r>
          <rPr>
            <sz val="9"/>
            <color indexed="81"/>
            <rFont val="ＭＳ Ｐゴシック"/>
            <family val="3"/>
            <charset val="128"/>
          </rPr>
          <t>1：選択集計します。
0：選択しません。</t>
        </r>
      </text>
    </comment>
    <comment ref="D940" authorId="0" shapeId="0" xr:uid="{00000000-0006-0000-0D00-000092030000}">
      <text>
        <r>
          <rPr>
            <sz val="9"/>
            <color indexed="81"/>
            <rFont val="ＭＳ Ｐゴシック"/>
            <family val="3"/>
            <charset val="128"/>
          </rPr>
          <t>1：選択集計します。
0：選択しません。</t>
        </r>
      </text>
    </comment>
    <comment ref="D941" authorId="0" shapeId="0" xr:uid="{00000000-0006-0000-0D00-000093030000}">
      <text>
        <r>
          <rPr>
            <sz val="9"/>
            <color indexed="81"/>
            <rFont val="ＭＳ Ｐゴシック"/>
            <family val="3"/>
            <charset val="128"/>
          </rPr>
          <t>1：選択集計します。
0：選択しません。</t>
        </r>
      </text>
    </comment>
    <comment ref="H944" authorId="0" shapeId="0" xr:uid="{00000000-0006-0000-0D00-000094030000}">
      <text>
        <r>
          <rPr>
            <sz val="9"/>
            <color indexed="81"/>
            <rFont val="ＭＳ Ｐゴシック"/>
            <family val="3"/>
            <charset val="128"/>
          </rPr>
          <t>選択列に 1 を入力した工類が集計されます。</t>
        </r>
      </text>
    </comment>
    <comment ref="D945" authorId="0" shapeId="0" xr:uid="{00000000-0006-0000-0D00-000095030000}">
      <text>
        <r>
          <rPr>
            <sz val="9"/>
            <color indexed="81"/>
            <rFont val="ＭＳ Ｐゴシック"/>
            <family val="3"/>
            <charset val="128"/>
          </rPr>
          <t>1：選択集計します。
0：選択しません。</t>
        </r>
      </text>
    </comment>
    <comment ref="D946" authorId="0" shapeId="0" xr:uid="{00000000-0006-0000-0D00-000096030000}">
      <text>
        <r>
          <rPr>
            <sz val="9"/>
            <color indexed="81"/>
            <rFont val="ＭＳ Ｐゴシック"/>
            <family val="3"/>
            <charset val="128"/>
          </rPr>
          <t>1：選択集計します。
0：選択しません。</t>
        </r>
      </text>
    </comment>
    <comment ref="D947" authorId="0" shapeId="0" xr:uid="{00000000-0006-0000-0D00-000097030000}">
      <text>
        <r>
          <rPr>
            <sz val="9"/>
            <color indexed="81"/>
            <rFont val="ＭＳ Ｐゴシック"/>
            <family val="3"/>
            <charset val="128"/>
          </rPr>
          <t>1：選択集計します。
0：選択しません。</t>
        </r>
      </text>
    </comment>
    <comment ref="D948" authorId="0" shapeId="0" xr:uid="{00000000-0006-0000-0D00-000098030000}">
      <text>
        <r>
          <rPr>
            <sz val="9"/>
            <color indexed="81"/>
            <rFont val="ＭＳ Ｐゴシック"/>
            <family val="3"/>
            <charset val="128"/>
          </rPr>
          <t>1：選択集計します。
0：選択しません。</t>
        </r>
      </text>
    </comment>
    <comment ref="D949" authorId="0" shapeId="0" xr:uid="{00000000-0006-0000-0D00-000099030000}">
      <text>
        <r>
          <rPr>
            <sz val="9"/>
            <color indexed="81"/>
            <rFont val="ＭＳ Ｐゴシック"/>
            <family val="3"/>
            <charset val="128"/>
          </rPr>
          <t>1：選択集計します。
0：選択しません。</t>
        </r>
      </text>
    </comment>
    <comment ref="D950" authorId="0" shapeId="0" xr:uid="{00000000-0006-0000-0D00-00009A030000}">
      <text>
        <r>
          <rPr>
            <sz val="9"/>
            <color indexed="81"/>
            <rFont val="ＭＳ Ｐゴシック"/>
            <family val="3"/>
            <charset val="128"/>
          </rPr>
          <t>1：選択集計します。
0：選択しません。</t>
        </r>
      </text>
    </comment>
    <comment ref="D951" authorId="0" shapeId="0" xr:uid="{00000000-0006-0000-0D00-00009B030000}">
      <text>
        <r>
          <rPr>
            <sz val="9"/>
            <color indexed="81"/>
            <rFont val="ＭＳ Ｐゴシック"/>
            <family val="3"/>
            <charset val="128"/>
          </rPr>
          <t>1：選択集計します。
0：選択しません。</t>
        </r>
      </text>
    </comment>
    <comment ref="D952" authorId="0" shapeId="0" xr:uid="{00000000-0006-0000-0D00-00009C030000}">
      <text>
        <r>
          <rPr>
            <sz val="9"/>
            <color indexed="81"/>
            <rFont val="ＭＳ Ｐゴシック"/>
            <family val="3"/>
            <charset val="128"/>
          </rPr>
          <t>1：選択集計します。
0：選択しません。</t>
        </r>
      </text>
    </comment>
    <comment ref="D953" authorId="0" shapeId="0" xr:uid="{00000000-0006-0000-0D00-00009D030000}">
      <text>
        <r>
          <rPr>
            <sz val="9"/>
            <color indexed="81"/>
            <rFont val="ＭＳ Ｐゴシック"/>
            <family val="3"/>
            <charset val="128"/>
          </rPr>
          <t>1：選択集計します。
0：選択しません。</t>
        </r>
      </text>
    </comment>
    <comment ref="D954" authorId="0" shapeId="0" xr:uid="{00000000-0006-0000-0D00-00009E030000}">
      <text>
        <r>
          <rPr>
            <sz val="9"/>
            <color indexed="81"/>
            <rFont val="ＭＳ Ｐゴシック"/>
            <family val="3"/>
            <charset val="128"/>
          </rPr>
          <t>1：選択集計します。
0：選択しません。</t>
        </r>
      </text>
    </comment>
    <comment ref="D955" authorId="0" shapeId="0" xr:uid="{00000000-0006-0000-0D00-00009F030000}">
      <text>
        <r>
          <rPr>
            <sz val="9"/>
            <color indexed="81"/>
            <rFont val="ＭＳ Ｐゴシック"/>
            <family val="3"/>
            <charset val="128"/>
          </rPr>
          <t>1：選択集計します。
0：選択しません。</t>
        </r>
      </text>
    </comment>
    <comment ref="D956" authorId="0" shapeId="0" xr:uid="{00000000-0006-0000-0D00-0000A0030000}">
      <text>
        <r>
          <rPr>
            <sz val="9"/>
            <color indexed="81"/>
            <rFont val="ＭＳ Ｐゴシック"/>
            <family val="3"/>
            <charset val="128"/>
          </rPr>
          <t>1：選択集計します。
0：選択しません。</t>
        </r>
      </text>
    </comment>
    <comment ref="D957" authorId="0" shapeId="0" xr:uid="{00000000-0006-0000-0D00-0000A1030000}">
      <text>
        <r>
          <rPr>
            <sz val="9"/>
            <color indexed="81"/>
            <rFont val="ＭＳ Ｐゴシック"/>
            <family val="3"/>
            <charset val="128"/>
          </rPr>
          <t>1：選択集計します。
0：選択しません。</t>
        </r>
      </text>
    </comment>
    <comment ref="D958" authorId="0" shapeId="0" xr:uid="{00000000-0006-0000-0D00-0000A2030000}">
      <text>
        <r>
          <rPr>
            <sz val="9"/>
            <color indexed="81"/>
            <rFont val="ＭＳ Ｐゴシック"/>
            <family val="3"/>
            <charset val="128"/>
          </rPr>
          <t>1：選択集計します。
0：選択しません。</t>
        </r>
      </text>
    </comment>
    <comment ref="D959" authorId="0" shapeId="0" xr:uid="{00000000-0006-0000-0D00-0000A3030000}">
      <text>
        <r>
          <rPr>
            <sz val="9"/>
            <color indexed="81"/>
            <rFont val="ＭＳ Ｐゴシック"/>
            <family val="3"/>
            <charset val="128"/>
          </rPr>
          <t>1：選択集計します。
0：選択しません。</t>
        </r>
      </text>
    </comment>
    <comment ref="D960" authorId="0" shapeId="0" xr:uid="{00000000-0006-0000-0D00-0000A4030000}">
      <text>
        <r>
          <rPr>
            <sz val="9"/>
            <color indexed="81"/>
            <rFont val="ＭＳ Ｐゴシック"/>
            <family val="3"/>
            <charset val="128"/>
          </rPr>
          <t>1：選択集計します。
0：選択しません。</t>
        </r>
      </text>
    </comment>
    <comment ref="D961" authorId="0" shapeId="0" xr:uid="{00000000-0006-0000-0D00-0000A5030000}">
      <text>
        <r>
          <rPr>
            <sz val="9"/>
            <color indexed="81"/>
            <rFont val="ＭＳ Ｐゴシック"/>
            <family val="3"/>
            <charset val="128"/>
          </rPr>
          <t>1：選択集計します。
0：選択しません。</t>
        </r>
      </text>
    </comment>
    <comment ref="D962" authorId="0" shapeId="0" xr:uid="{00000000-0006-0000-0D00-0000A6030000}">
      <text>
        <r>
          <rPr>
            <sz val="9"/>
            <color indexed="81"/>
            <rFont val="ＭＳ Ｐゴシック"/>
            <family val="3"/>
            <charset val="128"/>
          </rPr>
          <t>1：選択集計します。
0：選択しません。</t>
        </r>
      </text>
    </comment>
    <comment ref="D963" authorId="0" shapeId="0" xr:uid="{00000000-0006-0000-0D00-0000A7030000}">
      <text>
        <r>
          <rPr>
            <sz val="9"/>
            <color indexed="81"/>
            <rFont val="ＭＳ Ｐゴシック"/>
            <family val="3"/>
            <charset val="128"/>
          </rPr>
          <t>1：選択集計します。
0：選択しません。</t>
        </r>
      </text>
    </comment>
    <comment ref="D964" authorId="0" shapeId="0" xr:uid="{00000000-0006-0000-0D00-0000A8030000}">
      <text>
        <r>
          <rPr>
            <sz val="9"/>
            <color indexed="81"/>
            <rFont val="ＭＳ Ｐゴシック"/>
            <family val="3"/>
            <charset val="128"/>
          </rPr>
          <t>1：選択集計します。
0：選択しません。</t>
        </r>
      </text>
    </comment>
    <comment ref="D965" authorId="0" shapeId="0" xr:uid="{00000000-0006-0000-0D00-0000A9030000}">
      <text>
        <r>
          <rPr>
            <sz val="9"/>
            <color indexed="81"/>
            <rFont val="ＭＳ Ｐゴシック"/>
            <family val="3"/>
            <charset val="128"/>
          </rPr>
          <t>1：選択集計します。
0：選択しません。</t>
        </r>
      </text>
    </comment>
    <comment ref="D966" authorId="0" shapeId="0" xr:uid="{00000000-0006-0000-0D00-0000AA030000}">
      <text>
        <r>
          <rPr>
            <sz val="9"/>
            <color indexed="81"/>
            <rFont val="ＭＳ Ｐゴシック"/>
            <family val="3"/>
            <charset val="128"/>
          </rPr>
          <t>1：選択集計します。
0：選択しません。</t>
        </r>
      </text>
    </comment>
    <comment ref="D967" authorId="0" shapeId="0" xr:uid="{00000000-0006-0000-0D00-0000AB030000}">
      <text>
        <r>
          <rPr>
            <sz val="9"/>
            <color indexed="81"/>
            <rFont val="ＭＳ Ｐゴシック"/>
            <family val="3"/>
            <charset val="128"/>
          </rPr>
          <t>1：選択集計します。
0：選択しません。</t>
        </r>
      </text>
    </comment>
    <comment ref="D968" authorId="0" shapeId="0" xr:uid="{00000000-0006-0000-0D00-0000AC030000}">
      <text>
        <r>
          <rPr>
            <sz val="9"/>
            <color indexed="81"/>
            <rFont val="ＭＳ Ｐゴシック"/>
            <family val="3"/>
            <charset val="128"/>
          </rPr>
          <t>1：選択集計します。
0：選択しません。</t>
        </r>
      </text>
    </comment>
    <comment ref="D969" authorId="0" shapeId="0" xr:uid="{00000000-0006-0000-0D00-0000AD030000}">
      <text>
        <r>
          <rPr>
            <sz val="9"/>
            <color indexed="81"/>
            <rFont val="ＭＳ Ｐゴシック"/>
            <family val="3"/>
            <charset val="128"/>
          </rPr>
          <t>1：選択集計します。
0：選択しません。</t>
        </r>
      </text>
    </comment>
    <comment ref="D970" authorId="0" shapeId="0" xr:uid="{00000000-0006-0000-0D00-0000AE030000}">
      <text>
        <r>
          <rPr>
            <sz val="9"/>
            <color indexed="81"/>
            <rFont val="ＭＳ Ｐゴシック"/>
            <family val="3"/>
            <charset val="128"/>
          </rPr>
          <t>1：選択集計します。
0：選択しません。</t>
        </r>
      </text>
    </comment>
    <comment ref="D971" authorId="0" shapeId="0" xr:uid="{00000000-0006-0000-0D00-0000AF030000}">
      <text>
        <r>
          <rPr>
            <sz val="9"/>
            <color indexed="81"/>
            <rFont val="ＭＳ Ｐゴシック"/>
            <family val="3"/>
            <charset val="128"/>
          </rPr>
          <t>1：選択集計します。
0：選択しません。</t>
        </r>
      </text>
    </comment>
    <comment ref="D972" authorId="0" shapeId="0" xr:uid="{00000000-0006-0000-0D00-0000B0030000}">
      <text>
        <r>
          <rPr>
            <sz val="9"/>
            <color indexed="81"/>
            <rFont val="ＭＳ Ｐゴシック"/>
            <family val="3"/>
            <charset val="128"/>
          </rPr>
          <t>1：選択集計します。
0：選択しません。</t>
        </r>
      </text>
    </comment>
    <comment ref="D973" authorId="0" shapeId="0" xr:uid="{00000000-0006-0000-0D00-0000B1030000}">
      <text>
        <r>
          <rPr>
            <sz val="9"/>
            <color indexed="81"/>
            <rFont val="ＭＳ Ｐゴシック"/>
            <family val="3"/>
            <charset val="128"/>
          </rPr>
          <t>1：選択集計します。
0：選択しません。</t>
        </r>
      </text>
    </comment>
    <comment ref="D974" authorId="0" shapeId="0" xr:uid="{00000000-0006-0000-0D00-0000B2030000}">
      <text>
        <r>
          <rPr>
            <sz val="9"/>
            <color indexed="81"/>
            <rFont val="ＭＳ Ｐゴシック"/>
            <family val="3"/>
            <charset val="128"/>
          </rPr>
          <t>1：選択集計します。
0：選択しません。</t>
        </r>
      </text>
    </comment>
    <comment ref="D975" authorId="0" shapeId="0" xr:uid="{00000000-0006-0000-0D00-0000B3030000}">
      <text>
        <r>
          <rPr>
            <sz val="9"/>
            <color indexed="81"/>
            <rFont val="ＭＳ Ｐゴシック"/>
            <family val="3"/>
            <charset val="128"/>
          </rPr>
          <t>1：選択集計します。
0：選択しません。</t>
        </r>
      </text>
    </comment>
    <comment ref="D976" authorId="0" shapeId="0" xr:uid="{00000000-0006-0000-0D00-0000B4030000}">
      <text>
        <r>
          <rPr>
            <sz val="9"/>
            <color indexed="81"/>
            <rFont val="ＭＳ Ｐゴシック"/>
            <family val="3"/>
            <charset val="128"/>
          </rPr>
          <t>1：選択集計します。
0：選択しません。</t>
        </r>
      </text>
    </comment>
    <comment ref="D977" authorId="0" shapeId="0" xr:uid="{00000000-0006-0000-0D00-0000B5030000}">
      <text>
        <r>
          <rPr>
            <sz val="9"/>
            <color indexed="81"/>
            <rFont val="ＭＳ Ｐゴシック"/>
            <family val="3"/>
            <charset val="128"/>
          </rPr>
          <t>1：選択集計します。
0：選択しません。</t>
        </r>
      </text>
    </comment>
    <comment ref="D978" authorId="0" shapeId="0" xr:uid="{00000000-0006-0000-0D00-0000B6030000}">
      <text>
        <r>
          <rPr>
            <sz val="9"/>
            <color indexed="81"/>
            <rFont val="ＭＳ Ｐゴシック"/>
            <family val="3"/>
            <charset val="128"/>
          </rPr>
          <t>1：選択集計します。
0：選択しません。</t>
        </r>
      </text>
    </comment>
    <comment ref="D979" authorId="0" shapeId="0" xr:uid="{00000000-0006-0000-0D00-0000B7030000}">
      <text>
        <r>
          <rPr>
            <sz val="9"/>
            <color indexed="81"/>
            <rFont val="ＭＳ Ｐゴシック"/>
            <family val="3"/>
            <charset val="128"/>
          </rPr>
          <t>1：選択集計します。
0：選択しません。</t>
        </r>
      </text>
    </comment>
    <comment ref="D980" authorId="0" shapeId="0" xr:uid="{00000000-0006-0000-0D00-0000B8030000}">
      <text>
        <r>
          <rPr>
            <sz val="9"/>
            <color indexed="81"/>
            <rFont val="ＭＳ Ｐゴシック"/>
            <family val="3"/>
            <charset val="128"/>
          </rPr>
          <t>1：選択集計します。
0：選択しません。</t>
        </r>
      </text>
    </comment>
    <comment ref="D981" authorId="0" shapeId="0" xr:uid="{00000000-0006-0000-0D00-0000B9030000}">
      <text>
        <r>
          <rPr>
            <sz val="9"/>
            <color indexed="81"/>
            <rFont val="ＭＳ Ｐゴシック"/>
            <family val="3"/>
            <charset val="128"/>
          </rPr>
          <t>1：選択集計します。
0：選択しません。</t>
        </r>
      </text>
    </comment>
    <comment ref="D982" authorId="0" shapeId="0" xr:uid="{00000000-0006-0000-0D00-0000BA030000}">
      <text>
        <r>
          <rPr>
            <sz val="9"/>
            <color indexed="81"/>
            <rFont val="ＭＳ Ｐゴシック"/>
            <family val="3"/>
            <charset val="128"/>
          </rPr>
          <t>1：選択集計します。
0：選択しません。</t>
        </r>
      </text>
    </comment>
    <comment ref="D983" authorId="0" shapeId="0" xr:uid="{00000000-0006-0000-0D00-0000BB030000}">
      <text>
        <r>
          <rPr>
            <sz val="9"/>
            <color indexed="81"/>
            <rFont val="ＭＳ Ｐゴシック"/>
            <family val="3"/>
            <charset val="128"/>
          </rPr>
          <t>1：選択集計します。
0：選択しません。</t>
        </r>
      </text>
    </comment>
    <comment ref="D984" authorId="0" shapeId="0" xr:uid="{00000000-0006-0000-0D00-0000BC030000}">
      <text>
        <r>
          <rPr>
            <sz val="9"/>
            <color indexed="81"/>
            <rFont val="ＭＳ Ｐゴシック"/>
            <family val="3"/>
            <charset val="128"/>
          </rPr>
          <t>1：選択集計します。
0：選択しません。</t>
        </r>
      </text>
    </comment>
    <comment ref="D985" authorId="0" shapeId="0" xr:uid="{00000000-0006-0000-0D00-0000BD030000}">
      <text>
        <r>
          <rPr>
            <sz val="9"/>
            <color indexed="81"/>
            <rFont val="ＭＳ Ｐゴシック"/>
            <family val="3"/>
            <charset val="128"/>
          </rPr>
          <t>1：選択集計します。
0：選択しません。</t>
        </r>
      </text>
    </comment>
    <comment ref="D986" authorId="0" shapeId="0" xr:uid="{00000000-0006-0000-0D00-0000BE030000}">
      <text>
        <r>
          <rPr>
            <sz val="9"/>
            <color indexed="81"/>
            <rFont val="ＭＳ Ｐゴシック"/>
            <family val="3"/>
            <charset val="128"/>
          </rPr>
          <t>1：選択集計します。
0：選択しません。</t>
        </r>
      </text>
    </comment>
    <comment ref="D987" authorId="0" shapeId="0" xr:uid="{00000000-0006-0000-0D00-0000BF030000}">
      <text>
        <r>
          <rPr>
            <sz val="9"/>
            <color indexed="81"/>
            <rFont val="ＭＳ Ｐゴシック"/>
            <family val="3"/>
            <charset val="128"/>
          </rPr>
          <t>1：選択集計します。
0：選択しません。</t>
        </r>
      </text>
    </comment>
    <comment ref="D988" authorId="0" shapeId="0" xr:uid="{00000000-0006-0000-0D00-0000C0030000}">
      <text>
        <r>
          <rPr>
            <sz val="9"/>
            <color indexed="81"/>
            <rFont val="ＭＳ Ｐゴシック"/>
            <family val="3"/>
            <charset val="128"/>
          </rPr>
          <t>1：選択集計します。
0：選択しません。</t>
        </r>
      </text>
    </comment>
    <comment ref="D989" authorId="0" shapeId="0" xr:uid="{00000000-0006-0000-0D00-0000C1030000}">
      <text>
        <r>
          <rPr>
            <sz val="9"/>
            <color indexed="81"/>
            <rFont val="ＭＳ Ｐゴシック"/>
            <family val="3"/>
            <charset val="128"/>
          </rPr>
          <t>1：選択集計します。
0：選択しません。</t>
        </r>
      </text>
    </comment>
    <comment ref="D990" authorId="0" shapeId="0" xr:uid="{00000000-0006-0000-0D00-0000C2030000}">
      <text>
        <r>
          <rPr>
            <sz val="9"/>
            <color indexed="81"/>
            <rFont val="ＭＳ Ｐゴシック"/>
            <family val="3"/>
            <charset val="128"/>
          </rPr>
          <t>1：選択集計します。
0：選択しません。</t>
        </r>
      </text>
    </comment>
    <comment ref="D991" authorId="0" shapeId="0" xr:uid="{00000000-0006-0000-0D00-0000C3030000}">
      <text>
        <r>
          <rPr>
            <sz val="9"/>
            <color indexed="81"/>
            <rFont val="ＭＳ Ｐゴシック"/>
            <family val="3"/>
            <charset val="128"/>
          </rPr>
          <t>1：選択集計します。
0：選択しません。</t>
        </r>
      </text>
    </comment>
    <comment ref="D992" authorId="0" shapeId="0" xr:uid="{00000000-0006-0000-0D00-0000C4030000}">
      <text>
        <r>
          <rPr>
            <sz val="9"/>
            <color indexed="81"/>
            <rFont val="ＭＳ Ｐゴシック"/>
            <family val="3"/>
            <charset val="128"/>
          </rPr>
          <t>1：選択集計します。
0：選択しません。</t>
        </r>
      </text>
    </comment>
    <comment ref="D993" authorId="0" shapeId="0" xr:uid="{00000000-0006-0000-0D00-0000C5030000}">
      <text>
        <r>
          <rPr>
            <sz val="9"/>
            <color indexed="81"/>
            <rFont val="ＭＳ Ｐゴシック"/>
            <family val="3"/>
            <charset val="128"/>
          </rPr>
          <t>1：選択集計します。
0：選択しません。</t>
        </r>
      </text>
    </comment>
    <comment ref="D994" authorId="0" shapeId="0" xr:uid="{00000000-0006-0000-0D00-0000C6030000}">
      <text>
        <r>
          <rPr>
            <sz val="9"/>
            <color indexed="81"/>
            <rFont val="ＭＳ Ｐゴシック"/>
            <family val="3"/>
            <charset val="128"/>
          </rPr>
          <t>1：選択集計します。
0：選択しません。</t>
        </r>
      </text>
    </comment>
    <comment ref="D995" authorId="0" shapeId="0" xr:uid="{00000000-0006-0000-0D00-0000C7030000}">
      <text>
        <r>
          <rPr>
            <sz val="9"/>
            <color indexed="81"/>
            <rFont val="ＭＳ Ｐゴシック"/>
            <family val="3"/>
            <charset val="128"/>
          </rPr>
          <t>1：選択集計します。
0：選択しません。</t>
        </r>
      </text>
    </comment>
    <comment ref="D996" authorId="0" shapeId="0" xr:uid="{00000000-0006-0000-0D00-0000C8030000}">
      <text>
        <r>
          <rPr>
            <sz val="9"/>
            <color indexed="81"/>
            <rFont val="ＭＳ Ｐゴシック"/>
            <family val="3"/>
            <charset val="128"/>
          </rPr>
          <t>1：選択集計します。
0：選択しません。</t>
        </r>
      </text>
    </comment>
    <comment ref="D997" authorId="0" shapeId="0" xr:uid="{00000000-0006-0000-0D00-0000C9030000}">
      <text>
        <r>
          <rPr>
            <sz val="9"/>
            <color indexed="81"/>
            <rFont val="ＭＳ Ｐゴシック"/>
            <family val="3"/>
            <charset val="128"/>
          </rPr>
          <t>1：選択集計します。
0：選択しません。</t>
        </r>
      </text>
    </comment>
    <comment ref="D998" authorId="0" shapeId="0" xr:uid="{00000000-0006-0000-0D00-0000CA030000}">
      <text>
        <r>
          <rPr>
            <sz val="9"/>
            <color indexed="81"/>
            <rFont val="ＭＳ Ｐゴシック"/>
            <family val="3"/>
            <charset val="128"/>
          </rPr>
          <t>1：選択集計します。
0：選択しません。</t>
        </r>
      </text>
    </comment>
    <comment ref="D999" authorId="0" shapeId="0" xr:uid="{00000000-0006-0000-0D00-0000CB030000}">
      <text>
        <r>
          <rPr>
            <sz val="9"/>
            <color indexed="81"/>
            <rFont val="ＭＳ Ｐゴシック"/>
            <family val="3"/>
            <charset val="128"/>
          </rPr>
          <t>1：選択集計します。
0：選択しません。</t>
        </r>
      </text>
    </comment>
    <comment ref="D1000" authorId="0" shapeId="0" xr:uid="{00000000-0006-0000-0D00-0000CC030000}">
      <text>
        <r>
          <rPr>
            <sz val="9"/>
            <color indexed="81"/>
            <rFont val="ＭＳ Ｐゴシック"/>
            <family val="3"/>
            <charset val="128"/>
          </rPr>
          <t>1：選択集計します。
0：選択しません。</t>
        </r>
      </text>
    </comment>
    <comment ref="D1001" authorId="0" shapeId="0" xr:uid="{00000000-0006-0000-0D00-0000CD030000}">
      <text>
        <r>
          <rPr>
            <sz val="9"/>
            <color indexed="81"/>
            <rFont val="ＭＳ Ｐゴシック"/>
            <family val="3"/>
            <charset val="128"/>
          </rPr>
          <t>1：選択集計します。
0：選択しません。</t>
        </r>
      </text>
    </comment>
    <comment ref="D1002" authorId="0" shapeId="0" xr:uid="{00000000-0006-0000-0D00-0000CE030000}">
      <text>
        <r>
          <rPr>
            <sz val="9"/>
            <color indexed="81"/>
            <rFont val="ＭＳ Ｐゴシック"/>
            <family val="3"/>
            <charset val="128"/>
          </rPr>
          <t>1：選択集計します。
0：選択しません。</t>
        </r>
      </text>
    </comment>
    <comment ref="D1003" authorId="0" shapeId="0" xr:uid="{00000000-0006-0000-0D00-0000CF030000}">
      <text>
        <r>
          <rPr>
            <sz val="9"/>
            <color indexed="81"/>
            <rFont val="ＭＳ Ｐゴシック"/>
            <family val="3"/>
            <charset val="128"/>
          </rPr>
          <t>1：選択集計します。
0：選択しません。</t>
        </r>
      </text>
    </comment>
    <comment ref="D1004" authorId="0" shapeId="0" xr:uid="{00000000-0006-0000-0D00-0000D0030000}">
      <text>
        <r>
          <rPr>
            <sz val="9"/>
            <color indexed="81"/>
            <rFont val="ＭＳ Ｐゴシック"/>
            <family val="3"/>
            <charset val="128"/>
          </rPr>
          <t>1：選択集計します。
0：選択しません。</t>
        </r>
      </text>
    </comment>
    <comment ref="D1005" authorId="0" shapeId="0" xr:uid="{00000000-0006-0000-0D00-0000D1030000}">
      <text>
        <r>
          <rPr>
            <sz val="9"/>
            <color indexed="81"/>
            <rFont val="ＭＳ Ｐゴシック"/>
            <family val="3"/>
            <charset val="128"/>
          </rPr>
          <t>1：選択集計します。
0：選択しません。</t>
        </r>
      </text>
    </comment>
    <comment ref="D1006" authorId="0" shapeId="0" xr:uid="{00000000-0006-0000-0D00-0000D2030000}">
      <text>
        <r>
          <rPr>
            <sz val="9"/>
            <color indexed="81"/>
            <rFont val="ＭＳ Ｐゴシック"/>
            <family val="3"/>
            <charset val="128"/>
          </rPr>
          <t>1：選択集計します。
0：選択しません。</t>
        </r>
      </text>
    </comment>
    <comment ref="D1007" authorId="0" shapeId="0" xr:uid="{00000000-0006-0000-0D00-0000D3030000}">
      <text>
        <r>
          <rPr>
            <sz val="9"/>
            <color indexed="81"/>
            <rFont val="ＭＳ Ｐゴシック"/>
            <family val="3"/>
            <charset val="128"/>
          </rPr>
          <t>1：選択集計します。
0：選択しません。</t>
        </r>
      </text>
    </comment>
    <comment ref="D1008" authorId="0" shapeId="0" xr:uid="{00000000-0006-0000-0D00-0000D4030000}">
      <text>
        <r>
          <rPr>
            <sz val="9"/>
            <color indexed="81"/>
            <rFont val="ＭＳ Ｐゴシック"/>
            <family val="3"/>
            <charset val="128"/>
          </rPr>
          <t>1：選択集計します。
0：選択しません。</t>
        </r>
      </text>
    </comment>
    <comment ref="D1009" authorId="0" shapeId="0" xr:uid="{00000000-0006-0000-0D00-0000D5030000}">
      <text>
        <r>
          <rPr>
            <sz val="9"/>
            <color indexed="81"/>
            <rFont val="ＭＳ Ｐゴシック"/>
            <family val="3"/>
            <charset val="128"/>
          </rPr>
          <t>1：選択集計します。
0：選択しません。</t>
        </r>
      </text>
    </comment>
    <comment ref="D1010" authorId="0" shapeId="0" xr:uid="{00000000-0006-0000-0D00-0000D6030000}">
      <text>
        <r>
          <rPr>
            <sz val="9"/>
            <color indexed="81"/>
            <rFont val="ＭＳ Ｐゴシック"/>
            <family val="3"/>
            <charset val="128"/>
          </rPr>
          <t>1：選択集計します。
0：選択しません。</t>
        </r>
      </text>
    </comment>
    <comment ref="D1011" authorId="0" shapeId="0" xr:uid="{00000000-0006-0000-0D00-0000D7030000}">
      <text>
        <r>
          <rPr>
            <sz val="9"/>
            <color indexed="81"/>
            <rFont val="ＭＳ Ｐゴシック"/>
            <family val="3"/>
            <charset val="128"/>
          </rPr>
          <t>1：選択集計します。
0：選択しません。</t>
        </r>
      </text>
    </comment>
    <comment ref="D1012" authorId="0" shapeId="0" xr:uid="{00000000-0006-0000-0D00-0000D8030000}">
      <text>
        <r>
          <rPr>
            <sz val="9"/>
            <color indexed="81"/>
            <rFont val="ＭＳ Ｐゴシック"/>
            <family val="3"/>
            <charset val="128"/>
          </rPr>
          <t>1：選択集計します。
0：選択しません。</t>
        </r>
      </text>
    </comment>
    <comment ref="D1013" authorId="0" shapeId="0" xr:uid="{00000000-0006-0000-0D00-0000D9030000}">
      <text>
        <r>
          <rPr>
            <sz val="9"/>
            <color indexed="81"/>
            <rFont val="ＭＳ Ｐゴシック"/>
            <family val="3"/>
            <charset val="128"/>
          </rPr>
          <t>1：選択集計します。
0：選択しません。</t>
        </r>
      </text>
    </comment>
    <comment ref="D1014" authorId="0" shapeId="0" xr:uid="{00000000-0006-0000-0D00-0000DA030000}">
      <text>
        <r>
          <rPr>
            <sz val="9"/>
            <color indexed="81"/>
            <rFont val="ＭＳ Ｐゴシック"/>
            <family val="3"/>
            <charset val="128"/>
          </rPr>
          <t>1：選択集計します。
0：選択しません。</t>
        </r>
      </text>
    </comment>
    <comment ref="D1015" authorId="0" shapeId="0" xr:uid="{00000000-0006-0000-0D00-0000DB030000}">
      <text>
        <r>
          <rPr>
            <sz val="9"/>
            <color indexed="81"/>
            <rFont val="ＭＳ Ｐゴシック"/>
            <family val="3"/>
            <charset val="128"/>
          </rPr>
          <t>1：選択集計します。
0：選択しません。</t>
        </r>
      </text>
    </comment>
    <comment ref="D1016" authorId="0" shapeId="0" xr:uid="{00000000-0006-0000-0D00-0000DC030000}">
      <text>
        <r>
          <rPr>
            <sz val="9"/>
            <color indexed="81"/>
            <rFont val="ＭＳ Ｐゴシック"/>
            <family val="3"/>
            <charset val="128"/>
          </rPr>
          <t>1：選択集計します。
0：選択しません。</t>
        </r>
      </text>
    </comment>
    <comment ref="D1017" authorId="0" shapeId="0" xr:uid="{00000000-0006-0000-0D00-0000DD030000}">
      <text>
        <r>
          <rPr>
            <sz val="9"/>
            <color indexed="81"/>
            <rFont val="ＭＳ Ｐゴシック"/>
            <family val="3"/>
            <charset val="128"/>
          </rPr>
          <t>1：選択集計します。
0：選択しません。</t>
        </r>
      </text>
    </comment>
    <comment ref="D1018" authorId="0" shapeId="0" xr:uid="{00000000-0006-0000-0D00-0000DE030000}">
      <text>
        <r>
          <rPr>
            <sz val="9"/>
            <color indexed="81"/>
            <rFont val="ＭＳ Ｐゴシック"/>
            <family val="3"/>
            <charset val="128"/>
          </rPr>
          <t>1：選択集計します。
0：選択しません。</t>
        </r>
      </text>
    </comment>
    <comment ref="D1019" authorId="0" shapeId="0" xr:uid="{00000000-0006-0000-0D00-0000DF030000}">
      <text>
        <r>
          <rPr>
            <sz val="9"/>
            <color indexed="81"/>
            <rFont val="ＭＳ Ｐゴシック"/>
            <family val="3"/>
            <charset val="128"/>
          </rPr>
          <t>1：選択集計します。
0：選択しません。</t>
        </r>
      </text>
    </comment>
    <comment ref="D1020" authorId="0" shapeId="0" xr:uid="{00000000-0006-0000-0D00-0000E0030000}">
      <text>
        <r>
          <rPr>
            <sz val="9"/>
            <color indexed="81"/>
            <rFont val="ＭＳ Ｐゴシック"/>
            <family val="3"/>
            <charset val="128"/>
          </rPr>
          <t>1：選択集計します。
0：選択しません。</t>
        </r>
      </text>
    </comment>
    <comment ref="D1021" authorId="0" shapeId="0" xr:uid="{00000000-0006-0000-0D00-0000E1030000}">
      <text>
        <r>
          <rPr>
            <sz val="9"/>
            <color indexed="81"/>
            <rFont val="ＭＳ Ｐゴシック"/>
            <family val="3"/>
            <charset val="128"/>
          </rPr>
          <t>1：選択集計します。
0：選択しません。</t>
        </r>
      </text>
    </comment>
    <comment ref="D1022" authorId="0" shapeId="0" xr:uid="{00000000-0006-0000-0D00-0000E2030000}">
      <text>
        <r>
          <rPr>
            <sz val="9"/>
            <color indexed="81"/>
            <rFont val="ＭＳ Ｐゴシック"/>
            <family val="3"/>
            <charset val="128"/>
          </rPr>
          <t>1：選択集計します。
0：選択しません。</t>
        </r>
      </text>
    </comment>
    <comment ref="D1023" authorId="0" shapeId="0" xr:uid="{00000000-0006-0000-0D00-0000E3030000}">
      <text>
        <r>
          <rPr>
            <sz val="9"/>
            <color indexed="81"/>
            <rFont val="ＭＳ Ｐゴシック"/>
            <family val="3"/>
            <charset val="128"/>
          </rPr>
          <t>1：選択集計します。
0：選択しません。</t>
        </r>
      </text>
    </comment>
    <comment ref="D1024" authorId="0" shapeId="0" xr:uid="{00000000-0006-0000-0D00-0000E4030000}">
      <text>
        <r>
          <rPr>
            <sz val="9"/>
            <color indexed="81"/>
            <rFont val="ＭＳ Ｐゴシック"/>
            <family val="3"/>
            <charset val="128"/>
          </rPr>
          <t>1：選択集計します。
0：選択しません。</t>
        </r>
      </text>
    </comment>
    <comment ref="D1025" authorId="0" shapeId="0" xr:uid="{00000000-0006-0000-0D00-0000E5030000}">
      <text>
        <r>
          <rPr>
            <sz val="9"/>
            <color indexed="81"/>
            <rFont val="ＭＳ Ｐゴシック"/>
            <family val="3"/>
            <charset val="128"/>
          </rPr>
          <t>1：選択集計します。
0：選択しません。</t>
        </r>
      </text>
    </comment>
    <comment ref="D1026" authorId="0" shapeId="0" xr:uid="{00000000-0006-0000-0D00-0000E6030000}">
      <text>
        <r>
          <rPr>
            <sz val="9"/>
            <color indexed="81"/>
            <rFont val="ＭＳ Ｐゴシック"/>
            <family val="3"/>
            <charset val="128"/>
          </rPr>
          <t>1：選択集計します。
0：選択しません。</t>
        </r>
      </text>
    </comment>
    <comment ref="H1029" authorId="0" shapeId="0" xr:uid="{00000000-0006-0000-0D00-0000E7030000}">
      <text>
        <r>
          <rPr>
            <sz val="9"/>
            <color indexed="81"/>
            <rFont val="ＭＳ Ｐゴシック"/>
            <family val="3"/>
            <charset val="128"/>
          </rPr>
          <t>選択列に 1 を入力した工類が集計されます。</t>
        </r>
      </text>
    </comment>
    <comment ref="D1030" authorId="0" shapeId="0" xr:uid="{00000000-0006-0000-0D00-0000E8030000}">
      <text>
        <r>
          <rPr>
            <sz val="9"/>
            <color indexed="81"/>
            <rFont val="ＭＳ Ｐゴシック"/>
            <family val="3"/>
            <charset val="128"/>
          </rPr>
          <t>1：選択集計します。
0：選択しません。</t>
        </r>
      </text>
    </comment>
    <comment ref="D1031" authorId="0" shapeId="0" xr:uid="{00000000-0006-0000-0D00-0000E9030000}">
      <text>
        <r>
          <rPr>
            <sz val="9"/>
            <color indexed="81"/>
            <rFont val="ＭＳ Ｐゴシック"/>
            <family val="3"/>
            <charset val="128"/>
          </rPr>
          <t>1：選択集計します。
0：選択しません。</t>
        </r>
      </text>
    </comment>
    <comment ref="D1032" authorId="0" shapeId="0" xr:uid="{00000000-0006-0000-0D00-0000EA030000}">
      <text>
        <r>
          <rPr>
            <sz val="9"/>
            <color indexed="81"/>
            <rFont val="ＭＳ Ｐゴシック"/>
            <family val="3"/>
            <charset val="128"/>
          </rPr>
          <t>1：選択集計します。
0：選択しません。</t>
        </r>
      </text>
    </comment>
    <comment ref="D1033" authorId="0" shapeId="0" xr:uid="{00000000-0006-0000-0D00-0000EB030000}">
      <text>
        <r>
          <rPr>
            <sz val="9"/>
            <color indexed="81"/>
            <rFont val="ＭＳ Ｐゴシック"/>
            <family val="3"/>
            <charset val="128"/>
          </rPr>
          <t>1：選択集計します。
0：選択しません。</t>
        </r>
      </text>
    </comment>
    <comment ref="D1034" authorId="0" shapeId="0" xr:uid="{00000000-0006-0000-0D00-0000EC030000}">
      <text>
        <r>
          <rPr>
            <sz val="9"/>
            <color indexed="81"/>
            <rFont val="ＭＳ Ｐゴシック"/>
            <family val="3"/>
            <charset val="128"/>
          </rPr>
          <t>1：選択集計します。
0：選択しません。</t>
        </r>
      </text>
    </comment>
    <comment ref="D1035" authorId="0" shapeId="0" xr:uid="{00000000-0006-0000-0D00-0000ED030000}">
      <text>
        <r>
          <rPr>
            <sz val="9"/>
            <color indexed="81"/>
            <rFont val="ＭＳ Ｐゴシック"/>
            <family val="3"/>
            <charset val="128"/>
          </rPr>
          <t>1：選択集計します。
0：選択しません。</t>
        </r>
      </text>
    </comment>
    <comment ref="D1036" authorId="0" shapeId="0" xr:uid="{00000000-0006-0000-0D00-0000EE030000}">
      <text>
        <r>
          <rPr>
            <sz val="9"/>
            <color indexed="81"/>
            <rFont val="ＭＳ Ｐゴシック"/>
            <family val="3"/>
            <charset val="128"/>
          </rPr>
          <t>1：選択集計します。
0：選択しません。</t>
        </r>
      </text>
    </comment>
    <comment ref="D1037" authorId="0" shapeId="0" xr:uid="{00000000-0006-0000-0D00-0000EF030000}">
      <text>
        <r>
          <rPr>
            <sz val="9"/>
            <color indexed="81"/>
            <rFont val="ＭＳ Ｐゴシック"/>
            <family val="3"/>
            <charset val="128"/>
          </rPr>
          <t>1：選択集計します。
0：選択しません。</t>
        </r>
      </text>
    </comment>
    <comment ref="D1038" authorId="0" shapeId="0" xr:uid="{00000000-0006-0000-0D00-0000F0030000}">
      <text>
        <r>
          <rPr>
            <sz val="9"/>
            <color indexed="81"/>
            <rFont val="ＭＳ Ｐゴシック"/>
            <family val="3"/>
            <charset val="128"/>
          </rPr>
          <t>1：選択集計します。
0：選択しません。</t>
        </r>
      </text>
    </comment>
    <comment ref="D1039" authorId="0" shapeId="0" xr:uid="{00000000-0006-0000-0D00-0000F1030000}">
      <text>
        <r>
          <rPr>
            <sz val="9"/>
            <color indexed="81"/>
            <rFont val="ＭＳ Ｐゴシック"/>
            <family val="3"/>
            <charset val="128"/>
          </rPr>
          <t>1：選択集計します。
0：選択しません。</t>
        </r>
      </text>
    </comment>
    <comment ref="D1040" authorId="0" shapeId="0" xr:uid="{00000000-0006-0000-0D00-0000F2030000}">
      <text>
        <r>
          <rPr>
            <sz val="9"/>
            <color indexed="81"/>
            <rFont val="ＭＳ Ｐゴシック"/>
            <family val="3"/>
            <charset val="128"/>
          </rPr>
          <t>1：選択集計します。
0：選択しません。</t>
        </r>
      </text>
    </comment>
    <comment ref="D1041" authorId="0" shapeId="0" xr:uid="{00000000-0006-0000-0D00-0000F3030000}">
      <text>
        <r>
          <rPr>
            <sz val="9"/>
            <color indexed="81"/>
            <rFont val="ＭＳ Ｐゴシック"/>
            <family val="3"/>
            <charset val="128"/>
          </rPr>
          <t>1：選択集計します。
0：選択しません。</t>
        </r>
      </text>
    </comment>
    <comment ref="D1042" authorId="0" shapeId="0" xr:uid="{00000000-0006-0000-0D00-0000F4030000}">
      <text>
        <r>
          <rPr>
            <sz val="9"/>
            <color indexed="81"/>
            <rFont val="ＭＳ Ｐゴシック"/>
            <family val="3"/>
            <charset val="128"/>
          </rPr>
          <t>1：選択集計します。
0：選択しません。</t>
        </r>
      </text>
    </comment>
    <comment ref="D1043" authorId="0" shapeId="0" xr:uid="{00000000-0006-0000-0D00-0000F5030000}">
      <text>
        <r>
          <rPr>
            <sz val="9"/>
            <color indexed="81"/>
            <rFont val="ＭＳ Ｐゴシック"/>
            <family val="3"/>
            <charset val="128"/>
          </rPr>
          <t>1：選択集計します。
0：選択しません。</t>
        </r>
      </text>
    </comment>
    <comment ref="D1044" authorId="0" shapeId="0" xr:uid="{00000000-0006-0000-0D00-0000F6030000}">
      <text>
        <r>
          <rPr>
            <sz val="9"/>
            <color indexed="81"/>
            <rFont val="ＭＳ Ｐゴシック"/>
            <family val="3"/>
            <charset val="128"/>
          </rPr>
          <t>1：選択集計します。
0：選択しません。</t>
        </r>
      </text>
    </comment>
    <comment ref="D1045" authorId="0" shapeId="0" xr:uid="{00000000-0006-0000-0D00-0000F7030000}">
      <text>
        <r>
          <rPr>
            <sz val="9"/>
            <color indexed="81"/>
            <rFont val="ＭＳ Ｐゴシック"/>
            <family val="3"/>
            <charset val="128"/>
          </rPr>
          <t>1：選択集計します。
0：選択しません。</t>
        </r>
      </text>
    </comment>
    <comment ref="D1046" authorId="0" shapeId="0" xr:uid="{00000000-0006-0000-0D00-0000F8030000}">
      <text>
        <r>
          <rPr>
            <sz val="9"/>
            <color indexed="81"/>
            <rFont val="ＭＳ Ｐゴシック"/>
            <family val="3"/>
            <charset val="128"/>
          </rPr>
          <t>1：選択集計します。
0：選択しません。</t>
        </r>
      </text>
    </comment>
    <comment ref="D1047" authorId="0" shapeId="0" xr:uid="{00000000-0006-0000-0D00-0000F9030000}">
      <text>
        <r>
          <rPr>
            <sz val="9"/>
            <color indexed="81"/>
            <rFont val="ＭＳ Ｐゴシック"/>
            <family val="3"/>
            <charset val="128"/>
          </rPr>
          <t>1：選択集計します。
0：選択しません。</t>
        </r>
      </text>
    </comment>
    <comment ref="D1048" authorId="0" shapeId="0" xr:uid="{00000000-0006-0000-0D00-0000FA030000}">
      <text>
        <r>
          <rPr>
            <sz val="9"/>
            <color indexed="81"/>
            <rFont val="ＭＳ Ｐゴシック"/>
            <family val="3"/>
            <charset val="128"/>
          </rPr>
          <t>1：選択集計します。
0：選択しません。</t>
        </r>
      </text>
    </comment>
    <comment ref="D1049" authorId="0" shapeId="0" xr:uid="{00000000-0006-0000-0D00-0000FB030000}">
      <text>
        <r>
          <rPr>
            <sz val="9"/>
            <color indexed="81"/>
            <rFont val="ＭＳ Ｐゴシック"/>
            <family val="3"/>
            <charset val="128"/>
          </rPr>
          <t>1：選択集計します。
0：選択しません。</t>
        </r>
      </text>
    </comment>
    <comment ref="D1050" authorId="0" shapeId="0" xr:uid="{00000000-0006-0000-0D00-0000FC030000}">
      <text>
        <r>
          <rPr>
            <sz val="9"/>
            <color indexed="81"/>
            <rFont val="ＭＳ Ｐゴシック"/>
            <family val="3"/>
            <charset val="128"/>
          </rPr>
          <t>1：選択集計します。
0：選択しません。</t>
        </r>
      </text>
    </comment>
    <comment ref="D1051" authorId="0" shapeId="0" xr:uid="{00000000-0006-0000-0D00-0000FD030000}">
      <text>
        <r>
          <rPr>
            <sz val="9"/>
            <color indexed="81"/>
            <rFont val="ＭＳ Ｐゴシック"/>
            <family val="3"/>
            <charset val="128"/>
          </rPr>
          <t>1：選択集計します。
0：選択しません。</t>
        </r>
      </text>
    </comment>
    <comment ref="D1052" authorId="0" shapeId="0" xr:uid="{00000000-0006-0000-0D00-0000FE030000}">
      <text>
        <r>
          <rPr>
            <sz val="9"/>
            <color indexed="81"/>
            <rFont val="ＭＳ Ｐゴシック"/>
            <family val="3"/>
            <charset val="128"/>
          </rPr>
          <t>1：選択集計します。
0：選択しません。</t>
        </r>
      </text>
    </comment>
    <comment ref="D1053" authorId="0" shapeId="0" xr:uid="{00000000-0006-0000-0D00-0000FF030000}">
      <text>
        <r>
          <rPr>
            <sz val="9"/>
            <color indexed="81"/>
            <rFont val="ＭＳ Ｐゴシック"/>
            <family val="3"/>
            <charset val="128"/>
          </rPr>
          <t>1：選択集計します。
0：選択しません。</t>
        </r>
      </text>
    </comment>
    <comment ref="D1054" authorId="0" shapeId="0" xr:uid="{00000000-0006-0000-0D00-000000040000}">
      <text>
        <r>
          <rPr>
            <sz val="9"/>
            <color indexed="81"/>
            <rFont val="ＭＳ Ｐゴシック"/>
            <family val="3"/>
            <charset val="128"/>
          </rPr>
          <t>1：選択集計します。
0：選択しません。</t>
        </r>
      </text>
    </comment>
    <comment ref="D1055" authorId="0" shapeId="0" xr:uid="{00000000-0006-0000-0D00-000001040000}">
      <text>
        <r>
          <rPr>
            <sz val="9"/>
            <color indexed="81"/>
            <rFont val="ＭＳ Ｐゴシック"/>
            <family val="3"/>
            <charset val="128"/>
          </rPr>
          <t>1：選択集計します。
0：選択しません。</t>
        </r>
      </text>
    </comment>
    <comment ref="D1056" authorId="0" shapeId="0" xr:uid="{00000000-0006-0000-0D00-000002040000}">
      <text>
        <r>
          <rPr>
            <sz val="9"/>
            <color indexed="81"/>
            <rFont val="ＭＳ Ｐゴシック"/>
            <family val="3"/>
            <charset val="128"/>
          </rPr>
          <t>1：選択集計します。
0：選択しません。</t>
        </r>
      </text>
    </comment>
    <comment ref="D1057" authorId="0" shapeId="0" xr:uid="{00000000-0006-0000-0D00-000003040000}">
      <text>
        <r>
          <rPr>
            <sz val="9"/>
            <color indexed="81"/>
            <rFont val="ＭＳ Ｐゴシック"/>
            <family val="3"/>
            <charset val="128"/>
          </rPr>
          <t>1：選択集計します。
0：選択しません。</t>
        </r>
      </text>
    </comment>
    <comment ref="D1058" authorId="0" shapeId="0" xr:uid="{00000000-0006-0000-0D00-000004040000}">
      <text>
        <r>
          <rPr>
            <sz val="9"/>
            <color indexed="81"/>
            <rFont val="ＭＳ Ｐゴシック"/>
            <family val="3"/>
            <charset val="128"/>
          </rPr>
          <t>1：選択集計します。
0：選択しません。</t>
        </r>
      </text>
    </comment>
    <comment ref="D1059" authorId="0" shapeId="0" xr:uid="{00000000-0006-0000-0D00-000005040000}">
      <text>
        <r>
          <rPr>
            <sz val="9"/>
            <color indexed="81"/>
            <rFont val="ＭＳ Ｐゴシック"/>
            <family val="3"/>
            <charset val="128"/>
          </rPr>
          <t>1：選択集計します。
0：選択しません。</t>
        </r>
      </text>
    </comment>
    <comment ref="D1060" authorId="0" shapeId="0" xr:uid="{00000000-0006-0000-0D00-000006040000}">
      <text>
        <r>
          <rPr>
            <sz val="9"/>
            <color indexed="81"/>
            <rFont val="ＭＳ Ｐゴシック"/>
            <family val="3"/>
            <charset val="128"/>
          </rPr>
          <t>1：選択集計します。
0：選択しません。</t>
        </r>
      </text>
    </comment>
    <comment ref="D1061" authorId="0" shapeId="0" xr:uid="{00000000-0006-0000-0D00-000007040000}">
      <text>
        <r>
          <rPr>
            <sz val="9"/>
            <color indexed="81"/>
            <rFont val="ＭＳ Ｐゴシック"/>
            <family val="3"/>
            <charset val="128"/>
          </rPr>
          <t>1：選択集計します。
0：選択しません。</t>
        </r>
      </text>
    </comment>
    <comment ref="D1062" authorId="0" shapeId="0" xr:uid="{00000000-0006-0000-0D00-000008040000}">
      <text>
        <r>
          <rPr>
            <sz val="9"/>
            <color indexed="81"/>
            <rFont val="ＭＳ Ｐゴシック"/>
            <family val="3"/>
            <charset val="128"/>
          </rPr>
          <t>1：選択集計します。
0：選択しません。</t>
        </r>
      </text>
    </comment>
    <comment ref="D1063" authorId="0" shapeId="0" xr:uid="{00000000-0006-0000-0D00-000009040000}">
      <text>
        <r>
          <rPr>
            <sz val="9"/>
            <color indexed="81"/>
            <rFont val="ＭＳ Ｐゴシック"/>
            <family val="3"/>
            <charset val="128"/>
          </rPr>
          <t>1：選択集計します。
0：選択しません。</t>
        </r>
      </text>
    </comment>
    <comment ref="D1064" authorId="0" shapeId="0" xr:uid="{00000000-0006-0000-0D00-00000A040000}">
      <text>
        <r>
          <rPr>
            <sz val="9"/>
            <color indexed="81"/>
            <rFont val="ＭＳ Ｐゴシック"/>
            <family val="3"/>
            <charset val="128"/>
          </rPr>
          <t>1：選択集計します。
0：選択しません。</t>
        </r>
      </text>
    </comment>
    <comment ref="D1065" authorId="0" shapeId="0" xr:uid="{00000000-0006-0000-0D00-00000B040000}">
      <text>
        <r>
          <rPr>
            <sz val="9"/>
            <color indexed="81"/>
            <rFont val="ＭＳ Ｐゴシック"/>
            <family val="3"/>
            <charset val="128"/>
          </rPr>
          <t>1：選択集計します。
0：選択しません。</t>
        </r>
      </text>
    </comment>
    <comment ref="D1066" authorId="0" shapeId="0" xr:uid="{00000000-0006-0000-0D00-00000C040000}">
      <text>
        <r>
          <rPr>
            <sz val="9"/>
            <color indexed="81"/>
            <rFont val="ＭＳ Ｐゴシック"/>
            <family val="3"/>
            <charset val="128"/>
          </rPr>
          <t>1：選択集計します。
0：選択しません。</t>
        </r>
      </text>
    </comment>
    <comment ref="D1067" authorId="0" shapeId="0" xr:uid="{00000000-0006-0000-0D00-00000D040000}">
      <text>
        <r>
          <rPr>
            <sz val="9"/>
            <color indexed="81"/>
            <rFont val="ＭＳ Ｐゴシック"/>
            <family val="3"/>
            <charset val="128"/>
          </rPr>
          <t>1：選択集計します。
0：選択しません。</t>
        </r>
      </text>
    </comment>
    <comment ref="D1068" authorId="0" shapeId="0" xr:uid="{00000000-0006-0000-0D00-00000E040000}">
      <text>
        <r>
          <rPr>
            <sz val="9"/>
            <color indexed="81"/>
            <rFont val="ＭＳ Ｐゴシック"/>
            <family val="3"/>
            <charset val="128"/>
          </rPr>
          <t>1：選択集計します。
0：選択しません。</t>
        </r>
      </text>
    </comment>
    <comment ref="D1069" authorId="0" shapeId="0" xr:uid="{00000000-0006-0000-0D00-00000F040000}">
      <text>
        <r>
          <rPr>
            <sz val="9"/>
            <color indexed="81"/>
            <rFont val="ＭＳ Ｐゴシック"/>
            <family val="3"/>
            <charset val="128"/>
          </rPr>
          <t>1：選択集計します。
0：選択しません。</t>
        </r>
      </text>
    </comment>
    <comment ref="D1070" authorId="0" shapeId="0" xr:uid="{00000000-0006-0000-0D00-000010040000}">
      <text>
        <r>
          <rPr>
            <sz val="9"/>
            <color indexed="81"/>
            <rFont val="ＭＳ Ｐゴシック"/>
            <family val="3"/>
            <charset val="128"/>
          </rPr>
          <t>1：選択集計します。
0：選択しません。</t>
        </r>
      </text>
    </comment>
    <comment ref="D1071" authorId="0" shapeId="0" xr:uid="{00000000-0006-0000-0D00-000011040000}">
      <text>
        <r>
          <rPr>
            <sz val="9"/>
            <color indexed="81"/>
            <rFont val="ＭＳ Ｐゴシック"/>
            <family val="3"/>
            <charset val="128"/>
          </rPr>
          <t>1：選択集計します。
0：選択しません。</t>
        </r>
      </text>
    </comment>
    <comment ref="D1072" authorId="0" shapeId="0" xr:uid="{00000000-0006-0000-0D00-000012040000}">
      <text>
        <r>
          <rPr>
            <sz val="9"/>
            <color indexed="81"/>
            <rFont val="ＭＳ Ｐゴシック"/>
            <family val="3"/>
            <charset val="128"/>
          </rPr>
          <t>1：選択集計します。
0：選択しません。</t>
        </r>
      </text>
    </comment>
    <comment ref="D1073" authorId="0" shapeId="0" xr:uid="{00000000-0006-0000-0D00-000013040000}">
      <text>
        <r>
          <rPr>
            <sz val="9"/>
            <color indexed="81"/>
            <rFont val="ＭＳ Ｐゴシック"/>
            <family val="3"/>
            <charset val="128"/>
          </rPr>
          <t>1：選択集計します。
0：選択しません。</t>
        </r>
      </text>
    </comment>
    <comment ref="D1074" authorId="0" shapeId="0" xr:uid="{00000000-0006-0000-0D00-000014040000}">
      <text>
        <r>
          <rPr>
            <sz val="9"/>
            <color indexed="81"/>
            <rFont val="ＭＳ Ｐゴシック"/>
            <family val="3"/>
            <charset val="128"/>
          </rPr>
          <t>1：選択集計します。
0：選択しません。</t>
        </r>
      </text>
    </comment>
    <comment ref="D1075" authorId="0" shapeId="0" xr:uid="{00000000-0006-0000-0D00-000015040000}">
      <text>
        <r>
          <rPr>
            <sz val="9"/>
            <color indexed="81"/>
            <rFont val="ＭＳ Ｐゴシック"/>
            <family val="3"/>
            <charset val="128"/>
          </rPr>
          <t>1：選択集計します。
0：選択しません。</t>
        </r>
      </text>
    </comment>
    <comment ref="D1076" authorId="0" shapeId="0" xr:uid="{00000000-0006-0000-0D00-000016040000}">
      <text>
        <r>
          <rPr>
            <sz val="9"/>
            <color indexed="81"/>
            <rFont val="ＭＳ Ｐゴシック"/>
            <family val="3"/>
            <charset val="128"/>
          </rPr>
          <t>1：選択集計します。
0：選択しません。</t>
        </r>
      </text>
    </comment>
    <comment ref="D1077" authorId="0" shapeId="0" xr:uid="{00000000-0006-0000-0D00-000017040000}">
      <text>
        <r>
          <rPr>
            <sz val="9"/>
            <color indexed="81"/>
            <rFont val="ＭＳ Ｐゴシック"/>
            <family val="3"/>
            <charset val="128"/>
          </rPr>
          <t>1：選択集計します。
0：選択しません。</t>
        </r>
      </text>
    </comment>
    <comment ref="D1078" authorId="0" shapeId="0" xr:uid="{00000000-0006-0000-0D00-000018040000}">
      <text>
        <r>
          <rPr>
            <sz val="9"/>
            <color indexed="81"/>
            <rFont val="ＭＳ Ｐゴシック"/>
            <family val="3"/>
            <charset val="128"/>
          </rPr>
          <t>1：選択集計します。
0：選択しません。</t>
        </r>
      </text>
    </comment>
    <comment ref="D1079" authorId="0" shapeId="0" xr:uid="{00000000-0006-0000-0D00-000019040000}">
      <text>
        <r>
          <rPr>
            <sz val="9"/>
            <color indexed="81"/>
            <rFont val="ＭＳ Ｐゴシック"/>
            <family val="3"/>
            <charset val="128"/>
          </rPr>
          <t>1：選択集計します。
0：選択しません。</t>
        </r>
      </text>
    </comment>
    <comment ref="D1080" authorId="0" shapeId="0" xr:uid="{00000000-0006-0000-0D00-00001A040000}">
      <text>
        <r>
          <rPr>
            <sz val="9"/>
            <color indexed="81"/>
            <rFont val="ＭＳ Ｐゴシック"/>
            <family val="3"/>
            <charset val="128"/>
          </rPr>
          <t>1：選択集計します。
0：選択しません。</t>
        </r>
      </text>
    </comment>
    <comment ref="D1081" authorId="0" shapeId="0" xr:uid="{00000000-0006-0000-0D00-00001B040000}">
      <text>
        <r>
          <rPr>
            <sz val="9"/>
            <color indexed="81"/>
            <rFont val="ＭＳ Ｐゴシック"/>
            <family val="3"/>
            <charset val="128"/>
          </rPr>
          <t>1：選択集計します。
0：選択しません。</t>
        </r>
      </text>
    </comment>
    <comment ref="D1082" authorId="0" shapeId="0" xr:uid="{00000000-0006-0000-0D00-00001C040000}">
      <text>
        <r>
          <rPr>
            <sz val="9"/>
            <color indexed="81"/>
            <rFont val="ＭＳ Ｐゴシック"/>
            <family val="3"/>
            <charset val="128"/>
          </rPr>
          <t>1：選択集計します。
0：選択しません。</t>
        </r>
      </text>
    </comment>
    <comment ref="D1083" authorId="0" shapeId="0" xr:uid="{00000000-0006-0000-0D00-00001D040000}">
      <text>
        <r>
          <rPr>
            <sz val="9"/>
            <color indexed="81"/>
            <rFont val="ＭＳ Ｐゴシック"/>
            <family val="3"/>
            <charset val="128"/>
          </rPr>
          <t>1：選択集計します。
0：選択しません。</t>
        </r>
      </text>
    </comment>
    <comment ref="D1084" authorId="0" shapeId="0" xr:uid="{00000000-0006-0000-0D00-00001E040000}">
      <text>
        <r>
          <rPr>
            <sz val="9"/>
            <color indexed="81"/>
            <rFont val="ＭＳ Ｐゴシック"/>
            <family val="3"/>
            <charset val="128"/>
          </rPr>
          <t>1：選択集計します。
0：選択しません。</t>
        </r>
      </text>
    </comment>
    <comment ref="D1085" authorId="0" shapeId="0" xr:uid="{00000000-0006-0000-0D00-00001F040000}">
      <text>
        <r>
          <rPr>
            <sz val="9"/>
            <color indexed="81"/>
            <rFont val="ＭＳ Ｐゴシック"/>
            <family val="3"/>
            <charset val="128"/>
          </rPr>
          <t>1：選択集計します。
0：選択しません。</t>
        </r>
      </text>
    </comment>
    <comment ref="D1086" authorId="0" shapeId="0" xr:uid="{00000000-0006-0000-0D00-000020040000}">
      <text>
        <r>
          <rPr>
            <sz val="9"/>
            <color indexed="81"/>
            <rFont val="ＭＳ Ｐゴシック"/>
            <family val="3"/>
            <charset val="128"/>
          </rPr>
          <t>1：選択集計します。
0：選択しません。</t>
        </r>
      </text>
    </comment>
    <comment ref="D1087" authorId="0" shapeId="0" xr:uid="{00000000-0006-0000-0D00-000021040000}">
      <text>
        <r>
          <rPr>
            <sz val="9"/>
            <color indexed="81"/>
            <rFont val="ＭＳ Ｐゴシック"/>
            <family val="3"/>
            <charset val="128"/>
          </rPr>
          <t>1：選択集計します。
0：選択しません。</t>
        </r>
      </text>
    </comment>
    <comment ref="D1088" authorId="0" shapeId="0" xr:uid="{00000000-0006-0000-0D00-000022040000}">
      <text>
        <r>
          <rPr>
            <sz val="9"/>
            <color indexed="81"/>
            <rFont val="ＭＳ Ｐゴシック"/>
            <family val="3"/>
            <charset val="128"/>
          </rPr>
          <t>1：選択集計します。
0：選択しません。</t>
        </r>
      </text>
    </comment>
    <comment ref="D1089" authorId="0" shapeId="0" xr:uid="{00000000-0006-0000-0D00-000023040000}">
      <text>
        <r>
          <rPr>
            <sz val="9"/>
            <color indexed="81"/>
            <rFont val="ＭＳ Ｐゴシック"/>
            <family val="3"/>
            <charset val="128"/>
          </rPr>
          <t>1：選択集計します。
0：選択しません。</t>
        </r>
      </text>
    </comment>
    <comment ref="D1090" authorId="0" shapeId="0" xr:uid="{00000000-0006-0000-0D00-000024040000}">
      <text>
        <r>
          <rPr>
            <sz val="9"/>
            <color indexed="81"/>
            <rFont val="ＭＳ Ｐゴシック"/>
            <family val="3"/>
            <charset val="128"/>
          </rPr>
          <t>1：選択集計します。
0：選択しません。</t>
        </r>
      </text>
    </comment>
    <comment ref="D1091" authorId="0" shapeId="0" xr:uid="{00000000-0006-0000-0D00-000025040000}">
      <text>
        <r>
          <rPr>
            <sz val="9"/>
            <color indexed="81"/>
            <rFont val="ＭＳ Ｐゴシック"/>
            <family val="3"/>
            <charset val="128"/>
          </rPr>
          <t>1：選択集計します。
0：選択しません。</t>
        </r>
      </text>
    </comment>
    <comment ref="D1092" authorId="0" shapeId="0" xr:uid="{00000000-0006-0000-0D00-000026040000}">
      <text>
        <r>
          <rPr>
            <sz val="9"/>
            <color indexed="81"/>
            <rFont val="ＭＳ Ｐゴシック"/>
            <family val="3"/>
            <charset val="128"/>
          </rPr>
          <t>1：選択集計します。
0：選択しません。</t>
        </r>
      </text>
    </comment>
    <comment ref="D1093" authorId="0" shapeId="0" xr:uid="{00000000-0006-0000-0D00-000027040000}">
      <text>
        <r>
          <rPr>
            <sz val="9"/>
            <color indexed="81"/>
            <rFont val="ＭＳ Ｐゴシック"/>
            <family val="3"/>
            <charset val="128"/>
          </rPr>
          <t>1：選択集計します。
0：選択しません。</t>
        </r>
      </text>
    </comment>
    <comment ref="D1094" authorId="0" shapeId="0" xr:uid="{00000000-0006-0000-0D00-000028040000}">
      <text>
        <r>
          <rPr>
            <sz val="9"/>
            <color indexed="81"/>
            <rFont val="ＭＳ Ｐゴシック"/>
            <family val="3"/>
            <charset val="128"/>
          </rPr>
          <t>1：選択集計します。
0：選択しません。</t>
        </r>
      </text>
    </comment>
    <comment ref="D1095" authorId="0" shapeId="0" xr:uid="{00000000-0006-0000-0D00-000029040000}">
      <text>
        <r>
          <rPr>
            <sz val="9"/>
            <color indexed="81"/>
            <rFont val="ＭＳ Ｐゴシック"/>
            <family val="3"/>
            <charset val="128"/>
          </rPr>
          <t>1：選択集計します。
0：選択しません。</t>
        </r>
      </text>
    </comment>
    <comment ref="D1096" authorId="0" shapeId="0" xr:uid="{00000000-0006-0000-0D00-00002A040000}">
      <text>
        <r>
          <rPr>
            <sz val="9"/>
            <color indexed="81"/>
            <rFont val="ＭＳ Ｐゴシック"/>
            <family val="3"/>
            <charset val="128"/>
          </rPr>
          <t>1：選択集計します。
0：選択しません。</t>
        </r>
      </text>
    </comment>
    <comment ref="D1097" authorId="0" shapeId="0" xr:uid="{00000000-0006-0000-0D00-00002B040000}">
      <text>
        <r>
          <rPr>
            <sz val="9"/>
            <color indexed="81"/>
            <rFont val="ＭＳ Ｐゴシック"/>
            <family val="3"/>
            <charset val="128"/>
          </rPr>
          <t>1：選択集計します。
0：選択しません。</t>
        </r>
      </text>
    </comment>
    <comment ref="D1098" authorId="0" shapeId="0" xr:uid="{00000000-0006-0000-0D00-00002C040000}">
      <text>
        <r>
          <rPr>
            <sz val="9"/>
            <color indexed="81"/>
            <rFont val="ＭＳ Ｐゴシック"/>
            <family val="3"/>
            <charset val="128"/>
          </rPr>
          <t>1：選択集計します。
0：選択しません。</t>
        </r>
      </text>
    </comment>
    <comment ref="D1099" authorId="0" shapeId="0" xr:uid="{00000000-0006-0000-0D00-00002D040000}">
      <text>
        <r>
          <rPr>
            <sz val="9"/>
            <color indexed="81"/>
            <rFont val="ＭＳ Ｐゴシック"/>
            <family val="3"/>
            <charset val="128"/>
          </rPr>
          <t>1：選択集計します。
0：選択しません。</t>
        </r>
      </text>
    </comment>
    <comment ref="D1100" authorId="0" shapeId="0" xr:uid="{00000000-0006-0000-0D00-00002E040000}">
      <text>
        <r>
          <rPr>
            <sz val="9"/>
            <color indexed="81"/>
            <rFont val="ＭＳ Ｐゴシック"/>
            <family val="3"/>
            <charset val="128"/>
          </rPr>
          <t>1：選択集計します。
0：選択しません。</t>
        </r>
      </text>
    </comment>
    <comment ref="D1101" authorId="0" shapeId="0" xr:uid="{00000000-0006-0000-0D00-00002F040000}">
      <text>
        <r>
          <rPr>
            <sz val="9"/>
            <color indexed="81"/>
            <rFont val="ＭＳ Ｐゴシック"/>
            <family val="3"/>
            <charset val="128"/>
          </rPr>
          <t>1：選択集計します。
0：選択しません。</t>
        </r>
      </text>
    </comment>
    <comment ref="D1102" authorId="0" shapeId="0" xr:uid="{00000000-0006-0000-0D00-000030040000}">
      <text>
        <r>
          <rPr>
            <sz val="9"/>
            <color indexed="81"/>
            <rFont val="ＭＳ Ｐゴシック"/>
            <family val="3"/>
            <charset val="128"/>
          </rPr>
          <t>1：選択集計します。
0：選択しません。</t>
        </r>
      </text>
    </comment>
    <comment ref="D1103" authorId="0" shapeId="0" xr:uid="{00000000-0006-0000-0D00-000031040000}">
      <text>
        <r>
          <rPr>
            <sz val="9"/>
            <color indexed="81"/>
            <rFont val="ＭＳ Ｐゴシック"/>
            <family val="3"/>
            <charset val="128"/>
          </rPr>
          <t>1：選択集計します。
0：選択しません。</t>
        </r>
      </text>
    </comment>
    <comment ref="D1104" authorId="0" shapeId="0" xr:uid="{00000000-0006-0000-0D00-000032040000}">
      <text>
        <r>
          <rPr>
            <sz val="9"/>
            <color indexed="81"/>
            <rFont val="ＭＳ Ｐゴシック"/>
            <family val="3"/>
            <charset val="128"/>
          </rPr>
          <t>1：選択集計します。
0：選択しません。</t>
        </r>
      </text>
    </comment>
    <comment ref="D1105" authorId="0" shapeId="0" xr:uid="{00000000-0006-0000-0D00-000033040000}">
      <text>
        <r>
          <rPr>
            <sz val="9"/>
            <color indexed="81"/>
            <rFont val="ＭＳ Ｐゴシック"/>
            <family val="3"/>
            <charset val="128"/>
          </rPr>
          <t>1：選択集計します。
0：選択しません。</t>
        </r>
      </text>
    </comment>
    <comment ref="D1106" authorId="0" shapeId="0" xr:uid="{00000000-0006-0000-0D00-000034040000}">
      <text>
        <r>
          <rPr>
            <sz val="9"/>
            <color indexed="81"/>
            <rFont val="ＭＳ Ｐゴシック"/>
            <family val="3"/>
            <charset val="128"/>
          </rPr>
          <t>1：選択集計します。
0：選択しません。</t>
        </r>
      </text>
    </comment>
    <comment ref="D1107" authorId="0" shapeId="0" xr:uid="{00000000-0006-0000-0D00-000035040000}">
      <text>
        <r>
          <rPr>
            <sz val="9"/>
            <color indexed="81"/>
            <rFont val="ＭＳ Ｐゴシック"/>
            <family val="3"/>
            <charset val="128"/>
          </rPr>
          <t>1：選択集計します。
0：選択しません。</t>
        </r>
      </text>
    </comment>
    <comment ref="D1108" authorId="0" shapeId="0" xr:uid="{00000000-0006-0000-0D00-000036040000}">
      <text>
        <r>
          <rPr>
            <sz val="9"/>
            <color indexed="81"/>
            <rFont val="ＭＳ Ｐゴシック"/>
            <family val="3"/>
            <charset val="128"/>
          </rPr>
          <t>1：選択集計します。
0：選択しません。</t>
        </r>
      </text>
    </comment>
    <comment ref="D1109" authorId="0" shapeId="0" xr:uid="{00000000-0006-0000-0D00-000037040000}">
      <text>
        <r>
          <rPr>
            <sz val="9"/>
            <color indexed="81"/>
            <rFont val="ＭＳ Ｐゴシック"/>
            <family val="3"/>
            <charset val="128"/>
          </rPr>
          <t>1：選択集計します。
0：選択しません。</t>
        </r>
      </text>
    </comment>
    <comment ref="D1110" authorId="0" shapeId="0" xr:uid="{00000000-0006-0000-0D00-000038040000}">
      <text>
        <r>
          <rPr>
            <sz val="9"/>
            <color indexed="81"/>
            <rFont val="ＭＳ Ｐゴシック"/>
            <family val="3"/>
            <charset val="128"/>
          </rPr>
          <t>1：選択集計します。
0：選択しません。</t>
        </r>
      </text>
    </comment>
    <comment ref="D1111" authorId="0" shapeId="0" xr:uid="{00000000-0006-0000-0D00-000039040000}">
      <text>
        <r>
          <rPr>
            <sz val="9"/>
            <color indexed="81"/>
            <rFont val="ＭＳ Ｐゴシック"/>
            <family val="3"/>
            <charset val="128"/>
          </rPr>
          <t>1：選択集計します。
0：選択しません。</t>
        </r>
      </text>
    </comment>
    <comment ref="H1114" authorId="0" shapeId="0" xr:uid="{00000000-0006-0000-0D00-00003A040000}">
      <text>
        <r>
          <rPr>
            <sz val="9"/>
            <color indexed="81"/>
            <rFont val="ＭＳ Ｐゴシック"/>
            <family val="3"/>
            <charset val="128"/>
          </rPr>
          <t>選択列に 1 を入力した工類が集計されます。</t>
        </r>
      </text>
    </comment>
    <comment ref="D1115" authorId="0" shapeId="0" xr:uid="{00000000-0006-0000-0D00-00003B040000}">
      <text>
        <r>
          <rPr>
            <sz val="9"/>
            <color indexed="81"/>
            <rFont val="ＭＳ Ｐゴシック"/>
            <family val="3"/>
            <charset val="128"/>
          </rPr>
          <t>1：選択集計します。
0：選択しません。</t>
        </r>
      </text>
    </comment>
    <comment ref="D1116" authorId="0" shapeId="0" xr:uid="{00000000-0006-0000-0D00-00003C040000}">
      <text>
        <r>
          <rPr>
            <sz val="9"/>
            <color indexed="81"/>
            <rFont val="ＭＳ Ｐゴシック"/>
            <family val="3"/>
            <charset val="128"/>
          </rPr>
          <t>1：選択集計します。
0：選択しません。</t>
        </r>
      </text>
    </comment>
    <comment ref="D1117" authorId="0" shapeId="0" xr:uid="{00000000-0006-0000-0D00-00003D040000}">
      <text>
        <r>
          <rPr>
            <sz val="9"/>
            <color indexed="81"/>
            <rFont val="ＭＳ Ｐゴシック"/>
            <family val="3"/>
            <charset val="128"/>
          </rPr>
          <t>1：選択集計します。
0：選択しません。</t>
        </r>
      </text>
    </comment>
    <comment ref="D1118" authorId="0" shapeId="0" xr:uid="{00000000-0006-0000-0D00-00003E040000}">
      <text>
        <r>
          <rPr>
            <sz val="9"/>
            <color indexed="81"/>
            <rFont val="ＭＳ Ｐゴシック"/>
            <family val="3"/>
            <charset val="128"/>
          </rPr>
          <t>1：選択集計します。
0：選択しません。</t>
        </r>
      </text>
    </comment>
    <comment ref="D1119" authorId="0" shapeId="0" xr:uid="{00000000-0006-0000-0D00-00003F040000}">
      <text>
        <r>
          <rPr>
            <sz val="9"/>
            <color indexed="81"/>
            <rFont val="ＭＳ Ｐゴシック"/>
            <family val="3"/>
            <charset val="128"/>
          </rPr>
          <t>1：選択集計します。
0：選択しません。</t>
        </r>
      </text>
    </comment>
    <comment ref="D1120" authorId="0" shapeId="0" xr:uid="{00000000-0006-0000-0D00-000040040000}">
      <text>
        <r>
          <rPr>
            <sz val="9"/>
            <color indexed="81"/>
            <rFont val="ＭＳ Ｐゴシック"/>
            <family val="3"/>
            <charset val="128"/>
          </rPr>
          <t>1：選択集計します。
0：選択しません。</t>
        </r>
      </text>
    </comment>
    <comment ref="D1121" authorId="0" shapeId="0" xr:uid="{00000000-0006-0000-0D00-000041040000}">
      <text>
        <r>
          <rPr>
            <sz val="9"/>
            <color indexed="81"/>
            <rFont val="ＭＳ Ｐゴシック"/>
            <family val="3"/>
            <charset val="128"/>
          </rPr>
          <t>1：選択集計します。
0：選択しません。</t>
        </r>
      </text>
    </comment>
    <comment ref="D1122" authorId="0" shapeId="0" xr:uid="{00000000-0006-0000-0D00-000042040000}">
      <text>
        <r>
          <rPr>
            <sz val="9"/>
            <color indexed="81"/>
            <rFont val="ＭＳ Ｐゴシック"/>
            <family val="3"/>
            <charset val="128"/>
          </rPr>
          <t>1：選択集計します。
0：選択しません。</t>
        </r>
      </text>
    </comment>
    <comment ref="D1123" authorId="0" shapeId="0" xr:uid="{00000000-0006-0000-0D00-000043040000}">
      <text>
        <r>
          <rPr>
            <sz val="9"/>
            <color indexed="81"/>
            <rFont val="ＭＳ Ｐゴシック"/>
            <family val="3"/>
            <charset val="128"/>
          </rPr>
          <t>1：選択集計します。
0：選択しません。</t>
        </r>
      </text>
    </comment>
    <comment ref="D1124" authorId="0" shapeId="0" xr:uid="{00000000-0006-0000-0D00-000044040000}">
      <text>
        <r>
          <rPr>
            <sz val="9"/>
            <color indexed="81"/>
            <rFont val="ＭＳ Ｐゴシック"/>
            <family val="3"/>
            <charset val="128"/>
          </rPr>
          <t>1：選択集計します。
0：選択しません。</t>
        </r>
      </text>
    </comment>
    <comment ref="D1125" authorId="0" shapeId="0" xr:uid="{00000000-0006-0000-0D00-000045040000}">
      <text>
        <r>
          <rPr>
            <sz val="9"/>
            <color indexed="81"/>
            <rFont val="ＭＳ Ｐゴシック"/>
            <family val="3"/>
            <charset val="128"/>
          </rPr>
          <t>1：選択集計します。
0：選択しません。</t>
        </r>
      </text>
    </comment>
    <comment ref="D1126" authorId="0" shapeId="0" xr:uid="{00000000-0006-0000-0D00-000046040000}">
      <text>
        <r>
          <rPr>
            <sz val="9"/>
            <color indexed="81"/>
            <rFont val="ＭＳ Ｐゴシック"/>
            <family val="3"/>
            <charset val="128"/>
          </rPr>
          <t>1：選択集計します。
0：選択しません。</t>
        </r>
      </text>
    </comment>
    <comment ref="D1127" authorId="0" shapeId="0" xr:uid="{00000000-0006-0000-0D00-000047040000}">
      <text>
        <r>
          <rPr>
            <sz val="9"/>
            <color indexed="81"/>
            <rFont val="ＭＳ Ｐゴシック"/>
            <family val="3"/>
            <charset val="128"/>
          </rPr>
          <t>1：選択集計します。
0：選択しません。</t>
        </r>
      </text>
    </comment>
    <comment ref="D1128" authorId="0" shapeId="0" xr:uid="{00000000-0006-0000-0D00-000048040000}">
      <text>
        <r>
          <rPr>
            <sz val="9"/>
            <color indexed="81"/>
            <rFont val="ＭＳ Ｐゴシック"/>
            <family val="3"/>
            <charset val="128"/>
          </rPr>
          <t>1：選択集計します。
0：選択しません。</t>
        </r>
      </text>
    </comment>
    <comment ref="D1129" authorId="0" shapeId="0" xr:uid="{00000000-0006-0000-0D00-000049040000}">
      <text>
        <r>
          <rPr>
            <sz val="9"/>
            <color indexed="81"/>
            <rFont val="ＭＳ Ｐゴシック"/>
            <family val="3"/>
            <charset val="128"/>
          </rPr>
          <t>1：選択集計します。
0：選択しません。</t>
        </r>
      </text>
    </comment>
    <comment ref="D1130" authorId="0" shapeId="0" xr:uid="{00000000-0006-0000-0D00-00004A040000}">
      <text>
        <r>
          <rPr>
            <sz val="9"/>
            <color indexed="81"/>
            <rFont val="ＭＳ Ｐゴシック"/>
            <family val="3"/>
            <charset val="128"/>
          </rPr>
          <t>1：選択集計します。
0：選択しません。</t>
        </r>
      </text>
    </comment>
    <comment ref="D1131" authorId="0" shapeId="0" xr:uid="{00000000-0006-0000-0D00-00004B040000}">
      <text>
        <r>
          <rPr>
            <sz val="9"/>
            <color indexed="81"/>
            <rFont val="ＭＳ Ｐゴシック"/>
            <family val="3"/>
            <charset val="128"/>
          </rPr>
          <t>1：選択集計します。
0：選択しません。</t>
        </r>
      </text>
    </comment>
    <comment ref="D1132" authorId="0" shapeId="0" xr:uid="{00000000-0006-0000-0D00-00004C040000}">
      <text>
        <r>
          <rPr>
            <sz val="9"/>
            <color indexed="81"/>
            <rFont val="ＭＳ Ｐゴシック"/>
            <family val="3"/>
            <charset val="128"/>
          </rPr>
          <t>1：選択集計します。
0：選択しません。</t>
        </r>
      </text>
    </comment>
    <comment ref="D1133" authorId="0" shapeId="0" xr:uid="{00000000-0006-0000-0D00-00004D040000}">
      <text>
        <r>
          <rPr>
            <sz val="9"/>
            <color indexed="81"/>
            <rFont val="ＭＳ Ｐゴシック"/>
            <family val="3"/>
            <charset val="128"/>
          </rPr>
          <t>1：選択集計します。
0：選択しません。</t>
        </r>
      </text>
    </comment>
    <comment ref="D1134" authorId="0" shapeId="0" xr:uid="{00000000-0006-0000-0D00-00004E040000}">
      <text>
        <r>
          <rPr>
            <sz val="9"/>
            <color indexed="81"/>
            <rFont val="ＭＳ Ｐゴシック"/>
            <family val="3"/>
            <charset val="128"/>
          </rPr>
          <t>1：選択集計します。
0：選択しません。</t>
        </r>
      </text>
    </comment>
    <comment ref="D1135" authorId="0" shapeId="0" xr:uid="{00000000-0006-0000-0D00-00004F040000}">
      <text>
        <r>
          <rPr>
            <sz val="9"/>
            <color indexed="81"/>
            <rFont val="ＭＳ Ｐゴシック"/>
            <family val="3"/>
            <charset val="128"/>
          </rPr>
          <t>1：選択集計します。
0：選択しません。</t>
        </r>
      </text>
    </comment>
    <comment ref="D1136" authorId="0" shapeId="0" xr:uid="{00000000-0006-0000-0D00-000050040000}">
      <text>
        <r>
          <rPr>
            <sz val="9"/>
            <color indexed="81"/>
            <rFont val="ＭＳ Ｐゴシック"/>
            <family val="3"/>
            <charset val="128"/>
          </rPr>
          <t>1：選択集計します。
0：選択しません。</t>
        </r>
      </text>
    </comment>
    <comment ref="D1137" authorId="0" shapeId="0" xr:uid="{00000000-0006-0000-0D00-000051040000}">
      <text>
        <r>
          <rPr>
            <sz val="9"/>
            <color indexed="81"/>
            <rFont val="ＭＳ Ｐゴシック"/>
            <family val="3"/>
            <charset val="128"/>
          </rPr>
          <t>1：選択集計します。
0：選択しません。</t>
        </r>
      </text>
    </comment>
    <comment ref="D1138" authorId="0" shapeId="0" xr:uid="{00000000-0006-0000-0D00-000052040000}">
      <text>
        <r>
          <rPr>
            <sz val="9"/>
            <color indexed="81"/>
            <rFont val="ＭＳ Ｐゴシック"/>
            <family val="3"/>
            <charset val="128"/>
          </rPr>
          <t>1：選択集計します。
0：選択しません。</t>
        </r>
      </text>
    </comment>
    <comment ref="D1139" authorId="0" shapeId="0" xr:uid="{00000000-0006-0000-0D00-000053040000}">
      <text>
        <r>
          <rPr>
            <sz val="9"/>
            <color indexed="81"/>
            <rFont val="ＭＳ Ｐゴシック"/>
            <family val="3"/>
            <charset val="128"/>
          </rPr>
          <t>1：選択集計します。
0：選択しません。</t>
        </r>
      </text>
    </comment>
    <comment ref="D1140" authorId="0" shapeId="0" xr:uid="{00000000-0006-0000-0D00-000054040000}">
      <text>
        <r>
          <rPr>
            <sz val="9"/>
            <color indexed="81"/>
            <rFont val="ＭＳ Ｐゴシック"/>
            <family val="3"/>
            <charset val="128"/>
          </rPr>
          <t>1：選択集計します。
0：選択しません。</t>
        </r>
      </text>
    </comment>
    <comment ref="D1141" authorId="0" shapeId="0" xr:uid="{00000000-0006-0000-0D00-000055040000}">
      <text>
        <r>
          <rPr>
            <sz val="9"/>
            <color indexed="81"/>
            <rFont val="ＭＳ Ｐゴシック"/>
            <family val="3"/>
            <charset val="128"/>
          </rPr>
          <t>1：選択集計します。
0：選択しません。</t>
        </r>
      </text>
    </comment>
    <comment ref="D1142" authorId="0" shapeId="0" xr:uid="{00000000-0006-0000-0D00-000056040000}">
      <text>
        <r>
          <rPr>
            <sz val="9"/>
            <color indexed="81"/>
            <rFont val="ＭＳ Ｐゴシック"/>
            <family val="3"/>
            <charset val="128"/>
          </rPr>
          <t>1：選択集計します。
0：選択しません。</t>
        </r>
      </text>
    </comment>
    <comment ref="D1143" authorId="0" shapeId="0" xr:uid="{00000000-0006-0000-0D00-000057040000}">
      <text>
        <r>
          <rPr>
            <sz val="9"/>
            <color indexed="81"/>
            <rFont val="ＭＳ Ｐゴシック"/>
            <family val="3"/>
            <charset val="128"/>
          </rPr>
          <t>1：選択集計します。
0：選択しません。</t>
        </r>
      </text>
    </comment>
    <comment ref="D1144" authorId="0" shapeId="0" xr:uid="{00000000-0006-0000-0D00-000058040000}">
      <text>
        <r>
          <rPr>
            <sz val="9"/>
            <color indexed="81"/>
            <rFont val="ＭＳ Ｐゴシック"/>
            <family val="3"/>
            <charset val="128"/>
          </rPr>
          <t>1：選択集計します。
0：選択しません。</t>
        </r>
      </text>
    </comment>
    <comment ref="D1145" authorId="0" shapeId="0" xr:uid="{00000000-0006-0000-0D00-000059040000}">
      <text>
        <r>
          <rPr>
            <sz val="9"/>
            <color indexed="81"/>
            <rFont val="ＭＳ Ｐゴシック"/>
            <family val="3"/>
            <charset val="128"/>
          </rPr>
          <t>1：選択集計します。
0：選択しません。</t>
        </r>
      </text>
    </comment>
    <comment ref="D1146" authorId="0" shapeId="0" xr:uid="{00000000-0006-0000-0D00-00005A040000}">
      <text>
        <r>
          <rPr>
            <sz val="9"/>
            <color indexed="81"/>
            <rFont val="ＭＳ Ｐゴシック"/>
            <family val="3"/>
            <charset val="128"/>
          </rPr>
          <t>1：選択集計します。
0：選択しません。</t>
        </r>
      </text>
    </comment>
    <comment ref="D1147" authorId="0" shapeId="0" xr:uid="{00000000-0006-0000-0D00-00005B040000}">
      <text>
        <r>
          <rPr>
            <sz val="9"/>
            <color indexed="81"/>
            <rFont val="ＭＳ Ｐゴシック"/>
            <family val="3"/>
            <charset val="128"/>
          </rPr>
          <t>1：選択集計します。
0：選択しません。</t>
        </r>
      </text>
    </comment>
    <comment ref="D1148" authorId="0" shapeId="0" xr:uid="{00000000-0006-0000-0D00-00005C040000}">
      <text>
        <r>
          <rPr>
            <sz val="9"/>
            <color indexed="81"/>
            <rFont val="ＭＳ Ｐゴシック"/>
            <family val="3"/>
            <charset val="128"/>
          </rPr>
          <t>1：選択集計します。
0：選択しません。</t>
        </r>
      </text>
    </comment>
    <comment ref="D1149" authorId="0" shapeId="0" xr:uid="{00000000-0006-0000-0D00-00005D040000}">
      <text>
        <r>
          <rPr>
            <sz val="9"/>
            <color indexed="81"/>
            <rFont val="ＭＳ Ｐゴシック"/>
            <family val="3"/>
            <charset val="128"/>
          </rPr>
          <t>1：選択集計します。
0：選択しません。</t>
        </r>
      </text>
    </comment>
    <comment ref="D1150" authorId="0" shapeId="0" xr:uid="{00000000-0006-0000-0D00-00005E040000}">
      <text>
        <r>
          <rPr>
            <sz val="9"/>
            <color indexed="81"/>
            <rFont val="ＭＳ Ｐゴシック"/>
            <family val="3"/>
            <charset val="128"/>
          </rPr>
          <t>1：選択集計します。
0：選択しません。</t>
        </r>
      </text>
    </comment>
    <comment ref="D1151" authorId="0" shapeId="0" xr:uid="{00000000-0006-0000-0D00-00005F040000}">
      <text>
        <r>
          <rPr>
            <sz val="9"/>
            <color indexed="81"/>
            <rFont val="ＭＳ Ｐゴシック"/>
            <family val="3"/>
            <charset val="128"/>
          </rPr>
          <t>1：選択集計します。
0：選択しません。</t>
        </r>
      </text>
    </comment>
    <comment ref="D1152" authorId="0" shapeId="0" xr:uid="{00000000-0006-0000-0D00-000060040000}">
      <text>
        <r>
          <rPr>
            <sz val="9"/>
            <color indexed="81"/>
            <rFont val="ＭＳ Ｐゴシック"/>
            <family val="3"/>
            <charset val="128"/>
          </rPr>
          <t>1：選択集計します。
0：選択しません。</t>
        </r>
      </text>
    </comment>
    <comment ref="D1153" authorId="0" shapeId="0" xr:uid="{00000000-0006-0000-0D00-000061040000}">
      <text>
        <r>
          <rPr>
            <sz val="9"/>
            <color indexed="81"/>
            <rFont val="ＭＳ Ｐゴシック"/>
            <family val="3"/>
            <charset val="128"/>
          </rPr>
          <t>1：選択集計します。
0：選択しません。</t>
        </r>
      </text>
    </comment>
    <comment ref="D1154" authorId="0" shapeId="0" xr:uid="{00000000-0006-0000-0D00-000062040000}">
      <text>
        <r>
          <rPr>
            <sz val="9"/>
            <color indexed="81"/>
            <rFont val="ＭＳ Ｐゴシック"/>
            <family val="3"/>
            <charset val="128"/>
          </rPr>
          <t>1：選択集計します。
0：選択しません。</t>
        </r>
      </text>
    </comment>
    <comment ref="D1155" authorId="0" shapeId="0" xr:uid="{00000000-0006-0000-0D00-000063040000}">
      <text>
        <r>
          <rPr>
            <sz val="9"/>
            <color indexed="81"/>
            <rFont val="ＭＳ Ｐゴシック"/>
            <family val="3"/>
            <charset val="128"/>
          </rPr>
          <t>1：選択集計します。
0：選択しません。</t>
        </r>
      </text>
    </comment>
    <comment ref="D1156" authorId="0" shapeId="0" xr:uid="{00000000-0006-0000-0D00-000064040000}">
      <text>
        <r>
          <rPr>
            <sz val="9"/>
            <color indexed="81"/>
            <rFont val="ＭＳ Ｐゴシック"/>
            <family val="3"/>
            <charset val="128"/>
          </rPr>
          <t>1：選択集計します。
0：選択しません。</t>
        </r>
      </text>
    </comment>
    <comment ref="D1157" authorId="0" shapeId="0" xr:uid="{00000000-0006-0000-0D00-000065040000}">
      <text>
        <r>
          <rPr>
            <sz val="9"/>
            <color indexed="81"/>
            <rFont val="ＭＳ Ｐゴシック"/>
            <family val="3"/>
            <charset val="128"/>
          </rPr>
          <t>1：選択集計します。
0：選択しません。</t>
        </r>
      </text>
    </comment>
    <comment ref="D1158" authorId="0" shapeId="0" xr:uid="{00000000-0006-0000-0D00-000066040000}">
      <text>
        <r>
          <rPr>
            <sz val="9"/>
            <color indexed="81"/>
            <rFont val="ＭＳ Ｐゴシック"/>
            <family val="3"/>
            <charset val="128"/>
          </rPr>
          <t>1：選択集計します。
0：選択しません。</t>
        </r>
      </text>
    </comment>
    <comment ref="D1159" authorId="0" shapeId="0" xr:uid="{00000000-0006-0000-0D00-000067040000}">
      <text>
        <r>
          <rPr>
            <sz val="9"/>
            <color indexed="81"/>
            <rFont val="ＭＳ Ｐゴシック"/>
            <family val="3"/>
            <charset val="128"/>
          </rPr>
          <t>1：選択集計します。
0：選択しません。</t>
        </r>
      </text>
    </comment>
    <comment ref="D1160" authorId="0" shapeId="0" xr:uid="{00000000-0006-0000-0D00-000068040000}">
      <text>
        <r>
          <rPr>
            <sz val="9"/>
            <color indexed="81"/>
            <rFont val="ＭＳ Ｐゴシック"/>
            <family val="3"/>
            <charset val="128"/>
          </rPr>
          <t>1：選択集計します。
0：選択しません。</t>
        </r>
      </text>
    </comment>
    <comment ref="D1161" authorId="0" shapeId="0" xr:uid="{00000000-0006-0000-0D00-000069040000}">
      <text>
        <r>
          <rPr>
            <sz val="9"/>
            <color indexed="81"/>
            <rFont val="ＭＳ Ｐゴシック"/>
            <family val="3"/>
            <charset val="128"/>
          </rPr>
          <t>1：選択集計します。
0：選択しません。</t>
        </r>
      </text>
    </comment>
    <comment ref="D1162" authorId="0" shapeId="0" xr:uid="{00000000-0006-0000-0D00-00006A040000}">
      <text>
        <r>
          <rPr>
            <sz val="9"/>
            <color indexed="81"/>
            <rFont val="ＭＳ Ｐゴシック"/>
            <family val="3"/>
            <charset val="128"/>
          </rPr>
          <t>1：選択集計します。
0：選択しません。</t>
        </r>
      </text>
    </comment>
    <comment ref="D1163" authorId="0" shapeId="0" xr:uid="{00000000-0006-0000-0D00-00006B040000}">
      <text>
        <r>
          <rPr>
            <sz val="9"/>
            <color indexed="81"/>
            <rFont val="ＭＳ Ｐゴシック"/>
            <family val="3"/>
            <charset val="128"/>
          </rPr>
          <t>1：選択集計します。
0：選択しません。</t>
        </r>
      </text>
    </comment>
    <comment ref="D1164" authorId="0" shapeId="0" xr:uid="{00000000-0006-0000-0D00-00006C040000}">
      <text>
        <r>
          <rPr>
            <sz val="9"/>
            <color indexed="81"/>
            <rFont val="ＭＳ Ｐゴシック"/>
            <family val="3"/>
            <charset val="128"/>
          </rPr>
          <t>1：選択集計します。
0：選択しません。</t>
        </r>
      </text>
    </comment>
    <comment ref="D1165" authorId="0" shapeId="0" xr:uid="{00000000-0006-0000-0D00-00006D040000}">
      <text>
        <r>
          <rPr>
            <sz val="9"/>
            <color indexed="81"/>
            <rFont val="ＭＳ Ｐゴシック"/>
            <family val="3"/>
            <charset val="128"/>
          </rPr>
          <t>1：選択集計します。
0：選択しません。</t>
        </r>
      </text>
    </comment>
    <comment ref="D1166" authorId="0" shapeId="0" xr:uid="{00000000-0006-0000-0D00-00006E040000}">
      <text>
        <r>
          <rPr>
            <sz val="9"/>
            <color indexed="81"/>
            <rFont val="ＭＳ Ｐゴシック"/>
            <family val="3"/>
            <charset val="128"/>
          </rPr>
          <t>1：選択集計します。
0：選択しません。</t>
        </r>
      </text>
    </comment>
    <comment ref="D1167" authorId="0" shapeId="0" xr:uid="{00000000-0006-0000-0D00-00006F040000}">
      <text>
        <r>
          <rPr>
            <sz val="9"/>
            <color indexed="81"/>
            <rFont val="ＭＳ Ｐゴシック"/>
            <family val="3"/>
            <charset val="128"/>
          </rPr>
          <t>1：選択集計します。
0：選択しません。</t>
        </r>
      </text>
    </comment>
    <comment ref="D1168" authorId="0" shapeId="0" xr:uid="{00000000-0006-0000-0D00-000070040000}">
      <text>
        <r>
          <rPr>
            <sz val="9"/>
            <color indexed="81"/>
            <rFont val="ＭＳ Ｐゴシック"/>
            <family val="3"/>
            <charset val="128"/>
          </rPr>
          <t>1：選択集計します。
0：選択しません。</t>
        </r>
      </text>
    </comment>
    <comment ref="D1169" authorId="0" shapeId="0" xr:uid="{00000000-0006-0000-0D00-000071040000}">
      <text>
        <r>
          <rPr>
            <sz val="9"/>
            <color indexed="81"/>
            <rFont val="ＭＳ Ｐゴシック"/>
            <family val="3"/>
            <charset val="128"/>
          </rPr>
          <t>1：選択集計します。
0：選択しません。</t>
        </r>
      </text>
    </comment>
    <comment ref="D1170" authorId="0" shapeId="0" xr:uid="{00000000-0006-0000-0D00-000072040000}">
      <text>
        <r>
          <rPr>
            <sz val="9"/>
            <color indexed="81"/>
            <rFont val="ＭＳ Ｐゴシック"/>
            <family val="3"/>
            <charset val="128"/>
          </rPr>
          <t>1：選択集計します。
0：選択しません。</t>
        </r>
      </text>
    </comment>
    <comment ref="D1171" authorId="0" shapeId="0" xr:uid="{00000000-0006-0000-0D00-000073040000}">
      <text>
        <r>
          <rPr>
            <sz val="9"/>
            <color indexed="81"/>
            <rFont val="ＭＳ Ｐゴシック"/>
            <family val="3"/>
            <charset val="128"/>
          </rPr>
          <t>1：選択集計します。
0：選択しません。</t>
        </r>
      </text>
    </comment>
    <comment ref="D1172" authorId="0" shapeId="0" xr:uid="{00000000-0006-0000-0D00-000074040000}">
      <text>
        <r>
          <rPr>
            <sz val="9"/>
            <color indexed="81"/>
            <rFont val="ＭＳ Ｐゴシック"/>
            <family val="3"/>
            <charset val="128"/>
          </rPr>
          <t>1：選択集計します。
0：選択しません。</t>
        </r>
      </text>
    </comment>
    <comment ref="D1173" authorId="0" shapeId="0" xr:uid="{00000000-0006-0000-0D00-000075040000}">
      <text>
        <r>
          <rPr>
            <sz val="9"/>
            <color indexed="81"/>
            <rFont val="ＭＳ Ｐゴシック"/>
            <family val="3"/>
            <charset val="128"/>
          </rPr>
          <t>1：選択集計します。
0：選択しません。</t>
        </r>
      </text>
    </comment>
    <comment ref="D1174" authorId="0" shapeId="0" xr:uid="{00000000-0006-0000-0D00-000076040000}">
      <text>
        <r>
          <rPr>
            <sz val="9"/>
            <color indexed="81"/>
            <rFont val="ＭＳ Ｐゴシック"/>
            <family val="3"/>
            <charset val="128"/>
          </rPr>
          <t>1：選択集計します。
0：選択しません。</t>
        </r>
      </text>
    </comment>
    <comment ref="D1175" authorId="0" shapeId="0" xr:uid="{00000000-0006-0000-0D00-000077040000}">
      <text>
        <r>
          <rPr>
            <sz val="9"/>
            <color indexed="81"/>
            <rFont val="ＭＳ Ｐゴシック"/>
            <family val="3"/>
            <charset val="128"/>
          </rPr>
          <t>1：選択集計します。
0：選択しません。</t>
        </r>
      </text>
    </comment>
    <comment ref="D1176" authorId="0" shapeId="0" xr:uid="{00000000-0006-0000-0D00-000078040000}">
      <text>
        <r>
          <rPr>
            <sz val="9"/>
            <color indexed="81"/>
            <rFont val="ＭＳ Ｐゴシック"/>
            <family val="3"/>
            <charset val="128"/>
          </rPr>
          <t>1：選択集計します。
0：選択しません。</t>
        </r>
      </text>
    </comment>
    <comment ref="D1177" authorId="0" shapeId="0" xr:uid="{00000000-0006-0000-0D00-000079040000}">
      <text>
        <r>
          <rPr>
            <sz val="9"/>
            <color indexed="81"/>
            <rFont val="ＭＳ Ｐゴシック"/>
            <family val="3"/>
            <charset val="128"/>
          </rPr>
          <t>1：選択集計します。
0：選択しません。</t>
        </r>
      </text>
    </comment>
    <comment ref="D1178" authorId="0" shapeId="0" xr:uid="{00000000-0006-0000-0D00-00007A040000}">
      <text>
        <r>
          <rPr>
            <sz val="9"/>
            <color indexed="81"/>
            <rFont val="ＭＳ Ｐゴシック"/>
            <family val="3"/>
            <charset val="128"/>
          </rPr>
          <t>1：選択集計します。
0：選択しません。</t>
        </r>
      </text>
    </comment>
    <comment ref="D1179" authorId="0" shapeId="0" xr:uid="{00000000-0006-0000-0D00-00007B040000}">
      <text>
        <r>
          <rPr>
            <sz val="9"/>
            <color indexed="81"/>
            <rFont val="ＭＳ Ｐゴシック"/>
            <family val="3"/>
            <charset val="128"/>
          </rPr>
          <t>1：選択集計します。
0：選択しません。</t>
        </r>
      </text>
    </comment>
    <comment ref="D1180" authorId="0" shapeId="0" xr:uid="{00000000-0006-0000-0D00-00007C040000}">
      <text>
        <r>
          <rPr>
            <sz val="9"/>
            <color indexed="81"/>
            <rFont val="ＭＳ Ｐゴシック"/>
            <family val="3"/>
            <charset val="128"/>
          </rPr>
          <t>1：選択集計します。
0：選択しません。</t>
        </r>
      </text>
    </comment>
    <comment ref="D1181" authorId="0" shapeId="0" xr:uid="{00000000-0006-0000-0D00-00007D040000}">
      <text>
        <r>
          <rPr>
            <sz val="9"/>
            <color indexed="81"/>
            <rFont val="ＭＳ Ｐゴシック"/>
            <family val="3"/>
            <charset val="128"/>
          </rPr>
          <t>1：選択集計します。
0：選択しません。</t>
        </r>
      </text>
    </comment>
    <comment ref="D1182" authorId="0" shapeId="0" xr:uid="{00000000-0006-0000-0D00-00007E040000}">
      <text>
        <r>
          <rPr>
            <sz val="9"/>
            <color indexed="81"/>
            <rFont val="ＭＳ Ｐゴシック"/>
            <family val="3"/>
            <charset val="128"/>
          </rPr>
          <t>1：選択集計します。
0：選択しません。</t>
        </r>
      </text>
    </comment>
    <comment ref="D1183" authorId="0" shapeId="0" xr:uid="{00000000-0006-0000-0D00-00007F040000}">
      <text>
        <r>
          <rPr>
            <sz val="9"/>
            <color indexed="81"/>
            <rFont val="ＭＳ Ｐゴシック"/>
            <family val="3"/>
            <charset val="128"/>
          </rPr>
          <t>1：選択集計します。
0：選択しません。</t>
        </r>
      </text>
    </comment>
    <comment ref="D1184" authorId="0" shapeId="0" xr:uid="{00000000-0006-0000-0D00-000080040000}">
      <text>
        <r>
          <rPr>
            <sz val="9"/>
            <color indexed="81"/>
            <rFont val="ＭＳ Ｐゴシック"/>
            <family val="3"/>
            <charset val="128"/>
          </rPr>
          <t>1：選択集計します。
0：選択しません。</t>
        </r>
      </text>
    </comment>
    <comment ref="D1185" authorId="0" shapeId="0" xr:uid="{00000000-0006-0000-0D00-000081040000}">
      <text>
        <r>
          <rPr>
            <sz val="9"/>
            <color indexed="81"/>
            <rFont val="ＭＳ Ｐゴシック"/>
            <family val="3"/>
            <charset val="128"/>
          </rPr>
          <t>1：選択集計します。
0：選択しません。</t>
        </r>
      </text>
    </comment>
    <comment ref="D1186" authorId="0" shapeId="0" xr:uid="{00000000-0006-0000-0D00-000082040000}">
      <text>
        <r>
          <rPr>
            <sz val="9"/>
            <color indexed="81"/>
            <rFont val="ＭＳ Ｐゴシック"/>
            <family val="3"/>
            <charset val="128"/>
          </rPr>
          <t>1：選択集計します。
0：選択しません。</t>
        </r>
      </text>
    </comment>
    <comment ref="D1187" authorId="0" shapeId="0" xr:uid="{00000000-0006-0000-0D00-000083040000}">
      <text>
        <r>
          <rPr>
            <sz val="9"/>
            <color indexed="81"/>
            <rFont val="ＭＳ Ｐゴシック"/>
            <family val="3"/>
            <charset val="128"/>
          </rPr>
          <t>1：選択集計します。
0：選択しません。</t>
        </r>
      </text>
    </comment>
    <comment ref="D1188" authorId="0" shapeId="0" xr:uid="{00000000-0006-0000-0D00-000084040000}">
      <text>
        <r>
          <rPr>
            <sz val="9"/>
            <color indexed="81"/>
            <rFont val="ＭＳ Ｐゴシック"/>
            <family val="3"/>
            <charset val="128"/>
          </rPr>
          <t>1：選択集計します。
0：選択しません。</t>
        </r>
      </text>
    </comment>
    <comment ref="D1189" authorId="0" shapeId="0" xr:uid="{00000000-0006-0000-0D00-000085040000}">
      <text>
        <r>
          <rPr>
            <sz val="9"/>
            <color indexed="81"/>
            <rFont val="ＭＳ Ｐゴシック"/>
            <family val="3"/>
            <charset val="128"/>
          </rPr>
          <t>1：選択集計します。
0：選択しません。</t>
        </r>
      </text>
    </comment>
    <comment ref="D1190" authorId="0" shapeId="0" xr:uid="{00000000-0006-0000-0D00-000086040000}">
      <text>
        <r>
          <rPr>
            <sz val="9"/>
            <color indexed="81"/>
            <rFont val="ＭＳ Ｐゴシック"/>
            <family val="3"/>
            <charset val="128"/>
          </rPr>
          <t>1：選択集計します。
0：選択しません。</t>
        </r>
      </text>
    </comment>
    <comment ref="D1191" authorId="0" shapeId="0" xr:uid="{00000000-0006-0000-0D00-000087040000}">
      <text>
        <r>
          <rPr>
            <sz val="9"/>
            <color indexed="81"/>
            <rFont val="ＭＳ Ｐゴシック"/>
            <family val="3"/>
            <charset val="128"/>
          </rPr>
          <t>1：選択集計します。
0：選択しません。</t>
        </r>
      </text>
    </comment>
    <comment ref="D1192" authorId="0" shapeId="0" xr:uid="{00000000-0006-0000-0D00-000088040000}">
      <text>
        <r>
          <rPr>
            <sz val="9"/>
            <color indexed="81"/>
            <rFont val="ＭＳ Ｐゴシック"/>
            <family val="3"/>
            <charset val="128"/>
          </rPr>
          <t>1：選択集計します。
0：選択しません。</t>
        </r>
      </text>
    </comment>
    <comment ref="D1193" authorId="0" shapeId="0" xr:uid="{00000000-0006-0000-0D00-000089040000}">
      <text>
        <r>
          <rPr>
            <sz val="9"/>
            <color indexed="81"/>
            <rFont val="ＭＳ Ｐゴシック"/>
            <family val="3"/>
            <charset val="128"/>
          </rPr>
          <t>1：選択集計します。
0：選択しません。</t>
        </r>
      </text>
    </comment>
    <comment ref="D1194" authorId="0" shapeId="0" xr:uid="{00000000-0006-0000-0D00-00008A040000}">
      <text>
        <r>
          <rPr>
            <sz val="9"/>
            <color indexed="81"/>
            <rFont val="ＭＳ Ｐゴシック"/>
            <family val="3"/>
            <charset val="128"/>
          </rPr>
          <t>1：選択集計します。
0：選択しません。</t>
        </r>
      </text>
    </comment>
    <comment ref="D1195" authorId="0" shapeId="0" xr:uid="{00000000-0006-0000-0D00-00008B040000}">
      <text>
        <r>
          <rPr>
            <sz val="9"/>
            <color indexed="81"/>
            <rFont val="ＭＳ Ｐゴシック"/>
            <family val="3"/>
            <charset val="128"/>
          </rPr>
          <t>1：選択集計します。
0：選択しません。</t>
        </r>
      </text>
    </comment>
    <comment ref="D1196" authorId="0" shapeId="0" xr:uid="{00000000-0006-0000-0D00-00008C040000}">
      <text>
        <r>
          <rPr>
            <sz val="9"/>
            <color indexed="81"/>
            <rFont val="ＭＳ Ｐゴシック"/>
            <family val="3"/>
            <charset val="128"/>
          </rPr>
          <t>1：選択集計します。
0：選択しません。</t>
        </r>
      </text>
    </comment>
    <comment ref="H1199" authorId="0" shapeId="0" xr:uid="{00000000-0006-0000-0D00-00008D040000}">
      <text>
        <r>
          <rPr>
            <sz val="9"/>
            <color indexed="81"/>
            <rFont val="ＭＳ Ｐゴシック"/>
            <family val="3"/>
            <charset val="128"/>
          </rPr>
          <t>選択列に 1 を入力した工類が集計されます。</t>
        </r>
      </text>
    </comment>
    <comment ref="D1200" authorId="0" shapeId="0" xr:uid="{00000000-0006-0000-0D00-00008E040000}">
      <text>
        <r>
          <rPr>
            <sz val="9"/>
            <color indexed="81"/>
            <rFont val="ＭＳ Ｐゴシック"/>
            <family val="3"/>
            <charset val="128"/>
          </rPr>
          <t>1：選択集計します。
0：選択しません。</t>
        </r>
      </text>
    </comment>
    <comment ref="D1201" authorId="0" shapeId="0" xr:uid="{00000000-0006-0000-0D00-00008F040000}">
      <text>
        <r>
          <rPr>
            <sz val="9"/>
            <color indexed="81"/>
            <rFont val="ＭＳ Ｐゴシック"/>
            <family val="3"/>
            <charset val="128"/>
          </rPr>
          <t>1：選択集計します。
0：選択しません。</t>
        </r>
      </text>
    </comment>
    <comment ref="D1202" authorId="0" shapeId="0" xr:uid="{00000000-0006-0000-0D00-000090040000}">
      <text>
        <r>
          <rPr>
            <sz val="9"/>
            <color indexed="81"/>
            <rFont val="ＭＳ Ｐゴシック"/>
            <family val="3"/>
            <charset val="128"/>
          </rPr>
          <t>1：選択集計します。
0：選択しません。</t>
        </r>
      </text>
    </comment>
    <comment ref="D1203" authorId="0" shapeId="0" xr:uid="{00000000-0006-0000-0D00-000091040000}">
      <text>
        <r>
          <rPr>
            <sz val="9"/>
            <color indexed="81"/>
            <rFont val="ＭＳ Ｐゴシック"/>
            <family val="3"/>
            <charset val="128"/>
          </rPr>
          <t>1：選択集計します。
0：選択しません。</t>
        </r>
      </text>
    </comment>
    <comment ref="D1204" authorId="0" shapeId="0" xr:uid="{00000000-0006-0000-0D00-000092040000}">
      <text>
        <r>
          <rPr>
            <sz val="9"/>
            <color indexed="81"/>
            <rFont val="ＭＳ Ｐゴシック"/>
            <family val="3"/>
            <charset val="128"/>
          </rPr>
          <t>1：選択集計します。
0：選択しません。</t>
        </r>
      </text>
    </comment>
    <comment ref="D1205" authorId="0" shapeId="0" xr:uid="{00000000-0006-0000-0D00-000093040000}">
      <text>
        <r>
          <rPr>
            <sz val="9"/>
            <color indexed="81"/>
            <rFont val="ＭＳ Ｐゴシック"/>
            <family val="3"/>
            <charset val="128"/>
          </rPr>
          <t>1：選択集計します。
0：選択しません。</t>
        </r>
      </text>
    </comment>
    <comment ref="D1206" authorId="0" shapeId="0" xr:uid="{00000000-0006-0000-0D00-000094040000}">
      <text>
        <r>
          <rPr>
            <sz val="9"/>
            <color indexed="81"/>
            <rFont val="ＭＳ Ｐゴシック"/>
            <family val="3"/>
            <charset val="128"/>
          </rPr>
          <t>1：選択集計します。
0：選択しません。</t>
        </r>
      </text>
    </comment>
    <comment ref="D1207" authorId="0" shapeId="0" xr:uid="{00000000-0006-0000-0D00-000095040000}">
      <text>
        <r>
          <rPr>
            <sz val="9"/>
            <color indexed="81"/>
            <rFont val="ＭＳ Ｐゴシック"/>
            <family val="3"/>
            <charset val="128"/>
          </rPr>
          <t>1：選択集計します。
0：選択しません。</t>
        </r>
      </text>
    </comment>
    <comment ref="D1208" authorId="0" shapeId="0" xr:uid="{00000000-0006-0000-0D00-000096040000}">
      <text>
        <r>
          <rPr>
            <sz val="9"/>
            <color indexed="81"/>
            <rFont val="ＭＳ Ｐゴシック"/>
            <family val="3"/>
            <charset val="128"/>
          </rPr>
          <t>1：選択集計します。
0：選択しません。</t>
        </r>
      </text>
    </comment>
    <comment ref="D1209" authorId="0" shapeId="0" xr:uid="{00000000-0006-0000-0D00-000097040000}">
      <text>
        <r>
          <rPr>
            <sz val="9"/>
            <color indexed="81"/>
            <rFont val="ＭＳ Ｐゴシック"/>
            <family val="3"/>
            <charset val="128"/>
          </rPr>
          <t>1：選択集計します。
0：選択しません。</t>
        </r>
      </text>
    </comment>
    <comment ref="D1210" authorId="0" shapeId="0" xr:uid="{00000000-0006-0000-0D00-000098040000}">
      <text>
        <r>
          <rPr>
            <sz val="9"/>
            <color indexed="81"/>
            <rFont val="ＭＳ Ｐゴシック"/>
            <family val="3"/>
            <charset val="128"/>
          </rPr>
          <t>1：選択集計します。
0：選択しません。</t>
        </r>
      </text>
    </comment>
    <comment ref="D1211" authorId="0" shapeId="0" xr:uid="{00000000-0006-0000-0D00-000099040000}">
      <text>
        <r>
          <rPr>
            <sz val="9"/>
            <color indexed="81"/>
            <rFont val="ＭＳ Ｐゴシック"/>
            <family val="3"/>
            <charset val="128"/>
          </rPr>
          <t>1：選択集計します。
0：選択しません。</t>
        </r>
      </text>
    </comment>
    <comment ref="D1212" authorId="0" shapeId="0" xr:uid="{00000000-0006-0000-0D00-00009A040000}">
      <text>
        <r>
          <rPr>
            <sz val="9"/>
            <color indexed="81"/>
            <rFont val="ＭＳ Ｐゴシック"/>
            <family val="3"/>
            <charset val="128"/>
          </rPr>
          <t>1：選択集計します。
0：選択しません。</t>
        </r>
      </text>
    </comment>
    <comment ref="D1213" authorId="0" shapeId="0" xr:uid="{00000000-0006-0000-0D00-00009B040000}">
      <text>
        <r>
          <rPr>
            <sz val="9"/>
            <color indexed="81"/>
            <rFont val="ＭＳ Ｐゴシック"/>
            <family val="3"/>
            <charset val="128"/>
          </rPr>
          <t>1：選択集計します。
0：選択しません。</t>
        </r>
      </text>
    </comment>
    <comment ref="D1214" authorId="0" shapeId="0" xr:uid="{00000000-0006-0000-0D00-00009C040000}">
      <text>
        <r>
          <rPr>
            <sz val="9"/>
            <color indexed="81"/>
            <rFont val="ＭＳ Ｐゴシック"/>
            <family val="3"/>
            <charset val="128"/>
          </rPr>
          <t>1：選択集計します。
0：選択しません。</t>
        </r>
      </text>
    </comment>
    <comment ref="D1215" authorId="0" shapeId="0" xr:uid="{00000000-0006-0000-0D00-00009D040000}">
      <text>
        <r>
          <rPr>
            <sz val="9"/>
            <color indexed="81"/>
            <rFont val="ＭＳ Ｐゴシック"/>
            <family val="3"/>
            <charset val="128"/>
          </rPr>
          <t>1：選択集計します。
0：選択しません。</t>
        </r>
      </text>
    </comment>
    <comment ref="D1216" authorId="0" shapeId="0" xr:uid="{00000000-0006-0000-0D00-00009E040000}">
      <text>
        <r>
          <rPr>
            <sz val="9"/>
            <color indexed="81"/>
            <rFont val="ＭＳ Ｐゴシック"/>
            <family val="3"/>
            <charset val="128"/>
          </rPr>
          <t>1：選択集計します。
0：選択しません。</t>
        </r>
      </text>
    </comment>
    <comment ref="D1217" authorId="0" shapeId="0" xr:uid="{00000000-0006-0000-0D00-00009F040000}">
      <text>
        <r>
          <rPr>
            <sz val="9"/>
            <color indexed="81"/>
            <rFont val="ＭＳ Ｐゴシック"/>
            <family val="3"/>
            <charset val="128"/>
          </rPr>
          <t>1：選択集計します。
0：選択しません。</t>
        </r>
      </text>
    </comment>
    <comment ref="D1218" authorId="0" shapeId="0" xr:uid="{00000000-0006-0000-0D00-0000A0040000}">
      <text>
        <r>
          <rPr>
            <sz val="9"/>
            <color indexed="81"/>
            <rFont val="ＭＳ Ｐゴシック"/>
            <family val="3"/>
            <charset val="128"/>
          </rPr>
          <t>1：選択集計します。
0：選択しません。</t>
        </r>
      </text>
    </comment>
    <comment ref="D1219" authorId="0" shapeId="0" xr:uid="{00000000-0006-0000-0D00-0000A1040000}">
      <text>
        <r>
          <rPr>
            <sz val="9"/>
            <color indexed="81"/>
            <rFont val="ＭＳ Ｐゴシック"/>
            <family val="3"/>
            <charset val="128"/>
          </rPr>
          <t>1：選択集計します。
0：選択しません。</t>
        </r>
      </text>
    </comment>
    <comment ref="D1220" authorId="0" shapeId="0" xr:uid="{00000000-0006-0000-0D00-0000A2040000}">
      <text>
        <r>
          <rPr>
            <sz val="9"/>
            <color indexed="81"/>
            <rFont val="ＭＳ Ｐゴシック"/>
            <family val="3"/>
            <charset val="128"/>
          </rPr>
          <t>1：選択集計します。
0：選択しません。</t>
        </r>
      </text>
    </comment>
    <comment ref="D1221" authorId="0" shapeId="0" xr:uid="{00000000-0006-0000-0D00-0000A3040000}">
      <text>
        <r>
          <rPr>
            <sz val="9"/>
            <color indexed="81"/>
            <rFont val="ＭＳ Ｐゴシック"/>
            <family val="3"/>
            <charset val="128"/>
          </rPr>
          <t>1：選択集計します。
0：選択しません。</t>
        </r>
      </text>
    </comment>
    <comment ref="D1222" authorId="0" shapeId="0" xr:uid="{00000000-0006-0000-0D00-0000A4040000}">
      <text>
        <r>
          <rPr>
            <sz val="9"/>
            <color indexed="81"/>
            <rFont val="ＭＳ Ｐゴシック"/>
            <family val="3"/>
            <charset val="128"/>
          </rPr>
          <t>1：選択集計します。
0：選択しません。</t>
        </r>
      </text>
    </comment>
    <comment ref="D1223" authorId="0" shapeId="0" xr:uid="{00000000-0006-0000-0D00-0000A5040000}">
      <text>
        <r>
          <rPr>
            <sz val="9"/>
            <color indexed="81"/>
            <rFont val="ＭＳ Ｐゴシック"/>
            <family val="3"/>
            <charset val="128"/>
          </rPr>
          <t>1：選択集計します。
0：選択しません。</t>
        </r>
      </text>
    </comment>
    <comment ref="D1224" authorId="0" shapeId="0" xr:uid="{00000000-0006-0000-0D00-0000A6040000}">
      <text>
        <r>
          <rPr>
            <sz val="9"/>
            <color indexed="81"/>
            <rFont val="ＭＳ Ｐゴシック"/>
            <family val="3"/>
            <charset val="128"/>
          </rPr>
          <t>1：選択集計します。
0：選択しません。</t>
        </r>
      </text>
    </comment>
    <comment ref="D1225" authorId="0" shapeId="0" xr:uid="{00000000-0006-0000-0D00-0000A7040000}">
      <text>
        <r>
          <rPr>
            <sz val="9"/>
            <color indexed="81"/>
            <rFont val="ＭＳ Ｐゴシック"/>
            <family val="3"/>
            <charset val="128"/>
          </rPr>
          <t>1：選択集計します。
0：選択しません。</t>
        </r>
      </text>
    </comment>
    <comment ref="D1226" authorId="0" shapeId="0" xr:uid="{00000000-0006-0000-0D00-0000A8040000}">
      <text>
        <r>
          <rPr>
            <sz val="9"/>
            <color indexed="81"/>
            <rFont val="ＭＳ Ｐゴシック"/>
            <family val="3"/>
            <charset val="128"/>
          </rPr>
          <t>1：選択集計します。
0：選択しません。</t>
        </r>
      </text>
    </comment>
    <comment ref="D1227" authorId="0" shapeId="0" xr:uid="{00000000-0006-0000-0D00-0000A9040000}">
      <text>
        <r>
          <rPr>
            <sz val="9"/>
            <color indexed="81"/>
            <rFont val="ＭＳ Ｐゴシック"/>
            <family val="3"/>
            <charset val="128"/>
          </rPr>
          <t>1：選択集計します。
0：選択しません。</t>
        </r>
      </text>
    </comment>
    <comment ref="D1228" authorId="0" shapeId="0" xr:uid="{00000000-0006-0000-0D00-0000AA040000}">
      <text>
        <r>
          <rPr>
            <sz val="9"/>
            <color indexed="81"/>
            <rFont val="ＭＳ Ｐゴシック"/>
            <family val="3"/>
            <charset val="128"/>
          </rPr>
          <t>1：選択集計します。
0：選択しません。</t>
        </r>
      </text>
    </comment>
    <comment ref="D1229" authorId="0" shapeId="0" xr:uid="{00000000-0006-0000-0D00-0000AB040000}">
      <text>
        <r>
          <rPr>
            <sz val="9"/>
            <color indexed="81"/>
            <rFont val="ＭＳ Ｐゴシック"/>
            <family val="3"/>
            <charset val="128"/>
          </rPr>
          <t>1：選択集計します。
0：選択しません。</t>
        </r>
      </text>
    </comment>
    <comment ref="D1230" authorId="0" shapeId="0" xr:uid="{00000000-0006-0000-0D00-0000AC040000}">
      <text>
        <r>
          <rPr>
            <sz val="9"/>
            <color indexed="81"/>
            <rFont val="ＭＳ Ｐゴシック"/>
            <family val="3"/>
            <charset val="128"/>
          </rPr>
          <t>1：選択集計します。
0：選択しません。</t>
        </r>
      </text>
    </comment>
    <comment ref="D1231" authorId="0" shapeId="0" xr:uid="{00000000-0006-0000-0D00-0000AD040000}">
      <text>
        <r>
          <rPr>
            <sz val="9"/>
            <color indexed="81"/>
            <rFont val="ＭＳ Ｐゴシック"/>
            <family val="3"/>
            <charset val="128"/>
          </rPr>
          <t>1：選択集計します。
0：選択しません。</t>
        </r>
      </text>
    </comment>
    <comment ref="D1232" authorId="0" shapeId="0" xr:uid="{00000000-0006-0000-0D00-0000AE040000}">
      <text>
        <r>
          <rPr>
            <sz val="9"/>
            <color indexed="81"/>
            <rFont val="ＭＳ Ｐゴシック"/>
            <family val="3"/>
            <charset val="128"/>
          </rPr>
          <t>1：選択集計します。
0：選択しません。</t>
        </r>
      </text>
    </comment>
    <comment ref="D1233" authorId="0" shapeId="0" xr:uid="{00000000-0006-0000-0D00-0000AF040000}">
      <text>
        <r>
          <rPr>
            <sz val="9"/>
            <color indexed="81"/>
            <rFont val="ＭＳ Ｐゴシック"/>
            <family val="3"/>
            <charset val="128"/>
          </rPr>
          <t>1：選択集計します。
0：選択しません。</t>
        </r>
      </text>
    </comment>
    <comment ref="D1234" authorId="0" shapeId="0" xr:uid="{00000000-0006-0000-0D00-0000B0040000}">
      <text>
        <r>
          <rPr>
            <sz val="9"/>
            <color indexed="81"/>
            <rFont val="ＭＳ Ｐゴシック"/>
            <family val="3"/>
            <charset val="128"/>
          </rPr>
          <t>1：選択集計します。
0：選択しません。</t>
        </r>
      </text>
    </comment>
    <comment ref="D1235" authorId="0" shapeId="0" xr:uid="{00000000-0006-0000-0D00-0000B1040000}">
      <text>
        <r>
          <rPr>
            <sz val="9"/>
            <color indexed="81"/>
            <rFont val="ＭＳ Ｐゴシック"/>
            <family val="3"/>
            <charset val="128"/>
          </rPr>
          <t>1：選択集計します。
0：選択しません。</t>
        </r>
      </text>
    </comment>
    <comment ref="D1236" authorId="0" shapeId="0" xr:uid="{00000000-0006-0000-0D00-0000B2040000}">
      <text>
        <r>
          <rPr>
            <sz val="9"/>
            <color indexed="81"/>
            <rFont val="ＭＳ Ｐゴシック"/>
            <family val="3"/>
            <charset val="128"/>
          </rPr>
          <t>1：選択集計します。
0：選択しません。</t>
        </r>
      </text>
    </comment>
    <comment ref="D1237" authorId="0" shapeId="0" xr:uid="{00000000-0006-0000-0D00-0000B3040000}">
      <text>
        <r>
          <rPr>
            <sz val="9"/>
            <color indexed="81"/>
            <rFont val="ＭＳ Ｐゴシック"/>
            <family val="3"/>
            <charset val="128"/>
          </rPr>
          <t>1：選択集計します。
0：選択しません。</t>
        </r>
      </text>
    </comment>
    <comment ref="D1238" authorId="0" shapeId="0" xr:uid="{00000000-0006-0000-0D00-0000B4040000}">
      <text>
        <r>
          <rPr>
            <sz val="9"/>
            <color indexed="81"/>
            <rFont val="ＭＳ Ｐゴシック"/>
            <family val="3"/>
            <charset val="128"/>
          </rPr>
          <t>1：選択集計します。
0：選択しません。</t>
        </r>
      </text>
    </comment>
    <comment ref="D1239" authorId="0" shapeId="0" xr:uid="{00000000-0006-0000-0D00-0000B5040000}">
      <text>
        <r>
          <rPr>
            <sz val="9"/>
            <color indexed="81"/>
            <rFont val="ＭＳ Ｐゴシック"/>
            <family val="3"/>
            <charset val="128"/>
          </rPr>
          <t>1：選択集計します。
0：選択しません。</t>
        </r>
      </text>
    </comment>
    <comment ref="D1240" authorId="0" shapeId="0" xr:uid="{00000000-0006-0000-0D00-0000B6040000}">
      <text>
        <r>
          <rPr>
            <sz val="9"/>
            <color indexed="81"/>
            <rFont val="ＭＳ Ｐゴシック"/>
            <family val="3"/>
            <charset val="128"/>
          </rPr>
          <t>1：選択集計します。
0：選択しません。</t>
        </r>
      </text>
    </comment>
    <comment ref="D1241" authorId="0" shapeId="0" xr:uid="{00000000-0006-0000-0D00-0000B7040000}">
      <text>
        <r>
          <rPr>
            <sz val="9"/>
            <color indexed="81"/>
            <rFont val="ＭＳ Ｐゴシック"/>
            <family val="3"/>
            <charset val="128"/>
          </rPr>
          <t>1：選択集計します。
0：選択しません。</t>
        </r>
      </text>
    </comment>
    <comment ref="D1242" authorId="0" shapeId="0" xr:uid="{00000000-0006-0000-0D00-0000B8040000}">
      <text>
        <r>
          <rPr>
            <sz val="9"/>
            <color indexed="81"/>
            <rFont val="ＭＳ Ｐゴシック"/>
            <family val="3"/>
            <charset val="128"/>
          </rPr>
          <t>1：選択集計します。
0：選択しません。</t>
        </r>
      </text>
    </comment>
    <comment ref="D1243" authorId="0" shapeId="0" xr:uid="{00000000-0006-0000-0D00-0000B9040000}">
      <text>
        <r>
          <rPr>
            <sz val="9"/>
            <color indexed="81"/>
            <rFont val="ＭＳ Ｐゴシック"/>
            <family val="3"/>
            <charset val="128"/>
          </rPr>
          <t>1：選択集計します。
0：選択しません。</t>
        </r>
      </text>
    </comment>
    <comment ref="D1244" authorId="0" shapeId="0" xr:uid="{00000000-0006-0000-0D00-0000BA040000}">
      <text>
        <r>
          <rPr>
            <sz val="9"/>
            <color indexed="81"/>
            <rFont val="ＭＳ Ｐゴシック"/>
            <family val="3"/>
            <charset val="128"/>
          </rPr>
          <t>1：選択集計します。
0：選択しません。</t>
        </r>
      </text>
    </comment>
    <comment ref="D1245" authorId="0" shapeId="0" xr:uid="{00000000-0006-0000-0D00-0000BB040000}">
      <text>
        <r>
          <rPr>
            <sz val="9"/>
            <color indexed="81"/>
            <rFont val="ＭＳ Ｐゴシック"/>
            <family val="3"/>
            <charset val="128"/>
          </rPr>
          <t>1：選択集計します。
0：選択しません。</t>
        </r>
      </text>
    </comment>
    <comment ref="D1246" authorId="0" shapeId="0" xr:uid="{00000000-0006-0000-0D00-0000BC040000}">
      <text>
        <r>
          <rPr>
            <sz val="9"/>
            <color indexed="81"/>
            <rFont val="ＭＳ Ｐゴシック"/>
            <family val="3"/>
            <charset val="128"/>
          </rPr>
          <t>1：選択集計します。
0：選択しません。</t>
        </r>
      </text>
    </comment>
    <comment ref="D1247" authorId="0" shapeId="0" xr:uid="{00000000-0006-0000-0D00-0000BD040000}">
      <text>
        <r>
          <rPr>
            <sz val="9"/>
            <color indexed="81"/>
            <rFont val="ＭＳ Ｐゴシック"/>
            <family val="3"/>
            <charset val="128"/>
          </rPr>
          <t>1：選択集計します。
0：選択しません。</t>
        </r>
      </text>
    </comment>
    <comment ref="D1248" authorId="0" shapeId="0" xr:uid="{00000000-0006-0000-0D00-0000BE040000}">
      <text>
        <r>
          <rPr>
            <sz val="9"/>
            <color indexed="81"/>
            <rFont val="ＭＳ Ｐゴシック"/>
            <family val="3"/>
            <charset val="128"/>
          </rPr>
          <t>1：選択集計します。
0：選択しません。</t>
        </r>
      </text>
    </comment>
    <comment ref="D1249" authorId="0" shapeId="0" xr:uid="{00000000-0006-0000-0D00-0000BF040000}">
      <text>
        <r>
          <rPr>
            <sz val="9"/>
            <color indexed="81"/>
            <rFont val="ＭＳ Ｐゴシック"/>
            <family val="3"/>
            <charset val="128"/>
          </rPr>
          <t>1：選択集計します。
0：選択しません。</t>
        </r>
      </text>
    </comment>
    <comment ref="D1250" authorId="0" shapeId="0" xr:uid="{00000000-0006-0000-0D00-0000C0040000}">
      <text>
        <r>
          <rPr>
            <sz val="9"/>
            <color indexed="81"/>
            <rFont val="ＭＳ Ｐゴシック"/>
            <family val="3"/>
            <charset val="128"/>
          </rPr>
          <t>1：選択集計します。
0：選択しません。</t>
        </r>
      </text>
    </comment>
    <comment ref="D1251" authorId="0" shapeId="0" xr:uid="{00000000-0006-0000-0D00-0000C1040000}">
      <text>
        <r>
          <rPr>
            <sz val="9"/>
            <color indexed="81"/>
            <rFont val="ＭＳ Ｐゴシック"/>
            <family val="3"/>
            <charset val="128"/>
          </rPr>
          <t>1：選択集計します。
0：選択しません。</t>
        </r>
      </text>
    </comment>
    <comment ref="D1252" authorId="0" shapeId="0" xr:uid="{00000000-0006-0000-0D00-0000C2040000}">
      <text>
        <r>
          <rPr>
            <sz val="9"/>
            <color indexed="81"/>
            <rFont val="ＭＳ Ｐゴシック"/>
            <family val="3"/>
            <charset val="128"/>
          </rPr>
          <t>1：選択集計します。
0：選択しません。</t>
        </r>
      </text>
    </comment>
    <comment ref="D1253" authorId="0" shapeId="0" xr:uid="{00000000-0006-0000-0D00-0000C3040000}">
      <text>
        <r>
          <rPr>
            <sz val="9"/>
            <color indexed="81"/>
            <rFont val="ＭＳ Ｐゴシック"/>
            <family val="3"/>
            <charset val="128"/>
          </rPr>
          <t>1：選択集計します。
0：選択しません。</t>
        </r>
      </text>
    </comment>
    <comment ref="D1254" authorId="0" shapeId="0" xr:uid="{00000000-0006-0000-0D00-0000C4040000}">
      <text>
        <r>
          <rPr>
            <sz val="9"/>
            <color indexed="81"/>
            <rFont val="ＭＳ Ｐゴシック"/>
            <family val="3"/>
            <charset val="128"/>
          </rPr>
          <t>1：選択集計します。
0：選択しません。</t>
        </r>
      </text>
    </comment>
    <comment ref="D1255" authorId="0" shapeId="0" xr:uid="{00000000-0006-0000-0D00-0000C5040000}">
      <text>
        <r>
          <rPr>
            <sz val="9"/>
            <color indexed="81"/>
            <rFont val="ＭＳ Ｐゴシック"/>
            <family val="3"/>
            <charset val="128"/>
          </rPr>
          <t>1：選択集計します。
0：選択しません。</t>
        </r>
      </text>
    </comment>
    <comment ref="D1256" authorId="0" shapeId="0" xr:uid="{00000000-0006-0000-0D00-0000C6040000}">
      <text>
        <r>
          <rPr>
            <sz val="9"/>
            <color indexed="81"/>
            <rFont val="ＭＳ Ｐゴシック"/>
            <family val="3"/>
            <charset val="128"/>
          </rPr>
          <t>1：選択集計します。
0：選択しません。</t>
        </r>
      </text>
    </comment>
    <comment ref="D1257" authorId="0" shapeId="0" xr:uid="{00000000-0006-0000-0D00-0000C7040000}">
      <text>
        <r>
          <rPr>
            <sz val="9"/>
            <color indexed="81"/>
            <rFont val="ＭＳ Ｐゴシック"/>
            <family val="3"/>
            <charset val="128"/>
          </rPr>
          <t>1：選択集計します。
0：選択しません。</t>
        </r>
      </text>
    </comment>
    <comment ref="D1258" authorId="0" shapeId="0" xr:uid="{00000000-0006-0000-0D00-0000C8040000}">
      <text>
        <r>
          <rPr>
            <sz val="9"/>
            <color indexed="81"/>
            <rFont val="ＭＳ Ｐゴシック"/>
            <family val="3"/>
            <charset val="128"/>
          </rPr>
          <t>1：選択集計します。
0：選択しません。</t>
        </r>
      </text>
    </comment>
    <comment ref="D1259" authorId="0" shapeId="0" xr:uid="{00000000-0006-0000-0D00-0000C9040000}">
      <text>
        <r>
          <rPr>
            <sz val="9"/>
            <color indexed="81"/>
            <rFont val="ＭＳ Ｐゴシック"/>
            <family val="3"/>
            <charset val="128"/>
          </rPr>
          <t>1：選択集計します。
0：選択しません。</t>
        </r>
      </text>
    </comment>
    <comment ref="D1260" authorId="0" shapeId="0" xr:uid="{00000000-0006-0000-0D00-0000CA040000}">
      <text>
        <r>
          <rPr>
            <sz val="9"/>
            <color indexed="81"/>
            <rFont val="ＭＳ Ｐゴシック"/>
            <family val="3"/>
            <charset val="128"/>
          </rPr>
          <t>1：選択集計します。
0：選択しません。</t>
        </r>
      </text>
    </comment>
    <comment ref="D1261" authorId="0" shapeId="0" xr:uid="{00000000-0006-0000-0D00-0000CB040000}">
      <text>
        <r>
          <rPr>
            <sz val="9"/>
            <color indexed="81"/>
            <rFont val="ＭＳ Ｐゴシック"/>
            <family val="3"/>
            <charset val="128"/>
          </rPr>
          <t>1：選択集計します。
0：選択しません。</t>
        </r>
      </text>
    </comment>
    <comment ref="D1262" authorId="0" shapeId="0" xr:uid="{00000000-0006-0000-0D00-0000CC040000}">
      <text>
        <r>
          <rPr>
            <sz val="9"/>
            <color indexed="81"/>
            <rFont val="ＭＳ Ｐゴシック"/>
            <family val="3"/>
            <charset val="128"/>
          </rPr>
          <t>1：選択集計します。
0：選択しません。</t>
        </r>
      </text>
    </comment>
    <comment ref="D1263" authorId="0" shapeId="0" xr:uid="{00000000-0006-0000-0D00-0000CD040000}">
      <text>
        <r>
          <rPr>
            <sz val="9"/>
            <color indexed="81"/>
            <rFont val="ＭＳ Ｐゴシック"/>
            <family val="3"/>
            <charset val="128"/>
          </rPr>
          <t>1：選択集計します。
0：選択しません。</t>
        </r>
      </text>
    </comment>
    <comment ref="D1264" authorId="0" shapeId="0" xr:uid="{00000000-0006-0000-0D00-0000CE040000}">
      <text>
        <r>
          <rPr>
            <sz val="9"/>
            <color indexed="81"/>
            <rFont val="ＭＳ Ｐゴシック"/>
            <family val="3"/>
            <charset val="128"/>
          </rPr>
          <t>1：選択集計します。
0：選択しません。</t>
        </r>
      </text>
    </comment>
    <comment ref="D1265" authorId="0" shapeId="0" xr:uid="{00000000-0006-0000-0D00-0000CF040000}">
      <text>
        <r>
          <rPr>
            <sz val="9"/>
            <color indexed="81"/>
            <rFont val="ＭＳ Ｐゴシック"/>
            <family val="3"/>
            <charset val="128"/>
          </rPr>
          <t>1：選択集計します。
0：選択しません。</t>
        </r>
      </text>
    </comment>
    <comment ref="D1266" authorId="0" shapeId="0" xr:uid="{00000000-0006-0000-0D00-0000D0040000}">
      <text>
        <r>
          <rPr>
            <sz val="9"/>
            <color indexed="81"/>
            <rFont val="ＭＳ Ｐゴシック"/>
            <family val="3"/>
            <charset val="128"/>
          </rPr>
          <t>1：選択集計します。
0：選択しません。</t>
        </r>
      </text>
    </comment>
    <comment ref="D1267" authorId="0" shapeId="0" xr:uid="{00000000-0006-0000-0D00-0000D1040000}">
      <text>
        <r>
          <rPr>
            <sz val="9"/>
            <color indexed="81"/>
            <rFont val="ＭＳ Ｐゴシック"/>
            <family val="3"/>
            <charset val="128"/>
          </rPr>
          <t>1：選択集計します。
0：選択しません。</t>
        </r>
      </text>
    </comment>
    <comment ref="D1268" authorId="0" shapeId="0" xr:uid="{00000000-0006-0000-0D00-0000D2040000}">
      <text>
        <r>
          <rPr>
            <sz val="9"/>
            <color indexed="81"/>
            <rFont val="ＭＳ Ｐゴシック"/>
            <family val="3"/>
            <charset val="128"/>
          </rPr>
          <t>1：選択集計します。
0：選択しません。</t>
        </r>
      </text>
    </comment>
    <comment ref="D1269" authorId="0" shapeId="0" xr:uid="{00000000-0006-0000-0D00-0000D3040000}">
      <text>
        <r>
          <rPr>
            <sz val="9"/>
            <color indexed="81"/>
            <rFont val="ＭＳ Ｐゴシック"/>
            <family val="3"/>
            <charset val="128"/>
          </rPr>
          <t>1：選択集計します。
0：選択しません。</t>
        </r>
      </text>
    </comment>
    <comment ref="D1270" authorId="0" shapeId="0" xr:uid="{00000000-0006-0000-0D00-0000D4040000}">
      <text>
        <r>
          <rPr>
            <sz val="9"/>
            <color indexed="81"/>
            <rFont val="ＭＳ Ｐゴシック"/>
            <family val="3"/>
            <charset val="128"/>
          </rPr>
          <t>1：選択集計します。
0：選択しません。</t>
        </r>
      </text>
    </comment>
    <comment ref="D1271" authorId="0" shapeId="0" xr:uid="{00000000-0006-0000-0D00-0000D5040000}">
      <text>
        <r>
          <rPr>
            <sz val="9"/>
            <color indexed="81"/>
            <rFont val="ＭＳ Ｐゴシック"/>
            <family val="3"/>
            <charset val="128"/>
          </rPr>
          <t>1：選択集計します。
0：選択しません。</t>
        </r>
      </text>
    </comment>
    <comment ref="D1272" authorId="0" shapeId="0" xr:uid="{00000000-0006-0000-0D00-0000D6040000}">
      <text>
        <r>
          <rPr>
            <sz val="9"/>
            <color indexed="81"/>
            <rFont val="ＭＳ Ｐゴシック"/>
            <family val="3"/>
            <charset val="128"/>
          </rPr>
          <t>1：選択集計します。
0：選択しません。</t>
        </r>
      </text>
    </comment>
    <comment ref="D1273" authorId="0" shapeId="0" xr:uid="{00000000-0006-0000-0D00-0000D7040000}">
      <text>
        <r>
          <rPr>
            <sz val="9"/>
            <color indexed="81"/>
            <rFont val="ＭＳ Ｐゴシック"/>
            <family val="3"/>
            <charset val="128"/>
          </rPr>
          <t>1：選択集計します。
0：選択しません。</t>
        </r>
      </text>
    </comment>
    <comment ref="D1274" authorId="0" shapeId="0" xr:uid="{00000000-0006-0000-0D00-0000D8040000}">
      <text>
        <r>
          <rPr>
            <sz val="9"/>
            <color indexed="81"/>
            <rFont val="ＭＳ Ｐゴシック"/>
            <family val="3"/>
            <charset val="128"/>
          </rPr>
          <t>1：選択集計します。
0：選択しません。</t>
        </r>
      </text>
    </comment>
    <comment ref="D1275" authorId="0" shapeId="0" xr:uid="{00000000-0006-0000-0D00-0000D9040000}">
      <text>
        <r>
          <rPr>
            <sz val="9"/>
            <color indexed="81"/>
            <rFont val="ＭＳ Ｐゴシック"/>
            <family val="3"/>
            <charset val="128"/>
          </rPr>
          <t>1：選択集計します。
0：選択しません。</t>
        </r>
      </text>
    </comment>
    <comment ref="D1276" authorId="0" shapeId="0" xr:uid="{00000000-0006-0000-0D00-0000DA040000}">
      <text>
        <r>
          <rPr>
            <sz val="9"/>
            <color indexed="81"/>
            <rFont val="ＭＳ Ｐゴシック"/>
            <family val="3"/>
            <charset val="128"/>
          </rPr>
          <t>1：選択集計します。
0：選択しません。</t>
        </r>
      </text>
    </comment>
    <comment ref="D1277" authorId="0" shapeId="0" xr:uid="{00000000-0006-0000-0D00-0000DB040000}">
      <text>
        <r>
          <rPr>
            <sz val="9"/>
            <color indexed="81"/>
            <rFont val="ＭＳ Ｐゴシック"/>
            <family val="3"/>
            <charset val="128"/>
          </rPr>
          <t>1：選択集計します。
0：選択しません。</t>
        </r>
      </text>
    </comment>
    <comment ref="D1278" authorId="0" shapeId="0" xr:uid="{00000000-0006-0000-0D00-0000DC040000}">
      <text>
        <r>
          <rPr>
            <sz val="9"/>
            <color indexed="81"/>
            <rFont val="ＭＳ Ｐゴシック"/>
            <family val="3"/>
            <charset val="128"/>
          </rPr>
          <t>1：選択集計します。
0：選択しません。</t>
        </r>
      </text>
    </comment>
    <comment ref="D1279" authorId="0" shapeId="0" xr:uid="{00000000-0006-0000-0D00-0000DD040000}">
      <text>
        <r>
          <rPr>
            <sz val="9"/>
            <color indexed="81"/>
            <rFont val="ＭＳ Ｐゴシック"/>
            <family val="3"/>
            <charset val="128"/>
          </rPr>
          <t>1：選択集計します。
0：選択しません。</t>
        </r>
      </text>
    </comment>
    <comment ref="D1280" authorId="0" shapeId="0" xr:uid="{00000000-0006-0000-0D00-0000DE040000}">
      <text>
        <r>
          <rPr>
            <sz val="9"/>
            <color indexed="81"/>
            <rFont val="ＭＳ Ｐゴシック"/>
            <family val="3"/>
            <charset val="128"/>
          </rPr>
          <t>1：選択集計します。
0：選択しません。</t>
        </r>
      </text>
    </comment>
    <comment ref="D1281" authorId="0" shapeId="0" xr:uid="{00000000-0006-0000-0D00-0000DF040000}">
      <text>
        <r>
          <rPr>
            <sz val="9"/>
            <color indexed="81"/>
            <rFont val="ＭＳ Ｐゴシック"/>
            <family val="3"/>
            <charset val="128"/>
          </rPr>
          <t>1：選択集計します。
0：選択しません。</t>
        </r>
      </text>
    </comment>
    <comment ref="H1284" authorId="0" shapeId="0" xr:uid="{00000000-0006-0000-0D00-0000E0040000}">
      <text>
        <r>
          <rPr>
            <sz val="9"/>
            <color indexed="81"/>
            <rFont val="ＭＳ Ｐゴシック"/>
            <family val="3"/>
            <charset val="128"/>
          </rPr>
          <t>選択列に 1 を入力した工類が集計されます。</t>
        </r>
      </text>
    </comment>
    <comment ref="D1285" authorId="0" shapeId="0" xr:uid="{00000000-0006-0000-0D00-0000E1040000}">
      <text>
        <r>
          <rPr>
            <sz val="9"/>
            <color indexed="81"/>
            <rFont val="ＭＳ Ｐゴシック"/>
            <family val="3"/>
            <charset val="128"/>
          </rPr>
          <t>1：選択集計します。
0：選択しません。</t>
        </r>
      </text>
    </comment>
    <comment ref="D1286" authorId="0" shapeId="0" xr:uid="{00000000-0006-0000-0D00-0000E2040000}">
      <text>
        <r>
          <rPr>
            <sz val="9"/>
            <color indexed="81"/>
            <rFont val="ＭＳ Ｐゴシック"/>
            <family val="3"/>
            <charset val="128"/>
          </rPr>
          <t>1：選択集計します。
0：選択しません。</t>
        </r>
      </text>
    </comment>
    <comment ref="D1287" authorId="0" shapeId="0" xr:uid="{00000000-0006-0000-0D00-0000E3040000}">
      <text>
        <r>
          <rPr>
            <sz val="9"/>
            <color indexed="81"/>
            <rFont val="ＭＳ Ｐゴシック"/>
            <family val="3"/>
            <charset val="128"/>
          </rPr>
          <t>1：選択集計します。
0：選択しません。</t>
        </r>
      </text>
    </comment>
    <comment ref="D1288" authorId="0" shapeId="0" xr:uid="{00000000-0006-0000-0D00-0000E4040000}">
      <text>
        <r>
          <rPr>
            <sz val="9"/>
            <color indexed="81"/>
            <rFont val="ＭＳ Ｐゴシック"/>
            <family val="3"/>
            <charset val="128"/>
          </rPr>
          <t>1：選択集計します。
0：選択しません。</t>
        </r>
      </text>
    </comment>
    <comment ref="D1289" authorId="0" shapeId="0" xr:uid="{00000000-0006-0000-0D00-0000E5040000}">
      <text>
        <r>
          <rPr>
            <sz val="9"/>
            <color indexed="81"/>
            <rFont val="ＭＳ Ｐゴシック"/>
            <family val="3"/>
            <charset val="128"/>
          </rPr>
          <t>1：選択集計します。
0：選択しません。</t>
        </r>
      </text>
    </comment>
    <comment ref="D1290" authorId="0" shapeId="0" xr:uid="{00000000-0006-0000-0D00-0000E6040000}">
      <text>
        <r>
          <rPr>
            <sz val="9"/>
            <color indexed="81"/>
            <rFont val="ＭＳ Ｐゴシック"/>
            <family val="3"/>
            <charset val="128"/>
          </rPr>
          <t>1：選択集計します。
0：選択しません。</t>
        </r>
      </text>
    </comment>
    <comment ref="D1291" authorId="0" shapeId="0" xr:uid="{00000000-0006-0000-0D00-0000E7040000}">
      <text>
        <r>
          <rPr>
            <sz val="9"/>
            <color indexed="81"/>
            <rFont val="ＭＳ Ｐゴシック"/>
            <family val="3"/>
            <charset val="128"/>
          </rPr>
          <t>1：選択集計します。
0：選択しません。</t>
        </r>
      </text>
    </comment>
    <comment ref="D1292" authorId="0" shapeId="0" xr:uid="{00000000-0006-0000-0D00-0000E8040000}">
      <text>
        <r>
          <rPr>
            <sz val="9"/>
            <color indexed="81"/>
            <rFont val="ＭＳ Ｐゴシック"/>
            <family val="3"/>
            <charset val="128"/>
          </rPr>
          <t>1：選択集計します。
0：選択しません。</t>
        </r>
      </text>
    </comment>
    <comment ref="D1293" authorId="0" shapeId="0" xr:uid="{00000000-0006-0000-0D00-0000E9040000}">
      <text>
        <r>
          <rPr>
            <sz val="9"/>
            <color indexed="81"/>
            <rFont val="ＭＳ Ｐゴシック"/>
            <family val="3"/>
            <charset val="128"/>
          </rPr>
          <t>1：選択集計します。
0：選択しません。</t>
        </r>
      </text>
    </comment>
    <comment ref="D1294" authorId="0" shapeId="0" xr:uid="{00000000-0006-0000-0D00-0000EA040000}">
      <text>
        <r>
          <rPr>
            <sz val="9"/>
            <color indexed="81"/>
            <rFont val="ＭＳ Ｐゴシック"/>
            <family val="3"/>
            <charset val="128"/>
          </rPr>
          <t>1：選択集計します。
0：選択しません。</t>
        </r>
      </text>
    </comment>
    <comment ref="D1295" authorId="0" shapeId="0" xr:uid="{00000000-0006-0000-0D00-0000EB040000}">
      <text>
        <r>
          <rPr>
            <sz val="9"/>
            <color indexed="81"/>
            <rFont val="ＭＳ Ｐゴシック"/>
            <family val="3"/>
            <charset val="128"/>
          </rPr>
          <t>1：選択集計します。
0：選択しません。</t>
        </r>
      </text>
    </comment>
    <comment ref="D1296" authorId="0" shapeId="0" xr:uid="{00000000-0006-0000-0D00-0000EC040000}">
      <text>
        <r>
          <rPr>
            <sz val="9"/>
            <color indexed="81"/>
            <rFont val="ＭＳ Ｐゴシック"/>
            <family val="3"/>
            <charset val="128"/>
          </rPr>
          <t>1：選択集計します。
0：選択しません。</t>
        </r>
      </text>
    </comment>
    <comment ref="D1297" authorId="0" shapeId="0" xr:uid="{00000000-0006-0000-0D00-0000ED040000}">
      <text>
        <r>
          <rPr>
            <sz val="9"/>
            <color indexed="81"/>
            <rFont val="ＭＳ Ｐゴシック"/>
            <family val="3"/>
            <charset val="128"/>
          </rPr>
          <t>1：選択集計します。
0：選択しません。</t>
        </r>
      </text>
    </comment>
    <comment ref="D1298" authorId="0" shapeId="0" xr:uid="{00000000-0006-0000-0D00-0000EE040000}">
      <text>
        <r>
          <rPr>
            <sz val="9"/>
            <color indexed="81"/>
            <rFont val="ＭＳ Ｐゴシック"/>
            <family val="3"/>
            <charset val="128"/>
          </rPr>
          <t>1：選択集計します。
0：選択しません。</t>
        </r>
      </text>
    </comment>
    <comment ref="D1299" authorId="0" shapeId="0" xr:uid="{00000000-0006-0000-0D00-0000EF040000}">
      <text>
        <r>
          <rPr>
            <sz val="9"/>
            <color indexed="81"/>
            <rFont val="ＭＳ Ｐゴシック"/>
            <family val="3"/>
            <charset val="128"/>
          </rPr>
          <t>1：選択集計します。
0：選択しません。</t>
        </r>
      </text>
    </comment>
    <comment ref="D1300" authorId="0" shapeId="0" xr:uid="{00000000-0006-0000-0D00-0000F0040000}">
      <text>
        <r>
          <rPr>
            <sz val="9"/>
            <color indexed="81"/>
            <rFont val="ＭＳ Ｐゴシック"/>
            <family val="3"/>
            <charset val="128"/>
          </rPr>
          <t>1：選択集計します。
0：選択しません。</t>
        </r>
      </text>
    </comment>
    <comment ref="D1301" authorId="0" shapeId="0" xr:uid="{00000000-0006-0000-0D00-0000F1040000}">
      <text>
        <r>
          <rPr>
            <sz val="9"/>
            <color indexed="81"/>
            <rFont val="ＭＳ Ｐゴシック"/>
            <family val="3"/>
            <charset val="128"/>
          </rPr>
          <t>1：選択集計します。
0：選択しません。</t>
        </r>
      </text>
    </comment>
    <comment ref="D1302" authorId="0" shapeId="0" xr:uid="{00000000-0006-0000-0D00-0000F2040000}">
      <text>
        <r>
          <rPr>
            <sz val="9"/>
            <color indexed="81"/>
            <rFont val="ＭＳ Ｐゴシック"/>
            <family val="3"/>
            <charset val="128"/>
          </rPr>
          <t>1：選択集計します。
0：選択しません。</t>
        </r>
      </text>
    </comment>
    <comment ref="D1303" authorId="0" shapeId="0" xr:uid="{00000000-0006-0000-0D00-0000F3040000}">
      <text>
        <r>
          <rPr>
            <sz val="9"/>
            <color indexed="81"/>
            <rFont val="ＭＳ Ｐゴシック"/>
            <family val="3"/>
            <charset val="128"/>
          </rPr>
          <t>1：選択集計します。
0：選択しません。</t>
        </r>
      </text>
    </comment>
    <comment ref="D1304" authorId="0" shapeId="0" xr:uid="{00000000-0006-0000-0D00-0000F4040000}">
      <text>
        <r>
          <rPr>
            <sz val="9"/>
            <color indexed="81"/>
            <rFont val="ＭＳ Ｐゴシック"/>
            <family val="3"/>
            <charset val="128"/>
          </rPr>
          <t>1：選択集計します。
0：選択しません。</t>
        </r>
      </text>
    </comment>
    <comment ref="D1305" authorId="0" shapeId="0" xr:uid="{00000000-0006-0000-0D00-0000F5040000}">
      <text>
        <r>
          <rPr>
            <sz val="9"/>
            <color indexed="81"/>
            <rFont val="ＭＳ Ｐゴシック"/>
            <family val="3"/>
            <charset val="128"/>
          </rPr>
          <t>1：選択集計します。
0：選択しません。</t>
        </r>
      </text>
    </comment>
    <comment ref="D1306" authorId="0" shapeId="0" xr:uid="{00000000-0006-0000-0D00-0000F6040000}">
      <text>
        <r>
          <rPr>
            <sz val="9"/>
            <color indexed="81"/>
            <rFont val="ＭＳ Ｐゴシック"/>
            <family val="3"/>
            <charset val="128"/>
          </rPr>
          <t>1：選択集計します。
0：選択しません。</t>
        </r>
      </text>
    </comment>
    <comment ref="D1307" authorId="0" shapeId="0" xr:uid="{00000000-0006-0000-0D00-0000F7040000}">
      <text>
        <r>
          <rPr>
            <sz val="9"/>
            <color indexed="81"/>
            <rFont val="ＭＳ Ｐゴシック"/>
            <family val="3"/>
            <charset val="128"/>
          </rPr>
          <t>1：選択集計します。
0：選択しません。</t>
        </r>
      </text>
    </comment>
    <comment ref="D1308" authorId="0" shapeId="0" xr:uid="{00000000-0006-0000-0D00-0000F8040000}">
      <text>
        <r>
          <rPr>
            <sz val="9"/>
            <color indexed="81"/>
            <rFont val="ＭＳ Ｐゴシック"/>
            <family val="3"/>
            <charset val="128"/>
          </rPr>
          <t>1：選択集計します。
0：選択しません。</t>
        </r>
      </text>
    </comment>
    <comment ref="D1309" authorId="0" shapeId="0" xr:uid="{00000000-0006-0000-0D00-0000F9040000}">
      <text>
        <r>
          <rPr>
            <sz val="9"/>
            <color indexed="81"/>
            <rFont val="ＭＳ Ｐゴシック"/>
            <family val="3"/>
            <charset val="128"/>
          </rPr>
          <t>1：選択集計します。
0：選択しません。</t>
        </r>
      </text>
    </comment>
    <comment ref="D1310" authorId="0" shapeId="0" xr:uid="{00000000-0006-0000-0D00-0000FA040000}">
      <text>
        <r>
          <rPr>
            <sz val="9"/>
            <color indexed="81"/>
            <rFont val="ＭＳ Ｐゴシック"/>
            <family val="3"/>
            <charset val="128"/>
          </rPr>
          <t>1：選択集計します。
0：選択しません。</t>
        </r>
      </text>
    </comment>
    <comment ref="D1311" authorId="0" shapeId="0" xr:uid="{00000000-0006-0000-0D00-0000FB040000}">
      <text>
        <r>
          <rPr>
            <sz val="9"/>
            <color indexed="81"/>
            <rFont val="ＭＳ Ｐゴシック"/>
            <family val="3"/>
            <charset val="128"/>
          </rPr>
          <t>1：選択集計します。
0：選択しません。</t>
        </r>
      </text>
    </comment>
    <comment ref="D1312" authorId="0" shapeId="0" xr:uid="{00000000-0006-0000-0D00-0000FC040000}">
      <text>
        <r>
          <rPr>
            <sz val="9"/>
            <color indexed="81"/>
            <rFont val="ＭＳ Ｐゴシック"/>
            <family val="3"/>
            <charset val="128"/>
          </rPr>
          <t>1：選択集計します。
0：選択しません。</t>
        </r>
      </text>
    </comment>
    <comment ref="D1313" authorId="0" shapeId="0" xr:uid="{00000000-0006-0000-0D00-0000FD040000}">
      <text>
        <r>
          <rPr>
            <sz val="9"/>
            <color indexed="81"/>
            <rFont val="ＭＳ Ｐゴシック"/>
            <family val="3"/>
            <charset val="128"/>
          </rPr>
          <t>1：選択集計します。
0：選択しません。</t>
        </r>
      </text>
    </comment>
    <comment ref="D1314" authorId="0" shapeId="0" xr:uid="{00000000-0006-0000-0D00-0000FE040000}">
      <text>
        <r>
          <rPr>
            <sz val="9"/>
            <color indexed="81"/>
            <rFont val="ＭＳ Ｐゴシック"/>
            <family val="3"/>
            <charset val="128"/>
          </rPr>
          <t>1：選択集計します。
0：選択しません。</t>
        </r>
      </text>
    </comment>
    <comment ref="D1315" authorId="0" shapeId="0" xr:uid="{00000000-0006-0000-0D00-0000FF040000}">
      <text>
        <r>
          <rPr>
            <sz val="9"/>
            <color indexed="81"/>
            <rFont val="ＭＳ Ｐゴシック"/>
            <family val="3"/>
            <charset val="128"/>
          </rPr>
          <t>1：選択集計します。
0：選択しません。</t>
        </r>
      </text>
    </comment>
    <comment ref="D1316" authorId="0" shapeId="0" xr:uid="{00000000-0006-0000-0D00-000000050000}">
      <text>
        <r>
          <rPr>
            <sz val="9"/>
            <color indexed="81"/>
            <rFont val="ＭＳ Ｐゴシック"/>
            <family val="3"/>
            <charset val="128"/>
          </rPr>
          <t>1：選択集計します。
0：選択しません。</t>
        </r>
      </text>
    </comment>
    <comment ref="D1317" authorId="0" shapeId="0" xr:uid="{00000000-0006-0000-0D00-000001050000}">
      <text>
        <r>
          <rPr>
            <sz val="9"/>
            <color indexed="81"/>
            <rFont val="ＭＳ Ｐゴシック"/>
            <family val="3"/>
            <charset val="128"/>
          </rPr>
          <t>1：選択集計します。
0：選択しません。</t>
        </r>
      </text>
    </comment>
    <comment ref="D1318" authorId="0" shapeId="0" xr:uid="{00000000-0006-0000-0D00-000002050000}">
      <text>
        <r>
          <rPr>
            <sz val="9"/>
            <color indexed="81"/>
            <rFont val="ＭＳ Ｐゴシック"/>
            <family val="3"/>
            <charset val="128"/>
          </rPr>
          <t>1：選択集計します。
0：選択しません。</t>
        </r>
      </text>
    </comment>
    <comment ref="D1319" authorId="0" shapeId="0" xr:uid="{00000000-0006-0000-0D00-000003050000}">
      <text>
        <r>
          <rPr>
            <sz val="9"/>
            <color indexed="81"/>
            <rFont val="ＭＳ Ｐゴシック"/>
            <family val="3"/>
            <charset val="128"/>
          </rPr>
          <t>1：選択集計します。
0：選択しません。</t>
        </r>
      </text>
    </comment>
    <comment ref="D1320" authorId="0" shapeId="0" xr:uid="{00000000-0006-0000-0D00-000004050000}">
      <text>
        <r>
          <rPr>
            <sz val="9"/>
            <color indexed="81"/>
            <rFont val="ＭＳ Ｐゴシック"/>
            <family val="3"/>
            <charset val="128"/>
          </rPr>
          <t>1：選択集計します。
0：選択しません。</t>
        </r>
      </text>
    </comment>
    <comment ref="D1321" authorId="0" shapeId="0" xr:uid="{00000000-0006-0000-0D00-000005050000}">
      <text>
        <r>
          <rPr>
            <sz val="9"/>
            <color indexed="81"/>
            <rFont val="ＭＳ Ｐゴシック"/>
            <family val="3"/>
            <charset val="128"/>
          </rPr>
          <t>1：選択集計します。
0：選択しません。</t>
        </r>
      </text>
    </comment>
    <comment ref="D1322" authorId="0" shapeId="0" xr:uid="{00000000-0006-0000-0D00-000006050000}">
      <text>
        <r>
          <rPr>
            <sz val="9"/>
            <color indexed="81"/>
            <rFont val="ＭＳ Ｐゴシック"/>
            <family val="3"/>
            <charset val="128"/>
          </rPr>
          <t>1：選択集計します。
0：選択しません。</t>
        </r>
      </text>
    </comment>
    <comment ref="D1323" authorId="0" shapeId="0" xr:uid="{00000000-0006-0000-0D00-000007050000}">
      <text>
        <r>
          <rPr>
            <sz val="9"/>
            <color indexed="81"/>
            <rFont val="ＭＳ Ｐゴシック"/>
            <family val="3"/>
            <charset val="128"/>
          </rPr>
          <t>1：選択集計します。
0：選択しません。</t>
        </r>
      </text>
    </comment>
    <comment ref="D1324" authorId="0" shapeId="0" xr:uid="{00000000-0006-0000-0D00-000008050000}">
      <text>
        <r>
          <rPr>
            <sz val="9"/>
            <color indexed="81"/>
            <rFont val="ＭＳ Ｐゴシック"/>
            <family val="3"/>
            <charset val="128"/>
          </rPr>
          <t>1：選択集計します。
0：選択しません。</t>
        </r>
      </text>
    </comment>
    <comment ref="D1325" authorId="0" shapeId="0" xr:uid="{00000000-0006-0000-0D00-000009050000}">
      <text>
        <r>
          <rPr>
            <sz val="9"/>
            <color indexed="81"/>
            <rFont val="ＭＳ Ｐゴシック"/>
            <family val="3"/>
            <charset val="128"/>
          </rPr>
          <t>1：選択集計します。
0：選択しません。</t>
        </r>
      </text>
    </comment>
    <comment ref="D1326" authorId="0" shapeId="0" xr:uid="{00000000-0006-0000-0D00-00000A050000}">
      <text>
        <r>
          <rPr>
            <sz val="9"/>
            <color indexed="81"/>
            <rFont val="ＭＳ Ｐゴシック"/>
            <family val="3"/>
            <charset val="128"/>
          </rPr>
          <t>1：選択集計します。
0：選択しません。</t>
        </r>
      </text>
    </comment>
    <comment ref="D1327" authorId="0" shapeId="0" xr:uid="{00000000-0006-0000-0D00-00000B050000}">
      <text>
        <r>
          <rPr>
            <sz val="9"/>
            <color indexed="81"/>
            <rFont val="ＭＳ Ｐゴシック"/>
            <family val="3"/>
            <charset val="128"/>
          </rPr>
          <t>1：選択集計します。
0：選択しません。</t>
        </r>
      </text>
    </comment>
    <comment ref="D1328" authorId="0" shapeId="0" xr:uid="{00000000-0006-0000-0D00-00000C050000}">
      <text>
        <r>
          <rPr>
            <sz val="9"/>
            <color indexed="81"/>
            <rFont val="ＭＳ Ｐゴシック"/>
            <family val="3"/>
            <charset val="128"/>
          </rPr>
          <t>1：選択集計します。
0：選択しません。</t>
        </r>
      </text>
    </comment>
    <comment ref="D1329" authorId="0" shapeId="0" xr:uid="{00000000-0006-0000-0D00-00000D050000}">
      <text>
        <r>
          <rPr>
            <sz val="9"/>
            <color indexed="81"/>
            <rFont val="ＭＳ Ｐゴシック"/>
            <family val="3"/>
            <charset val="128"/>
          </rPr>
          <t>1：選択集計します。
0：選択しません。</t>
        </r>
      </text>
    </comment>
    <comment ref="D1330" authorId="0" shapeId="0" xr:uid="{00000000-0006-0000-0D00-00000E050000}">
      <text>
        <r>
          <rPr>
            <sz val="9"/>
            <color indexed="81"/>
            <rFont val="ＭＳ Ｐゴシック"/>
            <family val="3"/>
            <charset val="128"/>
          </rPr>
          <t>1：選択集計します。
0：選択しません。</t>
        </r>
      </text>
    </comment>
    <comment ref="D1331" authorId="0" shapeId="0" xr:uid="{00000000-0006-0000-0D00-00000F050000}">
      <text>
        <r>
          <rPr>
            <sz val="9"/>
            <color indexed="81"/>
            <rFont val="ＭＳ Ｐゴシック"/>
            <family val="3"/>
            <charset val="128"/>
          </rPr>
          <t>1：選択集計します。
0：選択しません。</t>
        </r>
      </text>
    </comment>
    <comment ref="D1332" authorId="0" shapeId="0" xr:uid="{00000000-0006-0000-0D00-000010050000}">
      <text>
        <r>
          <rPr>
            <sz val="9"/>
            <color indexed="81"/>
            <rFont val="ＭＳ Ｐゴシック"/>
            <family val="3"/>
            <charset val="128"/>
          </rPr>
          <t>1：選択集計します。
0：選択しません。</t>
        </r>
      </text>
    </comment>
    <comment ref="D1333" authorId="0" shapeId="0" xr:uid="{00000000-0006-0000-0D00-000011050000}">
      <text>
        <r>
          <rPr>
            <sz val="9"/>
            <color indexed="81"/>
            <rFont val="ＭＳ Ｐゴシック"/>
            <family val="3"/>
            <charset val="128"/>
          </rPr>
          <t>1：選択集計します。
0：選択しません。</t>
        </r>
      </text>
    </comment>
    <comment ref="D1334" authorId="0" shapeId="0" xr:uid="{00000000-0006-0000-0D00-000012050000}">
      <text>
        <r>
          <rPr>
            <sz val="9"/>
            <color indexed="81"/>
            <rFont val="ＭＳ Ｐゴシック"/>
            <family val="3"/>
            <charset val="128"/>
          </rPr>
          <t>1：選択集計します。
0：選択しません。</t>
        </r>
      </text>
    </comment>
    <comment ref="D1335" authorId="0" shapeId="0" xr:uid="{00000000-0006-0000-0D00-000013050000}">
      <text>
        <r>
          <rPr>
            <sz val="9"/>
            <color indexed="81"/>
            <rFont val="ＭＳ Ｐゴシック"/>
            <family val="3"/>
            <charset val="128"/>
          </rPr>
          <t>1：選択集計します。
0：選択しません。</t>
        </r>
      </text>
    </comment>
    <comment ref="D1336" authorId="0" shapeId="0" xr:uid="{00000000-0006-0000-0D00-000014050000}">
      <text>
        <r>
          <rPr>
            <sz val="9"/>
            <color indexed="81"/>
            <rFont val="ＭＳ Ｐゴシック"/>
            <family val="3"/>
            <charset val="128"/>
          </rPr>
          <t>1：選択集計します。
0：選択しません。</t>
        </r>
      </text>
    </comment>
    <comment ref="D1337" authorId="0" shapeId="0" xr:uid="{00000000-0006-0000-0D00-000015050000}">
      <text>
        <r>
          <rPr>
            <sz val="9"/>
            <color indexed="81"/>
            <rFont val="ＭＳ Ｐゴシック"/>
            <family val="3"/>
            <charset val="128"/>
          </rPr>
          <t>1：選択集計します。
0：選択しません。</t>
        </r>
      </text>
    </comment>
    <comment ref="D1338" authorId="0" shapeId="0" xr:uid="{00000000-0006-0000-0D00-000016050000}">
      <text>
        <r>
          <rPr>
            <sz val="9"/>
            <color indexed="81"/>
            <rFont val="ＭＳ Ｐゴシック"/>
            <family val="3"/>
            <charset val="128"/>
          </rPr>
          <t>1：選択集計します。
0：選択しません。</t>
        </r>
      </text>
    </comment>
    <comment ref="D1339" authorId="0" shapeId="0" xr:uid="{00000000-0006-0000-0D00-000017050000}">
      <text>
        <r>
          <rPr>
            <sz val="9"/>
            <color indexed="81"/>
            <rFont val="ＭＳ Ｐゴシック"/>
            <family val="3"/>
            <charset val="128"/>
          </rPr>
          <t>1：選択集計します。
0：選択しません。</t>
        </r>
      </text>
    </comment>
    <comment ref="D1340" authorId="0" shapeId="0" xr:uid="{00000000-0006-0000-0D00-000018050000}">
      <text>
        <r>
          <rPr>
            <sz val="9"/>
            <color indexed="81"/>
            <rFont val="ＭＳ Ｐゴシック"/>
            <family val="3"/>
            <charset val="128"/>
          </rPr>
          <t>1：選択集計します。
0：選択しません。</t>
        </r>
      </text>
    </comment>
    <comment ref="D1341" authorId="0" shapeId="0" xr:uid="{00000000-0006-0000-0D00-000019050000}">
      <text>
        <r>
          <rPr>
            <sz val="9"/>
            <color indexed="81"/>
            <rFont val="ＭＳ Ｐゴシック"/>
            <family val="3"/>
            <charset val="128"/>
          </rPr>
          <t>1：選択集計します。
0：選択しません。</t>
        </r>
      </text>
    </comment>
    <comment ref="D1342" authorId="0" shapeId="0" xr:uid="{00000000-0006-0000-0D00-00001A050000}">
      <text>
        <r>
          <rPr>
            <sz val="9"/>
            <color indexed="81"/>
            <rFont val="ＭＳ Ｐゴシック"/>
            <family val="3"/>
            <charset val="128"/>
          </rPr>
          <t>1：選択集計します。
0：選択しません。</t>
        </r>
      </text>
    </comment>
    <comment ref="D1343" authorId="0" shapeId="0" xr:uid="{00000000-0006-0000-0D00-00001B050000}">
      <text>
        <r>
          <rPr>
            <sz val="9"/>
            <color indexed="81"/>
            <rFont val="ＭＳ Ｐゴシック"/>
            <family val="3"/>
            <charset val="128"/>
          </rPr>
          <t>1：選択集計します。
0：選択しません。</t>
        </r>
      </text>
    </comment>
    <comment ref="D1344" authorId="0" shapeId="0" xr:uid="{00000000-0006-0000-0D00-00001C050000}">
      <text>
        <r>
          <rPr>
            <sz val="9"/>
            <color indexed="81"/>
            <rFont val="ＭＳ Ｐゴシック"/>
            <family val="3"/>
            <charset val="128"/>
          </rPr>
          <t>1：選択集計します。
0：選択しません。</t>
        </r>
      </text>
    </comment>
    <comment ref="D1345" authorId="0" shapeId="0" xr:uid="{00000000-0006-0000-0D00-00001D050000}">
      <text>
        <r>
          <rPr>
            <sz val="9"/>
            <color indexed="81"/>
            <rFont val="ＭＳ Ｐゴシック"/>
            <family val="3"/>
            <charset val="128"/>
          </rPr>
          <t>1：選択集計します。
0：選択しません。</t>
        </r>
      </text>
    </comment>
    <comment ref="D1346" authorId="0" shapeId="0" xr:uid="{00000000-0006-0000-0D00-00001E050000}">
      <text>
        <r>
          <rPr>
            <sz val="9"/>
            <color indexed="81"/>
            <rFont val="ＭＳ Ｐゴシック"/>
            <family val="3"/>
            <charset val="128"/>
          </rPr>
          <t>1：選択集計します。
0：選択しません。</t>
        </r>
      </text>
    </comment>
    <comment ref="D1347" authorId="0" shapeId="0" xr:uid="{00000000-0006-0000-0D00-00001F050000}">
      <text>
        <r>
          <rPr>
            <sz val="9"/>
            <color indexed="81"/>
            <rFont val="ＭＳ Ｐゴシック"/>
            <family val="3"/>
            <charset val="128"/>
          </rPr>
          <t>1：選択集計します。
0：選択しません。</t>
        </r>
      </text>
    </comment>
    <comment ref="D1348" authorId="0" shapeId="0" xr:uid="{00000000-0006-0000-0D00-000020050000}">
      <text>
        <r>
          <rPr>
            <sz val="9"/>
            <color indexed="81"/>
            <rFont val="ＭＳ Ｐゴシック"/>
            <family val="3"/>
            <charset val="128"/>
          </rPr>
          <t>1：選択集計します。
0：選択しません。</t>
        </r>
      </text>
    </comment>
    <comment ref="D1349" authorId="0" shapeId="0" xr:uid="{00000000-0006-0000-0D00-000021050000}">
      <text>
        <r>
          <rPr>
            <sz val="9"/>
            <color indexed="81"/>
            <rFont val="ＭＳ Ｐゴシック"/>
            <family val="3"/>
            <charset val="128"/>
          </rPr>
          <t>1：選択集計します。
0：選択しません。</t>
        </r>
      </text>
    </comment>
    <comment ref="D1350" authorId="0" shapeId="0" xr:uid="{00000000-0006-0000-0D00-000022050000}">
      <text>
        <r>
          <rPr>
            <sz val="9"/>
            <color indexed="81"/>
            <rFont val="ＭＳ Ｐゴシック"/>
            <family val="3"/>
            <charset val="128"/>
          </rPr>
          <t>1：選択集計します。
0：選択しません。</t>
        </r>
      </text>
    </comment>
    <comment ref="D1351" authorId="0" shapeId="0" xr:uid="{00000000-0006-0000-0D00-000023050000}">
      <text>
        <r>
          <rPr>
            <sz val="9"/>
            <color indexed="81"/>
            <rFont val="ＭＳ Ｐゴシック"/>
            <family val="3"/>
            <charset val="128"/>
          </rPr>
          <t>1：選択集計します。
0：選択しません。</t>
        </r>
      </text>
    </comment>
    <comment ref="D1352" authorId="0" shapeId="0" xr:uid="{00000000-0006-0000-0D00-000024050000}">
      <text>
        <r>
          <rPr>
            <sz val="9"/>
            <color indexed="81"/>
            <rFont val="ＭＳ Ｐゴシック"/>
            <family val="3"/>
            <charset val="128"/>
          </rPr>
          <t>1：選択集計します。
0：選択しません。</t>
        </r>
      </text>
    </comment>
    <comment ref="D1353" authorId="0" shapeId="0" xr:uid="{00000000-0006-0000-0D00-000025050000}">
      <text>
        <r>
          <rPr>
            <sz val="9"/>
            <color indexed="81"/>
            <rFont val="ＭＳ Ｐゴシック"/>
            <family val="3"/>
            <charset val="128"/>
          </rPr>
          <t>1：選択集計します。
0：選択しません。</t>
        </r>
      </text>
    </comment>
    <comment ref="D1354" authorId="0" shapeId="0" xr:uid="{00000000-0006-0000-0D00-000026050000}">
      <text>
        <r>
          <rPr>
            <sz val="9"/>
            <color indexed="81"/>
            <rFont val="ＭＳ Ｐゴシック"/>
            <family val="3"/>
            <charset val="128"/>
          </rPr>
          <t>1：選択集計します。
0：選択しません。</t>
        </r>
      </text>
    </comment>
    <comment ref="D1355" authorId="0" shapeId="0" xr:uid="{00000000-0006-0000-0D00-000027050000}">
      <text>
        <r>
          <rPr>
            <sz val="9"/>
            <color indexed="81"/>
            <rFont val="ＭＳ Ｐゴシック"/>
            <family val="3"/>
            <charset val="128"/>
          </rPr>
          <t>1：選択集計します。
0：選択しません。</t>
        </r>
      </text>
    </comment>
    <comment ref="D1356" authorId="0" shapeId="0" xr:uid="{00000000-0006-0000-0D00-000028050000}">
      <text>
        <r>
          <rPr>
            <sz val="9"/>
            <color indexed="81"/>
            <rFont val="ＭＳ Ｐゴシック"/>
            <family val="3"/>
            <charset val="128"/>
          </rPr>
          <t>1：選択集計します。
0：選択しません。</t>
        </r>
      </text>
    </comment>
    <comment ref="D1357" authorId="0" shapeId="0" xr:uid="{00000000-0006-0000-0D00-000029050000}">
      <text>
        <r>
          <rPr>
            <sz val="9"/>
            <color indexed="81"/>
            <rFont val="ＭＳ Ｐゴシック"/>
            <family val="3"/>
            <charset val="128"/>
          </rPr>
          <t>1：選択集計します。
0：選択しません。</t>
        </r>
      </text>
    </comment>
    <comment ref="D1358" authorId="0" shapeId="0" xr:uid="{00000000-0006-0000-0D00-00002A050000}">
      <text>
        <r>
          <rPr>
            <sz val="9"/>
            <color indexed="81"/>
            <rFont val="ＭＳ Ｐゴシック"/>
            <family val="3"/>
            <charset val="128"/>
          </rPr>
          <t>1：選択集計します。
0：選択しません。</t>
        </r>
      </text>
    </comment>
    <comment ref="D1359" authorId="0" shapeId="0" xr:uid="{00000000-0006-0000-0D00-00002B050000}">
      <text>
        <r>
          <rPr>
            <sz val="9"/>
            <color indexed="81"/>
            <rFont val="ＭＳ Ｐゴシック"/>
            <family val="3"/>
            <charset val="128"/>
          </rPr>
          <t>1：選択集計します。
0：選択しません。</t>
        </r>
      </text>
    </comment>
    <comment ref="D1360" authorId="0" shapeId="0" xr:uid="{00000000-0006-0000-0D00-00002C050000}">
      <text>
        <r>
          <rPr>
            <sz val="9"/>
            <color indexed="81"/>
            <rFont val="ＭＳ Ｐゴシック"/>
            <family val="3"/>
            <charset val="128"/>
          </rPr>
          <t>1：選択集計します。
0：選択しません。</t>
        </r>
      </text>
    </comment>
    <comment ref="D1361" authorId="0" shapeId="0" xr:uid="{00000000-0006-0000-0D00-00002D050000}">
      <text>
        <r>
          <rPr>
            <sz val="9"/>
            <color indexed="81"/>
            <rFont val="ＭＳ Ｐゴシック"/>
            <family val="3"/>
            <charset val="128"/>
          </rPr>
          <t>1：選択集計します。
0：選択しません。</t>
        </r>
      </text>
    </comment>
    <comment ref="D1362" authorId="0" shapeId="0" xr:uid="{00000000-0006-0000-0D00-00002E050000}">
      <text>
        <r>
          <rPr>
            <sz val="9"/>
            <color indexed="81"/>
            <rFont val="ＭＳ Ｐゴシック"/>
            <family val="3"/>
            <charset val="128"/>
          </rPr>
          <t>1：選択集計します。
0：選択しません。</t>
        </r>
      </text>
    </comment>
    <comment ref="D1363" authorId="0" shapeId="0" xr:uid="{00000000-0006-0000-0D00-00002F050000}">
      <text>
        <r>
          <rPr>
            <sz val="9"/>
            <color indexed="81"/>
            <rFont val="ＭＳ Ｐゴシック"/>
            <family val="3"/>
            <charset val="128"/>
          </rPr>
          <t>1：選択集計します。
0：選択しません。</t>
        </r>
      </text>
    </comment>
    <comment ref="D1364" authorId="0" shapeId="0" xr:uid="{00000000-0006-0000-0D00-000030050000}">
      <text>
        <r>
          <rPr>
            <sz val="9"/>
            <color indexed="81"/>
            <rFont val="ＭＳ Ｐゴシック"/>
            <family val="3"/>
            <charset val="128"/>
          </rPr>
          <t>1：選択集計します。
0：選択しません。</t>
        </r>
      </text>
    </comment>
    <comment ref="D1365" authorId="0" shapeId="0" xr:uid="{00000000-0006-0000-0D00-000031050000}">
      <text>
        <r>
          <rPr>
            <sz val="9"/>
            <color indexed="81"/>
            <rFont val="ＭＳ Ｐゴシック"/>
            <family val="3"/>
            <charset val="128"/>
          </rPr>
          <t>1：選択集計します。
0：選択しません。</t>
        </r>
      </text>
    </comment>
    <comment ref="D1366" authorId="0" shapeId="0" xr:uid="{00000000-0006-0000-0D00-000032050000}">
      <text>
        <r>
          <rPr>
            <sz val="9"/>
            <color indexed="81"/>
            <rFont val="ＭＳ Ｐゴシック"/>
            <family val="3"/>
            <charset val="128"/>
          </rPr>
          <t>1：選択集計します。
0：選択しません。</t>
        </r>
      </text>
    </comment>
    <comment ref="H1369" authorId="0" shapeId="0" xr:uid="{00000000-0006-0000-0D00-000033050000}">
      <text>
        <r>
          <rPr>
            <sz val="9"/>
            <color indexed="81"/>
            <rFont val="ＭＳ Ｐゴシック"/>
            <family val="3"/>
            <charset val="128"/>
          </rPr>
          <t>選択列に 1 を入力した工類が集計されます。</t>
        </r>
      </text>
    </comment>
    <comment ref="D1370" authorId="0" shapeId="0" xr:uid="{00000000-0006-0000-0D00-000034050000}">
      <text>
        <r>
          <rPr>
            <sz val="9"/>
            <color indexed="81"/>
            <rFont val="ＭＳ Ｐゴシック"/>
            <family val="3"/>
            <charset val="128"/>
          </rPr>
          <t>1：選択集計します。
0：選択しません。</t>
        </r>
      </text>
    </comment>
    <comment ref="D1371" authorId="0" shapeId="0" xr:uid="{00000000-0006-0000-0D00-000035050000}">
      <text>
        <r>
          <rPr>
            <sz val="9"/>
            <color indexed="81"/>
            <rFont val="ＭＳ Ｐゴシック"/>
            <family val="3"/>
            <charset val="128"/>
          </rPr>
          <t>1：選択集計します。
0：選択しません。</t>
        </r>
      </text>
    </comment>
    <comment ref="D1372" authorId="0" shapeId="0" xr:uid="{00000000-0006-0000-0D00-000036050000}">
      <text>
        <r>
          <rPr>
            <sz val="9"/>
            <color indexed="81"/>
            <rFont val="ＭＳ Ｐゴシック"/>
            <family val="3"/>
            <charset val="128"/>
          </rPr>
          <t>1：選択集計します。
0：選択しません。</t>
        </r>
      </text>
    </comment>
    <comment ref="D1373" authorId="0" shapeId="0" xr:uid="{00000000-0006-0000-0D00-000037050000}">
      <text>
        <r>
          <rPr>
            <sz val="9"/>
            <color indexed="81"/>
            <rFont val="ＭＳ Ｐゴシック"/>
            <family val="3"/>
            <charset val="128"/>
          </rPr>
          <t>1：選択集計します。
0：選択しません。</t>
        </r>
      </text>
    </comment>
    <comment ref="D1374" authorId="0" shapeId="0" xr:uid="{00000000-0006-0000-0D00-000038050000}">
      <text>
        <r>
          <rPr>
            <sz val="9"/>
            <color indexed="81"/>
            <rFont val="ＭＳ Ｐゴシック"/>
            <family val="3"/>
            <charset val="128"/>
          </rPr>
          <t>1：選択集計します。
0：選択しません。</t>
        </r>
      </text>
    </comment>
    <comment ref="D1375" authorId="0" shapeId="0" xr:uid="{00000000-0006-0000-0D00-000039050000}">
      <text>
        <r>
          <rPr>
            <sz val="9"/>
            <color indexed="81"/>
            <rFont val="ＭＳ Ｐゴシック"/>
            <family val="3"/>
            <charset val="128"/>
          </rPr>
          <t>1：選択集計します。
0：選択しません。</t>
        </r>
      </text>
    </comment>
    <comment ref="D1376" authorId="0" shapeId="0" xr:uid="{00000000-0006-0000-0D00-00003A050000}">
      <text>
        <r>
          <rPr>
            <sz val="9"/>
            <color indexed="81"/>
            <rFont val="ＭＳ Ｐゴシック"/>
            <family val="3"/>
            <charset val="128"/>
          </rPr>
          <t>1：選択集計します。
0：選択しません。</t>
        </r>
      </text>
    </comment>
    <comment ref="D1377" authorId="0" shapeId="0" xr:uid="{00000000-0006-0000-0D00-00003B050000}">
      <text>
        <r>
          <rPr>
            <sz val="9"/>
            <color indexed="81"/>
            <rFont val="ＭＳ Ｐゴシック"/>
            <family val="3"/>
            <charset val="128"/>
          </rPr>
          <t>1：選択集計します。
0：選択しません。</t>
        </r>
      </text>
    </comment>
    <comment ref="D1378" authorId="0" shapeId="0" xr:uid="{00000000-0006-0000-0D00-00003C050000}">
      <text>
        <r>
          <rPr>
            <sz val="9"/>
            <color indexed="81"/>
            <rFont val="ＭＳ Ｐゴシック"/>
            <family val="3"/>
            <charset val="128"/>
          </rPr>
          <t>1：選択集計します。
0：選択しません。</t>
        </r>
      </text>
    </comment>
    <comment ref="D1379" authorId="0" shapeId="0" xr:uid="{00000000-0006-0000-0D00-00003D050000}">
      <text>
        <r>
          <rPr>
            <sz val="9"/>
            <color indexed="81"/>
            <rFont val="ＭＳ Ｐゴシック"/>
            <family val="3"/>
            <charset val="128"/>
          </rPr>
          <t>1：選択集計します。
0：選択しません。</t>
        </r>
      </text>
    </comment>
    <comment ref="D1380" authorId="0" shapeId="0" xr:uid="{00000000-0006-0000-0D00-00003E050000}">
      <text>
        <r>
          <rPr>
            <sz val="9"/>
            <color indexed="81"/>
            <rFont val="ＭＳ Ｐゴシック"/>
            <family val="3"/>
            <charset val="128"/>
          </rPr>
          <t>1：選択集計します。
0：選択しません。</t>
        </r>
      </text>
    </comment>
    <comment ref="D1381" authorId="0" shapeId="0" xr:uid="{00000000-0006-0000-0D00-00003F050000}">
      <text>
        <r>
          <rPr>
            <sz val="9"/>
            <color indexed="81"/>
            <rFont val="ＭＳ Ｐゴシック"/>
            <family val="3"/>
            <charset val="128"/>
          </rPr>
          <t>1：選択集計します。
0：選択しません。</t>
        </r>
      </text>
    </comment>
    <comment ref="D1382" authorId="0" shapeId="0" xr:uid="{00000000-0006-0000-0D00-000040050000}">
      <text>
        <r>
          <rPr>
            <sz val="9"/>
            <color indexed="81"/>
            <rFont val="ＭＳ Ｐゴシック"/>
            <family val="3"/>
            <charset val="128"/>
          </rPr>
          <t>1：選択集計します。
0：選択しません。</t>
        </r>
      </text>
    </comment>
    <comment ref="D1383" authorId="0" shapeId="0" xr:uid="{00000000-0006-0000-0D00-000041050000}">
      <text>
        <r>
          <rPr>
            <sz val="9"/>
            <color indexed="81"/>
            <rFont val="ＭＳ Ｐゴシック"/>
            <family val="3"/>
            <charset val="128"/>
          </rPr>
          <t>1：選択集計します。
0：選択しません。</t>
        </r>
      </text>
    </comment>
    <comment ref="D1384" authorId="0" shapeId="0" xr:uid="{00000000-0006-0000-0D00-000042050000}">
      <text>
        <r>
          <rPr>
            <sz val="9"/>
            <color indexed="81"/>
            <rFont val="ＭＳ Ｐゴシック"/>
            <family val="3"/>
            <charset val="128"/>
          </rPr>
          <t>1：選択集計します。
0：選択しません。</t>
        </r>
      </text>
    </comment>
    <comment ref="D1385" authorId="0" shapeId="0" xr:uid="{00000000-0006-0000-0D00-000043050000}">
      <text>
        <r>
          <rPr>
            <sz val="9"/>
            <color indexed="81"/>
            <rFont val="ＭＳ Ｐゴシック"/>
            <family val="3"/>
            <charset val="128"/>
          </rPr>
          <t>1：選択集計します。
0：選択しません。</t>
        </r>
      </text>
    </comment>
    <comment ref="D1386" authorId="0" shapeId="0" xr:uid="{00000000-0006-0000-0D00-000044050000}">
      <text>
        <r>
          <rPr>
            <sz val="9"/>
            <color indexed="81"/>
            <rFont val="ＭＳ Ｐゴシック"/>
            <family val="3"/>
            <charset val="128"/>
          </rPr>
          <t>1：選択集計します。
0：選択しません。</t>
        </r>
      </text>
    </comment>
    <comment ref="D1387" authorId="0" shapeId="0" xr:uid="{00000000-0006-0000-0D00-000045050000}">
      <text>
        <r>
          <rPr>
            <sz val="9"/>
            <color indexed="81"/>
            <rFont val="ＭＳ Ｐゴシック"/>
            <family val="3"/>
            <charset val="128"/>
          </rPr>
          <t>1：選択集計します。
0：選択しません。</t>
        </r>
      </text>
    </comment>
    <comment ref="D1388" authorId="0" shapeId="0" xr:uid="{00000000-0006-0000-0D00-000046050000}">
      <text>
        <r>
          <rPr>
            <sz val="9"/>
            <color indexed="81"/>
            <rFont val="ＭＳ Ｐゴシック"/>
            <family val="3"/>
            <charset val="128"/>
          </rPr>
          <t>1：選択集計します。
0：選択しません。</t>
        </r>
      </text>
    </comment>
    <comment ref="D1389" authorId="0" shapeId="0" xr:uid="{00000000-0006-0000-0D00-000047050000}">
      <text>
        <r>
          <rPr>
            <sz val="9"/>
            <color indexed="81"/>
            <rFont val="ＭＳ Ｐゴシック"/>
            <family val="3"/>
            <charset val="128"/>
          </rPr>
          <t>1：選択集計します。
0：選択しません。</t>
        </r>
      </text>
    </comment>
    <comment ref="D1390" authorId="0" shapeId="0" xr:uid="{00000000-0006-0000-0D00-000048050000}">
      <text>
        <r>
          <rPr>
            <sz val="9"/>
            <color indexed="81"/>
            <rFont val="ＭＳ Ｐゴシック"/>
            <family val="3"/>
            <charset val="128"/>
          </rPr>
          <t>1：選択集計します。
0：選択しません。</t>
        </r>
      </text>
    </comment>
    <comment ref="D1391" authorId="0" shapeId="0" xr:uid="{00000000-0006-0000-0D00-000049050000}">
      <text>
        <r>
          <rPr>
            <sz val="9"/>
            <color indexed="81"/>
            <rFont val="ＭＳ Ｐゴシック"/>
            <family val="3"/>
            <charset val="128"/>
          </rPr>
          <t>1：選択集計します。
0：選択しません。</t>
        </r>
      </text>
    </comment>
    <comment ref="D1392" authorId="0" shapeId="0" xr:uid="{00000000-0006-0000-0D00-00004A050000}">
      <text>
        <r>
          <rPr>
            <sz val="9"/>
            <color indexed="81"/>
            <rFont val="ＭＳ Ｐゴシック"/>
            <family val="3"/>
            <charset val="128"/>
          </rPr>
          <t>1：選択集計します。
0：選択しません。</t>
        </r>
      </text>
    </comment>
    <comment ref="D1393" authorId="0" shapeId="0" xr:uid="{00000000-0006-0000-0D00-00004B050000}">
      <text>
        <r>
          <rPr>
            <sz val="9"/>
            <color indexed="81"/>
            <rFont val="ＭＳ Ｐゴシック"/>
            <family val="3"/>
            <charset val="128"/>
          </rPr>
          <t>1：選択集計します。
0：選択しません。</t>
        </r>
      </text>
    </comment>
    <comment ref="D1394" authorId="0" shapeId="0" xr:uid="{00000000-0006-0000-0D00-00004C050000}">
      <text>
        <r>
          <rPr>
            <sz val="9"/>
            <color indexed="81"/>
            <rFont val="ＭＳ Ｐゴシック"/>
            <family val="3"/>
            <charset val="128"/>
          </rPr>
          <t>1：選択集計します。
0：選択しません。</t>
        </r>
      </text>
    </comment>
    <comment ref="D1395" authorId="0" shapeId="0" xr:uid="{00000000-0006-0000-0D00-00004D050000}">
      <text>
        <r>
          <rPr>
            <sz val="9"/>
            <color indexed="81"/>
            <rFont val="ＭＳ Ｐゴシック"/>
            <family val="3"/>
            <charset val="128"/>
          </rPr>
          <t>1：選択集計します。
0：選択しません。</t>
        </r>
      </text>
    </comment>
    <comment ref="D1396" authorId="0" shapeId="0" xr:uid="{00000000-0006-0000-0D00-00004E050000}">
      <text>
        <r>
          <rPr>
            <sz val="9"/>
            <color indexed="81"/>
            <rFont val="ＭＳ Ｐゴシック"/>
            <family val="3"/>
            <charset val="128"/>
          </rPr>
          <t>1：選択集計します。
0：選択しません。</t>
        </r>
      </text>
    </comment>
    <comment ref="D1397" authorId="0" shapeId="0" xr:uid="{00000000-0006-0000-0D00-00004F050000}">
      <text>
        <r>
          <rPr>
            <sz val="9"/>
            <color indexed="81"/>
            <rFont val="ＭＳ Ｐゴシック"/>
            <family val="3"/>
            <charset val="128"/>
          </rPr>
          <t>1：選択集計します。
0：選択しません。</t>
        </r>
      </text>
    </comment>
    <comment ref="D1398" authorId="0" shapeId="0" xr:uid="{00000000-0006-0000-0D00-000050050000}">
      <text>
        <r>
          <rPr>
            <sz val="9"/>
            <color indexed="81"/>
            <rFont val="ＭＳ Ｐゴシック"/>
            <family val="3"/>
            <charset val="128"/>
          </rPr>
          <t>1：選択集計します。
0：選択しません。</t>
        </r>
      </text>
    </comment>
    <comment ref="D1399" authorId="0" shapeId="0" xr:uid="{00000000-0006-0000-0D00-000051050000}">
      <text>
        <r>
          <rPr>
            <sz val="9"/>
            <color indexed="81"/>
            <rFont val="ＭＳ Ｐゴシック"/>
            <family val="3"/>
            <charset val="128"/>
          </rPr>
          <t>1：選択集計します。
0：選択しません。</t>
        </r>
      </text>
    </comment>
    <comment ref="D1400" authorId="0" shapeId="0" xr:uid="{00000000-0006-0000-0D00-000052050000}">
      <text>
        <r>
          <rPr>
            <sz val="9"/>
            <color indexed="81"/>
            <rFont val="ＭＳ Ｐゴシック"/>
            <family val="3"/>
            <charset val="128"/>
          </rPr>
          <t>1：選択集計します。
0：選択しません。</t>
        </r>
      </text>
    </comment>
    <comment ref="D1401" authorId="0" shapeId="0" xr:uid="{00000000-0006-0000-0D00-000053050000}">
      <text>
        <r>
          <rPr>
            <sz val="9"/>
            <color indexed="81"/>
            <rFont val="ＭＳ Ｐゴシック"/>
            <family val="3"/>
            <charset val="128"/>
          </rPr>
          <t>1：選択集計します。
0：選択しません。</t>
        </r>
      </text>
    </comment>
    <comment ref="D1402" authorId="0" shapeId="0" xr:uid="{00000000-0006-0000-0D00-000054050000}">
      <text>
        <r>
          <rPr>
            <sz val="9"/>
            <color indexed="81"/>
            <rFont val="ＭＳ Ｐゴシック"/>
            <family val="3"/>
            <charset val="128"/>
          </rPr>
          <t>1：選択集計します。
0：選択しません。</t>
        </r>
      </text>
    </comment>
    <comment ref="D1403" authorId="0" shapeId="0" xr:uid="{00000000-0006-0000-0D00-000055050000}">
      <text>
        <r>
          <rPr>
            <sz val="9"/>
            <color indexed="81"/>
            <rFont val="ＭＳ Ｐゴシック"/>
            <family val="3"/>
            <charset val="128"/>
          </rPr>
          <t>1：選択集計します。
0：選択しません。</t>
        </r>
      </text>
    </comment>
    <comment ref="D1404" authorId="0" shapeId="0" xr:uid="{00000000-0006-0000-0D00-000056050000}">
      <text>
        <r>
          <rPr>
            <sz val="9"/>
            <color indexed="81"/>
            <rFont val="ＭＳ Ｐゴシック"/>
            <family val="3"/>
            <charset val="128"/>
          </rPr>
          <t>1：選択集計します。
0：選択しません。</t>
        </r>
      </text>
    </comment>
    <comment ref="D1405" authorId="0" shapeId="0" xr:uid="{00000000-0006-0000-0D00-000057050000}">
      <text>
        <r>
          <rPr>
            <sz val="9"/>
            <color indexed="81"/>
            <rFont val="ＭＳ Ｐゴシック"/>
            <family val="3"/>
            <charset val="128"/>
          </rPr>
          <t>1：選択集計します。
0：選択しません。</t>
        </r>
      </text>
    </comment>
    <comment ref="D1406" authorId="0" shapeId="0" xr:uid="{00000000-0006-0000-0D00-000058050000}">
      <text>
        <r>
          <rPr>
            <sz val="9"/>
            <color indexed="81"/>
            <rFont val="ＭＳ Ｐゴシック"/>
            <family val="3"/>
            <charset val="128"/>
          </rPr>
          <t>1：選択集計します。
0：選択しません。</t>
        </r>
      </text>
    </comment>
    <comment ref="D1407" authorId="0" shapeId="0" xr:uid="{00000000-0006-0000-0D00-000059050000}">
      <text>
        <r>
          <rPr>
            <sz val="9"/>
            <color indexed="81"/>
            <rFont val="ＭＳ Ｐゴシック"/>
            <family val="3"/>
            <charset val="128"/>
          </rPr>
          <t>1：選択集計します。
0：選択しません。</t>
        </r>
      </text>
    </comment>
    <comment ref="D1408" authorId="0" shapeId="0" xr:uid="{00000000-0006-0000-0D00-00005A050000}">
      <text>
        <r>
          <rPr>
            <sz val="9"/>
            <color indexed="81"/>
            <rFont val="ＭＳ Ｐゴシック"/>
            <family val="3"/>
            <charset val="128"/>
          </rPr>
          <t>1：選択集計します。
0：選択しません。</t>
        </r>
      </text>
    </comment>
    <comment ref="D1409" authorId="0" shapeId="0" xr:uid="{00000000-0006-0000-0D00-00005B050000}">
      <text>
        <r>
          <rPr>
            <sz val="9"/>
            <color indexed="81"/>
            <rFont val="ＭＳ Ｐゴシック"/>
            <family val="3"/>
            <charset val="128"/>
          </rPr>
          <t>1：選択集計します。
0：選択しません。</t>
        </r>
      </text>
    </comment>
    <comment ref="D1410" authorId="0" shapeId="0" xr:uid="{00000000-0006-0000-0D00-00005C050000}">
      <text>
        <r>
          <rPr>
            <sz val="9"/>
            <color indexed="81"/>
            <rFont val="ＭＳ Ｐゴシック"/>
            <family val="3"/>
            <charset val="128"/>
          </rPr>
          <t>1：選択集計します。
0：選択しません。</t>
        </r>
      </text>
    </comment>
    <comment ref="D1411" authorId="0" shapeId="0" xr:uid="{00000000-0006-0000-0D00-00005D050000}">
      <text>
        <r>
          <rPr>
            <sz val="9"/>
            <color indexed="81"/>
            <rFont val="ＭＳ Ｐゴシック"/>
            <family val="3"/>
            <charset val="128"/>
          </rPr>
          <t>1：選択集計します。
0：選択しません。</t>
        </r>
      </text>
    </comment>
    <comment ref="D1412" authorId="0" shapeId="0" xr:uid="{00000000-0006-0000-0D00-00005E050000}">
      <text>
        <r>
          <rPr>
            <sz val="9"/>
            <color indexed="81"/>
            <rFont val="ＭＳ Ｐゴシック"/>
            <family val="3"/>
            <charset val="128"/>
          </rPr>
          <t>1：選択集計します。
0：選択しません。</t>
        </r>
      </text>
    </comment>
    <comment ref="D1413" authorId="0" shapeId="0" xr:uid="{00000000-0006-0000-0D00-00005F050000}">
      <text>
        <r>
          <rPr>
            <sz val="9"/>
            <color indexed="81"/>
            <rFont val="ＭＳ Ｐゴシック"/>
            <family val="3"/>
            <charset val="128"/>
          </rPr>
          <t>1：選択集計します。
0：選択しません。</t>
        </r>
      </text>
    </comment>
    <comment ref="D1414" authorId="0" shapeId="0" xr:uid="{00000000-0006-0000-0D00-000060050000}">
      <text>
        <r>
          <rPr>
            <sz val="9"/>
            <color indexed="81"/>
            <rFont val="ＭＳ Ｐゴシック"/>
            <family val="3"/>
            <charset val="128"/>
          </rPr>
          <t>1：選択集計します。
0：選択しません。</t>
        </r>
      </text>
    </comment>
    <comment ref="D1415" authorId="0" shapeId="0" xr:uid="{00000000-0006-0000-0D00-000061050000}">
      <text>
        <r>
          <rPr>
            <sz val="9"/>
            <color indexed="81"/>
            <rFont val="ＭＳ Ｐゴシック"/>
            <family val="3"/>
            <charset val="128"/>
          </rPr>
          <t>1：選択集計します。
0：選択しません。</t>
        </r>
      </text>
    </comment>
    <comment ref="D1416" authorId="0" shapeId="0" xr:uid="{00000000-0006-0000-0D00-000062050000}">
      <text>
        <r>
          <rPr>
            <sz val="9"/>
            <color indexed="81"/>
            <rFont val="ＭＳ Ｐゴシック"/>
            <family val="3"/>
            <charset val="128"/>
          </rPr>
          <t>1：選択集計します。
0：選択しません。</t>
        </r>
      </text>
    </comment>
    <comment ref="D1417" authorId="0" shapeId="0" xr:uid="{00000000-0006-0000-0D00-000063050000}">
      <text>
        <r>
          <rPr>
            <sz val="9"/>
            <color indexed="81"/>
            <rFont val="ＭＳ Ｐゴシック"/>
            <family val="3"/>
            <charset val="128"/>
          </rPr>
          <t>1：選択集計します。
0：選択しません。</t>
        </r>
      </text>
    </comment>
    <comment ref="D1418" authorId="0" shapeId="0" xr:uid="{00000000-0006-0000-0D00-000064050000}">
      <text>
        <r>
          <rPr>
            <sz val="9"/>
            <color indexed="81"/>
            <rFont val="ＭＳ Ｐゴシック"/>
            <family val="3"/>
            <charset val="128"/>
          </rPr>
          <t>1：選択集計します。
0：選択しません。</t>
        </r>
      </text>
    </comment>
    <comment ref="D1419" authorId="0" shapeId="0" xr:uid="{00000000-0006-0000-0D00-000065050000}">
      <text>
        <r>
          <rPr>
            <sz val="9"/>
            <color indexed="81"/>
            <rFont val="ＭＳ Ｐゴシック"/>
            <family val="3"/>
            <charset val="128"/>
          </rPr>
          <t>1：選択集計します。
0：選択しません。</t>
        </r>
      </text>
    </comment>
    <comment ref="D1420" authorId="0" shapeId="0" xr:uid="{00000000-0006-0000-0D00-000066050000}">
      <text>
        <r>
          <rPr>
            <sz val="9"/>
            <color indexed="81"/>
            <rFont val="ＭＳ Ｐゴシック"/>
            <family val="3"/>
            <charset val="128"/>
          </rPr>
          <t>1：選択集計します。
0：選択しません。</t>
        </r>
      </text>
    </comment>
    <comment ref="D1421" authorId="0" shapeId="0" xr:uid="{00000000-0006-0000-0D00-000067050000}">
      <text>
        <r>
          <rPr>
            <sz val="9"/>
            <color indexed="81"/>
            <rFont val="ＭＳ Ｐゴシック"/>
            <family val="3"/>
            <charset val="128"/>
          </rPr>
          <t>1：選択集計します。
0：選択しません。</t>
        </r>
      </text>
    </comment>
    <comment ref="D1422" authorId="0" shapeId="0" xr:uid="{00000000-0006-0000-0D00-000068050000}">
      <text>
        <r>
          <rPr>
            <sz val="9"/>
            <color indexed="81"/>
            <rFont val="ＭＳ Ｐゴシック"/>
            <family val="3"/>
            <charset val="128"/>
          </rPr>
          <t>1：選択集計します。
0：選択しません。</t>
        </r>
      </text>
    </comment>
    <comment ref="D1423" authorId="0" shapeId="0" xr:uid="{00000000-0006-0000-0D00-000069050000}">
      <text>
        <r>
          <rPr>
            <sz val="9"/>
            <color indexed="81"/>
            <rFont val="ＭＳ Ｐゴシック"/>
            <family val="3"/>
            <charset val="128"/>
          </rPr>
          <t>1：選択集計します。
0：選択しません。</t>
        </r>
      </text>
    </comment>
    <comment ref="D1424" authorId="0" shapeId="0" xr:uid="{00000000-0006-0000-0D00-00006A050000}">
      <text>
        <r>
          <rPr>
            <sz val="9"/>
            <color indexed="81"/>
            <rFont val="ＭＳ Ｐゴシック"/>
            <family val="3"/>
            <charset val="128"/>
          </rPr>
          <t>1：選択集計します。
0：選択しません。</t>
        </r>
      </text>
    </comment>
    <comment ref="D1425" authorId="0" shapeId="0" xr:uid="{00000000-0006-0000-0D00-00006B050000}">
      <text>
        <r>
          <rPr>
            <sz val="9"/>
            <color indexed="81"/>
            <rFont val="ＭＳ Ｐゴシック"/>
            <family val="3"/>
            <charset val="128"/>
          </rPr>
          <t>1：選択集計します。
0：選択しません。</t>
        </r>
      </text>
    </comment>
    <comment ref="D1426" authorId="0" shapeId="0" xr:uid="{00000000-0006-0000-0D00-00006C050000}">
      <text>
        <r>
          <rPr>
            <sz val="9"/>
            <color indexed="81"/>
            <rFont val="ＭＳ Ｐゴシック"/>
            <family val="3"/>
            <charset val="128"/>
          </rPr>
          <t>1：選択集計します。
0：選択しません。</t>
        </r>
      </text>
    </comment>
    <comment ref="D1427" authorId="0" shapeId="0" xr:uid="{00000000-0006-0000-0D00-00006D050000}">
      <text>
        <r>
          <rPr>
            <sz val="9"/>
            <color indexed="81"/>
            <rFont val="ＭＳ Ｐゴシック"/>
            <family val="3"/>
            <charset val="128"/>
          </rPr>
          <t>1：選択集計します。
0：選択しません。</t>
        </r>
      </text>
    </comment>
    <comment ref="D1428" authorId="0" shapeId="0" xr:uid="{00000000-0006-0000-0D00-00006E050000}">
      <text>
        <r>
          <rPr>
            <sz val="9"/>
            <color indexed="81"/>
            <rFont val="ＭＳ Ｐゴシック"/>
            <family val="3"/>
            <charset val="128"/>
          </rPr>
          <t>1：選択集計します。
0：選択しません。</t>
        </r>
      </text>
    </comment>
    <comment ref="D1429" authorId="0" shapeId="0" xr:uid="{00000000-0006-0000-0D00-00006F050000}">
      <text>
        <r>
          <rPr>
            <sz val="9"/>
            <color indexed="81"/>
            <rFont val="ＭＳ Ｐゴシック"/>
            <family val="3"/>
            <charset val="128"/>
          </rPr>
          <t>1：選択集計します。
0：選択しません。</t>
        </r>
      </text>
    </comment>
    <comment ref="D1430" authorId="0" shapeId="0" xr:uid="{00000000-0006-0000-0D00-000070050000}">
      <text>
        <r>
          <rPr>
            <sz val="9"/>
            <color indexed="81"/>
            <rFont val="ＭＳ Ｐゴシック"/>
            <family val="3"/>
            <charset val="128"/>
          </rPr>
          <t>1：選択集計します。
0：選択しません。</t>
        </r>
      </text>
    </comment>
    <comment ref="D1431" authorId="0" shapeId="0" xr:uid="{00000000-0006-0000-0D00-000071050000}">
      <text>
        <r>
          <rPr>
            <sz val="9"/>
            <color indexed="81"/>
            <rFont val="ＭＳ Ｐゴシック"/>
            <family val="3"/>
            <charset val="128"/>
          </rPr>
          <t>1：選択集計します。
0：選択しません。</t>
        </r>
      </text>
    </comment>
    <comment ref="D1432" authorId="0" shapeId="0" xr:uid="{00000000-0006-0000-0D00-000072050000}">
      <text>
        <r>
          <rPr>
            <sz val="9"/>
            <color indexed="81"/>
            <rFont val="ＭＳ Ｐゴシック"/>
            <family val="3"/>
            <charset val="128"/>
          </rPr>
          <t>1：選択集計します。
0：選択しません。</t>
        </r>
      </text>
    </comment>
    <comment ref="D1433" authorId="0" shapeId="0" xr:uid="{00000000-0006-0000-0D00-000073050000}">
      <text>
        <r>
          <rPr>
            <sz val="9"/>
            <color indexed="81"/>
            <rFont val="ＭＳ Ｐゴシック"/>
            <family val="3"/>
            <charset val="128"/>
          </rPr>
          <t>1：選択集計します。
0：選択しません。</t>
        </r>
      </text>
    </comment>
    <comment ref="D1434" authorId="0" shapeId="0" xr:uid="{00000000-0006-0000-0D00-000074050000}">
      <text>
        <r>
          <rPr>
            <sz val="9"/>
            <color indexed="81"/>
            <rFont val="ＭＳ Ｐゴシック"/>
            <family val="3"/>
            <charset val="128"/>
          </rPr>
          <t>1：選択集計します。
0：選択しません。</t>
        </r>
      </text>
    </comment>
    <comment ref="D1435" authorId="0" shapeId="0" xr:uid="{00000000-0006-0000-0D00-000075050000}">
      <text>
        <r>
          <rPr>
            <sz val="9"/>
            <color indexed="81"/>
            <rFont val="ＭＳ Ｐゴシック"/>
            <family val="3"/>
            <charset val="128"/>
          </rPr>
          <t>1：選択集計します。
0：選択しません。</t>
        </r>
      </text>
    </comment>
    <comment ref="D1436" authorId="0" shapeId="0" xr:uid="{00000000-0006-0000-0D00-000076050000}">
      <text>
        <r>
          <rPr>
            <sz val="9"/>
            <color indexed="81"/>
            <rFont val="ＭＳ Ｐゴシック"/>
            <family val="3"/>
            <charset val="128"/>
          </rPr>
          <t>1：選択集計します。
0：選択しません。</t>
        </r>
      </text>
    </comment>
    <comment ref="D1437" authorId="0" shapeId="0" xr:uid="{00000000-0006-0000-0D00-000077050000}">
      <text>
        <r>
          <rPr>
            <sz val="9"/>
            <color indexed="81"/>
            <rFont val="ＭＳ Ｐゴシック"/>
            <family val="3"/>
            <charset val="128"/>
          </rPr>
          <t>1：選択集計します。
0：選択しません。</t>
        </r>
      </text>
    </comment>
    <comment ref="D1438" authorId="0" shapeId="0" xr:uid="{00000000-0006-0000-0D00-000078050000}">
      <text>
        <r>
          <rPr>
            <sz val="9"/>
            <color indexed="81"/>
            <rFont val="ＭＳ Ｐゴシック"/>
            <family val="3"/>
            <charset val="128"/>
          </rPr>
          <t>1：選択集計します。
0：選択しません。</t>
        </r>
      </text>
    </comment>
    <comment ref="D1439" authorId="0" shapeId="0" xr:uid="{00000000-0006-0000-0D00-000079050000}">
      <text>
        <r>
          <rPr>
            <sz val="9"/>
            <color indexed="81"/>
            <rFont val="ＭＳ Ｐゴシック"/>
            <family val="3"/>
            <charset val="128"/>
          </rPr>
          <t>1：選択集計します。
0：選択しません。</t>
        </r>
      </text>
    </comment>
    <comment ref="D1440" authorId="0" shapeId="0" xr:uid="{00000000-0006-0000-0D00-00007A050000}">
      <text>
        <r>
          <rPr>
            <sz val="9"/>
            <color indexed="81"/>
            <rFont val="ＭＳ Ｐゴシック"/>
            <family val="3"/>
            <charset val="128"/>
          </rPr>
          <t>1：選択集計します。
0：選択しません。</t>
        </r>
      </text>
    </comment>
    <comment ref="D1441" authorId="0" shapeId="0" xr:uid="{00000000-0006-0000-0D00-00007B050000}">
      <text>
        <r>
          <rPr>
            <sz val="9"/>
            <color indexed="81"/>
            <rFont val="ＭＳ Ｐゴシック"/>
            <family val="3"/>
            <charset val="128"/>
          </rPr>
          <t>1：選択集計します。
0：選択しません。</t>
        </r>
      </text>
    </comment>
    <comment ref="D1442" authorId="0" shapeId="0" xr:uid="{00000000-0006-0000-0D00-00007C050000}">
      <text>
        <r>
          <rPr>
            <sz val="9"/>
            <color indexed="81"/>
            <rFont val="ＭＳ Ｐゴシック"/>
            <family val="3"/>
            <charset val="128"/>
          </rPr>
          <t>1：選択集計します。
0：選択しません。</t>
        </r>
      </text>
    </comment>
    <comment ref="D1443" authorId="0" shapeId="0" xr:uid="{00000000-0006-0000-0D00-00007D050000}">
      <text>
        <r>
          <rPr>
            <sz val="9"/>
            <color indexed="81"/>
            <rFont val="ＭＳ Ｐゴシック"/>
            <family val="3"/>
            <charset val="128"/>
          </rPr>
          <t>1：選択集計します。
0：選択しません。</t>
        </r>
      </text>
    </comment>
    <comment ref="D1444" authorId="0" shapeId="0" xr:uid="{00000000-0006-0000-0D00-00007E050000}">
      <text>
        <r>
          <rPr>
            <sz val="9"/>
            <color indexed="81"/>
            <rFont val="ＭＳ Ｐゴシック"/>
            <family val="3"/>
            <charset val="128"/>
          </rPr>
          <t>1：選択集計します。
0：選択しません。</t>
        </r>
      </text>
    </comment>
    <comment ref="D1445" authorId="0" shapeId="0" xr:uid="{00000000-0006-0000-0D00-00007F050000}">
      <text>
        <r>
          <rPr>
            <sz val="9"/>
            <color indexed="81"/>
            <rFont val="ＭＳ Ｐゴシック"/>
            <family val="3"/>
            <charset val="128"/>
          </rPr>
          <t>1：選択集計します。
0：選択しません。</t>
        </r>
      </text>
    </comment>
    <comment ref="D1446" authorId="0" shapeId="0" xr:uid="{00000000-0006-0000-0D00-000080050000}">
      <text>
        <r>
          <rPr>
            <sz val="9"/>
            <color indexed="81"/>
            <rFont val="ＭＳ Ｐゴシック"/>
            <family val="3"/>
            <charset val="128"/>
          </rPr>
          <t>1：選択集計します。
0：選択しません。</t>
        </r>
      </text>
    </comment>
    <comment ref="D1447" authorId="0" shapeId="0" xr:uid="{00000000-0006-0000-0D00-000081050000}">
      <text>
        <r>
          <rPr>
            <sz val="9"/>
            <color indexed="81"/>
            <rFont val="ＭＳ Ｐゴシック"/>
            <family val="3"/>
            <charset val="128"/>
          </rPr>
          <t>1：選択集計します。
0：選択しません。</t>
        </r>
      </text>
    </comment>
    <comment ref="D1448" authorId="0" shapeId="0" xr:uid="{00000000-0006-0000-0D00-000082050000}">
      <text>
        <r>
          <rPr>
            <sz val="9"/>
            <color indexed="81"/>
            <rFont val="ＭＳ Ｐゴシック"/>
            <family val="3"/>
            <charset val="128"/>
          </rPr>
          <t>1：選択集計します。
0：選択しません。</t>
        </r>
      </text>
    </comment>
    <comment ref="D1449" authorId="0" shapeId="0" xr:uid="{00000000-0006-0000-0D00-000083050000}">
      <text>
        <r>
          <rPr>
            <sz val="9"/>
            <color indexed="81"/>
            <rFont val="ＭＳ Ｐゴシック"/>
            <family val="3"/>
            <charset val="128"/>
          </rPr>
          <t>1：選択集計します。
0：選択しません。</t>
        </r>
      </text>
    </comment>
    <comment ref="D1450" authorId="0" shapeId="0" xr:uid="{00000000-0006-0000-0D00-000084050000}">
      <text>
        <r>
          <rPr>
            <sz val="9"/>
            <color indexed="81"/>
            <rFont val="ＭＳ Ｐゴシック"/>
            <family val="3"/>
            <charset val="128"/>
          </rPr>
          <t>1：選択集計します。
0：選択しません。</t>
        </r>
      </text>
    </comment>
    <comment ref="D1451" authorId="0" shapeId="0" xr:uid="{00000000-0006-0000-0D00-000085050000}">
      <text>
        <r>
          <rPr>
            <sz val="9"/>
            <color indexed="81"/>
            <rFont val="ＭＳ Ｐゴシック"/>
            <family val="3"/>
            <charset val="128"/>
          </rPr>
          <t>1：選択集計します。
0：選択しません。</t>
        </r>
      </text>
    </comment>
    <comment ref="H1454" authorId="0" shapeId="0" xr:uid="{00000000-0006-0000-0D00-000086050000}">
      <text>
        <r>
          <rPr>
            <sz val="9"/>
            <color indexed="81"/>
            <rFont val="ＭＳ Ｐゴシック"/>
            <family val="3"/>
            <charset val="128"/>
          </rPr>
          <t>選択列に 1 を入力した工類が集計されます。</t>
        </r>
      </text>
    </comment>
    <comment ref="D1455" authorId="0" shapeId="0" xr:uid="{00000000-0006-0000-0D00-000087050000}">
      <text>
        <r>
          <rPr>
            <sz val="9"/>
            <color indexed="81"/>
            <rFont val="ＭＳ Ｐゴシック"/>
            <family val="3"/>
            <charset val="128"/>
          </rPr>
          <t>1：選択集計します。
0：選択しません。</t>
        </r>
      </text>
    </comment>
    <comment ref="D1456" authorId="0" shapeId="0" xr:uid="{00000000-0006-0000-0D00-000088050000}">
      <text>
        <r>
          <rPr>
            <sz val="9"/>
            <color indexed="81"/>
            <rFont val="ＭＳ Ｐゴシック"/>
            <family val="3"/>
            <charset val="128"/>
          </rPr>
          <t>1：選択集計します。
0：選択しません。</t>
        </r>
      </text>
    </comment>
    <comment ref="D1457" authorId="0" shapeId="0" xr:uid="{00000000-0006-0000-0D00-000089050000}">
      <text>
        <r>
          <rPr>
            <sz val="9"/>
            <color indexed="81"/>
            <rFont val="ＭＳ Ｐゴシック"/>
            <family val="3"/>
            <charset val="128"/>
          </rPr>
          <t>1：選択集計します。
0：選択しません。</t>
        </r>
      </text>
    </comment>
    <comment ref="D1458" authorId="0" shapeId="0" xr:uid="{00000000-0006-0000-0D00-00008A050000}">
      <text>
        <r>
          <rPr>
            <sz val="9"/>
            <color indexed="81"/>
            <rFont val="ＭＳ Ｐゴシック"/>
            <family val="3"/>
            <charset val="128"/>
          </rPr>
          <t>1：選択集計します。
0：選択しません。</t>
        </r>
      </text>
    </comment>
    <comment ref="D1459" authorId="0" shapeId="0" xr:uid="{00000000-0006-0000-0D00-00008B050000}">
      <text>
        <r>
          <rPr>
            <sz val="9"/>
            <color indexed="81"/>
            <rFont val="ＭＳ Ｐゴシック"/>
            <family val="3"/>
            <charset val="128"/>
          </rPr>
          <t>1：選択集計します。
0：選択しません。</t>
        </r>
      </text>
    </comment>
    <comment ref="D1460" authorId="0" shapeId="0" xr:uid="{00000000-0006-0000-0D00-00008C050000}">
      <text>
        <r>
          <rPr>
            <sz val="9"/>
            <color indexed="81"/>
            <rFont val="ＭＳ Ｐゴシック"/>
            <family val="3"/>
            <charset val="128"/>
          </rPr>
          <t>1：選択集計します。
0：選択しません。</t>
        </r>
      </text>
    </comment>
    <comment ref="D1461" authorId="0" shapeId="0" xr:uid="{00000000-0006-0000-0D00-00008D050000}">
      <text>
        <r>
          <rPr>
            <sz val="9"/>
            <color indexed="81"/>
            <rFont val="ＭＳ Ｐゴシック"/>
            <family val="3"/>
            <charset val="128"/>
          </rPr>
          <t>1：選択集計します。
0：選択しません。</t>
        </r>
      </text>
    </comment>
    <comment ref="D1462" authorId="0" shapeId="0" xr:uid="{00000000-0006-0000-0D00-00008E050000}">
      <text>
        <r>
          <rPr>
            <sz val="9"/>
            <color indexed="81"/>
            <rFont val="ＭＳ Ｐゴシック"/>
            <family val="3"/>
            <charset val="128"/>
          </rPr>
          <t>1：選択集計します。
0：選択しません。</t>
        </r>
      </text>
    </comment>
    <comment ref="D1463" authorId="0" shapeId="0" xr:uid="{00000000-0006-0000-0D00-00008F050000}">
      <text>
        <r>
          <rPr>
            <sz val="9"/>
            <color indexed="81"/>
            <rFont val="ＭＳ Ｐゴシック"/>
            <family val="3"/>
            <charset val="128"/>
          </rPr>
          <t>1：選択集計します。
0：選択しません。</t>
        </r>
      </text>
    </comment>
    <comment ref="D1464" authorId="0" shapeId="0" xr:uid="{00000000-0006-0000-0D00-000090050000}">
      <text>
        <r>
          <rPr>
            <sz val="9"/>
            <color indexed="81"/>
            <rFont val="ＭＳ Ｐゴシック"/>
            <family val="3"/>
            <charset val="128"/>
          </rPr>
          <t>1：選択集計します。
0：選択しません。</t>
        </r>
      </text>
    </comment>
    <comment ref="D1465" authorId="0" shapeId="0" xr:uid="{00000000-0006-0000-0D00-000091050000}">
      <text>
        <r>
          <rPr>
            <sz val="9"/>
            <color indexed="81"/>
            <rFont val="ＭＳ Ｐゴシック"/>
            <family val="3"/>
            <charset val="128"/>
          </rPr>
          <t>1：選択集計します。
0：選択しません。</t>
        </r>
      </text>
    </comment>
    <comment ref="D1466" authorId="0" shapeId="0" xr:uid="{00000000-0006-0000-0D00-000092050000}">
      <text>
        <r>
          <rPr>
            <sz val="9"/>
            <color indexed="81"/>
            <rFont val="ＭＳ Ｐゴシック"/>
            <family val="3"/>
            <charset val="128"/>
          </rPr>
          <t>1：選択集計します。
0：選択しません。</t>
        </r>
      </text>
    </comment>
    <comment ref="D1467" authorId="0" shapeId="0" xr:uid="{00000000-0006-0000-0D00-000093050000}">
      <text>
        <r>
          <rPr>
            <sz val="9"/>
            <color indexed="81"/>
            <rFont val="ＭＳ Ｐゴシック"/>
            <family val="3"/>
            <charset val="128"/>
          </rPr>
          <t>1：選択集計します。
0：選択しません。</t>
        </r>
      </text>
    </comment>
    <comment ref="D1468" authorId="0" shapeId="0" xr:uid="{00000000-0006-0000-0D00-000094050000}">
      <text>
        <r>
          <rPr>
            <sz val="9"/>
            <color indexed="81"/>
            <rFont val="ＭＳ Ｐゴシック"/>
            <family val="3"/>
            <charset val="128"/>
          </rPr>
          <t>1：選択集計します。
0：選択しません。</t>
        </r>
      </text>
    </comment>
    <comment ref="D1469" authorId="0" shapeId="0" xr:uid="{00000000-0006-0000-0D00-000095050000}">
      <text>
        <r>
          <rPr>
            <sz val="9"/>
            <color indexed="81"/>
            <rFont val="ＭＳ Ｐゴシック"/>
            <family val="3"/>
            <charset val="128"/>
          </rPr>
          <t>1：選択集計します。
0：選択しません。</t>
        </r>
      </text>
    </comment>
    <comment ref="D1470" authorId="0" shapeId="0" xr:uid="{00000000-0006-0000-0D00-000096050000}">
      <text>
        <r>
          <rPr>
            <sz val="9"/>
            <color indexed="81"/>
            <rFont val="ＭＳ Ｐゴシック"/>
            <family val="3"/>
            <charset val="128"/>
          </rPr>
          <t>1：選択集計します。
0：選択しません。</t>
        </r>
      </text>
    </comment>
    <comment ref="D1471" authorId="0" shapeId="0" xr:uid="{00000000-0006-0000-0D00-000097050000}">
      <text>
        <r>
          <rPr>
            <sz val="9"/>
            <color indexed="81"/>
            <rFont val="ＭＳ Ｐゴシック"/>
            <family val="3"/>
            <charset val="128"/>
          </rPr>
          <t>1：選択集計します。
0：選択しません。</t>
        </r>
      </text>
    </comment>
    <comment ref="D1472" authorId="0" shapeId="0" xr:uid="{00000000-0006-0000-0D00-000098050000}">
      <text>
        <r>
          <rPr>
            <sz val="9"/>
            <color indexed="81"/>
            <rFont val="ＭＳ Ｐゴシック"/>
            <family val="3"/>
            <charset val="128"/>
          </rPr>
          <t>1：選択集計します。
0：選択しません。</t>
        </r>
      </text>
    </comment>
    <comment ref="D1473" authorId="0" shapeId="0" xr:uid="{00000000-0006-0000-0D00-000099050000}">
      <text>
        <r>
          <rPr>
            <sz val="9"/>
            <color indexed="81"/>
            <rFont val="ＭＳ Ｐゴシック"/>
            <family val="3"/>
            <charset val="128"/>
          </rPr>
          <t>1：選択集計します。
0：選択しません。</t>
        </r>
      </text>
    </comment>
    <comment ref="D1474" authorId="0" shapeId="0" xr:uid="{00000000-0006-0000-0D00-00009A050000}">
      <text>
        <r>
          <rPr>
            <sz val="9"/>
            <color indexed="81"/>
            <rFont val="ＭＳ Ｐゴシック"/>
            <family val="3"/>
            <charset val="128"/>
          </rPr>
          <t>1：選択集計します。
0：選択しません。</t>
        </r>
      </text>
    </comment>
    <comment ref="D1475" authorId="0" shapeId="0" xr:uid="{00000000-0006-0000-0D00-00009B050000}">
      <text>
        <r>
          <rPr>
            <sz val="9"/>
            <color indexed="81"/>
            <rFont val="ＭＳ Ｐゴシック"/>
            <family val="3"/>
            <charset val="128"/>
          </rPr>
          <t>1：選択集計します。
0：選択しません。</t>
        </r>
      </text>
    </comment>
    <comment ref="D1476" authorId="0" shapeId="0" xr:uid="{00000000-0006-0000-0D00-00009C050000}">
      <text>
        <r>
          <rPr>
            <sz val="9"/>
            <color indexed="81"/>
            <rFont val="ＭＳ Ｐゴシック"/>
            <family val="3"/>
            <charset val="128"/>
          </rPr>
          <t>1：選択集計します。
0：選択しません。</t>
        </r>
      </text>
    </comment>
    <comment ref="D1477" authorId="0" shapeId="0" xr:uid="{00000000-0006-0000-0D00-00009D050000}">
      <text>
        <r>
          <rPr>
            <sz val="9"/>
            <color indexed="81"/>
            <rFont val="ＭＳ Ｐゴシック"/>
            <family val="3"/>
            <charset val="128"/>
          </rPr>
          <t>1：選択集計します。
0：選択しません。</t>
        </r>
      </text>
    </comment>
    <comment ref="D1478" authorId="0" shapeId="0" xr:uid="{00000000-0006-0000-0D00-00009E050000}">
      <text>
        <r>
          <rPr>
            <sz val="9"/>
            <color indexed="81"/>
            <rFont val="ＭＳ Ｐゴシック"/>
            <family val="3"/>
            <charset val="128"/>
          </rPr>
          <t>1：選択集計します。
0：選択しません。</t>
        </r>
      </text>
    </comment>
    <comment ref="D1479" authorId="0" shapeId="0" xr:uid="{00000000-0006-0000-0D00-00009F050000}">
      <text>
        <r>
          <rPr>
            <sz val="9"/>
            <color indexed="81"/>
            <rFont val="ＭＳ Ｐゴシック"/>
            <family val="3"/>
            <charset val="128"/>
          </rPr>
          <t>1：選択集計します。
0：選択しません。</t>
        </r>
      </text>
    </comment>
    <comment ref="D1480" authorId="0" shapeId="0" xr:uid="{00000000-0006-0000-0D00-0000A0050000}">
      <text>
        <r>
          <rPr>
            <sz val="9"/>
            <color indexed="81"/>
            <rFont val="ＭＳ Ｐゴシック"/>
            <family val="3"/>
            <charset val="128"/>
          </rPr>
          <t>1：選択集計します。
0：選択しません。</t>
        </r>
      </text>
    </comment>
    <comment ref="D1481" authorId="0" shapeId="0" xr:uid="{00000000-0006-0000-0D00-0000A1050000}">
      <text>
        <r>
          <rPr>
            <sz val="9"/>
            <color indexed="81"/>
            <rFont val="ＭＳ Ｐゴシック"/>
            <family val="3"/>
            <charset val="128"/>
          </rPr>
          <t>1：選択集計します。
0：選択しません。</t>
        </r>
      </text>
    </comment>
    <comment ref="D1482" authorId="0" shapeId="0" xr:uid="{00000000-0006-0000-0D00-0000A2050000}">
      <text>
        <r>
          <rPr>
            <sz val="9"/>
            <color indexed="81"/>
            <rFont val="ＭＳ Ｐゴシック"/>
            <family val="3"/>
            <charset val="128"/>
          </rPr>
          <t>1：選択集計します。
0：選択しません。</t>
        </r>
      </text>
    </comment>
    <comment ref="D1483" authorId="0" shapeId="0" xr:uid="{00000000-0006-0000-0D00-0000A3050000}">
      <text>
        <r>
          <rPr>
            <sz val="9"/>
            <color indexed="81"/>
            <rFont val="ＭＳ Ｐゴシック"/>
            <family val="3"/>
            <charset val="128"/>
          </rPr>
          <t>1：選択集計します。
0：選択しません。</t>
        </r>
      </text>
    </comment>
    <comment ref="D1484" authorId="0" shapeId="0" xr:uid="{00000000-0006-0000-0D00-0000A4050000}">
      <text>
        <r>
          <rPr>
            <sz val="9"/>
            <color indexed="81"/>
            <rFont val="ＭＳ Ｐゴシック"/>
            <family val="3"/>
            <charset val="128"/>
          </rPr>
          <t>1：選択集計します。
0：選択しません。</t>
        </r>
      </text>
    </comment>
    <comment ref="D1485" authorId="0" shapeId="0" xr:uid="{00000000-0006-0000-0D00-0000A5050000}">
      <text>
        <r>
          <rPr>
            <sz val="9"/>
            <color indexed="81"/>
            <rFont val="ＭＳ Ｐゴシック"/>
            <family val="3"/>
            <charset val="128"/>
          </rPr>
          <t>1：選択集計します。
0：選択しません。</t>
        </r>
      </text>
    </comment>
    <comment ref="D1486" authorId="0" shapeId="0" xr:uid="{00000000-0006-0000-0D00-0000A6050000}">
      <text>
        <r>
          <rPr>
            <sz val="9"/>
            <color indexed="81"/>
            <rFont val="ＭＳ Ｐゴシック"/>
            <family val="3"/>
            <charset val="128"/>
          </rPr>
          <t>1：選択集計します。
0：選択しません。</t>
        </r>
      </text>
    </comment>
    <comment ref="D1487" authorId="0" shapeId="0" xr:uid="{00000000-0006-0000-0D00-0000A7050000}">
      <text>
        <r>
          <rPr>
            <sz val="9"/>
            <color indexed="81"/>
            <rFont val="ＭＳ Ｐゴシック"/>
            <family val="3"/>
            <charset val="128"/>
          </rPr>
          <t>1：選択集計します。
0：選択しません。</t>
        </r>
      </text>
    </comment>
    <comment ref="D1488" authorId="0" shapeId="0" xr:uid="{00000000-0006-0000-0D00-0000A8050000}">
      <text>
        <r>
          <rPr>
            <sz val="9"/>
            <color indexed="81"/>
            <rFont val="ＭＳ Ｐゴシック"/>
            <family val="3"/>
            <charset val="128"/>
          </rPr>
          <t>1：選択集計します。
0：選択しません。</t>
        </r>
      </text>
    </comment>
    <comment ref="D1489" authorId="0" shapeId="0" xr:uid="{00000000-0006-0000-0D00-0000A9050000}">
      <text>
        <r>
          <rPr>
            <sz val="9"/>
            <color indexed="81"/>
            <rFont val="ＭＳ Ｐゴシック"/>
            <family val="3"/>
            <charset val="128"/>
          </rPr>
          <t>1：選択集計します。
0：選択しません。</t>
        </r>
      </text>
    </comment>
    <comment ref="D1490" authorId="0" shapeId="0" xr:uid="{00000000-0006-0000-0D00-0000AA050000}">
      <text>
        <r>
          <rPr>
            <sz val="9"/>
            <color indexed="81"/>
            <rFont val="ＭＳ Ｐゴシック"/>
            <family val="3"/>
            <charset val="128"/>
          </rPr>
          <t>1：選択集計します。
0：選択しません。</t>
        </r>
      </text>
    </comment>
    <comment ref="D1491" authorId="0" shapeId="0" xr:uid="{00000000-0006-0000-0D00-0000AB050000}">
      <text>
        <r>
          <rPr>
            <sz val="9"/>
            <color indexed="81"/>
            <rFont val="ＭＳ Ｐゴシック"/>
            <family val="3"/>
            <charset val="128"/>
          </rPr>
          <t>1：選択集計します。
0：選択しません。</t>
        </r>
      </text>
    </comment>
    <comment ref="D1492" authorId="0" shapeId="0" xr:uid="{00000000-0006-0000-0D00-0000AC050000}">
      <text>
        <r>
          <rPr>
            <sz val="9"/>
            <color indexed="81"/>
            <rFont val="ＭＳ Ｐゴシック"/>
            <family val="3"/>
            <charset val="128"/>
          </rPr>
          <t>1：選択集計します。
0：選択しません。</t>
        </r>
      </text>
    </comment>
    <comment ref="D1493" authorId="0" shapeId="0" xr:uid="{00000000-0006-0000-0D00-0000AD050000}">
      <text>
        <r>
          <rPr>
            <sz val="9"/>
            <color indexed="81"/>
            <rFont val="ＭＳ Ｐゴシック"/>
            <family val="3"/>
            <charset val="128"/>
          </rPr>
          <t>1：選択集計します。
0：選択しません。</t>
        </r>
      </text>
    </comment>
    <comment ref="D1494" authorId="0" shapeId="0" xr:uid="{00000000-0006-0000-0D00-0000AE050000}">
      <text>
        <r>
          <rPr>
            <sz val="9"/>
            <color indexed="81"/>
            <rFont val="ＭＳ Ｐゴシック"/>
            <family val="3"/>
            <charset val="128"/>
          </rPr>
          <t>1：選択集計します。
0：選択しません。</t>
        </r>
      </text>
    </comment>
    <comment ref="D1495" authorId="0" shapeId="0" xr:uid="{00000000-0006-0000-0D00-0000AF050000}">
      <text>
        <r>
          <rPr>
            <sz val="9"/>
            <color indexed="81"/>
            <rFont val="ＭＳ Ｐゴシック"/>
            <family val="3"/>
            <charset val="128"/>
          </rPr>
          <t>1：選択集計します。
0：選択しません。</t>
        </r>
      </text>
    </comment>
    <comment ref="D1496" authorId="0" shapeId="0" xr:uid="{00000000-0006-0000-0D00-0000B0050000}">
      <text>
        <r>
          <rPr>
            <sz val="9"/>
            <color indexed="81"/>
            <rFont val="ＭＳ Ｐゴシック"/>
            <family val="3"/>
            <charset val="128"/>
          </rPr>
          <t>1：選択集計します。
0：選択しません。</t>
        </r>
      </text>
    </comment>
    <comment ref="D1497" authorId="0" shapeId="0" xr:uid="{00000000-0006-0000-0D00-0000B1050000}">
      <text>
        <r>
          <rPr>
            <sz val="9"/>
            <color indexed="81"/>
            <rFont val="ＭＳ Ｐゴシック"/>
            <family val="3"/>
            <charset val="128"/>
          </rPr>
          <t>1：選択集計します。
0：選択しません。</t>
        </r>
      </text>
    </comment>
    <comment ref="D1498" authorId="0" shapeId="0" xr:uid="{00000000-0006-0000-0D00-0000B2050000}">
      <text>
        <r>
          <rPr>
            <sz val="9"/>
            <color indexed="81"/>
            <rFont val="ＭＳ Ｐゴシック"/>
            <family val="3"/>
            <charset val="128"/>
          </rPr>
          <t>1：選択集計します。
0：選択しません。</t>
        </r>
      </text>
    </comment>
    <comment ref="D1499" authorId="0" shapeId="0" xr:uid="{00000000-0006-0000-0D00-0000B3050000}">
      <text>
        <r>
          <rPr>
            <sz val="9"/>
            <color indexed="81"/>
            <rFont val="ＭＳ Ｐゴシック"/>
            <family val="3"/>
            <charset val="128"/>
          </rPr>
          <t>1：選択集計します。
0：選択しません。</t>
        </r>
      </text>
    </comment>
    <comment ref="D1500" authorId="0" shapeId="0" xr:uid="{00000000-0006-0000-0D00-0000B4050000}">
      <text>
        <r>
          <rPr>
            <sz val="9"/>
            <color indexed="81"/>
            <rFont val="ＭＳ Ｐゴシック"/>
            <family val="3"/>
            <charset val="128"/>
          </rPr>
          <t>1：選択集計します。
0：選択しません。</t>
        </r>
      </text>
    </comment>
    <comment ref="D1501" authorId="0" shapeId="0" xr:uid="{00000000-0006-0000-0D00-0000B5050000}">
      <text>
        <r>
          <rPr>
            <sz val="9"/>
            <color indexed="81"/>
            <rFont val="ＭＳ Ｐゴシック"/>
            <family val="3"/>
            <charset val="128"/>
          </rPr>
          <t>1：選択集計します。
0：選択しません。</t>
        </r>
      </text>
    </comment>
    <comment ref="D1502" authorId="0" shapeId="0" xr:uid="{00000000-0006-0000-0D00-0000B6050000}">
      <text>
        <r>
          <rPr>
            <sz val="9"/>
            <color indexed="81"/>
            <rFont val="ＭＳ Ｐゴシック"/>
            <family val="3"/>
            <charset val="128"/>
          </rPr>
          <t>1：選択集計します。
0：選択しません。</t>
        </r>
      </text>
    </comment>
    <comment ref="D1503" authorId="0" shapeId="0" xr:uid="{00000000-0006-0000-0D00-0000B7050000}">
      <text>
        <r>
          <rPr>
            <sz val="9"/>
            <color indexed="81"/>
            <rFont val="ＭＳ Ｐゴシック"/>
            <family val="3"/>
            <charset val="128"/>
          </rPr>
          <t>1：選択集計します。
0：選択しません。</t>
        </r>
      </text>
    </comment>
    <comment ref="D1504" authorId="0" shapeId="0" xr:uid="{00000000-0006-0000-0D00-0000B8050000}">
      <text>
        <r>
          <rPr>
            <sz val="9"/>
            <color indexed="81"/>
            <rFont val="ＭＳ Ｐゴシック"/>
            <family val="3"/>
            <charset val="128"/>
          </rPr>
          <t>1：選択集計します。
0：選択しません。</t>
        </r>
      </text>
    </comment>
    <comment ref="D1505" authorId="0" shapeId="0" xr:uid="{00000000-0006-0000-0D00-0000B9050000}">
      <text>
        <r>
          <rPr>
            <sz val="9"/>
            <color indexed="81"/>
            <rFont val="ＭＳ Ｐゴシック"/>
            <family val="3"/>
            <charset val="128"/>
          </rPr>
          <t>1：選択集計します。
0：選択しません。</t>
        </r>
      </text>
    </comment>
    <comment ref="D1506" authorId="0" shapeId="0" xr:uid="{00000000-0006-0000-0D00-0000BA050000}">
      <text>
        <r>
          <rPr>
            <sz val="9"/>
            <color indexed="81"/>
            <rFont val="ＭＳ Ｐゴシック"/>
            <family val="3"/>
            <charset val="128"/>
          </rPr>
          <t>1：選択集計します。
0：選択しません。</t>
        </r>
      </text>
    </comment>
    <comment ref="D1507" authorId="0" shapeId="0" xr:uid="{00000000-0006-0000-0D00-0000BB050000}">
      <text>
        <r>
          <rPr>
            <sz val="9"/>
            <color indexed="81"/>
            <rFont val="ＭＳ Ｐゴシック"/>
            <family val="3"/>
            <charset val="128"/>
          </rPr>
          <t>1：選択集計します。
0：選択しません。</t>
        </r>
      </text>
    </comment>
    <comment ref="D1508" authorId="0" shapeId="0" xr:uid="{00000000-0006-0000-0D00-0000BC050000}">
      <text>
        <r>
          <rPr>
            <sz val="9"/>
            <color indexed="81"/>
            <rFont val="ＭＳ Ｐゴシック"/>
            <family val="3"/>
            <charset val="128"/>
          </rPr>
          <t>1：選択集計します。
0：選択しません。</t>
        </r>
      </text>
    </comment>
    <comment ref="D1509" authorId="0" shapeId="0" xr:uid="{00000000-0006-0000-0D00-0000BD050000}">
      <text>
        <r>
          <rPr>
            <sz val="9"/>
            <color indexed="81"/>
            <rFont val="ＭＳ Ｐゴシック"/>
            <family val="3"/>
            <charset val="128"/>
          </rPr>
          <t>1：選択集計します。
0：選択しません。</t>
        </r>
      </text>
    </comment>
    <comment ref="D1510" authorId="0" shapeId="0" xr:uid="{00000000-0006-0000-0D00-0000BE050000}">
      <text>
        <r>
          <rPr>
            <sz val="9"/>
            <color indexed="81"/>
            <rFont val="ＭＳ Ｐゴシック"/>
            <family val="3"/>
            <charset val="128"/>
          </rPr>
          <t>1：選択集計します。
0：選択しません。</t>
        </r>
      </text>
    </comment>
    <comment ref="D1511" authorId="0" shapeId="0" xr:uid="{00000000-0006-0000-0D00-0000BF050000}">
      <text>
        <r>
          <rPr>
            <sz val="9"/>
            <color indexed="81"/>
            <rFont val="ＭＳ Ｐゴシック"/>
            <family val="3"/>
            <charset val="128"/>
          </rPr>
          <t>1：選択集計します。
0：選択しません。</t>
        </r>
      </text>
    </comment>
    <comment ref="D1512" authorId="0" shapeId="0" xr:uid="{00000000-0006-0000-0D00-0000C0050000}">
      <text>
        <r>
          <rPr>
            <sz val="9"/>
            <color indexed="81"/>
            <rFont val="ＭＳ Ｐゴシック"/>
            <family val="3"/>
            <charset val="128"/>
          </rPr>
          <t>1：選択集計します。
0：選択しません。</t>
        </r>
      </text>
    </comment>
    <comment ref="D1513" authorId="0" shapeId="0" xr:uid="{00000000-0006-0000-0D00-0000C1050000}">
      <text>
        <r>
          <rPr>
            <sz val="9"/>
            <color indexed="81"/>
            <rFont val="ＭＳ Ｐゴシック"/>
            <family val="3"/>
            <charset val="128"/>
          </rPr>
          <t>1：選択集計します。
0：選択しません。</t>
        </r>
      </text>
    </comment>
    <comment ref="D1514" authorId="0" shapeId="0" xr:uid="{00000000-0006-0000-0D00-0000C2050000}">
      <text>
        <r>
          <rPr>
            <sz val="9"/>
            <color indexed="81"/>
            <rFont val="ＭＳ Ｐゴシック"/>
            <family val="3"/>
            <charset val="128"/>
          </rPr>
          <t>1：選択集計します。
0：選択しません。</t>
        </r>
      </text>
    </comment>
    <comment ref="D1515" authorId="0" shapeId="0" xr:uid="{00000000-0006-0000-0D00-0000C3050000}">
      <text>
        <r>
          <rPr>
            <sz val="9"/>
            <color indexed="81"/>
            <rFont val="ＭＳ Ｐゴシック"/>
            <family val="3"/>
            <charset val="128"/>
          </rPr>
          <t>1：選択集計します。
0：選択しません。</t>
        </r>
      </text>
    </comment>
    <comment ref="D1516" authorId="0" shapeId="0" xr:uid="{00000000-0006-0000-0D00-0000C4050000}">
      <text>
        <r>
          <rPr>
            <sz val="9"/>
            <color indexed="81"/>
            <rFont val="ＭＳ Ｐゴシック"/>
            <family val="3"/>
            <charset val="128"/>
          </rPr>
          <t>1：選択集計します。
0：選択しません。</t>
        </r>
      </text>
    </comment>
    <comment ref="D1517" authorId="0" shapeId="0" xr:uid="{00000000-0006-0000-0D00-0000C5050000}">
      <text>
        <r>
          <rPr>
            <sz val="9"/>
            <color indexed="81"/>
            <rFont val="ＭＳ Ｐゴシック"/>
            <family val="3"/>
            <charset val="128"/>
          </rPr>
          <t>1：選択集計します。
0：選択しません。</t>
        </r>
      </text>
    </comment>
    <comment ref="D1518" authorId="0" shapeId="0" xr:uid="{00000000-0006-0000-0D00-0000C6050000}">
      <text>
        <r>
          <rPr>
            <sz val="9"/>
            <color indexed="81"/>
            <rFont val="ＭＳ Ｐゴシック"/>
            <family val="3"/>
            <charset val="128"/>
          </rPr>
          <t>1：選択集計します。
0：選択しません。</t>
        </r>
      </text>
    </comment>
    <comment ref="D1519" authorId="0" shapeId="0" xr:uid="{00000000-0006-0000-0D00-0000C7050000}">
      <text>
        <r>
          <rPr>
            <sz val="9"/>
            <color indexed="81"/>
            <rFont val="ＭＳ Ｐゴシック"/>
            <family val="3"/>
            <charset val="128"/>
          </rPr>
          <t>1：選択集計します。
0：選択しません。</t>
        </r>
      </text>
    </comment>
    <comment ref="D1520" authorId="0" shapeId="0" xr:uid="{00000000-0006-0000-0D00-0000C8050000}">
      <text>
        <r>
          <rPr>
            <sz val="9"/>
            <color indexed="81"/>
            <rFont val="ＭＳ Ｐゴシック"/>
            <family val="3"/>
            <charset val="128"/>
          </rPr>
          <t>1：選択集計します。
0：選択しません。</t>
        </r>
      </text>
    </comment>
    <comment ref="D1521" authorId="0" shapeId="0" xr:uid="{00000000-0006-0000-0D00-0000C9050000}">
      <text>
        <r>
          <rPr>
            <sz val="9"/>
            <color indexed="81"/>
            <rFont val="ＭＳ Ｐゴシック"/>
            <family val="3"/>
            <charset val="128"/>
          </rPr>
          <t>1：選択集計します。
0：選択しません。</t>
        </r>
      </text>
    </comment>
    <comment ref="D1522" authorId="0" shapeId="0" xr:uid="{00000000-0006-0000-0D00-0000CA050000}">
      <text>
        <r>
          <rPr>
            <sz val="9"/>
            <color indexed="81"/>
            <rFont val="ＭＳ Ｐゴシック"/>
            <family val="3"/>
            <charset val="128"/>
          </rPr>
          <t>1：選択集計します。
0：選択しません。</t>
        </r>
      </text>
    </comment>
    <comment ref="D1523" authorId="0" shapeId="0" xr:uid="{00000000-0006-0000-0D00-0000CB050000}">
      <text>
        <r>
          <rPr>
            <sz val="9"/>
            <color indexed="81"/>
            <rFont val="ＭＳ Ｐゴシック"/>
            <family val="3"/>
            <charset val="128"/>
          </rPr>
          <t>1：選択集計します。
0：選択しません。</t>
        </r>
      </text>
    </comment>
    <comment ref="D1524" authorId="0" shapeId="0" xr:uid="{00000000-0006-0000-0D00-0000CC050000}">
      <text>
        <r>
          <rPr>
            <sz val="9"/>
            <color indexed="81"/>
            <rFont val="ＭＳ Ｐゴシック"/>
            <family val="3"/>
            <charset val="128"/>
          </rPr>
          <t>1：選択集計します。
0：選択しません。</t>
        </r>
      </text>
    </comment>
    <comment ref="D1525" authorId="0" shapeId="0" xr:uid="{00000000-0006-0000-0D00-0000CD050000}">
      <text>
        <r>
          <rPr>
            <sz val="9"/>
            <color indexed="81"/>
            <rFont val="ＭＳ Ｐゴシック"/>
            <family val="3"/>
            <charset val="128"/>
          </rPr>
          <t>1：選択集計します。
0：選択しません。</t>
        </r>
      </text>
    </comment>
    <comment ref="D1526" authorId="0" shapeId="0" xr:uid="{00000000-0006-0000-0D00-0000CE050000}">
      <text>
        <r>
          <rPr>
            <sz val="9"/>
            <color indexed="81"/>
            <rFont val="ＭＳ Ｐゴシック"/>
            <family val="3"/>
            <charset val="128"/>
          </rPr>
          <t>1：選択集計します。
0：選択しません。</t>
        </r>
      </text>
    </comment>
    <comment ref="D1527" authorId="0" shapeId="0" xr:uid="{00000000-0006-0000-0D00-0000CF050000}">
      <text>
        <r>
          <rPr>
            <sz val="9"/>
            <color indexed="81"/>
            <rFont val="ＭＳ Ｐゴシック"/>
            <family val="3"/>
            <charset val="128"/>
          </rPr>
          <t>1：選択集計します。
0：選択しません。</t>
        </r>
      </text>
    </comment>
    <comment ref="D1528" authorId="0" shapeId="0" xr:uid="{00000000-0006-0000-0D00-0000D0050000}">
      <text>
        <r>
          <rPr>
            <sz val="9"/>
            <color indexed="81"/>
            <rFont val="ＭＳ Ｐゴシック"/>
            <family val="3"/>
            <charset val="128"/>
          </rPr>
          <t>1：選択集計します。
0：選択しません。</t>
        </r>
      </text>
    </comment>
    <comment ref="D1529" authorId="0" shapeId="0" xr:uid="{00000000-0006-0000-0D00-0000D1050000}">
      <text>
        <r>
          <rPr>
            <sz val="9"/>
            <color indexed="81"/>
            <rFont val="ＭＳ Ｐゴシック"/>
            <family val="3"/>
            <charset val="128"/>
          </rPr>
          <t>1：選択集計します。
0：選択しません。</t>
        </r>
      </text>
    </comment>
    <comment ref="D1530" authorId="0" shapeId="0" xr:uid="{00000000-0006-0000-0D00-0000D2050000}">
      <text>
        <r>
          <rPr>
            <sz val="9"/>
            <color indexed="81"/>
            <rFont val="ＭＳ Ｐゴシック"/>
            <family val="3"/>
            <charset val="128"/>
          </rPr>
          <t>1：選択集計します。
0：選択しません。</t>
        </r>
      </text>
    </comment>
    <comment ref="D1531" authorId="0" shapeId="0" xr:uid="{00000000-0006-0000-0D00-0000D3050000}">
      <text>
        <r>
          <rPr>
            <sz val="9"/>
            <color indexed="81"/>
            <rFont val="ＭＳ Ｐゴシック"/>
            <family val="3"/>
            <charset val="128"/>
          </rPr>
          <t>1：選択集計します。
0：選択しません。</t>
        </r>
      </text>
    </comment>
    <comment ref="D1532" authorId="0" shapeId="0" xr:uid="{00000000-0006-0000-0D00-0000D4050000}">
      <text>
        <r>
          <rPr>
            <sz val="9"/>
            <color indexed="81"/>
            <rFont val="ＭＳ Ｐゴシック"/>
            <family val="3"/>
            <charset val="128"/>
          </rPr>
          <t>1：選択集計します。
0：選択しません。</t>
        </r>
      </text>
    </comment>
    <comment ref="D1533" authorId="0" shapeId="0" xr:uid="{00000000-0006-0000-0D00-0000D5050000}">
      <text>
        <r>
          <rPr>
            <sz val="9"/>
            <color indexed="81"/>
            <rFont val="ＭＳ Ｐゴシック"/>
            <family val="3"/>
            <charset val="128"/>
          </rPr>
          <t>1：選択集計します。
0：選択しません。</t>
        </r>
      </text>
    </comment>
    <comment ref="D1534" authorId="0" shapeId="0" xr:uid="{00000000-0006-0000-0D00-0000D6050000}">
      <text>
        <r>
          <rPr>
            <sz val="9"/>
            <color indexed="81"/>
            <rFont val="ＭＳ Ｐゴシック"/>
            <family val="3"/>
            <charset val="128"/>
          </rPr>
          <t>1：選択集計します。
0：選択しません。</t>
        </r>
      </text>
    </comment>
    <comment ref="D1535" authorId="0" shapeId="0" xr:uid="{00000000-0006-0000-0D00-0000D7050000}">
      <text>
        <r>
          <rPr>
            <sz val="9"/>
            <color indexed="81"/>
            <rFont val="ＭＳ Ｐゴシック"/>
            <family val="3"/>
            <charset val="128"/>
          </rPr>
          <t>1：選択集計します。
0：選択しません。</t>
        </r>
      </text>
    </comment>
    <comment ref="D1536" authorId="0" shapeId="0" xr:uid="{00000000-0006-0000-0D00-0000D8050000}">
      <text>
        <r>
          <rPr>
            <sz val="9"/>
            <color indexed="81"/>
            <rFont val="ＭＳ Ｐゴシック"/>
            <family val="3"/>
            <charset val="128"/>
          </rPr>
          <t>1：選択集計します。
0：選択しません。</t>
        </r>
      </text>
    </comment>
    <comment ref="H1539" authorId="0" shapeId="0" xr:uid="{00000000-0006-0000-0D00-0000D9050000}">
      <text>
        <r>
          <rPr>
            <sz val="9"/>
            <color indexed="81"/>
            <rFont val="ＭＳ Ｐゴシック"/>
            <family val="3"/>
            <charset val="128"/>
          </rPr>
          <t>選択列に 1 を入力した工類が集計されます。</t>
        </r>
      </text>
    </comment>
    <comment ref="D1540" authorId="0" shapeId="0" xr:uid="{00000000-0006-0000-0D00-0000DA050000}">
      <text>
        <r>
          <rPr>
            <sz val="9"/>
            <color indexed="81"/>
            <rFont val="ＭＳ Ｐゴシック"/>
            <family val="3"/>
            <charset val="128"/>
          </rPr>
          <t>1：選択集計します。
0：選択しません。</t>
        </r>
      </text>
    </comment>
    <comment ref="D1541" authorId="0" shapeId="0" xr:uid="{00000000-0006-0000-0D00-0000DB050000}">
      <text>
        <r>
          <rPr>
            <sz val="9"/>
            <color indexed="81"/>
            <rFont val="ＭＳ Ｐゴシック"/>
            <family val="3"/>
            <charset val="128"/>
          </rPr>
          <t>1：選択集計します。
0：選択しません。</t>
        </r>
      </text>
    </comment>
    <comment ref="D1542" authorId="0" shapeId="0" xr:uid="{00000000-0006-0000-0D00-0000DC050000}">
      <text>
        <r>
          <rPr>
            <sz val="9"/>
            <color indexed="81"/>
            <rFont val="ＭＳ Ｐゴシック"/>
            <family val="3"/>
            <charset val="128"/>
          </rPr>
          <t>1：選択集計します。
0：選択しません。</t>
        </r>
      </text>
    </comment>
    <comment ref="D1543" authorId="0" shapeId="0" xr:uid="{00000000-0006-0000-0D00-0000DD050000}">
      <text>
        <r>
          <rPr>
            <sz val="9"/>
            <color indexed="81"/>
            <rFont val="ＭＳ Ｐゴシック"/>
            <family val="3"/>
            <charset val="128"/>
          </rPr>
          <t>1：選択集計します。
0：選択しません。</t>
        </r>
      </text>
    </comment>
    <comment ref="D1544" authorId="0" shapeId="0" xr:uid="{00000000-0006-0000-0D00-0000DE050000}">
      <text>
        <r>
          <rPr>
            <sz val="9"/>
            <color indexed="81"/>
            <rFont val="ＭＳ Ｐゴシック"/>
            <family val="3"/>
            <charset val="128"/>
          </rPr>
          <t>1：選択集計します。
0：選択しません。</t>
        </r>
      </text>
    </comment>
    <comment ref="D1545" authorId="0" shapeId="0" xr:uid="{00000000-0006-0000-0D00-0000DF050000}">
      <text>
        <r>
          <rPr>
            <sz val="9"/>
            <color indexed="81"/>
            <rFont val="ＭＳ Ｐゴシック"/>
            <family val="3"/>
            <charset val="128"/>
          </rPr>
          <t>1：選択集計します。
0：選択しません。</t>
        </r>
      </text>
    </comment>
    <comment ref="D1546" authorId="0" shapeId="0" xr:uid="{00000000-0006-0000-0D00-0000E0050000}">
      <text>
        <r>
          <rPr>
            <sz val="9"/>
            <color indexed="81"/>
            <rFont val="ＭＳ Ｐゴシック"/>
            <family val="3"/>
            <charset val="128"/>
          </rPr>
          <t>1：選択集計します。
0：選択しません。</t>
        </r>
      </text>
    </comment>
    <comment ref="D1547" authorId="0" shapeId="0" xr:uid="{00000000-0006-0000-0D00-0000E1050000}">
      <text>
        <r>
          <rPr>
            <sz val="9"/>
            <color indexed="81"/>
            <rFont val="ＭＳ Ｐゴシック"/>
            <family val="3"/>
            <charset val="128"/>
          </rPr>
          <t>1：選択集計します。
0：選択しません。</t>
        </r>
      </text>
    </comment>
    <comment ref="D1548" authorId="0" shapeId="0" xr:uid="{00000000-0006-0000-0D00-0000E2050000}">
      <text>
        <r>
          <rPr>
            <sz val="9"/>
            <color indexed="81"/>
            <rFont val="ＭＳ Ｐゴシック"/>
            <family val="3"/>
            <charset val="128"/>
          </rPr>
          <t>1：選択集計します。
0：選択しません。</t>
        </r>
      </text>
    </comment>
    <comment ref="D1549" authorId="0" shapeId="0" xr:uid="{00000000-0006-0000-0D00-0000E3050000}">
      <text>
        <r>
          <rPr>
            <sz val="9"/>
            <color indexed="81"/>
            <rFont val="ＭＳ Ｐゴシック"/>
            <family val="3"/>
            <charset val="128"/>
          </rPr>
          <t>1：選択集計します。
0：選択しません。</t>
        </r>
      </text>
    </comment>
    <comment ref="D1550" authorId="0" shapeId="0" xr:uid="{00000000-0006-0000-0D00-0000E4050000}">
      <text>
        <r>
          <rPr>
            <sz val="9"/>
            <color indexed="81"/>
            <rFont val="ＭＳ Ｐゴシック"/>
            <family val="3"/>
            <charset val="128"/>
          </rPr>
          <t>1：選択集計します。
0：選択しません。</t>
        </r>
      </text>
    </comment>
    <comment ref="D1551" authorId="0" shapeId="0" xr:uid="{00000000-0006-0000-0D00-0000E5050000}">
      <text>
        <r>
          <rPr>
            <sz val="9"/>
            <color indexed="81"/>
            <rFont val="ＭＳ Ｐゴシック"/>
            <family val="3"/>
            <charset val="128"/>
          </rPr>
          <t>1：選択集計します。
0：選択しません。</t>
        </r>
      </text>
    </comment>
    <comment ref="D1552" authorId="0" shapeId="0" xr:uid="{00000000-0006-0000-0D00-0000E6050000}">
      <text>
        <r>
          <rPr>
            <sz val="9"/>
            <color indexed="81"/>
            <rFont val="ＭＳ Ｐゴシック"/>
            <family val="3"/>
            <charset val="128"/>
          </rPr>
          <t>1：選択集計します。
0：選択しません。</t>
        </r>
      </text>
    </comment>
    <comment ref="D1553" authorId="0" shapeId="0" xr:uid="{00000000-0006-0000-0D00-0000E7050000}">
      <text>
        <r>
          <rPr>
            <sz val="9"/>
            <color indexed="81"/>
            <rFont val="ＭＳ Ｐゴシック"/>
            <family val="3"/>
            <charset val="128"/>
          </rPr>
          <t>1：選択集計します。
0：選択しません。</t>
        </r>
      </text>
    </comment>
    <comment ref="D1554" authorId="0" shapeId="0" xr:uid="{00000000-0006-0000-0D00-0000E8050000}">
      <text>
        <r>
          <rPr>
            <sz val="9"/>
            <color indexed="81"/>
            <rFont val="ＭＳ Ｐゴシック"/>
            <family val="3"/>
            <charset val="128"/>
          </rPr>
          <t>1：選択集計します。
0：選択しません。</t>
        </r>
      </text>
    </comment>
    <comment ref="D1555" authorId="0" shapeId="0" xr:uid="{00000000-0006-0000-0D00-0000E9050000}">
      <text>
        <r>
          <rPr>
            <sz val="9"/>
            <color indexed="81"/>
            <rFont val="ＭＳ Ｐゴシック"/>
            <family val="3"/>
            <charset val="128"/>
          </rPr>
          <t>1：選択集計します。
0：選択しません。</t>
        </r>
      </text>
    </comment>
    <comment ref="D1556" authorId="0" shapeId="0" xr:uid="{00000000-0006-0000-0D00-0000EA050000}">
      <text>
        <r>
          <rPr>
            <sz val="9"/>
            <color indexed="81"/>
            <rFont val="ＭＳ Ｐゴシック"/>
            <family val="3"/>
            <charset val="128"/>
          </rPr>
          <t>1：選択集計します。
0：選択しません。</t>
        </r>
      </text>
    </comment>
    <comment ref="D1557" authorId="0" shapeId="0" xr:uid="{00000000-0006-0000-0D00-0000EB050000}">
      <text>
        <r>
          <rPr>
            <sz val="9"/>
            <color indexed="81"/>
            <rFont val="ＭＳ Ｐゴシック"/>
            <family val="3"/>
            <charset val="128"/>
          </rPr>
          <t>1：選択集計します。
0：選択しません。</t>
        </r>
      </text>
    </comment>
    <comment ref="D1558" authorId="0" shapeId="0" xr:uid="{00000000-0006-0000-0D00-0000EC050000}">
      <text>
        <r>
          <rPr>
            <sz val="9"/>
            <color indexed="81"/>
            <rFont val="ＭＳ Ｐゴシック"/>
            <family val="3"/>
            <charset val="128"/>
          </rPr>
          <t>1：選択集計します。
0：選択しません。</t>
        </r>
      </text>
    </comment>
    <comment ref="D1559" authorId="0" shapeId="0" xr:uid="{00000000-0006-0000-0D00-0000ED050000}">
      <text>
        <r>
          <rPr>
            <sz val="9"/>
            <color indexed="81"/>
            <rFont val="ＭＳ Ｐゴシック"/>
            <family val="3"/>
            <charset val="128"/>
          </rPr>
          <t>1：選択集計します。
0：選択しません。</t>
        </r>
      </text>
    </comment>
    <comment ref="D1560" authorId="0" shapeId="0" xr:uid="{00000000-0006-0000-0D00-0000EE050000}">
      <text>
        <r>
          <rPr>
            <sz val="9"/>
            <color indexed="81"/>
            <rFont val="ＭＳ Ｐゴシック"/>
            <family val="3"/>
            <charset val="128"/>
          </rPr>
          <t>1：選択集計します。
0：選択しません。</t>
        </r>
      </text>
    </comment>
    <comment ref="D1561" authorId="0" shapeId="0" xr:uid="{00000000-0006-0000-0D00-0000EF050000}">
      <text>
        <r>
          <rPr>
            <sz val="9"/>
            <color indexed="81"/>
            <rFont val="ＭＳ Ｐゴシック"/>
            <family val="3"/>
            <charset val="128"/>
          </rPr>
          <t>1：選択集計します。
0：選択しません。</t>
        </r>
      </text>
    </comment>
    <comment ref="D1562" authorId="0" shapeId="0" xr:uid="{00000000-0006-0000-0D00-0000F0050000}">
      <text>
        <r>
          <rPr>
            <sz val="9"/>
            <color indexed="81"/>
            <rFont val="ＭＳ Ｐゴシック"/>
            <family val="3"/>
            <charset val="128"/>
          </rPr>
          <t>1：選択集計します。
0：選択しません。</t>
        </r>
      </text>
    </comment>
    <comment ref="D1563" authorId="0" shapeId="0" xr:uid="{00000000-0006-0000-0D00-0000F1050000}">
      <text>
        <r>
          <rPr>
            <sz val="9"/>
            <color indexed="81"/>
            <rFont val="ＭＳ Ｐゴシック"/>
            <family val="3"/>
            <charset val="128"/>
          </rPr>
          <t>1：選択集計します。
0：選択しません。</t>
        </r>
      </text>
    </comment>
    <comment ref="D1564" authorId="0" shapeId="0" xr:uid="{00000000-0006-0000-0D00-0000F2050000}">
      <text>
        <r>
          <rPr>
            <sz val="9"/>
            <color indexed="81"/>
            <rFont val="ＭＳ Ｐゴシック"/>
            <family val="3"/>
            <charset val="128"/>
          </rPr>
          <t>1：選択集計します。
0：選択しません。</t>
        </r>
      </text>
    </comment>
    <comment ref="D1565" authorId="0" shapeId="0" xr:uid="{00000000-0006-0000-0D00-0000F3050000}">
      <text>
        <r>
          <rPr>
            <sz val="9"/>
            <color indexed="81"/>
            <rFont val="ＭＳ Ｐゴシック"/>
            <family val="3"/>
            <charset val="128"/>
          </rPr>
          <t>1：選択集計します。
0：選択しません。</t>
        </r>
      </text>
    </comment>
    <comment ref="D1566" authorId="0" shapeId="0" xr:uid="{00000000-0006-0000-0D00-0000F4050000}">
      <text>
        <r>
          <rPr>
            <sz val="9"/>
            <color indexed="81"/>
            <rFont val="ＭＳ Ｐゴシック"/>
            <family val="3"/>
            <charset val="128"/>
          </rPr>
          <t>1：選択集計します。
0：選択しません。</t>
        </r>
      </text>
    </comment>
    <comment ref="D1567" authorId="0" shapeId="0" xr:uid="{00000000-0006-0000-0D00-0000F5050000}">
      <text>
        <r>
          <rPr>
            <sz val="9"/>
            <color indexed="81"/>
            <rFont val="ＭＳ Ｐゴシック"/>
            <family val="3"/>
            <charset val="128"/>
          </rPr>
          <t>1：選択集計します。
0：選択しません。</t>
        </r>
      </text>
    </comment>
    <comment ref="D1568" authorId="0" shapeId="0" xr:uid="{00000000-0006-0000-0D00-0000F6050000}">
      <text>
        <r>
          <rPr>
            <sz val="9"/>
            <color indexed="81"/>
            <rFont val="ＭＳ Ｐゴシック"/>
            <family val="3"/>
            <charset val="128"/>
          </rPr>
          <t>1：選択集計します。
0：選択しません。</t>
        </r>
      </text>
    </comment>
    <comment ref="D1569" authorId="0" shapeId="0" xr:uid="{00000000-0006-0000-0D00-0000F7050000}">
      <text>
        <r>
          <rPr>
            <sz val="9"/>
            <color indexed="81"/>
            <rFont val="ＭＳ Ｐゴシック"/>
            <family val="3"/>
            <charset val="128"/>
          </rPr>
          <t>1：選択集計します。
0：選択しません。</t>
        </r>
      </text>
    </comment>
    <comment ref="D1570" authorId="0" shapeId="0" xr:uid="{00000000-0006-0000-0D00-0000F8050000}">
      <text>
        <r>
          <rPr>
            <sz val="9"/>
            <color indexed="81"/>
            <rFont val="ＭＳ Ｐゴシック"/>
            <family val="3"/>
            <charset val="128"/>
          </rPr>
          <t>1：選択集計します。
0：選択しません。</t>
        </r>
      </text>
    </comment>
    <comment ref="D1571" authorId="0" shapeId="0" xr:uid="{00000000-0006-0000-0D00-0000F9050000}">
      <text>
        <r>
          <rPr>
            <sz val="9"/>
            <color indexed="81"/>
            <rFont val="ＭＳ Ｐゴシック"/>
            <family val="3"/>
            <charset val="128"/>
          </rPr>
          <t>1：選択集計します。
0：選択しません。</t>
        </r>
      </text>
    </comment>
    <comment ref="D1572" authorId="0" shapeId="0" xr:uid="{00000000-0006-0000-0D00-0000FA050000}">
      <text>
        <r>
          <rPr>
            <sz val="9"/>
            <color indexed="81"/>
            <rFont val="ＭＳ Ｐゴシック"/>
            <family val="3"/>
            <charset val="128"/>
          </rPr>
          <t>1：選択集計します。
0：選択しません。</t>
        </r>
      </text>
    </comment>
    <comment ref="D1573" authorId="0" shapeId="0" xr:uid="{00000000-0006-0000-0D00-0000FB050000}">
      <text>
        <r>
          <rPr>
            <sz val="9"/>
            <color indexed="81"/>
            <rFont val="ＭＳ Ｐゴシック"/>
            <family val="3"/>
            <charset val="128"/>
          </rPr>
          <t>1：選択集計します。
0：選択しません。</t>
        </r>
      </text>
    </comment>
    <comment ref="D1574" authorId="0" shapeId="0" xr:uid="{00000000-0006-0000-0D00-0000FC050000}">
      <text>
        <r>
          <rPr>
            <sz val="9"/>
            <color indexed="81"/>
            <rFont val="ＭＳ Ｐゴシック"/>
            <family val="3"/>
            <charset val="128"/>
          </rPr>
          <t>1：選択集計します。
0：選択しません。</t>
        </r>
      </text>
    </comment>
    <comment ref="D1575" authorId="0" shapeId="0" xr:uid="{00000000-0006-0000-0D00-0000FD050000}">
      <text>
        <r>
          <rPr>
            <sz val="9"/>
            <color indexed="81"/>
            <rFont val="ＭＳ Ｐゴシック"/>
            <family val="3"/>
            <charset val="128"/>
          </rPr>
          <t>1：選択集計します。
0：選択しません。</t>
        </r>
      </text>
    </comment>
    <comment ref="D1576" authorId="0" shapeId="0" xr:uid="{00000000-0006-0000-0D00-0000FE050000}">
      <text>
        <r>
          <rPr>
            <sz val="9"/>
            <color indexed="81"/>
            <rFont val="ＭＳ Ｐゴシック"/>
            <family val="3"/>
            <charset val="128"/>
          </rPr>
          <t>1：選択集計します。
0：選択しません。</t>
        </r>
      </text>
    </comment>
    <comment ref="D1577" authorId="0" shapeId="0" xr:uid="{00000000-0006-0000-0D00-0000FF050000}">
      <text>
        <r>
          <rPr>
            <sz val="9"/>
            <color indexed="81"/>
            <rFont val="ＭＳ Ｐゴシック"/>
            <family val="3"/>
            <charset val="128"/>
          </rPr>
          <t>1：選択集計します。
0：選択しません。</t>
        </r>
      </text>
    </comment>
    <comment ref="D1578" authorId="0" shapeId="0" xr:uid="{00000000-0006-0000-0D00-000000060000}">
      <text>
        <r>
          <rPr>
            <sz val="9"/>
            <color indexed="81"/>
            <rFont val="ＭＳ Ｐゴシック"/>
            <family val="3"/>
            <charset val="128"/>
          </rPr>
          <t>1：選択集計します。
0：選択しません。</t>
        </r>
      </text>
    </comment>
    <comment ref="D1579" authorId="0" shapeId="0" xr:uid="{00000000-0006-0000-0D00-000001060000}">
      <text>
        <r>
          <rPr>
            <sz val="9"/>
            <color indexed="81"/>
            <rFont val="ＭＳ Ｐゴシック"/>
            <family val="3"/>
            <charset val="128"/>
          </rPr>
          <t>1：選択集計します。
0：選択しません。</t>
        </r>
      </text>
    </comment>
    <comment ref="D1580" authorId="0" shapeId="0" xr:uid="{00000000-0006-0000-0D00-000002060000}">
      <text>
        <r>
          <rPr>
            <sz val="9"/>
            <color indexed="81"/>
            <rFont val="ＭＳ Ｐゴシック"/>
            <family val="3"/>
            <charset val="128"/>
          </rPr>
          <t>1：選択集計します。
0：選択しません。</t>
        </r>
      </text>
    </comment>
    <comment ref="D1581" authorId="0" shapeId="0" xr:uid="{00000000-0006-0000-0D00-000003060000}">
      <text>
        <r>
          <rPr>
            <sz val="9"/>
            <color indexed="81"/>
            <rFont val="ＭＳ Ｐゴシック"/>
            <family val="3"/>
            <charset val="128"/>
          </rPr>
          <t>1：選択集計します。
0：選択しません。</t>
        </r>
      </text>
    </comment>
    <comment ref="D1582" authorId="0" shapeId="0" xr:uid="{00000000-0006-0000-0D00-000004060000}">
      <text>
        <r>
          <rPr>
            <sz val="9"/>
            <color indexed="81"/>
            <rFont val="ＭＳ Ｐゴシック"/>
            <family val="3"/>
            <charset val="128"/>
          </rPr>
          <t>1：選択集計します。
0：選択しません。</t>
        </r>
      </text>
    </comment>
    <comment ref="D1583" authorId="0" shapeId="0" xr:uid="{00000000-0006-0000-0D00-000005060000}">
      <text>
        <r>
          <rPr>
            <sz val="9"/>
            <color indexed="81"/>
            <rFont val="ＭＳ Ｐゴシック"/>
            <family val="3"/>
            <charset val="128"/>
          </rPr>
          <t>1：選択集計します。
0：選択しません。</t>
        </r>
      </text>
    </comment>
    <comment ref="D1584" authorId="0" shapeId="0" xr:uid="{00000000-0006-0000-0D00-000006060000}">
      <text>
        <r>
          <rPr>
            <sz val="9"/>
            <color indexed="81"/>
            <rFont val="ＭＳ Ｐゴシック"/>
            <family val="3"/>
            <charset val="128"/>
          </rPr>
          <t>1：選択集計します。
0：選択しません。</t>
        </r>
      </text>
    </comment>
    <comment ref="D1585" authorId="0" shapeId="0" xr:uid="{00000000-0006-0000-0D00-000007060000}">
      <text>
        <r>
          <rPr>
            <sz val="9"/>
            <color indexed="81"/>
            <rFont val="ＭＳ Ｐゴシック"/>
            <family val="3"/>
            <charset val="128"/>
          </rPr>
          <t>1：選択集計します。
0：選択しません。</t>
        </r>
      </text>
    </comment>
    <comment ref="D1586" authorId="0" shapeId="0" xr:uid="{00000000-0006-0000-0D00-000008060000}">
      <text>
        <r>
          <rPr>
            <sz val="9"/>
            <color indexed="81"/>
            <rFont val="ＭＳ Ｐゴシック"/>
            <family val="3"/>
            <charset val="128"/>
          </rPr>
          <t>1：選択集計します。
0：選択しません。</t>
        </r>
      </text>
    </comment>
    <comment ref="D1587" authorId="0" shapeId="0" xr:uid="{00000000-0006-0000-0D00-000009060000}">
      <text>
        <r>
          <rPr>
            <sz val="9"/>
            <color indexed="81"/>
            <rFont val="ＭＳ Ｐゴシック"/>
            <family val="3"/>
            <charset val="128"/>
          </rPr>
          <t>1：選択集計します。
0：選択しません。</t>
        </r>
      </text>
    </comment>
    <comment ref="D1588" authorId="0" shapeId="0" xr:uid="{00000000-0006-0000-0D00-00000A060000}">
      <text>
        <r>
          <rPr>
            <sz val="9"/>
            <color indexed="81"/>
            <rFont val="ＭＳ Ｐゴシック"/>
            <family val="3"/>
            <charset val="128"/>
          </rPr>
          <t>1：選択集計します。
0：選択しません。</t>
        </r>
      </text>
    </comment>
    <comment ref="D1589" authorId="0" shapeId="0" xr:uid="{00000000-0006-0000-0D00-00000B060000}">
      <text>
        <r>
          <rPr>
            <sz val="9"/>
            <color indexed="81"/>
            <rFont val="ＭＳ Ｐゴシック"/>
            <family val="3"/>
            <charset val="128"/>
          </rPr>
          <t>1：選択集計します。
0：選択しません。</t>
        </r>
      </text>
    </comment>
    <comment ref="D1590" authorId="0" shapeId="0" xr:uid="{00000000-0006-0000-0D00-00000C060000}">
      <text>
        <r>
          <rPr>
            <sz val="9"/>
            <color indexed="81"/>
            <rFont val="ＭＳ Ｐゴシック"/>
            <family val="3"/>
            <charset val="128"/>
          </rPr>
          <t>1：選択集計します。
0：選択しません。</t>
        </r>
      </text>
    </comment>
    <comment ref="D1591" authorId="0" shapeId="0" xr:uid="{00000000-0006-0000-0D00-00000D060000}">
      <text>
        <r>
          <rPr>
            <sz val="9"/>
            <color indexed="81"/>
            <rFont val="ＭＳ Ｐゴシック"/>
            <family val="3"/>
            <charset val="128"/>
          </rPr>
          <t>1：選択集計します。
0：選択しません。</t>
        </r>
      </text>
    </comment>
    <comment ref="D1592" authorId="0" shapeId="0" xr:uid="{00000000-0006-0000-0D00-00000E060000}">
      <text>
        <r>
          <rPr>
            <sz val="9"/>
            <color indexed="81"/>
            <rFont val="ＭＳ Ｐゴシック"/>
            <family val="3"/>
            <charset val="128"/>
          </rPr>
          <t>1：選択集計します。
0：選択しません。</t>
        </r>
      </text>
    </comment>
    <comment ref="D1593" authorId="0" shapeId="0" xr:uid="{00000000-0006-0000-0D00-00000F060000}">
      <text>
        <r>
          <rPr>
            <sz val="9"/>
            <color indexed="81"/>
            <rFont val="ＭＳ Ｐゴシック"/>
            <family val="3"/>
            <charset val="128"/>
          </rPr>
          <t>1：選択集計します。
0：選択しません。</t>
        </r>
      </text>
    </comment>
    <comment ref="D1594" authorId="0" shapeId="0" xr:uid="{00000000-0006-0000-0D00-000010060000}">
      <text>
        <r>
          <rPr>
            <sz val="9"/>
            <color indexed="81"/>
            <rFont val="ＭＳ Ｐゴシック"/>
            <family val="3"/>
            <charset val="128"/>
          </rPr>
          <t>1：選択集計します。
0：選択しません。</t>
        </r>
      </text>
    </comment>
    <comment ref="D1595" authorId="0" shapeId="0" xr:uid="{00000000-0006-0000-0D00-000011060000}">
      <text>
        <r>
          <rPr>
            <sz val="9"/>
            <color indexed="81"/>
            <rFont val="ＭＳ Ｐゴシック"/>
            <family val="3"/>
            <charset val="128"/>
          </rPr>
          <t>1：選択集計します。
0：選択しません。</t>
        </r>
      </text>
    </comment>
    <comment ref="D1596" authorId="0" shapeId="0" xr:uid="{00000000-0006-0000-0D00-000012060000}">
      <text>
        <r>
          <rPr>
            <sz val="9"/>
            <color indexed="81"/>
            <rFont val="ＭＳ Ｐゴシック"/>
            <family val="3"/>
            <charset val="128"/>
          </rPr>
          <t>1：選択集計します。
0：選択しません。</t>
        </r>
      </text>
    </comment>
    <comment ref="D1597" authorId="0" shapeId="0" xr:uid="{00000000-0006-0000-0D00-000013060000}">
      <text>
        <r>
          <rPr>
            <sz val="9"/>
            <color indexed="81"/>
            <rFont val="ＭＳ Ｐゴシック"/>
            <family val="3"/>
            <charset val="128"/>
          </rPr>
          <t>1：選択集計します。
0：選択しません。</t>
        </r>
      </text>
    </comment>
    <comment ref="D1598" authorId="0" shapeId="0" xr:uid="{00000000-0006-0000-0D00-000014060000}">
      <text>
        <r>
          <rPr>
            <sz val="9"/>
            <color indexed="81"/>
            <rFont val="ＭＳ Ｐゴシック"/>
            <family val="3"/>
            <charset val="128"/>
          </rPr>
          <t>1：選択集計します。
0：選択しません。</t>
        </r>
      </text>
    </comment>
    <comment ref="D1599" authorId="0" shapeId="0" xr:uid="{00000000-0006-0000-0D00-000015060000}">
      <text>
        <r>
          <rPr>
            <sz val="9"/>
            <color indexed="81"/>
            <rFont val="ＭＳ Ｐゴシック"/>
            <family val="3"/>
            <charset val="128"/>
          </rPr>
          <t>1：選択集計します。
0：選択しません。</t>
        </r>
      </text>
    </comment>
    <comment ref="D1600" authorId="0" shapeId="0" xr:uid="{00000000-0006-0000-0D00-000016060000}">
      <text>
        <r>
          <rPr>
            <sz val="9"/>
            <color indexed="81"/>
            <rFont val="ＭＳ Ｐゴシック"/>
            <family val="3"/>
            <charset val="128"/>
          </rPr>
          <t>1：選択集計します。
0：選択しません。</t>
        </r>
      </text>
    </comment>
    <comment ref="D1601" authorId="0" shapeId="0" xr:uid="{00000000-0006-0000-0D00-000017060000}">
      <text>
        <r>
          <rPr>
            <sz val="9"/>
            <color indexed="81"/>
            <rFont val="ＭＳ Ｐゴシック"/>
            <family val="3"/>
            <charset val="128"/>
          </rPr>
          <t>1：選択集計します。
0：選択しません。</t>
        </r>
      </text>
    </comment>
    <comment ref="D1602" authorId="0" shapeId="0" xr:uid="{00000000-0006-0000-0D00-000018060000}">
      <text>
        <r>
          <rPr>
            <sz val="9"/>
            <color indexed="81"/>
            <rFont val="ＭＳ Ｐゴシック"/>
            <family val="3"/>
            <charset val="128"/>
          </rPr>
          <t>1：選択集計します。
0：選択しません。</t>
        </r>
      </text>
    </comment>
    <comment ref="D1603" authorId="0" shapeId="0" xr:uid="{00000000-0006-0000-0D00-000019060000}">
      <text>
        <r>
          <rPr>
            <sz val="9"/>
            <color indexed="81"/>
            <rFont val="ＭＳ Ｐゴシック"/>
            <family val="3"/>
            <charset val="128"/>
          </rPr>
          <t>1：選択集計します。
0：選択しません。</t>
        </r>
      </text>
    </comment>
    <comment ref="D1604" authorId="0" shapeId="0" xr:uid="{00000000-0006-0000-0D00-00001A060000}">
      <text>
        <r>
          <rPr>
            <sz val="9"/>
            <color indexed="81"/>
            <rFont val="ＭＳ Ｐゴシック"/>
            <family val="3"/>
            <charset val="128"/>
          </rPr>
          <t>1：選択集計します。
0：選択しません。</t>
        </r>
      </text>
    </comment>
    <comment ref="D1605" authorId="0" shapeId="0" xr:uid="{00000000-0006-0000-0D00-00001B060000}">
      <text>
        <r>
          <rPr>
            <sz val="9"/>
            <color indexed="81"/>
            <rFont val="ＭＳ Ｐゴシック"/>
            <family val="3"/>
            <charset val="128"/>
          </rPr>
          <t>1：選択集計します。
0：選択しません。</t>
        </r>
      </text>
    </comment>
    <comment ref="D1606" authorId="0" shapeId="0" xr:uid="{00000000-0006-0000-0D00-00001C060000}">
      <text>
        <r>
          <rPr>
            <sz val="9"/>
            <color indexed="81"/>
            <rFont val="ＭＳ Ｐゴシック"/>
            <family val="3"/>
            <charset val="128"/>
          </rPr>
          <t>1：選択集計します。
0：選択しません。</t>
        </r>
      </text>
    </comment>
    <comment ref="D1607" authorId="0" shapeId="0" xr:uid="{00000000-0006-0000-0D00-00001D060000}">
      <text>
        <r>
          <rPr>
            <sz val="9"/>
            <color indexed="81"/>
            <rFont val="ＭＳ Ｐゴシック"/>
            <family val="3"/>
            <charset val="128"/>
          </rPr>
          <t>1：選択集計します。
0：選択しません。</t>
        </r>
      </text>
    </comment>
    <comment ref="D1608" authorId="0" shapeId="0" xr:uid="{00000000-0006-0000-0D00-00001E060000}">
      <text>
        <r>
          <rPr>
            <sz val="9"/>
            <color indexed="81"/>
            <rFont val="ＭＳ Ｐゴシック"/>
            <family val="3"/>
            <charset val="128"/>
          </rPr>
          <t>1：選択集計します。
0：選択しません。</t>
        </r>
      </text>
    </comment>
    <comment ref="D1609" authorId="0" shapeId="0" xr:uid="{00000000-0006-0000-0D00-00001F060000}">
      <text>
        <r>
          <rPr>
            <sz val="9"/>
            <color indexed="81"/>
            <rFont val="ＭＳ Ｐゴシック"/>
            <family val="3"/>
            <charset val="128"/>
          </rPr>
          <t>1：選択集計します。
0：選択しません。</t>
        </r>
      </text>
    </comment>
    <comment ref="D1610" authorId="0" shapeId="0" xr:uid="{00000000-0006-0000-0D00-000020060000}">
      <text>
        <r>
          <rPr>
            <sz val="9"/>
            <color indexed="81"/>
            <rFont val="ＭＳ Ｐゴシック"/>
            <family val="3"/>
            <charset val="128"/>
          </rPr>
          <t>1：選択集計します。
0：選択しません。</t>
        </r>
      </text>
    </comment>
    <comment ref="D1611" authorId="0" shapeId="0" xr:uid="{00000000-0006-0000-0D00-000021060000}">
      <text>
        <r>
          <rPr>
            <sz val="9"/>
            <color indexed="81"/>
            <rFont val="ＭＳ Ｐゴシック"/>
            <family val="3"/>
            <charset val="128"/>
          </rPr>
          <t>1：選択集計します。
0：選択しません。</t>
        </r>
      </text>
    </comment>
    <comment ref="D1612" authorId="0" shapeId="0" xr:uid="{00000000-0006-0000-0D00-000022060000}">
      <text>
        <r>
          <rPr>
            <sz val="9"/>
            <color indexed="81"/>
            <rFont val="ＭＳ Ｐゴシック"/>
            <family val="3"/>
            <charset val="128"/>
          </rPr>
          <t>1：選択集計します。
0：選択しません。</t>
        </r>
      </text>
    </comment>
    <comment ref="D1613" authorId="0" shapeId="0" xr:uid="{00000000-0006-0000-0D00-000023060000}">
      <text>
        <r>
          <rPr>
            <sz val="9"/>
            <color indexed="81"/>
            <rFont val="ＭＳ Ｐゴシック"/>
            <family val="3"/>
            <charset val="128"/>
          </rPr>
          <t>1：選択集計します。
0：選択しません。</t>
        </r>
      </text>
    </comment>
    <comment ref="D1614" authorId="0" shapeId="0" xr:uid="{00000000-0006-0000-0D00-000024060000}">
      <text>
        <r>
          <rPr>
            <sz val="9"/>
            <color indexed="81"/>
            <rFont val="ＭＳ Ｐゴシック"/>
            <family val="3"/>
            <charset val="128"/>
          </rPr>
          <t>1：選択集計します。
0：選択しません。</t>
        </r>
      </text>
    </comment>
    <comment ref="D1615" authorId="0" shapeId="0" xr:uid="{00000000-0006-0000-0D00-000025060000}">
      <text>
        <r>
          <rPr>
            <sz val="9"/>
            <color indexed="81"/>
            <rFont val="ＭＳ Ｐゴシック"/>
            <family val="3"/>
            <charset val="128"/>
          </rPr>
          <t>1：選択集計します。
0：選択しません。</t>
        </r>
      </text>
    </comment>
    <comment ref="D1616" authorId="0" shapeId="0" xr:uid="{00000000-0006-0000-0D00-000026060000}">
      <text>
        <r>
          <rPr>
            <sz val="9"/>
            <color indexed="81"/>
            <rFont val="ＭＳ Ｐゴシック"/>
            <family val="3"/>
            <charset val="128"/>
          </rPr>
          <t>1：選択集計します。
0：選択しません。</t>
        </r>
      </text>
    </comment>
    <comment ref="D1617" authorId="0" shapeId="0" xr:uid="{00000000-0006-0000-0D00-000027060000}">
      <text>
        <r>
          <rPr>
            <sz val="9"/>
            <color indexed="81"/>
            <rFont val="ＭＳ Ｐゴシック"/>
            <family val="3"/>
            <charset val="128"/>
          </rPr>
          <t>1：選択集計します。
0：選択しません。</t>
        </r>
      </text>
    </comment>
    <comment ref="D1618" authorId="0" shapeId="0" xr:uid="{00000000-0006-0000-0D00-000028060000}">
      <text>
        <r>
          <rPr>
            <sz val="9"/>
            <color indexed="81"/>
            <rFont val="ＭＳ Ｐゴシック"/>
            <family val="3"/>
            <charset val="128"/>
          </rPr>
          <t>1：選択集計します。
0：選択しません。</t>
        </r>
      </text>
    </comment>
    <comment ref="D1619" authorId="0" shapeId="0" xr:uid="{00000000-0006-0000-0D00-000029060000}">
      <text>
        <r>
          <rPr>
            <sz val="9"/>
            <color indexed="81"/>
            <rFont val="ＭＳ Ｐゴシック"/>
            <family val="3"/>
            <charset val="128"/>
          </rPr>
          <t>1：選択集計します。
0：選択しません。</t>
        </r>
      </text>
    </comment>
    <comment ref="D1620" authorId="0" shapeId="0" xr:uid="{00000000-0006-0000-0D00-00002A060000}">
      <text>
        <r>
          <rPr>
            <sz val="9"/>
            <color indexed="81"/>
            <rFont val="ＭＳ Ｐゴシック"/>
            <family val="3"/>
            <charset val="128"/>
          </rPr>
          <t>1：選択集計します。
0：選択しません。</t>
        </r>
      </text>
    </comment>
    <comment ref="D1621" authorId="0" shapeId="0" xr:uid="{00000000-0006-0000-0D00-00002B060000}">
      <text>
        <r>
          <rPr>
            <sz val="9"/>
            <color indexed="81"/>
            <rFont val="ＭＳ Ｐゴシック"/>
            <family val="3"/>
            <charset val="128"/>
          </rPr>
          <t>1：選択集計します。
0：選択しません。</t>
        </r>
      </text>
    </comment>
    <comment ref="H1624" authorId="0" shapeId="0" xr:uid="{00000000-0006-0000-0D00-00002C060000}">
      <text>
        <r>
          <rPr>
            <sz val="9"/>
            <color indexed="81"/>
            <rFont val="ＭＳ Ｐゴシック"/>
            <family val="3"/>
            <charset val="128"/>
          </rPr>
          <t>選択列に 1 を入力した工類が集計されます。</t>
        </r>
      </text>
    </comment>
    <comment ref="D1625" authorId="0" shapeId="0" xr:uid="{00000000-0006-0000-0D00-00002D060000}">
      <text>
        <r>
          <rPr>
            <sz val="9"/>
            <color indexed="81"/>
            <rFont val="ＭＳ Ｐゴシック"/>
            <family val="3"/>
            <charset val="128"/>
          </rPr>
          <t>1：選択集計します。
0：選択しません。</t>
        </r>
      </text>
    </comment>
    <comment ref="D1626" authorId="0" shapeId="0" xr:uid="{00000000-0006-0000-0D00-00002E060000}">
      <text>
        <r>
          <rPr>
            <sz val="9"/>
            <color indexed="81"/>
            <rFont val="ＭＳ Ｐゴシック"/>
            <family val="3"/>
            <charset val="128"/>
          </rPr>
          <t>1：選択集計します。
0：選択しません。</t>
        </r>
      </text>
    </comment>
    <comment ref="D1627" authorId="0" shapeId="0" xr:uid="{00000000-0006-0000-0D00-00002F060000}">
      <text>
        <r>
          <rPr>
            <sz val="9"/>
            <color indexed="81"/>
            <rFont val="ＭＳ Ｐゴシック"/>
            <family val="3"/>
            <charset val="128"/>
          </rPr>
          <t>1：選択集計します。
0：選択しません。</t>
        </r>
      </text>
    </comment>
    <comment ref="D1628" authorId="0" shapeId="0" xr:uid="{00000000-0006-0000-0D00-000030060000}">
      <text>
        <r>
          <rPr>
            <sz val="9"/>
            <color indexed="81"/>
            <rFont val="ＭＳ Ｐゴシック"/>
            <family val="3"/>
            <charset val="128"/>
          </rPr>
          <t>1：選択集計します。
0：選択しません。</t>
        </r>
      </text>
    </comment>
    <comment ref="D1629" authorId="0" shapeId="0" xr:uid="{00000000-0006-0000-0D00-000031060000}">
      <text>
        <r>
          <rPr>
            <sz val="9"/>
            <color indexed="81"/>
            <rFont val="ＭＳ Ｐゴシック"/>
            <family val="3"/>
            <charset val="128"/>
          </rPr>
          <t>1：選択集計します。
0：選択しません。</t>
        </r>
      </text>
    </comment>
    <comment ref="D1630" authorId="0" shapeId="0" xr:uid="{00000000-0006-0000-0D00-000032060000}">
      <text>
        <r>
          <rPr>
            <sz val="9"/>
            <color indexed="81"/>
            <rFont val="ＭＳ Ｐゴシック"/>
            <family val="3"/>
            <charset val="128"/>
          </rPr>
          <t>1：選択集計します。
0：選択しません。</t>
        </r>
      </text>
    </comment>
    <comment ref="D1631" authorId="0" shapeId="0" xr:uid="{00000000-0006-0000-0D00-000033060000}">
      <text>
        <r>
          <rPr>
            <sz val="9"/>
            <color indexed="81"/>
            <rFont val="ＭＳ Ｐゴシック"/>
            <family val="3"/>
            <charset val="128"/>
          </rPr>
          <t>1：選択集計します。
0：選択しません。</t>
        </r>
      </text>
    </comment>
    <comment ref="D1632" authorId="0" shapeId="0" xr:uid="{00000000-0006-0000-0D00-000034060000}">
      <text>
        <r>
          <rPr>
            <sz val="9"/>
            <color indexed="81"/>
            <rFont val="ＭＳ Ｐゴシック"/>
            <family val="3"/>
            <charset val="128"/>
          </rPr>
          <t>1：選択集計します。
0：選択しません。</t>
        </r>
      </text>
    </comment>
    <comment ref="D1633" authorId="0" shapeId="0" xr:uid="{00000000-0006-0000-0D00-000035060000}">
      <text>
        <r>
          <rPr>
            <sz val="9"/>
            <color indexed="81"/>
            <rFont val="ＭＳ Ｐゴシック"/>
            <family val="3"/>
            <charset val="128"/>
          </rPr>
          <t>1：選択集計します。
0：選択しません。</t>
        </r>
      </text>
    </comment>
    <comment ref="D1634" authorId="0" shapeId="0" xr:uid="{00000000-0006-0000-0D00-000036060000}">
      <text>
        <r>
          <rPr>
            <sz val="9"/>
            <color indexed="81"/>
            <rFont val="ＭＳ Ｐゴシック"/>
            <family val="3"/>
            <charset val="128"/>
          </rPr>
          <t>1：選択集計します。
0：選択しません。</t>
        </r>
      </text>
    </comment>
    <comment ref="D1635" authorId="0" shapeId="0" xr:uid="{00000000-0006-0000-0D00-000037060000}">
      <text>
        <r>
          <rPr>
            <sz val="9"/>
            <color indexed="81"/>
            <rFont val="ＭＳ Ｐゴシック"/>
            <family val="3"/>
            <charset val="128"/>
          </rPr>
          <t>1：選択集計します。
0：選択しません。</t>
        </r>
      </text>
    </comment>
    <comment ref="D1636" authorId="0" shapeId="0" xr:uid="{00000000-0006-0000-0D00-000038060000}">
      <text>
        <r>
          <rPr>
            <sz val="9"/>
            <color indexed="81"/>
            <rFont val="ＭＳ Ｐゴシック"/>
            <family val="3"/>
            <charset val="128"/>
          </rPr>
          <t>1：選択集計します。
0：選択しません。</t>
        </r>
      </text>
    </comment>
    <comment ref="D1637" authorId="0" shapeId="0" xr:uid="{00000000-0006-0000-0D00-000039060000}">
      <text>
        <r>
          <rPr>
            <sz val="9"/>
            <color indexed="81"/>
            <rFont val="ＭＳ Ｐゴシック"/>
            <family val="3"/>
            <charset val="128"/>
          </rPr>
          <t>1：選択集計します。
0：選択しません。</t>
        </r>
      </text>
    </comment>
    <comment ref="D1638" authorId="0" shapeId="0" xr:uid="{00000000-0006-0000-0D00-00003A060000}">
      <text>
        <r>
          <rPr>
            <sz val="9"/>
            <color indexed="81"/>
            <rFont val="ＭＳ Ｐゴシック"/>
            <family val="3"/>
            <charset val="128"/>
          </rPr>
          <t>1：選択集計します。
0：選択しません。</t>
        </r>
      </text>
    </comment>
    <comment ref="D1639" authorId="0" shapeId="0" xr:uid="{00000000-0006-0000-0D00-00003B060000}">
      <text>
        <r>
          <rPr>
            <sz val="9"/>
            <color indexed="81"/>
            <rFont val="ＭＳ Ｐゴシック"/>
            <family val="3"/>
            <charset val="128"/>
          </rPr>
          <t>1：選択集計します。
0：選択しません。</t>
        </r>
      </text>
    </comment>
    <comment ref="D1640" authorId="0" shapeId="0" xr:uid="{00000000-0006-0000-0D00-00003C060000}">
      <text>
        <r>
          <rPr>
            <sz val="9"/>
            <color indexed="81"/>
            <rFont val="ＭＳ Ｐゴシック"/>
            <family val="3"/>
            <charset val="128"/>
          </rPr>
          <t>1：選択集計します。
0：選択しません。</t>
        </r>
      </text>
    </comment>
    <comment ref="D1641" authorId="0" shapeId="0" xr:uid="{00000000-0006-0000-0D00-00003D060000}">
      <text>
        <r>
          <rPr>
            <sz val="9"/>
            <color indexed="81"/>
            <rFont val="ＭＳ Ｐゴシック"/>
            <family val="3"/>
            <charset val="128"/>
          </rPr>
          <t>1：選択集計します。
0：選択しません。</t>
        </r>
      </text>
    </comment>
    <comment ref="D1642" authorId="0" shapeId="0" xr:uid="{00000000-0006-0000-0D00-00003E060000}">
      <text>
        <r>
          <rPr>
            <sz val="9"/>
            <color indexed="81"/>
            <rFont val="ＭＳ Ｐゴシック"/>
            <family val="3"/>
            <charset val="128"/>
          </rPr>
          <t>1：選択集計します。
0：選択しません。</t>
        </r>
      </text>
    </comment>
    <comment ref="D1643" authorId="0" shapeId="0" xr:uid="{00000000-0006-0000-0D00-00003F060000}">
      <text>
        <r>
          <rPr>
            <sz val="9"/>
            <color indexed="81"/>
            <rFont val="ＭＳ Ｐゴシック"/>
            <family val="3"/>
            <charset val="128"/>
          </rPr>
          <t>1：選択集計します。
0：選択しません。</t>
        </r>
      </text>
    </comment>
    <comment ref="D1644" authorId="0" shapeId="0" xr:uid="{00000000-0006-0000-0D00-000040060000}">
      <text>
        <r>
          <rPr>
            <sz val="9"/>
            <color indexed="81"/>
            <rFont val="ＭＳ Ｐゴシック"/>
            <family val="3"/>
            <charset val="128"/>
          </rPr>
          <t>1：選択集計します。
0：選択しません。</t>
        </r>
      </text>
    </comment>
    <comment ref="D1645" authorId="0" shapeId="0" xr:uid="{00000000-0006-0000-0D00-000041060000}">
      <text>
        <r>
          <rPr>
            <sz val="9"/>
            <color indexed="81"/>
            <rFont val="ＭＳ Ｐゴシック"/>
            <family val="3"/>
            <charset val="128"/>
          </rPr>
          <t>1：選択集計します。
0：選択しません。</t>
        </r>
      </text>
    </comment>
    <comment ref="D1646" authorId="0" shapeId="0" xr:uid="{00000000-0006-0000-0D00-000042060000}">
      <text>
        <r>
          <rPr>
            <sz val="9"/>
            <color indexed="81"/>
            <rFont val="ＭＳ Ｐゴシック"/>
            <family val="3"/>
            <charset val="128"/>
          </rPr>
          <t>1：選択集計します。
0：選択しません。</t>
        </r>
      </text>
    </comment>
    <comment ref="D1647" authorId="0" shapeId="0" xr:uid="{00000000-0006-0000-0D00-000043060000}">
      <text>
        <r>
          <rPr>
            <sz val="9"/>
            <color indexed="81"/>
            <rFont val="ＭＳ Ｐゴシック"/>
            <family val="3"/>
            <charset val="128"/>
          </rPr>
          <t>1：選択集計します。
0：選択しません。</t>
        </r>
      </text>
    </comment>
    <comment ref="D1648" authorId="0" shapeId="0" xr:uid="{00000000-0006-0000-0D00-000044060000}">
      <text>
        <r>
          <rPr>
            <sz val="9"/>
            <color indexed="81"/>
            <rFont val="ＭＳ Ｐゴシック"/>
            <family val="3"/>
            <charset val="128"/>
          </rPr>
          <t>1：選択集計します。
0：選択しません。</t>
        </r>
      </text>
    </comment>
    <comment ref="D1649" authorId="0" shapeId="0" xr:uid="{00000000-0006-0000-0D00-000045060000}">
      <text>
        <r>
          <rPr>
            <sz val="9"/>
            <color indexed="81"/>
            <rFont val="ＭＳ Ｐゴシック"/>
            <family val="3"/>
            <charset val="128"/>
          </rPr>
          <t>1：選択集計します。
0：選択しません。</t>
        </r>
      </text>
    </comment>
    <comment ref="D1650" authorId="0" shapeId="0" xr:uid="{00000000-0006-0000-0D00-000046060000}">
      <text>
        <r>
          <rPr>
            <sz val="9"/>
            <color indexed="81"/>
            <rFont val="ＭＳ Ｐゴシック"/>
            <family val="3"/>
            <charset val="128"/>
          </rPr>
          <t>1：選択集計します。
0：選択しません。</t>
        </r>
      </text>
    </comment>
    <comment ref="D1651" authorId="0" shapeId="0" xr:uid="{00000000-0006-0000-0D00-000047060000}">
      <text>
        <r>
          <rPr>
            <sz val="9"/>
            <color indexed="81"/>
            <rFont val="ＭＳ Ｐゴシック"/>
            <family val="3"/>
            <charset val="128"/>
          </rPr>
          <t>1：選択集計します。
0：選択しません。</t>
        </r>
      </text>
    </comment>
    <comment ref="D1652" authorId="0" shapeId="0" xr:uid="{00000000-0006-0000-0D00-000048060000}">
      <text>
        <r>
          <rPr>
            <sz val="9"/>
            <color indexed="81"/>
            <rFont val="ＭＳ Ｐゴシック"/>
            <family val="3"/>
            <charset val="128"/>
          </rPr>
          <t>1：選択集計します。
0：選択しません。</t>
        </r>
      </text>
    </comment>
    <comment ref="D1653" authorId="0" shapeId="0" xr:uid="{00000000-0006-0000-0D00-000049060000}">
      <text>
        <r>
          <rPr>
            <sz val="9"/>
            <color indexed="81"/>
            <rFont val="ＭＳ Ｐゴシック"/>
            <family val="3"/>
            <charset val="128"/>
          </rPr>
          <t>1：選択集計します。
0：選択しません。</t>
        </r>
      </text>
    </comment>
    <comment ref="D1654" authorId="0" shapeId="0" xr:uid="{00000000-0006-0000-0D00-00004A060000}">
      <text>
        <r>
          <rPr>
            <sz val="9"/>
            <color indexed="81"/>
            <rFont val="ＭＳ Ｐゴシック"/>
            <family val="3"/>
            <charset val="128"/>
          </rPr>
          <t>1：選択集計します。
0：選択しません。</t>
        </r>
      </text>
    </comment>
    <comment ref="D1655" authorId="0" shapeId="0" xr:uid="{00000000-0006-0000-0D00-00004B060000}">
      <text>
        <r>
          <rPr>
            <sz val="9"/>
            <color indexed="81"/>
            <rFont val="ＭＳ Ｐゴシック"/>
            <family val="3"/>
            <charset val="128"/>
          </rPr>
          <t>1：選択集計します。
0：選択しません。</t>
        </r>
      </text>
    </comment>
    <comment ref="D1656" authorId="0" shapeId="0" xr:uid="{00000000-0006-0000-0D00-00004C060000}">
      <text>
        <r>
          <rPr>
            <sz val="9"/>
            <color indexed="81"/>
            <rFont val="ＭＳ Ｐゴシック"/>
            <family val="3"/>
            <charset val="128"/>
          </rPr>
          <t>1：選択集計します。
0：選択しません。</t>
        </r>
      </text>
    </comment>
    <comment ref="D1657" authorId="0" shapeId="0" xr:uid="{00000000-0006-0000-0D00-00004D060000}">
      <text>
        <r>
          <rPr>
            <sz val="9"/>
            <color indexed="81"/>
            <rFont val="ＭＳ Ｐゴシック"/>
            <family val="3"/>
            <charset val="128"/>
          </rPr>
          <t>1：選択集計します。
0：選択しません。</t>
        </r>
      </text>
    </comment>
    <comment ref="D1658" authorId="0" shapeId="0" xr:uid="{00000000-0006-0000-0D00-00004E060000}">
      <text>
        <r>
          <rPr>
            <sz val="9"/>
            <color indexed="81"/>
            <rFont val="ＭＳ Ｐゴシック"/>
            <family val="3"/>
            <charset val="128"/>
          </rPr>
          <t>1：選択集計します。
0：選択しません。</t>
        </r>
      </text>
    </comment>
    <comment ref="D1659" authorId="0" shapeId="0" xr:uid="{00000000-0006-0000-0D00-00004F060000}">
      <text>
        <r>
          <rPr>
            <sz val="9"/>
            <color indexed="81"/>
            <rFont val="ＭＳ Ｐゴシック"/>
            <family val="3"/>
            <charset val="128"/>
          </rPr>
          <t>1：選択集計します。
0：選択しません。</t>
        </r>
      </text>
    </comment>
    <comment ref="D1660" authorId="0" shapeId="0" xr:uid="{00000000-0006-0000-0D00-000050060000}">
      <text>
        <r>
          <rPr>
            <sz val="9"/>
            <color indexed="81"/>
            <rFont val="ＭＳ Ｐゴシック"/>
            <family val="3"/>
            <charset val="128"/>
          </rPr>
          <t>1：選択集計します。
0：選択しません。</t>
        </r>
      </text>
    </comment>
    <comment ref="D1661" authorId="0" shapeId="0" xr:uid="{00000000-0006-0000-0D00-000051060000}">
      <text>
        <r>
          <rPr>
            <sz val="9"/>
            <color indexed="81"/>
            <rFont val="ＭＳ Ｐゴシック"/>
            <family val="3"/>
            <charset val="128"/>
          </rPr>
          <t>1：選択集計します。
0：選択しません。</t>
        </r>
      </text>
    </comment>
    <comment ref="D1662" authorId="0" shapeId="0" xr:uid="{00000000-0006-0000-0D00-000052060000}">
      <text>
        <r>
          <rPr>
            <sz val="9"/>
            <color indexed="81"/>
            <rFont val="ＭＳ Ｐゴシック"/>
            <family val="3"/>
            <charset val="128"/>
          </rPr>
          <t>1：選択集計します。
0：選択しません。</t>
        </r>
      </text>
    </comment>
    <comment ref="D1663" authorId="0" shapeId="0" xr:uid="{00000000-0006-0000-0D00-000053060000}">
      <text>
        <r>
          <rPr>
            <sz val="9"/>
            <color indexed="81"/>
            <rFont val="ＭＳ Ｐゴシック"/>
            <family val="3"/>
            <charset val="128"/>
          </rPr>
          <t>1：選択集計します。
0：選択しません。</t>
        </r>
      </text>
    </comment>
    <comment ref="D1664" authorId="0" shapeId="0" xr:uid="{00000000-0006-0000-0D00-000054060000}">
      <text>
        <r>
          <rPr>
            <sz val="9"/>
            <color indexed="81"/>
            <rFont val="ＭＳ Ｐゴシック"/>
            <family val="3"/>
            <charset val="128"/>
          </rPr>
          <t>1：選択集計します。
0：選択しません。</t>
        </r>
      </text>
    </comment>
    <comment ref="D1665" authorId="0" shapeId="0" xr:uid="{00000000-0006-0000-0D00-000055060000}">
      <text>
        <r>
          <rPr>
            <sz val="9"/>
            <color indexed="81"/>
            <rFont val="ＭＳ Ｐゴシック"/>
            <family val="3"/>
            <charset val="128"/>
          </rPr>
          <t>1：選択集計します。
0：選択しません。</t>
        </r>
      </text>
    </comment>
    <comment ref="D1666" authorId="0" shapeId="0" xr:uid="{00000000-0006-0000-0D00-000056060000}">
      <text>
        <r>
          <rPr>
            <sz val="9"/>
            <color indexed="81"/>
            <rFont val="ＭＳ Ｐゴシック"/>
            <family val="3"/>
            <charset val="128"/>
          </rPr>
          <t>1：選択集計します。
0：選択しません。</t>
        </r>
      </text>
    </comment>
    <comment ref="D1667" authorId="0" shapeId="0" xr:uid="{00000000-0006-0000-0D00-000057060000}">
      <text>
        <r>
          <rPr>
            <sz val="9"/>
            <color indexed="81"/>
            <rFont val="ＭＳ Ｐゴシック"/>
            <family val="3"/>
            <charset val="128"/>
          </rPr>
          <t>1：選択集計します。
0：選択しません。</t>
        </r>
      </text>
    </comment>
    <comment ref="D1668" authorId="0" shapeId="0" xr:uid="{00000000-0006-0000-0D00-000058060000}">
      <text>
        <r>
          <rPr>
            <sz val="9"/>
            <color indexed="81"/>
            <rFont val="ＭＳ Ｐゴシック"/>
            <family val="3"/>
            <charset val="128"/>
          </rPr>
          <t>1：選択集計します。
0：選択しません。</t>
        </r>
      </text>
    </comment>
    <comment ref="D1669" authorId="0" shapeId="0" xr:uid="{00000000-0006-0000-0D00-000059060000}">
      <text>
        <r>
          <rPr>
            <sz val="9"/>
            <color indexed="81"/>
            <rFont val="ＭＳ Ｐゴシック"/>
            <family val="3"/>
            <charset val="128"/>
          </rPr>
          <t>1：選択集計します。
0：選択しません。</t>
        </r>
      </text>
    </comment>
    <comment ref="D1670" authorId="0" shapeId="0" xr:uid="{00000000-0006-0000-0D00-00005A060000}">
      <text>
        <r>
          <rPr>
            <sz val="9"/>
            <color indexed="81"/>
            <rFont val="ＭＳ Ｐゴシック"/>
            <family val="3"/>
            <charset val="128"/>
          </rPr>
          <t>1：選択集計します。
0：選択しません。</t>
        </r>
      </text>
    </comment>
    <comment ref="D1671" authorId="0" shapeId="0" xr:uid="{00000000-0006-0000-0D00-00005B060000}">
      <text>
        <r>
          <rPr>
            <sz val="9"/>
            <color indexed="81"/>
            <rFont val="ＭＳ Ｐゴシック"/>
            <family val="3"/>
            <charset val="128"/>
          </rPr>
          <t>1：選択集計します。
0：選択しません。</t>
        </r>
      </text>
    </comment>
    <comment ref="D1672" authorId="0" shapeId="0" xr:uid="{00000000-0006-0000-0D00-00005C060000}">
      <text>
        <r>
          <rPr>
            <sz val="9"/>
            <color indexed="81"/>
            <rFont val="ＭＳ Ｐゴシック"/>
            <family val="3"/>
            <charset val="128"/>
          </rPr>
          <t>1：選択集計します。
0：選択しません。</t>
        </r>
      </text>
    </comment>
    <comment ref="D1673" authorId="0" shapeId="0" xr:uid="{00000000-0006-0000-0D00-00005D060000}">
      <text>
        <r>
          <rPr>
            <sz val="9"/>
            <color indexed="81"/>
            <rFont val="ＭＳ Ｐゴシック"/>
            <family val="3"/>
            <charset val="128"/>
          </rPr>
          <t>1：選択集計します。
0：選択しません。</t>
        </r>
      </text>
    </comment>
    <comment ref="D1674" authorId="0" shapeId="0" xr:uid="{00000000-0006-0000-0D00-00005E060000}">
      <text>
        <r>
          <rPr>
            <sz val="9"/>
            <color indexed="81"/>
            <rFont val="ＭＳ Ｐゴシック"/>
            <family val="3"/>
            <charset val="128"/>
          </rPr>
          <t>1：選択集計します。
0：選択しません。</t>
        </r>
      </text>
    </comment>
    <comment ref="D1675" authorId="0" shapeId="0" xr:uid="{00000000-0006-0000-0D00-00005F060000}">
      <text>
        <r>
          <rPr>
            <sz val="9"/>
            <color indexed="81"/>
            <rFont val="ＭＳ Ｐゴシック"/>
            <family val="3"/>
            <charset val="128"/>
          </rPr>
          <t>1：選択集計します。
0：選択しません。</t>
        </r>
      </text>
    </comment>
    <comment ref="D1676" authorId="0" shapeId="0" xr:uid="{00000000-0006-0000-0D00-000060060000}">
      <text>
        <r>
          <rPr>
            <sz val="9"/>
            <color indexed="81"/>
            <rFont val="ＭＳ Ｐゴシック"/>
            <family val="3"/>
            <charset val="128"/>
          </rPr>
          <t>1：選択集計します。
0：選択しません。</t>
        </r>
      </text>
    </comment>
    <comment ref="D1677" authorId="0" shapeId="0" xr:uid="{00000000-0006-0000-0D00-000061060000}">
      <text>
        <r>
          <rPr>
            <sz val="9"/>
            <color indexed="81"/>
            <rFont val="ＭＳ Ｐゴシック"/>
            <family val="3"/>
            <charset val="128"/>
          </rPr>
          <t>1：選択集計します。
0：選択しません。</t>
        </r>
      </text>
    </comment>
    <comment ref="D1678" authorId="0" shapeId="0" xr:uid="{00000000-0006-0000-0D00-000062060000}">
      <text>
        <r>
          <rPr>
            <sz val="9"/>
            <color indexed="81"/>
            <rFont val="ＭＳ Ｐゴシック"/>
            <family val="3"/>
            <charset val="128"/>
          </rPr>
          <t>1：選択集計します。
0：選択しません。</t>
        </r>
      </text>
    </comment>
    <comment ref="D1679" authorId="0" shapeId="0" xr:uid="{00000000-0006-0000-0D00-000063060000}">
      <text>
        <r>
          <rPr>
            <sz val="9"/>
            <color indexed="81"/>
            <rFont val="ＭＳ Ｐゴシック"/>
            <family val="3"/>
            <charset val="128"/>
          </rPr>
          <t>1：選択集計します。
0：選択しません。</t>
        </r>
      </text>
    </comment>
    <comment ref="D1680" authorId="0" shapeId="0" xr:uid="{00000000-0006-0000-0D00-000064060000}">
      <text>
        <r>
          <rPr>
            <sz val="9"/>
            <color indexed="81"/>
            <rFont val="ＭＳ Ｐゴシック"/>
            <family val="3"/>
            <charset val="128"/>
          </rPr>
          <t>1：選択集計します。
0：選択しません。</t>
        </r>
      </text>
    </comment>
    <comment ref="D1681" authorId="0" shapeId="0" xr:uid="{00000000-0006-0000-0D00-000065060000}">
      <text>
        <r>
          <rPr>
            <sz val="9"/>
            <color indexed="81"/>
            <rFont val="ＭＳ Ｐゴシック"/>
            <family val="3"/>
            <charset val="128"/>
          </rPr>
          <t>1：選択集計します。
0：選択しません。</t>
        </r>
      </text>
    </comment>
    <comment ref="D1682" authorId="0" shapeId="0" xr:uid="{00000000-0006-0000-0D00-000066060000}">
      <text>
        <r>
          <rPr>
            <sz val="9"/>
            <color indexed="81"/>
            <rFont val="ＭＳ Ｐゴシック"/>
            <family val="3"/>
            <charset val="128"/>
          </rPr>
          <t>1：選択集計します。
0：選択しません。</t>
        </r>
      </text>
    </comment>
    <comment ref="D1683" authorId="0" shapeId="0" xr:uid="{00000000-0006-0000-0D00-000067060000}">
      <text>
        <r>
          <rPr>
            <sz val="9"/>
            <color indexed="81"/>
            <rFont val="ＭＳ Ｐゴシック"/>
            <family val="3"/>
            <charset val="128"/>
          </rPr>
          <t>1：選択集計します。
0：選択しません。</t>
        </r>
      </text>
    </comment>
    <comment ref="D1684" authorId="0" shapeId="0" xr:uid="{00000000-0006-0000-0D00-000068060000}">
      <text>
        <r>
          <rPr>
            <sz val="9"/>
            <color indexed="81"/>
            <rFont val="ＭＳ Ｐゴシック"/>
            <family val="3"/>
            <charset val="128"/>
          </rPr>
          <t>1：選択集計します。
0：選択しません。</t>
        </r>
      </text>
    </comment>
    <comment ref="D1685" authorId="0" shapeId="0" xr:uid="{00000000-0006-0000-0D00-000069060000}">
      <text>
        <r>
          <rPr>
            <sz val="9"/>
            <color indexed="81"/>
            <rFont val="ＭＳ Ｐゴシック"/>
            <family val="3"/>
            <charset val="128"/>
          </rPr>
          <t>1：選択集計します。
0：選択しません。</t>
        </r>
      </text>
    </comment>
    <comment ref="D1686" authorId="0" shapeId="0" xr:uid="{00000000-0006-0000-0D00-00006A060000}">
      <text>
        <r>
          <rPr>
            <sz val="9"/>
            <color indexed="81"/>
            <rFont val="ＭＳ Ｐゴシック"/>
            <family val="3"/>
            <charset val="128"/>
          </rPr>
          <t>1：選択集計します。
0：選択しません。</t>
        </r>
      </text>
    </comment>
    <comment ref="D1687" authorId="0" shapeId="0" xr:uid="{00000000-0006-0000-0D00-00006B060000}">
      <text>
        <r>
          <rPr>
            <sz val="9"/>
            <color indexed="81"/>
            <rFont val="ＭＳ Ｐゴシック"/>
            <family val="3"/>
            <charset val="128"/>
          </rPr>
          <t>1：選択集計します。
0：選択しません。</t>
        </r>
      </text>
    </comment>
    <comment ref="D1688" authorId="0" shapeId="0" xr:uid="{00000000-0006-0000-0D00-00006C060000}">
      <text>
        <r>
          <rPr>
            <sz val="9"/>
            <color indexed="81"/>
            <rFont val="ＭＳ Ｐゴシック"/>
            <family val="3"/>
            <charset val="128"/>
          </rPr>
          <t>1：選択集計します。
0：選択しません。</t>
        </r>
      </text>
    </comment>
    <comment ref="D1689" authorId="0" shapeId="0" xr:uid="{00000000-0006-0000-0D00-00006D060000}">
      <text>
        <r>
          <rPr>
            <sz val="9"/>
            <color indexed="81"/>
            <rFont val="ＭＳ Ｐゴシック"/>
            <family val="3"/>
            <charset val="128"/>
          </rPr>
          <t>1：選択集計します。
0：選択しません。</t>
        </r>
      </text>
    </comment>
    <comment ref="D1690" authorId="0" shapeId="0" xr:uid="{00000000-0006-0000-0D00-00006E060000}">
      <text>
        <r>
          <rPr>
            <sz val="9"/>
            <color indexed="81"/>
            <rFont val="ＭＳ Ｐゴシック"/>
            <family val="3"/>
            <charset val="128"/>
          </rPr>
          <t>1：選択集計します。
0：選択しません。</t>
        </r>
      </text>
    </comment>
    <comment ref="D1691" authorId="0" shapeId="0" xr:uid="{00000000-0006-0000-0D00-00006F060000}">
      <text>
        <r>
          <rPr>
            <sz val="9"/>
            <color indexed="81"/>
            <rFont val="ＭＳ Ｐゴシック"/>
            <family val="3"/>
            <charset val="128"/>
          </rPr>
          <t>1：選択集計します。
0：選択しません。</t>
        </r>
      </text>
    </comment>
    <comment ref="D1692" authorId="0" shapeId="0" xr:uid="{00000000-0006-0000-0D00-000070060000}">
      <text>
        <r>
          <rPr>
            <sz val="9"/>
            <color indexed="81"/>
            <rFont val="ＭＳ Ｐゴシック"/>
            <family val="3"/>
            <charset val="128"/>
          </rPr>
          <t>1：選択集計します。
0：選択しません。</t>
        </r>
      </text>
    </comment>
    <comment ref="D1693" authorId="0" shapeId="0" xr:uid="{00000000-0006-0000-0D00-000071060000}">
      <text>
        <r>
          <rPr>
            <sz val="9"/>
            <color indexed="81"/>
            <rFont val="ＭＳ Ｐゴシック"/>
            <family val="3"/>
            <charset val="128"/>
          </rPr>
          <t>1：選択集計します。
0：選択しません。</t>
        </r>
      </text>
    </comment>
    <comment ref="D1694" authorId="0" shapeId="0" xr:uid="{00000000-0006-0000-0D00-000072060000}">
      <text>
        <r>
          <rPr>
            <sz val="9"/>
            <color indexed="81"/>
            <rFont val="ＭＳ Ｐゴシック"/>
            <family val="3"/>
            <charset val="128"/>
          </rPr>
          <t>1：選択集計します。
0：選択しません。</t>
        </r>
      </text>
    </comment>
    <comment ref="D1695" authorId="0" shapeId="0" xr:uid="{00000000-0006-0000-0D00-000073060000}">
      <text>
        <r>
          <rPr>
            <sz val="9"/>
            <color indexed="81"/>
            <rFont val="ＭＳ Ｐゴシック"/>
            <family val="3"/>
            <charset val="128"/>
          </rPr>
          <t>1：選択集計します。
0：選択しません。</t>
        </r>
      </text>
    </comment>
    <comment ref="D1696" authorId="0" shapeId="0" xr:uid="{00000000-0006-0000-0D00-000074060000}">
      <text>
        <r>
          <rPr>
            <sz val="9"/>
            <color indexed="81"/>
            <rFont val="ＭＳ Ｐゴシック"/>
            <family val="3"/>
            <charset val="128"/>
          </rPr>
          <t>1：選択集計します。
0：選択しません。</t>
        </r>
      </text>
    </comment>
    <comment ref="D1697" authorId="0" shapeId="0" xr:uid="{00000000-0006-0000-0D00-000075060000}">
      <text>
        <r>
          <rPr>
            <sz val="9"/>
            <color indexed="81"/>
            <rFont val="ＭＳ Ｐゴシック"/>
            <family val="3"/>
            <charset val="128"/>
          </rPr>
          <t>1：選択集計します。
0：選択しません。</t>
        </r>
      </text>
    </comment>
    <comment ref="D1698" authorId="0" shapeId="0" xr:uid="{00000000-0006-0000-0D00-000076060000}">
      <text>
        <r>
          <rPr>
            <sz val="9"/>
            <color indexed="81"/>
            <rFont val="ＭＳ Ｐゴシック"/>
            <family val="3"/>
            <charset val="128"/>
          </rPr>
          <t>1：選択集計します。
0：選択しません。</t>
        </r>
      </text>
    </comment>
    <comment ref="D1699" authorId="0" shapeId="0" xr:uid="{00000000-0006-0000-0D00-000077060000}">
      <text>
        <r>
          <rPr>
            <sz val="9"/>
            <color indexed="81"/>
            <rFont val="ＭＳ Ｐゴシック"/>
            <family val="3"/>
            <charset val="128"/>
          </rPr>
          <t>1：選択集計します。
0：選択しません。</t>
        </r>
      </text>
    </comment>
    <comment ref="D1700" authorId="0" shapeId="0" xr:uid="{00000000-0006-0000-0D00-000078060000}">
      <text>
        <r>
          <rPr>
            <sz val="9"/>
            <color indexed="81"/>
            <rFont val="ＭＳ Ｐゴシック"/>
            <family val="3"/>
            <charset val="128"/>
          </rPr>
          <t>1：選択集計します。
0：選択しません。</t>
        </r>
      </text>
    </comment>
    <comment ref="D1701" authorId="0" shapeId="0" xr:uid="{00000000-0006-0000-0D00-000079060000}">
      <text>
        <r>
          <rPr>
            <sz val="9"/>
            <color indexed="81"/>
            <rFont val="ＭＳ Ｐゴシック"/>
            <family val="3"/>
            <charset val="128"/>
          </rPr>
          <t>1：選択集計します。
0：選択しません。</t>
        </r>
      </text>
    </comment>
    <comment ref="D1702" authorId="0" shapeId="0" xr:uid="{00000000-0006-0000-0D00-00007A060000}">
      <text>
        <r>
          <rPr>
            <sz val="9"/>
            <color indexed="81"/>
            <rFont val="ＭＳ Ｐゴシック"/>
            <family val="3"/>
            <charset val="128"/>
          </rPr>
          <t>1：選択集計します。
0：選択しません。</t>
        </r>
      </text>
    </comment>
    <comment ref="D1703" authorId="0" shapeId="0" xr:uid="{00000000-0006-0000-0D00-00007B060000}">
      <text>
        <r>
          <rPr>
            <sz val="9"/>
            <color indexed="81"/>
            <rFont val="ＭＳ Ｐゴシック"/>
            <family val="3"/>
            <charset val="128"/>
          </rPr>
          <t>1：選択集計します。
0：選択しません。</t>
        </r>
      </text>
    </comment>
    <comment ref="D1704" authorId="0" shapeId="0" xr:uid="{00000000-0006-0000-0D00-00007C060000}">
      <text>
        <r>
          <rPr>
            <sz val="9"/>
            <color indexed="81"/>
            <rFont val="ＭＳ Ｐゴシック"/>
            <family val="3"/>
            <charset val="128"/>
          </rPr>
          <t>1：選択集計します。
0：選択しません。</t>
        </r>
      </text>
    </comment>
    <comment ref="D1705" authorId="0" shapeId="0" xr:uid="{00000000-0006-0000-0D00-00007D060000}">
      <text>
        <r>
          <rPr>
            <sz val="9"/>
            <color indexed="81"/>
            <rFont val="ＭＳ Ｐゴシック"/>
            <family val="3"/>
            <charset val="128"/>
          </rPr>
          <t>1：選択集計します。
0：選択しません。</t>
        </r>
      </text>
    </comment>
    <comment ref="D1706" authorId="0" shapeId="0" xr:uid="{00000000-0006-0000-0D00-00007E060000}">
      <text>
        <r>
          <rPr>
            <sz val="9"/>
            <color indexed="81"/>
            <rFont val="ＭＳ Ｐゴシック"/>
            <family val="3"/>
            <charset val="128"/>
          </rPr>
          <t>1：選択集計します。
0：選択しません。</t>
        </r>
      </text>
    </comment>
  </commentList>
</comments>
</file>

<file path=xl/sharedStrings.xml><?xml version="1.0" encoding="utf-8"?>
<sst xmlns="http://schemas.openxmlformats.org/spreadsheetml/2006/main" count="1235" uniqueCount="466">
  <si>
    <t>週間進捗状況報告書</t>
    <rPh sb="0" eb="1">
      <t>シュウ</t>
    </rPh>
    <rPh sb="1" eb="2">
      <t>アイダ</t>
    </rPh>
    <rPh sb="2" eb="3">
      <t>ススム</t>
    </rPh>
    <rPh sb="3" eb="4">
      <t>チョク</t>
    </rPh>
    <rPh sb="4" eb="6">
      <t>ジョウキョウ</t>
    </rPh>
    <rPh sb="6" eb="7">
      <t>ホウ</t>
    </rPh>
    <rPh sb="7" eb="8">
      <t>コク</t>
    </rPh>
    <rPh sb="8" eb="9">
      <t>ショ</t>
    </rPh>
    <phoneticPr fontId="7"/>
  </si>
  <si>
    <t>管理者</t>
    <phoneticPr fontId="7"/>
  </si>
  <si>
    <t>本人</t>
    <phoneticPr fontId="7"/>
  </si>
  <si>
    <t>会社名</t>
    <rPh sb="0" eb="2">
      <t>カイシャ</t>
    </rPh>
    <rPh sb="2" eb="3">
      <t>メイ</t>
    </rPh>
    <phoneticPr fontId="7"/>
  </si>
  <si>
    <t>FPTジャパン</t>
  </si>
  <si>
    <t>氏名</t>
    <rPh sb="0" eb="2">
      <t>シメイ</t>
    </rPh>
    <phoneticPr fontId="7"/>
  </si>
  <si>
    <t>LE NHUT THIEN</t>
  </si>
  <si>
    <t>Front SE</t>
  </si>
  <si>
    <t>月</t>
    <rPh sb="0" eb="1">
      <t>ゲツ</t>
    </rPh>
    <phoneticPr fontId="7"/>
  </si>
  <si>
    <t>火</t>
  </si>
  <si>
    <t>水</t>
  </si>
  <si>
    <t>木</t>
  </si>
  <si>
    <t>金</t>
  </si>
  <si>
    <t>土</t>
  </si>
  <si>
    <t>日</t>
  </si>
  <si>
    <t>No</t>
    <phoneticPr fontId="7"/>
  </si>
  <si>
    <t>システムコード</t>
    <phoneticPr fontId="7"/>
  </si>
  <si>
    <t>システム名</t>
    <rPh sb="4" eb="5">
      <t>メイ</t>
    </rPh>
    <phoneticPr fontId="7"/>
  </si>
  <si>
    <t>工種コード</t>
    <rPh sb="0" eb="2">
      <t>コウシュ</t>
    </rPh>
    <phoneticPr fontId="7"/>
  </si>
  <si>
    <t>主な作業内容（予定）</t>
    <rPh sb="0" eb="1">
      <t>オモ</t>
    </rPh>
    <rPh sb="2" eb="4">
      <t>サギョウ</t>
    </rPh>
    <rPh sb="4" eb="6">
      <t>ナイヨウ</t>
    </rPh>
    <rPh sb="7" eb="9">
      <t>ヨテイ</t>
    </rPh>
    <phoneticPr fontId="7"/>
  </si>
  <si>
    <t>予定</t>
    <rPh sb="0" eb="2">
      <t>ヨテイ</t>
    </rPh>
    <phoneticPr fontId="7"/>
  </si>
  <si>
    <t>始業</t>
    <rPh sb="0" eb="2">
      <t>シギョウ</t>
    </rPh>
    <phoneticPr fontId="7"/>
  </si>
  <si>
    <t>累計</t>
    <rPh sb="0" eb="2">
      <t>ルイケイ</t>
    </rPh>
    <phoneticPr fontId="7"/>
  </si>
  <si>
    <t>プロジェクトコード</t>
    <phoneticPr fontId="7"/>
  </si>
  <si>
    <t>プロジェクト名</t>
    <phoneticPr fontId="7"/>
  </si>
  <si>
    <t>工種</t>
    <rPh sb="0" eb="2">
      <t>コウシュ</t>
    </rPh>
    <phoneticPr fontId="7"/>
  </si>
  <si>
    <t>達成度</t>
    <phoneticPr fontId="7"/>
  </si>
  <si>
    <t>終業</t>
    <rPh sb="0" eb="2">
      <t>シュウギョウ</t>
    </rPh>
    <phoneticPr fontId="7"/>
  </si>
  <si>
    <t>休憩・外出時間</t>
    <phoneticPr fontId="7"/>
  </si>
  <si>
    <t>合計</t>
    <rPh sb="0" eb="2">
      <t>ゴウケイ</t>
    </rPh>
    <phoneticPr fontId="7"/>
  </si>
  <si>
    <t>調査・分析・開発計画の準備・実施作業</t>
    <phoneticPr fontId="7"/>
  </si>
  <si>
    <t>SRS：調査・分析・開発計画の準備・実施作業</t>
    <rPh sb="15" eb="17">
      <t>ジュンビ</t>
    </rPh>
    <rPh sb="18" eb="20">
      <t>ジッシ</t>
    </rPh>
    <rPh sb="20" eb="22">
      <t>サギョウ</t>
    </rPh>
    <phoneticPr fontId="7"/>
  </si>
  <si>
    <t>実績</t>
    <rPh sb="0" eb="2">
      <t>ジッセキ</t>
    </rPh>
    <phoneticPr fontId="7"/>
  </si>
  <si>
    <t>プログラムの実施</t>
  </si>
  <si>
    <t>製造：PG修正（手戻り分）</t>
  </si>
  <si>
    <t>テスト実施</t>
  </si>
  <si>
    <t>テスト：総合評価実施</t>
    <rPh sb="8" eb="10">
      <t>ジッシ</t>
    </rPh>
    <phoneticPr fontId="7"/>
  </si>
  <si>
    <t>勤務欄　（記入例：全休、午前休、午後休、遅刻xx分、早退xx分など）</t>
    <rPh sb="0" eb="2">
      <t>キンム</t>
    </rPh>
    <rPh sb="2" eb="3">
      <t>ラン</t>
    </rPh>
    <rPh sb="5" eb="7">
      <t>キニュウ</t>
    </rPh>
    <rPh sb="7" eb="8">
      <t>レイ</t>
    </rPh>
    <rPh sb="9" eb="11">
      <t>ゼンキュウ</t>
    </rPh>
    <rPh sb="12" eb="14">
      <t>ゴゼン</t>
    </rPh>
    <rPh sb="14" eb="15">
      <t>キュウ</t>
    </rPh>
    <rPh sb="16" eb="18">
      <t>ゴゴ</t>
    </rPh>
    <rPh sb="18" eb="19">
      <t>キュウ</t>
    </rPh>
    <rPh sb="20" eb="22">
      <t>チコク</t>
    </rPh>
    <rPh sb="24" eb="25">
      <t>プン</t>
    </rPh>
    <rPh sb="26" eb="28">
      <t>ソウタイ</t>
    </rPh>
    <rPh sb="30" eb="31">
      <t>フン</t>
    </rPh>
    <phoneticPr fontId="7"/>
  </si>
  <si>
    <t>内部問題</t>
    <rPh sb="0" eb="2">
      <t>ナイブ</t>
    </rPh>
    <rPh sb="2" eb="4">
      <t>モンダイ</t>
    </rPh>
    <phoneticPr fontId="7"/>
  </si>
  <si>
    <t>対策</t>
    <rPh sb="0" eb="2">
      <t>タイサク</t>
    </rPh>
    <phoneticPr fontId="7"/>
  </si>
  <si>
    <t>外部問題</t>
    <rPh sb="0" eb="2">
      <t>ガイブ</t>
    </rPh>
    <rPh sb="2" eb="4">
      <t>モンダイ</t>
    </rPh>
    <phoneticPr fontId="7"/>
  </si>
  <si>
    <t>その他</t>
    <rPh sb="2" eb="3">
      <t>タ</t>
    </rPh>
    <phoneticPr fontId="7"/>
  </si>
  <si>
    <t>・週間進捗状況報告書は、週次ミーティング時（または管理者の指示に従って）に、実績を記入したものと翌週の予定を記載したものを提出する。</t>
    <rPh sb="25" eb="28">
      <t>カンリシャ</t>
    </rPh>
    <rPh sb="29" eb="31">
      <t>シジ</t>
    </rPh>
    <rPh sb="32" eb="33">
      <t>シタガ</t>
    </rPh>
    <phoneticPr fontId="7"/>
  </si>
  <si>
    <t>・入力する欄はセルの白部分のみになります。色のついた部分は入力しないように願います。</t>
    <rPh sb="1" eb="3">
      <t>ニュウリョク</t>
    </rPh>
    <rPh sb="5" eb="6">
      <t>ラン</t>
    </rPh>
    <rPh sb="10" eb="11">
      <t>シロ</t>
    </rPh>
    <rPh sb="11" eb="13">
      <t>ブブン</t>
    </rPh>
    <rPh sb="21" eb="22">
      <t>イロ</t>
    </rPh>
    <rPh sb="26" eb="28">
      <t>ブブン</t>
    </rPh>
    <rPh sb="29" eb="31">
      <t>ニュウリョク</t>
    </rPh>
    <rPh sb="37" eb="38">
      <t>ネガ</t>
    </rPh>
    <phoneticPr fontId="7"/>
  </si>
  <si>
    <t>・ファイルは一ヶ月単位で管理し、1週間で１シートとする。</t>
    <rPh sb="6" eb="9">
      <t>イッカゲツ</t>
    </rPh>
    <rPh sb="9" eb="11">
      <t>タンイ</t>
    </rPh>
    <rPh sb="12" eb="14">
      <t>カンリ</t>
    </rPh>
    <rPh sb="17" eb="19">
      <t>シュウカン</t>
    </rPh>
    <phoneticPr fontId="7"/>
  </si>
  <si>
    <t>・入力されたファイルは管理者が管理し、指定された場所に保管する。</t>
    <rPh sb="1" eb="3">
      <t>ニュウリョク</t>
    </rPh>
    <rPh sb="11" eb="14">
      <t>カンリシャ</t>
    </rPh>
    <rPh sb="15" eb="17">
      <t>カンリ</t>
    </rPh>
    <rPh sb="19" eb="21">
      <t>シテイ</t>
    </rPh>
    <rPh sb="24" eb="26">
      <t>バショ</t>
    </rPh>
    <rPh sb="27" eb="29">
      <t>ホカン</t>
    </rPh>
    <phoneticPr fontId="7"/>
  </si>
  <si>
    <t>・開発業務管理室への提出は、実績が記入されたものを出力し、押印して提出すること。（翌週の火曜日まで）</t>
    <rPh sb="1" eb="3">
      <t>カイハツ</t>
    </rPh>
    <rPh sb="3" eb="5">
      <t>ギョウム</t>
    </rPh>
    <rPh sb="5" eb="8">
      <t>カンリシツ</t>
    </rPh>
    <rPh sb="10" eb="12">
      <t>テイシュツ</t>
    </rPh>
    <rPh sb="14" eb="16">
      <t>ジッセキ</t>
    </rPh>
    <rPh sb="17" eb="19">
      <t>キニュウ</t>
    </rPh>
    <rPh sb="25" eb="27">
      <t>シュツリョク</t>
    </rPh>
    <rPh sb="29" eb="31">
      <t>オウイン</t>
    </rPh>
    <rPh sb="33" eb="35">
      <t>テイシュツ</t>
    </rPh>
    <rPh sb="41" eb="43">
      <t>ヨクシュウ</t>
    </rPh>
    <rPh sb="44" eb="47">
      <t>カヨウビ</t>
    </rPh>
    <phoneticPr fontId="7"/>
  </si>
  <si>
    <t>PJ20-1-2022-0624</t>
    <phoneticPr fontId="7"/>
  </si>
  <si>
    <t>調査・分析・実施作業</t>
    <phoneticPr fontId="7"/>
  </si>
  <si>
    <t>テスト：総合評価実施</t>
    <phoneticPr fontId="7"/>
  </si>
  <si>
    <t>年</t>
    <rPh sb="0" eb="1">
      <t>ネン</t>
    </rPh>
    <phoneticPr fontId="7"/>
  </si>
  <si>
    <t>月度 勤務報告書</t>
  </si>
  <si>
    <t>就業先</t>
    <rPh sb="0" eb="2">
      <t>シュウギョウ</t>
    </rPh>
    <rPh sb="2" eb="3">
      <t>サキ</t>
    </rPh>
    <phoneticPr fontId="7"/>
  </si>
  <si>
    <t>会社名</t>
    <rPh sb="0" eb="3">
      <t>カイシャメイ</t>
    </rPh>
    <phoneticPr fontId="7"/>
  </si>
  <si>
    <t>横河ソリューションサービス株式会社</t>
    <rPh sb="0" eb="2">
      <t>ヨコガワ</t>
    </rPh>
    <rPh sb="13" eb="17">
      <t>カブシキガイシャ</t>
    </rPh>
    <phoneticPr fontId="7"/>
  </si>
  <si>
    <t>組織単位</t>
    <rPh sb="0" eb="2">
      <t>ソシキ</t>
    </rPh>
    <rPh sb="2" eb="4">
      <t>タンイ</t>
    </rPh>
    <phoneticPr fontId="7"/>
  </si>
  <si>
    <t>SI　開発部</t>
  </si>
  <si>
    <t>就業場所</t>
    <rPh sb="0" eb="2">
      <t>シュウギョウ</t>
    </rPh>
    <rPh sb="2" eb="4">
      <t>バショ</t>
    </rPh>
    <phoneticPr fontId="7"/>
  </si>
  <si>
    <t>〒105-0011東京都港区芝公園1丁目7-6</t>
  </si>
  <si>
    <t>社名</t>
    <rPh sb="0" eb="2">
      <t>シャメイ</t>
    </rPh>
    <phoneticPr fontId="7"/>
  </si>
  <si>
    <t>就業した業務</t>
    <phoneticPr fontId="7"/>
  </si>
  <si>
    <t>YOKO Portal 開発</t>
  </si>
  <si>
    <t>氏名</t>
  </si>
  <si>
    <t>=(月間集計シート!$C$29)</t>
  </si>
  <si>
    <t>日付</t>
  </si>
  <si>
    <t>曜日</t>
  </si>
  <si>
    <t>ﾀｲﾌﾟ</t>
  </si>
  <si>
    <t>休日</t>
  </si>
  <si>
    <t>休暇</t>
  </si>
  <si>
    <t>出勤時間</t>
  </si>
  <si>
    <t>退勤時間</t>
  </si>
  <si>
    <t>拘束時間</t>
  </si>
  <si>
    <t>休憩－</t>
  </si>
  <si>
    <t>遅早＋</t>
  </si>
  <si>
    <t>就業時間</t>
    <rPh sb="2" eb="4">
      <t>ジカン</t>
    </rPh>
    <phoneticPr fontId="7"/>
  </si>
  <si>
    <t>内深夜</t>
  </si>
  <si>
    <t>備　　　考</t>
  </si>
  <si>
    <t>検印</t>
  </si>
  <si>
    <t>西暦</t>
    <rPh sb="0" eb="2">
      <t>セイレキ</t>
    </rPh>
    <phoneticPr fontId="7"/>
  </si>
  <si>
    <t>公休</t>
  </si>
  <si>
    <t>合  計</t>
  </si>
  <si>
    <t>③</t>
  </si>
  <si>
    <t>①</t>
  </si>
  <si>
    <t>{暦日数－(休日数①)}×7.5＝所定勤務時間数</t>
    <rPh sb="7" eb="8">
      <t>ヒ</t>
    </rPh>
    <phoneticPr fontId="7"/>
  </si>
  <si>
    <t>　②就業時間－所定勤務時間数＝残業時間数</t>
    <phoneticPr fontId="7"/>
  </si>
  <si>
    <t>ＴＯＴＡＬ</t>
  </si>
  <si>
    <t>②</t>
    <phoneticPr fontId="7"/>
  </si>
  <si>
    <t>－</t>
    <phoneticPr fontId="7"/>
  </si>
  <si>
    <t>＝</t>
    <phoneticPr fontId="7"/>
  </si>
  <si>
    <t>※休日欄記入項目ー公休・代休・公出</t>
  </si>
  <si>
    <t>部長</t>
  </si>
  <si>
    <t>所属上長</t>
  </si>
  <si>
    <t>※休暇欄記入項目＝有給休暇・特別休暇・慶弔休暇・病気欠勤・出産休暇</t>
  </si>
  <si>
    <t>　　　　　　　　　生理休暇・無届欠勤・事故都合欠勤・業務上災害休暇</t>
  </si>
  <si>
    <t>※所定就業時間算出方法＝拘束時間－休憩時間＋遅刻早退時間</t>
  </si>
  <si>
    <t>会社コード</t>
    <rPh sb="0" eb="2">
      <t>カイシャ</t>
    </rPh>
    <phoneticPr fontId="40"/>
  </si>
  <si>
    <t>会社名</t>
    <rPh sb="0" eb="3">
      <t>カイシャメイ</t>
    </rPh>
    <phoneticPr fontId="40"/>
  </si>
  <si>
    <t>備考</t>
    <rPh sb="0" eb="2">
      <t>ビコウ</t>
    </rPh>
    <phoneticPr fontId="40"/>
  </si>
  <si>
    <t>FPTソフトウェア</t>
    <phoneticPr fontId="7"/>
  </si>
  <si>
    <t>支払先コード</t>
    <rPh sb="0" eb="2">
      <t>シハライ</t>
    </rPh>
    <rPh sb="2" eb="3">
      <t>サキ</t>
    </rPh>
    <phoneticPr fontId="40"/>
  </si>
  <si>
    <t>Role</t>
    <phoneticPr fontId="4"/>
  </si>
  <si>
    <t>氏名</t>
    <rPh sb="0" eb="2">
      <t>シメイ</t>
    </rPh>
    <phoneticPr fontId="40"/>
  </si>
  <si>
    <t>PM</t>
    <phoneticPr fontId="4"/>
  </si>
  <si>
    <t>Nguyen Quoc Bao</t>
    <phoneticPr fontId="4"/>
  </si>
  <si>
    <t>日本</t>
    <rPh sb="0" eb="2">
      <t>ニホン</t>
    </rPh>
    <phoneticPr fontId="4"/>
  </si>
  <si>
    <t>Consuitant</t>
    <phoneticPr fontId="4"/>
  </si>
  <si>
    <t>浅井　あき​</t>
    <phoneticPr fontId="4"/>
  </si>
  <si>
    <t>BA</t>
    <phoneticPr fontId="4"/>
  </si>
  <si>
    <t>大友 光理​</t>
    <phoneticPr fontId="4"/>
  </si>
  <si>
    <t>Front SE</t>
    <phoneticPr fontId="4"/>
  </si>
  <si>
    <t>Do Hong Hieu​</t>
    <phoneticPr fontId="3"/>
  </si>
  <si>
    <t>Doan Huu Thuong</t>
    <phoneticPr fontId="4"/>
  </si>
  <si>
    <t>平田</t>
  </si>
  <si>
    <t>PMO</t>
  </si>
  <si>
    <t>志平</t>
  </si>
  <si>
    <t>Phan Van HOAN​</t>
    <phoneticPr fontId="4"/>
  </si>
  <si>
    <t>ベトナム</t>
    <phoneticPr fontId="4"/>
  </si>
  <si>
    <t>Phung Thi THAO​</t>
    <phoneticPr fontId="4"/>
  </si>
  <si>
    <t>Tran Viet THANG​</t>
    <phoneticPr fontId="4"/>
  </si>
  <si>
    <t>Tran Nguyen Tien SU</t>
    <phoneticPr fontId="4"/>
  </si>
  <si>
    <t>Comter</t>
    <phoneticPr fontId="4"/>
  </si>
  <si>
    <t>Dinh Viet Ha</t>
    <phoneticPr fontId="4"/>
  </si>
  <si>
    <t>Nguyen Hoang Nam</t>
    <phoneticPr fontId="4"/>
  </si>
  <si>
    <t>月間集計シート（サンプル）</t>
    <rPh sb="0" eb="2">
      <t>ゲッカン</t>
    </rPh>
    <rPh sb="2" eb="4">
      <t>シュウケイ</t>
    </rPh>
    <phoneticPr fontId="7"/>
  </si>
  <si>
    <t>↓②当月の所定勤務日数を入力します</t>
    <rPh sb="2" eb="4">
      <t>トウゲツ</t>
    </rPh>
    <rPh sb="5" eb="7">
      <t>ショテイ</t>
    </rPh>
    <rPh sb="7" eb="9">
      <t>キンム</t>
    </rPh>
    <rPh sb="9" eb="11">
      <t>ニッスウ</t>
    </rPh>
    <rPh sb="12" eb="14">
      <t>ニュウリョク</t>
    </rPh>
    <phoneticPr fontId="7"/>
  </si>
  <si>
    <t>月曜</t>
    <rPh sb="0" eb="2">
      <t>ゲツヨウ</t>
    </rPh>
    <phoneticPr fontId="7"/>
  </si>
  <si>
    <t>火曜</t>
    <rPh sb="0" eb="2">
      <t>カヨウ</t>
    </rPh>
    <phoneticPr fontId="7"/>
  </si>
  <si>
    <t>水曜</t>
    <rPh sb="0" eb="2">
      <t>スイヨウ</t>
    </rPh>
    <phoneticPr fontId="7"/>
  </si>
  <si>
    <t>木曜</t>
    <rPh sb="0" eb="2">
      <t>モクヨウ</t>
    </rPh>
    <phoneticPr fontId="7"/>
  </si>
  <si>
    <t>金曜</t>
    <rPh sb="0" eb="2">
      <t>キンヨウ</t>
    </rPh>
    <phoneticPr fontId="7"/>
  </si>
  <si>
    <t>土曜</t>
    <rPh sb="0" eb="2">
      <t>ドヨウ</t>
    </rPh>
    <phoneticPr fontId="7"/>
  </si>
  <si>
    <t>日曜</t>
    <rPh sb="0" eb="2">
      <t>ニチヨウ</t>
    </rPh>
    <phoneticPr fontId="7"/>
  </si>
  <si>
    <t>時間</t>
    <rPh sb="0" eb="2">
      <t>ジカン</t>
    </rPh>
    <phoneticPr fontId="7"/>
  </si>
  <si>
    <t>＜業務管理用週別集計＞</t>
    <rPh sb="1" eb="3">
      <t>ギョウム</t>
    </rPh>
    <rPh sb="3" eb="6">
      <t>カンリヨウ</t>
    </rPh>
    <rPh sb="6" eb="7">
      <t>シュウ</t>
    </rPh>
    <rPh sb="7" eb="8">
      <t>ベツ</t>
    </rPh>
    <rPh sb="8" eb="10">
      <t>シュウケイ</t>
    </rPh>
    <phoneticPr fontId="7"/>
  </si>
  <si>
    <t>no</t>
    <phoneticPr fontId="7"/>
  </si>
  <si>
    <t>↓①集計プロジェクトコードを入力します。重複すると正しく集計できません。</t>
    <rPh sb="2" eb="4">
      <t>シュウケイ</t>
    </rPh>
    <rPh sb="14" eb="16">
      <t>ニュウリョク</t>
    </rPh>
    <rPh sb="20" eb="22">
      <t>ジュウフク</t>
    </rPh>
    <rPh sb="25" eb="26">
      <t>タダ</t>
    </rPh>
    <rPh sb="28" eb="30">
      <t>シュウケイ</t>
    </rPh>
    <phoneticPr fontId="7"/>
  </si>
  <si>
    <t>比率</t>
    <rPh sb="0" eb="2">
      <t>ヒリツ</t>
    </rPh>
    <phoneticPr fontId="7"/>
  </si>
  <si>
    <t>所定時間</t>
    <rPh sb="0" eb="2">
      <t>ショテイ</t>
    </rPh>
    <rPh sb="2" eb="4">
      <t>ジカン</t>
    </rPh>
    <phoneticPr fontId="7"/>
  </si>
  <si>
    <t>所定日数</t>
    <rPh sb="0" eb="2">
      <t>ショテイ</t>
    </rPh>
    <rPh sb="2" eb="4">
      <t>ニッスウ</t>
    </rPh>
    <phoneticPr fontId="7"/>
  </si>
  <si>
    <t>38期製品開発部Project一覧</t>
    <rPh sb="2" eb="3">
      <t>キ</t>
    </rPh>
    <rPh sb="3" eb="5">
      <t>セイヒン</t>
    </rPh>
    <rPh sb="5" eb="8">
      <t>カイハツブ</t>
    </rPh>
    <rPh sb="15" eb="17">
      <t>イチラン</t>
    </rPh>
    <phoneticPr fontId="7"/>
  </si>
  <si>
    <t>第1週</t>
    <rPh sb="0" eb="1">
      <t>ダイ</t>
    </rPh>
    <rPh sb="2" eb="3">
      <t>シュウ</t>
    </rPh>
    <phoneticPr fontId="7"/>
  </si>
  <si>
    <t>第2週</t>
    <rPh sb="0" eb="1">
      <t>ダイ</t>
    </rPh>
    <rPh sb="2" eb="3">
      <t>シュウ</t>
    </rPh>
    <phoneticPr fontId="7"/>
  </si>
  <si>
    <t>第3週</t>
    <rPh sb="0" eb="1">
      <t>ダイ</t>
    </rPh>
    <rPh sb="2" eb="3">
      <t>シュウ</t>
    </rPh>
    <phoneticPr fontId="7"/>
  </si>
  <si>
    <t>第4週</t>
    <rPh sb="0" eb="1">
      <t>ダイ</t>
    </rPh>
    <rPh sb="2" eb="3">
      <t>シュウ</t>
    </rPh>
    <phoneticPr fontId="7"/>
  </si>
  <si>
    <t>第5週</t>
    <rPh sb="0" eb="1">
      <t>ダイ</t>
    </rPh>
    <rPh sb="2" eb="3">
      <t>シュウ</t>
    </rPh>
    <phoneticPr fontId="7"/>
  </si>
  <si>
    <t>第6週</t>
    <rPh sb="0" eb="1">
      <t>ダイ</t>
    </rPh>
    <rPh sb="2" eb="3">
      <t>シュウ</t>
    </rPh>
    <phoneticPr fontId="7"/>
  </si>
  <si>
    <t>シート</t>
    <phoneticPr fontId="7"/>
  </si>
  <si>
    <t>日付</t>
    <rPh sb="0" eb="2">
      <t>ヒヅケ</t>
    </rPh>
    <phoneticPr fontId="7"/>
  </si>
  <si>
    <t>曜</t>
    <rPh sb="0" eb="1">
      <t>ヨウ</t>
    </rPh>
    <phoneticPr fontId="7"/>
  </si>
  <si>
    <t>就業</t>
    <rPh sb="0" eb="2">
      <t>シュウギョウ</t>
    </rPh>
    <phoneticPr fontId="7"/>
  </si>
  <si>
    <t>休憩</t>
    <rPh sb="0" eb="2">
      <t>キュウケイ</t>
    </rPh>
    <phoneticPr fontId="7"/>
  </si>
  <si>
    <t>会社コード</t>
    <phoneticPr fontId="7"/>
  </si>
  <si>
    <t>：参照表示集計</t>
    <rPh sb="1" eb="3">
      <t>サンショウ</t>
    </rPh>
    <rPh sb="3" eb="5">
      <t>ヒョウジ</t>
    </rPh>
    <rPh sb="5" eb="7">
      <t>シュウケイ</t>
    </rPh>
    <phoneticPr fontId="7"/>
  </si>
  <si>
    <t>１週</t>
    <rPh sb="1" eb="2">
      <t>シュウ</t>
    </rPh>
    <phoneticPr fontId="7"/>
  </si>
  <si>
    <t>２週</t>
    <rPh sb="1" eb="2">
      <t>シュウ</t>
    </rPh>
    <phoneticPr fontId="7"/>
  </si>
  <si>
    <t>３週</t>
    <rPh sb="1" eb="2">
      <t>シュウ</t>
    </rPh>
    <phoneticPr fontId="7"/>
  </si>
  <si>
    <t>４週</t>
    <rPh sb="1" eb="2">
      <t>シュウ</t>
    </rPh>
    <phoneticPr fontId="7"/>
  </si>
  <si>
    <t>５週</t>
    <rPh sb="1" eb="2">
      <t>シュウ</t>
    </rPh>
    <phoneticPr fontId="7"/>
  </si>
  <si>
    <t>６週</t>
    <rPh sb="1" eb="2">
      <t>シュウ</t>
    </rPh>
    <phoneticPr fontId="7"/>
  </si>
  <si>
    <t>CD</t>
    <phoneticPr fontId="7"/>
  </si>
  <si>
    <t>補足説明</t>
    <rPh sb="0" eb="2">
      <t>ホソク</t>
    </rPh>
    <rPh sb="2" eb="4">
      <t>セツメイ</t>
    </rPh>
    <phoneticPr fontId="7"/>
  </si>
  <si>
    <t>10102</t>
  </si>
  <si>
    <t>バックログ（ＳＲＢ要望など残タスク）から対応案件の決定や、ロードマップ作成にかかった時間（要求分析・調査環境の構築、対応案件の精査・SRB案件精査、基礎データの調査・分析）</t>
    <rPh sb="9" eb="11">
      <t>ヨウボウ</t>
    </rPh>
    <rPh sb="13" eb="14">
      <t>ザン</t>
    </rPh>
    <rPh sb="20" eb="22">
      <t>タイオウ</t>
    </rPh>
    <rPh sb="22" eb="24">
      <t>アンケン</t>
    </rPh>
    <rPh sb="25" eb="27">
      <t>ケッテイ</t>
    </rPh>
    <rPh sb="35" eb="37">
      <t>サクセイ</t>
    </rPh>
    <rPh sb="42" eb="44">
      <t>ジカン</t>
    </rPh>
    <rPh sb="45" eb="47">
      <t>ヨウキュウ</t>
    </rPh>
    <rPh sb="47" eb="49">
      <t>ブンセキ</t>
    </rPh>
    <rPh sb="50" eb="52">
      <t>チョウサ</t>
    </rPh>
    <rPh sb="52" eb="54">
      <t>カンキョウ</t>
    </rPh>
    <rPh sb="55" eb="57">
      <t>コウチク</t>
    </rPh>
    <rPh sb="58" eb="60">
      <t>タイオウ</t>
    </rPh>
    <rPh sb="60" eb="62">
      <t>アンケン</t>
    </rPh>
    <rPh sb="63" eb="65">
      <t>セイサ</t>
    </rPh>
    <rPh sb="69" eb="71">
      <t>アンケン</t>
    </rPh>
    <rPh sb="71" eb="73">
      <t>セイサ</t>
    </rPh>
    <rPh sb="74" eb="76">
      <t>キソ</t>
    </rPh>
    <rPh sb="80" eb="82">
      <t>チョウサ</t>
    </rPh>
    <rPh sb="83" eb="85">
      <t>ブンセキ</t>
    </rPh>
    <phoneticPr fontId="6"/>
  </si>
  <si>
    <t>10103</t>
  </si>
  <si>
    <t>SRS：企画書・計画書・報告書等資料作成・修正</t>
    <rPh sb="8" eb="11">
      <t>ケイカクショ</t>
    </rPh>
    <rPh sb="12" eb="14">
      <t>ホウコク</t>
    </rPh>
    <rPh sb="14" eb="15">
      <t>ショ</t>
    </rPh>
    <rPh sb="15" eb="16">
      <t>トウ</t>
    </rPh>
    <rPh sb="16" eb="18">
      <t>シリョウ</t>
    </rPh>
    <phoneticPr fontId="7"/>
  </si>
  <si>
    <t>要件定義書の「作成関連作業」（概算の見積(工数算出)スケジュール作成・調査結果説明資料作成）を含む</t>
    <rPh sb="0" eb="2">
      <t>ヨウケン</t>
    </rPh>
    <rPh sb="2" eb="5">
      <t>テイギショ</t>
    </rPh>
    <rPh sb="7" eb="9">
      <t>サクセイ</t>
    </rPh>
    <rPh sb="9" eb="11">
      <t>カンレン</t>
    </rPh>
    <rPh sb="11" eb="13">
      <t>サギョウ</t>
    </rPh>
    <rPh sb="15" eb="17">
      <t>ガイサン</t>
    </rPh>
    <rPh sb="18" eb="20">
      <t>ミツモ</t>
    </rPh>
    <rPh sb="21" eb="23">
      <t>コウスウ</t>
    </rPh>
    <rPh sb="23" eb="25">
      <t>サンシュツ</t>
    </rPh>
    <rPh sb="32" eb="34">
      <t>サクセイ</t>
    </rPh>
    <rPh sb="35" eb="37">
      <t>チョウサ</t>
    </rPh>
    <rPh sb="37" eb="39">
      <t>ケッカ</t>
    </rPh>
    <rPh sb="39" eb="41">
      <t>セツメイ</t>
    </rPh>
    <rPh sb="41" eb="43">
      <t>シリョウ</t>
    </rPh>
    <rPh sb="43" eb="45">
      <t>サクセイ</t>
    </rPh>
    <rPh sb="47" eb="48">
      <t>フク</t>
    </rPh>
    <phoneticPr fontId="7"/>
  </si>
  <si>
    <t>10104</t>
  </si>
  <si>
    <t>SRS：打合せ</t>
    <phoneticPr fontId="7"/>
  </si>
  <si>
    <t>要件定義に関する「検討調整打合せ」を含む</t>
    <rPh sb="0" eb="2">
      <t>ヨウケン</t>
    </rPh>
    <rPh sb="2" eb="4">
      <t>テイギ</t>
    </rPh>
    <rPh sb="5" eb="6">
      <t>カン</t>
    </rPh>
    <rPh sb="9" eb="11">
      <t>ケントウ</t>
    </rPh>
    <rPh sb="11" eb="13">
      <t>チョウセイ</t>
    </rPh>
    <rPh sb="13" eb="15">
      <t>ウチアワ</t>
    </rPh>
    <rPh sb="18" eb="19">
      <t>フク</t>
    </rPh>
    <phoneticPr fontId="6"/>
  </si>
  <si>
    <t>10105</t>
  </si>
  <si>
    <t>SRS：レビュー</t>
    <phoneticPr fontId="7"/>
  </si>
  <si>
    <t>成果物の確認作業・レビュー含む</t>
    <rPh sb="0" eb="3">
      <t>セイカブツ</t>
    </rPh>
    <rPh sb="4" eb="6">
      <t>カクニン</t>
    </rPh>
    <rPh sb="6" eb="8">
      <t>サギョウ</t>
    </rPh>
    <rPh sb="13" eb="14">
      <t>フク</t>
    </rPh>
    <phoneticPr fontId="7"/>
  </si>
  <si>
    <t>10199</t>
  </si>
  <si>
    <t>SRS：その他</t>
    <phoneticPr fontId="7"/>
  </si>
  <si>
    <t>企画に関する作業で、他の内訳に合致しない作業時間</t>
    <rPh sb="0" eb="2">
      <t>キカク</t>
    </rPh>
    <rPh sb="3" eb="4">
      <t>カン</t>
    </rPh>
    <rPh sb="6" eb="8">
      <t>サギョウ</t>
    </rPh>
    <rPh sb="10" eb="11">
      <t>ホカ</t>
    </rPh>
    <rPh sb="12" eb="14">
      <t>ウチワケ</t>
    </rPh>
    <rPh sb="15" eb="17">
      <t>ガッチ</t>
    </rPh>
    <rPh sb="20" eb="22">
      <t>サギョウ</t>
    </rPh>
    <rPh sb="22" eb="24">
      <t>ジカン</t>
    </rPh>
    <phoneticPr fontId="6"/>
  </si>
  <si>
    <t>20101</t>
  </si>
  <si>
    <t>設計：外部設計書作成</t>
    <phoneticPr fontId="7"/>
  </si>
  <si>
    <t>業務上の要求を分析して外部設計書を作成する時間</t>
    <rPh sb="0" eb="3">
      <t>ギョウムジョウ</t>
    </rPh>
    <rPh sb="4" eb="6">
      <t>ヨウキュウ</t>
    </rPh>
    <rPh sb="7" eb="9">
      <t>ブンセキ</t>
    </rPh>
    <rPh sb="11" eb="13">
      <t>ガイブ</t>
    </rPh>
    <rPh sb="13" eb="15">
      <t>セッケイ</t>
    </rPh>
    <rPh sb="15" eb="16">
      <t>ショ</t>
    </rPh>
    <rPh sb="17" eb="19">
      <t>サクセイ</t>
    </rPh>
    <rPh sb="21" eb="23">
      <t>ジカン</t>
    </rPh>
    <phoneticPr fontId="7"/>
  </si>
  <si>
    <t>20103</t>
  </si>
  <si>
    <t>設計：打合せ</t>
    <phoneticPr fontId="7"/>
  </si>
  <si>
    <t>設計に関する「検討調整打合せ」を含む</t>
    <rPh sb="0" eb="2">
      <t>セッケイ</t>
    </rPh>
    <rPh sb="3" eb="4">
      <t>カン</t>
    </rPh>
    <rPh sb="7" eb="9">
      <t>ケントウ</t>
    </rPh>
    <rPh sb="9" eb="11">
      <t>チョウセイ</t>
    </rPh>
    <rPh sb="11" eb="13">
      <t>ウチアワ</t>
    </rPh>
    <rPh sb="16" eb="17">
      <t>フク</t>
    </rPh>
    <phoneticPr fontId="7"/>
  </si>
  <si>
    <t>設計：原因調査・影響範囲分析・変更仕様作成</t>
    <rPh sb="0" eb="2">
      <t>セッケイ</t>
    </rPh>
    <rPh sb="3" eb="5">
      <t>ゲンイン</t>
    </rPh>
    <rPh sb="5" eb="7">
      <t>チョウサ</t>
    </rPh>
    <rPh sb="8" eb="10">
      <t>エイキョウ</t>
    </rPh>
    <rPh sb="10" eb="12">
      <t>ハンイ</t>
    </rPh>
    <rPh sb="12" eb="14">
      <t>ブンセキ</t>
    </rPh>
    <rPh sb="15" eb="17">
      <t>ヘンコウ</t>
    </rPh>
    <rPh sb="17" eb="19">
      <t>シヨウ</t>
    </rPh>
    <rPh sb="19" eb="21">
      <t>サクセイ</t>
    </rPh>
    <phoneticPr fontId="7"/>
  </si>
  <si>
    <t>「保守」のみ使用、影響範囲分析等を実施し、変更仕様の資料を作成する時間</t>
    <rPh sb="1" eb="3">
      <t>ホシュ</t>
    </rPh>
    <rPh sb="6" eb="8">
      <t>シヨウ</t>
    </rPh>
    <rPh sb="9" eb="11">
      <t>エイキョウ</t>
    </rPh>
    <rPh sb="11" eb="13">
      <t>ハンイ</t>
    </rPh>
    <rPh sb="13" eb="15">
      <t>ブンセキ</t>
    </rPh>
    <rPh sb="15" eb="16">
      <t>トウ</t>
    </rPh>
    <rPh sb="17" eb="19">
      <t>ジッシ</t>
    </rPh>
    <rPh sb="21" eb="23">
      <t>ヘンコウ</t>
    </rPh>
    <rPh sb="23" eb="25">
      <t>シヨウ</t>
    </rPh>
    <rPh sb="26" eb="28">
      <t>シリョウ</t>
    </rPh>
    <rPh sb="29" eb="31">
      <t>サクセイ</t>
    </rPh>
    <rPh sb="33" eb="35">
      <t>ジカン</t>
    </rPh>
    <phoneticPr fontId="7"/>
  </si>
  <si>
    <t>20106</t>
  </si>
  <si>
    <t>設計：設計書修正（手戻り分）</t>
  </si>
  <si>
    <t>プログラム作成以降、リリースまでにみつかった内部不具合を
修正した時間を入力する。
※手戻り分のレビュー会議もこの工種を使用する</t>
    <rPh sb="5" eb="7">
      <t>サクセイ</t>
    </rPh>
    <rPh sb="7" eb="9">
      <t>イコウ</t>
    </rPh>
    <rPh sb="22" eb="24">
      <t>ナイブ</t>
    </rPh>
    <rPh sb="24" eb="27">
      <t>フグアイ</t>
    </rPh>
    <rPh sb="29" eb="31">
      <t>シュウセイ</t>
    </rPh>
    <rPh sb="33" eb="35">
      <t>ジカン</t>
    </rPh>
    <rPh sb="36" eb="38">
      <t>ニュウリョク</t>
    </rPh>
    <phoneticPr fontId="6"/>
  </si>
  <si>
    <t>20107</t>
  </si>
  <si>
    <t>設計：その他の設計書作成</t>
    <rPh sb="7" eb="9">
      <t>セッケイ</t>
    </rPh>
    <rPh sb="9" eb="10">
      <t>ショ</t>
    </rPh>
    <rPh sb="10" eb="12">
      <t>サクセイ</t>
    </rPh>
    <phoneticPr fontId="7"/>
  </si>
  <si>
    <t>外部設計書、ﾃｽﾄ設計書以外の設計書の作成に掛かった時間（例：運用設計書等）</t>
    <rPh sb="0" eb="2">
      <t>ガイブ</t>
    </rPh>
    <rPh sb="2" eb="4">
      <t>セッケイ</t>
    </rPh>
    <rPh sb="4" eb="5">
      <t>ショ</t>
    </rPh>
    <rPh sb="9" eb="11">
      <t>セッケイ</t>
    </rPh>
    <rPh sb="11" eb="12">
      <t>ショ</t>
    </rPh>
    <rPh sb="12" eb="14">
      <t>イガイ</t>
    </rPh>
    <rPh sb="15" eb="17">
      <t>セッケイ</t>
    </rPh>
    <rPh sb="17" eb="18">
      <t>ショ</t>
    </rPh>
    <rPh sb="19" eb="21">
      <t>サクセイ</t>
    </rPh>
    <rPh sb="22" eb="23">
      <t>カ</t>
    </rPh>
    <rPh sb="26" eb="28">
      <t>ジカン</t>
    </rPh>
    <rPh sb="29" eb="30">
      <t>レイ</t>
    </rPh>
    <rPh sb="31" eb="33">
      <t>ウンヨウ</t>
    </rPh>
    <rPh sb="33" eb="35">
      <t>セッケイ</t>
    </rPh>
    <rPh sb="35" eb="36">
      <t>ショ</t>
    </rPh>
    <rPh sb="36" eb="37">
      <t>トウ</t>
    </rPh>
    <phoneticPr fontId="7"/>
  </si>
  <si>
    <t>20108</t>
  </si>
  <si>
    <t>設計：レビュー</t>
    <rPh sb="0" eb="2">
      <t>セッケイ</t>
    </rPh>
    <phoneticPr fontId="7"/>
  </si>
  <si>
    <t>成果物の確認作業・ﾚﾋﾞｭｰ含む</t>
    <rPh sb="0" eb="3">
      <t>セイカブツ</t>
    </rPh>
    <rPh sb="4" eb="6">
      <t>カクニン</t>
    </rPh>
    <rPh sb="6" eb="8">
      <t>サギョウ</t>
    </rPh>
    <rPh sb="14" eb="15">
      <t>フク</t>
    </rPh>
    <phoneticPr fontId="7"/>
  </si>
  <si>
    <t>20109</t>
  </si>
  <si>
    <t>設計：QA対応</t>
    <rPh sb="0" eb="2">
      <t>セッケイ</t>
    </rPh>
    <rPh sb="5" eb="7">
      <t>タイオウ</t>
    </rPh>
    <phoneticPr fontId="7"/>
  </si>
  <si>
    <t>設計に関する問合せ対応</t>
    <rPh sb="0" eb="2">
      <t>セッケイ</t>
    </rPh>
    <rPh sb="3" eb="4">
      <t>カン</t>
    </rPh>
    <rPh sb="6" eb="8">
      <t>トイアワ</t>
    </rPh>
    <phoneticPr fontId="7"/>
  </si>
  <si>
    <t>20199</t>
  </si>
  <si>
    <t>設計：その他</t>
    <phoneticPr fontId="7"/>
  </si>
  <si>
    <t>設計に関する作業で、他の内訳に合致しない作業時間</t>
    <rPh sb="0" eb="2">
      <t>セッケイ</t>
    </rPh>
    <phoneticPr fontId="6"/>
  </si>
  <si>
    <t>30101</t>
  </si>
  <si>
    <t>製造：内部設計書作成</t>
    <rPh sb="3" eb="5">
      <t>ナイブ</t>
    </rPh>
    <phoneticPr fontId="7"/>
  </si>
  <si>
    <t>設計されたシステムの振る舞いに対して、コード上、どのように実装・変更するか資料化する時間</t>
    <rPh sb="0" eb="2">
      <t>セッケイ</t>
    </rPh>
    <rPh sb="10" eb="11">
      <t>フ</t>
    </rPh>
    <rPh sb="12" eb="13">
      <t>マ</t>
    </rPh>
    <rPh sb="15" eb="16">
      <t>タイ</t>
    </rPh>
    <rPh sb="22" eb="23">
      <t>ジョウ</t>
    </rPh>
    <rPh sb="29" eb="31">
      <t>ジッソウ</t>
    </rPh>
    <rPh sb="32" eb="34">
      <t>ヘンコウ</t>
    </rPh>
    <rPh sb="37" eb="40">
      <t>シリョウカ</t>
    </rPh>
    <rPh sb="42" eb="44">
      <t>ジカン</t>
    </rPh>
    <phoneticPr fontId="7"/>
  </si>
  <si>
    <t>30102</t>
  </si>
  <si>
    <t>製造：コーディング</t>
  </si>
  <si>
    <t>内部設計書に基づき、プログラムを生成する作業</t>
    <phoneticPr fontId="7"/>
  </si>
  <si>
    <t>30103</t>
  </si>
  <si>
    <t>製造：単体テスト設計書作成</t>
    <rPh sb="8" eb="10">
      <t>セッケイ</t>
    </rPh>
    <rPh sb="10" eb="11">
      <t>ショ</t>
    </rPh>
    <rPh sb="11" eb="13">
      <t>サクセイ</t>
    </rPh>
    <phoneticPr fontId="7"/>
  </si>
  <si>
    <t>単体テスト設計書の「作成関連作業」を含む</t>
    <rPh sb="0" eb="2">
      <t>タンタイ</t>
    </rPh>
    <rPh sb="5" eb="7">
      <t>セッケイ</t>
    </rPh>
    <rPh sb="7" eb="8">
      <t>ショ</t>
    </rPh>
    <rPh sb="10" eb="12">
      <t>サクセイ</t>
    </rPh>
    <rPh sb="12" eb="14">
      <t>カンレン</t>
    </rPh>
    <rPh sb="14" eb="16">
      <t>サギョウ</t>
    </rPh>
    <rPh sb="18" eb="19">
      <t>フク</t>
    </rPh>
    <phoneticPr fontId="7"/>
  </si>
  <si>
    <t>30104</t>
  </si>
  <si>
    <t>製造：単体テスト実施</t>
    <rPh sb="8" eb="10">
      <t>ジッシ</t>
    </rPh>
    <phoneticPr fontId="7"/>
  </si>
  <si>
    <t>机上デバッグおよび動作確認等により機能および性能面でのチェックを行う</t>
    <rPh sb="0" eb="2">
      <t>キジョウ</t>
    </rPh>
    <rPh sb="9" eb="11">
      <t>ドウサ</t>
    </rPh>
    <rPh sb="11" eb="13">
      <t>カクニン</t>
    </rPh>
    <rPh sb="13" eb="14">
      <t>トウ</t>
    </rPh>
    <rPh sb="17" eb="19">
      <t>キノウ</t>
    </rPh>
    <rPh sb="22" eb="24">
      <t>セイノウ</t>
    </rPh>
    <rPh sb="24" eb="25">
      <t>メン</t>
    </rPh>
    <rPh sb="32" eb="33">
      <t>オコナ</t>
    </rPh>
    <phoneticPr fontId="7"/>
  </si>
  <si>
    <t>30105</t>
  </si>
  <si>
    <t>製造：打合せ</t>
    <phoneticPr fontId="7"/>
  </si>
  <si>
    <t>詳細設計書、ｺｰﾃﾞｨﾝｸﾞ、単体ﾃｽﾄに関する「検討調査打合せ」を含む</t>
    <rPh sb="0" eb="2">
      <t>ショウサイ</t>
    </rPh>
    <rPh sb="2" eb="4">
      <t>セッケイ</t>
    </rPh>
    <rPh sb="4" eb="5">
      <t>ショ</t>
    </rPh>
    <rPh sb="15" eb="17">
      <t>タンタイ</t>
    </rPh>
    <rPh sb="21" eb="22">
      <t>カン</t>
    </rPh>
    <rPh sb="25" eb="27">
      <t>ケントウ</t>
    </rPh>
    <rPh sb="27" eb="29">
      <t>チョウサ</t>
    </rPh>
    <rPh sb="29" eb="31">
      <t>ウチアワ</t>
    </rPh>
    <rPh sb="34" eb="35">
      <t>フク</t>
    </rPh>
    <phoneticPr fontId="7"/>
  </si>
  <si>
    <t>30106</t>
  </si>
  <si>
    <t xml:space="preserve">結合ﾃｽﾄ以降、リリースまでにみつかった内部不具合を修正した時間を入力する
</t>
    <rPh sb="0" eb="2">
      <t>ケツゴウ</t>
    </rPh>
    <rPh sb="5" eb="7">
      <t>イコウ</t>
    </rPh>
    <rPh sb="22" eb="25">
      <t>フグアイ</t>
    </rPh>
    <rPh sb="26" eb="28">
      <t>シュウセイ</t>
    </rPh>
    <rPh sb="30" eb="32">
      <t>ジカン</t>
    </rPh>
    <rPh sb="33" eb="35">
      <t>ニュウリョク</t>
    </rPh>
    <phoneticPr fontId="6"/>
  </si>
  <si>
    <t>30109</t>
  </si>
  <si>
    <t>製造：レビュー</t>
    <phoneticPr fontId="7"/>
  </si>
  <si>
    <t>成果物の設計書ﾚﾋﾞｭｰ・ｺｰﾄﾞﾚﾋﾞｭｰ等の確認作業・ﾚﾋﾞｭｰ含む</t>
    <rPh sb="0" eb="3">
      <t>セイカブツ</t>
    </rPh>
    <rPh sb="4" eb="6">
      <t>セッケイ</t>
    </rPh>
    <rPh sb="6" eb="7">
      <t>ショ</t>
    </rPh>
    <rPh sb="22" eb="23">
      <t>トウ</t>
    </rPh>
    <rPh sb="24" eb="26">
      <t>カクニン</t>
    </rPh>
    <rPh sb="26" eb="28">
      <t>サギョウ</t>
    </rPh>
    <rPh sb="34" eb="35">
      <t>フク</t>
    </rPh>
    <phoneticPr fontId="7"/>
  </si>
  <si>
    <t>30199</t>
  </si>
  <si>
    <t>製造：その他</t>
  </si>
  <si>
    <t>プログラムに関する作業で、他の内訳に合致しない作業時間</t>
  </si>
  <si>
    <t>40101</t>
  </si>
  <si>
    <t>テスト：結合テスト実施</t>
    <rPh sb="9" eb="11">
      <t>ジッシ</t>
    </rPh>
    <phoneticPr fontId="7"/>
  </si>
  <si>
    <t>外部設計書に基づき、結合された複数のプログラムの機能が正しく作動するかを検証する</t>
    <rPh sb="0" eb="2">
      <t>ガイブ</t>
    </rPh>
    <rPh sb="2" eb="5">
      <t>セッケイショ</t>
    </rPh>
    <rPh sb="6" eb="7">
      <t>モト</t>
    </rPh>
    <rPh sb="10" eb="12">
      <t>ケツゴウ</t>
    </rPh>
    <rPh sb="15" eb="17">
      <t>フクスウ</t>
    </rPh>
    <rPh sb="24" eb="26">
      <t>キノウ</t>
    </rPh>
    <rPh sb="27" eb="28">
      <t>タダ</t>
    </rPh>
    <rPh sb="30" eb="32">
      <t>サドウ</t>
    </rPh>
    <rPh sb="36" eb="38">
      <t>ケンショウ</t>
    </rPh>
    <phoneticPr fontId="7"/>
  </si>
  <si>
    <t>40102</t>
  </si>
  <si>
    <t>テスト：システムテスト実施</t>
    <rPh sb="11" eb="13">
      <t>ジッシ</t>
    </rPh>
    <phoneticPr fontId="7"/>
  </si>
  <si>
    <t>要件定義書および外部設計書に基づき、要求された機能や性能が満たされているかを検証する</t>
    <rPh sb="0" eb="2">
      <t>ヨウケン</t>
    </rPh>
    <rPh sb="2" eb="4">
      <t>テイギ</t>
    </rPh>
    <rPh sb="4" eb="5">
      <t>ショ</t>
    </rPh>
    <rPh sb="8" eb="10">
      <t>ガイブ</t>
    </rPh>
    <rPh sb="10" eb="13">
      <t>セッケイショ</t>
    </rPh>
    <rPh sb="14" eb="15">
      <t>モト</t>
    </rPh>
    <rPh sb="18" eb="20">
      <t>ヨウキュウ</t>
    </rPh>
    <rPh sb="23" eb="25">
      <t>キノウ</t>
    </rPh>
    <rPh sb="26" eb="28">
      <t>セイノウ</t>
    </rPh>
    <rPh sb="29" eb="30">
      <t>ミ</t>
    </rPh>
    <rPh sb="38" eb="40">
      <t>ケンショウ</t>
    </rPh>
    <phoneticPr fontId="7"/>
  </si>
  <si>
    <t>40103</t>
  </si>
  <si>
    <t>テスト：テスト計画書作成</t>
    <rPh sb="7" eb="10">
      <t>ケイカクショ</t>
    </rPh>
    <rPh sb="10" eb="12">
      <t>サクセイ</t>
    </rPh>
    <phoneticPr fontId="7"/>
  </si>
  <si>
    <t>テスト計画書の作成時間</t>
    <rPh sb="3" eb="6">
      <t>ケイカクショ</t>
    </rPh>
    <rPh sb="7" eb="9">
      <t>サクセイ</t>
    </rPh>
    <rPh sb="9" eb="11">
      <t>ジカン</t>
    </rPh>
    <phoneticPr fontId="7"/>
  </si>
  <si>
    <t>40104</t>
  </si>
  <si>
    <t>テスト：結合テスト設計書作成</t>
    <rPh sb="4" eb="6">
      <t>ケツゴウ</t>
    </rPh>
    <rPh sb="9" eb="11">
      <t>セッケイ</t>
    </rPh>
    <rPh sb="11" eb="12">
      <t>ショ</t>
    </rPh>
    <rPh sb="12" eb="14">
      <t>サクセイ</t>
    </rPh>
    <phoneticPr fontId="7"/>
  </si>
  <si>
    <t>結合テスト設計書の「作成関連作業」を含む</t>
    <rPh sb="0" eb="2">
      <t>ケツゴウ</t>
    </rPh>
    <rPh sb="5" eb="7">
      <t>セッケイ</t>
    </rPh>
    <rPh sb="7" eb="8">
      <t>ショ</t>
    </rPh>
    <rPh sb="10" eb="12">
      <t>サクセイ</t>
    </rPh>
    <rPh sb="12" eb="14">
      <t>カンレン</t>
    </rPh>
    <rPh sb="14" eb="16">
      <t>サギョウ</t>
    </rPh>
    <rPh sb="18" eb="19">
      <t>フク</t>
    </rPh>
    <phoneticPr fontId="7"/>
  </si>
  <si>
    <t>40105</t>
  </si>
  <si>
    <t>テスト：システムテスト設計書作成</t>
    <rPh sb="11" eb="13">
      <t>セッケイ</t>
    </rPh>
    <rPh sb="13" eb="14">
      <t>ショ</t>
    </rPh>
    <rPh sb="14" eb="16">
      <t>サクセイ</t>
    </rPh>
    <phoneticPr fontId="7"/>
  </si>
  <si>
    <t>システムテスト設計書の「作成関連作業」を含む</t>
    <rPh sb="7" eb="9">
      <t>セッケイ</t>
    </rPh>
    <rPh sb="9" eb="10">
      <t>ショ</t>
    </rPh>
    <rPh sb="12" eb="14">
      <t>サクセイ</t>
    </rPh>
    <rPh sb="14" eb="16">
      <t>カンレン</t>
    </rPh>
    <rPh sb="16" eb="18">
      <t>サギョウ</t>
    </rPh>
    <rPh sb="20" eb="21">
      <t>フク</t>
    </rPh>
    <phoneticPr fontId="7"/>
  </si>
  <si>
    <t>40106</t>
  </si>
  <si>
    <t>テスト：総合評価設計書作成</t>
    <rPh sb="4" eb="6">
      <t>ソウゴウ</t>
    </rPh>
    <rPh sb="8" eb="10">
      <t>セッケイ</t>
    </rPh>
    <rPh sb="10" eb="11">
      <t>ショ</t>
    </rPh>
    <rPh sb="11" eb="13">
      <t>サクセイ</t>
    </rPh>
    <phoneticPr fontId="7"/>
  </si>
  <si>
    <t>総合評価設計書の作成時間</t>
    <rPh sb="0" eb="4">
      <t>ソウゴウヒョウカ</t>
    </rPh>
    <rPh sb="4" eb="6">
      <t>セッケイ</t>
    </rPh>
    <rPh sb="6" eb="7">
      <t>ショ</t>
    </rPh>
    <rPh sb="8" eb="10">
      <t>サクセイ</t>
    </rPh>
    <rPh sb="10" eb="12">
      <t>ジカン</t>
    </rPh>
    <phoneticPr fontId="7"/>
  </si>
  <si>
    <t>40107</t>
  </si>
  <si>
    <t>テスト：評価報告書作成</t>
  </si>
  <si>
    <t>評価結果の報告書作成</t>
    <rPh sb="0" eb="2">
      <t>ヒョウカ</t>
    </rPh>
    <rPh sb="2" eb="4">
      <t>ケッカ</t>
    </rPh>
    <rPh sb="5" eb="7">
      <t>ホウコク</t>
    </rPh>
    <rPh sb="7" eb="8">
      <t>ショ</t>
    </rPh>
    <rPh sb="8" eb="10">
      <t>サクセイ</t>
    </rPh>
    <phoneticPr fontId="7"/>
  </si>
  <si>
    <t>40108</t>
  </si>
  <si>
    <t>要求機能や性能が満たされているか、最終的に妥当性確認を行う作業</t>
    <phoneticPr fontId="7"/>
  </si>
  <si>
    <t>40109</t>
  </si>
  <si>
    <t>テスト：打合せ</t>
    <phoneticPr fontId="7"/>
  </si>
  <si>
    <t>テストに関する「検討調整打合せ」を含む</t>
    <rPh sb="4" eb="5">
      <t>カン</t>
    </rPh>
    <rPh sb="8" eb="10">
      <t>ケントウ</t>
    </rPh>
    <rPh sb="10" eb="12">
      <t>チョウセイ</t>
    </rPh>
    <rPh sb="12" eb="14">
      <t>ウチアワ</t>
    </rPh>
    <rPh sb="17" eb="18">
      <t>フク</t>
    </rPh>
    <phoneticPr fontId="7"/>
  </si>
  <si>
    <t>40110</t>
  </si>
  <si>
    <t>テスト：レビュー</t>
    <phoneticPr fontId="7"/>
  </si>
  <si>
    <t>成果物のテスト設計書、実施結果、報告書等の確認作業・レビューを含む</t>
    <rPh sb="0" eb="3">
      <t>セイカブツ</t>
    </rPh>
    <rPh sb="7" eb="9">
      <t>セッケイ</t>
    </rPh>
    <rPh sb="9" eb="10">
      <t>ショ</t>
    </rPh>
    <rPh sb="11" eb="13">
      <t>ジッシ</t>
    </rPh>
    <rPh sb="13" eb="15">
      <t>ケッカ</t>
    </rPh>
    <rPh sb="16" eb="18">
      <t>ホウコク</t>
    </rPh>
    <rPh sb="18" eb="19">
      <t>ショ</t>
    </rPh>
    <rPh sb="19" eb="20">
      <t>トウ</t>
    </rPh>
    <rPh sb="21" eb="23">
      <t>カクニン</t>
    </rPh>
    <rPh sb="23" eb="25">
      <t>サギョウ</t>
    </rPh>
    <rPh sb="31" eb="32">
      <t>フク</t>
    </rPh>
    <phoneticPr fontId="7"/>
  </si>
  <si>
    <t>40111</t>
  </si>
  <si>
    <t>テスト：PG修正（手戻り分）</t>
    <phoneticPr fontId="7"/>
  </si>
  <si>
    <t>リリースまでにみつかった内部不具合により、PG修正をした時間を入力する</t>
    <rPh sb="14" eb="17">
      <t>フグアイ</t>
    </rPh>
    <rPh sb="23" eb="25">
      <t>シュウセイ</t>
    </rPh>
    <rPh sb="28" eb="30">
      <t>ジカン</t>
    </rPh>
    <rPh sb="31" eb="33">
      <t>ニュウリョク</t>
    </rPh>
    <phoneticPr fontId="6"/>
  </si>
  <si>
    <t>40112</t>
  </si>
  <si>
    <t>テスト：再テスト（手戻り分）</t>
  </si>
  <si>
    <t>リリースまでにみつかった内部不具合により、再テストをした時間を入力する</t>
    <rPh sb="14" eb="17">
      <t>フグアイ</t>
    </rPh>
    <rPh sb="21" eb="22">
      <t>サイ</t>
    </rPh>
    <rPh sb="28" eb="30">
      <t>ジカン</t>
    </rPh>
    <rPh sb="31" eb="33">
      <t>ニュウリョク</t>
    </rPh>
    <phoneticPr fontId="6"/>
  </si>
  <si>
    <t>40113</t>
  </si>
  <si>
    <t>テスト：QA対応</t>
    <rPh sb="6" eb="8">
      <t>タイオウ</t>
    </rPh>
    <phoneticPr fontId="7"/>
  </si>
  <si>
    <t>テストに関する問合せ対応</t>
    <rPh sb="4" eb="5">
      <t>カン</t>
    </rPh>
    <rPh sb="7" eb="9">
      <t>トイアワ</t>
    </rPh>
    <phoneticPr fontId="7"/>
  </si>
  <si>
    <t>40189</t>
  </si>
  <si>
    <t>テスト：内部不具合分析</t>
  </si>
  <si>
    <t>不具合分析に要した時間</t>
    <rPh sb="0" eb="3">
      <t>フグアイ</t>
    </rPh>
    <rPh sb="3" eb="5">
      <t>ブンセキ</t>
    </rPh>
    <rPh sb="6" eb="7">
      <t>ヨウ</t>
    </rPh>
    <rPh sb="9" eb="11">
      <t>ジカン</t>
    </rPh>
    <phoneticPr fontId="7"/>
  </si>
  <si>
    <t>40199</t>
  </si>
  <si>
    <t>テスト：その他</t>
  </si>
  <si>
    <t>テストに関する作業で、他の内訳に合致しない作業時間</t>
  </si>
  <si>
    <t>50101</t>
  </si>
  <si>
    <t>ﾏﾆｭｱﾙ作成：原稿作成</t>
  </si>
  <si>
    <t>マニュアル現行の作成作業</t>
    <rPh sb="5" eb="7">
      <t>ゲンコウ</t>
    </rPh>
    <rPh sb="8" eb="10">
      <t>サクセイ</t>
    </rPh>
    <rPh sb="10" eb="12">
      <t>サギョウ</t>
    </rPh>
    <phoneticPr fontId="6"/>
  </si>
  <si>
    <t>50105</t>
  </si>
  <si>
    <t>ﾏﾆｭｱﾙ作成：打合せ</t>
    <phoneticPr fontId="7"/>
  </si>
  <si>
    <t>マニュアル作成のための打合せ</t>
    <rPh sb="5" eb="7">
      <t>サクセイ</t>
    </rPh>
    <rPh sb="11" eb="13">
      <t>ウチアワ</t>
    </rPh>
    <phoneticPr fontId="7"/>
  </si>
  <si>
    <t>50106</t>
  </si>
  <si>
    <t>ﾏﾆｭｱﾙ作成：ﾚﾋﾞｭｰ</t>
    <rPh sb="5" eb="7">
      <t>サクセイ</t>
    </rPh>
    <phoneticPr fontId="7"/>
  </si>
  <si>
    <t>作成原稿、作成資料の確認・ﾚﾋﾞｭｰに掛かった時間</t>
    <rPh sb="0" eb="2">
      <t>サクセイ</t>
    </rPh>
    <rPh sb="2" eb="4">
      <t>ゲンコウ</t>
    </rPh>
    <rPh sb="5" eb="7">
      <t>サクセイ</t>
    </rPh>
    <rPh sb="7" eb="9">
      <t>シリョウ</t>
    </rPh>
    <rPh sb="10" eb="12">
      <t>カクニン</t>
    </rPh>
    <rPh sb="19" eb="20">
      <t>カ</t>
    </rPh>
    <rPh sb="23" eb="25">
      <t>ジカン</t>
    </rPh>
    <phoneticPr fontId="7"/>
  </si>
  <si>
    <t>50199</t>
  </si>
  <si>
    <t>ﾏﾆｭｱﾙ作成：その他</t>
  </si>
  <si>
    <t>ﾏﾆｭｱﾙ作成に関する作業で、他の内訳に合致しない作業時間</t>
    <rPh sb="5" eb="7">
      <t>サクセイ</t>
    </rPh>
    <phoneticPr fontId="6"/>
  </si>
  <si>
    <t>60101</t>
  </si>
  <si>
    <t>ﾘﾘｰｽ：ﾘﾘｰｽ・ﾃﾞﾘﾊﾞﾘ作業</t>
  </si>
  <si>
    <t>ﾘﾘｰｽ原本作成、デリバリにかかった時間を入力する。（差分PGのｲﾝﾄﾗ掲載、ｵﾝﾗｲﾝｱｯﾌﾟﾃﾞｰﾄの更新含む）</t>
    <rPh sb="4" eb="6">
      <t>ゲンポン</t>
    </rPh>
    <rPh sb="6" eb="8">
      <t>サクセイ</t>
    </rPh>
    <rPh sb="18" eb="20">
      <t>ジカン</t>
    </rPh>
    <rPh sb="21" eb="23">
      <t>ニュウリョク</t>
    </rPh>
    <rPh sb="27" eb="29">
      <t>サブン</t>
    </rPh>
    <rPh sb="36" eb="38">
      <t>ケイサイ</t>
    </rPh>
    <rPh sb="53" eb="55">
      <t>コウシン</t>
    </rPh>
    <rPh sb="55" eb="56">
      <t>フク</t>
    </rPh>
    <phoneticPr fontId="6"/>
  </si>
  <si>
    <t>60102</t>
  </si>
  <si>
    <t>ﾘﾘｰｽ：ﾘﾘｰｽ関連業務</t>
    <phoneticPr fontId="7"/>
  </si>
  <si>
    <t>通達/リリースに伴う関連資料作成、公開にかかった時間を入力する。</t>
    <rPh sb="0" eb="2">
      <t>ツウタツ</t>
    </rPh>
    <rPh sb="8" eb="9">
      <t>トモナ</t>
    </rPh>
    <rPh sb="10" eb="12">
      <t>カンレン</t>
    </rPh>
    <rPh sb="12" eb="14">
      <t>シリョウ</t>
    </rPh>
    <rPh sb="14" eb="16">
      <t>サクセイ</t>
    </rPh>
    <rPh sb="17" eb="19">
      <t>コウカイ</t>
    </rPh>
    <rPh sb="24" eb="26">
      <t>ジカン</t>
    </rPh>
    <rPh sb="27" eb="29">
      <t>ニュウリョク</t>
    </rPh>
    <phoneticPr fontId="6"/>
  </si>
  <si>
    <t>60103</t>
  </si>
  <si>
    <t>ﾘﾘｰｽ：ﾏﾆｭｱﾙPDF作成・修正</t>
    <rPh sb="13" eb="15">
      <t>サクセイ</t>
    </rPh>
    <rPh sb="16" eb="18">
      <t>シュウセイ</t>
    </rPh>
    <phoneticPr fontId="7"/>
  </si>
  <si>
    <t>PDF作成、確認、修正にかかった時間を入力する</t>
    <phoneticPr fontId="7"/>
  </si>
  <si>
    <t>60104</t>
  </si>
  <si>
    <t>ﾘﾘｰｽ：ﾍﾙﾌﾟ作成・修正</t>
    <rPh sb="9" eb="11">
      <t>サクセイ</t>
    </rPh>
    <rPh sb="12" eb="14">
      <t>シュウセイ</t>
    </rPh>
    <phoneticPr fontId="7"/>
  </si>
  <si>
    <t>ヘルプ作成、確認、修正にかかった時間を入力する</t>
    <phoneticPr fontId="7"/>
  </si>
  <si>
    <t>60105</t>
  </si>
  <si>
    <t>ﾘﾘｰｽ：締め作業</t>
    <rPh sb="5" eb="6">
      <t>シ</t>
    </rPh>
    <rPh sb="7" eb="9">
      <t>サギョウ</t>
    </rPh>
    <phoneticPr fontId="7"/>
  </si>
  <si>
    <t>リリースするシステムを取り纏め、媒体またはオンラインによりリリース（出荷）する作業</t>
    <rPh sb="11" eb="12">
      <t>ト</t>
    </rPh>
    <rPh sb="13" eb="14">
      <t>マト</t>
    </rPh>
    <rPh sb="39" eb="41">
      <t>サギョウ</t>
    </rPh>
    <phoneticPr fontId="7"/>
  </si>
  <si>
    <t>60107</t>
  </si>
  <si>
    <t>ﾘﾘｰｽ：打合せ</t>
    <phoneticPr fontId="7"/>
  </si>
  <si>
    <t>ﾚﾋﾞｭｰ以外の調整等の打合せ</t>
    <rPh sb="5" eb="7">
      <t>イガイ</t>
    </rPh>
    <rPh sb="8" eb="11">
      <t>チョウセイトウ</t>
    </rPh>
    <rPh sb="12" eb="14">
      <t>ウチアワ</t>
    </rPh>
    <phoneticPr fontId="7"/>
  </si>
  <si>
    <t>60108</t>
  </si>
  <si>
    <t>ﾘﾘｰｽ：ﾚﾋﾞｭｰ</t>
    <phoneticPr fontId="7"/>
  </si>
  <si>
    <t>ﾘﾘｰｽ、ﾃﾞﾘﾊﾞﾘの動作確認、作成資料のﾚﾋﾞｭｰ等に要した時間</t>
  </si>
  <si>
    <t>60199</t>
  </si>
  <si>
    <t>ﾘﾘｰｽ：その他</t>
  </si>
  <si>
    <t>ﾘﾘｰｽに関する作業で、他の内訳に合致しない作業時間</t>
    <rPh sb="5" eb="6">
      <t>カン</t>
    </rPh>
    <rPh sb="8" eb="10">
      <t>サギョウ</t>
    </rPh>
    <rPh sb="12" eb="13">
      <t>ホカ</t>
    </rPh>
    <rPh sb="14" eb="16">
      <t>ウチワケ</t>
    </rPh>
    <rPh sb="17" eb="19">
      <t>ガッチ</t>
    </rPh>
    <rPh sb="22" eb="24">
      <t>サギョウ</t>
    </rPh>
    <rPh sb="24" eb="26">
      <t>ジカン</t>
    </rPh>
    <phoneticPr fontId="7"/>
  </si>
  <si>
    <t>外部不具合修正：調査・設計</t>
    <rPh sb="0" eb="2">
      <t>ガイブ</t>
    </rPh>
    <rPh sb="2" eb="5">
      <t>フグアイ</t>
    </rPh>
    <rPh sb="5" eb="7">
      <t>シュウセイ</t>
    </rPh>
    <rPh sb="8" eb="10">
      <t>チョウサ</t>
    </rPh>
    <rPh sb="11" eb="13">
      <t>セッケイ</t>
    </rPh>
    <phoneticPr fontId="7"/>
  </si>
  <si>
    <t>影響範囲分析、修正箇所、修正の仕方を記録</t>
    <rPh sb="0" eb="2">
      <t>エイキョウ</t>
    </rPh>
    <rPh sb="2" eb="4">
      <t>ハンイ</t>
    </rPh>
    <rPh sb="4" eb="6">
      <t>ブンセキ</t>
    </rPh>
    <rPh sb="7" eb="9">
      <t>シュウセイ</t>
    </rPh>
    <rPh sb="9" eb="11">
      <t>カショ</t>
    </rPh>
    <rPh sb="12" eb="14">
      <t>シュウセイ</t>
    </rPh>
    <rPh sb="15" eb="17">
      <t>シカタ</t>
    </rPh>
    <rPh sb="18" eb="20">
      <t>キロク</t>
    </rPh>
    <phoneticPr fontId="7"/>
  </si>
  <si>
    <t>外部不具合修正：コーディング</t>
    <rPh sb="0" eb="2">
      <t>ガイブ</t>
    </rPh>
    <rPh sb="2" eb="5">
      <t>フグアイ</t>
    </rPh>
    <rPh sb="5" eb="7">
      <t>シュウセイ</t>
    </rPh>
    <phoneticPr fontId="7"/>
  </si>
  <si>
    <t>リリース後にみつかった外部不具合により、PG修正をした時間を入力する</t>
    <rPh sb="4" eb="5">
      <t>ゴ</t>
    </rPh>
    <rPh sb="11" eb="13">
      <t>ガイブ</t>
    </rPh>
    <rPh sb="13" eb="16">
      <t>フグアイ</t>
    </rPh>
    <rPh sb="22" eb="24">
      <t>シュウセイ</t>
    </rPh>
    <rPh sb="27" eb="29">
      <t>ジカン</t>
    </rPh>
    <rPh sb="30" eb="32">
      <t>ニュウリョク</t>
    </rPh>
    <phoneticPr fontId="6"/>
  </si>
  <si>
    <t>外部不具合修正：テスト</t>
    <rPh sb="0" eb="2">
      <t>ガイブ</t>
    </rPh>
    <rPh sb="2" eb="5">
      <t>フグアイ</t>
    </rPh>
    <rPh sb="5" eb="7">
      <t>シュウセイ</t>
    </rPh>
    <phoneticPr fontId="7"/>
  </si>
  <si>
    <t>リリース後にみつかった外部不具合により、テストをした時間を入力する</t>
    <rPh sb="4" eb="5">
      <t>ゴ</t>
    </rPh>
    <rPh sb="11" eb="13">
      <t>ガイブ</t>
    </rPh>
    <rPh sb="13" eb="16">
      <t>フグアイ</t>
    </rPh>
    <rPh sb="26" eb="28">
      <t>ジカン</t>
    </rPh>
    <rPh sb="29" eb="31">
      <t>ニュウリョク</t>
    </rPh>
    <phoneticPr fontId="6"/>
  </si>
  <si>
    <t>外部不具合修正：不具合連絡作成</t>
    <rPh sb="0" eb="2">
      <t>ガイブ</t>
    </rPh>
    <rPh sb="2" eb="5">
      <t>フグアイ</t>
    </rPh>
    <rPh sb="5" eb="7">
      <t>シュウセイ</t>
    </rPh>
    <rPh sb="8" eb="13">
      <t>フグアイレンラク</t>
    </rPh>
    <rPh sb="13" eb="15">
      <t>サクセイ</t>
    </rPh>
    <phoneticPr fontId="7"/>
  </si>
  <si>
    <t>外部不具合修正：差分PGイントラ掲載</t>
    <rPh sb="0" eb="2">
      <t>ガイブ</t>
    </rPh>
    <rPh sb="2" eb="5">
      <t>フグアイ</t>
    </rPh>
    <rPh sb="5" eb="7">
      <t>シュウセイ</t>
    </rPh>
    <rPh sb="8" eb="10">
      <t>サブン</t>
    </rPh>
    <rPh sb="16" eb="18">
      <t>ケイサイ</t>
    </rPh>
    <phoneticPr fontId="7"/>
  </si>
  <si>
    <t>不具合連絡等の情報開示資料等、ｲﾝﾄﾗ掲載資料の更新</t>
    <rPh sb="0" eb="3">
      <t>フグアイ</t>
    </rPh>
    <rPh sb="3" eb="5">
      <t>レンラク</t>
    </rPh>
    <rPh sb="5" eb="6">
      <t>トウ</t>
    </rPh>
    <rPh sb="7" eb="9">
      <t>ジョウホウ</t>
    </rPh>
    <rPh sb="9" eb="11">
      <t>カイジ</t>
    </rPh>
    <rPh sb="11" eb="14">
      <t>シリョウトウ</t>
    </rPh>
    <rPh sb="19" eb="21">
      <t>ケイサイ</t>
    </rPh>
    <rPh sb="21" eb="23">
      <t>シリョウ</t>
    </rPh>
    <rPh sb="24" eb="26">
      <t>コウシン</t>
    </rPh>
    <phoneticPr fontId="7"/>
  </si>
  <si>
    <t>外部不具合修正：打合せ</t>
    <rPh sb="0" eb="2">
      <t>ガイブ</t>
    </rPh>
    <rPh sb="2" eb="5">
      <t>フグアイ</t>
    </rPh>
    <rPh sb="5" eb="7">
      <t>シュウセイ</t>
    </rPh>
    <rPh sb="8" eb="10">
      <t>ウチアワ</t>
    </rPh>
    <phoneticPr fontId="7"/>
  </si>
  <si>
    <t>外部不具合修正に関する「検討調整打合せ」を含む</t>
    <rPh sb="0" eb="2">
      <t>ガイブ</t>
    </rPh>
    <rPh sb="2" eb="5">
      <t>フグアイ</t>
    </rPh>
    <rPh sb="5" eb="7">
      <t>シュウセイ</t>
    </rPh>
    <rPh sb="8" eb="9">
      <t>カン</t>
    </rPh>
    <rPh sb="12" eb="14">
      <t>ケントウ</t>
    </rPh>
    <rPh sb="14" eb="16">
      <t>チョウセイ</t>
    </rPh>
    <rPh sb="16" eb="18">
      <t>ウチアワ</t>
    </rPh>
    <rPh sb="21" eb="22">
      <t>フク</t>
    </rPh>
    <phoneticPr fontId="7"/>
  </si>
  <si>
    <t>外部不具合修正：レビュー</t>
    <rPh sb="0" eb="2">
      <t>ガイブ</t>
    </rPh>
    <rPh sb="2" eb="5">
      <t>フグアイ</t>
    </rPh>
    <rPh sb="5" eb="7">
      <t>シュウセイ</t>
    </rPh>
    <phoneticPr fontId="7"/>
  </si>
  <si>
    <t>外部不具合修正において作成した資料、回答等の確認・ﾚﾋﾞｭｰに要した時間</t>
    <rPh sb="0" eb="2">
      <t>ガイブ</t>
    </rPh>
    <rPh sb="2" eb="5">
      <t>フグアイ</t>
    </rPh>
    <rPh sb="5" eb="7">
      <t>シュウセイ</t>
    </rPh>
    <rPh sb="11" eb="13">
      <t>サクセイ</t>
    </rPh>
    <rPh sb="15" eb="17">
      <t>シリョウ</t>
    </rPh>
    <rPh sb="18" eb="21">
      <t>カイトウトウ</t>
    </rPh>
    <rPh sb="22" eb="24">
      <t>カクニン</t>
    </rPh>
    <rPh sb="31" eb="32">
      <t>ヨウ</t>
    </rPh>
    <rPh sb="34" eb="36">
      <t>ジカン</t>
    </rPh>
    <phoneticPr fontId="7"/>
  </si>
  <si>
    <t>外部不具合修正：外部不具合分析</t>
    <rPh sb="0" eb="2">
      <t>ガイブ</t>
    </rPh>
    <rPh sb="2" eb="5">
      <t>フグアイ</t>
    </rPh>
    <rPh sb="5" eb="7">
      <t>シュウセイ</t>
    </rPh>
    <rPh sb="8" eb="10">
      <t>ガイブ</t>
    </rPh>
    <rPh sb="10" eb="13">
      <t>フグアイ</t>
    </rPh>
    <rPh sb="13" eb="15">
      <t>ブンセキ</t>
    </rPh>
    <phoneticPr fontId="7"/>
  </si>
  <si>
    <t>外部不具合修正：その他</t>
    <rPh sb="0" eb="2">
      <t>ガイブ</t>
    </rPh>
    <rPh sb="2" eb="5">
      <t>フグアイ</t>
    </rPh>
    <rPh sb="5" eb="7">
      <t>シュウセイ</t>
    </rPh>
    <rPh sb="10" eb="11">
      <t>タ</t>
    </rPh>
    <phoneticPr fontId="7"/>
  </si>
  <si>
    <t>不具合修正に関する作業で、他の内訳に合致しない作業時間</t>
    <rPh sb="0" eb="3">
      <t>フグアイ</t>
    </rPh>
    <rPh sb="3" eb="5">
      <t>シュウセイ</t>
    </rPh>
    <rPh sb="6" eb="7">
      <t>カン</t>
    </rPh>
    <rPh sb="9" eb="11">
      <t>サギョウ</t>
    </rPh>
    <rPh sb="13" eb="14">
      <t>ホカ</t>
    </rPh>
    <rPh sb="15" eb="17">
      <t>ウチワケ</t>
    </rPh>
    <rPh sb="18" eb="20">
      <t>ガッチ</t>
    </rPh>
    <rPh sb="23" eb="25">
      <t>サギョウ</t>
    </rPh>
    <rPh sb="25" eb="27">
      <t>ジカン</t>
    </rPh>
    <phoneticPr fontId="7"/>
  </si>
  <si>
    <t>80101</t>
  </si>
  <si>
    <t>保守／ｻﾎﾟｰﾄ：調査</t>
    <phoneticPr fontId="7"/>
  </si>
  <si>
    <t>電話・メール・SRBに投稿された案件を調査する時間</t>
    <rPh sb="0" eb="2">
      <t>デンワ</t>
    </rPh>
    <rPh sb="11" eb="13">
      <t>トウコウ</t>
    </rPh>
    <rPh sb="16" eb="18">
      <t>アンケン</t>
    </rPh>
    <rPh sb="19" eb="21">
      <t>チョウサ</t>
    </rPh>
    <rPh sb="23" eb="25">
      <t>ジカン</t>
    </rPh>
    <phoneticPr fontId="7"/>
  </si>
  <si>
    <t>80102</t>
  </si>
  <si>
    <t>保守／ｻﾎﾟｰﾄ：社内問い合わせ</t>
  </si>
  <si>
    <t>社内からの問い合わせに対応する時間</t>
    <rPh sb="0" eb="2">
      <t>シャナイ</t>
    </rPh>
    <rPh sb="5" eb="6">
      <t>ト</t>
    </rPh>
    <rPh sb="7" eb="8">
      <t>ア</t>
    </rPh>
    <rPh sb="11" eb="13">
      <t>タイオウ</t>
    </rPh>
    <rPh sb="15" eb="17">
      <t>ジカン</t>
    </rPh>
    <phoneticPr fontId="7"/>
  </si>
  <si>
    <t>80103</t>
  </si>
  <si>
    <t>保守／ｻﾎﾟｰﾄ：支社・他部門支援</t>
  </si>
  <si>
    <t>支社支援と他部門支援に要する時間</t>
    <rPh sb="0" eb="2">
      <t>シシャ</t>
    </rPh>
    <rPh sb="2" eb="4">
      <t>シエン</t>
    </rPh>
    <rPh sb="5" eb="8">
      <t>タブモン</t>
    </rPh>
    <rPh sb="8" eb="10">
      <t>シエン</t>
    </rPh>
    <rPh sb="11" eb="12">
      <t>ヨウ</t>
    </rPh>
    <rPh sb="14" eb="16">
      <t>ジカン</t>
    </rPh>
    <phoneticPr fontId="7"/>
  </si>
  <si>
    <t>80104</t>
  </si>
  <si>
    <t>保守／ｻﾎﾟｰﾄ：連絡文書作成・更新</t>
    <rPh sb="9" eb="11">
      <t>レンラク</t>
    </rPh>
    <rPh sb="11" eb="13">
      <t>ブンショ</t>
    </rPh>
    <rPh sb="13" eb="15">
      <t>サクセイ</t>
    </rPh>
    <rPh sb="16" eb="18">
      <t>コウシン</t>
    </rPh>
    <phoneticPr fontId="7"/>
  </si>
  <si>
    <t>保守/サポートに伴う関連資料作成、公開にかかった時間を入力する。</t>
    <rPh sb="0" eb="2">
      <t>ホシュ</t>
    </rPh>
    <rPh sb="8" eb="9">
      <t>トモナ</t>
    </rPh>
    <rPh sb="10" eb="12">
      <t>カンレン</t>
    </rPh>
    <rPh sb="12" eb="14">
      <t>シリョウ</t>
    </rPh>
    <rPh sb="14" eb="16">
      <t>サクセイ</t>
    </rPh>
    <rPh sb="17" eb="19">
      <t>コウカイ</t>
    </rPh>
    <rPh sb="24" eb="26">
      <t>ジカン</t>
    </rPh>
    <rPh sb="27" eb="29">
      <t>ニュウリョク</t>
    </rPh>
    <phoneticPr fontId="6"/>
  </si>
  <si>
    <t>80105</t>
  </si>
  <si>
    <t>保守／ｻﾎﾟｰﾄ：ｲﾝﾄﾗ資料更新</t>
  </si>
  <si>
    <t>情報開示資料等、ｲﾝﾄﾗ掲載資料の更新</t>
    <rPh sb="0" eb="2">
      <t>ジョウホウ</t>
    </rPh>
    <rPh sb="2" eb="4">
      <t>カイジ</t>
    </rPh>
    <rPh sb="4" eb="7">
      <t>シリョウトウ</t>
    </rPh>
    <rPh sb="12" eb="14">
      <t>ケイサイ</t>
    </rPh>
    <rPh sb="14" eb="16">
      <t>シリョウ</t>
    </rPh>
    <rPh sb="17" eb="19">
      <t>コウシン</t>
    </rPh>
    <phoneticPr fontId="7"/>
  </si>
  <si>
    <t>80106</t>
  </si>
  <si>
    <t>保守／ｻﾎﾟｰﾄ：打合せ</t>
    <phoneticPr fontId="7"/>
  </si>
  <si>
    <t>保守／サポートに関する「検討調整打合せ」を含む</t>
    <rPh sb="0" eb="2">
      <t>ホシュ</t>
    </rPh>
    <rPh sb="8" eb="9">
      <t>カン</t>
    </rPh>
    <rPh sb="12" eb="14">
      <t>ケントウ</t>
    </rPh>
    <rPh sb="14" eb="16">
      <t>チョウセイ</t>
    </rPh>
    <rPh sb="16" eb="18">
      <t>ウチアワ</t>
    </rPh>
    <rPh sb="21" eb="22">
      <t>フク</t>
    </rPh>
    <phoneticPr fontId="7"/>
  </si>
  <si>
    <t>80107</t>
  </si>
  <si>
    <t>保守／ｻﾎﾟｰﾄ：ﾚﾋﾞｭｰ</t>
    <phoneticPr fontId="7"/>
  </si>
  <si>
    <t>保守/ｻﾎﾟｰﾄにおいて作成した資料、回答等の確認・ﾚﾋﾞｭｰに要した時間</t>
    <rPh sb="0" eb="2">
      <t>ホシュ</t>
    </rPh>
    <rPh sb="12" eb="14">
      <t>サクセイ</t>
    </rPh>
    <rPh sb="16" eb="18">
      <t>シリョウ</t>
    </rPh>
    <rPh sb="19" eb="22">
      <t>カイトウトウ</t>
    </rPh>
    <rPh sb="23" eb="25">
      <t>カクニン</t>
    </rPh>
    <rPh sb="32" eb="33">
      <t>ヨウ</t>
    </rPh>
    <rPh sb="35" eb="37">
      <t>ジカン</t>
    </rPh>
    <phoneticPr fontId="7"/>
  </si>
  <si>
    <t>80199</t>
  </si>
  <si>
    <t>保守／ｻﾎﾟｰﾄ：その他</t>
  </si>
  <si>
    <t>保守／サポートに関する作業で、他の内訳に合致しない作業時間</t>
    <rPh sb="0" eb="2">
      <t>ホシュ</t>
    </rPh>
    <phoneticPr fontId="6"/>
  </si>
  <si>
    <t>90101</t>
  </si>
  <si>
    <t>管理業務：ﾌﾟﾛｼﾞｪｸﾄ管理</t>
  </si>
  <si>
    <t>WBS更新、ﾁｪｯｸ、調整等の進捗管理</t>
  </si>
  <si>
    <t>90102</t>
  </si>
  <si>
    <t>管理業務：開発環境管理</t>
    <rPh sb="0" eb="2">
      <t>カンリ</t>
    </rPh>
    <rPh sb="2" eb="4">
      <t>ギョウム</t>
    </rPh>
    <rPh sb="5" eb="7">
      <t>カイハツ</t>
    </rPh>
    <rPh sb="7" eb="9">
      <t>カンキョウ</t>
    </rPh>
    <rPh sb="9" eb="11">
      <t>カンリ</t>
    </rPh>
    <phoneticPr fontId="7"/>
  </si>
  <si>
    <t>システムを開発するために必要な機材やソフトウェアなどの開発環境の構築・運用</t>
    <rPh sb="5" eb="7">
      <t>カイハツ</t>
    </rPh>
    <rPh sb="12" eb="14">
      <t>ヒツヨウ</t>
    </rPh>
    <rPh sb="15" eb="17">
      <t>キザイ</t>
    </rPh>
    <rPh sb="27" eb="29">
      <t>カイハツ</t>
    </rPh>
    <rPh sb="29" eb="31">
      <t>カンキョウ</t>
    </rPh>
    <rPh sb="32" eb="34">
      <t>コウチク</t>
    </rPh>
    <rPh sb="35" eb="37">
      <t>ウンヨウ</t>
    </rPh>
    <phoneticPr fontId="7"/>
  </si>
  <si>
    <t>90103</t>
  </si>
  <si>
    <r>
      <t>管理業務：標準化・</t>
    </r>
    <r>
      <rPr>
        <sz val="11"/>
        <rFont val="ＭＳ Ｐゴシック"/>
        <family val="3"/>
        <charset val="128"/>
      </rPr>
      <t>開発業務改善作業</t>
    </r>
    <rPh sb="0" eb="2">
      <t>カンリ</t>
    </rPh>
    <rPh sb="2" eb="4">
      <t>ギョウム</t>
    </rPh>
    <rPh sb="5" eb="8">
      <t>ヒョウジュンカ</t>
    </rPh>
    <rPh sb="9" eb="11">
      <t>カイハツ</t>
    </rPh>
    <rPh sb="11" eb="13">
      <t>ギョウム</t>
    </rPh>
    <rPh sb="13" eb="15">
      <t>カイゼン</t>
    </rPh>
    <rPh sb="15" eb="17">
      <t>サギョウ</t>
    </rPh>
    <phoneticPr fontId="7"/>
  </si>
  <si>
    <r>
      <rPr>
        <sz val="11"/>
        <color rgb="FFFF0000"/>
        <rFont val="ＭＳ Ｐゴシック"/>
        <family val="3"/>
        <charset val="128"/>
      </rPr>
      <t>開発業務に関する</t>
    </r>
    <r>
      <rPr>
        <sz val="11"/>
        <rFont val="ＭＳ Ｐゴシック"/>
        <family val="3"/>
        <charset val="128"/>
      </rPr>
      <t>標準化、業務改善作業</t>
    </r>
    <rPh sb="0" eb="2">
      <t>カイハツ</t>
    </rPh>
    <rPh sb="8" eb="11">
      <t>ヒョウジュンカ</t>
    </rPh>
    <rPh sb="12" eb="14">
      <t>ギョウム</t>
    </rPh>
    <rPh sb="14" eb="16">
      <t>カイゼン</t>
    </rPh>
    <rPh sb="16" eb="18">
      <t>サギョウ</t>
    </rPh>
    <phoneticPr fontId="7"/>
  </si>
  <si>
    <t>90104</t>
  </si>
  <si>
    <r>
      <t>管理業務：</t>
    </r>
    <r>
      <rPr>
        <sz val="11"/>
        <rFont val="ＭＳ Ｐゴシック"/>
        <family val="3"/>
        <charset val="128"/>
      </rPr>
      <t>開発業務の引継ぎ</t>
    </r>
    <rPh sb="0" eb="2">
      <t>カンリ</t>
    </rPh>
    <rPh sb="2" eb="4">
      <t>ギョウム</t>
    </rPh>
    <rPh sb="5" eb="7">
      <t>カイハツ</t>
    </rPh>
    <rPh sb="7" eb="9">
      <t>ギョウム</t>
    </rPh>
    <rPh sb="10" eb="12">
      <t>ヒキツ</t>
    </rPh>
    <phoneticPr fontId="7"/>
  </si>
  <si>
    <r>
      <rPr>
        <sz val="11"/>
        <color rgb="FFFF0000"/>
        <rFont val="ＭＳ Ｐゴシック"/>
        <family val="3"/>
        <charset val="128"/>
      </rPr>
      <t>開発業務に関する</t>
    </r>
    <r>
      <rPr>
        <sz val="11"/>
        <rFont val="ＭＳ Ｐゴシック"/>
        <family val="3"/>
        <charset val="128"/>
      </rPr>
      <t>担当業務の引継ぎ作業</t>
    </r>
    <rPh sb="0" eb="2">
      <t>カイハツ</t>
    </rPh>
    <rPh sb="8" eb="10">
      <t>タントウ</t>
    </rPh>
    <rPh sb="10" eb="12">
      <t>ギョウム</t>
    </rPh>
    <rPh sb="13" eb="15">
      <t>ヒキツ</t>
    </rPh>
    <rPh sb="16" eb="18">
      <t>サギョウ</t>
    </rPh>
    <phoneticPr fontId="7"/>
  </si>
  <si>
    <t>90105</t>
  </si>
  <si>
    <t>管理業務：SRB管理</t>
    <rPh sb="0" eb="2">
      <t>カンリ</t>
    </rPh>
    <rPh sb="2" eb="4">
      <t>ギョウム</t>
    </rPh>
    <rPh sb="8" eb="10">
      <t>カンリ</t>
    </rPh>
    <phoneticPr fontId="7"/>
  </si>
  <si>
    <t>SRBを用いた品質管理業務</t>
    <rPh sb="4" eb="5">
      <t>モチ</t>
    </rPh>
    <rPh sb="7" eb="9">
      <t>ヒンシツ</t>
    </rPh>
    <rPh sb="9" eb="11">
      <t>カンリ</t>
    </rPh>
    <rPh sb="11" eb="13">
      <t>ギョウム</t>
    </rPh>
    <phoneticPr fontId="7"/>
  </si>
  <si>
    <t>90107</t>
  </si>
  <si>
    <r>
      <rPr>
        <sz val="11"/>
        <rFont val="ＭＳ Ｐゴシック"/>
        <family val="3"/>
        <charset val="128"/>
      </rPr>
      <t>管理業務：開発事務作業</t>
    </r>
  </si>
  <si>
    <r>
      <rPr>
        <sz val="11"/>
        <color rgb="FFFF0000"/>
        <rFont val="ＭＳ Ｐゴシック"/>
        <family val="3"/>
        <charset val="128"/>
      </rPr>
      <t>開発業務に関する</t>
    </r>
    <r>
      <rPr>
        <sz val="11"/>
        <rFont val="ＭＳ Ｐゴシック"/>
        <family val="3"/>
        <charset val="128"/>
      </rPr>
      <t>管理事務・事務作業</t>
    </r>
    <rPh sb="0" eb="2">
      <t>カイハツ</t>
    </rPh>
    <rPh sb="2" eb="4">
      <t>ギョウム</t>
    </rPh>
    <rPh sb="5" eb="6">
      <t>カン</t>
    </rPh>
    <phoneticPr fontId="7"/>
  </si>
  <si>
    <t>90108</t>
  </si>
  <si>
    <t>管理業務：外部不具合分析</t>
    <rPh sb="0" eb="2">
      <t>カンリ</t>
    </rPh>
    <rPh sb="2" eb="4">
      <t>ギョウム</t>
    </rPh>
    <rPh sb="5" eb="7">
      <t>ガイブ</t>
    </rPh>
    <rPh sb="7" eb="10">
      <t>フグアイ</t>
    </rPh>
    <rPh sb="10" eb="12">
      <t>ブンセキ</t>
    </rPh>
    <phoneticPr fontId="7"/>
  </si>
  <si>
    <t>90110</t>
  </si>
  <si>
    <t>管理業務：打合せ</t>
    <phoneticPr fontId="7"/>
  </si>
  <si>
    <r>
      <rPr>
        <sz val="11"/>
        <color rgb="FFFF0000"/>
        <rFont val="ＭＳ Ｐゴシック"/>
        <family val="3"/>
        <charset val="128"/>
      </rPr>
      <t>開発</t>
    </r>
    <r>
      <rPr>
        <sz val="11"/>
        <rFont val="ＭＳ Ｐゴシック"/>
        <family val="3"/>
        <charset val="128"/>
      </rPr>
      <t>業務に関する「検討調整打合せ」を含む</t>
    </r>
    <rPh sb="0" eb="2">
      <t>カイハツ</t>
    </rPh>
    <rPh sb="2" eb="4">
      <t>ギョウム</t>
    </rPh>
    <rPh sb="5" eb="6">
      <t>カン</t>
    </rPh>
    <rPh sb="9" eb="11">
      <t>ケントウ</t>
    </rPh>
    <rPh sb="11" eb="13">
      <t>チョウセイ</t>
    </rPh>
    <rPh sb="13" eb="15">
      <t>ウチアワ</t>
    </rPh>
    <rPh sb="18" eb="19">
      <t>フク</t>
    </rPh>
    <phoneticPr fontId="7"/>
  </si>
  <si>
    <t>90111</t>
  </si>
  <si>
    <t>管理業務：レビュー</t>
    <rPh sb="0" eb="2">
      <t>カンリ</t>
    </rPh>
    <rPh sb="2" eb="4">
      <t>ギョウム</t>
    </rPh>
    <phoneticPr fontId="7"/>
  </si>
  <si>
    <t>作成資料、記録等の確認・ﾚﾋﾞｭｰ</t>
    <rPh sb="0" eb="2">
      <t>サクセイ</t>
    </rPh>
    <rPh sb="2" eb="4">
      <t>シリョウ</t>
    </rPh>
    <rPh sb="5" eb="8">
      <t>キロクトウ</t>
    </rPh>
    <rPh sb="9" eb="11">
      <t>カクニン</t>
    </rPh>
    <phoneticPr fontId="7"/>
  </si>
  <si>
    <t>90199</t>
  </si>
  <si>
    <t>管理業務：その他</t>
  </si>
  <si>
    <r>
      <rPr>
        <sz val="11"/>
        <color rgb="FFFF0000"/>
        <rFont val="ＭＳ Ｐゴシック"/>
        <family val="3"/>
        <charset val="128"/>
      </rPr>
      <t>開発</t>
    </r>
    <r>
      <rPr>
        <sz val="11"/>
        <rFont val="ＭＳ Ｐゴシック"/>
        <family val="3"/>
        <charset val="128"/>
      </rPr>
      <t>業務に関する作業で、他の内訳に合致しない作業時間や、他の工種に合致しない作業時間（日報管理にコメントの記載をする）</t>
    </r>
    <rPh sb="0" eb="2">
      <t>カイハツ</t>
    </rPh>
    <rPh sb="2" eb="4">
      <t>ギョウム</t>
    </rPh>
    <rPh sb="5" eb="6">
      <t>カン</t>
    </rPh>
    <rPh sb="8" eb="10">
      <t>サギョウ</t>
    </rPh>
    <rPh sb="12" eb="13">
      <t>タ</t>
    </rPh>
    <rPh sb="14" eb="16">
      <t>ウチワケ</t>
    </rPh>
    <rPh sb="17" eb="19">
      <t>ガッチ</t>
    </rPh>
    <rPh sb="22" eb="24">
      <t>サギョウ</t>
    </rPh>
    <rPh sb="24" eb="26">
      <t>ジカン</t>
    </rPh>
    <rPh sb="28" eb="29">
      <t>ホカ</t>
    </rPh>
    <rPh sb="30" eb="32">
      <t>コウシュ</t>
    </rPh>
    <rPh sb="33" eb="35">
      <t>ガッチ</t>
    </rPh>
    <rPh sb="38" eb="40">
      <t>サギョウ</t>
    </rPh>
    <rPh sb="40" eb="42">
      <t>ジカン</t>
    </rPh>
    <rPh sb="43" eb="45">
      <t>ニッポウ</t>
    </rPh>
    <rPh sb="45" eb="47">
      <t>カンリ</t>
    </rPh>
    <rPh sb="53" eb="55">
      <t>キサイ</t>
    </rPh>
    <phoneticPr fontId="6"/>
  </si>
  <si>
    <r>
      <rPr>
        <sz val="11"/>
        <rFont val="ＭＳ Ｐゴシック"/>
        <family val="3"/>
        <charset val="128"/>
      </rPr>
      <t>間接業務：業務環境管理（PCｾｯﾄｱｯﾌﾟ等）</t>
    </r>
    <rPh sb="9" eb="11">
      <t>カンリ</t>
    </rPh>
    <phoneticPr fontId="7"/>
  </si>
  <si>
    <r>
      <rPr>
        <sz val="11"/>
        <color rgb="FFFF0000"/>
        <rFont val="ＭＳ Ｐゴシック"/>
        <family val="3"/>
        <charset val="128"/>
      </rPr>
      <t>PCｾｯﾄｱｯﾌﾟ・ﾒﾝﾃﾅﾝｽ・</t>
    </r>
    <r>
      <rPr>
        <sz val="11"/>
        <color rgb="FF000000"/>
        <rFont val="ＭＳ Ｐゴシック"/>
        <family val="3"/>
        <charset val="128"/>
      </rPr>
      <t>設備・ﾈｯﾄﾜｰｸ等の運用管理</t>
    </r>
  </si>
  <si>
    <t>99103</t>
    <phoneticPr fontId="7"/>
  </si>
  <si>
    <r>
      <t>間接業務：標準化・業務改善作業</t>
    </r>
    <r>
      <rPr>
        <sz val="11"/>
        <rFont val="ＭＳ Ｐゴシック"/>
        <family val="3"/>
        <charset val="128"/>
      </rPr>
      <t>（開発以外）</t>
    </r>
    <phoneticPr fontId="7"/>
  </si>
  <si>
    <r>
      <t>開発業務に関しない</t>
    </r>
    <r>
      <rPr>
        <sz val="11"/>
        <rFont val="ＭＳ Ｐゴシック"/>
        <family val="3"/>
        <charset val="128"/>
      </rPr>
      <t>標準化、業務改善作業</t>
    </r>
    <rPh sb="9" eb="12">
      <t>ヒョウジュンカ</t>
    </rPh>
    <rPh sb="13" eb="15">
      <t>ギョウム</t>
    </rPh>
    <rPh sb="15" eb="17">
      <t>カイゼン</t>
    </rPh>
    <rPh sb="17" eb="19">
      <t>サギョウ</t>
    </rPh>
    <phoneticPr fontId="7"/>
  </si>
  <si>
    <t>99104</t>
    <phoneticPr fontId="7"/>
  </si>
  <si>
    <r>
      <t>間接業務：業務の引継ぎ</t>
    </r>
    <r>
      <rPr>
        <sz val="11"/>
        <rFont val="ＭＳ Ｐゴシック"/>
        <family val="3"/>
        <charset val="128"/>
      </rPr>
      <t>（開発以外）</t>
    </r>
    <phoneticPr fontId="7"/>
  </si>
  <si>
    <r>
      <t>開発業務に関しない</t>
    </r>
    <r>
      <rPr>
        <sz val="11"/>
        <rFont val="ＭＳ Ｐゴシック"/>
        <family val="3"/>
        <charset val="128"/>
      </rPr>
      <t>担当業務の引継ぎ作業</t>
    </r>
    <rPh sb="9" eb="11">
      <t>タントウ</t>
    </rPh>
    <rPh sb="11" eb="13">
      <t>ギョウム</t>
    </rPh>
    <rPh sb="14" eb="16">
      <t>ヒキツ</t>
    </rPh>
    <rPh sb="17" eb="19">
      <t>サギョウ</t>
    </rPh>
    <phoneticPr fontId="7"/>
  </si>
  <si>
    <t>99106</t>
    <phoneticPr fontId="7"/>
  </si>
  <si>
    <t>間接業務：研修・学習</t>
    <rPh sb="0" eb="2">
      <t>カンセツ</t>
    </rPh>
    <phoneticPr fontId="7"/>
  </si>
  <si>
    <t>受講・講師・教育計画、実施報告、研修資料作成等を含む</t>
    <rPh sb="0" eb="2">
      <t>ジュコウ</t>
    </rPh>
    <rPh sb="3" eb="5">
      <t>コウシ</t>
    </rPh>
    <rPh sb="6" eb="8">
      <t>キョウイク</t>
    </rPh>
    <rPh sb="8" eb="10">
      <t>ケイカク</t>
    </rPh>
    <rPh sb="11" eb="13">
      <t>ジッシ</t>
    </rPh>
    <rPh sb="13" eb="15">
      <t>ホウコク</t>
    </rPh>
    <rPh sb="16" eb="18">
      <t>ケンシュウ</t>
    </rPh>
    <rPh sb="18" eb="20">
      <t>シリョウ</t>
    </rPh>
    <rPh sb="20" eb="22">
      <t>サクセイ</t>
    </rPh>
    <rPh sb="22" eb="23">
      <t>トウ</t>
    </rPh>
    <rPh sb="24" eb="25">
      <t>フク</t>
    </rPh>
    <phoneticPr fontId="7"/>
  </si>
  <si>
    <t>99107</t>
    <phoneticPr fontId="7"/>
  </si>
  <si>
    <r>
      <t>間接業務：事務作業</t>
    </r>
    <r>
      <rPr>
        <sz val="11"/>
        <rFont val="ＭＳ Ｐゴシック"/>
        <family val="3"/>
        <charset val="128"/>
      </rPr>
      <t>（開発以外）</t>
    </r>
    <phoneticPr fontId="7"/>
  </si>
  <si>
    <r>
      <rPr>
        <sz val="11"/>
        <color rgb="FFFF0000"/>
        <rFont val="ＭＳ Ｐゴシック"/>
        <family val="3"/>
        <charset val="128"/>
      </rPr>
      <t>開発業務に関しない</t>
    </r>
    <r>
      <rPr>
        <sz val="11"/>
        <rFont val="ＭＳ Ｐゴシック"/>
        <family val="3"/>
        <charset val="128"/>
      </rPr>
      <t>管理事務・事務作業</t>
    </r>
    <rPh sb="0" eb="2">
      <t>カイハツ</t>
    </rPh>
    <rPh sb="2" eb="4">
      <t>ギョウム</t>
    </rPh>
    <rPh sb="5" eb="6">
      <t>カン</t>
    </rPh>
    <phoneticPr fontId="7"/>
  </si>
  <si>
    <t>99110</t>
    <phoneticPr fontId="7"/>
  </si>
  <si>
    <t>間接業務：打合せ</t>
    <rPh sb="0" eb="2">
      <t>カンセツ</t>
    </rPh>
    <phoneticPr fontId="7"/>
  </si>
  <si>
    <t>新卒面談、安全衛生委員会会合、ISO/ISMS打合せ、部門MTG、朝礼</t>
    <rPh sb="27" eb="29">
      <t>ブモン</t>
    </rPh>
    <rPh sb="33" eb="35">
      <t>チョウレイ</t>
    </rPh>
    <phoneticPr fontId="7"/>
  </si>
  <si>
    <t>99199</t>
    <phoneticPr fontId="7"/>
  </si>
  <si>
    <t>間接業務：その他</t>
    <rPh sb="0" eb="2">
      <t>カンセツ</t>
    </rPh>
    <phoneticPr fontId="7"/>
  </si>
  <si>
    <r>
      <rPr>
        <sz val="11"/>
        <color rgb="FFFF0000"/>
        <rFont val="ＭＳ Ｐゴシック"/>
        <family val="3"/>
        <charset val="128"/>
      </rPr>
      <t>開発業務に関しない</t>
    </r>
    <r>
      <rPr>
        <sz val="11"/>
        <rFont val="ＭＳ Ｐゴシック"/>
        <family val="3"/>
        <charset val="128"/>
      </rPr>
      <t>作業で、他の内訳に合致しない作業時間や、他の工種に合致しない作業時間（日報管理にコメントの記載をする）</t>
    </r>
    <rPh sb="0" eb="2">
      <t>カイハツ</t>
    </rPh>
    <rPh sb="2" eb="4">
      <t>ギョウム</t>
    </rPh>
    <rPh sb="5" eb="6">
      <t>カン</t>
    </rPh>
    <rPh sb="9" eb="11">
      <t>サギョウ</t>
    </rPh>
    <rPh sb="13" eb="14">
      <t>タ</t>
    </rPh>
    <rPh sb="15" eb="17">
      <t>ウチワケ</t>
    </rPh>
    <rPh sb="18" eb="20">
      <t>ガッチ</t>
    </rPh>
    <rPh sb="23" eb="25">
      <t>サギョウ</t>
    </rPh>
    <rPh sb="25" eb="27">
      <t>ジカン</t>
    </rPh>
    <rPh sb="29" eb="30">
      <t>ホカ</t>
    </rPh>
    <rPh sb="31" eb="33">
      <t>コウシュ</t>
    </rPh>
    <rPh sb="34" eb="36">
      <t>ガッチ</t>
    </rPh>
    <rPh sb="39" eb="41">
      <t>サギョウ</t>
    </rPh>
    <rPh sb="41" eb="43">
      <t>ジカン</t>
    </rPh>
    <rPh sb="44" eb="46">
      <t>ニッポウ</t>
    </rPh>
    <rPh sb="46" eb="48">
      <t>カンリ</t>
    </rPh>
    <rPh sb="54" eb="56">
      <t>キサイ</t>
    </rPh>
    <phoneticPr fontId="6"/>
  </si>
  <si>
    <t>CD</t>
  </si>
  <si>
    <t>システム名称</t>
    <rPh sb="4" eb="6">
      <t>メイショウ</t>
    </rPh>
    <phoneticPr fontId="7"/>
  </si>
  <si>
    <t>PJCD</t>
  </si>
  <si>
    <t>プロジェクト名称</t>
  </si>
  <si>
    <t>開始日</t>
  </si>
  <si>
    <t>完了予定日</t>
    <rPh sb="2" eb="4">
      <t>ヨテイ</t>
    </rPh>
    <phoneticPr fontId="7"/>
  </si>
  <si>
    <t>Yokogawa</t>
    <phoneticPr fontId="7"/>
  </si>
  <si>
    <t xml:space="preserve">Rep Portal </t>
    <phoneticPr fontId="7"/>
  </si>
  <si>
    <t>1週</t>
    <rPh sb="1" eb="2">
      <t>シュウ</t>
    </rPh>
    <phoneticPr fontId="7"/>
  </si>
  <si>
    <t>2週</t>
    <rPh sb="1" eb="2">
      <t>シュウ</t>
    </rPh>
    <phoneticPr fontId="7"/>
  </si>
  <si>
    <t>3週</t>
    <rPh sb="1" eb="2">
      <t>シュウ</t>
    </rPh>
    <phoneticPr fontId="7"/>
  </si>
  <si>
    <t>4週</t>
    <rPh sb="1" eb="2">
      <t>シュウ</t>
    </rPh>
    <phoneticPr fontId="7"/>
  </si>
  <si>
    <t>5週</t>
    <rPh sb="1" eb="2">
      <t>シュウ</t>
    </rPh>
    <phoneticPr fontId="7"/>
  </si>
  <si>
    <t>6週</t>
    <rPh sb="1" eb="2">
      <t>シュウ</t>
    </rPh>
    <phoneticPr fontId="7"/>
  </si>
  <si>
    <t>7週</t>
    <rPh sb="1" eb="2">
      <t>シュウ</t>
    </rPh>
    <phoneticPr fontId="7"/>
  </si>
  <si>
    <t>明細計と一致しています→</t>
  </si>
  <si>
    <t>株式会社いろは</t>
  </si>
  <si>
    <t>山田　太郎</t>
  </si>
  <si>
    <t>保守</t>
  </si>
  <si>
    <t>NX-Pro 所得税確定申告書</t>
  </si>
  <si>
    <t>法人税申告書</t>
  </si>
  <si>
    <t>法人税申告書H24改正対応（復興特別法人税他）</t>
  </si>
  <si>
    <t>NX-CE共通</t>
  </si>
  <si>
    <t>法人税申告書H24改正対応（基本・追加別表改正)</t>
  </si>
  <si>
    <t>↑業務管理用集計欄</t>
    <rPh sb="1" eb="3">
      <t>ギョウム</t>
    </rPh>
    <rPh sb="3" eb="5">
      <t>カンリ</t>
    </rPh>
    <rPh sb="5" eb="6">
      <t>ヨウ</t>
    </rPh>
    <rPh sb="6" eb="8">
      <t>シュウケイ</t>
    </rPh>
    <rPh sb="8" eb="9">
      <t>ラン</t>
    </rPh>
    <phoneticPr fontId="7"/>
  </si>
  <si>
    <t>プログラム調査</t>
  </si>
  <si>
    <t>個人データ更新</t>
  </si>
  <si>
    <t>プログラム評価</t>
  </si>
  <si>
    <t>データ作成</t>
  </si>
  <si>
    <t>総合評価</t>
  </si>
  <si>
    <t>所得税システム　プログラム修正</t>
  </si>
  <si>
    <t>「顧問先」文言切替対応</t>
  </si>
  <si>
    <t>一括提出名簿非表示対応</t>
  </si>
  <si>
    <t>所得税システム　</t>
  </si>
  <si>
    <t>テスト仕様作成</t>
  </si>
  <si>
    <t>所得税システム　プログラム評価</t>
  </si>
  <si>
    <t>単体テスト</t>
  </si>
  <si>
    <t>電子申告対応</t>
  </si>
  <si>
    <t>５月仕様公開分の比較</t>
  </si>
  <si>
    <t>所得税確定申告書</t>
  </si>
  <si>
    <t>個人データ更新修正</t>
  </si>
  <si>
    <t>即時計算速度調査 プログラム修正</t>
  </si>
  <si>
    <t>【月間集計シート確認方法】</t>
    <rPh sb="1" eb="3">
      <t>ゲッカン</t>
    </rPh>
    <rPh sb="3" eb="5">
      <t>シュウケイ</t>
    </rPh>
    <rPh sb="8" eb="10">
      <t>カクニン</t>
    </rPh>
    <rPh sb="10" eb="12">
      <t>ホウホウ</t>
    </rPh>
    <phoneticPr fontId="7"/>
  </si>
  <si>
    <t>・週報からのプロジェクト工数進捗確認に利用して下さい</t>
    <rPh sb="1" eb="3">
      <t>シュウホウ</t>
    </rPh>
    <rPh sb="12" eb="14">
      <t>コウスウ</t>
    </rPh>
    <rPh sb="14" eb="16">
      <t>シンチョク</t>
    </rPh>
    <rPh sb="16" eb="18">
      <t>カクニン</t>
    </rPh>
    <rPh sb="19" eb="21">
      <t>リヨウ</t>
    </rPh>
    <rPh sb="23" eb="24">
      <t>クダ</t>
    </rPh>
    <phoneticPr fontId="7"/>
  </si>
  <si>
    <t>①本ファイルの1週～6週を入力すると、自動的に集計されます</t>
    <rPh sb="1" eb="2">
      <t>ホン</t>
    </rPh>
    <rPh sb="8" eb="9">
      <t>シュウ</t>
    </rPh>
    <rPh sb="11" eb="12">
      <t>シュウ</t>
    </rPh>
    <rPh sb="13" eb="15">
      <t>ニュウリョク</t>
    </rPh>
    <rPh sb="19" eb="22">
      <t>ジドウテキ</t>
    </rPh>
    <rPh sb="23" eb="25">
      <t>シュウケイ</t>
    </rPh>
    <phoneticPr fontId="7"/>
  </si>
  <si>
    <t>②（①）より重複しないシステムコード・プロジェクトコードを入力すると、プロジェクト別集計が表示されます</t>
    <rPh sb="6" eb="8">
      <t>チョウフク</t>
    </rPh>
    <rPh sb="29" eb="31">
      <t>ニュウリョク</t>
    </rPh>
    <rPh sb="41" eb="42">
      <t>ベツ</t>
    </rPh>
    <rPh sb="42" eb="44">
      <t>シュウケイ</t>
    </rPh>
    <rPh sb="45" eb="47">
      <t>ヒョウジ</t>
    </rPh>
    <phoneticPr fontId="7"/>
  </si>
  <si>
    <t>③総時間が赤字の場合、（②）のプロジェクトが重複または不足しています</t>
    <rPh sb="1" eb="2">
      <t>ソウ</t>
    </rPh>
    <rPh sb="2" eb="4">
      <t>ジカン</t>
    </rPh>
    <rPh sb="5" eb="7">
      <t>アカジ</t>
    </rPh>
    <rPh sb="8" eb="10">
      <t>バアイ</t>
    </rPh>
    <rPh sb="22" eb="24">
      <t>チョウフク</t>
    </rPh>
    <rPh sb="27" eb="29">
      <t>フソク</t>
    </rPh>
    <phoneticPr fontId="7"/>
  </si>
  <si>
    <t xml:space="preserve">④所定日数を入力すると、当月の所定勤務時間が表示され、プロジェクト毎の比率に反映されます
</t>
    <phoneticPr fontId="7"/>
  </si>
  <si>
    <t>⑤プロジェクト別比率より、予実の乖離を確認して下さい</t>
    <rPh sb="7" eb="8">
      <t>ベツ</t>
    </rPh>
    <rPh sb="8" eb="10">
      <t>ヒリツ</t>
    </rPh>
    <rPh sb="13" eb="14">
      <t>ヨ</t>
    </rPh>
    <rPh sb="14" eb="15">
      <t>ジツ</t>
    </rPh>
    <rPh sb="16" eb="18">
      <t>カイリ</t>
    </rPh>
    <rPh sb="19" eb="21">
      <t>カクニン</t>
    </rPh>
    <rPh sb="23" eb="24">
      <t>クダ</t>
    </rPh>
    <phoneticPr fontId="7"/>
  </si>
  <si>
    <t>　 ※金額の概算を行う場合は必ず別途管理シートを作成することとし、本ファイルには記載しないでください</t>
    <rPh sb="3" eb="5">
      <t>キンガク</t>
    </rPh>
    <rPh sb="6" eb="8">
      <t>ガイサン</t>
    </rPh>
    <rPh sb="9" eb="10">
      <t>オコナ</t>
    </rPh>
    <rPh sb="11" eb="13">
      <t>バアイ</t>
    </rPh>
    <rPh sb="14" eb="15">
      <t>カナラ</t>
    </rPh>
    <rPh sb="16" eb="18">
      <t>ベット</t>
    </rPh>
    <rPh sb="18" eb="20">
      <t>カンリ</t>
    </rPh>
    <rPh sb="24" eb="26">
      <t>サクセイ</t>
    </rPh>
    <rPh sb="33" eb="34">
      <t>ホン</t>
    </rPh>
    <rPh sb="40" eb="42">
      <t>キサイ</t>
    </rPh>
    <phoneticPr fontId="7"/>
  </si>
  <si>
    <t>⑥翌月第二営業日までに、ファイルをStarTeamへ格納して下さい</t>
    <rPh sb="1" eb="3">
      <t>ヨクゲツ</t>
    </rPh>
    <rPh sb="3" eb="5">
      <t>ダイニ</t>
    </rPh>
    <rPh sb="5" eb="7">
      <t>エイギョウ</t>
    </rPh>
    <rPh sb="7" eb="8">
      <t>ビ</t>
    </rPh>
    <rPh sb="26" eb="28">
      <t>カクノウ</t>
    </rPh>
    <rPh sb="30" eb="31">
      <t>クダ</t>
    </rPh>
    <phoneticPr fontId="7"/>
  </si>
  <si>
    <t>備考：黄欄は全て自動表示となります</t>
    <rPh sb="0" eb="2">
      <t>ビコウ</t>
    </rPh>
    <rPh sb="3" eb="4">
      <t>キ</t>
    </rPh>
    <rPh sb="4" eb="5">
      <t>ラン</t>
    </rPh>
    <rPh sb="6" eb="7">
      <t>スベ</t>
    </rPh>
    <rPh sb="8" eb="10">
      <t>ジドウ</t>
    </rPh>
    <rPh sb="10" eb="12">
      <t>ヒョウジ</t>
    </rPh>
    <phoneticPr fontId="7"/>
  </si>
  <si>
    <r>
      <t>ＰＪ工種集計シート（</t>
    </r>
    <r>
      <rPr>
        <sz val="11"/>
        <rFont val="ＭＳ Ｐゴシック"/>
        <family val="3"/>
        <charset val="128"/>
      </rPr>
      <t>※月間集計シートで指定したPJについて集計します。　青色</t>
    </r>
    <r>
      <rPr>
        <sz val="11"/>
        <color rgb="FFCCFFFF"/>
        <rFont val="ＭＳ Ｐゴシック"/>
        <family val="3"/>
        <charset val="128"/>
      </rPr>
      <t>■</t>
    </r>
    <r>
      <rPr>
        <sz val="11"/>
        <rFont val="ＭＳ Ｐゴシック"/>
        <family val="3"/>
        <charset val="128"/>
      </rPr>
      <t>のセル（</t>
    </r>
    <r>
      <rPr>
        <b/>
        <sz val="11"/>
        <color rgb="FFC00000"/>
        <rFont val="ＭＳ Ｐゴシック"/>
        <family val="3"/>
        <charset val="128"/>
      </rPr>
      <t>選択列</t>
    </r>
    <r>
      <rPr>
        <sz val="11"/>
        <rFont val="ＭＳ Ｐゴシック"/>
        <family val="3"/>
        <charset val="128"/>
      </rPr>
      <t>と</t>
    </r>
    <r>
      <rPr>
        <b/>
        <sz val="11"/>
        <color rgb="FFC00000"/>
        <rFont val="ＭＳ Ｐゴシック"/>
        <family val="3"/>
        <charset val="128"/>
      </rPr>
      <t>集計期間</t>
    </r>
    <r>
      <rPr>
        <sz val="11"/>
        <rFont val="ＭＳ Ｐゴシック"/>
        <family val="3"/>
        <charset val="128"/>
      </rPr>
      <t>）を指定してください。</t>
    </r>
    <r>
      <rPr>
        <b/>
        <sz val="11"/>
        <rFont val="ＭＳ Ｐゴシック"/>
        <family val="3"/>
        <charset val="128"/>
      </rPr>
      <t>）</t>
    </r>
    <rPh sb="2" eb="4">
      <t>コウシュ</t>
    </rPh>
    <rPh sb="4" eb="6">
      <t>シュウケイ</t>
    </rPh>
    <rPh sb="36" eb="38">
      <t>アオイロ</t>
    </rPh>
    <rPh sb="43" eb="45">
      <t>センタク</t>
    </rPh>
    <rPh sb="45" eb="46">
      <t>レツ</t>
    </rPh>
    <rPh sb="47" eb="49">
      <t>シュウケイ</t>
    </rPh>
    <rPh sb="49" eb="51">
      <t>キカン</t>
    </rPh>
    <rPh sb="53" eb="55">
      <t>シテイ</t>
    </rPh>
    <phoneticPr fontId="7"/>
  </si>
  <si>
    <t>集計開始</t>
    <rPh sb="0" eb="2">
      <t>シュウケイ</t>
    </rPh>
    <rPh sb="2" eb="4">
      <t>カイシ</t>
    </rPh>
    <phoneticPr fontId="7"/>
  </si>
  <si>
    <t>日</t>
    <rPh sb="0" eb="1">
      <t>ニチ</t>
    </rPh>
    <phoneticPr fontId="7"/>
  </si>
  <si>
    <t>集計終了</t>
    <rPh sb="0" eb="2">
      <t>シュウケイ</t>
    </rPh>
    <rPh sb="2" eb="4">
      <t>シュウリョウ</t>
    </rPh>
    <phoneticPr fontId="7"/>
  </si>
  <si>
    <t>PJ</t>
    <phoneticPr fontId="7"/>
  </si>
  <si>
    <t>プロジェクト名</t>
    <rPh sb="6" eb="7">
      <t>メイ</t>
    </rPh>
    <phoneticPr fontId="7"/>
  </si>
  <si>
    <t>選択</t>
    <rPh sb="0" eb="2">
      <t>センタク</t>
    </rPh>
    <phoneticPr fontId="7"/>
  </si>
  <si>
    <t>工種CD</t>
    <rPh sb="0" eb="2">
      <t>コウシュ</t>
    </rPh>
    <phoneticPr fontId="7"/>
  </si>
  <si>
    <t>期間計</t>
    <rPh sb="0" eb="2">
      <t>キカン</t>
    </rPh>
    <rPh sb="2" eb="3">
      <t>ケイ</t>
    </rPh>
    <phoneticPr fontId="7"/>
  </si>
  <si>
    <t>全て</t>
    <rPh sb="0" eb="1">
      <t>ゼン</t>
    </rPh>
    <phoneticPr fontId="7"/>
  </si>
  <si>
    <t>合計</t>
    <rPh sb="0" eb="1">
      <t>ゴウ</t>
    </rPh>
    <rPh sb="1" eb="2">
      <t>ケイ</t>
    </rPh>
    <phoneticPr fontId="7"/>
  </si>
  <si>
    <t>選択計</t>
    <rPh sb="0" eb="2">
      <t>センタク</t>
    </rPh>
    <rPh sb="2" eb="3">
      <t>ケイ</t>
    </rPh>
    <phoneticPr fontId="7"/>
  </si>
  <si>
    <t>選択列の値が1の計</t>
    <rPh sb="0" eb="2">
      <t>センタク</t>
    </rPh>
    <rPh sb="2" eb="3">
      <t>レツ</t>
    </rPh>
    <rPh sb="4" eb="5">
      <t>アタイ</t>
    </rPh>
    <rPh sb="8" eb="9">
      <t>ケイ</t>
    </rPh>
    <phoneticPr fontId="7"/>
  </si>
  <si>
    <r>
      <rPr>
        <b/>
        <sz val="11"/>
        <rFont val="ＭＳ Ｐゴシック"/>
        <family val="3"/>
        <charset val="128"/>
      </rPr>
      <t>日別計縦型シート</t>
    </r>
    <r>
      <rPr>
        <sz val="11"/>
        <rFont val="ＭＳ Ｐゴシック"/>
        <family val="3"/>
        <charset val="128"/>
      </rPr>
      <t>（「PJ工種集計シート」の選択計行が縦型で表示されます。）</t>
    </r>
    <rPh sb="21" eb="23">
      <t>センタク</t>
    </rPh>
    <rPh sb="23" eb="24">
      <t>ケイ</t>
    </rPh>
    <rPh sb="24" eb="25">
      <t>ギョウ</t>
    </rPh>
    <rPh sb="26" eb="28">
      <t>タテガタ</t>
    </rPh>
    <rPh sb="29" eb="31">
      <t>ヒョウジ</t>
    </rPh>
    <phoneticPr fontId="7"/>
  </si>
  <si>
    <t>PJ</t>
  </si>
  <si>
    <t>週</t>
    <rPh sb="0" eb="1">
      <t>シュウ</t>
    </rPh>
    <phoneticPr fontId="7"/>
  </si>
  <si>
    <t>曜日</t>
    <rPh sb="0" eb="2">
      <t>ヨウビ</t>
    </rPh>
    <phoneticPr fontId="7"/>
  </si>
  <si>
    <t>日</t>
    <rPh sb="0" eb="1">
      <t>ヒ</t>
    </rPh>
    <phoneticPr fontId="7"/>
  </si>
  <si>
    <t>選択時間</t>
    <rPh sb="0" eb="2">
      <t>センタク</t>
    </rPh>
    <rPh sb="2" eb="4">
      <t>ジカン</t>
    </rPh>
    <phoneticPr fontId="7"/>
  </si>
  <si>
    <t>組織</t>
    <rPh sb="0" eb="2">
      <t>ソシキ</t>
    </rPh>
    <phoneticPr fontId="7"/>
  </si>
  <si>
    <t>事業所</t>
    <rPh sb="0" eb="3">
      <t>ジギョウショ</t>
    </rPh>
    <phoneticPr fontId="7"/>
  </si>
  <si>
    <t>NVI　開発本部</t>
    <rPh sb="4" eb="6">
      <t>カイハツ</t>
    </rPh>
    <rPh sb="6" eb="7">
      <t>ホン</t>
    </rPh>
    <rPh sb="7" eb="8">
      <t>ブ</t>
    </rPh>
    <phoneticPr fontId="7"/>
  </si>
  <si>
    <t>〒105-0011東京都港区芝公園1丁目7-6</t>
    <phoneticPr fontId="7"/>
  </si>
  <si>
    <t>SI　開発部</t>
    <rPh sb="3" eb="5">
      <t>カイハツ</t>
    </rPh>
    <rPh sb="5" eb="6">
      <t>ブ</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</si>
</sst>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
    <numFmt numFmtId="177" formatCode="[h]:mm"/>
    <numFmt numFmtId="178" formatCode="0_ "/>
    <numFmt numFmtId="179" formatCode="####&quot;年&quot;"/>
    <numFmt numFmtId="180" formatCode="##&quot;月&quot;"/>
    <numFmt numFmtId="181" formatCode="m&quot;月&quot;d&quot;日&quot;;@"/>
    <numFmt numFmtId="182" formatCode="&quot;第&quot;#&quot;週&quot;"/>
    <numFmt numFmtId="183" formatCode="#&quot; 日から&quot;"/>
    <numFmt numFmtId="184" formatCode="#&quot; 日まで&quot;"/>
    <numFmt numFmtId="185" formatCode="General&quot;日です&quot;"/>
    <numFmt numFmtId="186" formatCode="&quot;今月は&quot;General&quot;日から&quot;"/>
    <numFmt numFmtId="187" formatCode="0.00_ "/>
    <numFmt numFmtId="188" formatCode="aaa"/>
    <numFmt numFmtId="189" formatCode="m/d;@"/>
    <numFmt numFmtId="190" formatCode="h:mm;@"/>
    <numFmt numFmtId="191" formatCode="d"/>
    <numFmt numFmtId="192" formatCode="#,##0.00_ ;[Red]\-#,##0.00\ "/>
    <numFmt numFmtId="193" formatCode="0.00000000000000000000_ "/>
  </numFmts>
  <fonts count="56">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0"/>
      <name val="ＭＳ Ｐゴシック"/>
      <family val="3"/>
      <charset val="128"/>
    </font>
    <font>
      <u/>
      <sz val="11"/>
      <color indexed="12"/>
      <name val="明朝"/>
      <family val="1"/>
      <charset val="128"/>
    </font>
    <font>
      <u/>
      <sz val="18"/>
      <name val="ＭＳ Ｐゴシック"/>
      <family val="3"/>
      <charset val="128"/>
    </font>
    <font>
      <sz val="10"/>
      <color indexed="9"/>
      <name val="ＭＳ Ｐゴシック"/>
      <family val="3"/>
      <charset val="128"/>
    </font>
    <font>
      <b/>
      <u/>
      <sz val="18"/>
      <name val="ＭＳ Ｐゴシック"/>
      <family val="3"/>
      <charset val="128"/>
    </font>
    <font>
      <b/>
      <u/>
      <sz val="22"/>
      <name val="ＭＳ Ｐゴシック"/>
      <family val="3"/>
      <charset val="128"/>
    </font>
    <font>
      <sz val="16"/>
      <name val="ＭＳ Ｐゴシック"/>
      <family val="3"/>
      <charset val="128"/>
    </font>
    <font>
      <sz val="9"/>
      <name val="ＭＳ Ｐゴシック"/>
      <family val="3"/>
      <charset val="128"/>
    </font>
    <font>
      <b/>
      <sz val="10"/>
      <name val="ＭＳ Ｐゴシック"/>
      <family val="3"/>
      <charset val="128"/>
    </font>
    <font>
      <sz val="12"/>
      <name val="ＭＳ Ｐゴシック"/>
      <family val="3"/>
      <charset val="128"/>
    </font>
    <font>
      <b/>
      <sz val="11"/>
      <name val="ＭＳ Ｐゴシック"/>
      <family val="3"/>
      <charset val="128"/>
    </font>
    <font>
      <sz val="9"/>
      <color indexed="81"/>
      <name val="ＭＳ Ｐゴシック"/>
      <family val="3"/>
      <charset val="128"/>
    </font>
    <font>
      <sz val="9"/>
      <color indexed="9"/>
      <name val="ＭＳ Ｐゴシック"/>
      <family val="3"/>
      <charset val="128"/>
    </font>
    <font>
      <sz val="11"/>
      <color rgb="FFFF0000"/>
      <name val="ＭＳ Ｐゴシック"/>
      <family val="3"/>
      <charset val="128"/>
    </font>
    <font>
      <sz val="11"/>
      <color rgb="FF0000FF"/>
      <name val="ＭＳ Ｐゴシック"/>
      <family val="3"/>
      <charset val="128"/>
    </font>
    <font>
      <sz val="9"/>
      <color rgb="FFFFFFFF"/>
      <name val="ＭＳ Ｐゴシック"/>
      <family val="3"/>
      <charset val="128"/>
      <scheme val="minor"/>
    </font>
    <font>
      <sz val="9"/>
      <name val="ＭＳ Ｐゴシック"/>
      <family val="3"/>
      <charset val="128"/>
      <scheme val="minor"/>
    </font>
    <font>
      <sz val="11"/>
      <color theme="0" tint="-0.249977111117893"/>
      <name val="ＭＳ Ｐゴシック"/>
      <family val="3"/>
      <charset val="128"/>
    </font>
    <font>
      <sz val="10"/>
      <color indexed="81"/>
      <name val="ＭＳ Ｐゴシック"/>
      <family val="3"/>
      <charset val="128"/>
    </font>
    <font>
      <b/>
      <sz val="10"/>
      <color indexed="81"/>
      <name val="ＭＳ Ｐゴシック"/>
      <family val="3"/>
      <charset val="128"/>
    </font>
    <font>
      <sz val="11"/>
      <color rgb="FFCCFFFF"/>
      <name val="ＭＳ Ｐゴシック"/>
      <family val="3"/>
      <charset val="128"/>
    </font>
    <font>
      <b/>
      <sz val="11"/>
      <color rgb="FFC00000"/>
      <name val="ＭＳ Ｐゴシック"/>
      <family val="3"/>
      <charset val="128"/>
    </font>
    <font>
      <sz val="10"/>
      <name val="ＭＳ ゴシック"/>
      <family val="3"/>
      <charset val="128"/>
    </font>
    <font>
      <sz val="11"/>
      <name val="ＭＳ ゴシック"/>
      <family val="3"/>
      <charset val="128"/>
    </font>
    <font>
      <sz val="14"/>
      <name val="ＭＳ ゴシック"/>
      <family val="3"/>
      <charset val="128"/>
    </font>
    <font>
      <sz val="12"/>
      <name val="ＭＳ ゴシック"/>
      <family val="3"/>
      <charset val="128"/>
    </font>
    <font>
      <sz val="11"/>
      <color indexed="48"/>
      <name val="ＭＳ ゴシック"/>
      <family val="3"/>
      <charset val="128"/>
    </font>
    <font>
      <sz val="11"/>
      <color indexed="14"/>
      <name val="ＭＳ ゴシック"/>
      <family val="3"/>
      <charset val="128"/>
    </font>
    <font>
      <sz val="14"/>
      <color indexed="12"/>
      <name val="ＭＳ ゴシック"/>
      <family val="3"/>
      <charset val="128"/>
    </font>
    <font>
      <sz val="20"/>
      <name val="ＭＳ ゴシック"/>
      <family val="3"/>
      <charset val="128"/>
    </font>
    <font>
      <sz val="20"/>
      <color indexed="8"/>
      <name val="ＭＳ ゴシック"/>
      <family val="3"/>
      <charset val="128"/>
    </font>
    <font>
      <sz val="11"/>
      <color indexed="81"/>
      <name val="ＭＳ Ｐゴシック"/>
      <family val="3"/>
      <charset val="128"/>
    </font>
    <font>
      <sz val="6"/>
      <name val="ＭＳ Ｐゴシック"/>
      <family val="2"/>
      <charset val="128"/>
      <scheme val="minor"/>
    </font>
    <font>
      <sz val="14"/>
      <name val="ＭＳ 明朝"/>
      <family val="1"/>
      <charset val="128"/>
    </font>
    <font>
      <sz val="11"/>
      <name val="ＭＳ 明朝"/>
      <family val="1"/>
      <charset val="128"/>
    </font>
    <font>
      <b/>
      <sz val="9"/>
      <color indexed="81"/>
      <name val="ＭＳ Ｐゴシック"/>
      <family val="3"/>
      <charset val="128"/>
    </font>
    <font>
      <sz val="11"/>
      <name val="ＭＳ Ｐゴシック"/>
      <family val="3"/>
      <charset val="128"/>
      <scheme val="major"/>
    </font>
    <font>
      <sz val="11"/>
      <color theme="1" tint="0.499984740745262"/>
      <name val="ＭＳ Ｐゴシック"/>
      <family val="3"/>
      <charset val="128"/>
    </font>
    <font>
      <sz val="11"/>
      <name val="HGS明朝B"/>
      <family val="1"/>
      <charset val="128"/>
    </font>
    <font>
      <sz val="11"/>
      <color rgb="FFFF0000"/>
      <name val="HGS明朝B"/>
      <family val="1"/>
      <charset val="128"/>
    </font>
    <font>
      <sz val="14"/>
      <color rgb="FFFF0000"/>
      <name val="HGS明朝B"/>
      <family val="1"/>
      <charset val="128"/>
    </font>
    <font>
      <sz val="9"/>
      <color theme="7" tint="-0.249977111117893"/>
      <name val="ＭＳ Ｐゴシック"/>
      <family val="3"/>
      <charset val="128"/>
    </font>
    <font>
      <sz val="9"/>
      <color theme="7" tint="-0.249977111117893"/>
      <name val="ＭＳ Ｐゴシック"/>
      <family val="3"/>
      <charset val="128"/>
      <scheme val="minor"/>
    </font>
    <font>
      <b/>
      <sz val="9"/>
      <color indexed="81"/>
      <name val="MS P ゴシック"/>
      <family val="3"/>
      <charset val="128"/>
    </font>
    <font>
      <b/>
      <sz val="9"/>
      <color theme="0"/>
      <name val="ＭＳ Ｐゴシック"/>
      <family val="3"/>
      <charset val="128"/>
    </font>
    <font>
      <sz val="11"/>
      <color rgb="FF000000"/>
      <name val="ＭＳ Ｐゴシック"/>
      <family val="3"/>
      <charset val="128"/>
    </font>
    <font>
      <sz val="10"/>
      <color theme="1"/>
      <name val="Meiryo UI"/>
      <family val="2"/>
      <charset val="128"/>
    </font>
    <font>
      <b/>
      <sz val="10"/>
      <color rgb="FFFF0000"/>
      <name val="ＭＳ Ｐゴシック"/>
      <family val="3"/>
      <charset val="128"/>
    </font>
  </fonts>
  <fills count="14">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rgb="FFFFFF00"/>
        <bgColor indexed="64"/>
      </patternFill>
    </fill>
    <fill>
      <patternFill patternType="solid">
        <fgColor theme="6" tint="-0.249977111117893"/>
        <bgColor rgb="FF000000"/>
      </patternFill>
    </fill>
    <fill>
      <patternFill patternType="solid">
        <fgColor theme="6" tint="-0.249977111117893"/>
        <bgColor indexed="8"/>
      </patternFill>
    </fill>
    <fill>
      <patternFill patternType="solid">
        <fgColor rgb="FFCCFFFF"/>
        <bgColor indexed="64"/>
      </patternFill>
    </fill>
    <fill>
      <patternFill patternType="solid">
        <fgColor indexed="22"/>
        <bgColor indexed="64"/>
      </patternFill>
    </fill>
    <fill>
      <patternFill patternType="solid">
        <fgColor indexed="42"/>
        <bgColor indexed="64"/>
      </patternFill>
    </fill>
    <fill>
      <patternFill patternType="solid">
        <fgColor indexed="44"/>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6" tint="-0.249977111117893"/>
        <bgColor indexed="64"/>
      </patternFill>
    </fill>
  </fills>
  <borders count="90">
    <border>
      <left/>
      <right/>
      <top/>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hair">
        <color indexed="64"/>
      </top>
      <bottom/>
      <diagonal/>
    </border>
    <border>
      <left style="thin">
        <color indexed="64"/>
      </left>
      <right/>
      <top/>
      <bottom style="double">
        <color indexed="64"/>
      </bottom>
      <diagonal/>
    </border>
    <border>
      <left/>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hair">
        <color indexed="64"/>
      </top>
      <bottom style="thin">
        <color indexed="64"/>
      </bottom>
      <diagonal/>
    </border>
    <border>
      <left/>
      <right/>
      <top style="thin">
        <color indexed="64"/>
      </top>
      <bottom style="double">
        <color indexed="64"/>
      </bottom>
      <diagonal/>
    </border>
    <border>
      <left/>
      <right/>
      <top style="thin">
        <color indexed="64"/>
      </top>
      <bottom style="hair">
        <color indexed="64"/>
      </bottom>
      <diagonal/>
    </border>
    <border>
      <left/>
      <right style="thin">
        <color indexed="64"/>
      </right>
      <top style="hair">
        <color indexed="64"/>
      </top>
      <bottom/>
      <diagonal/>
    </border>
    <border>
      <left style="dashed">
        <color auto="1"/>
      </left>
      <right style="dashed">
        <color auto="1"/>
      </right>
      <top style="dashed">
        <color auto="1"/>
      </top>
      <bottom style="dashed">
        <color auto="1"/>
      </bottom>
      <diagonal/>
    </border>
    <border>
      <left/>
      <right style="dashed">
        <color auto="1"/>
      </right>
      <top style="dashed">
        <color auto="1"/>
      </top>
      <bottom style="dashed">
        <color auto="1"/>
      </bottom>
      <diagonal/>
    </border>
    <border>
      <left style="dashed">
        <color auto="1"/>
      </left>
      <right style="dashed">
        <color auto="1"/>
      </right>
      <top/>
      <bottom style="dashed">
        <color auto="1"/>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8"/>
      </right>
      <top/>
      <bottom style="medium">
        <color indexed="8"/>
      </bottom>
      <diagonal/>
    </border>
    <border>
      <left/>
      <right/>
      <top/>
      <bottom style="medium">
        <color indexed="8"/>
      </bottom>
      <diagonal/>
    </border>
    <border>
      <left style="double">
        <color indexed="64"/>
      </left>
      <right/>
      <top/>
      <bottom style="medium">
        <color indexed="8"/>
      </bottom>
      <diagonal/>
    </border>
    <border>
      <left style="thin">
        <color indexed="64"/>
      </left>
      <right style="hair">
        <color indexed="64"/>
      </right>
      <top/>
      <bottom style="medium">
        <color indexed="8"/>
      </bottom>
      <diagonal/>
    </border>
    <border>
      <left/>
      <right style="hair">
        <color indexed="64"/>
      </right>
      <top/>
      <bottom style="medium">
        <color indexed="8"/>
      </bottom>
      <diagonal/>
    </border>
    <border>
      <left style="thin">
        <color indexed="64"/>
      </left>
      <right/>
      <top/>
      <bottom style="medium">
        <color indexed="8"/>
      </bottom>
      <diagonal/>
    </border>
    <border>
      <left style="medium">
        <color indexed="8"/>
      </left>
      <right/>
      <top/>
      <bottom style="medium">
        <color indexed="8"/>
      </bottom>
      <diagonal/>
    </border>
    <border>
      <left/>
      <right style="medium">
        <color indexed="64"/>
      </right>
      <top style="double">
        <color indexed="64"/>
      </top>
      <bottom/>
      <diagonal/>
    </border>
    <border>
      <left/>
      <right/>
      <top style="double">
        <color indexed="64"/>
      </top>
      <bottom/>
      <diagonal/>
    </border>
    <border>
      <left style="double">
        <color indexed="64"/>
      </left>
      <right/>
      <top style="double">
        <color indexed="64"/>
      </top>
      <bottom/>
      <diagonal/>
    </border>
    <border>
      <left style="thin">
        <color indexed="64"/>
      </left>
      <right style="hair">
        <color indexed="64"/>
      </right>
      <top style="double">
        <color indexed="64"/>
      </top>
      <bottom/>
      <diagonal/>
    </border>
    <border>
      <left style="thin">
        <color indexed="64"/>
      </left>
      <right style="hair">
        <color indexed="64"/>
      </right>
      <top style="double">
        <color indexed="64"/>
      </top>
      <bottom style="thin">
        <color indexed="8"/>
      </bottom>
      <diagonal/>
    </border>
    <border>
      <left style="medium">
        <color indexed="8"/>
      </left>
      <right/>
      <top style="double">
        <color indexed="64"/>
      </top>
      <bottom/>
      <diagonal/>
    </border>
    <border>
      <left style="thin">
        <color indexed="8"/>
      </left>
      <right style="medium">
        <color indexed="8"/>
      </right>
      <top/>
      <bottom style="dotted">
        <color indexed="64"/>
      </bottom>
      <diagonal/>
    </border>
    <border>
      <left style="double">
        <color indexed="64"/>
      </left>
      <right/>
      <top/>
      <bottom style="dotted">
        <color indexed="64"/>
      </bottom>
      <diagonal/>
    </border>
    <border>
      <left style="thin">
        <color indexed="64"/>
      </left>
      <right style="hair">
        <color indexed="64"/>
      </right>
      <top/>
      <bottom style="dotted">
        <color indexed="64"/>
      </bottom>
      <diagonal/>
    </border>
    <border>
      <left style="medium">
        <color indexed="8"/>
      </left>
      <right/>
      <top/>
      <bottom style="dotted">
        <color indexed="64"/>
      </bottom>
      <diagonal/>
    </border>
    <border>
      <left/>
      <right style="thin">
        <color indexed="8"/>
      </right>
      <top/>
      <bottom style="dotted">
        <color indexed="64"/>
      </bottom>
      <diagonal/>
    </border>
    <border>
      <left/>
      <right/>
      <top/>
      <bottom style="dotted">
        <color indexed="64"/>
      </bottom>
      <diagonal/>
    </border>
    <border>
      <left style="thin">
        <color indexed="8"/>
      </left>
      <right style="medium">
        <color indexed="8"/>
      </right>
      <top style="medium">
        <color indexed="8"/>
      </top>
      <bottom style="thin">
        <color indexed="8"/>
      </bottom>
      <diagonal/>
    </border>
    <border>
      <left/>
      <right style="thin">
        <color indexed="8"/>
      </right>
      <top style="medium">
        <color indexed="8"/>
      </top>
      <bottom style="thin">
        <color indexed="8"/>
      </bottom>
      <diagonal/>
    </border>
    <border>
      <left/>
      <right/>
      <top style="medium">
        <color indexed="8"/>
      </top>
      <bottom style="thin">
        <color indexed="8"/>
      </bottom>
      <diagonal/>
    </border>
    <border>
      <left style="double">
        <color indexed="64"/>
      </left>
      <right/>
      <top style="medium">
        <color indexed="8"/>
      </top>
      <bottom style="thin">
        <color indexed="8"/>
      </bottom>
      <diagonal/>
    </border>
    <border>
      <left style="thin">
        <color indexed="64"/>
      </left>
      <right style="hair">
        <color indexed="64"/>
      </right>
      <top style="medium">
        <color indexed="8"/>
      </top>
      <bottom style="thin">
        <color indexed="8"/>
      </bottom>
      <diagonal/>
    </border>
    <border>
      <left style="medium">
        <color indexed="8"/>
      </left>
      <right/>
      <top style="medium">
        <color indexed="8"/>
      </top>
      <bottom style="thin">
        <color indexed="8"/>
      </bottom>
      <diagonal/>
    </border>
    <border>
      <left/>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style="thin">
        <color indexed="64"/>
      </right>
      <top/>
      <bottom style="hair">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3">
    <xf numFmtId="0" fontId="0" fillId="0" borderId="0"/>
    <xf numFmtId="9" fontId="6" fillId="0" borderId="0" applyFont="0" applyFill="0" applyBorder="0" applyAlignment="0" applyProtection="0"/>
    <xf numFmtId="0" fontId="9" fillId="0" borderId="0" applyNumberFormat="0" applyFill="0" applyBorder="0" applyAlignment="0" applyProtection="0">
      <alignment vertical="top"/>
      <protection locked="0"/>
    </xf>
    <xf numFmtId="0" fontId="8" fillId="0" borderId="0"/>
    <xf numFmtId="0" fontId="6" fillId="0" borderId="0"/>
    <xf numFmtId="0" fontId="5" fillId="0" borderId="0">
      <alignment vertical="center"/>
    </xf>
    <xf numFmtId="0" fontId="4"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0" fontId="54" fillId="0" borderId="0">
      <alignment vertical="center"/>
    </xf>
    <xf numFmtId="0" fontId="2" fillId="0" borderId="0">
      <alignment vertical="center"/>
    </xf>
    <xf numFmtId="0" fontId="2" fillId="0" borderId="0">
      <alignment vertical="center"/>
    </xf>
  </cellStyleXfs>
  <cellXfs count="423">
    <xf numFmtId="0" fontId="0" fillId="0" borderId="0" xfId="0"/>
    <xf numFmtId="0" fontId="14" fillId="0" borderId="0" xfId="3" applyFont="1" applyAlignment="1" applyProtection="1">
      <alignment horizontal="center" vertical="center"/>
      <protection locked="0"/>
    </xf>
    <xf numFmtId="0" fontId="8" fillId="0" borderId="0" xfId="3" applyAlignment="1" applyProtection="1">
      <alignment vertical="center"/>
      <protection locked="0"/>
    </xf>
    <xf numFmtId="179" fontId="16" fillId="0" borderId="5" xfId="3" applyNumberFormat="1" applyFont="1" applyBorder="1" applyAlignment="1" applyProtection="1">
      <alignment horizontal="centerContinuous" vertical="center"/>
      <protection locked="0"/>
    </xf>
    <xf numFmtId="0" fontId="8" fillId="0" borderId="0" xfId="3" applyAlignment="1" applyProtection="1">
      <alignment horizontal="center" vertical="center"/>
      <protection locked="0"/>
    </xf>
    <xf numFmtId="0" fontId="12" fillId="0" borderId="0" xfId="3" applyFont="1" applyAlignment="1" applyProtection="1">
      <alignment horizontal="center" vertical="center"/>
      <protection locked="0"/>
    </xf>
    <xf numFmtId="20" fontId="8" fillId="0" borderId="0" xfId="3" applyNumberFormat="1" applyAlignment="1" applyProtection="1">
      <alignment vertical="center"/>
      <protection locked="0"/>
    </xf>
    <xf numFmtId="0" fontId="8" fillId="0" borderId="0" xfId="3" applyAlignment="1" applyProtection="1">
      <alignment horizontal="centerContinuous" vertical="center"/>
      <protection locked="0"/>
    </xf>
    <xf numFmtId="20" fontId="8" fillId="0" borderId="0" xfId="3" applyNumberFormat="1" applyAlignment="1" applyProtection="1">
      <alignment horizontal="centerContinuous" vertical="center"/>
      <protection locked="0"/>
    </xf>
    <xf numFmtId="0" fontId="10" fillId="0" borderId="0" xfId="3" applyFont="1" applyAlignment="1" applyProtection="1">
      <alignment horizontal="center" vertical="center"/>
      <protection locked="0"/>
    </xf>
    <xf numFmtId="0" fontId="8" fillId="0" borderId="0" xfId="3" applyAlignment="1" applyProtection="1">
      <alignment horizontal="left" vertical="center"/>
      <protection locked="0"/>
    </xf>
    <xf numFmtId="0" fontId="8" fillId="0" borderId="3" xfId="3" applyBorder="1" applyAlignment="1" applyProtection="1">
      <alignment vertical="center"/>
      <protection locked="0"/>
    </xf>
    <xf numFmtId="0" fontId="8" fillId="0" borderId="0" xfId="3" applyAlignment="1" applyProtection="1">
      <alignment horizontal="center" vertical="center" shrinkToFit="1"/>
      <protection locked="0"/>
    </xf>
    <xf numFmtId="0" fontId="8" fillId="0" borderId="0" xfId="3" applyAlignment="1" applyProtection="1">
      <alignment horizontal="center" vertical="center" wrapText="1"/>
      <protection locked="0"/>
    </xf>
    <xf numFmtId="0" fontId="8" fillId="0" borderId="4" xfId="3" applyBorder="1" applyAlignment="1" applyProtection="1">
      <alignment horizontal="center" vertical="center"/>
      <protection locked="0"/>
    </xf>
    <xf numFmtId="0" fontId="8" fillId="0" borderId="1" xfId="3" applyBorder="1" applyAlignment="1" applyProtection="1">
      <alignment horizontal="left" vertical="center"/>
      <protection locked="0"/>
    </xf>
    <xf numFmtId="0" fontId="8" fillId="0" borderId="1" xfId="3" applyBorder="1" applyAlignment="1" applyProtection="1">
      <alignment horizontal="center" vertical="center"/>
      <protection locked="0"/>
    </xf>
    <xf numFmtId="176" fontId="11" fillId="0" borderId="0" xfId="4" applyNumberFormat="1" applyFont="1" applyAlignment="1" applyProtection="1">
      <alignment horizontal="right" vertical="center"/>
      <protection locked="0"/>
    </xf>
    <xf numFmtId="182" fontId="8" fillId="0" borderId="5" xfId="3" applyNumberFormat="1" applyBorder="1" applyAlignment="1">
      <alignment horizontal="center" vertical="center"/>
    </xf>
    <xf numFmtId="0" fontId="8" fillId="0" borderId="7" xfId="3" applyBorder="1" applyAlignment="1" applyProtection="1">
      <alignment vertical="center"/>
      <protection locked="0"/>
    </xf>
    <xf numFmtId="0" fontId="8" fillId="0" borderId="8" xfId="3" applyBorder="1" applyAlignment="1" applyProtection="1">
      <alignment vertical="center"/>
      <protection locked="0"/>
    </xf>
    <xf numFmtId="0" fontId="8" fillId="0" borderId="9" xfId="3" applyBorder="1" applyAlignment="1" applyProtection="1">
      <alignment vertical="center"/>
      <protection locked="0"/>
    </xf>
    <xf numFmtId="0" fontId="8" fillId="0" borderId="10" xfId="3" applyBorder="1" applyAlignment="1" applyProtection="1">
      <alignment vertical="center"/>
      <protection locked="0"/>
    </xf>
    <xf numFmtId="0" fontId="8" fillId="0" borderId="11" xfId="3" applyBorder="1" applyAlignment="1" applyProtection="1">
      <alignment horizontal="center" vertical="center"/>
      <protection locked="0"/>
    </xf>
    <xf numFmtId="0" fontId="8" fillId="0" borderId="12" xfId="3" applyBorder="1" applyAlignment="1" applyProtection="1">
      <alignment horizontal="center" vertical="center"/>
      <protection locked="0"/>
    </xf>
    <xf numFmtId="0" fontId="8" fillId="0" borderId="14" xfId="3" applyBorder="1" applyAlignment="1" applyProtection="1">
      <alignment horizontal="center" vertical="center"/>
      <protection locked="0"/>
    </xf>
    <xf numFmtId="0" fontId="8" fillId="0" borderId="5" xfId="3" applyBorder="1" applyAlignment="1" applyProtection="1">
      <alignment horizontal="left" vertical="center"/>
      <protection locked="0"/>
    </xf>
    <xf numFmtId="0" fontId="8" fillId="0" borderId="5" xfId="3" applyBorder="1" applyAlignment="1" applyProtection="1">
      <alignment horizontal="center" vertical="center"/>
      <protection locked="0"/>
    </xf>
    <xf numFmtId="0" fontId="8" fillId="0" borderId="9" xfId="3" applyBorder="1" applyAlignment="1" applyProtection="1">
      <alignment horizontal="center" vertical="center" wrapText="1"/>
      <protection locked="0"/>
    </xf>
    <xf numFmtId="0" fontId="8" fillId="0" borderId="15" xfId="3" applyBorder="1" applyAlignment="1" applyProtection="1">
      <alignment horizontal="center" vertical="center"/>
      <protection locked="0"/>
    </xf>
    <xf numFmtId="0" fontId="8" fillId="0" borderId="16" xfId="3" applyBorder="1" applyAlignment="1" applyProtection="1">
      <alignment horizontal="center" vertical="center" wrapText="1"/>
      <protection locked="0"/>
    </xf>
    <xf numFmtId="0" fontId="8" fillId="0" borderId="17" xfId="3" applyBorder="1" applyAlignment="1" applyProtection="1">
      <alignment vertical="center"/>
      <protection locked="0"/>
    </xf>
    <xf numFmtId="0" fontId="8" fillId="0" borderId="18" xfId="3" applyBorder="1" applyAlignment="1" applyProtection="1">
      <alignment vertical="center"/>
      <protection locked="0"/>
    </xf>
    <xf numFmtId="0" fontId="8" fillId="0" borderId="19" xfId="3" applyBorder="1" applyAlignment="1" applyProtection="1">
      <alignment horizontal="center" vertical="center"/>
      <protection locked="0"/>
    </xf>
    <xf numFmtId="0" fontId="15" fillId="0" borderId="20" xfId="3" applyFont="1" applyBorder="1" applyAlignment="1" applyProtection="1">
      <alignment horizontal="center" vertical="center"/>
      <protection locked="0"/>
    </xf>
    <xf numFmtId="0" fontId="8" fillId="0" borderId="21" xfId="3" applyBorder="1" applyAlignment="1" applyProtection="1">
      <alignment vertical="center"/>
      <protection locked="0"/>
    </xf>
    <xf numFmtId="0" fontId="8" fillId="0" borderId="19" xfId="3" applyBorder="1" applyAlignment="1" applyProtection="1">
      <alignment vertical="center"/>
      <protection locked="0"/>
    </xf>
    <xf numFmtId="0" fontId="8" fillId="0" borderId="19" xfId="3" applyBorder="1" applyAlignment="1" applyProtection="1">
      <alignment horizontal="left" vertical="center"/>
      <protection locked="0"/>
    </xf>
    <xf numFmtId="0" fontId="8" fillId="0" borderId="21" xfId="3" applyBorder="1" applyAlignment="1" applyProtection="1">
      <alignment horizontal="left" vertical="center"/>
      <protection locked="0"/>
    </xf>
    <xf numFmtId="0" fontId="0" fillId="0" borderId="0" xfId="0" applyProtection="1">
      <protection locked="0"/>
    </xf>
    <xf numFmtId="0" fontId="8" fillId="0" borderId="14" xfId="3" applyBorder="1" applyAlignment="1" applyProtection="1">
      <alignment vertical="center"/>
      <protection locked="0"/>
    </xf>
    <xf numFmtId="9" fontId="8" fillId="0" borderId="11" xfId="3" applyNumberFormat="1" applyBorder="1" applyAlignment="1" applyProtection="1">
      <alignment horizontal="center" vertical="center"/>
      <protection locked="0"/>
    </xf>
    <xf numFmtId="0" fontId="8" fillId="0" borderId="15" xfId="3" applyBorder="1" applyAlignment="1" applyProtection="1">
      <alignment vertical="center"/>
      <protection locked="0"/>
    </xf>
    <xf numFmtId="9" fontId="8" fillId="0" borderId="15" xfId="3" applyNumberFormat="1" applyBorder="1" applyAlignment="1" applyProtection="1">
      <alignment horizontal="center" vertical="center"/>
      <protection locked="0"/>
    </xf>
    <xf numFmtId="0" fontId="8" fillId="0" borderId="20" xfId="3" applyBorder="1" applyAlignment="1" applyProtection="1">
      <alignment horizontal="center" vertical="center"/>
      <protection locked="0"/>
    </xf>
    <xf numFmtId="0" fontId="8" fillId="0" borderId="3" xfId="3" applyBorder="1" applyAlignment="1" applyProtection="1">
      <alignment horizontal="center" vertical="center"/>
      <protection locked="0"/>
    </xf>
    <xf numFmtId="0" fontId="8" fillId="0" borderId="4" xfId="3" applyBorder="1" applyAlignment="1" applyProtection="1">
      <alignment vertical="center"/>
      <protection locked="0"/>
    </xf>
    <xf numFmtId="0" fontId="8" fillId="0" borderId="2" xfId="3" applyBorder="1" applyAlignment="1" applyProtection="1">
      <alignment vertical="center"/>
      <protection locked="0"/>
    </xf>
    <xf numFmtId="0" fontId="8" fillId="0" borderId="2" xfId="3" applyBorder="1" applyAlignment="1" applyProtection="1">
      <alignment horizontal="center" vertical="center"/>
      <protection locked="0"/>
    </xf>
    <xf numFmtId="0" fontId="8" fillId="0" borderId="25" xfId="3" applyBorder="1" applyAlignment="1" applyProtection="1">
      <alignment vertical="center"/>
      <protection locked="0"/>
    </xf>
    <xf numFmtId="0" fontId="8" fillId="0" borderId="23" xfId="3" applyBorder="1" applyAlignment="1" applyProtection="1">
      <alignment vertical="center"/>
      <protection locked="0"/>
    </xf>
    <xf numFmtId="0" fontId="8" fillId="0" borderId="20" xfId="3" applyBorder="1" applyAlignment="1" applyProtection="1">
      <alignment vertical="center"/>
      <protection locked="0"/>
    </xf>
    <xf numFmtId="0" fontId="8" fillId="0" borderId="1" xfId="3" applyBorder="1" applyAlignment="1" applyProtection="1">
      <alignment vertical="center"/>
      <protection locked="0"/>
    </xf>
    <xf numFmtId="0" fontId="9" fillId="0" borderId="0" xfId="2" applyFill="1" applyAlignment="1" applyProtection="1">
      <alignment vertical="center"/>
      <protection locked="0"/>
    </xf>
    <xf numFmtId="0" fontId="8" fillId="0" borderId="4" xfId="3" applyBorder="1" applyAlignment="1" applyProtection="1">
      <alignment horizontal="centerContinuous" vertical="center"/>
      <protection locked="0"/>
    </xf>
    <xf numFmtId="49" fontId="8" fillId="0" borderId="5" xfId="3" applyNumberFormat="1" applyBorder="1" applyAlignment="1" applyProtection="1">
      <alignment horizontal="center" vertical="center"/>
      <protection locked="0"/>
    </xf>
    <xf numFmtId="49" fontId="8" fillId="0" borderId="5" xfId="3" applyNumberFormat="1" applyBorder="1" applyAlignment="1">
      <alignment horizontal="center" vertical="center"/>
    </xf>
    <xf numFmtId="180" fontId="16" fillId="0" borderId="14" xfId="3" applyNumberFormat="1" applyFont="1" applyBorder="1" applyAlignment="1">
      <alignment horizontal="center" vertical="center"/>
    </xf>
    <xf numFmtId="0" fontId="0" fillId="0" borderId="0" xfId="0" applyAlignment="1">
      <alignment horizontal="right"/>
    </xf>
    <xf numFmtId="0" fontId="0" fillId="0" borderId="0" xfId="0" applyAlignment="1">
      <alignment horizontal="center"/>
    </xf>
    <xf numFmtId="0" fontId="18" fillId="0" borderId="0" xfId="0" applyFont="1"/>
    <xf numFmtId="177" fontId="0" fillId="0" borderId="26" xfId="0" applyNumberFormat="1" applyBorder="1"/>
    <xf numFmtId="0" fontId="0" fillId="0" borderId="0" xfId="0" applyAlignment="1">
      <alignment vertical="center"/>
    </xf>
    <xf numFmtId="0" fontId="0" fillId="2" borderId="0" xfId="0" applyFill="1"/>
    <xf numFmtId="49" fontId="0" fillId="3" borderId="0" xfId="0" applyNumberFormat="1" applyFill="1"/>
    <xf numFmtId="0" fontId="0" fillId="0" borderId="27" xfId="0" applyBorder="1" applyAlignment="1">
      <alignment horizontal="center"/>
    </xf>
    <xf numFmtId="0" fontId="0" fillId="3" borderId="0" xfId="0" applyFill="1"/>
    <xf numFmtId="177" fontId="8" fillId="3" borderId="13" xfId="3" applyNumberFormat="1" applyFill="1" applyBorder="1" applyAlignment="1" applyProtection="1">
      <alignment horizontal="center" vertical="center"/>
      <protection locked="0"/>
    </xf>
    <xf numFmtId="177" fontId="8" fillId="4" borderId="6" xfId="3" applyNumberFormat="1" applyFill="1" applyBorder="1" applyAlignment="1" applyProtection="1">
      <alignment horizontal="center" vertical="center"/>
      <protection locked="0"/>
    </xf>
    <xf numFmtId="9" fontId="8" fillId="3" borderId="3" xfId="1" applyFont="1" applyFill="1" applyBorder="1" applyAlignment="1" applyProtection="1">
      <alignment horizontal="center" vertical="center"/>
      <protection locked="0"/>
    </xf>
    <xf numFmtId="0" fontId="0" fillId="0" borderId="28" xfId="0" applyBorder="1" applyAlignment="1">
      <alignment horizontal="center"/>
    </xf>
    <xf numFmtId="177" fontId="8" fillId="4" borderId="13" xfId="3" applyNumberFormat="1" applyFill="1" applyBorder="1" applyAlignment="1" applyProtection="1">
      <alignment horizontal="center" vertical="center"/>
      <protection locked="0"/>
    </xf>
    <xf numFmtId="177" fontId="8" fillId="3" borderId="5" xfId="3" applyNumberFormat="1" applyFill="1" applyBorder="1" applyAlignment="1" applyProtection="1">
      <alignment horizontal="center" vertical="center"/>
      <protection locked="0"/>
    </xf>
    <xf numFmtId="0" fontId="0" fillId="0" borderId="29" xfId="0" applyBorder="1" applyAlignment="1">
      <alignment horizontal="center"/>
    </xf>
    <xf numFmtId="177" fontId="0" fillId="3" borderId="30" xfId="0" applyNumberFormat="1" applyFill="1" applyBorder="1"/>
    <xf numFmtId="0" fontId="0" fillId="3" borderId="31" xfId="0" applyFill="1" applyBorder="1"/>
    <xf numFmtId="49" fontId="0" fillId="3" borderId="32" xfId="0" applyNumberFormat="1" applyFill="1" applyBorder="1"/>
    <xf numFmtId="0" fontId="0" fillId="3" borderId="0" xfId="0" applyFill="1" applyAlignment="1">
      <alignment horizontal="center"/>
    </xf>
    <xf numFmtId="0" fontId="0" fillId="3" borderId="33" xfId="0" applyFill="1" applyBorder="1"/>
    <xf numFmtId="177" fontId="8" fillId="3" borderId="34" xfId="3" applyNumberFormat="1" applyFill="1" applyBorder="1" applyAlignment="1" applyProtection="1">
      <alignment horizontal="center" vertical="center"/>
      <protection locked="0"/>
    </xf>
    <xf numFmtId="177" fontId="8" fillId="3" borderId="12" xfId="3" applyNumberFormat="1" applyFill="1" applyBorder="1" applyAlignment="1" applyProtection="1">
      <alignment horizontal="center" vertical="center"/>
      <protection locked="0"/>
    </xf>
    <xf numFmtId="0" fontId="8" fillId="0" borderId="11" xfId="3" applyBorder="1" applyAlignment="1">
      <alignment horizontal="center" vertical="center" shrinkToFit="1"/>
    </xf>
    <xf numFmtId="0" fontId="8" fillId="0" borderId="11" xfId="3" applyBorder="1" applyAlignment="1">
      <alignment vertical="center" shrinkToFit="1"/>
    </xf>
    <xf numFmtId="0" fontId="8" fillId="0" borderId="12" xfId="3" applyBorder="1" applyAlignment="1">
      <alignment vertical="center" shrinkToFit="1"/>
    </xf>
    <xf numFmtId="0" fontId="0" fillId="3" borderId="0" xfId="0" applyFill="1" applyProtection="1">
      <protection locked="0"/>
    </xf>
    <xf numFmtId="177" fontId="8" fillId="3" borderId="13" xfId="3" applyNumberFormat="1" applyFill="1" applyBorder="1" applyAlignment="1">
      <alignment horizontal="center" vertical="center"/>
    </xf>
    <xf numFmtId="177" fontId="8" fillId="4" borderId="6" xfId="3" applyNumberFormat="1" applyFill="1" applyBorder="1" applyAlignment="1">
      <alignment horizontal="center" vertical="center"/>
    </xf>
    <xf numFmtId="177" fontId="8" fillId="4" borderId="13" xfId="3" applyNumberFormat="1" applyFill="1" applyBorder="1" applyAlignment="1">
      <alignment horizontal="center" vertical="center"/>
    </xf>
    <xf numFmtId="177" fontId="8" fillId="3" borderId="5" xfId="3" applyNumberFormat="1" applyFill="1" applyBorder="1" applyAlignment="1">
      <alignment horizontal="center" vertical="center"/>
    </xf>
    <xf numFmtId="0" fontId="0" fillId="0" borderId="0" xfId="0" applyAlignment="1" applyProtection="1">
      <alignment horizontal="center"/>
      <protection locked="0"/>
    </xf>
    <xf numFmtId="0" fontId="21" fillId="0" borderId="0" xfId="0" applyFont="1" applyProtection="1">
      <protection locked="0"/>
    </xf>
    <xf numFmtId="0" fontId="18" fillId="0" borderId="0" xfId="0" applyFont="1" applyProtection="1">
      <protection locked="0"/>
    </xf>
    <xf numFmtId="0" fontId="0" fillId="0" borderId="0" xfId="0" applyAlignment="1" applyProtection="1">
      <alignment horizontal="right"/>
      <protection locked="0"/>
    </xf>
    <xf numFmtId="0" fontId="0" fillId="0" borderId="0" xfId="0" applyAlignment="1" applyProtection="1">
      <alignment vertical="center"/>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3" borderId="31" xfId="0" applyFill="1" applyBorder="1" applyProtection="1">
      <protection locked="0"/>
    </xf>
    <xf numFmtId="177" fontId="8" fillId="3" borderId="15" xfId="3" applyNumberFormat="1" applyFill="1" applyBorder="1" applyAlignment="1">
      <alignment horizontal="center" vertical="center"/>
    </xf>
    <xf numFmtId="177" fontId="8" fillId="3" borderId="12" xfId="3" applyNumberFormat="1" applyFill="1" applyBorder="1" applyAlignment="1">
      <alignment horizontal="center" vertical="center"/>
    </xf>
    <xf numFmtId="0" fontId="0" fillId="3" borderId="35" xfId="0" applyFill="1" applyBorder="1"/>
    <xf numFmtId="0" fontId="0" fillId="3" borderId="0" xfId="0" applyFill="1" applyAlignment="1" applyProtection="1">
      <alignment horizontal="center"/>
      <protection locked="0"/>
    </xf>
    <xf numFmtId="177" fontId="8" fillId="3" borderId="0" xfId="3" applyNumberFormat="1" applyFill="1" applyAlignment="1" applyProtection="1">
      <alignment horizontal="center" vertical="center" wrapText="1"/>
      <protection locked="0"/>
    </xf>
    <xf numFmtId="0" fontId="0" fillId="0" borderId="26" xfId="0" applyBorder="1" applyProtection="1">
      <protection locked="0"/>
    </xf>
    <xf numFmtId="177" fontId="0" fillId="3" borderId="26" xfId="0" applyNumberFormat="1" applyFill="1" applyBorder="1"/>
    <xf numFmtId="0" fontId="22" fillId="0" borderId="0" xfId="0" applyFont="1"/>
    <xf numFmtId="177" fontId="8" fillId="3" borderId="0" xfId="3" applyNumberFormat="1" applyFill="1" applyAlignment="1">
      <alignment horizontal="center" vertical="center" wrapText="1"/>
    </xf>
    <xf numFmtId="0" fontId="22" fillId="0" borderId="0" xfId="0" applyFont="1" applyProtection="1">
      <protection locked="0"/>
    </xf>
    <xf numFmtId="0" fontId="0" fillId="0" borderId="5" xfId="0" applyBorder="1" applyAlignment="1" applyProtection="1">
      <alignment horizontal="center"/>
      <protection locked="0"/>
    </xf>
    <xf numFmtId="177" fontId="8" fillId="4" borderId="5" xfId="3" applyNumberFormat="1" applyFill="1" applyBorder="1" applyAlignment="1">
      <alignment horizontal="center" vertical="center"/>
    </xf>
    <xf numFmtId="0" fontId="23" fillId="5" borderId="5" xfId="0" applyFont="1" applyFill="1" applyBorder="1" applyAlignment="1">
      <alignment horizontal="center" vertical="center"/>
    </xf>
    <xf numFmtId="0" fontId="20" fillId="6" borderId="5" xfId="0" applyFont="1" applyFill="1" applyBorder="1" applyAlignment="1">
      <alignment horizontal="center" vertical="center"/>
    </xf>
    <xf numFmtId="180" fontId="16" fillId="0" borderId="0" xfId="3" applyNumberFormat="1" applyFont="1" applyAlignment="1" applyProtection="1">
      <alignment horizontal="center" vertical="center"/>
      <protection locked="0"/>
    </xf>
    <xf numFmtId="182" fontId="8" fillId="0" borderId="0" xfId="3" applyNumberFormat="1" applyAlignment="1">
      <alignment horizontal="center" vertical="center"/>
    </xf>
    <xf numFmtId="0" fontId="8" fillId="0" borderId="5" xfId="3" applyBorder="1" applyAlignment="1" applyProtection="1">
      <alignment horizontal="left" vertical="center" shrinkToFit="1"/>
      <protection locked="0"/>
    </xf>
    <xf numFmtId="178" fontId="0" fillId="0" borderId="5" xfId="0" applyNumberFormat="1" applyBorder="1"/>
    <xf numFmtId="0" fontId="0" fillId="0" borderId="0" xfId="0" applyAlignment="1">
      <alignment shrinkToFit="1"/>
    </xf>
    <xf numFmtId="0" fontId="0" fillId="0" borderId="44" xfId="0" applyBorder="1" applyAlignment="1" applyProtection="1">
      <alignment horizontal="center"/>
      <protection locked="0"/>
    </xf>
    <xf numFmtId="0" fontId="0" fillId="0" borderId="44" xfId="0" applyBorder="1"/>
    <xf numFmtId="0" fontId="0" fillId="0" borderId="19" xfId="0" applyBorder="1" applyAlignment="1">
      <alignment shrinkToFit="1"/>
    </xf>
    <xf numFmtId="0" fontId="25" fillId="0" borderId="0" xfId="0" applyFont="1"/>
    <xf numFmtId="180" fontId="16" fillId="0" borderId="0" xfId="3" applyNumberFormat="1" applyFont="1" applyAlignment="1">
      <alignment horizontal="center" vertical="center"/>
    </xf>
    <xf numFmtId="49" fontId="8" fillId="0" borderId="0" xfId="3" applyNumberFormat="1" applyAlignment="1">
      <alignment horizontal="center" vertical="center"/>
    </xf>
    <xf numFmtId="0" fontId="0" fillId="0" borderId="45" xfId="0" applyBorder="1" applyAlignment="1" applyProtection="1">
      <alignment horizontal="center"/>
      <protection locked="0"/>
    </xf>
    <xf numFmtId="183" fontId="18" fillId="0" borderId="0" xfId="0" applyNumberFormat="1" applyFont="1" applyAlignment="1" applyProtection="1">
      <alignment horizontal="left"/>
      <protection locked="0"/>
    </xf>
    <xf numFmtId="0" fontId="18" fillId="0" borderId="0" xfId="0" applyFont="1" applyAlignment="1">
      <alignment horizontal="right"/>
    </xf>
    <xf numFmtId="0" fontId="0" fillId="3" borderId="0" xfId="0" applyFill="1" applyAlignment="1">
      <alignment shrinkToFit="1"/>
    </xf>
    <xf numFmtId="0" fontId="0" fillId="0" borderId="0" xfId="0" applyAlignment="1" applyProtection="1">
      <alignment horizontal="center" vertical="center"/>
      <protection locked="0"/>
    </xf>
    <xf numFmtId="177" fontId="8" fillId="3" borderId="14" xfId="3" applyNumberFormat="1" applyFill="1" applyBorder="1" applyAlignment="1">
      <alignment horizontal="center" vertical="center"/>
    </xf>
    <xf numFmtId="177" fontId="16" fillId="4" borderId="26" xfId="3" applyNumberFormat="1" applyFont="1" applyFill="1" applyBorder="1" applyAlignment="1">
      <alignment horizontal="center" vertical="center"/>
    </xf>
    <xf numFmtId="184" fontId="18" fillId="0" borderId="0" xfId="0" applyNumberFormat="1" applyFont="1" applyProtection="1">
      <protection locked="0"/>
    </xf>
    <xf numFmtId="0" fontId="0" fillId="0" borderId="46" xfId="0" applyBorder="1"/>
    <xf numFmtId="177" fontId="8" fillId="0" borderId="5" xfId="3" applyNumberFormat="1" applyBorder="1" applyAlignment="1">
      <alignment horizontal="center" vertical="center"/>
    </xf>
    <xf numFmtId="177" fontId="8" fillId="0" borderId="21" xfId="3" applyNumberFormat="1" applyBorder="1" applyAlignment="1">
      <alignment horizontal="center" vertical="center"/>
    </xf>
    <xf numFmtId="185" fontId="0" fillId="0" borderId="0" xfId="0" applyNumberFormat="1"/>
    <xf numFmtId="186" fontId="0" fillId="0" borderId="0" xfId="0" applyNumberFormat="1"/>
    <xf numFmtId="0" fontId="18" fillId="7" borderId="26" xfId="0" applyFont="1" applyFill="1" applyBorder="1" applyAlignment="1" applyProtection="1">
      <alignment horizontal="center" vertical="center"/>
      <protection locked="0"/>
    </xf>
    <xf numFmtId="0" fontId="0" fillId="7" borderId="26" xfId="0" applyFill="1" applyBorder="1" applyAlignment="1" applyProtection="1">
      <alignment horizontal="center" vertical="center"/>
      <protection locked="0"/>
    </xf>
    <xf numFmtId="0" fontId="0" fillId="0" borderId="0" xfId="0" applyAlignment="1">
      <alignment horizontal="center" vertical="center"/>
    </xf>
    <xf numFmtId="177" fontId="0" fillId="0" borderId="0" xfId="0" applyNumberFormat="1"/>
    <xf numFmtId="0" fontId="0" fillId="3" borderId="45" xfId="0" applyFill="1" applyBorder="1" applyAlignment="1" applyProtection="1">
      <alignment horizontal="center"/>
      <protection locked="0"/>
    </xf>
    <xf numFmtId="0" fontId="0" fillId="3" borderId="44" xfId="0" applyFill="1" applyBorder="1" applyAlignment="1" applyProtection="1">
      <alignment horizontal="center" vertical="center"/>
      <protection locked="0"/>
    </xf>
    <xf numFmtId="177" fontId="0" fillId="3" borderId="44" xfId="0" applyNumberFormat="1" applyFill="1" applyBorder="1"/>
    <xf numFmtId="0" fontId="0" fillId="3" borderId="44" xfId="0" applyFill="1" applyBorder="1" applyAlignment="1" applyProtection="1">
      <alignment horizontal="center"/>
      <protection locked="0"/>
    </xf>
    <xf numFmtId="0" fontId="0" fillId="3" borderId="44" xfId="0" applyFill="1" applyBorder="1" applyAlignment="1">
      <alignment horizontal="center" vertical="center"/>
    </xf>
    <xf numFmtId="0" fontId="0" fillId="3" borderId="44" xfId="0" applyFill="1" applyBorder="1"/>
    <xf numFmtId="0" fontId="8" fillId="0" borderId="12" xfId="3" applyBorder="1" applyAlignment="1" applyProtection="1">
      <alignment vertical="center" shrinkToFit="1"/>
      <protection locked="0"/>
    </xf>
    <xf numFmtId="0" fontId="0" fillId="0" borderId="0" xfId="0" applyAlignment="1">
      <alignment horizontal="center" vertical="center" shrinkToFit="1"/>
    </xf>
    <xf numFmtId="0" fontId="29" fillId="0" borderId="0" xfId="0" applyFont="1" applyAlignment="1">
      <alignment horizontal="right"/>
    </xf>
    <xf numFmtId="178" fontId="0" fillId="0" borderId="5" xfId="0" applyNumberFormat="1" applyBorder="1" applyAlignment="1">
      <alignment horizontal="center"/>
    </xf>
    <xf numFmtId="178" fontId="0" fillId="0" borderId="21" xfId="0" applyNumberFormat="1" applyBorder="1" applyAlignment="1">
      <alignment horizontal="center"/>
    </xf>
    <xf numFmtId="0" fontId="29" fillId="0" borderId="0" xfId="0" applyFont="1" applyProtection="1">
      <protection locked="0"/>
    </xf>
    <xf numFmtId="0" fontId="0" fillId="0" borderId="46" xfId="0" applyBorder="1" applyProtection="1">
      <protection locked="0"/>
    </xf>
    <xf numFmtId="0" fontId="18" fillId="0" borderId="0" xfId="0" applyFont="1" applyAlignment="1" applyProtection="1">
      <alignment horizontal="center"/>
      <protection locked="0"/>
    </xf>
    <xf numFmtId="0" fontId="0" fillId="0" borderId="25" xfId="0" applyBorder="1" applyProtection="1">
      <protection hidden="1"/>
    </xf>
    <xf numFmtId="0" fontId="0" fillId="0" borderId="20" xfId="0" applyBorder="1" applyAlignment="1" applyProtection="1">
      <alignment vertical="center"/>
      <protection hidden="1"/>
    </xf>
    <xf numFmtId="0" fontId="0" fillId="0" borderId="19" xfId="0" applyBorder="1" applyAlignment="1" applyProtection="1">
      <alignment horizontal="right" vertical="center"/>
      <protection hidden="1"/>
    </xf>
    <xf numFmtId="187" fontId="31" fillId="0" borderId="54" xfId="0" applyNumberFormat="1" applyFont="1" applyBorder="1" applyProtection="1">
      <protection hidden="1"/>
    </xf>
    <xf numFmtId="0" fontId="33" fillId="0" borderId="55" xfId="0" applyFont="1" applyBorder="1" applyProtection="1">
      <protection hidden="1"/>
    </xf>
    <xf numFmtId="0" fontId="33" fillId="0" borderId="52" xfId="0" applyFont="1" applyBorder="1" applyProtection="1">
      <protection hidden="1"/>
    </xf>
    <xf numFmtId="0" fontId="33" fillId="0" borderId="57" xfId="0" applyFont="1" applyBorder="1" applyProtection="1">
      <protection hidden="1"/>
    </xf>
    <xf numFmtId="187" fontId="30" fillId="0" borderId="61" xfId="0" applyNumberFormat="1" applyFont="1" applyBorder="1" applyAlignment="1" applyProtection="1">
      <alignment vertical="top"/>
      <protection hidden="1"/>
    </xf>
    <xf numFmtId="0" fontId="32" fillId="0" borderId="62" xfId="0" applyFont="1" applyBorder="1" applyProtection="1">
      <protection hidden="1"/>
    </xf>
    <xf numFmtId="0" fontId="33" fillId="0" borderId="62" xfId="0" applyFont="1" applyBorder="1" applyProtection="1">
      <protection hidden="1"/>
    </xf>
    <xf numFmtId="0" fontId="33" fillId="0" borderId="61" xfId="0" applyFont="1" applyBorder="1" applyAlignment="1" applyProtection="1">
      <alignment horizontal="centerContinuous"/>
      <protection hidden="1"/>
    </xf>
    <xf numFmtId="0" fontId="33" fillId="0" borderId="63" xfId="0" applyFont="1" applyBorder="1" applyAlignment="1" applyProtection="1">
      <alignment horizontal="centerContinuous"/>
      <protection hidden="1"/>
    </xf>
    <xf numFmtId="20" fontId="31" fillId="0" borderId="66" xfId="0" applyNumberFormat="1" applyFont="1" applyBorder="1" applyProtection="1">
      <protection locked="0"/>
    </xf>
    <xf numFmtId="0" fontId="31" fillId="0" borderId="66" xfId="0" applyFont="1" applyBorder="1" applyProtection="1">
      <protection hidden="1"/>
    </xf>
    <xf numFmtId="188" fontId="0" fillId="0" borderId="66" xfId="0" applyNumberFormat="1" applyBorder="1" applyAlignment="1" applyProtection="1">
      <alignment horizontal="center"/>
      <protection hidden="1"/>
    </xf>
    <xf numFmtId="0" fontId="35" fillId="0" borderId="66" xfId="0" applyFont="1" applyBorder="1" applyProtection="1">
      <protection hidden="1"/>
    </xf>
    <xf numFmtId="0" fontId="30" fillId="0" borderId="74" xfId="0" applyFont="1" applyBorder="1" applyAlignment="1" applyProtection="1">
      <alignment horizontal="center" vertical="center"/>
      <protection hidden="1"/>
    </xf>
    <xf numFmtId="0" fontId="0" fillId="0" borderId="0" xfId="0" applyProtection="1">
      <protection locked="0" hidden="1"/>
    </xf>
    <xf numFmtId="0" fontId="0" fillId="0" borderId="21" xfId="0" applyBorder="1" applyAlignment="1" applyProtection="1">
      <alignment horizontal="centerContinuous" vertical="center"/>
      <protection locked="0" hidden="1"/>
    </xf>
    <xf numFmtId="0" fontId="0" fillId="0" borderId="20" xfId="0" applyBorder="1" applyAlignment="1" applyProtection="1">
      <alignment horizontal="centerContinuous" vertical="center"/>
      <protection locked="0" hidden="1"/>
    </xf>
    <xf numFmtId="0" fontId="0" fillId="0" borderId="19" xfId="0" applyBorder="1" applyAlignment="1" applyProtection="1">
      <alignment horizontal="centerContinuous" vertical="center"/>
      <protection locked="0" hidden="1"/>
    </xf>
    <xf numFmtId="0" fontId="30" fillId="0" borderId="0" xfId="0" applyFont="1" applyProtection="1">
      <protection locked="0" hidden="1"/>
    </xf>
    <xf numFmtId="0" fontId="0" fillId="0" borderId="0" xfId="0" applyAlignment="1" applyProtection="1">
      <alignment vertical="center"/>
      <protection locked="0" hidden="1"/>
    </xf>
    <xf numFmtId="0" fontId="0" fillId="0" borderId="49" xfId="0" applyBorder="1" applyAlignment="1" applyProtection="1">
      <alignment horizontal="centerContinuous" vertical="center"/>
      <protection locked="0" hidden="1"/>
    </xf>
    <xf numFmtId="0" fontId="0" fillId="0" borderId="50" xfId="0" applyBorder="1" applyAlignment="1" applyProtection="1">
      <alignment horizontal="centerContinuous" vertical="center"/>
      <protection locked="0" hidden="1"/>
    </xf>
    <xf numFmtId="0" fontId="0" fillId="0" borderId="21" xfId="0" applyBorder="1" applyAlignment="1" applyProtection="1">
      <alignment vertical="center"/>
      <protection locked="0" hidden="1"/>
    </xf>
    <xf numFmtId="0" fontId="0" fillId="0" borderId="20" xfId="0" applyBorder="1" applyAlignment="1" applyProtection="1">
      <alignment vertical="center"/>
      <protection locked="0" hidden="1"/>
    </xf>
    <xf numFmtId="0" fontId="0" fillId="0" borderId="19" xfId="0" applyBorder="1" applyAlignment="1" applyProtection="1">
      <alignment vertical="center"/>
      <protection locked="0" hidden="1"/>
    </xf>
    <xf numFmtId="0" fontId="0" fillId="0" borderId="4" xfId="0" applyBorder="1" applyProtection="1">
      <protection locked="0" hidden="1"/>
    </xf>
    <xf numFmtId="0" fontId="0" fillId="0" borderId="20" xfId="0" applyBorder="1" applyProtection="1">
      <protection locked="0" hidden="1"/>
    </xf>
    <xf numFmtId="0" fontId="0" fillId="0" borderId="1" xfId="0" applyBorder="1" applyAlignment="1" applyProtection="1">
      <alignment vertical="center"/>
      <protection locked="0" hidden="1"/>
    </xf>
    <xf numFmtId="0" fontId="32" fillId="0" borderId="0" xfId="0" applyFont="1" applyProtection="1">
      <protection locked="0" hidden="1"/>
    </xf>
    <xf numFmtId="0" fontId="30" fillId="0" borderId="0" xfId="0" applyFont="1" applyAlignment="1" applyProtection="1">
      <alignment vertical="top"/>
      <protection locked="0" hidden="1"/>
    </xf>
    <xf numFmtId="0" fontId="33" fillId="0" borderId="0" xfId="0" applyFont="1" applyProtection="1">
      <protection locked="0" hidden="1"/>
    </xf>
    <xf numFmtId="0" fontId="32" fillId="8" borderId="51" xfId="0" applyFont="1" applyFill="1" applyBorder="1" applyProtection="1">
      <protection locked="0" hidden="1"/>
    </xf>
    <xf numFmtId="0" fontId="32" fillId="8" borderId="52" xfId="0" applyFont="1" applyFill="1" applyBorder="1" applyProtection="1">
      <protection locked="0" hidden="1"/>
    </xf>
    <xf numFmtId="0" fontId="32" fillId="8" borderId="53" xfId="0" applyFont="1" applyFill="1" applyBorder="1" applyProtection="1">
      <protection locked="0" hidden="1"/>
    </xf>
    <xf numFmtId="0" fontId="30" fillId="0" borderId="54" xfId="0" applyFont="1" applyBorder="1" applyProtection="1">
      <protection locked="0" hidden="1"/>
    </xf>
    <xf numFmtId="0" fontId="32" fillId="8" borderId="54" xfId="0" applyFont="1" applyFill="1" applyBorder="1" applyProtection="1">
      <protection locked="0" hidden="1"/>
    </xf>
    <xf numFmtId="0" fontId="31" fillId="0" borderId="55" xfId="0" applyFont="1" applyBorder="1" applyAlignment="1" applyProtection="1">
      <alignment horizontal="left"/>
      <protection hidden="1"/>
    </xf>
    <xf numFmtId="0" fontId="30" fillId="0" borderId="56" xfId="0" applyFont="1" applyBorder="1" applyAlignment="1" applyProtection="1">
      <alignment vertical="top"/>
      <protection hidden="1"/>
    </xf>
    <xf numFmtId="2" fontId="30" fillId="8" borderId="58" xfId="0" applyNumberFormat="1" applyFont="1" applyFill="1" applyBorder="1" applyAlignment="1" applyProtection="1">
      <alignment vertical="top"/>
      <protection locked="0" hidden="1"/>
    </xf>
    <xf numFmtId="2" fontId="30" fillId="8" borderId="59" xfId="0" applyNumberFormat="1" applyFont="1" applyFill="1" applyBorder="1" applyAlignment="1" applyProtection="1">
      <alignment vertical="top"/>
      <protection locked="0" hidden="1"/>
    </xf>
    <xf numFmtId="2" fontId="30" fillId="8" borderId="60" xfId="0" applyNumberFormat="1" applyFont="1" applyFill="1" applyBorder="1" applyAlignment="1" applyProtection="1">
      <alignment vertical="top"/>
      <protection locked="0" hidden="1"/>
    </xf>
    <xf numFmtId="2" fontId="30" fillId="0" borderId="61" xfId="0" applyNumberFormat="1" applyFont="1" applyBorder="1" applyAlignment="1" applyProtection="1">
      <alignment vertical="top"/>
      <protection locked="0" hidden="1"/>
    </xf>
    <xf numFmtId="0" fontId="32" fillId="8" borderId="61" xfId="0" applyFont="1" applyFill="1" applyBorder="1" applyProtection="1">
      <protection locked="0" hidden="1"/>
    </xf>
    <xf numFmtId="2" fontId="32" fillId="8" borderId="61" xfId="0" applyNumberFormat="1" applyFont="1" applyFill="1" applyBorder="1" applyProtection="1">
      <protection locked="0" hidden="1"/>
    </xf>
    <xf numFmtId="2" fontId="31" fillId="0" borderId="66" xfId="0" applyNumberFormat="1" applyFont="1" applyBorder="1" applyProtection="1">
      <protection locked="0" hidden="1"/>
    </xf>
    <xf numFmtId="187" fontId="31" fillId="0" borderId="66" xfId="0" applyNumberFormat="1" applyFont="1" applyBorder="1" applyProtection="1">
      <protection hidden="1"/>
    </xf>
    <xf numFmtId="0" fontId="34" fillId="0" borderId="66" xfId="0" applyFont="1" applyBorder="1" applyProtection="1">
      <protection locked="0" hidden="1"/>
    </xf>
    <xf numFmtId="20" fontId="0" fillId="0" borderId="0" xfId="0" applyNumberFormat="1" applyProtection="1">
      <protection locked="0" hidden="1"/>
    </xf>
    <xf numFmtId="0" fontId="30" fillId="0" borderId="70" xfId="0" applyFont="1" applyBorder="1" applyAlignment="1" applyProtection="1">
      <alignment horizontal="center" vertical="center"/>
      <protection locked="0" hidden="1"/>
    </xf>
    <xf numFmtId="0" fontId="30" fillId="0" borderId="74" xfId="0" applyFont="1" applyBorder="1" applyAlignment="1" applyProtection="1">
      <alignment horizontal="center" vertical="center"/>
      <protection locked="0" hidden="1"/>
    </xf>
    <xf numFmtId="0" fontId="30" fillId="0" borderId="74" xfId="0" applyFont="1" applyBorder="1" applyAlignment="1" applyProtection="1">
      <alignment horizontal="centerContinuous" vertical="center"/>
      <protection locked="0" hidden="1"/>
    </xf>
    <xf numFmtId="0" fontId="30" fillId="0" borderId="75" xfId="0" applyFont="1" applyBorder="1" applyAlignment="1" applyProtection="1">
      <alignment horizontal="center" vertical="center"/>
      <protection locked="0" hidden="1"/>
    </xf>
    <xf numFmtId="0" fontId="36" fillId="0" borderId="0" xfId="0" applyFont="1" applyProtection="1">
      <protection locked="0" hidden="1"/>
    </xf>
    <xf numFmtId="0" fontId="36" fillId="0" borderId="0" xfId="0" applyFont="1" applyAlignment="1" applyProtection="1">
      <alignment horizontal="center"/>
      <protection locked="0" hidden="1"/>
    </xf>
    <xf numFmtId="0" fontId="37" fillId="0" borderId="18" xfId="0" applyFont="1" applyBorder="1" applyProtection="1">
      <protection locked="0" hidden="1"/>
    </xf>
    <xf numFmtId="2" fontId="36" fillId="0" borderId="0" xfId="0" applyNumberFormat="1" applyFont="1" applyProtection="1">
      <protection locked="0" hidden="1"/>
    </xf>
    <xf numFmtId="0" fontId="5" fillId="0" borderId="0" xfId="5">
      <alignment vertical="center"/>
    </xf>
    <xf numFmtId="0" fontId="5" fillId="0" borderId="5" xfId="5" applyBorder="1" applyAlignment="1">
      <alignment horizontal="center" vertical="center"/>
    </xf>
    <xf numFmtId="0" fontId="5" fillId="0" borderId="77" xfId="5" applyBorder="1" applyAlignment="1">
      <alignment horizontal="center" vertical="center"/>
    </xf>
    <xf numFmtId="0" fontId="5" fillId="0" borderId="78" xfId="5" applyBorder="1" applyAlignment="1">
      <alignment horizontal="center" vertical="center"/>
    </xf>
    <xf numFmtId="0" fontId="0" fillId="0" borderId="5" xfId="0" applyBorder="1" applyProtection="1">
      <protection locked="0"/>
    </xf>
    <xf numFmtId="0" fontId="0" fillId="0" borderId="0" xfId="0" applyAlignment="1" applyProtection="1">
      <alignment horizontal="left"/>
      <protection locked="0"/>
    </xf>
    <xf numFmtId="191" fontId="33" fillId="0" borderId="67" xfId="0" applyNumberFormat="1" applyFont="1" applyBorder="1" applyAlignment="1" applyProtection="1">
      <alignment horizontal="center"/>
      <protection hidden="1"/>
    </xf>
    <xf numFmtId="192" fontId="31" fillId="0" borderId="66" xfId="0" applyNumberFormat="1" applyFont="1" applyBorder="1" applyProtection="1">
      <protection locked="0"/>
    </xf>
    <xf numFmtId="189" fontId="0" fillId="0" borderId="11" xfId="0" applyNumberFormat="1" applyBorder="1" applyAlignment="1" applyProtection="1">
      <alignment horizontal="center"/>
      <protection locked="0"/>
    </xf>
    <xf numFmtId="0" fontId="0" fillId="0" borderId="11" xfId="0" applyBorder="1" applyAlignment="1" applyProtection="1">
      <alignment horizontal="center"/>
      <protection locked="0"/>
    </xf>
    <xf numFmtId="190" fontId="0" fillId="0" borderId="11" xfId="0" applyNumberFormat="1" applyBorder="1" applyAlignment="1" applyProtection="1">
      <alignment horizontal="center"/>
      <protection locked="0"/>
    </xf>
    <xf numFmtId="189" fontId="0" fillId="0" borderId="80" xfId="0" applyNumberFormat="1" applyBorder="1" applyAlignment="1" applyProtection="1">
      <alignment horizontal="center"/>
      <protection locked="0"/>
    </xf>
    <xf numFmtId="0" fontId="0" fillId="0" borderId="80" xfId="0" applyBorder="1" applyAlignment="1" applyProtection="1">
      <alignment horizontal="center"/>
      <protection locked="0"/>
    </xf>
    <xf numFmtId="190" fontId="0" fillId="0" borderId="80" xfId="0" applyNumberFormat="1" applyBorder="1" applyAlignment="1" applyProtection="1">
      <alignment horizontal="center"/>
      <protection locked="0"/>
    </xf>
    <xf numFmtId="189" fontId="0" fillId="0" borderId="81" xfId="0" applyNumberFormat="1" applyBorder="1" applyAlignment="1" applyProtection="1">
      <alignment horizontal="center"/>
      <protection locked="0"/>
    </xf>
    <xf numFmtId="0" fontId="0" fillId="0" borderId="81" xfId="0" applyBorder="1" applyAlignment="1" applyProtection="1">
      <alignment horizontal="center"/>
      <protection locked="0"/>
    </xf>
    <xf numFmtId="190" fontId="0" fillId="0" borderId="81" xfId="0" applyNumberFormat="1" applyBorder="1" applyAlignment="1" applyProtection="1">
      <alignment horizontal="center"/>
      <protection locked="0"/>
    </xf>
    <xf numFmtId="0" fontId="0" fillId="2" borderId="5" xfId="0" applyFill="1" applyBorder="1" applyAlignment="1" applyProtection="1">
      <alignment horizontal="center"/>
      <protection locked="0"/>
    </xf>
    <xf numFmtId="190" fontId="0" fillId="2" borderId="5" xfId="0" applyNumberFormat="1" applyFill="1" applyBorder="1" applyAlignment="1" applyProtection="1">
      <alignment horizontal="center"/>
      <protection locked="0"/>
    </xf>
    <xf numFmtId="0" fontId="8" fillId="0" borderId="5" xfId="3" applyBorder="1" applyAlignment="1">
      <alignment horizontal="center" vertical="center"/>
    </xf>
    <xf numFmtId="0" fontId="32" fillId="0" borderId="76" xfId="0" applyFont="1" applyBorder="1" applyProtection="1">
      <protection locked="0" hidden="1"/>
    </xf>
    <xf numFmtId="2" fontId="41" fillId="0" borderId="65" xfId="0" applyNumberFormat="1" applyFont="1" applyBorder="1" applyProtection="1">
      <protection locked="0"/>
    </xf>
    <xf numFmtId="2" fontId="41" fillId="0" borderId="69" xfId="0" applyNumberFormat="1" applyFont="1" applyBorder="1" applyProtection="1">
      <protection locked="0" hidden="1"/>
    </xf>
    <xf numFmtId="2" fontId="41" fillId="0" borderId="68" xfId="0" applyNumberFormat="1" applyFont="1" applyBorder="1" applyProtection="1">
      <protection locked="0" hidden="1"/>
    </xf>
    <xf numFmtId="0" fontId="41" fillId="0" borderId="64" xfId="0" applyFont="1" applyBorder="1" applyProtection="1">
      <protection locked="0" hidden="1"/>
    </xf>
    <xf numFmtId="0" fontId="37" fillId="0" borderId="0" xfId="0" applyFont="1" applyProtection="1">
      <protection locked="0" hidden="1"/>
    </xf>
    <xf numFmtId="0" fontId="38" fillId="0" borderId="18" xfId="0" applyFont="1" applyBorder="1" applyAlignment="1" applyProtection="1">
      <alignment horizontal="center" shrinkToFit="1"/>
      <protection locked="0"/>
    </xf>
    <xf numFmtId="0" fontId="32" fillId="0" borderId="18" xfId="0" applyFont="1" applyBorder="1" applyProtection="1">
      <protection locked="0" hidden="1"/>
    </xf>
    <xf numFmtId="0" fontId="37" fillId="0" borderId="18" xfId="0" applyFont="1" applyBorder="1" applyAlignment="1" applyProtection="1">
      <alignment horizontal="center" shrinkToFit="1"/>
      <protection locked="0"/>
    </xf>
    <xf numFmtId="0" fontId="37" fillId="0" borderId="18" xfId="0" applyFont="1" applyBorder="1" applyAlignment="1" applyProtection="1">
      <alignment horizontal="center"/>
      <protection locked="0" hidden="1"/>
    </xf>
    <xf numFmtId="0" fontId="4" fillId="0" borderId="0" xfId="6">
      <alignment vertical="center"/>
    </xf>
    <xf numFmtId="0" fontId="15" fillId="0" borderId="25" xfId="0" applyFont="1" applyBorder="1" applyAlignment="1">
      <alignment horizontal="left" vertical="center" shrinkToFit="1"/>
    </xf>
    <xf numFmtId="0" fontId="15" fillId="0" borderId="0" xfId="3" applyFont="1" applyAlignment="1" applyProtection="1">
      <alignment horizontal="center" vertical="center"/>
      <protection locked="0"/>
    </xf>
    <xf numFmtId="0" fontId="4" fillId="0" borderId="83" xfId="6" applyBorder="1" applyAlignment="1">
      <alignment horizontal="center" vertical="center"/>
    </xf>
    <xf numFmtId="0" fontId="4" fillId="0" borderId="0" xfId="6" applyAlignment="1">
      <alignment horizontal="center" vertical="center"/>
    </xf>
    <xf numFmtId="0" fontId="4" fillId="0" borderId="85" xfId="6" applyBorder="1" applyAlignment="1">
      <alignment horizontal="center" vertical="center"/>
    </xf>
    <xf numFmtId="0" fontId="4" fillId="0" borderId="87" xfId="6" applyBorder="1" applyAlignment="1">
      <alignment horizontal="center" vertical="center"/>
    </xf>
    <xf numFmtId="0" fontId="15" fillId="0" borderId="25" xfId="0" applyFont="1" applyBorder="1" applyAlignment="1">
      <alignment horizontal="center" vertical="center" shrinkToFit="1"/>
    </xf>
    <xf numFmtId="193" fontId="8" fillId="0" borderId="0" xfId="3" applyNumberFormat="1" applyAlignment="1" applyProtection="1">
      <alignment vertical="center"/>
      <protection locked="0"/>
    </xf>
    <xf numFmtId="0" fontId="44" fillId="0" borderId="20" xfId="0" applyFont="1" applyBorder="1" applyAlignment="1" applyProtection="1">
      <alignment horizontal="center" vertical="center"/>
      <protection hidden="1"/>
    </xf>
    <xf numFmtId="0" fontId="15" fillId="0" borderId="25" xfId="0" applyFont="1" applyBorder="1" applyAlignment="1">
      <alignment vertical="center" shrinkToFit="1"/>
    </xf>
    <xf numFmtId="0" fontId="15" fillId="0" borderId="5" xfId="0" applyFont="1" applyBorder="1" applyAlignment="1">
      <alignment horizontal="center" vertical="center" shrinkToFit="1"/>
    </xf>
    <xf numFmtId="0" fontId="8" fillId="0" borderId="22" xfId="3" applyBorder="1" applyAlignment="1" applyProtection="1">
      <alignment horizontal="center" vertical="center"/>
      <protection locked="0"/>
    </xf>
    <xf numFmtId="0" fontId="8" fillId="0" borderId="23" xfId="3" applyBorder="1" applyAlignment="1" applyProtection="1">
      <alignment horizontal="center" vertical="center"/>
      <protection locked="0"/>
    </xf>
    <xf numFmtId="0" fontId="8" fillId="0" borderId="24" xfId="3" applyBorder="1" applyAlignment="1" applyProtection="1">
      <alignment horizontal="center" vertical="center"/>
      <protection locked="0"/>
    </xf>
    <xf numFmtId="0" fontId="8" fillId="0" borderId="13" xfId="3" applyBorder="1" applyAlignment="1" applyProtection="1">
      <alignment horizontal="center" vertical="center"/>
      <protection locked="0"/>
    </xf>
    <xf numFmtId="0" fontId="8" fillId="0" borderId="7" xfId="3" applyBorder="1" applyAlignment="1" applyProtection="1">
      <alignment horizontal="center" vertical="center"/>
      <protection locked="0"/>
    </xf>
    <xf numFmtId="0" fontId="8" fillId="0" borderId="6" xfId="3" applyBorder="1" applyAlignment="1" applyProtection="1">
      <alignment horizontal="center" vertical="center"/>
      <protection locked="0"/>
    </xf>
    <xf numFmtId="0" fontId="17" fillId="0" borderId="2" xfId="3" applyFont="1" applyBorder="1" applyAlignment="1" applyProtection="1">
      <alignment horizontal="center" vertical="center" shrinkToFit="1"/>
      <protection locked="0"/>
    </xf>
    <xf numFmtId="187" fontId="0" fillId="0" borderId="20" xfId="0" applyNumberFormat="1" applyBorder="1" applyAlignment="1" applyProtection="1">
      <alignment horizontal="center" vertical="center"/>
      <protection hidden="1"/>
    </xf>
    <xf numFmtId="0" fontId="0" fillId="0" borderId="20" xfId="0" applyBorder="1" applyAlignment="1" applyProtection="1">
      <alignment horizontal="center" vertical="center"/>
      <protection hidden="1"/>
    </xf>
    <xf numFmtId="0" fontId="15" fillId="0" borderId="25" xfId="0" applyFont="1" applyBorder="1" applyAlignment="1">
      <alignment horizontal="center" vertical="center"/>
    </xf>
    <xf numFmtId="0" fontId="15" fillId="0" borderId="25" xfId="0" applyFont="1" applyBorder="1" applyAlignment="1">
      <alignment horizontal="left" vertical="center"/>
    </xf>
    <xf numFmtId="0" fontId="24" fillId="0" borderId="25" xfId="5" applyFont="1" applyBorder="1" applyAlignment="1">
      <alignment horizontal="center" vertical="center"/>
    </xf>
    <xf numFmtId="0" fontId="15" fillId="0" borderId="5" xfId="0" applyFont="1" applyBorder="1" applyAlignment="1">
      <alignment horizontal="center" vertical="center"/>
    </xf>
    <xf numFmtId="0" fontId="15" fillId="0" borderId="5" xfId="0" applyFont="1" applyBorder="1" applyAlignment="1">
      <alignment horizontal="left" vertical="center"/>
    </xf>
    <xf numFmtId="0" fontId="24" fillId="0" borderId="25" xfId="0" applyFont="1" applyBorder="1" applyAlignment="1">
      <alignment vertical="center"/>
    </xf>
    <xf numFmtId="0" fontId="15" fillId="0" borderId="25" xfId="5" applyFont="1" applyBorder="1" applyAlignment="1">
      <alignment horizontal="left" vertical="center"/>
    </xf>
    <xf numFmtId="0" fontId="15" fillId="0" borderId="25" xfId="5" applyFont="1" applyBorder="1" applyAlignment="1">
      <alignment horizontal="center" vertical="center"/>
    </xf>
    <xf numFmtId="0" fontId="15" fillId="0" borderId="19" xfId="0" applyFont="1" applyBorder="1"/>
    <xf numFmtId="0" fontId="15" fillId="0" borderId="0" xfId="0" applyFont="1"/>
    <xf numFmtId="49" fontId="23" fillId="5" borderId="5" xfId="0" applyNumberFormat="1" applyFont="1" applyFill="1" applyBorder="1" applyAlignment="1">
      <alignment horizontal="center" vertical="center"/>
    </xf>
    <xf numFmtId="49" fontId="0" fillId="0" borderId="11" xfId="0" applyNumberFormat="1" applyBorder="1" applyAlignment="1">
      <alignment horizontal="center"/>
    </xf>
    <xf numFmtId="0" fontId="0" fillId="0" borderId="11" xfId="0" applyBorder="1"/>
    <xf numFmtId="49" fontId="0" fillId="0" borderId="80" xfId="0" applyNumberFormat="1" applyBorder="1" applyAlignment="1">
      <alignment horizontal="center"/>
    </xf>
    <xf numFmtId="0" fontId="0" fillId="0" borderId="80" xfId="0" applyBorder="1"/>
    <xf numFmtId="49" fontId="0" fillId="0" borderId="12" xfId="0" applyNumberFormat="1" applyBorder="1" applyAlignment="1">
      <alignment horizontal="center"/>
    </xf>
    <xf numFmtId="0" fontId="0" fillId="0" borderId="12" xfId="0" applyBorder="1"/>
    <xf numFmtId="49" fontId="0" fillId="0" borderId="0" xfId="0" applyNumberFormat="1" applyAlignment="1">
      <alignment horizontal="center"/>
    </xf>
    <xf numFmtId="0" fontId="45" fillId="0" borderId="89" xfId="0" applyFont="1" applyBorder="1" applyProtection="1">
      <protection locked="0" hidden="1"/>
    </xf>
    <xf numFmtId="0" fontId="45" fillId="10" borderId="89" xfId="0" applyFont="1" applyFill="1" applyBorder="1" applyAlignment="1" applyProtection="1">
      <alignment horizontal="center"/>
      <protection locked="0"/>
    </xf>
    <xf numFmtId="0" fontId="45" fillId="9" borderId="89" xfId="0" applyFont="1" applyFill="1" applyBorder="1" applyProtection="1">
      <protection locked="0"/>
    </xf>
    <xf numFmtId="0" fontId="45" fillId="0" borderId="0" xfId="0" applyFont="1" applyProtection="1">
      <protection locked="0" hidden="1"/>
    </xf>
    <xf numFmtId="187" fontId="45" fillId="0" borderId="89" xfId="0" applyNumberFormat="1" applyFont="1" applyBorder="1" applyProtection="1">
      <protection locked="0" hidden="1"/>
    </xf>
    <xf numFmtId="14" fontId="15" fillId="0" borderId="25" xfId="0" applyNumberFormat="1" applyFont="1" applyBorder="1" applyAlignment="1">
      <alignment horizontal="center" vertical="center" shrinkToFit="1"/>
    </xf>
    <xf numFmtId="14" fontId="15" fillId="11" borderId="25" xfId="0" applyNumberFormat="1" applyFont="1" applyFill="1" applyBorder="1" applyAlignment="1">
      <alignment horizontal="center" vertical="center" shrinkToFit="1"/>
    </xf>
    <xf numFmtId="0" fontId="49" fillId="0" borderId="25" xfId="0" applyFont="1" applyBorder="1" applyAlignment="1">
      <alignment horizontal="center" vertical="center"/>
    </xf>
    <xf numFmtId="0" fontId="50" fillId="0" borderId="25" xfId="0" applyFont="1" applyBorder="1" applyAlignment="1">
      <alignment vertical="center"/>
    </xf>
    <xf numFmtId="0" fontId="49" fillId="0" borderId="25" xfId="0" applyFont="1" applyBorder="1" applyAlignment="1">
      <alignment horizontal="center" vertical="center" shrinkToFit="1"/>
    </xf>
    <xf numFmtId="0" fontId="49" fillId="0" borderId="25" xfId="0" applyFont="1" applyBorder="1" applyAlignment="1">
      <alignment horizontal="left" vertical="center" shrinkToFit="1"/>
    </xf>
    <xf numFmtId="14" fontId="49" fillId="0" borderId="25" xfId="0" applyNumberFormat="1" applyFont="1" applyBorder="1" applyAlignment="1">
      <alignment horizontal="center" vertical="center" shrinkToFit="1"/>
    </xf>
    <xf numFmtId="14" fontId="49" fillId="11" borderId="25" xfId="0" applyNumberFormat="1" applyFont="1" applyFill="1" applyBorder="1" applyAlignment="1">
      <alignment horizontal="center" vertical="center" shrinkToFit="1"/>
    </xf>
    <xf numFmtId="0" fontId="49" fillId="0" borderId="5" xfId="0" applyFont="1" applyBorder="1" applyAlignment="1">
      <alignment horizontal="center" vertical="center"/>
    </xf>
    <xf numFmtId="0" fontId="49" fillId="0" borderId="25" xfId="0" applyFont="1" applyBorder="1" applyAlignment="1">
      <alignment horizontal="left" vertical="center"/>
    </xf>
    <xf numFmtId="0" fontId="49" fillId="0" borderId="5" xfId="0" applyFont="1" applyBorder="1" applyAlignment="1">
      <alignment horizontal="left" vertical="center"/>
    </xf>
    <xf numFmtId="0" fontId="49" fillId="0" borderId="25" xfId="5" applyFont="1" applyBorder="1" applyAlignment="1">
      <alignment horizontal="left" vertical="center"/>
    </xf>
    <xf numFmtId="14" fontId="15" fillId="12" borderId="25" xfId="0" applyNumberFormat="1" applyFont="1" applyFill="1" applyBorder="1" applyAlignment="1">
      <alignment horizontal="center" vertical="center" shrinkToFit="1"/>
    </xf>
    <xf numFmtId="14" fontId="24" fillId="0" borderId="25" xfId="0" applyNumberFormat="1" applyFont="1" applyBorder="1" applyAlignment="1">
      <alignment horizontal="center" vertical="center" shrinkToFit="1"/>
    </xf>
    <xf numFmtId="14" fontId="24" fillId="12" borderId="25" xfId="0" applyNumberFormat="1" applyFont="1" applyFill="1" applyBorder="1" applyAlignment="1">
      <alignment horizontal="center" vertical="center" shrinkToFit="1"/>
    </xf>
    <xf numFmtId="0" fontId="15" fillId="0" borderId="5" xfId="0" applyFont="1" applyBorder="1" applyAlignment="1">
      <alignment horizontal="left" vertical="center" shrinkToFit="1"/>
    </xf>
    <xf numFmtId="0" fontId="15" fillId="0" borderId="15" xfId="0" applyFont="1" applyBorder="1" applyAlignment="1">
      <alignment horizontal="center" vertical="center" shrinkToFit="1"/>
    </xf>
    <xf numFmtId="0" fontId="24" fillId="0" borderId="25" xfId="0" applyFont="1" applyBorder="1" applyAlignment="1">
      <alignment horizontal="left" vertical="center" shrinkToFit="1"/>
    </xf>
    <xf numFmtId="0" fontId="24" fillId="0" borderId="15" xfId="0" applyFont="1" applyBorder="1" applyAlignment="1">
      <alignment horizontal="center" vertical="center" shrinkToFit="1"/>
    </xf>
    <xf numFmtId="0" fontId="24" fillId="0" borderId="25" xfId="0" applyFont="1" applyBorder="1" applyAlignment="1">
      <alignment vertical="center" shrinkToFit="1"/>
    </xf>
    <xf numFmtId="0" fontId="15" fillId="0" borderId="5" xfId="0" applyFont="1" applyBorder="1" applyAlignment="1">
      <alignment vertical="center" shrinkToFit="1"/>
    </xf>
    <xf numFmtId="14" fontId="15" fillId="12" borderId="5" xfId="0" applyNumberFormat="1" applyFont="1" applyFill="1" applyBorder="1" applyAlignment="1">
      <alignment horizontal="center" vertical="center" shrinkToFit="1"/>
    </xf>
    <xf numFmtId="14" fontId="15" fillId="0" borderId="5" xfId="0" applyNumberFormat="1" applyFont="1" applyBorder="1" applyAlignment="1">
      <alignment horizontal="center" vertical="center" shrinkToFit="1"/>
    </xf>
    <xf numFmtId="0" fontId="15" fillId="0" borderId="5" xfId="0" applyFont="1" applyBorder="1" applyAlignment="1">
      <alignment vertical="center" wrapText="1" shrinkToFit="1"/>
    </xf>
    <xf numFmtId="14" fontId="52" fillId="13" borderId="5" xfId="0" applyNumberFormat="1" applyFont="1" applyFill="1" applyBorder="1" applyAlignment="1">
      <alignment horizontal="center" vertical="center" shrinkToFit="1"/>
    </xf>
    <xf numFmtId="0" fontId="21" fillId="0" borderId="80" xfId="0" applyFont="1" applyBorder="1"/>
    <xf numFmtId="49" fontId="0" fillId="0" borderId="88" xfId="0" applyNumberFormat="1" applyBorder="1" applyAlignment="1">
      <alignment horizontal="center"/>
    </xf>
    <xf numFmtId="0" fontId="0" fillId="4" borderId="88" xfId="0" applyFill="1" applyBorder="1"/>
    <xf numFmtId="0" fontId="6" fillId="0" borderId="11" xfId="0" applyFont="1" applyBorder="1"/>
    <xf numFmtId="0" fontId="0" fillId="4" borderId="80" xfId="0" applyFill="1" applyBorder="1"/>
    <xf numFmtId="0" fontId="1" fillId="0" borderId="32" xfId="6" applyFont="1" applyBorder="1" applyAlignment="1">
      <alignment horizontal="center" vertical="center"/>
    </xf>
    <xf numFmtId="0" fontId="1" fillId="0" borderId="33" xfId="6" applyFont="1" applyBorder="1" applyAlignment="1">
      <alignment horizontal="center" vertical="center"/>
    </xf>
    <xf numFmtId="0" fontId="1" fillId="0" borderId="84" xfId="6" applyFont="1" applyBorder="1" applyAlignment="1">
      <alignment horizontal="center" vertical="center"/>
    </xf>
    <xf numFmtId="0" fontId="1" fillId="0" borderId="86" xfId="6" applyFont="1" applyBorder="1" applyAlignment="1">
      <alignment horizontal="center" vertical="center"/>
    </xf>
    <xf numFmtId="0" fontId="1" fillId="0" borderId="0" xfId="6" applyFont="1" applyAlignment="1">
      <alignment horizontal="center" vertical="center"/>
    </xf>
    <xf numFmtId="0" fontId="1" fillId="0" borderId="0" xfId="6" applyFont="1">
      <alignment vertical="center"/>
    </xf>
    <xf numFmtId="0" fontId="1" fillId="0" borderId="5" xfId="5" applyFont="1" applyBorder="1" applyAlignment="1">
      <alignment horizontal="center" vertical="center"/>
    </xf>
    <xf numFmtId="0" fontId="1" fillId="0" borderId="79" xfId="5" applyFont="1" applyBorder="1" applyAlignment="1">
      <alignment horizontal="center" vertical="center"/>
    </xf>
    <xf numFmtId="0" fontId="1" fillId="0" borderId="82" xfId="6" applyFont="1" applyBorder="1" applyAlignment="1">
      <alignment horizontal="center" vertical="center"/>
    </xf>
    <xf numFmtId="179" fontId="55" fillId="0" borderId="5" xfId="3" applyNumberFormat="1" applyFont="1" applyBorder="1" applyAlignment="1" applyProtection="1">
      <alignment horizontal="centerContinuous" vertical="center"/>
      <protection locked="0"/>
    </xf>
    <xf numFmtId="180" fontId="55" fillId="0" borderId="5" xfId="3" applyNumberFormat="1" applyFont="1" applyBorder="1" applyAlignment="1">
      <alignment horizontal="center" vertical="center"/>
    </xf>
    <xf numFmtId="20" fontId="8" fillId="0" borderId="7" xfId="3" applyNumberFormat="1" applyBorder="1" applyAlignment="1" applyProtection="1">
      <alignment horizontal="center" vertical="center"/>
      <protection locked="0"/>
    </xf>
    <xf numFmtId="0" fontId="8" fillId="0" borderId="8" xfId="3" applyBorder="1" applyAlignment="1" applyProtection="1">
      <alignment horizontal="center" vertical="center"/>
      <protection locked="0"/>
    </xf>
    <xf numFmtId="177" fontId="8" fillId="0" borderId="22" xfId="4" applyNumberFormat="1" applyFont="1" applyBorder="1" applyAlignment="1">
      <alignment horizontal="center" vertical="center"/>
    </xf>
    <xf numFmtId="177" fontId="8" fillId="0" borderId="24" xfId="4" applyNumberFormat="1" applyFont="1" applyBorder="1" applyAlignment="1">
      <alignment horizontal="center" vertical="center"/>
    </xf>
    <xf numFmtId="177" fontId="8" fillId="0" borderId="38" xfId="3" applyNumberFormat="1" applyBorder="1" applyAlignment="1" applyProtection="1">
      <alignment horizontal="center" vertical="center"/>
      <protection locked="0"/>
    </xf>
    <xf numFmtId="177" fontId="8" fillId="0" borderId="39" xfId="3" applyNumberFormat="1" applyBorder="1" applyAlignment="1" applyProtection="1">
      <alignment horizontal="center" vertical="center"/>
      <protection locked="0"/>
    </xf>
    <xf numFmtId="177" fontId="8" fillId="0" borderId="13" xfId="3" applyNumberFormat="1" applyBorder="1" applyAlignment="1" applyProtection="1">
      <alignment horizontal="center" vertical="center"/>
      <protection locked="0"/>
    </xf>
    <xf numFmtId="177" fontId="8" fillId="0" borderId="37" xfId="3" applyNumberFormat="1" applyBorder="1" applyAlignment="1" applyProtection="1">
      <alignment horizontal="center" vertical="center"/>
      <protection locked="0"/>
    </xf>
    <xf numFmtId="0" fontId="8" fillId="0" borderId="9" xfId="3" applyBorder="1" applyAlignment="1">
      <alignment horizontal="center" vertical="center"/>
    </xf>
    <xf numFmtId="0" fontId="8" fillId="0" borderId="10" xfId="3" applyBorder="1" applyAlignment="1">
      <alignment horizontal="center" vertical="center"/>
    </xf>
    <xf numFmtId="0" fontId="8" fillId="0" borderId="7" xfId="3" applyBorder="1" applyAlignment="1">
      <alignment horizontal="center" vertical="center"/>
    </xf>
    <xf numFmtId="0" fontId="8" fillId="0" borderId="8" xfId="3" applyBorder="1" applyAlignment="1">
      <alignment horizontal="center" vertical="center"/>
    </xf>
    <xf numFmtId="177" fontId="8" fillId="0" borderId="13" xfId="4" applyNumberFormat="1" applyFont="1" applyBorder="1" applyAlignment="1">
      <alignment horizontal="center" vertical="center"/>
    </xf>
    <xf numFmtId="177" fontId="8" fillId="0" borderId="37" xfId="4" applyNumberFormat="1" applyFont="1" applyBorder="1" applyAlignment="1">
      <alignment horizontal="center" vertical="center"/>
    </xf>
    <xf numFmtId="177" fontId="8" fillId="0" borderId="7" xfId="3" applyNumberFormat="1" applyBorder="1" applyAlignment="1" applyProtection="1">
      <alignment horizontal="center" vertical="center"/>
      <protection locked="0"/>
    </xf>
    <xf numFmtId="177" fontId="8" fillId="0" borderId="8" xfId="3" applyNumberFormat="1" applyBorder="1" applyAlignment="1" applyProtection="1">
      <alignment horizontal="center" vertical="center"/>
      <protection locked="0"/>
    </xf>
    <xf numFmtId="0" fontId="8" fillId="0" borderId="16" xfId="3" applyBorder="1" applyAlignment="1">
      <alignment horizontal="center" vertical="center"/>
    </xf>
    <xf numFmtId="0" fontId="8" fillId="0" borderId="43" xfId="3" applyBorder="1" applyAlignment="1">
      <alignment horizontal="center" vertical="center"/>
    </xf>
    <xf numFmtId="0" fontId="13" fillId="0" borderId="0" xfId="3" applyFont="1" applyAlignment="1" applyProtection="1">
      <alignment horizontal="center" vertical="center"/>
      <protection locked="0"/>
    </xf>
    <xf numFmtId="0" fontId="8" fillId="0" borderId="7" xfId="3" applyBorder="1" applyAlignment="1" applyProtection="1">
      <alignment horizontal="center" vertical="center"/>
      <protection locked="0"/>
    </xf>
    <xf numFmtId="0" fontId="8" fillId="0" borderId="13" xfId="3" applyBorder="1" applyAlignment="1" applyProtection="1">
      <alignment horizontal="center" vertical="center"/>
      <protection locked="0"/>
    </xf>
    <xf numFmtId="0" fontId="8" fillId="0" borderId="37" xfId="3" applyBorder="1" applyAlignment="1" applyProtection="1">
      <alignment horizontal="center" vertical="center"/>
      <protection locked="0"/>
    </xf>
    <xf numFmtId="0" fontId="8" fillId="0" borderId="38" xfId="3" applyBorder="1" applyAlignment="1" applyProtection="1">
      <alignment horizontal="center" vertical="center"/>
      <protection locked="0"/>
    </xf>
    <xf numFmtId="0" fontId="8" fillId="0" borderId="41" xfId="3" applyBorder="1" applyAlignment="1" applyProtection="1">
      <alignment horizontal="center" vertical="center"/>
      <protection locked="0"/>
    </xf>
    <xf numFmtId="0" fontId="8" fillId="0" borderId="39" xfId="3" applyBorder="1" applyAlignment="1" applyProtection="1">
      <alignment horizontal="center" vertical="center"/>
      <protection locked="0"/>
    </xf>
    <xf numFmtId="0" fontId="8" fillId="0" borderId="22" xfId="3" applyBorder="1" applyAlignment="1" applyProtection="1">
      <alignment horizontal="center" vertical="center"/>
      <protection locked="0"/>
    </xf>
    <xf numFmtId="0" fontId="8" fillId="0" borderId="23" xfId="3" applyBorder="1" applyAlignment="1" applyProtection="1">
      <alignment horizontal="center" vertical="center"/>
      <protection locked="0"/>
    </xf>
    <xf numFmtId="0" fontId="8" fillId="0" borderId="24" xfId="3" applyBorder="1" applyAlignment="1" applyProtection="1">
      <alignment horizontal="center" vertical="center"/>
      <protection locked="0"/>
    </xf>
    <xf numFmtId="0" fontId="8" fillId="0" borderId="36" xfId="3" applyBorder="1" applyAlignment="1" applyProtection="1">
      <alignment horizontal="center" vertical="center" wrapText="1"/>
      <protection locked="0"/>
    </xf>
    <xf numFmtId="0" fontId="8" fillId="0" borderId="25" xfId="3" applyBorder="1" applyAlignment="1" applyProtection="1">
      <alignment horizontal="center" vertical="center"/>
      <protection locked="0"/>
    </xf>
    <xf numFmtId="0" fontId="8" fillId="0" borderId="6" xfId="3" applyBorder="1" applyAlignment="1" applyProtection="1">
      <alignment horizontal="center" vertical="center"/>
      <protection locked="0"/>
    </xf>
    <xf numFmtId="3" fontId="8" fillId="0" borderId="19" xfId="4" applyNumberFormat="1" applyFont="1" applyBorder="1" applyAlignment="1" applyProtection="1">
      <alignment horizontal="center" vertical="center" shrinkToFit="1"/>
      <protection locked="0"/>
    </xf>
    <xf numFmtId="3" fontId="8" fillId="0" borderId="21" xfId="4" applyNumberFormat="1" applyFont="1" applyBorder="1" applyAlignment="1" applyProtection="1">
      <alignment horizontal="center" vertical="center" shrinkToFit="1"/>
      <protection locked="0"/>
    </xf>
    <xf numFmtId="177" fontId="16" fillId="0" borderId="22" xfId="4" applyNumberFormat="1" applyFont="1" applyBorder="1" applyAlignment="1">
      <alignment horizontal="center" vertical="center"/>
    </xf>
    <xf numFmtId="177" fontId="16" fillId="0" borderId="24" xfId="4" applyNumberFormat="1" applyFont="1" applyBorder="1" applyAlignment="1">
      <alignment horizontal="center" vertical="center"/>
    </xf>
    <xf numFmtId="0" fontId="48" fillId="0" borderId="9" xfId="3" applyFont="1" applyBorder="1" applyAlignment="1" applyProtection="1">
      <alignment horizontal="center" vertical="center" textRotation="255" shrinkToFit="1"/>
      <protection locked="0"/>
    </xf>
    <xf numFmtId="0" fontId="48" fillId="0" borderId="1" xfId="3" applyFont="1" applyBorder="1" applyAlignment="1" applyProtection="1">
      <alignment horizontal="center" vertical="center" textRotation="255" shrinkToFit="1"/>
      <protection locked="0"/>
    </xf>
    <xf numFmtId="0" fontId="48" fillId="0" borderId="10" xfId="3" applyFont="1" applyBorder="1" applyAlignment="1" applyProtection="1">
      <alignment horizontal="center" vertical="center" textRotation="255" shrinkToFit="1"/>
      <protection locked="0"/>
    </xf>
    <xf numFmtId="0" fontId="48" fillId="0" borderId="3" xfId="3" applyFont="1" applyBorder="1" applyAlignment="1" applyProtection="1">
      <alignment horizontal="center" vertical="center" textRotation="255" shrinkToFit="1"/>
      <protection locked="0"/>
    </xf>
    <xf numFmtId="0" fontId="48" fillId="0" borderId="0" xfId="3" applyFont="1" applyAlignment="1" applyProtection="1">
      <alignment horizontal="center" vertical="center" textRotation="255" shrinkToFit="1"/>
      <protection locked="0"/>
    </xf>
    <xf numFmtId="0" fontId="48" fillId="0" borderId="4" xfId="3" applyFont="1" applyBorder="1" applyAlignment="1" applyProtection="1">
      <alignment horizontal="center" vertical="center" textRotation="255" shrinkToFit="1"/>
      <protection locked="0"/>
    </xf>
    <xf numFmtId="0" fontId="48" fillId="0" borderId="6" xfId="3" applyFont="1" applyBorder="1" applyAlignment="1" applyProtection="1">
      <alignment horizontal="center" vertical="center" textRotation="255" shrinkToFit="1"/>
      <protection locked="0"/>
    </xf>
    <xf numFmtId="0" fontId="48" fillId="0" borderId="2" xfId="3" applyFont="1" applyBorder="1" applyAlignment="1" applyProtection="1">
      <alignment horizontal="center" vertical="center" textRotation="255" shrinkToFit="1"/>
      <protection locked="0"/>
    </xf>
    <xf numFmtId="0" fontId="48" fillId="0" borderId="25" xfId="3" applyFont="1" applyBorder="1" applyAlignment="1" applyProtection="1">
      <alignment horizontal="center" vertical="center" textRotation="255" shrinkToFit="1"/>
      <protection locked="0"/>
    </xf>
    <xf numFmtId="179" fontId="17" fillId="0" borderId="2" xfId="3" applyNumberFormat="1" applyFont="1" applyBorder="1" applyAlignment="1" applyProtection="1">
      <alignment horizontal="center" vertical="center" shrinkToFit="1"/>
      <protection locked="0"/>
    </xf>
    <xf numFmtId="0" fontId="17" fillId="0" borderId="2" xfId="3" applyFont="1" applyBorder="1" applyAlignment="1" applyProtection="1">
      <alignment horizontal="center" vertical="center" shrinkToFit="1"/>
      <protection locked="0"/>
    </xf>
    <xf numFmtId="181" fontId="17" fillId="0" borderId="2" xfId="3" applyNumberFormat="1" applyFont="1" applyBorder="1" applyAlignment="1" applyProtection="1">
      <alignment horizontal="center" vertical="center" shrinkToFit="1"/>
      <protection locked="0"/>
    </xf>
    <xf numFmtId="181" fontId="17" fillId="0" borderId="0" xfId="3" applyNumberFormat="1" applyFont="1" applyAlignment="1" applyProtection="1">
      <alignment horizontal="center" vertical="center" shrinkToFit="1"/>
      <protection locked="0"/>
    </xf>
    <xf numFmtId="0" fontId="16" fillId="0" borderId="38" xfId="3" applyFont="1" applyBorder="1" applyAlignment="1">
      <alignment horizontal="center" vertical="center"/>
    </xf>
    <xf numFmtId="0" fontId="16" fillId="0" borderId="39" xfId="3" applyFont="1" applyBorder="1" applyAlignment="1">
      <alignment horizontal="center" vertical="center"/>
    </xf>
    <xf numFmtId="0" fontId="8" fillId="0" borderId="13" xfId="3" applyBorder="1" applyAlignment="1">
      <alignment horizontal="center" vertical="center"/>
    </xf>
    <xf numFmtId="0" fontId="8" fillId="0" borderId="37" xfId="3" applyBorder="1" applyAlignment="1">
      <alignment horizontal="center" vertical="center"/>
    </xf>
    <xf numFmtId="177" fontId="8" fillId="0" borderId="41" xfId="3" applyNumberFormat="1" applyBorder="1" applyAlignment="1" applyProtection="1">
      <alignment horizontal="center" vertical="center"/>
      <protection locked="0"/>
    </xf>
    <xf numFmtId="177" fontId="8" fillId="0" borderId="42" xfId="3" applyNumberFormat="1" applyBorder="1" applyAlignment="1" applyProtection="1">
      <alignment horizontal="center" vertical="center"/>
      <protection locked="0"/>
    </xf>
    <xf numFmtId="177" fontId="8" fillId="0" borderId="40" xfId="3" applyNumberFormat="1" applyBorder="1" applyAlignment="1" applyProtection="1">
      <alignment horizontal="center" vertical="center"/>
      <protection locked="0"/>
    </xf>
    <xf numFmtId="0" fontId="0" fillId="0" borderId="19" xfId="0" applyBorder="1" applyAlignment="1" applyProtection="1">
      <alignment horizontal="left" vertical="center"/>
      <protection locked="0" hidden="1"/>
    </xf>
    <xf numFmtId="0" fontId="0" fillId="0" borderId="20" xfId="0" applyBorder="1" applyAlignment="1" applyProtection="1">
      <alignment horizontal="left" vertical="center"/>
      <protection locked="0" hidden="1"/>
    </xf>
    <xf numFmtId="0" fontId="0" fillId="0" borderId="21" xfId="0" applyBorder="1" applyAlignment="1" applyProtection="1">
      <alignment horizontal="left" vertical="center"/>
      <protection locked="0" hidden="1"/>
    </xf>
    <xf numFmtId="0" fontId="30" fillId="0" borderId="73" xfId="0" applyFont="1" applyBorder="1" applyAlignment="1" applyProtection="1">
      <alignment horizontal="center" vertical="center"/>
      <protection locked="0" hidden="1"/>
    </xf>
    <xf numFmtId="0" fontId="30" fillId="0" borderId="72" xfId="0" applyFont="1" applyBorder="1" applyAlignment="1" applyProtection="1">
      <alignment horizontal="center" vertical="center"/>
      <protection locked="0" hidden="1"/>
    </xf>
    <xf numFmtId="0" fontId="30" fillId="0" borderId="71" xfId="0" applyFont="1" applyBorder="1" applyAlignment="1" applyProtection="1">
      <alignment horizontal="center" vertical="center"/>
      <protection locked="0" hidden="1"/>
    </xf>
    <xf numFmtId="0" fontId="46" fillId="0" borderId="9" xfId="0" applyFont="1" applyBorder="1" applyAlignment="1" applyProtection="1">
      <alignment horizontal="center"/>
      <protection locked="0" hidden="1"/>
    </xf>
    <xf numFmtId="0" fontId="46" fillId="0" borderId="10" xfId="0" applyFont="1" applyBorder="1" applyAlignment="1" applyProtection="1">
      <alignment horizontal="center"/>
      <protection locked="0" hidden="1"/>
    </xf>
    <xf numFmtId="0" fontId="46" fillId="0" borderId="3" xfId="0" applyFont="1" applyBorder="1" applyAlignment="1" applyProtection="1">
      <alignment horizontal="center"/>
      <protection locked="0" hidden="1"/>
    </xf>
    <xf numFmtId="0" fontId="46" fillId="0" borderId="4" xfId="0" applyFont="1" applyBorder="1" applyAlignment="1" applyProtection="1">
      <alignment horizontal="center"/>
      <protection locked="0" hidden="1"/>
    </xf>
    <xf numFmtId="0" fontId="46" fillId="0" borderId="6" xfId="0" applyFont="1" applyBorder="1" applyAlignment="1" applyProtection="1">
      <alignment horizontal="center"/>
      <protection locked="0" hidden="1"/>
    </xf>
    <xf numFmtId="0" fontId="46" fillId="0" borderId="25" xfId="0" applyFont="1" applyBorder="1" applyAlignment="1" applyProtection="1">
      <alignment horizontal="center"/>
      <protection locked="0" hidden="1"/>
    </xf>
    <xf numFmtId="0" fontId="47" fillId="0" borderId="9" xfId="0" applyFont="1" applyBorder="1" applyAlignment="1" applyProtection="1">
      <alignment horizontal="center"/>
      <protection locked="0" hidden="1"/>
    </xf>
    <xf numFmtId="0" fontId="47" fillId="0" borderId="10" xfId="0" applyFont="1" applyBorder="1" applyAlignment="1" applyProtection="1">
      <alignment horizontal="center"/>
      <protection locked="0" hidden="1"/>
    </xf>
    <xf numFmtId="0" fontId="47" fillId="0" borderId="3" xfId="0" applyFont="1" applyBorder="1" applyAlignment="1" applyProtection="1">
      <alignment horizontal="center"/>
      <protection locked="0" hidden="1"/>
    </xf>
    <xf numFmtId="0" fontId="47" fillId="0" borderId="4" xfId="0" applyFont="1" applyBorder="1" applyAlignment="1" applyProtection="1">
      <alignment horizontal="center"/>
      <protection locked="0" hidden="1"/>
    </xf>
    <xf numFmtId="0" fontId="47" fillId="0" borderId="6" xfId="0" applyFont="1" applyBorder="1" applyAlignment="1" applyProtection="1">
      <alignment horizontal="center"/>
      <protection locked="0" hidden="1"/>
    </xf>
    <xf numFmtId="0" fontId="47" fillId="0" borderId="25" xfId="0" applyFont="1" applyBorder="1" applyAlignment="1" applyProtection="1">
      <alignment horizontal="center"/>
      <protection locked="0" hidden="1"/>
    </xf>
    <xf numFmtId="0" fontId="0" fillId="0" borderId="5" xfId="0" applyBorder="1" applyAlignment="1" applyProtection="1">
      <alignment horizontal="center" vertical="center" textRotation="255"/>
      <protection locked="0" hidden="1"/>
    </xf>
    <xf numFmtId="0" fontId="0" fillId="0" borderId="6" xfId="0" applyBorder="1" applyAlignment="1" applyProtection="1">
      <alignment horizontal="left" vertical="center"/>
      <protection locked="0" hidden="1"/>
    </xf>
    <xf numFmtId="0" fontId="0" fillId="0" borderId="2" xfId="0" applyBorder="1" applyAlignment="1" applyProtection="1">
      <alignment horizontal="left" vertical="center"/>
      <protection locked="0" hidden="1"/>
    </xf>
    <xf numFmtId="0" fontId="0" fillId="0" borderId="25" xfId="0" applyBorder="1" applyAlignment="1" applyProtection="1">
      <alignment horizontal="left" vertical="center"/>
      <protection locked="0" hidden="1"/>
    </xf>
    <xf numFmtId="187" fontId="0" fillId="0" borderId="20" xfId="0" applyNumberFormat="1" applyBorder="1" applyAlignment="1" applyProtection="1">
      <alignment horizontal="center" vertical="center"/>
      <protection hidden="1"/>
    </xf>
    <xf numFmtId="0" fontId="0" fillId="0" borderId="20" xfId="0" applyBorder="1" applyAlignment="1" applyProtection="1">
      <alignment horizontal="center" vertical="center"/>
      <protection hidden="1"/>
    </xf>
    <xf numFmtId="187" fontId="0" fillId="0" borderId="48" xfId="0" applyNumberFormat="1" applyBorder="1" applyAlignment="1" applyProtection="1">
      <alignment horizontal="center" vertical="center"/>
      <protection hidden="1"/>
    </xf>
    <xf numFmtId="0" fontId="0" fillId="0" borderId="47" xfId="0" applyBorder="1" applyAlignment="1">
      <alignment horizontal="center" vertical="center"/>
    </xf>
    <xf numFmtId="0" fontId="31" fillId="0" borderId="20" xfId="0" applyFont="1" applyBorder="1" applyAlignment="1" applyProtection="1">
      <alignment horizontal="center" vertical="center"/>
      <protection hidden="1"/>
    </xf>
    <xf numFmtId="0" fontId="42" fillId="0" borderId="19" xfId="0" applyFont="1" applyBorder="1" applyAlignment="1" applyProtection="1">
      <alignment horizontal="left" vertical="center" shrinkToFit="1"/>
      <protection locked="0" hidden="1"/>
    </xf>
    <xf numFmtId="0" fontId="42" fillId="0" borderId="20" xfId="0" applyFont="1" applyBorder="1" applyAlignment="1" applyProtection="1">
      <alignment horizontal="left" vertical="center" shrinkToFit="1"/>
      <protection locked="0" hidden="1"/>
    </xf>
    <xf numFmtId="0" fontId="42" fillId="0" borderId="21" xfId="0" applyFont="1" applyBorder="1" applyAlignment="1" applyProtection="1">
      <alignment horizontal="left" vertical="center" shrinkToFit="1"/>
      <protection locked="0" hidden="1"/>
    </xf>
    <xf numFmtId="0" fontId="42" fillId="0" borderId="19" xfId="0" applyFont="1" applyBorder="1" applyAlignment="1" applyProtection="1">
      <alignment vertical="center" shrinkToFit="1"/>
      <protection locked="0" hidden="1"/>
    </xf>
    <xf numFmtId="0" fontId="42" fillId="0" borderId="20" xfId="0" applyFont="1" applyBorder="1" applyAlignment="1" applyProtection="1">
      <alignment vertical="center" shrinkToFit="1"/>
      <protection locked="0" hidden="1"/>
    </xf>
    <xf numFmtId="0" fontId="42" fillId="0" borderId="21" xfId="0" applyFont="1" applyBorder="1" applyAlignment="1" applyProtection="1">
      <alignment vertical="center" shrinkToFit="1"/>
      <protection locked="0" hidden="1"/>
    </xf>
    <xf numFmtId="49" fontId="41" fillId="0" borderId="0" xfId="0" applyNumberFormat="1" applyFont="1" applyAlignment="1" applyProtection="1">
      <alignment horizontal="center"/>
      <protection locked="0" hidden="1"/>
    </xf>
    <xf numFmtId="0" fontId="41" fillId="0" borderId="0" xfId="0" applyFont="1" applyAlignment="1" applyProtection="1">
      <alignment horizontal="center"/>
      <protection locked="0" hidden="1"/>
    </xf>
    <xf numFmtId="49" fontId="41" fillId="0" borderId="76" xfId="0" applyNumberFormat="1" applyFont="1" applyBorder="1" applyAlignment="1" applyProtection="1">
      <alignment horizontal="center" shrinkToFit="1"/>
      <protection locked="0"/>
    </xf>
    <xf numFmtId="0" fontId="41" fillId="0" borderId="76" xfId="0" applyFont="1" applyBorder="1" applyAlignment="1" applyProtection="1">
      <alignment horizontal="center" shrinkToFit="1"/>
      <protection locked="0"/>
    </xf>
    <xf numFmtId="0" fontId="42" fillId="0" borderId="19" xfId="0" applyFont="1" applyBorder="1" applyAlignment="1" applyProtection="1">
      <alignment horizontal="left" vertical="center" wrapText="1"/>
      <protection locked="0" hidden="1"/>
    </xf>
    <xf numFmtId="0" fontId="42" fillId="0" borderId="20" xfId="0" applyFont="1" applyBorder="1" applyAlignment="1" applyProtection="1">
      <alignment horizontal="left" vertical="center"/>
      <protection locked="0" hidden="1"/>
    </xf>
    <xf numFmtId="0" fontId="42" fillId="0" borderId="21" xfId="0" applyFont="1" applyBorder="1" applyAlignment="1" applyProtection="1">
      <alignment horizontal="left" vertical="center"/>
      <protection locked="0" hidden="1"/>
    </xf>
  </cellXfs>
  <cellStyles count="13">
    <cellStyle name="パーセント" xfId="1" builtinId="5"/>
    <cellStyle name="ハイパーリンク" xfId="2" builtinId="8"/>
    <cellStyle name="桁区切り 2" xfId="8" xr:uid="{00000000-0005-0000-0000-000002000000}"/>
    <cellStyle name="標準" xfId="0" builtinId="0"/>
    <cellStyle name="標準 2" xfId="5" xr:uid="{00000000-0005-0000-0000-000004000000}"/>
    <cellStyle name="標準 2 7" xfId="10" xr:uid="{00000000-0005-0000-0000-000005000000}"/>
    <cellStyle name="標準 3" xfId="6" xr:uid="{00000000-0005-0000-0000-000006000000}"/>
    <cellStyle name="標準 4" xfId="7" xr:uid="{00000000-0005-0000-0000-000007000000}"/>
    <cellStyle name="標準 8" xfId="9" xr:uid="{00000000-0005-0000-0000-000008000000}"/>
    <cellStyle name="標準 8 2" xfId="12" xr:uid="{00000000-0005-0000-0000-000009000000}"/>
    <cellStyle name="標準 8 3 2 3" xfId="11" xr:uid="{00000000-0005-0000-0000-00000A000000}"/>
    <cellStyle name="標準_06-07 週報" xfId="3" xr:uid="{00000000-0005-0000-0000-00000B000000}"/>
    <cellStyle name="標準_06-07 週報_1" xfId="4" xr:uid="{00000000-0005-0000-0000-00000C000000}"/>
  </cellStyles>
  <dxfs count="219">
    <dxf>
      <fill>
        <patternFill>
          <bgColor rgb="FF92D050"/>
        </patternFill>
      </fill>
    </dxf>
    <dxf>
      <fill>
        <patternFill>
          <bgColor rgb="FF92D050"/>
        </patternFill>
      </fill>
    </dxf>
    <dxf>
      <fill>
        <patternFill>
          <bgColor theme="5" tint="0.59996337778862885"/>
        </patternFill>
      </fill>
    </dxf>
    <dxf>
      <fill>
        <patternFill>
          <bgColor theme="9" tint="0.59996337778862885"/>
        </patternFill>
      </fill>
    </dxf>
    <dxf>
      <fill>
        <patternFill>
          <bgColor theme="8" tint="0.79998168889431442"/>
        </patternFill>
      </fill>
    </dxf>
    <dxf>
      <fill>
        <patternFill>
          <bgColor theme="2" tint="-0.24994659260841701"/>
        </patternFill>
      </fill>
    </dxf>
    <dxf>
      <fill>
        <patternFill>
          <bgColor rgb="FFFFFF99"/>
        </patternFill>
      </fill>
    </dxf>
    <dxf>
      <fill>
        <patternFill>
          <bgColor theme="0" tint="-4.9989318521683403E-2"/>
        </patternFill>
      </fill>
    </dxf>
    <dxf>
      <fill>
        <patternFill>
          <bgColor theme="2"/>
        </patternFill>
      </fill>
    </dxf>
    <dxf>
      <fill>
        <patternFill>
          <bgColor rgb="FFFFFF99"/>
        </patternFill>
      </fill>
    </dxf>
    <dxf>
      <fill>
        <patternFill>
          <bgColor theme="0" tint="-4.9989318521683403E-2"/>
        </patternFill>
      </fill>
    </dxf>
    <dxf>
      <fill>
        <patternFill>
          <bgColor theme="2"/>
        </patternFill>
      </fill>
    </dxf>
    <dxf>
      <fill>
        <patternFill>
          <bgColor theme="5" tint="0.59996337778862885"/>
        </patternFill>
      </fill>
    </dxf>
    <dxf>
      <fill>
        <patternFill>
          <bgColor theme="9" tint="0.59996337778862885"/>
        </patternFill>
      </fill>
    </dxf>
    <dxf>
      <fill>
        <patternFill>
          <bgColor theme="8" tint="0.79998168889431442"/>
        </patternFill>
      </fill>
    </dxf>
    <dxf>
      <fill>
        <patternFill>
          <bgColor theme="2" tint="-0.24994659260841701"/>
        </patternFill>
      </fill>
    </dxf>
    <dxf>
      <fill>
        <patternFill>
          <bgColor theme="2" tint="-0.24994659260841701"/>
        </patternFill>
      </fill>
    </dxf>
    <dxf>
      <fill>
        <patternFill>
          <bgColor theme="5" tint="0.59996337778862885"/>
        </patternFill>
      </fill>
    </dxf>
    <dxf>
      <fill>
        <patternFill>
          <bgColor theme="9" tint="0.59996337778862885"/>
        </patternFill>
      </fill>
    </dxf>
    <dxf>
      <fill>
        <patternFill>
          <bgColor theme="8" tint="0.79998168889431442"/>
        </patternFill>
      </fill>
    </dxf>
    <dxf>
      <fill>
        <patternFill>
          <bgColor rgb="FFFFFF99"/>
        </patternFill>
      </fill>
    </dxf>
    <dxf>
      <fill>
        <patternFill>
          <bgColor theme="0" tint="-4.9989318521683403E-2"/>
        </patternFill>
      </fill>
    </dxf>
    <dxf>
      <fill>
        <patternFill>
          <bgColor theme="2"/>
        </patternFill>
      </fill>
    </dxf>
    <dxf>
      <fill>
        <patternFill>
          <bgColor theme="0" tint="-4.9989318521683403E-2"/>
        </patternFill>
      </fill>
    </dxf>
    <dxf>
      <fill>
        <patternFill>
          <bgColor theme="2"/>
        </patternFill>
      </fill>
    </dxf>
    <dxf>
      <fill>
        <patternFill>
          <bgColor theme="5" tint="0.59996337778862885"/>
        </patternFill>
      </fill>
    </dxf>
    <dxf>
      <fill>
        <patternFill>
          <bgColor theme="9" tint="0.59996337778862885"/>
        </patternFill>
      </fill>
    </dxf>
    <dxf>
      <fill>
        <patternFill>
          <bgColor theme="8" tint="0.79998168889431442"/>
        </patternFill>
      </fill>
    </dxf>
    <dxf>
      <fill>
        <patternFill>
          <bgColor theme="2" tint="-0.24994659260841701"/>
        </patternFill>
      </fill>
    </dxf>
    <dxf>
      <fill>
        <patternFill>
          <bgColor rgb="FFFFFF99"/>
        </patternFill>
      </fill>
    </dxf>
    <dxf>
      <fill>
        <patternFill>
          <bgColor theme="5" tint="0.59996337778862885"/>
        </patternFill>
      </fill>
    </dxf>
    <dxf>
      <fill>
        <patternFill>
          <bgColor theme="9" tint="0.59996337778862885"/>
        </patternFill>
      </fill>
    </dxf>
    <dxf>
      <fill>
        <patternFill>
          <bgColor theme="8" tint="0.79998168889431442"/>
        </patternFill>
      </fill>
    </dxf>
    <dxf>
      <fill>
        <patternFill>
          <bgColor theme="2" tint="-0.24994659260841701"/>
        </patternFill>
      </fill>
    </dxf>
    <dxf>
      <fill>
        <patternFill>
          <bgColor rgb="FFFFFF99"/>
        </patternFill>
      </fill>
    </dxf>
    <dxf>
      <fill>
        <patternFill>
          <bgColor theme="0" tint="-4.9989318521683403E-2"/>
        </patternFill>
      </fill>
    </dxf>
    <dxf>
      <fill>
        <patternFill>
          <bgColor theme="2"/>
        </patternFill>
      </fill>
    </dxf>
    <dxf>
      <font>
        <b/>
        <i val="0"/>
        <color rgb="FFFF0000"/>
      </font>
    </dxf>
    <dxf>
      <font>
        <b/>
        <i val="0"/>
        <color rgb="FFFF0000"/>
      </font>
    </dxf>
    <dxf>
      <font>
        <b/>
        <i val="0"/>
        <color rgb="FFFF0000"/>
      </font>
    </dxf>
    <dxf>
      <fill>
        <patternFill>
          <bgColor rgb="FFFF0000"/>
        </patternFill>
      </fill>
    </dxf>
    <dxf>
      <fill>
        <patternFill>
          <bgColor rgb="FFFF0000"/>
        </patternFill>
      </fill>
    </dxf>
    <dxf>
      <font>
        <b/>
        <i val="0"/>
        <color rgb="FF9C0006"/>
        <name val="ＭＳ Ｐゴシック"/>
        <scheme val="none"/>
      </font>
      <fill>
        <patternFill>
          <bgColor rgb="FFFFC7CE"/>
        </patternFill>
      </fill>
    </dxf>
    <dxf>
      <font>
        <b/>
        <i val="0"/>
        <color rgb="FFC00000"/>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rgb="FF9C0006"/>
        <name val="ＭＳ Ｐゴシック"/>
        <scheme val="none"/>
      </font>
      <fill>
        <patternFill>
          <bgColor rgb="FFFFC7CE"/>
        </patternFill>
      </fill>
    </dxf>
    <dxf>
      <font>
        <b/>
        <i val="0"/>
        <color rgb="FFC00000"/>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rgb="FF9C0006"/>
        <name val="ＭＳ Ｐゴシック"/>
        <scheme val="none"/>
      </font>
      <fill>
        <patternFill>
          <bgColor rgb="FFFFC7CE"/>
        </patternFill>
      </fill>
    </dxf>
    <dxf>
      <font>
        <b/>
        <i val="0"/>
        <color rgb="FFC00000"/>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rgb="FF9C0006"/>
        <name val="ＭＳ Ｐゴシック"/>
        <scheme val="none"/>
      </font>
      <fill>
        <patternFill>
          <bgColor rgb="FFFFC7CE"/>
        </patternFill>
      </fill>
    </dxf>
    <dxf>
      <font>
        <b/>
        <i val="0"/>
        <color rgb="FFC00000"/>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rgb="FFC00000"/>
      </font>
      <fill>
        <patternFill>
          <bgColor rgb="FFFFC7CE"/>
        </patternFill>
      </fill>
    </dxf>
    <dxf>
      <font>
        <b/>
        <i val="0"/>
        <color rgb="FF9C0006"/>
        <name val="ＭＳ Ｐゴシック"/>
        <scheme val="none"/>
      </font>
      <fill>
        <patternFill>
          <bgColor rgb="FFFFC7CE"/>
        </patternFill>
      </fill>
    </dxf>
    <dxf>
      <font>
        <color rgb="FF9C0006"/>
      </font>
      <fill>
        <patternFill>
          <bgColor rgb="FFFFC7CE"/>
        </patternFill>
      </fill>
    </dxf>
    <dxf>
      <font>
        <color rgb="FF9C0006"/>
      </font>
      <fill>
        <patternFill>
          <bgColor rgb="FFFFC7CE"/>
        </patternFill>
      </fill>
    </dxf>
    <dxf>
      <font>
        <b/>
        <i val="0"/>
        <color rgb="FF9C0006"/>
      </font>
      <fill>
        <patternFill>
          <bgColor rgb="FFFFC7CE"/>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rgb="FF9C0006"/>
        <name val="ＭＳ Ｐゴシック"/>
        <scheme val="none"/>
      </font>
      <fill>
        <patternFill>
          <bgColor rgb="FFFFC7CE"/>
        </patternFill>
      </fill>
    </dxf>
    <dxf>
      <font>
        <b/>
        <i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C7CE"/>
      <color rgb="FF9C0006"/>
      <color rgb="FFFFC7FF"/>
      <color rgb="FFFF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7</xdr:col>
      <xdr:colOff>0</xdr:colOff>
      <xdr:row>20</xdr:row>
      <xdr:rowOff>123825</xdr:rowOff>
    </xdr:from>
    <xdr:to>
      <xdr:col>8</xdr:col>
      <xdr:colOff>9525</xdr:colOff>
      <xdr:row>20</xdr:row>
      <xdr:rowOff>123825</xdr:rowOff>
    </xdr:to>
    <xdr:sp macro="" textlink="">
      <xdr:nvSpPr>
        <xdr:cNvPr id="131042" name="Line 30">
          <a:extLst>
            <a:ext uri="{FF2B5EF4-FFF2-40B4-BE49-F238E27FC236}">
              <a16:creationId xmlns:a16="http://schemas.microsoft.com/office/drawing/2014/main" id="{00000000-0008-0000-0100-0000E2FF0100}"/>
            </a:ext>
          </a:extLst>
        </xdr:cNvPr>
        <xdr:cNvSpPr>
          <a:spLocks noChangeShapeType="1"/>
        </xdr:cNvSpPr>
      </xdr:nvSpPr>
      <xdr:spPr bwMode="auto">
        <a:xfrm>
          <a:off x="7162800" y="48006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1043" name="Line 30">
          <a:extLst>
            <a:ext uri="{FF2B5EF4-FFF2-40B4-BE49-F238E27FC236}">
              <a16:creationId xmlns:a16="http://schemas.microsoft.com/office/drawing/2014/main" id="{00000000-0008-0000-0100-0000E3FF0100}"/>
            </a:ext>
          </a:extLst>
        </xdr:cNvPr>
        <xdr:cNvSpPr>
          <a:spLocks noChangeShapeType="1"/>
        </xdr:cNvSpPr>
      </xdr:nvSpPr>
      <xdr:spPr bwMode="auto">
        <a:xfrm>
          <a:off x="7162800" y="57150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1044" name="Line 30">
          <a:extLst>
            <a:ext uri="{FF2B5EF4-FFF2-40B4-BE49-F238E27FC236}">
              <a16:creationId xmlns:a16="http://schemas.microsoft.com/office/drawing/2014/main" id="{00000000-0008-0000-0100-0000E4FF0100}"/>
            </a:ext>
          </a:extLst>
        </xdr:cNvPr>
        <xdr:cNvSpPr>
          <a:spLocks noChangeShapeType="1"/>
        </xdr:cNvSpPr>
      </xdr:nvSpPr>
      <xdr:spPr bwMode="auto">
        <a:xfrm>
          <a:off x="7162800" y="6172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1045" name="Line 30">
          <a:extLst>
            <a:ext uri="{FF2B5EF4-FFF2-40B4-BE49-F238E27FC236}">
              <a16:creationId xmlns:a16="http://schemas.microsoft.com/office/drawing/2014/main" id="{00000000-0008-0000-0100-0000E5FF0100}"/>
            </a:ext>
          </a:extLst>
        </xdr:cNvPr>
        <xdr:cNvSpPr>
          <a:spLocks noChangeShapeType="1"/>
        </xdr:cNvSpPr>
      </xdr:nvSpPr>
      <xdr:spPr bwMode="auto">
        <a:xfrm>
          <a:off x="7172325" y="6619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1046" name="Line 30">
          <a:extLst>
            <a:ext uri="{FF2B5EF4-FFF2-40B4-BE49-F238E27FC236}">
              <a16:creationId xmlns:a16="http://schemas.microsoft.com/office/drawing/2014/main" id="{00000000-0008-0000-0100-0000E6FF0100}"/>
            </a:ext>
          </a:extLst>
        </xdr:cNvPr>
        <xdr:cNvSpPr>
          <a:spLocks noChangeShapeType="1"/>
        </xdr:cNvSpPr>
      </xdr:nvSpPr>
      <xdr:spPr bwMode="auto">
        <a:xfrm>
          <a:off x="7162800" y="70866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1047" name="Line 30">
          <a:extLst>
            <a:ext uri="{FF2B5EF4-FFF2-40B4-BE49-F238E27FC236}">
              <a16:creationId xmlns:a16="http://schemas.microsoft.com/office/drawing/2014/main" id="{00000000-0008-0000-0100-0000E7FF0100}"/>
            </a:ext>
          </a:extLst>
        </xdr:cNvPr>
        <xdr:cNvSpPr>
          <a:spLocks noChangeShapeType="1"/>
        </xdr:cNvSpPr>
      </xdr:nvSpPr>
      <xdr:spPr bwMode="auto">
        <a:xfrm>
          <a:off x="7162800" y="75438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131048" name="Line 30">
          <a:extLst>
            <a:ext uri="{FF2B5EF4-FFF2-40B4-BE49-F238E27FC236}">
              <a16:creationId xmlns:a16="http://schemas.microsoft.com/office/drawing/2014/main" id="{00000000-0008-0000-0100-0000E8FF0100}"/>
            </a:ext>
          </a:extLst>
        </xdr:cNvPr>
        <xdr:cNvSpPr>
          <a:spLocks noChangeShapeType="1"/>
        </xdr:cNvSpPr>
      </xdr:nvSpPr>
      <xdr:spPr bwMode="auto">
        <a:xfrm>
          <a:off x="7162800" y="80010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131049" name="Line 30">
          <a:extLst>
            <a:ext uri="{FF2B5EF4-FFF2-40B4-BE49-F238E27FC236}">
              <a16:creationId xmlns:a16="http://schemas.microsoft.com/office/drawing/2014/main" id="{00000000-0008-0000-0100-0000E9FF0100}"/>
            </a:ext>
          </a:extLst>
        </xdr:cNvPr>
        <xdr:cNvSpPr>
          <a:spLocks noChangeShapeType="1"/>
        </xdr:cNvSpPr>
      </xdr:nvSpPr>
      <xdr:spPr bwMode="auto">
        <a:xfrm>
          <a:off x="7162800" y="121158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1050" name="Line 30">
          <a:extLst>
            <a:ext uri="{FF2B5EF4-FFF2-40B4-BE49-F238E27FC236}">
              <a16:creationId xmlns:a16="http://schemas.microsoft.com/office/drawing/2014/main" id="{00000000-0008-0000-0100-0000EAFF0100}"/>
            </a:ext>
          </a:extLst>
        </xdr:cNvPr>
        <xdr:cNvSpPr>
          <a:spLocks noChangeShapeType="1"/>
        </xdr:cNvSpPr>
      </xdr:nvSpPr>
      <xdr:spPr bwMode="auto">
        <a:xfrm>
          <a:off x="7162800" y="52578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131051" name="Line 30">
          <a:extLst>
            <a:ext uri="{FF2B5EF4-FFF2-40B4-BE49-F238E27FC236}">
              <a16:creationId xmlns:a16="http://schemas.microsoft.com/office/drawing/2014/main" id="{00000000-0008-0000-0100-0000EBFF01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1052" name="Line 30">
          <a:extLst>
            <a:ext uri="{FF2B5EF4-FFF2-40B4-BE49-F238E27FC236}">
              <a16:creationId xmlns:a16="http://schemas.microsoft.com/office/drawing/2014/main" id="{00000000-0008-0000-0100-0000ECFF0100}"/>
            </a:ext>
          </a:extLst>
        </xdr:cNvPr>
        <xdr:cNvSpPr>
          <a:spLocks noChangeShapeType="1"/>
        </xdr:cNvSpPr>
      </xdr:nvSpPr>
      <xdr:spPr bwMode="auto">
        <a:xfrm>
          <a:off x="7162800" y="57150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1053" name="Line 30">
          <a:extLst>
            <a:ext uri="{FF2B5EF4-FFF2-40B4-BE49-F238E27FC236}">
              <a16:creationId xmlns:a16="http://schemas.microsoft.com/office/drawing/2014/main" id="{00000000-0008-0000-0100-0000EDFF0100}"/>
            </a:ext>
          </a:extLst>
        </xdr:cNvPr>
        <xdr:cNvSpPr>
          <a:spLocks noChangeShapeType="1"/>
        </xdr:cNvSpPr>
      </xdr:nvSpPr>
      <xdr:spPr bwMode="auto">
        <a:xfrm>
          <a:off x="7162800" y="6172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1054" name="Line 30">
          <a:extLst>
            <a:ext uri="{FF2B5EF4-FFF2-40B4-BE49-F238E27FC236}">
              <a16:creationId xmlns:a16="http://schemas.microsoft.com/office/drawing/2014/main" id="{00000000-0008-0000-0100-0000EEFF0100}"/>
            </a:ext>
          </a:extLst>
        </xdr:cNvPr>
        <xdr:cNvSpPr>
          <a:spLocks noChangeShapeType="1"/>
        </xdr:cNvSpPr>
      </xdr:nvSpPr>
      <xdr:spPr bwMode="auto">
        <a:xfrm>
          <a:off x="7172325" y="6619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1055" name="Line 30">
          <a:extLst>
            <a:ext uri="{FF2B5EF4-FFF2-40B4-BE49-F238E27FC236}">
              <a16:creationId xmlns:a16="http://schemas.microsoft.com/office/drawing/2014/main" id="{00000000-0008-0000-0100-0000EFFF0100}"/>
            </a:ext>
          </a:extLst>
        </xdr:cNvPr>
        <xdr:cNvSpPr>
          <a:spLocks noChangeShapeType="1"/>
        </xdr:cNvSpPr>
      </xdr:nvSpPr>
      <xdr:spPr bwMode="auto">
        <a:xfrm>
          <a:off x="7162800" y="70866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1056" name="Line 30">
          <a:extLst>
            <a:ext uri="{FF2B5EF4-FFF2-40B4-BE49-F238E27FC236}">
              <a16:creationId xmlns:a16="http://schemas.microsoft.com/office/drawing/2014/main" id="{00000000-0008-0000-0100-0000F0FF0100}"/>
            </a:ext>
          </a:extLst>
        </xdr:cNvPr>
        <xdr:cNvSpPr>
          <a:spLocks noChangeShapeType="1"/>
        </xdr:cNvSpPr>
      </xdr:nvSpPr>
      <xdr:spPr bwMode="auto">
        <a:xfrm>
          <a:off x="7162800" y="75438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1057" name="Line 30">
          <a:extLst>
            <a:ext uri="{FF2B5EF4-FFF2-40B4-BE49-F238E27FC236}">
              <a16:creationId xmlns:a16="http://schemas.microsoft.com/office/drawing/2014/main" id="{00000000-0008-0000-0100-0000F1FF0100}"/>
            </a:ext>
          </a:extLst>
        </xdr:cNvPr>
        <xdr:cNvSpPr>
          <a:spLocks noChangeShapeType="1"/>
        </xdr:cNvSpPr>
      </xdr:nvSpPr>
      <xdr:spPr bwMode="auto">
        <a:xfrm>
          <a:off x="7162800" y="52578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131058" name="Line 30">
          <a:extLst>
            <a:ext uri="{FF2B5EF4-FFF2-40B4-BE49-F238E27FC236}">
              <a16:creationId xmlns:a16="http://schemas.microsoft.com/office/drawing/2014/main" id="{00000000-0008-0000-0100-0000F2FF01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131059" name="Line 30">
          <a:extLst>
            <a:ext uri="{FF2B5EF4-FFF2-40B4-BE49-F238E27FC236}">
              <a16:creationId xmlns:a16="http://schemas.microsoft.com/office/drawing/2014/main" id="{00000000-0008-0000-0100-0000F3FF0100}"/>
            </a:ext>
          </a:extLst>
        </xdr:cNvPr>
        <xdr:cNvSpPr>
          <a:spLocks noChangeShapeType="1"/>
        </xdr:cNvSpPr>
      </xdr:nvSpPr>
      <xdr:spPr bwMode="auto">
        <a:xfrm>
          <a:off x="7181850" y="38957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131060" name="Line 30">
          <a:extLst>
            <a:ext uri="{FF2B5EF4-FFF2-40B4-BE49-F238E27FC236}">
              <a16:creationId xmlns:a16="http://schemas.microsoft.com/office/drawing/2014/main" id="{00000000-0008-0000-0100-0000F4FF0100}"/>
            </a:ext>
          </a:extLst>
        </xdr:cNvPr>
        <xdr:cNvSpPr>
          <a:spLocks noChangeShapeType="1"/>
        </xdr:cNvSpPr>
      </xdr:nvSpPr>
      <xdr:spPr bwMode="auto">
        <a:xfrm>
          <a:off x="7162800" y="93726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131061" name="Line 30">
          <a:extLst>
            <a:ext uri="{FF2B5EF4-FFF2-40B4-BE49-F238E27FC236}">
              <a16:creationId xmlns:a16="http://schemas.microsoft.com/office/drawing/2014/main" id="{00000000-0008-0000-0100-0000F5FF0100}"/>
            </a:ext>
          </a:extLst>
        </xdr:cNvPr>
        <xdr:cNvSpPr>
          <a:spLocks noChangeShapeType="1"/>
        </xdr:cNvSpPr>
      </xdr:nvSpPr>
      <xdr:spPr bwMode="auto">
        <a:xfrm>
          <a:off x="7162800" y="98298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131062" name="Line 30">
          <a:extLst>
            <a:ext uri="{FF2B5EF4-FFF2-40B4-BE49-F238E27FC236}">
              <a16:creationId xmlns:a16="http://schemas.microsoft.com/office/drawing/2014/main" id="{00000000-0008-0000-0100-0000F6FF0100}"/>
            </a:ext>
          </a:extLst>
        </xdr:cNvPr>
        <xdr:cNvSpPr>
          <a:spLocks noChangeShapeType="1"/>
        </xdr:cNvSpPr>
      </xdr:nvSpPr>
      <xdr:spPr bwMode="auto">
        <a:xfrm>
          <a:off x="7162800" y="93726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131063" name="Line 30">
          <a:extLst>
            <a:ext uri="{FF2B5EF4-FFF2-40B4-BE49-F238E27FC236}">
              <a16:creationId xmlns:a16="http://schemas.microsoft.com/office/drawing/2014/main" id="{00000000-0008-0000-0100-0000F7FF0100}"/>
            </a:ext>
          </a:extLst>
        </xdr:cNvPr>
        <xdr:cNvSpPr>
          <a:spLocks noChangeShapeType="1"/>
        </xdr:cNvSpPr>
      </xdr:nvSpPr>
      <xdr:spPr bwMode="auto">
        <a:xfrm>
          <a:off x="7162800" y="8458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131064" name="Line 30">
          <a:extLst>
            <a:ext uri="{FF2B5EF4-FFF2-40B4-BE49-F238E27FC236}">
              <a16:creationId xmlns:a16="http://schemas.microsoft.com/office/drawing/2014/main" id="{00000000-0008-0000-0100-0000F8FF0100}"/>
            </a:ext>
          </a:extLst>
        </xdr:cNvPr>
        <xdr:cNvSpPr>
          <a:spLocks noChangeShapeType="1"/>
        </xdr:cNvSpPr>
      </xdr:nvSpPr>
      <xdr:spPr bwMode="auto">
        <a:xfrm>
          <a:off x="7162800" y="8915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131065" name="Line 30">
          <a:extLst>
            <a:ext uri="{FF2B5EF4-FFF2-40B4-BE49-F238E27FC236}">
              <a16:creationId xmlns:a16="http://schemas.microsoft.com/office/drawing/2014/main" id="{00000000-0008-0000-0100-0000F9FF0100}"/>
            </a:ext>
          </a:extLst>
        </xdr:cNvPr>
        <xdr:cNvSpPr>
          <a:spLocks noChangeShapeType="1"/>
        </xdr:cNvSpPr>
      </xdr:nvSpPr>
      <xdr:spPr bwMode="auto">
        <a:xfrm>
          <a:off x="7162800" y="8458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131066" name="Line 30">
          <a:extLst>
            <a:ext uri="{FF2B5EF4-FFF2-40B4-BE49-F238E27FC236}">
              <a16:creationId xmlns:a16="http://schemas.microsoft.com/office/drawing/2014/main" id="{00000000-0008-0000-0100-0000FAFF0100}"/>
            </a:ext>
          </a:extLst>
        </xdr:cNvPr>
        <xdr:cNvSpPr>
          <a:spLocks noChangeShapeType="1"/>
        </xdr:cNvSpPr>
      </xdr:nvSpPr>
      <xdr:spPr bwMode="auto">
        <a:xfrm>
          <a:off x="7162800" y="102870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131067" name="Line 30">
          <a:extLst>
            <a:ext uri="{FF2B5EF4-FFF2-40B4-BE49-F238E27FC236}">
              <a16:creationId xmlns:a16="http://schemas.microsoft.com/office/drawing/2014/main" id="{00000000-0008-0000-0100-0000FBFF0100}"/>
            </a:ext>
          </a:extLst>
        </xdr:cNvPr>
        <xdr:cNvSpPr>
          <a:spLocks noChangeShapeType="1"/>
        </xdr:cNvSpPr>
      </xdr:nvSpPr>
      <xdr:spPr bwMode="auto">
        <a:xfrm>
          <a:off x="7162800" y="10744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131068" name="Line 30">
          <a:extLst>
            <a:ext uri="{FF2B5EF4-FFF2-40B4-BE49-F238E27FC236}">
              <a16:creationId xmlns:a16="http://schemas.microsoft.com/office/drawing/2014/main" id="{00000000-0008-0000-0100-0000FCFF0100}"/>
            </a:ext>
          </a:extLst>
        </xdr:cNvPr>
        <xdr:cNvSpPr>
          <a:spLocks noChangeShapeType="1"/>
        </xdr:cNvSpPr>
      </xdr:nvSpPr>
      <xdr:spPr bwMode="auto">
        <a:xfrm>
          <a:off x="7162800" y="102870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131069" name="Line 30">
          <a:extLst>
            <a:ext uri="{FF2B5EF4-FFF2-40B4-BE49-F238E27FC236}">
              <a16:creationId xmlns:a16="http://schemas.microsoft.com/office/drawing/2014/main" id="{00000000-0008-0000-0100-0000FDFF0100}"/>
            </a:ext>
          </a:extLst>
        </xdr:cNvPr>
        <xdr:cNvSpPr>
          <a:spLocks noChangeShapeType="1"/>
        </xdr:cNvSpPr>
      </xdr:nvSpPr>
      <xdr:spPr bwMode="auto">
        <a:xfrm>
          <a:off x="7162800" y="116586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131070" name="Line 30">
          <a:extLst>
            <a:ext uri="{FF2B5EF4-FFF2-40B4-BE49-F238E27FC236}">
              <a16:creationId xmlns:a16="http://schemas.microsoft.com/office/drawing/2014/main" id="{00000000-0008-0000-0100-0000FEFF0100}"/>
            </a:ext>
          </a:extLst>
        </xdr:cNvPr>
        <xdr:cNvSpPr>
          <a:spLocks noChangeShapeType="1"/>
        </xdr:cNvSpPr>
      </xdr:nvSpPr>
      <xdr:spPr bwMode="auto">
        <a:xfrm>
          <a:off x="7162800" y="116586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131071" name="Line 30">
          <a:extLst>
            <a:ext uri="{FF2B5EF4-FFF2-40B4-BE49-F238E27FC236}">
              <a16:creationId xmlns:a16="http://schemas.microsoft.com/office/drawing/2014/main" id="{00000000-0008-0000-0100-0000FFFF0100}"/>
            </a:ext>
          </a:extLst>
        </xdr:cNvPr>
        <xdr:cNvSpPr>
          <a:spLocks noChangeShapeType="1"/>
        </xdr:cNvSpPr>
      </xdr:nvSpPr>
      <xdr:spPr bwMode="auto">
        <a:xfrm>
          <a:off x="7162800" y="11201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139264" name="Line 30">
          <a:extLst>
            <a:ext uri="{FF2B5EF4-FFF2-40B4-BE49-F238E27FC236}">
              <a16:creationId xmlns:a16="http://schemas.microsoft.com/office/drawing/2014/main" id="{00000000-0008-0000-0100-000000200200}"/>
            </a:ext>
          </a:extLst>
        </xdr:cNvPr>
        <xdr:cNvSpPr>
          <a:spLocks noChangeShapeType="1"/>
        </xdr:cNvSpPr>
      </xdr:nvSpPr>
      <xdr:spPr bwMode="auto">
        <a:xfrm>
          <a:off x="7162800" y="11201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20</xdr:row>
      <xdr:rowOff>123825</xdr:rowOff>
    </xdr:from>
    <xdr:to>
      <xdr:col>8</xdr:col>
      <xdr:colOff>9525</xdr:colOff>
      <xdr:row>20</xdr:row>
      <xdr:rowOff>123825</xdr:rowOff>
    </xdr:to>
    <xdr:sp macro="" textlink="">
      <xdr:nvSpPr>
        <xdr:cNvPr id="131954" name="Line 30">
          <a:extLst>
            <a:ext uri="{FF2B5EF4-FFF2-40B4-BE49-F238E27FC236}">
              <a16:creationId xmlns:a16="http://schemas.microsoft.com/office/drawing/2014/main" id="{00000000-0008-0000-0200-000072030200}"/>
            </a:ext>
          </a:extLst>
        </xdr:cNvPr>
        <xdr:cNvSpPr>
          <a:spLocks noChangeShapeType="1"/>
        </xdr:cNvSpPr>
      </xdr:nvSpPr>
      <xdr:spPr bwMode="auto">
        <a:xfrm>
          <a:off x="6400800" y="50101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1955" name="Line 30">
          <a:extLst>
            <a:ext uri="{FF2B5EF4-FFF2-40B4-BE49-F238E27FC236}">
              <a16:creationId xmlns:a16="http://schemas.microsoft.com/office/drawing/2014/main" id="{00000000-0008-0000-0200-00007303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1956" name="Line 30">
          <a:extLst>
            <a:ext uri="{FF2B5EF4-FFF2-40B4-BE49-F238E27FC236}">
              <a16:creationId xmlns:a16="http://schemas.microsoft.com/office/drawing/2014/main" id="{00000000-0008-0000-0200-00007403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1957" name="Line 30">
          <a:extLst>
            <a:ext uri="{FF2B5EF4-FFF2-40B4-BE49-F238E27FC236}">
              <a16:creationId xmlns:a16="http://schemas.microsoft.com/office/drawing/2014/main" id="{00000000-0008-0000-0200-00007503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1958" name="Line 30">
          <a:extLst>
            <a:ext uri="{FF2B5EF4-FFF2-40B4-BE49-F238E27FC236}">
              <a16:creationId xmlns:a16="http://schemas.microsoft.com/office/drawing/2014/main" id="{00000000-0008-0000-0200-00007603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1959" name="Line 30">
          <a:extLst>
            <a:ext uri="{FF2B5EF4-FFF2-40B4-BE49-F238E27FC236}">
              <a16:creationId xmlns:a16="http://schemas.microsoft.com/office/drawing/2014/main" id="{00000000-0008-0000-0200-00007703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131960" name="Line 30">
          <a:extLst>
            <a:ext uri="{FF2B5EF4-FFF2-40B4-BE49-F238E27FC236}">
              <a16:creationId xmlns:a16="http://schemas.microsoft.com/office/drawing/2014/main" id="{00000000-0008-0000-0200-000078030200}"/>
            </a:ext>
          </a:extLst>
        </xdr:cNvPr>
        <xdr:cNvSpPr>
          <a:spLocks noChangeShapeType="1"/>
        </xdr:cNvSpPr>
      </xdr:nvSpPr>
      <xdr:spPr bwMode="auto">
        <a:xfrm>
          <a:off x="6400800" y="84772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131961" name="Line 30">
          <a:extLst>
            <a:ext uri="{FF2B5EF4-FFF2-40B4-BE49-F238E27FC236}">
              <a16:creationId xmlns:a16="http://schemas.microsoft.com/office/drawing/2014/main" id="{00000000-0008-0000-0200-000079030200}"/>
            </a:ext>
          </a:extLst>
        </xdr:cNvPr>
        <xdr:cNvSpPr>
          <a:spLocks noChangeShapeType="1"/>
        </xdr:cNvSpPr>
      </xdr:nvSpPr>
      <xdr:spPr bwMode="auto">
        <a:xfrm>
          <a:off x="6400800" y="89725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1962" name="Line 30">
          <a:extLst>
            <a:ext uri="{FF2B5EF4-FFF2-40B4-BE49-F238E27FC236}">
              <a16:creationId xmlns:a16="http://schemas.microsoft.com/office/drawing/2014/main" id="{00000000-0008-0000-0200-00007A03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131963" name="Line 30">
          <a:extLst>
            <a:ext uri="{FF2B5EF4-FFF2-40B4-BE49-F238E27FC236}">
              <a16:creationId xmlns:a16="http://schemas.microsoft.com/office/drawing/2014/main" id="{00000000-0008-0000-0200-00007B030200}"/>
            </a:ext>
          </a:extLst>
        </xdr:cNvPr>
        <xdr:cNvSpPr>
          <a:spLocks noChangeShapeType="1"/>
        </xdr:cNvSpPr>
      </xdr:nvSpPr>
      <xdr:spPr bwMode="auto">
        <a:xfrm>
          <a:off x="6400800" y="45243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1964" name="Line 30">
          <a:extLst>
            <a:ext uri="{FF2B5EF4-FFF2-40B4-BE49-F238E27FC236}">
              <a16:creationId xmlns:a16="http://schemas.microsoft.com/office/drawing/2014/main" id="{00000000-0008-0000-0200-00007C03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1965" name="Line 30">
          <a:extLst>
            <a:ext uri="{FF2B5EF4-FFF2-40B4-BE49-F238E27FC236}">
              <a16:creationId xmlns:a16="http://schemas.microsoft.com/office/drawing/2014/main" id="{00000000-0008-0000-0200-00007D03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1966" name="Line 30">
          <a:extLst>
            <a:ext uri="{FF2B5EF4-FFF2-40B4-BE49-F238E27FC236}">
              <a16:creationId xmlns:a16="http://schemas.microsoft.com/office/drawing/2014/main" id="{00000000-0008-0000-0200-00007E03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1967" name="Line 30">
          <a:extLst>
            <a:ext uri="{FF2B5EF4-FFF2-40B4-BE49-F238E27FC236}">
              <a16:creationId xmlns:a16="http://schemas.microsoft.com/office/drawing/2014/main" id="{00000000-0008-0000-0200-00007F03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1968" name="Line 30">
          <a:extLst>
            <a:ext uri="{FF2B5EF4-FFF2-40B4-BE49-F238E27FC236}">
              <a16:creationId xmlns:a16="http://schemas.microsoft.com/office/drawing/2014/main" id="{00000000-0008-0000-0200-00008003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1969" name="Line 30">
          <a:extLst>
            <a:ext uri="{FF2B5EF4-FFF2-40B4-BE49-F238E27FC236}">
              <a16:creationId xmlns:a16="http://schemas.microsoft.com/office/drawing/2014/main" id="{00000000-0008-0000-0200-00008103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131970" name="Line 30">
          <a:extLst>
            <a:ext uri="{FF2B5EF4-FFF2-40B4-BE49-F238E27FC236}">
              <a16:creationId xmlns:a16="http://schemas.microsoft.com/office/drawing/2014/main" id="{00000000-0008-0000-0200-000082030200}"/>
            </a:ext>
          </a:extLst>
        </xdr:cNvPr>
        <xdr:cNvSpPr>
          <a:spLocks noChangeShapeType="1"/>
        </xdr:cNvSpPr>
      </xdr:nvSpPr>
      <xdr:spPr bwMode="auto">
        <a:xfrm>
          <a:off x="6419850" y="35433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131971" name="Line 30">
          <a:extLst>
            <a:ext uri="{FF2B5EF4-FFF2-40B4-BE49-F238E27FC236}">
              <a16:creationId xmlns:a16="http://schemas.microsoft.com/office/drawing/2014/main" id="{00000000-0008-0000-0200-000083030200}"/>
            </a:ext>
          </a:extLst>
        </xdr:cNvPr>
        <xdr:cNvSpPr>
          <a:spLocks noChangeShapeType="1"/>
        </xdr:cNvSpPr>
      </xdr:nvSpPr>
      <xdr:spPr bwMode="auto">
        <a:xfrm>
          <a:off x="6419850" y="402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20" name="Line 30">
          <a:extLst>
            <a:ext uri="{FF2B5EF4-FFF2-40B4-BE49-F238E27FC236}">
              <a16:creationId xmlns:a16="http://schemas.microsoft.com/office/drawing/2014/main" id="{00000000-0008-0000-0200-000014000000}"/>
            </a:ext>
          </a:extLst>
        </xdr:cNvPr>
        <xdr:cNvSpPr>
          <a:spLocks noChangeShapeType="1"/>
        </xdr:cNvSpPr>
      </xdr:nvSpPr>
      <xdr:spPr bwMode="auto">
        <a:xfrm>
          <a:off x="8146676" y="8438590"/>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21" name="Line 30">
          <a:extLst>
            <a:ext uri="{FF2B5EF4-FFF2-40B4-BE49-F238E27FC236}">
              <a16:creationId xmlns:a16="http://schemas.microsoft.com/office/drawing/2014/main" id="{00000000-0008-0000-0200-000015000000}"/>
            </a:ext>
          </a:extLst>
        </xdr:cNvPr>
        <xdr:cNvSpPr>
          <a:spLocks noChangeShapeType="1"/>
        </xdr:cNvSpPr>
      </xdr:nvSpPr>
      <xdr:spPr bwMode="auto">
        <a:xfrm>
          <a:off x="8146676" y="8438590"/>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22" name="Line 30">
          <a:extLst>
            <a:ext uri="{FF2B5EF4-FFF2-40B4-BE49-F238E27FC236}">
              <a16:creationId xmlns:a16="http://schemas.microsoft.com/office/drawing/2014/main" id="{00000000-0008-0000-0200-000016000000}"/>
            </a:ext>
          </a:extLst>
        </xdr:cNvPr>
        <xdr:cNvSpPr>
          <a:spLocks noChangeShapeType="1"/>
        </xdr:cNvSpPr>
      </xdr:nvSpPr>
      <xdr:spPr bwMode="auto">
        <a:xfrm>
          <a:off x="8146676" y="8931649"/>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23" name="Line 30">
          <a:extLst>
            <a:ext uri="{FF2B5EF4-FFF2-40B4-BE49-F238E27FC236}">
              <a16:creationId xmlns:a16="http://schemas.microsoft.com/office/drawing/2014/main" id="{00000000-0008-0000-0200-000017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24" name="Line 30">
          <a:extLst>
            <a:ext uri="{FF2B5EF4-FFF2-40B4-BE49-F238E27FC236}">
              <a16:creationId xmlns:a16="http://schemas.microsoft.com/office/drawing/2014/main" id="{00000000-0008-0000-0200-000018000000}"/>
            </a:ext>
          </a:extLst>
        </xdr:cNvPr>
        <xdr:cNvSpPr>
          <a:spLocks noChangeShapeType="1"/>
        </xdr:cNvSpPr>
      </xdr:nvSpPr>
      <xdr:spPr bwMode="auto">
        <a:xfrm>
          <a:off x="8146676" y="8438590"/>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25" name="Line 30">
          <a:extLst>
            <a:ext uri="{FF2B5EF4-FFF2-40B4-BE49-F238E27FC236}">
              <a16:creationId xmlns:a16="http://schemas.microsoft.com/office/drawing/2014/main" id="{00000000-0008-0000-0200-000019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26" name="Line 30">
          <a:extLst>
            <a:ext uri="{FF2B5EF4-FFF2-40B4-BE49-F238E27FC236}">
              <a16:creationId xmlns:a16="http://schemas.microsoft.com/office/drawing/2014/main" id="{00000000-0008-0000-0200-00001A000000}"/>
            </a:ext>
          </a:extLst>
        </xdr:cNvPr>
        <xdr:cNvSpPr>
          <a:spLocks noChangeShapeType="1"/>
        </xdr:cNvSpPr>
      </xdr:nvSpPr>
      <xdr:spPr bwMode="auto">
        <a:xfrm>
          <a:off x="8146676" y="8931649"/>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27" name="Line 30">
          <a:extLst>
            <a:ext uri="{FF2B5EF4-FFF2-40B4-BE49-F238E27FC236}">
              <a16:creationId xmlns:a16="http://schemas.microsoft.com/office/drawing/2014/main" id="{00000000-0008-0000-0200-00001B000000}"/>
            </a:ext>
          </a:extLst>
        </xdr:cNvPr>
        <xdr:cNvSpPr>
          <a:spLocks noChangeShapeType="1"/>
        </xdr:cNvSpPr>
      </xdr:nvSpPr>
      <xdr:spPr bwMode="auto">
        <a:xfrm>
          <a:off x="8146676" y="9424707"/>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28" name="Line 30">
          <a:extLst>
            <a:ext uri="{FF2B5EF4-FFF2-40B4-BE49-F238E27FC236}">
              <a16:creationId xmlns:a16="http://schemas.microsoft.com/office/drawing/2014/main" id="{00000000-0008-0000-0200-00001C000000}"/>
            </a:ext>
          </a:extLst>
        </xdr:cNvPr>
        <xdr:cNvSpPr>
          <a:spLocks noChangeShapeType="1"/>
        </xdr:cNvSpPr>
      </xdr:nvSpPr>
      <xdr:spPr bwMode="auto">
        <a:xfrm>
          <a:off x="8146676" y="9917766"/>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20</xdr:row>
      <xdr:rowOff>123825</xdr:rowOff>
    </xdr:from>
    <xdr:to>
      <xdr:col>8</xdr:col>
      <xdr:colOff>9525</xdr:colOff>
      <xdr:row>20</xdr:row>
      <xdr:rowOff>123825</xdr:rowOff>
    </xdr:to>
    <xdr:sp macro="" textlink="">
      <xdr:nvSpPr>
        <xdr:cNvPr id="29" name="Line 30">
          <a:extLst>
            <a:ext uri="{FF2B5EF4-FFF2-40B4-BE49-F238E27FC236}">
              <a16:creationId xmlns:a16="http://schemas.microsoft.com/office/drawing/2014/main" id="{00000000-0008-0000-0200-00001D000000}"/>
            </a:ext>
          </a:extLst>
        </xdr:cNvPr>
        <xdr:cNvSpPr>
          <a:spLocks noChangeShapeType="1"/>
        </xdr:cNvSpPr>
      </xdr:nvSpPr>
      <xdr:spPr bwMode="auto">
        <a:xfrm>
          <a:off x="7143750" y="4791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30" name="Line 30">
          <a:extLst>
            <a:ext uri="{FF2B5EF4-FFF2-40B4-BE49-F238E27FC236}">
              <a16:creationId xmlns:a16="http://schemas.microsoft.com/office/drawing/2014/main" id="{00000000-0008-0000-0200-00001E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31" name="Line 30">
          <a:extLst>
            <a:ext uri="{FF2B5EF4-FFF2-40B4-BE49-F238E27FC236}">
              <a16:creationId xmlns:a16="http://schemas.microsoft.com/office/drawing/2014/main" id="{00000000-0008-0000-0200-00001F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32" name="Line 30">
          <a:extLst>
            <a:ext uri="{FF2B5EF4-FFF2-40B4-BE49-F238E27FC236}">
              <a16:creationId xmlns:a16="http://schemas.microsoft.com/office/drawing/2014/main" id="{00000000-0008-0000-0200-000020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33" name="Line 30">
          <a:extLst>
            <a:ext uri="{FF2B5EF4-FFF2-40B4-BE49-F238E27FC236}">
              <a16:creationId xmlns:a16="http://schemas.microsoft.com/office/drawing/2014/main" id="{00000000-0008-0000-0200-000021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34" name="Line 30">
          <a:extLst>
            <a:ext uri="{FF2B5EF4-FFF2-40B4-BE49-F238E27FC236}">
              <a16:creationId xmlns:a16="http://schemas.microsoft.com/office/drawing/2014/main" id="{00000000-0008-0000-0200-000022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35" name="Line 30">
          <a:extLst>
            <a:ext uri="{FF2B5EF4-FFF2-40B4-BE49-F238E27FC236}">
              <a16:creationId xmlns:a16="http://schemas.microsoft.com/office/drawing/2014/main" id="{00000000-0008-0000-0200-000023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36" name="Line 30">
          <a:extLst>
            <a:ext uri="{FF2B5EF4-FFF2-40B4-BE49-F238E27FC236}">
              <a16:creationId xmlns:a16="http://schemas.microsoft.com/office/drawing/2014/main" id="{00000000-0008-0000-0200-000024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37" name="Line 30">
          <a:extLst>
            <a:ext uri="{FF2B5EF4-FFF2-40B4-BE49-F238E27FC236}">
              <a16:creationId xmlns:a16="http://schemas.microsoft.com/office/drawing/2014/main" id="{00000000-0008-0000-0200-000025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38" name="Line 30">
          <a:extLst>
            <a:ext uri="{FF2B5EF4-FFF2-40B4-BE49-F238E27FC236}">
              <a16:creationId xmlns:a16="http://schemas.microsoft.com/office/drawing/2014/main" id="{00000000-0008-0000-0200-000026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39" name="Line 30">
          <a:extLst>
            <a:ext uri="{FF2B5EF4-FFF2-40B4-BE49-F238E27FC236}">
              <a16:creationId xmlns:a16="http://schemas.microsoft.com/office/drawing/2014/main" id="{00000000-0008-0000-0200-000027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40" name="Line 30">
          <a:extLst>
            <a:ext uri="{FF2B5EF4-FFF2-40B4-BE49-F238E27FC236}">
              <a16:creationId xmlns:a16="http://schemas.microsoft.com/office/drawing/2014/main" id="{00000000-0008-0000-0200-000028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41" name="Line 30">
          <a:extLst>
            <a:ext uri="{FF2B5EF4-FFF2-40B4-BE49-F238E27FC236}">
              <a16:creationId xmlns:a16="http://schemas.microsoft.com/office/drawing/2014/main" id="{00000000-0008-0000-0200-000029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42" name="Line 30">
          <a:extLst>
            <a:ext uri="{FF2B5EF4-FFF2-40B4-BE49-F238E27FC236}">
              <a16:creationId xmlns:a16="http://schemas.microsoft.com/office/drawing/2014/main" id="{00000000-0008-0000-0200-00002A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43" name="Line 30">
          <a:extLst>
            <a:ext uri="{FF2B5EF4-FFF2-40B4-BE49-F238E27FC236}">
              <a16:creationId xmlns:a16="http://schemas.microsoft.com/office/drawing/2014/main" id="{00000000-0008-0000-0200-00002B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44" name="Line 30">
          <a:extLst>
            <a:ext uri="{FF2B5EF4-FFF2-40B4-BE49-F238E27FC236}">
              <a16:creationId xmlns:a16="http://schemas.microsoft.com/office/drawing/2014/main" id="{00000000-0008-0000-0200-00002C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45" name="Line 30">
          <a:extLst>
            <a:ext uri="{FF2B5EF4-FFF2-40B4-BE49-F238E27FC236}">
              <a16:creationId xmlns:a16="http://schemas.microsoft.com/office/drawing/2014/main" id="{00000000-0008-0000-0200-00002D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47" name="Line 30">
          <a:extLst>
            <a:ext uri="{FF2B5EF4-FFF2-40B4-BE49-F238E27FC236}">
              <a16:creationId xmlns:a16="http://schemas.microsoft.com/office/drawing/2014/main" id="{00000000-0008-0000-0200-00002F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48" name="Line 30">
          <a:extLst>
            <a:ext uri="{FF2B5EF4-FFF2-40B4-BE49-F238E27FC236}">
              <a16:creationId xmlns:a16="http://schemas.microsoft.com/office/drawing/2014/main" id="{00000000-0008-0000-0200-000030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49" name="Line 30">
          <a:extLst>
            <a:ext uri="{FF2B5EF4-FFF2-40B4-BE49-F238E27FC236}">
              <a16:creationId xmlns:a16="http://schemas.microsoft.com/office/drawing/2014/main" id="{00000000-0008-0000-0200-000031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50" name="Line 30">
          <a:extLst>
            <a:ext uri="{FF2B5EF4-FFF2-40B4-BE49-F238E27FC236}">
              <a16:creationId xmlns:a16="http://schemas.microsoft.com/office/drawing/2014/main" id="{00000000-0008-0000-0200-000032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51" name="Line 30">
          <a:extLst>
            <a:ext uri="{FF2B5EF4-FFF2-40B4-BE49-F238E27FC236}">
              <a16:creationId xmlns:a16="http://schemas.microsoft.com/office/drawing/2014/main" id="{00000000-0008-0000-0200-000033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52" name="Line 30">
          <a:extLst>
            <a:ext uri="{FF2B5EF4-FFF2-40B4-BE49-F238E27FC236}">
              <a16:creationId xmlns:a16="http://schemas.microsoft.com/office/drawing/2014/main" id="{00000000-0008-0000-0200-000034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53" name="Line 30">
          <a:extLst>
            <a:ext uri="{FF2B5EF4-FFF2-40B4-BE49-F238E27FC236}">
              <a16:creationId xmlns:a16="http://schemas.microsoft.com/office/drawing/2014/main" id="{00000000-0008-0000-0200-000035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54" name="Line 30">
          <a:extLst>
            <a:ext uri="{FF2B5EF4-FFF2-40B4-BE49-F238E27FC236}">
              <a16:creationId xmlns:a16="http://schemas.microsoft.com/office/drawing/2014/main" id="{00000000-0008-0000-0200-000036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55" name="Line 30">
          <a:extLst>
            <a:ext uri="{FF2B5EF4-FFF2-40B4-BE49-F238E27FC236}">
              <a16:creationId xmlns:a16="http://schemas.microsoft.com/office/drawing/2014/main" id="{00000000-0008-0000-0200-000037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56" name="Line 30">
          <a:extLst>
            <a:ext uri="{FF2B5EF4-FFF2-40B4-BE49-F238E27FC236}">
              <a16:creationId xmlns:a16="http://schemas.microsoft.com/office/drawing/2014/main" id="{00000000-0008-0000-0200-000038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57" name="Line 30">
          <a:extLst>
            <a:ext uri="{FF2B5EF4-FFF2-40B4-BE49-F238E27FC236}">
              <a16:creationId xmlns:a16="http://schemas.microsoft.com/office/drawing/2014/main" id="{00000000-0008-0000-0200-000039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58" name="Line 30">
          <a:extLst>
            <a:ext uri="{FF2B5EF4-FFF2-40B4-BE49-F238E27FC236}">
              <a16:creationId xmlns:a16="http://schemas.microsoft.com/office/drawing/2014/main" id="{00000000-0008-0000-0200-00003A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59" name="Line 30">
          <a:extLst>
            <a:ext uri="{FF2B5EF4-FFF2-40B4-BE49-F238E27FC236}">
              <a16:creationId xmlns:a16="http://schemas.microsoft.com/office/drawing/2014/main" id="{00000000-0008-0000-0200-00003B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20</xdr:row>
      <xdr:rowOff>123825</xdr:rowOff>
    </xdr:from>
    <xdr:to>
      <xdr:col>8</xdr:col>
      <xdr:colOff>9525</xdr:colOff>
      <xdr:row>20</xdr:row>
      <xdr:rowOff>123825</xdr:rowOff>
    </xdr:to>
    <xdr:sp macro="" textlink="">
      <xdr:nvSpPr>
        <xdr:cNvPr id="132978" name="Line 30">
          <a:extLst>
            <a:ext uri="{FF2B5EF4-FFF2-40B4-BE49-F238E27FC236}">
              <a16:creationId xmlns:a16="http://schemas.microsoft.com/office/drawing/2014/main" id="{00000000-0008-0000-0300-000072070200}"/>
            </a:ext>
          </a:extLst>
        </xdr:cNvPr>
        <xdr:cNvSpPr>
          <a:spLocks noChangeShapeType="1"/>
        </xdr:cNvSpPr>
      </xdr:nvSpPr>
      <xdr:spPr bwMode="auto">
        <a:xfrm>
          <a:off x="6400800" y="50101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2979" name="Line 30">
          <a:extLst>
            <a:ext uri="{FF2B5EF4-FFF2-40B4-BE49-F238E27FC236}">
              <a16:creationId xmlns:a16="http://schemas.microsoft.com/office/drawing/2014/main" id="{00000000-0008-0000-0300-00007307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2980" name="Line 30">
          <a:extLst>
            <a:ext uri="{FF2B5EF4-FFF2-40B4-BE49-F238E27FC236}">
              <a16:creationId xmlns:a16="http://schemas.microsoft.com/office/drawing/2014/main" id="{00000000-0008-0000-0300-00007407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2981" name="Line 30">
          <a:extLst>
            <a:ext uri="{FF2B5EF4-FFF2-40B4-BE49-F238E27FC236}">
              <a16:creationId xmlns:a16="http://schemas.microsoft.com/office/drawing/2014/main" id="{00000000-0008-0000-0300-00007507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2982" name="Line 30">
          <a:extLst>
            <a:ext uri="{FF2B5EF4-FFF2-40B4-BE49-F238E27FC236}">
              <a16:creationId xmlns:a16="http://schemas.microsoft.com/office/drawing/2014/main" id="{00000000-0008-0000-0300-00007607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2983" name="Line 30">
          <a:extLst>
            <a:ext uri="{FF2B5EF4-FFF2-40B4-BE49-F238E27FC236}">
              <a16:creationId xmlns:a16="http://schemas.microsoft.com/office/drawing/2014/main" id="{00000000-0008-0000-0300-00007707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132984" name="Line 30">
          <a:extLst>
            <a:ext uri="{FF2B5EF4-FFF2-40B4-BE49-F238E27FC236}">
              <a16:creationId xmlns:a16="http://schemas.microsoft.com/office/drawing/2014/main" id="{00000000-0008-0000-0300-000078070200}"/>
            </a:ext>
          </a:extLst>
        </xdr:cNvPr>
        <xdr:cNvSpPr>
          <a:spLocks noChangeShapeType="1"/>
        </xdr:cNvSpPr>
      </xdr:nvSpPr>
      <xdr:spPr bwMode="auto">
        <a:xfrm>
          <a:off x="6400800" y="84772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132985" name="Line 30">
          <a:extLst>
            <a:ext uri="{FF2B5EF4-FFF2-40B4-BE49-F238E27FC236}">
              <a16:creationId xmlns:a16="http://schemas.microsoft.com/office/drawing/2014/main" id="{00000000-0008-0000-0300-000079070200}"/>
            </a:ext>
          </a:extLst>
        </xdr:cNvPr>
        <xdr:cNvSpPr>
          <a:spLocks noChangeShapeType="1"/>
        </xdr:cNvSpPr>
      </xdr:nvSpPr>
      <xdr:spPr bwMode="auto">
        <a:xfrm>
          <a:off x="6400800" y="89725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2986" name="Line 30">
          <a:extLst>
            <a:ext uri="{FF2B5EF4-FFF2-40B4-BE49-F238E27FC236}">
              <a16:creationId xmlns:a16="http://schemas.microsoft.com/office/drawing/2014/main" id="{00000000-0008-0000-0300-00007A07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132987" name="Line 30">
          <a:extLst>
            <a:ext uri="{FF2B5EF4-FFF2-40B4-BE49-F238E27FC236}">
              <a16:creationId xmlns:a16="http://schemas.microsoft.com/office/drawing/2014/main" id="{00000000-0008-0000-0300-00007B070200}"/>
            </a:ext>
          </a:extLst>
        </xdr:cNvPr>
        <xdr:cNvSpPr>
          <a:spLocks noChangeShapeType="1"/>
        </xdr:cNvSpPr>
      </xdr:nvSpPr>
      <xdr:spPr bwMode="auto">
        <a:xfrm>
          <a:off x="6400800" y="45243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2988" name="Line 30">
          <a:extLst>
            <a:ext uri="{FF2B5EF4-FFF2-40B4-BE49-F238E27FC236}">
              <a16:creationId xmlns:a16="http://schemas.microsoft.com/office/drawing/2014/main" id="{00000000-0008-0000-0300-00007C07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2989" name="Line 30">
          <a:extLst>
            <a:ext uri="{FF2B5EF4-FFF2-40B4-BE49-F238E27FC236}">
              <a16:creationId xmlns:a16="http://schemas.microsoft.com/office/drawing/2014/main" id="{00000000-0008-0000-0300-00007D07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2990" name="Line 30">
          <a:extLst>
            <a:ext uri="{FF2B5EF4-FFF2-40B4-BE49-F238E27FC236}">
              <a16:creationId xmlns:a16="http://schemas.microsoft.com/office/drawing/2014/main" id="{00000000-0008-0000-0300-00007E07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2991" name="Line 30">
          <a:extLst>
            <a:ext uri="{FF2B5EF4-FFF2-40B4-BE49-F238E27FC236}">
              <a16:creationId xmlns:a16="http://schemas.microsoft.com/office/drawing/2014/main" id="{00000000-0008-0000-0300-00007F07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2992" name="Line 30">
          <a:extLst>
            <a:ext uri="{FF2B5EF4-FFF2-40B4-BE49-F238E27FC236}">
              <a16:creationId xmlns:a16="http://schemas.microsoft.com/office/drawing/2014/main" id="{00000000-0008-0000-0300-00008007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2993" name="Line 30">
          <a:extLst>
            <a:ext uri="{FF2B5EF4-FFF2-40B4-BE49-F238E27FC236}">
              <a16:creationId xmlns:a16="http://schemas.microsoft.com/office/drawing/2014/main" id="{00000000-0008-0000-0300-00008107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132994" name="Line 30">
          <a:extLst>
            <a:ext uri="{FF2B5EF4-FFF2-40B4-BE49-F238E27FC236}">
              <a16:creationId xmlns:a16="http://schemas.microsoft.com/office/drawing/2014/main" id="{00000000-0008-0000-0300-000082070200}"/>
            </a:ext>
          </a:extLst>
        </xdr:cNvPr>
        <xdr:cNvSpPr>
          <a:spLocks noChangeShapeType="1"/>
        </xdr:cNvSpPr>
      </xdr:nvSpPr>
      <xdr:spPr bwMode="auto">
        <a:xfrm>
          <a:off x="6419850" y="35433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132995" name="Line 30">
          <a:extLst>
            <a:ext uri="{FF2B5EF4-FFF2-40B4-BE49-F238E27FC236}">
              <a16:creationId xmlns:a16="http://schemas.microsoft.com/office/drawing/2014/main" id="{00000000-0008-0000-0300-000083070200}"/>
            </a:ext>
          </a:extLst>
        </xdr:cNvPr>
        <xdr:cNvSpPr>
          <a:spLocks noChangeShapeType="1"/>
        </xdr:cNvSpPr>
      </xdr:nvSpPr>
      <xdr:spPr bwMode="auto">
        <a:xfrm>
          <a:off x="6419850" y="402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20" name="Line 30">
          <a:extLst>
            <a:ext uri="{FF2B5EF4-FFF2-40B4-BE49-F238E27FC236}">
              <a16:creationId xmlns:a16="http://schemas.microsoft.com/office/drawing/2014/main" id="{00000000-0008-0000-0300-000014000000}"/>
            </a:ext>
          </a:extLst>
        </xdr:cNvPr>
        <xdr:cNvSpPr>
          <a:spLocks noChangeShapeType="1"/>
        </xdr:cNvSpPr>
      </xdr:nvSpPr>
      <xdr:spPr bwMode="auto">
        <a:xfrm>
          <a:off x="8146676" y="498717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21" name="Line 30">
          <a:extLst>
            <a:ext uri="{FF2B5EF4-FFF2-40B4-BE49-F238E27FC236}">
              <a16:creationId xmlns:a16="http://schemas.microsoft.com/office/drawing/2014/main" id="{00000000-0008-0000-0300-000015000000}"/>
            </a:ext>
          </a:extLst>
        </xdr:cNvPr>
        <xdr:cNvSpPr>
          <a:spLocks noChangeShapeType="1"/>
        </xdr:cNvSpPr>
      </xdr:nvSpPr>
      <xdr:spPr bwMode="auto">
        <a:xfrm>
          <a:off x="8146676" y="5973296"/>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22" name="Line 30">
          <a:extLst>
            <a:ext uri="{FF2B5EF4-FFF2-40B4-BE49-F238E27FC236}">
              <a16:creationId xmlns:a16="http://schemas.microsoft.com/office/drawing/2014/main" id="{00000000-0008-0000-0300-000016000000}"/>
            </a:ext>
          </a:extLst>
        </xdr:cNvPr>
        <xdr:cNvSpPr>
          <a:spLocks noChangeShapeType="1"/>
        </xdr:cNvSpPr>
      </xdr:nvSpPr>
      <xdr:spPr bwMode="auto">
        <a:xfrm>
          <a:off x="8146676" y="6466354"/>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23" name="Line 30">
          <a:extLst>
            <a:ext uri="{FF2B5EF4-FFF2-40B4-BE49-F238E27FC236}">
              <a16:creationId xmlns:a16="http://schemas.microsoft.com/office/drawing/2014/main" id="{00000000-0008-0000-0300-000017000000}"/>
            </a:ext>
          </a:extLst>
        </xdr:cNvPr>
        <xdr:cNvSpPr>
          <a:spLocks noChangeShapeType="1"/>
        </xdr:cNvSpPr>
      </xdr:nvSpPr>
      <xdr:spPr bwMode="auto">
        <a:xfrm>
          <a:off x="8156201" y="694988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24" name="Line 30">
          <a:extLst>
            <a:ext uri="{FF2B5EF4-FFF2-40B4-BE49-F238E27FC236}">
              <a16:creationId xmlns:a16="http://schemas.microsoft.com/office/drawing/2014/main" id="{00000000-0008-0000-0300-000018000000}"/>
            </a:ext>
          </a:extLst>
        </xdr:cNvPr>
        <xdr:cNvSpPr>
          <a:spLocks noChangeShapeType="1"/>
        </xdr:cNvSpPr>
      </xdr:nvSpPr>
      <xdr:spPr bwMode="auto">
        <a:xfrm>
          <a:off x="8146676" y="7452472"/>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25" name="Line 30">
          <a:extLst>
            <a:ext uri="{FF2B5EF4-FFF2-40B4-BE49-F238E27FC236}">
              <a16:creationId xmlns:a16="http://schemas.microsoft.com/office/drawing/2014/main" id="{00000000-0008-0000-0300-000019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26" name="Line 30">
          <a:extLst>
            <a:ext uri="{FF2B5EF4-FFF2-40B4-BE49-F238E27FC236}">
              <a16:creationId xmlns:a16="http://schemas.microsoft.com/office/drawing/2014/main" id="{00000000-0008-0000-0300-00001A000000}"/>
            </a:ext>
          </a:extLst>
        </xdr:cNvPr>
        <xdr:cNvSpPr>
          <a:spLocks noChangeShapeType="1"/>
        </xdr:cNvSpPr>
      </xdr:nvSpPr>
      <xdr:spPr bwMode="auto">
        <a:xfrm>
          <a:off x="8146676" y="8438590"/>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27" name="Line 30">
          <a:extLst>
            <a:ext uri="{FF2B5EF4-FFF2-40B4-BE49-F238E27FC236}">
              <a16:creationId xmlns:a16="http://schemas.microsoft.com/office/drawing/2014/main" id="{00000000-0008-0000-0300-00001B000000}"/>
            </a:ext>
          </a:extLst>
        </xdr:cNvPr>
        <xdr:cNvSpPr>
          <a:spLocks noChangeShapeType="1"/>
        </xdr:cNvSpPr>
      </xdr:nvSpPr>
      <xdr:spPr bwMode="auto">
        <a:xfrm>
          <a:off x="8146676" y="5480237"/>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28" name="Line 30">
          <a:extLst>
            <a:ext uri="{FF2B5EF4-FFF2-40B4-BE49-F238E27FC236}">
              <a16:creationId xmlns:a16="http://schemas.microsoft.com/office/drawing/2014/main" id="{00000000-0008-0000-0300-00001C000000}"/>
            </a:ext>
          </a:extLst>
        </xdr:cNvPr>
        <xdr:cNvSpPr>
          <a:spLocks noChangeShapeType="1"/>
        </xdr:cNvSpPr>
      </xdr:nvSpPr>
      <xdr:spPr bwMode="auto">
        <a:xfrm>
          <a:off x="8146676" y="5973296"/>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29" name="Line 30">
          <a:extLst>
            <a:ext uri="{FF2B5EF4-FFF2-40B4-BE49-F238E27FC236}">
              <a16:creationId xmlns:a16="http://schemas.microsoft.com/office/drawing/2014/main" id="{00000000-0008-0000-0300-00001D000000}"/>
            </a:ext>
          </a:extLst>
        </xdr:cNvPr>
        <xdr:cNvSpPr>
          <a:spLocks noChangeShapeType="1"/>
        </xdr:cNvSpPr>
      </xdr:nvSpPr>
      <xdr:spPr bwMode="auto">
        <a:xfrm>
          <a:off x="8146676" y="6466354"/>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30" name="Line 30">
          <a:extLst>
            <a:ext uri="{FF2B5EF4-FFF2-40B4-BE49-F238E27FC236}">
              <a16:creationId xmlns:a16="http://schemas.microsoft.com/office/drawing/2014/main" id="{00000000-0008-0000-0300-00001E000000}"/>
            </a:ext>
          </a:extLst>
        </xdr:cNvPr>
        <xdr:cNvSpPr>
          <a:spLocks noChangeShapeType="1"/>
        </xdr:cNvSpPr>
      </xdr:nvSpPr>
      <xdr:spPr bwMode="auto">
        <a:xfrm>
          <a:off x="8156201" y="694988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31" name="Line 30">
          <a:extLst>
            <a:ext uri="{FF2B5EF4-FFF2-40B4-BE49-F238E27FC236}">
              <a16:creationId xmlns:a16="http://schemas.microsoft.com/office/drawing/2014/main" id="{00000000-0008-0000-0300-00001F000000}"/>
            </a:ext>
          </a:extLst>
        </xdr:cNvPr>
        <xdr:cNvSpPr>
          <a:spLocks noChangeShapeType="1"/>
        </xdr:cNvSpPr>
      </xdr:nvSpPr>
      <xdr:spPr bwMode="auto">
        <a:xfrm>
          <a:off x="8146676" y="7452472"/>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32" name="Line 30">
          <a:extLst>
            <a:ext uri="{FF2B5EF4-FFF2-40B4-BE49-F238E27FC236}">
              <a16:creationId xmlns:a16="http://schemas.microsoft.com/office/drawing/2014/main" id="{00000000-0008-0000-0300-000020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33" name="Line 30">
          <a:extLst>
            <a:ext uri="{FF2B5EF4-FFF2-40B4-BE49-F238E27FC236}">
              <a16:creationId xmlns:a16="http://schemas.microsoft.com/office/drawing/2014/main" id="{00000000-0008-0000-0300-000021000000}"/>
            </a:ext>
          </a:extLst>
        </xdr:cNvPr>
        <xdr:cNvSpPr>
          <a:spLocks noChangeShapeType="1"/>
        </xdr:cNvSpPr>
      </xdr:nvSpPr>
      <xdr:spPr bwMode="auto">
        <a:xfrm>
          <a:off x="8146676" y="5480237"/>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20</xdr:row>
      <xdr:rowOff>123825</xdr:rowOff>
    </xdr:from>
    <xdr:to>
      <xdr:col>8</xdr:col>
      <xdr:colOff>9525</xdr:colOff>
      <xdr:row>20</xdr:row>
      <xdr:rowOff>123825</xdr:rowOff>
    </xdr:to>
    <xdr:sp macro="" textlink="">
      <xdr:nvSpPr>
        <xdr:cNvPr id="34" name="Line 30">
          <a:extLst>
            <a:ext uri="{FF2B5EF4-FFF2-40B4-BE49-F238E27FC236}">
              <a16:creationId xmlns:a16="http://schemas.microsoft.com/office/drawing/2014/main" id="{00000000-0008-0000-0300-000022000000}"/>
            </a:ext>
          </a:extLst>
        </xdr:cNvPr>
        <xdr:cNvSpPr>
          <a:spLocks noChangeShapeType="1"/>
        </xdr:cNvSpPr>
      </xdr:nvSpPr>
      <xdr:spPr bwMode="auto">
        <a:xfrm>
          <a:off x="7143750" y="4791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35" name="Line 30">
          <a:extLst>
            <a:ext uri="{FF2B5EF4-FFF2-40B4-BE49-F238E27FC236}">
              <a16:creationId xmlns:a16="http://schemas.microsoft.com/office/drawing/2014/main" id="{00000000-0008-0000-0300-000023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36" name="Line 30">
          <a:extLst>
            <a:ext uri="{FF2B5EF4-FFF2-40B4-BE49-F238E27FC236}">
              <a16:creationId xmlns:a16="http://schemas.microsoft.com/office/drawing/2014/main" id="{00000000-0008-0000-0300-000024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37" name="Line 30">
          <a:extLst>
            <a:ext uri="{FF2B5EF4-FFF2-40B4-BE49-F238E27FC236}">
              <a16:creationId xmlns:a16="http://schemas.microsoft.com/office/drawing/2014/main" id="{00000000-0008-0000-0300-000025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38" name="Line 30">
          <a:extLst>
            <a:ext uri="{FF2B5EF4-FFF2-40B4-BE49-F238E27FC236}">
              <a16:creationId xmlns:a16="http://schemas.microsoft.com/office/drawing/2014/main" id="{00000000-0008-0000-0300-000026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39" name="Line 30">
          <a:extLst>
            <a:ext uri="{FF2B5EF4-FFF2-40B4-BE49-F238E27FC236}">
              <a16:creationId xmlns:a16="http://schemas.microsoft.com/office/drawing/2014/main" id="{00000000-0008-0000-0300-000027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40" name="Line 30">
          <a:extLst>
            <a:ext uri="{FF2B5EF4-FFF2-40B4-BE49-F238E27FC236}">
              <a16:creationId xmlns:a16="http://schemas.microsoft.com/office/drawing/2014/main" id="{00000000-0008-0000-0300-000028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41" name="Line 30">
          <a:extLst>
            <a:ext uri="{FF2B5EF4-FFF2-40B4-BE49-F238E27FC236}">
              <a16:creationId xmlns:a16="http://schemas.microsoft.com/office/drawing/2014/main" id="{00000000-0008-0000-0300-000029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42" name="Line 30">
          <a:extLst>
            <a:ext uri="{FF2B5EF4-FFF2-40B4-BE49-F238E27FC236}">
              <a16:creationId xmlns:a16="http://schemas.microsoft.com/office/drawing/2014/main" id="{00000000-0008-0000-0300-00002A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43" name="Line 30">
          <a:extLst>
            <a:ext uri="{FF2B5EF4-FFF2-40B4-BE49-F238E27FC236}">
              <a16:creationId xmlns:a16="http://schemas.microsoft.com/office/drawing/2014/main" id="{00000000-0008-0000-0300-00002B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44" name="Line 30">
          <a:extLst>
            <a:ext uri="{FF2B5EF4-FFF2-40B4-BE49-F238E27FC236}">
              <a16:creationId xmlns:a16="http://schemas.microsoft.com/office/drawing/2014/main" id="{00000000-0008-0000-0300-00002C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45" name="Line 30">
          <a:extLst>
            <a:ext uri="{FF2B5EF4-FFF2-40B4-BE49-F238E27FC236}">
              <a16:creationId xmlns:a16="http://schemas.microsoft.com/office/drawing/2014/main" id="{00000000-0008-0000-0300-00002D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46" name="Line 30">
          <a:extLst>
            <a:ext uri="{FF2B5EF4-FFF2-40B4-BE49-F238E27FC236}">
              <a16:creationId xmlns:a16="http://schemas.microsoft.com/office/drawing/2014/main" id="{00000000-0008-0000-0300-00002E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47" name="Line 30">
          <a:extLst>
            <a:ext uri="{FF2B5EF4-FFF2-40B4-BE49-F238E27FC236}">
              <a16:creationId xmlns:a16="http://schemas.microsoft.com/office/drawing/2014/main" id="{00000000-0008-0000-0300-00002F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48" name="Line 30">
          <a:extLst>
            <a:ext uri="{FF2B5EF4-FFF2-40B4-BE49-F238E27FC236}">
              <a16:creationId xmlns:a16="http://schemas.microsoft.com/office/drawing/2014/main" id="{00000000-0008-0000-0300-000030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49" name="Line 30">
          <a:extLst>
            <a:ext uri="{FF2B5EF4-FFF2-40B4-BE49-F238E27FC236}">
              <a16:creationId xmlns:a16="http://schemas.microsoft.com/office/drawing/2014/main" id="{00000000-0008-0000-0300-000031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50" name="Line 30">
          <a:extLst>
            <a:ext uri="{FF2B5EF4-FFF2-40B4-BE49-F238E27FC236}">
              <a16:creationId xmlns:a16="http://schemas.microsoft.com/office/drawing/2014/main" id="{00000000-0008-0000-0300-000032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51" name="Line 30">
          <a:extLst>
            <a:ext uri="{FF2B5EF4-FFF2-40B4-BE49-F238E27FC236}">
              <a16:creationId xmlns:a16="http://schemas.microsoft.com/office/drawing/2014/main" id="{00000000-0008-0000-0300-000033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52" name="Line 30">
          <a:extLst>
            <a:ext uri="{FF2B5EF4-FFF2-40B4-BE49-F238E27FC236}">
              <a16:creationId xmlns:a16="http://schemas.microsoft.com/office/drawing/2014/main" id="{00000000-0008-0000-0300-000034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53" name="Line 30">
          <a:extLst>
            <a:ext uri="{FF2B5EF4-FFF2-40B4-BE49-F238E27FC236}">
              <a16:creationId xmlns:a16="http://schemas.microsoft.com/office/drawing/2014/main" id="{00000000-0008-0000-0300-000035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54" name="Line 30">
          <a:extLst>
            <a:ext uri="{FF2B5EF4-FFF2-40B4-BE49-F238E27FC236}">
              <a16:creationId xmlns:a16="http://schemas.microsoft.com/office/drawing/2014/main" id="{00000000-0008-0000-0300-000036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55" name="Line 30">
          <a:extLst>
            <a:ext uri="{FF2B5EF4-FFF2-40B4-BE49-F238E27FC236}">
              <a16:creationId xmlns:a16="http://schemas.microsoft.com/office/drawing/2014/main" id="{00000000-0008-0000-0300-000037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56" name="Line 30">
          <a:extLst>
            <a:ext uri="{FF2B5EF4-FFF2-40B4-BE49-F238E27FC236}">
              <a16:creationId xmlns:a16="http://schemas.microsoft.com/office/drawing/2014/main" id="{00000000-0008-0000-0300-000038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57" name="Line 30">
          <a:extLst>
            <a:ext uri="{FF2B5EF4-FFF2-40B4-BE49-F238E27FC236}">
              <a16:creationId xmlns:a16="http://schemas.microsoft.com/office/drawing/2014/main" id="{00000000-0008-0000-0300-000039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58" name="Line 30">
          <a:extLst>
            <a:ext uri="{FF2B5EF4-FFF2-40B4-BE49-F238E27FC236}">
              <a16:creationId xmlns:a16="http://schemas.microsoft.com/office/drawing/2014/main" id="{00000000-0008-0000-0300-00003A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59" name="Line 30">
          <a:extLst>
            <a:ext uri="{FF2B5EF4-FFF2-40B4-BE49-F238E27FC236}">
              <a16:creationId xmlns:a16="http://schemas.microsoft.com/office/drawing/2014/main" id="{00000000-0008-0000-0300-00003B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60" name="Line 30">
          <a:extLst>
            <a:ext uri="{FF2B5EF4-FFF2-40B4-BE49-F238E27FC236}">
              <a16:creationId xmlns:a16="http://schemas.microsoft.com/office/drawing/2014/main" id="{00000000-0008-0000-0300-00003C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20</xdr:row>
      <xdr:rowOff>123825</xdr:rowOff>
    </xdr:from>
    <xdr:to>
      <xdr:col>8</xdr:col>
      <xdr:colOff>9525</xdr:colOff>
      <xdr:row>20</xdr:row>
      <xdr:rowOff>123825</xdr:rowOff>
    </xdr:to>
    <xdr:sp macro="" textlink="">
      <xdr:nvSpPr>
        <xdr:cNvPr id="61" name="Line 30">
          <a:extLst>
            <a:ext uri="{FF2B5EF4-FFF2-40B4-BE49-F238E27FC236}">
              <a16:creationId xmlns:a16="http://schemas.microsoft.com/office/drawing/2014/main" id="{00000000-0008-0000-0300-00003D000000}"/>
            </a:ext>
          </a:extLst>
        </xdr:cNvPr>
        <xdr:cNvSpPr>
          <a:spLocks noChangeShapeType="1"/>
        </xdr:cNvSpPr>
      </xdr:nvSpPr>
      <xdr:spPr bwMode="auto">
        <a:xfrm>
          <a:off x="7143750" y="4791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62" name="Line 30">
          <a:extLst>
            <a:ext uri="{FF2B5EF4-FFF2-40B4-BE49-F238E27FC236}">
              <a16:creationId xmlns:a16="http://schemas.microsoft.com/office/drawing/2014/main" id="{00000000-0008-0000-0300-00003E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63" name="Line 30">
          <a:extLst>
            <a:ext uri="{FF2B5EF4-FFF2-40B4-BE49-F238E27FC236}">
              <a16:creationId xmlns:a16="http://schemas.microsoft.com/office/drawing/2014/main" id="{00000000-0008-0000-0300-00003F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64" name="Line 30">
          <a:extLst>
            <a:ext uri="{FF2B5EF4-FFF2-40B4-BE49-F238E27FC236}">
              <a16:creationId xmlns:a16="http://schemas.microsoft.com/office/drawing/2014/main" id="{00000000-0008-0000-0300-000040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65" name="Line 30">
          <a:extLst>
            <a:ext uri="{FF2B5EF4-FFF2-40B4-BE49-F238E27FC236}">
              <a16:creationId xmlns:a16="http://schemas.microsoft.com/office/drawing/2014/main" id="{00000000-0008-0000-0300-000041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66" name="Line 30">
          <a:extLst>
            <a:ext uri="{FF2B5EF4-FFF2-40B4-BE49-F238E27FC236}">
              <a16:creationId xmlns:a16="http://schemas.microsoft.com/office/drawing/2014/main" id="{00000000-0008-0000-0300-000042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67" name="Line 30">
          <a:extLst>
            <a:ext uri="{FF2B5EF4-FFF2-40B4-BE49-F238E27FC236}">
              <a16:creationId xmlns:a16="http://schemas.microsoft.com/office/drawing/2014/main" id="{00000000-0008-0000-0300-000043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68" name="Line 30">
          <a:extLst>
            <a:ext uri="{FF2B5EF4-FFF2-40B4-BE49-F238E27FC236}">
              <a16:creationId xmlns:a16="http://schemas.microsoft.com/office/drawing/2014/main" id="{00000000-0008-0000-0300-000044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69" name="Line 30">
          <a:extLst>
            <a:ext uri="{FF2B5EF4-FFF2-40B4-BE49-F238E27FC236}">
              <a16:creationId xmlns:a16="http://schemas.microsoft.com/office/drawing/2014/main" id="{00000000-0008-0000-0300-000045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70" name="Line 30">
          <a:extLst>
            <a:ext uri="{FF2B5EF4-FFF2-40B4-BE49-F238E27FC236}">
              <a16:creationId xmlns:a16="http://schemas.microsoft.com/office/drawing/2014/main" id="{00000000-0008-0000-0300-000046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71" name="Line 30">
          <a:extLst>
            <a:ext uri="{FF2B5EF4-FFF2-40B4-BE49-F238E27FC236}">
              <a16:creationId xmlns:a16="http://schemas.microsoft.com/office/drawing/2014/main" id="{00000000-0008-0000-0300-000047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72" name="Line 30">
          <a:extLst>
            <a:ext uri="{FF2B5EF4-FFF2-40B4-BE49-F238E27FC236}">
              <a16:creationId xmlns:a16="http://schemas.microsoft.com/office/drawing/2014/main" id="{00000000-0008-0000-0300-000048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73" name="Line 30">
          <a:extLst>
            <a:ext uri="{FF2B5EF4-FFF2-40B4-BE49-F238E27FC236}">
              <a16:creationId xmlns:a16="http://schemas.microsoft.com/office/drawing/2014/main" id="{00000000-0008-0000-0300-000049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74" name="Line 30">
          <a:extLst>
            <a:ext uri="{FF2B5EF4-FFF2-40B4-BE49-F238E27FC236}">
              <a16:creationId xmlns:a16="http://schemas.microsoft.com/office/drawing/2014/main" id="{00000000-0008-0000-0300-00004A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75" name="Line 30">
          <a:extLst>
            <a:ext uri="{FF2B5EF4-FFF2-40B4-BE49-F238E27FC236}">
              <a16:creationId xmlns:a16="http://schemas.microsoft.com/office/drawing/2014/main" id="{00000000-0008-0000-0300-00004B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76" name="Line 30">
          <a:extLst>
            <a:ext uri="{FF2B5EF4-FFF2-40B4-BE49-F238E27FC236}">
              <a16:creationId xmlns:a16="http://schemas.microsoft.com/office/drawing/2014/main" id="{00000000-0008-0000-0300-00004C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77" name="Line 30">
          <a:extLst>
            <a:ext uri="{FF2B5EF4-FFF2-40B4-BE49-F238E27FC236}">
              <a16:creationId xmlns:a16="http://schemas.microsoft.com/office/drawing/2014/main" id="{00000000-0008-0000-0300-00004D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78" name="Line 30">
          <a:extLst>
            <a:ext uri="{FF2B5EF4-FFF2-40B4-BE49-F238E27FC236}">
              <a16:creationId xmlns:a16="http://schemas.microsoft.com/office/drawing/2014/main" id="{00000000-0008-0000-0300-00004E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79" name="Line 30">
          <a:extLst>
            <a:ext uri="{FF2B5EF4-FFF2-40B4-BE49-F238E27FC236}">
              <a16:creationId xmlns:a16="http://schemas.microsoft.com/office/drawing/2014/main" id="{00000000-0008-0000-0300-00004F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80" name="Line 30">
          <a:extLst>
            <a:ext uri="{FF2B5EF4-FFF2-40B4-BE49-F238E27FC236}">
              <a16:creationId xmlns:a16="http://schemas.microsoft.com/office/drawing/2014/main" id="{00000000-0008-0000-0300-000050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81" name="Line 30">
          <a:extLst>
            <a:ext uri="{FF2B5EF4-FFF2-40B4-BE49-F238E27FC236}">
              <a16:creationId xmlns:a16="http://schemas.microsoft.com/office/drawing/2014/main" id="{00000000-0008-0000-0300-000051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82" name="Line 30">
          <a:extLst>
            <a:ext uri="{FF2B5EF4-FFF2-40B4-BE49-F238E27FC236}">
              <a16:creationId xmlns:a16="http://schemas.microsoft.com/office/drawing/2014/main" id="{00000000-0008-0000-0300-000052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83" name="Line 30">
          <a:extLst>
            <a:ext uri="{FF2B5EF4-FFF2-40B4-BE49-F238E27FC236}">
              <a16:creationId xmlns:a16="http://schemas.microsoft.com/office/drawing/2014/main" id="{00000000-0008-0000-0300-000053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84" name="Line 30">
          <a:extLst>
            <a:ext uri="{FF2B5EF4-FFF2-40B4-BE49-F238E27FC236}">
              <a16:creationId xmlns:a16="http://schemas.microsoft.com/office/drawing/2014/main" id="{00000000-0008-0000-0300-000054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85" name="Line 30">
          <a:extLst>
            <a:ext uri="{FF2B5EF4-FFF2-40B4-BE49-F238E27FC236}">
              <a16:creationId xmlns:a16="http://schemas.microsoft.com/office/drawing/2014/main" id="{00000000-0008-0000-0300-000055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86" name="Line 30">
          <a:extLst>
            <a:ext uri="{FF2B5EF4-FFF2-40B4-BE49-F238E27FC236}">
              <a16:creationId xmlns:a16="http://schemas.microsoft.com/office/drawing/2014/main" id="{00000000-0008-0000-0300-000056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87" name="Line 30">
          <a:extLst>
            <a:ext uri="{FF2B5EF4-FFF2-40B4-BE49-F238E27FC236}">
              <a16:creationId xmlns:a16="http://schemas.microsoft.com/office/drawing/2014/main" id="{00000000-0008-0000-0300-000057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88" name="Line 30">
          <a:extLst>
            <a:ext uri="{FF2B5EF4-FFF2-40B4-BE49-F238E27FC236}">
              <a16:creationId xmlns:a16="http://schemas.microsoft.com/office/drawing/2014/main" id="{00000000-0008-0000-0300-000058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89" name="Line 30">
          <a:extLst>
            <a:ext uri="{FF2B5EF4-FFF2-40B4-BE49-F238E27FC236}">
              <a16:creationId xmlns:a16="http://schemas.microsoft.com/office/drawing/2014/main" id="{00000000-0008-0000-0300-000059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90" name="Line 30">
          <a:extLst>
            <a:ext uri="{FF2B5EF4-FFF2-40B4-BE49-F238E27FC236}">
              <a16:creationId xmlns:a16="http://schemas.microsoft.com/office/drawing/2014/main" id="{00000000-0008-0000-0300-00005A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91" name="Line 30">
          <a:extLst>
            <a:ext uri="{FF2B5EF4-FFF2-40B4-BE49-F238E27FC236}">
              <a16:creationId xmlns:a16="http://schemas.microsoft.com/office/drawing/2014/main" id="{00000000-0008-0000-0300-00005B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20</xdr:row>
      <xdr:rowOff>123825</xdr:rowOff>
    </xdr:from>
    <xdr:to>
      <xdr:col>8</xdr:col>
      <xdr:colOff>9525</xdr:colOff>
      <xdr:row>20</xdr:row>
      <xdr:rowOff>123825</xdr:rowOff>
    </xdr:to>
    <xdr:sp macro="" textlink="">
      <xdr:nvSpPr>
        <xdr:cNvPr id="134002" name="Line 30">
          <a:extLst>
            <a:ext uri="{FF2B5EF4-FFF2-40B4-BE49-F238E27FC236}">
              <a16:creationId xmlns:a16="http://schemas.microsoft.com/office/drawing/2014/main" id="{00000000-0008-0000-0400-0000720B0200}"/>
            </a:ext>
          </a:extLst>
        </xdr:cNvPr>
        <xdr:cNvSpPr>
          <a:spLocks noChangeShapeType="1"/>
        </xdr:cNvSpPr>
      </xdr:nvSpPr>
      <xdr:spPr bwMode="auto">
        <a:xfrm>
          <a:off x="6400800" y="50101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4003" name="Line 30">
          <a:extLst>
            <a:ext uri="{FF2B5EF4-FFF2-40B4-BE49-F238E27FC236}">
              <a16:creationId xmlns:a16="http://schemas.microsoft.com/office/drawing/2014/main" id="{00000000-0008-0000-0400-0000730B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4004" name="Line 30">
          <a:extLst>
            <a:ext uri="{FF2B5EF4-FFF2-40B4-BE49-F238E27FC236}">
              <a16:creationId xmlns:a16="http://schemas.microsoft.com/office/drawing/2014/main" id="{00000000-0008-0000-0400-0000740B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4005" name="Line 30">
          <a:extLst>
            <a:ext uri="{FF2B5EF4-FFF2-40B4-BE49-F238E27FC236}">
              <a16:creationId xmlns:a16="http://schemas.microsoft.com/office/drawing/2014/main" id="{00000000-0008-0000-0400-0000750B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4006" name="Line 30">
          <a:extLst>
            <a:ext uri="{FF2B5EF4-FFF2-40B4-BE49-F238E27FC236}">
              <a16:creationId xmlns:a16="http://schemas.microsoft.com/office/drawing/2014/main" id="{00000000-0008-0000-0400-0000760B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4007" name="Line 30">
          <a:extLst>
            <a:ext uri="{FF2B5EF4-FFF2-40B4-BE49-F238E27FC236}">
              <a16:creationId xmlns:a16="http://schemas.microsoft.com/office/drawing/2014/main" id="{00000000-0008-0000-0400-0000770B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134008" name="Line 30">
          <a:extLst>
            <a:ext uri="{FF2B5EF4-FFF2-40B4-BE49-F238E27FC236}">
              <a16:creationId xmlns:a16="http://schemas.microsoft.com/office/drawing/2014/main" id="{00000000-0008-0000-0400-0000780B0200}"/>
            </a:ext>
          </a:extLst>
        </xdr:cNvPr>
        <xdr:cNvSpPr>
          <a:spLocks noChangeShapeType="1"/>
        </xdr:cNvSpPr>
      </xdr:nvSpPr>
      <xdr:spPr bwMode="auto">
        <a:xfrm>
          <a:off x="6400800" y="84772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134009" name="Line 30">
          <a:extLst>
            <a:ext uri="{FF2B5EF4-FFF2-40B4-BE49-F238E27FC236}">
              <a16:creationId xmlns:a16="http://schemas.microsoft.com/office/drawing/2014/main" id="{00000000-0008-0000-0400-0000790B0200}"/>
            </a:ext>
          </a:extLst>
        </xdr:cNvPr>
        <xdr:cNvSpPr>
          <a:spLocks noChangeShapeType="1"/>
        </xdr:cNvSpPr>
      </xdr:nvSpPr>
      <xdr:spPr bwMode="auto">
        <a:xfrm>
          <a:off x="6400800" y="89725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4010" name="Line 30">
          <a:extLst>
            <a:ext uri="{FF2B5EF4-FFF2-40B4-BE49-F238E27FC236}">
              <a16:creationId xmlns:a16="http://schemas.microsoft.com/office/drawing/2014/main" id="{00000000-0008-0000-0400-00007A0B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134011" name="Line 30">
          <a:extLst>
            <a:ext uri="{FF2B5EF4-FFF2-40B4-BE49-F238E27FC236}">
              <a16:creationId xmlns:a16="http://schemas.microsoft.com/office/drawing/2014/main" id="{00000000-0008-0000-0400-00007B0B0200}"/>
            </a:ext>
          </a:extLst>
        </xdr:cNvPr>
        <xdr:cNvSpPr>
          <a:spLocks noChangeShapeType="1"/>
        </xdr:cNvSpPr>
      </xdr:nvSpPr>
      <xdr:spPr bwMode="auto">
        <a:xfrm>
          <a:off x="6400800" y="45243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4012" name="Line 30">
          <a:extLst>
            <a:ext uri="{FF2B5EF4-FFF2-40B4-BE49-F238E27FC236}">
              <a16:creationId xmlns:a16="http://schemas.microsoft.com/office/drawing/2014/main" id="{00000000-0008-0000-0400-00007C0B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4013" name="Line 30">
          <a:extLst>
            <a:ext uri="{FF2B5EF4-FFF2-40B4-BE49-F238E27FC236}">
              <a16:creationId xmlns:a16="http://schemas.microsoft.com/office/drawing/2014/main" id="{00000000-0008-0000-0400-00007D0B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4014" name="Line 30">
          <a:extLst>
            <a:ext uri="{FF2B5EF4-FFF2-40B4-BE49-F238E27FC236}">
              <a16:creationId xmlns:a16="http://schemas.microsoft.com/office/drawing/2014/main" id="{00000000-0008-0000-0400-00007E0B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4015" name="Line 30">
          <a:extLst>
            <a:ext uri="{FF2B5EF4-FFF2-40B4-BE49-F238E27FC236}">
              <a16:creationId xmlns:a16="http://schemas.microsoft.com/office/drawing/2014/main" id="{00000000-0008-0000-0400-00007F0B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4016" name="Line 30">
          <a:extLst>
            <a:ext uri="{FF2B5EF4-FFF2-40B4-BE49-F238E27FC236}">
              <a16:creationId xmlns:a16="http://schemas.microsoft.com/office/drawing/2014/main" id="{00000000-0008-0000-0400-0000800B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4017" name="Line 30">
          <a:extLst>
            <a:ext uri="{FF2B5EF4-FFF2-40B4-BE49-F238E27FC236}">
              <a16:creationId xmlns:a16="http://schemas.microsoft.com/office/drawing/2014/main" id="{00000000-0008-0000-0400-0000810B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134018" name="Line 30">
          <a:extLst>
            <a:ext uri="{FF2B5EF4-FFF2-40B4-BE49-F238E27FC236}">
              <a16:creationId xmlns:a16="http://schemas.microsoft.com/office/drawing/2014/main" id="{00000000-0008-0000-0400-0000820B0200}"/>
            </a:ext>
          </a:extLst>
        </xdr:cNvPr>
        <xdr:cNvSpPr>
          <a:spLocks noChangeShapeType="1"/>
        </xdr:cNvSpPr>
      </xdr:nvSpPr>
      <xdr:spPr bwMode="auto">
        <a:xfrm>
          <a:off x="6419850" y="35433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134019" name="Line 30">
          <a:extLst>
            <a:ext uri="{FF2B5EF4-FFF2-40B4-BE49-F238E27FC236}">
              <a16:creationId xmlns:a16="http://schemas.microsoft.com/office/drawing/2014/main" id="{00000000-0008-0000-0400-0000830B0200}"/>
            </a:ext>
          </a:extLst>
        </xdr:cNvPr>
        <xdr:cNvSpPr>
          <a:spLocks noChangeShapeType="1"/>
        </xdr:cNvSpPr>
      </xdr:nvSpPr>
      <xdr:spPr bwMode="auto">
        <a:xfrm>
          <a:off x="6419850" y="402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20" name="Line 30">
          <a:extLst>
            <a:ext uri="{FF2B5EF4-FFF2-40B4-BE49-F238E27FC236}">
              <a16:creationId xmlns:a16="http://schemas.microsoft.com/office/drawing/2014/main" id="{00000000-0008-0000-0400-000014000000}"/>
            </a:ext>
          </a:extLst>
        </xdr:cNvPr>
        <xdr:cNvSpPr>
          <a:spLocks noChangeShapeType="1"/>
        </xdr:cNvSpPr>
      </xdr:nvSpPr>
      <xdr:spPr bwMode="auto">
        <a:xfrm>
          <a:off x="8146676" y="498717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21" name="Line 30">
          <a:extLst>
            <a:ext uri="{FF2B5EF4-FFF2-40B4-BE49-F238E27FC236}">
              <a16:creationId xmlns:a16="http://schemas.microsoft.com/office/drawing/2014/main" id="{00000000-0008-0000-0400-000015000000}"/>
            </a:ext>
          </a:extLst>
        </xdr:cNvPr>
        <xdr:cNvSpPr>
          <a:spLocks noChangeShapeType="1"/>
        </xdr:cNvSpPr>
      </xdr:nvSpPr>
      <xdr:spPr bwMode="auto">
        <a:xfrm>
          <a:off x="8146676" y="5973296"/>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22" name="Line 30">
          <a:extLst>
            <a:ext uri="{FF2B5EF4-FFF2-40B4-BE49-F238E27FC236}">
              <a16:creationId xmlns:a16="http://schemas.microsoft.com/office/drawing/2014/main" id="{00000000-0008-0000-0400-000016000000}"/>
            </a:ext>
          </a:extLst>
        </xdr:cNvPr>
        <xdr:cNvSpPr>
          <a:spLocks noChangeShapeType="1"/>
        </xdr:cNvSpPr>
      </xdr:nvSpPr>
      <xdr:spPr bwMode="auto">
        <a:xfrm>
          <a:off x="8146676" y="6466354"/>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23" name="Line 30">
          <a:extLst>
            <a:ext uri="{FF2B5EF4-FFF2-40B4-BE49-F238E27FC236}">
              <a16:creationId xmlns:a16="http://schemas.microsoft.com/office/drawing/2014/main" id="{00000000-0008-0000-0400-000017000000}"/>
            </a:ext>
          </a:extLst>
        </xdr:cNvPr>
        <xdr:cNvSpPr>
          <a:spLocks noChangeShapeType="1"/>
        </xdr:cNvSpPr>
      </xdr:nvSpPr>
      <xdr:spPr bwMode="auto">
        <a:xfrm>
          <a:off x="8156201" y="694988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24" name="Line 30">
          <a:extLst>
            <a:ext uri="{FF2B5EF4-FFF2-40B4-BE49-F238E27FC236}">
              <a16:creationId xmlns:a16="http://schemas.microsoft.com/office/drawing/2014/main" id="{00000000-0008-0000-0400-000018000000}"/>
            </a:ext>
          </a:extLst>
        </xdr:cNvPr>
        <xdr:cNvSpPr>
          <a:spLocks noChangeShapeType="1"/>
        </xdr:cNvSpPr>
      </xdr:nvSpPr>
      <xdr:spPr bwMode="auto">
        <a:xfrm>
          <a:off x="8146676" y="7452472"/>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25" name="Line 30">
          <a:extLst>
            <a:ext uri="{FF2B5EF4-FFF2-40B4-BE49-F238E27FC236}">
              <a16:creationId xmlns:a16="http://schemas.microsoft.com/office/drawing/2014/main" id="{00000000-0008-0000-0400-000019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26" name="Line 30">
          <a:extLst>
            <a:ext uri="{FF2B5EF4-FFF2-40B4-BE49-F238E27FC236}">
              <a16:creationId xmlns:a16="http://schemas.microsoft.com/office/drawing/2014/main" id="{00000000-0008-0000-0400-00001A000000}"/>
            </a:ext>
          </a:extLst>
        </xdr:cNvPr>
        <xdr:cNvSpPr>
          <a:spLocks noChangeShapeType="1"/>
        </xdr:cNvSpPr>
      </xdr:nvSpPr>
      <xdr:spPr bwMode="auto">
        <a:xfrm>
          <a:off x="8146676" y="8438590"/>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27" name="Line 30">
          <a:extLst>
            <a:ext uri="{FF2B5EF4-FFF2-40B4-BE49-F238E27FC236}">
              <a16:creationId xmlns:a16="http://schemas.microsoft.com/office/drawing/2014/main" id="{00000000-0008-0000-0400-00001B000000}"/>
            </a:ext>
          </a:extLst>
        </xdr:cNvPr>
        <xdr:cNvSpPr>
          <a:spLocks noChangeShapeType="1"/>
        </xdr:cNvSpPr>
      </xdr:nvSpPr>
      <xdr:spPr bwMode="auto">
        <a:xfrm>
          <a:off x="8146676" y="5480237"/>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28" name="Line 30">
          <a:extLst>
            <a:ext uri="{FF2B5EF4-FFF2-40B4-BE49-F238E27FC236}">
              <a16:creationId xmlns:a16="http://schemas.microsoft.com/office/drawing/2014/main" id="{00000000-0008-0000-0400-00001C000000}"/>
            </a:ext>
          </a:extLst>
        </xdr:cNvPr>
        <xdr:cNvSpPr>
          <a:spLocks noChangeShapeType="1"/>
        </xdr:cNvSpPr>
      </xdr:nvSpPr>
      <xdr:spPr bwMode="auto">
        <a:xfrm>
          <a:off x="8146676" y="5973296"/>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29" name="Line 30">
          <a:extLst>
            <a:ext uri="{FF2B5EF4-FFF2-40B4-BE49-F238E27FC236}">
              <a16:creationId xmlns:a16="http://schemas.microsoft.com/office/drawing/2014/main" id="{00000000-0008-0000-0400-00001D000000}"/>
            </a:ext>
          </a:extLst>
        </xdr:cNvPr>
        <xdr:cNvSpPr>
          <a:spLocks noChangeShapeType="1"/>
        </xdr:cNvSpPr>
      </xdr:nvSpPr>
      <xdr:spPr bwMode="auto">
        <a:xfrm>
          <a:off x="8146676" y="6466354"/>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30" name="Line 30">
          <a:extLst>
            <a:ext uri="{FF2B5EF4-FFF2-40B4-BE49-F238E27FC236}">
              <a16:creationId xmlns:a16="http://schemas.microsoft.com/office/drawing/2014/main" id="{00000000-0008-0000-0400-00001E000000}"/>
            </a:ext>
          </a:extLst>
        </xdr:cNvPr>
        <xdr:cNvSpPr>
          <a:spLocks noChangeShapeType="1"/>
        </xdr:cNvSpPr>
      </xdr:nvSpPr>
      <xdr:spPr bwMode="auto">
        <a:xfrm>
          <a:off x="8156201" y="694988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31" name="Line 30">
          <a:extLst>
            <a:ext uri="{FF2B5EF4-FFF2-40B4-BE49-F238E27FC236}">
              <a16:creationId xmlns:a16="http://schemas.microsoft.com/office/drawing/2014/main" id="{00000000-0008-0000-0400-00001F000000}"/>
            </a:ext>
          </a:extLst>
        </xdr:cNvPr>
        <xdr:cNvSpPr>
          <a:spLocks noChangeShapeType="1"/>
        </xdr:cNvSpPr>
      </xdr:nvSpPr>
      <xdr:spPr bwMode="auto">
        <a:xfrm>
          <a:off x="8146676" y="7452472"/>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32" name="Line 30">
          <a:extLst>
            <a:ext uri="{FF2B5EF4-FFF2-40B4-BE49-F238E27FC236}">
              <a16:creationId xmlns:a16="http://schemas.microsoft.com/office/drawing/2014/main" id="{00000000-0008-0000-0400-000020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33" name="Line 30">
          <a:extLst>
            <a:ext uri="{FF2B5EF4-FFF2-40B4-BE49-F238E27FC236}">
              <a16:creationId xmlns:a16="http://schemas.microsoft.com/office/drawing/2014/main" id="{00000000-0008-0000-0400-000021000000}"/>
            </a:ext>
          </a:extLst>
        </xdr:cNvPr>
        <xdr:cNvSpPr>
          <a:spLocks noChangeShapeType="1"/>
        </xdr:cNvSpPr>
      </xdr:nvSpPr>
      <xdr:spPr bwMode="auto">
        <a:xfrm>
          <a:off x="8146676" y="5480237"/>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20</xdr:row>
      <xdr:rowOff>123825</xdr:rowOff>
    </xdr:from>
    <xdr:to>
      <xdr:col>8</xdr:col>
      <xdr:colOff>9525</xdr:colOff>
      <xdr:row>20</xdr:row>
      <xdr:rowOff>123825</xdr:rowOff>
    </xdr:to>
    <xdr:sp macro="" textlink="">
      <xdr:nvSpPr>
        <xdr:cNvPr id="34" name="Line 30">
          <a:extLst>
            <a:ext uri="{FF2B5EF4-FFF2-40B4-BE49-F238E27FC236}">
              <a16:creationId xmlns:a16="http://schemas.microsoft.com/office/drawing/2014/main" id="{00000000-0008-0000-0400-000022000000}"/>
            </a:ext>
          </a:extLst>
        </xdr:cNvPr>
        <xdr:cNvSpPr>
          <a:spLocks noChangeShapeType="1"/>
        </xdr:cNvSpPr>
      </xdr:nvSpPr>
      <xdr:spPr bwMode="auto">
        <a:xfrm>
          <a:off x="7143750" y="4791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35" name="Line 30">
          <a:extLst>
            <a:ext uri="{FF2B5EF4-FFF2-40B4-BE49-F238E27FC236}">
              <a16:creationId xmlns:a16="http://schemas.microsoft.com/office/drawing/2014/main" id="{00000000-0008-0000-0400-000023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36" name="Line 30">
          <a:extLst>
            <a:ext uri="{FF2B5EF4-FFF2-40B4-BE49-F238E27FC236}">
              <a16:creationId xmlns:a16="http://schemas.microsoft.com/office/drawing/2014/main" id="{00000000-0008-0000-0400-000024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37" name="Line 30">
          <a:extLst>
            <a:ext uri="{FF2B5EF4-FFF2-40B4-BE49-F238E27FC236}">
              <a16:creationId xmlns:a16="http://schemas.microsoft.com/office/drawing/2014/main" id="{00000000-0008-0000-0400-000025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38" name="Line 30">
          <a:extLst>
            <a:ext uri="{FF2B5EF4-FFF2-40B4-BE49-F238E27FC236}">
              <a16:creationId xmlns:a16="http://schemas.microsoft.com/office/drawing/2014/main" id="{00000000-0008-0000-0400-000026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39" name="Line 30">
          <a:extLst>
            <a:ext uri="{FF2B5EF4-FFF2-40B4-BE49-F238E27FC236}">
              <a16:creationId xmlns:a16="http://schemas.microsoft.com/office/drawing/2014/main" id="{00000000-0008-0000-0400-000027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40" name="Line 30">
          <a:extLst>
            <a:ext uri="{FF2B5EF4-FFF2-40B4-BE49-F238E27FC236}">
              <a16:creationId xmlns:a16="http://schemas.microsoft.com/office/drawing/2014/main" id="{00000000-0008-0000-0400-000028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41" name="Line 30">
          <a:extLst>
            <a:ext uri="{FF2B5EF4-FFF2-40B4-BE49-F238E27FC236}">
              <a16:creationId xmlns:a16="http://schemas.microsoft.com/office/drawing/2014/main" id="{00000000-0008-0000-0400-000029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42" name="Line 30">
          <a:extLst>
            <a:ext uri="{FF2B5EF4-FFF2-40B4-BE49-F238E27FC236}">
              <a16:creationId xmlns:a16="http://schemas.microsoft.com/office/drawing/2014/main" id="{00000000-0008-0000-0400-00002A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43" name="Line 30">
          <a:extLst>
            <a:ext uri="{FF2B5EF4-FFF2-40B4-BE49-F238E27FC236}">
              <a16:creationId xmlns:a16="http://schemas.microsoft.com/office/drawing/2014/main" id="{00000000-0008-0000-0400-00002B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44" name="Line 30">
          <a:extLst>
            <a:ext uri="{FF2B5EF4-FFF2-40B4-BE49-F238E27FC236}">
              <a16:creationId xmlns:a16="http://schemas.microsoft.com/office/drawing/2014/main" id="{00000000-0008-0000-0400-00002C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45" name="Line 30">
          <a:extLst>
            <a:ext uri="{FF2B5EF4-FFF2-40B4-BE49-F238E27FC236}">
              <a16:creationId xmlns:a16="http://schemas.microsoft.com/office/drawing/2014/main" id="{00000000-0008-0000-0400-00002D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46" name="Line 30">
          <a:extLst>
            <a:ext uri="{FF2B5EF4-FFF2-40B4-BE49-F238E27FC236}">
              <a16:creationId xmlns:a16="http://schemas.microsoft.com/office/drawing/2014/main" id="{00000000-0008-0000-0400-00002E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47" name="Line 30">
          <a:extLst>
            <a:ext uri="{FF2B5EF4-FFF2-40B4-BE49-F238E27FC236}">
              <a16:creationId xmlns:a16="http://schemas.microsoft.com/office/drawing/2014/main" id="{00000000-0008-0000-0400-00002F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48" name="Line 30">
          <a:extLst>
            <a:ext uri="{FF2B5EF4-FFF2-40B4-BE49-F238E27FC236}">
              <a16:creationId xmlns:a16="http://schemas.microsoft.com/office/drawing/2014/main" id="{00000000-0008-0000-0400-000030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49" name="Line 30">
          <a:extLst>
            <a:ext uri="{FF2B5EF4-FFF2-40B4-BE49-F238E27FC236}">
              <a16:creationId xmlns:a16="http://schemas.microsoft.com/office/drawing/2014/main" id="{00000000-0008-0000-0400-000031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50" name="Line 30">
          <a:extLst>
            <a:ext uri="{FF2B5EF4-FFF2-40B4-BE49-F238E27FC236}">
              <a16:creationId xmlns:a16="http://schemas.microsoft.com/office/drawing/2014/main" id="{00000000-0008-0000-0400-000032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51" name="Line 30">
          <a:extLst>
            <a:ext uri="{FF2B5EF4-FFF2-40B4-BE49-F238E27FC236}">
              <a16:creationId xmlns:a16="http://schemas.microsoft.com/office/drawing/2014/main" id="{00000000-0008-0000-0400-000033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52" name="Line 30">
          <a:extLst>
            <a:ext uri="{FF2B5EF4-FFF2-40B4-BE49-F238E27FC236}">
              <a16:creationId xmlns:a16="http://schemas.microsoft.com/office/drawing/2014/main" id="{00000000-0008-0000-0400-000034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53" name="Line 30">
          <a:extLst>
            <a:ext uri="{FF2B5EF4-FFF2-40B4-BE49-F238E27FC236}">
              <a16:creationId xmlns:a16="http://schemas.microsoft.com/office/drawing/2014/main" id="{00000000-0008-0000-0400-000035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54" name="Line 30">
          <a:extLst>
            <a:ext uri="{FF2B5EF4-FFF2-40B4-BE49-F238E27FC236}">
              <a16:creationId xmlns:a16="http://schemas.microsoft.com/office/drawing/2014/main" id="{00000000-0008-0000-0400-000036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55" name="Line 30">
          <a:extLst>
            <a:ext uri="{FF2B5EF4-FFF2-40B4-BE49-F238E27FC236}">
              <a16:creationId xmlns:a16="http://schemas.microsoft.com/office/drawing/2014/main" id="{00000000-0008-0000-0400-000037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56" name="Line 30">
          <a:extLst>
            <a:ext uri="{FF2B5EF4-FFF2-40B4-BE49-F238E27FC236}">
              <a16:creationId xmlns:a16="http://schemas.microsoft.com/office/drawing/2014/main" id="{00000000-0008-0000-0400-000038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57" name="Line 30">
          <a:extLst>
            <a:ext uri="{FF2B5EF4-FFF2-40B4-BE49-F238E27FC236}">
              <a16:creationId xmlns:a16="http://schemas.microsoft.com/office/drawing/2014/main" id="{00000000-0008-0000-0400-000039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58" name="Line 30">
          <a:extLst>
            <a:ext uri="{FF2B5EF4-FFF2-40B4-BE49-F238E27FC236}">
              <a16:creationId xmlns:a16="http://schemas.microsoft.com/office/drawing/2014/main" id="{00000000-0008-0000-0400-00003A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59" name="Line 30">
          <a:extLst>
            <a:ext uri="{FF2B5EF4-FFF2-40B4-BE49-F238E27FC236}">
              <a16:creationId xmlns:a16="http://schemas.microsoft.com/office/drawing/2014/main" id="{00000000-0008-0000-0400-00003B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60" name="Line 30">
          <a:extLst>
            <a:ext uri="{FF2B5EF4-FFF2-40B4-BE49-F238E27FC236}">
              <a16:creationId xmlns:a16="http://schemas.microsoft.com/office/drawing/2014/main" id="{00000000-0008-0000-0400-00003C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20</xdr:row>
      <xdr:rowOff>123825</xdr:rowOff>
    </xdr:from>
    <xdr:to>
      <xdr:col>8</xdr:col>
      <xdr:colOff>9525</xdr:colOff>
      <xdr:row>20</xdr:row>
      <xdr:rowOff>123825</xdr:rowOff>
    </xdr:to>
    <xdr:sp macro="" textlink="">
      <xdr:nvSpPr>
        <xdr:cNvPr id="61" name="Line 30">
          <a:extLst>
            <a:ext uri="{FF2B5EF4-FFF2-40B4-BE49-F238E27FC236}">
              <a16:creationId xmlns:a16="http://schemas.microsoft.com/office/drawing/2014/main" id="{00000000-0008-0000-0400-00003D000000}"/>
            </a:ext>
          </a:extLst>
        </xdr:cNvPr>
        <xdr:cNvSpPr>
          <a:spLocks noChangeShapeType="1"/>
        </xdr:cNvSpPr>
      </xdr:nvSpPr>
      <xdr:spPr bwMode="auto">
        <a:xfrm>
          <a:off x="7143750" y="4791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62" name="Line 30">
          <a:extLst>
            <a:ext uri="{FF2B5EF4-FFF2-40B4-BE49-F238E27FC236}">
              <a16:creationId xmlns:a16="http://schemas.microsoft.com/office/drawing/2014/main" id="{00000000-0008-0000-0400-00003E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63" name="Line 30">
          <a:extLst>
            <a:ext uri="{FF2B5EF4-FFF2-40B4-BE49-F238E27FC236}">
              <a16:creationId xmlns:a16="http://schemas.microsoft.com/office/drawing/2014/main" id="{00000000-0008-0000-0400-00003F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64" name="Line 30">
          <a:extLst>
            <a:ext uri="{FF2B5EF4-FFF2-40B4-BE49-F238E27FC236}">
              <a16:creationId xmlns:a16="http://schemas.microsoft.com/office/drawing/2014/main" id="{00000000-0008-0000-0400-000040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65" name="Line 30">
          <a:extLst>
            <a:ext uri="{FF2B5EF4-FFF2-40B4-BE49-F238E27FC236}">
              <a16:creationId xmlns:a16="http://schemas.microsoft.com/office/drawing/2014/main" id="{00000000-0008-0000-0400-000041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66" name="Line 30">
          <a:extLst>
            <a:ext uri="{FF2B5EF4-FFF2-40B4-BE49-F238E27FC236}">
              <a16:creationId xmlns:a16="http://schemas.microsoft.com/office/drawing/2014/main" id="{00000000-0008-0000-0400-000042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67" name="Line 30">
          <a:extLst>
            <a:ext uri="{FF2B5EF4-FFF2-40B4-BE49-F238E27FC236}">
              <a16:creationId xmlns:a16="http://schemas.microsoft.com/office/drawing/2014/main" id="{00000000-0008-0000-0400-000043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68" name="Line 30">
          <a:extLst>
            <a:ext uri="{FF2B5EF4-FFF2-40B4-BE49-F238E27FC236}">
              <a16:creationId xmlns:a16="http://schemas.microsoft.com/office/drawing/2014/main" id="{00000000-0008-0000-0400-000044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69" name="Line 30">
          <a:extLst>
            <a:ext uri="{FF2B5EF4-FFF2-40B4-BE49-F238E27FC236}">
              <a16:creationId xmlns:a16="http://schemas.microsoft.com/office/drawing/2014/main" id="{00000000-0008-0000-0400-000045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70" name="Line 30">
          <a:extLst>
            <a:ext uri="{FF2B5EF4-FFF2-40B4-BE49-F238E27FC236}">
              <a16:creationId xmlns:a16="http://schemas.microsoft.com/office/drawing/2014/main" id="{00000000-0008-0000-0400-000046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71" name="Line 30">
          <a:extLst>
            <a:ext uri="{FF2B5EF4-FFF2-40B4-BE49-F238E27FC236}">
              <a16:creationId xmlns:a16="http://schemas.microsoft.com/office/drawing/2014/main" id="{00000000-0008-0000-0400-000047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72" name="Line 30">
          <a:extLst>
            <a:ext uri="{FF2B5EF4-FFF2-40B4-BE49-F238E27FC236}">
              <a16:creationId xmlns:a16="http://schemas.microsoft.com/office/drawing/2014/main" id="{00000000-0008-0000-0400-000048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73" name="Line 30">
          <a:extLst>
            <a:ext uri="{FF2B5EF4-FFF2-40B4-BE49-F238E27FC236}">
              <a16:creationId xmlns:a16="http://schemas.microsoft.com/office/drawing/2014/main" id="{00000000-0008-0000-0400-000049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74" name="Line 30">
          <a:extLst>
            <a:ext uri="{FF2B5EF4-FFF2-40B4-BE49-F238E27FC236}">
              <a16:creationId xmlns:a16="http://schemas.microsoft.com/office/drawing/2014/main" id="{00000000-0008-0000-0400-00004A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75" name="Line 30">
          <a:extLst>
            <a:ext uri="{FF2B5EF4-FFF2-40B4-BE49-F238E27FC236}">
              <a16:creationId xmlns:a16="http://schemas.microsoft.com/office/drawing/2014/main" id="{00000000-0008-0000-0400-00004B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76" name="Line 30">
          <a:extLst>
            <a:ext uri="{FF2B5EF4-FFF2-40B4-BE49-F238E27FC236}">
              <a16:creationId xmlns:a16="http://schemas.microsoft.com/office/drawing/2014/main" id="{00000000-0008-0000-0400-00004C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77" name="Line 30">
          <a:extLst>
            <a:ext uri="{FF2B5EF4-FFF2-40B4-BE49-F238E27FC236}">
              <a16:creationId xmlns:a16="http://schemas.microsoft.com/office/drawing/2014/main" id="{00000000-0008-0000-0400-00004D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78" name="Line 30">
          <a:extLst>
            <a:ext uri="{FF2B5EF4-FFF2-40B4-BE49-F238E27FC236}">
              <a16:creationId xmlns:a16="http://schemas.microsoft.com/office/drawing/2014/main" id="{00000000-0008-0000-0400-00004E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79" name="Line 30">
          <a:extLst>
            <a:ext uri="{FF2B5EF4-FFF2-40B4-BE49-F238E27FC236}">
              <a16:creationId xmlns:a16="http://schemas.microsoft.com/office/drawing/2014/main" id="{00000000-0008-0000-0400-00004F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80" name="Line 30">
          <a:extLst>
            <a:ext uri="{FF2B5EF4-FFF2-40B4-BE49-F238E27FC236}">
              <a16:creationId xmlns:a16="http://schemas.microsoft.com/office/drawing/2014/main" id="{00000000-0008-0000-0400-000050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81" name="Line 30">
          <a:extLst>
            <a:ext uri="{FF2B5EF4-FFF2-40B4-BE49-F238E27FC236}">
              <a16:creationId xmlns:a16="http://schemas.microsoft.com/office/drawing/2014/main" id="{00000000-0008-0000-0400-000051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82" name="Line 30">
          <a:extLst>
            <a:ext uri="{FF2B5EF4-FFF2-40B4-BE49-F238E27FC236}">
              <a16:creationId xmlns:a16="http://schemas.microsoft.com/office/drawing/2014/main" id="{00000000-0008-0000-0400-000052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83" name="Line 30">
          <a:extLst>
            <a:ext uri="{FF2B5EF4-FFF2-40B4-BE49-F238E27FC236}">
              <a16:creationId xmlns:a16="http://schemas.microsoft.com/office/drawing/2014/main" id="{00000000-0008-0000-0400-000053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84" name="Line 30">
          <a:extLst>
            <a:ext uri="{FF2B5EF4-FFF2-40B4-BE49-F238E27FC236}">
              <a16:creationId xmlns:a16="http://schemas.microsoft.com/office/drawing/2014/main" id="{00000000-0008-0000-0400-000054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85" name="Line 30">
          <a:extLst>
            <a:ext uri="{FF2B5EF4-FFF2-40B4-BE49-F238E27FC236}">
              <a16:creationId xmlns:a16="http://schemas.microsoft.com/office/drawing/2014/main" id="{00000000-0008-0000-0400-000055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86" name="Line 30">
          <a:extLst>
            <a:ext uri="{FF2B5EF4-FFF2-40B4-BE49-F238E27FC236}">
              <a16:creationId xmlns:a16="http://schemas.microsoft.com/office/drawing/2014/main" id="{00000000-0008-0000-0400-000056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87" name="Line 30">
          <a:extLst>
            <a:ext uri="{FF2B5EF4-FFF2-40B4-BE49-F238E27FC236}">
              <a16:creationId xmlns:a16="http://schemas.microsoft.com/office/drawing/2014/main" id="{00000000-0008-0000-0400-000057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88" name="Line 30">
          <a:extLst>
            <a:ext uri="{FF2B5EF4-FFF2-40B4-BE49-F238E27FC236}">
              <a16:creationId xmlns:a16="http://schemas.microsoft.com/office/drawing/2014/main" id="{00000000-0008-0000-0400-000058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89" name="Line 30">
          <a:extLst>
            <a:ext uri="{FF2B5EF4-FFF2-40B4-BE49-F238E27FC236}">
              <a16:creationId xmlns:a16="http://schemas.microsoft.com/office/drawing/2014/main" id="{00000000-0008-0000-0400-000059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90" name="Line 30">
          <a:extLst>
            <a:ext uri="{FF2B5EF4-FFF2-40B4-BE49-F238E27FC236}">
              <a16:creationId xmlns:a16="http://schemas.microsoft.com/office/drawing/2014/main" id="{00000000-0008-0000-0400-00005A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91" name="Line 30">
          <a:extLst>
            <a:ext uri="{FF2B5EF4-FFF2-40B4-BE49-F238E27FC236}">
              <a16:creationId xmlns:a16="http://schemas.microsoft.com/office/drawing/2014/main" id="{00000000-0008-0000-0400-00005B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20</xdr:row>
      <xdr:rowOff>123825</xdr:rowOff>
    </xdr:from>
    <xdr:to>
      <xdr:col>8</xdr:col>
      <xdr:colOff>9525</xdr:colOff>
      <xdr:row>20</xdr:row>
      <xdr:rowOff>123825</xdr:rowOff>
    </xdr:to>
    <xdr:sp macro="" textlink="">
      <xdr:nvSpPr>
        <xdr:cNvPr id="135026" name="Line 30">
          <a:extLst>
            <a:ext uri="{FF2B5EF4-FFF2-40B4-BE49-F238E27FC236}">
              <a16:creationId xmlns:a16="http://schemas.microsoft.com/office/drawing/2014/main" id="{00000000-0008-0000-0500-0000720F0200}"/>
            </a:ext>
          </a:extLst>
        </xdr:cNvPr>
        <xdr:cNvSpPr>
          <a:spLocks noChangeShapeType="1"/>
        </xdr:cNvSpPr>
      </xdr:nvSpPr>
      <xdr:spPr bwMode="auto">
        <a:xfrm>
          <a:off x="6400800" y="50101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5027" name="Line 30">
          <a:extLst>
            <a:ext uri="{FF2B5EF4-FFF2-40B4-BE49-F238E27FC236}">
              <a16:creationId xmlns:a16="http://schemas.microsoft.com/office/drawing/2014/main" id="{00000000-0008-0000-0500-0000730F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5028" name="Line 30">
          <a:extLst>
            <a:ext uri="{FF2B5EF4-FFF2-40B4-BE49-F238E27FC236}">
              <a16:creationId xmlns:a16="http://schemas.microsoft.com/office/drawing/2014/main" id="{00000000-0008-0000-0500-0000740F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5029" name="Line 30">
          <a:extLst>
            <a:ext uri="{FF2B5EF4-FFF2-40B4-BE49-F238E27FC236}">
              <a16:creationId xmlns:a16="http://schemas.microsoft.com/office/drawing/2014/main" id="{00000000-0008-0000-0500-0000750F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5030" name="Line 30">
          <a:extLst>
            <a:ext uri="{FF2B5EF4-FFF2-40B4-BE49-F238E27FC236}">
              <a16:creationId xmlns:a16="http://schemas.microsoft.com/office/drawing/2014/main" id="{00000000-0008-0000-0500-0000760F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5031" name="Line 30">
          <a:extLst>
            <a:ext uri="{FF2B5EF4-FFF2-40B4-BE49-F238E27FC236}">
              <a16:creationId xmlns:a16="http://schemas.microsoft.com/office/drawing/2014/main" id="{00000000-0008-0000-0500-0000770F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135032" name="Line 30">
          <a:extLst>
            <a:ext uri="{FF2B5EF4-FFF2-40B4-BE49-F238E27FC236}">
              <a16:creationId xmlns:a16="http://schemas.microsoft.com/office/drawing/2014/main" id="{00000000-0008-0000-0500-0000780F0200}"/>
            </a:ext>
          </a:extLst>
        </xdr:cNvPr>
        <xdr:cNvSpPr>
          <a:spLocks noChangeShapeType="1"/>
        </xdr:cNvSpPr>
      </xdr:nvSpPr>
      <xdr:spPr bwMode="auto">
        <a:xfrm>
          <a:off x="6400800" y="84772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135033" name="Line 30">
          <a:extLst>
            <a:ext uri="{FF2B5EF4-FFF2-40B4-BE49-F238E27FC236}">
              <a16:creationId xmlns:a16="http://schemas.microsoft.com/office/drawing/2014/main" id="{00000000-0008-0000-0500-0000790F0200}"/>
            </a:ext>
          </a:extLst>
        </xdr:cNvPr>
        <xdr:cNvSpPr>
          <a:spLocks noChangeShapeType="1"/>
        </xdr:cNvSpPr>
      </xdr:nvSpPr>
      <xdr:spPr bwMode="auto">
        <a:xfrm>
          <a:off x="6400800" y="89725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5034" name="Line 30">
          <a:extLst>
            <a:ext uri="{FF2B5EF4-FFF2-40B4-BE49-F238E27FC236}">
              <a16:creationId xmlns:a16="http://schemas.microsoft.com/office/drawing/2014/main" id="{00000000-0008-0000-0500-00007A0F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135035" name="Line 30">
          <a:extLst>
            <a:ext uri="{FF2B5EF4-FFF2-40B4-BE49-F238E27FC236}">
              <a16:creationId xmlns:a16="http://schemas.microsoft.com/office/drawing/2014/main" id="{00000000-0008-0000-0500-00007B0F0200}"/>
            </a:ext>
          </a:extLst>
        </xdr:cNvPr>
        <xdr:cNvSpPr>
          <a:spLocks noChangeShapeType="1"/>
        </xdr:cNvSpPr>
      </xdr:nvSpPr>
      <xdr:spPr bwMode="auto">
        <a:xfrm>
          <a:off x="6400800" y="45243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5036" name="Line 30">
          <a:extLst>
            <a:ext uri="{FF2B5EF4-FFF2-40B4-BE49-F238E27FC236}">
              <a16:creationId xmlns:a16="http://schemas.microsoft.com/office/drawing/2014/main" id="{00000000-0008-0000-0500-00007C0F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5037" name="Line 30">
          <a:extLst>
            <a:ext uri="{FF2B5EF4-FFF2-40B4-BE49-F238E27FC236}">
              <a16:creationId xmlns:a16="http://schemas.microsoft.com/office/drawing/2014/main" id="{00000000-0008-0000-0500-00007D0F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5038" name="Line 30">
          <a:extLst>
            <a:ext uri="{FF2B5EF4-FFF2-40B4-BE49-F238E27FC236}">
              <a16:creationId xmlns:a16="http://schemas.microsoft.com/office/drawing/2014/main" id="{00000000-0008-0000-0500-00007E0F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5039" name="Line 30">
          <a:extLst>
            <a:ext uri="{FF2B5EF4-FFF2-40B4-BE49-F238E27FC236}">
              <a16:creationId xmlns:a16="http://schemas.microsoft.com/office/drawing/2014/main" id="{00000000-0008-0000-0500-00007F0F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5040" name="Line 30">
          <a:extLst>
            <a:ext uri="{FF2B5EF4-FFF2-40B4-BE49-F238E27FC236}">
              <a16:creationId xmlns:a16="http://schemas.microsoft.com/office/drawing/2014/main" id="{00000000-0008-0000-0500-0000800F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5041" name="Line 30">
          <a:extLst>
            <a:ext uri="{FF2B5EF4-FFF2-40B4-BE49-F238E27FC236}">
              <a16:creationId xmlns:a16="http://schemas.microsoft.com/office/drawing/2014/main" id="{00000000-0008-0000-0500-0000810F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135042" name="Line 30">
          <a:extLst>
            <a:ext uri="{FF2B5EF4-FFF2-40B4-BE49-F238E27FC236}">
              <a16:creationId xmlns:a16="http://schemas.microsoft.com/office/drawing/2014/main" id="{00000000-0008-0000-0500-0000820F0200}"/>
            </a:ext>
          </a:extLst>
        </xdr:cNvPr>
        <xdr:cNvSpPr>
          <a:spLocks noChangeShapeType="1"/>
        </xdr:cNvSpPr>
      </xdr:nvSpPr>
      <xdr:spPr bwMode="auto">
        <a:xfrm>
          <a:off x="6419850" y="35433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135043" name="Line 30">
          <a:extLst>
            <a:ext uri="{FF2B5EF4-FFF2-40B4-BE49-F238E27FC236}">
              <a16:creationId xmlns:a16="http://schemas.microsoft.com/office/drawing/2014/main" id="{00000000-0008-0000-0500-0000830F0200}"/>
            </a:ext>
          </a:extLst>
        </xdr:cNvPr>
        <xdr:cNvSpPr>
          <a:spLocks noChangeShapeType="1"/>
        </xdr:cNvSpPr>
      </xdr:nvSpPr>
      <xdr:spPr bwMode="auto">
        <a:xfrm>
          <a:off x="6419850" y="402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20" name="Line 30">
          <a:extLst>
            <a:ext uri="{FF2B5EF4-FFF2-40B4-BE49-F238E27FC236}">
              <a16:creationId xmlns:a16="http://schemas.microsoft.com/office/drawing/2014/main" id="{00000000-0008-0000-0500-000014000000}"/>
            </a:ext>
          </a:extLst>
        </xdr:cNvPr>
        <xdr:cNvSpPr>
          <a:spLocks noChangeShapeType="1"/>
        </xdr:cNvSpPr>
      </xdr:nvSpPr>
      <xdr:spPr bwMode="auto">
        <a:xfrm>
          <a:off x="8146676" y="498717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21" name="Line 30">
          <a:extLst>
            <a:ext uri="{FF2B5EF4-FFF2-40B4-BE49-F238E27FC236}">
              <a16:creationId xmlns:a16="http://schemas.microsoft.com/office/drawing/2014/main" id="{00000000-0008-0000-0500-000015000000}"/>
            </a:ext>
          </a:extLst>
        </xdr:cNvPr>
        <xdr:cNvSpPr>
          <a:spLocks noChangeShapeType="1"/>
        </xdr:cNvSpPr>
      </xdr:nvSpPr>
      <xdr:spPr bwMode="auto">
        <a:xfrm>
          <a:off x="8146676" y="5973296"/>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22" name="Line 30">
          <a:extLst>
            <a:ext uri="{FF2B5EF4-FFF2-40B4-BE49-F238E27FC236}">
              <a16:creationId xmlns:a16="http://schemas.microsoft.com/office/drawing/2014/main" id="{00000000-0008-0000-0500-000016000000}"/>
            </a:ext>
          </a:extLst>
        </xdr:cNvPr>
        <xdr:cNvSpPr>
          <a:spLocks noChangeShapeType="1"/>
        </xdr:cNvSpPr>
      </xdr:nvSpPr>
      <xdr:spPr bwMode="auto">
        <a:xfrm>
          <a:off x="8146676" y="6466354"/>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23" name="Line 30">
          <a:extLst>
            <a:ext uri="{FF2B5EF4-FFF2-40B4-BE49-F238E27FC236}">
              <a16:creationId xmlns:a16="http://schemas.microsoft.com/office/drawing/2014/main" id="{00000000-0008-0000-0500-000017000000}"/>
            </a:ext>
          </a:extLst>
        </xdr:cNvPr>
        <xdr:cNvSpPr>
          <a:spLocks noChangeShapeType="1"/>
        </xdr:cNvSpPr>
      </xdr:nvSpPr>
      <xdr:spPr bwMode="auto">
        <a:xfrm>
          <a:off x="8156201" y="694988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24" name="Line 30">
          <a:extLst>
            <a:ext uri="{FF2B5EF4-FFF2-40B4-BE49-F238E27FC236}">
              <a16:creationId xmlns:a16="http://schemas.microsoft.com/office/drawing/2014/main" id="{00000000-0008-0000-0500-000018000000}"/>
            </a:ext>
          </a:extLst>
        </xdr:cNvPr>
        <xdr:cNvSpPr>
          <a:spLocks noChangeShapeType="1"/>
        </xdr:cNvSpPr>
      </xdr:nvSpPr>
      <xdr:spPr bwMode="auto">
        <a:xfrm>
          <a:off x="8146676" y="7452472"/>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25" name="Line 30">
          <a:extLst>
            <a:ext uri="{FF2B5EF4-FFF2-40B4-BE49-F238E27FC236}">
              <a16:creationId xmlns:a16="http://schemas.microsoft.com/office/drawing/2014/main" id="{00000000-0008-0000-0500-000019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26" name="Line 30">
          <a:extLst>
            <a:ext uri="{FF2B5EF4-FFF2-40B4-BE49-F238E27FC236}">
              <a16:creationId xmlns:a16="http://schemas.microsoft.com/office/drawing/2014/main" id="{00000000-0008-0000-0500-00001A000000}"/>
            </a:ext>
          </a:extLst>
        </xdr:cNvPr>
        <xdr:cNvSpPr>
          <a:spLocks noChangeShapeType="1"/>
        </xdr:cNvSpPr>
      </xdr:nvSpPr>
      <xdr:spPr bwMode="auto">
        <a:xfrm>
          <a:off x="8146676" y="8438590"/>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27" name="Line 30">
          <a:extLst>
            <a:ext uri="{FF2B5EF4-FFF2-40B4-BE49-F238E27FC236}">
              <a16:creationId xmlns:a16="http://schemas.microsoft.com/office/drawing/2014/main" id="{00000000-0008-0000-0500-00001B000000}"/>
            </a:ext>
          </a:extLst>
        </xdr:cNvPr>
        <xdr:cNvSpPr>
          <a:spLocks noChangeShapeType="1"/>
        </xdr:cNvSpPr>
      </xdr:nvSpPr>
      <xdr:spPr bwMode="auto">
        <a:xfrm>
          <a:off x="8146676" y="5480237"/>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28" name="Line 30">
          <a:extLst>
            <a:ext uri="{FF2B5EF4-FFF2-40B4-BE49-F238E27FC236}">
              <a16:creationId xmlns:a16="http://schemas.microsoft.com/office/drawing/2014/main" id="{00000000-0008-0000-0500-00001C000000}"/>
            </a:ext>
          </a:extLst>
        </xdr:cNvPr>
        <xdr:cNvSpPr>
          <a:spLocks noChangeShapeType="1"/>
        </xdr:cNvSpPr>
      </xdr:nvSpPr>
      <xdr:spPr bwMode="auto">
        <a:xfrm>
          <a:off x="8146676" y="5973296"/>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29" name="Line 30">
          <a:extLst>
            <a:ext uri="{FF2B5EF4-FFF2-40B4-BE49-F238E27FC236}">
              <a16:creationId xmlns:a16="http://schemas.microsoft.com/office/drawing/2014/main" id="{00000000-0008-0000-0500-00001D000000}"/>
            </a:ext>
          </a:extLst>
        </xdr:cNvPr>
        <xdr:cNvSpPr>
          <a:spLocks noChangeShapeType="1"/>
        </xdr:cNvSpPr>
      </xdr:nvSpPr>
      <xdr:spPr bwMode="auto">
        <a:xfrm>
          <a:off x="8146676" y="6466354"/>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30" name="Line 30">
          <a:extLst>
            <a:ext uri="{FF2B5EF4-FFF2-40B4-BE49-F238E27FC236}">
              <a16:creationId xmlns:a16="http://schemas.microsoft.com/office/drawing/2014/main" id="{00000000-0008-0000-0500-00001E000000}"/>
            </a:ext>
          </a:extLst>
        </xdr:cNvPr>
        <xdr:cNvSpPr>
          <a:spLocks noChangeShapeType="1"/>
        </xdr:cNvSpPr>
      </xdr:nvSpPr>
      <xdr:spPr bwMode="auto">
        <a:xfrm>
          <a:off x="8156201" y="694988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31" name="Line 30">
          <a:extLst>
            <a:ext uri="{FF2B5EF4-FFF2-40B4-BE49-F238E27FC236}">
              <a16:creationId xmlns:a16="http://schemas.microsoft.com/office/drawing/2014/main" id="{00000000-0008-0000-0500-00001F000000}"/>
            </a:ext>
          </a:extLst>
        </xdr:cNvPr>
        <xdr:cNvSpPr>
          <a:spLocks noChangeShapeType="1"/>
        </xdr:cNvSpPr>
      </xdr:nvSpPr>
      <xdr:spPr bwMode="auto">
        <a:xfrm>
          <a:off x="8146676" y="7452472"/>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32" name="Line 30">
          <a:extLst>
            <a:ext uri="{FF2B5EF4-FFF2-40B4-BE49-F238E27FC236}">
              <a16:creationId xmlns:a16="http://schemas.microsoft.com/office/drawing/2014/main" id="{00000000-0008-0000-0500-000020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33" name="Line 30">
          <a:extLst>
            <a:ext uri="{FF2B5EF4-FFF2-40B4-BE49-F238E27FC236}">
              <a16:creationId xmlns:a16="http://schemas.microsoft.com/office/drawing/2014/main" id="{00000000-0008-0000-0500-000021000000}"/>
            </a:ext>
          </a:extLst>
        </xdr:cNvPr>
        <xdr:cNvSpPr>
          <a:spLocks noChangeShapeType="1"/>
        </xdr:cNvSpPr>
      </xdr:nvSpPr>
      <xdr:spPr bwMode="auto">
        <a:xfrm>
          <a:off x="8146676" y="5480237"/>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20</xdr:row>
      <xdr:rowOff>123825</xdr:rowOff>
    </xdr:from>
    <xdr:to>
      <xdr:col>8</xdr:col>
      <xdr:colOff>9525</xdr:colOff>
      <xdr:row>20</xdr:row>
      <xdr:rowOff>123825</xdr:rowOff>
    </xdr:to>
    <xdr:sp macro="" textlink="">
      <xdr:nvSpPr>
        <xdr:cNvPr id="34" name="Line 30">
          <a:extLst>
            <a:ext uri="{FF2B5EF4-FFF2-40B4-BE49-F238E27FC236}">
              <a16:creationId xmlns:a16="http://schemas.microsoft.com/office/drawing/2014/main" id="{00000000-0008-0000-0500-000022000000}"/>
            </a:ext>
          </a:extLst>
        </xdr:cNvPr>
        <xdr:cNvSpPr>
          <a:spLocks noChangeShapeType="1"/>
        </xdr:cNvSpPr>
      </xdr:nvSpPr>
      <xdr:spPr bwMode="auto">
        <a:xfrm>
          <a:off x="7143750" y="4791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35" name="Line 30">
          <a:extLst>
            <a:ext uri="{FF2B5EF4-FFF2-40B4-BE49-F238E27FC236}">
              <a16:creationId xmlns:a16="http://schemas.microsoft.com/office/drawing/2014/main" id="{00000000-0008-0000-0500-000023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36" name="Line 30">
          <a:extLst>
            <a:ext uri="{FF2B5EF4-FFF2-40B4-BE49-F238E27FC236}">
              <a16:creationId xmlns:a16="http://schemas.microsoft.com/office/drawing/2014/main" id="{00000000-0008-0000-0500-000024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37" name="Line 30">
          <a:extLst>
            <a:ext uri="{FF2B5EF4-FFF2-40B4-BE49-F238E27FC236}">
              <a16:creationId xmlns:a16="http://schemas.microsoft.com/office/drawing/2014/main" id="{00000000-0008-0000-0500-000025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38" name="Line 30">
          <a:extLst>
            <a:ext uri="{FF2B5EF4-FFF2-40B4-BE49-F238E27FC236}">
              <a16:creationId xmlns:a16="http://schemas.microsoft.com/office/drawing/2014/main" id="{00000000-0008-0000-0500-000026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39" name="Line 30">
          <a:extLst>
            <a:ext uri="{FF2B5EF4-FFF2-40B4-BE49-F238E27FC236}">
              <a16:creationId xmlns:a16="http://schemas.microsoft.com/office/drawing/2014/main" id="{00000000-0008-0000-0500-000027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40" name="Line 30">
          <a:extLst>
            <a:ext uri="{FF2B5EF4-FFF2-40B4-BE49-F238E27FC236}">
              <a16:creationId xmlns:a16="http://schemas.microsoft.com/office/drawing/2014/main" id="{00000000-0008-0000-0500-000028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41" name="Line 30">
          <a:extLst>
            <a:ext uri="{FF2B5EF4-FFF2-40B4-BE49-F238E27FC236}">
              <a16:creationId xmlns:a16="http://schemas.microsoft.com/office/drawing/2014/main" id="{00000000-0008-0000-0500-000029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42" name="Line 30">
          <a:extLst>
            <a:ext uri="{FF2B5EF4-FFF2-40B4-BE49-F238E27FC236}">
              <a16:creationId xmlns:a16="http://schemas.microsoft.com/office/drawing/2014/main" id="{00000000-0008-0000-0500-00002A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43" name="Line 30">
          <a:extLst>
            <a:ext uri="{FF2B5EF4-FFF2-40B4-BE49-F238E27FC236}">
              <a16:creationId xmlns:a16="http://schemas.microsoft.com/office/drawing/2014/main" id="{00000000-0008-0000-0500-00002B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44" name="Line 30">
          <a:extLst>
            <a:ext uri="{FF2B5EF4-FFF2-40B4-BE49-F238E27FC236}">
              <a16:creationId xmlns:a16="http://schemas.microsoft.com/office/drawing/2014/main" id="{00000000-0008-0000-0500-00002C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45" name="Line 30">
          <a:extLst>
            <a:ext uri="{FF2B5EF4-FFF2-40B4-BE49-F238E27FC236}">
              <a16:creationId xmlns:a16="http://schemas.microsoft.com/office/drawing/2014/main" id="{00000000-0008-0000-0500-00002D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46" name="Line 30">
          <a:extLst>
            <a:ext uri="{FF2B5EF4-FFF2-40B4-BE49-F238E27FC236}">
              <a16:creationId xmlns:a16="http://schemas.microsoft.com/office/drawing/2014/main" id="{00000000-0008-0000-0500-00002E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47" name="Line 30">
          <a:extLst>
            <a:ext uri="{FF2B5EF4-FFF2-40B4-BE49-F238E27FC236}">
              <a16:creationId xmlns:a16="http://schemas.microsoft.com/office/drawing/2014/main" id="{00000000-0008-0000-0500-00002F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48" name="Line 30">
          <a:extLst>
            <a:ext uri="{FF2B5EF4-FFF2-40B4-BE49-F238E27FC236}">
              <a16:creationId xmlns:a16="http://schemas.microsoft.com/office/drawing/2014/main" id="{00000000-0008-0000-0500-000030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49" name="Line 30">
          <a:extLst>
            <a:ext uri="{FF2B5EF4-FFF2-40B4-BE49-F238E27FC236}">
              <a16:creationId xmlns:a16="http://schemas.microsoft.com/office/drawing/2014/main" id="{00000000-0008-0000-0500-000031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50" name="Line 30">
          <a:extLst>
            <a:ext uri="{FF2B5EF4-FFF2-40B4-BE49-F238E27FC236}">
              <a16:creationId xmlns:a16="http://schemas.microsoft.com/office/drawing/2014/main" id="{00000000-0008-0000-0500-000032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51" name="Line 30">
          <a:extLst>
            <a:ext uri="{FF2B5EF4-FFF2-40B4-BE49-F238E27FC236}">
              <a16:creationId xmlns:a16="http://schemas.microsoft.com/office/drawing/2014/main" id="{00000000-0008-0000-0500-000033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52" name="Line 30">
          <a:extLst>
            <a:ext uri="{FF2B5EF4-FFF2-40B4-BE49-F238E27FC236}">
              <a16:creationId xmlns:a16="http://schemas.microsoft.com/office/drawing/2014/main" id="{00000000-0008-0000-0500-000034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53" name="Line 30">
          <a:extLst>
            <a:ext uri="{FF2B5EF4-FFF2-40B4-BE49-F238E27FC236}">
              <a16:creationId xmlns:a16="http://schemas.microsoft.com/office/drawing/2014/main" id="{00000000-0008-0000-0500-000035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54" name="Line 30">
          <a:extLst>
            <a:ext uri="{FF2B5EF4-FFF2-40B4-BE49-F238E27FC236}">
              <a16:creationId xmlns:a16="http://schemas.microsoft.com/office/drawing/2014/main" id="{00000000-0008-0000-0500-000036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55" name="Line 30">
          <a:extLst>
            <a:ext uri="{FF2B5EF4-FFF2-40B4-BE49-F238E27FC236}">
              <a16:creationId xmlns:a16="http://schemas.microsoft.com/office/drawing/2014/main" id="{00000000-0008-0000-0500-000037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56" name="Line 30">
          <a:extLst>
            <a:ext uri="{FF2B5EF4-FFF2-40B4-BE49-F238E27FC236}">
              <a16:creationId xmlns:a16="http://schemas.microsoft.com/office/drawing/2014/main" id="{00000000-0008-0000-0500-000038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57" name="Line 30">
          <a:extLst>
            <a:ext uri="{FF2B5EF4-FFF2-40B4-BE49-F238E27FC236}">
              <a16:creationId xmlns:a16="http://schemas.microsoft.com/office/drawing/2014/main" id="{00000000-0008-0000-0500-000039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58" name="Line 30">
          <a:extLst>
            <a:ext uri="{FF2B5EF4-FFF2-40B4-BE49-F238E27FC236}">
              <a16:creationId xmlns:a16="http://schemas.microsoft.com/office/drawing/2014/main" id="{00000000-0008-0000-0500-00003A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59" name="Line 30">
          <a:extLst>
            <a:ext uri="{FF2B5EF4-FFF2-40B4-BE49-F238E27FC236}">
              <a16:creationId xmlns:a16="http://schemas.microsoft.com/office/drawing/2014/main" id="{00000000-0008-0000-0500-00003B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60" name="Line 30">
          <a:extLst>
            <a:ext uri="{FF2B5EF4-FFF2-40B4-BE49-F238E27FC236}">
              <a16:creationId xmlns:a16="http://schemas.microsoft.com/office/drawing/2014/main" id="{00000000-0008-0000-0500-00003C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20</xdr:row>
      <xdr:rowOff>123825</xdr:rowOff>
    </xdr:from>
    <xdr:to>
      <xdr:col>8</xdr:col>
      <xdr:colOff>9525</xdr:colOff>
      <xdr:row>20</xdr:row>
      <xdr:rowOff>123825</xdr:rowOff>
    </xdr:to>
    <xdr:sp macro="" textlink="">
      <xdr:nvSpPr>
        <xdr:cNvPr id="61" name="Line 30">
          <a:extLst>
            <a:ext uri="{FF2B5EF4-FFF2-40B4-BE49-F238E27FC236}">
              <a16:creationId xmlns:a16="http://schemas.microsoft.com/office/drawing/2014/main" id="{00000000-0008-0000-0500-00003D000000}"/>
            </a:ext>
          </a:extLst>
        </xdr:cNvPr>
        <xdr:cNvSpPr>
          <a:spLocks noChangeShapeType="1"/>
        </xdr:cNvSpPr>
      </xdr:nvSpPr>
      <xdr:spPr bwMode="auto">
        <a:xfrm>
          <a:off x="7143750" y="4791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62" name="Line 30">
          <a:extLst>
            <a:ext uri="{FF2B5EF4-FFF2-40B4-BE49-F238E27FC236}">
              <a16:creationId xmlns:a16="http://schemas.microsoft.com/office/drawing/2014/main" id="{00000000-0008-0000-0500-00003E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63" name="Line 30">
          <a:extLst>
            <a:ext uri="{FF2B5EF4-FFF2-40B4-BE49-F238E27FC236}">
              <a16:creationId xmlns:a16="http://schemas.microsoft.com/office/drawing/2014/main" id="{00000000-0008-0000-0500-00003F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64" name="Line 30">
          <a:extLst>
            <a:ext uri="{FF2B5EF4-FFF2-40B4-BE49-F238E27FC236}">
              <a16:creationId xmlns:a16="http://schemas.microsoft.com/office/drawing/2014/main" id="{00000000-0008-0000-0500-000040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65" name="Line 30">
          <a:extLst>
            <a:ext uri="{FF2B5EF4-FFF2-40B4-BE49-F238E27FC236}">
              <a16:creationId xmlns:a16="http://schemas.microsoft.com/office/drawing/2014/main" id="{00000000-0008-0000-0500-000041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66" name="Line 30">
          <a:extLst>
            <a:ext uri="{FF2B5EF4-FFF2-40B4-BE49-F238E27FC236}">
              <a16:creationId xmlns:a16="http://schemas.microsoft.com/office/drawing/2014/main" id="{00000000-0008-0000-0500-000042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67" name="Line 30">
          <a:extLst>
            <a:ext uri="{FF2B5EF4-FFF2-40B4-BE49-F238E27FC236}">
              <a16:creationId xmlns:a16="http://schemas.microsoft.com/office/drawing/2014/main" id="{00000000-0008-0000-0500-000043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68" name="Line 30">
          <a:extLst>
            <a:ext uri="{FF2B5EF4-FFF2-40B4-BE49-F238E27FC236}">
              <a16:creationId xmlns:a16="http://schemas.microsoft.com/office/drawing/2014/main" id="{00000000-0008-0000-0500-000044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69" name="Line 30">
          <a:extLst>
            <a:ext uri="{FF2B5EF4-FFF2-40B4-BE49-F238E27FC236}">
              <a16:creationId xmlns:a16="http://schemas.microsoft.com/office/drawing/2014/main" id="{00000000-0008-0000-0500-000045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70" name="Line 30">
          <a:extLst>
            <a:ext uri="{FF2B5EF4-FFF2-40B4-BE49-F238E27FC236}">
              <a16:creationId xmlns:a16="http://schemas.microsoft.com/office/drawing/2014/main" id="{00000000-0008-0000-0500-000046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71" name="Line 30">
          <a:extLst>
            <a:ext uri="{FF2B5EF4-FFF2-40B4-BE49-F238E27FC236}">
              <a16:creationId xmlns:a16="http://schemas.microsoft.com/office/drawing/2014/main" id="{00000000-0008-0000-0500-000047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72" name="Line 30">
          <a:extLst>
            <a:ext uri="{FF2B5EF4-FFF2-40B4-BE49-F238E27FC236}">
              <a16:creationId xmlns:a16="http://schemas.microsoft.com/office/drawing/2014/main" id="{00000000-0008-0000-0500-000048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73" name="Line 30">
          <a:extLst>
            <a:ext uri="{FF2B5EF4-FFF2-40B4-BE49-F238E27FC236}">
              <a16:creationId xmlns:a16="http://schemas.microsoft.com/office/drawing/2014/main" id="{00000000-0008-0000-0500-000049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74" name="Line 30">
          <a:extLst>
            <a:ext uri="{FF2B5EF4-FFF2-40B4-BE49-F238E27FC236}">
              <a16:creationId xmlns:a16="http://schemas.microsoft.com/office/drawing/2014/main" id="{00000000-0008-0000-0500-00004A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75" name="Line 30">
          <a:extLst>
            <a:ext uri="{FF2B5EF4-FFF2-40B4-BE49-F238E27FC236}">
              <a16:creationId xmlns:a16="http://schemas.microsoft.com/office/drawing/2014/main" id="{00000000-0008-0000-0500-00004B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76" name="Line 30">
          <a:extLst>
            <a:ext uri="{FF2B5EF4-FFF2-40B4-BE49-F238E27FC236}">
              <a16:creationId xmlns:a16="http://schemas.microsoft.com/office/drawing/2014/main" id="{00000000-0008-0000-0500-00004C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77" name="Line 30">
          <a:extLst>
            <a:ext uri="{FF2B5EF4-FFF2-40B4-BE49-F238E27FC236}">
              <a16:creationId xmlns:a16="http://schemas.microsoft.com/office/drawing/2014/main" id="{00000000-0008-0000-0500-00004D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78" name="Line 30">
          <a:extLst>
            <a:ext uri="{FF2B5EF4-FFF2-40B4-BE49-F238E27FC236}">
              <a16:creationId xmlns:a16="http://schemas.microsoft.com/office/drawing/2014/main" id="{00000000-0008-0000-0500-00004E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79" name="Line 30">
          <a:extLst>
            <a:ext uri="{FF2B5EF4-FFF2-40B4-BE49-F238E27FC236}">
              <a16:creationId xmlns:a16="http://schemas.microsoft.com/office/drawing/2014/main" id="{00000000-0008-0000-0500-00004F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80" name="Line 30">
          <a:extLst>
            <a:ext uri="{FF2B5EF4-FFF2-40B4-BE49-F238E27FC236}">
              <a16:creationId xmlns:a16="http://schemas.microsoft.com/office/drawing/2014/main" id="{00000000-0008-0000-0500-000050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81" name="Line 30">
          <a:extLst>
            <a:ext uri="{FF2B5EF4-FFF2-40B4-BE49-F238E27FC236}">
              <a16:creationId xmlns:a16="http://schemas.microsoft.com/office/drawing/2014/main" id="{00000000-0008-0000-0500-000051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82" name="Line 30">
          <a:extLst>
            <a:ext uri="{FF2B5EF4-FFF2-40B4-BE49-F238E27FC236}">
              <a16:creationId xmlns:a16="http://schemas.microsoft.com/office/drawing/2014/main" id="{00000000-0008-0000-0500-000052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83" name="Line 30">
          <a:extLst>
            <a:ext uri="{FF2B5EF4-FFF2-40B4-BE49-F238E27FC236}">
              <a16:creationId xmlns:a16="http://schemas.microsoft.com/office/drawing/2014/main" id="{00000000-0008-0000-0500-000053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84" name="Line 30">
          <a:extLst>
            <a:ext uri="{FF2B5EF4-FFF2-40B4-BE49-F238E27FC236}">
              <a16:creationId xmlns:a16="http://schemas.microsoft.com/office/drawing/2014/main" id="{00000000-0008-0000-0500-000054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85" name="Line 30">
          <a:extLst>
            <a:ext uri="{FF2B5EF4-FFF2-40B4-BE49-F238E27FC236}">
              <a16:creationId xmlns:a16="http://schemas.microsoft.com/office/drawing/2014/main" id="{00000000-0008-0000-0500-000055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86" name="Line 30">
          <a:extLst>
            <a:ext uri="{FF2B5EF4-FFF2-40B4-BE49-F238E27FC236}">
              <a16:creationId xmlns:a16="http://schemas.microsoft.com/office/drawing/2014/main" id="{00000000-0008-0000-0500-000056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87" name="Line 30">
          <a:extLst>
            <a:ext uri="{FF2B5EF4-FFF2-40B4-BE49-F238E27FC236}">
              <a16:creationId xmlns:a16="http://schemas.microsoft.com/office/drawing/2014/main" id="{00000000-0008-0000-0500-000057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88" name="Line 30">
          <a:extLst>
            <a:ext uri="{FF2B5EF4-FFF2-40B4-BE49-F238E27FC236}">
              <a16:creationId xmlns:a16="http://schemas.microsoft.com/office/drawing/2014/main" id="{00000000-0008-0000-0500-000058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89" name="Line 30">
          <a:extLst>
            <a:ext uri="{FF2B5EF4-FFF2-40B4-BE49-F238E27FC236}">
              <a16:creationId xmlns:a16="http://schemas.microsoft.com/office/drawing/2014/main" id="{00000000-0008-0000-0500-000059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90" name="Line 30">
          <a:extLst>
            <a:ext uri="{FF2B5EF4-FFF2-40B4-BE49-F238E27FC236}">
              <a16:creationId xmlns:a16="http://schemas.microsoft.com/office/drawing/2014/main" id="{00000000-0008-0000-0500-00005A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91" name="Line 30">
          <a:extLst>
            <a:ext uri="{FF2B5EF4-FFF2-40B4-BE49-F238E27FC236}">
              <a16:creationId xmlns:a16="http://schemas.microsoft.com/office/drawing/2014/main" id="{00000000-0008-0000-0500-00005B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18</xdr:row>
      <xdr:rowOff>133350</xdr:rowOff>
    </xdr:from>
    <xdr:to>
      <xdr:col>8</xdr:col>
      <xdr:colOff>9525</xdr:colOff>
      <xdr:row>18</xdr:row>
      <xdr:rowOff>133350</xdr:rowOff>
    </xdr:to>
    <xdr:sp macro="" textlink="">
      <xdr:nvSpPr>
        <xdr:cNvPr id="135756" name="Line 30">
          <a:extLst>
            <a:ext uri="{FF2B5EF4-FFF2-40B4-BE49-F238E27FC236}">
              <a16:creationId xmlns:a16="http://schemas.microsoft.com/office/drawing/2014/main" id="{00000000-0008-0000-0600-00004C120200}"/>
            </a:ext>
          </a:extLst>
        </xdr:cNvPr>
        <xdr:cNvSpPr>
          <a:spLocks noChangeShapeType="1"/>
        </xdr:cNvSpPr>
      </xdr:nvSpPr>
      <xdr:spPr bwMode="auto">
        <a:xfrm>
          <a:off x="6400800" y="45243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5757" name="Line 30">
          <a:extLst>
            <a:ext uri="{FF2B5EF4-FFF2-40B4-BE49-F238E27FC236}">
              <a16:creationId xmlns:a16="http://schemas.microsoft.com/office/drawing/2014/main" id="{00000000-0008-0000-0600-00004D12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5758" name="Line 30">
          <a:extLst>
            <a:ext uri="{FF2B5EF4-FFF2-40B4-BE49-F238E27FC236}">
              <a16:creationId xmlns:a16="http://schemas.microsoft.com/office/drawing/2014/main" id="{00000000-0008-0000-0600-00004E12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5759" name="Line 30">
          <a:extLst>
            <a:ext uri="{FF2B5EF4-FFF2-40B4-BE49-F238E27FC236}">
              <a16:creationId xmlns:a16="http://schemas.microsoft.com/office/drawing/2014/main" id="{00000000-0008-0000-0600-00004F12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5760" name="Line 30">
          <a:extLst>
            <a:ext uri="{FF2B5EF4-FFF2-40B4-BE49-F238E27FC236}">
              <a16:creationId xmlns:a16="http://schemas.microsoft.com/office/drawing/2014/main" id="{00000000-0008-0000-0600-00005012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5761" name="Line 30">
          <a:extLst>
            <a:ext uri="{FF2B5EF4-FFF2-40B4-BE49-F238E27FC236}">
              <a16:creationId xmlns:a16="http://schemas.microsoft.com/office/drawing/2014/main" id="{00000000-0008-0000-0600-00005112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135762" name="Line 30">
          <a:extLst>
            <a:ext uri="{FF2B5EF4-FFF2-40B4-BE49-F238E27FC236}">
              <a16:creationId xmlns:a16="http://schemas.microsoft.com/office/drawing/2014/main" id="{00000000-0008-0000-0600-000052120200}"/>
            </a:ext>
          </a:extLst>
        </xdr:cNvPr>
        <xdr:cNvSpPr>
          <a:spLocks noChangeShapeType="1"/>
        </xdr:cNvSpPr>
      </xdr:nvSpPr>
      <xdr:spPr bwMode="auto">
        <a:xfrm>
          <a:off x="6400800" y="84772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135763" name="Line 30">
          <a:extLst>
            <a:ext uri="{FF2B5EF4-FFF2-40B4-BE49-F238E27FC236}">
              <a16:creationId xmlns:a16="http://schemas.microsoft.com/office/drawing/2014/main" id="{00000000-0008-0000-0600-000053120200}"/>
            </a:ext>
          </a:extLst>
        </xdr:cNvPr>
        <xdr:cNvSpPr>
          <a:spLocks noChangeShapeType="1"/>
        </xdr:cNvSpPr>
      </xdr:nvSpPr>
      <xdr:spPr bwMode="auto">
        <a:xfrm>
          <a:off x="6400800" y="89725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5764" name="Line 30">
          <a:extLst>
            <a:ext uri="{FF2B5EF4-FFF2-40B4-BE49-F238E27FC236}">
              <a16:creationId xmlns:a16="http://schemas.microsoft.com/office/drawing/2014/main" id="{00000000-0008-0000-0600-00005412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135765" name="Line 30">
          <a:extLst>
            <a:ext uri="{FF2B5EF4-FFF2-40B4-BE49-F238E27FC236}">
              <a16:creationId xmlns:a16="http://schemas.microsoft.com/office/drawing/2014/main" id="{00000000-0008-0000-0600-000055120200}"/>
            </a:ext>
          </a:extLst>
        </xdr:cNvPr>
        <xdr:cNvSpPr>
          <a:spLocks noChangeShapeType="1"/>
        </xdr:cNvSpPr>
      </xdr:nvSpPr>
      <xdr:spPr bwMode="auto">
        <a:xfrm>
          <a:off x="6419850" y="35433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135766" name="Line 30">
          <a:extLst>
            <a:ext uri="{FF2B5EF4-FFF2-40B4-BE49-F238E27FC236}">
              <a16:creationId xmlns:a16="http://schemas.microsoft.com/office/drawing/2014/main" id="{00000000-0008-0000-0600-000056120200}"/>
            </a:ext>
          </a:extLst>
        </xdr:cNvPr>
        <xdr:cNvSpPr>
          <a:spLocks noChangeShapeType="1"/>
        </xdr:cNvSpPr>
      </xdr:nvSpPr>
      <xdr:spPr bwMode="auto">
        <a:xfrm>
          <a:off x="6419850" y="402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20</xdr:row>
      <xdr:rowOff>142875</xdr:rowOff>
    </xdr:from>
    <xdr:to>
      <xdr:col>8</xdr:col>
      <xdr:colOff>28575</xdr:colOff>
      <xdr:row>20</xdr:row>
      <xdr:rowOff>142875</xdr:rowOff>
    </xdr:to>
    <xdr:sp macro="" textlink="">
      <xdr:nvSpPr>
        <xdr:cNvPr id="135767" name="Line 30">
          <a:extLst>
            <a:ext uri="{FF2B5EF4-FFF2-40B4-BE49-F238E27FC236}">
              <a16:creationId xmlns:a16="http://schemas.microsoft.com/office/drawing/2014/main" id="{00000000-0008-0000-0600-000057120200}"/>
            </a:ext>
          </a:extLst>
        </xdr:cNvPr>
        <xdr:cNvSpPr>
          <a:spLocks noChangeShapeType="1"/>
        </xdr:cNvSpPr>
      </xdr:nvSpPr>
      <xdr:spPr bwMode="auto">
        <a:xfrm>
          <a:off x="7162800" y="48101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14" name="Line 30">
          <a:extLst>
            <a:ext uri="{FF2B5EF4-FFF2-40B4-BE49-F238E27FC236}">
              <a16:creationId xmlns:a16="http://schemas.microsoft.com/office/drawing/2014/main" id="{00000000-0008-0000-0600-00000E000000}"/>
            </a:ext>
          </a:extLst>
        </xdr:cNvPr>
        <xdr:cNvSpPr>
          <a:spLocks noChangeShapeType="1"/>
        </xdr:cNvSpPr>
      </xdr:nvSpPr>
      <xdr:spPr bwMode="auto">
        <a:xfrm>
          <a:off x="8146676" y="5973296"/>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15" name="Line 30">
          <a:extLst>
            <a:ext uri="{FF2B5EF4-FFF2-40B4-BE49-F238E27FC236}">
              <a16:creationId xmlns:a16="http://schemas.microsoft.com/office/drawing/2014/main" id="{00000000-0008-0000-0600-00000F000000}"/>
            </a:ext>
          </a:extLst>
        </xdr:cNvPr>
        <xdr:cNvSpPr>
          <a:spLocks noChangeShapeType="1"/>
        </xdr:cNvSpPr>
      </xdr:nvSpPr>
      <xdr:spPr bwMode="auto">
        <a:xfrm>
          <a:off x="8146676" y="6466354"/>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16" name="Line 30">
          <a:extLst>
            <a:ext uri="{FF2B5EF4-FFF2-40B4-BE49-F238E27FC236}">
              <a16:creationId xmlns:a16="http://schemas.microsoft.com/office/drawing/2014/main" id="{00000000-0008-0000-0600-000010000000}"/>
            </a:ext>
          </a:extLst>
        </xdr:cNvPr>
        <xdr:cNvSpPr>
          <a:spLocks noChangeShapeType="1"/>
        </xdr:cNvSpPr>
      </xdr:nvSpPr>
      <xdr:spPr bwMode="auto">
        <a:xfrm>
          <a:off x="8156201" y="694988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17" name="Line 30">
          <a:extLst>
            <a:ext uri="{FF2B5EF4-FFF2-40B4-BE49-F238E27FC236}">
              <a16:creationId xmlns:a16="http://schemas.microsoft.com/office/drawing/2014/main" id="{00000000-0008-0000-0600-000011000000}"/>
            </a:ext>
          </a:extLst>
        </xdr:cNvPr>
        <xdr:cNvSpPr>
          <a:spLocks noChangeShapeType="1"/>
        </xdr:cNvSpPr>
      </xdr:nvSpPr>
      <xdr:spPr bwMode="auto">
        <a:xfrm>
          <a:off x="8146676" y="7452472"/>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18" name="Line 30">
          <a:extLst>
            <a:ext uri="{FF2B5EF4-FFF2-40B4-BE49-F238E27FC236}">
              <a16:creationId xmlns:a16="http://schemas.microsoft.com/office/drawing/2014/main" id="{00000000-0008-0000-0600-000012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19" name="Line 30">
          <a:extLst>
            <a:ext uri="{FF2B5EF4-FFF2-40B4-BE49-F238E27FC236}">
              <a16:creationId xmlns:a16="http://schemas.microsoft.com/office/drawing/2014/main" id="{00000000-0008-0000-0600-000013000000}"/>
            </a:ext>
          </a:extLst>
        </xdr:cNvPr>
        <xdr:cNvSpPr>
          <a:spLocks noChangeShapeType="1"/>
        </xdr:cNvSpPr>
      </xdr:nvSpPr>
      <xdr:spPr bwMode="auto">
        <a:xfrm>
          <a:off x="8146676" y="8438590"/>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20" name="Line 30">
          <a:extLst>
            <a:ext uri="{FF2B5EF4-FFF2-40B4-BE49-F238E27FC236}">
              <a16:creationId xmlns:a16="http://schemas.microsoft.com/office/drawing/2014/main" id="{00000000-0008-0000-0600-000014000000}"/>
            </a:ext>
          </a:extLst>
        </xdr:cNvPr>
        <xdr:cNvSpPr>
          <a:spLocks noChangeShapeType="1"/>
        </xdr:cNvSpPr>
      </xdr:nvSpPr>
      <xdr:spPr bwMode="auto">
        <a:xfrm>
          <a:off x="8146676" y="5480237"/>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36</xdr:row>
      <xdr:rowOff>142875</xdr:rowOff>
    </xdr:from>
    <xdr:to>
      <xdr:col>8</xdr:col>
      <xdr:colOff>28575</xdr:colOff>
      <xdr:row>36</xdr:row>
      <xdr:rowOff>142875</xdr:rowOff>
    </xdr:to>
    <xdr:sp macro="" textlink="">
      <xdr:nvSpPr>
        <xdr:cNvPr id="21" name="Line 30">
          <a:extLst>
            <a:ext uri="{FF2B5EF4-FFF2-40B4-BE49-F238E27FC236}">
              <a16:creationId xmlns:a16="http://schemas.microsoft.com/office/drawing/2014/main" id="{00000000-0008-0000-0600-000015000000}"/>
            </a:ext>
          </a:extLst>
        </xdr:cNvPr>
        <xdr:cNvSpPr>
          <a:spLocks noChangeShapeType="1"/>
        </xdr:cNvSpPr>
      </xdr:nvSpPr>
      <xdr:spPr bwMode="auto">
        <a:xfrm>
          <a:off x="8165726" y="500622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23" name="Line 30">
          <a:extLst>
            <a:ext uri="{FF2B5EF4-FFF2-40B4-BE49-F238E27FC236}">
              <a16:creationId xmlns:a16="http://schemas.microsoft.com/office/drawing/2014/main" id="{00000000-0008-0000-0600-000017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24" name="Line 30">
          <a:extLst>
            <a:ext uri="{FF2B5EF4-FFF2-40B4-BE49-F238E27FC236}">
              <a16:creationId xmlns:a16="http://schemas.microsoft.com/office/drawing/2014/main" id="{00000000-0008-0000-0600-000018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25" name="Line 30">
          <a:extLst>
            <a:ext uri="{FF2B5EF4-FFF2-40B4-BE49-F238E27FC236}">
              <a16:creationId xmlns:a16="http://schemas.microsoft.com/office/drawing/2014/main" id="{00000000-0008-0000-0600-000019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26" name="Line 30">
          <a:extLst>
            <a:ext uri="{FF2B5EF4-FFF2-40B4-BE49-F238E27FC236}">
              <a16:creationId xmlns:a16="http://schemas.microsoft.com/office/drawing/2014/main" id="{00000000-0008-0000-0600-00001A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27" name="Line 30">
          <a:extLst>
            <a:ext uri="{FF2B5EF4-FFF2-40B4-BE49-F238E27FC236}">
              <a16:creationId xmlns:a16="http://schemas.microsoft.com/office/drawing/2014/main" id="{00000000-0008-0000-0600-00001B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28" name="Line 30">
          <a:extLst>
            <a:ext uri="{FF2B5EF4-FFF2-40B4-BE49-F238E27FC236}">
              <a16:creationId xmlns:a16="http://schemas.microsoft.com/office/drawing/2014/main" id="{00000000-0008-0000-0600-00001C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29" name="Line 30">
          <a:extLst>
            <a:ext uri="{FF2B5EF4-FFF2-40B4-BE49-F238E27FC236}">
              <a16:creationId xmlns:a16="http://schemas.microsoft.com/office/drawing/2014/main" id="{00000000-0008-0000-0600-00001D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30" name="Line 30">
          <a:extLst>
            <a:ext uri="{FF2B5EF4-FFF2-40B4-BE49-F238E27FC236}">
              <a16:creationId xmlns:a16="http://schemas.microsoft.com/office/drawing/2014/main" id="{00000000-0008-0000-0600-00001E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31" name="Line 30">
          <a:extLst>
            <a:ext uri="{FF2B5EF4-FFF2-40B4-BE49-F238E27FC236}">
              <a16:creationId xmlns:a16="http://schemas.microsoft.com/office/drawing/2014/main" id="{00000000-0008-0000-0600-00001F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32" name="Line 30">
          <a:extLst>
            <a:ext uri="{FF2B5EF4-FFF2-40B4-BE49-F238E27FC236}">
              <a16:creationId xmlns:a16="http://schemas.microsoft.com/office/drawing/2014/main" id="{00000000-0008-0000-0600-000020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33" name="Line 30">
          <a:extLst>
            <a:ext uri="{FF2B5EF4-FFF2-40B4-BE49-F238E27FC236}">
              <a16:creationId xmlns:a16="http://schemas.microsoft.com/office/drawing/2014/main" id="{00000000-0008-0000-0600-000021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34" name="Line 30">
          <a:extLst>
            <a:ext uri="{FF2B5EF4-FFF2-40B4-BE49-F238E27FC236}">
              <a16:creationId xmlns:a16="http://schemas.microsoft.com/office/drawing/2014/main" id="{00000000-0008-0000-0600-000022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35" name="Line 30">
          <a:extLst>
            <a:ext uri="{FF2B5EF4-FFF2-40B4-BE49-F238E27FC236}">
              <a16:creationId xmlns:a16="http://schemas.microsoft.com/office/drawing/2014/main" id="{00000000-0008-0000-0600-000023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36" name="Line 30">
          <a:extLst>
            <a:ext uri="{FF2B5EF4-FFF2-40B4-BE49-F238E27FC236}">
              <a16:creationId xmlns:a16="http://schemas.microsoft.com/office/drawing/2014/main" id="{00000000-0008-0000-0600-000024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37" name="Line 30">
          <a:extLst>
            <a:ext uri="{FF2B5EF4-FFF2-40B4-BE49-F238E27FC236}">
              <a16:creationId xmlns:a16="http://schemas.microsoft.com/office/drawing/2014/main" id="{00000000-0008-0000-0600-000025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38" name="Line 30">
          <a:extLst>
            <a:ext uri="{FF2B5EF4-FFF2-40B4-BE49-F238E27FC236}">
              <a16:creationId xmlns:a16="http://schemas.microsoft.com/office/drawing/2014/main" id="{00000000-0008-0000-0600-000026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39" name="Line 30">
          <a:extLst>
            <a:ext uri="{FF2B5EF4-FFF2-40B4-BE49-F238E27FC236}">
              <a16:creationId xmlns:a16="http://schemas.microsoft.com/office/drawing/2014/main" id="{00000000-0008-0000-0600-000027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41" name="Line 30">
          <a:extLst>
            <a:ext uri="{FF2B5EF4-FFF2-40B4-BE49-F238E27FC236}">
              <a16:creationId xmlns:a16="http://schemas.microsoft.com/office/drawing/2014/main" id="{00000000-0008-0000-0600-000029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42" name="Line 30">
          <a:extLst>
            <a:ext uri="{FF2B5EF4-FFF2-40B4-BE49-F238E27FC236}">
              <a16:creationId xmlns:a16="http://schemas.microsoft.com/office/drawing/2014/main" id="{00000000-0008-0000-0600-00002A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43" name="Line 30">
          <a:extLst>
            <a:ext uri="{FF2B5EF4-FFF2-40B4-BE49-F238E27FC236}">
              <a16:creationId xmlns:a16="http://schemas.microsoft.com/office/drawing/2014/main" id="{00000000-0008-0000-0600-00002B000000}"/>
            </a:ext>
          </a:extLst>
        </xdr:cNvPr>
        <xdr:cNvSpPr>
          <a:spLocks noChangeShapeType="1"/>
        </xdr:cNvSpPr>
      </xdr:nvSpPr>
      <xdr:spPr bwMode="auto">
        <a:xfrm>
          <a:off x="7153275" y="10267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44" name="Line 30">
          <a:extLst>
            <a:ext uri="{FF2B5EF4-FFF2-40B4-BE49-F238E27FC236}">
              <a16:creationId xmlns:a16="http://schemas.microsoft.com/office/drawing/2014/main" id="{00000000-0008-0000-0600-00002C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45" name="Line 30">
          <a:extLst>
            <a:ext uri="{FF2B5EF4-FFF2-40B4-BE49-F238E27FC236}">
              <a16:creationId xmlns:a16="http://schemas.microsoft.com/office/drawing/2014/main" id="{00000000-0008-0000-0600-00002D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46" name="Line 30">
          <a:extLst>
            <a:ext uri="{FF2B5EF4-FFF2-40B4-BE49-F238E27FC236}">
              <a16:creationId xmlns:a16="http://schemas.microsoft.com/office/drawing/2014/main" id="{00000000-0008-0000-0600-00002E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47" name="Line 30">
          <a:extLst>
            <a:ext uri="{FF2B5EF4-FFF2-40B4-BE49-F238E27FC236}">
              <a16:creationId xmlns:a16="http://schemas.microsoft.com/office/drawing/2014/main" id="{00000000-0008-0000-0600-00002F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48" name="Line 30">
          <a:extLst>
            <a:ext uri="{FF2B5EF4-FFF2-40B4-BE49-F238E27FC236}">
              <a16:creationId xmlns:a16="http://schemas.microsoft.com/office/drawing/2014/main" id="{00000000-0008-0000-0600-000030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49" name="Line 30">
          <a:extLst>
            <a:ext uri="{FF2B5EF4-FFF2-40B4-BE49-F238E27FC236}">
              <a16:creationId xmlns:a16="http://schemas.microsoft.com/office/drawing/2014/main" id="{00000000-0008-0000-0600-000031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50" name="Line 30">
          <a:extLst>
            <a:ext uri="{FF2B5EF4-FFF2-40B4-BE49-F238E27FC236}">
              <a16:creationId xmlns:a16="http://schemas.microsoft.com/office/drawing/2014/main" id="{00000000-0008-0000-0600-000032000000}"/>
            </a:ext>
          </a:extLst>
        </xdr:cNvPr>
        <xdr:cNvSpPr>
          <a:spLocks noChangeShapeType="1"/>
        </xdr:cNvSpPr>
      </xdr:nvSpPr>
      <xdr:spPr bwMode="auto">
        <a:xfrm>
          <a:off x="7153275" y="10267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51" name="Line 30">
          <a:extLst>
            <a:ext uri="{FF2B5EF4-FFF2-40B4-BE49-F238E27FC236}">
              <a16:creationId xmlns:a16="http://schemas.microsoft.com/office/drawing/2014/main" id="{00000000-0008-0000-0600-000033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52" name="Line 30">
          <a:extLst>
            <a:ext uri="{FF2B5EF4-FFF2-40B4-BE49-F238E27FC236}">
              <a16:creationId xmlns:a16="http://schemas.microsoft.com/office/drawing/2014/main" id="{00000000-0008-0000-0600-000034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53" name="Line 30">
          <a:extLst>
            <a:ext uri="{FF2B5EF4-FFF2-40B4-BE49-F238E27FC236}">
              <a16:creationId xmlns:a16="http://schemas.microsoft.com/office/drawing/2014/main" id="{00000000-0008-0000-0600-000035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55" name="Line 30">
          <a:extLst>
            <a:ext uri="{FF2B5EF4-FFF2-40B4-BE49-F238E27FC236}">
              <a16:creationId xmlns:a16="http://schemas.microsoft.com/office/drawing/2014/main" id="{00000000-0008-0000-0600-000037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56" name="Line 30">
          <a:extLst>
            <a:ext uri="{FF2B5EF4-FFF2-40B4-BE49-F238E27FC236}">
              <a16:creationId xmlns:a16="http://schemas.microsoft.com/office/drawing/2014/main" id="{00000000-0008-0000-0600-000038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57" name="Line 30">
          <a:extLst>
            <a:ext uri="{FF2B5EF4-FFF2-40B4-BE49-F238E27FC236}">
              <a16:creationId xmlns:a16="http://schemas.microsoft.com/office/drawing/2014/main" id="{00000000-0008-0000-0600-000039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58" name="Line 30">
          <a:extLst>
            <a:ext uri="{FF2B5EF4-FFF2-40B4-BE49-F238E27FC236}">
              <a16:creationId xmlns:a16="http://schemas.microsoft.com/office/drawing/2014/main" id="{00000000-0008-0000-0600-00003A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59" name="Line 30">
          <a:extLst>
            <a:ext uri="{FF2B5EF4-FFF2-40B4-BE49-F238E27FC236}">
              <a16:creationId xmlns:a16="http://schemas.microsoft.com/office/drawing/2014/main" id="{00000000-0008-0000-0600-00003B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60" name="Line 30">
          <a:extLst>
            <a:ext uri="{FF2B5EF4-FFF2-40B4-BE49-F238E27FC236}">
              <a16:creationId xmlns:a16="http://schemas.microsoft.com/office/drawing/2014/main" id="{00000000-0008-0000-0600-00003C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61" name="Line 30">
          <a:extLst>
            <a:ext uri="{FF2B5EF4-FFF2-40B4-BE49-F238E27FC236}">
              <a16:creationId xmlns:a16="http://schemas.microsoft.com/office/drawing/2014/main" id="{00000000-0008-0000-0600-00003D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62" name="Line 30">
          <a:extLst>
            <a:ext uri="{FF2B5EF4-FFF2-40B4-BE49-F238E27FC236}">
              <a16:creationId xmlns:a16="http://schemas.microsoft.com/office/drawing/2014/main" id="{00000000-0008-0000-0600-00003E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63" name="Line 30">
          <a:extLst>
            <a:ext uri="{FF2B5EF4-FFF2-40B4-BE49-F238E27FC236}">
              <a16:creationId xmlns:a16="http://schemas.microsoft.com/office/drawing/2014/main" id="{00000000-0008-0000-0600-00003F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64" name="Line 30">
          <a:extLst>
            <a:ext uri="{FF2B5EF4-FFF2-40B4-BE49-F238E27FC236}">
              <a16:creationId xmlns:a16="http://schemas.microsoft.com/office/drawing/2014/main" id="{00000000-0008-0000-0600-000040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65" name="Line 30">
          <a:extLst>
            <a:ext uri="{FF2B5EF4-FFF2-40B4-BE49-F238E27FC236}">
              <a16:creationId xmlns:a16="http://schemas.microsoft.com/office/drawing/2014/main" id="{00000000-0008-0000-0600-000041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66" name="Line 30">
          <a:extLst>
            <a:ext uri="{FF2B5EF4-FFF2-40B4-BE49-F238E27FC236}">
              <a16:creationId xmlns:a16="http://schemas.microsoft.com/office/drawing/2014/main" id="{00000000-0008-0000-0600-000042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67" name="Line 30">
          <a:extLst>
            <a:ext uri="{FF2B5EF4-FFF2-40B4-BE49-F238E27FC236}">
              <a16:creationId xmlns:a16="http://schemas.microsoft.com/office/drawing/2014/main" id="{00000000-0008-0000-0600-000043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68" name="Line 30">
          <a:extLst>
            <a:ext uri="{FF2B5EF4-FFF2-40B4-BE49-F238E27FC236}">
              <a16:creationId xmlns:a16="http://schemas.microsoft.com/office/drawing/2014/main" id="{00000000-0008-0000-0600-000044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69" name="Line 30">
          <a:extLst>
            <a:ext uri="{FF2B5EF4-FFF2-40B4-BE49-F238E27FC236}">
              <a16:creationId xmlns:a16="http://schemas.microsoft.com/office/drawing/2014/main" id="{00000000-0008-0000-0600-000045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70" name="Line 30">
          <a:extLst>
            <a:ext uri="{FF2B5EF4-FFF2-40B4-BE49-F238E27FC236}">
              <a16:creationId xmlns:a16="http://schemas.microsoft.com/office/drawing/2014/main" id="{00000000-0008-0000-0600-000046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71" name="Line 30">
          <a:extLst>
            <a:ext uri="{FF2B5EF4-FFF2-40B4-BE49-F238E27FC236}">
              <a16:creationId xmlns:a16="http://schemas.microsoft.com/office/drawing/2014/main" id="{00000000-0008-0000-0600-000047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73" name="Line 30">
          <a:extLst>
            <a:ext uri="{FF2B5EF4-FFF2-40B4-BE49-F238E27FC236}">
              <a16:creationId xmlns:a16="http://schemas.microsoft.com/office/drawing/2014/main" id="{00000000-0008-0000-0600-000049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74" name="Line 30">
          <a:extLst>
            <a:ext uri="{FF2B5EF4-FFF2-40B4-BE49-F238E27FC236}">
              <a16:creationId xmlns:a16="http://schemas.microsoft.com/office/drawing/2014/main" id="{00000000-0008-0000-0600-00004A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75" name="Line 30">
          <a:extLst>
            <a:ext uri="{FF2B5EF4-FFF2-40B4-BE49-F238E27FC236}">
              <a16:creationId xmlns:a16="http://schemas.microsoft.com/office/drawing/2014/main" id="{00000000-0008-0000-0600-00004B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76" name="Line 30">
          <a:extLst>
            <a:ext uri="{FF2B5EF4-FFF2-40B4-BE49-F238E27FC236}">
              <a16:creationId xmlns:a16="http://schemas.microsoft.com/office/drawing/2014/main" id="{00000000-0008-0000-0600-00004C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77" name="Line 30">
          <a:extLst>
            <a:ext uri="{FF2B5EF4-FFF2-40B4-BE49-F238E27FC236}">
              <a16:creationId xmlns:a16="http://schemas.microsoft.com/office/drawing/2014/main" id="{00000000-0008-0000-0600-00004D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78" name="Line 30">
          <a:extLst>
            <a:ext uri="{FF2B5EF4-FFF2-40B4-BE49-F238E27FC236}">
              <a16:creationId xmlns:a16="http://schemas.microsoft.com/office/drawing/2014/main" id="{00000000-0008-0000-0600-00004E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79" name="Line 30">
          <a:extLst>
            <a:ext uri="{FF2B5EF4-FFF2-40B4-BE49-F238E27FC236}">
              <a16:creationId xmlns:a16="http://schemas.microsoft.com/office/drawing/2014/main" id="{00000000-0008-0000-0600-00004F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80" name="Line 30">
          <a:extLst>
            <a:ext uri="{FF2B5EF4-FFF2-40B4-BE49-F238E27FC236}">
              <a16:creationId xmlns:a16="http://schemas.microsoft.com/office/drawing/2014/main" id="{00000000-0008-0000-0600-000050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82" name="Line 30">
          <a:extLst>
            <a:ext uri="{FF2B5EF4-FFF2-40B4-BE49-F238E27FC236}">
              <a16:creationId xmlns:a16="http://schemas.microsoft.com/office/drawing/2014/main" id="{00000000-0008-0000-0600-000052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83" name="Line 30">
          <a:extLst>
            <a:ext uri="{FF2B5EF4-FFF2-40B4-BE49-F238E27FC236}">
              <a16:creationId xmlns:a16="http://schemas.microsoft.com/office/drawing/2014/main" id="{00000000-0008-0000-0600-000053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84" name="Line 30">
          <a:extLst>
            <a:ext uri="{FF2B5EF4-FFF2-40B4-BE49-F238E27FC236}">
              <a16:creationId xmlns:a16="http://schemas.microsoft.com/office/drawing/2014/main" id="{00000000-0008-0000-0600-000054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85" name="Line 30">
          <a:extLst>
            <a:ext uri="{FF2B5EF4-FFF2-40B4-BE49-F238E27FC236}">
              <a16:creationId xmlns:a16="http://schemas.microsoft.com/office/drawing/2014/main" id="{00000000-0008-0000-0600-000055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86" name="Line 30">
          <a:extLst>
            <a:ext uri="{FF2B5EF4-FFF2-40B4-BE49-F238E27FC236}">
              <a16:creationId xmlns:a16="http://schemas.microsoft.com/office/drawing/2014/main" id="{00000000-0008-0000-0600-000056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87" name="Line 30">
          <a:extLst>
            <a:ext uri="{FF2B5EF4-FFF2-40B4-BE49-F238E27FC236}">
              <a16:creationId xmlns:a16="http://schemas.microsoft.com/office/drawing/2014/main" id="{00000000-0008-0000-0600-000057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88" name="Line 30">
          <a:extLst>
            <a:ext uri="{FF2B5EF4-FFF2-40B4-BE49-F238E27FC236}">
              <a16:creationId xmlns:a16="http://schemas.microsoft.com/office/drawing/2014/main" id="{00000000-0008-0000-0600-000058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89" name="Line 30">
          <a:extLst>
            <a:ext uri="{FF2B5EF4-FFF2-40B4-BE49-F238E27FC236}">
              <a16:creationId xmlns:a16="http://schemas.microsoft.com/office/drawing/2014/main" id="{00000000-0008-0000-0600-000059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90" name="Line 30">
          <a:extLst>
            <a:ext uri="{FF2B5EF4-FFF2-40B4-BE49-F238E27FC236}">
              <a16:creationId xmlns:a16="http://schemas.microsoft.com/office/drawing/2014/main" id="{00000000-0008-0000-0600-00005A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91" name="Line 30">
          <a:extLst>
            <a:ext uri="{FF2B5EF4-FFF2-40B4-BE49-F238E27FC236}">
              <a16:creationId xmlns:a16="http://schemas.microsoft.com/office/drawing/2014/main" id="{00000000-0008-0000-0600-00005B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92" name="Line 30">
          <a:extLst>
            <a:ext uri="{FF2B5EF4-FFF2-40B4-BE49-F238E27FC236}">
              <a16:creationId xmlns:a16="http://schemas.microsoft.com/office/drawing/2014/main" id="{00000000-0008-0000-0600-00005C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93" name="Line 30">
          <a:extLst>
            <a:ext uri="{FF2B5EF4-FFF2-40B4-BE49-F238E27FC236}">
              <a16:creationId xmlns:a16="http://schemas.microsoft.com/office/drawing/2014/main" id="{00000000-0008-0000-0600-00005D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94" name="Line 30">
          <a:extLst>
            <a:ext uri="{FF2B5EF4-FFF2-40B4-BE49-F238E27FC236}">
              <a16:creationId xmlns:a16="http://schemas.microsoft.com/office/drawing/2014/main" id="{00000000-0008-0000-0600-00005E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95" name="Line 30">
          <a:extLst>
            <a:ext uri="{FF2B5EF4-FFF2-40B4-BE49-F238E27FC236}">
              <a16:creationId xmlns:a16="http://schemas.microsoft.com/office/drawing/2014/main" id="{00000000-0008-0000-0600-00005F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96" name="Line 30">
          <a:extLst>
            <a:ext uri="{FF2B5EF4-FFF2-40B4-BE49-F238E27FC236}">
              <a16:creationId xmlns:a16="http://schemas.microsoft.com/office/drawing/2014/main" id="{00000000-0008-0000-0600-000060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97" name="Line 30">
          <a:extLst>
            <a:ext uri="{FF2B5EF4-FFF2-40B4-BE49-F238E27FC236}">
              <a16:creationId xmlns:a16="http://schemas.microsoft.com/office/drawing/2014/main" id="{00000000-0008-0000-0600-000061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98" name="Line 30">
          <a:extLst>
            <a:ext uri="{FF2B5EF4-FFF2-40B4-BE49-F238E27FC236}">
              <a16:creationId xmlns:a16="http://schemas.microsoft.com/office/drawing/2014/main" id="{00000000-0008-0000-0600-000062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99" name="Line 30">
          <a:extLst>
            <a:ext uri="{FF2B5EF4-FFF2-40B4-BE49-F238E27FC236}">
              <a16:creationId xmlns:a16="http://schemas.microsoft.com/office/drawing/2014/main" id="{00000000-0008-0000-0600-000063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100" name="Line 30">
          <a:extLst>
            <a:ext uri="{FF2B5EF4-FFF2-40B4-BE49-F238E27FC236}">
              <a16:creationId xmlns:a16="http://schemas.microsoft.com/office/drawing/2014/main" id="{00000000-0008-0000-0600-000064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101" name="Line 30">
          <a:extLst>
            <a:ext uri="{FF2B5EF4-FFF2-40B4-BE49-F238E27FC236}">
              <a16:creationId xmlns:a16="http://schemas.microsoft.com/office/drawing/2014/main" id="{00000000-0008-0000-0600-000065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103" name="Line 30">
          <a:extLst>
            <a:ext uri="{FF2B5EF4-FFF2-40B4-BE49-F238E27FC236}">
              <a16:creationId xmlns:a16="http://schemas.microsoft.com/office/drawing/2014/main" id="{00000000-0008-0000-0600-000067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105" name="Line 30">
          <a:extLst>
            <a:ext uri="{FF2B5EF4-FFF2-40B4-BE49-F238E27FC236}">
              <a16:creationId xmlns:a16="http://schemas.microsoft.com/office/drawing/2014/main" id="{00000000-0008-0000-0600-000069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106" name="Line 30">
          <a:extLst>
            <a:ext uri="{FF2B5EF4-FFF2-40B4-BE49-F238E27FC236}">
              <a16:creationId xmlns:a16="http://schemas.microsoft.com/office/drawing/2014/main" id="{00000000-0008-0000-0600-00006A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107" name="Line 30">
          <a:extLst>
            <a:ext uri="{FF2B5EF4-FFF2-40B4-BE49-F238E27FC236}">
              <a16:creationId xmlns:a16="http://schemas.microsoft.com/office/drawing/2014/main" id="{00000000-0008-0000-0600-00006B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108" name="Line 30">
          <a:extLst>
            <a:ext uri="{FF2B5EF4-FFF2-40B4-BE49-F238E27FC236}">
              <a16:creationId xmlns:a16="http://schemas.microsoft.com/office/drawing/2014/main" id="{00000000-0008-0000-0600-00006C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109" name="Line 30">
          <a:extLst>
            <a:ext uri="{FF2B5EF4-FFF2-40B4-BE49-F238E27FC236}">
              <a16:creationId xmlns:a16="http://schemas.microsoft.com/office/drawing/2014/main" id="{00000000-0008-0000-0600-00006D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110" name="Line 30">
          <a:extLst>
            <a:ext uri="{FF2B5EF4-FFF2-40B4-BE49-F238E27FC236}">
              <a16:creationId xmlns:a16="http://schemas.microsoft.com/office/drawing/2014/main" id="{00000000-0008-0000-0600-00006E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111" name="Line 30">
          <a:extLst>
            <a:ext uri="{FF2B5EF4-FFF2-40B4-BE49-F238E27FC236}">
              <a16:creationId xmlns:a16="http://schemas.microsoft.com/office/drawing/2014/main" id="{00000000-0008-0000-0600-00006F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2" name="Line 30">
          <a:extLst>
            <a:ext uri="{FF2B5EF4-FFF2-40B4-BE49-F238E27FC236}">
              <a16:creationId xmlns:a16="http://schemas.microsoft.com/office/drawing/2014/main" id="{0F75A18B-A5A6-4453-8C10-03392B5B3F35}"/>
            </a:ext>
            <a:ext uri="{147F2762-F138-4A5C-976F-8EAC2B608ADB}">
              <a16:predDERef xmlns:a16="http://schemas.microsoft.com/office/drawing/2014/main" pred="{00000000-0008-0000-0600-00006F000000}"/>
            </a:ext>
          </a:extLst>
        </xdr:cNvPr>
        <xdr:cNvSpPr>
          <a:spLocks noChangeShapeType="1"/>
        </xdr:cNvSpPr>
      </xdr:nvSpPr>
      <xdr:spPr bwMode="auto">
        <a:xfrm>
          <a:off x="6238875" y="4343400"/>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3" name="Line 30">
          <a:extLst>
            <a:ext uri="{FF2B5EF4-FFF2-40B4-BE49-F238E27FC236}">
              <a16:creationId xmlns:a16="http://schemas.microsoft.com/office/drawing/2014/main" id="{30E89B5F-EAFB-4117-9F72-DE07B120183C}"/>
            </a:ext>
            <a:ext uri="{147F2762-F138-4A5C-976F-8EAC2B608ADB}">
              <a16:predDERef xmlns:a16="http://schemas.microsoft.com/office/drawing/2014/main" pred="{0F75A18B-A5A6-4453-8C10-03392B5B3F35}"/>
            </a:ext>
          </a:extLst>
        </xdr:cNvPr>
        <xdr:cNvSpPr>
          <a:spLocks noChangeShapeType="1"/>
        </xdr:cNvSpPr>
      </xdr:nvSpPr>
      <xdr:spPr bwMode="auto">
        <a:xfrm>
          <a:off x="6257925" y="3438525"/>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4" name="Line 30">
          <a:extLst>
            <a:ext uri="{FF2B5EF4-FFF2-40B4-BE49-F238E27FC236}">
              <a16:creationId xmlns:a16="http://schemas.microsoft.com/office/drawing/2014/main" id="{8903FCC5-AECF-44F3-A23B-36439DEB4A53}"/>
            </a:ext>
            <a:ext uri="{147F2762-F138-4A5C-976F-8EAC2B608ADB}">
              <a16:predDERef xmlns:a16="http://schemas.microsoft.com/office/drawing/2014/main" pred="{30E89B5F-EAFB-4117-9F72-DE07B120183C}"/>
            </a:ext>
          </a:extLst>
        </xdr:cNvPr>
        <xdr:cNvSpPr>
          <a:spLocks noChangeShapeType="1"/>
        </xdr:cNvSpPr>
      </xdr:nvSpPr>
      <xdr:spPr bwMode="auto">
        <a:xfrm>
          <a:off x="6257925" y="3886200"/>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5" name="Line 30">
          <a:extLst>
            <a:ext uri="{FF2B5EF4-FFF2-40B4-BE49-F238E27FC236}">
              <a16:creationId xmlns:a16="http://schemas.microsoft.com/office/drawing/2014/main" id="{DE4ABF4A-51CE-43AB-A31B-6E6696EB412E}"/>
            </a:ext>
            <a:ext uri="{147F2762-F138-4A5C-976F-8EAC2B608ADB}">
              <a16:predDERef xmlns:a16="http://schemas.microsoft.com/office/drawing/2014/main" pred="{8903FCC5-AECF-44F3-A23B-36439DEB4A53}"/>
            </a:ext>
          </a:extLst>
        </xdr:cNvPr>
        <xdr:cNvSpPr>
          <a:spLocks noChangeShapeType="1"/>
        </xdr:cNvSpPr>
      </xdr:nvSpPr>
      <xdr:spPr bwMode="auto">
        <a:xfrm>
          <a:off x="6238875" y="4343400"/>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6" name="Line 30">
          <a:extLst>
            <a:ext uri="{FF2B5EF4-FFF2-40B4-BE49-F238E27FC236}">
              <a16:creationId xmlns:a16="http://schemas.microsoft.com/office/drawing/2014/main" id="{216B9B8A-2EE1-4204-B569-2376352FC576}"/>
            </a:ext>
            <a:ext uri="{147F2762-F138-4A5C-976F-8EAC2B608ADB}">
              <a16:predDERef xmlns:a16="http://schemas.microsoft.com/office/drawing/2014/main" pred="{DE4ABF4A-51CE-43AB-A31B-6E6696EB412E}"/>
            </a:ext>
          </a:extLst>
        </xdr:cNvPr>
        <xdr:cNvSpPr>
          <a:spLocks noChangeShapeType="1"/>
        </xdr:cNvSpPr>
      </xdr:nvSpPr>
      <xdr:spPr bwMode="auto">
        <a:xfrm>
          <a:off x="6257925" y="3438525"/>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7" name="Line 30">
          <a:extLst>
            <a:ext uri="{FF2B5EF4-FFF2-40B4-BE49-F238E27FC236}">
              <a16:creationId xmlns:a16="http://schemas.microsoft.com/office/drawing/2014/main" id="{05D71255-B10C-42E2-A863-AAADF428C321}"/>
            </a:ext>
            <a:ext uri="{147F2762-F138-4A5C-976F-8EAC2B608ADB}">
              <a16:predDERef xmlns:a16="http://schemas.microsoft.com/office/drawing/2014/main" pred="{216B9B8A-2EE1-4204-B569-2376352FC576}"/>
            </a:ext>
          </a:extLst>
        </xdr:cNvPr>
        <xdr:cNvSpPr>
          <a:spLocks noChangeShapeType="1"/>
        </xdr:cNvSpPr>
      </xdr:nvSpPr>
      <xdr:spPr bwMode="auto">
        <a:xfrm>
          <a:off x="6257925" y="3886200"/>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8" name="Line 30">
          <a:extLst>
            <a:ext uri="{FF2B5EF4-FFF2-40B4-BE49-F238E27FC236}">
              <a16:creationId xmlns:a16="http://schemas.microsoft.com/office/drawing/2014/main" id="{6E65C054-51A9-47A9-B213-A22AC3519B68}"/>
            </a:ext>
            <a:ext uri="{147F2762-F138-4A5C-976F-8EAC2B608ADB}">
              <a16:predDERef xmlns:a16="http://schemas.microsoft.com/office/drawing/2014/main" pred="{05D71255-B10C-42E2-A863-AAADF428C321}"/>
            </a:ext>
          </a:extLst>
        </xdr:cNvPr>
        <xdr:cNvSpPr>
          <a:spLocks noChangeShapeType="1"/>
        </xdr:cNvSpPr>
      </xdr:nvSpPr>
      <xdr:spPr bwMode="auto">
        <a:xfrm>
          <a:off x="6238875" y="4343400"/>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9" name="Line 30">
          <a:extLst>
            <a:ext uri="{FF2B5EF4-FFF2-40B4-BE49-F238E27FC236}">
              <a16:creationId xmlns:a16="http://schemas.microsoft.com/office/drawing/2014/main" id="{9D0F93DF-DB71-4A35-A16C-E8B2FA6CBABE}"/>
            </a:ext>
            <a:ext uri="{147F2762-F138-4A5C-976F-8EAC2B608ADB}">
              <a16:predDERef xmlns:a16="http://schemas.microsoft.com/office/drawing/2014/main" pred="{6E65C054-51A9-47A9-B213-A22AC3519B68}"/>
            </a:ext>
          </a:extLst>
        </xdr:cNvPr>
        <xdr:cNvSpPr>
          <a:spLocks noChangeShapeType="1"/>
        </xdr:cNvSpPr>
      </xdr:nvSpPr>
      <xdr:spPr bwMode="auto">
        <a:xfrm>
          <a:off x="6257925" y="3438525"/>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10" name="Line 30">
          <a:extLst>
            <a:ext uri="{FF2B5EF4-FFF2-40B4-BE49-F238E27FC236}">
              <a16:creationId xmlns:a16="http://schemas.microsoft.com/office/drawing/2014/main" id="{7FDFDE33-4F96-4EDB-B800-F1717DF9DD72}"/>
            </a:ext>
            <a:ext uri="{147F2762-F138-4A5C-976F-8EAC2B608ADB}">
              <a16:predDERef xmlns:a16="http://schemas.microsoft.com/office/drawing/2014/main" pred="{9D0F93DF-DB71-4A35-A16C-E8B2FA6CBABE}"/>
            </a:ext>
          </a:extLst>
        </xdr:cNvPr>
        <xdr:cNvSpPr>
          <a:spLocks noChangeShapeType="1"/>
        </xdr:cNvSpPr>
      </xdr:nvSpPr>
      <xdr:spPr bwMode="auto">
        <a:xfrm>
          <a:off x="6257925" y="3886200"/>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22413</xdr:colOff>
      <xdr:row>25</xdr:row>
      <xdr:rowOff>38100</xdr:rowOff>
    </xdr:from>
    <xdr:to>
      <xdr:col>23</xdr:col>
      <xdr:colOff>0</xdr:colOff>
      <xdr:row>26</xdr:row>
      <xdr:rowOff>122464</xdr:rowOff>
    </xdr:to>
    <xdr:sp macro="" textlink="">
      <xdr:nvSpPr>
        <xdr:cNvPr id="2" name="テキスト ボックス 1">
          <a:extLst>
            <a:ext uri="{FF2B5EF4-FFF2-40B4-BE49-F238E27FC236}">
              <a16:creationId xmlns:a16="http://schemas.microsoft.com/office/drawing/2014/main" id="{00000000-0008-0000-0D00-000002000000}"/>
            </a:ext>
          </a:extLst>
        </xdr:cNvPr>
        <xdr:cNvSpPr txBox="1"/>
      </xdr:nvSpPr>
      <xdr:spPr>
        <a:xfrm>
          <a:off x="22413" y="4533900"/>
          <a:ext cx="17655987" cy="255814"/>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rgbClr val="0000FF"/>
              </a:solidFill>
            </a:rPr>
            <a:t>下記では各シートの明細を参照していますので入力は禁止です。　　　上記にプロジェクトコードを入力するとその右側に時間が集計されます。</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22413</xdr:colOff>
      <xdr:row>18</xdr:row>
      <xdr:rowOff>0</xdr:rowOff>
    </xdr:from>
    <xdr:to>
      <xdr:col>21</xdr:col>
      <xdr:colOff>22412</xdr:colOff>
      <xdr:row>19</xdr:row>
      <xdr:rowOff>122464</xdr:rowOff>
    </xdr:to>
    <xdr:sp macro="" textlink="">
      <xdr:nvSpPr>
        <xdr:cNvPr id="10" name="テキスト ボックス 9">
          <a:extLst>
            <a:ext uri="{FF2B5EF4-FFF2-40B4-BE49-F238E27FC236}">
              <a16:creationId xmlns:a16="http://schemas.microsoft.com/office/drawing/2014/main" id="{00000000-0008-0000-0E00-00000A000000}"/>
            </a:ext>
          </a:extLst>
        </xdr:cNvPr>
        <xdr:cNvSpPr txBox="1"/>
      </xdr:nvSpPr>
      <xdr:spPr>
        <a:xfrm>
          <a:off x="22413" y="2943225"/>
          <a:ext cx="15382874" cy="293914"/>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rgbClr val="0000FF"/>
              </a:solidFill>
            </a:rPr>
            <a:t>下記では各シートの明細を参照していますので入力は禁止です。　　　上記にプロジェクトコードを入力するとその右側に時間が集計されます。</a:t>
          </a:r>
        </a:p>
      </xdr:txBody>
    </xdr:sp>
    <xdr:clientData/>
  </xdr:twoCellAnchor>
  <xdr:twoCellAnchor>
    <xdr:from>
      <xdr:col>0</xdr:col>
      <xdr:colOff>666750</xdr:colOff>
      <xdr:row>19</xdr:row>
      <xdr:rowOff>104775</xdr:rowOff>
    </xdr:from>
    <xdr:to>
      <xdr:col>20</xdr:col>
      <xdr:colOff>19050</xdr:colOff>
      <xdr:row>33</xdr:row>
      <xdr:rowOff>0</xdr:rowOff>
    </xdr:to>
    <xdr:sp macro="" textlink="">
      <xdr:nvSpPr>
        <xdr:cNvPr id="136781" name="正方形/長方形 11">
          <a:extLst>
            <a:ext uri="{FF2B5EF4-FFF2-40B4-BE49-F238E27FC236}">
              <a16:creationId xmlns:a16="http://schemas.microsoft.com/office/drawing/2014/main" id="{00000000-0008-0000-0E00-00004D160200}"/>
            </a:ext>
          </a:extLst>
        </xdr:cNvPr>
        <xdr:cNvSpPr>
          <a:spLocks noChangeArrowheads="1"/>
        </xdr:cNvSpPr>
      </xdr:nvSpPr>
      <xdr:spPr bwMode="auto">
        <a:xfrm>
          <a:off x="666750" y="3400425"/>
          <a:ext cx="14649450" cy="2352675"/>
        </a:xfrm>
        <a:prstGeom prst="rect">
          <a:avLst/>
        </a:prstGeom>
        <a:noFill/>
        <a:ln w="38100" algn="ctr">
          <a:solidFill>
            <a:srgbClr val="0000FF"/>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0</xdr:colOff>
      <xdr:row>3</xdr:row>
      <xdr:rowOff>0</xdr:rowOff>
    </xdr:from>
    <xdr:to>
      <xdr:col>8</xdr:col>
      <xdr:colOff>9525</xdr:colOff>
      <xdr:row>15</xdr:row>
      <xdr:rowOff>28575</xdr:rowOff>
    </xdr:to>
    <xdr:sp macro="" textlink="">
      <xdr:nvSpPr>
        <xdr:cNvPr id="136782" name="正方形/長方形 13">
          <a:extLst>
            <a:ext uri="{FF2B5EF4-FFF2-40B4-BE49-F238E27FC236}">
              <a16:creationId xmlns:a16="http://schemas.microsoft.com/office/drawing/2014/main" id="{00000000-0008-0000-0E00-00004E160200}"/>
            </a:ext>
          </a:extLst>
        </xdr:cNvPr>
        <xdr:cNvSpPr>
          <a:spLocks noChangeArrowheads="1"/>
        </xdr:cNvSpPr>
      </xdr:nvSpPr>
      <xdr:spPr bwMode="auto">
        <a:xfrm>
          <a:off x="4933950" y="533400"/>
          <a:ext cx="704850" cy="2105025"/>
        </a:xfrm>
        <a:prstGeom prst="rect">
          <a:avLst/>
        </a:prstGeom>
        <a:noFill/>
        <a:ln w="38100" algn="ctr">
          <a:solidFill>
            <a:srgbClr val="0000FF"/>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19</xdr:col>
      <xdr:colOff>19050</xdr:colOff>
      <xdr:row>3</xdr:row>
      <xdr:rowOff>9525</xdr:rowOff>
    </xdr:from>
    <xdr:to>
      <xdr:col>20</xdr:col>
      <xdr:colOff>28575</xdr:colOff>
      <xdr:row>15</xdr:row>
      <xdr:rowOff>9525</xdr:rowOff>
    </xdr:to>
    <xdr:sp macro="" textlink="">
      <xdr:nvSpPr>
        <xdr:cNvPr id="136783" name="正方形/長方形 14">
          <a:extLst>
            <a:ext uri="{FF2B5EF4-FFF2-40B4-BE49-F238E27FC236}">
              <a16:creationId xmlns:a16="http://schemas.microsoft.com/office/drawing/2014/main" id="{00000000-0008-0000-0E00-00004F160200}"/>
            </a:ext>
          </a:extLst>
        </xdr:cNvPr>
        <xdr:cNvSpPr>
          <a:spLocks noChangeArrowheads="1"/>
        </xdr:cNvSpPr>
      </xdr:nvSpPr>
      <xdr:spPr bwMode="auto">
        <a:xfrm>
          <a:off x="14620875" y="542925"/>
          <a:ext cx="704850" cy="2076450"/>
        </a:xfrm>
        <a:prstGeom prst="rect">
          <a:avLst/>
        </a:prstGeom>
        <a:noFill/>
        <a:ln w="38100" algn="ctr">
          <a:solidFill>
            <a:srgbClr val="0000FF"/>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1619250</xdr:colOff>
      <xdr:row>35</xdr:row>
      <xdr:rowOff>19050</xdr:rowOff>
    </xdr:from>
    <xdr:to>
      <xdr:col>10</xdr:col>
      <xdr:colOff>609600</xdr:colOff>
      <xdr:row>37</xdr:row>
      <xdr:rowOff>104775</xdr:rowOff>
    </xdr:to>
    <xdr:sp macro="" textlink="">
      <xdr:nvSpPr>
        <xdr:cNvPr id="16" name="角丸四角形吹き出し 15">
          <a:extLst>
            <a:ext uri="{FF2B5EF4-FFF2-40B4-BE49-F238E27FC236}">
              <a16:creationId xmlns:a16="http://schemas.microsoft.com/office/drawing/2014/main" id="{00000000-0008-0000-0E00-000010000000}"/>
            </a:ext>
          </a:extLst>
        </xdr:cNvPr>
        <xdr:cNvSpPr/>
      </xdr:nvSpPr>
      <xdr:spPr bwMode="auto">
        <a:xfrm>
          <a:off x="7248525" y="6105525"/>
          <a:ext cx="3429000" cy="428625"/>
        </a:xfrm>
        <a:prstGeom prst="wedgeRoundRectCallout">
          <a:avLst>
            <a:gd name="adj1" fmla="val -55535"/>
            <a:gd name="adj2" fmla="val -139276"/>
            <a:gd name="adj3" fmla="val 16667"/>
          </a:avLst>
        </a:prstGeom>
        <a:solidFill>
          <a:srgbClr val="CCFFCC"/>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rgbClr val="0000FF"/>
              </a:solidFill>
            </a:rPr>
            <a:t>①各週報を作成すると、自動表示されます</a:t>
          </a:r>
        </a:p>
      </xdr:txBody>
    </xdr:sp>
    <xdr:clientData/>
  </xdr:twoCellAnchor>
  <xdr:twoCellAnchor>
    <xdr:from>
      <xdr:col>8</xdr:col>
      <xdr:colOff>104775</xdr:colOff>
      <xdr:row>10</xdr:row>
      <xdr:rowOff>66675</xdr:rowOff>
    </xdr:from>
    <xdr:to>
      <xdr:col>9</xdr:col>
      <xdr:colOff>133350</xdr:colOff>
      <xdr:row>13</xdr:row>
      <xdr:rowOff>133350</xdr:rowOff>
    </xdr:to>
    <xdr:sp macro="" textlink="">
      <xdr:nvSpPr>
        <xdr:cNvPr id="19" name="角丸四角形吹き出し 18">
          <a:extLst>
            <a:ext uri="{FF2B5EF4-FFF2-40B4-BE49-F238E27FC236}">
              <a16:creationId xmlns:a16="http://schemas.microsoft.com/office/drawing/2014/main" id="{00000000-0008-0000-0E00-000013000000}"/>
            </a:ext>
          </a:extLst>
        </xdr:cNvPr>
        <xdr:cNvSpPr/>
      </xdr:nvSpPr>
      <xdr:spPr bwMode="auto">
        <a:xfrm>
          <a:off x="5629275" y="1628775"/>
          <a:ext cx="3419475" cy="581025"/>
        </a:xfrm>
        <a:prstGeom prst="wedgeRoundRectCallout">
          <a:avLst>
            <a:gd name="adj1" fmla="val -55535"/>
            <a:gd name="adj2" fmla="val -139276"/>
            <a:gd name="adj3" fmla="val 16667"/>
          </a:avLst>
        </a:prstGeom>
        <a:solidFill>
          <a:srgbClr val="CCFFCC"/>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100">
              <a:solidFill>
                <a:srgbClr val="0000FF"/>
              </a:solidFill>
              <a:latin typeface="+mn-lt"/>
              <a:ea typeface="+mn-ea"/>
              <a:cs typeface="+mn-cs"/>
            </a:rPr>
            <a:t>②</a:t>
          </a:r>
          <a:r>
            <a:rPr kumimoji="1" lang="ja-JP" altLang="en-US" sz="1100">
              <a:solidFill>
                <a:srgbClr val="0000FF"/>
              </a:solidFill>
              <a:latin typeface="+mn-lt"/>
              <a:ea typeface="+mn-ea"/>
              <a:cs typeface="+mn-cs"/>
            </a:rPr>
            <a:t>（①）を基に</a:t>
          </a:r>
          <a:r>
            <a:rPr kumimoji="1" lang="ja-JP" altLang="ja-JP" sz="1100">
              <a:solidFill>
                <a:srgbClr val="0000FF"/>
              </a:solidFill>
              <a:latin typeface="+mn-lt"/>
              <a:ea typeface="+mn-ea"/>
              <a:cs typeface="+mn-cs"/>
            </a:rPr>
            <a:t>プロジェクトコードを入力すると、</a:t>
          </a:r>
          <a:endParaRPr kumimoji="1" lang="en-US" altLang="ja-JP" sz="1100">
            <a:solidFill>
              <a:srgbClr val="0000FF"/>
            </a:solidFill>
            <a:latin typeface="+mn-lt"/>
            <a:ea typeface="+mn-ea"/>
            <a:cs typeface="+mn-cs"/>
          </a:endParaRPr>
        </a:p>
        <a:p>
          <a:pPr algn="ctr">
            <a:lnSpc>
              <a:spcPts val="1300"/>
            </a:lnSpc>
          </a:pPr>
          <a:r>
            <a:rPr kumimoji="1" lang="ja-JP" altLang="ja-JP" sz="1100">
              <a:solidFill>
                <a:srgbClr val="0000FF"/>
              </a:solidFill>
              <a:latin typeface="+mn-lt"/>
              <a:ea typeface="+mn-ea"/>
              <a:cs typeface="+mn-cs"/>
            </a:rPr>
            <a:t>プロジェクト別に工数が集計されます</a:t>
          </a:r>
          <a:endParaRPr lang="ja-JP" altLang="ja-JP">
            <a:solidFill>
              <a:srgbClr val="0000FF"/>
            </a:solidFill>
          </a:endParaRPr>
        </a:p>
      </xdr:txBody>
    </xdr:sp>
    <xdr:clientData/>
  </xdr:twoCellAnchor>
  <xdr:twoCellAnchor>
    <xdr:from>
      <xdr:col>10</xdr:col>
      <xdr:colOff>876300</xdr:colOff>
      <xdr:row>11</xdr:row>
      <xdr:rowOff>66675</xdr:rowOff>
    </xdr:from>
    <xdr:to>
      <xdr:col>18</xdr:col>
      <xdr:colOff>419100</xdr:colOff>
      <xdr:row>15</xdr:row>
      <xdr:rowOff>123825</xdr:rowOff>
    </xdr:to>
    <xdr:sp macro="" textlink="">
      <xdr:nvSpPr>
        <xdr:cNvPr id="21" name="角丸四角形吹き出し 20">
          <a:extLst>
            <a:ext uri="{FF2B5EF4-FFF2-40B4-BE49-F238E27FC236}">
              <a16:creationId xmlns:a16="http://schemas.microsoft.com/office/drawing/2014/main" id="{00000000-0008-0000-0E00-000015000000}"/>
            </a:ext>
          </a:extLst>
        </xdr:cNvPr>
        <xdr:cNvSpPr/>
      </xdr:nvSpPr>
      <xdr:spPr bwMode="auto">
        <a:xfrm>
          <a:off x="10944225" y="1981200"/>
          <a:ext cx="3419475" cy="752475"/>
        </a:xfrm>
        <a:prstGeom prst="wedgeRoundRectCallout">
          <a:avLst>
            <a:gd name="adj1" fmla="val 61457"/>
            <a:gd name="adj2" fmla="val -181796"/>
            <a:gd name="adj3" fmla="val 16667"/>
          </a:avLst>
        </a:prstGeom>
        <a:solidFill>
          <a:srgbClr val="CCFFCC"/>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ja-JP" altLang="en-US">
              <a:solidFill>
                <a:srgbClr val="0000FF"/>
              </a:solidFill>
            </a:rPr>
            <a:t>⑤プロジェクト別に比率が表示されますので、</a:t>
          </a:r>
          <a:endParaRPr lang="en-US" altLang="ja-JP">
            <a:solidFill>
              <a:srgbClr val="0000FF"/>
            </a:solidFill>
          </a:endParaRPr>
        </a:p>
        <a:p>
          <a:pPr algn="ctr"/>
          <a:r>
            <a:rPr lang="ja-JP" altLang="en-US">
              <a:solidFill>
                <a:srgbClr val="0000FF"/>
              </a:solidFill>
            </a:rPr>
            <a:t>予実の乖離を週単位にて確認してください</a:t>
          </a:r>
          <a:endParaRPr lang="en-US" altLang="ja-JP">
            <a:solidFill>
              <a:srgbClr val="0000FF"/>
            </a:solidFill>
          </a:endParaRPr>
        </a:p>
        <a:p>
          <a:pPr algn="ctr"/>
          <a:r>
            <a:rPr lang="ja-JP" altLang="en-US">
              <a:solidFill>
                <a:srgbClr val="0000FF"/>
              </a:solidFill>
            </a:rPr>
            <a:t>（金額の確認は必ず別シートにて行ってください）</a:t>
          </a:r>
          <a:endParaRPr lang="ja-JP" altLang="ja-JP">
            <a:solidFill>
              <a:srgbClr val="0000FF"/>
            </a:solidFill>
          </a:endParaRPr>
        </a:p>
      </xdr:txBody>
    </xdr:sp>
    <xdr:clientData/>
  </xdr:twoCellAnchor>
  <xdr:twoCellAnchor>
    <xdr:from>
      <xdr:col>18</xdr:col>
      <xdr:colOff>9525</xdr:colOff>
      <xdr:row>2</xdr:row>
      <xdr:rowOff>19050</xdr:rowOff>
    </xdr:from>
    <xdr:to>
      <xdr:col>19</xdr:col>
      <xdr:colOff>19050</xdr:colOff>
      <xdr:row>3</xdr:row>
      <xdr:rowOff>0</xdr:rowOff>
    </xdr:to>
    <xdr:sp macro="" textlink="">
      <xdr:nvSpPr>
        <xdr:cNvPr id="136787" name="正方形/長方形 14">
          <a:extLst>
            <a:ext uri="{FF2B5EF4-FFF2-40B4-BE49-F238E27FC236}">
              <a16:creationId xmlns:a16="http://schemas.microsoft.com/office/drawing/2014/main" id="{00000000-0008-0000-0E00-000053160200}"/>
            </a:ext>
          </a:extLst>
        </xdr:cNvPr>
        <xdr:cNvSpPr>
          <a:spLocks noChangeArrowheads="1"/>
        </xdr:cNvSpPr>
      </xdr:nvSpPr>
      <xdr:spPr bwMode="auto">
        <a:xfrm>
          <a:off x="13954125" y="371475"/>
          <a:ext cx="666750" cy="161925"/>
        </a:xfrm>
        <a:prstGeom prst="rect">
          <a:avLst/>
        </a:prstGeom>
        <a:noFill/>
        <a:ln w="38100" algn="ctr">
          <a:solidFill>
            <a:srgbClr val="0000FF"/>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17</xdr:col>
      <xdr:colOff>409575</xdr:colOff>
      <xdr:row>20</xdr:row>
      <xdr:rowOff>9525</xdr:rowOff>
    </xdr:from>
    <xdr:to>
      <xdr:col>19</xdr:col>
      <xdr:colOff>0</xdr:colOff>
      <xdr:row>20</xdr:row>
      <xdr:rowOff>171450</xdr:rowOff>
    </xdr:to>
    <xdr:sp macro="" textlink="">
      <xdr:nvSpPr>
        <xdr:cNvPr id="136788" name="正方形/長方形 14">
          <a:extLst>
            <a:ext uri="{FF2B5EF4-FFF2-40B4-BE49-F238E27FC236}">
              <a16:creationId xmlns:a16="http://schemas.microsoft.com/office/drawing/2014/main" id="{00000000-0008-0000-0E00-000054160200}"/>
            </a:ext>
          </a:extLst>
        </xdr:cNvPr>
        <xdr:cNvSpPr>
          <a:spLocks noChangeArrowheads="1"/>
        </xdr:cNvSpPr>
      </xdr:nvSpPr>
      <xdr:spPr bwMode="auto">
        <a:xfrm>
          <a:off x="13935075" y="3486150"/>
          <a:ext cx="666750" cy="161925"/>
        </a:xfrm>
        <a:prstGeom prst="rect">
          <a:avLst/>
        </a:prstGeom>
        <a:noFill/>
        <a:ln w="38100" algn="ctr">
          <a:solidFill>
            <a:srgbClr val="0000FF"/>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590550</xdr:colOff>
      <xdr:row>5</xdr:row>
      <xdr:rowOff>57150</xdr:rowOff>
    </xdr:from>
    <xdr:to>
      <xdr:col>17</xdr:col>
      <xdr:colOff>333375</xdr:colOff>
      <xdr:row>8</xdr:row>
      <xdr:rowOff>123825</xdr:rowOff>
    </xdr:to>
    <xdr:sp macro="" textlink="">
      <xdr:nvSpPr>
        <xdr:cNvPr id="13" name="角丸四角形吹き出し 12">
          <a:extLst>
            <a:ext uri="{FF2B5EF4-FFF2-40B4-BE49-F238E27FC236}">
              <a16:creationId xmlns:a16="http://schemas.microsoft.com/office/drawing/2014/main" id="{00000000-0008-0000-0E00-00000D000000}"/>
            </a:ext>
          </a:extLst>
        </xdr:cNvPr>
        <xdr:cNvSpPr/>
      </xdr:nvSpPr>
      <xdr:spPr bwMode="auto">
        <a:xfrm flipH="1">
          <a:off x="10658475" y="933450"/>
          <a:ext cx="3200400" cy="581025"/>
        </a:xfrm>
        <a:prstGeom prst="wedgeRoundRectCallout">
          <a:avLst>
            <a:gd name="adj1" fmla="val -55535"/>
            <a:gd name="adj2" fmla="val -139276"/>
            <a:gd name="adj3" fmla="val 16667"/>
          </a:avLst>
        </a:prstGeom>
        <a:solidFill>
          <a:srgbClr val="CCFFCC"/>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ja-JP" altLang="en-US">
              <a:solidFill>
                <a:srgbClr val="0000FF"/>
              </a:solidFill>
            </a:rPr>
            <a:t>③明細計と異なる場合、赤字で表示されます</a:t>
          </a:r>
          <a:endParaRPr lang="ja-JP" altLang="ja-JP">
            <a:solidFill>
              <a:srgbClr val="0000FF"/>
            </a:solidFill>
          </a:endParaRPr>
        </a:p>
      </xdr:txBody>
    </xdr:sp>
    <xdr:clientData/>
  </xdr:twoCellAnchor>
  <xdr:twoCellAnchor>
    <xdr:from>
      <xdr:col>18</xdr:col>
      <xdr:colOff>457200</xdr:colOff>
      <xdr:row>11</xdr:row>
      <xdr:rowOff>28575</xdr:rowOff>
    </xdr:from>
    <xdr:to>
      <xdr:col>23</xdr:col>
      <xdr:colOff>466725</xdr:colOff>
      <xdr:row>15</xdr:row>
      <xdr:rowOff>85725</xdr:rowOff>
    </xdr:to>
    <xdr:sp macro="" textlink="">
      <xdr:nvSpPr>
        <xdr:cNvPr id="12" name="角丸四角形吹き出し 11">
          <a:extLst>
            <a:ext uri="{FF2B5EF4-FFF2-40B4-BE49-F238E27FC236}">
              <a16:creationId xmlns:a16="http://schemas.microsoft.com/office/drawing/2014/main" id="{00000000-0008-0000-0E00-00000C000000}"/>
            </a:ext>
          </a:extLst>
        </xdr:cNvPr>
        <xdr:cNvSpPr/>
      </xdr:nvSpPr>
      <xdr:spPr bwMode="auto">
        <a:xfrm>
          <a:off x="14401800" y="1943100"/>
          <a:ext cx="3419475" cy="752475"/>
        </a:xfrm>
        <a:prstGeom prst="wedgeRoundRectCallout">
          <a:avLst>
            <a:gd name="adj1" fmla="val -4002"/>
            <a:gd name="adj2" fmla="val -210910"/>
            <a:gd name="adj3" fmla="val 16667"/>
          </a:avLst>
        </a:prstGeom>
        <a:solidFill>
          <a:srgbClr val="CCFFCC"/>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ja-JP" altLang="en-US">
              <a:solidFill>
                <a:srgbClr val="0000FF"/>
              </a:solidFill>
            </a:rPr>
            <a:t>④所定日数を入力すると、当月の所定勤務時間が</a:t>
          </a:r>
          <a:endParaRPr lang="en-US" altLang="ja-JP">
            <a:solidFill>
              <a:srgbClr val="0000FF"/>
            </a:solidFill>
          </a:endParaRPr>
        </a:p>
        <a:p>
          <a:pPr algn="ctr">
            <a:lnSpc>
              <a:spcPts val="1300"/>
            </a:lnSpc>
          </a:pPr>
          <a:r>
            <a:rPr lang="ja-JP" altLang="en-US">
              <a:solidFill>
                <a:srgbClr val="0000FF"/>
              </a:solidFill>
            </a:rPr>
            <a:t>表示され、プロジェクト毎の比率に反映されます</a:t>
          </a:r>
          <a:endParaRPr lang="ja-JP" altLang="ja-JP">
            <a:solidFill>
              <a:srgbClr val="0000FF"/>
            </a:solidFill>
          </a:endParaRPr>
        </a:p>
      </xdr:txBody>
    </xdr:sp>
    <xdr:clientData/>
  </xdr:twoCellAnchor>
  <xdr:twoCellAnchor>
    <xdr:from>
      <xdr:col>25</xdr:col>
      <xdr:colOff>9525</xdr:colOff>
      <xdr:row>1</xdr:row>
      <xdr:rowOff>0</xdr:rowOff>
    </xdr:from>
    <xdr:to>
      <xdr:col>32</xdr:col>
      <xdr:colOff>0</xdr:colOff>
      <xdr:row>15</xdr:row>
      <xdr:rowOff>9525</xdr:rowOff>
    </xdr:to>
    <xdr:sp macro="" textlink="">
      <xdr:nvSpPr>
        <xdr:cNvPr id="136791" name="正方形/長方形 11">
          <a:extLst>
            <a:ext uri="{FF2B5EF4-FFF2-40B4-BE49-F238E27FC236}">
              <a16:creationId xmlns:a16="http://schemas.microsoft.com/office/drawing/2014/main" id="{00000000-0008-0000-0E00-000057160200}"/>
            </a:ext>
          </a:extLst>
        </xdr:cNvPr>
        <xdr:cNvSpPr>
          <a:spLocks noChangeArrowheads="1"/>
        </xdr:cNvSpPr>
      </xdr:nvSpPr>
      <xdr:spPr bwMode="auto">
        <a:xfrm>
          <a:off x="18735675" y="171450"/>
          <a:ext cx="4791075" cy="2447925"/>
        </a:xfrm>
        <a:prstGeom prst="rect">
          <a:avLst/>
        </a:prstGeom>
        <a:noFill/>
        <a:ln w="38100" algn="ctr">
          <a:solidFill>
            <a:srgbClr val="0000FF"/>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mjsmoss/sec/dep/form_pj/0-2_PJ&#847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開発コード"/>
      <sheetName val="46期附番ルール"/>
      <sheetName val="01.企業系新製品"/>
      <sheetName val="02.改正対応"/>
      <sheetName val="03.ACELINKシリーズ"/>
      <sheetName val="04.MJSLINKシリーズ"/>
      <sheetName val="05.Galileoptシリーズ"/>
      <sheetName val="06.かんたん！シリーズ"/>
      <sheetName val="08.共通"/>
      <sheetName val="09.間接業務（契約系製品グループ）"/>
      <sheetName val="10.Bizsky DX"/>
      <sheetName val="11.Edge Tracker"/>
      <sheetName val="12.小規模事業者クラウド"/>
      <sheetName val="13.MJS共通シリーズ"/>
      <sheetName val="14.HW セキュリティ技術系"/>
      <sheetName val="15.間接業務（使用料製品グループ）"/>
      <sheetName val="51.S会計"/>
      <sheetName val="52.個別開発"/>
      <sheetName val="53.間接業務（個別ソフトグループ）"/>
      <sheetName val="所属"/>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CCFFCC"/>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CCFFCC"/>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8.xml"/><Relationship Id="rId1" Type="http://schemas.openxmlformats.org/officeDocument/2006/relationships/printerSettings" Target="../printerSettings/printerSettings13.bin"/><Relationship Id="rId4"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A86"/>
  <sheetViews>
    <sheetView showGridLines="0" zoomScaleNormal="100" zoomScaleSheetLayoutView="100" workbookViewId="0">
      <selection activeCell="E19" sqref="E19"/>
    </sheetView>
  </sheetViews>
  <sheetFormatPr defaultColWidth="8" defaultRowHeight="20.100000000000001" customHeight="1"/>
  <cols>
    <col min="1" max="1" width="2.625" style="4" customWidth="1"/>
    <col min="2" max="2" width="11.375" style="2" customWidth="1"/>
    <col min="3" max="3" width="23.125" style="2" customWidth="1"/>
    <col min="4" max="4" width="13.875" style="2" customWidth="1"/>
    <col min="5" max="5" width="31.125" style="2" customWidth="1"/>
    <col min="6" max="6" width="6" style="2" customWidth="1"/>
    <col min="7" max="7" width="5.375" style="4" customWidth="1"/>
    <col min="8" max="8" width="1.875" style="4" customWidth="1"/>
    <col min="9" max="24" width="3.375" style="2" customWidth="1"/>
    <col min="25" max="25" width="0.375" style="39" customWidth="1"/>
    <col min="26" max="26" width="8" style="2" customWidth="1"/>
    <col min="27" max="16384" width="8" style="2"/>
  </cols>
  <sheetData>
    <row r="1" spans="1:27" ht="25.5">
      <c r="A1" s="346" t="s">
        <v>0</v>
      </c>
      <c r="B1" s="346"/>
      <c r="C1" s="346"/>
      <c r="D1" s="346"/>
      <c r="E1" s="346"/>
      <c r="F1" s="346"/>
      <c r="G1" s="346"/>
      <c r="H1" s="346"/>
      <c r="I1" s="346"/>
      <c r="J1" s="346"/>
      <c r="K1" s="346"/>
      <c r="L1" s="346"/>
      <c r="M1" s="346"/>
      <c r="N1" s="346"/>
      <c r="O1" s="346"/>
      <c r="P1" s="346"/>
      <c r="Q1" s="346"/>
      <c r="R1" s="346"/>
      <c r="S1" s="346"/>
      <c r="T1" s="346"/>
      <c r="U1" s="346"/>
      <c r="V1" s="346"/>
      <c r="W1" s="346"/>
      <c r="X1" s="346"/>
      <c r="Y1" s="2"/>
    </row>
    <row r="2" spans="1:27" ht="19.5" customHeight="1">
      <c r="E2" s="5"/>
      <c r="H2" s="2"/>
      <c r="Q2" s="245"/>
      <c r="R2" s="46"/>
      <c r="S2" s="36"/>
      <c r="T2" s="34" t="s">
        <v>1</v>
      </c>
      <c r="U2" s="35"/>
      <c r="V2" s="37"/>
      <c r="W2" s="34" t="s">
        <v>2</v>
      </c>
      <c r="X2" s="38"/>
      <c r="Z2" s="53"/>
    </row>
    <row r="3" ht="19.5" customHeight="1">
      <c r="B3" s="326">
        <v>2026</v>
      </c>
      <c r="C3" s="327">
        <v>7</v>
      </c>
      <c r="D3" s="112"/>
      <c r="E3" s="5"/>
      <c r="H3" s="2"/>
      <c r="I3" s="6"/>
      <c r="R3" s="46"/>
      <c r="S3" s="363"/>
      <c r="T3" s="364"/>
      <c r="U3" s="365"/>
      <c r="V3" s="363"/>
      <c r="W3" s="364"/>
      <c r="X3" s="365"/>
      <c r="Z3" s="53"/>
    </row>
    <row r="4" spans="1:27" ht="19.5" customHeight="1">
      <c r="C4" s="18">
        <f>IF(C3="","",IF(U9="","",1))</f>
        <v>1</v>
      </c>
      <c r="D4" s="113"/>
      <c r="E4" s="7"/>
      <c r="F4" s="7"/>
      <c r="G4" s="7"/>
      <c r="H4" s="7"/>
      <c r="I4" s="8"/>
      <c r="J4" s="7"/>
      <c r="K4" s="7"/>
      <c r="L4" s="7"/>
      <c r="M4" s="7"/>
      <c r="N4" s="7"/>
      <c r="O4" s="7"/>
      <c r="P4" s="7"/>
      <c r="Q4" s="1"/>
      <c r="R4" s="54"/>
      <c r="S4" s="366"/>
      <c r="T4" s="367"/>
      <c r="U4" s="368"/>
      <c r="V4" s="366"/>
      <c r="W4" s="367"/>
      <c r="X4" s="368"/>
    </row>
    <row r="5" spans="1:27" ht="19.5" customHeight="1">
      <c r="A5" s="9"/>
      <c r="B5" s="7"/>
      <c r="C5" s="10"/>
      <c r="D5" s="10"/>
      <c r="E5" s="9"/>
      <c r="F5" s="7"/>
      <c r="G5" s="7"/>
      <c r="H5" s="7"/>
      <c r="I5" s="7"/>
      <c r="J5" s="7"/>
      <c r="K5" s="7"/>
      <c r="L5" s="7"/>
      <c r="M5" s="7"/>
      <c r="N5" s="7"/>
      <c r="O5" s="7"/>
      <c r="P5" s="7"/>
      <c r="Q5" s="7"/>
      <c r="R5" s="54"/>
      <c r="S5" s="369"/>
      <c r="T5" s="370"/>
      <c r="U5" s="371"/>
      <c r="V5" s="369"/>
      <c r="W5" s="370"/>
      <c r="X5" s="371"/>
    </row>
    <row r="6" ht="19.5" customHeight="1">
      <c r="B6" s="33" t="s">
        <v>3</v>
      </c>
      <c r="C6" s="55" t="inlineStr">
        <is>
          <t xml:space="preserve">FPTジャパン</t>
        </is>
      </c>
      <c r="D6" s="232">
        <f>IFERROR(INDEX(会社名!A:A,MATCH(C6,会社名!B:B,0),1),"")</f>
        <v>10000</v>
      </c>
      <c r="H6" s="2"/>
    </row>
    <row r="7" ht="19.5" customHeight="1">
      <c r="B7" s="33" t="s">
        <v>5</v>
      </c>
      <c r="C7" s="55" t="inlineStr">
        <is>
          <t xml:space="preserve">Nguyen Hoang Nam</t>
        </is>
      </c>
      <c r="D7" s="232" t="inlineStr">
        <is>
          <t xml:space="preserve">BA</t>
        </is>
      </c>
      <c r="H7" s="2"/>
      <c r="K7" s="357"/>
      <c r="L7" s="358"/>
      <c r="M7" s="372"/>
      <c r="N7" s="373"/>
      <c r="O7" s="373"/>
      <c r="P7" s="374"/>
      <c r="Q7" s="374"/>
      <c r="R7" s="374"/>
      <c r="S7" s="374"/>
      <c r="T7" s="261"/>
      <c r="U7" s="374"/>
      <c r="V7" s="374"/>
      <c r="W7" s="375"/>
      <c r="X7" s="375"/>
    </row>
    <row r="8" spans="1:27" ht="18" customHeight="1">
      <c r="G8" s="2"/>
      <c r="H8" s="2"/>
      <c r="I8" s="336" t="s">
        <v>8</v>
      </c>
      <c r="J8" s="337"/>
      <c r="K8" s="336" t="s">
        <v>9</v>
      </c>
      <c r="L8" s="337"/>
      <c r="M8" s="336" t="s">
        <v>10</v>
      </c>
      <c r="N8" s="337"/>
      <c r="O8" s="336" t="s">
        <v>11</v>
      </c>
      <c r="P8" s="337"/>
      <c r="Q8" s="336" t="s">
        <v>12</v>
      </c>
      <c r="R8" s="337"/>
      <c r="S8" s="336" t="s">
        <v>13</v>
      </c>
      <c r="T8" s="337"/>
      <c r="U8" s="336" t="s">
        <v>14</v>
      </c>
      <c r="V8" s="337"/>
      <c r="W8" s="11"/>
      <c r="Y8" s="2"/>
    </row>
    <row r="9" spans="1:27" s="4" customFormat="1" ht="18" customHeight="1">
      <c r="B9" s="12"/>
      <c r="F9" s="13"/>
      <c r="H9" s="14"/>
      <c r="I9" s="344" t="str">
        <f>IF(WEEKDAY($B$3&amp;"/"&amp;$C$3&amp;"/"&amp;1)=2,1,"")</f>
        <v/>
      </c>
      <c r="J9" s="345"/>
      <c r="K9" s="344" t="str">
        <f>IF(I9&lt;&gt;"",I9+1,IF(WEEKDAY($B$3&amp;"/"&amp;$C$3&amp;"/"&amp;1)=3,1,""))</f>
        <v/>
      </c>
      <c r="L9" s="345"/>
      <c r="M9" s="344">
        <f>IF(K9&lt;&gt;"",K9+1,IF(WEEKDAY($B$3&amp;"/"&amp;$C$3&amp;"/"&amp;1)=4,1,""))</f>
        <v>1</v>
      </c>
      <c r="N9" s="345"/>
      <c r="O9" s="344">
        <f>IF(M9&lt;&gt;"",M9+1,IF(WEEKDAY($B$3&amp;"/"&amp;$C$3&amp;"/"&amp;1)=5,1,""))</f>
        <v>2</v>
      </c>
      <c r="P9" s="345"/>
      <c r="Q9" s="344">
        <f>IF(O9&lt;&gt;"",O9+1,IF(WEEKDAY($B$3&amp;"/"&amp;$C$3&amp;"/"&amp;1)=6,1,""))</f>
        <v>3</v>
      </c>
      <c r="R9" s="345"/>
      <c r="S9" s="344">
        <f>IF(Q9&lt;&gt;"",Q9+1,IF(WEEKDAY($B$3&amp;"/"&amp;$C$3&amp;"/"&amp;1)=7,1,""))</f>
        <v>4</v>
      </c>
      <c r="T9" s="345"/>
      <c r="U9" s="344">
        <f>IF(S9&lt;&gt;"",S9+1,IF(WEEKDAY($B$3&amp;"/"&amp;$C$3&amp;"/"&amp;1)=1,1,""))</f>
        <v>5</v>
      </c>
      <c r="V9" s="345"/>
    </row>
    <row r="10" ht="18" customHeight="1">
      <c r="A10" s="25" t="s">
        <v>15</v>
      </c>
      <c r="B10" s="26" t="s">
        <v>16</v>
      </c>
      <c r="C10" s="27" t="s">
        <v>17</v>
      </c>
      <c r="D10" s="27" t="s">
        <v>18</v>
      </c>
      <c r="E10" s="25" t="s">
        <v>19</v>
      </c>
      <c r="F10" s="28" t="s">
        <v>20</v>
      </c>
      <c r="G10" s="347" t="s">
        <v>21</v>
      </c>
      <c r="H10" s="329"/>
      <c r="I10" s="342"/>
      <c r="J10" s="343"/>
      <c r="K10" s="342"/>
      <c r="L10" s="343"/>
      <c r="M10" s="342">
        <v>0.375</v>
      </c>
      <c r="N10" s="343"/>
      <c r="O10" s="342">
        <v>0.375</v>
      </c>
      <c r="P10" s="343"/>
      <c r="Q10" s="342">
        <v>0.375</v>
      </c>
      <c r="R10" s="343"/>
      <c r="S10" s="342"/>
      <c r="T10" s="343"/>
      <c r="U10" s="342"/>
      <c r="V10" s="343"/>
      <c r="W10" s="338" t="s">
        <v>22</v>
      </c>
      <c r="X10" s="339"/>
    </row>
    <row r="11" ht="18" customHeight="1">
      <c r="A11" s="29"/>
      <c r="B11" s="114" t="s">
        <v>23</v>
      </c>
      <c r="C11" s="27" t="s">
        <v>24</v>
      </c>
      <c r="D11" s="27" t="s">
        <v>25</v>
      </c>
      <c r="E11" s="29"/>
      <c r="F11" s="30" t="s">
        <v>26</v>
      </c>
      <c r="G11" s="348" t="s">
        <v>27</v>
      </c>
      <c r="H11" s="349"/>
      <c r="I11" s="334"/>
      <c r="J11" s="335"/>
      <c r="K11" s="334"/>
      <c r="L11" s="335"/>
      <c r="M11" s="334">
        <v>0.7708333333</v>
      </c>
      <c r="N11" s="335"/>
      <c r="O11" s="334">
        <v>0.7708333333</v>
      </c>
      <c r="P11" s="335"/>
      <c r="Q11" s="334">
        <v>0.7708333333</v>
      </c>
      <c r="R11" s="335"/>
      <c r="S11" s="334"/>
      <c r="T11" s="335"/>
      <c r="U11" s="334"/>
      <c r="V11" s="335"/>
      <c r="W11" s="340">
        <f>W13</f>
        <v>1.875</v>
      </c>
      <c r="X11" s="341"/>
      <c r="Z11" s="4"/>
    </row>
    <row r="12" ht="17.25" customHeight="1">
      <c r="A12" s="31"/>
      <c r="B12" s="32"/>
      <c r="C12" s="32"/>
      <c r="D12" s="32"/>
      <c r="E12" s="32"/>
      <c r="F12" s="350" t="s">
        <v>28</v>
      </c>
      <c r="G12" s="351"/>
      <c r="H12" s="352"/>
      <c r="I12" s="332"/>
      <c r="J12" s="333"/>
      <c r="K12" s="332"/>
      <c r="L12" s="333"/>
      <c r="M12" s="332">
        <v>0.0416666667</v>
      </c>
      <c r="N12" s="333"/>
      <c r="O12" s="332">
        <v>0.0416666667</v>
      </c>
      <c r="P12" s="333"/>
      <c r="Q12" s="332">
        <v>0.0416666667</v>
      </c>
      <c r="R12" s="333"/>
      <c r="S12" s="332"/>
      <c r="T12" s="333"/>
      <c r="U12" s="332"/>
      <c r="V12" s="333"/>
      <c r="W12" s="376" t="s">
        <v>29</v>
      </c>
      <c r="X12" s="377"/>
    </row>
    <row r="13" spans="1:27" ht="20.100000000000001" customHeight="1">
      <c r="A13" s="353" t="s">
        <v>29</v>
      </c>
      <c r="B13" s="354"/>
      <c r="C13" s="354"/>
      <c r="D13" s="354"/>
      <c r="E13" s="354"/>
      <c r="F13" s="354"/>
      <c r="G13" s="354"/>
      <c r="H13" s="355"/>
      <c r="I13" s="330">
        <f>TIMEVALUE(TEXT(I11-I10-I12,"h:mm:ss"))</f>
        <v>0.375</v>
      </c>
      <c r="J13" s="331"/>
      <c r="K13" s="330">
        <f>TIMEVALUE(TEXT(K11-K10-K12,"h:mm:ss"))</f>
        <v>0.375</v>
      </c>
      <c r="L13" s="331"/>
      <c r="M13" s="330">
        <f>TIMEVALUE(TEXT(M11-M10-M12,"h:mm:ss"))</f>
        <v>0.375</v>
      </c>
      <c r="N13" s="331"/>
      <c r="O13" s="330">
        <f>TIMEVALUE(TEXT(O11-O10-O12,"h:mm:ss"))</f>
        <v>0.375</v>
      </c>
      <c r="P13" s="331"/>
      <c r="Q13" s="330">
        <f>TIMEVALUE(TEXT(Q11-Q10-Q12,"h:mm:ss"))</f>
        <v>0.375</v>
      </c>
      <c r="R13" s="331"/>
      <c r="S13" s="330">
        <f>TIMEVALUE(TEXT(S11-S10-S12,"h:mm:ss"))</f>
        <v>0</v>
      </c>
      <c r="T13" s="331"/>
      <c r="U13" s="330">
        <f>TIMEVALUE(TEXT(U11-U10-U12,"h:mm:ss"))</f>
        <v>0</v>
      </c>
      <c r="V13" s="331"/>
      <c r="W13" s="361">
        <f>CEILING(SUM(I13:V13),"0:5")</f>
        <v>1.875</v>
      </c>
      <c r="X13" s="362"/>
      <c r="AA13" s="251"/>
    </row>
    <row r="14" spans="1:27" ht="8.25" customHeight="1">
      <c r="B14" s="15"/>
      <c r="C14" s="16"/>
      <c r="D14" s="4"/>
      <c r="E14" s="4"/>
      <c r="F14" s="13"/>
      <c r="W14" s="4"/>
      <c r="X14" s="4"/>
      <c r="Y14" s="2"/>
    </row>
    <row r="15" ht="18" customHeight="1">
      <c r="A15" s="25">
        <v>1</v>
      </c>
      <c r="B15" s="81">
        <f>IF($B16="","",INDEX(PJ!$A:$A,MATCH(B16,PJ!$C:$C,0)))</f>
        <v>10000</v>
      </c>
      <c r="C15" s="82" t="str">
        <f>IF($B16="","",INDEX(PJ!$B:$B,MATCH(B16, PJ!$C:$C, 0)))</f>
        <v>Yokogawa</v>
      </c>
      <c r="D15" s="81" t="str">
        <f>IF(D16="","",INDEX(工種!$A$2:$A$83,MATCH(D16,工種!$B$2:$B$83,0),1))</f>
        <v>10102</v>
      </c>
      <c r="E15" s="40"/>
      <c r="F15" s="41"/>
      <c r="G15" s="23" t="s">
        <v>20</v>
      </c>
      <c r="H15" s="259"/>
      <c r="I15" s="328"/>
      <c r="J15" s="329"/>
      <c r="K15" s="328"/>
      <c r="L15" s="329"/>
      <c r="M15" s="328"/>
      <c r="N15" s="329"/>
      <c r="O15" s="328"/>
      <c r="P15" s="329"/>
      <c r="Q15" s="328"/>
      <c r="R15" s="329"/>
      <c r="S15" s="19"/>
      <c r="T15" s="20"/>
      <c r="U15" s="19"/>
      <c r="V15" s="20"/>
      <c r="W15" s="21"/>
      <c r="X15" s="22"/>
    </row>
    <row r="16" ht="18" customHeight="1">
      <c r="A16" s="29"/>
      <c r="B16" s="24">
        <v>10000</v>
      </c>
      <c r="C16" s="83" t="str">
        <f>IF($B16="","",INDEX(PJ!$D:$D,MATCH(B16, PJ!$C:$C, 0)))</f>
        <v xml:space="preserve">Rep Portal </v>
      </c>
      <c r="D16" s="146" t="inlineStr">
        <is>
          <t xml:space="preserve">製造：コーディング</t>
        </is>
      </c>
      <c r="E16" s="42" t="inlineStr">
        <is>
          <t xml:space="preserve">コーディング</t>
        </is>
      </c>
      <c r="F16" s="43"/>
      <c r="G16" s="24" t="s">
        <v>32</v>
      </c>
      <c r="H16" s="258"/>
      <c r="I16" s="334"/>
      <c r="J16" s="335"/>
      <c r="K16" s="334"/>
      <c r="L16" s="335"/>
      <c r="M16" s="334">
        <v>0.2708333333</v>
      </c>
      <c r="N16" s="335"/>
      <c r="O16" s="334">
        <v>0.2708333333</v>
      </c>
      <c r="P16" s="335"/>
      <c r="Q16" s="334">
        <v>0.2708333333</v>
      </c>
      <c r="R16" s="335"/>
      <c r="S16" s="334"/>
      <c r="T16" s="335"/>
      <c r="U16" s="334"/>
      <c r="V16" s="335"/>
      <c r="W16" s="340">
        <f>SUM(I16:V16)</f>
        <v>0</v>
      </c>
      <c r="X16" s="341"/>
      <c r="AA16" s="251"/>
    </row>
    <row r="17" ht="18" customHeight="1">
      <c r="A17" s="25">
        <v>2</v>
      </c>
      <c r="B17" s="81">
        <f>IF($B18="","",INDEX(PJ!$A:$A,MATCH(B18,PJ!$C:$C,0)))</f>
        <v>10000</v>
      </c>
      <c r="C17" s="82" t="str">
        <f>IF($B18="","",INDEX(PJ!$B:$B,MATCH(B18, PJ!$C:$C, 0)))</f>
        <v>Yokogawa</v>
      </c>
      <c r="D17" s="81" t="str">
        <f>IF(D18="","",INDEX(工種!$A$2:$A$83,MATCH(D18,工種!$B$2:$B$83,0),1))</f>
        <v>30106</v>
      </c>
      <c r="E17" s="40"/>
      <c r="F17" s="41"/>
      <c r="G17" s="23" t="s">
        <v>20</v>
      </c>
      <c r="H17" s="259"/>
      <c r="I17" s="328"/>
      <c r="J17" s="329"/>
      <c r="K17" s="328"/>
      <c r="L17" s="329"/>
      <c r="M17" s="328"/>
      <c r="N17" s="329"/>
      <c r="O17" s="328"/>
      <c r="P17" s="329"/>
      <c r="Q17" s="328"/>
      <c r="R17" s="329"/>
      <c r="S17" s="19"/>
      <c r="T17" s="20"/>
      <c r="U17" s="19"/>
      <c r="V17" s="20"/>
      <c r="W17" s="19"/>
      <c r="X17" s="20"/>
    </row>
    <row r="18" ht="18" customHeight="1">
      <c r="A18" s="29"/>
      <c r="B18" s="24">
        <v>10000</v>
      </c>
      <c r="C18" s="83" t="str">
        <f>IF($B18="","",INDEX(PJ!$D:$D,MATCH(B18, PJ!$C:$C, 0)))</f>
        <v xml:space="preserve">Rep Portal </v>
      </c>
      <c r="D18" s="146" t="inlineStr">
        <is>
          <t xml:space="preserve">テスト：結合テスト実施</t>
        </is>
      </c>
      <c r="E18" s="42" t="inlineStr">
        <is>
          <t xml:space="preserve">結合テスト実施</t>
        </is>
      </c>
      <c r="F18" s="43"/>
      <c r="G18" s="24" t="s">
        <v>32</v>
      </c>
      <c r="H18" s="258"/>
      <c r="I18" s="334"/>
      <c r="J18" s="335"/>
      <c r="K18" s="334"/>
      <c r="L18" s="335"/>
      <c r="M18" s="334">
        <v>0.0833333333</v>
      </c>
      <c r="N18" s="335"/>
      <c r="O18" s="334">
        <v>0.0833333333</v>
      </c>
      <c r="P18" s="335"/>
      <c r="Q18" s="334">
        <v>0.0833333333</v>
      </c>
      <c r="R18" s="335"/>
      <c r="S18" s="334"/>
      <c r="T18" s="335"/>
      <c r="U18" s="334"/>
      <c r="V18" s="335"/>
      <c r="W18" s="340">
        <f>SUM(I18:V18)</f>
        <v>0</v>
      </c>
      <c r="X18" s="341"/>
    </row>
    <row r="19" ht="18" customHeight="1">
      <c r="A19" s="25">
        <v>3</v>
      </c>
      <c r="B19" s="81">
        <f>IF($B20="","",INDEX(PJ!$A:$A,MATCH(B20,PJ!$C:$C,0)))</f>
        <v>10000</v>
      </c>
      <c r="C19" s="82" t="str">
        <f>IF($B20="","",INDEX(PJ!$B:$B,MATCH(B20, PJ!$C:$C, 0)))</f>
        <v>Yokogawa</v>
      </c>
      <c r="D19" s="81" t="str">
        <f>IF(D20="","",INDEX(工種!$A$2:$A$83,MATCH(D20,工種!$B$2:$B$83,0),1))</f>
        <v>40108</v>
      </c>
      <c r="E19" s="40"/>
      <c r="F19" s="41"/>
      <c r="G19" s="23" t="s">
        <v>20</v>
      </c>
      <c r="H19" s="259"/>
      <c r="I19" s="328"/>
      <c r="J19" s="329"/>
      <c r="K19" s="328"/>
      <c r="L19" s="329"/>
      <c r="M19" s="328"/>
      <c r="N19" s="329"/>
      <c r="O19" s="328"/>
      <c r="P19" s="329"/>
      <c r="Q19" s="328"/>
      <c r="R19" s="329"/>
      <c r="S19" s="19"/>
      <c r="T19" s="20"/>
      <c r="U19" s="19"/>
      <c r="V19" s="20"/>
      <c r="W19" s="19"/>
      <c r="X19" s="20"/>
    </row>
    <row r="20" ht="18" customHeight="1">
      <c r="A20" s="29"/>
      <c r="B20" s="24"/>
      <c r="C20" s="83" t="str">
        <f>IF($B20="","",INDEX(PJ!$D:$D,MATCH(B20, PJ!$C:$C, 0)))</f>
        <v xml:space="preserve">Rep Portal </v>
      </c>
      <c r="D20" s="146"/>
      <c r="E20" s="42"/>
      <c r="F20" s="43"/>
      <c r="G20" s="24" t="s">
        <v>32</v>
      </c>
      <c r="H20" s="258"/>
      <c r="I20" s="334"/>
      <c r="J20" s="335"/>
      <c r="K20" s="334"/>
      <c r="L20" s="335"/>
      <c r="M20" s="334"/>
      <c r="N20" s="335"/>
      <c r="O20" s="334"/>
      <c r="P20" s="335"/>
      <c r="Q20" s="334"/>
      <c r="R20" s="335"/>
      <c r="S20" s="334"/>
      <c r="T20" s="335"/>
      <c r="U20" s="334"/>
      <c r="V20" s="335"/>
      <c r="W20" s="340">
        <f>SUM(I20:V20)</f>
        <v>0</v>
      </c>
      <c r="X20" s="341"/>
    </row>
    <row r="21" ht="18" customHeight="1">
      <c r="A21" s="25">
        <v>4</v>
      </c>
      <c r="B21" s="81" t="str">
        <f>IF($B22="","",INDEX(PJ!$A:$A,MATCH(B22,PJ!$C:$C,0)))</f>
        <v/>
      </c>
      <c r="C21" s="82" t="str">
        <f>IF($B22="","",INDEX(PJ!$B:$B,MATCH(B22, PJ!$C:$C, 0)))</f>
        <v/>
      </c>
      <c r="D21" s="81" t="str">
        <f>IF(D22="","",INDEX(工種!$A$2:$A$83,MATCH(D22,工種!$B$2:$B$83,0),1))</f>
        <v/>
      </c>
      <c r="E21" s="40"/>
      <c r="F21" s="41"/>
      <c r="G21" s="23" t="s">
        <v>20</v>
      </c>
      <c r="H21" s="259"/>
      <c r="I21" s="19"/>
      <c r="J21" s="20"/>
      <c r="K21" s="19"/>
      <c r="L21" s="20"/>
      <c r="M21" s="19"/>
      <c r="N21" s="20"/>
      <c r="O21" s="19"/>
      <c r="P21" s="20"/>
      <c r="Q21" s="19"/>
      <c r="R21" s="20"/>
      <c r="S21" s="19"/>
      <c r="T21" s="20"/>
      <c r="U21" s="19"/>
      <c r="V21" s="20"/>
      <c r="W21" s="19"/>
      <c r="X21" s="20"/>
    </row>
    <row r="22" ht="18" customHeight="1">
      <c r="A22" s="29"/>
      <c r="B22" s="24"/>
      <c r="C22" s="83" t="str">
        <f>IF($B22="","",INDEX(PJ!$D:$D,MATCH(B22, PJ!$C:$C, 0)))</f>
        <v/>
      </c>
      <c r="D22" s="146"/>
      <c r="E22" s="42"/>
      <c r="F22" s="43"/>
      <c r="G22" s="24" t="s">
        <v>32</v>
      </c>
      <c r="H22" s="258"/>
      <c r="I22" s="334"/>
      <c r="J22" s="335"/>
      <c r="K22" s="334"/>
      <c r="L22" s="335"/>
      <c r="M22" s="334"/>
      <c r="N22" s="335"/>
      <c r="O22" s="334"/>
      <c r="P22" s="335"/>
      <c r="Q22" s="334"/>
      <c r="R22" s="335"/>
      <c r="S22" s="334"/>
      <c r="T22" s="335"/>
      <c r="U22" s="334"/>
      <c r="V22" s="335"/>
      <c r="W22" s="340">
        <f>SUM(I22:V22)</f>
        <v>0</v>
      </c>
      <c r="X22" s="341"/>
    </row>
    <row r="23" ht="18" customHeight="1">
      <c r="A23" s="25">
        <v>5</v>
      </c>
      <c r="B23" s="81" t="str">
        <f>IF($B24="","",INDEX(PJ!$A:$A,MATCH(B24,PJ!$C:$C,0)))</f>
        <v/>
      </c>
      <c r="C23" s="82" t="str">
        <f>IF($B24="","",INDEX(PJ!$B:$B,MATCH(B24, PJ!$C:$C, 0)))</f>
        <v/>
      </c>
      <c r="D23" s="81" t="str">
        <f>IF(D24="","",INDEX(工種!$A$2:$A$83,MATCH(D24,工種!$B$2:$B$83,0),1))</f>
        <v/>
      </c>
      <c r="E23" s="40"/>
      <c r="F23" s="41"/>
      <c r="G23" s="23" t="s">
        <v>20</v>
      </c>
      <c r="H23" s="259"/>
      <c r="I23" s="19"/>
      <c r="J23" s="20"/>
      <c r="K23" s="19"/>
      <c r="L23" s="20"/>
      <c r="M23" s="19"/>
      <c r="N23" s="20"/>
      <c r="O23" s="19"/>
      <c r="P23" s="20"/>
      <c r="Q23" s="19"/>
      <c r="R23" s="20"/>
      <c r="S23" s="19"/>
      <c r="T23" s="20"/>
      <c r="U23" s="19"/>
      <c r="V23" s="20"/>
      <c r="W23" s="19"/>
      <c r="X23" s="20"/>
    </row>
    <row r="24" ht="18" customHeight="1">
      <c r="A24" s="29"/>
      <c r="B24" s="24"/>
      <c r="C24" s="83" t="str">
        <f>IF($B24="","",INDEX(PJ!$D:$D,MATCH(B24, PJ!$C:$C, 0)))</f>
        <v/>
      </c>
      <c r="D24" s="146"/>
      <c r="E24" s="42"/>
      <c r="F24" s="43"/>
      <c r="G24" s="24" t="s">
        <v>32</v>
      </c>
      <c r="H24" s="258"/>
      <c r="I24" s="334"/>
      <c r="J24" s="335"/>
      <c r="K24" s="334"/>
      <c r="L24" s="335"/>
      <c r="M24" s="334"/>
      <c r="N24" s="335"/>
      <c r="O24" s="334"/>
      <c r="P24" s="335"/>
      <c r="Q24" s="334"/>
      <c r="R24" s="335"/>
      <c r="S24" s="334"/>
      <c r="T24" s="335"/>
      <c r="U24" s="334"/>
      <c r="V24" s="335"/>
      <c r="W24" s="340">
        <f>SUM(I24:V24)</f>
        <v>0</v>
      </c>
      <c r="X24" s="341"/>
    </row>
    <row r="25" ht="18" customHeight="1">
      <c r="A25" s="25">
        <v>6</v>
      </c>
      <c r="B25" s="81" t="str">
        <f>IF($B26="","",INDEX(PJ!$A:$A,MATCH(B26,PJ!$C:$C,0)))</f>
        <v/>
      </c>
      <c r="C25" s="82" t="str">
        <f>IF($B26="","",INDEX(PJ!$B:$B,MATCH(B26, PJ!$C:$C, 0)))</f>
        <v/>
      </c>
      <c r="D25" s="81" t="str">
        <f>IF(D26="","",INDEX(工種!$A$2:$A$83,MATCH(D26,工種!$B$2:$B$83,0),1))</f>
        <v/>
      </c>
      <c r="E25" s="40"/>
      <c r="F25" s="41"/>
      <c r="G25" s="23" t="s">
        <v>20</v>
      </c>
      <c r="H25" s="259"/>
      <c r="I25" s="19"/>
      <c r="J25" s="20"/>
      <c r="K25" s="19"/>
      <c r="L25" s="20"/>
      <c r="M25" s="19"/>
      <c r="N25" s="20"/>
      <c r="O25" s="19"/>
      <c r="P25" s="20"/>
      <c r="Q25" s="19"/>
      <c r="R25" s="20"/>
      <c r="S25" s="19"/>
      <c r="T25" s="20"/>
      <c r="U25" s="19"/>
      <c r="V25" s="20"/>
      <c r="W25" s="19"/>
      <c r="X25" s="20"/>
    </row>
    <row r="26" ht="18" customHeight="1">
      <c r="A26" s="29"/>
      <c r="B26" s="24"/>
      <c r="C26" s="83" t="str">
        <f>IF($B26="","",INDEX(PJ!$D:$D,MATCH(B26, PJ!$C:$C, 0)))</f>
        <v/>
      </c>
      <c r="D26" s="146"/>
      <c r="E26" s="42"/>
      <c r="F26" s="43"/>
      <c r="G26" s="24" t="s">
        <v>32</v>
      </c>
      <c r="H26" s="258"/>
      <c r="I26" s="334"/>
      <c r="J26" s="335"/>
      <c r="K26" s="334"/>
      <c r="L26" s="335"/>
      <c r="M26" s="334"/>
      <c r="N26" s="335"/>
      <c r="O26" s="334"/>
      <c r="P26" s="335"/>
      <c r="Q26" s="334"/>
      <c r="R26" s="335"/>
      <c r="S26" s="334"/>
      <c r="T26" s="335"/>
      <c r="U26" s="334"/>
      <c r="V26" s="335"/>
      <c r="W26" s="340">
        <f>SUM(I26:V26)</f>
        <v>0</v>
      </c>
      <c r="X26" s="341"/>
    </row>
    <row r="27" ht="18" customHeight="1">
      <c r="A27" s="25">
        <v>7</v>
      </c>
      <c r="B27" s="81" t="str">
        <f>IF($B28="","",INDEX(PJ!$A:$A,MATCH(B28,PJ!$C:$C,0)))</f>
        <v/>
      </c>
      <c r="C27" s="82" t="str">
        <f>IF($B28="","",INDEX(PJ!$B:$B,MATCH(B28, PJ!$C:$C, 0)))</f>
        <v/>
      </c>
      <c r="D27" s="81" t="str">
        <f>IF(D28="","",INDEX(工種!$A$2:$A$83,MATCH(D28,工種!$B$2:$B$83,0),1))</f>
        <v/>
      </c>
      <c r="E27" s="40"/>
      <c r="F27" s="41"/>
      <c r="G27" s="23" t="s">
        <v>20</v>
      </c>
      <c r="H27" s="259"/>
      <c r="I27" s="19"/>
      <c r="J27" s="20"/>
      <c r="K27" s="19"/>
      <c r="L27" s="20"/>
      <c r="M27" s="19"/>
      <c r="N27" s="20"/>
      <c r="O27" s="19"/>
      <c r="P27" s="20"/>
      <c r="Q27" s="19"/>
      <c r="R27" s="20"/>
      <c r="S27" s="19"/>
      <c r="T27" s="20"/>
      <c r="U27" s="19"/>
      <c r="V27" s="20"/>
      <c r="W27" s="19"/>
      <c r="X27" s="20"/>
    </row>
    <row r="28" ht="18" customHeight="1">
      <c r="A28" s="29"/>
      <c r="B28" s="24"/>
      <c r="C28" s="83" t="str">
        <f>IF($B28="","",INDEX(PJ!$D:$D,MATCH(B28, PJ!$C:$C, 0)))</f>
        <v/>
      </c>
      <c r="D28" s="146"/>
      <c r="E28" s="42"/>
      <c r="F28" s="43"/>
      <c r="G28" s="24" t="s">
        <v>32</v>
      </c>
      <c r="H28" s="258"/>
      <c r="I28" s="334"/>
      <c r="J28" s="335"/>
      <c r="K28" s="334"/>
      <c r="L28" s="335"/>
      <c r="M28" s="334"/>
      <c r="N28" s="335"/>
      <c r="O28" s="334"/>
      <c r="P28" s="335"/>
      <c r="Q28" s="334"/>
      <c r="R28" s="335"/>
      <c r="S28" s="334"/>
      <c r="T28" s="335"/>
      <c r="U28" s="334"/>
      <c r="V28" s="335"/>
      <c r="W28" s="340">
        <f>SUM(I28:V28)</f>
        <v>0</v>
      </c>
      <c r="X28" s="341"/>
    </row>
    <row r="29" ht="18" customHeight="1">
      <c r="A29" s="25">
        <v>8</v>
      </c>
      <c r="B29" s="81" t="str">
        <f>IF($B30="","",INDEX(PJ!$A:$A,MATCH(B30,PJ!$C:$C,0)))</f>
        <v/>
      </c>
      <c r="C29" s="82" t="str">
        <f>IF($B30="","",INDEX(PJ!$B:$B,MATCH(B30, PJ!$C:$C, 0)))</f>
        <v/>
      </c>
      <c r="D29" s="81" t="str">
        <f>IF(D30="","",INDEX(工種!$A$2:$A$83,MATCH(D30,工種!$B$2:$B$83,0),1))</f>
        <v/>
      </c>
      <c r="E29" s="40"/>
      <c r="F29" s="41"/>
      <c r="G29" s="23" t="s">
        <v>20</v>
      </c>
      <c r="H29" s="259"/>
      <c r="I29" s="19"/>
      <c r="J29" s="20"/>
      <c r="K29" s="19"/>
      <c r="L29" s="20"/>
      <c r="M29" s="19"/>
      <c r="N29" s="20"/>
      <c r="O29" s="19"/>
      <c r="P29" s="20"/>
      <c r="Q29" s="19"/>
      <c r="R29" s="20"/>
      <c r="S29" s="19"/>
      <c r="T29" s="20"/>
      <c r="U29" s="19"/>
      <c r="V29" s="20"/>
      <c r="W29" s="19"/>
      <c r="X29" s="20"/>
    </row>
    <row r="30" ht="18" customHeight="1">
      <c r="A30" s="29"/>
      <c r="B30" s="24"/>
      <c r="C30" s="83" t="str">
        <f>IF($B30="","",INDEX(PJ!$D:$D,MATCH(B30, PJ!$C:$C, 0)))</f>
        <v/>
      </c>
      <c r="D30" s="146"/>
      <c r="E30" s="42"/>
      <c r="F30" s="43"/>
      <c r="G30" s="24" t="s">
        <v>32</v>
      </c>
      <c r="H30" s="258"/>
      <c r="I30" s="334"/>
      <c r="J30" s="335"/>
      <c r="K30" s="334"/>
      <c r="L30" s="335"/>
      <c r="M30" s="334"/>
      <c r="N30" s="335"/>
      <c r="O30" s="334"/>
      <c r="P30" s="335"/>
      <c r="Q30" s="334"/>
      <c r="R30" s="335"/>
      <c r="S30" s="334"/>
      <c r="T30" s="335"/>
      <c r="U30" s="334"/>
      <c r="V30" s="335"/>
      <c r="W30" s="340">
        <f>SUM(I30:V30)</f>
        <v>0</v>
      </c>
      <c r="X30" s="341"/>
    </row>
    <row r="31" ht="18" customHeight="1">
      <c r="A31" s="25">
        <v>9</v>
      </c>
      <c r="B31" s="81" t="str">
        <f>IF($B32="","",INDEX(PJ!$A:$A,MATCH(B32,PJ!$C:$C,0)))</f>
        <v/>
      </c>
      <c r="C31" s="82" t="str">
        <f>IF($B32="","",INDEX(PJ!$B:$B,MATCH(B32, PJ!$C:$C, 0)))</f>
        <v/>
      </c>
      <c r="D31" s="81" t="str">
        <f>IF(D32="","",INDEX(工種!$A$2:$A$83,MATCH(D32,工種!$B$2:$B$83,0),1))</f>
        <v/>
      </c>
      <c r="E31" s="40"/>
      <c r="F31" s="41"/>
      <c r="G31" s="23" t="s">
        <v>20</v>
      </c>
      <c r="H31" s="259"/>
      <c r="I31" s="19"/>
      <c r="J31" s="20"/>
      <c r="K31" s="19"/>
      <c r="L31" s="20"/>
      <c r="M31" s="19"/>
      <c r="N31" s="20"/>
      <c r="O31" s="19"/>
      <c r="P31" s="20"/>
      <c r="Q31" s="19"/>
      <c r="R31" s="20"/>
      <c r="S31" s="19"/>
      <c r="T31" s="20"/>
      <c r="U31" s="19"/>
      <c r="V31" s="20"/>
      <c r="W31" s="19"/>
      <c r="X31" s="20"/>
    </row>
    <row r="32" ht="18" customHeight="1">
      <c r="A32" s="29"/>
      <c r="B32" s="24"/>
      <c r="C32" s="83" t="str">
        <f>IF($B32="","",INDEX(PJ!$D:$D,MATCH(B32, PJ!$C:$C, 0)))</f>
        <v/>
      </c>
      <c r="D32" s="146"/>
      <c r="E32" s="42"/>
      <c r="F32" s="43"/>
      <c r="G32" s="24" t="s">
        <v>32</v>
      </c>
      <c r="H32" s="258"/>
      <c r="I32" s="334"/>
      <c r="J32" s="335"/>
      <c r="K32" s="334"/>
      <c r="L32" s="335"/>
      <c r="M32" s="334"/>
      <c r="N32" s="335"/>
      <c r="O32" s="334"/>
      <c r="P32" s="335"/>
      <c r="Q32" s="334"/>
      <c r="R32" s="335"/>
      <c r="S32" s="334"/>
      <c r="T32" s="335"/>
      <c r="U32" s="334"/>
      <c r="V32" s="335"/>
      <c r="W32" s="340">
        <f>SUM(I32:V32)</f>
        <v>0</v>
      </c>
      <c r="X32" s="341"/>
    </row>
    <row r="33" ht="18" customHeight="1">
      <c r="A33" s="25">
        <v>10</v>
      </c>
      <c r="B33" s="81" t="str">
        <f>IF($B34="","",INDEX(PJ!$A:$A,MATCH(B34,PJ!$C:$C,0)))</f>
        <v/>
      </c>
      <c r="C33" s="82" t="str">
        <f>IF($B34="","",INDEX(PJ!$B:$B,MATCH(B34, PJ!$C:$C, 0)))</f>
        <v/>
      </c>
      <c r="D33" s="81" t="str">
        <f>IF(D34="","",INDEX(工種!$A$2:$A$83,MATCH(D34,工種!$B$2:$B$83,0),1))</f>
        <v/>
      </c>
      <c r="E33" s="40"/>
      <c r="F33" s="41"/>
      <c r="G33" s="23" t="s">
        <v>20</v>
      </c>
      <c r="H33" s="259"/>
      <c r="I33" s="19"/>
      <c r="J33" s="20"/>
      <c r="K33" s="19"/>
      <c r="L33" s="20"/>
      <c r="M33" s="19"/>
      <c r="N33" s="20"/>
      <c r="O33" s="19"/>
      <c r="P33" s="20"/>
      <c r="Q33" s="19"/>
      <c r="R33" s="20"/>
      <c r="S33" s="19"/>
      <c r="T33" s="20"/>
      <c r="U33" s="19"/>
      <c r="V33" s="20"/>
      <c r="W33" s="19"/>
      <c r="X33" s="20"/>
    </row>
    <row r="34" ht="18" customHeight="1">
      <c r="A34" s="29"/>
      <c r="B34" s="24"/>
      <c r="C34" s="83" t="str">
        <f>IF($B34="","",INDEX(PJ!$D:$D,MATCH(B34, PJ!$C:$C, 0)))</f>
        <v/>
      </c>
      <c r="D34" s="146"/>
      <c r="E34" s="42"/>
      <c r="F34" s="43"/>
      <c r="G34" s="24" t="s">
        <v>32</v>
      </c>
      <c r="H34" s="258"/>
      <c r="I34" s="334"/>
      <c r="J34" s="335"/>
      <c r="K34" s="334"/>
      <c r="L34" s="335"/>
      <c r="M34" s="334"/>
      <c r="N34" s="335"/>
      <c r="O34" s="334"/>
      <c r="P34" s="335"/>
      <c r="Q34" s="334"/>
      <c r="R34" s="335"/>
      <c r="S34" s="334"/>
      <c r="T34" s="335"/>
      <c r="U34" s="334"/>
      <c r="V34" s="335"/>
      <c r="W34" s="340">
        <f>SUM(I34:V34)</f>
        <v>0</v>
      </c>
      <c r="X34" s="341"/>
    </row>
    <row r="35" ht="18" customHeight="1">
      <c r="A35" s="25">
        <v>11</v>
      </c>
      <c r="B35" s="81" t="str">
        <f>IF($B36="","",INDEX(PJ!$A:$A,MATCH(B36,PJ!$C:$C,0)))</f>
        <v/>
      </c>
      <c r="C35" s="82" t="str">
        <f>IF($B36="","",INDEX(PJ!$B:$B,MATCH(B36, PJ!$C:$C, 0)))</f>
        <v/>
      </c>
      <c r="D35" s="81" t="str">
        <f>IF(D36="","",INDEX(工種!$A$2:$A$83,MATCH(D36,工種!$B$2:$B$83,0),1))</f>
        <v/>
      </c>
      <c r="E35" s="40"/>
      <c r="F35" s="41"/>
      <c r="G35" s="23" t="s">
        <v>20</v>
      </c>
      <c r="H35" s="259"/>
      <c r="I35" s="19"/>
      <c r="J35" s="20"/>
      <c r="K35" s="19"/>
      <c r="L35" s="20"/>
      <c r="M35" s="19"/>
      <c r="N35" s="20"/>
      <c r="O35" s="19"/>
      <c r="P35" s="20"/>
      <c r="Q35" s="19"/>
      <c r="R35" s="20"/>
      <c r="S35" s="19"/>
      <c r="T35" s="20"/>
      <c r="U35" s="19"/>
      <c r="V35" s="20"/>
      <c r="W35" s="19"/>
      <c r="X35" s="20"/>
    </row>
    <row r="36" ht="18" customHeight="1">
      <c r="A36" s="29"/>
      <c r="B36" s="24"/>
      <c r="C36" s="83" t="str">
        <f>IF($B36="","",INDEX(PJ!$D:$D,MATCH(B36, PJ!$C:$C, 0)))</f>
        <v/>
      </c>
      <c r="D36" s="146"/>
      <c r="E36" s="42"/>
      <c r="F36" s="43"/>
      <c r="G36" s="24" t="s">
        <v>32</v>
      </c>
      <c r="H36" s="258"/>
      <c r="I36" s="334"/>
      <c r="J36" s="335"/>
      <c r="K36" s="334"/>
      <c r="L36" s="335"/>
      <c r="M36" s="334"/>
      <c r="N36" s="335"/>
      <c r="O36" s="334"/>
      <c r="P36" s="335"/>
      <c r="Q36" s="334"/>
      <c r="R36" s="335"/>
      <c r="S36" s="334"/>
      <c r="T36" s="335"/>
      <c r="U36" s="334"/>
      <c r="V36" s="335"/>
      <c r="W36" s="340">
        <f>SUM(I36:V36)</f>
        <v>0</v>
      </c>
      <c r="X36" s="341"/>
    </row>
    <row r="37" ht="18" customHeight="1">
      <c r="A37" s="25">
        <v>12</v>
      </c>
      <c r="B37" s="81" t="str">
        <f>IF($B38="","",INDEX(PJ!$A:$A,MATCH(B38,PJ!$C:$C,0)))</f>
        <v/>
      </c>
      <c r="C37" s="82" t="str">
        <f>IF($B38="","",INDEX(PJ!$B:$B,MATCH(B38, PJ!$C:$C, 0)))</f>
        <v/>
      </c>
      <c r="D37" s="81" t="str">
        <f>IF(D38="","",INDEX(工種!$A$2:$A$83,MATCH(D38,工種!$B$2:$B$83,0),1))</f>
        <v/>
      </c>
      <c r="E37" s="40"/>
      <c r="F37" s="41"/>
      <c r="G37" s="23" t="s">
        <v>20</v>
      </c>
      <c r="H37" s="259"/>
      <c r="I37" s="19"/>
      <c r="J37" s="20"/>
      <c r="K37" s="19"/>
      <c r="L37" s="20"/>
      <c r="M37" s="19"/>
      <c r="N37" s="20"/>
      <c r="O37" s="19"/>
      <c r="P37" s="20"/>
      <c r="Q37" s="19"/>
      <c r="R37" s="20"/>
      <c r="S37" s="19"/>
      <c r="T37" s="20"/>
      <c r="U37" s="19"/>
      <c r="V37" s="20"/>
      <c r="W37" s="19"/>
      <c r="X37" s="20"/>
    </row>
    <row r="38" ht="18" customHeight="1">
      <c r="A38" s="29"/>
      <c r="B38" s="24"/>
      <c r="C38" s="83" t="str">
        <f>IF($B38="","",INDEX(PJ!$D:$D,MATCH(B38, PJ!$C:$C, 0)))</f>
        <v/>
      </c>
      <c r="D38" s="146"/>
      <c r="E38" s="42"/>
      <c r="F38" s="43"/>
      <c r="G38" s="24" t="s">
        <v>32</v>
      </c>
      <c r="H38" s="258"/>
      <c r="I38" s="334"/>
      <c r="J38" s="335"/>
      <c r="K38" s="334"/>
      <c r="L38" s="335"/>
      <c r="M38" s="334"/>
      <c r="N38" s="335"/>
      <c r="O38" s="334"/>
      <c r="P38" s="335"/>
      <c r="Q38" s="334"/>
      <c r="R38" s="335"/>
      <c r="S38" s="334"/>
      <c r="T38" s="335"/>
      <c r="U38" s="334"/>
      <c r="V38" s="335"/>
      <c r="W38" s="340">
        <f>SUM(I38:V38)</f>
        <v>0</v>
      </c>
      <c r="X38" s="341"/>
    </row>
    <row r="39" ht="18" customHeight="1">
      <c r="A39" s="25">
        <v>13</v>
      </c>
      <c r="B39" s="81" t="str">
        <f>IF($B40="","",INDEX(PJ!$A:$A,MATCH(B40,PJ!$C:$C,0)))</f>
        <v/>
      </c>
      <c r="C39" s="82" t="str">
        <f>IF($B40="","",INDEX(PJ!$B:$B,MATCH(B40, PJ!$C:$C, 0)))</f>
        <v/>
      </c>
      <c r="D39" s="81" t="str">
        <f>IF(D40="","",INDEX(工種!$A$2:$A$83,MATCH(D40,工種!$B$2:$B$83,0),1))</f>
        <v/>
      </c>
      <c r="E39" s="40"/>
      <c r="F39" s="41"/>
      <c r="G39" s="23" t="s">
        <v>20</v>
      </c>
      <c r="H39" s="259"/>
      <c r="I39" s="19"/>
      <c r="J39" s="20"/>
      <c r="K39" s="19"/>
      <c r="L39" s="20"/>
      <c r="M39" s="19"/>
      <c r="N39" s="20"/>
      <c r="O39" s="19"/>
      <c r="P39" s="20"/>
      <c r="Q39" s="19"/>
      <c r="R39" s="20"/>
      <c r="S39" s="19"/>
      <c r="T39" s="20"/>
      <c r="U39" s="19"/>
      <c r="V39" s="20"/>
      <c r="W39" s="19"/>
      <c r="X39" s="20"/>
    </row>
    <row r="40" ht="18" customHeight="1">
      <c r="A40" s="29"/>
      <c r="B40" s="24"/>
      <c r="C40" s="83" t="str">
        <f>IF($B40="","",INDEX(PJ!$D:$D,MATCH(B40, PJ!$C:$C, 0)))</f>
        <v/>
      </c>
      <c r="D40" s="146"/>
      <c r="E40" s="42"/>
      <c r="F40" s="43"/>
      <c r="G40" s="24" t="s">
        <v>32</v>
      </c>
      <c r="H40" s="258"/>
      <c r="I40" s="334"/>
      <c r="J40" s="335"/>
      <c r="K40" s="334"/>
      <c r="L40" s="335"/>
      <c r="M40" s="334"/>
      <c r="N40" s="335"/>
      <c r="O40" s="334"/>
      <c r="P40" s="335"/>
      <c r="Q40" s="334"/>
      <c r="R40" s="335"/>
      <c r="S40" s="334"/>
      <c r="T40" s="335"/>
      <c r="U40" s="334"/>
      <c r="V40" s="335"/>
      <c r="W40" s="340">
        <f>SUM(I40:V40)</f>
        <v>0</v>
      </c>
      <c r="X40" s="341"/>
    </row>
    <row r="41" ht="18" customHeight="1">
      <c r="A41" s="25">
        <v>14</v>
      </c>
      <c r="B41" s="81" t="str">
        <f>IF($B42="","",INDEX(PJ!$A:$A,MATCH(B42,PJ!$C:$C,0)))</f>
        <v/>
      </c>
      <c r="C41" s="82" t="str">
        <f>IF($B42="","",INDEX(PJ!$B:$B,MATCH(B42, PJ!$C:$C, 0)))</f>
        <v/>
      </c>
      <c r="D41" s="81" t="str">
        <f>IF(D42="","",INDEX(工種!$A$2:$A$83,MATCH(D42,工種!$B$2:$B$83,0),1))</f>
        <v/>
      </c>
      <c r="E41" s="40"/>
      <c r="F41" s="41"/>
      <c r="G41" s="23" t="s">
        <v>20</v>
      </c>
      <c r="H41" s="259"/>
      <c r="I41" s="19"/>
      <c r="J41" s="20"/>
      <c r="K41" s="19"/>
      <c r="L41" s="20"/>
      <c r="M41" s="19"/>
      <c r="N41" s="20"/>
      <c r="O41" s="19"/>
      <c r="P41" s="20"/>
      <c r="Q41" s="19"/>
      <c r="R41" s="20"/>
      <c r="S41" s="19"/>
      <c r="T41" s="20"/>
      <c r="U41" s="19"/>
      <c r="V41" s="20"/>
      <c r="W41" s="19"/>
      <c r="X41" s="20"/>
    </row>
    <row r="42" ht="18" customHeight="1">
      <c r="A42" s="29"/>
      <c r="B42" s="24"/>
      <c r="C42" s="83" t="str">
        <f>IF($B42="","",INDEX(PJ!$D:$D,MATCH(B42, PJ!$C:$C, 0)))</f>
        <v/>
      </c>
      <c r="D42" s="146"/>
      <c r="E42" s="42"/>
      <c r="F42" s="43"/>
      <c r="G42" s="24" t="s">
        <v>32</v>
      </c>
      <c r="H42" s="258"/>
      <c r="I42" s="334"/>
      <c r="J42" s="335"/>
      <c r="K42" s="334"/>
      <c r="L42" s="335"/>
      <c r="M42" s="334"/>
      <c r="N42" s="335"/>
      <c r="O42" s="334"/>
      <c r="P42" s="335"/>
      <c r="Q42" s="334"/>
      <c r="R42" s="335"/>
      <c r="S42" s="334"/>
      <c r="T42" s="335"/>
      <c r="U42" s="334"/>
      <c r="V42" s="335"/>
      <c r="W42" s="340">
        <f>SUM(I42:V42)</f>
        <v>0</v>
      </c>
      <c r="X42" s="341"/>
    </row>
    <row r="43" ht="18" customHeight="1">
      <c r="A43" s="25">
        <v>15</v>
      </c>
      <c r="B43" s="81" t="str">
        <f>IF($B44="","",INDEX(PJ!$A:$A,MATCH(B44,PJ!$C:$C,0)))</f>
        <v/>
      </c>
      <c r="C43" s="82" t="str">
        <f>IF($B44="","",INDEX(PJ!$B:$B,MATCH(B44, PJ!$C:$C, 0)))</f>
        <v/>
      </c>
      <c r="D43" s="81" t="str">
        <f>IF(D44="","",INDEX(工種!$A$2:$A$83,MATCH(D44,工種!$B$2:$B$83,0),1))</f>
        <v/>
      </c>
      <c r="E43" s="40"/>
      <c r="F43" s="41"/>
      <c r="G43" s="23" t="s">
        <v>20</v>
      </c>
      <c r="H43" s="259"/>
      <c r="I43" s="19"/>
      <c r="J43" s="20"/>
      <c r="K43" s="19"/>
      <c r="L43" s="20"/>
      <c r="M43" s="19"/>
      <c r="N43" s="20"/>
      <c r="O43" s="19"/>
      <c r="P43" s="20"/>
      <c r="Q43" s="19"/>
      <c r="R43" s="20"/>
      <c r="S43" s="19"/>
      <c r="T43" s="20"/>
      <c r="U43" s="19"/>
      <c r="V43" s="20"/>
      <c r="W43" s="19"/>
      <c r="X43" s="20"/>
    </row>
    <row r="44" ht="18" customHeight="1">
      <c r="A44" s="29"/>
      <c r="B44" s="24"/>
      <c r="C44" s="83" t="str">
        <f>IF($B44="","",INDEX(PJ!$D:$D,MATCH(B44, PJ!$C:$C, 0)))</f>
        <v/>
      </c>
      <c r="D44" s="146"/>
      <c r="E44" s="42"/>
      <c r="F44" s="43"/>
      <c r="G44" s="24" t="s">
        <v>32</v>
      </c>
      <c r="H44" s="258"/>
      <c r="I44" s="334"/>
      <c r="J44" s="335"/>
      <c r="K44" s="334"/>
      <c r="L44" s="335"/>
      <c r="M44" s="334"/>
      <c r="N44" s="335"/>
      <c r="O44" s="334"/>
      <c r="P44" s="335"/>
      <c r="Q44" s="334"/>
      <c r="R44" s="335"/>
      <c r="S44" s="334"/>
      <c r="T44" s="335"/>
      <c r="U44" s="334"/>
      <c r="V44" s="335"/>
      <c r="W44" s="340">
        <f>SUM(I44:V44)</f>
        <v>0</v>
      </c>
      <c r="X44" s="341"/>
    </row>
    <row r="45" ht="18" customHeight="1">
      <c r="A45" s="25">
        <v>16</v>
      </c>
      <c r="B45" s="81" t="str">
        <f>IF($B46="","",INDEX(PJ!$A:$A,MATCH(B46,PJ!$C:$C,0)))</f>
        <v/>
      </c>
      <c r="C45" s="82" t="str">
        <f>IF($B46="","",INDEX(PJ!$B:$B,MATCH(B46, PJ!$C:$C, 0)))</f>
        <v/>
      </c>
      <c r="D45" s="81" t="str">
        <f>IF(D46="","",INDEX(工種!$A$2:$A$83,MATCH(D46,工種!$B$2:$B$83,0),1))</f>
        <v/>
      </c>
      <c r="E45" s="40"/>
      <c r="F45" s="41"/>
      <c r="G45" s="23" t="s">
        <v>20</v>
      </c>
      <c r="H45" s="259"/>
      <c r="I45" s="19"/>
      <c r="J45" s="20"/>
      <c r="K45" s="19"/>
      <c r="L45" s="20"/>
      <c r="M45" s="19"/>
      <c r="N45" s="20"/>
      <c r="O45" s="19"/>
      <c r="P45" s="20"/>
      <c r="Q45" s="19"/>
      <c r="R45" s="20"/>
      <c r="S45" s="19"/>
      <c r="T45" s="20"/>
      <c r="U45" s="19"/>
      <c r="V45" s="20"/>
      <c r="W45" s="19"/>
      <c r="X45" s="20"/>
    </row>
    <row r="46" ht="18" customHeight="1">
      <c r="A46" s="29"/>
      <c r="B46" s="24"/>
      <c r="C46" s="83" t="str">
        <f>IF($B46="","",INDEX(PJ!$D:$D,MATCH(B46, PJ!$C:$C, 0)))</f>
        <v/>
      </c>
      <c r="D46" s="146"/>
      <c r="E46" s="42"/>
      <c r="F46" s="43"/>
      <c r="G46" s="24" t="s">
        <v>32</v>
      </c>
      <c r="H46" s="258"/>
      <c r="I46" s="334"/>
      <c r="J46" s="335"/>
      <c r="K46" s="334"/>
      <c r="L46" s="335"/>
      <c r="M46" s="334"/>
      <c r="N46" s="335"/>
      <c r="O46" s="334"/>
      <c r="P46" s="335"/>
      <c r="Q46" s="334"/>
      <c r="R46" s="335"/>
      <c r="S46" s="334"/>
      <c r="T46" s="335"/>
      <c r="U46" s="334"/>
      <c r="V46" s="335"/>
      <c r="W46" s="340">
        <f>SUM(I46:V46)</f>
        <v>0</v>
      </c>
      <c r="X46" s="341"/>
    </row>
    <row r="47" ht="18" customHeight="1">
      <c r="A47" s="25">
        <v>17</v>
      </c>
      <c r="B47" s="81" t="str">
        <f>IF($B48="","",INDEX(PJ!$A:$A,MATCH(B48,PJ!$C:$C,0)))</f>
        <v/>
      </c>
      <c r="C47" s="82" t="str">
        <f>IF($B48="","",INDEX(PJ!$B:$B,MATCH(B48, PJ!$C:$C, 0)))</f>
        <v/>
      </c>
      <c r="D47" s="81" t="str">
        <f>IF(D48="","",INDEX(工種!$A$2:$A$83,MATCH(D48,工種!$B$2:$B$83,0),1))</f>
        <v/>
      </c>
      <c r="E47" s="40"/>
      <c r="F47" s="41"/>
      <c r="G47" s="23" t="s">
        <v>20</v>
      </c>
      <c r="H47" s="259"/>
      <c r="I47" s="19"/>
      <c r="J47" s="20"/>
      <c r="K47" s="19"/>
      <c r="L47" s="20"/>
      <c r="M47" s="19"/>
      <c r="N47" s="20"/>
      <c r="O47" s="19"/>
      <c r="P47" s="20"/>
      <c r="Q47" s="19"/>
      <c r="R47" s="20"/>
      <c r="S47" s="19"/>
      <c r="T47" s="20"/>
      <c r="U47" s="19"/>
      <c r="V47" s="20"/>
      <c r="W47" s="19"/>
      <c r="X47" s="20"/>
    </row>
    <row r="48" ht="18" customHeight="1">
      <c r="A48" s="29"/>
      <c r="B48" s="24"/>
      <c r="C48" s="83" t="str">
        <f>IF($B48="","",INDEX(PJ!$D:$D,MATCH(B48, PJ!$C:$C, 0)))</f>
        <v/>
      </c>
      <c r="D48" s="146"/>
      <c r="E48" s="42"/>
      <c r="F48" s="43"/>
      <c r="G48" s="24" t="s">
        <v>32</v>
      </c>
      <c r="H48" s="258"/>
      <c r="I48" s="334"/>
      <c r="J48" s="335"/>
      <c r="K48" s="334"/>
      <c r="L48" s="335"/>
      <c r="M48" s="334"/>
      <c r="N48" s="335"/>
      <c r="O48" s="334"/>
      <c r="P48" s="335"/>
      <c r="Q48" s="334"/>
      <c r="R48" s="335"/>
      <c r="S48" s="334"/>
      <c r="T48" s="335"/>
      <c r="U48" s="334"/>
      <c r="V48" s="335"/>
      <c r="W48" s="340">
        <f>SUM(I48:V48)</f>
        <v>0</v>
      </c>
      <c r="X48" s="341"/>
    </row>
    <row r="49" ht="18" customHeight="1">
      <c r="A49" s="25">
        <v>18</v>
      </c>
      <c r="B49" s="81" t="str">
        <f>IF($B50="","",INDEX(PJ!$A:$A,MATCH(B50,PJ!$C:$C,0)))</f>
        <v/>
      </c>
      <c r="C49" s="82" t="str">
        <f>IF($B50="","",INDEX(PJ!$B:$B,MATCH(B50, PJ!$C:$C, 0)))</f>
        <v/>
      </c>
      <c r="D49" s="81" t="str">
        <f>IF(D50="","",INDEX(工種!$A$2:$A$83,MATCH(D50,工種!$B$2:$B$83,0),1))</f>
        <v/>
      </c>
      <c r="E49" s="40"/>
      <c r="F49" s="41"/>
      <c r="G49" s="23" t="s">
        <v>20</v>
      </c>
      <c r="H49" s="259"/>
      <c r="I49" s="19"/>
      <c r="J49" s="20"/>
      <c r="K49" s="19"/>
      <c r="L49" s="20"/>
      <c r="M49" s="19"/>
      <c r="N49" s="20"/>
      <c r="O49" s="19"/>
      <c r="P49" s="20"/>
      <c r="Q49" s="19"/>
      <c r="R49" s="20"/>
      <c r="S49" s="19"/>
      <c r="T49" s="20"/>
      <c r="U49" s="19"/>
      <c r="V49" s="20"/>
      <c r="W49" s="19"/>
      <c r="X49" s="20"/>
    </row>
    <row r="50" ht="18" customHeight="1">
      <c r="A50" s="29"/>
      <c r="B50" s="24"/>
      <c r="C50" s="83" t="str">
        <f>IF($B50="","",INDEX(PJ!$D:$D,MATCH(B50, PJ!$C:$C, 0)))</f>
        <v/>
      </c>
      <c r="D50" s="146"/>
      <c r="E50" s="42"/>
      <c r="F50" s="43"/>
      <c r="G50" s="24" t="s">
        <v>32</v>
      </c>
      <c r="H50" s="258"/>
      <c r="I50" s="334"/>
      <c r="J50" s="335"/>
      <c r="K50" s="334"/>
      <c r="L50" s="335"/>
      <c r="M50" s="334"/>
      <c r="N50" s="335"/>
      <c r="O50" s="334"/>
      <c r="P50" s="335"/>
      <c r="Q50" s="334"/>
      <c r="R50" s="335"/>
      <c r="S50" s="334"/>
      <c r="T50" s="335"/>
      <c r="U50" s="334"/>
      <c r="V50" s="335"/>
      <c r="W50" s="340">
        <f>SUM(I50:V50)</f>
        <v>0</v>
      </c>
      <c r="X50" s="341"/>
    </row>
    <row r="51" ht="18" customHeight="1">
      <c r="A51" s="25">
        <v>19</v>
      </c>
      <c r="B51" s="81" t="str">
        <f>IF($B52="","",INDEX(PJ!$A:$A,MATCH(B52,PJ!$C:$C,0)))</f>
        <v/>
      </c>
      <c r="C51" s="82" t="str">
        <f>IF($B52="","",INDEX(PJ!$B:$B,MATCH(B52, PJ!$C:$C, 0)))</f>
        <v/>
      </c>
      <c r="D51" s="81" t="str">
        <f>IF(D52="","",INDEX(工種!$A$2:$A$83,MATCH(D52,工種!$B$2:$B$83,0),1))</f>
        <v/>
      </c>
      <c r="E51" s="40"/>
      <c r="F51" s="41"/>
      <c r="G51" s="23" t="s">
        <v>20</v>
      </c>
      <c r="H51" s="259"/>
      <c r="I51" s="19"/>
      <c r="J51" s="20"/>
      <c r="K51" s="19"/>
      <c r="L51" s="20"/>
      <c r="M51" s="19"/>
      <c r="N51" s="20"/>
      <c r="O51" s="19"/>
      <c r="P51" s="20"/>
      <c r="Q51" s="19"/>
      <c r="R51" s="20"/>
      <c r="S51" s="19"/>
      <c r="T51" s="20"/>
      <c r="U51" s="19"/>
      <c r="V51" s="20"/>
      <c r="W51" s="19"/>
      <c r="X51" s="20"/>
    </row>
    <row r="52" ht="18" customHeight="1">
      <c r="A52" s="29"/>
      <c r="B52" s="24"/>
      <c r="C52" s="83" t="str">
        <f>IF($B52="","",INDEX(PJ!$D:$D,MATCH(B52, PJ!$C:$C, 0)))</f>
        <v/>
      </c>
      <c r="D52" s="146"/>
      <c r="E52" s="42"/>
      <c r="F52" s="43"/>
      <c r="G52" s="24" t="s">
        <v>32</v>
      </c>
      <c r="H52" s="258"/>
      <c r="I52" s="334"/>
      <c r="J52" s="335"/>
      <c r="K52" s="334"/>
      <c r="L52" s="335"/>
      <c r="M52" s="334"/>
      <c r="N52" s="335"/>
      <c r="O52" s="334"/>
      <c r="P52" s="335"/>
      <c r="Q52" s="334"/>
      <c r="R52" s="335"/>
      <c r="S52" s="334"/>
      <c r="T52" s="335"/>
      <c r="U52" s="334"/>
      <c r="V52" s="335"/>
      <c r="W52" s="340">
        <f>SUM(I52:V52)</f>
        <v>0</v>
      </c>
      <c r="X52" s="341"/>
    </row>
    <row r="53" ht="18" customHeight="1">
      <c r="A53" s="25">
        <v>20</v>
      </c>
      <c r="B53" s="81" t="str">
        <f>IF($B54="","",INDEX(PJ!$A:$A,MATCH(B54,PJ!$C:$C,0)))</f>
        <v/>
      </c>
      <c r="C53" s="82" t="str">
        <f>IF($B54="","",INDEX(PJ!$B:$B,MATCH(B54, PJ!$C:$C, 0)))</f>
        <v/>
      </c>
      <c r="D53" s="81" t="str">
        <f>IF(D54="","",INDEX(工種!$A$2:$A$83,MATCH(D54,工種!$B$2:$B$83,0),1))</f>
        <v/>
      </c>
      <c r="E53" s="40"/>
      <c r="F53" s="41"/>
      <c r="G53" s="23" t="s">
        <v>20</v>
      </c>
      <c r="H53" s="259"/>
      <c r="I53" s="19"/>
      <c r="J53" s="20"/>
      <c r="K53" s="19"/>
      <c r="L53" s="20"/>
      <c r="M53" s="19"/>
      <c r="N53" s="20"/>
      <c r="O53" s="19"/>
      <c r="P53" s="20"/>
      <c r="Q53" s="19"/>
      <c r="R53" s="20"/>
      <c r="S53" s="19"/>
      <c r="T53" s="20"/>
      <c r="U53" s="19"/>
      <c r="V53" s="20"/>
      <c r="W53" s="19"/>
      <c r="X53" s="20"/>
    </row>
    <row r="54" ht="18" customHeight="1">
      <c r="A54" s="29"/>
      <c r="B54" s="24"/>
      <c r="C54" s="83" t="str">
        <f>IF($B54="","",INDEX(PJ!$D:$D,MATCH(B54, PJ!$C:$C, 0)))</f>
        <v/>
      </c>
      <c r="D54" s="146"/>
      <c r="E54" s="42"/>
      <c r="F54" s="43"/>
      <c r="G54" s="24" t="s">
        <v>32</v>
      </c>
      <c r="H54" s="258"/>
      <c r="I54" s="334"/>
      <c r="J54" s="335"/>
      <c r="K54" s="334"/>
      <c r="L54" s="335"/>
      <c r="M54" s="334"/>
      <c r="N54" s="335"/>
      <c r="O54" s="334"/>
      <c r="P54" s="335"/>
      <c r="Q54" s="334"/>
      <c r="R54" s="335"/>
      <c r="S54" s="334"/>
      <c r="T54" s="335"/>
      <c r="U54" s="334"/>
      <c r="V54" s="335"/>
      <c r="W54" s="340">
        <f>SUM(I54:V54)</f>
        <v>0</v>
      </c>
      <c r="X54" s="341"/>
    </row>
    <row r="55" spans="1:25" ht="6.75" customHeight="1">
      <c r="I55" s="17"/>
      <c r="J55" s="17"/>
      <c r="K55" s="17"/>
      <c r="L55" s="17"/>
      <c r="M55" s="17"/>
      <c r="N55" s="17"/>
      <c r="O55" s="17"/>
      <c r="P55" s="17"/>
      <c r="Q55" s="17"/>
      <c r="R55" s="17"/>
      <c r="S55" s="17"/>
      <c r="T55" s="17"/>
      <c r="U55" s="17"/>
      <c r="V55" s="17"/>
      <c r="W55" s="17"/>
      <c r="X55" s="17"/>
      <c r="Y55" s="2"/>
    </row>
    <row r="56" spans="1:25" ht="6.75" customHeight="1" thickBot="1">
      <c r="I56" s="17"/>
      <c r="J56" s="17"/>
      <c r="K56" s="17"/>
      <c r="L56" s="17"/>
      <c r="M56" s="17"/>
      <c r="N56" s="17"/>
      <c r="O56" s="17"/>
      <c r="P56" s="17"/>
      <c r="Q56" s="17"/>
      <c r="R56" s="17"/>
      <c r="S56" s="17"/>
      <c r="T56" s="17"/>
      <c r="U56" s="17"/>
      <c r="V56" s="17"/>
      <c r="W56" s="17"/>
      <c r="X56" s="17"/>
      <c r="Y56" s="2"/>
    </row>
    <row r="57" spans="1:25" ht="17.25" customHeight="1" thickTop="1">
      <c r="A57" s="255"/>
      <c r="B57" s="50"/>
      <c r="C57" s="50"/>
      <c r="D57" s="50"/>
      <c r="E57" s="256" t="s">
        <v>29</v>
      </c>
      <c r="F57" s="256"/>
      <c r="G57" s="257"/>
      <c r="H57" s="256"/>
      <c r="I57" s="330">
        <f>SUM(I16:J54)</f>
        <v>0</v>
      </c>
      <c r="J57" s="331"/>
      <c r="K57" s="330">
        <f>SUM(K16:L54)</f>
        <v>0</v>
      </c>
      <c r="L57" s="331"/>
      <c r="M57" s="330">
        <f>SUM(M16:N54)</f>
        <v>0</v>
      </c>
      <c r="N57" s="331"/>
      <c r="O57" s="330">
        <f>SUM(O16:P54)</f>
        <v>0</v>
      </c>
      <c r="P57" s="331"/>
      <c r="Q57" s="330">
        <f>SUM(Q16:R54)</f>
        <v>0</v>
      </c>
      <c r="R57" s="331"/>
      <c r="S57" s="330">
        <f>SUM(S16:T54)</f>
        <v>0</v>
      </c>
      <c r="T57" s="331"/>
      <c r="U57" s="330">
        <f>SUM(U16:V54)</f>
        <v>0</v>
      </c>
      <c r="V57" s="331"/>
      <c r="W57" s="330">
        <f>CEILING(SUM(W16:X54),"0:5")</f>
        <v>0</v>
      </c>
      <c r="X57" s="331"/>
    </row>
    <row r="58" ht="17.25" customHeight="1">
      <c r="A58" s="33"/>
      <c r="B58" s="51"/>
      <c r="C58" s="51"/>
      <c r="D58" s="51"/>
      <c r="E58" s="44" t="s">
        <v>37</v>
      </c>
      <c r="F58" s="44"/>
      <c r="G58" s="44"/>
      <c r="H58" s="44"/>
      <c r="I58" s="359"/>
      <c r="J58" s="360"/>
      <c r="K58" s="359"/>
      <c r="L58" s="360"/>
      <c r="M58" s="359"/>
      <c r="N58" s="360"/>
      <c r="O58" s="359"/>
      <c r="P58" s="360"/>
      <c r="Q58" s="359"/>
      <c r="R58" s="360"/>
      <c r="S58" s="359"/>
      <c r="T58" s="360"/>
      <c r="U58" s="359"/>
      <c r="V58" s="360"/>
      <c r="W58" s="359"/>
      <c r="X58" s="360"/>
    </row>
    <row r="59" spans="1:25" ht="18" customHeight="1">
      <c r="I59" s="17"/>
      <c r="J59" s="17"/>
      <c r="K59" s="17"/>
      <c r="L59" s="17"/>
      <c r="M59" s="17"/>
      <c r="N59" s="17"/>
      <c r="O59" s="17"/>
      <c r="P59" s="17"/>
      <c r="Q59" s="17"/>
      <c r="R59" s="17"/>
      <c r="S59" s="17"/>
      <c r="T59" s="17"/>
      <c r="U59" s="17"/>
      <c r="V59" s="17"/>
      <c r="W59" s="17"/>
      <c r="X59" s="17"/>
      <c r="Y59" s="2"/>
    </row>
    <row r="60" spans="1:25" ht="15" customHeight="1">
      <c r="A60" s="25"/>
      <c r="B60" s="52"/>
      <c r="C60" s="52"/>
      <c r="D60" s="52"/>
      <c r="E60" s="52"/>
      <c r="F60" s="52"/>
      <c r="G60" s="16"/>
      <c r="H60" s="16"/>
      <c r="I60" s="40"/>
      <c r="J60" s="52"/>
      <c r="K60" s="52"/>
      <c r="L60" s="52"/>
      <c r="M60" s="52"/>
      <c r="N60" s="52"/>
      <c r="O60" s="52"/>
      <c r="P60" s="52"/>
      <c r="Q60" s="52"/>
      <c r="R60" s="52"/>
      <c r="S60" s="52"/>
      <c r="T60" s="52"/>
      <c r="U60" s="52"/>
      <c r="V60" s="52"/>
      <c r="W60" s="52"/>
      <c r="X60" s="22"/>
    </row>
    <row r="61" ht="15" customHeight="1">
      <c r="A61" s="356" t="s">
        <v>38</v>
      </c>
      <c r="B61"/>
      <c r="I61" s="356" t="s">
        <v>39</v>
      </c>
      <c r="J61"/>
      <c r="X61" s="46"/>
    </row>
    <row r="62" ht="15" customHeight="1">
      <c r="A62" s="356"/>
      <c r="B62"/>
      <c r="I62" s="356"/>
      <c r="J62"/>
      <c r="X62" s="46"/>
    </row>
    <row r="63" ht="15" customHeight="1">
      <c r="A63" s="356"/>
      <c r="B63"/>
      <c r="I63" s="356"/>
      <c r="J63"/>
      <c r="X63" s="46"/>
    </row>
    <row r="64" ht="15" customHeight="1">
      <c r="A64" s="356"/>
      <c r="B64"/>
      <c r="I64" s="356"/>
      <c r="J64"/>
      <c r="X64" s="46"/>
    </row>
    <row r="65" ht="15" customHeight="1">
      <c r="A65" s="356"/>
      <c r="B65"/>
      <c r="I65" s="356"/>
      <c r="J65"/>
      <c r="X65" s="46"/>
    </row>
    <row r="66" spans="1:24" ht="15" customHeight="1">
      <c r="A66" s="29"/>
      <c r="B66" s="47"/>
      <c r="C66" s="47"/>
      <c r="D66" s="47"/>
      <c r="E66" s="47"/>
      <c r="F66" s="47"/>
      <c r="G66" s="48"/>
      <c r="H66" s="48"/>
      <c r="I66" s="42"/>
      <c r="J66" s="47"/>
      <c r="K66" s="47"/>
      <c r="L66" s="47"/>
      <c r="M66" s="47"/>
      <c r="N66" s="47"/>
      <c r="O66" s="47"/>
      <c r="P66" s="47"/>
      <c r="Q66" s="47"/>
      <c r="R66" s="47"/>
      <c r="S66" s="47"/>
      <c r="T66" s="47"/>
      <c r="U66" s="47"/>
      <c r="V66" s="47"/>
      <c r="W66" s="47"/>
      <c r="X66" s="49"/>
    </row>
    <row r="67" spans="1:24" ht="15" customHeight="1">
      <c r="A67" s="25"/>
      <c r="B67" s="52"/>
      <c r="C67" s="52"/>
      <c r="D67" s="52"/>
      <c r="E67" s="52"/>
      <c r="F67" s="52"/>
      <c r="G67" s="16"/>
      <c r="H67" s="16"/>
      <c r="I67" s="52"/>
      <c r="J67" s="52"/>
      <c r="K67" s="52"/>
      <c r="L67" s="52"/>
      <c r="M67" s="52"/>
      <c r="N67" s="52"/>
      <c r="O67" s="52"/>
      <c r="P67" s="52"/>
      <c r="Q67" s="52"/>
      <c r="R67" s="52"/>
      <c r="S67" s="52"/>
      <c r="T67" s="52"/>
      <c r="U67" s="52"/>
      <c r="V67" s="52"/>
      <c r="W67" s="52"/>
      <c r="X67" s="22"/>
    </row>
    <row r="68" ht="15" customHeight="1">
      <c r="A68" s="356" t="s">
        <v>40</v>
      </c>
      <c r="B68"/>
      <c r="J68"/>
      <c r="X68" s="46"/>
    </row>
    <row r="69" ht="15" customHeight="1">
      <c r="A69" s="356"/>
      <c r="B69"/>
      <c r="J69"/>
      <c r="X69" s="46"/>
    </row>
    <row r="70" ht="15" customHeight="1">
      <c r="A70" s="356"/>
      <c r="B70"/>
      <c r="J70"/>
      <c r="X70" s="46"/>
    </row>
    <row r="71" ht="15" customHeight="1">
      <c r="A71" s="356"/>
      <c r="B71"/>
      <c r="J71"/>
      <c r="X71" s="46"/>
    </row>
    <row r="72" ht="15" customHeight="1">
      <c r="A72" s="356"/>
      <c r="B72"/>
      <c r="J72"/>
      <c r="X72" s="46"/>
    </row>
    <row r="73" spans="1:24" ht="15" customHeight="1">
      <c r="A73" s="29"/>
      <c r="B73" s="47"/>
      <c r="C73" s="47"/>
      <c r="D73" s="47"/>
      <c r="E73" s="47"/>
      <c r="F73" s="47"/>
      <c r="G73" s="48"/>
      <c r="H73" s="48"/>
      <c r="I73" s="47"/>
      <c r="J73" s="47"/>
      <c r="K73" s="47"/>
      <c r="L73" s="47"/>
      <c r="M73" s="47"/>
      <c r="N73" s="47"/>
      <c r="O73" s="47"/>
      <c r="P73" s="47"/>
      <c r="Q73" s="47"/>
      <c r="R73" s="47"/>
      <c r="S73" s="47"/>
      <c r="T73" s="47"/>
      <c r="U73" s="47"/>
      <c r="V73" s="47"/>
      <c r="W73" s="47"/>
      <c r="X73" s="49"/>
    </row>
    <row r="74" spans="1:24" ht="15" customHeight="1">
      <c r="A74" s="25"/>
      <c r="B74" s="52"/>
      <c r="C74" s="52"/>
      <c r="D74" s="52"/>
      <c r="E74" s="52"/>
      <c r="F74" s="52"/>
      <c r="G74" s="16"/>
      <c r="H74" s="16"/>
      <c r="I74" s="52"/>
      <c r="J74" s="52"/>
      <c r="K74" s="52"/>
      <c r="L74" s="52"/>
      <c r="M74" s="52"/>
      <c r="N74" s="52"/>
      <c r="O74" s="52"/>
      <c r="P74" s="52"/>
      <c r="Q74" s="52"/>
      <c r="R74" s="52"/>
      <c r="S74" s="52"/>
      <c r="T74" s="52"/>
      <c r="U74" s="52"/>
      <c r="V74" s="52"/>
      <c r="W74" s="52"/>
      <c r="X74" s="22"/>
    </row>
    <row r="75" ht="15" customHeight="1">
      <c r="A75" s="356" t="s">
        <v>41</v>
      </c>
      <c r="B75"/>
      <c r="J75"/>
      <c r="X75" s="46"/>
    </row>
    <row r="76" ht="15" customHeight="1">
      <c r="A76" s="356"/>
      <c r="B76"/>
      <c r="J76"/>
      <c r="X76" s="46"/>
    </row>
    <row r="77" ht="15" customHeight="1">
      <c r="A77" s="356"/>
      <c r="B77"/>
      <c r="J77"/>
      <c r="X77" s="46"/>
    </row>
    <row r="78" ht="15" customHeight="1">
      <c r="A78" s="356"/>
      <c r="B78"/>
      <c r="J78"/>
      <c r="X78" s="46"/>
    </row>
    <row r="79" ht="15" customHeight="1">
      <c r="A79" s="356"/>
      <c r="B79"/>
      <c r="J79"/>
      <c r="X79" s="46"/>
    </row>
    <row r="80" spans="1:24" ht="15" customHeight="1">
      <c r="A80" s="29"/>
      <c r="B80" s="47"/>
      <c r="C80" s="47"/>
      <c r="D80" s="47"/>
      <c r="E80" s="47"/>
      <c r="F80" s="47"/>
      <c r="G80" s="48"/>
      <c r="H80" s="48"/>
      <c r="I80" s="47"/>
      <c r="J80" s="47"/>
      <c r="K80" s="47"/>
      <c r="L80" s="47"/>
      <c r="M80" s="47"/>
      <c r="N80" s="47"/>
      <c r="O80" s="47"/>
      <c r="P80" s="47"/>
      <c r="Q80" s="47"/>
      <c r="R80" s="47"/>
      <c r="S80" s="47"/>
      <c r="T80" s="47"/>
      <c r="U80" s="47"/>
      <c r="V80" s="47"/>
      <c r="W80" s="47"/>
      <c r="X80" s="49"/>
    </row>
    <row r="81" spans="1:25" ht="20.100000000000001" customHeight="1">
      <c r="A81" s="45"/>
      <c r="B81" s="2" t="s">
        <v>42</v>
      </c>
      <c r="X81" s="46"/>
    </row>
    <row r="82" spans="1:25" ht="20.100000000000001" customHeight="1">
      <c r="A82" s="45"/>
      <c r="B82" s="2" t="s">
        <v>43</v>
      </c>
      <c r="X82" s="46"/>
    </row>
    <row r="83" spans="1:25" ht="20.100000000000001" customHeight="1">
      <c r="A83" s="45"/>
      <c r="B83" s="2" t="s">
        <v>44</v>
      </c>
      <c r="X83" s="46"/>
    </row>
    <row r="84" spans="1:25" ht="20.100000000000001" customHeight="1">
      <c r="A84" s="45"/>
      <c r="B84" s="2" t="s">
        <v>45</v>
      </c>
      <c r="X84" s="46"/>
    </row>
    <row r="85" spans="1:25" ht="20.100000000000001" customHeight="1">
      <c r="A85" s="260"/>
      <c r="B85" s="47" t="s">
        <v>46</v>
      </c>
      <c r="C85" s="47"/>
      <c r="D85" s="47"/>
      <c r="E85" s="47"/>
      <c r="F85" s="47"/>
      <c r="G85" s="48"/>
      <c r="H85" s="48"/>
      <c r="I85" s="47"/>
      <c r="J85" s="47"/>
      <c r="K85" s="47"/>
      <c r="L85" s="47"/>
      <c r="M85" s="47"/>
      <c r="N85" s="47"/>
      <c r="O85" s="47"/>
      <c r="P85" s="47"/>
      <c r="Q85" s="47"/>
      <c r="R85" s="47"/>
      <c r="S85" s="47"/>
      <c r="T85" s="47"/>
      <c r="U85" s="47"/>
      <c r="V85" s="47"/>
      <c r="W85" s="47"/>
      <c r="X85" s="49"/>
    </row>
    <row r="86" spans="1:25" ht="20.100000000000001" customHeight="1">
      <c r="S86" s="2" t="s">
        <v>47</v>
      </c>
      <c r="Y86" s="2"/>
    </row>
  </sheetData>
  <dataConsolidate/>
  <customSheetViews>
    <customSheetView guid="{41CE1A30-58A1-4296-801C-FC79DE46FEF1}" scale="85" showPageBreaks="1" showGridLines="0" printArea="1">
      <selection activeCell="C15" sqref="C15:C38"/>
      <pageMargins left="0" right="0" top="0" bottom="0" header="0" footer="0"/>
      <printOptions horizontalCentered="1"/>
      <pageSetup paperSize="9" scale="65" fitToHeight="10" orientation="portrait" r:id="rId1"/>
      <headerFooter alignWithMargins="0"/>
    </customSheetView>
  </customSheetViews>
  <mergeCells count="256">
    <mergeCell ref="K19:L19"/>
    <mergeCell ref="M15:N15"/>
    <mergeCell ref="M19:N19"/>
    <mergeCell ref="O15:P15"/>
    <mergeCell ref="O17:P17"/>
    <mergeCell ref="O19:P19"/>
    <mergeCell ref="K18:L18"/>
    <mergeCell ref="M18:N18"/>
    <mergeCell ref="O18:P18"/>
    <mergeCell ref="Q19:R19"/>
    <mergeCell ref="S3:U5"/>
    <mergeCell ref="V3:X5"/>
    <mergeCell ref="U50:V50"/>
    <mergeCell ref="W50:X50"/>
    <mergeCell ref="I50:J50"/>
    <mergeCell ref="K50:L50"/>
    <mergeCell ref="M50:N50"/>
    <mergeCell ref="O50:P50"/>
    <mergeCell ref="Q50:R50"/>
    <mergeCell ref="S50:T50"/>
    <mergeCell ref="W38:X38"/>
    <mergeCell ref="I40:J40"/>
    <mergeCell ref="K40:L40"/>
    <mergeCell ref="M40:N40"/>
    <mergeCell ref="O40:P40"/>
    <mergeCell ref="Q40:R40"/>
    <mergeCell ref="S40:T40"/>
    <mergeCell ref="U40:V40"/>
    <mergeCell ref="W40:X40"/>
    <mergeCell ref="M7:O7"/>
    <mergeCell ref="P7:S7"/>
    <mergeCell ref="U7:X7"/>
    <mergeCell ref="W12:X12"/>
    <mergeCell ref="U52:V52"/>
    <mergeCell ref="U54:V54"/>
    <mergeCell ref="W42:X42"/>
    <mergeCell ref="W52:X52"/>
    <mergeCell ref="I52:J52"/>
    <mergeCell ref="K52:L52"/>
    <mergeCell ref="M52:N52"/>
    <mergeCell ref="O52:P52"/>
    <mergeCell ref="Q52:R52"/>
    <mergeCell ref="S52:T52"/>
    <mergeCell ref="S46:T46"/>
    <mergeCell ref="U46:V46"/>
    <mergeCell ref="W46:X46"/>
    <mergeCell ref="I48:J48"/>
    <mergeCell ref="K48:L48"/>
    <mergeCell ref="M48:N48"/>
    <mergeCell ref="O48:P48"/>
    <mergeCell ref="Q48:R48"/>
    <mergeCell ref="S48:T48"/>
    <mergeCell ref="U48:V48"/>
    <mergeCell ref="W48:X48"/>
    <mergeCell ref="W44:X44"/>
    <mergeCell ref="I54:J54"/>
    <mergeCell ref="K54:L54"/>
    <mergeCell ref="U38:V38"/>
    <mergeCell ref="I46:J46"/>
    <mergeCell ref="K46:L46"/>
    <mergeCell ref="M46:N46"/>
    <mergeCell ref="O46:P46"/>
    <mergeCell ref="K57:L57"/>
    <mergeCell ref="M57:N57"/>
    <mergeCell ref="O57:P57"/>
    <mergeCell ref="Q57:R57"/>
    <mergeCell ref="S57:T57"/>
    <mergeCell ref="U57:V57"/>
    <mergeCell ref="K42:L42"/>
    <mergeCell ref="M42:N42"/>
    <mergeCell ref="O42:P42"/>
    <mergeCell ref="Q42:R42"/>
    <mergeCell ref="S42:T42"/>
    <mergeCell ref="U42:V42"/>
    <mergeCell ref="K44:L44"/>
    <mergeCell ref="M44:N44"/>
    <mergeCell ref="O44:P44"/>
    <mergeCell ref="Q44:R44"/>
    <mergeCell ref="S44:T44"/>
    <mergeCell ref="U44:V44"/>
    <mergeCell ref="Q46:R46"/>
    <mergeCell ref="M54:N54"/>
    <mergeCell ref="O54:P54"/>
    <mergeCell ref="Q54:R54"/>
    <mergeCell ref="S54:T54"/>
    <mergeCell ref="Q36:R36"/>
    <mergeCell ref="S36:T36"/>
    <mergeCell ref="I42:J42"/>
    <mergeCell ref="I44:J44"/>
    <mergeCell ref="I38:J38"/>
    <mergeCell ref="K38:L38"/>
    <mergeCell ref="M38:N38"/>
    <mergeCell ref="O38:P38"/>
    <mergeCell ref="Q38:R38"/>
    <mergeCell ref="S38:T38"/>
    <mergeCell ref="U30:V30"/>
    <mergeCell ref="U32:V32"/>
    <mergeCell ref="Q34:R34"/>
    <mergeCell ref="S34:T34"/>
    <mergeCell ref="I32:J32"/>
    <mergeCell ref="K32:L32"/>
    <mergeCell ref="I36:J36"/>
    <mergeCell ref="K36:L36"/>
    <mergeCell ref="M36:N36"/>
    <mergeCell ref="O36:P36"/>
    <mergeCell ref="I34:J34"/>
    <mergeCell ref="K34:L34"/>
    <mergeCell ref="M34:N34"/>
    <mergeCell ref="O34:P34"/>
    <mergeCell ref="U34:V34"/>
    <mergeCell ref="W32:X32"/>
    <mergeCell ref="W34:X34"/>
    <mergeCell ref="W36:X36"/>
    <mergeCell ref="W54:X54"/>
    <mergeCell ref="W57:X57"/>
    <mergeCell ref="I57:J57"/>
    <mergeCell ref="I28:J28"/>
    <mergeCell ref="K28:L28"/>
    <mergeCell ref="M28:N28"/>
    <mergeCell ref="O28:P28"/>
    <mergeCell ref="Q28:R28"/>
    <mergeCell ref="I30:J30"/>
    <mergeCell ref="K30:L30"/>
    <mergeCell ref="M30:N30"/>
    <mergeCell ref="U36:V36"/>
    <mergeCell ref="O30:P30"/>
    <mergeCell ref="Q30:R30"/>
    <mergeCell ref="S30:T30"/>
    <mergeCell ref="M32:N32"/>
    <mergeCell ref="O32:P32"/>
    <mergeCell ref="Q32:R32"/>
    <mergeCell ref="S32:T32"/>
    <mergeCell ref="S28:T28"/>
    <mergeCell ref="U28:V28"/>
    <mergeCell ref="W16:X16"/>
    <mergeCell ref="W13:X13"/>
    <mergeCell ref="W18:X18"/>
    <mergeCell ref="W20:X20"/>
    <mergeCell ref="W22:X22"/>
    <mergeCell ref="W24:X24"/>
    <mergeCell ref="W26:X26"/>
    <mergeCell ref="W28:X28"/>
    <mergeCell ref="W30:X30"/>
    <mergeCell ref="Q22:R22"/>
    <mergeCell ref="U24:V24"/>
    <mergeCell ref="I26:J26"/>
    <mergeCell ref="K26:L26"/>
    <mergeCell ref="M26:N26"/>
    <mergeCell ref="O26:P26"/>
    <mergeCell ref="Q26:R26"/>
    <mergeCell ref="S26:T26"/>
    <mergeCell ref="U26:V26"/>
    <mergeCell ref="I24:J24"/>
    <mergeCell ref="K24:L24"/>
    <mergeCell ref="U18:V18"/>
    <mergeCell ref="I16:J16"/>
    <mergeCell ref="K16:L16"/>
    <mergeCell ref="Q17:R17"/>
    <mergeCell ref="A68:A72"/>
    <mergeCell ref="A75:A79"/>
    <mergeCell ref="I61:I65"/>
    <mergeCell ref="I18:J18"/>
    <mergeCell ref="S22:T22"/>
    <mergeCell ref="U22:V22"/>
    <mergeCell ref="I20:J20"/>
    <mergeCell ref="K20:L20"/>
    <mergeCell ref="M20:N20"/>
    <mergeCell ref="O20:P20"/>
    <mergeCell ref="Q20:R20"/>
    <mergeCell ref="S20:T20"/>
    <mergeCell ref="M24:N24"/>
    <mergeCell ref="O24:P24"/>
    <mergeCell ref="Q24:R24"/>
    <mergeCell ref="S24:T24"/>
    <mergeCell ref="U20:V20"/>
    <mergeCell ref="I22:J22"/>
    <mergeCell ref="K22:L22"/>
    <mergeCell ref="M22:N22"/>
    <mergeCell ref="I58:J58"/>
    <mergeCell ref="K58:L58"/>
    <mergeCell ref="M58:N58"/>
    <mergeCell ref="O9:P9"/>
    <mergeCell ref="S10:T10"/>
    <mergeCell ref="O58:P58"/>
    <mergeCell ref="Q58:R58"/>
    <mergeCell ref="S58:T58"/>
    <mergeCell ref="S13:T13"/>
    <mergeCell ref="Q11:R11"/>
    <mergeCell ref="S11:T11"/>
    <mergeCell ref="I13:J13"/>
    <mergeCell ref="I10:J10"/>
    <mergeCell ref="I11:J11"/>
    <mergeCell ref="K10:L10"/>
    <mergeCell ref="M10:N10"/>
    <mergeCell ref="O10:P10"/>
    <mergeCell ref="K11:L11"/>
    <mergeCell ref="I15:J15"/>
    <mergeCell ref="I19:J19"/>
    <mergeCell ref="Q18:R18"/>
    <mergeCell ref="S18:T18"/>
    <mergeCell ref="O22:P22"/>
    <mergeCell ref="O13:P13"/>
    <mergeCell ref="A1:X1"/>
    <mergeCell ref="G10:H10"/>
    <mergeCell ref="G11:H11"/>
    <mergeCell ref="F12:H12"/>
    <mergeCell ref="A13:H13"/>
    <mergeCell ref="A61:A65"/>
    <mergeCell ref="U9:V9"/>
    <mergeCell ref="Q9:R9"/>
    <mergeCell ref="K7:L7"/>
    <mergeCell ref="M9:N9"/>
    <mergeCell ref="U10:V10"/>
    <mergeCell ref="U11:V11"/>
    <mergeCell ref="U58:V58"/>
    <mergeCell ref="W58:X58"/>
    <mergeCell ref="M11:N11"/>
    <mergeCell ref="O11:P11"/>
    <mergeCell ref="I12:J12"/>
    <mergeCell ref="K12:L12"/>
    <mergeCell ref="M16:N16"/>
    <mergeCell ref="O16:P16"/>
    <mergeCell ref="Q16:R16"/>
    <mergeCell ref="S16:T16"/>
    <mergeCell ref="K13:L13"/>
    <mergeCell ref="M13:N13"/>
    <mergeCell ref="U8:V8"/>
    <mergeCell ref="W10:X10"/>
    <mergeCell ref="W11:X11"/>
    <mergeCell ref="I8:J8"/>
    <mergeCell ref="K8:L8"/>
    <mergeCell ref="M8:N8"/>
    <mergeCell ref="O8:P8"/>
    <mergeCell ref="Q8:R8"/>
    <mergeCell ref="S8:T8"/>
    <mergeCell ref="Q10:R10"/>
    <mergeCell ref="I9:J9"/>
    <mergeCell ref="S9:T9"/>
    <mergeCell ref="K9:L9"/>
    <mergeCell ref="I17:J17"/>
    <mergeCell ref="M17:N17"/>
    <mergeCell ref="Q13:R13"/>
    <mergeCell ref="M12:N12"/>
    <mergeCell ref="O12:P12"/>
    <mergeCell ref="Q12:R12"/>
    <mergeCell ref="U16:V16"/>
    <mergeCell ref="S12:T12"/>
    <mergeCell ref="U12:V12"/>
    <mergeCell ref="U13:V13"/>
    <mergeCell ref="Q15:R15"/>
    <mergeCell ref="K15:L15"/>
    <mergeCell ref="K17:L17"/>
    <mergeCell ref="S15:T15"/>
    <mergeCell ref="U15:V15"/>
    <mergeCell ref="S17:T17"/>
    <mergeCell ref="U17:V17"/>
  </mergeCells>
  <phoneticPr fontId="7"/>
  <conditionalFormatting sqref="B16">
    <cfRule type="expression" dxfId="218" priority="63">
      <formula>AND(W16&lt;&gt;0,B16="")</formula>
    </cfRule>
  </conditionalFormatting>
  <conditionalFormatting sqref="B18">
    <cfRule type="expression" dxfId="217" priority="64">
      <formula>AND(W18&lt;&gt;0,B18="")</formula>
    </cfRule>
  </conditionalFormatting>
  <conditionalFormatting sqref="B20">
    <cfRule type="expression" dxfId="216" priority="55">
      <formula>AND(W20&lt;&gt;0,B20="")</formula>
    </cfRule>
  </conditionalFormatting>
  <conditionalFormatting sqref="B22">
    <cfRule type="expression" dxfId="215" priority="341">
      <formula>AND(W22&lt;&gt;0,B22="")</formula>
    </cfRule>
  </conditionalFormatting>
  <conditionalFormatting sqref="B24">
    <cfRule type="expression" dxfId="214" priority="340">
      <formula>AND(W24&lt;&gt;0,B24="")</formula>
    </cfRule>
  </conditionalFormatting>
  <conditionalFormatting sqref="B26">
    <cfRule type="expression" dxfId="213" priority="71">
      <formula>AND(W26&lt;&gt;0,B26="")</formula>
    </cfRule>
  </conditionalFormatting>
  <conditionalFormatting sqref="B28">
    <cfRule type="expression" dxfId="212" priority="706">
      <formula>AND(W28&lt;&gt;0,B28="")</formula>
    </cfRule>
  </conditionalFormatting>
  <conditionalFormatting sqref="B30">
    <cfRule type="expression" dxfId="211" priority="705">
      <formula>AND(W30&lt;&gt;0,B30="")</formula>
    </cfRule>
  </conditionalFormatting>
  <conditionalFormatting sqref="B32">
    <cfRule type="expression" dxfId="210" priority="704">
      <formula>AND(W32&lt;&gt;0,B32="")</formula>
    </cfRule>
  </conditionalFormatting>
  <conditionalFormatting sqref="B34">
    <cfRule type="expression" dxfId="209" priority="703">
      <formula>AND(W34&lt;&gt;0,B34="")</formula>
    </cfRule>
  </conditionalFormatting>
  <conditionalFormatting sqref="B36">
    <cfRule type="expression" dxfId="208" priority="702">
      <formula>AND(W36&lt;&gt;0,B36="")</formula>
    </cfRule>
  </conditionalFormatting>
  <conditionalFormatting sqref="B38">
    <cfRule type="expression" dxfId="207" priority="701">
      <formula>AND(W38&lt;&gt;0,B38="")</formula>
    </cfRule>
  </conditionalFormatting>
  <conditionalFormatting sqref="B40">
    <cfRule type="expression" dxfId="206" priority="700">
      <formula>AND(W40&lt;&gt;0,B40="")</formula>
    </cfRule>
  </conditionalFormatting>
  <conditionalFormatting sqref="B42">
    <cfRule type="expression" dxfId="205" priority="699">
      <formula>AND(W42&lt;&gt;0,B42="")</formula>
    </cfRule>
  </conditionalFormatting>
  <conditionalFormatting sqref="B44">
    <cfRule type="expression" dxfId="204" priority="698">
      <formula>AND(W44&lt;&gt;0,B44="")</formula>
    </cfRule>
  </conditionalFormatting>
  <conditionalFormatting sqref="B46">
    <cfRule type="expression" dxfId="203" priority="697">
      <formula>AND(W46&lt;&gt;0,B46="")</formula>
    </cfRule>
  </conditionalFormatting>
  <conditionalFormatting sqref="B48">
    <cfRule type="expression" dxfId="202" priority="696">
      <formula>AND(W48&lt;&gt;0,B48="")</formula>
    </cfRule>
  </conditionalFormatting>
  <conditionalFormatting sqref="B50">
    <cfRule type="expression" dxfId="201" priority="695">
      <formula>AND(W50&lt;&gt;0,B50="")</formula>
    </cfRule>
  </conditionalFormatting>
  <conditionalFormatting sqref="B52">
    <cfRule type="expression" dxfId="200" priority="694">
      <formula>AND(W52&lt;&gt;0,B52="")</formula>
    </cfRule>
  </conditionalFormatting>
  <conditionalFormatting sqref="B54">
    <cfRule type="expression" dxfId="199" priority="674">
      <formula>AND(W54&lt;&gt;0,B54="")</formula>
    </cfRule>
  </conditionalFormatting>
  <conditionalFormatting sqref="C6:C7">
    <cfRule type="expression" dxfId="198" priority="68">
      <formula>OR($C6="",$C6=0)</formula>
    </cfRule>
  </conditionalFormatting>
  <conditionalFormatting sqref="D16 D18 D20 D22 D24 D26 D28 D30 D32 D34 D36 D38 D40 D42 D44 D46 D48 D50 D52 D54">
    <cfRule type="expression" dxfId="197" priority="69">
      <formula>OR( AND(B16&lt;&gt;"",LEFT(B16,2)&lt;&gt;"88",LEFT(D15,2)="99"), AND(D16&lt;&gt;"",LEFT(B16,2)="88",LEFT(D15,2)&lt;&gt;"99") )</formula>
    </cfRule>
    <cfRule type="expression" dxfId="196" priority="673">
      <formula>AND(W16&lt;&gt;0,D16="")</formula>
    </cfRule>
  </conditionalFormatting>
  <conditionalFormatting sqref="I13:X13">
    <cfRule type="cellIs" dxfId="191" priority="715" operator="notEqual">
      <formula>I57</formula>
    </cfRule>
  </conditionalFormatting>
  <conditionalFormatting sqref="I57:X57">
    <cfRule type="cellIs" dxfId="190" priority="708" stopIfTrue="1" operator="notEqual">
      <formula>I13</formula>
    </cfRule>
  </conditionalFormatting>
  <dataValidations disablePrompts="1" count="2">
    <dataValidation allowBlank="1" showInputMessage="1" showErrorMessage="1" sqref="C7" xr:uid="{00000000-0002-0000-0000-000000000000}"/>
    <dataValidation type="list" allowBlank="1" showInputMessage="1" showErrorMessage="1" sqref="D16 D18 D20 D22 D24 D26 D28 D30 D32 D34 D36 D38 D40 D42 D44 D46 D48 D50 D52 D54" xr:uid="{00000000-0002-0000-0000-000001000000}">
      <formula1>IF($B16="",工種_全部,IF(LEFT($B16,2)="88",工種_間接,工種_通常))</formula1>
    </dataValidation>
  </dataValidations>
  <printOptions horizontalCentered="1"/>
  <pageMargins left="0.43307086614173229" right="0.23622047244094491" top="0.31496062992125984" bottom="0.11811023622047245" header="0.15748031496062992" footer="0.23622047244094491"/>
  <pageSetup paperSize="9" scale="59" orientation="portrait" r:id="rId2"/>
  <headerFooter alignWithMargins="0"/>
  <ignoredErrors>
    <ignoredError sqref="C17:C53" formula="1"/>
  </ignoredErrors>
  <drawing r:id="rId3"/>
  <legacyDrawing r:id="rId4"/>
  <extLst>
    <ext xmlns:x14="http://schemas.microsoft.com/office/spreadsheetml/2009/9/main" uri="{78C0D931-6437-407d-A8EE-F0AAD7539E65}">
      <x14:conditionalFormattings>
        <x14:conditionalFormatting xmlns:xm="http://schemas.microsoft.com/office/excel/2006/main">
          <x14:cfRule type="expression" priority="1" id="{D5D0703E-5D40-44B1-BAC2-C712413E2702}">
            <xm:f>AND(INDEX(PJ!$E:$E,MATCH($B16,PJ!$C:$C,0))&gt;DATE($B$3,$C$3,I$9),I16&lt;&gt;"")</xm:f>
            <x14:dxf>
              <font>
                <color rgb="FF9C0006"/>
              </font>
              <fill>
                <patternFill>
                  <bgColor rgb="FFFFC7CE"/>
                </patternFill>
              </fill>
            </x14:dxf>
          </x14:cfRule>
          <x14:cfRule type="expression" priority="2" id="{2A371ADD-BD0A-454E-8F29-76C3B4345E45}">
            <xm:f>AND(INDEX(PJ!$F:$F,MATCH($B16,PJ!$C:$C,0))&lt;DATE($B$3,$C$3,I$9),I16&lt;&gt;"")</xm:f>
            <x14:dxf>
              <font>
                <color rgb="FF9C0006"/>
              </font>
              <fill>
                <patternFill>
                  <bgColor rgb="FFFFC7CE"/>
                </patternFill>
              </fill>
            </x14:dxf>
          </x14:cfRule>
          <xm:sqref>I16:V16 I18:V18 I20:V20</xm:sqref>
        </x14:conditionalFormatting>
        <x14:conditionalFormatting xmlns:xm="http://schemas.microsoft.com/office/excel/2006/main">
          <x14:cfRule type="expression" priority="66" id="{3A839923-A954-4392-8133-944232B78D15}">
            <xm:f>AND(INDEX(PJ!$E:$E,MATCH($B22,PJ!$C:$C,0))&gt;DATE($B$3,$C$3,I$9),I22&lt;&gt;"")</xm:f>
            <x14:dxf>
              <font>
                <color rgb="FF9C0006"/>
              </font>
              <fill>
                <patternFill>
                  <bgColor rgb="FFFFC7CE"/>
                </patternFill>
              </fill>
            </x14:dxf>
          </x14:cfRule>
          <x14:cfRule type="expression" priority="67" id="{61E16348-43C1-443E-AB6E-B9EF5DD97E52}">
            <xm:f>AND(INDEX(PJ!$F:$F,MATCH($B22,PJ!$C:$C,0))&lt;DATE($B$3,$C$3,I$9),I22&lt;&gt;"")</xm:f>
            <x14:dxf>
              <font>
                <color rgb="FF9C0006"/>
              </font>
              <fill>
                <patternFill>
                  <bgColor rgb="FFFFC7CE"/>
                </patternFill>
              </fill>
            </x14:dxf>
          </x14:cfRule>
          <xm:sqref>I22:V22 I24:V24 I26:V26 I28:V28 I30:V30 I32:V32 I34:V34 I36:V36 I38:V38 I40:V40 I42:V42 I44:V44 I46:V46 I48:V48 I50:V50 I52:V52 I54:V54</xm:sqref>
        </x14:conditionalFormatting>
      </x14:conditionalFormattings>
    </ex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000-000002000000}">
          <x14:formula1>
            <xm:f>会社名!$B$2:$B$3</xm:f>
          </x14:formula1>
          <xm:sqref>C6</xm:sqref>
        </x14:dataValidation>
        <x14:dataValidation type="list" allowBlank="1" showInputMessage="1" showErrorMessage="1" xr:uid="{00000000-0002-0000-0000-000003000000}">
          <x14:formula1>
            <xm:f>会社名!$B$2:$B$4</xm:f>
          </x14:formula1>
          <xm:sqref>C6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A86"/>
  <sheetViews>
    <sheetView showGridLines="0" zoomScaleNormal="100" zoomScaleSheetLayoutView="100" workbookViewId="0">
      <selection activeCell="C3" sqref="C3"/>
    </sheetView>
  </sheetViews>
  <sheetFormatPr defaultColWidth="8" defaultRowHeight="20.100000000000001" customHeight="1"/>
  <cols>
    <col min="1" max="1" width="2.625" style="4" customWidth="1"/>
    <col min="2" max="2" width="11.375" style="2" customWidth="1"/>
    <col min="3" max="3" width="23.125" style="2" customWidth="1"/>
    <col min="4" max="4" width="13.875" style="2" customWidth="1"/>
    <col min="5" max="5" width="31.125" style="2" customWidth="1"/>
    <col min="6" max="6" width="6" style="2" customWidth="1"/>
    <col min="7" max="7" width="5.375" style="4" customWidth="1"/>
    <col min="8" max="8" width="1.875" style="4" customWidth="1"/>
    <col min="9" max="24" width="3.375" style="2" customWidth="1"/>
    <col min="25" max="25" width="0.375" style="39" customWidth="1"/>
    <col min="26" max="26" width="8" style="2" customWidth="1"/>
    <col min="27" max="27" width="8" style="39"/>
    <col min="28" max="16384" width="8" style="2"/>
  </cols>
  <sheetData>
    <row r="1" spans="1:27" ht="25.5">
      <c r="A1" s="346" t="s">
        <v>0</v>
      </c>
      <c r="B1" s="346"/>
      <c r="C1" s="346"/>
      <c r="D1" s="346"/>
      <c r="E1" s="346"/>
      <c r="F1" s="346"/>
      <c r="G1" s="346"/>
      <c r="H1" s="346"/>
      <c r="I1" s="346"/>
      <c r="J1" s="346"/>
      <c r="K1" s="346"/>
      <c r="L1" s="346"/>
      <c r="M1" s="346"/>
      <c r="N1" s="346"/>
      <c r="O1" s="346"/>
      <c r="P1" s="346"/>
      <c r="Q1" s="346"/>
      <c r="R1" s="346"/>
      <c r="S1" s="346"/>
      <c r="T1" s="346"/>
      <c r="U1" s="346"/>
      <c r="V1" s="346"/>
      <c r="W1" s="346"/>
      <c r="X1" s="346"/>
      <c r="Y1" s="2"/>
      <c r="AA1" s="2"/>
    </row>
    <row r="2" spans="1:27" ht="19.5" customHeight="1">
      <c r="E2" s="5"/>
      <c r="H2" s="2"/>
      <c r="Q2" s="245"/>
      <c r="R2" s="46"/>
      <c r="S2" s="36"/>
      <c r="T2" s="34" t="s">
        <v>1</v>
      </c>
      <c r="U2" s="35"/>
      <c r="V2" s="37"/>
      <c r="W2" s="34" t="s">
        <v>2</v>
      </c>
      <c r="X2" s="38"/>
      <c r="Z2" s="53"/>
    </row>
    <row r="3" spans="1:27" ht="19.5" customHeight="1">
      <c r="B3" s="3">
        <f>'1週'!B3</f>
        <v>2026</v>
      </c>
      <c r="C3" s="57">
        <f>'1週'!C3</f>
        <v>7</v>
      </c>
      <c r="D3" s="121"/>
      <c r="E3" s="5"/>
      <c r="H3" s="2"/>
      <c r="I3" s="6"/>
      <c r="R3" s="46"/>
      <c r="S3" s="363"/>
      <c r="T3" s="364"/>
      <c r="U3" s="365"/>
      <c r="V3" s="363"/>
      <c r="W3" s="364"/>
      <c r="X3" s="365"/>
      <c r="Z3" s="53"/>
    </row>
    <row r="4" spans="1:27" ht="19.5" customHeight="1">
      <c r="C4" s="18">
        <f>IF('1週'!C3="","",IF('1週'!C4=1,2,1))</f>
        <v>2</v>
      </c>
      <c r="D4" s="113"/>
      <c r="E4" s="7"/>
      <c r="F4" s="7"/>
      <c r="G4" s="7"/>
      <c r="H4" s="7"/>
      <c r="I4" s="8"/>
      <c r="J4" s="7"/>
      <c r="K4" s="7"/>
      <c r="L4" s="7"/>
      <c r="M4" s="7"/>
      <c r="N4" s="7"/>
      <c r="O4" s="7"/>
      <c r="P4" s="7"/>
      <c r="Q4" s="1"/>
      <c r="R4" s="54"/>
      <c r="S4" s="366"/>
      <c r="T4" s="367"/>
      <c r="U4" s="368"/>
      <c r="V4" s="366"/>
      <c r="W4" s="367"/>
      <c r="X4" s="368"/>
    </row>
    <row r="5" spans="1:27" ht="19.5" customHeight="1">
      <c r="A5" s="9"/>
      <c r="B5" s="7"/>
      <c r="C5" s="10"/>
      <c r="D5" s="10"/>
      <c r="E5" s="9"/>
      <c r="F5" s="7"/>
      <c r="G5" s="7"/>
      <c r="H5" s="7"/>
      <c r="I5" s="7"/>
      <c r="J5" s="7"/>
      <c r="K5" s="7"/>
      <c r="L5" s="7"/>
      <c r="M5" s="7"/>
      <c r="N5" s="7"/>
      <c r="O5" s="7"/>
      <c r="P5" s="7"/>
      <c r="Q5" s="7"/>
      <c r="R5" s="54"/>
      <c r="S5" s="369"/>
      <c r="T5" s="370"/>
      <c r="U5" s="371"/>
      <c r="V5" s="369"/>
      <c r="W5" s="370"/>
      <c r="X5" s="371"/>
    </row>
    <row r="6" spans="1:27" ht="19.5" customHeight="1">
      <c r="B6" s="33" t="s">
        <v>3</v>
      </c>
      <c r="C6" s="56" t="str">
        <f>'1週'!C6</f>
        <v>FPTジャパン</v>
      </c>
      <c r="D6" s="122"/>
      <c r="H6" s="2"/>
    </row>
    <row r="7" spans="1:27" ht="19.5" customHeight="1">
      <c r="B7" s="33" t="s">
        <v>5</v>
      </c>
      <c r="C7" s="56" t="str">
        <f>'1週'!C7</f>
        <v>LE NHUT THIEN</v>
      </c>
      <c r="D7" s="122"/>
      <c r="H7" s="2"/>
      <c r="K7" s="357"/>
      <c r="L7" s="358"/>
      <c r="M7" s="372"/>
      <c r="N7" s="373"/>
      <c r="O7" s="373"/>
      <c r="P7" s="374"/>
      <c r="Q7" s="374"/>
      <c r="R7" s="374"/>
      <c r="S7" s="374"/>
      <c r="T7" s="261"/>
      <c r="U7" s="374"/>
      <c r="V7" s="374"/>
      <c r="W7" s="375"/>
      <c r="X7" s="375"/>
    </row>
    <row r="8" spans="1:27" ht="18" customHeight="1">
      <c r="G8" s="2"/>
      <c r="H8" s="2"/>
      <c r="I8" s="336" t="s">
        <v>8</v>
      </c>
      <c r="J8" s="337"/>
      <c r="K8" s="336" t="s">
        <v>9</v>
      </c>
      <c r="L8" s="337"/>
      <c r="M8" s="336" t="s">
        <v>10</v>
      </c>
      <c r="N8" s="337"/>
      <c r="O8" s="336" t="s">
        <v>11</v>
      </c>
      <c r="P8" s="337"/>
      <c r="Q8" s="336" t="s">
        <v>12</v>
      </c>
      <c r="R8" s="337"/>
      <c r="S8" s="336" t="s">
        <v>13</v>
      </c>
      <c r="T8" s="337"/>
      <c r="U8" s="336" t="s">
        <v>14</v>
      </c>
      <c r="V8" s="337"/>
      <c r="W8" s="11"/>
      <c r="Y8" s="2"/>
      <c r="AA8" s="2"/>
    </row>
    <row r="9" spans="1:27" s="4" customFormat="1" ht="18" customHeight="1">
      <c r="B9" s="12"/>
      <c r="F9" s="13"/>
      <c r="H9" s="14"/>
      <c r="I9" s="344">
        <f>'1週'!U9+1</f>
        <v>6</v>
      </c>
      <c r="J9" s="345"/>
      <c r="K9" s="378">
        <f>I9+1</f>
        <v>7</v>
      </c>
      <c r="L9" s="379"/>
      <c r="M9" s="378">
        <f>K9+1</f>
        <v>8</v>
      </c>
      <c r="N9" s="379"/>
      <c r="O9" s="378">
        <f>M9+1</f>
        <v>9</v>
      </c>
      <c r="P9" s="379"/>
      <c r="Q9" s="378">
        <f>O9+1</f>
        <v>10</v>
      </c>
      <c r="R9" s="379"/>
      <c r="S9" s="378">
        <f>Q9+1</f>
        <v>11</v>
      </c>
      <c r="T9" s="379"/>
      <c r="U9" s="378">
        <f>S9+1</f>
        <v>12</v>
      </c>
      <c r="V9" s="379"/>
    </row>
    <row r="10" ht="18" customHeight="1">
      <c r="A10" s="25" t="s">
        <v>15</v>
      </c>
      <c r="B10" s="26" t="s">
        <v>16</v>
      </c>
      <c r="C10" s="27" t="s">
        <v>17</v>
      </c>
      <c r="D10" s="27" t="s">
        <v>18</v>
      </c>
      <c r="E10" s="25" t="s">
        <v>19</v>
      </c>
      <c r="F10" s="28" t="s">
        <v>20</v>
      </c>
      <c r="G10" s="347" t="s">
        <v>21</v>
      </c>
      <c r="H10" s="329"/>
      <c r="I10" s="342">
        <v>0.375</v>
      </c>
      <c r="J10" s="343"/>
      <c r="K10" s="342">
        <v>0.375</v>
      </c>
      <c r="L10" s="343"/>
      <c r="M10" s="342">
        <v>0.375</v>
      </c>
      <c r="N10" s="343"/>
      <c r="O10" s="342">
        <v>0.375</v>
      </c>
      <c r="P10" s="343"/>
      <c r="Q10" s="342">
        <v>0.375</v>
      </c>
      <c r="R10" s="343"/>
      <c r="S10" s="342"/>
      <c r="T10" s="343"/>
      <c r="U10" s="342"/>
      <c r="V10" s="343"/>
      <c r="W10" s="338" t="s">
        <v>22</v>
      </c>
      <c r="X10" s="339"/>
    </row>
    <row r="11" ht="18" customHeight="1">
      <c r="A11" s="29"/>
      <c r="B11" s="114" t="s">
        <v>23</v>
      </c>
      <c r="C11" s="27" t="s">
        <v>24</v>
      </c>
      <c r="D11" s="27" t="s">
        <v>25</v>
      </c>
      <c r="E11" s="29"/>
      <c r="F11" s="30" t="s">
        <v>26</v>
      </c>
      <c r="G11" s="348" t="s">
        <v>27</v>
      </c>
      <c r="H11" s="349"/>
      <c r="I11" s="334">
        <v>0.7708333333</v>
      </c>
      <c r="J11" s="335"/>
      <c r="K11" s="334">
        <v>0.7708333333</v>
      </c>
      <c r="L11" s="335"/>
      <c r="M11" s="334">
        <v>0.7708333333</v>
      </c>
      <c r="N11" s="335"/>
      <c r="O11" s="334">
        <v>0.7708333333</v>
      </c>
      <c r="P11" s="335"/>
      <c r="Q11" s="334">
        <v>0.5416666667</v>
      </c>
      <c r="R11" s="335"/>
      <c r="S11" s="334"/>
      <c r="T11" s="335"/>
      <c r="U11" s="334"/>
      <c r="V11" s="335"/>
      <c r="W11" s="340">
        <f>'1週'!W11+W13</f>
        <v>3.75</v>
      </c>
      <c r="X11" s="341"/>
      <c r="Z11" s="4"/>
    </row>
    <row r="12" ht="17.25" customHeight="1">
      <c r="A12" s="31"/>
      <c r="B12" s="32"/>
      <c r="C12" s="32"/>
      <c r="D12" s="32"/>
      <c r="E12" s="32"/>
      <c r="F12" s="350" t="s">
        <v>28</v>
      </c>
      <c r="G12" s="351"/>
      <c r="H12" s="352"/>
      <c r="I12" s="332">
        <v>0.0416666667</v>
      </c>
      <c r="J12" s="333"/>
      <c r="K12" s="332">
        <v>0.0416666667</v>
      </c>
      <c r="L12" s="333"/>
      <c r="M12" s="332">
        <v>0.0416666667</v>
      </c>
      <c r="N12" s="333"/>
      <c r="O12" s="332">
        <v>0.0416666667</v>
      </c>
      <c r="P12" s="333"/>
      <c r="Q12" s="332">
        <v>0.0416666667</v>
      </c>
      <c r="R12" s="333"/>
      <c r="S12" s="332"/>
      <c r="T12" s="333"/>
      <c r="U12" s="332"/>
      <c r="V12" s="333"/>
      <c r="W12" s="376" t="s">
        <v>29</v>
      </c>
      <c r="X12" s="377"/>
    </row>
    <row r="13" spans="1:27" ht="20.100000000000001" customHeight="1">
      <c r="A13" s="353" t="s">
        <v>29</v>
      </c>
      <c r="B13" s="354"/>
      <c r="C13" s="354"/>
      <c r="D13" s="354"/>
      <c r="E13" s="354"/>
      <c r="F13" s="354"/>
      <c r="G13" s="354"/>
      <c r="H13" s="355"/>
      <c r="I13" s="330">
        <f>TIMEVALUE(TEXT(I11-I10-I12,"h:mm:ss"))</f>
        <v>0.375</v>
      </c>
      <c r="J13" s="331"/>
      <c r="K13" s="330">
        <f>TIMEVALUE(TEXT(K11-K10-K12,"h:mm:ss"))</f>
        <v>0.375</v>
      </c>
      <c r="L13" s="331"/>
      <c r="M13" s="330">
        <f>TIMEVALUE(TEXT(M11-M10-M12,"h:mm:ss"))</f>
        <v>0.375</v>
      </c>
      <c r="N13" s="331"/>
      <c r="O13" s="330">
        <f>TIMEVALUE(TEXT(O11-O10-O12,"h:mm:ss"))</f>
        <v>0.375</v>
      </c>
      <c r="P13" s="331"/>
      <c r="Q13" s="330">
        <f>TIMEVALUE(TEXT(Q11-Q10-Q12,"h:mm:ss"))</f>
        <v>0.375</v>
      </c>
      <c r="R13" s="331"/>
      <c r="S13" s="330">
        <f>TIMEVALUE(TEXT(S11-S10-S12,"h:mm:ss"))</f>
        <v>0</v>
      </c>
      <c r="T13" s="331"/>
      <c r="U13" s="330">
        <f>TIMEVALUE(TEXT(U11-U10-U12,"h:mm:ss"))</f>
        <v>0</v>
      </c>
      <c r="V13" s="331"/>
      <c r="W13" s="361">
        <f>CEILING(SUM(I13:V13),"0:5")</f>
        <v>1.875</v>
      </c>
      <c r="X13" s="362"/>
    </row>
    <row r="14" spans="1:27" ht="8.25" customHeight="1">
      <c r="B14" s="15"/>
      <c r="C14" s="16"/>
      <c r="D14" s="4"/>
      <c r="E14" s="4"/>
      <c r="F14" s="13"/>
      <c r="W14" s="4"/>
      <c r="X14" s="4"/>
      <c r="Y14" s="2"/>
      <c r="AA14" s="2"/>
    </row>
    <row r="15" ht="18" customHeight="1">
      <c r="A15" s="25">
        <v>1</v>
      </c>
      <c r="B15" s="81">
        <f>IF($B16="","",INDEX(PJ!$A:$A,MATCH(B16,PJ!$C:$C,0)))</f>
        <v>10000</v>
      </c>
      <c r="C15" s="82" t="str">
        <f>IF($B16="","",INDEX(PJ!$B:$B,MATCH(B16, PJ!$C:$C, 0)))</f>
        <v>Yokogawa</v>
      </c>
      <c r="D15" s="81" t="str">
        <f>IF(D16="","",INDEX(工種!$A$2:$A$83,MATCH(D16,工種!$B$2:$B$83,0),1))</f>
        <v>10102</v>
      </c>
      <c r="E15" s="40"/>
      <c r="F15" s="41"/>
      <c r="G15" s="23" t="s">
        <v>20</v>
      </c>
      <c r="H15" s="259"/>
      <c r="I15" s="328"/>
      <c r="J15" s="329"/>
      <c r="K15" s="328"/>
      <c r="L15" s="329"/>
      <c r="M15" s="328"/>
      <c r="N15" s="329"/>
      <c r="O15" s="328"/>
      <c r="P15" s="329"/>
      <c r="Q15" s="328"/>
      <c r="R15" s="329"/>
      <c r="S15" s="19"/>
      <c r="T15" s="20"/>
      <c r="U15" s="19"/>
      <c r="V15" s="20"/>
      <c r="W15" s="21"/>
      <c r="X15" s="22"/>
    </row>
    <row r="16" ht="18" customHeight="1">
      <c r="A16" s="29"/>
      <c r="B16" s="24">
        <v>10000</v>
      </c>
      <c r="C16" s="83" t="str">
        <f>IF($B16="","",INDEX(PJ!$D:$D,MATCH(B16, PJ!$C:$C, 0)))</f>
        <v xml:space="preserve">Rep Portal </v>
      </c>
      <c r="D16" s="146" t="inlineStr">
        <is>
          <t xml:space="preserve">製造：コーディング</t>
        </is>
      </c>
      <c r="E16" s="42" t="inlineStr">
        <is>
          <t xml:space="preserve">コーディング</t>
        </is>
      </c>
      <c r="F16" s="43"/>
      <c r="G16" s="24" t="s">
        <v>32</v>
      </c>
      <c r="H16" s="258"/>
      <c r="I16" s="334">
        <v>0.2708333333</v>
      </c>
      <c r="J16" s="335"/>
      <c r="K16" s="334">
        <v>0.2708333333</v>
      </c>
      <c r="L16" s="335"/>
      <c r="M16" s="334">
        <v>0.2708333333</v>
      </c>
      <c r="N16" s="335"/>
      <c r="O16" s="334">
        <v>0.2708333333</v>
      </c>
      <c r="P16" s="335"/>
      <c r="Q16" s="334">
        <v>0.125</v>
      </c>
      <c r="R16" s="335"/>
      <c r="S16" s="334"/>
      <c r="T16" s="335"/>
      <c r="U16" s="334"/>
      <c r="V16" s="335"/>
      <c r="W16" s="340">
        <f>SUM(I16:V16)</f>
        <v>1.0416666666666667</v>
      </c>
      <c r="X16" s="341"/>
    </row>
    <row r="17" ht="18" customHeight="1">
      <c r="A17" s="25">
        <v>2</v>
      </c>
      <c r="B17" s="81">
        <f>IF($B18="","",INDEX(PJ!$A:$A,MATCH(B18,PJ!$C:$C,0)))</f>
        <v>10000</v>
      </c>
      <c r="C17" s="82" t="str">
        <f>IF($B18="","",INDEX(PJ!$B:$B,MATCH(B18, PJ!$C:$C, 0)))</f>
        <v>Yokogawa</v>
      </c>
      <c r="D17" s="81" t="str">
        <f>IF(D18="","",INDEX(工種!$A$2:$A$83,MATCH(D18,工種!$B$2:$B$83,0),1))</f>
        <v>30106</v>
      </c>
      <c r="E17" s="40"/>
      <c r="F17" s="41"/>
      <c r="G17" s="23" t="s">
        <v>20</v>
      </c>
      <c r="H17" s="259"/>
      <c r="I17" s="328"/>
      <c r="J17" s="329"/>
      <c r="K17" s="328"/>
      <c r="L17" s="329"/>
      <c r="M17" s="328"/>
      <c r="N17" s="329"/>
      <c r="O17" s="328"/>
      <c r="P17" s="329"/>
      <c r="Q17" s="328"/>
      <c r="R17" s="329"/>
      <c r="S17" s="19"/>
      <c r="T17" s="20"/>
      <c r="U17" s="19"/>
      <c r="V17" s="20"/>
      <c r="W17" s="19"/>
      <c r="X17" s="20"/>
    </row>
    <row r="18" ht="18" customHeight="1">
      <c r="A18" s="29"/>
      <c r="B18" s="24">
        <v>10000</v>
      </c>
      <c r="C18" s="83" t="str">
        <f>IF($B18="","",INDEX(PJ!$D:$D,MATCH(B18, PJ!$C:$C, 0)))</f>
        <v xml:space="preserve">Rep Portal </v>
      </c>
      <c r="D18" s="146" t="inlineStr">
        <is>
          <t xml:space="preserve">テスト：結合テスト実施</t>
        </is>
      </c>
      <c r="E18" s="42" t="inlineStr">
        <is>
          <t xml:space="preserve">結合テスト実施</t>
        </is>
      </c>
      <c r="F18" s="43"/>
      <c r="G18" s="24" t="s">
        <v>32</v>
      </c>
      <c r="H18" s="258"/>
      <c r="I18" s="334">
        <v>0.0833333333</v>
      </c>
      <c r="J18" s="335"/>
      <c r="K18" s="334">
        <v>0.0833333333</v>
      </c>
      <c r="L18" s="335"/>
      <c r="M18" s="334">
        <v>0.0833333333</v>
      </c>
      <c r="N18" s="335"/>
      <c r="O18" s="334">
        <v>0.0833333333</v>
      </c>
      <c r="P18" s="335"/>
      <c r="Q18" s="334"/>
      <c r="R18" s="335"/>
      <c r="S18" s="334"/>
      <c r="T18" s="335"/>
      <c r="U18" s="334"/>
      <c r="V18" s="335"/>
      <c r="W18" s="340">
        <f>SUM(I18:V18)</f>
        <v>0.625</v>
      </c>
      <c r="X18" s="341"/>
    </row>
    <row r="19" ht="18" customHeight="1">
      <c r="A19" s="25">
        <v>3</v>
      </c>
      <c r="B19" s="81">
        <f>IF($B20="","",INDEX(PJ!$A:$A,MATCH(B20,PJ!$C:$C,0)))</f>
        <v>10000</v>
      </c>
      <c r="C19" s="82" t="str">
        <f>IF($B20="","",INDEX(PJ!$B:$B,MATCH(B20, PJ!$C:$C, 0)))</f>
        <v>Yokogawa</v>
      </c>
      <c r="D19" s="81" t="str">
        <f>IF(D20="","",INDEX(工種!$A$2:$A$83,MATCH(D20,工種!$B$2:$B$83,0),1))</f>
        <v>40108</v>
      </c>
      <c r="E19" s="40"/>
      <c r="F19" s="41"/>
      <c r="G19" s="23" t="s">
        <v>20</v>
      </c>
      <c r="H19" s="259"/>
      <c r="I19" s="328"/>
      <c r="J19" s="329"/>
      <c r="K19" s="328"/>
      <c r="L19" s="329"/>
      <c r="M19" s="328"/>
      <c r="N19" s="329"/>
      <c r="O19" s="328"/>
      <c r="P19" s="329"/>
      <c r="Q19" s="328"/>
      <c r="R19" s="329"/>
      <c r="S19" s="19"/>
      <c r="T19" s="20"/>
      <c r="U19" s="19"/>
      <c r="V19" s="20"/>
      <c r="W19" s="19"/>
      <c r="X19" s="20"/>
    </row>
    <row r="20" ht="18" customHeight="1">
      <c r="A20" s="29"/>
      <c r="B20" s="24"/>
      <c r="C20" s="83" t="str">
        <f>IF($B20="","",INDEX(PJ!$D:$D,MATCH(B20, PJ!$C:$C, 0)))</f>
        <v xml:space="preserve">Rep Portal </v>
      </c>
      <c r="D20" s="146"/>
      <c r="E20" s="42"/>
      <c r="F20" s="43"/>
      <c r="G20" s="24" t="s">
        <v>32</v>
      </c>
      <c r="H20" s="258"/>
      <c r="I20" s="334"/>
      <c r="J20" s="335"/>
      <c r="K20" s="334"/>
      <c r="L20" s="335"/>
      <c r="M20" s="334"/>
      <c r="N20" s="335"/>
      <c r="O20" s="334"/>
      <c r="P20" s="335"/>
      <c r="Q20" s="334"/>
      <c r="R20" s="335"/>
      <c r="S20" s="334"/>
      <c r="T20" s="335"/>
      <c r="U20" s="334"/>
      <c r="V20" s="335"/>
      <c r="W20" s="340">
        <f>SUM(I20:V20)</f>
        <v>0.52083333333333337</v>
      </c>
      <c r="X20" s="341"/>
    </row>
    <row r="21" ht="18" customHeight="1">
      <c r="A21" s="25">
        <v>4</v>
      </c>
      <c r="B21" s="81"/>
      <c r="C21" s="82"/>
      <c r="D21" s="81"/>
      <c r="E21" s="40"/>
      <c r="F21" s="41"/>
      <c r="G21" s="23" t="s">
        <v>20</v>
      </c>
      <c r="H21" s="259"/>
      <c r="I21" s="19"/>
      <c r="J21" s="20"/>
      <c r="K21" s="19"/>
      <c r="L21" s="20"/>
      <c r="M21" s="19"/>
      <c r="N21" s="20"/>
      <c r="O21" s="19"/>
      <c r="P21" s="20"/>
      <c r="Q21" s="19"/>
      <c r="R21" s="20"/>
      <c r="S21" s="19"/>
      <c r="T21" s="20"/>
      <c r="U21" s="19"/>
      <c r="V21" s="20"/>
      <c r="W21" s="19"/>
      <c r="X21" s="20"/>
    </row>
    <row r="22" ht="18" customHeight="1">
      <c r="A22" s="29"/>
      <c r="B22" s="24"/>
      <c r="C22" s="83"/>
      <c r="D22" s="146"/>
      <c r="E22" s="42"/>
      <c r="F22" s="43"/>
      <c r="G22" s="24" t="s">
        <v>32</v>
      </c>
      <c r="H22" s="258"/>
      <c r="I22" s="334"/>
      <c r="J22" s="335"/>
      <c r="K22" s="334"/>
      <c r="L22" s="335"/>
      <c r="M22" s="334"/>
      <c r="N22" s="335"/>
      <c r="O22" s="334"/>
      <c r="P22" s="335"/>
      <c r="Q22" s="334"/>
      <c r="R22" s="335"/>
      <c r="S22" s="334"/>
      <c r="T22" s="335"/>
      <c r="U22" s="334"/>
      <c r="V22" s="335"/>
      <c r="W22" s="340">
        <f>SUM(I22:V22)</f>
        <v>0</v>
      </c>
      <c r="X22" s="341"/>
    </row>
    <row r="23" ht="18" customHeight="1">
      <c r="A23" s="25">
        <v>5</v>
      </c>
      <c r="B23" s="81" t="str">
        <f>IF($B24="","",INDEX(PJ!$A:$A,MATCH(B24,PJ!$C:$C,0)))</f>
        <v/>
      </c>
      <c r="C23" s="82" t="str">
        <f>IF($B24="","",INDEX(PJ!$B:$B,MATCH(B24, PJ!$C:$C, 0)))</f>
        <v/>
      </c>
      <c r="D23" s="81" t="str">
        <f>IF(D24="","",INDEX(工種!$A$2:$A$83,MATCH(D24,工種!$B$2:$B$83,0),1))</f>
        <v/>
      </c>
      <c r="E23" s="40"/>
      <c r="F23" s="41"/>
      <c r="G23" s="23" t="s">
        <v>20</v>
      </c>
      <c r="H23" s="259"/>
      <c r="I23" s="19"/>
      <c r="J23" s="20"/>
      <c r="K23" s="19"/>
      <c r="L23" s="20"/>
      <c r="M23" s="19"/>
      <c r="N23" s="20"/>
      <c r="O23" s="19"/>
      <c r="P23" s="20"/>
      <c r="Q23" s="19"/>
      <c r="R23" s="20"/>
      <c r="S23" s="19"/>
      <c r="T23" s="20"/>
      <c r="U23" s="19"/>
      <c r="V23" s="20"/>
      <c r="W23" s="19"/>
      <c r="X23" s="20"/>
    </row>
    <row r="24" ht="18" customHeight="1">
      <c r="A24" s="29"/>
      <c r="B24" s="24"/>
      <c r="C24" s="83" t="str">
        <f>IF($B24="","",INDEX(PJ!$D:$D,MATCH(B24, PJ!$C:$C, 0)))</f>
        <v/>
      </c>
      <c r="D24" s="146"/>
      <c r="E24" s="42"/>
      <c r="F24" s="43"/>
      <c r="G24" s="24" t="s">
        <v>32</v>
      </c>
      <c r="H24" s="258"/>
      <c r="I24" s="334"/>
      <c r="J24" s="335"/>
      <c r="K24" s="334"/>
      <c r="L24" s="335"/>
      <c r="M24" s="334"/>
      <c r="N24" s="335"/>
      <c r="O24" s="334"/>
      <c r="P24" s="335"/>
      <c r="Q24" s="334"/>
      <c r="R24" s="335"/>
      <c r="S24" s="334"/>
      <c r="T24" s="335"/>
      <c r="U24" s="334"/>
      <c r="V24" s="335"/>
      <c r="W24" s="340">
        <f>SUM(I24:V24)</f>
        <v>0</v>
      </c>
      <c r="X24" s="341"/>
    </row>
    <row r="25" ht="18" customHeight="1">
      <c r="A25" s="25">
        <v>6</v>
      </c>
      <c r="B25" s="81" t="str">
        <f>IF($B26="","",INDEX(PJ!$A:$A,MATCH(B26,PJ!$C:$C,0)))</f>
        <v/>
      </c>
      <c r="C25" s="82" t="str">
        <f>IF($B26="","",INDEX(PJ!$B:$B,MATCH(B26, PJ!$C:$C, 0)))</f>
        <v/>
      </c>
      <c r="D25" s="81" t="str">
        <f>IF(D26="","",INDEX(工種!$A$2:$A$83,MATCH(D26,工種!$B$2:$B$83,0),1))</f>
        <v/>
      </c>
      <c r="E25" s="40"/>
      <c r="F25" s="41"/>
      <c r="G25" s="23" t="s">
        <v>20</v>
      </c>
      <c r="H25" s="259"/>
      <c r="I25" s="19"/>
      <c r="J25" s="20"/>
      <c r="K25" s="19"/>
      <c r="L25" s="20"/>
      <c r="M25" s="19"/>
      <c r="N25" s="20"/>
      <c r="O25" s="19"/>
      <c r="P25" s="20"/>
      <c r="Q25" s="19"/>
      <c r="R25" s="20"/>
      <c r="S25" s="19"/>
      <c r="T25" s="20"/>
      <c r="U25" s="19"/>
      <c r="V25" s="20"/>
      <c r="W25" s="19"/>
      <c r="X25" s="20"/>
    </row>
    <row r="26" ht="18" customHeight="1">
      <c r="A26" s="29"/>
      <c r="B26" s="24"/>
      <c r="C26" s="83" t="str">
        <f>IF($B26="","",INDEX(PJ!$D:$D,MATCH(B26, PJ!$C:$C, 0)))</f>
        <v/>
      </c>
      <c r="D26" s="146"/>
      <c r="E26" s="42"/>
      <c r="F26" s="43"/>
      <c r="G26" s="24" t="s">
        <v>32</v>
      </c>
      <c r="H26" s="258"/>
      <c r="I26" s="334"/>
      <c r="J26" s="335"/>
      <c r="K26" s="334"/>
      <c r="L26" s="335"/>
      <c r="M26" s="334"/>
      <c r="N26" s="335"/>
      <c r="O26" s="334"/>
      <c r="P26" s="335"/>
      <c r="Q26" s="334"/>
      <c r="R26" s="335"/>
      <c r="S26" s="334"/>
      <c r="T26" s="335"/>
      <c r="U26" s="334"/>
      <c r="V26" s="335"/>
      <c r="W26" s="340">
        <f>SUM(I26:V26)</f>
        <v>0</v>
      </c>
      <c r="X26" s="341"/>
    </row>
    <row r="27" ht="18" customHeight="1">
      <c r="A27" s="25">
        <v>7</v>
      </c>
      <c r="B27" s="81" t="str">
        <f>IF($B28="","",INDEX(PJ!$A:$A,MATCH(B28,PJ!$C:$C,0)))</f>
        <v/>
      </c>
      <c r="C27" s="82" t="str">
        <f>IF($B28="","",INDEX(PJ!$B:$B,MATCH(B28, PJ!$C:$C, 0)))</f>
        <v/>
      </c>
      <c r="D27" s="81" t="str">
        <f>IF(D28="","",INDEX(工種!$A$2:$A$83,MATCH(D28,工種!$B$2:$B$83,0),1))</f>
        <v/>
      </c>
      <c r="E27" s="40"/>
      <c r="F27" s="41"/>
      <c r="G27" s="23" t="s">
        <v>20</v>
      </c>
      <c r="H27" s="259"/>
      <c r="I27" s="19"/>
      <c r="J27" s="20"/>
      <c r="K27" s="19"/>
      <c r="L27" s="20"/>
      <c r="M27" s="19"/>
      <c r="N27" s="20"/>
      <c r="O27" s="19"/>
      <c r="P27" s="20"/>
      <c r="Q27" s="19"/>
      <c r="R27" s="20"/>
      <c r="S27" s="19"/>
      <c r="T27" s="20"/>
      <c r="U27" s="19"/>
      <c r="V27" s="20"/>
      <c r="W27" s="19"/>
      <c r="X27" s="20"/>
    </row>
    <row r="28" ht="18" customHeight="1">
      <c r="A28" s="29"/>
      <c r="B28" s="24"/>
      <c r="C28" s="83" t="str">
        <f>IF($B28="","",INDEX(PJ!$D:$D,MATCH(B28, PJ!$C:$C, 0)))</f>
        <v/>
      </c>
      <c r="D28" s="146"/>
      <c r="E28" s="42"/>
      <c r="F28" s="43"/>
      <c r="G28" s="24" t="s">
        <v>32</v>
      </c>
      <c r="H28" s="258"/>
      <c r="I28" s="334"/>
      <c r="J28" s="335"/>
      <c r="K28" s="334"/>
      <c r="L28" s="335"/>
      <c r="M28" s="334"/>
      <c r="N28" s="335"/>
      <c r="O28" s="334"/>
      <c r="P28" s="335"/>
      <c r="Q28" s="334"/>
      <c r="R28" s="335"/>
      <c r="S28" s="334"/>
      <c r="T28" s="335"/>
      <c r="U28" s="334"/>
      <c r="V28" s="335"/>
      <c r="W28" s="340">
        <f>SUM(I28:V28)</f>
        <v>0</v>
      </c>
      <c r="X28" s="341"/>
    </row>
    <row r="29" ht="18" customHeight="1">
      <c r="A29" s="25">
        <v>8</v>
      </c>
      <c r="B29" s="81" t="str">
        <f>IF($B30="","",INDEX(PJ!$A:$A,MATCH(B30,PJ!$C:$C,0)))</f>
        <v/>
      </c>
      <c r="C29" s="82" t="str">
        <f>IF($B30="","",INDEX(PJ!$B:$B,MATCH(B30, PJ!$C:$C, 0)))</f>
        <v/>
      </c>
      <c r="D29" s="81" t="str">
        <f>IF(D30="","",INDEX(工種!$A$2:$A$83,MATCH(D30,工種!$B$2:$B$83,0),1))</f>
        <v/>
      </c>
      <c r="E29" s="40"/>
      <c r="F29" s="41"/>
      <c r="G29" s="23" t="s">
        <v>20</v>
      </c>
      <c r="H29" s="259"/>
      <c r="I29" s="19"/>
      <c r="J29" s="20"/>
      <c r="K29" s="19"/>
      <c r="L29" s="20"/>
      <c r="M29" s="19"/>
      <c r="N29" s="20"/>
      <c r="O29" s="19"/>
      <c r="P29" s="20"/>
      <c r="Q29" s="19"/>
      <c r="R29" s="20"/>
      <c r="S29" s="19"/>
      <c r="T29" s="20"/>
      <c r="U29" s="19"/>
      <c r="V29" s="20"/>
      <c r="W29" s="19"/>
      <c r="X29" s="20"/>
    </row>
    <row r="30" ht="18" customHeight="1">
      <c r="A30" s="29"/>
      <c r="B30" s="24"/>
      <c r="C30" s="83" t="str">
        <f>IF($B30="","",INDEX(PJ!$D:$D,MATCH(B30, PJ!$C:$C, 0)))</f>
        <v/>
      </c>
      <c r="D30" s="146"/>
      <c r="E30" s="42"/>
      <c r="F30" s="43"/>
      <c r="G30" s="24" t="s">
        <v>32</v>
      </c>
      <c r="H30" s="258"/>
      <c r="I30" s="334"/>
      <c r="J30" s="335"/>
      <c r="K30" s="334"/>
      <c r="L30" s="335"/>
      <c r="M30" s="334"/>
      <c r="N30" s="335"/>
      <c r="O30" s="334"/>
      <c r="P30" s="335"/>
      <c r="Q30" s="334"/>
      <c r="R30" s="335"/>
      <c r="S30" s="334"/>
      <c r="T30" s="335"/>
      <c r="U30" s="334"/>
      <c r="V30" s="335"/>
      <c r="W30" s="340">
        <f>SUM(I30:V30)</f>
        <v>0</v>
      </c>
      <c r="X30" s="341"/>
    </row>
    <row r="31" ht="18" customHeight="1">
      <c r="A31" s="25">
        <v>9</v>
      </c>
      <c r="B31" s="81" t="str">
        <f>IF($B32="","",INDEX(PJ!$A:$A,MATCH(B32,PJ!$C:$C,0)))</f>
        <v/>
      </c>
      <c r="C31" s="82" t="str">
        <f>IF($B32="","",INDEX(PJ!$B:$B,MATCH(B32, PJ!$C:$C, 0)))</f>
        <v/>
      </c>
      <c r="D31" s="81" t="str">
        <f>IF(D32="","",INDEX(工種!$A$2:$A$83,MATCH(D32,工種!$B$2:$B$83,0),1))</f>
        <v/>
      </c>
      <c r="E31" s="40"/>
      <c r="F31" s="41"/>
      <c r="G31" s="23" t="s">
        <v>20</v>
      </c>
      <c r="H31" s="259"/>
      <c r="I31" s="19"/>
      <c r="J31" s="20"/>
      <c r="K31" s="19"/>
      <c r="L31" s="20"/>
      <c r="M31" s="19"/>
      <c r="N31" s="20"/>
      <c r="O31" s="19"/>
      <c r="P31" s="20"/>
      <c r="Q31" s="19"/>
      <c r="R31" s="20"/>
      <c r="S31" s="19"/>
      <c r="T31" s="20"/>
      <c r="U31" s="19"/>
      <c r="V31" s="20"/>
      <c r="W31" s="19"/>
      <c r="X31" s="20"/>
    </row>
    <row r="32" ht="18" customHeight="1">
      <c r="A32" s="29"/>
      <c r="B32" s="24"/>
      <c r="C32" s="83" t="str">
        <f>IF($B32="","",INDEX(PJ!$D:$D,MATCH(B32, PJ!$C:$C, 0)))</f>
        <v/>
      </c>
      <c r="D32" s="146"/>
      <c r="E32" s="42"/>
      <c r="F32" s="43"/>
      <c r="G32" s="24" t="s">
        <v>32</v>
      </c>
      <c r="H32" s="258"/>
      <c r="I32" s="334"/>
      <c r="J32" s="335"/>
      <c r="K32" s="334"/>
      <c r="L32" s="335"/>
      <c r="M32" s="334"/>
      <c r="N32" s="335"/>
      <c r="O32" s="334"/>
      <c r="P32" s="335"/>
      <c r="Q32" s="334"/>
      <c r="R32" s="335"/>
      <c r="S32" s="334"/>
      <c r="T32" s="335"/>
      <c r="U32" s="334"/>
      <c r="V32" s="335"/>
      <c r="W32" s="340">
        <f>SUM(I32:V32)</f>
        <v>0</v>
      </c>
      <c r="X32" s="341"/>
    </row>
    <row r="33" ht="18" customHeight="1">
      <c r="A33" s="25">
        <v>10</v>
      </c>
      <c r="B33" s="81" t="str">
        <f>IF($B34="","",INDEX(PJ!$A:$A,MATCH(B34,PJ!$C:$C,0)))</f>
        <v/>
      </c>
      <c r="C33" s="82" t="str">
        <f>IF($B34="","",INDEX(PJ!$B:$B,MATCH(B34, PJ!$C:$C, 0)))</f>
        <v/>
      </c>
      <c r="D33" s="81" t="str">
        <f>IF(D34="","",INDEX(工種!$A$2:$A$83,MATCH(D34,工種!$B$2:$B$83,0),1))</f>
        <v/>
      </c>
      <c r="E33" s="40"/>
      <c r="F33" s="41"/>
      <c r="G33" s="23" t="s">
        <v>20</v>
      </c>
      <c r="H33" s="259"/>
      <c r="I33" s="19"/>
      <c r="J33" s="20"/>
      <c r="K33" s="19"/>
      <c r="L33" s="20"/>
      <c r="M33" s="19"/>
      <c r="N33" s="20"/>
      <c r="O33" s="19"/>
      <c r="P33" s="20"/>
      <c r="Q33" s="19"/>
      <c r="R33" s="20"/>
      <c r="S33" s="19"/>
      <c r="T33" s="20"/>
      <c r="U33" s="19"/>
      <c r="V33" s="20"/>
      <c r="W33" s="19"/>
      <c r="X33" s="20"/>
    </row>
    <row r="34" ht="18" customHeight="1">
      <c r="A34" s="29"/>
      <c r="B34" s="24"/>
      <c r="C34" s="83" t="str">
        <f>IF($B34="","",INDEX(PJ!$D:$D,MATCH(B34, PJ!$C:$C, 0)))</f>
        <v/>
      </c>
      <c r="D34" s="146"/>
      <c r="E34" s="42"/>
      <c r="F34" s="43"/>
      <c r="G34" s="24" t="s">
        <v>32</v>
      </c>
      <c r="H34" s="258"/>
      <c r="I34" s="334"/>
      <c r="J34" s="335"/>
      <c r="K34" s="334"/>
      <c r="L34" s="335"/>
      <c r="M34" s="334"/>
      <c r="N34" s="335"/>
      <c r="O34" s="334"/>
      <c r="P34" s="335"/>
      <c r="Q34" s="334"/>
      <c r="R34" s="335"/>
      <c r="S34" s="334"/>
      <c r="T34" s="335"/>
      <c r="U34" s="334"/>
      <c r="V34" s="335"/>
      <c r="W34" s="340">
        <f>SUM(I34:V34)</f>
        <v>0</v>
      </c>
      <c r="X34" s="341"/>
    </row>
    <row r="35" ht="18" customHeight="1">
      <c r="A35" s="25">
        <v>11</v>
      </c>
      <c r="B35" s="81" t="str">
        <f>IF($B36="","",INDEX(PJ!$A:$A,MATCH(B36,PJ!$C:$C,0)))</f>
        <v/>
      </c>
      <c r="C35" s="82" t="str">
        <f>IF($B36="","",INDEX(PJ!$B:$B,MATCH(B36, PJ!$C:$C, 0)))</f>
        <v/>
      </c>
      <c r="D35" s="81" t="str">
        <f>IF(D36="","",INDEX(工種!$A$2:$A$83,MATCH(D36,工種!$B$2:$B$83,0),1))</f>
        <v/>
      </c>
      <c r="E35" s="40"/>
      <c r="F35" s="41"/>
      <c r="G35" s="23" t="s">
        <v>20</v>
      </c>
      <c r="H35" s="259"/>
      <c r="I35" s="19"/>
      <c r="J35" s="20"/>
      <c r="K35" s="19"/>
      <c r="L35" s="20"/>
      <c r="M35" s="19"/>
      <c r="N35" s="20"/>
      <c r="O35" s="19"/>
      <c r="P35" s="20"/>
      <c r="Q35" s="19"/>
      <c r="R35" s="20"/>
      <c r="S35" s="19"/>
      <c r="T35" s="20"/>
      <c r="U35" s="19"/>
      <c r="V35" s="20"/>
      <c r="W35" s="19"/>
      <c r="X35" s="20"/>
    </row>
    <row r="36" ht="18" customHeight="1">
      <c r="A36" s="29"/>
      <c r="B36" s="24"/>
      <c r="C36" s="83" t="str">
        <f>IF($B36="","",INDEX(PJ!$D:$D,MATCH(B36, PJ!$C:$C, 0)))</f>
        <v/>
      </c>
      <c r="D36" s="146"/>
      <c r="E36" s="42"/>
      <c r="F36" s="43"/>
      <c r="G36" s="24" t="s">
        <v>32</v>
      </c>
      <c r="H36" s="258"/>
      <c r="I36" s="334"/>
      <c r="J36" s="335"/>
      <c r="K36" s="334"/>
      <c r="L36" s="335"/>
      <c r="M36" s="334"/>
      <c r="N36" s="335"/>
      <c r="O36" s="334"/>
      <c r="P36" s="335"/>
      <c r="Q36" s="334"/>
      <c r="R36" s="335"/>
      <c r="S36" s="334"/>
      <c r="T36" s="335"/>
      <c r="U36" s="334"/>
      <c r="V36" s="335"/>
      <c r="W36" s="340">
        <f>SUM(I36:V36)</f>
        <v>0</v>
      </c>
      <c r="X36" s="341"/>
    </row>
    <row r="37" ht="18" customHeight="1">
      <c r="A37" s="25">
        <v>12</v>
      </c>
      <c r="B37" s="81" t="str">
        <f>IF($B38="","",INDEX(PJ!$A:$A,MATCH(B38,PJ!$C:$C,0)))</f>
        <v/>
      </c>
      <c r="C37" s="82" t="str">
        <f>IF($B38="","",INDEX(PJ!$B:$B,MATCH(B38, PJ!$C:$C, 0)))</f>
        <v/>
      </c>
      <c r="D37" s="81" t="str">
        <f>IF(D38="","",INDEX(工種!$A$2:$A$83,MATCH(D38,工種!$B$2:$B$83,0),1))</f>
        <v/>
      </c>
      <c r="E37" s="40"/>
      <c r="F37" s="41"/>
      <c r="G37" s="23" t="s">
        <v>20</v>
      </c>
      <c r="H37" s="259"/>
      <c r="I37" s="19"/>
      <c r="J37" s="20"/>
      <c r="K37" s="19"/>
      <c r="L37" s="20"/>
      <c r="M37" s="19"/>
      <c r="N37" s="20"/>
      <c r="O37" s="19"/>
      <c r="P37" s="20"/>
      <c r="Q37" s="19"/>
      <c r="R37" s="20"/>
      <c r="S37" s="19"/>
      <c r="T37" s="20"/>
      <c r="U37" s="19"/>
      <c r="V37" s="20"/>
      <c r="W37" s="19"/>
      <c r="X37" s="20"/>
    </row>
    <row r="38" ht="18" customHeight="1">
      <c r="A38" s="29"/>
      <c r="B38" s="24"/>
      <c r="C38" s="83" t="str">
        <f>IF($B38="","",INDEX(PJ!$D:$D,MATCH(B38, PJ!$C:$C, 0)))</f>
        <v/>
      </c>
      <c r="D38" s="146"/>
      <c r="E38" s="42"/>
      <c r="F38" s="43"/>
      <c r="G38" s="24" t="s">
        <v>32</v>
      </c>
      <c r="H38" s="258"/>
      <c r="I38" s="334"/>
      <c r="J38" s="335"/>
      <c r="K38" s="334"/>
      <c r="L38" s="335"/>
      <c r="M38" s="334"/>
      <c r="N38" s="335"/>
      <c r="O38" s="334"/>
      <c r="P38" s="335"/>
      <c r="Q38" s="334"/>
      <c r="R38" s="335"/>
      <c r="S38" s="334"/>
      <c r="T38" s="335"/>
      <c r="U38" s="334"/>
      <c r="V38" s="335"/>
      <c r="W38" s="340">
        <f>SUM(I38:V38)</f>
        <v>0</v>
      </c>
      <c r="X38" s="341"/>
    </row>
    <row r="39" ht="18" customHeight="1">
      <c r="A39" s="25">
        <v>13</v>
      </c>
      <c r="B39" s="81" t="str">
        <f>IF($B40="","",INDEX(PJ!$A:$A,MATCH(B40,PJ!$C:$C,0)))</f>
        <v/>
      </c>
      <c r="C39" s="82" t="str">
        <f>IF($B40="","",INDEX(PJ!$B:$B,MATCH(B40, PJ!$C:$C, 0)))</f>
        <v/>
      </c>
      <c r="D39" s="81" t="str">
        <f>IF(D40="","",INDEX(工種!$A$2:$A$83,MATCH(D40,工種!$B$2:$B$83,0),1))</f>
        <v/>
      </c>
      <c r="E39" s="40"/>
      <c r="F39" s="41"/>
      <c r="G39" s="23" t="s">
        <v>20</v>
      </c>
      <c r="H39" s="259"/>
      <c r="I39" s="19"/>
      <c r="J39" s="20"/>
      <c r="K39" s="19"/>
      <c r="L39" s="20"/>
      <c r="M39" s="19"/>
      <c r="N39" s="20"/>
      <c r="O39" s="19"/>
      <c r="P39" s="20"/>
      <c r="Q39" s="19"/>
      <c r="R39" s="20"/>
      <c r="S39" s="19"/>
      <c r="T39" s="20"/>
      <c r="U39" s="19"/>
      <c r="V39" s="20"/>
      <c r="W39" s="19"/>
      <c r="X39" s="20"/>
    </row>
    <row r="40" ht="18" customHeight="1">
      <c r="A40" s="29"/>
      <c r="B40" s="24"/>
      <c r="C40" s="83" t="str">
        <f>IF($B40="","",INDEX(PJ!$D:$D,MATCH(B40, PJ!$C:$C, 0)))</f>
        <v/>
      </c>
      <c r="D40" s="146"/>
      <c r="E40" s="42"/>
      <c r="F40" s="43"/>
      <c r="G40" s="24" t="s">
        <v>32</v>
      </c>
      <c r="H40" s="258"/>
      <c r="I40" s="334"/>
      <c r="J40" s="335"/>
      <c r="K40" s="334"/>
      <c r="L40" s="335"/>
      <c r="M40" s="334"/>
      <c r="N40" s="335"/>
      <c r="O40" s="334"/>
      <c r="P40" s="335"/>
      <c r="Q40" s="334"/>
      <c r="R40" s="335"/>
      <c r="S40" s="334"/>
      <c r="T40" s="335"/>
      <c r="U40" s="334"/>
      <c r="V40" s="335"/>
      <c r="W40" s="340">
        <f>SUM(I40:V40)</f>
        <v>0</v>
      </c>
      <c r="X40" s="341"/>
    </row>
    <row r="41" ht="18" customHeight="1">
      <c r="A41" s="25">
        <v>14</v>
      </c>
      <c r="B41" s="81" t="str">
        <f>IF($B42="","",INDEX(PJ!$A:$A,MATCH(B42,PJ!$C:$C,0)))</f>
        <v/>
      </c>
      <c r="C41" s="82" t="str">
        <f>IF($B42="","",INDEX(PJ!$B:$B,MATCH(B42, PJ!$C:$C, 0)))</f>
        <v/>
      </c>
      <c r="D41" s="81" t="str">
        <f>IF(D42="","",INDEX(工種!$A$2:$A$83,MATCH(D42,工種!$B$2:$B$83,0),1))</f>
        <v/>
      </c>
      <c r="E41" s="40"/>
      <c r="F41" s="41"/>
      <c r="G41" s="23" t="s">
        <v>20</v>
      </c>
      <c r="H41" s="259"/>
      <c r="I41" s="19"/>
      <c r="J41" s="20"/>
      <c r="K41" s="19"/>
      <c r="L41" s="20"/>
      <c r="M41" s="19"/>
      <c r="N41" s="20"/>
      <c r="O41" s="19"/>
      <c r="P41" s="20"/>
      <c r="Q41" s="19"/>
      <c r="R41" s="20"/>
      <c r="S41" s="19"/>
      <c r="T41" s="20"/>
      <c r="U41" s="19"/>
      <c r="V41" s="20"/>
      <c r="W41" s="19"/>
      <c r="X41" s="20"/>
    </row>
    <row r="42" ht="18" customHeight="1">
      <c r="A42" s="29"/>
      <c r="B42" s="24"/>
      <c r="C42" s="83" t="str">
        <f>IF($B42="","",INDEX(PJ!$D:$D,MATCH(B42, PJ!$C:$C, 0)))</f>
        <v/>
      </c>
      <c r="D42" s="146"/>
      <c r="E42" s="42"/>
      <c r="F42" s="43"/>
      <c r="G42" s="24" t="s">
        <v>32</v>
      </c>
      <c r="H42" s="258"/>
      <c r="I42" s="334"/>
      <c r="J42" s="335"/>
      <c r="K42" s="334"/>
      <c r="L42" s="335"/>
      <c r="M42" s="334"/>
      <c r="N42" s="335"/>
      <c r="O42" s="334"/>
      <c r="P42" s="335"/>
      <c r="Q42" s="334"/>
      <c r="R42" s="335"/>
      <c r="S42" s="334"/>
      <c r="T42" s="335"/>
      <c r="U42" s="334"/>
      <c r="V42" s="335"/>
      <c r="W42" s="340">
        <f>SUM(I42:V42)</f>
        <v>0</v>
      </c>
      <c r="X42" s="341"/>
    </row>
    <row r="43" ht="18" customHeight="1">
      <c r="A43" s="25">
        <v>15</v>
      </c>
      <c r="B43" s="81" t="str">
        <f>IF($B44="","",INDEX(PJ!$A:$A,MATCH(B44,PJ!$C:$C,0)))</f>
        <v/>
      </c>
      <c r="C43" s="82" t="str">
        <f>IF($B44="","",INDEX(PJ!$B:$B,MATCH(B44, PJ!$C:$C, 0)))</f>
        <v/>
      </c>
      <c r="D43" s="81" t="str">
        <f>IF(D44="","",INDEX(工種!$A$2:$A$83,MATCH(D44,工種!$B$2:$B$83,0),1))</f>
        <v/>
      </c>
      <c r="E43" s="40"/>
      <c r="F43" s="41"/>
      <c r="G43" s="23" t="s">
        <v>20</v>
      </c>
      <c r="H43" s="259"/>
      <c r="I43" s="19"/>
      <c r="J43" s="20"/>
      <c r="K43" s="19"/>
      <c r="L43" s="20"/>
      <c r="M43" s="19"/>
      <c r="N43" s="20"/>
      <c r="O43" s="19"/>
      <c r="P43" s="20"/>
      <c r="Q43" s="19"/>
      <c r="R43" s="20"/>
      <c r="S43" s="19"/>
      <c r="T43" s="20"/>
      <c r="U43" s="19"/>
      <c r="V43" s="20"/>
      <c r="W43" s="19"/>
      <c r="X43" s="20"/>
    </row>
    <row r="44" ht="18" customHeight="1">
      <c r="A44" s="29"/>
      <c r="B44" s="24"/>
      <c r="C44" s="83" t="str">
        <f>IF($B44="","",INDEX(PJ!$D:$D,MATCH(B44, PJ!$C:$C, 0)))</f>
        <v/>
      </c>
      <c r="D44" s="146"/>
      <c r="E44" s="42"/>
      <c r="F44" s="43"/>
      <c r="G44" s="24" t="s">
        <v>32</v>
      </c>
      <c r="H44" s="258"/>
      <c r="I44" s="334"/>
      <c r="J44" s="335"/>
      <c r="K44" s="334"/>
      <c r="L44" s="335"/>
      <c r="M44" s="334"/>
      <c r="N44" s="335"/>
      <c r="O44" s="334"/>
      <c r="P44" s="335"/>
      <c r="Q44" s="334"/>
      <c r="R44" s="335"/>
      <c r="S44" s="334"/>
      <c r="T44" s="335"/>
      <c r="U44" s="334"/>
      <c r="V44" s="335"/>
      <c r="W44" s="340">
        <f>SUM(I44:V44)</f>
        <v>0</v>
      </c>
      <c r="X44" s="341"/>
    </row>
    <row r="45" ht="18" customHeight="1">
      <c r="A45" s="25">
        <v>16</v>
      </c>
      <c r="B45" s="81" t="str">
        <f>IF($B46="","",INDEX(PJ!$A:$A,MATCH(B46,PJ!$C:$C,0)))</f>
        <v/>
      </c>
      <c r="C45" s="82" t="str">
        <f>IF($B46="","",INDEX(PJ!$B:$B,MATCH(B46, PJ!$C:$C, 0)))</f>
        <v/>
      </c>
      <c r="D45" s="81" t="str">
        <f>IF(D46="","",INDEX(工種!$A$2:$A$83,MATCH(D46,工種!$B$2:$B$83,0),1))</f>
        <v/>
      </c>
      <c r="E45" s="40"/>
      <c r="F45" s="41"/>
      <c r="G45" s="23" t="s">
        <v>20</v>
      </c>
      <c r="H45" s="259"/>
      <c r="I45" s="19"/>
      <c r="J45" s="20"/>
      <c r="K45" s="19"/>
      <c r="L45" s="20"/>
      <c r="M45" s="19"/>
      <c r="N45" s="20"/>
      <c r="O45" s="19"/>
      <c r="P45" s="20"/>
      <c r="Q45" s="19"/>
      <c r="R45" s="20"/>
      <c r="S45" s="19"/>
      <c r="T45" s="20"/>
      <c r="U45" s="19"/>
      <c r="V45" s="20"/>
      <c r="W45" s="19"/>
      <c r="X45" s="20"/>
    </row>
    <row r="46" ht="18" customHeight="1">
      <c r="A46" s="29"/>
      <c r="B46" s="24"/>
      <c r="C46" s="83" t="str">
        <f>IF($B46="","",INDEX(PJ!$D:$D,MATCH(B46, PJ!$C:$C, 0)))</f>
        <v/>
      </c>
      <c r="D46" s="146"/>
      <c r="E46" s="42"/>
      <c r="F46" s="43"/>
      <c r="G46" s="24" t="s">
        <v>32</v>
      </c>
      <c r="H46" s="258"/>
      <c r="I46" s="334"/>
      <c r="J46" s="335"/>
      <c r="K46" s="334"/>
      <c r="L46" s="335"/>
      <c r="M46" s="334"/>
      <c r="N46" s="335"/>
      <c r="O46" s="334"/>
      <c r="P46" s="335"/>
      <c r="Q46" s="334"/>
      <c r="R46" s="335"/>
      <c r="S46" s="334"/>
      <c r="T46" s="335"/>
      <c r="U46" s="334"/>
      <c r="V46" s="335"/>
      <c r="W46" s="340">
        <f>SUM(I46:V46)</f>
        <v>0</v>
      </c>
      <c r="X46" s="341"/>
    </row>
    <row r="47" ht="18" customHeight="1">
      <c r="A47" s="25">
        <v>17</v>
      </c>
      <c r="B47" s="81" t="str">
        <f>IF($B48="","",INDEX(PJ!$A:$A,MATCH(B48,PJ!$C:$C,0)))</f>
        <v/>
      </c>
      <c r="C47" s="82" t="str">
        <f>IF($B48="","",INDEX(PJ!$B:$B,MATCH(B48, PJ!$C:$C, 0)))</f>
        <v/>
      </c>
      <c r="D47" s="81" t="str">
        <f>IF(D48="","",INDEX(工種!$A$2:$A$83,MATCH(D48,工種!$B$2:$B$83,0),1))</f>
        <v/>
      </c>
      <c r="E47" s="40"/>
      <c r="F47" s="41"/>
      <c r="G47" s="23" t="s">
        <v>20</v>
      </c>
      <c r="H47" s="259"/>
      <c r="I47" s="19"/>
      <c r="J47" s="20"/>
      <c r="K47" s="19"/>
      <c r="L47" s="20"/>
      <c r="M47" s="19"/>
      <c r="N47" s="20"/>
      <c r="O47" s="19"/>
      <c r="P47" s="20"/>
      <c r="Q47" s="19"/>
      <c r="R47" s="20"/>
      <c r="S47" s="19"/>
      <c r="T47" s="20"/>
      <c r="U47" s="19"/>
      <c r="V47" s="20"/>
      <c r="W47" s="19"/>
      <c r="X47" s="20"/>
    </row>
    <row r="48" ht="18" customHeight="1">
      <c r="A48" s="29"/>
      <c r="B48" s="24"/>
      <c r="C48" s="83" t="str">
        <f>IF($B48="","",INDEX(PJ!$D:$D,MATCH(B48, PJ!$C:$C, 0)))</f>
        <v/>
      </c>
      <c r="D48" s="146"/>
      <c r="E48" s="42"/>
      <c r="F48" s="43"/>
      <c r="G48" s="24" t="s">
        <v>32</v>
      </c>
      <c r="H48" s="258"/>
      <c r="I48" s="334"/>
      <c r="J48" s="335"/>
      <c r="K48" s="334"/>
      <c r="L48" s="335"/>
      <c r="M48" s="334"/>
      <c r="N48" s="335"/>
      <c r="O48" s="334"/>
      <c r="P48" s="335"/>
      <c r="Q48" s="334"/>
      <c r="R48" s="335"/>
      <c r="S48" s="334"/>
      <c r="T48" s="335"/>
      <c r="U48" s="334"/>
      <c r="V48" s="335"/>
      <c r="W48" s="340">
        <f>SUM(I48:V48)</f>
        <v>0</v>
      </c>
      <c r="X48" s="341"/>
    </row>
    <row r="49" ht="18" customHeight="1">
      <c r="A49" s="25">
        <v>18</v>
      </c>
      <c r="B49" s="81" t="str">
        <f>IF($B50="","",INDEX(PJ!$A:$A,MATCH(B50,PJ!$C:$C,0)))</f>
        <v/>
      </c>
      <c r="C49" s="82" t="str">
        <f>IF($B50="","",INDEX(PJ!$B:$B,MATCH(B50, PJ!$C:$C, 0)))</f>
        <v/>
      </c>
      <c r="D49" s="81" t="str">
        <f>IF(D50="","",INDEX(工種!$A$2:$A$83,MATCH(D50,工種!$B$2:$B$83,0),1))</f>
        <v/>
      </c>
      <c r="E49" s="40"/>
      <c r="F49" s="41"/>
      <c r="G49" s="23" t="s">
        <v>20</v>
      </c>
      <c r="H49" s="259"/>
      <c r="I49" s="19"/>
      <c r="J49" s="20"/>
      <c r="K49" s="19"/>
      <c r="L49" s="20"/>
      <c r="M49" s="19"/>
      <c r="N49" s="20"/>
      <c r="O49" s="19"/>
      <c r="P49" s="20"/>
      <c r="Q49" s="19"/>
      <c r="R49" s="20"/>
      <c r="S49" s="19"/>
      <c r="T49" s="20"/>
      <c r="U49" s="19"/>
      <c r="V49" s="20"/>
      <c r="W49" s="19"/>
      <c r="X49" s="20"/>
    </row>
    <row r="50" ht="18" customHeight="1">
      <c r="A50" s="29"/>
      <c r="B50" s="24"/>
      <c r="C50" s="83" t="str">
        <f>IF($B50="","",INDEX(PJ!$D:$D,MATCH(B50, PJ!$C:$C, 0)))</f>
        <v/>
      </c>
      <c r="D50" s="146"/>
      <c r="E50" s="42"/>
      <c r="F50" s="43"/>
      <c r="G50" s="24" t="s">
        <v>32</v>
      </c>
      <c r="H50" s="258"/>
      <c r="I50" s="334"/>
      <c r="J50" s="335"/>
      <c r="K50" s="334"/>
      <c r="L50" s="335"/>
      <c r="M50" s="334"/>
      <c r="N50" s="335"/>
      <c r="O50" s="334"/>
      <c r="P50" s="335"/>
      <c r="Q50" s="334"/>
      <c r="R50" s="335"/>
      <c r="S50" s="334"/>
      <c r="T50" s="335"/>
      <c r="U50" s="334"/>
      <c r="V50" s="335"/>
      <c r="W50" s="340">
        <f>SUM(I50:V50)</f>
        <v>0</v>
      </c>
      <c r="X50" s="341"/>
    </row>
    <row r="51" ht="18" customHeight="1">
      <c r="A51" s="25">
        <v>19</v>
      </c>
      <c r="B51" s="81" t="str">
        <f>IF($B52="","",INDEX(PJ!$A:$A,MATCH(B52,PJ!$C:$C,0)))</f>
        <v/>
      </c>
      <c r="C51" s="82" t="str">
        <f>IF($B52="","",INDEX(PJ!$B:$B,MATCH(B52, PJ!$C:$C, 0)))</f>
        <v/>
      </c>
      <c r="D51" s="81" t="str">
        <f>IF(D52="","",INDEX(工種!$A$2:$A$83,MATCH(D52,工種!$B$2:$B$83,0),1))</f>
        <v/>
      </c>
      <c r="E51" s="40"/>
      <c r="F51" s="41"/>
      <c r="G51" s="23" t="s">
        <v>20</v>
      </c>
      <c r="H51" s="259"/>
      <c r="I51" s="19"/>
      <c r="J51" s="20"/>
      <c r="K51" s="19"/>
      <c r="L51" s="20"/>
      <c r="M51" s="19"/>
      <c r="N51" s="20"/>
      <c r="O51" s="19"/>
      <c r="P51" s="20"/>
      <c r="Q51" s="19"/>
      <c r="R51" s="20"/>
      <c r="S51" s="19"/>
      <c r="T51" s="20"/>
      <c r="U51" s="19"/>
      <c r="V51" s="20"/>
      <c r="W51" s="19"/>
      <c r="X51" s="20"/>
    </row>
    <row r="52" ht="18" customHeight="1">
      <c r="A52" s="29"/>
      <c r="B52" s="24"/>
      <c r="C52" s="83" t="str">
        <f>IF($B52="","",INDEX(PJ!$D:$D,MATCH(B52, PJ!$C:$C, 0)))</f>
        <v/>
      </c>
      <c r="D52" s="146"/>
      <c r="E52" s="42"/>
      <c r="F52" s="43"/>
      <c r="G52" s="24" t="s">
        <v>32</v>
      </c>
      <c r="H52" s="258"/>
      <c r="I52" s="334"/>
      <c r="J52" s="335"/>
      <c r="K52" s="334"/>
      <c r="L52" s="335"/>
      <c r="M52" s="334"/>
      <c r="N52" s="335"/>
      <c r="O52" s="334"/>
      <c r="P52" s="335"/>
      <c r="Q52" s="334"/>
      <c r="R52" s="335"/>
      <c r="S52" s="334"/>
      <c r="T52" s="335"/>
      <c r="U52" s="334"/>
      <c r="V52" s="335"/>
      <c r="W52" s="340">
        <f>SUM(I52:V52)</f>
        <v>0</v>
      </c>
      <c r="X52" s="341"/>
    </row>
    <row r="53" ht="18" customHeight="1">
      <c r="A53" s="25">
        <v>20</v>
      </c>
      <c r="B53" s="81" t="str">
        <f>IF($B54="","",INDEX(PJ!$A:$A,MATCH(B54,PJ!$C:$C,0)))</f>
        <v/>
      </c>
      <c r="C53" s="82" t="str">
        <f>IF($B54="","",INDEX(PJ!$B:$B,MATCH(B54, PJ!$C:$C, 0)))</f>
        <v/>
      </c>
      <c r="D53" s="81" t="str">
        <f>IF(D54="","",INDEX(工種!$A$2:$A$83,MATCH(D54,工種!$B$2:$B$83,0),1))</f>
        <v/>
      </c>
      <c r="E53" s="40"/>
      <c r="F53" s="41"/>
      <c r="G53" s="23" t="s">
        <v>20</v>
      </c>
      <c r="H53" s="259"/>
      <c r="I53" s="19"/>
      <c r="J53" s="20"/>
      <c r="K53" s="19"/>
      <c r="L53" s="20"/>
      <c r="M53" s="19"/>
      <c r="N53" s="20"/>
      <c r="O53" s="19"/>
      <c r="P53" s="20"/>
      <c r="Q53" s="19"/>
      <c r="R53" s="20"/>
      <c r="S53" s="19"/>
      <c r="T53" s="20"/>
      <c r="U53" s="19"/>
      <c r="V53" s="20"/>
      <c r="W53" s="19"/>
      <c r="X53" s="20"/>
    </row>
    <row r="54" ht="18" customHeight="1">
      <c r="A54" s="29"/>
      <c r="B54" s="24"/>
      <c r="C54" s="83" t="str">
        <f>IF($B54="","",INDEX(PJ!$D:$D,MATCH(B54, PJ!$C:$C, 0)))</f>
        <v/>
      </c>
      <c r="D54" s="146"/>
      <c r="E54" s="42"/>
      <c r="F54" s="43"/>
      <c r="G54" s="24" t="s">
        <v>32</v>
      </c>
      <c r="H54" s="258"/>
      <c r="I54" s="334"/>
      <c r="J54" s="335"/>
      <c r="K54" s="334"/>
      <c r="L54" s="335"/>
      <c r="M54" s="334"/>
      <c r="N54" s="335"/>
      <c r="O54" s="334"/>
      <c r="P54" s="335"/>
      <c r="Q54" s="334"/>
      <c r="R54" s="335"/>
      <c r="S54" s="334"/>
      <c r="T54" s="335"/>
      <c r="U54" s="334"/>
      <c r="V54" s="335"/>
      <c r="W54" s="340">
        <f>SUM(I54:V54)</f>
        <v>0</v>
      </c>
      <c r="X54" s="341"/>
    </row>
    <row r="55" spans="1:27" ht="6.75" customHeight="1">
      <c r="I55" s="17"/>
      <c r="J55" s="17"/>
      <c r="K55" s="17"/>
      <c r="L55" s="17"/>
      <c r="M55" s="17"/>
      <c r="N55" s="17"/>
      <c r="O55" s="17"/>
      <c r="P55" s="17"/>
      <c r="Q55" s="17"/>
      <c r="R55" s="17"/>
      <c r="S55" s="17"/>
      <c r="T55" s="17"/>
      <c r="U55" s="17"/>
      <c r="V55" s="17"/>
      <c r="W55" s="17"/>
      <c r="X55" s="17"/>
      <c r="Y55" s="2"/>
      <c r="AA55" s="2"/>
    </row>
    <row r="56" spans="1:27" ht="6.75" customHeight="1" thickBot="1">
      <c r="I56" s="17"/>
      <c r="J56" s="17"/>
      <c r="K56" s="17"/>
      <c r="L56" s="17"/>
      <c r="M56" s="17"/>
      <c r="N56" s="17"/>
      <c r="O56" s="17"/>
      <c r="P56" s="17"/>
      <c r="Q56" s="17"/>
      <c r="R56" s="17"/>
      <c r="S56" s="17"/>
      <c r="T56" s="17"/>
      <c r="U56" s="17"/>
      <c r="V56" s="17"/>
      <c r="W56" s="17"/>
      <c r="X56" s="17"/>
      <c r="Y56" s="2"/>
      <c r="AA56" s="2"/>
    </row>
    <row r="57" spans="1:27" ht="17.25" customHeight="1" thickTop="1">
      <c r="A57" s="255"/>
      <c r="B57" s="50"/>
      <c r="C57" s="50"/>
      <c r="D57" s="50"/>
      <c r="E57" s="256" t="s">
        <v>29</v>
      </c>
      <c r="F57" s="256"/>
      <c r="G57" s="257"/>
      <c r="H57" s="256"/>
      <c r="I57" s="330">
        <f>SUM(I16:J54)</f>
        <v>0.66666666666666663</v>
      </c>
      <c r="J57" s="331"/>
      <c r="K57" s="330">
        <f>SUM(K16:L54)</f>
        <v>0.66666666666666663</v>
      </c>
      <c r="L57" s="331"/>
      <c r="M57" s="330">
        <f>SUM(M16:N54)</f>
        <v>0.66666666666666663</v>
      </c>
      <c r="N57" s="331"/>
      <c r="O57" s="330">
        <f>SUM(O16:P54)</f>
        <v>0.66666666666666663</v>
      </c>
      <c r="P57" s="331"/>
      <c r="Q57" s="330">
        <f>SUM(Q16:R54)</f>
        <v>0.66666666666666663</v>
      </c>
      <c r="R57" s="331"/>
      <c r="S57" s="330">
        <f>SUM(S16:T54)</f>
        <v>0</v>
      </c>
      <c r="T57" s="331"/>
      <c r="U57" s="330">
        <f>SUM(U16:V54)</f>
        <v>0</v>
      </c>
      <c r="V57" s="331"/>
      <c r="W57" s="330">
        <f>CEILING(SUM(W16:X54),"0:5")</f>
        <v>2.1875</v>
      </c>
      <c r="X57" s="331"/>
    </row>
    <row r="58" ht="17.25" customHeight="1">
      <c r="A58" s="33"/>
      <c r="B58" s="51"/>
      <c r="C58" s="51"/>
      <c r="D58" s="51"/>
      <c r="E58" s="44" t="s">
        <v>37</v>
      </c>
      <c r="F58" s="44"/>
      <c r="G58" s="44"/>
      <c r="H58" s="44"/>
      <c r="I58" s="359"/>
      <c r="J58" s="360"/>
      <c r="K58" s="359"/>
      <c r="L58" s="360"/>
      <c r="M58" s="359"/>
      <c r="N58" s="360"/>
      <c r="O58" s="359"/>
      <c r="P58" s="360"/>
      <c r="Q58" s="359" t="inlineStr">
        <is>
          <t xml:space="preserve">午後休</t>
        </is>
      </c>
      <c r="R58" s="360"/>
      <c r="S58" s="359"/>
      <c r="T58" s="360"/>
      <c r="U58" s="359"/>
      <c r="V58" s="360"/>
      <c r="W58" s="359"/>
      <c r="X58" s="360"/>
    </row>
    <row r="59" spans="1:27" ht="20.100000000000001" customHeight="1">
      <c r="I59" s="17"/>
      <c r="J59" s="17"/>
      <c r="K59" s="17"/>
      <c r="L59" s="17"/>
      <c r="M59" s="17"/>
      <c r="N59" s="17"/>
      <c r="O59" s="17"/>
      <c r="P59" s="17"/>
      <c r="Q59" s="17"/>
      <c r="R59" s="17"/>
      <c r="S59" s="17"/>
      <c r="T59" s="17"/>
      <c r="U59" s="17"/>
      <c r="V59" s="17"/>
      <c r="W59" s="17"/>
      <c r="X59" s="17"/>
      <c r="Y59" s="2"/>
      <c r="AA59" s="2"/>
    </row>
    <row r="60" spans="1:27" ht="15" customHeight="1">
      <c r="A60" s="25"/>
      <c r="B60" s="52"/>
      <c r="C60" s="52"/>
      <c r="D60" s="52"/>
      <c r="E60" s="52"/>
      <c r="F60" s="52"/>
      <c r="G60" s="16"/>
      <c r="H60" s="16"/>
      <c r="I60" s="40"/>
      <c r="J60" s="52"/>
      <c r="K60" s="52"/>
      <c r="L60" s="52"/>
      <c r="M60" s="52"/>
      <c r="N60" s="52"/>
      <c r="O60" s="52"/>
      <c r="P60" s="52"/>
      <c r="Q60" s="52"/>
      <c r="R60" s="52"/>
      <c r="S60" s="52"/>
      <c r="T60" s="52"/>
      <c r="U60" s="52"/>
      <c r="V60" s="52"/>
      <c r="W60" s="52"/>
      <c r="X60" s="22"/>
    </row>
    <row r="61" ht="15" customHeight="1">
      <c r="A61" s="356" t="s">
        <v>38</v>
      </c>
      <c r="B61"/>
      <c r="I61" s="356" t="s">
        <v>39</v>
      </c>
      <c r="J61"/>
      <c r="X61" s="46"/>
    </row>
    <row r="62" ht="15" customHeight="1">
      <c r="A62" s="356"/>
      <c r="B62"/>
      <c r="I62" s="356"/>
      <c r="J62"/>
      <c r="X62" s="46"/>
    </row>
    <row r="63" ht="15" customHeight="1">
      <c r="A63" s="356"/>
      <c r="B63"/>
      <c r="I63" s="356"/>
      <c r="J63"/>
      <c r="X63" s="46"/>
    </row>
    <row r="64" ht="15" customHeight="1">
      <c r="A64" s="356"/>
      <c r="B64"/>
      <c r="I64" s="356"/>
      <c r="J64"/>
      <c r="X64" s="46"/>
    </row>
    <row r="65" ht="15" customHeight="1">
      <c r="A65" s="356"/>
      <c r="B65"/>
      <c r="I65" s="356"/>
      <c r="J65"/>
      <c r="X65" s="46"/>
    </row>
    <row r="66" spans="1:24" ht="15" customHeight="1">
      <c r="A66" s="29"/>
      <c r="B66" s="47"/>
      <c r="C66" s="47"/>
      <c r="D66" s="47"/>
      <c r="E66" s="47"/>
      <c r="F66" s="47"/>
      <c r="G66" s="48"/>
      <c r="H66" s="48"/>
      <c r="I66" s="42"/>
      <c r="J66" s="47"/>
      <c r="K66" s="47"/>
      <c r="L66" s="47"/>
      <c r="M66" s="47"/>
      <c r="N66" s="47"/>
      <c r="O66" s="47"/>
      <c r="P66" s="47"/>
      <c r="Q66" s="47"/>
      <c r="R66" s="47"/>
      <c r="S66" s="47"/>
      <c r="T66" s="47"/>
      <c r="U66" s="47"/>
      <c r="V66" s="47"/>
      <c r="W66" s="47"/>
      <c r="X66" s="49"/>
    </row>
    <row r="67" spans="1:24" ht="15" customHeight="1">
      <c r="A67" s="25"/>
      <c r="B67" s="52"/>
      <c r="C67" s="52"/>
      <c r="D67" s="52"/>
      <c r="E67" s="52"/>
      <c r="F67" s="52"/>
      <c r="G67" s="16"/>
      <c r="H67" s="16"/>
      <c r="I67" s="52"/>
      <c r="J67" s="52"/>
      <c r="K67" s="52"/>
      <c r="L67" s="52"/>
      <c r="M67" s="52"/>
      <c r="N67" s="52"/>
      <c r="O67" s="52"/>
      <c r="P67" s="52"/>
      <c r="Q67" s="52"/>
      <c r="R67" s="52"/>
      <c r="S67" s="52"/>
      <c r="T67" s="52"/>
      <c r="U67" s="52"/>
      <c r="V67" s="52"/>
      <c r="W67" s="52"/>
      <c r="X67" s="22"/>
    </row>
    <row r="68" ht="15" customHeight="1">
      <c r="A68" s="356" t="s">
        <v>40</v>
      </c>
      <c r="B68"/>
      <c r="J68"/>
      <c r="X68" s="46"/>
    </row>
    <row r="69" ht="15" customHeight="1">
      <c r="A69" s="356"/>
      <c r="B69"/>
      <c r="J69"/>
      <c r="X69" s="46"/>
    </row>
    <row r="70" ht="15" customHeight="1">
      <c r="A70" s="356"/>
      <c r="B70"/>
      <c r="J70"/>
      <c r="X70" s="46"/>
    </row>
    <row r="71" ht="15" customHeight="1">
      <c r="A71" s="356"/>
      <c r="B71"/>
      <c r="J71"/>
      <c r="X71" s="46"/>
    </row>
    <row r="72" ht="15" customHeight="1">
      <c r="A72" s="356"/>
      <c r="B72"/>
      <c r="J72"/>
      <c r="X72" s="46"/>
    </row>
    <row r="73" spans="1:24" ht="15" customHeight="1">
      <c r="A73" s="29"/>
      <c r="B73" s="47"/>
      <c r="C73" s="47"/>
      <c r="D73" s="47"/>
      <c r="E73" s="47"/>
      <c r="F73" s="47"/>
      <c r="G73" s="48"/>
      <c r="H73" s="48"/>
      <c r="I73" s="47"/>
      <c r="J73" s="47"/>
      <c r="K73" s="47"/>
      <c r="L73" s="47"/>
      <c r="M73" s="47"/>
      <c r="N73" s="47"/>
      <c r="O73" s="47"/>
      <c r="P73" s="47"/>
      <c r="Q73" s="47"/>
      <c r="R73" s="47"/>
      <c r="S73" s="47"/>
      <c r="T73" s="47"/>
      <c r="U73" s="47"/>
      <c r="V73" s="47"/>
      <c r="W73" s="47"/>
      <c r="X73" s="49"/>
    </row>
    <row r="74" spans="1:24" ht="15" customHeight="1">
      <c r="A74" s="25"/>
      <c r="B74" s="52"/>
      <c r="C74" s="52"/>
      <c r="D74" s="52"/>
      <c r="E74" s="52"/>
      <c r="F74" s="52"/>
      <c r="G74" s="16"/>
      <c r="H74" s="16"/>
      <c r="I74" s="52"/>
      <c r="J74" s="52"/>
      <c r="K74" s="52"/>
      <c r="L74" s="52"/>
      <c r="M74" s="52"/>
      <c r="N74" s="52"/>
      <c r="O74" s="52"/>
      <c r="P74" s="52"/>
      <c r="Q74" s="52"/>
      <c r="R74" s="52"/>
      <c r="S74" s="52"/>
      <c r="T74" s="52"/>
      <c r="U74" s="52"/>
      <c r="V74" s="52"/>
      <c r="W74" s="52"/>
      <c r="X74" s="22"/>
    </row>
    <row r="75" ht="15" customHeight="1">
      <c r="A75" s="356" t="s">
        <v>41</v>
      </c>
      <c r="B75"/>
      <c r="J75"/>
      <c r="X75" s="46"/>
    </row>
    <row r="76" ht="15" customHeight="1">
      <c r="A76" s="356"/>
      <c r="B76"/>
      <c r="J76"/>
      <c r="X76" s="46"/>
    </row>
    <row r="77" ht="15" customHeight="1">
      <c r="A77" s="356"/>
      <c r="B77"/>
      <c r="J77"/>
      <c r="X77" s="46"/>
    </row>
    <row r="78" ht="15" customHeight="1">
      <c r="A78" s="356"/>
      <c r="B78"/>
      <c r="J78"/>
      <c r="X78" s="46"/>
    </row>
    <row r="79" ht="15" customHeight="1">
      <c r="A79" s="356"/>
      <c r="B79"/>
      <c r="J79"/>
      <c r="X79" s="46"/>
    </row>
    <row r="80" spans="1:24" ht="15" customHeight="1">
      <c r="A80" s="29"/>
      <c r="B80" s="47"/>
      <c r="C80" s="47"/>
      <c r="D80" s="47"/>
      <c r="E80" s="47"/>
      <c r="F80" s="47"/>
      <c r="G80" s="48"/>
      <c r="H80" s="48"/>
      <c r="I80" s="47"/>
      <c r="J80" s="47"/>
      <c r="K80" s="47"/>
      <c r="L80" s="47"/>
      <c r="M80" s="47"/>
      <c r="N80" s="47"/>
      <c r="O80" s="47"/>
      <c r="P80" s="47"/>
      <c r="Q80" s="47"/>
      <c r="R80" s="47"/>
      <c r="S80" s="47"/>
      <c r="T80" s="47"/>
      <c r="U80" s="47"/>
      <c r="V80" s="47"/>
      <c r="W80" s="47"/>
      <c r="X80" s="49"/>
    </row>
    <row r="81" spans="1:27" ht="20.100000000000001" customHeight="1">
      <c r="A81" s="45"/>
      <c r="B81" s="2" t="s">
        <v>42</v>
      </c>
      <c r="X81" s="46"/>
    </row>
    <row r="82" spans="1:27" ht="20.100000000000001" customHeight="1">
      <c r="A82" s="45"/>
      <c r="B82" s="2" t="s">
        <v>43</v>
      </c>
      <c r="X82" s="46"/>
    </row>
    <row r="83" spans="1:27" ht="20.100000000000001" customHeight="1">
      <c r="A83" s="45"/>
      <c r="B83" s="2" t="s">
        <v>44</v>
      </c>
      <c r="X83" s="46"/>
    </row>
    <row r="84" spans="1:27" ht="20.100000000000001" customHeight="1">
      <c r="A84" s="45"/>
      <c r="B84" s="2" t="s">
        <v>45</v>
      </c>
      <c r="X84" s="46"/>
    </row>
    <row r="85" spans="1:27" ht="20.100000000000001" customHeight="1">
      <c r="A85" s="260"/>
      <c r="B85" s="47" t="s">
        <v>46</v>
      </c>
      <c r="C85" s="47"/>
      <c r="D85" s="47"/>
      <c r="E85" s="47"/>
      <c r="F85" s="47"/>
      <c r="G85" s="48"/>
      <c r="H85" s="48"/>
      <c r="I85" s="47"/>
      <c r="J85" s="47"/>
      <c r="K85" s="47"/>
      <c r="L85" s="47"/>
      <c r="M85" s="47"/>
      <c r="N85" s="47"/>
      <c r="O85" s="47"/>
      <c r="P85" s="47"/>
      <c r="Q85" s="47"/>
      <c r="R85" s="47"/>
      <c r="S85" s="47"/>
      <c r="T85" s="47"/>
      <c r="U85" s="47"/>
      <c r="V85" s="47"/>
      <c r="W85" s="47"/>
      <c r="X85" s="49"/>
    </row>
    <row r="86" spans="1:27" ht="20.100000000000001" customHeight="1">
      <c r="S86" s="2" t="str">
        <f>'1週'!S86</f>
        <v>PJ20-1-2022-0624</v>
      </c>
      <c r="Y86" s="2"/>
      <c r="AA86" s="2"/>
    </row>
  </sheetData>
  <mergeCells count="256">
    <mergeCell ref="I19:J19"/>
    <mergeCell ref="M19:N19"/>
    <mergeCell ref="O19:P19"/>
    <mergeCell ref="Q19:R19"/>
    <mergeCell ref="I15:J15"/>
    <mergeCell ref="K15:L15"/>
    <mergeCell ref="M15:N15"/>
    <mergeCell ref="O15:P15"/>
    <mergeCell ref="Q15:R15"/>
    <mergeCell ref="I17:J17"/>
    <mergeCell ref="K17:L17"/>
    <mergeCell ref="M17:N17"/>
    <mergeCell ref="O17:P17"/>
    <mergeCell ref="Q17:R17"/>
    <mergeCell ref="I16:J16"/>
    <mergeCell ref="K16:L16"/>
    <mergeCell ref="M16:N16"/>
    <mergeCell ref="O16:P16"/>
    <mergeCell ref="Q16:R16"/>
    <mergeCell ref="K19:L19"/>
    <mergeCell ref="A61:A65"/>
    <mergeCell ref="I61:I65"/>
    <mergeCell ref="A68:A72"/>
    <mergeCell ref="A75:A79"/>
    <mergeCell ref="U57:V57"/>
    <mergeCell ref="W57:X57"/>
    <mergeCell ref="I58:J58"/>
    <mergeCell ref="K58:L58"/>
    <mergeCell ref="M58:N58"/>
    <mergeCell ref="O58:P58"/>
    <mergeCell ref="Q58:R58"/>
    <mergeCell ref="S58:T58"/>
    <mergeCell ref="U58:V58"/>
    <mergeCell ref="W58:X58"/>
    <mergeCell ref="I57:J57"/>
    <mergeCell ref="K57:L57"/>
    <mergeCell ref="M57:N57"/>
    <mergeCell ref="O57:P57"/>
    <mergeCell ref="Q57:R57"/>
    <mergeCell ref="S57:T57"/>
    <mergeCell ref="I36:J36"/>
    <mergeCell ref="K36:L36"/>
    <mergeCell ref="M36:N36"/>
    <mergeCell ref="O36:P36"/>
    <mergeCell ref="Q36:R36"/>
    <mergeCell ref="S36:T36"/>
    <mergeCell ref="U36:V36"/>
    <mergeCell ref="W36:X36"/>
    <mergeCell ref="I54:J54"/>
    <mergeCell ref="K54:L54"/>
    <mergeCell ref="M54:N54"/>
    <mergeCell ref="O54:P54"/>
    <mergeCell ref="Q54:R54"/>
    <mergeCell ref="S54:T54"/>
    <mergeCell ref="U54:V54"/>
    <mergeCell ref="W54:X54"/>
    <mergeCell ref="U38:V38"/>
    <mergeCell ref="W38:X38"/>
    <mergeCell ref="I40:J40"/>
    <mergeCell ref="K40:L40"/>
    <mergeCell ref="M40:N40"/>
    <mergeCell ref="O40:P40"/>
    <mergeCell ref="Q40:R40"/>
    <mergeCell ref="S40:T40"/>
    <mergeCell ref="I32:J32"/>
    <mergeCell ref="K32:L32"/>
    <mergeCell ref="M32:N32"/>
    <mergeCell ref="O32:P32"/>
    <mergeCell ref="Q32:R32"/>
    <mergeCell ref="S32:T32"/>
    <mergeCell ref="U32:V32"/>
    <mergeCell ref="W32:X32"/>
    <mergeCell ref="I34:J34"/>
    <mergeCell ref="K34:L34"/>
    <mergeCell ref="M34:N34"/>
    <mergeCell ref="O34:P34"/>
    <mergeCell ref="Q34:R34"/>
    <mergeCell ref="S34:T34"/>
    <mergeCell ref="U34:V34"/>
    <mergeCell ref="W34:X34"/>
    <mergeCell ref="I28:J28"/>
    <mergeCell ref="K28:L28"/>
    <mergeCell ref="M28:N28"/>
    <mergeCell ref="O28:P28"/>
    <mergeCell ref="Q28:R28"/>
    <mergeCell ref="S28:T28"/>
    <mergeCell ref="U28:V28"/>
    <mergeCell ref="W28:X28"/>
    <mergeCell ref="I30:J30"/>
    <mergeCell ref="K30:L30"/>
    <mergeCell ref="M30:N30"/>
    <mergeCell ref="O30:P30"/>
    <mergeCell ref="Q30:R30"/>
    <mergeCell ref="S30:T30"/>
    <mergeCell ref="U30:V30"/>
    <mergeCell ref="W30:X30"/>
    <mergeCell ref="I24:J24"/>
    <mergeCell ref="K24:L24"/>
    <mergeCell ref="M24:N24"/>
    <mergeCell ref="O24:P24"/>
    <mergeCell ref="Q24:R24"/>
    <mergeCell ref="S24:T24"/>
    <mergeCell ref="U24:V24"/>
    <mergeCell ref="W24:X24"/>
    <mergeCell ref="I26:J26"/>
    <mergeCell ref="K26:L26"/>
    <mergeCell ref="M26:N26"/>
    <mergeCell ref="O26:P26"/>
    <mergeCell ref="Q26:R26"/>
    <mergeCell ref="S26:T26"/>
    <mergeCell ref="U26:V26"/>
    <mergeCell ref="W26:X26"/>
    <mergeCell ref="I20:J20"/>
    <mergeCell ref="K20:L20"/>
    <mergeCell ref="M20:N20"/>
    <mergeCell ref="O20:P20"/>
    <mergeCell ref="Q20:R20"/>
    <mergeCell ref="S20:T20"/>
    <mergeCell ref="U20:V20"/>
    <mergeCell ref="W20:X20"/>
    <mergeCell ref="I22:J22"/>
    <mergeCell ref="K22:L22"/>
    <mergeCell ref="M22:N22"/>
    <mergeCell ref="O22:P22"/>
    <mergeCell ref="Q22:R22"/>
    <mergeCell ref="S22:T22"/>
    <mergeCell ref="U22:V22"/>
    <mergeCell ref="W22:X22"/>
    <mergeCell ref="S16:T16"/>
    <mergeCell ref="U16:V16"/>
    <mergeCell ref="W16:X16"/>
    <mergeCell ref="I18:J18"/>
    <mergeCell ref="K18:L18"/>
    <mergeCell ref="M18:N18"/>
    <mergeCell ref="O18:P18"/>
    <mergeCell ref="Q18:R18"/>
    <mergeCell ref="S18:T18"/>
    <mergeCell ref="U18:V18"/>
    <mergeCell ref="W18:X18"/>
    <mergeCell ref="A13:H13"/>
    <mergeCell ref="I13:J13"/>
    <mergeCell ref="K13:L13"/>
    <mergeCell ref="M13:N13"/>
    <mergeCell ref="O13:P13"/>
    <mergeCell ref="Q13:R13"/>
    <mergeCell ref="S13:T13"/>
    <mergeCell ref="U13:V13"/>
    <mergeCell ref="W13:X13"/>
    <mergeCell ref="F12:H12"/>
    <mergeCell ref="I12:J12"/>
    <mergeCell ref="K12:L12"/>
    <mergeCell ref="M12:N12"/>
    <mergeCell ref="O12:P12"/>
    <mergeCell ref="Q12:R12"/>
    <mergeCell ref="S12:T12"/>
    <mergeCell ref="U12:V12"/>
    <mergeCell ref="W12:X12"/>
    <mergeCell ref="W10:X10"/>
    <mergeCell ref="G11:H11"/>
    <mergeCell ref="I11:J11"/>
    <mergeCell ref="K11:L11"/>
    <mergeCell ref="M11:N11"/>
    <mergeCell ref="O11:P11"/>
    <mergeCell ref="Q11:R11"/>
    <mergeCell ref="S11:T11"/>
    <mergeCell ref="U11:V11"/>
    <mergeCell ref="W11:X11"/>
    <mergeCell ref="I9:J9"/>
    <mergeCell ref="K9:L9"/>
    <mergeCell ref="M9:N9"/>
    <mergeCell ref="O9:P9"/>
    <mergeCell ref="Q9:R9"/>
    <mergeCell ref="S9:T9"/>
    <mergeCell ref="U9:V9"/>
    <mergeCell ref="G10:H10"/>
    <mergeCell ref="I10:J10"/>
    <mergeCell ref="K10:L10"/>
    <mergeCell ref="M10:N10"/>
    <mergeCell ref="O10:P10"/>
    <mergeCell ref="Q10:R10"/>
    <mergeCell ref="S10:T10"/>
    <mergeCell ref="U10:V10"/>
    <mergeCell ref="A1:X1"/>
    <mergeCell ref="K7:L7"/>
    <mergeCell ref="M7:O7"/>
    <mergeCell ref="P7:S7"/>
    <mergeCell ref="U7:X7"/>
    <mergeCell ref="I8:J8"/>
    <mergeCell ref="K8:L8"/>
    <mergeCell ref="M8:N8"/>
    <mergeCell ref="O8:P8"/>
    <mergeCell ref="Q8:R8"/>
    <mergeCell ref="S8:T8"/>
    <mergeCell ref="U8:V8"/>
    <mergeCell ref="S3:U5"/>
    <mergeCell ref="V3:X5"/>
    <mergeCell ref="U40:V40"/>
    <mergeCell ref="W40:X40"/>
    <mergeCell ref="I38:J38"/>
    <mergeCell ref="K38:L38"/>
    <mergeCell ref="M38:N38"/>
    <mergeCell ref="O38:P38"/>
    <mergeCell ref="Q38:R38"/>
    <mergeCell ref="S38:T38"/>
    <mergeCell ref="U42:V42"/>
    <mergeCell ref="W42:X42"/>
    <mergeCell ref="I44:J44"/>
    <mergeCell ref="K44:L44"/>
    <mergeCell ref="M44:N44"/>
    <mergeCell ref="O44:P44"/>
    <mergeCell ref="Q44:R44"/>
    <mergeCell ref="S44:T44"/>
    <mergeCell ref="U44:V44"/>
    <mergeCell ref="W44:X44"/>
    <mergeCell ref="I42:J42"/>
    <mergeCell ref="K42:L42"/>
    <mergeCell ref="M42:N42"/>
    <mergeCell ref="O42:P42"/>
    <mergeCell ref="Q42:R42"/>
    <mergeCell ref="S42:T42"/>
    <mergeCell ref="U46:V46"/>
    <mergeCell ref="W46:X46"/>
    <mergeCell ref="I48:J48"/>
    <mergeCell ref="K48:L48"/>
    <mergeCell ref="M48:N48"/>
    <mergeCell ref="O48:P48"/>
    <mergeCell ref="Q48:R48"/>
    <mergeCell ref="S48:T48"/>
    <mergeCell ref="U48:V48"/>
    <mergeCell ref="W48:X48"/>
    <mergeCell ref="I46:J46"/>
    <mergeCell ref="K46:L46"/>
    <mergeCell ref="M46:N46"/>
    <mergeCell ref="O46:P46"/>
    <mergeCell ref="Q46:R46"/>
    <mergeCell ref="S46:T46"/>
    <mergeCell ref="U50:V50"/>
    <mergeCell ref="W50:X50"/>
    <mergeCell ref="I52:J52"/>
    <mergeCell ref="K52:L52"/>
    <mergeCell ref="M52:N52"/>
    <mergeCell ref="O52:P52"/>
    <mergeCell ref="Q52:R52"/>
    <mergeCell ref="S52:T52"/>
    <mergeCell ref="U52:V52"/>
    <mergeCell ref="W52:X52"/>
    <mergeCell ref="I50:J50"/>
    <mergeCell ref="K50:L50"/>
    <mergeCell ref="M50:N50"/>
    <mergeCell ref="O50:P50"/>
    <mergeCell ref="Q50:R50"/>
    <mergeCell ref="S50:T50"/>
    <mergeCell ref="S15:T15"/>
    <mergeCell ref="U15:V15"/>
    <mergeCell ref="S17:T17"/>
    <mergeCell ref="U17:V17"/>
  </mergeCells>
  <phoneticPr fontId="7"/>
  <conditionalFormatting sqref="B16">
    <cfRule type="expression" dxfId="189" priority="784">
      <formula>AND(W16&lt;&gt;0,B16="")</formula>
    </cfRule>
  </conditionalFormatting>
  <conditionalFormatting sqref="B18">
    <cfRule type="expression" dxfId="188" priority="783">
      <formula>AND(W18&lt;&gt;0,B18="")</formula>
    </cfRule>
  </conditionalFormatting>
  <conditionalFormatting sqref="B20">
    <cfRule type="expression" dxfId="187" priority="4">
      <formula>AND(W20&lt;&gt;0,B20="")</formula>
    </cfRule>
  </conditionalFormatting>
  <conditionalFormatting sqref="B22">
    <cfRule type="expression" dxfId="186" priority="3">
      <formula>AND(W22&lt;&gt;0,B22="")</formula>
    </cfRule>
  </conditionalFormatting>
  <conditionalFormatting sqref="B24">
    <cfRule type="expression" dxfId="185" priority="780">
      <formula>AND(W24&lt;&gt;0,B24="")</formula>
    </cfRule>
  </conditionalFormatting>
  <conditionalFormatting sqref="B26">
    <cfRule type="expression" dxfId="184" priority="779">
      <formula>AND(W26&lt;&gt;0,B26="")</formula>
    </cfRule>
  </conditionalFormatting>
  <conditionalFormatting sqref="B28">
    <cfRule type="expression" dxfId="183" priority="778">
      <formula>AND(W28&lt;&gt;0,B28="")</formula>
    </cfRule>
  </conditionalFormatting>
  <conditionalFormatting sqref="B30">
    <cfRule type="expression" dxfId="182" priority="777">
      <formula>AND(W30&lt;&gt;0,B30="")</formula>
    </cfRule>
  </conditionalFormatting>
  <conditionalFormatting sqref="B32">
    <cfRule type="expression" dxfId="181" priority="776">
      <formula>AND(W32&lt;&gt;0,B32="")</formula>
    </cfRule>
  </conditionalFormatting>
  <conditionalFormatting sqref="B34">
    <cfRule type="expression" dxfId="180" priority="775">
      <formula>AND(W34&lt;&gt;0,B34="")</formula>
    </cfRule>
  </conditionalFormatting>
  <conditionalFormatting sqref="B36">
    <cfRule type="expression" dxfId="179" priority="774">
      <formula>AND(W36&lt;&gt;0,B36="")</formula>
    </cfRule>
  </conditionalFormatting>
  <conditionalFormatting sqref="B38">
    <cfRule type="expression" dxfId="178" priority="773">
      <formula>AND(W38&lt;&gt;0,B38="")</formula>
    </cfRule>
  </conditionalFormatting>
  <conditionalFormatting sqref="B40">
    <cfRule type="expression" dxfId="177" priority="772">
      <formula>AND(W40&lt;&gt;0,B40="")</formula>
    </cfRule>
  </conditionalFormatting>
  <conditionalFormatting sqref="B42">
    <cfRule type="expression" dxfId="176" priority="771">
      <formula>AND(W42&lt;&gt;0,B42="")</formula>
    </cfRule>
  </conditionalFormatting>
  <conditionalFormatting sqref="B44">
    <cfRule type="expression" dxfId="175" priority="770">
      <formula>AND(W44&lt;&gt;0,B44="")</formula>
    </cfRule>
  </conditionalFormatting>
  <conditionalFormatting sqref="B46">
    <cfRule type="expression" dxfId="174" priority="769">
      <formula>AND(W46&lt;&gt;0,B46="")</formula>
    </cfRule>
  </conditionalFormatting>
  <conditionalFormatting sqref="B48">
    <cfRule type="expression" dxfId="173" priority="768">
      <formula>AND(W48&lt;&gt;0,B48="")</formula>
    </cfRule>
  </conditionalFormatting>
  <conditionalFormatting sqref="B50">
    <cfRule type="expression" dxfId="172" priority="767">
      <formula>AND(W50&lt;&gt;0,B50="")</formula>
    </cfRule>
  </conditionalFormatting>
  <conditionalFormatting sqref="B52">
    <cfRule type="expression" dxfId="171" priority="290">
      <formula>AND(W52&lt;&gt;0,B52="")</formula>
    </cfRule>
  </conditionalFormatting>
  <conditionalFormatting sqref="B54">
    <cfRule type="expression" dxfId="170" priority="289">
      <formula>AND(W54&lt;&gt;0,B54="")</formula>
    </cfRule>
  </conditionalFormatting>
  <conditionalFormatting sqref="C6:C7">
    <cfRule type="expression" dxfId="169" priority="7">
      <formula>OR($C6="",$C6=0)</formula>
    </cfRule>
  </conditionalFormatting>
  <conditionalFormatting sqref="D16 D20 D22 D24 D26 D28 D30 D32 D34 D36 D38 D40 D42 D44 D46 D48 D50 D52 D54">
    <cfRule type="expression" dxfId="168" priority="8">
      <formula>OR( AND(B16&lt;&gt;"",LEFT(B16,2)&lt;&gt;"88",LEFT(D15,2)="99"), AND(D16&lt;&gt;"",LEFT(B16,2)="88",LEFT(D15,2)&lt;&gt;"99") )</formula>
    </cfRule>
    <cfRule type="expression" dxfId="167" priority="785">
      <formula>AND(W16&lt;&gt;0,D16="")</formula>
    </cfRule>
  </conditionalFormatting>
  <conditionalFormatting sqref="D18">
    <cfRule type="expression" dxfId="166" priority="1">
      <formula>OR( AND(B18&lt;&gt;"",LEFT(B18,2)&lt;&gt;"88",LEFT(D17,2)="99"), AND(D18&lt;&gt;"",LEFT(B18,2)="88",LEFT(D17,2)&lt;&gt;"99") )</formula>
    </cfRule>
    <cfRule type="expression" dxfId="165" priority="2">
      <formula>AND(W18&lt;&gt;0,D18="")</formula>
    </cfRule>
  </conditionalFormatting>
  <conditionalFormatting sqref="I13:V13">
    <cfRule type="cellIs" dxfId="164" priority="1397" operator="notEqual">
      <formula>I57</formula>
    </cfRule>
  </conditionalFormatting>
  <conditionalFormatting sqref="I57:X57">
    <cfRule type="cellIs" dxfId="161" priority="786" stopIfTrue="1" operator="notEqual">
      <formula>I13</formula>
    </cfRule>
  </conditionalFormatting>
  <conditionalFormatting sqref="W13:X13">
    <cfRule type="cellIs" dxfId="160" priority="1355" operator="notEqual">
      <formula>W57</formula>
    </cfRule>
  </conditionalFormatting>
  <dataValidations disablePrompts="1" count="1">
    <dataValidation type="list" allowBlank="1" showInputMessage="1" showErrorMessage="1" sqref="D16 D54 D20 D22 D24 D26 D28 D30 D32 D34 D36 D38 D40 D42 D44 D46 D48 D50 D52 D18" xr:uid="{00000000-0002-0000-0100-000000000000}">
      <formula1>IF($B16="",工種_全部,IF(LEFT($B16,2)="88",工種_間接,工種_通常))</formula1>
    </dataValidation>
  </dataValidations>
  <printOptions horizontalCentered="1"/>
  <pageMargins left="0.43307086614173229" right="0.23622047244094491" top="0.31496062992125984" bottom="0.11811023622047245" header="0.15748031496062992" footer="0.23622047244094491"/>
  <pageSetup paperSize="9" scale="59" fitToHeight="10" orientation="portrait" r:id="rId1"/>
  <headerFooter alignWithMargins="0"/>
  <ignoredErrors>
    <ignoredError sqref="C16:C17 C19:C20 C23:C53" formula="1"/>
    <ignoredError sqref="B3" unlocked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5" id="{CFD8DD3B-3746-478A-BF9A-D2E802A2D14B}">
            <xm:f>AND(INDEX(PJ!$E:$E,MATCH($B16,PJ!$C:$C,0))&gt;DATE($B$3,$C$3,I$9),I16&lt;&gt;"")</xm:f>
            <x14:dxf>
              <font>
                <color rgb="FF9C0006"/>
              </font>
              <fill>
                <patternFill>
                  <bgColor rgb="FFFFC7CE"/>
                </patternFill>
              </fill>
            </x14:dxf>
          </x14:cfRule>
          <x14:cfRule type="expression" priority="6" id="{F1AB86B5-1F81-4910-A5AF-AB227F1A1EF2}">
            <xm:f>AND(INDEX(PJ!$F:$F,MATCH($B16,PJ!$C:$C,0))&lt;DATE($B$3,$C$3,I$9),I16&lt;&gt;"")</xm:f>
            <x14:dxf>
              <font>
                <color rgb="FF9C0006"/>
              </font>
              <fill>
                <patternFill>
                  <bgColor rgb="FFFFC7CE"/>
                </patternFill>
              </fill>
            </x14:dxf>
          </x14:cfRule>
          <xm:sqref>I16:V16 I18:V18 I20:V20 I22:V22 I24:V24 I26:V26 I28:V28 I30:V30 I32:V32 I34:V34 I36:V36 I38:V38 I40:V40 I42:V42 I44:V44 I46:V46 I48:V48 I50:V50 I52:V52 I54:V54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A86"/>
  <sheetViews>
    <sheetView showGridLines="0" zoomScaleNormal="100" zoomScaleSheetLayoutView="100" workbookViewId="0">
      <selection activeCell="AD15" sqref="AD15"/>
    </sheetView>
  </sheetViews>
  <sheetFormatPr defaultColWidth="8" defaultRowHeight="20.100000000000001" customHeight="1"/>
  <cols>
    <col min="1" max="1" width="2.625" style="4" customWidth="1"/>
    <col min="2" max="2" width="11.375" style="2" customWidth="1"/>
    <col min="3" max="3" width="23.125" style="2" customWidth="1"/>
    <col min="4" max="4" width="13.875" style="2" customWidth="1"/>
    <col min="5" max="5" width="31.125" style="2" customWidth="1"/>
    <col min="6" max="6" width="6" style="2" customWidth="1"/>
    <col min="7" max="7" width="5.375" style="4" customWidth="1"/>
    <col min="8" max="8" width="1.875" style="4" customWidth="1"/>
    <col min="9" max="24" width="3.375" style="2" customWidth="1"/>
    <col min="25" max="25" width="0.375" style="39" customWidth="1"/>
    <col min="26" max="26" width="8" style="2" customWidth="1"/>
    <col min="27" max="27" width="8" style="39"/>
    <col min="28" max="16384" width="8" style="2"/>
  </cols>
  <sheetData>
    <row r="1" spans="1:27" ht="25.5">
      <c r="A1" s="346" t="s">
        <v>0</v>
      </c>
      <c r="B1" s="346"/>
      <c r="C1" s="346"/>
      <c r="D1" s="346"/>
      <c r="E1" s="346"/>
      <c r="F1" s="346"/>
      <c r="G1" s="346"/>
      <c r="H1" s="346"/>
      <c r="I1" s="346"/>
      <c r="J1" s="346"/>
      <c r="K1" s="346"/>
      <c r="L1" s="346"/>
      <c r="M1" s="346"/>
      <c r="N1" s="346"/>
      <c r="O1" s="346"/>
      <c r="P1" s="346"/>
      <c r="Q1" s="346"/>
      <c r="R1" s="346"/>
      <c r="S1" s="346"/>
      <c r="T1" s="346"/>
      <c r="U1" s="346"/>
      <c r="V1" s="346"/>
      <c r="W1" s="346"/>
      <c r="X1" s="346"/>
      <c r="Y1" s="2"/>
      <c r="AA1" s="2"/>
    </row>
    <row r="2" spans="1:27" ht="19.5" customHeight="1">
      <c r="E2" s="5"/>
      <c r="H2" s="2"/>
      <c r="Q2" s="245"/>
      <c r="R2" s="46"/>
      <c r="S2" s="36"/>
      <c r="T2" s="34" t="s">
        <v>1</v>
      </c>
      <c r="U2" s="35"/>
      <c r="V2" s="37"/>
      <c r="W2" s="34" t="s">
        <v>2</v>
      </c>
      <c r="X2" s="38"/>
      <c r="Z2" s="53"/>
    </row>
    <row r="3" spans="1:27" ht="19.5" customHeight="1">
      <c r="B3" s="3">
        <f>'1週'!B3</f>
        <v>2026</v>
      </c>
      <c r="C3" s="57">
        <f>'1週'!C3</f>
        <v>7</v>
      </c>
      <c r="D3" s="121"/>
      <c r="E3" s="5"/>
      <c r="H3" s="2"/>
      <c r="I3" s="6"/>
      <c r="R3" s="46"/>
      <c r="S3" s="363"/>
      <c r="T3" s="364"/>
      <c r="U3" s="365"/>
      <c r="V3" s="363"/>
      <c r="W3" s="364"/>
      <c r="X3" s="365"/>
      <c r="Z3" s="53"/>
    </row>
    <row r="4" spans="1:27" ht="19.5" customHeight="1">
      <c r="C4" s="18">
        <f>IF('1週'!C3="","",IF('1週'!C4=1,3,2))</f>
        <v>3</v>
      </c>
      <c r="D4" s="113"/>
      <c r="E4" s="7"/>
      <c r="F4" s="7"/>
      <c r="G4" s="7"/>
      <c r="H4" s="7"/>
      <c r="I4" s="8"/>
      <c r="J4" s="7"/>
      <c r="K4" s="7"/>
      <c r="L4" s="7"/>
      <c r="M4" s="7"/>
      <c r="N4" s="7"/>
      <c r="O4" s="7"/>
      <c r="P4" s="7"/>
      <c r="Q4" s="1"/>
      <c r="R4" s="54"/>
      <c r="S4" s="366"/>
      <c r="T4" s="367"/>
      <c r="U4" s="368"/>
      <c r="V4" s="366"/>
      <c r="W4" s="367"/>
      <c r="X4" s="368"/>
    </row>
    <row r="5" spans="1:27" ht="19.5" customHeight="1">
      <c r="A5" s="9"/>
      <c r="B5" s="7"/>
      <c r="C5" s="10"/>
      <c r="D5" s="10"/>
      <c r="E5" s="9"/>
      <c r="F5" s="7"/>
      <c r="G5" s="7"/>
      <c r="H5" s="7"/>
      <c r="I5" s="7"/>
      <c r="J5" s="7"/>
      <c r="K5" s="7"/>
      <c r="L5" s="7"/>
      <c r="M5" s="7"/>
      <c r="N5" s="7"/>
      <c r="O5" s="7"/>
      <c r="P5" s="7"/>
      <c r="Q5" s="7"/>
      <c r="R5" s="54"/>
      <c r="S5" s="369"/>
      <c r="T5" s="370"/>
      <c r="U5" s="371"/>
      <c r="V5" s="369"/>
      <c r="W5" s="370"/>
      <c r="X5" s="371"/>
    </row>
    <row r="6" spans="1:27" ht="19.5" customHeight="1">
      <c r="B6" s="33" t="s">
        <v>3</v>
      </c>
      <c r="C6" s="56" t="str">
        <f>'1週'!C6</f>
        <v>FPTジャパン</v>
      </c>
      <c r="D6" s="122"/>
      <c r="H6" s="2"/>
    </row>
    <row r="7" spans="1:27" ht="19.5" customHeight="1">
      <c r="B7" s="33" t="s">
        <v>5</v>
      </c>
      <c r="C7" s="56" t="str">
        <f>'1週'!C7</f>
        <v>LE NHUT THIEN</v>
      </c>
      <c r="D7" s="122"/>
      <c r="H7" s="2"/>
      <c r="K7" s="357"/>
      <c r="L7" s="358"/>
      <c r="M7" s="372"/>
      <c r="N7" s="373"/>
      <c r="O7" s="373"/>
      <c r="P7" s="374"/>
      <c r="Q7" s="374"/>
      <c r="R7" s="374"/>
      <c r="S7" s="374"/>
      <c r="T7" s="261"/>
      <c r="U7" s="374"/>
      <c r="V7" s="374"/>
      <c r="W7" s="375"/>
      <c r="X7" s="375"/>
    </row>
    <row r="8" spans="1:27" ht="18" customHeight="1">
      <c r="G8" s="2"/>
      <c r="H8" s="2"/>
      <c r="I8" s="336" t="s">
        <v>8</v>
      </c>
      <c r="J8" s="337"/>
      <c r="K8" s="336" t="s">
        <v>9</v>
      </c>
      <c r="L8" s="337"/>
      <c r="M8" s="336" t="s">
        <v>10</v>
      </c>
      <c r="N8" s="337"/>
      <c r="O8" s="336" t="s">
        <v>11</v>
      </c>
      <c r="P8" s="337"/>
      <c r="Q8" s="336" t="s">
        <v>12</v>
      </c>
      <c r="R8" s="337"/>
      <c r="S8" s="336" t="s">
        <v>13</v>
      </c>
      <c r="T8" s="337"/>
      <c r="U8" s="336" t="s">
        <v>14</v>
      </c>
      <c r="V8" s="337"/>
      <c r="W8" s="11"/>
      <c r="Y8" s="2"/>
      <c r="AA8" s="2"/>
    </row>
    <row r="9" spans="1:27" s="4" customFormat="1" ht="18" customHeight="1">
      <c r="B9" s="12"/>
      <c r="F9" s="13"/>
      <c r="H9" s="14"/>
      <c r="I9" s="344">
        <f>'2週'!U9+1</f>
        <v>13</v>
      </c>
      <c r="J9" s="345"/>
      <c r="K9" s="378">
        <f>I9+1</f>
        <v>14</v>
      </c>
      <c r="L9" s="379"/>
      <c r="M9" s="378">
        <f>K9+1</f>
        <v>15</v>
      </c>
      <c r="N9" s="379"/>
      <c r="O9" s="378">
        <f>M9+1</f>
        <v>16</v>
      </c>
      <c r="P9" s="379"/>
      <c r="Q9" s="378">
        <f>O9+1</f>
        <v>17</v>
      </c>
      <c r="R9" s="379"/>
      <c r="S9" s="378">
        <f>Q9+1</f>
        <v>18</v>
      </c>
      <c r="T9" s="379"/>
      <c r="U9" s="378">
        <f>S9+1</f>
        <v>19</v>
      </c>
      <c r="V9" s="379"/>
    </row>
    <row r="10" ht="18" customHeight="1">
      <c r="A10" s="25" t="s">
        <v>15</v>
      </c>
      <c r="B10" s="26" t="s">
        <v>16</v>
      </c>
      <c r="C10" s="27" t="s">
        <v>17</v>
      </c>
      <c r="D10" s="27" t="s">
        <v>18</v>
      </c>
      <c r="E10" s="25" t="s">
        <v>19</v>
      </c>
      <c r="F10" s="28" t="s">
        <v>20</v>
      </c>
      <c r="G10" s="347" t="s">
        <v>21</v>
      </c>
      <c r="H10" s="329"/>
      <c r="I10" s="342">
        <v>0.375</v>
      </c>
      <c r="J10" s="343"/>
      <c r="K10" s="342">
        <v>0.375</v>
      </c>
      <c r="L10" s="343"/>
      <c r="M10" s="342">
        <v>0.375</v>
      </c>
      <c r="N10" s="343"/>
      <c r="O10" s="342">
        <v>0.375</v>
      </c>
      <c r="P10" s="343"/>
      <c r="Q10" s="342">
        <v>0.375</v>
      </c>
      <c r="R10" s="343"/>
      <c r="S10" s="342"/>
      <c r="T10" s="343"/>
      <c r="U10" s="342"/>
      <c r="V10" s="343"/>
      <c r="W10" s="338" t="s">
        <v>22</v>
      </c>
      <c r="X10" s="339"/>
    </row>
    <row r="11" ht="18" customHeight="1">
      <c r="A11" s="29"/>
      <c r="B11" s="114" t="s">
        <v>23</v>
      </c>
      <c r="C11" s="27" t="s">
        <v>24</v>
      </c>
      <c r="D11" s="27" t="s">
        <v>25</v>
      </c>
      <c r="E11" s="29"/>
      <c r="F11" s="30" t="s">
        <v>26</v>
      </c>
      <c r="G11" s="348" t="s">
        <v>27</v>
      </c>
      <c r="H11" s="349"/>
      <c r="I11" s="334">
        <v>0.7708333333</v>
      </c>
      <c r="J11" s="335"/>
      <c r="K11" s="334">
        <v>0.7708333333</v>
      </c>
      <c r="L11" s="335"/>
      <c r="M11" s="334">
        <v>0.7708333333</v>
      </c>
      <c r="N11" s="335"/>
      <c r="O11" s="334">
        <v>0.7708333333</v>
      </c>
      <c r="P11" s="335"/>
      <c r="Q11" s="334">
        <v>0.7708333333</v>
      </c>
      <c r="R11" s="335"/>
      <c r="S11" s="334"/>
      <c r="T11" s="335"/>
      <c r="U11" s="334"/>
      <c r="V11" s="335"/>
      <c r="W11" s="340">
        <f>'2週'!W11+W13</f>
        <v>5.625</v>
      </c>
      <c r="X11" s="341"/>
      <c r="Z11" s="4"/>
    </row>
    <row r="12" ht="17.25" customHeight="1">
      <c r="A12" s="31"/>
      <c r="B12" s="32"/>
      <c r="C12" s="32"/>
      <c r="D12" s="32"/>
      <c r="E12" s="32"/>
      <c r="F12" s="350" t="s">
        <v>28</v>
      </c>
      <c r="G12" s="351"/>
      <c r="H12" s="352"/>
      <c r="I12" s="332">
        <v>0.0416666667</v>
      </c>
      <c r="J12" s="333"/>
      <c r="K12" s="332">
        <v>0.0416666667</v>
      </c>
      <c r="L12" s="333"/>
      <c r="M12" s="332">
        <v>0.0416666667</v>
      </c>
      <c r="N12" s="333"/>
      <c r="O12" s="332">
        <v>0.0416666667</v>
      </c>
      <c r="P12" s="333"/>
      <c r="Q12" s="332">
        <v>0.0416666667</v>
      </c>
      <c r="R12" s="333"/>
      <c r="S12" s="332"/>
      <c r="T12" s="333"/>
      <c r="U12" s="332"/>
      <c r="V12" s="333"/>
      <c r="W12" s="376" t="s">
        <v>29</v>
      </c>
      <c r="X12" s="377"/>
    </row>
    <row r="13" spans="1:27" ht="20.100000000000001" customHeight="1">
      <c r="A13" s="353" t="s">
        <v>29</v>
      </c>
      <c r="B13" s="354"/>
      <c r="C13" s="354"/>
      <c r="D13" s="354"/>
      <c r="E13" s="354"/>
      <c r="F13" s="354"/>
      <c r="G13" s="354"/>
      <c r="H13" s="355"/>
      <c r="I13" s="330">
        <f>TIMEVALUE(TEXT(I11-I10-I12,"h:mm:ss"))</f>
        <v>0.375</v>
      </c>
      <c r="J13" s="331"/>
      <c r="K13" s="330">
        <f>TIMEVALUE(TEXT(K11-K10-K12,"h:mm:ss"))</f>
        <v>0.375</v>
      </c>
      <c r="L13" s="331"/>
      <c r="M13" s="330">
        <f>TIMEVALUE(TEXT(M11-M10-M12,"h:mm:ss"))</f>
        <v>0.375</v>
      </c>
      <c r="N13" s="331"/>
      <c r="O13" s="330">
        <f>TIMEVALUE(TEXT(O11-O10-O12,"h:mm:ss"))</f>
        <v>0.375</v>
      </c>
      <c r="P13" s="331"/>
      <c r="Q13" s="330">
        <f>TIMEVALUE(TEXT(Q11-Q10-Q12,"h:mm:ss"))</f>
        <v>0.375</v>
      </c>
      <c r="R13" s="331"/>
      <c r="S13" s="330">
        <f>TIMEVALUE(TEXT(S11-S10-S12,"h:mm:ss"))</f>
        <v>0</v>
      </c>
      <c r="T13" s="331"/>
      <c r="U13" s="330">
        <f>TIMEVALUE(TEXT(U11-U10-U12,"h:mm:ss"))</f>
        <v>0</v>
      </c>
      <c r="V13" s="331"/>
      <c r="W13" s="361">
        <f>CEILING(SUM(I13:V13),"0:5")</f>
        <v>1.875</v>
      </c>
      <c r="X13" s="362"/>
    </row>
    <row r="14" spans="1:27" ht="8.25" customHeight="1">
      <c r="B14" s="15"/>
      <c r="C14" s="16"/>
      <c r="D14" s="4"/>
      <c r="E14" s="4"/>
      <c r="F14" s="13"/>
      <c r="W14" s="4"/>
      <c r="X14" s="4"/>
      <c r="Y14" s="2"/>
      <c r="AA14" s="2"/>
    </row>
    <row r="15" ht="18" customHeight="1">
      <c r="A15" s="25">
        <v>1</v>
      </c>
      <c r="B15" s="81">
        <f>IF($B16="","",INDEX(PJ!$A:$A,MATCH(B16,PJ!$C:$C,0)))</f>
        <v>10000</v>
      </c>
      <c r="C15" s="82" t="str">
        <f>IF($B16="","",INDEX(PJ!$B:$B,MATCH(B16, PJ!$C:$C, 0)))</f>
        <v>Yokogawa</v>
      </c>
      <c r="D15" s="81" t="str">
        <f>IF(D16="","",INDEX(工種!$A$2:$A$83,MATCH(D16,工種!$B$2:$B$83,0),1))</f>
        <v>10102</v>
      </c>
      <c r="E15" s="40"/>
      <c r="F15" s="41"/>
      <c r="G15" s="23" t="s">
        <v>20</v>
      </c>
      <c r="H15" s="259"/>
      <c r="I15" s="328"/>
      <c r="J15" s="329"/>
      <c r="K15" s="328"/>
      <c r="L15" s="329"/>
      <c r="M15" s="328"/>
      <c r="N15" s="329"/>
      <c r="O15" s="328"/>
      <c r="P15" s="329"/>
      <c r="Q15" s="328"/>
      <c r="R15" s="329"/>
      <c r="S15" s="19"/>
      <c r="T15" s="20"/>
      <c r="U15" s="19"/>
      <c r="V15" s="20"/>
      <c r="W15" s="21"/>
      <c r="X15" s="22"/>
    </row>
    <row r="16" ht="18" customHeight="1">
      <c r="A16" s="29"/>
      <c r="B16" s="24">
        <v>10000</v>
      </c>
      <c r="C16" s="83" t="str">
        <f>IF($B16="","",INDEX(PJ!$D:$D,MATCH(B16, PJ!$C:$C, 0)))</f>
        <v xml:space="preserve">Rep Portal </v>
      </c>
      <c r="D16" s="146" t="inlineStr">
        <is>
          <t xml:space="preserve">製造：コーディング</t>
        </is>
      </c>
      <c r="E16" s="42" t="inlineStr">
        <is>
          <t xml:space="preserve">コーディング</t>
        </is>
      </c>
      <c r="F16" s="43"/>
      <c r="G16" s="24" t="s">
        <v>32</v>
      </c>
      <c r="H16" s="258"/>
      <c r="I16" s="334">
        <v>0.2708333333</v>
      </c>
      <c r="J16" s="335"/>
      <c r="K16" s="334">
        <v>0.2708333333</v>
      </c>
      <c r="L16" s="335"/>
      <c r="M16" s="334">
        <v>0.2291666667</v>
      </c>
      <c r="N16" s="335"/>
      <c r="O16" s="334">
        <v>0.2708333333</v>
      </c>
      <c r="P16" s="335"/>
      <c r="Q16" s="334">
        <v>0.2708333333</v>
      </c>
      <c r="R16" s="335"/>
      <c r="S16" s="334"/>
      <c r="T16" s="335"/>
      <c r="U16" s="334"/>
      <c r="V16" s="335"/>
      <c r="W16" s="340">
        <f>SUM(I16:V16)</f>
        <v>1.0416666666666667</v>
      </c>
      <c r="X16" s="341"/>
    </row>
    <row r="17" ht="18" customHeight="1">
      <c r="A17" s="25">
        <v>2</v>
      </c>
      <c r="B17" s="81">
        <f>IF($B18="","",INDEX(PJ!$A:$A,MATCH(B18,PJ!$C:$C,0)))</f>
        <v>10000</v>
      </c>
      <c r="C17" s="82" t="str">
        <f>IF($B18="","",INDEX(PJ!$B:$B,MATCH(B18, PJ!$C:$C, 0)))</f>
        <v>Yokogawa</v>
      </c>
      <c r="D17" s="81" t="str">
        <f>IF(D18="","",INDEX(工種!$A$2:$A$83,MATCH(D18,工種!$B$2:$B$83,0),1))</f>
        <v>30106</v>
      </c>
      <c r="E17" s="40"/>
      <c r="F17" s="41"/>
      <c r="G17" s="23" t="s">
        <v>20</v>
      </c>
      <c r="H17" s="259"/>
      <c r="I17" s="328"/>
      <c r="J17" s="329"/>
      <c r="K17" s="328"/>
      <c r="L17" s="329"/>
      <c r="M17" s="328"/>
      <c r="N17" s="329"/>
      <c r="O17" s="328"/>
      <c r="P17" s="329"/>
      <c r="Q17" s="328"/>
      <c r="R17" s="329"/>
      <c r="S17" s="19"/>
      <c r="T17" s="20"/>
      <c r="U17" s="19"/>
      <c r="V17" s="20"/>
      <c r="W17" s="19"/>
      <c r="X17" s="20"/>
    </row>
    <row r="18" ht="18" customHeight="1">
      <c r="A18" s="29"/>
      <c r="B18" s="24">
        <v>10000</v>
      </c>
      <c r="C18" s="83" t="str">
        <f>IF($B18="","",INDEX(PJ!$D:$D,MATCH(B18, PJ!$C:$C, 0)))</f>
        <v xml:space="preserve">Rep Portal </v>
      </c>
      <c r="D18" s="146" t="inlineStr">
        <is>
          <t xml:space="preserve">テスト：結合テスト実施</t>
        </is>
      </c>
      <c r="E18" s="42" t="inlineStr">
        <is>
          <t xml:space="preserve">結合テスト実施</t>
        </is>
      </c>
      <c r="F18" s="43"/>
      <c r="G18" s="24" t="s">
        <v>32</v>
      </c>
      <c r="H18" s="258"/>
      <c r="I18" s="334">
        <v>0.0833333333</v>
      </c>
      <c r="J18" s="335"/>
      <c r="K18" s="334">
        <v>0.0833333333</v>
      </c>
      <c r="L18" s="335"/>
      <c r="M18" s="334">
        <v>0.0833333333</v>
      </c>
      <c r="N18" s="335"/>
      <c r="O18" s="334">
        <v>0.0833333333</v>
      </c>
      <c r="P18" s="335"/>
      <c r="Q18" s="334">
        <v>0.0833333333</v>
      </c>
      <c r="R18" s="335"/>
      <c r="S18" s="334"/>
      <c r="T18" s="335"/>
      <c r="U18" s="334"/>
      <c r="V18" s="335"/>
      <c r="W18" s="340">
        <f>SUM(I18:V18)</f>
        <v>0.625</v>
      </c>
      <c r="X18" s="341"/>
    </row>
    <row r="19" ht="18" customHeight="1">
      <c r="A19" s="25">
        <v>3</v>
      </c>
      <c r="B19" s="81">
        <f>IF($B20="","",INDEX(PJ!$A:$A,MATCH(B20,PJ!$C:$C,0)))</f>
        <v>10000</v>
      </c>
      <c r="C19" s="82" t="str">
        <f>IF($B20="","",INDEX(PJ!$B:$B,MATCH(B20, PJ!$C:$C, 0)))</f>
        <v>Yokogawa</v>
      </c>
      <c r="D19" s="81" t="str">
        <f>IF(D20="","",INDEX(工種!$A$2:$A$83,MATCH(D20,工種!$B$2:$B$83,0),1))</f>
        <v>40108</v>
      </c>
      <c r="E19" s="40"/>
      <c r="F19" s="41"/>
      <c r="G19" s="23" t="s">
        <v>20</v>
      </c>
      <c r="H19" s="259"/>
      <c r="I19" s="328"/>
      <c r="J19" s="329"/>
      <c r="K19" s="328"/>
      <c r="L19" s="329"/>
      <c r="M19" s="328"/>
      <c r="N19" s="329"/>
      <c r="O19" s="328"/>
      <c r="P19" s="329"/>
      <c r="Q19" s="328"/>
      <c r="R19" s="329"/>
      <c r="S19" s="19"/>
      <c r="T19" s="20"/>
      <c r="U19" s="19"/>
      <c r="V19" s="20"/>
      <c r="W19" s="19"/>
      <c r="X19" s="20"/>
    </row>
    <row r="20" ht="18" customHeight="1">
      <c r="A20" s="29"/>
      <c r="B20" s="24">
        <v>10000</v>
      </c>
      <c r="C20" s="83" t="str">
        <f>IF($B20="","",INDEX(PJ!$D:$D,MATCH(B20, PJ!$C:$C, 0)))</f>
        <v xml:space="preserve">Rep Portal </v>
      </c>
      <c r="D20" s="146" t="inlineStr">
        <is>
          <t xml:space="preserve">管理業務：打合せ</t>
        </is>
      </c>
      <c r="E20" s="42" t="inlineStr">
        <is>
          <t xml:space="preserve">打合せ</t>
        </is>
      </c>
      <c r="F20" s="43"/>
      <c r="G20" s="24" t="s">
        <v>32</v>
      </c>
      <c r="H20" s="258"/>
      <c r="I20" s="334"/>
      <c r="J20" s="335"/>
      <c r="K20" s="334"/>
      <c r="L20" s="335"/>
      <c r="M20" s="334">
        <v>0.0416666667</v>
      </c>
      <c r="N20" s="335"/>
      <c r="O20" s="334"/>
      <c r="P20" s="335"/>
      <c r="Q20" s="334"/>
      <c r="R20" s="335"/>
      <c r="S20" s="334"/>
      <c r="T20" s="335"/>
      <c r="U20" s="334"/>
      <c r="V20" s="335"/>
      <c r="W20" s="340">
        <f>SUM(I20:V20)</f>
        <v>0.52083333333333337</v>
      </c>
      <c r="X20" s="341"/>
    </row>
    <row r="21" ht="18" customHeight="1">
      <c r="A21" s="25">
        <v>4</v>
      </c>
      <c r="B21" s="81" t="str">
        <f>IF($B22="","",INDEX(PJ!$A:$A,MATCH(B22,PJ!$C:$C,0)))</f>
        <v/>
      </c>
      <c r="C21" s="82" t="str">
        <f>IF($B22="","",INDEX(PJ!$B:$B,MATCH(B22, PJ!$C:$C, 0)))</f>
        <v/>
      </c>
      <c r="D21" s="81" t="str">
        <f>IF(D22="","",INDEX(工種!$A$2:$A$83,MATCH(D22,工種!$B$2:$B$83,0),1))</f>
        <v/>
      </c>
      <c r="E21" s="40"/>
      <c r="F21" s="41"/>
      <c r="G21" s="23" t="s">
        <v>20</v>
      </c>
      <c r="H21" s="259"/>
      <c r="I21" s="19"/>
      <c r="J21" s="20"/>
      <c r="K21" s="19"/>
      <c r="L21" s="20"/>
      <c r="M21" s="19"/>
      <c r="N21" s="20"/>
      <c r="O21" s="19"/>
      <c r="P21" s="20"/>
      <c r="Q21" s="19"/>
      <c r="R21" s="20"/>
      <c r="S21" s="19"/>
      <c r="T21" s="20"/>
      <c r="U21" s="19"/>
      <c r="V21" s="20"/>
      <c r="W21" s="19"/>
      <c r="X21" s="20"/>
    </row>
    <row r="22" ht="18" customHeight="1">
      <c r="A22" s="29"/>
      <c r="B22" s="24"/>
      <c r="C22" s="83" t="str">
        <f>IF($B22="","",INDEX(PJ!$D:$D,MATCH(B22, PJ!$C:$C, 0)))</f>
        <v/>
      </c>
      <c r="D22" s="146"/>
      <c r="E22" s="42"/>
      <c r="F22" s="43"/>
      <c r="G22" s="24" t="s">
        <v>32</v>
      </c>
      <c r="H22" s="258"/>
      <c r="I22" s="334"/>
      <c r="J22" s="335"/>
      <c r="K22" s="334"/>
      <c r="L22" s="335"/>
      <c r="M22" s="334"/>
      <c r="N22" s="335"/>
      <c r="O22" s="334"/>
      <c r="P22" s="335"/>
      <c r="Q22" s="334"/>
      <c r="R22" s="335"/>
      <c r="S22" s="334"/>
      <c r="T22" s="335"/>
      <c r="U22" s="334"/>
      <c r="V22" s="335"/>
      <c r="W22" s="340">
        <f>SUM(I22:V22)</f>
        <v>0</v>
      </c>
      <c r="X22" s="341"/>
    </row>
    <row r="23" ht="18" customHeight="1">
      <c r="A23" s="25">
        <v>5</v>
      </c>
      <c r="B23" s="81" t="str">
        <f>IF($B24="","",INDEX(PJ!$A:$A,MATCH(B24,PJ!$C:$C,0)))</f>
        <v/>
      </c>
      <c r="C23" s="82" t="str">
        <f>IF($B24="","",INDEX(PJ!$B:$B,MATCH(B24, PJ!$C:$C, 0)))</f>
        <v/>
      </c>
      <c r="D23" s="81" t="str">
        <f>IF(D24="","",INDEX(工種!$A$2:$A$83,MATCH(D24,工種!$B$2:$B$83,0),1))</f>
        <v/>
      </c>
      <c r="E23" s="40"/>
      <c r="F23" s="41"/>
      <c r="G23" s="23" t="s">
        <v>20</v>
      </c>
      <c r="H23" s="259"/>
      <c r="I23" s="19"/>
      <c r="J23" s="20"/>
      <c r="K23" s="19"/>
      <c r="L23" s="20"/>
      <c r="M23" s="19"/>
      <c r="N23" s="20"/>
      <c r="O23" s="19"/>
      <c r="P23" s="20"/>
      <c r="Q23" s="19"/>
      <c r="R23" s="20"/>
      <c r="S23" s="19"/>
      <c r="T23" s="20"/>
      <c r="U23" s="19"/>
      <c r="V23" s="20"/>
      <c r="W23" s="19"/>
      <c r="X23" s="20"/>
    </row>
    <row r="24" ht="18" customHeight="1">
      <c r="A24" s="29"/>
      <c r="B24" s="24"/>
      <c r="C24" s="83" t="str">
        <f>IF($B24="","",INDEX(PJ!$D:$D,MATCH(B24, PJ!$C:$C, 0)))</f>
        <v/>
      </c>
      <c r="D24" s="146"/>
      <c r="E24" s="42"/>
      <c r="F24" s="43"/>
      <c r="G24" s="24" t="s">
        <v>32</v>
      </c>
      <c r="H24" s="258"/>
      <c r="I24" s="334"/>
      <c r="J24" s="335"/>
      <c r="K24" s="334"/>
      <c r="L24" s="335"/>
      <c r="M24" s="334"/>
      <c r="N24" s="335"/>
      <c r="O24" s="334"/>
      <c r="P24" s="335"/>
      <c r="Q24" s="334"/>
      <c r="R24" s="335"/>
      <c r="S24" s="334"/>
      <c r="T24" s="335"/>
      <c r="U24" s="334"/>
      <c r="V24" s="335"/>
      <c r="W24" s="340">
        <f>SUM(I24:V24)</f>
        <v>0</v>
      </c>
      <c r="X24" s="341"/>
    </row>
    <row r="25" ht="18" customHeight="1">
      <c r="A25" s="25">
        <v>6</v>
      </c>
      <c r="B25" s="81" t="str">
        <f>IF($B26="","",INDEX(PJ!$A:$A,MATCH(B26,PJ!$C:$C,0)))</f>
        <v/>
      </c>
      <c r="C25" s="82" t="str">
        <f>IF($B26="","",INDEX(PJ!$B:$B,MATCH(B26, PJ!$C:$C, 0)))</f>
        <v/>
      </c>
      <c r="D25" s="81" t="str">
        <f>IF(D26="","",INDEX(工種!$A$2:$A$83,MATCH(D26,工種!$B$2:$B$83,0),1))</f>
        <v/>
      </c>
      <c r="E25" s="40"/>
      <c r="F25" s="41"/>
      <c r="G25" s="23" t="s">
        <v>20</v>
      </c>
      <c r="H25" s="259"/>
      <c r="I25" s="19"/>
      <c r="J25" s="20"/>
      <c r="K25" s="19"/>
      <c r="L25" s="20"/>
      <c r="M25" s="19"/>
      <c r="N25" s="20"/>
      <c r="O25" s="19"/>
      <c r="P25" s="20"/>
      <c r="Q25" s="19"/>
      <c r="R25" s="20"/>
      <c r="S25" s="19"/>
      <c r="T25" s="20"/>
      <c r="U25" s="19"/>
      <c r="V25" s="20"/>
      <c r="W25" s="19"/>
      <c r="X25" s="20"/>
    </row>
    <row r="26" ht="18" customHeight="1">
      <c r="A26" s="29"/>
      <c r="B26" s="24"/>
      <c r="C26" s="83" t="str">
        <f>IF($B26="","",INDEX(PJ!$D:$D,MATCH(B26, PJ!$C:$C, 0)))</f>
        <v/>
      </c>
      <c r="D26" s="146"/>
      <c r="E26" s="42"/>
      <c r="F26" s="43"/>
      <c r="G26" s="24" t="s">
        <v>32</v>
      </c>
      <c r="H26" s="258"/>
      <c r="I26" s="334"/>
      <c r="J26" s="335"/>
      <c r="K26" s="334"/>
      <c r="L26" s="335"/>
      <c r="M26" s="334"/>
      <c r="N26" s="335"/>
      <c r="O26" s="334"/>
      <c r="P26" s="335"/>
      <c r="Q26" s="334"/>
      <c r="R26" s="335"/>
      <c r="S26" s="334"/>
      <c r="T26" s="335"/>
      <c r="U26" s="334"/>
      <c r="V26" s="335"/>
      <c r="W26" s="340">
        <f>SUM(I26:V26)</f>
        <v>0</v>
      </c>
      <c r="X26" s="341"/>
    </row>
    <row r="27" ht="18" customHeight="1">
      <c r="A27" s="25">
        <v>7</v>
      </c>
      <c r="B27" s="81" t="str">
        <f>IF($B28="","",INDEX(PJ!$A:$A,MATCH(B28,PJ!$C:$C,0)))</f>
        <v/>
      </c>
      <c r="C27" s="82" t="str">
        <f>IF($B28="","",INDEX(PJ!$B:$B,MATCH(B28, PJ!$C:$C, 0)))</f>
        <v/>
      </c>
      <c r="D27" s="81" t="str">
        <f>IF(D28="","",INDEX(工種!$A$2:$A$83,MATCH(D28,工種!$B$2:$B$83,0),1))</f>
        <v/>
      </c>
      <c r="E27" s="40"/>
      <c r="F27" s="41"/>
      <c r="G27" s="23" t="s">
        <v>20</v>
      </c>
      <c r="H27" s="259"/>
      <c r="I27" s="19"/>
      <c r="J27" s="20"/>
      <c r="K27" s="19"/>
      <c r="L27" s="20"/>
      <c r="M27" s="19"/>
      <c r="N27" s="20"/>
      <c r="O27" s="19"/>
      <c r="P27" s="20"/>
      <c r="Q27" s="19"/>
      <c r="R27" s="20"/>
      <c r="S27" s="19"/>
      <c r="T27" s="20"/>
      <c r="U27" s="19"/>
      <c r="V27" s="20"/>
      <c r="W27" s="19"/>
      <c r="X27" s="20"/>
    </row>
    <row r="28" ht="18" customHeight="1">
      <c r="A28" s="29"/>
      <c r="B28" s="24"/>
      <c r="C28" s="83" t="str">
        <f>IF($B28="","",INDEX(PJ!$D:$D,MATCH(B28, PJ!$C:$C, 0)))</f>
        <v/>
      </c>
      <c r="D28" s="146"/>
      <c r="E28" s="42"/>
      <c r="F28" s="43"/>
      <c r="G28" s="24" t="s">
        <v>32</v>
      </c>
      <c r="H28" s="258"/>
      <c r="I28" s="334"/>
      <c r="J28" s="335"/>
      <c r="K28" s="334"/>
      <c r="L28" s="335"/>
      <c r="M28" s="334"/>
      <c r="N28" s="335"/>
      <c r="O28" s="334"/>
      <c r="P28" s="335"/>
      <c r="Q28" s="334"/>
      <c r="R28" s="335"/>
      <c r="S28" s="334"/>
      <c r="T28" s="335"/>
      <c r="U28" s="334"/>
      <c r="V28" s="335"/>
      <c r="W28" s="340">
        <f>SUM(I28:V28)</f>
        <v>0</v>
      </c>
      <c r="X28" s="341"/>
    </row>
    <row r="29" ht="18" customHeight="1">
      <c r="A29" s="25">
        <v>8</v>
      </c>
      <c r="B29" s="81" t="str">
        <f>IF($B30="","",INDEX(PJ!$A:$A,MATCH(B30,PJ!$C:$C,0)))</f>
        <v/>
      </c>
      <c r="C29" s="82" t="str">
        <f>IF($B30="","",INDEX(PJ!$B:$B,MATCH(B30, PJ!$C:$C, 0)))</f>
        <v/>
      </c>
      <c r="D29" s="81" t="str">
        <f>IF(D30="","",INDEX(工種!$A$2:$A$83,MATCH(D30,工種!$B$2:$B$83,0),1))</f>
        <v/>
      </c>
      <c r="E29" s="40"/>
      <c r="F29" s="41"/>
      <c r="G29" s="23" t="s">
        <v>20</v>
      </c>
      <c r="H29" s="259"/>
      <c r="I29" s="19"/>
      <c r="J29" s="20"/>
      <c r="K29" s="19"/>
      <c r="L29" s="20"/>
      <c r="M29" s="19"/>
      <c r="N29" s="20"/>
      <c r="O29" s="19"/>
      <c r="P29" s="20"/>
      <c r="Q29" s="19"/>
      <c r="R29" s="20"/>
      <c r="S29" s="19"/>
      <c r="T29" s="20"/>
      <c r="U29" s="19"/>
      <c r="V29" s="20"/>
      <c r="W29" s="19"/>
      <c r="X29" s="20"/>
    </row>
    <row r="30" ht="18" customHeight="1">
      <c r="A30" s="29"/>
      <c r="B30" s="24"/>
      <c r="C30" s="83" t="str">
        <f>IF($B30="","",INDEX(PJ!$D:$D,MATCH(B30, PJ!$C:$C, 0)))</f>
        <v/>
      </c>
      <c r="D30" s="146"/>
      <c r="E30" s="42"/>
      <c r="F30" s="43"/>
      <c r="G30" s="24" t="s">
        <v>32</v>
      </c>
      <c r="H30" s="258"/>
      <c r="I30" s="334"/>
      <c r="J30" s="335"/>
      <c r="K30" s="334"/>
      <c r="L30" s="335"/>
      <c r="M30" s="334"/>
      <c r="N30" s="335"/>
      <c r="O30" s="334"/>
      <c r="P30" s="335"/>
      <c r="Q30" s="334"/>
      <c r="R30" s="335"/>
      <c r="S30" s="334"/>
      <c r="T30" s="335"/>
      <c r="U30" s="334"/>
      <c r="V30" s="335"/>
      <c r="W30" s="340">
        <f>SUM(I30:V30)</f>
        <v>0</v>
      </c>
      <c r="X30" s="341"/>
    </row>
    <row r="31" ht="18" customHeight="1">
      <c r="A31" s="25">
        <v>9</v>
      </c>
      <c r="B31" s="81" t="str">
        <f>IF($B32="","",INDEX(PJ!$A:$A,MATCH(B32,PJ!$C:$C,0)))</f>
        <v/>
      </c>
      <c r="C31" s="82" t="str">
        <f>IF($B32="","",INDEX(PJ!$B:$B,MATCH(B32, PJ!$C:$C, 0)))</f>
        <v/>
      </c>
      <c r="D31" s="81" t="str">
        <f>IF(D32="","",INDEX(工種!$A$2:$A$83,MATCH(D32,工種!$B$2:$B$83,0),1))</f>
        <v/>
      </c>
      <c r="E31" s="40"/>
      <c r="F31" s="41"/>
      <c r="G31" s="23" t="s">
        <v>20</v>
      </c>
      <c r="H31" s="259"/>
      <c r="I31" s="19"/>
      <c r="J31" s="20"/>
      <c r="K31" s="19"/>
      <c r="L31" s="20"/>
      <c r="M31" s="19"/>
      <c r="N31" s="20"/>
      <c r="O31" s="19"/>
      <c r="P31" s="20"/>
      <c r="Q31" s="19"/>
      <c r="R31" s="20"/>
      <c r="S31" s="19"/>
      <c r="T31" s="20"/>
      <c r="U31" s="19"/>
      <c r="V31" s="20"/>
      <c r="W31" s="19"/>
      <c r="X31" s="20"/>
    </row>
    <row r="32" ht="18" customHeight="1">
      <c r="A32" s="29"/>
      <c r="B32" s="24"/>
      <c r="C32" s="83" t="str">
        <f>IF($B32="","",INDEX(PJ!$D:$D,MATCH(B32, PJ!$C:$C, 0)))</f>
        <v/>
      </c>
      <c r="D32" s="146"/>
      <c r="E32" s="42"/>
      <c r="F32" s="43"/>
      <c r="G32" s="24" t="s">
        <v>32</v>
      </c>
      <c r="H32" s="258"/>
      <c r="I32" s="334"/>
      <c r="J32" s="335"/>
      <c r="K32" s="334"/>
      <c r="L32" s="335"/>
      <c r="M32" s="334"/>
      <c r="N32" s="335"/>
      <c r="O32" s="334"/>
      <c r="P32" s="335"/>
      <c r="Q32" s="334"/>
      <c r="R32" s="335"/>
      <c r="S32" s="334"/>
      <c r="T32" s="335"/>
      <c r="U32" s="334"/>
      <c r="V32" s="335"/>
      <c r="W32" s="340">
        <f>SUM(I32:V32)</f>
        <v>0</v>
      </c>
      <c r="X32" s="341"/>
    </row>
    <row r="33" ht="18" customHeight="1">
      <c r="A33" s="25">
        <v>10</v>
      </c>
      <c r="B33" s="81" t="str">
        <f>IF($B34="","",INDEX(PJ!$A:$A,MATCH(B34,PJ!$C:$C,0)))</f>
        <v/>
      </c>
      <c r="C33" s="82" t="str">
        <f>IF($B34="","",INDEX(PJ!$B:$B,MATCH(B34, PJ!$C:$C, 0)))</f>
        <v/>
      </c>
      <c r="D33" s="81" t="str">
        <f>IF(D34="","",INDEX(工種!$A$2:$A$83,MATCH(D34,工種!$B$2:$B$83,0),1))</f>
        <v/>
      </c>
      <c r="E33" s="40"/>
      <c r="F33" s="41"/>
      <c r="G33" s="23" t="s">
        <v>20</v>
      </c>
      <c r="H33" s="259"/>
      <c r="I33" s="19"/>
      <c r="J33" s="20"/>
      <c r="K33" s="19"/>
      <c r="L33" s="20"/>
      <c r="M33" s="19"/>
      <c r="N33" s="20"/>
      <c r="O33" s="19"/>
      <c r="P33" s="20"/>
      <c r="Q33" s="19"/>
      <c r="R33" s="20"/>
      <c r="S33" s="19"/>
      <c r="T33" s="20"/>
      <c r="U33" s="19"/>
      <c r="V33" s="20"/>
      <c r="W33" s="19"/>
      <c r="X33" s="20"/>
    </row>
    <row r="34" ht="18" customHeight="1">
      <c r="A34" s="29"/>
      <c r="B34" s="24"/>
      <c r="C34" s="83" t="str">
        <f>IF($B34="","",INDEX(PJ!$D:$D,MATCH(B34, PJ!$C:$C, 0)))</f>
        <v/>
      </c>
      <c r="D34" s="146"/>
      <c r="E34" s="42"/>
      <c r="F34" s="43"/>
      <c r="G34" s="24" t="s">
        <v>32</v>
      </c>
      <c r="H34" s="258"/>
      <c r="I34" s="334"/>
      <c r="J34" s="335"/>
      <c r="K34" s="334"/>
      <c r="L34" s="335"/>
      <c r="M34" s="334"/>
      <c r="N34" s="335"/>
      <c r="O34" s="334"/>
      <c r="P34" s="335"/>
      <c r="Q34" s="334"/>
      <c r="R34" s="335"/>
      <c r="S34" s="334"/>
      <c r="T34" s="335"/>
      <c r="U34" s="334"/>
      <c r="V34" s="335"/>
      <c r="W34" s="340">
        <f>SUM(I34:V34)</f>
        <v>0</v>
      </c>
      <c r="X34" s="341"/>
    </row>
    <row r="35" ht="18" customHeight="1">
      <c r="A35" s="25">
        <v>11</v>
      </c>
      <c r="B35" s="81" t="str">
        <f>IF($B36="","",INDEX(PJ!$A:$A,MATCH(B36,PJ!$C:$C,0)))</f>
        <v/>
      </c>
      <c r="C35" s="82" t="str">
        <f>IF($B36="","",INDEX(PJ!$B:$B,MATCH(B36, PJ!$C:$C, 0)))</f>
        <v/>
      </c>
      <c r="D35" s="81" t="str">
        <f>IF(D36="","",INDEX(工種!$A$2:$A$83,MATCH(D36,工種!$B$2:$B$83,0),1))</f>
        <v/>
      </c>
      <c r="E35" s="40"/>
      <c r="F35" s="41"/>
      <c r="G35" s="23" t="s">
        <v>20</v>
      </c>
      <c r="H35" s="259"/>
      <c r="I35" s="19"/>
      <c r="J35" s="20"/>
      <c r="K35" s="19"/>
      <c r="L35" s="20"/>
      <c r="M35" s="19"/>
      <c r="N35" s="20"/>
      <c r="O35" s="19"/>
      <c r="P35" s="20"/>
      <c r="Q35" s="19"/>
      <c r="R35" s="20"/>
      <c r="S35" s="19"/>
      <c r="T35" s="20"/>
      <c r="U35" s="19"/>
      <c r="V35" s="20"/>
      <c r="W35" s="19"/>
      <c r="X35" s="20"/>
    </row>
    <row r="36" ht="18" customHeight="1">
      <c r="A36" s="29"/>
      <c r="B36" s="24"/>
      <c r="C36" s="83" t="str">
        <f>IF($B36="","",INDEX(PJ!$D:$D,MATCH(B36, PJ!$C:$C, 0)))</f>
        <v/>
      </c>
      <c r="D36" s="146"/>
      <c r="E36" s="42"/>
      <c r="F36" s="43"/>
      <c r="G36" s="24" t="s">
        <v>32</v>
      </c>
      <c r="H36" s="258"/>
      <c r="I36" s="334"/>
      <c r="J36" s="335"/>
      <c r="K36" s="334"/>
      <c r="L36" s="335"/>
      <c r="M36" s="334"/>
      <c r="N36" s="335"/>
      <c r="O36" s="334"/>
      <c r="P36" s="335"/>
      <c r="Q36" s="334"/>
      <c r="R36" s="335"/>
      <c r="S36" s="334"/>
      <c r="T36" s="335"/>
      <c r="U36" s="334"/>
      <c r="V36" s="335"/>
      <c r="W36" s="340">
        <f>SUM(I36:V36)</f>
        <v>0</v>
      </c>
      <c r="X36" s="341"/>
    </row>
    <row r="37" ht="18" customHeight="1">
      <c r="A37" s="25">
        <v>12</v>
      </c>
      <c r="B37" s="81" t="str">
        <f>IF($B38="","",INDEX(PJ!$A:$A,MATCH(B38,PJ!$C:$C,0)))</f>
        <v/>
      </c>
      <c r="C37" s="82" t="str">
        <f>IF($B38="","",INDEX(PJ!$B:$B,MATCH(B38, PJ!$C:$C, 0)))</f>
        <v/>
      </c>
      <c r="D37" s="81" t="str">
        <f>IF(D38="","",INDEX(工種!$A$2:$A$83,MATCH(D38,工種!$B$2:$B$83,0),1))</f>
        <v/>
      </c>
      <c r="E37" s="40"/>
      <c r="F37" s="41"/>
      <c r="G37" s="23" t="s">
        <v>20</v>
      </c>
      <c r="H37" s="259"/>
      <c r="I37" s="19"/>
      <c r="J37" s="20"/>
      <c r="K37" s="19"/>
      <c r="L37" s="20"/>
      <c r="M37" s="19"/>
      <c r="N37" s="20"/>
      <c r="O37" s="19"/>
      <c r="P37" s="20"/>
      <c r="Q37" s="19"/>
      <c r="R37" s="20"/>
      <c r="S37" s="19"/>
      <c r="T37" s="20"/>
      <c r="U37" s="19"/>
      <c r="V37" s="20"/>
      <c r="W37" s="19"/>
      <c r="X37" s="20"/>
    </row>
    <row r="38" ht="18" customHeight="1">
      <c r="A38" s="29"/>
      <c r="B38" s="24"/>
      <c r="C38" s="83" t="str">
        <f>IF($B38="","",INDEX(PJ!$D:$D,MATCH(B38, PJ!$C:$C, 0)))</f>
        <v/>
      </c>
      <c r="D38" s="146"/>
      <c r="E38" s="42"/>
      <c r="F38" s="43"/>
      <c r="G38" s="24" t="s">
        <v>32</v>
      </c>
      <c r="H38" s="258"/>
      <c r="I38" s="334"/>
      <c r="J38" s="335"/>
      <c r="K38" s="334"/>
      <c r="L38" s="335"/>
      <c r="M38" s="334"/>
      <c r="N38" s="335"/>
      <c r="O38" s="334"/>
      <c r="P38" s="335"/>
      <c r="Q38" s="334"/>
      <c r="R38" s="335"/>
      <c r="S38" s="334"/>
      <c r="T38" s="335"/>
      <c r="U38" s="334"/>
      <c r="V38" s="335"/>
      <c r="W38" s="340">
        <f>SUM(I38:V38)</f>
        <v>0</v>
      </c>
      <c r="X38" s="341"/>
    </row>
    <row r="39" ht="18" customHeight="1">
      <c r="A39" s="25">
        <v>13</v>
      </c>
      <c r="B39" s="81" t="str">
        <f>IF($B40="","",INDEX(PJ!$A:$A,MATCH(B40,PJ!$C:$C,0)))</f>
        <v/>
      </c>
      <c r="C39" s="82" t="str">
        <f>IF($B40="","",INDEX(PJ!$B:$B,MATCH(B40, PJ!$C:$C, 0)))</f>
        <v/>
      </c>
      <c r="D39" s="81" t="str">
        <f>IF(D40="","",INDEX(工種!$A$2:$A$83,MATCH(D40,工種!$B$2:$B$83,0),1))</f>
        <v/>
      </c>
      <c r="E39" s="40"/>
      <c r="F39" s="41"/>
      <c r="G39" s="23" t="s">
        <v>20</v>
      </c>
      <c r="H39" s="259"/>
      <c r="I39" s="19"/>
      <c r="J39" s="20"/>
      <c r="K39" s="19"/>
      <c r="L39" s="20"/>
      <c r="M39" s="19"/>
      <c r="N39" s="20"/>
      <c r="O39" s="19"/>
      <c r="P39" s="20"/>
      <c r="Q39" s="19"/>
      <c r="R39" s="20"/>
      <c r="S39" s="19"/>
      <c r="T39" s="20"/>
      <c r="U39" s="19"/>
      <c r="V39" s="20"/>
      <c r="W39" s="19"/>
      <c r="X39" s="20"/>
    </row>
    <row r="40" ht="18" customHeight="1">
      <c r="A40" s="29"/>
      <c r="B40" s="24"/>
      <c r="C40" s="83" t="str">
        <f>IF($B40="","",INDEX(PJ!$D:$D,MATCH(B40, PJ!$C:$C, 0)))</f>
        <v/>
      </c>
      <c r="D40" s="146"/>
      <c r="E40" s="42"/>
      <c r="F40" s="43"/>
      <c r="G40" s="24" t="s">
        <v>32</v>
      </c>
      <c r="H40" s="258"/>
      <c r="I40" s="334"/>
      <c r="J40" s="335"/>
      <c r="K40" s="334"/>
      <c r="L40" s="335"/>
      <c r="M40" s="334"/>
      <c r="N40" s="335"/>
      <c r="O40" s="334"/>
      <c r="P40" s="335"/>
      <c r="Q40" s="334"/>
      <c r="R40" s="335"/>
      <c r="S40" s="334"/>
      <c r="T40" s="335"/>
      <c r="U40" s="334"/>
      <c r="V40" s="335"/>
      <c r="W40" s="340">
        <f>SUM(I40:V40)</f>
        <v>0</v>
      </c>
      <c r="X40" s="341"/>
    </row>
    <row r="41" ht="18" customHeight="1">
      <c r="A41" s="25">
        <v>14</v>
      </c>
      <c r="B41" s="81" t="str">
        <f>IF($B42="","",INDEX(PJ!$A:$A,MATCH(B42,PJ!$C:$C,0)))</f>
        <v/>
      </c>
      <c r="C41" s="82" t="str">
        <f>IF($B42="","",INDEX(PJ!$B:$B,MATCH(B42, PJ!$C:$C, 0)))</f>
        <v/>
      </c>
      <c r="D41" s="81" t="str">
        <f>IF(D42="","",INDEX(工種!$A$2:$A$83,MATCH(D42,工種!$B$2:$B$83,0),1))</f>
        <v/>
      </c>
      <c r="E41" s="40"/>
      <c r="F41" s="41"/>
      <c r="G41" s="23" t="s">
        <v>20</v>
      </c>
      <c r="H41" s="259"/>
      <c r="I41" s="19"/>
      <c r="J41" s="20"/>
      <c r="K41" s="19"/>
      <c r="L41" s="20"/>
      <c r="M41" s="19"/>
      <c r="N41" s="20"/>
      <c r="O41" s="19"/>
      <c r="P41" s="20"/>
      <c r="Q41" s="19"/>
      <c r="R41" s="20"/>
      <c r="S41" s="19"/>
      <c r="T41" s="20"/>
      <c r="U41" s="19"/>
      <c r="V41" s="20"/>
      <c r="W41" s="19"/>
      <c r="X41" s="20"/>
    </row>
    <row r="42" ht="18" customHeight="1">
      <c r="A42" s="29"/>
      <c r="B42" s="24"/>
      <c r="C42" s="83" t="str">
        <f>IF($B42="","",INDEX(PJ!$D:$D,MATCH(B42, PJ!$C:$C, 0)))</f>
        <v/>
      </c>
      <c r="D42" s="146"/>
      <c r="E42" s="42"/>
      <c r="F42" s="43"/>
      <c r="G42" s="24" t="s">
        <v>32</v>
      </c>
      <c r="H42" s="258"/>
      <c r="I42" s="334"/>
      <c r="J42" s="335"/>
      <c r="K42" s="334"/>
      <c r="L42" s="335"/>
      <c r="M42" s="334"/>
      <c r="N42" s="335"/>
      <c r="O42" s="334"/>
      <c r="P42" s="335"/>
      <c r="Q42" s="334"/>
      <c r="R42" s="335"/>
      <c r="S42" s="334"/>
      <c r="T42" s="335"/>
      <c r="U42" s="334"/>
      <c r="V42" s="335"/>
      <c r="W42" s="340">
        <f>SUM(I42:V42)</f>
        <v>0</v>
      </c>
      <c r="X42" s="341"/>
    </row>
    <row r="43" ht="18" customHeight="1">
      <c r="A43" s="25">
        <v>15</v>
      </c>
      <c r="B43" s="81" t="str">
        <f>IF($B44="","",INDEX(PJ!$A:$A,MATCH(B44,PJ!$C:$C,0)))</f>
        <v/>
      </c>
      <c r="C43" s="82" t="str">
        <f>IF($B44="","",INDEX(PJ!$B:$B,MATCH(B44, PJ!$C:$C, 0)))</f>
        <v/>
      </c>
      <c r="D43" s="81" t="str">
        <f>IF(D44="","",INDEX(工種!$A$2:$A$83,MATCH(D44,工種!$B$2:$B$83,0),1))</f>
        <v/>
      </c>
      <c r="E43" s="40"/>
      <c r="F43" s="41"/>
      <c r="G43" s="23" t="s">
        <v>20</v>
      </c>
      <c r="H43" s="259"/>
      <c r="I43" s="19"/>
      <c r="J43" s="20"/>
      <c r="K43" s="19"/>
      <c r="L43" s="20"/>
      <c r="M43" s="19"/>
      <c r="N43" s="20"/>
      <c r="O43" s="19"/>
      <c r="P43" s="20"/>
      <c r="Q43" s="19"/>
      <c r="R43" s="20"/>
      <c r="S43" s="19"/>
      <c r="T43" s="20"/>
      <c r="U43" s="19"/>
      <c r="V43" s="20"/>
      <c r="W43" s="19"/>
      <c r="X43" s="20"/>
    </row>
    <row r="44" ht="18" customHeight="1">
      <c r="A44" s="29"/>
      <c r="B44" s="24"/>
      <c r="C44" s="83" t="str">
        <f>IF($B44="","",INDEX(PJ!$D:$D,MATCH(B44, PJ!$C:$C, 0)))</f>
        <v/>
      </c>
      <c r="D44" s="146"/>
      <c r="E44" s="42"/>
      <c r="F44" s="43"/>
      <c r="G44" s="24" t="s">
        <v>32</v>
      </c>
      <c r="H44" s="258"/>
      <c r="I44" s="334"/>
      <c r="J44" s="335"/>
      <c r="K44" s="334"/>
      <c r="L44" s="335"/>
      <c r="M44" s="334"/>
      <c r="N44" s="335"/>
      <c r="O44" s="334"/>
      <c r="P44" s="335"/>
      <c r="Q44" s="334"/>
      <c r="R44" s="335"/>
      <c r="S44" s="334"/>
      <c r="T44" s="335"/>
      <c r="U44" s="334"/>
      <c r="V44" s="335"/>
      <c r="W44" s="340">
        <f>SUM(I44:V44)</f>
        <v>0</v>
      </c>
      <c r="X44" s="341"/>
    </row>
    <row r="45" ht="18" customHeight="1">
      <c r="A45" s="25">
        <v>16</v>
      </c>
      <c r="B45" s="81" t="str">
        <f>IF($B46="","",INDEX(PJ!$A:$A,MATCH(B46,PJ!$C:$C,0)))</f>
        <v/>
      </c>
      <c r="C45" s="82" t="str">
        <f>IF($B46="","",INDEX(PJ!$B:$B,MATCH(B46, PJ!$C:$C, 0)))</f>
        <v/>
      </c>
      <c r="D45" s="81" t="str">
        <f>IF(D46="","",INDEX(工種!$A$2:$A$83,MATCH(D46,工種!$B$2:$B$83,0),1))</f>
        <v/>
      </c>
      <c r="E45" s="40"/>
      <c r="F45" s="41"/>
      <c r="G45" s="23" t="s">
        <v>20</v>
      </c>
      <c r="H45" s="259"/>
      <c r="I45" s="19"/>
      <c r="J45" s="20"/>
      <c r="K45" s="19"/>
      <c r="L45" s="20"/>
      <c r="M45" s="19"/>
      <c r="N45" s="20"/>
      <c r="O45" s="19"/>
      <c r="P45" s="20"/>
      <c r="Q45" s="19"/>
      <c r="R45" s="20"/>
      <c r="S45" s="19"/>
      <c r="T45" s="20"/>
      <c r="U45" s="19"/>
      <c r="V45" s="20"/>
      <c r="W45" s="19"/>
      <c r="X45" s="20"/>
    </row>
    <row r="46" ht="18" customHeight="1">
      <c r="A46" s="29"/>
      <c r="B46" s="24"/>
      <c r="C46" s="83" t="str">
        <f>IF($B46="","",INDEX(PJ!$D:$D,MATCH(B46, PJ!$C:$C, 0)))</f>
        <v/>
      </c>
      <c r="D46" s="146"/>
      <c r="E46" s="42"/>
      <c r="F46" s="43"/>
      <c r="G46" s="24" t="s">
        <v>32</v>
      </c>
      <c r="H46" s="258"/>
      <c r="I46" s="334"/>
      <c r="J46" s="335"/>
      <c r="K46" s="334"/>
      <c r="L46" s="335"/>
      <c r="M46" s="334"/>
      <c r="N46" s="335"/>
      <c r="O46" s="334"/>
      <c r="P46" s="335"/>
      <c r="Q46" s="334"/>
      <c r="R46" s="335"/>
      <c r="S46" s="334"/>
      <c r="T46" s="335"/>
      <c r="U46" s="334"/>
      <c r="V46" s="335"/>
      <c r="W46" s="340">
        <f>SUM(I46:V46)</f>
        <v>0</v>
      </c>
      <c r="X46" s="341"/>
    </row>
    <row r="47" ht="18" customHeight="1">
      <c r="A47" s="25">
        <v>17</v>
      </c>
      <c r="B47" s="81" t="str">
        <f>IF($B48="","",INDEX(PJ!$A:$A,MATCH(B48,PJ!$C:$C,0)))</f>
        <v/>
      </c>
      <c r="C47" s="82" t="str">
        <f>IF($B48="","",INDEX(PJ!$B:$B,MATCH(B48, PJ!$C:$C, 0)))</f>
        <v/>
      </c>
      <c r="D47" s="81" t="str">
        <f>IF(D48="","",INDEX(工種!$A$2:$A$83,MATCH(D48,工種!$B$2:$B$83,0),1))</f>
        <v/>
      </c>
      <c r="E47" s="40"/>
      <c r="F47" s="41"/>
      <c r="G47" s="23" t="s">
        <v>20</v>
      </c>
      <c r="H47" s="259"/>
      <c r="I47" s="19"/>
      <c r="J47" s="20"/>
      <c r="K47" s="19"/>
      <c r="L47" s="20"/>
      <c r="M47" s="19"/>
      <c r="N47" s="20"/>
      <c r="O47" s="19"/>
      <c r="P47" s="20"/>
      <c r="Q47" s="19"/>
      <c r="R47" s="20"/>
      <c r="S47" s="19"/>
      <c r="T47" s="20"/>
      <c r="U47" s="19"/>
      <c r="V47" s="20"/>
      <c r="W47" s="19"/>
      <c r="X47" s="20"/>
    </row>
    <row r="48" ht="18" customHeight="1">
      <c r="A48" s="29"/>
      <c r="B48" s="24"/>
      <c r="C48" s="83" t="str">
        <f>IF($B48="","",INDEX(PJ!$D:$D,MATCH(B48, PJ!$C:$C, 0)))</f>
        <v/>
      </c>
      <c r="D48" s="146"/>
      <c r="E48" s="42"/>
      <c r="F48" s="43"/>
      <c r="G48" s="24" t="s">
        <v>32</v>
      </c>
      <c r="H48" s="258"/>
      <c r="I48" s="334"/>
      <c r="J48" s="335"/>
      <c r="K48" s="334"/>
      <c r="L48" s="335"/>
      <c r="M48" s="334"/>
      <c r="N48" s="335"/>
      <c r="O48" s="334"/>
      <c r="P48" s="335"/>
      <c r="Q48" s="334"/>
      <c r="R48" s="335"/>
      <c r="S48" s="334"/>
      <c r="T48" s="335"/>
      <c r="U48" s="334"/>
      <c r="V48" s="335"/>
      <c r="W48" s="340">
        <f>SUM(I48:V48)</f>
        <v>0</v>
      </c>
      <c r="X48" s="341"/>
    </row>
    <row r="49" ht="18" customHeight="1">
      <c r="A49" s="25">
        <v>18</v>
      </c>
      <c r="B49" s="81" t="str">
        <f>IF($B50="","",INDEX(PJ!$A:$A,MATCH(B50,PJ!$C:$C,0)))</f>
        <v/>
      </c>
      <c r="C49" s="82" t="str">
        <f>IF($B50="","",INDEX(PJ!$B:$B,MATCH(B50, PJ!$C:$C, 0)))</f>
        <v/>
      </c>
      <c r="D49" s="81" t="str">
        <f>IF(D50="","",INDEX(工種!$A$2:$A$83,MATCH(D50,工種!$B$2:$B$83,0),1))</f>
        <v/>
      </c>
      <c r="E49" s="40"/>
      <c r="F49" s="41"/>
      <c r="G49" s="23" t="s">
        <v>20</v>
      </c>
      <c r="H49" s="259"/>
      <c r="I49" s="19"/>
      <c r="J49" s="20"/>
      <c r="K49" s="19"/>
      <c r="L49" s="20"/>
      <c r="M49" s="19"/>
      <c r="N49" s="20"/>
      <c r="O49" s="19"/>
      <c r="P49" s="20"/>
      <c r="Q49" s="19"/>
      <c r="R49" s="20"/>
      <c r="S49" s="19"/>
      <c r="T49" s="20"/>
      <c r="U49" s="19"/>
      <c r="V49" s="20"/>
      <c r="W49" s="19"/>
      <c r="X49" s="20"/>
    </row>
    <row r="50" ht="18" customHeight="1">
      <c r="A50" s="29"/>
      <c r="B50" s="24"/>
      <c r="C50" s="83" t="str">
        <f>IF($B50="","",INDEX(PJ!$D:$D,MATCH(B50, PJ!$C:$C, 0)))</f>
        <v/>
      </c>
      <c r="D50" s="146"/>
      <c r="E50" s="42"/>
      <c r="F50" s="43"/>
      <c r="G50" s="24" t="s">
        <v>32</v>
      </c>
      <c r="H50" s="258"/>
      <c r="I50" s="334"/>
      <c r="J50" s="335"/>
      <c r="K50" s="334"/>
      <c r="L50" s="335"/>
      <c r="M50" s="334"/>
      <c r="N50" s="335"/>
      <c r="O50" s="334"/>
      <c r="P50" s="335"/>
      <c r="Q50" s="334"/>
      <c r="R50" s="335"/>
      <c r="S50" s="334"/>
      <c r="T50" s="335"/>
      <c r="U50" s="334"/>
      <c r="V50" s="335"/>
      <c r="W50" s="340">
        <f>SUM(I50:V50)</f>
        <v>0</v>
      </c>
      <c r="X50" s="341"/>
    </row>
    <row r="51" ht="18" customHeight="1">
      <c r="A51" s="25">
        <v>19</v>
      </c>
      <c r="B51" s="81" t="str">
        <f>IF($B52="","",INDEX(PJ!$A:$A,MATCH(B52,PJ!$C:$C,0)))</f>
        <v/>
      </c>
      <c r="C51" s="82" t="str">
        <f>IF($B52="","",INDEX(PJ!$B:$B,MATCH(B52, PJ!$C:$C, 0)))</f>
        <v/>
      </c>
      <c r="D51" s="81" t="str">
        <f>IF(D52="","",INDEX(工種!$A$2:$A$83,MATCH(D52,工種!$B$2:$B$83,0),1))</f>
        <v/>
      </c>
      <c r="E51" s="40"/>
      <c r="F51" s="41"/>
      <c r="G51" s="23" t="s">
        <v>20</v>
      </c>
      <c r="H51" s="259"/>
      <c r="I51" s="19"/>
      <c r="J51" s="20"/>
      <c r="K51" s="19"/>
      <c r="L51" s="20"/>
      <c r="M51" s="19"/>
      <c r="N51" s="20"/>
      <c r="O51" s="19"/>
      <c r="P51" s="20"/>
      <c r="Q51" s="19"/>
      <c r="R51" s="20"/>
      <c r="S51" s="19"/>
      <c r="T51" s="20"/>
      <c r="U51" s="19"/>
      <c r="V51" s="20"/>
      <c r="W51" s="19"/>
      <c r="X51" s="20"/>
    </row>
    <row r="52" ht="18" customHeight="1">
      <c r="A52" s="29"/>
      <c r="B52" s="24"/>
      <c r="C52" s="83" t="str">
        <f>IF($B52="","",INDEX(PJ!$D:$D,MATCH(B52, PJ!$C:$C, 0)))</f>
        <v/>
      </c>
      <c r="D52" s="146"/>
      <c r="E52" s="42"/>
      <c r="F52" s="43"/>
      <c r="G52" s="24" t="s">
        <v>32</v>
      </c>
      <c r="H52" s="258"/>
      <c r="I52" s="334"/>
      <c r="J52" s="335"/>
      <c r="K52" s="334"/>
      <c r="L52" s="335"/>
      <c r="M52" s="334"/>
      <c r="N52" s="335"/>
      <c r="O52" s="334"/>
      <c r="P52" s="335"/>
      <c r="Q52" s="334"/>
      <c r="R52" s="335"/>
      <c r="S52" s="334"/>
      <c r="T52" s="335"/>
      <c r="U52" s="334"/>
      <c r="V52" s="335"/>
      <c r="W52" s="340">
        <f>SUM(I52:V52)</f>
        <v>0</v>
      </c>
      <c r="X52" s="341"/>
    </row>
    <row r="53" ht="18" customHeight="1">
      <c r="A53" s="25">
        <v>20</v>
      </c>
      <c r="B53" s="81" t="str">
        <f>IF($B54="","",INDEX(PJ!$A:$A,MATCH(B54,PJ!$C:$C,0)))</f>
        <v/>
      </c>
      <c r="C53" s="82" t="str">
        <f>IF($B54="","",INDEX(PJ!$B:$B,MATCH(B54, PJ!$C:$C, 0)))</f>
        <v/>
      </c>
      <c r="D53" s="81" t="str">
        <f>IF(D54="","",INDEX(工種!$A$2:$A$83,MATCH(D54,工種!$B$2:$B$83,0),1))</f>
        <v/>
      </c>
      <c r="E53" s="40"/>
      <c r="F53" s="41"/>
      <c r="G53" s="23" t="s">
        <v>20</v>
      </c>
      <c r="H53" s="259"/>
      <c r="I53" s="19"/>
      <c r="J53" s="20"/>
      <c r="K53" s="19"/>
      <c r="L53" s="20"/>
      <c r="M53" s="19"/>
      <c r="N53" s="20"/>
      <c r="O53" s="19"/>
      <c r="P53" s="20"/>
      <c r="Q53" s="19"/>
      <c r="R53" s="20"/>
      <c r="S53" s="19"/>
      <c r="T53" s="20"/>
      <c r="U53" s="19"/>
      <c r="V53" s="20"/>
      <c r="W53" s="19"/>
      <c r="X53" s="20"/>
    </row>
    <row r="54" ht="18" customHeight="1">
      <c r="A54" s="29"/>
      <c r="B54" s="24"/>
      <c r="C54" s="83" t="str">
        <f>IF($B54="","",INDEX(PJ!$D:$D,MATCH(B54, PJ!$C:$C, 0)))</f>
        <v/>
      </c>
      <c r="D54" s="146"/>
      <c r="E54" s="42"/>
      <c r="F54" s="43"/>
      <c r="G54" s="24" t="s">
        <v>32</v>
      </c>
      <c r="H54" s="258"/>
      <c r="I54" s="334"/>
      <c r="J54" s="335"/>
      <c r="K54" s="334"/>
      <c r="L54" s="335"/>
      <c r="M54" s="334"/>
      <c r="N54" s="335"/>
      <c r="O54" s="334"/>
      <c r="P54" s="335"/>
      <c r="Q54" s="334"/>
      <c r="R54" s="335"/>
      <c r="S54" s="334"/>
      <c r="T54" s="335"/>
      <c r="U54" s="334"/>
      <c r="V54" s="335"/>
      <c r="W54" s="340">
        <f>SUM(I54:V54)</f>
        <v>0</v>
      </c>
      <c r="X54" s="341"/>
    </row>
    <row r="55" spans="1:27" ht="6.75" customHeight="1">
      <c r="I55" s="17"/>
      <c r="J55" s="17"/>
      <c r="K55" s="17"/>
      <c r="L55" s="17"/>
      <c r="M55" s="17"/>
      <c r="N55" s="17"/>
      <c r="O55" s="17"/>
      <c r="P55" s="17"/>
      <c r="Q55" s="17"/>
      <c r="R55" s="17"/>
      <c r="S55" s="17"/>
      <c r="T55" s="17"/>
      <c r="U55" s="17"/>
      <c r="V55" s="17"/>
      <c r="W55" s="17"/>
      <c r="X55" s="17"/>
      <c r="Y55" s="2"/>
      <c r="AA55" s="2"/>
    </row>
    <row r="56" spans="1:27" ht="6.75" customHeight="1" thickBot="1">
      <c r="I56" s="17"/>
      <c r="J56" s="17"/>
      <c r="K56" s="17"/>
      <c r="L56" s="17"/>
      <c r="M56" s="17"/>
      <c r="N56" s="17"/>
      <c r="O56" s="17"/>
      <c r="P56" s="17"/>
      <c r="Q56" s="17"/>
      <c r="R56" s="17"/>
      <c r="S56" s="17"/>
      <c r="T56" s="17"/>
      <c r="U56" s="17"/>
      <c r="V56" s="17"/>
      <c r="W56" s="17"/>
      <c r="X56" s="17"/>
      <c r="Y56" s="2"/>
      <c r="AA56" s="2"/>
    </row>
    <row r="57" spans="1:27" ht="17.25" customHeight="1" thickTop="1">
      <c r="A57" s="255"/>
      <c r="B57" s="50"/>
      <c r="C57" s="50"/>
      <c r="D57" s="50"/>
      <c r="E57" s="256" t="s">
        <v>29</v>
      </c>
      <c r="F57" s="256"/>
      <c r="G57" s="257"/>
      <c r="H57" s="256"/>
      <c r="I57" s="330">
        <f>SUM(I16:J54)</f>
        <v>0.66666666666666663</v>
      </c>
      <c r="J57" s="331"/>
      <c r="K57" s="330">
        <f>SUM(K16:L54)</f>
        <v>0.66666666666666663</v>
      </c>
      <c r="L57" s="331"/>
      <c r="M57" s="330">
        <f>SUM(M16:N54)</f>
        <v>0.66666666666666663</v>
      </c>
      <c r="N57" s="331"/>
      <c r="O57" s="330">
        <f>SUM(O16:P54)</f>
        <v>0.66666666666666663</v>
      </c>
      <c r="P57" s="331"/>
      <c r="Q57" s="330">
        <f>SUM(Q16:R54)</f>
        <v>0.66666666666666663</v>
      </c>
      <c r="R57" s="331"/>
      <c r="S57" s="330">
        <f>SUM(S16:T54)</f>
        <v>0</v>
      </c>
      <c r="T57" s="331"/>
      <c r="U57" s="330">
        <f>SUM(U16:V54)</f>
        <v>0</v>
      </c>
      <c r="V57" s="331"/>
      <c r="W57" s="330">
        <f>CEILING(SUM(W16:X54),"0:5")</f>
        <v>2.1875</v>
      </c>
      <c r="X57" s="331"/>
    </row>
    <row r="58" ht="17.25" customHeight="1">
      <c r="A58" s="33"/>
      <c r="B58" s="51"/>
      <c r="C58" s="51"/>
      <c r="D58" s="51"/>
      <c r="E58" s="44" t="s">
        <v>37</v>
      </c>
      <c r="F58" s="44"/>
      <c r="G58" s="44"/>
      <c r="H58" s="44"/>
      <c r="I58" s="359"/>
      <c r="J58" s="360"/>
      <c r="K58" s="359"/>
      <c r="L58" s="360"/>
      <c r="M58" s="359"/>
      <c r="N58" s="360"/>
      <c r="O58" s="359"/>
      <c r="P58" s="360"/>
      <c r="Q58" s="359"/>
      <c r="R58" s="360"/>
      <c r="S58" s="359"/>
      <c r="T58" s="360"/>
      <c r="U58" s="359"/>
      <c r="V58" s="360"/>
      <c r="W58" s="359"/>
      <c r="X58" s="360"/>
    </row>
    <row r="59" spans="1:27" ht="20.100000000000001" customHeight="1">
      <c r="I59" s="17"/>
      <c r="J59" s="17"/>
      <c r="K59" s="17"/>
      <c r="L59" s="17"/>
      <c r="M59" s="17"/>
      <c r="N59" s="17"/>
      <c r="O59" s="17"/>
      <c r="P59" s="17"/>
      <c r="Q59" s="17"/>
      <c r="R59" s="17"/>
      <c r="S59" s="17"/>
      <c r="T59" s="17"/>
      <c r="U59" s="17"/>
      <c r="V59" s="17"/>
      <c r="W59" s="17"/>
      <c r="X59" s="17"/>
      <c r="Y59" s="2"/>
      <c r="AA59" s="2"/>
    </row>
    <row r="60" spans="1:27" ht="15" customHeight="1">
      <c r="A60" s="25"/>
      <c r="B60" s="52"/>
      <c r="C60" s="52"/>
      <c r="D60" s="52"/>
      <c r="E60" s="52"/>
      <c r="F60" s="52"/>
      <c r="G60" s="16"/>
      <c r="H60" s="16"/>
      <c r="I60" s="40"/>
      <c r="J60" s="52"/>
      <c r="K60" s="52"/>
      <c r="L60" s="52"/>
      <c r="M60" s="52"/>
      <c r="N60" s="52"/>
      <c r="O60" s="52"/>
      <c r="P60" s="52"/>
      <c r="Q60" s="52"/>
      <c r="R60" s="52"/>
      <c r="S60" s="52"/>
      <c r="T60" s="52"/>
      <c r="U60" s="52"/>
      <c r="V60" s="52"/>
      <c r="W60" s="52"/>
      <c r="X60" s="22"/>
    </row>
    <row r="61" ht="15" customHeight="1">
      <c r="A61" s="356" t="s">
        <v>38</v>
      </c>
      <c r="B61"/>
      <c r="I61" s="356" t="s">
        <v>39</v>
      </c>
      <c r="J61"/>
      <c r="X61" s="46"/>
    </row>
    <row r="62" ht="15" customHeight="1">
      <c r="A62" s="356"/>
      <c r="B62"/>
      <c r="I62" s="356"/>
      <c r="J62"/>
      <c r="X62" s="46"/>
    </row>
    <row r="63" ht="15" customHeight="1">
      <c r="A63" s="356"/>
      <c r="B63"/>
      <c r="I63" s="356"/>
      <c r="J63"/>
      <c r="X63" s="46"/>
    </row>
    <row r="64" ht="15" customHeight="1">
      <c r="A64" s="356"/>
      <c r="B64"/>
      <c r="I64" s="356"/>
      <c r="J64"/>
      <c r="X64" s="46"/>
    </row>
    <row r="65" ht="15" customHeight="1">
      <c r="A65" s="356"/>
      <c r="B65"/>
      <c r="I65" s="356"/>
      <c r="J65"/>
      <c r="X65" s="46"/>
    </row>
    <row r="66" spans="1:24" ht="15" customHeight="1">
      <c r="A66" s="29"/>
      <c r="B66" s="47"/>
      <c r="C66" s="47"/>
      <c r="D66" s="47"/>
      <c r="E66" s="47"/>
      <c r="F66" s="47"/>
      <c r="G66" s="48"/>
      <c r="H66" s="48"/>
      <c r="I66" s="42"/>
      <c r="J66" s="47"/>
      <c r="K66" s="47"/>
      <c r="L66" s="47"/>
      <c r="M66" s="47"/>
      <c r="N66" s="47"/>
      <c r="O66" s="47"/>
      <c r="P66" s="47"/>
      <c r="Q66" s="47"/>
      <c r="R66" s="47"/>
      <c r="S66" s="47"/>
      <c r="T66" s="47"/>
      <c r="U66" s="47"/>
      <c r="V66" s="47"/>
      <c r="W66" s="47"/>
      <c r="X66" s="49"/>
    </row>
    <row r="67" spans="1:24" ht="15" customHeight="1">
      <c r="A67" s="25"/>
      <c r="B67" s="52"/>
      <c r="C67" s="52"/>
      <c r="D67" s="52"/>
      <c r="E67" s="52"/>
      <c r="F67" s="52"/>
      <c r="G67" s="16"/>
      <c r="H67" s="16"/>
      <c r="I67" s="52"/>
      <c r="J67" s="52"/>
      <c r="K67" s="52"/>
      <c r="L67" s="52"/>
      <c r="M67" s="52"/>
      <c r="N67" s="52"/>
      <c r="O67" s="52"/>
      <c r="P67" s="52"/>
      <c r="Q67" s="52"/>
      <c r="R67" s="52"/>
      <c r="S67" s="52"/>
      <c r="T67" s="52"/>
      <c r="U67" s="52"/>
      <c r="V67" s="52"/>
      <c r="W67" s="52"/>
      <c r="X67" s="22"/>
    </row>
    <row r="68" ht="15" customHeight="1">
      <c r="A68" s="356" t="s">
        <v>40</v>
      </c>
      <c r="B68"/>
      <c r="J68"/>
      <c r="X68" s="46"/>
    </row>
    <row r="69" ht="15" customHeight="1">
      <c r="A69" s="356"/>
      <c r="B69"/>
      <c r="J69"/>
      <c r="X69" s="46"/>
    </row>
    <row r="70" ht="15" customHeight="1">
      <c r="A70" s="356"/>
      <c r="B70"/>
      <c r="J70"/>
      <c r="X70" s="46"/>
    </row>
    <row r="71" ht="15" customHeight="1">
      <c r="A71" s="356"/>
      <c r="B71"/>
      <c r="J71"/>
      <c r="X71" s="46"/>
    </row>
    <row r="72" ht="15" customHeight="1">
      <c r="A72" s="356"/>
      <c r="B72"/>
      <c r="J72"/>
      <c r="X72" s="46"/>
    </row>
    <row r="73" spans="1:24" ht="15" customHeight="1">
      <c r="A73" s="29"/>
      <c r="B73" s="47"/>
      <c r="C73" s="47"/>
      <c r="D73" s="47"/>
      <c r="E73" s="47"/>
      <c r="F73" s="47"/>
      <c r="G73" s="48"/>
      <c r="H73" s="48"/>
      <c r="I73" s="47"/>
      <c r="J73" s="47"/>
      <c r="K73" s="47"/>
      <c r="L73" s="47"/>
      <c r="M73" s="47"/>
      <c r="N73" s="47"/>
      <c r="O73" s="47"/>
      <c r="P73" s="47"/>
      <c r="Q73" s="47"/>
      <c r="R73" s="47"/>
      <c r="S73" s="47"/>
      <c r="T73" s="47"/>
      <c r="U73" s="47"/>
      <c r="V73" s="47"/>
      <c r="W73" s="47"/>
      <c r="X73" s="49"/>
    </row>
    <row r="74" spans="1:24" ht="15" customHeight="1">
      <c r="A74" s="25"/>
      <c r="B74" s="52"/>
      <c r="C74" s="52"/>
      <c r="D74" s="52"/>
      <c r="E74" s="52"/>
      <c r="F74" s="52"/>
      <c r="G74" s="16"/>
      <c r="H74" s="16"/>
      <c r="I74" s="52"/>
      <c r="J74" s="52"/>
      <c r="K74" s="52"/>
      <c r="L74" s="52"/>
      <c r="M74" s="52"/>
      <c r="N74" s="52"/>
      <c r="O74" s="52"/>
      <c r="P74" s="52"/>
      <c r="Q74" s="52"/>
      <c r="R74" s="52"/>
      <c r="S74" s="52"/>
      <c r="T74" s="52"/>
      <c r="U74" s="52"/>
      <c r="V74" s="52"/>
      <c r="W74" s="52"/>
      <c r="X74" s="22"/>
    </row>
    <row r="75" ht="15" customHeight="1">
      <c r="A75" s="356" t="s">
        <v>41</v>
      </c>
      <c r="B75"/>
      <c r="J75"/>
      <c r="X75" s="46"/>
    </row>
    <row r="76" ht="15" customHeight="1">
      <c r="A76" s="356"/>
      <c r="B76"/>
      <c r="J76"/>
      <c r="X76" s="46"/>
    </row>
    <row r="77" ht="15" customHeight="1">
      <c r="A77" s="356"/>
      <c r="B77"/>
      <c r="J77"/>
      <c r="X77" s="46"/>
    </row>
    <row r="78" ht="15" customHeight="1">
      <c r="A78" s="356"/>
      <c r="B78"/>
      <c r="J78"/>
      <c r="X78" s="46"/>
    </row>
    <row r="79" ht="15" customHeight="1">
      <c r="A79" s="356"/>
      <c r="B79"/>
      <c r="J79"/>
      <c r="X79" s="46"/>
    </row>
    <row r="80" spans="1:24" ht="15" customHeight="1">
      <c r="A80" s="29"/>
      <c r="B80" s="47"/>
      <c r="C80" s="47"/>
      <c r="D80" s="47"/>
      <c r="E80" s="47"/>
      <c r="F80" s="47"/>
      <c r="G80" s="48"/>
      <c r="H80" s="48"/>
      <c r="I80" s="47"/>
      <c r="J80" s="47"/>
      <c r="K80" s="47"/>
      <c r="L80" s="47"/>
      <c r="M80" s="47"/>
      <c r="N80" s="47"/>
      <c r="O80" s="47"/>
      <c r="P80" s="47"/>
      <c r="Q80" s="47"/>
      <c r="R80" s="47"/>
      <c r="S80" s="47"/>
      <c r="T80" s="47"/>
      <c r="U80" s="47"/>
      <c r="V80" s="47"/>
      <c r="W80" s="47"/>
      <c r="X80" s="49"/>
    </row>
    <row r="81" spans="1:27" ht="20.100000000000001" customHeight="1">
      <c r="A81" s="45"/>
      <c r="B81" s="2" t="s">
        <v>42</v>
      </c>
      <c r="X81" s="46"/>
    </row>
    <row r="82" spans="1:27" ht="20.100000000000001" customHeight="1">
      <c r="A82" s="45"/>
      <c r="B82" s="2" t="s">
        <v>43</v>
      </c>
      <c r="X82" s="46"/>
    </row>
    <row r="83" spans="1:27" ht="20.100000000000001" customHeight="1">
      <c r="A83" s="45"/>
      <c r="B83" s="2" t="s">
        <v>44</v>
      </c>
      <c r="X83" s="46"/>
    </row>
    <row r="84" spans="1:27" ht="20.100000000000001" customHeight="1">
      <c r="A84" s="45"/>
      <c r="B84" s="2" t="s">
        <v>45</v>
      </c>
      <c r="X84" s="46"/>
    </row>
    <row r="85" spans="1:27" ht="20.100000000000001" customHeight="1">
      <c r="A85" s="260"/>
      <c r="B85" s="47" t="s">
        <v>46</v>
      </c>
      <c r="C85" s="47"/>
      <c r="D85" s="47"/>
      <c r="E85" s="47"/>
      <c r="F85" s="47"/>
      <c r="G85" s="48"/>
      <c r="H85" s="48"/>
      <c r="I85" s="47"/>
      <c r="J85" s="47"/>
      <c r="K85" s="47"/>
      <c r="L85" s="47"/>
      <c r="M85" s="47"/>
      <c r="N85" s="47"/>
      <c r="O85" s="47"/>
      <c r="P85" s="47"/>
      <c r="Q85" s="47"/>
      <c r="R85" s="47"/>
      <c r="S85" s="47"/>
      <c r="T85" s="47"/>
      <c r="U85" s="47"/>
      <c r="V85" s="47"/>
      <c r="W85" s="47"/>
      <c r="X85" s="49"/>
    </row>
    <row r="86" spans="1:27" ht="20.100000000000001" customHeight="1">
      <c r="S86" s="2" t="str">
        <f>'1週'!S86</f>
        <v>PJ20-1-2022-0624</v>
      </c>
      <c r="Y86" s="2"/>
      <c r="AA86" s="2"/>
    </row>
  </sheetData>
  <mergeCells count="258">
    <mergeCell ref="I15:J15"/>
    <mergeCell ref="K15:L15"/>
    <mergeCell ref="M15:N15"/>
    <mergeCell ref="O15:P15"/>
    <mergeCell ref="Q15:R15"/>
    <mergeCell ref="M17:N17"/>
    <mergeCell ref="Q17:R17"/>
    <mergeCell ref="I19:J19"/>
    <mergeCell ref="K19:L19"/>
    <mergeCell ref="M19:N19"/>
    <mergeCell ref="O19:P19"/>
    <mergeCell ref="Q19:R19"/>
    <mergeCell ref="I16:J16"/>
    <mergeCell ref="K16:L16"/>
    <mergeCell ref="M16:N16"/>
    <mergeCell ref="O16:P16"/>
    <mergeCell ref="Q16:R16"/>
    <mergeCell ref="O17:P17"/>
    <mergeCell ref="A61:A65"/>
    <mergeCell ref="I61:I65"/>
    <mergeCell ref="A68:A72"/>
    <mergeCell ref="A75:A79"/>
    <mergeCell ref="U57:V57"/>
    <mergeCell ref="W57:X57"/>
    <mergeCell ref="I58:J58"/>
    <mergeCell ref="K58:L58"/>
    <mergeCell ref="M58:N58"/>
    <mergeCell ref="O58:P58"/>
    <mergeCell ref="Q58:R58"/>
    <mergeCell ref="S58:T58"/>
    <mergeCell ref="U58:V58"/>
    <mergeCell ref="W58:X58"/>
    <mergeCell ref="I57:J57"/>
    <mergeCell ref="K57:L57"/>
    <mergeCell ref="M57:N57"/>
    <mergeCell ref="O57:P57"/>
    <mergeCell ref="Q57:R57"/>
    <mergeCell ref="S57:T57"/>
    <mergeCell ref="I36:J36"/>
    <mergeCell ref="K36:L36"/>
    <mergeCell ref="M36:N36"/>
    <mergeCell ref="O36:P36"/>
    <mergeCell ref="Q36:R36"/>
    <mergeCell ref="S36:T36"/>
    <mergeCell ref="U36:V36"/>
    <mergeCell ref="W36:X36"/>
    <mergeCell ref="I54:J54"/>
    <mergeCell ref="K54:L54"/>
    <mergeCell ref="M54:N54"/>
    <mergeCell ref="O54:P54"/>
    <mergeCell ref="Q54:R54"/>
    <mergeCell ref="S54:T54"/>
    <mergeCell ref="U54:V54"/>
    <mergeCell ref="W54:X54"/>
    <mergeCell ref="U38:V38"/>
    <mergeCell ref="W38:X38"/>
    <mergeCell ref="I40:J40"/>
    <mergeCell ref="K40:L40"/>
    <mergeCell ref="M40:N40"/>
    <mergeCell ref="O40:P40"/>
    <mergeCell ref="Q40:R40"/>
    <mergeCell ref="S40:T40"/>
    <mergeCell ref="I32:J32"/>
    <mergeCell ref="K32:L32"/>
    <mergeCell ref="M32:N32"/>
    <mergeCell ref="O32:P32"/>
    <mergeCell ref="Q32:R32"/>
    <mergeCell ref="S32:T32"/>
    <mergeCell ref="U32:V32"/>
    <mergeCell ref="W32:X32"/>
    <mergeCell ref="I34:J34"/>
    <mergeCell ref="K34:L34"/>
    <mergeCell ref="M34:N34"/>
    <mergeCell ref="O34:P34"/>
    <mergeCell ref="Q34:R34"/>
    <mergeCell ref="S34:T34"/>
    <mergeCell ref="U34:V34"/>
    <mergeCell ref="W34:X34"/>
    <mergeCell ref="I28:J28"/>
    <mergeCell ref="K28:L28"/>
    <mergeCell ref="M28:N28"/>
    <mergeCell ref="O28:P28"/>
    <mergeCell ref="Q28:R28"/>
    <mergeCell ref="S28:T28"/>
    <mergeCell ref="U28:V28"/>
    <mergeCell ref="W28:X28"/>
    <mergeCell ref="I30:J30"/>
    <mergeCell ref="K30:L30"/>
    <mergeCell ref="M30:N30"/>
    <mergeCell ref="O30:P30"/>
    <mergeCell ref="Q30:R30"/>
    <mergeCell ref="S30:T30"/>
    <mergeCell ref="U30:V30"/>
    <mergeCell ref="W30:X30"/>
    <mergeCell ref="I24:J24"/>
    <mergeCell ref="K24:L24"/>
    <mergeCell ref="M24:N24"/>
    <mergeCell ref="O24:P24"/>
    <mergeCell ref="Q24:R24"/>
    <mergeCell ref="S24:T24"/>
    <mergeCell ref="U24:V24"/>
    <mergeCell ref="W24:X24"/>
    <mergeCell ref="I26:J26"/>
    <mergeCell ref="K26:L26"/>
    <mergeCell ref="M26:N26"/>
    <mergeCell ref="O26:P26"/>
    <mergeCell ref="Q26:R26"/>
    <mergeCell ref="S26:T26"/>
    <mergeCell ref="U26:V26"/>
    <mergeCell ref="W26:X26"/>
    <mergeCell ref="I20:J20"/>
    <mergeCell ref="K20:L20"/>
    <mergeCell ref="M20:N20"/>
    <mergeCell ref="O20:P20"/>
    <mergeCell ref="Q20:R20"/>
    <mergeCell ref="S20:T20"/>
    <mergeCell ref="U20:V20"/>
    <mergeCell ref="W20:X20"/>
    <mergeCell ref="I22:J22"/>
    <mergeCell ref="K22:L22"/>
    <mergeCell ref="M22:N22"/>
    <mergeCell ref="O22:P22"/>
    <mergeCell ref="Q22:R22"/>
    <mergeCell ref="S22:T22"/>
    <mergeCell ref="U22:V22"/>
    <mergeCell ref="W22:X22"/>
    <mergeCell ref="S16:T16"/>
    <mergeCell ref="U16:V16"/>
    <mergeCell ref="W16:X16"/>
    <mergeCell ref="I18:J18"/>
    <mergeCell ref="K18:L18"/>
    <mergeCell ref="M18:N18"/>
    <mergeCell ref="O18:P18"/>
    <mergeCell ref="Q18:R18"/>
    <mergeCell ref="S18:T18"/>
    <mergeCell ref="U18:V18"/>
    <mergeCell ref="W18:X18"/>
    <mergeCell ref="K17:L17"/>
    <mergeCell ref="I17:J17"/>
    <mergeCell ref="A13:H13"/>
    <mergeCell ref="I13:J13"/>
    <mergeCell ref="K13:L13"/>
    <mergeCell ref="M13:N13"/>
    <mergeCell ref="O13:P13"/>
    <mergeCell ref="Q13:R13"/>
    <mergeCell ref="S13:T13"/>
    <mergeCell ref="U13:V13"/>
    <mergeCell ref="W13:X13"/>
    <mergeCell ref="F12:H12"/>
    <mergeCell ref="I12:J12"/>
    <mergeCell ref="K12:L12"/>
    <mergeCell ref="M12:N12"/>
    <mergeCell ref="O12:P12"/>
    <mergeCell ref="Q12:R12"/>
    <mergeCell ref="S12:T12"/>
    <mergeCell ref="U12:V12"/>
    <mergeCell ref="W12:X12"/>
    <mergeCell ref="W10:X10"/>
    <mergeCell ref="G11:H11"/>
    <mergeCell ref="I11:J11"/>
    <mergeCell ref="K11:L11"/>
    <mergeCell ref="M11:N11"/>
    <mergeCell ref="O11:P11"/>
    <mergeCell ref="Q11:R11"/>
    <mergeCell ref="S11:T11"/>
    <mergeCell ref="U11:V11"/>
    <mergeCell ref="W11:X11"/>
    <mergeCell ref="I9:J9"/>
    <mergeCell ref="K9:L9"/>
    <mergeCell ref="M9:N9"/>
    <mergeCell ref="O9:P9"/>
    <mergeCell ref="Q9:R9"/>
    <mergeCell ref="S9:T9"/>
    <mergeCell ref="U9:V9"/>
    <mergeCell ref="G10:H10"/>
    <mergeCell ref="I10:J10"/>
    <mergeCell ref="K10:L10"/>
    <mergeCell ref="M10:N10"/>
    <mergeCell ref="O10:P10"/>
    <mergeCell ref="Q10:R10"/>
    <mergeCell ref="S10:T10"/>
    <mergeCell ref="U10:V10"/>
    <mergeCell ref="A1:X1"/>
    <mergeCell ref="K7:L7"/>
    <mergeCell ref="M7:O7"/>
    <mergeCell ref="P7:S7"/>
    <mergeCell ref="U7:X7"/>
    <mergeCell ref="I8:J8"/>
    <mergeCell ref="K8:L8"/>
    <mergeCell ref="M8:N8"/>
    <mergeCell ref="O8:P8"/>
    <mergeCell ref="Q8:R8"/>
    <mergeCell ref="S8:T8"/>
    <mergeCell ref="U8:V8"/>
    <mergeCell ref="S3:U5"/>
    <mergeCell ref="V3:X5"/>
    <mergeCell ref="U40:V40"/>
    <mergeCell ref="W40:X40"/>
    <mergeCell ref="I38:J38"/>
    <mergeCell ref="K38:L38"/>
    <mergeCell ref="M38:N38"/>
    <mergeCell ref="O38:P38"/>
    <mergeCell ref="Q38:R38"/>
    <mergeCell ref="S38:T38"/>
    <mergeCell ref="U42:V42"/>
    <mergeCell ref="W42:X42"/>
    <mergeCell ref="I44:J44"/>
    <mergeCell ref="K44:L44"/>
    <mergeCell ref="M44:N44"/>
    <mergeCell ref="O44:P44"/>
    <mergeCell ref="Q44:R44"/>
    <mergeCell ref="S44:T44"/>
    <mergeCell ref="U44:V44"/>
    <mergeCell ref="W44:X44"/>
    <mergeCell ref="I42:J42"/>
    <mergeCell ref="K42:L42"/>
    <mergeCell ref="M42:N42"/>
    <mergeCell ref="O42:P42"/>
    <mergeCell ref="Q42:R42"/>
    <mergeCell ref="S42:T42"/>
    <mergeCell ref="U46:V46"/>
    <mergeCell ref="W46:X46"/>
    <mergeCell ref="I48:J48"/>
    <mergeCell ref="K48:L48"/>
    <mergeCell ref="M48:N48"/>
    <mergeCell ref="O48:P48"/>
    <mergeCell ref="Q48:R48"/>
    <mergeCell ref="S48:T48"/>
    <mergeCell ref="U48:V48"/>
    <mergeCell ref="W48:X48"/>
    <mergeCell ref="I46:J46"/>
    <mergeCell ref="K46:L46"/>
    <mergeCell ref="M46:N46"/>
    <mergeCell ref="O46:P46"/>
    <mergeCell ref="Q46:R46"/>
    <mergeCell ref="S46:T46"/>
    <mergeCell ref="U50:V50"/>
    <mergeCell ref="W50:X50"/>
    <mergeCell ref="I52:J52"/>
    <mergeCell ref="K52:L52"/>
    <mergeCell ref="M52:N52"/>
    <mergeCell ref="O52:P52"/>
    <mergeCell ref="Q52:R52"/>
    <mergeCell ref="S52:T52"/>
    <mergeCell ref="U52:V52"/>
    <mergeCell ref="W52:X52"/>
    <mergeCell ref="I50:J50"/>
    <mergeCell ref="K50:L50"/>
    <mergeCell ref="M50:N50"/>
    <mergeCell ref="O50:P50"/>
    <mergeCell ref="Q50:R50"/>
    <mergeCell ref="S50:T50"/>
    <mergeCell ref="S15:T15"/>
    <mergeCell ref="U15:V15"/>
    <mergeCell ref="S17:T17"/>
    <mergeCell ref="U17:V17"/>
    <mergeCell ref="S19:T19"/>
    <mergeCell ref="U19:V19"/>
  </mergeCells>
  <phoneticPr fontId="7"/>
  <conditionalFormatting sqref="B16">
    <cfRule type="expression" dxfId="159" priority="12">
      <formula>AND(W16&lt;&gt;0,B16="")</formula>
    </cfRule>
  </conditionalFormatting>
  <conditionalFormatting sqref="B18">
    <cfRule type="expression" dxfId="158" priority="11">
      <formula>AND(W18&lt;&gt;0,B18="")</formula>
    </cfRule>
  </conditionalFormatting>
  <conditionalFormatting sqref="B20">
    <cfRule type="expression" dxfId="157" priority="9">
      <formula>AND(W20&lt;&gt;0,B20="")</formula>
    </cfRule>
  </conditionalFormatting>
  <conditionalFormatting sqref="B22">
    <cfRule type="expression" dxfId="156" priority="354">
      <formula>AND(W22&lt;&gt;0,B22="")</formula>
    </cfRule>
  </conditionalFormatting>
  <conditionalFormatting sqref="B24">
    <cfRule type="expression" dxfId="155" priority="353">
      <formula>AND(W24&lt;&gt;0,B24="")</formula>
    </cfRule>
  </conditionalFormatting>
  <conditionalFormatting sqref="B26">
    <cfRule type="expression" dxfId="154" priority="352">
      <formula>AND(W26&lt;&gt;0,B26="")</formula>
    </cfRule>
  </conditionalFormatting>
  <conditionalFormatting sqref="B28">
    <cfRule type="expression" dxfId="153" priority="351">
      <formula>AND(W28&lt;&gt;0,B28="")</formula>
    </cfRule>
  </conditionalFormatting>
  <conditionalFormatting sqref="B30">
    <cfRule type="expression" dxfId="152" priority="350">
      <formula>AND(W30&lt;&gt;0,B30="")</formula>
    </cfRule>
  </conditionalFormatting>
  <conditionalFormatting sqref="B32">
    <cfRule type="expression" dxfId="151" priority="349">
      <formula>AND(W32&lt;&gt;0,B32="")</formula>
    </cfRule>
  </conditionalFormatting>
  <conditionalFormatting sqref="B34">
    <cfRule type="expression" dxfId="150" priority="348">
      <formula>AND(W34&lt;&gt;0,B34="")</formula>
    </cfRule>
  </conditionalFormatting>
  <conditionalFormatting sqref="B36">
    <cfRule type="expression" dxfId="149" priority="347">
      <formula>AND(W36&lt;&gt;0,B36="")</formula>
    </cfRule>
  </conditionalFormatting>
  <conditionalFormatting sqref="B38">
    <cfRule type="expression" dxfId="148" priority="346">
      <formula>AND(W38&lt;&gt;0,B38="")</formula>
    </cfRule>
  </conditionalFormatting>
  <conditionalFormatting sqref="B40">
    <cfRule type="expression" dxfId="147" priority="345">
      <formula>AND(W40&lt;&gt;0,B40="")</formula>
    </cfRule>
  </conditionalFormatting>
  <conditionalFormatting sqref="B42">
    <cfRule type="expression" dxfId="146" priority="344">
      <formula>AND(W42&lt;&gt;0,B42="")</formula>
    </cfRule>
  </conditionalFormatting>
  <conditionalFormatting sqref="B44">
    <cfRule type="expression" dxfId="145" priority="343">
      <formula>AND(W44&lt;&gt;0,B44="")</formula>
    </cfRule>
  </conditionalFormatting>
  <conditionalFormatting sqref="B46">
    <cfRule type="expression" dxfId="144" priority="342">
      <formula>AND(W46&lt;&gt;0,B46="")</formula>
    </cfRule>
  </conditionalFormatting>
  <conditionalFormatting sqref="B48">
    <cfRule type="expression" dxfId="143" priority="341">
      <formula>AND(W48&lt;&gt;0,B48="")</formula>
    </cfRule>
  </conditionalFormatting>
  <conditionalFormatting sqref="B50">
    <cfRule type="expression" dxfId="142" priority="340">
      <formula>AND(W50&lt;&gt;0,B50="")</formula>
    </cfRule>
  </conditionalFormatting>
  <conditionalFormatting sqref="B52">
    <cfRule type="expression" dxfId="141" priority="339">
      <formula>AND(W52&lt;&gt;0,B52="")</formula>
    </cfRule>
  </conditionalFormatting>
  <conditionalFormatting sqref="B54">
    <cfRule type="expression" dxfId="140" priority="338">
      <formula>AND(W54&lt;&gt;0,B54="")</formula>
    </cfRule>
  </conditionalFormatting>
  <conditionalFormatting sqref="C6:C7">
    <cfRule type="expression" dxfId="139" priority="15">
      <formula>OR($C6="",$C6=0)</formula>
    </cfRule>
  </conditionalFormatting>
  <conditionalFormatting sqref="D16 D18 D20 D22 D24 D26 D28 D30 D32 D34 D36 D38 D40 D42 D44 D46 D48 D50 D52 D54">
    <cfRule type="expression" dxfId="138" priority="16">
      <formula>OR( AND(B16&lt;&gt;"",LEFT(B16,2)&lt;&gt;"88",LEFT(D15,2)="99"), AND(D16&lt;&gt;"",LEFT(B16,2)="88",LEFT(D15,2)&lt;&gt;"99") )</formula>
    </cfRule>
    <cfRule type="expression" dxfId="137" priority="18">
      <formula>AND(W16&lt;&gt;0,D16="")</formula>
    </cfRule>
  </conditionalFormatting>
  <conditionalFormatting sqref="I13:X13">
    <cfRule type="cellIs" dxfId="132" priority="359" operator="notEqual">
      <formula>I57</formula>
    </cfRule>
  </conditionalFormatting>
  <conditionalFormatting sqref="I57:X57">
    <cfRule type="cellIs" dxfId="131" priority="358" stopIfTrue="1" operator="notEqual">
      <formula>I13</formula>
    </cfRule>
  </conditionalFormatting>
  <dataValidations disablePrompts="1" count="1">
    <dataValidation type="list" allowBlank="1" showInputMessage="1" showErrorMessage="1" sqref="D16 D18 D20 D22 D24 D26 D28 D30 D32 D34 D36 D38 D40 D42 D44 D46 D48 D50 D52 D54" xr:uid="{00000000-0002-0000-0200-000000000000}">
      <formula1>IF($B16="",工種_全部,IF(LEFT($B16,2)="88",工種_間接,工種_通常))</formula1>
    </dataValidation>
  </dataValidations>
  <printOptions horizontalCentered="1"/>
  <pageMargins left="0.43307086614173229" right="0.23622047244094491" top="0.31496062992125984" bottom="0.11811023622047245" header="0.15748031496062992" footer="0.23622047244094491"/>
  <pageSetup paperSize="9" scale="59" fitToHeight="10" orientation="portrait" r:id="rId1"/>
  <headerFooter alignWithMargins="0"/>
  <ignoredErrors>
    <ignoredError sqref="C16:C53" formula="1"/>
    <ignoredError sqref="B3" unlocked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id="{BCECB055-87A4-45A3-B087-E18342E19E0C}">
            <xm:f>AND(INDEX(PJ!$E:$E,MATCH($B16,PJ!$C:$C,0))&gt;DATE($B$3,$C$3,I$9),I16&lt;&gt;"")</xm:f>
            <x14:dxf>
              <font>
                <color rgb="FF9C0006"/>
              </font>
              <fill>
                <patternFill>
                  <bgColor rgb="FFFFC7CE"/>
                </patternFill>
              </fill>
            </x14:dxf>
          </x14:cfRule>
          <x14:cfRule type="expression" priority="2" id="{B6B5A0D8-3083-4CD3-ABE0-EDD77058CB38}">
            <xm:f>AND(INDEX(PJ!$F:$F,MATCH($B16,PJ!$C:$C,0))&lt;DATE($B$3,$C$3,I$9),I16&lt;&gt;"")</xm:f>
            <x14:dxf>
              <font>
                <color rgb="FF9C0006"/>
              </font>
              <fill>
                <patternFill>
                  <bgColor rgb="FFFFC7CE"/>
                </patternFill>
              </fill>
            </x14:dxf>
          </x14:cfRule>
          <xm:sqref>I16:V16 I18:V18 I20:V20</xm:sqref>
        </x14:conditionalFormatting>
        <x14:conditionalFormatting xmlns:xm="http://schemas.microsoft.com/office/excel/2006/main">
          <x14:cfRule type="expression" priority="13" id="{67C1E87E-B8F0-4B62-BE13-B234DD63521B}">
            <xm:f>AND(INDEX(PJ!$E:$E,MATCH($B22,PJ!$C:$C,0))&gt;DATE($B$3,$C$3,I$9),I22&lt;&gt;"")</xm:f>
            <x14:dxf>
              <font>
                <color rgb="FF9C0006"/>
              </font>
              <fill>
                <patternFill>
                  <bgColor rgb="FFFFC7CE"/>
                </patternFill>
              </fill>
            </x14:dxf>
          </x14:cfRule>
          <x14:cfRule type="expression" priority="14" id="{2C6B5D2A-4B61-49F0-80F7-37710494E387}">
            <xm:f>AND(INDEX(PJ!$F:$F,MATCH($B22,PJ!$C:$C,0))&lt;DATE($B$3,$C$3,I$9),I22&lt;&gt;"")</xm:f>
            <x14:dxf>
              <font>
                <color rgb="FF9C0006"/>
              </font>
              <fill>
                <patternFill>
                  <bgColor rgb="FFFFC7CE"/>
                </patternFill>
              </fill>
            </x14:dxf>
          </x14:cfRule>
          <xm:sqref>I22:V22 I24:V24 I26:V26 I28:V28 I30:V30 I32:V32 I34:V34 I36:V36 I38:V38 I40:V40 I42:V42 I44:V44 I46:V46 I48:V48 I50:V50 I52:V52 I54:V54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A86"/>
  <sheetViews>
    <sheetView showGridLines="0" zoomScaleNormal="100" zoomScaleSheetLayoutView="100" workbookViewId="0">
      <selection activeCell="C3" sqref="C3"/>
    </sheetView>
  </sheetViews>
  <sheetFormatPr defaultColWidth="8" defaultRowHeight="20.100000000000001" customHeight="1"/>
  <cols>
    <col min="1" max="1" width="2.625" style="4" customWidth="1"/>
    <col min="2" max="2" width="11.375" style="2" customWidth="1"/>
    <col min="3" max="3" width="23.125" style="2" customWidth="1"/>
    <col min="4" max="4" width="13.875" style="2" customWidth="1"/>
    <col min="5" max="5" width="31.125" style="2" customWidth="1"/>
    <col min="6" max="6" width="6" style="2" customWidth="1"/>
    <col min="7" max="7" width="5.375" style="4" customWidth="1"/>
    <col min="8" max="8" width="1.875" style="4" customWidth="1"/>
    <col min="9" max="24" width="3.375" style="2" customWidth="1"/>
    <col min="25" max="25" width="0.375" style="39" customWidth="1"/>
    <col min="26" max="26" width="8" style="2" customWidth="1"/>
    <col min="27" max="27" width="8" style="39"/>
    <col min="28" max="16384" width="8" style="2"/>
  </cols>
  <sheetData>
    <row r="1" spans="1:27" ht="25.5">
      <c r="A1" s="346" t="s">
        <v>0</v>
      </c>
      <c r="B1" s="346"/>
      <c r="C1" s="346"/>
      <c r="D1" s="346"/>
      <c r="E1" s="346"/>
      <c r="F1" s="346"/>
      <c r="G1" s="346"/>
      <c r="H1" s="346"/>
      <c r="I1" s="346"/>
      <c r="J1" s="346"/>
      <c r="K1" s="346"/>
      <c r="L1" s="346"/>
      <c r="M1" s="346"/>
      <c r="N1" s="346"/>
      <c r="O1" s="346"/>
      <c r="P1" s="346"/>
      <c r="Q1" s="346"/>
      <c r="R1" s="346"/>
      <c r="S1" s="346"/>
      <c r="T1" s="346"/>
      <c r="U1" s="346"/>
      <c r="V1" s="346"/>
      <c r="W1" s="346"/>
      <c r="X1" s="346"/>
      <c r="Y1" s="2"/>
      <c r="AA1" s="2"/>
    </row>
    <row r="2" spans="1:27" ht="19.5" customHeight="1">
      <c r="E2" s="5"/>
      <c r="H2" s="2"/>
      <c r="Q2" s="245"/>
      <c r="R2" s="46"/>
      <c r="S2" s="36"/>
      <c r="T2" s="34" t="s">
        <v>1</v>
      </c>
      <c r="U2" s="35"/>
      <c r="V2" s="37"/>
      <c r="W2" s="34" t="s">
        <v>2</v>
      </c>
      <c r="X2" s="38"/>
      <c r="Z2" s="53"/>
    </row>
    <row r="3" spans="1:27" ht="19.5" customHeight="1">
      <c r="B3" s="3">
        <f>'1週'!B3</f>
        <v>2026</v>
      </c>
      <c r="C3" s="57">
        <f>'1週'!C3</f>
        <v>7</v>
      </c>
      <c r="D3" s="121"/>
      <c r="E3" s="5"/>
      <c r="H3" s="2"/>
      <c r="I3" s="6"/>
      <c r="R3" s="46"/>
      <c r="S3" s="363"/>
      <c r="T3" s="364"/>
      <c r="U3" s="365"/>
      <c r="V3" s="363"/>
      <c r="W3" s="364"/>
      <c r="X3" s="365"/>
      <c r="Z3" s="53"/>
    </row>
    <row r="4" spans="1:27" ht="19.5" customHeight="1">
      <c r="C4" s="18">
        <f>IF('1週'!C3="","",IF('1週'!C4=1,4,3))</f>
        <v>4</v>
      </c>
      <c r="D4" s="113"/>
      <c r="E4" s="7"/>
      <c r="F4" s="7"/>
      <c r="G4" s="7"/>
      <c r="H4" s="7"/>
      <c r="I4" s="8"/>
      <c r="J4" s="7"/>
      <c r="K4" s="7"/>
      <c r="L4" s="7"/>
      <c r="M4" s="7"/>
      <c r="N4" s="7"/>
      <c r="O4" s="7"/>
      <c r="P4" s="7"/>
      <c r="Q4" s="1"/>
      <c r="R4" s="54"/>
      <c r="S4" s="366"/>
      <c r="T4" s="367"/>
      <c r="U4" s="368"/>
      <c r="V4" s="366"/>
      <c r="W4" s="367"/>
      <c r="X4" s="368"/>
    </row>
    <row r="5" spans="1:27" ht="19.5" customHeight="1">
      <c r="A5" s="9"/>
      <c r="B5" s="7"/>
      <c r="C5" s="10"/>
      <c r="D5" s="10"/>
      <c r="E5" s="9"/>
      <c r="F5" s="7"/>
      <c r="G5" s="7"/>
      <c r="H5" s="7"/>
      <c r="I5" s="7"/>
      <c r="J5" s="7"/>
      <c r="K5" s="7"/>
      <c r="L5" s="7"/>
      <c r="M5" s="7"/>
      <c r="N5" s="7"/>
      <c r="O5" s="7"/>
      <c r="P5" s="7"/>
      <c r="Q5" s="7"/>
      <c r="R5" s="54"/>
      <c r="S5" s="369"/>
      <c r="T5" s="370"/>
      <c r="U5" s="371"/>
      <c r="V5" s="369"/>
      <c r="W5" s="370"/>
      <c r="X5" s="371"/>
    </row>
    <row r="6" spans="1:27" ht="19.5" customHeight="1">
      <c r="B6" s="33" t="s">
        <v>3</v>
      </c>
      <c r="C6" s="56" t="str">
        <f>'1週'!C6</f>
        <v>FPTジャパン</v>
      </c>
      <c r="D6" s="122"/>
      <c r="H6" s="2"/>
    </row>
    <row r="7" spans="1:27" ht="19.5" customHeight="1">
      <c r="B7" s="33" t="s">
        <v>5</v>
      </c>
      <c r="C7" s="56" t="str">
        <f>'1週'!C7</f>
        <v>LE NHUT THIEN</v>
      </c>
      <c r="D7" s="122"/>
      <c r="H7" s="2"/>
      <c r="K7" s="357"/>
      <c r="L7" s="358"/>
      <c r="M7" s="372"/>
      <c r="N7" s="373"/>
      <c r="O7" s="373"/>
      <c r="P7" s="374"/>
      <c r="Q7" s="374"/>
      <c r="R7" s="374"/>
      <c r="S7" s="374"/>
      <c r="T7" s="261"/>
      <c r="U7" s="374"/>
      <c r="V7" s="374"/>
      <c r="W7" s="375"/>
      <c r="X7" s="375"/>
    </row>
    <row r="8" spans="1:27" ht="18" customHeight="1">
      <c r="G8" s="2"/>
      <c r="H8" s="2"/>
      <c r="I8" s="336" t="s">
        <v>8</v>
      </c>
      <c r="J8" s="337"/>
      <c r="K8" s="336" t="s">
        <v>9</v>
      </c>
      <c r="L8" s="337"/>
      <c r="M8" s="336" t="s">
        <v>10</v>
      </c>
      <c r="N8" s="337"/>
      <c r="O8" s="336" t="s">
        <v>11</v>
      </c>
      <c r="P8" s="337"/>
      <c r="Q8" s="336" t="s">
        <v>12</v>
      </c>
      <c r="R8" s="337"/>
      <c r="S8" s="336" t="s">
        <v>13</v>
      </c>
      <c r="T8" s="337"/>
      <c r="U8" s="336" t="s">
        <v>14</v>
      </c>
      <c r="V8" s="337"/>
      <c r="W8" s="11"/>
      <c r="Y8" s="2"/>
      <c r="AA8" s="2"/>
    </row>
    <row r="9" spans="1:27" s="4" customFormat="1" ht="18" customHeight="1">
      <c r="B9" s="12"/>
      <c r="F9" s="13"/>
      <c r="H9" s="14"/>
      <c r="I9" s="344">
        <f>'3週'!U9+1</f>
        <v>20</v>
      </c>
      <c r="J9" s="345"/>
      <c r="K9" s="378">
        <f>I9+1</f>
        <v>21</v>
      </c>
      <c r="L9" s="379"/>
      <c r="M9" s="378">
        <f>K9+1</f>
        <v>22</v>
      </c>
      <c r="N9" s="379"/>
      <c r="O9" s="378">
        <f>M9+1</f>
        <v>23</v>
      </c>
      <c r="P9" s="379"/>
      <c r="Q9" s="378">
        <f>O9+1</f>
        <v>24</v>
      </c>
      <c r="R9" s="379"/>
      <c r="S9" s="378">
        <f>Q9+1</f>
        <v>25</v>
      </c>
      <c r="T9" s="379"/>
      <c r="U9" s="378">
        <f>S9+1</f>
        <v>26</v>
      </c>
      <c r="V9" s="379"/>
    </row>
    <row r="10" ht="18" customHeight="1">
      <c r="A10" s="25" t="s">
        <v>15</v>
      </c>
      <c r="B10" s="26" t="s">
        <v>16</v>
      </c>
      <c r="C10" s="27" t="s">
        <v>17</v>
      </c>
      <c r="D10" s="27" t="s">
        <v>18</v>
      </c>
      <c r="E10" s="25" t="s">
        <v>19</v>
      </c>
      <c r="F10" s="28" t="s">
        <v>20</v>
      </c>
      <c r="G10" s="347" t="s">
        <v>21</v>
      </c>
      <c r="H10" s="329"/>
      <c r="I10" s="342"/>
      <c r="J10" s="343"/>
      <c r="K10" s="342">
        <v>0.375</v>
      </c>
      <c r="L10" s="343"/>
      <c r="M10" s="342">
        <v>0.375</v>
      </c>
      <c r="N10" s="343"/>
      <c r="O10" s="342">
        <v>0.375</v>
      </c>
      <c r="P10" s="343"/>
      <c r="Q10" s="342">
        <v>0.375</v>
      </c>
      <c r="R10" s="343"/>
      <c r="S10" s="342"/>
      <c r="T10" s="343"/>
      <c r="U10" s="342"/>
      <c r="V10" s="343"/>
      <c r="W10" s="338" t="s">
        <v>22</v>
      </c>
      <c r="X10" s="339"/>
    </row>
    <row r="11" ht="18" customHeight="1">
      <c r="A11" s="29"/>
      <c r="B11" s="114" t="s">
        <v>23</v>
      </c>
      <c r="C11" s="27" t="s">
        <v>24</v>
      </c>
      <c r="D11" s="27" t="s">
        <v>25</v>
      </c>
      <c r="E11" s="29"/>
      <c r="F11" s="30" t="s">
        <v>26</v>
      </c>
      <c r="G11" s="348" t="s">
        <v>27</v>
      </c>
      <c r="H11" s="349"/>
      <c r="I11" s="334"/>
      <c r="J11" s="335"/>
      <c r="K11" s="334">
        <v>0.7708333333</v>
      </c>
      <c r="L11" s="335"/>
      <c r="M11" s="334">
        <v>0.7708333333</v>
      </c>
      <c r="N11" s="335"/>
      <c r="O11" s="334">
        <v>0.7708333333</v>
      </c>
      <c r="P11" s="335"/>
      <c r="Q11" s="334">
        <v>0.7708333333</v>
      </c>
      <c r="R11" s="335"/>
      <c r="S11" s="334"/>
      <c r="T11" s="335"/>
      <c r="U11" s="334"/>
      <c r="V11" s="335"/>
      <c r="W11" s="340">
        <f>'3週'!W11+W13</f>
        <v>7.5</v>
      </c>
      <c r="X11" s="341"/>
      <c r="Z11" s="4"/>
    </row>
    <row r="12" ht="17.25" customHeight="1">
      <c r="A12" s="31"/>
      <c r="B12" s="32"/>
      <c r="C12" s="32"/>
      <c r="D12" s="32"/>
      <c r="E12" s="32"/>
      <c r="F12" s="350" t="s">
        <v>28</v>
      </c>
      <c r="G12" s="351"/>
      <c r="H12" s="352"/>
      <c r="I12" s="332"/>
      <c r="J12" s="333"/>
      <c r="K12" s="332">
        <v>0.0416666667</v>
      </c>
      <c r="L12" s="333"/>
      <c r="M12" s="332">
        <v>0.0416666667</v>
      </c>
      <c r="N12" s="333"/>
      <c r="O12" s="332">
        <v>0.0416666667</v>
      </c>
      <c r="P12" s="333"/>
      <c r="Q12" s="332">
        <v>0.0416666667</v>
      </c>
      <c r="R12" s="333"/>
      <c r="S12" s="332"/>
      <c r="T12" s="333"/>
      <c r="U12" s="332"/>
      <c r="V12" s="380"/>
      <c r="W12" s="376" t="s">
        <v>29</v>
      </c>
      <c r="X12" s="377"/>
    </row>
    <row r="13" spans="1:27" ht="20.100000000000001" customHeight="1">
      <c r="A13" s="353" t="s">
        <v>29</v>
      </c>
      <c r="B13" s="354"/>
      <c r="C13" s="354"/>
      <c r="D13" s="354"/>
      <c r="E13" s="354"/>
      <c r="F13" s="354"/>
      <c r="G13" s="354"/>
      <c r="H13" s="355"/>
      <c r="I13" s="330">
        <f>TIMEVALUE(TEXT(I11-I10-I12,"h:mm:ss"))</f>
        <v>0.375</v>
      </c>
      <c r="J13" s="331"/>
      <c r="K13" s="330">
        <f>TIMEVALUE(TEXT(K11-K10-K12,"h:mm:ss"))</f>
        <v>0.375</v>
      </c>
      <c r="L13" s="331"/>
      <c r="M13" s="330">
        <f>TIMEVALUE(TEXT(M11-M10-M12,"h:mm:ss"))</f>
        <v>0.375</v>
      </c>
      <c r="N13" s="331"/>
      <c r="O13" s="330">
        <f>TIMEVALUE(TEXT(O11-O10-O12,"h:mm:ss"))</f>
        <v>0.375</v>
      </c>
      <c r="P13" s="331"/>
      <c r="Q13" s="330">
        <f>TIMEVALUE(TEXT(Q11-Q10-Q12,"h:mm:ss"))</f>
        <v>0.375</v>
      </c>
      <c r="R13" s="331"/>
      <c r="S13" s="330">
        <f>TIMEVALUE(TEXT(S11-S10-S12,"h:mm:ss"))</f>
        <v>0</v>
      </c>
      <c r="T13" s="331"/>
      <c r="U13" s="330">
        <f>TIMEVALUE(TEXT(U11-U10-U12,"h:mm:ss"))</f>
        <v>0</v>
      </c>
      <c r="V13" s="331"/>
      <c r="W13" s="361">
        <f>CEILING(SUM(I13:V13),"0:5")</f>
        <v>1.875</v>
      </c>
      <c r="X13" s="362"/>
    </row>
    <row r="14" spans="1:27" ht="8.25" customHeight="1">
      <c r="B14" s="15"/>
      <c r="C14" s="16"/>
      <c r="D14" s="4"/>
      <c r="E14" s="4"/>
      <c r="F14" s="13"/>
      <c r="W14" s="4"/>
      <c r="X14" s="4"/>
      <c r="Y14" s="2"/>
      <c r="AA14" s="2"/>
    </row>
    <row r="15" ht="18" customHeight="1">
      <c r="A15" s="25">
        <v>1</v>
      </c>
      <c r="B15" s="81">
        <f>IF($B16="","",INDEX(PJ!$A:$A,MATCH(B16,PJ!$C:$C,0)))</f>
        <v>10000</v>
      </c>
      <c r="C15" s="82" t="str">
        <f>IF($B16="","",INDEX(PJ!$B:$B,MATCH(B16, PJ!$C:$C, 0)))</f>
        <v>Yokogawa</v>
      </c>
      <c r="D15" s="81" t="str">
        <f>IF(D16="","",INDEX(工種!$A$2:$A$83,MATCH(D16,工種!$B$2:$B$83,0),1))</f>
        <v>10102</v>
      </c>
      <c r="E15" s="40"/>
      <c r="F15" s="41"/>
      <c r="G15" s="23" t="s">
        <v>20</v>
      </c>
      <c r="H15" s="259"/>
      <c r="I15" s="328"/>
      <c r="J15" s="329"/>
      <c r="K15" s="328"/>
      <c r="L15" s="329"/>
      <c r="M15" s="328"/>
      <c r="N15" s="329"/>
      <c r="O15" s="328"/>
      <c r="P15" s="329"/>
      <c r="Q15" s="328"/>
      <c r="R15" s="329"/>
      <c r="S15" s="19"/>
      <c r="T15" s="20"/>
      <c r="U15" s="19"/>
      <c r="V15" s="20"/>
      <c r="W15" s="21"/>
      <c r="X15" s="22"/>
    </row>
    <row r="16" ht="18" customHeight="1">
      <c r="A16" s="29"/>
      <c r="B16" s="24">
        <v>10000</v>
      </c>
      <c r="C16" s="83" t="str">
        <f>IF($B16="","",INDEX(PJ!$D:$D,MATCH(B16, PJ!$C:$C, 0)))</f>
        <v xml:space="preserve">Rep Portal </v>
      </c>
      <c r="D16" s="146" t="inlineStr">
        <is>
          <t xml:space="preserve">製造：コーディング</t>
        </is>
      </c>
      <c r="E16" s="42" t="inlineStr">
        <is>
          <t xml:space="preserve">コーディング</t>
        </is>
      </c>
      <c r="F16" s="43"/>
      <c r="G16" s="24" t="s">
        <v>32</v>
      </c>
      <c r="H16" s="258"/>
      <c r="I16" s="334"/>
      <c r="J16" s="335"/>
      <c r="K16" s="334">
        <v>0.2708333333</v>
      </c>
      <c r="L16" s="335"/>
      <c r="M16" s="334">
        <v>0.2708333333</v>
      </c>
      <c r="N16" s="335"/>
      <c r="O16" s="334">
        <v>0.2708333333</v>
      </c>
      <c r="P16" s="335"/>
      <c r="Q16" s="334">
        <v>0.2708333333</v>
      </c>
      <c r="R16" s="335"/>
      <c r="S16" s="334"/>
      <c r="T16" s="335"/>
      <c r="U16" s="334"/>
      <c r="V16" s="335"/>
      <c r="W16" s="340">
        <f>SUM(I16:V16)</f>
        <v>1.0416666666666667</v>
      </c>
      <c r="X16" s="341"/>
    </row>
    <row r="17" ht="18" customHeight="1">
      <c r="A17" s="25">
        <v>2</v>
      </c>
      <c r="B17" s="81">
        <f>IF($B18="","",INDEX(PJ!$A:$A,MATCH(B18,PJ!$C:$C,0)))</f>
        <v>10000</v>
      </c>
      <c r="C17" s="82" t="str">
        <f>IF($B18="","",INDEX(PJ!$B:$B,MATCH(B18, PJ!$C:$C, 0)))</f>
        <v>Yokogawa</v>
      </c>
      <c r="D17" s="81" t="str">
        <f>IF(D18="","",INDEX(工種!$A$2:$A$83,MATCH(D18,工種!$B$2:$B$83,0),1))</f>
        <v>30106</v>
      </c>
      <c r="E17" s="40"/>
      <c r="F17" s="41"/>
      <c r="G17" s="23" t="s">
        <v>20</v>
      </c>
      <c r="H17" s="259"/>
      <c r="I17" s="328"/>
      <c r="J17" s="329"/>
      <c r="K17" s="328"/>
      <c r="L17" s="329"/>
      <c r="M17" s="328"/>
      <c r="N17" s="329"/>
      <c r="O17" s="328"/>
      <c r="P17" s="329"/>
      <c r="Q17" s="328"/>
      <c r="R17" s="329"/>
      <c r="S17" s="19"/>
      <c r="T17" s="20"/>
      <c r="U17" s="19"/>
      <c r="V17" s="20"/>
      <c r="W17" s="19"/>
      <c r="X17" s="20"/>
    </row>
    <row r="18" ht="18" customHeight="1">
      <c r="A18" s="29"/>
      <c r="B18" s="24">
        <v>10000</v>
      </c>
      <c r="C18" s="83" t="str">
        <f>IF($B18="","",INDEX(PJ!$D:$D,MATCH(B18, PJ!$C:$C, 0)))</f>
        <v xml:space="preserve">Rep Portal </v>
      </c>
      <c r="D18" s="146" t="inlineStr">
        <is>
          <t xml:space="preserve">テスト：結合テスト実施</t>
        </is>
      </c>
      <c r="E18" s="42" t="inlineStr">
        <is>
          <t xml:space="preserve">結合テスト実施</t>
        </is>
      </c>
      <c r="F18" s="43"/>
      <c r="G18" s="24" t="s">
        <v>32</v>
      </c>
      <c r="H18" s="258"/>
      <c r="I18" s="334"/>
      <c r="J18" s="335"/>
      <c r="K18" s="334">
        <v>0.0833333333</v>
      </c>
      <c r="L18" s="335"/>
      <c r="M18" s="334">
        <v>0.0833333333</v>
      </c>
      <c r="N18" s="335"/>
      <c r="O18" s="334">
        <v>0.0833333333</v>
      </c>
      <c r="P18" s="335"/>
      <c r="Q18" s="334">
        <v>0.0833333333</v>
      </c>
      <c r="R18" s="335"/>
      <c r="S18" s="334"/>
      <c r="T18" s="335"/>
      <c r="U18" s="334"/>
      <c r="V18" s="335"/>
      <c r="W18" s="340">
        <f>SUM(I18:V18)</f>
        <v>0.625</v>
      </c>
      <c r="X18" s="341"/>
    </row>
    <row r="19" ht="18" customHeight="1">
      <c r="A19" s="25">
        <v>3</v>
      </c>
      <c r="B19" s="81">
        <f>IF($B20="","",INDEX(PJ!$A:$A,MATCH(B20,PJ!$C:$C,0)))</f>
        <v>10000</v>
      </c>
      <c r="C19" s="82" t="str">
        <f>IF($B20="","",INDEX(PJ!$B:$B,MATCH(B20, PJ!$C:$C, 0)))</f>
        <v>Yokogawa</v>
      </c>
      <c r="D19" s="81" t="str">
        <f>IF(D20="","",INDEX(工種!$A$2:$A$83,MATCH(D20,工種!$B$2:$B$83,0),1))</f>
        <v>40108</v>
      </c>
      <c r="E19" s="40"/>
      <c r="F19" s="41"/>
      <c r="G19" s="23" t="s">
        <v>20</v>
      </c>
      <c r="H19" s="259"/>
      <c r="I19" s="328"/>
      <c r="J19" s="329"/>
      <c r="K19" s="328"/>
      <c r="L19" s="329"/>
      <c r="M19" s="328"/>
      <c r="N19" s="329"/>
      <c r="O19" s="328"/>
      <c r="P19" s="329"/>
      <c r="Q19" s="328"/>
      <c r="R19" s="329"/>
      <c r="S19" s="19"/>
      <c r="T19" s="20"/>
      <c r="U19" s="19"/>
      <c r="V19" s="20"/>
      <c r="W19" s="19"/>
      <c r="X19" s="20"/>
    </row>
    <row r="20" ht="18" customHeight="1">
      <c r="A20" s="29"/>
      <c r="B20" s="24"/>
      <c r="C20" s="83" t="str">
        <f>IF($B20="","",INDEX(PJ!$D:$D,MATCH(B20, PJ!$C:$C, 0)))</f>
        <v xml:space="preserve">Rep Portal </v>
      </c>
      <c r="D20" s="146"/>
      <c r="E20" s="42"/>
      <c r="F20" s="43"/>
      <c r="G20" s="24" t="s">
        <v>32</v>
      </c>
      <c r="H20" s="258"/>
      <c r="I20" s="334"/>
      <c r="J20" s="335"/>
      <c r="K20" s="334"/>
      <c r="L20" s="335"/>
      <c r="M20" s="334"/>
      <c r="N20" s="335"/>
      <c r="O20" s="334"/>
      <c r="P20" s="335"/>
      <c r="Q20" s="334"/>
      <c r="R20" s="335"/>
      <c r="S20" s="334"/>
      <c r="T20" s="335"/>
      <c r="U20" s="334"/>
      <c r="V20" s="335"/>
      <c r="W20" s="340">
        <f>SUM(I20:V20)</f>
        <v>0.52083333333333337</v>
      </c>
      <c r="X20" s="341"/>
    </row>
    <row r="21" ht="18" customHeight="1">
      <c r="A21" s="25">
        <v>4</v>
      </c>
      <c r="B21" s="81" t="str">
        <f>IF($B22="","",INDEX(PJ!$A:$A,MATCH(B22,PJ!$C:$C,0)))</f>
        <v/>
      </c>
      <c r="C21" s="82" t="str">
        <f>IF($B22="","",INDEX(PJ!$B:$B,MATCH(B22, PJ!$C:$C, 0)))</f>
        <v/>
      </c>
      <c r="D21" s="81" t="str">
        <f>IF(D22="","",INDEX(工種!$A$2:$A$83,MATCH(D22,工種!$B$2:$B$83,0),1))</f>
        <v/>
      </c>
      <c r="E21" s="40"/>
      <c r="F21" s="41"/>
      <c r="G21" s="23" t="s">
        <v>20</v>
      </c>
      <c r="H21" s="259"/>
      <c r="I21" s="19"/>
      <c r="J21" s="20"/>
      <c r="K21" s="19"/>
      <c r="L21" s="20"/>
      <c r="M21" s="19"/>
      <c r="N21" s="20"/>
      <c r="O21" s="19"/>
      <c r="P21" s="20"/>
      <c r="Q21" s="19"/>
      <c r="R21" s="20"/>
      <c r="S21" s="19"/>
      <c r="T21" s="20"/>
      <c r="U21" s="19"/>
      <c r="V21" s="20"/>
      <c r="W21" s="19"/>
      <c r="X21" s="20"/>
    </row>
    <row r="22" ht="18" customHeight="1">
      <c r="A22" s="29"/>
      <c r="B22" s="24"/>
      <c r="C22" s="83" t="str">
        <f>IF($B22="","",INDEX(PJ!$D:$D,MATCH(B22, PJ!$C:$C, 0)))</f>
        <v/>
      </c>
      <c r="D22" s="146"/>
      <c r="E22" s="42"/>
      <c r="F22" s="43"/>
      <c r="G22" s="24" t="s">
        <v>32</v>
      </c>
      <c r="H22" s="258"/>
      <c r="I22" s="334"/>
      <c r="J22" s="335"/>
      <c r="K22" s="334"/>
      <c r="L22" s="335"/>
      <c r="M22" s="334"/>
      <c r="N22" s="335"/>
      <c r="O22" s="334"/>
      <c r="P22" s="335"/>
      <c r="Q22" s="334"/>
      <c r="R22" s="335"/>
      <c r="S22" s="334"/>
      <c r="T22" s="335"/>
      <c r="U22" s="334"/>
      <c r="V22" s="335"/>
      <c r="W22" s="340">
        <f>SUM(I22:V22)</f>
        <v>0</v>
      </c>
      <c r="X22" s="341"/>
    </row>
    <row r="23" ht="18" customHeight="1">
      <c r="A23" s="25">
        <v>5</v>
      </c>
      <c r="B23" s="81" t="str">
        <f>IF($B24="","",INDEX(PJ!$A:$A,MATCH(B24,PJ!$C:$C,0)))</f>
        <v/>
      </c>
      <c r="C23" s="82" t="str">
        <f>IF($B24="","",INDEX(PJ!$B:$B,MATCH(B24, PJ!$C:$C, 0)))</f>
        <v/>
      </c>
      <c r="D23" s="81" t="str">
        <f>IF(D24="","",INDEX(工種!$A$2:$A$83,MATCH(D24,工種!$B$2:$B$83,0),1))</f>
        <v/>
      </c>
      <c r="E23" s="40"/>
      <c r="F23" s="41"/>
      <c r="G23" s="23" t="s">
        <v>20</v>
      </c>
      <c r="H23" s="259"/>
      <c r="I23" s="19"/>
      <c r="J23" s="20"/>
      <c r="K23" s="19"/>
      <c r="L23" s="20"/>
      <c r="M23" s="19"/>
      <c r="N23" s="20"/>
      <c r="O23" s="19"/>
      <c r="P23" s="20"/>
      <c r="Q23" s="19"/>
      <c r="R23" s="20"/>
      <c r="S23" s="19"/>
      <c r="T23" s="20"/>
      <c r="U23" s="19"/>
      <c r="V23" s="20"/>
      <c r="W23" s="19"/>
      <c r="X23" s="20"/>
    </row>
    <row r="24" ht="18" customHeight="1">
      <c r="A24" s="29"/>
      <c r="B24" s="24"/>
      <c r="C24" s="83" t="str">
        <f>IF($B24="","",INDEX(PJ!$D:$D,MATCH(B24, PJ!$C:$C, 0)))</f>
        <v/>
      </c>
      <c r="D24" s="146"/>
      <c r="E24" s="42"/>
      <c r="F24" s="43"/>
      <c r="G24" s="24" t="s">
        <v>32</v>
      </c>
      <c r="H24" s="258"/>
      <c r="I24" s="334"/>
      <c r="J24" s="335"/>
      <c r="K24" s="334"/>
      <c r="L24" s="335"/>
      <c r="M24" s="334"/>
      <c r="N24" s="335"/>
      <c r="O24" s="334"/>
      <c r="P24" s="335"/>
      <c r="Q24" s="334"/>
      <c r="R24" s="335"/>
      <c r="S24" s="334"/>
      <c r="T24" s="335"/>
      <c r="U24" s="334"/>
      <c r="V24" s="335"/>
      <c r="W24" s="340">
        <f>SUM(I24:V24)</f>
        <v>0</v>
      </c>
      <c r="X24" s="341"/>
    </row>
    <row r="25" ht="18" customHeight="1">
      <c r="A25" s="25">
        <v>6</v>
      </c>
      <c r="B25" s="81" t="str">
        <f>IF($B26="","",INDEX(PJ!$A:$A,MATCH(B26,PJ!$C:$C,0)))</f>
        <v/>
      </c>
      <c r="C25" s="82" t="str">
        <f>IF($B26="","",INDEX(PJ!$B:$B,MATCH(B26, PJ!$C:$C, 0)))</f>
        <v/>
      </c>
      <c r="D25" s="81" t="str">
        <f>IF(D26="","",INDEX(工種!$A$2:$A$83,MATCH(D26,工種!$B$2:$B$83,0),1))</f>
        <v/>
      </c>
      <c r="E25" s="40"/>
      <c r="F25" s="41"/>
      <c r="G25" s="23" t="s">
        <v>20</v>
      </c>
      <c r="H25" s="259"/>
      <c r="I25" s="19"/>
      <c r="J25" s="20"/>
      <c r="K25" s="19"/>
      <c r="L25" s="20"/>
      <c r="M25" s="19"/>
      <c r="N25" s="20"/>
      <c r="O25" s="19"/>
      <c r="P25" s="20"/>
      <c r="Q25" s="19"/>
      <c r="R25" s="20"/>
      <c r="S25" s="19"/>
      <c r="T25" s="20"/>
      <c r="U25" s="19"/>
      <c r="V25" s="20"/>
      <c r="W25" s="19"/>
      <c r="X25" s="20"/>
    </row>
    <row r="26" ht="18" customHeight="1">
      <c r="A26" s="29"/>
      <c r="B26" s="24"/>
      <c r="C26" s="83" t="str">
        <f>IF($B26="","",INDEX(PJ!$D:$D,MATCH(B26, PJ!$C:$C, 0)))</f>
        <v/>
      </c>
      <c r="D26" s="146"/>
      <c r="E26" s="42"/>
      <c r="F26" s="43"/>
      <c r="G26" s="24" t="s">
        <v>32</v>
      </c>
      <c r="H26" s="258"/>
      <c r="I26" s="334"/>
      <c r="J26" s="335"/>
      <c r="K26" s="334"/>
      <c r="L26" s="335"/>
      <c r="M26" s="334"/>
      <c r="N26" s="335"/>
      <c r="O26" s="334"/>
      <c r="P26" s="335"/>
      <c r="Q26" s="334"/>
      <c r="R26" s="335"/>
      <c r="S26" s="334"/>
      <c r="T26" s="335"/>
      <c r="U26" s="334"/>
      <c r="V26" s="335"/>
      <c r="W26" s="340">
        <f>SUM(I26:V26)</f>
        <v>0</v>
      </c>
      <c r="X26" s="341"/>
    </row>
    <row r="27" ht="18" customHeight="1">
      <c r="A27" s="25">
        <v>7</v>
      </c>
      <c r="B27" s="81" t="str">
        <f>IF($B28="","",INDEX(PJ!$A:$A,MATCH(B28,PJ!$C:$C,0)))</f>
        <v/>
      </c>
      <c r="C27" s="82" t="str">
        <f>IF($B28="","",INDEX(PJ!$B:$B,MATCH(B28, PJ!$C:$C, 0)))</f>
        <v/>
      </c>
      <c r="D27" s="81" t="str">
        <f>IF(D28="","",INDEX(工種!$A$2:$A$83,MATCH(D28,工種!$B$2:$B$83,0),1))</f>
        <v/>
      </c>
      <c r="E27" s="40"/>
      <c r="F27" s="41"/>
      <c r="G27" s="23" t="s">
        <v>20</v>
      </c>
      <c r="H27" s="259"/>
      <c r="I27" s="19"/>
      <c r="J27" s="20"/>
      <c r="K27" s="19"/>
      <c r="L27" s="20"/>
      <c r="M27" s="19"/>
      <c r="N27" s="20"/>
      <c r="O27" s="19"/>
      <c r="P27" s="20"/>
      <c r="Q27" s="19"/>
      <c r="R27" s="20"/>
      <c r="S27" s="19"/>
      <c r="T27" s="20"/>
      <c r="U27" s="19"/>
      <c r="V27" s="20"/>
      <c r="W27" s="19"/>
      <c r="X27" s="20"/>
    </row>
    <row r="28" ht="18" customHeight="1">
      <c r="A28" s="29"/>
      <c r="B28" s="24"/>
      <c r="C28" s="83" t="str">
        <f>IF($B28="","",INDEX(PJ!$D:$D,MATCH(B28, PJ!$C:$C, 0)))</f>
        <v/>
      </c>
      <c r="D28" s="146"/>
      <c r="E28" s="42"/>
      <c r="F28" s="43"/>
      <c r="G28" s="24" t="s">
        <v>32</v>
      </c>
      <c r="H28" s="258"/>
      <c r="I28" s="334"/>
      <c r="J28" s="335"/>
      <c r="K28" s="334"/>
      <c r="L28" s="335"/>
      <c r="M28" s="334"/>
      <c r="N28" s="335"/>
      <c r="O28" s="334"/>
      <c r="P28" s="335"/>
      <c r="Q28" s="334"/>
      <c r="R28" s="335"/>
      <c r="S28" s="334"/>
      <c r="T28" s="335"/>
      <c r="U28" s="334"/>
      <c r="V28" s="335"/>
      <c r="W28" s="340">
        <f>SUM(I28:V28)</f>
        <v>0</v>
      </c>
      <c r="X28" s="341"/>
    </row>
    <row r="29" ht="18" customHeight="1">
      <c r="A29" s="25">
        <v>8</v>
      </c>
      <c r="B29" s="81" t="str">
        <f>IF($B30="","",INDEX(PJ!$A:$A,MATCH(B30,PJ!$C:$C,0)))</f>
        <v/>
      </c>
      <c r="C29" s="82" t="str">
        <f>IF($B30="","",INDEX(PJ!$B:$B,MATCH(B30, PJ!$C:$C, 0)))</f>
        <v/>
      </c>
      <c r="D29" s="81" t="str">
        <f>IF(D30="","",INDEX(工種!$A$2:$A$83,MATCH(D30,工種!$B$2:$B$83,0),1))</f>
        <v/>
      </c>
      <c r="E29" s="40"/>
      <c r="F29" s="41"/>
      <c r="G29" s="23" t="s">
        <v>20</v>
      </c>
      <c r="H29" s="259"/>
      <c r="I29" s="19"/>
      <c r="J29" s="20"/>
      <c r="K29" s="19"/>
      <c r="L29" s="20"/>
      <c r="M29" s="19"/>
      <c r="N29" s="20"/>
      <c r="O29" s="19"/>
      <c r="P29" s="20"/>
      <c r="Q29" s="19"/>
      <c r="R29" s="20"/>
      <c r="S29" s="19"/>
      <c r="T29" s="20"/>
      <c r="U29" s="19"/>
      <c r="V29" s="20"/>
      <c r="W29" s="19"/>
      <c r="X29" s="20"/>
    </row>
    <row r="30" ht="18" customHeight="1">
      <c r="A30" s="29"/>
      <c r="B30" s="24"/>
      <c r="C30" s="83" t="str">
        <f>IF($B30="","",INDEX(PJ!$D:$D,MATCH(B30, PJ!$C:$C, 0)))</f>
        <v/>
      </c>
      <c r="D30" s="146"/>
      <c r="E30" s="42"/>
      <c r="F30" s="43"/>
      <c r="G30" s="24" t="s">
        <v>32</v>
      </c>
      <c r="H30" s="258"/>
      <c r="I30" s="334"/>
      <c r="J30" s="335"/>
      <c r="K30" s="334"/>
      <c r="L30" s="335"/>
      <c r="M30" s="334"/>
      <c r="N30" s="335"/>
      <c r="O30" s="334"/>
      <c r="P30" s="335"/>
      <c r="Q30" s="334"/>
      <c r="R30" s="335"/>
      <c r="S30" s="334"/>
      <c r="T30" s="335"/>
      <c r="U30" s="334"/>
      <c r="V30" s="335"/>
      <c r="W30" s="340">
        <f>SUM(I30:V30)</f>
        <v>0</v>
      </c>
      <c r="X30" s="341"/>
    </row>
    <row r="31" ht="18" customHeight="1">
      <c r="A31" s="25">
        <v>9</v>
      </c>
      <c r="B31" s="81" t="str">
        <f>IF($B32="","",INDEX(PJ!$A:$A,MATCH(B32,PJ!$C:$C,0)))</f>
        <v/>
      </c>
      <c r="C31" s="82" t="str">
        <f>IF($B32="","",INDEX(PJ!$B:$B,MATCH(B32, PJ!$C:$C, 0)))</f>
        <v/>
      </c>
      <c r="D31" s="81" t="str">
        <f>IF(D32="","",INDEX(工種!$A$2:$A$83,MATCH(D32,工種!$B$2:$B$83,0),1))</f>
        <v/>
      </c>
      <c r="E31" s="40"/>
      <c r="F31" s="41"/>
      <c r="G31" s="23" t="s">
        <v>20</v>
      </c>
      <c r="H31" s="259"/>
      <c r="I31" s="19"/>
      <c r="J31" s="20"/>
      <c r="K31" s="19"/>
      <c r="L31" s="20"/>
      <c r="M31" s="19"/>
      <c r="N31" s="20"/>
      <c r="O31" s="19"/>
      <c r="P31" s="20"/>
      <c r="Q31" s="19"/>
      <c r="R31" s="20"/>
      <c r="S31" s="19"/>
      <c r="T31" s="20"/>
      <c r="U31" s="19"/>
      <c r="V31" s="20"/>
      <c r="W31" s="19"/>
      <c r="X31" s="20"/>
    </row>
    <row r="32" ht="18" customHeight="1">
      <c r="A32" s="29"/>
      <c r="B32" s="24"/>
      <c r="C32" s="83" t="str">
        <f>IF($B32="","",INDEX(PJ!$D:$D,MATCH(B32, PJ!$C:$C, 0)))</f>
        <v/>
      </c>
      <c r="D32" s="146"/>
      <c r="E32" s="42"/>
      <c r="F32" s="43"/>
      <c r="G32" s="24" t="s">
        <v>32</v>
      </c>
      <c r="H32" s="258"/>
      <c r="I32" s="334"/>
      <c r="J32" s="335"/>
      <c r="K32" s="334"/>
      <c r="L32" s="335"/>
      <c r="M32" s="334"/>
      <c r="N32" s="335"/>
      <c r="O32" s="334"/>
      <c r="P32" s="335"/>
      <c r="Q32" s="334"/>
      <c r="R32" s="335"/>
      <c r="S32" s="334"/>
      <c r="T32" s="335"/>
      <c r="U32" s="334"/>
      <c r="V32" s="335"/>
      <c r="W32" s="340">
        <f>SUM(I32:V32)</f>
        <v>0</v>
      </c>
      <c r="X32" s="341"/>
    </row>
    <row r="33" ht="18" customHeight="1">
      <c r="A33" s="25">
        <v>10</v>
      </c>
      <c r="B33" s="81" t="str">
        <f>IF($B34="","",INDEX(PJ!$A:$A,MATCH(B34,PJ!$C:$C,0)))</f>
        <v/>
      </c>
      <c r="C33" s="82" t="str">
        <f>IF($B34="","",INDEX(PJ!$B:$B,MATCH(B34, PJ!$C:$C, 0)))</f>
        <v/>
      </c>
      <c r="D33" s="81" t="str">
        <f>IF(D34="","",INDEX(工種!$A$2:$A$83,MATCH(D34,工種!$B$2:$B$83,0),1))</f>
        <v/>
      </c>
      <c r="E33" s="40"/>
      <c r="F33" s="41"/>
      <c r="G33" s="23" t="s">
        <v>20</v>
      </c>
      <c r="H33" s="259"/>
      <c r="I33" s="19"/>
      <c r="J33" s="20"/>
      <c r="K33" s="19"/>
      <c r="L33" s="20"/>
      <c r="M33" s="19"/>
      <c r="N33" s="20"/>
      <c r="O33" s="19"/>
      <c r="P33" s="20"/>
      <c r="Q33" s="19"/>
      <c r="R33" s="20"/>
      <c r="S33" s="19"/>
      <c r="T33" s="20"/>
      <c r="U33" s="19"/>
      <c r="V33" s="20"/>
      <c r="W33" s="19"/>
      <c r="X33" s="20"/>
    </row>
    <row r="34" ht="18" customHeight="1">
      <c r="A34" s="29"/>
      <c r="B34" s="24"/>
      <c r="C34" s="83" t="str">
        <f>IF($B34="","",INDEX(PJ!$D:$D,MATCH(B34, PJ!$C:$C, 0)))</f>
        <v/>
      </c>
      <c r="D34" s="146"/>
      <c r="E34" s="42"/>
      <c r="F34" s="43"/>
      <c r="G34" s="24" t="s">
        <v>32</v>
      </c>
      <c r="H34" s="258"/>
      <c r="I34" s="334"/>
      <c r="J34" s="335"/>
      <c r="K34" s="334"/>
      <c r="L34" s="335"/>
      <c r="M34" s="334"/>
      <c r="N34" s="335"/>
      <c r="O34" s="334"/>
      <c r="P34" s="335"/>
      <c r="Q34" s="334"/>
      <c r="R34" s="335"/>
      <c r="S34" s="334"/>
      <c r="T34" s="335"/>
      <c r="U34" s="334"/>
      <c r="V34" s="335"/>
      <c r="W34" s="340">
        <f>SUM(I34:V34)</f>
        <v>0</v>
      </c>
      <c r="X34" s="341"/>
    </row>
    <row r="35" ht="18" customHeight="1">
      <c r="A35" s="25">
        <v>11</v>
      </c>
      <c r="B35" s="81" t="str">
        <f>IF($B36="","",INDEX(PJ!$A:$A,MATCH(B36,PJ!$C:$C,0)))</f>
        <v/>
      </c>
      <c r="C35" s="82" t="str">
        <f>IF($B36="","",INDEX(PJ!$B:$B,MATCH(B36, PJ!$C:$C, 0)))</f>
        <v/>
      </c>
      <c r="D35" s="81" t="str">
        <f>IF(D36="","",INDEX(工種!$A$2:$A$83,MATCH(D36,工種!$B$2:$B$83,0),1))</f>
        <v/>
      </c>
      <c r="E35" s="40"/>
      <c r="F35" s="41"/>
      <c r="G35" s="23" t="s">
        <v>20</v>
      </c>
      <c r="H35" s="259"/>
      <c r="I35" s="19"/>
      <c r="J35" s="20"/>
      <c r="K35" s="19"/>
      <c r="L35" s="20"/>
      <c r="M35" s="19"/>
      <c r="N35" s="20"/>
      <c r="O35" s="19"/>
      <c r="P35" s="20"/>
      <c r="Q35" s="19"/>
      <c r="R35" s="20"/>
      <c r="S35" s="19"/>
      <c r="T35" s="20"/>
      <c r="U35" s="19"/>
      <c r="V35" s="20"/>
      <c r="W35" s="19"/>
      <c r="X35" s="20"/>
    </row>
    <row r="36" ht="18" customHeight="1">
      <c r="A36" s="29"/>
      <c r="B36" s="24"/>
      <c r="C36" s="83" t="str">
        <f>IF($B36="","",INDEX(PJ!$D:$D,MATCH(B36, PJ!$C:$C, 0)))</f>
        <v/>
      </c>
      <c r="D36" s="146"/>
      <c r="E36" s="42"/>
      <c r="F36" s="43"/>
      <c r="G36" s="24" t="s">
        <v>32</v>
      </c>
      <c r="H36" s="258"/>
      <c r="I36" s="334"/>
      <c r="J36" s="335"/>
      <c r="K36" s="334"/>
      <c r="L36" s="335"/>
      <c r="M36" s="334"/>
      <c r="N36" s="335"/>
      <c r="O36" s="334"/>
      <c r="P36" s="335"/>
      <c r="Q36" s="334"/>
      <c r="R36" s="335"/>
      <c r="S36" s="334"/>
      <c r="T36" s="335"/>
      <c r="U36" s="334"/>
      <c r="V36" s="335"/>
      <c r="W36" s="340">
        <f>SUM(I36:V36)</f>
        <v>0</v>
      </c>
      <c r="X36" s="341"/>
    </row>
    <row r="37" ht="18" customHeight="1">
      <c r="A37" s="25">
        <v>12</v>
      </c>
      <c r="B37" s="81" t="str">
        <f>IF($B38="","",INDEX(PJ!$A:$A,MATCH(B38,PJ!$C:$C,0)))</f>
        <v/>
      </c>
      <c r="C37" s="82" t="str">
        <f>IF($B38="","",INDEX(PJ!$B:$B,MATCH(B38, PJ!$C:$C, 0)))</f>
        <v/>
      </c>
      <c r="D37" s="81" t="str">
        <f>IF(D38="","",INDEX(工種!$A$2:$A$83,MATCH(D38,工種!$B$2:$B$83,0),1))</f>
        <v/>
      </c>
      <c r="E37" s="40"/>
      <c r="F37" s="41"/>
      <c r="G37" s="23" t="s">
        <v>20</v>
      </c>
      <c r="H37" s="259"/>
      <c r="I37" s="19"/>
      <c r="J37" s="20"/>
      <c r="K37" s="19"/>
      <c r="L37" s="20"/>
      <c r="M37" s="19"/>
      <c r="N37" s="20"/>
      <c r="O37" s="19"/>
      <c r="P37" s="20"/>
      <c r="Q37" s="19"/>
      <c r="R37" s="20"/>
      <c r="S37" s="19"/>
      <c r="T37" s="20"/>
      <c r="U37" s="19"/>
      <c r="V37" s="20"/>
      <c r="W37" s="19"/>
      <c r="X37" s="20"/>
    </row>
    <row r="38" ht="18" customHeight="1">
      <c r="A38" s="29"/>
      <c r="B38" s="24"/>
      <c r="C38" s="83" t="str">
        <f>IF($B38="","",INDEX(PJ!$D:$D,MATCH(B38, PJ!$C:$C, 0)))</f>
        <v/>
      </c>
      <c r="D38" s="146"/>
      <c r="E38" s="42"/>
      <c r="F38" s="43"/>
      <c r="G38" s="24" t="s">
        <v>32</v>
      </c>
      <c r="H38" s="258"/>
      <c r="I38" s="334"/>
      <c r="J38" s="335"/>
      <c r="K38" s="334"/>
      <c r="L38" s="335"/>
      <c r="M38" s="334"/>
      <c r="N38" s="335"/>
      <c r="O38" s="334"/>
      <c r="P38" s="335"/>
      <c r="Q38" s="334"/>
      <c r="R38" s="335"/>
      <c r="S38" s="334"/>
      <c r="T38" s="335"/>
      <c r="U38" s="334"/>
      <c r="V38" s="335"/>
      <c r="W38" s="340">
        <f>SUM(I38:V38)</f>
        <v>0</v>
      </c>
      <c r="X38" s="341"/>
    </row>
    <row r="39" ht="18" customHeight="1">
      <c r="A39" s="25">
        <v>13</v>
      </c>
      <c r="B39" s="81" t="str">
        <f>IF($B40="","",INDEX(PJ!$A:$A,MATCH(B40,PJ!$C:$C,0)))</f>
        <v/>
      </c>
      <c r="C39" s="82" t="str">
        <f>IF($B40="","",INDEX(PJ!$B:$B,MATCH(B40, PJ!$C:$C, 0)))</f>
        <v/>
      </c>
      <c r="D39" s="81" t="str">
        <f>IF(D40="","",INDEX(工種!$A$2:$A$83,MATCH(D40,工種!$B$2:$B$83,0),1))</f>
        <v/>
      </c>
      <c r="E39" s="40"/>
      <c r="F39" s="41"/>
      <c r="G39" s="23" t="s">
        <v>20</v>
      </c>
      <c r="H39" s="259"/>
      <c r="I39" s="19"/>
      <c r="J39" s="20"/>
      <c r="K39" s="19"/>
      <c r="L39" s="20"/>
      <c r="M39" s="19"/>
      <c r="N39" s="20"/>
      <c r="O39" s="19"/>
      <c r="P39" s="20"/>
      <c r="Q39" s="19"/>
      <c r="R39" s="20"/>
      <c r="S39" s="19"/>
      <c r="T39" s="20"/>
      <c r="U39" s="19"/>
      <c r="V39" s="20"/>
      <c r="W39" s="19"/>
      <c r="X39" s="20"/>
    </row>
    <row r="40" ht="18" customHeight="1">
      <c r="A40" s="29"/>
      <c r="B40" s="24"/>
      <c r="C40" s="83" t="str">
        <f>IF($B40="","",INDEX(PJ!$D:$D,MATCH(B40, PJ!$C:$C, 0)))</f>
        <v/>
      </c>
      <c r="D40" s="146"/>
      <c r="E40" s="42"/>
      <c r="F40" s="43"/>
      <c r="G40" s="24" t="s">
        <v>32</v>
      </c>
      <c r="H40" s="258"/>
      <c r="I40" s="334"/>
      <c r="J40" s="335"/>
      <c r="K40" s="334"/>
      <c r="L40" s="335"/>
      <c r="M40" s="334"/>
      <c r="N40" s="335"/>
      <c r="O40" s="334"/>
      <c r="P40" s="335"/>
      <c r="Q40" s="334"/>
      <c r="R40" s="335"/>
      <c r="S40" s="334"/>
      <c r="T40" s="335"/>
      <c r="U40" s="334"/>
      <c r="V40" s="335"/>
      <c r="W40" s="340">
        <f>SUM(I40:V40)</f>
        <v>0</v>
      </c>
      <c r="X40" s="341"/>
    </row>
    <row r="41" ht="18" customHeight="1">
      <c r="A41" s="25">
        <v>14</v>
      </c>
      <c r="B41" s="81" t="str">
        <f>IF($B42="","",INDEX(PJ!$A:$A,MATCH(B42,PJ!$C:$C,0)))</f>
        <v/>
      </c>
      <c r="C41" s="82" t="str">
        <f>IF($B42="","",INDEX(PJ!$B:$B,MATCH(B42, PJ!$C:$C, 0)))</f>
        <v/>
      </c>
      <c r="D41" s="81" t="str">
        <f>IF(D42="","",INDEX(工種!$A$2:$A$83,MATCH(D42,工種!$B$2:$B$83,0),1))</f>
        <v/>
      </c>
      <c r="E41" s="40"/>
      <c r="F41" s="41"/>
      <c r="G41" s="23" t="s">
        <v>20</v>
      </c>
      <c r="H41" s="259"/>
      <c r="I41" s="19"/>
      <c r="J41" s="20"/>
      <c r="K41" s="19"/>
      <c r="L41" s="20"/>
      <c r="M41" s="19"/>
      <c r="N41" s="20"/>
      <c r="O41" s="19"/>
      <c r="P41" s="20"/>
      <c r="Q41" s="19"/>
      <c r="R41" s="20"/>
      <c r="S41" s="19"/>
      <c r="T41" s="20"/>
      <c r="U41" s="19"/>
      <c r="V41" s="20"/>
      <c r="W41" s="19"/>
      <c r="X41" s="20"/>
    </row>
    <row r="42" ht="18" customHeight="1">
      <c r="A42" s="29"/>
      <c r="B42" s="24"/>
      <c r="C42" s="83" t="str">
        <f>IF($B42="","",INDEX(PJ!$D:$D,MATCH(B42, PJ!$C:$C, 0)))</f>
        <v/>
      </c>
      <c r="D42" s="146"/>
      <c r="E42" s="42"/>
      <c r="F42" s="43"/>
      <c r="G42" s="24" t="s">
        <v>32</v>
      </c>
      <c r="H42" s="258"/>
      <c r="I42" s="334"/>
      <c r="J42" s="335"/>
      <c r="K42" s="334"/>
      <c r="L42" s="335"/>
      <c r="M42" s="334"/>
      <c r="N42" s="335"/>
      <c r="O42" s="334"/>
      <c r="P42" s="335"/>
      <c r="Q42" s="334"/>
      <c r="R42" s="335"/>
      <c r="S42" s="334"/>
      <c r="T42" s="335"/>
      <c r="U42" s="334"/>
      <c r="V42" s="335"/>
      <c r="W42" s="340">
        <f>SUM(I42:V42)</f>
        <v>0</v>
      </c>
      <c r="X42" s="341"/>
    </row>
    <row r="43" ht="18" customHeight="1">
      <c r="A43" s="25">
        <v>15</v>
      </c>
      <c r="B43" s="81" t="str">
        <f>IF($B44="","",INDEX(PJ!$A:$A,MATCH(B44,PJ!$C:$C,0)))</f>
        <v/>
      </c>
      <c r="C43" s="82" t="str">
        <f>IF($B44="","",INDEX(PJ!$B:$B,MATCH(B44, PJ!$C:$C, 0)))</f>
        <v/>
      </c>
      <c r="D43" s="81" t="str">
        <f>IF(D44="","",INDEX(工種!$A$2:$A$83,MATCH(D44,工種!$B$2:$B$83,0),1))</f>
        <v/>
      </c>
      <c r="E43" s="40"/>
      <c r="F43" s="41"/>
      <c r="G43" s="23" t="s">
        <v>20</v>
      </c>
      <c r="H43" s="259"/>
      <c r="I43" s="19"/>
      <c r="J43" s="20"/>
      <c r="K43" s="19"/>
      <c r="L43" s="20"/>
      <c r="M43" s="19"/>
      <c r="N43" s="20"/>
      <c r="O43" s="19"/>
      <c r="P43" s="20"/>
      <c r="Q43" s="19"/>
      <c r="R43" s="20"/>
      <c r="S43" s="19"/>
      <c r="T43" s="20"/>
      <c r="U43" s="19"/>
      <c r="V43" s="20"/>
      <c r="W43" s="19"/>
      <c r="X43" s="20"/>
    </row>
    <row r="44" ht="18" customHeight="1">
      <c r="A44" s="29"/>
      <c r="B44" s="24"/>
      <c r="C44" s="83" t="str">
        <f>IF($B44="","",INDEX(PJ!$D:$D,MATCH(B44, PJ!$C:$C, 0)))</f>
        <v/>
      </c>
      <c r="D44" s="146"/>
      <c r="E44" s="42"/>
      <c r="F44" s="43"/>
      <c r="G44" s="24" t="s">
        <v>32</v>
      </c>
      <c r="H44" s="258"/>
      <c r="I44" s="334"/>
      <c r="J44" s="335"/>
      <c r="K44" s="334"/>
      <c r="L44" s="335"/>
      <c r="M44" s="334"/>
      <c r="N44" s="335"/>
      <c r="O44" s="334"/>
      <c r="P44" s="335"/>
      <c r="Q44" s="334"/>
      <c r="R44" s="335"/>
      <c r="S44" s="334"/>
      <c r="T44" s="335"/>
      <c r="U44" s="334"/>
      <c r="V44" s="335"/>
      <c r="W44" s="340">
        <f>SUM(I44:V44)</f>
        <v>0</v>
      </c>
      <c r="X44" s="341"/>
    </row>
    <row r="45" ht="18" customHeight="1">
      <c r="A45" s="25">
        <v>16</v>
      </c>
      <c r="B45" s="81" t="str">
        <f>IF($B46="","",INDEX(PJ!$A:$A,MATCH(B46,PJ!$C:$C,0)))</f>
        <v/>
      </c>
      <c r="C45" s="82" t="str">
        <f>IF($B46="","",INDEX(PJ!$B:$B,MATCH(B46, PJ!$C:$C, 0)))</f>
        <v/>
      </c>
      <c r="D45" s="81" t="str">
        <f>IF(D46="","",INDEX(工種!$A$2:$A$83,MATCH(D46,工種!$B$2:$B$83,0),1))</f>
        <v/>
      </c>
      <c r="E45" s="40"/>
      <c r="F45" s="41"/>
      <c r="G45" s="23" t="s">
        <v>20</v>
      </c>
      <c r="H45" s="259"/>
      <c r="I45" s="19"/>
      <c r="J45" s="20"/>
      <c r="K45" s="19"/>
      <c r="L45" s="20"/>
      <c r="M45" s="19"/>
      <c r="N45" s="20"/>
      <c r="O45" s="19"/>
      <c r="P45" s="20"/>
      <c r="Q45" s="19"/>
      <c r="R45" s="20"/>
      <c r="S45" s="19"/>
      <c r="T45" s="20"/>
      <c r="U45" s="19"/>
      <c r="V45" s="20"/>
      <c r="W45" s="19"/>
      <c r="X45" s="20"/>
    </row>
    <row r="46" ht="18" customHeight="1">
      <c r="A46" s="29"/>
      <c r="B46" s="24"/>
      <c r="C46" s="83" t="str">
        <f>IF($B46="","",INDEX(PJ!$D:$D,MATCH(B46, PJ!$C:$C, 0)))</f>
        <v/>
      </c>
      <c r="D46" s="146"/>
      <c r="E46" s="42"/>
      <c r="F46" s="43"/>
      <c r="G46" s="24" t="s">
        <v>32</v>
      </c>
      <c r="H46" s="258"/>
      <c r="I46" s="334"/>
      <c r="J46" s="335"/>
      <c r="K46" s="334"/>
      <c r="L46" s="335"/>
      <c r="M46" s="334"/>
      <c r="N46" s="335"/>
      <c r="O46" s="334"/>
      <c r="P46" s="335"/>
      <c r="Q46" s="334"/>
      <c r="R46" s="335"/>
      <c r="S46" s="334"/>
      <c r="T46" s="335"/>
      <c r="U46" s="334"/>
      <c r="V46" s="335"/>
      <c r="W46" s="340">
        <f>SUM(I46:V46)</f>
        <v>0</v>
      </c>
      <c r="X46" s="341"/>
    </row>
    <row r="47" ht="18" customHeight="1">
      <c r="A47" s="25">
        <v>17</v>
      </c>
      <c r="B47" s="81" t="str">
        <f>IF($B48="","",INDEX(PJ!$A:$A,MATCH(B48,PJ!$C:$C,0)))</f>
        <v/>
      </c>
      <c r="C47" s="82" t="str">
        <f>IF($B48="","",INDEX(PJ!$B:$B,MATCH(B48, PJ!$C:$C, 0)))</f>
        <v/>
      </c>
      <c r="D47" s="81" t="str">
        <f>IF(D48="","",INDEX(工種!$A$2:$A$83,MATCH(D48,工種!$B$2:$B$83,0),1))</f>
        <v/>
      </c>
      <c r="E47" s="40"/>
      <c r="F47" s="41"/>
      <c r="G47" s="23" t="s">
        <v>20</v>
      </c>
      <c r="H47" s="259"/>
      <c r="I47" s="19"/>
      <c r="J47" s="20"/>
      <c r="K47" s="19"/>
      <c r="L47" s="20"/>
      <c r="M47" s="19"/>
      <c r="N47" s="20"/>
      <c r="O47" s="19"/>
      <c r="P47" s="20"/>
      <c r="Q47" s="19"/>
      <c r="R47" s="20"/>
      <c r="S47" s="19"/>
      <c r="T47" s="20"/>
      <c r="U47" s="19"/>
      <c r="V47" s="20"/>
      <c r="W47" s="19"/>
      <c r="X47" s="20"/>
    </row>
    <row r="48" ht="18" customHeight="1">
      <c r="A48" s="29"/>
      <c r="B48" s="24"/>
      <c r="C48" s="83" t="str">
        <f>IF($B48="","",INDEX(PJ!$D:$D,MATCH(B48, PJ!$C:$C, 0)))</f>
        <v/>
      </c>
      <c r="D48" s="146"/>
      <c r="E48" s="42"/>
      <c r="F48" s="43"/>
      <c r="G48" s="24" t="s">
        <v>32</v>
      </c>
      <c r="H48" s="258"/>
      <c r="I48" s="334"/>
      <c r="J48" s="335"/>
      <c r="K48" s="334"/>
      <c r="L48" s="335"/>
      <c r="M48" s="334"/>
      <c r="N48" s="335"/>
      <c r="O48" s="334"/>
      <c r="P48" s="335"/>
      <c r="Q48" s="334"/>
      <c r="R48" s="335"/>
      <c r="S48" s="334"/>
      <c r="T48" s="335"/>
      <c r="U48" s="334"/>
      <c r="V48" s="335"/>
      <c r="W48" s="340">
        <f>SUM(I48:V48)</f>
        <v>0</v>
      </c>
      <c r="X48" s="341"/>
    </row>
    <row r="49" ht="18" customHeight="1">
      <c r="A49" s="25">
        <v>18</v>
      </c>
      <c r="B49" s="81" t="str">
        <f>IF($B50="","",INDEX(PJ!$A:$A,MATCH(B50,PJ!$C:$C,0)))</f>
        <v/>
      </c>
      <c r="C49" s="82" t="str">
        <f>IF($B50="","",INDEX(PJ!$B:$B,MATCH(B50, PJ!$C:$C, 0)))</f>
        <v/>
      </c>
      <c r="D49" s="81" t="str">
        <f>IF(D50="","",INDEX(工種!$A$2:$A$83,MATCH(D50,工種!$B$2:$B$83,0),1))</f>
        <v/>
      </c>
      <c r="E49" s="40"/>
      <c r="F49" s="41"/>
      <c r="G49" s="23" t="s">
        <v>20</v>
      </c>
      <c r="H49" s="259"/>
      <c r="I49" s="19"/>
      <c r="J49" s="20"/>
      <c r="K49" s="19"/>
      <c r="L49" s="20"/>
      <c r="M49" s="19"/>
      <c r="N49" s="20"/>
      <c r="O49" s="19"/>
      <c r="P49" s="20"/>
      <c r="Q49" s="19"/>
      <c r="R49" s="20"/>
      <c r="S49" s="19"/>
      <c r="T49" s="20"/>
      <c r="U49" s="19"/>
      <c r="V49" s="20"/>
      <c r="W49" s="19"/>
      <c r="X49" s="20"/>
    </row>
    <row r="50" ht="18" customHeight="1">
      <c r="A50" s="29"/>
      <c r="B50" s="24"/>
      <c r="C50" s="83" t="str">
        <f>IF($B50="","",INDEX(PJ!$D:$D,MATCH(B50, PJ!$C:$C, 0)))</f>
        <v/>
      </c>
      <c r="D50" s="146"/>
      <c r="E50" s="42"/>
      <c r="F50" s="43"/>
      <c r="G50" s="24" t="s">
        <v>32</v>
      </c>
      <c r="H50" s="258"/>
      <c r="I50" s="334"/>
      <c r="J50" s="335"/>
      <c r="K50" s="334"/>
      <c r="L50" s="335"/>
      <c r="M50" s="334"/>
      <c r="N50" s="335"/>
      <c r="O50" s="334"/>
      <c r="P50" s="335"/>
      <c r="Q50" s="334"/>
      <c r="R50" s="335"/>
      <c r="S50" s="334"/>
      <c r="T50" s="335"/>
      <c r="U50" s="334"/>
      <c r="V50" s="335"/>
      <c r="W50" s="340">
        <f>SUM(I50:V50)</f>
        <v>0</v>
      </c>
      <c r="X50" s="341"/>
    </row>
    <row r="51" ht="18" customHeight="1">
      <c r="A51" s="25">
        <v>19</v>
      </c>
      <c r="B51" s="81" t="str">
        <f>IF($B52="","",INDEX(PJ!$A:$A,MATCH(B52,PJ!$C:$C,0)))</f>
        <v/>
      </c>
      <c r="C51" s="82" t="str">
        <f>IF($B52="","",INDEX(PJ!$B:$B,MATCH(B52, PJ!$C:$C, 0)))</f>
        <v/>
      </c>
      <c r="D51" s="81" t="str">
        <f>IF(D52="","",INDEX(工種!$A$2:$A$83,MATCH(D52,工種!$B$2:$B$83,0),1))</f>
        <v/>
      </c>
      <c r="E51" s="40"/>
      <c r="F51" s="41"/>
      <c r="G51" s="23" t="s">
        <v>20</v>
      </c>
      <c r="H51" s="259"/>
      <c r="I51" s="19"/>
      <c r="J51" s="20"/>
      <c r="K51" s="19"/>
      <c r="L51" s="20"/>
      <c r="M51" s="19"/>
      <c r="N51" s="20"/>
      <c r="O51" s="19"/>
      <c r="P51" s="20"/>
      <c r="Q51" s="19"/>
      <c r="R51" s="20"/>
      <c r="S51" s="19"/>
      <c r="T51" s="20"/>
      <c r="U51" s="19"/>
      <c r="V51" s="20"/>
      <c r="W51" s="19"/>
      <c r="X51" s="20"/>
    </row>
    <row r="52" ht="18" customHeight="1">
      <c r="A52" s="29"/>
      <c r="B52" s="24"/>
      <c r="C52" s="83" t="str">
        <f>IF($B52="","",INDEX(PJ!$D:$D,MATCH(B52, PJ!$C:$C, 0)))</f>
        <v/>
      </c>
      <c r="D52" s="146"/>
      <c r="E52" s="42"/>
      <c r="F52" s="43"/>
      <c r="G52" s="24" t="s">
        <v>32</v>
      </c>
      <c r="H52" s="258"/>
      <c r="I52" s="334"/>
      <c r="J52" s="335"/>
      <c r="K52" s="334"/>
      <c r="L52" s="335"/>
      <c r="M52" s="334"/>
      <c r="N52" s="335"/>
      <c r="O52" s="334"/>
      <c r="P52" s="335"/>
      <c r="Q52" s="334"/>
      <c r="R52" s="335"/>
      <c r="S52" s="334"/>
      <c r="T52" s="335"/>
      <c r="U52" s="334"/>
      <c r="V52" s="335"/>
      <c r="W52" s="340">
        <f>SUM(I52:V52)</f>
        <v>0</v>
      </c>
      <c r="X52" s="341"/>
    </row>
    <row r="53" ht="18" customHeight="1">
      <c r="A53" s="25">
        <v>20</v>
      </c>
      <c r="B53" s="81" t="str">
        <f>IF($B54="","",INDEX(PJ!$A:$A,MATCH(B54,PJ!$C:$C,0)))</f>
        <v/>
      </c>
      <c r="C53" s="82" t="str">
        <f>IF($B54="","",INDEX(PJ!$B:$B,MATCH(B54, PJ!$C:$C, 0)))</f>
        <v/>
      </c>
      <c r="D53" s="81" t="str">
        <f>IF(D54="","",INDEX(工種!$A$2:$A$83,MATCH(D54,工種!$B$2:$B$83,0),1))</f>
        <v/>
      </c>
      <c r="E53" s="40"/>
      <c r="F53" s="41"/>
      <c r="G53" s="23" t="s">
        <v>20</v>
      </c>
      <c r="H53" s="259"/>
      <c r="I53" s="19"/>
      <c r="J53" s="20"/>
      <c r="K53" s="19"/>
      <c r="L53" s="20"/>
      <c r="M53" s="19"/>
      <c r="N53" s="20"/>
      <c r="O53" s="19"/>
      <c r="P53" s="20"/>
      <c r="Q53" s="19"/>
      <c r="R53" s="20"/>
      <c r="S53" s="19"/>
      <c r="T53" s="20"/>
      <c r="U53" s="19"/>
      <c r="V53" s="20"/>
      <c r="W53" s="19"/>
      <c r="X53" s="20"/>
    </row>
    <row r="54" ht="18" customHeight="1">
      <c r="A54" s="29"/>
      <c r="B54" s="24"/>
      <c r="C54" s="83" t="str">
        <f>IF($B54="","",INDEX(PJ!$D:$D,MATCH(B54, PJ!$C:$C, 0)))</f>
        <v/>
      </c>
      <c r="D54" s="146"/>
      <c r="E54" s="42"/>
      <c r="F54" s="43"/>
      <c r="G54" s="24" t="s">
        <v>32</v>
      </c>
      <c r="H54" s="258"/>
      <c r="I54" s="334"/>
      <c r="J54" s="335"/>
      <c r="K54" s="334"/>
      <c r="L54" s="335"/>
      <c r="M54" s="334"/>
      <c r="N54" s="335"/>
      <c r="O54" s="334"/>
      <c r="P54" s="335"/>
      <c r="Q54" s="334"/>
      <c r="R54" s="335"/>
      <c r="S54" s="334"/>
      <c r="T54" s="335"/>
      <c r="U54" s="334"/>
      <c r="V54" s="335"/>
      <c r="W54" s="340">
        <f>SUM(I54:V54)</f>
        <v>0</v>
      </c>
      <c r="X54" s="341"/>
    </row>
    <row r="55" spans="1:27" ht="6.75" customHeight="1">
      <c r="I55" s="17"/>
      <c r="J55" s="17"/>
      <c r="K55" s="17"/>
      <c r="L55" s="17"/>
      <c r="M55" s="17"/>
      <c r="N55" s="17"/>
      <c r="O55" s="17"/>
      <c r="P55" s="17"/>
      <c r="Q55" s="17"/>
      <c r="R55" s="17"/>
      <c r="S55" s="17"/>
      <c r="T55" s="17"/>
      <c r="U55" s="17"/>
      <c r="V55" s="17"/>
      <c r="W55" s="17"/>
      <c r="X55" s="17"/>
      <c r="Y55" s="2"/>
      <c r="AA55" s="2"/>
    </row>
    <row r="56" spans="1:27" ht="6.75" customHeight="1" thickBot="1">
      <c r="I56" s="17"/>
      <c r="J56" s="17"/>
      <c r="K56" s="17"/>
      <c r="L56" s="17"/>
      <c r="M56" s="17"/>
      <c r="N56" s="17"/>
      <c r="O56" s="17"/>
      <c r="P56" s="17"/>
      <c r="Q56" s="17"/>
      <c r="R56" s="17"/>
      <c r="S56" s="17"/>
      <c r="T56" s="17"/>
      <c r="U56" s="17"/>
      <c r="V56" s="17"/>
      <c r="W56" s="17"/>
      <c r="X56" s="17"/>
      <c r="Y56" s="2"/>
      <c r="AA56" s="2"/>
    </row>
    <row r="57" spans="1:27" ht="17.25" customHeight="1" thickTop="1">
      <c r="A57" s="255"/>
      <c r="B57" s="50"/>
      <c r="C57" s="50"/>
      <c r="D57" s="50"/>
      <c r="E57" s="256" t="s">
        <v>29</v>
      </c>
      <c r="F57" s="256"/>
      <c r="G57" s="257"/>
      <c r="H57" s="256"/>
      <c r="I57" s="330">
        <f>SUM(I16:J54)</f>
        <v>0.66666666666666663</v>
      </c>
      <c r="J57" s="331"/>
      <c r="K57" s="330">
        <f>SUM(K16:L54)</f>
        <v>0.66666666666666663</v>
      </c>
      <c r="L57" s="331"/>
      <c r="M57" s="330">
        <f>SUM(M16:N54)</f>
        <v>0.66666666666666663</v>
      </c>
      <c r="N57" s="331"/>
      <c r="O57" s="330">
        <f>SUM(O16:P54)</f>
        <v>0.66666666666666663</v>
      </c>
      <c r="P57" s="331"/>
      <c r="Q57" s="330">
        <f>SUM(Q16:R54)</f>
        <v>0.66666666666666663</v>
      </c>
      <c r="R57" s="331"/>
      <c r="S57" s="330">
        <f>SUM(S16:T54)</f>
        <v>0</v>
      </c>
      <c r="T57" s="331"/>
      <c r="U57" s="330">
        <f>SUM(U16:V54)</f>
        <v>0</v>
      </c>
      <c r="V57" s="331"/>
      <c r="W57" s="330">
        <f>CEILING(SUM(W16:X54),"0:5")</f>
        <v>2.1875</v>
      </c>
      <c r="X57" s="331"/>
    </row>
    <row r="58" ht="17.25" customHeight="1">
      <c r="A58" s="33"/>
      <c r="B58" s="51"/>
      <c r="C58" s="51"/>
      <c r="D58" s="51"/>
      <c r="E58" s="44" t="s">
        <v>37</v>
      </c>
      <c r="F58" s="44"/>
      <c r="G58" s="44"/>
      <c r="H58" s="44"/>
      <c r="I58" s="359"/>
      <c r="J58" s="360"/>
      <c r="K58" s="359"/>
      <c r="L58" s="360"/>
      <c r="M58" s="359"/>
      <c r="N58" s="360"/>
      <c r="O58" s="359"/>
      <c r="P58" s="360"/>
      <c r="Q58" s="359"/>
      <c r="R58" s="360"/>
      <c r="S58" s="359"/>
      <c r="T58" s="360"/>
      <c r="U58" s="359"/>
      <c r="V58" s="360"/>
      <c r="W58" s="359"/>
      <c r="X58" s="360"/>
    </row>
    <row r="59" spans="1:27" ht="20.100000000000001" customHeight="1">
      <c r="I59" s="17"/>
      <c r="J59" s="17"/>
      <c r="K59" s="17"/>
      <c r="L59" s="17"/>
      <c r="M59" s="17"/>
      <c r="N59" s="17"/>
      <c r="O59" s="17"/>
      <c r="P59" s="17"/>
      <c r="Q59" s="17"/>
      <c r="R59" s="17"/>
      <c r="S59" s="17"/>
      <c r="T59" s="17"/>
      <c r="U59" s="17"/>
      <c r="V59" s="17"/>
      <c r="W59" s="17"/>
      <c r="X59" s="17"/>
      <c r="Y59" s="2"/>
      <c r="AA59" s="2"/>
    </row>
    <row r="60" spans="1:27" ht="15" customHeight="1">
      <c r="A60" s="25"/>
      <c r="B60" s="52"/>
      <c r="C60" s="52"/>
      <c r="D60" s="52"/>
      <c r="E60" s="52"/>
      <c r="F60" s="52"/>
      <c r="G60" s="16"/>
      <c r="H60" s="16"/>
      <c r="I60" s="40"/>
      <c r="J60" s="52"/>
      <c r="K60" s="52"/>
      <c r="L60" s="52"/>
      <c r="M60" s="52"/>
      <c r="N60" s="52"/>
      <c r="O60" s="52"/>
      <c r="P60" s="52"/>
      <c r="Q60" s="52"/>
      <c r="R60" s="52"/>
      <c r="S60" s="52"/>
      <c r="T60" s="52"/>
      <c r="U60" s="52"/>
      <c r="V60" s="52"/>
      <c r="W60" s="52"/>
      <c r="X60" s="22"/>
    </row>
    <row r="61" ht="15" customHeight="1">
      <c r="A61" s="356" t="s">
        <v>38</v>
      </c>
      <c r="B61"/>
      <c r="I61" s="356" t="s">
        <v>39</v>
      </c>
      <c r="J61"/>
      <c r="X61" s="46"/>
    </row>
    <row r="62" ht="15" customHeight="1">
      <c r="A62" s="356"/>
      <c r="B62"/>
      <c r="I62" s="356"/>
      <c r="J62"/>
      <c r="X62" s="46"/>
    </row>
    <row r="63" ht="15" customHeight="1">
      <c r="A63" s="356"/>
      <c r="B63"/>
      <c r="I63" s="356"/>
      <c r="J63"/>
      <c r="X63" s="46"/>
    </row>
    <row r="64" ht="15" customHeight="1">
      <c r="A64" s="356"/>
      <c r="B64"/>
      <c r="I64" s="356"/>
      <c r="J64"/>
      <c r="X64" s="46"/>
    </row>
    <row r="65" ht="15" customHeight="1">
      <c r="A65" s="356"/>
      <c r="B65"/>
      <c r="I65" s="356"/>
      <c r="J65"/>
      <c r="X65" s="46"/>
    </row>
    <row r="66" spans="1:24" ht="15" customHeight="1">
      <c r="A66" s="29"/>
      <c r="B66" s="47"/>
      <c r="C66" s="47"/>
      <c r="D66" s="47"/>
      <c r="E66" s="47"/>
      <c r="F66" s="47"/>
      <c r="G66" s="48"/>
      <c r="H66" s="48"/>
      <c r="I66" s="42"/>
      <c r="J66" s="47"/>
      <c r="K66" s="47"/>
      <c r="L66" s="47"/>
      <c r="M66" s="47"/>
      <c r="N66" s="47"/>
      <c r="O66" s="47"/>
      <c r="P66" s="47"/>
      <c r="Q66" s="47"/>
      <c r="R66" s="47"/>
      <c r="S66" s="47"/>
      <c r="T66" s="47"/>
      <c r="U66" s="47"/>
      <c r="V66" s="47"/>
      <c r="W66" s="47"/>
      <c r="X66" s="49"/>
    </row>
    <row r="67" spans="1:24" ht="15" customHeight="1">
      <c r="A67" s="25"/>
      <c r="B67" s="52"/>
      <c r="C67" s="52"/>
      <c r="D67" s="52"/>
      <c r="E67" s="52"/>
      <c r="F67" s="52"/>
      <c r="G67" s="16"/>
      <c r="H67" s="16"/>
      <c r="I67" s="52"/>
      <c r="J67" s="52"/>
      <c r="K67" s="52"/>
      <c r="L67" s="52"/>
      <c r="M67" s="52"/>
      <c r="N67" s="52"/>
      <c r="O67" s="52"/>
      <c r="P67" s="52"/>
      <c r="Q67" s="52"/>
      <c r="R67" s="52"/>
      <c r="S67" s="52"/>
      <c r="T67" s="52"/>
      <c r="U67" s="52"/>
      <c r="V67" s="52"/>
      <c r="W67" s="52"/>
      <c r="X67" s="22"/>
    </row>
    <row r="68" ht="15" customHeight="1">
      <c r="A68" s="356" t="s">
        <v>40</v>
      </c>
      <c r="B68"/>
      <c r="J68"/>
      <c r="X68" s="46"/>
    </row>
    <row r="69" ht="15" customHeight="1">
      <c r="A69" s="356"/>
      <c r="B69"/>
      <c r="J69"/>
      <c r="X69" s="46"/>
    </row>
    <row r="70" ht="15" customHeight="1">
      <c r="A70" s="356"/>
      <c r="B70"/>
      <c r="J70"/>
      <c r="X70" s="46"/>
    </row>
    <row r="71" ht="15" customHeight="1">
      <c r="A71" s="356"/>
      <c r="B71"/>
      <c r="J71"/>
      <c r="X71" s="46"/>
    </row>
    <row r="72" ht="15" customHeight="1">
      <c r="A72" s="356"/>
      <c r="B72"/>
      <c r="J72"/>
      <c r="X72" s="46"/>
    </row>
    <row r="73" spans="1:24" ht="15" customHeight="1">
      <c r="A73" s="29"/>
      <c r="B73" s="47"/>
      <c r="C73" s="47"/>
      <c r="D73" s="47"/>
      <c r="E73" s="47"/>
      <c r="F73" s="47"/>
      <c r="G73" s="48"/>
      <c r="H73" s="48"/>
      <c r="I73" s="47"/>
      <c r="J73" s="47"/>
      <c r="K73" s="47"/>
      <c r="L73" s="47"/>
      <c r="M73" s="47"/>
      <c r="N73" s="47"/>
      <c r="O73" s="47"/>
      <c r="P73" s="47"/>
      <c r="Q73" s="47"/>
      <c r="R73" s="47"/>
      <c r="S73" s="47"/>
      <c r="T73" s="47"/>
      <c r="U73" s="47"/>
      <c r="V73" s="47"/>
      <c r="W73" s="47"/>
      <c r="X73" s="49"/>
    </row>
    <row r="74" spans="1:24" ht="15" customHeight="1">
      <c r="A74" s="25"/>
      <c r="B74" s="52"/>
      <c r="C74" s="52"/>
      <c r="D74" s="52"/>
      <c r="E74" s="52"/>
      <c r="F74" s="52"/>
      <c r="G74" s="16"/>
      <c r="H74" s="16"/>
      <c r="I74" s="52"/>
      <c r="J74" s="52"/>
      <c r="K74" s="52"/>
      <c r="L74" s="52"/>
      <c r="M74" s="52"/>
      <c r="N74" s="52"/>
      <c r="O74" s="52"/>
      <c r="P74" s="52"/>
      <c r="Q74" s="52"/>
      <c r="R74" s="52"/>
      <c r="S74" s="52"/>
      <c r="T74" s="52"/>
      <c r="U74" s="52"/>
      <c r="V74" s="52"/>
      <c r="W74" s="52"/>
      <c r="X74" s="22"/>
    </row>
    <row r="75" ht="15" customHeight="1">
      <c r="A75" s="356" t="s">
        <v>41</v>
      </c>
      <c r="B75"/>
      <c r="J75"/>
      <c r="X75" s="46"/>
    </row>
    <row r="76" ht="15" customHeight="1">
      <c r="A76" s="356"/>
      <c r="B76"/>
      <c r="J76"/>
      <c r="X76" s="46"/>
    </row>
    <row r="77" ht="15" customHeight="1">
      <c r="A77" s="356"/>
      <c r="B77"/>
      <c r="J77"/>
      <c r="X77" s="46"/>
    </row>
    <row r="78" ht="15" customHeight="1">
      <c r="A78" s="356"/>
      <c r="B78"/>
      <c r="J78"/>
      <c r="X78" s="46"/>
    </row>
    <row r="79" ht="15" customHeight="1">
      <c r="A79" s="356"/>
      <c r="B79"/>
      <c r="J79"/>
      <c r="X79" s="46"/>
    </row>
    <row r="80" spans="1:24" ht="15" customHeight="1">
      <c r="A80" s="29"/>
      <c r="B80" s="47"/>
      <c r="C80" s="47"/>
      <c r="D80" s="47"/>
      <c r="E80" s="47"/>
      <c r="F80" s="47"/>
      <c r="G80" s="48"/>
      <c r="H80" s="48"/>
      <c r="I80" s="47"/>
      <c r="J80" s="47"/>
      <c r="K80" s="47"/>
      <c r="L80" s="47"/>
      <c r="M80" s="47"/>
      <c r="N80" s="47"/>
      <c r="O80" s="47"/>
      <c r="P80" s="47"/>
      <c r="Q80" s="47"/>
      <c r="R80" s="47"/>
      <c r="S80" s="47"/>
      <c r="T80" s="47"/>
      <c r="U80" s="47"/>
      <c r="V80" s="47"/>
      <c r="W80" s="47"/>
      <c r="X80" s="49"/>
    </row>
    <row r="81" spans="1:27" ht="20.100000000000001" customHeight="1">
      <c r="A81" s="45"/>
      <c r="B81" s="2" t="s">
        <v>42</v>
      </c>
      <c r="X81" s="46"/>
    </row>
    <row r="82" spans="1:27" ht="20.100000000000001" customHeight="1">
      <c r="A82" s="45"/>
      <c r="B82" s="2" t="s">
        <v>43</v>
      </c>
      <c r="X82" s="46"/>
    </row>
    <row r="83" spans="1:27" ht="20.100000000000001" customHeight="1">
      <c r="A83" s="45"/>
      <c r="B83" s="2" t="s">
        <v>44</v>
      </c>
      <c r="X83" s="46"/>
    </row>
    <row r="84" spans="1:27" ht="20.100000000000001" customHeight="1">
      <c r="A84" s="45"/>
      <c r="B84" s="2" t="s">
        <v>45</v>
      </c>
      <c r="X84" s="46"/>
    </row>
    <row r="85" spans="1:27" ht="20.100000000000001" customHeight="1">
      <c r="A85" s="260"/>
      <c r="B85" s="47" t="s">
        <v>46</v>
      </c>
      <c r="C85" s="47"/>
      <c r="D85" s="47"/>
      <c r="E85" s="47"/>
      <c r="F85" s="47"/>
      <c r="G85" s="48"/>
      <c r="H85" s="48"/>
      <c r="I85" s="47"/>
      <c r="J85" s="47"/>
      <c r="K85" s="47"/>
      <c r="L85" s="47"/>
      <c r="M85" s="47"/>
      <c r="N85" s="47"/>
      <c r="O85" s="47"/>
      <c r="P85" s="47"/>
      <c r="Q85" s="47"/>
      <c r="R85" s="47"/>
      <c r="S85" s="47"/>
      <c r="T85" s="47"/>
      <c r="U85" s="47"/>
      <c r="V85" s="47"/>
      <c r="W85" s="47"/>
      <c r="X85" s="49"/>
    </row>
    <row r="86" spans="1:27" ht="20.100000000000001" customHeight="1">
      <c r="S86" s="2" t="str">
        <f>'1週'!S86</f>
        <v>PJ20-1-2022-0624</v>
      </c>
      <c r="Y86" s="2"/>
      <c r="AA86" s="2"/>
    </row>
  </sheetData>
  <mergeCells count="256">
    <mergeCell ref="I15:J15"/>
    <mergeCell ref="K15:L15"/>
    <mergeCell ref="M15:N15"/>
    <mergeCell ref="O15:P15"/>
    <mergeCell ref="Q15:R15"/>
    <mergeCell ref="M17:N17"/>
    <mergeCell ref="Q17:R17"/>
    <mergeCell ref="I19:J19"/>
    <mergeCell ref="K19:L19"/>
    <mergeCell ref="M19:N19"/>
    <mergeCell ref="O19:P19"/>
    <mergeCell ref="Q19:R19"/>
    <mergeCell ref="I16:J16"/>
    <mergeCell ref="K16:L16"/>
    <mergeCell ref="M16:N16"/>
    <mergeCell ref="O16:P16"/>
    <mergeCell ref="Q16:R16"/>
    <mergeCell ref="K17:L17"/>
    <mergeCell ref="O17:P17"/>
    <mergeCell ref="A61:A65"/>
    <mergeCell ref="I61:I65"/>
    <mergeCell ref="A68:A72"/>
    <mergeCell ref="A75:A79"/>
    <mergeCell ref="U57:V57"/>
    <mergeCell ref="W57:X57"/>
    <mergeCell ref="I58:J58"/>
    <mergeCell ref="K58:L58"/>
    <mergeCell ref="M58:N58"/>
    <mergeCell ref="O58:P58"/>
    <mergeCell ref="Q58:R58"/>
    <mergeCell ref="S58:T58"/>
    <mergeCell ref="U58:V58"/>
    <mergeCell ref="W58:X58"/>
    <mergeCell ref="I57:J57"/>
    <mergeCell ref="K57:L57"/>
    <mergeCell ref="M57:N57"/>
    <mergeCell ref="O57:P57"/>
    <mergeCell ref="Q57:R57"/>
    <mergeCell ref="S57:T57"/>
    <mergeCell ref="I36:J36"/>
    <mergeCell ref="K36:L36"/>
    <mergeCell ref="M36:N36"/>
    <mergeCell ref="O36:P36"/>
    <mergeCell ref="Q36:R36"/>
    <mergeCell ref="S36:T36"/>
    <mergeCell ref="U36:V36"/>
    <mergeCell ref="W36:X36"/>
    <mergeCell ref="I54:J54"/>
    <mergeCell ref="K54:L54"/>
    <mergeCell ref="M54:N54"/>
    <mergeCell ref="O54:P54"/>
    <mergeCell ref="Q54:R54"/>
    <mergeCell ref="S54:T54"/>
    <mergeCell ref="U54:V54"/>
    <mergeCell ref="W54:X54"/>
    <mergeCell ref="U38:V38"/>
    <mergeCell ref="W38:X38"/>
    <mergeCell ref="I40:J40"/>
    <mergeCell ref="K40:L40"/>
    <mergeCell ref="M40:N40"/>
    <mergeCell ref="O40:P40"/>
    <mergeCell ref="Q40:R40"/>
    <mergeCell ref="S40:T40"/>
    <mergeCell ref="I32:J32"/>
    <mergeCell ref="K32:L32"/>
    <mergeCell ref="M32:N32"/>
    <mergeCell ref="O32:P32"/>
    <mergeCell ref="Q32:R32"/>
    <mergeCell ref="S32:T32"/>
    <mergeCell ref="U32:V32"/>
    <mergeCell ref="W32:X32"/>
    <mergeCell ref="I34:J34"/>
    <mergeCell ref="K34:L34"/>
    <mergeCell ref="M34:N34"/>
    <mergeCell ref="O34:P34"/>
    <mergeCell ref="Q34:R34"/>
    <mergeCell ref="S34:T34"/>
    <mergeCell ref="U34:V34"/>
    <mergeCell ref="W34:X34"/>
    <mergeCell ref="I28:J28"/>
    <mergeCell ref="K28:L28"/>
    <mergeCell ref="M28:N28"/>
    <mergeCell ref="O28:P28"/>
    <mergeCell ref="Q28:R28"/>
    <mergeCell ref="S28:T28"/>
    <mergeCell ref="U28:V28"/>
    <mergeCell ref="W28:X28"/>
    <mergeCell ref="I30:J30"/>
    <mergeCell ref="K30:L30"/>
    <mergeCell ref="M30:N30"/>
    <mergeCell ref="O30:P30"/>
    <mergeCell ref="Q30:R30"/>
    <mergeCell ref="S30:T30"/>
    <mergeCell ref="U30:V30"/>
    <mergeCell ref="W30:X30"/>
    <mergeCell ref="I24:J24"/>
    <mergeCell ref="K24:L24"/>
    <mergeCell ref="M24:N24"/>
    <mergeCell ref="O24:P24"/>
    <mergeCell ref="Q24:R24"/>
    <mergeCell ref="S24:T24"/>
    <mergeCell ref="U24:V24"/>
    <mergeCell ref="W24:X24"/>
    <mergeCell ref="I26:J26"/>
    <mergeCell ref="K26:L26"/>
    <mergeCell ref="M26:N26"/>
    <mergeCell ref="O26:P26"/>
    <mergeCell ref="Q26:R26"/>
    <mergeCell ref="S26:T26"/>
    <mergeCell ref="U26:V26"/>
    <mergeCell ref="W26:X26"/>
    <mergeCell ref="I20:J20"/>
    <mergeCell ref="K20:L20"/>
    <mergeCell ref="M20:N20"/>
    <mergeCell ref="O20:P20"/>
    <mergeCell ref="Q20:R20"/>
    <mergeCell ref="S20:T20"/>
    <mergeCell ref="U20:V20"/>
    <mergeCell ref="W20:X20"/>
    <mergeCell ref="I22:J22"/>
    <mergeCell ref="K22:L22"/>
    <mergeCell ref="M22:N22"/>
    <mergeCell ref="O22:P22"/>
    <mergeCell ref="Q22:R22"/>
    <mergeCell ref="S22:T22"/>
    <mergeCell ref="U22:V22"/>
    <mergeCell ref="W22:X22"/>
    <mergeCell ref="S16:T16"/>
    <mergeCell ref="U16:V16"/>
    <mergeCell ref="W16:X16"/>
    <mergeCell ref="I18:J18"/>
    <mergeCell ref="K18:L18"/>
    <mergeCell ref="M18:N18"/>
    <mergeCell ref="O18:P18"/>
    <mergeCell ref="Q18:R18"/>
    <mergeCell ref="S18:T18"/>
    <mergeCell ref="U18:V18"/>
    <mergeCell ref="W18:X18"/>
    <mergeCell ref="I17:J17"/>
    <mergeCell ref="A13:H13"/>
    <mergeCell ref="I13:J13"/>
    <mergeCell ref="K13:L13"/>
    <mergeCell ref="M13:N13"/>
    <mergeCell ref="O13:P13"/>
    <mergeCell ref="Q13:R13"/>
    <mergeCell ref="S13:T13"/>
    <mergeCell ref="U13:V13"/>
    <mergeCell ref="W13:X13"/>
    <mergeCell ref="F12:H12"/>
    <mergeCell ref="I12:J12"/>
    <mergeCell ref="K12:L12"/>
    <mergeCell ref="M12:N12"/>
    <mergeCell ref="O12:P12"/>
    <mergeCell ref="Q12:R12"/>
    <mergeCell ref="S12:T12"/>
    <mergeCell ref="U12:V12"/>
    <mergeCell ref="W12:X12"/>
    <mergeCell ref="W10:X10"/>
    <mergeCell ref="G11:H11"/>
    <mergeCell ref="I11:J11"/>
    <mergeCell ref="K11:L11"/>
    <mergeCell ref="M11:N11"/>
    <mergeCell ref="O11:P11"/>
    <mergeCell ref="Q11:R11"/>
    <mergeCell ref="S11:T11"/>
    <mergeCell ref="U11:V11"/>
    <mergeCell ref="W11:X11"/>
    <mergeCell ref="I9:J9"/>
    <mergeCell ref="K9:L9"/>
    <mergeCell ref="M9:N9"/>
    <mergeCell ref="O9:P9"/>
    <mergeCell ref="Q9:R9"/>
    <mergeCell ref="S9:T9"/>
    <mergeCell ref="U9:V9"/>
    <mergeCell ref="G10:H10"/>
    <mergeCell ref="I10:J10"/>
    <mergeCell ref="K10:L10"/>
    <mergeCell ref="M10:N10"/>
    <mergeCell ref="O10:P10"/>
    <mergeCell ref="Q10:R10"/>
    <mergeCell ref="S10:T10"/>
    <mergeCell ref="U10:V10"/>
    <mergeCell ref="A1:X1"/>
    <mergeCell ref="K7:L7"/>
    <mergeCell ref="M7:O7"/>
    <mergeCell ref="P7:S7"/>
    <mergeCell ref="U7:X7"/>
    <mergeCell ref="I8:J8"/>
    <mergeCell ref="K8:L8"/>
    <mergeCell ref="M8:N8"/>
    <mergeCell ref="O8:P8"/>
    <mergeCell ref="Q8:R8"/>
    <mergeCell ref="S8:T8"/>
    <mergeCell ref="U8:V8"/>
    <mergeCell ref="S3:U5"/>
    <mergeCell ref="V3:X5"/>
    <mergeCell ref="U40:V40"/>
    <mergeCell ref="W40:X40"/>
    <mergeCell ref="I38:J38"/>
    <mergeCell ref="K38:L38"/>
    <mergeCell ref="M38:N38"/>
    <mergeCell ref="O38:P38"/>
    <mergeCell ref="Q38:R38"/>
    <mergeCell ref="S38:T38"/>
    <mergeCell ref="U42:V42"/>
    <mergeCell ref="W42:X42"/>
    <mergeCell ref="I44:J44"/>
    <mergeCell ref="K44:L44"/>
    <mergeCell ref="M44:N44"/>
    <mergeCell ref="O44:P44"/>
    <mergeCell ref="Q44:R44"/>
    <mergeCell ref="S44:T44"/>
    <mergeCell ref="U44:V44"/>
    <mergeCell ref="W44:X44"/>
    <mergeCell ref="I42:J42"/>
    <mergeCell ref="K42:L42"/>
    <mergeCell ref="M42:N42"/>
    <mergeCell ref="O42:P42"/>
    <mergeCell ref="Q42:R42"/>
    <mergeCell ref="S42:T42"/>
    <mergeCell ref="U46:V46"/>
    <mergeCell ref="W46:X46"/>
    <mergeCell ref="I48:J48"/>
    <mergeCell ref="K48:L48"/>
    <mergeCell ref="M48:N48"/>
    <mergeCell ref="O48:P48"/>
    <mergeCell ref="Q48:R48"/>
    <mergeCell ref="S48:T48"/>
    <mergeCell ref="U48:V48"/>
    <mergeCell ref="W48:X48"/>
    <mergeCell ref="I46:J46"/>
    <mergeCell ref="K46:L46"/>
    <mergeCell ref="M46:N46"/>
    <mergeCell ref="O46:P46"/>
    <mergeCell ref="Q46:R46"/>
    <mergeCell ref="S46:T46"/>
    <mergeCell ref="U50:V50"/>
    <mergeCell ref="W50:X50"/>
    <mergeCell ref="I52:J52"/>
    <mergeCell ref="K52:L52"/>
    <mergeCell ref="M52:N52"/>
    <mergeCell ref="O52:P52"/>
    <mergeCell ref="Q52:R52"/>
    <mergeCell ref="S52:T52"/>
    <mergeCell ref="U52:V52"/>
    <mergeCell ref="W52:X52"/>
    <mergeCell ref="I50:J50"/>
    <mergeCell ref="K50:L50"/>
    <mergeCell ref="M50:N50"/>
    <mergeCell ref="O50:P50"/>
    <mergeCell ref="Q50:R50"/>
    <mergeCell ref="S50:T50"/>
    <mergeCell ref="S15:T15"/>
    <mergeCell ref="U15:V15"/>
    <mergeCell ref="S17:T17"/>
    <mergeCell ref="U17:V17"/>
  </mergeCells>
  <phoneticPr fontId="7"/>
  <conditionalFormatting sqref="B16">
    <cfRule type="expression" dxfId="130" priority="13">
      <formula>AND(W16&lt;&gt;0,B16="")</formula>
    </cfRule>
  </conditionalFormatting>
  <conditionalFormatting sqref="B18">
    <cfRule type="expression" dxfId="129" priority="12">
      <formula>AND(W18&lt;&gt;0,B18="")</formula>
    </cfRule>
  </conditionalFormatting>
  <conditionalFormatting sqref="B20">
    <cfRule type="expression" dxfId="128" priority="11">
      <formula>AND(W20&lt;&gt;0,B20="")</formula>
    </cfRule>
  </conditionalFormatting>
  <conditionalFormatting sqref="B22">
    <cfRule type="expression" dxfId="127" priority="570">
      <formula>AND(W22&lt;&gt;0,B22="")</formula>
    </cfRule>
  </conditionalFormatting>
  <conditionalFormatting sqref="B24">
    <cfRule type="expression" dxfId="126" priority="315">
      <formula>AND(W24&lt;&gt;0,B24="")</formula>
    </cfRule>
  </conditionalFormatting>
  <conditionalFormatting sqref="B26">
    <cfRule type="expression" dxfId="125" priority="314">
      <formula>AND(W26&lt;&gt;0,B26="")</formula>
    </cfRule>
  </conditionalFormatting>
  <conditionalFormatting sqref="B28">
    <cfRule type="expression" dxfId="124" priority="313">
      <formula>AND(W28&lt;&gt;0,B28="")</formula>
    </cfRule>
  </conditionalFormatting>
  <conditionalFormatting sqref="B30">
    <cfRule type="expression" dxfId="123" priority="312">
      <formula>AND(W30&lt;&gt;0,B30="")</formula>
    </cfRule>
  </conditionalFormatting>
  <conditionalFormatting sqref="B32">
    <cfRule type="expression" dxfId="122" priority="311">
      <formula>AND(W32&lt;&gt;0,B32="")</formula>
    </cfRule>
  </conditionalFormatting>
  <conditionalFormatting sqref="B34">
    <cfRule type="expression" dxfId="121" priority="310">
      <formula>AND(W34&lt;&gt;0,B34="")</formula>
    </cfRule>
  </conditionalFormatting>
  <conditionalFormatting sqref="B36">
    <cfRule type="expression" dxfId="120" priority="309">
      <formula>AND(W36&lt;&gt;0,B36="")</formula>
    </cfRule>
  </conditionalFormatting>
  <conditionalFormatting sqref="B38">
    <cfRule type="expression" dxfId="119" priority="308">
      <formula>AND(W38&lt;&gt;0,B38="")</formula>
    </cfRule>
  </conditionalFormatting>
  <conditionalFormatting sqref="B40">
    <cfRule type="expression" dxfId="118" priority="307">
      <formula>AND(W40&lt;&gt;0,B40="")</formula>
    </cfRule>
  </conditionalFormatting>
  <conditionalFormatting sqref="B42">
    <cfRule type="expression" dxfId="117" priority="306">
      <formula>AND(W42&lt;&gt;0,B42="")</formula>
    </cfRule>
  </conditionalFormatting>
  <conditionalFormatting sqref="B44">
    <cfRule type="expression" dxfId="116" priority="305">
      <formula>AND(W44&lt;&gt;0,B44="")</formula>
    </cfRule>
  </conditionalFormatting>
  <conditionalFormatting sqref="B46">
    <cfRule type="expression" dxfId="115" priority="304">
      <formula>AND(W46&lt;&gt;0,B46="")</formula>
    </cfRule>
  </conditionalFormatting>
  <conditionalFormatting sqref="B48">
    <cfRule type="expression" dxfId="114" priority="303">
      <formula>AND(W48&lt;&gt;0,B48="")</formula>
    </cfRule>
  </conditionalFormatting>
  <conditionalFormatting sqref="B50">
    <cfRule type="expression" dxfId="113" priority="302">
      <formula>AND(W50&lt;&gt;0,B50="")</formula>
    </cfRule>
  </conditionalFormatting>
  <conditionalFormatting sqref="B52">
    <cfRule type="expression" dxfId="112" priority="299">
      <formula>AND(W52&lt;&gt;0,B52="")</formula>
    </cfRule>
  </conditionalFormatting>
  <conditionalFormatting sqref="B54">
    <cfRule type="expression" dxfId="111" priority="298">
      <formula>AND(W54&lt;&gt;0,B54="")</formula>
    </cfRule>
  </conditionalFormatting>
  <conditionalFormatting sqref="C6:C7">
    <cfRule type="expression" dxfId="110" priority="16">
      <formula>OR($C6="",$C6=0)</formula>
    </cfRule>
  </conditionalFormatting>
  <conditionalFormatting sqref="D16 D18 D20 D22 D24 D26 D28 D30 D32 D34 D36 D38 D40 D42 D44 D46 D48 D50 D52 D54">
    <cfRule type="expression" dxfId="109" priority="17">
      <formula>OR( AND(B16&lt;&gt;"",LEFT(B16,2)&lt;&gt;"88",LEFT(D15,2)="99"), AND(D16&lt;&gt;"",LEFT(B16,2)="88",LEFT(D15,2)&lt;&gt;"99") )</formula>
    </cfRule>
    <cfRule type="expression" dxfId="108" priority="574">
      <formula>AND(W16&lt;&gt;0,D16="")</formula>
    </cfRule>
  </conditionalFormatting>
  <conditionalFormatting sqref="I13:X13">
    <cfRule type="cellIs" dxfId="103" priority="856" operator="notEqual">
      <formula>I57</formula>
    </cfRule>
  </conditionalFormatting>
  <conditionalFormatting sqref="I57:X57">
    <cfRule type="cellIs" dxfId="102" priority="575" stopIfTrue="1" operator="notEqual">
      <formula>I13</formula>
    </cfRule>
  </conditionalFormatting>
  <dataValidations count="1">
    <dataValidation type="list" allowBlank="1" showInputMessage="1" showErrorMessage="1" sqref="D16 D18 D20 D22 D24 D26 D28 D30 D32 D34 D36 D38 D40 D42 D44 D46 D48 D50 D52 D54" xr:uid="{00000000-0002-0000-0300-000000000000}">
      <formula1>IF($B16="",工種_全部,IF(LEFT($B16,2)="88",工種_間接,工種_通常))</formula1>
    </dataValidation>
  </dataValidations>
  <printOptions horizontalCentered="1"/>
  <pageMargins left="0.43307086614173229" right="0.23622047244094491" top="0.31496062992125984" bottom="0.11811023622047245" header="0.15748031496062992" footer="0.23622047244094491"/>
  <pageSetup paperSize="9" scale="59" fitToHeight="10" orientation="portrait" r:id="rId1"/>
  <headerFooter alignWithMargins="0"/>
  <ignoredErrors>
    <ignoredError sqref="B3" unlockedFormula="1"/>
    <ignoredError sqref="C16:C53"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id="{32D5BDC1-5A7D-4B84-A233-EACA84533CFE}">
            <xm:f>AND(INDEX(PJ!$E:$E,MATCH($B16,PJ!$C:$C,0))&gt;DATE($B$3,$C$3,I$9),I16&lt;&gt;"")</xm:f>
            <x14:dxf>
              <font>
                <color rgb="FF9C0006"/>
              </font>
              <fill>
                <patternFill>
                  <bgColor rgb="FFFFC7CE"/>
                </patternFill>
              </fill>
            </x14:dxf>
          </x14:cfRule>
          <x14:cfRule type="expression" priority="2" id="{DE2A617A-FB6C-4681-9B6B-9A095FD0D980}">
            <xm:f>AND(INDEX(PJ!$F:$F,MATCH($B16,PJ!$C:$C,0))&lt;DATE($B$3,$C$3,I$9),I16&lt;&gt;"")</xm:f>
            <x14:dxf>
              <font>
                <color rgb="FF9C0006"/>
              </font>
              <fill>
                <patternFill>
                  <bgColor rgb="FFFFC7CE"/>
                </patternFill>
              </fill>
            </x14:dxf>
          </x14:cfRule>
          <xm:sqref>I16:V16 I18:V18 I20:V20</xm:sqref>
        </x14:conditionalFormatting>
        <x14:conditionalFormatting xmlns:xm="http://schemas.microsoft.com/office/excel/2006/main">
          <x14:cfRule type="expression" priority="14" id="{0EE80648-519E-4638-9309-E7DFB47741AE}">
            <xm:f>AND(INDEX(PJ!$E:$E,MATCH($B22,PJ!$C:$C,0))&gt;DATE($B$3,$C$3,I$9),I22&lt;&gt;"")</xm:f>
            <x14:dxf>
              <font>
                <color rgb="FF9C0006"/>
              </font>
              <fill>
                <patternFill>
                  <bgColor rgb="FFFFC7CE"/>
                </patternFill>
              </fill>
            </x14:dxf>
          </x14:cfRule>
          <x14:cfRule type="expression" priority="15" id="{8FD8A0A2-91E2-4CFE-A95C-7FCA1979570E}">
            <xm:f>AND(INDEX(PJ!$F:$F,MATCH($B22,PJ!$C:$C,0))&lt;DATE($B$3,$C$3,I$9),I22&lt;&gt;"")</xm:f>
            <x14:dxf>
              <font>
                <color rgb="FF9C0006"/>
              </font>
              <fill>
                <patternFill>
                  <bgColor rgb="FFFFC7CE"/>
                </patternFill>
              </fill>
            </x14:dxf>
          </x14:cfRule>
          <xm:sqref>I22:V22 I24:V24 I26:V26 I28:V28 I30:V30 I32:V32 I34:V34 I36:V36 I38:V38 I40:V40 I42:V42 I44:V44 I46:V46 I48:V48 I50:V50 I52:V52 I54:V54</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A86"/>
  <sheetViews>
    <sheetView showGridLines="0" zoomScaleNormal="100" zoomScaleSheetLayoutView="100" workbookViewId="0">
      <selection activeCell="C4" sqref="C4"/>
    </sheetView>
  </sheetViews>
  <sheetFormatPr defaultColWidth="8" defaultRowHeight="20.100000000000001" customHeight="1"/>
  <cols>
    <col min="1" max="1" width="2.625" style="4" customWidth="1"/>
    <col min="2" max="2" width="11.375" style="2" customWidth="1"/>
    <col min="3" max="3" width="23.125" style="2" customWidth="1"/>
    <col min="4" max="4" width="13.875" style="2" customWidth="1"/>
    <col min="5" max="5" width="31.125" style="2" customWidth="1"/>
    <col min="6" max="6" width="6" style="2" customWidth="1"/>
    <col min="7" max="7" width="5.375" style="4" customWidth="1"/>
    <col min="8" max="8" width="1.875" style="4" customWidth="1"/>
    <col min="9" max="24" width="3.375" style="2" customWidth="1"/>
    <col min="25" max="25" width="0.375" style="39" customWidth="1"/>
    <col min="26" max="26" width="8" style="2" customWidth="1"/>
    <col min="27" max="27" width="8" style="39"/>
    <col min="28" max="16384" width="8" style="2"/>
  </cols>
  <sheetData>
    <row r="1" spans="1:27" ht="25.5">
      <c r="A1" s="346" t="s">
        <v>0</v>
      </c>
      <c r="B1" s="346"/>
      <c r="C1" s="346"/>
      <c r="D1" s="346"/>
      <c r="E1" s="346"/>
      <c r="F1" s="346"/>
      <c r="G1" s="346"/>
      <c r="H1" s="346"/>
      <c r="I1" s="346"/>
      <c r="J1" s="346"/>
      <c r="K1" s="346"/>
      <c r="L1" s="346"/>
      <c r="M1" s="346"/>
      <c r="N1" s="346"/>
      <c r="O1" s="346"/>
      <c r="P1" s="346"/>
      <c r="Q1" s="346"/>
      <c r="R1" s="346"/>
      <c r="S1" s="346"/>
      <c r="T1" s="346"/>
      <c r="U1" s="346"/>
      <c r="V1" s="346"/>
      <c r="W1" s="346"/>
      <c r="X1" s="346"/>
      <c r="Y1" s="2"/>
      <c r="AA1" s="2"/>
    </row>
    <row r="2" spans="1:27" ht="19.5" customHeight="1">
      <c r="E2" s="5"/>
      <c r="H2" s="2"/>
      <c r="Q2" s="245"/>
      <c r="R2" s="46"/>
      <c r="S2" s="36"/>
      <c r="T2" s="34" t="s">
        <v>1</v>
      </c>
      <c r="U2" s="35"/>
      <c r="V2" s="37"/>
      <c r="W2" s="34" t="s">
        <v>2</v>
      </c>
      <c r="X2" s="38"/>
      <c r="Z2" s="53"/>
    </row>
    <row r="3" spans="1:27" ht="19.5" customHeight="1">
      <c r="B3" s="3">
        <f>'1週'!B3</f>
        <v>2026</v>
      </c>
      <c r="C3" s="57">
        <f>'1週'!C3</f>
        <v>7</v>
      </c>
      <c r="D3" s="121"/>
      <c r="E3" s="5"/>
      <c r="H3" s="2"/>
      <c r="I3" s="6"/>
      <c r="R3" s="46"/>
      <c r="S3" s="363"/>
      <c r="T3" s="364"/>
      <c r="U3" s="365"/>
      <c r="V3" s="363"/>
      <c r="W3" s="364"/>
      <c r="X3" s="365"/>
      <c r="Z3" s="53"/>
    </row>
    <row r="4" spans="1:27" ht="19.5" customHeight="1">
      <c r="C4" s="18">
        <f>IF('1週'!C3="","",IF('1週'!C4=1,5,4))</f>
        <v>5</v>
      </c>
      <c r="D4" s="113"/>
      <c r="E4" s="7"/>
      <c r="F4" s="7"/>
      <c r="G4" s="7"/>
      <c r="H4" s="7"/>
      <c r="I4" s="8"/>
      <c r="J4" s="7"/>
      <c r="K4" s="7"/>
      <c r="L4" s="7"/>
      <c r="M4" s="7"/>
      <c r="N4" s="7"/>
      <c r="O4" s="7"/>
      <c r="P4" s="7"/>
      <c r="Q4" s="1"/>
      <c r="R4" s="54"/>
      <c r="S4" s="366"/>
      <c r="T4" s="367"/>
      <c r="U4" s="368"/>
      <c r="V4" s="366"/>
      <c r="W4" s="367"/>
      <c r="X4" s="368"/>
    </row>
    <row r="5" spans="1:27" ht="19.5" customHeight="1">
      <c r="A5" s="9"/>
      <c r="B5" s="7"/>
      <c r="C5" s="10"/>
      <c r="D5" s="10"/>
      <c r="E5" s="9"/>
      <c r="F5" s="7"/>
      <c r="G5" s="7"/>
      <c r="H5" s="7"/>
      <c r="I5" s="7"/>
      <c r="J5" s="7"/>
      <c r="K5" s="7"/>
      <c r="L5" s="7"/>
      <c r="M5" s="7"/>
      <c r="N5" s="7"/>
      <c r="O5" s="7"/>
      <c r="P5" s="7"/>
      <c r="Q5" s="7"/>
      <c r="R5" s="54"/>
      <c r="S5" s="369"/>
      <c r="T5" s="370"/>
      <c r="U5" s="371"/>
      <c r="V5" s="369"/>
      <c r="W5" s="370"/>
      <c r="X5" s="371"/>
    </row>
    <row r="6" spans="1:27" ht="19.5" customHeight="1">
      <c r="B6" s="33" t="s">
        <v>3</v>
      </c>
      <c r="C6" s="56" t="str">
        <f>'1週'!C6</f>
        <v>FPTジャパン</v>
      </c>
      <c r="D6" s="122"/>
      <c r="H6" s="2"/>
    </row>
    <row r="7" spans="1:27" ht="19.5" customHeight="1">
      <c r="B7" s="33" t="s">
        <v>5</v>
      </c>
      <c r="C7" s="56" t="str">
        <f>'1週'!C7</f>
        <v>LE NHUT THIEN</v>
      </c>
      <c r="D7" s="122"/>
      <c r="H7" s="2"/>
      <c r="K7" s="357"/>
      <c r="L7" s="358"/>
      <c r="M7" s="372"/>
      <c r="N7" s="373"/>
      <c r="O7" s="373"/>
      <c r="P7" s="374"/>
      <c r="Q7" s="374"/>
      <c r="R7" s="374"/>
      <c r="S7" s="374"/>
      <c r="T7" s="261"/>
      <c r="U7" s="374"/>
      <c r="V7" s="374"/>
      <c r="W7" s="375"/>
      <c r="X7" s="375"/>
    </row>
    <row r="8" spans="1:27" ht="18" customHeight="1">
      <c r="G8" s="2"/>
      <c r="H8" s="2"/>
      <c r="I8" s="336" t="s">
        <v>8</v>
      </c>
      <c r="J8" s="337"/>
      <c r="K8" s="336" t="s">
        <v>9</v>
      </c>
      <c r="L8" s="337"/>
      <c r="M8" s="336" t="s">
        <v>10</v>
      </c>
      <c r="N8" s="337"/>
      <c r="O8" s="336" t="s">
        <v>11</v>
      </c>
      <c r="P8" s="337"/>
      <c r="Q8" s="336" t="s">
        <v>12</v>
      </c>
      <c r="R8" s="337"/>
      <c r="S8" s="336" t="s">
        <v>13</v>
      </c>
      <c r="T8" s="337"/>
      <c r="U8" s="336" t="s">
        <v>14</v>
      </c>
      <c r="V8" s="337"/>
      <c r="W8" s="11"/>
      <c r="Y8" s="2"/>
      <c r="AA8" s="2"/>
    </row>
    <row r="9" spans="1:27" s="4" customFormat="1" ht="18" customHeight="1">
      <c r="B9" s="12"/>
      <c r="F9" s="13"/>
      <c r="H9" s="14"/>
      <c r="I9" s="344">
        <f>IF(ISERR(WEEKDAY($B$3&amp;"/"&amp;$C$3&amp;"/"&amp;'4週'!U9+1))=TRUE,"",'4週'!U9+1)</f>
        <v>27</v>
      </c>
      <c r="J9" s="345"/>
      <c r="K9" s="344">
        <f>IF(ISERR(WEEKDAY($B$3&amp;"/"&amp;$C$3&amp;"/"&amp;I9+1))=TRUE,"",I9+1)</f>
        <v>28</v>
      </c>
      <c r="L9" s="345"/>
      <c r="M9" s="344">
        <f>IF(ISERR(WEEKDAY($B$3&amp;"/"&amp;$C$3&amp;"/"&amp;K9+1))=TRUE,"",K9+1)</f>
        <v>29</v>
      </c>
      <c r="N9" s="345"/>
      <c r="O9" s="344">
        <f>IF(ISERR(WEEKDAY($B$3&amp;"/"&amp;$C$3&amp;"/"&amp;M9+1))=TRUE,"",M9+1)</f>
        <v>30</v>
      </c>
      <c r="P9" s="345"/>
      <c r="Q9" s="344">
        <f>IF(ISERR(WEEKDAY($B$3&amp;"/"&amp;$C$3&amp;"/"&amp;O9+1))=TRUE,"",O9+1)</f>
        <v>31</v>
      </c>
      <c r="R9" s="345"/>
      <c r="S9" s="344" t="str">
        <f>IF(ISERR(WEEKDAY($B$3&amp;"/"&amp;$C$3&amp;"/"&amp;Q9+1))=TRUE,"",Q9+1)</f>
        <v/>
      </c>
      <c r="T9" s="345"/>
      <c r="U9" s="344" t="str">
        <f>IF(ISERR(WEEKDAY($B$3&amp;"/"&amp;$C$3&amp;"/"&amp;S9+1))=TRUE,"",S9+1)</f>
        <v/>
      </c>
      <c r="V9" s="345"/>
    </row>
    <row r="10" ht="18" customHeight="1">
      <c r="A10" s="25" t="s">
        <v>15</v>
      </c>
      <c r="B10" s="26" t="s">
        <v>16</v>
      </c>
      <c r="C10" s="27" t="s">
        <v>17</v>
      </c>
      <c r="D10" s="27" t="s">
        <v>18</v>
      </c>
      <c r="E10" s="25" t="s">
        <v>19</v>
      </c>
      <c r="F10" s="28" t="s">
        <v>20</v>
      </c>
      <c r="G10" s="347" t="s">
        <v>21</v>
      </c>
      <c r="H10" s="329"/>
      <c r="I10" s="342">
        <v>0.375</v>
      </c>
      <c r="J10" s="343"/>
      <c r="K10" s="342">
        <v>0.375</v>
      </c>
      <c r="L10" s="343"/>
      <c r="M10" s="342">
        <v>0.375</v>
      </c>
      <c r="N10" s="343"/>
      <c r="O10" s="342">
        <v>0.375</v>
      </c>
      <c r="P10" s="343"/>
      <c r="Q10" s="342">
        <v>0.375</v>
      </c>
      <c r="R10" s="343"/>
      <c r="S10" s="342"/>
      <c r="T10" s="343"/>
      <c r="U10" s="342"/>
      <c r="V10" s="381"/>
      <c r="W10" s="338" t="s">
        <v>22</v>
      </c>
      <c r="X10" s="339"/>
    </row>
    <row r="11" ht="18" customHeight="1">
      <c r="A11" s="29"/>
      <c r="B11" s="114" t="s">
        <v>23</v>
      </c>
      <c r="C11" s="27" t="s">
        <v>24</v>
      </c>
      <c r="D11" s="27" t="s">
        <v>25</v>
      </c>
      <c r="E11" s="29"/>
      <c r="F11" s="30" t="s">
        <v>26</v>
      </c>
      <c r="G11" s="348" t="s">
        <v>27</v>
      </c>
      <c r="H11" s="349"/>
      <c r="I11" s="334">
        <v>0.7708333333</v>
      </c>
      <c r="J11" s="335"/>
      <c r="K11" s="334">
        <v>0.7708333333</v>
      </c>
      <c r="L11" s="335"/>
      <c r="M11" s="334">
        <v>0.7708333333</v>
      </c>
      <c r="N11" s="335"/>
      <c r="O11" s="334">
        <v>0.7708333333</v>
      </c>
      <c r="P11" s="335"/>
      <c r="Q11" s="334">
        <v>0.7708333333</v>
      </c>
      <c r="R11" s="335"/>
      <c r="S11" s="334"/>
      <c r="T11" s="335"/>
      <c r="U11" s="334"/>
      <c r="V11" s="382"/>
      <c r="W11" s="340">
        <f>'4週'!W11+W13</f>
        <v>8.25</v>
      </c>
      <c r="X11" s="341"/>
      <c r="Z11" s="4"/>
    </row>
    <row r="12" ht="17.25" customHeight="1">
      <c r="A12" s="31"/>
      <c r="B12" s="32"/>
      <c r="C12" s="32"/>
      <c r="D12" s="32"/>
      <c r="E12" s="32"/>
      <c r="F12" s="350" t="s">
        <v>28</v>
      </c>
      <c r="G12" s="351"/>
      <c r="H12" s="352"/>
      <c r="I12" s="332">
        <v>0.0416666667</v>
      </c>
      <c r="J12" s="333"/>
      <c r="K12" s="332">
        <v>0.0416666667</v>
      </c>
      <c r="L12" s="333"/>
      <c r="M12" s="332">
        <v>0.0416666667</v>
      </c>
      <c r="N12" s="333"/>
      <c r="O12" s="332">
        <v>0.0416666667</v>
      </c>
      <c r="P12" s="333"/>
      <c r="Q12" s="332">
        <v>0.0416666667</v>
      </c>
      <c r="R12" s="333"/>
      <c r="S12" s="332"/>
      <c r="T12" s="333"/>
      <c r="U12" s="332"/>
      <c r="V12" s="380"/>
      <c r="W12" s="376" t="s">
        <v>29</v>
      </c>
      <c r="X12" s="377"/>
    </row>
    <row r="13" spans="1:27" ht="20.100000000000001" customHeight="1">
      <c r="A13" s="353" t="s">
        <v>29</v>
      </c>
      <c r="B13" s="354"/>
      <c r="C13" s="354"/>
      <c r="D13" s="354"/>
      <c r="E13" s="354"/>
      <c r="F13" s="354"/>
      <c r="G13" s="354"/>
      <c r="H13" s="355"/>
      <c r="I13" s="330">
        <f>TIMEVALUE(TEXT(I11-I10-I12,"h:mm:ss"))</f>
        <v>0.375</v>
      </c>
      <c r="J13" s="331"/>
      <c r="K13" s="330">
        <f>TIMEVALUE(TEXT(K11-K10-K12,"h:mm:ss"))</f>
        <v>0.375</v>
      </c>
      <c r="L13" s="331"/>
      <c r="M13" s="330">
        <f>TIMEVALUE(TEXT(M11-M10-M12,"h:mm:ss"))</f>
        <v>0</v>
      </c>
      <c r="N13" s="331"/>
      <c r="O13" s="330">
        <f>TIMEVALUE(TEXT(O11-O10-O12,"h:mm:ss"))</f>
        <v>0</v>
      </c>
      <c r="P13" s="331"/>
      <c r="Q13" s="330">
        <f>TIMEVALUE(TEXT(Q11-Q10-Q12,"h:mm:ss"))</f>
        <v>0</v>
      </c>
      <c r="R13" s="331"/>
      <c r="S13" s="330">
        <f>TIMEVALUE(TEXT(S11-S10-S12,"h:mm:ss"))</f>
        <v>0</v>
      </c>
      <c r="T13" s="331"/>
      <c r="U13" s="330">
        <f>TIMEVALUE(TEXT(U11-U10-U12,"h:mm:ss"))</f>
        <v>0</v>
      </c>
      <c r="V13" s="331"/>
      <c r="W13" s="361">
        <f>CEILING(SUM(I13:V13),"0:5")</f>
        <v>0.75</v>
      </c>
      <c r="X13" s="362"/>
    </row>
    <row r="14" spans="1:27" ht="8.25" customHeight="1">
      <c r="B14" s="15"/>
      <c r="C14" s="16"/>
      <c r="D14" s="4"/>
      <c r="E14" s="4"/>
      <c r="F14" s="13"/>
      <c r="W14" s="4"/>
      <c r="X14" s="4"/>
      <c r="Y14" s="2"/>
      <c r="AA14" s="2"/>
    </row>
    <row r="15" ht="18" customHeight="1">
      <c r="A15" s="25">
        <v>1</v>
      </c>
      <c r="B15" s="81">
        <f>IF($B16="","",INDEX(PJ!$A:$A,MATCH(B16,PJ!$C:$C,0)))</f>
        <v>10000</v>
      </c>
      <c r="C15" s="82" t="str">
        <f>IF($B16="","",INDEX(PJ!$B:$B,MATCH(B16, PJ!$C:$C, 0)))</f>
        <v>Yokogawa</v>
      </c>
      <c r="D15" s="81" t="str">
        <f>IF(D16="","",INDEX(工種!$A$2:$A$83,MATCH(D16,工種!$B$2:$B$83,0),1))</f>
        <v>10102</v>
      </c>
      <c r="E15" s="40"/>
      <c r="F15" s="41"/>
      <c r="G15" s="23" t="s">
        <v>20</v>
      </c>
      <c r="H15" s="259"/>
      <c r="I15" s="328"/>
      <c r="J15" s="329"/>
      <c r="K15" s="328"/>
      <c r="L15" s="329"/>
      <c r="M15" s="328"/>
      <c r="N15" s="329"/>
      <c r="O15" s="328"/>
      <c r="P15" s="329"/>
      <c r="Q15" s="328"/>
      <c r="R15" s="329"/>
      <c r="S15" s="19"/>
      <c r="T15" s="20"/>
      <c r="U15" s="19"/>
      <c r="V15" s="20"/>
      <c r="W15" s="21"/>
      <c r="X15" s="22"/>
    </row>
    <row r="16" ht="18" customHeight="1">
      <c r="A16" s="29"/>
      <c r="B16" s="24">
        <v>10000</v>
      </c>
      <c r="C16" s="83" t="str">
        <f>IF($B16="","",INDEX(PJ!$D:$D,MATCH(B16, PJ!$C:$C, 0)))</f>
        <v xml:space="preserve">Rep Portal </v>
      </c>
      <c r="D16" s="146" t="inlineStr">
        <is>
          <t xml:space="preserve">製造：コーディング</t>
        </is>
      </c>
      <c r="E16" s="42" t="inlineStr">
        <is>
          <t xml:space="preserve">コーディング</t>
        </is>
      </c>
      <c r="F16" s="43"/>
      <c r="G16" s="24" t="s">
        <v>32</v>
      </c>
      <c r="H16" s="258"/>
      <c r="I16" s="334">
        <v>0.2708333333</v>
      </c>
      <c r="J16" s="335"/>
      <c r="K16" s="334">
        <v>0.2708333333</v>
      </c>
      <c r="L16" s="335"/>
      <c r="M16" s="334">
        <v>0.2708333333</v>
      </c>
      <c r="N16" s="335"/>
      <c r="O16" s="334">
        <v>0.2291666667</v>
      </c>
      <c r="P16" s="335"/>
      <c r="Q16" s="334">
        <v>0.2708333333</v>
      </c>
      <c r="R16" s="335"/>
      <c r="S16" s="334"/>
      <c r="T16" s="335"/>
      <c r="U16" s="334"/>
      <c r="V16" s="335"/>
      <c r="W16" s="340">
        <f>SUM(I16:V16)</f>
        <v>0.83333333333333337</v>
      </c>
      <c r="X16" s="341"/>
    </row>
    <row r="17" ht="18" customHeight="1">
      <c r="A17" s="25">
        <v>2</v>
      </c>
      <c r="B17" s="81">
        <f>IF($B18="","",INDEX(PJ!$A:$A,MATCH(B18,PJ!$C:$C,0)))</f>
        <v>10000</v>
      </c>
      <c r="C17" s="82" t="str">
        <f>IF($B18="","",INDEX(PJ!$B:$B,MATCH(B18, PJ!$C:$C, 0)))</f>
        <v>Yokogawa</v>
      </c>
      <c r="D17" s="81" t="str">
        <f>IF(D18="","",INDEX(工種!$A$2:$A$83,MATCH(D18,工種!$B$2:$B$83,0),1))</f>
        <v>30106</v>
      </c>
      <c r="E17" s="40"/>
      <c r="F17" s="41"/>
      <c r="G17" s="23" t="s">
        <v>20</v>
      </c>
      <c r="H17" s="259"/>
      <c r="I17" s="328"/>
      <c r="J17" s="329"/>
      <c r="K17" s="328"/>
      <c r="L17" s="329"/>
      <c r="M17" s="328"/>
      <c r="N17" s="329"/>
      <c r="O17" s="328"/>
      <c r="P17" s="329"/>
      <c r="Q17" s="328"/>
      <c r="R17" s="329"/>
      <c r="S17" s="19"/>
      <c r="T17" s="20"/>
      <c r="U17" s="19"/>
      <c r="V17" s="20"/>
      <c r="W17" s="19"/>
      <c r="X17" s="20"/>
    </row>
    <row r="18" ht="18" customHeight="1">
      <c r="A18" s="29"/>
      <c r="B18" s="24">
        <v>10000</v>
      </c>
      <c r="C18" s="83" t="str">
        <f>IF($B18="","",INDEX(PJ!$D:$D,MATCH(B18, PJ!$C:$C, 0)))</f>
        <v xml:space="preserve">Rep Portal </v>
      </c>
      <c r="D18" s="146" t="inlineStr">
        <is>
          <t xml:space="preserve">テスト：結合テスト実施</t>
        </is>
      </c>
      <c r="E18" s="42" t="inlineStr">
        <is>
          <t xml:space="preserve">結合テスト実施</t>
        </is>
      </c>
      <c r="F18" s="43"/>
      <c r="G18" s="24" t="s">
        <v>32</v>
      </c>
      <c r="H18" s="258"/>
      <c r="I18" s="334">
        <v>0.0833333333</v>
      </c>
      <c r="J18" s="335"/>
      <c r="K18" s="334">
        <v>0.0833333333</v>
      </c>
      <c r="L18" s="335"/>
      <c r="M18" s="334">
        <v>0.0833333333</v>
      </c>
      <c r="N18" s="335"/>
      <c r="O18" s="334">
        <v>0.0833333333</v>
      </c>
      <c r="P18" s="335"/>
      <c r="Q18" s="334">
        <v>0.0833333333</v>
      </c>
      <c r="R18" s="335"/>
      <c r="S18" s="334"/>
      <c r="T18" s="335"/>
      <c r="U18" s="334"/>
      <c r="V18" s="335"/>
      <c r="W18" s="340">
        <f>SUM(I18:V18)</f>
        <v>0.5</v>
      </c>
      <c r="X18" s="341"/>
    </row>
    <row r="19" ht="18" customHeight="1">
      <c r="A19" s="25">
        <v>3</v>
      </c>
      <c r="B19" s="81">
        <f>IF($B20="","",INDEX(PJ!$A:$A,MATCH(B20,PJ!$C:$C,0)))</f>
        <v>10000</v>
      </c>
      <c r="C19" s="82" t="str">
        <f>IF($B20="","",INDEX(PJ!$B:$B,MATCH(B20, PJ!$C:$C, 0)))</f>
        <v>Yokogawa</v>
      </c>
      <c r="D19" s="81" t="str">
        <f>IF(D20="","",INDEX(工種!$A$2:$A$83,MATCH(D20,工種!$B$2:$B$83,0),1))</f>
        <v>40108</v>
      </c>
      <c r="E19" s="40"/>
      <c r="F19" s="41"/>
      <c r="G19" s="23" t="s">
        <v>20</v>
      </c>
      <c r="H19" s="259"/>
      <c r="I19" s="328"/>
      <c r="J19" s="329"/>
      <c r="K19" s="328"/>
      <c r="L19" s="329"/>
      <c r="M19" s="328"/>
      <c r="N19" s="329"/>
      <c r="O19" s="328"/>
      <c r="P19" s="329"/>
      <c r="Q19" s="328"/>
      <c r="R19" s="329"/>
      <c r="S19" s="19"/>
      <c r="T19" s="20"/>
      <c r="U19" s="19"/>
      <c r="V19" s="20"/>
      <c r="W19" s="19"/>
      <c r="X19" s="20"/>
    </row>
    <row r="20" ht="18" customHeight="1">
      <c r="A20" s="29"/>
      <c r="B20" s="24">
        <v>10000</v>
      </c>
      <c r="C20" s="83" t="str">
        <f>IF($B20="","",INDEX(PJ!$D:$D,MATCH(B20, PJ!$C:$C, 0)))</f>
        <v xml:space="preserve">Rep Portal </v>
      </c>
      <c r="D20" s="146" t="inlineStr">
        <is>
          <t xml:space="preserve">管理業務：打合せ</t>
        </is>
      </c>
      <c r="E20" s="42" t="inlineStr">
        <is>
          <t xml:space="preserve">打合せ</t>
        </is>
      </c>
      <c r="F20" s="43"/>
      <c r="G20" s="24" t="s">
        <v>32</v>
      </c>
      <c r="H20" s="258"/>
      <c r="I20" s="334"/>
      <c r="J20" s="335"/>
      <c r="K20" s="334"/>
      <c r="L20" s="335"/>
      <c r="M20" s="334"/>
      <c r="N20" s="335"/>
      <c r="O20" s="334">
        <v>0.0416666667</v>
      </c>
      <c r="P20" s="335"/>
      <c r="Q20" s="334"/>
      <c r="R20" s="335"/>
      <c r="S20" s="334"/>
      <c r="T20" s="335"/>
      <c r="U20" s="334"/>
      <c r="V20" s="335"/>
      <c r="W20" s="340">
        <f>SUM(I20:V20)</f>
        <v>0.41666666666666669</v>
      </c>
      <c r="X20" s="341"/>
    </row>
    <row r="21" ht="18" customHeight="1">
      <c r="A21" s="25">
        <v>4</v>
      </c>
      <c r="B21" s="81" t="str">
        <f>IF($B22="","",INDEX(PJ!$A:$A,MATCH(B22,PJ!$C:$C,0)))</f>
        <v/>
      </c>
      <c r="C21" s="82" t="str">
        <f>IF($B22="","",INDEX(PJ!$B:$B,MATCH(B22, PJ!$C:$C, 0)))</f>
        <v/>
      </c>
      <c r="D21" s="81" t="str">
        <f>IF(D22="","",INDEX(工種!$A$2:$A$83,MATCH(D22,工種!$B$2:$B$83,0),1))</f>
        <v/>
      </c>
      <c r="E21" s="40"/>
      <c r="F21" s="41"/>
      <c r="G21" s="23" t="s">
        <v>20</v>
      </c>
      <c r="H21" s="259"/>
      <c r="I21" s="19"/>
      <c r="J21" s="20"/>
      <c r="K21" s="19"/>
      <c r="L21" s="20"/>
      <c r="M21" s="19"/>
      <c r="N21" s="20"/>
      <c r="O21" s="19"/>
      <c r="P21" s="20"/>
      <c r="Q21" s="19"/>
      <c r="R21" s="20"/>
      <c r="S21" s="19"/>
      <c r="T21" s="20"/>
      <c r="U21" s="19"/>
      <c r="V21" s="20"/>
      <c r="W21" s="19"/>
      <c r="X21" s="20"/>
    </row>
    <row r="22" ht="18" customHeight="1">
      <c r="A22" s="29"/>
      <c r="B22" s="24"/>
      <c r="C22" s="83" t="str">
        <f>IF($B22="","",INDEX(PJ!$D:$D,MATCH(B22, PJ!$C:$C, 0)))</f>
        <v/>
      </c>
      <c r="D22" s="146"/>
      <c r="E22" s="42"/>
      <c r="F22" s="43"/>
      <c r="G22" s="24" t="s">
        <v>32</v>
      </c>
      <c r="H22" s="258"/>
      <c r="I22" s="334"/>
      <c r="J22" s="335"/>
      <c r="K22" s="334"/>
      <c r="L22" s="335"/>
      <c r="M22" s="334"/>
      <c r="N22" s="335"/>
      <c r="O22" s="334"/>
      <c r="P22" s="335"/>
      <c r="Q22" s="334"/>
      <c r="R22" s="335"/>
      <c r="S22" s="334"/>
      <c r="T22" s="335"/>
      <c r="U22" s="334"/>
      <c r="V22" s="335"/>
      <c r="W22" s="340">
        <f>SUM(I22:V22)</f>
        <v>0</v>
      </c>
      <c r="X22" s="341"/>
    </row>
    <row r="23" ht="18" customHeight="1">
      <c r="A23" s="25">
        <v>5</v>
      </c>
      <c r="B23" s="81" t="str">
        <f>IF($B24="","",INDEX(PJ!$A:$A,MATCH(B24,PJ!$C:$C,0)))</f>
        <v/>
      </c>
      <c r="C23" s="82" t="str">
        <f>IF($B24="","",INDEX(PJ!$B:$B,MATCH(B24, PJ!$C:$C, 0)))</f>
        <v/>
      </c>
      <c r="D23" s="81" t="str">
        <f>IF(D24="","",INDEX(工種!$A$2:$A$83,MATCH(D24,工種!$B$2:$B$83,0),1))</f>
        <v/>
      </c>
      <c r="E23" s="40"/>
      <c r="F23" s="41"/>
      <c r="G23" s="23" t="s">
        <v>20</v>
      </c>
      <c r="H23" s="259"/>
      <c r="I23" s="19"/>
      <c r="J23" s="20"/>
      <c r="K23" s="19"/>
      <c r="L23" s="20"/>
      <c r="M23" s="19"/>
      <c r="N23" s="20"/>
      <c r="O23" s="19"/>
      <c r="P23" s="20"/>
      <c r="Q23" s="19"/>
      <c r="R23" s="20"/>
      <c r="S23" s="19"/>
      <c r="T23" s="20"/>
      <c r="U23" s="19"/>
      <c r="V23" s="20"/>
      <c r="W23" s="19"/>
      <c r="X23" s="20"/>
    </row>
    <row r="24" ht="18" customHeight="1">
      <c r="A24" s="29"/>
      <c r="B24" s="24"/>
      <c r="C24" s="83" t="str">
        <f>IF($B24="","",INDEX(PJ!$D:$D,MATCH(B24, PJ!$C:$C, 0)))</f>
        <v/>
      </c>
      <c r="D24" s="146"/>
      <c r="E24" s="42"/>
      <c r="F24" s="43"/>
      <c r="G24" s="24" t="s">
        <v>32</v>
      </c>
      <c r="H24" s="258"/>
      <c r="I24" s="334"/>
      <c r="J24" s="335"/>
      <c r="K24" s="334"/>
      <c r="L24" s="335"/>
      <c r="M24" s="334"/>
      <c r="N24" s="335"/>
      <c r="O24" s="334"/>
      <c r="P24" s="335"/>
      <c r="Q24" s="334"/>
      <c r="R24" s="335"/>
      <c r="S24" s="334"/>
      <c r="T24" s="335"/>
      <c r="U24" s="334"/>
      <c r="V24" s="335"/>
      <c r="W24" s="340">
        <f>SUM(I24:V24)</f>
        <v>0</v>
      </c>
      <c r="X24" s="341"/>
    </row>
    <row r="25" ht="18" customHeight="1">
      <c r="A25" s="25">
        <v>6</v>
      </c>
      <c r="B25" s="81" t="str">
        <f>IF($B26="","",INDEX(PJ!$A:$A,MATCH(B26,PJ!$C:$C,0)))</f>
        <v/>
      </c>
      <c r="C25" s="82" t="str">
        <f>IF($B26="","",INDEX(PJ!$B:$B,MATCH(B26, PJ!$C:$C, 0)))</f>
        <v/>
      </c>
      <c r="D25" s="81" t="str">
        <f>IF(D26="","",INDEX(工種!$A$2:$A$83,MATCH(D26,工種!$B$2:$B$83,0),1))</f>
        <v/>
      </c>
      <c r="E25" s="40"/>
      <c r="F25" s="41"/>
      <c r="G25" s="23" t="s">
        <v>20</v>
      </c>
      <c r="H25" s="259"/>
      <c r="I25" s="19"/>
      <c r="J25" s="20"/>
      <c r="K25" s="19"/>
      <c r="L25" s="20"/>
      <c r="M25" s="19"/>
      <c r="N25" s="20"/>
      <c r="O25" s="19"/>
      <c r="P25" s="20"/>
      <c r="Q25" s="19"/>
      <c r="R25" s="20"/>
      <c r="S25" s="19"/>
      <c r="T25" s="20"/>
      <c r="U25" s="19"/>
      <c r="V25" s="20"/>
      <c r="W25" s="19"/>
      <c r="X25" s="20"/>
    </row>
    <row r="26" ht="18" customHeight="1">
      <c r="A26" s="29"/>
      <c r="B26" s="24"/>
      <c r="C26" s="83" t="str">
        <f>IF($B26="","",INDEX(PJ!$D:$D,MATCH(B26, PJ!$C:$C, 0)))</f>
        <v/>
      </c>
      <c r="D26" s="146"/>
      <c r="E26" s="42"/>
      <c r="F26" s="43"/>
      <c r="G26" s="24" t="s">
        <v>32</v>
      </c>
      <c r="H26" s="258"/>
      <c r="I26" s="334"/>
      <c r="J26" s="335"/>
      <c r="K26" s="334"/>
      <c r="L26" s="335"/>
      <c r="M26" s="334"/>
      <c r="N26" s="335"/>
      <c r="O26" s="334"/>
      <c r="P26" s="335"/>
      <c r="Q26" s="334"/>
      <c r="R26" s="335"/>
      <c r="S26" s="334"/>
      <c r="T26" s="335"/>
      <c r="U26" s="334"/>
      <c r="V26" s="335"/>
      <c r="W26" s="340">
        <f>SUM(I26:V26)</f>
        <v>0</v>
      </c>
      <c r="X26" s="341"/>
    </row>
    <row r="27" ht="18" customHeight="1">
      <c r="A27" s="25">
        <v>7</v>
      </c>
      <c r="B27" s="81" t="str">
        <f>IF($B28="","",INDEX(PJ!$A:$A,MATCH(B28,PJ!$C:$C,0)))</f>
        <v/>
      </c>
      <c r="C27" s="82" t="str">
        <f>IF($B28="","",INDEX(PJ!$B:$B,MATCH(B28, PJ!$C:$C, 0)))</f>
        <v/>
      </c>
      <c r="D27" s="81" t="str">
        <f>IF(D28="","",INDEX(工種!$A$2:$A$83,MATCH(D28,工種!$B$2:$B$83,0),1))</f>
        <v/>
      </c>
      <c r="E27" s="40"/>
      <c r="F27" s="41"/>
      <c r="G27" s="23" t="s">
        <v>20</v>
      </c>
      <c r="H27" s="259"/>
      <c r="I27" s="19"/>
      <c r="J27" s="20"/>
      <c r="K27" s="19"/>
      <c r="L27" s="20"/>
      <c r="M27" s="19"/>
      <c r="N27" s="20"/>
      <c r="O27" s="19"/>
      <c r="P27" s="20"/>
      <c r="Q27" s="19"/>
      <c r="R27" s="20"/>
      <c r="S27" s="19"/>
      <c r="T27" s="20"/>
      <c r="U27" s="19"/>
      <c r="V27" s="20"/>
      <c r="W27" s="19"/>
      <c r="X27" s="20"/>
    </row>
    <row r="28" ht="18" customHeight="1">
      <c r="A28" s="29"/>
      <c r="B28" s="24"/>
      <c r="C28" s="83" t="str">
        <f>IF($B28="","",INDEX(PJ!$D:$D,MATCH(B28, PJ!$C:$C, 0)))</f>
        <v/>
      </c>
      <c r="D28" s="146"/>
      <c r="E28" s="42"/>
      <c r="F28" s="43"/>
      <c r="G28" s="24" t="s">
        <v>32</v>
      </c>
      <c r="H28" s="258"/>
      <c r="I28" s="334"/>
      <c r="J28" s="335"/>
      <c r="K28" s="334"/>
      <c r="L28" s="335"/>
      <c r="M28" s="334"/>
      <c r="N28" s="335"/>
      <c r="O28" s="334"/>
      <c r="P28" s="335"/>
      <c r="Q28" s="334"/>
      <c r="R28" s="335"/>
      <c r="S28" s="334"/>
      <c r="T28" s="335"/>
      <c r="U28" s="334"/>
      <c r="V28" s="335"/>
      <c r="W28" s="340">
        <f>SUM(I28:V28)</f>
        <v>0</v>
      </c>
      <c r="X28" s="341"/>
    </row>
    <row r="29" ht="18" customHeight="1">
      <c r="A29" s="25">
        <v>8</v>
      </c>
      <c r="B29" s="81" t="str">
        <f>IF($B30="","",INDEX(PJ!$A:$A,MATCH(B30,PJ!$C:$C,0)))</f>
        <v/>
      </c>
      <c r="C29" s="82" t="str">
        <f>IF($B30="","",INDEX(PJ!$B:$B,MATCH(B30, PJ!$C:$C, 0)))</f>
        <v/>
      </c>
      <c r="D29" s="81" t="str">
        <f>IF(D30="","",INDEX(工種!$A$2:$A$83,MATCH(D30,工種!$B$2:$B$83,0),1))</f>
        <v/>
      </c>
      <c r="E29" s="40"/>
      <c r="F29" s="41"/>
      <c r="G29" s="23" t="s">
        <v>20</v>
      </c>
      <c r="H29" s="259"/>
      <c r="I29" s="19"/>
      <c r="J29" s="20"/>
      <c r="K29" s="19"/>
      <c r="L29" s="20"/>
      <c r="M29" s="19"/>
      <c r="N29" s="20"/>
      <c r="O29" s="19"/>
      <c r="P29" s="20"/>
      <c r="Q29" s="19"/>
      <c r="R29" s="20"/>
      <c r="S29" s="19"/>
      <c r="T29" s="20"/>
      <c r="U29" s="19"/>
      <c r="V29" s="20"/>
      <c r="W29" s="19"/>
      <c r="X29" s="20"/>
    </row>
    <row r="30" ht="18" customHeight="1">
      <c r="A30" s="29"/>
      <c r="B30" s="24"/>
      <c r="C30" s="83" t="str">
        <f>IF($B30="","",INDEX(PJ!$D:$D,MATCH(B30, PJ!$C:$C, 0)))</f>
        <v/>
      </c>
      <c r="D30" s="146"/>
      <c r="E30" s="42"/>
      <c r="F30" s="43"/>
      <c r="G30" s="24" t="s">
        <v>32</v>
      </c>
      <c r="H30" s="258"/>
      <c r="I30" s="334"/>
      <c r="J30" s="335"/>
      <c r="K30" s="334"/>
      <c r="L30" s="335"/>
      <c r="M30" s="334"/>
      <c r="N30" s="335"/>
      <c r="O30" s="334"/>
      <c r="P30" s="335"/>
      <c r="Q30" s="334"/>
      <c r="R30" s="335"/>
      <c r="S30" s="334"/>
      <c r="T30" s="335"/>
      <c r="U30" s="334"/>
      <c r="V30" s="335"/>
      <c r="W30" s="340">
        <f>SUM(I30:V30)</f>
        <v>0</v>
      </c>
      <c r="X30" s="341"/>
    </row>
    <row r="31" ht="18" customHeight="1">
      <c r="A31" s="25">
        <v>9</v>
      </c>
      <c r="B31" s="81" t="str">
        <f>IF($B32="","",INDEX(PJ!$A:$A,MATCH(B32,PJ!$C:$C,0)))</f>
        <v/>
      </c>
      <c r="C31" s="82" t="str">
        <f>IF($B32="","",INDEX(PJ!$B:$B,MATCH(B32, PJ!$C:$C, 0)))</f>
        <v/>
      </c>
      <c r="D31" s="81" t="str">
        <f>IF(D32="","",INDEX(工種!$A$2:$A$83,MATCH(D32,工種!$B$2:$B$83,0),1))</f>
        <v/>
      </c>
      <c r="E31" s="40"/>
      <c r="F31" s="41"/>
      <c r="G31" s="23" t="s">
        <v>20</v>
      </c>
      <c r="H31" s="259"/>
      <c r="I31" s="19"/>
      <c r="J31" s="20"/>
      <c r="K31" s="19"/>
      <c r="L31" s="20"/>
      <c r="M31" s="19"/>
      <c r="N31" s="20"/>
      <c r="O31" s="19"/>
      <c r="P31" s="20"/>
      <c r="Q31" s="19"/>
      <c r="R31" s="20"/>
      <c r="S31" s="19"/>
      <c r="T31" s="20"/>
      <c r="U31" s="19"/>
      <c r="V31" s="20"/>
      <c r="W31" s="19"/>
      <c r="X31" s="20"/>
    </row>
    <row r="32" ht="18" customHeight="1">
      <c r="A32" s="29"/>
      <c r="B32" s="24"/>
      <c r="C32" s="83" t="str">
        <f>IF($B32="","",INDEX(PJ!$D:$D,MATCH(B32, PJ!$C:$C, 0)))</f>
        <v/>
      </c>
      <c r="D32" s="146"/>
      <c r="E32" s="42"/>
      <c r="F32" s="43"/>
      <c r="G32" s="24" t="s">
        <v>32</v>
      </c>
      <c r="H32" s="258"/>
      <c r="I32" s="334"/>
      <c r="J32" s="335"/>
      <c r="K32" s="334"/>
      <c r="L32" s="335"/>
      <c r="M32" s="334"/>
      <c r="N32" s="335"/>
      <c r="O32" s="334"/>
      <c r="P32" s="335"/>
      <c r="Q32" s="334"/>
      <c r="R32" s="335"/>
      <c r="S32" s="334"/>
      <c r="T32" s="335"/>
      <c r="U32" s="334"/>
      <c r="V32" s="335"/>
      <c r="W32" s="340">
        <f>SUM(I32:V32)</f>
        <v>0</v>
      </c>
      <c r="X32" s="341"/>
    </row>
    <row r="33" ht="18" customHeight="1">
      <c r="A33" s="25">
        <v>10</v>
      </c>
      <c r="B33" s="81" t="str">
        <f>IF($B34="","",INDEX(PJ!$A:$A,MATCH(B34,PJ!$C:$C,0)))</f>
        <v/>
      </c>
      <c r="C33" s="82" t="str">
        <f>IF($B34="","",INDEX(PJ!$B:$B,MATCH(B34, PJ!$C:$C, 0)))</f>
        <v/>
      </c>
      <c r="D33" s="81" t="str">
        <f>IF(D34="","",INDEX(工種!$A$2:$A$83,MATCH(D34,工種!$B$2:$B$83,0),1))</f>
        <v/>
      </c>
      <c r="E33" s="40"/>
      <c r="F33" s="41"/>
      <c r="G33" s="23" t="s">
        <v>20</v>
      </c>
      <c r="H33" s="259"/>
      <c r="I33" s="19"/>
      <c r="J33" s="20"/>
      <c r="K33" s="19"/>
      <c r="L33" s="20"/>
      <c r="M33" s="19"/>
      <c r="N33" s="20"/>
      <c r="O33" s="19"/>
      <c r="P33" s="20"/>
      <c r="Q33" s="19"/>
      <c r="R33" s="20"/>
      <c r="S33" s="19"/>
      <c r="T33" s="20"/>
      <c r="U33" s="19"/>
      <c r="V33" s="20"/>
      <c r="W33" s="19"/>
      <c r="X33" s="20"/>
    </row>
    <row r="34" ht="18" customHeight="1">
      <c r="A34" s="29"/>
      <c r="B34" s="24"/>
      <c r="C34" s="83" t="str">
        <f>IF($B34="","",INDEX(PJ!$D:$D,MATCH(B34, PJ!$C:$C, 0)))</f>
        <v/>
      </c>
      <c r="D34" s="146"/>
      <c r="E34" s="42"/>
      <c r="F34" s="43"/>
      <c r="G34" s="24" t="s">
        <v>32</v>
      </c>
      <c r="H34" s="258"/>
      <c r="I34" s="334"/>
      <c r="J34" s="335"/>
      <c r="K34" s="334"/>
      <c r="L34" s="335"/>
      <c r="M34" s="334"/>
      <c r="N34" s="335"/>
      <c r="O34" s="334"/>
      <c r="P34" s="335"/>
      <c r="Q34" s="334"/>
      <c r="R34" s="335"/>
      <c r="S34" s="334"/>
      <c r="T34" s="335"/>
      <c r="U34" s="334"/>
      <c r="V34" s="335"/>
      <c r="W34" s="340">
        <f>SUM(I34:V34)</f>
        <v>0</v>
      </c>
      <c r="X34" s="341"/>
    </row>
    <row r="35" ht="18" customHeight="1">
      <c r="A35" s="25">
        <v>11</v>
      </c>
      <c r="B35" s="81" t="str">
        <f>IF($B36="","",INDEX(PJ!$A:$A,MATCH(B36,PJ!$C:$C,0)))</f>
        <v/>
      </c>
      <c r="C35" s="82" t="str">
        <f>IF($B36="","",INDEX(PJ!$B:$B,MATCH(B36, PJ!$C:$C, 0)))</f>
        <v/>
      </c>
      <c r="D35" s="81" t="str">
        <f>IF(D36="","",INDEX(工種!$A$2:$A$83,MATCH(D36,工種!$B$2:$B$83,0),1))</f>
        <v/>
      </c>
      <c r="E35" s="40"/>
      <c r="F35" s="41"/>
      <c r="G35" s="23" t="s">
        <v>20</v>
      </c>
      <c r="H35" s="259"/>
      <c r="I35" s="19"/>
      <c r="J35" s="20"/>
      <c r="K35" s="19"/>
      <c r="L35" s="20"/>
      <c r="M35" s="19"/>
      <c r="N35" s="20"/>
      <c r="O35" s="19"/>
      <c r="P35" s="20"/>
      <c r="Q35" s="19"/>
      <c r="R35" s="20"/>
      <c r="S35" s="19"/>
      <c r="T35" s="20"/>
      <c r="U35" s="19"/>
      <c r="V35" s="20"/>
      <c r="W35" s="19"/>
      <c r="X35" s="20"/>
    </row>
    <row r="36" ht="18" customHeight="1">
      <c r="A36" s="29"/>
      <c r="B36" s="24"/>
      <c r="C36" s="83" t="str">
        <f>IF($B36="","",INDEX(PJ!$D:$D,MATCH(B36, PJ!$C:$C, 0)))</f>
        <v/>
      </c>
      <c r="D36" s="146"/>
      <c r="E36" s="42"/>
      <c r="F36" s="43"/>
      <c r="G36" s="24" t="s">
        <v>32</v>
      </c>
      <c r="H36" s="258"/>
      <c r="I36" s="334"/>
      <c r="J36" s="335"/>
      <c r="K36" s="334"/>
      <c r="L36" s="335"/>
      <c r="M36" s="334"/>
      <c r="N36" s="335"/>
      <c r="O36" s="334"/>
      <c r="P36" s="335"/>
      <c r="Q36" s="334"/>
      <c r="R36" s="335"/>
      <c r="S36" s="334"/>
      <c r="T36" s="335"/>
      <c r="U36" s="334"/>
      <c r="V36" s="335"/>
      <c r="W36" s="340">
        <f>SUM(I36:V36)</f>
        <v>0</v>
      </c>
      <c r="X36" s="341"/>
    </row>
    <row r="37" ht="18" customHeight="1">
      <c r="A37" s="25">
        <v>12</v>
      </c>
      <c r="B37" s="81" t="str">
        <f>IF($B38="","",INDEX(PJ!$A:$A,MATCH(B38,PJ!$C:$C,0)))</f>
        <v/>
      </c>
      <c r="C37" s="82" t="str">
        <f>IF($B38="","",INDEX(PJ!$B:$B,MATCH(B38, PJ!$C:$C, 0)))</f>
        <v/>
      </c>
      <c r="D37" s="81" t="str">
        <f>IF(D38="","",INDEX(工種!$A$2:$A$83,MATCH(D38,工種!$B$2:$B$83,0),1))</f>
        <v/>
      </c>
      <c r="E37" s="40"/>
      <c r="F37" s="41"/>
      <c r="G37" s="23" t="s">
        <v>20</v>
      </c>
      <c r="H37" s="259"/>
      <c r="I37" s="19"/>
      <c r="J37" s="20"/>
      <c r="K37" s="19"/>
      <c r="L37" s="20"/>
      <c r="M37" s="19"/>
      <c r="N37" s="20"/>
      <c r="O37" s="19"/>
      <c r="P37" s="20"/>
      <c r="Q37" s="19"/>
      <c r="R37" s="20"/>
      <c r="S37" s="19"/>
      <c r="T37" s="20"/>
      <c r="U37" s="19"/>
      <c r="V37" s="20"/>
      <c r="W37" s="19"/>
      <c r="X37" s="20"/>
    </row>
    <row r="38" ht="18" customHeight="1">
      <c r="A38" s="29"/>
      <c r="B38" s="24"/>
      <c r="C38" s="83" t="str">
        <f>IF($B38="","",INDEX(PJ!$D:$D,MATCH(B38, PJ!$C:$C, 0)))</f>
        <v/>
      </c>
      <c r="D38" s="146"/>
      <c r="E38" s="42"/>
      <c r="F38" s="43"/>
      <c r="G38" s="24" t="s">
        <v>32</v>
      </c>
      <c r="H38" s="258"/>
      <c r="I38" s="334"/>
      <c r="J38" s="335"/>
      <c r="K38" s="334"/>
      <c r="L38" s="335"/>
      <c r="M38" s="334"/>
      <c r="N38" s="335"/>
      <c r="O38" s="334"/>
      <c r="P38" s="335"/>
      <c r="Q38" s="334"/>
      <c r="R38" s="335"/>
      <c r="S38" s="334"/>
      <c r="T38" s="335"/>
      <c r="U38" s="334"/>
      <c r="V38" s="335"/>
      <c r="W38" s="340">
        <f>SUM(I38:V38)</f>
        <v>0</v>
      </c>
      <c r="X38" s="341"/>
    </row>
    <row r="39" ht="18" customHeight="1">
      <c r="A39" s="25">
        <v>13</v>
      </c>
      <c r="B39" s="81" t="str">
        <f>IF($B40="","",INDEX(PJ!$A:$A,MATCH(B40,PJ!$C:$C,0)))</f>
        <v/>
      </c>
      <c r="C39" s="82" t="str">
        <f>IF($B40="","",INDEX(PJ!$B:$B,MATCH(B40, PJ!$C:$C, 0)))</f>
        <v/>
      </c>
      <c r="D39" s="81" t="str">
        <f>IF(D40="","",INDEX(工種!$A$2:$A$83,MATCH(D40,工種!$B$2:$B$83,0),1))</f>
        <v/>
      </c>
      <c r="E39" s="40"/>
      <c r="F39" s="41"/>
      <c r="G39" s="23" t="s">
        <v>20</v>
      </c>
      <c r="H39" s="259"/>
      <c r="I39" s="19"/>
      <c r="J39" s="20"/>
      <c r="K39" s="19"/>
      <c r="L39" s="20"/>
      <c r="M39" s="19"/>
      <c r="N39" s="20"/>
      <c r="O39" s="19"/>
      <c r="P39" s="20"/>
      <c r="Q39" s="19"/>
      <c r="R39" s="20"/>
      <c r="S39" s="19"/>
      <c r="T39" s="20"/>
      <c r="U39" s="19"/>
      <c r="V39" s="20"/>
      <c r="W39" s="19"/>
      <c r="X39" s="20"/>
    </row>
    <row r="40" ht="18" customHeight="1">
      <c r="A40" s="29"/>
      <c r="B40" s="24"/>
      <c r="C40" s="83" t="str">
        <f>IF($B40="","",INDEX(PJ!$D:$D,MATCH(B40, PJ!$C:$C, 0)))</f>
        <v/>
      </c>
      <c r="D40" s="146"/>
      <c r="E40" s="42"/>
      <c r="F40" s="43"/>
      <c r="G40" s="24" t="s">
        <v>32</v>
      </c>
      <c r="H40" s="258"/>
      <c r="I40" s="334"/>
      <c r="J40" s="335"/>
      <c r="K40" s="334"/>
      <c r="L40" s="335"/>
      <c r="M40" s="334"/>
      <c r="N40" s="335"/>
      <c r="O40" s="334"/>
      <c r="P40" s="335"/>
      <c r="Q40" s="334"/>
      <c r="R40" s="335"/>
      <c r="S40" s="334"/>
      <c r="T40" s="335"/>
      <c r="U40" s="334"/>
      <c r="V40" s="335"/>
      <c r="W40" s="340">
        <f>SUM(I40:V40)</f>
        <v>0</v>
      </c>
      <c r="X40" s="341"/>
    </row>
    <row r="41" ht="18" customHeight="1">
      <c r="A41" s="25">
        <v>14</v>
      </c>
      <c r="B41" s="81" t="str">
        <f>IF($B42="","",INDEX(PJ!$A:$A,MATCH(B42,PJ!$C:$C,0)))</f>
        <v/>
      </c>
      <c r="C41" s="82" t="str">
        <f>IF($B42="","",INDEX(PJ!$B:$B,MATCH(B42, PJ!$C:$C, 0)))</f>
        <v/>
      </c>
      <c r="D41" s="81" t="str">
        <f>IF(D42="","",INDEX(工種!$A$2:$A$83,MATCH(D42,工種!$B$2:$B$83,0),1))</f>
        <v/>
      </c>
      <c r="E41" s="40"/>
      <c r="F41" s="41"/>
      <c r="G41" s="23" t="s">
        <v>20</v>
      </c>
      <c r="H41" s="259"/>
      <c r="I41" s="19"/>
      <c r="J41" s="20"/>
      <c r="K41" s="19"/>
      <c r="L41" s="20"/>
      <c r="M41" s="19"/>
      <c r="N41" s="20"/>
      <c r="O41" s="19"/>
      <c r="P41" s="20"/>
      <c r="Q41" s="19"/>
      <c r="R41" s="20"/>
      <c r="S41" s="19"/>
      <c r="T41" s="20"/>
      <c r="U41" s="19"/>
      <c r="V41" s="20"/>
      <c r="W41" s="19"/>
      <c r="X41" s="20"/>
    </row>
    <row r="42" ht="18" customHeight="1">
      <c r="A42" s="29"/>
      <c r="B42" s="24"/>
      <c r="C42" s="83" t="str">
        <f>IF($B42="","",INDEX(PJ!$D:$D,MATCH(B42, PJ!$C:$C, 0)))</f>
        <v/>
      </c>
      <c r="D42" s="146"/>
      <c r="E42" s="42"/>
      <c r="F42" s="43"/>
      <c r="G42" s="24" t="s">
        <v>32</v>
      </c>
      <c r="H42" s="258"/>
      <c r="I42" s="334"/>
      <c r="J42" s="335"/>
      <c r="K42" s="334"/>
      <c r="L42" s="335"/>
      <c r="M42" s="334"/>
      <c r="N42" s="335"/>
      <c r="O42" s="334"/>
      <c r="P42" s="335"/>
      <c r="Q42" s="334"/>
      <c r="R42" s="335"/>
      <c r="S42" s="334"/>
      <c r="T42" s="335"/>
      <c r="U42" s="334"/>
      <c r="V42" s="335"/>
      <c r="W42" s="340">
        <f>SUM(I42:V42)</f>
        <v>0</v>
      </c>
      <c r="X42" s="341"/>
    </row>
    <row r="43" ht="18" customHeight="1">
      <c r="A43" s="25">
        <v>15</v>
      </c>
      <c r="B43" s="81" t="str">
        <f>IF($B44="","",INDEX(PJ!$A:$A,MATCH(B44,PJ!$C:$C,0)))</f>
        <v/>
      </c>
      <c r="C43" s="82" t="str">
        <f>IF($B44="","",INDEX(PJ!$B:$B,MATCH(B44, PJ!$C:$C, 0)))</f>
        <v/>
      </c>
      <c r="D43" s="81" t="str">
        <f>IF(D44="","",INDEX(工種!$A$2:$A$83,MATCH(D44,工種!$B$2:$B$83,0),1))</f>
        <v/>
      </c>
      <c r="E43" s="40"/>
      <c r="F43" s="41"/>
      <c r="G43" s="23" t="s">
        <v>20</v>
      </c>
      <c r="H43" s="259"/>
      <c r="I43" s="19"/>
      <c r="J43" s="20"/>
      <c r="K43" s="19"/>
      <c r="L43" s="20"/>
      <c r="M43" s="19"/>
      <c r="N43" s="20"/>
      <c r="O43" s="19"/>
      <c r="P43" s="20"/>
      <c r="Q43" s="19"/>
      <c r="R43" s="20"/>
      <c r="S43" s="19"/>
      <c r="T43" s="20"/>
      <c r="U43" s="19"/>
      <c r="V43" s="20"/>
      <c r="W43" s="19"/>
      <c r="X43" s="20"/>
    </row>
    <row r="44" ht="18" customHeight="1">
      <c r="A44" s="29"/>
      <c r="B44" s="24"/>
      <c r="C44" s="83" t="str">
        <f>IF($B44="","",INDEX(PJ!$D:$D,MATCH(B44, PJ!$C:$C, 0)))</f>
        <v/>
      </c>
      <c r="D44" s="146"/>
      <c r="E44" s="42"/>
      <c r="F44" s="43"/>
      <c r="G44" s="24" t="s">
        <v>32</v>
      </c>
      <c r="H44" s="258"/>
      <c r="I44" s="334"/>
      <c r="J44" s="335"/>
      <c r="K44" s="334"/>
      <c r="L44" s="335"/>
      <c r="M44" s="334"/>
      <c r="N44" s="335"/>
      <c r="O44" s="334"/>
      <c r="P44" s="335"/>
      <c r="Q44" s="334"/>
      <c r="R44" s="335"/>
      <c r="S44" s="334"/>
      <c r="T44" s="335"/>
      <c r="U44" s="334"/>
      <c r="V44" s="335"/>
      <c r="W44" s="340">
        <f>SUM(I44:V44)</f>
        <v>0</v>
      </c>
      <c r="X44" s="341"/>
    </row>
    <row r="45" ht="18" customHeight="1">
      <c r="A45" s="25">
        <v>16</v>
      </c>
      <c r="B45" s="81" t="str">
        <f>IF($B46="","",INDEX(PJ!$A:$A,MATCH(B46,PJ!$C:$C,0)))</f>
        <v/>
      </c>
      <c r="C45" s="82" t="str">
        <f>IF($B46="","",INDEX(PJ!$B:$B,MATCH(B46, PJ!$C:$C, 0)))</f>
        <v/>
      </c>
      <c r="D45" s="81" t="str">
        <f>IF(D46="","",INDEX(工種!$A$2:$A$83,MATCH(D46,工種!$B$2:$B$83,0),1))</f>
        <v/>
      </c>
      <c r="E45" s="40"/>
      <c r="F45" s="41"/>
      <c r="G45" s="23" t="s">
        <v>20</v>
      </c>
      <c r="H45" s="259"/>
      <c r="I45" s="19"/>
      <c r="J45" s="20"/>
      <c r="K45" s="19"/>
      <c r="L45" s="20"/>
      <c r="M45" s="19"/>
      <c r="N45" s="20"/>
      <c r="O45" s="19"/>
      <c r="P45" s="20"/>
      <c r="Q45" s="19"/>
      <c r="R45" s="20"/>
      <c r="S45" s="19"/>
      <c r="T45" s="20"/>
      <c r="U45" s="19"/>
      <c r="V45" s="20"/>
      <c r="W45" s="19"/>
      <c r="X45" s="20"/>
    </row>
    <row r="46" ht="18" customHeight="1">
      <c r="A46" s="29"/>
      <c r="B46" s="24"/>
      <c r="C46" s="83" t="str">
        <f>IF($B46="","",INDEX(PJ!$D:$D,MATCH(B46, PJ!$C:$C, 0)))</f>
        <v/>
      </c>
      <c r="D46" s="146"/>
      <c r="E46" s="42"/>
      <c r="F46" s="43"/>
      <c r="G46" s="24" t="s">
        <v>32</v>
      </c>
      <c r="H46" s="258"/>
      <c r="I46" s="334"/>
      <c r="J46" s="335"/>
      <c r="K46" s="334"/>
      <c r="L46" s="335"/>
      <c r="M46" s="334"/>
      <c r="N46" s="335"/>
      <c r="O46" s="334"/>
      <c r="P46" s="335"/>
      <c r="Q46" s="334"/>
      <c r="R46" s="335"/>
      <c r="S46" s="334"/>
      <c r="T46" s="335"/>
      <c r="U46" s="334"/>
      <c r="V46" s="335"/>
      <c r="W46" s="340">
        <f>SUM(I46:V46)</f>
        <v>0</v>
      </c>
      <c r="X46" s="341"/>
    </row>
    <row r="47" ht="18" customHeight="1">
      <c r="A47" s="25">
        <v>17</v>
      </c>
      <c r="B47" s="81" t="str">
        <f>IF($B48="","",INDEX(PJ!$A:$A,MATCH(B48,PJ!$C:$C,0)))</f>
        <v/>
      </c>
      <c r="C47" s="82" t="str">
        <f>IF($B48="","",INDEX(PJ!$B:$B,MATCH(B48, PJ!$C:$C, 0)))</f>
        <v/>
      </c>
      <c r="D47" s="81" t="str">
        <f>IF(D48="","",INDEX(工種!$A$2:$A$83,MATCH(D48,工種!$B$2:$B$83,0),1))</f>
        <v/>
      </c>
      <c r="E47" s="40"/>
      <c r="F47" s="41"/>
      <c r="G47" s="23" t="s">
        <v>20</v>
      </c>
      <c r="H47" s="259"/>
      <c r="I47" s="19"/>
      <c r="J47" s="20"/>
      <c r="K47" s="19"/>
      <c r="L47" s="20"/>
      <c r="M47" s="19"/>
      <c r="N47" s="20"/>
      <c r="O47" s="19"/>
      <c r="P47" s="20"/>
      <c r="Q47" s="19"/>
      <c r="R47" s="20"/>
      <c r="S47" s="19"/>
      <c r="T47" s="20"/>
      <c r="U47" s="19"/>
      <c r="V47" s="20"/>
      <c r="W47" s="19"/>
      <c r="X47" s="20"/>
    </row>
    <row r="48" ht="18" customHeight="1">
      <c r="A48" s="29"/>
      <c r="B48" s="24"/>
      <c r="C48" s="83" t="str">
        <f>IF($B48="","",INDEX(PJ!$D:$D,MATCH(B48, PJ!$C:$C, 0)))</f>
        <v/>
      </c>
      <c r="D48" s="146"/>
      <c r="E48" s="42"/>
      <c r="F48" s="43"/>
      <c r="G48" s="24" t="s">
        <v>32</v>
      </c>
      <c r="H48" s="258"/>
      <c r="I48" s="334"/>
      <c r="J48" s="335"/>
      <c r="K48" s="334"/>
      <c r="L48" s="335"/>
      <c r="M48" s="334"/>
      <c r="N48" s="335"/>
      <c r="O48" s="334"/>
      <c r="P48" s="335"/>
      <c r="Q48" s="334"/>
      <c r="R48" s="335"/>
      <c r="S48" s="334"/>
      <c r="T48" s="335"/>
      <c r="U48" s="334"/>
      <c r="V48" s="335"/>
      <c r="W48" s="340">
        <f>SUM(I48:V48)</f>
        <v>0</v>
      </c>
      <c r="X48" s="341"/>
    </row>
    <row r="49" ht="18" customHeight="1">
      <c r="A49" s="25">
        <v>18</v>
      </c>
      <c r="B49" s="81" t="str">
        <f>IF($B50="","",INDEX(PJ!$A:$A,MATCH(B50,PJ!$C:$C,0)))</f>
        <v/>
      </c>
      <c r="C49" s="82" t="str">
        <f>IF($B50="","",INDEX(PJ!$B:$B,MATCH(B50, PJ!$C:$C, 0)))</f>
        <v/>
      </c>
      <c r="D49" s="81" t="str">
        <f>IF(D50="","",INDEX(工種!$A$2:$A$83,MATCH(D50,工種!$B$2:$B$83,0),1))</f>
        <v/>
      </c>
      <c r="E49" s="40"/>
      <c r="F49" s="41"/>
      <c r="G49" s="23" t="s">
        <v>20</v>
      </c>
      <c r="H49" s="259"/>
      <c r="I49" s="19"/>
      <c r="J49" s="20"/>
      <c r="K49" s="19"/>
      <c r="L49" s="20"/>
      <c r="M49" s="19"/>
      <c r="N49" s="20"/>
      <c r="O49" s="19"/>
      <c r="P49" s="20"/>
      <c r="Q49" s="19"/>
      <c r="R49" s="20"/>
      <c r="S49" s="19"/>
      <c r="T49" s="20"/>
      <c r="U49" s="19"/>
      <c r="V49" s="20"/>
      <c r="W49" s="19"/>
      <c r="X49" s="20"/>
    </row>
    <row r="50" ht="18" customHeight="1">
      <c r="A50" s="29"/>
      <c r="B50" s="24"/>
      <c r="C50" s="83" t="str">
        <f>IF($B50="","",INDEX(PJ!$D:$D,MATCH(B50, PJ!$C:$C, 0)))</f>
        <v/>
      </c>
      <c r="D50" s="146"/>
      <c r="E50" s="42"/>
      <c r="F50" s="43"/>
      <c r="G50" s="24" t="s">
        <v>32</v>
      </c>
      <c r="H50" s="258"/>
      <c r="I50" s="334"/>
      <c r="J50" s="335"/>
      <c r="K50" s="334"/>
      <c r="L50" s="335"/>
      <c r="M50" s="334"/>
      <c r="N50" s="335"/>
      <c r="O50" s="334"/>
      <c r="P50" s="335"/>
      <c r="Q50" s="334"/>
      <c r="R50" s="335"/>
      <c r="S50" s="334"/>
      <c r="T50" s="335"/>
      <c r="U50" s="334"/>
      <c r="V50" s="335"/>
      <c r="W50" s="340">
        <f>SUM(I50:V50)</f>
        <v>0</v>
      </c>
      <c r="X50" s="341"/>
    </row>
    <row r="51" ht="18" customHeight="1">
      <c r="A51" s="25">
        <v>19</v>
      </c>
      <c r="B51" s="81" t="str">
        <f>IF($B52="","",INDEX(PJ!$A:$A,MATCH(B52,PJ!$C:$C,0)))</f>
        <v/>
      </c>
      <c r="C51" s="82" t="str">
        <f>IF($B52="","",INDEX(PJ!$B:$B,MATCH(B52, PJ!$C:$C, 0)))</f>
        <v/>
      </c>
      <c r="D51" s="81" t="str">
        <f>IF(D52="","",INDEX(工種!$A$2:$A$83,MATCH(D52,工種!$B$2:$B$83,0),1))</f>
        <v/>
      </c>
      <c r="E51" s="40"/>
      <c r="F51" s="41"/>
      <c r="G51" s="23" t="s">
        <v>20</v>
      </c>
      <c r="H51" s="259"/>
      <c r="I51" s="19"/>
      <c r="J51" s="20"/>
      <c r="K51" s="19"/>
      <c r="L51" s="20"/>
      <c r="M51" s="19"/>
      <c r="N51" s="20"/>
      <c r="O51" s="19"/>
      <c r="P51" s="20"/>
      <c r="Q51" s="19"/>
      <c r="R51" s="20"/>
      <c r="S51" s="19"/>
      <c r="T51" s="20"/>
      <c r="U51" s="19"/>
      <c r="V51" s="20"/>
      <c r="W51" s="19"/>
      <c r="X51" s="20"/>
    </row>
    <row r="52" ht="18" customHeight="1">
      <c r="A52" s="29"/>
      <c r="B52" s="24"/>
      <c r="C52" s="83" t="str">
        <f>IF($B52="","",INDEX(PJ!$D:$D,MATCH(B52, PJ!$C:$C, 0)))</f>
        <v/>
      </c>
      <c r="D52" s="146"/>
      <c r="E52" s="42"/>
      <c r="F52" s="43"/>
      <c r="G52" s="24" t="s">
        <v>32</v>
      </c>
      <c r="H52" s="258"/>
      <c r="I52" s="334"/>
      <c r="J52" s="335"/>
      <c r="K52" s="334"/>
      <c r="L52" s="335"/>
      <c r="M52" s="334"/>
      <c r="N52" s="335"/>
      <c r="O52" s="334"/>
      <c r="P52" s="335"/>
      <c r="Q52" s="334"/>
      <c r="R52" s="335"/>
      <c r="S52" s="334"/>
      <c r="T52" s="335"/>
      <c r="U52" s="334"/>
      <c r="V52" s="335"/>
      <c r="W52" s="340">
        <f>SUM(I52:V52)</f>
        <v>0</v>
      </c>
      <c r="X52" s="341"/>
    </row>
    <row r="53" ht="18" customHeight="1">
      <c r="A53" s="25">
        <v>20</v>
      </c>
      <c r="B53" s="81" t="str">
        <f>IF($B54="","",INDEX(PJ!$A:$A,MATCH(B54,PJ!$C:$C,0)))</f>
        <v/>
      </c>
      <c r="C53" s="82" t="str">
        <f>IF($B54="","",INDEX(PJ!$B:$B,MATCH(B54, PJ!$C:$C, 0)))</f>
        <v/>
      </c>
      <c r="D53" s="81" t="str">
        <f>IF(D54="","",INDEX(工種!$A$2:$A$83,MATCH(D54,工種!$B$2:$B$83,0),1))</f>
        <v/>
      </c>
      <c r="E53" s="40"/>
      <c r="F53" s="41"/>
      <c r="G53" s="23" t="s">
        <v>20</v>
      </c>
      <c r="H53" s="259"/>
      <c r="I53" s="19"/>
      <c r="J53" s="20"/>
      <c r="K53" s="19"/>
      <c r="L53" s="20"/>
      <c r="M53" s="19"/>
      <c r="N53" s="20"/>
      <c r="O53" s="19"/>
      <c r="P53" s="20"/>
      <c r="Q53" s="19"/>
      <c r="R53" s="20"/>
      <c r="S53" s="19"/>
      <c r="T53" s="20"/>
      <c r="U53" s="19"/>
      <c r="V53" s="20"/>
      <c r="W53" s="19"/>
      <c r="X53" s="20"/>
    </row>
    <row r="54" ht="18" customHeight="1">
      <c r="A54" s="29"/>
      <c r="B54" s="24"/>
      <c r="C54" s="83" t="str">
        <f>IF($B54="","",INDEX(PJ!$D:$D,MATCH(B54, PJ!$C:$C, 0)))</f>
        <v/>
      </c>
      <c r="D54" s="146"/>
      <c r="E54" s="42"/>
      <c r="F54" s="43"/>
      <c r="G54" s="24" t="s">
        <v>32</v>
      </c>
      <c r="H54" s="258"/>
      <c r="I54" s="334"/>
      <c r="J54" s="335"/>
      <c r="K54" s="334"/>
      <c r="L54" s="335"/>
      <c r="M54" s="334"/>
      <c r="N54" s="335"/>
      <c r="O54" s="334"/>
      <c r="P54" s="335"/>
      <c r="Q54" s="334"/>
      <c r="R54" s="335"/>
      <c r="S54" s="334"/>
      <c r="T54" s="335"/>
      <c r="U54" s="334"/>
      <c r="V54" s="335"/>
      <c r="W54" s="340">
        <f>SUM(I54:V54)</f>
        <v>0</v>
      </c>
      <c r="X54" s="341"/>
    </row>
    <row r="55" spans="1:27" ht="6.75" customHeight="1">
      <c r="I55" s="17"/>
      <c r="J55" s="17"/>
      <c r="K55" s="17"/>
      <c r="L55" s="17"/>
      <c r="M55" s="17"/>
      <c r="N55" s="17"/>
      <c r="O55" s="17"/>
      <c r="P55" s="17"/>
      <c r="Q55" s="17"/>
      <c r="R55" s="17"/>
      <c r="S55" s="17"/>
      <c r="T55" s="17"/>
      <c r="U55" s="17"/>
      <c r="V55" s="17"/>
      <c r="W55" s="17"/>
      <c r="X55" s="17"/>
      <c r="Y55" s="2"/>
      <c r="AA55" s="2"/>
    </row>
    <row r="56" spans="1:27" ht="6.75" customHeight="1" thickBot="1">
      <c r="I56" s="17"/>
      <c r="J56" s="17"/>
      <c r="K56" s="17"/>
      <c r="L56" s="17"/>
      <c r="M56" s="17"/>
      <c r="N56" s="17"/>
      <c r="O56" s="17"/>
      <c r="P56" s="17"/>
      <c r="Q56" s="17"/>
      <c r="R56" s="17"/>
      <c r="S56" s="17"/>
      <c r="T56" s="17"/>
      <c r="U56" s="17"/>
      <c r="V56" s="17"/>
      <c r="W56" s="17"/>
      <c r="X56" s="17"/>
      <c r="Y56" s="2"/>
      <c r="AA56" s="2"/>
    </row>
    <row r="57" spans="1:27" ht="17.25" customHeight="1" thickTop="1">
      <c r="A57" s="255"/>
      <c r="B57" s="50"/>
      <c r="C57" s="50"/>
      <c r="D57" s="50"/>
      <c r="E57" s="256" t="s">
        <v>29</v>
      </c>
      <c r="F57" s="256"/>
      <c r="G57" s="257"/>
      <c r="H57" s="256"/>
      <c r="I57" s="330">
        <f>SUM(I16:J54)</f>
        <v>0</v>
      </c>
      <c r="J57" s="331"/>
      <c r="K57" s="330">
        <f>SUM(K16:L54)</f>
        <v>0.66666666666666663</v>
      </c>
      <c r="L57" s="331"/>
      <c r="M57" s="330">
        <f>SUM(M16:N54)</f>
        <v>0.66666666666666663</v>
      </c>
      <c r="N57" s="331"/>
      <c r="O57" s="330">
        <f>SUM(O16:P54)</f>
        <v>0.66666666666666663</v>
      </c>
      <c r="P57" s="331"/>
      <c r="Q57" s="330">
        <f>SUM(Q16:R54)</f>
        <v>0.66666666666666663</v>
      </c>
      <c r="R57" s="331"/>
      <c r="S57" s="330">
        <f>SUM(S16:T54)</f>
        <v>0</v>
      </c>
      <c r="T57" s="331"/>
      <c r="U57" s="330">
        <f>SUM(U16:V54)</f>
        <v>0</v>
      </c>
      <c r="V57" s="331"/>
      <c r="W57" s="330">
        <f>CEILING(SUM(W16:X54),"0:5")</f>
        <v>1.75</v>
      </c>
      <c r="X57" s="331"/>
    </row>
    <row r="58" ht="17.25" customHeight="1">
      <c r="A58" s="33"/>
      <c r="B58" s="51"/>
      <c r="C58" s="51"/>
      <c r="D58" s="51"/>
      <c r="E58" s="44" t="s">
        <v>37</v>
      </c>
      <c r="F58" s="44"/>
      <c r="G58" s="44"/>
      <c r="H58" s="44"/>
      <c r="I58" s="359"/>
      <c r="J58" s="360"/>
      <c r="K58" s="359"/>
      <c r="L58" s="360"/>
      <c r="M58" s="359"/>
      <c r="N58" s="360"/>
      <c r="O58" s="359"/>
      <c r="P58" s="360"/>
      <c r="Q58" s="359"/>
      <c r="R58" s="360"/>
      <c r="S58" s="359"/>
      <c r="T58" s="360"/>
      <c r="U58" s="359"/>
      <c r="V58" s="360"/>
      <c r="W58" s="359"/>
      <c r="X58" s="360"/>
    </row>
    <row r="59" spans="1:27" ht="20.100000000000001" customHeight="1">
      <c r="I59" s="17"/>
      <c r="J59" s="17"/>
      <c r="K59" s="17"/>
      <c r="L59" s="17"/>
      <c r="M59" s="17"/>
      <c r="N59" s="17"/>
      <c r="O59" s="17"/>
      <c r="P59" s="17"/>
      <c r="Q59" s="17"/>
      <c r="R59" s="17"/>
      <c r="S59" s="17"/>
      <c r="T59" s="17"/>
      <c r="U59" s="17"/>
      <c r="V59" s="17"/>
      <c r="W59" s="17"/>
      <c r="X59" s="17"/>
      <c r="Y59" s="2"/>
      <c r="AA59" s="2"/>
    </row>
    <row r="60" spans="1:27" ht="15" customHeight="1">
      <c r="A60" s="25"/>
      <c r="B60" s="52"/>
      <c r="C60" s="52"/>
      <c r="D60" s="52"/>
      <c r="E60" s="52"/>
      <c r="F60" s="52"/>
      <c r="G60" s="16"/>
      <c r="H60" s="16"/>
      <c r="I60" s="40"/>
      <c r="J60" s="52"/>
      <c r="K60" s="52"/>
      <c r="L60" s="52"/>
      <c r="M60" s="52"/>
      <c r="N60" s="52"/>
      <c r="O60" s="52"/>
      <c r="P60" s="52"/>
      <c r="Q60" s="52"/>
      <c r="R60" s="52"/>
      <c r="S60" s="52"/>
      <c r="T60" s="52"/>
      <c r="U60" s="52"/>
      <c r="V60" s="52"/>
      <c r="W60" s="52"/>
      <c r="X60" s="22"/>
    </row>
    <row r="61" ht="15" customHeight="1">
      <c r="A61" s="356" t="s">
        <v>38</v>
      </c>
      <c r="B61"/>
      <c r="I61" s="356" t="s">
        <v>39</v>
      </c>
      <c r="J61"/>
      <c r="X61" s="46"/>
    </row>
    <row r="62" ht="15" customHeight="1">
      <c r="A62" s="356"/>
      <c r="B62"/>
      <c r="I62" s="356"/>
      <c r="J62"/>
      <c r="X62" s="46"/>
    </row>
    <row r="63" ht="15" customHeight="1">
      <c r="A63" s="356"/>
      <c r="B63"/>
      <c r="I63" s="356"/>
      <c r="J63"/>
      <c r="X63" s="46"/>
    </row>
    <row r="64" ht="15" customHeight="1">
      <c r="A64" s="356"/>
      <c r="B64"/>
      <c r="I64" s="356"/>
      <c r="J64"/>
      <c r="X64" s="46"/>
    </row>
    <row r="65" ht="15" customHeight="1">
      <c r="A65" s="356"/>
      <c r="B65"/>
      <c r="I65" s="356"/>
      <c r="J65"/>
      <c r="X65" s="46"/>
    </row>
    <row r="66" spans="1:24" ht="15" customHeight="1">
      <c r="A66" s="29"/>
      <c r="B66" s="47"/>
      <c r="C66" s="47"/>
      <c r="D66" s="47"/>
      <c r="E66" s="47"/>
      <c r="F66" s="47"/>
      <c r="G66" s="48"/>
      <c r="H66" s="48"/>
      <c r="I66" s="42"/>
      <c r="J66" s="47"/>
      <c r="K66" s="47"/>
      <c r="L66" s="47"/>
      <c r="M66" s="47"/>
      <c r="N66" s="47"/>
      <c r="O66" s="47"/>
      <c r="P66" s="47"/>
      <c r="Q66" s="47"/>
      <c r="R66" s="47"/>
      <c r="S66" s="47"/>
      <c r="T66" s="47"/>
      <c r="U66" s="47"/>
      <c r="V66" s="47"/>
      <c r="W66" s="47"/>
      <c r="X66" s="49"/>
    </row>
    <row r="67" spans="1:24" ht="15" customHeight="1">
      <c r="A67" s="25"/>
      <c r="B67" s="52"/>
      <c r="C67" s="52"/>
      <c r="D67" s="52"/>
      <c r="E67" s="52"/>
      <c r="F67" s="52"/>
      <c r="G67" s="16"/>
      <c r="H67" s="16"/>
      <c r="I67" s="52"/>
      <c r="J67" s="52"/>
      <c r="K67" s="52"/>
      <c r="L67" s="52"/>
      <c r="M67" s="52"/>
      <c r="N67" s="52"/>
      <c r="O67" s="52"/>
      <c r="P67" s="52"/>
      <c r="Q67" s="52"/>
      <c r="R67" s="52"/>
      <c r="S67" s="52"/>
      <c r="T67" s="52"/>
      <c r="U67" s="52"/>
      <c r="V67" s="52"/>
      <c r="W67" s="52"/>
      <c r="X67" s="22"/>
    </row>
    <row r="68" ht="15" customHeight="1">
      <c r="A68" s="356" t="s">
        <v>40</v>
      </c>
      <c r="B68"/>
      <c r="J68"/>
      <c r="X68" s="46"/>
    </row>
    <row r="69" ht="15" customHeight="1">
      <c r="A69" s="356"/>
      <c r="B69"/>
      <c r="J69"/>
      <c r="X69" s="46"/>
    </row>
    <row r="70" ht="15" customHeight="1">
      <c r="A70" s="356"/>
      <c r="B70"/>
      <c r="J70"/>
      <c r="X70" s="46"/>
    </row>
    <row r="71" ht="15" customHeight="1">
      <c r="A71" s="356"/>
      <c r="B71"/>
      <c r="J71"/>
      <c r="X71" s="46"/>
    </row>
    <row r="72" ht="15" customHeight="1">
      <c r="A72" s="356"/>
      <c r="B72"/>
      <c r="J72"/>
      <c r="X72" s="46"/>
    </row>
    <row r="73" spans="1:24" ht="15" customHeight="1">
      <c r="A73" s="29"/>
      <c r="B73" s="47"/>
      <c r="C73" s="47"/>
      <c r="D73" s="47"/>
      <c r="E73" s="47"/>
      <c r="F73" s="47"/>
      <c r="G73" s="48"/>
      <c r="H73" s="48"/>
      <c r="I73" s="47"/>
      <c r="J73" s="47"/>
      <c r="K73" s="47"/>
      <c r="L73" s="47"/>
      <c r="M73" s="47"/>
      <c r="N73" s="47"/>
      <c r="O73" s="47"/>
      <c r="P73" s="47"/>
      <c r="Q73" s="47"/>
      <c r="R73" s="47"/>
      <c r="S73" s="47"/>
      <c r="T73" s="47"/>
      <c r="U73" s="47"/>
      <c r="V73" s="47"/>
      <c r="W73" s="47"/>
      <c r="X73" s="49"/>
    </row>
    <row r="74" spans="1:24" ht="15" customHeight="1">
      <c r="A74" s="25"/>
      <c r="B74" s="52"/>
      <c r="C74" s="52"/>
      <c r="D74" s="52"/>
      <c r="E74" s="52"/>
      <c r="F74" s="52"/>
      <c r="G74" s="16"/>
      <c r="H74" s="16"/>
      <c r="I74" s="52"/>
      <c r="J74" s="52"/>
      <c r="K74" s="52"/>
      <c r="L74" s="52"/>
      <c r="M74" s="52"/>
      <c r="N74" s="52"/>
      <c r="O74" s="52"/>
      <c r="P74" s="52"/>
      <c r="Q74" s="52"/>
      <c r="R74" s="52"/>
      <c r="S74" s="52"/>
      <c r="T74" s="52"/>
      <c r="U74" s="52"/>
      <c r="V74" s="52"/>
      <c r="W74" s="52"/>
      <c r="X74" s="22"/>
    </row>
    <row r="75" ht="15" customHeight="1">
      <c r="A75" s="356" t="s">
        <v>41</v>
      </c>
      <c r="B75"/>
      <c r="J75"/>
      <c r="X75" s="46"/>
    </row>
    <row r="76" ht="15" customHeight="1">
      <c r="A76" s="356"/>
      <c r="B76"/>
      <c r="J76"/>
      <c r="X76" s="46"/>
    </row>
    <row r="77" ht="15" customHeight="1">
      <c r="A77" s="356"/>
      <c r="B77"/>
      <c r="J77"/>
      <c r="X77" s="46"/>
    </row>
    <row r="78" ht="15" customHeight="1">
      <c r="A78" s="356"/>
      <c r="B78"/>
      <c r="J78"/>
      <c r="X78" s="46"/>
    </row>
    <row r="79" ht="15" customHeight="1">
      <c r="A79" s="356"/>
      <c r="B79"/>
      <c r="J79"/>
      <c r="X79" s="46"/>
    </row>
    <row r="80" spans="1:24" ht="15" customHeight="1">
      <c r="A80" s="29"/>
      <c r="B80" s="47"/>
      <c r="C80" s="47"/>
      <c r="D80" s="47"/>
      <c r="E80" s="47"/>
      <c r="F80" s="47"/>
      <c r="G80" s="48"/>
      <c r="H80" s="48"/>
      <c r="I80" s="47"/>
      <c r="J80" s="47"/>
      <c r="K80" s="47"/>
      <c r="L80" s="47"/>
      <c r="M80" s="47"/>
      <c r="N80" s="47"/>
      <c r="O80" s="47"/>
      <c r="P80" s="47"/>
      <c r="Q80" s="47"/>
      <c r="R80" s="47"/>
      <c r="S80" s="47"/>
      <c r="T80" s="47"/>
      <c r="U80" s="47"/>
      <c r="V80" s="47"/>
      <c r="W80" s="47"/>
      <c r="X80" s="49"/>
    </row>
    <row r="81" spans="1:27" ht="20.100000000000001" customHeight="1">
      <c r="A81" s="45"/>
      <c r="B81" s="2" t="s">
        <v>42</v>
      </c>
      <c r="X81" s="46"/>
    </row>
    <row r="82" spans="1:27" ht="20.100000000000001" customHeight="1">
      <c r="A82" s="45"/>
      <c r="B82" s="2" t="s">
        <v>43</v>
      </c>
      <c r="X82" s="46"/>
    </row>
    <row r="83" spans="1:27" ht="20.100000000000001" customHeight="1">
      <c r="A83" s="45"/>
      <c r="B83" s="2" t="s">
        <v>44</v>
      </c>
      <c r="X83" s="46"/>
    </row>
    <row r="84" spans="1:27" ht="20.100000000000001" customHeight="1">
      <c r="A84" s="45"/>
      <c r="B84" s="2" t="s">
        <v>45</v>
      </c>
      <c r="X84" s="46"/>
    </row>
    <row r="85" spans="1:27" ht="20.100000000000001" customHeight="1">
      <c r="A85" s="260"/>
      <c r="B85" s="47" t="s">
        <v>46</v>
      </c>
      <c r="C85" s="47"/>
      <c r="D85" s="47"/>
      <c r="E85" s="47"/>
      <c r="F85" s="47"/>
      <c r="G85" s="48"/>
      <c r="H85" s="48"/>
      <c r="I85" s="47"/>
      <c r="J85" s="47"/>
      <c r="K85" s="47"/>
      <c r="L85" s="47"/>
      <c r="M85" s="47"/>
      <c r="N85" s="47"/>
      <c r="O85" s="47"/>
      <c r="P85" s="47"/>
      <c r="Q85" s="47"/>
      <c r="R85" s="47"/>
      <c r="S85" s="47"/>
      <c r="T85" s="47"/>
      <c r="U85" s="47"/>
      <c r="V85" s="47"/>
      <c r="W85" s="47"/>
      <c r="X85" s="49"/>
    </row>
    <row r="86" spans="1:27" ht="20.100000000000001" customHeight="1">
      <c r="S86" s="2" t="str">
        <f>'1週'!S86</f>
        <v>PJ20-1-2022-0624</v>
      </c>
      <c r="Y86" s="2"/>
      <c r="AA86" s="2"/>
    </row>
  </sheetData>
  <mergeCells count="258">
    <mergeCell ref="Q15:R15"/>
    <mergeCell ref="Q19:R19"/>
    <mergeCell ref="I15:J15"/>
    <mergeCell ref="K15:L15"/>
    <mergeCell ref="M15:N15"/>
    <mergeCell ref="O15:P15"/>
    <mergeCell ref="I19:J19"/>
    <mergeCell ref="K19:L19"/>
    <mergeCell ref="M19:N19"/>
    <mergeCell ref="O19:P19"/>
    <mergeCell ref="I16:J16"/>
    <mergeCell ref="K16:L16"/>
    <mergeCell ref="M16:N16"/>
    <mergeCell ref="O16:P16"/>
    <mergeCell ref="Q16:R16"/>
    <mergeCell ref="I17:J17"/>
    <mergeCell ref="O17:P17"/>
    <mergeCell ref="A61:A65"/>
    <mergeCell ref="I61:I65"/>
    <mergeCell ref="A68:A72"/>
    <mergeCell ref="A75:A79"/>
    <mergeCell ref="U57:V57"/>
    <mergeCell ref="W57:X57"/>
    <mergeCell ref="I58:J58"/>
    <mergeCell ref="K58:L58"/>
    <mergeCell ref="M58:N58"/>
    <mergeCell ref="O58:P58"/>
    <mergeCell ref="Q58:R58"/>
    <mergeCell ref="S58:T58"/>
    <mergeCell ref="U58:V58"/>
    <mergeCell ref="W58:X58"/>
    <mergeCell ref="I57:J57"/>
    <mergeCell ref="K57:L57"/>
    <mergeCell ref="M57:N57"/>
    <mergeCell ref="O57:P57"/>
    <mergeCell ref="Q57:R57"/>
    <mergeCell ref="S57:T57"/>
    <mergeCell ref="I36:J36"/>
    <mergeCell ref="K36:L36"/>
    <mergeCell ref="M36:N36"/>
    <mergeCell ref="O36:P36"/>
    <mergeCell ref="Q36:R36"/>
    <mergeCell ref="S36:T36"/>
    <mergeCell ref="U36:V36"/>
    <mergeCell ref="W36:X36"/>
    <mergeCell ref="I54:J54"/>
    <mergeCell ref="K54:L54"/>
    <mergeCell ref="M54:N54"/>
    <mergeCell ref="O54:P54"/>
    <mergeCell ref="Q54:R54"/>
    <mergeCell ref="S54:T54"/>
    <mergeCell ref="U54:V54"/>
    <mergeCell ref="W54:X54"/>
    <mergeCell ref="U38:V38"/>
    <mergeCell ref="W38:X38"/>
    <mergeCell ref="I40:J40"/>
    <mergeCell ref="K40:L40"/>
    <mergeCell ref="M40:N40"/>
    <mergeCell ref="O40:P40"/>
    <mergeCell ref="Q40:R40"/>
    <mergeCell ref="S40:T40"/>
    <mergeCell ref="I32:J32"/>
    <mergeCell ref="K32:L32"/>
    <mergeCell ref="M32:N32"/>
    <mergeCell ref="O32:P32"/>
    <mergeCell ref="Q32:R32"/>
    <mergeCell ref="S32:T32"/>
    <mergeCell ref="U32:V32"/>
    <mergeCell ref="W32:X32"/>
    <mergeCell ref="I34:J34"/>
    <mergeCell ref="K34:L34"/>
    <mergeCell ref="M34:N34"/>
    <mergeCell ref="O34:P34"/>
    <mergeCell ref="Q34:R34"/>
    <mergeCell ref="S34:T34"/>
    <mergeCell ref="U34:V34"/>
    <mergeCell ref="W34:X34"/>
    <mergeCell ref="I28:J28"/>
    <mergeCell ref="K28:L28"/>
    <mergeCell ref="M28:N28"/>
    <mergeCell ref="O28:P28"/>
    <mergeCell ref="Q28:R28"/>
    <mergeCell ref="S28:T28"/>
    <mergeCell ref="U28:V28"/>
    <mergeCell ref="W28:X28"/>
    <mergeCell ref="I30:J30"/>
    <mergeCell ref="K30:L30"/>
    <mergeCell ref="M30:N30"/>
    <mergeCell ref="O30:P30"/>
    <mergeCell ref="Q30:R30"/>
    <mergeCell ref="S30:T30"/>
    <mergeCell ref="U30:V30"/>
    <mergeCell ref="W30:X30"/>
    <mergeCell ref="I24:J24"/>
    <mergeCell ref="K24:L24"/>
    <mergeCell ref="M24:N24"/>
    <mergeCell ref="O24:P24"/>
    <mergeCell ref="Q24:R24"/>
    <mergeCell ref="S24:T24"/>
    <mergeCell ref="U24:V24"/>
    <mergeCell ref="W24:X24"/>
    <mergeCell ref="I26:J26"/>
    <mergeCell ref="K26:L26"/>
    <mergeCell ref="M26:N26"/>
    <mergeCell ref="O26:P26"/>
    <mergeCell ref="Q26:R26"/>
    <mergeCell ref="S26:T26"/>
    <mergeCell ref="U26:V26"/>
    <mergeCell ref="W26:X26"/>
    <mergeCell ref="I20:J20"/>
    <mergeCell ref="K20:L20"/>
    <mergeCell ref="M20:N20"/>
    <mergeCell ref="O20:P20"/>
    <mergeCell ref="Q20:R20"/>
    <mergeCell ref="S20:T20"/>
    <mergeCell ref="U20:V20"/>
    <mergeCell ref="W20:X20"/>
    <mergeCell ref="I22:J22"/>
    <mergeCell ref="K22:L22"/>
    <mergeCell ref="M22:N22"/>
    <mergeCell ref="O22:P22"/>
    <mergeCell ref="Q22:R22"/>
    <mergeCell ref="S22:T22"/>
    <mergeCell ref="U22:V22"/>
    <mergeCell ref="W22:X22"/>
    <mergeCell ref="S16:T16"/>
    <mergeCell ref="U16:V16"/>
    <mergeCell ref="W16:X16"/>
    <mergeCell ref="I18:J18"/>
    <mergeCell ref="K18:L18"/>
    <mergeCell ref="M18:N18"/>
    <mergeCell ref="O18:P18"/>
    <mergeCell ref="Q18:R18"/>
    <mergeCell ref="S18:T18"/>
    <mergeCell ref="U18:V18"/>
    <mergeCell ref="W18:X18"/>
    <mergeCell ref="K17:L17"/>
    <mergeCell ref="M17:N17"/>
    <mergeCell ref="Q17:R17"/>
    <mergeCell ref="A13:H13"/>
    <mergeCell ref="I13:J13"/>
    <mergeCell ref="K13:L13"/>
    <mergeCell ref="M13:N13"/>
    <mergeCell ref="O13:P13"/>
    <mergeCell ref="Q13:R13"/>
    <mergeCell ref="S13:T13"/>
    <mergeCell ref="U13:V13"/>
    <mergeCell ref="W13:X13"/>
    <mergeCell ref="F12:H12"/>
    <mergeCell ref="I12:J12"/>
    <mergeCell ref="K12:L12"/>
    <mergeCell ref="M12:N12"/>
    <mergeCell ref="O12:P12"/>
    <mergeCell ref="Q12:R12"/>
    <mergeCell ref="S12:T12"/>
    <mergeCell ref="U12:V12"/>
    <mergeCell ref="W12:X12"/>
    <mergeCell ref="W10:X10"/>
    <mergeCell ref="G11:H11"/>
    <mergeCell ref="I11:J11"/>
    <mergeCell ref="K11:L11"/>
    <mergeCell ref="M11:N11"/>
    <mergeCell ref="O11:P11"/>
    <mergeCell ref="Q11:R11"/>
    <mergeCell ref="S11:T11"/>
    <mergeCell ref="U11:V11"/>
    <mergeCell ref="W11:X11"/>
    <mergeCell ref="I9:J9"/>
    <mergeCell ref="K9:L9"/>
    <mergeCell ref="M9:N9"/>
    <mergeCell ref="O9:P9"/>
    <mergeCell ref="Q9:R9"/>
    <mergeCell ref="S9:T9"/>
    <mergeCell ref="U9:V9"/>
    <mergeCell ref="G10:H10"/>
    <mergeCell ref="I10:J10"/>
    <mergeCell ref="K10:L10"/>
    <mergeCell ref="M10:N10"/>
    <mergeCell ref="O10:P10"/>
    <mergeCell ref="Q10:R10"/>
    <mergeCell ref="S10:T10"/>
    <mergeCell ref="U10:V10"/>
    <mergeCell ref="A1:X1"/>
    <mergeCell ref="K7:L7"/>
    <mergeCell ref="M7:O7"/>
    <mergeCell ref="P7:S7"/>
    <mergeCell ref="U7:X7"/>
    <mergeCell ref="I8:J8"/>
    <mergeCell ref="K8:L8"/>
    <mergeCell ref="M8:N8"/>
    <mergeCell ref="O8:P8"/>
    <mergeCell ref="Q8:R8"/>
    <mergeCell ref="S8:T8"/>
    <mergeCell ref="U8:V8"/>
    <mergeCell ref="S3:U5"/>
    <mergeCell ref="V3:X5"/>
    <mergeCell ref="U40:V40"/>
    <mergeCell ref="W40:X40"/>
    <mergeCell ref="I38:J38"/>
    <mergeCell ref="K38:L38"/>
    <mergeCell ref="M38:N38"/>
    <mergeCell ref="O38:P38"/>
    <mergeCell ref="Q38:R38"/>
    <mergeCell ref="S38:T38"/>
    <mergeCell ref="U42:V42"/>
    <mergeCell ref="W42:X42"/>
    <mergeCell ref="I44:J44"/>
    <mergeCell ref="K44:L44"/>
    <mergeCell ref="M44:N44"/>
    <mergeCell ref="O44:P44"/>
    <mergeCell ref="Q44:R44"/>
    <mergeCell ref="S44:T44"/>
    <mergeCell ref="U44:V44"/>
    <mergeCell ref="W44:X44"/>
    <mergeCell ref="I42:J42"/>
    <mergeCell ref="K42:L42"/>
    <mergeCell ref="M42:N42"/>
    <mergeCell ref="O42:P42"/>
    <mergeCell ref="Q42:R42"/>
    <mergeCell ref="S42:T42"/>
    <mergeCell ref="U46:V46"/>
    <mergeCell ref="W46:X46"/>
    <mergeCell ref="I48:J48"/>
    <mergeCell ref="K48:L48"/>
    <mergeCell ref="M48:N48"/>
    <mergeCell ref="O48:P48"/>
    <mergeCell ref="Q48:R48"/>
    <mergeCell ref="S48:T48"/>
    <mergeCell ref="U48:V48"/>
    <mergeCell ref="W48:X48"/>
    <mergeCell ref="I46:J46"/>
    <mergeCell ref="K46:L46"/>
    <mergeCell ref="M46:N46"/>
    <mergeCell ref="O46:P46"/>
    <mergeCell ref="Q46:R46"/>
    <mergeCell ref="S46:T46"/>
    <mergeCell ref="U50:V50"/>
    <mergeCell ref="W50:X50"/>
    <mergeCell ref="I52:J52"/>
    <mergeCell ref="K52:L52"/>
    <mergeCell ref="M52:N52"/>
    <mergeCell ref="O52:P52"/>
    <mergeCell ref="Q52:R52"/>
    <mergeCell ref="S52:T52"/>
    <mergeCell ref="U52:V52"/>
    <mergeCell ref="W52:X52"/>
    <mergeCell ref="I50:J50"/>
    <mergeCell ref="K50:L50"/>
    <mergeCell ref="M50:N50"/>
    <mergeCell ref="O50:P50"/>
    <mergeCell ref="Q50:R50"/>
    <mergeCell ref="S50:T50"/>
    <mergeCell ref="S15:T15"/>
    <mergeCell ref="U15:V15"/>
    <mergeCell ref="S17:T17"/>
    <mergeCell ref="U17:V17"/>
    <mergeCell ref="S19:T19"/>
    <mergeCell ref="U19:V19"/>
  </mergeCells>
  <phoneticPr fontId="7"/>
  <conditionalFormatting sqref="B16">
    <cfRule type="expression" dxfId="101" priority="26">
      <formula>AND(W16&lt;&gt;0,B16="")</formula>
    </cfRule>
  </conditionalFormatting>
  <conditionalFormatting sqref="B18">
    <cfRule type="expression" dxfId="100" priority="25">
      <formula>AND(W18&lt;&gt;0,B18="")</formula>
    </cfRule>
  </conditionalFormatting>
  <conditionalFormatting sqref="B20">
    <cfRule type="expression" dxfId="99" priority="18">
      <formula>AND(W20&lt;&gt;0,B20="")</formula>
    </cfRule>
  </conditionalFormatting>
  <conditionalFormatting sqref="B22">
    <cfRule type="expression" dxfId="98" priority="607">
      <formula>AND(W22&lt;&gt;0,B22="")</formula>
    </cfRule>
  </conditionalFormatting>
  <conditionalFormatting sqref="B24">
    <cfRule type="expression" dxfId="97" priority="606">
      <formula>AND(W24&lt;&gt;0,B24="")</formula>
    </cfRule>
  </conditionalFormatting>
  <conditionalFormatting sqref="B26">
    <cfRule type="expression" dxfId="96" priority="605">
      <formula>AND(W26&lt;&gt;0,B26="")</formula>
    </cfRule>
  </conditionalFormatting>
  <conditionalFormatting sqref="B28">
    <cfRule type="expression" dxfId="95" priority="604">
      <formula>AND(W28&lt;&gt;0,B28="")</formula>
    </cfRule>
  </conditionalFormatting>
  <conditionalFormatting sqref="B30">
    <cfRule type="expression" dxfId="94" priority="603">
      <formula>AND(W30&lt;&gt;0,B30="")</formula>
    </cfRule>
  </conditionalFormatting>
  <conditionalFormatting sqref="B32">
    <cfRule type="expression" dxfId="93" priority="602">
      <formula>AND(W32&lt;&gt;0,B32="")</formula>
    </cfRule>
  </conditionalFormatting>
  <conditionalFormatting sqref="B34">
    <cfRule type="expression" dxfId="92" priority="601">
      <formula>AND(W34&lt;&gt;0,B34="")</formula>
    </cfRule>
  </conditionalFormatting>
  <conditionalFormatting sqref="B36">
    <cfRule type="expression" dxfId="91" priority="600">
      <formula>AND(W36&lt;&gt;0,B36="")</formula>
    </cfRule>
  </conditionalFormatting>
  <conditionalFormatting sqref="B38">
    <cfRule type="expression" dxfId="90" priority="599">
      <formula>AND(W38&lt;&gt;0,B38="")</formula>
    </cfRule>
  </conditionalFormatting>
  <conditionalFormatting sqref="B40">
    <cfRule type="expression" dxfId="89" priority="598">
      <formula>AND(W40&lt;&gt;0,B40="")</formula>
    </cfRule>
  </conditionalFormatting>
  <conditionalFormatting sqref="B42">
    <cfRule type="expression" dxfId="88" priority="597">
      <formula>AND(W42&lt;&gt;0,B42="")</formula>
    </cfRule>
  </conditionalFormatting>
  <conditionalFormatting sqref="B44">
    <cfRule type="expression" dxfId="87" priority="596">
      <formula>AND(W44&lt;&gt;0,B44="")</formula>
    </cfRule>
  </conditionalFormatting>
  <conditionalFormatting sqref="B46">
    <cfRule type="expression" dxfId="86" priority="595">
      <formula>AND(W46&lt;&gt;0,B46="")</formula>
    </cfRule>
  </conditionalFormatting>
  <conditionalFormatting sqref="B48">
    <cfRule type="expression" dxfId="85" priority="594">
      <formula>AND(W48&lt;&gt;0,B48="")</formula>
    </cfRule>
  </conditionalFormatting>
  <conditionalFormatting sqref="B50">
    <cfRule type="expression" dxfId="84" priority="593">
      <formula>AND(W50&lt;&gt;0,B50="")</formula>
    </cfRule>
  </conditionalFormatting>
  <conditionalFormatting sqref="B52">
    <cfRule type="expression" dxfId="83" priority="312">
      <formula>AND(W52&lt;&gt;0,B52="")</formula>
    </cfRule>
  </conditionalFormatting>
  <conditionalFormatting sqref="B54">
    <cfRule type="expression" dxfId="82" priority="311">
      <formula>AND(W54&lt;&gt;0,B54="")</formula>
    </cfRule>
  </conditionalFormatting>
  <conditionalFormatting sqref="C6:C7">
    <cfRule type="expression" dxfId="81" priority="29">
      <formula>OR($C6="",$C6=0)</formula>
    </cfRule>
  </conditionalFormatting>
  <conditionalFormatting sqref="D16 D18 D20 D22 D24 D26 D28 D30 D32 D34 D36 D38 D40 D42 D44 D46 D48 D50 D52 D54">
    <cfRule type="expression" dxfId="80" priority="30">
      <formula>OR( AND(B16&lt;&gt;"",LEFT(B16,2)&lt;&gt;"88",LEFT(D15,2)="99"), AND(D16&lt;&gt;"",LEFT(B16,2)="88",LEFT(D15,2)&lt;&gt;"99") )</formula>
    </cfRule>
    <cfRule type="expression" dxfId="79" priority="611">
      <formula>AND(W16&lt;&gt;0,D16="")</formula>
    </cfRule>
  </conditionalFormatting>
  <conditionalFormatting sqref="I13:X13">
    <cfRule type="cellIs" dxfId="74" priority="13" operator="notEqual">
      <formula>I57</formula>
    </cfRule>
  </conditionalFormatting>
  <conditionalFormatting sqref="I57:X57">
    <cfRule type="cellIs" dxfId="73" priority="612" stopIfTrue="1" operator="notEqual">
      <formula>I13</formula>
    </cfRule>
  </conditionalFormatting>
  <dataValidations disablePrompts="1" count="1">
    <dataValidation type="list" allowBlank="1" showInputMessage="1" showErrorMessage="1" sqref="D16 D18 D20 D22 D24 D26 D28 D30 D32 D34 D36 D38 D40 D42 D44 D46 D48 D50 D52 D54" xr:uid="{00000000-0002-0000-0400-000000000000}">
      <formula1>IF($B16="",工種_全部,IF(LEFT($B16,2)="88",工種_間接,工種_通常))</formula1>
    </dataValidation>
  </dataValidations>
  <printOptions horizontalCentered="1"/>
  <pageMargins left="0.43307086614173229" right="0.23622047244094491" top="0.31496062992125984" bottom="0.11811023622047245" header="0.15748031496062992" footer="0.23622047244094491"/>
  <pageSetup paperSize="9" scale="59" fitToHeight="10" orientation="portrait" r:id="rId1"/>
  <headerFooter alignWithMargins="0"/>
  <ignoredErrors>
    <ignoredError sqref="C16:C53" formula="1"/>
    <ignoredError sqref="B3" unlocked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id="{60047874-68D0-4847-95F9-B46098C0CBC0}">
            <xm:f>AND(INDEX(PJ!$E:$E,MATCH($B16,PJ!$C:$C,0))&gt;DATE($B$3,$C$3,I$9),I16&lt;&gt;"")</xm:f>
            <x14:dxf>
              <font>
                <color rgb="FF9C0006"/>
              </font>
              <fill>
                <patternFill>
                  <bgColor rgb="FFFFC7CE"/>
                </patternFill>
              </fill>
            </x14:dxf>
          </x14:cfRule>
          <x14:cfRule type="expression" priority="2" id="{9AA38EAA-53B2-49B4-94DA-A26EBCCC3E2A}">
            <xm:f>AND(INDEX(PJ!$F:$F,MATCH($B16,PJ!$C:$C,0))&lt;DATE($B$3,$C$3,I$9),I16&lt;&gt;"")</xm:f>
            <x14:dxf>
              <font>
                <color rgb="FF9C0006"/>
              </font>
              <fill>
                <patternFill>
                  <bgColor rgb="FFFFC7CE"/>
                </patternFill>
              </fill>
            </x14:dxf>
          </x14:cfRule>
          <xm:sqref>I16:V16 I18:V18 I20:V20</xm:sqref>
        </x14:conditionalFormatting>
        <x14:conditionalFormatting xmlns:xm="http://schemas.microsoft.com/office/excel/2006/main">
          <x14:cfRule type="expression" priority="27" id="{F14424A0-BA96-4216-81BD-D91BCE54AE11}">
            <xm:f>AND(INDEX(PJ!$E:$E,MATCH($B22,PJ!$C:$C,0))&gt;DATE($B$3,$C$3,I$9),I22&lt;&gt;"")</xm:f>
            <x14:dxf>
              <font>
                <color rgb="FF9C0006"/>
              </font>
              <fill>
                <patternFill>
                  <bgColor rgb="FFFFC7CE"/>
                </patternFill>
              </fill>
            </x14:dxf>
          </x14:cfRule>
          <x14:cfRule type="expression" priority="28" id="{9AD3823B-ECD6-43F3-BD01-1432079AFA90}">
            <xm:f>AND(INDEX(PJ!$F:$F,MATCH($B22,PJ!$C:$C,0))&lt;DATE($B$3,$C$3,I$9),I22&lt;&gt;"")</xm:f>
            <x14:dxf>
              <font>
                <color rgb="FF9C0006"/>
              </font>
              <fill>
                <patternFill>
                  <bgColor rgb="FFFFC7CE"/>
                </patternFill>
              </fill>
            </x14:dxf>
          </x14:cfRule>
          <xm:sqref>I22:V22 I24:V24 I26:V26 I28:V28 I30:V30 I32:V32 I34:V34 I36:V36 I38:V38 I40:V40 I42:V42 I44:V44 I46:V46 I48:V48 I50:V50 I52:V52 I54:V54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A86"/>
  <sheetViews>
    <sheetView showGridLines="0" zoomScaleNormal="100" zoomScaleSheetLayoutView="100" workbookViewId="0">
      <selection activeCell="E23" sqref="E23"/>
    </sheetView>
  </sheetViews>
  <sheetFormatPr defaultColWidth="8" defaultRowHeight="20.100000000000001" customHeight="1"/>
  <cols>
    <col min="1" max="1" width="2.625" style="4" customWidth="1"/>
    <col min="2" max="2" width="11.375" style="2" customWidth="1"/>
    <col min="3" max="3" width="23.125" style="2" customWidth="1"/>
    <col min="4" max="4" width="13.875" style="2" customWidth="1"/>
    <col min="5" max="5" width="31.125" style="2" customWidth="1"/>
    <col min="6" max="6" width="6" style="2" customWidth="1"/>
    <col min="7" max="7" width="5.375" style="4" customWidth="1"/>
    <col min="8" max="8" width="1.875" style="4" customWidth="1"/>
    <col min="9" max="24" width="3.375" style="2" customWidth="1"/>
    <col min="25" max="25" width="0.375" style="39" customWidth="1"/>
    <col min="26" max="26" width="8" style="2" customWidth="1"/>
    <col min="27" max="27" width="8" style="39"/>
    <col min="28" max="16384" width="8" style="2"/>
  </cols>
  <sheetData>
    <row r="1" spans="1:27" ht="25.5">
      <c r="A1" s="346" t="s">
        <v>0</v>
      </c>
      <c r="B1" s="346"/>
      <c r="C1" s="346"/>
      <c r="D1" s="346"/>
      <c r="E1" s="346"/>
      <c r="F1" s="346"/>
      <c r="G1" s="346"/>
      <c r="H1" s="346"/>
      <c r="I1" s="346"/>
      <c r="J1" s="346"/>
      <c r="K1" s="346"/>
      <c r="L1" s="346"/>
      <c r="M1" s="346"/>
      <c r="N1" s="346"/>
      <c r="O1" s="346"/>
      <c r="P1" s="346"/>
      <c r="Q1" s="346"/>
      <c r="R1" s="346"/>
      <c r="S1" s="346"/>
      <c r="T1" s="346"/>
      <c r="U1" s="346"/>
      <c r="V1" s="346"/>
      <c r="W1" s="346"/>
      <c r="X1" s="346"/>
      <c r="Y1" s="2"/>
      <c r="AA1" s="2"/>
    </row>
    <row r="2" spans="1:27" ht="19.5" customHeight="1">
      <c r="E2" s="5"/>
      <c r="H2" s="2"/>
      <c r="Q2" s="245"/>
      <c r="R2" s="46"/>
      <c r="S2" s="36"/>
      <c r="T2" s="34" t="s">
        <v>1</v>
      </c>
      <c r="U2" s="35"/>
      <c r="V2" s="37"/>
      <c r="W2" s="34" t="s">
        <v>2</v>
      </c>
      <c r="X2" s="38"/>
      <c r="Z2" s="53"/>
    </row>
    <row r="3" spans="1:27" ht="19.5" customHeight="1">
      <c r="B3" s="3">
        <f>'1週'!B3</f>
        <v>2026</v>
      </c>
      <c r="C3" s="57">
        <f>'1週'!C3</f>
        <v>7</v>
      </c>
      <c r="D3" s="121"/>
      <c r="E3" s="5"/>
      <c r="H3" s="2"/>
      <c r="I3" s="6"/>
      <c r="R3" s="46"/>
      <c r="S3" s="363"/>
      <c r="T3" s="364"/>
      <c r="U3" s="365"/>
      <c r="V3" s="363"/>
      <c r="W3" s="364"/>
      <c r="X3" s="365"/>
      <c r="Z3" s="53"/>
    </row>
    <row r="4" spans="1:27" ht="19.5" customHeight="1">
      <c r="C4" s="18" t="str">
        <f>IF(I9="","",IF('1週'!C4=1,6,5))</f>
        <v/>
      </c>
      <c r="D4" s="113"/>
      <c r="E4" s="7"/>
      <c r="F4" s="7"/>
      <c r="G4" s="7"/>
      <c r="H4" s="7"/>
      <c r="I4" s="8"/>
      <c r="J4" s="7"/>
      <c r="K4" s="7"/>
      <c r="L4" s="7"/>
      <c r="M4" s="7"/>
      <c r="N4" s="7"/>
      <c r="O4" s="7"/>
      <c r="P4" s="7"/>
      <c r="Q4" s="1"/>
      <c r="R4" s="54"/>
      <c r="S4" s="366"/>
      <c r="T4" s="367"/>
      <c r="U4" s="368"/>
      <c r="V4" s="366"/>
      <c r="W4" s="367"/>
      <c r="X4" s="368"/>
    </row>
    <row r="5" spans="1:27" ht="19.5" customHeight="1">
      <c r="A5" s="9"/>
      <c r="B5" s="7"/>
      <c r="C5" s="10"/>
      <c r="D5" s="10"/>
      <c r="E5" s="9"/>
      <c r="F5" s="7"/>
      <c r="G5" s="7"/>
      <c r="H5" s="7"/>
      <c r="I5" s="7"/>
      <c r="J5" s="7"/>
      <c r="K5" s="7"/>
      <c r="L5" s="7"/>
      <c r="M5" s="7"/>
      <c r="N5" s="7"/>
      <c r="O5" s="7"/>
      <c r="P5" s="7"/>
      <c r="Q5" s="7"/>
      <c r="R5" s="54"/>
      <c r="S5" s="369"/>
      <c r="T5" s="370"/>
      <c r="U5" s="371"/>
      <c r="V5" s="369"/>
      <c r="W5" s="370"/>
      <c r="X5" s="371"/>
    </row>
    <row r="6" spans="1:27" ht="19.5" customHeight="1">
      <c r="B6" s="33" t="s">
        <v>3</v>
      </c>
      <c r="C6" s="56" t="str">
        <f>'1週'!C6</f>
        <v>FPTジャパン</v>
      </c>
      <c r="D6" s="122"/>
      <c r="H6" s="2"/>
    </row>
    <row r="7" spans="1:27" ht="19.5" customHeight="1">
      <c r="B7" s="33" t="s">
        <v>5</v>
      </c>
      <c r="C7" s="56" t="str">
        <f>'1週'!C7</f>
        <v>LE NHUT THIEN</v>
      </c>
      <c r="D7" s="122"/>
      <c r="H7" s="2"/>
      <c r="K7" s="357"/>
      <c r="L7" s="358"/>
      <c r="M7" s="372"/>
      <c r="N7" s="373"/>
      <c r="O7" s="373"/>
      <c r="P7" s="374"/>
      <c r="Q7" s="374"/>
      <c r="R7" s="374"/>
      <c r="S7" s="374"/>
      <c r="T7" s="261"/>
      <c r="U7" s="374"/>
      <c r="V7" s="374"/>
      <c r="W7" s="375"/>
      <c r="X7" s="375"/>
    </row>
    <row r="8" spans="1:27" ht="18" customHeight="1">
      <c r="G8" s="2"/>
      <c r="H8" s="2"/>
      <c r="I8" s="336" t="s">
        <v>8</v>
      </c>
      <c r="J8" s="337"/>
      <c r="K8" s="336" t="s">
        <v>9</v>
      </c>
      <c r="L8" s="337"/>
      <c r="M8" s="336" t="s">
        <v>10</v>
      </c>
      <c r="N8" s="337"/>
      <c r="O8" s="336" t="s">
        <v>11</v>
      </c>
      <c r="P8" s="337"/>
      <c r="Q8" s="336" t="s">
        <v>12</v>
      </c>
      <c r="R8" s="337"/>
      <c r="S8" s="336" t="s">
        <v>13</v>
      </c>
      <c r="T8" s="337"/>
      <c r="U8" s="336" t="s">
        <v>14</v>
      </c>
      <c r="V8" s="337"/>
      <c r="W8" s="11"/>
      <c r="Y8" s="2"/>
      <c r="AA8" s="2"/>
    </row>
    <row r="9" spans="1:27" s="4" customFormat="1" ht="18" customHeight="1">
      <c r="B9" s="12"/>
      <c r="F9" s="13"/>
      <c r="H9" s="14"/>
      <c r="I9" s="344" t="str">
        <f>IF(ISERR(WEEKDAY($B$3&amp;"/"&amp;$C$3&amp;"/"&amp;'5週'!U9+1))=TRUE,"",'5週'!U9+1)</f>
        <v/>
      </c>
      <c r="J9" s="345"/>
      <c r="K9" s="344" t="str">
        <f>IF(ISERR(WEEKDAY($B$3&amp;"/"&amp;$C$3&amp;"/"&amp;I9+1))=TRUE,"",I9+1)</f>
        <v/>
      </c>
      <c r="L9" s="345"/>
      <c r="M9" s="378" t="str">
        <f>IF(ISERR(WEEKDAY($B$3&amp;"/"&amp;$C$3&amp;"/"&amp;K9+1))=TRUE,"",K9+1)</f>
        <v/>
      </c>
      <c r="N9" s="379"/>
      <c r="O9" s="378" t="str">
        <f>IF(ISERR(WEEKDAY($B$3&amp;"/"&amp;$C$3&amp;"/"&amp;M9+1))=TRUE,"",M9+1)</f>
        <v/>
      </c>
      <c r="P9" s="379"/>
      <c r="Q9" s="378" t="str">
        <f>IF(ISERR(WEEKDAY($B$3&amp;"/"&amp;$C$3&amp;"/"&amp;O9+1))=TRUE,"",O9+1)</f>
        <v/>
      </c>
      <c r="R9" s="379"/>
      <c r="S9" s="378" t="str">
        <f>IF(ISERR(WEEKDAY($B$3&amp;"/"&amp;$C$3&amp;"/"&amp;Q9+1))=TRUE,"",Q9+1)</f>
        <v/>
      </c>
      <c r="T9" s="379"/>
      <c r="U9" s="378" t="str">
        <f>IF(ISERR(WEEKDAY($B$3&amp;"/"&amp;$C$3&amp;"/"&amp;S9+1))=TRUE,"",S9+1)</f>
        <v/>
      </c>
      <c r="V9" s="379"/>
    </row>
    <row r="10" ht="18" customHeight="1">
      <c r="A10" s="25" t="s">
        <v>15</v>
      </c>
      <c r="B10" s="26" t="s">
        <v>16</v>
      </c>
      <c r="C10" s="27" t="s">
        <v>17</v>
      </c>
      <c r="D10" s="27" t="s">
        <v>18</v>
      </c>
      <c r="E10" s="25" t="s">
        <v>19</v>
      </c>
      <c r="F10" s="28" t="s">
        <v>20</v>
      </c>
      <c r="G10" s="347" t="s">
        <v>21</v>
      </c>
      <c r="H10" s="329"/>
      <c r="I10" s="342"/>
      <c r="J10" s="343"/>
      <c r="K10" s="342"/>
      <c r="L10" s="343"/>
      <c r="M10" s="342"/>
      <c r="N10" s="343"/>
      <c r="O10" s="342"/>
      <c r="P10" s="343"/>
      <c r="Q10" s="342"/>
      <c r="R10" s="343"/>
      <c r="S10" s="342"/>
      <c r="T10" s="343"/>
      <c r="U10" s="342"/>
      <c r="V10" s="381"/>
      <c r="W10" s="338" t="s">
        <v>22</v>
      </c>
      <c r="X10" s="339"/>
    </row>
    <row r="11" ht="18" customHeight="1">
      <c r="A11" s="29"/>
      <c r="B11" s="114" t="s">
        <v>23</v>
      </c>
      <c r="C11" s="27" t="s">
        <v>24</v>
      </c>
      <c r="D11" s="27" t="s">
        <v>25</v>
      </c>
      <c r="E11" s="29"/>
      <c r="F11" s="30" t="s">
        <v>26</v>
      </c>
      <c r="G11" s="348" t="s">
        <v>27</v>
      </c>
      <c r="H11" s="349"/>
      <c r="I11" s="334"/>
      <c r="J11" s="335"/>
      <c r="K11" s="334"/>
      <c r="L11" s="335"/>
      <c r="M11" s="334"/>
      <c r="N11" s="335"/>
      <c r="O11" s="334"/>
      <c r="P11" s="335"/>
      <c r="Q11" s="334"/>
      <c r="R11" s="335"/>
      <c r="S11" s="334"/>
      <c r="T11" s="335"/>
      <c r="U11" s="334"/>
      <c r="V11" s="382"/>
      <c r="W11" s="340">
        <f>'5週'!W11+W13</f>
        <v>8.25</v>
      </c>
      <c r="X11" s="341"/>
      <c r="Z11" s="4"/>
    </row>
    <row r="12" ht="17.25" customHeight="1">
      <c r="A12" s="31"/>
      <c r="B12" s="32"/>
      <c r="C12" s="32"/>
      <c r="D12" s="32"/>
      <c r="E12" s="32"/>
      <c r="F12" s="350" t="s">
        <v>28</v>
      </c>
      <c r="G12" s="351"/>
      <c r="H12" s="352"/>
      <c r="I12" s="332"/>
      <c r="J12" s="333"/>
      <c r="K12" s="332"/>
      <c r="L12" s="333"/>
      <c r="M12" s="332"/>
      <c r="N12" s="333"/>
      <c r="O12" s="332"/>
      <c r="P12" s="333"/>
      <c r="Q12" s="332"/>
      <c r="R12" s="333"/>
      <c r="S12" s="332"/>
      <c r="T12" s="333"/>
      <c r="U12" s="332"/>
      <c r="V12" s="380"/>
      <c r="W12" s="376" t="s">
        <v>29</v>
      </c>
      <c r="X12" s="377"/>
    </row>
    <row r="13" spans="1:27" ht="20.100000000000001" customHeight="1">
      <c r="A13" s="353" t="s">
        <v>29</v>
      </c>
      <c r="B13" s="354"/>
      <c r="C13" s="354"/>
      <c r="D13" s="354"/>
      <c r="E13" s="354"/>
      <c r="F13" s="354"/>
      <c r="G13" s="354"/>
      <c r="H13" s="355"/>
      <c r="I13" s="330">
        <f>TIMEVALUE(TEXT(I11-I10-I12,"h:mm:ss"))</f>
        <v>0</v>
      </c>
      <c r="J13" s="331"/>
      <c r="K13" s="330">
        <f>TIMEVALUE(TEXT(K11-K10-K12,"h:mm:ss"))</f>
        <v>0</v>
      </c>
      <c r="L13" s="331"/>
      <c r="M13" s="330">
        <f>TIMEVALUE(TEXT(M11-M10-M12,"h:mm:ss"))</f>
        <v>0</v>
      </c>
      <c r="N13" s="331"/>
      <c r="O13" s="330">
        <f>TIMEVALUE(TEXT(O11-O10-O12,"h:mm:ss"))</f>
        <v>0</v>
      </c>
      <c r="P13" s="331"/>
      <c r="Q13" s="330">
        <f>TIMEVALUE(TEXT(Q11-Q10-Q12,"h:mm:ss"))</f>
        <v>0</v>
      </c>
      <c r="R13" s="331"/>
      <c r="S13" s="330">
        <f>TIMEVALUE(TEXT(S11-S10-S12,"h:mm:ss"))</f>
        <v>0</v>
      </c>
      <c r="T13" s="331"/>
      <c r="U13" s="330">
        <f>TIMEVALUE(TEXT(U11-U10-U12,"h:mm:ss"))</f>
        <v>0</v>
      </c>
      <c r="V13" s="331"/>
      <c r="W13" s="361">
        <f>CEILING(SUM(I13:V13),"0:5")</f>
        <v>0</v>
      </c>
      <c r="X13" s="362"/>
    </row>
    <row r="14" spans="1:27" ht="8.25" customHeight="1">
      <c r="B14" s="15"/>
      <c r="C14" s="16"/>
      <c r="D14" s="4"/>
      <c r="E14" s="4"/>
      <c r="F14" s="13"/>
      <c r="W14" s="4"/>
      <c r="X14" s="4"/>
      <c r="Y14" s="2"/>
      <c r="AA14" s="2"/>
    </row>
    <row r="15" ht="18" customHeight="1">
      <c r="A15" s="25">
        <v>1</v>
      </c>
      <c r="B15" s="81">
        <f>IF($B16="","",INDEX(PJ!$A:$A,MATCH(B16,PJ!$C:$C,0)))</f>
        <v>10000</v>
      </c>
      <c r="C15" s="82" t="str">
        <f>IF($B16="","",INDEX(PJ!$B:$B,MATCH(B16, PJ!$C:$C, 0)))</f>
        <v>Yokogawa</v>
      </c>
      <c r="D15" s="81" t="str">
        <f>IF(D16="","",INDEX(工種!$A$2:$A$83,MATCH(D16,工種!$B$2:$B$83,0),1))</f>
        <v>10102</v>
      </c>
      <c r="E15" s="40"/>
      <c r="F15" s="41"/>
      <c r="G15" s="23" t="s">
        <v>20</v>
      </c>
      <c r="H15" s="259"/>
      <c r="I15" s="328"/>
      <c r="J15" s="329"/>
      <c r="K15" s="328"/>
      <c r="L15" s="329"/>
      <c r="M15" s="19"/>
      <c r="N15" s="20"/>
      <c r="O15" s="19"/>
      <c r="P15" s="20"/>
      <c r="Q15" s="19"/>
      <c r="R15" s="20"/>
      <c r="S15" s="19"/>
      <c r="T15" s="20"/>
      <c r="U15" s="19"/>
      <c r="V15" s="20"/>
      <c r="W15" s="21"/>
      <c r="X15" s="22"/>
    </row>
    <row r="16" ht="18" customHeight="1">
      <c r="A16" s="29"/>
      <c r="B16" s="24"/>
      <c r="C16" s="83" t="str">
        <f>IF($B16="","",INDEX(PJ!$D:$D,MATCH(B16, PJ!$C:$C, 0)))</f>
        <v xml:space="preserve">Rep Portal </v>
      </c>
      <c r="D16" s="146"/>
      <c r="E16" s="42"/>
      <c r="F16" s="43"/>
      <c r="G16" s="24" t="s">
        <v>32</v>
      </c>
      <c r="H16" s="258"/>
      <c r="I16" s="334"/>
      <c r="J16" s="335"/>
      <c r="K16" s="334"/>
      <c r="L16" s="335"/>
      <c r="M16" s="334"/>
      <c r="N16" s="335"/>
      <c r="O16" s="334"/>
      <c r="P16" s="335"/>
      <c r="Q16" s="334"/>
      <c r="R16" s="335"/>
      <c r="S16" s="334"/>
      <c r="T16" s="335"/>
      <c r="U16" s="334"/>
      <c r="V16" s="335"/>
      <c r="W16" s="340">
        <f>SUM(I16:V16)</f>
        <v>0</v>
      </c>
      <c r="X16" s="341"/>
    </row>
    <row r="17" ht="18" customHeight="1">
      <c r="A17" s="25">
        <v>2</v>
      </c>
      <c r="B17" s="81">
        <f>IF($B18="","",INDEX(PJ!$A:$A,MATCH(B18,PJ!$C:$C,0)))</f>
        <v>10000</v>
      </c>
      <c r="C17" s="82" t="str">
        <f>IF($B18="","",INDEX(PJ!$B:$B,MATCH(B18, PJ!$C:$C, 0)))</f>
        <v>Yokogawa</v>
      </c>
      <c r="D17" s="81" t="str">
        <f>IF(D18="","",INDEX(工種!$A$2:$A$83,MATCH(D18,工種!$B$2:$B$83,0),1))</f>
        <v>30106</v>
      </c>
      <c r="E17" s="40"/>
      <c r="F17" s="41"/>
      <c r="G17" s="23" t="s">
        <v>20</v>
      </c>
      <c r="H17" s="259"/>
      <c r="I17" s="328"/>
      <c r="J17" s="329"/>
      <c r="K17" s="328"/>
      <c r="L17" s="329"/>
      <c r="M17" s="19"/>
      <c r="N17" s="20"/>
      <c r="O17" s="19"/>
      <c r="P17" s="20"/>
      <c r="Q17" s="19"/>
      <c r="R17" s="20"/>
      <c r="S17" s="19"/>
      <c r="T17" s="20"/>
      <c r="U17" s="19"/>
      <c r="V17" s="20"/>
      <c r="W17" s="19"/>
      <c r="X17" s="20"/>
    </row>
    <row r="18" ht="18" customHeight="1">
      <c r="A18" s="29"/>
      <c r="B18" s="24"/>
      <c r="C18" s="83" t="str">
        <f>IF($B18="","",INDEX(PJ!$D:$D,MATCH(B18, PJ!$C:$C, 0)))</f>
        <v xml:space="preserve">Rep Portal </v>
      </c>
      <c r="D18" s="146"/>
      <c r="E18" s="42"/>
      <c r="F18" s="43"/>
      <c r="G18" s="24" t="s">
        <v>32</v>
      </c>
      <c r="H18" s="258"/>
      <c r="I18" s="334"/>
      <c r="J18" s="335"/>
      <c r="K18" s="334"/>
      <c r="L18" s="335"/>
      <c r="M18" s="334"/>
      <c r="N18" s="335"/>
      <c r="O18" s="334"/>
      <c r="P18" s="335"/>
      <c r="Q18" s="334"/>
      <c r="R18" s="335"/>
      <c r="S18" s="334"/>
      <c r="T18" s="335"/>
      <c r="U18" s="334"/>
      <c r="V18" s="335"/>
      <c r="W18" s="340">
        <f>SUM(I18:V18)</f>
        <v>0</v>
      </c>
      <c r="X18" s="341"/>
    </row>
    <row r="19" ht="18" customHeight="1">
      <c r="A19" s="25">
        <v>3</v>
      </c>
      <c r="B19" s="81">
        <f>IF($B20="","",INDEX(PJ!$A:$A,MATCH(B20,PJ!$C:$C,0)))</f>
        <v>10000</v>
      </c>
      <c r="C19" s="82" t="str">
        <f>IF($B20="","",INDEX(PJ!$B:$B,MATCH(B20, PJ!$C:$C, 0)))</f>
        <v>Yokogawa</v>
      </c>
      <c r="D19" s="81" t="str">
        <f>IF(D20="","",INDEX(工種!$A$2:$A$83,MATCH(D20,工種!$B$2:$B$83,0),1))</f>
        <v>40108</v>
      </c>
      <c r="E19" s="40"/>
      <c r="F19" s="41"/>
      <c r="G19" s="23" t="s">
        <v>20</v>
      </c>
      <c r="H19" s="259"/>
      <c r="I19" s="328"/>
      <c r="J19" s="329"/>
      <c r="K19" s="328"/>
      <c r="L19" s="329"/>
      <c r="M19" s="19"/>
      <c r="N19" s="20"/>
      <c r="O19" s="19"/>
      <c r="P19" s="20"/>
      <c r="Q19" s="19"/>
      <c r="R19" s="20"/>
      <c r="S19" s="19"/>
      <c r="T19" s="20"/>
      <c r="U19" s="19"/>
      <c r="V19" s="20"/>
      <c r="W19" s="19"/>
      <c r="X19" s="20"/>
    </row>
    <row r="20" ht="18" customHeight="1">
      <c r="A20" s="29"/>
      <c r="B20" s="24"/>
      <c r="C20" s="83" t="str">
        <f>IF($B20="","",INDEX(PJ!$D:$D,MATCH(B20, PJ!$C:$C, 0)))</f>
        <v xml:space="preserve">Rep Portal </v>
      </c>
      <c r="D20" s="146"/>
      <c r="E20" s="42"/>
      <c r="F20" s="43"/>
      <c r="G20" s="24" t="s">
        <v>32</v>
      </c>
      <c r="H20" s="258"/>
      <c r="I20" s="334"/>
      <c r="J20" s="335"/>
      <c r="K20" s="334"/>
      <c r="L20" s="335"/>
      <c r="M20" s="334"/>
      <c r="N20" s="335"/>
      <c r="O20" s="334"/>
      <c r="P20" s="335"/>
      <c r="Q20" s="334"/>
      <c r="R20" s="335"/>
      <c r="S20" s="334"/>
      <c r="T20" s="335"/>
      <c r="U20" s="334"/>
      <c r="V20" s="335"/>
      <c r="W20" s="340">
        <f>SUM(I20:V20)</f>
        <v>0</v>
      </c>
      <c r="X20" s="341"/>
    </row>
    <row r="21" ht="18" customHeight="1">
      <c r="A21" s="25">
        <v>4</v>
      </c>
      <c r="B21" s="81" t="str">
        <f>IF($B22="","",INDEX(PJ!$A:$A,MATCH(B22,PJ!$C:$C,0)))</f>
        <v/>
      </c>
      <c r="C21" s="82" t="str">
        <f>IF($B22="","",INDEX(PJ!$B:$B,MATCH(B22, PJ!$C:$C, 0)))</f>
        <v/>
      </c>
      <c r="D21" s="81" t="str">
        <f>IF(D22="","",INDEX(工種!$A$2:$A$83,MATCH(D22,工種!$B$2:$B$83,0),1))</f>
        <v/>
      </c>
      <c r="E21" s="40"/>
      <c r="F21" s="41"/>
      <c r="G21" s="23" t="s">
        <v>20</v>
      </c>
      <c r="H21" s="259"/>
      <c r="I21" s="19"/>
      <c r="J21" s="20"/>
      <c r="K21" s="19"/>
      <c r="L21" s="20"/>
      <c r="M21" s="19"/>
      <c r="N21" s="20"/>
      <c r="O21" s="19"/>
      <c r="P21" s="20"/>
      <c r="Q21" s="19"/>
      <c r="R21" s="20"/>
      <c r="S21" s="19"/>
      <c r="T21" s="20"/>
      <c r="U21" s="19"/>
      <c r="V21" s="20"/>
      <c r="W21" s="19"/>
      <c r="X21" s="20"/>
    </row>
    <row r="22" ht="18" customHeight="1">
      <c r="A22" s="29"/>
      <c r="B22" s="24"/>
      <c r="C22" s="83" t="str">
        <f>IF($B22="","",INDEX(PJ!$D:$D,MATCH(B22, PJ!$C:$C, 0)))</f>
        <v/>
      </c>
      <c r="D22" s="146"/>
      <c r="E22" s="42"/>
      <c r="F22" s="43"/>
      <c r="G22" s="24" t="s">
        <v>32</v>
      </c>
      <c r="H22" s="258"/>
      <c r="I22" s="334"/>
      <c r="J22" s="335"/>
      <c r="K22" s="334"/>
      <c r="L22" s="335"/>
      <c r="M22" s="334"/>
      <c r="N22" s="335"/>
      <c r="O22" s="334"/>
      <c r="P22" s="335"/>
      <c r="Q22" s="334"/>
      <c r="R22" s="335"/>
      <c r="S22" s="334"/>
      <c r="T22" s="335"/>
      <c r="U22" s="334"/>
      <c r="V22" s="335"/>
      <c r="W22" s="340">
        <f>SUM(I22:V22)</f>
        <v>0</v>
      </c>
      <c r="X22" s="341"/>
    </row>
    <row r="23" ht="18" customHeight="1">
      <c r="A23" s="25">
        <v>5</v>
      </c>
      <c r="B23" s="81" t="str">
        <f>IF($B24="","",INDEX(PJ!$A:$A,MATCH(B24,PJ!$C:$C,0)))</f>
        <v/>
      </c>
      <c r="C23" s="82" t="str">
        <f>IF($B24="","",INDEX(PJ!$B:$B,MATCH(B24, PJ!$C:$C, 0)))</f>
        <v/>
      </c>
      <c r="D23" s="81" t="str">
        <f>IF(D24="","",INDEX(工種!$A$2:$A$83,MATCH(D24,工種!$B$2:$B$83,0),1))</f>
        <v/>
      </c>
      <c r="E23" s="40"/>
      <c r="F23" s="41"/>
      <c r="G23" s="23" t="s">
        <v>20</v>
      </c>
      <c r="H23" s="259"/>
      <c r="I23" s="19"/>
      <c r="J23" s="20"/>
      <c r="K23" s="19"/>
      <c r="L23" s="20"/>
      <c r="M23" s="19"/>
      <c r="N23" s="20"/>
      <c r="O23" s="19"/>
      <c r="P23" s="20"/>
      <c r="Q23" s="19"/>
      <c r="R23" s="20"/>
      <c r="S23" s="19"/>
      <c r="T23" s="20"/>
      <c r="U23" s="19"/>
      <c r="V23" s="20"/>
      <c r="W23" s="19"/>
      <c r="X23" s="20"/>
    </row>
    <row r="24" ht="18" customHeight="1">
      <c r="A24" s="29"/>
      <c r="B24" s="24"/>
      <c r="C24" s="83" t="str">
        <f>IF($B24="","",INDEX(PJ!$D:$D,MATCH(B24, PJ!$C:$C, 0)))</f>
        <v/>
      </c>
      <c r="D24" s="146"/>
      <c r="E24" s="42"/>
      <c r="F24" s="43"/>
      <c r="G24" s="24" t="s">
        <v>32</v>
      </c>
      <c r="H24" s="258"/>
      <c r="I24" s="334"/>
      <c r="J24" s="335"/>
      <c r="K24" s="334"/>
      <c r="L24" s="335"/>
      <c r="M24" s="334"/>
      <c r="N24" s="335"/>
      <c r="O24" s="334"/>
      <c r="P24" s="335"/>
      <c r="Q24" s="334"/>
      <c r="R24" s="335"/>
      <c r="S24" s="334"/>
      <c r="T24" s="335"/>
      <c r="U24" s="334"/>
      <c r="V24" s="335"/>
      <c r="W24" s="340">
        <f>SUM(I24:V24)</f>
        <v>0</v>
      </c>
      <c r="X24" s="341"/>
    </row>
    <row r="25" ht="18" customHeight="1">
      <c r="A25" s="25">
        <v>6</v>
      </c>
      <c r="B25" s="81" t="str">
        <f>IF($B26="","",INDEX(PJ!$A:$A,MATCH(B26,PJ!$C:$C,0)))</f>
        <v/>
      </c>
      <c r="C25" s="82" t="str">
        <f>IF($B26="","",INDEX(PJ!$B:$B,MATCH(B26, PJ!$C:$C, 0)))</f>
        <v/>
      </c>
      <c r="D25" s="81" t="str">
        <f>IF(D26="","",INDEX(工種!$A$2:$A$83,MATCH(D26,工種!$B$2:$B$83,0),1))</f>
        <v/>
      </c>
      <c r="E25" s="40"/>
      <c r="F25" s="41"/>
      <c r="G25" s="23" t="s">
        <v>20</v>
      </c>
      <c r="H25" s="259"/>
      <c r="I25" s="19"/>
      <c r="J25" s="20"/>
      <c r="K25" s="19"/>
      <c r="L25" s="20"/>
      <c r="M25" s="19"/>
      <c r="N25" s="20"/>
      <c r="O25" s="19"/>
      <c r="P25" s="20"/>
      <c r="Q25" s="19"/>
      <c r="R25" s="20"/>
      <c r="S25" s="19"/>
      <c r="T25" s="20"/>
      <c r="U25" s="19"/>
      <c r="V25" s="20"/>
      <c r="W25" s="19"/>
      <c r="X25" s="20"/>
    </row>
    <row r="26" ht="18" customHeight="1">
      <c r="A26" s="29"/>
      <c r="B26" s="24"/>
      <c r="C26" s="83" t="str">
        <f>IF($B26="","",INDEX(PJ!$D:$D,MATCH(B26, PJ!$C:$C, 0)))</f>
        <v/>
      </c>
      <c r="D26" s="146"/>
      <c r="E26" s="42"/>
      <c r="F26" s="43"/>
      <c r="G26" s="24" t="s">
        <v>32</v>
      </c>
      <c r="H26" s="258"/>
      <c r="I26" s="334"/>
      <c r="J26" s="335"/>
      <c r="K26" s="334"/>
      <c r="L26" s="335"/>
      <c r="M26" s="334"/>
      <c r="N26" s="335"/>
      <c r="O26" s="334"/>
      <c r="P26" s="335"/>
      <c r="Q26" s="334"/>
      <c r="R26" s="335"/>
      <c r="S26" s="334"/>
      <c r="T26" s="335"/>
      <c r="U26" s="334"/>
      <c r="V26" s="335"/>
      <c r="W26" s="340">
        <f>SUM(I26:V26)</f>
        <v>0</v>
      </c>
      <c r="X26" s="341"/>
    </row>
    <row r="27" ht="18" customHeight="1">
      <c r="A27" s="25">
        <v>7</v>
      </c>
      <c r="B27" s="81" t="str">
        <f>IF($B28="","",INDEX(PJ!$A:$A,MATCH(B28,PJ!$C:$C,0)))</f>
        <v/>
      </c>
      <c r="C27" s="82" t="str">
        <f>IF($B28="","",INDEX(PJ!$B:$B,MATCH(B28, PJ!$C:$C, 0)))</f>
        <v/>
      </c>
      <c r="D27" s="81" t="str">
        <f>IF(D28="","",INDEX(工種!$A$2:$A$83,MATCH(D28,工種!$B$2:$B$83,0),1))</f>
        <v/>
      </c>
      <c r="E27" s="40"/>
      <c r="F27" s="41"/>
      <c r="G27" s="23" t="s">
        <v>20</v>
      </c>
      <c r="H27" s="259"/>
      <c r="I27" s="19"/>
      <c r="J27" s="20"/>
      <c r="K27" s="19"/>
      <c r="L27" s="20"/>
      <c r="M27" s="19"/>
      <c r="N27" s="20"/>
      <c r="O27" s="19"/>
      <c r="P27" s="20"/>
      <c r="Q27" s="19"/>
      <c r="R27" s="20"/>
      <c r="S27" s="19"/>
      <c r="T27" s="20"/>
      <c r="U27" s="19"/>
      <c r="V27" s="20"/>
      <c r="W27" s="19"/>
      <c r="X27" s="20"/>
    </row>
    <row r="28" ht="18" customHeight="1">
      <c r="A28" s="29"/>
      <c r="B28" s="24"/>
      <c r="C28" s="83" t="str">
        <f>IF($B28="","",INDEX(PJ!$D:$D,MATCH(B28, PJ!$C:$C, 0)))</f>
        <v/>
      </c>
      <c r="D28" s="146"/>
      <c r="E28" s="42"/>
      <c r="F28" s="43"/>
      <c r="G28" s="24" t="s">
        <v>32</v>
      </c>
      <c r="H28" s="258"/>
      <c r="I28" s="334"/>
      <c r="J28" s="335"/>
      <c r="K28" s="334"/>
      <c r="L28" s="335"/>
      <c r="M28" s="334"/>
      <c r="N28" s="335"/>
      <c r="O28" s="334"/>
      <c r="P28" s="335"/>
      <c r="Q28" s="334"/>
      <c r="R28" s="335"/>
      <c r="S28" s="334"/>
      <c r="T28" s="335"/>
      <c r="U28" s="334"/>
      <c r="V28" s="335"/>
      <c r="W28" s="340">
        <f>SUM(I28:V28)</f>
        <v>0</v>
      </c>
      <c r="X28" s="341"/>
    </row>
    <row r="29" ht="18" customHeight="1">
      <c r="A29" s="25">
        <v>8</v>
      </c>
      <c r="B29" s="81" t="str">
        <f>IF($B30="","",INDEX(PJ!$A:$A,MATCH(B30,PJ!$C:$C,0)))</f>
        <v/>
      </c>
      <c r="C29" s="82" t="str">
        <f>IF($B30="","",INDEX(PJ!$B:$B,MATCH(B30, PJ!$C:$C, 0)))</f>
        <v/>
      </c>
      <c r="D29" s="81" t="str">
        <f>IF(D30="","",INDEX(工種!$A$2:$A$83,MATCH(D30,工種!$B$2:$B$83,0),1))</f>
        <v/>
      </c>
      <c r="E29" s="40"/>
      <c r="F29" s="41"/>
      <c r="G29" s="23" t="s">
        <v>20</v>
      </c>
      <c r="H29" s="259"/>
      <c r="I29" s="19"/>
      <c r="J29" s="20"/>
      <c r="K29" s="19"/>
      <c r="L29" s="20"/>
      <c r="M29" s="19"/>
      <c r="N29" s="20"/>
      <c r="O29" s="19"/>
      <c r="P29" s="20"/>
      <c r="Q29" s="19"/>
      <c r="R29" s="20"/>
      <c r="S29" s="19"/>
      <c r="T29" s="20"/>
      <c r="U29" s="19"/>
      <c r="V29" s="20"/>
      <c r="W29" s="19"/>
      <c r="X29" s="20"/>
    </row>
    <row r="30" ht="18" customHeight="1">
      <c r="A30" s="29"/>
      <c r="B30" s="24"/>
      <c r="C30" s="83" t="str">
        <f>IF($B30="","",INDEX(PJ!$D:$D,MATCH(B30, PJ!$C:$C, 0)))</f>
        <v/>
      </c>
      <c r="D30" s="146"/>
      <c r="E30" s="42"/>
      <c r="F30" s="43"/>
      <c r="G30" s="24" t="s">
        <v>32</v>
      </c>
      <c r="H30" s="258"/>
      <c r="I30" s="334"/>
      <c r="J30" s="335"/>
      <c r="K30" s="334"/>
      <c r="L30" s="335"/>
      <c r="M30" s="334"/>
      <c r="N30" s="335"/>
      <c r="O30" s="334"/>
      <c r="P30" s="335"/>
      <c r="Q30" s="334"/>
      <c r="R30" s="335"/>
      <c r="S30" s="334"/>
      <c r="T30" s="335"/>
      <c r="U30" s="334"/>
      <c r="V30" s="335"/>
      <c r="W30" s="340">
        <f>SUM(I30:V30)</f>
        <v>0</v>
      </c>
      <c r="X30" s="341"/>
    </row>
    <row r="31" ht="18" customHeight="1">
      <c r="A31" s="25">
        <v>9</v>
      </c>
      <c r="B31" s="81" t="str">
        <f>IF($B32="","",INDEX(PJ!$A:$A,MATCH(B32,PJ!$C:$C,0)))</f>
        <v/>
      </c>
      <c r="C31" s="82" t="str">
        <f>IF($B32="","",INDEX(PJ!$B:$B,MATCH(B32, PJ!$C:$C, 0)))</f>
        <v/>
      </c>
      <c r="D31" s="81" t="str">
        <f>IF(D32="","",INDEX(工種!$A$2:$A$83,MATCH(D32,工種!$B$2:$B$83,0),1))</f>
        <v/>
      </c>
      <c r="E31" s="40"/>
      <c r="F31" s="41"/>
      <c r="G31" s="23" t="s">
        <v>20</v>
      </c>
      <c r="H31" s="259"/>
      <c r="I31" s="19"/>
      <c r="J31" s="20"/>
      <c r="K31" s="19"/>
      <c r="L31" s="20"/>
      <c r="M31" s="19"/>
      <c r="N31" s="20"/>
      <c r="O31" s="19"/>
      <c r="P31" s="20"/>
      <c r="Q31" s="19"/>
      <c r="R31" s="20"/>
      <c r="S31" s="19"/>
      <c r="T31" s="20"/>
      <c r="U31" s="19"/>
      <c r="V31" s="20"/>
      <c r="W31" s="19"/>
      <c r="X31" s="20"/>
    </row>
    <row r="32" ht="18" customHeight="1">
      <c r="A32" s="29"/>
      <c r="B32" s="24"/>
      <c r="C32" s="83" t="str">
        <f>IF($B32="","",INDEX(PJ!$D:$D,MATCH(B32, PJ!$C:$C, 0)))</f>
        <v/>
      </c>
      <c r="D32" s="146"/>
      <c r="E32" s="42"/>
      <c r="F32" s="43"/>
      <c r="G32" s="24" t="s">
        <v>32</v>
      </c>
      <c r="H32" s="258"/>
      <c r="I32" s="334"/>
      <c r="J32" s="335"/>
      <c r="K32" s="334"/>
      <c r="L32" s="335"/>
      <c r="M32" s="334"/>
      <c r="N32" s="335"/>
      <c r="O32" s="334"/>
      <c r="P32" s="335"/>
      <c r="Q32" s="334"/>
      <c r="R32" s="335"/>
      <c r="S32" s="334"/>
      <c r="T32" s="335"/>
      <c r="U32" s="334"/>
      <c r="V32" s="335"/>
      <c r="W32" s="340">
        <f>SUM(I32:V32)</f>
        <v>0</v>
      </c>
      <c r="X32" s="341"/>
    </row>
    <row r="33" ht="18" customHeight="1">
      <c r="A33" s="25">
        <v>10</v>
      </c>
      <c r="B33" s="81" t="str">
        <f>IF($B34="","",INDEX(PJ!$A:$A,MATCH(B34,PJ!$C:$C,0)))</f>
        <v/>
      </c>
      <c r="C33" s="82" t="str">
        <f>IF($B34="","",INDEX(PJ!$B:$B,MATCH(B34, PJ!$C:$C, 0)))</f>
        <v/>
      </c>
      <c r="D33" s="81" t="str">
        <f>IF(D34="","",INDEX(工種!$A$2:$A$83,MATCH(D34,工種!$B$2:$B$83,0),1))</f>
        <v/>
      </c>
      <c r="E33" s="40"/>
      <c r="F33" s="41"/>
      <c r="G33" s="23" t="s">
        <v>20</v>
      </c>
      <c r="H33" s="259"/>
      <c r="I33" s="19"/>
      <c r="J33" s="20"/>
      <c r="K33" s="19"/>
      <c r="L33" s="20"/>
      <c r="M33" s="19"/>
      <c r="N33" s="20"/>
      <c r="O33" s="19"/>
      <c r="P33" s="20"/>
      <c r="Q33" s="19"/>
      <c r="R33" s="20"/>
      <c r="S33" s="19"/>
      <c r="T33" s="20"/>
      <c r="U33" s="19"/>
      <c r="V33" s="20"/>
      <c r="W33" s="19"/>
      <c r="X33" s="20"/>
    </row>
    <row r="34" ht="18" customHeight="1">
      <c r="A34" s="29"/>
      <c r="B34" s="24"/>
      <c r="C34" s="83" t="str">
        <f>IF($B34="","",INDEX(PJ!$D:$D,MATCH(B34, PJ!$C:$C, 0)))</f>
        <v/>
      </c>
      <c r="D34" s="146"/>
      <c r="E34" s="42"/>
      <c r="F34" s="43"/>
      <c r="G34" s="24" t="s">
        <v>32</v>
      </c>
      <c r="H34" s="258"/>
      <c r="I34" s="334"/>
      <c r="J34" s="335"/>
      <c r="K34" s="334"/>
      <c r="L34" s="335"/>
      <c r="M34" s="334"/>
      <c r="N34" s="335"/>
      <c r="O34" s="334"/>
      <c r="P34" s="335"/>
      <c r="Q34" s="334"/>
      <c r="R34" s="335"/>
      <c r="S34" s="334"/>
      <c r="T34" s="335"/>
      <c r="U34" s="334"/>
      <c r="V34" s="335"/>
      <c r="W34" s="340">
        <f>SUM(I34:V34)</f>
        <v>0</v>
      </c>
      <c r="X34" s="341"/>
    </row>
    <row r="35" ht="18" customHeight="1">
      <c r="A35" s="25">
        <v>11</v>
      </c>
      <c r="B35" s="81" t="str">
        <f>IF($B36="","",INDEX(PJ!$A:$A,MATCH(B36,PJ!$C:$C,0)))</f>
        <v/>
      </c>
      <c r="C35" s="82" t="str">
        <f>IF($B36="","",INDEX(PJ!$B:$B,MATCH(B36, PJ!$C:$C, 0)))</f>
        <v/>
      </c>
      <c r="D35" s="81" t="str">
        <f>IF(D36="","",INDEX(工種!$A$2:$A$83,MATCH(D36,工種!$B$2:$B$83,0),1))</f>
        <v/>
      </c>
      <c r="E35" s="40"/>
      <c r="F35" s="41"/>
      <c r="G35" s="23" t="s">
        <v>20</v>
      </c>
      <c r="H35" s="259"/>
      <c r="I35" s="19"/>
      <c r="J35" s="20"/>
      <c r="K35" s="19"/>
      <c r="L35" s="20"/>
      <c r="M35" s="19"/>
      <c r="N35" s="20"/>
      <c r="O35" s="19"/>
      <c r="P35" s="20"/>
      <c r="Q35" s="19"/>
      <c r="R35" s="20"/>
      <c r="S35" s="19"/>
      <c r="T35" s="20"/>
      <c r="U35" s="19"/>
      <c r="V35" s="20"/>
      <c r="W35" s="19"/>
      <c r="X35" s="20"/>
    </row>
    <row r="36" ht="18" customHeight="1">
      <c r="A36" s="29"/>
      <c r="B36" s="24"/>
      <c r="C36" s="83" t="str">
        <f>IF($B36="","",INDEX(PJ!$D:$D,MATCH(B36, PJ!$C:$C, 0)))</f>
        <v/>
      </c>
      <c r="D36" s="146"/>
      <c r="E36" s="42"/>
      <c r="F36" s="43"/>
      <c r="G36" s="24" t="s">
        <v>32</v>
      </c>
      <c r="H36" s="258"/>
      <c r="I36" s="334"/>
      <c r="J36" s="335"/>
      <c r="K36" s="334"/>
      <c r="L36" s="335"/>
      <c r="M36" s="334"/>
      <c r="N36" s="335"/>
      <c r="O36" s="334"/>
      <c r="P36" s="335"/>
      <c r="Q36" s="334"/>
      <c r="R36" s="335"/>
      <c r="S36" s="334"/>
      <c r="T36" s="335"/>
      <c r="U36" s="334"/>
      <c r="V36" s="335"/>
      <c r="W36" s="340">
        <f>SUM(I36:V36)</f>
        <v>0</v>
      </c>
      <c r="X36" s="341"/>
    </row>
    <row r="37" ht="18" customHeight="1">
      <c r="A37" s="25">
        <v>12</v>
      </c>
      <c r="B37" s="81" t="str">
        <f>IF($B38="","",INDEX(PJ!$A:$A,MATCH(B38,PJ!$C:$C,0)))</f>
        <v/>
      </c>
      <c r="C37" s="82" t="str">
        <f>IF($B38="","",INDEX(PJ!$B:$B,MATCH(B38, PJ!$C:$C, 0)))</f>
        <v/>
      </c>
      <c r="D37" s="81" t="str">
        <f>IF(D38="","",INDEX(工種!$A$2:$A$83,MATCH(D38,工種!$B$2:$B$83,0),1))</f>
        <v/>
      </c>
      <c r="E37" s="40"/>
      <c r="F37" s="41"/>
      <c r="G37" s="23" t="s">
        <v>20</v>
      </c>
      <c r="H37" s="259"/>
      <c r="I37" s="19"/>
      <c r="J37" s="20"/>
      <c r="K37" s="19"/>
      <c r="L37" s="20"/>
      <c r="M37" s="19"/>
      <c r="N37" s="20"/>
      <c r="O37" s="19"/>
      <c r="P37" s="20"/>
      <c r="Q37" s="19"/>
      <c r="R37" s="20"/>
      <c r="S37" s="19"/>
      <c r="T37" s="20"/>
      <c r="U37" s="19"/>
      <c r="V37" s="20"/>
      <c r="W37" s="19"/>
      <c r="X37" s="20"/>
    </row>
    <row r="38" ht="18" customHeight="1">
      <c r="A38" s="29"/>
      <c r="B38" s="24"/>
      <c r="C38" s="83" t="str">
        <f>IF($B38="","",INDEX(PJ!$D:$D,MATCH(B38, PJ!$C:$C, 0)))</f>
        <v/>
      </c>
      <c r="D38" s="146"/>
      <c r="E38" s="42"/>
      <c r="F38" s="43"/>
      <c r="G38" s="24" t="s">
        <v>32</v>
      </c>
      <c r="H38" s="258"/>
      <c r="I38" s="334"/>
      <c r="J38" s="335"/>
      <c r="K38" s="334"/>
      <c r="L38" s="335"/>
      <c r="M38" s="334"/>
      <c r="N38" s="335"/>
      <c r="O38" s="334"/>
      <c r="P38" s="335"/>
      <c r="Q38" s="334"/>
      <c r="R38" s="335"/>
      <c r="S38" s="334"/>
      <c r="T38" s="335"/>
      <c r="U38" s="334"/>
      <c r="V38" s="335"/>
      <c r="W38" s="340">
        <f>SUM(I38:V38)</f>
        <v>0</v>
      </c>
      <c r="X38" s="341"/>
    </row>
    <row r="39" ht="18" customHeight="1">
      <c r="A39" s="25">
        <v>13</v>
      </c>
      <c r="B39" s="81" t="str">
        <f>IF($B40="","",INDEX(PJ!$A:$A,MATCH(B40,PJ!$C:$C,0)))</f>
        <v/>
      </c>
      <c r="C39" s="82" t="str">
        <f>IF($B40="","",INDEX(PJ!$B:$B,MATCH(B40, PJ!$C:$C, 0)))</f>
        <v/>
      </c>
      <c r="D39" s="81" t="str">
        <f>IF(D40="","",INDEX(工種!$A$2:$A$83,MATCH(D40,工種!$B$2:$B$83,0),1))</f>
        <v/>
      </c>
      <c r="E39" s="40"/>
      <c r="F39" s="41"/>
      <c r="G39" s="23" t="s">
        <v>20</v>
      </c>
      <c r="H39" s="259"/>
      <c r="I39" s="19"/>
      <c r="J39" s="20"/>
      <c r="K39" s="19"/>
      <c r="L39" s="20"/>
      <c r="M39" s="19"/>
      <c r="N39" s="20"/>
      <c r="O39" s="19"/>
      <c r="P39" s="20"/>
      <c r="Q39" s="19"/>
      <c r="R39" s="20"/>
      <c r="S39" s="19"/>
      <c r="T39" s="20"/>
      <c r="U39" s="19"/>
      <c r="V39" s="20"/>
      <c r="W39" s="19"/>
      <c r="X39" s="20"/>
    </row>
    <row r="40" ht="18" customHeight="1">
      <c r="A40" s="29"/>
      <c r="B40" s="24"/>
      <c r="C40" s="83" t="str">
        <f>IF($B40="","",INDEX(PJ!$D:$D,MATCH(B40, PJ!$C:$C, 0)))</f>
        <v/>
      </c>
      <c r="D40" s="146"/>
      <c r="E40" s="42"/>
      <c r="F40" s="43"/>
      <c r="G40" s="24" t="s">
        <v>32</v>
      </c>
      <c r="H40" s="258"/>
      <c r="I40" s="334"/>
      <c r="J40" s="335"/>
      <c r="K40" s="334"/>
      <c r="L40" s="335"/>
      <c r="M40" s="334"/>
      <c r="N40" s="335"/>
      <c r="O40" s="334"/>
      <c r="P40" s="335"/>
      <c r="Q40" s="334"/>
      <c r="R40" s="335"/>
      <c r="S40" s="334"/>
      <c r="T40" s="335"/>
      <c r="U40" s="334"/>
      <c r="V40" s="335"/>
      <c r="W40" s="340">
        <f>SUM(I40:V40)</f>
        <v>0</v>
      </c>
      <c r="X40" s="341"/>
    </row>
    <row r="41" ht="18" customHeight="1">
      <c r="A41" s="25">
        <v>14</v>
      </c>
      <c r="B41" s="81" t="str">
        <f>IF($B42="","",INDEX(PJ!$A:$A,MATCH(B42,PJ!$C:$C,0)))</f>
        <v/>
      </c>
      <c r="C41" s="82" t="str">
        <f>IF($B42="","",INDEX(PJ!$B:$B,MATCH(B42, PJ!$C:$C, 0)))</f>
        <v/>
      </c>
      <c r="D41" s="81" t="str">
        <f>IF(D42="","",INDEX(工種!$A$2:$A$83,MATCH(D42,工種!$B$2:$B$83,0),1))</f>
        <v/>
      </c>
      <c r="E41" s="40"/>
      <c r="F41" s="41"/>
      <c r="G41" s="23" t="s">
        <v>20</v>
      </c>
      <c r="H41" s="259"/>
      <c r="I41" s="19"/>
      <c r="J41" s="20"/>
      <c r="K41" s="19"/>
      <c r="L41" s="20"/>
      <c r="M41" s="19"/>
      <c r="N41" s="20"/>
      <c r="O41" s="19"/>
      <c r="P41" s="20"/>
      <c r="Q41" s="19"/>
      <c r="R41" s="20"/>
      <c r="S41" s="19"/>
      <c r="T41" s="20"/>
      <c r="U41" s="19"/>
      <c r="V41" s="20"/>
      <c r="W41" s="19"/>
      <c r="X41" s="20"/>
    </row>
    <row r="42" ht="18" customHeight="1">
      <c r="A42" s="29"/>
      <c r="B42" s="24"/>
      <c r="C42" s="83" t="str">
        <f>IF($B42="","",INDEX(PJ!$D:$D,MATCH(B42, PJ!$C:$C, 0)))</f>
        <v/>
      </c>
      <c r="D42" s="146"/>
      <c r="E42" s="42"/>
      <c r="F42" s="43"/>
      <c r="G42" s="24" t="s">
        <v>32</v>
      </c>
      <c r="H42" s="258"/>
      <c r="I42" s="334"/>
      <c r="J42" s="335"/>
      <c r="K42" s="334"/>
      <c r="L42" s="335"/>
      <c r="M42" s="334"/>
      <c r="N42" s="335"/>
      <c r="O42" s="334"/>
      <c r="P42" s="335"/>
      <c r="Q42" s="334"/>
      <c r="R42" s="335"/>
      <c r="S42" s="334"/>
      <c r="T42" s="335"/>
      <c r="U42" s="334"/>
      <c r="V42" s="335"/>
      <c r="W42" s="340">
        <f>SUM(I42:V42)</f>
        <v>0</v>
      </c>
      <c r="X42" s="341"/>
    </row>
    <row r="43" ht="18" customHeight="1">
      <c r="A43" s="25">
        <v>15</v>
      </c>
      <c r="B43" s="81" t="str">
        <f>IF($B44="","",INDEX(PJ!$A:$A,MATCH(B44,PJ!$C:$C,0)))</f>
        <v/>
      </c>
      <c r="C43" s="82" t="str">
        <f>IF($B44="","",INDEX(PJ!$B:$B,MATCH(B44, PJ!$C:$C, 0)))</f>
        <v/>
      </c>
      <c r="D43" s="81" t="str">
        <f>IF(D44="","",INDEX(工種!$A$2:$A$83,MATCH(D44,工種!$B$2:$B$83,0),1))</f>
        <v/>
      </c>
      <c r="E43" s="40"/>
      <c r="F43" s="41"/>
      <c r="G43" s="23" t="s">
        <v>20</v>
      </c>
      <c r="H43" s="259"/>
      <c r="I43" s="19"/>
      <c r="J43" s="20"/>
      <c r="K43" s="19"/>
      <c r="L43" s="20"/>
      <c r="M43" s="19"/>
      <c r="N43" s="20"/>
      <c r="O43" s="19"/>
      <c r="P43" s="20"/>
      <c r="Q43" s="19"/>
      <c r="R43" s="20"/>
      <c r="S43" s="19"/>
      <c r="T43" s="20"/>
      <c r="U43" s="19"/>
      <c r="V43" s="20"/>
      <c r="W43" s="19"/>
      <c r="X43" s="20"/>
    </row>
    <row r="44" ht="18" customHeight="1">
      <c r="A44" s="29"/>
      <c r="B44" s="24"/>
      <c r="C44" s="83" t="str">
        <f>IF($B44="","",INDEX(PJ!$D:$D,MATCH(B44, PJ!$C:$C, 0)))</f>
        <v/>
      </c>
      <c r="D44" s="146"/>
      <c r="E44" s="42"/>
      <c r="F44" s="43"/>
      <c r="G44" s="24" t="s">
        <v>32</v>
      </c>
      <c r="H44" s="258"/>
      <c r="I44" s="334"/>
      <c r="J44" s="335"/>
      <c r="K44" s="334"/>
      <c r="L44" s="335"/>
      <c r="M44" s="334"/>
      <c r="N44" s="335"/>
      <c r="O44" s="334"/>
      <c r="P44" s="335"/>
      <c r="Q44" s="334"/>
      <c r="R44" s="335"/>
      <c r="S44" s="334"/>
      <c r="T44" s="335"/>
      <c r="U44" s="334"/>
      <c r="V44" s="335"/>
      <c r="W44" s="340">
        <f>SUM(I44:V44)</f>
        <v>0</v>
      </c>
      <c r="X44" s="341"/>
    </row>
    <row r="45" ht="18" customHeight="1">
      <c r="A45" s="25">
        <v>16</v>
      </c>
      <c r="B45" s="81" t="str">
        <f>IF($B46="","",INDEX(PJ!$A:$A,MATCH(B46,PJ!$C:$C,0)))</f>
        <v/>
      </c>
      <c r="C45" s="82" t="str">
        <f>IF($B46="","",INDEX(PJ!$B:$B,MATCH(B46, PJ!$C:$C, 0)))</f>
        <v/>
      </c>
      <c r="D45" s="81" t="str">
        <f>IF(D46="","",INDEX(工種!$A$2:$A$83,MATCH(D46,工種!$B$2:$B$83,0),1))</f>
        <v/>
      </c>
      <c r="E45" s="40"/>
      <c r="F45" s="41"/>
      <c r="G45" s="23" t="s">
        <v>20</v>
      </c>
      <c r="H45" s="259"/>
      <c r="I45" s="19"/>
      <c r="J45" s="20"/>
      <c r="K45" s="19"/>
      <c r="L45" s="20"/>
      <c r="M45" s="19"/>
      <c r="N45" s="20"/>
      <c r="O45" s="19"/>
      <c r="P45" s="20"/>
      <c r="Q45" s="19"/>
      <c r="R45" s="20"/>
      <c r="S45" s="19"/>
      <c r="T45" s="20"/>
      <c r="U45" s="19"/>
      <c r="V45" s="20"/>
      <c r="W45" s="19"/>
      <c r="X45" s="20"/>
    </row>
    <row r="46" ht="18" customHeight="1">
      <c r="A46" s="29"/>
      <c r="B46" s="24"/>
      <c r="C46" s="83" t="str">
        <f>IF($B46="","",INDEX(PJ!$D:$D,MATCH(B46, PJ!$C:$C, 0)))</f>
        <v/>
      </c>
      <c r="D46" s="146"/>
      <c r="E46" s="42"/>
      <c r="F46" s="43"/>
      <c r="G46" s="24" t="s">
        <v>32</v>
      </c>
      <c r="H46" s="258"/>
      <c r="I46" s="334"/>
      <c r="J46" s="335"/>
      <c r="K46" s="334"/>
      <c r="L46" s="335"/>
      <c r="M46" s="334"/>
      <c r="N46" s="335"/>
      <c r="O46" s="334"/>
      <c r="P46" s="335"/>
      <c r="Q46" s="334"/>
      <c r="R46" s="335"/>
      <c r="S46" s="334"/>
      <c r="T46" s="335"/>
      <c r="U46" s="334"/>
      <c r="V46" s="335"/>
      <c r="W46" s="340">
        <f>SUM(I46:V46)</f>
        <v>0</v>
      </c>
      <c r="X46" s="341"/>
    </row>
    <row r="47" ht="18" customHeight="1">
      <c r="A47" s="25">
        <v>17</v>
      </c>
      <c r="B47" s="81" t="str">
        <f>IF($B48="","",INDEX(PJ!$A:$A,MATCH(B48,PJ!$C:$C,0)))</f>
        <v/>
      </c>
      <c r="C47" s="82" t="str">
        <f>IF($B48="","",INDEX(PJ!$B:$B,MATCH(B48, PJ!$C:$C, 0)))</f>
        <v/>
      </c>
      <c r="D47" s="81" t="str">
        <f>IF(D48="","",INDEX(工種!$A$2:$A$83,MATCH(D48,工種!$B$2:$B$83,0),1))</f>
        <v/>
      </c>
      <c r="E47" s="40"/>
      <c r="F47" s="41"/>
      <c r="G47" s="23" t="s">
        <v>20</v>
      </c>
      <c r="H47" s="259"/>
      <c r="I47" s="19"/>
      <c r="J47" s="20"/>
      <c r="K47" s="19"/>
      <c r="L47" s="20"/>
      <c r="M47" s="19"/>
      <c r="N47" s="20"/>
      <c r="O47" s="19"/>
      <c r="P47" s="20"/>
      <c r="Q47" s="19"/>
      <c r="R47" s="20"/>
      <c r="S47" s="19"/>
      <c r="T47" s="20"/>
      <c r="U47" s="19"/>
      <c r="V47" s="20"/>
      <c r="W47" s="19"/>
      <c r="X47" s="20"/>
    </row>
    <row r="48" ht="18" customHeight="1">
      <c r="A48" s="29"/>
      <c r="B48" s="24"/>
      <c r="C48" s="83" t="str">
        <f>IF($B48="","",INDEX(PJ!$D:$D,MATCH(B48, PJ!$C:$C, 0)))</f>
        <v/>
      </c>
      <c r="D48" s="146"/>
      <c r="E48" s="42"/>
      <c r="F48" s="43"/>
      <c r="G48" s="24" t="s">
        <v>32</v>
      </c>
      <c r="H48" s="258"/>
      <c r="I48" s="334"/>
      <c r="J48" s="335"/>
      <c r="K48" s="334"/>
      <c r="L48" s="335"/>
      <c r="M48" s="334"/>
      <c r="N48" s="335"/>
      <c r="O48" s="334"/>
      <c r="P48" s="335"/>
      <c r="Q48" s="334"/>
      <c r="R48" s="335"/>
      <c r="S48" s="334"/>
      <c r="T48" s="335"/>
      <c r="U48" s="334"/>
      <c r="V48" s="335"/>
      <c r="W48" s="340">
        <f>SUM(I48:V48)</f>
        <v>0</v>
      </c>
      <c r="X48" s="341"/>
    </row>
    <row r="49" ht="18" customHeight="1">
      <c r="A49" s="25">
        <v>18</v>
      </c>
      <c r="B49" s="81" t="str">
        <f>IF($B50="","",INDEX(PJ!$A:$A,MATCH(B50,PJ!$C:$C,0)))</f>
        <v/>
      </c>
      <c r="C49" s="82" t="str">
        <f>IF($B50="","",INDEX(PJ!$B:$B,MATCH(B50, PJ!$C:$C, 0)))</f>
        <v/>
      </c>
      <c r="D49" s="81" t="str">
        <f>IF(D50="","",INDEX(工種!$A$2:$A$83,MATCH(D50,工種!$B$2:$B$83,0),1))</f>
        <v/>
      </c>
      <c r="E49" s="40"/>
      <c r="F49" s="41"/>
      <c r="G49" s="23" t="s">
        <v>20</v>
      </c>
      <c r="H49" s="259"/>
      <c r="I49" s="19"/>
      <c r="J49" s="20"/>
      <c r="K49" s="19"/>
      <c r="L49" s="20"/>
      <c r="M49" s="19"/>
      <c r="N49" s="20"/>
      <c r="O49" s="19"/>
      <c r="P49" s="20"/>
      <c r="Q49" s="19"/>
      <c r="R49" s="20"/>
      <c r="S49" s="19"/>
      <c r="T49" s="20"/>
      <c r="U49" s="19"/>
      <c r="V49" s="20"/>
      <c r="W49" s="19"/>
      <c r="X49" s="20"/>
    </row>
    <row r="50" ht="18" customHeight="1">
      <c r="A50" s="29"/>
      <c r="B50" s="24"/>
      <c r="C50" s="83" t="str">
        <f>IF($B50="","",INDEX(PJ!$D:$D,MATCH(B50, PJ!$C:$C, 0)))</f>
        <v/>
      </c>
      <c r="D50" s="146"/>
      <c r="E50" s="42"/>
      <c r="F50" s="43"/>
      <c r="G50" s="24" t="s">
        <v>32</v>
      </c>
      <c r="H50" s="258"/>
      <c r="I50" s="334"/>
      <c r="J50" s="335"/>
      <c r="K50" s="334"/>
      <c r="L50" s="335"/>
      <c r="M50" s="334"/>
      <c r="N50" s="335"/>
      <c r="O50" s="334"/>
      <c r="P50" s="335"/>
      <c r="Q50" s="334"/>
      <c r="R50" s="335"/>
      <c r="S50" s="334"/>
      <c r="T50" s="335"/>
      <c r="U50" s="334"/>
      <c r="V50" s="335"/>
      <c r="W50" s="340">
        <f>SUM(I50:V50)</f>
        <v>0</v>
      </c>
      <c r="X50" s="341"/>
    </row>
    <row r="51" ht="18" customHeight="1">
      <c r="A51" s="25">
        <v>19</v>
      </c>
      <c r="B51" s="81" t="str">
        <f>IF($B52="","",INDEX(PJ!$A:$A,MATCH(B52,PJ!$C:$C,0)))</f>
        <v/>
      </c>
      <c r="C51" s="82" t="str">
        <f>IF($B52="","",INDEX(PJ!$B:$B,MATCH(B52, PJ!$C:$C, 0)))</f>
        <v/>
      </c>
      <c r="D51" s="81" t="str">
        <f>IF(D52="","",INDEX(工種!$A$2:$A$83,MATCH(D52,工種!$B$2:$B$83,0),1))</f>
        <v/>
      </c>
      <c r="E51" s="40"/>
      <c r="F51" s="41"/>
      <c r="G51" s="23" t="s">
        <v>20</v>
      </c>
      <c r="H51" s="259"/>
      <c r="I51" s="19"/>
      <c r="J51" s="20"/>
      <c r="K51" s="19"/>
      <c r="L51" s="20"/>
      <c r="M51" s="19"/>
      <c r="N51" s="20"/>
      <c r="O51" s="19"/>
      <c r="P51" s="20"/>
      <c r="Q51" s="19"/>
      <c r="R51" s="20"/>
      <c r="S51" s="19"/>
      <c r="T51" s="20"/>
      <c r="U51" s="19"/>
      <c r="V51" s="20"/>
      <c r="W51" s="19"/>
      <c r="X51" s="20"/>
    </row>
    <row r="52" ht="18" customHeight="1">
      <c r="A52" s="29"/>
      <c r="B52" s="24"/>
      <c r="C52" s="83" t="str">
        <f>IF($B52="","",INDEX(PJ!$D:$D,MATCH(B52, PJ!$C:$C, 0)))</f>
        <v/>
      </c>
      <c r="D52" s="146"/>
      <c r="E52" s="42"/>
      <c r="F52" s="43"/>
      <c r="G52" s="24" t="s">
        <v>32</v>
      </c>
      <c r="H52" s="258"/>
      <c r="I52" s="334"/>
      <c r="J52" s="335"/>
      <c r="K52" s="334"/>
      <c r="L52" s="335"/>
      <c r="M52" s="334"/>
      <c r="N52" s="335"/>
      <c r="O52" s="334"/>
      <c r="P52" s="335"/>
      <c r="Q52" s="334"/>
      <c r="R52" s="335"/>
      <c r="S52" s="334"/>
      <c r="T52" s="335"/>
      <c r="U52" s="334"/>
      <c r="V52" s="335"/>
      <c r="W52" s="340">
        <f>SUM(I52:V52)</f>
        <v>0</v>
      </c>
      <c r="X52" s="341"/>
    </row>
    <row r="53" ht="18" customHeight="1">
      <c r="A53" s="25">
        <v>20</v>
      </c>
      <c r="B53" s="81" t="str">
        <f>IF($B54="","",INDEX(PJ!$A:$A,MATCH(B54,PJ!$C:$C,0)))</f>
        <v/>
      </c>
      <c r="C53" s="82" t="str">
        <f>IF($B54="","",INDEX(PJ!$B:$B,MATCH(B54, PJ!$C:$C, 0)))</f>
        <v/>
      </c>
      <c r="D53" s="81" t="str">
        <f>IF(D54="","",INDEX(工種!$A$2:$A$83,MATCH(D54,工種!$B$2:$B$83,0),1))</f>
        <v/>
      </c>
      <c r="E53" s="40"/>
      <c r="F53" s="41"/>
      <c r="G53" s="23" t="s">
        <v>20</v>
      </c>
      <c r="H53" s="259"/>
      <c r="I53" s="19"/>
      <c r="J53" s="20"/>
      <c r="K53" s="19"/>
      <c r="L53" s="20"/>
      <c r="M53" s="19"/>
      <c r="N53" s="20"/>
      <c r="O53" s="19"/>
      <c r="P53" s="20"/>
      <c r="Q53" s="19"/>
      <c r="R53" s="20"/>
      <c r="S53" s="19"/>
      <c r="T53" s="20"/>
      <c r="U53" s="19"/>
      <c r="V53" s="20"/>
      <c r="W53" s="19"/>
      <c r="X53" s="20"/>
    </row>
    <row r="54" ht="18" customHeight="1">
      <c r="A54" s="29"/>
      <c r="B54" s="24"/>
      <c r="C54" s="83" t="str">
        <f>IF($B54="","",INDEX(PJ!$D:$D,MATCH(B54, PJ!$C:$C, 0)))</f>
        <v/>
      </c>
      <c r="D54" s="146"/>
      <c r="E54" s="42"/>
      <c r="F54" s="43"/>
      <c r="G54" s="24" t="s">
        <v>32</v>
      </c>
      <c r="H54" s="258"/>
      <c r="I54" s="334"/>
      <c r="J54" s="335"/>
      <c r="K54" s="334"/>
      <c r="L54" s="335"/>
      <c r="M54" s="334"/>
      <c r="N54" s="335"/>
      <c r="O54" s="334"/>
      <c r="P54" s="335"/>
      <c r="Q54" s="334"/>
      <c r="R54" s="335"/>
      <c r="S54" s="334"/>
      <c r="T54" s="335"/>
      <c r="U54" s="334"/>
      <c r="V54" s="335"/>
      <c r="W54" s="340">
        <f>SUM(I54:V54)</f>
        <v>0</v>
      </c>
      <c r="X54" s="341"/>
    </row>
    <row r="55" spans="1:27" ht="6.75" customHeight="1">
      <c r="I55" s="17"/>
      <c r="J55" s="17"/>
      <c r="K55" s="17"/>
      <c r="L55" s="17"/>
      <c r="M55" s="17"/>
      <c r="N55" s="17"/>
      <c r="O55" s="17"/>
      <c r="P55" s="17"/>
      <c r="Q55" s="17"/>
      <c r="R55" s="17"/>
      <c r="S55" s="17"/>
      <c r="T55" s="17"/>
      <c r="U55" s="17"/>
      <c r="V55" s="17"/>
      <c r="W55" s="17"/>
      <c r="X55" s="17"/>
      <c r="Y55" s="2"/>
      <c r="AA55" s="2"/>
    </row>
    <row r="56" spans="1:27" ht="6.75" customHeight="1" thickBot="1">
      <c r="I56" s="17"/>
      <c r="J56" s="17"/>
      <c r="K56" s="17"/>
      <c r="L56" s="17"/>
      <c r="M56" s="17"/>
      <c r="N56" s="17"/>
      <c r="O56" s="17"/>
      <c r="P56" s="17"/>
      <c r="Q56" s="17"/>
      <c r="R56" s="17"/>
      <c r="S56" s="17"/>
      <c r="T56" s="17"/>
      <c r="U56" s="17"/>
      <c r="V56" s="17"/>
      <c r="W56" s="17"/>
      <c r="X56" s="17"/>
      <c r="Y56" s="2"/>
      <c r="AA56" s="2"/>
    </row>
    <row r="57" spans="1:27" ht="17.25" customHeight="1" thickTop="1">
      <c r="A57" s="255"/>
      <c r="B57" s="50"/>
      <c r="C57" s="50"/>
      <c r="D57" s="50"/>
      <c r="E57" s="256" t="s">
        <v>29</v>
      </c>
      <c r="F57" s="256"/>
      <c r="G57" s="257"/>
      <c r="H57" s="256"/>
      <c r="I57" s="330">
        <f>SUM(I16:J54)</f>
        <v>0</v>
      </c>
      <c r="J57" s="331"/>
      <c r="K57" s="330">
        <f>SUM(K16:L54)</f>
        <v>0</v>
      </c>
      <c r="L57" s="331"/>
      <c r="M57" s="330">
        <f>SUM(M16:N54)</f>
        <v>0</v>
      </c>
      <c r="N57" s="331"/>
      <c r="O57" s="330">
        <f>SUM(O16:P54)</f>
        <v>0</v>
      </c>
      <c r="P57" s="331"/>
      <c r="Q57" s="330">
        <f>SUM(Q16:R54)</f>
        <v>0</v>
      </c>
      <c r="R57" s="331"/>
      <c r="S57" s="330">
        <f>SUM(S16:T54)</f>
        <v>0</v>
      </c>
      <c r="T57" s="331"/>
      <c r="U57" s="330">
        <f>SUM(U16:V54)</f>
        <v>0</v>
      </c>
      <c r="V57" s="331"/>
      <c r="W57" s="330">
        <f>CEILING(SUM(W16:X54),"0:5")</f>
        <v>0</v>
      </c>
      <c r="X57" s="331"/>
    </row>
    <row r="58" ht="17.25" customHeight="1">
      <c r="A58" s="33"/>
      <c r="B58" s="51"/>
      <c r="C58" s="51"/>
      <c r="D58" s="51"/>
      <c r="E58" s="44" t="s">
        <v>37</v>
      </c>
      <c r="F58" s="44"/>
      <c r="G58" s="44"/>
      <c r="H58" s="44"/>
      <c r="I58" s="359"/>
      <c r="J58" s="360"/>
      <c r="K58" s="359"/>
      <c r="L58" s="360"/>
      <c r="M58" s="359"/>
      <c r="N58" s="360"/>
      <c r="O58" s="359"/>
      <c r="P58" s="360"/>
      <c r="Q58" s="359"/>
      <c r="R58" s="360"/>
      <c r="S58" s="359"/>
      <c r="T58" s="360"/>
      <c r="U58" s="359"/>
      <c r="V58" s="360"/>
      <c r="W58" s="359"/>
      <c r="X58" s="360"/>
    </row>
    <row r="59" spans="1:27" ht="20.100000000000001" customHeight="1">
      <c r="I59" s="17"/>
      <c r="J59" s="17"/>
      <c r="K59" s="17"/>
      <c r="L59" s="17"/>
      <c r="M59" s="17"/>
      <c r="N59" s="17"/>
      <c r="O59" s="17"/>
      <c r="P59" s="17"/>
      <c r="Q59" s="17"/>
      <c r="R59" s="17"/>
      <c r="S59" s="17"/>
      <c r="T59" s="17"/>
      <c r="U59" s="17"/>
      <c r="V59" s="17"/>
      <c r="W59" s="17"/>
      <c r="X59" s="17"/>
      <c r="Y59" s="2"/>
      <c r="AA59" s="2"/>
    </row>
    <row r="60" spans="1:27" ht="15" customHeight="1">
      <c r="A60" s="25"/>
      <c r="B60" s="52"/>
      <c r="C60" s="52"/>
      <c r="D60" s="52"/>
      <c r="E60" s="52"/>
      <c r="F60" s="52"/>
      <c r="G60" s="16"/>
      <c r="H60" s="16"/>
      <c r="I60" s="40"/>
      <c r="J60" s="52"/>
      <c r="K60" s="52"/>
      <c r="L60" s="52"/>
      <c r="M60" s="52"/>
      <c r="N60" s="52"/>
      <c r="O60" s="52"/>
      <c r="P60" s="52"/>
      <c r="Q60" s="52"/>
      <c r="R60" s="52"/>
      <c r="S60" s="52"/>
      <c r="T60" s="52"/>
      <c r="U60" s="52"/>
      <c r="V60" s="52"/>
      <c r="W60" s="52"/>
      <c r="X60" s="22"/>
    </row>
    <row r="61" ht="15" customHeight="1">
      <c r="A61" s="356" t="s">
        <v>38</v>
      </c>
      <c r="B61"/>
      <c r="I61" s="356" t="s">
        <v>39</v>
      </c>
      <c r="J61"/>
      <c r="X61" s="46"/>
    </row>
    <row r="62" ht="15" customHeight="1">
      <c r="A62" s="356"/>
      <c r="B62"/>
      <c r="I62" s="356"/>
      <c r="J62"/>
      <c r="X62" s="46"/>
    </row>
    <row r="63" ht="15" customHeight="1">
      <c r="A63" s="356"/>
      <c r="B63"/>
      <c r="I63" s="356"/>
      <c r="J63"/>
      <c r="X63" s="46"/>
    </row>
    <row r="64" ht="15" customHeight="1">
      <c r="A64" s="356"/>
      <c r="B64"/>
      <c r="I64" s="356"/>
      <c r="J64"/>
      <c r="X64" s="46"/>
    </row>
    <row r="65" ht="15" customHeight="1">
      <c r="A65" s="356"/>
      <c r="B65"/>
      <c r="I65" s="356"/>
      <c r="J65"/>
      <c r="X65" s="46"/>
    </row>
    <row r="66" spans="1:24" ht="15" customHeight="1">
      <c r="A66" s="29"/>
      <c r="B66" s="47"/>
      <c r="C66" s="47"/>
      <c r="D66" s="47"/>
      <c r="E66" s="47"/>
      <c r="F66" s="47"/>
      <c r="G66" s="48"/>
      <c r="H66" s="48"/>
      <c r="I66" s="42"/>
      <c r="J66" s="47"/>
      <c r="K66" s="47"/>
      <c r="L66" s="47"/>
      <c r="M66" s="47"/>
      <c r="N66" s="47"/>
      <c r="O66" s="47"/>
      <c r="P66" s="47"/>
      <c r="Q66" s="47"/>
      <c r="R66" s="47"/>
      <c r="S66" s="47"/>
      <c r="T66" s="47"/>
      <c r="U66" s="47"/>
      <c r="V66" s="47"/>
      <c r="W66" s="47"/>
      <c r="X66" s="49"/>
    </row>
    <row r="67" spans="1:24" ht="15" customHeight="1">
      <c r="A67" s="25"/>
      <c r="B67" s="52"/>
      <c r="C67" s="52"/>
      <c r="D67" s="52"/>
      <c r="E67" s="52"/>
      <c r="F67" s="52"/>
      <c r="G67" s="16"/>
      <c r="H67" s="16"/>
      <c r="I67" s="52"/>
      <c r="J67" s="52"/>
      <c r="K67" s="52"/>
      <c r="L67" s="52"/>
      <c r="M67" s="52"/>
      <c r="N67" s="52"/>
      <c r="O67" s="52"/>
      <c r="P67" s="52"/>
      <c r="Q67" s="52"/>
      <c r="R67" s="52"/>
      <c r="S67" s="52"/>
      <c r="T67" s="52"/>
      <c r="U67" s="52"/>
      <c r="V67" s="52"/>
      <c r="W67" s="52"/>
      <c r="X67" s="22"/>
    </row>
    <row r="68" ht="15" customHeight="1">
      <c r="A68" s="356" t="s">
        <v>40</v>
      </c>
      <c r="B68"/>
      <c r="J68"/>
      <c r="X68" s="46"/>
    </row>
    <row r="69" ht="15" customHeight="1">
      <c r="A69" s="356"/>
      <c r="B69"/>
      <c r="J69"/>
      <c r="X69" s="46"/>
    </row>
    <row r="70" ht="15" customHeight="1">
      <c r="A70" s="356"/>
      <c r="B70"/>
      <c r="J70"/>
      <c r="X70" s="46"/>
    </row>
    <row r="71" ht="15" customHeight="1">
      <c r="A71" s="356"/>
      <c r="B71"/>
      <c r="J71"/>
      <c r="X71" s="46"/>
    </row>
    <row r="72" ht="15" customHeight="1">
      <c r="A72" s="356"/>
      <c r="B72"/>
      <c r="J72"/>
      <c r="X72" s="46"/>
    </row>
    <row r="73" spans="1:24" ht="15" customHeight="1">
      <c r="A73" s="29"/>
      <c r="B73" s="47"/>
      <c r="C73" s="47"/>
      <c r="D73" s="47"/>
      <c r="E73" s="47"/>
      <c r="F73" s="47"/>
      <c r="G73" s="48"/>
      <c r="H73" s="48"/>
      <c r="I73" s="47"/>
      <c r="J73" s="47"/>
      <c r="K73" s="47"/>
      <c r="L73" s="47"/>
      <c r="M73" s="47"/>
      <c r="N73" s="47"/>
      <c r="O73" s="47"/>
      <c r="P73" s="47"/>
      <c r="Q73" s="47"/>
      <c r="R73" s="47"/>
      <c r="S73" s="47"/>
      <c r="T73" s="47"/>
      <c r="U73" s="47"/>
      <c r="V73" s="47"/>
      <c r="W73" s="47"/>
      <c r="X73" s="49"/>
    </row>
    <row r="74" spans="1:24" ht="15" customHeight="1">
      <c r="A74" s="25"/>
      <c r="B74" s="52"/>
      <c r="C74" s="52"/>
      <c r="D74" s="52"/>
      <c r="E74" s="52"/>
      <c r="F74" s="52"/>
      <c r="G74" s="16"/>
      <c r="H74" s="16"/>
      <c r="I74" s="52"/>
      <c r="J74" s="52"/>
      <c r="K74" s="52"/>
      <c r="L74" s="52"/>
      <c r="M74" s="52"/>
      <c r="N74" s="52"/>
      <c r="O74" s="52"/>
      <c r="P74" s="52"/>
      <c r="Q74" s="52"/>
      <c r="R74" s="52"/>
      <c r="S74" s="52"/>
      <c r="T74" s="52"/>
      <c r="U74" s="52"/>
      <c r="V74" s="52"/>
      <c r="W74" s="52"/>
      <c r="X74" s="22"/>
    </row>
    <row r="75" ht="15" customHeight="1">
      <c r="A75" s="356" t="s">
        <v>41</v>
      </c>
      <c r="B75"/>
      <c r="J75"/>
      <c r="X75" s="46"/>
    </row>
    <row r="76" ht="15" customHeight="1">
      <c r="A76" s="356"/>
      <c r="B76"/>
      <c r="J76"/>
      <c r="X76" s="46"/>
    </row>
    <row r="77" ht="15" customHeight="1">
      <c r="A77" s="356"/>
      <c r="B77"/>
      <c r="J77"/>
      <c r="X77" s="46"/>
    </row>
    <row r="78" ht="15" customHeight="1">
      <c r="A78" s="356"/>
      <c r="B78"/>
      <c r="J78"/>
      <c r="X78" s="46"/>
    </row>
    <row r="79" ht="15" customHeight="1">
      <c r="A79" s="356"/>
      <c r="B79"/>
      <c r="J79"/>
      <c r="X79" s="46"/>
    </row>
    <row r="80" spans="1:24" ht="15" customHeight="1">
      <c r="A80" s="29"/>
      <c r="B80" s="47"/>
      <c r="C80" s="47"/>
      <c r="D80" s="47"/>
      <c r="E80" s="47"/>
      <c r="F80" s="47"/>
      <c r="G80" s="48"/>
      <c r="H80" s="48"/>
      <c r="I80" s="47"/>
      <c r="J80" s="47"/>
      <c r="K80" s="47"/>
      <c r="L80" s="47"/>
      <c r="M80" s="47"/>
      <c r="N80" s="47"/>
      <c r="O80" s="47"/>
      <c r="P80" s="47"/>
      <c r="Q80" s="47"/>
      <c r="R80" s="47"/>
      <c r="S80" s="47"/>
      <c r="T80" s="47"/>
      <c r="U80" s="47"/>
      <c r="V80" s="47"/>
      <c r="W80" s="47"/>
      <c r="X80" s="49"/>
    </row>
    <row r="81" spans="1:27" ht="20.100000000000001" customHeight="1">
      <c r="A81" s="45"/>
      <c r="B81" s="2" t="s">
        <v>42</v>
      </c>
      <c r="X81" s="46"/>
    </row>
    <row r="82" spans="1:27" ht="20.100000000000001" customHeight="1">
      <c r="A82" s="45"/>
      <c r="B82" s="2" t="s">
        <v>43</v>
      </c>
      <c r="X82" s="46"/>
    </row>
    <row r="83" spans="1:27" ht="20.100000000000001" customHeight="1">
      <c r="A83" s="45"/>
      <c r="B83" s="2" t="s">
        <v>44</v>
      </c>
      <c r="X83" s="46"/>
    </row>
    <row r="84" spans="1:27" ht="20.100000000000001" customHeight="1">
      <c r="A84" s="45"/>
      <c r="B84" s="2" t="s">
        <v>45</v>
      </c>
      <c r="X84" s="46"/>
    </row>
    <row r="85" spans="1:27" ht="20.100000000000001" customHeight="1">
      <c r="A85" s="260"/>
      <c r="B85" s="47" t="s">
        <v>46</v>
      </c>
      <c r="C85" s="47"/>
      <c r="D85" s="47"/>
      <c r="E85" s="47"/>
      <c r="F85" s="47"/>
      <c r="G85" s="48"/>
      <c r="H85" s="48"/>
      <c r="I85" s="47"/>
      <c r="J85" s="47"/>
      <c r="K85" s="47"/>
      <c r="L85" s="47"/>
      <c r="M85" s="47"/>
      <c r="N85" s="47"/>
      <c r="O85" s="47"/>
      <c r="P85" s="47"/>
      <c r="Q85" s="47"/>
      <c r="R85" s="47"/>
      <c r="S85" s="47"/>
      <c r="T85" s="47"/>
      <c r="U85" s="47"/>
      <c r="V85" s="47"/>
      <c r="W85" s="47"/>
      <c r="X85" s="49"/>
    </row>
    <row r="86" spans="1:27" ht="20.100000000000001" customHeight="1">
      <c r="S86" s="2" t="str">
        <f>'1週'!S86</f>
        <v>PJ20-1-2022-0624</v>
      </c>
      <c r="Y86" s="2"/>
      <c r="AA86" s="2"/>
    </row>
  </sheetData>
  <mergeCells count="243">
    <mergeCell ref="K15:L15"/>
    <mergeCell ref="K17:L17"/>
    <mergeCell ref="K19:L19"/>
    <mergeCell ref="A61:A65"/>
    <mergeCell ref="I61:I65"/>
    <mergeCell ref="A68:A72"/>
    <mergeCell ref="A75:A79"/>
    <mergeCell ref="U57:V57"/>
    <mergeCell ref="W57:X57"/>
    <mergeCell ref="I58:J58"/>
    <mergeCell ref="K58:L58"/>
    <mergeCell ref="M58:N58"/>
    <mergeCell ref="O58:P58"/>
    <mergeCell ref="Q58:R58"/>
    <mergeCell ref="S58:T58"/>
    <mergeCell ref="U58:V58"/>
    <mergeCell ref="W58:X58"/>
    <mergeCell ref="I57:J57"/>
    <mergeCell ref="K57:L57"/>
    <mergeCell ref="M57:N57"/>
    <mergeCell ref="O57:P57"/>
    <mergeCell ref="Q57:R57"/>
    <mergeCell ref="S57:T57"/>
    <mergeCell ref="I36:J36"/>
    <mergeCell ref="K36:L36"/>
    <mergeCell ref="M36:N36"/>
    <mergeCell ref="O36:P36"/>
    <mergeCell ref="Q36:R36"/>
    <mergeCell ref="S36:T36"/>
    <mergeCell ref="U36:V36"/>
    <mergeCell ref="W36:X36"/>
    <mergeCell ref="I54:J54"/>
    <mergeCell ref="K54:L54"/>
    <mergeCell ref="M54:N54"/>
    <mergeCell ref="O54:P54"/>
    <mergeCell ref="Q54:R54"/>
    <mergeCell ref="S54:T54"/>
    <mergeCell ref="U54:V54"/>
    <mergeCell ref="W54:X54"/>
    <mergeCell ref="U38:V38"/>
    <mergeCell ref="W38:X38"/>
    <mergeCell ref="I40:J40"/>
    <mergeCell ref="K40:L40"/>
    <mergeCell ref="M40:N40"/>
    <mergeCell ref="O40:P40"/>
    <mergeCell ref="Q40:R40"/>
    <mergeCell ref="S40:T40"/>
    <mergeCell ref="U40:V40"/>
    <mergeCell ref="I32:J32"/>
    <mergeCell ref="K32:L32"/>
    <mergeCell ref="M32:N32"/>
    <mergeCell ref="O32:P32"/>
    <mergeCell ref="Q32:R32"/>
    <mergeCell ref="S32:T32"/>
    <mergeCell ref="U32:V32"/>
    <mergeCell ref="W32:X32"/>
    <mergeCell ref="I34:J34"/>
    <mergeCell ref="K34:L34"/>
    <mergeCell ref="M34:N34"/>
    <mergeCell ref="O34:P34"/>
    <mergeCell ref="Q34:R34"/>
    <mergeCell ref="S34:T34"/>
    <mergeCell ref="U34:V34"/>
    <mergeCell ref="W34:X34"/>
    <mergeCell ref="I28:J28"/>
    <mergeCell ref="K28:L28"/>
    <mergeCell ref="M28:N28"/>
    <mergeCell ref="O28:P28"/>
    <mergeCell ref="Q28:R28"/>
    <mergeCell ref="S28:T28"/>
    <mergeCell ref="U28:V28"/>
    <mergeCell ref="W28:X28"/>
    <mergeCell ref="I30:J30"/>
    <mergeCell ref="K30:L30"/>
    <mergeCell ref="M30:N30"/>
    <mergeCell ref="O30:P30"/>
    <mergeCell ref="Q30:R30"/>
    <mergeCell ref="S30:T30"/>
    <mergeCell ref="U30:V30"/>
    <mergeCell ref="W30:X30"/>
    <mergeCell ref="I24:J24"/>
    <mergeCell ref="K24:L24"/>
    <mergeCell ref="M24:N24"/>
    <mergeCell ref="O24:P24"/>
    <mergeCell ref="Q24:R24"/>
    <mergeCell ref="S24:T24"/>
    <mergeCell ref="U24:V24"/>
    <mergeCell ref="W24:X24"/>
    <mergeCell ref="I26:J26"/>
    <mergeCell ref="K26:L26"/>
    <mergeCell ref="M26:N26"/>
    <mergeCell ref="O26:P26"/>
    <mergeCell ref="Q26:R26"/>
    <mergeCell ref="S26:T26"/>
    <mergeCell ref="U26:V26"/>
    <mergeCell ref="W26:X26"/>
    <mergeCell ref="I20:J20"/>
    <mergeCell ref="K20:L20"/>
    <mergeCell ref="M20:N20"/>
    <mergeCell ref="O20:P20"/>
    <mergeCell ref="Q20:R20"/>
    <mergeCell ref="S20:T20"/>
    <mergeCell ref="U20:V20"/>
    <mergeCell ref="W20:X20"/>
    <mergeCell ref="I22:J22"/>
    <mergeCell ref="K22:L22"/>
    <mergeCell ref="M22:N22"/>
    <mergeCell ref="O22:P22"/>
    <mergeCell ref="Q22:R22"/>
    <mergeCell ref="S22:T22"/>
    <mergeCell ref="U22:V22"/>
    <mergeCell ref="W22:X22"/>
    <mergeCell ref="I16:J16"/>
    <mergeCell ref="K16:L16"/>
    <mergeCell ref="M16:N16"/>
    <mergeCell ref="O16:P16"/>
    <mergeCell ref="Q16:R16"/>
    <mergeCell ref="S16:T16"/>
    <mergeCell ref="U16:V16"/>
    <mergeCell ref="W16:X16"/>
    <mergeCell ref="I18:J18"/>
    <mergeCell ref="K18:L18"/>
    <mergeCell ref="M18:N18"/>
    <mergeCell ref="O18:P18"/>
    <mergeCell ref="Q18:R18"/>
    <mergeCell ref="S18:T18"/>
    <mergeCell ref="U18:V18"/>
    <mergeCell ref="W18:X18"/>
    <mergeCell ref="I17:J17"/>
    <mergeCell ref="A13:H13"/>
    <mergeCell ref="I13:J13"/>
    <mergeCell ref="K13:L13"/>
    <mergeCell ref="M13:N13"/>
    <mergeCell ref="O13:P13"/>
    <mergeCell ref="Q13:R13"/>
    <mergeCell ref="S13:T13"/>
    <mergeCell ref="U13:V13"/>
    <mergeCell ref="W13:X13"/>
    <mergeCell ref="F12:H12"/>
    <mergeCell ref="I12:J12"/>
    <mergeCell ref="K12:L12"/>
    <mergeCell ref="M12:N12"/>
    <mergeCell ref="O12:P12"/>
    <mergeCell ref="Q12:R12"/>
    <mergeCell ref="S12:T12"/>
    <mergeCell ref="U12:V12"/>
    <mergeCell ref="W12:X12"/>
    <mergeCell ref="W10:X10"/>
    <mergeCell ref="G11:H11"/>
    <mergeCell ref="I11:J11"/>
    <mergeCell ref="K11:L11"/>
    <mergeCell ref="M11:N11"/>
    <mergeCell ref="O11:P11"/>
    <mergeCell ref="Q11:R11"/>
    <mergeCell ref="S11:T11"/>
    <mergeCell ref="U11:V11"/>
    <mergeCell ref="W11:X11"/>
    <mergeCell ref="I9:J9"/>
    <mergeCell ref="K9:L9"/>
    <mergeCell ref="M9:N9"/>
    <mergeCell ref="O9:P9"/>
    <mergeCell ref="Q9:R9"/>
    <mergeCell ref="S9:T9"/>
    <mergeCell ref="U9:V9"/>
    <mergeCell ref="G10:H10"/>
    <mergeCell ref="I10:J10"/>
    <mergeCell ref="K10:L10"/>
    <mergeCell ref="M10:N10"/>
    <mergeCell ref="O10:P10"/>
    <mergeCell ref="Q10:R10"/>
    <mergeCell ref="S10:T10"/>
    <mergeCell ref="U10:V10"/>
    <mergeCell ref="A1:X1"/>
    <mergeCell ref="K7:L7"/>
    <mergeCell ref="M7:O7"/>
    <mergeCell ref="P7:S7"/>
    <mergeCell ref="U7:X7"/>
    <mergeCell ref="I8:J8"/>
    <mergeCell ref="K8:L8"/>
    <mergeCell ref="M8:N8"/>
    <mergeCell ref="O8:P8"/>
    <mergeCell ref="Q8:R8"/>
    <mergeCell ref="S8:T8"/>
    <mergeCell ref="U8:V8"/>
    <mergeCell ref="S3:U5"/>
    <mergeCell ref="V3:X5"/>
    <mergeCell ref="W40:X40"/>
    <mergeCell ref="I38:J38"/>
    <mergeCell ref="K38:L38"/>
    <mergeCell ref="M38:N38"/>
    <mergeCell ref="O38:P38"/>
    <mergeCell ref="Q38:R38"/>
    <mergeCell ref="S38:T38"/>
    <mergeCell ref="U42:V42"/>
    <mergeCell ref="W42:X42"/>
    <mergeCell ref="I44:J44"/>
    <mergeCell ref="K44:L44"/>
    <mergeCell ref="M44:N44"/>
    <mergeCell ref="O44:P44"/>
    <mergeCell ref="Q44:R44"/>
    <mergeCell ref="S44:T44"/>
    <mergeCell ref="U44:V44"/>
    <mergeCell ref="W44:X44"/>
    <mergeCell ref="I42:J42"/>
    <mergeCell ref="K42:L42"/>
    <mergeCell ref="M42:N42"/>
    <mergeCell ref="O42:P42"/>
    <mergeCell ref="Q42:R42"/>
    <mergeCell ref="S42:T42"/>
    <mergeCell ref="Q48:R48"/>
    <mergeCell ref="S48:T48"/>
    <mergeCell ref="U48:V48"/>
    <mergeCell ref="W48:X48"/>
    <mergeCell ref="I46:J46"/>
    <mergeCell ref="K46:L46"/>
    <mergeCell ref="M46:N46"/>
    <mergeCell ref="O46:P46"/>
    <mergeCell ref="Q46:R46"/>
    <mergeCell ref="S46:T46"/>
    <mergeCell ref="I15:J15"/>
    <mergeCell ref="I19:J19"/>
    <mergeCell ref="U50:V50"/>
    <mergeCell ref="W50:X50"/>
    <mergeCell ref="I52:J52"/>
    <mergeCell ref="K52:L52"/>
    <mergeCell ref="M52:N52"/>
    <mergeCell ref="O52:P52"/>
    <mergeCell ref="Q52:R52"/>
    <mergeCell ref="S52:T52"/>
    <mergeCell ref="U52:V52"/>
    <mergeCell ref="W52:X52"/>
    <mergeCell ref="I50:J50"/>
    <mergeCell ref="K50:L50"/>
    <mergeCell ref="M50:N50"/>
    <mergeCell ref="O50:P50"/>
    <mergeCell ref="Q50:R50"/>
    <mergeCell ref="S50:T50"/>
    <mergeCell ref="U46:V46"/>
    <mergeCell ref="W46:X46"/>
    <mergeCell ref="I48:J48"/>
    <mergeCell ref="K48:L48"/>
    <mergeCell ref="M48:N48"/>
    <mergeCell ref="O48:P48"/>
  </mergeCells>
  <phoneticPr fontId="7"/>
  <conditionalFormatting sqref="B16">
    <cfRule type="expression" dxfId="72" priority="23">
      <formula>AND(W16&lt;&gt;0,B16="")</formula>
    </cfRule>
  </conditionalFormatting>
  <conditionalFormatting sqref="B18">
    <cfRule type="expression" dxfId="71" priority="22">
      <formula>AND(W18&lt;&gt;0,B18="")</formula>
    </cfRule>
  </conditionalFormatting>
  <conditionalFormatting sqref="B20">
    <cfRule type="expression" dxfId="70" priority="9">
      <formula>AND(W20&lt;&gt;0,B20="")</formula>
    </cfRule>
  </conditionalFormatting>
  <conditionalFormatting sqref="B22">
    <cfRule type="expression" dxfId="69" priority="682">
      <formula>AND(W22&lt;&gt;0,B22="")</formula>
    </cfRule>
  </conditionalFormatting>
  <conditionalFormatting sqref="B24">
    <cfRule type="expression" dxfId="68" priority="680">
      <formula>AND(W24&lt;&gt;0,B24="")</formula>
    </cfRule>
  </conditionalFormatting>
  <conditionalFormatting sqref="B26">
    <cfRule type="expression" dxfId="67" priority="678">
      <formula>AND(W26&lt;&gt;0,B26="")</formula>
    </cfRule>
  </conditionalFormatting>
  <conditionalFormatting sqref="B28">
    <cfRule type="expression" dxfId="66" priority="676">
      <formula>AND(W28&lt;&gt;0,B28="")</formula>
    </cfRule>
  </conditionalFormatting>
  <conditionalFormatting sqref="B30">
    <cfRule type="expression" dxfId="65" priority="674">
      <formula>AND(W30&lt;&gt;0,B30="")</formula>
    </cfRule>
  </conditionalFormatting>
  <conditionalFormatting sqref="B32">
    <cfRule type="expression" dxfId="64" priority="672">
      <formula>AND(W32&lt;&gt;0,B32="")</formula>
    </cfRule>
  </conditionalFormatting>
  <conditionalFormatting sqref="B34">
    <cfRule type="expression" dxfId="63" priority="670">
      <formula>AND(W34&lt;&gt;0,B34="")</formula>
    </cfRule>
  </conditionalFormatting>
  <conditionalFormatting sqref="B36">
    <cfRule type="expression" dxfId="62" priority="668">
      <formula>AND(W36&lt;&gt;0,B36="")</formula>
    </cfRule>
  </conditionalFormatting>
  <conditionalFormatting sqref="B38">
    <cfRule type="expression" dxfId="61" priority="666">
      <formula>AND(W38&lt;&gt;0,B38="")</formula>
    </cfRule>
  </conditionalFormatting>
  <conditionalFormatting sqref="B40">
    <cfRule type="expression" dxfId="60" priority="664">
      <formula>AND(W40&lt;&gt;0,B40="")</formula>
    </cfRule>
  </conditionalFormatting>
  <conditionalFormatting sqref="B42">
    <cfRule type="expression" dxfId="59" priority="662">
      <formula>AND(W42&lt;&gt;0,B42="")</formula>
    </cfRule>
  </conditionalFormatting>
  <conditionalFormatting sqref="B44">
    <cfRule type="expression" dxfId="58" priority="660">
      <formula>AND(W44&lt;&gt;0,B44="")</formula>
    </cfRule>
  </conditionalFormatting>
  <conditionalFormatting sqref="B46">
    <cfRule type="expression" dxfId="57" priority="658">
      <formula>AND(W46&lt;&gt;0,B46="")</formula>
    </cfRule>
  </conditionalFormatting>
  <conditionalFormatting sqref="B48">
    <cfRule type="expression" dxfId="56" priority="656">
      <formula>AND(W48&lt;&gt;0,B48="")</formula>
    </cfRule>
  </conditionalFormatting>
  <conditionalFormatting sqref="B50">
    <cfRule type="expression" dxfId="55" priority="654">
      <formula>AND(W50&lt;&gt;0,B50="")</formula>
    </cfRule>
  </conditionalFormatting>
  <conditionalFormatting sqref="B52">
    <cfRule type="expression" dxfId="54" priority="652">
      <formula>AND(W52&lt;&gt;0,B52="")</formula>
    </cfRule>
  </conditionalFormatting>
  <conditionalFormatting sqref="B54">
    <cfRule type="expression" dxfId="53" priority="309">
      <formula>AND(W54&lt;&gt;0,B54="")</formula>
    </cfRule>
  </conditionalFormatting>
  <conditionalFormatting sqref="C6:C7">
    <cfRule type="expression" dxfId="52" priority="26">
      <formula>OR($C6="",$C6=0)</formula>
    </cfRule>
  </conditionalFormatting>
  <conditionalFormatting sqref="D16 D18 D22 D24 D26 D28 D30 D32 D34 D36 D38 D40 D42 D44 D46 D48 D50 D52 D54">
    <cfRule type="expression" dxfId="51" priority="27">
      <formula>OR( AND(B16&lt;&gt;"",LEFT(B16,2)&lt;&gt;"88",LEFT(D15,2)="99"), AND(D16&lt;&gt;"",LEFT(B16,2)="88",LEFT(D15,2)&lt;&gt;"99") )</formula>
    </cfRule>
    <cfRule type="expression" dxfId="50" priority="308">
      <formula>AND(W16&lt;&gt;0,D16="")</formula>
    </cfRule>
  </conditionalFormatting>
  <conditionalFormatting sqref="D20">
    <cfRule type="expression" dxfId="49" priority="10">
      <formula>OR( AND(B20&lt;&gt;"",LEFT(B20,2)&lt;&gt;"88",LEFT(D19,2)="99"), AND(D20&lt;&gt;"",LEFT(B20,2)="88",LEFT(D19,2)&lt;&gt;"99") )</formula>
    </cfRule>
    <cfRule type="expression" dxfId="48" priority="11">
      <formula>AND(W20&lt;&gt;0,D20="")</formula>
    </cfRule>
  </conditionalFormatting>
  <conditionalFormatting sqref="I13:X13">
    <cfRule type="cellIs" dxfId="43" priority="691" operator="notEqual">
      <formula>I57</formula>
    </cfRule>
  </conditionalFormatting>
  <conditionalFormatting sqref="I57:X57">
    <cfRule type="cellIs" dxfId="42" priority="690" stopIfTrue="1" operator="notEqual">
      <formula>I13</formula>
    </cfRule>
  </conditionalFormatting>
  <dataValidations disablePrompts="1" count="1">
    <dataValidation type="list" allowBlank="1" showInputMessage="1" showErrorMessage="1" sqref="D16 D18 D54 D22 D24 D26 D28 D30 D32 D34 D36 D38 D40 D42 D44 D46 D48 D50 D52 D20" xr:uid="{00000000-0002-0000-0500-000000000000}">
      <formula1>IF($B16="",工種_全部,IF(LEFT($B16,2)="88",工種_間接,工種_通常))</formula1>
    </dataValidation>
  </dataValidations>
  <printOptions horizontalCentered="1"/>
  <pageMargins left="0.43307086614173229" right="0.23622047244094491" top="0.31496062992125984" bottom="0.11811023622047245" header="0.15748031496062992" footer="0.23622047244094491"/>
  <pageSetup paperSize="9" scale="59" fitToHeight="10" orientation="portrait" r:id="rId1"/>
  <headerFooter alignWithMargins="0"/>
  <ignoredErrors>
    <ignoredError sqref="B3" unlockedFormula="1"/>
    <ignoredError sqref="C16:C18 C21:C53"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id="{932161FD-D1DD-4C20-A726-C277877B44E0}">
            <xm:f>AND(INDEX(PJ!$E:$E,MATCH($B16,PJ!$C:$C,0))&gt;DATE($B$3,$C$3,I$9),I16&lt;&gt;"")</xm:f>
            <x14:dxf>
              <font>
                <color rgb="FF9C0006"/>
              </font>
              <fill>
                <patternFill>
                  <bgColor rgb="FFFFC7CE"/>
                </patternFill>
              </fill>
            </x14:dxf>
          </x14:cfRule>
          <x14:cfRule type="expression" priority="2" id="{A043D984-3D2D-4774-BBD9-AE1B0504FE2B}">
            <xm:f>AND(INDEX(PJ!$F:$F,MATCH($B16,PJ!$C:$C,0))&lt;DATE($B$3,$C$3,I$9),I16&lt;&gt;"")</xm:f>
            <x14:dxf>
              <font>
                <color rgb="FF9C0006"/>
              </font>
              <fill>
                <patternFill>
                  <bgColor rgb="FFFFC7CE"/>
                </patternFill>
              </fill>
            </x14:dxf>
          </x14:cfRule>
          <xm:sqref>I16:V16 I18:V18 I20:V20</xm:sqref>
        </x14:conditionalFormatting>
        <x14:conditionalFormatting xmlns:xm="http://schemas.microsoft.com/office/excel/2006/main">
          <x14:cfRule type="expression" priority="24" id="{B59A09A3-8498-4B23-8A93-033714BEC035}">
            <xm:f>AND(INDEX(PJ!$E:$E,MATCH($B22,PJ!$C:$C,0))&gt;DATE($B$3,$C$3,I$9),I22&lt;&gt;"")</xm:f>
            <x14:dxf>
              <font>
                <color rgb="FF9C0006"/>
              </font>
              <fill>
                <patternFill>
                  <bgColor rgb="FFFFC7CE"/>
                </patternFill>
              </fill>
            </x14:dxf>
          </x14:cfRule>
          <x14:cfRule type="expression" priority="25" id="{63E5BC8D-ED4A-4D2B-963C-0AA87E407502}">
            <xm:f>AND(INDEX(PJ!$F:$F,MATCH($B22,PJ!$C:$C,0))&lt;DATE($B$3,$C$3,I$9),I22&lt;&gt;"")</xm:f>
            <x14:dxf>
              <font>
                <color rgb="FF9C0006"/>
              </font>
              <fill>
                <patternFill>
                  <bgColor rgb="FFFFC7CE"/>
                </patternFill>
              </fill>
            </x14:dxf>
          </x14:cfRule>
          <xm:sqref>I22:V22 I24:V24 I26:V26 I28:V28 I30:V30 I32:V32 I34:V34 I36:V36 I38:V38 I40:V40 I42:V42 I44:V44 I46:V46 I48:V48 I50:V50 I52:V52 I54:V54</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1:V56"/>
  <sheetViews>
    <sheetView tabSelected="1" topLeftCell="A5" zoomScaleNormal="100" zoomScaleSheetLayoutView="85" workbookViewId="0">
      <selection activeCell="AA23" sqref="AA23"/>
    </sheetView>
  </sheetViews>
  <sheetFormatPr defaultColWidth="9" defaultRowHeight="13.5"/>
  <cols>
    <col min="1" max="1" width="2.125" style="171" customWidth="1"/>
    <col min="2" max="2" width="4.875" style="171" customWidth="1"/>
    <col min="3" max="3" width="3.875" style="171" customWidth="1"/>
    <col min="4" max="4" width="5.125" style="171" customWidth="1"/>
    <col min="5" max="5" width="5.375" style="171" customWidth="1"/>
    <col min="6" max="6" width="5.875" style="171" customWidth="1"/>
    <col min="7" max="9" width="8.375" style="171" customWidth="1"/>
    <col min="10" max="11" width="7.875" style="171" customWidth="1"/>
    <col min="12" max="12" width="9.875" style="171" customWidth="1"/>
    <col min="13" max="18" width="7.875" style="171" customWidth="1"/>
    <col min="19" max="19" width="2.375" style="171" customWidth="1"/>
    <col min="20" max="21" width="9" style="171"/>
    <col min="22" max="22" width="9" style="171" customWidth="1"/>
    <col min="23" max="16384" width="9" style="171"/>
  </cols>
  <sheetData>
    <row r="1" spans="2:22" ht="24.75" thickBot="1">
      <c r="D1" s="238"/>
      <c r="E1" s="238"/>
      <c r="F1" s="238"/>
      <c r="G1" s="241">
        <f>月間集計シート!AI2</f>
        <v>2026</v>
      </c>
      <c r="H1" s="242" t="s">
        <v>50</v>
      </c>
      <c r="I1" s="239">
        <f>月間集計シート!AJ2</f>
        <v>7</v>
      </c>
      <c r="J1" s="211" t="s">
        <v>51</v>
      </c>
      <c r="K1" s="240"/>
      <c r="L1" s="240"/>
      <c r="M1" s="240"/>
      <c r="N1" s="185"/>
      <c r="O1" s="185"/>
      <c r="P1" s="185"/>
      <c r="Q1" s="185"/>
      <c r="R1" s="185"/>
    </row>
    <row r="2" spans="2:22" ht="10.35" customHeight="1" thickTop="1">
      <c r="B2" s="185"/>
      <c r="C2" s="185"/>
      <c r="D2" s="185"/>
      <c r="E2" s="185"/>
      <c r="F2" s="185"/>
      <c r="G2" s="185"/>
      <c r="H2" s="185"/>
      <c r="I2" s="185"/>
      <c r="J2" s="212"/>
      <c r="K2" s="185"/>
      <c r="L2" s="185"/>
      <c r="M2" s="185"/>
      <c r="N2" s="185"/>
      <c r="O2" s="185"/>
      <c r="P2" s="185"/>
      <c r="Q2" s="185"/>
      <c r="R2" s="185"/>
    </row>
    <row r="3" spans="2:22" ht="17.25" customHeight="1">
      <c r="B3" s="401" t="s">
        <v>52</v>
      </c>
      <c r="C3" s="383" t="s">
        <v>53</v>
      </c>
      <c r="D3" s="384"/>
      <c r="E3" s="385"/>
      <c r="F3" s="420" t="s">
        <v>54</v>
      </c>
      <c r="G3" s="421"/>
      <c r="H3" s="421"/>
      <c r="I3" s="421"/>
      <c r="J3" s="421"/>
      <c r="K3" s="422"/>
      <c r="L3" s="185"/>
      <c r="M3" s="185"/>
      <c r="N3" s="185"/>
      <c r="O3" s="185"/>
      <c r="P3" s="185"/>
      <c r="Q3" s="185"/>
      <c r="R3" s="185"/>
    </row>
    <row r="4" spans="2:22" ht="16.5" customHeight="1">
      <c r="B4" s="401"/>
      <c r="C4" s="383" t="s">
        <v>55</v>
      </c>
      <c r="D4" s="384"/>
      <c r="E4" s="385"/>
      <c r="F4" s="413" t="s">
        <v>56</v>
      </c>
      <c r="G4" s="414"/>
      <c r="H4" s="414"/>
      <c r="I4" s="414"/>
      <c r="J4" s="414"/>
      <c r="K4" s="415"/>
      <c r="L4" s="185"/>
      <c r="M4" s="185"/>
      <c r="N4" s="185"/>
      <c r="O4" s="185"/>
      <c r="P4" s="185"/>
      <c r="Q4" s="185"/>
      <c r="R4" s="185"/>
    </row>
    <row r="5" spans="2:22" ht="16.5" customHeight="1">
      <c r="B5" s="401"/>
      <c r="C5" s="383" t="s">
        <v>57</v>
      </c>
      <c r="D5" s="384"/>
      <c r="E5" s="385"/>
      <c r="F5" s="413" t="s">
        <v>58</v>
      </c>
      <c r="G5" s="414"/>
      <c r="H5" s="414"/>
      <c r="I5" s="414"/>
      <c r="J5" s="414"/>
      <c r="K5" s="415"/>
      <c r="L5" s="185"/>
      <c r="M5" s="185" t="s">
        <v>59</v>
      </c>
      <c r="N5" s="416" t="str">
        <f>(月間集計シート!$B$29)</f>
        <v>FPTジャパン</v>
      </c>
      <c r="O5" s="417"/>
      <c r="P5" s="417"/>
      <c r="Q5" s="417"/>
      <c r="R5" s="417"/>
    </row>
    <row r="6" spans="2:22" ht="17.25" customHeight="1">
      <c r="B6" s="402" t="s">
        <v>60</v>
      </c>
      <c r="C6" s="403"/>
      <c r="D6" s="403"/>
      <c r="E6" s="404"/>
      <c r="F6" s="410" t="s">
        <v>61</v>
      </c>
      <c r="G6" s="411"/>
      <c r="H6" s="411"/>
      <c r="I6" s="411"/>
      <c r="J6" s="411"/>
      <c r="K6" s="412"/>
      <c r="L6" s="185"/>
      <c r="M6" s="233" t="s">
        <v>62</v>
      </c>
      <c r="N6" s="418" t="s">
        <v>63</v>
      </c>
      <c r="O6" s="419"/>
      <c r="P6" s="419"/>
      <c r="Q6" s="419"/>
      <c r="R6" s="419"/>
    </row>
    <row r="7" spans="2:22" ht="10.35" customHeight="1">
      <c r="B7" s="209"/>
      <c r="C7" s="209"/>
      <c r="D7" s="210"/>
      <c r="E7" s="209"/>
      <c r="F7" s="209"/>
      <c r="G7" s="210"/>
      <c r="H7" s="210"/>
      <c r="I7" s="209"/>
      <c r="J7" s="209"/>
      <c r="K7" s="210"/>
      <c r="L7" s="209"/>
      <c r="M7" s="210"/>
      <c r="N7" s="209"/>
      <c r="O7" s="210"/>
      <c r="P7" s="210"/>
      <c r="Q7" s="210"/>
      <c r="R7" s="209"/>
    </row>
    <row r="8" spans="2:22" ht="20.100000000000001" customHeight="1">
      <c r="B8" s="208" t="s">
        <v>64</v>
      </c>
      <c r="C8" s="206" t="s">
        <v>65</v>
      </c>
      <c r="D8" s="206" t="s">
        <v>66</v>
      </c>
      <c r="E8" s="206" t="s">
        <v>67</v>
      </c>
      <c r="F8" s="206" t="s">
        <v>68</v>
      </c>
      <c r="G8" s="207" t="s">
        <v>69</v>
      </c>
      <c r="H8" s="207" t="s">
        <v>70</v>
      </c>
      <c r="I8" s="170" t="s">
        <v>71</v>
      </c>
      <c r="J8" s="206" t="s">
        <v>72</v>
      </c>
      <c r="K8" s="206" t="s">
        <v>73</v>
      </c>
      <c r="L8" s="170" t="s">
        <v>74</v>
      </c>
      <c r="M8" s="206" t="s">
        <v>75</v>
      </c>
      <c r="N8" s="386" t="s">
        <v>76</v>
      </c>
      <c r="O8" s="387"/>
      <c r="P8" s="387"/>
      <c r="Q8" s="388"/>
      <c r="R8" s="205" t="s">
        <v>77</v>
      </c>
      <c r="T8" s="282" t="s">
        <v>78</v>
      </c>
      <c r="U8" s="282" t="s">
        <v>79</v>
      </c>
    </row>
    <row r="9" ht="21" customHeight="1">
      <c r="B9" s="219">
        <f>DATE(T9,I1,1)</f>
        <v>46204</v>
      </c>
      <c r="C9" s="168">
        <f>IF(B9&lt;&gt;"",WEEKDAY(B9),"")</f>
        <v>4</v>
      </c>
      <c r="D9" s="167"/>
      <c r="E9" s="169" t="str">
        <f>IF(U9&lt;&gt;"",U9,IF(C9=1,"公休",IF(C9=7,"公休","")))</f>
        <v/>
      </c>
      <c r="F9" s="203"/>
      <c r="G9" s="166">
        <f>IF(VLOOKUP($B9,月間集計シート!$AI:$AN,3,FALSE)&lt;&gt;0,VLOOKUP($B9,月間集計シート!$AI:$AN,3,FALSE),"")</f>
        <v>0.375</v>
      </c>
      <c r="H9" s="166">
        <f>IF(VLOOKUP($B9,月間集計シート!$AI:$AN,4,FALSE)&lt;&gt;0,VLOOKUP($B9,月間集計シート!$AI:$AN,4,FALSE),"")</f>
        <v>0.79166666666666663</v>
      </c>
      <c r="I9" s="202">
        <f t="shared" ref="I9:I37" si="0">IF(G9="","",IF(H9="","",IF(HOUR(G9)+MINUTE(G9)/60&lt;HOUR(H9)+MINUTE(H9)/60,(HOUR(H9)+MINUTE(H9)/60)-(HOUR(G9)+MINUTE(G9)/60),24-(HOUR(G9)+MINUTE(G9)/60)+(HOUR(H9)+MINUTE(H9)/60))))</f>
        <v>10</v>
      </c>
      <c r="J9" s="220">
        <f>IF(VLOOKUP($B9,月間集計シート!$AI:$AN,5,FALSE)&lt;&gt;0,VLOOKUP($B9,月間集計シート!$AI:$AN,5,FALSE)*24,"")</f>
        <v>1</v>
      </c>
      <c r="K9" s="201"/>
      <c r="L9" s="202">
        <f>IF(I9="","",IF(I9&gt;=J9,I9-J9,I9))</f>
        <v>9</v>
      </c>
      <c r="M9" s="201"/>
      <c r="N9" s="234"/>
      <c r="O9" s="235"/>
      <c r="P9" s="235"/>
      <c r="Q9" s="236"/>
      <c r="R9" s="237"/>
      <c r="T9" s="283">
        <f>月間集計シート!AI2</f>
        <v>2026</v>
      </c>
      <c r="U9" s="284"/>
      <c r="V9" s="204"/>
    </row>
    <row r="10" ht="21" customHeight="1">
      <c r="B10" s="219">
        <f t="shared" ref="B10:B36" si="1">B9+1</f>
        <v>46205</v>
      </c>
      <c r="C10" s="168">
        <f t="shared" ref="C10:C38" si="2">IF(B10&lt;&gt;"",WEEKDAY(B10),"")</f>
        <v>5</v>
      </c>
      <c r="D10" s="167"/>
      <c r="E10" s="169" t="str">
        <f>IF(U10&lt;&gt;"",U10,IF(C10=1,"公休",IF(C10=7,"公休","")))</f>
        <v/>
      </c>
      <c r="F10" s="203"/>
      <c r="G10" s="166">
        <f>IF(VLOOKUP($B10,月間集計シート!$AI:$AN,3,FALSE)&lt;&gt;0,VLOOKUP($B10,月間集計シート!$AI:$AN,3,FALSE),"")</f>
        <v>0.375</v>
      </c>
      <c r="H10" s="166">
        <f>IF(VLOOKUP($B10,月間集計シート!$AI:$AN,4,FALSE)&lt;&gt;0,VLOOKUP($B10,月間集計シート!$AI:$AN,4,FALSE),"")</f>
        <v>0.79166666666666663</v>
      </c>
      <c r="I10" s="202">
        <f t="shared" si="0"/>
        <v>10</v>
      </c>
      <c r="J10" s="220">
        <f>IF(VLOOKUP($B10,月間集計シート!$AI:$AN,5,FALSE)&lt;&gt;0,VLOOKUP($B10,月間集計シート!$AI:$AN,5,FALSE)*24,"")</f>
        <v>1</v>
      </c>
      <c r="K10" s="201"/>
      <c r="L10" s="202">
        <f t="shared" ref="L10:L37" si="3">IF(I10="","",IF(I10&gt;=J10,I10-J10,I10))</f>
        <v>9</v>
      </c>
      <c r="M10" s="201"/>
      <c r="N10" s="234"/>
      <c r="O10" s="235"/>
      <c r="P10" s="235"/>
      <c r="Q10" s="236"/>
      <c r="R10" s="237"/>
      <c r="T10" s="285"/>
      <c r="U10" s="284"/>
    </row>
    <row r="11" ht="21" customHeight="1">
      <c r="B11" s="219">
        <f t="shared" si="1"/>
        <v>46206</v>
      </c>
      <c r="C11" s="168">
        <f t="shared" si="2"/>
        <v>6</v>
      </c>
      <c r="D11" s="167"/>
      <c r="E11" s="169" t="str">
        <f t="shared" ref="E11:E37" si="4">IF(U11&lt;&gt;"",U11,IF(C11=1,"公休",IF(C11=7,"公休","")))</f>
        <v/>
      </c>
      <c r="F11" s="203"/>
      <c r="G11" s="166">
        <f>IF(VLOOKUP($B11,月間集計シート!$AI:$AN,3,FALSE)&lt;&gt;0,VLOOKUP($B11,月間集計シート!$AI:$AN,3,FALSE),"")</f>
        <v>0.375</v>
      </c>
      <c r="H11" s="166">
        <f>IF(VLOOKUP($B11,月間集計シート!$AI:$AN,4,FALSE)&lt;&gt;0,VLOOKUP($B11,月間集計シート!$AI:$AN,4,FALSE),"")</f>
        <v>0.79166666666666663</v>
      </c>
      <c r="I11" s="202">
        <f t="shared" si="0"/>
        <v>10</v>
      </c>
      <c r="J11" s="220">
        <f>IF(VLOOKUP($B11,月間集計シート!$AI:$AN,5,FALSE)&lt;&gt;0,VLOOKUP($B11,月間集計シート!$AI:$AN,5,FALSE)*24,"")</f>
        <v>1</v>
      </c>
      <c r="K11" s="201"/>
      <c r="L11" s="202">
        <f t="shared" si="3"/>
        <v>9</v>
      </c>
      <c r="M11" s="201"/>
      <c r="N11" s="234" t="inlineStr">
        <is>
          <t xml:space="preserve">リモート</t>
        </is>
      </c>
      <c r="O11" s="235"/>
      <c r="P11" s="235"/>
      <c r="Q11" s="236"/>
      <c r="R11" s="237"/>
      <c r="T11" s="285"/>
      <c r="U11" s="284"/>
    </row>
    <row r="12" ht="21" customHeight="1">
      <c r="B12" s="219">
        <f t="shared" si="1"/>
        <v>46207</v>
      </c>
      <c r="C12" s="168">
        <f t="shared" si="2"/>
        <v>7</v>
      </c>
      <c r="D12" s="167"/>
      <c r="E12" s="169" t="str">
        <f t="shared" si="4"/>
        <v>公休</v>
      </c>
      <c r="F12" s="203"/>
      <c r="G12" s="166" t="str">
        <f>IF(VLOOKUP($B12,月間集計シート!$AI:$AN,3,FALSE)&lt;&gt;0,VLOOKUP($B12,月間集計シート!$AI:$AN,3,FALSE),"")</f>
        <v/>
      </c>
      <c r="H12" s="166" t="str">
        <f>IF(VLOOKUP($B12,月間集計シート!$AI:$AN,4,FALSE)&lt;&gt;0,VLOOKUP($B12,月間集計シート!$AI:$AN,4,FALSE),"")</f>
        <v/>
      </c>
      <c r="I12" s="202" t="str">
        <f t="shared" si="0"/>
        <v/>
      </c>
      <c r="J12" s="220" t="str">
        <f>IF(VLOOKUP($B12,月間集計シート!$AI:$AN,5,FALSE)&lt;&gt;0,VLOOKUP($B12,月間集計シート!$AI:$AN,5,FALSE)*24,"")</f>
        <v/>
      </c>
      <c r="K12" s="201"/>
      <c r="L12" s="202" t="str">
        <f t="shared" si="3"/>
        <v/>
      </c>
      <c r="M12" s="201"/>
      <c r="N12" s="234"/>
      <c r="O12" s="235"/>
      <c r="P12" s="235"/>
      <c r="Q12" s="236"/>
      <c r="R12" s="237"/>
      <c r="T12" s="285"/>
      <c r="U12" s="282"/>
    </row>
    <row r="13" ht="21" customHeight="1">
      <c r="B13" s="219">
        <f t="shared" si="1"/>
        <v>46208</v>
      </c>
      <c r="C13" s="168">
        <f t="shared" si="2"/>
        <v>1</v>
      </c>
      <c r="D13" s="167"/>
      <c r="E13" s="169" t="str">
        <f t="shared" si="4"/>
        <v>公休</v>
      </c>
      <c r="F13" s="203"/>
      <c r="G13" s="166" t="str">
        <f>IF(VLOOKUP($B13,月間集計シート!$AI:$AN,3,FALSE)&lt;&gt;0,VLOOKUP($B13,月間集計シート!$AI:$AN,3,FALSE),"")</f>
        <v/>
      </c>
      <c r="H13" s="166" t="str">
        <f>IF(VLOOKUP($B13,月間集計シート!$AI:$AN,4,FALSE)&lt;&gt;0,VLOOKUP($B13,月間集計シート!$AI:$AN,4,FALSE),"")</f>
        <v/>
      </c>
      <c r="I13" s="202" t="str">
        <f t="shared" si="0"/>
        <v/>
      </c>
      <c r="J13" s="220" t="str">
        <f>IF(VLOOKUP($B13,月間集計シート!$AI:$AN,5,FALSE)&lt;&gt;0,VLOOKUP($B13,月間集計シート!$AI:$AN,5,FALSE)*24,"")</f>
        <v/>
      </c>
      <c r="K13" s="201"/>
      <c r="L13" s="202" t="str">
        <f t="shared" si="3"/>
        <v/>
      </c>
      <c r="M13" s="201"/>
      <c r="N13" s="234"/>
      <c r="O13" s="235"/>
      <c r="P13" s="235"/>
      <c r="Q13" s="236"/>
      <c r="R13" s="237"/>
      <c r="T13" s="285"/>
      <c r="U13" s="282"/>
    </row>
    <row r="14" ht="21" customHeight="1">
      <c r="B14" s="219">
        <f t="shared" si="1"/>
        <v>46209</v>
      </c>
      <c r="C14" s="168">
        <f t="shared" si="2"/>
        <v>2</v>
      </c>
      <c r="D14" s="167"/>
      <c r="E14" s="169" t="str">
        <f t="shared" si="4"/>
        <v/>
      </c>
      <c r="F14" s="203"/>
      <c r="G14" s="166">
        <f>IF(VLOOKUP($B14,月間集計シート!$AI:$AN,3,FALSE)&lt;&gt;0,VLOOKUP($B14,月間集計シート!$AI:$AN,3,FALSE),"")</f>
        <v>0.375</v>
      </c>
      <c r="H14" s="166">
        <f>IF(VLOOKUP($B14,月間集計シート!$AI:$AN,4,FALSE)&lt;&gt;0,VLOOKUP($B14,月間集計シート!$AI:$AN,4,FALSE),"")</f>
        <v>0.79166666666666663</v>
      </c>
      <c r="I14" s="202">
        <f t="shared" si="0"/>
        <v>10</v>
      </c>
      <c r="J14" s="220">
        <f>IF(VLOOKUP($B14,月間集計シート!$AI:$AN,5,FALSE)&lt;&gt;0,VLOOKUP($B14,月間集計シート!$AI:$AN,5,FALSE)*24,"")</f>
        <v>1</v>
      </c>
      <c r="K14" s="201"/>
      <c r="L14" s="202">
        <f t="shared" si="3"/>
        <v>9</v>
      </c>
      <c r="M14" s="201"/>
      <c r="N14" s="234"/>
      <c r="O14" s="235"/>
      <c r="P14" s="235"/>
      <c r="Q14" s="236"/>
      <c r="R14" s="237"/>
      <c r="T14" s="285"/>
      <c r="U14" s="282"/>
    </row>
    <row r="15" ht="21" customHeight="1">
      <c r="B15" s="219">
        <f t="shared" si="1"/>
        <v>46210</v>
      </c>
      <c r="C15" s="168">
        <f t="shared" si="2"/>
        <v>3</v>
      </c>
      <c r="D15" s="167"/>
      <c r="E15" s="169" t="str">
        <f t="shared" si="4"/>
        <v/>
      </c>
      <c r="F15" s="203"/>
      <c r="G15" s="166">
        <f>IF(VLOOKUP($B15,月間集計シート!$AI:$AN,3,FALSE)&lt;&gt;0,VLOOKUP($B15,月間集計シート!$AI:$AN,3,FALSE),"")</f>
        <v>0.375</v>
      </c>
      <c r="H15" s="166">
        <f>IF(VLOOKUP($B15,月間集計シート!$AI:$AN,4,FALSE)&lt;&gt;0,VLOOKUP($B15,月間集計シート!$AI:$AN,4,FALSE),"")</f>
        <v>0.79166666666666663</v>
      </c>
      <c r="I15" s="202">
        <f t="shared" si="0"/>
        <v>10</v>
      </c>
      <c r="J15" s="220">
        <f>IF(VLOOKUP($B15,月間集計シート!$AI:$AN,5,FALSE)&lt;&gt;0,VLOOKUP($B15,月間集計シート!$AI:$AN,5,FALSE)*24,"")</f>
        <v>1</v>
      </c>
      <c r="K15" s="201"/>
      <c r="L15" s="202">
        <f t="shared" si="3"/>
        <v>9</v>
      </c>
      <c r="M15" s="201"/>
      <c r="N15" s="234"/>
      <c r="O15" s="235"/>
      <c r="P15" s="235"/>
      <c r="Q15" s="236"/>
      <c r="R15" s="237"/>
      <c r="T15" s="285"/>
      <c r="U15" s="284"/>
    </row>
    <row r="16" ht="21" customHeight="1">
      <c r="B16" s="219">
        <f t="shared" si="1"/>
        <v>46211</v>
      </c>
      <c r="C16" s="168">
        <f t="shared" si="2"/>
        <v>4</v>
      </c>
      <c r="D16" s="167"/>
      <c r="E16" s="169" t="str">
        <f t="shared" si="4"/>
        <v/>
      </c>
      <c r="F16" s="203"/>
      <c r="G16" s="166">
        <f>IF(VLOOKUP($B16,月間集計シート!$AI:$AN,3,FALSE)&lt;&gt;0,VLOOKUP($B16,月間集計シート!$AI:$AN,3,FALSE),"")</f>
        <v>0.375</v>
      </c>
      <c r="H16" s="166">
        <f>IF(VLOOKUP($B16,月間集計シート!$AI:$AN,4,FALSE)&lt;&gt;0,VLOOKUP($B16,月間集計シート!$AI:$AN,4,FALSE),"")</f>
        <v>0.79166666666666663</v>
      </c>
      <c r="I16" s="202">
        <f t="shared" si="0"/>
        <v>10</v>
      </c>
      <c r="J16" s="220">
        <f>IF(VLOOKUP($B16,月間集計シート!$AI:$AN,5,FALSE)&lt;&gt;0,VLOOKUP($B16,月間集計シート!$AI:$AN,5,FALSE)*24,"")</f>
        <v>1</v>
      </c>
      <c r="K16" s="201"/>
      <c r="L16" s="202">
        <f t="shared" si="3"/>
        <v>9</v>
      </c>
      <c r="M16" s="201"/>
      <c r="N16" s="234"/>
      <c r="O16" s="235"/>
      <c r="P16" s="235"/>
      <c r="Q16" s="236"/>
      <c r="R16" s="237"/>
      <c r="T16" s="285"/>
      <c r="U16" s="284"/>
    </row>
    <row r="17" ht="21" customHeight="1">
      <c r="B17" s="219">
        <f t="shared" si="1"/>
        <v>46212</v>
      </c>
      <c r="C17" s="168">
        <f t="shared" si="2"/>
        <v>5</v>
      </c>
      <c r="D17" s="167"/>
      <c r="E17" s="169" t="str">
        <f t="shared" si="4"/>
        <v/>
      </c>
      <c r="F17" s="203"/>
      <c r="G17" s="166">
        <f>IF(VLOOKUP($B17,月間集計シート!$AI:$AN,3,FALSE)&lt;&gt;0,VLOOKUP($B17,月間集計シート!$AI:$AN,3,FALSE),"")</f>
        <v>0.375</v>
      </c>
      <c r="H17" s="166">
        <f>IF(VLOOKUP($B17,月間集計シート!$AI:$AN,4,FALSE)&lt;&gt;0,VLOOKUP($B17,月間集計シート!$AI:$AN,4,FALSE),"")</f>
        <v>0.79166666666666663</v>
      </c>
      <c r="I17" s="202">
        <f t="shared" si="0"/>
        <v>10</v>
      </c>
      <c r="J17" s="220">
        <f>IF(VLOOKUP($B17,月間集計シート!$AI:$AN,5,FALSE)&lt;&gt;0,VLOOKUP($B17,月間集計シート!$AI:$AN,5,FALSE)*24,"")</f>
        <v>1</v>
      </c>
      <c r="K17" s="201"/>
      <c r="L17" s="202">
        <f t="shared" si="3"/>
        <v>9</v>
      </c>
      <c r="M17" s="201"/>
      <c r="N17" s="234"/>
      <c r="O17" s="235"/>
      <c r="P17" s="235"/>
      <c r="Q17" s="236"/>
      <c r="R17" s="237"/>
      <c r="T17" s="285"/>
      <c r="U17" s="284"/>
    </row>
    <row r="18" ht="21" customHeight="1">
      <c r="B18" s="219">
        <f t="shared" si="1"/>
        <v>46213</v>
      </c>
      <c r="C18" s="168">
        <f t="shared" si="2"/>
        <v>6</v>
      </c>
      <c r="D18" s="167"/>
      <c r="E18" s="169" t="str">
        <f t="shared" si="4"/>
        <v/>
      </c>
      <c r="F18" s="203"/>
      <c r="G18" s="166">
        <f>IF(VLOOKUP($B18,月間集計シート!$AI:$AN,3,FALSE)&lt;&gt;0,VLOOKUP($B18,月間集計シート!$AI:$AN,3,FALSE),"")</f>
        <v>0.375</v>
      </c>
      <c r="H18" s="166">
        <f>IF(VLOOKUP($B18,月間集計シート!$AI:$AN,4,FALSE)&lt;&gt;0,VLOOKUP($B18,月間集計シート!$AI:$AN,4,FALSE),"")</f>
        <v>0.79166666666666663</v>
      </c>
      <c r="I18" s="202">
        <f t="shared" si="0"/>
        <v>10</v>
      </c>
      <c r="J18" s="220">
        <f>IF(VLOOKUP($B18,月間集計シート!$AI:$AN,5,FALSE)&lt;&gt;0,VLOOKUP($B18,月間集計シート!$AI:$AN,5,FALSE)*24,"")</f>
        <v>1</v>
      </c>
      <c r="K18" s="201"/>
      <c r="L18" s="202">
        <f t="shared" si="3"/>
        <v>9</v>
      </c>
      <c r="M18" s="201"/>
      <c r="N18" s="234"/>
      <c r="O18" s="235"/>
      <c r="P18" s="235"/>
      <c r="Q18" s="236"/>
      <c r="R18" s="237"/>
      <c r="T18" s="285"/>
      <c r="U18" s="284"/>
    </row>
    <row r="19" ht="21" customHeight="1">
      <c r="B19" s="219">
        <f t="shared" si="1"/>
        <v>46214</v>
      </c>
      <c r="C19" s="168">
        <f t="shared" si="2"/>
        <v>7</v>
      </c>
      <c r="D19" s="167"/>
      <c r="E19" s="169" t="str">
        <f t="shared" si="4"/>
        <v>公休</v>
      </c>
      <c r="F19" s="203"/>
      <c r="G19" s="166" t="str">
        <f>IF(VLOOKUP($B19,月間集計シート!$AI:$AN,3,FALSE)&lt;&gt;0,VLOOKUP($B19,月間集計シート!$AI:$AN,3,FALSE),"")</f>
        <v/>
      </c>
      <c r="H19" s="166" t="str">
        <f>IF(VLOOKUP($B19,月間集計シート!$AI:$AN,4,FALSE)&lt;&gt;0,VLOOKUP($B19,月間集計シート!$AI:$AN,4,FALSE),"")</f>
        <v/>
      </c>
      <c r="I19" s="202" t="str">
        <f t="shared" ref="I19" si="5">IF(G19="","",IF(H19="","",IF(HOUR(G19)+MINUTE(G19)/60&lt;HOUR(H19)+MINUTE(H19)/60,(HOUR(H19)+MINUTE(H19)/60)-(HOUR(G19)+MINUTE(G19)/60),24-(HOUR(G19)+MINUTE(G19)/60)+(HOUR(H19)+MINUTE(H19)/60))))</f>
        <v/>
      </c>
      <c r="J19" s="220" t="str">
        <f>IF(VLOOKUP($B19,月間集計シート!$AI:$AN,5,FALSE)&lt;&gt;0,VLOOKUP($B19,月間集計シート!$AI:$AN,5,FALSE)*24,"")</f>
        <v/>
      </c>
      <c r="K19" s="201"/>
      <c r="L19" s="202" t="str">
        <f t="shared" ref="L19" si="6">IF(I19="","",IF(I19&gt;=J19,I19-J19,I19))</f>
        <v/>
      </c>
      <c r="M19" s="201"/>
      <c r="N19" s="234"/>
      <c r="O19" s="235"/>
      <c r="P19" s="235"/>
      <c r="Q19" s="236"/>
      <c r="R19" s="237"/>
      <c r="T19" s="285"/>
      <c r="U19" s="282"/>
    </row>
    <row r="20" ht="21" customHeight="1">
      <c r="B20" s="219">
        <f t="shared" si="1"/>
        <v>46215</v>
      </c>
      <c r="C20" s="168">
        <f t="shared" si="2"/>
        <v>1</v>
      </c>
      <c r="D20" s="167"/>
      <c r="E20" s="169" t="str">
        <f t="shared" si="4"/>
        <v>公休</v>
      </c>
      <c r="F20" s="203"/>
      <c r="G20" s="166" t="str">
        <f>IF(VLOOKUP($B20,月間集計シート!$AI:$AN,3,FALSE)&lt;&gt;0,VLOOKUP($B20,月間集計シート!$AI:$AN,3,FALSE),"")</f>
        <v/>
      </c>
      <c r="H20" s="166" t="str">
        <f>IF(VLOOKUP($B20,月間集計シート!$AI:$AN,4,FALSE)&lt;&gt;0,VLOOKUP($B20,月間集計シート!$AI:$AN,4,FALSE),"")</f>
        <v/>
      </c>
      <c r="I20" s="202" t="str">
        <f t="shared" si="0"/>
        <v/>
      </c>
      <c r="J20" s="220" t="str">
        <f>IF(VLOOKUP($B20,月間集計シート!$AI:$AN,5,FALSE)&lt;&gt;0,VLOOKUP($B20,月間集計シート!$AI:$AN,5,FALSE)*24,"")</f>
        <v/>
      </c>
      <c r="K20" s="201"/>
      <c r="L20" s="202" t="str">
        <f t="shared" si="3"/>
        <v/>
      </c>
      <c r="M20" s="201"/>
      <c r="N20" s="234"/>
      <c r="O20" s="235"/>
      <c r="P20" s="235"/>
      <c r="Q20" s="236"/>
      <c r="R20" s="237"/>
      <c r="T20" s="285"/>
      <c r="U20" s="284"/>
    </row>
    <row r="21" ht="21" customHeight="1">
      <c r="B21" s="219">
        <f t="shared" si="1"/>
        <v>46216</v>
      </c>
      <c r="C21" s="168">
        <f t="shared" si="2"/>
        <v>2</v>
      </c>
      <c r="D21" s="167"/>
      <c r="E21" s="169" t="str">
        <f t="shared" si="4"/>
        <v/>
      </c>
      <c r="F21" s="203"/>
      <c r="G21" s="166">
        <f>IF(VLOOKUP($B21,月間集計シート!$AI:$AN,3,FALSE)&lt;&gt;0,VLOOKUP($B21,月間集計シート!$AI:$AN,3,FALSE),"")</f>
        <v>0.375</v>
      </c>
      <c r="H21" s="166">
        <f>IF(VLOOKUP($B21,月間集計シート!$AI:$AN,4,FALSE)&lt;&gt;0,VLOOKUP($B21,月間集計シート!$AI:$AN,4,FALSE),"")</f>
        <v>0.79166666666666663</v>
      </c>
      <c r="I21" s="202">
        <f t="shared" si="0"/>
        <v>10</v>
      </c>
      <c r="J21" s="220">
        <f>IF(VLOOKUP($B21,月間集計シート!$AI:$AN,5,FALSE)&lt;&gt;0,VLOOKUP($B21,月間集計シート!$AI:$AN,5,FALSE)*24,"")</f>
        <v>1</v>
      </c>
      <c r="K21" s="201"/>
      <c r="L21" s="202">
        <f t="shared" si="3"/>
        <v>9</v>
      </c>
      <c r="M21" s="201"/>
      <c r="N21" s="234"/>
      <c r="O21" s="235"/>
      <c r="P21" s="235"/>
      <c r="Q21" s="236"/>
      <c r="R21" s="237"/>
      <c r="T21" s="285"/>
      <c r="U21" s="284"/>
    </row>
    <row r="22" ht="21" customHeight="1">
      <c r="B22" s="219">
        <f t="shared" si="1"/>
        <v>46217</v>
      </c>
      <c r="C22" s="168">
        <f t="shared" si="2"/>
        <v>3</v>
      </c>
      <c r="D22" s="167"/>
      <c r="E22" s="169" t="str">
        <f t="shared" si="4"/>
        <v/>
      </c>
      <c r="F22" s="203"/>
      <c r="G22" s="166">
        <f>IF(VLOOKUP($B22,月間集計シート!$AI:$AN,3,FALSE)&lt;&gt;0,VLOOKUP($B22,月間集計シート!$AI:$AN,3,FALSE),"")</f>
        <v>0.375</v>
      </c>
      <c r="H22" s="166">
        <f>IF(VLOOKUP($B22,月間集計シート!$AI:$AN,4,FALSE)&lt;&gt;0,VLOOKUP($B22,月間集計シート!$AI:$AN,4,FALSE),"")</f>
        <v>0.79166666666666663</v>
      </c>
      <c r="I22" s="202">
        <f t="shared" si="0"/>
        <v>10</v>
      </c>
      <c r="J22" s="220">
        <f>IF(VLOOKUP($B22,月間集計シート!$AI:$AN,5,FALSE)&lt;&gt;0,VLOOKUP($B22,月間集計シート!$AI:$AN,5,FALSE)*24,"")</f>
        <v>1</v>
      </c>
      <c r="K22" s="201"/>
      <c r="L22" s="202">
        <f t="shared" si="3"/>
        <v>9</v>
      </c>
      <c r="M22" s="201"/>
      <c r="N22" s="234"/>
      <c r="O22" s="235"/>
      <c r="P22" s="235"/>
      <c r="Q22" s="236"/>
      <c r="R22" s="237"/>
      <c r="T22" s="285"/>
      <c r="U22" s="284"/>
    </row>
    <row r="23" ht="21" customHeight="1">
      <c r="B23" s="219">
        <f t="shared" si="1"/>
        <v>46218</v>
      </c>
      <c r="C23" s="168">
        <f t="shared" si="2"/>
        <v>4</v>
      </c>
      <c r="D23" s="167"/>
      <c r="E23" s="169" t="str">
        <f t="shared" si="4"/>
        <v/>
      </c>
      <c r="F23" s="203"/>
      <c r="G23" s="166">
        <f>IF(VLOOKUP($B23,月間集計シート!$AI:$AN,3,FALSE)&lt;&gt;0,VLOOKUP($B23,月間集計シート!$AI:$AN,3,FALSE),"")</f>
        <v>0.375</v>
      </c>
      <c r="H23" s="166">
        <f>IF(VLOOKUP($B23,月間集計シート!$AI:$AN,4,FALSE)&lt;&gt;0,VLOOKUP($B23,月間集計シート!$AI:$AN,4,FALSE),"")</f>
        <v>0.79166666666666663</v>
      </c>
      <c r="I23" s="202">
        <f t="shared" si="0"/>
        <v>10</v>
      </c>
      <c r="J23" s="220">
        <f>IF(VLOOKUP($B23,月間集計シート!$AI:$AN,5,FALSE)&lt;&gt;0,VLOOKUP($B23,月間集計シート!$AI:$AN,5,FALSE)*24,"")</f>
        <v>1</v>
      </c>
      <c r="K23" s="201"/>
      <c r="L23" s="202">
        <f t="shared" si="3"/>
        <v>9</v>
      </c>
      <c r="M23" s="201"/>
      <c r="N23" s="234"/>
      <c r="O23" s="235"/>
      <c r="P23" s="235"/>
      <c r="Q23" s="236"/>
      <c r="R23" s="237"/>
      <c r="T23" s="285"/>
      <c r="U23" s="284"/>
    </row>
    <row r="24" ht="21" customHeight="1">
      <c r="B24" s="219">
        <f t="shared" si="1"/>
        <v>46219</v>
      </c>
      <c r="C24" s="168">
        <f t="shared" si="2"/>
        <v>5</v>
      </c>
      <c r="D24" s="167"/>
      <c r="E24" s="169" t="str">
        <f t="shared" si="4"/>
        <v/>
      </c>
      <c r="F24" s="203"/>
      <c r="G24" s="166">
        <f>IF(VLOOKUP($B24,月間集計シート!$AI:$AN,3,FALSE)&lt;&gt;0,VLOOKUP($B24,月間集計シート!$AI:$AN,3,FALSE),"")</f>
        <v>0.375</v>
      </c>
      <c r="H24" s="166">
        <f>IF(VLOOKUP($B24,月間集計シート!$AI:$AN,4,FALSE)&lt;&gt;0,VLOOKUP($B24,月間集計シート!$AI:$AN,4,FALSE),"")</f>
        <v>0.79166666666666663</v>
      </c>
      <c r="I24" s="202">
        <f t="shared" si="0"/>
        <v>10</v>
      </c>
      <c r="J24" s="220">
        <f>IF(VLOOKUP($B24,月間集計シート!$AI:$AN,5,FALSE)&lt;&gt;0,VLOOKUP($B24,月間集計シート!$AI:$AN,5,FALSE)*24,"")</f>
        <v>1</v>
      </c>
      <c r="K24" s="201"/>
      <c r="L24" s="202">
        <f t="shared" si="3"/>
        <v>9</v>
      </c>
      <c r="M24" s="201"/>
      <c r="N24" s="234"/>
      <c r="O24" s="235"/>
      <c r="P24" s="235"/>
      <c r="Q24" s="236"/>
      <c r="R24" s="237"/>
      <c r="T24" s="285"/>
      <c r="U24" s="284"/>
    </row>
    <row r="25" ht="21" customHeight="1">
      <c r="B25" s="219">
        <f t="shared" si="1"/>
        <v>46220</v>
      </c>
      <c r="C25" s="168">
        <f t="shared" si="2"/>
        <v>6</v>
      </c>
      <c r="D25" s="167"/>
      <c r="E25" s="169" t="str">
        <f t="shared" si="4"/>
        <v/>
      </c>
      <c r="F25" s="203"/>
      <c r="G25" s="166">
        <f>IF(VLOOKUP($B25,月間集計シート!$AI:$AN,3,FALSE)&lt;&gt;0,VLOOKUP($B25,月間集計シート!$AI:$AN,3,FALSE),"")</f>
        <v>0.375</v>
      </c>
      <c r="H25" s="166">
        <f>IF(VLOOKUP($B25,月間集計シート!$AI:$AN,4,FALSE)&lt;&gt;0,VLOOKUP($B25,月間集計シート!$AI:$AN,4,FALSE),"")</f>
        <v>0.79166666666666663</v>
      </c>
      <c r="I25" s="202">
        <f t="shared" si="0"/>
        <v>10</v>
      </c>
      <c r="J25" s="220">
        <f>IF(VLOOKUP($B25,月間集計シート!$AI:$AN,5,FALSE)&lt;&gt;0,VLOOKUP($B25,月間集計シート!$AI:$AN,5,FALSE)*24,"")</f>
        <v>1</v>
      </c>
      <c r="K25" s="201"/>
      <c r="L25" s="202">
        <f t="shared" si="3"/>
        <v>9</v>
      </c>
      <c r="M25" s="201"/>
      <c r="N25" s="234"/>
      <c r="O25" s="235"/>
      <c r="P25" s="235"/>
      <c r="Q25" s="236"/>
      <c r="R25" s="237"/>
      <c r="T25" s="285"/>
      <c r="U25" s="284"/>
    </row>
    <row r="26" ht="21" customHeight="1">
      <c r="B26" s="219">
        <f t="shared" si="1"/>
        <v>46221</v>
      </c>
      <c r="C26" s="168">
        <f t="shared" si="2"/>
        <v>7</v>
      </c>
      <c r="D26" s="167"/>
      <c r="E26" s="169" t="str">
        <f t="shared" si="4"/>
        <v>公休</v>
      </c>
      <c r="F26" s="203"/>
      <c r="G26" s="166" t="str">
        <f>IF(VLOOKUP($B26,月間集計シート!$AI:$AN,3,FALSE)&lt;&gt;0,VLOOKUP($B26,月間集計シート!$AI:$AN,3,FALSE),"")</f>
        <v/>
      </c>
      <c r="H26" s="166" t="str">
        <f>IF(VLOOKUP($B26,月間集計シート!$AI:$AN,4,FALSE)&lt;&gt;0,VLOOKUP($B26,月間集計シート!$AI:$AN,4,FALSE),"")</f>
        <v/>
      </c>
      <c r="I26" s="202" t="str">
        <f t="shared" si="0"/>
        <v/>
      </c>
      <c r="J26" s="220" t="str">
        <f>IF(VLOOKUP($B26,月間集計シート!$AI:$AN,5,FALSE)&lt;&gt;0,VLOOKUP($B26,月間集計シート!$AI:$AN,5,FALSE)*24,"")</f>
        <v/>
      </c>
      <c r="K26" s="201"/>
      <c r="L26" s="202" t="str">
        <f t="shared" si="3"/>
        <v/>
      </c>
      <c r="M26" s="201"/>
      <c r="N26" s="234"/>
      <c r="O26" s="235"/>
      <c r="P26" s="235"/>
      <c r="Q26" s="236"/>
      <c r="R26" s="237"/>
      <c r="T26" s="285"/>
      <c r="U26" s="284"/>
    </row>
    <row r="27" ht="21" customHeight="1">
      <c r="B27" s="219">
        <f t="shared" si="1"/>
        <v>46222</v>
      </c>
      <c r="C27" s="168">
        <f t="shared" si="2"/>
        <v>1</v>
      </c>
      <c r="D27" s="167"/>
      <c r="E27" s="169" t="str">
        <f t="shared" si="4"/>
        <v>公休</v>
      </c>
      <c r="F27" s="203"/>
      <c r="G27" s="166" t="str">
        <f>IF(VLOOKUP($B27,月間集計シート!$AI:$AN,3,FALSE)&lt;&gt;0,VLOOKUP($B27,月間集計シート!$AI:$AN,3,FALSE),"")</f>
        <v/>
      </c>
      <c r="H27" s="166" t="str">
        <f>IF(VLOOKUP($B27,月間集計シート!$AI:$AN,4,FALSE)&lt;&gt;0,VLOOKUP($B27,月間集計シート!$AI:$AN,4,FALSE),"")</f>
        <v/>
      </c>
      <c r="I27" s="202" t="str">
        <f t="shared" si="0"/>
        <v/>
      </c>
      <c r="J27" s="220" t="str">
        <f>IF(VLOOKUP($B27,月間集計シート!$AI:$AN,5,FALSE)&lt;&gt;0,VLOOKUP($B27,月間集計シート!$AI:$AN,5,FALSE)*24,"")</f>
        <v/>
      </c>
      <c r="K27" s="201"/>
      <c r="L27" s="202" t="str">
        <f t="shared" si="3"/>
        <v/>
      </c>
      <c r="M27" s="201"/>
      <c r="N27" s="234"/>
      <c r="O27" s="235"/>
      <c r="P27" s="235"/>
      <c r="Q27" s="236"/>
      <c r="R27" s="237"/>
      <c r="T27" s="285"/>
      <c r="U27" s="284"/>
    </row>
    <row r="28" ht="21" customHeight="1">
      <c r="B28" s="219">
        <f t="shared" si="1"/>
        <v>46223</v>
      </c>
      <c r="C28" s="168">
        <f t="shared" si="2"/>
        <v>2</v>
      </c>
      <c r="D28" s="167"/>
      <c r="E28" s="169" t="str">
        <f t="shared" si="4"/>
        <v>公休</v>
      </c>
      <c r="F28" s="203"/>
      <c r="G28" s="166">
        <f>IF(VLOOKUP($B28,月間集計シート!$AI:$AN,3,FALSE)&lt;&gt;0,VLOOKUP($B28,月間集計シート!$AI:$AN,3,FALSE),"")</f>
        <v>0.375</v>
      </c>
      <c r="H28" s="166">
        <f>IF(VLOOKUP($B28,月間集計シート!$AI:$AN,4,FALSE)&lt;&gt;0,VLOOKUP($B28,月間集計シート!$AI:$AN,4,FALSE),"")</f>
        <v>0.79166666666666663</v>
      </c>
      <c r="I28" s="202">
        <f t="shared" si="0"/>
        <v>10</v>
      </c>
      <c r="J28" s="220">
        <f>IF(VLOOKUP($B28,月間集計シート!$AI:$AN,5,FALSE)&lt;&gt;0,VLOOKUP($B28,月間集計シート!$AI:$AN,5,FALSE)*24,"")</f>
        <v>1</v>
      </c>
      <c r="K28" s="201"/>
      <c r="L28" s="202">
        <f t="shared" si="3"/>
        <v>9</v>
      </c>
      <c r="M28" s="201"/>
      <c r="N28" s="234"/>
      <c r="O28" s="235"/>
      <c r="P28" s="235"/>
      <c r="Q28" s="236"/>
      <c r="R28" s="237"/>
      <c r="T28" s="285"/>
      <c r="U28" s="282" t="inlineStr">
        <is>
          <t xml:space="preserve">公休</t>
        </is>
      </c>
    </row>
    <row r="29" ht="21" customHeight="1">
      <c r="B29" s="219">
        <f t="shared" si="1"/>
        <v>46224</v>
      </c>
      <c r="C29" s="168">
        <f t="shared" si="2"/>
        <v>3</v>
      </c>
      <c r="D29" s="167"/>
      <c r="E29" s="169" t="str">
        <f>IF(U29&lt;&gt;"",U29,IF(C29=1,"公休",IF(C29=7,"公休","")))</f>
        <v/>
      </c>
      <c r="F29" s="203"/>
      <c r="G29" s="166">
        <f>IF(VLOOKUP($B29,月間集計シート!$AI:$AN,3,FALSE)&lt;&gt;0,VLOOKUP($B29,月間集計シート!$AI:$AN,3,FALSE),"")</f>
        <v>0.375</v>
      </c>
      <c r="H29" s="166">
        <f>IF(VLOOKUP($B29,月間集計シート!$AI:$AN,4,FALSE)&lt;&gt;0,VLOOKUP($B29,月間集計シート!$AI:$AN,4,FALSE),"")</f>
        <v>0.79166666666666663</v>
      </c>
      <c r="I29" s="202">
        <f t="shared" si="0"/>
        <v>10</v>
      </c>
      <c r="J29" s="220">
        <f>IF(VLOOKUP($B29,月間集計シート!$AI:$AN,5,FALSE)&lt;&gt;0,VLOOKUP($B29,月間集計シート!$AI:$AN,5,FALSE)*24,"")</f>
        <v>1</v>
      </c>
      <c r="K29" s="201"/>
      <c r="L29" s="202">
        <f t="shared" si="3"/>
        <v>9</v>
      </c>
      <c r="M29" s="201"/>
      <c r="N29" s="234"/>
      <c r="O29" s="235"/>
      <c r="P29" s="235"/>
      <c r="Q29" s="236"/>
      <c r="R29" s="237"/>
      <c r="T29" s="285"/>
      <c r="U29" s="284"/>
    </row>
    <row r="30" ht="21" customHeight="1">
      <c r="B30" s="219">
        <f t="shared" si="1"/>
        <v>46225</v>
      </c>
      <c r="C30" s="168">
        <f t="shared" si="2"/>
        <v>4</v>
      </c>
      <c r="D30" s="167"/>
      <c r="E30" s="169" t="str">
        <f t="shared" si="4"/>
        <v/>
      </c>
      <c r="F30" s="203"/>
      <c r="G30" s="166">
        <f>IF(VLOOKUP($B30,月間集計シート!$AI:$AN,3,FALSE)&lt;&gt;0,VLOOKUP($B30,月間集計シート!$AI:$AN,3,FALSE),"")</f>
        <v>0.375</v>
      </c>
      <c r="H30" s="166">
        <f>IF(VLOOKUP($B30,月間集計シート!$AI:$AN,4,FALSE)&lt;&gt;0,VLOOKUP($B30,月間集計シート!$AI:$AN,4,FALSE),"")</f>
        <v>0.79166666666666663</v>
      </c>
      <c r="I30" s="202">
        <f t="shared" si="0"/>
        <v>10</v>
      </c>
      <c r="J30" s="220">
        <f>IF(VLOOKUP($B30,月間集計シート!$AI:$AN,5,FALSE)&lt;&gt;0,VLOOKUP($B30,月間集計シート!$AI:$AN,5,FALSE)*24,"")</f>
        <v>1</v>
      </c>
      <c r="K30" s="201"/>
      <c r="L30" s="202">
        <f t="shared" si="3"/>
        <v>9</v>
      </c>
      <c r="M30" s="201"/>
      <c r="N30" s="234"/>
      <c r="O30" s="235"/>
      <c r="P30" s="235"/>
      <c r="Q30" s="236"/>
      <c r="R30" s="237"/>
      <c r="T30" s="285"/>
      <c r="U30" s="284"/>
    </row>
    <row r="31" ht="21" customHeight="1">
      <c r="B31" s="219">
        <f t="shared" si="1"/>
        <v>46226</v>
      </c>
      <c r="C31" s="168">
        <f t="shared" si="2"/>
        <v>5</v>
      </c>
      <c r="D31" s="167"/>
      <c r="E31" s="169" t="str">
        <f t="shared" si="4"/>
        <v/>
      </c>
      <c r="F31" s="203"/>
      <c r="G31" s="166">
        <f>IF(VLOOKUP($B31,月間集計シート!$AI:$AN,3,FALSE)&lt;&gt;0,VLOOKUP($B31,月間集計シート!$AI:$AN,3,FALSE),"")</f>
        <v>0.375</v>
      </c>
      <c r="H31" s="166">
        <f>IF(VLOOKUP($B31,月間集計シート!$AI:$AN,4,FALSE)&lt;&gt;0,VLOOKUP($B31,月間集計シート!$AI:$AN,4,FALSE),"")</f>
        <v>0.79166666666666663</v>
      </c>
      <c r="I31" s="202">
        <f t="shared" si="0"/>
        <v>10</v>
      </c>
      <c r="J31" s="220">
        <f>IF(VLOOKUP($B31,月間集計シート!$AI:$AN,5,FALSE)&lt;&gt;0,VLOOKUP($B31,月間集計シート!$AI:$AN,5,FALSE)*24,"")</f>
        <v>1</v>
      </c>
      <c r="K31" s="201"/>
      <c r="L31" s="202">
        <f t="shared" si="3"/>
        <v>9</v>
      </c>
      <c r="M31" s="201"/>
      <c r="N31" s="234"/>
      <c r="O31" s="235"/>
      <c r="P31" s="235"/>
      <c r="Q31" s="236"/>
      <c r="R31" s="237"/>
      <c r="T31" s="285"/>
      <c r="U31" s="282"/>
    </row>
    <row r="32" ht="21" customHeight="1">
      <c r="B32" s="219">
        <f t="shared" si="1"/>
        <v>46227</v>
      </c>
      <c r="C32" s="168">
        <f t="shared" si="2"/>
        <v>6</v>
      </c>
      <c r="D32" s="167"/>
      <c r="E32" s="169" t="str">
        <f t="shared" si="4"/>
        <v/>
      </c>
      <c r="F32" s="203"/>
      <c r="G32" s="166">
        <f>IF(VLOOKUP($B32,月間集計シート!$AI:$AN,3,FALSE)&lt;&gt;0,VLOOKUP($B32,月間集計シート!$AI:$AN,3,FALSE),"")</f>
        <v>0.375</v>
      </c>
      <c r="H32" s="166">
        <f>IF(VLOOKUP($B32,月間集計シート!$AI:$AN,4,FALSE)&lt;&gt;0,VLOOKUP($B32,月間集計シート!$AI:$AN,4,FALSE),"")</f>
        <v>0.79166666666666663</v>
      </c>
      <c r="I32" s="202">
        <f t="shared" ref="I32" si="7">IF(G32="","",IF(H32="","",IF(HOUR(G32)+MINUTE(G32)/60&lt;HOUR(H32)+MINUTE(H32)/60,(HOUR(H32)+MINUTE(H32)/60)-(HOUR(G32)+MINUTE(G32)/60),24-(HOUR(G32)+MINUTE(G32)/60)+(HOUR(H32)+MINUTE(H32)/60))))</f>
        <v>10</v>
      </c>
      <c r="J32" s="220">
        <f>IF(VLOOKUP($B32,月間集計シート!$AI:$AN,5,FALSE)&lt;&gt;0,VLOOKUP($B32,月間集計シート!$AI:$AN,5,FALSE)*24,"")</f>
        <v>1</v>
      </c>
      <c r="K32" s="201"/>
      <c r="L32" s="202">
        <f t="shared" ref="L32" si="8">IF(I32="","",IF(I32&gt;=J32,I32-J32,I32))</f>
        <v>9</v>
      </c>
      <c r="M32" s="201"/>
      <c r="N32" s="234"/>
      <c r="O32" s="235"/>
      <c r="P32" s="235"/>
      <c r="Q32" s="236"/>
      <c r="R32" s="237"/>
      <c r="T32" s="285"/>
      <c r="U32" s="284"/>
    </row>
    <row r="33" ht="21" customHeight="1">
      <c r="B33" s="219">
        <f t="shared" si="1"/>
        <v>46228</v>
      </c>
      <c r="C33" s="168">
        <f t="shared" si="2"/>
        <v>7</v>
      </c>
      <c r="D33" s="167"/>
      <c r="E33" s="169" t="str">
        <f t="shared" si="4"/>
        <v>公休</v>
      </c>
      <c r="F33" s="203"/>
      <c r="G33" s="166" t="str">
        <f>IF(VLOOKUP($B33,月間集計シート!$AI:$AN,3,FALSE)&lt;&gt;0,VLOOKUP($B33,月間集計シート!$AI:$AN,3,FALSE),"")</f>
        <v/>
      </c>
      <c r="H33" s="166" t="str">
        <f>IF(VLOOKUP($B33,月間集計シート!$AI:$AN,4,FALSE)&lt;&gt;0,VLOOKUP($B33,月間集計シート!$AI:$AN,4,FALSE),"")</f>
        <v/>
      </c>
      <c r="I33" s="202" t="str">
        <f t="shared" si="0"/>
        <v/>
      </c>
      <c r="J33" s="220" t="str">
        <f>IF(VLOOKUP($B33,月間集計シート!$AI:$AN,5,FALSE)&lt;&gt;0,VLOOKUP($B33,月間集計シート!$AI:$AN,5,FALSE)*24,"")</f>
        <v/>
      </c>
      <c r="K33" s="201"/>
      <c r="L33" s="202" t="str">
        <f t="shared" si="3"/>
        <v/>
      </c>
      <c r="M33" s="201"/>
      <c r="N33" s="234"/>
      <c r="O33" s="235"/>
      <c r="P33" s="235"/>
      <c r="Q33" s="236"/>
      <c r="R33" s="237"/>
      <c r="T33" s="285"/>
      <c r="U33" s="284"/>
    </row>
    <row r="34" ht="21" customHeight="1">
      <c r="B34" s="219">
        <f t="shared" si="1"/>
        <v>46229</v>
      </c>
      <c r="C34" s="168">
        <f t="shared" si="2"/>
        <v>1</v>
      </c>
      <c r="D34" s="167"/>
      <c r="E34" s="169" t="str">
        <f t="shared" si="4"/>
        <v>公休</v>
      </c>
      <c r="F34" s="203"/>
      <c r="G34" s="166" t="str">
        <f>IF(VLOOKUP($B34,月間集計シート!$AI:$AN,3,FALSE)&lt;&gt;0,VLOOKUP($B34,月間集計シート!$AI:$AN,3,FALSE),"")</f>
        <v/>
      </c>
      <c r="H34" s="166" t="str">
        <f>IF(VLOOKUP($B34,月間集計シート!$AI:$AN,4,FALSE)&lt;&gt;0,VLOOKUP($B34,月間集計シート!$AI:$AN,4,FALSE),"")</f>
        <v/>
      </c>
      <c r="I34" s="202" t="str">
        <f t="shared" si="0"/>
        <v/>
      </c>
      <c r="J34" s="220" t="str">
        <f>IF(VLOOKUP($B34,月間集計シート!$AI:$AN,5,FALSE)&lt;&gt;0,VLOOKUP($B34,月間集計シート!$AI:$AN,5,FALSE)*24,"")</f>
        <v/>
      </c>
      <c r="K34" s="201"/>
      <c r="L34" s="202" t="str">
        <f t="shared" si="3"/>
        <v/>
      </c>
      <c r="M34" s="201"/>
      <c r="N34" s="234"/>
      <c r="O34" s="235"/>
      <c r="P34" s="235"/>
      <c r="Q34" s="236"/>
      <c r="R34" s="237"/>
      <c r="T34" s="285"/>
      <c r="U34" s="284"/>
    </row>
    <row r="35" ht="21" customHeight="1">
      <c r="B35" s="219">
        <f t="shared" si="1"/>
        <v>46230</v>
      </c>
      <c r="C35" s="168">
        <f t="shared" si="2"/>
        <v>2</v>
      </c>
      <c r="D35" s="167"/>
      <c r="E35" s="169" t="str">
        <f t="shared" si="4"/>
        <v/>
      </c>
      <c r="F35" s="203"/>
      <c r="G35" s="166">
        <f>IF(VLOOKUP($B35,月間集計シート!$AI:$AN,3,FALSE)&lt;&gt;0,VLOOKUP($B35,月間集計シート!$AI:$AN,3,FALSE),"")</f>
        <v>0.375</v>
      </c>
      <c r="H35" s="166">
        <f>IF(VLOOKUP($B35,月間集計シート!$AI:$AN,4,FALSE)&lt;&gt;0,VLOOKUP($B35,月間集計シート!$AI:$AN,4,FALSE),"")</f>
        <v>0.79166666666666663</v>
      </c>
      <c r="I35" s="202">
        <f t="shared" si="0"/>
        <v>10</v>
      </c>
      <c r="J35" s="220">
        <f>IF(VLOOKUP($B35,月間集計シート!$AI:$AN,5,FALSE)&lt;&gt;0,VLOOKUP($B35,月間集計シート!$AI:$AN,5,FALSE)*24,"")</f>
        <v>1</v>
      </c>
      <c r="K35" s="201"/>
      <c r="L35" s="202">
        <f t="shared" si="3"/>
        <v>9</v>
      </c>
      <c r="M35" s="201"/>
      <c r="N35" s="234"/>
      <c r="O35" s="235"/>
      <c r="P35" s="235"/>
      <c r="Q35" s="236"/>
      <c r="R35" s="237"/>
      <c r="T35" s="285"/>
      <c r="U35" s="284"/>
    </row>
    <row r="36" ht="21" customHeight="1">
      <c r="B36" s="219">
        <f t="shared" si="1"/>
        <v>46231</v>
      </c>
      <c r="C36" s="168">
        <f t="shared" si="2"/>
        <v>3</v>
      </c>
      <c r="D36" s="167"/>
      <c r="E36" s="169" t="str">
        <f t="shared" si="4"/>
        <v/>
      </c>
      <c r="F36" s="203"/>
      <c r="G36" s="166">
        <f>IF(VLOOKUP($B36,月間集計シート!$AI:$AN,3,FALSE)&lt;&gt;0,VLOOKUP($B36,月間集計シート!$AI:$AN,3,FALSE),"")</f>
        <v>0.375</v>
      </c>
      <c r="H36" s="166">
        <f>IF(VLOOKUP($B36,月間集計シート!$AI:$AN,4,FALSE)&lt;&gt;0,VLOOKUP($B36,月間集計シート!$AI:$AN,4,FALSE),"")</f>
        <v>0.79166666666666663</v>
      </c>
      <c r="I36" s="202">
        <f t="shared" si="0"/>
        <v>10</v>
      </c>
      <c r="J36" s="220">
        <f>IF(VLOOKUP($B36,月間集計シート!$AI:$AN,5,FALSE)&lt;&gt;0,VLOOKUP($B36,月間集計シート!$AI:$AN,5,FALSE)*24,"")</f>
        <v>1</v>
      </c>
      <c r="K36" s="201"/>
      <c r="L36" s="202">
        <f t="shared" si="3"/>
        <v>9</v>
      </c>
      <c r="M36" s="201"/>
      <c r="N36" s="234"/>
      <c r="O36" s="235"/>
      <c r="P36" s="235"/>
      <c r="Q36" s="236"/>
      <c r="R36" s="237"/>
      <c r="T36" s="285"/>
      <c r="U36" s="284"/>
    </row>
    <row r="37" ht="21" customHeight="1">
      <c r="B37" s="219">
        <f>IF(MONTH(B36+1)=I1,B36+1,"")</f>
        <v>46232</v>
      </c>
      <c r="C37" s="168">
        <f t="shared" si="2"/>
        <v>4</v>
      </c>
      <c r="D37" s="167"/>
      <c r="E37" s="169" t="str">
        <f t="shared" si="4"/>
        <v/>
      </c>
      <c r="F37" s="203"/>
      <c r="G37" s="166" t="str">
        <f>IF(ISNA(VLOOKUP($B37,月間集計シート!$AI:$AN,3,FALSE)),"",IF(VLOOKUP($B37,月間集計シート!$AI:$AN,3,FALSE)&lt;&gt;0,VLOOKUP($B37,月間集計シート!$AI:$AN,3,FALSE),""))</f>
        <v/>
      </c>
      <c r="H37" s="166" t="str">
        <f>IF(ISNA(VLOOKUP($B37,月間集計シート!$AI:$AN,4,FALSE)),"",IF(VLOOKUP($B37,月間集計シート!$AI:$AN,4,FALSE)&lt;&gt;0,VLOOKUP($B37,月間集計シート!$AI:$AN,4,FALSE),""))</f>
        <v/>
      </c>
      <c r="I37" s="202" t="str">
        <f t="shared" si="0"/>
        <v/>
      </c>
      <c r="J37" s="220" t="str">
        <f>IF(VLOOKUP($B37,月間集計シート!$AI:$AN,5,FALSE)&lt;&gt;0,VLOOKUP($B37,月間集計シート!$AI:$AN,5,FALSE)*24,"")</f>
        <v/>
      </c>
      <c r="K37" s="201"/>
      <c r="L37" s="202" t="str">
        <f t="shared" si="3"/>
        <v/>
      </c>
      <c r="M37" s="201"/>
      <c r="N37" s="234"/>
      <c r="O37" s="235"/>
      <c r="P37" s="235"/>
      <c r="Q37" s="236"/>
      <c r="R37" s="237"/>
      <c r="T37" s="285"/>
      <c r="U37" s="282"/>
    </row>
    <row r="38" ht="21" customHeight="1">
      <c r="B38" s="219">
        <f>IF(MONTH(B36+2)=I1,B37+1,"")</f>
        <v>46233</v>
      </c>
      <c r="C38" s="168">
        <f t="shared" si="2"/>
        <v>5</v>
      </c>
      <c r="D38" s="167"/>
      <c r="E38" s="169" t="str">
        <f>IF(U38&lt;&gt;"",U38,IF(C38=1,"公休",IF(C38=7,"公休","")))</f>
        <v/>
      </c>
      <c r="F38" s="203"/>
      <c r="G38" s="166" t="str">
        <f>IF(ISNA(VLOOKUP($B38,月間集計シート!$AI:$AN,3,FALSE)),"",IF(VLOOKUP($B38,月間集計シート!$AI:$AN,3,FALSE)&lt;&gt;0,VLOOKUP($B38,月間集計シート!$AI:$AN,3,FALSE),""))</f>
        <v/>
      </c>
      <c r="H38" s="166" t="str">
        <f>IF(ISNA(VLOOKUP($B38,月間集計シート!$AI:$AN,4,FALSE)),"",IF(VLOOKUP($B38,月間集計シート!$AI:$AN,4,FALSE)&lt;&gt;0,VLOOKUP($B38,月間集計シート!$AI:$AN,4,FALSE),""))</f>
        <v/>
      </c>
      <c r="I38" s="202" t="str">
        <f t="shared" ref="I38:I39" si="9">IF(G38="","",IF(H38="","",IF(HOUR(G38)+MINUTE(G38)/60&lt;HOUR(H38)+MINUTE(H38)/60,(HOUR(H38)+MINUTE(H38)/60)-(HOUR(G38)+MINUTE(G38)/60),24-(HOUR(G38)+MINUTE(G38)/60)+(HOUR(H38)+MINUTE(H38)/60))))</f>
        <v/>
      </c>
      <c r="J38" s="220" t="str">
        <f>IF(VLOOKUP($B38,月間集計シート!$AI:$AN,5,FALSE)&lt;&gt;0,VLOOKUP($B38,月間集計シート!$AI:$AN,5,FALSE)*24,"")</f>
        <v/>
      </c>
      <c r="K38" s="201"/>
      <c r="L38" s="202" t="str">
        <f t="shared" ref="L38:L39" si="10">IF(I38="","",IF(I38&gt;=J38,I38-J38,I38))</f>
        <v/>
      </c>
      <c r="M38" s="201"/>
      <c r="N38" s="234"/>
      <c r="O38" s="235"/>
      <c r="P38" s="235"/>
      <c r="Q38" s="236"/>
      <c r="R38" s="237"/>
      <c r="T38" s="285"/>
      <c r="U38" s="284"/>
    </row>
    <row r="39" ht="21" customHeight="1">
      <c r="B39" s="219"/>
      <c r="C39" s="168"/>
      <c r="D39" s="167"/>
      <c r="E39" s="169"/>
      <c r="F39" s="203"/>
      <c r="G39" s="166" t="str">
        <f>IF(ISNA(VLOOKUP($B39,月間集計シート!$AI:$AN,3,FALSE)),"",IF(VLOOKUP($B39,月間集計シート!$AI:$AN,3,FALSE)&lt;&gt;0,VLOOKUP($B39,月間集計シート!$AI:$AN,3,FALSE),""))</f>
        <v/>
      </c>
      <c r="H39" s="166" t="str">
        <f>IF(ISNA(VLOOKUP($B39,月間集計シート!$AI:$AN,4,FALSE)),"",IF(VLOOKUP($B39,月間集計シート!$AI:$AN,4,FALSE)&lt;&gt;0,VLOOKUP($B39,月間集計シート!$AI:$AN,4,FALSE),""))</f>
        <v/>
      </c>
      <c r="I39" s="202" t="str">
        <f t="shared" si="9"/>
        <v/>
      </c>
      <c r="J39" s="220" t="e">
        <f>IF(VLOOKUP($B39,月間集計シート!$AI:$AN,5,FALSE)&lt;&gt;0,VLOOKUP($B39,月間集計シート!$AI:$AN,5,FALSE)*24,"")</f>
        <v>#N/A</v>
      </c>
      <c r="K39" s="201"/>
      <c r="L39" s="202" t="str">
        <f t="shared" si="10"/>
        <v/>
      </c>
      <c r="M39" s="201"/>
      <c r="N39" s="234"/>
      <c r="O39" s="235"/>
      <c r="P39" s="235"/>
      <c r="Q39" s="236"/>
      <c r="R39" s="237"/>
      <c r="T39" s="285"/>
      <c r="U39" s="284"/>
    </row>
    <row r="40" spans="2:21" ht="22.35" customHeight="1">
      <c r="B40" s="165" t="s">
        <v>80</v>
      </c>
      <c r="C40" s="164"/>
      <c r="D40" s="164"/>
      <c r="E40" s="163"/>
      <c r="F40" s="162"/>
      <c r="G40" s="199"/>
      <c r="H40" s="199"/>
      <c r="I40" s="199"/>
      <c r="J40" s="200"/>
      <c r="K40" s="199"/>
      <c r="L40" s="161"/>
      <c r="M40" s="198" t="s">
        <v>81</v>
      </c>
      <c r="N40" s="197"/>
      <c r="O40" s="196"/>
      <c r="P40" s="196"/>
      <c r="Q40" s="196"/>
      <c r="R40" s="195"/>
      <c r="T40" s="286">
        <f>月間集計シート!AN46*24</f>
        <v>198</v>
      </c>
      <c r="U40" s="285"/>
    </row>
    <row r="41" spans="2:21" ht="25.35" customHeight="1" thickBot="1">
      <c r="B41" s="160"/>
      <c r="C41" s="159"/>
      <c r="D41" s="158"/>
      <c r="E41" s="194" t="s">
        <v>82</v>
      </c>
      <c r="F41" s="193">
        <f>31-COUNTIF(E9:E39,"")</f>
        <v>9</v>
      </c>
      <c r="G41" s="192"/>
      <c r="H41" s="192"/>
      <c r="I41" s="192"/>
      <c r="J41" s="192"/>
      <c r="K41" s="192"/>
      <c r="L41" s="157">
        <f>SUM(L9:L39)</f>
        <v>180</v>
      </c>
      <c r="M41" s="191">
        <f>SUM(M9:M39)</f>
        <v>0</v>
      </c>
      <c r="N41" s="190"/>
      <c r="O41" s="189"/>
      <c r="P41" s="189"/>
      <c r="Q41" s="189"/>
      <c r="R41" s="188"/>
      <c r="T41" s="286">
        <f>月間集計シート!U28*24</f>
        <v>199.5</v>
      </c>
      <c r="U41" s="285"/>
    </row>
    <row r="42" spans="2:21" ht="13.35" customHeight="1">
      <c r="B42" s="187"/>
      <c r="C42" s="187"/>
      <c r="D42" s="187"/>
      <c r="E42" s="186"/>
      <c r="F42" s="185"/>
      <c r="G42" s="185"/>
      <c r="H42" s="185"/>
      <c r="I42" s="185"/>
      <c r="J42" s="185"/>
      <c r="K42" s="185"/>
      <c r="L42" s="175"/>
      <c r="M42" s="175"/>
      <c r="N42" s="185"/>
      <c r="O42" s="185"/>
      <c r="P42" s="185"/>
      <c r="Q42" s="185"/>
      <c r="R42" s="185"/>
    </row>
    <row r="43" spans="2:21" ht="13.35" customHeight="1"/>
    <row r="44" spans="2:21" ht="18" customHeight="1">
      <c r="B44" s="181" t="s">
        <v>83</v>
      </c>
      <c r="C44" s="180"/>
      <c r="D44" s="180"/>
      <c r="E44" s="180"/>
      <c r="F44" s="180"/>
      <c r="G44" s="180"/>
      <c r="H44" s="180"/>
      <c r="I44" s="180"/>
      <c r="J44" s="184"/>
      <c r="K44" s="179"/>
    </row>
    <row r="45" spans="2:21" ht="27.75" customHeight="1" thickBot="1">
      <c r="B45" s="181" t="str">
        <f>"{  " &amp; DAY(DATE(T9,I1+1,1)-1) &amp; "  －(①     " &amp; F41 &amp; "        )}×7.5＝ " &amp; TEXT((DAY(DATE(T9,I1+1,1)-1)-F41)*7.5,"0.00")</f>
        <v>{  31  －(①     9        )}×7.5＝ 165.00</v>
      </c>
      <c r="C45" s="180"/>
      <c r="D45" s="180"/>
      <c r="E45" s="180"/>
      <c r="F45" s="180"/>
      <c r="G45" s="180"/>
      <c r="H45" s="180"/>
      <c r="I45" s="180"/>
      <c r="J45" s="183"/>
      <c r="K45" s="182"/>
    </row>
    <row r="46" spans="2:21" ht="18" customHeight="1">
      <c r="B46" s="181" t="s">
        <v>84</v>
      </c>
      <c r="C46" s="180"/>
      <c r="D46" s="180"/>
      <c r="E46" s="180"/>
      <c r="F46" s="180"/>
      <c r="G46" s="180"/>
      <c r="H46" s="180"/>
      <c r="I46" s="180"/>
      <c r="J46" s="179"/>
      <c r="K46" s="180"/>
      <c r="L46" s="180"/>
      <c r="M46" s="180"/>
      <c r="N46" s="179"/>
      <c r="Q46" s="178" t="s">
        <v>85</v>
      </c>
      <c r="R46" s="177"/>
    </row>
    <row r="47" spans="2:21" ht="24.75" customHeight="1" thickBot="1">
      <c r="B47" s="156" t="s">
        <v>86</v>
      </c>
      <c r="C47" s="405">
        <f>L41</f>
        <v>180</v>
      </c>
      <c r="D47" s="406"/>
      <c r="E47" s="409" t="s">
        <v>87</v>
      </c>
      <c r="F47" s="409"/>
      <c r="G47" s="252">
        <f>(DAY(DATE(T9,I1+1,1)-1)-F41)*7.5</f>
        <v>165</v>
      </c>
      <c r="H47" s="263" t="s">
        <v>88</v>
      </c>
      <c r="I47" s="262">
        <f>C47-G47</f>
        <v>15</v>
      </c>
      <c r="J47" s="155"/>
      <c r="K47" s="155"/>
      <c r="L47" s="155"/>
      <c r="M47" s="155"/>
      <c r="N47" s="154"/>
      <c r="Q47" s="407">
        <f>I47</f>
        <v>15</v>
      </c>
      <c r="R47" s="408"/>
    </row>
    <row r="48" spans="2:21" ht="13.35" customHeight="1"/>
    <row r="49" spans="2:18" ht="13.35" hidden="1" customHeight="1">
      <c r="C49" s="176"/>
    </row>
    <row r="50" spans="2:18" ht="18" customHeight="1">
      <c r="B50" s="171" t="s">
        <v>89</v>
      </c>
      <c r="C50" s="175"/>
      <c r="D50" s="175"/>
      <c r="E50" s="175"/>
      <c r="F50" s="175"/>
      <c r="G50" s="175"/>
      <c r="H50" s="175"/>
      <c r="O50" s="174" t="s">
        <v>90</v>
      </c>
      <c r="P50" s="172"/>
      <c r="Q50" s="173" t="s">
        <v>91</v>
      </c>
      <c r="R50" s="172"/>
    </row>
    <row r="51" spans="2:18" ht="20.100000000000001" customHeight="1">
      <c r="B51" s="171" t="s">
        <v>92</v>
      </c>
      <c r="O51" s="389"/>
      <c r="P51" s="390"/>
      <c r="Q51" s="395"/>
      <c r="R51" s="396"/>
    </row>
    <row r="52" spans="2:18" ht="20.100000000000001" customHeight="1">
      <c r="B52" s="171" t="s">
        <v>93</v>
      </c>
      <c r="O52" s="391"/>
      <c r="P52" s="392"/>
      <c r="Q52" s="397"/>
      <c r="R52" s="398"/>
    </row>
    <row r="53" spans="2:18" ht="20.100000000000001" customHeight="1">
      <c r="B53" s="171" t="s">
        <v>94</v>
      </c>
      <c r="O53" s="393"/>
      <c r="P53" s="394"/>
      <c r="Q53" s="399"/>
      <c r="R53" s="400"/>
    </row>
    <row r="54" spans="2:18" ht="20.100000000000001" customHeight="1">
      <c r="P54" s="171" t="str">
        <f>'1週'!S86</f>
        <v>PJ20-1-2022-0624</v>
      </c>
    </row>
    <row r="55" spans="2:18" ht="20.100000000000001" customHeight="1"/>
    <row r="56" spans="2:18" ht="20.100000000000001" customHeight="1"/>
  </sheetData>
  <mergeCells count="17">
    <mergeCell ref="B3:B5"/>
    <mergeCell ref="B6:E6"/>
    <mergeCell ref="C47:D47"/>
    <mergeCell ref="Q47:R47"/>
    <mergeCell ref="E47:F47"/>
    <mergeCell ref="F6:K6"/>
    <mergeCell ref="F5:K5"/>
    <mergeCell ref="N5:R5"/>
    <mergeCell ref="N6:R6"/>
    <mergeCell ref="F4:K4"/>
    <mergeCell ref="F3:K3"/>
    <mergeCell ref="C3:E3"/>
    <mergeCell ref="C4:E4"/>
    <mergeCell ref="C5:E5"/>
    <mergeCell ref="N8:Q8"/>
    <mergeCell ref="O51:P53"/>
    <mergeCell ref="Q51:R53"/>
  </mergeCells>
  <phoneticPr fontId="7"/>
  <conditionalFormatting sqref="L41">
    <cfRule type="cellIs" dxfId="41" priority="1" operator="notEqual">
      <formula>$T$41</formula>
    </cfRule>
  </conditionalFormatting>
  <pageMargins left="0.39370078740157483" right="0.35433070866141736" top="0.55118110236220474" bottom="0.39370078740157483" header="0.27559055118110237" footer="0.35433070866141736"/>
  <pageSetup paperSize="9" scale="76" orientation="portrait" r:id="rId1"/>
  <headerFooter alignWithMargins="0"/>
  <ignoredErrors>
    <ignoredError sqref="N5:R5 T9 G9:I18 T40:T41 M41 G37:I37 G34:I36 G33:I33 J9:J18 B45 I1 G1 G20:I31 J20:J31 J33:J37 O6:R6" unlockedFormula="1"/>
  </ignoredErrors>
  <legacyDrawing r:id="rId2"/>
  <extLst>
    <ext xmlns:x14="http://schemas.microsoft.com/office/spreadsheetml/2009/9/main" uri="{78C0D931-6437-407d-A8EE-F0AAD7539E65}">
      <x14:conditionalFormattings>
        <x14:conditionalFormatting xmlns:xm="http://schemas.microsoft.com/office/excel/2006/main">
          <x14:cfRule type="cellIs" priority="2" operator="notEqual" id="{CDDF5B71-1BED-48C4-A297-8A678473B624}">
            <xm:f>(月間集計シート!$U$28)*24</xm:f>
            <x14:dxf>
              <fill>
                <patternFill>
                  <bgColor rgb="FFFF0000"/>
                </patternFill>
              </fill>
            </x14:dxf>
          </x14:cfRule>
          <xm:sqref>L41</xm:sqref>
        </x14:conditionalFormatting>
      </x14:conditionalFormattings>
    </ext>
    <ext xmlns:x14="http://schemas.microsoft.com/office/spreadsheetml/2009/9/main" uri="{CCE6A557-97BC-4b89-ADB6-D9C93CAAB3DF}">
      <x14:dataValidations xmlns:xm="http://schemas.microsoft.com/office/excel/2006/main" disablePrompts="1" count="2">
        <x14:dataValidation type="list" allowBlank="1" showInputMessage="1" xr:uid="{00000000-0002-0000-0600-000000000000}">
          <x14:formula1>
            <xm:f>'組織、事業所リスト'!$C$2:$C$4</xm:f>
          </x14:formula1>
          <xm:sqref>F5:K5</xm:sqref>
        </x14:dataValidation>
        <x14:dataValidation type="list" allowBlank="1" showInputMessage="1" xr:uid="{00000000-0002-0000-0600-000001000000}">
          <x14:formula1>
            <xm:f>'組織、事業所リスト'!$A$2:$A$22</xm:f>
          </x14:formula1>
          <xm:sqref>F4:K4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3"/>
  <sheetViews>
    <sheetView workbookViewId="0">
      <selection activeCell="B10" sqref="B10"/>
    </sheetView>
  </sheetViews>
  <sheetFormatPr defaultColWidth="9" defaultRowHeight="13.5"/>
  <cols>
    <col min="1" max="1" width="11.875" style="213" bestFit="1" customWidth="1"/>
    <col min="2" max="2" width="24.125" style="213" bestFit="1" customWidth="1"/>
    <col min="3" max="3" width="11" style="213" bestFit="1" customWidth="1"/>
    <col min="4" max="16384" width="9" style="213"/>
  </cols>
  <sheetData>
    <row r="1" spans="1:3" ht="14.25" thickBot="1">
      <c r="A1" s="324" t="s">
        <v>95</v>
      </c>
      <c r="B1" s="216" t="s">
        <v>96</v>
      </c>
      <c r="C1" s="215" t="s">
        <v>97</v>
      </c>
    </row>
    <row r="2" spans="1:3">
      <c r="A2" s="214">
        <v>10001</v>
      </c>
      <c r="B2" s="323" t="s">
        <v>98</v>
      </c>
      <c r="C2" s="214"/>
    </row>
    <row r="3" spans="1:3">
      <c r="A3" s="214">
        <v>10000</v>
      </c>
      <c r="B3" s="323" t="s">
        <v>4</v>
      </c>
      <c r="C3" s="214"/>
    </row>
  </sheetData>
  <phoneticPr fontId="7"/>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E59"/>
  <sheetViews>
    <sheetView workbookViewId="0">
      <pane ySplit="1" topLeftCell="A9" activePane="bottomLeft" state="frozen"/>
      <selection pane="bottomLeft" activeCell="D9" sqref="D9"/>
    </sheetView>
  </sheetViews>
  <sheetFormatPr defaultColWidth="9" defaultRowHeight="13.5"/>
  <cols>
    <col min="1" max="1" width="11.875" style="243" bestFit="1" customWidth="1"/>
    <col min="2" max="2" width="24.125" style="243" customWidth="1"/>
    <col min="3" max="3" width="16.375" style="243" customWidth="1"/>
    <col min="4" max="4" width="27.375" style="243" bestFit="1" customWidth="1"/>
    <col min="5" max="16384" width="9" style="243"/>
  </cols>
  <sheetData>
    <row r="1" spans="1:5" ht="14.25" thickBot="1">
      <c r="A1" s="325" t="s">
        <v>99</v>
      </c>
      <c r="B1" s="246" t="s">
        <v>96</v>
      </c>
      <c r="C1" s="319" t="s">
        <v>100</v>
      </c>
      <c r="D1" s="317" t="s">
        <v>101</v>
      </c>
    </row>
    <row r="2" spans="1:5">
      <c r="A2" s="248">
        <v>87990</v>
      </c>
      <c r="B2" s="320" t="s">
        <v>4</v>
      </c>
      <c r="C2" s="320" t="s">
        <v>102</v>
      </c>
      <c r="D2" s="317" t="s">
        <v>103</v>
      </c>
      <c r="E2" s="322" t="s">
        <v>104</v>
      </c>
    </row>
    <row r="3" spans="1:5">
      <c r="A3" s="249">
        <v>87990</v>
      </c>
      <c r="B3" s="321" t="s">
        <v>4</v>
      </c>
      <c r="C3" s="321" t="s">
        <v>105</v>
      </c>
      <c r="D3" s="318" t="s">
        <v>106</v>
      </c>
      <c r="E3" s="322" t="s">
        <v>104</v>
      </c>
    </row>
    <row r="4" spans="1:5">
      <c r="A4" s="249">
        <v>87990</v>
      </c>
      <c r="B4" s="321" t="s">
        <v>4</v>
      </c>
      <c r="C4" s="321" t="s">
        <v>107</v>
      </c>
      <c r="D4" s="318" t="s">
        <v>108</v>
      </c>
      <c r="E4" s="322" t="s">
        <v>104</v>
      </c>
    </row>
    <row r="5" spans="1:5">
      <c r="A5" s="249">
        <v>87990</v>
      </c>
      <c r="B5" s="321" t="s">
        <v>4</v>
      </c>
      <c r="C5" s="321" t="s">
        <v>109</v>
      </c>
      <c r="D5" s="318" t="s">
        <v>110</v>
      </c>
      <c r="E5" s="322" t="s">
        <v>104</v>
      </c>
    </row>
    <row r="6" spans="1:5" ht="12.6" customHeight="1">
      <c r="A6" s="249">
        <v>87990</v>
      </c>
      <c r="B6" s="321" t="s">
        <v>4</v>
      </c>
      <c r="C6" s="321" t="s">
        <v>107</v>
      </c>
      <c r="D6" s="318" t="s">
        <v>111</v>
      </c>
      <c r="E6" s="322" t="s">
        <v>104</v>
      </c>
    </row>
    <row r="7" spans="1:5" ht="12.6" customHeight="1">
      <c r="A7" s="249">
        <v>87990</v>
      </c>
      <c r="B7" s="321" t="s">
        <v>4</v>
      </c>
      <c r="C7" s="321" t="s">
        <v>109</v>
      </c>
      <c r="D7" s="318" t="s">
        <v>112</v>
      </c>
      <c r="E7" s="322" t="s">
        <v>104</v>
      </c>
    </row>
    <row r="8" spans="1:5" ht="12.6" customHeight="1">
      <c r="A8" s="249">
        <v>87990</v>
      </c>
      <c r="B8" s="321" t="s">
        <v>4</v>
      </c>
      <c r="C8" s="321" t="s">
        <v>113</v>
      </c>
      <c r="D8" s="318" t="s">
        <v>114</v>
      </c>
      <c r="E8" s="322" t="s">
        <v>104</v>
      </c>
    </row>
    <row r="9" spans="1:5" ht="12.6" customHeight="1">
      <c r="A9" s="249">
        <v>87990</v>
      </c>
      <c r="B9" s="321" t="s">
        <v>4</v>
      </c>
      <c r="C9" s="321" t="s">
        <v>107</v>
      </c>
      <c r="D9" s="318" t="s">
        <v>115</v>
      </c>
      <c r="E9" s="322" t="s">
        <v>116</v>
      </c>
    </row>
    <row r="10" spans="1:5">
      <c r="A10" s="249">
        <v>87990</v>
      </c>
      <c r="B10" s="321" t="s">
        <v>4</v>
      </c>
      <c r="C10" s="321" t="s">
        <v>107</v>
      </c>
      <c r="D10" s="318" t="s">
        <v>117</v>
      </c>
      <c r="E10" s="322" t="s">
        <v>116</v>
      </c>
    </row>
    <row r="11" spans="1:5">
      <c r="A11" s="249">
        <v>87990</v>
      </c>
      <c r="B11" s="321" t="s">
        <v>4</v>
      </c>
      <c r="C11" s="321" t="s">
        <v>107</v>
      </c>
      <c r="D11" s="318" t="s">
        <v>118</v>
      </c>
      <c r="E11" s="322" t="s">
        <v>116</v>
      </c>
    </row>
    <row r="12" spans="1:5">
      <c r="A12" s="249">
        <v>87990</v>
      </c>
      <c r="B12" s="321" t="s">
        <v>4</v>
      </c>
      <c r="C12" s="321" t="s">
        <v>107</v>
      </c>
      <c r="D12" s="318" t="s">
        <v>119</v>
      </c>
      <c r="E12" s="322" t="s">
        <v>116</v>
      </c>
    </row>
    <row r="13" spans="1:5">
      <c r="A13" s="249">
        <v>87990</v>
      </c>
      <c r="B13" s="321" t="s">
        <v>4</v>
      </c>
      <c r="C13" s="321" t="s">
        <v>120</v>
      </c>
      <c r="D13" s="318" t="s">
        <v>121</v>
      </c>
      <c r="E13" s="322" t="s">
        <v>116</v>
      </c>
    </row>
    <row r="14" spans="1:5">
      <c r="A14" s="249">
        <v>87990</v>
      </c>
      <c r="B14" s="321" t="s">
        <v>4</v>
      </c>
      <c r="C14" s="321" t="s">
        <v>107</v>
      </c>
      <c r="D14" s="318" t="s">
        <v>122</v>
      </c>
      <c r="E14" s="322" t="s">
        <v>116</v>
      </c>
    </row>
    <row r="15" spans="1:5">
      <c r="A15" s="249"/>
      <c r="B15" s="321"/>
      <c r="C15" s="247"/>
      <c r="D15" s="318"/>
    </row>
    <row r="16" spans="1:5">
      <c r="A16" s="249"/>
      <c r="B16" s="321"/>
      <c r="C16" s="247"/>
      <c r="D16" s="318"/>
    </row>
    <row r="17" spans="1:4">
      <c r="A17" s="249"/>
      <c r="B17" s="321"/>
      <c r="C17" s="247"/>
      <c r="D17" s="318"/>
    </row>
    <row r="18" spans="1:4">
      <c r="A18" s="249"/>
      <c r="B18" s="321"/>
      <c r="C18" s="247"/>
      <c r="D18" s="318"/>
    </row>
    <row r="19" spans="1:4">
      <c r="A19" s="249"/>
      <c r="B19" s="321"/>
      <c r="C19" s="247"/>
      <c r="D19" s="318"/>
    </row>
    <row r="20" spans="1:4">
      <c r="A20" s="249"/>
      <c r="B20" s="321"/>
      <c r="C20" s="247"/>
      <c r="D20" s="318"/>
    </row>
    <row r="21" spans="1:4">
      <c r="A21" s="249"/>
      <c r="B21" s="321"/>
      <c r="C21" s="247"/>
      <c r="D21" s="318"/>
    </row>
    <row r="22" spans="1:4">
      <c r="A22" s="249"/>
      <c r="B22" s="321"/>
      <c r="C22" s="247"/>
      <c r="D22" s="318"/>
    </row>
    <row r="23" spans="1:4">
      <c r="A23" s="249"/>
      <c r="B23" s="321"/>
      <c r="C23" s="247"/>
      <c r="D23" s="318"/>
    </row>
    <row r="24" spans="1:4">
      <c r="A24" s="249"/>
      <c r="B24" s="321"/>
      <c r="C24" s="247"/>
      <c r="D24" s="318"/>
    </row>
    <row r="25" spans="1:4">
      <c r="A25" s="249"/>
      <c r="B25" s="321"/>
      <c r="C25" s="247"/>
      <c r="D25" s="318"/>
    </row>
    <row r="26" spans="1:4">
      <c r="A26" s="249"/>
      <c r="B26" s="321"/>
      <c r="C26" s="247"/>
      <c r="D26" s="318"/>
    </row>
    <row r="27" spans="1:4">
      <c r="A27" s="249"/>
      <c r="B27" s="321"/>
      <c r="C27" s="247"/>
      <c r="D27" s="318"/>
    </row>
    <row r="28" spans="1:4">
      <c r="A28" s="249"/>
      <c r="B28" s="321"/>
      <c r="C28" s="247"/>
      <c r="D28" s="318"/>
    </row>
    <row r="29" spans="1:4">
      <c r="A29" s="249"/>
      <c r="B29" s="321"/>
      <c r="C29" s="247"/>
      <c r="D29" s="318"/>
    </row>
    <row r="30" spans="1:4">
      <c r="A30" s="249"/>
      <c r="B30" s="321"/>
      <c r="C30" s="247"/>
      <c r="D30" s="318"/>
    </row>
    <row r="31" spans="1:4">
      <c r="A31" s="249"/>
      <c r="B31" s="321"/>
      <c r="C31" s="247"/>
      <c r="D31" s="318"/>
    </row>
    <row r="32" spans="1:4">
      <c r="A32" s="249"/>
      <c r="B32" s="321"/>
      <c r="C32" s="247"/>
      <c r="D32" s="318"/>
    </row>
    <row r="33" spans="1:4">
      <c r="A33" s="249"/>
      <c r="B33" s="321"/>
      <c r="C33" s="247"/>
      <c r="D33" s="318"/>
    </row>
    <row r="34" spans="1:4">
      <c r="A34" s="249"/>
      <c r="B34" s="321"/>
      <c r="C34" s="247"/>
      <c r="D34" s="318"/>
    </row>
    <row r="35" spans="1:4">
      <c r="A35" s="249"/>
      <c r="B35" s="321"/>
      <c r="C35" s="247"/>
      <c r="D35" s="318"/>
    </row>
    <row r="36" spans="1:4">
      <c r="A36" s="249"/>
      <c r="B36" s="321"/>
      <c r="C36" s="247"/>
      <c r="D36" s="318"/>
    </row>
    <row r="37" spans="1:4">
      <c r="A37" s="249"/>
      <c r="B37" s="321"/>
      <c r="C37" s="247"/>
      <c r="D37" s="318"/>
    </row>
    <row r="38" spans="1:4">
      <c r="A38" s="249"/>
      <c r="B38" s="321"/>
      <c r="C38" s="247"/>
      <c r="D38" s="318"/>
    </row>
    <row r="39" spans="1:4">
      <c r="A39" s="249"/>
      <c r="B39" s="321"/>
      <c r="C39" s="247"/>
      <c r="D39" s="318"/>
    </row>
    <row r="40" spans="1:4">
      <c r="A40" s="249"/>
      <c r="B40" s="321"/>
      <c r="C40" s="247"/>
      <c r="D40" s="318"/>
    </row>
    <row r="41" spans="1:4">
      <c r="A41" s="249"/>
      <c r="B41" s="321"/>
      <c r="C41" s="247"/>
      <c r="D41" s="318"/>
    </row>
    <row r="42" spans="1:4">
      <c r="A42" s="249"/>
      <c r="B42" s="321"/>
      <c r="C42" s="247"/>
      <c r="D42" s="318"/>
    </row>
    <row r="43" spans="1:4">
      <c r="A43" s="249"/>
      <c r="B43" s="321"/>
      <c r="C43" s="247"/>
      <c r="D43" s="318"/>
    </row>
    <row r="44" spans="1:4">
      <c r="A44" s="249"/>
      <c r="B44" s="321"/>
      <c r="C44" s="247"/>
      <c r="D44" s="318"/>
    </row>
    <row r="45" spans="1:4">
      <c r="A45" s="249"/>
      <c r="B45" s="321"/>
      <c r="C45" s="247"/>
      <c r="D45" s="318"/>
    </row>
    <row r="46" spans="1:4">
      <c r="A46" s="249"/>
      <c r="B46" s="321"/>
      <c r="C46" s="247"/>
      <c r="D46" s="318"/>
    </row>
    <row r="47" spans="1:4">
      <c r="A47" s="249"/>
      <c r="B47" s="321"/>
      <c r="C47" s="247"/>
      <c r="D47" s="318"/>
    </row>
    <row r="48" spans="1:4">
      <c r="A48" s="249"/>
      <c r="B48" s="321"/>
      <c r="C48" s="247"/>
      <c r="D48" s="318"/>
    </row>
    <row r="49" spans="1:4">
      <c r="A49" s="249"/>
      <c r="B49" s="321"/>
      <c r="C49" s="247"/>
      <c r="D49" s="318"/>
    </row>
    <row r="50" spans="1:4">
      <c r="A50" s="249"/>
      <c r="B50" s="321"/>
      <c r="C50" s="247"/>
      <c r="D50" s="318"/>
    </row>
    <row r="51" spans="1:4">
      <c r="A51" s="249"/>
      <c r="B51" s="321"/>
      <c r="C51" s="247"/>
      <c r="D51" s="318"/>
    </row>
    <row r="52" spans="1:4">
      <c r="A52" s="249"/>
      <c r="B52" s="321"/>
      <c r="C52" s="247"/>
      <c r="D52" s="318"/>
    </row>
    <row r="53" spans="1:4">
      <c r="A53" s="249"/>
      <c r="B53" s="321"/>
      <c r="C53" s="247"/>
      <c r="D53" s="318"/>
    </row>
    <row r="54" spans="1:4">
      <c r="A54" s="249"/>
      <c r="B54" s="321"/>
      <c r="C54" s="247"/>
      <c r="D54" s="318"/>
    </row>
    <row r="55" spans="1:4">
      <c r="A55" s="249"/>
      <c r="B55" s="321"/>
      <c r="C55" s="247"/>
      <c r="D55" s="318"/>
    </row>
    <row r="56" spans="1:4">
      <c r="A56" s="249"/>
      <c r="B56" s="321"/>
      <c r="C56" s="247"/>
      <c r="D56" s="318"/>
    </row>
    <row r="57" spans="1:4">
      <c r="A57" s="249"/>
      <c r="B57" s="321"/>
      <c r="C57" s="247"/>
      <c r="D57" s="318"/>
    </row>
    <row r="58" spans="1:4">
      <c r="A58" s="249"/>
      <c r="B58" s="321"/>
      <c r="C58" s="247"/>
      <c r="D58" s="318"/>
    </row>
    <row r="59" spans="1:4">
      <c r="A59" s="249"/>
      <c r="B59" s="321"/>
      <c r="C59" s="247"/>
      <c r="D59" s="318"/>
    </row>
  </sheetData>
  <autoFilter ref="A1:F1" xr:uid="{00000000-0009-0000-0000-000008000000}"/>
  <phoneticPr fontId="4"/>
  <pageMargins left="0.43307086614173229" right="0.23622047244094491" top="0.15748031496062992" bottom="0.15748031496062992" header="0.31496062992125984" footer="0.31496062992125984"/>
  <pageSetup paperSize="9" scale="85"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N166"/>
  <sheetViews>
    <sheetView topLeftCell="B1" zoomScaleNormal="100" workbookViewId="0">
      <selection activeCell="G40" sqref="G40"/>
    </sheetView>
  </sheetViews>
  <sheetFormatPr defaultColWidth="9" defaultRowHeight="13.5"/>
  <cols>
    <col min="1" max="1" width="9.375" style="39" customWidth="1"/>
    <col min="2" max="2" width="14.375" style="39" customWidth="1"/>
    <col min="3" max="3" width="11" style="39" customWidth="1"/>
    <col min="4" max="4" width="4.625" style="39" bestFit="1" customWidth="1"/>
    <col min="5" max="5" width="2.875" style="39" customWidth="1"/>
    <col min="6" max="6" width="7" style="39" customWidth="1"/>
    <col min="7" max="7" width="8.125" style="39" customWidth="1"/>
    <col min="8" max="8" width="13" style="39" bestFit="1" customWidth="1"/>
    <col min="9" max="9" width="9.375" style="39" customWidth="1"/>
    <col min="10" max="10" width="44.375" style="39" bestFit="1" customWidth="1"/>
    <col min="11" max="12" width="12.375" style="39" customWidth="1"/>
    <col min="13" max="13" width="4.375" style="39" customWidth="1"/>
    <col min="14" max="20" width="5.375" style="39" customWidth="1"/>
    <col min="21" max="21" width="9.875" style="39" customWidth="1"/>
    <col min="22" max="22" width="7.375" style="39" bestFit="1" customWidth="1"/>
    <col min="23" max="25" width="9" style="39"/>
    <col min="26" max="26" width="9" style="39" customWidth="1"/>
    <col min="27" max="34" width="9" style="39"/>
    <col min="35" max="40" width="9" style="89" customWidth="1"/>
    <col min="41" max="16384" width="9" style="39"/>
  </cols>
  <sheetData>
    <row r="1" spans="1:40">
      <c r="A1" s="39" t="s">
        <v>123</v>
      </c>
      <c r="X1" s="91" t="s">
        <v>124</v>
      </c>
    </row>
    <row r="2" spans="1:40" ht="14.25" hidden="1" thickBot="1">
      <c r="N2" s="89" t="s">
        <v>125</v>
      </c>
      <c r="O2" s="89" t="s">
        <v>126</v>
      </c>
      <c r="P2" s="89" t="s">
        <v>127</v>
      </c>
      <c r="Q2" s="89" t="s">
        <v>128</v>
      </c>
      <c r="R2" s="89" t="s">
        <v>129</v>
      </c>
      <c r="S2" s="89" t="s">
        <v>130</v>
      </c>
      <c r="T2" s="89" t="s">
        <v>131</v>
      </c>
      <c r="U2" s="89" t="s">
        <v>132</v>
      </c>
      <c r="V2" s="90"/>
      <c r="AA2" s="39" t="s">
        <v>133</v>
      </c>
      <c r="AI2" s="218">
        <f>'1週'!B3</f>
        <v>2026</v>
      </c>
      <c r="AJ2" s="218">
        <f>'1週'!C3</f>
        <v>7</v>
      </c>
    </row>
    <row r="3" spans="1:40" ht="14.25" hidden="1" thickBot="1">
      <c r="A3" s="39" t="s">
        <v>134</v>
      </c>
      <c r="B3" s="39" t="s">
        <v>53</v>
      </c>
      <c r="C3" s="39" t="s">
        <v>5</v>
      </c>
      <c r="G3" s="90"/>
      <c r="I3" s="91" t="s">
        <v>135</v>
      </c>
      <c r="T3" s="92" t="str">
        <f>IF(U3=U28,"明細計と一致しています→","明細計と一致しません→")</f>
        <v>明細計と一致しません→</v>
      </c>
      <c r="U3" s="104">
        <f>SUM(U4:U24)</f>
        <v>0</v>
      </c>
      <c r="V3" s="93" t="s">
        <v>136</v>
      </c>
      <c r="W3" s="39" t="s">
        <v>137</v>
      </c>
      <c r="X3" s="39" t="s">
        <v>138</v>
      </c>
      <c r="Z3" t="s">
        <v>139</v>
      </c>
      <c r="AA3" s="108" t="s">
        <v>140</v>
      </c>
      <c r="AB3" s="108" t="s">
        <v>141</v>
      </c>
      <c r="AC3" s="108" t="s">
        <v>142</v>
      </c>
      <c r="AD3" s="108" t="s">
        <v>143</v>
      </c>
      <c r="AE3" s="108" t="s">
        <v>144</v>
      </c>
      <c r="AF3" s="108" t="s">
        <v>145</v>
      </c>
      <c r="AG3" s="217" t="s">
        <v>146</v>
      </c>
      <c r="AI3" s="230" t="s">
        <v>147</v>
      </c>
      <c r="AJ3" s="230" t="s">
        <v>148</v>
      </c>
      <c r="AK3" s="230" t="s">
        <v>21</v>
      </c>
      <c r="AL3" s="230" t="s">
        <v>149</v>
      </c>
      <c r="AM3" s="230" t="s">
        <v>150</v>
      </c>
      <c r="AN3" s="230" t="s">
        <v>29</v>
      </c>
    </row>
    <row r="4" ht="14.25" hidden="1" thickBot="1">
      <c r="A4" s="63">
        <v>1</v>
      </c>
      <c r="B4" s="64" t="str">
        <f>B29</f>
        <v>FPTジャパン</v>
      </c>
      <c r="C4" s="64" t="str">
        <f>C29</f>
        <v>LE NHUT THIEN</v>
      </c>
      <c r="D4" s="63"/>
      <c r="E4" s="63"/>
      <c r="F4" s="63"/>
      <c r="G4" s="77" t="e">
        <f t="shared" ref="G4:G23" si="0">VLOOKUP($I4,$F$29:$H$154,2,FALSE)</f>
        <v>#N/A</v>
      </c>
      <c r="H4" s="66" t="e">
        <f t="shared" ref="H4:H23" si="1">VLOOKUP($I4,$F$29:$H$154,3,FALSE)</f>
        <v>#N/A</v>
      </c>
      <c r="I4" s="94">
        <v>10000</v>
      </c>
      <c r="J4" s="66" t="e">
        <f t="shared" ref="J4:J23" si="2">VLOOKUP($I4,$F$29:$K$154,5,FALSE)</f>
        <v>#N/A</v>
      </c>
      <c r="K4" s="63"/>
      <c r="L4" s="63"/>
      <c r="M4" s="63"/>
      <c r="N4" s="85">
        <f t="shared" ref="N4:T13" si="3">SUMIF($I$29:$I$153,$I4,N$29:N$153)</f>
        <v>0</v>
      </c>
      <c r="O4" s="85">
        <f t="shared" si="3"/>
        <v>0</v>
      </c>
      <c r="P4" s="85">
        <f t="shared" si="3"/>
        <v>0</v>
      </c>
      <c r="Q4" s="85">
        <f t="shared" si="3"/>
        <v>0</v>
      </c>
      <c r="R4" s="85">
        <f t="shared" si="3"/>
        <v>0</v>
      </c>
      <c r="S4" s="85">
        <f t="shared" si="3"/>
        <v>0</v>
      </c>
      <c r="T4" s="85">
        <f t="shared" si="3"/>
        <v>0</v>
      </c>
      <c r="U4" s="86">
        <f t="shared" ref="U4:U23" si="4">SUM(N4:T4)</f>
        <v>0</v>
      </c>
      <c r="V4" s="69">
        <f>IF($U$3&lt;&gt;0,IF($W$4&lt;&gt;0,U4/$W$4,U4/$U$3),0)</f>
        <v>0</v>
      </c>
      <c r="W4" s="106">
        <f>X4*"7:30"</f>
        <v>6.25</v>
      </c>
      <c r="X4" s="103">
        <v>22</v>
      </c>
      <c r="AA4" s="88">
        <f t="shared" ref="AA4:AA23" si="5">SUMIF($I$29:$I$48,$I4,U$29:U$48)</f>
        <v>0</v>
      </c>
      <c r="AB4" s="88">
        <f t="shared" ref="AB4:AB23" si="6">SUMIF($I$50:$I$69,$I4,U$50:U$69)</f>
        <v>0</v>
      </c>
      <c r="AC4" s="88">
        <f t="shared" ref="AC4:AC23" si="7">SUMIF($I$71:$I$90,$I4,U$71:U$90)</f>
        <v>0</v>
      </c>
      <c r="AD4" s="88">
        <f t="shared" ref="AD4:AD23" si="8">SUMIF($I$92:$I$111,$I4,U$92:U$111)</f>
        <v>0</v>
      </c>
      <c r="AE4" s="88">
        <f t="shared" ref="AE4:AE23" si="9">SUMIF($I$113:$I$132,$I4,U$113:U$132)</f>
        <v>0</v>
      </c>
      <c r="AF4" s="88">
        <f t="shared" ref="AF4:AF23" si="10">SUMIF($I$134:$I$153,$I4,U$134:U$153)</f>
        <v>0</v>
      </c>
      <c r="AG4" s="109">
        <f>SUM(AA4:AF4)</f>
        <v>0</v>
      </c>
      <c r="AI4" s="221" t="e">
        <f>DATE($AI2,$AJ2,'1週'!I9)</f>
        <v>#VALUE!</v>
      </c>
      <c r="AJ4" s="222" t="str">
        <f>'1週'!I8</f>
        <v>月</v>
      </c>
      <c r="AK4" s="223">
        <f>'1週'!I10</f>
        <v>0.375</v>
      </c>
      <c r="AL4" s="223">
        <f>'1週'!I11</f>
        <v>0.79166666666666663</v>
      </c>
      <c r="AM4" s="223">
        <f>'1週'!I12</f>
        <v>4.1666666666666664E-2</v>
      </c>
      <c r="AN4" s="223">
        <f>'1週'!I13</f>
        <v>0.375</v>
      </c>
    </row>
    <row r="5" hidden="1">
      <c r="A5" s="63">
        <v>2</v>
      </c>
      <c r="B5" s="63"/>
      <c r="C5" s="63"/>
      <c r="D5" s="63"/>
      <c r="E5" s="63"/>
      <c r="F5" s="63"/>
      <c r="G5" s="77" t="e">
        <f t="shared" si="0"/>
        <v>#N/A</v>
      </c>
      <c r="H5" s="66" t="e">
        <f t="shared" si="1"/>
        <v>#N/A</v>
      </c>
      <c r="I5" s="95"/>
      <c r="J5" s="66" t="e">
        <f t="shared" si="2"/>
        <v>#N/A</v>
      </c>
      <c r="K5" s="63"/>
      <c r="L5" s="63"/>
      <c r="M5" s="63"/>
      <c r="N5" s="85">
        <f t="shared" si="3"/>
        <v>0</v>
      </c>
      <c r="O5" s="85">
        <f t="shared" si="3"/>
        <v>0</v>
      </c>
      <c r="P5" s="85">
        <f t="shared" si="3"/>
        <v>0</v>
      </c>
      <c r="Q5" s="85">
        <f t="shared" si="3"/>
        <v>0</v>
      </c>
      <c r="R5" s="85">
        <f t="shared" si="3"/>
        <v>0</v>
      </c>
      <c r="S5" s="85">
        <f t="shared" si="3"/>
        <v>0</v>
      </c>
      <c r="T5" s="85">
        <f t="shared" si="3"/>
        <v>0</v>
      </c>
      <c r="U5" s="87">
        <f t="shared" si="4"/>
        <v>0</v>
      </c>
      <c r="V5" s="69">
        <f t="shared" ref="V5:V23" si="11">IF($U$3&lt;&gt;0,IF($W$4&lt;&gt;0,U5/$W$4,U5/$U$3),0)</f>
        <v>0</v>
      </c>
      <c r="AA5" s="88">
        <f t="shared" si="5"/>
        <v>0</v>
      </c>
      <c r="AB5" s="88">
        <f t="shared" si="6"/>
        <v>0</v>
      </c>
      <c r="AC5" s="88">
        <f t="shared" si="7"/>
        <v>0</v>
      </c>
      <c r="AD5" s="88">
        <f t="shared" si="8"/>
        <v>0</v>
      </c>
      <c r="AE5" s="88">
        <f t="shared" si="9"/>
        <v>0</v>
      </c>
      <c r="AF5" s="88">
        <f t="shared" si="10"/>
        <v>0</v>
      </c>
      <c r="AG5" s="109">
        <f t="shared" ref="AG5:AG23" si="12">SUM(AA5:AF5)</f>
        <v>0</v>
      </c>
      <c r="AI5" s="224" t="e">
        <f>DATE($AI2,$AJ2,'1週'!K9)</f>
        <v>#VALUE!</v>
      </c>
      <c r="AJ5" s="225" t="str">
        <f>'1週'!K8</f>
        <v>火</v>
      </c>
      <c r="AK5" s="226">
        <f>'1週'!K10</f>
        <v>0.375</v>
      </c>
      <c r="AL5" s="226">
        <f>'1週'!K11</f>
        <v>0.79166666666666663</v>
      </c>
      <c r="AM5" s="226">
        <f>'1週'!K12</f>
        <v>4.1666666666666664E-2</v>
      </c>
      <c r="AN5" s="226">
        <f>'1週'!K13</f>
        <v>0.375</v>
      </c>
    </row>
    <row r="6" hidden="1">
      <c r="A6" s="63">
        <v>3</v>
      </c>
      <c r="B6" s="63"/>
      <c r="C6" s="63"/>
      <c r="D6" s="63"/>
      <c r="E6" s="63"/>
      <c r="F6" s="63"/>
      <c r="G6" s="77" t="str">
        <f t="shared" si="0"/>
        <v/>
      </c>
      <c r="H6" s="66" t="str">
        <f t="shared" si="1"/>
        <v/>
      </c>
      <c r="I6" s="95"/>
      <c r="J6" s="66" t="str">
        <f t="shared" si="2"/>
        <v/>
      </c>
      <c r="K6" s="63"/>
      <c r="L6" s="63"/>
      <c r="M6" s="63"/>
      <c r="N6" s="85">
        <f t="shared" si="3"/>
        <v>0</v>
      </c>
      <c r="O6" s="85">
        <f t="shared" si="3"/>
        <v>0</v>
      </c>
      <c r="P6" s="85">
        <f t="shared" si="3"/>
        <v>0</v>
      </c>
      <c r="Q6" s="85">
        <f t="shared" si="3"/>
        <v>0</v>
      </c>
      <c r="R6" s="85">
        <f t="shared" si="3"/>
        <v>0</v>
      </c>
      <c r="S6" s="85">
        <f t="shared" si="3"/>
        <v>0</v>
      </c>
      <c r="T6" s="85">
        <f t="shared" si="3"/>
        <v>0</v>
      </c>
      <c r="U6" s="87">
        <f t="shared" si="4"/>
        <v>0</v>
      </c>
      <c r="V6" s="69">
        <f t="shared" si="11"/>
        <v>0</v>
      </c>
      <c r="AA6" s="88">
        <f t="shared" si="5"/>
        <v>0</v>
      </c>
      <c r="AB6" s="88">
        <f t="shared" si="6"/>
        <v>0</v>
      </c>
      <c r="AC6" s="88">
        <f t="shared" si="7"/>
        <v>0</v>
      </c>
      <c r="AD6" s="88">
        <f t="shared" si="8"/>
        <v>0</v>
      </c>
      <c r="AE6" s="88">
        <f t="shared" si="9"/>
        <v>0</v>
      </c>
      <c r="AF6" s="88">
        <f t="shared" si="10"/>
        <v>0</v>
      </c>
      <c r="AG6" s="109">
        <f t="shared" si="12"/>
        <v>0</v>
      </c>
      <c r="AI6" s="224">
        <f>DATE($AI2,$AJ2,'1週'!M9)</f>
        <v>46204</v>
      </c>
      <c r="AJ6" s="225" t="str">
        <f>'1週'!M8</f>
        <v>水</v>
      </c>
      <c r="AK6" s="226">
        <f>'1週'!M10</f>
        <v>0.375</v>
      </c>
      <c r="AL6" s="226">
        <f>'1週'!M11</f>
        <v>0.79166666666666663</v>
      </c>
      <c r="AM6" s="226">
        <f>'1週'!M12</f>
        <v>4.1666666666666664E-2</v>
      </c>
      <c r="AN6" s="226">
        <f>'1週'!M13</f>
        <v>0.375</v>
      </c>
    </row>
    <row r="7" hidden="1">
      <c r="A7" s="63">
        <v>4</v>
      </c>
      <c r="B7" s="63"/>
      <c r="C7" s="63"/>
      <c r="D7" s="63"/>
      <c r="E7" s="63"/>
      <c r="F7" s="63"/>
      <c r="G7" s="77" t="str">
        <f t="shared" si="0"/>
        <v/>
      </c>
      <c r="H7" s="66" t="str">
        <f t="shared" si="1"/>
        <v/>
      </c>
      <c r="I7" s="95"/>
      <c r="J7" s="66" t="str">
        <f t="shared" si="2"/>
        <v/>
      </c>
      <c r="K7" s="63"/>
      <c r="L7" s="63"/>
      <c r="M7" s="63"/>
      <c r="N7" s="85">
        <f t="shared" si="3"/>
        <v>0</v>
      </c>
      <c r="O7" s="85">
        <f t="shared" si="3"/>
        <v>0</v>
      </c>
      <c r="P7" s="85">
        <f t="shared" si="3"/>
        <v>0</v>
      </c>
      <c r="Q7" s="85">
        <f t="shared" si="3"/>
        <v>0</v>
      </c>
      <c r="R7" s="85">
        <f t="shared" si="3"/>
        <v>0</v>
      </c>
      <c r="S7" s="85">
        <f t="shared" si="3"/>
        <v>0</v>
      </c>
      <c r="T7" s="85">
        <f t="shared" si="3"/>
        <v>0</v>
      </c>
      <c r="U7" s="87">
        <f t="shared" si="4"/>
        <v>0</v>
      </c>
      <c r="V7" s="69">
        <f t="shared" si="11"/>
        <v>0</v>
      </c>
      <c r="AA7" s="88">
        <f t="shared" si="5"/>
        <v>0</v>
      </c>
      <c r="AB7" s="88">
        <f t="shared" si="6"/>
        <v>0</v>
      </c>
      <c r="AC7" s="88">
        <f t="shared" si="7"/>
        <v>0</v>
      </c>
      <c r="AD7" s="88">
        <f t="shared" si="8"/>
        <v>0</v>
      </c>
      <c r="AE7" s="88">
        <f t="shared" si="9"/>
        <v>0</v>
      </c>
      <c r="AF7" s="88">
        <f t="shared" si="10"/>
        <v>0</v>
      </c>
      <c r="AG7" s="109">
        <f t="shared" si="12"/>
        <v>0</v>
      </c>
      <c r="AI7" s="224">
        <f>DATE($AI2,$AJ2,'1週'!O9)</f>
        <v>46205</v>
      </c>
      <c r="AJ7" s="225" t="str">
        <f>'1週'!O8</f>
        <v>木</v>
      </c>
      <c r="AK7" s="226">
        <f>'1週'!O10</f>
        <v>0.375</v>
      </c>
      <c r="AL7" s="226">
        <f>'1週'!O11</f>
        <v>0.79166666666666663</v>
      </c>
      <c r="AM7" s="226">
        <f>'1週'!O12</f>
        <v>4.1666666666666664E-2</v>
      </c>
      <c r="AN7" s="226">
        <f>'1週'!O13</f>
        <v>0.375</v>
      </c>
    </row>
    <row r="8" hidden="1">
      <c r="A8" s="63">
        <v>5</v>
      </c>
      <c r="B8" s="63"/>
      <c r="C8" s="63"/>
      <c r="D8" s="63"/>
      <c r="E8" s="63"/>
      <c r="F8" s="63"/>
      <c r="G8" s="77" t="str">
        <f t="shared" si="0"/>
        <v/>
      </c>
      <c r="H8" s="66" t="str">
        <f t="shared" si="1"/>
        <v/>
      </c>
      <c r="I8" s="95"/>
      <c r="J8" s="66" t="str">
        <f t="shared" si="2"/>
        <v/>
      </c>
      <c r="K8" s="63"/>
      <c r="L8" s="63"/>
      <c r="M8" s="63"/>
      <c r="N8" s="88">
        <f t="shared" si="3"/>
        <v>0</v>
      </c>
      <c r="O8" s="88">
        <f t="shared" si="3"/>
        <v>0</v>
      </c>
      <c r="P8" s="88">
        <f t="shared" si="3"/>
        <v>0</v>
      </c>
      <c r="Q8" s="88">
        <f t="shared" si="3"/>
        <v>0</v>
      </c>
      <c r="R8" s="88">
        <f t="shared" si="3"/>
        <v>0</v>
      </c>
      <c r="S8" s="88">
        <f t="shared" si="3"/>
        <v>0</v>
      </c>
      <c r="T8" s="88">
        <f t="shared" si="3"/>
        <v>0</v>
      </c>
      <c r="U8" s="87">
        <f t="shared" si="4"/>
        <v>0</v>
      </c>
      <c r="V8" s="69">
        <f t="shared" si="11"/>
        <v>0</v>
      </c>
      <c r="AA8" s="88">
        <f t="shared" si="5"/>
        <v>0</v>
      </c>
      <c r="AB8" s="88">
        <f t="shared" si="6"/>
        <v>0</v>
      </c>
      <c r="AC8" s="88">
        <f t="shared" si="7"/>
        <v>0</v>
      </c>
      <c r="AD8" s="88">
        <f t="shared" si="8"/>
        <v>0</v>
      </c>
      <c r="AE8" s="88">
        <f t="shared" si="9"/>
        <v>0</v>
      </c>
      <c r="AF8" s="88">
        <f t="shared" si="10"/>
        <v>0</v>
      </c>
      <c r="AG8" s="109">
        <f t="shared" si="12"/>
        <v>0</v>
      </c>
      <c r="AI8" s="224">
        <f>DATE($AI2,$AJ2,'1週'!Q9)</f>
        <v>46206</v>
      </c>
      <c r="AJ8" s="225" t="str">
        <f>'1週'!Q8</f>
        <v>金</v>
      </c>
      <c r="AK8" s="226">
        <f>'1週'!Q10</f>
        <v>0.375</v>
      </c>
      <c r="AL8" s="226">
        <f>'1週'!Q11</f>
        <v>0.79166666666666663</v>
      </c>
      <c r="AM8" s="226">
        <f>'1週'!Q12</f>
        <v>4.1666666666666664E-2</v>
      </c>
      <c r="AN8" s="226">
        <f>'1週'!Q13</f>
        <v>0.375</v>
      </c>
    </row>
    <row r="9" hidden="1">
      <c r="A9" s="63">
        <v>6</v>
      </c>
      <c r="B9" s="63"/>
      <c r="C9" s="63"/>
      <c r="D9" s="63"/>
      <c r="E9" s="63"/>
      <c r="F9" s="63"/>
      <c r="G9" s="77" t="str">
        <f t="shared" si="0"/>
        <v/>
      </c>
      <c r="H9" s="66" t="str">
        <f t="shared" si="1"/>
        <v/>
      </c>
      <c r="I9" s="95"/>
      <c r="J9" s="66" t="str">
        <f t="shared" si="2"/>
        <v/>
      </c>
      <c r="K9" s="63"/>
      <c r="L9" s="63"/>
      <c r="M9" s="63"/>
      <c r="N9" s="88">
        <f t="shared" si="3"/>
        <v>0</v>
      </c>
      <c r="O9" s="88">
        <f t="shared" si="3"/>
        <v>0</v>
      </c>
      <c r="P9" s="88">
        <f t="shared" si="3"/>
        <v>0</v>
      </c>
      <c r="Q9" s="88">
        <f t="shared" si="3"/>
        <v>0</v>
      </c>
      <c r="R9" s="88">
        <f t="shared" si="3"/>
        <v>0</v>
      </c>
      <c r="S9" s="88">
        <f t="shared" si="3"/>
        <v>0</v>
      </c>
      <c r="T9" s="88">
        <f t="shared" si="3"/>
        <v>0</v>
      </c>
      <c r="U9" s="87">
        <f t="shared" si="4"/>
        <v>0</v>
      </c>
      <c r="V9" s="69">
        <f t="shared" si="11"/>
        <v>0</v>
      </c>
      <c r="AA9" s="88">
        <f t="shared" si="5"/>
        <v>0</v>
      </c>
      <c r="AB9" s="88">
        <f t="shared" si="6"/>
        <v>0</v>
      </c>
      <c r="AC9" s="88">
        <f t="shared" si="7"/>
        <v>0</v>
      </c>
      <c r="AD9" s="88">
        <f t="shared" si="8"/>
        <v>0</v>
      </c>
      <c r="AE9" s="88">
        <f t="shared" si="9"/>
        <v>0</v>
      </c>
      <c r="AF9" s="88">
        <f t="shared" si="10"/>
        <v>0</v>
      </c>
      <c r="AG9" s="109">
        <f t="shared" si="12"/>
        <v>0</v>
      </c>
      <c r="AI9" s="224">
        <f>DATE($AI2,$AJ2,'1週'!S9)</f>
        <v>46207</v>
      </c>
      <c r="AJ9" s="225" t="str">
        <f>'1週'!S8</f>
        <v>土</v>
      </c>
      <c r="AK9" s="226">
        <f>'1週'!S10</f>
        <v>0</v>
      </c>
      <c r="AL9" s="226">
        <f>'1週'!S11</f>
        <v>0</v>
      </c>
      <c r="AM9" s="226">
        <f>'1週'!S12</f>
        <v>0</v>
      </c>
      <c r="AN9" s="226">
        <f>'1週'!S13</f>
        <v>0</v>
      </c>
    </row>
    <row r="10" hidden="1">
      <c r="A10" s="63">
        <v>7</v>
      </c>
      <c r="B10" s="63"/>
      <c r="C10" s="63"/>
      <c r="D10" s="63"/>
      <c r="E10" s="63"/>
      <c r="F10" s="63"/>
      <c r="G10" s="77" t="str">
        <f t="shared" si="0"/>
        <v/>
      </c>
      <c r="H10" s="66" t="str">
        <f t="shared" si="1"/>
        <v/>
      </c>
      <c r="I10" s="95"/>
      <c r="J10" s="66" t="str">
        <f t="shared" si="2"/>
        <v/>
      </c>
      <c r="K10" s="63"/>
      <c r="L10" s="63"/>
      <c r="M10" s="63"/>
      <c r="N10" s="88">
        <f t="shared" si="3"/>
        <v>0</v>
      </c>
      <c r="O10" s="88">
        <f t="shared" si="3"/>
        <v>0</v>
      </c>
      <c r="P10" s="88">
        <f t="shared" si="3"/>
        <v>0</v>
      </c>
      <c r="Q10" s="88">
        <f t="shared" si="3"/>
        <v>0</v>
      </c>
      <c r="R10" s="88">
        <f t="shared" si="3"/>
        <v>0</v>
      </c>
      <c r="S10" s="88">
        <f t="shared" si="3"/>
        <v>0</v>
      </c>
      <c r="T10" s="88">
        <f t="shared" si="3"/>
        <v>0</v>
      </c>
      <c r="U10" s="87">
        <f t="shared" si="4"/>
        <v>0</v>
      </c>
      <c r="V10" s="69">
        <f t="shared" si="11"/>
        <v>0</v>
      </c>
      <c r="AA10" s="88">
        <f t="shared" si="5"/>
        <v>0</v>
      </c>
      <c r="AB10" s="88">
        <f t="shared" si="6"/>
        <v>0</v>
      </c>
      <c r="AC10" s="88">
        <f t="shared" si="7"/>
        <v>0</v>
      </c>
      <c r="AD10" s="88">
        <f t="shared" si="8"/>
        <v>0</v>
      </c>
      <c r="AE10" s="88">
        <f t="shared" si="9"/>
        <v>0</v>
      </c>
      <c r="AF10" s="88">
        <f t="shared" si="10"/>
        <v>0</v>
      </c>
      <c r="AG10" s="109">
        <f t="shared" si="12"/>
        <v>0</v>
      </c>
      <c r="AI10" s="224">
        <f>DATE($AI2,$AJ2,'1週'!U9)</f>
        <v>46208</v>
      </c>
      <c r="AJ10" s="225" t="str">
        <f>'1週'!U8</f>
        <v>日</v>
      </c>
      <c r="AK10" s="226">
        <f>'1週'!U10</f>
        <v>0</v>
      </c>
      <c r="AL10" s="226">
        <f>'1週'!U11</f>
        <v>0</v>
      </c>
      <c r="AM10" s="226">
        <f>'1週'!U12</f>
        <v>0</v>
      </c>
      <c r="AN10" s="226">
        <f>'1週'!U13</f>
        <v>0</v>
      </c>
    </row>
    <row r="11" hidden="1">
      <c r="A11" s="63">
        <v>8</v>
      </c>
      <c r="B11" s="63"/>
      <c r="C11" s="63"/>
      <c r="D11" s="63"/>
      <c r="E11" s="63"/>
      <c r="F11" s="63"/>
      <c r="G11" s="77" t="str">
        <f t="shared" si="0"/>
        <v/>
      </c>
      <c r="H11" s="66" t="str">
        <f t="shared" si="1"/>
        <v/>
      </c>
      <c r="I11" s="95"/>
      <c r="J11" s="66" t="str">
        <f t="shared" si="2"/>
        <v/>
      </c>
      <c r="K11" s="63"/>
      <c r="L11" s="63"/>
      <c r="M11" s="63"/>
      <c r="N11" s="88">
        <f t="shared" si="3"/>
        <v>0</v>
      </c>
      <c r="O11" s="88">
        <f t="shared" si="3"/>
        <v>0</v>
      </c>
      <c r="P11" s="88">
        <f t="shared" si="3"/>
        <v>0</v>
      </c>
      <c r="Q11" s="88">
        <f t="shared" si="3"/>
        <v>0</v>
      </c>
      <c r="R11" s="88">
        <f t="shared" si="3"/>
        <v>0</v>
      </c>
      <c r="S11" s="88">
        <f t="shared" si="3"/>
        <v>0</v>
      </c>
      <c r="T11" s="88">
        <f t="shared" si="3"/>
        <v>0</v>
      </c>
      <c r="U11" s="87">
        <f t="shared" si="4"/>
        <v>0</v>
      </c>
      <c r="V11" s="69">
        <f t="shared" si="11"/>
        <v>0</v>
      </c>
      <c r="AA11" s="88">
        <f t="shared" si="5"/>
        <v>0</v>
      </c>
      <c r="AB11" s="88">
        <f t="shared" si="6"/>
        <v>0</v>
      </c>
      <c r="AC11" s="88">
        <f t="shared" si="7"/>
        <v>0</v>
      </c>
      <c r="AD11" s="88">
        <f t="shared" si="8"/>
        <v>0</v>
      </c>
      <c r="AE11" s="88">
        <f t="shared" si="9"/>
        <v>0</v>
      </c>
      <c r="AF11" s="88">
        <f t="shared" si="10"/>
        <v>0</v>
      </c>
      <c r="AG11" s="109">
        <f t="shared" si="12"/>
        <v>0</v>
      </c>
      <c r="AI11" s="224">
        <f>DATE($AI2,$AJ2,'2週'!I9)</f>
        <v>46209</v>
      </c>
      <c r="AJ11" s="225" t="str">
        <f>'2週'!I8</f>
        <v>月</v>
      </c>
      <c r="AK11" s="226">
        <f>'2週'!I10</f>
        <v>0.375</v>
      </c>
      <c r="AL11" s="226">
        <f>'2週'!I11</f>
        <v>0.79166666666666663</v>
      </c>
      <c r="AM11" s="226">
        <f>'2週'!I12</f>
        <v>4.1666666666666664E-2</v>
      </c>
      <c r="AN11" s="226">
        <f>'2週'!I13</f>
        <v>0.375</v>
      </c>
    </row>
    <row r="12" hidden="1">
      <c r="A12" s="63">
        <v>9</v>
      </c>
      <c r="B12" s="63"/>
      <c r="C12" s="63"/>
      <c r="D12" s="63"/>
      <c r="E12" s="63"/>
      <c r="F12" s="63"/>
      <c r="G12" s="77" t="str">
        <f t="shared" si="0"/>
        <v/>
      </c>
      <c r="H12" s="66" t="str">
        <f t="shared" si="1"/>
        <v/>
      </c>
      <c r="I12" s="95"/>
      <c r="J12" s="66" t="str">
        <f t="shared" si="2"/>
        <v/>
      </c>
      <c r="K12" s="63"/>
      <c r="L12" s="63"/>
      <c r="M12" s="63"/>
      <c r="N12" s="88">
        <f t="shared" si="3"/>
        <v>0</v>
      </c>
      <c r="O12" s="88">
        <f t="shared" si="3"/>
        <v>0</v>
      </c>
      <c r="P12" s="88">
        <f t="shared" si="3"/>
        <v>0</v>
      </c>
      <c r="Q12" s="88">
        <f t="shared" si="3"/>
        <v>0</v>
      </c>
      <c r="R12" s="88">
        <f t="shared" si="3"/>
        <v>0</v>
      </c>
      <c r="S12" s="88">
        <f t="shared" si="3"/>
        <v>0</v>
      </c>
      <c r="T12" s="88">
        <f t="shared" si="3"/>
        <v>0</v>
      </c>
      <c r="U12" s="87">
        <f t="shared" si="4"/>
        <v>0</v>
      </c>
      <c r="V12" s="69">
        <f t="shared" si="11"/>
        <v>0</v>
      </c>
      <c r="AA12" s="88">
        <f t="shared" si="5"/>
        <v>0</v>
      </c>
      <c r="AB12" s="88">
        <f t="shared" si="6"/>
        <v>0</v>
      </c>
      <c r="AC12" s="88">
        <f t="shared" si="7"/>
        <v>0</v>
      </c>
      <c r="AD12" s="88">
        <f t="shared" si="8"/>
        <v>0</v>
      </c>
      <c r="AE12" s="88">
        <f t="shared" si="9"/>
        <v>0</v>
      </c>
      <c r="AF12" s="88">
        <f t="shared" si="10"/>
        <v>0</v>
      </c>
      <c r="AG12" s="109">
        <f t="shared" si="12"/>
        <v>0</v>
      </c>
      <c r="AI12" s="224">
        <f>DATE($AI2,$AJ2,'2週'!K9)</f>
        <v>46210</v>
      </c>
      <c r="AJ12" s="225" t="str">
        <f>'2週'!K8</f>
        <v>火</v>
      </c>
      <c r="AK12" s="226">
        <f>'2週'!K10</f>
        <v>0.375</v>
      </c>
      <c r="AL12" s="226">
        <f>'2週'!K11</f>
        <v>0.79166666666666663</v>
      </c>
      <c r="AM12" s="226">
        <f>'2週'!K12</f>
        <v>4.1666666666666664E-2</v>
      </c>
      <c r="AN12" s="226">
        <f>'2週'!K13</f>
        <v>0.375</v>
      </c>
    </row>
    <row r="13" hidden="1">
      <c r="A13" s="63">
        <v>10</v>
      </c>
      <c r="B13" s="63"/>
      <c r="C13" s="63"/>
      <c r="D13" s="63"/>
      <c r="E13" s="63"/>
      <c r="F13" s="63"/>
      <c r="G13" s="77" t="str">
        <f t="shared" si="0"/>
        <v/>
      </c>
      <c r="H13" s="66" t="str">
        <f t="shared" si="1"/>
        <v/>
      </c>
      <c r="I13" s="95"/>
      <c r="J13" s="66" t="str">
        <f t="shared" si="2"/>
        <v/>
      </c>
      <c r="K13" s="63"/>
      <c r="L13" s="63"/>
      <c r="M13" s="63"/>
      <c r="N13" s="88">
        <f t="shared" si="3"/>
        <v>0</v>
      </c>
      <c r="O13" s="88">
        <f t="shared" si="3"/>
        <v>0</v>
      </c>
      <c r="P13" s="88">
        <f t="shared" si="3"/>
        <v>0</v>
      </c>
      <c r="Q13" s="88">
        <f t="shared" si="3"/>
        <v>0</v>
      </c>
      <c r="R13" s="88">
        <f t="shared" si="3"/>
        <v>0</v>
      </c>
      <c r="S13" s="88">
        <f t="shared" si="3"/>
        <v>0</v>
      </c>
      <c r="T13" s="88">
        <f t="shared" si="3"/>
        <v>0</v>
      </c>
      <c r="U13" s="87">
        <f t="shared" si="4"/>
        <v>0</v>
      </c>
      <c r="V13" s="69">
        <f t="shared" si="11"/>
        <v>0</v>
      </c>
      <c r="AA13" s="88">
        <f t="shared" si="5"/>
        <v>0</v>
      </c>
      <c r="AB13" s="88">
        <f t="shared" si="6"/>
        <v>0</v>
      </c>
      <c r="AC13" s="88">
        <f t="shared" si="7"/>
        <v>0</v>
      </c>
      <c r="AD13" s="88">
        <f t="shared" si="8"/>
        <v>0</v>
      </c>
      <c r="AE13" s="88">
        <f t="shared" si="9"/>
        <v>0</v>
      </c>
      <c r="AF13" s="88">
        <f t="shared" si="10"/>
        <v>0</v>
      </c>
      <c r="AG13" s="109">
        <f t="shared" si="12"/>
        <v>0</v>
      </c>
      <c r="AI13" s="224">
        <f>DATE($AI2,$AJ2,'2週'!M9)</f>
        <v>46211</v>
      </c>
      <c r="AJ13" s="225" t="str">
        <f>'2週'!M8</f>
        <v>水</v>
      </c>
      <c r="AK13" s="226">
        <f>'2週'!M10</f>
        <v>0.375</v>
      </c>
      <c r="AL13" s="226">
        <f>'2週'!M11</f>
        <v>0.79166666666666663</v>
      </c>
      <c r="AM13" s="226">
        <f>'2週'!M12</f>
        <v>4.1666666666666664E-2</v>
      </c>
      <c r="AN13" s="226">
        <f>'2週'!M13</f>
        <v>0.375</v>
      </c>
    </row>
    <row r="14" hidden="1">
      <c r="A14" s="63">
        <v>11</v>
      </c>
      <c r="B14" s="63"/>
      <c r="C14" s="63"/>
      <c r="D14" s="63"/>
      <c r="E14" s="63"/>
      <c r="F14" s="63"/>
      <c r="G14" s="77" t="str">
        <f t="shared" si="0"/>
        <v/>
      </c>
      <c r="H14" s="66" t="str">
        <f t="shared" si="1"/>
        <v/>
      </c>
      <c r="I14" s="95"/>
      <c r="J14" s="66" t="str">
        <f t="shared" si="2"/>
        <v/>
      </c>
      <c r="K14" s="63"/>
      <c r="L14" s="63"/>
      <c r="M14" s="63"/>
      <c r="N14" s="88">
        <f t="shared" ref="N14:T23" si="13">SUMIF($I$29:$I$153,$I14,N$29:N$153)</f>
        <v>0</v>
      </c>
      <c r="O14" s="88">
        <f t="shared" si="13"/>
        <v>0</v>
      </c>
      <c r="P14" s="88">
        <f t="shared" si="13"/>
        <v>0</v>
      </c>
      <c r="Q14" s="88">
        <f t="shared" si="13"/>
        <v>0</v>
      </c>
      <c r="R14" s="88">
        <f t="shared" si="13"/>
        <v>0</v>
      </c>
      <c r="S14" s="88">
        <f t="shared" si="13"/>
        <v>0</v>
      </c>
      <c r="T14" s="88">
        <f t="shared" si="13"/>
        <v>0</v>
      </c>
      <c r="U14" s="87">
        <f t="shared" si="4"/>
        <v>0</v>
      </c>
      <c r="V14" s="69">
        <f t="shared" si="11"/>
        <v>0</v>
      </c>
      <c r="AA14" s="88">
        <f t="shared" si="5"/>
        <v>0</v>
      </c>
      <c r="AB14" s="88">
        <f t="shared" si="6"/>
        <v>0</v>
      </c>
      <c r="AC14" s="88">
        <f t="shared" si="7"/>
        <v>0</v>
      </c>
      <c r="AD14" s="88">
        <f t="shared" si="8"/>
        <v>0</v>
      </c>
      <c r="AE14" s="88">
        <f t="shared" si="9"/>
        <v>0</v>
      </c>
      <c r="AF14" s="88">
        <f t="shared" si="10"/>
        <v>0</v>
      </c>
      <c r="AG14" s="109">
        <f t="shared" si="12"/>
        <v>0</v>
      </c>
      <c r="AI14" s="224">
        <f>DATE($AI2,$AJ2,'2週'!O9)</f>
        <v>46212</v>
      </c>
      <c r="AJ14" s="225" t="str">
        <f>'2週'!O8</f>
        <v>木</v>
      </c>
      <c r="AK14" s="226">
        <f>'2週'!O10</f>
        <v>0.375</v>
      </c>
      <c r="AL14" s="226">
        <f>'2週'!O11</f>
        <v>0.79166666666666663</v>
      </c>
      <c r="AM14" s="226">
        <f>'2週'!O12</f>
        <v>4.1666666666666664E-2</v>
      </c>
      <c r="AN14" s="226">
        <f>'2週'!O13</f>
        <v>0.375</v>
      </c>
    </row>
    <row r="15" hidden="1">
      <c r="A15" s="63">
        <v>12</v>
      </c>
      <c r="B15" s="63"/>
      <c r="C15" s="63"/>
      <c r="D15" s="63"/>
      <c r="E15" s="63"/>
      <c r="F15" s="63"/>
      <c r="G15" s="77" t="str">
        <f t="shared" si="0"/>
        <v/>
      </c>
      <c r="H15" s="66" t="str">
        <f t="shared" si="1"/>
        <v/>
      </c>
      <c r="I15" s="95"/>
      <c r="J15" s="66" t="str">
        <f t="shared" si="2"/>
        <v/>
      </c>
      <c r="K15" s="63"/>
      <c r="L15" s="63"/>
      <c r="M15" s="63"/>
      <c r="N15" s="88">
        <f t="shared" si="13"/>
        <v>0</v>
      </c>
      <c r="O15" s="88">
        <f t="shared" si="13"/>
        <v>0</v>
      </c>
      <c r="P15" s="88">
        <f t="shared" si="13"/>
        <v>0</v>
      </c>
      <c r="Q15" s="88">
        <f t="shared" si="13"/>
        <v>0</v>
      </c>
      <c r="R15" s="88">
        <f t="shared" si="13"/>
        <v>0</v>
      </c>
      <c r="S15" s="88">
        <f t="shared" si="13"/>
        <v>0</v>
      </c>
      <c r="T15" s="88">
        <f t="shared" si="13"/>
        <v>0</v>
      </c>
      <c r="U15" s="87">
        <f t="shared" ref="U15:U22" si="14">SUM(N15:T15)</f>
        <v>0</v>
      </c>
      <c r="V15" s="69">
        <f t="shared" ref="V15:V22" si="15">IF($U$3&lt;&gt;0,IF($W$4&lt;&gt;0,U15/$W$4,U15/$U$3),0)</f>
        <v>0</v>
      </c>
      <c r="AA15" s="88">
        <f t="shared" si="5"/>
        <v>0</v>
      </c>
      <c r="AB15" s="88">
        <f t="shared" si="6"/>
        <v>0</v>
      </c>
      <c r="AC15" s="88">
        <f t="shared" si="7"/>
        <v>0</v>
      </c>
      <c r="AD15" s="88">
        <f t="shared" si="8"/>
        <v>0</v>
      </c>
      <c r="AE15" s="88">
        <f t="shared" si="9"/>
        <v>0</v>
      </c>
      <c r="AF15" s="88">
        <f t="shared" si="10"/>
        <v>0</v>
      </c>
      <c r="AG15" s="109">
        <f t="shared" ref="AG15:AG22" si="16">SUM(AA15:AF15)</f>
        <v>0</v>
      </c>
      <c r="AI15" s="224">
        <f>DATE($AI2,$AJ2,'2週'!Q9)</f>
        <v>46213</v>
      </c>
      <c r="AJ15" s="225" t="str">
        <f>'2週'!Q8</f>
        <v>金</v>
      </c>
      <c r="AK15" s="226">
        <f>'2週'!Q10</f>
        <v>0.375</v>
      </c>
      <c r="AL15" s="226">
        <f>'2週'!Q11</f>
        <v>0.79166666666666663</v>
      </c>
      <c r="AM15" s="226">
        <f>'2週'!Q12</f>
        <v>4.1666666666666664E-2</v>
      </c>
      <c r="AN15" s="226">
        <f>'2週'!Q13</f>
        <v>0.375</v>
      </c>
    </row>
    <row r="16" hidden="1">
      <c r="A16" s="63">
        <v>13</v>
      </c>
      <c r="B16" s="63"/>
      <c r="C16" s="63"/>
      <c r="D16" s="63"/>
      <c r="E16" s="63"/>
      <c r="F16" s="63"/>
      <c r="G16" s="77" t="str">
        <f t="shared" si="0"/>
        <v/>
      </c>
      <c r="H16" s="66" t="str">
        <f t="shared" si="1"/>
        <v/>
      </c>
      <c r="I16" s="95"/>
      <c r="J16" s="66" t="str">
        <f t="shared" si="2"/>
        <v/>
      </c>
      <c r="K16" s="63"/>
      <c r="L16" s="63"/>
      <c r="M16" s="63"/>
      <c r="N16" s="88">
        <f t="shared" si="13"/>
        <v>0</v>
      </c>
      <c r="O16" s="88">
        <f t="shared" si="13"/>
        <v>0</v>
      </c>
      <c r="P16" s="88">
        <f t="shared" si="13"/>
        <v>0</v>
      </c>
      <c r="Q16" s="88">
        <f t="shared" si="13"/>
        <v>0</v>
      </c>
      <c r="R16" s="88">
        <f t="shared" si="13"/>
        <v>0</v>
      </c>
      <c r="S16" s="88">
        <f t="shared" si="13"/>
        <v>0</v>
      </c>
      <c r="T16" s="88">
        <f t="shared" si="13"/>
        <v>0</v>
      </c>
      <c r="U16" s="87">
        <f t="shared" si="14"/>
        <v>0</v>
      </c>
      <c r="V16" s="69">
        <f t="shared" si="15"/>
        <v>0</v>
      </c>
      <c r="AA16" s="88">
        <f t="shared" si="5"/>
        <v>0</v>
      </c>
      <c r="AB16" s="88">
        <f t="shared" si="6"/>
        <v>0</v>
      </c>
      <c r="AC16" s="88">
        <f t="shared" si="7"/>
        <v>0</v>
      </c>
      <c r="AD16" s="88">
        <f t="shared" si="8"/>
        <v>0</v>
      </c>
      <c r="AE16" s="88">
        <f t="shared" si="9"/>
        <v>0</v>
      </c>
      <c r="AF16" s="88">
        <f t="shared" si="10"/>
        <v>0</v>
      </c>
      <c r="AG16" s="109">
        <f t="shared" si="16"/>
        <v>0</v>
      </c>
      <c r="AI16" s="224">
        <f>DATE($AI2,$AJ2,'2週'!S9)</f>
        <v>46214</v>
      </c>
      <c r="AJ16" s="225" t="str">
        <f>'2週'!S8</f>
        <v>土</v>
      </c>
      <c r="AK16" s="226">
        <f>'2週'!S10</f>
        <v>0</v>
      </c>
      <c r="AL16" s="226">
        <f>'2週'!S11</f>
        <v>0</v>
      </c>
      <c r="AM16" s="226">
        <f>'2週'!S12</f>
        <v>0</v>
      </c>
      <c r="AN16" s="226">
        <f>'2週'!S13</f>
        <v>0</v>
      </c>
    </row>
    <row r="17" hidden="1">
      <c r="A17" s="63">
        <v>14</v>
      </c>
      <c r="B17" s="63"/>
      <c r="C17" s="63"/>
      <c r="D17" s="63"/>
      <c r="E17" s="63"/>
      <c r="F17" s="63"/>
      <c r="G17" s="77" t="str">
        <f t="shared" si="0"/>
        <v/>
      </c>
      <c r="H17" s="66" t="str">
        <f t="shared" si="1"/>
        <v/>
      </c>
      <c r="I17" s="95"/>
      <c r="J17" s="66" t="str">
        <f t="shared" si="2"/>
        <v/>
      </c>
      <c r="K17" s="63"/>
      <c r="L17" s="63"/>
      <c r="M17" s="63"/>
      <c r="N17" s="88">
        <f t="shared" si="13"/>
        <v>0</v>
      </c>
      <c r="O17" s="88">
        <f t="shared" si="13"/>
        <v>0</v>
      </c>
      <c r="P17" s="88">
        <f t="shared" si="13"/>
        <v>0</v>
      </c>
      <c r="Q17" s="88">
        <f t="shared" si="13"/>
        <v>0</v>
      </c>
      <c r="R17" s="88">
        <f t="shared" si="13"/>
        <v>0</v>
      </c>
      <c r="S17" s="88">
        <f t="shared" si="13"/>
        <v>0</v>
      </c>
      <c r="T17" s="88">
        <f t="shared" si="13"/>
        <v>0</v>
      </c>
      <c r="U17" s="87">
        <f t="shared" si="14"/>
        <v>0</v>
      </c>
      <c r="V17" s="69">
        <f t="shared" si="15"/>
        <v>0</v>
      </c>
      <c r="AA17" s="88">
        <f t="shared" si="5"/>
        <v>0</v>
      </c>
      <c r="AB17" s="88">
        <f t="shared" si="6"/>
        <v>0</v>
      </c>
      <c r="AC17" s="88">
        <f t="shared" si="7"/>
        <v>0</v>
      </c>
      <c r="AD17" s="88">
        <f t="shared" si="8"/>
        <v>0</v>
      </c>
      <c r="AE17" s="88">
        <f t="shared" si="9"/>
        <v>0</v>
      </c>
      <c r="AF17" s="88">
        <f t="shared" si="10"/>
        <v>0</v>
      </c>
      <c r="AG17" s="109">
        <f t="shared" si="16"/>
        <v>0</v>
      </c>
      <c r="AI17" s="224">
        <f>DATE($AI2,$AJ2,'2週'!U9)</f>
        <v>46215</v>
      </c>
      <c r="AJ17" s="225" t="str">
        <f>'2週'!U8</f>
        <v>日</v>
      </c>
      <c r="AK17" s="226">
        <f>'2週'!U10</f>
        <v>0</v>
      </c>
      <c r="AL17" s="226">
        <f>'2週'!U11</f>
        <v>0</v>
      </c>
      <c r="AM17" s="226">
        <f>'2週'!U12</f>
        <v>0</v>
      </c>
      <c r="AN17" s="226">
        <f>'2週'!U13</f>
        <v>0</v>
      </c>
    </row>
    <row r="18" hidden="1">
      <c r="A18" s="63">
        <v>15</v>
      </c>
      <c r="B18" s="63"/>
      <c r="C18" s="63"/>
      <c r="D18" s="63"/>
      <c r="E18" s="63"/>
      <c r="F18" s="63"/>
      <c r="G18" s="77" t="str">
        <f t="shared" si="0"/>
        <v/>
      </c>
      <c r="H18" s="66" t="str">
        <f t="shared" si="1"/>
        <v/>
      </c>
      <c r="I18" s="95"/>
      <c r="J18" s="66" t="str">
        <f t="shared" si="2"/>
        <v/>
      </c>
      <c r="K18" s="63"/>
      <c r="L18" s="63"/>
      <c r="M18" s="63"/>
      <c r="N18" s="88">
        <f t="shared" si="13"/>
        <v>0</v>
      </c>
      <c r="O18" s="88">
        <f t="shared" si="13"/>
        <v>0</v>
      </c>
      <c r="P18" s="88">
        <f t="shared" si="13"/>
        <v>0</v>
      </c>
      <c r="Q18" s="88">
        <f t="shared" si="13"/>
        <v>0</v>
      </c>
      <c r="R18" s="88">
        <f t="shared" si="13"/>
        <v>0</v>
      </c>
      <c r="S18" s="88">
        <f t="shared" si="13"/>
        <v>0</v>
      </c>
      <c r="T18" s="88">
        <f t="shared" si="13"/>
        <v>0</v>
      </c>
      <c r="U18" s="87">
        <f t="shared" si="14"/>
        <v>0</v>
      </c>
      <c r="V18" s="69">
        <f t="shared" si="15"/>
        <v>0</v>
      </c>
      <c r="AA18" s="88">
        <f t="shared" si="5"/>
        <v>0</v>
      </c>
      <c r="AB18" s="88">
        <f t="shared" si="6"/>
        <v>0</v>
      </c>
      <c r="AC18" s="88">
        <f t="shared" si="7"/>
        <v>0</v>
      </c>
      <c r="AD18" s="88">
        <f t="shared" si="8"/>
        <v>0</v>
      </c>
      <c r="AE18" s="88">
        <f t="shared" si="9"/>
        <v>0</v>
      </c>
      <c r="AF18" s="88">
        <f t="shared" si="10"/>
        <v>0</v>
      </c>
      <c r="AG18" s="109">
        <f t="shared" si="16"/>
        <v>0</v>
      </c>
      <c r="AI18" s="224">
        <f>DATE($AI2,$AJ2,'3週'!I9)</f>
        <v>46216</v>
      </c>
      <c r="AJ18" s="225" t="str">
        <f>'3週'!I8</f>
        <v>月</v>
      </c>
      <c r="AK18" s="226">
        <f>'3週'!I10</f>
        <v>0.375</v>
      </c>
      <c r="AL18" s="226">
        <f>'3週'!I11</f>
        <v>0.79166666666666663</v>
      </c>
      <c r="AM18" s="226">
        <f>'3週'!I12</f>
        <v>4.1666666666666664E-2</v>
      </c>
      <c r="AN18" s="226">
        <f>'3週'!I13</f>
        <v>0.375</v>
      </c>
    </row>
    <row r="19" hidden="1">
      <c r="A19" s="63">
        <v>16</v>
      </c>
      <c r="B19" s="63"/>
      <c r="C19" s="63"/>
      <c r="D19" s="63"/>
      <c r="E19" s="63"/>
      <c r="F19" s="63"/>
      <c r="G19" s="77" t="str">
        <f t="shared" si="0"/>
        <v/>
      </c>
      <c r="H19" s="66" t="str">
        <f t="shared" si="1"/>
        <v/>
      </c>
      <c r="I19" s="95"/>
      <c r="J19" s="66" t="str">
        <f t="shared" si="2"/>
        <v/>
      </c>
      <c r="K19" s="63"/>
      <c r="L19" s="63"/>
      <c r="M19" s="63"/>
      <c r="N19" s="88">
        <f t="shared" si="13"/>
        <v>0</v>
      </c>
      <c r="O19" s="88">
        <f t="shared" si="13"/>
        <v>0</v>
      </c>
      <c r="P19" s="88">
        <f t="shared" si="13"/>
        <v>0</v>
      </c>
      <c r="Q19" s="88">
        <f t="shared" si="13"/>
        <v>0</v>
      </c>
      <c r="R19" s="88">
        <f t="shared" si="13"/>
        <v>0</v>
      </c>
      <c r="S19" s="88">
        <f t="shared" si="13"/>
        <v>0</v>
      </c>
      <c r="T19" s="88">
        <f t="shared" si="13"/>
        <v>0</v>
      </c>
      <c r="U19" s="87">
        <f t="shared" si="14"/>
        <v>0</v>
      </c>
      <c r="V19" s="69">
        <f t="shared" si="15"/>
        <v>0</v>
      </c>
      <c r="AA19" s="88">
        <f t="shared" si="5"/>
        <v>0</v>
      </c>
      <c r="AB19" s="88">
        <f t="shared" si="6"/>
        <v>0</v>
      </c>
      <c r="AC19" s="88">
        <f t="shared" si="7"/>
        <v>0</v>
      </c>
      <c r="AD19" s="88">
        <f t="shared" si="8"/>
        <v>0</v>
      </c>
      <c r="AE19" s="88">
        <f t="shared" si="9"/>
        <v>0</v>
      </c>
      <c r="AF19" s="88">
        <f t="shared" si="10"/>
        <v>0</v>
      </c>
      <c r="AG19" s="109">
        <f t="shared" si="16"/>
        <v>0</v>
      </c>
      <c r="AI19" s="224">
        <f>DATE($AI2,$AJ2,'3週'!K9)</f>
        <v>46217</v>
      </c>
      <c r="AJ19" s="225" t="str">
        <f>'3週'!K8</f>
        <v>火</v>
      </c>
      <c r="AK19" s="226">
        <f>'3週'!K10</f>
        <v>0.375</v>
      </c>
      <c r="AL19" s="226">
        <f>'3週'!K11</f>
        <v>0.79166666666666663</v>
      </c>
      <c r="AM19" s="226">
        <f>'3週'!K12</f>
        <v>4.1666666666666664E-2</v>
      </c>
      <c r="AN19" s="226">
        <f>'3週'!K13</f>
        <v>0.375</v>
      </c>
    </row>
    <row r="20" hidden="1">
      <c r="A20" s="63">
        <v>17</v>
      </c>
      <c r="B20" s="63"/>
      <c r="C20" s="63"/>
      <c r="D20" s="63"/>
      <c r="E20" s="63"/>
      <c r="F20" s="63"/>
      <c r="G20" s="77" t="str">
        <f t="shared" si="0"/>
        <v/>
      </c>
      <c r="H20" s="66" t="str">
        <f t="shared" si="1"/>
        <v/>
      </c>
      <c r="I20" s="95"/>
      <c r="J20" s="66" t="str">
        <f t="shared" si="2"/>
        <v/>
      </c>
      <c r="K20" s="63"/>
      <c r="L20" s="63"/>
      <c r="M20" s="63"/>
      <c r="N20" s="88">
        <f t="shared" si="13"/>
        <v>0</v>
      </c>
      <c r="O20" s="88">
        <f t="shared" si="13"/>
        <v>0</v>
      </c>
      <c r="P20" s="88">
        <f t="shared" si="13"/>
        <v>0</v>
      </c>
      <c r="Q20" s="88">
        <f t="shared" si="13"/>
        <v>0</v>
      </c>
      <c r="R20" s="88">
        <f t="shared" si="13"/>
        <v>0</v>
      </c>
      <c r="S20" s="88">
        <f t="shared" si="13"/>
        <v>0</v>
      </c>
      <c r="T20" s="88">
        <f t="shared" si="13"/>
        <v>0</v>
      </c>
      <c r="U20" s="87">
        <f t="shared" si="14"/>
        <v>0</v>
      </c>
      <c r="V20" s="69">
        <f t="shared" si="15"/>
        <v>0</v>
      </c>
      <c r="AA20" s="88">
        <f t="shared" si="5"/>
        <v>0</v>
      </c>
      <c r="AB20" s="88">
        <f t="shared" si="6"/>
        <v>0</v>
      </c>
      <c r="AC20" s="88">
        <f t="shared" si="7"/>
        <v>0</v>
      </c>
      <c r="AD20" s="88">
        <f t="shared" si="8"/>
        <v>0</v>
      </c>
      <c r="AE20" s="88">
        <f t="shared" si="9"/>
        <v>0</v>
      </c>
      <c r="AF20" s="88">
        <f t="shared" si="10"/>
        <v>0</v>
      </c>
      <c r="AG20" s="109">
        <f t="shared" si="16"/>
        <v>0</v>
      </c>
      <c r="AI20" s="224">
        <f>DATE($AI2,$AJ2,'3週'!M9)</f>
        <v>46218</v>
      </c>
      <c r="AJ20" s="225" t="str">
        <f>'3週'!M8</f>
        <v>水</v>
      </c>
      <c r="AK20" s="226">
        <f>'3週'!M10</f>
        <v>0.375</v>
      </c>
      <c r="AL20" s="226">
        <f>'3週'!M11</f>
        <v>0.79166666666666663</v>
      </c>
      <c r="AM20" s="226">
        <f>'3週'!M12</f>
        <v>4.1666666666666664E-2</v>
      </c>
      <c r="AN20" s="226">
        <f>'3週'!M13</f>
        <v>0.375</v>
      </c>
    </row>
    <row r="21" hidden="1">
      <c r="A21" s="63">
        <v>18</v>
      </c>
      <c r="B21" s="63"/>
      <c r="C21" s="63"/>
      <c r="D21" s="63"/>
      <c r="E21" s="63"/>
      <c r="F21" s="63"/>
      <c r="G21" s="77" t="str">
        <f t="shared" si="0"/>
        <v/>
      </c>
      <c r="H21" s="66" t="str">
        <f t="shared" si="1"/>
        <v/>
      </c>
      <c r="I21" s="95"/>
      <c r="J21" s="66" t="str">
        <f t="shared" si="2"/>
        <v/>
      </c>
      <c r="K21" s="63"/>
      <c r="L21" s="63"/>
      <c r="M21" s="63"/>
      <c r="N21" s="88">
        <f t="shared" si="13"/>
        <v>0</v>
      </c>
      <c r="O21" s="88">
        <f t="shared" si="13"/>
        <v>0</v>
      </c>
      <c r="P21" s="88">
        <f t="shared" si="13"/>
        <v>0</v>
      </c>
      <c r="Q21" s="88">
        <f t="shared" si="13"/>
        <v>0</v>
      </c>
      <c r="R21" s="88">
        <f t="shared" si="13"/>
        <v>0</v>
      </c>
      <c r="S21" s="88">
        <f t="shared" si="13"/>
        <v>0</v>
      </c>
      <c r="T21" s="88">
        <f t="shared" si="13"/>
        <v>0</v>
      </c>
      <c r="U21" s="87">
        <f t="shared" si="14"/>
        <v>0</v>
      </c>
      <c r="V21" s="69">
        <f t="shared" si="15"/>
        <v>0</v>
      </c>
      <c r="AA21" s="88">
        <f t="shared" si="5"/>
        <v>0</v>
      </c>
      <c r="AB21" s="88">
        <f t="shared" si="6"/>
        <v>0</v>
      </c>
      <c r="AC21" s="88">
        <f t="shared" si="7"/>
        <v>0</v>
      </c>
      <c r="AD21" s="88">
        <f t="shared" si="8"/>
        <v>0</v>
      </c>
      <c r="AE21" s="88">
        <f t="shared" si="9"/>
        <v>0</v>
      </c>
      <c r="AF21" s="88">
        <f t="shared" si="10"/>
        <v>0</v>
      </c>
      <c r="AG21" s="109">
        <f t="shared" si="16"/>
        <v>0</v>
      </c>
      <c r="AI21" s="224">
        <f>DATE($AI2,$AJ2,'3週'!O9)</f>
        <v>46219</v>
      </c>
      <c r="AJ21" s="225" t="str">
        <f>'3週'!O8</f>
        <v>木</v>
      </c>
      <c r="AK21" s="226">
        <f>'3週'!O10</f>
        <v>0.375</v>
      </c>
      <c r="AL21" s="226">
        <f>'3週'!O11</f>
        <v>0.79166666666666663</v>
      </c>
      <c r="AM21" s="226">
        <f>'3週'!O12</f>
        <v>4.1666666666666664E-2</v>
      </c>
      <c r="AN21" s="226">
        <f>'3週'!O13</f>
        <v>0.375</v>
      </c>
    </row>
    <row r="22" hidden="1">
      <c r="A22" s="63">
        <v>19</v>
      </c>
      <c r="B22" s="63"/>
      <c r="C22" s="63"/>
      <c r="D22" s="63"/>
      <c r="E22" s="63"/>
      <c r="F22" s="63"/>
      <c r="G22" s="77" t="str">
        <f t="shared" si="0"/>
        <v/>
      </c>
      <c r="H22" s="66" t="str">
        <f t="shared" si="1"/>
        <v/>
      </c>
      <c r="I22" s="95"/>
      <c r="J22" s="66" t="str">
        <f t="shared" si="2"/>
        <v/>
      </c>
      <c r="K22" s="63"/>
      <c r="L22" s="63"/>
      <c r="M22" s="63"/>
      <c r="N22" s="88">
        <f t="shared" si="13"/>
        <v>0</v>
      </c>
      <c r="O22" s="88">
        <f t="shared" si="13"/>
        <v>0</v>
      </c>
      <c r="P22" s="88">
        <f t="shared" si="13"/>
        <v>0</v>
      </c>
      <c r="Q22" s="88">
        <f t="shared" si="13"/>
        <v>0</v>
      </c>
      <c r="R22" s="88">
        <f t="shared" si="13"/>
        <v>0</v>
      </c>
      <c r="S22" s="88">
        <f t="shared" si="13"/>
        <v>0</v>
      </c>
      <c r="T22" s="88">
        <f t="shared" si="13"/>
        <v>0</v>
      </c>
      <c r="U22" s="87">
        <f t="shared" si="14"/>
        <v>0</v>
      </c>
      <c r="V22" s="69">
        <f t="shared" si="15"/>
        <v>0</v>
      </c>
      <c r="AA22" s="88">
        <f t="shared" si="5"/>
        <v>0</v>
      </c>
      <c r="AB22" s="88">
        <f t="shared" si="6"/>
        <v>0</v>
      </c>
      <c r="AC22" s="88">
        <f t="shared" si="7"/>
        <v>0</v>
      </c>
      <c r="AD22" s="88">
        <f t="shared" si="8"/>
        <v>0</v>
      </c>
      <c r="AE22" s="88">
        <f t="shared" si="9"/>
        <v>0</v>
      </c>
      <c r="AF22" s="88">
        <f t="shared" si="10"/>
        <v>0</v>
      </c>
      <c r="AG22" s="109">
        <f t="shared" si="16"/>
        <v>0</v>
      </c>
      <c r="AI22" s="224">
        <f>DATE($AI2,$AJ2,'3週'!Q9)</f>
        <v>46220</v>
      </c>
      <c r="AJ22" s="225" t="str">
        <f>'3週'!Q8</f>
        <v>金</v>
      </c>
      <c r="AK22" s="226">
        <f>'3週'!Q10</f>
        <v>0.375</v>
      </c>
      <c r="AL22" s="226">
        <f>'3週'!Q11</f>
        <v>0.79166666666666663</v>
      </c>
      <c r="AM22" s="226">
        <f>'3週'!Q12</f>
        <v>4.1666666666666664E-2</v>
      </c>
      <c r="AN22" s="226">
        <f>'3週'!Q13</f>
        <v>0.375</v>
      </c>
    </row>
    <row r="23" ht="14.25" hidden="1" thickBot="1">
      <c r="A23" s="63">
        <v>20</v>
      </c>
      <c r="B23" s="63"/>
      <c r="C23" s="63"/>
      <c r="D23" s="63"/>
      <c r="E23" s="63"/>
      <c r="F23" s="63"/>
      <c r="G23" s="77" t="str">
        <f t="shared" si="0"/>
        <v/>
      </c>
      <c r="H23" s="66" t="str">
        <f t="shared" si="1"/>
        <v/>
      </c>
      <c r="I23" s="96"/>
      <c r="J23" s="66" t="str">
        <f t="shared" si="2"/>
        <v/>
      </c>
      <c r="K23" s="63"/>
      <c r="L23" s="63"/>
      <c r="M23" s="63"/>
      <c r="N23" s="88">
        <f t="shared" si="13"/>
        <v>0</v>
      </c>
      <c r="O23" s="88">
        <f t="shared" si="13"/>
        <v>0</v>
      </c>
      <c r="P23" s="88">
        <f t="shared" si="13"/>
        <v>0</v>
      </c>
      <c r="Q23" s="88">
        <f t="shared" si="13"/>
        <v>0</v>
      </c>
      <c r="R23" s="88">
        <f t="shared" si="13"/>
        <v>0</v>
      </c>
      <c r="S23" s="88">
        <f t="shared" si="13"/>
        <v>0</v>
      </c>
      <c r="T23" s="88">
        <f t="shared" si="13"/>
        <v>0</v>
      </c>
      <c r="U23" s="87">
        <f t="shared" si="4"/>
        <v>0</v>
      </c>
      <c r="V23" s="69">
        <f t="shared" si="11"/>
        <v>0</v>
      </c>
      <c r="AA23" s="88">
        <f t="shared" si="5"/>
        <v>0</v>
      </c>
      <c r="AB23" s="88">
        <f t="shared" si="6"/>
        <v>0</v>
      </c>
      <c r="AC23" s="88">
        <f t="shared" si="7"/>
        <v>0</v>
      </c>
      <c r="AD23" s="88">
        <f t="shared" si="8"/>
        <v>0</v>
      </c>
      <c r="AE23" s="88">
        <f t="shared" si="9"/>
        <v>0</v>
      </c>
      <c r="AF23" s="88">
        <f t="shared" si="10"/>
        <v>0</v>
      </c>
      <c r="AG23" s="109">
        <f t="shared" si="12"/>
        <v>0</v>
      </c>
      <c r="AI23" s="224">
        <f>DATE($AI2,$AJ2,'3週'!S9)</f>
        <v>46221</v>
      </c>
      <c r="AJ23" s="225" t="str">
        <f>'3週'!S8</f>
        <v>土</v>
      </c>
      <c r="AK23" s="226">
        <f>'3週'!S10</f>
        <v>0</v>
      </c>
      <c r="AL23" s="226">
        <f>'3週'!S11</f>
        <v>0</v>
      </c>
      <c r="AM23" s="226">
        <f>'3週'!S12</f>
        <v>0</v>
      </c>
      <c r="AN23" s="226">
        <f>'3週'!S13</f>
        <v>0</v>
      </c>
    </row>
    <row r="24" spans="1:40" hidden="1">
      <c r="AI24" s="224">
        <f>DATE($AI2,$AJ2,'3週'!U9)</f>
        <v>46222</v>
      </c>
      <c r="AJ24" s="225" t="str">
        <f>'3週'!U8</f>
        <v>日</v>
      </c>
      <c r="AK24" s="226">
        <f>'3週'!U10</f>
        <v>0</v>
      </c>
      <c r="AL24" s="226">
        <f>'3週'!U11</f>
        <v>0</v>
      </c>
      <c r="AM24" s="226">
        <f>'3週'!U12</f>
        <v>0</v>
      </c>
      <c r="AN24" s="226">
        <f>'3週'!U13</f>
        <v>0</v>
      </c>
    </row>
    <row r="25" spans="1:40" hidden="1">
      <c r="AI25" s="224">
        <f>DATE($AI2,$AJ2,'4週'!I9)</f>
        <v>46223</v>
      </c>
      <c r="AJ25" s="225" t="str">
        <f>'4週'!I8</f>
        <v>月</v>
      </c>
      <c r="AK25" s="226">
        <f>'4週'!I10</f>
        <v>0.375</v>
      </c>
      <c r="AL25" s="226">
        <f>'4週'!I11</f>
        <v>0.79166666666666663</v>
      </c>
      <c r="AM25" s="226">
        <f>'4週'!I12</f>
        <v>4.1666666666666664E-2</v>
      </c>
      <c r="AN25" s="226">
        <f>'4週'!I13</f>
        <v>0.375</v>
      </c>
    </row>
    <row r="26" spans="1:40">
      <c r="AI26" s="224">
        <f>DATE($AI2,$AJ2,'4週'!K9)</f>
        <v>46224</v>
      </c>
      <c r="AJ26" s="225" t="str">
        <f>'4週'!K8</f>
        <v>火</v>
      </c>
      <c r="AK26" s="226">
        <f>'4週'!K10</f>
        <v>0.375</v>
      </c>
      <c r="AL26" s="226">
        <f>'4週'!K11</f>
        <v>0.79166666666666663</v>
      </c>
      <c r="AM26" s="226">
        <f>'4週'!K12</f>
        <v>4.1666666666666664E-2</v>
      </c>
      <c r="AN26" s="226">
        <f>'4週'!K13</f>
        <v>0.375</v>
      </c>
    </row>
    <row r="27" spans="1:40" ht="14.25" thickBot="1">
      <c r="AI27" s="224">
        <f>DATE($AI2,$AJ2,'4週'!M9)</f>
        <v>46225</v>
      </c>
      <c r="AJ27" s="225" t="str">
        <f>'4週'!M8</f>
        <v>水</v>
      </c>
      <c r="AK27" s="226">
        <f>'4週'!M10</f>
        <v>0.375</v>
      </c>
      <c r="AL27" s="226">
        <f>'4週'!M11</f>
        <v>0.79166666666666663</v>
      </c>
      <c r="AM27" s="226">
        <f>'4週'!M12</f>
        <v>4.1666666666666664E-2</v>
      </c>
      <c r="AN27" s="226">
        <f>'4週'!M13</f>
        <v>0.375</v>
      </c>
    </row>
    <row r="28" spans="1:40" ht="14.25" thickBot="1">
      <c r="A28" s="84" t="s">
        <v>151</v>
      </c>
      <c r="B28" s="84" t="s">
        <v>53</v>
      </c>
      <c r="C28" s="84" t="s">
        <v>5</v>
      </c>
      <c r="D28" s="84"/>
      <c r="E28" s="84"/>
      <c r="F28" s="84"/>
      <c r="G28" s="84" t="s">
        <v>16</v>
      </c>
      <c r="H28" s="84"/>
      <c r="I28" s="84" t="s">
        <v>23</v>
      </c>
      <c r="J28" s="84"/>
      <c r="K28" s="84"/>
      <c r="L28" s="84"/>
      <c r="M28" s="84"/>
      <c r="N28" s="101" t="s">
        <v>125</v>
      </c>
      <c r="O28" s="101" t="s">
        <v>126</v>
      </c>
      <c r="P28" s="101" t="s">
        <v>127</v>
      </c>
      <c r="Q28" s="101" t="s">
        <v>128</v>
      </c>
      <c r="R28" s="101" t="s">
        <v>129</v>
      </c>
      <c r="S28" s="101" t="s">
        <v>130</v>
      </c>
      <c r="T28" s="101" t="s">
        <v>131</v>
      </c>
      <c r="U28" s="74">
        <f>SUM(U29:U154)</f>
        <v>8.3125</v>
      </c>
      <c r="V28" s="97" t="s">
        <v>29</v>
      </c>
      <c r="W28" s="84" t="s">
        <v>152</v>
      </c>
      <c r="AI28" s="224">
        <f>DATE($AI2,$AJ2,'4週'!O9)</f>
        <v>46226</v>
      </c>
      <c r="AJ28" s="225" t="str">
        <f>'4週'!O8</f>
        <v>木</v>
      </c>
      <c r="AK28" s="226">
        <f>'4週'!O10</f>
        <v>0.375</v>
      </c>
      <c r="AL28" s="226">
        <f>'4週'!O11</f>
        <v>0.79166666666666663</v>
      </c>
      <c r="AM28" s="226">
        <f>'4週'!O12</f>
        <v>4.1666666666666664E-2</v>
      </c>
      <c r="AN28" s="226">
        <f>'4週'!O13</f>
        <v>0.375</v>
      </c>
    </row>
    <row r="29" spans="1:40">
      <c r="A29" s="66">
        <f>'1週'!D6</f>
        <v>10000</v>
      </c>
      <c r="B29" s="64" t="str">
        <f>'1週'!C6</f>
        <v>FPTジャパン</v>
      </c>
      <c r="C29" s="64" t="str">
        <f>'1週'!C7</f>
        <v>LE NHUT THIEN</v>
      </c>
      <c r="D29" s="76" t="s">
        <v>153</v>
      </c>
      <c r="E29" s="66">
        <f>'1週'!A15</f>
        <v>1</v>
      </c>
      <c r="F29" s="66">
        <f>'1週'!B16</f>
        <v>10000</v>
      </c>
      <c r="G29" s="77">
        <f>'1週'!B15</f>
        <v>10000</v>
      </c>
      <c r="H29" s="66" t="str">
        <f>'1週'!C15</f>
        <v>Yokogawa</v>
      </c>
      <c r="I29" s="77">
        <f>'1週'!B16</f>
        <v>10000</v>
      </c>
      <c r="J29" s="66" t="str">
        <f>'1週'!C16</f>
        <v xml:space="preserve">Rep Portal </v>
      </c>
      <c r="K29" s="66" t="str">
        <f>'1週'!E15</f>
        <v>調査・分析・開発計画の準備・実施作業</v>
      </c>
      <c r="L29" s="66">
        <f>'1週'!E16</f>
        <v>0</v>
      </c>
      <c r="M29" s="126" t="str">
        <f>I29&amp;'1週'!D15</f>
        <v>1000010102</v>
      </c>
      <c r="N29" s="85">
        <f>'1週'!I16</f>
        <v>0</v>
      </c>
      <c r="O29" s="85">
        <f>'1週'!K16</f>
        <v>0</v>
      </c>
      <c r="P29" s="85">
        <f>'1週'!M16</f>
        <v>0</v>
      </c>
      <c r="Q29" s="85">
        <f>'1週'!O16</f>
        <v>0</v>
      </c>
      <c r="R29" s="85">
        <f>'1週'!Q16</f>
        <v>0</v>
      </c>
      <c r="S29" s="85">
        <f>'1週'!S16</f>
        <v>0</v>
      </c>
      <c r="T29" s="85">
        <f>'1週'!U16</f>
        <v>0</v>
      </c>
      <c r="U29" s="98">
        <f t="shared" ref="U29:U48" si="17">SUM(N29:T29)</f>
        <v>0</v>
      </c>
      <c r="V29" s="84"/>
      <c r="W29" s="84"/>
      <c r="AI29" s="224">
        <f>DATE($AI2,$AJ2,'4週'!Q9)</f>
        <v>46227</v>
      </c>
      <c r="AJ29" s="225" t="str">
        <f>'4週'!Q8</f>
        <v>金</v>
      </c>
      <c r="AK29" s="226">
        <f>'4週'!Q10</f>
        <v>0.375</v>
      </c>
      <c r="AL29" s="226">
        <f>'4週'!Q11</f>
        <v>0.79166666666666663</v>
      </c>
      <c r="AM29" s="226">
        <f>'4週'!Q12</f>
        <v>4.1666666666666664E-2</v>
      </c>
      <c r="AN29" s="226">
        <f>'4週'!Q13</f>
        <v>0.375</v>
      </c>
    </row>
    <row r="30" spans="1:40">
      <c r="A30" s="66"/>
      <c r="B30" s="66"/>
      <c r="C30" s="66"/>
      <c r="D30" s="78"/>
      <c r="E30" s="66">
        <f>'1週'!A17</f>
        <v>2</v>
      </c>
      <c r="F30" s="66">
        <f>'1週'!B18</f>
        <v>10000</v>
      </c>
      <c r="G30" s="77">
        <f>'1週'!B17</f>
        <v>10000</v>
      </c>
      <c r="H30" s="66" t="str">
        <f>'1週'!C17</f>
        <v>Yokogawa</v>
      </c>
      <c r="I30" s="77">
        <f>'1週'!B18</f>
        <v>10000</v>
      </c>
      <c r="J30" s="66" t="str">
        <f>'1週'!C18</f>
        <v xml:space="preserve">Rep Portal </v>
      </c>
      <c r="K30" s="66" t="str">
        <f>'1週'!E17</f>
        <v>プログラムの実施</v>
      </c>
      <c r="L30" s="66">
        <f>'1週'!E18</f>
        <v>0</v>
      </c>
      <c r="M30" s="126" t="str">
        <f>I30&amp;'1週'!D17</f>
        <v>1000030106</v>
      </c>
      <c r="N30" s="85">
        <f>'1週'!I18</f>
        <v>0</v>
      </c>
      <c r="O30" s="85">
        <f>'1週'!K18</f>
        <v>0</v>
      </c>
      <c r="P30" s="85">
        <f>'1週'!M18</f>
        <v>0</v>
      </c>
      <c r="Q30" s="85">
        <f>'1週'!O18</f>
        <v>0</v>
      </c>
      <c r="R30" s="85">
        <f>'1週'!Q18</f>
        <v>0</v>
      </c>
      <c r="S30" s="85">
        <f>'1週'!S18</f>
        <v>0</v>
      </c>
      <c r="T30" s="85">
        <f>'1週'!U18</f>
        <v>0</v>
      </c>
      <c r="U30" s="99">
        <f t="shared" si="17"/>
        <v>0</v>
      </c>
      <c r="V30" s="84"/>
      <c r="W30" s="84"/>
      <c r="AI30" s="224">
        <f>DATE($AI2,$AJ2,'4週'!S9)</f>
        <v>46228</v>
      </c>
      <c r="AJ30" s="225" t="str">
        <f>'4週'!S8</f>
        <v>土</v>
      </c>
      <c r="AK30" s="226">
        <f>'4週'!S10</f>
        <v>0</v>
      </c>
      <c r="AL30" s="226">
        <f>'4週'!S11</f>
        <v>0</v>
      </c>
      <c r="AM30" s="226">
        <f>'4週'!S12</f>
        <v>0</v>
      </c>
      <c r="AN30" s="226">
        <f>'4週'!S13</f>
        <v>0</v>
      </c>
    </row>
    <row r="31" spans="1:40">
      <c r="A31" s="66"/>
      <c r="B31" s="66"/>
      <c r="C31" s="66"/>
      <c r="D31" s="78"/>
      <c r="E31" s="66">
        <f>'1週'!A19</f>
        <v>3</v>
      </c>
      <c r="F31" s="66">
        <f>'1週'!B20</f>
        <v>10000</v>
      </c>
      <c r="G31" s="77">
        <f>'1週'!B19</f>
        <v>10000</v>
      </c>
      <c r="H31" s="66" t="str">
        <f>'1週'!C19</f>
        <v>Yokogawa</v>
      </c>
      <c r="I31" s="77">
        <f>'1週'!B20</f>
        <v>10000</v>
      </c>
      <c r="J31" s="66" t="str">
        <f>'1週'!C20</f>
        <v xml:space="preserve">Rep Portal </v>
      </c>
      <c r="K31" s="66" t="str">
        <f>'1週'!E19</f>
        <v>テスト実施</v>
      </c>
      <c r="L31" s="66">
        <f>'1週'!E20</f>
        <v>0</v>
      </c>
      <c r="M31" s="126" t="str">
        <f>I31&amp;'1週'!D19</f>
        <v>1000040108</v>
      </c>
      <c r="N31" s="85">
        <f>'1週'!I20</f>
        <v>0</v>
      </c>
      <c r="O31" s="85">
        <f>'1週'!K20</f>
        <v>0</v>
      </c>
      <c r="P31" s="85">
        <f>'1週'!M20</f>
        <v>0</v>
      </c>
      <c r="Q31" s="85">
        <f>'1週'!O20</f>
        <v>0</v>
      </c>
      <c r="R31" s="85">
        <f>'1週'!Q20</f>
        <v>0</v>
      </c>
      <c r="S31" s="85">
        <f>'1週'!S20</f>
        <v>0</v>
      </c>
      <c r="T31" s="85">
        <f>'1週'!U20</f>
        <v>0</v>
      </c>
      <c r="U31" s="99">
        <f t="shared" si="17"/>
        <v>0</v>
      </c>
      <c r="V31" s="84"/>
      <c r="W31" s="84"/>
      <c r="AI31" s="224">
        <f>DATE($AI2,$AJ2,'4週'!U9)</f>
        <v>46229</v>
      </c>
      <c r="AJ31" s="225" t="str">
        <f>'4週'!U8</f>
        <v>日</v>
      </c>
      <c r="AK31" s="226">
        <f>'4週'!U10</f>
        <v>0</v>
      </c>
      <c r="AL31" s="226">
        <f>'4週'!U11</f>
        <v>0</v>
      </c>
      <c r="AM31" s="226">
        <f>'4週'!U12</f>
        <v>0</v>
      </c>
      <c r="AN31" s="226">
        <f>'4週'!U13</f>
        <v>0</v>
      </c>
    </row>
    <row r="32" spans="1:40">
      <c r="A32" s="66"/>
      <c r="B32" s="66"/>
      <c r="C32" s="66"/>
      <c r="D32" s="78"/>
      <c r="E32" s="66">
        <f>'1週'!A21</f>
        <v>4</v>
      </c>
      <c r="F32" s="66">
        <f>'1週'!B22</f>
        <v>0</v>
      </c>
      <c r="G32" s="77" t="str">
        <f>'1週'!B21</f>
        <v/>
      </c>
      <c r="H32" s="66" t="str">
        <f>'1週'!C21</f>
        <v/>
      </c>
      <c r="I32" s="77">
        <f>'1週'!B22</f>
        <v>0</v>
      </c>
      <c r="J32" s="66" t="str">
        <f>'1週'!C22</f>
        <v/>
      </c>
      <c r="K32" s="66">
        <f>'1週'!E21</f>
        <v>0</v>
      </c>
      <c r="L32" s="66">
        <f>'1週'!E22</f>
        <v>0</v>
      </c>
      <c r="M32" s="126" t="str">
        <f>I32&amp;'1週'!D21</f>
        <v>0</v>
      </c>
      <c r="N32" s="85">
        <f>'1週'!I22</f>
        <v>0</v>
      </c>
      <c r="O32" s="85">
        <f>'1週'!K22</f>
        <v>0</v>
      </c>
      <c r="P32" s="85">
        <f>'1週'!M22</f>
        <v>0</v>
      </c>
      <c r="Q32" s="85">
        <f>'1週'!O22</f>
        <v>0</v>
      </c>
      <c r="R32" s="85">
        <f>'1週'!Q22</f>
        <v>0</v>
      </c>
      <c r="S32" s="85">
        <f>'1週'!S22</f>
        <v>0</v>
      </c>
      <c r="T32" s="85">
        <f>'1週'!U22</f>
        <v>0</v>
      </c>
      <c r="U32" s="99">
        <f t="shared" si="17"/>
        <v>0</v>
      </c>
      <c r="V32" s="84"/>
      <c r="W32" s="84"/>
      <c r="AI32" s="224">
        <f>DATE($AI2,$AJ2,'5週'!I9)</f>
        <v>46230</v>
      </c>
      <c r="AJ32" s="225" t="str">
        <f>'5週'!I8</f>
        <v>月</v>
      </c>
      <c r="AK32" s="226">
        <f>'5週'!I10</f>
        <v>0.375</v>
      </c>
      <c r="AL32" s="226">
        <f>'5週'!I11</f>
        <v>0.79166666666666663</v>
      </c>
      <c r="AM32" s="226">
        <f>'5週'!I12</f>
        <v>4.1666666666666664E-2</v>
      </c>
      <c r="AN32" s="226">
        <f>'5週'!I13</f>
        <v>0.375</v>
      </c>
    </row>
    <row r="33" spans="1:40">
      <c r="A33" s="66"/>
      <c r="B33" s="66"/>
      <c r="C33" s="66"/>
      <c r="D33" s="78"/>
      <c r="E33" s="66">
        <f>'1週'!A23</f>
        <v>5</v>
      </c>
      <c r="F33" s="66">
        <f>'1週'!B24</f>
        <v>0</v>
      </c>
      <c r="G33" s="77" t="str">
        <f>'1週'!B23</f>
        <v/>
      </c>
      <c r="H33" s="66" t="str">
        <f>'1週'!C23</f>
        <v/>
      </c>
      <c r="I33" s="77">
        <f>'1週'!B24</f>
        <v>0</v>
      </c>
      <c r="J33" s="66" t="str">
        <f>'1週'!C24</f>
        <v/>
      </c>
      <c r="K33" s="66">
        <f>'1週'!E23</f>
        <v>0</v>
      </c>
      <c r="L33" s="66">
        <f>'1週'!E24</f>
        <v>0</v>
      </c>
      <c r="M33" s="126" t="str">
        <f>I33&amp;'1週'!D23</f>
        <v>0</v>
      </c>
      <c r="N33" s="85">
        <f>'1週'!I24</f>
        <v>0</v>
      </c>
      <c r="O33" s="85">
        <f>'1週'!K24</f>
        <v>0</v>
      </c>
      <c r="P33" s="85">
        <f>'1週'!M24</f>
        <v>0</v>
      </c>
      <c r="Q33" s="85">
        <f>'1週'!O24</f>
        <v>0</v>
      </c>
      <c r="R33" s="85">
        <f>'1週'!Q24</f>
        <v>0</v>
      </c>
      <c r="S33" s="85">
        <f>'1週'!S24</f>
        <v>0</v>
      </c>
      <c r="T33" s="85">
        <f>'1週'!U24</f>
        <v>0</v>
      </c>
      <c r="U33" s="99">
        <f t="shared" si="17"/>
        <v>0</v>
      </c>
      <c r="V33" s="84"/>
      <c r="W33" s="84"/>
      <c r="AI33" s="224">
        <f>DATE($AI2,$AJ2,'5週'!K9)</f>
        <v>46231</v>
      </c>
      <c r="AJ33" s="225" t="str">
        <f>'5週'!K8</f>
        <v>火</v>
      </c>
      <c r="AK33" s="226">
        <f>'5週'!K10</f>
        <v>0.375</v>
      </c>
      <c r="AL33" s="226">
        <f>'5週'!K11</f>
        <v>0.79166666666666663</v>
      </c>
      <c r="AM33" s="226">
        <f>'5週'!K12</f>
        <v>4.1666666666666664E-2</v>
      </c>
      <c r="AN33" s="226">
        <f>'5週'!K13</f>
        <v>0.375</v>
      </c>
    </row>
    <row r="34" spans="1:40">
      <c r="A34" s="66"/>
      <c r="B34" s="66"/>
      <c r="C34" s="66"/>
      <c r="D34" s="78"/>
      <c r="E34" s="66">
        <f>'1週'!A25</f>
        <v>6</v>
      </c>
      <c r="F34" s="66">
        <f>'1週'!B26</f>
        <v>0</v>
      </c>
      <c r="G34" s="77" t="str">
        <f>'1週'!B25</f>
        <v/>
      </c>
      <c r="H34" s="66" t="str">
        <f>'1週'!C25</f>
        <v/>
      </c>
      <c r="I34" s="77">
        <f>'1週'!B26</f>
        <v>0</v>
      </c>
      <c r="J34" s="66" t="str">
        <f>'1週'!C26</f>
        <v/>
      </c>
      <c r="K34" s="66">
        <f>'1週'!E25</f>
        <v>0</v>
      </c>
      <c r="L34" s="66">
        <f>'1週'!E26</f>
        <v>0</v>
      </c>
      <c r="M34" s="126" t="str">
        <f>I34&amp;'1週'!D25</f>
        <v>0</v>
      </c>
      <c r="N34" s="85">
        <f>'1週'!I26</f>
        <v>0</v>
      </c>
      <c r="O34" s="85">
        <f>'1週'!K26</f>
        <v>0</v>
      </c>
      <c r="P34" s="85">
        <f>'1週'!M26</f>
        <v>0</v>
      </c>
      <c r="Q34" s="85">
        <f>'1週'!O26</f>
        <v>0</v>
      </c>
      <c r="R34" s="85">
        <f>'1週'!Q26</f>
        <v>0</v>
      </c>
      <c r="S34" s="85">
        <f>'1週'!S26</f>
        <v>0</v>
      </c>
      <c r="T34" s="85">
        <f>'1週'!U26</f>
        <v>0</v>
      </c>
      <c r="U34" s="99">
        <f t="shared" si="17"/>
        <v>0</v>
      </c>
      <c r="V34" s="84"/>
      <c r="W34" s="84"/>
      <c r="AI34" s="224">
        <f>DATE($AI2,$AJ2,'5週'!M9)</f>
        <v>46232</v>
      </c>
      <c r="AJ34" s="225" t="str">
        <f>'5週'!M8</f>
        <v>水</v>
      </c>
      <c r="AK34" s="226">
        <f>'5週'!M10</f>
        <v>0</v>
      </c>
      <c r="AL34" s="226">
        <f>'5週'!M11</f>
        <v>0</v>
      </c>
      <c r="AM34" s="226">
        <f>'5週'!M12</f>
        <v>0</v>
      </c>
      <c r="AN34" s="226">
        <f>'5週'!M13</f>
        <v>0</v>
      </c>
    </row>
    <row r="35" spans="1:40">
      <c r="A35" s="66"/>
      <c r="B35" s="66"/>
      <c r="C35" s="66"/>
      <c r="D35" s="78"/>
      <c r="E35" s="66">
        <f>'1週'!A27</f>
        <v>7</v>
      </c>
      <c r="F35" s="66">
        <f>'1週'!B28</f>
        <v>0</v>
      </c>
      <c r="G35" s="77" t="str">
        <f>'1週'!B27</f>
        <v/>
      </c>
      <c r="H35" s="66" t="str">
        <f>'1週'!C27</f>
        <v/>
      </c>
      <c r="I35" s="77">
        <f>'1週'!B28</f>
        <v>0</v>
      </c>
      <c r="J35" s="66" t="str">
        <f>'1週'!C28</f>
        <v/>
      </c>
      <c r="K35" s="66">
        <f>'1週'!E27</f>
        <v>0</v>
      </c>
      <c r="L35" s="66">
        <f>'1週'!E28</f>
        <v>0</v>
      </c>
      <c r="M35" s="126" t="str">
        <f>I35&amp;'1週'!D27</f>
        <v>0</v>
      </c>
      <c r="N35" s="85">
        <f>'1週'!I28</f>
        <v>0</v>
      </c>
      <c r="O35" s="85">
        <f>'1週'!K28</f>
        <v>0</v>
      </c>
      <c r="P35" s="85">
        <f>'1週'!M28</f>
        <v>0</v>
      </c>
      <c r="Q35" s="85">
        <f>'1週'!O28</f>
        <v>0</v>
      </c>
      <c r="R35" s="85">
        <f>'1週'!Q28</f>
        <v>0</v>
      </c>
      <c r="S35" s="85">
        <f>'1週'!S28</f>
        <v>0</v>
      </c>
      <c r="T35" s="85">
        <f>'1週'!U28</f>
        <v>0</v>
      </c>
      <c r="U35" s="99">
        <f t="shared" si="17"/>
        <v>0</v>
      </c>
      <c r="V35" s="84"/>
      <c r="W35" s="84"/>
      <c r="AI35" s="224">
        <f>DATE($AI2,$AJ2,'5週'!O9)</f>
        <v>46233</v>
      </c>
      <c r="AJ35" s="225" t="str">
        <f>'5週'!O8</f>
        <v>木</v>
      </c>
      <c r="AK35" s="226">
        <f>'5週'!O10</f>
        <v>0</v>
      </c>
      <c r="AL35" s="226">
        <f>'5週'!O11</f>
        <v>0</v>
      </c>
      <c r="AM35" s="226">
        <f>'5週'!O12</f>
        <v>0</v>
      </c>
      <c r="AN35" s="226">
        <f>'5週'!O13</f>
        <v>0</v>
      </c>
    </row>
    <row r="36" spans="1:40">
      <c r="A36" s="66"/>
      <c r="B36" s="66"/>
      <c r="C36" s="66"/>
      <c r="D36" s="78"/>
      <c r="E36" s="66">
        <f>'1週'!A29</f>
        <v>8</v>
      </c>
      <c r="F36" s="66">
        <f>'1週'!B30</f>
        <v>0</v>
      </c>
      <c r="G36" s="77" t="str">
        <f>'1週'!B29</f>
        <v/>
      </c>
      <c r="H36" s="66" t="str">
        <f>'1週'!C29</f>
        <v/>
      </c>
      <c r="I36" s="77">
        <f>'1週'!B30</f>
        <v>0</v>
      </c>
      <c r="J36" s="66" t="str">
        <f>'1週'!C30</f>
        <v/>
      </c>
      <c r="K36" s="66">
        <f>'1週'!E29</f>
        <v>0</v>
      </c>
      <c r="L36" s="66">
        <f>'1週'!E30</f>
        <v>0</v>
      </c>
      <c r="M36" s="126" t="str">
        <f>I36&amp;'1週'!D29</f>
        <v>0</v>
      </c>
      <c r="N36" s="85">
        <f>'1週'!I30</f>
        <v>0</v>
      </c>
      <c r="O36" s="85">
        <f>'1週'!K30</f>
        <v>0</v>
      </c>
      <c r="P36" s="85">
        <f>'1週'!M30</f>
        <v>0</v>
      </c>
      <c r="Q36" s="85">
        <f>'1週'!O30</f>
        <v>0</v>
      </c>
      <c r="R36" s="85">
        <f>'1週'!Q30</f>
        <v>0</v>
      </c>
      <c r="S36" s="85">
        <f>'1週'!S30</f>
        <v>0</v>
      </c>
      <c r="T36" s="85">
        <f>'1週'!U30</f>
        <v>0</v>
      </c>
      <c r="U36" s="99">
        <f t="shared" si="17"/>
        <v>0</v>
      </c>
      <c r="V36" s="84"/>
      <c r="W36" s="84"/>
      <c r="AI36" s="224">
        <f>DATE($AI2,$AJ2,'5週'!Q9)</f>
        <v>46234</v>
      </c>
      <c r="AJ36" s="225" t="str">
        <f>'5週'!Q8</f>
        <v>金</v>
      </c>
      <c r="AK36" s="226">
        <f>'5週'!Q10</f>
        <v>0</v>
      </c>
      <c r="AL36" s="226">
        <f>'5週'!Q11</f>
        <v>0</v>
      </c>
      <c r="AM36" s="226">
        <f>'5週'!Q12</f>
        <v>0</v>
      </c>
      <c r="AN36" s="226">
        <f>'5週'!Q13</f>
        <v>0</v>
      </c>
    </row>
    <row r="37" spans="1:40">
      <c r="A37" s="66"/>
      <c r="B37" s="66"/>
      <c r="C37" s="66"/>
      <c r="D37" s="78"/>
      <c r="E37" s="66">
        <f>'1週'!A31</f>
        <v>9</v>
      </c>
      <c r="F37" s="66">
        <f>'1週'!B32</f>
        <v>0</v>
      </c>
      <c r="G37" s="77" t="str">
        <f>'1週'!B31</f>
        <v/>
      </c>
      <c r="H37" s="66" t="str">
        <f>'1週'!C31</f>
        <v/>
      </c>
      <c r="I37" s="77">
        <f>'1週'!B32</f>
        <v>0</v>
      </c>
      <c r="J37" s="66" t="str">
        <f>'1週'!C32</f>
        <v/>
      </c>
      <c r="K37" s="66">
        <f>'1週'!E31</f>
        <v>0</v>
      </c>
      <c r="L37" s="66">
        <f>'1週'!E32</f>
        <v>0</v>
      </c>
      <c r="M37" s="126" t="str">
        <f>I37&amp;'1週'!D31</f>
        <v>0</v>
      </c>
      <c r="N37" s="85">
        <f>'1週'!I32</f>
        <v>0</v>
      </c>
      <c r="O37" s="85">
        <f>'1週'!K32</f>
        <v>0</v>
      </c>
      <c r="P37" s="85">
        <f>'1週'!M32</f>
        <v>0</v>
      </c>
      <c r="Q37" s="85">
        <f>'1週'!O32</f>
        <v>0</v>
      </c>
      <c r="R37" s="85">
        <f>'1週'!Q32</f>
        <v>0</v>
      </c>
      <c r="S37" s="85">
        <f>'1週'!S32</f>
        <v>0</v>
      </c>
      <c r="T37" s="85">
        <f>'1週'!U32</f>
        <v>0</v>
      </c>
      <c r="U37" s="99">
        <f t="shared" si="17"/>
        <v>0</v>
      </c>
      <c r="V37" s="84"/>
      <c r="W37" s="84"/>
      <c r="AI37" s="224" t="e">
        <f>DATE($AI2,$AJ2,'5週'!S9)</f>
        <v>#VALUE!</v>
      </c>
      <c r="AJ37" s="225" t="str">
        <f>'5週'!S8</f>
        <v>土</v>
      </c>
      <c r="AK37" s="226">
        <f>'5週'!S10</f>
        <v>0</v>
      </c>
      <c r="AL37" s="226">
        <f>'5週'!S11</f>
        <v>0</v>
      </c>
      <c r="AM37" s="226">
        <f>'5週'!S12</f>
        <v>0</v>
      </c>
      <c r="AN37" s="226">
        <f>'5週'!S13</f>
        <v>0</v>
      </c>
    </row>
    <row r="38" spans="1:40">
      <c r="A38" s="66"/>
      <c r="B38" s="66"/>
      <c r="C38" s="66"/>
      <c r="D38" s="78"/>
      <c r="E38" s="66">
        <f>'1週'!A33</f>
        <v>10</v>
      </c>
      <c r="F38" s="66">
        <f>'1週'!B34</f>
        <v>0</v>
      </c>
      <c r="G38" s="77" t="str">
        <f>'1週'!B33</f>
        <v/>
      </c>
      <c r="H38" s="66" t="str">
        <f>'1週'!C33</f>
        <v/>
      </c>
      <c r="I38" s="77">
        <f>'1週'!B34</f>
        <v>0</v>
      </c>
      <c r="J38" s="66" t="str">
        <f>'1週'!C34</f>
        <v/>
      </c>
      <c r="K38" s="66">
        <f>'1週'!E33</f>
        <v>0</v>
      </c>
      <c r="L38" s="66">
        <f>'1週'!E34</f>
        <v>0</v>
      </c>
      <c r="M38" s="126" t="str">
        <f>I38&amp;'1週'!D33</f>
        <v>0</v>
      </c>
      <c r="N38" s="85">
        <f>'1週'!I34</f>
        <v>0</v>
      </c>
      <c r="O38" s="85">
        <f>'1週'!K34</f>
        <v>0</v>
      </c>
      <c r="P38" s="85">
        <f>'1週'!M34</f>
        <v>0</v>
      </c>
      <c r="Q38" s="85">
        <f>'1週'!O34</f>
        <v>0</v>
      </c>
      <c r="R38" s="85">
        <f>'1週'!Q34</f>
        <v>0</v>
      </c>
      <c r="S38" s="85">
        <f>'1週'!S34</f>
        <v>0</v>
      </c>
      <c r="T38" s="85">
        <f>'1週'!U34</f>
        <v>0</v>
      </c>
      <c r="U38" s="99">
        <f t="shared" si="17"/>
        <v>0</v>
      </c>
      <c r="V38" s="84"/>
      <c r="W38" s="84"/>
      <c r="AI38" s="224" t="e">
        <f>DATE($AI2,$AJ2,'5週'!U9)</f>
        <v>#VALUE!</v>
      </c>
      <c r="AJ38" s="225" t="str">
        <f>'5週'!U8</f>
        <v>日</v>
      </c>
      <c r="AK38" s="226">
        <f>'5週'!U10</f>
        <v>0</v>
      </c>
      <c r="AL38" s="226">
        <f>'5週'!U11</f>
        <v>0</v>
      </c>
      <c r="AM38" s="226">
        <f>'5週'!U12</f>
        <v>0</v>
      </c>
      <c r="AN38" s="226">
        <f>'5週'!U13</f>
        <v>0</v>
      </c>
    </row>
    <row r="39" spans="1:40">
      <c r="A39" s="66"/>
      <c r="B39" s="66"/>
      <c r="C39" s="66"/>
      <c r="D39" s="78"/>
      <c r="E39" s="66">
        <f>'1週'!A35</f>
        <v>11</v>
      </c>
      <c r="F39" s="66">
        <f>'1週'!B36</f>
        <v>0</v>
      </c>
      <c r="G39" s="77" t="str">
        <f>'1週'!B35</f>
        <v/>
      </c>
      <c r="H39" s="66" t="str">
        <f>'1週'!C35</f>
        <v/>
      </c>
      <c r="I39" s="77">
        <f>'1週'!B36</f>
        <v>0</v>
      </c>
      <c r="J39" s="66" t="str">
        <f>'1週'!C36</f>
        <v/>
      </c>
      <c r="K39" s="66">
        <f>'1週'!E35</f>
        <v>0</v>
      </c>
      <c r="L39" s="66">
        <f>'1週'!E36</f>
        <v>0</v>
      </c>
      <c r="M39" s="126" t="str">
        <f>I39&amp;'1週'!D35</f>
        <v>0</v>
      </c>
      <c r="N39" s="85">
        <f>'1週'!I36</f>
        <v>0</v>
      </c>
      <c r="O39" s="85">
        <f>'1週'!K36</f>
        <v>0</v>
      </c>
      <c r="P39" s="85">
        <f>'1週'!M36</f>
        <v>0</v>
      </c>
      <c r="Q39" s="85">
        <f>'1週'!O36</f>
        <v>0</v>
      </c>
      <c r="R39" s="85">
        <f>'1週'!Q36</f>
        <v>0</v>
      </c>
      <c r="S39" s="85">
        <f>'1週'!S36</f>
        <v>0</v>
      </c>
      <c r="T39" s="85">
        <f>'1週'!U36</f>
        <v>0</v>
      </c>
      <c r="U39" s="99">
        <f t="shared" si="17"/>
        <v>0</v>
      </c>
      <c r="V39" s="84"/>
      <c r="W39" s="84"/>
      <c r="AI39" s="224" t="e">
        <f>DATE($AI2,$AJ2,'6週'!I9)</f>
        <v>#VALUE!</v>
      </c>
      <c r="AJ39" s="225" t="str">
        <f>'6週'!I8</f>
        <v>月</v>
      </c>
      <c r="AK39" s="226">
        <f>'6週'!I10</f>
        <v>0</v>
      </c>
      <c r="AL39" s="226">
        <f>'6週'!I11</f>
        <v>0</v>
      </c>
      <c r="AM39" s="226">
        <f>'6週'!I12</f>
        <v>0</v>
      </c>
      <c r="AN39" s="226">
        <f>'6週'!I13</f>
        <v>0</v>
      </c>
    </row>
    <row r="40" spans="1:40">
      <c r="A40" s="66"/>
      <c r="B40" s="66"/>
      <c r="C40" s="66"/>
      <c r="D40" s="78"/>
      <c r="E40" s="66">
        <f>'1週'!A37</f>
        <v>12</v>
      </c>
      <c r="F40" s="66">
        <f>'1週'!B38</f>
        <v>0</v>
      </c>
      <c r="G40" s="77" t="str">
        <f>'1週'!B37</f>
        <v/>
      </c>
      <c r="H40" s="66" t="str">
        <f>'1週'!C37</f>
        <v/>
      </c>
      <c r="I40" s="77">
        <f>'1週'!B38</f>
        <v>0</v>
      </c>
      <c r="J40" s="66" t="str">
        <f>'1週'!C38</f>
        <v/>
      </c>
      <c r="K40" s="66">
        <f>'1週'!E37</f>
        <v>0</v>
      </c>
      <c r="L40" s="66">
        <f>'1週'!E38</f>
        <v>0</v>
      </c>
      <c r="M40" s="126" t="str">
        <f>I40&amp;'1週'!D37</f>
        <v>0</v>
      </c>
      <c r="N40" s="85">
        <f>'1週'!I38</f>
        <v>0</v>
      </c>
      <c r="O40" s="85">
        <f>'1週'!K38</f>
        <v>0</v>
      </c>
      <c r="P40" s="85">
        <f>'1週'!M38</f>
        <v>0</v>
      </c>
      <c r="Q40" s="85">
        <f>'1週'!O38</f>
        <v>0</v>
      </c>
      <c r="R40" s="85">
        <f>'1週'!Q38</f>
        <v>0</v>
      </c>
      <c r="S40" s="85">
        <f>'1週'!S38</f>
        <v>0</v>
      </c>
      <c r="T40" s="85">
        <f>'1週'!U38</f>
        <v>0</v>
      </c>
      <c r="U40" s="99">
        <f t="shared" ref="U40:U47" si="18">SUM(N40:T40)</f>
        <v>0</v>
      </c>
      <c r="V40" s="84"/>
      <c r="W40" s="84"/>
      <c r="AI40" s="224" t="e">
        <f>DATE($AI2,$AJ2,'6週'!K9)</f>
        <v>#VALUE!</v>
      </c>
      <c r="AJ40" s="225" t="str">
        <f>'6週'!K8</f>
        <v>火</v>
      </c>
      <c r="AK40" s="226">
        <f>'6週'!K10</f>
        <v>0</v>
      </c>
      <c r="AL40" s="226">
        <f>'6週'!K11</f>
        <v>0</v>
      </c>
      <c r="AM40" s="226">
        <f>'6週'!K12</f>
        <v>0</v>
      </c>
      <c r="AN40" s="226">
        <f>'6週'!K13</f>
        <v>0</v>
      </c>
    </row>
    <row r="41" spans="1:40">
      <c r="A41" s="66"/>
      <c r="B41" s="66"/>
      <c r="C41" s="66"/>
      <c r="D41" s="78"/>
      <c r="E41" s="66">
        <f>'1週'!A39</f>
        <v>13</v>
      </c>
      <c r="F41" s="66">
        <f>'1週'!B40</f>
        <v>0</v>
      </c>
      <c r="G41" s="77" t="str">
        <f>'1週'!B39</f>
        <v/>
      </c>
      <c r="H41" s="66" t="str">
        <f>'1週'!C39</f>
        <v/>
      </c>
      <c r="I41" s="77">
        <f>'1週'!B40</f>
        <v>0</v>
      </c>
      <c r="J41" s="66" t="str">
        <f>'1週'!C40</f>
        <v/>
      </c>
      <c r="K41" s="66">
        <f>'1週'!E39</f>
        <v>0</v>
      </c>
      <c r="L41" s="66">
        <f>'1週'!E40</f>
        <v>0</v>
      </c>
      <c r="M41" s="126" t="str">
        <f>I41&amp;'1週'!D39</f>
        <v>0</v>
      </c>
      <c r="N41" s="85">
        <f>'1週'!I40</f>
        <v>0</v>
      </c>
      <c r="O41" s="85">
        <f>'1週'!K40</f>
        <v>0</v>
      </c>
      <c r="P41" s="85">
        <f>'1週'!M40</f>
        <v>0</v>
      </c>
      <c r="Q41" s="85">
        <f>'1週'!O40</f>
        <v>0</v>
      </c>
      <c r="R41" s="85">
        <f>'1週'!Q40</f>
        <v>0</v>
      </c>
      <c r="S41" s="85">
        <f>'1週'!S40</f>
        <v>0</v>
      </c>
      <c r="T41" s="85">
        <f>'1週'!U40</f>
        <v>0</v>
      </c>
      <c r="U41" s="99">
        <f t="shared" si="18"/>
        <v>0</v>
      </c>
      <c r="V41" s="84"/>
      <c r="W41" s="84"/>
      <c r="AI41" s="224" t="e">
        <f>DATE($AI2,$AJ2,'6週'!M9)</f>
        <v>#VALUE!</v>
      </c>
      <c r="AJ41" s="225" t="str">
        <f>'6週'!M8</f>
        <v>水</v>
      </c>
      <c r="AK41" s="226">
        <f>'6週'!M10</f>
        <v>0</v>
      </c>
      <c r="AL41" s="226">
        <f>'6週'!M11</f>
        <v>0</v>
      </c>
      <c r="AM41" s="226">
        <f>'6週'!M12</f>
        <v>0</v>
      </c>
      <c r="AN41" s="226">
        <f>'6週'!M13</f>
        <v>0</v>
      </c>
    </row>
    <row r="42" spans="1:40">
      <c r="A42" s="66"/>
      <c r="B42" s="66"/>
      <c r="C42" s="66"/>
      <c r="D42" s="78"/>
      <c r="E42" s="66">
        <f>'1週'!A41</f>
        <v>14</v>
      </c>
      <c r="F42" s="66">
        <f>'1週'!B42</f>
        <v>0</v>
      </c>
      <c r="G42" s="77" t="str">
        <f>'1週'!B41</f>
        <v/>
      </c>
      <c r="H42" s="66" t="str">
        <f>'1週'!C41</f>
        <v/>
      </c>
      <c r="I42" s="77">
        <f>'1週'!B42</f>
        <v>0</v>
      </c>
      <c r="J42" s="66" t="str">
        <f>'1週'!C42</f>
        <v/>
      </c>
      <c r="K42" s="66">
        <f>'1週'!E41</f>
        <v>0</v>
      </c>
      <c r="L42" s="66">
        <f>'1週'!E42</f>
        <v>0</v>
      </c>
      <c r="M42" s="126" t="str">
        <f>I42&amp;'1週'!D41</f>
        <v>0</v>
      </c>
      <c r="N42" s="85">
        <f>'1週'!I42</f>
        <v>0</v>
      </c>
      <c r="O42" s="85">
        <f>'1週'!K42</f>
        <v>0</v>
      </c>
      <c r="P42" s="85">
        <f>'1週'!M42</f>
        <v>0</v>
      </c>
      <c r="Q42" s="85">
        <f>'1週'!O42</f>
        <v>0</v>
      </c>
      <c r="R42" s="85">
        <f>'1週'!Q42</f>
        <v>0</v>
      </c>
      <c r="S42" s="85">
        <f>'1週'!S42</f>
        <v>0</v>
      </c>
      <c r="T42" s="85">
        <f>'1週'!U42</f>
        <v>0</v>
      </c>
      <c r="U42" s="99">
        <f t="shared" si="18"/>
        <v>0</v>
      </c>
      <c r="V42" s="84"/>
      <c r="W42" s="84"/>
      <c r="AI42" s="224" t="e">
        <f>DATE($AI2,$AJ2,'6週'!O9)</f>
        <v>#VALUE!</v>
      </c>
      <c r="AJ42" s="225" t="str">
        <f>'6週'!O8</f>
        <v>木</v>
      </c>
      <c r="AK42" s="226">
        <f>'6週'!O10</f>
        <v>0</v>
      </c>
      <c r="AL42" s="226">
        <f>'6週'!O11</f>
        <v>0</v>
      </c>
      <c r="AM42" s="226">
        <f>'6週'!O12</f>
        <v>0</v>
      </c>
      <c r="AN42" s="226">
        <f>'6週'!O13</f>
        <v>0</v>
      </c>
    </row>
    <row r="43" spans="1:40">
      <c r="A43" s="66"/>
      <c r="B43" s="66"/>
      <c r="C43" s="66"/>
      <c r="D43" s="78"/>
      <c r="E43" s="66">
        <f>'1週'!A43</f>
        <v>15</v>
      </c>
      <c r="F43" s="66">
        <f>'1週'!B44</f>
        <v>0</v>
      </c>
      <c r="G43" s="77" t="str">
        <f>'1週'!B43</f>
        <v/>
      </c>
      <c r="H43" s="66" t="str">
        <f>'1週'!C43</f>
        <v/>
      </c>
      <c r="I43" s="77">
        <f>'1週'!B44</f>
        <v>0</v>
      </c>
      <c r="J43" s="66" t="str">
        <f>'1週'!C44</f>
        <v/>
      </c>
      <c r="K43" s="66">
        <f>'1週'!E43</f>
        <v>0</v>
      </c>
      <c r="L43" s="66">
        <f>'1週'!E44</f>
        <v>0</v>
      </c>
      <c r="M43" s="126" t="str">
        <f>I43&amp;'1週'!D43</f>
        <v>0</v>
      </c>
      <c r="N43" s="85">
        <f>'1週'!I44</f>
        <v>0</v>
      </c>
      <c r="O43" s="85">
        <f>'1週'!K44</f>
        <v>0</v>
      </c>
      <c r="P43" s="85">
        <f>'1週'!M44</f>
        <v>0</v>
      </c>
      <c r="Q43" s="85">
        <f>'1週'!O44</f>
        <v>0</v>
      </c>
      <c r="R43" s="85">
        <f>'1週'!Q44</f>
        <v>0</v>
      </c>
      <c r="S43" s="85">
        <f>'1週'!S44</f>
        <v>0</v>
      </c>
      <c r="T43" s="85">
        <f>'1週'!U44</f>
        <v>0</v>
      </c>
      <c r="U43" s="99">
        <f t="shared" si="18"/>
        <v>0</v>
      </c>
      <c r="V43" s="84"/>
      <c r="W43" s="84"/>
      <c r="AI43" s="224" t="e">
        <f>DATE($AI2,$AJ2,'6週'!Q9)</f>
        <v>#VALUE!</v>
      </c>
      <c r="AJ43" s="225" t="str">
        <f>'6週'!Q8</f>
        <v>金</v>
      </c>
      <c r="AK43" s="226">
        <f>'6週'!Q10</f>
        <v>0</v>
      </c>
      <c r="AL43" s="226">
        <f>'6週'!Q11</f>
        <v>0</v>
      </c>
      <c r="AM43" s="226">
        <f>'6週'!Q12</f>
        <v>0</v>
      </c>
      <c r="AN43" s="226">
        <f>'6週'!Q13</f>
        <v>0</v>
      </c>
    </row>
    <row r="44" spans="1:40">
      <c r="A44" s="66"/>
      <c r="B44" s="66"/>
      <c r="C44" s="66"/>
      <c r="D44" s="78"/>
      <c r="E44" s="66">
        <f>'1週'!A45</f>
        <v>16</v>
      </c>
      <c r="F44" s="66">
        <f>'1週'!B46</f>
        <v>0</v>
      </c>
      <c r="G44" s="77" t="str">
        <f>'1週'!B45</f>
        <v/>
      </c>
      <c r="H44" s="66" t="str">
        <f>'1週'!C45</f>
        <v/>
      </c>
      <c r="I44" s="77">
        <f>'1週'!B46</f>
        <v>0</v>
      </c>
      <c r="J44" s="66" t="str">
        <f>'1週'!C46</f>
        <v/>
      </c>
      <c r="K44" s="66">
        <f>'1週'!E45</f>
        <v>0</v>
      </c>
      <c r="L44" s="66">
        <f>'1週'!E46</f>
        <v>0</v>
      </c>
      <c r="M44" s="126" t="str">
        <f>I44&amp;'1週'!D45</f>
        <v>0</v>
      </c>
      <c r="N44" s="85">
        <f>'1週'!I46</f>
        <v>0</v>
      </c>
      <c r="O44" s="85">
        <f>'1週'!K46</f>
        <v>0</v>
      </c>
      <c r="P44" s="85">
        <f>'1週'!M46</f>
        <v>0</v>
      </c>
      <c r="Q44" s="85">
        <f>'1週'!O46</f>
        <v>0</v>
      </c>
      <c r="R44" s="85">
        <f>'1週'!Q46</f>
        <v>0</v>
      </c>
      <c r="S44" s="85">
        <f>'1週'!S46</f>
        <v>0</v>
      </c>
      <c r="T44" s="85">
        <f>'1週'!U46</f>
        <v>0</v>
      </c>
      <c r="U44" s="99">
        <f t="shared" si="18"/>
        <v>0</v>
      </c>
      <c r="V44" s="84"/>
      <c r="W44" s="84"/>
      <c r="AI44" s="224" t="e">
        <f>DATE($AI2,$AJ2,'6週'!S9)</f>
        <v>#VALUE!</v>
      </c>
      <c r="AJ44" s="225" t="str">
        <f>'6週'!S8</f>
        <v>土</v>
      </c>
      <c r="AK44" s="226">
        <f>'6週'!S10</f>
        <v>0</v>
      </c>
      <c r="AL44" s="226">
        <f>'6週'!S11</f>
        <v>0</v>
      </c>
      <c r="AM44" s="226">
        <f>'6週'!S12</f>
        <v>0</v>
      </c>
      <c r="AN44" s="226">
        <f>'6週'!S13</f>
        <v>0</v>
      </c>
    </row>
    <row r="45" spans="1:40">
      <c r="A45" s="66"/>
      <c r="B45" s="66"/>
      <c r="C45" s="66"/>
      <c r="D45" s="78"/>
      <c r="E45" s="66">
        <f>'1週'!A47</f>
        <v>17</v>
      </c>
      <c r="F45" s="66">
        <f>'1週'!B48</f>
        <v>0</v>
      </c>
      <c r="G45" s="77" t="str">
        <f>'1週'!B47</f>
        <v/>
      </c>
      <c r="H45" s="66" t="str">
        <f>'1週'!C47</f>
        <v/>
      </c>
      <c r="I45" s="77">
        <f>'1週'!B48</f>
        <v>0</v>
      </c>
      <c r="J45" s="66" t="str">
        <f>'1週'!C48</f>
        <v/>
      </c>
      <c r="K45" s="66">
        <f>'1週'!E47</f>
        <v>0</v>
      </c>
      <c r="L45" s="66">
        <f>'1週'!E48</f>
        <v>0</v>
      </c>
      <c r="M45" s="126" t="str">
        <f>I45&amp;'1週'!D47</f>
        <v>0</v>
      </c>
      <c r="N45" s="85">
        <f>'1週'!I48</f>
        <v>0</v>
      </c>
      <c r="O45" s="85">
        <f>'1週'!K48</f>
        <v>0</v>
      </c>
      <c r="P45" s="85">
        <f>'1週'!M48</f>
        <v>0</v>
      </c>
      <c r="Q45" s="85">
        <f>'1週'!O48</f>
        <v>0</v>
      </c>
      <c r="R45" s="85">
        <f>'1週'!Q48</f>
        <v>0</v>
      </c>
      <c r="S45" s="85">
        <f>'1週'!S48</f>
        <v>0</v>
      </c>
      <c r="T45" s="85">
        <f>'1週'!U48</f>
        <v>0</v>
      </c>
      <c r="U45" s="99">
        <f t="shared" si="18"/>
        <v>0</v>
      </c>
      <c r="V45" s="84"/>
      <c r="W45" s="84"/>
      <c r="AI45" s="227" t="e">
        <f>DATE($AI2,$AJ2,'6週'!U9)</f>
        <v>#VALUE!</v>
      </c>
      <c r="AJ45" s="228" t="str">
        <f>'6週'!U8</f>
        <v>日</v>
      </c>
      <c r="AK45" s="229">
        <f>'6週'!U10</f>
        <v>0</v>
      </c>
      <c r="AL45" s="229">
        <f>'6週'!U11</f>
        <v>0</v>
      </c>
      <c r="AM45" s="229">
        <f>'6週'!U12</f>
        <v>0</v>
      </c>
      <c r="AN45" s="229">
        <f>'6週'!U13</f>
        <v>0</v>
      </c>
    </row>
    <row r="46" spans="1:40">
      <c r="A46" s="66"/>
      <c r="B46" s="66"/>
      <c r="C46" s="66"/>
      <c r="D46" s="78"/>
      <c r="E46" s="66">
        <f>'1週'!A49</f>
        <v>18</v>
      </c>
      <c r="F46" s="66">
        <f>'1週'!B50</f>
        <v>0</v>
      </c>
      <c r="G46" s="77" t="str">
        <f>'1週'!B49</f>
        <v/>
      </c>
      <c r="H46" s="66" t="str">
        <f>'1週'!C49</f>
        <v/>
      </c>
      <c r="I46" s="77">
        <f>'1週'!B50</f>
        <v>0</v>
      </c>
      <c r="J46" s="66" t="str">
        <f>'1週'!C50</f>
        <v/>
      </c>
      <c r="K46" s="66">
        <f>'1週'!E49</f>
        <v>0</v>
      </c>
      <c r="L46" s="66">
        <f>'1週'!E50</f>
        <v>0</v>
      </c>
      <c r="M46" s="126" t="str">
        <f>I46&amp;'1週'!D49</f>
        <v>0</v>
      </c>
      <c r="N46" s="85">
        <f>'1週'!I50</f>
        <v>0</v>
      </c>
      <c r="O46" s="85">
        <f>'1週'!K50</f>
        <v>0</v>
      </c>
      <c r="P46" s="85">
        <f>'1週'!M50</f>
        <v>0</v>
      </c>
      <c r="Q46" s="85">
        <f>'1週'!O50</f>
        <v>0</v>
      </c>
      <c r="R46" s="85">
        <f>'1週'!Q50</f>
        <v>0</v>
      </c>
      <c r="S46" s="85">
        <f>'1週'!S50</f>
        <v>0</v>
      </c>
      <c r="T46" s="85">
        <f>'1週'!U50</f>
        <v>0</v>
      </c>
      <c r="U46" s="99">
        <f t="shared" si="18"/>
        <v>0</v>
      </c>
      <c r="V46" s="84"/>
      <c r="W46" s="84"/>
      <c r="AI46" s="230"/>
      <c r="AJ46" s="230"/>
      <c r="AK46" s="230"/>
      <c r="AL46" s="230"/>
      <c r="AM46" s="230"/>
      <c r="AN46" s="231">
        <f>SUM(AN4:AN45)</f>
        <v>8.25</v>
      </c>
    </row>
    <row r="47" spans="1:40">
      <c r="A47" s="66"/>
      <c r="B47" s="66"/>
      <c r="C47" s="66"/>
      <c r="D47" s="78"/>
      <c r="E47" s="66">
        <f>'1週'!A51</f>
        <v>19</v>
      </c>
      <c r="F47" s="66">
        <f>'1週'!B52</f>
        <v>0</v>
      </c>
      <c r="G47" s="77" t="str">
        <f>'1週'!B51</f>
        <v/>
      </c>
      <c r="H47" s="66" t="str">
        <f>'1週'!C51</f>
        <v/>
      </c>
      <c r="I47" s="77">
        <f>'1週'!B52</f>
        <v>0</v>
      </c>
      <c r="J47" s="66" t="str">
        <f>'1週'!C52</f>
        <v/>
      </c>
      <c r="K47" s="66">
        <f>'1週'!E51</f>
        <v>0</v>
      </c>
      <c r="L47" s="66">
        <f>'1週'!E52</f>
        <v>0</v>
      </c>
      <c r="M47" s="126" t="str">
        <f>I47&amp;'1週'!D51</f>
        <v>0</v>
      </c>
      <c r="N47" s="85">
        <f>'1週'!I52</f>
        <v>0</v>
      </c>
      <c r="O47" s="85">
        <f>'1週'!K52</f>
        <v>0</v>
      </c>
      <c r="P47" s="85">
        <f>'1週'!M52</f>
        <v>0</v>
      </c>
      <c r="Q47" s="85">
        <f>'1週'!O52</f>
        <v>0</v>
      </c>
      <c r="R47" s="85">
        <f>'1週'!Q52</f>
        <v>0</v>
      </c>
      <c r="S47" s="85">
        <f>'1週'!S52</f>
        <v>0</v>
      </c>
      <c r="T47" s="85">
        <f>'1週'!U52</f>
        <v>0</v>
      </c>
      <c r="U47" s="99">
        <f t="shared" si="18"/>
        <v>0</v>
      </c>
      <c r="V47" s="84"/>
      <c r="W47" s="84"/>
    </row>
    <row r="48" spans="1:40" ht="14.25" thickBot="1">
      <c r="A48" s="66"/>
      <c r="B48" s="66"/>
      <c r="C48" s="66"/>
      <c r="D48" s="100"/>
      <c r="E48" s="66">
        <f>'1週'!A53</f>
        <v>20</v>
      </c>
      <c r="F48" s="66">
        <f>'1週'!B54</f>
        <v>0</v>
      </c>
      <c r="G48" s="77" t="str">
        <f>'1週'!B53</f>
        <v/>
      </c>
      <c r="H48" s="66" t="str">
        <f>'1週'!C53</f>
        <v/>
      </c>
      <c r="I48" s="77">
        <f>'1週'!B54</f>
        <v>0</v>
      </c>
      <c r="J48" s="66" t="str">
        <f>'1週'!C54</f>
        <v/>
      </c>
      <c r="K48" s="66">
        <f>'1週'!E53</f>
        <v>0</v>
      </c>
      <c r="L48" s="66">
        <f>'1週'!E54</f>
        <v>0</v>
      </c>
      <c r="M48" s="126" t="str">
        <f>I48&amp;'1週'!D53</f>
        <v>0</v>
      </c>
      <c r="N48" s="85">
        <f>'1週'!I54</f>
        <v>0</v>
      </c>
      <c r="O48" s="85">
        <f>'1週'!K54</f>
        <v>0</v>
      </c>
      <c r="P48" s="85">
        <f>'1週'!M54</f>
        <v>0</v>
      </c>
      <c r="Q48" s="85">
        <f>'1週'!O54</f>
        <v>0</v>
      </c>
      <c r="R48" s="85">
        <f>'1週'!Q54</f>
        <v>0</v>
      </c>
      <c r="S48" s="85">
        <f>'1週'!S54</f>
        <v>0</v>
      </c>
      <c r="T48" s="85">
        <f>'1週'!U54</f>
        <v>0</v>
      </c>
      <c r="U48" s="99">
        <f t="shared" si="17"/>
        <v>0</v>
      </c>
      <c r="V48" s="84"/>
      <c r="W48" s="84"/>
    </row>
    <row r="49" spans="1:23" ht="14.25" thickBot="1">
      <c r="A49" s="66"/>
      <c r="B49" s="66"/>
      <c r="C49" s="66"/>
      <c r="D49" s="66"/>
      <c r="E49" s="66"/>
      <c r="F49" s="66"/>
      <c r="G49" s="77"/>
      <c r="H49" s="66"/>
      <c r="I49" s="77"/>
      <c r="J49" s="66"/>
      <c r="K49" s="66"/>
      <c r="L49" s="66"/>
      <c r="M49" s="126"/>
      <c r="N49" s="66"/>
      <c r="O49" s="66"/>
      <c r="P49" s="66"/>
      <c r="Q49" s="66"/>
      <c r="R49" s="66"/>
      <c r="S49" s="66"/>
      <c r="T49" s="66"/>
      <c r="U49" s="66"/>
      <c r="V49" s="84"/>
      <c r="W49" s="84"/>
    </row>
    <row r="50" spans="1:23">
      <c r="A50" s="66"/>
      <c r="B50" s="66"/>
      <c r="C50" s="66"/>
      <c r="D50" s="76" t="s">
        <v>154</v>
      </c>
      <c r="E50" s="66">
        <f>'2週'!A15</f>
        <v>1</v>
      </c>
      <c r="F50" s="66">
        <f>'2週'!B16</f>
        <v>10000</v>
      </c>
      <c r="G50" s="77">
        <f>'2週'!B15</f>
        <v>10000</v>
      </c>
      <c r="H50" s="66" t="str">
        <f>'2週'!C15</f>
        <v>Yokogawa</v>
      </c>
      <c r="I50" s="77">
        <f>'2週'!B16</f>
        <v>10000</v>
      </c>
      <c r="J50" s="66" t="str">
        <f>'2週'!C16</f>
        <v xml:space="preserve">Rep Portal </v>
      </c>
      <c r="K50" s="66" t="str">
        <f>'2週'!E15</f>
        <v>調査・分析・開発計画の準備・実施作業</v>
      </c>
      <c r="L50" s="66">
        <f>'2週'!E16</f>
        <v>0</v>
      </c>
      <c r="M50" s="126" t="str">
        <f>I50&amp;'2週'!D15</f>
        <v>1000010102</v>
      </c>
      <c r="N50" s="85">
        <f>'2週'!I16</f>
        <v>0.20833333333333334</v>
      </c>
      <c r="O50" s="85">
        <f>'2週'!K16</f>
        <v>0.20833333333333334</v>
      </c>
      <c r="P50" s="85">
        <f>'2週'!M16</f>
        <v>0.20833333333333334</v>
      </c>
      <c r="Q50" s="85">
        <f>'2週'!O16</f>
        <v>0.20833333333333334</v>
      </c>
      <c r="R50" s="85">
        <f>'2週'!Q16</f>
        <v>0.20833333333333334</v>
      </c>
      <c r="S50" s="85">
        <f>'2週'!S16</f>
        <v>0</v>
      </c>
      <c r="T50" s="85">
        <f>'2週'!U16</f>
        <v>0</v>
      </c>
      <c r="U50" s="99">
        <f t="shared" ref="U50:U69" si="19">SUM(N50:T50)</f>
        <v>1.0416666666666667</v>
      </c>
      <c r="V50" s="84"/>
      <c r="W50" s="84"/>
    </row>
    <row r="51" spans="1:23">
      <c r="A51" s="66"/>
      <c r="B51" s="66"/>
      <c r="C51" s="66"/>
      <c r="D51" s="78"/>
      <c r="E51" s="66">
        <f>'2週'!A17</f>
        <v>2</v>
      </c>
      <c r="F51" s="66">
        <f>'2週'!B18</f>
        <v>10000</v>
      </c>
      <c r="G51" s="77">
        <f>'2週'!B17</f>
        <v>10000</v>
      </c>
      <c r="H51" s="66" t="str">
        <f>'2週'!C17</f>
        <v>Yokogawa</v>
      </c>
      <c r="I51" s="77">
        <f>'2週'!B18</f>
        <v>10000</v>
      </c>
      <c r="J51" s="66" t="str">
        <f>'2週'!C18</f>
        <v xml:space="preserve">Rep Portal </v>
      </c>
      <c r="K51" s="66" t="str">
        <f>'2週'!E17</f>
        <v>プログラムの実施</v>
      </c>
      <c r="L51" s="66">
        <f>'2週'!E18</f>
        <v>0</v>
      </c>
      <c r="M51" s="126" t="str">
        <f>I51&amp;'2週'!D17</f>
        <v>1000030106</v>
      </c>
      <c r="N51" s="85">
        <f>'2週'!I18</f>
        <v>0.125</v>
      </c>
      <c r="O51" s="85">
        <f>'2週'!K18</f>
        <v>0.125</v>
      </c>
      <c r="P51" s="85">
        <f>'2週'!M18</f>
        <v>0.125</v>
      </c>
      <c r="Q51" s="85">
        <f>'2週'!O18</f>
        <v>0.125</v>
      </c>
      <c r="R51" s="85">
        <f>'2週'!Q18</f>
        <v>0.125</v>
      </c>
      <c r="S51" s="85">
        <f>'2週'!S18</f>
        <v>0</v>
      </c>
      <c r="T51" s="85">
        <f>'2週'!U18</f>
        <v>0</v>
      </c>
      <c r="U51" s="99">
        <f t="shared" si="19"/>
        <v>0.625</v>
      </c>
      <c r="V51" s="84"/>
      <c r="W51" s="84"/>
    </row>
    <row r="52" spans="1:23">
      <c r="A52" s="66"/>
      <c r="B52" s="66"/>
      <c r="C52" s="66"/>
      <c r="D52" s="78"/>
      <c r="E52" s="66">
        <f>'2週'!A19</f>
        <v>3</v>
      </c>
      <c r="F52" s="66">
        <f>'2週'!B20</f>
        <v>10000</v>
      </c>
      <c r="G52" s="77">
        <f>'2週'!B19</f>
        <v>10000</v>
      </c>
      <c r="H52" s="66" t="str">
        <f>'2週'!C19</f>
        <v>Yokogawa</v>
      </c>
      <c r="I52" s="77">
        <f>'2週'!B20</f>
        <v>10000</v>
      </c>
      <c r="J52" s="66" t="str">
        <f>'2週'!C20</f>
        <v xml:space="preserve">Rep Portal </v>
      </c>
      <c r="K52" s="66" t="str">
        <f>'2週'!E19</f>
        <v>テスト実施</v>
      </c>
      <c r="L52" s="66">
        <f>'2週'!E20</f>
        <v>0</v>
      </c>
      <c r="M52" s="126" t="str">
        <f>I52&amp;'2週'!D19</f>
        <v>1000040108</v>
      </c>
      <c r="N52" s="85">
        <f>'2週'!I20</f>
        <v>0.10416666666666667</v>
      </c>
      <c r="O52" s="85">
        <f>'2週'!K20</f>
        <v>0.10416666666666667</v>
      </c>
      <c r="P52" s="85">
        <f>'2週'!M20</f>
        <v>0.10416666666666667</v>
      </c>
      <c r="Q52" s="85">
        <f>'2週'!O20</f>
        <v>0.10416666666666667</v>
      </c>
      <c r="R52" s="85">
        <f>'2週'!Q20</f>
        <v>0.10416666666666667</v>
      </c>
      <c r="S52" s="85">
        <f>'2週'!S20</f>
        <v>0</v>
      </c>
      <c r="T52" s="85">
        <f>'2週'!U20</f>
        <v>0</v>
      </c>
      <c r="U52" s="99">
        <f t="shared" si="19"/>
        <v>0.52083333333333337</v>
      </c>
      <c r="V52" s="84"/>
      <c r="W52" s="84"/>
    </row>
    <row r="53" spans="1:23">
      <c r="A53" s="66"/>
      <c r="B53" s="66"/>
      <c r="C53" s="66"/>
      <c r="D53" s="78"/>
      <c r="E53" s="66">
        <f>'2週'!A21</f>
        <v>4</v>
      </c>
      <c r="F53" s="66">
        <f>'2週'!B22</f>
        <v>0</v>
      </c>
      <c r="G53" s="77">
        <f>'2週'!B21</f>
        <v>0</v>
      </c>
      <c r="H53" s="66">
        <f>'2週'!C21</f>
        <v>0</v>
      </c>
      <c r="I53" s="77">
        <f>'2週'!B22</f>
        <v>0</v>
      </c>
      <c r="J53" s="66">
        <f>'2週'!C22</f>
        <v>0</v>
      </c>
      <c r="K53" s="66">
        <f>'2週'!E21</f>
        <v>0</v>
      </c>
      <c r="L53" s="66">
        <f>'2週'!E22</f>
        <v>0</v>
      </c>
      <c r="M53" s="126" t="str">
        <f>I53&amp;'2週'!D21</f>
        <v>0</v>
      </c>
      <c r="N53" s="85">
        <f>'2週'!I22</f>
        <v>0</v>
      </c>
      <c r="O53" s="85">
        <f>'2週'!K22</f>
        <v>0</v>
      </c>
      <c r="P53" s="85">
        <f>'2週'!M22</f>
        <v>0</v>
      </c>
      <c r="Q53" s="85">
        <f>'2週'!O22</f>
        <v>0</v>
      </c>
      <c r="R53" s="85">
        <f>'2週'!Q22</f>
        <v>0</v>
      </c>
      <c r="S53" s="85">
        <f>'2週'!S22</f>
        <v>0</v>
      </c>
      <c r="T53" s="85">
        <f>'2週'!U22</f>
        <v>0</v>
      </c>
      <c r="U53" s="99">
        <f t="shared" si="19"/>
        <v>0</v>
      </c>
      <c r="V53" s="84"/>
      <c r="W53" s="84"/>
    </row>
    <row r="54" spans="1:23">
      <c r="A54" s="66"/>
      <c r="B54" s="66"/>
      <c r="C54" s="66"/>
      <c r="D54" s="78"/>
      <c r="E54" s="66">
        <f>'2週'!A23</f>
        <v>5</v>
      </c>
      <c r="F54" s="66">
        <f>'2週'!B24</f>
        <v>0</v>
      </c>
      <c r="G54" s="77" t="str">
        <f>'2週'!B23</f>
        <v/>
      </c>
      <c r="H54" s="66" t="str">
        <f>'2週'!C23</f>
        <v/>
      </c>
      <c r="I54" s="77">
        <f>'2週'!B24</f>
        <v>0</v>
      </c>
      <c r="J54" s="66" t="str">
        <f>'2週'!C24</f>
        <v/>
      </c>
      <c r="K54" s="66">
        <f>'2週'!E23</f>
        <v>0</v>
      </c>
      <c r="L54" s="66">
        <f>'2週'!E24</f>
        <v>0</v>
      </c>
      <c r="M54" s="126" t="str">
        <f>I54&amp;'2週'!D23</f>
        <v>0</v>
      </c>
      <c r="N54" s="85">
        <f>'2週'!I24</f>
        <v>0</v>
      </c>
      <c r="O54" s="85">
        <f>'2週'!K24</f>
        <v>0</v>
      </c>
      <c r="P54" s="85">
        <f>'2週'!M24</f>
        <v>0</v>
      </c>
      <c r="Q54" s="85">
        <f>'2週'!O24</f>
        <v>0</v>
      </c>
      <c r="R54" s="85">
        <f>'2週'!Q24</f>
        <v>0</v>
      </c>
      <c r="S54" s="85">
        <f>'2週'!S24</f>
        <v>0</v>
      </c>
      <c r="T54" s="85">
        <f>'2週'!U24</f>
        <v>0</v>
      </c>
      <c r="U54" s="99">
        <f t="shared" si="19"/>
        <v>0</v>
      </c>
      <c r="V54" s="84"/>
      <c r="W54" s="84"/>
    </row>
    <row r="55" spans="1:23">
      <c r="A55" s="66"/>
      <c r="B55" s="66"/>
      <c r="C55" s="66"/>
      <c r="D55" s="78"/>
      <c r="E55" s="66">
        <f>'2週'!A25</f>
        <v>6</v>
      </c>
      <c r="F55" s="66">
        <f>'2週'!B26</f>
        <v>0</v>
      </c>
      <c r="G55" s="77" t="str">
        <f>'2週'!B25</f>
        <v/>
      </c>
      <c r="H55" s="66" t="str">
        <f>'2週'!C25</f>
        <v/>
      </c>
      <c r="I55" s="77">
        <f>'2週'!B26</f>
        <v>0</v>
      </c>
      <c r="J55" s="66" t="str">
        <f>'2週'!C26</f>
        <v/>
      </c>
      <c r="K55" s="66">
        <f>'2週'!E25</f>
        <v>0</v>
      </c>
      <c r="L55" s="66">
        <f>'2週'!E26</f>
        <v>0</v>
      </c>
      <c r="M55" s="126" t="str">
        <f>I55&amp;'2週'!D25</f>
        <v>0</v>
      </c>
      <c r="N55" s="85">
        <f>'2週'!I26</f>
        <v>0</v>
      </c>
      <c r="O55" s="85">
        <f>'2週'!K26</f>
        <v>0</v>
      </c>
      <c r="P55" s="85">
        <f>'2週'!M26</f>
        <v>0</v>
      </c>
      <c r="Q55" s="85">
        <f>'2週'!O26</f>
        <v>0</v>
      </c>
      <c r="R55" s="85">
        <f>'2週'!Q26</f>
        <v>0</v>
      </c>
      <c r="S55" s="85">
        <f>'2週'!S26</f>
        <v>0</v>
      </c>
      <c r="T55" s="85">
        <f>'2週'!U26</f>
        <v>0</v>
      </c>
      <c r="U55" s="99">
        <f t="shared" si="19"/>
        <v>0</v>
      </c>
      <c r="V55" s="84"/>
      <c r="W55" s="84"/>
    </row>
    <row r="56" spans="1:23">
      <c r="A56" s="66"/>
      <c r="B56" s="66"/>
      <c r="C56" s="66"/>
      <c r="D56" s="78"/>
      <c r="E56" s="66">
        <f>'2週'!A27</f>
        <v>7</v>
      </c>
      <c r="F56" s="66">
        <f>'2週'!B28</f>
        <v>0</v>
      </c>
      <c r="G56" s="77" t="str">
        <f>'2週'!B27</f>
        <v/>
      </c>
      <c r="H56" s="66" t="str">
        <f>'2週'!C27</f>
        <v/>
      </c>
      <c r="I56" s="77">
        <f>'2週'!B28</f>
        <v>0</v>
      </c>
      <c r="J56" s="66" t="str">
        <f>'2週'!C28</f>
        <v/>
      </c>
      <c r="K56" s="66">
        <f>'2週'!E27</f>
        <v>0</v>
      </c>
      <c r="L56" s="66">
        <f>'2週'!E28</f>
        <v>0</v>
      </c>
      <c r="M56" s="126" t="str">
        <f>I56&amp;'2週'!D27</f>
        <v>0</v>
      </c>
      <c r="N56" s="85">
        <f>'2週'!I28</f>
        <v>0</v>
      </c>
      <c r="O56" s="85">
        <f>'2週'!K28</f>
        <v>0</v>
      </c>
      <c r="P56" s="85">
        <f>'2週'!M28</f>
        <v>0</v>
      </c>
      <c r="Q56" s="85">
        <f>'2週'!O28</f>
        <v>0</v>
      </c>
      <c r="R56" s="85">
        <f>'2週'!Q28</f>
        <v>0</v>
      </c>
      <c r="S56" s="85">
        <f>'2週'!S28</f>
        <v>0</v>
      </c>
      <c r="T56" s="85">
        <f>'2週'!U28</f>
        <v>0</v>
      </c>
      <c r="U56" s="99">
        <f t="shared" si="19"/>
        <v>0</v>
      </c>
      <c r="V56" s="84"/>
      <c r="W56" s="84"/>
    </row>
    <row r="57" spans="1:23">
      <c r="A57" s="66"/>
      <c r="B57" s="66"/>
      <c r="C57" s="66"/>
      <c r="D57" s="78"/>
      <c r="E57" s="66">
        <f>'2週'!A29</f>
        <v>8</v>
      </c>
      <c r="F57" s="66">
        <f>'2週'!B30</f>
        <v>0</v>
      </c>
      <c r="G57" s="77" t="str">
        <f>'2週'!B29</f>
        <v/>
      </c>
      <c r="H57" s="66" t="str">
        <f>'2週'!C29</f>
        <v/>
      </c>
      <c r="I57" s="77">
        <f>'2週'!B30</f>
        <v>0</v>
      </c>
      <c r="J57" s="66" t="str">
        <f>'2週'!C30</f>
        <v/>
      </c>
      <c r="K57" s="66">
        <f>'2週'!E29</f>
        <v>0</v>
      </c>
      <c r="L57" s="66">
        <f>'2週'!E30</f>
        <v>0</v>
      </c>
      <c r="M57" s="126" t="str">
        <f>I57&amp;'2週'!D29</f>
        <v>0</v>
      </c>
      <c r="N57" s="85">
        <f>'2週'!I30</f>
        <v>0</v>
      </c>
      <c r="O57" s="85">
        <f>'2週'!K30</f>
        <v>0</v>
      </c>
      <c r="P57" s="85">
        <f>'2週'!M30</f>
        <v>0</v>
      </c>
      <c r="Q57" s="85">
        <f>'2週'!O30</f>
        <v>0</v>
      </c>
      <c r="R57" s="85">
        <f>'2週'!Q30</f>
        <v>0</v>
      </c>
      <c r="S57" s="85">
        <f>'2週'!S30</f>
        <v>0</v>
      </c>
      <c r="T57" s="85">
        <f>'2週'!U30</f>
        <v>0</v>
      </c>
      <c r="U57" s="99">
        <f t="shared" si="19"/>
        <v>0</v>
      </c>
      <c r="V57" s="84"/>
      <c r="W57" s="84"/>
    </row>
    <row r="58" spans="1:23">
      <c r="A58" s="66"/>
      <c r="B58" s="66"/>
      <c r="C58" s="66"/>
      <c r="D58" s="78"/>
      <c r="E58" s="66">
        <f>'2週'!A31</f>
        <v>9</v>
      </c>
      <c r="F58" s="66">
        <f>'2週'!B32</f>
        <v>0</v>
      </c>
      <c r="G58" s="77" t="str">
        <f>'2週'!B31</f>
        <v/>
      </c>
      <c r="H58" s="66" t="str">
        <f>'2週'!C31</f>
        <v/>
      </c>
      <c r="I58" s="77">
        <f>'2週'!B32</f>
        <v>0</v>
      </c>
      <c r="J58" s="66" t="str">
        <f>'2週'!C32</f>
        <v/>
      </c>
      <c r="K58" s="66">
        <f>'2週'!E31</f>
        <v>0</v>
      </c>
      <c r="L58" s="66">
        <f>'2週'!E32</f>
        <v>0</v>
      </c>
      <c r="M58" s="126" t="str">
        <f>I58&amp;'2週'!D31</f>
        <v>0</v>
      </c>
      <c r="N58" s="85">
        <f>'2週'!I32</f>
        <v>0</v>
      </c>
      <c r="O58" s="85">
        <f>'2週'!K32</f>
        <v>0</v>
      </c>
      <c r="P58" s="85">
        <f>'2週'!M32</f>
        <v>0</v>
      </c>
      <c r="Q58" s="85">
        <f>'2週'!O32</f>
        <v>0</v>
      </c>
      <c r="R58" s="85">
        <f>'2週'!Q32</f>
        <v>0</v>
      </c>
      <c r="S58" s="85">
        <f>'2週'!S32</f>
        <v>0</v>
      </c>
      <c r="T58" s="85">
        <f>'2週'!U32</f>
        <v>0</v>
      </c>
      <c r="U58" s="99">
        <f t="shared" si="19"/>
        <v>0</v>
      </c>
      <c r="V58" s="84"/>
      <c r="W58" s="84"/>
    </row>
    <row r="59" spans="1:23">
      <c r="A59" s="66"/>
      <c r="B59" s="66"/>
      <c r="C59" s="66"/>
      <c r="D59" s="78"/>
      <c r="E59" s="66">
        <f>'2週'!A33</f>
        <v>10</v>
      </c>
      <c r="F59" s="66">
        <f>'2週'!B34</f>
        <v>0</v>
      </c>
      <c r="G59" s="77" t="str">
        <f>'2週'!B33</f>
        <v/>
      </c>
      <c r="H59" s="66" t="str">
        <f>'2週'!C33</f>
        <v/>
      </c>
      <c r="I59" s="77">
        <f>'2週'!B34</f>
        <v>0</v>
      </c>
      <c r="J59" s="66" t="str">
        <f>'2週'!C34</f>
        <v/>
      </c>
      <c r="K59" s="66">
        <f>'2週'!E33</f>
        <v>0</v>
      </c>
      <c r="L59" s="66">
        <f>'2週'!E34</f>
        <v>0</v>
      </c>
      <c r="M59" s="126" t="str">
        <f>I59&amp;'2週'!D33</f>
        <v>0</v>
      </c>
      <c r="N59" s="85">
        <f>'2週'!I34</f>
        <v>0</v>
      </c>
      <c r="O59" s="85">
        <f>'2週'!K34</f>
        <v>0</v>
      </c>
      <c r="P59" s="85">
        <f>'2週'!M34</f>
        <v>0</v>
      </c>
      <c r="Q59" s="85">
        <f>'2週'!O34</f>
        <v>0</v>
      </c>
      <c r="R59" s="85">
        <f>'2週'!Q34</f>
        <v>0</v>
      </c>
      <c r="S59" s="85">
        <f>'2週'!S34</f>
        <v>0</v>
      </c>
      <c r="T59" s="85">
        <f>'2週'!U34</f>
        <v>0</v>
      </c>
      <c r="U59" s="99">
        <f t="shared" si="19"/>
        <v>0</v>
      </c>
      <c r="V59" s="84"/>
      <c r="W59" s="84"/>
    </row>
    <row r="60" spans="1:23">
      <c r="A60" s="66"/>
      <c r="B60" s="66"/>
      <c r="C60" s="66"/>
      <c r="D60" s="78"/>
      <c r="E60" s="66">
        <f>'2週'!A35</f>
        <v>11</v>
      </c>
      <c r="F60" s="66">
        <f>'2週'!B36</f>
        <v>0</v>
      </c>
      <c r="G60" s="77" t="str">
        <f>'2週'!B35</f>
        <v/>
      </c>
      <c r="H60" s="66" t="str">
        <f>'2週'!C35</f>
        <v/>
      </c>
      <c r="I60" s="77">
        <f>'2週'!B36</f>
        <v>0</v>
      </c>
      <c r="J60" s="66" t="str">
        <f>'2週'!C36</f>
        <v/>
      </c>
      <c r="K60" s="66">
        <f>'2週'!E35</f>
        <v>0</v>
      </c>
      <c r="L60" s="66">
        <f>'2週'!E36</f>
        <v>0</v>
      </c>
      <c r="M60" s="126" t="str">
        <f>I60&amp;'2週'!D35</f>
        <v>0</v>
      </c>
      <c r="N60" s="85">
        <f>'2週'!I36</f>
        <v>0</v>
      </c>
      <c r="O60" s="85">
        <f>'2週'!K36</f>
        <v>0</v>
      </c>
      <c r="P60" s="85">
        <f>'2週'!M36</f>
        <v>0</v>
      </c>
      <c r="Q60" s="85">
        <f>'2週'!O36</f>
        <v>0</v>
      </c>
      <c r="R60" s="85">
        <f>'2週'!Q36</f>
        <v>0</v>
      </c>
      <c r="S60" s="85">
        <f>'2週'!S36</f>
        <v>0</v>
      </c>
      <c r="T60" s="85">
        <f>'2週'!U36</f>
        <v>0</v>
      </c>
      <c r="U60" s="99">
        <f t="shared" si="19"/>
        <v>0</v>
      </c>
      <c r="V60" s="84"/>
      <c r="W60" s="84"/>
    </row>
    <row r="61" spans="1:23">
      <c r="A61" s="66"/>
      <c r="B61" s="66"/>
      <c r="C61" s="66"/>
      <c r="D61" s="78"/>
      <c r="E61" s="66">
        <f>'2週'!A37</f>
        <v>12</v>
      </c>
      <c r="F61" s="66">
        <f>'2週'!B38</f>
        <v>0</v>
      </c>
      <c r="G61" s="77" t="str">
        <f>'2週'!B37</f>
        <v/>
      </c>
      <c r="H61" s="66" t="str">
        <f>'2週'!C37</f>
        <v/>
      </c>
      <c r="I61" s="77">
        <f>'2週'!B38</f>
        <v>0</v>
      </c>
      <c r="J61" s="66" t="str">
        <f>'2週'!C38</f>
        <v/>
      </c>
      <c r="K61" s="66">
        <f>'2週'!E37</f>
        <v>0</v>
      </c>
      <c r="L61" s="66">
        <f>'2週'!E38</f>
        <v>0</v>
      </c>
      <c r="M61" s="126" t="str">
        <f>I61&amp;'2週'!D37</f>
        <v>0</v>
      </c>
      <c r="N61" s="85">
        <f>'2週'!I38</f>
        <v>0</v>
      </c>
      <c r="O61" s="85">
        <f>'2週'!K38</f>
        <v>0</v>
      </c>
      <c r="P61" s="85">
        <f>'2週'!M38</f>
        <v>0</v>
      </c>
      <c r="Q61" s="85">
        <f>'2週'!O38</f>
        <v>0</v>
      </c>
      <c r="R61" s="85">
        <f>'2週'!Q38</f>
        <v>0</v>
      </c>
      <c r="S61" s="85">
        <f>'2週'!S38</f>
        <v>0</v>
      </c>
      <c r="T61" s="85">
        <f>'2週'!U38</f>
        <v>0</v>
      </c>
      <c r="U61" s="99">
        <f t="shared" ref="U61:U68" si="20">SUM(N61:T61)</f>
        <v>0</v>
      </c>
      <c r="V61" s="84"/>
      <c r="W61" s="84"/>
    </row>
    <row r="62" spans="1:23">
      <c r="A62" s="66"/>
      <c r="B62" s="66"/>
      <c r="C62" s="66"/>
      <c r="D62" s="78"/>
      <c r="E62" s="66">
        <f>'2週'!A39</f>
        <v>13</v>
      </c>
      <c r="F62" s="66">
        <f>'2週'!B40</f>
        <v>0</v>
      </c>
      <c r="G62" s="77" t="str">
        <f>'2週'!B39</f>
        <v/>
      </c>
      <c r="H62" s="66" t="str">
        <f>'2週'!C39</f>
        <v/>
      </c>
      <c r="I62" s="77">
        <f>'2週'!B40</f>
        <v>0</v>
      </c>
      <c r="J62" s="66" t="str">
        <f>'2週'!C40</f>
        <v/>
      </c>
      <c r="K62" s="66">
        <f>'2週'!E39</f>
        <v>0</v>
      </c>
      <c r="L62" s="66">
        <f>'2週'!E40</f>
        <v>0</v>
      </c>
      <c r="M62" s="126" t="str">
        <f>I62&amp;'2週'!D39</f>
        <v>0</v>
      </c>
      <c r="N62" s="85">
        <f>'2週'!I40</f>
        <v>0</v>
      </c>
      <c r="O62" s="85">
        <f>'2週'!K40</f>
        <v>0</v>
      </c>
      <c r="P62" s="85">
        <f>'2週'!M40</f>
        <v>0</v>
      </c>
      <c r="Q62" s="85">
        <f>'2週'!O40</f>
        <v>0</v>
      </c>
      <c r="R62" s="85">
        <f>'2週'!Q40</f>
        <v>0</v>
      </c>
      <c r="S62" s="85">
        <f>'2週'!S40</f>
        <v>0</v>
      </c>
      <c r="T62" s="85">
        <f>'2週'!U40</f>
        <v>0</v>
      </c>
      <c r="U62" s="99">
        <f t="shared" si="20"/>
        <v>0</v>
      </c>
      <c r="V62" s="84"/>
      <c r="W62" s="84"/>
    </row>
    <row r="63" spans="1:23">
      <c r="A63" s="66"/>
      <c r="B63" s="66"/>
      <c r="C63" s="66"/>
      <c r="D63" s="78"/>
      <c r="E63" s="66">
        <f>'2週'!A41</f>
        <v>14</v>
      </c>
      <c r="F63" s="66">
        <f>'2週'!B42</f>
        <v>0</v>
      </c>
      <c r="G63" s="77" t="str">
        <f>'2週'!B41</f>
        <v/>
      </c>
      <c r="H63" s="66" t="str">
        <f>'2週'!C41</f>
        <v/>
      </c>
      <c r="I63" s="77">
        <f>'2週'!B42</f>
        <v>0</v>
      </c>
      <c r="J63" s="66" t="str">
        <f>'2週'!C42</f>
        <v/>
      </c>
      <c r="K63" s="66">
        <f>'2週'!E41</f>
        <v>0</v>
      </c>
      <c r="L63" s="66">
        <f>'2週'!E42</f>
        <v>0</v>
      </c>
      <c r="M63" s="126" t="str">
        <f>I63&amp;'2週'!D41</f>
        <v>0</v>
      </c>
      <c r="N63" s="85">
        <f>'2週'!I42</f>
        <v>0</v>
      </c>
      <c r="O63" s="85">
        <f>'2週'!K42</f>
        <v>0</v>
      </c>
      <c r="P63" s="85">
        <f>'2週'!M42</f>
        <v>0</v>
      </c>
      <c r="Q63" s="85">
        <f>'2週'!O42</f>
        <v>0</v>
      </c>
      <c r="R63" s="85">
        <f>'2週'!Q42</f>
        <v>0</v>
      </c>
      <c r="S63" s="85">
        <f>'2週'!S42</f>
        <v>0</v>
      </c>
      <c r="T63" s="85">
        <f>'2週'!U42</f>
        <v>0</v>
      </c>
      <c r="U63" s="99">
        <f t="shared" si="20"/>
        <v>0</v>
      </c>
      <c r="V63" s="84"/>
      <c r="W63" s="84"/>
    </row>
    <row r="64" spans="1:23">
      <c r="A64" s="66"/>
      <c r="B64" s="66"/>
      <c r="C64" s="66"/>
      <c r="D64" s="78"/>
      <c r="E64" s="66">
        <f>'2週'!A43</f>
        <v>15</v>
      </c>
      <c r="F64" s="66">
        <f>'2週'!B44</f>
        <v>0</v>
      </c>
      <c r="G64" s="77" t="str">
        <f>'2週'!B43</f>
        <v/>
      </c>
      <c r="H64" s="66" t="str">
        <f>'2週'!C43</f>
        <v/>
      </c>
      <c r="I64" s="77">
        <f>'2週'!B44</f>
        <v>0</v>
      </c>
      <c r="J64" s="66" t="str">
        <f>'2週'!C44</f>
        <v/>
      </c>
      <c r="K64" s="66">
        <f>'2週'!E43</f>
        <v>0</v>
      </c>
      <c r="L64" s="66">
        <f>'2週'!E44</f>
        <v>0</v>
      </c>
      <c r="M64" s="126" t="str">
        <f>I64&amp;'2週'!D43</f>
        <v>0</v>
      </c>
      <c r="N64" s="85">
        <f>'2週'!I44</f>
        <v>0</v>
      </c>
      <c r="O64" s="85">
        <f>'2週'!K44</f>
        <v>0</v>
      </c>
      <c r="P64" s="85">
        <f>'2週'!M44</f>
        <v>0</v>
      </c>
      <c r="Q64" s="85">
        <f>'2週'!O44</f>
        <v>0</v>
      </c>
      <c r="R64" s="85">
        <f>'2週'!Q44</f>
        <v>0</v>
      </c>
      <c r="S64" s="85">
        <f>'2週'!S44</f>
        <v>0</v>
      </c>
      <c r="T64" s="85">
        <f>'2週'!U44</f>
        <v>0</v>
      </c>
      <c r="U64" s="99">
        <f t="shared" si="20"/>
        <v>0</v>
      </c>
      <c r="V64" s="84"/>
      <c r="W64" s="84"/>
    </row>
    <row r="65" spans="1:23">
      <c r="A65" s="66"/>
      <c r="B65" s="66"/>
      <c r="C65" s="66"/>
      <c r="D65" s="78"/>
      <c r="E65" s="66">
        <f>'2週'!A45</f>
        <v>16</v>
      </c>
      <c r="F65" s="66">
        <f>'2週'!B46</f>
        <v>0</v>
      </c>
      <c r="G65" s="77" t="str">
        <f>'2週'!B45</f>
        <v/>
      </c>
      <c r="H65" s="66" t="str">
        <f>'2週'!C45</f>
        <v/>
      </c>
      <c r="I65" s="77">
        <f>'2週'!B46</f>
        <v>0</v>
      </c>
      <c r="J65" s="66" t="str">
        <f>'2週'!C46</f>
        <v/>
      </c>
      <c r="K65" s="66">
        <f>'2週'!E45</f>
        <v>0</v>
      </c>
      <c r="L65" s="66">
        <f>'2週'!E46</f>
        <v>0</v>
      </c>
      <c r="M65" s="126" t="str">
        <f>I65&amp;'2週'!D45</f>
        <v>0</v>
      </c>
      <c r="N65" s="85">
        <f>'2週'!I46</f>
        <v>0</v>
      </c>
      <c r="O65" s="85">
        <f>'2週'!K46</f>
        <v>0</v>
      </c>
      <c r="P65" s="85">
        <f>'2週'!M46</f>
        <v>0</v>
      </c>
      <c r="Q65" s="85">
        <f>'2週'!O46</f>
        <v>0</v>
      </c>
      <c r="R65" s="85">
        <f>'2週'!Q46</f>
        <v>0</v>
      </c>
      <c r="S65" s="85">
        <f>'2週'!S46</f>
        <v>0</v>
      </c>
      <c r="T65" s="85">
        <f>'2週'!U46</f>
        <v>0</v>
      </c>
      <c r="U65" s="99">
        <f t="shared" si="20"/>
        <v>0</v>
      </c>
      <c r="V65" s="84"/>
      <c r="W65" s="84"/>
    </row>
    <row r="66" spans="1:23">
      <c r="A66" s="66"/>
      <c r="B66" s="66"/>
      <c r="C66" s="66"/>
      <c r="D66" s="78"/>
      <c r="E66" s="66">
        <f>'2週'!A47</f>
        <v>17</v>
      </c>
      <c r="F66" s="66">
        <f>'2週'!B48</f>
        <v>0</v>
      </c>
      <c r="G66" s="77" t="str">
        <f>'2週'!B47</f>
        <v/>
      </c>
      <c r="H66" s="66" t="str">
        <f>'2週'!C47</f>
        <v/>
      </c>
      <c r="I66" s="77">
        <f>'2週'!B48</f>
        <v>0</v>
      </c>
      <c r="J66" s="66" t="str">
        <f>'2週'!C48</f>
        <v/>
      </c>
      <c r="K66" s="66">
        <f>'2週'!E47</f>
        <v>0</v>
      </c>
      <c r="L66" s="66">
        <f>'2週'!E48</f>
        <v>0</v>
      </c>
      <c r="M66" s="126" t="str">
        <f>I66&amp;'2週'!D47</f>
        <v>0</v>
      </c>
      <c r="N66" s="85">
        <f>'2週'!I48</f>
        <v>0</v>
      </c>
      <c r="O66" s="85">
        <f>'2週'!K48</f>
        <v>0</v>
      </c>
      <c r="P66" s="85">
        <f>'2週'!M48</f>
        <v>0</v>
      </c>
      <c r="Q66" s="85">
        <f>'2週'!O48</f>
        <v>0</v>
      </c>
      <c r="R66" s="85">
        <f>'2週'!Q48</f>
        <v>0</v>
      </c>
      <c r="S66" s="85">
        <f>'2週'!S48</f>
        <v>0</v>
      </c>
      <c r="T66" s="85">
        <f>'2週'!U48</f>
        <v>0</v>
      </c>
      <c r="U66" s="99">
        <f t="shared" si="20"/>
        <v>0</v>
      </c>
      <c r="V66" s="84"/>
      <c r="W66" s="84"/>
    </row>
    <row r="67" spans="1:23">
      <c r="A67" s="66"/>
      <c r="B67" s="66"/>
      <c r="C67" s="66"/>
      <c r="D67" s="78"/>
      <c r="E67" s="66">
        <f>'2週'!A49</f>
        <v>18</v>
      </c>
      <c r="F67" s="66">
        <f>'2週'!B50</f>
        <v>0</v>
      </c>
      <c r="G67" s="77" t="str">
        <f>'2週'!B49</f>
        <v/>
      </c>
      <c r="H67" s="66" t="str">
        <f>'2週'!C49</f>
        <v/>
      </c>
      <c r="I67" s="77">
        <f>'2週'!B50</f>
        <v>0</v>
      </c>
      <c r="J67" s="66" t="str">
        <f>'2週'!C50</f>
        <v/>
      </c>
      <c r="K67" s="66">
        <f>'2週'!E49</f>
        <v>0</v>
      </c>
      <c r="L67" s="66">
        <f>'2週'!E50</f>
        <v>0</v>
      </c>
      <c r="M67" s="126" t="str">
        <f>I67&amp;'2週'!D49</f>
        <v>0</v>
      </c>
      <c r="N67" s="85">
        <f>'2週'!I50</f>
        <v>0</v>
      </c>
      <c r="O67" s="85">
        <f>'2週'!K50</f>
        <v>0</v>
      </c>
      <c r="P67" s="85">
        <f>'2週'!M50</f>
        <v>0</v>
      </c>
      <c r="Q67" s="85">
        <f>'2週'!O50</f>
        <v>0</v>
      </c>
      <c r="R67" s="85">
        <f>'2週'!Q50</f>
        <v>0</v>
      </c>
      <c r="S67" s="85">
        <f>'2週'!S50</f>
        <v>0</v>
      </c>
      <c r="T67" s="85">
        <f>'2週'!U50</f>
        <v>0</v>
      </c>
      <c r="U67" s="99">
        <f t="shared" si="20"/>
        <v>0</v>
      </c>
      <c r="V67" s="84"/>
      <c r="W67" s="84"/>
    </row>
    <row r="68" spans="1:23">
      <c r="A68" s="66"/>
      <c r="B68" s="66"/>
      <c r="C68" s="66"/>
      <c r="D68" s="78"/>
      <c r="E68" s="66">
        <f>'2週'!A51</f>
        <v>19</v>
      </c>
      <c r="F68" s="66">
        <f>'2週'!B52</f>
        <v>0</v>
      </c>
      <c r="G68" s="77" t="str">
        <f>'2週'!B51</f>
        <v/>
      </c>
      <c r="H68" s="66" t="str">
        <f>'2週'!C51</f>
        <v/>
      </c>
      <c r="I68" s="77">
        <f>'2週'!B52</f>
        <v>0</v>
      </c>
      <c r="J68" s="66" t="str">
        <f>'2週'!C52</f>
        <v/>
      </c>
      <c r="K68" s="66">
        <f>'2週'!E51</f>
        <v>0</v>
      </c>
      <c r="L68" s="66">
        <f>'2週'!E52</f>
        <v>0</v>
      </c>
      <c r="M68" s="126" t="str">
        <f>I68&amp;'2週'!D51</f>
        <v>0</v>
      </c>
      <c r="N68" s="85">
        <f>'2週'!I52</f>
        <v>0</v>
      </c>
      <c r="O68" s="85">
        <f>'2週'!K52</f>
        <v>0</v>
      </c>
      <c r="P68" s="85">
        <f>'2週'!M52</f>
        <v>0</v>
      </c>
      <c r="Q68" s="85">
        <f>'2週'!O52</f>
        <v>0</v>
      </c>
      <c r="R68" s="85">
        <f>'2週'!Q52</f>
        <v>0</v>
      </c>
      <c r="S68" s="85">
        <f>'2週'!S52</f>
        <v>0</v>
      </c>
      <c r="T68" s="85">
        <f>'2週'!U52</f>
        <v>0</v>
      </c>
      <c r="U68" s="99">
        <f t="shared" si="20"/>
        <v>0</v>
      </c>
      <c r="V68" s="84"/>
      <c r="W68" s="84"/>
    </row>
    <row r="69" spans="1:23" ht="14.25" thickBot="1">
      <c r="A69" s="66"/>
      <c r="B69" s="66"/>
      <c r="C69" s="66"/>
      <c r="D69" s="100"/>
      <c r="E69" s="66">
        <f>'2週'!A53</f>
        <v>20</v>
      </c>
      <c r="F69" s="66">
        <f>'2週'!B54</f>
        <v>0</v>
      </c>
      <c r="G69" s="77" t="str">
        <f>'2週'!B53</f>
        <v/>
      </c>
      <c r="H69" s="66" t="str">
        <f>'2週'!C53</f>
        <v/>
      </c>
      <c r="I69" s="77">
        <f>'2週'!B54</f>
        <v>0</v>
      </c>
      <c r="J69" s="66" t="str">
        <f>'2週'!C54</f>
        <v/>
      </c>
      <c r="K69" s="66">
        <f>'2週'!E53</f>
        <v>0</v>
      </c>
      <c r="L69" s="66">
        <f>'2週'!E54</f>
        <v>0</v>
      </c>
      <c r="M69" s="126" t="str">
        <f>I69&amp;'2週'!D53</f>
        <v>0</v>
      </c>
      <c r="N69" s="85">
        <f>'2週'!I54</f>
        <v>0</v>
      </c>
      <c r="O69" s="85">
        <f>'2週'!K54</f>
        <v>0</v>
      </c>
      <c r="P69" s="85">
        <f>'2週'!M54</f>
        <v>0</v>
      </c>
      <c r="Q69" s="85">
        <f>'2週'!O54</f>
        <v>0</v>
      </c>
      <c r="R69" s="85">
        <f>'2週'!Q54</f>
        <v>0</v>
      </c>
      <c r="S69" s="85">
        <f>'2週'!S54</f>
        <v>0</v>
      </c>
      <c r="T69" s="85">
        <f>'2週'!U54</f>
        <v>0</v>
      </c>
      <c r="U69" s="99">
        <f t="shared" si="19"/>
        <v>0</v>
      </c>
      <c r="V69" s="84"/>
      <c r="W69" s="84"/>
    </row>
    <row r="70" spans="1:23" ht="14.25" thickBot="1">
      <c r="A70" s="66"/>
      <c r="B70" s="66"/>
      <c r="C70" s="66"/>
      <c r="D70" s="66"/>
      <c r="E70" s="66"/>
      <c r="F70" s="66"/>
      <c r="G70" s="77"/>
      <c r="H70" s="66"/>
      <c r="I70" s="77"/>
      <c r="J70" s="66"/>
      <c r="K70" s="66"/>
      <c r="L70" s="66"/>
      <c r="M70" s="126"/>
      <c r="N70" s="66"/>
      <c r="O70" s="66"/>
      <c r="P70" s="66"/>
      <c r="Q70" s="66"/>
      <c r="R70" s="66"/>
      <c r="S70" s="66"/>
      <c r="T70" s="66"/>
      <c r="U70" s="66"/>
      <c r="V70" s="84"/>
      <c r="W70" s="84"/>
    </row>
    <row r="71" spans="1:23">
      <c r="A71" s="66"/>
      <c r="B71" s="66"/>
      <c r="C71" s="66"/>
      <c r="D71" s="76" t="s">
        <v>155</v>
      </c>
      <c r="E71" s="66">
        <f>'3週'!A15</f>
        <v>1</v>
      </c>
      <c r="F71" s="66">
        <f>'3週'!B16</f>
        <v>10000</v>
      </c>
      <c r="G71" s="77">
        <f>'3週'!B15</f>
        <v>10000</v>
      </c>
      <c r="H71" s="66" t="str">
        <f>'3週'!C15</f>
        <v>Yokogawa</v>
      </c>
      <c r="I71" s="77">
        <f>'3週'!B16</f>
        <v>10000</v>
      </c>
      <c r="J71" s="66" t="str">
        <f>'3週'!C16</f>
        <v xml:space="preserve">Rep Portal </v>
      </c>
      <c r="K71" s="66" t="str">
        <f>'3週'!E15</f>
        <v>調査・分析・実施作業</v>
      </c>
      <c r="L71" s="66">
        <f>'3週'!E16</f>
        <v>0</v>
      </c>
      <c r="M71" s="126" t="str">
        <f>I71&amp;'3週'!D15</f>
        <v>1000010102</v>
      </c>
      <c r="N71" s="85">
        <f>'3週'!I16</f>
        <v>0.20833333333333334</v>
      </c>
      <c r="O71" s="85">
        <f>'3週'!K16</f>
        <v>0.20833333333333334</v>
      </c>
      <c r="P71" s="85">
        <f>'3週'!M16</f>
        <v>0.20833333333333334</v>
      </c>
      <c r="Q71" s="85">
        <f>'3週'!O16</f>
        <v>0.20833333333333334</v>
      </c>
      <c r="R71" s="85">
        <f>'3週'!Q16</f>
        <v>0.20833333333333334</v>
      </c>
      <c r="S71" s="85">
        <f>'3週'!S16</f>
        <v>0</v>
      </c>
      <c r="T71" s="85">
        <f>'3週'!U16</f>
        <v>0</v>
      </c>
      <c r="U71" s="99">
        <f t="shared" ref="U71:U90" si="21">SUM(N71:T71)</f>
        <v>1.0416666666666667</v>
      </c>
      <c r="V71" s="84"/>
      <c r="W71" s="84"/>
    </row>
    <row r="72" spans="1:23">
      <c r="A72" s="66"/>
      <c r="B72" s="66"/>
      <c r="C72" s="66"/>
      <c r="D72" s="78"/>
      <c r="E72" s="66">
        <f>'3週'!A17</f>
        <v>2</v>
      </c>
      <c r="F72" s="66">
        <f>'3週'!B18</f>
        <v>10000</v>
      </c>
      <c r="G72" s="77">
        <f>'3週'!B17</f>
        <v>10000</v>
      </c>
      <c r="H72" s="66" t="str">
        <f>'3週'!C17</f>
        <v>Yokogawa</v>
      </c>
      <c r="I72" s="77">
        <f>'3週'!B18</f>
        <v>10000</v>
      </c>
      <c r="J72" s="66" t="str">
        <f>'3週'!C18</f>
        <v xml:space="preserve">Rep Portal </v>
      </c>
      <c r="K72" s="66" t="str">
        <f>'3週'!E17</f>
        <v>プログラムの実施</v>
      </c>
      <c r="L72" s="66">
        <f>'3週'!E18</f>
        <v>0</v>
      </c>
      <c r="M72" s="126" t="str">
        <f>I72&amp;'3週'!D17</f>
        <v>1000030106</v>
      </c>
      <c r="N72" s="85">
        <f>'3週'!I18</f>
        <v>0.125</v>
      </c>
      <c r="O72" s="85">
        <f>'3週'!K18</f>
        <v>0.125</v>
      </c>
      <c r="P72" s="85">
        <f>'3週'!M18</f>
        <v>0.125</v>
      </c>
      <c r="Q72" s="85">
        <f>'3週'!O18</f>
        <v>0.125</v>
      </c>
      <c r="R72" s="85">
        <f>'3週'!Q18</f>
        <v>0.125</v>
      </c>
      <c r="S72" s="85">
        <f>'3週'!S18</f>
        <v>0</v>
      </c>
      <c r="T72" s="85">
        <f>'3週'!U18</f>
        <v>0</v>
      </c>
      <c r="U72" s="99">
        <f t="shared" si="21"/>
        <v>0.625</v>
      </c>
      <c r="V72" s="84"/>
      <c r="W72" s="84"/>
    </row>
    <row r="73" spans="1:23">
      <c r="A73" s="66"/>
      <c r="B73" s="66"/>
      <c r="C73" s="66"/>
      <c r="D73" s="78"/>
      <c r="E73" s="66">
        <f>'3週'!A19</f>
        <v>3</v>
      </c>
      <c r="F73" s="66">
        <f>'3週'!B20</f>
        <v>10000</v>
      </c>
      <c r="G73" s="77">
        <f>'3週'!B19</f>
        <v>10000</v>
      </c>
      <c r="H73" s="66" t="str">
        <f>'3週'!C19</f>
        <v>Yokogawa</v>
      </c>
      <c r="I73" s="77">
        <f>'3週'!B20</f>
        <v>10000</v>
      </c>
      <c r="J73" s="66" t="str">
        <f>'3週'!C20</f>
        <v xml:space="preserve">Rep Portal </v>
      </c>
      <c r="K73" s="66" t="str">
        <f>'3週'!E19</f>
        <v>テスト実施</v>
      </c>
      <c r="L73" s="66">
        <f>'3週'!E20</f>
        <v>0</v>
      </c>
      <c r="M73" s="126" t="str">
        <f>I73&amp;'3週'!D19</f>
        <v>1000040108</v>
      </c>
      <c r="N73" s="85">
        <f>'3週'!I20</f>
        <v>0.10416666666666667</v>
      </c>
      <c r="O73" s="85">
        <f>'3週'!K20</f>
        <v>0.10416666666666667</v>
      </c>
      <c r="P73" s="85">
        <f>'3週'!M20</f>
        <v>0.10416666666666667</v>
      </c>
      <c r="Q73" s="85">
        <f>'3週'!O20</f>
        <v>0.10416666666666667</v>
      </c>
      <c r="R73" s="85">
        <f>'3週'!Q20</f>
        <v>0.10416666666666667</v>
      </c>
      <c r="S73" s="85">
        <f>'3週'!S20</f>
        <v>0</v>
      </c>
      <c r="T73" s="85">
        <f>'3週'!U20</f>
        <v>0</v>
      </c>
      <c r="U73" s="99">
        <f t="shared" si="21"/>
        <v>0.52083333333333337</v>
      </c>
      <c r="V73" s="84"/>
      <c r="W73" s="84"/>
    </row>
    <row r="74" spans="1:23">
      <c r="A74" s="66"/>
      <c r="B74" s="66"/>
      <c r="C74" s="66"/>
      <c r="D74" s="78"/>
      <c r="E74" s="66">
        <f>'3週'!A21</f>
        <v>4</v>
      </c>
      <c r="F74" s="66">
        <f>'3週'!B22</f>
        <v>0</v>
      </c>
      <c r="G74" s="77" t="str">
        <f>'3週'!B21</f>
        <v/>
      </c>
      <c r="H74" s="66" t="str">
        <f>'3週'!C21</f>
        <v/>
      </c>
      <c r="I74" s="77">
        <f>'3週'!B22</f>
        <v>0</v>
      </c>
      <c r="J74" s="66" t="str">
        <f>'3週'!C22</f>
        <v/>
      </c>
      <c r="K74" s="66">
        <f>'3週'!E21</f>
        <v>0</v>
      </c>
      <c r="L74" s="66">
        <f>'3週'!E22</f>
        <v>0</v>
      </c>
      <c r="M74" s="126" t="str">
        <f>I74&amp;'3週'!D21</f>
        <v>0</v>
      </c>
      <c r="N74" s="85">
        <f>'3週'!I22</f>
        <v>0</v>
      </c>
      <c r="O74" s="85">
        <f>'3週'!K22</f>
        <v>0</v>
      </c>
      <c r="P74" s="85">
        <f>'3週'!M22</f>
        <v>0</v>
      </c>
      <c r="Q74" s="85">
        <f>'3週'!O22</f>
        <v>0</v>
      </c>
      <c r="R74" s="85">
        <f>'3週'!Q22</f>
        <v>0</v>
      </c>
      <c r="S74" s="85">
        <f>'3週'!S22</f>
        <v>0</v>
      </c>
      <c r="T74" s="85">
        <f>'3週'!U22</f>
        <v>0</v>
      </c>
      <c r="U74" s="99">
        <f t="shared" si="21"/>
        <v>0</v>
      </c>
      <c r="V74" s="84"/>
      <c r="W74" s="84"/>
    </row>
    <row r="75" spans="1:23">
      <c r="A75" s="66"/>
      <c r="B75" s="66"/>
      <c r="C75" s="66"/>
      <c r="D75" s="78"/>
      <c r="E75" s="66">
        <f>'3週'!A23</f>
        <v>5</v>
      </c>
      <c r="F75" s="66">
        <f>'3週'!B24</f>
        <v>0</v>
      </c>
      <c r="G75" s="77" t="str">
        <f>'3週'!B23</f>
        <v/>
      </c>
      <c r="H75" s="66" t="str">
        <f>'3週'!C23</f>
        <v/>
      </c>
      <c r="I75" s="77">
        <f>'3週'!B24</f>
        <v>0</v>
      </c>
      <c r="J75" s="66" t="str">
        <f>'3週'!C24</f>
        <v/>
      </c>
      <c r="K75" s="66">
        <f>'3週'!E23</f>
        <v>0</v>
      </c>
      <c r="L75" s="66">
        <f>'3週'!E24</f>
        <v>0</v>
      </c>
      <c r="M75" s="126" t="str">
        <f>I75&amp;'3週'!D23</f>
        <v>0</v>
      </c>
      <c r="N75" s="85">
        <f>'3週'!I24</f>
        <v>0</v>
      </c>
      <c r="O75" s="85">
        <f>'3週'!K24</f>
        <v>0</v>
      </c>
      <c r="P75" s="85">
        <f>'3週'!M24</f>
        <v>0</v>
      </c>
      <c r="Q75" s="85">
        <f>'3週'!O24</f>
        <v>0</v>
      </c>
      <c r="R75" s="85">
        <f>'3週'!Q24</f>
        <v>0</v>
      </c>
      <c r="S75" s="85">
        <f>'3週'!S24</f>
        <v>0</v>
      </c>
      <c r="T75" s="85">
        <f>'3週'!U24</f>
        <v>0</v>
      </c>
      <c r="U75" s="99">
        <f t="shared" si="21"/>
        <v>0</v>
      </c>
      <c r="V75" s="84"/>
      <c r="W75" s="84"/>
    </row>
    <row r="76" spans="1:23">
      <c r="A76" s="66"/>
      <c r="B76" s="66"/>
      <c r="C76" s="66"/>
      <c r="D76" s="78"/>
      <c r="E76" s="66">
        <f>'3週'!A25</f>
        <v>6</v>
      </c>
      <c r="F76" s="66">
        <f>'3週'!B26</f>
        <v>0</v>
      </c>
      <c r="G76" s="77" t="str">
        <f>'3週'!B25</f>
        <v/>
      </c>
      <c r="H76" s="66" t="str">
        <f>'3週'!C25</f>
        <v/>
      </c>
      <c r="I76" s="77">
        <f>'3週'!B26</f>
        <v>0</v>
      </c>
      <c r="J76" s="66" t="str">
        <f>'3週'!C26</f>
        <v/>
      </c>
      <c r="K76" s="66">
        <f>'3週'!E25</f>
        <v>0</v>
      </c>
      <c r="L76" s="66">
        <f>'3週'!E26</f>
        <v>0</v>
      </c>
      <c r="M76" s="126" t="str">
        <f>I76&amp;'3週'!D25</f>
        <v>0</v>
      </c>
      <c r="N76" s="85">
        <f>'3週'!I26</f>
        <v>0</v>
      </c>
      <c r="O76" s="85">
        <f>'3週'!K26</f>
        <v>0</v>
      </c>
      <c r="P76" s="85">
        <f>'3週'!M26</f>
        <v>0</v>
      </c>
      <c r="Q76" s="85">
        <f>'3週'!O26</f>
        <v>0</v>
      </c>
      <c r="R76" s="85">
        <f>'3週'!Q26</f>
        <v>0</v>
      </c>
      <c r="S76" s="85">
        <f>'3週'!S26</f>
        <v>0</v>
      </c>
      <c r="T76" s="85">
        <f>'3週'!U26</f>
        <v>0</v>
      </c>
      <c r="U76" s="99">
        <f t="shared" si="21"/>
        <v>0</v>
      </c>
      <c r="V76" s="84"/>
      <c r="W76" s="84"/>
    </row>
    <row r="77" spans="1:23">
      <c r="A77" s="66"/>
      <c r="B77" s="66"/>
      <c r="C77" s="66"/>
      <c r="D77" s="78"/>
      <c r="E77" s="66">
        <f>'3週'!A27</f>
        <v>7</v>
      </c>
      <c r="F77" s="66">
        <f>'3週'!B28</f>
        <v>0</v>
      </c>
      <c r="G77" s="77" t="str">
        <f>'3週'!B27</f>
        <v/>
      </c>
      <c r="H77" s="66" t="str">
        <f>'3週'!C27</f>
        <v/>
      </c>
      <c r="I77" s="77">
        <f>'3週'!B28</f>
        <v>0</v>
      </c>
      <c r="J77" s="66" t="str">
        <f>'3週'!C28</f>
        <v/>
      </c>
      <c r="K77" s="66">
        <f>'3週'!E27</f>
        <v>0</v>
      </c>
      <c r="L77" s="66">
        <f>'3週'!E28</f>
        <v>0</v>
      </c>
      <c r="M77" s="126" t="str">
        <f>I77&amp;'3週'!D27</f>
        <v>0</v>
      </c>
      <c r="N77" s="85">
        <f>'3週'!I28</f>
        <v>0</v>
      </c>
      <c r="O77" s="85">
        <f>'3週'!K28</f>
        <v>0</v>
      </c>
      <c r="P77" s="85">
        <f>'3週'!M28</f>
        <v>0</v>
      </c>
      <c r="Q77" s="85">
        <f>'3週'!O28</f>
        <v>0</v>
      </c>
      <c r="R77" s="85">
        <f>'3週'!Q28</f>
        <v>0</v>
      </c>
      <c r="S77" s="85">
        <f>'3週'!S28</f>
        <v>0</v>
      </c>
      <c r="T77" s="85">
        <f>'3週'!U28</f>
        <v>0</v>
      </c>
      <c r="U77" s="99">
        <f t="shared" si="21"/>
        <v>0</v>
      </c>
      <c r="V77" s="84"/>
      <c r="W77" s="84"/>
    </row>
    <row r="78" spans="1:23">
      <c r="A78" s="66"/>
      <c r="B78" s="66"/>
      <c r="C78" s="66"/>
      <c r="D78" s="78"/>
      <c r="E78" s="66">
        <f>'3週'!A29</f>
        <v>8</v>
      </c>
      <c r="F78" s="66">
        <f>'3週'!B30</f>
        <v>0</v>
      </c>
      <c r="G78" s="77" t="str">
        <f>'3週'!B29</f>
        <v/>
      </c>
      <c r="H78" s="66" t="str">
        <f>'3週'!C29</f>
        <v/>
      </c>
      <c r="I78" s="77">
        <f>'3週'!B30</f>
        <v>0</v>
      </c>
      <c r="J78" s="66" t="str">
        <f>'3週'!C30</f>
        <v/>
      </c>
      <c r="K78" s="66">
        <f>'3週'!E29</f>
        <v>0</v>
      </c>
      <c r="L78" s="66">
        <f>'3週'!E30</f>
        <v>0</v>
      </c>
      <c r="M78" s="126" t="str">
        <f>I78&amp;'3週'!D29</f>
        <v>0</v>
      </c>
      <c r="N78" s="85">
        <f>'3週'!I30</f>
        <v>0</v>
      </c>
      <c r="O78" s="85">
        <f>'3週'!K30</f>
        <v>0</v>
      </c>
      <c r="P78" s="85">
        <f>'3週'!M30</f>
        <v>0</v>
      </c>
      <c r="Q78" s="85">
        <f>'3週'!O30</f>
        <v>0</v>
      </c>
      <c r="R78" s="85">
        <f>'3週'!Q30</f>
        <v>0</v>
      </c>
      <c r="S78" s="85">
        <f>'3週'!S30</f>
        <v>0</v>
      </c>
      <c r="T78" s="85">
        <f>'3週'!U30</f>
        <v>0</v>
      </c>
      <c r="U78" s="99">
        <f t="shared" si="21"/>
        <v>0</v>
      </c>
      <c r="V78" s="84"/>
      <c r="W78" s="84"/>
    </row>
    <row r="79" spans="1:23">
      <c r="A79" s="66"/>
      <c r="B79" s="66"/>
      <c r="C79" s="66"/>
      <c r="D79" s="78"/>
      <c r="E79" s="66">
        <f>'3週'!A31</f>
        <v>9</v>
      </c>
      <c r="F79" s="66">
        <f>'3週'!B32</f>
        <v>0</v>
      </c>
      <c r="G79" s="77" t="str">
        <f>'3週'!B31</f>
        <v/>
      </c>
      <c r="H79" s="66" t="str">
        <f>'3週'!C31</f>
        <v/>
      </c>
      <c r="I79" s="77">
        <f>'3週'!B32</f>
        <v>0</v>
      </c>
      <c r="J79" s="66" t="str">
        <f>'3週'!C32</f>
        <v/>
      </c>
      <c r="K79" s="66">
        <f>'3週'!E31</f>
        <v>0</v>
      </c>
      <c r="L79" s="66">
        <f>'3週'!E32</f>
        <v>0</v>
      </c>
      <c r="M79" s="126" t="str">
        <f>I79&amp;'3週'!D31</f>
        <v>0</v>
      </c>
      <c r="N79" s="85">
        <f>'3週'!I32</f>
        <v>0</v>
      </c>
      <c r="O79" s="85">
        <f>'3週'!K32</f>
        <v>0</v>
      </c>
      <c r="P79" s="85">
        <f>'3週'!M32</f>
        <v>0</v>
      </c>
      <c r="Q79" s="85">
        <f>'3週'!O32</f>
        <v>0</v>
      </c>
      <c r="R79" s="85">
        <f>'3週'!Q32</f>
        <v>0</v>
      </c>
      <c r="S79" s="85">
        <f>'3週'!S32</f>
        <v>0</v>
      </c>
      <c r="T79" s="85">
        <f>'3週'!U32</f>
        <v>0</v>
      </c>
      <c r="U79" s="99">
        <f t="shared" si="21"/>
        <v>0</v>
      </c>
      <c r="V79" s="84"/>
      <c r="W79" s="84"/>
    </row>
    <row r="80" spans="1:23">
      <c r="A80" s="66"/>
      <c r="B80" s="66"/>
      <c r="C80" s="66"/>
      <c r="D80" s="78"/>
      <c r="E80" s="66">
        <f>'3週'!A33</f>
        <v>10</v>
      </c>
      <c r="F80" s="66">
        <f>'3週'!B34</f>
        <v>0</v>
      </c>
      <c r="G80" s="77" t="str">
        <f>'3週'!B33</f>
        <v/>
      </c>
      <c r="H80" s="66" t="str">
        <f>'3週'!C33</f>
        <v/>
      </c>
      <c r="I80" s="77">
        <f>'3週'!B34</f>
        <v>0</v>
      </c>
      <c r="J80" s="66" t="str">
        <f>'3週'!C34</f>
        <v/>
      </c>
      <c r="K80" s="66">
        <f>'3週'!E33</f>
        <v>0</v>
      </c>
      <c r="L80" s="66">
        <f>'3週'!E34</f>
        <v>0</v>
      </c>
      <c r="M80" s="126" t="str">
        <f>I80&amp;'3週'!D33</f>
        <v>0</v>
      </c>
      <c r="N80" s="85">
        <f>'3週'!I34</f>
        <v>0</v>
      </c>
      <c r="O80" s="85">
        <f>'3週'!K34</f>
        <v>0</v>
      </c>
      <c r="P80" s="85">
        <f>'3週'!M34</f>
        <v>0</v>
      </c>
      <c r="Q80" s="85">
        <f>'3週'!O34</f>
        <v>0</v>
      </c>
      <c r="R80" s="85">
        <f>'3週'!Q34</f>
        <v>0</v>
      </c>
      <c r="S80" s="85">
        <f>'3週'!S34</f>
        <v>0</v>
      </c>
      <c r="T80" s="85">
        <f>'3週'!U34</f>
        <v>0</v>
      </c>
      <c r="U80" s="99">
        <f t="shared" si="21"/>
        <v>0</v>
      </c>
      <c r="V80" s="84"/>
      <c r="W80" s="84"/>
    </row>
    <row r="81" spans="1:23">
      <c r="A81" s="66"/>
      <c r="B81" s="66"/>
      <c r="C81" s="66"/>
      <c r="D81" s="78"/>
      <c r="E81" s="66">
        <f>'3週'!A35</f>
        <v>11</v>
      </c>
      <c r="F81" s="66">
        <f>'3週'!B36</f>
        <v>0</v>
      </c>
      <c r="G81" s="77" t="str">
        <f>'3週'!B35</f>
        <v/>
      </c>
      <c r="H81" s="66" t="str">
        <f>'3週'!C35</f>
        <v/>
      </c>
      <c r="I81" s="77">
        <f>'3週'!B36</f>
        <v>0</v>
      </c>
      <c r="J81" s="66" t="str">
        <f>'3週'!C36</f>
        <v/>
      </c>
      <c r="K81" s="66">
        <f>'3週'!E35</f>
        <v>0</v>
      </c>
      <c r="L81" s="66">
        <f>'3週'!E36</f>
        <v>0</v>
      </c>
      <c r="M81" s="126" t="str">
        <f>I81&amp;'3週'!D35</f>
        <v>0</v>
      </c>
      <c r="N81" s="85">
        <f>'3週'!I36</f>
        <v>0</v>
      </c>
      <c r="O81" s="85">
        <f>'3週'!K36</f>
        <v>0</v>
      </c>
      <c r="P81" s="85">
        <f>'3週'!M36</f>
        <v>0</v>
      </c>
      <c r="Q81" s="85">
        <f>'3週'!O36</f>
        <v>0</v>
      </c>
      <c r="R81" s="85">
        <f>'3週'!Q36</f>
        <v>0</v>
      </c>
      <c r="S81" s="85">
        <f>'3週'!S36</f>
        <v>0</v>
      </c>
      <c r="T81" s="85">
        <f>'3週'!U36</f>
        <v>0</v>
      </c>
      <c r="U81" s="99">
        <f t="shared" si="21"/>
        <v>0</v>
      </c>
      <c r="V81" s="84"/>
      <c r="W81" s="84"/>
    </row>
    <row r="82" spans="1:23">
      <c r="A82" s="66"/>
      <c r="B82" s="66"/>
      <c r="C82" s="66"/>
      <c r="D82" s="78"/>
      <c r="E82" s="66">
        <f>'3週'!A37</f>
        <v>12</v>
      </c>
      <c r="F82" s="66">
        <f>'3週'!B38</f>
        <v>0</v>
      </c>
      <c r="G82" s="77" t="str">
        <f>'3週'!B37</f>
        <v/>
      </c>
      <c r="H82" s="66" t="str">
        <f>'3週'!C37</f>
        <v/>
      </c>
      <c r="I82" s="77">
        <f>'3週'!B38</f>
        <v>0</v>
      </c>
      <c r="J82" s="66" t="str">
        <f>'3週'!C38</f>
        <v/>
      </c>
      <c r="K82" s="66">
        <f>'3週'!E37</f>
        <v>0</v>
      </c>
      <c r="L82" s="66">
        <f>'3週'!E38</f>
        <v>0</v>
      </c>
      <c r="M82" s="126" t="str">
        <f>I82&amp;'3週'!D37</f>
        <v>0</v>
      </c>
      <c r="N82" s="85">
        <f>'3週'!I38</f>
        <v>0</v>
      </c>
      <c r="O82" s="85">
        <f>'3週'!K38</f>
        <v>0</v>
      </c>
      <c r="P82" s="85">
        <f>'3週'!M38</f>
        <v>0</v>
      </c>
      <c r="Q82" s="85">
        <f>'3週'!O38</f>
        <v>0</v>
      </c>
      <c r="R82" s="85">
        <f>'3週'!Q38</f>
        <v>0</v>
      </c>
      <c r="S82" s="85">
        <f>'3週'!S38</f>
        <v>0</v>
      </c>
      <c r="T82" s="85">
        <f>'3週'!U38</f>
        <v>0</v>
      </c>
      <c r="U82" s="99">
        <f t="shared" ref="U82:U89" si="22">SUM(N82:T82)</f>
        <v>0</v>
      </c>
      <c r="V82" s="84"/>
      <c r="W82" s="84"/>
    </row>
    <row r="83" spans="1:23">
      <c r="A83" s="66"/>
      <c r="B83" s="66"/>
      <c r="C83" s="66"/>
      <c r="D83" s="78"/>
      <c r="E83" s="66">
        <f>'3週'!A39</f>
        <v>13</v>
      </c>
      <c r="F83" s="66">
        <f>'3週'!B40</f>
        <v>0</v>
      </c>
      <c r="G83" s="77" t="str">
        <f>'3週'!B39</f>
        <v/>
      </c>
      <c r="H83" s="66" t="str">
        <f>'3週'!C39</f>
        <v/>
      </c>
      <c r="I83" s="77">
        <f>'3週'!B40</f>
        <v>0</v>
      </c>
      <c r="J83" s="66" t="str">
        <f>'3週'!C40</f>
        <v/>
      </c>
      <c r="K83" s="66">
        <f>'3週'!E39</f>
        <v>0</v>
      </c>
      <c r="L83" s="66">
        <f>'3週'!E40</f>
        <v>0</v>
      </c>
      <c r="M83" s="126" t="str">
        <f>I83&amp;'3週'!D39</f>
        <v>0</v>
      </c>
      <c r="N83" s="85">
        <f>'3週'!I40</f>
        <v>0</v>
      </c>
      <c r="O83" s="85">
        <f>'3週'!K40</f>
        <v>0</v>
      </c>
      <c r="P83" s="85">
        <f>'3週'!M40</f>
        <v>0</v>
      </c>
      <c r="Q83" s="85">
        <f>'3週'!O40</f>
        <v>0</v>
      </c>
      <c r="R83" s="85">
        <f>'3週'!Q40</f>
        <v>0</v>
      </c>
      <c r="S83" s="85">
        <f>'3週'!S40</f>
        <v>0</v>
      </c>
      <c r="T83" s="85">
        <f>'3週'!U40</f>
        <v>0</v>
      </c>
      <c r="U83" s="99">
        <f t="shared" si="22"/>
        <v>0</v>
      </c>
      <c r="V83" s="84"/>
      <c r="W83" s="84"/>
    </row>
    <row r="84" spans="1:23">
      <c r="A84" s="66"/>
      <c r="B84" s="66"/>
      <c r="C84" s="66"/>
      <c r="D84" s="78"/>
      <c r="E84" s="66">
        <f>'3週'!A41</f>
        <v>14</v>
      </c>
      <c r="F84" s="66">
        <f>'3週'!B42</f>
        <v>0</v>
      </c>
      <c r="G84" s="77" t="str">
        <f>'3週'!B41</f>
        <v/>
      </c>
      <c r="H84" s="66" t="str">
        <f>'3週'!C41</f>
        <v/>
      </c>
      <c r="I84" s="77">
        <f>'3週'!B42</f>
        <v>0</v>
      </c>
      <c r="J84" s="66" t="str">
        <f>'3週'!C42</f>
        <v/>
      </c>
      <c r="K84" s="66">
        <f>'3週'!E41</f>
        <v>0</v>
      </c>
      <c r="L84" s="66">
        <f>'3週'!E42</f>
        <v>0</v>
      </c>
      <c r="M84" s="126" t="str">
        <f>I84&amp;'3週'!D41</f>
        <v>0</v>
      </c>
      <c r="N84" s="85">
        <f>'3週'!I42</f>
        <v>0</v>
      </c>
      <c r="O84" s="85">
        <f>'3週'!K42</f>
        <v>0</v>
      </c>
      <c r="P84" s="85">
        <f>'3週'!M42</f>
        <v>0</v>
      </c>
      <c r="Q84" s="85">
        <f>'3週'!O42</f>
        <v>0</v>
      </c>
      <c r="R84" s="85">
        <f>'3週'!Q42</f>
        <v>0</v>
      </c>
      <c r="S84" s="85">
        <f>'3週'!S42</f>
        <v>0</v>
      </c>
      <c r="T84" s="85">
        <f>'3週'!U42</f>
        <v>0</v>
      </c>
      <c r="U84" s="99">
        <f t="shared" si="22"/>
        <v>0</v>
      </c>
      <c r="V84" s="84"/>
      <c r="W84" s="84"/>
    </row>
    <row r="85" spans="1:23">
      <c r="A85" s="66"/>
      <c r="B85" s="66"/>
      <c r="C85" s="66"/>
      <c r="D85" s="78"/>
      <c r="E85" s="66">
        <f>'3週'!A43</f>
        <v>15</v>
      </c>
      <c r="F85" s="66">
        <f>'3週'!B44</f>
        <v>0</v>
      </c>
      <c r="G85" s="77" t="str">
        <f>'3週'!B43</f>
        <v/>
      </c>
      <c r="H85" s="66" t="str">
        <f>'3週'!C43</f>
        <v/>
      </c>
      <c r="I85" s="77">
        <f>'3週'!B44</f>
        <v>0</v>
      </c>
      <c r="J85" s="66" t="str">
        <f>'3週'!C44</f>
        <v/>
      </c>
      <c r="K85" s="66">
        <f>'3週'!E43</f>
        <v>0</v>
      </c>
      <c r="L85" s="66">
        <f>'3週'!E44</f>
        <v>0</v>
      </c>
      <c r="M85" s="126" t="str">
        <f>I85&amp;'3週'!D43</f>
        <v>0</v>
      </c>
      <c r="N85" s="85">
        <f>'3週'!I44</f>
        <v>0</v>
      </c>
      <c r="O85" s="85">
        <f>'3週'!K44</f>
        <v>0</v>
      </c>
      <c r="P85" s="85">
        <f>'3週'!M44</f>
        <v>0</v>
      </c>
      <c r="Q85" s="85">
        <f>'3週'!O44</f>
        <v>0</v>
      </c>
      <c r="R85" s="85">
        <f>'3週'!Q44</f>
        <v>0</v>
      </c>
      <c r="S85" s="85">
        <f>'3週'!S44</f>
        <v>0</v>
      </c>
      <c r="T85" s="85">
        <f>'3週'!U44</f>
        <v>0</v>
      </c>
      <c r="U85" s="99">
        <f t="shared" si="22"/>
        <v>0</v>
      </c>
      <c r="V85" s="84"/>
      <c r="W85" s="84"/>
    </row>
    <row r="86" spans="1:23">
      <c r="A86" s="66"/>
      <c r="B86" s="66"/>
      <c r="C86" s="66"/>
      <c r="D86" s="78"/>
      <c r="E86" s="66">
        <f>'3週'!A45</f>
        <v>16</v>
      </c>
      <c r="F86" s="66">
        <f>'3週'!B46</f>
        <v>0</v>
      </c>
      <c r="G86" s="77" t="str">
        <f>'3週'!B45</f>
        <v/>
      </c>
      <c r="H86" s="66" t="str">
        <f>'3週'!C45</f>
        <v/>
      </c>
      <c r="I86" s="77">
        <f>'3週'!B46</f>
        <v>0</v>
      </c>
      <c r="J86" s="66" t="str">
        <f>'3週'!C46</f>
        <v/>
      </c>
      <c r="K86" s="66">
        <f>'3週'!E45</f>
        <v>0</v>
      </c>
      <c r="L86" s="66">
        <f>'3週'!E46</f>
        <v>0</v>
      </c>
      <c r="M86" s="126" t="str">
        <f>I86&amp;'3週'!D45</f>
        <v>0</v>
      </c>
      <c r="N86" s="85">
        <f>'3週'!I46</f>
        <v>0</v>
      </c>
      <c r="O86" s="85">
        <f>'3週'!K46</f>
        <v>0</v>
      </c>
      <c r="P86" s="85">
        <f>'3週'!M46</f>
        <v>0</v>
      </c>
      <c r="Q86" s="85">
        <f>'3週'!O46</f>
        <v>0</v>
      </c>
      <c r="R86" s="85">
        <f>'3週'!Q46</f>
        <v>0</v>
      </c>
      <c r="S86" s="85">
        <f>'3週'!S46</f>
        <v>0</v>
      </c>
      <c r="T86" s="85">
        <f>'3週'!U46</f>
        <v>0</v>
      </c>
      <c r="U86" s="99">
        <f t="shared" si="22"/>
        <v>0</v>
      </c>
      <c r="V86" s="84"/>
      <c r="W86" s="84"/>
    </row>
    <row r="87" spans="1:23">
      <c r="A87" s="66"/>
      <c r="B87" s="66"/>
      <c r="C87" s="66"/>
      <c r="D87" s="78"/>
      <c r="E87" s="66">
        <f>'3週'!A47</f>
        <v>17</v>
      </c>
      <c r="F87" s="66">
        <f>'3週'!B48</f>
        <v>0</v>
      </c>
      <c r="G87" s="77" t="str">
        <f>'3週'!B47</f>
        <v/>
      </c>
      <c r="H87" s="66" t="str">
        <f>'3週'!C47</f>
        <v/>
      </c>
      <c r="I87" s="77">
        <f>'3週'!B48</f>
        <v>0</v>
      </c>
      <c r="J87" s="66" t="str">
        <f>'3週'!C48</f>
        <v/>
      </c>
      <c r="K87" s="66">
        <f>'3週'!E47</f>
        <v>0</v>
      </c>
      <c r="L87" s="66">
        <f>'3週'!E48</f>
        <v>0</v>
      </c>
      <c r="M87" s="126" t="str">
        <f>I87&amp;'3週'!D47</f>
        <v>0</v>
      </c>
      <c r="N87" s="85">
        <f>'3週'!I48</f>
        <v>0</v>
      </c>
      <c r="O87" s="85">
        <f>'3週'!K48</f>
        <v>0</v>
      </c>
      <c r="P87" s="85">
        <f>'3週'!M48</f>
        <v>0</v>
      </c>
      <c r="Q87" s="85">
        <f>'3週'!O48</f>
        <v>0</v>
      </c>
      <c r="R87" s="85">
        <f>'3週'!Q48</f>
        <v>0</v>
      </c>
      <c r="S87" s="85">
        <f>'3週'!S48</f>
        <v>0</v>
      </c>
      <c r="T87" s="85">
        <f>'3週'!U48</f>
        <v>0</v>
      </c>
      <c r="U87" s="99">
        <f t="shared" si="22"/>
        <v>0</v>
      </c>
      <c r="V87" s="84"/>
      <c r="W87" s="84"/>
    </row>
    <row r="88" spans="1:23">
      <c r="A88" s="66"/>
      <c r="B88" s="66"/>
      <c r="C88" s="66"/>
      <c r="D88" s="78"/>
      <c r="E88" s="66">
        <f>'3週'!A49</f>
        <v>18</v>
      </c>
      <c r="F88" s="66">
        <f>'3週'!B50</f>
        <v>0</v>
      </c>
      <c r="G88" s="77" t="str">
        <f>'3週'!B49</f>
        <v/>
      </c>
      <c r="H88" s="66" t="str">
        <f>'3週'!C49</f>
        <v/>
      </c>
      <c r="I88" s="77">
        <f>'3週'!B50</f>
        <v>0</v>
      </c>
      <c r="J88" s="66" t="str">
        <f>'3週'!C50</f>
        <v/>
      </c>
      <c r="K88" s="66">
        <f>'3週'!E49</f>
        <v>0</v>
      </c>
      <c r="L88" s="66">
        <f>'3週'!E50</f>
        <v>0</v>
      </c>
      <c r="M88" s="126" t="str">
        <f>I88&amp;'3週'!D49</f>
        <v>0</v>
      </c>
      <c r="N88" s="85">
        <f>'3週'!I50</f>
        <v>0</v>
      </c>
      <c r="O88" s="85">
        <f>'3週'!K50</f>
        <v>0</v>
      </c>
      <c r="P88" s="85">
        <f>'3週'!M50</f>
        <v>0</v>
      </c>
      <c r="Q88" s="85">
        <f>'3週'!O50</f>
        <v>0</v>
      </c>
      <c r="R88" s="85">
        <f>'3週'!Q50</f>
        <v>0</v>
      </c>
      <c r="S88" s="85">
        <f>'3週'!S50</f>
        <v>0</v>
      </c>
      <c r="T88" s="85">
        <f>'3週'!U50</f>
        <v>0</v>
      </c>
      <c r="U88" s="99">
        <f t="shared" si="22"/>
        <v>0</v>
      </c>
      <c r="V88" s="84"/>
      <c r="W88" s="84"/>
    </row>
    <row r="89" spans="1:23">
      <c r="A89" s="66"/>
      <c r="B89" s="66"/>
      <c r="C89" s="66"/>
      <c r="D89" s="78"/>
      <c r="E89" s="66">
        <f>'3週'!A51</f>
        <v>19</v>
      </c>
      <c r="F89" s="66">
        <f>'3週'!B52</f>
        <v>0</v>
      </c>
      <c r="G89" s="77" t="str">
        <f>'3週'!B51</f>
        <v/>
      </c>
      <c r="H89" s="66" t="str">
        <f>'3週'!C51</f>
        <v/>
      </c>
      <c r="I89" s="77">
        <f>'3週'!B52</f>
        <v>0</v>
      </c>
      <c r="J89" s="66" t="str">
        <f>'3週'!C52</f>
        <v/>
      </c>
      <c r="K89" s="66">
        <f>'3週'!E51</f>
        <v>0</v>
      </c>
      <c r="L89" s="66">
        <f>'3週'!E52</f>
        <v>0</v>
      </c>
      <c r="M89" s="126" t="str">
        <f>I89&amp;'3週'!D51</f>
        <v>0</v>
      </c>
      <c r="N89" s="85">
        <f>'3週'!I52</f>
        <v>0</v>
      </c>
      <c r="O89" s="85">
        <f>'3週'!K52</f>
        <v>0</v>
      </c>
      <c r="P89" s="85">
        <f>'3週'!M52</f>
        <v>0</v>
      </c>
      <c r="Q89" s="85">
        <f>'3週'!O52</f>
        <v>0</v>
      </c>
      <c r="R89" s="85">
        <f>'3週'!Q52</f>
        <v>0</v>
      </c>
      <c r="S89" s="85">
        <f>'3週'!S52</f>
        <v>0</v>
      </c>
      <c r="T89" s="85">
        <f>'3週'!U52</f>
        <v>0</v>
      </c>
      <c r="U89" s="99">
        <f t="shared" si="22"/>
        <v>0</v>
      </c>
      <c r="V89" s="84"/>
      <c r="W89" s="84"/>
    </row>
    <row r="90" spans="1:23" ht="14.25" thickBot="1">
      <c r="A90" s="66"/>
      <c r="B90" s="66"/>
      <c r="C90" s="66"/>
      <c r="D90" s="100"/>
      <c r="E90" s="66">
        <f>'3週'!A53</f>
        <v>20</v>
      </c>
      <c r="F90" s="66">
        <f>'3週'!B54</f>
        <v>0</v>
      </c>
      <c r="G90" s="77" t="str">
        <f>'3週'!B53</f>
        <v/>
      </c>
      <c r="H90" s="66" t="str">
        <f>'3週'!C53</f>
        <v/>
      </c>
      <c r="I90" s="77">
        <f>'3週'!B54</f>
        <v>0</v>
      </c>
      <c r="J90" s="66" t="str">
        <f>'3週'!C54</f>
        <v/>
      </c>
      <c r="K90" s="66">
        <f>'3週'!E53</f>
        <v>0</v>
      </c>
      <c r="L90" s="66">
        <f>'3週'!E54</f>
        <v>0</v>
      </c>
      <c r="M90" s="126" t="str">
        <f>I90&amp;'3週'!D53</f>
        <v>0</v>
      </c>
      <c r="N90" s="85">
        <f>'3週'!I54</f>
        <v>0</v>
      </c>
      <c r="O90" s="85">
        <f>'3週'!K54</f>
        <v>0</v>
      </c>
      <c r="P90" s="85">
        <f>'3週'!M54</f>
        <v>0</v>
      </c>
      <c r="Q90" s="85">
        <f>'3週'!O54</f>
        <v>0</v>
      </c>
      <c r="R90" s="85">
        <f>'3週'!Q54</f>
        <v>0</v>
      </c>
      <c r="S90" s="85">
        <f>'3週'!S54</f>
        <v>0</v>
      </c>
      <c r="T90" s="85">
        <f>'3週'!U54</f>
        <v>0</v>
      </c>
      <c r="U90" s="99">
        <f t="shared" si="21"/>
        <v>0</v>
      </c>
      <c r="V90" s="84"/>
      <c r="W90" s="84"/>
    </row>
    <row r="91" spans="1:23" ht="14.25" thickBot="1">
      <c r="A91" s="66"/>
      <c r="B91" s="66"/>
      <c r="C91" s="66"/>
      <c r="D91" s="66"/>
      <c r="E91" s="66"/>
      <c r="F91" s="66"/>
      <c r="G91" s="77"/>
      <c r="H91" s="66"/>
      <c r="I91" s="77"/>
      <c r="J91" s="66"/>
      <c r="K91" s="66"/>
      <c r="L91" s="66"/>
      <c r="M91" s="126"/>
      <c r="N91" s="66"/>
      <c r="O91" s="66"/>
      <c r="P91" s="66"/>
      <c r="Q91" s="66"/>
      <c r="R91" s="66"/>
      <c r="S91" s="66"/>
      <c r="T91" s="66"/>
      <c r="U91" s="66"/>
      <c r="V91" s="84"/>
      <c r="W91" s="84"/>
    </row>
    <row r="92" spans="1:23">
      <c r="A92" s="66"/>
      <c r="B92" s="66"/>
      <c r="C92" s="66"/>
      <c r="D92" s="76" t="s">
        <v>156</v>
      </c>
      <c r="E92" s="66">
        <f>'4週'!A15</f>
        <v>1</v>
      </c>
      <c r="F92" s="66">
        <f>'4週'!B16</f>
        <v>10000</v>
      </c>
      <c r="G92" s="77">
        <f>'4週'!B15</f>
        <v>10000</v>
      </c>
      <c r="H92" s="66" t="str">
        <f>'4週'!C15</f>
        <v>Yokogawa</v>
      </c>
      <c r="I92" s="77">
        <f>'4週'!B16</f>
        <v>10000</v>
      </c>
      <c r="J92" s="66" t="str">
        <f>'4週'!C16</f>
        <v xml:space="preserve">Rep Portal </v>
      </c>
      <c r="K92" s="66" t="str">
        <f>'4週'!E15</f>
        <v>調査・分析・実施作業</v>
      </c>
      <c r="L92" s="66">
        <f>'4週'!E16</f>
        <v>0</v>
      </c>
      <c r="M92" s="126" t="str">
        <f>I92&amp;'4週'!D15</f>
        <v>1000010102</v>
      </c>
      <c r="N92" s="85">
        <f>'4週'!I16</f>
        <v>0.20833333333333334</v>
      </c>
      <c r="O92" s="85">
        <f>'4週'!K16</f>
        <v>0.20833333333333334</v>
      </c>
      <c r="P92" s="85">
        <f>'4週'!M16</f>
        <v>0.20833333333333334</v>
      </c>
      <c r="Q92" s="85">
        <f>'4週'!O16</f>
        <v>0.20833333333333334</v>
      </c>
      <c r="R92" s="85">
        <f>'4週'!Q16</f>
        <v>0.20833333333333334</v>
      </c>
      <c r="S92" s="85">
        <f>'4週'!S16</f>
        <v>0</v>
      </c>
      <c r="T92" s="85">
        <f>'4週'!U16</f>
        <v>0</v>
      </c>
      <c r="U92" s="99">
        <f t="shared" ref="U92:U111" si="23">SUM(N92:T92)</f>
        <v>1.0416666666666667</v>
      </c>
      <c r="V92" s="84"/>
      <c r="W92" s="84"/>
    </row>
    <row r="93" spans="1:23">
      <c r="A93" s="66"/>
      <c r="B93" s="66"/>
      <c r="C93" s="66"/>
      <c r="D93" s="78"/>
      <c r="E93" s="66">
        <f>'4週'!A17</f>
        <v>2</v>
      </c>
      <c r="F93" s="66">
        <f>'4週'!B18</f>
        <v>10000</v>
      </c>
      <c r="G93" s="77">
        <f>'4週'!B17</f>
        <v>10000</v>
      </c>
      <c r="H93" s="66" t="str">
        <f>'4週'!C17</f>
        <v>Yokogawa</v>
      </c>
      <c r="I93" s="77">
        <f>'4週'!B18</f>
        <v>10000</v>
      </c>
      <c r="J93" s="66" t="str">
        <f>'4週'!C18</f>
        <v xml:space="preserve">Rep Portal </v>
      </c>
      <c r="K93" s="66" t="str">
        <f>'4週'!E17</f>
        <v>プログラムの実施</v>
      </c>
      <c r="L93" s="66">
        <f>'4週'!E18</f>
        <v>0</v>
      </c>
      <c r="M93" s="126" t="str">
        <f>I93&amp;'4週'!D17</f>
        <v>1000030106</v>
      </c>
      <c r="N93" s="85">
        <f>'4週'!I18</f>
        <v>0.125</v>
      </c>
      <c r="O93" s="85">
        <f>'4週'!K18</f>
        <v>0.125</v>
      </c>
      <c r="P93" s="85">
        <f>'4週'!M18</f>
        <v>0.125</v>
      </c>
      <c r="Q93" s="85">
        <f>'4週'!O18</f>
        <v>0.125</v>
      </c>
      <c r="R93" s="85">
        <f>'4週'!Q18</f>
        <v>0.125</v>
      </c>
      <c r="S93" s="85">
        <f>'4週'!S18</f>
        <v>0</v>
      </c>
      <c r="T93" s="85">
        <f>'4週'!U18</f>
        <v>0</v>
      </c>
      <c r="U93" s="99">
        <f t="shared" si="23"/>
        <v>0.625</v>
      </c>
      <c r="V93" s="84"/>
      <c r="W93" s="84"/>
    </row>
    <row r="94" spans="1:23">
      <c r="A94" s="66"/>
      <c r="B94" s="66"/>
      <c r="C94" s="66"/>
      <c r="D94" s="78"/>
      <c r="E94" s="66">
        <f>'4週'!A19</f>
        <v>3</v>
      </c>
      <c r="F94" s="66">
        <f>'4週'!B20</f>
        <v>10000</v>
      </c>
      <c r="G94" s="77">
        <f>'4週'!B19</f>
        <v>10000</v>
      </c>
      <c r="H94" s="66" t="str">
        <f>'4週'!C19</f>
        <v>Yokogawa</v>
      </c>
      <c r="I94" s="77">
        <f>'4週'!B20</f>
        <v>10000</v>
      </c>
      <c r="J94" s="66" t="str">
        <f>'4週'!C20</f>
        <v xml:space="preserve">Rep Portal </v>
      </c>
      <c r="K94" s="66" t="str">
        <f>'4週'!E19</f>
        <v>テスト実施</v>
      </c>
      <c r="L94" s="66">
        <f>'4週'!E20</f>
        <v>0</v>
      </c>
      <c r="M94" s="126" t="str">
        <f>I94&amp;'4週'!D19</f>
        <v>1000040108</v>
      </c>
      <c r="N94" s="85">
        <f>'4週'!I20</f>
        <v>0.10416666666666667</v>
      </c>
      <c r="O94" s="85">
        <f>'4週'!K20</f>
        <v>0.10416666666666667</v>
      </c>
      <c r="P94" s="85">
        <f>'4週'!M20</f>
        <v>0.10416666666666667</v>
      </c>
      <c r="Q94" s="85">
        <f>'4週'!O20</f>
        <v>0.10416666666666667</v>
      </c>
      <c r="R94" s="85">
        <f>'4週'!Q20</f>
        <v>0.10416666666666667</v>
      </c>
      <c r="S94" s="85">
        <f>'4週'!S20</f>
        <v>0</v>
      </c>
      <c r="T94" s="85">
        <f>'4週'!U20</f>
        <v>0</v>
      </c>
      <c r="U94" s="99">
        <f t="shared" si="23"/>
        <v>0.52083333333333337</v>
      </c>
      <c r="V94" s="84"/>
      <c r="W94" s="84"/>
    </row>
    <row r="95" spans="1:23">
      <c r="A95" s="66"/>
      <c r="B95" s="66"/>
      <c r="C95" s="66"/>
      <c r="D95" s="78"/>
      <c r="E95" s="66">
        <f>'4週'!A21</f>
        <v>4</v>
      </c>
      <c r="F95" s="66">
        <f>'4週'!B22</f>
        <v>0</v>
      </c>
      <c r="G95" s="77" t="str">
        <f>'4週'!B21</f>
        <v/>
      </c>
      <c r="H95" s="66" t="str">
        <f>'4週'!C21</f>
        <v/>
      </c>
      <c r="I95" s="77">
        <f>'4週'!B22</f>
        <v>0</v>
      </c>
      <c r="J95" s="66" t="str">
        <f>'4週'!C22</f>
        <v/>
      </c>
      <c r="K95" s="66">
        <f>'4週'!E21</f>
        <v>0</v>
      </c>
      <c r="L95" s="66">
        <f>'4週'!E22</f>
        <v>0</v>
      </c>
      <c r="M95" s="126" t="str">
        <f>I95&amp;'4週'!D21</f>
        <v>0</v>
      </c>
      <c r="N95" s="85">
        <f>'4週'!I22</f>
        <v>0</v>
      </c>
      <c r="O95" s="85">
        <f>'4週'!K22</f>
        <v>0</v>
      </c>
      <c r="P95" s="85">
        <f>'4週'!M22</f>
        <v>0</v>
      </c>
      <c r="Q95" s="85">
        <f>'4週'!O22</f>
        <v>0</v>
      </c>
      <c r="R95" s="85">
        <f>'4週'!Q22</f>
        <v>0</v>
      </c>
      <c r="S95" s="85">
        <f>'4週'!S22</f>
        <v>0</v>
      </c>
      <c r="T95" s="85">
        <f>'4週'!U22</f>
        <v>0</v>
      </c>
      <c r="U95" s="99">
        <f t="shared" si="23"/>
        <v>0</v>
      </c>
      <c r="V95" s="84"/>
      <c r="W95" s="84"/>
    </row>
    <row r="96" spans="1:23">
      <c r="A96" s="66"/>
      <c r="B96" s="66"/>
      <c r="C96" s="66"/>
      <c r="D96" s="78"/>
      <c r="E96" s="66">
        <f>'4週'!A23</f>
        <v>5</v>
      </c>
      <c r="F96" s="66">
        <f>'4週'!B24</f>
        <v>0</v>
      </c>
      <c r="G96" s="77" t="str">
        <f>'4週'!B23</f>
        <v/>
      </c>
      <c r="H96" s="66" t="str">
        <f>'4週'!C23</f>
        <v/>
      </c>
      <c r="I96" s="77">
        <f>'4週'!B24</f>
        <v>0</v>
      </c>
      <c r="J96" s="66" t="str">
        <f>'4週'!C24</f>
        <v/>
      </c>
      <c r="K96" s="66">
        <f>'4週'!E23</f>
        <v>0</v>
      </c>
      <c r="L96" s="66">
        <f>'4週'!E24</f>
        <v>0</v>
      </c>
      <c r="M96" s="126" t="str">
        <f>I96&amp;'4週'!D23</f>
        <v>0</v>
      </c>
      <c r="N96" s="85">
        <f>'4週'!I24</f>
        <v>0</v>
      </c>
      <c r="O96" s="85">
        <f>'4週'!K24</f>
        <v>0</v>
      </c>
      <c r="P96" s="85">
        <f>'4週'!M24</f>
        <v>0</v>
      </c>
      <c r="Q96" s="85">
        <f>'4週'!O24</f>
        <v>0</v>
      </c>
      <c r="R96" s="85">
        <f>'4週'!Q24</f>
        <v>0</v>
      </c>
      <c r="S96" s="85">
        <f>'4週'!S24</f>
        <v>0</v>
      </c>
      <c r="T96" s="85">
        <f>'4週'!U24</f>
        <v>0</v>
      </c>
      <c r="U96" s="99">
        <f t="shared" si="23"/>
        <v>0</v>
      </c>
      <c r="V96" s="84"/>
      <c r="W96" s="84"/>
    </row>
    <row r="97" spans="1:23">
      <c r="A97" s="66"/>
      <c r="B97" s="66"/>
      <c r="C97" s="66"/>
      <c r="D97" s="78"/>
      <c r="E97" s="66">
        <f>'4週'!A25</f>
        <v>6</v>
      </c>
      <c r="F97" s="66">
        <f>'4週'!B26</f>
        <v>0</v>
      </c>
      <c r="G97" s="77" t="str">
        <f>'4週'!B25</f>
        <v/>
      </c>
      <c r="H97" s="66" t="str">
        <f>'4週'!C25</f>
        <v/>
      </c>
      <c r="I97" s="77">
        <f>'4週'!B26</f>
        <v>0</v>
      </c>
      <c r="J97" s="66" t="str">
        <f>'4週'!C26</f>
        <v/>
      </c>
      <c r="K97" s="66">
        <f>'4週'!E25</f>
        <v>0</v>
      </c>
      <c r="L97" s="66">
        <f>'4週'!E26</f>
        <v>0</v>
      </c>
      <c r="M97" s="126" t="str">
        <f>I97&amp;'4週'!D25</f>
        <v>0</v>
      </c>
      <c r="N97" s="85">
        <f>'4週'!I26</f>
        <v>0</v>
      </c>
      <c r="O97" s="85">
        <f>'4週'!K26</f>
        <v>0</v>
      </c>
      <c r="P97" s="85">
        <f>'4週'!M26</f>
        <v>0</v>
      </c>
      <c r="Q97" s="85">
        <f>'4週'!O26</f>
        <v>0</v>
      </c>
      <c r="R97" s="85">
        <f>'4週'!Q26</f>
        <v>0</v>
      </c>
      <c r="S97" s="85">
        <f>'4週'!S26</f>
        <v>0</v>
      </c>
      <c r="T97" s="85">
        <f>'4週'!U26</f>
        <v>0</v>
      </c>
      <c r="U97" s="99">
        <f t="shared" si="23"/>
        <v>0</v>
      </c>
      <c r="V97" s="84"/>
      <c r="W97" s="84"/>
    </row>
    <row r="98" spans="1:23">
      <c r="A98" s="66"/>
      <c r="B98" s="66"/>
      <c r="C98" s="66"/>
      <c r="D98" s="78"/>
      <c r="E98" s="66">
        <f>'4週'!A27</f>
        <v>7</v>
      </c>
      <c r="F98" s="66">
        <f>'4週'!B28</f>
        <v>0</v>
      </c>
      <c r="G98" s="77" t="str">
        <f>'4週'!B27</f>
        <v/>
      </c>
      <c r="H98" s="66" t="str">
        <f>'4週'!C27</f>
        <v/>
      </c>
      <c r="I98" s="77">
        <f>'4週'!B28</f>
        <v>0</v>
      </c>
      <c r="J98" s="66" t="str">
        <f>'4週'!C28</f>
        <v/>
      </c>
      <c r="K98" s="66">
        <f>'4週'!E27</f>
        <v>0</v>
      </c>
      <c r="L98" s="66">
        <f>'4週'!E28</f>
        <v>0</v>
      </c>
      <c r="M98" s="126" t="str">
        <f>I98&amp;'4週'!D27</f>
        <v>0</v>
      </c>
      <c r="N98" s="85">
        <f>'4週'!I28</f>
        <v>0</v>
      </c>
      <c r="O98" s="85">
        <f>'4週'!K28</f>
        <v>0</v>
      </c>
      <c r="P98" s="85">
        <f>'4週'!M28</f>
        <v>0</v>
      </c>
      <c r="Q98" s="85">
        <f>'4週'!O28</f>
        <v>0</v>
      </c>
      <c r="R98" s="85">
        <f>'4週'!Q28</f>
        <v>0</v>
      </c>
      <c r="S98" s="85">
        <f>'4週'!S28</f>
        <v>0</v>
      </c>
      <c r="T98" s="85">
        <f>'4週'!U28</f>
        <v>0</v>
      </c>
      <c r="U98" s="99">
        <f t="shared" si="23"/>
        <v>0</v>
      </c>
      <c r="V98" s="84"/>
      <c r="W98" s="84"/>
    </row>
    <row r="99" spans="1:23">
      <c r="A99" s="66"/>
      <c r="B99" s="66"/>
      <c r="C99" s="66"/>
      <c r="D99" s="78"/>
      <c r="E99" s="66">
        <f>'4週'!A29</f>
        <v>8</v>
      </c>
      <c r="F99" s="66">
        <f>'4週'!B30</f>
        <v>0</v>
      </c>
      <c r="G99" s="77" t="str">
        <f>'4週'!B29</f>
        <v/>
      </c>
      <c r="H99" s="66" t="str">
        <f>'4週'!C29</f>
        <v/>
      </c>
      <c r="I99" s="77">
        <f>'4週'!B30</f>
        <v>0</v>
      </c>
      <c r="J99" s="66" t="str">
        <f>'4週'!C30</f>
        <v/>
      </c>
      <c r="K99" s="66">
        <f>'4週'!E29</f>
        <v>0</v>
      </c>
      <c r="L99" s="66">
        <f>'4週'!E30</f>
        <v>0</v>
      </c>
      <c r="M99" s="126" t="str">
        <f>I99&amp;'4週'!D29</f>
        <v>0</v>
      </c>
      <c r="N99" s="85">
        <f>'4週'!I30</f>
        <v>0</v>
      </c>
      <c r="O99" s="85">
        <f>'4週'!K30</f>
        <v>0</v>
      </c>
      <c r="P99" s="85">
        <f>'4週'!M30</f>
        <v>0</v>
      </c>
      <c r="Q99" s="85">
        <f>'4週'!O30</f>
        <v>0</v>
      </c>
      <c r="R99" s="85">
        <f>'4週'!Q30</f>
        <v>0</v>
      </c>
      <c r="S99" s="85">
        <f>'4週'!S30</f>
        <v>0</v>
      </c>
      <c r="T99" s="85">
        <f>'4週'!U30</f>
        <v>0</v>
      </c>
      <c r="U99" s="99">
        <f t="shared" si="23"/>
        <v>0</v>
      </c>
      <c r="V99" s="84"/>
      <c r="W99" s="84"/>
    </row>
    <row r="100" spans="1:23">
      <c r="A100" s="66"/>
      <c r="B100" s="66"/>
      <c r="C100" s="66"/>
      <c r="D100" s="78"/>
      <c r="E100" s="66">
        <f>'4週'!A31</f>
        <v>9</v>
      </c>
      <c r="F100" s="66">
        <f>'4週'!B32</f>
        <v>0</v>
      </c>
      <c r="G100" s="77" t="str">
        <f>'4週'!B31</f>
        <v/>
      </c>
      <c r="H100" s="66" t="str">
        <f>'4週'!C31</f>
        <v/>
      </c>
      <c r="I100" s="77">
        <f>'4週'!B32</f>
        <v>0</v>
      </c>
      <c r="J100" s="66" t="str">
        <f>'4週'!C32</f>
        <v/>
      </c>
      <c r="K100" s="66">
        <f>'4週'!E31</f>
        <v>0</v>
      </c>
      <c r="L100" s="66">
        <f>'4週'!E32</f>
        <v>0</v>
      </c>
      <c r="M100" s="126" t="str">
        <f>I100&amp;'4週'!D31</f>
        <v>0</v>
      </c>
      <c r="N100" s="85">
        <f>'4週'!I32</f>
        <v>0</v>
      </c>
      <c r="O100" s="85">
        <f>'4週'!K32</f>
        <v>0</v>
      </c>
      <c r="P100" s="85">
        <f>'4週'!M32</f>
        <v>0</v>
      </c>
      <c r="Q100" s="85">
        <f>'4週'!O32</f>
        <v>0</v>
      </c>
      <c r="R100" s="85">
        <f>'4週'!Q32</f>
        <v>0</v>
      </c>
      <c r="S100" s="85">
        <f>'4週'!S32</f>
        <v>0</v>
      </c>
      <c r="T100" s="85">
        <f>'4週'!U32</f>
        <v>0</v>
      </c>
      <c r="U100" s="99">
        <f t="shared" si="23"/>
        <v>0</v>
      </c>
      <c r="V100" s="84"/>
      <c r="W100" s="84"/>
    </row>
    <row r="101" spans="1:23">
      <c r="A101" s="66"/>
      <c r="B101" s="66"/>
      <c r="C101" s="66"/>
      <c r="D101" s="78"/>
      <c r="E101" s="66">
        <f>'4週'!A33</f>
        <v>10</v>
      </c>
      <c r="F101" s="66">
        <f>'4週'!B34</f>
        <v>0</v>
      </c>
      <c r="G101" s="77" t="str">
        <f>'4週'!B33</f>
        <v/>
      </c>
      <c r="H101" s="66" t="str">
        <f>'4週'!C33</f>
        <v/>
      </c>
      <c r="I101" s="77">
        <f>'4週'!B34</f>
        <v>0</v>
      </c>
      <c r="J101" s="66" t="str">
        <f>'4週'!C34</f>
        <v/>
      </c>
      <c r="K101" s="66">
        <f>'4週'!E33</f>
        <v>0</v>
      </c>
      <c r="L101" s="66">
        <f>'4週'!E34</f>
        <v>0</v>
      </c>
      <c r="M101" s="126" t="str">
        <f>I101&amp;'4週'!D33</f>
        <v>0</v>
      </c>
      <c r="N101" s="85">
        <f>'4週'!I34</f>
        <v>0</v>
      </c>
      <c r="O101" s="85">
        <f>'4週'!K34</f>
        <v>0</v>
      </c>
      <c r="P101" s="85">
        <f>'4週'!M34</f>
        <v>0</v>
      </c>
      <c r="Q101" s="85">
        <f>'4週'!O34</f>
        <v>0</v>
      </c>
      <c r="R101" s="85">
        <f>'4週'!Q34</f>
        <v>0</v>
      </c>
      <c r="S101" s="85">
        <f>'4週'!S34</f>
        <v>0</v>
      </c>
      <c r="T101" s="85">
        <f>'4週'!U34</f>
        <v>0</v>
      </c>
      <c r="U101" s="99">
        <f t="shared" si="23"/>
        <v>0</v>
      </c>
      <c r="V101" s="84"/>
      <c r="W101" s="84"/>
    </row>
    <row r="102" spans="1:23">
      <c r="A102" s="66"/>
      <c r="B102" s="66"/>
      <c r="C102" s="66"/>
      <c r="D102" s="78"/>
      <c r="E102" s="66">
        <f>'4週'!A35</f>
        <v>11</v>
      </c>
      <c r="F102" s="66">
        <f>'4週'!B36</f>
        <v>0</v>
      </c>
      <c r="G102" s="77" t="str">
        <f>'4週'!B35</f>
        <v/>
      </c>
      <c r="H102" s="66" t="str">
        <f>'4週'!C35</f>
        <v/>
      </c>
      <c r="I102" s="77">
        <f>'4週'!B36</f>
        <v>0</v>
      </c>
      <c r="J102" s="66" t="str">
        <f>'4週'!C36</f>
        <v/>
      </c>
      <c r="K102" s="66">
        <f>'4週'!E35</f>
        <v>0</v>
      </c>
      <c r="L102" s="66">
        <f>'4週'!E36</f>
        <v>0</v>
      </c>
      <c r="M102" s="126" t="str">
        <f>I102&amp;'4週'!D35</f>
        <v>0</v>
      </c>
      <c r="N102" s="85">
        <f>'4週'!I36</f>
        <v>0</v>
      </c>
      <c r="O102" s="85">
        <f>'4週'!K36</f>
        <v>0</v>
      </c>
      <c r="P102" s="85">
        <f>'4週'!M36</f>
        <v>0</v>
      </c>
      <c r="Q102" s="85">
        <f>'4週'!O36</f>
        <v>0</v>
      </c>
      <c r="R102" s="85">
        <f>'4週'!Q36</f>
        <v>0</v>
      </c>
      <c r="S102" s="85">
        <f>'4週'!S36</f>
        <v>0</v>
      </c>
      <c r="T102" s="85">
        <f>'4週'!U36</f>
        <v>0</v>
      </c>
      <c r="U102" s="99">
        <f t="shared" si="23"/>
        <v>0</v>
      </c>
      <c r="V102" s="84"/>
      <c r="W102" s="84"/>
    </row>
    <row r="103" spans="1:23">
      <c r="A103" s="66"/>
      <c r="B103" s="66"/>
      <c r="C103" s="66"/>
      <c r="D103" s="78"/>
      <c r="E103" s="66">
        <f>'4週'!A37</f>
        <v>12</v>
      </c>
      <c r="F103" s="66">
        <f>'4週'!B38</f>
        <v>0</v>
      </c>
      <c r="G103" s="77" t="str">
        <f>'4週'!B37</f>
        <v/>
      </c>
      <c r="H103" s="66" t="str">
        <f>'4週'!C37</f>
        <v/>
      </c>
      <c r="I103" s="77">
        <f>'4週'!B38</f>
        <v>0</v>
      </c>
      <c r="J103" s="66" t="str">
        <f>'4週'!C38</f>
        <v/>
      </c>
      <c r="K103" s="66">
        <f>'4週'!E37</f>
        <v>0</v>
      </c>
      <c r="L103" s="66">
        <f>'4週'!E38</f>
        <v>0</v>
      </c>
      <c r="M103" s="126" t="str">
        <f>I103&amp;'4週'!D37</f>
        <v>0</v>
      </c>
      <c r="N103" s="85">
        <f>'4週'!I38</f>
        <v>0</v>
      </c>
      <c r="O103" s="85">
        <f>'4週'!K38</f>
        <v>0</v>
      </c>
      <c r="P103" s="85">
        <f>'4週'!M38</f>
        <v>0</v>
      </c>
      <c r="Q103" s="85">
        <f>'4週'!O38</f>
        <v>0</v>
      </c>
      <c r="R103" s="85">
        <f>'4週'!Q38</f>
        <v>0</v>
      </c>
      <c r="S103" s="85">
        <f>'4週'!S38</f>
        <v>0</v>
      </c>
      <c r="T103" s="85">
        <f>'4週'!U38</f>
        <v>0</v>
      </c>
      <c r="U103" s="99">
        <f t="shared" ref="U103:U110" si="24">SUM(N103:T103)</f>
        <v>0</v>
      </c>
      <c r="V103" s="84"/>
      <c r="W103" s="84"/>
    </row>
    <row r="104" spans="1:23">
      <c r="A104" s="66"/>
      <c r="B104" s="66"/>
      <c r="C104" s="66"/>
      <c r="D104" s="78"/>
      <c r="E104" s="66">
        <f>'4週'!A39</f>
        <v>13</v>
      </c>
      <c r="F104" s="66">
        <f>'4週'!B40</f>
        <v>0</v>
      </c>
      <c r="G104" s="77" t="str">
        <f>'4週'!B39</f>
        <v/>
      </c>
      <c r="H104" s="66" t="str">
        <f>'4週'!C39</f>
        <v/>
      </c>
      <c r="I104" s="77">
        <f>'4週'!B40</f>
        <v>0</v>
      </c>
      <c r="J104" s="66" t="str">
        <f>'4週'!C40</f>
        <v/>
      </c>
      <c r="K104" s="66">
        <f>'4週'!E39</f>
        <v>0</v>
      </c>
      <c r="L104" s="66">
        <f>'4週'!E40</f>
        <v>0</v>
      </c>
      <c r="M104" s="126" t="str">
        <f>I104&amp;'4週'!D39</f>
        <v>0</v>
      </c>
      <c r="N104" s="85">
        <f>'4週'!I40</f>
        <v>0</v>
      </c>
      <c r="O104" s="85">
        <f>'4週'!K40</f>
        <v>0</v>
      </c>
      <c r="P104" s="85">
        <f>'4週'!M40</f>
        <v>0</v>
      </c>
      <c r="Q104" s="85">
        <f>'4週'!O40</f>
        <v>0</v>
      </c>
      <c r="R104" s="85">
        <f>'4週'!Q40</f>
        <v>0</v>
      </c>
      <c r="S104" s="85">
        <f>'4週'!S40</f>
        <v>0</v>
      </c>
      <c r="T104" s="85">
        <f>'4週'!U40</f>
        <v>0</v>
      </c>
      <c r="U104" s="99">
        <f t="shared" si="24"/>
        <v>0</v>
      </c>
      <c r="V104" s="84"/>
      <c r="W104" s="84"/>
    </row>
    <row r="105" spans="1:23">
      <c r="A105" s="66"/>
      <c r="B105" s="66"/>
      <c r="C105" s="66"/>
      <c r="D105" s="78"/>
      <c r="E105" s="66">
        <f>'4週'!A41</f>
        <v>14</v>
      </c>
      <c r="F105" s="66">
        <f>'4週'!B42</f>
        <v>0</v>
      </c>
      <c r="G105" s="77" t="str">
        <f>'4週'!B41</f>
        <v/>
      </c>
      <c r="H105" s="66" t="str">
        <f>'4週'!C41</f>
        <v/>
      </c>
      <c r="I105" s="77">
        <f>'4週'!B42</f>
        <v>0</v>
      </c>
      <c r="J105" s="66" t="str">
        <f>'4週'!C42</f>
        <v/>
      </c>
      <c r="K105" s="66">
        <f>'4週'!E41</f>
        <v>0</v>
      </c>
      <c r="L105" s="66">
        <f>'4週'!E42</f>
        <v>0</v>
      </c>
      <c r="M105" s="126" t="str">
        <f>I105&amp;'4週'!D41</f>
        <v>0</v>
      </c>
      <c r="N105" s="85">
        <f>'4週'!I42</f>
        <v>0</v>
      </c>
      <c r="O105" s="85">
        <f>'4週'!K42</f>
        <v>0</v>
      </c>
      <c r="P105" s="85">
        <f>'4週'!M42</f>
        <v>0</v>
      </c>
      <c r="Q105" s="85">
        <f>'4週'!O42</f>
        <v>0</v>
      </c>
      <c r="R105" s="85">
        <f>'4週'!Q42</f>
        <v>0</v>
      </c>
      <c r="S105" s="85">
        <f>'4週'!S42</f>
        <v>0</v>
      </c>
      <c r="T105" s="85">
        <f>'4週'!U42</f>
        <v>0</v>
      </c>
      <c r="U105" s="99">
        <f t="shared" si="24"/>
        <v>0</v>
      </c>
      <c r="V105" s="84"/>
      <c r="W105" s="84"/>
    </row>
    <row r="106" spans="1:23">
      <c r="A106" s="66"/>
      <c r="B106" s="66"/>
      <c r="C106" s="66"/>
      <c r="D106" s="78"/>
      <c r="E106" s="66">
        <f>'4週'!A43</f>
        <v>15</v>
      </c>
      <c r="F106" s="66">
        <f>'4週'!B44</f>
        <v>0</v>
      </c>
      <c r="G106" s="77" t="str">
        <f>'4週'!B43</f>
        <v/>
      </c>
      <c r="H106" s="66" t="str">
        <f>'4週'!C43</f>
        <v/>
      </c>
      <c r="I106" s="77">
        <f>'4週'!B44</f>
        <v>0</v>
      </c>
      <c r="J106" s="66" t="str">
        <f>'4週'!C44</f>
        <v/>
      </c>
      <c r="K106" s="66">
        <f>'4週'!E43</f>
        <v>0</v>
      </c>
      <c r="L106" s="66">
        <f>'4週'!E44</f>
        <v>0</v>
      </c>
      <c r="M106" s="126" t="str">
        <f>I106&amp;'4週'!D43</f>
        <v>0</v>
      </c>
      <c r="N106" s="85">
        <f>'4週'!I44</f>
        <v>0</v>
      </c>
      <c r="O106" s="85">
        <f>'4週'!K44</f>
        <v>0</v>
      </c>
      <c r="P106" s="85">
        <f>'4週'!M44</f>
        <v>0</v>
      </c>
      <c r="Q106" s="85">
        <f>'4週'!O44</f>
        <v>0</v>
      </c>
      <c r="R106" s="85">
        <f>'4週'!Q44</f>
        <v>0</v>
      </c>
      <c r="S106" s="85">
        <f>'4週'!S44</f>
        <v>0</v>
      </c>
      <c r="T106" s="85">
        <f>'4週'!U44</f>
        <v>0</v>
      </c>
      <c r="U106" s="99">
        <f t="shared" si="24"/>
        <v>0</v>
      </c>
      <c r="V106" s="84"/>
      <c r="W106" s="84"/>
    </row>
    <row r="107" spans="1:23">
      <c r="A107" s="66"/>
      <c r="B107" s="66"/>
      <c r="C107" s="66"/>
      <c r="D107" s="78"/>
      <c r="E107" s="66">
        <f>'4週'!A45</f>
        <v>16</v>
      </c>
      <c r="F107" s="66">
        <f>'4週'!B46</f>
        <v>0</v>
      </c>
      <c r="G107" s="77" t="str">
        <f>'4週'!B45</f>
        <v/>
      </c>
      <c r="H107" s="66" t="str">
        <f>'4週'!C45</f>
        <v/>
      </c>
      <c r="I107" s="77">
        <f>'4週'!B46</f>
        <v>0</v>
      </c>
      <c r="J107" s="66" t="str">
        <f>'4週'!C46</f>
        <v/>
      </c>
      <c r="K107" s="66">
        <f>'4週'!E45</f>
        <v>0</v>
      </c>
      <c r="L107" s="66">
        <f>'4週'!E46</f>
        <v>0</v>
      </c>
      <c r="M107" s="126" t="str">
        <f>I107&amp;'4週'!D45</f>
        <v>0</v>
      </c>
      <c r="N107" s="85">
        <f>'4週'!I46</f>
        <v>0</v>
      </c>
      <c r="O107" s="85">
        <f>'4週'!K46</f>
        <v>0</v>
      </c>
      <c r="P107" s="85">
        <f>'4週'!M46</f>
        <v>0</v>
      </c>
      <c r="Q107" s="85">
        <f>'4週'!O46</f>
        <v>0</v>
      </c>
      <c r="R107" s="85">
        <f>'4週'!Q46</f>
        <v>0</v>
      </c>
      <c r="S107" s="85">
        <f>'4週'!S46</f>
        <v>0</v>
      </c>
      <c r="T107" s="85">
        <f>'4週'!U46</f>
        <v>0</v>
      </c>
      <c r="U107" s="99">
        <f t="shared" si="24"/>
        <v>0</v>
      </c>
      <c r="V107" s="84"/>
      <c r="W107" s="84"/>
    </row>
    <row r="108" spans="1:23">
      <c r="A108" s="66"/>
      <c r="B108" s="66"/>
      <c r="C108" s="66"/>
      <c r="D108" s="78"/>
      <c r="E108" s="66">
        <f>'4週'!A47</f>
        <v>17</v>
      </c>
      <c r="F108" s="66">
        <f>'4週'!B48</f>
        <v>0</v>
      </c>
      <c r="G108" s="77" t="str">
        <f>'4週'!B47</f>
        <v/>
      </c>
      <c r="H108" s="66" t="str">
        <f>'4週'!C47</f>
        <v/>
      </c>
      <c r="I108" s="77">
        <f>'4週'!B48</f>
        <v>0</v>
      </c>
      <c r="J108" s="66" t="str">
        <f>'4週'!C48</f>
        <v/>
      </c>
      <c r="K108" s="66">
        <f>'4週'!E47</f>
        <v>0</v>
      </c>
      <c r="L108" s="66">
        <f>'4週'!E48</f>
        <v>0</v>
      </c>
      <c r="M108" s="126" t="str">
        <f>I108&amp;'4週'!D47</f>
        <v>0</v>
      </c>
      <c r="N108" s="85">
        <f>'4週'!I48</f>
        <v>0</v>
      </c>
      <c r="O108" s="85">
        <f>'4週'!K48</f>
        <v>0</v>
      </c>
      <c r="P108" s="85">
        <f>'4週'!M48</f>
        <v>0</v>
      </c>
      <c r="Q108" s="85">
        <f>'4週'!O48</f>
        <v>0</v>
      </c>
      <c r="R108" s="85">
        <f>'4週'!Q48</f>
        <v>0</v>
      </c>
      <c r="S108" s="85">
        <f>'4週'!S48</f>
        <v>0</v>
      </c>
      <c r="T108" s="85">
        <f>'4週'!U48</f>
        <v>0</v>
      </c>
      <c r="U108" s="99">
        <f t="shared" si="24"/>
        <v>0</v>
      </c>
      <c r="V108" s="84"/>
      <c r="W108" s="84"/>
    </row>
    <row r="109" spans="1:23">
      <c r="A109" s="66"/>
      <c r="B109" s="66"/>
      <c r="C109" s="66"/>
      <c r="D109" s="78"/>
      <c r="E109" s="66">
        <f>'4週'!A49</f>
        <v>18</v>
      </c>
      <c r="F109" s="66">
        <f>'4週'!B50</f>
        <v>0</v>
      </c>
      <c r="G109" s="77" t="str">
        <f>'4週'!B49</f>
        <v/>
      </c>
      <c r="H109" s="66" t="str">
        <f>'4週'!C49</f>
        <v/>
      </c>
      <c r="I109" s="77">
        <f>'4週'!B50</f>
        <v>0</v>
      </c>
      <c r="J109" s="66" t="str">
        <f>'4週'!C50</f>
        <v/>
      </c>
      <c r="K109" s="66">
        <f>'4週'!E49</f>
        <v>0</v>
      </c>
      <c r="L109" s="66">
        <f>'4週'!E50</f>
        <v>0</v>
      </c>
      <c r="M109" s="126" t="str">
        <f>I109&amp;'4週'!D49</f>
        <v>0</v>
      </c>
      <c r="N109" s="85">
        <f>'4週'!I50</f>
        <v>0</v>
      </c>
      <c r="O109" s="85">
        <f>'4週'!K50</f>
        <v>0</v>
      </c>
      <c r="P109" s="85">
        <f>'4週'!M50</f>
        <v>0</v>
      </c>
      <c r="Q109" s="85">
        <f>'4週'!O50</f>
        <v>0</v>
      </c>
      <c r="R109" s="85">
        <f>'4週'!Q50</f>
        <v>0</v>
      </c>
      <c r="S109" s="85">
        <f>'4週'!S50</f>
        <v>0</v>
      </c>
      <c r="T109" s="85">
        <f>'4週'!U50</f>
        <v>0</v>
      </c>
      <c r="U109" s="99">
        <f t="shared" si="24"/>
        <v>0</v>
      </c>
      <c r="V109" s="84"/>
      <c r="W109" s="84"/>
    </row>
    <row r="110" spans="1:23">
      <c r="A110" s="66"/>
      <c r="B110" s="66"/>
      <c r="C110" s="66"/>
      <c r="D110" s="78"/>
      <c r="E110" s="66">
        <f>'4週'!A51</f>
        <v>19</v>
      </c>
      <c r="F110" s="66">
        <f>'4週'!B52</f>
        <v>0</v>
      </c>
      <c r="G110" s="77" t="str">
        <f>'4週'!B51</f>
        <v/>
      </c>
      <c r="H110" s="66" t="str">
        <f>'4週'!C51</f>
        <v/>
      </c>
      <c r="I110" s="77">
        <f>'4週'!B52</f>
        <v>0</v>
      </c>
      <c r="J110" s="66" t="str">
        <f>'4週'!C52</f>
        <v/>
      </c>
      <c r="K110" s="66">
        <f>'4週'!E51</f>
        <v>0</v>
      </c>
      <c r="L110" s="66">
        <f>'4週'!E52</f>
        <v>0</v>
      </c>
      <c r="M110" s="126" t="str">
        <f>I110&amp;'4週'!D51</f>
        <v>0</v>
      </c>
      <c r="N110" s="85">
        <f>'4週'!I52</f>
        <v>0</v>
      </c>
      <c r="O110" s="85">
        <f>'4週'!K52</f>
        <v>0</v>
      </c>
      <c r="P110" s="85">
        <f>'4週'!M52</f>
        <v>0</v>
      </c>
      <c r="Q110" s="85">
        <f>'4週'!O52</f>
        <v>0</v>
      </c>
      <c r="R110" s="85">
        <f>'4週'!Q52</f>
        <v>0</v>
      </c>
      <c r="S110" s="85">
        <f>'4週'!S52</f>
        <v>0</v>
      </c>
      <c r="T110" s="85">
        <f>'4週'!U52</f>
        <v>0</v>
      </c>
      <c r="U110" s="99">
        <f t="shared" si="24"/>
        <v>0</v>
      </c>
      <c r="V110" s="84"/>
      <c r="W110" s="84"/>
    </row>
    <row r="111" spans="1:23" ht="14.25" thickBot="1">
      <c r="A111" s="66"/>
      <c r="B111" s="66"/>
      <c r="C111" s="66"/>
      <c r="D111" s="100"/>
      <c r="E111" s="66">
        <f>'4週'!A53</f>
        <v>20</v>
      </c>
      <c r="F111" s="66">
        <f>'4週'!B54</f>
        <v>0</v>
      </c>
      <c r="G111" s="77" t="str">
        <f>'4週'!B53</f>
        <v/>
      </c>
      <c r="H111" s="66" t="str">
        <f>'4週'!C53</f>
        <v/>
      </c>
      <c r="I111" s="77">
        <f>'4週'!B54</f>
        <v>0</v>
      </c>
      <c r="J111" s="66" t="str">
        <f>'4週'!C54</f>
        <v/>
      </c>
      <c r="K111" s="66">
        <f>'4週'!E53</f>
        <v>0</v>
      </c>
      <c r="L111" s="66">
        <f>'4週'!E54</f>
        <v>0</v>
      </c>
      <c r="M111" s="126" t="str">
        <f>I111&amp;'4週'!D53</f>
        <v>0</v>
      </c>
      <c r="N111" s="85">
        <f>'4週'!I54</f>
        <v>0</v>
      </c>
      <c r="O111" s="85">
        <f>'4週'!K54</f>
        <v>0</v>
      </c>
      <c r="P111" s="85">
        <f>'4週'!M54</f>
        <v>0</v>
      </c>
      <c r="Q111" s="85">
        <f>'4週'!O54</f>
        <v>0</v>
      </c>
      <c r="R111" s="85">
        <f>'4週'!Q54</f>
        <v>0</v>
      </c>
      <c r="S111" s="85">
        <f>'4週'!S54</f>
        <v>0</v>
      </c>
      <c r="T111" s="85">
        <f>'4週'!U54</f>
        <v>0</v>
      </c>
      <c r="U111" s="99">
        <f t="shared" si="23"/>
        <v>0</v>
      </c>
      <c r="V111" s="84"/>
      <c r="W111" s="84"/>
    </row>
    <row r="112" spans="1:23" ht="14.25" thickBot="1">
      <c r="A112" s="66"/>
      <c r="B112" s="66"/>
      <c r="C112" s="66"/>
      <c r="D112" s="66"/>
      <c r="E112" s="66"/>
      <c r="F112" s="66"/>
      <c r="G112" s="77"/>
      <c r="H112" s="66"/>
      <c r="I112" s="77"/>
      <c r="J112" s="66"/>
      <c r="K112" s="66"/>
      <c r="L112" s="66"/>
      <c r="M112" s="126"/>
      <c r="N112" s="66"/>
      <c r="O112" s="66"/>
      <c r="P112" s="66"/>
      <c r="Q112" s="66"/>
      <c r="R112" s="66"/>
      <c r="S112" s="66"/>
      <c r="T112" s="66"/>
      <c r="U112" s="66"/>
      <c r="V112" s="84"/>
      <c r="W112" s="84"/>
    </row>
    <row r="113" spans="1:23">
      <c r="A113" s="66"/>
      <c r="B113" s="66"/>
      <c r="C113" s="66"/>
      <c r="D113" s="76" t="s">
        <v>157</v>
      </c>
      <c r="E113" s="66">
        <f>'5週'!A15</f>
        <v>1</v>
      </c>
      <c r="F113" s="66">
        <f>'5週'!B16</f>
        <v>10000</v>
      </c>
      <c r="G113" s="77">
        <f>'5週'!B15</f>
        <v>10000</v>
      </c>
      <c r="H113" s="66" t="str">
        <f>'5週'!C15</f>
        <v>Yokogawa</v>
      </c>
      <c r="I113" s="77">
        <f>'5週'!B16</f>
        <v>10000</v>
      </c>
      <c r="J113" s="66" t="str">
        <f>'5週'!C16</f>
        <v xml:space="preserve">Rep Portal </v>
      </c>
      <c r="K113" s="66" t="str">
        <f>'5週'!E15</f>
        <v>調査・分析・実施作業</v>
      </c>
      <c r="L113" s="66">
        <f>'5週'!E16</f>
        <v>0</v>
      </c>
      <c r="M113" s="126" t="str">
        <f>I113&amp;'5週'!D15</f>
        <v>1000010102</v>
      </c>
      <c r="N113" s="85">
        <f>'5週'!I16</f>
        <v>0</v>
      </c>
      <c r="O113" s="85">
        <f>'5週'!K16</f>
        <v>0.20833333333333334</v>
      </c>
      <c r="P113" s="85">
        <f>'5週'!M16</f>
        <v>0.20833333333333334</v>
      </c>
      <c r="Q113" s="85">
        <f>'5週'!O16</f>
        <v>0.20833333333333334</v>
      </c>
      <c r="R113" s="85">
        <f>'5週'!Q16</f>
        <v>0.20833333333333334</v>
      </c>
      <c r="S113" s="85">
        <f>'5週'!S16</f>
        <v>0</v>
      </c>
      <c r="T113" s="85">
        <f>'5週'!U16</f>
        <v>0</v>
      </c>
      <c r="U113" s="99">
        <f t="shared" ref="U113:U132" si="25">SUM(N113:T113)</f>
        <v>0.83333333333333337</v>
      </c>
      <c r="V113" s="84"/>
      <c r="W113" s="84"/>
    </row>
    <row r="114" spans="1:23">
      <c r="A114" s="66"/>
      <c r="B114" s="66"/>
      <c r="C114" s="66"/>
      <c r="D114" s="78"/>
      <c r="E114" s="66">
        <f>'5週'!A17</f>
        <v>2</v>
      </c>
      <c r="F114" s="66">
        <f>'5週'!B18</f>
        <v>10000</v>
      </c>
      <c r="G114" s="77">
        <f>'5週'!B17</f>
        <v>10000</v>
      </c>
      <c r="H114" s="66" t="str">
        <f>'5週'!C17</f>
        <v>Yokogawa</v>
      </c>
      <c r="I114" s="77">
        <f>'5週'!B18</f>
        <v>10000</v>
      </c>
      <c r="J114" s="66" t="str">
        <f>'5週'!C18</f>
        <v xml:space="preserve">Rep Portal </v>
      </c>
      <c r="K114" s="66" t="str">
        <f>'5週'!E17</f>
        <v>プログラムの実施</v>
      </c>
      <c r="L114" s="66">
        <f>'5週'!E18</f>
        <v>0</v>
      </c>
      <c r="M114" s="126" t="str">
        <f>I114&amp;'5週'!D17</f>
        <v>1000030106</v>
      </c>
      <c r="N114" s="85">
        <f>'5週'!I18</f>
        <v>0</v>
      </c>
      <c r="O114" s="85">
        <f>'5週'!K18</f>
        <v>0.125</v>
      </c>
      <c r="P114" s="85">
        <f>'5週'!M18</f>
        <v>0.125</v>
      </c>
      <c r="Q114" s="85">
        <f>'5週'!O18</f>
        <v>0.125</v>
      </c>
      <c r="R114" s="85">
        <f>'5週'!Q18</f>
        <v>0.125</v>
      </c>
      <c r="S114" s="85">
        <f>'5週'!S18</f>
        <v>0</v>
      </c>
      <c r="T114" s="85">
        <f>'5週'!U18</f>
        <v>0</v>
      </c>
      <c r="U114" s="99">
        <f t="shared" si="25"/>
        <v>0.5</v>
      </c>
      <c r="V114" s="84"/>
      <c r="W114" s="84"/>
    </row>
    <row r="115" spans="1:23">
      <c r="A115" s="66"/>
      <c r="B115" s="66"/>
      <c r="C115" s="66"/>
      <c r="D115" s="78"/>
      <c r="E115" s="66">
        <f>'5週'!A19</f>
        <v>3</v>
      </c>
      <c r="F115" s="66">
        <f>'5週'!B20</f>
        <v>10000</v>
      </c>
      <c r="G115" s="77">
        <f>'5週'!B19</f>
        <v>10000</v>
      </c>
      <c r="H115" s="66" t="str">
        <f>'5週'!C19</f>
        <v>Yokogawa</v>
      </c>
      <c r="I115" s="77">
        <f>'5週'!B20</f>
        <v>10000</v>
      </c>
      <c r="J115" s="66" t="str">
        <f>'5週'!C20</f>
        <v xml:space="preserve">Rep Portal </v>
      </c>
      <c r="K115" s="66" t="str">
        <f>'5週'!E19</f>
        <v>テスト実施</v>
      </c>
      <c r="L115" s="66">
        <f>'5週'!E20</f>
        <v>0</v>
      </c>
      <c r="M115" s="126" t="str">
        <f>I115&amp;'5週'!D19</f>
        <v>1000040108</v>
      </c>
      <c r="N115" s="85">
        <f>'5週'!I20</f>
        <v>0</v>
      </c>
      <c r="O115" s="85">
        <f>'5週'!K20</f>
        <v>0.10416666666666667</v>
      </c>
      <c r="P115" s="85">
        <f>'5週'!M20</f>
        <v>0.10416666666666667</v>
      </c>
      <c r="Q115" s="85">
        <f>'5週'!O20</f>
        <v>0.10416666666666667</v>
      </c>
      <c r="R115" s="85">
        <f>'5週'!Q20</f>
        <v>0.10416666666666667</v>
      </c>
      <c r="S115" s="85">
        <f>'5週'!S20</f>
        <v>0</v>
      </c>
      <c r="T115" s="85">
        <f>'5週'!U20</f>
        <v>0</v>
      </c>
      <c r="U115" s="99">
        <f t="shared" si="25"/>
        <v>0.41666666666666669</v>
      </c>
      <c r="V115" s="84"/>
      <c r="W115" s="84"/>
    </row>
    <row r="116" spans="1:23">
      <c r="A116" s="66"/>
      <c r="B116" s="66"/>
      <c r="C116" s="66"/>
      <c r="D116" s="78"/>
      <c r="E116" s="66">
        <f>'5週'!A21</f>
        <v>4</v>
      </c>
      <c r="F116" s="66">
        <f>'5週'!B22</f>
        <v>0</v>
      </c>
      <c r="G116" s="77" t="str">
        <f>'5週'!B21</f>
        <v/>
      </c>
      <c r="H116" s="66" t="str">
        <f>'5週'!C21</f>
        <v/>
      </c>
      <c r="I116" s="77">
        <f>'5週'!B22</f>
        <v>0</v>
      </c>
      <c r="J116" s="66" t="str">
        <f>'5週'!C22</f>
        <v/>
      </c>
      <c r="K116" s="66">
        <f>'5週'!E21</f>
        <v>0</v>
      </c>
      <c r="L116" s="66">
        <f>'5週'!E22</f>
        <v>0</v>
      </c>
      <c r="M116" s="126" t="str">
        <f>I116&amp;'5週'!D21</f>
        <v>0</v>
      </c>
      <c r="N116" s="85">
        <f>'5週'!I22</f>
        <v>0</v>
      </c>
      <c r="O116" s="85">
        <f>'5週'!K22</f>
        <v>0</v>
      </c>
      <c r="P116" s="85">
        <f>'5週'!M22</f>
        <v>0</v>
      </c>
      <c r="Q116" s="85">
        <f>'5週'!O22</f>
        <v>0</v>
      </c>
      <c r="R116" s="85">
        <f>'5週'!Q22</f>
        <v>0</v>
      </c>
      <c r="S116" s="85">
        <f>'5週'!S22</f>
        <v>0</v>
      </c>
      <c r="T116" s="85">
        <f>'5週'!U22</f>
        <v>0</v>
      </c>
      <c r="U116" s="99">
        <f t="shared" si="25"/>
        <v>0</v>
      </c>
      <c r="V116" s="84"/>
      <c r="W116" s="84"/>
    </row>
    <row r="117" spans="1:23">
      <c r="A117" s="66"/>
      <c r="B117" s="66"/>
      <c r="C117" s="66"/>
      <c r="D117" s="78"/>
      <c r="E117" s="66">
        <f>'5週'!A23</f>
        <v>5</v>
      </c>
      <c r="F117" s="66">
        <f>'5週'!B24</f>
        <v>0</v>
      </c>
      <c r="G117" s="77" t="str">
        <f>'5週'!B23</f>
        <v/>
      </c>
      <c r="H117" s="66" t="str">
        <f>'5週'!C23</f>
        <v/>
      </c>
      <c r="I117" s="77">
        <f>'5週'!B24</f>
        <v>0</v>
      </c>
      <c r="J117" s="66" t="str">
        <f>'5週'!C24</f>
        <v/>
      </c>
      <c r="K117" s="66">
        <f>'5週'!E23</f>
        <v>0</v>
      </c>
      <c r="L117" s="66">
        <f>'5週'!E24</f>
        <v>0</v>
      </c>
      <c r="M117" s="126" t="str">
        <f>I117&amp;'5週'!D23</f>
        <v>0</v>
      </c>
      <c r="N117" s="85">
        <f>'5週'!I24</f>
        <v>0</v>
      </c>
      <c r="O117" s="85">
        <f>'5週'!K24</f>
        <v>0</v>
      </c>
      <c r="P117" s="85">
        <f>'5週'!M24</f>
        <v>0</v>
      </c>
      <c r="Q117" s="85">
        <f>'5週'!O24</f>
        <v>0</v>
      </c>
      <c r="R117" s="85">
        <f>'5週'!Q24</f>
        <v>0</v>
      </c>
      <c r="S117" s="85">
        <f>'5週'!S24</f>
        <v>0</v>
      </c>
      <c r="T117" s="85">
        <f>'5週'!U24</f>
        <v>0</v>
      </c>
      <c r="U117" s="99">
        <f t="shared" si="25"/>
        <v>0</v>
      </c>
      <c r="V117" s="84"/>
      <c r="W117" s="84"/>
    </row>
    <row r="118" spans="1:23">
      <c r="A118" s="66"/>
      <c r="B118" s="66"/>
      <c r="C118" s="66"/>
      <c r="D118" s="78"/>
      <c r="E118" s="66">
        <f>'5週'!A25</f>
        <v>6</v>
      </c>
      <c r="F118" s="66">
        <f>'5週'!B26</f>
        <v>0</v>
      </c>
      <c r="G118" s="77" t="str">
        <f>'5週'!B25</f>
        <v/>
      </c>
      <c r="H118" s="66" t="str">
        <f>'5週'!C25</f>
        <v/>
      </c>
      <c r="I118" s="77">
        <f>'5週'!B26</f>
        <v>0</v>
      </c>
      <c r="J118" s="66" t="str">
        <f>'5週'!C26</f>
        <v/>
      </c>
      <c r="K118" s="66">
        <f>'5週'!E25</f>
        <v>0</v>
      </c>
      <c r="L118" s="66">
        <f>'5週'!E26</f>
        <v>0</v>
      </c>
      <c r="M118" s="126" t="str">
        <f>I118&amp;'5週'!D25</f>
        <v>0</v>
      </c>
      <c r="N118" s="85">
        <f>'5週'!I26</f>
        <v>0</v>
      </c>
      <c r="O118" s="85">
        <f>'5週'!K26</f>
        <v>0</v>
      </c>
      <c r="P118" s="85">
        <f>'5週'!M26</f>
        <v>0</v>
      </c>
      <c r="Q118" s="85">
        <f>'5週'!O26</f>
        <v>0</v>
      </c>
      <c r="R118" s="85">
        <f>'5週'!Q26</f>
        <v>0</v>
      </c>
      <c r="S118" s="85">
        <f>'5週'!S26</f>
        <v>0</v>
      </c>
      <c r="T118" s="85">
        <f>'5週'!U26</f>
        <v>0</v>
      </c>
      <c r="U118" s="99">
        <f t="shared" si="25"/>
        <v>0</v>
      </c>
      <c r="V118" s="84"/>
      <c r="W118" s="84"/>
    </row>
    <row r="119" spans="1:23">
      <c r="A119" s="66"/>
      <c r="B119" s="66"/>
      <c r="C119" s="66"/>
      <c r="D119" s="78"/>
      <c r="E119" s="66">
        <f>'5週'!A27</f>
        <v>7</v>
      </c>
      <c r="F119" s="66">
        <f>'5週'!B28</f>
        <v>0</v>
      </c>
      <c r="G119" s="77" t="str">
        <f>'5週'!B27</f>
        <v/>
      </c>
      <c r="H119" s="66" t="str">
        <f>'5週'!C27</f>
        <v/>
      </c>
      <c r="I119" s="77">
        <f>'5週'!B28</f>
        <v>0</v>
      </c>
      <c r="J119" s="66" t="str">
        <f>'5週'!C28</f>
        <v/>
      </c>
      <c r="K119" s="66">
        <f>'5週'!E27</f>
        <v>0</v>
      </c>
      <c r="L119" s="66">
        <f>'5週'!E28</f>
        <v>0</v>
      </c>
      <c r="M119" s="126" t="str">
        <f>I119&amp;'5週'!D27</f>
        <v>0</v>
      </c>
      <c r="N119" s="85">
        <f>'5週'!I28</f>
        <v>0</v>
      </c>
      <c r="O119" s="85">
        <f>'5週'!K28</f>
        <v>0</v>
      </c>
      <c r="P119" s="85">
        <f>'5週'!M28</f>
        <v>0</v>
      </c>
      <c r="Q119" s="85">
        <f>'5週'!O28</f>
        <v>0</v>
      </c>
      <c r="R119" s="85">
        <f>'5週'!Q28</f>
        <v>0</v>
      </c>
      <c r="S119" s="85">
        <f>'5週'!S28</f>
        <v>0</v>
      </c>
      <c r="T119" s="85">
        <f>'5週'!U28</f>
        <v>0</v>
      </c>
      <c r="U119" s="99">
        <f t="shared" si="25"/>
        <v>0</v>
      </c>
      <c r="V119" s="84"/>
      <c r="W119" s="84"/>
    </row>
    <row r="120" spans="1:23">
      <c r="A120" s="66"/>
      <c r="B120" s="66"/>
      <c r="C120" s="66"/>
      <c r="D120" s="78"/>
      <c r="E120" s="66">
        <f>'5週'!A29</f>
        <v>8</v>
      </c>
      <c r="F120" s="66">
        <f>'5週'!B30</f>
        <v>0</v>
      </c>
      <c r="G120" s="77" t="str">
        <f>'5週'!B29</f>
        <v/>
      </c>
      <c r="H120" s="66" t="str">
        <f>'5週'!C29</f>
        <v/>
      </c>
      <c r="I120" s="77">
        <f>'5週'!B30</f>
        <v>0</v>
      </c>
      <c r="J120" s="66" t="str">
        <f>'5週'!C30</f>
        <v/>
      </c>
      <c r="K120" s="66">
        <f>'5週'!E29</f>
        <v>0</v>
      </c>
      <c r="L120" s="66">
        <f>'5週'!E30</f>
        <v>0</v>
      </c>
      <c r="M120" s="126" t="str">
        <f>I120&amp;'5週'!D29</f>
        <v>0</v>
      </c>
      <c r="N120" s="85">
        <f>'5週'!I30</f>
        <v>0</v>
      </c>
      <c r="O120" s="85">
        <f>'5週'!K30</f>
        <v>0</v>
      </c>
      <c r="P120" s="85">
        <f>'5週'!M30</f>
        <v>0</v>
      </c>
      <c r="Q120" s="85">
        <f>'5週'!O30</f>
        <v>0</v>
      </c>
      <c r="R120" s="85">
        <f>'5週'!Q30</f>
        <v>0</v>
      </c>
      <c r="S120" s="85">
        <f>'5週'!S30</f>
        <v>0</v>
      </c>
      <c r="T120" s="85">
        <f>'5週'!U30</f>
        <v>0</v>
      </c>
      <c r="U120" s="99">
        <f t="shared" si="25"/>
        <v>0</v>
      </c>
      <c r="V120" s="84"/>
      <c r="W120" s="84"/>
    </row>
    <row r="121" spans="1:23">
      <c r="A121" s="66"/>
      <c r="B121" s="66"/>
      <c r="C121" s="66"/>
      <c r="D121" s="78"/>
      <c r="E121" s="66">
        <f>'5週'!A31</f>
        <v>9</v>
      </c>
      <c r="F121" s="66">
        <f>'5週'!B32</f>
        <v>0</v>
      </c>
      <c r="G121" s="77" t="str">
        <f>'5週'!B31</f>
        <v/>
      </c>
      <c r="H121" s="66" t="str">
        <f>'5週'!C31</f>
        <v/>
      </c>
      <c r="I121" s="77">
        <f>'5週'!B32</f>
        <v>0</v>
      </c>
      <c r="J121" s="66" t="str">
        <f>'5週'!C32</f>
        <v/>
      </c>
      <c r="K121" s="66">
        <f>'5週'!E31</f>
        <v>0</v>
      </c>
      <c r="L121" s="66">
        <f>'5週'!E32</f>
        <v>0</v>
      </c>
      <c r="M121" s="126" t="str">
        <f>I121&amp;'5週'!D31</f>
        <v>0</v>
      </c>
      <c r="N121" s="85">
        <f>'5週'!I32</f>
        <v>0</v>
      </c>
      <c r="O121" s="85">
        <f>'5週'!K32</f>
        <v>0</v>
      </c>
      <c r="P121" s="85">
        <f>'5週'!M32</f>
        <v>0</v>
      </c>
      <c r="Q121" s="85">
        <f>'5週'!O32</f>
        <v>0</v>
      </c>
      <c r="R121" s="85">
        <f>'5週'!Q32</f>
        <v>0</v>
      </c>
      <c r="S121" s="85">
        <f>'5週'!S32</f>
        <v>0</v>
      </c>
      <c r="T121" s="85">
        <f>'5週'!U32</f>
        <v>0</v>
      </c>
      <c r="U121" s="99">
        <f t="shared" si="25"/>
        <v>0</v>
      </c>
      <c r="V121" s="84"/>
      <c r="W121" s="84"/>
    </row>
    <row r="122" spans="1:23">
      <c r="A122" s="66"/>
      <c r="B122" s="66"/>
      <c r="C122" s="66"/>
      <c r="D122" s="78"/>
      <c r="E122" s="66">
        <f>'5週'!A33</f>
        <v>10</v>
      </c>
      <c r="F122" s="66">
        <f>'5週'!B34</f>
        <v>0</v>
      </c>
      <c r="G122" s="77" t="str">
        <f>'5週'!B33</f>
        <v/>
      </c>
      <c r="H122" s="66" t="str">
        <f>'5週'!C33</f>
        <v/>
      </c>
      <c r="I122" s="77">
        <f>'5週'!B34</f>
        <v>0</v>
      </c>
      <c r="J122" s="66" t="str">
        <f>'5週'!C34</f>
        <v/>
      </c>
      <c r="K122" s="66">
        <f>'5週'!E33</f>
        <v>0</v>
      </c>
      <c r="L122" s="66">
        <f>'5週'!E34</f>
        <v>0</v>
      </c>
      <c r="M122" s="126" t="str">
        <f>I122&amp;'5週'!D33</f>
        <v>0</v>
      </c>
      <c r="N122" s="85">
        <f>'5週'!I34</f>
        <v>0</v>
      </c>
      <c r="O122" s="85">
        <f>'5週'!K34</f>
        <v>0</v>
      </c>
      <c r="P122" s="85">
        <f>'5週'!M34</f>
        <v>0</v>
      </c>
      <c r="Q122" s="85">
        <f>'5週'!O34</f>
        <v>0</v>
      </c>
      <c r="R122" s="85">
        <f>'5週'!Q34</f>
        <v>0</v>
      </c>
      <c r="S122" s="85">
        <f>'5週'!S34</f>
        <v>0</v>
      </c>
      <c r="T122" s="85">
        <f>'5週'!U34</f>
        <v>0</v>
      </c>
      <c r="U122" s="99">
        <f t="shared" si="25"/>
        <v>0</v>
      </c>
      <c r="V122" s="84"/>
      <c r="W122" s="84"/>
    </row>
    <row r="123" spans="1:23">
      <c r="A123" s="66"/>
      <c r="B123" s="66"/>
      <c r="C123" s="66"/>
      <c r="D123" s="78"/>
      <c r="E123" s="66">
        <f>'5週'!A35</f>
        <v>11</v>
      </c>
      <c r="F123" s="66">
        <f>'5週'!B36</f>
        <v>0</v>
      </c>
      <c r="G123" s="77" t="str">
        <f>'5週'!B35</f>
        <v/>
      </c>
      <c r="H123" s="66" t="str">
        <f>'5週'!C35</f>
        <v/>
      </c>
      <c r="I123" s="77">
        <f>'5週'!B36</f>
        <v>0</v>
      </c>
      <c r="J123" s="66" t="str">
        <f>'5週'!C36</f>
        <v/>
      </c>
      <c r="K123" s="66">
        <f>'5週'!E35</f>
        <v>0</v>
      </c>
      <c r="L123" s="66">
        <f>'5週'!E36</f>
        <v>0</v>
      </c>
      <c r="M123" s="126" t="str">
        <f>I123&amp;'5週'!D35</f>
        <v>0</v>
      </c>
      <c r="N123" s="85">
        <f>'5週'!I36</f>
        <v>0</v>
      </c>
      <c r="O123" s="85">
        <f>'5週'!K36</f>
        <v>0</v>
      </c>
      <c r="P123" s="85">
        <f>'5週'!M36</f>
        <v>0</v>
      </c>
      <c r="Q123" s="85">
        <f>'5週'!O36</f>
        <v>0</v>
      </c>
      <c r="R123" s="85">
        <f>'5週'!Q36</f>
        <v>0</v>
      </c>
      <c r="S123" s="85">
        <f>'5週'!S36</f>
        <v>0</v>
      </c>
      <c r="T123" s="85">
        <f>'5週'!U36</f>
        <v>0</v>
      </c>
      <c r="U123" s="99">
        <f t="shared" si="25"/>
        <v>0</v>
      </c>
      <c r="V123" s="84"/>
      <c r="W123" s="84"/>
    </row>
    <row r="124" spans="1:23">
      <c r="A124" s="66"/>
      <c r="B124" s="66"/>
      <c r="C124" s="66"/>
      <c r="D124" s="78"/>
      <c r="E124" s="66">
        <f>'5週'!A37</f>
        <v>12</v>
      </c>
      <c r="F124" s="66">
        <f>'5週'!B38</f>
        <v>0</v>
      </c>
      <c r="G124" s="77" t="str">
        <f>'5週'!B37</f>
        <v/>
      </c>
      <c r="H124" s="66" t="str">
        <f>'5週'!C37</f>
        <v/>
      </c>
      <c r="I124" s="77">
        <f>'5週'!B38</f>
        <v>0</v>
      </c>
      <c r="J124" s="66" t="str">
        <f>'5週'!C38</f>
        <v/>
      </c>
      <c r="K124" s="66">
        <f>'5週'!E37</f>
        <v>0</v>
      </c>
      <c r="L124" s="66">
        <f>'5週'!E38</f>
        <v>0</v>
      </c>
      <c r="M124" s="126" t="str">
        <f>I124&amp;'5週'!D37</f>
        <v>0</v>
      </c>
      <c r="N124" s="85">
        <f>'5週'!I38</f>
        <v>0</v>
      </c>
      <c r="O124" s="85">
        <f>'5週'!K38</f>
        <v>0</v>
      </c>
      <c r="P124" s="85">
        <f>'5週'!M38</f>
        <v>0</v>
      </c>
      <c r="Q124" s="85">
        <f>'5週'!O38</f>
        <v>0</v>
      </c>
      <c r="R124" s="85">
        <f>'5週'!Q38</f>
        <v>0</v>
      </c>
      <c r="S124" s="85">
        <f>'5週'!S38</f>
        <v>0</v>
      </c>
      <c r="T124" s="85">
        <f>'5週'!U38</f>
        <v>0</v>
      </c>
      <c r="U124" s="99">
        <f t="shared" si="25"/>
        <v>0</v>
      </c>
      <c r="V124" s="84"/>
      <c r="W124" s="84"/>
    </row>
    <row r="125" spans="1:23">
      <c r="A125" s="66"/>
      <c r="B125" s="66"/>
      <c r="C125" s="66"/>
      <c r="D125" s="78"/>
      <c r="E125" s="66">
        <f>'5週'!A39</f>
        <v>13</v>
      </c>
      <c r="F125" s="66">
        <f>'5週'!B40</f>
        <v>0</v>
      </c>
      <c r="G125" s="77" t="str">
        <f>'5週'!B39</f>
        <v/>
      </c>
      <c r="H125" s="66" t="str">
        <f>'5週'!C39</f>
        <v/>
      </c>
      <c r="I125" s="77">
        <f>'5週'!B40</f>
        <v>0</v>
      </c>
      <c r="J125" s="66" t="str">
        <f>'5週'!C40</f>
        <v/>
      </c>
      <c r="K125" s="66">
        <f>'5週'!E39</f>
        <v>0</v>
      </c>
      <c r="L125" s="66">
        <f>'5週'!E40</f>
        <v>0</v>
      </c>
      <c r="M125" s="126" t="str">
        <f>I125&amp;'5週'!D39</f>
        <v>0</v>
      </c>
      <c r="N125" s="85">
        <f>'5週'!I40</f>
        <v>0</v>
      </c>
      <c r="O125" s="85">
        <f>'5週'!K40</f>
        <v>0</v>
      </c>
      <c r="P125" s="85">
        <f>'5週'!M40</f>
        <v>0</v>
      </c>
      <c r="Q125" s="85">
        <f>'5週'!O40</f>
        <v>0</v>
      </c>
      <c r="R125" s="85">
        <f>'5週'!Q40</f>
        <v>0</v>
      </c>
      <c r="S125" s="85">
        <f>'5週'!S40</f>
        <v>0</v>
      </c>
      <c r="T125" s="85">
        <f>'5週'!U40</f>
        <v>0</v>
      </c>
      <c r="U125" s="99">
        <f t="shared" si="25"/>
        <v>0</v>
      </c>
      <c r="V125" s="84"/>
      <c r="W125" s="84"/>
    </row>
    <row r="126" spans="1:23">
      <c r="A126" s="66"/>
      <c r="B126" s="66"/>
      <c r="C126" s="66"/>
      <c r="D126" s="78"/>
      <c r="E126" s="66">
        <f>'5週'!A41</f>
        <v>14</v>
      </c>
      <c r="F126" s="66">
        <f>'5週'!B42</f>
        <v>0</v>
      </c>
      <c r="G126" s="77" t="str">
        <f>'5週'!B41</f>
        <v/>
      </c>
      <c r="H126" s="66" t="str">
        <f>'5週'!C41</f>
        <v/>
      </c>
      <c r="I126" s="77">
        <f>'5週'!B42</f>
        <v>0</v>
      </c>
      <c r="J126" s="66" t="str">
        <f>'5週'!C42</f>
        <v/>
      </c>
      <c r="K126" s="66">
        <f>'5週'!E41</f>
        <v>0</v>
      </c>
      <c r="L126" s="66">
        <f>'5週'!E42</f>
        <v>0</v>
      </c>
      <c r="M126" s="126" t="str">
        <f>I126&amp;'5週'!D41</f>
        <v>0</v>
      </c>
      <c r="N126" s="85">
        <f>'5週'!I42</f>
        <v>0</v>
      </c>
      <c r="O126" s="85">
        <f>'5週'!K42</f>
        <v>0</v>
      </c>
      <c r="P126" s="85">
        <f>'5週'!M42</f>
        <v>0</v>
      </c>
      <c r="Q126" s="85">
        <f>'5週'!O42</f>
        <v>0</v>
      </c>
      <c r="R126" s="85">
        <f>'5週'!Q42</f>
        <v>0</v>
      </c>
      <c r="S126" s="85">
        <f>'5週'!S42</f>
        <v>0</v>
      </c>
      <c r="T126" s="85">
        <f>'5週'!U42</f>
        <v>0</v>
      </c>
      <c r="U126" s="99">
        <f t="shared" si="25"/>
        <v>0</v>
      </c>
      <c r="V126" s="84"/>
      <c r="W126" s="84"/>
    </row>
    <row r="127" spans="1:23">
      <c r="A127" s="66"/>
      <c r="B127" s="66"/>
      <c r="C127" s="66"/>
      <c r="D127" s="78"/>
      <c r="E127" s="66">
        <f>'5週'!A43</f>
        <v>15</v>
      </c>
      <c r="F127" s="66">
        <f>'5週'!B44</f>
        <v>0</v>
      </c>
      <c r="G127" s="77" t="str">
        <f>'5週'!B43</f>
        <v/>
      </c>
      <c r="H127" s="66" t="str">
        <f>'5週'!C43</f>
        <v/>
      </c>
      <c r="I127" s="77">
        <f>'5週'!B44</f>
        <v>0</v>
      </c>
      <c r="J127" s="66" t="str">
        <f>'5週'!C44</f>
        <v/>
      </c>
      <c r="K127" s="66">
        <f>'5週'!E43</f>
        <v>0</v>
      </c>
      <c r="L127" s="66">
        <f>'5週'!E44</f>
        <v>0</v>
      </c>
      <c r="M127" s="126" t="str">
        <f>I127&amp;'5週'!D43</f>
        <v>0</v>
      </c>
      <c r="N127" s="85">
        <f>'5週'!I44</f>
        <v>0</v>
      </c>
      <c r="O127" s="85">
        <f>'5週'!K44</f>
        <v>0</v>
      </c>
      <c r="P127" s="85">
        <f>'5週'!M44</f>
        <v>0</v>
      </c>
      <c r="Q127" s="85">
        <f>'5週'!O44</f>
        <v>0</v>
      </c>
      <c r="R127" s="85">
        <f>'5週'!Q44</f>
        <v>0</v>
      </c>
      <c r="S127" s="85">
        <f>'5週'!S44</f>
        <v>0</v>
      </c>
      <c r="T127" s="85">
        <f>'5週'!U44</f>
        <v>0</v>
      </c>
      <c r="U127" s="99">
        <f t="shared" si="25"/>
        <v>0</v>
      </c>
      <c r="V127" s="84"/>
      <c r="W127" s="84"/>
    </row>
    <row r="128" spans="1:23">
      <c r="A128" s="66"/>
      <c r="B128" s="66"/>
      <c r="C128" s="66"/>
      <c r="D128" s="78"/>
      <c r="E128" s="66">
        <f>'5週'!A45</f>
        <v>16</v>
      </c>
      <c r="F128" s="66">
        <f>'5週'!B46</f>
        <v>0</v>
      </c>
      <c r="G128" s="77" t="str">
        <f>'5週'!B45</f>
        <v/>
      </c>
      <c r="H128" s="66" t="str">
        <f>'5週'!C45</f>
        <v/>
      </c>
      <c r="I128" s="77">
        <f>'5週'!B46</f>
        <v>0</v>
      </c>
      <c r="J128" s="66" t="str">
        <f>'5週'!C46</f>
        <v/>
      </c>
      <c r="K128" s="66">
        <f>'5週'!E45</f>
        <v>0</v>
      </c>
      <c r="L128" s="66">
        <f>'5週'!E46</f>
        <v>0</v>
      </c>
      <c r="M128" s="126" t="str">
        <f>I128&amp;'5週'!D45</f>
        <v>0</v>
      </c>
      <c r="N128" s="85">
        <f>'5週'!I46</f>
        <v>0</v>
      </c>
      <c r="O128" s="85">
        <f>'5週'!K46</f>
        <v>0</v>
      </c>
      <c r="P128" s="85">
        <f>'5週'!M46</f>
        <v>0</v>
      </c>
      <c r="Q128" s="85">
        <f>'5週'!O46</f>
        <v>0</v>
      </c>
      <c r="R128" s="85">
        <f>'5週'!Q46</f>
        <v>0</v>
      </c>
      <c r="S128" s="85">
        <f>'5週'!S46</f>
        <v>0</v>
      </c>
      <c r="T128" s="85">
        <f>'5週'!U46</f>
        <v>0</v>
      </c>
      <c r="U128" s="99">
        <f t="shared" si="25"/>
        <v>0</v>
      </c>
      <c r="V128" s="84"/>
      <c r="W128" s="84"/>
    </row>
    <row r="129" spans="1:23">
      <c r="A129" s="66"/>
      <c r="B129" s="66"/>
      <c r="C129" s="66"/>
      <c r="D129" s="78"/>
      <c r="E129" s="66">
        <f>'5週'!A47</f>
        <v>17</v>
      </c>
      <c r="F129" s="66">
        <f>'5週'!B48</f>
        <v>0</v>
      </c>
      <c r="G129" s="77" t="str">
        <f>'5週'!B47</f>
        <v/>
      </c>
      <c r="H129" s="66" t="str">
        <f>'5週'!C47</f>
        <v/>
      </c>
      <c r="I129" s="77">
        <f>'5週'!B48</f>
        <v>0</v>
      </c>
      <c r="J129" s="66" t="str">
        <f>'5週'!C48</f>
        <v/>
      </c>
      <c r="K129" s="66">
        <f>'5週'!E47</f>
        <v>0</v>
      </c>
      <c r="L129" s="66">
        <f>'5週'!E48</f>
        <v>0</v>
      </c>
      <c r="M129" s="126" t="str">
        <f>I129&amp;'5週'!D47</f>
        <v>0</v>
      </c>
      <c r="N129" s="85">
        <f>'5週'!I48</f>
        <v>0</v>
      </c>
      <c r="O129" s="85">
        <f>'5週'!K48</f>
        <v>0</v>
      </c>
      <c r="P129" s="85">
        <f>'5週'!M48</f>
        <v>0</v>
      </c>
      <c r="Q129" s="85">
        <f>'5週'!O48</f>
        <v>0</v>
      </c>
      <c r="R129" s="85">
        <f>'5週'!Q48</f>
        <v>0</v>
      </c>
      <c r="S129" s="85">
        <f>'5週'!S48</f>
        <v>0</v>
      </c>
      <c r="T129" s="85">
        <f>'5週'!U48</f>
        <v>0</v>
      </c>
      <c r="U129" s="99">
        <f t="shared" si="25"/>
        <v>0</v>
      </c>
      <c r="V129" s="84"/>
      <c r="W129" s="84"/>
    </row>
    <row r="130" spans="1:23">
      <c r="A130" s="66"/>
      <c r="B130" s="66"/>
      <c r="C130" s="66"/>
      <c r="D130" s="78"/>
      <c r="E130" s="66">
        <f>'5週'!A49</f>
        <v>18</v>
      </c>
      <c r="F130" s="66">
        <f>'5週'!B50</f>
        <v>0</v>
      </c>
      <c r="G130" s="77" t="str">
        <f>'5週'!B49</f>
        <v/>
      </c>
      <c r="H130" s="66" t="str">
        <f>'5週'!C49</f>
        <v/>
      </c>
      <c r="I130" s="77">
        <f>'5週'!B50</f>
        <v>0</v>
      </c>
      <c r="J130" s="66" t="str">
        <f>'5週'!C50</f>
        <v/>
      </c>
      <c r="K130" s="66">
        <f>'5週'!E49</f>
        <v>0</v>
      </c>
      <c r="L130" s="66">
        <f>'5週'!E50</f>
        <v>0</v>
      </c>
      <c r="M130" s="126" t="str">
        <f>I130&amp;'5週'!D49</f>
        <v>0</v>
      </c>
      <c r="N130" s="85">
        <f>'5週'!I50</f>
        <v>0</v>
      </c>
      <c r="O130" s="85">
        <f>'5週'!K50</f>
        <v>0</v>
      </c>
      <c r="P130" s="85">
        <f>'5週'!M50</f>
        <v>0</v>
      </c>
      <c r="Q130" s="85">
        <f>'5週'!O50</f>
        <v>0</v>
      </c>
      <c r="R130" s="85">
        <f>'5週'!Q50</f>
        <v>0</v>
      </c>
      <c r="S130" s="85">
        <f>'5週'!S50</f>
        <v>0</v>
      </c>
      <c r="T130" s="85">
        <f>'5週'!U50</f>
        <v>0</v>
      </c>
      <c r="U130" s="99">
        <f t="shared" si="25"/>
        <v>0</v>
      </c>
      <c r="V130" s="84"/>
      <c r="W130" s="84"/>
    </row>
    <row r="131" spans="1:23">
      <c r="A131" s="66"/>
      <c r="B131" s="66"/>
      <c r="C131" s="66"/>
      <c r="D131" s="78"/>
      <c r="E131" s="66">
        <f>'5週'!A51</f>
        <v>19</v>
      </c>
      <c r="F131" s="66">
        <f>'5週'!B52</f>
        <v>0</v>
      </c>
      <c r="G131" s="77" t="str">
        <f>'5週'!B51</f>
        <v/>
      </c>
      <c r="H131" s="66" t="str">
        <f>'5週'!C51</f>
        <v/>
      </c>
      <c r="I131" s="77">
        <f>'5週'!B52</f>
        <v>0</v>
      </c>
      <c r="J131" s="66" t="str">
        <f>'5週'!C52</f>
        <v/>
      </c>
      <c r="K131" s="66">
        <f>'5週'!E51</f>
        <v>0</v>
      </c>
      <c r="L131" s="66">
        <f>'5週'!E52</f>
        <v>0</v>
      </c>
      <c r="M131" s="126" t="str">
        <f>I131&amp;'5週'!D51</f>
        <v>0</v>
      </c>
      <c r="N131" s="85">
        <f>'5週'!I52</f>
        <v>0</v>
      </c>
      <c r="O131" s="85">
        <f>'5週'!K52</f>
        <v>0</v>
      </c>
      <c r="P131" s="85">
        <f>'5週'!M52</f>
        <v>0</v>
      </c>
      <c r="Q131" s="85">
        <f>'5週'!O52</f>
        <v>0</v>
      </c>
      <c r="R131" s="85">
        <f>'5週'!Q52</f>
        <v>0</v>
      </c>
      <c r="S131" s="85">
        <f>'5週'!S52</f>
        <v>0</v>
      </c>
      <c r="T131" s="85">
        <f>'5週'!U52</f>
        <v>0</v>
      </c>
      <c r="U131" s="99">
        <f t="shared" si="25"/>
        <v>0</v>
      </c>
      <c r="V131" s="84"/>
      <c r="W131" s="84"/>
    </row>
    <row r="132" spans="1:23" ht="14.25" thickBot="1">
      <c r="A132" s="66"/>
      <c r="B132" s="66"/>
      <c r="C132" s="66"/>
      <c r="D132" s="100"/>
      <c r="E132" s="66">
        <f>'5週'!A53</f>
        <v>20</v>
      </c>
      <c r="F132" s="66">
        <f>'5週'!B54</f>
        <v>0</v>
      </c>
      <c r="G132" s="77" t="str">
        <f>'5週'!B53</f>
        <v/>
      </c>
      <c r="H132" s="66" t="str">
        <f>'5週'!C53</f>
        <v/>
      </c>
      <c r="I132" s="77">
        <f>'5週'!B54</f>
        <v>0</v>
      </c>
      <c r="J132" s="66" t="str">
        <f>'5週'!C54</f>
        <v/>
      </c>
      <c r="K132" s="66">
        <f>'5週'!E53</f>
        <v>0</v>
      </c>
      <c r="L132" s="66">
        <f>'5週'!E54</f>
        <v>0</v>
      </c>
      <c r="M132" s="126" t="str">
        <f>I132&amp;'5週'!D53</f>
        <v>0</v>
      </c>
      <c r="N132" s="85">
        <f>'5週'!I54</f>
        <v>0</v>
      </c>
      <c r="O132" s="85">
        <f>'5週'!K54</f>
        <v>0</v>
      </c>
      <c r="P132" s="85">
        <f>'5週'!M54</f>
        <v>0</v>
      </c>
      <c r="Q132" s="85">
        <f>'5週'!O54</f>
        <v>0</v>
      </c>
      <c r="R132" s="85">
        <f>'5週'!Q54</f>
        <v>0</v>
      </c>
      <c r="S132" s="85">
        <f>'5週'!S54</f>
        <v>0</v>
      </c>
      <c r="T132" s="85">
        <f>'5週'!U54</f>
        <v>0</v>
      </c>
      <c r="U132" s="99">
        <f t="shared" si="25"/>
        <v>0</v>
      </c>
      <c r="V132" s="84"/>
      <c r="W132" s="84"/>
    </row>
    <row r="133" spans="1:23" ht="14.25" thickBot="1">
      <c r="A133" s="66"/>
      <c r="B133" s="66"/>
      <c r="C133" s="66"/>
      <c r="D133" s="66"/>
      <c r="E133" s="66"/>
      <c r="F133" s="66"/>
      <c r="G133" s="77"/>
      <c r="H133" s="66"/>
      <c r="I133" s="77"/>
      <c r="J133" s="66"/>
      <c r="K133" s="66"/>
      <c r="L133" s="66"/>
      <c r="M133" s="126"/>
      <c r="N133" s="66"/>
      <c r="O133" s="66"/>
      <c r="P133" s="66"/>
      <c r="Q133" s="66"/>
      <c r="R133" s="66"/>
      <c r="S133" s="66"/>
      <c r="T133" s="66"/>
      <c r="U133" s="66"/>
      <c r="V133" s="84"/>
      <c r="W133" s="84"/>
    </row>
    <row r="134" spans="1:23">
      <c r="A134" s="66"/>
      <c r="B134" s="66"/>
      <c r="C134" s="66"/>
      <c r="D134" s="76" t="s">
        <v>158</v>
      </c>
      <c r="E134" s="66">
        <f>'6週'!A15</f>
        <v>1</v>
      </c>
      <c r="F134" s="66">
        <f>'6週'!B16</f>
        <v>10000</v>
      </c>
      <c r="G134" s="77">
        <f>'6週'!B15</f>
        <v>10000</v>
      </c>
      <c r="H134" s="66" t="str">
        <f>'6週'!C15</f>
        <v>Yokogawa</v>
      </c>
      <c r="I134" s="77">
        <f>'6週'!B16</f>
        <v>10000</v>
      </c>
      <c r="J134" s="66" t="str">
        <f>'6週'!C16</f>
        <v xml:space="preserve">Rep Portal </v>
      </c>
      <c r="K134" s="66" t="str">
        <f>'6週'!E15</f>
        <v>調査・分析・実施作業</v>
      </c>
      <c r="L134" s="66">
        <f>'6週'!E16</f>
        <v>0</v>
      </c>
      <c r="M134" s="126" t="str">
        <f>I134&amp;'6週'!D15</f>
        <v>1000010102</v>
      </c>
      <c r="N134" s="85">
        <f>'6週'!I16</f>
        <v>0</v>
      </c>
      <c r="O134" s="85">
        <f>'6週'!K16</f>
        <v>0</v>
      </c>
      <c r="P134" s="85">
        <f>'6週'!M16</f>
        <v>0</v>
      </c>
      <c r="Q134" s="85">
        <f>'6週'!O16</f>
        <v>0</v>
      </c>
      <c r="R134" s="85">
        <f>'6週'!Q16</f>
        <v>0</v>
      </c>
      <c r="S134" s="85">
        <f>'6週'!S16</f>
        <v>0</v>
      </c>
      <c r="T134" s="85">
        <f>'6週'!U16</f>
        <v>0</v>
      </c>
      <c r="U134" s="99">
        <f t="shared" ref="U134:U153" si="26">SUM(N134:T134)</f>
        <v>0</v>
      </c>
      <c r="V134" s="84"/>
      <c r="W134" s="84"/>
    </row>
    <row r="135" spans="1:23">
      <c r="A135" s="66"/>
      <c r="B135" s="66"/>
      <c r="C135" s="66"/>
      <c r="D135" s="78"/>
      <c r="E135" s="66">
        <f>'6週'!A17</f>
        <v>2</v>
      </c>
      <c r="F135" s="66">
        <f>'6週'!B18</f>
        <v>10000</v>
      </c>
      <c r="G135" s="77">
        <f>'6週'!B17</f>
        <v>10000</v>
      </c>
      <c r="H135" s="66" t="str">
        <f>'6週'!C17</f>
        <v>Yokogawa</v>
      </c>
      <c r="I135" s="77">
        <f>'6週'!B18</f>
        <v>10000</v>
      </c>
      <c r="J135" s="66" t="str">
        <f>'6週'!C18</f>
        <v xml:space="preserve">Rep Portal </v>
      </c>
      <c r="K135" s="66" t="str">
        <f>'6週'!E17</f>
        <v>プログラムの実施</v>
      </c>
      <c r="L135" s="66">
        <f>'6週'!E18</f>
        <v>0</v>
      </c>
      <c r="M135" s="126" t="str">
        <f>I135&amp;'6週'!D17</f>
        <v>1000030106</v>
      </c>
      <c r="N135" s="85">
        <f>'6週'!I18</f>
        <v>0</v>
      </c>
      <c r="O135" s="85">
        <f>'6週'!K18</f>
        <v>0</v>
      </c>
      <c r="P135" s="85">
        <f>'6週'!M18</f>
        <v>0</v>
      </c>
      <c r="Q135" s="85">
        <f>'6週'!O18</f>
        <v>0</v>
      </c>
      <c r="R135" s="85">
        <f>'6週'!Q18</f>
        <v>0</v>
      </c>
      <c r="S135" s="85">
        <f>'6週'!S18</f>
        <v>0</v>
      </c>
      <c r="T135" s="85">
        <f>'6週'!U18</f>
        <v>0</v>
      </c>
      <c r="U135" s="99">
        <f t="shared" si="26"/>
        <v>0</v>
      </c>
      <c r="V135" s="84"/>
      <c r="W135" s="84"/>
    </row>
    <row r="136" spans="1:23">
      <c r="A136" s="66"/>
      <c r="B136" s="66"/>
      <c r="C136" s="66"/>
      <c r="D136" s="78"/>
      <c r="E136" s="66">
        <f>'6週'!A19</f>
        <v>3</v>
      </c>
      <c r="F136" s="66">
        <f>'6週'!B20</f>
        <v>10000</v>
      </c>
      <c r="G136" s="77">
        <f>'6週'!B19</f>
        <v>10000</v>
      </c>
      <c r="H136" s="66" t="str">
        <f>'6週'!C19</f>
        <v>Yokogawa</v>
      </c>
      <c r="I136" s="77">
        <f>'6週'!B20</f>
        <v>10000</v>
      </c>
      <c r="J136" s="66" t="str">
        <f>'6週'!C20</f>
        <v xml:space="preserve">Rep Portal </v>
      </c>
      <c r="K136" s="66" t="str">
        <f>'6週'!E19</f>
        <v>テスト実施</v>
      </c>
      <c r="L136" s="66">
        <f>'6週'!E20</f>
        <v>0</v>
      </c>
      <c r="M136" s="126" t="str">
        <f>I136&amp;'6週'!D19</f>
        <v>1000040108</v>
      </c>
      <c r="N136" s="85">
        <f>'6週'!I20</f>
        <v>0</v>
      </c>
      <c r="O136" s="85">
        <f>'6週'!K20</f>
        <v>0</v>
      </c>
      <c r="P136" s="85">
        <f>'6週'!M20</f>
        <v>0</v>
      </c>
      <c r="Q136" s="85">
        <f>'6週'!O20</f>
        <v>0</v>
      </c>
      <c r="R136" s="85">
        <f>'6週'!Q20</f>
        <v>0</v>
      </c>
      <c r="S136" s="85">
        <f>'6週'!S20</f>
        <v>0</v>
      </c>
      <c r="T136" s="85">
        <f>'6週'!U20</f>
        <v>0</v>
      </c>
      <c r="U136" s="99">
        <f t="shared" si="26"/>
        <v>0</v>
      </c>
      <c r="V136" s="84"/>
      <c r="W136" s="84"/>
    </row>
    <row r="137" spans="1:23">
      <c r="A137" s="66"/>
      <c r="B137" s="66"/>
      <c r="C137" s="66"/>
      <c r="D137" s="78"/>
      <c r="E137" s="66">
        <f>'6週'!A21</f>
        <v>4</v>
      </c>
      <c r="F137" s="66">
        <f>'6週'!B22</f>
        <v>0</v>
      </c>
      <c r="G137" s="77" t="str">
        <f>'6週'!B21</f>
        <v/>
      </c>
      <c r="H137" s="66" t="str">
        <f>'6週'!C21</f>
        <v/>
      </c>
      <c r="I137" s="77">
        <f>'6週'!B22</f>
        <v>0</v>
      </c>
      <c r="J137" s="66" t="str">
        <f>'6週'!C22</f>
        <v/>
      </c>
      <c r="K137" s="66">
        <f>'6週'!E21</f>
        <v>0</v>
      </c>
      <c r="L137" s="66">
        <f>'6週'!E22</f>
        <v>0</v>
      </c>
      <c r="M137" s="126" t="str">
        <f>I137&amp;'6週'!D21</f>
        <v>0</v>
      </c>
      <c r="N137" s="85">
        <f>'6週'!I22</f>
        <v>0</v>
      </c>
      <c r="O137" s="85">
        <f>'6週'!K22</f>
        <v>0</v>
      </c>
      <c r="P137" s="85">
        <f>'6週'!M22</f>
        <v>0</v>
      </c>
      <c r="Q137" s="85">
        <f>'6週'!O22</f>
        <v>0</v>
      </c>
      <c r="R137" s="85">
        <f>'6週'!Q22</f>
        <v>0</v>
      </c>
      <c r="S137" s="85">
        <f>'6週'!S22</f>
        <v>0</v>
      </c>
      <c r="T137" s="85">
        <f>'6週'!U22</f>
        <v>0</v>
      </c>
      <c r="U137" s="99">
        <f t="shared" si="26"/>
        <v>0</v>
      </c>
      <c r="V137" s="84"/>
      <c r="W137" s="84"/>
    </row>
    <row r="138" spans="1:23">
      <c r="A138" s="66"/>
      <c r="B138" s="66"/>
      <c r="C138" s="66"/>
      <c r="D138" s="78"/>
      <c r="E138" s="66">
        <f>'6週'!A23</f>
        <v>5</v>
      </c>
      <c r="F138" s="66">
        <f>'6週'!B24</f>
        <v>0</v>
      </c>
      <c r="G138" s="77" t="str">
        <f>'6週'!B23</f>
        <v/>
      </c>
      <c r="H138" s="66" t="str">
        <f>'6週'!C23</f>
        <v/>
      </c>
      <c r="I138" s="77">
        <f>'6週'!B24</f>
        <v>0</v>
      </c>
      <c r="J138" s="66" t="str">
        <f>'6週'!C24</f>
        <v/>
      </c>
      <c r="K138" s="66">
        <f>'6週'!E23</f>
        <v>0</v>
      </c>
      <c r="L138" s="66">
        <f>'6週'!E24</f>
        <v>0</v>
      </c>
      <c r="M138" s="126" t="str">
        <f>I138&amp;'6週'!D23</f>
        <v>0</v>
      </c>
      <c r="N138" s="85">
        <f>'6週'!I24</f>
        <v>0</v>
      </c>
      <c r="O138" s="85">
        <f>'6週'!K24</f>
        <v>0</v>
      </c>
      <c r="P138" s="85">
        <f>'6週'!M24</f>
        <v>0</v>
      </c>
      <c r="Q138" s="85">
        <f>'6週'!O24</f>
        <v>0</v>
      </c>
      <c r="R138" s="85">
        <f>'6週'!Q24</f>
        <v>0</v>
      </c>
      <c r="S138" s="85">
        <f>'6週'!S24</f>
        <v>0</v>
      </c>
      <c r="T138" s="85">
        <f>'6週'!U24</f>
        <v>0</v>
      </c>
      <c r="U138" s="99">
        <f t="shared" si="26"/>
        <v>0</v>
      </c>
      <c r="V138" s="84"/>
      <c r="W138" s="84"/>
    </row>
    <row r="139" spans="1:23">
      <c r="A139" s="66"/>
      <c r="B139" s="66"/>
      <c r="C139" s="66"/>
      <c r="D139" s="78"/>
      <c r="E139" s="66">
        <f>'6週'!A25</f>
        <v>6</v>
      </c>
      <c r="F139" s="66">
        <f>'6週'!B26</f>
        <v>0</v>
      </c>
      <c r="G139" s="77" t="str">
        <f>'6週'!B25</f>
        <v/>
      </c>
      <c r="H139" s="66" t="str">
        <f>'6週'!C25</f>
        <v/>
      </c>
      <c r="I139" s="77">
        <f>'6週'!B26</f>
        <v>0</v>
      </c>
      <c r="J139" s="66" t="str">
        <f>'6週'!C26</f>
        <v/>
      </c>
      <c r="K139" s="66">
        <f>'6週'!E25</f>
        <v>0</v>
      </c>
      <c r="L139" s="66">
        <f>'6週'!E26</f>
        <v>0</v>
      </c>
      <c r="M139" s="126" t="str">
        <f>I139&amp;'6週'!D25</f>
        <v>0</v>
      </c>
      <c r="N139" s="85">
        <f>'6週'!I26</f>
        <v>0</v>
      </c>
      <c r="O139" s="85">
        <f>'6週'!K26</f>
        <v>0</v>
      </c>
      <c r="P139" s="85">
        <f>'6週'!M26</f>
        <v>0</v>
      </c>
      <c r="Q139" s="85">
        <f>'6週'!O26</f>
        <v>0</v>
      </c>
      <c r="R139" s="85">
        <f>'6週'!Q26</f>
        <v>0</v>
      </c>
      <c r="S139" s="85">
        <f>'6週'!S26</f>
        <v>0</v>
      </c>
      <c r="T139" s="85">
        <f>'6週'!U26</f>
        <v>0</v>
      </c>
      <c r="U139" s="99">
        <f t="shared" si="26"/>
        <v>0</v>
      </c>
      <c r="V139" s="84"/>
      <c r="W139" s="84"/>
    </row>
    <row r="140" spans="1:23">
      <c r="A140" s="66"/>
      <c r="B140" s="66"/>
      <c r="C140" s="66"/>
      <c r="D140" s="78"/>
      <c r="E140" s="66">
        <f>'6週'!A27</f>
        <v>7</v>
      </c>
      <c r="F140" s="66">
        <f>'6週'!B28</f>
        <v>0</v>
      </c>
      <c r="G140" s="77" t="str">
        <f>'6週'!B27</f>
        <v/>
      </c>
      <c r="H140" s="66" t="str">
        <f>'6週'!C27</f>
        <v/>
      </c>
      <c r="I140" s="77">
        <f>'6週'!B28</f>
        <v>0</v>
      </c>
      <c r="J140" s="66" t="str">
        <f>'6週'!C28</f>
        <v/>
      </c>
      <c r="K140" s="66">
        <f>'6週'!E27</f>
        <v>0</v>
      </c>
      <c r="L140" s="66">
        <f>'6週'!E28</f>
        <v>0</v>
      </c>
      <c r="M140" s="126" t="str">
        <f>I140&amp;'6週'!D27</f>
        <v>0</v>
      </c>
      <c r="N140" s="85">
        <f>'6週'!I28</f>
        <v>0</v>
      </c>
      <c r="O140" s="85">
        <f>'6週'!K28</f>
        <v>0</v>
      </c>
      <c r="P140" s="85">
        <f>'6週'!M28</f>
        <v>0</v>
      </c>
      <c r="Q140" s="85">
        <f>'6週'!O28</f>
        <v>0</v>
      </c>
      <c r="R140" s="85">
        <f>'6週'!Q28</f>
        <v>0</v>
      </c>
      <c r="S140" s="85">
        <f>'6週'!S28</f>
        <v>0</v>
      </c>
      <c r="T140" s="85">
        <f>'6週'!U28</f>
        <v>0</v>
      </c>
      <c r="U140" s="99">
        <f t="shared" si="26"/>
        <v>0</v>
      </c>
      <c r="V140" s="84"/>
      <c r="W140" s="84"/>
    </row>
    <row r="141" spans="1:23">
      <c r="A141" s="66"/>
      <c r="B141" s="66"/>
      <c r="C141" s="66"/>
      <c r="D141" s="78"/>
      <c r="E141" s="66">
        <f>'6週'!A29</f>
        <v>8</v>
      </c>
      <c r="F141" s="66">
        <f>'6週'!B30</f>
        <v>0</v>
      </c>
      <c r="G141" s="77" t="str">
        <f>'6週'!B29</f>
        <v/>
      </c>
      <c r="H141" s="66" t="str">
        <f>'6週'!C29</f>
        <v/>
      </c>
      <c r="I141" s="77">
        <f>'6週'!B30</f>
        <v>0</v>
      </c>
      <c r="J141" s="66" t="str">
        <f>'6週'!C30</f>
        <v/>
      </c>
      <c r="K141" s="66">
        <f>'6週'!E29</f>
        <v>0</v>
      </c>
      <c r="L141" s="66">
        <f>'6週'!E30</f>
        <v>0</v>
      </c>
      <c r="M141" s="126" t="str">
        <f>I141&amp;'6週'!D29</f>
        <v>0</v>
      </c>
      <c r="N141" s="85">
        <f>'6週'!I30</f>
        <v>0</v>
      </c>
      <c r="O141" s="85">
        <f>'6週'!K30</f>
        <v>0</v>
      </c>
      <c r="P141" s="85">
        <f>'6週'!M30</f>
        <v>0</v>
      </c>
      <c r="Q141" s="85">
        <f>'6週'!O30</f>
        <v>0</v>
      </c>
      <c r="R141" s="85">
        <f>'6週'!Q30</f>
        <v>0</v>
      </c>
      <c r="S141" s="85">
        <f>'6週'!S30</f>
        <v>0</v>
      </c>
      <c r="T141" s="85">
        <f>'6週'!U30</f>
        <v>0</v>
      </c>
      <c r="U141" s="99">
        <f t="shared" si="26"/>
        <v>0</v>
      </c>
      <c r="V141" s="84"/>
      <c r="W141" s="84"/>
    </row>
    <row r="142" spans="1:23">
      <c r="A142" s="66"/>
      <c r="B142" s="66"/>
      <c r="C142" s="66"/>
      <c r="D142" s="78"/>
      <c r="E142" s="66">
        <f>'6週'!A31</f>
        <v>9</v>
      </c>
      <c r="F142" s="66">
        <f>'6週'!B32</f>
        <v>0</v>
      </c>
      <c r="G142" s="77" t="str">
        <f>'6週'!B31</f>
        <v/>
      </c>
      <c r="H142" s="66" t="str">
        <f>'6週'!C31</f>
        <v/>
      </c>
      <c r="I142" s="77">
        <f>'6週'!B32</f>
        <v>0</v>
      </c>
      <c r="J142" s="66" t="str">
        <f>'6週'!C32</f>
        <v/>
      </c>
      <c r="K142" s="66">
        <f>'6週'!E31</f>
        <v>0</v>
      </c>
      <c r="L142" s="66">
        <f>'6週'!E32</f>
        <v>0</v>
      </c>
      <c r="M142" s="126" t="str">
        <f>I142&amp;'6週'!D31</f>
        <v>0</v>
      </c>
      <c r="N142" s="85">
        <f>'6週'!I32</f>
        <v>0</v>
      </c>
      <c r="O142" s="85">
        <f>'6週'!K32</f>
        <v>0</v>
      </c>
      <c r="P142" s="85">
        <f>'6週'!M32</f>
        <v>0</v>
      </c>
      <c r="Q142" s="85">
        <f>'6週'!O32</f>
        <v>0</v>
      </c>
      <c r="R142" s="85">
        <f>'6週'!Q32</f>
        <v>0</v>
      </c>
      <c r="S142" s="85">
        <f>'6週'!S32</f>
        <v>0</v>
      </c>
      <c r="T142" s="85">
        <f>'6週'!U32</f>
        <v>0</v>
      </c>
      <c r="U142" s="99">
        <f t="shared" si="26"/>
        <v>0</v>
      </c>
      <c r="V142" s="84"/>
      <c r="W142" s="84"/>
    </row>
    <row r="143" spans="1:23">
      <c r="A143" s="66"/>
      <c r="B143" s="66"/>
      <c r="C143" s="66"/>
      <c r="D143" s="78"/>
      <c r="E143" s="66">
        <f>'6週'!A33</f>
        <v>10</v>
      </c>
      <c r="F143" s="66">
        <f>'6週'!B34</f>
        <v>0</v>
      </c>
      <c r="G143" s="77" t="str">
        <f>'6週'!B33</f>
        <v/>
      </c>
      <c r="H143" s="66" t="str">
        <f>'6週'!C33</f>
        <v/>
      </c>
      <c r="I143" s="77">
        <f>'6週'!B34</f>
        <v>0</v>
      </c>
      <c r="J143" s="66" t="str">
        <f>'6週'!C34</f>
        <v/>
      </c>
      <c r="K143" s="66">
        <f>'6週'!E33</f>
        <v>0</v>
      </c>
      <c r="L143" s="66">
        <f>'6週'!E34</f>
        <v>0</v>
      </c>
      <c r="M143" s="126" t="str">
        <f>I143&amp;'6週'!D33</f>
        <v>0</v>
      </c>
      <c r="N143" s="85">
        <f>'6週'!I34</f>
        <v>0</v>
      </c>
      <c r="O143" s="85">
        <f>'6週'!K34</f>
        <v>0</v>
      </c>
      <c r="P143" s="85">
        <f>'6週'!M34</f>
        <v>0</v>
      </c>
      <c r="Q143" s="85">
        <f>'6週'!O34</f>
        <v>0</v>
      </c>
      <c r="R143" s="85">
        <f>'6週'!Q34</f>
        <v>0</v>
      </c>
      <c r="S143" s="85">
        <f>'6週'!S34</f>
        <v>0</v>
      </c>
      <c r="T143" s="85">
        <f>'6週'!U34</f>
        <v>0</v>
      </c>
      <c r="U143" s="99">
        <f t="shared" si="26"/>
        <v>0</v>
      </c>
      <c r="V143" s="84"/>
      <c r="W143" s="84"/>
    </row>
    <row r="144" spans="1:23">
      <c r="A144" s="66"/>
      <c r="B144" s="66"/>
      <c r="C144" s="66"/>
      <c r="D144" s="78"/>
      <c r="E144" s="66">
        <f>'6週'!A35</f>
        <v>11</v>
      </c>
      <c r="F144" s="66">
        <f>'6週'!B36</f>
        <v>0</v>
      </c>
      <c r="G144" s="77" t="str">
        <f>'6週'!B35</f>
        <v/>
      </c>
      <c r="H144" s="66" t="str">
        <f>'6週'!C35</f>
        <v/>
      </c>
      <c r="I144" s="77">
        <f>'6週'!B36</f>
        <v>0</v>
      </c>
      <c r="J144" s="66" t="str">
        <f>'6週'!C36</f>
        <v/>
      </c>
      <c r="K144" s="66">
        <f>'6週'!E35</f>
        <v>0</v>
      </c>
      <c r="L144" s="66">
        <f>'6週'!E36</f>
        <v>0</v>
      </c>
      <c r="M144" s="126" t="str">
        <f>I144&amp;'6週'!D35</f>
        <v>0</v>
      </c>
      <c r="N144" s="85">
        <f>'6週'!I36</f>
        <v>0</v>
      </c>
      <c r="O144" s="85">
        <f>'6週'!K36</f>
        <v>0</v>
      </c>
      <c r="P144" s="85">
        <f>'6週'!M36</f>
        <v>0</v>
      </c>
      <c r="Q144" s="85">
        <f>'6週'!O36</f>
        <v>0</v>
      </c>
      <c r="R144" s="85">
        <f>'6週'!Q36</f>
        <v>0</v>
      </c>
      <c r="S144" s="85">
        <f>'6週'!S36</f>
        <v>0</v>
      </c>
      <c r="T144" s="85">
        <f>'6週'!U36</f>
        <v>0</v>
      </c>
      <c r="U144" s="99">
        <f t="shared" si="26"/>
        <v>0</v>
      </c>
      <c r="V144" s="84"/>
      <c r="W144" s="84"/>
    </row>
    <row r="145" spans="1:23">
      <c r="A145" s="66"/>
      <c r="B145" s="66"/>
      <c r="C145" s="66"/>
      <c r="D145" s="78"/>
      <c r="E145" s="66">
        <f>'6週'!A37</f>
        <v>12</v>
      </c>
      <c r="F145" s="66">
        <f>'6週'!B38</f>
        <v>0</v>
      </c>
      <c r="G145" s="77" t="str">
        <f>'6週'!B37</f>
        <v/>
      </c>
      <c r="H145" s="66" t="str">
        <f>'6週'!C37</f>
        <v/>
      </c>
      <c r="I145" s="77">
        <f>'6週'!B38</f>
        <v>0</v>
      </c>
      <c r="J145" s="66" t="str">
        <f>'6週'!C38</f>
        <v/>
      </c>
      <c r="K145" s="66">
        <f>'6週'!E37</f>
        <v>0</v>
      </c>
      <c r="L145" s="66">
        <f>'6週'!E38</f>
        <v>0</v>
      </c>
      <c r="M145" s="126" t="str">
        <f>I145&amp;'6週'!D37</f>
        <v>0</v>
      </c>
      <c r="N145" s="85">
        <f>'6週'!I38</f>
        <v>0</v>
      </c>
      <c r="O145" s="85">
        <f>'6週'!K38</f>
        <v>0</v>
      </c>
      <c r="P145" s="85">
        <f>'6週'!M38</f>
        <v>0</v>
      </c>
      <c r="Q145" s="85">
        <f>'6週'!O38</f>
        <v>0</v>
      </c>
      <c r="R145" s="85">
        <f>'6週'!Q38</f>
        <v>0</v>
      </c>
      <c r="S145" s="85">
        <f>'6週'!S38</f>
        <v>0</v>
      </c>
      <c r="T145" s="85">
        <f>'6週'!U38</f>
        <v>0</v>
      </c>
      <c r="U145" s="99">
        <f t="shared" si="26"/>
        <v>0</v>
      </c>
      <c r="V145" s="84"/>
      <c r="W145" s="84"/>
    </row>
    <row r="146" spans="1:23">
      <c r="A146" s="66"/>
      <c r="B146" s="66"/>
      <c r="C146" s="66"/>
      <c r="D146" s="78"/>
      <c r="E146" s="66">
        <f>'6週'!A39</f>
        <v>13</v>
      </c>
      <c r="F146" s="66">
        <f>'6週'!B40</f>
        <v>0</v>
      </c>
      <c r="G146" s="77" t="str">
        <f>'6週'!B39</f>
        <v/>
      </c>
      <c r="H146" s="66" t="str">
        <f>'6週'!C39</f>
        <v/>
      </c>
      <c r="I146" s="77">
        <f>'6週'!B40</f>
        <v>0</v>
      </c>
      <c r="J146" s="66" t="str">
        <f>'6週'!C40</f>
        <v/>
      </c>
      <c r="K146" s="66">
        <f>'6週'!E39</f>
        <v>0</v>
      </c>
      <c r="L146" s="66">
        <f>'6週'!E40</f>
        <v>0</v>
      </c>
      <c r="M146" s="126" t="str">
        <f>I146&amp;'6週'!D39</f>
        <v>0</v>
      </c>
      <c r="N146" s="85">
        <f>'6週'!I40</f>
        <v>0</v>
      </c>
      <c r="O146" s="85">
        <f>'6週'!K40</f>
        <v>0</v>
      </c>
      <c r="P146" s="85">
        <f>'6週'!M40</f>
        <v>0</v>
      </c>
      <c r="Q146" s="85">
        <f>'6週'!O40</f>
        <v>0</v>
      </c>
      <c r="R146" s="85">
        <f>'6週'!Q40</f>
        <v>0</v>
      </c>
      <c r="S146" s="85">
        <f>'6週'!S40</f>
        <v>0</v>
      </c>
      <c r="T146" s="85">
        <f>'6週'!U40</f>
        <v>0</v>
      </c>
      <c r="U146" s="99">
        <f t="shared" si="26"/>
        <v>0</v>
      </c>
      <c r="V146" s="84"/>
      <c r="W146" s="84"/>
    </row>
    <row r="147" spans="1:23">
      <c r="A147" s="66"/>
      <c r="B147" s="66"/>
      <c r="C147" s="66"/>
      <c r="D147" s="78"/>
      <c r="E147" s="66">
        <f>'6週'!A41</f>
        <v>14</v>
      </c>
      <c r="F147" s="66">
        <f>'6週'!B42</f>
        <v>0</v>
      </c>
      <c r="G147" s="77" t="str">
        <f>'6週'!B41</f>
        <v/>
      </c>
      <c r="H147" s="66" t="str">
        <f>'6週'!C41</f>
        <v/>
      </c>
      <c r="I147" s="77">
        <f>'6週'!B42</f>
        <v>0</v>
      </c>
      <c r="J147" s="66" t="str">
        <f>'6週'!C42</f>
        <v/>
      </c>
      <c r="K147" s="66">
        <f>'6週'!E41</f>
        <v>0</v>
      </c>
      <c r="L147" s="66">
        <f>'6週'!E42</f>
        <v>0</v>
      </c>
      <c r="M147" s="126" t="str">
        <f>I147&amp;'6週'!D41</f>
        <v>0</v>
      </c>
      <c r="N147" s="85">
        <f>'6週'!I42</f>
        <v>0</v>
      </c>
      <c r="O147" s="85">
        <f>'6週'!K42</f>
        <v>0</v>
      </c>
      <c r="P147" s="85">
        <f>'6週'!M42</f>
        <v>0</v>
      </c>
      <c r="Q147" s="85">
        <f>'6週'!O42</f>
        <v>0</v>
      </c>
      <c r="R147" s="85">
        <f>'6週'!Q42</f>
        <v>0</v>
      </c>
      <c r="S147" s="85">
        <f>'6週'!S42</f>
        <v>0</v>
      </c>
      <c r="T147" s="85">
        <f>'6週'!U42</f>
        <v>0</v>
      </c>
      <c r="U147" s="99">
        <f t="shared" si="26"/>
        <v>0</v>
      </c>
      <c r="V147" s="84"/>
      <c r="W147" s="84"/>
    </row>
    <row r="148" spans="1:23">
      <c r="A148" s="66"/>
      <c r="B148" s="66"/>
      <c r="C148" s="66"/>
      <c r="D148" s="78"/>
      <c r="E148" s="66">
        <f>'6週'!A43</f>
        <v>15</v>
      </c>
      <c r="F148" s="66">
        <f>'6週'!B44</f>
        <v>0</v>
      </c>
      <c r="G148" s="77" t="str">
        <f>'6週'!B43</f>
        <v/>
      </c>
      <c r="H148" s="66" t="str">
        <f>'6週'!C43</f>
        <v/>
      </c>
      <c r="I148" s="77">
        <f>'6週'!B44</f>
        <v>0</v>
      </c>
      <c r="J148" s="66" t="str">
        <f>'6週'!C44</f>
        <v/>
      </c>
      <c r="K148" s="66">
        <f>'6週'!E43</f>
        <v>0</v>
      </c>
      <c r="L148" s="66">
        <f>'6週'!E44</f>
        <v>0</v>
      </c>
      <c r="M148" s="126" t="str">
        <f>I148&amp;'6週'!D43</f>
        <v>0</v>
      </c>
      <c r="N148" s="85">
        <f>'6週'!I44</f>
        <v>0</v>
      </c>
      <c r="O148" s="85">
        <f>'6週'!K44</f>
        <v>0</v>
      </c>
      <c r="P148" s="85">
        <f>'6週'!M44</f>
        <v>0</v>
      </c>
      <c r="Q148" s="85">
        <f>'6週'!O44</f>
        <v>0</v>
      </c>
      <c r="R148" s="85">
        <f>'6週'!Q44</f>
        <v>0</v>
      </c>
      <c r="S148" s="85">
        <f>'6週'!S44</f>
        <v>0</v>
      </c>
      <c r="T148" s="85">
        <f>'6週'!U44</f>
        <v>0</v>
      </c>
      <c r="U148" s="99">
        <f t="shared" si="26"/>
        <v>0</v>
      </c>
      <c r="V148" s="84"/>
      <c r="W148" s="84"/>
    </row>
    <row r="149" spans="1:23">
      <c r="A149" s="66"/>
      <c r="B149" s="66"/>
      <c r="C149" s="66"/>
      <c r="D149" s="78"/>
      <c r="E149" s="66">
        <f>'6週'!A45</f>
        <v>16</v>
      </c>
      <c r="F149" s="66">
        <f>'6週'!B46</f>
        <v>0</v>
      </c>
      <c r="G149" s="77" t="str">
        <f>'6週'!B45</f>
        <v/>
      </c>
      <c r="H149" s="66" t="str">
        <f>'6週'!C45</f>
        <v/>
      </c>
      <c r="I149" s="77">
        <f>'6週'!B46</f>
        <v>0</v>
      </c>
      <c r="J149" s="66" t="str">
        <f>'6週'!C46</f>
        <v/>
      </c>
      <c r="K149" s="66">
        <f>'6週'!E45</f>
        <v>0</v>
      </c>
      <c r="L149" s="66">
        <f>'6週'!E46</f>
        <v>0</v>
      </c>
      <c r="M149" s="126" t="str">
        <f>I149&amp;'6週'!D45</f>
        <v>0</v>
      </c>
      <c r="N149" s="85">
        <f>'6週'!I46</f>
        <v>0</v>
      </c>
      <c r="O149" s="85">
        <f>'6週'!K46</f>
        <v>0</v>
      </c>
      <c r="P149" s="85">
        <f>'6週'!M46</f>
        <v>0</v>
      </c>
      <c r="Q149" s="85">
        <f>'6週'!O46</f>
        <v>0</v>
      </c>
      <c r="R149" s="85">
        <f>'6週'!Q46</f>
        <v>0</v>
      </c>
      <c r="S149" s="85">
        <f>'6週'!S46</f>
        <v>0</v>
      </c>
      <c r="T149" s="85">
        <f>'6週'!U46</f>
        <v>0</v>
      </c>
      <c r="U149" s="99">
        <f t="shared" si="26"/>
        <v>0</v>
      </c>
      <c r="V149" s="84"/>
      <c r="W149" s="84"/>
    </row>
    <row r="150" spans="1:23">
      <c r="A150" s="66"/>
      <c r="B150" s="66"/>
      <c r="C150" s="66"/>
      <c r="D150" s="78"/>
      <c r="E150" s="66">
        <f>'6週'!A47</f>
        <v>17</v>
      </c>
      <c r="F150" s="66">
        <f>'6週'!B48</f>
        <v>0</v>
      </c>
      <c r="G150" s="77" t="str">
        <f>'6週'!B47</f>
        <v/>
      </c>
      <c r="H150" s="66" t="str">
        <f>'6週'!C47</f>
        <v/>
      </c>
      <c r="I150" s="77">
        <f>'6週'!B48</f>
        <v>0</v>
      </c>
      <c r="J150" s="66" t="str">
        <f>'6週'!C48</f>
        <v/>
      </c>
      <c r="K150" s="66">
        <f>'6週'!E47</f>
        <v>0</v>
      </c>
      <c r="L150" s="66">
        <f>'6週'!E48</f>
        <v>0</v>
      </c>
      <c r="M150" s="126" t="str">
        <f>I150&amp;'6週'!D47</f>
        <v>0</v>
      </c>
      <c r="N150" s="85">
        <f>'6週'!I48</f>
        <v>0</v>
      </c>
      <c r="O150" s="85">
        <f>'6週'!K48</f>
        <v>0</v>
      </c>
      <c r="P150" s="85">
        <f>'6週'!M48</f>
        <v>0</v>
      </c>
      <c r="Q150" s="85">
        <f>'6週'!O48</f>
        <v>0</v>
      </c>
      <c r="R150" s="85">
        <f>'6週'!Q48</f>
        <v>0</v>
      </c>
      <c r="S150" s="85">
        <f>'6週'!S48</f>
        <v>0</v>
      </c>
      <c r="T150" s="85">
        <f>'6週'!U48</f>
        <v>0</v>
      </c>
      <c r="U150" s="99">
        <f t="shared" si="26"/>
        <v>0</v>
      </c>
      <c r="V150" s="84"/>
      <c r="W150" s="84"/>
    </row>
    <row r="151" spans="1:23">
      <c r="A151" s="66"/>
      <c r="B151" s="66"/>
      <c r="C151" s="66"/>
      <c r="D151" s="78"/>
      <c r="E151" s="66">
        <f>'6週'!A49</f>
        <v>18</v>
      </c>
      <c r="F151" s="66">
        <f>'6週'!B50</f>
        <v>0</v>
      </c>
      <c r="G151" s="77" t="str">
        <f>'6週'!B49</f>
        <v/>
      </c>
      <c r="H151" s="66" t="str">
        <f>'6週'!C49</f>
        <v/>
      </c>
      <c r="I151" s="77">
        <f>'6週'!B50</f>
        <v>0</v>
      </c>
      <c r="J151" s="66" t="str">
        <f>'6週'!C50</f>
        <v/>
      </c>
      <c r="K151" s="66">
        <f>'6週'!E49</f>
        <v>0</v>
      </c>
      <c r="L151" s="66">
        <f>'6週'!E50</f>
        <v>0</v>
      </c>
      <c r="M151" s="126" t="str">
        <f>I151&amp;'6週'!D49</f>
        <v>0</v>
      </c>
      <c r="N151" s="85">
        <f>'6週'!I50</f>
        <v>0</v>
      </c>
      <c r="O151" s="85">
        <f>'6週'!K50</f>
        <v>0</v>
      </c>
      <c r="P151" s="85">
        <f>'6週'!M50</f>
        <v>0</v>
      </c>
      <c r="Q151" s="85">
        <f>'6週'!O50</f>
        <v>0</v>
      </c>
      <c r="R151" s="85">
        <f>'6週'!Q50</f>
        <v>0</v>
      </c>
      <c r="S151" s="85">
        <f>'6週'!S50</f>
        <v>0</v>
      </c>
      <c r="T151" s="85">
        <f>'6週'!U50</f>
        <v>0</v>
      </c>
      <c r="U151" s="99">
        <f t="shared" si="26"/>
        <v>0</v>
      </c>
      <c r="V151" s="84"/>
      <c r="W151" s="84"/>
    </row>
    <row r="152" spans="1:23">
      <c r="A152" s="66"/>
      <c r="B152" s="66"/>
      <c r="C152" s="66"/>
      <c r="D152" s="78"/>
      <c r="E152" s="66">
        <f>'6週'!A51</f>
        <v>19</v>
      </c>
      <c r="F152" s="66">
        <f>'6週'!B52</f>
        <v>0</v>
      </c>
      <c r="G152" s="77" t="str">
        <f>'6週'!B51</f>
        <v/>
      </c>
      <c r="H152" s="66" t="str">
        <f>'6週'!C51</f>
        <v/>
      </c>
      <c r="I152" s="77">
        <f>'6週'!B52</f>
        <v>0</v>
      </c>
      <c r="J152" s="66" t="str">
        <f>'6週'!C52</f>
        <v/>
      </c>
      <c r="K152" s="66">
        <f>'6週'!E51</f>
        <v>0</v>
      </c>
      <c r="L152" s="66">
        <f>'6週'!E52</f>
        <v>0</v>
      </c>
      <c r="M152" s="126" t="str">
        <f>I152&amp;'6週'!D51</f>
        <v>0</v>
      </c>
      <c r="N152" s="85">
        <f>'6週'!I52</f>
        <v>0</v>
      </c>
      <c r="O152" s="85">
        <f>'6週'!K52</f>
        <v>0</v>
      </c>
      <c r="P152" s="85">
        <f>'6週'!M52</f>
        <v>0</v>
      </c>
      <c r="Q152" s="85">
        <f>'6週'!O52</f>
        <v>0</v>
      </c>
      <c r="R152" s="85">
        <f>'6週'!Q52</f>
        <v>0</v>
      </c>
      <c r="S152" s="85">
        <f>'6週'!S52</f>
        <v>0</v>
      </c>
      <c r="T152" s="85">
        <f>'6週'!U52</f>
        <v>0</v>
      </c>
      <c r="U152" s="99">
        <f t="shared" si="26"/>
        <v>0</v>
      </c>
      <c r="V152" s="84"/>
      <c r="W152" s="84"/>
    </row>
    <row r="153" spans="1:23" ht="14.25" thickBot="1">
      <c r="A153" s="66"/>
      <c r="B153" s="66"/>
      <c r="C153" s="66"/>
      <c r="D153" s="100"/>
      <c r="E153" s="66">
        <f>'6週'!A53</f>
        <v>20</v>
      </c>
      <c r="F153" s="66">
        <f>'6週'!B54</f>
        <v>0</v>
      </c>
      <c r="G153" s="77" t="str">
        <f>'6週'!B53</f>
        <v/>
      </c>
      <c r="H153" s="66" t="str">
        <f>'6週'!C53</f>
        <v/>
      </c>
      <c r="I153" s="77">
        <f>'6週'!B54</f>
        <v>0</v>
      </c>
      <c r="J153" s="66" t="str">
        <f>'6週'!C54</f>
        <v/>
      </c>
      <c r="K153" s="66">
        <f>'6週'!E53</f>
        <v>0</v>
      </c>
      <c r="L153" s="66">
        <f>'6週'!E54</f>
        <v>0</v>
      </c>
      <c r="M153" s="126" t="str">
        <f>I153&amp;'6週'!D53</f>
        <v>0</v>
      </c>
      <c r="N153" s="85">
        <f>'6週'!I54</f>
        <v>0</v>
      </c>
      <c r="O153" s="85">
        <f>'6週'!K54</f>
        <v>0</v>
      </c>
      <c r="P153" s="85">
        <f>'6週'!M54</f>
        <v>0</v>
      </c>
      <c r="Q153" s="85">
        <f>'6週'!O54</f>
        <v>0</v>
      </c>
      <c r="R153" s="85">
        <f>'6週'!Q54</f>
        <v>0</v>
      </c>
      <c r="S153" s="85">
        <f>'6週'!S54</f>
        <v>0</v>
      </c>
      <c r="T153" s="85">
        <f>'6週'!U54</f>
        <v>0</v>
      </c>
      <c r="U153" s="99">
        <f t="shared" si="26"/>
        <v>0</v>
      </c>
      <c r="V153" s="84"/>
      <c r="W153" s="84"/>
    </row>
    <row r="154" spans="1:23">
      <c r="A154" s="84"/>
      <c r="B154" s="84"/>
      <c r="C154" s="84"/>
      <c r="D154" s="84"/>
      <c r="E154" s="84"/>
      <c r="F154" s="84"/>
      <c r="G154" s="84"/>
      <c r="H154" s="84"/>
      <c r="I154" s="84"/>
      <c r="J154" s="84"/>
      <c r="K154" s="84"/>
      <c r="L154" s="84"/>
      <c r="M154" s="84"/>
      <c r="N154" s="84"/>
      <c r="O154" s="84"/>
      <c r="P154" s="84"/>
      <c r="Q154" s="84"/>
      <c r="R154" s="84"/>
      <c r="S154" s="84"/>
      <c r="T154" s="84"/>
      <c r="U154" s="84"/>
      <c r="V154" s="84"/>
      <c r="W154" s="84"/>
    </row>
    <row r="157" spans="1:23">
      <c r="A157" s="107"/>
      <c r="B157" s="107"/>
    </row>
    <row r="158" spans="1:23">
      <c r="A158" s="107"/>
      <c r="B158" s="107"/>
    </row>
    <row r="159" spans="1:23">
      <c r="A159" s="107"/>
      <c r="B159" s="107"/>
    </row>
    <row r="160" spans="1:23">
      <c r="A160" s="107"/>
      <c r="B160" s="107"/>
    </row>
    <row r="161" spans="1:2">
      <c r="A161" s="107"/>
      <c r="B161" s="107"/>
    </row>
    <row r="162" spans="1:2">
      <c r="A162" s="107"/>
      <c r="B162" s="107"/>
    </row>
    <row r="163" spans="1:2">
      <c r="A163" s="107"/>
      <c r="B163" s="107"/>
    </row>
    <row r="164" spans="1:2">
      <c r="A164" s="107"/>
      <c r="B164" s="107"/>
    </row>
    <row r="165" spans="1:2">
      <c r="A165" s="107"/>
      <c r="B165" s="107"/>
    </row>
    <row r="166" spans="1:2">
      <c r="A166" s="107"/>
      <c r="B166" s="107"/>
    </row>
  </sheetData>
  <autoFilter ref="G29:I153" xr:uid="{00000000-0009-0000-0000-00000B000000}"/>
  <phoneticPr fontId="7"/>
  <conditionalFormatting sqref="T3">
    <cfRule type="expression" dxfId="39" priority="86" stopIfTrue="1">
      <formula>$U$3&lt;$U$28</formula>
    </cfRule>
    <cfRule type="expression" dxfId="38" priority="87" stopIfTrue="1">
      <formula>$U$3&gt;$U$28</formula>
    </cfRule>
  </conditionalFormatting>
  <conditionalFormatting sqref="U3">
    <cfRule type="cellIs" dxfId="37" priority="3" stopIfTrue="1" operator="notEqual">
      <formula>$U$28</formula>
    </cfRule>
  </conditionalFormatting>
  <pageMargins left="0.7" right="0.7" top="0.75" bottom="0.75" header="0.3" footer="0.3"/>
  <pageSetup paperSize="9" scale="41" orientation="portrait" r:id="rId1"/>
  <ignoredErrors>
    <ignoredError sqref="T3 W4 AI2:AN45 AN46" unlockedFormula="1"/>
  </ignoredError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C83"/>
  <sheetViews>
    <sheetView workbookViewId="0">
      <pane ySplit="1" topLeftCell="A11" activePane="bottomLeft" state="frozen"/>
      <selection pane="bottomLeft" activeCell="B11" sqref="B11"/>
    </sheetView>
  </sheetViews>
  <sheetFormatPr defaultRowHeight="13.5" customHeight="1"/>
  <cols>
    <col min="1" max="1" width="10.375" style="281" bestFit="1" customWidth="1"/>
    <col min="2" max="2" width="42.375" bestFit="1" customWidth="1"/>
    <col min="3" max="3" width="159.625" bestFit="1" customWidth="1"/>
  </cols>
  <sheetData>
    <row r="1" spans="1:3" ht="13.5" customHeight="1">
      <c r="A1" s="274" t="s">
        <v>159</v>
      </c>
      <c r="B1" s="110" t="s">
        <v>25</v>
      </c>
      <c r="C1" s="110" t="s">
        <v>160</v>
      </c>
    </row>
    <row r="2" ht="13.5" customHeight="1">
      <c r="A2" s="275">
        <v>10102</v>
      </c>
      <c r="B2" s="276" t="inlineStr">
        <is>
          <t xml:space="preserve">SRS：調査・分析・開発計画の準備・実施作業</t>
        </is>
      </c>
      <c r="C2" s="276" t="inlineStr">
        <is>
          <t xml:space="preserve">バックログ（ＳＲＢ要望など残タスク）から対応案件の決定や、ロードマップ作成にかかった時間（要求分析・調査環境の構築、対応案件の精査・SRB案件精査、基礎データの調査・分析）</t>
        </is>
      </c>
    </row>
    <row r="3" ht="13.5" customHeight="1">
      <c r="A3" s="277">
        <v>10103</v>
      </c>
      <c r="B3" s="278" t="inlineStr">
        <is>
          <t xml:space="preserve">SRS：企画書・計画書・報告書等資料作成・修正</t>
        </is>
      </c>
      <c r="C3" s="278" t="inlineStr">
        <is>
          <t xml:space="preserve">要件定義書の「作成関連作業」（概算の見積(工数算出)スケジュール作成・調査結果説明資料作成）を含む</t>
        </is>
      </c>
    </row>
    <row r="4" ht="13.5" customHeight="1">
      <c r="A4" s="277">
        <v>10104</v>
      </c>
      <c r="B4" s="278" t="inlineStr">
        <is>
          <t xml:space="preserve">SRS：打合せ</t>
        </is>
      </c>
      <c r="C4" s="278" t="inlineStr">
        <is>
          <t xml:space="preserve">要件定義に関する「検討調整打合せ」を含む</t>
        </is>
      </c>
    </row>
    <row r="5" ht="13.5" customHeight="1">
      <c r="A5" s="277">
        <v>10105</v>
      </c>
      <c r="B5" s="278" t="inlineStr">
        <is>
          <t xml:space="preserve">SRS：レビュー</t>
        </is>
      </c>
      <c r="C5" s="278" t="inlineStr">
        <is>
          <t xml:space="preserve">成果物の確認作業・レビュー含む</t>
        </is>
      </c>
    </row>
    <row r="6" ht="13.5" customHeight="1">
      <c r="A6" s="279">
        <v>10199</v>
      </c>
      <c r="B6" s="280" t="inlineStr">
        <is>
          <t xml:space="preserve">SRS：その他</t>
        </is>
      </c>
      <c r="C6" s="280" t="inlineStr">
        <is>
          <t xml:space="preserve">企画に関する作業で、他の内訳に合致しない作業時間</t>
        </is>
      </c>
    </row>
    <row r="7" ht="13.5" customHeight="1">
      <c r="A7" s="275">
        <v>20101</v>
      </c>
      <c r="B7" s="276" t="inlineStr">
        <is>
          <t xml:space="preserve">設計：外部設計書作成</t>
        </is>
      </c>
      <c r="C7" s="276" t="inlineStr">
        <is>
          <t xml:space="preserve">業務上の要求を分析して外部設計書を作成する時間</t>
        </is>
      </c>
    </row>
    <row r="8" ht="13.5" customHeight="1">
      <c r="A8" s="277">
        <v>20103</v>
      </c>
      <c r="B8" s="278" t="inlineStr">
        <is>
          <t xml:space="preserve">設計：打合せ</t>
        </is>
      </c>
      <c r="C8" s="278" t="inlineStr">
        <is>
          <t xml:space="preserve">設計に関する「検討調整打合せ」を含む</t>
        </is>
      </c>
    </row>
    <row r="9" ht="13.5" customHeight="1">
      <c r="A9" s="277">
        <v>20105</v>
      </c>
      <c r="B9" s="278" t="inlineStr">
        <is>
          <t xml:space="preserve">設計：原因調査・影響範囲分析・変更仕様作成</t>
        </is>
      </c>
      <c r="C9" s="278" t="inlineStr">
        <is>
          <t xml:space="preserve">「保守」のみ使用、影響範囲分析等を実施し、変更仕様の資料を作成する時間</t>
        </is>
      </c>
    </row>
    <row r="10" ht="13.5" customHeight="1">
      <c r="A10" s="277">
        <v>20106</v>
      </c>
      <c r="B10" s="278" t="inlineStr">
        <is>
          <t xml:space="preserve">設計：設計書修正（手戻り分）</t>
        </is>
      </c>
      <c r="C10" s="278" t="inlineStr">
        <is>
          <t xml:space="preserve">プログラム作成以降、リリースまでにみつかった内部不具合を
修正した時間を入力する。
※手戻り分のレビュー会議もこの工種を使用する</t>
        </is>
      </c>
    </row>
    <row r="11" ht="13.5" customHeight="1">
      <c r="A11" s="277">
        <v>20107</v>
      </c>
      <c r="B11" s="278" t="inlineStr">
        <is>
          <t xml:space="preserve">設計：その他の設計書作成</t>
        </is>
      </c>
      <c r="C11" s="278" t="inlineStr">
        <is>
          <t xml:space="preserve">外部設計書、ﾃｽﾄ設計書以外の設計書の作成に掛かった時間（例：運用設計書等）</t>
        </is>
      </c>
    </row>
    <row r="12" ht="13.5" customHeight="1">
      <c r="A12" s="277">
        <v>20108</v>
      </c>
      <c r="B12" s="278" t="inlineStr">
        <is>
          <t xml:space="preserve">設計：レビュー</t>
        </is>
      </c>
      <c r="C12" s="278" t="inlineStr">
        <is>
          <t xml:space="preserve">成果物の確認作業・ﾚﾋﾞｭｰ含む</t>
        </is>
      </c>
    </row>
    <row r="13" ht="13.5" customHeight="1">
      <c r="A13" s="277">
        <v>20109</v>
      </c>
      <c r="B13" s="278" t="inlineStr">
        <is>
          <t xml:space="preserve">設計：QA対応</t>
        </is>
      </c>
      <c r="C13" s="278" t="inlineStr">
        <is>
          <t xml:space="preserve">設計に関する問合せ対応</t>
        </is>
      </c>
    </row>
    <row r="14" ht="13.5" customHeight="1">
      <c r="A14" s="279">
        <v>20199</v>
      </c>
      <c r="B14" s="280" t="inlineStr">
        <is>
          <t xml:space="preserve">設計：その他</t>
        </is>
      </c>
      <c r="C14" s="280" t="inlineStr">
        <is>
          <t xml:space="preserve">設計に関する作業で、他の内訳に合致しない作業時間</t>
        </is>
      </c>
    </row>
    <row r="15" ht="13.5" customHeight="1">
      <c r="A15" s="275">
        <v>30101</v>
      </c>
      <c r="B15" s="276" t="inlineStr">
        <is>
          <t xml:space="preserve">製造：内部設計書作成</t>
        </is>
      </c>
      <c r="C15" s="276" t="inlineStr">
        <is>
          <t xml:space="preserve">設計されたシステムの振る舞いに対して、コード上、どのように実装・変更するか資料化する時間</t>
        </is>
      </c>
    </row>
    <row r="16" ht="13.5" customHeight="1">
      <c r="A16" s="277">
        <v>30102</v>
      </c>
      <c r="B16" s="278" t="inlineStr">
        <is>
          <t xml:space="preserve">製造：コーディング</t>
        </is>
      </c>
      <c r="C16" s="278" t="inlineStr">
        <is>
          <t xml:space="preserve">内部設計書に基づき、プログラムを生成する作業</t>
        </is>
      </c>
    </row>
    <row r="17" ht="13.5" customHeight="1">
      <c r="A17" s="277">
        <v>30103</v>
      </c>
      <c r="B17" s="278" t="inlineStr">
        <is>
          <t xml:space="preserve">製造：単体テスト設計書作成</t>
        </is>
      </c>
      <c r="C17" s="278" t="inlineStr">
        <is>
          <t xml:space="preserve">単体テスト設計書の「作成関連作業」を含む</t>
        </is>
      </c>
    </row>
    <row r="18" ht="13.5" customHeight="1">
      <c r="A18" s="277">
        <v>30104</v>
      </c>
      <c r="B18" s="278" t="inlineStr">
        <is>
          <t xml:space="preserve">製造：単体テスト実施</t>
        </is>
      </c>
      <c r="C18" s="278" t="inlineStr">
        <is>
          <t xml:space="preserve">机上デバッグおよび動作確認等により機能および性能面でのチェックを行う</t>
        </is>
      </c>
    </row>
    <row r="19" ht="13.5" customHeight="1">
      <c r="A19" s="277">
        <v>30105</v>
      </c>
      <c r="B19" s="278" t="inlineStr">
        <is>
          <t xml:space="preserve">製造：打合せ</t>
        </is>
      </c>
      <c r="C19" s="278" t="inlineStr">
        <is>
          <t xml:space="preserve">詳細設計書、ｺｰﾃﾞｨﾝｸﾞ、単体ﾃｽﾄに関する「検討調査打合せ」を含む</t>
        </is>
      </c>
    </row>
    <row r="20" ht="13.5" customHeight="1">
      <c r="A20" s="277">
        <v>30106</v>
      </c>
      <c r="B20" s="278" t="inlineStr">
        <is>
          <t xml:space="preserve">製造：PG修正（手戻り分）</t>
        </is>
      </c>
      <c r="C20" s="278" t="inlineStr">
        <is>
          <t xml:space="preserve">結合ﾃｽﾄ以降、リリースまでにみつかった内部不具合を修正した時間を入力する</t>
        </is>
      </c>
    </row>
    <row r="21" ht="13.5" customHeight="1">
      <c r="A21" s="277">
        <v>30109</v>
      </c>
      <c r="B21" s="278" t="inlineStr">
        <is>
          <t xml:space="preserve">製造：レビュー</t>
        </is>
      </c>
      <c r="C21" s="278" t="inlineStr">
        <is>
          <t xml:space="preserve">成果物の設計書ﾚﾋﾞｭｰ・ｺｰﾄﾞﾚﾋﾞｭｰ等の確認作業・ﾚﾋﾞｭｰ含む</t>
        </is>
      </c>
    </row>
    <row r="22" ht="13.5" customHeight="1">
      <c r="A22" s="279">
        <v>30199</v>
      </c>
      <c r="B22" s="280" t="inlineStr">
        <is>
          <t xml:space="preserve">製造：その他</t>
        </is>
      </c>
      <c r="C22" s="280" t="inlineStr">
        <is>
          <t xml:space="preserve">プログラムに関する作業で、他の内訳に合致しない作業時間</t>
        </is>
      </c>
    </row>
    <row r="23" ht="13.5" customHeight="1">
      <c r="A23" s="275">
        <v>40101</v>
      </c>
      <c r="B23" s="276" t="inlineStr">
        <is>
          <t xml:space="preserve">テスト：結合テスト実施</t>
        </is>
      </c>
      <c r="C23" s="276" t="inlineStr">
        <is>
          <t xml:space="preserve">外部設計書に基づき、結合された複数のプログラムの機能が正しく作動するかを検証する</t>
        </is>
      </c>
    </row>
    <row r="24" ht="13.5" customHeight="1">
      <c r="A24" s="277">
        <v>40102</v>
      </c>
      <c r="B24" s="278" t="inlineStr">
        <is>
          <t xml:space="preserve">テスト：システムテスト実施</t>
        </is>
      </c>
      <c r="C24" s="278" t="inlineStr">
        <is>
          <t xml:space="preserve">要件定義書および外部設計書に基づき、要求された機能や性能が満たされているかを検証する</t>
        </is>
      </c>
    </row>
    <row r="25" ht="13.5" customHeight="1">
      <c r="A25" s="277">
        <v>40103</v>
      </c>
      <c r="B25" s="278" t="inlineStr">
        <is>
          <t xml:space="preserve">テスト：テスト計画書作成</t>
        </is>
      </c>
      <c r="C25" s="278" t="inlineStr">
        <is>
          <t xml:space="preserve">テスト計画書の作成時間</t>
        </is>
      </c>
    </row>
    <row r="26" ht="13.5" customHeight="1">
      <c r="A26" s="277">
        <v>40104</v>
      </c>
      <c r="B26" s="278" t="inlineStr">
        <is>
          <t xml:space="preserve">テスト：結合テスト設計書作成</t>
        </is>
      </c>
      <c r="C26" s="278" t="inlineStr">
        <is>
          <t xml:space="preserve">結合テスト設計書の「作成関連作業」を含む</t>
        </is>
      </c>
    </row>
    <row r="27" ht="13.5" customHeight="1">
      <c r="A27" s="277">
        <v>40105</v>
      </c>
      <c r="B27" s="278" t="inlineStr">
        <is>
          <t xml:space="preserve">テスト：システムテスト設計書作成</t>
        </is>
      </c>
      <c r="C27" s="278" t="inlineStr">
        <is>
          <t xml:space="preserve">システムテスト設計書の「作成関連作業」を含む</t>
        </is>
      </c>
    </row>
    <row r="28" ht="13.5" customHeight="1">
      <c r="A28" s="277">
        <v>40106</v>
      </c>
      <c r="B28" s="278" t="inlineStr">
        <is>
          <t xml:space="preserve">テスト：総合評価設計書作成</t>
        </is>
      </c>
      <c r="C28" s="278" t="inlineStr">
        <is>
          <t xml:space="preserve">総合評価設計書の作成時間</t>
        </is>
      </c>
    </row>
    <row r="29" ht="13.5" customHeight="1">
      <c r="A29" s="277">
        <v>40107</v>
      </c>
      <c r="B29" s="278" t="inlineStr">
        <is>
          <t xml:space="preserve">テスト：評価報告書作成</t>
        </is>
      </c>
      <c r="C29" s="278" t="inlineStr">
        <is>
          <t xml:space="preserve">評価結果の報告書作成</t>
        </is>
      </c>
    </row>
    <row r="30" ht="13.5" customHeight="1">
      <c r="A30" s="277">
        <v>40108</v>
      </c>
      <c r="B30" s="278" t="inlineStr">
        <is>
          <t xml:space="preserve">テスト：総合評価実施</t>
        </is>
      </c>
      <c r="C30" s="278" t="inlineStr">
        <is>
          <t xml:space="preserve">要求機能や性能が満たされているか、最終的に妥当性確認を行う作業</t>
        </is>
      </c>
    </row>
    <row r="31" ht="13.5" customHeight="1">
      <c r="A31" s="277">
        <v>40109</v>
      </c>
      <c r="B31" s="278" t="inlineStr">
        <is>
          <t xml:space="preserve">テスト：打合せ</t>
        </is>
      </c>
      <c r="C31" s="278" t="inlineStr">
        <is>
          <t xml:space="preserve">テストに関する「検討調整打合せ」を含む</t>
        </is>
      </c>
    </row>
    <row r="32" ht="13.5" customHeight="1">
      <c r="A32" s="277">
        <v>40110</v>
      </c>
      <c r="B32" s="278" t="inlineStr">
        <is>
          <t xml:space="preserve">テスト：レビュー</t>
        </is>
      </c>
      <c r="C32" s="278" t="inlineStr">
        <is>
          <t xml:space="preserve">成果物のテスト設計書、実施結果、報告書等の確認作業・レビューを含む</t>
        </is>
      </c>
    </row>
    <row r="33" ht="13.5" customHeight="1">
      <c r="A33" s="277">
        <v>40111</v>
      </c>
      <c r="B33" s="278" t="inlineStr">
        <is>
          <t xml:space="preserve">テスト：PG修正（手戻り分）</t>
        </is>
      </c>
      <c r="C33" s="278" t="inlineStr">
        <is>
          <t xml:space="preserve">リリースまでにみつかった内部不具合により、PG修正をした時間を入力する</t>
        </is>
      </c>
    </row>
    <row r="34" ht="13.5" customHeight="1">
      <c r="A34" s="277">
        <v>40112</v>
      </c>
      <c r="B34" s="278" t="inlineStr">
        <is>
          <t xml:space="preserve">テスト：再テスト（手戻り分）</t>
        </is>
      </c>
      <c r="C34" s="278" t="inlineStr">
        <is>
          <t xml:space="preserve">リリースまでにみつかった内部不具合により、再テストをした時間を入力する</t>
        </is>
      </c>
    </row>
    <row r="35" ht="13.5" customHeight="1">
      <c r="A35" s="277">
        <v>40113</v>
      </c>
      <c r="B35" s="278" t="inlineStr">
        <is>
          <t xml:space="preserve">テスト：QA対応</t>
        </is>
      </c>
      <c r="C35" s="278" t="inlineStr">
        <is>
          <t xml:space="preserve">テストに関する問合せ対応</t>
        </is>
      </c>
    </row>
    <row r="36" ht="13.5" customHeight="1">
      <c r="A36" s="277">
        <v>40189</v>
      </c>
      <c r="B36" s="278" t="inlineStr">
        <is>
          <t xml:space="preserve">テスト：内部不具合分析</t>
        </is>
      </c>
      <c r="C36" s="278" t="inlineStr">
        <is>
          <t xml:space="preserve">不具合分析に要した時間</t>
        </is>
      </c>
    </row>
    <row r="37" ht="13.5" customHeight="1">
      <c r="A37" s="279">
        <v>40199</v>
      </c>
      <c r="B37" s="280" t="inlineStr">
        <is>
          <t xml:space="preserve">テスト：その他</t>
        </is>
      </c>
      <c r="C37" s="280" t="inlineStr">
        <is>
          <t xml:space="preserve">テストに関する作業で、他の内訳に合致しない作業時間</t>
        </is>
      </c>
    </row>
    <row r="38" ht="13.5" customHeight="1">
      <c r="A38" s="275">
        <v>50101</v>
      </c>
      <c r="B38" s="276" t="inlineStr">
        <is>
          <t xml:space="preserve">ﾏﾆｭｱﾙ作成：原稿作成</t>
        </is>
      </c>
      <c r="C38" s="276" t="inlineStr">
        <is>
          <t xml:space="preserve">マニュアル現行の作成作業</t>
        </is>
      </c>
    </row>
    <row r="39" ht="13.5" customHeight="1">
      <c r="A39" s="277">
        <v>50105</v>
      </c>
      <c r="B39" s="278" t="inlineStr">
        <is>
          <t xml:space="preserve">ﾏﾆｭｱﾙ作成：打合せ</t>
        </is>
      </c>
      <c r="C39" s="278" t="inlineStr">
        <is>
          <t xml:space="preserve">マニュアル作成のための打合せ</t>
        </is>
      </c>
    </row>
    <row r="40" ht="13.5" customHeight="1">
      <c r="A40" s="277">
        <v>50106</v>
      </c>
      <c r="B40" s="278" t="inlineStr">
        <is>
          <t xml:space="preserve">ﾏﾆｭｱﾙ作成：ﾚﾋﾞｭｰ</t>
        </is>
      </c>
      <c r="C40" s="278" t="inlineStr">
        <is>
          <t xml:space="preserve">作成原稿、作成資料の確認・ﾚﾋﾞｭｰに掛かった時間</t>
        </is>
      </c>
    </row>
    <row r="41" ht="13.5" customHeight="1">
      <c r="A41" s="279">
        <v>50199</v>
      </c>
      <c r="B41" s="280" t="inlineStr">
        <is>
          <t xml:space="preserve">ﾏﾆｭｱﾙ作成：その他</t>
        </is>
      </c>
      <c r="C41" s="280" t="inlineStr">
        <is>
          <t xml:space="preserve">ﾏﾆｭｱﾙ作成に関する作業で、他の内訳に合致しない作業時間</t>
        </is>
      </c>
    </row>
    <row r="42" ht="13.5" customHeight="1">
      <c r="A42" s="275">
        <v>60101</v>
      </c>
      <c r="B42" s="276" t="inlineStr">
        <is>
          <t xml:space="preserve">ﾘﾘｰｽ：ﾘﾘｰｽ・ﾃﾞﾘﾊﾞﾘ作業</t>
        </is>
      </c>
      <c r="C42" s="276" t="inlineStr">
        <is>
          <t xml:space="preserve">ﾘﾘｰｽ原本作成、デリバリにかかった時間を入力する。（差分PGのｲﾝﾄﾗ掲載、ｵﾝﾗｲﾝｱｯﾌﾟﾃﾞｰﾄの更新含む）</t>
        </is>
      </c>
    </row>
    <row r="43" ht="13.5" customHeight="1">
      <c r="A43" s="277">
        <v>60102</v>
      </c>
      <c r="B43" s="278" t="inlineStr">
        <is>
          <t xml:space="preserve">ﾘﾘｰｽ：ﾘﾘｰｽ関連業務</t>
        </is>
      </c>
      <c r="C43" s="278" t="inlineStr">
        <is>
          <t xml:space="preserve">通達/リリースに伴う関連資料作成、公開にかかった時間を入力する。</t>
        </is>
      </c>
    </row>
    <row r="44" ht="13.5" customHeight="1">
      <c r="A44" s="277">
        <v>60103</v>
      </c>
      <c r="B44" s="278" t="inlineStr">
        <is>
          <t xml:space="preserve">ﾘﾘｰｽ：ﾏﾆｭｱﾙPDF作成・修正</t>
        </is>
      </c>
      <c r="C44" s="278" t="inlineStr">
        <is>
          <t xml:space="preserve">PDF作成、確認、修正にかかった時間を入力する</t>
        </is>
      </c>
    </row>
    <row r="45" ht="13.5" customHeight="1">
      <c r="A45" s="277">
        <v>60104</v>
      </c>
      <c r="B45" s="278" t="inlineStr">
        <is>
          <t xml:space="preserve">ﾘﾘｰｽ：ﾍﾙﾌﾟ作成・修正</t>
        </is>
      </c>
      <c r="C45" s="278" t="inlineStr">
        <is>
          <t xml:space="preserve">ヘルプ作成、確認、修正にかかった時間を入力する</t>
        </is>
      </c>
    </row>
    <row r="46" ht="13.5" customHeight="1">
      <c r="A46" s="277">
        <v>60105</v>
      </c>
      <c r="B46" s="278" t="inlineStr">
        <is>
          <t xml:space="preserve">ﾘﾘｰｽ：締め作業</t>
        </is>
      </c>
      <c r="C46" s="278" t="inlineStr">
        <is>
          <t xml:space="preserve">リリースするシステムを取り纏め、媒体またはオンラインによりリリース（出荷）する作業</t>
        </is>
      </c>
    </row>
    <row r="47" ht="13.5" customHeight="1">
      <c r="A47" s="277">
        <v>60107</v>
      </c>
      <c r="B47" s="278" t="inlineStr">
        <is>
          <t xml:space="preserve">ﾘﾘｰｽ：打合せ</t>
        </is>
      </c>
      <c r="C47" s="278" t="inlineStr">
        <is>
          <t xml:space="preserve">ﾚﾋﾞｭｰ以外の調整等の打合せ</t>
        </is>
      </c>
    </row>
    <row r="48" ht="13.5" customHeight="1">
      <c r="A48" s="277">
        <v>60108</v>
      </c>
      <c r="B48" s="278" t="inlineStr">
        <is>
          <t xml:space="preserve">ﾘﾘｰｽ：ﾚﾋﾞｭｰ</t>
        </is>
      </c>
      <c r="C48" s="278" t="inlineStr">
        <is>
          <t xml:space="preserve">ﾘﾘｰｽ、ﾃﾞﾘﾊﾞﾘの動作確認、作成資料のﾚﾋﾞｭｰ等に要した時間</t>
        </is>
      </c>
    </row>
    <row r="49" ht="13.5" customHeight="1">
      <c r="A49" s="279">
        <v>60199</v>
      </c>
      <c r="B49" s="280" t="inlineStr">
        <is>
          <t xml:space="preserve">ﾘﾘｰｽ：その他</t>
        </is>
      </c>
      <c r="C49" s="280" t="inlineStr">
        <is>
          <t xml:space="preserve">ﾘﾘｰｽに関する作業で、他の内訳に合致しない作業時間</t>
        </is>
      </c>
    </row>
    <row r="50" ht="13.5" customHeight="1">
      <c r="A50" s="275">
        <v>70101</v>
      </c>
      <c r="B50" s="276" t="inlineStr">
        <is>
          <t xml:space="preserve">外部不具合修正：調査・設計</t>
        </is>
      </c>
      <c r="C50" s="276" t="inlineStr">
        <is>
          <t xml:space="preserve">影響範囲分析、修正箇所、修正の仕方を記録</t>
        </is>
      </c>
    </row>
    <row r="51" ht="13.5" customHeight="1">
      <c r="A51" s="277">
        <v>70102</v>
      </c>
      <c r="B51" s="278" t="inlineStr">
        <is>
          <t xml:space="preserve">外部不具合修正：コーディング</t>
        </is>
      </c>
      <c r="C51" s="278" t="inlineStr">
        <is>
          <t xml:space="preserve">リリース後にみつかった外部不具合により、PG修正をした時間を入力する</t>
        </is>
      </c>
    </row>
    <row r="52" ht="13.5" customHeight="1">
      <c r="A52" s="277">
        <v>70103</v>
      </c>
      <c r="B52" s="278" t="inlineStr">
        <is>
          <t xml:space="preserve">外部不具合修正：テスト</t>
        </is>
      </c>
      <c r="C52" s="278" t="inlineStr">
        <is>
          <t xml:space="preserve">リリース後にみつかった外部不具合により、テストをした時間を入力する</t>
        </is>
      </c>
    </row>
    <row r="53" ht="13.5" customHeight="1">
      <c r="A53" s="277">
        <v>70104</v>
      </c>
      <c r="B53" s="278" t="inlineStr">
        <is>
          <t xml:space="preserve">外部不具合修正：不具合連絡作成</t>
        </is>
      </c>
      <c r="C53" s="278" t="inlineStr">
        <is>
          <t xml:space="preserve">通達/リリースに伴う関連資料作成、公開にかかった時間を入力する。</t>
        </is>
      </c>
    </row>
    <row r="54" ht="13.5" customHeight="1">
      <c r="A54" s="277">
        <v>70105</v>
      </c>
      <c r="B54" s="278" t="inlineStr">
        <is>
          <t xml:space="preserve">外部不具合修正：差分PGイントラ掲載</t>
        </is>
      </c>
      <c r="C54" s="278" t="inlineStr">
        <is>
          <t xml:space="preserve">不具合連絡等の情報開示資料等、ｲﾝﾄﾗ掲載資料の更新</t>
        </is>
      </c>
    </row>
    <row r="55" ht="13.5" customHeight="1">
      <c r="A55" s="277">
        <v>70106</v>
      </c>
      <c r="B55" s="278" t="inlineStr">
        <is>
          <t xml:space="preserve">外部不具合修正：打合せ</t>
        </is>
      </c>
      <c r="C55" s="278" t="inlineStr">
        <is>
          <t xml:space="preserve">外部不具合修正に関する「検討調整打合せ」を含む</t>
        </is>
      </c>
    </row>
    <row r="56" ht="13.5" customHeight="1">
      <c r="A56" s="277">
        <v>70109</v>
      </c>
      <c r="B56" s="278" t="inlineStr">
        <is>
          <t xml:space="preserve">外部不具合修正：レビュー</t>
        </is>
      </c>
      <c r="C56" s="278" t="inlineStr">
        <is>
          <t xml:space="preserve">外部不具合修正において作成した資料、回答等の確認・ﾚﾋﾞｭｰに要した時間</t>
        </is>
      </c>
    </row>
    <row r="57" ht="13.5" customHeight="1">
      <c r="A57" s="277">
        <v>70189</v>
      </c>
      <c r="B57" s="278" t="inlineStr">
        <is>
          <t xml:space="preserve">外部不具合修正：外部不具合分析</t>
        </is>
      </c>
      <c r="C57" s="278" t="inlineStr">
        <is>
          <t xml:space="preserve">不具合分析に要した時間</t>
        </is>
      </c>
    </row>
    <row r="58" ht="13.5" customHeight="1">
      <c r="A58" s="279">
        <v>70199</v>
      </c>
      <c r="B58" s="280" t="inlineStr">
        <is>
          <t xml:space="preserve">外部不具合修正：その他</t>
        </is>
      </c>
      <c r="C58" s="280" t="inlineStr">
        <is>
          <t xml:space="preserve">不具合修正に関する作業で、他の内訳に合致しない作業時間</t>
        </is>
      </c>
    </row>
    <row r="59" ht="13.5" customHeight="1">
      <c r="A59" s="275">
        <v>80101</v>
      </c>
      <c r="B59" s="276" t="inlineStr">
        <is>
          <t xml:space="preserve">保守／ｻﾎﾟｰﾄ：調査</t>
        </is>
      </c>
      <c r="C59" s="276" t="inlineStr">
        <is>
          <t xml:space="preserve">電話・メール・SRBに投稿された案件を調査する時間</t>
        </is>
      </c>
    </row>
    <row r="60" ht="13.5" customHeight="1">
      <c r="A60" s="277">
        <v>80102</v>
      </c>
      <c r="B60" s="278" t="inlineStr">
        <is>
          <t xml:space="preserve">保守／ｻﾎﾟｰﾄ：社内問い合わせ</t>
        </is>
      </c>
      <c r="C60" s="278" t="inlineStr">
        <is>
          <t xml:space="preserve">社内からの問い合わせに対応する時間</t>
        </is>
      </c>
    </row>
    <row r="61" ht="13.5" customHeight="1">
      <c r="A61" s="277">
        <v>80103</v>
      </c>
      <c r="B61" s="278" t="inlineStr">
        <is>
          <t xml:space="preserve">保守／ｻﾎﾟｰﾄ：支社・他部門支援</t>
        </is>
      </c>
      <c r="C61" s="278" t="inlineStr">
        <is>
          <t xml:space="preserve">支社支援と他部門支援に要する時間</t>
        </is>
      </c>
    </row>
    <row r="62" ht="13.5" customHeight="1">
      <c r="A62" s="277">
        <v>80104</v>
      </c>
      <c r="B62" s="278" t="inlineStr">
        <is>
          <t xml:space="preserve">保守／ｻﾎﾟｰﾄ：連絡文書作成・更新</t>
        </is>
      </c>
      <c r="C62" s="278" t="inlineStr">
        <is>
          <t xml:space="preserve">保守/サポートに伴う関連資料作成、公開にかかった時間を入力する。</t>
        </is>
      </c>
    </row>
    <row r="63" ht="13.5" customHeight="1">
      <c r="A63" s="277">
        <v>80105</v>
      </c>
      <c r="B63" s="278" t="inlineStr">
        <is>
          <t xml:space="preserve">保守／ｻﾎﾟｰﾄ：ｲﾝﾄﾗ資料更新</t>
        </is>
      </c>
      <c r="C63" s="278" t="inlineStr">
        <is>
          <t xml:space="preserve">情報開示資料等、ｲﾝﾄﾗ掲載資料の更新</t>
        </is>
      </c>
    </row>
    <row r="64" ht="13.5" customHeight="1">
      <c r="A64" s="277">
        <v>80106</v>
      </c>
      <c r="B64" s="278" t="inlineStr">
        <is>
          <t xml:space="preserve">保守／ｻﾎﾟｰﾄ：打合せ</t>
        </is>
      </c>
      <c r="C64" s="278" t="inlineStr">
        <is>
          <t xml:space="preserve">保守／サポートに関する「検討調整打合せ」を含む</t>
        </is>
      </c>
    </row>
    <row r="65" ht="13.5" customHeight="1">
      <c r="A65" s="277">
        <v>80107</v>
      </c>
      <c r="B65" s="278" t="inlineStr">
        <is>
          <t xml:space="preserve">保守／ｻﾎﾟｰﾄ：ﾚﾋﾞｭｰ</t>
        </is>
      </c>
      <c r="C65" s="278" t="inlineStr">
        <is>
          <t xml:space="preserve">保守/ｻﾎﾟｰﾄにおいて作成した資料、回答等の確認・ﾚﾋﾞｭｰに要した時間</t>
        </is>
      </c>
    </row>
    <row r="66" ht="13.5" customHeight="1">
      <c r="A66" s="279">
        <v>80199</v>
      </c>
      <c r="B66" s="280" t="inlineStr">
        <is>
          <t xml:space="preserve">保守／ｻﾎﾟｰﾄ：その他</t>
        </is>
      </c>
      <c r="C66" s="280" t="inlineStr">
        <is>
          <t xml:space="preserve">保守／サポートに関する作業で、他の内訳に合致しない作業時間</t>
        </is>
      </c>
    </row>
    <row r="67" ht="13.5" customHeight="1">
      <c r="A67" s="275">
        <v>90101</v>
      </c>
      <c r="B67" s="276" t="inlineStr">
        <is>
          <t xml:space="preserve">管理業務：ﾌﾟﾛｼﾞｪｸﾄ管理</t>
        </is>
      </c>
      <c r="C67" s="276" t="inlineStr">
        <is>
          <t xml:space="preserve">WBS更新、ﾁｪｯｸ、調整等の進捗管理</t>
        </is>
      </c>
    </row>
    <row r="68" ht="13.5" customHeight="1">
      <c r="A68" s="277">
        <v>90102</v>
      </c>
      <c r="B68" s="278" t="inlineStr">
        <is>
          <t xml:space="preserve">管理業務：開発環境管理</t>
        </is>
      </c>
      <c r="C68" s="312" t="inlineStr">
        <is>
          <t xml:space="preserve">システムを開発するために必要な機材やソフトウェアなどの開発環境の構築・運用</t>
        </is>
      </c>
    </row>
    <row r="69" ht="13.5" customHeight="1">
      <c r="A69" s="277">
        <v>90103</v>
      </c>
      <c r="B69" s="316" t="inlineStr">
        <is>
          <t xml:space="preserve">管理業務：標準化・開発業務改善作業</t>
        </is>
      </c>
      <c r="C69" s="278" t="inlineStr">
        <is>
          <t xml:space="preserve">開発業務に関する標準化、業務改善作業</t>
        </is>
      </c>
    </row>
    <row r="70" ht="13.5" customHeight="1">
      <c r="A70" s="277">
        <v>90104</v>
      </c>
      <c r="B70" s="316" t="inlineStr">
        <is>
          <t xml:space="preserve">管理業務：開発業務の引継ぎ</t>
        </is>
      </c>
      <c r="C70" s="278" t="inlineStr">
        <is>
          <t xml:space="preserve">開発業務に関する担当業務の引継ぎ作業</t>
        </is>
      </c>
    </row>
    <row r="71" ht="13.5" customHeight="1">
      <c r="A71" s="277">
        <v>90105</v>
      </c>
      <c r="B71" s="278" t="inlineStr">
        <is>
          <t xml:space="preserve">管理業務：SRB管理</t>
        </is>
      </c>
      <c r="C71" s="278" t="inlineStr">
        <is>
          <t xml:space="preserve">SRBを用いた品質管理業務</t>
        </is>
      </c>
    </row>
    <row r="72" ht="13.5" customHeight="1">
      <c r="A72" s="277">
        <v>90107</v>
      </c>
      <c r="B72" s="316" t="inlineStr">
        <is>
          <t xml:space="preserve">管理業務：開発事務作業</t>
        </is>
      </c>
      <c r="C72" s="278" t="inlineStr">
        <is>
          <t xml:space="preserve">開発業務に関する管理事務・事務作業</t>
        </is>
      </c>
    </row>
    <row r="73" ht="13.5" customHeight="1">
      <c r="A73" s="277">
        <v>90108</v>
      </c>
      <c r="B73" s="278" t="inlineStr">
        <is>
          <t xml:space="preserve">管理業務：外部不具合分析</t>
        </is>
      </c>
      <c r="C73" s="278" t="inlineStr">
        <is>
          <t xml:space="preserve">不具合分析に要した時間</t>
        </is>
      </c>
    </row>
    <row r="74" ht="13.5" customHeight="1">
      <c r="A74" s="277">
        <v>90110</v>
      </c>
      <c r="B74" s="278" t="inlineStr">
        <is>
          <t xml:space="preserve">管理業務：打合せ</t>
        </is>
      </c>
      <c r="C74" s="278" t="inlineStr">
        <is>
          <t xml:space="preserve">開発業務に関する「検討調整打合せ」を含む</t>
        </is>
      </c>
    </row>
    <row r="75" ht="13.5" customHeight="1">
      <c r="A75" s="277">
        <v>90111</v>
      </c>
      <c r="B75" s="278" t="inlineStr">
        <is>
          <t xml:space="preserve">管理業務：レビュー</t>
        </is>
      </c>
      <c r="C75" s="278" t="inlineStr">
        <is>
          <t xml:space="preserve">作成資料、記録等の確認・ﾚﾋﾞｭｰ</t>
        </is>
      </c>
    </row>
    <row r="76" ht="13.5" customHeight="1">
      <c r="A76" s="279">
        <v>90199</v>
      </c>
      <c r="B76" s="280" t="inlineStr">
        <is>
          <t xml:space="preserve">管理業務：その他</t>
        </is>
      </c>
      <c r="C76" s="280" t="inlineStr">
        <is>
          <t xml:space="preserve">開発業務に関する作業で、他の内訳に合致しない作業時間や、他の工種に合致しない作業時間（日報管理にコメントの記載をする）</t>
        </is>
      </c>
    </row>
    <row r="77" ht="13.5" customHeight="1">
      <c r="A77" s="313">
        <v>99102</v>
      </c>
      <c r="B77" s="314" t="inlineStr">
        <is>
          <t xml:space="preserve">間接業務：業務環境管理（PCｾｯﾄｱｯﾌﾟ等）</t>
        </is>
      </c>
      <c r="C77" s="315" t="inlineStr">
        <is>
          <t xml:space="preserve">PCｾｯﾄｱｯﾌﾟ・ﾒﾝﾃﾅﾝｽ・設備・ﾈｯﾄﾜｰｸ等の運用管理</t>
        </is>
      </c>
    </row>
    <row r="78" ht="13.5" customHeight="1">
      <c r="A78" s="277">
        <v>99103</v>
      </c>
      <c r="B78" s="316" t="inlineStr">
        <is>
          <t xml:space="preserve">間接業務：標準化・業務改善作業（開発以外）</t>
        </is>
      </c>
      <c r="C78" s="312" t="inlineStr">
        <is>
          <t xml:space="preserve">開発業務に関しない標準化、業務改善作業</t>
        </is>
      </c>
    </row>
    <row r="79" ht="13.5" customHeight="1">
      <c r="A79" s="277">
        <v>99104</v>
      </c>
      <c r="B79" s="316" t="inlineStr">
        <is>
          <t xml:space="preserve">間接業務：業務の引継ぎ（開発以外）</t>
        </is>
      </c>
      <c r="C79" s="312" t="inlineStr">
        <is>
          <t xml:space="preserve">開発業務に関しない担当業務の引継ぎ作業</t>
        </is>
      </c>
    </row>
    <row r="80" ht="13.5" customHeight="1">
      <c r="A80" s="277">
        <v>99106</v>
      </c>
      <c r="B80" s="278" t="inlineStr">
        <is>
          <t xml:space="preserve">間接業務：研修・学習</t>
        </is>
      </c>
      <c r="C80" s="278" t="inlineStr">
        <is>
          <t xml:space="preserve">受講・講師・教育計画、実施報告、研修資料作成等を含む</t>
        </is>
      </c>
    </row>
    <row r="81" ht="13.5" customHeight="1">
      <c r="A81" s="277">
        <v>99107</v>
      </c>
      <c r="B81" s="316" t="inlineStr">
        <is>
          <t xml:space="preserve">間接業務：事務作業（開発以外）</t>
        </is>
      </c>
      <c r="C81" s="278" t="inlineStr">
        <is>
          <t xml:space="preserve">開発業務に関しない管理事務・事務作業</t>
        </is>
      </c>
    </row>
    <row r="82" ht="13.5" customHeight="1">
      <c r="A82" s="277">
        <v>99110</v>
      </c>
      <c r="B82" s="278" t="inlineStr">
        <is>
          <t xml:space="preserve">間接業務：打合せ</t>
        </is>
      </c>
      <c r="C82" s="278" t="inlineStr">
        <is>
          <t xml:space="preserve">新卒面談、安全衛生委員会会合、ISO/ISMS打合せ、部門MTG、朝礼</t>
        </is>
      </c>
    </row>
    <row r="83" ht="13.5" customHeight="1">
      <c r="A83" s="279">
        <v>99199</v>
      </c>
      <c r="B83" s="280" t="inlineStr">
        <is>
          <t xml:space="preserve">間接業務：その他</t>
        </is>
      </c>
      <c r="C83" s="280" t="inlineStr">
        <is>
          <t xml:space="preserve">開発業務に関しない作業で、他の内訳に合致しない作業時間や、他の工種に合致しない作業時間（日報管理にコメントの記載をする）</t>
        </is>
      </c>
    </row>
  </sheetData>
  <phoneticPr fontId="7"/>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2:F399"/>
  <sheetViews>
    <sheetView workbookViewId="0">
      <selection activeCell="C10" sqref="C10"/>
    </sheetView>
  </sheetViews>
  <sheetFormatPr defaultRowHeight="13.5"/>
  <cols>
    <col min="1" max="1" width="8.125" customWidth="1"/>
    <col min="2" max="2" width="31.125" bestFit="1" customWidth="1"/>
    <col min="3" max="3" width="9.125" bestFit="1" customWidth="1"/>
    <col min="4" max="4" width="49.375" bestFit="1" customWidth="1"/>
  </cols>
  <sheetData>
    <row r="2" spans="1:6">
      <c r="A2" s="110" t="s">
        <v>390</v>
      </c>
      <c r="B2" s="111" t="s">
        <v>391</v>
      </c>
      <c r="C2" s="110" t="s">
        <v>392</v>
      </c>
      <c r="D2" s="111" t="s">
        <v>393</v>
      </c>
      <c r="E2" s="311" t="s">
        <v>394</v>
      </c>
      <c r="F2" s="311" t="s">
        <v>395</v>
      </c>
    </row>
    <row r="3" s="273" customFormat="1" ht="14.1" customHeight="1">
      <c r="A3" s="267">
        <v>10000</v>
      </c>
      <c r="B3" s="269" t="inlineStr">
        <is>
          <t xml:space="preserve">Yokogawa</t>
        </is>
      </c>
      <c r="C3" s="254">
        <v>10000</v>
      </c>
      <c r="D3" s="244" t="inlineStr">
        <is>
          <t xml:space="preserve">Rep Portal</t>
        </is>
      </c>
      <c r="E3" s="287">
        <v>45108</v>
      </c>
      <c r="F3" s="288">
        <v>45230</v>
      </c>
    </row>
    <row r="4" spans="1:6" s="273" customFormat="1" ht="14.1" customHeight="1">
      <c r="A4" s="264"/>
      <c r="B4" s="269"/>
      <c r="C4" s="250"/>
      <c r="D4" s="244"/>
      <c r="E4" s="287"/>
      <c r="F4" s="288"/>
    </row>
    <row r="5" spans="1:6" s="273" customFormat="1" ht="14.1" customHeight="1">
      <c r="A5" s="289"/>
      <c r="B5" s="290"/>
      <c r="C5" s="291"/>
      <c r="D5" s="292"/>
      <c r="E5" s="293"/>
      <c r="F5" s="294"/>
    </row>
    <row r="6" spans="1:6" s="273" customFormat="1" ht="14.1" customHeight="1">
      <c r="A6" s="289"/>
      <c r="B6" s="290"/>
      <c r="C6" s="291"/>
      <c r="D6" s="292"/>
      <c r="E6" s="293"/>
      <c r="F6" s="294"/>
    </row>
    <row r="7" spans="1:6" s="273" customFormat="1" ht="14.1" customHeight="1">
      <c r="A7" s="289"/>
      <c r="B7" s="290"/>
      <c r="C7" s="291"/>
      <c r="D7" s="292"/>
      <c r="E7" s="293"/>
      <c r="F7" s="294"/>
    </row>
    <row r="8" spans="1:6" s="273" customFormat="1" ht="14.1" customHeight="1">
      <c r="A8" s="289"/>
      <c r="B8" s="290"/>
      <c r="C8" s="291"/>
      <c r="D8" s="292"/>
      <c r="E8" s="293"/>
      <c r="F8" s="294"/>
    </row>
    <row r="9" spans="1:6" s="273" customFormat="1" ht="14.1" customHeight="1">
      <c r="A9" s="250"/>
      <c r="B9" s="270"/>
      <c r="C9" s="250"/>
      <c r="D9" s="244"/>
      <c r="E9" s="287"/>
      <c r="F9" s="288"/>
    </row>
    <row r="10" spans="1:6" s="273" customFormat="1" ht="14.1" customHeight="1">
      <c r="A10" s="289"/>
      <c r="B10" s="290"/>
      <c r="C10" s="291"/>
      <c r="D10" s="292"/>
      <c r="E10" s="293"/>
      <c r="F10" s="294"/>
    </row>
    <row r="11" spans="1:6" s="273" customFormat="1" ht="14.1" customHeight="1">
      <c r="A11" s="264"/>
      <c r="B11" s="269"/>
      <c r="C11" s="250"/>
      <c r="D11" s="244"/>
      <c r="E11" s="287"/>
      <c r="F11" s="288"/>
    </row>
    <row r="12" spans="1:6" s="273" customFormat="1" ht="14.1" customHeight="1">
      <c r="A12" s="264"/>
      <c r="B12" s="269"/>
      <c r="C12" s="250"/>
      <c r="D12" s="244"/>
      <c r="E12" s="287"/>
      <c r="F12" s="288"/>
    </row>
    <row r="13" spans="1:6" s="273" customFormat="1" ht="14.1" customHeight="1">
      <c r="A13" s="264"/>
      <c r="B13" s="265"/>
      <c r="C13" s="250"/>
      <c r="D13" s="244"/>
      <c r="E13" s="287"/>
      <c r="F13" s="288"/>
    </row>
    <row r="14" spans="1:6" s="273" customFormat="1" ht="14.1" customHeight="1">
      <c r="A14" s="264"/>
      <c r="B14" s="269"/>
      <c r="C14" s="250"/>
      <c r="D14" s="244"/>
      <c r="E14" s="287"/>
      <c r="F14" s="288"/>
    </row>
    <row r="15" spans="1:6" s="273" customFormat="1" ht="14.1" customHeight="1">
      <c r="A15" s="264"/>
      <c r="B15" s="269"/>
      <c r="C15" s="250"/>
      <c r="D15" s="244"/>
      <c r="E15" s="287"/>
      <c r="F15" s="288"/>
    </row>
    <row r="16" spans="1:6" s="273" customFormat="1" ht="14.1" customHeight="1">
      <c r="A16" s="264"/>
      <c r="B16" s="265"/>
      <c r="C16" s="250"/>
      <c r="D16" s="244"/>
      <c r="E16" s="287"/>
      <c r="F16" s="288"/>
    </row>
    <row r="17" spans="1:6" s="273" customFormat="1" ht="14.1" customHeight="1">
      <c r="A17" s="264"/>
      <c r="B17" s="265"/>
      <c r="C17" s="250"/>
      <c r="D17" s="244"/>
      <c r="E17" s="287"/>
      <c r="F17" s="288"/>
    </row>
    <row r="18" spans="1:6" s="273" customFormat="1" ht="14.1" customHeight="1">
      <c r="A18" s="264"/>
      <c r="B18" s="265"/>
      <c r="C18" s="250"/>
      <c r="D18" s="244"/>
      <c r="E18" s="287"/>
      <c r="F18" s="288"/>
    </row>
    <row r="19" spans="1:6" s="273" customFormat="1" ht="14.1" customHeight="1">
      <c r="A19" s="264"/>
      <c r="B19" s="265"/>
      <c r="C19" s="250"/>
      <c r="D19" s="244"/>
      <c r="E19" s="287"/>
      <c r="F19" s="288"/>
    </row>
    <row r="20" spans="1:6" s="273" customFormat="1" ht="14.1" customHeight="1">
      <c r="A20" s="264"/>
      <c r="B20" s="265"/>
      <c r="C20" s="250"/>
      <c r="D20" s="244"/>
      <c r="E20" s="287"/>
      <c r="F20" s="288"/>
    </row>
    <row r="21" spans="1:6" s="273" customFormat="1" ht="14.1" customHeight="1">
      <c r="A21" s="264"/>
      <c r="B21" s="265"/>
      <c r="C21" s="250"/>
      <c r="D21" s="244"/>
      <c r="E21" s="287"/>
      <c r="F21" s="288"/>
    </row>
    <row r="22" spans="1:6" s="273" customFormat="1" ht="14.1" customHeight="1">
      <c r="A22" s="264"/>
      <c r="B22" s="265"/>
      <c r="C22" s="250"/>
      <c r="D22" s="244"/>
      <c r="E22" s="287"/>
      <c r="F22" s="288"/>
    </row>
    <row r="23" spans="1:6" s="273" customFormat="1" ht="14.1" customHeight="1">
      <c r="A23" s="264"/>
      <c r="B23" s="265"/>
      <c r="C23" s="250"/>
      <c r="D23" s="244"/>
      <c r="E23" s="287"/>
      <c r="F23" s="288"/>
    </row>
    <row r="24" spans="1:6" s="273" customFormat="1" ht="14.1" customHeight="1">
      <c r="A24" s="264"/>
      <c r="B24" s="265"/>
      <c r="C24" s="250"/>
      <c r="D24" s="244"/>
      <c r="E24" s="287"/>
      <c r="F24" s="288"/>
    </row>
    <row r="25" spans="1:6" s="273" customFormat="1" ht="14.1" customHeight="1">
      <c r="A25" s="264"/>
      <c r="B25" s="265"/>
      <c r="C25" s="250"/>
      <c r="D25" s="244"/>
      <c r="E25" s="287"/>
      <c r="F25" s="288"/>
    </row>
    <row r="26" spans="1:6" s="273" customFormat="1" ht="14.1" customHeight="1">
      <c r="A26" s="264"/>
      <c r="B26" s="265"/>
      <c r="C26" s="250"/>
      <c r="D26" s="244"/>
      <c r="E26" s="287"/>
      <c r="F26" s="288"/>
    </row>
    <row r="27" spans="1:6" s="273" customFormat="1" ht="14.1" customHeight="1">
      <c r="A27" s="264"/>
      <c r="B27" s="265"/>
      <c r="C27" s="250"/>
      <c r="D27" s="244"/>
      <c r="E27" s="287"/>
      <c r="F27" s="288"/>
    </row>
    <row r="28" spans="1:6" s="273" customFormat="1" ht="14.1" customHeight="1">
      <c r="A28" s="264"/>
      <c r="B28" s="265"/>
      <c r="C28" s="250"/>
      <c r="D28" s="244"/>
      <c r="E28" s="287"/>
      <c r="F28" s="288"/>
    </row>
    <row r="29" spans="1:6" s="273" customFormat="1" ht="14.1" customHeight="1">
      <c r="A29" s="264"/>
      <c r="B29" s="265"/>
      <c r="C29" s="250"/>
      <c r="D29" s="244"/>
      <c r="E29" s="287"/>
      <c r="F29" s="288"/>
    </row>
    <row r="30" spans="1:6" s="273" customFormat="1" ht="14.1" customHeight="1">
      <c r="A30" s="264"/>
      <c r="B30" s="269"/>
      <c r="C30" s="250"/>
      <c r="D30" s="244"/>
      <c r="E30" s="287"/>
      <c r="F30" s="288"/>
    </row>
    <row r="31" spans="1:6" s="273" customFormat="1" ht="14.1" customHeight="1">
      <c r="A31" s="264"/>
      <c r="B31" s="269"/>
      <c r="C31" s="250"/>
      <c r="D31" s="244"/>
      <c r="E31" s="287"/>
      <c r="F31" s="288"/>
    </row>
    <row r="32" spans="1:6" s="273" customFormat="1" ht="14.1" customHeight="1">
      <c r="A32" s="264"/>
      <c r="B32" s="269"/>
      <c r="C32" s="250"/>
      <c r="D32" s="244"/>
      <c r="E32" s="287"/>
      <c r="F32" s="288"/>
    </row>
    <row r="33" spans="1:6" s="273" customFormat="1" ht="14.1" customHeight="1">
      <c r="A33" s="264"/>
      <c r="B33" s="269"/>
      <c r="C33" s="250"/>
      <c r="D33" s="244"/>
      <c r="E33" s="287"/>
      <c r="F33" s="288"/>
    </row>
    <row r="34" spans="1:6" s="273" customFormat="1" ht="14.1" customHeight="1">
      <c r="A34" s="264"/>
      <c r="B34" s="269"/>
      <c r="C34" s="250"/>
      <c r="D34" s="244"/>
      <c r="E34" s="287"/>
      <c r="F34" s="288"/>
    </row>
    <row r="35" spans="1:6" s="273" customFormat="1" ht="14.1" customHeight="1">
      <c r="A35" s="264"/>
      <c r="B35" s="269"/>
      <c r="C35" s="250"/>
      <c r="D35" s="244"/>
      <c r="E35" s="287"/>
      <c r="F35" s="288"/>
    </row>
    <row r="36" spans="1:6" s="273" customFormat="1" ht="14.1" customHeight="1">
      <c r="A36" s="264"/>
      <c r="B36" s="269"/>
      <c r="C36" s="250"/>
      <c r="D36" s="244"/>
      <c r="E36" s="287"/>
      <c r="F36" s="288"/>
    </row>
    <row r="37" spans="1:6" s="273" customFormat="1" ht="14.1" customHeight="1">
      <c r="A37" s="264"/>
      <c r="B37" s="269"/>
      <c r="C37" s="250"/>
      <c r="D37" s="244"/>
      <c r="E37" s="287"/>
      <c r="F37" s="288"/>
    </row>
    <row r="38" spans="1:6" s="273" customFormat="1" ht="14.1" customHeight="1">
      <c r="A38" s="264"/>
      <c r="B38" s="269"/>
      <c r="C38" s="250"/>
      <c r="D38" s="244"/>
      <c r="E38" s="287"/>
      <c r="F38" s="288"/>
    </row>
    <row r="39" spans="1:6" s="273" customFormat="1" ht="14.1" customHeight="1">
      <c r="A39" s="264"/>
      <c r="B39" s="269"/>
      <c r="C39" s="250"/>
      <c r="D39" s="244"/>
      <c r="E39" s="287"/>
      <c r="F39" s="288"/>
    </row>
    <row r="40" spans="1:6" s="273" customFormat="1" ht="14.1" customHeight="1">
      <c r="A40" s="264"/>
      <c r="B40" s="269"/>
      <c r="C40" s="250"/>
      <c r="D40" s="244"/>
      <c r="E40" s="287"/>
      <c r="F40" s="288"/>
    </row>
    <row r="41" spans="1:6" s="273" customFormat="1" ht="14.1" customHeight="1">
      <c r="A41" s="264"/>
      <c r="B41" s="269"/>
      <c r="C41" s="250"/>
      <c r="D41" s="244"/>
      <c r="E41" s="287"/>
      <c r="F41" s="288"/>
    </row>
    <row r="42" spans="1:6" s="273" customFormat="1" ht="14.1" customHeight="1">
      <c r="A42" s="264"/>
      <c r="B42" s="269"/>
      <c r="C42" s="250"/>
      <c r="D42" s="244"/>
      <c r="E42" s="287"/>
      <c r="F42" s="288"/>
    </row>
    <row r="43" spans="1:6" s="273" customFormat="1" ht="14.1" customHeight="1">
      <c r="A43" s="264"/>
      <c r="B43" s="269"/>
      <c r="C43" s="250"/>
      <c r="D43" s="244"/>
      <c r="E43" s="287"/>
      <c r="F43" s="288"/>
    </row>
    <row r="44" spans="1:6" s="273" customFormat="1" ht="14.1" customHeight="1">
      <c r="A44" s="264"/>
      <c r="B44" s="269"/>
      <c r="C44" s="250"/>
      <c r="D44" s="244"/>
      <c r="E44" s="287"/>
      <c r="F44" s="288"/>
    </row>
    <row r="45" spans="1:6" s="273" customFormat="1" ht="14.1" customHeight="1">
      <c r="A45" s="264"/>
      <c r="B45" s="265"/>
      <c r="C45" s="250"/>
      <c r="D45" s="244"/>
      <c r="E45" s="287"/>
      <c r="F45" s="288"/>
    </row>
    <row r="46" spans="1:6" s="273" customFormat="1" ht="14.1" customHeight="1">
      <c r="A46" s="264"/>
      <c r="B46" s="265"/>
      <c r="C46" s="250"/>
      <c r="D46" s="244"/>
      <c r="E46" s="287"/>
      <c r="F46" s="288"/>
    </row>
    <row r="47" spans="1:6" s="273" customFormat="1" ht="14.1" customHeight="1">
      <c r="A47" s="264"/>
      <c r="B47" s="265"/>
      <c r="C47" s="250"/>
      <c r="D47" s="244"/>
      <c r="E47" s="287"/>
      <c r="F47" s="288"/>
    </row>
    <row r="48" spans="1:6" s="273" customFormat="1" ht="14.1" customHeight="1">
      <c r="A48" s="264"/>
      <c r="B48" s="265"/>
      <c r="C48" s="250"/>
      <c r="D48" s="244"/>
      <c r="E48" s="287"/>
      <c r="F48" s="288"/>
    </row>
    <row r="49" spans="1:6" s="273" customFormat="1" ht="14.1" customHeight="1">
      <c r="A49" s="271"/>
      <c r="B49" s="270"/>
      <c r="C49" s="250"/>
      <c r="D49" s="244"/>
      <c r="E49" s="287"/>
      <c r="F49" s="288"/>
    </row>
    <row r="50" spans="1:6" s="273" customFormat="1" ht="14.1" customHeight="1">
      <c r="A50" s="250"/>
      <c r="B50" s="244"/>
      <c r="C50" s="250"/>
      <c r="D50" s="244"/>
      <c r="E50" s="287"/>
      <c r="F50" s="288"/>
    </row>
    <row r="51" spans="1:6" s="273" customFormat="1" ht="14.1" customHeight="1">
      <c r="A51" s="250"/>
      <c r="B51" s="244"/>
      <c r="C51" s="250"/>
      <c r="D51" s="244"/>
      <c r="E51" s="287"/>
      <c r="F51" s="288"/>
    </row>
    <row r="52" spans="1:6" s="273" customFormat="1" ht="14.1" customHeight="1">
      <c r="A52" s="289"/>
      <c r="B52" s="290"/>
      <c r="C52" s="291"/>
      <c r="D52" s="292"/>
      <c r="E52" s="293"/>
      <c r="F52" s="294"/>
    </row>
    <row r="53" spans="1:6" s="273" customFormat="1" ht="14.1" customHeight="1">
      <c r="A53" s="289"/>
      <c r="B53" s="290"/>
      <c r="C53" s="291"/>
      <c r="D53" s="292"/>
      <c r="E53" s="293"/>
      <c r="F53" s="294"/>
    </row>
    <row r="54" spans="1:6" s="273" customFormat="1" ht="14.1" customHeight="1">
      <c r="A54" s="289"/>
      <c r="B54" s="290"/>
      <c r="C54" s="291"/>
      <c r="D54" s="292"/>
      <c r="E54" s="293"/>
      <c r="F54" s="294"/>
    </row>
    <row r="55" spans="1:6" s="273" customFormat="1" ht="14.1" customHeight="1">
      <c r="A55" s="289"/>
      <c r="B55" s="290"/>
      <c r="C55" s="291"/>
      <c r="D55" s="292"/>
      <c r="E55" s="293"/>
      <c r="F55" s="294"/>
    </row>
    <row r="56" spans="1:6" s="273" customFormat="1" ht="14.1" customHeight="1">
      <c r="A56" s="289"/>
      <c r="B56" s="290"/>
      <c r="C56" s="291"/>
      <c r="D56" s="292"/>
      <c r="E56" s="293"/>
      <c r="F56" s="294"/>
    </row>
    <row r="57" spans="1:6" s="273" customFormat="1" ht="14.1" customHeight="1">
      <c r="A57" s="295"/>
      <c r="B57" s="296"/>
      <c r="C57" s="291"/>
      <c r="D57" s="292"/>
      <c r="E57" s="293"/>
      <c r="F57" s="294"/>
    </row>
    <row r="58" spans="1:6" s="273" customFormat="1" ht="14.1" customHeight="1">
      <c r="A58" s="289"/>
      <c r="B58" s="297"/>
      <c r="C58" s="291"/>
      <c r="D58" s="292"/>
      <c r="E58" s="293"/>
      <c r="F58" s="294"/>
    </row>
    <row r="59" spans="1:6" s="273" customFormat="1" ht="14.1" customHeight="1">
      <c r="A59" s="289"/>
      <c r="B59" s="290"/>
      <c r="C59" s="291"/>
      <c r="D59" s="292"/>
      <c r="E59" s="293"/>
      <c r="F59" s="294"/>
    </row>
    <row r="60" spans="1:6" s="273" customFormat="1" ht="14.1" customHeight="1">
      <c r="A60" s="264"/>
      <c r="B60" s="269"/>
      <c r="C60" s="250"/>
      <c r="D60" s="244"/>
      <c r="E60" s="287"/>
      <c r="F60" s="288"/>
    </row>
    <row r="61" spans="1:6" s="273" customFormat="1" ht="14.1" customHeight="1">
      <c r="A61" s="264"/>
      <c r="B61" s="269"/>
      <c r="C61" s="250"/>
      <c r="D61" s="244"/>
      <c r="E61" s="287"/>
      <c r="F61" s="288"/>
    </row>
    <row r="62" spans="1:6" s="273" customFormat="1" ht="14.1" customHeight="1">
      <c r="A62" s="264"/>
      <c r="B62" s="269"/>
      <c r="C62" s="250"/>
      <c r="D62" s="244"/>
      <c r="E62" s="287"/>
      <c r="F62" s="288"/>
    </row>
    <row r="63" spans="1:6" s="273" customFormat="1" ht="14.1" customHeight="1">
      <c r="A63" s="264"/>
      <c r="B63" s="269"/>
      <c r="C63" s="250"/>
      <c r="D63" s="244"/>
      <c r="E63" s="287"/>
      <c r="F63" s="288"/>
    </row>
    <row r="64" spans="1:6" s="273" customFormat="1" ht="14.1" customHeight="1">
      <c r="A64" s="264"/>
      <c r="B64" s="269"/>
      <c r="C64" s="250"/>
      <c r="D64" s="244"/>
      <c r="E64" s="287"/>
      <c r="F64" s="288"/>
    </row>
    <row r="65" spans="1:6" s="273" customFormat="1" ht="14.1" customHeight="1">
      <c r="A65" s="264"/>
      <c r="B65" s="269"/>
      <c r="C65" s="250"/>
      <c r="D65" s="244"/>
      <c r="E65" s="287"/>
      <c r="F65" s="288"/>
    </row>
    <row r="66" spans="1:6" s="273" customFormat="1" ht="14.1" customHeight="1">
      <c r="A66" s="264"/>
      <c r="B66" s="269"/>
      <c r="C66" s="250"/>
      <c r="D66" s="244"/>
      <c r="E66" s="287"/>
      <c r="F66" s="288"/>
    </row>
    <row r="67" spans="1:6" s="273" customFormat="1" ht="14.1" customHeight="1">
      <c r="A67" s="264"/>
      <c r="B67" s="269"/>
      <c r="C67" s="250"/>
      <c r="D67" s="244"/>
      <c r="E67" s="287"/>
      <c r="F67" s="288"/>
    </row>
    <row r="68" spans="1:6" s="273" customFormat="1" ht="14.1" customHeight="1">
      <c r="A68" s="264"/>
      <c r="B68" s="269"/>
      <c r="C68" s="250"/>
      <c r="D68" s="244"/>
      <c r="E68" s="287"/>
      <c r="F68" s="288"/>
    </row>
    <row r="69" spans="1:6" s="273" customFormat="1" ht="14.1" customHeight="1">
      <c r="A69" s="264"/>
      <c r="B69" s="269"/>
      <c r="C69" s="250"/>
      <c r="D69" s="244"/>
      <c r="E69" s="287"/>
      <c r="F69" s="288"/>
    </row>
    <row r="70" spans="1:6" s="273" customFormat="1" ht="14.1" customHeight="1">
      <c r="A70" s="264"/>
      <c r="B70" s="269"/>
      <c r="C70" s="250"/>
      <c r="D70" s="244"/>
      <c r="E70" s="287"/>
      <c r="F70" s="288"/>
    </row>
    <row r="71" spans="1:6" s="273" customFormat="1" ht="14.1" customHeight="1">
      <c r="A71" s="264"/>
      <c r="B71" s="269"/>
      <c r="C71" s="250"/>
      <c r="D71" s="244"/>
      <c r="E71" s="287"/>
      <c r="F71" s="288"/>
    </row>
    <row r="72" spans="1:6" s="273" customFormat="1" ht="14.1" customHeight="1">
      <c r="A72" s="264"/>
      <c r="B72" s="269"/>
      <c r="C72" s="250"/>
      <c r="D72" s="244"/>
      <c r="E72" s="287"/>
      <c r="F72" s="288"/>
    </row>
    <row r="73" spans="1:6" s="273" customFormat="1" ht="14.1" customHeight="1">
      <c r="A73" s="264"/>
      <c r="B73" s="269"/>
      <c r="C73" s="250"/>
      <c r="D73" s="244"/>
      <c r="E73" s="287"/>
      <c r="F73" s="288"/>
    </row>
    <row r="74" spans="1:6" s="273" customFormat="1" ht="14.1" customHeight="1">
      <c r="A74" s="264"/>
      <c r="B74" s="269"/>
      <c r="C74" s="250"/>
      <c r="D74" s="244"/>
      <c r="E74" s="287"/>
      <c r="F74" s="288"/>
    </row>
    <row r="75" spans="1:6" s="273" customFormat="1" ht="14.1" customHeight="1">
      <c r="A75" s="264"/>
      <c r="B75" s="269"/>
      <c r="C75" s="250"/>
      <c r="D75" s="244"/>
      <c r="E75" s="287"/>
      <c r="F75" s="288"/>
    </row>
    <row r="76" spans="1:6" s="273" customFormat="1" ht="14.1" customHeight="1">
      <c r="A76" s="264"/>
      <c r="B76" s="269"/>
      <c r="C76" s="250"/>
      <c r="D76" s="244"/>
      <c r="E76" s="287"/>
      <c r="F76" s="288"/>
    </row>
    <row r="77" spans="1:6" s="273" customFormat="1" ht="14.1" customHeight="1">
      <c r="A77" s="264"/>
      <c r="B77" s="269"/>
      <c r="C77" s="250"/>
      <c r="D77" s="244"/>
      <c r="E77" s="287"/>
      <c r="F77" s="288"/>
    </row>
    <row r="78" spans="1:6" s="273" customFormat="1" ht="14.1" customHeight="1">
      <c r="A78" s="264"/>
      <c r="B78" s="269"/>
      <c r="C78" s="250"/>
      <c r="D78" s="244"/>
      <c r="E78" s="287"/>
      <c r="F78" s="288"/>
    </row>
    <row r="79" spans="1:6" s="273" customFormat="1" ht="14.1" customHeight="1">
      <c r="A79" s="264"/>
      <c r="B79" s="269"/>
      <c r="C79" s="250"/>
      <c r="D79" s="244"/>
      <c r="E79" s="287"/>
      <c r="F79" s="288"/>
    </row>
    <row r="80" spans="1:6" s="273" customFormat="1" ht="14.1" customHeight="1">
      <c r="A80" s="264"/>
      <c r="B80" s="269"/>
      <c r="C80" s="250"/>
      <c r="D80" s="244"/>
      <c r="E80" s="287"/>
      <c r="F80" s="288"/>
    </row>
    <row r="81" spans="1:6" s="273" customFormat="1" ht="14.1" customHeight="1">
      <c r="A81" s="264"/>
      <c r="B81" s="269"/>
      <c r="C81" s="250"/>
      <c r="D81" s="244"/>
      <c r="E81" s="287"/>
      <c r="F81" s="288"/>
    </row>
    <row r="82" spans="1:6" s="273" customFormat="1" ht="14.1" customHeight="1">
      <c r="A82" s="264"/>
      <c r="B82" s="269"/>
      <c r="C82" s="250"/>
      <c r="D82" s="244"/>
      <c r="E82" s="287"/>
      <c r="F82" s="288"/>
    </row>
    <row r="83" spans="1:6" s="273" customFormat="1" ht="14.1" customHeight="1">
      <c r="A83" s="264"/>
      <c r="B83" s="269"/>
      <c r="C83" s="250"/>
      <c r="D83" s="244"/>
      <c r="E83" s="287"/>
      <c r="F83" s="288"/>
    </row>
    <row r="84" spans="1:6" s="273" customFormat="1" ht="14.1" customHeight="1">
      <c r="A84" s="264"/>
      <c r="B84" s="269"/>
      <c r="C84" s="250"/>
      <c r="D84" s="244"/>
      <c r="E84" s="287"/>
      <c r="F84" s="288"/>
    </row>
    <row r="85" spans="1:6" s="273" customFormat="1" ht="14.1" customHeight="1">
      <c r="A85" s="264"/>
      <c r="B85" s="269"/>
      <c r="C85" s="250"/>
      <c r="D85" s="244"/>
      <c r="E85" s="287"/>
      <c r="F85" s="288"/>
    </row>
    <row r="86" spans="1:6" s="273" customFormat="1" ht="14.1" customHeight="1">
      <c r="A86" s="264"/>
      <c r="B86" s="269"/>
      <c r="C86" s="250"/>
      <c r="D86" s="244"/>
      <c r="E86" s="287"/>
      <c r="F86" s="288"/>
    </row>
    <row r="87" spans="1:6" s="273" customFormat="1" ht="14.1" customHeight="1">
      <c r="A87" s="264"/>
      <c r="B87" s="269"/>
      <c r="C87" s="250"/>
      <c r="D87" s="244"/>
      <c r="E87" s="287"/>
      <c r="F87" s="288"/>
    </row>
    <row r="88" spans="1:6" s="273" customFormat="1" ht="14.1" customHeight="1">
      <c r="A88" s="264"/>
      <c r="B88" s="269"/>
      <c r="C88" s="250"/>
      <c r="D88" s="244"/>
      <c r="E88" s="287"/>
      <c r="F88" s="288"/>
    </row>
    <row r="89" spans="1:6" s="273" customFormat="1" ht="14.1" customHeight="1">
      <c r="A89" s="264"/>
      <c r="B89" s="269"/>
      <c r="C89" s="250"/>
      <c r="D89" s="244"/>
      <c r="E89" s="287"/>
      <c r="F89" s="288"/>
    </row>
    <row r="90" spans="1:6" s="273" customFormat="1" ht="14.1" customHeight="1">
      <c r="A90" s="250"/>
      <c r="B90" s="244"/>
      <c r="C90" s="250"/>
      <c r="D90" s="244"/>
      <c r="E90" s="287"/>
      <c r="F90" s="288"/>
    </row>
    <row r="91" spans="1:6" s="273" customFormat="1" ht="14.1" customHeight="1">
      <c r="A91" s="250"/>
      <c r="B91" s="272"/>
      <c r="C91" s="254"/>
      <c r="D91" s="244"/>
      <c r="E91" s="287"/>
      <c r="F91" s="288"/>
    </row>
    <row r="92" spans="1:6" s="273" customFormat="1" ht="14.1" customHeight="1">
      <c r="A92" s="289"/>
      <c r="B92" s="290"/>
      <c r="C92" s="291"/>
      <c r="D92" s="292"/>
      <c r="E92" s="293"/>
      <c r="F92" s="294"/>
    </row>
    <row r="93" spans="1:6" s="273" customFormat="1" ht="14.1" customHeight="1">
      <c r="A93" s="289"/>
      <c r="B93" s="298"/>
      <c r="C93" s="291"/>
      <c r="D93" s="292"/>
      <c r="E93" s="293"/>
      <c r="F93" s="294"/>
    </row>
    <row r="94" spans="1:6" s="273" customFormat="1" ht="14.1" customHeight="1">
      <c r="A94" s="289"/>
      <c r="B94" s="290"/>
      <c r="C94" s="291"/>
      <c r="D94" s="292"/>
      <c r="E94" s="293"/>
      <c r="F94" s="294"/>
    </row>
    <row r="95" spans="1:6" s="273" customFormat="1" ht="14.1" customHeight="1">
      <c r="A95" s="289"/>
      <c r="B95" s="290"/>
      <c r="C95" s="291"/>
      <c r="D95" s="292"/>
      <c r="E95" s="293"/>
      <c r="F95" s="294"/>
    </row>
    <row r="96" spans="1:6" s="273" customFormat="1" ht="14.1" customHeight="1">
      <c r="A96" s="289"/>
      <c r="B96" s="290"/>
      <c r="C96" s="291"/>
      <c r="D96" s="292"/>
      <c r="E96" s="293"/>
      <c r="F96" s="294"/>
    </row>
    <row r="97" spans="1:6" s="273" customFormat="1" ht="14.1" customHeight="1">
      <c r="A97" s="264"/>
      <c r="B97" s="269"/>
      <c r="C97" s="250"/>
      <c r="D97" s="244"/>
      <c r="E97" s="287"/>
      <c r="F97" s="288"/>
    </row>
    <row r="98" spans="1:6" s="273" customFormat="1" ht="14.1" customHeight="1">
      <c r="A98" s="264"/>
      <c r="B98" s="269"/>
      <c r="C98" s="250"/>
      <c r="D98" s="244"/>
      <c r="E98" s="287"/>
      <c r="F98" s="288"/>
    </row>
    <row r="99" spans="1:6" s="273" customFormat="1" ht="14.1" customHeight="1">
      <c r="A99" s="264"/>
      <c r="B99" s="269"/>
      <c r="C99" s="250"/>
      <c r="D99" s="244"/>
      <c r="E99" s="287"/>
      <c r="F99" s="288"/>
    </row>
    <row r="100" spans="1:6" s="273" customFormat="1" ht="14.1" customHeight="1">
      <c r="A100" s="264"/>
      <c r="B100" s="269"/>
      <c r="C100" s="250"/>
      <c r="D100" s="244"/>
      <c r="E100" s="287"/>
      <c r="F100" s="288"/>
    </row>
    <row r="101" spans="1:6" s="273" customFormat="1" ht="14.1" customHeight="1">
      <c r="A101" s="264"/>
      <c r="B101" s="269"/>
      <c r="C101" s="250"/>
      <c r="D101" s="244"/>
      <c r="E101" s="287"/>
      <c r="F101" s="288"/>
    </row>
    <row r="102" spans="1:6" s="273" customFormat="1" ht="14.1" customHeight="1">
      <c r="A102" s="264"/>
      <c r="B102" s="269"/>
      <c r="C102" s="250"/>
      <c r="D102" s="244"/>
      <c r="E102" s="287"/>
      <c r="F102" s="288"/>
    </row>
    <row r="103" spans="1:6" s="273" customFormat="1" ht="14.1" customHeight="1">
      <c r="A103" s="264"/>
      <c r="B103" s="269"/>
      <c r="C103" s="250"/>
      <c r="D103" s="244"/>
      <c r="E103" s="287"/>
      <c r="F103" s="288"/>
    </row>
    <row r="104" spans="1:6" s="273" customFormat="1" ht="14.1" customHeight="1">
      <c r="A104" s="264"/>
      <c r="B104" s="269"/>
      <c r="C104" s="250"/>
      <c r="D104" s="244"/>
      <c r="E104" s="287"/>
      <c r="F104" s="288"/>
    </row>
    <row r="105" spans="1:6" s="273" customFormat="1" ht="14.1" customHeight="1">
      <c r="A105" s="264"/>
      <c r="B105" s="269"/>
      <c r="C105" s="250"/>
      <c r="D105" s="244"/>
      <c r="E105" s="287"/>
      <c r="F105" s="288"/>
    </row>
    <row r="106" spans="1:6" s="273" customFormat="1" ht="14.1" customHeight="1">
      <c r="A106" s="289"/>
      <c r="B106" s="290"/>
      <c r="C106" s="291"/>
      <c r="D106" s="292"/>
      <c r="E106" s="287"/>
      <c r="F106" s="288"/>
    </row>
    <row r="107" spans="1:6" s="273" customFormat="1" ht="14.1" customHeight="1">
      <c r="A107" s="289"/>
      <c r="B107" s="290"/>
      <c r="C107" s="291"/>
      <c r="D107" s="292"/>
      <c r="E107" s="293"/>
      <c r="F107" s="294"/>
    </row>
    <row r="108" spans="1:6" s="273" customFormat="1" ht="14.1" customHeight="1">
      <c r="A108" s="289"/>
      <c r="B108" s="290"/>
      <c r="C108" s="291"/>
      <c r="D108" s="292"/>
      <c r="E108" s="293"/>
      <c r="F108" s="294"/>
    </row>
    <row r="109" spans="1:6" s="273" customFormat="1" ht="14.1" customHeight="1">
      <c r="A109" s="289"/>
      <c r="B109" s="290"/>
      <c r="C109" s="291"/>
      <c r="D109" s="292"/>
      <c r="E109" s="293"/>
      <c r="F109" s="294"/>
    </row>
    <row r="110" spans="1:6" s="273" customFormat="1" ht="14.1" customHeight="1">
      <c r="A110" s="289"/>
      <c r="B110" s="290"/>
      <c r="C110" s="291"/>
      <c r="D110" s="292"/>
      <c r="E110" s="293"/>
      <c r="F110" s="294"/>
    </row>
    <row r="111" spans="1:6" s="273" customFormat="1" ht="14.1" customHeight="1">
      <c r="A111" s="289"/>
      <c r="B111" s="290"/>
      <c r="C111" s="291"/>
      <c r="D111" s="292"/>
      <c r="E111" s="293"/>
      <c r="F111" s="294"/>
    </row>
    <row r="112" spans="1:6" s="273" customFormat="1" ht="14.1" customHeight="1">
      <c r="A112" s="289"/>
      <c r="B112" s="290"/>
      <c r="C112" s="291"/>
      <c r="D112" s="292"/>
      <c r="E112" s="293"/>
      <c r="F112" s="294"/>
    </row>
    <row r="113" spans="1:6" s="273" customFormat="1" ht="14.1" customHeight="1">
      <c r="A113" s="289"/>
      <c r="B113" s="290"/>
      <c r="C113" s="291"/>
      <c r="D113" s="292"/>
      <c r="E113" s="293"/>
      <c r="F113" s="294"/>
    </row>
    <row r="114" spans="1:6" s="273" customFormat="1" ht="14.1" customHeight="1">
      <c r="A114" s="289"/>
      <c r="B114" s="290"/>
      <c r="C114" s="291"/>
      <c r="D114" s="292"/>
      <c r="E114" s="293"/>
      <c r="F114" s="294"/>
    </row>
    <row r="115" spans="1:6" s="273" customFormat="1" ht="14.1" customHeight="1">
      <c r="A115" s="289"/>
      <c r="B115" s="290"/>
      <c r="C115" s="291"/>
      <c r="D115" s="292"/>
      <c r="E115" s="293"/>
      <c r="F115" s="294"/>
    </row>
    <row r="116" spans="1:6" s="273" customFormat="1" ht="14.1" customHeight="1">
      <c r="A116" s="289"/>
      <c r="B116" s="290"/>
      <c r="C116" s="291"/>
      <c r="D116" s="292"/>
      <c r="E116" s="293"/>
      <c r="F116" s="294"/>
    </row>
    <row r="117" spans="1:6" s="273" customFormat="1" ht="14.1" customHeight="1">
      <c r="A117" s="289"/>
      <c r="B117" s="290"/>
      <c r="C117" s="291"/>
      <c r="D117" s="292"/>
      <c r="E117" s="293"/>
      <c r="F117" s="294"/>
    </row>
    <row r="118" spans="1:6" s="273" customFormat="1" ht="14.1" customHeight="1">
      <c r="A118" s="289"/>
      <c r="B118" s="290"/>
      <c r="C118" s="291"/>
      <c r="D118" s="292"/>
      <c r="E118" s="293"/>
      <c r="F118" s="294"/>
    </row>
    <row r="119" spans="1:6" s="273" customFormat="1" ht="14.1" customHeight="1">
      <c r="A119" s="289"/>
      <c r="B119" s="290"/>
      <c r="C119" s="291"/>
      <c r="D119" s="292"/>
      <c r="E119" s="293"/>
      <c r="F119" s="294"/>
    </row>
    <row r="120" spans="1:6" s="273" customFormat="1" ht="14.1" customHeight="1">
      <c r="A120" s="289"/>
      <c r="B120" s="290"/>
      <c r="C120" s="291"/>
      <c r="D120" s="292"/>
      <c r="E120" s="293"/>
      <c r="F120" s="294"/>
    </row>
    <row r="121" spans="1:6" s="273" customFormat="1" ht="14.1" customHeight="1">
      <c r="A121" s="289"/>
      <c r="B121" s="290"/>
      <c r="C121" s="291"/>
      <c r="D121" s="292"/>
      <c r="E121" s="293"/>
      <c r="F121" s="294"/>
    </row>
    <row r="122" spans="1:6" s="273" customFormat="1" ht="14.1" customHeight="1">
      <c r="A122" s="289"/>
      <c r="B122" s="290"/>
      <c r="C122" s="291"/>
      <c r="D122" s="292"/>
      <c r="E122" s="293"/>
      <c r="F122" s="294"/>
    </row>
    <row r="123" spans="1:6" s="273" customFormat="1" ht="14.1" customHeight="1">
      <c r="A123" s="289"/>
      <c r="B123" s="290"/>
      <c r="C123" s="291"/>
      <c r="D123" s="292"/>
      <c r="E123" s="293"/>
      <c r="F123" s="294"/>
    </row>
    <row r="124" spans="1:6" s="273" customFormat="1" ht="14.1" customHeight="1">
      <c r="A124" s="289"/>
      <c r="B124" s="298"/>
      <c r="C124" s="291"/>
      <c r="D124" s="292"/>
      <c r="E124" s="293"/>
      <c r="F124" s="294"/>
    </row>
    <row r="125" spans="1:6" s="273" customFormat="1" ht="14.1" customHeight="1">
      <c r="A125" s="289"/>
      <c r="B125" s="290"/>
      <c r="C125" s="291"/>
      <c r="D125" s="292"/>
      <c r="E125" s="293"/>
      <c r="F125" s="294"/>
    </row>
    <row r="126" spans="1:6" s="273" customFormat="1" ht="14.1" customHeight="1">
      <c r="A126" s="289"/>
      <c r="B126" s="290"/>
      <c r="C126" s="291"/>
      <c r="D126" s="292"/>
      <c r="E126" s="293"/>
      <c r="F126" s="294"/>
    </row>
    <row r="127" spans="1:6" s="273" customFormat="1" ht="14.1" customHeight="1">
      <c r="A127" s="289"/>
      <c r="B127" s="290"/>
      <c r="C127" s="291"/>
      <c r="D127" s="292"/>
      <c r="E127" s="293"/>
      <c r="F127" s="294"/>
    </row>
    <row r="128" spans="1:6" s="273" customFormat="1" ht="14.1" customHeight="1">
      <c r="A128" s="264"/>
      <c r="B128" s="269"/>
      <c r="C128" s="250"/>
      <c r="D128" s="244"/>
      <c r="E128" s="287"/>
      <c r="F128" s="288"/>
    </row>
    <row r="129" spans="1:6" s="273" customFormat="1" ht="14.1" customHeight="1">
      <c r="A129" s="264"/>
      <c r="B129" s="269"/>
      <c r="C129" s="250"/>
      <c r="D129" s="244"/>
      <c r="E129" s="287"/>
      <c r="F129" s="288"/>
    </row>
    <row r="130" spans="1:6" s="273" customFormat="1" ht="14.1" customHeight="1">
      <c r="A130" s="264"/>
      <c r="B130" s="269"/>
      <c r="C130" s="250"/>
      <c r="D130" s="244"/>
      <c r="E130" s="287"/>
      <c r="F130" s="288"/>
    </row>
    <row r="131" spans="1:6" s="273" customFormat="1" ht="14.1" customHeight="1">
      <c r="A131" s="264"/>
      <c r="B131" s="269"/>
      <c r="C131" s="250"/>
      <c r="D131" s="244"/>
      <c r="E131" s="287"/>
      <c r="F131" s="288"/>
    </row>
    <row r="132" spans="1:6" s="273" customFormat="1" ht="14.1" customHeight="1">
      <c r="A132" s="264"/>
      <c r="B132" s="269"/>
      <c r="C132" s="250"/>
      <c r="D132" s="244"/>
      <c r="E132" s="287"/>
      <c r="F132" s="288"/>
    </row>
    <row r="133" spans="1:6" s="273" customFormat="1" ht="14.1" customHeight="1">
      <c r="A133" s="264"/>
      <c r="B133" s="269"/>
      <c r="C133" s="250"/>
      <c r="D133" s="244"/>
      <c r="E133" s="287"/>
      <c r="F133" s="288"/>
    </row>
    <row r="134" spans="1:6" s="273" customFormat="1" ht="14.1" customHeight="1">
      <c r="A134" s="264"/>
      <c r="B134" s="269"/>
      <c r="C134" s="250"/>
      <c r="D134" s="244"/>
      <c r="E134" s="287"/>
      <c r="F134" s="288"/>
    </row>
    <row r="135" spans="1:6" s="273" customFormat="1" ht="14.1" customHeight="1">
      <c r="A135" s="264"/>
      <c r="B135" s="269"/>
      <c r="C135" s="250"/>
      <c r="D135" s="244"/>
      <c r="E135" s="287"/>
      <c r="F135" s="288"/>
    </row>
    <row r="136" spans="1:6" s="273" customFormat="1" ht="14.1" customHeight="1">
      <c r="A136" s="264"/>
      <c r="B136" s="269"/>
      <c r="C136" s="250"/>
      <c r="D136" s="244"/>
      <c r="E136" s="287"/>
      <c r="F136" s="288"/>
    </row>
    <row r="137" spans="1:6" s="273" customFormat="1" ht="14.1" customHeight="1">
      <c r="A137" s="264"/>
      <c r="B137" s="269"/>
      <c r="C137" s="250"/>
      <c r="D137" s="244"/>
      <c r="E137" s="287"/>
      <c r="F137" s="288"/>
    </row>
    <row r="138" spans="1:6" s="273" customFormat="1" ht="14.1" customHeight="1">
      <c r="A138" s="264"/>
      <c r="B138" s="269"/>
      <c r="C138" s="250"/>
      <c r="D138" s="244"/>
      <c r="E138" s="287"/>
      <c r="F138" s="288"/>
    </row>
    <row r="139" spans="1:6" s="273" customFormat="1" ht="14.1" customHeight="1">
      <c r="A139" s="264"/>
      <c r="B139" s="269"/>
      <c r="C139" s="250"/>
      <c r="D139" s="244"/>
      <c r="E139" s="287"/>
      <c r="F139" s="288"/>
    </row>
    <row r="140" spans="1:6" s="273" customFormat="1" ht="14.1" customHeight="1">
      <c r="A140" s="264"/>
      <c r="B140" s="269"/>
      <c r="C140" s="250"/>
      <c r="D140" s="244"/>
      <c r="E140" s="287"/>
      <c r="F140" s="288"/>
    </row>
    <row r="141" spans="1:6" s="273" customFormat="1" ht="14.1" customHeight="1">
      <c r="A141" s="264"/>
      <c r="B141" s="269"/>
      <c r="C141" s="250"/>
      <c r="D141" s="244"/>
      <c r="E141" s="287"/>
      <c r="F141" s="288"/>
    </row>
    <row r="142" spans="1:6" s="273" customFormat="1" ht="14.1" customHeight="1">
      <c r="A142" s="264"/>
      <c r="B142" s="269"/>
      <c r="C142" s="250"/>
      <c r="D142" s="244"/>
      <c r="E142" s="287"/>
      <c r="F142" s="288"/>
    </row>
    <row r="143" spans="1:6" s="273" customFormat="1" ht="14.1" customHeight="1">
      <c r="A143" s="264"/>
      <c r="B143" s="269"/>
      <c r="C143" s="250"/>
      <c r="D143" s="244"/>
      <c r="E143" s="287"/>
      <c r="F143" s="288"/>
    </row>
    <row r="144" spans="1:6" s="273" customFormat="1" ht="14.1" customHeight="1">
      <c r="A144" s="264"/>
      <c r="B144" s="269"/>
      <c r="C144" s="250"/>
      <c r="D144" s="244"/>
      <c r="E144" s="287"/>
      <c r="F144" s="288"/>
    </row>
    <row r="145" spans="1:6" s="273" customFormat="1" ht="14.1" customHeight="1">
      <c r="A145" s="264"/>
      <c r="B145" s="265"/>
      <c r="C145" s="250"/>
      <c r="D145" s="244"/>
      <c r="E145" s="287"/>
      <c r="F145" s="288"/>
    </row>
    <row r="146" spans="1:6" s="273" customFormat="1" ht="14.1" customHeight="1">
      <c r="A146" s="264"/>
      <c r="B146" s="265"/>
      <c r="C146" s="250"/>
      <c r="D146" s="244"/>
      <c r="E146" s="287"/>
      <c r="F146" s="288"/>
    </row>
    <row r="147" spans="1:6" s="273" customFormat="1" ht="14.1" customHeight="1">
      <c r="A147" s="266"/>
      <c r="B147" s="244"/>
      <c r="C147" s="250"/>
      <c r="D147" s="244"/>
      <c r="E147" s="287"/>
      <c r="F147" s="288"/>
    </row>
    <row r="148" spans="1:6" s="273" customFormat="1" ht="14.1" customHeight="1">
      <c r="A148" s="264"/>
      <c r="B148" s="269"/>
      <c r="C148" s="250"/>
      <c r="D148" s="244"/>
      <c r="E148" s="287"/>
      <c r="F148" s="288"/>
    </row>
    <row r="149" spans="1:6" s="273" customFormat="1" ht="14.1" customHeight="1">
      <c r="A149" s="264"/>
      <c r="B149" s="269"/>
      <c r="C149" s="250"/>
      <c r="D149" s="244"/>
      <c r="E149" s="287"/>
      <c r="F149" s="288"/>
    </row>
    <row r="150" spans="1:6" s="273" customFormat="1" ht="14.1" customHeight="1">
      <c r="A150" s="264"/>
      <c r="B150" s="269"/>
      <c r="C150" s="250"/>
      <c r="D150" s="244"/>
      <c r="E150" s="287"/>
      <c r="F150" s="288"/>
    </row>
    <row r="151" spans="1:6" s="273" customFormat="1" ht="14.1" customHeight="1">
      <c r="A151" s="289"/>
      <c r="B151" s="290"/>
      <c r="C151" s="291"/>
      <c r="D151" s="292"/>
      <c r="E151" s="293"/>
      <c r="F151" s="294"/>
    </row>
    <row r="152" spans="1:6" s="273" customFormat="1" ht="14.1" customHeight="1">
      <c r="A152" s="264"/>
      <c r="B152" s="269"/>
      <c r="C152" s="250"/>
      <c r="D152" s="244"/>
      <c r="E152" s="287"/>
      <c r="F152" s="288"/>
    </row>
    <row r="153" spans="1:6" s="273" customFormat="1" ht="14.1" customHeight="1">
      <c r="A153" s="264"/>
      <c r="B153" s="269"/>
      <c r="C153" s="250"/>
      <c r="D153" s="244"/>
      <c r="E153" s="287"/>
      <c r="F153" s="288"/>
    </row>
    <row r="154" spans="1:6" s="273" customFormat="1" ht="14.1" customHeight="1">
      <c r="A154" s="264"/>
      <c r="B154" s="269"/>
      <c r="C154" s="250"/>
      <c r="D154" s="244"/>
      <c r="E154" s="287"/>
      <c r="F154" s="288"/>
    </row>
    <row r="155" spans="1:6" s="273" customFormat="1" ht="14.1" customHeight="1">
      <c r="A155" s="264"/>
      <c r="B155" s="265"/>
      <c r="C155" s="250"/>
      <c r="D155" s="244"/>
      <c r="E155" s="287"/>
      <c r="F155" s="288"/>
    </row>
    <row r="156" spans="1:6" s="273" customFormat="1" ht="14.1" customHeight="1">
      <c r="A156" s="264"/>
      <c r="B156" s="269"/>
      <c r="C156" s="250"/>
      <c r="D156" s="244"/>
      <c r="E156" s="287"/>
      <c r="F156" s="288"/>
    </row>
    <row r="157" spans="1:6" s="273" customFormat="1" ht="14.1" customHeight="1">
      <c r="A157" s="266"/>
      <c r="B157" s="270"/>
      <c r="C157" s="250"/>
      <c r="D157" s="244"/>
      <c r="E157" s="287"/>
      <c r="F157" s="288"/>
    </row>
    <row r="158" spans="1:6" s="273" customFormat="1" ht="14.1" customHeight="1">
      <c r="A158" s="264"/>
      <c r="B158" s="269"/>
      <c r="C158" s="250"/>
      <c r="D158" s="244"/>
      <c r="E158" s="287"/>
      <c r="F158" s="288"/>
    </row>
    <row r="159" spans="1:6" s="273" customFormat="1" ht="14.1" customHeight="1">
      <c r="A159" s="264"/>
      <c r="B159" s="269"/>
      <c r="C159" s="250"/>
      <c r="D159" s="244"/>
      <c r="E159" s="287"/>
      <c r="F159" s="288"/>
    </row>
    <row r="160" spans="1:6" s="273" customFormat="1" ht="14.1" customHeight="1">
      <c r="A160" s="264"/>
      <c r="B160" s="269"/>
      <c r="C160" s="250"/>
      <c r="D160" s="244"/>
      <c r="E160" s="287"/>
      <c r="F160" s="288"/>
    </row>
    <row r="161" spans="1:6" s="273" customFormat="1" ht="14.1" customHeight="1">
      <c r="A161" s="266"/>
      <c r="B161" s="270"/>
      <c r="C161" s="250"/>
      <c r="D161" s="244"/>
      <c r="E161" s="287"/>
      <c r="F161" s="288"/>
    </row>
    <row r="162" spans="1:6" s="273" customFormat="1" ht="14.1" customHeight="1">
      <c r="A162" s="266"/>
      <c r="B162" s="270"/>
      <c r="C162" s="250"/>
      <c r="D162" s="244"/>
      <c r="E162" s="287"/>
      <c r="F162" s="288"/>
    </row>
    <row r="163" spans="1:6" s="273" customFormat="1" ht="14.1" customHeight="1">
      <c r="A163" s="266"/>
      <c r="B163" s="270"/>
      <c r="C163" s="250"/>
      <c r="D163" s="244"/>
      <c r="E163" s="287"/>
      <c r="F163" s="288"/>
    </row>
    <row r="164" spans="1:6" s="273" customFormat="1" ht="14.1" customHeight="1">
      <c r="A164" s="266"/>
      <c r="B164" s="270"/>
      <c r="C164" s="250"/>
      <c r="D164" s="244"/>
      <c r="E164" s="287"/>
      <c r="F164" s="288"/>
    </row>
    <row r="165" spans="1:6" s="273" customFormat="1" ht="14.1" customHeight="1">
      <c r="A165" s="264"/>
      <c r="B165" s="269"/>
      <c r="C165" s="250"/>
      <c r="D165" s="244"/>
      <c r="E165" s="287"/>
      <c r="F165" s="288"/>
    </row>
    <row r="166" spans="1:6" s="273" customFormat="1" ht="14.1" customHeight="1">
      <c r="A166" s="264"/>
      <c r="B166" s="269"/>
      <c r="C166" s="250"/>
      <c r="D166" s="244"/>
      <c r="E166" s="287"/>
      <c r="F166" s="288"/>
    </row>
    <row r="167" spans="1:6" s="273" customFormat="1" ht="14.1" customHeight="1">
      <c r="A167" s="264"/>
      <c r="B167" s="265"/>
      <c r="C167" s="250"/>
      <c r="D167" s="244"/>
      <c r="E167" s="287"/>
      <c r="F167" s="288"/>
    </row>
    <row r="168" spans="1:6" s="273" customFormat="1" ht="14.1" customHeight="1">
      <c r="A168" s="264"/>
      <c r="B168" s="265"/>
      <c r="C168" s="250"/>
      <c r="D168" s="244"/>
      <c r="E168" s="287"/>
      <c r="F168" s="288"/>
    </row>
    <row r="169" spans="1:6" s="273" customFormat="1" ht="14.1" customHeight="1">
      <c r="A169" s="264"/>
      <c r="B169" s="265"/>
      <c r="C169" s="250"/>
      <c r="D169" s="244"/>
      <c r="E169" s="287"/>
      <c r="F169" s="288"/>
    </row>
    <row r="170" spans="1:6" s="273" customFormat="1" ht="14.1" customHeight="1">
      <c r="A170" s="295"/>
      <c r="B170" s="297"/>
      <c r="C170" s="291"/>
      <c r="D170" s="292"/>
      <c r="E170" s="293"/>
      <c r="F170" s="294"/>
    </row>
    <row r="171" spans="1:6" s="273" customFormat="1" ht="14.1" customHeight="1">
      <c r="A171" s="289"/>
      <c r="B171" s="290"/>
      <c r="C171" s="291"/>
      <c r="D171" s="292"/>
      <c r="E171" s="293"/>
      <c r="F171" s="294"/>
    </row>
    <row r="172" spans="1:6" s="273" customFormat="1" ht="14.1" customHeight="1">
      <c r="A172" s="264"/>
      <c r="B172" s="269"/>
      <c r="C172" s="250"/>
      <c r="D172" s="244"/>
      <c r="E172" s="287"/>
      <c r="F172" s="288"/>
    </row>
    <row r="173" spans="1:6" s="273" customFormat="1" ht="14.1" customHeight="1">
      <c r="A173" s="264"/>
      <c r="B173" s="269"/>
      <c r="C173" s="250"/>
      <c r="D173" s="244"/>
      <c r="E173" s="287"/>
      <c r="F173" s="288"/>
    </row>
    <row r="174" spans="1:6" s="273" customFormat="1" ht="14.1" customHeight="1">
      <c r="A174" s="264"/>
      <c r="B174" s="269"/>
      <c r="C174" s="250"/>
      <c r="D174" s="244"/>
      <c r="E174" s="287"/>
      <c r="F174" s="288"/>
    </row>
    <row r="175" spans="1:6" s="273" customFormat="1" ht="14.1" customHeight="1">
      <c r="A175" s="264"/>
      <c r="B175" s="269"/>
      <c r="C175" s="250"/>
      <c r="D175" s="244"/>
      <c r="E175" s="287"/>
      <c r="F175" s="288"/>
    </row>
    <row r="176" spans="1:6" s="273" customFormat="1" ht="14.1" customHeight="1">
      <c r="A176" s="264"/>
      <c r="B176" s="269"/>
      <c r="C176" s="250"/>
      <c r="D176" s="244"/>
      <c r="E176" s="287"/>
      <c r="F176" s="288"/>
    </row>
    <row r="177" spans="1:6" s="273" customFormat="1" ht="14.1" customHeight="1">
      <c r="A177" s="264"/>
      <c r="B177" s="269"/>
      <c r="C177" s="250"/>
      <c r="D177" s="244"/>
      <c r="E177" s="287"/>
      <c r="F177" s="288"/>
    </row>
    <row r="178" spans="1:6" s="273" customFormat="1" ht="14.1" customHeight="1">
      <c r="A178" s="264"/>
      <c r="B178" s="269"/>
      <c r="C178" s="250"/>
      <c r="D178" s="244"/>
      <c r="E178" s="287"/>
      <c r="F178" s="288"/>
    </row>
    <row r="179" spans="1:6" s="273" customFormat="1" ht="14.1" customHeight="1">
      <c r="A179" s="264"/>
      <c r="B179" s="269"/>
      <c r="C179" s="250"/>
      <c r="D179" s="244"/>
      <c r="E179" s="287"/>
      <c r="F179" s="288"/>
    </row>
    <row r="180" spans="1:6" s="273" customFormat="1" ht="14.1" customHeight="1">
      <c r="A180" s="264"/>
      <c r="B180" s="269"/>
      <c r="C180" s="250"/>
      <c r="D180" s="244"/>
      <c r="E180" s="287"/>
      <c r="F180" s="288"/>
    </row>
    <row r="181" spans="1:6" s="273" customFormat="1" ht="14.1" customHeight="1">
      <c r="A181" s="264"/>
      <c r="B181" s="269"/>
      <c r="C181" s="250"/>
      <c r="D181" s="244"/>
      <c r="E181" s="287"/>
      <c r="F181" s="288"/>
    </row>
    <row r="182" spans="1:6" s="273" customFormat="1" ht="14.1" customHeight="1">
      <c r="A182" s="264"/>
      <c r="B182" s="269"/>
      <c r="C182" s="250"/>
      <c r="D182" s="244"/>
      <c r="E182" s="287"/>
      <c r="F182" s="288"/>
    </row>
    <row r="183" spans="1:6" s="273" customFormat="1" ht="14.1" customHeight="1">
      <c r="A183" s="267"/>
      <c r="B183" s="268"/>
      <c r="C183" s="250"/>
      <c r="D183" s="244"/>
      <c r="E183" s="287"/>
      <c r="F183" s="288"/>
    </row>
    <row r="184" spans="1:6" s="273" customFormat="1" ht="14.1" customHeight="1">
      <c r="A184" s="264"/>
      <c r="B184" s="269"/>
      <c r="C184" s="250"/>
      <c r="D184" s="269"/>
      <c r="E184" s="287"/>
      <c r="F184" s="288"/>
    </row>
    <row r="185" spans="1:6" s="273" customFormat="1" ht="14.1" customHeight="1">
      <c r="A185" s="271"/>
      <c r="B185" s="270"/>
      <c r="C185" s="250"/>
      <c r="D185" s="244"/>
      <c r="E185" s="287"/>
      <c r="F185" s="288"/>
    </row>
    <row r="186" spans="1:6" s="273" customFormat="1" ht="14.1" customHeight="1">
      <c r="A186" s="250"/>
      <c r="B186" s="244"/>
      <c r="C186" s="250"/>
      <c r="D186" s="244"/>
      <c r="E186" s="287"/>
      <c r="F186" s="288"/>
    </row>
    <row r="187" spans="1:6" s="273" customFormat="1" ht="14.1" customHeight="1">
      <c r="A187" s="250"/>
      <c r="B187" s="244"/>
      <c r="C187" s="250"/>
      <c r="D187" s="244"/>
      <c r="E187" s="287"/>
      <c r="F187" s="288"/>
    </row>
    <row r="188" spans="1:6" s="273" customFormat="1" ht="14.1" customHeight="1">
      <c r="A188" s="250"/>
      <c r="B188" s="244"/>
      <c r="C188" s="250"/>
      <c r="D188" s="244"/>
      <c r="E188" s="287"/>
      <c r="F188" s="288"/>
    </row>
    <row r="189" spans="1:6" s="273" customFormat="1" ht="14.1" customHeight="1">
      <c r="A189" s="250"/>
      <c r="B189" s="244"/>
      <c r="C189" s="250"/>
      <c r="D189" s="244"/>
      <c r="E189" s="287"/>
      <c r="F189" s="288"/>
    </row>
    <row r="190" spans="1:6" s="273" customFormat="1" ht="14.1" customHeight="1">
      <c r="A190" s="289"/>
      <c r="B190" s="290"/>
      <c r="C190" s="291"/>
      <c r="D190" s="292"/>
      <c r="E190" s="293"/>
      <c r="F190" s="294"/>
    </row>
    <row r="191" spans="1:6" s="273" customFormat="1" ht="14.1" customHeight="1">
      <c r="A191" s="289"/>
      <c r="B191" s="290"/>
      <c r="C191" s="291"/>
      <c r="D191" s="292"/>
      <c r="E191" s="293"/>
      <c r="F191" s="294"/>
    </row>
    <row r="192" spans="1:6" s="273" customFormat="1" ht="14.1" customHeight="1">
      <c r="A192" s="289"/>
      <c r="B192" s="290"/>
      <c r="C192" s="291"/>
      <c r="D192" s="292"/>
      <c r="E192" s="293"/>
      <c r="F192" s="294"/>
    </row>
    <row r="193" spans="1:6" s="273" customFormat="1" ht="14.1" customHeight="1">
      <c r="A193" s="289"/>
      <c r="B193" s="290"/>
      <c r="C193" s="291"/>
      <c r="D193" s="292"/>
      <c r="E193" s="293"/>
      <c r="F193" s="294"/>
    </row>
    <row r="194" spans="1:6" s="273" customFormat="1" ht="14.1" customHeight="1">
      <c r="A194" s="289"/>
      <c r="B194" s="290"/>
      <c r="C194" s="291"/>
      <c r="D194" s="292"/>
      <c r="E194" s="293"/>
      <c r="F194" s="294"/>
    </row>
    <row r="195" spans="1:6" s="273" customFormat="1" ht="14.1" customHeight="1">
      <c r="A195" s="289"/>
      <c r="B195" s="290"/>
      <c r="C195" s="291"/>
      <c r="D195" s="292"/>
      <c r="E195" s="293"/>
      <c r="F195" s="294"/>
    </row>
    <row r="196" spans="1:6" s="273" customFormat="1" ht="14.1" customHeight="1">
      <c r="A196" s="289"/>
      <c r="B196" s="290"/>
      <c r="C196" s="291"/>
      <c r="D196" s="292"/>
      <c r="E196" s="293"/>
      <c r="F196" s="294"/>
    </row>
    <row r="197" spans="1:6" s="273" customFormat="1" ht="14.1" customHeight="1">
      <c r="A197" s="289"/>
      <c r="B197" s="290"/>
      <c r="C197" s="291"/>
      <c r="D197" s="292"/>
      <c r="E197" s="293"/>
      <c r="F197" s="294"/>
    </row>
    <row r="198" spans="1:6" s="273" customFormat="1" ht="14.1" customHeight="1">
      <c r="A198" s="289"/>
      <c r="B198" s="290"/>
      <c r="C198" s="291"/>
      <c r="D198" s="292"/>
      <c r="E198" s="293"/>
      <c r="F198" s="294"/>
    </row>
    <row r="199" spans="1:6" s="273" customFormat="1" ht="14.1" customHeight="1">
      <c r="A199" s="264"/>
      <c r="B199" s="269"/>
      <c r="C199" s="250"/>
      <c r="D199" s="244"/>
      <c r="E199" s="287"/>
      <c r="F199" s="288"/>
    </row>
    <row r="200" spans="1:6" s="273" customFormat="1" ht="14.1" customHeight="1">
      <c r="A200" s="264"/>
      <c r="B200" s="269"/>
      <c r="C200" s="250"/>
      <c r="D200" s="244"/>
      <c r="E200" s="287"/>
      <c r="F200" s="288"/>
    </row>
    <row r="201" spans="1:6" s="273" customFormat="1" ht="14.1" customHeight="1">
      <c r="A201" s="264"/>
      <c r="B201" s="269"/>
      <c r="C201" s="250"/>
      <c r="D201" s="244"/>
      <c r="E201" s="287"/>
      <c r="F201" s="288"/>
    </row>
    <row r="202" spans="1:6" s="273" customFormat="1" ht="14.1" customHeight="1">
      <c r="A202" s="264"/>
      <c r="B202" s="269"/>
      <c r="C202" s="250"/>
      <c r="D202" s="244"/>
      <c r="E202" s="287"/>
      <c r="F202" s="288"/>
    </row>
    <row r="203" spans="1:6" s="273" customFormat="1" ht="14.1" customHeight="1">
      <c r="A203" s="264"/>
      <c r="B203" s="269"/>
      <c r="C203" s="250"/>
      <c r="D203" s="244"/>
      <c r="E203" s="287"/>
      <c r="F203" s="288"/>
    </row>
    <row r="204" spans="1:6" s="273" customFormat="1" ht="14.1" customHeight="1">
      <c r="A204" s="264"/>
      <c r="B204" s="269"/>
      <c r="C204" s="250"/>
      <c r="D204" s="244"/>
      <c r="E204" s="287"/>
      <c r="F204" s="288"/>
    </row>
    <row r="205" spans="1:6" s="273" customFormat="1" ht="14.1" customHeight="1">
      <c r="A205" s="264"/>
      <c r="B205" s="269"/>
      <c r="C205" s="250"/>
      <c r="D205" s="244"/>
      <c r="E205" s="287"/>
      <c r="F205" s="288"/>
    </row>
    <row r="206" spans="1:6" s="273" customFormat="1" ht="14.1" customHeight="1">
      <c r="A206" s="264"/>
      <c r="B206" s="269"/>
      <c r="C206" s="250"/>
      <c r="D206" s="244"/>
      <c r="E206" s="287"/>
      <c r="F206" s="288"/>
    </row>
    <row r="207" spans="1:6" s="273" customFormat="1" ht="14.1" customHeight="1">
      <c r="A207" s="264"/>
      <c r="B207" s="269"/>
      <c r="C207" s="250"/>
      <c r="D207" s="244"/>
      <c r="E207" s="287"/>
      <c r="F207" s="288"/>
    </row>
    <row r="208" spans="1:6" s="273" customFormat="1" ht="14.1" customHeight="1">
      <c r="A208" s="264"/>
      <c r="B208" s="269"/>
      <c r="C208" s="250"/>
      <c r="D208" s="244"/>
      <c r="E208" s="287"/>
      <c r="F208" s="288"/>
    </row>
    <row r="209" spans="1:6" s="273" customFormat="1" ht="14.1" customHeight="1">
      <c r="A209" s="264"/>
      <c r="B209" s="269"/>
      <c r="C209" s="250"/>
      <c r="D209" s="244"/>
      <c r="E209" s="287"/>
      <c r="F209" s="288"/>
    </row>
    <row r="210" spans="1:6" s="273" customFormat="1" ht="14.1" customHeight="1">
      <c r="A210" s="264"/>
      <c r="B210" s="269"/>
      <c r="C210" s="250"/>
      <c r="D210" s="244"/>
      <c r="E210" s="287"/>
      <c r="F210" s="288"/>
    </row>
    <row r="211" spans="1:6" s="273" customFormat="1" ht="14.1" customHeight="1">
      <c r="A211" s="264"/>
      <c r="B211" s="269"/>
      <c r="C211" s="250"/>
      <c r="D211" s="244"/>
      <c r="E211" s="287"/>
      <c r="F211" s="288"/>
    </row>
    <row r="212" spans="1:6" s="273" customFormat="1" ht="14.1" customHeight="1">
      <c r="A212" s="264"/>
      <c r="B212" s="269"/>
      <c r="C212" s="250"/>
      <c r="D212" s="244"/>
      <c r="E212" s="287"/>
      <c r="F212" s="288"/>
    </row>
    <row r="213" spans="1:6" s="273" customFormat="1" ht="14.1" customHeight="1">
      <c r="A213" s="264"/>
      <c r="B213" s="269"/>
      <c r="C213" s="250"/>
      <c r="D213" s="244"/>
      <c r="E213" s="287"/>
      <c r="F213" s="288"/>
    </row>
    <row r="214" spans="1:6" s="273" customFormat="1" ht="14.1" customHeight="1">
      <c r="A214" s="264"/>
      <c r="B214" s="269"/>
      <c r="C214" s="250"/>
      <c r="D214" s="244"/>
      <c r="E214" s="287"/>
      <c r="F214" s="288"/>
    </row>
    <row r="215" spans="1:6" s="273" customFormat="1" ht="14.1" customHeight="1">
      <c r="A215" s="264"/>
      <c r="B215" s="269"/>
      <c r="C215" s="250"/>
      <c r="D215" s="244"/>
      <c r="E215" s="287"/>
      <c r="F215" s="288"/>
    </row>
    <row r="216" spans="1:6" s="273" customFormat="1" ht="14.1" customHeight="1">
      <c r="A216" s="264"/>
      <c r="B216" s="265"/>
      <c r="C216" s="250"/>
      <c r="D216" s="244"/>
      <c r="E216" s="287"/>
      <c r="F216" s="288"/>
    </row>
    <row r="217" spans="1:6" s="273" customFormat="1" ht="14.1" customHeight="1">
      <c r="A217" s="264"/>
      <c r="B217" s="269"/>
      <c r="C217" s="250"/>
      <c r="D217" s="244"/>
      <c r="E217" s="287"/>
      <c r="F217" s="288"/>
    </row>
    <row r="218" spans="1:6" s="273" customFormat="1" ht="14.1" customHeight="1">
      <c r="A218" s="264"/>
      <c r="B218" s="269"/>
      <c r="C218" s="250"/>
      <c r="D218" s="244"/>
      <c r="E218" s="287"/>
      <c r="F218" s="288"/>
    </row>
    <row r="219" spans="1:6" s="273" customFormat="1" ht="14.1" customHeight="1">
      <c r="A219" s="264"/>
      <c r="B219" s="265"/>
      <c r="C219" s="250"/>
      <c r="D219" s="244"/>
      <c r="E219" s="287"/>
      <c r="F219" s="288"/>
    </row>
    <row r="220" spans="1:6" s="273" customFormat="1" ht="14.1" customHeight="1">
      <c r="A220" s="264"/>
      <c r="B220" s="269"/>
      <c r="C220" s="250"/>
      <c r="D220" s="244"/>
      <c r="E220" s="287"/>
      <c r="F220" s="288"/>
    </row>
    <row r="221" spans="1:6" s="273" customFormat="1" ht="14.1" customHeight="1">
      <c r="A221" s="264"/>
      <c r="B221" s="269"/>
      <c r="C221" s="250"/>
      <c r="D221" s="244"/>
      <c r="E221" s="287"/>
      <c r="F221" s="288"/>
    </row>
    <row r="222" spans="1:6" s="273" customFormat="1" ht="14.1" customHeight="1">
      <c r="A222" s="250"/>
      <c r="B222" s="244"/>
      <c r="C222" s="250"/>
      <c r="D222" s="253"/>
      <c r="E222" s="287"/>
      <c r="F222" s="299"/>
    </row>
    <row r="223" spans="1:6" s="273" customFormat="1" ht="14.1" customHeight="1">
      <c r="A223" s="250"/>
      <c r="B223" s="244"/>
      <c r="C223" s="250"/>
      <c r="D223" s="253"/>
      <c r="E223" s="287"/>
      <c r="F223" s="299"/>
    </row>
    <row r="224" spans="1:6" s="273" customFormat="1" ht="14.1" customHeight="1">
      <c r="A224" s="250"/>
      <c r="B224" s="244"/>
      <c r="C224" s="250"/>
      <c r="D224" s="253"/>
      <c r="E224" s="287"/>
      <c r="F224" s="299"/>
    </row>
    <row r="225" spans="1:6" s="273" customFormat="1" ht="14.1" customHeight="1">
      <c r="A225" s="250"/>
      <c r="B225" s="244"/>
      <c r="C225" s="250"/>
      <c r="D225" s="253"/>
      <c r="E225" s="287"/>
      <c r="F225" s="299"/>
    </row>
    <row r="226" spans="1:6" s="273" customFormat="1" ht="14.1" customHeight="1">
      <c r="A226" s="250"/>
      <c r="B226" s="244"/>
      <c r="C226" s="250"/>
      <c r="D226" s="253"/>
      <c r="E226" s="287"/>
      <c r="F226" s="299"/>
    </row>
    <row r="227" spans="1:6" s="273" customFormat="1" ht="14.1" customHeight="1">
      <c r="A227" s="250"/>
      <c r="B227" s="244"/>
      <c r="C227" s="250"/>
      <c r="D227" s="244"/>
      <c r="E227" s="287"/>
      <c r="F227" s="299"/>
    </row>
    <row r="228" spans="1:6" s="273" customFormat="1" ht="14.1" customHeight="1">
      <c r="A228" s="250"/>
      <c r="B228" s="244"/>
      <c r="C228" s="250"/>
      <c r="D228" s="244"/>
      <c r="E228" s="287"/>
      <c r="F228" s="299"/>
    </row>
    <row r="229" spans="1:6" s="273" customFormat="1" ht="14.1" customHeight="1">
      <c r="A229" s="250"/>
      <c r="B229" s="244"/>
      <c r="C229" s="250"/>
      <c r="D229" s="244"/>
      <c r="E229" s="287"/>
      <c r="F229" s="299"/>
    </row>
    <row r="230" spans="1:6" s="273" customFormat="1" ht="14.1" customHeight="1">
      <c r="A230" s="250"/>
      <c r="B230" s="244"/>
      <c r="C230" s="250"/>
      <c r="D230" s="244"/>
      <c r="E230" s="287"/>
      <c r="F230" s="299"/>
    </row>
    <row r="231" spans="1:6" s="273" customFormat="1" ht="14.1" customHeight="1">
      <c r="A231" s="250"/>
      <c r="B231" s="244"/>
      <c r="C231" s="250"/>
      <c r="D231" s="244"/>
      <c r="E231" s="287"/>
      <c r="F231" s="299"/>
    </row>
    <row r="232" spans="1:6" s="273" customFormat="1" ht="14.1" customHeight="1">
      <c r="A232" s="250"/>
      <c r="B232" s="244"/>
      <c r="C232" s="250"/>
      <c r="D232" s="244"/>
      <c r="E232" s="287"/>
      <c r="F232" s="299"/>
    </row>
    <row r="233" spans="1:6" s="273" customFormat="1" ht="14.1" customHeight="1">
      <c r="A233" s="250"/>
      <c r="B233" s="244"/>
      <c r="C233" s="250"/>
      <c r="D233" s="244"/>
      <c r="E233" s="287"/>
      <c r="F233" s="299"/>
    </row>
    <row r="234" spans="1:6" s="273" customFormat="1" ht="14.1" customHeight="1">
      <c r="A234" s="250"/>
      <c r="B234" s="244"/>
      <c r="C234" s="250"/>
      <c r="D234" s="244"/>
      <c r="E234" s="287"/>
      <c r="F234" s="299"/>
    </row>
    <row r="235" spans="1:6" s="273" customFormat="1" ht="14.1" customHeight="1">
      <c r="A235" s="250"/>
      <c r="B235" s="244"/>
      <c r="C235" s="250"/>
      <c r="D235" s="244"/>
      <c r="E235" s="287"/>
      <c r="F235" s="299"/>
    </row>
    <row r="236" spans="1:6" s="273" customFormat="1" ht="14.1" customHeight="1">
      <c r="A236" s="250"/>
      <c r="B236" s="244"/>
      <c r="C236" s="250"/>
      <c r="D236" s="244"/>
      <c r="E236" s="287"/>
      <c r="F236" s="299"/>
    </row>
    <row r="237" spans="1:6" s="273" customFormat="1" ht="14.1" customHeight="1">
      <c r="A237" s="250"/>
      <c r="B237" s="244"/>
      <c r="C237" s="250"/>
      <c r="D237" s="244"/>
      <c r="E237" s="287"/>
      <c r="F237" s="299"/>
    </row>
    <row r="238" spans="1:6" s="273" customFormat="1" ht="14.1" customHeight="1">
      <c r="A238" s="250"/>
      <c r="B238" s="244"/>
      <c r="C238" s="250"/>
      <c r="D238" s="244"/>
      <c r="E238" s="287"/>
      <c r="F238" s="299"/>
    </row>
    <row r="239" spans="1:6" s="273" customFormat="1" ht="14.1" customHeight="1">
      <c r="A239" s="250"/>
      <c r="B239" s="244"/>
      <c r="C239" s="250"/>
      <c r="D239" s="244"/>
      <c r="E239" s="287"/>
      <c r="F239" s="299"/>
    </row>
    <row r="240" spans="1:6" s="273" customFormat="1" ht="14.1" customHeight="1">
      <c r="A240" s="250"/>
      <c r="B240" s="244"/>
      <c r="C240" s="250"/>
      <c r="D240" s="244"/>
      <c r="E240" s="287"/>
      <c r="F240" s="299"/>
    </row>
    <row r="241" spans="1:6" s="273" customFormat="1" ht="14.1" customHeight="1">
      <c r="A241" s="250"/>
      <c r="B241" s="244"/>
      <c r="C241" s="250"/>
      <c r="D241" s="244"/>
      <c r="E241" s="287"/>
      <c r="F241" s="299"/>
    </row>
    <row r="242" spans="1:6" s="273" customFormat="1" ht="14.1" customHeight="1">
      <c r="A242" s="250"/>
      <c r="B242" s="244"/>
      <c r="C242" s="250"/>
      <c r="D242" s="244"/>
      <c r="E242" s="287"/>
      <c r="F242" s="299"/>
    </row>
    <row r="243" spans="1:6" s="273" customFormat="1" ht="14.1" customHeight="1">
      <c r="A243" s="250"/>
      <c r="B243" s="244"/>
      <c r="C243" s="250"/>
      <c r="D243" s="244"/>
      <c r="E243" s="287"/>
      <c r="F243" s="299"/>
    </row>
    <row r="244" spans="1:6" s="273" customFormat="1" ht="14.1" customHeight="1">
      <c r="A244" s="250"/>
      <c r="B244" s="244"/>
      <c r="C244" s="250"/>
      <c r="D244" s="244"/>
      <c r="E244" s="287"/>
      <c r="F244" s="299"/>
    </row>
    <row r="245" spans="1:6" s="273" customFormat="1" ht="14.1" customHeight="1">
      <c r="A245" s="250"/>
      <c r="B245" s="244"/>
      <c r="C245" s="250"/>
      <c r="D245" s="244"/>
      <c r="E245" s="287"/>
      <c r="F245" s="299"/>
    </row>
    <row r="246" spans="1:6" s="273" customFormat="1" ht="14.1" customHeight="1">
      <c r="A246" s="250"/>
      <c r="B246" s="244"/>
      <c r="C246" s="250"/>
      <c r="D246" s="244"/>
      <c r="E246" s="287"/>
      <c r="F246" s="299"/>
    </row>
    <row r="247" spans="1:6" s="273" customFormat="1" ht="14.1" customHeight="1">
      <c r="A247" s="250"/>
      <c r="B247" s="244"/>
      <c r="C247" s="250"/>
      <c r="D247" s="244"/>
      <c r="E247" s="287"/>
      <c r="F247" s="299"/>
    </row>
    <row r="248" spans="1:6" s="273" customFormat="1" ht="14.1" customHeight="1">
      <c r="A248" s="250"/>
      <c r="B248" s="244"/>
      <c r="C248" s="250"/>
      <c r="D248" s="244"/>
      <c r="E248" s="287"/>
      <c r="F248" s="299"/>
    </row>
    <row r="249" spans="1:6" s="273" customFormat="1" ht="14.1" customHeight="1">
      <c r="A249" s="250"/>
      <c r="B249" s="244"/>
      <c r="C249" s="250"/>
      <c r="D249" s="244"/>
      <c r="E249" s="287"/>
      <c r="F249" s="299"/>
    </row>
    <row r="250" spans="1:6" s="273" customFormat="1" ht="14.1" customHeight="1">
      <c r="A250" s="250"/>
      <c r="B250" s="244"/>
      <c r="C250" s="250"/>
      <c r="D250" s="244"/>
      <c r="E250" s="287"/>
      <c r="F250" s="299"/>
    </row>
    <row r="251" spans="1:6" s="273" customFormat="1" ht="14.1" customHeight="1">
      <c r="A251" s="250"/>
      <c r="B251" s="244"/>
      <c r="C251" s="250"/>
      <c r="D251" s="244"/>
      <c r="E251" s="287"/>
      <c r="F251" s="299"/>
    </row>
    <row r="252" spans="1:6" s="273" customFormat="1" ht="14.1" customHeight="1">
      <c r="A252" s="250"/>
      <c r="B252" s="244"/>
      <c r="C252" s="250"/>
      <c r="D252" s="253"/>
      <c r="E252" s="287"/>
      <c r="F252" s="299"/>
    </row>
    <row r="253" spans="1:6" s="273" customFormat="1" ht="14.1" customHeight="1">
      <c r="A253" s="250"/>
      <c r="B253" s="244"/>
      <c r="C253" s="250"/>
      <c r="D253" s="253"/>
      <c r="E253" s="287"/>
      <c r="F253" s="299"/>
    </row>
    <row r="254" spans="1:6" s="273" customFormat="1" ht="14.1" customHeight="1">
      <c r="A254" s="250"/>
      <c r="B254" s="244"/>
      <c r="C254" s="250"/>
      <c r="D254" s="253"/>
      <c r="E254" s="287"/>
      <c r="F254" s="299"/>
    </row>
    <row r="255" spans="1:6" s="273" customFormat="1" ht="14.1" customHeight="1">
      <c r="A255" s="250"/>
      <c r="B255" s="244"/>
      <c r="C255" s="250"/>
      <c r="D255" s="253"/>
      <c r="E255" s="287"/>
      <c r="F255" s="299"/>
    </row>
    <row r="256" spans="1:6" s="273" customFormat="1" ht="14.1" customHeight="1">
      <c r="A256" s="250"/>
      <c r="B256" s="244"/>
      <c r="C256" s="250"/>
      <c r="D256" s="253"/>
      <c r="E256" s="287"/>
      <c r="F256" s="299"/>
    </row>
    <row r="257" spans="1:6" s="273" customFormat="1" ht="14.1" customHeight="1">
      <c r="A257" s="250"/>
      <c r="B257" s="244"/>
      <c r="C257" s="250"/>
      <c r="D257" s="253"/>
      <c r="E257" s="287"/>
      <c r="F257" s="299"/>
    </row>
    <row r="258" spans="1:6" s="273" customFormat="1" ht="14.1" customHeight="1">
      <c r="A258" s="250"/>
      <c r="B258" s="244"/>
      <c r="C258" s="250"/>
      <c r="D258" s="244"/>
      <c r="E258" s="287"/>
      <c r="F258" s="299"/>
    </row>
    <row r="259" spans="1:6" s="273" customFormat="1" ht="14.1" customHeight="1">
      <c r="A259" s="250"/>
      <c r="B259" s="244"/>
      <c r="C259" s="250"/>
      <c r="D259" s="253"/>
      <c r="E259" s="287"/>
      <c r="F259" s="299"/>
    </row>
    <row r="260" spans="1:6" s="273" customFormat="1" ht="14.1" customHeight="1">
      <c r="A260" s="250"/>
      <c r="B260" s="244"/>
      <c r="C260" s="250"/>
      <c r="D260" s="253"/>
      <c r="E260" s="287"/>
      <c r="F260" s="299"/>
    </row>
    <row r="261" spans="1:6" s="273" customFormat="1" ht="14.1" customHeight="1">
      <c r="A261" s="250"/>
      <c r="B261" s="244"/>
      <c r="C261" s="250"/>
      <c r="D261" s="253"/>
      <c r="E261" s="287"/>
      <c r="F261" s="299"/>
    </row>
    <row r="262" spans="1:6" s="273" customFormat="1" ht="14.1" customHeight="1">
      <c r="A262" s="250"/>
      <c r="B262" s="244"/>
      <c r="C262" s="250"/>
      <c r="D262" s="253"/>
      <c r="E262" s="287"/>
      <c r="F262" s="299"/>
    </row>
    <row r="263" spans="1:6" s="273" customFormat="1" ht="14.1" customHeight="1">
      <c r="A263" s="250"/>
      <c r="B263" s="244"/>
      <c r="C263" s="250"/>
      <c r="D263" s="253"/>
      <c r="E263" s="287"/>
      <c r="F263" s="299"/>
    </row>
    <row r="264" spans="1:6" s="273" customFormat="1" ht="14.1" customHeight="1">
      <c r="A264" s="250"/>
      <c r="B264" s="244"/>
      <c r="C264" s="250"/>
      <c r="D264" s="253"/>
      <c r="E264" s="287"/>
      <c r="F264" s="299"/>
    </row>
    <row r="265" spans="1:6" s="273" customFormat="1" ht="14.1" customHeight="1">
      <c r="A265" s="250"/>
      <c r="B265" s="244"/>
      <c r="C265" s="250"/>
      <c r="D265" s="253"/>
      <c r="E265" s="287"/>
      <c r="F265" s="299"/>
    </row>
    <row r="266" spans="1:6" s="273" customFormat="1" ht="14.1" customHeight="1">
      <c r="A266" s="250"/>
      <c r="B266" s="244"/>
      <c r="C266" s="250"/>
      <c r="D266" s="253"/>
      <c r="E266" s="287"/>
      <c r="F266" s="299"/>
    </row>
    <row r="267" spans="1:6" s="273" customFormat="1" ht="14.1" customHeight="1">
      <c r="A267" s="250"/>
      <c r="B267" s="244"/>
      <c r="C267" s="250"/>
      <c r="D267" s="253"/>
      <c r="E267" s="287"/>
      <c r="F267" s="299"/>
    </row>
    <row r="268" spans="1:6" s="273" customFormat="1" ht="14.1" customHeight="1">
      <c r="A268" s="250"/>
      <c r="B268" s="244"/>
      <c r="C268" s="250"/>
      <c r="D268" s="253"/>
      <c r="E268" s="287"/>
      <c r="F268" s="299"/>
    </row>
    <row r="269" spans="1:6" s="273" customFormat="1" ht="14.1" customHeight="1">
      <c r="A269" s="250"/>
      <c r="B269" s="244"/>
      <c r="C269" s="250"/>
      <c r="D269" s="244"/>
      <c r="E269" s="300"/>
      <c r="F269" s="301"/>
    </row>
    <row r="270" spans="1:6" s="273" customFormat="1" ht="14.1" customHeight="1">
      <c r="A270" s="250"/>
      <c r="B270" s="244"/>
      <c r="C270" s="250"/>
      <c r="D270" s="244"/>
      <c r="E270" s="300"/>
      <c r="F270" s="301"/>
    </row>
    <row r="271" spans="1:6" s="273" customFormat="1" ht="14.1" customHeight="1">
      <c r="A271" s="250"/>
      <c r="B271" s="244"/>
      <c r="C271" s="250"/>
      <c r="D271" s="244"/>
      <c r="E271" s="300"/>
      <c r="F271" s="301"/>
    </row>
    <row r="272" spans="1:6" s="273" customFormat="1" ht="14.1" customHeight="1">
      <c r="A272" s="250"/>
      <c r="B272" s="244"/>
      <c r="C272" s="250"/>
      <c r="D272" s="244"/>
      <c r="E272" s="300"/>
      <c r="F272" s="301"/>
    </row>
    <row r="273" spans="1:6" s="273" customFormat="1" ht="14.1" customHeight="1">
      <c r="A273" s="250"/>
      <c r="B273" s="244"/>
      <c r="C273" s="250"/>
      <c r="D273" s="244"/>
      <c r="E273" s="300"/>
      <c r="F273" s="301"/>
    </row>
    <row r="274" spans="1:6" s="273" customFormat="1" ht="14.1" customHeight="1">
      <c r="A274" s="250"/>
      <c r="B274" s="244"/>
      <c r="C274" s="250"/>
      <c r="D274" s="244"/>
      <c r="E274" s="300"/>
      <c r="F274" s="301"/>
    </row>
    <row r="275" spans="1:6" s="273" customFormat="1" ht="14.1" customHeight="1">
      <c r="A275" s="250"/>
      <c r="B275" s="244"/>
      <c r="C275" s="250"/>
      <c r="D275" s="244"/>
      <c r="E275" s="300"/>
      <c r="F275" s="301"/>
    </row>
    <row r="276" spans="1:6" s="273" customFormat="1" ht="14.1" customHeight="1">
      <c r="A276" s="250"/>
      <c r="B276" s="244"/>
      <c r="C276" s="250"/>
      <c r="D276" s="244"/>
      <c r="E276" s="300"/>
      <c r="F276" s="301"/>
    </row>
    <row r="277" spans="1:6" s="273" customFormat="1" ht="14.1" customHeight="1">
      <c r="A277" s="250"/>
      <c r="B277" s="244"/>
      <c r="C277" s="250"/>
      <c r="D277" s="244"/>
      <c r="E277" s="300"/>
      <c r="F277" s="301"/>
    </row>
    <row r="278" spans="1:6" s="273" customFormat="1" ht="14.1" customHeight="1">
      <c r="A278" s="250"/>
      <c r="B278" s="244"/>
      <c r="C278" s="250"/>
      <c r="D278" s="244"/>
      <c r="E278" s="300"/>
      <c r="F278" s="301"/>
    </row>
    <row r="279" spans="1:6" s="273" customFormat="1" ht="14.1" customHeight="1">
      <c r="A279" s="250"/>
      <c r="B279" s="244"/>
      <c r="C279" s="250"/>
      <c r="D279" s="244"/>
      <c r="E279" s="300"/>
      <c r="F279" s="301"/>
    </row>
    <row r="280" spans="1:6" s="273" customFormat="1" ht="14.1" customHeight="1">
      <c r="A280" s="250"/>
      <c r="B280" s="244"/>
      <c r="C280" s="250"/>
      <c r="D280" s="244"/>
      <c r="E280" s="300"/>
      <c r="F280" s="301"/>
    </row>
    <row r="281" spans="1:6" s="273" customFormat="1" ht="14.1" customHeight="1">
      <c r="A281" s="250"/>
      <c r="B281" s="244"/>
      <c r="C281" s="250"/>
      <c r="D281" s="244"/>
      <c r="E281" s="300"/>
      <c r="F281" s="301"/>
    </row>
    <row r="282" spans="1:6" s="273" customFormat="1" ht="14.1" customHeight="1">
      <c r="A282" s="250"/>
      <c r="B282" s="244"/>
      <c r="C282" s="250"/>
      <c r="D282" s="244"/>
      <c r="E282" s="300"/>
      <c r="F282" s="301"/>
    </row>
    <row r="283" spans="1:6" s="273" customFormat="1" ht="14.1" customHeight="1">
      <c r="A283" s="250"/>
      <c r="B283" s="244"/>
      <c r="C283" s="250"/>
      <c r="D283" s="244"/>
      <c r="E283" s="300"/>
      <c r="F283" s="301"/>
    </row>
    <row r="284" spans="1:6" s="273" customFormat="1" ht="14.1" customHeight="1">
      <c r="A284" s="250"/>
      <c r="B284" s="244"/>
      <c r="C284" s="250"/>
      <c r="D284" s="244"/>
      <c r="E284" s="300"/>
      <c r="F284" s="301"/>
    </row>
    <row r="285" spans="1:6" s="273" customFormat="1" ht="14.1" customHeight="1">
      <c r="A285" s="264"/>
      <c r="B285" s="269"/>
      <c r="C285" s="250"/>
      <c r="D285" s="244"/>
      <c r="E285" s="287"/>
      <c r="F285" s="299"/>
    </row>
    <row r="286" spans="1:6" s="273" customFormat="1" ht="14.1" customHeight="1">
      <c r="A286" s="264"/>
      <c r="B286" s="269"/>
      <c r="C286" s="250"/>
      <c r="D286" s="244"/>
      <c r="E286" s="287"/>
      <c r="F286" s="299"/>
    </row>
    <row r="287" spans="1:6" s="273" customFormat="1" ht="14.1" customHeight="1">
      <c r="A287" s="264"/>
      <c r="B287" s="269"/>
      <c r="C287" s="250"/>
      <c r="D287" s="244"/>
      <c r="E287" s="287"/>
      <c r="F287" s="299"/>
    </row>
    <row r="288" spans="1:6" s="273" customFormat="1" ht="14.1" customHeight="1">
      <c r="A288" s="264"/>
      <c r="B288" s="269"/>
      <c r="C288" s="250"/>
      <c r="D288" s="244"/>
      <c r="E288" s="287"/>
      <c r="F288" s="299"/>
    </row>
    <row r="289" spans="1:6" s="273" customFormat="1" ht="14.1" customHeight="1">
      <c r="A289" s="264"/>
      <c r="B289" s="269"/>
      <c r="C289" s="250"/>
      <c r="D289" s="244"/>
      <c r="E289" s="287"/>
      <c r="F289" s="299"/>
    </row>
    <row r="290" spans="1:6" s="273" customFormat="1" ht="14.1" customHeight="1">
      <c r="A290" s="264"/>
      <c r="B290" s="269"/>
      <c r="C290" s="250"/>
      <c r="D290" s="244"/>
      <c r="E290" s="287"/>
      <c r="F290" s="299"/>
    </row>
    <row r="291" spans="1:6" s="273" customFormat="1" ht="14.1" customHeight="1">
      <c r="A291" s="264"/>
      <c r="B291" s="269"/>
      <c r="C291" s="250"/>
      <c r="D291" s="244"/>
      <c r="E291" s="287"/>
      <c r="F291" s="299"/>
    </row>
    <row r="292" spans="1:6" s="273" customFormat="1" ht="14.1" customHeight="1">
      <c r="A292" s="264"/>
      <c r="B292" s="269"/>
      <c r="C292" s="250"/>
      <c r="D292" s="244"/>
      <c r="E292" s="287"/>
      <c r="F292" s="299"/>
    </row>
    <row r="293" spans="1:6" s="273" customFormat="1" ht="14.1" customHeight="1">
      <c r="A293" s="264"/>
      <c r="B293" s="269"/>
      <c r="C293" s="250"/>
      <c r="D293" s="244"/>
      <c r="E293" s="287"/>
      <c r="F293" s="299"/>
    </row>
    <row r="294" spans="1:6" s="273" customFormat="1" ht="14.1" customHeight="1">
      <c r="A294" s="264"/>
      <c r="B294" s="269"/>
      <c r="C294" s="250"/>
      <c r="D294" s="244"/>
      <c r="E294" s="287"/>
      <c r="F294" s="299"/>
    </row>
    <row r="295" spans="1:6" s="273" customFormat="1" ht="14.1" customHeight="1">
      <c r="A295" s="250"/>
      <c r="B295" s="244"/>
      <c r="C295" s="250"/>
      <c r="D295" s="244"/>
      <c r="E295" s="287"/>
      <c r="F295" s="299"/>
    </row>
    <row r="296" spans="1:6" s="273" customFormat="1" ht="14.1" customHeight="1">
      <c r="A296" s="250"/>
      <c r="B296" s="244"/>
      <c r="C296" s="250"/>
      <c r="D296" s="244"/>
      <c r="E296" s="287"/>
      <c r="F296" s="299"/>
    </row>
    <row r="297" spans="1:6" s="273" customFormat="1" ht="14.1" customHeight="1">
      <c r="A297" s="250"/>
      <c r="B297" s="244"/>
      <c r="C297" s="250"/>
      <c r="D297" s="244"/>
      <c r="E297" s="287"/>
      <c r="F297" s="299"/>
    </row>
    <row r="298" spans="1:6" s="273" customFormat="1" ht="14.1" customHeight="1">
      <c r="A298" s="250"/>
      <c r="B298" s="244"/>
      <c r="C298" s="250"/>
      <c r="D298" s="244"/>
      <c r="E298" s="287"/>
      <c r="F298" s="299"/>
    </row>
    <row r="299" spans="1:6" s="273" customFormat="1" ht="14.1" customHeight="1">
      <c r="A299" s="250"/>
      <c r="B299" s="244"/>
      <c r="C299" s="250"/>
      <c r="D299" s="244"/>
      <c r="E299" s="287"/>
      <c r="F299" s="299"/>
    </row>
    <row r="300" spans="1:6" s="273" customFormat="1" ht="14.1" customHeight="1">
      <c r="A300" s="250"/>
      <c r="B300" s="244"/>
      <c r="C300" s="250"/>
      <c r="D300" s="244"/>
      <c r="E300" s="287"/>
      <c r="F300" s="299"/>
    </row>
    <row r="301" spans="1:6" s="273" customFormat="1" ht="14.1" customHeight="1">
      <c r="A301" s="250"/>
      <c r="B301" s="244"/>
      <c r="C301" s="250"/>
      <c r="D301" s="244"/>
      <c r="E301" s="287"/>
      <c r="F301" s="299"/>
    </row>
    <row r="302" spans="1:6" s="273" customFormat="1" ht="14.1" customHeight="1">
      <c r="A302" s="250"/>
      <c r="B302" s="244"/>
      <c r="C302" s="250"/>
      <c r="D302" s="244"/>
      <c r="E302" s="287"/>
      <c r="F302" s="299"/>
    </row>
    <row r="303" spans="1:6" s="273" customFormat="1" ht="14.1" customHeight="1">
      <c r="A303" s="250"/>
      <c r="B303" s="244"/>
      <c r="C303" s="250"/>
      <c r="D303" s="244"/>
      <c r="E303" s="287"/>
      <c r="F303" s="299"/>
    </row>
    <row r="304" spans="1:6" s="273" customFormat="1" ht="14.1" customHeight="1">
      <c r="A304" s="250"/>
      <c r="B304" s="244"/>
      <c r="C304" s="250"/>
      <c r="D304" s="244"/>
      <c r="E304" s="287"/>
      <c r="F304" s="299"/>
    </row>
    <row r="305" spans="1:6" s="273" customFormat="1" ht="14.1" customHeight="1">
      <c r="A305" s="250"/>
      <c r="B305" s="244"/>
      <c r="C305" s="254"/>
      <c r="D305" s="302"/>
      <c r="E305" s="287"/>
      <c r="F305" s="299"/>
    </row>
    <row r="306" spans="1:6" s="273" customFormat="1" ht="14.1" customHeight="1">
      <c r="A306" s="250"/>
      <c r="B306" s="244"/>
      <c r="C306" s="303"/>
      <c r="D306" s="244"/>
      <c r="E306" s="287"/>
      <c r="F306" s="299"/>
    </row>
    <row r="307" spans="1:6" s="273" customFormat="1" ht="14.1" customHeight="1">
      <c r="A307" s="250"/>
      <c r="B307" s="244"/>
      <c r="C307" s="250"/>
      <c r="D307" s="244"/>
      <c r="E307" s="287"/>
      <c r="F307" s="299"/>
    </row>
    <row r="308" spans="1:6" s="273" customFormat="1" ht="14.1" customHeight="1">
      <c r="A308" s="250"/>
      <c r="B308" s="244"/>
      <c r="C308" s="250"/>
      <c r="D308" s="244"/>
      <c r="E308" s="287"/>
      <c r="F308" s="299"/>
    </row>
    <row r="309" spans="1:6" s="273" customFormat="1" ht="14.1" customHeight="1">
      <c r="A309" s="250"/>
      <c r="B309" s="244"/>
      <c r="C309" s="250"/>
      <c r="D309" s="244"/>
      <c r="E309" s="287"/>
      <c r="F309" s="299"/>
    </row>
    <row r="310" spans="1:6" s="273" customFormat="1" ht="14.1" customHeight="1">
      <c r="A310" s="250"/>
      <c r="B310" s="244"/>
      <c r="C310" s="250"/>
      <c r="D310" s="244"/>
      <c r="E310" s="287"/>
      <c r="F310" s="299"/>
    </row>
    <row r="311" spans="1:6" s="273" customFormat="1" ht="14.1" customHeight="1">
      <c r="A311" s="250"/>
      <c r="B311" s="244"/>
      <c r="C311" s="250"/>
      <c r="D311" s="244"/>
      <c r="E311" s="287"/>
      <c r="F311" s="299"/>
    </row>
    <row r="312" spans="1:6" s="273" customFormat="1" ht="14.1" customHeight="1">
      <c r="A312" s="250"/>
      <c r="B312" s="244"/>
      <c r="C312" s="250"/>
      <c r="D312" s="244"/>
      <c r="E312" s="287"/>
      <c r="F312" s="299"/>
    </row>
    <row r="313" spans="1:6" s="273" customFormat="1" ht="14.1" customHeight="1">
      <c r="A313" s="250"/>
      <c r="B313" s="244"/>
      <c r="C313" s="250"/>
      <c r="D313" s="244"/>
      <c r="E313" s="287"/>
      <c r="F313" s="299"/>
    </row>
    <row r="314" spans="1:6" s="273" customFormat="1" ht="14.1" customHeight="1">
      <c r="A314" s="250"/>
      <c r="B314" s="244"/>
      <c r="C314" s="250"/>
      <c r="D314" s="244"/>
      <c r="E314" s="287"/>
      <c r="F314" s="299"/>
    </row>
    <row r="315" spans="1:6" s="273" customFormat="1" ht="14.1" customHeight="1">
      <c r="A315" s="250"/>
      <c r="B315" s="244"/>
      <c r="C315" s="250"/>
      <c r="D315" s="244"/>
      <c r="E315" s="287"/>
      <c r="F315" s="299"/>
    </row>
    <row r="316" spans="1:6" s="273" customFormat="1" ht="14.1" customHeight="1">
      <c r="A316" s="250"/>
      <c r="B316" s="244"/>
      <c r="C316" s="250"/>
      <c r="D316" s="244"/>
      <c r="E316" s="287"/>
      <c r="F316" s="299"/>
    </row>
    <row r="317" spans="1:6" s="273" customFormat="1" ht="14.1" customHeight="1">
      <c r="A317" s="250"/>
      <c r="B317" s="244"/>
      <c r="C317" s="250"/>
      <c r="D317" s="244"/>
      <c r="E317" s="287"/>
      <c r="F317" s="299"/>
    </row>
    <row r="318" spans="1:6" s="273" customFormat="1" ht="14.1" customHeight="1">
      <c r="A318" s="250"/>
      <c r="B318" s="244"/>
      <c r="C318" s="250"/>
      <c r="D318" s="244"/>
      <c r="E318" s="287"/>
      <c r="F318" s="299"/>
    </row>
    <row r="319" spans="1:6" s="273" customFormat="1" ht="14.1" customHeight="1">
      <c r="A319" s="250"/>
      <c r="B319" s="244"/>
      <c r="C319" s="303"/>
      <c r="D319" s="253"/>
      <c r="E319" s="287"/>
      <c r="F319" s="299"/>
    </row>
    <row r="320" spans="1:6" s="273" customFormat="1" ht="14.1" customHeight="1">
      <c r="A320" s="250"/>
      <c r="B320" s="244"/>
      <c r="C320" s="303"/>
      <c r="D320" s="253"/>
      <c r="E320" s="287"/>
      <c r="F320" s="299"/>
    </row>
    <row r="321" spans="1:6" s="273" customFormat="1" ht="14.1" customHeight="1">
      <c r="A321" s="250"/>
      <c r="B321" s="244"/>
      <c r="C321" s="303"/>
      <c r="D321" s="253"/>
      <c r="E321" s="287"/>
      <c r="F321" s="299"/>
    </row>
    <row r="322" spans="1:6" s="273" customFormat="1" ht="14.1" customHeight="1">
      <c r="A322" s="250"/>
      <c r="B322" s="244"/>
      <c r="C322" s="303"/>
      <c r="D322" s="253"/>
      <c r="E322" s="287"/>
      <c r="F322" s="299"/>
    </row>
    <row r="323" spans="1:6" s="273" customFormat="1" ht="14.1" customHeight="1">
      <c r="A323" s="250"/>
      <c r="B323" s="244"/>
      <c r="C323" s="303"/>
      <c r="D323" s="253"/>
      <c r="E323" s="287"/>
      <c r="F323" s="299"/>
    </row>
    <row r="324" spans="1:6" s="273" customFormat="1" ht="14.1" customHeight="1">
      <c r="A324" s="250"/>
      <c r="B324" s="244"/>
      <c r="C324" s="303"/>
      <c r="D324" s="253"/>
      <c r="E324" s="287"/>
      <c r="F324" s="299"/>
    </row>
    <row r="325" spans="1:6" s="273" customFormat="1" ht="14.1" customHeight="1">
      <c r="A325" s="250"/>
      <c r="B325" s="244"/>
      <c r="C325" s="303"/>
      <c r="D325" s="269"/>
      <c r="E325" s="300"/>
      <c r="F325" s="301"/>
    </row>
    <row r="326" spans="1:6" s="273" customFormat="1" ht="14.1" customHeight="1">
      <c r="A326" s="250"/>
      <c r="B326" s="244"/>
      <c r="C326" s="250"/>
      <c r="D326" s="269"/>
      <c r="E326" s="300"/>
      <c r="F326" s="301"/>
    </row>
    <row r="327" spans="1:6" s="273" customFormat="1" ht="14.1" customHeight="1">
      <c r="A327" s="250"/>
      <c r="B327" s="244"/>
      <c r="C327" s="250"/>
      <c r="D327" s="244"/>
      <c r="E327" s="300"/>
      <c r="F327" s="301"/>
    </row>
    <row r="328" spans="1:6" s="273" customFormat="1" ht="14.1" customHeight="1">
      <c r="A328" s="250"/>
      <c r="B328" s="244"/>
      <c r="C328" s="250"/>
      <c r="D328" s="244"/>
      <c r="E328" s="300"/>
      <c r="F328" s="301"/>
    </row>
    <row r="329" spans="1:6" s="273" customFormat="1" ht="14.1" customHeight="1">
      <c r="A329" s="250"/>
      <c r="B329" s="244"/>
      <c r="C329" s="250"/>
      <c r="D329" s="244"/>
      <c r="E329" s="300"/>
      <c r="F329" s="301"/>
    </row>
    <row r="330" spans="1:6" s="273" customFormat="1" ht="14.1" customHeight="1">
      <c r="A330" s="250"/>
      <c r="B330" s="244"/>
      <c r="C330" s="250"/>
      <c r="D330" s="244"/>
      <c r="E330" s="300"/>
      <c r="F330" s="301"/>
    </row>
    <row r="331" spans="1:6" s="273" customFormat="1" ht="14.1" customHeight="1">
      <c r="A331" s="250"/>
      <c r="B331" s="244"/>
      <c r="C331" s="250"/>
      <c r="D331" s="244"/>
      <c r="E331" s="300"/>
      <c r="F331" s="301"/>
    </row>
    <row r="332" spans="1:6" s="273" customFormat="1" ht="14.1" customHeight="1">
      <c r="A332" s="250"/>
      <c r="B332" s="244"/>
      <c r="C332" s="250"/>
      <c r="D332" s="244"/>
      <c r="E332" s="300"/>
      <c r="F332" s="301"/>
    </row>
    <row r="333" spans="1:6" s="273" customFormat="1" ht="14.1" customHeight="1">
      <c r="A333" s="250"/>
      <c r="B333" s="244"/>
      <c r="C333" s="250"/>
      <c r="D333" s="244"/>
      <c r="E333" s="287"/>
      <c r="F333" s="299"/>
    </row>
    <row r="334" spans="1:6" s="273" customFormat="1" ht="14.1" customHeight="1">
      <c r="A334" s="250"/>
      <c r="B334" s="244"/>
      <c r="C334" s="250"/>
      <c r="D334" s="244"/>
      <c r="E334" s="287"/>
      <c r="F334" s="299"/>
    </row>
    <row r="335" spans="1:6" s="273" customFormat="1" ht="14.1" customHeight="1">
      <c r="A335" s="250"/>
      <c r="B335" s="244"/>
      <c r="C335" s="250"/>
      <c r="D335" s="244"/>
      <c r="E335" s="287"/>
      <c r="F335" s="299"/>
    </row>
    <row r="336" spans="1:6" s="273" customFormat="1" ht="14.1" customHeight="1">
      <c r="A336" s="250"/>
      <c r="B336" s="244"/>
      <c r="C336" s="250"/>
      <c r="D336" s="244"/>
      <c r="E336" s="287"/>
      <c r="F336" s="299"/>
    </row>
    <row r="337" spans="1:6" s="273" customFormat="1" ht="14.1" customHeight="1">
      <c r="A337" s="250"/>
      <c r="B337" s="244"/>
      <c r="C337" s="250"/>
      <c r="D337" s="244"/>
      <c r="E337" s="300"/>
      <c r="F337" s="301"/>
    </row>
    <row r="338" spans="1:6" s="273" customFormat="1" ht="14.1" customHeight="1">
      <c r="A338" s="250"/>
      <c r="B338" s="244"/>
      <c r="C338" s="250"/>
      <c r="D338" s="244"/>
      <c r="E338" s="300"/>
      <c r="F338" s="301"/>
    </row>
    <row r="339" spans="1:6" s="273" customFormat="1" ht="14.1" customHeight="1">
      <c r="A339" s="250"/>
      <c r="B339" s="304"/>
      <c r="C339" s="303"/>
      <c r="D339" s="253"/>
      <c r="E339" s="287"/>
      <c r="F339" s="299"/>
    </row>
    <row r="340" spans="1:6" s="273" customFormat="1" ht="14.1" customHeight="1">
      <c r="A340" s="250"/>
      <c r="B340" s="304"/>
      <c r="C340" s="305"/>
      <c r="D340" s="306"/>
      <c r="E340" s="300"/>
      <c r="F340" s="301"/>
    </row>
    <row r="341" spans="1:6" s="273" customFormat="1" ht="14.1" customHeight="1">
      <c r="A341" s="250"/>
      <c r="B341" s="304"/>
      <c r="C341" s="305"/>
      <c r="D341" s="306"/>
      <c r="E341" s="287"/>
      <c r="F341" s="301"/>
    </row>
    <row r="342" spans="1:6" s="273" customFormat="1" ht="14.1" customHeight="1">
      <c r="A342" s="250"/>
      <c r="B342" s="304"/>
      <c r="C342" s="305"/>
      <c r="D342" s="306"/>
      <c r="E342" s="287"/>
      <c r="F342" s="301"/>
    </row>
    <row r="343" spans="1:6" s="273" customFormat="1" ht="14.1" customHeight="1">
      <c r="A343" s="250"/>
      <c r="B343" s="244"/>
      <c r="C343" s="303"/>
      <c r="D343" s="269"/>
      <c r="E343" s="300"/>
      <c r="F343" s="301"/>
    </row>
    <row r="344" spans="1:6" s="273" customFormat="1" ht="14.1" customHeight="1">
      <c r="A344" s="250"/>
      <c r="B344" s="244"/>
      <c r="C344" s="303"/>
      <c r="D344" s="269"/>
      <c r="E344" s="300"/>
      <c r="F344" s="301"/>
    </row>
    <row r="345" spans="1:6" s="273" customFormat="1" ht="14.1" customHeight="1">
      <c r="A345" s="250"/>
      <c r="B345" s="244"/>
      <c r="C345" s="250"/>
      <c r="D345" s="244"/>
      <c r="E345" s="287"/>
      <c r="F345" s="299"/>
    </row>
    <row r="346" spans="1:6" s="273" customFormat="1" ht="14.1" customHeight="1">
      <c r="A346" s="250"/>
      <c r="B346" s="244"/>
      <c r="C346" s="250"/>
      <c r="D346" s="244"/>
      <c r="E346" s="300"/>
      <c r="F346" s="301"/>
    </row>
    <row r="347" spans="1:6" s="273" customFormat="1" ht="14.1" customHeight="1">
      <c r="A347" s="250"/>
      <c r="B347" s="244"/>
      <c r="C347" s="250"/>
      <c r="D347" s="244"/>
      <c r="E347" s="300"/>
      <c r="F347" s="301"/>
    </row>
    <row r="348" spans="1:6" s="273" customFormat="1" ht="14.1" customHeight="1">
      <c r="A348" s="250"/>
      <c r="B348" s="244"/>
      <c r="C348" s="250"/>
      <c r="D348" s="244"/>
      <c r="E348" s="287"/>
      <c r="F348" s="299"/>
    </row>
    <row r="349" spans="1:6" s="273" customFormat="1" ht="14.1" customHeight="1">
      <c r="A349" s="250"/>
      <c r="B349" s="244"/>
      <c r="C349" s="250"/>
      <c r="D349" s="244"/>
      <c r="E349" s="287"/>
      <c r="F349" s="299"/>
    </row>
    <row r="350" spans="1:6" s="273" customFormat="1" ht="14.1" customHeight="1">
      <c r="A350" s="250"/>
      <c r="B350" s="244"/>
      <c r="C350" s="250"/>
      <c r="D350" s="253"/>
      <c r="E350" s="287"/>
      <c r="F350" s="299"/>
    </row>
    <row r="351" spans="1:6" s="273" customFormat="1" ht="14.1" customHeight="1">
      <c r="A351" s="250"/>
      <c r="B351" s="244"/>
      <c r="C351" s="250"/>
      <c r="D351" s="253"/>
      <c r="E351" s="287"/>
      <c r="F351" s="299"/>
    </row>
    <row r="352" spans="1:6" s="273" customFormat="1" ht="14.1" customHeight="1">
      <c r="A352" s="250"/>
      <c r="B352" s="244"/>
      <c r="C352" s="250"/>
      <c r="D352" s="253"/>
      <c r="E352" s="287"/>
      <c r="F352" s="299"/>
    </row>
    <row r="353" spans="1:6" s="273" customFormat="1" ht="14.1" customHeight="1">
      <c r="A353" s="250"/>
      <c r="B353" s="244"/>
      <c r="C353" s="250"/>
      <c r="D353" s="253"/>
      <c r="E353" s="287"/>
      <c r="F353" s="299"/>
    </row>
    <row r="354" spans="1:6" s="273" customFormat="1" ht="14.1" customHeight="1">
      <c r="A354" s="250"/>
      <c r="B354" s="244"/>
      <c r="C354" s="250"/>
      <c r="D354" s="253"/>
      <c r="E354" s="287"/>
      <c r="F354" s="299"/>
    </row>
    <row r="355" spans="1:6" s="273" customFormat="1" ht="14.1" customHeight="1">
      <c r="A355" s="250"/>
      <c r="B355" s="244"/>
      <c r="C355" s="250"/>
      <c r="D355" s="253"/>
      <c r="E355" s="287"/>
      <c r="F355" s="299"/>
    </row>
    <row r="356" spans="1:6" s="273" customFormat="1" ht="14.1" customHeight="1">
      <c r="A356" s="250"/>
      <c r="B356" s="244"/>
      <c r="C356" s="250"/>
      <c r="D356" s="253"/>
      <c r="E356" s="287"/>
      <c r="F356" s="299"/>
    </row>
    <row r="357" spans="1:6" s="273" customFormat="1" ht="14.1" customHeight="1">
      <c r="A357" s="250"/>
      <c r="B357" s="244"/>
      <c r="C357" s="250"/>
      <c r="D357" s="253"/>
      <c r="E357" s="287"/>
      <c r="F357" s="299"/>
    </row>
    <row r="358" spans="1:6" s="273" customFormat="1" ht="14.1" customHeight="1">
      <c r="A358" s="250"/>
      <c r="B358" s="244"/>
      <c r="C358" s="250"/>
      <c r="D358" s="253"/>
      <c r="E358" s="287"/>
      <c r="F358" s="299"/>
    </row>
    <row r="359" spans="1:6" s="273" customFormat="1" ht="14.1" customHeight="1">
      <c r="A359" s="250"/>
      <c r="B359" s="244"/>
      <c r="C359" s="250"/>
      <c r="D359" s="253"/>
      <c r="E359" s="287"/>
      <c r="F359" s="299"/>
    </row>
    <row r="360" spans="1:6" s="273" customFormat="1" ht="14.1" customHeight="1">
      <c r="A360" s="250"/>
      <c r="B360" s="244"/>
      <c r="C360" s="250"/>
      <c r="D360" s="253"/>
      <c r="E360" s="287"/>
      <c r="F360" s="299"/>
    </row>
    <row r="361" spans="1:6" s="273" customFormat="1" ht="14.1" customHeight="1">
      <c r="A361" s="250"/>
      <c r="B361" s="244"/>
      <c r="C361" s="250"/>
      <c r="D361" s="253"/>
      <c r="E361" s="287"/>
      <c r="F361" s="299"/>
    </row>
    <row r="362" spans="1:6" s="273" customFormat="1" ht="14.1" customHeight="1">
      <c r="A362" s="250"/>
      <c r="B362" s="244"/>
      <c r="C362" s="250"/>
      <c r="D362" s="253"/>
      <c r="E362" s="287"/>
      <c r="F362" s="299"/>
    </row>
    <row r="363" spans="1:6" s="273" customFormat="1" ht="14.1" customHeight="1">
      <c r="A363" s="250"/>
      <c r="B363" s="244"/>
      <c r="C363" s="250"/>
      <c r="D363" s="253"/>
      <c r="E363" s="287"/>
      <c r="F363" s="299"/>
    </row>
    <row r="364" spans="1:6" s="273" customFormat="1" ht="14.1" customHeight="1">
      <c r="A364" s="250"/>
      <c r="B364" s="244"/>
      <c r="C364" s="250"/>
      <c r="D364" s="253"/>
      <c r="E364" s="287"/>
      <c r="F364" s="299"/>
    </row>
    <row r="365" spans="1:6" s="273" customFormat="1" ht="14.1" customHeight="1">
      <c r="A365" s="250"/>
      <c r="B365" s="244"/>
      <c r="C365" s="250"/>
      <c r="D365" s="253"/>
      <c r="E365" s="287"/>
      <c r="F365" s="299"/>
    </row>
    <row r="366" spans="1:6" s="273" customFormat="1" ht="14.1" customHeight="1">
      <c r="A366" s="250"/>
      <c r="B366" s="304"/>
      <c r="C366" s="305"/>
      <c r="D366" s="306"/>
      <c r="E366" s="300"/>
      <c r="F366" s="301"/>
    </row>
    <row r="367" spans="1:6" s="273" customFormat="1" ht="14.1" customHeight="1">
      <c r="A367" s="250"/>
      <c r="B367" s="304"/>
      <c r="C367" s="305"/>
      <c r="D367" s="306"/>
      <c r="E367" s="300"/>
      <c r="F367" s="301"/>
    </row>
    <row r="368" spans="1:6" s="273" customFormat="1" ht="14.1" customHeight="1">
      <c r="A368" s="250"/>
      <c r="B368" s="304"/>
      <c r="C368" s="305"/>
      <c r="D368" s="306"/>
      <c r="E368" s="300"/>
      <c r="F368" s="301"/>
    </row>
    <row r="369" spans="1:6" s="273" customFormat="1" ht="14.1" customHeight="1">
      <c r="A369" s="250"/>
      <c r="B369" s="244"/>
      <c r="C369" s="303"/>
      <c r="D369" s="244"/>
      <c r="E369" s="287"/>
      <c r="F369" s="299"/>
    </row>
    <row r="370" spans="1:6" s="273" customFormat="1" ht="14.1" customHeight="1">
      <c r="A370" s="250"/>
      <c r="B370" s="244"/>
      <c r="C370" s="303"/>
      <c r="D370" s="244"/>
      <c r="E370" s="287"/>
      <c r="F370" s="299"/>
    </row>
    <row r="371" spans="1:6" s="273" customFormat="1" ht="14.1" customHeight="1">
      <c r="A371" s="250"/>
      <c r="B371" s="244"/>
      <c r="C371" s="303"/>
      <c r="D371" s="244"/>
      <c r="E371" s="287"/>
      <c r="F371" s="299"/>
    </row>
    <row r="372" spans="1:6" s="273" customFormat="1" ht="14.1" customHeight="1">
      <c r="A372" s="250"/>
      <c r="B372" s="244"/>
      <c r="C372" s="303"/>
      <c r="D372" s="244"/>
      <c r="E372" s="287"/>
      <c r="F372" s="299"/>
    </row>
    <row r="373" spans="1:6" s="273" customFormat="1" ht="14.1" customHeight="1">
      <c r="A373" s="250"/>
      <c r="B373" s="244"/>
      <c r="C373" s="250"/>
      <c r="D373" s="253"/>
      <c r="E373" s="287"/>
      <c r="F373" s="299"/>
    </row>
    <row r="374" spans="1:6" s="273" customFormat="1" ht="14.1" customHeight="1">
      <c r="A374" s="264"/>
      <c r="B374" s="269"/>
      <c r="C374" s="250"/>
      <c r="D374" s="244"/>
      <c r="E374" s="287"/>
      <c r="F374" s="299"/>
    </row>
    <row r="375" spans="1:6" s="273" customFormat="1" ht="14.1" customHeight="1">
      <c r="A375" s="250"/>
      <c r="B375" s="244"/>
      <c r="C375" s="303"/>
      <c r="D375" s="244"/>
      <c r="E375" s="287"/>
      <c r="F375" s="299"/>
    </row>
    <row r="376" spans="1:6" s="273" customFormat="1" ht="14.1" customHeight="1">
      <c r="A376" s="250"/>
      <c r="B376" s="244"/>
      <c r="C376" s="303"/>
      <c r="D376" s="244"/>
      <c r="E376" s="287"/>
      <c r="F376" s="299"/>
    </row>
    <row r="377" spans="1:6" s="273" customFormat="1" ht="14.1" customHeight="1">
      <c r="A377" s="250"/>
      <c r="B377" s="244"/>
      <c r="C377" s="250"/>
      <c r="D377" s="244"/>
      <c r="E377" s="287"/>
      <c r="F377" s="299"/>
    </row>
    <row r="378" spans="1:6" s="273" customFormat="1" ht="14.1" customHeight="1">
      <c r="A378" s="254"/>
      <c r="B378" s="302"/>
      <c r="C378" s="254"/>
      <c r="D378" s="307"/>
      <c r="E378" s="287"/>
      <c r="F378" s="308"/>
    </row>
    <row r="379" spans="1:6" s="273" customFormat="1" ht="14.1" customHeight="1">
      <c r="A379" s="254"/>
      <c r="B379" s="302"/>
      <c r="C379" s="254"/>
      <c r="D379" s="307"/>
      <c r="E379" s="309"/>
      <c r="F379" s="308"/>
    </row>
    <row r="380" spans="1:6" s="273" customFormat="1" ht="14.1" customHeight="1">
      <c r="A380" s="254"/>
      <c r="B380" s="302"/>
      <c r="C380" s="254"/>
      <c r="D380" s="307"/>
      <c r="E380" s="309"/>
      <c r="F380" s="308"/>
    </row>
    <row r="381" spans="1:6" s="273" customFormat="1" ht="14.1" customHeight="1">
      <c r="A381" s="254"/>
      <c r="B381" s="302"/>
      <c r="C381" s="254"/>
      <c r="D381" s="307"/>
      <c r="E381" s="309"/>
      <c r="F381" s="308"/>
    </row>
    <row r="382" spans="1:6" s="273" customFormat="1" ht="14.1" customHeight="1">
      <c r="A382" s="254"/>
      <c r="B382" s="302"/>
      <c r="C382" s="254"/>
      <c r="D382" s="307"/>
      <c r="E382" s="309"/>
      <c r="F382" s="308"/>
    </row>
    <row r="383" spans="1:6" s="273" customFormat="1" ht="14.1" customHeight="1">
      <c r="A383" s="254"/>
      <c r="B383" s="302"/>
      <c r="C383" s="254"/>
      <c r="D383" s="307"/>
      <c r="E383" s="309"/>
      <c r="F383" s="308"/>
    </row>
    <row r="384" spans="1:6" s="273" customFormat="1" ht="14.1" customHeight="1">
      <c r="A384" s="254"/>
      <c r="B384" s="302"/>
      <c r="C384" s="254"/>
      <c r="D384" s="307"/>
      <c r="E384" s="309"/>
      <c r="F384" s="308"/>
    </row>
    <row r="385" spans="1:6" s="273" customFormat="1" ht="14.1" customHeight="1">
      <c r="A385" s="254"/>
      <c r="B385" s="302"/>
      <c r="C385" s="254"/>
      <c r="D385" s="307"/>
      <c r="E385" s="309"/>
      <c r="F385" s="308"/>
    </row>
    <row r="386" spans="1:6" s="273" customFormat="1" ht="14.1" customHeight="1">
      <c r="A386" s="254"/>
      <c r="B386" s="302"/>
      <c r="C386" s="254"/>
      <c r="D386" s="307"/>
      <c r="E386" s="309"/>
      <c r="F386" s="308"/>
    </row>
    <row r="387" spans="1:6" s="273" customFormat="1" ht="14.1" customHeight="1">
      <c r="A387" s="254"/>
      <c r="B387" s="302"/>
      <c r="C387" s="254"/>
      <c r="D387" s="307"/>
      <c r="E387" s="309"/>
      <c r="F387" s="308"/>
    </row>
    <row r="388" spans="1:6" s="273" customFormat="1" ht="14.1" customHeight="1">
      <c r="A388" s="254"/>
      <c r="B388" s="302"/>
      <c r="C388" s="254"/>
      <c r="D388" s="307"/>
      <c r="E388" s="309"/>
      <c r="F388" s="308"/>
    </row>
    <row r="389" spans="1:6" s="273" customFormat="1" ht="14.1" customHeight="1">
      <c r="A389" s="254"/>
      <c r="B389" s="302"/>
      <c r="C389" s="254"/>
      <c r="D389" s="307"/>
      <c r="E389" s="309"/>
      <c r="F389" s="308"/>
    </row>
    <row r="390" spans="1:6" s="273" customFormat="1" ht="14.1" customHeight="1">
      <c r="A390" s="254"/>
      <c r="B390" s="302"/>
      <c r="C390" s="254"/>
      <c r="D390" s="307"/>
      <c r="E390" s="309"/>
      <c r="F390" s="308"/>
    </row>
    <row r="391" spans="1:6" s="273" customFormat="1" ht="14.1" customHeight="1">
      <c r="A391" s="254"/>
      <c r="B391" s="302"/>
      <c r="C391" s="254"/>
      <c r="D391" s="307"/>
      <c r="E391" s="309"/>
      <c r="F391" s="308"/>
    </row>
    <row r="392" spans="1:6" s="273" customFormat="1" ht="14.1" customHeight="1">
      <c r="A392" s="254"/>
      <c r="B392" s="302"/>
      <c r="C392" s="254"/>
      <c r="D392" s="307"/>
      <c r="E392" s="309"/>
      <c r="F392" s="308"/>
    </row>
    <row r="393" spans="1:6" s="273" customFormat="1" ht="14.1" customHeight="1">
      <c r="A393" s="254"/>
      <c r="B393" s="302"/>
      <c r="C393" s="254"/>
      <c r="D393" s="307"/>
      <c r="E393" s="309"/>
      <c r="F393" s="308"/>
    </row>
    <row r="394" spans="1:6" s="273" customFormat="1" ht="14.1" customHeight="1">
      <c r="A394" s="254"/>
      <c r="B394" s="302"/>
      <c r="C394" s="254"/>
      <c r="D394" s="310"/>
      <c r="E394" s="309"/>
      <c r="F394" s="308"/>
    </row>
    <row r="395" spans="1:6" s="273" customFormat="1" ht="14.1" customHeight="1">
      <c r="A395" s="254"/>
      <c r="B395" s="302"/>
      <c r="C395" s="254"/>
      <c r="D395" s="307"/>
      <c r="E395" s="309"/>
      <c r="F395" s="308"/>
    </row>
    <row r="396" spans="1:6" s="273" customFormat="1" ht="14.1" customHeight="1">
      <c r="A396" s="254"/>
      <c r="B396" s="302"/>
      <c r="C396" s="254"/>
      <c r="D396" s="307"/>
      <c r="E396" s="309"/>
      <c r="F396" s="308"/>
    </row>
    <row r="397" spans="1:6" s="273" customFormat="1" ht="14.1" customHeight="1">
      <c r="A397" s="254"/>
      <c r="B397" s="302"/>
      <c r="C397" s="254"/>
      <c r="D397" s="307"/>
      <c r="E397" s="309"/>
      <c r="F397" s="308"/>
    </row>
    <row r="398" spans="1:6" s="273" customFormat="1" ht="14.1" customHeight="1">
      <c r="A398" s="254"/>
      <c r="B398" s="302"/>
      <c r="C398" s="254"/>
      <c r="D398" s="307"/>
      <c r="E398" s="309"/>
      <c r="F398" s="308"/>
    </row>
    <row r="399" spans="1:6" s="273" customFormat="1" ht="14.1" customHeight="1">
      <c r="A399" s="254"/>
      <c r="B399" s="302"/>
      <c r="C399" s="254"/>
      <c r="D399" s="307"/>
      <c r="E399" s="309"/>
      <c r="F399" s="308"/>
    </row>
  </sheetData>
  <autoFilter ref="A2:D399" xr:uid="{00000000-0009-0000-0000-000009000000}"/>
  <phoneticPr fontId="6"/>
  <conditionalFormatting sqref="A165:B166">
    <cfRule type="expression" dxfId="36" priority="1">
      <formula>$AD165="細分化①"</formula>
    </cfRule>
    <cfRule type="expression" dxfId="35" priority="2">
      <formula>$AD165="細分化②"</formula>
    </cfRule>
    <cfRule type="expression" dxfId="34" priority="3">
      <formula>$AD165="中断・中止"</formula>
    </cfRule>
    <cfRule type="expression" dxfId="33" priority="4">
      <formula>$AD165="間接"</formula>
    </cfRule>
    <cfRule type="expression" dxfId="32" priority="5">
      <formula>$AD165="完了"</formula>
    </cfRule>
    <cfRule type="expression" dxfId="31" priority="6">
      <formula>$AD165="通年"</formula>
    </cfRule>
    <cfRule type="expression" dxfId="30" priority="7">
      <formula>$AD165="保守"</formula>
    </cfRule>
  </conditionalFormatting>
  <conditionalFormatting sqref="A3:F71">
    <cfRule type="expression" dxfId="29" priority="142">
      <formula>$AD3="中断・中止"</formula>
    </cfRule>
    <cfRule type="expression" dxfId="28" priority="143">
      <formula>$AD3="間接"</formula>
    </cfRule>
    <cfRule type="expression" dxfId="27" priority="144">
      <formula>$AD3="完了"</formula>
    </cfRule>
    <cfRule type="expression" dxfId="26" priority="145">
      <formula>$AD3="通年"</formula>
    </cfRule>
    <cfRule type="expression" dxfId="25" priority="146">
      <formula>$AD3="保守"</formula>
    </cfRule>
    <cfRule type="expression" dxfId="24" priority="140">
      <formula>$AD3="細分化①"</formula>
    </cfRule>
    <cfRule type="expression" dxfId="23" priority="141">
      <formula>$AD3="細分化②"</formula>
    </cfRule>
  </conditionalFormatting>
  <conditionalFormatting sqref="A72:F164">
    <cfRule type="expression" dxfId="22" priority="17">
      <formula>$AD72="細分化①"</formula>
    </cfRule>
    <cfRule type="expression" dxfId="21" priority="18">
      <formula>$AD72="細分化②"</formula>
    </cfRule>
    <cfRule type="expression" dxfId="20" priority="19">
      <formula>$AD72="中断・中止"</formula>
    </cfRule>
    <cfRule type="expression" dxfId="19" priority="21">
      <formula>$AD72="完了"</formula>
    </cfRule>
    <cfRule type="expression" dxfId="18" priority="22">
      <formula>$AD72="通年"</formula>
    </cfRule>
    <cfRule type="expression" dxfId="17" priority="23">
      <formula>$AD72="保守"</formula>
    </cfRule>
    <cfRule type="expression" dxfId="16" priority="20">
      <formula>$AD72="間接"</formula>
    </cfRule>
  </conditionalFormatting>
  <conditionalFormatting sqref="A167:F399">
    <cfRule type="expression" dxfId="15" priority="42">
      <formula>$AD167="間接"</formula>
    </cfRule>
    <cfRule type="expression" dxfId="14" priority="43">
      <formula>$AD167="完了"</formula>
    </cfRule>
    <cfRule type="expression" dxfId="13" priority="44">
      <formula>$AD167="通年"</formula>
    </cfRule>
    <cfRule type="expression" dxfId="12" priority="45">
      <formula>$AD167="保守"</formula>
    </cfRule>
    <cfRule type="expression" dxfId="11" priority="39">
      <formula>$AD167="細分化①"</formula>
    </cfRule>
    <cfRule type="expression" dxfId="10" priority="40">
      <formula>$AD167="細分化②"</formula>
    </cfRule>
    <cfRule type="expression" dxfId="9" priority="41">
      <formula>$AD167="中断・中止"</formula>
    </cfRule>
  </conditionalFormatting>
  <conditionalFormatting sqref="C165:F166">
    <cfRule type="expression" dxfId="8" priority="9">
      <formula>$AD165="細分化①"</formula>
    </cfRule>
    <cfRule type="expression" dxfId="7" priority="10">
      <formula>$AD165="細分化②"</formula>
    </cfRule>
    <cfRule type="expression" dxfId="6" priority="11">
      <formula>$AD165="中断・中止"</formula>
    </cfRule>
    <cfRule type="expression" dxfId="5" priority="12">
      <formula>$AD165="間接"</formula>
    </cfRule>
    <cfRule type="expression" dxfId="4" priority="13">
      <formula>$AD165="完了"</formula>
    </cfRule>
    <cfRule type="expression" dxfId="3" priority="14">
      <formula>$AD165="通年"</formula>
    </cfRule>
    <cfRule type="expression" dxfId="2" priority="15">
      <formula>$AD165="保守"</formula>
    </cfRule>
  </conditionalFormatting>
  <conditionalFormatting sqref="F3:F72">
    <cfRule type="expression" dxfId="1" priority="139">
      <formula>$J3&lt;&gt;$K3</formula>
    </cfRule>
  </conditionalFormatting>
  <conditionalFormatting sqref="F73:F399">
    <cfRule type="expression" dxfId="0" priority="8">
      <formula>$J73&lt;&gt;$K73</formula>
    </cfRule>
  </conditionalFormatting>
  <pageMargins left="0.78700000000000003" right="0.78700000000000003" top="0.98399999999999999" bottom="0.98399999999999999" header="0.5" footer="0.5"/>
  <pageSetup paperSize="9" orientation="portrait" r:id="rId1"/>
  <headerFooter alignWithMargins="0">
    <oddHeader>&amp;A</oddHeader>
    <oddFooter>Page &amp;P</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F100"/>
  <sheetViews>
    <sheetView zoomScaleNormal="100" workbookViewId="0">
      <selection activeCell="I42" sqref="I42"/>
    </sheetView>
  </sheetViews>
  <sheetFormatPr defaultRowHeight="13.5"/>
  <cols>
    <col min="2" max="2" width="14.875" bestFit="1" customWidth="1"/>
    <col min="3" max="3" width="10.125" bestFit="1" customWidth="1"/>
    <col min="4" max="4" width="5" customWidth="1"/>
    <col min="5" max="5" width="3.375" bestFit="1" customWidth="1"/>
    <col min="6" max="6" width="9.125" bestFit="1" customWidth="1"/>
    <col min="7" max="7" width="13.125" bestFit="1" customWidth="1"/>
    <col min="8" max="8" width="9.125" bestFit="1" customWidth="1"/>
    <col min="9" max="9" width="44.625" bestFit="1" customWidth="1"/>
    <col min="10" max="10" width="13.625" customWidth="1"/>
    <col min="11" max="11" width="12.375" customWidth="1"/>
    <col min="12" max="18" width="5.375" customWidth="1"/>
    <col min="19" max="19" width="8.625" customWidth="1"/>
    <col min="20" max="20" width="9.125" bestFit="1" customWidth="1"/>
    <col min="21" max="22" width="9" style="39"/>
  </cols>
  <sheetData>
    <row r="1" spans="1:32">
      <c r="A1" t="s">
        <v>123</v>
      </c>
    </row>
    <row r="2" spans="1:32" ht="14.25" thickBot="1">
      <c r="L2" t="s">
        <v>398</v>
      </c>
      <c r="M2" t="s">
        <v>399</v>
      </c>
      <c r="N2" t="s">
        <v>400</v>
      </c>
      <c r="O2" t="s">
        <v>401</v>
      </c>
      <c r="P2" t="s">
        <v>402</v>
      </c>
      <c r="Q2" t="s">
        <v>403</v>
      </c>
      <c r="R2" t="s">
        <v>404</v>
      </c>
      <c r="S2" s="59" t="s">
        <v>132</v>
      </c>
      <c r="V2" s="91" t="s">
        <v>124</v>
      </c>
      <c r="Z2" s="39" t="s">
        <v>133</v>
      </c>
      <c r="AA2" s="39"/>
      <c r="AB2" s="39"/>
      <c r="AC2" s="39"/>
      <c r="AD2" s="39"/>
      <c r="AE2" s="39"/>
      <c r="AF2" s="39"/>
    </row>
    <row r="3" spans="1:32" ht="14.25" thickBot="1">
      <c r="A3" t="s">
        <v>134</v>
      </c>
      <c r="B3" t="s">
        <v>53</v>
      </c>
      <c r="C3" t="s">
        <v>5</v>
      </c>
      <c r="F3" s="60"/>
      <c r="H3" s="60" t="s">
        <v>135</v>
      </c>
      <c r="R3" s="58" t="s">
        <v>405</v>
      </c>
      <c r="S3" s="61">
        <v>6.375</v>
      </c>
      <c r="T3" s="62" t="s">
        <v>136</v>
      </c>
      <c r="U3" s="39" t="s">
        <v>137</v>
      </c>
      <c r="V3" s="39" t="s">
        <v>138</v>
      </c>
      <c r="Z3" s="108" t="s">
        <v>140</v>
      </c>
      <c r="AA3" s="108" t="s">
        <v>141</v>
      </c>
      <c r="AB3" s="108" t="s">
        <v>142</v>
      </c>
      <c r="AC3" s="108" t="s">
        <v>143</v>
      </c>
      <c r="AD3" s="108" t="s">
        <v>144</v>
      </c>
      <c r="AE3" s="108" t="s">
        <v>145</v>
      </c>
      <c r="AF3" s="39"/>
    </row>
    <row r="4" spans="1:32" ht="14.25" thickBot="1">
      <c r="A4" s="63">
        <v>1</v>
      </c>
      <c r="B4" s="64" t="s">
        <v>406</v>
      </c>
      <c r="C4" s="64" t="s">
        <v>407</v>
      </c>
      <c r="D4" s="63"/>
      <c r="E4" s="63"/>
      <c r="F4" s="77">
        <v>901</v>
      </c>
      <c r="G4" s="66" t="s">
        <v>408</v>
      </c>
      <c r="H4" s="65">
        <v>991517</v>
      </c>
      <c r="I4" s="66" t="s">
        <v>409</v>
      </c>
      <c r="J4" s="63"/>
      <c r="K4" s="63"/>
      <c r="L4" s="67">
        <v>0.3125</v>
      </c>
      <c r="M4" s="67">
        <v>0.33333333333333331</v>
      </c>
      <c r="N4" s="67">
        <v>0.54166666666666663</v>
      </c>
      <c r="O4" s="67">
        <v>0.33333333333333331</v>
      </c>
      <c r="P4" s="67">
        <v>0</v>
      </c>
      <c r="Q4" s="67">
        <v>0</v>
      </c>
      <c r="R4" s="67">
        <v>0</v>
      </c>
      <c r="S4" s="68">
        <v>1.5208333333333333</v>
      </c>
      <c r="T4" s="69">
        <v>0.23856209150326796</v>
      </c>
      <c r="U4" s="102">
        <f>V4*"7:30"</f>
        <v>6.875</v>
      </c>
      <c r="V4" s="103">
        <v>22</v>
      </c>
      <c r="Z4" s="88">
        <v>0.20833333333333334</v>
      </c>
      <c r="AA4" s="88"/>
      <c r="AB4" s="88"/>
      <c r="AC4" s="88"/>
      <c r="AD4" s="88">
        <v>1.3125</v>
      </c>
      <c r="AE4" s="88"/>
      <c r="AF4" s="109">
        <f>SUM(Z4:AE4)</f>
        <v>1.5208333333333333</v>
      </c>
    </row>
    <row r="5" spans="1:32">
      <c r="A5" s="63">
        <v>2</v>
      </c>
      <c r="B5" s="63"/>
      <c r="C5" s="63"/>
      <c r="D5" s="63"/>
      <c r="E5" s="63"/>
      <c r="F5" s="77">
        <v>301</v>
      </c>
      <c r="G5" s="66" t="s">
        <v>410</v>
      </c>
      <c r="H5" s="70">
        <v>355039</v>
      </c>
      <c r="I5" s="66" t="s">
        <v>411</v>
      </c>
      <c r="J5" s="63"/>
      <c r="K5" s="63"/>
      <c r="L5" s="67">
        <v>0</v>
      </c>
      <c r="M5" s="67">
        <v>0</v>
      </c>
      <c r="N5" s="67">
        <v>0.125</v>
      </c>
      <c r="O5" s="67">
        <v>0</v>
      </c>
      <c r="P5" s="67">
        <v>0</v>
      </c>
      <c r="Q5" s="67">
        <v>0</v>
      </c>
      <c r="R5" s="67">
        <v>0</v>
      </c>
      <c r="S5" s="71">
        <v>0.125</v>
      </c>
      <c r="T5" s="69">
        <v>1.9607843137254902E-2</v>
      </c>
      <c r="Z5" s="88">
        <v>0.125</v>
      </c>
      <c r="AA5" s="88"/>
      <c r="AB5" s="88"/>
      <c r="AC5" s="88"/>
      <c r="AD5" s="88"/>
      <c r="AE5" s="88"/>
      <c r="AF5" s="109">
        <f t="shared" ref="AF5:AF15" si="0">SUM(Z5:AE5)</f>
        <v>0.125</v>
      </c>
    </row>
    <row r="6" spans="1:32">
      <c r="A6" s="63">
        <v>3</v>
      </c>
      <c r="B6" s="63"/>
      <c r="C6" s="63"/>
      <c r="D6" s="63"/>
      <c r="E6" s="63"/>
      <c r="F6" s="77">
        <v>1851</v>
      </c>
      <c r="G6" s="66" t="s">
        <v>412</v>
      </c>
      <c r="H6" s="70">
        <v>365021</v>
      </c>
      <c r="I6" s="66" t="s">
        <v>413</v>
      </c>
      <c r="J6" s="63"/>
      <c r="K6" s="63"/>
      <c r="L6" s="67">
        <v>0.66666666666666663</v>
      </c>
      <c r="M6" s="67">
        <v>0.66666666666666674</v>
      </c>
      <c r="N6" s="67">
        <v>0.35416666666666669</v>
      </c>
      <c r="O6" s="67">
        <v>0.5</v>
      </c>
      <c r="P6" s="67">
        <v>0.5</v>
      </c>
      <c r="Q6" s="67">
        <v>0</v>
      </c>
      <c r="R6" s="67">
        <v>0</v>
      </c>
      <c r="S6" s="71">
        <v>2.6875</v>
      </c>
      <c r="T6" s="69">
        <v>0.42156862745098039</v>
      </c>
      <c r="Z6" s="88"/>
      <c r="AA6" s="88">
        <v>1.75</v>
      </c>
      <c r="AB6" s="88">
        <v>0.64583333333333326</v>
      </c>
      <c r="AC6" s="88">
        <v>0.29166666666666669</v>
      </c>
      <c r="AD6" s="88"/>
      <c r="AE6" s="88"/>
      <c r="AF6" s="109">
        <f t="shared" si="0"/>
        <v>2.6874999999999996</v>
      </c>
    </row>
    <row r="7" spans="1:32">
      <c r="A7" s="63">
        <v>4</v>
      </c>
      <c r="B7" s="63"/>
      <c r="C7" s="63"/>
      <c r="D7" s="63"/>
      <c r="E7" s="63"/>
      <c r="F7" s="77">
        <v>1851</v>
      </c>
      <c r="G7" s="66" t="s">
        <v>412</v>
      </c>
      <c r="H7" s="70">
        <v>362021</v>
      </c>
      <c r="I7" s="66" t="s">
        <v>412</v>
      </c>
      <c r="J7" s="63"/>
      <c r="K7" s="63"/>
      <c r="L7" s="67">
        <v>0.3125</v>
      </c>
      <c r="M7" s="67">
        <v>0.33333333333333331</v>
      </c>
      <c r="N7" s="67">
        <v>0.33333333333333337</v>
      </c>
      <c r="O7" s="67">
        <v>0.54166666666666663</v>
      </c>
      <c r="P7" s="67">
        <v>0.52083333333333326</v>
      </c>
      <c r="Q7" s="67">
        <v>0</v>
      </c>
      <c r="R7" s="67">
        <v>0</v>
      </c>
      <c r="S7" s="71">
        <v>2.0416666666666665</v>
      </c>
      <c r="T7" s="69">
        <v>0.3202614379084967</v>
      </c>
      <c r="Z7" s="88"/>
      <c r="AA7" s="88"/>
      <c r="AB7" s="88">
        <v>0.6875</v>
      </c>
      <c r="AC7" s="88">
        <v>1.3541666666666667</v>
      </c>
      <c r="AD7" s="88"/>
      <c r="AE7" s="88"/>
      <c r="AF7" s="109">
        <f t="shared" si="0"/>
        <v>2.041666666666667</v>
      </c>
    </row>
    <row r="8" spans="1:32">
      <c r="A8" s="63">
        <v>5</v>
      </c>
      <c r="B8" s="63"/>
      <c r="C8" s="63"/>
      <c r="D8" s="63"/>
      <c r="E8" s="63"/>
      <c r="F8" s="77"/>
      <c r="G8" s="66">
        <v>0</v>
      </c>
      <c r="H8" s="70"/>
      <c r="I8" s="66">
        <v>0</v>
      </c>
      <c r="J8" s="63"/>
      <c r="K8" s="63"/>
      <c r="L8" s="72">
        <v>0</v>
      </c>
      <c r="M8" s="72">
        <v>0</v>
      </c>
      <c r="N8" s="72">
        <v>0</v>
      </c>
      <c r="O8" s="72">
        <v>0</v>
      </c>
      <c r="P8" s="72">
        <v>0</v>
      </c>
      <c r="Q8" s="72">
        <v>0</v>
      </c>
      <c r="R8" s="72">
        <v>0</v>
      </c>
      <c r="S8" s="71">
        <v>0</v>
      </c>
      <c r="T8" s="69">
        <v>0</v>
      </c>
      <c r="Z8" s="88"/>
      <c r="AA8" s="88"/>
      <c r="AB8" s="88"/>
      <c r="AC8" s="88"/>
      <c r="AD8" s="88"/>
      <c r="AE8" s="88"/>
      <c r="AF8" s="109">
        <f t="shared" si="0"/>
        <v>0</v>
      </c>
    </row>
    <row r="9" spans="1:32">
      <c r="A9" s="63">
        <v>6</v>
      </c>
      <c r="B9" s="63"/>
      <c r="C9" s="63"/>
      <c r="D9" s="63"/>
      <c r="E9" s="63"/>
      <c r="F9" s="77"/>
      <c r="G9" s="66">
        <v>0</v>
      </c>
      <c r="H9" s="70"/>
      <c r="I9" s="66">
        <v>0</v>
      </c>
      <c r="J9" s="63"/>
      <c r="K9" s="63"/>
      <c r="L9" s="72">
        <v>0</v>
      </c>
      <c r="M9" s="72">
        <v>0</v>
      </c>
      <c r="N9" s="72">
        <v>0</v>
      </c>
      <c r="O9" s="72">
        <v>0</v>
      </c>
      <c r="P9" s="72">
        <v>0</v>
      </c>
      <c r="Q9" s="72">
        <v>0</v>
      </c>
      <c r="R9" s="72">
        <v>0</v>
      </c>
      <c r="S9" s="71">
        <v>0</v>
      </c>
      <c r="T9" s="69">
        <v>0</v>
      </c>
      <c r="Z9" s="88"/>
      <c r="AA9" s="88"/>
      <c r="AB9" s="88"/>
      <c r="AC9" s="88"/>
      <c r="AD9" s="88"/>
      <c r="AE9" s="88"/>
      <c r="AF9" s="109">
        <f t="shared" si="0"/>
        <v>0</v>
      </c>
    </row>
    <row r="10" spans="1:32">
      <c r="A10" s="63">
        <v>7</v>
      </c>
      <c r="B10" s="63"/>
      <c r="C10" s="63"/>
      <c r="D10" s="63"/>
      <c r="E10" s="63"/>
      <c r="F10" s="77"/>
      <c r="G10" s="66">
        <v>0</v>
      </c>
      <c r="H10" s="70"/>
      <c r="I10" s="66">
        <v>0</v>
      </c>
      <c r="J10" s="63"/>
      <c r="K10" s="63"/>
      <c r="L10" s="72">
        <v>0</v>
      </c>
      <c r="M10" s="72">
        <v>0</v>
      </c>
      <c r="N10" s="72">
        <v>0</v>
      </c>
      <c r="O10" s="72">
        <v>0</v>
      </c>
      <c r="P10" s="72">
        <v>0</v>
      </c>
      <c r="Q10" s="72">
        <v>0</v>
      </c>
      <c r="R10" s="72">
        <v>0</v>
      </c>
      <c r="S10" s="71">
        <v>0</v>
      </c>
      <c r="T10" s="69">
        <v>0</v>
      </c>
      <c r="Z10" s="88"/>
      <c r="AA10" s="88"/>
      <c r="AB10" s="88"/>
      <c r="AC10" s="88"/>
      <c r="AD10" s="88"/>
      <c r="AE10" s="88"/>
      <c r="AF10" s="109">
        <f t="shared" si="0"/>
        <v>0</v>
      </c>
    </row>
    <row r="11" spans="1:32">
      <c r="A11" s="63">
        <v>8</v>
      </c>
      <c r="B11" s="63"/>
      <c r="C11" s="63"/>
      <c r="D11" s="63"/>
      <c r="E11" s="63"/>
      <c r="F11" s="77"/>
      <c r="G11" s="66">
        <v>0</v>
      </c>
      <c r="H11" s="70"/>
      <c r="I11" s="66">
        <v>0</v>
      </c>
      <c r="J11" s="63"/>
      <c r="K11" s="63"/>
      <c r="L11" s="72">
        <v>0</v>
      </c>
      <c r="M11" s="72">
        <v>0</v>
      </c>
      <c r="N11" s="72">
        <v>0</v>
      </c>
      <c r="O11" s="72">
        <v>0</v>
      </c>
      <c r="P11" s="72">
        <v>0</v>
      </c>
      <c r="Q11" s="72">
        <v>0</v>
      </c>
      <c r="R11" s="72">
        <v>0</v>
      </c>
      <c r="S11" s="71">
        <v>0</v>
      </c>
      <c r="T11" s="69">
        <v>0</v>
      </c>
      <c r="Z11" s="88"/>
      <c r="AA11" s="88"/>
      <c r="AB11" s="88"/>
      <c r="AC11" s="88"/>
      <c r="AD11" s="88"/>
      <c r="AE11" s="88"/>
      <c r="AF11" s="109">
        <f t="shared" si="0"/>
        <v>0</v>
      </c>
    </row>
    <row r="12" spans="1:32">
      <c r="A12" s="63">
        <v>9</v>
      </c>
      <c r="B12" s="63"/>
      <c r="C12" s="63"/>
      <c r="D12" s="63"/>
      <c r="E12" s="63"/>
      <c r="F12" s="77"/>
      <c r="G12" s="66">
        <v>0</v>
      </c>
      <c r="H12" s="70"/>
      <c r="I12" s="66">
        <v>0</v>
      </c>
      <c r="J12" s="63"/>
      <c r="K12" s="63"/>
      <c r="L12" s="72">
        <v>0</v>
      </c>
      <c r="M12" s="72">
        <v>0</v>
      </c>
      <c r="N12" s="72">
        <v>0</v>
      </c>
      <c r="O12" s="72">
        <v>0</v>
      </c>
      <c r="P12" s="72">
        <v>0</v>
      </c>
      <c r="Q12" s="72">
        <v>0</v>
      </c>
      <c r="R12" s="72">
        <v>0</v>
      </c>
      <c r="S12" s="71">
        <v>0</v>
      </c>
      <c r="T12" s="69">
        <v>0</v>
      </c>
      <c r="Z12" s="88"/>
      <c r="AA12" s="88"/>
      <c r="AB12" s="88"/>
      <c r="AC12" s="88"/>
      <c r="AD12" s="88"/>
      <c r="AE12" s="88"/>
      <c r="AF12" s="109">
        <f t="shared" si="0"/>
        <v>0</v>
      </c>
    </row>
    <row r="13" spans="1:32">
      <c r="A13" s="63">
        <v>10</v>
      </c>
      <c r="B13" s="63"/>
      <c r="C13" s="63"/>
      <c r="D13" s="63"/>
      <c r="E13" s="63"/>
      <c r="F13" s="77"/>
      <c r="G13" s="66">
        <v>0</v>
      </c>
      <c r="H13" s="70"/>
      <c r="I13" s="66">
        <v>0</v>
      </c>
      <c r="J13" s="63"/>
      <c r="K13" s="63"/>
      <c r="L13" s="72">
        <v>0</v>
      </c>
      <c r="M13" s="72">
        <v>0</v>
      </c>
      <c r="N13" s="72">
        <v>0</v>
      </c>
      <c r="O13" s="72">
        <v>0</v>
      </c>
      <c r="P13" s="72">
        <v>0</v>
      </c>
      <c r="Q13" s="72">
        <v>0</v>
      </c>
      <c r="R13" s="72">
        <v>0</v>
      </c>
      <c r="S13" s="71">
        <v>0</v>
      </c>
      <c r="T13" s="69">
        <v>0</v>
      </c>
      <c r="Z13" s="88"/>
      <c r="AA13" s="88"/>
      <c r="AB13" s="88"/>
      <c r="AC13" s="88"/>
      <c r="AD13" s="88"/>
      <c r="AE13" s="88"/>
      <c r="AF13" s="109">
        <f t="shared" si="0"/>
        <v>0</v>
      </c>
    </row>
    <row r="14" spans="1:32">
      <c r="A14" s="63">
        <v>11</v>
      </c>
      <c r="B14" s="63"/>
      <c r="C14" s="63"/>
      <c r="D14" s="63"/>
      <c r="E14" s="63"/>
      <c r="F14" s="77"/>
      <c r="G14" s="66">
        <v>0</v>
      </c>
      <c r="H14" s="70"/>
      <c r="I14" s="66">
        <v>0</v>
      </c>
      <c r="J14" s="63"/>
      <c r="K14" s="63"/>
      <c r="L14" s="72">
        <v>0</v>
      </c>
      <c r="M14" s="72">
        <v>0</v>
      </c>
      <c r="N14" s="72">
        <v>0</v>
      </c>
      <c r="O14" s="72">
        <v>0</v>
      </c>
      <c r="P14" s="72">
        <v>0</v>
      </c>
      <c r="Q14" s="72">
        <v>0</v>
      </c>
      <c r="R14" s="72">
        <v>0</v>
      </c>
      <c r="S14" s="71">
        <v>0</v>
      </c>
      <c r="T14" s="69">
        <v>0</v>
      </c>
      <c r="Z14" s="88"/>
      <c r="AA14" s="88"/>
      <c r="AB14" s="88"/>
      <c r="AC14" s="88"/>
      <c r="AD14" s="88"/>
      <c r="AE14" s="88"/>
      <c r="AF14" s="109">
        <f t="shared" si="0"/>
        <v>0</v>
      </c>
    </row>
    <row r="15" spans="1:32" ht="14.25" thickBot="1">
      <c r="A15" s="63">
        <v>12</v>
      </c>
      <c r="B15" s="63"/>
      <c r="C15" s="63"/>
      <c r="D15" s="63"/>
      <c r="E15" s="63"/>
      <c r="F15" s="77"/>
      <c r="G15" s="66">
        <v>0</v>
      </c>
      <c r="H15" s="73"/>
      <c r="I15" s="66">
        <v>0</v>
      </c>
      <c r="J15" s="63"/>
      <c r="K15" s="63"/>
      <c r="L15" s="72">
        <v>0</v>
      </c>
      <c r="M15" s="72">
        <v>0</v>
      </c>
      <c r="N15" s="72">
        <v>0</v>
      </c>
      <c r="O15" s="72">
        <v>0</v>
      </c>
      <c r="P15" s="72">
        <v>0</v>
      </c>
      <c r="Q15" s="72">
        <v>0</v>
      </c>
      <c r="R15" s="72">
        <v>0</v>
      </c>
      <c r="S15" s="71">
        <v>0</v>
      </c>
      <c r="T15" s="69">
        <v>0</v>
      </c>
      <c r="Z15" s="88"/>
      <c r="AA15" s="88"/>
      <c r="AB15" s="88"/>
      <c r="AC15" s="88"/>
      <c r="AD15" s="88"/>
      <c r="AE15" s="88"/>
      <c r="AF15" s="109">
        <f t="shared" si="0"/>
        <v>0</v>
      </c>
    </row>
    <row r="16" spans="1:32">
      <c r="Z16" s="107" t="s">
        <v>414</v>
      </c>
      <c r="AA16" s="39"/>
      <c r="AB16" s="39"/>
      <c r="AC16" s="39"/>
      <c r="AD16" s="39"/>
      <c r="AE16" s="39"/>
      <c r="AF16" s="39"/>
    </row>
    <row r="20" spans="1:21" ht="14.25" thickBot="1"/>
    <row r="21" spans="1:21" ht="14.25" thickBot="1">
      <c r="A21" s="66"/>
      <c r="B21" s="66" t="s">
        <v>53</v>
      </c>
      <c r="C21" s="66" t="s">
        <v>5</v>
      </c>
      <c r="D21" s="66"/>
      <c r="E21" s="66"/>
      <c r="F21" s="66" t="s">
        <v>16</v>
      </c>
      <c r="G21" s="66"/>
      <c r="H21" s="66" t="s">
        <v>23</v>
      </c>
      <c r="I21" s="66"/>
      <c r="J21" s="66"/>
      <c r="K21" s="66"/>
      <c r="L21" s="77" t="s">
        <v>398</v>
      </c>
      <c r="M21" s="77" t="s">
        <v>399</v>
      </c>
      <c r="N21" s="77" t="s">
        <v>400</v>
      </c>
      <c r="O21" s="77" t="s">
        <v>401</v>
      </c>
      <c r="P21" s="77" t="s">
        <v>402</v>
      </c>
      <c r="Q21" s="77" t="s">
        <v>403</v>
      </c>
      <c r="R21" s="77" t="s">
        <v>404</v>
      </c>
      <c r="S21" s="74">
        <v>6.3750000000000009</v>
      </c>
      <c r="T21" s="75" t="s">
        <v>29</v>
      </c>
      <c r="U21" s="84" t="s">
        <v>152</v>
      </c>
    </row>
    <row r="22" spans="1:21">
      <c r="A22" s="66"/>
      <c r="B22" s="64" t="s">
        <v>406</v>
      </c>
      <c r="C22" s="64" t="s">
        <v>407</v>
      </c>
      <c r="D22" s="76" t="s">
        <v>153</v>
      </c>
      <c r="E22" s="66">
        <v>1</v>
      </c>
      <c r="F22" s="77">
        <v>901</v>
      </c>
      <c r="G22" s="66" t="s">
        <v>408</v>
      </c>
      <c r="H22" s="77">
        <v>991517</v>
      </c>
      <c r="I22" s="66" t="s">
        <v>409</v>
      </c>
      <c r="J22" s="66" t="s">
        <v>415</v>
      </c>
      <c r="K22" s="66" t="s">
        <v>416</v>
      </c>
      <c r="L22" s="67">
        <v>0</v>
      </c>
      <c r="M22" s="67">
        <v>0</v>
      </c>
      <c r="N22" s="67">
        <v>0.20833333333333334</v>
      </c>
      <c r="O22" s="67">
        <v>0</v>
      </c>
      <c r="P22" s="67">
        <v>0</v>
      </c>
      <c r="Q22" s="67">
        <v>0</v>
      </c>
      <c r="R22" s="67">
        <v>0</v>
      </c>
      <c r="S22" s="79">
        <v>0.20833333333333334</v>
      </c>
      <c r="T22" s="66"/>
      <c r="U22" s="84"/>
    </row>
    <row r="23" spans="1:21" ht="14.25" thickBot="1">
      <c r="A23" s="66"/>
      <c r="B23" s="66"/>
      <c r="C23" s="66"/>
      <c r="D23" s="78"/>
      <c r="E23" s="66">
        <v>2</v>
      </c>
      <c r="F23" s="77">
        <v>301</v>
      </c>
      <c r="G23" s="66" t="s">
        <v>410</v>
      </c>
      <c r="H23" s="77">
        <v>355039</v>
      </c>
      <c r="I23" s="66" t="s">
        <v>411</v>
      </c>
      <c r="J23" s="66" t="s">
        <v>417</v>
      </c>
      <c r="K23" s="66" t="s">
        <v>418</v>
      </c>
      <c r="L23" s="67">
        <v>0</v>
      </c>
      <c r="M23" s="67">
        <v>0</v>
      </c>
      <c r="N23" s="67">
        <v>0.125</v>
      </c>
      <c r="O23" s="67">
        <v>0</v>
      </c>
      <c r="P23" s="67">
        <v>0</v>
      </c>
      <c r="Q23" s="67">
        <v>0</v>
      </c>
      <c r="R23" s="67">
        <v>0</v>
      </c>
      <c r="S23" s="80">
        <v>0.125</v>
      </c>
      <c r="T23" s="66"/>
      <c r="U23" s="84"/>
    </row>
    <row r="24" spans="1:21" ht="14.25" thickBot="1">
      <c r="A24" s="66"/>
      <c r="B24" s="66"/>
      <c r="C24" s="66"/>
      <c r="D24" s="76" t="s">
        <v>154</v>
      </c>
      <c r="E24" s="66">
        <v>1</v>
      </c>
      <c r="F24" s="77">
        <v>301</v>
      </c>
      <c r="G24" s="66" t="s">
        <v>410</v>
      </c>
      <c r="H24" s="77">
        <v>365021</v>
      </c>
      <c r="I24" s="66" t="s">
        <v>413</v>
      </c>
      <c r="J24" s="66" t="s">
        <v>417</v>
      </c>
      <c r="K24" s="66" t="s">
        <v>419</v>
      </c>
      <c r="L24" s="67">
        <v>0.33333333333333331</v>
      </c>
      <c r="M24" s="67">
        <v>0.35416666666666669</v>
      </c>
      <c r="N24" s="67">
        <v>0.35416666666666669</v>
      </c>
      <c r="O24" s="67">
        <v>0.375</v>
      </c>
      <c r="P24" s="67">
        <v>0.33333333333333331</v>
      </c>
      <c r="Q24" s="67">
        <v>0</v>
      </c>
      <c r="R24" s="67">
        <v>0</v>
      </c>
      <c r="S24" s="80">
        <v>1.75</v>
      </c>
      <c r="T24" s="66"/>
      <c r="U24" s="84"/>
    </row>
    <row r="25" spans="1:21">
      <c r="A25" s="66"/>
      <c r="B25" s="66"/>
      <c r="C25" s="66"/>
      <c r="D25" s="76" t="s">
        <v>155</v>
      </c>
      <c r="E25" s="66">
        <v>1</v>
      </c>
      <c r="F25" s="77">
        <v>301</v>
      </c>
      <c r="G25" s="66" t="s">
        <v>410</v>
      </c>
      <c r="H25" s="77">
        <v>365021</v>
      </c>
      <c r="I25" s="66" t="s">
        <v>410</v>
      </c>
      <c r="J25" s="66" t="s">
        <v>417</v>
      </c>
      <c r="K25" s="66" t="s">
        <v>419</v>
      </c>
      <c r="L25" s="67">
        <v>0.33333333333333331</v>
      </c>
      <c r="M25" s="67">
        <v>0.3125</v>
      </c>
      <c r="N25" s="67">
        <v>0</v>
      </c>
      <c r="O25" s="67">
        <v>0</v>
      </c>
      <c r="P25" s="67">
        <v>0</v>
      </c>
      <c r="Q25" s="67">
        <v>0</v>
      </c>
      <c r="R25" s="67">
        <v>0</v>
      </c>
      <c r="S25" s="80">
        <v>0.64583333333333326</v>
      </c>
      <c r="T25" s="66"/>
      <c r="U25" s="84"/>
    </row>
    <row r="26" spans="1:21">
      <c r="A26" s="66"/>
      <c r="B26" s="66"/>
      <c r="C26" s="66"/>
      <c r="D26" s="78"/>
      <c r="E26" s="66">
        <v>2</v>
      </c>
      <c r="F26" s="77">
        <v>1851</v>
      </c>
      <c r="G26" s="66" t="s">
        <v>412</v>
      </c>
      <c r="H26" s="77">
        <v>362021</v>
      </c>
      <c r="I26" s="66" t="s">
        <v>412</v>
      </c>
      <c r="J26" s="66" t="s">
        <v>420</v>
      </c>
      <c r="K26" s="66" t="s">
        <v>421</v>
      </c>
      <c r="L26" s="67">
        <v>0</v>
      </c>
      <c r="M26" s="67">
        <v>0</v>
      </c>
      <c r="N26" s="67">
        <v>0</v>
      </c>
      <c r="O26" s="67">
        <v>0.33333333333333331</v>
      </c>
      <c r="P26" s="67">
        <v>0.16666666666666666</v>
      </c>
      <c r="Q26" s="67">
        <v>0</v>
      </c>
      <c r="R26" s="67">
        <v>0</v>
      </c>
      <c r="S26" s="80">
        <v>0.5</v>
      </c>
      <c r="T26" s="66"/>
      <c r="U26" s="84"/>
    </row>
    <row r="27" spans="1:21" ht="14.25" thickBot="1">
      <c r="A27" s="66"/>
      <c r="B27" s="66"/>
      <c r="C27" s="66"/>
      <c r="D27" s="78"/>
      <c r="E27" s="66">
        <v>3</v>
      </c>
      <c r="F27" s="77">
        <v>1851</v>
      </c>
      <c r="G27" s="66" t="s">
        <v>412</v>
      </c>
      <c r="H27" s="77">
        <v>362021</v>
      </c>
      <c r="I27" s="66" t="s">
        <v>412</v>
      </c>
      <c r="J27" s="66" t="s">
        <v>420</v>
      </c>
      <c r="K27" s="66" t="s">
        <v>422</v>
      </c>
      <c r="L27" s="67">
        <v>0</v>
      </c>
      <c r="M27" s="67">
        <v>0</v>
      </c>
      <c r="N27" s="67">
        <v>0</v>
      </c>
      <c r="O27" s="67">
        <v>0</v>
      </c>
      <c r="P27" s="67">
        <v>0.1875</v>
      </c>
      <c r="Q27" s="67">
        <v>0</v>
      </c>
      <c r="R27" s="67">
        <v>0</v>
      </c>
      <c r="S27" s="80">
        <v>0.1875</v>
      </c>
      <c r="T27" s="66"/>
      <c r="U27" s="84"/>
    </row>
    <row r="28" spans="1:21">
      <c r="A28" s="66"/>
      <c r="B28" s="66"/>
      <c r="C28" s="66"/>
      <c r="D28" s="76" t="s">
        <v>156</v>
      </c>
      <c r="E28" s="66">
        <v>1</v>
      </c>
      <c r="F28" s="77">
        <v>1851</v>
      </c>
      <c r="G28" s="66" t="s">
        <v>412</v>
      </c>
      <c r="H28" s="77">
        <v>362021</v>
      </c>
      <c r="I28" s="66" t="s">
        <v>412</v>
      </c>
      <c r="J28" s="66" t="s">
        <v>420</v>
      </c>
      <c r="K28" s="66" t="s">
        <v>422</v>
      </c>
      <c r="L28" s="67">
        <v>0.16666666666666666</v>
      </c>
      <c r="M28" s="67">
        <v>0.16666666666666666</v>
      </c>
      <c r="N28" s="67">
        <v>0.20833333333333334</v>
      </c>
      <c r="O28" s="67">
        <v>0.125</v>
      </c>
      <c r="P28" s="67">
        <v>0</v>
      </c>
      <c r="Q28" s="67">
        <v>0</v>
      </c>
      <c r="R28" s="67">
        <v>0</v>
      </c>
      <c r="S28" s="80">
        <v>0.66666666666666663</v>
      </c>
      <c r="T28" s="66"/>
      <c r="U28" s="84"/>
    </row>
    <row r="29" spans="1:21">
      <c r="A29" s="66"/>
      <c r="B29" s="66"/>
      <c r="C29" s="66"/>
      <c r="D29" s="78"/>
      <c r="E29" s="66">
        <v>2</v>
      </c>
      <c r="F29" s="77">
        <v>1851</v>
      </c>
      <c r="G29" s="66" t="s">
        <v>412</v>
      </c>
      <c r="H29" s="77">
        <v>362021</v>
      </c>
      <c r="I29" s="66" t="s">
        <v>412</v>
      </c>
      <c r="J29" s="66" t="s">
        <v>423</v>
      </c>
      <c r="K29" s="66" t="s">
        <v>424</v>
      </c>
      <c r="L29" s="67">
        <v>0.14583333333333334</v>
      </c>
      <c r="M29" s="67">
        <v>0.16666666666666666</v>
      </c>
      <c r="N29" s="67">
        <v>0</v>
      </c>
      <c r="O29" s="67">
        <v>0</v>
      </c>
      <c r="P29" s="67">
        <v>0</v>
      </c>
      <c r="Q29" s="67">
        <v>0</v>
      </c>
      <c r="R29" s="67">
        <v>0</v>
      </c>
      <c r="S29" s="80">
        <v>0.3125</v>
      </c>
      <c r="T29" s="66"/>
      <c r="U29" s="84"/>
    </row>
    <row r="30" spans="1:21">
      <c r="A30" s="66"/>
      <c r="B30" s="66"/>
      <c r="C30" s="66"/>
      <c r="D30" s="78"/>
      <c r="E30" s="66">
        <v>3</v>
      </c>
      <c r="F30" s="77">
        <v>1851</v>
      </c>
      <c r="G30" s="66" t="s">
        <v>412</v>
      </c>
      <c r="H30" s="77">
        <v>362021</v>
      </c>
      <c r="I30" s="66" t="s">
        <v>412</v>
      </c>
      <c r="J30" s="66" t="s">
        <v>425</v>
      </c>
      <c r="K30" s="66" t="s">
        <v>426</v>
      </c>
      <c r="L30" s="67">
        <v>0</v>
      </c>
      <c r="M30" s="67">
        <v>0</v>
      </c>
      <c r="N30" s="67">
        <v>0.125</v>
      </c>
      <c r="O30" s="67">
        <v>8.3333333333333329E-2</v>
      </c>
      <c r="P30" s="67">
        <v>0.16666666666666666</v>
      </c>
      <c r="Q30" s="67">
        <v>0</v>
      </c>
      <c r="R30" s="67">
        <v>0</v>
      </c>
      <c r="S30" s="80">
        <v>0.375</v>
      </c>
      <c r="T30" s="66"/>
      <c r="U30" s="84"/>
    </row>
    <row r="31" spans="1:21" ht="14.25" thickBot="1">
      <c r="A31" s="66"/>
      <c r="B31" s="66"/>
      <c r="C31" s="66"/>
      <c r="D31" s="78"/>
      <c r="E31" s="66">
        <v>4</v>
      </c>
      <c r="F31" s="77">
        <v>301</v>
      </c>
      <c r="G31" s="66" t="s">
        <v>410</v>
      </c>
      <c r="H31" s="77">
        <v>365021</v>
      </c>
      <c r="I31" s="66" t="s">
        <v>410</v>
      </c>
      <c r="J31" s="66" t="s">
        <v>427</v>
      </c>
      <c r="K31" s="66" t="s">
        <v>428</v>
      </c>
      <c r="L31" s="67">
        <v>0</v>
      </c>
      <c r="M31" s="67">
        <v>0</v>
      </c>
      <c r="N31" s="67">
        <v>0</v>
      </c>
      <c r="O31" s="67">
        <v>0.125</v>
      </c>
      <c r="P31" s="67">
        <v>0.16666666666666666</v>
      </c>
      <c r="Q31" s="67">
        <v>0</v>
      </c>
      <c r="R31" s="67">
        <v>0</v>
      </c>
      <c r="S31" s="80">
        <v>0.29166666666666663</v>
      </c>
      <c r="T31" s="66"/>
      <c r="U31" s="84"/>
    </row>
    <row r="32" spans="1:21">
      <c r="A32" s="66"/>
      <c r="B32" s="66"/>
      <c r="C32" s="66"/>
      <c r="D32" s="76" t="s">
        <v>157</v>
      </c>
      <c r="E32" s="66">
        <v>1</v>
      </c>
      <c r="F32" s="77">
        <v>901</v>
      </c>
      <c r="G32" s="66" t="s">
        <v>408</v>
      </c>
      <c r="H32" s="77">
        <v>991517</v>
      </c>
      <c r="I32" s="66" t="s">
        <v>409</v>
      </c>
      <c r="J32" s="66" t="s">
        <v>429</v>
      </c>
      <c r="K32" s="66" t="s">
        <v>430</v>
      </c>
      <c r="L32" s="67">
        <v>0.3125</v>
      </c>
      <c r="M32" s="67">
        <v>0</v>
      </c>
      <c r="N32" s="67">
        <v>0</v>
      </c>
      <c r="O32" s="67">
        <v>0</v>
      </c>
      <c r="P32" s="67">
        <v>0</v>
      </c>
      <c r="Q32" s="67">
        <v>0</v>
      </c>
      <c r="R32" s="67">
        <v>0</v>
      </c>
      <c r="S32" s="80">
        <v>0.3125</v>
      </c>
      <c r="T32" s="66"/>
      <c r="U32" s="84"/>
    </row>
    <row r="33" spans="1:21">
      <c r="A33" s="66"/>
      <c r="B33" s="66"/>
      <c r="C33" s="66"/>
      <c r="D33" s="78"/>
      <c r="E33" s="66">
        <v>2</v>
      </c>
      <c r="F33" s="77">
        <v>901</v>
      </c>
      <c r="G33" s="66" t="s">
        <v>408</v>
      </c>
      <c r="H33" s="77">
        <v>991517</v>
      </c>
      <c r="I33" s="66" t="s">
        <v>409</v>
      </c>
      <c r="J33" s="66" t="s">
        <v>429</v>
      </c>
      <c r="K33" s="66" t="s">
        <v>431</v>
      </c>
      <c r="L33" s="67">
        <v>0</v>
      </c>
      <c r="M33" s="67">
        <v>0.33333333333333331</v>
      </c>
      <c r="N33" s="67">
        <v>0.33333333333333331</v>
      </c>
      <c r="O33" s="67">
        <v>0.33333333333333331</v>
      </c>
      <c r="P33" s="67">
        <v>0</v>
      </c>
      <c r="Q33" s="67">
        <v>0</v>
      </c>
      <c r="R33" s="67">
        <v>0</v>
      </c>
      <c r="S33" s="80">
        <v>1</v>
      </c>
      <c r="T33" s="66"/>
      <c r="U33" s="84"/>
    </row>
    <row r="34" spans="1:21">
      <c r="U34" s="84"/>
    </row>
    <row r="35" spans="1:21">
      <c r="A35" s="105" t="s">
        <v>432</v>
      </c>
      <c r="B35" s="105"/>
      <c r="U35" s="84"/>
    </row>
    <row r="36" spans="1:21">
      <c r="A36" s="105" t="s">
        <v>433</v>
      </c>
      <c r="B36" s="105"/>
      <c r="U36" s="84"/>
    </row>
    <row r="37" spans="1:21">
      <c r="A37" s="105" t="s">
        <v>434</v>
      </c>
      <c r="B37" s="105"/>
      <c r="U37" s="84"/>
    </row>
    <row r="38" spans="1:21">
      <c r="A38" s="105" t="s">
        <v>435</v>
      </c>
      <c r="B38" s="105"/>
      <c r="U38" s="84"/>
    </row>
    <row r="39" spans="1:21">
      <c r="A39" s="105" t="s">
        <v>436</v>
      </c>
      <c r="B39" s="105"/>
      <c r="U39" s="84"/>
    </row>
    <row r="40" spans="1:21">
      <c r="A40" s="105" t="s">
        <v>437</v>
      </c>
      <c r="B40" s="105"/>
      <c r="U40" s="84"/>
    </row>
    <row r="41" spans="1:21">
      <c r="A41" s="105" t="s">
        <v>438</v>
      </c>
      <c r="B41" s="105"/>
      <c r="U41" s="84"/>
    </row>
    <row r="42" spans="1:21">
      <c r="A42" s="105" t="s">
        <v>439</v>
      </c>
      <c r="B42" s="105"/>
      <c r="U42" s="84"/>
    </row>
    <row r="43" spans="1:21">
      <c r="A43" s="105" t="s">
        <v>440</v>
      </c>
      <c r="B43" s="105"/>
      <c r="U43" s="84"/>
    </row>
    <row r="44" spans="1:21">
      <c r="A44" s="105" t="s">
        <v>441</v>
      </c>
      <c r="B44" s="105"/>
      <c r="U44" s="84"/>
    </row>
    <row r="45" spans="1:21">
      <c r="U45" s="84"/>
    </row>
    <row r="46" spans="1:21">
      <c r="U46" s="84"/>
    </row>
    <row r="47" spans="1:21">
      <c r="U47" s="84"/>
    </row>
    <row r="48" spans="1:21">
      <c r="U48" s="84"/>
    </row>
    <row r="49" spans="21:21">
      <c r="U49" s="84"/>
    </row>
    <row r="50" spans="21:21">
      <c r="U50" s="84"/>
    </row>
    <row r="51" spans="21:21">
      <c r="U51" s="84"/>
    </row>
    <row r="52" spans="21:21">
      <c r="U52" s="84"/>
    </row>
    <row r="53" spans="21:21">
      <c r="U53" s="84"/>
    </row>
    <row r="54" spans="21:21">
      <c r="U54" s="84"/>
    </row>
    <row r="55" spans="21:21">
      <c r="U55" s="84"/>
    </row>
    <row r="56" spans="21:21">
      <c r="U56" s="84"/>
    </row>
    <row r="57" spans="21:21">
      <c r="U57" s="84"/>
    </row>
    <row r="58" spans="21:21">
      <c r="U58" s="84"/>
    </row>
    <row r="59" spans="21:21">
      <c r="U59" s="84"/>
    </row>
    <row r="60" spans="21:21">
      <c r="U60" s="84"/>
    </row>
    <row r="61" spans="21:21">
      <c r="U61" s="84"/>
    </row>
    <row r="62" spans="21:21">
      <c r="U62" s="84"/>
    </row>
    <row r="63" spans="21:21">
      <c r="U63" s="84"/>
    </row>
    <row r="64" spans="21:21">
      <c r="U64" s="84"/>
    </row>
    <row r="65" spans="21:21">
      <c r="U65" s="84"/>
    </row>
    <row r="66" spans="21:21">
      <c r="U66" s="84"/>
    </row>
    <row r="67" spans="21:21">
      <c r="U67" s="84"/>
    </row>
    <row r="68" spans="21:21">
      <c r="U68" s="84"/>
    </row>
    <row r="69" spans="21:21">
      <c r="U69" s="84"/>
    </row>
    <row r="70" spans="21:21">
      <c r="U70" s="84"/>
    </row>
    <row r="71" spans="21:21">
      <c r="U71" s="84"/>
    </row>
    <row r="72" spans="21:21">
      <c r="U72" s="84"/>
    </row>
    <row r="73" spans="21:21">
      <c r="U73" s="84"/>
    </row>
    <row r="74" spans="21:21">
      <c r="U74" s="84"/>
    </row>
    <row r="75" spans="21:21">
      <c r="U75" s="84"/>
    </row>
    <row r="76" spans="21:21">
      <c r="U76" s="84"/>
    </row>
    <row r="77" spans="21:21">
      <c r="U77" s="84"/>
    </row>
    <row r="78" spans="21:21">
      <c r="U78" s="84"/>
    </row>
    <row r="79" spans="21:21">
      <c r="U79" s="84"/>
    </row>
    <row r="80" spans="21:21">
      <c r="U80" s="84"/>
    </row>
    <row r="81" spans="21:21">
      <c r="U81" s="84"/>
    </row>
    <row r="82" spans="21:21">
      <c r="U82" s="84"/>
    </row>
    <row r="83" spans="21:21">
      <c r="U83" s="84"/>
    </row>
    <row r="84" spans="21:21">
      <c r="U84" s="84"/>
    </row>
    <row r="85" spans="21:21">
      <c r="U85" s="84"/>
    </row>
    <row r="86" spans="21:21">
      <c r="U86" s="84"/>
    </row>
    <row r="87" spans="21:21">
      <c r="U87" s="84"/>
    </row>
    <row r="88" spans="21:21">
      <c r="U88" s="84"/>
    </row>
    <row r="89" spans="21:21">
      <c r="U89" s="84"/>
    </row>
    <row r="90" spans="21:21">
      <c r="U90" s="84"/>
    </row>
    <row r="91" spans="21:21">
      <c r="U91" s="84"/>
    </row>
    <row r="92" spans="21:21">
      <c r="U92" s="84"/>
    </row>
    <row r="93" spans="21:21">
      <c r="U93" s="84"/>
    </row>
    <row r="94" spans="21:21">
      <c r="U94" s="84"/>
    </row>
    <row r="95" spans="21:21">
      <c r="U95" s="84"/>
    </row>
    <row r="96" spans="21:21">
      <c r="U96" s="84"/>
    </row>
    <row r="97" spans="21:21">
      <c r="U97" s="84"/>
    </row>
    <row r="98" spans="21:21">
      <c r="U98" s="84"/>
    </row>
    <row r="99" spans="21:21">
      <c r="U99" s="84"/>
    </row>
    <row r="100" spans="21:21">
      <c r="U100" s="84"/>
    </row>
  </sheetData>
  <sheetProtection sheet="1" objects="1" scenarios="1"/>
  <phoneticPr fontId="7"/>
  <pageMargins left="0.7" right="0.7" top="0.75" bottom="0.75" header="0.3" footer="0.3"/>
  <pageSetup paperSize="9" scale="61" orientation="landscape" verticalDpi="0"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Y1706"/>
  <sheetViews>
    <sheetView topLeftCell="A26" zoomScaleNormal="100" workbookViewId="0">
      <selection activeCell="B8" sqref="B8"/>
    </sheetView>
  </sheetViews>
  <sheetFormatPr defaultRowHeight="13.5"/>
  <cols>
    <col min="1" max="1" width="3.375" customWidth="1"/>
    <col min="3" max="3" width="27.625" customWidth="1"/>
    <col min="4" max="4" width="6.625" customWidth="1"/>
    <col min="5" max="5" width="13.875" bestFit="1" customWidth="1"/>
    <col min="6" max="6" width="19.375" customWidth="1"/>
    <col min="7" max="7" width="12" hidden="1" customWidth="1"/>
    <col min="8" max="8" width="9.625" customWidth="1"/>
    <col min="9" max="9" width="3.875" bestFit="1" customWidth="1"/>
    <col min="10" max="51" width="5.875" bestFit="1" customWidth="1"/>
  </cols>
  <sheetData>
    <row r="1" spans="1:51">
      <c r="B1" s="60" t="s">
        <v>442</v>
      </c>
    </row>
    <row r="2" spans="1:51" ht="14.25" hidden="1" thickBot="1">
      <c r="B2" s="60"/>
      <c r="J2">
        <f t="shared" ref="J2:AY2" si="0">IF(AND($H$5&lt;=J7,$H$6&gt;=J7),1,0)</f>
        <v>0</v>
      </c>
      <c r="K2">
        <f t="shared" si="0"/>
        <v>0</v>
      </c>
      <c r="L2">
        <f t="shared" si="0"/>
        <v>1</v>
      </c>
      <c r="M2">
        <f t="shared" si="0"/>
        <v>1</v>
      </c>
      <c r="N2">
        <f t="shared" si="0"/>
        <v>1</v>
      </c>
      <c r="O2">
        <f t="shared" si="0"/>
        <v>1</v>
      </c>
      <c r="P2">
        <f t="shared" si="0"/>
        <v>1</v>
      </c>
      <c r="Q2">
        <f t="shared" si="0"/>
        <v>1</v>
      </c>
      <c r="R2">
        <f t="shared" si="0"/>
        <v>1</v>
      </c>
      <c r="S2">
        <f t="shared" si="0"/>
        <v>1</v>
      </c>
      <c r="T2">
        <f t="shared" si="0"/>
        <v>1</v>
      </c>
      <c r="U2">
        <f t="shared" si="0"/>
        <v>1</v>
      </c>
      <c r="V2">
        <f t="shared" si="0"/>
        <v>1</v>
      </c>
      <c r="W2">
        <f t="shared" si="0"/>
        <v>1</v>
      </c>
      <c r="X2">
        <f t="shared" si="0"/>
        <v>1</v>
      </c>
      <c r="Y2">
        <f t="shared" si="0"/>
        <v>1</v>
      </c>
      <c r="Z2">
        <f t="shared" si="0"/>
        <v>1</v>
      </c>
      <c r="AA2">
        <f t="shared" si="0"/>
        <v>1</v>
      </c>
      <c r="AB2">
        <f t="shared" si="0"/>
        <v>1</v>
      </c>
      <c r="AC2">
        <f t="shared" si="0"/>
        <v>1</v>
      </c>
      <c r="AD2">
        <f t="shared" si="0"/>
        <v>1</v>
      </c>
      <c r="AE2">
        <f t="shared" si="0"/>
        <v>1</v>
      </c>
      <c r="AF2">
        <f t="shared" si="0"/>
        <v>1</v>
      </c>
      <c r="AG2">
        <f t="shared" si="0"/>
        <v>1</v>
      </c>
      <c r="AH2">
        <f t="shared" si="0"/>
        <v>1</v>
      </c>
      <c r="AI2">
        <f t="shared" si="0"/>
        <v>1</v>
      </c>
      <c r="AJ2">
        <f t="shared" si="0"/>
        <v>1</v>
      </c>
      <c r="AK2">
        <f t="shared" si="0"/>
        <v>1</v>
      </c>
      <c r="AL2">
        <f t="shared" si="0"/>
        <v>1</v>
      </c>
      <c r="AM2">
        <f t="shared" si="0"/>
        <v>1</v>
      </c>
      <c r="AN2">
        <f t="shared" si="0"/>
        <v>1</v>
      </c>
      <c r="AO2">
        <f t="shared" si="0"/>
        <v>1</v>
      </c>
      <c r="AP2">
        <f t="shared" si="0"/>
        <v>0</v>
      </c>
      <c r="AQ2">
        <f t="shared" si="0"/>
        <v>0</v>
      </c>
      <c r="AR2">
        <f t="shared" si="0"/>
        <v>0</v>
      </c>
      <c r="AS2">
        <f t="shared" si="0"/>
        <v>0</v>
      </c>
      <c r="AT2">
        <f t="shared" si="0"/>
        <v>0</v>
      </c>
      <c r="AU2">
        <f t="shared" si="0"/>
        <v>0</v>
      </c>
      <c r="AV2">
        <f t="shared" si="0"/>
        <v>0</v>
      </c>
      <c r="AW2">
        <f t="shared" si="0"/>
        <v>0</v>
      </c>
      <c r="AX2">
        <f t="shared" si="0"/>
        <v>0</v>
      </c>
      <c r="AY2">
        <f t="shared" si="0"/>
        <v>0</v>
      </c>
    </row>
    <row r="3" spans="1:51">
      <c r="B3" s="60"/>
    </row>
    <row r="4" spans="1:51" ht="14.25" thickBot="1">
      <c r="B4" s="60"/>
      <c r="H4" s="138" t="str">
        <f>"今月は"&amp;MIN(J7:AY7)&amp;"日から"&amp;MAX(J7:AY7)&amp;"日です"</f>
        <v>今月は1日から31日です</v>
      </c>
    </row>
    <row r="5" spans="1:51" ht="14.25" thickBot="1">
      <c r="B5" t="s">
        <v>5</v>
      </c>
      <c r="C5" s="66" t="str">
        <f>月間集計シート!B4&amp;"の"&amp;月間集計シート!C4</f>
        <v>FPTジャパンのLE NHUT THIEN</v>
      </c>
      <c r="D5" s="66"/>
      <c r="E5" s="135"/>
      <c r="F5" s="148" t="s">
        <v>443</v>
      </c>
      <c r="G5" s="125"/>
      <c r="H5" s="136">
        <v>1</v>
      </c>
      <c r="I5" s="124" t="s">
        <v>444</v>
      </c>
      <c r="J5" t="s">
        <v>153</v>
      </c>
      <c r="Q5" t="s">
        <v>399</v>
      </c>
      <c r="X5" t="s">
        <v>400</v>
      </c>
      <c r="AE5" t="s">
        <v>401</v>
      </c>
      <c r="AL5" t="s">
        <v>402</v>
      </c>
      <c r="AS5" t="s">
        <v>403</v>
      </c>
    </row>
    <row r="6" spans="1:51" ht="14.25" thickBot="1">
      <c r="E6" s="134"/>
      <c r="F6" s="148" t="s">
        <v>445</v>
      </c>
      <c r="G6" s="125"/>
      <c r="H6" s="136">
        <v>30</v>
      </c>
      <c r="I6" s="130" t="s">
        <v>444</v>
      </c>
      <c r="J6" s="123" t="s">
        <v>125</v>
      </c>
      <c r="K6" s="117" t="s">
        <v>126</v>
      </c>
      <c r="L6" s="117" t="s">
        <v>127</v>
      </c>
      <c r="M6" s="117" t="s">
        <v>128</v>
      </c>
      <c r="N6" s="117" t="s">
        <v>129</v>
      </c>
      <c r="O6" s="117" t="s">
        <v>130</v>
      </c>
      <c r="P6" s="117" t="s">
        <v>131</v>
      </c>
      <c r="Q6" s="117" t="s">
        <v>125</v>
      </c>
      <c r="R6" s="117" t="s">
        <v>126</v>
      </c>
      <c r="S6" s="117" t="s">
        <v>127</v>
      </c>
      <c r="T6" s="117" t="s">
        <v>128</v>
      </c>
      <c r="U6" s="117" t="s">
        <v>129</v>
      </c>
      <c r="V6" s="117" t="s">
        <v>130</v>
      </c>
      <c r="W6" s="117" t="s">
        <v>131</v>
      </c>
      <c r="X6" s="117" t="s">
        <v>125</v>
      </c>
      <c r="Y6" s="117" t="s">
        <v>126</v>
      </c>
      <c r="Z6" s="117" t="s">
        <v>127</v>
      </c>
      <c r="AA6" s="117" t="s">
        <v>128</v>
      </c>
      <c r="AB6" s="117" t="s">
        <v>129</v>
      </c>
      <c r="AC6" s="117" t="s">
        <v>130</v>
      </c>
      <c r="AD6" s="117" t="s">
        <v>131</v>
      </c>
      <c r="AE6" s="117" t="s">
        <v>125</v>
      </c>
      <c r="AF6" s="117" t="s">
        <v>126</v>
      </c>
      <c r="AG6" s="117" t="s">
        <v>127</v>
      </c>
      <c r="AH6" s="117" t="s">
        <v>128</v>
      </c>
      <c r="AI6" s="117" t="s">
        <v>129</v>
      </c>
      <c r="AJ6" s="117" t="s">
        <v>130</v>
      </c>
      <c r="AK6" s="117" t="s">
        <v>131</v>
      </c>
      <c r="AL6" s="117" t="s">
        <v>125</v>
      </c>
      <c r="AM6" s="117" t="s">
        <v>126</v>
      </c>
      <c r="AN6" s="117" t="s">
        <v>127</v>
      </c>
      <c r="AO6" s="117" t="s">
        <v>128</v>
      </c>
      <c r="AP6" s="117" t="s">
        <v>129</v>
      </c>
      <c r="AQ6" s="117" t="s">
        <v>130</v>
      </c>
      <c r="AR6" s="117" t="s">
        <v>131</v>
      </c>
      <c r="AS6" s="117" t="s">
        <v>125</v>
      </c>
      <c r="AT6" s="117" t="s">
        <v>126</v>
      </c>
      <c r="AU6" s="117" t="s">
        <v>127</v>
      </c>
      <c r="AV6" s="117" t="s">
        <v>128</v>
      </c>
      <c r="AW6" s="117" t="s">
        <v>129</v>
      </c>
      <c r="AX6" s="117" t="s">
        <v>130</v>
      </c>
      <c r="AY6" s="117" t="s">
        <v>131</v>
      </c>
    </row>
    <row r="7" spans="1:51">
      <c r="A7" t="s">
        <v>134</v>
      </c>
      <c r="B7" s="39" t="s">
        <v>446</v>
      </c>
      <c r="C7" s="39" t="s">
        <v>447</v>
      </c>
      <c r="D7" s="151" t="s">
        <v>448</v>
      </c>
      <c r="E7" s="39" t="s">
        <v>449</v>
      </c>
      <c r="F7" s="39" t="s">
        <v>25</v>
      </c>
      <c r="G7" s="39"/>
      <c r="H7" s="152" t="s">
        <v>450</v>
      </c>
      <c r="I7" s="131"/>
      <c r="J7" s="117" t="str">
        <f>IF(WEEKDAY('1週'!$B$3&amp;"/"&amp;'1週'!$C$3&amp;"/"&amp;1)=2,1,"")</f>
        <v/>
      </c>
      <c r="K7" s="117" t="str">
        <f>IF(J7&lt;&gt;"",J7+1,IF(WEEKDAY('1週'!$B$3&amp;"/"&amp;'1週'!$C$3&amp;"/"&amp;1)=3,1,""))</f>
        <v/>
      </c>
      <c r="L7" s="117">
        <f>IF(K7&lt;&gt;"",K7+1,IF(WEEKDAY('1週'!$B$3&amp;"/"&amp;'1週'!$C$3&amp;"/"&amp;1)=4,1,""))</f>
        <v>1</v>
      </c>
      <c r="M7" s="117">
        <f>IF(L7&lt;&gt;"",L7+1,IF(WEEKDAY('1週'!$B$3&amp;"/"&amp;'1週'!$C$3&amp;"/"&amp;1)=5,1,""))</f>
        <v>2</v>
      </c>
      <c r="N7" s="117">
        <f>IF(M7&lt;&gt;"",M7+1,IF(WEEKDAY('1週'!$B$3&amp;"/"&amp;'1週'!$C$3&amp;"/"&amp;1)=6,1,""))</f>
        <v>3</v>
      </c>
      <c r="O7" s="117">
        <f>IF(N7&lt;&gt;"",N7+1,IF(WEEKDAY('1週'!$B$3&amp;"/"&amp;'1週'!$C$3&amp;"/"&amp;1)=7,1,""))</f>
        <v>4</v>
      </c>
      <c r="P7" s="117">
        <f>IF(O7&lt;&gt;"",O7+1,IF(WEEKDAY('1週'!$B$3&amp;"/"&amp;'1週'!$C$3&amp;"/"&amp;1)=1,1,""))</f>
        <v>5</v>
      </c>
      <c r="Q7" s="118">
        <f>P7+1</f>
        <v>6</v>
      </c>
      <c r="R7" s="118">
        <f>Q7+1</f>
        <v>7</v>
      </c>
      <c r="S7" s="118">
        <f t="shared" ref="S7:AK7" si="1">R7+1</f>
        <v>8</v>
      </c>
      <c r="T7" s="118">
        <f t="shared" si="1"/>
        <v>9</v>
      </c>
      <c r="U7" s="118">
        <f t="shared" si="1"/>
        <v>10</v>
      </c>
      <c r="V7" s="118">
        <f t="shared" si="1"/>
        <v>11</v>
      </c>
      <c r="W7" s="118">
        <f t="shared" si="1"/>
        <v>12</v>
      </c>
      <c r="X7" s="118">
        <f t="shared" si="1"/>
        <v>13</v>
      </c>
      <c r="Y7" s="118">
        <f t="shared" si="1"/>
        <v>14</v>
      </c>
      <c r="Z7" s="118">
        <f t="shared" si="1"/>
        <v>15</v>
      </c>
      <c r="AA7" s="118">
        <f t="shared" si="1"/>
        <v>16</v>
      </c>
      <c r="AB7" s="118">
        <f t="shared" si="1"/>
        <v>17</v>
      </c>
      <c r="AC7" s="118">
        <f t="shared" si="1"/>
        <v>18</v>
      </c>
      <c r="AD7" s="118">
        <f t="shared" si="1"/>
        <v>19</v>
      </c>
      <c r="AE7" s="118">
        <f t="shared" si="1"/>
        <v>20</v>
      </c>
      <c r="AF7" s="118">
        <f t="shared" si="1"/>
        <v>21</v>
      </c>
      <c r="AG7" s="118">
        <f t="shared" si="1"/>
        <v>22</v>
      </c>
      <c r="AH7" s="118">
        <f t="shared" si="1"/>
        <v>23</v>
      </c>
      <c r="AI7" s="118">
        <f t="shared" si="1"/>
        <v>24</v>
      </c>
      <c r="AJ7" s="118">
        <f t="shared" si="1"/>
        <v>25</v>
      </c>
      <c r="AK7" s="118">
        <f t="shared" si="1"/>
        <v>26</v>
      </c>
      <c r="AL7" s="118">
        <f>IF(ISERR(WEEKDAY('1週'!$B$3&amp;"/"&amp;'1週'!$C$3&amp;"/"&amp;AK7+1))=TRUE,"",AK7+1)</f>
        <v>27</v>
      </c>
      <c r="AM7" s="118">
        <f>IF(ISERR(WEEKDAY('1週'!$B$3&amp;"/"&amp;'1週'!$C$3&amp;"/"&amp;AK7+2))=TRUE,"",AK7+2)</f>
        <v>28</v>
      </c>
      <c r="AN7" s="118">
        <f>IF(ISERR(WEEKDAY('1週'!$B$3&amp;"/"&amp;'1週'!$C$3&amp;"/"&amp;AK7+3))=TRUE,"",AK7+3)</f>
        <v>29</v>
      </c>
      <c r="AO7" s="118">
        <f>IF(ISERR(WEEKDAY('1週'!$B$3&amp;"/"&amp;'1週'!$C$3&amp;"/"&amp;AK7+4))=TRUE,"",AK7+4)</f>
        <v>30</v>
      </c>
      <c r="AP7" s="118">
        <f>IF(ISERR(WEEKDAY('1週'!$B$3&amp;"/"&amp;'1週'!$C$3&amp;"/"&amp;AK7+5))=TRUE,"",AK7+5)</f>
        <v>31</v>
      </c>
      <c r="AQ7" s="118" t="str">
        <f>IF(ISERR(WEEKDAY('1週'!$B$3&amp;"/"&amp;'1週'!$C$3&amp;"/"&amp;AK7+6))=TRUE,"",AK7+6)</f>
        <v/>
      </c>
      <c r="AR7" s="118" t="str">
        <f>IF(ISERR(WEEKDAY('1週'!$B$3&amp;"/"&amp;'1週'!$C$3&amp;"/"&amp;AK7+7))=TRUE,"",AK7+7)</f>
        <v/>
      </c>
      <c r="AS7" s="118" t="str">
        <f>IF(ISERR(WEEKDAY('1週'!$B$3&amp;"/"&amp;'1週'!$C$3&amp;"/"&amp;AK7+8))=TRUE,"",AK7+8)</f>
        <v/>
      </c>
      <c r="AT7" s="118" t="str">
        <f>IF(ISERR(WEEKDAY('1週'!$B$3&amp;"/"&amp;'1週'!$C$3&amp;"/"&amp;AK7+9))=TRUE,"",AK7+9)</f>
        <v/>
      </c>
      <c r="AU7" s="118" t="str">
        <f>IF(ISERR(WEEKDAY('1週'!$B$3&amp;"/"&amp;'1週'!$C$3&amp;"/"&amp;AK7+10))=TRUE,"",AK7+10)</f>
        <v/>
      </c>
      <c r="AV7" s="118" t="str">
        <f>IF(ISERR(WEEKDAY('1週'!$B$3&amp;"/"&amp;'1週'!$C$3&amp;"/"&amp;AK7+11))=TRUE,"",AK7+11)</f>
        <v/>
      </c>
      <c r="AW7" s="118" t="str">
        <f>IF(ISERR(WEEKDAY('1週'!$B$3&amp;"/"&amp;'1週'!$C$3&amp;"/"&amp;AK7+12))=TRUE,"",AK7+12)</f>
        <v/>
      </c>
      <c r="AX7" s="118" t="str">
        <f>IF(ISERR(WEEKDAY('1週'!$B$3&amp;"/"&amp;'1週'!$C$3&amp;"/"&amp;AK7+13))=TRUE,"",AK7+13)</f>
        <v/>
      </c>
      <c r="AY7" s="118" t="str">
        <f>IF(ISERR(WEEKDAY('1週'!$B$3&amp;"/"&amp;'1週'!$C$3&amp;"/"&amp;AK7+14))=TRUE,"",AK7+14)</f>
        <v/>
      </c>
    </row>
    <row r="8" spans="1:51" ht="14.25" customHeight="1" thickBot="1">
      <c r="A8">
        <v>1</v>
      </c>
      <c r="B8">
        <f>月間集計シート!I4</f>
        <v>999909</v>
      </c>
      <c r="C8" s="116" t="e">
        <f>月間集計シート!J4</f>
        <v>#N/A</v>
      </c>
      <c r="D8" s="147">
        <v>1</v>
      </c>
      <c r="E8" s="115" t="s">
        <v>451</v>
      </c>
      <c r="F8" s="119" t="s">
        <v>452</v>
      </c>
      <c r="G8" s="116"/>
      <c r="H8" s="128">
        <f>SUM(J8:AY8)</f>
        <v>0</v>
      </c>
      <c r="I8" s="132"/>
      <c r="J8" s="88">
        <f t="shared" ref="J8:AY8" si="2">SUM(J10:J91)</f>
        <v>0</v>
      </c>
      <c r="K8" s="88">
        <f t="shared" si="2"/>
        <v>0</v>
      </c>
      <c r="L8" s="88">
        <f t="shared" si="2"/>
        <v>0</v>
      </c>
      <c r="M8" s="88">
        <f t="shared" si="2"/>
        <v>0</v>
      </c>
      <c r="N8" s="88">
        <f t="shared" si="2"/>
        <v>0</v>
      </c>
      <c r="O8" s="88">
        <f t="shared" si="2"/>
        <v>0</v>
      </c>
      <c r="P8" s="88">
        <f t="shared" si="2"/>
        <v>0</v>
      </c>
      <c r="Q8" s="88">
        <f t="shared" si="2"/>
        <v>0</v>
      </c>
      <c r="R8" s="88">
        <f t="shared" si="2"/>
        <v>0</v>
      </c>
      <c r="S8" s="88">
        <f t="shared" si="2"/>
        <v>0</v>
      </c>
      <c r="T8" s="88">
        <f t="shared" si="2"/>
        <v>0</v>
      </c>
      <c r="U8" s="88">
        <f t="shared" si="2"/>
        <v>0</v>
      </c>
      <c r="V8" s="88">
        <f t="shared" si="2"/>
        <v>0</v>
      </c>
      <c r="W8" s="88">
        <f t="shared" si="2"/>
        <v>0</v>
      </c>
      <c r="X8" s="88">
        <f t="shared" si="2"/>
        <v>0</v>
      </c>
      <c r="Y8" s="88">
        <f t="shared" si="2"/>
        <v>0</v>
      </c>
      <c r="Z8" s="88">
        <f t="shared" si="2"/>
        <v>0</v>
      </c>
      <c r="AA8" s="88">
        <f t="shared" si="2"/>
        <v>0</v>
      </c>
      <c r="AB8" s="88">
        <f t="shared" si="2"/>
        <v>0</v>
      </c>
      <c r="AC8" s="88">
        <f t="shared" si="2"/>
        <v>0</v>
      </c>
      <c r="AD8" s="88">
        <f t="shared" si="2"/>
        <v>0</v>
      </c>
      <c r="AE8" s="88">
        <f t="shared" si="2"/>
        <v>0</v>
      </c>
      <c r="AF8" s="88">
        <f t="shared" si="2"/>
        <v>0</v>
      </c>
      <c r="AG8" s="88">
        <f t="shared" si="2"/>
        <v>0</v>
      </c>
      <c r="AH8" s="88">
        <f t="shared" si="2"/>
        <v>0</v>
      </c>
      <c r="AI8" s="88">
        <f t="shared" si="2"/>
        <v>0</v>
      </c>
      <c r="AJ8" s="88">
        <f t="shared" si="2"/>
        <v>0</v>
      </c>
      <c r="AK8" s="88">
        <f t="shared" si="2"/>
        <v>0</v>
      </c>
      <c r="AL8" s="88">
        <f t="shared" si="2"/>
        <v>0</v>
      </c>
      <c r="AM8" s="88">
        <f t="shared" si="2"/>
        <v>0</v>
      </c>
      <c r="AN8" s="88">
        <f t="shared" si="2"/>
        <v>0</v>
      </c>
      <c r="AO8" s="88">
        <f t="shared" si="2"/>
        <v>0</v>
      </c>
      <c r="AP8" s="88">
        <f t="shared" si="2"/>
        <v>0</v>
      </c>
      <c r="AQ8" s="88">
        <f t="shared" si="2"/>
        <v>0</v>
      </c>
      <c r="AR8" s="88">
        <f t="shared" si="2"/>
        <v>0</v>
      </c>
      <c r="AS8" s="88">
        <f t="shared" si="2"/>
        <v>0</v>
      </c>
      <c r="AT8" s="88">
        <f t="shared" si="2"/>
        <v>0</v>
      </c>
      <c r="AU8" s="88">
        <f t="shared" si="2"/>
        <v>0</v>
      </c>
      <c r="AV8" s="88">
        <f t="shared" si="2"/>
        <v>0</v>
      </c>
      <c r="AW8" s="88">
        <f t="shared" si="2"/>
        <v>0</v>
      </c>
      <c r="AX8" s="88">
        <f t="shared" si="2"/>
        <v>0</v>
      </c>
      <c r="AY8" s="88">
        <f t="shared" si="2"/>
        <v>0</v>
      </c>
    </row>
    <row r="9" spans="1:51" ht="14.25" customHeight="1" thickBot="1">
      <c r="A9">
        <v>1</v>
      </c>
      <c r="B9">
        <f>B8</f>
        <v>999909</v>
      </c>
      <c r="C9" s="116" t="e">
        <f>C8</f>
        <v>#N/A</v>
      </c>
      <c r="D9" s="147">
        <v>1</v>
      </c>
      <c r="E9" s="115" t="s">
        <v>453</v>
      </c>
      <c r="F9" s="119" t="s">
        <v>454</v>
      </c>
      <c r="G9" s="116"/>
      <c r="H9" s="129">
        <f>SUM(J9:AY9)</f>
        <v>0</v>
      </c>
      <c r="I9" s="133"/>
      <c r="J9" s="88">
        <f t="shared" ref="J9:AY9" si="3">SUMIF($D10:$D91,1,J10:J91)</f>
        <v>0</v>
      </c>
      <c r="K9" s="88">
        <f t="shared" si="3"/>
        <v>0</v>
      </c>
      <c r="L9" s="88">
        <f t="shared" si="3"/>
        <v>0</v>
      </c>
      <c r="M9" s="88">
        <f t="shared" si="3"/>
        <v>0</v>
      </c>
      <c r="N9" s="88">
        <f t="shared" si="3"/>
        <v>0</v>
      </c>
      <c r="O9" s="88">
        <f t="shared" si="3"/>
        <v>0</v>
      </c>
      <c r="P9" s="88">
        <f t="shared" si="3"/>
        <v>0</v>
      </c>
      <c r="Q9" s="88">
        <f t="shared" si="3"/>
        <v>0</v>
      </c>
      <c r="R9" s="88">
        <f t="shared" si="3"/>
        <v>0</v>
      </c>
      <c r="S9" s="88">
        <f t="shared" si="3"/>
        <v>0</v>
      </c>
      <c r="T9" s="88">
        <f t="shared" si="3"/>
        <v>0</v>
      </c>
      <c r="U9" s="88">
        <f t="shared" si="3"/>
        <v>0</v>
      </c>
      <c r="V9" s="88">
        <f t="shared" si="3"/>
        <v>0</v>
      </c>
      <c r="W9" s="88">
        <f t="shared" si="3"/>
        <v>0</v>
      </c>
      <c r="X9" s="88">
        <f t="shared" si="3"/>
        <v>0</v>
      </c>
      <c r="Y9" s="88">
        <f t="shared" si="3"/>
        <v>0</v>
      </c>
      <c r="Z9" s="88">
        <f t="shared" si="3"/>
        <v>0</v>
      </c>
      <c r="AA9" s="88">
        <f t="shared" si="3"/>
        <v>0</v>
      </c>
      <c r="AB9" s="88">
        <f t="shared" si="3"/>
        <v>0</v>
      </c>
      <c r="AC9" s="88">
        <f t="shared" si="3"/>
        <v>0</v>
      </c>
      <c r="AD9" s="88">
        <f t="shared" si="3"/>
        <v>0</v>
      </c>
      <c r="AE9" s="88">
        <f t="shared" si="3"/>
        <v>0</v>
      </c>
      <c r="AF9" s="88">
        <f t="shared" si="3"/>
        <v>0</v>
      </c>
      <c r="AG9" s="88">
        <f t="shared" si="3"/>
        <v>0</v>
      </c>
      <c r="AH9" s="88">
        <f t="shared" si="3"/>
        <v>0</v>
      </c>
      <c r="AI9" s="88">
        <f t="shared" si="3"/>
        <v>0</v>
      </c>
      <c r="AJ9" s="88">
        <f t="shared" si="3"/>
        <v>0</v>
      </c>
      <c r="AK9" s="88">
        <f t="shared" si="3"/>
        <v>0</v>
      </c>
      <c r="AL9" s="88">
        <f t="shared" si="3"/>
        <v>0</v>
      </c>
      <c r="AM9" s="88">
        <f t="shared" si="3"/>
        <v>0</v>
      </c>
      <c r="AN9" s="88">
        <f t="shared" si="3"/>
        <v>0</v>
      </c>
      <c r="AO9" s="88">
        <f t="shared" si="3"/>
        <v>0</v>
      </c>
      <c r="AP9" s="88">
        <f t="shared" si="3"/>
        <v>0</v>
      </c>
      <c r="AQ9" s="88">
        <f t="shared" si="3"/>
        <v>0</v>
      </c>
      <c r="AR9" s="88">
        <f t="shared" si="3"/>
        <v>0</v>
      </c>
      <c r="AS9" s="88">
        <f t="shared" si="3"/>
        <v>0</v>
      </c>
      <c r="AT9" s="88">
        <f t="shared" si="3"/>
        <v>0</v>
      </c>
      <c r="AU9" s="88">
        <f t="shared" si="3"/>
        <v>0</v>
      </c>
      <c r="AV9" s="88">
        <f t="shared" si="3"/>
        <v>0</v>
      </c>
      <c r="AW9" s="88">
        <f t="shared" si="3"/>
        <v>0</v>
      </c>
      <c r="AX9" s="88">
        <f t="shared" si="3"/>
        <v>0</v>
      </c>
      <c r="AY9" s="88">
        <f t="shared" si="3"/>
        <v>0</v>
      </c>
    </row>
    <row r="10" spans="1:51" ht="14.25" thickBot="1">
      <c r="A10">
        <v>1</v>
      </c>
      <c r="B10" s="120">
        <f>B8</f>
        <v>999909</v>
      </c>
      <c r="C10" s="120" t="e">
        <f>C8</f>
        <v>#N/A</v>
      </c>
      <c r="D10" s="137"/>
      <c r="E10" s="150" t="str">
        <f>工種!A2</f>
        <v>10102</v>
      </c>
      <c r="F10" s="119" t="str">
        <f>工種!B2</f>
        <v>SRS：調査・分析・開発計画の準備・実施作業</v>
      </c>
      <c r="G10" s="116" t="str">
        <f>B10&amp;E10</f>
        <v>99990910102</v>
      </c>
      <c r="H10" s="98">
        <f t="shared" ref="H10:H80" si="4">SUM(J10:AY10)</f>
        <v>0</v>
      </c>
      <c r="I10" s="132"/>
      <c r="J10" s="88">
        <f>SUMIF(月間集計シート!$M$29:$M$48,$G10,月間集計シート!N$29:N$48)*J$2</f>
        <v>0</v>
      </c>
      <c r="K10" s="88">
        <f>SUMIF(月間集計シート!$M$29:$M$48,$G10,月間集計シート!O$29:O$48)*K$2</f>
        <v>0</v>
      </c>
      <c r="L10" s="88">
        <f>SUMIF(月間集計シート!$M$29:$M$48,$G10,月間集計シート!P$29:P$48)*L$2</f>
        <v>0</v>
      </c>
      <c r="M10" s="88">
        <f>SUMIF(月間集計シート!$M$29:$M$48,$G10,月間集計シート!Q$29:Q$48)*M$2</f>
        <v>0</v>
      </c>
      <c r="N10" s="88">
        <f>SUMIF(月間集計シート!$M$29:$M$48,$G10,月間集計シート!R$29:R$48)*N$2</f>
        <v>0</v>
      </c>
      <c r="O10" s="88">
        <f>SUMIF(月間集計シート!$M$29:$M$48,$G10,月間集計シート!S$29:S$48)*O$2</f>
        <v>0</v>
      </c>
      <c r="P10" s="88">
        <f>SUMIF(月間集計シート!$M$29:$M$48,$G10,月間集計シート!T$29:T$48)*P$2</f>
        <v>0</v>
      </c>
      <c r="Q10" s="88">
        <f>SUMIF(月間集計シート!$M$50:$M$69,$G10,月間集計シート!N$50:N$69)*Q$2</f>
        <v>0</v>
      </c>
      <c r="R10" s="88">
        <f>SUMIF(月間集計シート!$M$50:$M$69,$G10,月間集計シート!O$50:O$69)*R$2</f>
        <v>0</v>
      </c>
      <c r="S10" s="88">
        <f>SUMIF(月間集計シート!$M$50:$M$69,$G10,月間集計シート!P$50:P$69)*S$2</f>
        <v>0</v>
      </c>
      <c r="T10" s="88">
        <f>SUMIF(月間集計シート!$M$50:$M$69,$G10,月間集計シート!Q$50:Q$69)*T$2</f>
        <v>0</v>
      </c>
      <c r="U10" s="88">
        <f>SUMIF(月間集計シート!$M$50:$M$69,$G10,月間集計シート!R$50:R$69)*U$2</f>
        <v>0</v>
      </c>
      <c r="V10" s="88">
        <f>SUMIF(月間集計シート!$M$50:$M$69,$G10,月間集計シート!S$50:S$69)*V$2</f>
        <v>0</v>
      </c>
      <c r="W10" s="88">
        <f>SUMIF(月間集計シート!$M$50:$M$69,$G10,月間集計シート!T$50:T$69)*W$2</f>
        <v>0</v>
      </c>
      <c r="X10" s="88">
        <f>SUMIF(月間集計シート!$M$71:$M$90,$G10,月間集計シート!N$71:N$90)*X$2</f>
        <v>0</v>
      </c>
      <c r="Y10" s="88">
        <f>SUMIF(月間集計シート!$M$71:$M$90,$G10,月間集計シート!O$71:O$90)*Y$2</f>
        <v>0</v>
      </c>
      <c r="Z10" s="88">
        <f>SUMIF(月間集計シート!$M$71:$M$90,$G10,月間集計シート!P$71:P$90)*Z$2</f>
        <v>0</v>
      </c>
      <c r="AA10" s="88">
        <f>SUMIF(月間集計シート!$M$71:$M$90,$G10,月間集計シート!Q$71:Q$90)*AA$2</f>
        <v>0</v>
      </c>
      <c r="AB10" s="88">
        <f>SUMIF(月間集計シート!$M$71:$M$90,$G10,月間集計シート!R$71:R$90)*AB$2</f>
        <v>0</v>
      </c>
      <c r="AC10" s="88">
        <f>SUMIF(月間集計シート!$M$71:$M$90,$G10,月間集計シート!S$71:S$90)*AC$2</f>
        <v>0</v>
      </c>
      <c r="AD10" s="88">
        <f>SUMIF(月間集計シート!$M$71:$M$90,$G10,月間集計シート!T$71:T$90)*AD$2</f>
        <v>0</v>
      </c>
      <c r="AE10" s="88">
        <f>SUMIF(月間集計シート!$M$92:$M$111,$G10,月間集計シート!N$92:N$111)*AE$2</f>
        <v>0</v>
      </c>
      <c r="AF10" s="88">
        <f>SUMIF(月間集計シート!$M$92:$M$111,$G10,月間集計シート!O$92:O$111)*AF$2</f>
        <v>0</v>
      </c>
      <c r="AG10" s="88">
        <f>SUMIF(月間集計シート!$M$92:$M$111,$G10,月間集計シート!P$92:P$111)*AG$2</f>
        <v>0</v>
      </c>
      <c r="AH10" s="88">
        <f>SUMIF(月間集計シート!$M$92:$M$111,$G10,月間集計シート!Q$92:Q$111)*AH$2</f>
        <v>0</v>
      </c>
      <c r="AI10" s="88">
        <f>SUMIF(月間集計シート!$M$92:$M$111,$G10,月間集計シート!R$92:R$111)*AI$2</f>
        <v>0</v>
      </c>
      <c r="AJ10" s="88">
        <f>SUMIF(月間集計シート!$M$92:$M$111,$G10,月間集計シート!S$92:S$111)*AJ$2</f>
        <v>0</v>
      </c>
      <c r="AK10" s="88">
        <f>SUMIF(月間集計シート!$M$92:$M$111,$G10,月間集計シート!T$92:T$111)*AK$2</f>
        <v>0</v>
      </c>
      <c r="AL10" s="88">
        <f>SUMIF(月間集計シート!$M$113:$M$132,$G10,月間集計シート!N$113:N$132)*AL$2</f>
        <v>0</v>
      </c>
      <c r="AM10" s="88">
        <f>SUMIF(月間集計シート!$M$113:$M$132,$G10,月間集計シート!O$113:O$132)*AM$2</f>
        <v>0</v>
      </c>
      <c r="AN10" s="88">
        <f>SUMIF(月間集計シート!$M$113:$M$132,$G10,月間集計シート!P$113:P$132)*AN$2</f>
        <v>0</v>
      </c>
      <c r="AO10" s="88">
        <f>SUMIF(月間集計シート!$M$113:$M$132,$G10,月間集計シート!Q$113:Q$132)*AO$2</f>
        <v>0</v>
      </c>
      <c r="AP10" s="88">
        <f>SUMIF(月間集計シート!$M$113:$M$132,$G10,月間集計シート!R$113:R$132)*AP$2</f>
        <v>0</v>
      </c>
      <c r="AQ10" s="88">
        <f>SUMIF(月間集計シート!$M$113:$M$132,$G10,月間集計シート!S$113:S$132)*AQ$2</f>
        <v>0</v>
      </c>
      <c r="AR10" s="88">
        <f>SUMIF(月間集計シート!$M$113:$M$132,$G10,月間集計シート!T$113:T$132)*AR$2</f>
        <v>0</v>
      </c>
      <c r="AS10" s="88">
        <f>SUMIF(月間集計シート!$M$134:$M$153,$G10,月間集計シート!N$134:N$153)*AS$2</f>
        <v>0</v>
      </c>
      <c r="AT10" s="88">
        <f>SUMIF(月間集計シート!$M$134:$M$153,$G10,月間集計シート!O$134:O$153)*AT$2</f>
        <v>0</v>
      </c>
      <c r="AU10" s="88">
        <f>SUMIF(月間集計シート!$M$134:$M$153,$G10,月間集計シート!P$134:P$153)*AU$2</f>
        <v>0</v>
      </c>
      <c r="AV10" s="88">
        <f>SUMIF(月間集計シート!$M$134:$M$153,$G10,月間集計シート!Q$134:Q$153)*AV$2</f>
        <v>0</v>
      </c>
      <c r="AW10" s="88">
        <f>SUMIF(月間集計シート!$M$134:$M$153,$G10,月間集計シート!R$134:R$153)*AW$2</f>
        <v>0</v>
      </c>
      <c r="AX10" s="88">
        <f>SUMIF(月間集計シート!$M$134:$M$153,$G10,月間集計シート!S$134:S$153)*AX$2</f>
        <v>0</v>
      </c>
      <c r="AY10" s="88">
        <f>SUMIF(月間集計シート!$M$134:$M$153,$G10,月間集計シート!T$134:T$153)*AY$2</f>
        <v>0</v>
      </c>
    </row>
    <row r="11" spans="1:51" ht="14.25" thickBot="1">
      <c r="A11">
        <v>1</v>
      </c>
      <c r="B11" s="120">
        <f t="shared" ref="B11:B83" si="5">B10</f>
        <v>999909</v>
      </c>
      <c r="C11" s="120" t="e">
        <f t="shared" ref="C11:C83" si="6">C10</f>
        <v>#N/A</v>
      </c>
      <c r="D11" s="137"/>
      <c r="E11" s="150" t="str">
        <f>工種!A3</f>
        <v>10103</v>
      </c>
      <c r="F11" s="119" t="str">
        <f>工種!B3</f>
        <v>SRS：企画書・計画書・報告書等資料作成・修正</v>
      </c>
      <c r="G11" s="116" t="str">
        <f>B11&amp;E11</f>
        <v>99990910103</v>
      </c>
      <c r="H11" s="88">
        <f t="shared" si="4"/>
        <v>0</v>
      </c>
      <c r="I11" s="132"/>
      <c r="J11" s="88">
        <f>SUMIF(月間集計シート!$M$29:$M$48,$G11,月間集計シート!N$29:N$48)*J$2</f>
        <v>0</v>
      </c>
      <c r="K11" s="88">
        <f>SUMIF(月間集計シート!$M$29:$M$48,$G11,月間集計シート!O$29:O$48)*K$2</f>
        <v>0</v>
      </c>
      <c r="L11" s="88">
        <f>SUMIF(月間集計シート!$M$29:$M$48,$G11,月間集計シート!P$29:P$48)*L$2</f>
        <v>0</v>
      </c>
      <c r="M11" s="88">
        <f>SUMIF(月間集計シート!$M$29:$M$48,$G11,月間集計シート!Q$29:Q$48)*M$2</f>
        <v>0</v>
      </c>
      <c r="N11" s="88">
        <f>SUMIF(月間集計シート!$M$29:$M$48,$G11,月間集計シート!R$29:R$48)*N$2</f>
        <v>0</v>
      </c>
      <c r="O11" s="88">
        <f>SUMIF(月間集計シート!$M$29:$M$48,$G11,月間集計シート!S$29:S$48)*O$2</f>
        <v>0</v>
      </c>
      <c r="P11" s="88">
        <f>SUMIF(月間集計シート!$M$29:$M$48,$G11,月間集計シート!T$29:T$48)*P$2</f>
        <v>0</v>
      </c>
      <c r="Q11" s="88">
        <f>SUMIF(月間集計シート!$M$50:$M$69,$G11,月間集計シート!N$50:N$69)*Q$2</f>
        <v>0</v>
      </c>
      <c r="R11" s="88">
        <f>SUMIF(月間集計シート!$M$50:$M$69,$G11,月間集計シート!O$50:O$69)*R$2</f>
        <v>0</v>
      </c>
      <c r="S11" s="88">
        <f>SUMIF(月間集計シート!$M$50:$M$69,$G11,月間集計シート!P$50:P$69)*S$2</f>
        <v>0</v>
      </c>
      <c r="T11" s="88">
        <f>SUMIF(月間集計シート!$M$50:$M$69,$G11,月間集計シート!Q$50:Q$69)*T$2</f>
        <v>0</v>
      </c>
      <c r="U11" s="88">
        <f>SUMIF(月間集計シート!$M$50:$M$69,$G11,月間集計シート!R$50:R$69)*U$2</f>
        <v>0</v>
      </c>
      <c r="V11" s="88">
        <f>SUMIF(月間集計シート!$M$50:$M$69,$G11,月間集計シート!S$50:S$69)*V$2</f>
        <v>0</v>
      </c>
      <c r="W11" s="88">
        <f>SUMIF(月間集計シート!$M$50:$M$69,$G11,月間集計シート!T$50:T$69)*W$2</f>
        <v>0</v>
      </c>
      <c r="X11" s="88">
        <f>SUMIF(月間集計シート!$M$71:$M$90,$G11,月間集計シート!N$71:N$90)*X$2</f>
        <v>0</v>
      </c>
      <c r="Y11" s="88">
        <f>SUMIF(月間集計シート!$M$71:$M$90,$G11,月間集計シート!O$71:O$90)*Y$2</f>
        <v>0</v>
      </c>
      <c r="Z11" s="88">
        <f>SUMIF(月間集計シート!$M$71:$M$90,$G11,月間集計シート!P$71:P$90)*Z$2</f>
        <v>0</v>
      </c>
      <c r="AA11" s="88">
        <f>SUMIF(月間集計シート!$M$71:$M$90,$G11,月間集計シート!Q$71:Q$90)*AA$2</f>
        <v>0</v>
      </c>
      <c r="AB11" s="88">
        <f>SUMIF(月間集計シート!$M$71:$M$90,$G11,月間集計シート!R$71:R$90)*AB$2</f>
        <v>0</v>
      </c>
      <c r="AC11" s="88">
        <f>SUMIF(月間集計シート!$M$71:$M$90,$G11,月間集計シート!S$71:S$90)*AC$2</f>
        <v>0</v>
      </c>
      <c r="AD11" s="88">
        <f>SUMIF(月間集計シート!$M$71:$M$90,$G11,月間集計シート!T$71:T$90)*AD$2</f>
        <v>0</v>
      </c>
      <c r="AE11" s="88">
        <f>SUMIF(月間集計シート!$M$92:$M$111,$G11,月間集計シート!N$92:N$111)*AE$2</f>
        <v>0</v>
      </c>
      <c r="AF11" s="88">
        <f>SUMIF(月間集計シート!$M$92:$M$111,$G11,月間集計シート!O$92:O$111)*AF$2</f>
        <v>0</v>
      </c>
      <c r="AG11" s="88">
        <f>SUMIF(月間集計シート!$M$92:$M$111,$G11,月間集計シート!P$92:P$111)*AG$2</f>
        <v>0</v>
      </c>
      <c r="AH11" s="88">
        <f>SUMIF(月間集計シート!$M$92:$M$111,$G11,月間集計シート!Q$92:Q$111)*AH$2</f>
        <v>0</v>
      </c>
      <c r="AI11" s="88">
        <f>SUMIF(月間集計シート!$M$92:$M$111,$G11,月間集計シート!R$92:R$111)*AI$2</f>
        <v>0</v>
      </c>
      <c r="AJ11" s="88">
        <f>SUMIF(月間集計シート!$M$92:$M$111,$G11,月間集計シート!S$92:S$111)*AJ$2</f>
        <v>0</v>
      </c>
      <c r="AK11" s="88">
        <f>SUMIF(月間集計シート!$M$92:$M$111,$G11,月間集計シート!T$92:T$111)*AK$2</f>
        <v>0</v>
      </c>
      <c r="AL11" s="88">
        <f>SUMIF(月間集計シート!$M$113:$M$132,$G11,月間集計シート!N$113:N$132)*AL$2</f>
        <v>0</v>
      </c>
      <c r="AM11" s="88">
        <f>SUMIF(月間集計シート!$M$113:$M$132,$G11,月間集計シート!O$113:O$132)*AM$2</f>
        <v>0</v>
      </c>
      <c r="AN11" s="88">
        <f>SUMIF(月間集計シート!$M$113:$M$132,$G11,月間集計シート!P$113:P$132)*AN$2</f>
        <v>0</v>
      </c>
      <c r="AO11" s="88">
        <f>SUMIF(月間集計シート!$M$113:$M$132,$G11,月間集計シート!Q$113:Q$132)*AO$2</f>
        <v>0</v>
      </c>
      <c r="AP11" s="88">
        <f>SUMIF(月間集計シート!$M$113:$M$132,$G11,月間集計シート!R$113:R$132)*AP$2</f>
        <v>0</v>
      </c>
      <c r="AQ11" s="88">
        <f>SUMIF(月間集計シート!$M$113:$M$132,$G11,月間集計シート!S$113:S$132)*AQ$2</f>
        <v>0</v>
      </c>
      <c r="AR11" s="88">
        <f>SUMIF(月間集計シート!$M$113:$M$132,$G11,月間集計シート!T$113:T$132)*AR$2</f>
        <v>0</v>
      </c>
      <c r="AS11" s="88">
        <f>SUMIF(月間集計シート!$M$134:$M$153,$G11,月間集計シート!N$134:N$153)*AS$2</f>
        <v>0</v>
      </c>
      <c r="AT11" s="88">
        <f>SUMIF(月間集計シート!$M$134:$M$153,$G11,月間集計シート!O$134:O$153)*AT$2</f>
        <v>0</v>
      </c>
      <c r="AU11" s="88">
        <f>SUMIF(月間集計シート!$M$134:$M$153,$G11,月間集計シート!P$134:P$153)*AU$2</f>
        <v>0</v>
      </c>
      <c r="AV11" s="88">
        <f>SUMIF(月間集計シート!$M$134:$M$153,$G11,月間集計シート!Q$134:Q$153)*AV$2</f>
        <v>0</v>
      </c>
      <c r="AW11" s="88">
        <f>SUMIF(月間集計シート!$M$134:$M$153,$G11,月間集計シート!R$134:R$153)*AW$2</f>
        <v>0</v>
      </c>
      <c r="AX11" s="88">
        <f>SUMIF(月間集計シート!$M$134:$M$153,$G11,月間集計シート!S$134:S$153)*AX$2</f>
        <v>0</v>
      </c>
      <c r="AY11" s="88">
        <f>SUMIF(月間集計シート!$M$134:$M$153,$G11,月間集計シート!T$134:T$153)*AY$2</f>
        <v>0</v>
      </c>
    </row>
    <row r="12" spans="1:51" ht="14.25" thickBot="1">
      <c r="A12">
        <v>1</v>
      </c>
      <c r="B12" s="120">
        <f t="shared" si="5"/>
        <v>999909</v>
      </c>
      <c r="C12" s="120" t="e">
        <f t="shared" si="6"/>
        <v>#N/A</v>
      </c>
      <c r="D12" s="137"/>
      <c r="E12" s="150" t="str">
        <f>工種!A4</f>
        <v>10104</v>
      </c>
      <c r="F12" s="119" t="str">
        <f>工種!B4</f>
        <v>SRS：打合せ</v>
      </c>
      <c r="G12" s="116" t="str">
        <f t="shared" ref="G12:G96" si="7">B12&amp;E12</f>
        <v>99990910104</v>
      </c>
      <c r="H12" s="88">
        <f t="shared" si="4"/>
        <v>0</v>
      </c>
      <c r="I12" s="132"/>
      <c r="J12" s="88">
        <f>SUMIF(月間集計シート!$M$29:$M$48,$G12,月間集計シート!N$29:N$48)*J$2</f>
        <v>0</v>
      </c>
      <c r="K12" s="88">
        <f>SUMIF(月間集計シート!$M$29:$M$48,$G12,月間集計シート!O$29:O$48)*K$2</f>
        <v>0</v>
      </c>
      <c r="L12" s="88">
        <f>SUMIF(月間集計シート!$M$29:$M$48,$G12,月間集計シート!P$29:P$48)*L$2</f>
        <v>0</v>
      </c>
      <c r="M12" s="88">
        <f>SUMIF(月間集計シート!$M$29:$M$48,$G12,月間集計シート!Q$29:Q$48)*M$2</f>
        <v>0</v>
      </c>
      <c r="N12" s="88">
        <f>SUMIF(月間集計シート!$M$29:$M$48,$G12,月間集計シート!R$29:R$48)*N$2</f>
        <v>0</v>
      </c>
      <c r="O12" s="88">
        <f>SUMIF(月間集計シート!$M$29:$M$48,$G12,月間集計シート!S$29:S$48)*O$2</f>
        <v>0</v>
      </c>
      <c r="P12" s="88">
        <f>SUMIF(月間集計シート!$M$29:$M$48,$G12,月間集計シート!T$29:T$48)*P$2</f>
        <v>0</v>
      </c>
      <c r="Q12" s="88">
        <f>SUMIF(月間集計シート!$M$50:$M$69,$G12,月間集計シート!N$50:N$69)*Q$2</f>
        <v>0</v>
      </c>
      <c r="R12" s="88">
        <f>SUMIF(月間集計シート!$M$50:$M$69,$G12,月間集計シート!O$50:O$69)*R$2</f>
        <v>0</v>
      </c>
      <c r="S12" s="88">
        <f>SUMIF(月間集計シート!$M$50:$M$69,$G12,月間集計シート!P$50:P$69)*S$2</f>
        <v>0</v>
      </c>
      <c r="T12" s="88">
        <f>SUMIF(月間集計シート!$M$50:$M$69,$G12,月間集計シート!Q$50:Q$69)*T$2</f>
        <v>0</v>
      </c>
      <c r="U12" s="88">
        <f>SUMIF(月間集計シート!$M$50:$M$69,$G12,月間集計シート!R$50:R$69)*U$2</f>
        <v>0</v>
      </c>
      <c r="V12" s="88">
        <f>SUMIF(月間集計シート!$M$50:$M$69,$G12,月間集計シート!S$50:S$69)*V$2</f>
        <v>0</v>
      </c>
      <c r="W12" s="88">
        <f>SUMIF(月間集計シート!$M$50:$M$69,$G12,月間集計シート!T$50:T$69)*W$2</f>
        <v>0</v>
      </c>
      <c r="X12" s="88">
        <f>SUMIF(月間集計シート!$M$71:$M$90,$G12,月間集計シート!N$71:N$90)*X$2</f>
        <v>0</v>
      </c>
      <c r="Y12" s="88">
        <f>SUMIF(月間集計シート!$M$71:$M$90,$G12,月間集計シート!O$71:O$90)*Y$2</f>
        <v>0</v>
      </c>
      <c r="Z12" s="88">
        <f>SUMIF(月間集計シート!$M$71:$M$90,$G12,月間集計シート!P$71:P$90)*Z$2</f>
        <v>0</v>
      </c>
      <c r="AA12" s="88">
        <f>SUMIF(月間集計シート!$M$71:$M$90,$G12,月間集計シート!Q$71:Q$90)*AA$2</f>
        <v>0</v>
      </c>
      <c r="AB12" s="88">
        <f>SUMIF(月間集計シート!$M$71:$M$90,$G12,月間集計シート!R$71:R$90)*AB$2</f>
        <v>0</v>
      </c>
      <c r="AC12" s="88">
        <f>SUMIF(月間集計シート!$M$71:$M$90,$G12,月間集計シート!S$71:S$90)*AC$2</f>
        <v>0</v>
      </c>
      <c r="AD12" s="88">
        <f>SUMIF(月間集計シート!$M$71:$M$90,$G12,月間集計シート!T$71:T$90)*AD$2</f>
        <v>0</v>
      </c>
      <c r="AE12" s="88">
        <f>SUMIF(月間集計シート!$M$92:$M$111,$G12,月間集計シート!N$92:N$111)*AE$2</f>
        <v>0</v>
      </c>
      <c r="AF12" s="88">
        <f>SUMIF(月間集計シート!$M$92:$M$111,$G12,月間集計シート!O$92:O$111)*AF$2</f>
        <v>0</v>
      </c>
      <c r="AG12" s="88">
        <f>SUMIF(月間集計シート!$M$92:$M$111,$G12,月間集計シート!P$92:P$111)*AG$2</f>
        <v>0</v>
      </c>
      <c r="AH12" s="88">
        <f>SUMIF(月間集計シート!$M$92:$M$111,$G12,月間集計シート!Q$92:Q$111)*AH$2</f>
        <v>0</v>
      </c>
      <c r="AI12" s="88">
        <f>SUMIF(月間集計シート!$M$92:$M$111,$G12,月間集計シート!R$92:R$111)*AI$2</f>
        <v>0</v>
      </c>
      <c r="AJ12" s="88">
        <f>SUMIF(月間集計シート!$M$92:$M$111,$G12,月間集計シート!S$92:S$111)*AJ$2</f>
        <v>0</v>
      </c>
      <c r="AK12" s="88">
        <f>SUMIF(月間集計シート!$M$92:$M$111,$G12,月間集計シート!T$92:T$111)*AK$2</f>
        <v>0</v>
      </c>
      <c r="AL12" s="88">
        <f>SUMIF(月間集計シート!$M$113:$M$132,$G12,月間集計シート!N$113:N$132)*AL$2</f>
        <v>0</v>
      </c>
      <c r="AM12" s="88">
        <f>SUMIF(月間集計シート!$M$113:$M$132,$G12,月間集計シート!O$113:O$132)*AM$2</f>
        <v>0</v>
      </c>
      <c r="AN12" s="88">
        <f>SUMIF(月間集計シート!$M$113:$M$132,$G12,月間集計シート!P$113:P$132)*AN$2</f>
        <v>0</v>
      </c>
      <c r="AO12" s="88">
        <f>SUMIF(月間集計シート!$M$113:$M$132,$G12,月間集計シート!Q$113:Q$132)*AO$2</f>
        <v>0</v>
      </c>
      <c r="AP12" s="88">
        <f>SUMIF(月間集計シート!$M$113:$M$132,$G12,月間集計シート!R$113:R$132)*AP$2</f>
        <v>0</v>
      </c>
      <c r="AQ12" s="88">
        <f>SUMIF(月間集計シート!$M$113:$M$132,$G12,月間集計シート!S$113:S$132)*AQ$2</f>
        <v>0</v>
      </c>
      <c r="AR12" s="88">
        <f>SUMIF(月間集計シート!$M$113:$M$132,$G12,月間集計シート!T$113:T$132)*AR$2</f>
        <v>0</v>
      </c>
      <c r="AS12" s="88">
        <f>SUMIF(月間集計シート!$M$134:$M$153,$G12,月間集計シート!N$134:N$153)*AS$2</f>
        <v>0</v>
      </c>
      <c r="AT12" s="88">
        <f>SUMIF(月間集計シート!$M$134:$M$153,$G12,月間集計シート!O$134:O$153)*AT$2</f>
        <v>0</v>
      </c>
      <c r="AU12" s="88">
        <f>SUMIF(月間集計シート!$M$134:$M$153,$G12,月間集計シート!P$134:P$153)*AU$2</f>
        <v>0</v>
      </c>
      <c r="AV12" s="88">
        <f>SUMIF(月間集計シート!$M$134:$M$153,$G12,月間集計シート!Q$134:Q$153)*AV$2</f>
        <v>0</v>
      </c>
      <c r="AW12" s="88">
        <f>SUMIF(月間集計シート!$M$134:$M$153,$G12,月間集計シート!R$134:R$153)*AW$2</f>
        <v>0</v>
      </c>
      <c r="AX12" s="88">
        <f>SUMIF(月間集計シート!$M$134:$M$153,$G12,月間集計シート!S$134:S$153)*AX$2</f>
        <v>0</v>
      </c>
      <c r="AY12" s="88">
        <f>SUMIF(月間集計シート!$M$134:$M$153,$G12,月間集計シート!T$134:T$153)*AY$2</f>
        <v>0</v>
      </c>
    </row>
    <row r="13" spans="1:51" ht="14.25" thickBot="1">
      <c r="A13">
        <v>1</v>
      </c>
      <c r="B13" s="120">
        <f t="shared" si="5"/>
        <v>999909</v>
      </c>
      <c r="C13" s="120" t="e">
        <f t="shared" si="6"/>
        <v>#N/A</v>
      </c>
      <c r="D13" s="137"/>
      <c r="E13" s="150" t="str">
        <f>工種!A5</f>
        <v>10105</v>
      </c>
      <c r="F13" s="119" t="str">
        <f>工種!B5</f>
        <v>SRS：レビュー</v>
      </c>
      <c r="G13" s="116" t="str">
        <f t="shared" si="7"/>
        <v>99990910105</v>
      </c>
      <c r="H13" s="88">
        <f t="shared" si="4"/>
        <v>0</v>
      </c>
      <c r="I13" s="132"/>
      <c r="J13" s="88">
        <f>SUMIF(月間集計シート!$M$29:$M$48,$G13,月間集計シート!N$29:N$48)*J$2</f>
        <v>0</v>
      </c>
      <c r="K13" s="88">
        <f>SUMIF(月間集計シート!$M$29:$M$48,$G13,月間集計シート!O$29:O$48)*K$2</f>
        <v>0</v>
      </c>
      <c r="L13" s="88">
        <f>SUMIF(月間集計シート!$M$29:$M$48,$G13,月間集計シート!P$29:P$48)*L$2</f>
        <v>0</v>
      </c>
      <c r="M13" s="88">
        <f>SUMIF(月間集計シート!$M$29:$M$48,$G13,月間集計シート!Q$29:Q$48)*M$2</f>
        <v>0</v>
      </c>
      <c r="N13" s="88">
        <f>SUMIF(月間集計シート!$M$29:$M$48,$G13,月間集計シート!R$29:R$48)*N$2</f>
        <v>0</v>
      </c>
      <c r="O13" s="88">
        <f>SUMIF(月間集計シート!$M$29:$M$48,$G13,月間集計シート!S$29:S$48)*O$2</f>
        <v>0</v>
      </c>
      <c r="P13" s="88">
        <f>SUMIF(月間集計シート!$M$29:$M$48,$G13,月間集計シート!T$29:T$48)*P$2</f>
        <v>0</v>
      </c>
      <c r="Q13" s="88">
        <f>SUMIF(月間集計シート!$M$50:$M$69,$G13,月間集計シート!N$50:N$69)*Q$2</f>
        <v>0</v>
      </c>
      <c r="R13" s="88">
        <f>SUMIF(月間集計シート!$M$50:$M$69,$G13,月間集計シート!O$50:O$69)*R$2</f>
        <v>0</v>
      </c>
      <c r="S13" s="88">
        <f>SUMIF(月間集計シート!$M$50:$M$69,$G13,月間集計シート!P$50:P$69)*S$2</f>
        <v>0</v>
      </c>
      <c r="T13" s="88">
        <f>SUMIF(月間集計シート!$M$50:$M$69,$G13,月間集計シート!Q$50:Q$69)*T$2</f>
        <v>0</v>
      </c>
      <c r="U13" s="88">
        <f>SUMIF(月間集計シート!$M$50:$M$69,$G13,月間集計シート!R$50:R$69)*U$2</f>
        <v>0</v>
      </c>
      <c r="V13" s="88">
        <f>SUMIF(月間集計シート!$M$50:$M$69,$G13,月間集計シート!S$50:S$69)*V$2</f>
        <v>0</v>
      </c>
      <c r="W13" s="88">
        <f>SUMIF(月間集計シート!$M$50:$M$69,$G13,月間集計シート!T$50:T$69)*W$2</f>
        <v>0</v>
      </c>
      <c r="X13" s="88">
        <f>SUMIF(月間集計シート!$M$71:$M$90,$G13,月間集計シート!N$71:N$90)*X$2</f>
        <v>0</v>
      </c>
      <c r="Y13" s="88">
        <f>SUMIF(月間集計シート!$M$71:$M$90,$G13,月間集計シート!O$71:O$90)*Y$2</f>
        <v>0</v>
      </c>
      <c r="Z13" s="88">
        <f>SUMIF(月間集計シート!$M$71:$M$90,$G13,月間集計シート!P$71:P$90)*Z$2</f>
        <v>0</v>
      </c>
      <c r="AA13" s="88">
        <f>SUMIF(月間集計シート!$M$71:$M$90,$G13,月間集計シート!Q$71:Q$90)*AA$2</f>
        <v>0</v>
      </c>
      <c r="AB13" s="88">
        <f>SUMIF(月間集計シート!$M$71:$M$90,$G13,月間集計シート!R$71:R$90)*AB$2</f>
        <v>0</v>
      </c>
      <c r="AC13" s="88">
        <f>SUMIF(月間集計シート!$M$71:$M$90,$G13,月間集計シート!S$71:S$90)*AC$2</f>
        <v>0</v>
      </c>
      <c r="AD13" s="88">
        <f>SUMIF(月間集計シート!$M$71:$M$90,$G13,月間集計シート!T$71:T$90)*AD$2</f>
        <v>0</v>
      </c>
      <c r="AE13" s="88">
        <f>SUMIF(月間集計シート!$M$92:$M$111,$G13,月間集計シート!N$92:N$111)*AE$2</f>
        <v>0</v>
      </c>
      <c r="AF13" s="88">
        <f>SUMIF(月間集計シート!$M$92:$M$111,$G13,月間集計シート!O$92:O$111)*AF$2</f>
        <v>0</v>
      </c>
      <c r="AG13" s="88">
        <f>SUMIF(月間集計シート!$M$92:$M$111,$G13,月間集計シート!P$92:P$111)*AG$2</f>
        <v>0</v>
      </c>
      <c r="AH13" s="88">
        <f>SUMIF(月間集計シート!$M$92:$M$111,$G13,月間集計シート!Q$92:Q$111)*AH$2</f>
        <v>0</v>
      </c>
      <c r="AI13" s="88">
        <f>SUMIF(月間集計シート!$M$92:$M$111,$G13,月間集計シート!R$92:R$111)*AI$2</f>
        <v>0</v>
      </c>
      <c r="AJ13" s="88">
        <f>SUMIF(月間集計シート!$M$92:$M$111,$G13,月間集計シート!S$92:S$111)*AJ$2</f>
        <v>0</v>
      </c>
      <c r="AK13" s="88">
        <f>SUMIF(月間集計シート!$M$92:$M$111,$G13,月間集計シート!T$92:T$111)*AK$2</f>
        <v>0</v>
      </c>
      <c r="AL13" s="88">
        <f>SUMIF(月間集計シート!$M$113:$M$132,$G13,月間集計シート!N$113:N$132)*AL$2</f>
        <v>0</v>
      </c>
      <c r="AM13" s="88">
        <f>SUMIF(月間集計シート!$M$113:$M$132,$G13,月間集計シート!O$113:O$132)*AM$2</f>
        <v>0</v>
      </c>
      <c r="AN13" s="88">
        <f>SUMIF(月間集計シート!$M$113:$M$132,$G13,月間集計シート!P$113:P$132)*AN$2</f>
        <v>0</v>
      </c>
      <c r="AO13" s="88">
        <f>SUMIF(月間集計シート!$M$113:$M$132,$G13,月間集計シート!Q$113:Q$132)*AO$2</f>
        <v>0</v>
      </c>
      <c r="AP13" s="88">
        <f>SUMIF(月間集計シート!$M$113:$M$132,$G13,月間集計シート!R$113:R$132)*AP$2</f>
        <v>0</v>
      </c>
      <c r="AQ13" s="88">
        <f>SUMIF(月間集計シート!$M$113:$M$132,$G13,月間集計シート!S$113:S$132)*AQ$2</f>
        <v>0</v>
      </c>
      <c r="AR13" s="88">
        <f>SUMIF(月間集計シート!$M$113:$M$132,$G13,月間集計シート!T$113:T$132)*AR$2</f>
        <v>0</v>
      </c>
      <c r="AS13" s="88">
        <f>SUMIF(月間集計シート!$M$134:$M$153,$G13,月間集計シート!N$134:N$153)*AS$2</f>
        <v>0</v>
      </c>
      <c r="AT13" s="88">
        <f>SUMIF(月間集計シート!$M$134:$M$153,$G13,月間集計シート!O$134:O$153)*AT$2</f>
        <v>0</v>
      </c>
      <c r="AU13" s="88">
        <f>SUMIF(月間集計シート!$M$134:$M$153,$G13,月間集計シート!P$134:P$153)*AU$2</f>
        <v>0</v>
      </c>
      <c r="AV13" s="88">
        <f>SUMIF(月間集計シート!$M$134:$M$153,$G13,月間集計シート!Q$134:Q$153)*AV$2</f>
        <v>0</v>
      </c>
      <c r="AW13" s="88">
        <f>SUMIF(月間集計シート!$M$134:$M$153,$G13,月間集計シート!R$134:R$153)*AW$2</f>
        <v>0</v>
      </c>
      <c r="AX13" s="88">
        <f>SUMIF(月間集計シート!$M$134:$M$153,$G13,月間集計シート!S$134:S$153)*AX$2</f>
        <v>0</v>
      </c>
      <c r="AY13" s="88">
        <f>SUMIF(月間集計シート!$M$134:$M$153,$G13,月間集計シート!T$134:T$153)*AY$2</f>
        <v>0</v>
      </c>
    </row>
    <row r="14" spans="1:51" ht="14.25" thickBot="1">
      <c r="A14">
        <v>1</v>
      </c>
      <c r="B14" s="120">
        <f t="shared" si="5"/>
        <v>999909</v>
      </c>
      <c r="C14" s="120" t="e">
        <f t="shared" si="6"/>
        <v>#N/A</v>
      </c>
      <c r="D14" s="137"/>
      <c r="E14" s="150" t="str">
        <f>工種!A6</f>
        <v>10199</v>
      </c>
      <c r="F14" s="119" t="str">
        <f>工種!B6</f>
        <v>SRS：その他</v>
      </c>
      <c r="G14" s="116" t="str">
        <f t="shared" si="7"/>
        <v>99990910199</v>
      </c>
      <c r="H14" s="88">
        <f t="shared" si="4"/>
        <v>0</v>
      </c>
      <c r="I14" s="132"/>
      <c r="J14" s="88">
        <f>SUMIF(月間集計シート!$M$29:$M$48,$G14,月間集計シート!N$29:N$48)*J$2</f>
        <v>0</v>
      </c>
      <c r="K14" s="88">
        <f>SUMIF(月間集計シート!$M$29:$M$48,$G14,月間集計シート!O$29:O$48)*K$2</f>
        <v>0</v>
      </c>
      <c r="L14" s="88">
        <f>SUMIF(月間集計シート!$M$29:$M$48,$G14,月間集計シート!P$29:P$48)*L$2</f>
        <v>0</v>
      </c>
      <c r="M14" s="88">
        <f>SUMIF(月間集計シート!$M$29:$M$48,$G14,月間集計シート!Q$29:Q$48)*M$2</f>
        <v>0</v>
      </c>
      <c r="N14" s="88">
        <f>SUMIF(月間集計シート!$M$29:$M$48,$G14,月間集計シート!R$29:R$48)*N$2</f>
        <v>0</v>
      </c>
      <c r="O14" s="88">
        <f>SUMIF(月間集計シート!$M$29:$M$48,$G14,月間集計シート!S$29:S$48)*O$2</f>
        <v>0</v>
      </c>
      <c r="P14" s="88">
        <f>SUMIF(月間集計シート!$M$29:$M$48,$G14,月間集計シート!T$29:T$48)*P$2</f>
        <v>0</v>
      </c>
      <c r="Q14" s="88">
        <f>SUMIF(月間集計シート!$M$50:$M$69,$G14,月間集計シート!N$50:N$69)*Q$2</f>
        <v>0</v>
      </c>
      <c r="R14" s="88">
        <f>SUMIF(月間集計シート!$M$50:$M$69,$G14,月間集計シート!O$50:O$69)*R$2</f>
        <v>0</v>
      </c>
      <c r="S14" s="88">
        <f>SUMIF(月間集計シート!$M$50:$M$69,$G14,月間集計シート!P$50:P$69)*S$2</f>
        <v>0</v>
      </c>
      <c r="T14" s="88">
        <f>SUMIF(月間集計シート!$M$50:$M$69,$G14,月間集計シート!Q$50:Q$69)*T$2</f>
        <v>0</v>
      </c>
      <c r="U14" s="88">
        <f>SUMIF(月間集計シート!$M$50:$M$69,$G14,月間集計シート!R$50:R$69)*U$2</f>
        <v>0</v>
      </c>
      <c r="V14" s="88">
        <f>SUMIF(月間集計シート!$M$50:$M$69,$G14,月間集計シート!S$50:S$69)*V$2</f>
        <v>0</v>
      </c>
      <c r="W14" s="88">
        <f>SUMIF(月間集計シート!$M$50:$M$69,$G14,月間集計シート!T$50:T$69)*W$2</f>
        <v>0</v>
      </c>
      <c r="X14" s="88">
        <f>SUMIF(月間集計シート!$M$71:$M$90,$G14,月間集計シート!N$71:N$90)*X$2</f>
        <v>0</v>
      </c>
      <c r="Y14" s="88">
        <f>SUMIF(月間集計シート!$M$71:$M$90,$G14,月間集計シート!O$71:O$90)*Y$2</f>
        <v>0</v>
      </c>
      <c r="Z14" s="88">
        <f>SUMIF(月間集計シート!$M$71:$M$90,$G14,月間集計シート!P$71:P$90)*Z$2</f>
        <v>0</v>
      </c>
      <c r="AA14" s="88">
        <f>SUMIF(月間集計シート!$M$71:$M$90,$G14,月間集計シート!Q$71:Q$90)*AA$2</f>
        <v>0</v>
      </c>
      <c r="AB14" s="88">
        <f>SUMIF(月間集計シート!$M$71:$M$90,$G14,月間集計シート!R$71:R$90)*AB$2</f>
        <v>0</v>
      </c>
      <c r="AC14" s="88">
        <f>SUMIF(月間集計シート!$M$71:$M$90,$G14,月間集計シート!S$71:S$90)*AC$2</f>
        <v>0</v>
      </c>
      <c r="AD14" s="88">
        <f>SUMIF(月間集計シート!$M$71:$M$90,$G14,月間集計シート!T$71:T$90)*AD$2</f>
        <v>0</v>
      </c>
      <c r="AE14" s="88">
        <f>SUMIF(月間集計シート!$M$92:$M$111,$G14,月間集計シート!N$92:N$111)*AE$2</f>
        <v>0</v>
      </c>
      <c r="AF14" s="88">
        <f>SUMIF(月間集計シート!$M$92:$M$111,$G14,月間集計シート!O$92:O$111)*AF$2</f>
        <v>0</v>
      </c>
      <c r="AG14" s="88">
        <f>SUMIF(月間集計シート!$M$92:$M$111,$G14,月間集計シート!P$92:P$111)*AG$2</f>
        <v>0</v>
      </c>
      <c r="AH14" s="88">
        <f>SUMIF(月間集計シート!$M$92:$M$111,$G14,月間集計シート!Q$92:Q$111)*AH$2</f>
        <v>0</v>
      </c>
      <c r="AI14" s="88">
        <f>SUMIF(月間集計シート!$M$92:$M$111,$G14,月間集計シート!R$92:R$111)*AI$2</f>
        <v>0</v>
      </c>
      <c r="AJ14" s="88">
        <f>SUMIF(月間集計シート!$M$92:$M$111,$G14,月間集計シート!S$92:S$111)*AJ$2</f>
        <v>0</v>
      </c>
      <c r="AK14" s="88">
        <f>SUMIF(月間集計シート!$M$92:$M$111,$G14,月間集計シート!T$92:T$111)*AK$2</f>
        <v>0</v>
      </c>
      <c r="AL14" s="88">
        <f>SUMIF(月間集計シート!$M$113:$M$132,$G14,月間集計シート!N$113:N$132)*AL$2</f>
        <v>0</v>
      </c>
      <c r="AM14" s="88">
        <f>SUMIF(月間集計シート!$M$113:$M$132,$G14,月間集計シート!O$113:O$132)*AM$2</f>
        <v>0</v>
      </c>
      <c r="AN14" s="88">
        <f>SUMIF(月間集計シート!$M$113:$M$132,$G14,月間集計シート!P$113:P$132)*AN$2</f>
        <v>0</v>
      </c>
      <c r="AO14" s="88">
        <f>SUMIF(月間集計シート!$M$113:$M$132,$G14,月間集計シート!Q$113:Q$132)*AO$2</f>
        <v>0</v>
      </c>
      <c r="AP14" s="88">
        <f>SUMIF(月間集計シート!$M$113:$M$132,$G14,月間集計シート!R$113:R$132)*AP$2</f>
        <v>0</v>
      </c>
      <c r="AQ14" s="88">
        <f>SUMIF(月間集計シート!$M$113:$M$132,$G14,月間集計シート!S$113:S$132)*AQ$2</f>
        <v>0</v>
      </c>
      <c r="AR14" s="88">
        <f>SUMIF(月間集計シート!$M$113:$M$132,$G14,月間集計シート!T$113:T$132)*AR$2</f>
        <v>0</v>
      </c>
      <c r="AS14" s="88">
        <f>SUMIF(月間集計シート!$M$134:$M$153,$G14,月間集計シート!N$134:N$153)*AS$2</f>
        <v>0</v>
      </c>
      <c r="AT14" s="88">
        <f>SUMIF(月間集計シート!$M$134:$M$153,$G14,月間集計シート!O$134:O$153)*AT$2</f>
        <v>0</v>
      </c>
      <c r="AU14" s="88">
        <f>SUMIF(月間集計シート!$M$134:$M$153,$G14,月間集計シート!P$134:P$153)*AU$2</f>
        <v>0</v>
      </c>
      <c r="AV14" s="88">
        <f>SUMIF(月間集計シート!$M$134:$M$153,$G14,月間集計シート!Q$134:Q$153)*AV$2</f>
        <v>0</v>
      </c>
      <c r="AW14" s="88">
        <f>SUMIF(月間集計シート!$M$134:$M$153,$G14,月間集計シート!R$134:R$153)*AW$2</f>
        <v>0</v>
      </c>
      <c r="AX14" s="88">
        <f>SUMIF(月間集計シート!$M$134:$M$153,$G14,月間集計シート!S$134:S$153)*AX$2</f>
        <v>0</v>
      </c>
      <c r="AY14" s="88">
        <f>SUMIF(月間集計シート!$M$134:$M$153,$G14,月間集計シート!T$134:T$153)*AY$2</f>
        <v>0</v>
      </c>
    </row>
    <row r="15" spans="1:51" ht="14.25" thickBot="1">
      <c r="A15">
        <v>1</v>
      </c>
      <c r="B15" s="120">
        <f t="shared" si="5"/>
        <v>999909</v>
      </c>
      <c r="C15" s="120" t="e">
        <f t="shared" si="6"/>
        <v>#N/A</v>
      </c>
      <c r="D15" s="137"/>
      <c r="E15" s="150" t="str">
        <f>工種!A7</f>
        <v>20101</v>
      </c>
      <c r="F15" s="119" t="str">
        <f>工種!B7</f>
        <v>設計：外部設計書作成</v>
      </c>
      <c r="G15" s="116" t="str">
        <f t="shared" si="7"/>
        <v>99990920101</v>
      </c>
      <c r="H15" s="88">
        <f t="shared" si="4"/>
        <v>0</v>
      </c>
      <c r="I15" s="132"/>
      <c r="J15" s="88">
        <f>SUMIF(月間集計シート!$M$29:$M$48,$G15,月間集計シート!N$29:N$48)*J$2</f>
        <v>0</v>
      </c>
      <c r="K15" s="88">
        <f>SUMIF(月間集計シート!$M$29:$M$48,$G15,月間集計シート!O$29:O$48)*K$2</f>
        <v>0</v>
      </c>
      <c r="L15" s="88">
        <f>SUMIF(月間集計シート!$M$29:$M$48,$G15,月間集計シート!P$29:P$48)*L$2</f>
        <v>0</v>
      </c>
      <c r="M15" s="88">
        <f>SUMIF(月間集計シート!$M$29:$M$48,$G15,月間集計シート!Q$29:Q$48)*M$2</f>
        <v>0</v>
      </c>
      <c r="N15" s="88">
        <f>SUMIF(月間集計シート!$M$29:$M$48,$G15,月間集計シート!R$29:R$48)*N$2</f>
        <v>0</v>
      </c>
      <c r="O15" s="88">
        <f>SUMIF(月間集計シート!$M$29:$M$48,$G15,月間集計シート!S$29:S$48)*O$2</f>
        <v>0</v>
      </c>
      <c r="P15" s="88">
        <f>SUMIF(月間集計シート!$M$29:$M$48,$G15,月間集計シート!T$29:T$48)*P$2</f>
        <v>0</v>
      </c>
      <c r="Q15" s="88">
        <f>SUMIF(月間集計シート!$M$50:$M$69,$G15,月間集計シート!N$50:N$69)*Q$2</f>
        <v>0</v>
      </c>
      <c r="R15" s="88">
        <f>SUMIF(月間集計シート!$M$50:$M$69,$G15,月間集計シート!O$50:O$69)*R$2</f>
        <v>0</v>
      </c>
      <c r="S15" s="88">
        <f>SUMIF(月間集計シート!$M$50:$M$69,$G15,月間集計シート!P$50:P$69)*S$2</f>
        <v>0</v>
      </c>
      <c r="T15" s="88">
        <f>SUMIF(月間集計シート!$M$50:$M$69,$G15,月間集計シート!Q$50:Q$69)*T$2</f>
        <v>0</v>
      </c>
      <c r="U15" s="88">
        <f>SUMIF(月間集計シート!$M$50:$M$69,$G15,月間集計シート!R$50:R$69)*U$2</f>
        <v>0</v>
      </c>
      <c r="V15" s="88">
        <f>SUMIF(月間集計シート!$M$50:$M$69,$G15,月間集計シート!S$50:S$69)*V$2</f>
        <v>0</v>
      </c>
      <c r="W15" s="88">
        <f>SUMIF(月間集計シート!$M$50:$M$69,$G15,月間集計シート!T$50:T$69)*W$2</f>
        <v>0</v>
      </c>
      <c r="X15" s="88">
        <f>SUMIF(月間集計シート!$M$71:$M$90,$G15,月間集計シート!N$71:N$90)*X$2</f>
        <v>0</v>
      </c>
      <c r="Y15" s="88">
        <f>SUMIF(月間集計シート!$M$71:$M$90,$G15,月間集計シート!O$71:O$90)*Y$2</f>
        <v>0</v>
      </c>
      <c r="Z15" s="88">
        <f>SUMIF(月間集計シート!$M$71:$M$90,$G15,月間集計シート!P$71:P$90)*Z$2</f>
        <v>0</v>
      </c>
      <c r="AA15" s="88">
        <f>SUMIF(月間集計シート!$M$71:$M$90,$G15,月間集計シート!Q$71:Q$90)*AA$2</f>
        <v>0</v>
      </c>
      <c r="AB15" s="88">
        <f>SUMIF(月間集計シート!$M$71:$M$90,$G15,月間集計シート!R$71:R$90)*AB$2</f>
        <v>0</v>
      </c>
      <c r="AC15" s="88">
        <f>SUMIF(月間集計シート!$M$71:$M$90,$G15,月間集計シート!S$71:S$90)*AC$2</f>
        <v>0</v>
      </c>
      <c r="AD15" s="88">
        <f>SUMIF(月間集計シート!$M$71:$M$90,$G15,月間集計シート!T$71:T$90)*AD$2</f>
        <v>0</v>
      </c>
      <c r="AE15" s="88">
        <f>SUMIF(月間集計シート!$M$92:$M$111,$G15,月間集計シート!N$92:N$111)*AE$2</f>
        <v>0</v>
      </c>
      <c r="AF15" s="88">
        <f>SUMIF(月間集計シート!$M$92:$M$111,$G15,月間集計シート!O$92:O$111)*AF$2</f>
        <v>0</v>
      </c>
      <c r="AG15" s="88">
        <f>SUMIF(月間集計シート!$M$92:$M$111,$G15,月間集計シート!P$92:P$111)*AG$2</f>
        <v>0</v>
      </c>
      <c r="AH15" s="88">
        <f>SUMIF(月間集計シート!$M$92:$M$111,$G15,月間集計シート!Q$92:Q$111)*AH$2</f>
        <v>0</v>
      </c>
      <c r="AI15" s="88">
        <f>SUMIF(月間集計シート!$M$92:$M$111,$G15,月間集計シート!R$92:R$111)*AI$2</f>
        <v>0</v>
      </c>
      <c r="AJ15" s="88">
        <f>SUMIF(月間集計シート!$M$92:$M$111,$G15,月間集計シート!S$92:S$111)*AJ$2</f>
        <v>0</v>
      </c>
      <c r="AK15" s="88">
        <f>SUMIF(月間集計シート!$M$92:$M$111,$G15,月間集計シート!T$92:T$111)*AK$2</f>
        <v>0</v>
      </c>
      <c r="AL15" s="88">
        <f>SUMIF(月間集計シート!$M$113:$M$132,$G15,月間集計シート!N$113:N$132)*AL$2</f>
        <v>0</v>
      </c>
      <c r="AM15" s="88">
        <f>SUMIF(月間集計シート!$M$113:$M$132,$G15,月間集計シート!O$113:O$132)*AM$2</f>
        <v>0</v>
      </c>
      <c r="AN15" s="88">
        <f>SUMIF(月間集計シート!$M$113:$M$132,$G15,月間集計シート!P$113:P$132)*AN$2</f>
        <v>0</v>
      </c>
      <c r="AO15" s="88">
        <f>SUMIF(月間集計シート!$M$113:$M$132,$G15,月間集計シート!Q$113:Q$132)*AO$2</f>
        <v>0</v>
      </c>
      <c r="AP15" s="88">
        <f>SUMIF(月間集計シート!$M$113:$M$132,$G15,月間集計シート!R$113:R$132)*AP$2</f>
        <v>0</v>
      </c>
      <c r="AQ15" s="88">
        <f>SUMIF(月間集計シート!$M$113:$M$132,$G15,月間集計シート!S$113:S$132)*AQ$2</f>
        <v>0</v>
      </c>
      <c r="AR15" s="88">
        <f>SUMIF(月間集計シート!$M$113:$M$132,$G15,月間集計シート!T$113:T$132)*AR$2</f>
        <v>0</v>
      </c>
      <c r="AS15" s="88">
        <f>SUMIF(月間集計シート!$M$134:$M$153,$G15,月間集計シート!N$134:N$153)*AS$2</f>
        <v>0</v>
      </c>
      <c r="AT15" s="88">
        <f>SUMIF(月間集計シート!$M$134:$M$153,$G15,月間集計シート!O$134:O$153)*AT$2</f>
        <v>0</v>
      </c>
      <c r="AU15" s="88">
        <f>SUMIF(月間集計シート!$M$134:$M$153,$G15,月間集計シート!P$134:P$153)*AU$2</f>
        <v>0</v>
      </c>
      <c r="AV15" s="88">
        <f>SUMIF(月間集計シート!$M$134:$M$153,$G15,月間集計シート!Q$134:Q$153)*AV$2</f>
        <v>0</v>
      </c>
      <c r="AW15" s="88">
        <f>SUMIF(月間集計シート!$M$134:$M$153,$G15,月間集計シート!R$134:R$153)*AW$2</f>
        <v>0</v>
      </c>
      <c r="AX15" s="88">
        <f>SUMIF(月間集計シート!$M$134:$M$153,$G15,月間集計シート!S$134:S$153)*AX$2</f>
        <v>0</v>
      </c>
      <c r="AY15" s="88">
        <f>SUMIF(月間集計シート!$M$134:$M$153,$G15,月間集計シート!T$134:T$153)*AY$2</f>
        <v>0</v>
      </c>
    </row>
    <row r="16" spans="1:51" ht="14.25" thickBot="1">
      <c r="A16">
        <v>1</v>
      </c>
      <c r="B16" s="120">
        <f t="shared" si="5"/>
        <v>999909</v>
      </c>
      <c r="C16" s="120" t="e">
        <f t="shared" si="6"/>
        <v>#N/A</v>
      </c>
      <c r="D16" s="137"/>
      <c r="E16" s="150" t="str">
        <f>工種!A8</f>
        <v>20103</v>
      </c>
      <c r="F16" s="119" t="str">
        <f>工種!B8</f>
        <v>設計：打合せ</v>
      </c>
      <c r="G16" s="116" t="str">
        <f t="shared" si="7"/>
        <v>99990920103</v>
      </c>
      <c r="H16" s="88">
        <f t="shared" si="4"/>
        <v>0</v>
      </c>
      <c r="I16" s="132"/>
      <c r="J16" s="88">
        <f>SUMIF(月間集計シート!$M$29:$M$48,$G16,月間集計シート!N$29:N$48)*J$2</f>
        <v>0</v>
      </c>
      <c r="K16" s="88">
        <f>SUMIF(月間集計シート!$M$29:$M$48,$G16,月間集計シート!O$29:O$48)*K$2</f>
        <v>0</v>
      </c>
      <c r="L16" s="88">
        <f>SUMIF(月間集計シート!$M$29:$M$48,$G16,月間集計シート!P$29:P$48)*L$2</f>
        <v>0</v>
      </c>
      <c r="M16" s="88">
        <f>SUMIF(月間集計シート!$M$29:$M$48,$G16,月間集計シート!Q$29:Q$48)*M$2</f>
        <v>0</v>
      </c>
      <c r="N16" s="88">
        <f>SUMIF(月間集計シート!$M$29:$M$48,$G16,月間集計シート!R$29:R$48)*N$2</f>
        <v>0</v>
      </c>
      <c r="O16" s="88">
        <f>SUMIF(月間集計シート!$M$29:$M$48,$G16,月間集計シート!S$29:S$48)*O$2</f>
        <v>0</v>
      </c>
      <c r="P16" s="88">
        <f>SUMIF(月間集計シート!$M$29:$M$48,$G16,月間集計シート!T$29:T$48)*P$2</f>
        <v>0</v>
      </c>
      <c r="Q16" s="88">
        <f>SUMIF(月間集計シート!$M$50:$M$69,$G16,月間集計シート!N$50:N$69)*Q$2</f>
        <v>0</v>
      </c>
      <c r="R16" s="88">
        <f>SUMIF(月間集計シート!$M$50:$M$69,$G16,月間集計シート!O$50:O$69)*R$2</f>
        <v>0</v>
      </c>
      <c r="S16" s="88">
        <f>SUMIF(月間集計シート!$M$50:$M$69,$G16,月間集計シート!P$50:P$69)*S$2</f>
        <v>0</v>
      </c>
      <c r="T16" s="88">
        <f>SUMIF(月間集計シート!$M$50:$M$69,$G16,月間集計シート!Q$50:Q$69)*T$2</f>
        <v>0</v>
      </c>
      <c r="U16" s="88">
        <f>SUMIF(月間集計シート!$M$50:$M$69,$G16,月間集計シート!R$50:R$69)*U$2</f>
        <v>0</v>
      </c>
      <c r="V16" s="88">
        <f>SUMIF(月間集計シート!$M$50:$M$69,$G16,月間集計シート!S$50:S$69)*V$2</f>
        <v>0</v>
      </c>
      <c r="W16" s="88">
        <f>SUMIF(月間集計シート!$M$50:$M$69,$G16,月間集計シート!T$50:T$69)*W$2</f>
        <v>0</v>
      </c>
      <c r="X16" s="88">
        <f>SUMIF(月間集計シート!$M$71:$M$90,$G16,月間集計シート!N$71:N$90)*X$2</f>
        <v>0</v>
      </c>
      <c r="Y16" s="88">
        <f>SUMIF(月間集計シート!$M$71:$M$90,$G16,月間集計シート!O$71:O$90)*Y$2</f>
        <v>0</v>
      </c>
      <c r="Z16" s="88">
        <f>SUMIF(月間集計シート!$M$71:$M$90,$G16,月間集計シート!P$71:P$90)*Z$2</f>
        <v>0</v>
      </c>
      <c r="AA16" s="88">
        <f>SUMIF(月間集計シート!$M$71:$M$90,$G16,月間集計シート!Q$71:Q$90)*AA$2</f>
        <v>0</v>
      </c>
      <c r="AB16" s="88">
        <f>SUMIF(月間集計シート!$M$71:$M$90,$G16,月間集計シート!R$71:R$90)*AB$2</f>
        <v>0</v>
      </c>
      <c r="AC16" s="88">
        <f>SUMIF(月間集計シート!$M$71:$M$90,$G16,月間集計シート!S$71:S$90)*AC$2</f>
        <v>0</v>
      </c>
      <c r="AD16" s="88">
        <f>SUMIF(月間集計シート!$M$71:$M$90,$G16,月間集計シート!T$71:T$90)*AD$2</f>
        <v>0</v>
      </c>
      <c r="AE16" s="88">
        <f>SUMIF(月間集計シート!$M$92:$M$111,$G16,月間集計シート!N$92:N$111)*AE$2</f>
        <v>0</v>
      </c>
      <c r="AF16" s="88">
        <f>SUMIF(月間集計シート!$M$92:$M$111,$G16,月間集計シート!O$92:O$111)*AF$2</f>
        <v>0</v>
      </c>
      <c r="AG16" s="88">
        <f>SUMIF(月間集計シート!$M$92:$M$111,$G16,月間集計シート!P$92:P$111)*AG$2</f>
        <v>0</v>
      </c>
      <c r="AH16" s="88">
        <f>SUMIF(月間集計シート!$M$92:$M$111,$G16,月間集計シート!Q$92:Q$111)*AH$2</f>
        <v>0</v>
      </c>
      <c r="AI16" s="88">
        <f>SUMIF(月間集計シート!$M$92:$M$111,$G16,月間集計シート!R$92:R$111)*AI$2</f>
        <v>0</v>
      </c>
      <c r="AJ16" s="88">
        <f>SUMIF(月間集計シート!$M$92:$M$111,$G16,月間集計シート!S$92:S$111)*AJ$2</f>
        <v>0</v>
      </c>
      <c r="AK16" s="88">
        <f>SUMIF(月間集計シート!$M$92:$M$111,$G16,月間集計シート!T$92:T$111)*AK$2</f>
        <v>0</v>
      </c>
      <c r="AL16" s="88">
        <f>SUMIF(月間集計シート!$M$113:$M$132,$G16,月間集計シート!N$113:N$132)*AL$2</f>
        <v>0</v>
      </c>
      <c r="AM16" s="88">
        <f>SUMIF(月間集計シート!$M$113:$M$132,$G16,月間集計シート!O$113:O$132)*AM$2</f>
        <v>0</v>
      </c>
      <c r="AN16" s="88">
        <f>SUMIF(月間集計シート!$M$113:$M$132,$G16,月間集計シート!P$113:P$132)*AN$2</f>
        <v>0</v>
      </c>
      <c r="AO16" s="88">
        <f>SUMIF(月間集計シート!$M$113:$M$132,$G16,月間集計シート!Q$113:Q$132)*AO$2</f>
        <v>0</v>
      </c>
      <c r="AP16" s="88">
        <f>SUMIF(月間集計シート!$M$113:$M$132,$G16,月間集計シート!R$113:R$132)*AP$2</f>
        <v>0</v>
      </c>
      <c r="AQ16" s="88">
        <f>SUMIF(月間集計シート!$M$113:$M$132,$G16,月間集計シート!S$113:S$132)*AQ$2</f>
        <v>0</v>
      </c>
      <c r="AR16" s="88">
        <f>SUMIF(月間集計シート!$M$113:$M$132,$G16,月間集計シート!T$113:T$132)*AR$2</f>
        <v>0</v>
      </c>
      <c r="AS16" s="88">
        <f>SUMIF(月間集計シート!$M$134:$M$153,$G16,月間集計シート!N$134:N$153)*AS$2</f>
        <v>0</v>
      </c>
      <c r="AT16" s="88">
        <f>SUMIF(月間集計シート!$M$134:$M$153,$G16,月間集計シート!O$134:O$153)*AT$2</f>
        <v>0</v>
      </c>
      <c r="AU16" s="88">
        <f>SUMIF(月間集計シート!$M$134:$M$153,$G16,月間集計シート!P$134:P$153)*AU$2</f>
        <v>0</v>
      </c>
      <c r="AV16" s="88">
        <f>SUMIF(月間集計シート!$M$134:$M$153,$G16,月間集計シート!Q$134:Q$153)*AV$2</f>
        <v>0</v>
      </c>
      <c r="AW16" s="88">
        <f>SUMIF(月間集計シート!$M$134:$M$153,$G16,月間集計シート!R$134:R$153)*AW$2</f>
        <v>0</v>
      </c>
      <c r="AX16" s="88">
        <f>SUMIF(月間集計シート!$M$134:$M$153,$G16,月間集計シート!S$134:S$153)*AX$2</f>
        <v>0</v>
      </c>
      <c r="AY16" s="88">
        <f>SUMIF(月間集計シート!$M$134:$M$153,$G16,月間集計シート!T$134:T$153)*AY$2</f>
        <v>0</v>
      </c>
    </row>
    <row r="17" spans="1:51" ht="14.25" thickBot="1">
      <c r="A17">
        <v>1</v>
      </c>
      <c r="B17" s="120">
        <f t="shared" si="5"/>
        <v>999909</v>
      </c>
      <c r="C17" s="120" t="e">
        <f t="shared" si="6"/>
        <v>#N/A</v>
      </c>
      <c r="D17" s="137"/>
      <c r="E17" s="150">
        <f>工種!A9</f>
        <v>20105</v>
      </c>
      <c r="F17" s="119" t="str">
        <f>工種!B9</f>
        <v>設計：原因調査・影響範囲分析・変更仕様作成</v>
      </c>
      <c r="G17" s="116" t="str">
        <f t="shared" si="7"/>
        <v>99990920105</v>
      </c>
      <c r="H17" s="88">
        <f t="shared" si="4"/>
        <v>0</v>
      </c>
      <c r="I17" s="132"/>
      <c r="J17" s="88">
        <f>SUMIF(月間集計シート!$M$29:$M$48,$G17,月間集計シート!N$29:N$48)*J$2</f>
        <v>0</v>
      </c>
      <c r="K17" s="88">
        <f>SUMIF(月間集計シート!$M$29:$M$48,$G17,月間集計シート!O$29:O$48)*K$2</f>
        <v>0</v>
      </c>
      <c r="L17" s="88">
        <f>SUMIF(月間集計シート!$M$29:$M$48,$G17,月間集計シート!P$29:P$48)*L$2</f>
        <v>0</v>
      </c>
      <c r="M17" s="88">
        <f>SUMIF(月間集計シート!$M$29:$M$48,$G17,月間集計シート!Q$29:Q$48)*M$2</f>
        <v>0</v>
      </c>
      <c r="N17" s="88">
        <f>SUMIF(月間集計シート!$M$29:$M$48,$G17,月間集計シート!R$29:R$48)*N$2</f>
        <v>0</v>
      </c>
      <c r="O17" s="88">
        <f>SUMIF(月間集計シート!$M$29:$M$48,$G17,月間集計シート!S$29:S$48)*O$2</f>
        <v>0</v>
      </c>
      <c r="P17" s="88">
        <f>SUMIF(月間集計シート!$M$29:$M$48,$G17,月間集計シート!T$29:T$48)*P$2</f>
        <v>0</v>
      </c>
      <c r="Q17" s="88">
        <f>SUMIF(月間集計シート!$M$50:$M$69,$G17,月間集計シート!N$50:N$69)*Q$2</f>
        <v>0</v>
      </c>
      <c r="R17" s="88">
        <f>SUMIF(月間集計シート!$M$50:$M$69,$G17,月間集計シート!O$50:O$69)*R$2</f>
        <v>0</v>
      </c>
      <c r="S17" s="88">
        <f>SUMIF(月間集計シート!$M$50:$M$69,$G17,月間集計シート!P$50:P$69)*S$2</f>
        <v>0</v>
      </c>
      <c r="T17" s="88">
        <f>SUMIF(月間集計シート!$M$50:$M$69,$G17,月間集計シート!Q$50:Q$69)*T$2</f>
        <v>0</v>
      </c>
      <c r="U17" s="88">
        <f>SUMIF(月間集計シート!$M$50:$M$69,$G17,月間集計シート!R$50:R$69)*U$2</f>
        <v>0</v>
      </c>
      <c r="V17" s="88">
        <f>SUMIF(月間集計シート!$M$50:$M$69,$G17,月間集計シート!S$50:S$69)*V$2</f>
        <v>0</v>
      </c>
      <c r="W17" s="88">
        <f>SUMIF(月間集計シート!$M$50:$M$69,$G17,月間集計シート!T$50:T$69)*W$2</f>
        <v>0</v>
      </c>
      <c r="X17" s="88">
        <f>SUMIF(月間集計シート!$M$71:$M$90,$G17,月間集計シート!N$71:N$90)*X$2</f>
        <v>0</v>
      </c>
      <c r="Y17" s="88">
        <f>SUMIF(月間集計シート!$M$71:$M$90,$G17,月間集計シート!O$71:O$90)*Y$2</f>
        <v>0</v>
      </c>
      <c r="Z17" s="88">
        <f>SUMIF(月間集計シート!$M$71:$M$90,$G17,月間集計シート!P$71:P$90)*Z$2</f>
        <v>0</v>
      </c>
      <c r="AA17" s="88">
        <f>SUMIF(月間集計シート!$M$71:$M$90,$G17,月間集計シート!Q$71:Q$90)*AA$2</f>
        <v>0</v>
      </c>
      <c r="AB17" s="88">
        <f>SUMIF(月間集計シート!$M$71:$M$90,$G17,月間集計シート!R$71:R$90)*AB$2</f>
        <v>0</v>
      </c>
      <c r="AC17" s="88">
        <f>SUMIF(月間集計シート!$M$71:$M$90,$G17,月間集計シート!S$71:S$90)*AC$2</f>
        <v>0</v>
      </c>
      <c r="AD17" s="88">
        <f>SUMIF(月間集計シート!$M$71:$M$90,$G17,月間集計シート!T$71:T$90)*AD$2</f>
        <v>0</v>
      </c>
      <c r="AE17" s="88">
        <f>SUMIF(月間集計シート!$M$92:$M$111,$G17,月間集計シート!N$92:N$111)*AE$2</f>
        <v>0</v>
      </c>
      <c r="AF17" s="88">
        <f>SUMIF(月間集計シート!$M$92:$M$111,$G17,月間集計シート!O$92:O$111)*AF$2</f>
        <v>0</v>
      </c>
      <c r="AG17" s="88">
        <f>SUMIF(月間集計シート!$M$92:$M$111,$G17,月間集計シート!P$92:P$111)*AG$2</f>
        <v>0</v>
      </c>
      <c r="AH17" s="88">
        <f>SUMIF(月間集計シート!$M$92:$M$111,$G17,月間集計シート!Q$92:Q$111)*AH$2</f>
        <v>0</v>
      </c>
      <c r="AI17" s="88">
        <f>SUMIF(月間集計シート!$M$92:$M$111,$G17,月間集計シート!R$92:R$111)*AI$2</f>
        <v>0</v>
      </c>
      <c r="AJ17" s="88">
        <f>SUMIF(月間集計シート!$M$92:$M$111,$G17,月間集計シート!S$92:S$111)*AJ$2</f>
        <v>0</v>
      </c>
      <c r="AK17" s="88">
        <f>SUMIF(月間集計シート!$M$92:$M$111,$G17,月間集計シート!T$92:T$111)*AK$2</f>
        <v>0</v>
      </c>
      <c r="AL17" s="88">
        <f>SUMIF(月間集計シート!$M$113:$M$132,$G17,月間集計シート!N$113:N$132)*AL$2</f>
        <v>0</v>
      </c>
      <c r="AM17" s="88">
        <f>SUMIF(月間集計シート!$M$113:$M$132,$G17,月間集計シート!O$113:O$132)*AM$2</f>
        <v>0</v>
      </c>
      <c r="AN17" s="88">
        <f>SUMIF(月間集計シート!$M$113:$M$132,$G17,月間集計シート!P$113:P$132)*AN$2</f>
        <v>0</v>
      </c>
      <c r="AO17" s="88">
        <f>SUMIF(月間集計シート!$M$113:$M$132,$G17,月間集計シート!Q$113:Q$132)*AO$2</f>
        <v>0</v>
      </c>
      <c r="AP17" s="88">
        <f>SUMIF(月間集計シート!$M$113:$M$132,$G17,月間集計シート!R$113:R$132)*AP$2</f>
        <v>0</v>
      </c>
      <c r="AQ17" s="88">
        <f>SUMIF(月間集計シート!$M$113:$M$132,$G17,月間集計シート!S$113:S$132)*AQ$2</f>
        <v>0</v>
      </c>
      <c r="AR17" s="88">
        <f>SUMIF(月間集計シート!$M$113:$M$132,$G17,月間集計シート!T$113:T$132)*AR$2</f>
        <v>0</v>
      </c>
      <c r="AS17" s="88">
        <f>SUMIF(月間集計シート!$M$134:$M$153,$G17,月間集計シート!N$134:N$153)*AS$2</f>
        <v>0</v>
      </c>
      <c r="AT17" s="88">
        <f>SUMIF(月間集計シート!$M$134:$M$153,$G17,月間集計シート!O$134:O$153)*AT$2</f>
        <v>0</v>
      </c>
      <c r="AU17" s="88">
        <f>SUMIF(月間集計シート!$M$134:$M$153,$G17,月間集計シート!P$134:P$153)*AU$2</f>
        <v>0</v>
      </c>
      <c r="AV17" s="88">
        <f>SUMIF(月間集計シート!$M$134:$M$153,$G17,月間集計シート!Q$134:Q$153)*AV$2</f>
        <v>0</v>
      </c>
      <c r="AW17" s="88">
        <f>SUMIF(月間集計シート!$M$134:$M$153,$G17,月間集計シート!R$134:R$153)*AW$2</f>
        <v>0</v>
      </c>
      <c r="AX17" s="88">
        <f>SUMIF(月間集計シート!$M$134:$M$153,$G17,月間集計シート!S$134:S$153)*AX$2</f>
        <v>0</v>
      </c>
      <c r="AY17" s="88">
        <f>SUMIF(月間集計シート!$M$134:$M$153,$G17,月間集計シート!T$134:T$153)*AY$2</f>
        <v>0</v>
      </c>
    </row>
    <row r="18" spans="1:51" ht="14.25" thickBot="1">
      <c r="A18">
        <v>1</v>
      </c>
      <c r="B18" s="120">
        <f t="shared" si="5"/>
        <v>999909</v>
      </c>
      <c r="C18" s="120" t="e">
        <f t="shared" si="6"/>
        <v>#N/A</v>
      </c>
      <c r="D18" s="137"/>
      <c r="E18" s="150" t="str">
        <f>工種!A10</f>
        <v>20106</v>
      </c>
      <c r="F18" s="119" t="str">
        <f>工種!B10</f>
        <v>設計：設計書修正（手戻り分）</v>
      </c>
      <c r="G18" s="116" t="str">
        <f t="shared" si="7"/>
        <v>99990920106</v>
      </c>
      <c r="H18" s="88">
        <f t="shared" si="4"/>
        <v>0</v>
      </c>
      <c r="I18" s="132"/>
      <c r="J18" s="88">
        <f>SUMIF(月間集計シート!$M$29:$M$48,$G18,月間集計シート!N$29:N$48)*J$2</f>
        <v>0</v>
      </c>
      <c r="K18" s="88">
        <f>SUMIF(月間集計シート!$M$29:$M$48,$G18,月間集計シート!O$29:O$48)*K$2</f>
        <v>0</v>
      </c>
      <c r="L18" s="88">
        <f>SUMIF(月間集計シート!$M$29:$M$48,$G18,月間集計シート!P$29:P$48)*L$2</f>
        <v>0</v>
      </c>
      <c r="M18" s="88">
        <f>SUMIF(月間集計シート!$M$29:$M$48,$G18,月間集計シート!Q$29:Q$48)*M$2</f>
        <v>0</v>
      </c>
      <c r="N18" s="88">
        <f>SUMIF(月間集計シート!$M$29:$M$48,$G18,月間集計シート!R$29:R$48)*N$2</f>
        <v>0</v>
      </c>
      <c r="O18" s="88">
        <f>SUMIF(月間集計シート!$M$29:$M$48,$G18,月間集計シート!S$29:S$48)*O$2</f>
        <v>0</v>
      </c>
      <c r="P18" s="88">
        <f>SUMIF(月間集計シート!$M$29:$M$48,$G18,月間集計シート!T$29:T$48)*P$2</f>
        <v>0</v>
      </c>
      <c r="Q18" s="88">
        <f>SUMIF(月間集計シート!$M$50:$M$69,$G18,月間集計シート!N$50:N$69)*Q$2</f>
        <v>0</v>
      </c>
      <c r="R18" s="88">
        <f>SUMIF(月間集計シート!$M$50:$M$69,$G18,月間集計シート!O$50:O$69)*R$2</f>
        <v>0</v>
      </c>
      <c r="S18" s="88">
        <f>SUMIF(月間集計シート!$M$50:$M$69,$G18,月間集計シート!P$50:P$69)*S$2</f>
        <v>0</v>
      </c>
      <c r="T18" s="88">
        <f>SUMIF(月間集計シート!$M$50:$M$69,$G18,月間集計シート!Q$50:Q$69)*T$2</f>
        <v>0</v>
      </c>
      <c r="U18" s="88">
        <f>SUMIF(月間集計シート!$M$50:$M$69,$G18,月間集計シート!R$50:R$69)*U$2</f>
        <v>0</v>
      </c>
      <c r="V18" s="88">
        <f>SUMIF(月間集計シート!$M$50:$M$69,$G18,月間集計シート!S$50:S$69)*V$2</f>
        <v>0</v>
      </c>
      <c r="W18" s="88">
        <f>SUMIF(月間集計シート!$M$50:$M$69,$G18,月間集計シート!T$50:T$69)*W$2</f>
        <v>0</v>
      </c>
      <c r="X18" s="88">
        <f>SUMIF(月間集計シート!$M$71:$M$90,$G18,月間集計シート!N$71:N$90)*X$2</f>
        <v>0</v>
      </c>
      <c r="Y18" s="88">
        <f>SUMIF(月間集計シート!$M$71:$M$90,$G18,月間集計シート!O$71:O$90)*Y$2</f>
        <v>0</v>
      </c>
      <c r="Z18" s="88">
        <f>SUMIF(月間集計シート!$M$71:$M$90,$G18,月間集計シート!P$71:P$90)*Z$2</f>
        <v>0</v>
      </c>
      <c r="AA18" s="88">
        <f>SUMIF(月間集計シート!$M$71:$M$90,$G18,月間集計シート!Q$71:Q$90)*AA$2</f>
        <v>0</v>
      </c>
      <c r="AB18" s="88">
        <f>SUMIF(月間集計シート!$M$71:$M$90,$G18,月間集計シート!R$71:R$90)*AB$2</f>
        <v>0</v>
      </c>
      <c r="AC18" s="88">
        <f>SUMIF(月間集計シート!$M$71:$M$90,$G18,月間集計シート!S$71:S$90)*AC$2</f>
        <v>0</v>
      </c>
      <c r="AD18" s="88">
        <f>SUMIF(月間集計シート!$M$71:$M$90,$G18,月間集計シート!T$71:T$90)*AD$2</f>
        <v>0</v>
      </c>
      <c r="AE18" s="88">
        <f>SUMIF(月間集計シート!$M$92:$M$111,$G18,月間集計シート!N$92:N$111)*AE$2</f>
        <v>0</v>
      </c>
      <c r="AF18" s="88">
        <f>SUMIF(月間集計シート!$M$92:$M$111,$G18,月間集計シート!O$92:O$111)*AF$2</f>
        <v>0</v>
      </c>
      <c r="AG18" s="88">
        <f>SUMIF(月間集計シート!$M$92:$M$111,$G18,月間集計シート!P$92:P$111)*AG$2</f>
        <v>0</v>
      </c>
      <c r="AH18" s="88">
        <f>SUMIF(月間集計シート!$M$92:$M$111,$G18,月間集計シート!Q$92:Q$111)*AH$2</f>
        <v>0</v>
      </c>
      <c r="AI18" s="88">
        <f>SUMIF(月間集計シート!$M$92:$M$111,$G18,月間集計シート!R$92:R$111)*AI$2</f>
        <v>0</v>
      </c>
      <c r="AJ18" s="88">
        <f>SUMIF(月間集計シート!$M$92:$M$111,$G18,月間集計シート!S$92:S$111)*AJ$2</f>
        <v>0</v>
      </c>
      <c r="AK18" s="88">
        <f>SUMIF(月間集計シート!$M$92:$M$111,$G18,月間集計シート!T$92:T$111)*AK$2</f>
        <v>0</v>
      </c>
      <c r="AL18" s="88">
        <f>SUMIF(月間集計シート!$M$113:$M$132,$G18,月間集計シート!N$113:N$132)*AL$2</f>
        <v>0</v>
      </c>
      <c r="AM18" s="88">
        <f>SUMIF(月間集計シート!$M$113:$M$132,$G18,月間集計シート!O$113:O$132)*AM$2</f>
        <v>0</v>
      </c>
      <c r="AN18" s="88">
        <f>SUMIF(月間集計シート!$M$113:$M$132,$G18,月間集計シート!P$113:P$132)*AN$2</f>
        <v>0</v>
      </c>
      <c r="AO18" s="88">
        <f>SUMIF(月間集計シート!$M$113:$M$132,$G18,月間集計シート!Q$113:Q$132)*AO$2</f>
        <v>0</v>
      </c>
      <c r="AP18" s="88">
        <f>SUMIF(月間集計シート!$M$113:$M$132,$G18,月間集計シート!R$113:R$132)*AP$2</f>
        <v>0</v>
      </c>
      <c r="AQ18" s="88">
        <f>SUMIF(月間集計シート!$M$113:$M$132,$G18,月間集計シート!S$113:S$132)*AQ$2</f>
        <v>0</v>
      </c>
      <c r="AR18" s="88">
        <f>SUMIF(月間集計シート!$M$113:$M$132,$G18,月間集計シート!T$113:T$132)*AR$2</f>
        <v>0</v>
      </c>
      <c r="AS18" s="88">
        <f>SUMIF(月間集計シート!$M$134:$M$153,$G18,月間集計シート!N$134:N$153)*AS$2</f>
        <v>0</v>
      </c>
      <c r="AT18" s="88">
        <f>SUMIF(月間集計シート!$M$134:$M$153,$G18,月間集計シート!O$134:O$153)*AT$2</f>
        <v>0</v>
      </c>
      <c r="AU18" s="88">
        <f>SUMIF(月間集計シート!$M$134:$M$153,$G18,月間集計シート!P$134:P$153)*AU$2</f>
        <v>0</v>
      </c>
      <c r="AV18" s="88">
        <f>SUMIF(月間集計シート!$M$134:$M$153,$G18,月間集計シート!Q$134:Q$153)*AV$2</f>
        <v>0</v>
      </c>
      <c r="AW18" s="88">
        <f>SUMIF(月間集計シート!$M$134:$M$153,$G18,月間集計シート!R$134:R$153)*AW$2</f>
        <v>0</v>
      </c>
      <c r="AX18" s="88">
        <f>SUMIF(月間集計シート!$M$134:$M$153,$G18,月間集計シート!S$134:S$153)*AX$2</f>
        <v>0</v>
      </c>
      <c r="AY18" s="88">
        <f>SUMIF(月間集計シート!$M$134:$M$153,$G18,月間集計シート!T$134:T$153)*AY$2</f>
        <v>0</v>
      </c>
    </row>
    <row r="19" spans="1:51" ht="14.25" thickBot="1">
      <c r="A19">
        <v>1</v>
      </c>
      <c r="B19" s="120">
        <f t="shared" si="5"/>
        <v>999909</v>
      </c>
      <c r="C19" s="120" t="e">
        <f t="shared" si="6"/>
        <v>#N/A</v>
      </c>
      <c r="D19" s="137"/>
      <c r="E19" s="150" t="str">
        <f>工種!A11</f>
        <v>20107</v>
      </c>
      <c r="F19" s="119" t="str">
        <f>工種!B11</f>
        <v>設計：その他の設計書作成</v>
      </c>
      <c r="G19" s="116" t="str">
        <f t="shared" si="7"/>
        <v>99990920107</v>
      </c>
      <c r="H19" s="88">
        <f t="shared" si="4"/>
        <v>0</v>
      </c>
      <c r="I19" s="132"/>
      <c r="J19" s="88">
        <f>SUMIF(月間集計シート!$M$29:$M$48,$G19,月間集計シート!N$29:N$48)*J$2</f>
        <v>0</v>
      </c>
      <c r="K19" s="88">
        <f>SUMIF(月間集計シート!$M$29:$M$48,$G19,月間集計シート!O$29:O$48)*K$2</f>
        <v>0</v>
      </c>
      <c r="L19" s="88">
        <f>SUMIF(月間集計シート!$M$29:$M$48,$G19,月間集計シート!P$29:P$48)*L$2</f>
        <v>0</v>
      </c>
      <c r="M19" s="88">
        <f>SUMIF(月間集計シート!$M$29:$M$48,$G19,月間集計シート!Q$29:Q$48)*M$2</f>
        <v>0</v>
      </c>
      <c r="N19" s="88">
        <f>SUMIF(月間集計シート!$M$29:$M$48,$G19,月間集計シート!R$29:R$48)*N$2</f>
        <v>0</v>
      </c>
      <c r="O19" s="88">
        <f>SUMIF(月間集計シート!$M$29:$M$48,$G19,月間集計シート!S$29:S$48)*O$2</f>
        <v>0</v>
      </c>
      <c r="P19" s="88">
        <f>SUMIF(月間集計シート!$M$29:$M$48,$G19,月間集計シート!T$29:T$48)*P$2</f>
        <v>0</v>
      </c>
      <c r="Q19" s="88">
        <f>SUMIF(月間集計シート!$M$50:$M$69,$G19,月間集計シート!N$50:N$69)*Q$2</f>
        <v>0</v>
      </c>
      <c r="R19" s="88">
        <f>SUMIF(月間集計シート!$M$50:$M$69,$G19,月間集計シート!O$50:O$69)*R$2</f>
        <v>0</v>
      </c>
      <c r="S19" s="88">
        <f>SUMIF(月間集計シート!$M$50:$M$69,$G19,月間集計シート!P$50:P$69)*S$2</f>
        <v>0</v>
      </c>
      <c r="T19" s="88">
        <f>SUMIF(月間集計シート!$M$50:$M$69,$G19,月間集計シート!Q$50:Q$69)*T$2</f>
        <v>0</v>
      </c>
      <c r="U19" s="88">
        <f>SUMIF(月間集計シート!$M$50:$M$69,$G19,月間集計シート!R$50:R$69)*U$2</f>
        <v>0</v>
      </c>
      <c r="V19" s="88">
        <f>SUMIF(月間集計シート!$M$50:$M$69,$G19,月間集計シート!S$50:S$69)*V$2</f>
        <v>0</v>
      </c>
      <c r="W19" s="88">
        <f>SUMIF(月間集計シート!$M$50:$M$69,$G19,月間集計シート!T$50:T$69)*W$2</f>
        <v>0</v>
      </c>
      <c r="X19" s="88">
        <f>SUMIF(月間集計シート!$M$71:$M$90,$G19,月間集計シート!N$71:N$90)*X$2</f>
        <v>0</v>
      </c>
      <c r="Y19" s="88">
        <f>SUMIF(月間集計シート!$M$71:$M$90,$G19,月間集計シート!O$71:O$90)*Y$2</f>
        <v>0</v>
      </c>
      <c r="Z19" s="88">
        <f>SUMIF(月間集計シート!$M$71:$M$90,$G19,月間集計シート!P$71:P$90)*Z$2</f>
        <v>0</v>
      </c>
      <c r="AA19" s="88">
        <f>SUMIF(月間集計シート!$M$71:$M$90,$G19,月間集計シート!Q$71:Q$90)*AA$2</f>
        <v>0</v>
      </c>
      <c r="AB19" s="88">
        <f>SUMIF(月間集計シート!$M$71:$M$90,$G19,月間集計シート!R$71:R$90)*AB$2</f>
        <v>0</v>
      </c>
      <c r="AC19" s="88">
        <f>SUMIF(月間集計シート!$M$71:$M$90,$G19,月間集計シート!S$71:S$90)*AC$2</f>
        <v>0</v>
      </c>
      <c r="AD19" s="88">
        <f>SUMIF(月間集計シート!$M$71:$M$90,$G19,月間集計シート!T$71:T$90)*AD$2</f>
        <v>0</v>
      </c>
      <c r="AE19" s="88">
        <f>SUMIF(月間集計シート!$M$92:$M$111,$G19,月間集計シート!N$92:N$111)*AE$2</f>
        <v>0</v>
      </c>
      <c r="AF19" s="88">
        <f>SUMIF(月間集計シート!$M$92:$M$111,$G19,月間集計シート!O$92:O$111)*AF$2</f>
        <v>0</v>
      </c>
      <c r="AG19" s="88">
        <f>SUMIF(月間集計シート!$M$92:$M$111,$G19,月間集計シート!P$92:P$111)*AG$2</f>
        <v>0</v>
      </c>
      <c r="AH19" s="88">
        <f>SUMIF(月間集計シート!$M$92:$M$111,$G19,月間集計シート!Q$92:Q$111)*AH$2</f>
        <v>0</v>
      </c>
      <c r="AI19" s="88">
        <f>SUMIF(月間集計シート!$M$92:$M$111,$G19,月間集計シート!R$92:R$111)*AI$2</f>
        <v>0</v>
      </c>
      <c r="AJ19" s="88">
        <f>SUMIF(月間集計シート!$M$92:$M$111,$G19,月間集計シート!S$92:S$111)*AJ$2</f>
        <v>0</v>
      </c>
      <c r="AK19" s="88">
        <f>SUMIF(月間集計シート!$M$92:$M$111,$G19,月間集計シート!T$92:T$111)*AK$2</f>
        <v>0</v>
      </c>
      <c r="AL19" s="88">
        <f>SUMIF(月間集計シート!$M$113:$M$132,$G19,月間集計シート!N$113:N$132)*AL$2</f>
        <v>0</v>
      </c>
      <c r="AM19" s="88">
        <f>SUMIF(月間集計シート!$M$113:$M$132,$G19,月間集計シート!O$113:O$132)*AM$2</f>
        <v>0</v>
      </c>
      <c r="AN19" s="88">
        <f>SUMIF(月間集計シート!$M$113:$M$132,$G19,月間集計シート!P$113:P$132)*AN$2</f>
        <v>0</v>
      </c>
      <c r="AO19" s="88">
        <f>SUMIF(月間集計シート!$M$113:$M$132,$G19,月間集計シート!Q$113:Q$132)*AO$2</f>
        <v>0</v>
      </c>
      <c r="AP19" s="88">
        <f>SUMIF(月間集計シート!$M$113:$M$132,$G19,月間集計シート!R$113:R$132)*AP$2</f>
        <v>0</v>
      </c>
      <c r="AQ19" s="88">
        <f>SUMIF(月間集計シート!$M$113:$M$132,$G19,月間集計シート!S$113:S$132)*AQ$2</f>
        <v>0</v>
      </c>
      <c r="AR19" s="88">
        <f>SUMIF(月間集計シート!$M$113:$M$132,$G19,月間集計シート!T$113:T$132)*AR$2</f>
        <v>0</v>
      </c>
      <c r="AS19" s="88">
        <f>SUMIF(月間集計シート!$M$134:$M$153,$G19,月間集計シート!N$134:N$153)*AS$2</f>
        <v>0</v>
      </c>
      <c r="AT19" s="88">
        <f>SUMIF(月間集計シート!$M$134:$M$153,$G19,月間集計シート!O$134:O$153)*AT$2</f>
        <v>0</v>
      </c>
      <c r="AU19" s="88">
        <f>SUMIF(月間集計シート!$M$134:$M$153,$G19,月間集計シート!P$134:P$153)*AU$2</f>
        <v>0</v>
      </c>
      <c r="AV19" s="88">
        <f>SUMIF(月間集計シート!$M$134:$M$153,$G19,月間集計シート!Q$134:Q$153)*AV$2</f>
        <v>0</v>
      </c>
      <c r="AW19" s="88">
        <f>SUMIF(月間集計シート!$M$134:$M$153,$G19,月間集計シート!R$134:R$153)*AW$2</f>
        <v>0</v>
      </c>
      <c r="AX19" s="88">
        <f>SUMIF(月間集計シート!$M$134:$M$153,$G19,月間集計シート!S$134:S$153)*AX$2</f>
        <v>0</v>
      </c>
      <c r="AY19" s="88">
        <f>SUMIF(月間集計シート!$M$134:$M$153,$G19,月間集計シート!T$134:T$153)*AY$2</f>
        <v>0</v>
      </c>
    </row>
    <row r="20" spans="1:51" ht="14.25" thickBot="1">
      <c r="A20">
        <v>1</v>
      </c>
      <c r="B20" s="120">
        <f t="shared" si="5"/>
        <v>999909</v>
      </c>
      <c r="C20" s="120" t="e">
        <f t="shared" si="6"/>
        <v>#N/A</v>
      </c>
      <c r="D20" s="137"/>
      <c r="E20" s="150" t="str">
        <f>工種!A12</f>
        <v>20108</v>
      </c>
      <c r="F20" s="119" t="str">
        <f>工種!B12</f>
        <v>設計：レビュー</v>
      </c>
      <c r="G20" s="116" t="str">
        <f t="shared" si="7"/>
        <v>99990920108</v>
      </c>
      <c r="H20" s="88">
        <f t="shared" si="4"/>
        <v>0</v>
      </c>
      <c r="I20" s="132"/>
      <c r="J20" s="88">
        <f>SUMIF(月間集計シート!$M$29:$M$48,$G20,月間集計シート!N$29:N$48)*J$2</f>
        <v>0</v>
      </c>
      <c r="K20" s="88">
        <f>SUMIF(月間集計シート!$M$29:$M$48,$G20,月間集計シート!O$29:O$48)*K$2</f>
        <v>0</v>
      </c>
      <c r="L20" s="88">
        <f>SUMIF(月間集計シート!$M$29:$M$48,$G20,月間集計シート!P$29:P$48)*L$2</f>
        <v>0</v>
      </c>
      <c r="M20" s="88">
        <f>SUMIF(月間集計シート!$M$29:$M$48,$G20,月間集計シート!Q$29:Q$48)*M$2</f>
        <v>0</v>
      </c>
      <c r="N20" s="88">
        <f>SUMIF(月間集計シート!$M$29:$M$48,$G20,月間集計シート!R$29:R$48)*N$2</f>
        <v>0</v>
      </c>
      <c r="O20" s="88">
        <f>SUMIF(月間集計シート!$M$29:$M$48,$G20,月間集計シート!S$29:S$48)*O$2</f>
        <v>0</v>
      </c>
      <c r="P20" s="88">
        <f>SUMIF(月間集計シート!$M$29:$M$48,$G20,月間集計シート!T$29:T$48)*P$2</f>
        <v>0</v>
      </c>
      <c r="Q20" s="88">
        <f>SUMIF(月間集計シート!$M$50:$M$69,$G20,月間集計シート!N$50:N$69)*Q$2</f>
        <v>0</v>
      </c>
      <c r="R20" s="88">
        <f>SUMIF(月間集計シート!$M$50:$M$69,$G20,月間集計シート!O$50:O$69)*R$2</f>
        <v>0</v>
      </c>
      <c r="S20" s="88">
        <f>SUMIF(月間集計シート!$M$50:$M$69,$G20,月間集計シート!P$50:P$69)*S$2</f>
        <v>0</v>
      </c>
      <c r="T20" s="88">
        <f>SUMIF(月間集計シート!$M$50:$M$69,$G20,月間集計シート!Q$50:Q$69)*T$2</f>
        <v>0</v>
      </c>
      <c r="U20" s="88">
        <f>SUMIF(月間集計シート!$M$50:$M$69,$G20,月間集計シート!R$50:R$69)*U$2</f>
        <v>0</v>
      </c>
      <c r="V20" s="88">
        <f>SUMIF(月間集計シート!$M$50:$M$69,$G20,月間集計シート!S$50:S$69)*V$2</f>
        <v>0</v>
      </c>
      <c r="W20" s="88">
        <f>SUMIF(月間集計シート!$M$50:$M$69,$G20,月間集計シート!T$50:T$69)*W$2</f>
        <v>0</v>
      </c>
      <c r="X20" s="88">
        <f>SUMIF(月間集計シート!$M$71:$M$90,$G20,月間集計シート!N$71:N$90)*X$2</f>
        <v>0</v>
      </c>
      <c r="Y20" s="88">
        <f>SUMIF(月間集計シート!$M$71:$M$90,$G20,月間集計シート!O$71:O$90)*Y$2</f>
        <v>0</v>
      </c>
      <c r="Z20" s="88">
        <f>SUMIF(月間集計シート!$M$71:$M$90,$G20,月間集計シート!P$71:P$90)*Z$2</f>
        <v>0</v>
      </c>
      <c r="AA20" s="88">
        <f>SUMIF(月間集計シート!$M$71:$M$90,$G20,月間集計シート!Q$71:Q$90)*AA$2</f>
        <v>0</v>
      </c>
      <c r="AB20" s="88">
        <f>SUMIF(月間集計シート!$M$71:$M$90,$G20,月間集計シート!R$71:R$90)*AB$2</f>
        <v>0</v>
      </c>
      <c r="AC20" s="88">
        <f>SUMIF(月間集計シート!$M$71:$M$90,$G20,月間集計シート!S$71:S$90)*AC$2</f>
        <v>0</v>
      </c>
      <c r="AD20" s="88">
        <f>SUMIF(月間集計シート!$M$71:$M$90,$G20,月間集計シート!T$71:T$90)*AD$2</f>
        <v>0</v>
      </c>
      <c r="AE20" s="88">
        <f>SUMIF(月間集計シート!$M$92:$M$111,$G20,月間集計シート!N$92:N$111)*AE$2</f>
        <v>0</v>
      </c>
      <c r="AF20" s="88">
        <f>SUMIF(月間集計シート!$M$92:$M$111,$G20,月間集計シート!O$92:O$111)*AF$2</f>
        <v>0</v>
      </c>
      <c r="AG20" s="88">
        <f>SUMIF(月間集計シート!$M$92:$M$111,$G20,月間集計シート!P$92:P$111)*AG$2</f>
        <v>0</v>
      </c>
      <c r="AH20" s="88">
        <f>SUMIF(月間集計シート!$M$92:$M$111,$G20,月間集計シート!Q$92:Q$111)*AH$2</f>
        <v>0</v>
      </c>
      <c r="AI20" s="88">
        <f>SUMIF(月間集計シート!$M$92:$M$111,$G20,月間集計シート!R$92:R$111)*AI$2</f>
        <v>0</v>
      </c>
      <c r="AJ20" s="88">
        <f>SUMIF(月間集計シート!$M$92:$M$111,$G20,月間集計シート!S$92:S$111)*AJ$2</f>
        <v>0</v>
      </c>
      <c r="AK20" s="88">
        <f>SUMIF(月間集計シート!$M$92:$M$111,$G20,月間集計シート!T$92:T$111)*AK$2</f>
        <v>0</v>
      </c>
      <c r="AL20" s="88">
        <f>SUMIF(月間集計シート!$M$113:$M$132,$G20,月間集計シート!N$113:N$132)*AL$2</f>
        <v>0</v>
      </c>
      <c r="AM20" s="88">
        <f>SUMIF(月間集計シート!$M$113:$M$132,$G20,月間集計シート!O$113:O$132)*AM$2</f>
        <v>0</v>
      </c>
      <c r="AN20" s="88">
        <f>SUMIF(月間集計シート!$M$113:$M$132,$G20,月間集計シート!P$113:P$132)*AN$2</f>
        <v>0</v>
      </c>
      <c r="AO20" s="88">
        <f>SUMIF(月間集計シート!$M$113:$M$132,$G20,月間集計シート!Q$113:Q$132)*AO$2</f>
        <v>0</v>
      </c>
      <c r="AP20" s="88">
        <f>SUMIF(月間集計シート!$M$113:$M$132,$G20,月間集計シート!R$113:R$132)*AP$2</f>
        <v>0</v>
      </c>
      <c r="AQ20" s="88">
        <f>SUMIF(月間集計シート!$M$113:$M$132,$G20,月間集計シート!S$113:S$132)*AQ$2</f>
        <v>0</v>
      </c>
      <c r="AR20" s="88">
        <f>SUMIF(月間集計シート!$M$113:$M$132,$G20,月間集計シート!T$113:T$132)*AR$2</f>
        <v>0</v>
      </c>
      <c r="AS20" s="88">
        <f>SUMIF(月間集計シート!$M$134:$M$153,$G20,月間集計シート!N$134:N$153)*AS$2</f>
        <v>0</v>
      </c>
      <c r="AT20" s="88">
        <f>SUMIF(月間集計シート!$M$134:$M$153,$G20,月間集計シート!O$134:O$153)*AT$2</f>
        <v>0</v>
      </c>
      <c r="AU20" s="88">
        <f>SUMIF(月間集計シート!$M$134:$M$153,$G20,月間集計シート!P$134:P$153)*AU$2</f>
        <v>0</v>
      </c>
      <c r="AV20" s="88">
        <f>SUMIF(月間集計シート!$M$134:$M$153,$G20,月間集計シート!Q$134:Q$153)*AV$2</f>
        <v>0</v>
      </c>
      <c r="AW20" s="88">
        <f>SUMIF(月間集計シート!$M$134:$M$153,$G20,月間集計シート!R$134:R$153)*AW$2</f>
        <v>0</v>
      </c>
      <c r="AX20" s="88">
        <f>SUMIF(月間集計シート!$M$134:$M$153,$G20,月間集計シート!S$134:S$153)*AX$2</f>
        <v>0</v>
      </c>
      <c r="AY20" s="88">
        <f>SUMIF(月間集計シート!$M$134:$M$153,$G20,月間集計シート!T$134:T$153)*AY$2</f>
        <v>0</v>
      </c>
    </row>
    <row r="21" spans="1:51" ht="14.25" thickBot="1">
      <c r="A21">
        <v>1</v>
      </c>
      <c r="B21" s="120">
        <f t="shared" si="5"/>
        <v>999909</v>
      </c>
      <c r="C21" s="120" t="e">
        <f t="shared" si="6"/>
        <v>#N/A</v>
      </c>
      <c r="D21" s="137"/>
      <c r="E21" s="150" t="str">
        <f>工種!A13</f>
        <v>20109</v>
      </c>
      <c r="F21" s="119" t="str">
        <f>工種!B13</f>
        <v>設計：QA対応</v>
      </c>
      <c r="G21" s="116" t="str">
        <f t="shared" si="7"/>
        <v>99990920109</v>
      </c>
      <c r="H21" s="88">
        <f t="shared" si="4"/>
        <v>0</v>
      </c>
      <c r="I21" s="132"/>
      <c r="J21" s="88">
        <f>SUMIF(月間集計シート!$M$29:$M$48,$G21,月間集計シート!N$29:N$48)*J$2</f>
        <v>0</v>
      </c>
      <c r="K21" s="88">
        <f>SUMIF(月間集計シート!$M$29:$M$48,$G21,月間集計シート!O$29:O$48)*K$2</f>
        <v>0</v>
      </c>
      <c r="L21" s="88">
        <f>SUMIF(月間集計シート!$M$29:$M$48,$G21,月間集計シート!P$29:P$48)*L$2</f>
        <v>0</v>
      </c>
      <c r="M21" s="88">
        <f>SUMIF(月間集計シート!$M$29:$M$48,$G21,月間集計シート!Q$29:Q$48)*M$2</f>
        <v>0</v>
      </c>
      <c r="N21" s="88">
        <f>SUMIF(月間集計シート!$M$29:$M$48,$G21,月間集計シート!R$29:R$48)*N$2</f>
        <v>0</v>
      </c>
      <c r="O21" s="88">
        <f>SUMIF(月間集計シート!$M$29:$M$48,$G21,月間集計シート!S$29:S$48)*O$2</f>
        <v>0</v>
      </c>
      <c r="P21" s="88">
        <f>SUMIF(月間集計シート!$M$29:$M$48,$G21,月間集計シート!T$29:T$48)*P$2</f>
        <v>0</v>
      </c>
      <c r="Q21" s="88">
        <f>SUMIF(月間集計シート!$M$50:$M$69,$G21,月間集計シート!N$50:N$69)*Q$2</f>
        <v>0</v>
      </c>
      <c r="R21" s="88">
        <f>SUMIF(月間集計シート!$M$50:$M$69,$G21,月間集計シート!O$50:O$69)*R$2</f>
        <v>0</v>
      </c>
      <c r="S21" s="88">
        <f>SUMIF(月間集計シート!$M$50:$M$69,$G21,月間集計シート!P$50:P$69)*S$2</f>
        <v>0</v>
      </c>
      <c r="T21" s="88">
        <f>SUMIF(月間集計シート!$M$50:$M$69,$G21,月間集計シート!Q$50:Q$69)*T$2</f>
        <v>0</v>
      </c>
      <c r="U21" s="88">
        <f>SUMIF(月間集計シート!$M$50:$M$69,$G21,月間集計シート!R$50:R$69)*U$2</f>
        <v>0</v>
      </c>
      <c r="V21" s="88">
        <f>SUMIF(月間集計シート!$M$50:$M$69,$G21,月間集計シート!S$50:S$69)*V$2</f>
        <v>0</v>
      </c>
      <c r="W21" s="88">
        <f>SUMIF(月間集計シート!$M$50:$M$69,$G21,月間集計シート!T$50:T$69)*W$2</f>
        <v>0</v>
      </c>
      <c r="X21" s="88">
        <f>SUMIF(月間集計シート!$M$71:$M$90,$G21,月間集計シート!N$71:N$90)*X$2</f>
        <v>0</v>
      </c>
      <c r="Y21" s="88">
        <f>SUMIF(月間集計シート!$M$71:$M$90,$G21,月間集計シート!O$71:O$90)*Y$2</f>
        <v>0</v>
      </c>
      <c r="Z21" s="88">
        <f>SUMIF(月間集計シート!$M$71:$M$90,$G21,月間集計シート!P$71:P$90)*Z$2</f>
        <v>0</v>
      </c>
      <c r="AA21" s="88">
        <f>SUMIF(月間集計シート!$M$71:$M$90,$G21,月間集計シート!Q$71:Q$90)*AA$2</f>
        <v>0</v>
      </c>
      <c r="AB21" s="88">
        <f>SUMIF(月間集計シート!$M$71:$M$90,$G21,月間集計シート!R$71:R$90)*AB$2</f>
        <v>0</v>
      </c>
      <c r="AC21" s="88">
        <f>SUMIF(月間集計シート!$M$71:$M$90,$G21,月間集計シート!S$71:S$90)*AC$2</f>
        <v>0</v>
      </c>
      <c r="AD21" s="88">
        <f>SUMIF(月間集計シート!$M$71:$M$90,$G21,月間集計シート!T$71:T$90)*AD$2</f>
        <v>0</v>
      </c>
      <c r="AE21" s="88">
        <f>SUMIF(月間集計シート!$M$92:$M$111,$G21,月間集計シート!N$92:N$111)*AE$2</f>
        <v>0</v>
      </c>
      <c r="AF21" s="88">
        <f>SUMIF(月間集計シート!$M$92:$M$111,$G21,月間集計シート!O$92:O$111)*AF$2</f>
        <v>0</v>
      </c>
      <c r="AG21" s="88">
        <f>SUMIF(月間集計シート!$M$92:$M$111,$G21,月間集計シート!P$92:P$111)*AG$2</f>
        <v>0</v>
      </c>
      <c r="AH21" s="88">
        <f>SUMIF(月間集計シート!$M$92:$M$111,$G21,月間集計シート!Q$92:Q$111)*AH$2</f>
        <v>0</v>
      </c>
      <c r="AI21" s="88">
        <f>SUMIF(月間集計シート!$M$92:$M$111,$G21,月間集計シート!R$92:R$111)*AI$2</f>
        <v>0</v>
      </c>
      <c r="AJ21" s="88">
        <f>SUMIF(月間集計シート!$M$92:$M$111,$G21,月間集計シート!S$92:S$111)*AJ$2</f>
        <v>0</v>
      </c>
      <c r="AK21" s="88">
        <f>SUMIF(月間集計シート!$M$92:$M$111,$G21,月間集計シート!T$92:T$111)*AK$2</f>
        <v>0</v>
      </c>
      <c r="AL21" s="88">
        <f>SUMIF(月間集計シート!$M$113:$M$132,$G21,月間集計シート!N$113:N$132)*AL$2</f>
        <v>0</v>
      </c>
      <c r="AM21" s="88">
        <f>SUMIF(月間集計シート!$M$113:$M$132,$G21,月間集計シート!O$113:O$132)*AM$2</f>
        <v>0</v>
      </c>
      <c r="AN21" s="88">
        <f>SUMIF(月間集計シート!$M$113:$M$132,$G21,月間集計シート!P$113:P$132)*AN$2</f>
        <v>0</v>
      </c>
      <c r="AO21" s="88">
        <f>SUMIF(月間集計シート!$M$113:$M$132,$G21,月間集計シート!Q$113:Q$132)*AO$2</f>
        <v>0</v>
      </c>
      <c r="AP21" s="88">
        <f>SUMIF(月間集計シート!$M$113:$M$132,$G21,月間集計シート!R$113:R$132)*AP$2</f>
        <v>0</v>
      </c>
      <c r="AQ21" s="88">
        <f>SUMIF(月間集計シート!$M$113:$M$132,$G21,月間集計シート!S$113:S$132)*AQ$2</f>
        <v>0</v>
      </c>
      <c r="AR21" s="88">
        <f>SUMIF(月間集計シート!$M$113:$M$132,$G21,月間集計シート!T$113:T$132)*AR$2</f>
        <v>0</v>
      </c>
      <c r="AS21" s="88">
        <f>SUMIF(月間集計シート!$M$134:$M$153,$G21,月間集計シート!N$134:N$153)*AS$2</f>
        <v>0</v>
      </c>
      <c r="AT21" s="88">
        <f>SUMIF(月間集計シート!$M$134:$M$153,$G21,月間集計シート!O$134:O$153)*AT$2</f>
        <v>0</v>
      </c>
      <c r="AU21" s="88">
        <f>SUMIF(月間集計シート!$M$134:$M$153,$G21,月間集計シート!P$134:P$153)*AU$2</f>
        <v>0</v>
      </c>
      <c r="AV21" s="88">
        <f>SUMIF(月間集計シート!$M$134:$M$153,$G21,月間集計シート!Q$134:Q$153)*AV$2</f>
        <v>0</v>
      </c>
      <c r="AW21" s="88">
        <f>SUMIF(月間集計シート!$M$134:$M$153,$G21,月間集計シート!R$134:R$153)*AW$2</f>
        <v>0</v>
      </c>
      <c r="AX21" s="88">
        <f>SUMIF(月間集計シート!$M$134:$M$153,$G21,月間集計シート!S$134:S$153)*AX$2</f>
        <v>0</v>
      </c>
      <c r="AY21" s="88">
        <f>SUMIF(月間集計シート!$M$134:$M$153,$G21,月間集計シート!T$134:T$153)*AY$2</f>
        <v>0</v>
      </c>
    </row>
    <row r="22" spans="1:51" ht="14.25" thickBot="1">
      <c r="A22">
        <v>1</v>
      </c>
      <c r="B22" s="120">
        <f t="shared" si="5"/>
        <v>999909</v>
      </c>
      <c r="C22" s="120" t="e">
        <f t="shared" si="6"/>
        <v>#N/A</v>
      </c>
      <c r="D22" s="137"/>
      <c r="E22" s="150" t="str">
        <f>工種!A14</f>
        <v>20199</v>
      </c>
      <c r="F22" s="119" t="str">
        <f>工種!B14</f>
        <v>設計：その他</v>
      </c>
      <c r="G22" s="116" t="str">
        <f t="shared" si="7"/>
        <v>99990920199</v>
      </c>
      <c r="H22" s="88">
        <f t="shared" si="4"/>
        <v>0</v>
      </c>
      <c r="I22" s="132"/>
      <c r="J22" s="88">
        <f>SUMIF(月間集計シート!$M$29:$M$48,$G22,月間集計シート!N$29:N$48)*J$2</f>
        <v>0</v>
      </c>
      <c r="K22" s="88">
        <f>SUMIF(月間集計シート!$M$29:$M$48,$G22,月間集計シート!O$29:O$48)*K$2</f>
        <v>0</v>
      </c>
      <c r="L22" s="88">
        <f>SUMIF(月間集計シート!$M$29:$M$48,$G22,月間集計シート!P$29:P$48)*L$2</f>
        <v>0</v>
      </c>
      <c r="M22" s="88">
        <f>SUMIF(月間集計シート!$M$29:$M$48,$G22,月間集計シート!Q$29:Q$48)*M$2</f>
        <v>0</v>
      </c>
      <c r="N22" s="88">
        <f>SUMIF(月間集計シート!$M$29:$M$48,$G22,月間集計シート!R$29:R$48)*N$2</f>
        <v>0</v>
      </c>
      <c r="O22" s="88">
        <f>SUMIF(月間集計シート!$M$29:$M$48,$G22,月間集計シート!S$29:S$48)*O$2</f>
        <v>0</v>
      </c>
      <c r="P22" s="88">
        <f>SUMIF(月間集計シート!$M$29:$M$48,$G22,月間集計シート!T$29:T$48)*P$2</f>
        <v>0</v>
      </c>
      <c r="Q22" s="88">
        <f>SUMIF(月間集計シート!$M$50:$M$69,$G22,月間集計シート!N$50:N$69)*Q$2</f>
        <v>0</v>
      </c>
      <c r="R22" s="88">
        <f>SUMIF(月間集計シート!$M$50:$M$69,$G22,月間集計シート!O$50:O$69)*R$2</f>
        <v>0</v>
      </c>
      <c r="S22" s="88">
        <f>SUMIF(月間集計シート!$M$50:$M$69,$G22,月間集計シート!P$50:P$69)*S$2</f>
        <v>0</v>
      </c>
      <c r="T22" s="88">
        <f>SUMIF(月間集計シート!$M$50:$M$69,$G22,月間集計シート!Q$50:Q$69)*T$2</f>
        <v>0</v>
      </c>
      <c r="U22" s="88">
        <f>SUMIF(月間集計シート!$M$50:$M$69,$G22,月間集計シート!R$50:R$69)*U$2</f>
        <v>0</v>
      </c>
      <c r="V22" s="88">
        <f>SUMIF(月間集計シート!$M$50:$M$69,$G22,月間集計シート!S$50:S$69)*V$2</f>
        <v>0</v>
      </c>
      <c r="W22" s="88">
        <f>SUMIF(月間集計シート!$M$50:$M$69,$G22,月間集計シート!T$50:T$69)*W$2</f>
        <v>0</v>
      </c>
      <c r="X22" s="88">
        <f>SUMIF(月間集計シート!$M$71:$M$90,$G22,月間集計シート!N$71:N$90)*X$2</f>
        <v>0</v>
      </c>
      <c r="Y22" s="88">
        <f>SUMIF(月間集計シート!$M$71:$M$90,$G22,月間集計シート!O$71:O$90)*Y$2</f>
        <v>0</v>
      </c>
      <c r="Z22" s="88">
        <f>SUMIF(月間集計シート!$M$71:$M$90,$G22,月間集計シート!P$71:P$90)*Z$2</f>
        <v>0</v>
      </c>
      <c r="AA22" s="88">
        <f>SUMIF(月間集計シート!$M$71:$M$90,$G22,月間集計シート!Q$71:Q$90)*AA$2</f>
        <v>0</v>
      </c>
      <c r="AB22" s="88">
        <f>SUMIF(月間集計シート!$M$71:$M$90,$G22,月間集計シート!R$71:R$90)*AB$2</f>
        <v>0</v>
      </c>
      <c r="AC22" s="88">
        <f>SUMIF(月間集計シート!$M$71:$M$90,$G22,月間集計シート!S$71:S$90)*AC$2</f>
        <v>0</v>
      </c>
      <c r="AD22" s="88">
        <f>SUMIF(月間集計シート!$M$71:$M$90,$G22,月間集計シート!T$71:T$90)*AD$2</f>
        <v>0</v>
      </c>
      <c r="AE22" s="88">
        <f>SUMIF(月間集計シート!$M$92:$M$111,$G22,月間集計シート!N$92:N$111)*AE$2</f>
        <v>0</v>
      </c>
      <c r="AF22" s="88">
        <f>SUMIF(月間集計シート!$M$92:$M$111,$G22,月間集計シート!O$92:O$111)*AF$2</f>
        <v>0</v>
      </c>
      <c r="AG22" s="88">
        <f>SUMIF(月間集計シート!$M$92:$M$111,$G22,月間集計シート!P$92:P$111)*AG$2</f>
        <v>0</v>
      </c>
      <c r="AH22" s="88">
        <f>SUMIF(月間集計シート!$M$92:$M$111,$G22,月間集計シート!Q$92:Q$111)*AH$2</f>
        <v>0</v>
      </c>
      <c r="AI22" s="88">
        <f>SUMIF(月間集計シート!$M$92:$M$111,$G22,月間集計シート!R$92:R$111)*AI$2</f>
        <v>0</v>
      </c>
      <c r="AJ22" s="88">
        <f>SUMIF(月間集計シート!$M$92:$M$111,$G22,月間集計シート!S$92:S$111)*AJ$2</f>
        <v>0</v>
      </c>
      <c r="AK22" s="88">
        <f>SUMIF(月間集計シート!$M$92:$M$111,$G22,月間集計シート!T$92:T$111)*AK$2</f>
        <v>0</v>
      </c>
      <c r="AL22" s="88">
        <f>SUMIF(月間集計シート!$M$113:$M$132,$G22,月間集計シート!N$113:N$132)*AL$2</f>
        <v>0</v>
      </c>
      <c r="AM22" s="88">
        <f>SUMIF(月間集計シート!$M$113:$M$132,$G22,月間集計シート!O$113:O$132)*AM$2</f>
        <v>0</v>
      </c>
      <c r="AN22" s="88">
        <f>SUMIF(月間集計シート!$M$113:$M$132,$G22,月間集計シート!P$113:P$132)*AN$2</f>
        <v>0</v>
      </c>
      <c r="AO22" s="88">
        <f>SUMIF(月間集計シート!$M$113:$M$132,$G22,月間集計シート!Q$113:Q$132)*AO$2</f>
        <v>0</v>
      </c>
      <c r="AP22" s="88">
        <f>SUMIF(月間集計シート!$M$113:$M$132,$G22,月間集計シート!R$113:R$132)*AP$2</f>
        <v>0</v>
      </c>
      <c r="AQ22" s="88">
        <f>SUMIF(月間集計シート!$M$113:$M$132,$G22,月間集計シート!S$113:S$132)*AQ$2</f>
        <v>0</v>
      </c>
      <c r="AR22" s="88">
        <f>SUMIF(月間集計シート!$M$113:$M$132,$G22,月間集計シート!T$113:T$132)*AR$2</f>
        <v>0</v>
      </c>
      <c r="AS22" s="88">
        <f>SUMIF(月間集計シート!$M$134:$M$153,$G22,月間集計シート!N$134:N$153)*AS$2</f>
        <v>0</v>
      </c>
      <c r="AT22" s="88">
        <f>SUMIF(月間集計シート!$M$134:$M$153,$G22,月間集計シート!O$134:O$153)*AT$2</f>
        <v>0</v>
      </c>
      <c r="AU22" s="88">
        <f>SUMIF(月間集計シート!$M$134:$M$153,$G22,月間集計シート!P$134:P$153)*AU$2</f>
        <v>0</v>
      </c>
      <c r="AV22" s="88">
        <f>SUMIF(月間集計シート!$M$134:$M$153,$G22,月間集計シート!Q$134:Q$153)*AV$2</f>
        <v>0</v>
      </c>
      <c r="AW22" s="88">
        <f>SUMIF(月間集計シート!$M$134:$M$153,$G22,月間集計シート!R$134:R$153)*AW$2</f>
        <v>0</v>
      </c>
      <c r="AX22" s="88">
        <f>SUMIF(月間集計シート!$M$134:$M$153,$G22,月間集計シート!S$134:S$153)*AX$2</f>
        <v>0</v>
      </c>
      <c r="AY22" s="88">
        <f>SUMIF(月間集計シート!$M$134:$M$153,$G22,月間集計シート!T$134:T$153)*AY$2</f>
        <v>0</v>
      </c>
    </row>
    <row r="23" spans="1:51" ht="14.25" thickBot="1">
      <c r="A23">
        <v>1</v>
      </c>
      <c r="B23" s="120">
        <f t="shared" si="5"/>
        <v>999909</v>
      </c>
      <c r="C23" s="120" t="e">
        <f t="shared" si="6"/>
        <v>#N/A</v>
      </c>
      <c r="D23" s="137"/>
      <c r="E23" s="150" t="str">
        <f>工種!A15</f>
        <v>30101</v>
      </c>
      <c r="F23" s="119" t="str">
        <f>工種!B15</f>
        <v>製造：内部設計書作成</v>
      </c>
      <c r="G23" s="116" t="str">
        <f t="shared" si="7"/>
        <v>99990930101</v>
      </c>
      <c r="H23" s="88">
        <f t="shared" si="4"/>
        <v>0</v>
      </c>
      <c r="I23" s="132"/>
      <c r="J23" s="88">
        <f>SUMIF(月間集計シート!$M$29:$M$48,$G23,月間集計シート!N$29:N$48)*J$2</f>
        <v>0</v>
      </c>
      <c r="K23" s="88">
        <f>SUMIF(月間集計シート!$M$29:$M$48,$G23,月間集計シート!O$29:O$48)*K$2</f>
        <v>0</v>
      </c>
      <c r="L23" s="88">
        <f>SUMIF(月間集計シート!$M$29:$M$48,$G23,月間集計シート!P$29:P$48)*L$2</f>
        <v>0</v>
      </c>
      <c r="M23" s="88">
        <f>SUMIF(月間集計シート!$M$29:$M$48,$G23,月間集計シート!Q$29:Q$48)*M$2</f>
        <v>0</v>
      </c>
      <c r="N23" s="88">
        <f>SUMIF(月間集計シート!$M$29:$M$48,$G23,月間集計シート!R$29:R$48)*N$2</f>
        <v>0</v>
      </c>
      <c r="O23" s="88">
        <f>SUMIF(月間集計シート!$M$29:$M$48,$G23,月間集計シート!S$29:S$48)*O$2</f>
        <v>0</v>
      </c>
      <c r="P23" s="88">
        <f>SUMIF(月間集計シート!$M$29:$M$48,$G23,月間集計シート!T$29:T$48)*P$2</f>
        <v>0</v>
      </c>
      <c r="Q23" s="88">
        <f>SUMIF(月間集計シート!$M$50:$M$69,$G23,月間集計シート!N$50:N$69)*Q$2</f>
        <v>0</v>
      </c>
      <c r="R23" s="88">
        <f>SUMIF(月間集計シート!$M$50:$M$69,$G23,月間集計シート!O$50:O$69)*R$2</f>
        <v>0</v>
      </c>
      <c r="S23" s="88">
        <f>SUMIF(月間集計シート!$M$50:$M$69,$G23,月間集計シート!P$50:P$69)*S$2</f>
        <v>0</v>
      </c>
      <c r="T23" s="88">
        <f>SUMIF(月間集計シート!$M$50:$M$69,$G23,月間集計シート!Q$50:Q$69)*T$2</f>
        <v>0</v>
      </c>
      <c r="U23" s="88">
        <f>SUMIF(月間集計シート!$M$50:$M$69,$G23,月間集計シート!R$50:R$69)*U$2</f>
        <v>0</v>
      </c>
      <c r="V23" s="88">
        <f>SUMIF(月間集計シート!$M$50:$M$69,$G23,月間集計シート!S$50:S$69)*V$2</f>
        <v>0</v>
      </c>
      <c r="W23" s="88">
        <f>SUMIF(月間集計シート!$M$50:$M$69,$G23,月間集計シート!T$50:T$69)*W$2</f>
        <v>0</v>
      </c>
      <c r="X23" s="88">
        <f>SUMIF(月間集計シート!$M$71:$M$90,$G23,月間集計シート!N$71:N$90)*X$2</f>
        <v>0</v>
      </c>
      <c r="Y23" s="88">
        <f>SUMIF(月間集計シート!$M$71:$M$90,$G23,月間集計シート!O$71:O$90)*Y$2</f>
        <v>0</v>
      </c>
      <c r="Z23" s="88">
        <f>SUMIF(月間集計シート!$M$71:$M$90,$G23,月間集計シート!P$71:P$90)*Z$2</f>
        <v>0</v>
      </c>
      <c r="AA23" s="88">
        <f>SUMIF(月間集計シート!$M$71:$M$90,$G23,月間集計シート!Q$71:Q$90)*AA$2</f>
        <v>0</v>
      </c>
      <c r="AB23" s="88">
        <f>SUMIF(月間集計シート!$M$71:$M$90,$G23,月間集計シート!R$71:R$90)*AB$2</f>
        <v>0</v>
      </c>
      <c r="AC23" s="88">
        <f>SUMIF(月間集計シート!$M$71:$M$90,$G23,月間集計シート!S$71:S$90)*AC$2</f>
        <v>0</v>
      </c>
      <c r="AD23" s="88">
        <f>SUMIF(月間集計シート!$M$71:$M$90,$G23,月間集計シート!T$71:T$90)*AD$2</f>
        <v>0</v>
      </c>
      <c r="AE23" s="88">
        <f>SUMIF(月間集計シート!$M$92:$M$111,$G23,月間集計シート!N$92:N$111)*AE$2</f>
        <v>0</v>
      </c>
      <c r="AF23" s="88">
        <f>SUMIF(月間集計シート!$M$92:$M$111,$G23,月間集計シート!O$92:O$111)*AF$2</f>
        <v>0</v>
      </c>
      <c r="AG23" s="88">
        <f>SUMIF(月間集計シート!$M$92:$M$111,$G23,月間集計シート!P$92:P$111)*AG$2</f>
        <v>0</v>
      </c>
      <c r="AH23" s="88">
        <f>SUMIF(月間集計シート!$M$92:$M$111,$G23,月間集計シート!Q$92:Q$111)*AH$2</f>
        <v>0</v>
      </c>
      <c r="AI23" s="88">
        <f>SUMIF(月間集計シート!$M$92:$M$111,$G23,月間集計シート!R$92:R$111)*AI$2</f>
        <v>0</v>
      </c>
      <c r="AJ23" s="88">
        <f>SUMIF(月間集計シート!$M$92:$M$111,$G23,月間集計シート!S$92:S$111)*AJ$2</f>
        <v>0</v>
      </c>
      <c r="AK23" s="88">
        <f>SUMIF(月間集計シート!$M$92:$M$111,$G23,月間集計シート!T$92:T$111)*AK$2</f>
        <v>0</v>
      </c>
      <c r="AL23" s="88">
        <f>SUMIF(月間集計シート!$M$113:$M$132,$G23,月間集計シート!N$113:N$132)*AL$2</f>
        <v>0</v>
      </c>
      <c r="AM23" s="88">
        <f>SUMIF(月間集計シート!$M$113:$M$132,$G23,月間集計シート!O$113:O$132)*AM$2</f>
        <v>0</v>
      </c>
      <c r="AN23" s="88">
        <f>SUMIF(月間集計シート!$M$113:$M$132,$G23,月間集計シート!P$113:P$132)*AN$2</f>
        <v>0</v>
      </c>
      <c r="AO23" s="88">
        <f>SUMIF(月間集計シート!$M$113:$M$132,$G23,月間集計シート!Q$113:Q$132)*AO$2</f>
        <v>0</v>
      </c>
      <c r="AP23" s="88">
        <f>SUMIF(月間集計シート!$M$113:$M$132,$G23,月間集計シート!R$113:R$132)*AP$2</f>
        <v>0</v>
      </c>
      <c r="AQ23" s="88">
        <f>SUMIF(月間集計シート!$M$113:$M$132,$G23,月間集計シート!S$113:S$132)*AQ$2</f>
        <v>0</v>
      </c>
      <c r="AR23" s="88">
        <f>SUMIF(月間集計シート!$M$113:$M$132,$G23,月間集計シート!T$113:T$132)*AR$2</f>
        <v>0</v>
      </c>
      <c r="AS23" s="88">
        <f>SUMIF(月間集計シート!$M$134:$M$153,$G23,月間集計シート!N$134:N$153)*AS$2</f>
        <v>0</v>
      </c>
      <c r="AT23" s="88">
        <f>SUMIF(月間集計シート!$M$134:$M$153,$G23,月間集計シート!O$134:O$153)*AT$2</f>
        <v>0</v>
      </c>
      <c r="AU23" s="88">
        <f>SUMIF(月間集計シート!$M$134:$M$153,$G23,月間集計シート!P$134:P$153)*AU$2</f>
        <v>0</v>
      </c>
      <c r="AV23" s="88">
        <f>SUMIF(月間集計シート!$M$134:$M$153,$G23,月間集計シート!Q$134:Q$153)*AV$2</f>
        <v>0</v>
      </c>
      <c r="AW23" s="88">
        <f>SUMIF(月間集計シート!$M$134:$M$153,$G23,月間集計シート!R$134:R$153)*AW$2</f>
        <v>0</v>
      </c>
      <c r="AX23" s="88">
        <f>SUMIF(月間集計シート!$M$134:$M$153,$G23,月間集計シート!S$134:S$153)*AX$2</f>
        <v>0</v>
      </c>
      <c r="AY23" s="88">
        <f>SUMIF(月間集計シート!$M$134:$M$153,$G23,月間集計シート!T$134:T$153)*AY$2</f>
        <v>0</v>
      </c>
    </row>
    <row r="24" spans="1:51" ht="14.25" thickBot="1">
      <c r="A24">
        <v>1</v>
      </c>
      <c r="B24" s="120">
        <f t="shared" si="5"/>
        <v>999909</v>
      </c>
      <c r="C24" s="120" t="e">
        <f t="shared" si="6"/>
        <v>#N/A</v>
      </c>
      <c r="D24" s="137"/>
      <c r="E24" s="150" t="str">
        <f>工種!A16</f>
        <v>30102</v>
      </c>
      <c r="F24" s="119" t="str">
        <f>工種!B16</f>
        <v>製造：コーディング</v>
      </c>
      <c r="G24" s="116" t="str">
        <f t="shared" si="7"/>
        <v>99990930102</v>
      </c>
      <c r="H24" s="88">
        <f t="shared" si="4"/>
        <v>0</v>
      </c>
      <c r="I24" s="132"/>
      <c r="J24" s="88">
        <f>SUMIF(月間集計シート!$M$29:$M$48,$G24,月間集計シート!N$29:N$48)*J$2</f>
        <v>0</v>
      </c>
      <c r="K24" s="88">
        <f>SUMIF(月間集計シート!$M$29:$M$48,$G24,月間集計シート!O$29:O$48)*K$2</f>
        <v>0</v>
      </c>
      <c r="L24" s="88">
        <f>SUMIF(月間集計シート!$M$29:$M$48,$G24,月間集計シート!P$29:P$48)*L$2</f>
        <v>0</v>
      </c>
      <c r="M24" s="88">
        <f>SUMIF(月間集計シート!$M$29:$M$48,$G24,月間集計シート!Q$29:Q$48)*M$2</f>
        <v>0</v>
      </c>
      <c r="N24" s="88">
        <f>SUMIF(月間集計シート!$M$29:$M$48,$G24,月間集計シート!R$29:R$48)*N$2</f>
        <v>0</v>
      </c>
      <c r="O24" s="88">
        <f>SUMIF(月間集計シート!$M$29:$M$48,$G24,月間集計シート!S$29:S$48)*O$2</f>
        <v>0</v>
      </c>
      <c r="P24" s="88">
        <f>SUMIF(月間集計シート!$M$29:$M$48,$G24,月間集計シート!T$29:T$48)*P$2</f>
        <v>0</v>
      </c>
      <c r="Q24" s="88">
        <f>SUMIF(月間集計シート!$M$50:$M$69,$G24,月間集計シート!N$50:N$69)*Q$2</f>
        <v>0</v>
      </c>
      <c r="R24" s="88">
        <f>SUMIF(月間集計シート!$M$50:$M$69,$G24,月間集計シート!O$50:O$69)*R$2</f>
        <v>0</v>
      </c>
      <c r="S24" s="88">
        <f>SUMIF(月間集計シート!$M$50:$M$69,$G24,月間集計シート!P$50:P$69)*S$2</f>
        <v>0</v>
      </c>
      <c r="T24" s="88">
        <f>SUMIF(月間集計シート!$M$50:$M$69,$G24,月間集計シート!Q$50:Q$69)*T$2</f>
        <v>0</v>
      </c>
      <c r="U24" s="88">
        <f>SUMIF(月間集計シート!$M$50:$M$69,$G24,月間集計シート!R$50:R$69)*U$2</f>
        <v>0</v>
      </c>
      <c r="V24" s="88">
        <f>SUMIF(月間集計シート!$M$50:$M$69,$G24,月間集計シート!S$50:S$69)*V$2</f>
        <v>0</v>
      </c>
      <c r="W24" s="88">
        <f>SUMIF(月間集計シート!$M$50:$M$69,$G24,月間集計シート!T$50:T$69)*W$2</f>
        <v>0</v>
      </c>
      <c r="X24" s="88">
        <f>SUMIF(月間集計シート!$M$71:$M$90,$G24,月間集計シート!N$71:N$90)*X$2</f>
        <v>0</v>
      </c>
      <c r="Y24" s="88">
        <f>SUMIF(月間集計シート!$M$71:$M$90,$G24,月間集計シート!O$71:O$90)*Y$2</f>
        <v>0</v>
      </c>
      <c r="Z24" s="88">
        <f>SUMIF(月間集計シート!$M$71:$M$90,$G24,月間集計シート!P$71:P$90)*Z$2</f>
        <v>0</v>
      </c>
      <c r="AA24" s="88">
        <f>SUMIF(月間集計シート!$M$71:$M$90,$G24,月間集計シート!Q$71:Q$90)*AA$2</f>
        <v>0</v>
      </c>
      <c r="AB24" s="88">
        <f>SUMIF(月間集計シート!$M$71:$M$90,$G24,月間集計シート!R$71:R$90)*AB$2</f>
        <v>0</v>
      </c>
      <c r="AC24" s="88">
        <f>SUMIF(月間集計シート!$M$71:$M$90,$G24,月間集計シート!S$71:S$90)*AC$2</f>
        <v>0</v>
      </c>
      <c r="AD24" s="88">
        <f>SUMIF(月間集計シート!$M$71:$M$90,$G24,月間集計シート!T$71:T$90)*AD$2</f>
        <v>0</v>
      </c>
      <c r="AE24" s="88">
        <f>SUMIF(月間集計シート!$M$92:$M$111,$G24,月間集計シート!N$92:N$111)*AE$2</f>
        <v>0</v>
      </c>
      <c r="AF24" s="88">
        <f>SUMIF(月間集計シート!$M$92:$M$111,$G24,月間集計シート!O$92:O$111)*AF$2</f>
        <v>0</v>
      </c>
      <c r="AG24" s="88">
        <f>SUMIF(月間集計シート!$M$92:$M$111,$G24,月間集計シート!P$92:P$111)*AG$2</f>
        <v>0</v>
      </c>
      <c r="AH24" s="88">
        <f>SUMIF(月間集計シート!$M$92:$M$111,$G24,月間集計シート!Q$92:Q$111)*AH$2</f>
        <v>0</v>
      </c>
      <c r="AI24" s="88">
        <f>SUMIF(月間集計シート!$M$92:$M$111,$G24,月間集計シート!R$92:R$111)*AI$2</f>
        <v>0</v>
      </c>
      <c r="AJ24" s="88">
        <f>SUMIF(月間集計シート!$M$92:$M$111,$G24,月間集計シート!S$92:S$111)*AJ$2</f>
        <v>0</v>
      </c>
      <c r="AK24" s="88">
        <f>SUMIF(月間集計シート!$M$92:$M$111,$G24,月間集計シート!T$92:T$111)*AK$2</f>
        <v>0</v>
      </c>
      <c r="AL24" s="88">
        <f>SUMIF(月間集計シート!$M$113:$M$132,$G24,月間集計シート!N$113:N$132)*AL$2</f>
        <v>0</v>
      </c>
      <c r="AM24" s="88">
        <f>SUMIF(月間集計シート!$M$113:$M$132,$G24,月間集計シート!O$113:O$132)*AM$2</f>
        <v>0</v>
      </c>
      <c r="AN24" s="88">
        <f>SUMIF(月間集計シート!$M$113:$M$132,$G24,月間集計シート!P$113:P$132)*AN$2</f>
        <v>0</v>
      </c>
      <c r="AO24" s="88">
        <f>SUMIF(月間集計シート!$M$113:$M$132,$G24,月間集計シート!Q$113:Q$132)*AO$2</f>
        <v>0</v>
      </c>
      <c r="AP24" s="88">
        <f>SUMIF(月間集計シート!$M$113:$M$132,$G24,月間集計シート!R$113:R$132)*AP$2</f>
        <v>0</v>
      </c>
      <c r="AQ24" s="88">
        <f>SUMIF(月間集計シート!$M$113:$M$132,$G24,月間集計シート!S$113:S$132)*AQ$2</f>
        <v>0</v>
      </c>
      <c r="AR24" s="88">
        <f>SUMIF(月間集計シート!$M$113:$M$132,$G24,月間集計シート!T$113:T$132)*AR$2</f>
        <v>0</v>
      </c>
      <c r="AS24" s="88">
        <f>SUMIF(月間集計シート!$M$134:$M$153,$G24,月間集計シート!N$134:N$153)*AS$2</f>
        <v>0</v>
      </c>
      <c r="AT24" s="88">
        <f>SUMIF(月間集計シート!$M$134:$M$153,$G24,月間集計シート!O$134:O$153)*AT$2</f>
        <v>0</v>
      </c>
      <c r="AU24" s="88">
        <f>SUMIF(月間集計シート!$M$134:$M$153,$G24,月間集計シート!P$134:P$153)*AU$2</f>
        <v>0</v>
      </c>
      <c r="AV24" s="88">
        <f>SUMIF(月間集計シート!$M$134:$M$153,$G24,月間集計シート!Q$134:Q$153)*AV$2</f>
        <v>0</v>
      </c>
      <c r="AW24" s="88">
        <f>SUMIF(月間集計シート!$M$134:$M$153,$G24,月間集計シート!R$134:R$153)*AW$2</f>
        <v>0</v>
      </c>
      <c r="AX24" s="88">
        <f>SUMIF(月間集計シート!$M$134:$M$153,$G24,月間集計シート!S$134:S$153)*AX$2</f>
        <v>0</v>
      </c>
      <c r="AY24" s="88">
        <f>SUMIF(月間集計シート!$M$134:$M$153,$G24,月間集計シート!T$134:T$153)*AY$2</f>
        <v>0</v>
      </c>
    </row>
    <row r="25" spans="1:51" ht="14.25" thickBot="1">
      <c r="A25">
        <v>1</v>
      </c>
      <c r="B25" s="120">
        <f t="shared" si="5"/>
        <v>999909</v>
      </c>
      <c r="C25" s="120" t="e">
        <f t="shared" si="6"/>
        <v>#N/A</v>
      </c>
      <c r="D25" s="137"/>
      <c r="E25" s="150" t="str">
        <f>工種!A17</f>
        <v>30103</v>
      </c>
      <c r="F25" s="119" t="str">
        <f>工種!B17</f>
        <v>製造：単体テスト設計書作成</v>
      </c>
      <c r="G25" s="116" t="str">
        <f t="shared" si="7"/>
        <v>99990930103</v>
      </c>
      <c r="H25" s="88">
        <f t="shared" si="4"/>
        <v>0</v>
      </c>
      <c r="I25" s="132"/>
      <c r="J25" s="88">
        <f>SUMIF(月間集計シート!$M$29:$M$48,$G25,月間集計シート!N$29:N$48)*J$2</f>
        <v>0</v>
      </c>
      <c r="K25" s="88">
        <f>SUMIF(月間集計シート!$M$29:$M$48,$G25,月間集計シート!O$29:O$48)*K$2</f>
        <v>0</v>
      </c>
      <c r="L25" s="88">
        <f>SUMIF(月間集計シート!$M$29:$M$48,$G25,月間集計シート!P$29:P$48)*L$2</f>
        <v>0</v>
      </c>
      <c r="M25" s="88">
        <f>SUMIF(月間集計シート!$M$29:$M$48,$G25,月間集計シート!Q$29:Q$48)*M$2</f>
        <v>0</v>
      </c>
      <c r="N25" s="88">
        <f>SUMIF(月間集計シート!$M$29:$M$48,$G25,月間集計シート!R$29:R$48)*N$2</f>
        <v>0</v>
      </c>
      <c r="O25" s="88">
        <f>SUMIF(月間集計シート!$M$29:$M$48,$G25,月間集計シート!S$29:S$48)*O$2</f>
        <v>0</v>
      </c>
      <c r="P25" s="88">
        <f>SUMIF(月間集計シート!$M$29:$M$48,$G25,月間集計シート!T$29:T$48)*P$2</f>
        <v>0</v>
      </c>
      <c r="Q25" s="88">
        <f>SUMIF(月間集計シート!$M$50:$M$69,$G25,月間集計シート!N$50:N$69)*Q$2</f>
        <v>0</v>
      </c>
      <c r="R25" s="88">
        <f>SUMIF(月間集計シート!$M$50:$M$69,$G25,月間集計シート!O$50:O$69)*R$2</f>
        <v>0</v>
      </c>
      <c r="S25" s="88">
        <f>SUMIF(月間集計シート!$M$50:$M$69,$G25,月間集計シート!P$50:P$69)*S$2</f>
        <v>0</v>
      </c>
      <c r="T25" s="88">
        <f>SUMIF(月間集計シート!$M$50:$M$69,$G25,月間集計シート!Q$50:Q$69)*T$2</f>
        <v>0</v>
      </c>
      <c r="U25" s="88">
        <f>SUMIF(月間集計シート!$M$50:$M$69,$G25,月間集計シート!R$50:R$69)*U$2</f>
        <v>0</v>
      </c>
      <c r="V25" s="88">
        <f>SUMIF(月間集計シート!$M$50:$M$69,$G25,月間集計シート!S$50:S$69)*V$2</f>
        <v>0</v>
      </c>
      <c r="W25" s="88">
        <f>SUMIF(月間集計シート!$M$50:$M$69,$G25,月間集計シート!T$50:T$69)*W$2</f>
        <v>0</v>
      </c>
      <c r="X25" s="88">
        <f>SUMIF(月間集計シート!$M$71:$M$90,$G25,月間集計シート!N$71:N$90)*X$2</f>
        <v>0</v>
      </c>
      <c r="Y25" s="88">
        <f>SUMIF(月間集計シート!$M$71:$M$90,$G25,月間集計シート!O$71:O$90)*Y$2</f>
        <v>0</v>
      </c>
      <c r="Z25" s="88">
        <f>SUMIF(月間集計シート!$M$71:$M$90,$G25,月間集計シート!P$71:P$90)*Z$2</f>
        <v>0</v>
      </c>
      <c r="AA25" s="88">
        <f>SUMIF(月間集計シート!$M$71:$M$90,$G25,月間集計シート!Q$71:Q$90)*AA$2</f>
        <v>0</v>
      </c>
      <c r="AB25" s="88">
        <f>SUMIF(月間集計シート!$M$71:$M$90,$G25,月間集計シート!R$71:R$90)*AB$2</f>
        <v>0</v>
      </c>
      <c r="AC25" s="88">
        <f>SUMIF(月間集計シート!$M$71:$M$90,$G25,月間集計シート!S$71:S$90)*AC$2</f>
        <v>0</v>
      </c>
      <c r="AD25" s="88">
        <f>SUMIF(月間集計シート!$M$71:$M$90,$G25,月間集計シート!T$71:T$90)*AD$2</f>
        <v>0</v>
      </c>
      <c r="AE25" s="88">
        <f>SUMIF(月間集計シート!$M$92:$M$111,$G25,月間集計シート!N$92:N$111)*AE$2</f>
        <v>0</v>
      </c>
      <c r="AF25" s="88">
        <f>SUMIF(月間集計シート!$M$92:$M$111,$G25,月間集計シート!O$92:O$111)*AF$2</f>
        <v>0</v>
      </c>
      <c r="AG25" s="88">
        <f>SUMIF(月間集計シート!$M$92:$M$111,$G25,月間集計シート!P$92:P$111)*AG$2</f>
        <v>0</v>
      </c>
      <c r="AH25" s="88">
        <f>SUMIF(月間集計シート!$M$92:$M$111,$G25,月間集計シート!Q$92:Q$111)*AH$2</f>
        <v>0</v>
      </c>
      <c r="AI25" s="88">
        <f>SUMIF(月間集計シート!$M$92:$M$111,$G25,月間集計シート!R$92:R$111)*AI$2</f>
        <v>0</v>
      </c>
      <c r="AJ25" s="88">
        <f>SUMIF(月間集計シート!$M$92:$M$111,$G25,月間集計シート!S$92:S$111)*AJ$2</f>
        <v>0</v>
      </c>
      <c r="AK25" s="88">
        <f>SUMIF(月間集計シート!$M$92:$M$111,$G25,月間集計シート!T$92:T$111)*AK$2</f>
        <v>0</v>
      </c>
      <c r="AL25" s="88">
        <f>SUMIF(月間集計シート!$M$113:$M$132,$G25,月間集計シート!N$113:N$132)*AL$2</f>
        <v>0</v>
      </c>
      <c r="AM25" s="88">
        <f>SUMIF(月間集計シート!$M$113:$M$132,$G25,月間集計シート!O$113:O$132)*AM$2</f>
        <v>0</v>
      </c>
      <c r="AN25" s="88">
        <f>SUMIF(月間集計シート!$M$113:$M$132,$G25,月間集計シート!P$113:P$132)*AN$2</f>
        <v>0</v>
      </c>
      <c r="AO25" s="88">
        <f>SUMIF(月間集計シート!$M$113:$M$132,$G25,月間集計シート!Q$113:Q$132)*AO$2</f>
        <v>0</v>
      </c>
      <c r="AP25" s="88">
        <f>SUMIF(月間集計シート!$M$113:$M$132,$G25,月間集計シート!R$113:R$132)*AP$2</f>
        <v>0</v>
      </c>
      <c r="AQ25" s="88">
        <f>SUMIF(月間集計シート!$M$113:$M$132,$G25,月間集計シート!S$113:S$132)*AQ$2</f>
        <v>0</v>
      </c>
      <c r="AR25" s="88">
        <f>SUMIF(月間集計シート!$M$113:$M$132,$G25,月間集計シート!T$113:T$132)*AR$2</f>
        <v>0</v>
      </c>
      <c r="AS25" s="88">
        <f>SUMIF(月間集計シート!$M$134:$M$153,$G25,月間集計シート!N$134:N$153)*AS$2</f>
        <v>0</v>
      </c>
      <c r="AT25" s="88">
        <f>SUMIF(月間集計シート!$M$134:$M$153,$G25,月間集計シート!O$134:O$153)*AT$2</f>
        <v>0</v>
      </c>
      <c r="AU25" s="88">
        <f>SUMIF(月間集計シート!$M$134:$M$153,$G25,月間集計シート!P$134:P$153)*AU$2</f>
        <v>0</v>
      </c>
      <c r="AV25" s="88">
        <f>SUMIF(月間集計シート!$M$134:$M$153,$G25,月間集計シート!Q$134:Q$153)*AV$2</f>
        <v>0</v>
      </c>
      <c r="AW25" s="88">
        <f>SUMIF(月間集計シート!$M$134:$M$153,$G25,月間集計シート!R$134:R$153)*AW$2</f>
        <v>0</v>
      </c>
      <c r="AX25" s="88">
        <f>SUMIF(月間集計シート!$M$134:$M$153,$G25,月間集計シート!S$134:S$153)*AX$2</f>
        <v>0</v>
      </c>
      <c r="AY25" s="88">
        <f>SUMIF(月間集計シート!$M$134:$M$153,$G25,月間集計シート!T$134:T$153)*AY$2</f>
        <v>0</v>
      </c>
    </row>
    <row r="26" spans="1:51" ht="14.25" thickBot="1">
      <c r="A26">
        <v>1</v>
      </c>
      <c r="B26" s="120">
        <f t="shared" si="5"/>
        <v>999909</v>
      </c>
      <c r="C26" s="120" t="e">
        <f t="shared" si="6"/>
        <v>#N/A</v>
      </c>
      <c r="D26" s="137"/>
      <c r="E26" s="150" t="str">
        <f>工種!A18</f>
        <v>30104</v>
      </c>
      <c r="F26" s="119" t="str">
        <f>工種!B18</f>
        <v>製造：単体テスト実施</v>
      </c>
      <c r="G26" s="116" t="str">
        <f t="shared" si="7"/>
        <v>99990930104</v>
      </c>
      <c r="H26" s="88">
        <f t="shared" si="4"/>
        <v>0</v>
      </c>
      <c r="I26" s="132"/>
      <c r="J26" s="88">
        <f>SUMIF(月間集計シート!$M$29:$M$48,$G26,月間集計シート!N$29:N$48)*J$2</f>
        <v>0</v>
      </c>
      <c r="K26" s="88">
        <f>SUMIF(月間集計シート!$M$29:$M$48,$G26,月間集計シート!O$29:O$48)*K$2</f>
        <v>0</v>
      </c>
      <c r="L26" s="88">
        <f>SUMIF(月間集計シート!$M$29:$M$48,$G26,月間集計シート!P$29:P$48)*L$2</f>
        <v>0</v>
      </c>
      <c r="M26" s="88">
        <f>SUMIF(月間集計シート!$M$29:$M$48,$G26,月間集計シート!Q$29:Q$48)*M$2</f>
        <v>0</v>
      </c>
      <c r="N26" s="88">
        <f>SUMIF(月間集計シート!$M$29:$M$48,$G26,月間集計シート!R$29:R$48)*N$2</f>
        <v>0</v>
      </c>
      <c r="O26" s="88">
        <f>SUMIF(月間集計シート!$M$29:$M$48,$G26,月間集計シート!S$29:S$48)*O$2</f>
        <v>0</v>
      </c>
      <c r="P26" s="88">
        <f>SUMIF(月間集計シート!$M$29:$M$48,$G26,月間集計シート!T$29:T$48)*P$2</f>
        <v>0</v>
      </c>
      <c r="Q26" s="88">
        <f>SUMIF(月間集計シート!$M$50:$M$69,$G26,月間集計シート!N$50:N$69)*Q$2</f>
        <v>0</v>
      </c>
      <c r="R26" s="88">
        <f>SUMIF(月間集計シート!$M$50:$M$69,$G26,月間集計シート!O$50:O$69)*R$2</f>
        <v>0</v>
      </c>
      <c r="S26" s="88">
        <f>SUMIF(月間集計シート!$M$50:$M$69,$G26,月間集計シート!P$50:P$69)*S$2</f>
        <v>0</v>
      </c>
      <c r="T26" s="88">
        <f>SUMIF(月間集計シート!$M$50:$M$69,$G26,月間集計シート!Q$50:Q$69)*T$2</f>
        <v>0</v>
      </c>
      <c r="U26" s="88">
        <f>SUMIF(月間集計シート!$M$50:$M$69,$G26,月間集計シート!R$50:R$69)*U$2</f>
        <v>0</v>
      </c>
      <c r="V26" s="88">
        <f>SUMIF(月間集計シート!$M$50:$M$69,$G26,月間集計シート!S$50:S$69)*V$2</f>
        <v>0</v>
      </c>
      <c r="W26" s="88">
        <f>SUMIF(月間集計シート!$M$50:$M$69,$G26,月間集計シート!T$50:T$69)*W$2</f>
        <v>0</v>
      </c>
      <c r="X26" s="88">
        <f>SUMIF(月間集計シート!$M$71:$M$90,$G26,月間集計シート!N$71:N$90)*X$2</f>
        <v>0</v>
      </c>
      <c r="Y26" s="88">
        <f>SUMIF(月間集計シート!$M$71:$M$90,$G26,月間集計シート!O$71:O$90)*Y$2</f>
        <v>0</v>
      </c>
      <c r="Z26" s="88">
        <f>SUMIF(月間集計シート!$M$71:$M$90,$G26,月間集計シート!P$71:P$90)*Z$2</f>
        <v>0</v>
      </c>
      <c r="AA26" s="88">
        <f>SUMIF(月間集計シート!$M$71:$M$90,$G26,月間集計シート!Q$71:Q$90)*AA$2</f>
        <v>0</v>
      </c>
      <c r="AB26" s="88">
        <f>SUMIF(月間集計シート!$M$71:$M$90,$G26,月間集計シート!R$71:R$90)*AB$2</f>
        <v>0</v>
      </c>
      <c r="AC26" s="88">
        <f>SUMIF(月間集計シート!$M$71:$M$90,$G26,月間集計シート!S$71:S$90)*AC$2</f>
        <v>0</v>
      </c>
      <c r="AD26" s="88">
        <f>SUMIF(月間集計シート!$M$71:$M$90,$G26,月間集計シート!T$71:T$90)*AD$2</f>
        <v>0</v>
      </c>
      <c r="AE26" s="88">
        <f>SUMIF(月間集計シート!$M$92:$M$111,$G26,月間集計シート!N$92:N$111)*AE$2</f>
        <v>0</v>
      </c>
      <c r="AF26" s="88">
        <f>SUMIF(月間集計シート!$M$92:$M$111,$G26,月間集計シート!O$92:O$111)*AF$2</f>
        <v>0</v>
      </c>
      <c r="AG26" s="88">
        <f>SUMIF(月間集計シート!$M$92:$M$111,$G26,月間集計シート!P$92:P$111)*AG$2</f>
        <v>0</v>
      </c>
      <c r="AH26" s="88">
        <f>SUMIF(月間集計シート!$M$92:$M$111,$G26,月間集計シート!Q$92:Q$111)*AH$2</f>
        <v>0</v>
      </c>
      <c r="AI26" s="88">
        <f>SUMIF(月間集計シート!$M$92:$M$111,$G26,月間集計シート!R$92:R$111)*AI$2</f>
        <v>0</v>
      </c>
      <c r="AJ26" s="88">
        <f>SUMIF(月間集計シート!$M$92:$M$111,$G26,月間集計シート!S$92:S$111)*AJ$2</f>
        <v>0</v>
      </c>
      <c r="AK26" s="88">
        <f>SUMIF(月間集計シート!$M$92:$M$111,$G26,月間集計シート!T$92:T$111)*AK$2</f>
        <v>0</v>
      </c>
      <c r="AL26" s="88">
        <f>SUMIF(月間集計シート!$M$113:$M$132,$G26,月間集計シート!N$113:N$132)*AL$2</f>
        <v>0</v>
      </c>
      <c r="AM26" s="88">
        <f>SUMIF(月間集計シート!$M$113:$M$132,$G26,月間集計シート!O$113:O$132)*AM$2</f>
        <v>0</v>
      </c>
      <c r="AN26" s="88">
        <f>SUMIF(月間集計シート!$M$113:$M$132,$G26,月間集計シート!P$113:P$132)*AN$2</f>
        <v>0</v>
      </c>
      <c r="AO26" s="88">
        <f>SUMIF(月間集計シート!$M$113:$M$132,$G26,月間集計シート!Q$113:Q$132)*AO$2</f>
        <v>0</v>
      </c>
      <c r="AP26" s="88">
        <f>SUMIF(月間集計シート!$M$113:$M$132,$G26,月間集計シート!R$113:R$132)*AP$2</f>
        <v>0</v>
      </c>
      <c r="AQ26" s="88">
        <f>SUMIF(月間集計シート!$M$113:$M$132,$G26,月間集計シート!S$113:S$132)*AQ$2</f>
        <v>0</v>
      </c>
      <c r="AR26" s="88">
        <f>SUMIF(月間集計シート!$M$113:$M$132,$G26,月間集計シート!T$113:T$132)*AR$2</f>
        <v>0</v>
      </c>
      <c r="AS26" s="88">
        <f>SUMIF(月間集計シート!$M$134:$M$153,$G26,月間集計シート!N$134:N$153)*AS$2</f>
        <v>0</v>
      </c>
      <c r="AT26" s="88">
        <f>SUMIF(月間集計シート!$M$134:$M$153,$G26,月間集計シート!O$134:O$153)*AT$2</f>
        <v>0</v>
      </c>
      <c r="AU26" s="88">
        <f>SUMIF(月間集計シート!$M$134:$M$153,$G26,月間集計シート!P$134:P$153)*AU$2</f>
        <v>0</v>
      </c>
      <c r="AV26" s="88">
        <f>SUMIF(月間集計シート!$M$134:$M$153,$G26,月間集計シート!Q$134:Q$153)*AV$2</f>
        <v>0</v>
      </c>
      <c r="AW26" s="88">
        <f>SUMIF(月間集計シート!$M$134:$M$153,$G26,月間集計シート!R$134:R$153)*AW$2</f>
        <v>0</v>
      </c>
      <c r="AX26" s="88">
        <f>SUMIF(月間集計シート!$M$134:$M$153,$G26,月間集計シート!S$134:S$153)*AX$2</f>
        <v>0</v>
      </c>
      <c r="AY26" s="88">
        <f>SUMIF(月間集計シート!$M$134:$M$153,$G26,月間集計シート!T$134:T$153)*AY$2</f>
        <v>0</v>
      </c>
    </row>
    <row r="27" spans="1:51" ht="14.25" thickBot="1">
      <c r="A27">
        <v>1</v>
      </c>
      <c r="B27" s="120">
        <f t="shared" si="5"/>
        <v>999909</v>
      </c>
      <c r="C27" s="120" t="e">
        <f t="shared" si="6"/>
        <v>#N/A</v>
      </c>
      <c r="D27" s="137"/>
      <c r="E27" s="150" t="str">
        <f>工種!A19</f>
        <v>30105</v>
      </c>
      <c r="F27" s="119" t="str">
        <f>工種!B19</f>
        <v>製造：打合せ</v>
      </c>
      <c r="G27" s="116" t="str">
        <f t="shared" si="7"/>
        <v>99990930105</v>
      </c>
      <c r="H27" s="88">
        <f t="shared" si="4"/>
        <v>0</v>
      </c>
      <c r="I27" s="132"/>
      <c r="J27" s="88">
        <f>SUMIF(月間集計シート!$M$29:$M$48,$G27,月間集計シート!N$29:N$48)*J$2</f>
        <v>0</v>
      </c>
      <c r="K27" s="88">
        <f>SUMIF(月間集計シート!$M$29:$M$48,$G27,月間集計シート!O$29:O$48)*K$2</f>
        <v>0</v>
      </c>
      <c r="L27" s="88">
        <f>SUMIF(月間集計シート!$M$29:$M$48,$G27,月間集計シート!P$29:P$48)*L$2</f>
        <v>0</v>
      </c>
      <c r="M27" s="88">
        <f>SUMIF(月間集計シート!$M$29:$M$48,$G27,月間集計シート!Q$29:Q$48)*M$2</f>
        <v>0</v>
      </c>
      <c r="N27" s="88">
        <f>SUMIF(月間集計シート!$M$29:$M$48,$G27,月間集計シート!R$29:R$48)*N$2</f>
        <v>0</v>
      </c>
      <c r="O27" s="88">
        <f>SUMIF(月間集計シート!$M$29:$M$48,$G27,月間集計シート!S$29:S$48)*O$2</f>
        <v>0</v>
      </c>
      <c r="P27" s="88">
        <f>SUMIF(月間集計シート!$M$29:$M$48,$G27,月間集計シート!T$29:T$48)*P$2</f>
        <v>0</v>
      </c>
      <c r="Q27" s="88">
        <f>SUMIF(月間集計シート!$M$50:$M$69,$G27,月間集計シート!N$50:N$69)*Q$2</f>
        <v>0</v>
      </c>
      <c r="R27" s="88">
        <f>SUMIF(月間集計シート!$M$50:$M$69,$G27,月間集計シート!O$50:O$69)*R$2</f>
        <v>0</v>
      </c>
      <c r="S27" s="88">
        <f>SUMIF(月間集計シート!$M$50:$M$69,$G27,月間集計シート!P$50:P$69)*S$2</f>
        <v>0</v>
      </c>
      <c r="T27" s="88">
        <f>SUMIF(月間集計シート!$M$50:$M$69,$G27,月間集計シート!Q$50:Q$69)*T$2</f>
        <v>0</v>
      </c>
      <c r="U27" s="88">
        <f>SUMIF(月間集計シート!$M$50:$M$69,$G27,月間集計シート!R$50:R$69)*U$2</f>
        <v>0</v>
      </c>
      <c r="V27" s="88">
        <f>SUMIF(月間集計シート!$M$50:$M$69,$G27,月間集計シート!S$50:S$69)*V$2</f>
        <v>0</v>
      </c>
      <c r="W27" s="88">
        <f>SUMIF(月間集計シート!$M$50:$M$69,$G27,月間集計シート!T$50:T$69)*W$2</f>
        <v>0</v>
      </c>
      <c r="X27" s="88">
        <f>SUMIF(月間集計シート!$M$71:$M$90,$G27,月間集計シート!N$71:N$90)*X$2</f>
        <v>0</v>
      </c>
      <c r="Y27" s="88">
        <f>SUMIF(月間集計シート!$M$71:$M$90,$G27,月間集計シート!O$71:O$90)*Y$2</f>
        <v>0</v>
      </c>
      <c r="Z27" s="88">
        <f>SUMIF(月間集計シート!$M$71:$M$90,$G27,月間集計シート!P$71:P$90)*Z$2</f>
        <v>0</v>
      </c>
      <c r="AA27" s="88">
        <f>SUMIF(月間集計シート!$M$71:$M$90,$G27,月間集計シート!Q$71:Q$90)*AA$2</f>
        <v>0</v>
      </c>
      <c r="AB27" s="88">
        <f>SUMIF(月間集計シート!$M$71:$M$90,$G27,月間集計シート!R$71:R$90)*AB$2</f>
        <v>0</v>
      </c>
      <c r="AC27" s="88">
        <f>SUMIF(月間集計シート!$M$71:$M$90,$G27,月間集計シート!S$71:S$90)*AC$2</f>
        <v>0</v>
      </c>
      <c r="AD27" s="88">
        <f>SUMIF(月間集計シート!$M$71:$M$90,$G27,月間集計シート!T$71:T$90)*AD$2</f>
        <v>0</v>
      </c>
      <c r="AE27" s="88">
        <f>SUMIF(月間集計シート!$M$92:$M$111,$G27,月間集計シート!N$92:N$111)*AE$2</f>
        <v>0</v>
      </c>
      <c r="AF27" s="88">
        <f>SUMIF(月間集計シート!$M$92:$M$111,$G27,月間集計シート!O$92:O$111)*AF$2</f>
        <v>0</v>
      </c>
      <c r="AG27" s="88">
        <f>SUMIF(月間集計シート!$M$92:$M$111,$G27,月間集計シート!P$92:P$111)*AG$2</f>
        <v>0</v>
      </c>
      <c r="AH27" s="88">
        <f>SUMIF(月間集計シート!$M$92:$M$111,$G27,月間集計シート!Q$92:Q$111)*AH$2</f>
        <v>0</v>
      </c>
      <c r="AI27" s="88">
        <f>SUMIF(月間集計シート!$M$92:$M$111,$G27,月間集計シート!R$92:R$111)*AI$2</f>
        <v>0</v>
      </c>
      <c r="AJ27" s="88">
        <f>SUMIF(月間集計シート!$M$92:$M$111,$G27,月間集計シート!S$92:S$111)*AJ$2</f>
        <v>0</v>
      </c>
      <c r="AK27" s="88">
        <f>SUMIF(月間集計シート!$M$92:$M$111,$G27,月間集計シート!T$92:T$111)*AK$2</f>
        <v>0</v>
      </c>
      <c r="AL27" s="88">
        <f>SUMIF(月間集計シート!$M$113:$M$132,$G27,月間集計シート!N$113:N$132)*AL$2</f>
        <v>0</v>
      </c>
      <c r="AM27" s="88">
        <f>SUMIF(月間集計シート!$M$113:$M$132,$G27,月間集計シート!O$113:O$132)*AM$2</f>
        <v>0</v>
      </c>
      <c r="AN27" s="88">
        <f>SUMIF(月間集計シート!$M$113:$M$132,$G27,月間集計シート!P$113:P$132)*AN$2</f>
        <v>0</v>
      </c>
      <c r="AO27" s="88">
        <f>SUMIF(月間集計シート!$M$113:$M$132,$G27,月間集計シート!Q$113:Q$132)*AO$2</f>
        <v>0</v>
      </c>
      <c r="AP27" s="88">
        <f>SUMIF(月間集計シート!$M$113:$M$132,$G27,月間集計シート!R$113:R$132)*AP$2</f>
        <v>0</v>
      </c>
      <c r="AQ27" s="88">
        <f>SUMIF(月間集計シート!$M$113:$M$132,$G27,月間集計シート!S$113:S$132)*AQ$2</f>
        <v>0</v>
      </c>
      <c r="AR27" s="88">
        <f>SUMIF(月間集計シート!$M$113:$M$132,$G27,月間集計シート!T$113:T$132)*AR$2</f>
        <v>0</v>
      </c>
      <c r="AS27" s="88">
        <f>SUMIF(月間集計シート!$M$134:$M$153,$G27,月間集計シート!N$134:N$153)*AS$2</f>
        <v>0</v>
      </c>
      <c r="AT27" s="88">
        <f>SUMIF(月間集計シート!$M$134:$M$153,$G27,月間集計シート!O$134:O$153)*AT$2</f>
        <v>0</v>
      </c>
      <c r="AU27" s="88">
        <f>SUMIF(月間集計シート!$M$134:$M$153,$G27,月間集計シート!P$134:P$153)*AU$2</f>
        <v>0</v>
      </c>
      <c r="AV27" s="88">
        <f>SUMIF(月間集計シート!$M$134:$M$153,$G27,月間集計シート!Q$134:Q$153)*AV$2</f>
        <v>0</v>
      </c>
      <c r="AW27" s="88">
        <f>SUMIF(月間集計シート!$M$134:$M$153,$G27,月間集計シート!R$134:R$153)*AW$2</f>
        <v>0</v>
      </c>
      <c r="AX27" s="88">
        <f>SUMIF(月間集計シート!$M$134:$M$153,$G27,月間集計シート!S$134:S$153)*AX$2</f>
        <v>0</v>
      </c>
      <c r="AY27" s="88">
        <f>SUMIF(月間集計シート!$M$134:$M$153,$G27,月間集計シート!T$134:T$153)*AY$2</f>
        <v>0</v>
      </c>
    </row>
    <row r="28" spans="1:51" ht="14.25" thickBot="1">
      <c r="A28">
        <v>1</v>
      </c>
      <c r="B28" s="120">
        <f t="shared" si="5"/>
        <v>999909</v>
      </c>
      <c r="C28" s="120" t="e">
        <f t="shared" si="6"/>
        <v>#N/A</v>
      </c>
      <c r="D28" s="137"/>
      <c r="E28" s="150" t="str">
        <f>工種!A20</f>
        <v>30106</v>
      </c>
      <c r="F28" s="119" t="str">
        <f>工種!B20</f>
        <v>製造：PG修正（手戻り分）</v>
      </c>
      <c r="G28" s="116" t="str">
        <f t="shared" si="7"/>
        <v>99990930106</v>
      </c>
      <c r="H28" s="88">
        <f t="shared" si="4"/>
        <v>0</v>
      </c>
      <c r="I28" s="132"/>
      <c r="J28" s="88">
        <f>SUMIF(月間集計シート!$M$29:$M$48,$G28,月間集計シート!N$29:N$48)*J$2</f>
        <v>0</v>
      </c>
      <c r="K28" s="88">
        <f>SUMIF(月間集計シート!$M$29:$M$48,$G28,月間集計シート!O$29:O$48)*K$2</f>
        <v>0</v>
      </c>
      <c r="L28" s="88">
        <f>SUMIF(月間集計シート!$M$29:$M$48,$G28,月間集計シート!P$29:P$48)*L$2</f>
        <v>0</v>
      </c>
      <c r="M28" s="88">
        <f>SUMIF(月間集計シート!$M$29:$M$48,$G28,月間集計シート!Q$29:Q$48)*M$2</f>
        <v>0</v>
      </c>
      <c r="N28" s="88">
        <f>SUMIF(月間集計シート!$M$29:$M$48,$G28,月間集計シート!R$29:R$48)*N$2</f>
        <v>0</v>
      </c>
      <c r="O28" s="88">
        <f>SUMIF(月間集計シート!$M$29:$M$48,$G28,月間集計シート!S$29:S$48)*O$2</f>
        <v>0</v>
      </c>
      <c r="P28" s="88">
        <f>SUMIF(月間集計シート!$M$29:$M$48,$G28,月間集計シート!T$29:T$48)*P$2</f>
        <v>0</v>
      </c>
      <c r="Q28" s="88">
        <f>SUMIF(月間集計シート!$M$50:$M$69,$G28,月間集計シート!N$50:N$69)*Q$2</f>
        <v>0</v>
      </c>
      <c r="R28" s="88">
        <f>SUMIF(月間集計シート!$M$50:$M$69,$G28,月間集計シート!O$50:O$69)*R$2</f>
        <v>0</v>
      </c>
      <c r="S28" s="88">
        <f>SUMIF(月間集計シート!$M$50:$M$69,$G28,月間集計シート!P$50:P$69)*S$2</f>
        <v>0</v>
      </c>
      <c r="T28" s="88">
        <f>SUMIF(月間集計シート!$M$50:$M$69,$G28,月間集計シート!Q$50:Q$69)*T$2</f>
        <v>0</v>
      </c>
      <c r="U28" s="88">
        <f>SUMIF(月間集計シート!$M$50:$M$69,$G28,月間集計シート!R$50:R$69)*U$2</f>
        <v>0</v>
      </c>
      <c r="V28" s="88">
        <f>SUMIF(月間集計シート!$M$50:$M$69,$G28,月間集計シート!S$50:S$69)*V$2</f>
        <v>0</v>
      </c>
      <c r="W28" s="88">
        <f>SUMIF(月間集計シート!$M$50:$M$69,$G28,月間集計シート!T$50:T$69)*W$2</f>
        <v>0</v>
      </c>
      <c r="X28" s="88">
        <f>SUMIF(月間集計シート!$M$71:$M$90,$G28,月間集計シート!N$71:N$90)*X$2</f>
        <v>0</v>
      </c>
      <c r="Y28" s="88">
        <f>SUMIF(月間集計シート!$M$71:$M$90,$G28,月間集計シート!O$71:O$90)*Y$2</f>
        <v>0</v>
      </c>
      <c r="Z28" s="88">
        <f>SUMIF(月間集計シート!$M$71:$M$90,$G28,月間集計シート!P$71:P$90)*Z$2</f>
        <v>0</v>
      </c>
      <c r="AA28" s="88">
        <f>SUMIF(月間集計シート!$M$71:$M$90,$G28,月間集計シート!Q$71:Q$90)*AA$2</f>
        <v>0</v>
      </c>
      <c r="AB28" s="88">
        <f>SUMIF(月間集計シート!$M$71:$M$90,$G28,月間集計シート!R$71:R$90)*AB$2</f>
        <v>0</v>
      </c>
      <c r="AC28" s="88">
        <f>SUMIF(月間集計シート!$M$71:$M$90,$G28,月間集計シート!S$71:S$90)*AC$2</f>
        <v>0</v>
      </c>
      <c r="AD28" s="88">
        <f>SUMIF(月間集計シート!$M$71:$M$90,$G28,月間集計シート!T$71:T$90)*AD$2</f>
        <v>0</v>
      </c>
      <c r="AE28" s="88">
        <f>SUMIF(月間集計シート!$M$92:$M$111,$G28,月間集計シート!N$92:N$111)*AE$2</f>
        <v>0</v>
      </c>
      <c r="AF28" s="88">
        <f>SUMIF(月間集計シート!$M$92:$M$111,$G28,月間集計シート!O$92:O$111)*AF$2</f>
        <v>0</v>
      </c>
      <c r="AG28" s="88">
        <f>SUMIF(月間集計シート!$M$92:$M$111,$G28,月間集計シート!P$92:P$111)*AG$2</f>
        <v>0</v>
      </c>
      <c r="AH28" s="88">
        <f>SUMIF(月間集計シート!$M$92:$M$111,$G28,月間集計シート!Q$92:Q$111)*AH$2</f>
        <v>0</v>
      </c>
      <c r="AI28" s="88">
        <f>SUMIF(月間集計シート!$M$92:$M$111,$G28,月間集計シート!R$92:R$111)*AI$2</f>
        <v>0</v>
      </c>
      <c r="AJ28" s="88">
        <f>SUMIF(月間集計シート!$M$92:$M$111,$G28,月間集計シート!S$92:S$111)*AJ$2</f>
        <v>0</v>
      </c>
      <c r="AK28" s="88">
        <f>SUMIF(月間集計シート!$M$92:$M$111,$G28,月間集計シート!T$92:T$111)*AK$2</f>
        <v>0</v>
      </c>
      <c r="AL28" s="88">
        <f>SUMIF(月間集計シート!$M$113:$M$132,$G28,月間集計シート!N$113:N$132)*AL$2</f>
        <v>0</v>
      </c>
      <c r="AM28" s="88">
        <f>SUMIF(月間集計シート!$M$113:$M$132,$G28,月間集計シート!O$113:O$132)*AM$2</f>
        <v>0</v>
      </c>
      <c r="AN28" s="88">
        <f>SUMIF(月間集計シート!$M$113:$M$132,$G28,月間集計シート!P$113:P$132)*AN$2</f>
        <v>0</v>
      </c>
      <c r="AO28" s="88">
        <f>SUMIF(月間集計シート!$M$113:$M$132,$G28,月間集計シート!Q$113:Q$132)*AO$2</f>
        <v>0</v>
      </c>
      <c r="AP28" s="88">
        <f>SUMIF(月間集計シート!$M$113:$M$132,$G28,月間集計シート!R$113:R$132)*AP$2</f>
        <v>0</v>
      </c>
      <c r="AQ28" s="88">
        <f>SUMIF(月間集計シート!$M$113:$M$132,$G28,月間集計シート!S$113:S$132)*AQ$2</f>
        <v>0</v>
      </c>
      <c r="AR28" s="88">
        <f>SUMIF(月間集計シート!$M$113:$M$132,$G28,月間集計シート!T$113:T$132)*AR$2</f>
        <v>0</v>
      </c>
      <c r="AS28" s="88">
        <f>SUMIF(月間集計シート!$M$134:$M$153,$G28,月間集計シート!N$134:N$153)*AS$2</f>
        <v>0</v>
      </c>
      <c r="AT28" s="88">
        <f>SUMIF(月間集計シート!$M$134:$M$153,$G28,月間集計シート!O$134:O$153)*AT$2</f>
        <v>0</v>
      </c>
      <c r="AU28" s="88">
        <f>SUMIF(月間集計シート!$M$134:$M$153,$G28,月間集計シート!P$134:P$153)*AU$2</f>
        <v>0</v>
      </c>
      <c r="AV28" s="88">
        <f>SUMIF(月間集計シート!$M$134:$M$153,$G28,月間集計シート!Q$134:Q$153)*AV$2</f>
        <v>0</v>
      </c>
      <c r="AW28" s="88">
        <f>SUMIF(月間集計シート!$M$134:$M$153,$G28,月間集計シート!R$134:R$153)*AW$2</f>
        <v>0</v>
      </c>
      <c r="AX28" s="88">
        <f>SUMIF(月間集計シート!$M$134:$M$153,$G28,月間集計シート!S$134:S$153)*AX$2</f>
        <v>0</v>
      </c>
      <c r="AY28" s="88">
        <f>SUMIF(月間集計シート!$M$134:$M$153,$G28,月間集計シート!T$134:T$153)*AY$2</f>
        <v>0</v>
      </c>
    </row>
    <row r="29" spans="1:51" ht="14.25" thickBot="1">
      <c r="A29">
        <v>1</v>
      </c>
      <c r="B29" s="120">
        <f t="shared" si="5"/>
        <v>999909</v>
      </c>
      <c r="C29" s="120" t="e">
        <f t="shared" si="6"/>
        <v>#N/A</v>
      </c>
      <c r="D29" s="137"/>
      <c r="E29" s="150" t="str">
        <f>工種!A21</f>
        <v>30109</v>
      </c>
      <c r="F29" s="119" t="str">
        <f>工種!B21</f>
        <v>製造：レビュー</v>
      </c>
      <c r="G29" s="116" t="str">
        <f t="shared" si="7"/>
        <v>99990930109</v>
      </c>
      <c r="H29" s="88">
        <f t="shared" si="4"/>
        <v>0</v>
      </c>
      <c r="I29" s="132"/>
      <c r="J29" s="88">
        <f>SUMIF(月間集計シート!$M$29:$M$48,$G29,月間集計シート!N$29:N$48)*J$2</f>
        <v>0</v>
      </c>
      <c r="K29" s="88">
        <f>SUMIF(月間集計シート!$M$29:$M$48,$G29,月間集計シート!O$29:O$48)*K$2</f>
        <v>0</v>
      </c>
      <c r="L29" s="88">
        <f>SUMIF(月間集計シート!$M$29:$M$48,$G29,月間集計シート!P$29:P$48)*L$2</f>
        <v>0</v>
      </c>
      <c r="M29" s="88">
        <f>SUMIF(月間集計シート!$M$29:$M$48,$G29,月間集計シート!Q$29:Q$48)*M$2</f>
        <v>0</v>
      </c>
      <c r="N29" s="88">
        <f>SUMIF(月間集計シート!$M$29:$M$48,$G29,月間集計シート!R$29:R$48)*N$2</f>
        <v>0</v>
      </c>
      <c r="O29" s="88">
        <f>SUMIF(月間集計シート!$M$29:$M$48,$G29,月間集計シート!S$29:S$48)*O$2</f>
        <v>0</v>
      </c>
      <c r="P29" s="88">
        <f>SUMIF(月間集計シート!$M$29:$M$48,$G29,月間集計シート!T$29:T$48)*P$2</f>
        <v>0</v>
      </c>
      <c r="Q29" s="88">
        <f>SUMIF(月間集計シート!$M$50:$M$69,$G29,月間集計シート!N$50:N$69)*Q$2</f>
        <v>0</v>
      </c>
      <c r="R29" s="88">
        <f>SUMIF(月間集計シート!$M$50:$M$69,$G29,月間集計シート!O$50:O$69)*R$2</f>
        <v>0</v>
      </c>
      <c r="S29" s="88">
        <f>SUMIF(月間集計シート!$M$50:$M$69,$G29,月間集計シート!P$50:P$69)*S$2</f>
        <v>0</v>
      </c>
      <c r="T29" s="88">
        <f>SUMIF(月間集計シート!$M$50:$M$69,$G29,月間集計シート!Q$50:Q$69)*T$2</f>
        <v>0</v>
      </c>
      <c r="U29" s="88">
        <f>SUMIF(月間集計シート!$M$50:$M$69,$G29,月間集計シート!R$50:R$69)*U$2</f>
        <v>0</v>
      </c>
      <c r="V29" s="88">
        <f>SUMIF(月間集計シート!$M$50:$M$69,$G29,月間集計シート!S$50:S$69)*V$2</f>
        <v>0</v>
      </c>
      <c r="W29" s="88">
        <f>SUMIF(月間集計シート!$M$50:$M$69,$G29,月間集計シート!T$50:T$69)*W$2</f>
        <v>0</v>
      </c>
      <c r="X29" s="88">
        <f>SUMIF(月間集計シート!$M$71:$M$90,$G29,月間集計シート!N$71:N$90)*X$2</f>
        <v>0</v>
      </c>
      <c r="Y29" s="88">
        <f>SUMIF(月間集計シート!$M$71:$M$90,$G29,月間集計シート!O$71:O$90)*Y$2</f>
        <v>0</v>
      </c>
      <c r="Z29" s="88">
        <f>SUMIF(月間集計シート!$M$71:$M$90,$G29,月間集計シート!P$71:P$90)*Z$2</f>
        <v>0</v>
      </c>
      <c r="AA29" s="88">
        <f>SUMIF(月間集計シート!$M$71:$M$90,$G29,月間集計シート!Q$71:Q$90)*AA$2</f>
        <v>0</v>
      </c>
      <c r="AB29" s="88">
        <f>SUMIF(月間集計シート!$M$71:$M$90,$G29,月間集計シート!R$71:R$90)*AB$2</f>
        <v>0</v>
      </c>
      <c r="AC29" s="88">
        <f>SUMIF(月間集計シート!$M$71:$M$90,$G29,月間集計シート!S$71:S$90)*AC$2</f>
        <v>0</v>
      </c>
      <c r="AD29" s="88">
        <f>SUMIF(月間集計シート!$M$71:$M$90,$G29,月間集計シート!T$71:T$90)*AD$2</f>
        <v>0</v>
      </c>
      <c r="AE29" s="88">
        <f>SUMIF(月間集計シート!$M$92:$M$111,$G29,月間集計シート!N$92:N$111)*AE$2</f>
        <v>0</v>
      </c>
      <c r="AF29" s="88">
        <f>SUMIF(月間集計シート!$M$92:$M$111,$G29,月間集計シート!O$92:O$111)*AF$2</f>
        <v>0</v>
      </c>
      <c r="AG29" s="88">
        <f>SUMIF(月間集計シート!$M$92:$M$111,$G29,月間集計シート!P$92:P$111)*AG$2</f>
        <v>0</v>
      </c>
      <c r="AH29" s="88">
        <f>SUMIF(月間集計シート!$M$92:$M$111,$G29,月間集計シート!Q$92:Q$111)*AH$2</f>
        <v>0</v>
      </c>
      <c r="AI29" s="88">
        <f>SUMIF(月間集計シート!$M$92:$M$111,$G29,月間集計シート!R$92:R$111)*AI$2</f>
        <v>0</v>
      </c>
      <c r="AJ29" s="88">
        <f>SUMIF(月間集計シート!$M$92:$M$111,$G29,月間集計シート!S$92:S$111)*AJ$2</f>
        <v>0</v>
      </c>
      <c r="AK29" s="88">
        <f>SUMIF(月間集計シート!$M$92:$M$111,$G29,月間集計シート!T$92:T$111)*AK$2</f>
        <v>0</v>
      </c>
      <c r="AL29" s="88">
        <f>SUMIF(月間集計シート!$M$113:$M$132,$G29,月間集計シート!N$113:N$132)*AL$2</f>
        <v>0</v>
      </c>
      <c r="AM29" s="88">
        <f>SUMIF(月間集計シート!$M$113:$M$132,$G29,月間集計シート!O$113:O$132)*AM$2</f>
        <v>0</v>
      </c>
      <c r="AN29" s="88">
        <f>SUMIF(月間集計シート!$M$113:$M$132,$G29,月間集計シート!P$113:P$132)*AN$2</f>
        <v>0</v>
      </c>
      <c r="AO29" s="88">
        <f>SUMIF(月間集計シート!$M$113:$M$132,$G29,月間集計シート!Q$113:Q$132)*AO$2</f>
        <v>0</v>
      </c>
      <c r="AP29" s="88">
        <f>SUMIF(月間集計シート!$M$113:$M$132,$G29,月間集計シート!R$113:R$132)*AP$2</f>
        <v>0</v>
      </c>
      <c r="AQ29" s="88">
        <f>SUMIF(月間集計シート!$M$113:$M$132,$G29,月間集計シート!S$113:S$132)*AQ$2</f>
        <v>0</v>
      </c>
      <c r="AR29" s="88">
        <f>SUMIF(月間集計シート!$M$113:$M$132,$G29,月間集計シート!T$113:T$132)*AR$2</f>
        <v>0</v>
      </c>
      <c r="AS29" s="88">
        <f>SUMIF(月間集計シート!$M$134:$M$153,$G29,月間集計シート!N$134:N$153)*AS$2</f>
        <v>0</v>
      </c>
      <c r="AT29" s="88">
        <f>SUMIF(月間集計シート!$M$134:$M$153,$G29,月間集計シート!O$134:O$153)*AT$2</f>
        <v>0</v>
      </c>
      <c r="AU29" s="88">
        <f>SUMIF(月間集計シート!$M$134:$M$153,$G29,月間集計シート!P$134:P$153)*AU$2</f>
        <v>0</v>
      </c>
      <c r="AV29" s="88">
        <f>SUMIF(月間集計シート!$M$134:$M$153,$G29,月間集計シート!Q$134:Q$153)*AV$2</f>
        <v>0</v>
      </c>
      <c r="AW29" s="88">
        <f>SUMIF(月間集計シート!$M$134:$M$153,$G29,月間集計シート!R$134:R$153)*AW$2</f>
        <v>0</v>
      </c>
      <c r="AX29" s="88">
        <f>SUMIF(月間集計シート!$M$134:$M$153,$G29,月間集計シート!S$134:S$153)*AX$2</f>
        <v>0</v>
      </c>
      <c r="AY29" s="88">
        <f>SUMIF(月間集計シート!$M$134:$M$153,$G29,月間集計シート!T$134:T$153)*AY$2</f>
        <v>0</v>
      </c>
    </row>
    <row r="30" spans="1:51" ht="14.25" thickBot="1">
      <c r="A30">
        <v>1</v>
      </c>
      <c r="B30" s="120">
        <f t="shared" si="5"/>
        <v>999909</v>
      </c>
      <c r="C30" s="120" t="e">
        <f t="shared" si="6"/>
        <v>#N/A</v>
      </c>
      <c r="D30" s="137"/>
      <c r="E30" s="150" t="str">
        <f>工種!A22</f>
        <v>30199</v>
      </c>
      <c r="F30" s="119" t="str">
        <f>工種!B22</f>
        <v>製造：その他</v>
      </c>
      <c r="G30" s="116" t="str">
        <f t="shared" si="7"/>
        <v>99990930199</v>
      </c>
      <c r="H30" s="88">
        <f t="shared" si="4"/>
        <v>0</v>
      </c>
      <c r="I30" s="132"/>
      <c r="J30" s="88">
        <f>SUMIF(月間集計シート!$M$29:$M$48,$G30,月間集計シート!N$29:N$48)*J$2</f>
        <v>0</v>
      </c>
      <c r="K30" s="88">
        <f>SUMIF(月間集計シート!$M$29:$M$48,$G30,月間集計シート!O$29:O$48)*K$2</f>
        <v>0</v>
      </c>
      <c r="L30" s="88">
        <f>SUMIF(月間集計シート!$M$29:$M$48,$G30,月間集計シート!P$29:P$48)*L$2</f>
        <v>0</v>
      </c>
      <c r="M30" s="88">
        <f>SUMIF(月間集計シート!$M$29:$M$48,$G30,月間集計シート!Q$29:Q$48)*M$2</f>
        <v>0</v>
      </c>
      <c r="N30" s="88">
        <f>SUMIF(月間集計シート!$M$29:$M$48,$G30,月間集計シート!R$29:R$48)*N$2</f>
        <v>0</v>
      </c>
      <c r="O30" s="88">
        <f>SUMIF(月間集計シート!$M$29:$M$48,$G30,月間集計シート!S$29:S$48)*O$2</f>
        <v>0</v>
      </c>
      <c r="P30" s="88">
        <f>SUMIF(月間集計シート!$M$29:$M$48,$G30,月間集計シート!T$29:T$48)*P$2</f>
        <v>0</v>
      </c>
      <c r="Q30" s="88">
        <f>SUMIF(月間集計シート!$M$50:$M$69,$G30,月間集計シート!N$50:N$69)*Q$2</f>
        <v>0</v>
      </c>
      <c r="R30" s="88">
        <f>SUMIF(月間集計シート!$M$50:$M$69,$G30,月間集計シート!O$50:O$69)*R$2</f>
        <v>0</v>
      </c>
      <c r="S30" s="88">
        <f>SUMIF(月間集計シート!$M$50:$M$69,$G30,月間集計シート!P$50:P$69)*S$2</f>
        <v>0</v>
      </c>
      <c r="T30" s="88">
        <f>SUMIF(月間集計シート!$M$50:$M$69,$G30,月間集計シート!Q$50:Q$69)*T$2</f>
        <v>0</v>
      </c>
      <c r="U30" s="88">
        <f>SUMIF(月間集計シート!$M$50:$M$69,$G30,月間集計シート!R$50:R$69)*U$2</f>
        <v>0</v>
      </c>
      <c r="V30" s="88">
        <f>SUMIF(月間集計シート!$M$50:$M$69,$G30,月間集計シート!S$50:S$69)*V$2</f>
        <v>0</v>
      </c>
      <c r="W30" s="88">
        <f>SUMIF(月間集計シート!$M$50:$M$69,$G30,月間集計シート!T$50:T$69)*W$2</f>
        <v>0</v>
      </c>
      <c r="X30" s="88">
        <f>SUMIF(月間集計シート!$M$71:$M$90,$G30,月間集計シート!N$71:N$90)*X$2</f>
        <v>0</v>
      </c>
      <c r="Y30" s="88">
        <f>SUMIF(月間集計シート!$M$71:$M$90,$G30,月間集計シート!O$71:O$90)*Y$2</f>
        <v>0</v>
      </c>
      <c r="Z30" s="88">
        <f>SUMIF(月間集計シート!$M$71:$M$90,$G30,月間集計シート!P$71:P$90)*Z$2</f>
        <v>0</v>
      </c>
      <c r="AA30" s="88">
        <f>SUMIF(月間集計シート!$M$71:$M$90,$G30,月間集計シート!Q$71:Q$90)*AA$2</f>
        <v>0</v>
      </c>
      <c r="AB30" s="88">
        <f>SUMIF(月間集計シート!$M$71:$M$90,$G30,月間集計シート!R$71:R$90)*AB$2</f>
        <v>0</v>
      </c>
      <c r="AC30" s="88">
        <f>SUMIF(月間集計シート!$M$71:$M$90,$G30,月間集計シート!S$71:S$90)*AC$2</f>
        <v>0</v>
      </c>
      <c r="AD30" s="88">
        <f>SUMIF(月間集計シート!$M$71:$M$90,$G30,月間集計シート!T$71:T$90)*AD$2</f>
        <v>0</v>
      </c>
      <c r="AE30" s="88">
        <f>SUMIF(月間集計シート!$M$92:$M$111,$G30,月間集計シート!N$92:N$111)*AE$2</f>
        <v>0</v>
      </c>
      <c r="AF30" s="88">
        <f>SUMIF(月間集計シート!$M$92:$M$111,$G30,月間集計シート!O$92:O$111)*AF$2</f>
        <v>0</v>
      </c>
      <c r="AG30" s="88">
        <f>SUMIF(月間集計シート!$M$92:$M$111,$G30,月間集計シート!P$92:P$111)*AG$2</f>
        <v>0</v>
      </c>
      <c r="AH30" s="88">
        <f>SUMIF(月間集計シート!$M$92:$M$111,$G30,月間集計シート!Q$92:Q$111)*AH$2</f>
        <v>0</v>
      </c>
      <c r="AI30" s="88">
        <f>SUMIF(月間集計シート!$M$92:$M$111,$G30,月間集計シート!R$92:R$111)*AI$2</f>
        <v>0</v>
      </c>
      <c r="AJ30" s="88">
        <f>SUMIF(月間集計シート!$M$92:$M$111,$G30,月間集計シート!S$92:S$111)*AJ$2</f>
        <v>0</v>
      </c>
      <c r="AK30" s="88">
        <f>SUMIF(月間集計シート!$M$92:$M$111,$G30,月間集計シート!T$92:T$111)*AK$2</f>
        <v>0</v>
      </c>
      <c r="AL30" s="88">
        <f>SUMIF(月間集計シート!$M$113:$M$132,$G30,月間集計シート!N$113:N$132)*AL$2</f>
        <v>0</v>
      </c>
      <c r="AM30" s="88">
        <f>SUMIF(月間集計シート!$M$113:$M$132,$G30,月間集計シート!O$113:O$132)*AM$2</f>
        <v>0</v>
      </c>
      <c r="AN30" s="88">
        <f>SUMIF(月間集計シート!$M$113:$M$132,$G30,月間集計シート!P$113:P$132)*AN$2</f>
        <v>0</v>
      </c>
      <c r="AO30" s="88">
        <f>SUMIF(月間集計シート!$M$113:$M$132,$G30,月間集計シート!Q$113:Q$132)*AO$2</f>
        <v>0</v>
      </c>
      <c r="AP30" s="88">
        <f>SUMIF(月間集計シート!$M$113:$M$132,$G30,月間集計シート!R$113:R$132)*AP$2</f>
        <v>0</v>
      </c>
      <c r="AQ30" s="88">
        <f>SUMIF(月間集計シート!$M$113:$M$132,$G30,月間集計シート!S$113:S$132)*AQ$2</f>
        <v>0</v>
      </c>
      <c r="AR30" s="88">
        <f>SUMIF(月間集計シート!$M$113:$M$132,$G30,月間集計シート!T$113:T$132)*AR$2</f>
        <v>0</v>
      </c>
      <c r="AS30" s="88">
        <f>SUMIF(月間集計シート!$M$134:$M$153,$G30,月間集計シート!N$134:N$153)*AS$2</f>
        <v>0</v>
      </c>
      <c r="AT30" s="88">
        <f>SUMIF(月間集計シート!$M$134:$M$153,$G30,月間集計シート!O$134:O$153)*AT$2</f>
        <v>0</v>
      </c>
      <c r="AU30" s="88">
        <f>SUMIF(月間集計シート!$M$134:$M$153,$G30,月間集計シート!P$134:P$153)*AU$2</f>
        <v>0</v>
      </c>
      <c r="AV30" s="88">
        <f>SUMIF(月間集計シート!$M$134:$M$153,$G30,月間集計シート!Q$134:Q$153)*AV$2</f>
        <v>0</v>
      </c>
      <c r="AW30" s="88">
        <f>SUMIF(月間集計シート!$M$134:$M$153,$G30,月間集計シート!R$134:R$153)*AW$2</f>
        <v>0</v>
      </c>
      <c r="AX30" s="88">
        <f>SUMIF(月間集計シート!$M$134:$M$153,$G30,月間集計シート!S$134:S$153)*AX$2</f>
        <v>0</v>
      </c>
      <c r="AY30" s="88">
        <f>SUMIF(月間集計シート!$M$134:$M$153,$G30,月間集計シート!T$134:T$153)*AY$2</f>
        <v>0</v>
      </c>
    </row>
    <row r="31" spans="1:51" ht="14.25" thickBot="1">
      <c r="A31">
        <v>1</v>
      </c>
      <c r="B31" s="120">
        <f t="shared" si="5"/>
        <v>999909</v>
      </c>
      <c r="C31" s="120" t="e">
        <f t="shared" si="6"/>
        <v>#N/A</v>
      </c>
      <c r="D31" s="137"/>
      <c r="E31" s="150" t="str">
        <f>工種!A23</f>
        <v>40101</v>
      </c>
      <c r="F31" s="119" t="str">
        <f>工種!B23</f>
        <v>テスト：結合テスト実施</v>
      </c>
      <c r="G31" s="116" t="str">
        <f t="shared" si="7"/>
        <v>99990940101</v>
      </c>
      <c r="H31" s="88">
        <f t="shared" si="4"/>
        <v>0</v>
      </c>
      <c r="I31" s="132"/>
      <c r="J31" s="88">
        <f>SUMIF(月間集計シート!$M$29:$M$48,$G31,月間集計シート!N$29:N$48)*J$2</f>
        <v>0</v>
      </c>
      <c r="K31" s="88">
        <f>SUMIF(月間集計シート!$M$29:$M$48,$G31,月間集計シート!O$29:O$48)*K$2</f>
        <v>0</v>
      </c>
      <c r="L31" s="88">
        <f>SUMIF(月間集計シート!$M$29:$M$48,$G31,月間集計シート!P$29:P$48)*L$2</f>
        <v>0</v>
      </c>
      <c r="M31" s="88">
        <f>SUMIF(月間集計シート!$M$29:$M$48,$G31,月間集計シート!Q$29:Q$48)*M$2</f>
        <v>0</v>
      </c>
      <c r="N31" s="88">
        <f>SUMIF(月間集計シート!$M$29:$M$48,$G31,月間集計シート!R$29:R$48)*N$2</f>
        <v>0</v>
      </c>
      <c r="O31" s="88">
        <f>SUMIF(月間集計シート!$M$29:$M$48,$G31,月間集計シート!S$29:S$48)*O$2</f>
        <v>0</v>
      </c>
      <c r="P31" s="88">
        <f>SUMIF(月間集計シート!$M$29:$M$48,$G31,月間集計シート!T$29:T$48)*P$2</f>
        <v>0</v>
      </c>
      <c r="Q31" s="88">
        <f>SUMIF(月間集計シート!$M$50:$M$69,$G31,月間集計シート!N$50:N$69)*Q$2</f>
        <v>0</v>
      </c>
      <c r="R31" s="88">
        <f>SUMIF(月間集計シート!$M$50:$M$69,$G31,月間集計シート!O$50:O$69)*R$2</f>
        <v>0</v>
      </c>
      <c r="S31" s="88">
        <f>SUMIF(月間集計シート!$M$50:$M$69,$G31,月間集計シート!P$50:P$69)*S$2</f>
        <v>0</v>
      </c>
      <c r="T31" s="88">
        <f>SUMIF(月間集計シート!$M$50:$M$69,$G31,月間集計シート!Q$50:Q$69)*T$2</f>
        <v>0</v>
      </c>
      <c r="U31" s="88">
        <f>SUMIF(月間集計シート!$M$50:$M$69,$G31,月間集計シート!R$50:R$69)*U$2</f>
        <v>0</v>
      </c>
      <c r="V31" s="88">
        <f>SUMIF(月間集計シート!$M$50:$M$69,$G31,月間集計シート!S$50:S$69)*V$2</f>
        <v>0</v>
      </c>
      <c r="W31" s="88">
        <f>SUMIF(月間集計シート!$M$50:$M$69,$G31,月間集計シート!T$50:T$69)*W$2</f>
        <v>0</v>
      </c>
      <c r="X31" s="88">
        <f>SUMIF(月間集計シート!$M$71:$M$90,$G31,月間集計シート!N$71:N$90)*X$2</f>
        <v>0</v>
      </c>
      <c r="Y31" s="88">
        <f>SUMIF(月間集計シート!$M$71:$M$90,$G31,月間集計シート!O$71:O$90)*Y$2</f>
        <v>0</v>
      </c>
      <c r="Z31" s="88">
        <f>SUMIF(月間集計シート!$M$71:$M$90,$G31,月間集計シート!P$71:P$90)*Z$2</f>
        <v>0</v>
      </c>
      <c r="AA31" s="88">
        <f>SUMIF(月間集計シート!$M$71:$M$90,$G31,月間集計シート!Q$71:Q$90)*AA$2</f>
        <v>0</v>
      </c>
      <c r="AB31" s="88">
        <f>SUMIF(月間集計シート!$M$71:$M$90,$G31,月間集計シート!R$71:R$90)*AB$2</f>
        <v>0</v>
      </c>
      <c r="AC31" s="88">
        <f>SUMIF(月間集計シート!$M$71:$M$90,$G31,月間集計シート!S$71:S$90)*AC$2</f>
        <v>0</v>
      </c>
      <c r="AD31" s="88">
        <f>SUMIF(月間集計シート!$M$71:$M$90,$G31,月間集計シート!T$71:T$90)*AD$2</f>
        <v>0</v>
      </c>
      <c r="AE31" s="88">
        <f>SUMIF(月間集計シート!$M$92:$M$111,$G31,月間集計シート!N$92:N$111)*AE$2</f>
        <v>0</v>
      </c>
      <c r="AF31" s="88">
        <f>SUMIF(月間集計シート!$M$92:$M$111,$G31,月間集計シート!O$92:O$111)*AF$2</f>
        <v>0</v>
      </c>
      <c r="AG31" s="88">
        <f>SUMIF(月間集計シート!$M$92:$M$111,$G31,月間集計シート!P$92:P$111)*AG$2</f>
        <v>0</v>
      </c>
      <c r="AH31" s="88">
        <f>SUMIF(月間集計シート!$M$92:$M$111,$G31,月間集計シート!Q$92:Q$111)*AH$2</f>
        <v>0</v>
      </c>
      <c r="AI31" s="88">
        <f>SUMIF(月間集計シート!$M$92:$M$111,$G31,月間集計シート!R$92:R$111)*AI$2</f>
        <v>0</v>
      </c>
      <c r="AJ31" s="88">
        <f>SUMIF(月間集計シート!$M$92:$M$111,$G31,月間集計シート!S$92:S$111)*AJ$2</f>
        <v>0</v>
      </c>
      <c r="AK31" s="88">
        <f>SUMIF(月間集計シート!$M$92:$M$111,$G31,月間集計シート!T$92:T$111)*AK$2</f>
        <v>0</v>
      </c>
      <c r="AL31" s="88">
        <f>SUMIF(月間集計シート!$M$113:$M$132,$G31,月間集計シート!N$113:N$132)*AL$2</f>
        <v>0</v>
      </c>
      <c r="AM31" s="88">
        <f>SUMIF(月間集計シート!$M$113:$M$132,$G31,月間集計シート!O$113:O$132)*AM$2</f>
        <v>0</v>
      </c>
      <c r="AN31" s="88">
        <f>SUMIF(月間集計シート!$M$113:$M$132,$G31,月間集計シート!P$113:P$132)*AN$2</f>
        <v>0</v>
      </c>
      <c r="AO31" s="88">
        <f>SUMIF(月間集計シート!$M$113:$M$132,$G31,月間集計シート!Q$113:Q$132)*AO$2</f>
        <v>0</v>
      </c>
      <c r="AP31" s="88">
        <f>SUMIF(月間集計シート!$M$113:$M$132,$G31,月間集計シート!R$113:R$132)*AP$2</f>
        <v>0</v>
      </c>
      <c r="AQ31" s="88">
        <f>SUMIF(月間集計シート!$M$113:$M$132,$G31,月間集計シート!S$113:S$132)*AQ$2</f>
        <v>0</v>
      </c>
      <c r="AR31" s="88">
        <f>SUMIF(月間集計シート!$M$113:$M$132,$G31,月間集計シート!T$113:T$132)*AR$2</f>
        <v>0</v>
      </c>
      <c r="AS31" s="88">
        <f>SUMIF(月間集計シート!$M$134:$M$153,$G31,月間集計シート!N$134:N$153)*AS$2</f>
        <v>0</v>
      </c>
      <c r="AT31" s="88">
        <f>SUMIF(月間集計シート!$M$134:$M$153,$G31,月間集計シート!O$134:O$153)*AT$2</f>
        <v>0</v>
      </c>
      <c r="AU31" s="88">
        <f>SUMIF(月間集計シート!$M$134:$M$153,$G31,月間集計シート!P$134:P$153)*AU$2</f>
        <v>0</v>
      </c>
      <c r="AV31" s="88">
        <f>SUMIF(月間集計シート!$M$134:$M$153,$G31,月間集計シート!Q$134:Q$153)*AV$2</f>
        <v>0</v>
      </c>
      <c r="AW31" s="88">
        <f>SUMIF(月間集計シート!$M$134:$M$153,$G31,月間集計シート!R$134:R$153)*AW$2</f>
        <v>0</v>
      </c>
      <c r="AX31" s="88">
        <f>SUMIF(月間集計シート!$M$134:$M$153,$G31,月間集計シート!S$134:S$153)*AX$2</f>
        <v>0</v>
      </c>
      <c r="AY31" s="88">
        <f>SUMIF(月間集計シート!$M$134:$M$153,$G31,月間集計シート!T$134:T$153)*AY$2</f>
        <v>0</v>
      </c>
    </row>
    <row r="32" spans="1:51" ht="14.25" thickBot="1">
      <c r="A32">
        <v>1</v>
      </c>
      <c r="B32" s="120">
        <f t="shared" si="5"/>
        <v>999909</v>
      </c>
      <c r="C32" s="120" t="e">
        <f t="shared" si="6"/>
        <v>#N/A</v>
      </c>
      <c r="D32" s="137"/>
      <c r="E32" s="150" t="str">
        <f>工種!A24</f>
        <v>40102</v>
      </c>
      <c r="F32" s="119" t="str">
        <f>工種!B24</f>
        <v>テスト：システムテスト実施</v>
      </c>
      <c r="G32" s="116" t="str">
        <f t="shared" si="7"/>
        <v>99990940102</v>
      </c>
      <c r="H32" s="88">
        <f t="shared" si="4"/>
        <v>0</v>
      </c>
      <c r="I32" s="132"/>
      <c r="J32" s="88">
        <f>SUMIF(月間集計シート!$M$29:$M$48,$G32,月間集計シート!N$29:N$48)*J$2</f>
        <v>0</v>
      </c>
      <c r="K32" s="88">
        <f>SUMIF(月間集計シート!$M$29:$M$48,$G32,月間集計シート!O$29:O$48)*K$2</f>
        <v>0</v>
      </c>
      <c r="L32" s="88">
        <f>SUMIF(月間集計シート!$M$29:$M$48,$G32,月間集計シート!P$29:P$48)*L$2</f>
        <v>0</v>
      </c>
      <c r="M32" s="88">
        <f>SUMIF(月間集計シート!$M$29:$M$48,$G32,月間集計シート!Q$29:Q$48)*M$2</f>
        <v>0</v>
      </c>
      <c r="N32" s="88">
        <f>SUMIF(月間集計シート!$M$29:$M$48,$G32,月間集計シート!R$29:R$48)*N$2</f>
        <v>0</v>
      </c>
      <c r="O32" s="88">
        <f>SUMIF(月間集計シート!$M$29:$M$48,$G32,月間集計シート!S$29:S$48)*O$2</f>
        <v>0</v>
      </c>
      <c r="P32" s="88">
        <f>SUMIF(月間集計シート!$M$29:$M$48,$G32,月間集計シート!T$29:T$48)*P$2</f>
        <v>0</v>
      </c>
      <c r="Q32" s="88">
        <f>SUMIF(月間集計シート!$M$50:$M$69,$G32,月間集計シート!N$50:N$69)*Q$2</f>
        <v>0</v>
      </c>
      <c r="R32" s="88">
        <f>SUMIF(月間集計シート!$M$50:$M$69,$G32,月間集計シート!O$50:O$69)*R$2</f>
        <v>0</v>
      </c>
      <c r="S32" s="88">
        <f>SUMIF(月間集計シート!$M$50:$M$69,$G32,月間集計シート!P$50:P$69)*S$2</f>
        <v>0</v>
      </c>
      <c r="T32" s="88">
        <f>SUMIF(月間集計シート!$M$50:$M$69,$G32,月間集計シート!Q$50:Q$69)*T$2</f>
        <v>0</v>
      </c>
      <c r="U32" s="88">
        <f>SUMIF(月間集計シート!$M$50:$M$69,$G32,月間集計シート!R$50:R$69)*U$2</f>
        <v>0</v>
      </c>
      <c r="V32" s="88">
        <f>SUMIF(月間集計シート!$M$50:$M$69,$G32,月間集計シート!S$50:S$69)*V$2</f>
        <v>0</v>
      </c>
      <c r="W32" s="88">
        <f>SUMIF(月間集計シート!$M$50:$M$69,$G32,月間集計シート!T$50:T$69)*W$2</f>
        <v>0</v>
      </c>
      <c r="X32" s="88">
        <f>SUMIF(月間集計シート!$M$71:$M$90,$G32,月間集計シート!N$71:N$90)*X$2</f>
        <v>0</v>
      </c>
      <c r="Y32" s="88">
        <f>SUMIF(月間集計シート!$M$71:$M$90,$G32,月間集計シート!O$71:O$90)*Y$2</f>
        <v>0</v>
      </c>
      <c r="Z32" s="88">
        <f>SUMIF(月間集計シート!$M$71:$M$90,$G32,月間集計シート!P$71:P$90)*Z$2</f>
        <v>0</v>
      </c>
      <c r="AA32" s="88">
        <f>SUMIF(月間集計シート!$M$71:$M$90,$G32,月間集計シート!Q$71:Q$90)*AA$2</f>
        <v>0</v>
      </c>
      <c r="AB32" s="88">
        <f>SUMIF(月間集計シート!$M$71:$M$90,$G32,月間集計シート!R$71:R$90)*AB$2</f>
        <v>0</v>
      </c>
      <c r="AC32" s="88">
        <f>SUMIF(月間集計シート!$M$71:$M$90,$G32,月間集計シート!S$71:S$90)*AC$2</f>
        <v>0</v>
      </c>
      <c r="AD32" s="88">
        <f>SUMIF(月間集計シート!$M$71:$M$90,$G32,月間集計シート!T$71:T$90)*AD$2</f>
        <v>0</v>
      </c>
      <c r="AE32" s="88">
        <f>SUMIF(月間集計シート!$M$92:$M$111,$G32,月間集計シート!N$92:N$111)*AE$2</f>
        <v>0</v>
      </c>
      <c r="AF32" s="88">
        <f>SUMIF(月間集計シート!$M$92:$M$111,$G32,月間集計シート!O$92:O$111)*AF$2</f>
        <v>0</v>
      </c>
      <c r="AG32" s="88">
        <f>SUMIF(月間集計シート!$M$92:$M$111,$G32,月間集計シート!P$92:P$111)*AG$2</f>
        <v>0</v>
      </c>
      <c r="AH32" s="88">
        <f>SUMIF(月間集計シート!$M$92:$M$111,$G32,月間集計シート!Q$92:Q$111)*AH$2</f>
        <v>0</v>
      </c>
      <c r="AI32" s="88">
        <f>SUMIF(月間集計シート!$M$92:$M$111,$G32,月間集計シート!R$92:R$111)*AI$2</f>
        <v>0</v>
      </c>
      <c r="AJ32" s="88">
        <f>SUMIF(月間集計シート!$M$92:$M$111,$G32,月間集計シート!S$92:S$111)*AJ$2</f>
        <v>0</v>
      </c>
      <c r="AK32" s="88">
        <f>SUMIF(月間集計シート!$M$92:$M$111,$G32,月間集計シート!T$92:T$111)*AK$2</f>
        <v>0</v>
      </c>
      <c r="AL32" s="88">
        <f>SUMIF(月間集計シート!$M$113:$M$132,$G32,月間集計シート!N$113:N$132)*AL$2</f>
        <v>0</v>
      </c>
      <c r="AM32" s="88">
        <f>SUMIF(月間集計シート!$M$113:$M$132,$G32,月間集計シート!O$113:O$132)*AM$2</f>
        <v>0</v>
      </c>
      <c r="AN32" s="88">
        <f>SUMIF(月間集計シート!$M$113:$M$132,$G32,月間集計シート!P$113:P$132)*AN$2</f>
        <v>0</v>
      </c>
      <c r="AO32" s="88">
        <f>SUMIF(月間集計シート!$M$113:$M$132,$G32,月間集計シート!Q$113:Q$132)*AO$2</f>
        <v>0</v>
      </c>
      <c r="AP32" s="88">
        <f>SUMIF(月間集計シート!$M$113:$M$132,$G32,月間集計シート!R$113:R$132)*AP$2</f>
        <v>0</v>
      </c>
      <c r="AQ32" s="88">
        <f>SUMIF(月間集計シート!$M$113:$M$132,$G32,月間集計シート!S$113:S$132)*AQ$2</f>
        <v>0</v>
      </c>
      <c r="AR32" s="88">
        <f>SUMIF(月間集計シート!$M$113:$M$132,$G32,月間集計シート!T$113:T$132)*AR$2</f>
        <v>0</v>
      </c>
      <c r="AS32" s="88">
        <f>SUMIF(月間集計シート!$M$134:$M$153,$G32,月間集計シート!N$134:N$153)*AS$2</f>
        <v>0</v>
      </c>
      <c r="AT32" s="88">
        <f>SUMIF(月間集計シート!$M$134:$M$153,$G32,月間集計シート!O$134:O$153)*AT$2</f>
        <v>0</v>
      </c>
      <c r="AU32" s="88">
        <f>SUMIF(月間集計シート!$M$134:$M$153,$G32,月間集計シート!P$134:P$153)*AU$2</f>
        <v>0</v>
      </c>
      <c r="AV32" s="88">
        <f>SUMIF(月間集計シート!$M$134:$M$153,$G32,月間集計シート!Q$134:Q$153)*AV$2</f>
        <v>0</v>
      </c>
      <c r="AW32" s="88">
        <f>SUMIF(月間集計シート!$M$134:$M$153,$G32,月間集計シート!R$134:R$153)*AW$2</f>
        <v>0</v>
      </c>
      <c r="AX32" s="88">
        <f>SUMIF(月間集計シート!$M$134:$M$153,$G32,月間集計シート!S$134:S$153)*AX$2</f>
        <v>0</v>
      </c>
      <c r="AY32" s="88">
        <f>SUMIF(月間集計シート!$M$134:$M$153,$G32,月間集計シート!T$134:T$153)*AY$2</f>
        <v>0</v>
      </c>
    </row>
    <row r="33" spans="1:51" ht="14.25" thickBot="1">
      <c r="A33">
        <v>1</v>
      </c>
      <c r="B33" s="120">
        <f t="shared" si="5"/>
        <v>999909</v>
      </c>
      <c r="C33" s="120" t="e">
        <f t="shared" si="6"/>
        <v>#N/A</v>
      </c>
      <c r="D33" s="137"/>
      <c r="E33" s="150" t="str">
        <f>工種!A25</f>
        <v>40103</v>
      </c>
      <c r="F33" s="119" t="str">
        <f>工種!B25</f>
        <v>テスト：テスト計画書作成</v>
      </c>
      <c r="G33" s="116" t="str">
        <f t="shared" si="7"/>
        <v>99990940103</v>
      </c>
      <c r="H33" s="88">
        <f t="shared" si="4"/>
        <v>0</v>
      </c>
      <c r="I33" s="132"/>
      <c r="J33" s="88">
        <f>SUMIF(月間集計シート!$M$29:$M$48,$G33,月間集計シート!N$29:N$48)*J$2</f>
        <v>0</v>
      </c>
      <c r="K33" s="88">
        <f>SUMIF(月間集計シート!$M$29:$M$48,$G33,月間集計シート!O$29:O$48)*K$2</f>
        <v>0</v>
      </c>
      <c r="L33" s="88">
        <f>SUMIF(月間集計シート!$M$29:$M$48,$G33,月間集計シート!P$29:P$48)*L$2</f>
        <v>0</v>
      </c>
      <c r="M33" s="88">
        <f>SUMIF(月間集計シート!$M$29:$M$48,$G33,月間集計シート!Q$29:Q$48)*M$2</f>
        <v>0</v>
      </c>
      <c r="N33" s="88">
        <f>SUMIF(月間集計シート!$M$29:$M$48,$G33,月間集計シート!R$29:R$48)*N$2</f>
        <v>0</v>
      </c>
      <c r="O33" s="88">
        <f>SUMIF(月間集計シート!$M$29:$M$48,$G33,月間集計シート!S$29:S$48)*O$2</f>
        <v>0</v>
      </c>
      <c r="P33" s="88">
        <f>SUMIF(月間集計シート!$M$29:$M$48,$G33,月間集計シート!T$29:T$48)*P$2</f>
        <v>0</v>
      </c>
      <c r="Q33" s="88">
        <f>SUMIF(月間集計シート!$M$50:$M$69,$G33,月間集計シート!N$50:N$69)*Q$2</f>
        <v>0</v>
      </c>
      <c r="R33" s="88">
        <f>SUMIF(月間集計シート!$M$50:$M$69,$G33,月間集計シート!O$50:O$69)*R$2</f>
        <v>0</v>
      </c>
      <c r="S33" s="88">
        <f>SUMIF(月間集計シート!$M$50:$M$69,$G33,月間集計シート!P$50:P$69)*S$2</f>
        <v>0</v>
      </c>
      <c r="T33" s="88">
        <f>SUMIF(月間集計シート!$M$50:$M$69,$G33,月間集計シート!Q$50:Q$69)*T$2</f>
        <v>0</v>
      </c>
      <c r="U33" s="88">
        <f>SUMIF(月間集計シート!$M$50:$M$69,$G33,月間集計シート!R$50:R$69)*U$2</f>
        <v>0</v>
      </c>
      <c r="V33" s="88">
        <f>SUMIF(月間集計シート!$M$50:$M$69,$G33,月間集計シート!S$50:S$69)*V$2</f>
        <v>0</v>
      </c>
      <c r="W33" s="88">
        <f>SUMIF(月間集計シート!$M$50:$M$69,$G33,月間集計シート!T$50:T$69)*W$2</f>
        <v>0</v>
      </c>
      <c r="X33" s="88">
        <f>SUMIF(月間集計シート!$M$71:$M$90,$G33,月間集計シート!N$71:N$90)*X$2</f>
        <v>0</v>
      </c>
      <c r="Y33" s="88">
        <f>SUMIF(月間集計シート!$M$71:$M$90,$G33,月間集計シート!O$71:O$90)*Y$2</f>
        <v>0</v>
      </c>
      <c r="Z33" s="88">
        <f>SUMIF(月間集計シート!$M$71:$M$90,$G33,月間集計シート!P$71:P$90)*Z$2</f>
        <v>0</v>
      </c>
      <c r="AA33" s="88">
        <f>SUMIF(月間集計シート!$M$71:$M$90,$G33,月間集計シート!Q$71:Q$90)*AA$2</f>
        <v>0</v>
      </c>
      <c r="AB33" s="88">
        <f>SUMIF(月間集計シート!$M$71:$M$90,$G33,月間集計シート!R$71:R$90)*AB$2</f>
        <v>0</v>
      </c>
      <c r="AC33" s="88">
        <f>SUMIF(月間集計シート!$M$71:$M$90,$G33,月間集計シート!S$71:S$90)*AC$2</f>
        <v>0</v>
      </c>
      <c r="AD33" s="88">
        <f>SUMIF(月間集計シート!$M$71:$M$90,$G33,月間集計シート!T$71:T$90)*AD$2</f>
        <v>0</v>
      </c>
      <c r="AE33" s="88">
        <f>SUMIF(月間集計シート!$M$92:$M$111,$G33,月間集計シート!N$92:N$111)*AE$2</f>
        <v>0</v>
      </c>
      <c r="AF33" s="88">
        <f>SUMIF(月間集計シート!$M$92:$M$111,$G33,月間集計シート!O$92:O$111)*AF$2</f>
        <v>0</v>
      </c>
      <c r="AG33" s="88">
        <f>SUMIF(月間集計シート!$M$92:$M$111,$G33,月間集計シート!P$92:P$111)*AG$2</f>
        <v>0</v>
      </c>
      <c r="AH33" s="88">
        <f>SUMIF(月間集計シート!$M$92:$M$111,$G33,月間集計シート!Q$92:Q$111)*AH$2</f>
        <v>0</v>
      </c>
      <c r="AI33" s="88">
        <f>SUMIF(月間集計シート!$M$92:$M$111,$G33,月間集計シート!R$92:R$111)*AI$2</f>
        <v>0</v>
      </c>
      <c r="AJ33" s="88">
        <f>SUMIF(月間集計シート!$M$92:$M$111,$G33,月間集計シート!S$92:S$111)*AJ$2</f>
        <v>0</v>
      </c>
      <c r="AK33" s="88">
        <f>SUMIF(月間集計シート!$M$92:$M$111,$G33,月間集計シート!T$92:T$111)*AK$2</f>
        <v>0</v>
      </c>
      <c r="AL33" s="88">
        <f>SUMIF(月間集計シート!$M$113:$M$132,$G33,月間集計シート!N$113:N$132)*AL$2</f>
        <v>0</v>
      </c>
      <c r="AM33" s="88">
        <f>SUMIF(月間集計シート!$M$113:$M$132,$G33,月間集計シート!O$113:O$132)*AM$2</f>
        <v>0</v>
      </c>
      <c r="AN33" s="88">
        <f>SUMIF(月間集計シート!$M$113:$M$132,$G33,月間集計シート!P$113:P$132)*AN$2</f>
        <v>0</v>
      </c>
      <c r="AO33" s="88">
        <f>SUMIF(月間集計シート!$M$113:$M$132,$G33,月間集計シート!Q$113:Q$132)*AO$2</f>
        <v>0</v>
      </c>
      <c r="AP33" s="88">
        <f>SUMIF(月間集計シート!$M$113:$M$132,$G33,月間集計シート!R$113:R$132)*AP$2</f>
        <v>0</v>
      </c>
      <c r="AQ33" s="88">
        <f>SUMIF(月間集計シート!$M$113:$M$132,$G33,月間集計シート!S$113:S$132)*AQ$2</f>
        <v>0</v>
      </c>
      <c r="AR33" s="88">
        <f>SUMIF(月間集計シート!$M$113:$M$132,$G33,月間集計シート!T$113:T$132)*AR$2</f>
        <v>0</v>
      </c>
      <c r="AS33" s="88">
        <f>SUMIF(月間集計シート!$M$134:$M$153,$G33,月間集計シート!N$134:N$153)*AS$2</f>
        <v>0</v>
      </c>
      <c r="AT33" s="88">
        <f>SUMIF(月間集計シート!$M$134:$M$153,$G33,月間集計シート!O$134:O$153)*AT$2</f>
        <v>0</v>
      </c>
      <c r="AU33" s="88">
        <f>SUMIF(月間集計シート!$M$134:$M$153,$G33,月間集計シート!P$134:P$153)*AU$2</f>
        <v>0</v>
      </c>
      <c r="AV33" s="88">
        <f>SUMIF(月間集計シート!$M$134:$M$153,$G33,月間集計シート!Q$134:Q$153)*AV$2</f>
        <v>0</v>
      </c>
      <c r="AW33" s="88">
        <f>SUMIF(月間集計シート!$M$134:$M$153,$G33,月間集計シート!R$134:R$153)*AW$2</f>
        <v>0</v>
      </c>
      <c r="AX33" s="88">
        <f>SUMIF(月間集計シート!$M$134:$M$153,$G33,月間集計シート!S$134:S$153)*AX$2</f>
        <v>0</v>
      </c>
      <c r="AY33" s="88">
        <f>SUMIF(月間集計シート!$M$134:$M$153,$G33,月間集計シート!T$134:T$153)*AY$2</f>
        <v>0</v>
      </c>
    </row>
    <row r="34" spans="1:51" ht="14.25" thickBot="1">
      <c r="A34">
        <v>1</v>
      </c>
      <c r="B34" s="120">
        <f t="shared" si="5"/>
        <v>999909</v>
      </c>
      <c r="C34" s="120" t="e">
        <f t="shared" si="6"/>
        <v>#N/A</v>
      </c>
      <c r="D34" s="137"/>
      <c r="E34" s="150" t="str">
        <f>工種!A26</f>
        <v>40104</v>
      </c>
      <c r="F34" s="119" t="str">
        <f>工種!B26</f>
        <v>テスト：結合テスト設計書作成</v>
      </c>
      <c r="G34" s="116" t="str">
        <f t="shared" si="7"/>
        <v>99990940104</v>
      </c>
      <c r="H34" s="88">
        <f t="shared" si="4"/>
        <v>0</v>
      </c>
      <c r="I34" s="132"/>
      <c r="J34" s="88">
        <f>SUMIF(月間集計シート!$M$29:$M$48,$G34,月間集計シート!N$29:N$48)*J$2</f>
        <v>0</v>
      </c>
      <c r="K34" s="88">
        <f>SUMIF(月間集計シート!$M$29:$M$48,$G34,月間集計シート!O$29:O$48)*K$2</f>
        <v>0</v>
      </c>
      <c r="L34" s="88">
        <f>SUMIF(月間集計シート!$M$29:$M$48,$G34,月間集計シート!P$29:P$48)*L$2</f>
        <v>0</v>
      </c>
      <c r="M34" s="88">
        <f>SUMIF(月間集計シート!$M$29:$M$48,$G34,月間集計シート!Q$29:Q$48)*M$2</f>
        <v>0</v>
      </c>
      <c r="N34" s="88">
        <f>SUMIF(月間集計シート!$M$29:$M$48,$G34,月間集計シート!R$29:R$48)*N$2</f>
        <v>0</v>
      </c>
      <c r="O34" s="88">
        <f>SUMIF(月間集計シート!$M$29:$M$48,$G34,月間集計シート!S$29:S$48)*O$2</f>
        <v>0</v>
      </c>
      <c r="P34" s="88">
        <f>SUMIF(月間集計シート!$M$29:$M$48,$G34,月間集計シート!T$29:T$48)*P$2</f>
        <v>0</v>
      </c>
      <c r="Q34" s="88">
        <f>SUMIF(月間集計シート!$M$50:$M$69,$G34,月間集計シート!N$50:N$69)*Q$2</f>
        <v>0</v>
      </c>
      <c r="R34" s="88">
        <f>SUMIF(月間集計シート!$M$50:$M$69,$G34,月間集計シート!O$50:O$69)*R$2</f>
        <v>0</v>
      </c>
      <c r="S34" s="88">
        <f>SUMIF(月間集計シート!$M$50:$M$69,$G34,月間集計シート!P$50:P$69)*S$2</f>
        <v>0</v>
      </c>
      <c r="T34" s="88">
        <f>SUMIF(月間集計シート!$M$50:$M$69,$G34,月間集計シート!Q$50:Q$69)*T$2</f>
        <v>0</v>
      </c>
      <c r="U34" s="88">
        <f>SUMIF(月間集計シート!$M$50:$M$69,$G34,月間集計シート!R$50:R$69)*U$2</f>
        <v>0</v>
      </c>
      <c r="V34" s="88">
        <f>SUMIF(月間集計シート!$M$50:$M$69,$G34,月間集計シート!S$50:S$69)*V$2</f>
        <v>0</v>
      </c>
      <c r="W34" s="88">
        <f>SUMIF(月間集計シート!$M$50:$M$69,$G34,月間集計シート!T$50:T$69)*W$2</f>
        <v>0</v>
      </c>
      <c r="X34" s="88">
        <f>SUMIF(月間集計シート!$M$71:$M$90,$G34,月間集計シート!N$71:N$90)*X$2</f>
        <v>0</v>
      </c>
      <c r="Y34" s="88">
        <f>SUMIF(月間集計シート!$M$71:$M$90,$G34,月間集計シート!O$71:O$90)*Y$2</f>
        <v>0</v>
      </c>
      <c r="Z34" s="88">
        <f>SUMIF(月間集計シート!$M$71:$M$90,$G34,月間集計シート!P$71:P$90)*Z$2</f>
        <v>0</v>
      </c>
      <c r="AA34" s="88">
        <f>SUMIF(月間集計シート!$M$71:$M$90,$G34,月間集計シート!Q$71:Q$90)*AA$2</f>
        <v>0</v>
      </c>
      <c r="AB34" s="88">
        <f>SUMIF(月間集計シート!$M$71:$M$90,$G34,月間集計シート!R$71:R$90)*AB$2</f>
        <v>0</v>
      </c>
      <c r="AC34" s="88">
        <f>SUMIF(月間集計シート!$M$71:$M$90,$G34,月間集計シート!S$71:S$90)*AC$2</f>
        <v>0</v>
      </c>
      <c r="AD34" s="88">
        <f>SUMIF(月間集計シート!$M$71:$M$90,$G34,月間集計シート!T$71:T$90)*AD$2</f>
        <v>0</v>
      </c>
      <c r="AE34" s="88">
        <f>SUMIF(月間集計シート!$M$92:$M$111,$G34,月間集計シート!N$92:N$111)*AE$2</f>
        <v>0</v>
      </c>
      <c r="AF34" s="88">
        <f>SUMIF(月間集計シート!$M$92:$M$111,$G34,月間集計シート!O$92:O$111)*AF$2</f>
        <v>0</v>
      </c>
      <c r="AG34" s="88">
        <f>SUMIF(月間集計シート!$M$92:$M$111,$G34,月間集計シート!P$92:P$111)*AG$2</f>
        <v>0</v>
      </c>
      <c r="AH34" s="88">
        <f>SUMIF(月間集計シート!$M$92:$M$111,$G34,月間集計シート!Q$92:Q$111)*AH$2</f>
        <v>0</v>
      </c>
      <c r="AI34" s="88">
        <f>SUMIF(月間集計シート!$M$92:$M$111,$G34,月間集計シート!R$92:R$111)*AI$2</f>
        <v>0</v>
      </c>
      <c r="AJ34" s="88">
        <f>SUMIF(月間集計シート!$M$92:$M$111,$G34,月間集計シート!S$92:S$111)*AJ$2</f>
        <v>0</v>
      </c>
      <c r="AK34" s="88">
        <f>SUMIF(月間集計シート!$M$92:$M$111,$G34,月間集計シート!T$92:T$111)*AK$2</f>
        <v>0</v>
      </c>
      <c r="AL34" s="88">
        <f>SUMIF(月間集計シート!$M$113:$M$132,$G34,月間集計シート!N$113:N$132)*AL$2</f>
        <v>0</v>
      </c>
      <c r="AM34" s="88">
        <f>SUMIF(月間集計シート!$M$113:$M$132,$G34,月間集計シート!O$113:O$132)*AM$2</f>
        <v>0</v>
      </c>
      <c r="AN34" s="88">
        <f>SUMIF(月間集計シート!$M$113:$M$132,$G34,月間集計シート!P$113:P$132)*AN$2</f>
        <v>0</v>
      </c>
      <c r="AO34" s="88">
        <f>SUMIF(月間集計シート!$M$113:$M$132,$G34,月間集計シート!Q$113:Q$132)*AO$2</f>
        <v>0</v>
      </c>
      <c r="AP34" s="88">
        <f>SUMIF(月間集計シート!$M$113:$M$132,$G34,月間集計シート!R$113:R$132)*AP$2</f>
        <v>0</v>
      </c>
      <c r="AQ34" s="88">
        <f>SUMIF(月間集計シート!$M$113:$M$132,$G34,月間集計シート!S$113:S$132)*AQ$2</f>
        <v>0</v>
      </c>
      <c r="AR34" s="88">
        <f>SUMIF(月間集計シート!$M$113:$M$132,$G34,月間集計シート!T$113:T$132)*AR$2</f>
        <v>0</v>
      </c>
      <c r="AS34" s="88">
        <f>SUMIF(月間集計シート!$M$134:$M$153,$G34,月間集計シート!N$134:N$153)*AS$2</f>
        <v>0</v>
      </c>
      <c r="AT34" s="88">
        <f>SUMIF(月間集計シート!$M$134:$M$153,$G34,月間集計シート!O$134:O$153)*AT$2</f>
        <v>0</v>
      </c>
      <c r="AU34" s="88">
        <f>SUMIF(月間集計シート!$M$134:$M$153,$G34,月間集計シート!P$134:P$153)*AU$2</f>
        <v>0</v>
      </c>
      <c r="AV34" s="88">
        <f>SUMIF(月間集計シート!$M$134:$M$153,$G34,月間集計シート!Q$134:Q$153)*AV$2</f>
        <v>0</v>
      </c>
      <c r="AW34" s="88">
        <f>SUMIF(月間集計シート!$M$134:$M$153,$G34,月間集計シート!R$134:R$153)*AW$2</f>
        <v>0</v>
      </c>
      <c r="AX34" s="88">
        <f>SUMIF(月間集計シート!$M$134:$M$153,$G34,月間集計シート!S$134:S$153)*AX$2</f>
        <v>0</v>
      </c>
      <c r="AY34" s="88">
        <f>SUMIF(月間集計シート!$M$134:$M$153,$G34,月間集計シート!T$134:T$153)*AY$2</f>
        <v>0</v>
      </c>
    </row>
    <row r="35" spans="1:51" ht="14.25" thickBot="1">
      <c r="A35">
        <v>1</v>
      </c>
      <c r="B35" s="120">
        <f t="shared" si="5"/>
        <v>999909</v>
      </c>
      <c r="C35" s="120" t="e">
        <f t="shared" si="6"/>
        <v>#N/A</v>
      </c>
      <c r="D35" s="137"/>
      <c r="E35" s="150" t="str">
        <f>工種!A27</f>
        <v>40105</v>
      </c>
      <c r="F35" s="119" t="str">
        <f>工種!B27</f>
        <v>テスト：システムテスト設計書作成</v>
      </c>
      <c r="G35" s="116" t="str">
        <f t="shared" si="7"/>
        <v>99990940105</v>
      </c>
      <c r="H35" s="88">
        <f t="shared" si="4"/>
        <v>0</v>
      </c>
      <c r="I35" s="132"/>
      <c r="J35" s="88">
        <f>SUMIF(月間集計シート!$M$29:$M$48,$G35,月間集計シート!N$29:N$48)*J$2</f>
        <v>0</v>
      </c>
      <c r="K35" s="88">
        <f>SUMIF(月間集計シート!$M$29:$M$48,$G35,月間集計シート!O$29:O$48)*K$2</f>
        <v>0</v>
      </c>
      <c r="L35" s="88">
        <f>SUMIF(月間集計シート!$M$29:$M$48,$G35,月間集計シート!P$29:P$48)*L$2</f>
        <v>0</v>
      </c>
      <c r="M35" s="88">
        <f>SUMIF(月間集計シート!$M$29:$M$48,$G35,月間集計シート!Q$29:Q$48)*M$2</f>
        <v>0</v>
      </c>
      <c r="N35" s="88">
        <f>SUMIF(月間集計シート!$M$29:$M$48,$G35,月間集計シート!R$29:R$48)*N$2</f>
        <v>0</v>
      </c>
      <c r="O35" s="88">
        <f>SUMIF(月間集計シート!$M$29:$M$48,$G35,月間集計シート!S$29:S$48)*O$2</f>
        <v>0</v>
      </c>
      <c r="P35" s="88">
        <f>SUMIF(月間集計シート!$M$29:$M$48,$G35,月間集計シート!T$29:T$48)*P$2</f>
        <v>0</v>
      </c>
      <c r="Q35" s="88">
        <f>SUMIF(月間集計シート!$M$50:$M$69,$G35,月間集計シート!N$50:N$69)*Q$2</f>
        <v>0</v>
      </c>
      <c r="R35" s="88">
        <f>SUMIF(月間集計シート!$M$50:$M$69,$G35,月間集計シート!O$50:O$69)*R$2</f>
        <v>0</v>
      </c>
      <c r="S35" s="88">
        <f>SUMIF(月間集計シート!$M$50:$M$69,$G35,月間集計シート!P$50:P$69)*S$2</f>
        <v>0</v>
      </c>
      <c r="T35" s="88">
        <f>SUMIF(月間集計シート!$M$50:$M$69,$G35,月間集計シート!Q$50:Q$69)*T$2</f>
        <v>0</v>
      </c>
      <c r="U35" s="88">
        <f>SUMIF(月間集計シート!$M$50:$M$69,$G35,月間集計シート!R$50:R$69)*U$2</f>
        <v>0</v>
      </c>
      <c r="V35" s="88">
        <f>SUMIF(月間集計シート!$M$50:$M$69,$G35,月間集計シート!S$50:S$69)*V$2</f>
        <v>0</v>
      </c>
      <c r="W35" s="88">
        <f>SUMIF(月間集計シート!$M$50:$M$69,$G35,月間集計シート!T$50:T$69)*W$2</f>
        <v>0</v>
      </c>
      <c r="X35" s="88">
        <f>SUMIF(月間集計シート!$M$71:$M$90,$G35,月間集計シート!N$71:N$90)*X$2</f>
        <v>0</v>
      </c>
      <c r="Y35" s="88">
        <f>SUMIF(月間集計シート!$M$71:$M$90,$G35,月間集計シート!O$71:O$90)*Y$2</f>
        <v>0</v>
      </c>
      <c r="Z35" s="88">
        <f>SUMIF(月間集計シート!$M$71:$M$90,$G35,月間集計シート!P$71:P$90)*Z$2</f>
        <v>0</v>
      </c>
      <c r="AA35" s="88">
        <f>SUMIF(月間集計シート!$M$71:$M$90,$G35,月間集計シート!Q$71:Q$90)*AA$2</f>
        <v>0</v>
      </c>
      <c r="AB35" s="88">
        <f>SUMIF(月間集計シート!$M$71:$M$90,$G35,月間集計シート!R$71:R$90)*AB$2</f>
        <v>0</v>
      </c>
      <c r="AC35" s="88">
        <f>SUMIF(月間集計シート!$M$71:$M$90,$G35,月間集計シート!S$71:S$90)*AC$2</f>
        <v>0</v>
      </c>
      <c r="AD35" s="88">
        <f>SUMIF(月間集計シート!$M$71:$M$90,$G35,月間集計シート!T$71:T$90)*AD$2</f>
        <v>0</v>
      </c>
      <c r="AE35" s="88">
        <f>SUMIF(月間集計シート!$M$92:$M$111,$G35,月間集計シート!N$92:N$111)*AE$2</f>
        <v>0</v>
      </c>
      <c r="AF35" s="88">
        <f>SUMIF(月間集計シート!$M$92:$M$111,$G35,月間集計シート!O$92:O$111)*AF$2</f>
        <v>0</v>
      </c>
      <c r="AG35" s="88">
        <f>SUMIF(月間集計シート!$M$92:$M$111,$G35,月間集計シート!P$92:P$111)*AG$2</f>
        <v>0</v>
      </c>
      <c r="AH35" s="88">
        <f>SUMIF(月間集計シート!$M$92:$M$111,$G35,月間集計シート!Q$92:Q$111)*AH$2</f>
        <v>0</v>
      </c>
      <c r="AI35" s="88">
        <f>SUMIF(月間集計シート!$M$92:$M$111,$G35,月間集計シート!R$92:R$111)*AI$2</f>
        <v>0</v>
      </c>
      <c r="AJ35" s="88">
        <f>SUMIF(月間集計シート!$M$92:$M$111,$G35,月間集計シート!S$92:S$111)*AJ$2</f>
        <v>0</v>
      </c>
      <c r="AK35" s="88">
        <f>SUMIF(月間集計シート!$M$92:$M$111,$G35,月間集計シート!T$92:T$111)*AK$2</f>
        <v>0</v>
      </c>
      <c r="AL35" s="88">
        <f>SUMIF(月間集計シート!$M$113:$M$132,$G35,月間集計シート!N$113:N$132)*AL$2</f>
        <v>0</v>
      </c>
      <c r="AM35" s="88">
        <f>SUMIF(月間集計シート!$M$113:$M$132,$G35,月間集計シート!O$113:O$132)*AM$2</f>
        <v>0</v>
      </c>
      <c r="AN35" s="88">
        <f>SUMIF(月間集計シート!$M$113:$M$132,$G35,月間集計シート!P$113:P$132)*AN$2</f>
        <v>0</v>
      </c>
      <c r="AO35" s="88">
        <f>SUMIF(月間集計シート!$M$113:$M$132,$G35,月間集計シート!Q$113:Q$132)*AO$2</f>
        <v>0</v>
      </c>
      <c r="AP35" s="88">
        <f>SUMIF(月間集計シート!$M$113:$M$132,$G35,月間集計シート!R$113:R$132)*AP$2</f>
        <v>0</v>
      </c>
      <c r="AQ35" s="88">
        <f>SUMIF(月間集計シート!$M$113:$M$132,$G35,月間集計シート!S$113:S$132)*AQ$2</f>
        <v>0</v>
      </c>
      <c r="AR35" s="88">
        <f>SUMIF(月間集計シート!$M$113:$M$132,$G35,月間集計シート!T$113:T$132)*AR$2</f>
        <v>0</v>
      </c>
      <c r="AS35" s="88">
        <f>SUMIF(月間集計シート!$M$134:$M$153,$G35,月間集計シート!N$134:N$153)*AS$2</f>
        <v>0</v>
      </c>
      <c r="AT35" s="88">
        <f>SUMIF(月間集計シート!$M$134:$M$153,$G35,月間集計シート!O$134:O$153)*AT$2</f>
        <v>0</v>
      </c>
      <c r="AU35" s="88">
        <f>SUMIF(月間集計シート!$M$134:$M$153,$G35,月間集計シート!P$134:P$153)*AU$2</f>
        <v>0</v>
      </c>
      <c r="AV35" s="88">
        <f>SUMIF(月間集計シート!$M$134:$M$153,$G35,月間集計シート!Q$134:Q$153)*AV$2</f>
        <v>0</v>
      </c>
      <c r="AW35" s="88">
        <f>SUMIF(月間集計シート!$M$134:$M$153,$G35,月間集計シート!R$134:R$153)*AW$2</f>
        <v>0</v>
      </c>
      <c r="AX35" s="88">
        <f>SUMIF(月間集計シート!$M$134:$M$153,$G35,月間集計シート!S$134:S$153)*AX$2</f>
        <v>0</v>
      </c>
      <c r="AY35" s="88">
        <f>SUMIF(月間集計シート!$M$134:$M$153,$G35,月間集計シート!T$134:T$153)*AY$2</f>
        <v>0</v>
      </c>
    </row>
    <row r="36" spans="1:51" ht="14.25" thickBot="1">
      <c r="A36">
        <v>1</v>
      </c>
      <c r="B36" s="120">
        <f t="shared" si="5"/>
        <v>999909</v>
      </c>
      <c r="C36" s="120" t="e">
        <f t="shared" si="6"/>
        <v>#N/A</v>
      </c>
      <c r="D36" s="137"/>
      <c r="E36" s="150" t="str">
        <f>工種!A28</f>
        <v>40106</v>
      </c>
      <c r="F36" s="119" t="str">
        <f>工種!B28</f>
        <v>テスト：総合評価設計書作成</v>
      </c>
      <c r="G36" s="116" t="str">
        <f t="shared" si="7"/>
        <v>99990940106</v>
      </c>
      <c r="H36" s="88">
        <f t="shared" si="4"/>
        <v>0</v>
      </c>
      <c r="I36" s="132"/>
      <c r="J36" s="88">
        <f>SUMIF(月間集計シート!$M$29:$M$48,$G36,月間集計シート!N$29:N$48)*J$2</f>
        <v>0</v>
      </c>
      <c r="K36" s="88">
        <f>SUMIF(月間集計シート!$M$29:$M$48,$G36,月間集計シート!O$29:O$48)*K$2</f>
        <v>0</v>
      </c>
      <c r="L36" s="88">
        <f>SUMIF(月間集計シート!$M$29:$M$48,$G36,月間集計シート!P$29:P$48)*L$2</f>
        <v>0</v>
      </c>
      <c r="M36" s="88">
        <f>SUMIF(月間集計シート!$M$29:$M$48,$G36,月間集計シート!Q$29:Q$48)*M$2</f>
        <v>0</v>
      </c>
      <c r="N36" s="88">
        <f>SUMIF(月間集計シート!$M$29:$M$48,$G36,月間集計シート!R$29:R$48)*N$2</f>
        <v>0</v>
      </c>
      <c r="O36" s="88">
        <f>SUMIF(月間集計シート!$M$29:$M$48,$G36,月間集計シート!S$29:S$48)*O$2</f>
        <v>0</v>
      </c>
      <c r="P36" s="88">
        <f>SUMIF(月間集計シート!$M$29:$M$48,$G36,月間集計シート!T$29:T$48)*P$2</f>
        <v>0</v>
      </c>
      <c r="Q36" s="88">
        <f>SUMIF(月間集計シート!$M$50:$M$69,$G36,月間集計シート!N$50:N$69)*Q$2</f>
        <v>0</v>
      </c>
      <c r="R36" s="88">
        <f>SUMIF(月間集計シート!$M$50:$M$69,$G36,月間集計シート!O$50:O$69)*R$2</f>
        <v>0</v>
      </c>
      <c r="S36" s="88">
        <f>SUMIF(月間集計シート!$M$50:$M$69,$G36,月間集計シート!P$50:P$69)*S$2</f>
        <v>0</v>
      </c>
      <c r="T36" s="88">
        <f>SUMIF(月間集計シート!$M$50:$M$69,$G36,月間集計シート!Q$50:Q$69)*T$2</f>
        <v>0</v>
      </c>
      <c r="U36" s="88">
        <f>SUMIF(月間集計シート!$M$50:$M$69,$G36,月間集計シート!R$50:R$69)*U$2</f>
        <v>0</v>
      </c>
      <c r="V36" s="88">
        <f>SUMIF(月間集計シート!$M$50:$M$69,$G36,月間集計シート!S$50:S$69)*V$2</f>
        <v>0</v>
      </c>
      <c r="W36" s="88">
        <f>SUMIF(月間集計シート!$M$50:$M$69,$G36,月間集計シート!T$50:T$69)*W$2</f>
        <v>0</v>
      </c>
      <c r="X36" s="88">
        <f>SUMIF(月間集計シート!$M$71:$M$90,$G36,月間集計シート!N$71:N$90)*X$2</f>
        <v>0</v>
      </c>
      <c r="Y36" s="88">
        <f>SUMIF(月間集計シート!$M$71:$M$90,$G36,月間集計シート!O$71:O$90)*Y$2</f>
        <v>0</v>
      </c>
      <c r="Z36" s="88">
        <f>SUMIF(月間集計シート!$M$71:$M$90,$G36,月間集計シート!P$71:P$90)*Z$2</f>
        <v>0</v>
      </c>
      <c r="AA36" s="88">
        <f>SUMIF(月間集計シート!$M$71:$M$90,$G36,月間集計シート!Q$71:Q$90)*AA$2</f>
        <v>0</v>
      </c>
      <c r="AB36" s="88">
        <f>SUMIF(月間集計シート!$M$71:$M$90,$G36,月間集計シート!R$71:R$90)*AB$2</f>
        <v>0</v>
      </c>
      <c r="AC36" s="88">
        <f>SUMIF(月間集計シート!$M$71:$M$90,$G36,月間集計シート!S$71:S$90)*AC$2</f>
        <v>0</v>
      </c>
      <c r="AD36" s="88">
        <f>SUMIF(月間集計シート!$M$71:$M$90,$G36,月間集計シート!T$71:T$90)*AD$2</f>
        <v>0</v>
      </c>
      <c r="AE36" s="88">
        <f>SUMIF(月間集計シート!$M$92:$M$111,$G36,月間集計シート!N$92:N$111)*AE$2</f>
        <v>0</v>
      </c>
      <c r="AF36" s="88">
        <f>SUMIF(月間集計シート!$M$92:$M$111,$G36,月間集計シート!O$92:O$111)*AF$2</f>
        <v>0</v>
      </c>
      <c r="AG36" s="88">
        <f>SUMIF(月間集計シート!$M$92:$M$111,$G36,月間集計シート!P$92:P$111)*AG$2</f>
        <v>0</v>
      </c>
      <c r="AH36" s="88">
        <f>SUMIF(月間集計シート!$M$92:$M$111,$G36,月間集計シート!Q$92:Q$111)*AH$2</f>
        <v>0</v>
      </c>
      <c r="AI36" s="88">
        <f>SUMIF(月間集計シート!$M$92:$M$111,$G36,月間集計シート!R$92:R$111)*AI$2</f>
        <v>0</v>
      </c>
      <c r="AJ36" s="88">
        <f>SUMIF(月間集計シート!$M$92:$M$111,$G36,月間集計シート!S$92:S$111)*AJ$2</f>
        <v>0</v>
      </c>
      <c r="AK36" s="88">
        <f>SUMIF(月間集計シート!$M$92:$M$111,$G36,月間集計シート!T$92:T$111)*AK$2</f>
        <v>0</v>
      </c>
      <c r="AL36" s="88">
        <f>SUMIF(月間集計シート!$M$113:$M$132,$G36,月間集計シート!N$113:N$132)*AL$2</f>
        <v>0</v>
      </c>
      <c r="AM36" s="88">
        <f>SUMIF(月間集計シート!$M$113:$M$132,$G36,月間集計シート!O$113:O$132)*AM$2</f>
        <v>0</v>
      </c>
      <c r="AN36" s="88">
        <f>SUMIF(月間集計シート!$M$113:$M$132,$G36,月間集計シート!P$113:P$132)*AN$2</f>
        <v>0</v>
      </c>
      <c r="AO36" s="88">
        <f>SUMIF(月間集計シート!$M$113:$M$132,$G36,月間集計シート!Q$113:Q$132)*AO$2</f>
        <v>0</v>
      </c>
      <c r="AP36" s="88">
        <f>SUMIF(月間集計シート!$M$113:$M$132,$G36,月間集計シート!R$113:R$132)*AP$2</f>
        <v>0</v>
      </c>
      <c r="AQ36" s="88">
        <f>SUMIF(月間集計シート!$M$113:$M$132,$G36,月間集計シート!S$113:S$132)*AQ$2</f>
        <v>0</v>
      </c>
      <c r="AR36" s="88">
        <f>SUMIF(月間集計シート!$M$113:$M$132,$G36,月間集計シート!T$113:T$132)*AR$2</f>
        <v>0</v>
      </c>
      <c r="AS36" s="88">
        <f>SUMIF(月間集計シート!$M$134:$M$153,$G36,月間集計シート!N$134:N$153)*AS$2</f>
        <v>0</v>
      </c>
      <c r="AT36" s="88">
        <f>SUMIF(月間集計シート!$M$134:$M$153,$G36,月間集計シート!O$134:O$153)*AT$2</f>
        <v>0</v>
      </c>
      <c r="AU36" s="88">
        <f>SUMIF(月間集計シート!$M$134:$M$153,$G36,月間集計シート!P$134:P$153)*AU$2</f>
        <v>0</v>
      </c>
      <c r="AV36" s="88">
        <f>SUMIF(月間集計シート!$M$134:$M$153,$G36,月間集計シート!Q$134:Q$153)*AV$2</f>
        <v>0</v>
      </c>
      <c r="AW36" s="88">
        <f>SUMIF(月間集計シート!$M$134:$M$153,$G36,月間集計シート!R$134:R$153)*AW$2</f>
        <v>0</v>
      </c>
      <c r="AX36" s="88">
        <f>SUMIF(月間集計シート!$M$134:$M$153,$G36,月間集計シート!S$134:S$153)*AX$2</f>
        <v>0</v>
      </c>
      <c r="AY36" s="88">
        <f>SUMIF(月間集計シート!$M$134:$M$153,$G36,月間集計シート!T$134:T$153)*AY$2</f>
        <v>0</v>
      </c>
    </row>
    <row r="37" spans="1:51" ht="14.25" thickBot="1">
      <c r="A37">
        <v>1</v>
      </c>
      <c r="B37" s="120">
        <f t="shared" si="5"/>
        <v>999909</v>
      </c>
      <c r="C37" s="120" t="e">
        <f t="shared" si="6"/>
        <v>#N/A</v>
      </c>
      <c r="D37" s="137"/>
      <c r="E37" s="150" t="str">
        <f>工種!A29</f>
        <v>40107</v>
      </c>
      <c r="F37" s="119" t="str">
        <f>工種!B29</f>
        <v>テスト：評価報告書作成</v>
      </c>
      <c r="G37" s="116" t="str">
        <f t="shared" si="7"/>
        <v>99990940107</v>
      </c>
      <c r="H37" s="88">
        <f t="shared" si="4"/>
        <v>0</v>
      </c>
      <c r="I37" s="132"/>
      <c r="J37" s="88">
        <f>SUMIF(月間集計シート!$M$29:$M$48,$G37,月間集計シート!N$29:N$48)*J$2</f>
        <v>0</v>
      </c>
      <c r="K37" s="88">
        <f>SUMIF(月間集計シート!$M$29:$M$48,$G37,月間集計シート!O$29:O$48)*K$2</f>
        <v>0</v>
      </c>
      <c r="L37" s="88">
        <f>SUMIF(月間集計シート!$M$29:$M$48,$G37,月間集計シート!P$29:P$48)*L$2</f>
        <v>0</v>
      </c>
      <c r="M37" s="88">
        <f>SUMIF(月間集計シート!$M$29:$M$48,$G37,月間集計シート!Q$29:Q$48)*M$2</f>
        <v>0</v>
      </c>
      <c r="N37" s="88">
        <f>SUMIF(月間集計シート!$M$29:$M$48,$G37,月間集計シート!R$29:R$48)*N$2</f>
        <v>0</v>
      </c>
      <c r="O37" s="88">
        <f>SUMIF(月間集計シート!$M$29:$M$48,$G37,月間集計シート!S$29:S$48)*O$2</f>
        <v>0</v>
      </c>
      <c r="P37" s="88">
        <f>SUMIF(月間集計シート!$M$29:$M$48,$G37,月間集計シート!T$29:T$48)*P$2</f>
        <v>0</v>
      </c>
      <c r="Q37" s="88">
        <f>SUMIF(月間集計シート!$M$50:$M$69,$G37,月間集計シート!N$50:N$69)*Q$2</f>
        <v>0</v>
      </c>
      <c r="R37" s="88">
        <f>SUMIF(月間集計シート!$M$50:$M$69,$G37,月間集計シート!O$50:O$69)*R$2</f>
        <v>0</v>
      </c>
      <c r="S37" s="88">
        <f>SUMIF(月間集計シート!$M$50:$M$69,$G37,月間集計シート!P$50:P$69)*S$2</f>
        <v>0</v>
      </c>
      <c r="T37" s="88">
        <f>SUMIF(月間集計シート!$M$50:$M$69,$G37,月間集計シート!Q$50:Q$69)*T$2</f>
        <v>0</v>
      </c>
      <c r="U37" s="88">
        <f>SUMIF(月間集計シート!$M$50:$M$69,$G37,月間集計シート!R$50:R$69)*U$2</f>
        <v>0</v>
      </c>
      <c r="V37" s="88">
        <f>SUMIF(月間集計シート!$M$50:$M$69,$G37,月間集計シート!S$50:S$69)*V$2</f>
        <v>0</v>
      </c>
      <c r="W37" s="88">
        <f>SUMIF(月間集計シート!$M$50:$M$69,$G37,月間集計シート!T$50:T$69)*W$2</f>
        <v>0</v>
      </c>
      <c r="X37" s="88">
        <f>SUMIF(月間集計シート!$M$71:$M$90,$G37,月間集計シート!N$71:N$90)*X$2</f>
        <v>0</v>
      </c>
      <c r="Y37" s="88">
        <f>SUMIF(月間集計シート!$M$71:$M$90,$G37,月間集計シート!O$71:O$90)*Y$2</f>
        <v>0</v>
      </c>
      <c r="Z37" s="88">
        <f>SUMIF(月間集計シート!$M$71:$M$90,$G37,月間集計シート!P$71:P$90)*Z$2</f>
        <v>0</v>
      </c>
      <c r="AA37" s="88">
        <f>SUMIF(月間集計シート!$M$71:$M$90,$G37,月間集計シート!Q$71:Q$90)*AA$2</f>
        <v>0</v>
      </c>
      <c r="AB37" s="88">
        <f>SUMIF(月間集計シート!$M$71:$M$90,$G37,月間集計シート!R$71:R$90)*AB$2</f>
        <v>0</v>
      </c>
      <c r="AC37" s="88">
        <f>SUMIF(月間集計シート!$M$71:$M$90,$G37,月間集計シート!S$71:S$90)*AC$2</f>
        <v>0</v>
      </c>
      <c r="AD37" s="88">
        <f>SUMIF(月間集計シート!$M$71:$M$90,$G37,月間集計シート!T$71:T$90)*AD$2</f>
        <v>0</v>
      </c>
      <c r="AE37" s="88">
        <f>SUMIF(月間集計シート!$M$92:$M$111,$G37,月間集計シート!N$92:N$111)*AE$2</f>
        <v>0</v>
      </c>
      <c r="AF37" s="88">
        <f>SUMIF(月間集計シート!$M$92:$M$111,$G37,月間集計シート!O$92:O$111)*AF$2</f>
        <v>0</v>
      </c>
      <c r="AG37" s="88">
        <f>SUMIF(月間集計シート!$M$92:$M$111,$G37,月間集計シート!P$92:P$111)*AG$2</f>
        <v>0</v>
      </c>
      <c r="AH37" s="88">
        <f>SUMIF(月間集計シート!$M$92:$M$111,$G37,月間集計シート!Q$92:Q$111)*AH$2</f>
        <v>0</v>
      </c>
      <c r="AI37" s="88">
        <f>SUMIF(月間集計シート!$M$92:$M$111,$G37,月間集計シート!R$92:R$111)*AI$2</f>
        <v>0</v>
      </c>
      <c r="AJ37" s="88">
        <f>SUMIF(月間集計シート!$M$92:$M$111,$G37,月間集計シート!S$92:S$111)*AJ$2</f>
        <v>0</v>
      </c>
      <c r="AK37" s="88">
        <f>SUMIF(月間集計シート!$M$92:$M$111,$G37,月間集計シート!T$92:T$111)*AK$2</f>
        <v>0</v>
      </c>
      <c r="AL37" s="88">
        <f>SUMIF(月間集計シート!$M$113:$M$132,$G37,月間集計シート!N$113:N$132)*AL$2</f>
        <v>0</v>
      </c>
      <c r="AM37" s="88">
        <f>SUMIF(月間集計シート!$M$113:$M$132,$G37,月間集計シート!O$113:O$132)*AM$2</f>
        <v>0</v>
      </c>
      <c r="AN37" s="88">
        <f>SUMIF(月間集計シート!$M$113:$M$132,$G37,月間集計シート!P$113:P$132)*AN$2</f>
        <v>0</v>
      </c>
      <c r="AO37" s="88">
        <f>SUMIF(月間集計シート!$M$113:$M$132,$G37,月間集計シート!Q$113:Q$132)*AO$2</f>
        <v>0</v>
      </c>
      <c r="AP37" s="88">
        <f>SUMIF(月間集計シート!$M$113:$M$132,$G37,月間集計シート!R$113:R$132)*AP$2</f>
        <v>0</v>
      </c>
      <c r="AQ37" s="88">
        <f>SUMIF(月間集計シート!$M$113:$M$132,$G37,月間集計シート!S$113:S$132)*AQ$2</f>
        <v>0</v>
      </c>
      <c r="AR37" s="88">
        <f>SUMIF(月間集計シート!$M$113:$M$132,$G37,月間集計シート!T$113:T$132)*AR$2</f>
        <v>0</v>
      </c>
      <c r="AS37" s="88">
        <f>SUMIF(月間集計シート!$M$134:$M$153,$G37,月間集計シート!N$134:N$153)*AS$2</f>
        <v>0</v>
      </c>
      <c r="AT37" s="88">
        <f>SUMIF(月間集計シート!$M$134:$M$153,$G37,月間集計シート!O$134:O$153)*AT$2</f>
        <v>0</v>
      </c>
      <c r="AU37" s="88">
        <f>SUMIF(月間集計シート!$M$134:$M$153,$G37,月間集計シート!P$134:P$153)*AU$2</f>
        <v>0</v>
      </c>
      <c r="AV37" s="88">
        <f>SUMIF(月間集計シート!$M$134:$M$153,$G37,月間集計シート!Q$134:Q$153)*AV$2</f>
        <v>0</v>
      </c>
      <c r="AW37" s="88">
        <f>SUMIF(月間集計シート!$M$134:$M$153,$G37,月間集計シート!R$134:R$153)*AW$2</f>
        <v>0</v>
      </c>
      <c r="AX37" s="88">
        <f>SUMIF(月間集計シート!$M$134:$M$153,$G37,月間集計シート!S$134:S$153)*AX$2</f>
        <v>0</v>
      </c>
      <c r="AY37" s="88">
        <f>SUMIF(月間集計シート!$M$134:$M$153,$G37,月間集計シート!T$134:T$153)*AY$2</f>
        <v>0</v>
      </c>
    </row>
    <row r="38" spans="1:51" ht="14.25" thickBot="1">
      <c r="A38">
        <v>1</v>
      </c>
      <c r="B38" s="120">
        <f t="shared" si="5"/>
        <v>999909</v>
      </c>
      <c r="C38" s="120" t="e">
        <f t="shared" si="6"/>
        <v>#N/A</v>
      </c>
      <c r="D38" s="137"/>
      <c r="E38" s="150" t="str">
        <f>工種!A30</f>
        <v>40108</v>
      </c>
      <c r="F38" s="119" t="str">
        <f>工種!B30</f>
        <v>テスト：総合評価実施</v>
      </c>
      <c r="G38" s="116" t="str">
        <f t="shared" si="7"/>
        <v>99990940108</v>
      </c>
      <c r="H38" s="88">
        <f t="shared" si="4"/>
        <v>0</v>
      </c>
      <c r="I38" s="132"/>
      <c r="J38" s="88">
        <f>SUMIF(月間集計シート!$M$29:$M$48,$G38,月間集計シート!N$29:N$48)*J$2</f>
        <v>0</v>
      </c>
      <c r="K38" s="88">
        <f>SUMIF(月間集計シート!$M$29:$M$48,$G38,月間集計シート!O$29:O$48)*K$2</f>
        <v>0</v>
      </c>
      <c r="L38" s="88">
        <f>SUMIF(月間集計シート!$M$29:$M$48,$G38,月間集計シート!P$29:P$48)*L$2</f>
        <v>0</v>
      </c>
      <c r="M38" s="88">
        <f>SUMIF(月間集計シート!$M$29:$M$48,$G38,月間集計シート!Q$29:Q$48)*M$2</f>
        <v>0</v>
      </c>
      <c r="N38" s="88">
        <f>SUMIF(月間集計シート!$M$29:$M$48,$G38,月間集計シート!R$29:R$48)*N$2</f>
        <v>0</v>
      </c>
      <c r="O38" s="88">
        <f>SUMIF(月間集計シート!$M$29:$M$48,$G38,月間集計シート!S$29:S$48)*O$2</f>
        <v>0</v>
      </c>
      <c r="P38" s="88">
        <f>SUMIF(月間集計シート!$M$29:$M$48,$G38,月間集計シート!T$29:T$48)*P$2</f>
        <v>0</v>
      </c>
      <c r="Q38" s="88">
        <f>SUMIF(月間集計シート!$M$50:$M$69,$G38,月間集計シート!N$50:N$69)*Q$2</f>
        <v>0</v>
      </c>
      <c r="R38" s="88">
        <f>SUMIF(月間集計シート!$M$50:$M$69,$G38,月間集計シート!O$50:O$69)*R$2</f>
        <v>0</v>
      </c>
      <c r="S38" s="88">
        <f>SUMIF(月間集計シート!$M$50:$M$69,$G38,月間集計シート!P$50:P$69)*S$2</f>
        <v>0</v>
      </c>
      <c r="T38" s="88">
        <f>SUMIF(月間集計シート!$M$50:$M$69,$G38,月間集計シート!Q$50:Q$69)*T$2</f>
        <v>0</v>
      </c>
      <c r="U38" s="88">
        <f>SUMIF(月間集計シート!$M$50:$M$69,$G38,月間集計シート!R$50:R$69)*U$2</f>
        <v>0</v>
      </c>
      <c r="V38" s="88">
        <f>SUMIF(月間集計シート!$M$50:$M$69,$G38,月間集計シート!S$50:S$69)*V$2</f>
        <v>0</v>
      </c>
      <c r="W38" s="88">
        <f>SUMIF(月間集計シート!$M$50:$M$69,$G38,月間集計シート!T$50:T$69)*W$2</f>
        <v>0</v>
      </c>
      <c r="X38" s="88">
        <f>SUMIF(月間集計シート!$M$71:$M$90,$G38,月間集計シート!N$71:N$90)*X$2</f>
        <v>0</v>
      </c>
      <c r="Y38" s="88">
        <f>SUMIF(月間集計シート!$M$71:$M$90,$G38,月間集計シート!O$71:O$90)*Y$2</f>
        <v>0</v>
      </c>
      <c r="Z38" s="88">
        <f>SUMIF(月間集計シート!$M$71:$M$90,$G38,月間集計シート!P$71:P$90)*Z$2</f>
        <v>0</v>
      </c>
      <c r="AA38" s="88">
        <f>SUMIF(月間集計シート!$M$71:$M$90,$G38,月間集計シート!Q$71:Q$90)*AA$2</f>
        <v>0</v>
      </c>
      <c r="AB38" s="88">
        <f>SUMIF(月間集計シート!$M$71:$M$90,$G38,月間集計シート!R$71:R$90)*AB$2</f>
        <v>0</v>
      </c>
      <c r="AC38" s="88">
        <f>SUMIF(月間集計シート!$M$71:$M$90,$G38,月間集計シート!S$71:S$90)*AC$2</f>
        <v>0</v>
      </c>
      <c r="AD38" s="88">
        <f>SUMIF(月間集計シート!$M$71:$M$90,$G38,月間集計シート!T$71:T$90)*AD$2</f>
        <v>0</v>
      </c>
      <c r="AE38" s="88">
        <f>SUMIF(月間集計シート!$M$92:$M$111,$G38,月間集計シート!N$92:N$111)*AE$2</f>
        <v>0</v>
      </c>
      <c r="AF38" s="88">
        <f>SUMIF(月間集計シート!$M$92:$M$111,$G38,月間集計シート!O$92:O$111)*AF$2</f>
        <v>0</v>
      </c>
      <c r="AG38" s="88">
        <f>SUMIF(月間集計シート!$M$92:$M$111,$G38,月間集計シート!P$92:P$111)*AG$2</f>
        <v>0</v>
      </c>
      <c r="AH38" s="88">
        <f>SUMIF(月間集計シート!$M$92:$M$111,$G38,月間集計シート!Q$92:Q$111)*AH$2</f>
        <v>0</v>
      </c>
      <c r="AI38" s="88">
        <f>SUMIF(月間集計シート!$M$92:$M$111,$G38,月間集計シート!R$92:R$111)*AI$2</f>
        <v>0</v>
      </c>
      <c r="AJ38" s="88">
        <f>SUMIF(月間集計シート!$M$92:$M$111,$G38,月間集計シート!S$92:S$111)*AJ$2</f>
        <v>0</v>
      </c>
      <c r="AK38" s="88">
        <f>SUMIF(月間集計シート!$M$92:$M$111,$G38,月間集計シート!T$92:T$111)*AK$2</f>
        <v>0</v>
      </c>
      <c r="AL38" s="88">
        <f>SUMIF(月間集計シート!$M$113:$M$132,$G38,月間集計シート!N$113:N$132)*AL$2</f>
        <v>0</v>
      </c>
      <c r="AM38" s="88">
        <f>SUMIF(月間集計シート!$M$113:$M$132,$G38,月間集計シート!O$113:O$132)*AM$2</f>
        <v>0</v>
      </c>
      <c r="AN38" s="88">
        <f>SUMIF(月間集計シート!$M$113:$M$132,$G38,月間集計シート!P$113:P$132)*AN$2</f>
        <v>0</v>
      </c>
      <c r="AO38" s="88">
        <f>SUMIF(月間集計シート!$M$113:$M$132,$G38,月間集計シート!Q$113:Q$132)*AO$2</f>
        <v>0</v>
      </c>
      <c r="AP38" s="88">
        <f>SUMIF(月間集計シート!$M$113:$M$132,$G38,月間集計シート!R$113:R$132)*AP$2</f>
        <v>0</v>
      </c>
      <c r="AQ38" s="88">
        <f>SUMIF(月間集計シート!$M$113:$M$132,$G38,月間集計シート!S$113:S$132)*AQ$2</f>
        <v>0</v>
      </c>
      <c r="AR38" s="88">
        <f>SUMIF(月間集計シート!$M$113:$M$132,$G38,月間集計シート!T$113:T$132)*AR$2</f>
        <v>0</v>
      </c>
      <c r="AS38" s="88">
        <f>SUMIF(月間集計シート!$M$134:$M$153,$G38,月間集計シート!N$134:N$153)*AS$2</f>
        <v>0</v>
      </c>
      <c r="AT38" s="88">
        <f>SUMIF(月間集計シート!$M$134:$M$153,$G38,月間集計シート!O$134:O$153)*AT$2</f>
        <v>0</v>
      </c>
      <c r="AU38" s="88">
        <f>SUMIF(月間集計シート!$M$134:$M$153,$G38,月間集計シート!P$134:P$153)*AU$2</f>
        <v>0</v>
      </c>
      <c r="AV38" s="88">
        <f>SUMIF(月間集計シート!$M$134:$M$153,$G38,月間集計シート!Q$134:Q$153)*AV$2</f>
        <v>0</v>
      </c>
      <c r="AW38" s="88">
        <f>SUMIF(月間集計シート!$M$134:$M$153,$G38,月間集計シート!R$134:R$153)*AW$2</f>
        <v>0</v>
      </c>
      <c r="AX38" s="88">
        <f>SUMIF(月間集計シート!$M$134:$M$153,$G38,月間集計シート!S$134:S$153)*AX$2</f>
        <v>0</v>
      </c>
      <c r="AY38" s="88">
        <f>SUMIF(月間集計シート!$M$134:$M$153,$G38,月間集計シート!T$134:T$153)*AY$2</f>
        <v>0</v>
      </c>
    </row>
    <row r="39" spans="1:51" ht="14.25" thickBot="1">
      <c r="A39">
        <v>1</v>
      </c>
      <c r="B39" s="120">
        <f t="shared" si="5"/>
        <v>999909</v>
      </c>
      <c r="C39" s="120" t="e">
        <f t="shared" si="6"/>
        <v>#N/A</v>
      </c>
      <c r="D39" s="137"/>
      <c r="E39" s="150" t="str">
        <f>工種!A31</f>
        <v>40109</v>
      </c>
      <c r="F39" s="119" t="str">
        <f>工種!B31</f>
        <v>テスト：打合せ</v>
      </c>
      <c r="G39" s="116" t="str">
        <f t="shared" si="7"/>
        <v>99990940109</v>
      </c>
      <c r="H39" s="88">
        <f t="shared" si="4"/>
        <v>0</v>
      </c>
      <c r="I39" s="132"/>
      <c r="J39" s="88">
        <f>SUMIF(月間集計シート!$M$29:$M$48,$G39,月間集計シート!N$29:N$48)*J$2</f>
        <v>0</v>
      </c>
      <c r="K39" s="88">
        <f>SUMIF(月間集計シート!$M$29:$M$48,$G39,月間集計シート!O$29:O$48)*K$2</f>
        <v>0</v>
      </c>
      <c r="L39" s="88">
        <f>SUMIF(月間集計シート!$M$29:$M$48,$G39,月間集計シート!P$29:P$48)*L$2</f>
        <v>0</v>
      </c>
      <c r="M39" s="88">
        <f>SUMIF(月間集計シート!$M$29:$M$48,$G39,月間集計シート!Q$29:Q$48)*M$2</f>
        <v>0</v>
      </c>
      <c r="N39" s="88">
        <f>SUMIF(月間集計シート!$M$29:$M$48,$G39,月間集計シート!R$29:R$48)*N$2</f>
        <v>0</v>
      </c>
      <c r="O39" s="88">
        <f>SUMIF(月間集計シート!$M$29:$M$48,$G39,月間集計シート!S$29:S$48)*O$2</f>
        <v>0</v>
      </c>
      <c r="P39" s="88">
        <f>SUMIF(月間集計シート!$M$29:$M$48,$G39,月間集計シート!T$29:T$48)*P$2</f>
        <v>0</v>
      </c>
      <c r="Q39" s="88">
        <f>SUMIF(月間集計シート!$M$50:$M$69,$G39,月間集計シート!N$50:N$69)*Q$2</f>
        <v>0</v>
      </c>
      <c r="R39" s="88">
        <f>SUMIF(月間集計シート!$M$50:$M$69,$G39,月間集計シート!O$50:O$69)*R$2</f>
        <v>0</v>
      </c>
      <c r="S39" s="88">
        <f>SUMIF(月間集計シート!$M$50:$M$69,$G39,月間集計シート!P$50:P$69)*S$2</f>
        <v>0</v>
      </c>
      <c r="T39" s="88">
        <f>SUMIF(月間集計シート!$M$50:$M$69,$G39,月間集計シート!Q$50:Q$69)*T$2</f>
        <v>0</v>
      </c>
      <c r="U39" s="88">
        <f>SUMIF(月間集計シート!$M$50:$M$69,$G39,月間集計シート!R$50:R$69)*U$2</f>
        <v>0</v>
      </c>
      <c r="V39" s="88">
        <f>SUMIF(月間集計シート!$M$50:$M$69,$G39,月間集計シート!S$50:S$69)*V$2</f>
        <v>0</v>
      </c>
      <c r="W39" s="88">
        <f>SUMIF(月間集計シート!$M$50:$M$69,$G39,月間集計シート!T$50:T$69)*W$2</f>
        <v>0</v>
      </c>
      <c r="X39" s="88">
        <f>SUMIF(月間集計シート!$M$71:$M$90,$G39,月間集計シート!N$71:N$90)*X$2</f>
        <v>0</v>
      </c>
      <c r="Y39" s="88">
        <f>SUMIF(月間集計シート!$M$71:$M$90,$G39,月間集計シート!O$71:O$90)*Y$2</f>
        <v>0</v>
      </c>
      <c r="Z39" s="88">
        <f>SUMIF(月間集計シート!$M$71:$M$90,$G39,月間集計シート!P$71:P$90)*Z$2</f>
        <v>0</v>
      </c>
      <c r="AA39" s="88">
        <f>SUMIF(月間集計シート!$M$71:$M$90,$G39,月間集計シート!Q$71:Q$90)*AA$2</f>
        <v>0</v>
      </c>
      <c r="AB39" s="88">
        <f>SUMIF(月間集計シート!$M$71:$M$90,$G39,月間集計シート!R$71:R$90)*AB$2</f>
        <v>0</v>
      </c>
      <c r="AC39" s="88">
        <f>SUMIF(月間集計シート!$M$71:$M$90,$G39,月間集計シート!S$71:S$90)*AC$2</f>
        <v>0</v>
      </c>
      <c r="AD39" s="88">
        <f>SUMIF(月間集計シート!$M$71:$M$90,$G39,月間集計シート!T$71:T$90)*AD$2</f>
        <v>0</v>
      </c>
      <c r="AE39" s="88">
        <f>SUMIF(月間集計シート!$M$92:$M$111,$G39,月間集計シート!N$92:N$111)*AE$2</f>
        <v>0</v>
      </c>
      <c r="AF39" s="88">
        <f>SUMIF(月間集計シート!$M$92:$M$111,$G39,月間集計シート!O$92:O$111)*AF$2</f>
        <v>0</v>
      </c>
      <c r="AG39" s="88">
        <f>SUMIF(月間集計シート!$M$92:$M$111,$G39,月間集計シート!P$92:P$111)*AG$2</f>
        <v>0</v>
      </c>
      <c r="AH39" s="88">
        <f>SUMIF(月間集計シート!$M$92:$M$111,$G39,月間集計シート!Q$92:Q$111)*AH$2</f>
        <v>0</v>
      </c>
      <c r="AI39" s="88">
        <f>SUMIF(月間集計シート!$M$92:$M$111,$G39,月間集計シート!R$92:R$111)*AI$2</f>
        <v>0</v>
      </c>
      <c r="AJ39" s="88">
        <f>SUMIF(月間集計シート!$M$92:$M$111,$G39,月間集計シート!S$92:S$111)*AJ$2</f>
        <v>0</v>
      </c>
      <c r="AK39" s="88">
        <f>SUMIF(月間集計シート!$M$92:$M$111,$G39,月間集計シート!T$92:T$111)*AK$2</f>
        <v>0</v>
      </c>
      <c r="AL39" s="88">
        <f>SUMIF(月間集計シート!$M$113:$M$132,$G39,月間集計シート!N$113:N$132)*AL$2</f>
        <v>0</v>
      </c>
      <c r="AM39" s="88">
        <f>SUMIF(月間集計シート!$M$113:$M$132,$G39,月間集計シート!O$113:O$132)*AM$2</f>
        <v>0</v>
      </c>
      <c r="AN39" s="88">
        <f>SUMIF(月間集計シート!$M$113:$M$132,$G39,月間集計シート!P$113:P$132)*AN$2</f>
        <v>0</v>
      </c>
      <c r="AO39" s="88">
        <f>SUMIF(月間集計シート!$M$113:$M$132,$G39,月間集計シート!Q$113:Q$132)*AO$2</f>
        <v>0</v>
      </c>
      <c r="AP39" s="88">
        <f>SUMIF(月間集計シート!$M$113:$M$132,$G39,月間集計シート!R$113:R$132)*AP$2</f>
        <v>0</v>
      </c>
      <c r="AQ39" s="88">
        <f>SUMIF(月間集計シート!$M$113:$M$132,$G39,月間集計シート!S$113:S$132)*AQ$2</f>
        <v>0</v>
      </c>
      <c r="AR39" s="88">
        <f>SUMIF(月間集計シート!$M$113:$M$132,$G39,月間集計シート!T$113:T$132)*AR$2</f>
        <v>0</v>
      </c>
      <c r="AS39" s="88">
        <f>SUMIF(月間集計シート!$M$134:$M$153,$G39,月間集計シート!N$134:N$153)*AS$2</f>
        <v>0</v>
      </c>
      <c r="AT39" s="88">
        <f>SUMIF(月間集計シート!$M$134:$M$153,$G39,月間集計シート!O$134:O$153)*AT$2</f>
        <v>0</v>
      </c>
      <c r="AU39" s="88">
        <f>SUMIF(月間集計シート!$M$134:$M$153,$G39,月間集計シート!P$134:P$153)*AU$2</f>
        <v>0</v>
      </c>
      <c r="AV39" s="88">
        <f>SUMIF(月間集計シート!$M$134:$M$153,$G39,月間集計シート!Q$134:Q$153)*AV$2</f>
        <v>0</v>
      </c>
      <c r="AW39" s="88">
        <f>SUMIF(月間集計シート!$M$134:$M$153,$G39,月間集計シート!R$134:R$153)*AW$2</f>
        <v>0</v>
      </c>
      <c r="AX39" s="88">
        <f>SUMIF(月間集計シート!$M$134:$M$153,$G39,月間集計シート!S$134:S$153)*AX$2</f>
        <v>0</v>
      </c>
      <c r="AY39" s="88">
        <f>SUMIF(月間集計シート!$M$134:$M$153,$G39,月間集計シート!T$134:T$153)*AY$2</f>
        <v>0</v>
      </c>
    </row>
    <row r="40" spans="1:51" ht="14.25" thickBot="1">
      <c r="A40">
        <v>1</v>
      </c>
      <c r="B40" s="120">
        <f t="shared" si="5"/>
        <v>999909</v>
      </c>
      <c r="C40" s="120" t="e">
        <f t="shared" si="6"/>
        <v>#N/A</v>
      </c>
      <c r="D40" s="137"/>
      <c r="E40" s="150" t="str">
        <f>工種!A32</f>
        <v>40110</v>
      </c>
      <c r="F40" s="119" t="str">
        <f>工種!B32</f>
        <v>テスト：レビュー</v>
      </c>
      <c r="G40" s="116" t="str">
        <f t="shared" si="7"/>
        <v>99990940110</v>
      </c>
      <c r="H40" s="88">
        <f t="shared" si="4"/>
        <v>0</v>
      </c>
      <c r="I40" s="132"/>
      <c r="J40" s="88">
        <f>SUMIF(月間集計シート!$M$29:$M$48,$G40,月間集計シート!N$29:N$48)*J$2</f>
        <v>0</v>
      </c>
      <c r="K40" s="88">
        <f>SUMIF(月間集計シート!$M$29:$M$48,$G40,月間集計シート!O$29:O$48)*K$2</f>
        <v>0</v>
      </c>
      <c r="L40" s="88">
        <f>SUMIF(月間集計シート!$M$29:$M$48,$G40,月間集計シート!P$29:P$48)*L$2</f>
        <v>0</v>
      </c>
      <c r="M40" s="88">
        <f>SUMIF(月間集計シート!$M$29:$M$48,$G40,月間集計シート!Q$29:Q$48)*M$2</f>
        <v>0</v>
      </c>
      <c r="N40" s="88">
        <f>SUMIF(月間集計シート!$M$29:$M$48,$G40,月間集計シート!R$29:R$48)*N$2</f>
        <v>0</v>
      </c>
      <c r="O40" s="88">
        <f>SUMIF(月間集計シート!$M$29:$M$48,$G40,月間集計シート!S$29:S$48)*O$2</f>
        <v>0</v>
      </c>
      <c r="P40" s="88">
        <f>SUMIF(月間集計シート!$M$29:$M$48,$G40,月間集計シート!T$29:T$48)*P$2</f>
        <v>0</v>
      </c>
      <c r="Q40" s="88">
        <f>SUMIF(月間集計シート!$M$50:$M$69,$G40,月間集計シート!N$50:N$69)*Q$2</f>
        <v>0</v>
      </c>
      <c r="R40" s="88">
        <f>SUMIF(月間集計シート!$M$50:$M$69,$G40,月間集計シート!O$50:O$69)*R$2</f>
        <v>0</v>
      </c>
      <c r="S40" s="88">
        <f>SUMIF(月間集計シート!$M$50:$M$69,$G40,月間集計シート!P$50:P$69)*S$2</f>
        <v>0</v>
      </c>
      <c r="T40" s="88">
        <f>SUMIF(月間集計シート!$M$50:$M$69,$G40,月間集計シート!Q$50:Q$69)*T$2</f>
        <v>0</v>
      </c>
      <c r="U40" s="88">
        <f>SUMIF(月間集計シート!$M$50:$M$69,$G40,月間集計シート!R$50:R$69)*U$2</f>
        <v>0</v>
      </c>
      <c r="V40" s="88">
        <f>SUMIF(月間集計シート!$M$50:$M$69,$G40,月間集計シート!S$50:S$69)*V$2</f>
        <v>0</v>
      </c>
      <c r="W40" s="88">
        <f>SUMIF(月間集計シート!$M$50:$M$69,$G40,月間集計シート!T$50:T$69)*W$2</f>
        <v>0</v>
      </c>
      <c r="X40" s="88">
        <f>SUMIF(月間集計シート!$M$71:$M$90,$G40,月間集計シート!N$71:N$90)*X$2</f>
        <v>0</v>
      </c>
      <c r="Y40" s="88">
        <f>SUMIF(月間集計シート!$M$71:$M$90,$G40,月間集計シート!O$71:O$90)*Y$2</f>
        <v>0</v>
      </c>
      <c r="Z40" s="88">
        <f>SUMIF(月間集計シート!$M$71:$M$90,$G40,月間集計シート!P$71:P$90)*Z$2</f>
        <v>0</v>
      </c>
      <c r="AA40" s="88">
        <f>SUMIF(月間集計シート!$M$71:$M$90,$G40,月間集計シート!Q$71:Q$90)*AA$2</f>
        <v>0</v>
      </c>
      <c r="AB40" s="88">
        <f>SUMIF(月間集計シート!$M$71:$M$90,$G40,月間集計シート!R$71:R$90)*AB$2</f>
        <v>0</v>
      </c>
      <c r="AC40" s="88">
        <f>SUMIF(月間集計シート!$M$71:$M$90,$G40,月間集計シート!S$71:S$90)*AC$2</f>
        <v>0</v>
      </c>
      <c r="AD40" s="88">
        <f>SUMIF(月間集計シート!$M$71:$M$90,$G40,月間集計シート!T$71:T$90)*AD$2</f>
        <v>0</v>
      </c>
      <c r="AE40" s="88">
        <f>SUMIF(月間集計シート!$M$92:$M$111,$G40,月間集計シート!N$92:N$111)*AE$2</f>
        <v>0</v>
      </c>
      <c r="AF40" s="88">
        <f>SUMIF(月間集計シート!$M$92:$M$111,$G40,月間集計シート!O$92:O$111)*AF$2</f>
        <v>0</v>
      </c>
      <c r="AG40" s="88">
        <f>SUMIF(月間集計シート!$M$92:$M$111,$G40,月間集計シート!P$92:P$111)*AG$2</f>
        <v>0</v>
      </c>
      <c r="AH40" s="88">
        <f>SUMIF(月間集計シート!$M$92:$M$111,$G40,月間集計シート!Q$92:Q$111)*AH$2</f>
        <v>0</v>
      </c>
      <c r="AI40" s="88">
        <f>SUMIF(月間集計シート!$M$92:$M$111,$G40,月間集計シート!R$92:R$111)*AI$2</f>
        <v>0</v>
      </c>
      <c r="AJ40" s="88">
        <f>SUMIF(月間集計シート!$M$92:$M$111,$G40,月間集計シート!S$92:S$111)*AJ$2</f>
        <v>0</v>
      </c>
      <c r="AK40" s="88">
        <f>SUMIF(月間集計シート!$M$92:$M$111,$G40,月間集計シート!T$92:T$111)*AK$2</f>
        <v>0</v>
      </c>
      <c r="AL40" s="88">
        <f>SUMIF(月間集計シート!$M$113:$M$132,$G40,月間集計シート!N$113:N$132)*AL$2</f>
        <v>0</v>
      </c>
      <c r="AM40" s="88">
        <f>SUMIF(月間集計シート!$M$113:$M$132,$G40,月間集計シート!O$113:O$132)*AM$2</f>
        <v>0</v>
      </c>
      <c r="AN40" s="88">
        <f>SUMIF(月間集計シート!$M$113:$M$132,$G40,月間集計シート!P$113:P$132)*AN$2</f>
        <v>0</v>
      </c>
      <c r="AO40" s="88">
        <f>SUMIF(月間集計シート!$M$113:$M$132,$G40,月間集計シート!Q$113:Q$132)*AO$2</f>
        <v>0</v>
      </c>
      <c r="AP40" s="88">
        <f>SUMIF(月間集計シート!$M$113:$M$132,$G40,月間集計シート!R$113:R$132)*AP$2</f>
        <v>0</v>
      </c>
      <c r="AQ40" s="88">
        <f>SUMIF(月間集計シート!$M$113:$M$132,$G40,月間集計シート!S$113:S$132)*AQ$2</f>
        <v>0</v>
      </c>
      <c r="AR40" s="88">
        <f>SUMIF(月間集計シート!$M$113:$M$132,$G40,月間集計シート!T$113:T$132)*AR$2</f>
        <v>0</v>
      </c>
      <c r="AS40" s="88">
        <f>SUMIF(月間集計シート!$M$134:$M$153,$G40,月間集計シート!N$134:N$153)*AS$2</f>
        <v>0</v>
      </c>
      <c r="AT40" s="88">
        <f>SUMIF(月間集計シート!$M$134:$M$153,$G40,月間集計シート!O$134:O$153)*AT$2</f>
        <v>0</v>
      </c>
      <c r="AU40" s="88">
        <f>SUMIF(月間集計シート!$M$134:$M$153,$G40,月間集計シート!P$134:P$153)*AU$2</f>
        <v>0</v>
      </c>
      <c r="AV40" s="88">
        <f>SUMIF(月間集計シート!$M$134:$M$153,$G40,月間集計シート!Q$134:Q$153)*AV$2</f>
        <v>0</v>
      </c>
      <c r="AW40" s="88">
        <f>SUMIF(月間集計シート!$M$134:$M$153,$G40,月間集計シート!R$134:R$153)*AW$2</f>
        <v>0</v>
      </c>
      <c r="AX40" s="88">
        <f>SUMIF(月間集計シート!$M$134:$M$153,$G40,月間集計シート!S$134:S$153)*AX$2</f>
        <v>0</v>
      </c>
      <c r="AY40" s="88">
        <f>SUMIF(月間集計シート!$M$134:$M$153,$G40,月間集計シート!T$134:T$153)*AY$2</f>
        <v>0</v>
      </c>
    </row>
    <row r="41" spans="1:51" ht="14.25" thickBot="1">
      <c r="A41">
        <v>1</v>
      </c>
      <c r="B41" s="120">
        <f t="shared" si="5"/>
        <v>999909</v>
      </c>
      <c r="C41" s="120" t="e">
        <f t="shared" si="6"/>
        <v>#N/A</v>
      </c>
      <c r="D41" s="137"/>
      <c r="E41" s="150" t="str">
        <f>工種!A33</f>
        <v>40111</v>
      </c>
      <c r="F41" s="119" t="str">
        <f>工種!B33</f>
        <v>テスト：PG修正（手戻り分）</v>
      </c>
      <c r="G41" s="116" t="str">
        <f t="shared" si="7"/>
        <v>99990940111</v>
      </c>
      <c r="H41" s="88">
        <f t="shared" si="4"/>
        <v>0</v>
      </c>
      <c r="I41" s="132"/>
      <c r="J41" s="88">
        <f>SUMIF(月間集計シート!$M$29:$M$48,$G41,月間集計シート!N$29:N$48)*J$2</f>
        <v>0</v>
      </c>
      <c r="K41" s="88">
        <f>SUMIF(月間集計シート!$M$29:$M$48,$G41,月間集計シート!O$29:O$48)*K$2</f>
        <v>0</v>
      </c>
      <c r="L41" s="88">
        <f>SUMIF(月間集計シート!$M$29:$M$48,$G41,月間集計シート!P$29:P$48)*L$2</f>
        <v>0</v>
      </c>
      <c r="M41" s="88">
        <f>SUMIF(月間集計シート!$M$29:$M$48,$G41,月間集計シート!Q$29:Q$48)*M$2</f>
        <v>0</v>
      </c>
      <c r="N41" s="88">
        <f>SUMIF(月間集計シート!$M$29:$M$48,$G41,月間集計シート!R$29:R$48)*N$2</f>
        <v>0</v>
      </c>
      <c r="O41" s="88">
        <f>SUMIF(月間集計シート!$M$29:$M$48,$G41,月間集計シート!S$29:S$48)*O$2</f>
        <v>0</v>
      </c>
      <c r="P41" s="88">
        <f>SUMIF(月間集計シート!$M$29:$M$48,$G41,月間集計シート!T$29:T$48)*P$2</f>
        <v>0</v>
      </c>
      <c r="Q41" s="88">
        <f>SUMIF(月間集計シート!$M$50:$M$69,$G41,月間集計シート!N$50:N$69)*Q$2</f>
        <v>0</v>
      </c>
      <c r="R41" s="88">
        <f>SUMIF(月間集計シート!$M$50:$M$69,$G41,月間集計シート!O$50:O$69)*R$2</f>
        <v>0</v>
      </c>
      <c r="S41" s="88">
        <f>SUMIF(月間集計シート!$M$50:$M$69,$G41,月間集計シート!P$50:P$69)*S$2</f>
        <v>0</v>
      </c>
      <c r="T41" s="88">
        <f>SUMIF(月間集計シート!$M$50:$M$69,$G41,月間集計シート!Q$50:Q$69)*T$2</f>
        <v>0</v>
      </c>
      <c r="U41" s="88">
        <f>SUMIF(月間集計シート!$M$50:$M$69,$G41,月間集計シート!R$50:R$69)*U$2</f>
        <v>0</v>
      </c>
      <c r="V41" s="88">
        <f>SUMIF(月間集計シート!$M$50:$M$69,$G41,月間集計シート!S$50:S$69)*V$2</f>
        <v>0</v>
      </c>
      <c r="W41" s="88">
        <f>SUMIF(月間集計シート!$M$50:$M$69,$G41,月間集計シート!T$50:T$69)*W$2</f>
        <v>0</v>
      </c>
      <c r="X41" s="88">
        <f>SUMIF(月間集計シート!$M$71:$M$90,$G41,月間集計シート!N$71:N$90)*X$2</f>
        <v>0</v>
      </c>
      <c r="Y41" s="88">
        <f>SUMIF(月間集計シート!$M$71:$M$90,$G41,月間集計シート!O$71:O$90)*Y$2</f>
        <v>0</v>
      </c>
      <c r="Z41" s="88">
        <f>SUMIF(月間集計シート!$M$71:$M$90,$G41,月間集計シート!P$71:P$90)*Z$2</f>
        <v>0</v>
      </c>
      <c r="AA41" s="88">
        <f>SUMIF(月間集計シート!$M$71:$M$90,$G41,月間集計シート!Q$71:Q$90)*AA$2</f>
        <v>0</v>
      </c>
      <c r="AB41" s="88">
        <f>SUMIF(月間集計シート!$M$71:$M$90,$G41,月間集計シート!R$71:R$90)*AB$2</f>
        <v>0</v>
      </c>
      <c r="AC41" s="88">
        <f>SUMIF(月間集計シート!$M$71:$M$90,$G41,月間集計シート!S$71:S$90)*AC$2</f>
        <v>0</v>
      </c>
      <c r="AD41" s="88">
        <f>SUMIF(月間集計シート!$M$71:$M$90,$G41,月間集計シート!T$71:T$90)*AD$2</f>
        <v>0</v>
      </c>
      <c r="AE41" s="88">
        <f>SUMIF(月間集計シート!$M$92:$M$111,$G41,月間集計シート!N$92:N$111)*AE$2</f>
        <v>0</v>
      </c>
      <c r="AF41" s="88">
        <f>SUMIF(月間集計シート!$M$92:$M$111,$G41,月間集計シート!O$92:O$111)*AF$2</f>
        <v>0</v>
      </c>
      <c r="AG41" s="88">
        <f>SUMIF(月間集計シート!$M$92:$M$111,$G41,月間集計シート!P$92:P$111)*AG$2</f>
        <v>0</v>
      </c>
      <c r="AH41" s="88">
        <f>SUMIF(月間集計シート!$M$92:$M$111,$G41,月間集計シート!Q$92:Q$111)*AH$2</f>
        <v>0</v>
      </c>
      <c r="AI41" s="88">
        <f>SUMIF(月間集計シート!$M$92:$M$111,$G41,月間集計シート!R$92:R$111)*AI$2</f>
        <v>0</v>
      </c>
      <c r="AJ41" s="88">
        <f>SUMIF(月間集計シート!$M$92:$M$111,$G41,月間集計シート!S$92:S$111)*AJ$2</f>
        <v>0</v>
      </c>
      <c r="AK41" s="88">
        <f>SUMIF(月間集計シート!$M$92:$M$111,$G41,月間集計シート!T$92:T$111)*AK$2</f>
        <v>0</v>
      </c>
      <c r="AL41" s="88">
        <f>SUMIF(月間集計シート!$M$113:$M$132,$G41,月間集計シート!N$113:N$132)*AL$2</f>
        <v>0</v>
      </c>
      <c r="AM41" s="88">
        <f>SUMIF(月間集計シート!$M$113:$M$132,$G41,月間集計シート!O$113:O$132)*AM$2</f>
        <v>0</v>
      </c>
      <c r="AN41" s="88">
        <f>SUMIF(月間集計シート!$M$113:$M$132,$G41,月間集計シート!P$113:P$132)*AN$2</f>
        <v>0</v>
      </c>
      <c r="AO41" s="88">
        <f>SUMIF(月間集計シート!$M$113:$M$132,$G41,月間集計シート!Q$113:Q$132)*AO$2</f>
        <v>0</v>
      </c>
      <c r="AP41" s="88">
        <f>SUMIF(月間集計シート!$M$113:$M$132,$G41,月間集計シート!R$113:R$132)*AP$2</f>
        <v>0</v>
      </c>
      <c r="AQ41" s="88">
        <f>SUMIF(月間集計シート!$M$113:$M$132,$G41,月間集計シート!S$113:S$132)*AQ$2</f>
        <v>0</v>
      </c>
      <c r="AR41" s="88">
        <f>SUMIF(月間集計シート!$M$113:$M$132,$G41,月間集計シート!T$113:T$132)*AR$2</f>
        <v>0</v>
      </c>
      <c r="AS41" s="88">
        <f>SUMIF(月間集計シート!$M$134:$M$153,$G41,月間集計シート!N$134:N$153)*AS$2</f>
        <v>0</v>
      </c>
      <c r="AT41" s="88">
        <f>SUMIF(月間集計シート!$M$134:$M$153,$G41,月間集計シート!O$134:O$153)*AT$2</f>
        <v>0</v>
      </c>
      <c r="AU41" s="88">
        <f>SUMIF(月間集計シート!$M$134:$M$153,$G41,月間集計シート!P$134:P$153)*AU$2</f>
        <v>0</v>
      </c>
      <c r="AV41" s="88">
        <f>SUMIF(月間集計シート!$M$134:$M$153,$G41,月間集計シート!Q$134:Q$153)*AV$2</f>
        <v>0</v>
      </c>
      <c r="AW41" s="88">
        <f>SUMIF(月間集計シート!$M$134:$M$153,$G41,月間集計シート!R$134:R$153)*AW$2</f>
        <v>0</v>
      </c>
      <c r="AX41" s="88">
        <f>SUMIF(月間集計シート!$M$134:$M$153,$G41,月間集計シート!S$134:S$153)*AX$2</f>
        <v>0</v>
      </c>
      <c r="AY41" s="88">
        <f>SUMIF(月間集計シート!$M$134:$M$153,$G41,月間集計シート!T$134:T$153)*AY$2</f>
        <v>0</v>
      </c>
    </row>
    <row r="42" spans="1:51" ht="14.25" thickBot="1">
      <c r="A42">
        <v>1</v>
      </c>
      <c r="B42" s="120">
        <f t="shared" si="5"/>
        <v>999909</v>
      </c>
      <c r="C42" s="120" t="e">
        <f t="shared" si="6"/>
        <v>#N/A</v>
      </c>
      <c r="D42" s="137"/>
      <c r="E42" s="150" t="str">
        <f>工種!A34</f>
        <v>40112</v>
      </c>
      <c r="F42" s="119" t="str">
        <f>工種!B34</f>
        <v>テスト：再テスト（手戻り分）</v>
      </c>
      <c r="G42" s="116" t="str">
        <f t="shared" si="7"/>
        <v>99990940112</v>
      </c>
      <c r="H42" s="88">
        <f t="shared" si="4"/>
        <v>0</v>
      </c>
      <c r="I42" s="132"/>
      <c r="J42" s="88">
        <f>SUMIF(月間集計シート!$M$29:$M$48,$G42,月間集計シート!N$29:N$48)*J$2</f>
        <v>0</v>
      </c>
      <c r="K42" s="88">
        <f>SUMIF(月間集計シート!$M$29:$M$48,$G42,月間集計シート!O$29:O$48)*K$2</f>
        <v>0</v>
      </c>
      <c r="L42" s="88">
        <f>SUMIF(月間集計シート!$M$29:$M$48,$G42,月間集計シート!P$29:P$48)*L$2</f>
        <v>0</v>
      </c>
      <c r="M42" s="88">
        <f>SUMIF(月間集計シート!$M$29:$M$48,$G42,月間集計シート!Q$29:Q$48)*M$2</f>
        <v>0</v>
      </c>
      <c r="N42" s="88">
        <f>SUMIF(月間集計シート!$M$29:$M$48,$G42,月間集計シート!R$29:R$48)*N$2</f>
        <v>0</v>
      </c>
      <c r="O42" s="88">
        <f>SUMIF(月間集計シート!$M$29:$M$48,$G42,月間集計シート!S$29:S$48)*O$2</f>
        <v>0</v>
      </c>
      <c r="P42" s="88">
        <f>SUMIF(月間集計シート!$M$29:$M$48,$G42,月間集計シート!T$29:T$48)*P$2</f>
        <v>0</v>
      </c>
      <c r="Q42" s="88">
        <f>SUMIF(月間集計シート!$M$50:$M$69,$G42,月間集計シート!N$50:N$69)*Q$2</f>
        <v>0</v>
      </c>
      <c r="R42" s="88">
        <f>SUMIF(月間集計シート!$M$50:$M$69,$G42,月間集計シート!O$50:O$69)*R$2</f>
        <v>0</v>
      </c>
      <c r="S42" s="88">
        <f>SUMIF(月間集計シート!$M$50:$M$69,$G42,月間集計シート!P$50:P$69)*S$2</f>
        <v>0</v>
      </c>
      <c r="T42" s="88">
        <f>SUMIF(月間集計シート!$M$50:$M$69,$G42,月間集計シート!Q$50:Q$69)*T$2</f>
        <v>0</v>
      </c>
      <c r="U42" s="88">
        <f>SUMIF(月間集計シート!$M$50:$M$69,$G42,月間集計シート!R$50:R$69)*U$2</f>
        <v>0</v>
      </c>
      <c r="V42" s="88">
        <f>SUMIF(月間集計シート!$M$50:$M$69,$G42,月間集計シート!S$50:S$69)*V$2</f>
        <v>0</v>
      </c>
      <c r="W42" s="88">
        <f>SUMIF(月間集計シート!$M$50:$M$69,$G42,月間集計シート!T$50:T$69)*W$2</f>
        <v>0</v>
      </c>
      <c r="X42" s="88">
        <f>SUMIF(月間集計シート!$M$71:$M$90,$G42,月間集計シート!N$71:N$90)*X$2</f>
        <v>0</v>
      </c>
      <c r="Y42" s="88">
        <f>SUMIF(月間集計シート!$M$71:$M$90,$G42,月間集計シート!O$71:O$90)*Y$2</f>
        <v>0</v>
      </c>
      <c r="Z42" s="88">
        <f>SUMIF(月間集計シート!$M$71:$M$90,$G42,月間集計シート!P$71:P$90)*Z$2</f>
        <v>0</v>
      </c>
      <c r="AA42" s="88">
        <f>SUMIF(月間集計シート!$M$71:$M$90,$G42,月間集計シート!Q$71:Q$90)*AA$2</f>
        <v>0</v>
      </c>
      <c r="AB42" s="88">
        <f>SUMIF(月間集計シート!$M$71:$M$90,$G42,月間集計シート!R$71:R$90)*AB$2</f>
        <v>0</v>
      </c>
      <c r="AC42" s="88">
        <f>SUMIF(月間集計シート!$M$71:$M$90,$G42,月間集計シート!S$71:S$90)*AC$2</f>
        <v>0</v>
      </c>
      <c r="AD42" s="88">
        <f>SUMIF(月間集計シート!$M$71:$M$90,$G42,月間集計シート!T$71:T$90)*AD$2</f>
        <v>0</v>
      </c>
      <c r="AE42" s="88">
        <f>SUMIF(月間集計シート!$M$92:$M$111,$G42,月間集計シート!N$92:N$111)*AE$2</f>
        <v>0</v>
      </c>
      <c r="AF42" s="88">
        <f>SUMIF(月間集計シート!$M$92:$M$111,$G42,月間集計シート!O$92:O$111)*AF$2</f>
        <v>0</v>
      </c>
      <c r="AG42" s="88">
        <f>SUMIF(月間集計シート!$M$92:$M$111,$G42,月間集計シート!P$92:P$111)*AG$2</f>
        <v>0</v>
      </c>
      <c r="AH42" s="88">
        <f>SUMIF(月間集計シート!$M$92:$M$111,$G42,月間集計シート!Q$92:Q$111)*AH$2</f>
        <v>0</v>
      </c>
      <c r="AI42" s="88">
        <f>SUMIF(月間集計シート!$M$92:$M$111,$G42,月間集計シート!R$92:R$111)*AI$2</f>
        <v>0</v>
      </c>
      <c r="AJ42" s="88">
        <f>SUMIF(月間集計シート!$M$92:$M$111,$G42,月間集計シート!S$92:S$111)*AJ$2</f>
        <v>0</v>
      </c>
      <c r="AK42" s="88">
        <f>SUMIF(月間集計シート!$M$92:$M$111,$G42,月間集計シート!T$92:T$111)*AK$2</f>
        <v>0</v>
      </c>
      <c r="AL42" s="88">
        <f>SUMIF(月間集計シート!$M$113:$M$132,$G42,月間集計シート!N$113:N$132)*AL$2</f>
        <v>0</v>
      </c>
      <c r="AM42" s="88">
        <f>SUMIF(月間集計シート!$M$113:$M$132,$G42,月間集計シート!O$113:O$132)*AM$2</f>
        <v>0</v>
      </c>
      <c r="AN42" s="88">
        <f>SUMIF(月間集計シート!$M$113:$M$132,$G42,月間集計シート!P$113:P$132)*AN$2</f>
        <v>0</v>
      </c>
      <c r="AO42" s="88">
        <f>SUMIF(月間集計シート!$M$113:$M$132,$G42,月間集計シート!Q$113:Q$132)*AO$2</f>
        <v>0</v>
      </c>
      <c r="AP42" s="88">
        <f>SUMIF(月間集計シート!$M$113:$M$132,$G42,月間集計シート!R$113:R$132)*AP$2</f>
        <v>0</v>
      </c>
      <c r="AQ42" s="88">
        <f>SUMIF(月間集計シート!$M$113:$M$132,$G42,月間集計シート!S$113:S$132)*AQ$2</f>
        <v>0</v>
      </c>
      <c r="AR42" s="88">
        <f>SUMIF(月間集計シート!$M$113:$M$132,$G42,月間集計シート!T$113:T$132)*AR$2</f>
        <v>0</v>
      </c>
      <c r="AS42" s="88">
        <f>SUMIF(月間集計シート!$M$134:$M$153,$G42,月間集計シート!N$134:N$153)*AS$2</f>
        <v>0</v>
      </c>
      <c r="AT42" s="88">
        <f>SUMIF(月間集計シート!$M$134:$M$153,$G42,月間集計シート!O$134:O$153)*AT$2</f>
        <v>0</v>
      </c>
      <c r="AU42" s="88">
        <f>SUMIF(月間集計シート!$M$134:$M$153,$G42,月間集計シート!P$134:P$153)*AU$2</f>
        <v>0</v>
      </c>
      <c r="AV42" s="88">
        <f>SUMIF(月間集計シート!$M$134:$M$153,$G42,月間集計シート!Q$134:Q$153)*AV$2</f>
        <v>0</v>
      </c>
      <c r="AW42" s="88">
        <f>SUMIF(月間集計シート!$M$134:$M$153,$G42,月間集計シート!R$134:R$153)*AW$2</f>
        <v>0</v>
      </c>
      <c r="AX42" s="88">
        <f>SUMIF(月間集計シート!$M$134:$M$153,$G42,月間集計シート!S$134:S$153)*AX$2</f>
        <v>0</v>
      </c>
      <c r="AY42" s="88">
        <f>SUMIF(月間集計シート!$M$134:$M$153,$G42,月間集計シート!T$134:T$153)*AY$2</f>
        <v>0</v>
      </c>
    </row>
    <row r="43" spans="1:51" ht="14.25" thickBot="1">
      <c r="A43">
        <v>1</v>
      </c>
      <c r="B43" s="120">
        <f t="shared" si="5"/>
        <v>999909</v>
      </c>
      <c r="C43" s="120" t="e">
        <f t="shared" si="6"/>
        <v>#N/A</v>
      </c>
      <c r="D43" s="137"/>
      <c r="E43" s="150" t="str">
        <f>工種!A35</f>
        <v>40113</v>
      </c>
      <c r="F43" s="119" t="str">
        <f>工種!B35</f>
        <v>テスト：QA対応</v>
      </c>
      <c r="G43" s="116" t="str">
        <f t="shared" si="7"/>
        <v>99990940113</v>
      </c>
      <c r="H43" s="88">
        <f t="shared" si="4"/>
        <v>0</v>
      </c>
      <c r="I43" s="132"/>
      <c r="J43" s="88">
        <f>SUMIF(月間集計シート!$M$29:$M$48,$G43,月間集計シート!N$29:N$48)*J$2</f>
        <v>0</v>
      </c>
      <c r="K43" s="88">
        <f>SUMIF(月間集計シート!$M$29:$M$48,$G43,月間集計シート!O$29:O$48)*K$2</f>
        <v>0</v>
      </c>
      <c r="L43" s="88">
        <f>SUMIF(月間集計シート!$M$29:$M$48,$G43,月間集計シート!P$29:P$48)*L$2</f>
        <v>0</v>
      </c>
      <c r="M43" s="88">
        <f>SUMIF(月間集計シート!$M$29:$M$48,$G43,月間集計シート!Q$29:Q$48)*M$2</f>
        <v>0</v>
      </c>
      <c r="N43" s="88">
        <f>SUMIF(月間集計シート!$M$29:$M$48,$G43,月間集計シート!R$29:R$48)*N$2</f>
        <v>0</v>
      </c>
      <c r="O43" s="88">
        <f>SUMIF(月間集計シート!$M$29:$M$48,$G43,月間集計シート!S$29:S$48)*O$2</f>
        <v>0</v>
      </c>
      <c r="P43" s="88">
        <f>SUMIF(月間集計シート!$M$29:$M$48,$G43,月間集計シート!T$29:T$48)*P$2</f>
        <v>0</v>
      </c>
      <c r="Q43" s="88">
        <f>SUMIF(月間集計シート!$M$50:$M$69,$G43,月間集計シート!N$50:N$69)*Q$2</f>
        <v>0</v>
      </c>
      <c r="R43" s="88">
        <f>SUMIF(月間集計シート!$M$50:$M$69,$G43,月間集計シート!O$50:O$69)*R$2</f>
        <v>0</v>
      </c>
      <c r="S43" s="88">
        <f>SUMIF(月間集計シート!$M$50:$M$69,$G43,月間集計シート!P$50:P$69)*S$2</f>
        <v>0</v>
      </c>
      <c r="T43" s="88">
        <f>SUMIF(月間集計シート!$M$50:$M$69,$G43,月間集計シート!Q$50:Q$69)*T$2</f>
        <v>0</v>
      </c>
      <c r="U43" s="88">
        <f>SUMIF(月間集計シート!$M$50:$M$69,$G43,月間集計シート!R$50:R$69)*U$2</f>
        <v>0</v>
      </c>
      <c r="V43" s="88">
        <f>SUMIF(月間集計シート!$M$50:$M$69,$G43,月間集計シート!S$50:S$69)*V$2</f>
        <v>0</v>
      </c>
      <c r="W43" s="88">
        <f>SUMIF(月間集計シート!$M$50:$M$69,$G43,月間集計シート!T$50:T$69)*W$2</f>
        <v>0</v>
      </c>
      <c r="X43" s="88">
        <f>SUMIF(月間集計シート!$M$71:$M$90,$G43,月間集計シート!N$71:N$90)*X$2</f>
        <v>0</v>
      </c>
      <c r="Y43" s="88">
        <f>SUMIF(月間集計シート!$M$71:$M$90,$G43,月間集計シート!O$71:O$90)*Y$2</f>
        <v>0</v>
      </c>
      <c r="Z43" s="88">
        <f>SUMIF(月間集計シート!$M$71:$M$90,$G43,月間集計シート!P$71:P$90)*Z$2</f>
        <v>0</v>
      </c>
      <c r="AA43" s="88">
        <f>SUMIF(月間集計シート!$M$71:$M$90,$G43,月間集計シート!Q$71:Q$90)*AA$2</f>
        <v>0</v>
      </c>
      <c r="AB43" s="88">
        <f>SUMIF(月間集計シート!$M$71:$M$90,$G43,月間集計シート!R$71:R$90)*AB$2</f>
        <v>0</v>
      </c>
      <c r="AC43" s="88">
        <f>SUMIF(月間集計シート!$M$71:$M$90,$G43,月間集計シート!S$71:S$90)*AC$2</f>
        <v>0</v>
      </c>
      <c r="AD43" s="88">
        <f>SUMIF(月間集計シート!$M$71:$M$90,$G43,月間集計シート!T$71:T$90)*AD$2</f>
        <v>0</v>
      </c>
      <c r="AE43" s="88">
        <f>SUMIF(月間集計シート!$M$92:$M$111,$G43,月間集計シート!N$92:N$111)*AE$2</f>
        <v>0</v>
      </c>
      <c r="AF43" s="88">
        <f>SUMIF(月間集計シート!$M$92:$M$111,$G43,月間集計シート!O$92:O$111)*AF$2</f>
        <v>0</v>
      </c>
      <c r="AG43" s="88">
        <f>SUMIF(月間集計シート!$M$92:$M$111,$G43,月間集計シート!P$92:P$111)*AG$2</f>
        <v>0</v>
      </c>
      <c r="AH43" s="88">
        <f>SUMIF(月間集計シート!$M$92:$M$111,$G43,月間集計シート!Q$92:Q$111)*AH$2</f>
        <v>0</v>
      </c>
      <c r="AI43" s="88">
        <f>SUMIF(月間集計シート!$M$92:$M$111,$G43,月間集計シート!R$92:R$111)*AI$2</f>
        <v>0</v>
      </c>
      <c r="AJ43" s="88">
        <f>SUMIF(月間集計シート!$M$92:$M$111,$G43,月間集計シート!S$92:S$111)*AJ$2</f>
        <v>0</v>
      </c>
      <c r="AK43" s="88">
        <f>SUMIF(月間集計シート!$M$92:$M$111,$G43,月間集計シート!T$92:T$111)*AK$2</f>
        <v>0</v>
      </c>
      <c r="AL43" s="88">
        <f>SUMIF(月間集計シート!$M$113:$M$132,$G43,月間集計シート!N$113:N$132)*AL$2</f>
        <v>0</v>
      </c>
      <c r="AM43" s="88">
        <f>SUMIF(月間集計シート!$M$113:$M$132,$G43,月間集計シート!O$113:O$132)*AM$2</f>
        <v>0</v>
      </c>
      <c r="AN43" s="88">
        <f>SUMIF(月間集計シート!$M$113:$M$132,$G43,月間集計シート!P$113:P$132)*AN$2</f>
        <v>0</v>
      </c>
      <c r="AO43" s="88">
        <f>SUMIF(月間集計シート!$M$113:$M$132,$G43,月間集計シート!Q$113:Q$132)*AO$2</f>
        <v>0</v>
      </c>
      <c r="AP43" s="88">
        <f>SUMIF(月間集計シート!$M$113:$M$132,$G43,月間集計シート!R$113:R$132)*AP$2</f>
        <v>0</v>
      </c>
      <c r="AQ43" s="88">
        <f>SUMIF(月間集計シート!$M$113:$M$132,$G43,月間集計シート!S$113:S$132)*AQ$2</f>
        <v>0</v>
      </c>
      <c r="AR43" s="88">
        <f>SUMIF(月間集計シート!$M$113:$M$132,$G43,月間集計シート!T$113:T$132)*AR$2</f>
        <v>0</v>
      </c>
      <c r="AS43" s="88">
        <f>SUMIF(月間集計シート!$M$134:$M$153,$G43,月間集計シート!N$134:N$153)*AS$2</f>
        <v>0</v>
      </c>
      <c r="AT43" s="88">
        <f>SUMIF(月間集計シート!$M$134:$M$153,$G43,月間集計シート!O$134:O$153)*AT$2</f>
        <v>0</v>
      </c>
      <c r="AU43" s="88">
        <f>SUMIF(月間集計シート!$M$134:$M$153,$G43,月間集計シート!P$134:P$153)*AU$2</f>
        <v>0</v>
      </c>
      <c r="AV43" s="88">
        <f>SUMIF(月間集計シート!$M$134:$M$153,$G43,月間集計シート!Q$134:Q$153)*AV$2</f>
        <v>0</v>
      </c>
      <c r="AW43" s="88">
        <f>SUMIF(月間集計シート!$M$134:$M$153,$G43,月間集計シート!R$134:R$153)*AW$2</f>
        <v>0</v>
      </c>
      <c r="AX43" s="88">
        <f>SUMIF(月間集計シート!$M$134:$M$153,$G43,月間集計シート!S$134:S$153)*AX$2</f>
        <v>0</v>
      </c>
      <c r="AY43" s="88">
        <f>SUMIF(月間集計シート!$M$134:$M$153,$G43,月間集計シート!T$134:T$153)*AY$2</f>
        <v>0</v>
      </c>
    </row>
    <row r="44" spans="1:51" ht="14.25" thickBot="1">
      <c r="A44">
        <v>1</v>
      </c>
      <c r="B44" s="120">
        <f t="shared" si="5"/>
        <v>999909</v>
      </c>
      <c r="C44" s="120" t="e">
        <f t="shared" si="6"/>
        <v>#N/A</v>
      </c>
      <c r="D44" s="137"/>
      <c r="E44" s="150" t="str">
        <f>工種!A36</f>
        <v>40189</v>
      </c>
      <c r="F44" s="119" t="str">
        <f>工種!B36</f>
        <v>テスト：内部不具合分析</v>
      </c>
      <c r="G44" s="116" t="str">
        <f t="shared" si="7"/>
        <v>99990940189</v>
      </c>
      <c r="H44" s="88">
        <f t="shared" si="4"/>
        <v>0</v>
      </c>
      <c r="I44" s="132"/>
      <c r="J44" s="88">
        <f>SUMIF(月間集計シート!$M$29:$M$48,$G44,月間集計シート!N$29:N$48)*J$2</f>
        <v>0</v>
      </c>
      <c r="K44" s="88">
        <f>SUMIF(月間集計シート!$M$29:$M$48,$G44,月間集計シート!O$29:O$48)*K$2</f>
        <v>0</v>
      </c>
      <c r="L44" s="88">
        <f>SUMIF(月間集計シート!$M$29:$M$48,$G44,月間集計シート!P$29:P$48)*L$2</f>
        <v>0</v>
      </c>
      <c r="M44" s="88">
        <f>SUMIF(月間集計シート!$M$29:$M$48,$G44,月間集計シート!Q$29:Q$48)*M$2</f>
        <v>0</v>
      </c>
      <c r="N44" s="88">
        <f>SUMIF(月間集計シート!$M$29:$M$48,$G44,月間集計シート!R$29:R$48)*N$2</f>
        <v>0</v>
      </c>
      <c r="O44" s="88">
        <f>SUMIF(月間集計シート!$M$29:$M$48,$G44,月間集計シート!S$29:S$48)*O$2</f>
        <v>0</v>
      </c>
      <c r="P44" s="88">
        <f>SUMIF(月間集計シート!$M$29:$M$48,$G44,月間集計シート!T$29:T$48)*P$2</f>
        <v>0</v>
      </c>
      <c r="Q44" s="88">
        <f>SUMIF(月間集計シート!$M$50:$M$69,$G44,月間集計シート!N$50:N$69)*Q$2</f>
        <v>0</v>
      </c>
      <c r="R44" s="88">
        <f>SUMIF(月間集計シート!$M$50:$M$69,$G44,月間集計シート!O$50:O$69)*R$2</f>
        <v>0</v>
      </c>
      <c r="S44" s="88">
        <f>SUMIF(月間集計シート!$M$50:$M$69,$G44,月間集計シート!P$50:P$69)*S$2</f>
        <v>0</v>
      </c>
      <c r="T44" s="88">
        <f>SUMIF(月間集計シート!$M$50:$M$69,$G44,月間集計シート!Q$50:Q$69)*T$2</f>
        <v>0</v>
      </c>
      <c r="U44" s="88">
        <f>SUMIF(月間集計シート!$M$50:$M$69,$G44,月間集計シート!R$50:R$69)*U$2</f>
        <v>0</v>
      </c>
      <c r="V44" s="88">
        <f>SUMIF(月間集計シート!$M$50:$M$69,$G44,月間集計シート!S$50:S$69)*V$2</f>
        <v>0</v>
      </c>
      <c r="W44" s="88">
        <f>SUMIF(月間集計シート!$M$50:$M$69,$G44,月間集計シート!T$50:T$69)*W$2</f>
        <v>0</v>
      </c>
      <c r="X44" s="88">
        <f>SUMIF(月間集計シート!$M$71:$M$90,$G44,月間集計シート!N$71:N$90)*X$2</f>
        <v>0</v>
      </c>
      <c r="Y44" s="88">
        <f>SUMIF(月間集計シート!$M$71:$M$90,$G44,月間集計シート!O$71:O$90)*Y$2</f>
        <v>0</v>
      </c>
      <c r="Z44" s="88">
        <f>SUMIF(月間集計シート!$M$71:$M$90,$G44,月間集計シート!P$71:P$90)*Z$2</f>
        <v>0</v>
      </c>
      <c r="AA44" s="88">
        <f>SUMIF(月間集計シート!$M$71:$M$90,$G44,月間集計シート!Q$71:Q$90)*AA$2</f>
        <v>0</v>
      </c>
      <c r="AB44" s="88">
        <f>SUMIF(月間集計シート!$M$71:$M$90,$G44,月間集計シート!R$71:R$90)*AB$2</f>
        <v>0</v>
      </c>
      <c r="AC44" s="88">
        <f>SUMIF(月間集計シート!$M$71:$M$90,$G44,月間集計シート!S$71:S$90)*AC$2</f>
        <v>0</v>
      </c>
      <c r="AD44" s="88">
        <f>SUMIF(月間集計シート!$M$71:$M$90,$G44,月間集計シート!T$71:T$90)*AD$2</f>
        <v>0</v>
      </c>
      <c r="AE44" s="88">
        <f>SUMIF(月間集計シート!$M$92:$M$111,$G44,月間集計シート!N$92:N$111)*AE$2</f>
        <v>0</v>
      </c>
      <c r="AF44" s="88">
        <f>SUMIF(月間集計シート!$M$92:$M$111,$G44,月間集計シート!O$92:O$111)*AF$2</f>
        <v>0</v>
      </c>
      <c r="AG44" s="88">
        <f>SUMIF(月間集計シート!$M$92:$M$111,$G44,月間集計シート!P$92:P$111)*AG$2</f>
        <v>0</v>
      </c>
      <c r="AH44" s="88">
        <f>SUMIF(月間集計シート!$M$92:$M$111,$G44,月間集計シート!Q$92:Q$111)*AH$2</f>
        <v>0</v>
      </c>
      <c r="AI44" s="88">
        <f>SUMIF(月間集計シート!$M$92:$M$111,$G44,月間集計シート!R$92:R$111)*AI$2</f>
        <v>0</v>
      </c>
      <c r="AJ44" s="88">
        <f>SUMIF(月間集計シート!$M$92:$M$111,$G44,月間集計シート!S$92:S$111)*AJ$2</f>
        <v>0</v>
      </c>
      <c r="AK44" s="88">
        <f>SUMIF(月間集計シート!$M$92:$M$111,$G44,月間集計シート!T$92:T$111)*AK$2</f>
        <v>0</v>
      </c>
      <c r="AL44" s="88">
        <f>SUMIF(月間集計シート!$M$113:$M$132,$G44,月間集計シート!N$113:N$132)*AL$2</f>
        <v>0</v>
      </c>
      <c r="AM44" s="88">
        <f>SUMIF(月間集計シート!$M$113:$M$132,$G44,月間集計シート!O$113:O$132)*AM$2</f>
        <v>0</v>
      </c>
      <c r="AN44" s="88">
        <f>SUMIF(月間集計シート!$M$113:$M$132,$G44,月間集計シート!P$113:P$132)*AN$2</f>
        <v>0</v>
      </c>
      <c r="AO44" s="88">
        <f>SUMIF(月間集計シート!$M$113:$M$132,$G44,月間集計シート!Q$113:Q$132)*AO$2</f>
        <v>0</v>
      </c>
      <c r="AP44" s="88">
        <f>SUMIF(月間集計シート!$M$113:$M$132,$G44,月間集計シート!R$113:R$132)*AP$2</f>
        <v>0</v>
      </c>
      <c r="AQ44" s="88">
        <f>SUMIF(月間集計シート!$M$113:$M$132,$G44,月間集計シート!S$113:S$132)*AQ$2</f>
        <v>0</v>
      </c>
      <c r="AR44" s="88">
        <f>SUMIF(月間集計シート!$M$113:$M$132,$G44,月間集計シート!T$113:T$132)*AR$2</f>
        <v>0</v>
      </c>
      <c r="AS44" s="88">
        <f>SUMIF(月間集計シート!$M$134:$M$153,$G44,月間集計シート!N$134:N$153)*AS$2</f>
        <v>0</v>
      </c>
      <c r="AT44" s="88">
        <f>SUMIF(月間集計シート!$M$134:$M$153,$G44,月間集計シート!O$134:O$153)*AT$2</f>
        <v>0</v>
      </c>
      <c r="AU44" s="88">
        <f>SUMIF(月間集計シート!$M$134:$M$153,$G44,月間集計シート!P$134:P$153)*AU$2</f>
        <v>0</v>
      </c>
      <c r="AV44" s="88">
        <f>SUMIF(月間集計シート!$M$134:$M$153,$G44,月間集計シート!Q$134:Q$153)*AV$2</f>
        <v>0</v>
      </c>
      <c r="AW44" s="88">
        <f>SUMIF(月間集計シート!$M$134:$M$153,$G44,月間集計シート!R$134:R$153)*AW$2</f>
        <v>0</v>
      </c>
      <c r="AX44" s="88">
        <f>SUMIF(月間集計シート!$M$134:$M$153,$G44,月間集計シート!S$134:S$153)*AX$2</f>
        <v>0</v>
      </c>
      <c r="AY44" s="88">
        <f>SUMIF(月間集計シート!$M$134:$M$153,$G44,月間集計シート!T$134:T$153)*AY$2</f>
        <v>0</v>
      </c>
    </row>
    <row r="45" spans="1:51" ht="14.25" thickBot="1">
      <c r="A45">
        <v>1</v>
      </c>
      <c r="B45" s="120">
        <f t="shared" si="5"/>
        <v>999909</v>
      </c>
      <c r="C45" s="120" t="e">
        <f t="shared" si="6"/>
        <v>#N/A</v>
      </c>
      <c r="D45" s="137"/>
      <c r="E45" s="150" t="str">
        <f>工種!A37</f>
        <v>40199</v>
      </c>
      <c r="F45" s="119" t="str">
        <f>工種!B37</f>
        <v>テスト：その他</v>
      </c>
      <c r="G45" s="116" t="str">
        <f t="shared" si="7"/>
        <v>99990940199</v>
      </c>
      <c r="H45" s="88">
        <f t="shared" si="4"/>
        <v>0</v>
      </c>
      <c r="I45" s="132"/>
      <c r="J45" s="88">
        <f>SUMIF(月間集計シート!$M$29:$M$48,$G45,月間集計シート!N$29:N$48)*J$2</f>
        <v>0</v>
      </c>
      <c r="K45" s="88">
        <f>SUMIF(月間集計シート!$M$29:$M$48,$G45,月間集計シート!O$29:O$48)*K$2</f>
        <v>0</v>
      </c>
      <c r="L45" s="88">
        <f>SUMIF(月間集計シート!$M$29:$M$48,$G45,月間集計シート!P$29:P$48)*L$2</f>
        <v>0</v>
      </c>
      <c r="M45" s="88">
        <f>SUMIF(月間集計シート!$M$29:$M$48,$G45,月間集計シート!Q$29:Q$48)*M$2</f>
        <v>0</v>
      </c>
      <c r="N45" s="88">
        <f>SUMIF(月間集計シート!$M$29:$M$48,$G45,月間集計シート!R$29:R$48)*N$2</f>
        <v>0</v>
      </c>
      <c r="O45" s="88">
        <f>SUMIF(月間集計シート!$M$29:$M$48,$G45,月間集計シート!S$29:S$48)*O$2</f>
        <v>0</v>
      </c>
      <c r="P45" s="88">
        <f>SUMIF(月間集計シート!$M$29:$M$48,$G45,月間集計シート!T$29:T$48)*P$2</f>
        <v>0</v>
      </c>
      <c r="Q45" s="88">
        <f>SUMIF(月間集計シート!$M$50:$M$69,$G45,月間集計シート!N$50:N$69)*Q$2</f>
        <v>0</v>
      </c>
      <c r="R45" s="88">
        <f>SUMIF(月間集計シート!$M$50:$M$69,$G45,月間集計シート!O$50:O$69)*R$2</f>
        <v>0</v>
      </c>
      <c r="S45" s="88">
        <f>SUMIF(月間集計シート!$M$50:$M$69,$G45,月間集計シート!P$50:P$69)*S$2</f>
        <v>0</v>
      </c>
      <c r="T45" s="88">
        <f>SUMIF(月間集計シート!$M$50:$M$69,$G45,月間集計シート!Q$50:Q$69)*T$2</f>
        <v>0</v>
      </c>
      <c r="U45" s="88">
        <f>SUMIF(月間集計シート!$M$50:$M$69,$G45,月間集計シート!R$50:R$69)*U$2</f>
        <v>0</v>
      </c>
      <c r="V45" s="88">
        <f>SUMIF(月間集計シート!$M$50:$M$69,$G45,月間集計シート!S$50:S$69)*V$2</f>
        <v>0</v>
      </c>
      <c r="W45" s="88">
        <f>SUMIF(月間集計シート!$M$50:$M$69,$G45,月間集計シート!T$50:T$69)*W$2</f>
        <v>0</v>
      </c>
      <c r="X45" s="88">
        <f>SUMIF(月間集計シート!$M$71:$M$90,$G45,月間集計シート!N$71:N$90)*X$2</f>
        <v>0</v>
      </c>
      <c r="Y45" s="88">
        <f>SUMIF(月間集計シート!$M$71:$M$90,$G45,月間集計シート!O$71:O$90)*Y$2</f>
        <v>0</v>
      </c>
      <c r="Z45" s="88">
        <f>SUMIF(月間集計シート!$M$71:$M$90,$G45,月間集計シート!P$71:P$90)*Z$2</f>
        <v>0</v>
      </c>
      <c r="AA45" s="88">
        <f>SUMIF(月間集計シート!$M$71:$M$90,$G45,月間集計シート!Q$71:Q$90)*AA$2</f>
        <v>0</v>
      </c>
      <c r="AB45" s="88">
        <f>SUMIF(月間集計シート!$M$71:$M$90,$G45,月間集計シート!R$71:R$90)*AB$2</f>
        <v>0</v>
      </c>
      <c r="AC45" s="88">
        <f>SUMIF(月間集計シート!$M$71:$M$90,$G45,月間集計シート!S$71:S$90)*AC$2</f>
        <v>0</v>
      </c>
      <c r="AD45" s="88">
        <f>SUMIF(月間集計シート!$M$71:$M$90,$G45,月間集計シート!T$71:T$90)*AD$2</f>
        <v>0</v>
      </c>
      <c r="AE45" s="88">
        <f>SUMIF(月間集計シート!$M$92:$M$111,$G45,月間集計シート!N$92:N$111)*AE$2</f>
        <v>0</v>
      </c>
      <c r="AF45" s="88">
        <f>SUMIF(月間集計シート!$M$92:$M$111,$G45,月間集計シート!O$92:O$111)*AF$2</f>
        <v>0</v>
      </c>
      <c r="AG45" s="88">
        <f>SUMIF(月間集計シート!$M$92:$M$111,$G45,月間集計シート!P$92:P$111)*AG$2</f>
        <v>0</v>
      </c>
      <c r="AH45" s="88">
        <f>SUMIF(月間集計シート!$M$92:$M$111,$G45,月間集計シート!Q$92:Q$111)*AH$2</f>
        <v>0</v>
      </c>
      <c r="AI45" s="88">
        <f>SUMIF(月間集計シート!$M$92:$M$111,$G45,月間集計シート!R$92:R$111)*AI$2</f>
        <v>0</v>
      </c>
      <c r="AJ45" s="88">
        <f>SUMIF(月間集計シート!$M$92:$M$111,$G45,月間集計シート!S$92:S$111)*AJ$2</f>
        <v>0</v>
      </c>
      <c r="AK45" s="88">
        <f>SUMIF(月間集計シート!$M$92:$M$111,$G45,月間集計シート!T$92:T$111)*AK$2</f>
        <v>0</v>
      </c>
      <c r="AL45" s="88">
        <f>SUMIF(月間集計シート!$M$113:$M$132,$G45,月間集計シート!N$113:N$132)*AL$2</f>
        <v>0</v>
      </c>
      <c r="AM45" s="88">
        <f>SUMIF(月間集計シート!$M$113:$M$132,$G45,月間集計シート!O$113:O$132)*AM$2</f>
        <v>0</v>
      </c>
      <c r="AN45" s="88">
        <f>SUMIF(月間集計シート!$M$113:$M$132,$G45,月間集計シート!P$113:P$132)*AN$2</f>
        <v>0</v>
      </c>
      <c r="AO45" s="88">
        <f>SUMIF(月間集計シート!$M$113:$M$132,$G45,月間集計シート!Q$113:Q$132)*AO$2</f>
        <v>0</v>
      </c>
      <c r="AP45" s="88">
        <f>SUMIF(月間集計シート!$M$113:$M$132,$G45,月間集計シート!R$113:R$132)*AP$2</f>
        <v>0</v>
      </c>
      <c r="AQ45" s="88">
        <f>SUMIF(月間集計シート!$M$113:$M$132,$G45,月間集計シート!S$113:S$132)*AQ$2</f>
        <v>0</v>
      </c>
      <c r="AR45" s="88">
        <f>SUMIF(月間集計シート!$M$113:$M$132,$G45,月間集計シート!T$113:T$132)*AR$2</f>
        <v>0</v>
      </c>
      <c r="AS45" s="88">
        <f>SUMIF(月間集計シート!$M$134:$M$153,$G45,月間集計シート!N$134:N$153)*AS$2</f>
        <v>0</v>
      </c>
      <c r="AT45" s="88">
        <f>SUMIF(月間集計シート!$M$134:$M$153,$G45,月間集計シート!O$134:O$153)*AT$2</f>
        <v>0</v>
      </c>
      <c r="AU45" s="88">
        <f>SUMIF(月間集計シート!$M$134:$M$153,$G45,月間集計シート!P$134:P$153)*AU$2</f>
        <v>0</v>
      </c>
      <c r="AV45" s="88">
        <f>SUMIF(月間集計シート!$M$134:$M$153,$G45,月間集計シート!Q$134:Q$153)*AV$2</f>
        <v>0</v>
      </c>
      <c r="AW45" s="88">
        <f>SUMIF(月間集計シート!$M$134:$M$153,$G45,月間集計シート!R$134:R$153)*AW$2</f>
        <v>0</v>
      </c>
      <c r="AX45" s="88">
        <f>SUMIF(月間集計シート!$M$134:$M$153,$G45,月間集計シート!S$134:S$153)*AX$2</f>
        <v>0</v>
      </c>
      <c r="AY45" s="88">
        <f>SUMIF(月間集計シート!$M$134:$M$153,$G45,月間集計シート!T$134:T$153)*AY$2</f>
        <v>0</v>
      </c>
    </row>
    <row r="46" spans="1:51" ht="14.25" thickBot="1">
      <c r="A46">
        <v>1</v>
      </c>
      <c r="B46" s="120">
        <f t="shared" si="5"/>
        <v>999909</v>
      </c>
      <c r="C46" s="120" t="e">
        <f t="shared" si="6"/>
        <v>#N/A</v>
      </c>
      <c r="D46" s="137"/>
      <c r="E46" s="150" t="str">
        <f>工種!A38</f>
        <v>50101</v>
      </c>
      <c r="F46" s="119" t="str">
        <f>工種!B38</f>
        <v>ﾏﾆｭｱﾙ作成：原稿作成</v>
      </c>
      <c r="G46" s="116" t="str">
        <f t="shared" si="7"/>
        <v>99990950101</v>
      </c>
      <c r="H46" s="88">
        <f t="shared" si="4"/>
        <v>0</v>
      </c>
      <c r="I46" s="132"/>
      <c r="J46" s="88">
        <f>SUMIF(月間集計シート!$M$29:$M$48,$G46,月間集計シート!N$29:N$48)*J$2</f>
        <v>0</v>
      </c>
      <c r="K46" s="88">
        <f>SUMIF(月間集計シート!$M$29:$M$48,$G46,月間集計シート!O$29:O$48)*K$2</f>
        <v>0</v>
      </c>
      <c r="L46" s="88">
        <f>SUMIF(月間集計シート!$M$29:$M$48,$G46,月間集計シート!P$29:P$48)*L$2</f>
        <v>0</v>
      </c>
      <c r="M46" s="88">
        <f>SUMIF(月間集計シート!$M$29:$M$48,$G46,月間集計シート!Q$29:Q$48)*M$2</f>
        <v>0</v>
      </c>
      <c r="N46" s="88">
        <f>SUMIF(月間集計シート!$M$29:$M$48,$G46,月間集計シート!R$29:R$48)*N$2</f>
        <v>0</v>
      </c>
      <c r="O46" s="88">
        <f>SUMIF(月間集計シート!$M$29:$M$48,$G46,月間集計シート!S$29:S$48)*O$2</f>
        <v>0</v>
      </c>
      <c r="P46" s="88">
        <f>SUMIF(月間集計シート!$M$29:$M$48,$G46,月間集計シート!T$29:T$48)*P$2</f>
        <v>0</v>
      </c>
      <c r="Q46" s="88">
        <f>SUMIF(月間集計シート!$M$50:$M$69,$G46,月間集計シート!N$50:N$69)*Q$2</f>
        <v>0</v>
      </c>
      <c r="R46" s="88">
        <f>SUMIF(月間集計シート!$M$50:$M$69,$G46,月間集計シート!O$50:O$69)*R$2</f>
        <v>0</v>
      </c>
      <c r="S46" s="88">
        <f>SUMIF(月間集計シート!$M$50:$M$69,$G46,月間集計シート!P$50:P$69)*S$2</f>
        <v>0</v>
      </c>
      <c r="T46" s="88">
        <f>SUMIF(月間集計シート!$M$50:$M$69,$G46,月間集計シート!Q$50:Q$69)*T$2</f>
        <v>0</v>
      </c>
      <c r="U46" s="88">
        <f>SUMIF(月間集計シート!$M$50:$M$69,$G46,月間集計シート!R$50:R$69)*U$2</f>
        <v>0</v>
      </c>
      <c r="V46" s="88">
        <f>SUMIF(月間集計シート!$M$50:$M$69,$G46,月間集計シート!S$50:S$69)*V$2</f>
        <v>0</v>
      </c>
      <c r="W46" s="88">
        <f>SUMIF(月間集計シート!$M$50:$M$69,$G46,月間集計シート!T$50:T$69)*W$2</f>
        <v>0</v>
      </c>
      <c r="X46" s="88">
        <f>SUMIF(月間集計シート!$M$71:$M$90,$G46,月間集計シート!N$71:N$90)*X$2</f>
        <v>0</v>
      </c>
      <c r="Y46" s="88">
        <f>SUMIF(月間集計シート!$M$71:$M$90,$G46,月間集計シート!O$71:O$90)*Y$2</f>
        <v>0</v>
      </c>
      <c r="Z46" s="88">
        <f>SUMIF(月間集計シート!$M$71:$M$90,$G46,月間集計シート!P$71:P$90)*Z$2</f>
        <v>0</v>
      </c>
      <c r="AA46" s="88">
        <f>SUMIF(月間集計シート!$M$71:$M$90,$G46,月間集計シート!Q$71:Q$90)*AA$2</f>
        <v>0</v>
      </c>
      <c r="AB46" s="88">
        <f>SUMIF(月間集計シート!$M$71:$M$90,$G46,月間集計シート!R$71:R$90)*AB$2</f>
        <v>0</v>
      </c>
      <c r="AC46" s="88">
        <f>SUMIF(月間集計シート!$M$71:$M$90,$G46,月間集計シート!S$71:S$90)*AC$2</f>
        <v>0</v>
      </c>
      <c r="AD46" s="88">
        <f>SUMIF(月間集計シート!$M$71:$M$90,$G46,月間集計シート!T$71:T$90)*AD$2</f>
        <v>0</v>
      </c>
      <c r="AE46" s="88">
        <f>SUMIF(月間集計シート!$M$92:$M$111,$G46,月間集計シート!N$92:N$111)*AE$2</f>
        <v>0</v>
      </c>
      <c r="AF46" s="88">
        <f>SUMIF(月間集計シート!$M$92:$M$111,$G46,月間集計シート!O$92:O$111)*AF$2</f>
        <v>0</v>
      </c>
      <c r="AG46" s="88">
        <f>SUMIF(月間集計シート!$M$92:$M$111,$G46,月間集計シート!P$92:P$111)*AG$2</f>
        <v>0</v>
      </c>
      <c r="AH46" s="88">
        <f>SUMIF(月間集計シート!$M$92:$M$111,$G46,月間集計シート!Q$92:Q$111)*AH$2</f>
        <v>0</v>
      </c>
      <c r="AI46" s="88">
        <f>SUMIF(月間集計シート!$M$92:$M$111,$G46,月間集計シート!R$92:R$111)*AI$2</f>
        <v>0</v>
      </c>
      <c r="AJ46" s="88">
        <f>SUMIF(月間集計シート!$M$92:$M$111,$G46,月間集計シート!S$92:S$111)*AJ$2</f>
        <v>0</v>
      </c>
      <c r="AK46" s="88">
        <f>SUMIF(月間集計シート!$M$92:$M$111,$G46,月間集計シート!T$92:T$111)*AK$2</f>
        <v>0</v>
      </c>
      <c r="AL46" s="88">
        <f>SUMIF(月間集計シート!$M$113:$M$132,$G46,月間集計シート!N$113:N$132)*AL$2</f>
        <v>0</v>
      </c>
      <c r="AM46" s="88">
        <f>SUMIF(月間集計シート!$M$113:$M$132,$G46,月間集計シート!O$113:O$132)*AM$2</f>
        <v>0</v>
      </c>
      <c r="AN46" s="88">
        <f>SUMIF(月間集計シート!$M$113:$M$132,$G46,月間集計シート!P$113:P$132)*AN$2</f>
        <v>0</v>
      </c>
      <c r="AO46" s="88">
        <f>SUMIF(月間集計シート!$M$113:$M$132,$G46,月間集計シート!Q$113:Q$132)*AO$2</f>
        <v>0</v>
      </c>
      <c r="AP46" s="88">
        <f>SUMIF(月間集計シート!$M$113:$M$132,$G46,月間集計シート!R$113:R$132)*AP$2</f>
        <v>0</v>
      </c>
      <c r="AQ46" s="88">
        <f>SUMIF(月間集計シート!$M$113:$M$132,$G46,月間集計シート!S$113:S$132)*AQ$2</f>
        <v>0</v>
      </c>
      <c r="AR46" s="88">
        <f>SUMIF(月間集計シート!$M$113:$M$132,$G46,月間集計シート!T$113:T$132)*AR$2</f>
        <v>0</v>
      </c>
      <c r="AS46" s="88">
        <f>SUMIF(月間集計シート!$M$134:$M$153,$G46,月間集計シート!N$134:N$153)*AS$2</f>
        <v>0</v>
      </c>
      <c r="AT46" s="88">
        <f>SUMIF(月間集計シート!$M$134:$M$153,$G46,月間集計シート!O$134:O$153)*AT$2</f>
        <v>0</v>
      </c>
      <c r="AU46" s="88">
        <f>SUMIF(月間集計シート!$M$134:$M$153,$G46,月間集計シート!P$134:P$153)*AU$2</f>
        <v>0</v>
      </c>
      <c r="AV46" s="88">
        <f>SUMIF(月間集計シート!$M$134:$M$153,$G46,月間集計シート!Q$134:Q$153)*AV$2</f>
        <v>0</v>
      </c>
      <c r="AW46" s="88">
        <f>SUMIF(月間集計シート!$M$134:$M$153,$G46,月間集計シート!R$134:R$153)*AW$2</f>
        <v>0</v>
      </c>
      <c r="AX46" s="88">
        <f>SUMIF(月間集計シート!$M$134:$M$153,$G46,月間集計シート!S$134:S$153)*AX$2</f>
        <v>0</v>
      </c>
      <c r="AY46" s="88">
        <f>SUMIF(月間集計シート!$M$134:$M$153,$G46,月間集計シート!T$134:T$153)*AY$2</f>
        <v>0</v>
      </c>
    </row>
    <row r="47" spans="1:51" ht="14.25" thickBot="1">
      <c r="A47">
        <v>1</v>
      </c>
      <c r="B47" s="120">
        <f t="shared" si="5"/>
        <v>999909</v>
      </c>
      <c r="C47" s="120" t="e">
        <f t="shared" si="6"/>
        <v>#N/A</v>
      </c>
      <c r="D47" s="137"/>
      <c r="E47" s="150" t="str">
        <f>工種!A39</f>
        <v>50105</v>
      </c>
      <c r="F47" s="119" t="str">
        <f>工種!B39</f>
        <v>ﾏﾆｭｱﾙ作成：打合せ</v>
      </c>
      <c r="G47" s="116" t="str">
        <f t="shared" si="7"/>
        <v>99990950105</v>
      </c>
      <c r="H47" s="88">
        <f t="shared" si="4"/>
        <v>0</v>
      </c>
      <c r="I47" s="132"/>
      <c r="J47" s="88">
        <f>SUMIF(月間集計シート!$M$29:$M$48,$G47,月間集計シート!N$29:N$48)*J$2</f>
        <v>0</v>
      </c>
      <c r="K47" s="88">
        <f>SUMIF(月間集計シート!$M$29:$M$48,$G47,月間集計シート!O$29:O$48)*K$2</f>
        <v>0</v>
      </c>
      <c r="L47" s="88">
        <f>SUMIF(月間集計シート!$M$29:$M$48,$G47,月間集計シート!P$29:P$48)*L$2</f>
        <v>0</v>
      </c>
      <c r="M47" s="88">
        <f>SUMIF(月間集計シート!$M$29:$M$48,$G47,月間集計シート!Q$29:Q$48)*M$2</f>
        <v>0</v>
      </c>
      <c r="N47" s="88">
        <f>SUMIF(月間集計シート!$M$29:$M$48,$G47,月間集計シート!R$29:R$48)*N$2</f>
        <v>0</v>
      </c>
      <c r="O47" s="88">
        <f>SUMIF(月間集計シート!$M$29:$M$48,$G47,月間集計シート!S$29:S$48)*O$2</f>
        <v>0</v>
      </c>
      <c r="P47" s="88">
        <f>SUMIF(月間集計シート!$M$29:$M$48,$G47,月間集計シート!T$29:T$48)*P$2</f>
        <v>0</v>
      </c>
      <c r="Q47" s="88">
        <f>SUMIF(月間集計シート!$M$50:$M$69,$G47,月間集計シート!N$50:N$69)*Q$2</f>
        <v>0</v>
      </c>
      <c r="R47" s="88">
        <f>SUMIF(月間集計シート!$M$50:$M$69,$G47,月間集計シート!O$50:O$69)*R$2</f>
        <v>0</v>
      </c>
      <c r="S47" s="88">
        <f>SUMIF(月間集計シート!$M$50:$M$69,$G47,月間集計シート!P$50:P$69)*S$2</f>
        <v>0</v>
      </c>
      <c r="T47" s="88">
        <f>SUMIF(月間集計シート!$M$50:$M$69,$G47,月間集計シート!Q$50:Q$69)*T$2</f>
        <v>0</v>
      </c>
      <c r="U47" s="88">
        <f>SUMIF(月間集計シート!$M$50:$M$69,$G47,月間集計シート!R$50:R$69)*U$2</f>
        <v>0</v>
      </c>
      <c r="V47" s="88">
        <f>SUMIF(月間集計シート!$M$50:$M$69,$G47,月間集計シート!S$50:S$69)*V$2</f>
        <v>0</v>
      </c>
      <c r="W47" s="88">
        <f>SUMIF(月間集計シート!$M$50:$M$69,$G47,月間集計シート!T$50:T$69)*W$2</f>
        <v>0</v>
      </c>
      <c r="X47" s="88">
        <f>SUMIF(月間集計シート!$M$71:$M$90,$G47,月間集計シート!N$71:N$90)*X$2</f>
        <v>0</v>
      </c>
      <c r="Y47" s="88">
        <f>SUMIF(月間集計シート!$M$71:$M$90,$G47,月間集計シート!O$71:O$90)*Y$2</f>
        <v>0</v>
      </c>
      <c r="Z47" s="88">
        <f>SUMIF(月間集計シート!$M$71:$M$90,$G47,月間集計シート!P$71:P$90)*Z$2</f>
        <v>0</v>
      </c>
      <c r="AA47" s="88">
        <f>SUMIF(月間集計シート!$M$71:$M$90,$G47,月間集計シート!Q$71:Q$90)*AA$2</f>
        <v>0</v>
      </c>
      <c r="AB47" s="88">
        <f>SUMIF(月間集計シート!$M$71:$M$90,$G47,月間集計シート!R$71:R$90)*AB$2</f>
        <v>0</v>
      </c>
      <c r="AC47" s="88">
        <f>SUMIF(月間集計シート!$M$71:$M$90,$G47,月間集計シート!S$71:S$90)*AC$2</f>
        <v>0</v>
      </c>
      <c r="AD47" s="88">
        <f>SUMIF(月間集計シート!$M$71:$M$90,$G47,月間集計シート!T$71:T$90)*AD$2</f>
        <v>0</v>
      </c>
      <c r="AE47" s="88">
        <f>SUMIF(月間集計シート!$M$92:$M$111,$G47,月間集計シート!N$92:N$111)*AE$2</f>
        <v>0</v>
      </c>
      <c r="AF47" s="88">
        <f>SUMIF(月間集計シート!$M$92:$M$111,$G47,月間集計シート!O$92:O$111)*AF$2</f>
        <v>0</v>
      </c>
      <c r="AG47" s="88">
        <f>SUMIF(月間集計シート!$M$92:$M$111,$G47,月間集計シート!P$92:P$111)*AG$2</f>
        <v>0</v>
      </c>
      <c r="AH47" s="88">
        <f>SUMIF(月間集計シート!$M$92:$M$111,$G47,月間集計シート!Q$92:Q$111)*AH$2</f>
        <v>0</v>
      </c>
      <c r="AI47" s="88">
        <f>SUMIF(月間集計シート!$M$92:$M$111,$G47,月間集計シート!R$92:R$111)*AI$2</f>
        <v>0</v>
      </c>
      <c r="AJ47" s="88">
        <f>SUMIF(月間集計シート!$M$92:$M$111,$G47,月間集計シート!S$92:S$111)*AJ$2</f>
        <v>0</v>
      </c>
      <c r="AK47" s="88">
        <f>SUMIF(月間集計シート!$M$92:$M$111,$G47,月間集計シート!T$92:T$111)*AK$2</f>
        <v>0</v>
      </c>
      <c r="AL47" s="88">
        <f>SUMIF(月間集計シート!$M$113:$M$132,$G47,月間集計シート!N$113:N$132)*AL$2</f>
        <v>0</v>
      </c>
      <c r="AM47" s="88">
        <f>SUMIF(月間集計シート!$M$113:$M$132,$G47,月間集計シート!O$113:O$132)*AM$2</f>
        <v>0</v>
      </c>
      <c r="AN47" s="88">
        <f>SUMIF(月間集計シート!$M$113:$M$132,$G47,月間集計シート!P$113:P$132)*AN$2</f>
        <v>0</v>
      </c>
      <c r="AO47" s="88">
        <f>SUMIF(月間集計シート!$M$113:$M$132,$G47,月間集計シート!Q$113:Q$132)*AO$2</f>
        <v>0</v>
      </c>
      <c r="AP47" s="88">
        <f>SUMIF(月間集計シート!$M$113:$M$132,$G47,月間集計シート!R$113:R$132)*AP$2</f>
        <v>0</v>
      </c>
      <c r="AQ47" s="88">
        <f>SUMIF(月間集計シート!$M$113:$M$132,$G47,月間集計シート!S$113:S$132)*AQ$2</f>
        <v>0</v>
      </c>
      <c r="AR47" s="88">
        <f>SUMIF(月間集計シート!$M$113:$M$132,$G47,月間集計シート!T$113:T$132)*AR$2</f>
        <v>0</v>
      </c>
      <c r="AS47" s="88">
        <f>SUMIF(月間集計シート!$M$134:$M$153,$G47,月間集計シート!N$134:N$153)*AS$2</f>
        <v>0</v>
      </c>
      <c r="AT47" s="88">
        <f>SUMIF(月間集計シート!$M$134:$M$153,$G47,月間集計シート!O$134:O$153)*AT$2</f>
        <v>0</v>
      </c>
      <c r="AU47" s="88">
        <f>SUMIF(月間集計シート!$M$134:$M$153,$G47,月間集計シート!P$134:P$153)*AU$2</f>
        <v>0</v>
      </c>
      <c r="AV47" s="88">
        <f>SUMIF(月間集計シート!$M$134:$M$153,$G47,月間集計シート!Q$134:Q$153)*AV$2</f>
        <v>0</v>
      </c>
      <c r="AW47" s="88">
        <f>SUMIF(月間集計シート!$M$134:$M$153,$G47,月間集計シート!R$134:R$153)*AW$2</f>
        <v>0</v>
      </c>
      <c r="AX47" s="88">
        <f>SUMIF(月間集計シート!$M$134:$M$153,$G47,月間集計シート!S$134:S$153)*AX$2</f>
        <v>0</v>
      </c>
      <c r="AY47" s="88">
        <f>SUMIF(月間集計シート!$M$134:$M$153,$G47,月間集計シート!T$134:T$153)*AY$2</f>
        <v>0</v>
      </c>
    </row>
    <row r="48" spans="1:51" ht="14.25" thickBot="1">
      <c r="A48">
        <v>1</v>
      </c>
      <c r="B48" s="120">
        <f t="shared" si="5"/>
        <v>999909</v>
      </c>
      <c r="C48" s="120" t="e">
        <f t="shared" si="6"/>
        <v>#N/A</v>
      </c>
      <c r="D48" s="137"/>
      <c r="E48" s="150" t="str">
        <f>工種!A40</f>
        <v>50106</v>
      </c>
      <c r="F48" s="119" t="str">
        <f>工種!B40</f>
        <v>ﾏﾆｭｱﾙ作成：ﾚﾋﾞｭｰ</v>
      </c>
      <c r="G48" s="116" t="str">
        <f t="shared" si="7"/>
        <v>99990950106</v>
      </c>
      <c r="H48" s="88">
        <f t="shared" si="4"/>
        <v>0</v>
      </c>
      <c r="I48" s="132"/>
      <c r="J48" s="88">
        <f>SUMIF(月間集計シート!$M$29:$M$48,$G48,月間集計シート!N$29:N$48)*J$2</f>
        <v>0</v>
      </c>
      <c r="K48" s="88">
        <f>SUMIF(月間集計シート!$M$29:$M$48,$G48,月間集計シート!O$29:O$48)*K$2</f>
        <v>0</v>
      </c>
      <c r="L48" s="88">
        <f>SUMIF(月間集計シート!$M$29:$M$48,$G48,月間集計シート!P$29:P$48)*L$2</f>
        <v>0</v>
      </c>
      <c r="M48" s="88">
        <f>SUMIF(月間集計シート!$M$29:$M$48,$G48,月間集計シート!Q$29:Q$48)*M$2</f>
        <v>0</v>
      </c>
      <c r="N48" s="88">
        <f>SUMIF(月間集計シート!$M$29:$M$48,$G48,月間集計シート!R$29:R$48)*N$2</f>
        <v>0</v>
      </c>
      <c r="O48" s="88">
        <f>SUMIF(月間集計シート!$M$29:$M$48,$G48,月間集計シート!S$29:S$48)*O$2</f>
        <v>0</v>
      </c>
      <c r="P48" s="88">
        <f>SUMIF(月間集計シート!$M$29:$M$48,$G48,月間集計シート!T$29:T$48)*P$2</f>
        <v>0</v>
      </c>
      <c r="Q48" s="88">
        <f>SUMIF(月間集計シート!$M$50:$M$69,$G48,月間集計シート!N$50:N$69)*Q$2</f>
        <v>0</v>
      </c>
      <c r="R48" s="88">
        <f>SUMIF(月間集計シート!$M$50:$M$69,$G48,月間集計シート!O$50:O$69)*R$2</f>
        <v>0</v>
      </c>
      <c r="S48" s="88">
        <f>SUMIF(月間集計シート!$M$50:$M$69,$G48,月間集計シート!P$50:P$69)*S$2</f>
        <v>0</v>
      </c>
      <c r="T48" s="88">
        <f>SUMIF(月間集計シート!$M$50:$M$69,$G48,月間集計シート!Q$50:Q$69)*T$2</f>
        <v>0</v>
      </c>
      <c r="U48" s="88">
        <f>SUMIF(月間集計シート!$M$50:$M$69,$G48,月間集計シート!R$50:R$69)*U$2</f>
        <v>0</v>
      </c>
      <c r="V48" s="88">
        <f>SUMIF(月間集計シート!$M$50:$M$69,$G48,月間集計シート!S$50:S$69)*V$2</f>
        <v>0</v>
      </c>
      <c r="W48" s="88">
        <f>SUMIF(月間集計シート!$M$50:$M$69,$G48,月間集計シート!T$50:T$69)*W$2</f>
        <v>0</v>
      </c>
      <c r="X48" s="88">
        <f>SUMIF(月間集計シート!$M$71:$M$90,$G48,月間集計シート!N$71:N$90)*X$2</f>
        <v>0</v>
      </c>
      <c r="Y48" s="88">
        <f>SUMIF(月間集計シート!$M$71:$M$90,$G48,月間集計シート!O$71:O$90)*Y$2</f>
        <v>0</v>
      </c>
      <c r="Z48" s="88">
        <f>SUMIF(月間集計シート!$M$71:$M$90,$G48,月間集計シート!P$71:P$90)*Z$2</f>
        <v>0</v>
      </c>
      <c r="AA48" s="88">
        <f>SUMIF(月間集計シート!$M$71:$M$90,$G48,月間集計シート!Q$71:Q$90)*AA$2</f>
        <v>0</v>
      </c>
      <c r="AB48" s="88">
        <f>SUMIF(月間集計シート!$M$71:$M$90,$G48,月間集計シート!R$71:R$90)*AB$2</f>
        <v>0</v>
      </c>
      <c r="AC48" s="88">
        <f>SUMIF(月間集計シート!$M$71:$M$90,$G48,月間集計シート!S$71:S$90)*AC$2</f>
        <v>0</v>
      </c>
      <c r="AD48" s="88">
        <f>SUMIF(月間集計シート!$M$71:$M$90,$G48,月間集計シート!T$71:T$90)*AD$2</f>
        <v>0</v>
      </c>
      <c r="AE48" s="88">
        <f>SUMIF(月間集計シート!$M$92:$M$111,$G48,月間集計シート!N$92:N$111)*AE$2</f>
        <v>0</v>
      </c>
      <c r="AF48" s="88">
        <f>SUMIF(月間集計シート!$M$92:$M$111,$G48,月間集計シート!O$92:O$111)*AF$2</f>
        <v>0</v>
      </c>
      <c r="AG48" s="88">
        <f>SUMIF(月間集計シート!$M$92:$M$111,$G48,月間集計シート!P$92:P$111)*AG$2</f>
        <v>0</v>
      </c>
      <c r="AH48" s="88">
        <f>SUMIF(月間集計シート!$M$92:$M$111,$G48,月間集計シート!Q$92:Q$111)*AH$2</f>
        <v>0</v>
      </c>
      <c r="AI48" s="88">
        <f>SUMIF(月間集計シート!$M$92:$M$111,$G48,月間集計シート!R$92:R$111)*AI$2</f>
        <v>0</v>
      </c>
      <c r="AJ48" s="88">
        <f>SUMIF(月間集計シート!$M$92:$M$111,$G48,月間集計シート!S$92:S$111)*AJ$2</f>
        <v>0</v>
      </c>
      <c r="AK48" s="88">
        <f>SUMIF(月間集計シート!$M$92:$M$111,$G48,月間集計シート!T$92:T$111)*AK$2</f>
        <v>0</v>
      </c>
      <c r="AL48" s="88">
        <f>SUMIF(月間集計シート!$M$113:$M$132,$G48,月間集計シート!N$113:N$132)*AL$2</f>
        <v>0</v>
      </c>
      <c r="AM48" s="88">
        <f>SUMIF(月間集計シート!$M$113:$M$132,$G48,月間集計シート!O$113:O$132)*AM$2</f>
        <v>0</v>
      </c>
      <c r="AN48" s="88">
        <f>SUMIF(月間集計シート!$M$113:$M$132,$G48,月間集計シート!P$113:P$132)*AN$2</f>
        <v>0</v>
      </c>
      <c r="AO48" s="88">
        <f>SUMIF(月間集計シート!$M$113:$M$132,$G48,月間集計シート!Q$113:Q$132)*AO$2</f>
        <v>0</v>
      </c>
      <c r="AP48" s="88">
        <f>SUMIF(月間集計シート!$M$113:$M$132,$G48,月間集計シート!R$113:R$132)*AP$2</f>
        <v>0</v>
      </c>
      <c r="AQ48" s="88">
        <f>SUMIF(月間集計シート!$M$113:$M$132,$G48,月間集計シート!S$113:S$132)*AQ$2</f>
        <v>0</v>
      </c>
      <c r="AR48" s="88">
        <f>SUMIF(月間集計シート!$M$113:$M$132,$G48,月間集計シート!T$113:T$132)*AR$2</f>
        <v>0</v>
      </c>
      <c r="AS48" s="88">
        <f>SUMIF(月間集計シート!$M$134:$M$153,$G48,月間集計シート!N$134:N$153)*AS$2</f>
        <v>0</v>
      </c>
      <c r="AT48" s="88">
        <f>SUMIF(月間集計シート!$M$134:$M$153,$G48,月間集計シート!O$134:O$153)*AT$2</f>
        <v>0</v>
      </c>
      <c r="AU48" s="88">
        <f>SUMIF(月間集計シート!$M$134:$M$153,$G48,月間集計シート!P$134:P$153)*AU$2</f>
        <v>0</v>
      </c>
      <c r="AV48" s="88">
        <f>SUMIF(月間集計シート!$M$134:$M$153,$G48,月間集計シート!Q$134:Q$153)*AV$2</f>
        <v>0</v>
      </c>
      <c r="AW48" s="88">
        <f>SUMIF(月間集計シート!$M$134:$M$153,$G48,月間集計シート!R$134:R$153)*AW$2</f>
        <v>0</v>
      </c>
      <c r="AX48" s="88">
        <f>SUMIF(月間集計シート!$M$134:$M$153,$G48,月間集計シート!S$134:S$153)*AX$2</f>
        <v>0</v>
      </c>
      <c r="AY48" s="88">
        <f>SUMIF(月間集計シート!$M$134:$M$153,$G48,月間集計シート!T$134:T$153)*AY$2</f>
        <v>0</v>
      </c>
    </row>
    <row r="49" spans="1:51" ht="14.25" thickBot="1">
      <c r="A49">
        <v>1</v>
      </c>
      <c r="B49" s="120">
        <f t="shared" si="5"/>
        <v>999909</v>
      </c>
      <c r="C49" s="120" t="e">
        <f t="shared" si="6"/>
        <v>#N/A</v>
      </c>
      <c r="D49" s="137"/>
      <c r="E49" s="150" t="str">
        <f>工種!A41</f>
        <v>50199</v>
      </c>
      <c r="F49" s="119" t="str">
        <f>工種!B41</f>
        <v>ﾏﾆｭｱﾙ作成：その他</v>
      </c>
      <c r="G49" s="116" t="str">
        <f t="shared" si="7"/>
        <v>99990950199</v>
      </c>
      <c r="H49" s="88">
        <f t="shared" si="4"/>
        <v>0</v>
      </c>
      <c r="I49" s="132"/>
      <c r="J49" s="88">
        <f>SUMIF(月間集計シート!$M$29:$M$48,$G49,月間集計シート!N$29:N$48)*J$2</f>
        <v>0</v>
      </c>
      <c r="K49" s="88">
        <f>SUMIF(月間集計シート!$M$29:$M$48,$G49,月間集計シート!O$29:O$48)*K$2</f>
        <v>0</v>
      </c>
      <c r="L49" s="88">
        <f>SUMIF(月間集計シート!$M$29:$M$48,$G49,月間集計シート!P$29:P$48)*L$2</f>
        <v>0</v>
      </c>
      <c r="M49" s="88">
        <f>SUMIF(月間集計シート!$M$29:$M$48,$G49,月間集計シート!Q$29:Q$48)*M$2</f>
        <v>0</v>
      </c>
      <c r="N49" s="88">
        <f>SUMIF(月間集計シート!$M$29:$M$48,$G49,月間集計シート!R$29:R$48)*N$2</f>
        <v>0</v>
      </c>
      <c r="O49" s="88">
        <f>SUMIF(月間集計シート!$M$29:$M$48,$G49,月間集計シート!S$29:S$48)*O$2</f>
        <v>0</v>
      </c>
      <c r="P49" s="88">
        <f>SUMIF(月間集計シート!$M$29:$M$48,$G49,月間集計シート!T$29:T$48)*P$2</f>
        <v>0</v>
      </c>
      <c r="Q49" s="88">
        <f>SUMIF(月間集計シート!$M$50:$M$69,$G49,月間集計シート!N$50:N$69)*Q$2</f>
        <v>0</v>
      </c>
      <c r="R49" s="88">
        <f>SUMIF(月間集計シート!$M$50:$M$69,$G49,月間集計シート!O$50:O$69)*R$2</f>
        <v>0</v>
      </c>
      <c r="S49" s="88">
        <f>SUMIF(月間集計シート!$M$50:$M$69,$G49,月間集計シート!P$50:P$69)*S$2</f>
        <v>0</v>
      </c>
      <c r="T49" s="88">
        <f>SUMIF(月間集計シート!$M$50:$M$69,$G49,月間集計シート!Q$50:Q$69)*T$2</f>
        <v>0</v>
      </c>
      <c r="U49" s="88">
        <f>SUMIF(月間集計シート!$M$50:$M$69,$G49,月間集計シート!R$50:R$69)*U$2</f>
        <v>0</v>
      </c>
      <c r="V49" s="88">
        <f>SUMIF(月間集計シート!$M$50:$M$69,$G49,月間集計シート!S$50:S$69)*V$2</f>
        <v>0</v>
      </c>
      <c r="W49" s="88">
        <f>SUMIF(月間集計シート!$M$50:$M$69,$G49,月間集計シート!T$50:T$69)*W$2</f>
        <v>0</v>
      </c>
      <c r="X49" s="88">
        <f>SUMIF(月間集計シート!$M$71:$M$90,$G49,月間集計シート!N$71:N$90)*X$2</f>
        <v>0</v>
      </c>
      <c r="Y49" s="88">
        <f>SUMIF(月間集計シート!$M$71:$M$90,$G49,月間集計シート!O$71:O$90)*Y$2</f>
        <v>0</v>
      </c>
      <c r="Z49" s="88">
        <f>SUMIF(月間集計シート!$M$71:$M$90,$G49,月間集計シート!P$71:P$90)*Z$2</f>
        <v>0</v>
      </c>
      <c r="AA49" s="88">
        <f>SUMIF(月間集計シート!$M$71:$M$90,$G49,月間集計シート!Q$71:Q$90)*AA$2</f>
        <v>0</v>
      </c>
      <c r="AB49" s="88">
        <f>SUMIF(月間集計シート!$M$71:$M$90,$G49,月間集計シート!R$71:R$90)*AB$2</f>
        <v>0</v>
      </c>
      <c r="AC49" s="88">
        <f>SUMIF(月間集計シート!$M$71:$M$90,$G49,月間集計シート!S$71:S$90)*AC$2</f>
        <v>0</v>
      </c>
      <c r="AD49" s="88">
        <f>SUMIF(月間集計シート!$M$71:$M$90,$G49,月間集計シート!T$71:T$90)*AD$2</f>
        <v>0</v>
      </c>
      <c r="AE49" s="88">
        <f>SUMIF(月間集計シート!$M$92:$M$111,$G49,月間集計シート!N$92:N$111)*AE$2</f>
        <v>0</v>
      </c>
      <c r="AF49" s="88">
        <f>SUMIF(月間集計シート!$M$92:$M$111,$G49,月間集計シート!O$92:O$111)*AF$2</f>
        <v>0</v>
      </c>
      <c r="AG49" s="88">
        <f>SUMIF(月間集計シート!$M$92:$M$111,$G49,月間集計シート!P$92:P$111)*AG$2</f>
        <v>0</v>
      </c>
      <c r="AH49" s="88">
        <f>SUMIF(月間集計シート!$M$92:$M$111,$G49,月間集計シート!Q$92:Q$111)*AH$2</f>
        <v>0</v>
      </c>
      <c r="AI49" s="88">
        <f>SUMIF(月間集計シート!$M$92:$M$111,$G49,月間集計シート!R$92:R$111)*AI$2</f>
        <v>0</v>
      </c>
      <c r="AJ49" s="88">
        <f>SUMIF(月間集計シート!$M$92:$M$111,$G49,月間集計シート!S$92:S$111)*AJ$2</f>
        <v>0</v>
      </c>
      <c r="AK49" s="88">
        <f>SUMIF(月間集計シート!$M$92:$M$111,$G49,月間集計シート!T$92:T$111)*AK$2</f>
        <v>0</v>
      </c>
      <c r="AL49" s="88">
        <f>SUMIF(月間集計シート!$M$113:$M$132,$G49,月間集計シート!N$113:N$132)*AL$2</f>
        <v>0</v>
      </c>
      <c r="AM49" s="88">
        <f>SUMIF(月間集計シート!$M$113:$M$132,$G49,月間集計シート!O$113:O$132)*AM$2</f>
        <v>0</v>
      </c>
      <c r="AN49" s="88">
        <f>SUMIF(月間集計シート!$M$113:$M$132,$G49,月間集計シート!P$113:P$132)*AN$2</f>
        <v>0</v>
      </c>
      <c r="AO49" s="88">
        <f>SUMIF(月間集計シート!$M$113:$M$132,$G49,月間集計シート!Q$113:Q$132)*AO$2</f>
        <v>0</v>
      </c>
      <c r="AP49" s="88">
        <f>SUMIF(月間集計シート!$M$113:$M$132,$G49,月間集計シート!R$113:R$132)*AP$2</f>
        <v>0</v>
      </c>
      <c r="AQ49" s="88">
        <f>SUMIF(月間集計シート!$M$113:$M$132,$G49,月間集計シート!S$113:S$132)*AQ$2</f>
        <v>0</v>
      </c>
      <c r="AR49" s="88">
        <f>SUMIF(月間集計シート!$M$113:$M$132,$G49,月間集計シート!T$113:T$132)*AR$2</f>
        <v>0</v>
      </c>
      <c r="AS49" s="88">
        <f>SUMIF(月間集計シート!$M$134:$M$153,$G49,月間集計シート!N$134:N$153)*AS$2</f>
        <v>0</v>
      </c>
      <c r="AT49" s="88">
        <f>SUMIF(月間集計シート!$M$134:$M$153,$G49,月間集計シート!O$134:O$153)*AT$2</f>
        <v>0</v>
      </c>
      <c r="AU49" s="88">
        <f>SUMIF(月間集計シート!$M$134:$M$153,$G49,月間集計シート!P$134:P$153)*AU$2</f>
        <v>0</v>
      </c>
      <c r="AV49" s="88">
        <f>SUMIF(月間集計シート!$M$134:$M$153,$G49,月間集計シート!Q$134:Q$153)*AV$2</f>
        <v>0</v>
      </c>
      <c r="AW49" s="88">
        <f>SUMIF(月間集計シート!$M$134:$M$153,$G49,月間集計シート!R$134:R$153)*AW$2</f>
        <v>0</v>
      </c>
      <c r="AX49" s="88">
        <f>SUMIF(月間集計シート!$M$134:$M$153,$G49,月間集計シート!S$134:S$153)*AX$2</f>
        <v>0</v>
      </c>
      <c r="AY49" s="88">
        <f>SUMIF(月間集計シート!$M$134:$M$153,$G49,月間集計シート!T$134:T$153)*AY$2</f>
        <v>0</v>
      </c>
    </row>
    <row r="50" spans="1:51" ht="14.25" thickBot="1">
      <c r="A50">
        <v>1</v>
      </c>
      <c r="B50" s="120">
        <f t="shared" si="5"/>
        <v>999909</v>
      </c>
      <c r="C50" s="120" t="e">
        <f t="shared" si="6"/>
        <v>#N/A</v>
      </c>
      <c r="D50" s="137"/>
      <c r="E50" s="150" t="str">
        <f>工種!A42</f>
        <v>60101</v>
      </c>
      <c r="F50" s="119" t="str">
        <f>工種!B42</f>
        <v>ﾘﾘｰｽ：ﾘﾘｰｽ・ﾃﾞﾘﾊﾞﾘ作業</v>
      </c>
      <c r="G50" s="116" t="str">
        <f t="shared" si="7"/>
        <v>99990960101</v>
      </c>
      <c r="H50" s="88">
        <f t="shared" si="4"/>
        <v>0</v>
      </c>
      <c r="I50" s="132"/>
      <c r="J50" s="88">
        <f>SUMIF(月間集計シート!$M$29:$M$48,$G50,月間集計シート!N$29:N$48)*J$2</f>
        <v>0</v>
      </c>
      <c r="K50" s="88">
        <f>SUMIF(月間集計シート!$M$29:$M$48,$G50,月間集計シート!O$29:O$48)*K$2</f>
        <v>0</v>
      </c>
      <c r="L50" s="88">
        <f>SUMIF(月間集計シート!$M$29:$M$48,$G50,月間集計シート!P$29:P$48)*L$2</f>
        <v>0</v>
      </c>
      <c r="M50" s="88">
        <f>SUMIF(月間集計シート!$M$29:$M$48,$G50,月間集計シート!Q$29:Q$48)*M$2</f>
        <v>0</v>
      </c>
      <c r="N50" s="88">
        <f>SUMIF(月間集計シート!$M$29:$M$48,$G50,月間集計シート!R$29:R$48)*N$2</f>
        <v>0</v>
      </c>
      <c r="O50" s="88">
        <f>SUMIF(月間集計シート!$M$29:$M$48,$G50,月間集計シート!S$29:S$48)*O$2</f>
        <v>0</v>
      </c>
      <c r="P50" s="88">
        <f>SUMIF(月間集計シート!$M$29:$M$48,$G50,月間集計シート!T$29:T$48)*P$2</f>
        <v>0</v>
      </c>
      <c r="Q50" s="88">
        <f>SUMIF(月間集計シート!$M$50:$M$69,$G50,月間集計シート!N$50:N$69)*Q$2</f>
        <v>0</v>
      </c>
      <c r="R50" s="88">
        <f>SUMIF(月間集計シート!$M$50:$M$69,$G50,月間集計シート!O$50:O$69)*R$2</f>
        <v>0</v>
      </c>
      <c r="S50" s="88">
        <f>SUMIF(月間集計シート!$M$50:$M$69,$G50,月間集計シート!P$50:P$69)*S$2</f>
        <v>0</v>
      </c>
      <c r="T50" s="88">
        <f>SUMIF(月間集計シート!$M$50:$M$69,$G50,月間集計シート!Q$50:Q$69)*T$2</f>
        <v>0</v>
      </c>
      <c r="U50" s="88">
        <f>SUMIF(月間集計シート!$M$50:$M$69,$G50,月間集計シート!R$50:R$69)*U$2</f>
        <v>0</v>
      </c>
      <c r="V50" s="88">
        <f>SUMIF(月間集計シート!$M$50:$M$69,$G50,月間集計シート!S$50:S$69)*V$2</f>
        <v>0</v>
      </c>
      <c r="W50" s="88">
        <f>SUMIF(月間集計シート!$M$50:$M$69,$G50,月間集計シート!T$50:T$69)*W$2</f>
        <v>0</v>
      </c>
      <c r="X50" s="88">
        <f>SUMIF(月間集計シート!$M$71:$M$90,$G50,月間集計シート!N$71:N$90)*X$2</f>
        <v>0</v>
      </c>
      <c r="Y50" s="88">
        <f>SUMIF(月間集計シート!$M$71:$M$90,$G50,月間集計シート!O$71:O$90)*Y$2</f>
        <v>0</v>
      </c>
      <c r="Z50" s="88">
        <f>SUMIF(月間集計シート!$M$71:$M$90,$G50,月間集計シート!P$71:P$90)*Z$2</f>
        <v>0</v>
      </c>
      <c r="AA50" s="88">
        <f>SUMIF(月間集計シート!$M$71:$M$90,$G50,月間集計シート!Q$71:Q$90)*AA$2</f>
        <v>0</v>
      </c>
      <c r="AB50" s="88">
        <f>SUMIF(月間集計シート!$M$71:$M$90,$G50,月間集計シート!R$71:R$90)*AB$2</f>
        <v>0</v>
      </c>
      <c r="AC50" s="88">
        <f>SUMIF(月間集計シート!$M$71:$M$90,$G50,月間集計シート!S$71:S$90)*AC$2</f>
        <v>0</v>
      </c>
      <c r="AD50" s="88">
        <f>SUMIF(月間集計シート!$M$71:$M$90,$G50,月間集計シート!T$71:T$90)*AD$2</f>
        <v>0</v>
      </c>
      <c r="AE50" s="88">
        <f>SUMIF(月間集計シート!$M$92:$M$111,$G50,月間集計シート!N$92:N$111)*AE$2</f>
        <v>0</v>
      </c>
      <c r="AF50" s="88">
        <f>SUMIF(月間集計シート!$M$92:$M$111,$G50,月間集計シート!O$92:O$111)*AF$2</f>
        <v>0</v>
      </c>
      <c r="AG50" s="88">
        <f>SUMIF(月間集計シート!$M$92:$M$111,$G50,月間集計シート!P$92:P$111)*AG$2</f>
        <v>0</v>
      </c>
      <c r="AH50" s="88">
        <f>SUMIF(月間集計シート!$M$92:$M$111,$G50,月間集計シート!Q$92:Q$111)*AH$2</f>
        <v>0</v>
      </c>
      <c r="AI50" s="88">
        <f>SUMIF(月間集計シート!$M$92:$M$111,$G50,月間集計シート!R$92:R$111)*AI$2</f>
        <v>0</v>
      </c>
      <c r="AJ50" s="88">
        <f>SUMIF(月間集計シート!$M$92:$M$111,$G50,月間集計シート!S$92:S$111)*AJ$2</f>
        <v>0</v>
      </c>
      <c r="AK50" s="88">
        <f>SUMIF(月間集計シート!$M$92:$M$111,$G50,月間集計シート!T$92:T$111)*AK$2</f>
        <v>0</v>
      </c>
      <c r="AL50" s="88">
        <f>SUMIF(月間集計シート!$M$113:$M$132,$G50,月間集計シート!N$113:N$132)*AL$2</f>
        <v>0</v>
      </c>
      <c r="AM50" s="88">
        <f>SUMIF(月間集計シート!$M$113:$M$132,$G50,月間集計シート!O$113:O$132)*AM$2</f>
        <v>0</v>
      </c>
      <c r="AN50" s="88">
        <f>SUMIF(月間集計シート!$M$113:$M$132,$G50,月間集計シート!P$113:P$132)*AN$2</f>
        <v>0</v>
      </c>
      <c r="AO50" s="88">
        <f>SUMIF(月間集計シート!$M$113:$M$132,$G50,月間集計シート!Q$113:Q$132)*AO$2</f>
        <v>0</v>
      </c>
      <c r="AP50" s="88">
        <f>SUMIF(月間集計シート!$M$113:$M$132,$G50,月間集計シート!R$113:R$132)*AP$2</f>
        <v>0</v>
      </c>
      <c r="AQ50" s="88">
        <f>SUMIF(月間集計シート!$M$113:$M$132,$G50,月間集計シート!S$113:S$132)*AQ$2</f>
        <v>0</v>
      </c>
      <c r="AR50" s="88">
        <f>SUMIF(月間集計シート!$M$113:$M$132,$G50,月間集計シート!T$113:T$132)*AR$2</f>
        <v>0</v>
      </c>
      <c r="AS50" s="88">
        <f>SUMIF(月間集計シート!$M$134:$M$153,$G50,月間集計シート!N$134:N$153)*AS$2</f>
        <v>0</v>
      </c>
      <c r="AT50" s="88">
        <f>SUMIF(月間集計シート!$M$134:$M$153,$G50,月間集計シート!O$134:O$153)*AT$2</f>
        <v>0</v>
      </c>
      <c r="AU50" s="88">
        <f>SUMIF(月間集計シート!$M$134:$M$153,$G50,月間集計シート!P$134:P$153)*AU$2</f>
        <v>0</v>
      </c>
      <c r="AV50" s="88">
        <f>SUMIF(月間集計シート!$M$134:$M$153,$G50,月間集計シート!Q$134:Q$153)*AV$2</f>
        <v>0</v>
      </c>
      <c r="AW50" s="88">
        <f>SUMIF(月間集計シート!$M$134:$M$153,$G50,月間集計シート!R$134:R$153)*AW$2</f>
        <v>0</v>
      </c>
      <c r="AX50" s="88">
        <f>SUMIF(月間集計シート!$M$134:$M$153,$G50,月間集計シート!S$134:S$153)*AX$2</f>
        <v>0</v>
      </c>
      <c r="AY50" s="88">
        <f>SUMIF(月間集計シート!$M$134:$M$153,$G50,月間集計シート!T$134:T$153)*AY$2</f>
        <v>0</v>
      </c>
    </row>
    <row r="51" spans="1:51" ht="14.25" thickBot="1">
      <c r="A51">
        <v>1</v>
      </c>
      <c r="B51" s="120">
        <f t="shared" si="5"/>
        <v>999909</v>
      </c>
      <c r="C51" s="120" t="e">
        <f t="shared" si="6"/>
        <v>#N/A</v>
      </c>
      <c r="D51" s="137"/>
      <c r="E51" s="150" t="str">
        <f>工種!A43</f>
        <v>60102</v>
      </c>
      <c r="F51" s="119" t="str">
        <f>工種!B43</f>
        <v>ﾘﾘｰｽ：ﾘﾘｰｽ関連業務</v>
      </c>
      <c r="G51" s="116" t="str">
        <f t="shared" si="7"/>
        <v>99990960102</v>
      </c>
      <c r="H51" s="88">
        <f t="shared" si="4"/>
        <v>0</v>
      </c>
      <c r="I51" s="132"/>
      <c r="J51" s="88">
        <f>SUMIF(月間集計シート!$M$29:$M$48,$G51,月間集計シート!N$29:N$48)*J$2</f>
        <v>0</v>
      </c>
      <c r="K51" s="88">
        <f>SUMIF(月間集計シート!$M$29:$M$48,$G51,月間集計シート!O$29:O$48)*K$2</f>
        <v>0</v>
      </c>
      <c r="L51" s="88">
        <f>SUMIF(月間集計シート!$M$29:$M$48,$G51,月間集計シート!P$29:P$48)*L$2</f>
        <v>0</v>
      </c>
      <c r="M51" s="88">
        <f>SUMIF(月間集計シート!$M$29:$M$48,$G51,月間集計シート!Q$29:Q$48)*M$2</f>
        <v>0</v>
      </c>
      <c r="N51" s="88">
        <f>SUMIF(月間集計シート!$M$29:$M$48,$G51,月間集計シート!R$29:R$48)*N$2</f>
        <v>0</v>
      </c>
      <c r="O51" s="88">
        <f>SUMIF(月間集計シート!$M$29:$M$48,$G51,月間集計シート!S$29:S$48)*O$2</f>
        <v>0</v>
      </c>
      <c r="P51" s="88">
        <f>SUMIF(月間集計シート!$M$29:$M$48,$G51,月間集計シート!T$29:T$48)*P$2</f>
        <v>0</v>
      </c>
      <c r="Q51" s="88">
        <f>SUMIF(月間集計シート!$M$50:$M$69,$G51,月間集計シート!N$50:N$69)*Q$2</f>
        <v>0</v>
      </c>
      <c r="R51" s="88">
        <f>SUMIF(月間集計シート!$M$50:$M$69,$G51,月間集計シート!O$50:O$69)*R$2</f>
        <v>0</v>
      </c>
      <c r="S51" s="88">
        <f>SUMIF(月間集計シート!$M$50:$M$69,$G51,月間集計シート!P$50:P$69)*S$2</f>
        <v>0</v>
      </c>
      <c r="T51" s="88">
        <f>SUMIF(月間集計シート!$M$50:$M$69,$G51,月間集計シート!Q$50:Q$69)*T$2</f>
        <v>0</v>
      </c>
      <c r="U51" s="88">
        <f>SUMIF(月間集計シート!$M$50:$M$69,$G51,月間集計シート!R$50:R$69)*U$2</f>
        <v>0</v>
      </c>
      <c r="V51" s="88">
        <f>SUMIF(月間集計シート!$M$50:$M$69,$G51,月間集計シート!S$50:S$69)*V$2</f>
        <v>0</v>
      </c>
      <c r="W51" s="88">
        <f>SUMIF(月間集計シート!$M$50:$M$69,$G51,月間集計シート!T$50:T$69)*W$2</f>
        <v>0</v>
      </c>
      <c r="X51" s="88">
        <f>SUMIF(月間集計シート!$M$71:$M$90,$G51,月間集計シート!N$71:N$90)*X$2</f>
        <v>0</v>
      </c>
      <c r="Y51" s="88">
        <f>SUMIF(月間集計シート!$M$71:$M$90,$G51,月間集計シート!O$71:O$90)*Y$2</f>
        <v>0</v>
      </c>
      <c r="Z51" s="88">
        <f>SUMIF(月間集計シート!$M$71:$M$90,$G51,月間集計シート!P$71:P$90)*Z$2</f>
        <v>0</v>
      </c>
      <c r="AA51" s="88">
        <f>SUMIF(月間集計シート!$M$71:$M$90,$G51,月間集計シート!Q$71:Q$90)*AA$2</f>
        <v>0</v>
      </c>
      <c r="AB51" s="88">
        <f>SUMIF(月間集計シート!$M$71:$M$90,$G51,月間集計シート!R$71:R$90)*AB$2</f>
        <v>0</v>
      </c>
      <c r="AC51" s="88">
        <f>SUMIF(月間集計シート!$M$71:$M$90,$G51,月間集計シート!S$71:S$90)*AC$2</f>
        <v>0</v>
      </c>
      <c r="AD51" s="88">
        <f>SUMIF(月間集計シート!$M$71:$M$90,$G51,月間集計シート!T$71:T$90)*AD$2</f>
        <v>0</v>
      </c>
      <c r="AE51" s="88">
        <f>SUMIF(月間集計シート!$M$92:$M$111,$G51,月間集計シート!N$92:N$111)*AE$2</f>
        <v>0</v>
      </c>
      <c r="AF51" s="88">
        <f>SUMIF(月間集計シート!$M$92:$M$111,$G51,月間集計シート!O$92:O$111)*AF$2</f>
        <v>0</v>
      </c>
      <c r="AG51" s="88">
        <f>SUMIF(月間集計シート!$M$92:$M$111,$G51,月間集計シート!P$92:P$111)*AG$2</f>
        <v>0</v>
      </c>
      <c r="AH51" s="88">
        <f>SUMIF(月間集計シート!$M$92:$M$111,$G51,月間集計シート!Q$92:Q$111)*AH$2</f>
        <v>0</v>
      </c>
      <c r="AI51" s="88">
        <f>SUMIF(月間集計シート!$M$92:$M$111,$G51,月間集計シート!R$92:R$111)*AI$2</f>
        <v>0</v>
      </c>
      <c r="AJ51" s="88">
        <f>SUMIF(月間集計シート!$M$92:$M$111,$G51,月間集計シート!S$92:S$111)*AJ$2</f>
        <v>0</v>
      </c>
      <c r="AK51" s="88">
        <f>SUMIF(月間集計シート!$M$92:$M$111,$G51,月間集計シート!T$92:T$111)*AK$2</f>
        <v>0</v>
      </c>
      <c r="AL51" s="88">
        <f>SUMIF(月間集計シート!$M$113:$M$132,$G51,月間集計シート!N$113:N$132)*AL$2</f>
        <v>0</v>
      </c>
      <c r="AM51" s="88">
        <f>SUMIF(月間集計シート!$M$113:$M$132,$G51,月間集計シート!O$113:O$132)*AM$2</f>
        <v>0</v>
      </c>
      <c r="AN51" s="88">
        <f>SUMIF(月間集計シート!$M$113:$M$132,$G51,月間集計シート!P$113:P$132)*AN$2</f>
        <v>0</v>
      </c>
      <c r="AO51" s="88">
        <f>SUMIF(月間集計シート!$M$113:$M$132,$G51,月間集計シート!Q$113:Q$132)*AO$2</f>
        <v>0</v>
      </c>
      <c r="AP51" s="88">
        <f>SUMIF(月間集計シート!$M$113:$M$132,$G51,月間集計シート!R$113:R$132)*AP$2</f>
        <v>0</v>
      </c>
      <c r="AQ51" s="88">
        <f>SUMIF(月間集計シート!$M$113:$M$132,$G51,月間集計シート!S$113:S$132)*AQ$2</f>
        <v>0</v>
      </c>
      <c r="AR51" s="88">
        <f>SUMIF(月間集計シート!$M$113:$M$132,$G51,月間集計シート!T$113:T$132)*AR$2</f>
        <v>0</v>
      </c>
      <c r="AS51" s="88">
        <f>SUMIF(月間集計シート!$M$134:$M$153,$G51,月間集計シート!N$134:N$153)*AS$2</f>
        <v>0</v>
      </c>
      <c r="AT51" s="88">
        <f>SUMIF(月間集計シート!$M$134:$M$153,$G51,月間集計シート!O$134:O$153)*AT$2</f>
        <v>0</v>
      </c>
      <c r="AU51" s="88">
        <f>SUMIF(月間集計シート!$M$134:$M$153,$G51,月間集計シート!P$134:P$153)*AU$2</f>
        <v>0</v>
      </c>
      <c r="AV51" s="88">
        <f>SUMIF(月間集計シート!$M$134:$M$153,$G51,月間集計シート!Q$134:Q$153)*AV$2</f>
        <v>0</v>
      </c>
      <c r="AW51" s="88">
        <f>SUMIF(月間集計シート!$M$134:$M$153,$G51,月間集計シート!R$134:R$153)*AW$2</f>
        <v>0</v>
      </c>
      <c r="AX51" s="88">
        <f>SUMIF(月間集計シート!$M$134:$M$153,$G51,月間集計シート!S$134:S$153)*AX$2</f>
        <v>0</v>
      </c>
      <c r="AY51" s="88">
        <f>SUMIF(月間集計シート!$M$134:$M$153,$G51,月間集計シート!T$134:T$153)*AY$2</f>
        <v>0</v>
      </c>
    </row>
    <row r="52" spans="1:51" ht="14.25" thickBot="1">
      <c r="A52">
        <v>1</v>
      </c>
      <c r="B52" s="120">
        <f t="shared" si="5"/>
        <v>999909</v>
      </c>
      <c r="C52" s="120" t="e">
        <f t="shared" si="6"/>
        <v>#N/A</v>
      </c>
      <c r="D52" s="137"/>
      <c r="E52" s="150" t="str">
        <f>工種!A44</f>
        <v>60103</v>
      </c>
      <c r="F52" s="119" t="str">
        <f>工種!B44</f>
        <v>ﾘﾘｰｽ：ﾏﾆｭｱﾙPDF作成・修正</v>
      </c>
      <c r="G52" s="116" t="str">
        <f t="shared" si="7"/>
        <v>99990960103</v>
      </c>
      <c r="H52" s="88">
        <f t="shared" si="4"/>
        <v>0</v>
      </c>
      <c r="I52" s="132"/>
      <c r="J52" s="88">
        <f>SUMIF(月間集計シート!$M$29:$M$48,$G52,月間集計シート!N$29:N$48)*J$2</f>
        <v>0</v>
      </c>
      <c r="K52" s="88">
        <f>SUMIF(月間集計シート!$M$29:$M$48,$G52,月間集計シート!O$29:O$48)*K$2</f>
        <v>0</v>
      </c>
      <c r="L52" s="88">
        <f>SUMIF(月間集計シート!$M$29:$M$48,$G52,月間集計シート!P$29:P$48)*L$2</f>
        <v>0</v>
      </c>
      <c r="M52" s="88">
        <f>SUMIF(月間集計シート!$M$29:$M$48,$G52,月間集計シート!Q$29:Q$48)*M$2</f>
        <v>0</v>
      </c>
      <c r="N52" s="88">
        <f>SUMIF(月間集計シート!$M$29:$M$48,$G52,月間集計シート!R$29:R$48)*N$2</f>
        <v>0</v>
      </c>
      <c r="O52" s="88">
        <f>SUMIF(月間集計シート!$M$29:$M$48,$G52,月間集計シート!S$29:S$48)*O$2</f>
        <v>0</v>
      </c>
      <c r="P52" s="88">
        <f>SUMIF(月間集計シート!$M$29:$M$48,$G52,月間集計シート!T$29:T$48)*P$2</f>
        <v>0</v>
      </c>
      <c r="Q52" s="88">
        <f>SUMIF(月間集計シート!$M$50:$M$69,$G52,月間集計シート!N$50:N$69)*Q$2</f>
        <v>0</v>
      </c>
      <c r="R52" s="88">
        <f>SUMIF(月間集計シート!$M$50:$M$69,$G52,月間集計シート!O$50:O$69)*R$2</f>
        <v>0</v>
      </c>
      <c r="S52" s="88">
        <f>SUMIF(月間集計シート!$M$50:$M$69,$G52,月間集計シート!P$50:P$69)*S$2</f>
        <v>0</v>
      </c>
      <c r="T52" s="88">
        <f>SUMIF(月間集計シート!$M$50:$M$69,$G52,月間集計シート!Q$50:Q$69)*T$2</f>
        <v>0</v>
      </c>
      <c r="U52" s="88">
        <f>SUMIF(月間集計シート!$M$50:$M$69,$G52,月間集計シート!R$50:R$69)*U$2</f>
        <v>0</v>
      </c>
      <c r="V52" s="88">
        <f>SUMIF(月間集計シート!$M$50:$M$69,$G52,月間集計シート!S$50:S$69)*V$2</f>
        <v>0</v>
      </c>
      <c r="W52" s="88">
        <f>SUMIF(月間集計シート!$M$50:$M$69,$G52,月間集計シート!T$50:T$69)*W$2</f>
        <v>0</v>
      </c>
      <c r="X52" s="88">
        <f>SUMIF(月間集計シート!$M$71:$M$90,$G52,月間集計シート!N$71:N$90)*X$2</f>
        <v>0</v>
      </c>
      <c r="Y52" s="88">
        <f>SUMIF(月間集計シート!$M$71:$M$90,$G52,月間集計シート!O$71:O$90)*Y$2</f>
        <v>0</v>
      </c>
      <c r="Z52" s="88">
        <f>SUMIF(月間集計シート!$M$71:$M$90,$G52,月間集計シート!P$71:P$90)*Z$2</f>
        <v>0</v>
      </c>
      <c r="AA52" s="88">
        <f>SUMIF(月間集計シート!$M$71:$M$90,$G52,月間集計シート!Q$71:Q$90)*AA$2</f>
        <v>0</v>
      </c>
      <c r="AB52" s="88">
        <f>SUMIF(月間集計シート!$M$71:$M$90,$G52,月間集計シート!R$71:R$90)*AB$2</f>
        <v>0</v>
      </c>
      <c r="AC52" s="88">
        <f>SUMIF(月間集計シート!$M$71:$M$90,$G52,月間集計シート!S$71:S$90)*AC$2</f>
        <v>0</v>
      </c>
      <c r="AD52" s="88">
        <f>SUMIF(月間集計シート!$M$71:$M$90,$G52,月間集計シート!T$71:T$90)*AD$2</f>
        <v>0</v>
      </c>
      <c r="AE52" s="88">
        <f>SUMIF(月間集計シート!$M$92:$M$111,$G52,月間集計シート!N$92:N$111)*AE$2</f>
        <v>0</v>
      </c>
      <c r="AF52" s="88">
        <f>SUMIF(月間集計シート!$M$92:$M$111,$G52,月間集計シート!O$92:O$111)*AF$2</f>
        <v>0</v>
      </c>
      <c r="AG52" s="88">
        <f>SUMIF(月間集計シート!$M$92:$M$111,$G52,月間集計シート!P$92:P$111)*AG$2</f>
        <v>0</v>
      </c>
      <c r="AH52" s="88">
        <f>SUMIF(月間集計シート!$M$92:$M$111,$G52,月間集計シート!Q$92:Q$111)*AH$2</f>
        <v>0</v>
      </c>
      <c r="AI52" s="88">
        <f>SUMIF(月間集計シート!$M$92:$M$111,$G52,月間集計シート!R$92:R$111)*AI$2</f>
        <v>0</v>
      </c>
      <c r="AJ52" s="88">
        <f>SUMIF(月間集計シート!$M$92:$M$111,$G52,月間集計シート!S$92:S$111)*AJ$2</f>
        <v>0</v>
      </c>
      <c r="AK52" s="88">
        <f>SUMIF(月間集計シート!$M$92:$M$111,$G52,月間集計シート!T$92:T$111)*AK$2</f>
        <v>0</v>
      </c>
      <c r="AL52" s="88">
        <f>SUMIF(月間集計シート!$M$113:$M$132,$G52,月間集計シート!N$113:N$132)*AL$2</f>
        <v>0</v>
      </c>
      <c r="AM52" s="88">
        <f>SUMIF(月間集計シート!$M$113:$M$132,$G52,月間集計シート!O$113:O$132)*AM$2</f>
        <v>0</v>
      </c>
      <c r="AN52" s="88">
        <f>SUMIF(月間集計シート!$M$113:$M$132,$G52,月間集計シート!P$113:P$132)*AN$2</f>
        <v>0</v>
      </c>
      <c r="AO52" s="88">
        <f>SUMIF(月間集計シート!$M$113:$M$132,$G52,月間集計シート!Q$113:Q$132)*AO$2</f>
        <v>0</v>
      </c>
      <c r="AP52" s="88">
        <f>SUMIF(月間集計シート!$M$113:$M$132,$G52,月間集計シート!R$113:R$132)*AP$2</f>
        <v>0</v>
      </c>
      <c r="AQ52" s="88">
        <f>SUMIF(月間集計シート!$M$113:$M$132,$G52,月間集計シート!S$113:S$132)*AQ$2</f>
        <v>0</v>
      </c>
      <c r="AR52" s="88">
        <f>SUMIF(月間集計シート!$M$113:$M$132,$G52,月間集計シート!T$113:T$132)*AR$2</f>
        <v>0</v>
      </c>
      <c r="AS52" s="88">
        <f>SUMIF(月間集計シート!$M$134:$M$153,$G52,月間集計シート!N$134:N$153)*AS$2</f>
        <v>0</v>
      </c>
      <c r="AT52" s="88">
        <f>SUMIF(月間集計シート!$M$134:$M$153,$G52,月間集計シート!O$134:O$153)*AT$2</f>
        <v>0</v>
      </c>
      <c r="AU52" s="88">
        <f>SUMIF(月間集計シート!$M$134:$M$153,$G52,月間集計シート!P$134:P$153)*AU$2</f>
        <v>0</v>
      </c>
      <c r="AV52" s="88">
        <f>SUMIF(月間集計シート!$M$134:$M$153,$G52,月間集計シート!Q$134:Q$153)*AV$2</f>
        <v>0</v>
      </c>
      <c r="AW52" s="88">
        <f>SUMIF(月間集計シート!$M$134:$M$153,$G52,月間集計シート!R$134:R$153)*AW$2</f>
        <v>0</v>
      </c>
      <c r="AX52" s="88">
        <f>SUMIF(月間集計シート!$M$134:$M$153,$G52,月間集計シート!S$134:S$153)*AX$2</f>
        <v>0</v>
      </c>
      <c r="AY52" s="88">
        <f>SUMIF(月間集計シート!$M$134:$M$153,$G52,月間集計シート!T$134:T$153)*AY$2</f>
        <v>0</v>
      </c>
    </row>
    <row r="53" spans="1:51" ht="14.25" thickBot="1">
      <c r="A53">
        <v>1</v>
      </c>
      <c r="B53" s="120">
        <f t="shared" si="5"/>
        <v>999909</v>
      </c>
      <c r="C53" s="120" t="e">
        <f t="shared" si="6"/>
        <v>#N/A</v>
      </c>
      <c r="D53" s="137"/>
      <c r="E53" s="150" t="str">
        <f>工種!A45</f>
        <v>60104</v>
      </c>
      <c r="F53" s="119" t="str">
        <f>工種!B45</f>
        <v>ﾘﾘｰｽ：ﾍﾙﾌﾟ作成・修正</v>
      </c>
      <c r="G53" s="116" t="str">
        <f t="shared" si="7"/>
        <v>99990960104</v>
      </c>
      <c r="H53" s="88">
        <f t="shared" si="4"/>
        <v>0</v>
      </c>
      <c r="I53" s="132"/>
      <c r="J53" s="88">
        <f>SUMIF(月間集計シート!$M$29:$M$48,$G53,月間集計シート!N$29:N$48)*J$2</f>
        <v>0</v>
      </c>
      <c r="K53" s="88">
        <f>SUMIF(月間集計シート!$M$29:$M$48,$G53,月間集計シート!O$29:O$48)*K$2</f>
        <v>0</v>
      </c>
      <c r="L53" s="88">
        <f>SUMIF(月間集計シート!$M$29:$M$48,$G53,月間集計シート!P$29:P$48)*L$2</f>
        <v>0</v>
      </c>
      <c r="M53" s="88">
        <f>SUMIF(月間集計シート!$M$29:$M$48,$G53,月間集計シート!Q$29:Q$48)*M$2</f>
        <v>0</v>
      </c>
      <c r="N53" s="88">
        <f>SUMIF(月間集計シート!$M$29:$M$48,$G53,月間集計シート!R$29:R$48)*N$2</f>
        <v>0</v>
      </c>
      <c r="O53" s="88">
        <f>SUMIF(月間集計シート!$M$29:$M$48,$G53,月間集計シート!S$29:S$48)*O$2</f>
        <v>0</v>
      </c>
      <c r="P53" s="88">
        <f>SUMIF(月間集計シート!$M$29:$M$48,$G53,月間集計シート!T$29:T$48)*P$2</f>
        <v>0</v>
      </c>
      <c r="Q53" s="88">
        <f>SUMIF(月間集計シート!$M$50:$M$69,$G53,月間集計シート!N$50:N$69)*Q$2</f>
        <v>0</v>
      </c>
      <c r="R53" s="88">
        <f>SUMIF(月間集計シート!$M$50:$M$69,$G53,月間集計シート!O$50:O$69)*R$2</f>
        <v>0</v>
      </c>
      <c r="S53" s="88">
        <f>SUMIF(月間集計シート!$M$50:$M$69,$G53,月間集計シート!P$50:P$69)*S$2</f>
        <v>0</v>
      </c>
      <c r="T53" s="88">
        <f>SUMIF(月間集計シート!$M$50:$M$69,$G53,月間集計シート!Q$50:Q$69)*T$2</f>
        <v>0</v>
      </c>
      <c r="U53" s="88">
        <f>SUMIF(月間集計シート!$M$50:$M$69,$G53,月間集計シート!R$50:R$69)*U$2</f>
        <v>0</v>
      </c>
      <c r="V53" s="88">
        <f>SUMIF(月間集計シート!$M$50:$M$69,$G53,月間集計シート!S$50:S$69)*V$2</f>
        <v>0</v>
      </c>
      <c r="W53" s="88">
        <f>SUMIF(月間集計シート!$M$50:$M$69,$G53,月間集計シート!T$50:T$69)*W$2</f>
        <v>0</v>
      </c>
      <c r="X53" s="88">
        <f>SUMIF(月間集計シート!$M$71:$M$90,$G53,月間集計シート!N$71:N$90)*X$2</f>
        <v>0</v>
      </c>
      <c r="Y53" s="88">
        <f>SUMIF(月間集計シート!$M$71:$M$90,$G53,月間集計シート!O$71:O$90)*Y$2</f>
        <v>0</v>
      </c>
      <c r="Z53" s="88">
        <f>SUMIF(月間集計シート!$M$71:$M$90,$G53,月間集計シート!P$71:P$90)*Z$2</f>
        <v>0</v>
      </c>
      <c r="AA53" s="88">
        <f>SUMIF(月間集計シート!$M$71:$M$90,$G53,月間集計シート!Q$71:Q$90)*AA$2</f>
        <v>0</v>
      </c>
      <c r="AB53" s="88">
        <f>SUMIF(月間集計シート!$M$71:$M$90,$G53,月間集計シート!R$71:R$90)*AB$2</f>
        <v>0</v>
      </c>
      <c r="AC53" s="88">
        <f>SUMIF(月間集計シート!$M$71:$M$90,$G53,月間集計シート!S$71:S$90)*AC$2</f>
        <v>0</v>
      </c>
      <c r="AD53" s="88">
        <f>SUMIF(月間集計シート!$M$71:$M$90,$G53,月間集計シート!T$71:T$90)*AD$2</f>
        <v>0</v>
      </c>
      <c r="AE53" s="88">
        <f>SUMIF(月間集計シート!$M$92:$M$111,$G53,月間集計シート!N$92:N$111)*AE$2</f>
        <v>0</v>
      </c>
      <c r="AF53" s="88">
        <f>SUMIF(月間集計シート!$M$92:$M$111,$G53,月間集計シート!O$92:O$111)*AF$2</f>
        <v>0</v>
      </c>
      <c r="AG53" s="88">
        <f>SUMIF(月間集計シート!$M$92:$M$111,$G53,月間集計シート!P$92:P$111)*AG$2</f>
        <v>0</v>
      </c>
      <c r="AH53" s="88">
        <f>SUMIF(月間集計シート!$M$92:$M$111,$G53,月間集計シート!Q$92:Q$111)*AH$2</f>
        <v>0</v>
      </c>
      <c r="AI53" s="88">
        <f>SUMIF(月間集計シート!$M$92:$M$111,$G53,月間集計シート!R$92:R$111)*AI$2</f>
        <v>0</v>
      </c>
      <c r="AJ53" s="88">
        <f>SUMIF(月間集計シート!$M$92:$M$111,$G53,月間集計シート!S$92:S$111)*AJ$2</f>
        <v>0</v>
      </c>
      <c r="AK53" s="88">
        <f>SUMIF(月間集計シート!$M$92:$M$111,$G53,月間集計シート!T$92:T$111)*AK$2</f>
        <v>0</v>
      </c>
      <c r="AL53" s="88">
        <f>SUMIF(月間集計シート!$M$113:$M$132,$G53,月間集計シート!N$113:N$132)*AL$2</f>
        <v>0</v>
      </c>
      <c r="AM53" s="88">
        <f>SUMIF(月間集計シート!$M$113:$M$132,$G53,月間集計シート!O$113:O$132)*AM$2</f>
        <v>0</v>
      </c>
      <c r="AN53" s="88">
        <f>SUMIF(月間集計シート!$M$113:$M$132,$G53,月間集計シート!P$113:P$132)*AN$2</f>
        <v>0</v>
      </c>
      <c r="AO53" s="88">
        <f>SUMIF(月間集計シート!$M$113:$M$132,$G53,月間集計シート!Q$113:Q$132)*AO$2</f>
        <v>0</v>
      </c>
      <c r="AP53" s="88">
        <f>SUMIF(月間集計シート!$M$113:$M$132,$G53,月間集計シート!R$113:R$132)*AP$2</f>
        <v>0</v>
      </c>
      <c r="AQ53" s="88">
        <f>SUMIF(月間集計シート!$M$113:$M$132,$G53,月間集計シート!S$113:S$132)*AQ$2</f>
        <v>0</v>
      </c>
      <c r="AR53" s="88">
        <f>SUMIF(月間集計シート!$M$113:$M$132,$G53,月間集計シート!T$113:T$132)*AR$2</f>
        <v>0</v>
      </c>
      <c r="AS53" s="88">
        <f>SUMIF(月間集計シート!$M$134:$M$153,$G53,月間集計シート!N$134:N$153)*AS$2</f>
        <v>0</v>
      </c>
      <c r="AT53" s="88">
        <f>SUMIF(月間集計シート!$M$134:$M$153,$G53,月間集計シート!O$134:O$153)*AT$2</f>
        <v>0</v>
      </c>
      <c r="AU53" s="88">
        <f>SUMIF(月間集計シート!$M$134:$M$153,$G53,月間集計シート!P$134:P$153)*AU$2</f>
        <v>0</v>
      </c>
      <c r="AV53" s="88">
        <f>SUMIF(月間集計シート!$M$134:$M$153,$G53,月間集計シート!Q$134:Q$153)*AV$2</f>
        <v>0</v>
      </c>
      <c r="AW53" s="88">
        <f>SUMIF(月間集計シート!$M$134:$M$153,$G53,月間集計シート!R$134:R$153)*AW$2</f>
        <v>0</v>
      </c>
      <c r="AX53" s="88">
        <f>SUMIF(月間集計シート!$M$134:$M$153,$G53,月間集計シート!S$134:S$153)*AX$2</f>
        <v>0</v>
      </c>
      <c r="AY53" s="88">
        <f>SUMIF(月間集計シート!$M$134:$M$153,$G53,月間集計シート!T$134:T$153)*AY$2</f>
        <v>0</v>
      </c>
    </row>
    <row r="54" spans="1:51" ht="14.25" thickBot="1">
      <c r="A54">
        <v>1</v>
      </c>
      <c r="B54" s="120">
        <f t="shared" si="5"/>
        <v>999909</v>
      </c>
      <c r="C54" s="120" t="e">
        <f t="shared" si="6"/>
        <v>#N/A</v>
      </c>
      <c r="D54" s="137"/>
      <c r="E54" s="150" t="str">
        <f>工種!A46</f>
        <v>60105</v>
      </c>
      <c r="F54" s="119" t="str">
        <f>工種!B46</f>
        <v>ﾘﾘｰｽ：締め作業</v>
      </c>
      <c r="G54" s="116" t="str">
        <f t="shared" si="7"/>
        <v>99990960105</v>
      </c>
      <c r="H54" s="88">
        <f t="shared" si="4"/>
        <v>0</v>
      </c>
      <c r="I54" s="132"/>
      <c r="J54" s="88">
        <f>SUMIF(月間集計シート!$M$29:$M$48,$G54,月間集計シート!N$29:N$48)*J$2</f>
        <v>0</v>
      </c>
      <c r="K54" s="88">
        <f>SUMIF(月間集計シート!$M$29:$M$48,$G54,月間集計シート!O$29:O$48)*K$2</f>
        <v>0</v>
      </c>
      <c r="L54" s="88">
        <f>SUMIF(月間集計シート!$M$29:$M$48,$G54,月間集計シート!P$29:P$48)*L$2</f>
        <v>0</v>
      </c>
      <c r="M54" s="88">
        <f>SUMIF(月間集計シート!$M$29:$M$48,$G54,月間集計シート!Q$29:Q$48)*M$2</f>
        <v>0</v>
      </c>
      <c r="N54" s="88">
        <f>SUMIF(月間集計シート!$M$29:$M$48,$G54,月間集計シート!R$29:R$48)*N$2</f>
        <v>0</v>
      </c>
      <c r="O54" s="88">
        <f>SUMIF(月間集計シート!$M$29:$M$48,$G54,月間集計シート!S$29:S$48)*O$2</f>
        <v>0</v>
      </c>
      <c r="P54" s="88">
        <f>SUMIF(月間集計シート!$M$29:$M$48,$G54,月間集計シート!T$29:T$48)*P$2</f>
        <v>0</v>
      </c>
      <c r="Q54" s="88">
        <f>SUMIF(月間集計シート!$M$50:$M$69,$G54,月間集計シート!N$50:N$69)*Q$2</f>
        <v>0</v>
      </c>
      <c r="R54" s="88">
        <f>SUMIF(月間集計シート!$M$50:$M$69,$G54,月間集計シート!O$50:O$69)*R$2</f>
        <v>0</v>
      </c>
      <c r="S54" s="88">
        <f>SUMIF(月間集計シート!$M$50:$M$69,$G54,月間集計シート!P$50:P$69)*S$2</f>
        <v>0</v>
      </c>
      <c r="T54" s="88">
        <f>SUMIF(月間集計シート!$M$50:$M$69,$G54,月間集計シート!Q$50:Q$69)*T$2</f>
        <v>0</v>
      </c>
      <c r="U54" s="88">
        <f>SUMIF(月間集計シート!$M$50:$M$69,$G54,月間集計シート!R$50:R$69)*U$2</f>
        <v>0</v>
      </c>
      <c r="V54" s="88">
        <f>SUMIF(月間集計シート!$M$50:$M$69,$G54,月間集計シート!S$50:S$69)*V$2</f>
        <v>0</v>
      </c>
      <c r="W54" s="88">
        <f>SUMIF(月間集計シート!$M$50:$M$69,$G54,月間集計シート!T$50:T$69)*W$2</f>
        <v>0</v>
      </c>
      <c r="X54" s="88">
        <f>SUMIF(月間集計シート!$M$71:$M$90,$G54,月間集計シート!N$71:N$90)*X$2</f>
        <v>0</v>
      </c>
      <c r="Y54" s="88">
        <f>SUMIF(月間集計シート!$M$71:$M$90,$G54,月間集計シート!O$71:O$90)*Y$2</f>
        <v>0</v>
      </c>
      <c r="Z54" s="88">
        <f>SUMIF(月間集計シート!$M$71:$M$90,$G54,月間集計シート!P$71:P$90)*Z$2</f>
        <v>0</v>
      </c>
      <c r="AA54" s="88">
        <f>SUMIF(月間集計シート!$M$71:$M$90,$G54,月間集計シート!Q$71:Q$90)*AA$2</f>
        <v>0</v>
      </c>
      <c r="AB54" s="88">
        <f>SUMIF(月間集計シート!$M$71:$M$90,$G54,月間集計シート!R$71:R$90)*AB$2</f>
        <v>0</v>
      </c>
      <c r="AC54" s="88">
        <f>SUMIF(月間集計シート!$M$71:$M$90,$G54,月間集計シート!S$71:S$90)*AC$2</f>
        <v>0</v>
      </c>
      <c r="AD54" s="88">
        <f>SUMIF(月間集計シート!$M$71:$M$90,$G54,月間集計シート!T$71:T$90)*AD$2</f>
        <v>0</v>
      </c>
      <c r="AE54" s="88">
        <f>SUMIF(月間集計シート!$M$92:$M$111,$G54,月間集計シート!N$92:N$111)*AE$2</f>
        <v>0</v>
      </c>
      <c r="AF54" s="88">
        <f>SUMIF(月間集計シート!$M$92:$M$111,$G54,月間集計シート!O$92:O$111)*AF$2</f>
        <v>0</v>
      </c>
      <c r="AG54" s="88">
        <f>SUMIF(月間集計シート!$M$92:$M$111,$G54,月間集計シート!P$92:P$111)*AG$2</f>
        <v>0</v>
      </c>
      <c r="AH54" s="88">
        <f>SUMIF(月間集計シート!$M$92:$M$111,$G54,月間集計シート!Q$92:Q$111)*AH$2</f>
        <v>0</v>
      </c>
      <c r="AI54" s="88">
        <f>SUMIF(月間集計シート!$M$92:$M$111,$G54,月間集計シート!R$92:R$111)*AI$2</f>
        <v>0</v>
      </c>
      <c r="AJ54" s="88">
        <f>SUMIF(月間集計シート!$M$92:$M$111,$G54,月間集計シート!S$92:S$111)*AJ$2</f>
        <v>0</v>
      </c>
      <c r="AK54" s="88">
        <f>SUMIF(月間集計シート!$M$92:$M$111,$G54,月間集計シート!T$92:T$111)*AK$2</f>
        <v>0</v>
      </c>
      <c r="AL54" s="88">
        <f>SUMIF(月間集計シート!$M$113:$M$132,$G54,月間集計シート!N$113:N$132)*AL$2</f>
        <v>0</v>
      </c>
      <c r="AM54" s="88">
        <f>SUMIF(月間集計シート!$M$113:$M$132,$G54,月間集計シート!O$113:O$132)*AM$2</f>
        <v>0</v>
      </c>
      <c r="AN54" s="88">
        <f>SUMIF(月間集計シート!$M$113:$M$132,$G54,月間集計シート!P$113:P$132)*AN$2</f>
        <v>0</v>
      </c>
      <c r="AO54" s="88">
        <f>SUMIF(月間集計シート!$M$113:$M$132,$G54,月間集計シート!Q$113:Q$132)*AO$2</f>
        <v>0</v>
      </c>
      <c r="AP54" s="88">
        <f>SUMIF(月間集計シート!$M$113:$M$132,$G54,月間集計シート!R$113:R$132)*AP$2</f>
        <v>0</v>
      </c>
      <c r="AQ54" s="88">
        <f>SUMIF(月間集計シート!$M$113:$M$132,$G54,月間集計シート!S$113:S$132)*AQ$2</f>
        <v>0</v>
      </c>
      <c r="AR54" s="88">
        <f>SUMIF(月間集計シート!$M$113:$M$132,$G54,月間集計シート!T$113:T$132)*AR$2</f>
        <v>0</v>
      </c>
      <c r="AS54" s="88">
        <f>SUMIF(月間集計シート!$M$134:$M$153,$G54,月間集計シート!N$134:N$153)*AS$2</f>
        <v>0</v>
      </c>
      <c r="AT54" s="88">
        <f>SUMIF(月間集計シート!$M$134:$M$153,$G54,月間集計シート!O$134:O$153)*AT$2</f>
        <v>0</v>
      </c>
      <c r="AU54" s="88">
        <f>SUMIF(月間集計シート!$M$134:$M$153,$G54,月間集計シート!P$134:P$153)*AU$2</f>
        <v>0</v>
      </c>
      <c r="AV54" s="88">
        <f>SUMIF(月間集計シート!$M$134:$M$153,$G54,月間集計シート!Q$134:Q$153)*AV$2</f>
        <v>0</v>
      </c>
      <c r="AW54" s="88">
        <f>SUMIF(月間集計シート!$M$134:$M$153,$G54,月間集計シート!R$134:R$153)*AW$2</f>
        <v>0</v>
      </c>
      <c r="AX54" s="88">
        <f>SUMIF(月間集計シート!$M$134:$M$153,$G54,月間集計シート!S$134:S$153)*AX$2</f>
        <v>0</v>
      </c>
      <c r="AY54" s="88">
        <f>SUMIF(月間集計シート!$M$134:$M$153,$G54,月間集計シート!T$134:T$153)*AY$2</f>
        <v>0</v>
      </c>
    </row>
    <row r="55" spans="1:51" ht="14.25" thickBot="1">
      <c r="A55">
        <v>1</v>
      </c>
      <c r="B55" s="120">
        <f t="shared" si="5"/>
        <v>999909</v>
      </c>
      <c r="C55" s="120" t="e">
        <f t="shared" si="6"/>
        <v>#N/A</v>
      </c>
      <c r="D55" s="137"/>
      <c r="E55" s="150" t="str">
        <f>工種!A47</f>
        <v>60107</v>
      </c>
      <c r="F55" s="119" t="str">
        <f>工種!B47</f>
        <v>ﾘﾘｰｽ：打合せ</v>
      </c>
      <c r="G55" s="116" t="str">
        <f t="shared" si="7"/>
        <v>99990960107</v>
      </c>
      <c r="H55" s="88">
        <f t="shared" si="4"/>
        <v>0</v>
      </c>
      <c r="I55" s="132"/>
      <c r="J55" s="88">
        <f>SUMIF(月間集計シート!$M$29:$M$48,$G55,月間集計シート!N$29:N$48)*J$2</f>
        <v>0</v>
      </c>
      <c r="K55" s="88">
        <f>SUMIF(月間集計シート!$M$29:$M$48,$G55,月間集計シート!O$29:O$48)*K$2</f>
        <v>0</v>
      </c>
      <c r="L55" s="88">
        <f>SUMIF(月間集計シート!$M$29:$M$48,$G55,月間集計シート!P$29:P$48)*L$2</f>
        <v>0</v>
      </c>
      <c r="M55" s="88">
        <f>SUMIF(月間集計シート!$M$29:$M$48,$G55,月間集計シート!Q$29:Q$48)*M$2</f>
        <v>0</v>
      </c>
      <c r="N55" s="88">
        <f>SUMIF(月間集計シート!$M$29:$M$48,$G55,月間集計シート!R$29:R$48)*N$2</f>
        <v>0</v>
      </c>
      <c r="O55" s="88">
        <f>SUMIF(月間集計シート!$M$29:$M$48,$G55,月間集計シート!S$29:S$48)*O$2</f>
        <v>0</v>
      </c>
      <c r="P55" s="88">
        <f>SUMIF(月間集計シート!$M$29:$M$48,$G55,月間集計シート!T$29:T$48)*P$2</f>
        <v>0</v>
      </c>
      <c r="Q55" s="88">
        <f>SUMIF(月間集計シート!$M$50:$M$69,$G55,月間集計シート!N$50:N$69)*Q$2</f>
        <v>0</v>
      </c>
      <c r="R55" s="88">
        <f>SUMIF(月間集計シート!$M$50:$M$69,$G55,月間集計シート!O$50:O$69)*R$2</f>
        <v>0</v>
      </c>
      <c r="S55" s="88">
        <f>SUMIF(月間集計シート!$M$50:$M$69,$G55,月間集計シート!P$50:P$69)*S$2</f>
        <v>0</v>
      </c>
      <c r="T55" s="88">
        <f>SUMIF(月間集計シート!$M$50:$M$69,$G55,月間集計シート!Q$50:Q$69)*T$2</f>
        <v>0</v>
      </c>
      <c r="U55" s="88">
        <f>SUMIF(月間集計シート!$M$50:$M$69,$G55,月間集計シート!R$50:R$69)*U$2</f>
        <v>0</v>
      </c>
      <c r="V55" s="88">
        <f>SUMIF(月間集計シート!$M$50:$M$69,$G55,月間集計シート!S$50:S$69)*V$2</f>
        <v>0</v>
      </c>
      <c r="W55" s="88">
        <f>SUMIF(月間集計シート!$M$50:$M$69,$G55,月間集計シート!T$50:T$69)*W$2</f>
        <v>0</v>
      </c>
      <c r="X55" s="88">
        <f>SUMIF(月間集計シート!$M$71:$M$90,$G55,月間集計シート!N$71:N$90)*X$2</f>
        <v>0</v>
      </c>
      <c r="Y55" s="88">
        <f>SUMIF(月間集計シート!$M$71:$M$90,$G55,月間集計シート!O$71:O$90)*Y$2</f>
        <v>0</v>
      </c>
      <c r="Z55" s="88">
        <f>SUMIF(月間集計シート!$M$71:$M$90,$G55,月間集計シート!P$71:P$90)*Z$2</f>
        <v>0</v>
      </c>
      <c r="AA55" s="88">
        <f>SUMIF(月間集計シート!$M$71:$M$90,$G55,月間集計シート!Q$71:Q$90)*AA$2</f>
        <v>0</v>
      </c>
      <c r="AB55" s="88">
        <f>SUMIF(月間集計シート!$M$71:$M$90,$G55,月間集計シート!R$71:R$90)*AB$2</f>
        <v>0</v>
      </c>
      <c r="AC55" s="88">
        <f>SUMIF(月間集計シート!$M$71:$M$90,$G55,月間集計シート!S$71:S$90)*AC$2</f>
        <v>0</v>
      </c>
      <c r="AD55" s="88">
        <f>SUMIF(月間集計シート!$M$71:$M$90,$G55,月間集計シート!T$71:T$90)*AD$2</f>
        <v>0</v>
      </c>
      <c r="AE55" s="88">
        <f>SUMIF(月間集計シート!$M$92:$M$111,$G55,月間集計シート!N$92:N$111)*AE$2</f>
        <v>0</v>
      </c>
      <c r="AF55" s="88">
        <f>SUMIF(月間集計シート!$M$92:$M$111,$G55,月間集計シート!O$92:O$111)*AF$2</f>
        <v>0</v>
      </c>
      <c r="AG55" s="88">
        <f>SUMIF(月間集計シート!$M$92:$M$111,$G55,月間集計シート!P$92:P$111)*AG$2</f>
        <v>0</v>
      </c>
      <c r="AH55" s="88">
        <f>SUMIF(月間集計シート!$M$92:$M$111,$G55,月間集計シート!Q$92:Q$111)*AH$2</f>
        <v>0</v>
      </c>
      <c r="AI55" s="88">
        <f>SUMIF(月間集計シート!$M$92:$M$111,$G55,月間集計シート!R$92:R$111)*AI$2</f>
        <v>0</v>
      </c>
      <c r="AJ55" s="88">
        <f>SUMIF(月間集計シート!$M$92:$M$111,$G55,月間集計シート!S$92:S$111)*AJ$2</f>
        <v>0</v>
      </c>
      <c r="AK55" s="88">
        <f>SUMIF(月間集計シート!$M$92:$M$111,$G55,月間集計シート!T$92:T$111)*AK$2</f>
        <v>0</v>
      </c>
      <c r="AL55" s="88">
        <f>SUMIF(月間集計シート!$M$113:$M$132,$G55,月間集計シート!N$113:N$132)*AL$2</f>
        <v>0</v>
      </c>
      <c r="AM55" s="88">
        <f>SUMIF(月間集計シート!$M$113:$M$132,$G55,月間集計シート!O$113:O$132)*AM$2</f>
        <v>0</v>
      </c>
      <c r="AN55" s="88">
        <f>SUMIF(月間集計シート!$M$113:$M$132,$G55,月間集計シート!P$113:P$132)*AN$2</f>
        <v>0</v>
      </c>
      <c r="AO55" s="88">
        <f>SUMIF(月間集計シート!$M$113:$M$132,$G55,月間集計シート!Q$113:Q$132)*AO$2</f>
        <v>0</v>
      </c>
      <c r="AP55" s="88">
        <f>SUMIF(月間集計シート!$M$113:$M$132,$G55,月間集計シート!R$113:R$132)*AP$2</f>
        <v>0</v>
      </c>
      <c r="AQ55" s="88">
        <f>SUMIF(月間集計シート!$M$113:$M$132,$G55,月間集計シート!S$113:S$132)*AQ$2</f>
        <v>0</v>
      </c>
      <c r="AR55" s="88">
        <f>SUMIF(月間集計シート!$M$113:$M$132,$G55,月間集計シート!T$113:T$132)*AR$2</f>
        <v>0</v>
      </c>
      <c r="AS55" s="88">
        <f>SUMIF(月間集計シート!$M$134:$M$153,$G55,月間集計シート!N$134:N$153)*AS$2</f>
        <v>0</v>
      </c>
      <c r="AT55" s="88">
        <f>SUMIF(月間集計シート!$M$134:$M$153,$G55,月間集計シート!O$134:O$153)*AT$2</f>
        <v>0</v>
      </c>
      <c r="AU55" s="88">
        <f>SUMIF(月間集計シート!$M$134:$M$153,$G55,月間集計シート!P$134:P$153)*AU$2</f>
        <v>0</v>
      </c>
      <c r="AV55" s="88">
        <f>SUMIF(月間集計シート!$M$134:$M$153,$G55,月間集計シート!Q$134:Q$153)*AV$2</f>
        <v>0</v>
      </c>
      <c r="AW55" s="88">
        <f>SUMIF(月間集計シート!$M$134:$M$153,$G55,月間集計シート!R$134:R$153)*AW$2</f>
        <v>0</v>
      </c>
      <c r="AX55" s="88">
        <f>SUMIF(月間集計シート!$M$134:$M$153,$G55,月間集計シート!S$134:S$153)*AX$2</f>
        <v>0</v>
      </c>
      <c r="AY55" s="88">
        <f>SUMIF(月間集計シート!$M$134:$M$153,$G55,月間集計シート!T$134:T$153)*AY$2</f>
        <v>0</v>
      </c>
    </row>
    <row r="56" spans="1:51" ht="14.25" thickBot="1">
      <c r="A56">
        <v>1</v>
      </c>
      <c r="B56" s="120">
        <f t="shared" si="5"/>
        <v>999909</v>
      </c>
      <c r="C56" s="120" t="e">
        <f t="shared" si="6"/>
        <v>#N/A</v>
      </c>
      <c r="D56" s="137"/>
      <c r="E56" s="150" t="str">
        <f>工種!A48</f>
        <v>60108</v>
      </c>
      <c r="F56" s="119" t="str">
        <f>工種!B48</f>
        <v>ﾘﾘｰｽ：ﾚﾋﾞｭｰ</v>
      </c>
      <c r="G56" s="116" t="str">
        <f t="shared" si="7"/>
        <v>99990960108</v>
      </c>
      <c r="H56" s="88">
        <f t="shared" si="4"/>
        <v>0</v>
      </c>
      <c r="I56" s="132"/>
      <c r="J56" s="88">
        <f>SUMIF(月間集計シート!$M$29:$M$48,$G56,月間集計シート!N$29:N$48)*J$2</f>
        <v>0</v>
      </c>
      <c r="K56" s="88">
        <f>SUMIF(月間集計シート!$M$29:$M$48,$G56,月間集計シート!O$29:O$48)*K$2</f>
        <v>0</v>
      </c>
      <c r="L56" s="88">
        <f>SUMIF(月間集計シート!$M$29:$M$48,$G56,月間集計シート!P$29:P$48)*L$2</f>
        <v>0</v>
      </c>
      <c r="M56" s="88">
        <f>SUMIF(月間集計シート!$M$29:$M$48,$G56,月間集計シート!Q$29:Q$48)*M$2</f>
        <v>0</v>
      </c>
      <c r="N56" s="88">
        <f>SUMIF(月間集計シート!$M$29:$M$48,$G56,月間集計シート!R$29:R$48)*N$2</f>
        <v>0</v>
      </c>
      <c r="O56" s="88">
        <f>SUMIF(月間集計シート!$M$29:$M$48,$G56,月間集計シート!S$29:S$48)*O$2</f>
        <v>0</v>
      </c>
      <c r="P56" s="88">
        <f>SUMIF(月間集計シート!$M$29:$M$48,$G56,月間集計シート!T$29:T$48)*P$2</f>
        <v>0</v>
      </c>
      <c r="Q56" s="88">
        <f>SUMIF(月間集計シート!$M$50:$M$69,$G56,月間集計シート!N$50:N$69)*Q$2</f>
        <v>0</v>
      </c>
      <c r="R56" s="88">
        <f>SUMIF(月間集計シート!$M$50:$M$69,$G56,月間集計シート!O$50:O$69)*R$2</f>
        <v>0</v>
      </c>
      <c r="S56" s="88">
        <f>SUMIF(月間集計シート!$M$50:$M$69,$G56,月間集計シート!P$50:P$69)*S$2</f>
        <v>0</v>
      </c>
      <c r="T56" s="88">
        <f>SUMIF(月間集計シート!$M$50:$M$69,$G56,月間集計シート!Q$50:Q$69)*T$2</f>
        <v>0</v>
      </c>
      <c r="U56" s="88">
        <f>SUMIF(月間集計シート!$M$50:$M$69,$G56,月間集計シート!R$50:R$69)*U$2</f>
        <v>0</v>
      </c>
      <c r="V56" s="88">
        <f>SUMIF(月間集計シート!$M$50:$M$69,$G56,月間集計シート!S$50:S$69)*V$2</f>
        <v>0</v>
      </c>
      <c r="W56" s="88">
        <f>SUMIF(月間集計シート!$M$50:$M$69,$G56,月間集計シート!T$50:T$69)*W$2</f>
        <v>0</v>
      </c>
      <c r="X56" s="88">
        <f>SUMIF(月間集計シート!$M$71:$M$90,$G56,月間集計シート!N$71:N$90)*X$2</f>
        <v>0</v>
      </c>
      <c r="Y56" s="88">
        <f>SUMIF(月間集計シート!$M$71:$M$90,$G56,月間集計シート!O$71:O$90)*Y$2</f>
        <v>0</v>
      </c>
      <c r="Z56" s="88">
        <f>SUMIF(月間集計シート!$M$71:$M$90,$G56,月間集計シート!P$71:P$90)*Z$2</f>
        <v>0</v>
      </c>
      <c r="AA56" s="88">
        <f>SUMIF(月間集計シート!$M$71:$M$90,$G56,月間集計シート!Q$71:Q$90)*AA$2</f>
        <v>0</v>
      </c>
      <c r="AB56" s="88">
        <f>SUMIF(月間集計シート!$M$71:$M$90,$G56,月間集計シート!R$71:R$90)*AB$2</f>
        <v>0</v>
      </c>
      <c r="AC56" s="88">
        <f>SUMIF(月間集計シート!$M$71:$M$90,$G56,月間集計シート!S$71:S$90)*AC$2</f>
        <v>0</v>
      </c>
      <c r="AD56" s="88">
        <f>SUMIF(月間集計シート!$M$71:$M$90,$G56,月間集計シート!T$71:T$90)*AD$2</f>
        <v>0</v>
      </c>
      <c r="AE56" s="88">
        <f>SUMIF(月間集計シート!$M$92:$M$111,$G56,月間集計シート!N$92:N$111)*AE$2</f>
        <v>0</v>
      </c>
      <c r="AF56" s="88">
        <f>SUMIF(月間集計シート!$M$92:$M$111,$G56,月間集計シート!O$92:O$111)*AF$2</f>
        <v>0</v>
      </c>
      <c r="AG56" s="88">
        <f>SUMIF(月間集計シート!$M$92:$M$111,$G56,月間集計シート!P$92:P$111)*AG$2</f>
        <v>0</v>
      </c>
      <c r="AH56" s="88">
        <f>SUMIF(月間集計シート!$M$92:$M$111,$G56,月間集計シート!Q$92:Q$111)*AH$2</f>
        <v>0</v>
      </c>
      <c r="AI56" s="88">
        <f>SUMIF(月間集計シート!$M$92:$M$111,$G56,月間集計シート!R$92:R$111)*AI$2</f>
        <v>0</v>
      </c>
      <c r="AJ56" s="88">
        <f>SUMIF(月間集計シート!$M$92:$M$111,$G56,月間集計シート!S$92:S$111)*AJ$2</f>
        <v>0</v>
      </c>
      <c r="AK56" s="88">
        <f>SUMIF(月間集計シート!$M$92:$M$111,$G56,月間集計シート!T$92:T$111)*AK$2</f>
        <v>0</v>
      </c>
      <c r="AL56" s="88">
        <f>SUMIF(月間集計シート!$M$113:$M$132,$G56,月間集計シート!N$113:N$132)*AL$2</f>
        <v>0</v>
      </c>
      <c r="AM56" s="88">
        <f>SUMIF(月間集計シート!$M$113:$M$132,$G56,月間集計シート!O$113:O$132)*AM$2</f>
        <v>0</v>
      </c>
      <c r="AN56" s="88">
        <f>SUMIF(月間集計シート!$M$113:$M$132,$G56,月間集計シート!P$113:P$132)*AN$2</f>
        <v>0</v>
      </c>
      <c r="AO56" s="88">
        <f>SUMIF(月間集計シート!$M$113:$M$132,$G56,月間集計シート!Q$113:Q$132)*AO$2</f>
        <v>0</v>
      </c>
      <c r="AP56" s="88">
        <f>SUMIF(月間集計シート!$M$113:$M$132,$G56,月間集計シート!R$113:R$132)*AP$2</f>
        <v>0</v>
      </c>
      <c r="AQ56" s="88">
        <f>SUMIF(月間集計シート!$M$113:$M$132,$G56,月間集計シート!S$113:S$132)*AQ$2</f>
        <v>0</v>
      </c>
      <c r="AR56" s="88">
        <f>SUMIF(月間集計シート!$M$113:$M$132,$G56,月間集計シート!T$113:T$132)*AR$2</f>
        <v>0</v>
      </c>
      <c r="AS56" s="88">
        <f>SUMIF(月間集計シート!$M$134:$M$153,$G56,月間集計シート!N$134:N$153)*AS$2</f>
        <v>0</v>
      </c>
      <c r="AT56" s="88">
        <f>SUMIF(月間集計シート!$M$134:$M$153,$G56,月間集計シート!O$134:O$153)*AT$2</f>
        <v>0</v>
      </c>
      <c r="AU56" s="88">
        <f>SUMIF(月間集計シート!$M$134:$M$153,$G56,月間集計シート!P$134:P$153)*AU$2</f>
        <v>0</v>
      </c>
      <c r="AV56" s="88">
        <f>SUMIF(月間集計シート!$M$134:$M$153,$G56,月間集計シート!Q$134:Q$153)*AV$2</f>
        <v>0</v>
      </c>
      <c r="AW56" s="88">
        <f>SUMIF(月間集計シート!$M$134:$M$153,$G56,月間集計シート!R$134:R$153)*AW$2</f>
        <v>0</v>
      </c>
      <c r="AX56" s="88">
        <f>SUMIF(月間集計シート!$M$134:$M$153,$G56,月間集計シート!S$134:S$153)*AX$2</f>
        <v>0</v>
      </c>
      <c r="AY56" s="88">
        <f>SUMIF(月間集計シート!$M$134:$M$153,$G56,月間集計シート!T$134:T$153)*AY$2</f>
        <v>0</v>
      </c>
    </row>
    <row r="57" spans="1:51" ht="14.25" thickBot="1">
      <c r="A57">
        <v>1</v>
      </c>
      <c r="B57" s="120">
        <f t="shared" si="5"/>
        <v>999909</v>
      </c>
      <c r="C57" s="120" t="e">
        <f t="shared" si="6"/>
        <v>#N/A</v>
      </c>
      <c r="D57" s="137"/>
      <c r="E57" s="150" t="str">
        <f>工種!A49</f>
        <v>60199</v>
      </c>
      <c r="F57" s="119" t="str">
        <f>工種!B49</f>
        <v>ﾘﾘｰｽ：その他</v>
      </c>
      <c r="G57" s="116" t="str">
        <f t="shared" si="7"/>
        <v>99990960199</v>
      </c>
      <c r="H57" s="88">
        <f t="shared" si="4"/>
        <v>0</v>
      </c>
      <c r="I57" s="132"/>
      <c r="J57" s="88">
        <f>SUMIF(月間集計シート!$M$29:$M$48,$G57,月間集計シート!N$29:N$48)*J$2</f>
        <v>0</v>
      </c>
      <c r="K57" s="88">
        <f>SUMIF(月間集計シート!$M$29:$M$48,$G57,月間集計シート!O$29:O$48)*K$2</f>
        <v>0</v>
      </c>
      <c r="L57" s="88">
        <f>SUMIF(月間集計シート!$M$29:$M$48,$G57,月間集計シート!P$29:P$48)*L$2</f>
        <v>0</v>
      </c>
      <c r="M57" s="88">
        <f>SUMIF(月間集計シート!$M$29:$M$48,$G57,月間集計シート!Q$29:Q$48)*M$2</f>
        <v>0</v>
      </c>
      <c r="N57" s="88">
        <f>SUMIF(月間集計シート!$M$29:$M$48,$G57,月間集計シート!R$29:R$48)*N$2</f>
        <v>0</v>
      </c>
      <c r="O57" s="88">
        <f>SUMIF(月間集計シート!$M$29:$M$48,$G57,月間集計シート!S$29:S$48)*O$2</f>
        <v>0</v>
      </c>
      <c r="P57" s="88">
        <f>SUMIF(月間集計シート!$M$29:$M$48,$G57,月間集計シート!T$29:T$48)*P$2</f>
        <v>0</v>
      </c>
      <c r="Q57" s="88">
        <f>SUMIF(月間集計シート!$M$50:$M$69,$G57,月間集計シート!N$50:N$69)*Q$2</f>
        <v>0</v>
      </c>
      <c r="R57" s="88">
        <f>SUMIF(月間集計シート!$M$50:$M$69,$G57,月間集計シート!O$50:O$69)*R$2</f>
        <v>0</v>
      </c>
      <c r="S57" s="88">
        <f>SUMIF(月間集計シート!$M$50:$M$69,$G57,月間集計シート!P$50:P$69)*S$2</f>
        <v>0</v>
      </c>
      <c r="T57" s="88">
        <f>SUMIF(月間集計シート!$M$50:$M$69,$G57,月間集計シート!Q$50:Q$69)*T$2</f>
        <v>0</v>
      </c>
      <c r="U57" s="88">
        <f>SUMIF(月間集計シート!$M$50:$M$69,$G57,月間集計シート!R$50:R$69)*U$2</f>
        <v>0</v>
      </c>
      <c r="V57" s="88">
        <f>SUMIF(月間集計シート!$M$50:$M$69,$G57,月間集計シート!S$50:S$69)*V$2</f>
        <v>0</v>
      </c>
      <c r="W57" s="88">
        <f>SUMIF(月間集計シート!$M$50:$M$69,$G57,月間集計シート!T$50:T$69)*W$2</f>
        <v>0</v>
      </c>
      <c r="X57" s="88">
        <f>SUMIF(月間集計シート!$M$71:$M$90,$G57,月間集計シート!N$71:N$90)*X$2</f>
        <v>0</v>
      </c>
      <c r="Y57" s="88">
        <f>SUMIF(月間集計シート!$M$71:$M$90,$G57,月間集計シート!O$71:O$90)*Y$2</f>
        <v>0</v>
      </c>
      <c r="Z57" s="88">
        <f>SUMIF(月間集計シート!$M$71:$M$90,$G57,月間集計シート!P$71:P$90)*Z$2</f>
        <v>0</v>
      </c>
      <c r="AA57" s="88">
        <f>SUMIF(月間集計シート!$M$71:$M$90,$G57,月間集計シート!Q$71:Q$90)*AA$2</f>
        <v>0</v>
      </c>
      <c r="AB57" s="88">
        <f>SUMIF(月間集計シート!$M$71:$M$90,$G57,月間集計シート!R$71:R$90)*AB$2</f>
        <v>0</v>
      </c>
      <c r="AC57" s="88">
        <f>SUMIF(月間集計シート!$M$71:$M$90,$G57,月間集計シート!S$71:S$90)*AC$2</f>
        <v>0</v>
      </c>
      <c r="AD57" s="88">
        <f>SUMIF(月間集計シート!$M$71:$M$90,$G57,月間集計シート!T$71:T$90)*AD$2</f>
        <v>0</v>
      </c>
      <c r="AE57" s="88">
        <f>SUMIF(月間集計シート!$M$92:$M$111,$G57,月間集計シート!N$92:N$111)*AE$2</f>
        <v>0</v>
      </c>
      <c r="AF57" s="88">
        <f>SUMIF(月間集計シート!$M$92:$M$111,$G57,月間集計シート!O$92:O$111)*AF$2</f>
        <v>0</v>
      </c>
      <c r="AG57" s="88">
        <f>SUMIF(月間集計シート!$M$92:$M$111,$G57,月間集計シート!P$92:P$111)*AG$2</f>
        <v>0</v>
      </c>
      <c r="AH57" s="88">
        <f>SUMIF(月間集計シート!$M$92:$M$111,$G57,月間集計シート!Q$92:Q$111)*AH$2</f>
        <v>0</v>
      </c>
      <c r="AI57" s="88">
        <f>SUMIF(月間集計シート!$M$92:$M$111,$G57,月間集計シート!R$92:R$111)*AI$2</f>
        <v>0</v>
      </c>
      <c r="AJ57" s="88">
        <f>SUMIF(月間集計シート!$M$92:$M$111,$G57,月間集計シート!S$92:S$111)*AJ$2</f>
        <v>0</v>
      </c>
      <c r="AK57" s="88">
        <f>SUMIF(月間集計シート!$M$92:$M$111,$G57,月間集計シート!T$92:T$111)*AK$2</f>
        <v>0</v>
      </c>
      <c r="AL57" s="88">
        <f>SUMIF(月間集計シート!$M$113:$M$132,$G57,月間集計シート!N$113:N$132)*AL$2</f>
        <v>0</v>
      </c>
      <c r="AM57" s="88">
        <f>SUMIF(月間集計シート!$M$113:$M$132,$G57,月間集計シート!O$113:O$132)*AM$2</f>
        <v>0</v>
      </c>
      <c r="AN57" s="88">
        <f>SUMIF(月間集計シート!$M$113:$M$132,$G57,月間集計シート!P$113:P$132)*AN$2</f>
        <v>0</v>
      </c>
      <c r="AO57" s="88">
        <f>SUMIF(月間集計シート!$M$113:$M$132,$G57,月間集計シート!Q$113:Q$132)*AO$2</f>
        <v>0</v>
      </c>
      <c r="AP57" s="88">
        <f>SUMIF(月間集計シート!$M$113:$M$132,$G57,月間集計シート!R$113:R$132)*AP$2</f>
        <v>0</v>
      </c>
      <c r="AQ57" s="88">
        <f>SUMIF(月間集計シート!$M$113:$M$132,$G57,月間集計シート!S$113:S$132)*AQ$2</f>
        <v>0</v>
      </c>
      <c r="AR57" s="88">
        <f>SUMIF(月間集計シート!$M$113:$M$132,$G57,月間集計シート!T$113:T$132)*AR$2</f>
        <v>0</v>
      </c>
      <c r="AS57" s="88">
        <f>SUMIF(月間集計シート!$M$134:$M$153,$G57,月間集計シート!N$134:N$153)*AS$2</f>
        <v>0</v>
      </c>
      <c r="AT57" s="88">
        <f>SUMIF(月間集計シート!$M$134:$M$153,$G57,月間集計シート!O$134:O$153)*AT$2</f>
        <v>0</v>
      </c>
      <c r="AU57" s="88">
        <f>SUMIF(月間集計シート!$M$134:$M$153,$G57,月間集計シート!P$134:P$153)*AU$2</f>
        <v>0</v>
      </c>
      <c r="AV57" s="88">
        <f>SUMIF(月間集計シート!$M$134:$M$153,$G57,月間集計シート!Q$134:Q$153)*AV$2</f>
        <v>0</v>
      </c>
      <c r="AW57" s="88">
        <f>SUMIF(月間集計シート!$M$134:$M$153,$G57,月間集計シート!R$134:R$153)*AW$2</f>
        <v>0</v>
      </c>
      <c r="AX57" s="88">
        <f>SUMIF(月間集計シート!$M$134:$M$153,$G57,月間集計シート!S$134:S$153)*AX$2</f>
        <v>0</v>
      </c>
      <c r="AY57" s="88">
        <f>SUMIF(月間集計シート!$M$134:$M$153,$G57,月間集計シート!T$134:T$153)*AY$2</f>
        <v>0</v>
      </c>
    </row>
    <row r="58" spans="1:51" ht="14.25" thickBot="1">
      <c r="A58">
        <v>1</v>
      </c>
      <c r="B58" s="120">
        <f t="shared" si="5"/>
        <v>999909</v>
      </c>
      <c r="C58" s="120" t="e">
        <f t="shared" si="6"/>
        <v>#N/A</v>
      </c>
      <c r="D58" s="137"/>
      <c r="E58" s="150">
        <f>工種!A50</f>
        <v>70101</v>
      </c>
      <c r="F58" s="119" t="str">
        <f>工種!B50</f>
        <v>外部不具合修正：調査・設計</v>
      </c>
      <c r="G58" s="116" t="str">
        <f t="shared" si="7"/>
        <v>99990970101</v>
      </c>
      <c r="H58" s="88">
        <f t="shared" si="4"/>
        <v>0</v>
      </c>
      <c r="I58" s="132"/>
      <c r="J58" s="88">
        <f>SUMIF(月間集計シート!$M$29:$M$48,$G58,月間集計シート!N$29:N$48)*J$2</f>
        <v>0</v>
      </c>
      <c r="K58" s="88">
        <f>SUMIF(月間集計シート!$M$29:$M$48,$G58,月間集計シート!O$29:O$48)*K$2</f>
        <v>0</v>
      </c>
      <c r="L58" s="88">
        <f>SUMIF(月間集計シート!$M$29:$M$48,$G58,月間集計シート!P$29:P$48)*L$2</f>
        <v>0</v>
      </c>
      <c r="M58" s="88">
        <f>SUMIF(月間集計シート!$M$29:$M$48,$G58,月間集計シート!Q$29:Q$48)*M$2</f>
        <v>0</v>
      </c>
      <c r="N58" s="88">
        <f>SUMIF(月間集計シート!$M$29:$M$48,$G58,月間集計シート!R$29:R$48)*N$2</f>
        <v>0</v>
      </c>
      <c r="O58" s="88">
        <f>SUMIF(月間集計シート!$M$29:$M$48,$G58,月間集計シート!S$29:S$48)*O$2</f>
        <v>0</v>
      </c>
      <c r="P58" s="88">
        <f>SUMIF(月間集計シート!$M$29:$M$48,$G58,月間集計シート!T$29:T$48)*P$2</f>
        <v>0</v>
      </c>
      <c r="Q58" s="88">
        <f>SUMIF(月間集計シート!$M$50:$M$69,$G58,月間集計シート!N$50:N$69)*Q$2</f>
        <v>0</v>
      </c>
      <c r="R58" s="88">
        <f>SUMIF(月間集計シート!$M$50:$M$69,$G58,月間集計シート!O$50:O$69)*R$2</f>
        <v>0</v>
      </c>
      <c r="S58" s="88">
        <f>SUMIF(月間集計シート!$M$50:$M$69,$G58,月間集計シート!P$50:P$69)*S$2</f>
        <v>0</v>
      </c>
      <c r="T58" s="88">
        <f>SUMIF(月間集計シート!$M$50:$M$69,$G58,月間集計シート!Q$50:Q$69)*T$2</f>
        <v>0</v>
      </c>
      <c r="U58" s="88">
        <f>SUMIF(月間集計シート!$M$50:$M$69,$G58,月間集計シート!R$50:R$69)*U$2</f>
        <v>0</v>
      </c>
      <c r="V58" s="88">
        <f>SUMIF(月間集計シート!$M$50:$M$69,$G58,月間集計シート!S$50:S$69)*V$2</f>
        <v>0</v>
      </c>
      <c r="W58" s="88">
        <f>SUMIF(月間集計シート!$M$50:$M$69,$G58,月間集計シート!T$50:T$69)*W$2</f>
        <v>0</v>
      </c>
      <c r="X58" s="88">
        <f>SUMIF(月間集計シート!$M$71:$M$90,$G58,月間集計シート!N$71:N$90)*X$2</f>
        <v>0</v>
      </c>
      <c r="Y58" s="88">
        <f>SUMIF(月間集計シート!$M$71:$M$90,$G58,月間集計シート!O$71:O$90)*Y$2</f>
        <v>0</v>
      </c>
      <c r="Z58" s="88">
        <f>SUMIF(月間集計シート!$M$71:$M$90,$G58,月間集計シート!P$71:P$90)*Z$2</f>
        <v>0</v>
      </c>
      <c r="AA58" s="88">
        <f>SUMIF(月間集計シート!$M$71:$M$90,$G58,月間集計シート!Q$71:Q$90)*AA$2</f>
        <v>0</v>
      </c>
      <c r="AB58" s="88">
        <f>SUMIF(月間集計シート!$M$71:$M$90,$G58,月間集計シート!R$71:R$90)*AB$2</f>
        <v>0</v>
      </c>
      <c r="AC58" s="88">
        <f>SUMIF(月間集計シート!$M$71:$M$90,$G58,月間集計シート!S$71:S$90)*AC$2</f>
        <v>0</v>
      </c>
      <c r="AD58" s="88">
        <f>SUMIF(月間集計シート!$M$71:$M$90,$G58,月間集計シート!T$71:T$90)*AD$2</f>
        <v>0</v>
      </c>
      <c r="AE58" s="88">
        <f>SUMIF(月間集計シート!$M$92:$M$111,$G58,月間集計シート!N$92:N$111)*AE$2</f>
        <v>0</v>
      </c>
      <c r="AF58" s="88">
        <f>SUMIF(月間集計シート!$M$92:$M$111,$G58,月間集計シート!O$92:O$111)*AF$2</f>
        <v>0</v>
      </c>
      <c r="AG58" s="88">
        <f>SUMIF(月間集計シート!$M$92:$M$111,$G58,月間集計シート!P$92:P$111)*AG$2</f>
        <v>0</v>
      </c>
      <c r="AH58" s="88">
        <f>SUMIF(月間集計シート!$M$92:$M$111,$G58,月間集計シート!Q$92:Q$111)*AH$2</f>
        <v>0</v>
      </c>
      <c r="AI58" s="88">
        <f>SUMIF(月間集計シート!$M$92:$M$111,$G58,月間集計シート!R$92:R$111)*AI$2</f>
        <v>0</v>
      </c>
      <c r="AJ58" s="88">
        <f>SUMIF(月間集計シート!$M$92:$M$111,$G58,月間集計シート!S$92:S$111)*AJ$2</f>
        <v>0</v>
      </c>
      <c r="AK58" s="88">
        <f>SUMIF(月間集計シート!$M$92:$M$111,$G58,月間集計シート!T$92:T$111)*AK$2</f>
        <v>0</v>
      </c>
      <c r="AL58" s="88">
        <f>SUMIF(月間集計シート!$M$113:$M$132,$G58,月間集計シート!N$113:N$132)*AL$2</f>
        <v>0</v>
      </c>
      <c r="AM58" s="88">
        <f>SUMIF(月間集計シート!$M$113:$M$132,$G58,月間集計シート!O$113:O$132)*AM$2</f>
        <v>0</v>
      </c>
      <c r="AN58" s="88">
        <f>SUMIF(月間集計シート!$M$113:$M$132,$G58,月間集計シート!P$113:P$132)*AN$2</f>
        <v>0</v>
      </c>
      <c r="AO58" s="88">
        <f>SUMIF(月間集計シート!$M$113:$M$132,$G58,月間集計シート!Q$113:Q$132)*AO$2</f>
        <v>0</v>
      </c>
      <c r="AP58" s="88">
        <f>SUMIF(月間集計シート!$M$113:$M$132,$G58,月間集計シート!R$113:R$132)*AP$2</f>
        <v>0</v>
      </c>
      <c r="AQ58" s="88">
        <f>SUMIF(月間集計シート!$M$113:$M$132,$G58,月間集計シート!S$113:S$132)*AQ$2</f>
        <v>0</v>
      </c>
      <c r="AR58" s="88">
        <f>SUMIF(月間集計シート!$M$113:$M$132,$G58,月間集計シート!T$113:T$132)*AR$2</f>
        <v>0</v>
      </c>
      <c r="AS58" s="88">
        <f>SUMIF(月間集計シート!$M$134:$M$153,$G58,月間集計シート!N$134:N$153)*AS$2</f>
        <v>0</v>
      </c>
      <c r="AT58" s="88">
        <f>SUMIF(月間集計シート!$M$134:$M$153,$G58,月間集計シート!O$134:O$153)*AT$2</f>
        <v>0</v>
      </c>
      <c r="AU58" s="88">
        <f>SUMIF(月間集計シート!$M$134:$M$153,$G58,月間集計シート!P$134:P$153)*AU$2</f>
        <v>0</v>
      </c>
      <c r="AV58" s="88">
        <f>SUMIF(月間集計シート!$M$134:$M$153,$G58,月間集計シート!Q$134:Q$153)*AV$2</f>
        <v>0</v>
      </c>
      <c r="AW58" s="88">
        <f>SUMIF(月間集計シート!$M$134:$M$153,$G58,月間集計シート!R$134:R$153)*AW$2</f>
        <v>0</v>
      </c>
      <c r="AX58" s="88">
        <f>SUMIF(月間集計シート!$M$134:$M$153,$G58,月間集計シート!S$134:S$153)*AX$2</f>
        <v>0</v>
      </c>
      <c r="AY58" s="88">
        <f>SUMIF(月間集計シート!$M$134:$M$153,$G58,月間集計シート!T$134:T$153)*AY$2</f>
        <v>0</v>
      </c>
    </row>
    <row r="59" spans="1:51" ht="14.25" thickBot="1">
      <c r="A59">
        <v>1</v>
      </c>
      <c r="B59" s="120">
        <f t="shared" si="5"/>
        <v>999909</v>
      </c>
      <c r="C59" s="120" t="e">
        <f t="shared" si="6"/>
        <v>#N/A</v>
      </c>
      <c r="D59" s="137"/>
      <c r="E59" s="150">
        <f>工種!A51</f>
        <v>70102</v>
      </c>
      <c r="F59" s="119" t="str">
        <f>工種!B51</f>
        <v>外部不具合修正：コーディング</v>
      </c>
      <c r="G59" s="116" t="str">
        <f t="shared" si="7"/>
        <v>99990970102</v>
      </c>
      <c r="H59" s="88">
        <f t="shared" si="4"/>
        <v>0</v>
      </c>
      <c r="I59" s="132"/>
      <c r="J59" s="88">
        <f>SUMIF(月間集計シート!$M$29:$M$48,$G59,月間集計シート!N$29:N$48)*J$2</f>
        <v>0</v>
      </c>
      <c r="K59" s="88">
        <f>SUMIF(月間集計シート!$M$29:$M$48,$G59,月間集計シート!O$29:O$48)*K$2</f>
        <v>0</v>
      </c>
      <c r="L59" s="88">
        <f>SUMIF(月間集計シート!$M$29:$M$48,$G59,月間集計シート!P$29:P$48)*L$2</f>
        <v>0</v>
      </c>
      <c r="M59" s="88">
        <f>SUMIF(月間集計シート!$M$29:$M$48,$G59,月間集計シート!Q$29:Q$48)*M$2</f>
        <v>0</v>
      </c>
      <c r="N59" s="88">
        <f>SUMIF(月間集計シート!$M$29:$M$48,$G59,月間集計シート!R$29:R$48)*N$2</f>
        <v>0</v>
      </c>
      <c r="O59" s="88">
        <f>SUMIF(月間集計シート!$M$29:$M$48,$G59,月間集計シート!S$29:S$48)*O$2</f>
        <v>0</v>
      </c>
      <c r="P59" s="88">
        <f>SUMIF(月間集計シート!$M$29:$M$48,$G59,月間集計シート!T$29:T$48)*P$2</f>
        <v>0</v>
      </c>
      <c r="Q59" s="88">
        <f>SUMIF(月間集計シート!$M$50:$M$69,$G59,月間集計シート!N$50:N$69)*Q$2</f>
        <v>0</v>
      </c>
      <c r="R59" s="88">
        <f>SUMIF(月間集計シート!$M$50:$M$69,$G59,月間集計シート!O$50:O$69)*R$2</f>
        <v>0</v>
      </c>
      <c r="S59" s="88">
        <f>SUMIF(月間集計シート!$M$50:$M$69,$G59,月間集計シート!P$50:P$69)*S$2</f>
        <v>0</v>
      </c>
      <c r="T59" s="88">
        <f>SUMIF(月間集計シート!$M$50:$M$69,$G59,月間集計シート!Q$50:Q$69)*T$2</f>
        <v>0</v>
      </c>
      <c r="U59" s="88">
        <f>SUMIF(月間集計シート!$M$50:$M$69,$G59,月間集計シート!R$50:R$69)*U$2</f>
        <v>0</v>
      </c>
      <c r="V59" s="88">
        <f>SUMIF(月間集計シート!$M$50:$M$69,$G59,月間集計シート!S$50:S$69)*V$2</f>
        <v>0</v>
      </c>
      <c r="W59" s="88">
        <f>SUMIF(月間集計シート!$M$50:$M$69,$G59,月間集計シート!T$50:T$69)*W$2</f>
        <v>0</v>
      </c>
      <c r="X59" s="88">
        <f>SUMIF(月間集計シート!$M$71:$M$90,$G59,月間集計シート!N$71:N$90)*X$2</f>
        <v>0</v>
      </c>
      <c r="Y59" s="88">
        <f>SUMIF(月間集計シート!$M$71:$M$90,$G59,月間集計シート!O$71:O$90)*Y$2</f>
        <v>0</v>
      </c>
      <c r="Z59" s="88">
        <f>SUMIF(月間集計シート!$M$71:$M$90,$G59,月間集計シート!P$71:P$90)*Z$2</f>
        <v>0</v>
      </c>
      <c r="AA59" s="88">
        <f>SUMIF(月間集計シート!$M$71:$M$90,$G59,月間集計シート!Q$71:Q$90)*AA$2</f>
        <v>0</v>
      </c>
      <c r="AB59" s="88">
        <f>SUMIF(月間集計シート!$M$71:$M$90,$G59,月間集計シート!R$71:R$90)*AB$2</f>
        <v>0</v>
      </c>
      <c r="AC59" s="88">
        <f>SUMIF(月間集計シート!$M$71:$M$90,$G59,月間集計シート!S$71:S$90)*AC$2</f>
        <v>0</v>
      </c>
      <c r="AD59" s="88">
        <f>SUMIF(月間集計シート!$M$71:$M$90,$G59,月間集計シート!T$71:T$90)*AD$2</f>
        <v>0</v>
      </c>
      <c r="AE59" s="88">
        <f>SUMIF(月間集計シート!$M$92:$M$111,$G59,月間集計シート!N$92:N$111)*AE$2</f>
        <v>0</v>
      </c>
      <c r="AF59" s="88">
        <f>SUMIF(月間集計シート!$M$92:$M$111,$G59,月間集計シート!O$92:O$111)*AF$2</f>
        <v>0</v>
      </c>
      <c r="AG59" s="88">
        <f>SUMIF(月間集計シート!$M$92:$M$111,$G59,月間集計シート!P$92:P$111)*AG$2</f>
        <v>0</v>
      </c>
      <c r="AH59" s="88">
        <f>SUMIF(月間集計シート!$M$92:$M$111,$G59,月間集計シート!Q$92:Q$111)*AH$2</f>
        <v>0</v>
      </c>
      <c r="AI59" s="88">
        <f>SUMIF(月間集計シート!$M$92:$M$111,$G59,月間集計シート!R$92:R$111)*AI$2</f>
        <v>0</v>
      </c>
      <c r="AJ59" s="88">
        <f>SUMIF(月間集計シート!$M$92:$M$111,$G59,月間集計シート!S$92:S$111)*AJ$2</f>
        <v>0</v>
      </c>
      <c r="AK59" s="88">
        <f>SUMIF(月間集計シート!$M$92:$M$111,$G59,月間集計シート!T$92:T$111)*AK$2</f>
        <v>0</v>
      </c>
      <c r="AL59" s="88">
        <f>SUMIF(月間集計シート!$M$113:$M$132,$G59,月間集計シート!N$113:N$132)*AL$2</f>
        <v>0</v>
      </c>
      <c r="AM59" s="88">
        <f>SUMIF(月間集計シート!$M$113:$M$132,$G59,月間集計シート!O$113:O$132)*AM$2</f>
        <v>0</v>
      </c>
      <c r="AN59" s="88">
        <f>SUMIF(月間集計シート!$M$113:$M$132,$G59,月間集計シート!P$113:P$132)*AN$2</f>
        <v>0</v>
      </c>
      <c r="AO59" s="88">
        <f>SUMIF(月間集計シート!$M$113:$M$132,$G59,月間集計シート!Q$113:Q$132)*AO$2</f>
        <v>0</v>
      </c>
      <c r="AP59" s="88">
        <f>SUMIF(月間集計シート!$M$113:$M$132,$G59,月間集計シート!R$113:R$132)*AP$2</f>
        <v>0</v>
      </c>
      <c r="AQ59" s="88">
        <f>SUMIF(月間集計シート!$M$113:$M$132,$G59,月間集計シート!S$113:S$132)*AQ$2</f>
        <v>0</v>
      </c>
      <c r="AR59" s="88">
        <f>SUMIF(月間集計シート!$M$113:$M$132,$G59,月間集計シート!T$113:T$132)*AR$2</f>
        <v>0</v>
      </c>
      <c r="AS59" s="88">
        <f>SUMIF(月間集計シート!$M$134:$M$153,$G59,月間集計シート!N$134:N$153)*AS$2</f>
        <v>0</v>
      </c>
      <c r="AT59" s="88">
        <f>SUMIF(月間集計シート!$M$134:$M$153,$G59,月間集計シート!O$134:O$153)*AT$2</f>
        <v>0</v>
      </c>
      <c r="AU59" s="88">
        <f>SUMIF(月間集計シート!$M$134:$M$153,$G59,月間集計シート!P$134:P$153)*AU$2</f>
        <v>0</v>
      </c>
      <c r="AV59" s="88">
        <f>SUMIF(月間集計シート!$M$134:$M$153,$G59,月間集計シート!Q$134:Q$153)*AV$2</f>
        <v>0</v>
      </c>
      <c r="AW59" s="88">
        <f>SUMIF(月間集計シート!$M$134:$M$153,$G59,月間集計シート!R$134:R$153)*AW$2</f>
        <v>0</v>
      </c>
      <c r="AX59" s="88">
        <f>SUMIF(月間集計シート!$M$134:$M$153,$G59,月間集計シート!S$134:S$153)*AX$2</f>
        <v>0</v>
      </c>
      <c r="AY59" s="88">
        <f>SUMIF(月間集計シート!$M$134:$M$153,$G59,月間集計シート!T$134:T$153)*AY$2</f>
        <v>0</v>
      </c>
    </row>
    <row r="60" spans="1:51" ht="14.25" thickBot="1">
      <c r="A60">
        <v>1</v>
      </c>
      <c r="B60" s="120">
        <f t="shared" si="5"/>
        <v>999909</v>
      </c>
      <c r="C60" s="120" t="e">
        <f t="shared" si="6"/>
        <v>#N/A</v>
      </c>
      <c r="D60" s="137"/>
      <c r="E60" s="150">
        <f>工種!A52</f>
        <v>70103</v>
      </c>
      <c r="F60" s="119" t="str">
        <f>工種!B52</f>
        <v>外部不具合修正：テスト</v>
      </c>
      <c r="G60" s="116" t="str">
        <f t="shared" si="7"/>
        <v>99990970103</v>
      </c>
      <c r="H60" s="88">
        <f t="shared" si="4"/>
        <v>0</v>
      </c>
      <c r="I60" s="132"/>
      <c r="J60" s="88">
        <f>SUMIF(月間集計シート!$M$29:$M$48,$G60,月間集計シート!N$29:N$48)*J$2</f>
        <v>0</v>
      </c>
      <c r="K60" s="88">
        <f>SUMIF(月間集計シート!$M$29:$M$48,$G60,月間集計シート!O$29:O$48)*K$2</f>
        <v>0</v>
      </c>
      <c r="L60" s="88">
        <f>SUMIF(月間集計シート!$M$29:$M$48,$G60,月間集計シート!P$29:P$48)*L$2</f>
        <v>0</v>
      </c>
      <c r="M60" s="88">
        <f>SUMIF(月間集計シート!$M$29:$M$48,$G60,月間集計シート!Q$29:Q$48)*M$2</f>
        <v>0</v>
      </c>
      <c r="N60" s="88">
        <f>SUMIF(月間集計シート!$M$29:$M$48,$G60,月間集計シート!R$29:R$48)*N$2</f>
        <v>0</v>
      </c>
      <c r="O60" s="88">
        <f>SUMIF(月間集計シート!$M$29:$M$48,$G60,月間集計シート!S$29:S$48)*O$2</f>
        <v>0</v>
      </c>
      <c r="P60" s="88">
        <f>SUMIF(月間集計シート!$M$29:$M$48,$G60,月間集計シート!T$29:T$48)*P$2</f>
        <v>0</v>
      </c>
      <c r="Q60" s="88">
        <f>SUMIF(月間集計シート!$M$50:$M$69,$G60,月間集計シート!N$50:N$69)*Q$2</f>
        <v>0</v>
      </c>
      <c r="R60" s="88">
        <f>SUMIF(月間集計シート!$M$50:$M$69,$G60,月間集計シート!O$50:O$69)*R$2</f>
        <v>0</v>
      </c>
      <c r="S60" s="88">
        <f>SUMIF(月間集計シート!$M$50:$M$69,$G60,月間集計シート!P$50:P$69)*S$2</f>
        <v>0</v>
      </c>
      <c r="T60" s="88">
        <f>SUMIF(月間集計シート!$M$50:$M$69,$G60,月間集計シート!Q$50:Q$69)*T$2</f>
        <v>0</v>
      </c>
      <c r="U60" s="88">
        <f>SUMIF(月間集計シート!$M$50:$M$69,$G60,月間集計シート!R$50:R$69)*U$2</f>
        <v>0</v>
      </c>
      <c r="V60" s="88">
        <f>SUMIF(月間集計シート!$M$50:$M$69,$G60,月間集計シート!S$50:S$69)*V$2</f>
        <v>0</v>
      </c>
      <c r="W60" s="88">
        <f>SUMIF(月間集計シート!$M$50:$M$69,$G60,月間集計シート!T$50:T$69)*W$2</f>
        <v>0</v>
      </c>
      <c r="X60" s="88">
        <f>SUMIF(月間集計シート!$M$71:$M$90,$G60,月間集計シート!N$71:N$90)*X$2</f>
        <v>0</v>
      </c>
      <c r="Y60" s="88">
        <f>SUMIF(月間集計シート!$M$71:$M$90,$G60,月間集計シート!O$71:O$90)*Y$2</f>
        <v>0</v>
      </c>
      <c r="Z60" s="88">
        <f>SUMIF(月間集計シート!$M$71:$M$90,$G60,月間集計シート!P$71:P$90)*Z$2</f>
        <v>0</v>
      </c>
      <c r="AA60" s="88">
        <f>SUMIF(月間集計シート!$M$71:$M$90,$G60,月間集計シート!Q$71:Q$90)*AA$2</f>
        <v>0</v>
      </c>
      <c r="AB60" s="88">
        <f>SUMIF(月間集計シート!$M$71:$M$90,$G60,月間集計シート!R$71:R$90)*AB$2</f>
        <v>0</v>
      </c>
      <c r="AC60" s="88">
        <f>SUMIF(月間集計シート!$M$71:$M$90,$G60,月間集計シート!S$71:S$90)*AC$2</f>
        <v>0</v>
      </c>
      <c r="AD60" s="88">
        <f>SUMIF(月間集計シート!$M$71:$M$90,$G60,月間集計シート!T$71:T$90)*AD$2</f>
        <v>0</v>
      </c>
      <c r="AE60" s="88">
        <f>SUMIF(月間集計シート!$M$92:$M$111,$G60,月間集計シート!N$92:N$111)*AE$2</f>
        <v>0</v>
      </c>
      <c r="AF60" s="88">
        <f>SUMIF(月間集計シート!$M$92:$M$111,$G60,月間集計シート!O$92:O$111)*AF$2</f>
        <v>0</v>
      </c>
      <c r="AG60" s="88">
        <f>SUMIF(月間集計シート!$M$92:$M$111,$G60,月間集計シート!P$92:P$111)*AG$2</f>
        <v>0</v>
      </c>
      <c r="AH60" s="88">
        <f>SUMIF(月間集計シート!$M$92:$M$111,$G60,月間集計シート!Q$92:Q$111)*AH$2</f>
        <v>0</v>
      </c>
      <c r="AI60" s="88">
        <f>SUMIF(月間集計シート!$M$92:$M$111,$G60,月間集計シート!R$92:R$111)*AI$2</f>
        <v>0</v>
      </c>
      <c r="AJ60" s="88">
        <f>SUMIF(月間集計シート!$M$92:$M$111,$G60,月間集計シート!S$92:S$111)*AJ$2</f>
        <v>0</v>
      </c>
      <c r="AK60" s="88">
        <f>SUMIF(月間集計シート!$M$92:$M$111,$G60,月間集計シート!T$92:T$111)*AK$2</f>
        <v>0</v>
      </c>
      <c r="AL60" s="88">
        <f>SUMIF(月間集計シート!$M$113:$M$132,$G60,月間集計シート!N$113:N$132)*AL$2</f>
        <v>0</v>
      </c>
      <c r="AM60" s="88">
        <f>SUMIF(月間集計シート!$M$113:$M$132,$G60,月間集計シート!O$113:O$132)*AM$2</f>
        <v>0</v>
      </c>
      <c r="AN60" s="88">
        <f>SUMIF(月間集計シート!$M$113:$M$132,$G60,月間集計シート!P$113:P$132)*AN$2</f>
        <v>0</v>
      </c>
      <c r="AO60" s="88">
        <f>SUMIF(月間集計シート!$M$113:$M$132,$G60,月間集計シート!Q$113:Q$132)*AO$2</f>
        <v>0</v>
      </c>
      <c r="AP60" s="88">
        <f>SUMIF(月間集計シート!$M$113:$M$132,$G60,月間集計シート!R$113:R$132)*AP$2</f>
        <v>0</v>
      </c>
      <c r="AQ60" s="88">
        <f>SUMIF(月間集計シート!$M$113:$M$132,$G60,月間集計シート!S$113:S$132)*AQ$2</f>
        <v>0</v>
      </c>
      <c r="AR60" s="88">
        <f>SUMIF(月間集計シート!$M$113:$M$132,$G60,月間集計シート!T$113:T$132)*AR$2</f>
        <v>0</v>
      </c>
      <c r="AS60" s="88">
        <f>SUMIF(月間集計シート!$M$134:$M$153,$G60,月間集計シート!N$134:N$153)*AS$2</f>
        <v>0</v>
      </c>
      <c r="AT60" s="88">
        <f>SUMIF(月間集計シート!$M$134:$M$153,$G60,月間集計シート!O$134:O$153)*AT$2</f>
        <v>0</v>
      </c>
      <c r="AU60" s="88">
        <f>SUMIF(月間集計シート!$M$134:$M$153,$G60,月間集計シート!P$134:P$153)*AU$2</f>
        <v>0</v>
      </c>
      <c r="AV60" s="88">
        <f>SUMIF(月間集計シート!$M$134:$M$153,$G60,月間集計シート!Q$134:Q$153)*AV$2</f>
        <v>0</v>
      </c>
      <c r="AW60" s="88">
        <f>SUMIF(月間集計シート!$M$134:$M$153,$G60,月間集計シート!R$134:R$153)*AW$2</f>
        <v>0</v>
      </c>
      <c r="AX60" s="88">
        <f>SUMIF(月間集計シート!$M$134:$M$153,$G60,月間集計シート!S$134:S$153)*AX$2</f>
        <v>0</v>
      </c>
      <c r="AY60" s="88">
        <f>SUMIF(月間集計シート!$M$134:$M$153,$G60,月間集計シート!T$134:T$153)*AY$2</f>
        <v>0</v>
      </c>
    </row>
    <row r="61" spans="1:51" ht="14.25" thickBot="1">
      <c r="A61">
        <v>1</v>
      </c>
      <c r="B61" s="120">
        <f t="shared" si="5"/>
        <v>999909</v>
      </c>
      <c r="C61" s="120" t="e">
        <f t="shared" si="6"/>
        <v>#N/A</v>
      </c>
      <c r="D61" s="137"/>
      <c r="E61" s="150">
        <f>工種!A53</f>
        <v>70104</v>
      </c>
      <c r="F61" s="119" t="str">
        <f>工種!B53</f>
        <v>外部不具合修正：不具合連絡作成</v>
      </c>
      <c r="G61" s="116" t="str">
        <f t="shared" si="7"/>
        <v>99990970104</v>
      </c>
      <c r="H61" s="88">
        <f t="shared" si="4"/>
        <v>0</v>
      </c>
      <c r="I61" s="132"/>
      <c r="J61" s="88">
        <f>SUMIF(月間集計シート!$M$29:$M$48,$G61,月間集計シート!N$29:N$48)*J$2</f>
        <v>0</v>
      </c>
      <c r="K61" s="88">
        <f>SUMIF(月間集計シート!$M$29:$M$48,$G61,月間集計シート!O$29:O$48)*K$2</f>
        <v>0</v>
      </c>
      <c r="L61" s="88">
        <f>SUMIF(月間集計シート!$M$29:$M$48,$G61,月間集計シート!P$29:P$48)*L$2</f>
        <v>0</v>
      </c>
      <c r="M61" s="88">
        <f>SUMIF(月間集計シート!$M$29:$M$48,$G61,月間集計シート!Q$29:Q$48)*M$2</f>
        <v>0</v>
      </c>
      <c r="N61" s="88">
        <f>SUMIF(月間集計シート!$M$29:$M$48,$G61,月間集計シート!R$29:R$48)*N$2</f>
        <v>0</v>
      </c>
      <c r="O61" s="88">
        <f>SUMIF(月間集計シート!$M$29:$M$48,$G61,月間集計シート!S$29:S$48)*O$2</f>
        <v>0</v>
      </c>
      <c r="P61" s="88">
        <f>SUMIF(月間集計シート!$M$29:$M$48,$G61,月間集計シート!T$29:T$48)*P$2</f>
        <v>0</v>
      </c>
      <c r="Q61" s="88">
        <f>SUMIF(月間集計シート!$M$50:$M$69,$G61,月間集計シート!N$50:N$69)*Q$2</f>
        <v>0</v>
      </c>
      <c r="R61" s="88">
        <f>SUMIF(月間集計シート!$M$50:$M$69,$G61,月間集計シート!O$50:O$69)*R$2</f>
        <v>0</v>
      </c>
      <c r="S61" s="88">
        <f>SUMIF(月間集計シート!$M$50:$M$69,$G61,月間集計シート!P$50:P$69)*S$2</f>
        <v>0</v>
      </c>
      <c r="T61" s="88">
        <f>SUMIF(月間集計シート!$M$50:$M$69,$G61,月間集計シート!Q$50:Q$69)*T$2</f>
        <v>0</v>
      </c>
      <c r="U61" s="88">
        <f>SUMIF(月間集計シート!$M$50:$M$69,$G61,月間集計シート!R$50:R$69)*U$2</f>
        <v>0</v>
      </c>
      <c r="V61" s="88">
        <f>SUMIF(月間集計シート!$M$50:$M$69,$G61,月間集計シート!S$50:S$69)*V$2</f>
        <v>0</v>
      </c>
      <c r="W61" s="88">
        <f>SUMIF(月間集計シート!$M$50:$M$69,$G61,月間集計シート!T$50:T$69)*W$2</f>
        <v>0</v>
      </c>
      <c r="X61" s="88">
        <f>SUMIF(月間集計シート!$M$71:$M$90,$G61,月間集計シート!N$71:N$90)*X$2</f>
        <v>0</v>
      </c>
      <c r="Y61" s="88">
        <f>SUMIF(月間集計シート!$M$71:$M$90,$G61,月間集計シート!O$71:O$90)*Y$2</f>
        <v>0</v>
      </c>
      <c r="Z61" s="88">
        <f>SUMIF(月間集計シート!$M$71:$M$90,$G61,月間集計シート!P$71:P$90)*Z$2</f>
        <v>0</v>
      </c>
      <c r="AA61" s="88">
        <f>SUMIF(月間集計シート!$M$71:$M$90,$G61,月間集計シート!Q$71:Q$90)*AA$2</f>
        <v>0</v>
      </c>
      <c r="AB61" s="88">
        <f>SUMIF(月間集計シート!$M$71:$M$90,$G61,月間集計シート!R$71:R$90)*AB$2</f>
        <v>0</v>
      </c>
      <c r="AC61" s="88">
        <f>SUMIF(月間集計シート!$M$71:$M$90,$G61,月間集計シート!S$71:S$90)*AC$2</f>
        <v>0</v>
      </c>
      <c r="AD61" s="88">
        <f>SUMIF(月間集計シート!$M$71:$M$90,$G61,月間集計シート!T$71:T$90)*AD$2</f>
        <v>0</v>
      </c>
      <c r="AE61" s="88">
        <f>SUMIF(月間集計シート!$M$92:$M$111,$G61,月間集計シート!N$92:N$111)*AE$2</f>
        <v>0</v>
      </c>
      <c r="AF61" s="88">
        <f>SUMIF(月間集計シート!$M$92:$M$111,$G61,月間集計シート!O$92:O$111)*AF$2</f>
        <v>0</v>
      </c>
      <c r="AG61" s="88">
        <f>SUMIF(月間集計シート!$M$92:$M$111,$G61,月間集計シート!P$92:P$111)*AG$2</f>
        <v>0</v>
      </c>
      <c r="AH61" s="88">
        <f>SUMIF(月間集計シート!$M$92:$M$111,$G61,月間集計シート!Q$92:Q$111)*AH$2</f>
        <v>0</v>
      </c>
      <c r="AI61" s="88">
        <f>SUMIF(月間集計シート!$M$92:$M$111,$G61,月間集計シート!R$92:R$111)*AI$2</f>
        <v>0</v>
      </c>
      <c r="AJ61" s="88">
        <f>SUMIF(月間集計シート!$M$92:$M$111,$G61,月間集計シート!S$92:S$111)*AJ$2</f>
        <v>0</v>
      </c>
      <c r="AK61" s="88">
        <f>SUMIF(月間集計シート!$M$92:$M$111,$G61,月間集計シート!T$92:T$111)*AK$2</f>
        <v>0</v>
      </c>
      <c r="AL61" s="88">
        <f>SUMIF(月間集計シート!$M$113:$M$132,$G61,月間集計シート!N$113:N$132)*AL$2</f>
        <v>0</v>
      </c>
      <c r="AM61" s="88">
        <f>SUMIF(月間集計シート!$M$113:$M$132,$G61,月間集計シート!O$113:O$132)*AM$2</f>
        <v>0</v>
      </c>
      <c r="AN61" s="88">
        <f>SUMIF(月間集計シート!$M$113:$M$132,$G61,月間集計シート!P$113:P$132)*AN$2</f>
        <v>0</v>
      </c>
      <c r="AO61" s="88">
        <f>SUMIF(月間集計シート!$M$113:$M$132,$G61,月間集計シート!Q$113:Q$132)*AO$2</f>
        <v>0</v>
      </c>
      <c r="AP61" s="88">
        <f>SUMIF(月間集計シート!$M$113:$M$132,$G61,月間集計シート!R$113:R$132)*AP$2</f>
        <v>0</v>
      </c>
      <c r="AQ61" s="88">
        <f>SUMIF(月間集計シート!$M$113:$M$132,$G61,月間集計シート!S$113:S$132)*AQ$2</f>
        <v>0</v>
      </c>
      <c r="AR61" s="88">
        <f>SUMIF(月間集計シート!$M$113:$M$132,$G61,月間集計シート!T$113:T$132)*AR$2</f>
        <v>0</v>
      </c>
      <c r="AS61" s="88">
        <f>SUMIF(月間集計シート!$M$134:$M$153,$G61,月間集計シート!N$134:N$153)*AS$2</f>
        <v>0</v>
      </c>
      <c r="AT61" s="88">
        <f>SUMIF(月間集計シート!$M$134:$M$153,$G61,月間集計シート!O$134:O$153)*AT$2</f>
        <v>0</v>
      </c>
      <c r="AU61" s="88">
        <f>SUMIF(月間集計シート!$M$134:$M$153,$G61,月間集計シート!P$134:P$153)*AU$2</f>
        <v>0</v>
      </c>
      <c r="AV61" s="88">
        <f>SUMIF(月間集計シート!$M$134:$M$153,$G61,月間集計シート!Q$134:Q$153)*AV$2</f>
        <v>0</v>
      </c>
      <c r="AW61" s="88">
        <f>SUMIF(月間集計シート!$M$134:$M$153,$G61,月間集計シート!R$134:R$153)*AW$2</f>
        <v>0</v>
      </c>
      <c r="AX61" s="88">
        <f>SUMIF(月間集計シート!$M$134:$M$153,$G61,月間集計シート!S$134:S$153)*AX$2</f>
        <v>0</v>
      </c>
      <c r="AY61" s="88">
        <f>SUMIF(月間集計シート!$M$134:$M$153,$G61,月間集計シート!T$134:T$153)*AY$2</f>
        <v>0</v>
      </c>
    </row>
    <row r="62" spans="1:51" ht="14.25" thickBot="1">
      <c r="A62">
        <v>1</v>
      </c>
      <c r="B62" s="120">
        <f t="shared" si="5"/>
        <v>999909</v>
      </c>
      <c r="C62" s="120" t="e">
        <f t="shared" si="6"/>
        <v>#N/A</v>
      </c>
      <c r="D62" s="137"/>
      <c r="E62" s="150">
        <f>工種!A54</f>
        <v>70105</v>
      </c>
      <c r="F62" s="119" t="str">
        <f>工種!B54</f>
        <v>外部不具合修正：差分PGイントラ掲載</v>
      </c>
      <c r="G62" s="116" t="str">
        <f t="shared" si="7"/>
        <v>99990970105</v>
      </c>
      <c r="H62" s="88">
        <f t="shared" si="4"/>
        <v>0</v>
      </c>
      <c r="I62" s="132"/>
      <c r="J62" s="88">
        <f>SUMIF(月間集計シート!$M$29:$M$48,$G62,月間集計シート!N$29:N$48)*J$2</f>
        <v>0</v>
      </c>
      <c r="K62" s="88">
        <f>SUMIF(月間集計シート!$M$29:$M$48,$G62,月間集計シート!O$29:O$48)*K$2</f>
        <v>0</v>
      </c>
      <c r="L62" s="88">
        <f>SUMIF(月間集計シート!$M$29:$M$48,$G62,月間集計シート!P$29:P$48)*L$2</f>
        <v>0</v>
      </c>
      <c r="M62" s="88">
        <f>SUMIF(月間集計シート!$M$29:$M$48,$G62,月間集計シート!Q$29:Q$48)*M$2</f>
        <v>0</v>
      </c>
      <c r="N62" s="88">
        <f>SUMIF(月間集計シート!$M$29:$M$48,$G62,月間集計シート!R$29:R$48)*N$2</f>
        <v>0</v>
      </c>
      <c r="O62" s="88">
        <f>SUMIF(月間集計シート!$M$29:$M$48,$G62,月間集計シート!S$29:S$48)*O$2</f>
        <v>0</v>
      </c>
      <c r="P62" s="88">
        <f>SUMIF(月間集計シート!$M$29:$M$48,$G62,月間集計シート!T$29:T$48)*P$2</f>
        <v>0</v>
      </c>
      <c r="Q62" s="88">
        <f>SUMIF(月間集計シート!$M$50:$M$69,$G62,月間集計シート!N$50:N$69)*Q$2</f>
        <v>0</v>
      </c>
      <c r="R62" s="88">
        <f>SUMIF(月間集計シート!$M$50:$M$69,$G62,月間集計シート!O$50:O$69)*R$2</f>
        <v>0</v>
      </c>
      <c r="S62" s="88">
        <f>SUMIF(月間集計シート!$M$50:$M$69,$G62,月間集計シート!P$50:P$69)*S$2</f>
        <v>0</v>
      </c>
      <c r="T62" s="88">
        <f>SUMIF(月間集計シート!$M$50:$M$69,$G62,月間集計シート!Q$50:Q$69)*T$2</f>
        <v>0</v>
      </c>
      <c r="U62" s="88">
        <f>SUMIF(月間集計シート!$M$50:$M$69,$G62,月間集計シート!R$50:R$69)*U$2</f>
        <v>0</v>
      </c>
      <c r="V62" s="88">
        <f>SUMIF(月間集計シート!$M$50:$M$69,$G62,月間集計シート!S$50:S$69)*V$2</f>
        <v>0</v>
      </c>
      <c r="W62" s="88">
        <f>SUMIF(月間集計シート!$M$50:$M$69,$G62,月間集計シート!T$50:T$69)*W$2</f>
        <v>0</v>
      </c>
      <c r="X62" s="88">
        <f>SUMIF(月間集計シート!$M$71:$M$90,$G62,月間集計シート!N$71:N$90)*X$2</f>
        <v>0</v>
      </c>
      <c r="Y62" s="88">
        <f>SUMIF(月間集計シート!$M$71:$M$90,$G62,月間集計シート!O$71:O$90)*Y$2</f>
        <v>0</v>
      </c>
      <c r="Z62" s="88">
        <f>SUMIF(月間集計シート!$M$71:$M$90,$G62,月間集計シート!P$71:P$90)*Z$2</f>
        <v>0</v>
      </c>
      <c r="AA62" s="88">
        <f>SUMIF(月間集計シート!$M$71:$M$90,$G62,月間集計シート!Q$71:Q$90)*AA$2</f>
        <v>0</v>
      </c>
      <c r="AB62" s="88">
        <f>SUMIF(月間集計シート!$M$71:$M$90,$G62,月間集計シート!R$71:R$90)*AB$2</f>
        <v>0</v>
      </c>
      <c r="AC62" s="88">
        <f>SUMIF(月間集計シート!$M$71:$M$90,$G62,月間集計シート!S$71:S$90)*AC$2</f>
        <v>0</v>
      </c>
      <c r="AD62" s="88">
        <f>SUMIF(月間集計シート!$M$71:$M$90,$G62,月間集計シート!T$71:T$90)*AD$2</f>
        <v>0</v>
      </c>
      <c r="AE62" s="88">
        <f>SUMIF(月間集計シート!$M$92:$M$111,$G62,月間集計シート!N$92:N$111)*AE$2</f>
        <v>0</v>
      </c>
      <c r="AF62" s="88">
        <f>SUMIF(月間集計シート!$M$92:$M$111,$G62,月間集計シート!O$92:O$111)*AF$2</f>
        <v>0</v>
      </c>
      <c r="AG62" s="88">
        <f>SUMIF(月間集計シート!$M$92:$M$111,$G62,月間集計シート!P$92:P$111)*AG$2</f>
        <v>0</v>
      </c>
      <c r="AH62" s="88">
        <f>SUMIF(月間集計シート!$M$92:$M$111,$G62,月間集計シート!Q$92:Q$111)*AH$2</f>
        <v>0</v>
      </c>
      <c r="AI62" s="88">
        <f>SUMIF(月間集計シート!$M$92:$M$111,$G62,月間集計シート!R$92:R$111)*AI$2</f>
        <v>0</v>
      </c>
      <c r="AJ62" s="88">
        <f>SUMIF(月間集計シート!$M$92:$M$111,$G62,月間集計シート!S$92:S$111)*AJ$2</f>
        <v>0</v>
      </c>
      <c r="AK62" s="88">
        <f>SUMIF(月間集計シート!$M$92:$M$111,$G62,月間集計シート!T$92:T$111)*AK$2</f>
        <v>0</v>
      </c>
      <c r="AL62" s="88">
        <f>SUMIF(月間集計シート!$M$113:$M$132,$G62,月間集計シート!N$113:N$132)*AL$2</f>
        <v>0</v>
      </c>
      <c r="AM62" s="88">
        <f>SUMIF(月間集計シート!$M$113:$M$132,$G62,月間集計シート!O$113:O$132)*AM$2</f>
        <v>0</v>
      </c>
      <c r="AN62" s="88">
        <f>SUMIF(月間集計シート!$M$113:$M$132,$G62,月間集計シート!P$113:P$132)*AN$2</f>
        <v>0</v>
      </c>
      <c r="AO62" s="88">
        <f>SUMIF(月間集計シート!$M$113:$M$132,$G62,月間集計シート!Q$113:Q$132)*AO$2</f>
        <v>0</v>
      </c>
      <c r="AP62" s="88">
        <f>SUMIF(月間集計シート!$M$113:$M$132,$G62,月間集計シート!R$113:R$132)*AP$2</f>
        <v>0</v>
      </c>
      <c r="AQ62" s="88">
        <f>SUMIF(月間集計シート!$M$113:$M$132,$G62,月間集計シート!S$113:S$132)*AQ$2</f>
        <v>0</v>
      </c>
      <c r="AR62" s="88">
        <f>SUMIF(月間集計シート!$M$113:$M$132,$G62,月間集計シート!T$113:T$132)*AR$2</f>
        <v>0</v>
      </c>
      <c r="AS62" s="88">
        <f>SUMIF(月間集計シート!$M$134:$M$153,$G62,月間集計シート!N$134:N$153)*AS$2</f>
        <v>0</v>
      </c>
      <c r="AT62" s="88">
        <f>SUMIF(月間集計シート!$M$134:$M$153,$G62,月間集計シート!O$134:O$153)*AT$2</f>
        <v>0</v>
      </c>
      <c r="AU62" s="88">
        <f>SUMIF(月間集計シート!$M$134:$M$153,$G62,月間集計シート!P$134:P$153)*AU$2</f>
        <v>0</v>
      </c>
      <c r="AV62" s="88">
        <f>SUMIF(月間集計シート!$M$134:$M$153,$G62,月間集計シート!Q$134:Q$153)*AV$2</f>
        <v>0</v>
      </c>
      <c r="AW62" s="88">
        <f>SUMIF(月間集計シート!$M$134:$M$153,$G62,月間集計シート!R$134:R$153)*AW$2</f>
        <v>0</v>
      </c>
      <c r="AX62" s="88">
        <f>SUMIF(月間集計シート!$M$134:$M$153,$G62,月間集計シート!S$134:S$153)*AX$2</f>
        <v>0</v>
      </c>
      <c r="AY62" s="88">
        <f>SUMIF(月間集計シート!$M$134:$M$153,$G62,月間集計シート!T$134:T$153)*AY$2</f>
        <v>0</v>
      </c>
    </row>
    <row r="63" spans="1:51" ht="14.25" thickBot="1">
      <c r="A63">
        <v>1</v>
      </c>
      <c r="B63" s="120">
        <f t="shared" si="5"/>
        <v>999909</v>
      </c>
      <c r="C63" s="120" t="e">
        <f t="shared" si="6"/>
        <v>#N/A</v>
      </c>
      <c r="D63" s="137"/>
      <c r="E63" s="150">
        <f>工種!A55</f>
        <v>70106</v>
      </c>
      <c r="F63" s="119" t="str">
        <f>工種!B55</f>
        <v>外部不具合修正：打合せ</v>
      </c>
      <c r="G63" s="116" t="str">
        <f t="shared" si="7"/>
        <v>99990970106</v>
      </c>
      <c r="H63" s="88">
        <f t="shared" si="4"/>
        <v>0</v>
      </c>
      <c r="I63" s="132"/>
      <c r="J63" s="88">
        <f>SUMIF(月間集計シート!$M$29:$M$48,$G63,月間集計シート!N$29:N$48)*J$2</f>
        <v>0</v>
      </c>
      <c r="K63" s="88">
        <f>SUMIF(月間集計シート!$M$29:$M$48,$G63,月間集計シート!O$29:O$48)*K$2</f>
        <v>0</v>
      </c>
      <c r="L63" s="88">
        <f>SUMIF(月間集計シート!$M$29:$M$48,$G63,月間集計シート!P$29:P$48)*L$2</f>
        <v>0</v>
      </c>
      <c r="M63" s="88">
        <f>SUMIF(月間集計シート!$M$29:$M$48,$G63,月間集計シート!Q$29:Q$48)*M$2</f>
        <v>0</v>
      </c>
      <c r="N63" s="88">
        <f>SUMIF(月間集計シート!$M$29:$M$48,$G63,月間集計シート!R$29:R$48)*N$2</f>
        <v>0</v>
      </c>
      <c r="O63" s="88">
        <f>SUMIF(月間集計シート!$M$29:$M$48,$G63,月間集計シート!S$29:S$48)*O$2</f>
        <v>0</v>
      </c>
      <c r="P63" s="88">
        <f>SUMIF(月間集計シート!$M$29:$M$48,$G63,月間集計シート!T$29:T$48)*P$2</f>
        <v>0</v>
      </c>
      <c r="Q63" s="88">
        <f>SUMIF(月間集計シート!$M$50:$M$69,$G63,月間集計シート!N$50:N$69)*Q$2</f>
        <v>0</v>
      </c>
      <c r="R63" s="88">
        <f>SUMIF(月間集計シート!$M$50:$M$69,$G63,月間集計シート!O$50:O$69)*R$2</f>
        <v>0</v>
      </c>
      <c r="S63" s="88">
        <f>SUMIF(月間集計シート!$M$50:$M$69,$G63,月間集計シート!P$50:P$69)*S$2</f>
        <v>0</v>
      </c>
      <c r="T63" s="88">
        <f>SUMIF(月間集計シート!$M$50:$M$69,$G63,月間集計シート!Q$50:Q$69)*T$2</f>
        <v>0</v>
      </c>
      <c r="U63" s="88">
        <f>SUMIF(月間集計シート!$M$50:$M$69,$G63,月間集計シート!R$50:R$69)*U$2</f>
        <v>0</v>
      </c>
      <c r="V63" s="88">
        <f>SUMIF(月間集計シート!$M$50:$M$69,$G63,月間集計シート!S$50:S$69)*V$2</f>
        <v>0</v>
      </c>
      <c r="W63" s="88">
        <f>SUMIF(月間集計シート!$M$50:$M$69,$G63,月間集計シート!T$50:T$69)*W$2</f>
        <v>0</v>
      </c>
      <c r="X63" s="88">
        <f>SUMIF(月間集計シート!$M$71:$M$90,$G63,月間集計シート!N$71:N$90)*X$2</f>
        <v>0</v>
      </c>
      <c r="Y63" s="88">
        <f>SUMIF(月間集計シート!$M$71:$M$90,$G63,月間集計シート!O$71:O$90)*Y$2</f>
        <v>0</v>
      </c>
      <c r="Z63" s="88">
        <f>SUMIF(月間集計シート!$M$71:$M$90,$G63,月間集計シート!P$71:P$90)*Z$2</f>
        <v>0</v>
      </c>
      <c r="AA63" s="88">
        <f>SUMIF(月間集計シート!$M$71:$M$90,$G63,月間集計シート!Q$71:Q$90)*AA$2</f>
        <v>0</v>
      </c>
      <c r="AB63" s="88">
        <f>SUMIF(月間集計シート!$M$71:$M$90,$G63,月間集計シート!R$71:R$90)*AB$2</f>
        <v>0</v>
      </c>
      <c r="AC63" s="88">
        <f>SUMIF(月間集計シート!$M$71:$M$90,$G63,月間集計シート!S$71:S$90)*AC$2</f>
        <v>0</v>
      </c>
      <c r="AD63" s="88">
        <f>SUMIF(月間集計シート!$M$71:$M$90,$G63,月間集計シート!T$71:T$90)*AD$2</f>
        <v>0</v>
      </c>
      <c r="AE63" s="88">
        <f>SUMIF(月間集計シート!$M$92:$M$111,$G63,月間集計シート!N$92:N$111)*AE$2</f>
        <v>0</v>
      </c>
      <c r="AF63" s="88">
        <f>SUMIF(月間集計シート!$M$92:$M$111,$G63,月間集計シート!O$92:O$111)*AF$2</f>
        <v>0</v>
      </c>
      <c r="AG63" s="88">
        <f>SUMIF(月間集計シート!$M$92:$M$111,$G63,月間集計シート!P$92:P$111)*AG$2</f>
        <v>0</v>
      </c>
      <c r="AH63" s="88">
        <f>SUMIF(月間集計シート!$M$92:$M$111,$G63,月間集計シート!Q$92:Q$111)*AH$2</f>
        <v>0</v>
      </c>
      <c r="AI63" s="88">
        <f>SUMIF(月間集計シート!$M$92:$M$111,$G63,月間集計シート!R$92:R$111)*AI$2</f>
        <v>0</v>
      </c>
      <c r="AJ63" s="88">
        <f>SUMIF(月間集計シート!$M$92:$M$111,$G63,月間集計シート!S$92:S$111)*AJ$2</f>
        <v>0</v>
      </c>
      <c r="AK63" s="88">
        <f>SUMIF(月間集計シート!$M$92:$M$111,$G63,月間集計シート!T$92:T$111)*AK$2</f>
        <v>0</v>
      </c>
      <c r="AL63" s="88">
        <f>SUMIF(月間集計シート!$M$113:$M$132,$G63,月間集計シート!N$113:N$132)*AL$2</f>
        <v>0</v>
      </c>
      <c r="AM63" s="88">
        <f>SUMIF(月間集計シート!$M$113:$M$132,$G63,月間集計シート!O$113:O$132)*AM$2</f>
        <v>0</v>
      </c>
      <c r="AN63" s="88">
        <f>SUMIF(月間集計シート!$M$113:$M$132,$G63,月間集計シート!P$113:P$132)*AN$2</f>
        <v>0</v>
      </c>
      <c r="AO63" s="88">
        <f>SUMIF(月間集計シート!$M$113:$M$132,$G63,月間集計シート!Q$113:Q$132)*AO$2</f>
        <v>0</v>
      </c>
      <c r="AP63" s="88">
        <f>SUMIF(月間集計シート!$M$113:$M$132,$G63,月間集計シート!R$113:R$132)*AP$2</f>
        <v>0</v>
      </c>
      <c r="AQ63" s="88">
        <f>SUMIF(月間集計シート!$M$113:$M$132,$G63,月間集計シート!S$113:S$132)*AQ$2</f>
        <v>0</v>
      </c>
      <c r="AR63" s="88">
        <f>SUMIF(月間集計シート!$M$113:$M$132,$G63,月間集計シート!T$113:T$132)*AR$2</f>
        <v>0</v>
      </c>
      <c r="AS63" s="88">
        <f>SUMIF(月間集計シート!$M$134:$M$153,$G63,月間集計シート!N$134:N$153)*AS$2</f>
        <v>0</v>
      </c>
      <c r="AT63" s="88">
        <f>SUMIF(月間集計シート!$M$134:$M$153,$G63,月間集計シート!O$134:O$153)*AT$2</f>
        <v>0</v>
      </c>
      <c r="AU63" s="88">
        <f>SUMIF(月間集計シート!$M$134:$M$153,$G63,月間集計シート!P$134:P$153)*AU$2</f>
        <v>0</v>
      </c>
      <c r="AV63" s="88">
        <f>SUMIF(月間集計シート!$M$134:$M$153,$G63,月間集計シート!Q$134:Q$153)*AV$2</f>
        <v>0</v>
      </c>
      <c r="AW63" s="88">
        <f>SUMIF(月間集計シート!$M$134:$M$153,$G63,月間集計シート!R$134:R$153)*AW$2</f>
        <v>0</v>
      </c>
      <c r="AX63" s="88">
        <f>SUMIF(月間集計シート!$M$134:$M$153,$G63,月間集計シート!S$134:S$153)*AX$2</f>
        <v>0</v>
      </c>
      <c r="AY63" s="88">
        <f>SUMIF(月間集計シート!$M$134:$M$153,$G63,月間集計シート!T$134:T$153)*AY$2</f>
        <v>0</v>
      </c>
    </row>
    <row r="64" spans="1:51" ht="14.25" thickBot="1">
      <c r="A64">
        <v>1</v>
      </c>
      <c r="B64" s="120">
        <f t="shared" si="5"/>
        <v>999909</v>
      </c>
      <c r="C64" s="120" t="e">
        <f>C53</f>
        <v>#N/A</v>
      </c>
      <c r="D64" s="137"/>
      <c r="E64" s="150">
        <f>工種!A56</f>
        <v>70109</v>
      </c>
      <c r="F64" s="119" t="str">
        <f>工種!B56</f>
        <v>外部不具合修正：レビュー</v>
      </c>
      <c r="G64" s="116" t="str">
        <f t="shared" ref="G64:G73" si="8">B64&amp;E64</f>
        <v>99990970109</v>
      </c>
      <c r="H64" s="88">
        <f t="shared" ref="H64:H70" si="9">SUM(J64:AY64)</f>
        <v>0</v>
      </c>
      <c r="I64" s="132"/>
      <c r="J64" s="88">
        <f>SUMIF(月間集計シート!$M$29:$M$48,$G64,月間集計シート!N$29:N$48)*J$2</f>
        <v>0</v>
      </c>
      <c r="K64" s="88">
        <f>SUMIF(月間集計シート!$M$29:$M$48,$G64,月間集計シート!O$29:O$48)*K$2</f>
        <v>0</v>
      </c>
      <c r="L64" s="88">
        <f>SUMIF(月間集計シート!$M$29:$M$48,$G64,月間集計シート!P$29:P$48)*L$2</f>
        <v>0</v>
      </c>
      <c r="M64" s="88">
        <f>SUMIF(月間集計シート!$M$29:$M$48,$G64,月間集計シート!Q$29:Q$48)*M$2</f>
        <v>0</v>
      </c>
      <c r="N64" s="88">
        <f>SUMIF(月間集計シート!$M$29:$M$48,$G64,月間集計シート!R$29:R$48)*N$2</f>
        <v>0</v>
      </c>
      <c r="O64" s="88">
        <f>SUMIF(月間集計シート!$M$29:$M$48,$G64,月間集計シート!S$29:S$48)*O$2</f>
        <v>0</v>
      </c>
      <c r="P64" s="88">
        <f>SUMIF(月間集計シート!$M$29:$M$48,$G64,月間集計シート!T$29:T$48)*P$2</f>
        <v>0</v>
      </c>
      <c r="Q64" s="88">
        <f>SUMIF(月間集計シート!$M$50:$M$69,$G64,月間集計シート!N$50:N$69)*Q$2</f>
        <v>0</v>
      </c>
      <c r="R64" s="88">
        <f>SUMIF(月間集計シート!$M$50:$M$69,$G64,月間集計シート!O$50:O$69)*R$2</f>
        <v>0</v>
      </c>
      <c r="S64" s="88">
        <f>SUMIF(月間集計シート!$M$50:$M$69,$G64,月間集計シート!P$50:P$69)*S$2</f>
        <v>0</v>
      </c>
      <c r="T64" s="88">
        <f>SUMIF(月間集計シート!$M$50:$M$69,$G64,月間集計シート!Q$50:Q$69)*T$2</f>
        <v>0</v>
      </c>
      <c r="U64" s="88">
        <f>SUMIF(月間集計シート!$M$50:$M$69,$G64,月間集計シート!R$50:R$69)*U$2</f>
        <v>0</v>
      </c>
      <c r="V64" s="88">
        <f>SUMIF(月間集計シート!$M$50:$M$69,$G64,月間集計シート!S$50:S$69)*V$2</f>
        <v>0</v>
      </c>
      <c r="W64" s="88">
        <f>SUMIF(月間集計シート!$M$50:$M$69,$G64,月間集計シート!T$50:T$69)*W$2</f>
        <v>0</v>
      </c>
      <c r="X64" s="88">
        <f>SUMIF(月間集計シート!$M$71:$M$90,$G64,月間集計シート!N$71:N$90)*X$2</f>
        <v>0</v>
      </c>
      <c r="Y64" s="88">
        <f>SUMIF(月間集計シート!$M$71:$M$90,$G64,月間集計シート!O$71:O$90)*Y$2</f>
        <v>0</v>
      </c>
      <c r="Z64" s="88">
        <f>SUMIF(月間集計シート!$M$71:$M$90,$G64,月間集計シート!P$71:P$90)*Z$2</f>
        <v>0</v>
      </c>
      <c r="AA64" s="88">
        <f>SUMIF(月間集計シート!$M$71:$M$90,$G64,月間集計シート!Q$71:Q$90)*AA$2</f>
        <v>0</v>
      </c>
      <c r="AB64" s="88">
        <f>SUMIF(月間集計シート!$M$71:$M$90,$G64,月間集計シート!R$71:R$90)*AB$2</f>
        <v>0</v>
      </c>
      <c r="AC64" s="88">
        <f>SUMIF(月間集計シート!$M$71:$M$90,$G64,月間集計シート!S$71:S$90)*AC$2</f>
        <v>0</v>
      </c>
      <c r="AD64" s="88">
        <f>SUMIF(月間集計シート!$M$71:$M$90,$G64,月間集計シート!T$71:T$90)*AD$2</f>
        <v>0</v>
      </c>
      <c r="AE64" s="88">
        <f>SUMIF(月間集計シート!$M$92:$M$111,$G64,月間集計シート!N$92:N$111)*AE$2</f>
        <v>0</v>
      </c>
      <c r="AF64" s="88">
        <f>SUMIF(月間集計シート!$M$92:$M$111,$G64,月間集計シート!O$92:O$111)*AF$2</f>
        <v>0</v>
      </c>
      <c r="AG64" s="88">
        <f>SUMIF(月間集計シート!$M$92:$M$111,$G64,月間集計シート!P$92:P$111)*AG$2</f>
        <v>0</v>
      </c>
      <c r="AH64" s="88">
        <f>SUMIF(月間集計シート!$M$92:$M$111,$G64,月間集計シート!Q$92:Q$111)*AH$2</f>
        <v>0</v>
      </c>
      <c r="AI64" s="88">
        <f>SUMIF(月間集計シート!$M$92:$M$111,$G64,月間集計シート!R$92:R$111)*AI$2</f>
        <v>0</v>
      </c>
      <c r="AJ64" s="88">
        <f>SUMIF(月間集計シート!$M$92:$M$111,$G64,月間集計シート!S$92:S$111)*AJ$2</f>
        <v>0</v>
      </c>
      <c r="AK64" s="88">
        <f>SUMIF(月間集計シート!$M$92:$M$111,$G64,月間集計シート!T$92:T$111)*AK$2</f>
        <v>0</v>
      </c>
      <c r="AL64" s="88">
        <f>SUMIF(月間集計シート!$M$113:$M$132,$G64,月間集計シート!N$113:N$132)*AL$2</f>
        <v>0</v>
      </c>
      <c r="AM64" s="88">
        <f>SUMIF(月間集計シート!$M$113:$M$132,$G64,月間集計シート!O$113:O$132)*AM$2</f>
        <v>0</v>
      </c>
      <c r="AN64" s="88">
        <f>SUMIF(月間集計シート!$M$113:$M$132,$G64,月間集計シート!P$113:P$132)*AN$2</f>
        <v>0</v>
      </c>
      <c r="AO64" s="88">
        <f>SUMIF(月間集計シート!$M$113:$M$132,$G64,月間集計シート!Q$113:Q$132)*AO$2</f>
        <v>0</v>
      </c>
      <c r="AP64" s="88">
        <f>SUMIF(月間集計シート!$M$113:$M$132,$G64,月間集計シート!R$113:R$132)*AP$2</f>
        <v>0</v>
      </c>
      <c r="AQ64" s="88">
        <f>SUMIF(月間集計シート!$M$113:$M$132,$G64,月間集計シート!S$113:S$132)*AQ$2</f>
        <v>0</v>
      </c>
      <c r="AR64" s="88">
        <f>SUMIF(月間集計シート!$M$113:$M$132,$G64,月間集計シート!T$113:T$132)*AR$2</f>
        <v>0</v>
      </c>
      <c r="AS64" s="88">
        <f>SUMIF(月間集計シート!$M$134:$M$153,$G64,月間集計シート!N$134:N$153)*AS$2</f>
        <v>0</v>
      </c>
      <c r="AT64" s="88">
        <f>SUMIF(月間集計シート!$M$134:$M$153,$G64,月間集計シート!O$134:O$153)*AT$2</f>
        <v>0</v>
      </c>
      <c r="AU64" s="88">
        <f>SUMIF(月間集計シート!$M$134:$M$153,$G64,月間集計シート!P$134:P$153)*AU$2</f>
        <v>0</v>
      </c>
      <c r="AV64" s="88">
        <f>SUMIF(月間集計シート!$M$134:$M$153,$G64,月間集計シート!Q$134:Q$153)*AV$2</f>
        <v>0</v>
      </c>
      <c r="AW64" s="88">
        <f>SUMIF(月間集計シート!$M$134:$M$153,$G64,月間集計シート!R$134:R$153)*AW$2</f>
        <v>0</v>
      </c>
      <c r="AX64" s="88">
        <f>SUMIF(月間集計シート!$M$134:$M$153,$G64,月間集計シート!S$134:S$153)*AX$2</f>
        <v>0</v>
      </c>
      <c r="AY64" s="88">
        <f>SUMIF(月間集計シート!$M$134:$M$153,$G64,月間集計シート!T$134:T$153)*AY$2</f>
        <v>0</v>
      </c>
    </row>
    <row r="65" spans="1:51" ht="14.25" thickBot="1">
      <c r="A65">
        <v>1</v>
      </c>
      <c r="B65" s="120">
        <f t="shared" si="5"/>
        <v>999909</v>
      </c>
      <c r="C65" s="120" t="e">
        <f t="shared" si="6"/>
        <v>#N/A</v>
      </c>
      <c r="D65" s="137"/>
      <c r="E65" s="150">
        <f>工種!A57</f>
        <v>70189</v>
      </c>
      <c r="F65" s="119" t="str">
        <f>工種!B57</f>
        <v>外部不具合修正：外部不具合分析</v>
      </c>
      <c r="G65" s="116" t="str">
        <f t="shared" si="8"/>
        <v>99990970189</v>
      </c>
      <c r="H65" s="88">
        <f t="shared" si="9"/>
        <v>0</v>
      </c>
      <c r="I65" s="132"/>
      <c r="J65" s="88">
        <f>SUMIF(月間集計シート!$M$29:$M$48,$G65,月間集計シート!N$29:N$48)*J$2</f>
        <v>0</v>
      </c>
      <c r="K65" s="88">
        <f>SUMIF(月間集計シート!$M$29:$M$48,$G65,月間集計シート!O$29:O$48)*K$2</f>
        <v>0</v>
      </c>
      <c r="L65" s="88">
        <f>SUMIF(月間集計シート!$M$29:$M$48,$G65,月間集計シート!P$29:P$48)*L$2</f>
        <v>0</v>
      </c>
      <c r="M65" s="88">
        <f>SUMIF(月間集計シート!$M$29:$M$48,$G65,月間集計シート!Q$29:Q$48)*M$2</f>
        <v>0</v>
      </c>
      <c r="N65" s="88">
        <f>SUMIF(月間集計シート!$M$29:$M$48,$G65,月間集計シート!R$29:R$48)*N$2</f>
        <v>0</v>
      </c>
      <c r="O65" s="88">
        <f>SUMIF(月間集計シート!$M$29:$M$48,$G65,月間集計シート!S$29:S$48)*O$2</f>
        <v>0</v>
      </c>
      <c r="P65" s="88">
        <f>SUMIF(月間集計シート!$M$29:$M$48,$G65,月間集計シート!T$29:T$48)*P$2</f>
        <v>0</v>
      </c>
      <c r="Q65" s="88">
        <f>SUMIF(月間集計シート!$M$50:$M$69,$G65,月間集計シート!N$50:N$69)*Q$2</f>
        <v>0</v>
      </c>
      <c r="R65" s="88">
        <f>SUMIF(月間集計シート!$M$50:$M$69,$G65,月間集計シート!O$50:O$69)*R$2</f>
        <v>0</v>
      </c>
      <c r="S65" s="88">
        <f>SUMIF(月間集計シート!$M$50:$M$69,$G65,月間集計シート!P$50:P$69)*S$2</f>
        <v>0</v>
      </c>
      <c r="T65" s="88">
        <f>SUMIF(月間集計シート!$M$50:$M$69,$G65,月間集計シート!Q$50:Q$69)*T$2</f>
        <v>0</v>
      </c>
      <c r="U65" s="88">
        <f>SUMIF(月間集計シート!$M$50:$M$69,$G65,月間集計シート!R$50:R$69)*U$2</f>
        <v>0</v>
      </c>
      <c r="V65" s="88">
        <f>SUMIF(月間集計シート!$M$50:$M$69,$G65,月間集計シート!S$50:S$69)*V$2</f>
        <v>0</v>
      </c>
      <c r="W65" s="88">
        <f>SUMIF(月間集計シート!$M$50:$M$69,$G65,月間集計シート!T$50:T$69)*W$2</f>
        <v>0</v>
      </c>
      <c r="X65" s="88">
        <f>SUMIF(月間集計シート!$M$71:$M$90,$G65,月間集計シート!N$71:N$90)*X$2</f>
        <v>0</v>
      </c>
      <c r="Y65" s="88">
        <f>SUMIF(月間集計シート!$M$71:$M$90,$G65,月間集計シート!O$71:O$90)*Y$2</f>
        <v>0</v>
      </c>
      <c r="Z65" s="88">
        <f>SUMIF(月間集計シート!$M$71:$M$90,$G65,月間集計シート!P$71:P$90)*Z$2</f>
        <v>0</v>
      </c>
      <c r="AA65" s="88">
        <f>SUMIF(月間集計シート!$M$71:$M$90,$G65,月間集計シート!Q$71:Q$90)*AA$2</f>
        <v>0</v>
      </c>
      <c r="AB65" s="88">
        <f>SUMIF(月間集計シート!$M$71:$M$90,$G65,月間集計シート!R$71:R$90)*AB$2</f>
        <v>0</v>
      </c>
      <c r="AC65" s="88">
        <f>SUMIF(月間集計シート!$M$71:$M$90,$G65,月間集計シート!S$71:S$90)*AC$2</f>
        <v>0</v>
      </c>
      <c r="AD65" s="88">
        <f>SUMIF(月間集計シート!$M$71:$M$90,$G65,月間集計シート!T$71:T$90)*AD$2</f>
        <v>0</v>
      </c>
      <c r="AE65" s="88">
        <f>SUMIF(月間集計シート!$M$92:$M$111,$G65,月間集計シート!N$92:N$111)*AE$2</f>
        <v>0</v>
      </c>
      <c r="AF65" s="88">
        <f>SUMIF(月間集計シート!$M$92:$M$111,$G65,月間集計シート!O$92:O$111)*AF$2</f>
        <v>0</v>
      </c>
      <c r="AG65" s="88">
        <f>SUMIF(月間集計シート!$M$92:$M$111,$G65,月間集計シート!P$92:P$111)*AG$2</f>
        <v>0</v>
      </c>
      <c r="AH65" s="88">
        <f>SUMIF(月間集計シート!$M$92:$M$111,$G65,月間集計シート!Q$92:Q$111)*AH$2</f>
        <v>0</v>
      </c>
      <c r="AI65" s="88">
        <f>SUMIF(月間集計シート!$M$92:$M$111,$G65,月間集計シート!R$92:R$111)*AI$2</f>
        <v>0</v>
      </c>
      <c r="AJ65" s="88">
        <f>SUMIF(月間集計シート!$M$92:$M$111,$G65,月間集計シート!S$92:S$111)*AJ$2</f>
        <v>0</v>
      </c>
      <c r="AK65" s="88">
        <f>SUMIF(月間集計シート!$M$92:$M$111,$G65,月間集計シート!T$92:T$111)*AK$2</f>
        <v>0</v>
      </c>
      <c r="AL65" s="88">
        <f>SUMIF(月間集計シート!$M$113:$M$132,$G65,月間集計シート!N$113:N$132)*AL$2</f>
        <v>0</v>
      </c>
      <c r="AM65" s="88">
        <f>SUMIF(月間集計シート!$M$113:$M$132,$G65,月間集計シート!O$113:O$132)*AM$2</f>
        <v>0</v>
      </c>
      <c r="AN65" s="88">
        <f>SUMIF(月間集計シート!$M$113:$M$132,$G65,月間集計シート!P$113:P$132)*AN$2</f>
        <v>0</v>
      </c>
      <c r="AO65" s="88">
        <f>SUMIF(月間集計シート!$M$113:$M$132,$G65,月間集計シート!Q$113:Q$132)*AO$2</f>
        <v>0</v>
      </c>
      <c r="AP65" s="88">
        <f>SUMIF(月間集計シート!$M$113:$M$132,$G65,月間集計シート!R$113:R$132)*AP$2</f>
        <v>0</v>
      </c>
      <c r="AQ65" s="88">
        <f>SUMIF(月間集計シート!$M$113:$M$132,$G65,月間集計シート!S$113:S$132)*AQ$2</f>
        <v>0</v>
      </c>
      <c r="AR65" s="88">
        <f>SUMIF(月間集計シート!$M$113:$M$132,$G65,月間集計シート!T$113:T$132)*AR$2</f>
        <v>0</v>
      </c>
      <c r="AS65" s="88">
        <f>SUMIF(月間集計シート!$M$134:$M$153,$G65,月間集計シート!N$134:N$153)*AS$2</f>
        <v>0</v>
      </c>
      <c r="AT65" s="88">
        <f>SUMIF(月間集計シート!$M$134:$M$153,$G65,月間集計シート!O$134:O$153)*AT$2</f>
        <v>0</v>
      </c>
      <c r="AU65" s="88">
        <f>SUMIF(月間集計シート!$M$134:$M$153,$G65,月間集計シート!P$134:P$153)*AU$2</f>
        <v>0</v>
      </c>
      <c r="AV65" s="88">
        <f>SUMIF(月間集計シート!$M$134:$M$153,$G65,月間集計シート!Q$134:Q$153)*AV$2</f>
        <v>0</v>
      </c>
      <c r="AW65" s="88">
        <f>SUMIF(月間集計シート!$M$134:$M$153,$G65,月間集計シート!R$134:R$153)*AW$2</f>
        <v>0</v>
      </c>
      <c r="AX65" s="88">
        <f>SUMIF(月間集計シート!$M$134:$M$153,$G65,月間集計シート!S$134:S$153)*AX$2</f>
        <v>0</v>
      </c>
      <c r="AY65" s="88">
        <f>SUMIF(月間集計シート!$M$134:$M$153,$G65,月間集計シート!T$134:T$153)*AY$2</f>
        <v>0</v>
      </c>
    </row>
    <row r="66" spans="1:51" ht="14.25" thickBot="1">
      <c r="A66">
        <v>1</v>
      </c>
      <c r="B66" s="120">
        <f t="shared" si="5"/>
        <v>999909</v>
      </c>
      <c r="C66" s="120" t="e">
        <f t="shared" si="6"/>
        <v>#N/A</v>
      </c>
      <c r="D66" s="137"/>
      <c r="E66" s="150">
        <f>工種!A58</f>
        <v>70199</v>
      </c>
      <c r="F66" s="119" t="str">
        <f>工種!B58</f>
        <v>外部不具合修正：その他</v>
      </c>
      <c r="G66" s="116" t="str">
        <f t="shared" si="8"/>
        <v>99990970199</v>
      </c>
      <c r="H66" s="88">
        <f t="shared" si="9"/>
        <v>0</v>
      </c>
      <c r="I66" s="132"/>
      <c r="J66" s="88">
        <f>SUMIF(月間集計シート!$M$29:$M$48,$G66,月間集計シート!N$29:N$48)*J$2</f>
        <v>0</v>
      </c>
      <c r="K66" s="88">
        <f>SUMIF(月間集計シート!$M$29:$M$48,$G66,月間集計シート!O$29:O$48)*K$2</f>
        <v>0</v>
      </c>
      <c r="L66" s="88">
        <f>SUMIF(月間集計シート!$M$29:$M$48,$G66,月間集計シート!P$29:P$48)*L$2</f>
        <v>0</v>
      </c>
      <c r="M66" s="88">
        <f>SUMIF(月間集計シート!$M$29:$M$48,$G66,月間集計シート!Q$29:Q$48)*M$2</f>
        <v>0</v>
      </c>
      <c r="N66" s="88">
        <f>SUMIF(月間集計シート!$M$29:$M$48,$G66,月間集計シート!R$29:R$48)*N$2</f>
        <v>0</v>
      </c>
      <c r="O66" s="88">
        <f>SUMIF(月間集計シート!$M$29:$M$48,$G66,月間集計シート!S$29:S$48)*O$2</f>
        <v>0</v>
      </c>
      <c r="P66" s="88">
        <f>SUMIF(月間集計シート!$M$29:$M$48,$G66,月間集計シート!T$29:T$48)*P$2</f>
        <v>0</v>
      </c>
      <c r="Q66" s="88">
        <f>SUMIF(月間集計シート!$M$50:$M$69,$G66,月間集計シート!N$50:N$69)*Q$2</f>
        <v>0</v>
      </c>
      <c r="R66" s="88">
        <f>SUMIF(月間集計シート!$M$50:$M$69,$G66,月間集計シート!O$50:O$69)*R$2</f>
        <v>0</v>
      </c>
      <c r="S66" s="88">
        <f>SUMIF(月間集計シート!$M$50:$M$69,$G66,月間集計シート!P$50:P$69)*S$2</f>
        <v>0</v>
      </c>
      <c r="T66" s="88">
        <f>SUMIF(月間集計シート!$M$50:$M$69,$G66,月間集計シート!Q$50:Q$69)*T$2</f>
        <v>0</v>
      </c>
      <c r="U66" s="88">
        <f>SUMIF(月間集計シート!$M$50:$M$69,$G66,月間集計シート!R$50:R$69)*U$2</f>
        <v>0</v>
      </c>
      <c r="V66" s="88">
        <f>SUMIF(月間集計シート!$M$50:$M$69,$G66,月間集計シート!S$50:S$69)*V$2</f>
        <v>0</v>
      </c>
      <c r="W66" s="88">
        <f>SUMIF(月間集計シート!$M$50:$M$69,$G66,月間集計シート!T$50:T$69)*W$2</f>
        <v>0</v>
      </c>
      <c r="X66" s="88">
        <f>SUMIF(月間集計シート!$M$71:$M$90,$G66,月間集計シート!N$71:N$90)*X$2</f>
        <v>0</v>
      </c>
      <c r="Y66" s="88">
        <f>SUMIF(月間集計シート!$M$71:$M$90,$G66,月間集計シート!O$71:O$90)*Y$2</f>
        <v>0</v>
      </c>
      <c r="Z66" s="88">
        <f>SUMIF(月間集計シート!$M$71:$M$90,$G66,月間集計シート!P$71:P$90)*Z$2</f>
        <v>0</v>
      </c>
      <c r="AA66" s="88">
        <f>SUMIF(月間集計シート!$M$71:$M$90,$G66,月間集計シート!Q$71:Q$90)*AA$2</f>
        <v>0</v>
      </c>
      <c r="AB66" s="88">
        <f>SUMIF(月間集計シート!$M$71:$M$90,$G66,月間集計シート!R$71:R$90)*AB$2</f>
        <v>0</v>
      </c>
      <c r="AC66" s="88">
        <f>SUMIF(月間集計シート!$M$71:$M$90,$G66,月間集計シート!S$71:S$90)*AC$2</f>
        <v>0</v>
      </c>
      <c r="AD66" s="88">
        <f>SUMIF(月間集計シート!$M$71:$M$90,$G66,月間集計シート!T$71:T$90)*AD$2</f>
        <v>0</v>
      </c>
      <c r="AE66" s="88">
        <f>SUMIF(月間集計シート!$M$92:$M$111,$G66,月間集計シート!N$92:N$111)*AE$2</f>
        <v>0</v>
      </c>
      <c r="AF66" s="88">
        <f>SUMIF(月間集計シート!$M$92:$M$111,$G66,月間集計シート!O$92:O$111)*AF$2</f>
        <v>0</v>
      </c>
      <c r="AG66" s="88">
        <f>SUMIF(月間集計シート!$M$92:$M$111,$G66,月間集計シート!P$92:P$111)*AG$2</f>
        <v>0</v>
      </c>
      <c r="AH66" s="88">
        <f>SUMIF(月間集計シート!$M$92:$M$111,$G66,月間集計シート!Q$92:Q$111)*AH$2</f>
        <v>0</v>
      </c>
      <c r="AI66" s="88">
        <f>SUMIF(月間集計シート!$M$92:$M$111,$G66,月間集計シート!R$92:R$111)*AI$2</f>
        <v>0</v>
      </c>
      <c r="AJ66" s="88">
        <f>SUMIF(月間集計シート!$M$92:$M$111,$G66,月間集計シート!S$92:S$111)*AJ$2</f>
        <v>0</v>
      </c>
      <c r="AK66" s="88">
        <f>SUMIF(月間集計シート!$M$92:$M$111,$G66,月間集計シート!T$92:T$111)*AK$2</f>
        <v>0</v>
      </c>
      <c r="AL66" s="88">
        <f>SUMIF(月間集計シート!$M$113:$M$132,$G66,月間集計シート!N$113:N$132)*AL$2</f>
        <v>0</v>
      </c>
      <c r="AM66" s="88">
        <f>SUMIF(月間集計シート!$M$113:$M$132,$G66,月間集計シート!O$113:O$132)*AM$2</f>
        <v>0</v>
      </c>
      <c r="AN66" s="88">
        <f>SUMIF(月間集計シート!$M$113:$M$132,$G66,月間集計シート!P$113:P$132)*AN$2</f>
        <v>0</v>
      </c>
      <c r="AO66" s="88">
        <f>SUMIF(月間集計シート!$M$113:$M$132,$G66,月間集計シート!Q$113:Q$132)*AO$2</f>
        <v>0</v>
      </c>
      <c r="AP66" s="88">
        <f>SUMIF(月間集計シート!$M$113:$M$132,$G66,月間集計シート!R$113:R$132)*AP$2</f>
        <v>0</v>
      </c>
      <c r="AQ66" s="88">
        <f>SUMIF(月間集計シート!$M$113:$M$132,$G66,月間集計シート!S$113:S$132)*AQ$2</f>
        <v>0</v>
      </c>
      <c r="AR66" s="88">
        <f>SUMIF(月間集計シート!$M$113:$M$132,$G66,月間集計シート!T$113:T$132)*AR$2</f>
        <v>0</v>
      </c>
      <c r="AS66" s="88">
        <f>SUMIF(月間集計シート!$M$134:$M$153,$G66,月間集計シート!N$134:N$153)*AS$2</f>
        <v>0</v>
      </c>
      <c r="AT66" s="88">
        <f>SUMIF(月間集計シート!$M$134:$M$153,$G66,月間集計シート!O$134:O$153)*AT$2</f>
        <v>0</v>
      </c>
      <c r="AU66" s="88">
        <f>SUMIF(月間集計シート!$M$134:$M$153,$G66,月間集計シート!P$134:P$153)*AU$2</f>
        <v>0</v>
      </c>
      <c r="AV66" s="88">
        <f>SUMIF(月間集計シート!$M$134:$M$153,$G66,月間集計シート!Q$134:Q$153)*AV$2</f>
        <v>0</v>
      </c>
      <c r="AW66" s="88">
        <f>SUMIF(月間集計シート!$M$134:$M$153,$G66,月間集計シート!R$134:R$153)*AW$2</f>
        <v>0</v>
      </c>
      <c r="AX66" s="88">
        <f>SUMIF(月間集計シート!$M$134:$M$153,$G66,月間集計シート!S$134:S$153)*AX$2</f>
        <v>0</v>
      </c>
      <c r="AY66" s="88">
        <f>SUMIF(月間集計シート!$M$134:$M$153,$G66,月間集計シート!T$134:T$153)*AY$2</f>
        <v>0</v>
      </c>
    </row>
    <row r="67" spans="1:51" ht="14.25" thickBot="1">
      <c r="A67">
        <v>1</v>
      </c>
      <c r="B67" s="120">
        <f t="shared" si="5"/>
        <v>999909</v>
      </c>
      <c r="C67" s="120" t="e">
        <f t="shared" si="6"/>
        <v>#N/A</v>
      </c>
      <c r="D67" s="137"/>
      <c r="E67" s="150" t="str">
        <f>工種!A59</f>
        <v>80101</v>
      </c>
      <c r="F67" s="119" t="str">
        <f>工種!B59</f>
        <v>保守／ｻﾎﾟｰﾄ：調査</v>
      </c>
      <c r="G67" s="116" t="str">
        <f t="shared" si="8"/>
        <v>99990980101</v>
      </c>
      <c r="H67" s="88">
        <f t="shared" si="9"/>
        <v>0</v>
      </c>
      <c r="I67" s="132"/>
      <c r="J67" s="88">
        <f>SUMIF(月間集計シート!$M$29:$M$48,$G67,月間集計シート!N$29:N$48)*J$2</f>
        <v>0</v>
      </c>
      <c r="K67" s="88">
        <f>SUMIF(月間集計シート!$M$29:$M$48,$G67,月間集計シート!O$29:O$48)*K$2</f>
        <v>0</v>
      </c>
      <c r="L67" s="88">
        <f>SUMIF(月間集計シート!$M$29:$M$48,$G67,月間集計シート!P$29:P$48)*L$2</f>
        <v>0</v>
      </c>
      <c r="M67" s="88">
        <f>SUMIF(月間集計シート!$M$29:$M$48,$G67,月間集計シート!Q$29:Q$48)*M$2</f>
        <v>0</v>
      </c>
      <c r="N67" s="88">
        <f>SUMIF(月間集計シート!$M$29:$M$48,$G67,月間集計シート!R$29:R$48)*N$2</f>
        <v>0</v>
      </c>
      <c r="O67" s="88">
        <f>SUMIF(月間集計シート!$M$29:$M$48,$G67,月間集計シート!S$29:S$48)*O$2</f>
        <v>0</v>
      </c>
      <c r="P67" s="88">
        <f>SUMIF(月間集計シート!$M$29:$M$48,$G67,月間集計シート!T$29:T$48)*P$2</f>
        <v>0</v>
      </c>
      <c r="Q67" s="88">
        <f>SUMIF(月間集計シート!$M$50:$M$69,$G67,月間集計シート!N$50:N$69)*Q$2</f>
        <v>0</v>
      </c>
      <c r="R67" s="88">
        <f>SUMIF(月間集計シート!$M$50:$M$69,$G67,月間集計シート!O$50:O$69)*R$2</f>
        <v>0</v>
      </c>
      <c r="S67" s="88">
        <f>SUMIF(月間集計シート!$M$50:$M$69,$G67,月間集計シート!P$50:P$69)*S$2</f>
        <v>0</v>
      </c>
      <c r="T67" s="88">
        <f>SUMIF(月間集計シート!$M$50:$M$69,$G67,月間集計シート!Q$50:Q$69)*T$2</f>
        <v>0</v>
      </c>
      <c r="U67" s="88">
        <f>SUMIF(月間集計シート!$M$50:$M$69,$G67,月間集計シート!R$50:R$69)*U$2</f>
        <v>0</v>
      </c>
      <c r="V67" s="88">
        <f>SUMIF(月間集計シート!$M$50:$M$69,$G67,月間集計シート!S$50:S$69)*V$2</f>
        <v>0</v>
      </c>
      <c r="W67" s="88">
        <f>SUMIF(月間集計シート!$M$50:$M$69,$G67,月間集計シート!T$50:T$69)*W$2</f>
        <v>0</v>
      </c>
      <c r="X67" s="88">
        <f>SUMIF(月間集計シート!$M$71:$M$90,$G67,月間集計シート!N$71:N$90)*X$2</f>
        <v>0</v>
      </c>
      <c r="Y67" s="88">
        <f>SUMIF(月間集計シート!$M$71:$M$90,$G67,月間集計シート!O$71:O$90)*Y$2</f>
        <v>0</v>
      </c>
      <c r="Z67" s="88">
        <f>SUMIF(月間集計シート!$M$71:$M$90,$G67,月間集計シート!P$71:P$90)*Z$2</f>
        <v>0</v>
      </c>
      <c r="AA67" s="88">
        <f>SUMIF(月間集計シート!$M$71:$M$90,$G67,月間集計シート!Q$71:Q$90)*AA$2</f>
        <v>0</v>
      </c>
      <c r="AB67" s="88">
        <f>SUMIF(月間集計シート!$M$71:$M$90,$G67,月間集計シート!R$71:R$90)*AB$2</f>
        <v>0</v>
      </c>
      <c r="AC67" s="88">
        <f>SUMIF(月間集計シート!$M$71:$M$90,$G67,月間集計シート!S$71:S$90)*AC$2</f>
        <v>0</v>
      </c>
      <c r="AD67" s="88">
        <f>SUMIF(月間集計シート!$M$71:$M$90,$G67,月間集計シート!T$71:T$90)*AD$2</f>
        <v>0</v>
      </c>
      <c r="AE67" s="88">
        <f>SUMIF(月間集計シート!$M$92:$M$111,$G67,月間集計シート!N$92:N$111)*AE$2</f>
        <v>0</v>
      </c>
      <c r="AF67" s="88">
        <f>SUMIF(月間集計シート!$M$92:$M$111,$G67,月間集計シート!O$92:O$111)*AF$2</f>
        <v>0</v>
      </c>
      <c r="AG67" s="88">
        <f>SUMIF(月間集計シート!$M$92:$M$111,$G67,月間集計シート!P$92:P$111)*AG$2</f>
        <v>0</v>
      </c>
      <c r="AH67" s="88">
        <f>SUMIF(月間集計シート!$M$92:$M$111,$G67,月間集計シート!Q$92:Q$111)*AH$2</f>
        <v>0</v>
      </c>
      <c r="AI67" s="88">
        <f>SUMIF(月間集計シート!$M$92:$M$111,$G67,月間集計シート!R$92:R$111)*AI$2</f>
        <v>0</v>
      </c>
      <c r="AJ67" s="88">
        <f>SUMIF(月間集計シート!$M$92:$M$111,$G67,月間集計シート!S$92:S$111)*AJ$2</f>
        <v>0</v>
      </c>
      <c r="AK67" s="88">
        <f>SUMIF(月間集計シート!$M$92:$M$111,$G67,月間集計シート!T$92:T$111)*AK$2</f>
        <v>0</v>
      </c>
      <c r="AL67" s="88">
        <f>SUMIF(月間集計シート!$M$113:$M$132,$G67,月間集計シート!N$113:N$132)*AL$2</f>
        <v>0</v>
      </c>
      <c r="AM67" s="88">
        <f>SUMIF(月間集計シート!$M$113:$M$132,$G67,月間集計シート!O$113:O$132)*AM$2</f>
        <v>0</v>
      </c>
      <c r="AN67" s="88">
        <f>SUMIF(月間集計シート!$M$113:$M$132,$G67,月間集計シート!P$113:P$132)*AN$2</f>
        <v>0</v>
      </c>
      <c r="AO67" s="88">
        <f>SUMIF(月間集計シート!$M$113:$M$132,$G67,月間集計シート!Q$113:Q$132)*AO$2</f>
        <v>0</v>
      </c>
      <c r="AP67" s="88">
        <f>SUMIF(月間集計シート!$M$113:$M$132,$G67,月間集計シート!R$113:R$132)*AP$2</f>
        <v>0</v>
      </c>
      <c r="AQ67" s="88">
        <f>SUMIF(月間集計シート!$M$113:$M$132,$G67,月間集計シート!S$113:S$132)*AQ$2</f>
        <v>0</v>
      </c>
      <c r="AR67" s="88">
        <f>SUMIF(月間集計シート!$M$113:$M$132,$G67,月間集計シート!T$113:T$132)*AR$2</f>
        <v>0</v>
      </c>
      <c r="AS67" s="88">
        <f>SUMIF(月間集計シート!$M$134:$M$153,$G67,月間集計シート!N$134:N$153)*AS$2</f>
        <v>0</v>
      </c>
      <c r="AT67" s="88">
        <f>SUMIF(月間集計シート!$M$134:$M$153,$G67,月間集計シート!O$134:O$153)*AT$2</f>
        <v>0</v>
      </c>
      <c r="AU67" s="88">
        <f>SUMIF(月間集計シート!$M$134:$M$153,$G67,月間集計シート!P$134:P$153)*AU$2</f>
        <v>0</v>
      </c>
      <c r="AV67" s="88">
        <f>SUMIF(月間集計シート!$M$134:$M$153,$G67,月間集計シート!Q$134:Q$153)*AV$2</f>
        <v>0</v>
      </c>
      <c r="AW67" s="88">
        <f>SUMIF(月間集計シート!$M$134:$M$153,$G67,月間集計シート!R$134:R$153)*AW$2</f>
        <v>0</v>
      </c>
      <c r="AX67" s="88">
        <f>SUMIF(月間集計シート!$M$134:$M$153,$G67,月間集計シート!S$134:S$153)*AX$2</f>
        <v>0</v>
      </c>
      <c r="AY67" s="88">
        <f>SUMIF(月間集計シート!$M$134:$M$153,$G67,月間集計シート!T$134:T$153)*AY$2</f>
        <v>0</v>
      </c>
    </row>
    <row r="68" spans="1:51" ht="14.25" thickBot="1">
      <c r="A68">
        <v>1</v>
      </c>
      <c r="B68" s="120">
        <f t="shared" si="5"/>
        <v>999909</v>
      </c>
      <c r="C68" s="120" t="e">
        <f t="shared" si="6"/>
        <v>#N/A</v>
      </c>
      <c r="D68" s="137"/>
      <c r="E68" s="150" t="str">
        <f>工種!A60</f>
        <v>80102</v>
      </c>
      <c r="F68" s="119" t="str">
        <f>工種!B60</f>
        <v>保守／ｻﾎﾟｰﾄ：社内問い合わせ</v>
      </c>
      <c r="G68" s="116" t="str">
        <f t="shared" si="8"/>
        <v>99990980102</v>
      </c>
      <c r="H68" s="88">
        <f t="shared" si="9"/>
        <v>0</v>
      </c>
      <c r="I68" s="132"/>
      <c r="J68" s="88">
        <f>SUMIF(月間集計シート!$M$29:$M$48,$G68,月間集計シート!N$29:N$48)*J$2</f>
        <v>0</v>
      </c>
      <c r="K68" s="88">
        <f>SUMIF(月間集計シート!$M$29:$M$48,$G68,月間集計シート!O$29:O$48)*K$2</f>
        <v>0</v>
      </c>
      <c r="L68" s="88">
        <f>SUMIF(月間集計シート!$M$29:$M$48,$G68,月間集計シート!P$29:P$48)*L$2</f>
        <v>0</v>
      </c>
      <c r="M68" s="88">
        <f>SUMIF(月間集計シート!$M$29:$M$48,$G68,月間集計シート!Q$29:Q$48)*M$2</f>
        <v>0</v>
      </c>
      <c r="N68" s="88">
        <f>SUMIF(月間集計シート!$M$29:$M$48,$G68,月間集計シート!R$29:R$48)*N$2</f>
        <v>0</v>
      </c>
      <c r="O68" s="88">
        <f>SUMIF(月間集計シート!$M$29:$M$48,$G68,月間集計シート!S$29:S$48)*O$2</f>
        <v>0</v>
      </c>
      <c r="P68" s="88">
        <f>SUMIF(月間集計シート!$M$29:$M$48,$G68,月間集計シート!T$29:T$48)*P$2</f>
        <v>0</v>
      </c>
      <c r="Q68" s="88">
        <f>SUMIF(月間集計シート!$M$50:$M$69,$G68,月間集計シート!N$50:N$69)*Q$2</f>
        <v>0</v>
      </c>
      <c r="R68" s="88">
        <f>SUMIF(月間集計シート!$M$50:$M$69,$G68,月間集計シート!O$50:O$69)*R$2</f>
        <v>0</v>
      </c>
      <c r="S68" s="88">
        <f>SUMIF(月間集計シート!$M$50:$M$69,$G68,月間集計シート!P$50:P$69)*S$2</f>
        <v>0</v>
      </c>
      <c r="T68" s="88">
        <f>SUMIF(月間集計シート!$M$50:$M$69,$G68,月間集計シート!Q$50:Q$69)*T$2</f>
        <v>0</v>
      </c>
      <c r="U68" s="88">
        <f>SUMIF(月間集計シート!$M$50:$M$69,$G68,月間集計シート!R$50:R$69)*U$2</f>
        <v>0</v>
      </c>
      <c r="V68" s="88">
        <f>SUMIF(月間集計シート!$M$50:$M$69,$G68,月間集計シート!S$50:S$69)*V$2</f>
        <v>0</v>
      </c>
      <c r="W68" s="88">
        <f>SUMIF(月間集計シート!$M$50:$M$69,$G68,月間集計シート!T$50:T$69)*W$2</f>
        <v>0</v>
      </c>
      <c r="X68" s="88">
        <f>SUMIF(月間集計シート!$M$71:$M$90,$G68,月間集計シート!N$71:N$90)*X$2</f>
        <v>0</v>
      </c>
      <c r="Y68" s="88">
        <f>SUMIF(月間集計シート!$M$71:$M$90,$G68,月間集計シート!O$71:O$90)*Y$2</f>
        <v>0</v>
      </c>
      <c r="Z68" s="88">
        <f>SUMIF(月間集計シート!$M$71:$M$90,$G68,月間集計シート!P$71:P$90)*Z$2</f>
        <v>0</v>
      </c>
      <c r="AA68" s="88">
        <f>SUMIF(月間集計シート!$M$71:$M$90,$G68,月間集計シート!Q$71:Q$90)*AA$2</f>
        <v>0</v>
      </c>
      <c r="AB68" s="88">
        <f>SUMIF(月間集計シート!$M$71:$M$90,$G68,月間集計シート!R$71:R$90)*AB$2</f>
        <v>0</v>
      </c>
      <c r="AC68" s="88">
        <f>SUMIF(月間集計シート!$M$71:$M$90,$G68,月間集計シート!S$71:S$90)*AC$2</f>
        <v>0</v>
      </c>
      <c r="AD68" s="88">
        <f>SUMIF(月間集計シート!$M$71:$M$90,$G68,月間集計シート!T$71:T$90)*AD$2</f>
        <v>0</v>
      </c>
      <c r="AE68" s="88">
        <f>SUMIF(月間集計シート!$M$92:$M$111,$G68,月間集計シート!N$92:N$111)*AE$2</f>
        <v>0</v>
      </c>
      <c r="AF68" s="88">
        <f>SUMIF(月間集計シート!$M$92:$M$111,$G68,月間集計シート!O$92:O$111)*AF$2</f>
        <v>0</v>
      </c>
      <c r="AG68" s="88">
        <f>SUMIF(月間集計シート!$M$92:$M$111,$G68,月間集計シート!P$92:P$111)*AG$2</f>
        <v>0</v>
      </c>
      <c r="AH68" s="88">
        <f>SUMIF(月間集計シート!$M$92:$M$111,$G68,月間集計シート!Q$92:Q$111)*AH$2</f>
        <v>0</v>
      </c>
      <c r="AI68" s="88">
        <f>SUMIF(月間集計シート!$M$92:$M$111,$G68,月間集計シート!R$92:R$111)*AI$2</f>
        <v>0</v>
      </c>
      <c r="AJ68" s="88">
        <f>SUMIF(月間集計シート!$M$92:$M$111,$G68,月間集計シート!S$92:S$111)*AJ$2</f>
        <v>0</v>
      </c>
      <c r="AK68" s="88">
        <f>SUMIF(月間集計シート!$M$92:$M$111,$G68,月間集計シート!T$92:T$111)*AK$2</f>
        <v>0</v>
      </c>
      <c r="AL68" s="88">
        <f>SUMIF(月間集計シート!$M$113:$M$132,$G68,月間集計シート!N$113:N$132)*AL$2</f>
        <v>0</v>
      </c>
      <c r="AM68" s="88">
        <f>SUMIF(月間集計シート!$M$113:$M$132,$G68,月間集計シート!O$113:O$132)*AM$2</f>
        <v>0</v>
      </c>
      <c r="AN68" s="88">
        <f>SUMIF(月間集計シート!$M$113:$M$132,$G68,月間集計シート!P$113:P$132)*AN$2</f>
        <v>0</v>
      </c>
      <c r="AO68" s="88">
        <f>SUMIF(月間集計シート!$M$113:$M$132,$G68,月間集計シート!Q$113:Q$132)*AO$2</f>
        <v>0</v>
      </c>
      <c r="AP68" s="88">
        <f>SUMIF(月間集計シート!$M$113:$M$132,$G68,月間集計シート!R$113:R$132)*AP$2</f>
        <v>0</v>
      </c>
      <c r="AQ68" s="88">
        <f>SUMIF(月間集計シート!$M$113:$M$132,$G68,月間集計シート!S$113:S$132)*AQ$2</f>
        <v>0</v>
      </c>
      <c r="AR68" s="88">
        <f>SUMIF(月間集計シート!$M$113:$M$132,$G68,月間集計シート!T$113:T$132)*AR$2</f>
        <v>0</v>
      </c>
      <c r="AS68" s="88">
        <f>SUMIF(月間集計シート!$M$134:$M$153,$G68,月間集計シート!N$134:N$153)*AS$2</f>
        <v>0</v>
      </c>
      <c r="AT68" s="88">
        <f>SUMIF(月間集計シート!$M$134:$M$153,$G68,月間集計シート!O$134:O$153)*AT$2</f>
        <v>0</v>
      </c>
      <c r="AU68" s="88">
        <f>SUMIF(月間集計シート!$M$134:$M$153,$G68,月間集計シート!P$134:P$153)*AU$2</f>
        <v>0</v>
      </c>
      <c r="AV68" s="88">
        <f>SUMIF(月間集計シート!$M$134:$M$153,$G68,月間集計シート!Q$134:Q$153)*AV$2</f>
        <v>0</v>
      </c>
      <c r="AW68" s="88">
        <f>SUMIF(月間集計シート!$M$134:$M$153,$G68,月間集計シート!R$134:R$153)*AW$2</f>
        <v>0</v>
      </c>
      <c r="AX68" s="88">
        <f>SUMIF(月間集計シート!$M$134:$M$153,$G68,月間集計シート!S$134:S$153)*AX$2</f>
        <v>0</v>
      </c>
      <c r="AY68" s="88">
        <f>SUMIF(月間集計シート!$M$134:$M$153,$G68,月間集計シート!T$134:T$153)*AY$2</f>
        <v>0</v>
      </c>
    </row>
    <row r="69" spans="1:51" ht="14.25" thickBot="1">
      <c r="A69">
        <v>1</v>
      </c>
      <c r="B69" s="120">
        <f t="shared" si="5"/>
        <v>999909</v>
      </c>
      <c r="C69" s="120" t="e">
        <f t="shared" si="6"/>
        <v>#N/A</v>
      </c>
      <c r="D69" s="137"/>
      <c r="E69" s="150" t="str">
        <f>工種!A61</f>
        <v>80103</v>
      </c>
      <c r="F69" s="119" t="str">
        <f>工種!B61</f>
        <v>保守／ｻﾎﾟｰﾄ：支社・他部門支援</v>
      </c>
      <c r="G69" s="116" t="str">
        <f t="shared" si="8"/>
        <v>99990980103</v>
      </c>
      <c r="H69" s="88">
        <f t="shared" si="9"/>
        <v>0</v>
      </c>
      <c r="I69" s="132"/>
      <c r="J69" s="88">
        <f>SUMIF(月間集計シート!$M$29:$M$48,$G69,月間集計シート!N$29:N$48)*J$2</f>
        <v>0</v>
      </c>
      <c r="K69" s="88">
        <f>SUMIF(月間集計シート!$M$29:$M$48,$G69,月間集計シート!O$29:O$48)*K$2</f>
        <v>0</v>
      </c>
      <c r="L69" s="88">
        <f>SUMIF(月間集計シート!$M$29:$M$48,$G69,月間集計シート!P$29:P$48)*L$2</f>
        <v>0</v>
      </c>
      <c r="M69" s="88">
        <f>SUMIF(月間集計シート!$M$29:$M$48,$G69,月間集計シート!Q$29:Q$48)*M$2</f>
        <v>0</v>
      </c>
      <c r="N69" s="88">
        <f>SUMIF(月間集計シート!$M$29:$M$48,$G69,月間集計シート!R$29:R$48)*N$2</f>
        <v>0</v>
      </c>
      <c r="O69" s="88">
        <f>SUMIF(月間集計シート!$M$29:$M$48,$G69,月間集計シート!S$29:S$48)*O$2</f>
        <v>0</v>
      </c>
      <c r="P69" s="88">
        <f>SUMIF(月間集計シート!$M$29:$M$48,$G69,月間集計シート!T$29:T$48)*P$2</f>
        <v>0</v>
      </c>
      <c r="Q69" s="88">
        <f>SUMIF(月間集計シート!$M$50:$M$69,$G69,月間集計シート!N$50:N$69)*Q$2</f>
        <v>0</v>
      </c>
      <c r="R69" s="88">
        <f>SUMIF(月間集計シート!$M$50:$M$69,$G69,月間集計シート!O$50:O$69)*R$2</f>
        <v>0</v>
      </c>
      <c r="S69" s="88">
        <f>SUMIF(月間集計シート!$M$50:$M$69,$G69,月間集計シート!P$50:P$69)*S$2</f>
        <v>0</v>
      </c>
      <c r="T69" s="88">
        <f>SUMIF(月間集計シート!$M$50:$M$69,$G69,月間集計シート!Q$50:Q$69)*T$2</f>
        <v>0</v>
      </c>
      <c r="U69" s="88">
        <f>SUMIF(月間集計シート!$M$50:$M$69,$G69,月間集計シート!R$50:R$69)*U$2</f>
        <v>0</v>
      </c>
      <c r="V69" s="88">
        <f>SUMIF(月間集計シート!$M$50:$M$69,$G69,月間集計シート!S$50:S$69)*V$2</f>
        <v>0</v>
      </c>
      <c r="W69" s="88">
        <f>SUMIF(月間集計シート!$M$50:$M$69,$G69,月間集計シート!T$50:T$69)*W$2</f>
        <v>0</v>
      </c>
      <c r="X69" s="88">
        <f>SUMIF(月間集計シート!$M$71:$M$90,$G69,月間集計シート!N$71:N$90)*X$2</f>
        <v>0</v>
      </c>
      <c r="Y69" s="88">
        <f>SUMIF(月間集計シート!$M$71:$M$90,$G69,月間集計シート!O$71:O$90)*Y$2</f>
        <v>0</v>
      </c>
      <c r="Z69" s="88">
        <f>SUMIF(月間集計シート!$M$71:$M$90,$G69,月間集計シート!P$71:P$90)*Z$2</f>
        <v>0</v>
      </c>
      <c r="AA69" s="88">
        <f>SUMIF(月間集計シート!$M$71:$M$90,$G69,月間集計シート!Q$71:Q$90)*AA$2</f>
        <v>0</v>
      </c>
      <c r="AB69" s="88">
        <f>SUMIF(月間集計シート!$M$71:$M$90,$G69,月間集計シート!R$71:R$90)*AB$2</f>
        <v>0</v>
      </c>
      <c r="AC69" s="88">
        <f>SUMIF(月間集計シート!$M$71:$M$90,$G69,月間集計シート!S$71:S$90)*AC$2</f>
        <v>0</v>
      </c>
      <c r="AD69" s="88">
        <f>SUMIF(月間集計シート!$M$71:$M$90,$G69,月間集計シート!T$71:T$90)*AD$2</f>
        <v>0</v>
      </c>
      <c r="AE69" s="88">
        <f>SUMIF(月間集計シート!$M$92:$M$111,$G69,月間集計シート!N$92:N$111)*AE$2</f>
        <v>0</v>
      </c>
      <c r="AF69" s="88">
        <f>SUMIF(月間集計シート!$M$92:$M$111,$G69,月間集計シート!O$92:O$111)*AF$2</f>
        <v>0</v>
      </c>
      <c r="AG69" s="88">
        <f>SUMIF(月間集計シート!$M$92:$M$111,$G69,月間集計シート!P$92:P$111)*AG$2</f>
        <v>0</v>
      </c>
      <c r="AH69" s="88">
        <f>SUMIF(月間集計シート!$M$92:$M$111,$G69,月間集計シート!Q$92:Q$111)*AH$2</f>
        <v>0</v>
      </c>
      <c r="AI69" s="88">
        <f>SUMIF(月間集計シート!$M$92:$M$111,$G69,月間集計シート!R$92:R$111)*AI$2</f>
        <v>0</v>
      </c>
      <c r="AJ69" s="88">
        <f>SUMIF(月間集計シート!$M$92:$M$111,$G69,月間集計シート!S$92:S$111)*AJ$2</f>
        <v>0</v>
      </c>
      <c r="AK69" s="88">
        <f>SUMIF(月間集計シート!$M$92:$M$111,$G69,月間集計シート!T$92:T$111)*AK$2</f>
        <v>0</v>
      </c>
      <c r="AL69" s="88">
        <f>SUMIF(月間集計シート!$M$113:$M$132,$G69,月間集計シート!N$113:N$132)*AL$2</f>
        <v>0</v>
      </c>
      <c r="AM69" s="88">
        <f>SUMIF(月間集計シート!$M$113:$M$132,$G69,月間集計シート!O$113:O$132)*AM$2</f>
        <v>0</v>
      </c>
      <c r="AN69" s="88">
        <f>SUMIF(月間集計シート!$M$113:$M$132,$G69,月間集計シート!P$113:P$132)*AN$2</f>
        <v>0</v>
      </c>
      <c r="AO69" s="88">
        <f>SUMIF(月間集計シート!$M$113:$M$132,$G69,月間集計シート!Q$113:Q$132)*AO$2</f>
        <v>0</v>
      </c>
      <c r="AP69" s="88">
        <f>SUMIF(月間集計シート!$M$113:$M$132,$G69,月間集計シート!R$113:R$132)*AP$2</f>
        <v>0</v>
      </c>
      <c r="AQ69" s="88">
        <f>SUMIF(月間集計シート!$M$113:$M$132,$G69,月間集計シート!S$113:S$132)*AQ$2</f>
        <v>0</v>
      </c>
      <c r="AR69" s="88">
        <f>SUMIF(月間集計シート!$M$113:$M$132,$G69,月間集計シート!T$113:T$132)*AR$2</f>
        <v>0</v>
      </c>
      <c r="AS69" s="88">
        <f>SUMIF(月間集計シート!$M$134:$M$153,$G69,月間集計シート!N$134:N$153)*AS$2</f>
        <v>0</v>
      </c>
      <c r="AT69" s="88">
        <f>SUMIF(月間集計シート!$M$134:$M$153,$G69,月間集計シート!O$134:O$153)*AT$2</f>
        <v>0</v>
      </c>
      <c r="AU69" s="88">
        <f>SUMIF(月間集計シート!$M$134:$M$153,$G69,月間集計シート!P$134:P$153)*AU$2</f>
        <v>0</v>
      </c>
      <c r="AV69" s="88">
        <f>SUMIF(月間集計シート!$M$134:$M$153,$G69,月間集計シート!Q$134:Q$153)*AV$2</f>
        <v>0</v>
      </c>
      <c r="AW69" s="88">
        <f>SUMIF(月間集計シート!$M$134:$M$153,$G69,月間集計シート!R$134:R$153)*AW$2</f>
        <v>0</v>
      </c>
      <c r="AX69" s="88">
        <f>SUMIF(月間集計シート!$M$134:$M$153,$G69,月間集計シート!S$134:S$153)*AX$2</f>
        <v>0</v>
      </c>
      <c r="AY69" s="88">
        <f>SUMIF(月間集計シート!$M$134:$M$153,$G69,月間集計シート!T$134:T$153)*AY$2</f>
        <v>0</v>
      </c>
    </row>
    <row r="70" spans="1:51" ht="14.25" thickBot="1">
      <c r="A70">
        <v>1</v>
      </c>
      <c r="B70" s="120">
        <f t="shared" si="5"/>
        <v>999909</v>
      </c>
      <c r="C70" s="120" t="e">
        <f t="shared" si="6"/>
        <v>#N/A</v>
      </c>
      <c r="D70" s="137"/>
      <c r="E70" s="150" t="str">
        <f>工種!A62</f>
        <v>80104</v>
      </c>
      <c r="F70" s="119" t="str">
        <f>工種!B62</f>
        <v>保守／ｻﾎﾟｰﾄ：連絡文書作成・更新</v>
      </c>
      <c r="G70" s="116" t="str">
        <f t="shared" si="8"/>
        <v>99990980104</v>
      </c>
      <c r="H70" s="88">
        <f t="shared" si="9"/>
        <v>0</v>
      </c>
      <c r="I70" s="132"/>
      <c r="J70" s="88">
        <f>SUMIF(月間集計シート!$M$29:$M$48,$G70,月間集計シート!N$29:N$48)*J$2</f>
        <v>0</v>
      </c>
      <c r="K70" s="88">
        <f>SUMIF(月間集計シート!$M$29:$M$48,$G70,月間集計シート!O$29:O$48)*K$2</f>
        <v>0</v>
      </c>
      <c r="L70" s="88">
        <f>SUMIF(月間集計シート!$M$29:$M$48,$G70,月間集計シート!P$29:P$48)*L$2</f>
        <v>0</v>
      </c>
      <c r="M70" s="88">
        <f>SUMIF(月間集計シート!$M$29:$M$48,$G70,月間集計シート!Q$29:Q$48)*M$2</f>
        <v>0</v>
      </c>
      <c r="N70" s="88">
        <f>SUMIF(月間集計シート!$M$29:$M$48,$G70,月間集計シート!R$29:R$48)*N$2</f>
        <v>0</v>
      </c>
      <c r="O70" s="88">
        <f>SUMIF(月間集計シート!$M$29:$M$48,$G70,月間集計シート!S$29:S$48)*O$2</f>
        <v>0</v>
      </c>
      <c r="P70" s="88">
        <f>SUMIF(月間集計シート!$M$29:$M$48,$G70,月間集計シート!T$29:T$48)*P$2</f>
        <v>0</v>
      </c>
      <c r="Q70" s="88">
        <f>SUMIF(月間集計シート!$M$50:$M$69,$G70,月間集計シート!N$50:N$69)*Q$2</f>
        <v>0</v>
      </c>
      <c r="R70" s="88">
        <f>SUMIF(月間集計シート!$M$50:$M$69,$G70,月間集計シート!O$50:O$69)*R$2</f>
        <v>0</v>
      </c>
      <c r="S70" s="88">
        <f>SUMIF(月間集計シート!$M$50:$M$69,$G70,月間集計シート!P$50:P$69)*S$2</f>
        <v>0</v>
      </c>
      <c r="T70" s="88">
        <f>SUMIF(月間集計シート!$M$50:$M$69,$G70,月間集計シート!Q$50:Q$69)*T$2</f>
        <v>0</v>
      </c>
      <c r="U70" s="88">
        <f>SUMIF(月間集計シート!$M$50:$M$69,$G70,月間集計シート!R$50:R$69)*U$2</f>
        <v>0</v>
      </c>
      <c r="V70" s="88">
        <f>SUMIF(月間集計シート!$M$50:$M$69,$G70,月間集計シート!S$50:S$69)*V$2</f>
        <v>0</v>
      </c>
      <c r="W70" s="88">
        <f>SUMIF(月間集計シート!$M$50:$M$69,$G70,月間集計シート!T$50:T$69)*W$2</f>
        <v>0</v>
      </c>
      <c r="X70" s="88">
        <f>SUMIF(月間集計シート!$M$71:$M$90,$G70,月間集計シート!N$71:N$90)*X$2</f>
        <v>0</v>
      </c>
      <c r="Y70" s="88">
        <f>SUMIF(月間集計シート!$M$71:$M$90,$G70,月間集計シート!O$71:O$90)*Y$2</f>
        <v>0</v>
      </c>
      <c r="Z70" s="88">
        <f>SUMIF(月間集計シート!$M$71:$M$90,$G70,月間集計シート!P$71:P$90)*Z$2</f>
        <v>0</v>
      </c>
      <c r="AA70" s="88">
        <f>SUMIF(月間集計シート!$M$71:$M$90,$G70,月間集計シート!Q$71:Q$90)*AA$2</f>
        <v>0</v>
      </c>
      <c r="AB70" s="88">
        <f>SUMIF(月間集計シート!$M$71:$M$90,$G70,月間集計シート!R$71:R$90)*AB$2</f>
        <v>0</v>
      </c>
      <c r="AC70" s="88">
        <f>SUMIF(月間集計シート!$M$71:$M$90,$G70,月間集計シート!S$71:S$90)*AC$2</f>
        <v>0</v>
      </c>
      <c r="AD70" s="88">
        <f>SUMIF(月間集計シート!$M$71:$M$90,$G70,月間集計シート!T$71:T$90)*AD$2</f>
        <v>0</v>
      </c>
      <c r="AE70" s="88">
        <f>SUMIF(月間集計シート!$M$92:$M$111,$G70,月間集計シート!N$92:N$111)*AE$2</f>
        <v>0</v>
      </c>
      <c r="AF70" s="88">
        <f>SUMIF(月間集計シート!$M$92:$M$111,$G70,月間集計シート!O$92:O$111)*AF$2</f>
        <v>0</v>
      </c>
      <c r="AG70" s="88">
        <f>SUMIF(月間集計シート!$M$92:$M$111,$G70,月間集計シート!P$92:P$111)*AG$2</f>
        <v>0</v>
      </c>
      <c r="AH70" s="88">
        <f>SUMIF(月間集計シート!$M$92:$M$111,$G70,月間集計シート!Q$92:Q$111)*AH$2</f>
        <v>0</v>
      </c>
      <c r="AI70" s="88">
        <f>SUMIF(月間集計シート!$M$92:$M$111,$G70,月間集計シート!R$92:R$111)*AI$2</f>
        <v>0</v>
      </c>
      <c r="AJ70" s="88">
        <f>SUMIF(月間集計シート!$M$92:$M$111,$G70,月間集計シート!S$92:S$111)*AJ$2</f>
        <v>0</v>
      </c>
      <c r="AK70" s="88">
        <f>SUMIF(月間集計シート!$M$92:$M$111,$G70,月間集計シート!T$92:T$111)*AK$2</f>
        <v>0</v>
      </c>
      <c r="AL70" s="88">
        <f>SUMIF(月間集計シート!$M$113:$M$132,$G70,月間集計シート!N$113:N$132)*AL$2</f>
        <v>0</v>
      </c>
      <c r="AM70" s="88">
        <f>SUMIF(月間集計シート!$M$113:$M$132,$G70,月間集計シート!O$113:O$132)*AM$2</f>
        <v>0</v>
      </c>
      <c r="AN70" s="88">
        <f>SUMIF(月間集計シート!$M$113:$M$132,$G70,月間集計シート!P$113:P$132)*AN$2</f>
        <v>0</v>
      </c>
      <c r="AO70" s="88">
        <f>SUMIF(月間集計シート!$M$113:$M$132,$G70,月間集計シート!Q$113:Q$132)*AO$2</f>
        <v>0</v>
      </c>
      <c r="AP70" s="88">
        <f>SUMIF(月間集計シート!$M$113:$M$132,$G70,月間集計シート!R$113:R$132)*AP$2</f>
        <v>0</v>
      </c>
      <c r="AQ70" s="88">
        <f>SUMIF(月間集計シート!$M$113:$M$132,$G70,月間集計シート!S$113:S$132)*AQ$2</f>
        <v>0</v>
      </c>
      <c r="AR70" s="88">
        <f>SUMIF(月間集計シート!$M$113:$M$132,$G70,月間集計シート!T$113:T$132)*AR$2</f>
        <v>0</v>
      </c>
      <c r="AS70" s="88">
        <f>SUMIF(月間集計シート!$M$134:$M$153,$G70,月間集計シート!N$134:N$153)*AS$2</f>
        <v>0</v>
      </c>
      <c r="AT70" s="88">
        <f>SUMIF(月間集計シート!$M$134:$M$153,$G70,月間集計シート!O$134:O$153)*AT$2</f>
        <v>0</v>
      </c>
      <c r="AU70" s="88">
        <f>SUMIF(月間集計シート!$M$134:$M$153,$G70,月間集計シート!P$134:P$153)*AU$2</f>
        <v>0</v>
      </c>
      <c r="AV70" s="88">
        <f>SUMIF(月間集計シート!$M$134:$M$153,$G70,月間集計シート!Q$134:Q$153)*AV$2</f>
        <v>0</v>
      </c>
      <c r="AW70" s="88">
        <f>SUMIF(月間集計シート!$M$134:$M$153,$G70,月間集計シート!R$134:R$153)*AW$2</f>
        <v>0</v>
      </c>
      <c r="AX70" s="88">
        <f>SUMIF(月間集計シート!$M$134:$M$153,$G70,月間集計シート!S$134:S$153)*AX$2</f>
        <v>0</v>
      </c>
      <c r="AY70" s="88">
        <f>SUMIF(月間集計シート!$M$134:$M$153,$G70,月間集計シート!T$134:T$153)*AY$2</f>
        <v>0</v>
      </c>
    </row>
    <row r="71" spans="1:51" ht="14.25" thickBot="1">
      <c r="A71">
        <v>1</v>
      </c>
      <c r="B71" s="120">
        <f t="shared" si="5"/>
        <v>999909</v>
      </c>
      <c r="C71" s="120" t="e">
        <f t="shared" si="6"/>
        <v>#N/A</v>
      </c>
      <c r="D71" s="137"/>
      <c r="E71" s="150" t="str">
        <f>工種!A63</f>
        <v>80105</v>
      </c>
      <c r="F71" s="119" t="str">
        <f>工種!B63</f>
        <v>保守／ｻﾎﾟｰﾄ：ｲﾝﾄﾗ資料更新</v>
      </c>
      <c r="G71" s="116" t="str">
        <f t="shared" si="8"/>
        <v>99990980105</v>
      </c>
      <c r="H71" s="88">
        <f t="shared" ref="H71:H72" si="10">SUM(J71:AY71)</f>
        <v>0</v>
      </c>
      <c r="I71" s="132"/>
      <c r="J71" s="88">
        <f>SUMIF(月間集計シート!$M$29:$M$48,$G71,月間集計シート!N$29:N$48)*J$2</f>
        <v>0</v>
      </c>
      <c r="K71" s="88">
        <f>SUMIF(月間集計シート!$M$29:$M$48,$G71,月間集計シート!O$29:O$48)*K$2</f>
        <v>0</v>
      </c>
      <c r="L71" s="88">
        <f>SUMIF(月間集計シート!$M$29:$M$48,$G71,月間集計シート!P$29:P$48)*L$2</f>
        <v>0</v>
      </c>
      <c r="M71" s="88">
        <f>SUMIF(月間集計シート!$M$29:$M$48,$G71,月間集計シート!Q$29:Q$48)*M$2</f>
        <v>0</v>
      </c>
      <c r="N71" s="88">
        <f>SUMIF(月間集計シート!$M$29:$M$48,$G71,月間集計シート!R$29:R$48)*N$2</f>
        <v>0</v>
      </c>
      <c r="O71" s="88">
        <f>SUMIF(月間集計シート!$M$29:$M$48,$G71,月間集計シート!S$29:S$48)*O$2</f>
        <v>0</v>
      </c>
      <c r="P71" s="88">
        <f>SUMIF(月間集計シート!$M$29:$M$48,$G71,月間集計シート!T$29:T$48)*P$2</f>
        <v>0</v>
      </c>
      <c r="Q71" s="88">
        <f>SUMIF(月間集計シート!$M$50:$M$69,$G71,月間集計シート!N$50:N$69)*Q$2</f>
        <v>0</v>
      </c>
      <c r="R71" s="88">
        <f>SUMIF(月間集計シート!$M$50:$M$69,$G71,月間集計シート!O$50:O$69)*R$2</f>
        <v>0</v>
      </c>
      <c r="S71" s="88">
        <f>SUMIF(月間集計シート!$M$50:$M$69,$G71,月間集計シート!P$50:P$69)*S$2</f>
        <v>0</v>
      </c>
      <c r="T71" s="88">
        <f>SUMIF(月間集計シート!$M$50:$M$69,$G71,月間集計シート!Q$50:Q$69)*T$2</f>
        <v>0</v>
      </c>
      <c r="U71" s="88">
        <f>SUMIF(月間集計シート!$M$50:$M$69,$G71,月間集計シート!R$50:R$69)*U$2</f>
        <v>0</v>
      </c>
      <c r="V71" s="88">
        <f>SUMIF(月間集計シート!$M$50:$M$69,$G71,月間集計シート!S$50:S$69)*V$2</f>
        <v>0</v>
      </c>
      <c r="W71" s="88">
        <f>SUMIF(月間集計シート!$M$50:$M$69,$G71,月間集計シート!T$50:T$69)*W$2</f>
        <v>0</v>
      </c>
      <c r="X71" s="88">
        <f>SUMIF(月間集計シート!$M$71:$M$90,$G71,月間集計シート!N$71:N$90)*X$2</f>
        <v>0</v>
      </c>
      <c r="Y71" s="88">
        <f>SUMIF(月間集計シート!$M$71:$M$90,$G71,月間集計シート!O$71:O$90)*Y$2</f>
        <v>0</v>
      </c>
      <c r="Z71" s="88">
        <f>SUMIF(月間集計シート!$M$71:$M$90,$G71,月間集計シート!P$71:P$90)*Z$2</f>
        <v>0</v>
      </c>
      <c r="AA71" s="88">
        <f>SUMIF(月間集計シート!$M$71:$M$90,$G71,月間集計シート!Q$71:Q$90)*AA$2</f>
        <v>0</v>
      </c>
      <c r="AB71" s="88">
        <f>SUMIF(月間集計シート!$M$71:$M$90,$G71,月間集計シート!R$71:R$90)*AB$2</f>
        <v>0</v>
      </c>
      <c r="AC71" s="88">
        <f>SUMIF(月間集計シート!$M$71:$M$90,$G71,月間集計シート!S$71:S$90)*AC$2</f>
        <v>0</v>
      </c>
      <c r="AD71" s="88">
        <f>SUMIF(月間集計シート!$M$71:$M$90,$G71,月間集計シート!T$71:T$90)*AD$2</f>
        <v>0</v>
      </c>
      <c r="AE71" s="88">
        <f>SUMIF(月間集計シート!$M$92:$M$111,$G71,月間集計シート!N$92:N$111)*AE$2</f>
        <v>0</v>
      </c>
      <c r="AF71" s="88">
        <f>SUMIF(月間集計シート!$M$92:$M$111,$G71,月間集計シート!O$92:O$111)*AF$2</f>
        <v>0</v>
      </c>
      <c r="AG71" s="88">
        <f>SUMIF(月間集計シート!$M$92:$M$111,$G71,月間集計シート!P$92:P$111)*AG$2</f>
        <v>0</v>
      </c>
      <c r="AH71" s="88">
        <f>SUMIF(月間集計シート!$M$92:$M$111,$G71,月間集計シート!Q$92:Q$111)*AH$2</f>
        <v>0</v>
      </c>
      <c r="AI71" s="88">
        <f>SUMIF(月間集計シート!$M$92:$M$111,$G71,月間集計シート!R$92:R$111)*AI$2</f>
        <v>0</v>
      </c>
      <c r="AJ71" s="88">
        <f>SUMIF(月間集計シート!$M$92:$M$111,$G71,月間集計シート!S$92:S$111)*AJ$2</f>
        <v>0</v>
      </c>
      <c r="AK71" s="88">
        <f>SUMIF(月間集計シート!$M$92:$M$111,$G71,月間集計シート!T$92:T$111)*AK$2</f>
        <v>0</v>
      </c>
      <c r="AL71" s="88">
        <f>SUMIF(月間集計シート!$M$113:$M$132,$G71,月間集計シート!N$113:N$132)*AL$2</f>
        <v>0</v>
      </c>
      <c r="AM71" s="88">
        <f>SUMIF(月間集計シート!$M$113:$M$132,$G71,月間集計シート!O$113:O$132)*AM$2</f>
        <v>0</v>
      </c>
      <c r="AN71" s="88">
        <f>SUMIF(月間集計シート!$M$113:$M$132,$G71,月間集計シート!P$113:P$132)*AN$2</f>
        <v>0</v>
      </c>
      <c r="AO71" s="88">
        <f>SUMIF(月間集計シート!$M$113:$M$132,$G71,月間集計シート!Q$113:Q$132)*AO$2</f>
        <v>0</v>
      </c>
      <c r="AP71" s="88">
        <f>SUMIF(月間集計シート!$M$113:$M$132,$G71,月間集計シート!R$113:R$132)*AP$2</f>
        <v>0</v>
      </c>
      <c r="AQ71" s="88">
        <f>SUMIF(月間集計シート!$M$113:$M$132,$G71,月間集計シート!S$113:S$132)*AQ$2</f>
        <v>0</v>
      </c>
      <c r="AR71" s="88">
        <f>SUMIF(月間集計シート!$M$113:$M$132,$G71,月間集計シート!T$113:T$132)*AR$2</f>
        <v>0</v>
      </c>
      <c r="AS71" s="88">
        <f>SUMIF(月間集計シート!$M$134:$M$153,$G71,月間集計シート!N$134:N$153)*AS$2</f>
        <v>0</v>
      </c>
      <c r="AT71" s="88">
        <f>SUMIF(月間集計シート!$M$134:$M$153,$G71,月間集計シート!O$134:O$153)*AT$2</f>
        <v>0</v>
      </c>
      <c r="AU71" s="88">
        <f>SUMIF(月間集計シート!$M$134:$M$153,$G71,月間集計シート!P$134:P$153)*AU$2</f>
        <v>0</v>
      </c>
      <c r="AV71" s="88">
        <f>SUMIF(月間集計シート!$M$134:$M$153,$G71,月間集計シート!Q$134:Q$153)*AV$2</f>
        <v>0</v>
      </c>
      <c r="AW71" s="88">
        <f>SUMIF(月間集計シート!$M$134:$M$153,$G71,月間集計シート!R$134:R$153)*AW$2</f>
        <v>0</v>
      </c>
      <c r="AX71" s="88">
        <f>SUMIF(月間集計シート!$M$134:$M$153,$G71,月間集計シート!S$134:S$153)*AX$2</f>
        <v>0</v>
      </c>
      <c r="AY71" s="88">
        <f>SUMIF(月間集計シート!$M$134:$M$153,$G71,月間集計シート!T$134:T$153)*AY$2</f>
        <v>0</v>
      </c>
    </row>
    <row r="72" spans="1:51" ht="14.25" thickBot="1">
      <c r="A72">
        <v>1</v>
      </c>
      <c r="B72" s="120">
        <f t="shared" si="5"/>
        <v>999909</v>
      </c>
      <c r="C72" s="120" t="e">
        <f t="shared" si="6"/>
        <v>#N/A</v>
      </c>
      <c r="D72" s="137"/>
      <c r="E72" s="150" t="str">
        <f>工種!A64</f>
        <v>80106</v>
      </c>
      <c r="F72" s="119" t="str">
        <f>工種!B64</f>
        <v>保守／ｻﾎﾟｰﾄ：打合せ</v>
      </c>
      <c r="G72" s="116" t="str">
        <f t="shared" si="8"/>
        <v>99990980106</v>
      </c>
      <c r="H72" s="88">
        <f t="shared" si="10"/>
        <v>0</v>
      </c>
      <c r="I72" s="132"/>
      <c r="J72" s="88">
        <f>SUMIF(月間集計シート!$M$29:$M$48,$G72,月間集計シート!N$29:N$48)*J$2</f>
        <v>0</v>
      </c>
      <c r="K72" s="88">
        <f>SUMIF(月間集計シート!$M$29:$M$48,$G72,月間集計シート!O$29:O$48)*K$2</f>
        <v>0</v>
      </c>
      <c r="L72" s="88">
        <f>SUMIF(月間集計シート!$M$29:$M$48,$G72,月間集計シート!P$29:P$48)*L$2</f>
        <v>0</v>
      </c>
      <c r="M72" s="88">
        <f>SUMIF(月間集計シート!$M$29:$M$48,$G72,月間集計シート!Q$29:Q$48)*M$2</f>
        <v>0</v>
      </c>
      <c r="N72" s="88">
        <f>SUMIF(月間集計シート!$M$29:$M$48,$G72,月間集計シート!R$29:R$48)*N$2</f>
        <v>0</v>
      </c>
      <c r="O72" s="88">
        <f>SUMIF(月間集計シート!$M$29:$M$48,$G72,月間集計シート!S$29:S$48)*O$2</f>
        <v>0</v>
      </c>
      <c r="P72" s="88">
        <f>SUMIF(月間集計シート!$M$29:$M$48,$G72,月間集計シート!T$29:T$48)*P$2</f>
        <v>0</v>
      </c>
      <c r="Q72" s="88">
        <f>SUMIF(月間集計シート!$M$50:$M$69,$G72,月間集計シート!N$50:N$69)*Q$2</f>
        <v>0</v>
      </c>
      <c r="R72" s="88">
        <f>SUMIF(月間集計シート!$M$50:$M$69,$G72,月間集計シート!O$50:O$69)*R$2</f>
        <v>0</v>
      </c>
      <c r="S72" s="88">
        <f>SUMIF(月間集計シート!$M$50:$M$69,$G72,月間集計シート!P$50:P$69)*S$2</f>
        <v>0</v>
      </c>
      <c r="T72" s="88">
        <f>SUMIF(月間集計シート!$M$50:$M$69,$G72,月間集計シート!Q$50:Q$69)*T$2</f>
        <v>0</v>
      </c>
      <c r="U72" s="88">
        <f>SUMIF(月間集計シート!$M$50:$M$69,$G72,月間集計シート!R$50:R$69)*U$2</f>
        <v>0</v>
      </c>
      <c r="V72" s="88">
        <f>SUMIF(月間集計シート!$M$50:$M$69,$G72,月間集計シート!S$50:S$69)*V$2</f>
        <v>0</v>
      </c>
      <c r="W72" s="88">
        <f>SUMIF(月間集計シート!$M$50:$M$69,$G72,月間集計シート!T$50:T$69)*W$2</f>
        <v>0</v>
      </c>
      <c r="X72" s="88">
        <f>SUMIF(月間集計シート!$M$71:$M$90,$G72,月間集計シート!N$71:N$90)*X$2</f>
        <v>0</v>
      </c>
      <c r="Y72" s="88">
        <f>SUMIF(月間集計シート!$M$71:$M$90,$G72,月間集計シート!O$71:O$90)*Y$2</f>
        <v>0</v>
      </c>
      <c r="Z72" s="88">
        <f>SUMIF(月間集計シート!$M$71:$M$90,$G72,月間集計シート!P$71:P$90)*Z$2</f>
        <v>0</v>
      </c>
      <c r="AA72" s="88">
        <f>SUMIF(月間集計シート!$M$71:$M$90,$G72,月間集計シート!Q$71:Q$90)*AA$2</f>
        <v>0</v>
      </c>
      <c r="AB72" s="88">
        <f>SUMIF(月間集計シート!$M$71:$M$90,$G72,月間集計シート!R$71:R$90)*AB$2</f>
        <v>0</v>
      </c>
      <c r="AC72" s="88">
        <f>SUMIF(月間集計シート!$M$71:$M$90,$G72,月間集計シート!S$71:S$90)*AC$2</f>
        <v>0</v>
      </c>
      <c r="AD72" s="88">
        <f>SUMIF(月間集計シート!$M$71:$M$90,$G72,月間集計シート!T$71:T$90)*AD$2</f>
        <v>0</v>
      </c>
      <c r="AE72" s="88">
        <f>SUMIF(月間集計シート!$M$92:$M$111,$G72,月間集計シート!N$92:N$111)*AE$2</f>
        <v>0</v>
      </c>
      <c r="AF72" s="88">
        <f>SUMIF(月間集計シート!$M$92:$M$111,$G72,月間集計シート!O$92:O$111)*AF$2</f>
        <v>0</v>
      </c>
      <c r="AG72" s="88">
        <f>SUMIF(月間集計シート!$M$92:$M$111,$G72,月間集計シート!P$92:P$111)*AG$2</f>
        <v>0</v>
      </c>
      <c r="AH72" s="88">
        <f>SUMIF(月間集計シート!$M$92:$M$111,$G72,月間集計シート!Q$92:Q$111)*AH$2</f>
        <v>0</v>
      </c>
      <c r="AI72" s="88">
        <f>SUMIF(月間集計シート!$M$92:$M$111,$G72,月間集計シート!R$92:R$111)*AI$2</f>
        <v>0</v>
      </c>
      <c r="AJ72" s="88">
        <f>SUMIF(月間集計シート!$M$92:$M$111,$G72,月間集計シート!S$92:S$111)*AJ$2</f>
        <v>0</v>
      </c>
      <c r="AK72" s="88">
        <f>SUMIF(月間集計シート!$M$92:$M$111,$G72,月間集計シート!T$92:T$111)*AK$2</f>
        <v>0</v>
      </c>
      <c r="AL72" s="88">
        <f>SUMIF(月間集計シート!$M$113:$M$132,$G72,月間集計シート!N$113:N$132)*AL$2</f>
        <v>0</v>
      </c>
      <c r="AM72" s="88">
        <f>SUMIF(月間集計シート!$M$113:$M$132,$G72,月間集計シート!O$113:O$132)*AM$2</f>
        <v>0</v>
      </c>
      <c r="AN72" s="88">
        <f>SUMIF(月間集計シート!$M$113:$M$132,$G72,月間集計シート!P$113:P$132)*AN$2</f>
        <v>0</v>
      </c>
      <c r="AO72" s="88">
        <f>SUMIF(月間集計シート!$M$113:$M$132,$G72,月間集計シート!Q$113:Q$132)*AO$2</f>
        <v>0</v>
      </c>
      <c r="AP72" s="88">
        <f>SUMIF(月間集計シート!$M$113:$M$132,$G72,月間集計シート!R$113:R$132)*AP$2</f>
        <v>0</v>
      </c>
      <c r="AQ72" s="88">
        <f>SUMIF(月間集計シート!$M$113:$M$132,$G72,月間集計シート!S$113:S$132)*AQ$2</f>
        <v>0</v>
      </c>
      <c r="AR72" s="88">
        <f>SUMIF(月間集計シート!$M$113:$M$132,$G72,月間集計シート!T$113:T$132)*AR$2</f>
        <v>0</v>
      </c>
      <c r="AS72" s="88">
        <f>SUMIF(月間集計シート!$M$134:$M$153,$G72,月間集計シート!N$134:N$153)*AS$2</f>
        <v>0</v>
      </c>
      <c r="AT72" s="88">
        <f>SUMIF(月間集計シート!$M$134:$M$153,$G72,月間集計シート!O$134:O$153)*AT$2</f>
        <v>0</v>
      </c>
      <c r="AU72" s="88">
        <f>SUMIF(月間集計シート!$M$134:$M$153,$G72,月間集計シート!P$134:P$153)*AU$2</f>
        <v>0</v>
      </c>
      <c r="AV72" s="88">
        <f>SUMIF(月間集計シート!$M$134:$M$153,$G72,月間集計シート!Q$134:Q$153)*AV$2</f>
        <v>0</v>
      </c>
      <c r="AW72" s="88">
        <f>SUMIF(月間集計シート!$M$134:$M$153,$G72,月間集計シート!R$134:R$153)*AW$2</f>
        <v>0</v>
      </c>
      <c r="AX72" s="88">
        <f>SUMIF(月間集計シート!$M$134:$M$153,$G72,月間集計シート!S$134:S$153)*AX$2</f>
        <v>0</v>
      </c>
      <c r="AY72" s="88">
        <f>SUMIF(月間集計シート!$M$134:$M$153,$G72,月間集計シート!T$134:T$153)*AY$2</f>
        <v>0</v>
      </c>
    </row>
    <row r="73" spans="1:51" ht="14.25" thickBot="1">
      <c r="A73">
        <v>1</v>
      </c>
      <c r="B73" s="120">
        <f t="shared" si="5"/>
        <v>999909</v>
      </c>
      <c r="C73" s="120" t="e">
        <f>C70</f>
        <v>#N/A</v>
      </c>
      <c r="D73" s="137"/>
      <c r="E73" s="150" t="str">
        <f>工種!A65</f>
        <v>80107</v>
      </c>
      <c r="F73" s="119" t="str">
        <f>工種!B65</f>
        <v>保守／ｻﾎﾟｰﾄ：ﾚﾋﾞｭｰ</v>
      </c>
      <c r="G73" s="116" t="str">
        <f t="shared" si="8"/>
        <v>99990980107</v>
      </c>
      <c r="H73" s="88">
        <f t="shared" ref="H73" si="11">SUM(J73:AY73)</f>
        <v>0</v>
      </c>
      <c r="I73" s="132"/>
      <c r="J73" s="88">
        <f>SUMIF(月間集計シート!$M$29:$M$48,$G73,月間集計シート!N$29:N$48)*J$2</f>
        <v>0</v>
      </c>
      <c r="K73" s="88">
        <f>SUMIF(月間集計シート!$M$29:$M$48,$G73,月間集計シート!O$29:O$48)*K$2</f>
        <v>0</v>
      </c>
      <c r="L73" s="88">
        <f>SUMIF(月間集計シート!$M$29:$M$48,$G73,月間集計シート!P$29:P$48)*L$2</f>
        <v>0</v>
      </c>
      <c r="M73" s="88">
        <f>SUMIF(月間集計シート!$M$29:$M$48,$G73,月間集計シート!Q$29:Q$48)*M$2</f>
        <v>0</v>
      </c>
      <c r="N73" s="88">
        <f>SUMIF(月間集計シート!$M$29:$M$48,$G73,月間集計シート!R$29:R$48)*N$2</f>
        <v>0</v>
      </c>
      <c r="O73" s="88">
        <f>SUMIF(月間集計シート!$M$29:$M$48,$G73,月間集計シート!S$29:S$48)*O$2</f>
        <v>0</v>
      </c>
      <c r="P73" s="88">
        <f>SUMIF(月間集計シート!$M$29:$M$48,$G73,月間集計シート!T$29:T$48)*P$2</f>
        <v>0</v>
      </c>
      <c r="Q73" s="88">
        <f>SUMIF(月間集計シート!$M$50:$M$69,$G73,月間集計シート!N$50:N$69)*Q$2</f>
        <v>0</v>
      </c>
      <c r="R73" s="88">
        <f>SUMIF(月間集計シート!$M$50:$M$69,$G73,月間集計シート!O$50:O$69)*R$2</f>
        <v>0</v>
      </c>
      <c r="S73" s="88">
        <f>SUMIF(月間集計シート!$M$50:$M$69,$G73,月間集計シート!P$50:P$69)*S$2</f>
        <v>0</v>
      </c>
      <c r="T73" s="88">
        <f>SUMIF(月間集計シート!$M$50:$M$69,$G73,月間集計シート!Q$50:Q$69)*T$2</f>
        <v>0</v>
      </c>
      <c r="U73" s="88">
        <f>SUMIF(月間集計シート!$M$50:$M$69,$G73,月間集計シート!R$50:R$69)*U$2</f>
        <v>0</v>
      </c>
      <c r="V73" s="88">
        <f>SUMIF(月間集計シート!$M$50:$M$69,$G73,月間集計シート!S$50:S$69)*V$2</f>
        <v>0</v>
      </c>
      <c r="W73" s="88">
        <f>SUMIF(月間集計シート!$M$50:$M$69,$G73,月間集計シート!T$50:T$69)*W$2</f>
        <v>0</v>
      </c>
      <c r="X73" s="88">
        <f>SUMIF(月間集計シート!$M$71:$M$90,$G73,月間集計シート!N$71:N$90)*X$2</f>
        <v>0</v>
      </c>
      <c r="Y73" s="88">
        <f>SUMIF(月間集計シート!$M$71:$M$90,$G73,月間集計シート!O$71:O$90)*Y$2</f>
        <v>0</v>
      </c>
      <c r="Z73" s="88">
        <f>SUMIF(月間集計シート!$M$71:$M$90,$G73,月間集計シート!P$71:P$90)*Z$2</f>
        <v>0</v>
      </c>
      <c r="AA73" s="88">
        <f>SUMIF(月間集計シート!$M$71:$M$90,$G73,月間集計シート!Q$71:Q$90)*AA$2</f>
        <v>0</v>
      </c>
      <c r="AB73" s="88">
        <f>SUMIF(月間集計シート!$M$71:$M$90,$G73,月間集計シート!R$71:R$90)*AB$2</f>
        <v>0</v>
      </c>
      <c r="AC73" s="88">
        <f>SUMIF(月間集計シート!$M$71:$M$90,$G73,月間集計シート!S$71:S$90)*AC$2</f>
        <v>0</v>
      </c>
      <c r="AD73" s="88">
        <f>SUMIF(月間集計シート!$M$71:$M$90,$G73,月間集計シート!T$71:T$90)*AD$2</f>
        <v>0</v>
      </c>
      <c r="AE73" s="88">
        <f>SUMIF(月間集計シート!$M$92:$M$111,$G73,月間集計シート!N$92:N$111)*AE$2</f>
        <v>0</v>
      </c>
      <c r="AF73" s="88">
        <f>SUMIF(月間集計シート!$M$92:$M$111,$G73,月間集計シート!O$92:O$111)*AF$2</f>
        <v>0</v>
      </c>
      <c r="AG73" s="88">
        <f>SUMIF(月間集計シート!$M$92:$M$111,$G73,月間集計シート!P$92:P$111)*AG$2</f>
        <v>0</v>
      </c>
      <c r="AH73" s="88">
        <f>SUMIF(月間集計シート!$M$92:$M$111,$G73,月間集計シート!Q$92:Q$111)*AH$2</f>
        <v>0</v>
      </c>
      <c r="AI73" s="88">
        <f>SUMIF(月間集計シート!$M$92:$M$111,$G73,月間集計シート!R$92:R$111)*AI$2</f>
        <v>0</v>
      </c>
      <c r="AJ73" s="88">
        <f>SUMIF(月間集計シート!$M$92:$M$111,$G73,月間集計シート!S$92:S$111)*AJ$2</f>
        <v>0</v>
      </c>
      <c r="AK73" s="88">
        <f>SUMIF(月間集計シート!$M$92:$M$111,$G73,月間集計シート!T$92:T$111)*AK$2</f>
        <v>0</v>
      </c>
      <c r="AL73" s="88">
        <f>SUMIF(月間集計シート!$M$113:$M$132,$G73,月間集計シート!N$113:N$132)*AL$2</f>
        <v>0</v>
      </c>
      <c r="AM73" s="88">
        <f>SUMIF(月間集計シート!$M$113:$M$132,$G73,月間集計シート!O$113:O$132)*AM$2</f>
        <v>0</v>
      </c>
      <c r="AN73" s="88">
        <f>SUMIF(月間集計シート!$M$113:$M$132,$G73,月間集計シート!P$113:P$132)*AN$2</f>
        <v>0</v>
      </c>
      <c r="AO73" s="88">
        <f>SUMIF(月間集計シート!$M$113:$M$132,$G73,月間集計シート!Q$113:Q$132)*AO$2</f>
        <v>0</v>
      </c>
      <c r="AP73" s="88">
        <f>SUMIF(月間集計シート!$M$113:$M$132,$G73,月間集計シート!R$113:R$132)*AP$2</f>
        <v>0</v>
      </c>
      <c r="AQ73" s="88">
        <f>SUMIF(月間集計シート!$M$113:$M$132,$G73,月間集計シート!S$113:S$132)*AQ$2</f>
        <v>0</v>
      </c>
      <c r="AR73" s="88">
        <f>SUMIF(月間集計シート!$M$113:$M$132,$G73,月間集計シート!T$113:T$132)*AR$2</f>
        <v>0</v>
      </c>
      <c r="AS73" s="88">
        <f>SUMIF(月間集計シート!$M$134:$M$153,$G73,月間集計シート!N$134:N$153)*AS$2</f>
        <v>0</v>
      </c>
      <c r="AT73" s="88">
        <f>SUMIF(月間集計シート!$M$134:$M$153,$G73,月間集計シート!O$134:O$153)*AT$2</f>
        <v>0</v>
      </c>
      <c r="AU73" s="88">
        <f>SUMIF(月間集計シート!$M$134:$M$153,$G73,月間集計シート!P$134:P$153)*AU$2</f>
        <v>0</v>
      </c>
      <c r="AV73" s="88">
        <f>SUMIF(月間集計シート!$M$134:$M$153,$G73,月間集計シート!Q$134:Q$153)*AV$2</f>
        <v>0</v>
      </c>
      <c r="AW73" s="88">
        <f>SUMIF(月間集計シート!$M$134:$M$153,$G73,月間集計シート!R$134:R$153)*AW$2</f>
        <v>0</v>
      </c>
      <c r="AX73" s="88">
        <f>SUMIF(月間集計シート!$M$134:$M$153,$G73,月間集計シート!S$134:S$153)*AX$2</f>
        <v>0</v>
      </c>
      <c r="AY73" s="88">
        <f>SUMIF(月間集計シート!$M$134:$M$153,$G73,月間集計シート!T$134:T$153)*AY$2</f>
        <v>0</v>
      </c>
    </row>
    <row r="74" spans="1:51" ht="14.25" thickBot="1">
      <c r="A74">
        <v>1</v>
      </c>
      <c r="B74" s="120">
        <f t="shared" si="5"/>
        <v>999909</v>
      </c>
      <c r="C74" s="120" t="e">
        <f>C63</f>
        <v>#N/A</v>
      </c>
      <c r="D74" s="137"/>
      <c r="E74" s="150" t="str">
        <f>工種!A66</f>
        <v>80199</v>
      </c>
      <c r="F74" s="119" t="str">
        <f>工種!B66</f>
        <v>保守／ｻﾎﾟｰﾄ：その他</v>
      </c>
      <c r="G74" s="116" t="str">
        <f t="shared" si="7"/>
        <v>99990980199</v>
      </c>
      <c r="H74" s="88">
        <f t="shared" si="4"/>
        <v>0</v>
      </c>
      <c r="I74" s="132"/>
      <c r="J74" s="88">
        <f>SUMIF(月間集計シート!$M$29:$M$48,$G74,月間集計シート!N$29:N$48)*J$2</f>
        <v>0</v>
      </c>
      <c r="K74" s="88">
        <f>SUMIF(月間集計シート!$M$29:$M$48,$G74,月間集計シート!O$29:O$48)*K$2</f>
        <v>0</v>
      </c>
      <c r="L74" s="88">
        <f>SUMIF(月間集計シート!$M$29:$M$48,$G74,月間集計シート!P$29:P$48)*L$2</f>
        <v>0</v>
      </c>
      <c r="M74" s="88">
        <f>SUMIF(月間集計シート!$M$29:$M$48,$G74,月間集計シート!Q$29:Q$48)*M$2</f>
        <v>0</v>
      </c>
      <c r="N74" s="88">
        <f>SUMIF(月間集計シート!$M$29:$M$48,$G74,月間集計シート!R$29:R$48)*N$2</f>
        <v>0</v>
      </c>
      <c r="O74" s="88">
        <f>SUMIF(月間集計シート!$M$29:$M$48,$G74,月間集計シート!S$29:S$48)*O$2</f>
        <v>0</v>
      </c>
      <c r="P74" s="88">
        <f>SUMIF(月間集計シート!$M$29:$M$48,$G74,月間集計シート!T$29:T$48)*P$2</f>
        <v>0</v>
      </c>
      <c r="Q74" s="88">
        <f>SUMIF(月間集計シート!$M$50:$M$69,$G74,月間集計シート!N$50:N$69)*Q$2</f>
        <v>0</v>
      </c>
      <c r="R74" s="88">
        <f>SUMIF(月間集計シート!$M$50:$M$69,$G74,月間集計シート!O$50:O$69)*R$2</f>
        <v>0</v>
      </c>
      <c r="S74" s="88">
        <f>SUMIF(月間集計シート!$M$50:$M$69,$G74,月間集計シート!P$50:P$69)*S$2</f>
        <v>0</v>
      </c>
      <c r="T74" s="88">
        <f>SUMIF(月間集計シート!$M$50:$M$69,$G74,月間集計シート!Q$50:Q$69)*T$2</f>
        <v>0</v>
      </c>
      <c r="U74" s="88">
        <f>SUMIF(月間集計シート!$M$50:$M$69,$G74,月間集計シート!R$50:R$69)*U$2</f>
        <v>0</v>
      </c>
      <c r="V74" s="88">
        <f>SUMIF(月間集計シート!$M$50:$M$69,$G74,月間集計シート!S$50:S$69)*V$2</f>
        <v>0</v>
      </c>
      <c r="W74" s="88">
        <f>SUMIF(月間集計シート!$M$50:$M$69,$G74,月間集計シート!T$50:T$69)*W$2</f>
        <v>0</v>
      </c>
      <c r="X74" s="88">
        <f>SUMIF(月間集計シート!$M$71:$M$90,$G74,月間集計シート!N$71:N$90)*X$2</f>
        <v>0</v>
      </c>
      <c r="Y74" s="88">
        <f>SUMIF(月間集計シート!$M$71:$M$90,$G74,月間集計シート!O$71:O$90)*Y$2</f>
        <v>0</v>
      </c>
      <c r="Z74" s="88">
        <f>SUMIF(月間集計シート!$M$71:$M$90,$G74,月間集計シート!P$71:P$90)*Z$2</f>
        <v>0</v>
      </c>
      <c r="AA74" s="88">
        <f>SUMIF(月間集計シート!$M$71:$M$90,$G74,月間集計シート!Q$71:Q$90)*AA$2</f>
        <v>0</v>
      </c>
      <c r="AB74" s="88">
        <f>SUMIF(月間集計シート!$M$71:$M$90,$G74,月間集計シート!R$71:R$90)*AB$2</f>
        <v>0</v>
      </c>
      <c r="AC74" s="88">
        <f>SUMIF(月間集計シート!$M$71:$M$90,$G74,月間集計シート!S$71:S$90)*AC$2</f>
        <v>0</v>
      </c>
      <c r="AD74" s="88">
        <f>SUMIF(月間集計シート!$M$71:$M$90,$G74,月間集計シート!T$71:T$90)*AD$2</f>
        <v>0</v>
      </c>
      <c r="AE74" s="88">
        <f>SUMIF(月間集計シート!$M$92:$M$111,$G74,月間集計シート!N$92:N$111)*AE$2</f>
        <v>0</v>
      </c>
      <c r="AF74" s="88">
        <f>SUMIF(月間集計シート!$M$92:$M$111,$G74,月間集計シート!O$92:O$111)*AF$2</f>
        <v>0</v>
      </c>
      <c r="AG74" s="88">
        <f>SUMIF(月間集計シート!$M$92:$M$111,$G74,月間集計シート!P$92:P$111)*AG$2</f>
        <v>0</v>
      </c>
      <c r="AH74" s="88">
        <f>SUMIF(月間集計シート!$M$92:$M$111,$G74,月間集計シート!Q$92:Q$111)*AH$2</f>
        <v>0</v>
      </c>
      <c r="AI74" s="88">
        <f>SUMIF(月間集計シート!$M$92:$M$111,$G74,月間集計シート!R$92:R$111)*AI$2</f>
        <v>0</v>
      </c>
      <c r="AJ74" s="88">
        <f>SUMIF(月間集計シート!$M$92:$M$111,$G74,月間集計シート!S$92:S$111)*AJ$2</f>
        <v>0</v>
      </c>
      <c r="AK74" s="88">
        <f>SUMIF(月間集計シート!$M$92:$M$111,$G74,月間集計シート!T$92:T$111)*AK$2</f>
        <v>0</v>
      </c>
      <c r="AL74" s="88">
        <f>SUMIF(月間集計シート!$M$113:$M$132,$G74,月間集計シート!N$113:N$132)*AL$2</f>
        <v>0</v>
      </c>
      <c r="AM74" s="88">
        <f>SUMIF(月間集計シート!$M$113:$M$132,$G74,月間集計シート!O$113:O$132)*AM$2</f>
        <v>0</v>
      </c>
      <c r="AN74" s="88">
        <f>SUMIF(月間集計シート!$M$113:$M$132,$G74,月間集計シート!P$113:P$132)*AN$2</f>
        <v>0</v>
      </c>
      <c r="AO74" s="88">
        <f>SUMIF(月間集計シート!$M$113:$M$132,$G74,月間集計シート!Q$113:Q$132)*AO$2</f>
        <v>0</v>
      </c>
      <c r="AP74" s="88">
        <f>SUMIF(月間集計シート!$M$113:$M$132,$G74,月間集計シート!R$113:R$132)*AP$2</f>
        <v>0</v>
      </c>
      <c r="AQ74" s="88">
        <f>SUMIF(月間集計シート!$M$113:$M$132,$G74,月間集計シート!S$113:S$132)*AQ$2</f>
        <v>0</v>
      </c>
      <c r="AR74" s="88">
        <f>SUMIF(月間集計シート!$M$113:$M$132,$G74,月間集計シート!T$113:T$132)*AR$2</f>
        <v>0</v>
      </c>
      <c r="AS74" s="88">
        <f>SUMIF(月間集計シート!$M$134:$M$153,$G74,月間集計シート!N$134:N$153)*AS$2</f>
        <v>0</v>
      </c>
      <c r="AT74" s="88">
        <f>SUMIF(月間集計シート!$M$134:$M$153,$G74,月間集計シート!O$134:O$153)*AT$2</f>
        <v>0</v>
      </c>
      <c r="AU74" s="88">
        <f>SUMIF(月間集計シート!$M$134:$M$153,$G74,月間集計シート!P$134:P$153)*AU$2</f>
        <v>0</v>
      </c>
      <c r="AV74" s="88">
        <f>SUMIF(月間集計シート!$M$134:$M$153,$G74,月間集計シート!Q$134:Q$153)*AV$2</f>
        <v>0</v>
      </c>
      <c r="AW74" s="88">
        <f>SUMIF(月間集計シート!$M$134:$M$153,$G74,月間集計シート!R$134:R$153)*AW$2</f>
        <v>0</v>
      </c>
      <c r="AX74" s="88">
        <f>SUMIF(月間集計シート!$M$134:$M$153,$G74,月間集計シート!S$134:S$153)*AX$2</f>
        <v>0</v>
      </c>
      <c r="AY74" s="88">
        <f>SUMIF(月間集計シート!$M$134:$M$153,$G74,月間集計シート!T$134:T$153)*AY$2</f>
        <v>0</v>
      </c>
    </row>
    <row r="75" spans="1:51" ht="14.25" thickBot="1">
      <c r="A75">
        <v>1</v>
      </c>
      <c r="B75" s="120">
        <f t="shared" si="5"/>
        <v>999909</v>
      </c>
      <c r="C75" s="120" t="e">
        <f t="shared" si="6"/>
        <v>#N/A</v>
      </c>
      <c r="D75" s="137"/>
      <c r="E75" s="150" t="str">
        <f>工種!A67</f>
        <v>90101</v>
      </c>
      <c r="F75" s="119" t="str">
        <f>工種!B67</f>
        <v>管理業務：ﾌﾟﾛｼﾞｪｸﾄ管理</v>
      </c>
      <c r="G75" s="116" t="str">
        <f t="shared" si="7"/>
        <v>99990990101</v>
      </c>
      <c r="H75" s="88">
        <f t="shared" si="4"/>
        <v>0</v>
      </c>
      <c r="I75" s="132"/>
      <c r="J75" s="88">
        <f>SUMIF(月間集計シート!$M$29:$M$48,$G75,月間集計シート!N$29:N$48)*J$2</f>
        <v>0</v>
      </c>
      <c r="K75" s="88">
        <f>SUMIF(月間集計シート!$M$29:$M$48,$G75,月間集計シート!O$29:O$48)*K$2</f>
        <v>0</v>
      </c>
      <c r="L75" s="88">
        <f>SUMIF(月間集計シート!$M$29:$M$48,$G75,月間集計シート!P$29:P$48)*L$2</f>
        <v>0</v>
      </c>
      <c r="M75" s="88">
        <f>SUMIF(月間集計シート!$M$29:$M$48,$G75,月間集計シート!Q$29:Q$48)*M$2</f>
        <v>0</v>
      </c>
      <c r="N75" s="88">
        <f>SUMIF(月間集計シート!$M$29:$M$48,$G75,月間集計シート!R$29:R$48)*N$2</f>
        <v>0</v>
      </c>
      <c r="O75" s="88">
        <f>SUMIF(月間集計シート!$M$29:$M$48,$G75,月間集計シート!S$29:S$48)*O$2</f>
        <v>0</v>
      </c>
      <c r="P75" s="88">
        <f>SUMIF(月間集計シート!$M$29:$M$48,$G75,月間集計シート!T$29:T$48)*P$2</f>
        <v>0</v>
      </c>
      <c r="Q75" s="88">
        <f>SUMIF(月間集計シート!$M$50:$M$69,$G75,月間集計シート!N$50:N$69)*Q$2</f>
        <v>0</v>
      </c>
      <c r="R75" s="88">
        <f>SUMIF(月間集計シート!$M$50:$M$69,$G75,月間集計シート!O$50:O$69)*R$2</f>
        <v>0</v>
      </c>
      <c r="S75" s="88">
        <f>SUMIF(月間集計シート!$M$50:$M$69,$G75,月間集計シート!P$50:P$69)*S$2</f>
        <v>0</v>
      </c>
      <c r="T75" s="88">
        <f>SUMIF(月間集計シート!$M$50:$M$69,$G75,月間集計シート!Q$50:Q$69)*T$2</f>
        <v>0</v>
      </c>
      <c r="U75" s="88">
        <f>SUMIF(月間集計シート!$M$50:$M$69,$G75,月間集計シート!R$50:R$69)*U$2</f>
        <v>0</v>
      </c>
      <c r="V75" s="88">
        <f>SUMIF(月間集計シート!$M$50:$M$69,$G75,月間集計シート!S$50:S$69)*V$2</f>
        <v>0</v>
      </c>
      <c r="W75" s="88">
        <f>SUMIF(月間集計シート!$M$50:$M$69,$G75,月間集計シート!T$50:T$69)*W$2</f>
        <v>0</v>
      </c>
      <c r="X75" s="88">
        <f>SUMIF(月間集計シート!$M$71:$M$90,$G75,月間集計シート!N$71:N$90)*X$2</f>
        <v>0</v>
      </c>
      <c r="Y75" s="88">
        <f>SUMIF(月間集計シート!$M$71:$M$90,$G75,月間集計シート!O$71:O$90)*Y$2</f>
        <v>0</v>
      </c>
      <c r="Z75" s="88">
        <f>SUMIF(月間集計シート!$M$71:$M$90,$G75,月間集計シート!P$71:P$90)*Z$2</f>
        <v>0</v>
      </c>
      <c r="AA75" s="88">
        <f>SUMIF(月間集計シート!$M$71:$M$90,$G75,月間集計シート!Q$71:Q$90)*AA$2</f>
        <v>0</v>
      </c>
      <c r="AB75" s="88">
        <f>SUMIF(月間集計シート!$M$71:$M$90,$G75,月間集計シート!R$71:R$90)*AB$2</f>
        <v>0</v>
      </c>
      <c r="AC75" s="88">
        <f>SUMIF(月間集計シート!$M$71:$M$90,$G75,月間集計シート!S$71:S$90)*AC$2</f>
        <v>0</v>
      </c>
      <c r="AD75" s="88">
        <f>SUMIF(月間集計シート!$M$71:$M$90,$G75,月間集計シート!T$71:T$90)*AD$2</f>
        <v>0</v>
      </c>
      <c r="AE75" s="88">
        <f>SUMIF(月間集計シート!$M$92:$M$111,$G75,月間集計シート!N$92:N$111)*AE$2</f>
        <v>0</v>
      </c>
      <c r="AF75" s="88">
        <f>SUMIF(月間集計シート!$M$92:$M$111,$G75,月間集計シート!O$92:O$111)*AF$2</f>
        <v>0</v>
      </c>
      <c r="AG75" s="88">
        <f>SUMIF(月間集計シート!$M$92:$M$111,$G75,月間集計シート!P$92:P$111)*AG$2</f>
        <v>0</v>
      </c>
      <c r="AH75" s="88">
        <f>SUMIF(月間集計シート!$M$92:$M$111,$G75,月間集計シート!Q$92:Q$111)*AH$2</f>
        <v>0</v>
      </c>
      <c r="AI75" s="88">
        <f>SUMIF(月間集計シート!$M$92:$M$111,$G75,月間集計シート!R$92:R$111)*AI$2</f>
        <v>0</v>
      </c>
      <c r="AJ75" s="88">
        <f>SUMIF(月間集計シート!$M$92:$M$111,$G75,月間集計シート!S$92:S$111)*AJ$2</f>
        <v>0</v>
      </c>
      <c r="AK75" s="88">
        <f>SUMIF(月間集計シート!$M$92:$M$111,$G75,月間集計シート!T$92:T$111)*AK$2</f>
        <v>0</v>
      </c>
      <c r="AL75" s="88">
        <f>SUMIF(月間集計シート!$M$113:$M$132,$G75,月間集計シート!N$113:N$132)*AL$2</f>
        <v>0</v>
      </c>
      <c r="AM75" s="88">
        <f>SUMIF(月間集計シート!$M$113:$M$132,$G75,月間集計シート!O$113:O$132)*AM$2</f>
        <v>0</v>
      </c>
      <c r="AN75" s="88">
        <f>SUMIF(月間集計シート!$M$113:$M$132,$G75,月間集計シート!P$113:P$132)*AN$2</f>
        <v>0</v>
      </c>
      <c r="AO75" s="88">
        <f>SUMIF(月間集計シート!$M$113:$M$132,$G75,月間集計シート!Q$113:Q$132)*AO$2</f>
        <v>0</v>
      </c>
      <c r="AP75" s="88">
        <f>SUMIF(月間集計シート!$M$113:$M$132,$G75,月間集計シート!R$113:R$132)*AP$2</f>
        <v>0</v>
      </c>
      <c r="AQ75" s="88">
        <f>SUMIF(月間集計シート!$M$113:$M$132,$G75,月間集計シート!S$113:S$132)*AQ$2</f>
        <v>0</v>
      </c>
      <c r="AR75" s="88">
        <f>SUMIF(月間集計シート!$M$113:$M$132,$G75,月間集計シート!T$113:T$132)*AR$2</f>
        <v>0</v>
      </c>
      <c r="AS75" s="88">
        <f>SUMIF(月間集計シート!$M$134:$M$153,$G75,月間集計シート!N$134:N$153)*AS$2</f>
        <v>0</v>
      </c>
      <c r="AT75" s="88">
        <f>SUMIF(月間集計シート!$M$134:$M$153,$G75,月間集計シート!O$134:O$153)*AT$2</f>
        <v>0</v>
      </c>
      <c r="AU75" s="88">
        <f>SUMIF(月間集計シート!$M$134:$M$153,$G75,月間集計シート!P$134:P$153)*AU$2</f>
        <v>0</v>
      </c>
      <c r="AV75" s="88">
        <f>SUMIF(月間集計シート!$M$134:$M$153,$G75,月間集計シート!Q$134:Q$153)*AV$2</f>
        <v>0</v>
      </c>
      <c r="AW75" s="88">
        <f>SUMIF(月間集計シート!$M$134:$M$153,$G75,月間集計シート!R$134:R$153)*AW$2</f>
        <v>0</v>
      </c>
      <c r="AX75" s="88">
        <f>SUMIF(月間集計シート!$M$134:$M$153,$G75,月間集計シート!S$134:S$153)*AX$2</f>
        <v>0</v>
      </c>
      <c r="AY75" s="88">
        <f>SUMIF(月間集計シート!$M$134:$M$153,$G75,月間集計シート!T$134:T$153)*AY$2</f>
        <v>0</v>
      </c>
    </row>
    <row r="76" spans="1:51" ht="14.25" thickBot="1">
      <c r="A76">
        <v>1</v>
      </c>
      <c r="B76" s="120">
        <f t="shared" si="5"/>
        <v>999909</v>
      </c>
      <c r="C76" s="120" t="e">
        <f t="shared" si="6"/>
        <v>#N/A</v>
      </c>
      <c r="D76" s="137"/>
      <c r="E76" s="150" t="str">
        <f>工種!A68</f>
        <v>90102</v>
      </c>
      <c r="F76" s="119" t="str">
        <f>工種!B68</f>
        <v>管理業務：開発環境管理</v>
      </c>
      <c r="G76" s="116" t="str">
        <f t="shared" si="7"/>
        <v>99990990102</v>
      </c>
      <c r="H76" s="88">
        <f t="shared" si="4"/>
        <v>0</v>
      </c>
      <c r="I76" s="132"/>
      <c r="J76" s="88">
        <f>SUMIF(月間集計シート!$M$29:$M$48,$G76,月間集計シート!N$29:N$48)*J$2</f>
        <v>0</v>
      </c>
      <c r="K76" s="88">
        <f>SUMIF(月間集計シート!$M$29:$M$48,$G76,月間集計シート!O$29:O$48)*K$2</f>
        <v>0</v>
      </c>
      <c r="L76" s="88">
        <f>SUMIF(月間集計シート!$M$29:$M$48,$G76,月間集計シート!P$29:P$48)*L$2</f>
        <v>0</v>
      </c>
      <c r="M76" s="88">
        <f>SUMIF(月間集計シート!$M$29:$M$48,$G76,月間集計シート!Q$29:Q$48)*M$2</f>
        <v>0</v>
      </c>
      <c r="N76" s="88">
        <f>SUMIF(月間集計シート!$M$29:$M$48,$G76,月間集計シート!R$29:R$48)*N$2</f>
        <v>0</v>
      </c>
      <c r="O76" s="88">
        <f>SUMIF(月間集計シート!$M$29:$M$48,$G76,月間集計シート!S$29:S$48)*O$2</f>
        <v>0</v>
      </c>
      <c r="P76" s="88">
        <f>SUMIF(月間集計シート!$M$29:$M$48,$G76,月間集計シート!T$29:T$48)*P$2</f>
        <v>0</v>
      </c>
      <c r="Q76" s="88">
        <f>SUMIF(月間集計シート!$M$50:$M$69,$G76,月間集計シート!N$50:N$69)*Q$2</f>
        <v>0</v>
      </c>
      <c r="R76" s="88">
        <f>SUMIF(月間集計シート!$M$50:$M$69,$G76,月間集計シート!O$50:O$69)*R$2</f>
        <v>0</v>
      </c>
      <c r="S76" s="88">
        <f>SUMIF(月間集計シート!$M$50:$M$69,$G76,月間集計シート!P$50:P$69)*S$2</f>
        <v>0</v>
      </c>
      <c r="T76" s="88">
        <f>SUMIF(月間集計シート!$M$50:$M$69,$G76,月間集計シート!Q$50:Q$69)*T$2</f>
        <v>0</v>
      </c>
      <c r="U76" s="88">
        <f>SUMIF(月間集計シート!$M$50:$M$69,$G76,月間集計シート!R$50:R$69)*U$2</f>
        <v>0</v>
      </c>
      <c r="V76" s="88">
        <f>SUMIF(月間集計シート!$M$50:$M$69,$G76,月間集計シート!S$50:S$69)*V$2</f>
        <v>0</v>
      </c>
      <c r="W76" s="88">
        <f>SUMIF(月間集計シート!$M$50:$M$69,$G76,月間集計シート!T$50:T$69)*W$2</f>
        <v>0</v>
      </c>
      <c r="X76" s="88">
        <f>SUMIF(月間集計シート!$M$71:$M$90,$G76,月間集計シート!N$71:N$90)*X$2</f>
        <v>0</v>
      </c>
      <c r="Y76" s="88">
        <f>SUMIF(月間集計シート!$M$71:$M$90,$G76,月間集計シート!O$71:O$90)*Y$2</f>
        <v>0</v>
      </c>
      <c r="Z76" s="88">
        <f>SUMIF(月間集計シート!$M$71:$M$90,$G76,月間集計シート!P$71:P$90)*Z$2</f>
        <v>0</v>
      </c>
      <c r="AA76" s="88">
        <f>SUMIF(月間集計シート!$M$71:$M$90,$G76,月間集計シート!Q$71:Q$90)*AA$2</f>
        <v>0</v>
      </c>
      <c r="AB76" s="88">
        <f>SUMIF(月間集計シート!$M$71:$M$90,$G76,月間集計シート!R$71:R$90)*AB$2</f>
        <v>0</v>
      </c>
      <c r="AC76" s="88">
        <f>SUMIF(月間集計シート!$M$71:$M$90,$G76,月間集計シート!S$71:S$90)*AC$2</f>
        <v>0</v>
      </c>
      <c r="AD76" s="88">
        <f>SUMIF(月間集計シート!$M$71:$M$90,$G76,月間集計シート!T$71:T$90)*AD$2</f>
        <v>0</v>
      </c>
      <c r="AE76" s="88">
        <f>SUMIF(月間集計シート!$M$92:$M$111,$G76,月間集計シート!N$92:N$111)*AE$2</f>
        <v>0</v>
      </c>
      <c r="AF76" s="88">
        <f>SUMIF(月間集計シート!$M$92:$M$111,$G76,月間集計シート!O$92:O$111)*AF$2</f>
        <v>0</v>
      </c>
      <c r="AG76" s="88">
        <f>SUMIF(月間集計シート!$M$92:$M$111,$G76,月間集計シート!P$92:P$111)*AG$2</f>
        <v>0</v>
      </c>
      <c r="AH76" s="88">
        <f>SUMIF(月間集計シート!$M$92:$M$111,$G76,月間集計シート!Q$92:Q$111)*AH$2</f>
        <v>0</v>
      </c>
      <c r="AI76" s="88">
        <f>SUMIF(月間集計シート!$M$92:$M$111,$G76,月間集計シート!R$92:R$111)*AI$2</f>
        <v>0</v>
      </c>
      <c r="AJ76" s="88">
        <f>SUMIF(月間集計シート!$M$92:$M$111,$G76,月間集計シート!S$92:S$111)*AJ$2</f>
        <v>0</v>
      </c>
      <c r="AK76" s="88">
        <f>SUMIF(月間集計シート!$M$92:$M$111,$G76,月間集計シート!T$92:T$111)*AK$2</f>
        <v>0</v>
      </c>
      <c r="AL76" s="88">
        <f>SUMIF(月間集計シート!$M$113:$M$132,$G76,月間集計シート!N$113:N$132)*AL$2</f>
        <v>0</v>
      </c>
      <c r="AM76" s="88">
        <f>SUMIF(月間集計シート!$M$113:$M$132,$G76,月間集計シート!O$113:O$132)*AM$2</f>
        <v>0</v>
      </c>
      <c r="AN76" s="88">
        <f>SUMIF(月間集計シート!$M$113:$M$132,$G76,月間集計シート!P$113:P$132)*AN$2</f>
        <v>0</v>
      </c>
      <c r="AO76" s="88">
        <f>SUMIF(月間集計シート!$M$113:$M$132,$G76,月間集計シート!Q$113:Q$132)*AO$2</f>
        <v>0</v>
      </c>
      <c r="AP76" s="88">
        <f>SUMIF(月間集計シート!$M$113:$M$132,$G76,月間集計シート!R$113:R$132)*AP$2</f>
        <v>0</v>
      </c>
      <c r="AQ76" s="88">
        <f>SUMIF(月間集計シート!$M$113:$M$132,$G76,月間集計シート!S$113:S$132)*AQ$2</f>
        <v>0</v>
      </c>
      <c r="AR76" s="88">
        <f>SUMIF(月間集計シート!$M$113:$M$132,$G76,月間集計シート!T$113:T$132)*AR$2</f>
        <v>0</v>
      </c>
      <c r="AS76" s="88">
        <f>SUMIF(月間集計シート!$M$134:$M$153,$G76,月間集計シート!N$134:N$153)*AS$2</f>
        <v>0</v>
      </c>
      <c r="AT76" s="88">
        <f>SUMIF(月間集計シート!$M$134:$M$153,$G76,月間集計シート!O$134:O$153)*AT$2</f>
        <v>0</v>
      </c>
      <c r="AU76" s="88">
        <f>SUMIF(月間集計シート!$M$134:$M$153,$G76,月間集計シート!P$134:P$153)*AU$2</f>
        <v>0</v>
      </c>
      <c r="AV76" s="88">
        <f>SUMIF(月間集計シート!$M$134:$M$153,$G76,月間集計シート!Q$134:Q$153)*AV$2</f>
        <v>0</v>
      </c>
      <c r="AW76" s="88">
        <f>SUMIF(月間集計シート!$M$134:$M$153,$G76,月間集計シート!R$134:R$153)*AW$2</f>
        <v>0</v>
      </c>
      <c r="AX76" s="88">
        <f>SUMIF(月間集計シート!$M$134:$M$153,$G76,月間集計シート!S$134:S$153)*AX$2</f>
        <v>0</v>
      </c>
      <c r="AY76" s="88">
        <f>SUMIF(月間集計シート!$M$134:$M$153,$G76,月間集計シート!T$134:T$153)*AY$2</f>
        <v>0</v>
      </c>
    </row>
    <row r="77" spans="1:51" ht="14.25" thickBot="1">
      <c r="A77">
        <v>1</v>
      </c>
      <c r="B77" s="120">
        <f t="shared" si="5"/>
        <v>999909</v>
      </c>
      <c r="C77" s="120" t="e">
        <f t="shared" si="6"/>
        <v>#N/A</v>
      </c>
      <c r="D77" s="137"/>
      <c r="E77" s="150" t="str">
        <f>工種!A69</f>
        <v>90103</v>
      </c>
      <c r="F77" s="119" t="str">
        <f>工種!B69</f>
        <v>管理業務：標準化・開発業務改善作業</v>
      </c>
      <c r="G77" s="116" t="str">
        <f t="shared" si="7"/>
        <v>99990990103</v>
      </c>
      <c r="H77" s="88">
        <f t="shared" si="4"/>
        <v>0</v>
      </c>
      <c r="I77" s="132"/>
      <c r="J77" s="88">
        <f>SUMIF(月間集計シート!$M$29:$M$48,$G77,月間集計シート!N$29:N$48)*J$2</f>
        <v>0</v>
      </c>
      <c r="K77" s="88">
        <f>SUMIF(月間集計シート!$M$29:$M$48,$G77,月間集計シート!O$29:O$48)*K$2</f>
        <v>0</v>
      </c>
      <c r="L77" s="88">
        <f>SUMIF(月間集計シート!$M$29:$M$48,$G77,月間集計シート!P$29:P$48)*L$2</f>
        <v>0</v>
      </c>
      <c r="M77" s="88">
        <f>SUMIF(月間集計シート!$M$29:$M$48,$G77,月間集計シート!Q$29:Q$48)*M$2</f>
        <v>0</v>
      </c>
      <c r="N77" s="88">
        <f>SUMIF(月間集計シート!$M$29:$M$48,$G77,月間集計シート!R$29:R$48)*N$2</f>
        <v>0</v>
      </c>
      <c r="O77" s="88">
        <f>SUMIF(月間集計シート!$M$29:$M$48,$G77,月間集計シート!S$29:S$48)*O$2</f>
        <v>0</v>
      </c>
      <c r="P77" s="88">
        <f>SUMIF(月間集計シート!$M$29:$M$48,$G77,月間集計シート!T$29:T$48)*P$2</f>
        <v>0</v>
      </c>
      <c r="Q77" s="88">
        <f>SUMIF(月間集計シート!$M$50:$M$69,$G77,月間集計シート!N$50:N$69)*Q$2</f>
        <v>0</v>
      </c>
      <c r="R77" s="88">
        <f>SUMIF(月間集計シート!$M$50:$M$69,$G77,月間集計シート!O$50:O$69)*R$2</f>
        <v>0</v>
      </c>
      <c r="S77" s="88">
        <f>SUMIF(月間集計シート!$M$50:$M$69,$G77,月間集計シート!P$50:P$69)*S$2</f>
        <v>0</v>
      </c>
      <c r="T77" s="88">
        <f>SUMIF(月間集計シート!$M$50:$M$69,$G77,月間集計シート!Q$50:Q$69)*T$2</f>
        <v>0</v>
      </c>
      <c r="U77" s="88">
        <f>SUMIF(月間集計シート!$M$50:$M$69,$G77,月間集計シート!R$50:R$69)*U$2</f>
        <v>0</v>
      </c>
      <c r="V77" s="88">
        <f>SUMIF(月間集計シート!$M$50:$M$69,$G77,月間集計シート!S$50:S$69)*V$2</f>
        <v>0</v>
      </c>
      <c r="W77" s="88">
        <f>SUMIF(月間集計シート!$M$50:$M$69,$G77,月間集計シート!T$50:T$69)*W$2</f>
        <v>0</v>
      </c>
      <c r="X77" s="88">
        <f>SUMIF(月間集計シート!$M$71:$M$90,$G77,月間集計シート!N$71:N$90)*X$2</f>
        <v>0</v>
      </c>
      <c r="Y77" s="88">
        <f>SUMIF(月間集計シート!$M$71:$M$90,$G77,月間集計シート!O$71:O$90)*Y$2</f>
        <v>0</v>
      </c>
      <c r="Z77" s="88">
        <f>SUMIF(月間集計シート!$M$71:$M$90,$G77,月間集計シート!P$71:P$90)*Z$2</f>
        <v>0</v>
      </c>
      <c r="AA77" s="88">
        <f>SUMIF(月間集計シート!$M$71:$M$90,$G77,月間集計シート!Q$71:Q$90)*AA$2</f>
        <v>0</v>
      </c>
      <c r="AB77" s="88">
        <f>SUMIF(月間集計シート!$M$71:$M$90,$G77,月間集計シート!R$71:R$90)*AB$2</f>
        <v>0</v>
      </c>
      <c r="AC77" s="88">
        <f>SUMIF(月間集計シート!$M$71:$M$90,$G77,月間集計シート!S$71:S$90)*AC$2</f>
        <v>0</v>
      </c>
      <c r="AD77" s="88">
        <f>SUMIF(月間集計シート!$M$71:$M$90,$G77,月間集計シート!T$71:T$90)*AD$2</f>
        <v>0</v>
      </c>
      <c r="AE77" s="88">
        <f>SUMIF(月間集計シート!$M$92:$M$111,$G77,月間集計シート!N$92:N$111)*AE$2</f>
        <v>0</v>
      </c>
      <c r="AF77" s="88">
        <f>SUMIF(月間集計シート!$M$92:$M$111,$G77,月間集計シート!O$92:O$111)*AF$2</f>
        <v>0</v>
      </c>
      <c r="AG77" s="88">
        <f>SUMIF(月間集計シート!$M$92:$M$111,$G77,月間集計シート!P$92:P$111)*AG$2</f>
        <v>0</v>
      </c>
      <c r="AH77" s="88">
        <f>SUMIF(月間集計シート!$M$92:$M$111,$G77,月間集計シート!Q$92:Q$111)*AH$2</f>
        <v>0</v>
      </c>
      <c r="AI77" s="88">
        <f>SUMIF(月間集計シート!$M$92:$M$111,$G77,月間集計シート!R$92:R$111)*AI$2</f>
        <v>0</v>
      </c>
      <c r="AJ77" s="88">
        <f>SUMIF(月間集計シート!$M$92:$M$111,$G77,月間集計シート!S$92:S$111)*AJ$2</f>
        <v>0</v>
      </c>
      <c r="AK77" s="88">
        <f>SUMIF(月間集計シート!$M$92:$M$111,$G77,月間集計シート!T$92:T$111)*AK$2</f>
        <v>0</v>
      </c>
      <c r="AL77" s="88">
        <f>SUMIF(月間集計シート!$M$113:$M$132,$G77,月間集計シート!N$113:N$132)*AL$2</f>
        <v>0</v>
      </c>
      <c r="AM77" s="88">
        <f>SUMIF(月間集計シート!$M$113:$M$132,$G77,月間集計シート!O$113:O$132)*AM$2</f>
        <v>0</v>
      </c>
      <c r="AN77" s="88">
        <f>SUMIF(月間集計シート!$M$113:$M$132,$G77,月間集計シート!P$113:P$132)*AN$2</f>
        <v>0</v>
      </c>
      <c r="AO77" s="88">
        <f>SUMIF(月間集計シート!$M$113:$M$132,$G77,月間集計シート!Q$113:Q$132)*AO$2</f>
        <v>0</v>
      </c>
      <c r="AP77" s="88">
        <f>SUMIF(月間集計シート!$M$113:$M$132,$G77,月間集計シート!R$113:R$132)*AP$2</f>
        <v>0</v>
      </c>
      <c r="AQ77" s="88">
        <f>SUMIF(月間集計シート!$M$113:$M$132,$G77,月間集計シート!S$113:S$132)*AQ$2</f>
        <v>0</v>
      </c>
      <c r="AR77" s="88">
        <f>SUMIF(月間集計シート!$M$113:$M$132,$G77,月間集計シート!T$113:T$132)*AR$2</f>
        <v>0</v>
      </c>
      <c r="AS77" s="88">
        <f>SUMIF(月間集計シート!$M$134:$M$153,$G77,月間集計シート!N$134:N$153)*AS$2</f>
        <v>0</v>
      </c>
      <c r="AT77" s="88">
        <f>SUMIF(月間集計シート!$M$134:$M$153,$G77,月間集計シート!O$134:O$153)*AT$2</f>
        <v>0</v>
      </c>
      <c r="AU77" s="88">
        <f>SUMIF(月間集計シート!$M$134:$M$153,$G77,月間集計シート!P$134:P$153)*AU$2</f>
        <v>0</v>
      </c>
      <c r="AV77" s="88">
        <f>SUMIF(月間集計シート!$M$134:$M$153,$G77,月間集計シート!Q$134:Q$153)*AV$2</f>
        <v>0</v>
      </c>
      <c r="AW77" s="88">
        <f>SUMIF(月間集計シート!$M$134:$M$153,$G77,月間集計シート!R$134:R$153)*AW$2</f>
        <v>0</v>
      </c>
      <c r="AX77" s="88">
        <f>SUMIF(月間集計シート!$M$134:$M$153,$G77,月間集計シート!S$134:S$153)*AX$2</f>
        <v>0</v>
      </c>
      <c r="AY77" s="88">
        <f>SUMIF(月間集計シート!$M$134:$M$153,$G77,月間集計シート!T$134:T$153)*AY$2</f>
        <v>0</v>
      </c>
    </row>
    <row r="78" spans="1:51" ht="14.25" thickBot="1">
      <c r="A78">
        <v>1</v>
      </c>
      <c r="B78" s="120">
        <f t="shared" si="5"/>
        <v>999909</v>
      </c>
      <c r="C78" s="120" t="e">
        <f t="shared" si="6"/>
        <v>#N/A</v>
      </c>
      <c r="D78" s="137"/>
      <c r="E78" s="150" t="str">
        <f>工種!A70</f>
        <v>90104</v>
      </c>
      <c r="F78" s="119" t="str">
        <f>工種!B70</f>
        <v>管理業務：開発業務の引継ぎ</v>
      </c>
      <c r="G78" s="116" t="str">
        <f t="shared" si="7"/>
        <v>99990990104</v>
      </c>
      <c r="H78" s="88">
        <f t="shared" si="4"/>
        <v>0</v>
      </c>
      <c r="I78" s="132"/>
      <c r="J78" s="88">
        <f>SUMIF(月間集計シート!$M$29:$M$48,$G78,月間集計シート!N$29:N$48)*J$2</f>
        <v>0</v>
      </c>
      <c r="K78" s="88">
        <f>SUMIF(月間集計シート!$M$29:$M$48,$G78,月間集計シート!O$29:O$48)*K$2</f>
        <v>0</v>
      </c>
      <c r="L78" s="88">
        <f>SUMIF(月間集計シート!$M$29:$M$48,$G78,月間集計シート!P$29:P$48)*L$2</f>
        <v>0</v>
      </c>
      <c r="M78" s="88">
        <f>SUMIF(月間集計シート!$M$29:$M$48,$G78,月間集計シート!Q$29:Q$48)*M$2</f>
        <v>0</v>
      </c>
      <c r="N78" s="88">
        <f>SUMIF(月間集計シート!$M$29:$M$48,$G78,月間集計シート!R$29:R$48)*N$2</f>
        <v>0</v>
      </c>
      <c r="O78" s="88">
        <f>SUMIF(月間集計シート!$M$29:$M$48,$G78,月間集計シート!S$29:S$48)*O$2</f>
        <v>0</v>
      </c>
      <c r="P78" s="88">
        <f>SUMIF(月間集計シート!$M$29:$M$48,$G78,月間集計シート!T$29:T$48)*P$2</f>
        <v>0</v>
      </c>
      <c r="Q78" s="88">
        <f>SUMIF(月間集計シート!$M$50:$M$69,$G78,月間集計シート!N$50:N$69)*Q$2</f>
        <v>0</v>
      </c>
      <c r="R78" s="88">
        <f>SUMIF(月間集計シート!$M$50:$M$69,$G78,月間集計シート!O$50:O$69)*R$2</f>
        <v>0</v>
      </c>
      <c r="S78" s="88">
        <f>SUMIF(月間集計シート!$M$50:$M$69,$G78,月間集計シート!P$50:P$69)*S$2</f>
        <v>0</v>
      </c>
      <c r="T78" s="88">
        <f>SUMIF(月間集計シート!$M$50:$M$69,$G78,月間集計シート!Q$50:Q$69)*T$2</f>
        <v>0</v>
      </c>
      <c r="U78" s="88">
        <f>SUMIF(月間集計シート!$M$50:$M$69,$G78,月間集計シート!R$50:R$69)*U$2</f>
        <v>0</v>
      </c>
      <c r="V78" s="88">
        <f>SUMIF(月間集計シート!$M$50:$M$69,$G78,月間集計シート!S$50:S$69)*V$2</f>
        <v>0</v>
      </c>
      <c r="W78" s="88">
        <f>SUMIF(月間集計シート!$M$50:$M$69,$G78,月間集計シート!T$50:T$69)*W$2</f>
        <v>0</v>
      </c>
      <c r="X78" s="88">
        <f>SUMIF(月間集計シート!$M$71:$M$90,$G78,月間集計シート!N$71:N$90)*X$2</f>
        <v>0</v>
      </c>
      <c r="Y78" s="88">
        <f>SUMIF(月間集計シート!$M$71:$M$90,$G78,月間集計シート!O$71:O$90)*Y$2</f>
        <v>0</v>
      </c>
      <c r="Z78" s="88">
        <f>SUMIF(月間集計シート!$M$71:$M$90,$G78,月間集計シート!P$71:P$90)*Z$2</f>
        <v>0</v>
      </c>
      <c r="AA78" s="88">
        <f>SUMIF(月間集計シート!$M$71:$M$90,$G78,月間集計シート!Q$71:Q$90)*AA$2</f>
        <v>0</v>
      </c>
      <c r="AB78" s="88">
        <f>SUMIF(月間集計シート!$M$71:$M$90,$G78,月間集計シート!R$71:R$90)*AB$2</f>
        <v>0</v>
      </c>
      <c r="AC78" s="88">
        <f>SUMIF(月間集計シート!$M$71:$M$90,$G78,月間集計シート!S$71:S$90)*AC$2</f>
        <v>0</v>
      </c>
      <c r="AD78" s="88">
        <f>SUMIF(月間集計シート!$M$71:$M$90,$G78,月間集計シート!T$71:T$90)*AD$2</f>
        <v>0</v>
      </c>
      <c r="AE78" s="88">
        <f>SUMIF(月間集計シート!$M$92:$M$111,$G78,月間集計シート!N$92:N$111)*AE$2</f>
        <v>0</v>
      </c>
      <c r="AF78" s="88">
        <f>SUMIF(月間集計シート!$M$92:$M$111,$G78,月間集計シート!O$92:O$111)*AF$2</f>
        <v>0</v>
      </c>
      <c r="AG78" s="88">
        <f>SUMIF(月間集計シート!$M$92:$M$111,$G78,月間集計シート!P$92:P$111)*AG$2</f>
        <v>0</v>
      </c>
      <c r="AH78" s="88">
        <f>SUMIF(月間集計シート!$M$92:$M$111,$G78,月間集計シート!Q$92:Q$111)*AH$2</f>
        <v>0</v>
      </c>
      <c r="AI78" s="88">
        <f>SUMIF(月間集計シート!$M$92:$M$111,$G78,月間集計シート!R$92:R$111)*AI$2</f>
        <v>0</v>
      </c>
      <c r="AJ78" s="88">
        <f>SUMIF(月間集計シート!$M$92:$M$111,$G78,月間集計シート!S$92:S$111)*AJ$2</f>
        <v>0</v>
      </c>
      <c r="AK78" s="88">
        <f>SUMIF(月間集計シート!$M$92:$M$111,$G78,月間集計シート!T$92:T$111)*AK$2</f>
        <v>0</v>
      </c>
      <c r="AL78" s="88">
        <f>SUMIF(月間集計シート!$M$113:$M$132,$G78,月間集計シート!N$113:N$132)*AL$2</f>
        <v>0</v>
      </c>
      <c r="AM78" s="88">
        <f>SUMIF(月間集計シート!$M$113:$M$132,$G78,月間集計シート!O$113:O$132)*AM$2</f>
        <v>0</v>
      </c>
      <c r="AN78" s="88">
        <f>SUMIF(月間集計シート!$M$113:$M$132,$G78,月間集計シート!P$113:P$132)*AN$2</f>
        <v>0</v>
      </c>
      <c r="AO78" s="88">
        <f>SUMIF(月間集計シート!$M$113:$M$132,$G78,月間集計シート!Q$113:Q$132)*AO$2</f>
        <v>0</v>
      </c>
      <c r="AP78" s="88">
        <f>SUMIF(月間集計シート!$M$113:$M$132,$G78,月間集計シート!R$113:R$132)*AP$2</f>
        <v>0</v>
      </c>
      <c r="AQ78" s="88">
        <f>SUMIF(月間集計シート!$M$113:$M$132,$G78,月間集計シート!S$113:S$132)*AQ$2</f>
        <v>0</v>
      </c>
      <c r="AR78" s="88">
        <f>SUMIF(月間集計シート!$M$113:$M$132,$G78,月間集計シート!T$113:T$132)*AR$2</f>
        <v>0</v>
      </c>
      <c r="AS78" s="88">
        <f>SUMIF(月間集計シート!$M$134:$M$153,$G78,月間集計シート!N$134:N$153)*AS$2</f>
        <v>0</v>
      </c>
      <c r="AT78" s="88">
        <f>SUMIF(月間集計シート!$M$134:$M$153,$G78,月間集計シート!O$134:O$153)*AT$2</f>
        <v>0</v>
      </c>
      <c r="AU78" s="88">
        <f>SUMIF(月間集計シート!$M$134:$M$153,$G78,月間集計シート!P$134:P$153)*AU$2</f>
        <v>0</v>
      </c>
      <c r="AV78" s="88">
        <f>SUMIF(月間集計シート!$M$134:$M$153,$G78,月間集計シート!Q$134:Q$153)*AV$2</f>
        <v>0</v>
      </c>
      <c r="AW78" s="88">
        <f>SUMIF(月間集計シート!$M$134:$M$153,$G78,月間集計シート!R$134:R$153)*AW$2</f>
        <v>0</v>
      </c>
      <c r="AX78" s="88">
        <f>SUMIF(月間集計シート!$M$134:$M$153,$G78,月間集計シート!S$134:S$153)*AX$2</f>
        <v>0</v>
      </c>
      <c r="AY78" s="88">
        <f>SUMIF(月間集計シート!$M$134:$M$153,$G78,月間集計シート!T$134:T$153)*AY$2</f>
        <v>0</v>
      </c>
    </row>
    <row r="79" spans="1:51" ht="14.25" thickBot="1">
      <c r="A79">
        <v>1</v>
      </c>
      <c r="B79" s="120">
        <f t="shared" si="5"/>
        <v>999909</v>
      </c>
      <c r="C79" s="120" t="e">
        <f t="shared" si="6"/>
        <v>#N/A</v>
      </c>
      <c r="D79" s="137"/>
      <c r="E79" s="150" t="str">
        <f>工種!A71</f>
        <v>90105</v>
      </c>
      <c r="F79" s="119" t="str">
        <f>工種!B71</f>
        <v>管理業務：SRB管理</v>
      </c>
      <c r="G79" s="116" t="str">
        <f t="shared" si="7"/>
        <v>99990990105</v>
      </c>
      <c r="H79" s="88">
        <f t="shared" si="4"/>
        <v>0</v>
      </c>
      <c r="I79" s="132"/>
      <c r="J79" s="88">
        <f>SUMIF(月間集計シート!$M$29:$M$48,$G79,月間集計シート!N$29:N$48)*J$2</f>
        <v>0</v>
      </c>
      <c r="K79" s="88">
        <f>SUMIF(月間集計シート!$M$29:$M$48,$G79,月間集計シート!O$29:O$48)*K$2</f>
        <v>0</v>
      </c>
      <c r="L79" s="88">
        <f>SUMIF(月間集計シート!$M$29:$M$48,$G79,月間集計シート!P$29:P$48)*L$2</f>
        <v>0</v>
      </c>
      <c r="M79" s="88">
        <f>SUMIF(月間集計シート!$M$29:$M$48,$G79,月間集計シート!Q$29:Q$48)*M$2</f>
        <v>0</v>
      </c>
      <c r="N79" s="88">
        <f>SUMIF(月間集計シート!$M$29:$M$48,$G79,月間集計シート!R$29:R$48)*N$2</f>
        <v>0</v>
      </c>
      <c r="O79" s="88">
        <f>SUMIF(月間集計シート!$M$29:$M$48,$G79,月間集計シート!S$29:S$48)*O$2</f>
        <v>0</v>
      </c>
      <c r="P79" s="88">
        <f>SUMIF(月間集計シート!$M$29:$M$48,$G79,月間集計シート!T$29:T$48)*P$2</f>
        <v>0</v>
      </c>
      <c r="Q79" s="88">
        <f>SUMIF(月間集計シート!$M$50:$M$69,$G79,月間集計シート!N$50:N$69)*Q$2</f>
        <v>0</v>
      </c>
      <c r="R79" s="88">
        <f>SUMIF(月間集計シート!$M$50:$M$69,$G79,月間集計シート!O$50:O$69)*R$2</f>
        <v>0</v>
      </c>
      <c r="S79" s="88">
        <f>SUMIF(月間集計シート!$M$50:$M$69,$G79,月間集計シート!P$50:P$69)*S$2</f>
        <v>0</v>
      </c>
      <c r="T79" s="88">
        <f>SUMIF(月間集計シート!$M$50:$M$69,$G79,月間集計シート!Q$50:Q$69)*T$2</f>
        <v>0</v>
      </c>
      <c r="U79" s="88">
        <f>SUMIF(月間集計シート!$M$50:$M$69,$G79,月間集計シート!R$50:R$69)*U$2</f>
        <v>0</v>
      </c>
      <c r="V79" s="88">
        <f>SUMIF(月間集計シート!$M$50:$M$69,$G79,月間集計シート!S$50:S$69)*V$2</f>
        <v>0</v>
      </c>
      <c r="W79" s="88">
        <f>SUMIF(月間集計シート!$M$50:$M$69,$G79,月間集計シート!T$50:T$69)*W$2</f>
        <v>0</v>
      </c>
      <c r="X79" s="88">
        <f>SUMIF(月間集計シート!$M$71:$M$90,$G79,月間集計シート!N$71:N$90)*X$2</f>
        <v>0</v>
      </c>
      <c r="Y79" s="88">
        <f>SUMIF(月間集計シート!$M$71:$M$90,$G79,月間集計シート!O$71:O$90)*Y$2</f>
        <v>0</v>
      </c>
      <c r="Z79" s="88">
        <f>SUMIF(月間集計シート!$M$71:$M$90,$G79,月間集計シート!P$71:P$90)*Z$2</f>
        <v>0</v>
      </c>
      <c r="AA79" s="88">
        <f>SUMIF(月間集計シート!$M$71:$M$90,$G79,月間集計シート!Q$71:Q$90)*AA$2</f>
        <v>0</v>
      </c>
      <c r="AB79" s="88">
        <f>SUMIF(月間集計シート!$M$71:$M$90,$G79,月間集計シート!R$71:R$90)*AB$2</f>
        <v>0</v>
      </c>
      <c r="AC79" s="88">
        <f>SUMIF(月間集計シート!$M$71:$M$90,$G79,月間集計シート!S$71:S$90)*AC$2</f>
        <v>0</v>
      </c>
      <c r="AD79" s="88">
        <f>SUMIF(月間集計シート!$M$71:$M$90,$G79,月間集計シート!T$71:T$90)*AD$2</f>
        <v>0</v>
      </c>
      <c r="AE79" s="88">
        <f>SUMIF(月間集計シート!$M$92:$M$111,$G79,月間集計シート!N$92:N$111)*AE$2</f>
        <v>0</v>
      </c>
      <c r="AF79" s="88">
        <f>SUMIF(月間集計シート!$M$92:$M$111,$G79,月間集計シート!O$92:O$111)*AF$2</f>
        <v>0</v>
      </c>
      <c r="AG79" s="88">
        <f>SUMIF(月間集計シート!$M$92:$M$111,$G79,月間集計シート!P$92:P$111)*AG$2</f>
        <v>0</v>
      </c>
      <c r="AH79" s="88">
        <f>SUMIF(月間集計シート!$M$92:$M$111,$G79,月間集計シート!Q$92:Q$111)*AH$2</f>
        <v>0</v>
      </c>
      <c r="AI79" s="88">
        <f>SUMIF(月間集計シート!$M$92:$M$111,$G79,月間集計シート!R$92:R$111)*AI$2</f>
        <v>0</v>
      </c>
      <c r="AJ79" s="88">
        <f>SUMIF(月間集計シート!$M$92:$M$111,$G79,月間集計シート!S$92:S$111)*AJ$2</f>
        <v>0</v>
      </c>
      <c r="AK79" s="88">
        <f>SUMIF(月間集計シート!$M$92:$M$111,$G79,月間集計シート!T$92:T$111)*AK$2</f>
        <v>0</v>
      </c>
      <c r="AL79" s="88">
        <f>SUMIF(月間集計シート!$M$113:$M$132,$G79,月間集計シート!N$113:N$132)*AL$2</f>
        <v>0</v>
      </c>
      <c r="AM79" s="88">
        <f>SUMIF(月間集計シート!$M$113:$M$132,$G79,月間集計シート!O$113:O$132)*AM$2</f>
        <v>0</v>
      </c>
      <c r="AN79" s="88">
        <f>SUMIF(月間集計シート!$M$113:$M$132,$G79,月間集計シート!P$113:P$132)*AN$2</f>
        <v>0</v>
      </c>
      <c r="AO79" s="88">
        <f>SUMIF(月間集計シート!$M$113:$M$132,$G79,月間集計シート!Q$113:Q$132)*AO$2</f>
        <v>0</v>
      </c>
      <c r="AP79" s="88">
        <f>SUMIF(月間集計シート!$M$113:$M$132,$G79,月間集計シート!R$113:R$132)*AP$2</f>
        <v>0</v>
      </c>
      <c r="AQ79" s="88">
        <f>SUMIF(月間集計シート!$M$113:$M$132,$G79,月間集計シート!S$113:S$132)*AQ$2</f>
        <v>0</v>
      </c>
      <c r="AR79" s="88">
        <f>SUMIF(月間集計シート!$M$113:$M$132,$G79,月間集計シート!T$113:T$132)*AR$2</f>
        <v>0</v>
      </c>
      <c r="AS79" s="88">
        <f>SUMIF(月間集計シート!$M$134:$M$153,$G79,月間集計シート!N$134:N$153)*AS$2</f>
        <v>0</v>
      </c>
      <c r="AT79" s="88">
        <f>SUMIF(月間集計シート!$M$134:$M$153,$G79,月間集計シート!O$134:O$153)*AT$2</f>
        <v>0</v>
      </c>
      <c r="AU79" s="88">
        <f>SUMIF(月間集計シート!$M$134:$M$153,$G79,月間集計シート!P$134:P$153)*AU$2</f>
        <v>0</v>
      </c>
      <c r="AV79" s="88">
        <f>SUMIF(月間集計シート!$M$134:$M$153,$G79,月間集計シート!Q$134:Q$153)*AV$2</f>
        <v>0</v>
      </c>
      <c r="AW79" s="88">
        <f>SUMIF(月間集計シート!$M$134:$M$153,$G79,月間集計シート!R$134:R$153)*AW$2</f>
        <v>0</v>
      </c>
      <c r="AX79" s="88">
        <f>SUMIF(月間集計シート!$M$134:$M$153,$G79,月間集計シート!S$134:S$153)*AX$2</f>
        <v>0</v>
      </c>
      <c r="AY79" s="88">
        <f>SUMIF(月間集計シート!$M$134:$M$153,$G79,月間集計シート!T$134:T$153)*AY$2</f>
        <v>0</v>
      </c>
    </row>
    <row r="80" spans="1:51" ht="14.25" thickBot="1">
      <c r="A80">
        <v>1</v>
      </c>
      <c r="B80" s="120">
        <f t="shared" si="5"/>
        <v>999909</v>
      </c>
      <c r="C80" s="120" t="e">
        <f t="shared" si="6"/>
        <v>#N/A</v>
      </c>
      <c r="D80" s="137"/>
      <c r="E80" s="150" t="str">
        <f>工種!A72</f>
        <v>90107</v>
      </c>
      <c r="F80" s="119" t="str">
        <f>工種!B72</f>
        <v>管理業務：開発事務作業</v>
      </c>
      <c r="G80" s="116" t="str">
        <f t="shared" si="7"/>
        <v>99990990107</v>
      </c>
      <c r="H80" s="88">
        <f t="shared" si="4"/>
        <v>0</v>
      </c>
      <c r="I80" s="132"/>
      <c r="J80" s="88">
        <f>SUMIF(月間集計シート!$M$29:$M$48,$G80,月間集計シート!N$29:N$48)*J$2</f>
        <v>0</v>
      </c>
      <c r="K80" s="88">
        <f>SUMIF(月間集計シート!$M$29:$M$48,$G80,月間集計シート!O$29:O$48)*K$2</f>
        <v>0</v>
      </c>
      <c r="L80" s="88">
        <f>SUMIF(月間集計シート!$M$29:$M$48,$G80,月間集計シート!P$29:P$48)*L$2</f>
        <v>0</v>
      </c>
      <c r="M80" s="88">
        <f>SUMIF(月間集計シート!$M$29:$M$48,$G80,月間集計シート!Q$29:Q$48)*M$2</f>
        <v>0</v>
      </c>
      <c r="N80" s="88">
        <f>SUMIF(月間集計シート!$M$29:$M$48,$G80,月間集計シート!R$29:R$48)*N$2</f>
        <v>0</v>
      </c>
      <c r="O80" s="88">
        <f>SUMIF(月間集計シート!$M$29:$M$48,$G80,月間集計シート!S$29:S$48)*O$2</f>
        <v>0</v>
      </c>
      <c r="P80" s="88">
        <f>SUMIF(月間集計シート!$M$29:$M$48,$G80,月間集計シート!T$29:T$48)*P$2</f>
        <v>0</v>
      </c>
      <c r="Q80" s="88">
        <f>SUMIF(月間集計シート!$M$50:$M$69,$G80,月間集計シート!N$50:N$69)*Q$2</f>
        <v>0</v>
      </c>
      <c r="R80" s="88">
        <f>SUMIF(月間集計シート!$M$50:$M$69,$G80,月間集計シート!O$50:O$69)*R$2</f>
        <v>0</v>
      </c>
      <c r="S80" s="88">
        <f>SUMIF(月間集計シート!$M$50:$M$69,$G80,月間集計シート!P$50:P$69)*S$2</f>
        <v>0</v>
      </c>
      <c r="T80" s="88">
        <f>SUMIF(月間集計シート!$M$50:$M$69,$G80,月間集計シート!Q$50:Q$69)*T$2</f>
        <v>0</v>
      </c>
      <c r="U80" s="88">
        <f>SUMIF(月間集計シート!$M$50:$M$69,$G80,月間集計シート!R$50:R$69)*U$2</f>
        <v>0</v>
      </c>
      <c r="V80" s="88">
        <f>SUMIF(月間集計シート!$M$50:$M$69,$G80,月間集計シート!S$50:S$69)*V$2</f>
        <v>0</v>
      </c>
      <c r="W80" s="88">
        <f>SUMIF(月間集計シート!$M$50:$M$69,$G80,月間集計シート!T$50:T$69)*W$2</f>
        <v>0</v>
      </c>
      <c r="X80" s="88">
        <f>SUMIF(月間集計シート!$M$71:$M$90,$G80,月間集計シート!N$71:N$90)*X$2</f>
        <v>0</v>
      </c>
      <c r="Y80" s="88">
        <f>SUMIF(月間集計シート!$M$71:$M$90,$G80,月間集計シート!O$71:O$90)*Y$2</f>
        <v>0</v>
      </c>
      <c r="Z80" s="88">
        <f>SUMIF(月間集計シート!$M$71:$M$90,$G80,月間集計シート!P$71:P$90)*Z$2</f>
        <v>0</v>
      </c>
      <c r="AA80" s="88">
        <f>SUMIF(月間集計シート!$M$71:$M$90,$G80,月間集計シート!Q$71:Q$90)*AA$2</f>
        <v>0</v>
      </c>
      <c r="AB80" s="88">
        <f>SUMIF(月間集計シート!$M$71:$M$90,$G80,月間集計シート!R$71:R$90)*AB$2</f>
        <v>0</v>
      </c>
      <c r="AC80" s="88">
        <f>SUMIF(月間集計シート!$M$71:$M$90,$G80,月間集計シート!S$71:S$90)*AC$2</f>
        <v>0</v>
      </c>
      <c r="AD80" s="88">
        <f>SUMIF(月間集計シート!$M$71:$M$90,$G80,月間集計シート!T$71:T$90)*AD$2</f>
        <v>0</v>
      </c>
      <c r="AE80" s="88">
        <f>SUMIF(月間集計シート!$M$92:$M$111,$G80,月間集計シート!N$92:N$111)*AE$2</f>
        <v>0</v>
      </c>
      <c r="AF80" s="88">
        <f>SUMIF(月間集計シート!$M$92:$M$111,$G80,月間集計シート!O$92:O$111)*AF$2</f>
        <v>0</v>
      </c>
      <c r="AG80" s="88">
        <f>SUMIF(月間集計シート!$M$92:$M$111,$G80,月間集計シート!P$92:P$111)*AG$2</f>
        <v>0</v>
      </c>
      <c r="AH80" s="88">
        <f>SUMIF(月間集計シート!$M$92:$M$111,$G80,月間集計シート!Q$92:Q$111)*AH$2</f>
        <v>0</v>
      </c>
      <c r="AI80" s="88">
        <f>SUMIF(月間集計シート!$M$92:$M$111,$G80,月間集計シート!R$92:R$111)*AI$2</f>
        <v>0</v>
      </c>
      <c r="AJ80" s="88">
        <f>SUMIF(月間集計シート!$M$92:$M$111,$G80,月間集計シート!S$92:S$111)*AJ$2</f>
        <v>0</v>
      </c>
      <c r="AK80" s="88">
        <f>SUMIF(月間集計シート!$M$92:$M$111,$G80,月間集計シート!T$92:T$111)*AK$2</f>
        <v>0</v>
      </c>
      <c r="AL80" s="88">
        <f>SUMIF(月間集計シート!$M$113:$M$132,$G80,月間集計シート!N$113:N$132)*AL$2</f>
        <v>0</v>
      </c>
      <c r="AM80" s="88">
        <f>SUMIF(月間集計シート!$M$113:$M$132,$G80,月間集計シート!O$113:O$132)*AM$2</f>
        <v>0</v>
      </c>
      <c r="AN80" s="88">
        <f>SUMIF(月間集計シート!$M$113:$M$132,$G80,月間集計シート!P$113:P$132)*AN$2</f>
        <v>0</v>
      </c>
      <c r="AO80" s="88">
        <f>SUMIF(月間集計シート!$M$113:$M$132,$G80,月間集計シート!Q$113:Q$132)*AO$2</f>
        <v>0</v>
      </c>
      <c r="AP80" s="88">
        <f>SUMIF(月間集計シート!$M$113:$M$132,$G80,月間集計シート!R$113:R$132)*AP$2</f>
        <v>0</v>
      </c>
      <c r="AQ80" s="88">
        <f>SUMIF(月間集計シート!$M$113:$M$132,$G80,月間集計シート!S$113:S$132)*AQ$2</f>
        <v>0</v>
      </c>
      <c r="AR80" s="88">
        <f>SUMIF(月間集計シート!$M$113:$M$132,$G80,月間集計シート!T$113:T$132)*AR$2</f>
        <v>0</v>
      </c>
      <c r="AS80" s="88">
        <f>SUMIF(月間集計シート!$M$134:$M$153,$G80,月間集計シート!N$134:N$153)*AS$2</f>
        <v>0</v>
      </c>
      <c r="AT80" s="88">
        <f>SUMIF(月間集計シート!$M$134:$M$153,$G80,月間集計シート!O$134:O$153)*AT$2</f>
        <v>0</v>
      </c>
      <c r="AU80" s="88">
        <f>SUMIF(月間集計シート!$M$134:$M$153,$G80,月間集計シート!P$134:P$153)*AU$2</f>
        <v>0</v>
      </c>
      <c r="AV80" s="88">
        <f>SUMIF(月間集計シート!$M$134:$M$153,$G80,月間集計シート!Q$134:Q$153)*AV$2</f>
        <v>0</v>
      </c>
      <c r="AW80" s="88">
        <f>SUMIF(月間集計シート!$M$134:$M$153,$G80,月間集計シート!R$134:R$153)*AW$2</f>
        <v>0</v>
      </c>
      <c r="AX80" s="88">
        <f>SUMIF(月間集計シート!$M$134:$M$153,$G80,月間集計シート!S$134:S$153)*AX$2</f>
        <v>0</v>
      </c>
      <c r="AY80" s="88">
        <f>SUMIF(月間集計シート!$M$134:$M$153,$G80,月間集計シート!T$134:T$153)*AY$2</f>
        <v>0</v>
      </c>
    </row>
    <row r="81" spans="1:51" ht="14.25" thickBot="1">
      <c r="A81">
        <v>1</v>
      </c>
      <c r="B81" s="120">
        <f t="shared" si="5"/>
        <v>999909</v>
      </c>
      <c r="C81" s="120" t="e">
        <f t="shared" si="6"/>
        <v>#N/A</v>
      </c>
      <c r="D81" s="137"/>
      <c r="E81" s="150" t="str">
        <f>工種!A73</f>
        <v>90108</v>
      </c>
      <c r="F81" s="119" t="str">
        <f>工種!B73</f>
        <v>管理業務：外部不具合分析</v>
      </c>
      <c r="G81" s="116" t="str">
        <f t="shared" ref="G81:G90" si="12">B81&amp;E81</f>
        <v>99990990108</v>
      </c>
      <c r="H81" s="88">
        <f t="shared" ref="H81:H82" si="13">SUM(J81:AY81)</f>
        <v>0</v>
      </c>
      <c r="I81" s="132"/>
      <c r="J81" s="88">
        <f>SUMIF(月間集計シート!$M$29:$M$48,$G81,月間集計シート!N$29:N$48)*J$2</f>
        <v>0</v>
      </c>
      <c r="K81" s="88">
        <f>SUMIF(月間集計シート!$M$29:$M$48,$G81,月間集計シート!O$29:O$48)*K$2</f>
        <v>0</v>
      </c>
      <c r="L81" s="88">
        <f>SUMIF(月間集計シート!$M$29:$M$48,$G81,月間集計シート!P$29:P$48)*L$2</f>
        <v>0</v>
      </c>
      <c r="M81" s="88">
        <f>SUMIF(月間集計シート!$M$29:$M$48,$G81,月間集計シート!Q$29:Q$48)*M$2</f>
        <v>0</v>
      </c>
      <c r="N81" s="88">
        <f>SUMIF(月間集計シート!$M$29:$M$48,$G81,月間集計シート!R$29:R$48)*N$2</f>
        <v>0</v>
      </c>
      <c r="O81" s="88">
        <f>SUMIF(月間集計シート!$M$29:$M$48,$G81,月間集計シート!S$29:S$48)*O$2</f>
        <v>0</v>
      </c>
      <c r="P81" s="88">
        <f>SUMIF(月間集計シート!$M$29:$M$48,$G81,月間集計シート!T$29:T$48)*P$2</f>
        <v>0</v>
      </c>
      <c r="Q81" s="88">
        <f>SUMIF(月間集計シート!$M$50:$M$69,$G81,月間集計シート!N$50:N$69)*Q$2</f>
        <v>0</v>
      </c>
      <c r="R81" s="88">
        <f>SUMIF(月間集計シート!$M$50:$M$69,$G81,月間集計シート!O$50:O$69)*R$2</f>
        <v>0</v>
      </c>
      <c r="S81" s="88">
        <f>SUMIF(月間集計シート!$M$50:$M$69,$G81,月間集計シート!P$50:P$69)*S$2</f>
        <v>0</v>
      </c>
      <c r="T81" s="88">
        <f>SUMIF(月間集計シート!$M$50:$M$69,$G81,月間集計シート!Q$50:Q$69)*T$2</f>
        <v>0</v>
      </c>
      <c r="U81" s="88">
        <f>SUMIF(月間集計シート!$M$50:$M$69,$G81,月間集計シート!R$50:R$69)*U$2</f>
        <v>0</v>
      </c>
      <c r="V81" s="88">
        <f>SUMIF(月間集計シート!$M$50:$M$69,$G81,月間集計シート!S$50:S$69)*V$2</f>
        <v>0</v>
      </c>
      <c r="W81" s="88">
        <f>SUMIF(月間集計シート!$M$50:$M$69,$G81,月間集計シート!T$50:T$69)*W$2</f>
        <v>0</v>
      </c>
      <c r="X81" s="88">
        <f>SUMIF(月間集計シート!$M$71:$M$90,$G81,月間集計シート!N$71:N$90)*X$2</f>
        <v>0</v>
      </c>
      <c r="Y81" s="88">
        <f>SUMIF(月間集計シート!$M$71:$M$90,$G81,月間集計シート!O$71:O$90)*Y$2</f>
        <v>0</v>
      </c>
      <c r="Z81" s="88">
        <f>SUMIF(月間集計シート!$M$71:$M$90,$G81,月間集計シート!P$71:P$90)*Z$2</f>
        <v>0</v>
      </c>
      <c r="AA81" s="88">
        <f>SUMIF(月間集計シート!$M$71:$M$90,$G81,月間集計シート!Q$71:Q$90)*AA$2</f>
        <v>0</v>
      </c>
      <c r="AB81" s="88">
        <f>SUMIF(月間集計シート!$M$71:$M$90,$G81,月間集計シート!R$71:R$90)*AB$2</f>
        <v>0</v>
      </c>
      <c r="AC81" s="88">
        <f>SUMIF(月間集計シート!$M$71:$M$90,$G81,月間集計シート!S$71:S$90)*AC$2</f>
        <v>0</v>
      </c>
      <c r="AD81" s="88">
        <f>SUMIF(月間集計シート!$M$71:$M$90,$G81,月間集計シート!T$71:T$90)*AD$2</f>
        <v>0</v>
      </c>
      <c r="AE81" s="88">
        <f>SUMIF(月間集計シート!$M$92:$M$111,$G81,月間集計シート!N$92:N$111)*AE$2</f>
        <v>0</v>
      </c>
      <c r="AF81" s="88">
        <f>SUMIF(月間集計シート!$M$92:$M$111,$G81,月間集計シート!O$92:O$111)*AF$2</f>
        <v>0</v>
      </c>
      <c r="AG81" s="88">
        <f>SUMIF(月間集計シート!$M$92:$M$111,$G81,月間集計シート!P$92:P$111)*AG$2</f>
        <v>0</v>
      </c>
      <c r="AH81" s="88">
        <f>SUMIF(月間集計シート!$M$92:$M$111,$G81,月間集計シート!Q$92:Q$111)*AH$2</f>
        <v>0</v>
      </c>
      <c r="AI81" s="88">
        <f>SUMIF(月間集計シート!$M$92:$M$111,$G81,月間集計シート!R$92:R$111)*AI$2</f>
        <v>0</v>
      </c>
      <c r="AJ81" s="88">
        <f>SUMIF(月間集計シート!$M$92:$M$111,$G81,月間集計シート!S$92:S$111)*AJ$2</f>
        <v>0</v>
      </c>
      <c r="AK81" s="88">
        <f>SUMIF(月間集計シート!$M$92:$M$111,$G81,月間集計シート!T$92:T$111)*AK$2</f>
        <v>0</v>
      </c>
      <c r="AL81" s="88">
        <f>SUMIF(月間集計シート!$M$113:$M$132,$G81,月間集計シート!N$113:N$132)*AL$2</f>
        <v>0</v>
      </c>
      <c r="AM81" s="88">
        <f>SUMIF(月間集計シート!$M$113:$M$132,$G81,月間集計シート!O$113:O$132)*AM$2</f>
        <v>0</v>
      </c>
      <c r="AN81" s="88">
        <f>SUMIF(月間集計シート!$M$113:$M$132,$G81,月間集計シート!P$113:P$132)*AN$2</f>
        <v>0</v>
      </c>
      <c r="AO81" s="88">
        <f>SUMIF(月間集計シート!$M$113:$M$132,$G81,月間集計シート!Q$113:Q$132)*AO$2</f>
        <v>0</v>
      </c>
      <c r="AP81" s="88">
        <f>SUMIF(月間集計シート!$M$113:$M$132,$G81,月間集計シート!R$113:R$132)*AP$2</f>
        <v>0</v>
      </c>
      <c r="AQ81" s="88">
        <f>SUMIF(月間集計シート!$M$113:$M$132,$G81,月間集計シート!S$113:S$132)*AQ$2</f>
        <v>0</v>
      </c>
      <c r="AR81" s="88">
        <f>SUMIF(月間集計シート!$M$113:$M$132,$G81,月間集計シート!T$113:T$132)*AR$2</f>
        <v>0</v>
      </c>
      <c r="AS81" s="88">
        <f>SUMIF(月間集計シート!$M$134:$M$153,$G81,月間集計シート!N$134:N$153)*AS$2</f>
        <v>0</v>
      </c>
      <c r="AT81" s="88">
        <f>SUMIF(月間集計シート!$M$134:$M$153,$G81,月間集計シート!O$134:O$153)*AT$2</f>
        <v>0</v>
      </c>
      <c r="AU81" s="88">
        <f>SUMIF(月間集計シート!$M$134:$M$153,$G81,月間集計シート!P$134:P$153)*AU$2</f>
        <v>0</v>
      </c>
      <c r="AV81" s="88">
        <f>SUMIF(月間集計シート!$M$134:$M$153,$G81,月間集計シート!Q$134:Q$153)*AV$2</f>
        <v>0</v>
      </c>
      <c r="AW81" s="88">
        <f>SUMIF(月間集計シート!$M$134:$M$153,$G81,月間集計シート!R$134:R$153)*AW$2</f>
        <v>0</v>
      </c>
      <c r="AX81" s="88">
        <f>SUMIF(月間集計シート!$M$134:$M$153,$G81,月間集計シート!S$134:S$153)*AX$2</f>
        <v>0</v>
      </c>
      <c r="AY81" s="88">
        <f>SUMIF(月間集計シート!$M$134:$M$153,$G81,月間集計シート!T$134:T$153)*AY$2</f>
        <v>0</v>
      </c>
    </row>
    <row r="82" spans="1:51" ht="14.25" thickBot="1">
      <c r="A82">
        <v>1</v>
      </c>
      <c r="B82" s="120">
        <f t="shared" si="5"/>
        <v>999909</v>
      </c>
      <c r="C82" s="120" t="e">
        <f t="shared" si="6"/>
        <v>#N/A</v>
      </c>
      <c r="D82" s="137"/>
      <c r="E82" s="150" t="str">
        <f>工種!A74</f>
        <v>90110</v>
      </c>
      <c r="F82" s="119" t="str">
        <f>工種!B74</f>
        <v>管理業務：打合せ</v>
      </c>
      <c r="G82" s="116" t="str">
        <f t="shared" si="12"/>
        <v>99990990110</v>
      </c>
      <c r="H82" s="88">
        <f t="shared" si="13"/>
        <v>0</v>
      </c>
      <c r="I82" s="132"/>
      <c r="J82" s="88">
        <f>SUMIF(月間集計シート!$M$29:$M$48,$G82,月間集計シート!N$29:N$48)*J$2</f>
        <v>0</v>
      </c>
      <c r="K82" s="88">
        <f>SUMIF(月間集計シート!$M$29:$M$48,$G82,月間集計シート!O$29:O$48)*K$2</f>
        <v>0</v>
      </c>
      <c r="L82" s="88">
        <f>SUMIF(月間集計シート!$M$29:$M$48,$G82,月間集計シート!P$29:P$48)*L$2</f>
        <v>0</v>
      </c>
      <c r="M82" s="88">
        <f>SUMIF(月間集計シート!$M$29:$M$48,$G82,月間集計シート!Q$29:Q$48)*M$2</f>
        <v>0</v>
      </c>
      <c r="N82" s="88">
        <f>SUMIF(月間集計シート!$M$29:$M$48,$G82,月間集計シート!R$29:R$48)*N$2</f>
        <v>0</v>
      </c>
      <c r="O82" s="88">
        <f>SUMIF(月間集計シート!$M$29:$M$48,$G82,月間集計シート!S$29:S$48)*O$2</f>
        <v>0</v>
      </c>
      <c r="P82" s="88">
        <f>SUMIF(月間集計シート!$M$29:$M$48,$G82,月間集計シート!T$29:T$48)*P$2</f>
        <v>0</v>
      </c>
      <c r="Q82" s="88">
        <f>SUMIF(月間集計シート!$M$50:$M$69,$G82,月間集計シート!N$50:N$69)*Q$2</f>
        <v>0</v>
      </c>
      <c r="R82" s="88">
        <f>SUMIF(月間集計シート!$M$50:$M$69,$G82,月間集計シート!O$50:O$69)*R$2</f>
        <v>0</v>
      </c>
      <c r="S82" s="88">
        <f>SUMIF(月間集計シート!$M$50:$M$69,$G82,月間集計シート!P$50:P$69)*S$2</f>
        <v>0</v>
      </c>
      <c r="T82" s="88">
        <f>SUMIF(月間集計シート!$M$50:$M$69,$G82,月間集計シート!Q$50:Q$69)*T$2</f>
        <v>0</v>
      </c>
      <c r="U82" s="88">
        <f>SUMIF(月間集計シート!$M$50:$M$69,$G82,月間集計シート!R$50:R$69)*U$2</f>
        <v>0</v>
      </c>
      <c r="V82" s="88">
        <f>SUMIF(月間集計シート!$M$50:$M$69,$G82,月間集計シート!S$50:S$69)*V$2</f>
        <v>0</v>
      </c>
      <c r="W82" s="88">
        <f>SUMIF(月間集計シート!$M$50:$M$69,$G82,月間集計シート!T$50:T$69)*W$2</f>
        <v>0</v>
      </c>
      <c r="X82" s="88">
        <f>SUMIF(月間集計シート!$M$71:$M$90,$G82,月間集計シート!N$71:N$90)*X$2</f>
        <v>0</v>
      </c>
      <c r="Y82" s="88">
        <f>SUMIF(月間集計シート!$M$71:$M$90,$G82,月間集計シート!O$71:O$90)*Y$2</f>
        <v>0</v>
      </c>
      <c r="Z82" s="88">
        <f>SUMIF(月間集計シート!$M$71:$M$90,$G82,月間集計シート!P$71:P$90)*Z$2</f>
        <v>0</v>
      </c>
      <c r="AA82" s="88">
        <f>SUMIF(月間集計シート!$M$71:$M$90,$G82,月間集計シート!Q$71:Q$90)*AA$2</f>
        <v>0</v>
      </c>
      <c r="AB82" s="88">
        <f>SUMIF(月間集計シート!$M$71:$M$90,$G82,月間集計シート!R$71:R$90)*AB$2</f>
        <v>0</v>
      </c>
      <c r="AC82" s="88">
        <f>SUMIF(月間集計シート!$M$71:$M$90,$G82,月間集計シート!S$71:S$90)*AC$2</f>
        <v>0</v>
      </c>
      <c r="AD82" s="88">
        <f>SUMIF(月間集計シート!$M$71:$M$90,$G82,月間集計シート!T$71:T$90)*AD$2</f>
        <v>0</v>
      </c>
      <c r="AE82" s="88">
        <f>SUMIF(月間集計シート!$M$92:$M$111,$G82,月間集計シート!N$92:N$111)*AE$2</f>
        <v>0</v>
      </c>
      <c r="AF82" s="88">
        <f>SUMIF(月間集計シート!$M$92:$M$111,$G82,月間集計シート!O$92:O$111)*AF$2</f>
        <v>0</v>
      </c>
      <c r="AG82" s="88">
        <f>SUMIF(月間集計シート!$M$92:$M$111,$G82,月間集計シート!P$92:P$111)*AG$2</f>
        <v>0</v>
      </c>
      <c r="AH82" s="88">
        <f>SUMIF(月間集計シート!$M$92:$M$111,$G82,月間集計シート!Q$92:Q$111)*AH$2</f>
        <v>0</v>
      </c>
      <c r="AI82" s="88">
        <f>SUMIF(月間集計シート!$M$92:$M$111,$G82,月間集計シート!R$92:R$111)*AI$2</f>
        <v>0</v>
      </c>
      <c r="AJ82" s="88">
        <f>SUMIF(月間集計シート!$M$92:$M$111,$G82,月間集計シート!S$92:S$111)*AJ$2</f>
        <v>0</v>
      </c>
      <c r="AK82" s="88">
        <f>SUMIF(月間集計シート!$M$92:$M$111,$G82,月間集計シート!T$92:T$111)*AK$2</f>
        <v>0</v>
      </c>
      <c r="AL82" s="88">
        <f>SUMIF(月間集計シート!$M$113:$M$132,$G82,月間集計シート!N$113:N$132)*AL$2</f>
        <v>0</v>
      </c>
      <c r="AM82" s="88">
        <f>SUMIF(月間集計シート!$M$113:$M$132,$G82,月間集計シート!O$113:O$132)*AM$2</f>
        <v>0</v>
      </c>
      <c r="AN82" s="88">
        <f>SUMIF(月間集計シート!$M$113:$M$132,$G82,月間集計シート!P$113:P$132)*AN$2</f>
        <v>0</v>
      </c>
      <c r="AO82" s="88">
        <f>SUMIF(月間集計シート!$M$113:$M$132,$G82,月間集計シート!Q$113:Q$132)*AO$2</f>
        <v>0</v>
      </c>
      <c r="AP82" s="88">
        <f>SUMIF(月間集計シート!$M$113:$M$132,$G82,月間集計シート!R$113:R$132)*AP$2</f>
        <v>0</v>
      </c>
      <c r="AQ82" s="88">
        <f>SUMIF(月間集計シート!$M$113:$M$132,$G82,月間集計シート!S$113:S$132)*AQ$2</f>
        <v>0</v>
      </c>
      <c r="AR82" s="88">
        <f>SUMIF(月間集計シート!$M$113:$M$132,$G82,月間集計シート!T$113:T$132)*AR$2</f>
        <v>0</v>
      </c>
      <c r="AS82" s="88">
        <f>SUMIF(月間集計シート!$M$134:$M$153,$G82,月間集計シート!N$134:N$153)*AS$2</f>
        <v>0</v>
      </c>
      <c r="AT82" s="88">
        <f>SUMIF(月間集計シート!$M$134:$M$153,$G82,月間集計シート!O$134:O$153)*AT$2</f>
        <v>0</v>
      </c>
      <c r="AU82" s="88">
        <f>SUMIF(月間集計シート!$M$134:$M$153,$G82,月間集計シート!P$134:P$153)*AU$2</f>
        <v>0</v>
      </c>
      <c r="AV82" s="88">
        <f>SUMIF(月間集計シート!$M$134:$M$153,$G82,月間集計シート!Q$134:Q$153)*AV$2</f>
        <v>0</v>
      </c>
      <c r="AW82" s="88">
        <f>SUMIF(月間集計シート!$M$134:$M$153,$G82,月間集計シート!R$134:R$153)*AW$2</f>
        <v>0</v>
      </c>
      <c r="AX82" s="88">
        <f>SUMIF(月間集計シート!$M$134:$M$153,$G82,月間集計シート!S$134:S$153)*AX$2</f>
        <v>0</v>
      </c>
      <c r="AY82" s="88">
        <f>SUMIF(月間集計シート!$M$134:$M$153,$G82,月間集計シート!T$134:T$153)*AY$2</f>
        <v>0</v>
      </c>
    </row>
    <row r="83" spans="1:51" ht="14.25" thickBot="1">
      <c r="A83">
        <v>1</v>
      </c>
      <c r="B83" s="120">
        <f t="shared" si="5"/>
        <v>999909</v>
      </c>
      <c r="C83" s="120" t="e">
        <f t="shared" si="6"/>
        <v>#N/A</v>
      </c>
      <c r="D83" s="137"/>
      <c r="E83" s="150" t="str">
        <f>工種!A75</f>
        <v>90111</v>
      </c>
      <c r="F83" s="119" t="str">
        <f>工種!B75</f>
        <v>管理業務：レビュー</v>
      </c>
      <c r="G83" s="116" t="str">
        <f t="shared" si="12"/>
        <v>99990990111</v>
      </c>
      <c r="H83" s="88">
        <f t="shared" ref="H83:H90" si="14">SUM(J83:AY83)</f>
        <v>0</v>
      </c>
      <c r="I83" s="132"/>
      <c r="J83" s="88">
        <f>SUMIF(月間集計シート!$M$29:$M$48,$G83,月間集計シート!N$29:N$48)*J$2</f>
        <v>0</v>
      </c>
      <c r="K83" s="88">
        <f>SUMIF(月間集計シート!$M$29:$M$48,$G83,月間集計シート!O$29:O$48)*K$2</f>
        <v>0</v>
      </c>
      <c r="L83" s="88">
        <f>SUMIF(月間集計シート!$M$29:$M$48,$G83,月間集計シート!P$29:P$48)*L$2</f>
        <v>0</v>
      </c>
      <c r="M83" s="88">
        <f>SUMIF(月間集計シート!$M$29:$M$48,$G83,月間集計シート!Q$29:Q$48)*M$2</f>
        <v>0</v>
      </c>
      <c r="N83" s="88">
        <f>SUMIF(月間集計シート!$M$29:$M$48,$G83,月間集計シート!R$29:R$48)*N$2</f>
        <v>0</v>
      </c>
      <c r="O83" s="88">
        <f>SUMIF(月間集計シート!$M$29:$M$48,$G83,月間集計シート!S$29:S$48)*O$2</f>
        <v>0</v>
      </c>
      <c r="P83" s="88">
        <f>SUMIF(月間集計シート!$M$29:$M$48,$G83,月間集計シート!T$29:T$48)*P$2</f>
        <v>0</v>
      </c>
      <c r="Q83" s="88">
        <f>SUMIF(月間集計シート!$M$50:$M$69,$G83,月間集計シート!N$50:N$69)*Q$2</f>
        <v>0</v>
      </c>
      <c r="R83" s="88">
        <f>SUMIF(月間集計シート!$M$50:$M$69,$G83,月間集計シート!O$50:O$69)*R$2</f>
        <v>0</v>
      </c>
      <c r="S83" s="88">
        <f>SUMIF(月間集計シート!$M$50:$M$69,$G83,月間集計シート!P$50:P$69)*S$2</f>
        <v>0</v>
      </c>
      <c r="T83" s="88">
        <f>SUMIF(月間集計シート!$M$50:$M$69,$G83,月間集計シート!Q$50:Q$69)*T$2</f>
        <v>0</v>
      </c>
      <c r="U83" s="88">
        <f>SUMIF(月間集計シート!$M$50:$M$69,$G83,月間集計シート!R$50:R$69)*U$2</f>
        <v>0</v>
      </c>
      <c r="V83" s="88">
        <f>SUMIF(月間集計シート!$M$50:$M$69,$G83,月間集計シート!S$50:S$69)*V$2</f>
        <v>0</v>
      </c>
      <c r="W83" s="88">
        <f>SUMIF(月間集計シート!$M$50:$M$69,$G83,月間集計シート!T$50:T$69)*W$2</f>
        <v>0</v>
      </c>
      <c r="X83" s="88">
        <f>SUMIF(月間集計シート!$M$71:$M$90,$G83,月間集計シート!N$71:N$90)*X$2</f>
        <v>0</v>
      </c>
      <c r="Y83" s="88">
        <f>SUMIF(月間集計シート!$M$71:$M$90,$G83,月間集計シート!O$71:O$90)*Y$2</f>
        <v>0</v>
      </c>
      <c r="Z83" s="88">
        <f>SUMIF(月間集計シート!$M$71:$M$90,$G83,月間集計シート!P$71:P$90)*Z$2</f>
        <v>0</v>
      </c>
      <c r="AA83" s="88">
        <f>SUMIF(月間集計シート!$M$71:$M$90,$G83,月間集計シート!Q$71:Q$90)*AA$2</f>
        <v>0</v>
      </c>
      <c r="AB83" s="88">
        <f>SUMIF(月間集計シート!$M$71:$M$90,$G83,月間集計シート!R$71:R$90)*AB$2</f>
        <v>0</v>
      </c>
      <c r="AC83" s="88">
        <f>SUMIF(月間集計シート!$M$71:$M$90,$G83,月間集計シート!S$71:S$90)*AC$2</f>
        <v>0</v>
      </c>
      <c r="AD83" s="88">
        <f>SUMIF(月間集計シート!$M$71:$M$90,$G83,月間集計シート!T$71:T$90)*AD$2</f>
        <v>0</v>
      </c>
      <c r="AE83" s="88">
        <f>SUMIF(月間集計シート!$M$92:$M$111,$G83,月間集計シート!N$92:N$111)*AE$2</f>
        <v>0</v>
      </c>
      <c r="AF83" s="88">
        <f>SUMIF(月間集計シート!$M$92:$M$111,$G83,月間集計シート!O$92:O$111)*AF$2</f>
        <v>0</v>
      </c>
      <c r="AG83" s="88">
        <f>SUMIF(月間集計シート!$M$92:$M$111,$G83,月間集計シート!P$92:P$111)*AG$2</f>
        <v>0</v>
      </c>
      <c r="AH83" s="88">
        <f>SUMIF(月間集計シート!$M$92:$M$111,$G83,月間集計シート!Q$92:Q$111)*AH$2</f>
        <v>0</v>
      </c>
      <c r="AI83" s="88">
        <f>SUMIF(月間集計シート!$M$92:$M$111,$G83,月間集計シート!R$92:R$111)*AI$2</f>
        <v>0</v>
      </c>
      <c r="AJ83" s="88">
        <f>SUMIF(月間集計シート!$M$92:$M$111,$G83,月間集計シート!S$92:S$111)*AJ$2</f>
        <v>0</v>
      </c>
      <c r="AK83" s="88">
        <f>SUMIF(月間集計シート!$M$92:$M$111,$G83,月間集計シート!T$92:T$111)*AK$2</f>
        <v>0</v>
      </c>
      <c r="AL83" s="88">
        <f>SUMIF(月間集計シート!$M$113:$M$132,$G83,月間集計シート!N$113:N$132)*AL$2</f>
        <v>0</v>
      </c>
      <c r="AM83" s="88">
        <f>SUMIF(月間集計シート!$M$113:$M$132,$G83,月間集計シート!O$113:O$132)*AM$2</f>
        <v>0</v>
      </c>
      <c r="AN83" s="88">
        <f>SUMIF(月間集計シート!$M$113:$M$132,$G83,月間集計シート!P$113:P$132)*AN$2</f>
        <v>0</v>
      </c>
      <c r="AO83" s="88">
        <f>SUMIF(月間集計シート!$M$113:$M$132,$G83,月間集計シート!Q$113:Q$132)*AO$2</f>
        <v>0</v>
      </c>
      <c r="AP83" s="88">
        <f>SUMIF(月間集計シート!$M$113:$M$132,$G83,月間集計シート!R$113:R$132)*AP$2</f>
        <v>0</v>
      </c>
      <c r="AQ83" s="88">
        <f>SUMIF(月間集計シート!$M$113:$M$132,$G83,月間集計シート!S$113:S$132)*AQ$2</f>
        <v>0</v>
      </c>
      <c r="AR83" s="88">
        <f>SUMIF(月間集計シート!$M$113:$M$132,$G83,月間集計シート!T$113:T$132)*AR$2</f>
        <v>0</v>
      </c>
      <c r="AS83" s="88">
        <f>SUMIF(月間集計シート!$M$134:$M$153,$G83,月間集計シート!N$134:N$153)*AS$2</f>
        <v>0</v>
      </c>
      <c r="AT83" s="88">
        <f>SUMIF(月間集計シート!$M$134:$M$153,$G83,月間集計シート!O$134:O$153)*AT$2</f>
        <v>0</v>
      </c>
      <c r="AU83" s="88">
        <f>SUMIF(月間集計シート!$M$134:$M$153,$G83,月間集計シート!P$134:P$153)*AU$2</f>
        <v>0</v>
      </c>
      <c r="AV83" s="88">
        <f>SUMIF(月間集計シート!$M$134:$M$153,$G83,月間集計シート!Q$134:Q$153)*AV$2</f>
        <v>0</v>
      </c>
      <c r="AW83" s="88">
        <f>SUMIF(月間集計シート!$M$134:$M$153,$G83,月間集計シート!R$134:R$153)*AW$2</f>
        <v>0</v>
      </c>
      <c r="AX83" s="88">
        <f>SUMIF(月間集計シート!$M$134:$M$153,$G83,月間集計シート!S$134:S$153)*AX$2</f>
        <v>0</v>
      </c>
      <c r="AY83" s="88">
        <f>SUMIF(月間集計シート!$M$134:$M$153,$G83,月間集計シート!T$134:T$153)*AY$2</f>
        <v>0</v>
      </c>
    </row>
    <row r="84" spans="1:51" ht="14.25" thickBot="1">
      <c r="A84">
        <v>1</v>
      </c>
      <c r="B84" s="120">
        <f t="shared" ref="B84:C91" si="15">B83</f>
        <v>999909</v>
      </c>
      <c r="C84" s="120" t="e">
        <f t="shared" si="15"/>
        <v>#N/A</v>
      </c>
      <c r="D84" s="137"/>
      <c r="E84" s="150" t="str">
        <f>工種!A76</f>
        <v>90199</v>
      </c>
      <c r="F84" s="119" t="str">
        <f>工種!B76</f>
        <v>管理業務：その他</v>
      </c>
      <c r="G84" s="116" t="str">
        <f t="shared" si="12"/>
        <v>99990990199</v>
      </c>
      <c r="H84" s="88">
        <f t="shared" si="14"/>
        <v>0</v>
      </c>
      <c r="I84" s="132"/>
      <c r="J84" s="88">
        <f>SUMIF(月間集計シート!$M$29:$M$48,$G84,月間集計シート!N$29:N$48)*J$2</f>
        <v>0</v>
      </c>
      <c r="K84" s="88">
        <f>SUMIF(月間集計シート!$M$29:$M$48,$G84,月間集計シート!O$29:O$48)*K$2</f>
        <v>0</v>
      </c>
      <c r="L84" s="88">
        <f>SUMIF(月間集計シート!$M$29:$M$48,$G84,月間集計シート!P$29:P$48)*L$2</f>
        <v>0</v>
      </c>
      <c r="M84" s="88">
        <f>SUMIF(月間集計シート!$M$29:$M$48,$G84,月間集計シート!Q$29:Q$48)*M$2</f>
        <v>0</v>
      </c>
      <c r="N84" s="88">
        <f>SUMIF(月間集計シート!$M$29:$M$48,$G84,月間集計シート!R$29:R$48)*N$2</f>
        <v>0</v>
      </c>
      <c r="O84" s="88">
        <f>SUMIF(月間集計シート!$M$29:$M$48,$G84,月間集計シート!S$29:S$48)*O$2</f>
        <v>0</v>
      </c>
      <c r="P84" s="88">
        <f>SUMIF(月間集計シート!$M$29:$M$48,$G84,月間集計シート!T$29:T$48)*P$2</f>
        <v>0</v>
      </c>
      <c r="Q84" s="88">
        <f>SUMIF(月間集計シート!$M$50:$M$69,$G84,月間集計シート!N$50:N$69)*Q$2</f>
        <v>0</v>
      </c>
      <c r="R84" s="88">
        <f>SUMIF(月間集計シート!$M$50:$M$69,$G84,月間集計シート!O$50:O$69)*R$2</f>
        <v>0</v>
      </c>
      <c r="S84" s="88">
        <f>SUMIF(月間集計シート!$M$50:$M$69,$G84,月間集計シート!P$50:P$69)*S$2</f>
        <v>0</v>
      </c>
      <c r="T84" s="88">
        <f>SUMIF(月間集計シート!$M$50:$M$69,$G84,月間集計シート!Q$50:Q$69)*T$2</f>
        <v>0</v>
      </c>
      <c r="U84" s="88">
        <f>SUMIF(月間集計シート!$M$50:$M$69,$G84,月間集計シート!R$50:R$69)*U$2</f>
        <v>0</v>
      </c>
      <c r="V84" s="88">
        <f>SUMIF(月間集計シート!$M$50:$M$69,$G84,月間集計シート!S$50:S$69)*V$2</f>
        <v>0</v>
      </c>
      <c r="W84" s="88">
        <f>SUMIF(月間集計シート!$M$50:$M$69,$G84,月間集計シート!T$50:T$69)*W$2</f>
        <v>0</v>
      </c>
      <c r="X84" s="88">
        <f>SUMIF(月間集計シート!$M$71:$M$90,$G84,月間集計シート!N$71:N$90)*X$2</f>
        <v>0</v>
      </c>
      <c r="Y84" s="88">
        <f>SUMIF(月間集計シート!$M$71:$M$90,$G84,月間集計シート!O$71:O$90)*Y$2</f>
        <v>0</v>
      </c>
      <c r="Z84" s="88">
        <f>SUMIF(月間集計シート!$M$71:$M$90,$G84,月間集計シート!P$71:P$90)*Z$2</f>
        <v>0</v>
      </c>
      <c r="AA84" s="88">
        <f>SUMIF(月間集計シート!$M$71:$M$90,$G84,月間集計シート!Q$71:Q$90)*AA$2</f>
        <v>0</v>
      </c>
      <c r="AB84" s="88">
        <f>SUMIF(月間集計シート!$M$71:$M$90,$G84,月間集計シート!R$71:R$90)*AB$2</f>
        <v>0</v>
      </c>
      <c r="AC84" s="88">
        <f>SUMIF(月間集計シート!$M$71:$M$90,$G84,月間集計シート!S$71:S$90)*AC$2</f>
        <v>0</v>
      </c>
      <c r="AD84" s="88">
        <f>SUMIF(月間集計シート!$M$71:$M$90,$G84,月間集計シート!T$71:T$90)*AD$2</f>
        <v>0</v>
      </c>
      <c r="AE84" s="88">
        <f>SUMIF(月間集計シート!$M$92:$M$111,$G84,月間集計シート!N$92:N$111)*AE$2</f>
        <v>0</v>
      </c>
      <c r="AF84" s="88">
        <f>SUMIF(月間集計シート!$M$92:$M$111,$G84,月間集計シート!O$92:O$111)*AF$2</f>
        <v>0</v>
      </c>
      <c r="AG84" s="88">
        <f>SUMIF(月間集計シート!$M$92:$M$111,$G84,月間集計シート!P$92:P$111)*AG$2</f>
        <v>0</v>
      </c>
      <c r="AH84" s="88">
        <f>SUMIF(月間集計シート!$M$92:$M$111,$G84,月間集計シート!Q$92:Q$111)*AH$2</f>
        <v>0</v>
      </c>
      <c r="AI84" s="88">
        <f>SUMIF(月間集計シート!$M$92:$M$111,$G84,月間集計シート!R$92:R$111)*AI$2</f>
        <v>0</v>
      </c>
      <c r="AJ84" s="88">
        <f>SUMIF(月間集計シート!$M$92:$M$111,$G84,月間集計シート!S$92:S$111)*AJ$2</f>
        <v>0</v>
      </c>
      <c r="AK84" s="88">
        <f>SUMIF(月間集計シート!$M$92:$M$111,$G84,月間集計シート!T$92:T$111)*AK$2</f>
        <v>0</v>
      </c>
      <c r="AL84" s="88">
        <f>SUMIF(月間集計シート!$M$113:$M$132,$G84,月間集計シート!N$113:N$132)*AL$2</f>
        <v>0</v>
      </c>
      <c r="AM84" s="88">
        <f>SUMIF(月間集計シート!$M$113:$M$132,$G84,月間集計シート!O$113:O$132)*AM$2</f>
        <v>0</v>
      </c>
      <c r="AN84" s="88">
        <f>SUMIF(月間集計シート!$M$113:$M$132,$G84,月間集計シート!P$113:P$132)*AN$2</f>
        <v>0</v>
      </c>
      <c r="AO84" s="88">
        <f>SUMIF(月間集計シート!$M$113:$M$132,$G84,月間集計シート!Q$113:Q$132)*AO$2</f>
        <v>0</v>
      </c>
      <c r="AP84" s="88">
        <f>SUMIF(月間集計シート!$M$113:$M$132,$G84,月間集計シート!R$113:R$132)*AP$2</f>
        <v>0</v>
      </c>
      <c r="AQ84" s="88">
        <f>SUMIF(月間集計シート!$M$113:$M$132,$G84,月間集計シート!S$113:S$132)*AQ$2</f>
        <v>0</v>
      </c>
      <c r="AR84" s="88">
        <f>SUMIF(月間集計シート!$M$113:$M$132,$G84,月間集計シート!T$113:T$132)*AR$2</f>
        <v>0</v>
      </c>
      <c r="AS84" s="88">
        <f>SUMIF(月間集計シート!$M$134:$M$153,$G84,月間集計シート!N$134:N$153)*AS$2</f>
        <v>0</v>
      </c>
      <c r="AT84" s="88">
        <f>SUMIF(月間集計シート!$M$134:$M$153,$G84,月間集計シート!O$134:O$153)*AT$2</f>
        <v>0</v>
      </c>
      <c r="AU84" s="88">
        <f>SUMIF(月間集計シート!$M$134:$M$153,$G84,月間集計シート!P$134:P$153)*AU$2</f>
        <v>0</v>
      </c>
      <c r="AV84" s="88">
        <f>SUMIF(月間集計シート!$M$134:$M$153,$G84,月間集計シート!Q$134:Q$153)*AV$2</f>
        <v>0</v>
      </c>
      <c r="AW84" s="88">
        <f>SUMIF(月間集計シート!$M$134:$M$153,$G84,月間集計シート!R$134:R$153)*AW$2</f>
        <v>0</v>
      </c>
      <c r="AX84" s="88">
        <f>SUMIF(月間集計シート!$M$134:$M$153,$G84,月間集計シート!S$134:S$153)*AX$2</f>
        <v>0</v>
      </c>
      <c r="AY84" s="88">
        <f>SUMIF(月間集計シート!$M$134:$M$153,$G84,月間集計シート!T$134:T$153)*AY$2</f>
        <v>0</v>
      </c>
    </row>
    <row r="85" spans="1:51" ht="14.25" thickBot="1">
      <c r="A85">
        <v>1</v>
      </c>
      <c r="B85" s="120">
        <f t="shared" si="15"/>
        <v>999909</v>
      </c>
      <c r="C85" s="120" t="e">
        <f t="shared" si="15"/>
        <v>#N/A</v>
      </c>
      <c r="D85" s="137"/>
      <c r="E85" s="150">
        <f>工種!A77</f>
        <v>99102</v>
      </c>
      <c r="F85" s="119" t="str">
        <f>工種!B77</f>
        <v>間接業務：業務環境管理（PCｾｯﾄｱｯﾌﾟ等）</v>
      </c>
      <c r="G85" s="116" t="str">
        <f t="shared" si="12"/>
        <v>99990999102</v>
      </c>
      <c r="H85" s="88">
        <f t="shared" si="14"/>
        <v>0</v>
      </c>
      <c r="I85" s="132"/>
      <c r="J85" s="88">
        <f>SUMIF(月間集計シート!$M$29:$M$48,$G85,月間集計シート!N$29:N$48)*J$2</f>
        <v>0</v>
      </c>
      <c r="K85" s="88">
        <f>SUMIF(月間集計シート!$M$29:$M$48,$G85,月間集計シート!O$29:O$48)*K$2</f>
        <v>0</v>
      </c>
      <c r="L85" s="88">
        <f>SUMIF(月間集計シート!$M$29:$M$48,$G85,月間集計シート!P$29:P$48)*L$2</f>
        <v>0</v>
      </c>
      <c r="M85" s="88">
        <f>SUMIF(月間集計シート!$M$29:$M$48,$G85,月間集計シート!Q$29:Q$48)*M$2</f>
        <v>0</v>
      </c>
      <c r="N85" s="88">
        <f>SUMIF(月間集計シート!$M$29:$M$48,$G85,月間集計シート!R$29:R$48)*N$2</f>
        <v>0</v>
      </c>
      <c r="O85" s="88">
        <f>SUMIF(月間集計シート!$M$29:$M$48,$G85,月間集計シート!S$29:S$48)*O$2</f>
        <v>0</v>
      </c>
      <c r="P85" s="88">
        <f>SUMIF(月間集計シート!$M$29:$M$48,$G85,月間集計シート!T$29:T$48)*P$2</f>
        <v>0</v>
      </c>
      <c r="Q85" s="88">
        <f>SUMIF(月間集計シート!$M$50:$M$69,$G85,月間集計シート!N$50:N$69)*Q$2</f>
        <v>0</v>
      </c>
      <c r="R85" s="88">
        <f>SUMIF(月間集計シート!$M$50:$M$69,$G85,月間集計シート!O$50:O$69)*R$2</f>
        <v>0</v>
      </c>
      <c r="S85" s="88">
        <f>SUMIF(月間集計シート!$M$50:$M$69,$G85,月間集計シート!P$50:P$69)*S$2</f>
        <v>0</v>
      </c>
      <c r="T85" s="88">
        <f>SUMIF(月間集計シート!$M$50:$M$69,$G85,月間集計シート!Q$50:Q$69)*T$2</f>
        <v>0</v>
      </c>
      <c r="U85" s="88">
        <f>SUMIF(月間集計シート!$M$50:$M$69,$G85,月間集計シート!R$50:R$69)*U$2</f>
        <v>0</v>
      </c>
      <c r="V85" s="88">
        <f>SUMIF(月間集計シート!$M$50:$M$69,$G85,月間集計シート!S$50:S$69)*V$2</f>
        <v>0</v>
      </c>
      <c r="W85" s="88">
        <f>SUMIF(月間集計シート!$M$50:$M$69,$G85,月間集計シート!T$50:T$69)*W$2</f>
        <v>0</v>
      </c>
      <c r="X85" s="88">
        <f>SUMIF(月間集計シート!$M$71:$M$90,$G85,月間集計シート!N$71:N$90)*X$2</f>
        <v>0</v>
      </c>
      <c r="Y85" s="88">
        <f>SUMIF(月間集計シート!$M$71:$M$90,$G85,月間集計シート!O$71:O$90)*Y$2</f>
        <v>0</v>
      </c>
      <c r="Z85" s="88">
        <f>SUMIF(月間集計シート!$M$71:$M$90,$G85,月間集計シート!P$71:P$90)*Z$2</f>
        <v>0</v>
      </c>
      <c r="AA85" s="88">
        <f>SUMIF(月間集計シート!$M$71:$M$90,$G85,月間集計シート!Q$71:Q$90)*AA$2</f>
        <v>0</v>
      </c>
      <c r="AB85" s="88">
        <f>SUMIF(月間集計シート!$M$71:$M$90,$G85,月間集計シート!R$71:R$90)*AB$2</f>
        <v>0</v>
      </c>
      <c r="AC85" s="88">
        <f>SUMIF(月間集計シート!$M$71:$M$90,$G85,月間集計シート!S$71:S$90)*AC$2</f>
        <v>0</v>
      </c>
      <c r="AD85" s="88">
        <f>SUMIF(月間集計シート!$M$71:$M$90,$G85,月間集計シート!T$71:T$90)*AD$2</f>
        <v>0</v>
      </c>
      <c r="AE85" s="88">
        <f>SUMIF(月間集計シート!$M$92:$M$111,$G85,月間集計シート!N$92:N$111)*AE$2</f>
        <v>0</v>
      </c>
      <c r="AF85" s="88">
        <f>SUMIF(月間集計シート!$M$92:$M$111,$G85,月間集計シート!O$92:O$111)*AF$2</f>
        <v>0</v>
      </c>
      <c r="AG85" s="88">
        <f>SUMIF(月間集計シート!$M$92:$M$111,$G85,月間集計シート!P$92:P$111)*AG$2</f>
        <v>0</v>
      </c>
      <c r="AH85" s="88">
        <f>SUMIF(月間集計シート!$M$92:$M$111,$G85,月間集計シート!Q$92:Q$111)*AH$2</f>
        <v>0</v>
      </c>
      <c r="AI85" s="88">
        <f>SUMIF(月間集計シート!$M$92:$M$111,$G85,月間集計シート!R$92:R$111)*AI$2</f>
        <v>0</v>
      </c>
      <c r="AJ85" s="88">
        <f>SUMIF(月間集計シート!$M$92:$M$111,$G85,月間集計シート!S$92:S$111)*AJ$2</f>
        <v>0</v>
      </c>
      <c r="AK85" s="88">
        <f>SUMIF(月間集計シート!$M$92:$M$111,$G85,月間集計シート!T$92:T$111)*AK$2</f>
        <v>0</v>
      </c>
      <c r="AL85" s="88">
        <f>SUMIF(月間集計シート!$M$113:$M$132,$G85,月間集計シート!N$113:N$132)*AL$2</f>
        <v>0</v>
      </c>
      <c r="AM85" s="88">
        <f>SUMIF(月間集計シート!$M$113:$M$132,$G85,月間集計シート!O$113:O$132)*AM$2</f>
        <v>0</v>
      </c>
      <c r="AN85" s="88">
        <f>SUMIF(月間集計シート!$M$113:$M$132,$G85,月間集計シート!P$113:P$132)*AN$2</f>
        <v>0</v>
      </c>
      <c r="AO85" s="88">
        <f>SUMIF(月間集計シート!$M$113:$M$132,$G85,月間集計シート!Q$113:Q$132)*AO$2</f>
        <v>0</v>
      </c>
      <c r="AP85" s="88">
        <f>SUMIF(月間集計シート!$M$113:$M$132,$G85,月間集計シート!R$113:R$132)*AP$2</f>
        <v>0</v>
      </c>
      <c r="AQ85" s="88">
        <f>SUMIF(月間集計シート!$M$113:$M$132,$G85,月間集計シート!S$113:S$132)*AQ$2</f>
        <v>0</v>
      </c>
      <c r="AR85" s="88">
        <f>SUMIF(月間集計シート!$M$113:$M$132,$G85,月間集計シート!T$113:T$132)*AR$2</f>
        <v>0</v>
      </c>
      <c r="AS85" s="88">
        <f>SUMIF(月間集計シート!$M$134:$M$153,$G85,月間集計シート!N$134:N$153)*AS$2</f>
        <v>0</v>
      </c>
      <c r="AT85" s="88">
        <f>SUMIF(月間集計シート!$M$134:$M$153,$G85,月間集計シート!O$134:O$153)*AT$2</f>
        <v>0</v>
      </c>
      <c r="AU85" s="88">
        <f>SUMIF(月間集計シート!$M$134:$M$153,$G85,月間集計シート!P$134:P$153)*AU$2</f>
        <v>0</v>
      </c>
      <c r="AV85" s="88">
        <f>SUMIF(月間集計シート!$M$134:$M$153,$G85,月間集計シート!Q$134:Q$153)*AV$2</f>
        <v>0</v>
      </c>
      <c r="AW85" s="88">
        <f>SUMIF(月間集計シート!$M$134:$M$153,$G85,月間集計シート!R$134:R$153)*AW$2</f>
        <v>0</v>
      </c>
      <c r="AX85" s="88">
        <f>SUMIF(月間集計シート!$M$134:$M$153,$G85,月間集計シート!S$134:S$153)*AX$2</f>
        <v>0</v>
      </c>
      <c r="AY85" s="88">
        <f>SUMIF(月間集計シート!$M$134:$M$153,$G85,月間集計シート!T$134:T$153)*AY$2</f>
        <v>0</v>
      </c>
    </row>
    <row r="86" spans="1:51" ht="14.25" thickBot="1">
      <c r="A86">
        <v>1</v>
      </c>
      <c r="B86" s="120">
        <f t="shared" si="15"/>
        <v>999909</v>
      </c>
      <c r="C86" s="120" t="e">
        <f t="shared" si="15"/>
        <v>#N/A</v>
      </c>
      <c r="D86" s="137"/>
      <c r="E86" s="150" t="str">
        <f>工種!A78</f>
        <v>99103</v>
      </c>
      <c r="F86" s="119" t="str">
        <f>工種!B78</f>
        <v>間接業務：標準化・業務改善作業（開発以外）</v>
      </c>
      <c r="G86" s="116" t="str">
        <f t="shared" si="12"/>
        <v>99990999103</v>
      </c>
      <c r="H86" s="88">
        <f t="shared" si="14"/>
        <v>0</v>
      </c>
      <c r="I86" s="132"/>
      <c r="J86" s="88">
        <f>SUMIF(月間集計シート!$M$29:$M$48,$G86,月間集計シート!N$29:N$48)*J$2</f>
        <v>0</v>
      </c>
      <c r="K86" s="88">
        <f>SUMIF(月間集計シート!$M$29:$M$48,$G86,月間集計シート!O$29:O$48)*K$2</f>
        <v>0</v>
      </c>
      <c r="L86" s="88">
        <f>SUMIF(月間集計シート!$M$29:$M$48,$G86,月間集計シート!P$29:P$48)*L$2</f>
        <v>0</v>
      </c>
      <c r="M86" s="88">
        <f>SUMIF(月間集計シート!$M$29:$M$48,$G86,月間集計シート!Q$29:Q$48)*M$2</f>
        <v>0</v>
      </c>
      <c r="N86" s="88">
        <f>SUMIF(月間集計シート!$M$29:$M$48,$G86,月間集計シート!R$29:R$48)*N$2</f>
        <v>0</v>
      </c>
      <c r="O86" s="88">
        <f>SUMIF(月間集計シート!$M$29:$M$48,$G86,月間集計シート!S$29:S$48)*O$2</f>
        <v>0</v>
      </c>
      <c r="P86" s="88">
        <f>SUMIF(月間集計シート!$M$29:$M$48,$G86,月間集計シート!T$29:T$48)*P$2</f>
        <v>0</v>
      </c>
      <c r="Q86" s="88">
        <f>SUMIF(月間集計シート!$M$50:$M$69,$G86,月間集計シート!N$50:N$69)*Q$2</f>
        <v>0</v>
      </c>
      <c r="R86" s="88">
        <f>SUMIF(月間集計シート!$M$50:$M$69,$G86,月間集計シート!O$50:O$69)*R$2</f>
        <v>0</v>
      </c>
      <c r="S86" s="88">
        <f>SUMIF(月間集計シート!$M$50:$M$69,$G86,月間集計シート!P$50:P$69)*S$2</f>
        <v>0</v>
      </c>
      <c r="T86" s="88">
        <f>SUMIF(月間集計シート!$M$50:$M$69,$G86,月間集計シート!Q$50:Q$69)*T$2</f>
        <v>0</v>
      </c>
      <c r="U86" s="88">
        <f>SUMIF(月間集計シート!$M$50:$M$69,$G86,月間集計シート!R$50:R$69)*U$2</f>
        <v>0</v>
      </c>
      <c r="V86" s="88">
        <f>SUMIF(月間集計シート!$M$50:$M$69,$G86,月間集計シート!S$50:S$69)*V$2</f>
        <v>0</v>
      </c>
      <c r="W86" s="88">
        <f>SUMIF(月間集計シート!$M$50:$M$69,$G86,月間集計シート!T$50:T$69)*W$2</f>
        <v>0</v>
      </c>
      <c r="X86" s="88">
        <f>SUMIF(月間集計シート!$M$71:$M$90,$G86,月間集計シート!N$71:N$90)*X$2</f>
        <v>0</v>
      </c>
      <c r="Y86" s="88">
        <f>SUMIF(月間集計シート!$M$71:$M$90,$G86,月間集計シート!O$71:O$90)*Y$2</f>
        <v>0</v>
      </c>
      <c r="Z86" s="88">
        <f>SUMIF(月間集計シート!$M$71:$M$90,$G86,月間集計シート!P$71:P$90)*Z$2</f>
        <v>0</v>
      </c>
      <c r="AA86" s="88">
        <f>SUMIF(月間集計シート!$M$71:$M$90,$G86,月間集計シート!Q$71:Q$90)*AA$2</f>
        <v>0</v>
      </c>
      <c r="AB86" s="88">
        <f>SUMIF(月間集計シート!$M$71:$M$90,$G86,月間集計シート!R$71:R$90)*AB$2</f>
        <v>0</v>
      </c>
      <c r="AC86" s="88">
        <f>SUMIF(月間集計シート!$M$71:$M$90,$G86,月間集計シート!S$71:S$90)*AC$2</f>
        <v>0</v>
      </c>
      <c r="AD86" s="88">
        <f>SUMIF(月間集計シート!$M$71:$M$90,$G86,月間集計シート!T$71:T$90)*AD$2</f>
        <v>0</v>
      </c>
      <c r="AE86" s="88">
        <f>SUMIF(月間集計シート!$M$92:$M$111,$G86,月間集計シート!N$92:N$111)*AE$2</f>
        <v>0</v>
      </c>
      <c r="AF86" s="88">
        <f>SUMIF(月間集計シート!$M$92:$M$111,$G86,月間集計シート!O$92:O$111)*AF$2</f>
        <v>0</v>
      </c>
      <c r="AG86" s="88">
        <f>SUMIF(月間集計シート!$M$92:$M$111,$G86,月間集計シート!P$92:P$111)*AG$2</f>
        <v>0</v>
      </c>
      <c r="AH86" s="88">
        <f>SUMIF(月間集計シート!$M$92:$M$111,$G86,月間集計シート!Q$92:Q$111)*AH$2</f>
        <v>0</v>
      </c>
      <c r="AI86" s="88">
        <f>SUMIF(月間集計シート!$M$92:$M$111,$G86,月間集計シート!R$92:R$111)*AI$2</f>
        <v>0</v>
      </c>
      <c r="AJ86" s="88">
        <f>SUMIF(月間集計シート!$M$92:$M$111,$G86,月間集計シート!S$92:S$111)*AJ$2</f>
        <v>0</v>
      </c>
      <c r="AK86" s="88">
        <f>SUMIF(月間集計シート!$M$92:$M$111,$G86,月間集計シート!T$92:T$111)*AK$2</f>
        <v>0</v>
      </c>
      <c r="AL86" s="88">
        <f>SUMIF(月間集計シート!$M$113:$M$132,$G86,月間集計シート!N$113:N$132)*AL$2</f>
        <v>0</v>
      </c>
      <c r="AM86" s="88">
        <f>SUMIF(月間集計シート!$M$113:$M$132,$G86,月間集計シート!O$113:O$132)*AM$2</f>
        <v>0</v>
      </c>
      <c r="AN86" s="88">
        <f>SUMIF(月間集計シート!$M$113:$M$132,$G86,月間集計シート!P$113:P$132)*AN$2</f>
        <v>0</v>
      </c>
      <c r="AO86" s="88">
        <f>SUMIF(月間集計シート!$M$113:$M$132,$G86,月間集計シート!Q$113:Q$132)*AO$2</f>
        <v>0</v>
      </c>
      <c r="AP86" s="88">
        <f>SUMIF(月間集計シート!$M$113:$M$132,$G86,月間集計シート!R$113:R$132)*AP$2</f>
        <v>0</v>
      </c>
      <c r="AQ86" s="88">
        <f>SUMIF(月間集計シート!$M$113:$M$132,$G86,月間集計シート!S$113:S$132)*AQ$2</f>
        <v>0</v>
      </c>
      <c r="AR86" s="88">
        <f>SUMIF(月間集計シート!$M$113:$M$132,$G86,月間集計シート!T$113:T$132)*AR$2</f>
        <v>0</v>
      </c>
      <c r="AS86" s="88">
        <f>SUMIF(月間集計シート!$M$134:$M$153,$G86,月間集計シート!N$134:N$153)*AS$2</f>
        <v>0</v>
      </c>
      <c r="AT86" s="88">
        <f>SUMIF(月間集計シート!$M$134:$M$153,$G86,月間集計シート!O$134:O$153)*AT$2</f>
        <v>0</v>
      </c>
      <c r="AU86" s="88">
        <f>SUMIF(月間集計シート!$M$134:$M$153,$G86,月間集計シート!P$134:P$153)*AU$2</f>
        <v>0</v>
      </c>
      <c r="AV86" s="88">
        <f>SUMIF(月間集計シート!$M$134:$M$153,$G86,月間集計シート!Q$134:Q$153)*AV$2</f>
        <v>0</v>
      </c>
      <c r="AW86" s="88">
        <f>SUMIF(月間集計シート!$M$134:$M$153,$G86,月間集計シート!R$134:R$153)*AW$2</f>
        <v>0</v>
      </c>
      <c r="AX86" s="88">
        <f>SUMIF(月間集計シート!$M$134:$M$153,$G86,月間集計シート!S$134:S$153)*AX$2</f>
        <v>0</v>
      </c>
      <c r="AY86" s="88">
        <f>SUMIF(月間集計シート!$M$134:$M$153,$G86,月間集計シート!T$134:T$153)*AY$2</f>
        <v>0</v>
      </c>
    </row>
    <row r="87" spans="1:51" ht="14.25" thickBot="1">
      <c r="A87">
        <v>1</v>
      </c>
      <c r="B87" s="120">
        <f t="shared" si="15"/>
        <v>999909</v>
      </c>
      <c r="C87" s="120" t="e">
        <f t="shared" si="15"/>
        <v>#N/A</v>
      </c>
      <c r="D87" s="137"/>
      <c r="E87" s="150" t="str">
        <f>工種!A79</f>
        <v>99104</v>
      </c>
      <c r="F87" s="119" t="str">
        <f>工種!B79</f>
        <v>間接業務：業務の引継ぎ（開発以外）</v>
      </c>
      <c r="G87" s="116" t="str">
        <f t="shared" si="12"/>
        <v>99990999104</v>
      </c>
      <c r="H87" s="88">
        <f t="shared" si="14"/>
        <v>0</v>
      </c>
      <c r="I87" s="132"/>
      <c r="J87" s="88">
        <f>SUMIF(月間集計シート!$M$29:$M$48,$G87,月間集計シート!N$29:N$48)*J$2</f>
        <v>0</v>
      </c>
      <c r="K87" s="88">
        <f>SUMIF(月間集計シート!$M$29:$M$48,$G87,月間集計シート!O$29:O$48)*K$2</f>
        <v>0</v>
      </c>
      <c r="L87" s="88">
        <f>SUMIF(月間集計シート!$M$29:$M$48,$G87,月間集計シート!P$29:P$48)*L$2</f>
        <v>0</v>
      </c>
      <c r="M87" s="88">
        <f>SUMIF(月間集計シート!$M$29:$M$48,$G87,月間集計シート!Q$29:Q$48)*M$2</f>
        <v>0</v>
      </c>
      <c r="N87" s="88">
        <f>SUMIF(月間集計シート!$M$29:$M$48,$G87,月間集計シート!R$29:R$48)*N$2</f>
        <v>0</v>
      </c>
      <c r="O87" s="88">
        <f>SUMIF(月間集計シート!$M$29:$M$48,$G87,月間集計シート!S$29:S$48)*O$2</f>
        <v>0</v>
      </c>
      <c r="P87" s="88">
        <f>SUMIF(月間集計シート!$M$29:$M$48,$G87,月間集計シート!T$29:T$48)*P$2</f>
        <v>0</v>
      </c>
      <c r="Q87" s="88">
        <f>SUMIF(月間集計シート!$M$50:$M$69,$G87,月間集計シート!N$50:N$69)*Q$2</f>
        <v>0</v>
      </c>
      <c r="R87" s="88">
        <f>SUMIF(月間集計シート!$M$50:$M$69,$G87,月間集計シート!O$50:O$69)*R$2</f>
        <v>0</v>
      </c>
      <c r="S87" s="88">
        <f>SUMIF(月間集計シート!$M$50:$M$69,$G87,月間集計シート!P$50:P$69)*S$2</f>
        <v>0</v>
      </c>
      <c r="T87" s="88">
        <f>SUMIF(月間集計シート!$M$50:$M$69,$G87,月間集計シート!Q$50:Q$69)*T$2</f>
        <v>0</v>
      </c>
      <c r="U87" s="88">
        <f>SUMIF(月間集計シート!$M$50:$M$69,$G87,月間集計シート!R$50:R$69)*U$2</f>
        <v>0</v>
      </c>
      <c r="V87" s="88">
        <f>SUMIF(月間集計シート!$M$50:$M$69,$G87,月間集計シート!S$50:S$69)*V$2</f>
        <v>0</v>
      </c>
      <c r="W87" s="88">
        <f>SUMIF(月間集計シート!$M$50:$M$69,$G87,月間集計シート!T$50:T$69)*W$2</f>
        <v>0</v>
      </c>
      <c r="X87" s="88">
        <f>SUMIF(月間集計シート!$M$71:$M$90,$G87,月間集計シート!N$71:N$90)*X$2</f>
        <v>0</v>
      </c>
      <c r="Y87" s="88">
        <f>SUMIF(月間集計シート!$M$71:$M$90,$G87,月間集計シート!O$71:O$90)*Y$2</f>
        <v>0</v>
      </c>
      <c r="Z87" s="88">
        <f>SUMIF(月間集計シート!$M$71:$M$90,$G87,月間集計シート!P$71:P$90)*Z$2</f>
        <v>0</v>
      </c>
      <c r="AA87" s="88">
        <f>SUMIF(月間集計シート!$M$71:$M$90,$G87,月間集計シート!Q$71:Q$90)*AA$2</f>
        <v>0</v>
      </c>
      <c r="AB87" s="88">
        <f>SUMIF(月間集計シート!$M$71:$M$90,$G87,月間集計シート!R$71:R$90)*AB$2</f>
        <v>0</v>
      </c>
      <c r="AC87" s="88">
        <f>SUMIF(月間集計シート!$M$71:$M$90,$G87,月間集計シート!S$71:S$90)*AC$2</f>
        <v>0</v>
      </c>
      <c r="AD87" s="88">
        <f>SUMIF(月間集計シート!$M$71:$M$90,$G87,月間集計シート!T$71:T$90)*AD$2</f>
        <v>0</v>
      </c>
      <c r="AE87" s="88">
        <f>SUMIF(月間集計シート!$M$92:$M$111,$G87,月間集計シート!N$92:N$111)*AE$2</f>
        <v>0</v>
      </c>
      <c r="AF87" s="88">
        <f>SUMIF(月間集計シート!$M$92:$M$111,$G87,月間集計シート!O$92:O$111)*AF$2</f>
        <v>0</v>
      </c>
      <c r="AG87" s="88">
        <f>SUMIF(月間集計シート!$M$92:$M$111,$G87,月間集計シート!P$92:P$111)*AG$2</f>
        <v>0</v>
      </c>
      <c r="AH87" s="88">
        <f>SUMIF(月間集計シート!$M$92:$M$111,$G87,月間集計シート!Q$92:Q$111)*AH$2</f>
        <v>0</v>
      </c>
      <c r="AI87" s="88">
        <f>SUMIF(月間集計シート!$M$92:$M$111,$G87,月間集計シート!R$92:R$111)*AI$2</f>
        <v>0</v>
      </c>
      <c r="AJ87" s="88">
        <f>SUMIF(月間集計シート!$M$92:$M$111,$G87,月間集計シート!S$92:S$111)*AJ$2</f>
        <v>0</v>
      </c>
      <c r="AK87" s="88">
        <f>SUMIF(月間集計シート!$M$92:$M$111,$G87,月間集計シート!T$92:T$111)*AK$2</f>
        <v>0</v>
      </c>
      <c r="AL87" s="88">
        <f>SUMIF(月間集計シート!$M$113:$M$132,$G87,月間集計シート!N$113:N$132)*AL$2</f>
        <v>0</v>
      </c>
      <c r="AM87" s="88">
        <f>SUMIF(月間集計シート!$M$113:$M$132,$G87,月間集計シート!O$113:O$132)*AM$2</f>
        <v>0</v>
      </c>
      <c r="AN87" s="88">
        <f>SUMIF(月間集計シート!$M$113:$M$132,$G87,月間集計シート!P$113:P$132)*AN$2</f>
        <v>0</v>
      </c>
      <c r="AO87" s="88">
        <f>SUMIF(月間集計シート!$M$113:$M$132,$G87,月間集計シート!Q$113:Q$132)*AO$2</f>
        <v>0</v>
      </c>
      <c r="AP87" s="88">
        <f>SUMIF(月間集計シート!$M$113:$M$132,$G87,月間集計シート!R$113:R$132)*AP$2</f>
        <v>0</v>
      </c>
      <c r="AQ87" s="88">
        <f>SUMIF(月間集計シート!$M$113:$M$132,$G87,月間集計シート!S$113:S$132)*AQ$2</f>
        <v>0</v>
      </c>
      <c r="AR87" s="88">
        <f>SUMIF(月間集計シート!$M$113:$M$132,$G87,月間集計シート!T$113:T$132)*AR$2</f>
        <v>0</v>
      </c>
      <c r="AS87" s="88">
        <f>SUMIF(月間集計シート!$M$134:$M$153,$G87,月間集計シート!N$134:N$153)*AS$2</f>
        <v>0</v>
      </c>
      <c r="AT87" s="88">
        <f>SUMIF(月間集計シート!$M$134:$M$153,$G87,月間集計シート!O$134:O$153)*AT$2</f>
        <v>0</v>
      </c>
      <c r="AU87" s="88">
        <f>SUMIF(月間集計シート!$M$134:$M$153,$G87,月間集計シート!P$134:P$153)*AU$2</f>
        <v>0</v>
      </c>
      <c r="AV87" s="88">
        <f>SUMIF(月間集計シート!$M$134:$M$153,$G87,月間集計シート!Q$134:Q$153)*AV$2</f>
        <v>0</v>
      </c>
      <c r="AW87" s="88">
        <f>SUMIF(月間集計シート!$M$134:$M$153,$G87,月間集計シート!R$134:R$153)*AW$2</f>
        <v>0</v>
      </c>
      <c r="AX87" s="88">
        <f>SUMIF(月間集計シート!$M$134:$M$153,$G87,月間集計シート!S$134:S$153)*AX$2</f>
        <v>0</v>
      </c>
      <c r="AY87" s="88">
        <f>SUMIF(月間集計シート!$M$134:$M$153,$G87,月間集計シート!T$134:T$153)*AY$2</f>
        <v>0</v>
      </c>
    </row>
    <row r="88" spans="1:51" ht="14.25" thickBot="1">
      <c r="A88">
        <v>1</v>
      </c>
      <c r="B88" s="120">
        <f t="shared" si="15"/>
        <v>999909</v>
      </c>
      <c r="C88" s="120" t="e">
        <f t="shared" si="15"/>
        <v>#N/A</v>
      </c>
      <c r="D88" s="137"/>
      <c r="E88" s="150" t="str">
        <f>工種!A80</f>
        <v>99106</v>
      </c>
      <c r="F88" s="119" t="str">
        <f>工種!B80</f>
        <v>間接業務：研修・学習</v>
      </c>
      <c r="G88" s="116" t="str">
        <f t="shared" si="12"/>
        <v>99990999106</v>
      </c>
      <c r="H88" s="88">
        <f t="shared" si="14"/>
        <v>0</v>
      </c>
      <c r="I88" s="132"/>
      <c r="J88" s="88">
        <f>SUMIF(月間集計シート!$M$29:$M$48,$G88,月間集計シート!N$29:N$48)*J$2</f>
        <v>0</v>
      </c>
      <c r="K88" s="88">
        <f>SUMIF(月間集計シート!$M$29:$M$48,$G88,月間集計シート!O$29:O$48)*K$2</f>
        <v>0</v>
      </c>
      <c r="L88" s="88">
        <f>SUMIF(月間集計シート!$M$29:$M$48,$G88,月間集計シート!P$29:P$48)*L$2</f>
        <v>0</v>
      </c>
      <c r="M88" s="88">
        <f>SUMIF(月間集計シート!$M$29:$M$48,$G88,月間集計シート!Q$29:Q$48)*M$2</f>
        <v>0</v>
      </c>
      <c r="N88" s="88">
        <f>SUMIF(月間集計シート!$M$29:$M$48,$G88,月間集計シート!R$29:R$48)*N$2</f>
        <v>0</v>
      </c>
      <c r="O88" s="88">
        <f>SUMIF(月間集計シート!$M$29:$M$48,$G88,月間集計シート!S$29:S$48)*O$2</f>
        <v>0</v>
      </c>
      <c r="P88" s="88">
        <f>SUMIF(月間集計シート!$M$29:$M$48,$G88,月間集計シート!T$29:T$48)*P$2</f>
        <v>0</v>
      </c>
      <c r="Q88" s="88">
        <f>SUMIF(月間集計シート!$M$50:$M$69,$G88,月間集計シート!N$50:N$69)*Q$2</f>
        <v>0</v>
      </c>
      <c r="R88" s="88">
        <f>SUMIF(月間集計シート!$M$50:$M$69,$G88,月間集計シート!O$50:O$69)*R$2</f>
        <v>0</v>
      </c>
      <c r="S88" s="88">
        <f>SUMIF(月間集計シート!$M$50:$M$69,$G88,月間集計シート!P$50:P$69)*S$2</f>
        <v>0</v>
      </c>
      <c r="T88" s="88">
        <f>SUMIF(月間集計シート!$M$50:$M$69,$G88,月間集計シート!Q$50:Q$69)*T$2</f>
        <v>0</v>
      </c>
      <c r="U88" s="88">
        <f>SUMIF(月間集計シート!$M$50:$M$69,$G88,月間集計シート!R$50:R$69)*U$2</f>
        <v>0</v>
      </c>
      <c r="V88" s="88">
        <f>SUMIF(月間集計シート!$M$50:$M$69,$G88,月間集計シート!S$50:S$69)*V$2</f>
        <v>0</v>
      </c>
      <c r="W88" s="88">
        <f>SUMIF(月間集計シート!$M$50:$M$69,$G88,月間集計シート!T$50:T$69)*W$2</f>
        <v>0</v>
      </c>
      <c r="X88" s="88">
        <f>SUMIF(月間集計シート!$M$71:$M$90,$G88,月間集計シート!N$71:N$90)*X$2</f>
        <v>0</v>
      </c>
      <c r="Y88" s="88">
        <f>SUMIF(月間集計シート!$M$71:$M$90,$G88,月間集計シート!O$71:O$90)*Y$2</f>
        <v>0</v>
      </c>
      <c r="Z88" s="88">
        <f>SUMIF(月間集計シート!$M$71:$M$90,$G88,月間集計シート!P$71:P$90)*Z$2</f>
        <v>0</v>
      </c>
      <c r="AA88" s="88">
        <f>SUMIF(月間集計シート!$M$71:$M$90,$G88,月間集計シート!Q$71:Q$90)*AA$2</f>
        <v>0</v>
      </c>
      <c r="AB88" s="88">
        <f>SUMIF(月間集計シート!$M$71:$M$90,$G88,月間集計シート!R$71:R$90)*AB$2</f>
        <v>0</v>
      </c>
      <c r="AC88" s="88">
        <f>SUMIF(月間集計シート!$M$71:$M$90,$G88,月間集計シート!S$71:S$90)*AC$2</f>
        <v>0</v>
      </c>
      <c r="AD88" s="88">
        <f>SUMIF(月間集計シート!$M$71:$M$90,$G88,月間集計シート!T$71:T$90)*AD$2</f>
        <v>0</v>
      </c>
      <c r="AE88" s="88">
        <f>SUMIF(月間集計シート!$M$92:$M$111,$G88,月間集計シート!N$92:N$111)*AE$2</f>
        <v>0</v>
      </c>
      <c r="AF88" s="88">
        <f>SUMIF(月間集計シート!$M$92:$M$111,$G88,月間集計シート!O$92:O$111)*AF$2</f>
        <v>0</v>
      </c>
      <c r="AG88" s="88">
        <f>SUMIF(月間集計シート!$M$92:$M$111,$G88,月間集計シート!P$92:P$111)*AG$2</f>
        <v>0</v>
      </c>
      <c r="AH88" s="88">
        <f>SUMIF(月間集計シート!$M$92:$M$111,$G88,月間集計シート!Q$92:Q$111)*AH$2</f>
        <v>0</v>
      </c>
      <c r="AI88" s="88">
        <f>SUMIF(月間集計シート!$M$92:$M$111,$G88,月間集計シート!R$92:R$111)*AI$2</f>
        <v>0</v>
      </c>
      <c r="AJ88" s="88">
        <f>SUMIF(月間集計シート!$M$92:$M$111,$G88,月間集計シート!S$92:S$111)*AJ$2</f>
        <v>0</v>
      </c>
      <c r="AK88" s="88">
        <f>SUMIF(月間集計シート!$M$92:$M$111,$G88,月間集計シート!T$92:T$111)*AK$2</f>
        <v>0</v>
      </c>
      <c r="AL88" s="88">
        <f>SUMIF(月間集計シート!$M$113:$M$132,$G88,月間集計シート!N$113:N$132)*AL$2</f>
        <v>0</v>
      </c>
      <c r="AM88" s="88">
        <f>SUMIF(月間集計シート!$M$113:$M$132,$G88,月間集計シート!O$113:O$132)*AM$2</f>
        <v>0</v>
      </c>
      <c r="AN88" s="88">
        <f>SUMIF(月間集計シート!$M$113:$M$132,$G88,月間集計シート!P$113:P$132)*AN$2</f>
        <v>0</v>
      </c>
      <c r="AO88" s="88">
        <f>SUMIF(月間集計シート!$M$113:$M$132,$G88,月間集計シート!Q$113:Q$132)*AO$2</f>
        <v>0</v>
      </c>
      <c r="AP88" s="88">
        <f>SUMIF(月間集計シート!$M$113:$M$132,$G88,月間集計シート!R$113:R$132)*AP$2</f>
        <v>0</v>
      </c>
      <c r="AQ88" s="88">
        <f>SUMIF(月間集計シート!$M$113:$M$132,$G88,月間集計シート!S$113:S$132)*AQ$2</f>
        <v>0</v>
      </c>
      <c r="AR88" s="88">
        <f>SUMIF(月間集計シート!$M$113:$M$132,$G88,月間集計シート!T$113:T$132)*AR$2</f>
        <v>0</v>
      </c>
      <c r="AS88" s="88">
        <f>SUMIF(月間集計シート!$M$134:$M$153,$G88,月間集計シート!N$134:N$153)*AS$2</f>
        <v>0</v>
      </c>
      <c r="AT88" s="88">
        <f>SUMIF(月間集計シート!$M$134:$M$153,$G88,月間集計シート!O$134:O$153)*AT$2</f>
        <v>0</v>
      </c>
      <c r="AU88" s="88">
        <f>SUMIF(月間集計シート!$M$134:$M$153,$G88,月間集計シート!P$134:P$153)*AU$2</f>
        <v>0</v>
      </c>
      <c r="AV88" s="88">
        <f>SUMIF(月間集計シート!$M$134:$M$153,$G88,月間集計シート!Q$134:Q$153)*AV$2</f>
        <v>0</v>
      </c>
      <c r="AW88" s="88">
        <f>SUMIF(月間集計シート!$M$134:$M$153,$G88,月間集計シート!R$134:R$153)*AW$2</f>
        <v>0</v>
      </c>
      <c r="AX88" s="88">
        <f>SUMIF(月間集計シート!$M$134:$M$153,$G88,月間集計シート!S$134:S$153)*AX$2</f>
        <v>0</v>
      </c>
      <c r="AY88" s="88">
        <f>SUMIF(月間集計シート!$M$134:$M$153,$G88,月間集計シート!T$134:T$153)*AY$2</f>
        <v>0</v>
      </c>
    </row>
    <row r="89" spans="1:51" ht="14.25" thickBot="1">
      <c r="A89">
        <v>1</v>
      </c>
      <c r="B89" s="120">
        <f t="shared" si="15"/>
        <v>999909</v>
      </c>
      <c r="C89" s="120" t="e">
        <f t="shared" si="15"/>
        <v>#N/A</v>
      </c>
      <c r="D89" s="137"/>
      <c r="E89" s="150" t="str">
        <f>工種!A81</f>
        <v>99107</v>
      </c>
      <c r="F89" s="119" t="str">
        <f>工種!B81</f>
        <v>間接業務：事務作業（開発以外）</v>
      </c>
      <c r="G89" s="116" t="str">
        <f t="shared" si="12"/>
        <v>99990999107</v>
      </c>
      <c r="H89" s="88">
        <f t="shared" si="14"/>
        <v>0</v>
      </c>
      <c r="I89" s="132"/>
      <c r="J89" s="88">
        <f>SUMIF(月間集計シート!$M$29:$M$48,$G89,月間集計シート!N$29:N$48)*J$2</f>
        <v>0</v>
      </c>
      <c r="K89" s="88">
        <f>SUMIF(月間集計シート!$M$29:$M$48,$G89,月間集計シート!O$29:O$48)*K$2</f>
        <v>0</v>
      </c>
      <c r="L89" s="88">
        <f>SUMIF(月間集計シート!$M$29:$M$48,$G89,月間集計シート!P$29:P$48)*L$2</f>
        <v>0</v>
      </c>
      <c r="M89" s="88">
        <f>SUMIF(月間集計シート!$M$29:$M$48,$G89,月間集計シート!Q$29:Q$48)*M$2</f>
        <v>0</v>
      </c>
      <c r="N89" s="88">
        <f>SUMIF(月間集計シート!$M$29:$M$48,$G89,月間集計シート!R$29:R$48)*N$2</f>
        <v>0</v>
      </c>
      <c r="O89" s="88">
        <f>SUMIF(月間集計シート!$M$29:$M$48,$G89,月間集計シート!S$29:S$48)*O$2</f>
        <v>0</v>
      </c>
      <c r="P89" s="88">
        <f>SUMIF(月間集計シート!$M$29:$M$48,$G89,月間集計シート!T$29:T$48)*P$2</f>
        <v>0</v>
      </c>
      <c r="Q89" s="88">
        <f>SUMIF(月間集計シート!$M$50:$M$69,$G89,月間集計シート!N$50:N$69)*Q$2</f>
        <v>0</v>
      </c>
      <c r="R89" s="88">
        <f>SUMIF(月間集計シート!$M$50:$M$69,$G89,月間集計シート!O$50:O$69)*R$2</f>
        <v>0</v>
      </c>
      <c r="S89" s="88">
        <f>SUMIF(月間集計シート!$M$50:$M$69,$G89,月間集計シート!P$50:P$69)*S$2</f>
        <v>0</v>
      </c>
      <c r="T89" s="88">
        <f>SUMIF(月間集計シート!$M$50:$M$69,$G89,月間集計シート!Q$50:Q$69)*T$2</f>
        <v>0</v>
      </c>
      <c r="U89" s="88">
        <f>SUMIF(月間集計シート!$M$50:$M$69,$G89,月間集計シート!R$50:R$69)*U$2</f>
        <v>0</v>
      </c>
      <c r="V89" s="88">
        <f>SUMIF(月間集計シート!$M$50:$M$69,$G89,月間集計シート!S$50:S$69)*V$2</f>
        <v>0</v>
      </c>
      <c r="W89" s="88">
        <f>SUMIF(月間集計シート!$M$50:$M$69,$G89,月間集計シート!T$50:T$69)*W$2</f>
        <v>0</v>
      </c>
      <c r="X89" s="88">
        <f>SUMIF(月間集計シート!$M$71:$M$90,$G89,月間集計シート!N$71:N$90)*X$2</f>
        <v>0</v>
      </c>
      <c r="Y89" s="88">
        <f>SUMIF(月間集計シート!$M$71:$M$90,$G89,月間集計シート!O$71:O$90)*Y$2</f>
        <v>0</v>
      </c>
      <c r="Z89" s="88">
        <f>SUMIF(月間集計シート!$M$71:$M$90,$G89,月間集計シート!P$71:P$90)*Z$2</f>
        <v>0</v>
      </c>
      <c r="AA89" s="88">
        <f>SUMIF(月間集計シート!$M$71:$M$90,$G89,月間集計シート!Q$71:Q$90)*AA$2</f>
        <v>0</v>
      </c>
      <c r="AB89" s="88">
        <f>SUMIF(月間集計シート!$M$71:$M$90,$G89,月間集計シート!R$71:R$90)*AB$2</f>
        <v>0</v>
      </c>
      <c r="AC89" s="88">
        <f>SUMIF(月間集計シート!$M$71:$M$90,$G89,月間集計シート!S$71:S$90)*AC$2</f>
        <v>0</v>
      </c>
      <c r="AD89" s="88">
        <f>SUMIF(月間集計シート!$M$71:$M$90,$G89,月間集計シート!T$71:T$90)*AD$2</f>
        <v>0</v>
      </c>
      <c r="AE89" s="88">
        <f>SUMIF(月間集計シート!$M$92:$M$111,$G89,月間集計シート!N$92:N$111)*AE$2</f>
        <v>0</v>
      </c>
      <c r="AF89" s="88">
        <f>SUMIF(月間集計シート!$M$92:$M$111,$G89,月間集計シート!O$92:O$111)*AF$2</f>
        <v>0</v>
      </c>
      <c r="AG89" s="88">
        <f>SUMIF(月間集計シート!$M$92:$M$111,$G89,月間集計シート!P$92:P$111)*AG$2</f>
        <v>0</v>
      </c>
      <c r="AH89" s="88">
        <f>SUMIF(月間集計シート!$M$92:$M$111,$G89,月間集計シート!Q$92:Q$111)*AH$2</f>
        <v>0</v>
      </c>
      <c r="AI89" s="88">
        <f>SUMIF(月間集計シート!$M$92:$M$111,$G89,月間集計シート!R$92:R$111)*AI$2</f>
        <v>0</v>
      </c>
      <c r="AJ89" s="88">
        <f>SUMIF(月間集計シート!$M$92:$M$111,$G89,月間集計シート!S$92:S$111)*AJ$2</f>
        <v>0</v>
      </c>
      <c r="AK89" s="88">
        <f>SUMIF(月間集計シート!$M$92:$M$111,$G89,月間集計シート!T$92:T$111)*AK$2</f>
        <v>0</v>
      </c>
      <c r="AL89" s="88">
        <f>SUMIF(月間集計シート!$M$113:$M$132,$G89,月間集計シート!N$113:N$132)*AL$2</f>
        <v>0</v>
      </c>
      <c r="AM89" s="88">
        <f>SUMIF(月間集計シート!$M$113:$M$132,$G89,月間集計シート!O$113:O$132)*AM$2</f>
        <v>0</v>
      </c>
      <c r="AN89" s="88">
        <f>SUMIF(月間集計シート!$M$113:$M$132,$G89,月間集計シート!P$113:P$132)*AN$2</f>
        <v>0</v>
      </c>
      <c r="AO89" s="88">
        <f>SUMIF(月間集計シート!$M$113:$M$132,$G89,月間集計シート!Q$113:Q$132)*AO$2</f>
        <v>0</v>
      </c>
      <c r="AP89" s="88">
        <f>SUMIF(月間集計シート!$M$113:$M$132,$G89,月間集計シート!R$113:R$132)*AP$2</f>
        <v>0</v>
      </c>
      <c r="AQ89" s="88">
        <f>SUMIF(月間集計シート!$M$113:$M$132,$G89,月間集計シート!S$113:S$132)*AQ$2</f>
        <v>0</v>
      </c>
      <c r="AR89" s="88">
        <f>SUMIF(月間集計シート!$M$113:$M$132,$G89,月間集計シート!T$113:T$132)*AR$2</f>
        <v>0</v>
      </c>
      <c r="AS89" s="88">
        <f>SUMIF(月間集計シート!$M$134:$M$153,$G89,月間集計シート!N$134:N$153)*AS$2</f>
        <v>0</v>
      </c>
      <c r="AT89" s="88">
        <f>SUMIF(月間集計シート!$M$134:$M$153,$G89,月間集計シート!O$134:O$153)*AT$2</f>
        <v>0</v>
      </c>
      <c r="AU89" s="88">
        <f>SUMIF(月間集計シート!$M$134:$M$153,$G89,月間集計シート!P$134:P$153)*AU$2</f>
        <v>0</v>
      </c>
      <c r="AV89" s="88">
        <f>SUMIF(月間集計シート!$M$134:$M$153,$G89,月間集計シート!Q$134:Q$153)*AV$2</f>
        <v>0</v>
      </c>
      <c r="AW89" s="88">
        <f>SUMIF(月間集計シート!$M$134:$M$153,$G89,月間集計シート!R$134:R$153)*AW$2</f>
        <v>0</v>
      </c>
      <c r="AX89" s="88">
        <f>SUMIF(月間集計シート!$M$134:$M$153,$G89,月間集計シート!S$134:S$153)*AX$2</f>
        <v>0</v>
      </c>
      <c r="AY89" s="88">
        <f>SUMIF(月間集計シート!$M$134:$M$153,$G89,月間集計シート!T$134:T$153)*AY$2</f>
        <v>0</v>
      </c>
    </row>
    <row r="90" spans="1:51" ht="14.25" thickBot="1">
      <c r="A90">
        <v>1</v>
      </c>
      <c r="B90" s="120">
        <f t="shared" si="15"/>
        <v>999909</v>
      </c>
      <c r="C90" s="120" t="e">
        <f t="shared" si="15"/>
        <v>#N/A</v>
      </c>
      <c r="D90" s="137"/>
      <c r="E90" s="150" t="str">
        <f>工種!A82</f>
        <v>99110</v>
      </c>
      <c r="F90" s="119" t="str">
        <f>工種!B82</f>
        <v>間接業務：打合せ</v>
      </c>
      <c r="G90" s="116" t="str">
        <f t="shared" si="12"/>
        <v>99990999110</v>
      </c>
      <c r="H90" s="88">
        <f t="shared" si="14"/>
        <v>0</v>
      </c>
      <c r="I90" s="132"/>
      <c r="J90" s="88">
        <f>SUMIF(月間集計シート!$M$29:$M$48,$G90,月間集計シート!N$29:N$48)*J$2</f>
        <v>0</v>
      </c>
      <c r="K90" s="88">
        <f>SUMIF(月間集計シート!$M$29:$M$48,$G90,月間集計シート!O$29:O$48)*K$2</f>
        <v>0</v>
      </c>
      <c r="L90" s="88">
        <f>SUMIF(月間集計シート!$M$29:$M$48,$G90,月間集計シート!P$29:P$48)*L$2</f>
        <v>0</v>
      </c>
      <c r="M90" s="88">
        <f>SUMIF(月間集計シート!$M$29:$M$48,$G90,月間集計シート!Q$29:Q$48)*M$2</f>
        <v>0</v>
      </c>
      <c r="N90" s="88">
        <f>SUMIF(月間集計シート!$M$29:$M$48,$G90,月間集計シート!R$29:R$48)*N$2</f>
        <v>0</v>
      </c>
      <c r="O90" s="88">
        <f>SUMIF(月間集計シート!$M$29:$M$48,$G90,月間集計シート!S$29:S$48)*O$2</f>
        <v>0</v>
      </c>
      <c r="P90" s="88">
        <f>SUMIF(月間集計シート!$M$29:$M$48,$G90,月間集計シート!T$29:T$48)*P$2</f>
        <v>0</v>
      </c>
      <c r="Q90" s="88">
        <f>SUMIF(月間集計シート!$M$50:$M$69,$G90,月間集計シート!N$50:N$69)*Q$2</f>
        <v>0</v>
      </c>
      <c r="R90" s="88">
        <f>SUMIF(月間集計シート!$M$50:$M$69,$G90,月間集計シート!O$50:O$69)*R$2</f>
        <v>0</v>
      </c>
      <c r="S90" s="88">
        <f>SUMIF(月間集計シート!$M$50:$M$69,$G90,月間集計シート!P$50:P$69)*S$2</f>
        <v>0</v>
      </c>
      <c r="T90" s="88">
        <f>SUMIF(月間集計シート!$M$50:$M$69,$G90,月間集計シート!Q$50:Q$69)*T$2</f>
        <v>0</v>
      </c>
      <c r="U90" s="88">
        <f>SUMIF(月間集計シート!$M$50:$M$69,$G90,月間集計シート!R$50:R$69)*U$2</f>
        <v>0</v>
      </c>
      <c r="V90" s="88">
        <f>SUMIF(月間集計シート!$M$50:$M$69,$G90,月間集計シート!S$50:S$69)*V$2</f>
        <v>0</v>
      </c>
      <c r="W90" s="88">
        <f>SUMIF(月間集計シート!$M$50:$M$69,$G90,月間集計シート!T$50:T$69)*W$2</f>
        <v>0</v>
      </c>
      <c r="X90" s="88">
        <f>SUMIF(月間集計シート!$M$71:$M$90,$G90,月間集計シート!N$71:N$90)*X$2</f>
        <v>0</v>
      </c>
      <c r="Y90" s="88">
        <f>SUMIF(月間集計シート!$M$71:$M$90,$G90,月間集計シート!O$71:O$90)*Y$2</f>
        <v>0</v>
      </c>
      <c r="Z90" s="88">
        <f>SUMIF(月間集計シート!$M$71:$M$90,$G90,月間集計シート!P$71:P$90)*Z$2</f>
        <v>0</v>
      </c>
      <c r="AA90" s="88">
        <f>SUMIF(月間集計シート!$M$71:$M$90,$G90,月間集計シート!Q$71:Q$90)*AA$2</f>
        <v>0</v>
      </c>
      <c r="AB90" s="88">
        <f>SUMIF(月間集計シート!$M$71:$M$90,$G90,月間集計シート!R$71:R$90)*AB$2</f>
        <v>0</v>
      </c>
      <c r="AC90" s="88">
        <f>SUMIF(月間集計シート!$M$71:$M$90,$G90,月間集計シート!S$71:S$90)*AC$2</f>
        <v>0</v>
      </c>
      <c r="AD90" s="88">
        <f>SUMIF(月間集計シート!$M$71:$M$90,$G90,月間集計シート!T$71:T$90)*AD$2</f>
        <v>0</v>
      </c>
      <c r="AE90" s="88">
        <f>SUMIF(月間集計シート!$M$92:$M$111,$G90,月間集計シート!N$92:N$111)*AE$2</f>
        <v>0</v>
      </c>
      <c r="AF90" s="88">
        <f>SUMIF(月間集計シート!$M$92:$M$111,$G90,月間集計シート!O$92:O$111)*AF$2</f>
        <v>0</v>
      </c>
      <c r="AG90" s="88">
        <f>SUMIF(月間集計シート!$M$92:$M$111,$G90,月間集計シート!P$92:P$111)*AG$2</f>
        <v>0</v>
      </c>
      <c r="AH90" s="88">
        <f>SUMIF(月間集計シート!$M$92:$M$111,$G90,月間集計シート!Q$92:Q$111)*AH$2</f>
        <v>0</v>
      </c>
      <c r="AI90" s="88">
        <f>SUMIF(月間集計シート!$M$92:$M$111,$G90,月間集計シート!R$92:R$111)*AI$2</f>
        <v>0</v>
      </c>
      <c r="AJ90" s="88">
        <f>SUMIF(月間集計シート!$M$92:$M$111,$G90,月間集計シート!S$92:S$111)*AJ$2</f>
        <v>0</v>
      </c>
      <c r="AK90" s="88">
        <f>SUMIF(月間集計シート!$M$92:$M$111,$G90,月間集計シート!T$92:T$111)*AK$2</f>
        <v>0</v>
      </c>
      <c r="AL90" s="88">
        <f>SUMIF(月間集計シート!$M$113:$M$132,$G90,月間集計シート!N$113:N$132)*AL$2</f>
        <v>0</v>
      </c>
      <c r="AM90" s="88">
        <f>SUMIF(月間集計シート!$M$113:$M$132,$G90,月間集計シート!O$113:O$132)*AM$2</f>
        <v>0</v>
      </c>
      <c r="AN90" s="88">
        <f>SUMIF(月間集計シート!$M$113:$M$132,$G90,月間集計シート!P$113:P$132)*AN$2</f>
        <v>0</v>
      </c>
      <c r="AO90" s="88">
        <f>SUMIF(月間集計シート!$M$113:$M$132,$G90,月間集計シート!Q$113:Q$132)*AO$2</f>
        <v>0</v>
      </c>
      <c r="AP90" s="88">
        <f>SUMIF(月間集計シート!$M$113:$M$132,$G90,月間集計シート!R$113:R$132)*AP$2</f>
        <v>0</v>
      </c>
      <c r="AQ90" s="88">
        <f>SUMIF(月間集計シート!$M$113:$M$132,$G90,月間集計シート!S$113:S$132)*AQ$2</f>
        <v>0</v>
      </c>
      <c r="AR90" s="88">
        <f>SUMIF(月間集計シート!$M$113:$M$132,$G90,月間集計シート!T$113:T$132)*AR$2</f>
        <v>0</v>
      </c>
      <c r="AS90" s="88">
        <f>SUMIF(月間集計シート!$M$134:$M$153,$G90,月間集計シート!N$134:N$153)*AS$2</f>
        <v>0</v>
      </c>
      <c r="AT90" s="88">
        <f>SUMIF(月間集計シート!$M$134:$M$153,$G90,月間集計シート!O$134:O$153)*AT$2</f>
        <v>0</v>
      </c>
      <c r="AU90" s="88">
        <f>SUMIF(月間集計シート!$M$134:$M$153,$G90,月間集計シート!P$134:P$153)*AU$2</f>
        <v>0</v>
      </c>
      <c r="AV90" s="88">
        <f>SUMIF(月間集計シート!$M$134:$M$153,$G90,月間集計シート!Q$134:Q$153)*AV$2</f>
        <v>0</v>
      </c>
      <c r="AW90" s="88">
        <f>SUMIF(月間集計シート!$M$134:$M$153,$G90,月間集計シート!R$134:R$153)*AW$2</f>
        <v>0</v>
      </c>
      <c r="AX90" s="88">
        <f>SUMIF(月間集計シート!$M$134:$M$153,$G90,月間集計シート!S$134:S$153)*AX$2</f>
        <v>0</v>
      </c>
      <c r="AY90" s="88">
        <f>SUMIF(月間集計シート!$M$134:$M$153,$G90,月間集計シート!T$134:T$153)*AY$2</f>
        <v>0</v>
      </c>
    </row>
    <row r="91" spans="1:51" ht="14.25" thickBot="1">
      <c r="A91">
        <v>1</v>
      </c>
      <c r="B91" s="120">
        <f t="shared" si="15"/>
        <v>999909</v>
      </c>
      <c r="C91" s="120" t="e">
        <f t="shared" si="15"/>
        <v>#N/A</v>
      </c>
      <c r="D91" s="137"/>
      <c r="E91" s="150" t="str">
        <f>工種!A83</f>
        <v>99199</v>
      </c>
      <c r="F91" s="119" t="str">
        <f>工種!B83</f>
        <v>間接業務：その他</v>
      </c>
      <c r="G91" s="116" t="str">
        <f t="shared" ref="G91" si="16">B91&amp;E91</f>
        <v>99990999199</v>
      </c>
      <c r="H91" s="88">
        <f t="shared" ref="H91" si="17">SUM(J91:AY91)</f>
        <v>0</v>
      </c>
      <c r="I91" s="132"/>
      <c r="J91" s="88">
        <f>SUMIF(月間集計シート!$M$29:$M$48,$G91,月間集計シート!N$29:N$48)*J$2</f>
        <v>0</v>
      </c>
      <c r="K91" s="88">
        <f>SUMIF(月間集計シート!$M$29:$M$48,$G91,月間集計シート!O$29:O$48)*K$2</f>
        <v>0</v>
      </c>
      <c r="L91" s="88">
        <f>SUMIF(月間集計シート!$M$29:$M$48,$G91,月間集計シート!P$29:P$48)*L$2</f>
        <v>0</v>
      </c>
      <c r="M91" s="88">
        <f>SUMIF(月間集計シート!$M$29:$M$48,$G91,月間集計シート!Q$29:Q$48)*M$2</f>
        <v>0</v>
      </c>
      <c r="N91" s="88">
        <f>SUMIF(月間集計シート!$M$29:$M$48,$G91,月間集計シート!R$29:R$48)*N$2</f>
        <v>0</v>
      </c>
      <c r="O91" s="88">
        <f>SUMIF(月間集計シート!$M$29:$M$48,$G91,月間集計シート!S$29:S$48)*O$2</f>
        <v>0</v>
      </c>
      <c r="P91" s="88">
        <f>SUMIF(月間集計シート!$M$29:$M$48,$G91,月間集計シート!T$29:T$48)*P$2</f>
        <v>0</v>
      </c>
      <c r="Q91" s="88">
        <f>SUMIF(月間集計シート!$M$50:$M$69,$G91,月間集計シート!N$50:N$69)*Q$2</f>
        <v>0</v>
      </c>
      <c r="R91" s="88">
        <f>SUMIF(月間集計シート!$M$50:$M$69,$G91,月間集計シート!O$50:O$69)*R$2</f>
        <v>0</v>
      </c>
      <c r="S91" s="88">
        <f>SUMIF(月間集計シート!$M$50:$M$69,$G91,月間集計シート!P$50:P$69)*S$2</f>
        <v>0</v>
      </c>
      <c r="T91" s="88">
        <f>SUMIF(月間集計シート!$M$50:$M$69,$G91,月間集計シート!Q$50:Q$69)*T$2</f>
        <v>0</v>
      </c>
      <c r="U91" s="88">
        <f>SUMIF(月間集計シート!$M$50:$M$69,$G91,月間集計シート!R$50:R$69)*U$2</f>
        <v>0</v>
      </c>
      <c r="V91" s="88">
        <f>SUMIF(月間集計シート!$M$50:$M$69,$G91,月間集計シート!S$50:S$69)*V$2</f>
        <v>0</v>
      </c>
      <c r="W91" s="88">
        <f>SUMIF(月間集計シート!$M$50:$M$69,$G91,月間集計シート!T$50:T$69)*W$2</f>
        <v>0</v>
      </c>
      <c r="X91" s="88">
        <f>SUMIF(月間集計シート!$M$71:$M$90,$G91,月間集計シート!N$71:N$90)*X$2</f>
        <v>0</v>
      </c>
      <c r="Y91" s="88">
        <f>SUMIF(月間集計シート!$M$71:$M$90,$G91,月間集計シート!O$71:O$90)*Y$2</f>
        <v>0</v>
      </c>
      <c r="Z91" s="88">
        <f>SUMIF(月間集計シート!$M$71:$M$90,$G91,月間集計シート!P$71:P$90)*Z$2</f>
        <v>0</v>
      </c>
      <c r="AA91" s="88">
        <f>SUMIF(月間集計シート!$M$71:$M$90,$G91,月間集計シート!Q$71:Q$90)*AA$2</f>
        <v>0</v>
      </c>
      <c r="AB91" s="88">
        <f>SUMIF(月間集計シート!$M$71:$M$90,$G91,月間集計シート!R$71:R$90)*AB$2</f>
        <v>0</v>
      </c>
      <c r="AC91" s="88">
        <f>SUMIF(月間集計シート!$M$71:$M$90,$G91,月間集計シート!S$71:S$90)*AC$2</f>
        <v>0</v>
      </c>
      <c r="AD91" s="88">
        <f>SUMIF(月間集計シート!$M$71:$M$90,$G91,月間集計シート!T$71:T$90)*AD$2</f>
        <v>0</v>
      </c>
      <c r="AE91" s="88">
        <f>SUMIF(月間集計シート!$M$92:$M$111,$G91,月間集計シート!N$92:N$111)*AE$2</f>
        <v>0</v>
      </c>
      <c r="AF91" s="88">
        <f>SUMIF(月間集計シート!$M$92:$M$111,$G91,月間集計シート!O$92:O$111)*AF$2</f>
        <v>0</v>
      </c>
      <c r="AG91" s="88">
        <f>SUMIF(月間集計シート!$M$92:$M$111,$G91,月間集計シート!P$92:P$111)*AG$2</f>
        <v>0</v>
      </c>
      <c r="AH91" s="88">
        <f>SUMIF(月間集計シート!$M$92:$M$111,$G91,月間集計シート!Q$92:Q$111)*AH$2</f>
        <v>0</v>
      </c>
      <c r="AI91" s="88">
        <f>SUMIF(月間集計シート!$M$92:$M$111,$G91,月間集計シート!R$92:R$111)*AI$2</f>
        <v>0</v>
      </c>
      <c r="AJ91" s="88">
        <f>SUMIF(月間集計シート!$M$92:$M$111,$G91,月間集計シート!S$92:S$111)*AJ$2</f>
        <v>0</v>
      </c>
      <c r="AK91" s="88">
        <f>SUMIF(月間集計シート!$M$92:$M$111,$G91,月間集計シート!T$92:T$111)*AK$2</f>
        <v>0</v>
      </c>
      <c r="AL91" s="88">
        <f>SUMIF(月間集計シート!$M$113:$M$132,$G91,月間集計シート!N$113:N$132)*AL$2</f>
        <v>0</v>
      </c>
      <c r="AM91" s="88">
        <f>SUMIF(月間集計シート!$M$113:$M$132,$G91,月間集計シート!O$113:O$132)*AM$2</f>
        <v>0</v>
      </c>
      <c r="AN91" s="88">
        <f>SUMIF(月間集計シート!$M$113:$M$132,$G91,月間集計シート!P$113:P$132)*AN$2</f>
        <v>0</v>
      </c>
      <c r="AO91" s="88">
        <f>SUMIF(月間集計シート!$M$113:$M$132,$G91,月間集計シート!Q$113:Q$132)*AO$2</f>
        <v>0</v>
      </c>
      <c r="AP91" s="88">
        <f>SUMIF(月間集計シート!$M$113:$M$132,$G91,月間集計シート!R$113:R$132)*AP$2</f>
        <v>0</v>
      </c>
      <c r="AQ91" s="88">
        <f>SUMIF(月間集計シート!$M$113:$M$132,$G91,月間集計シート!S$113:S$132)*AQ$2</f>
        <v>0</v>
      </c>
      <c r="AR91" s="88">
        <f>SUMIF(月間集計シート!$M$113:$M$132,$G91,月間集計シート!T$113:T$132)*AR$2</f>
        <v>0</v>
      </c>
      <c r="AS91" s="88">
        <f>SUMIF(月間集計シート!$M$134:$M$153,$G91,月間集計シート!N$134:N$153)*AS$2</f>
        <v>0</v>
      </c>
      <c r="AT91" s="88">
        <f>SUMIF(月間集計シート!$M$134:$M$153,$G91,月間集計シート!O$134:O$153)*AT$2</f>
        <v>0</v>
      </c>
      <c r="AU91" s="88">
        <f>SUMIF(月間集計シート!$M$134:$M$153,$G91,月間集計シート!P$134:P$153)*AU$2</f>
        <v>0</v>
      </c>
      <c r="AV91" s="88">
        <f>SUMIF(月間集計シート!$M$134:$M$153,$G91,月間集計シート!Q$134:Q$153)*AV$2</f>
        <v>0</v>
      </c>
      <c r="AW91" s="88">
        <f>SUMIF(月間集計シート!$M$134:$M$153,$G91,月間集計シート!R$134:R$153)*AW$2</f>
        <v>0</v>
      </c>
      <c r="AX91" s="88">
        <f>SUMIF(月間集計シート!$M$134:$M$153,$G91,月間集計シート!S$134:S$153)*AX$2</f>
        <v>0</v>
      </c>
      <c r="AY91" s="88">
        <f>SUMIF(月間集計シート!$M$134:$M$153,$G91,月間集計シート!T$134:T$153)*AY$2</f>
        <v>0</v>
      </c>
    </row>
    <row r="92" spans="1:51">
      <c r="B92" s="120"/>
      <c r="C92" s="120"/>
      <c r="D92" s="127"/>
      <c r="E92" s="115"/>
      <c r="F92" s="119"/>
      <c r="G92" s="116"/>
      <c r="H92" s="88"/>
      <c r="I92" s="132"/>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row>
    <row r="93" spans="1:51" ht="14.25" thickBot="1">
      <c r="A93">
        <v>2</v>
      </c>
      <c r="B93">
        <f>月間集計シート!I5</f>
        <v>393021</v>
      </c>
      <c r="C93" s="116" t="e">
        <f>月間集計シート!J5</f>
        <v>#N/A</v>
      </c>
      <c r="D93" s="147">
        <v>1</v>
      </c>
      <c r="E93" s="115" t="s">
        <v>451</v>
      </c>
      <c r="F93" s="119" t="s">
        <v>29</v>
      </c>
      <c r="G93" s="116"/>
      <c r="H93" s="88">
        <f t="shared" ref="H93:H176" si="18">SUM(J93:AY93)</f>
        <v>0</v>
      </c>
      <c r="I93" s="132"/>
      <c r="J93" s="88">
        <f>SUM(J95:J176)</f>
        <v>0</v>
      </c>
      <c r="K93" s="88">
        <f t="shared" ref="K93:AY93" si="19">SUM(K95:K176)</f>
        <v>0</v>
      </c>
      <c r="L93" s="88">
        <f t="shared" si="19"/>
        <v>0</v>
      </c>
      <c r="M93" s="88">
        <f t="shared" si="19"/>
        <v>0</v>
      </c>
      <c r="N93" s="88">
        <f t="shared" si="19"/>
        <v>0</v>
      </c>
      <c r="O93" s="88">
        <f t="shared" si="19"/>
        <v>0</v>
      </c>
      <c r="P93" s="88">
        <f t="shared" si="19"/>
        <v>0</v>
      </c>
      <c r="Q93" s="88">
        <f t="shared" si="19"/>
        <v>0</v>
      </c>
      <c r="R93" s="88">
        <f t="shared" si="19"/>
        <v>0</v>
      </c>
      <c r="S93" s="88">
        <f t="shared" si="19"/>
        <v>0</v>
      </c>
      <c r="T93" s="88">
        <f t="shared" si="19"/>
        <v>0</v>
      </c>
      <c r="U93" s="88">
        <f t="shared" si="19"/>
        <v>0</v>
      </c>
      <c r="V93" s="88">
        <f t="shared" si="19"/>
        <v>0</v>
      </c>
      <c r="W93" s="88">
        <f t="shared" si="19"/>
        <v>0</v>
      </c>
      <c r="X93" s="88">
        <f t="shared" si="19"/>
        <v>0</v>
      </c>
      <c r="Y93" s="88">
        <f t="shared" si="19"/>
        <v>0</v>
      </c>
      <c r="Z93" s="88">
        <f t="shared" si="19"/>
        <v>0</v>
      </c>
      <c r="AA93" s="88">
        <f t="shared" si="19"/>
        <v>0</v>
      </c>
      <c r="AB93" s="88">
        <f t="shared" si="19"/>
        <v>0</v>
      </c>
      <c r="AC93" s="88">
        <f t="shared" si="19"/>
        <v>0</v>
      </c>
      <c r="AD93" s="88">
        <f t="shared" si="19"/>
        <v>0</v>
      </c>
      <c r="AE93" s="88">
        <f t="shared" si="19"/>
        <v>0</v>
      </c>
      <c r="AF93" s="88">
        <f t="shared" si="19"/>
        <v>0</v>
      </c>
      <c r="AG93" s="88">
        <f t="shared" si="19"/>
        <v>0</v>
      </c>
      <c r="AH93" s="88">
        <f t="shared" si="19"/>
        <v>0</v>
      </c>
      <c r="AI93" s="88">
        <f t="shared" si="19"/>
        <v>0</v>
      </c>
      <c r="AJ93" s="88">
        <f t="shared" si="19"/>
        <v>0</v>
      </c>
      <c r="AK93" s="88">
        <f t="shared" si="19"/>
        <v>0</v>
      </c>
      <c r="AL93" s="88">
        <f t="shared" si="19"/>
        <v>0</v>
      </c>
      <c r="AM93" s="88">
        <f t="shared" si="19"/>
        <v>0</v>
      </c>
      <c r="AN93" s="88">
        <f t="shared" si="19"/>
        <v>0</v>
      </c>
      <c r="AO93" s="88">
        <f t="shared" si="19"/>
        <v>0</v>
      </c>
      <c r="AP93" s="88">
        <f t="shared" si="19"/>
        <v>0</v>
      </c>
      <c r="AQ93" s="88">
        <f t="shared" si="19"/>
        <v>0</v>
      </c>
      <c r="AR93" s="88">
        <f t="shared" si="19"/>
        <v>0</v>
      </c>
      <c r="AS93" s="88">
        <f t="shared" si="19"/>
        <v>0</v>
      </c>
      <c r="AT93" s="88">
        <f t="shared" si="19"/>
        <v>0</v>
      </c>
      <c r="AU93" s="88">
        <f t="shared" si="19"/>
        <v>0</v>
      </c>
      <c r="AV93" s="88">
        <f t="shared" si="19"/>
        <v>0</v>
      </c>
      <c r="AW93" s="88">
        <f t="shared" si="19"/>
        <v>0</v>
      </c>
      <c r="AX93" s="88">
        <f t="shared" si="19"/>
        <v>0</v>
      </c>
      <c r="AY93" s="88">
        <f t="shared" si="19"/>
        <v>0</v>
      </c>
    </row>
    <row r="94" spans="1:51" ht="14.25" customHeight="1" thickBot="1">
      <c r="A94">
        <v>2</v>
      </c>
      <c r="B94">
        <f>B93</f>
        <v>393021</v>
      </c>
      <c r="C94" s="116" t="e">
        <f>C93</f>
        <v>#N/A</v>
      </c>
      <c r="D94" s="147">
        <v>1</v>
      </c>
      <c r="E94" s="115" t="s">
        <v>453</v>
      </c>
      <c r="F94" s="119" t="s">
        <v>454</v>
      </c>
      <c r="G94" s="116"/>
      <c r="H94" s="129">
        <f t="shared" ref="H94" si="20">SUM(J94:AY94)</f>
        <v>0</v>
      </c>
      <c r="I94" s="132"/>
      <c r="J94" s="88">
        <f>SUMIF($D95:$D176,1,J95:J176)</f>
        <v>0</v>
      </c>
      <c r="K94" s="88">
        <f t="shared" ref="K94" si="21">SUMIF($D95:$D176,1,K95:K176)</f>
        <v>0</v>
      </c>
      <c r="L94" s="88">
        <f t="shared" ref="L94" si="22">SUMIF($D95:$D176,1,L95:L176)</f>
        <v>0</v>
      </c>
      <c r="M94" s="88">
        <f t="shared" ref="M94" si="23">SUMIF($D95:$D176,1,M95:M176)</f>
        <v>0</v>
      </c>
      <c r="N94" s="88">
        <f t="shared" ref="N94" si="24">SUMIF($D95:$D176,1,N95:N176)</f>
        <v>0</v>
      </c>
      <c r="O94" s="88">
        <f t="shared" ref="O94" si="25">SUMIF($D95:$D176,1,O95:O176)</f>
        <v>0</v>
      </c>
      <c r="P94" s="88">
        <f t="shared" ref="P94" si="26">SUMIF($D95:$D176,1,P95:P176)</f>
        <v>0</v>
      </c>
      <c r="Q94" s="88">
        <f t="shared" ref="Q94" si="27">SUMIF($D95:$D176,1,Q95:Q176)</f>
        <v>0</v>
      </c>
      <c r="R94" s="88">
        <f t="shared" ref="R94" si="28">SUMIF($D95:$D176,1,R95:R176)</f>
        <v>0</v>
      </c>
      <c r="S94" s="88">
        <f t="shared" ref="S94" si="29">SUMIF($D95:$D176,1,S95:S176)</f>
        <v>0</v>
      </c>
      <c r="T94" s="88">
        <f t="shared" ref="T94" si="30">SUMIF($D95:$D176,1,T95:T176)</f>
        <v>0</v>
      </c>
      <c r="U94" s="88">
        <f t="shared" ref="U94" si="31">SUMIF($D95:$D176,1,U95:U176)</f>
        <v>0</v>
      </c>
      <c r="V94" s="88">
        <f t="shared" ref="V94" si="32">SUMIF($D95:$D176,1,V95:V176)</f>
        <v>0</v>
      </c>
      <c r="W94" s="88">
        <f t="shared" ref="W94" si="33">SUMIF($D95:$D176,1,W95:W176)</f>
        <v>0</v>
      </c>
      <c r="X94" s="88">
        <f t="shared" ref="X94" si="34">SUMIF($D95:$D176,1,X95:X176)</f>
        <v>0</v>
      </c>
      <c r="Y94" s="88">
        <f t="shared" ref="Y94" si="35">SUMIF($D95:$D176,1,Y95:Y176)</f>
        <v>0</v>
      </c>
      <c r="Z94" s="88">
        <f t="shared" ref="Z94" si="36">SUMIF($D95:$D176,1,Z95:Z176)</f>
        <v>0</v>
      </c>
      <c r="AA94" s="88">
        <f t="shared" ref="AA94" si="37">SUMIF($D95:$D176,1,AA95:AA176)</f>
        <v>0</v>
      </c>
      <c r="AB94" s="88">
        <f t="shared" ref="AB94" si="38">SUMIF($D95:$D176,1,AB95:AB176)</f>
        <v>0</v>
      </c>
      <c r="AC94" s="88">
        <f t="shared" ref="AC94" si="39">SUMIF($D95:$D176,1,AC95:AC176)</f>
        <v>0</v>
      </c>
      <c r="AD94" s="88">
        <f t="shared" ref="AD94" si="40">SUMIF($D95:$D176,1,AD95:AD176)</f>
        <v>0</v>
      </c>
      <c r="AE94" s="88">
        <f t="shared" ref="AE94" si="41">SUMIF($D95:$D176,1,AE95:AE176)</f>
        <v>0</v>
      </c>
      <c r="AF94" s="88">
        <f t="shared" ref="AF94" si="42">SUMIF($D95:$D176,1,AF95:AF176)</f>
        <v>0</v>
      </c>
      <c r="AG94" s="88">
        <f t="shared" ref="AG94" si="43">SUMIF($D95:$D176,1,AG95:AG176)</f>
        <v>0</v>
      </c>
      <c r="AH94" s="88">
        <f t="shared" ref="AH94" si="44">SUMIF($D95:$D176,1,AH95:AH176)</f>
        <v>0</v>
      </c>
      <c r="AI94" s="88">
        <f t="shared" ref="AI94" si="45">SUMIF($D95:$D176,1,AI95:AI176)</f>
        <v>0</v>
      </c>
      <c r="AJ94" s="88">
        <f t="shared" ref="AJ94" si="46">SUMIF($D95:$D176,1,AJ95:AJ176)</f>
        <v>0</v>
      </c>
      <c r="AK94" s="88">
        <f t="shared" ref="AK94" si="47">SUMIF($D95:$D176,1,AK95:AK176)</f>
        <v>0</v>
      </c>
      <c r="AL94" s="88">
        <f t="shared" ref="AL94" si="48">SUMIF($D95:$D176,1,AL95:AL176)</f>
        <v>0</v>
      </c>
      <c r="AM94" s="88">
        <f t="shared" ref="AM94" si="49">SUMIF($D95:$D176,1,AM95:AM176)</f>
        <v>0</v>
      </c>
      <c r="AN94" s="88">
        <f t="shared" ref="AN94" si="50">SUMIF($D95:$D176,1,AN95:AN176)</f>
        <v>0</v>
      </c>
      <c r="AO94" s="88">
        <f t="shared" ref="AO94" si="51">SUMIF($D95:$D176,1,AO95:AO176)</f>
        <v>0</v>
      </c>
      <c r="AP94" s="88">
        <f t="shared" ref="AP94" si="52">SUMIF($D95:$D176,1,AP95:AP176)</f>
        <v>0</v>
      </c>
      <c r="AQ94" s="88">
        <f t="shared" ref="AQ94" si="53">SUMIF($D95:$D176,1,AQ95:AQ176)</f>
        <v>0</v>
      </c>
      <c r="AR94" s="88">
        <f t="shared" ref="AR94" si="54">SUMIF($D95:$D176,1,AR95:AR176)</f>
        <v>0</v>
      </c>
      <c r="AS94" s="88">
        <f t="shared" ref="AS94" si="55">SUMIF($D95:$D176,1,AS95:AS176)</f>
        <v>0</v>
      </c>
      <c r="AT94" s="88">
        <f t="shared" ref="AT94" si="56">SUMIF($D95:$D176,1,AT95:AT176)</f>
        <v>0</v>
      </c>
      <c r="AU94" s="88">
        <f t="shared" ref="AU94" si="57">SUMIF($D95:$D176,1,AU95:AU176)</f>
        <v>0</v>
      </c>
      <c r="AV94" s="88">
        <f t="shared" ref="AV94" si="58">SUMIF($D95:$D176,1,AV95:AV176)</f>
        <v>0</v>
      </c>
      <c r="AW94" s="88">
        <f t="shared" ref="AW94" si="59">SUMIF($D95:$D176,1,AW95:AW176)</f>
        <v>0</v>
      </c>
      <c r="AX94" s="88">
        <f t="shared" ref="AX94" si="60">SUMIF($D95:$D176,1,AX95:AX176)</f>
        <v>0</v>
      </c>
      <c r="AY94" s="88">
        <f t="shared" ref="AY94" si="61">SUMIF($D95:$D176,1,AY95:AY176)</f>
        <v>0</v>
      </c>
    </row>
    <row r="95" spans="1:51" ht="14.25" thickBot="1">
      <c r="A95">
        <v>2</v>
      </c>
      <c r="B95" s="120">
        <f>B93</f>
        <v>393021</v>
      </c>
      <c r="C95" s="120" t="e">
        <f>C93</f>
        <v>#N/A</v>
      </c>
      <c r="D95" s="137"/>
      <c r="E95" s="150" t="str">
        <f>工種!A2</f>
        <v>10102</v>
      </c>
      <c r="F95" s="119" t="str">
        <f>工種!B2</f>
        <v>SRS：調査・分析・開発計画の準備・実施作業</v>
      </c>
      <c r="G95" s="116" t="str">
        <f t="shared" si="7"/>
        <v>39302110102</v>
      </c>
      <c r="H95" s="88">
        <f t="shared" si="18"/>
        <v>0</v>
      </c>
      <c r="I95" s="132"/>
      <c r="J95" s="88">
        <f>SUMIF(月間集計シート!$M$29:$M$48,$G95,月間集計シート!N$29:N$48)*J$2</f>
        <v>0</v>
      </c>
      <c r="K95" s="88">
        <f>SUMIF(月間集計シート!$M$29:$M$48,$G95,月間集計シート!O$29:O$48)*K$2</f>
        <v>0</v>
      </c>
      <c r="L95" s="88">
        <f>SUMIF(月間集計シート!$M$29:$M$48,$G95,月間集計シート!P$29:P$48)*L$2</f>
        <v>0</v>
      </c>
      <c r="M95" s="88">
        <f>SUMIF(月間集計シート!$M$29:$M$48,$G95,月間集計シート!Q$29:Q$48)*M$2</f>
        <v>0</v>
      </c>
      <c r="N95" s="88">
        <f>SUMIF(月間集計シート!$M$29:$M$48,$G95,月間集計シート!R$29:R$48)*N$2</f>
        <v>0</v>
      </c>
      <c r="O95" s="88">
        <f>SUMIF(月間集計シート!$M$29:$M$48,$G95,月間集計シート!S$29:S$48)*O$2</f>
        <v>0</v>
      </c>
      <c r="P95" s="88">
        <f>SUMIF(月間集計シート!$M$29:$M$48,$G95,月間集計シート!T$29:T$48)*P$2</f>
        <v>0</v>
      </c>
      <c r="Q95" s="88">
        <f>SUMIF(月間集計シート!$M$50:$M$69,$G95,月間集計シート!N$50:N$69)*Q$2</f>
        <v>0</v>
      </c>
      <c r="R95" s="88">
        <f>SUMIF(月間集計シート!$M$50:$M$69,$G95,月間集計シート!O$50:O$69)*R$2</f>
        <v>0</v>
      </c>
      <c r="S95" s="88">
        <f>SUMIF(月間集計シート!$M$50:$M$69,$G95,月間集計シート!P$50:P$69)*S$2</f>
        <v>0</v>
      </c>
      <c r="T95" s="88">
        <f>SUMIF(月間集計シート!$M$50:$M$69,$G95,月間集計シート!Q$50:Q$69)*T$2</f>
        <v>0</v>
      </c>
      <c r="U95" s="88">
        <f>SUMIF(月間集計シート!$M$50:$M$69,$G95,月間集計シート!R$50:R$69)*U$2</f>
        <v>0</v>
      </c>
      <c r="V95" s="88">
        <f>SUMIF(月間集計シート!$M$50:$M$69,$G95,月間集計シート!S$50:S$69)*V$2</f>
        <v>0</v>
      </c>
      <c r="W95" s="88">
        <f>SUMIF(月間集計シート!$M$50:$M$69,$G95,月間集計シート!T$50:T$69)*W$2</f>
        <v>0</v>
      </c>
      <c r="X95" s="88">
        <f>SUMIF(月間集計シート!$M$71:$M$90,$G95,月間集計シート!N$71:N$90)*X$2</f>
        <v>0</v>
      </c>
      <c r="Y95" s="88">
        <f>SUMIF(月間集計シート!$M$71:$M$90,$G95,月間集計シート!O$71:O$90)*Y$2</f>
        <v>0</v>
      </c>
      <c r="Z95" s="88">
        <f>SUMIF(月間集計シート!$M$71:$M$90,$G95,月間集計シート!P$71:P$90)*Z$2</f>
        <v>0</v>
      </c>
      <c r="AA95" s="88">
        <f>SUMIF(月間集計シート!$M$71:$M$90,$G95,月間集計シート!Q$71:Q$90)*AA$2</f>
        <v>0</v>
      </c>
      <c r="AB95" s="88">
        <f>SUMIF(月間集計シート!$M$71:$M$90,$G95,月間集計シート!R$71:R$90)*AB$2</f>
        <v>0</v>
      </c>
      <c r="AC95" s="88">
        <f>SUMIF(月間集計シート!$M$71:$M$90,$G95,月間集計シート!S$71:S$90)*AC$2</f>
        <v>0</v>
      </c>
      <c r="AD95" s="88">
        <f>SUMIF(月間集計シート!$M$71:$M$90,$G95,月間集計シート!T$71:T$90)*AD$2</f>
        <v>0</v>
      </c>
      <c r="AE95" s="88">
        <f>SUMIF(月間集計シート!$M$92:$M$111,$G95,月間集計シート!N$92:N$111)*AE$2</f>
        <v>0</v>
      </c>
      <c r="AF95" s="88">
        <f>SUMIF(月間集計シート!$M$92:$M$111,$G95,月間集計シート!O$92:O$111)*AF$2</f>
        <v>0</v>
      </c>
      <c r="AG95" s="88">
        <f>SUMIF(月間集計シート!$M$92:$M$111,$G95,月間集計シート!P$92:P$111)*AG$2</f>
        <v>0</v>
      </c>
      <c r="AH95" s="88">
        <f>SUMIF(月間集計シート!$M$92:$M$111,$G95,月間集計シート!Q$92:Q$111)*AH$2</f>
        <v>0</v>
      </c>
      <c r="AI95" s="88">
        <f>SUMIF(月間集計シート!$M$92:$M$111,$G95,月間集計シート!R$92:R$111)*AI$2</f>
        <v>0</v>
      </c>
      <c r="AJ95" s="88">
        <f>SUMIF(月間集計シート!$M$92:$M$111,$G95,月間集計シート!S$92:S$111)*AJ$2</f>
        <v>0</v>
      </c>
      <c r="AK95" s="88">
        <f>SUMIF(月間集計シート!$M$92:$M$111,$G95,月間集計シート!T$92:T$111)*AK$2</f>
        <v>0</v>
      </c>
      <c r="AL95" s="88">
        <f>SUMIF(月間集計シート!$M$113:$M$132,$G95,月間集計シート!N$113:N$132)*AL$2</f>
        <v>0</v>
      </c>
      <c r="AM95" s="88">
        <f>SUMIF(月間集計シート!$M$113:$M$132,$G95,月間集計シート!O$113:O$132)*AM$2</f>
        <v>0</v>
      </c>
      <c r="AN95" s="88">
        <f>SUMIF(月間集計シート!$M$113:$M$132,$G95,月間集計シート!P$113:P$132)*AN$2</f>
        <v>0</v>
      </c>
      <c r="AO95" s="88">
        <f>SUMIF(月間集計シート!$M$113:$M$132,$G95,月間集計シート!Q$113:Q$132)*AO$2</f>
        <v>0</v>
      </c>
      <c r="AP95" s="88">
        <f>SUMIF(月間集計シート!$M$113:$M$132,$G95,月間集計シート!R$113:R$132)*AP$2</f>
        <v>0</v>
      </c>
      <c r="AQ95" s="88">
        <f>SUMIF(月間集計シート!$M$113:$M$132,$G95,月間集計シート!S$113:S$132)*AQ$2</f>
        <v>0</v>
      </c>
      <c r="AR95" s="88">
        <f>SUMIF(月間集計シート!$M$113:$M$132,$G95,月間集計シート!T$113:T$132)*AR$2</f>
        <v>0</v>
      </c>
      <c r="AS95" s="88">
        <f>SUMIF(月間集計シート!$M$134:$M$153,$G95,月間集計シート!N$134:N$153)*AS$2</f>
        <v>0</v>
      </c>
      <c r="AT95" s="88">
        <f>SUMIF(月間集計シート!$M$134:$M$153,$G95,月間集計シート!O$134:O$153)*AT$2</f>
        <v>0</v>
      </c>
      <c r="AU95" s="88">
        <f>SUMIF(月間集計シート!$M$134:$M$153,$G95,月間集計シート!P$134:P$153)*AU$2</f>
        <v>0</v>
      </c>
      <c r="AV95" s="88">
        <f>SUMIF(月間集計シート!$M$134:$M$153,$G95,月間集計シート!Q$134:Q$153)*AV$2</f>
        <v>0</v>
      </c>
      <c r="AW95" s="88">
        <f>SUMIF(月間集計シート!$M$134:$M$153,$G95,月間集計シート!R$134:R$153)*AW$2</f>
        <v>0</v>
      </c>
      <c r="AX95" s="88">
        <f>SUMIF(月間集計シート!$M$134:$M$153,$G95,月間集計シート!S$134:S$153)*AX$2</f>
        <v>0</v>
      </c>
      <c r="AY95" s="88">
        <f>SUMIF(月間集計シート!$M$134:$M$153,$G95,月間集計シート!T$134:T$153)*AY$2</f>
        <v>0</v>
      </c>
    </row>
    <row r="96" spans="1:51" ht="14.25" thickBot="1">
      <c r="A96">
        <v>2</v>
      </c>
      <c r="B96" s="120">
        <f t="shared" ref="B96:B159" si="62">B95</f>
        <v>393021</v>
      </c>
      <c r="C96" s="120" t="e">
        <f t="shared" ref="C96:C159" si="63">C95</f>
        <v>#N/A</v>
      </c>
      <c r="D96" s="137"/>
      <c r="E96" s="150" t="str">
        <f>工種!A3</f>
        <v>10103</v>
      </c>
      <c r="F96" s="119" t="str">
        <f>工種!B3</f>
        <v>SRS：企画書・計画書・報告書等資料作成・修正</v>
      </c>
      <c r="G96" s="116" t="str">
        <f t="shared" si="7"/>
        <v>39302110103</v>
      </c>
      <c r="H96" s="88">
        <f t="shared" si="18"/>
        <v>0</v>
      </c>
      <c r="I96" s="132"/>
      <c r="J96" s="88">
        <f>SUMIF(月間集計シート!$M$29:$M$48,$G96,月間集計シート!N$29:N$48)*J$2</f>
        <v>0</v>
      </c>
      <c r="K96" s="88">
        <f>SUMIF(月間集計シート!$M$29:$M$48,$G96,月間集計シート!O$29:O$48)*K$2</f>
        <v>0</v>
      </c>
      <c r="L96" s="88">
        <f>SUMIF(月間集計シート!$M$29:$M$48,$G96,月間集計シート!P$29:P$48)*L$2</f>
        <v>0</v>
      </c>
      <c r="M96" s="88">
        <f>SUMIF(月間集計シート!$M$29:$M$48,$G96,月間集計シート!Q$29:Q$48)*M$2</f>
        <v>0</v>
      </c>
      <c r="N96" s="88">
        <f>SUMIF(月間集計シート!$M$29:$M$48,$G96,月間集計シート!R$29:R$48)*N$2</f>
        <v>0</v>
      </c>
      <c r="O96" s="88">
        <f>SUMIF(月間集計シート!$M$29:$M$48,$G96,月間集計シート!S$29:S$48)*O$2</f>
        <v>0</v>
      </c>
      <c r="P96" s="88">
        <f>SUMIF(月間集計シート!$M$29:$M$48,$G96,月間集計シート!T$29:T$48)*P$2</f>
        <v>0</v>
      </c>
      <c r="Q96" s="88">
        <f>SUMIF(月間集計シート!$M$50:$M$69,$G96,月間集計シート!N$50:N$69)*Q$2</f>
        <v>0</v>
      </c>
      <c r="R96" s="88">
        <f>SUMIF(月間集計シート!$M$50:$M$69,$G96,月間集計シート!O$50:O$69)*R$2</f>
        <v>0</v>
      </c>
      <c r="S96" s="88">
        <f>SUMIF(月間集計シート!$M$50:$M$69,$G96,月間集計シート!P$50:P$69)*S$2</f>
        <v>0</v>
      </c>
      <c r="T96" s="88">
        <f>SUMIF(月間集計シート!$M$50:$M$69,$G96,月間集計シート!Q$50:Q$69)*T$2</f>
        <v>0</v>
      </c>
      <c r="U96" s="88">
        <f>SUMIF(月間集計シート!$M$50:$M$69,$G96,月間集計シート!R$50:R$69)*U$2</f>
        <v>0</v>
      </c>
      <c r="V96" s="88">
        <f>SUMIF(月間集計シート!$M$50:$M$69,$G96,月間集計シート!S$50:S$69)*V$2</f>
        <v>0</v>
      </c>
      <c r="W96" s="88">
        <f>SUMIF(月間集計シート!$M$50:$M$69,$G96,月間集計シート!T$50:T$69)*W$2</f>
        <v>0</v>
      </c>
      <c r="X96" s="88">
        <f>SUMIF(月間集計シート!$M$71:$M$90,$G96,月間集計シート!N$71:N$90)*X$2</f>
        <v>0</v>
      </c>
      <c r="Y96" s="88">
        <f>SUMIF(月間集計シート!$M$71:$M$90,$G96,月間集計シート!O$71:O$90)*Y$2</f>
        <v>0</v>
      </c>
      <c r="Z96" s="88">
        <f>SUMIF(月間集計シート!$M$71:$M$90,$G96,月間集計シート!P$71:P$90)*Z$2</f>
        <v>0</v>
      </c>
      <c r="AA96" s="88">
        <f>SUMIF(月間集計シート!$M$71:$M$90,$G96,月間集計シート!Q$71:Q$90)*AA$2</f>
        <v>0</v>
      </c>
      <c r="AB96" s="88">
        <f>SUMIF(月間集計シート!$M$71:$M$90,$G96,月間集計シート!R$71:R$90)*AB$2</f>
        <v>0</v>
      </c>
      <c r="AC96" s="88">
        <f>SUMIF(月間集計シート!$M$71:$M$90,$G96,月間集計シート!S$71:S$90)*AC$2</f>
        <v>0</v>
      </c>
      <c r="AD96" s="88">
        <f>SUMIF(月間集計シート!$M$71:$M$90,$G96,月間集計シート!T$71:T$90)*AD$2</f>
        <v>0</v>
      </c>
      <c r="AE96" s="88">
        <f>SUMIF(月間集計シート!$M$92:$M$111,$G96,月間集計シート!N$92:N$111)*AE$2</f>
        <v>0</v>
      </c>
      <c r="AF96" s="88">
        <f>SUMIF(月間集計シート!$M$92:$M$111,$G96,月間集計シート!O$92:O$111)*AF$2</f>
        <v>0</v>
      </c>
      <c r="AG96" s="88">
        <f>SUMIF(月間集計シート!$M$92:$M$111,$G96,月間集計シート!P$92:P$111)*AG$2</f>
        <v>0</v>
      </c>
      <c r="AH96" s="88">
        <f>SUMIF(月間集計シート!$M$92:$M$111,$G96,月間集計シート!Q$92:Q$111)*AH$2</f>
        <v>0</v>
      </c>
      <c r="AI96" s="88">
        <f>SUMIF(月間集計シート!$M$92:$M$111,$G96,月間集計シート!R$92:R$111)*AI$2</f>
        <v>0</v>
      </c>
      <c r="AJ96" s="88">
        <f>SUMIF(月間集計シート!$M$92:$M$111,$G96,月間集計シート!S$92:S$111)*AJ$2</f>
        <v>0</v>
      </c>
      <c r="AK96" s="88">
        <f>SUMIF(月間集計シート!$M$92:$M$111,$G96,月間集計シート!T$92:T$111)*AK$2</f>
        <v>0</v>
      </c>
      <c r="AL96" s="88">
        <f>SUMIF(月間集計シート!$M$113:$M$132,$G96,月間集計シート!N$113:N$132)*AL$2</f>
        <v>0</v>
      </c>
      <c r="AM96" s="88">
        <f>SUMIF(月間集計シート!$M$113:$M$132,$G96,月間集計シート!O$113:O$132)*AM$2</f>
        <v>0</v>
      </c>
      <c r="AN96" s="88">
        <f>SUMIF(月間集計シート!$M$113:$M$132,$G96,月間集計シート!P$113:P$132)*AN$2</f>
        <v>0</v>
      </c>
      <c r="AO96" s="88">
        <f>SUMIF(月間集計シート!$M$113:$M$132,$G96,月間集計シート!Q$113:Q$132)*AO$2</f>
        <v>0</v>
      </c>
      <c r="AP96" s="88">
        <f>SUMIF(月間集計シート!$M$113:$M$132,$G96,月間集計シート!R$113:R$132)*AP$2</f>
        <v>0</v>
      </c>
      <c r="AQ96" s="88">
        <f>SUMIF(月間集計シート!$M$113:$M$132,$G96,月間集計シート!S$113:S$132)*AQ$2</f>
        <v>0</v>
      </c>
      <c r="AR96" s="88">
        <f>SUMIF(月間集計シート!$M$113:$M$132,$G96,月間集計シート!T$113:T$132)*AR$2</f>
        <v>0</v>
      </c>
      <c r="AS96" s="88">
        <f>SUMIF(月間集計シート!$M$134:$M$153,$G96,月間集計シート!N$134:N$153)*AS$2</f>
        <v>0</v>
      </c>
      <c r="AT96" s="88">
        <f>SUMIF(月間集計シート!$M$134:$M$153,$G96,月間集計シート!O$134:O$153)*AT$2</f>
        <v>0</v>
      </c>
      <c r="AU96" s="88">
        <f>SUMIF(月間集計シート!$M$134:$M$153,$G96,月間集計シート!P$134:P$153)*AU$2</f>
        <v>0</v>
      </c>
      <c r="AV96" s="88">
        <f>SUMIF(月間集計シート!$M$134:$M$153,$G96,月間集計シート!Q$134:Q$153)*AV$2</f>
        <v>0</v>
      </c>
      <c r="AW96" s="88">
        <f>SUMIF(月間集計シート!$M$134:$M$153,$G96,月間集計シート!R$134:R$153)*AW$2</f>
        <v>0</v>
      </c>
      <c r="AX96" s="88">
        <f>SUMIF(月間集計シート!$M$134:$M$153,$G96,月間集計シート!S$134:S$153)*AX$2</f>
        <v>0</v>
      </c>
      <c r="AY96" s="88">
        <f>SUMIF(月間集計シート!$M$134:$M$153,$G96,月間集計シート!T$134:T$153)*AY$2</f>
        <v>0</v>
      </c>
    </row>
    <row r="97" spans="1:51" ht="14.25" thickBot="1">
      <c r="A97">
        <v>2</v>
      </c>
      <c r="B97" s="120">
        <f t="shared" si="62"/>
        <v>393021</v>
      </c>
      <c r="C97" s="120" t="e">
        <f t="shared" si="63"/>
        <v>#N/A</v>
      </c>
      <c r="D97" s="137"/>
      <c r="E97" s="150" t="str">
        <f>工種!A4</f>
        <v>10104</v>
      </c>
      <c r="F97" s="119" t="str">
        <f>工種!B4</f>
        <v>SRS：打合せ</v>
      </c>
      <c r="G97" s="116" t="str">
        <f t="shared" ref="G97:G182" si="64">B97&amp;E97</f>
        <v>39302110104</v>
      </c>
      <c r="H97" s="88">
        <f t="shared" si="18"/>
        <v>0</v>
      </c>
      <c r="I97" s="132"/>
      <c r="J97" s="88">
        <f>SUMIF(月間集計シート!$M$29:$M$48,$G97,月間集計シート!N$29:N$48)*J$2</f>
        <v>0</v>
      </c>
      <c r="K97" s="88">
        <f>SUMIF(月間集計シート!$M$29:$M$48,$G97,月間集計シート!O$29:O$48)*K$2</f>
        <v>0</v>
      </c>
      <c r="L97" s="88">
        <f>SUMIF(月間集計シート!$M$29:$M$48,$G97,月間集計シート!P$29:P$48)*L$2</f>
        <v>0</v>
      </c>
      <c r="M97" s="88">
        <f>SUMIF(月間集計シート!$M$29:$M$48,$G97,月間集計シート!Q$29:Q$48)*M$2</f>
        <v>0</v>
      </c>
      <c r="N97" s="88">
        <f>SUMIF(月間集計シート!$M$29:$M$48,$G97,月間集計シート!R$29:R$48)*N$2</f>
        <v>0</v>
      </c>
      <c r="O97" s="88">
        <f>SUMIF(月間集計シート!$M$29:$M$48,$G97,月間集計シート!S$29:S$48)*O$2</f>
        <v>0</v>
      </c>
      <c r="P97" s="88">
        <f>SUMIF(月間集計シート!$M$29:$M$48,$G97,月間集計シート!T$29:T$48)*P$2</f>
        <v>0</v>
      </c>
      <c r="Q97" s="88">
        <f>SUMIF(月間集計シート!$M$50:$M$69,$G97,月間集計シート!N$50:N$69)*Q$2</f>
        <v>0</v>
      </c>
      <c r="R97" s="88">
        <f>SUMIF(月間集計シート!$M$50:$M$69,$G97,月間集計シート!O$50:O$69)*R$2</f>
        <v>0</v>
      </c>
      <c r="S97" s="88">
        <f>SUMIF(月間集計シート!$M$50:$M$69,$G97,月間集計シート!P$50:P$69)*S$2</f>
        <v>0</v>
      </c>
      <c r="T97" s="88">
        <f>SUMIF(月間集計シート!$M$50:$M$69,$G97,月間集計シート!Q$50:Q$69)*T$2</f>
        <v>0</v>
      </c>
      <c r="U97" s="88">
        <f>SUMIF(月間集計シート!$M$50:$M$69,$G97,月間集計シート!R$50:R$69)*U$2</f>
        <v>0</v>
      </c>
      <c r="V97" s="88">
        <f>SUMIF(月間集計シート!$M$50:$M$69,$G97,月間集計シート!S$50:S$69)*V$2</f>
        <v>0</v>
      </c>
      <c r="W97" s="88">
        <f>SUMIF(月間集計シート!$M$50:$M$69,$G97,月間集計シート!T$50:T$69)*W$2</f>
        <v>0</v>
      </c>
      <c r="X97" s="88">
        <f>SUMIF(月間集計シート!$M$71:$M$90,$G97,月間集計シート!N$71:N$90)*X$2</f>
        <v>0</v>
      </c>
      <c r="Y97" s="88">
        <f>SUMIF(月間集計シート!$M$71:$M$90,$G97,月間集計シート!O$71:O$90)*Y$2</f>
        <v>0</v>
      </c>
      <c r="Z97" s="88">
        <f>SUMIF(月間集計シート!$M$71:$M$90,$G97,月間集計シート!P$71:P$90)*Z$2</f>
        <v>0</v>
      </c>
      <c r="AA97" s="88">
        <f>SUMIF(月間集計シート!$M$71:$M$90,$G97,月間集計シート!Q$71:Q$90)*AA$2</f>
        <v>0</v>
      </c>
      <c r="AB97" s="88">
        <f>SUMIF(月間集計シート!$M$71:$M$90,$G97,月間集計シート!R$71:R$90)*AB$2</f>
        <v>0</v>
      </c>
      <c r="AC97" s="88">
        <f>SUMIF(月間集計シート!$M$71:$M$90,$G97,月間集計シート!S$71:S$90)*AC$2</f>
        <v>0</v>
      </c>
      <c r="AD97" s="88">
        <f>SUMIF(月間集計シート!$M$71:$M$90,$G97,月間集計シート!T$71:T$90)*AD$2</f>
        <v>0</v>
      </c>
      <c r="AE97" s="88">
        <f>SUMIF(月間集計シート!$M$92:$M$111,$G97,月間集計シート!N$92:N$111)*AE$2</f>
        <v>0</v>
      </c>
      <c r="AF97" s="88">
        <f>SUMIF(月間集計シート!$M$92:$M$111,$G97,月間集計シート!O$92:O$111)*AF$2</f>
        <v>0</v>
      </c>
      <c r="AG97" s="88">
        <f>SUMIF(月間集計シート!$M$92:$M$111,$G97,月間集計シート!P$92:P$111)*AG$2</f>
        <v>0</v>
      </c>
      <c r="AH97" s="88">
        <f>SUMIF(月間集計シート!$M$92:$M$111,$G97,月間集計シート!Q$92:Q$111)*AH$2</f>
        <v>0</v>
      </c>
      <c r="AI97" s="88">
        <f>SUMIF(月間集計シート!$M$92:$M$111,$G97,月間集計シート!R$92:R$111)*AI$2</f>
        <v>0</v>
      </c>
      <c r="AJ97" s="88">
        <f>SUMIF(月間集計シート!$M$92:$M$111,$G97,月間集計シート!S$92:S$111)*AJ$2</f>
        <v>0</v>
      </c>
      <c r="AK97" s="88">
        <f>SUMIF(月間集計シート!$M$92:$M$111,$G97,月間集計シート!T$92:T$111)*AK$2</f>
        <v>0</v>
      </c>
      <c r="AL97" s="88">
        <f>SUMIF(月間集計シート!$M$113:$M$132,$G97,月間集計シート!N$113:N$132)*AL$2</f>
        <v>0</v>
      </c>
      <c r="AM97" s="88">
        <f>SUMIF(月間集計シート!$M$113:$M$132,$G97,月間集計シート!O$113:O$132)*AM$2</f>
        <v>0</v>
      </c>
      <c r="AN97" s="88">
        <f>SUMIF(月間集計シート!$M$113:$M$132,$G97,月間集計シート!P$113:P$132)*AN$2</f>
        <v>0</v>
      </c>
      <c r="AO97" s="88">
        <f>SUMIF(月間集計シート!$M$113:$M$132,$G97,月間集計シート!Q$113:Q$132)*AO$2</f>
        <v>0</v>
      </c>
      <c r="AP97" s="88">
        <f>SUMIF(月間集計シート!$M$113:$M$132,$G97,月間集計シート!R$113:R$132)*AP$2</f>
        <v>0</v>
      </c>
      <c r="AQ97" s="88">
        <f>SUMIF(月間集計シート!$M$113:$M$132,$G97,月間集計シート!S$113:S$132)*AQ$2</f>
        <v>0</v>
      </c>
      <c r="AR97" s="88">
        <f>SUMIF(月間集計シート!$M$113:$M$132,$G97,月間集計シート!T$113:T$132)*AR$2</f>
        <v>0</v>
      </c>
      <c r="AS97" s="88">
        <f>SUMIF(月間集計シート!$M$134:$M$153,$G97,月間集計シート!N$134:N$153)*AS$2</f>
        <v>0</v>
      </c>
      <c r="AT97" s="88">
        <f>SUMIF(月間集計シート!$M$134:$M$153,$G97,月間集計シート!O$134:O$153)*AT$2</f>
        <v>0</v>
      </c>
      <c r="AU97" s="88">
        <f>SUMIF(月間集計シート!$M$134:$M$153,$G97,月間集計シート!P$134:P$153)*AU$2</f>
        <v>0</v>
      </c>
      <c r="AV97" s="88">
        <f>SUMIF(月間集計シート!$M$134:$M$153,$G97,月間集計シート!Q$134:Q$153)*AV$2</f>
        <v>0</v>
      </c>
      <c r="AW97" s="88">
        <f>SUMIF(月間集計シート!$M$134:$M$153,$G97,月間集計シート!R$134:R$153)*AW$2</f>
        <v>0</v>
      </c>
      <c r="AX97" s="88">
        <f>SUMIF(月間集計シート!$M$134:$M$153,$G97,月間集計シート!S$134:S$153)*AX$2</f>
        <v>0</v>
      </c>
      <c r="AY97" s="88">
        <f>SUMIF(月間集計シート!$M$134:$M$153,$G97,月間集計シート!T$134:T$153)*AY$2</f>
        <v>0</v>
      </c>
    </row>
    <row r="98" spans="1:51" ht="14.25" thickBot="1">
      <c r="A98">
        <v>2</v>
      </c>
      <c r="B98" s="120">
        <f t="shared" si="62"/>
        <v>393021</v>
      </c>
      <c r="C98" s="120" t="e">
        <f t="shared" si="63"/>
        <v>#N/A</v>
      </c>
      <c r="D98" s="137"/>
      <c r="E98" s="150" t="str">
        <f>工種!A5</f>
        <v>10105</v>
      </c>
      <c r="F98" s="119" t="str">
        <f>工種!B5</f>
        <v>SRS：レビュー</v>
      </c>
      <c r="G98" s="116" t="str">
        <f t="shared" si="64"/>
        <v>39302110105</v>
      </c>
      <c r="H98" s="88">
        <f t="shared" si="18"/>
        <v>0</v>
      </c>
      <c r="I98" s="132"/>
      <c r="J98" s="88">
        <f>SUMIF(月間集計シート!$M$29:$M$48,$G98,月間集計シート!N$29:N$48)*J$2</f>
        <v>0</v>
      </c>
      <c r="K98" s="88">
        <f>SUMIF(月間集計シート!$M$29:$M$48,$G98,月間集計シート!O$29:O$48)*K$2</f>
        <v>0</v>
      </c>
      <c r="L98" s="88">
        <f>SUMIF(月間集計シート!$M$29:$M$48,$G98,月間集計シート!P$29:P$48)*L$2</f>
        <v>0</v>
      </c>
      <c r="M98" s="88">
        <f>SUMIF(月間集計シート!$M$29:$M$48,$G98,月間集計シート!Q$29:Q$48)*M$2</f>
        <v>0</v>
      </c>
      <c r="N98" s="88">
        <f>SUMIF(月間集計シート!$M$29:$M$48,$G98,月間集計シート!R$29:R$48)*N$2</f>
        <v>0</v>
      </c>
      <c r="O98" s="88">
        <f>SUMIF(月間集計シート!$M$29:$M$48,$G98,月間集計シート!S$29:S$48)*O$2</f>
        <v>0</v>
      </c>
      <c r="P98" s="88">
        <f>SUMIF(月間集計シート!$M$29:$M$48,$G98,月間集計シート!T$29:T$48)*P$2</f>
        <v>0</v>
      </c>
      <c r="Q98" s="88">
        <f>SUMIF(月間集計シート!$M$50:$M$69,$G98,月間集計シート!N$50:N$69)*Q$2</f>
        <v>0</v>
      </c>
      <c r="R98" s="88">
        <f>SUMIF(月間集計シート!$M$50:$M$69,$G98,月間集計シート!O$50:O$69)*R$2</f>
        <v>0</v>
      </c>
      <c r="S98" s="88">
        <f>SUMIF(月間集計シート!$M$50:$M$69,$G98,月間集計シート!P$50:P$69)*S$2</f>
        <v>0</v>
      </c>
      <c r="T98" s="88">
        <f>SUMIF(月間集計シート!$M$50:$M$69,$G98,月間集計シート!Q$50:Q$69)*T$2</f>
        <v>0</v>
      </c>
      <c r="U98" s="88">
        <f>SUMIF(月間集計シート!$M$50:$M$69,$G98,月間集計シート!R$50:R$69)*U$2</f>
        <v>0</v>
      </c>
      <c r="V98" s="88">
        <f>SUMIF(月間集計シート!$M$50:$M$69,$G98,月間集計シート!S$50:S$69)*V$2</f>
        <v>0</v>
      </c>
      <c r="W98" s="88">
        <f>SUMIF(月間集計シート!$M$50:$M$69,$G98,月間集計シート!T$50:T$69)*W$2</f>
        <v>0</v>
      </c>
      <c r="X98" s="88">
        <f>SUMIF(月間集計シート!$M$71:$M$90,$G98,月間集計シート!N$71:N$90)*X$2</f>
        <v>0</v>
      </c>
      <c r="Y98" s="88">
        <f>SUMIF(月間集計シート!$M$71:$M$90,$G98,月間集計シート!O$71:O$90)*Y$2</f>
        <v>0</v>
      </c>
      <c r="Z98" s="88">
        <f>SUMIF(月間集計シート!$M$71:$M$90,$G98,月間集計シート!P$71:P$90)*Z$2</f>
        <v>0</v>
      </c>
      <c r="AA98" s="88">
        <f>SUMIF(月間集計シート!$M$71:$M$90,$G98,月間集計シート!Q$71:Q$90)*AA$2</f>
        <v>0</v>
      </c>
      <c r="AB98" s="88">
        <f>SUMIF(月間集計シート!$M$71:$M$90,$G98,月間集計シート!R$71:R$90)*AB$2</f>
        <v>0</v>
      </c>
      <c r="AC98" s="88">
        <f>SUMIF(月間集計シート!$M$71:$M$90,$G98,月間集計シート!S$71:S$90)*AC$2</f>
        <v>0</v>
      </c>
      <c r="AD98" s="88">
        <f>SUMIF(月間集計シート!$M$71:$M$90,$G98,月間集計シート!T$71:T$90)*AD$2</f>
        <v>0</v>
      </c>
      <c r="AE98" s="88">
        <f>SUMIF(月間集計シート!$M$92:$M$111,$G98,月間集計シート!N$92:N$111)*AE$2</f>
        <v>0</v>
      </c>
      <c r="AF98" s="88">
        <f>SUMIF(月間集計シート!$M$92:$M$111,$G98,月間集計シート!O$92:O$111)*AF$2</f>
        <v>0</v>
      </c>
      <c r="AG98" s="88">
        <f>SUMIF(月間集計シート!$M$92:$M$111,$G98,月間集計シート!P$92:P$111)*AG$2</f>
        <v>0</v>
      </c>
      <c r="AH98" s="88">
        <f>SUMIF(月間集計シート!$M$92:$M$111,$G98,月間集計シート!Q$92:Q$111)*AH$2</f>
        <v>0</v>
      </c>
      <c r="AI98" s="88">
        <f>SUMIF(月間集計シート!$M$92:$M$111,$G98,月間集計シート!R$92:R$111)*AI$2</f>
        <v>0</v>
      </c>
      <c r="AJ98" s="88">
        <f>SUMIF(月間集計シート!$M$92:$M$111,$G98,月間集計シート!S$92:S$111)*AJ$2</f>
        <v>0</v>
      </c>
      <c r="AK98" s="88">
        <f>SUMIF(月間集計シート!$M$92:$M$111,$G98,月間集計シート!T$92:T$111)*AK$2</f>
        <v>0</v>
      </c>
      <c r="AL98" s="88">
        <f>SUMIF(月間集計シート!$M$113:$M$132,$G98,月間集計シート!N$113:N$132)*AL$2</f>
        <v>0</v>
      </c>
      <c r="AM98" s="88">
        <f>SUMIF(月間集計シート!$M$113:$M$132,$G98,月間集計シート!O$113:O$132)*AM$2</f>
        <v>0</v>
      </c>
      <c r="AN98" s="88">
        <f>SUMIF(月間集計シート!$M$113:$M$132,$G98,月間集計シート!P$113:P$132)*AN$2</f>
        <v>0</v>
      </c>
      <c r="AO98" s="88">
        <f>SUMIF(月間集計シート!$M$113:$M$132,$G98,月間集計シート!Q$113:Q$132)*AO$2</f>
        <v>0</v>
      </c>
      <c r="AP98" s="88">
        <f>SUMIF(月間集計シート!$M$113:$M$132,$G98,月間集計シート!R$113:R$132)*AP$2</f>
        <v>0</v>
      </c>
      <c r="AQ98" s="88">
        <f>SUMIF(月間集計シート!$M$113:$M$132,$G98,月間集計シート!S$113:S$132)*AQ$2</f>
        <v>0</v>
      </c>
      <c r="AR98" s="88">
        <f>SUMIF(月間集計シート!$M$113:$M$132,$G98,月間集計シート!T$113:T$132)*AR$2</f>
        <v>0</v>
      </c>
      <c r="AS98" s="88">
        <f>SUMIF(月間集計シート!$M$134:$M$153,$G98,月間集計シート!N$134:N$153)*AS$2</f>
        <v>0</v>
      </c>
      <c r="AT98" s="88">
        <f>SUMIF(月間集計シート!$M$134:$M$153,$G98,月間集計シート!O$134:O$153)*AT$2</f>
        <v>0</v>
      </c>
      <c r="AU98" s="88">
        <f>SUMIF(月間集計シート!$M$134:$M$153,$G98,月間集計シート!P$134:P$153)*AU$2</f>
        <v>0</v>
      </c>
      <c r="AV98" s="88">
        <f>SUMIF(月間集計シート!$M$134:$M$153,$G98,月間集計シート!Q$134:Q$153)*AV$2</f>
        <v>0</v>
      </c>
      <c r="AW98" s="88">
        <f>SUMIF(月間集計シート!$M$134:$M$153,$G98,月間集計シート!R$134:R$153)*AW$2</f>
        <v>0</v>
      </c>
      <c r="AX98" s="88">
        <f>SUMIF(月間集計シート!$M$134:$M$153,$G98,月間集計シート!S$134:S$153)*AX$2</f>
        <v>0</v>
      </c>
      <c r="AY98" s="88">
        <f>SUMIF(月間集計シート!$M$134:$M$153,$G98,月間集計シート!T$134:T$153)*AY$2</f>
        <v>0</v>
      </c>
    </row>
    <row r="99" spans="1:51" ht="14.25" thickBot="1">
      <c r="A99">
        <v>2</v>
      </c>
      <c r="B99" s="120">
        <f t="shared" si="62"/>
        <v>393021</v>
      </c>
      <c r="C99" s="120" t="e">
        <f t="shared" si="63"/>
        <v>#N/A</v>
      </c>
      <c r="D99" s="137"/>
      <c r="E99" s="150" t="str">
        <f>工種!A6</f>
        <v>10199</v>
      </c>
      <c r="F99" s="119" t="str">
        <f>工種!B6</f>
        <v>SRS：その他</v>
      </c>
      <c r="G99" s="116" t="str">
        <f t="shared" si="64"/>
        <v>39302110199</v>
      </c>
      <c r="H99" s="88">
        <f t="shared" si="18"/>
        <v>0</v>
      </c>
      <c r="I99" s="132"/>
      <c r="J99" s="88">
        <f>SUMIF(月間集計シート!$M$29:$M$48,$G99,月間集計シート!N$29:N$48)*J$2</f>
        <v>0</v>
      </c>
      <c r="K99" s="88">
        <f>SUMIF(月間集計シート!$M$29:$M$48,$G99,月間集計シート!O$29:O$48)*K$2</f>
        <v>0</v>
      </c>
      <c r="L99" s="88">
        <f>SUMIF(月間集計シート!$M$29:$M$48,$G99,月間集計シート!P$29:P$48)*L$2</f>
        <v>0</v>
      </c>
      <c r="M99" s="88">
        <f>SUMIF(月間集計シート!$M$29:$M$48,$G99,月間集計シート!Q$29:Q$48)*M$2</f>
        <v>0</v>
      </c>
      <c r="N99" s="88">
        <f>SUMIF(月間集計シート!$M$29:$M$48,$G99,月間集計シート!R$29:R$48)*N$2</f>
        <v>0</v>
      </c>
      <c r="O99" s="88">
        <f>SUMIF(月間集計シート!$M$29:$M$48,$G99,月間集計シート!S$29:S$48)*O$2</f>
        <v>0</v>
      </c>
      <c r="P99" s="88">
        <f>SUMIF(月間集計シート!$M$29:$M$48,$G99,月間集計シート!T$29:T$48)*P$2</f>
        <v>0</v>
      </c>
      <c r="Q99" s="88">
        <f>SUMIF(月間集計シート!$M$50:$M$69,$G99,月間集計シート!N$50:N$69)*Q$2</f>
        <v>0</v>
      </c>
      <c r="R99" s="88">
        <f>SUMIF(月間集計シート!$M$50:$M$69,$G99,月間集計シート!O$50:O$69)*R$2</f>
        <v>0</v>
      </c>
      <c r="S99" s="88">
        <f>SUMIF(月間集計シート!$M$50:$M$69,$G99,月間集計シート!P$50:P$69)*S$2</f>
        <v>0</v>
      </c>
      <c r="T99" s="88">
        <f>SUMIF(月間集計シート!$M$50:$M$69,$G99,月間集計シート!Q$50:Q$69)*T$2</f>
        <v>0</v>
      </c>
      <c r="U99" s="88">
        <f>SUMIF(月間集計シート!$M$50:$M$69,$G99,月間集計シート!R$50:R$69)*U$2</f>
        <v>0</v>
      </c>
      <c r="V99" s="88">
        <f>SUMIF(月間集計シート!$M$50:$M$69,$G99,月間集計シート!S$50:S$69)*V$2</f>
        <v>0</v>
      </c>
      <c r="W99" s="88">
        <f>SUMIF(月間集計シート!$M$50:$M$69,$G99,月間集計シート!T$50:T$69)*W$2</f>
        <v>0</v>
      </c>
      <c r="X99" s="88">
        <f>SUMIF(月間集計シート!$M$71:$M$90,$G99,月間集計シート!N$71:N$90)*X$2</f>
        <v>0</v>
      </c>
      <c r="Y99" s="88">
        <f>SUMIF(月間集計シート!$M$71:$M$90,$G99,月間集計シート!O$71:O$90)*Y$2</f>
        <v>0</v>
      </c>
      <c r="Z99" s="88">
        <f>SUMIF(月間集計シート!$M$71:$M$90,$G99,月間集計シート!P$71:P$90)*Z$2</f>
        <v>0</v>
      </c>
      <c r="AA99" s="88">
        <f>SUMIF(月間集計シート!$M$71:$M$90,$G99,月間集計シート!Q$71:Q$90)*AA$2</f>
        <v>0</v>
      </c>
      <c r="AB99" s="88">
        <f>SUMIF(月間集計シート!$M$71:$M$90,$G99,月間集計シート!R$71:R$90)*AB$2</f>
        <v>0</v>
      </c>
      <c r="AC99" s="88">
        <f>SUMIF(月間集計シート!$M$71:$M$90,$G99,月間集計シート!S$71:S$90)*AC$2</f>
        <v>0</v>
      </c>
      <c r="AD99" s="88">
        <f>SUMIF(月間集計シート!$M$71:$M$90,$G99,月間集計シート!T$71:T$90)*AD$2</f>
        <v>0</v>
      </c>
      <c r="AE99" s="88">
        <f>SUMIF(月間集計シート!$M$92:$M$111,$G99,月間集計シート!N$92:N$111)*AE$2</f>
        <v>0</v>
      </c>
      <c r="AF99" s="88">
        <f>SUMIF(月間集計シート!$M$92:$M$111,$G99,月間集計シート!O$92:O$111)*AF$2</f>
        <v>0</v>
      </c>
      <c r="AG99" s="88">
        <f>SUMIF(月間集計シート!$M$92:$M$111,$G99,月間集計シート!P$92:P$111)*AG$2</f>
        <v>0</v>
      </c>
      <c r="AH99" s="88">
        <f>SUMIF(月間集計シート!$M$92:$M$111,$G99,月間集計シート!Q$92:Q$111)*AH$2</f>
        <v>0</v>
      </c>
      <c r="AI99" s="88">
        <f>SUMIF(月間集計シート!$M$92:$M$111,$G99,月間集計シート!R$92:R$111)*AI$2</f>
        <v>0</v>
      </c>
      <c r="AJ99" s="88">
        <f>SUMIF(月間集計シート!$M$92:$M$111,$G99,月間集計シート!S$92:S$111)*AJ$2</f>
        <v>0</v>
      </c>
      <c r="AK99" s="88">
        <f>SUMIF(月間集計シート!$M$92:$M$111,$G99,月間集計シート!T$92:T$111)*AK$2</f>
        <v>0</v>
      </c>
      <c r="AL99" s="88">
        <f>SUMIF(月間集計シート!$M$113:$M$132,$G99,月間集計シート!N$113:N$132)*AL$2</f>
        <v>0</v>
      </c>
      <c r="AM99" s="88">
        <f>SUMIF(月間集計シート!$M$113:$M$132,$G99,月間集計シート!O$113:O$132)*AM$2</f>
        <v>0</v>
      </c>
      <c r="AN99" s="88">
        <f>SUMIF(月間集計シート!$M$113:$M$132,$G99,月間集計シート!P$113:P$132)*AN$2</f>
        <v>0</v>
      </c>
      <c r="AO99" s="88">
        <f>SUMIF(月間集計シート!$M$113:$M$132,$G99,月間集計シート!Q$113:Q$132)*AO$2</f>
        <v>0</v>
      </c>
      <c r="AP99" s="88">
        <f>SUMIF(月間集計シート!$M$113:$M$132,$G99,月間集計シート!R$113:R$132)*AP$2</f>
        <v>0</v>
      </c>
      <c r="AQ99" s="88">
        <f>SUMIF(月間集計シート!$M$113:$M$132,$G99,月間集計シート!S$113:S$132)*AQ$2</f>
        <v>0</v>
      </c>
      <c r="AR99" s="88">
        <f>SUMIF(月間集計シート!$M$113:$M$132,$G99,月間集計シート!T$113:T$132)*AR$2</f>
        <v>0</v>
      </c>
      <c r="AS99" s="88">
        <f>SUMIF(月間集計シート!$M$134:$M$153,$G99,月間集計シート!N$134:N$153)*AS$2</f>
        <v>0</v>
      </c>
      <c r="AT99" s="88">
        <f>SUMIF(月間集計シート!$M$134:$M$153,$G99,月間集計シート!O$134:O$153)*AT$2</f>
        <v>0</v>
      </c>
      <c r="AU99" s="88">
        <f>SUMIF(月間集計シート!$M$134:$M$153,$G99,月間集計シート!P$134:P$153)*AU$2</f>
        <v>0</v>
      </c>
      <c r="AV99" s="88">
        <f>SUMIF(月間集計シート!$M$134:$M$153,$G99,月間集計シート!Q$134:Q$153)*AV$2</f>
        <v>0</v>
      </c>
      <c r="AW99" s="88">
        <f>SUMIF(月間集計シート!$M$134:$M$153,$G99,月間集計シート!R$134:R$153)*AW$2</f>
        <v>0</v>
      </c>
      <c r="AX99" s="88">
        <f>SUMIF(月間集計シート!$M$134:$M$153,$G99,月間集計シート!S$134:S$153)*AX$2</f>
        <v>0</v>
      </c>
      <c r="AY99" s="88">
        <f>SUMIF(月間集計シート!$M$134:$M$153,$G99,月間集計シート!T$134:T$153)*AY$2</f>
        <v>0</v>
      </c>
    </row>
    <row r="100" spans="1:51" ht="14.25" thickBot="1">
      <c r="A100">
        <v>2</v>
      </c>
      <c r="B100" s="120">
        <f t="shared" si="62"/>
        <v>393021</v>
      </c>
      <c r="C100" s="120" t="e">
        <f t="shared" si="63"/>
        <v>#N/A</v>
      </c>
      <c r="D100" s="137"/>
      <c r="E100" s="150" t="str">
        <f>工種!A7</f>
        <v>20101</v>
      </c>
      <c r="F100" s="119" t="str">
        <f>工種!B7</f>
        <v>設計：外部設計書作成</v>
      </c>
      <c r="G100" s="116" t="str">
        <f t="shared" si="64"/>
        <v>39302120101</v>
      </c>
      <c r="H100" s="88">
        <f t="shared" si="18"/>
        <v>0</v>
      </c>
      <c r="I100" s="132"/>
      <c r="J100" s="88">
        <f>SUMIF(月間集計シート!$M$29:$M$48,$G100,月間集計シート!N$29:N$48)*J$2</f>
        <v>0</v>
      </c>
      <c r="K100" s="88">
        <f>SUMIF(月間集計シート!$M$29:$M$48,$G100,月間集計シート!O$29:O$48)*K$2</f>
        <v>0</v>
      </c>
      <c r="L100" s="88">
        <f>SUMIF(月間集計シート!$M$29:$M$48,$G100,月間集計シート!P$29:P$48)*L$2</f>
        <v>0</v>
      </c>
      <c r="M100" s="88">
        <f>SUMIF(月間集計シート!$M$29:$M$48,$G100,月間集計シート!Q$29:Q$48)*M$2</f>
        <v>0</v>
      </c>
      <c r="N100" s="88">
        <f>SUMIF(月間集計シート!$M$29:$M$48,$G100,月間集計シート!R$29:R$48)*N$2</f>
        <v>0</v>
      </c>
      <c r="O100" s="88">
        <f>SUMIF(月間集計シート!$M$29:$M$48,$G100,月間集計シート!S$29:S$48)*O$2</f>
        <v>0</v>
      </c>
      <c r="P100" s="88">
        <f>SUMIF(月間集計シート!$M$29:$M$48,$G100,月間集計シート!T$29:T$48)*P$2</f>
        <v>0</v>
      </c>
      <c r="Q100" s="88">
        <f>SUMIF(月間集計シート!$M$50:$M$69,$G100,月間集計シート!N$50:N$69)*Q$2</f>
        <v>0</v>
      </c>
      <c r="R100" s="88">
        <f>SUMIF(月間集計シート!$M$50:$M$69,$G100,月間集計シート!O$50:O$69)*R$2</f>
        <v>0</v>
      </c>
      <c r="S100" s="88">
        <f>SUMIF(月間集計シート!$M$50:$M$69,$G100,月間集計シート!P$50:P$69)*S$2</f>
        <v>0</v>
      </c>
      <c r="T100" s="88">
        <f>SUMIF(月間集計シート!$M$50:$M$69,$G100,月間集計シート!Q$50:Q$69)*T$2</f>
        <v>0</v>
      </c>
      <c r="U100" s="88">
        <f>SUMIF(月間集計シート!$M$50:$M$69,$G100,月間集計シート!R$50:R$69)*U$2</f>
        <v>0</v>
      </c>
      <c r="V100" s="88">
        <f>SUMIF(月間集計シート!$M$50:$M$69,$G100,月間集計シート!S$50:S$69)*V$2</f>
        <v>0</v>
      </c>
      <c r="W100" s="88">
        <f>SUMIF(月間集計シート!$M$50:$M$69,$G100,月間集計シート!T$50:T$69)*W$2</f>
        <v>0</v>
      </c>
      <c r="X100" s="88">
        <f>SUMIF(月間集計シート!$M$71:$M$90,$G100,月間集計シート!N$71:N$90)*X$2</f>
        <v>0</v>
      </c>
      <c r="Y100" s="88">
        <f>SUMIF(月間集計シート!$M$71:$M$90,$G100,月間集計シート!O$71:O$90)*Y$2</f>
        <v>0</v>
      </c>
      <c r="Z100" s="88">
        <f>SUMIF(月間集計シート!$M$71:$M$90,$G100,月間集計シート!P$71:P$90)*Z$2</f>
        <v>0</v>
      </c>
      <c r="AA100" s="88">
        <f>SUMIF(月間集計シート!$M$71:$M$90,$G100,月間集計シート!Q$71:Q$90)*AA$2</f>
        <v>0</v>
      </c>
      <c r="AB100" s="88">
        <f>SUMIF(月間集計シート!$M$71:$M$90,$G100,月間集計シート!R$71:R$90)*AB$2</f>
        <v>0</v>
      </c>
      <c r="AC100" s="88">
        <f>SUMIF(月間集計シート!$M$71:$M$90,$G100,月間集計シート!S$71:S$90)*AC$2</f>
        <v>0</v>
      </c>
      <c r="AD100" s="88">
        <f>SUMIF(月間集計シート!$M$71:$M$90,$G100,月間集計シート!T$71:T$90)*AD$2</f>
        <v>0</v>
      </c>
      <c r="AE100" s="88">
        <f>SUMIF(月間集計シート!$M$92:$M$111,$G100,月間集計シート!N$92:N$111)*AE$2</f>
        <v>0</v>
      </c>
      <c r="AF100" s="88">
        <f>SUMIF(月間集計シート!$M$92:$M$111,$G100,月間集計シート!O$92:O$111)*AF$2</f>
        <v>0</v>
      </c>
      <c r="AG100" s="88">
        <f>SUMIF(月間集計シート!$M$92:$M$111,$G100,月間集計シート!P$92:P$111)*AG$2</f>
        <v>0</v>
      </c>
      <c r="AH100" s="88">
        <f>SUMIF(月間集計シート!$M$92:$M$111,$G100,月間集計シート!Q$92:Q$111)*AH$2</f>
        <v>0</v>
      </c>
      <c r="AI100" s="88">
        <f>SUMIF(月間集計シート!$M$92:$M$111,$G100,月間集計シート!R$92:R$111)*AI$2</f>
        <v>0</v>
      </c>
      <c r="AJ100" s="88">
        <f>SUMIF(月間集計シート!$M$92:$M$111,$G100,月間集計シート!S$92:S$111)*AJ$2</f>
        <v>0</v>
      </c>
      <c r="AK100" s="88">
        <f>SUMIF(月間集計シート!$M$92:$M$111,$G100,月間集計シート!T$92:T$111)*AK$2</f>
        <v>0</v>
      </c>
      <c r="AL100" s="88">
        <f>SUMIF(月間集計シート!$M$113:$M$132,$G100,月間集計シート!N$113:N$132)*AL$2</f>
        <v>0</v>
      </c>
      <c r="AM100" s="88">
        <f>SUMIF(月間集計シート!$M$113:$M$132,$G100,月間集計シート!O$113:O$132)*AM$2</f>
        <v>0</v>
      </c>
      <c r="AN100" s="88">
        <f>SUMIF(月間集計シート!$M$113:$M$132,$G100,月間集計シート!P$113:P$132)*AN$2</f>
        <v>0</v>
      </c>
      <c r="AO100" s="88">
        <f>SUMIF(月間集計シート!$M$113:$M$132,$G100,月間集計シート!Q$113:Q$132)*AO$2</f>
        <v>0</v>
      </c>
      <c r="AP100" s="88">
        <f>SUMIF(月間集計シート!$M$113:$M$132,$G100,月間集計シート!R$113:R$132)*AP$2</f>
        <v>0</v>
      </c>
      <c r="AQ100" s="88">
        <f>SUMIF(月間集計シート!$M$113:$M$132,$G100,月間集計シート!S$113:S$132)*AQ$2</f>
        <v>0</v>
      </c>
      <c r="AR100" s="88">
        <f>SUMIF(月間集計シート!$M$113:$M$132,$G100,月間集計シート!T$113:T$132)*AR$2</f>
        <v>0</v>
      </c>
      <c r="AS100" s="88">
        <f>SUMIF(月間集計シート!$M$134:$M$153,$G100,月間集計シート!N$134:N$153)*AS$2</f>
        <v>0</v>
      </c>
      <c r="AT100" s="88">
        <f>SUMIF(月間集計シート!$M$134:$M$153,$G100,月間集計シート!O$134:O$153)*AT$2</f>
        <v>0</v>
      </c>
      <c r="AU100" s="88">
        <f>SUMIF(月間集計シート!$M$134:$M$153,$G100,月間集計シート!P$134:P$153)*AU$2</f>
        <v>0</v>
      </c>
      <c r="AV100" s="88">
        <f>SUMIF(月間集計シート!$M$134:$M$153,$G100,月間集計シート!Q$134:Q$153)*AV$2</f>
        <v>0</v>
      </c>
      <c r="AW100" s="88">
        <f>SUMIF(月間集計シート!$M$134:$M$153,$G100,月間集計シート!R$134:R$153)*AW$2</f>
        <v>0</v>
      </c>
      <c r="AX100" s="88">
        <f>SUMIF(月間集計シート!$M$134:$M$153,$G100,月間集計シート!S$134:S$153)*AX$2</f>
        <v>0</v>
      </c>
      <c r="AY100" s="88">
        <f>SUMIF(月間集計シート!$M$134:$M$153,$G100,月間集計シート!T$134:T$153)*AY$2</f>
        <v>0</v>
      </c>
    </row>
    <row r="101" spans="1:51" ht="14.25" thickBot="1">
      <c r="A101">
        <v>2</v>
      </c>
      <c r="B101" s="120">
        <f t="shared" si="62"/>
        <v>393021</v>
      </c>
      <c r="C101" s="120" t="e">
        <f t="shared" si="63"/>
        <v>#N/A</v>
      </c>
      <c r="D101" s="137"/>
      <c r="E101" s="150" t="str">
        <f>工種!A8</f>
        <v>20103</v>
      </c>
      <c r="F101" s="119" t="str">
        <f>工種!B8</f>
        <v>設計：打合せ</v>
      </c>
      <c r="G101" s="116" t="str">
        <f t="shared" si="64"/>
        <v>39302120103</v>
      </c>
      <c r="H101" s="88">
        <f t="shared" si="18"/>
        <v>0</v>
      </c>
      <c r="I101" s="132"/>
      <c r="J101" s="88">
        <f>SUMIF(月間集計シート!$M$29:$M$48,$G101,月間集計シート!N$29:N$48)*J$2</f>
        <v>0</v>
      </c>
      <c r="K101" s="88">
        <f>SUMIF(月間集計シート!$M$29:$M$48,$G101,月間集計シート!O$29:O$48)*K$2</f>
        <v>0</v>
      </c>
      <c r="L101" s="88">
        <f>SUMIF(月間集計シート!$M$29:$M$48,$G101,月間集計シート!P$29:P$48)*L$2</f>
        <v>0</v>
      </c>
      <c r="M101" s="88">
        <f>SUMIF(月間集計シート!$M$29:$M$48,$G101,月間集計シート!Q$29:Q$48)*M$2</f>
        <v>0</v>
      </c>
      <c r="N101" s="88">
        <f>SUMIF(月間集計シート!$M$29:$M$48,$G101,月間集計シート!R$29:R$48)*N$2</f>
        <v>0</v>
      </c>
      <c r="O101" s="88">
        <f>SUMIF(月間集計シート!$M$29:$M$48,$G101,月間集計シート!S$29:S$48)*O$2</f>
        <v>0</v>
      </c>
      <c r="P101" s="88">
        <f>SUMIF(月間集計シート!$M$29:$M$48,$G101,月間集計シート!T$29:T$48)*P$2</f>
        <v>0</v>
      </c>
      <c r="Q101" s="88">
        <f>SUMIF(月間集計シート!$M$50:$M$69,$G101,月間集計シート!N$50:N$69)*Q$2</f>
        <v>0</v>
      </c>
      <c r="R101" s="88">
        <f>SUMIF(月間集計シート!$M$50:$M$69,$G101,月間集計シート!O$50:O$69)*R$2</f>
        <v>0</v>
      </c>
      <c r="S101" s="88">
        <f>SUMIF(月間集計シート!$M$50:$M$69,$G101,月間集計シート!P$50:P$69)*S$2</f>
        <v>0</v>
      </c>
      <c r="T101" s="88">
        <f>SUMIF(月間集計シート!$M$50:$M$69,$G101,月間集計シート!Q$50:Q$69)*T$2</f>
        <v>0</v>
      </c>
      <c r="U101" s="88">
        <f>SUMIF(月間集計シート!$M$50:$M$69,$G101,月間集計シート!R$50:R$69)*U$2</f>
        <v>0</v>
      </c>
      <c r="V101" s="88">
        <f>SUMIF(月間集計シート!$M$50:$M$69,$G101,月間集計シート!S$50:S$69)*V$2</f>
        <v>0</v>
      </c>
      <c r="W101" s="88">
        <f>SUMIF(月間集計シート!$M$50:$M$69,$G101,月間集計シート!T$50:T$69)*W$2</f>
        <v>0</v>
      </c>
      <c r="X101" s="88">
        <f>SUMIF(月間集計シート!$M$71:$M$90,$G101,月間集計シート!N$71:N$90)*X$2</f>
        <v>0</v>
      </c>
      <c r="Y101" s="88">
        <f>SUMIF(月間集計シート!$M$71:$M$90,$G101,月間集計シート!O$71:O$90)*Y$2</f>
        <v>0</v>
      </c>
      <c r="Z101" s="88">
        <f>SUMIF(月間集計シート!$M$71:$M$90,$G101,月間集計シート!P$71:P$90)*Z$2</f>
        <v>0</v>
      </c>
      <c r="AA101" s="88">
        <f>SUMIF(月間集計シート!$M$71:$M$90,$G101,月間集計シート!Q$71:Q$90)*AA$2</f>
        <v>0</v>
      </c>
      <c r="AB101" s="88">
        <f>SUMIF(月間集計シート!$M$71:$M$90,$G101,月間集計シート!R$71:R$90)*AB$2</f>
        <v>0</v>
      </c>
      <c r="AC101" s="88">
        <f>SUMIF(月間集計シート!$M$71:$M$90,$G101,月間集計シート!S$71:S$90)*AC$2</f>
        <v>0</v>
      </c>
      <c r="AD101" s="88">
        <f>SUMIF(月間集計シート!$M$71:$M$90,$G101,月間集計シート!T$71:T$90)*AD$2</f>
        <v>0</v>
      </c>
      <c r="AE101" s="88">
        <f>SUMIF(月間集計シート!$M$92:$M$111,$G101,月間集計シート!N$92:N$111)*AE$2</f>
        <v>0</v>
      </c>
      <c r="AF101" s="88">
        <f>SUMIF(月間集計シート!$M$92:$M$111,$G101,月間集計シート!O$92:O$111)*AF$2</f>
        <v>0</v>
      </c>
      <c r="AG101" s="88">
        <f>SUMIF(月間集計シート!$M$92:$M$111,$G101,月間集計シート!P$92:P$111)*AG$2</f>
        <v>0</v>
      </c>
      <c r="AH101" s="88">
        <f>SUMIF(月間集計シート!$M$92:$M$111,$G101,月間集計シート!Q$92:Q$111)*AH$2</f>
        <v>0</v>
      </c>
      <c r="AI101" s="88">
        <f>SUMIF(月間集計シート!$M$92:$M$111,$G101,月間集計シート!R$92:R$111)*AI$2</f>
        <v>0</v>
      </c>
      <c r="AJ101" s="88">
        <f>SUMIF(月間集計シート!$M$92:$M$111,$G101,月間集計シート!S$92:S$111)*AJ$2</f>
        <v>0</v>
      </c>
      <c r="AK101" s="88">
        <f>SUMIF(月間集計シート!$M$92:$M$111,$G101,月間集計シート!T$92:T$111)*AK$2</f>
        <v>0</v>
      </c>
      <c r="AL101" s="88">
        <f>SUMIF(月間集計シート!$M$113:$M$132,$G101,月間集計シート!N$113:N$132)*AL$2</f>
        <v>0</v>
      </c>
      <c r="AM101" s="88">
        <f>SUMIF(月間集計シート!$M$113:$M$132,$G101,月間集計シート!O$113:O$132)*AM$2</f>
        <v>0</v>
      </c>
      <c r="AN101" s="88">
        <f>SUMIF(月間集計シート!$M$113:$M$132,$G101,月間集計シート!P$113:P$132)*AN$2</f>
        <v>0</v>
      </c>
      <c r="AO101" s="88">
        <f>SUMIF(月間集計シート!$M$113:$M$132,$G101,月間集計シート!Q$113:Q$132)*AO$2</f>
        <v>0</v>
      </c>
      <c r="AP101" s="88">
        <f>SUMIF(月間集計シート!$M$113:$M$132,$G101,月間集計シート!R$113:R$132)*AP$2</f>
        <v>0</v>
      </c>
      <c r="AQ101" s="88">
        <f>SUMIF(月間集計シート!$M$113:$M$132,$G101,月間集計シート!S$113:S$132)*AQ$2</f>
        <v>0</v>
      </c>
      <c r="AR101" s="88">
        <f>SUMIF(月間集計シート!$M$113:$M$132,$G101,月間集計シート!T$113:T$132)*AR$2</f>
        <v>0</v>
      </c>
      <c r="AS101" s="88">
        <f>SUMIF(月間集計シート!$M$134:$M$153,$G101,月間集計シート!N$134:N$153)*AS$2</f>
        <v>0</v>
      </c>
      <c r="AT101" s="88">
        <f>SUMIF(月間集計シート!$M$134:$M$153,$G101,月間集計シート!O$134:O$153)*AT$2</f>
        <v>0</v>
      </c>
      <c r="AU101" s="88">
        <f>SUMIF(月間集計シート!$M$134:$M$153,$G101,月間集計シート!P$134:P$153)*AU$2</f>
        <v>0</v>
      </c>
      <c r="AV101" s="88">
        <f>SUMIF(月間集計シート!$M$134:$M$153,$G101,月間集計シート!Q$134:Q$153)*AV$2</f>
        <v>0</v>
      </c>
      <c r="AW101" s="88">
        <f>SUMIF(月間集計シート!$M$134:$M$153,$G101,月間集計シート!R$134:R$153)*AW$2</f>
        <v>0</v>
      </c>
      <c r="AX101" s="88">
        <f>SUMIF(月間集計シート!$M$134:$M$153,$G101,月間集計シート!S$134:S$153)*AX$2</f>
        <v>0</v>
      </c>
      <c r="AY101" s="88">
        <f>SUMIF(月間集計シート!$M$134:$M$153,$G101,月間集計シート!T$134:T$153)*AY$2</f>
        <v>0</v>
      </c>
    </row>
    <row r="102" spans="1:51" ht="14.25" thickBot="1">
      <c r="A102">
        <v>2</v>
      </c>
      <c r="B102" s="120">
        <f t="shared" si="62"/>
        <v>393021</v>
      </c>
      <c r="C102" s="120" t="e">
        <f t="shared" si="63"/>
        <v>#N/A</v>
      </c>
      <c r="D102" s="137"/>
      <c r="E102" s="150">
        <f>工種!A9</f>
        <v>20105</v>
      </c>
      <c r="F102" s="119" t="str">
        <f>工種!B9</f>
        <v>設計：原因調査・影響範囲分析・変更仕様作成</v>
      </c>
      <c r="G102" s="116" t="str">
        <f t="shared" si="64"/>
        <v>39302120105</v>
      </c>
      <c r="H102" s="88">
        <f t="shared" si="18"/>
        <v>0</v>
      </c>
      <c r="I102" s="132"/>
      <c r="J102" s="88">
        <f>SUMIF(月間集計シート!$M$29:$M$48,$G102,月間集計シート!N$29:N$48)*J$2</f>
        <v>0</v>
      </c>
      <c r="K102" s="88">
        <f>SUMIF(月間集計シート!$M$29:$M$48,$G102,月間集計シート!O$29:O$48)*K$2</f>
        <v>0</v>
      </c>
      <c r="L102" s="88">
        <f>SUMIF(月間集計シート!$M$29:$M$48,$G102,月間集計シート!P$29:P$48)*L$2</f>
        <v>0</v>
      </c>
      <c r="M102" s="88">
        <f>SUMIF(月間集計シート!$M$29:$M$48,$G102,月間集計シート!Q$29:Q$48)*M$2</f>
        <v>0</v>
      </c>
      <c r="N102" s="88">
        <f>SUMIF(月間集計シート!$M$29:$M$48,$G102,月間集計シート!R$29:R$48)*N$2</f>
        <v>0</v>
      </c>
      <c r="O102" s="88">
        <f>SUMIF(月間集計シート!$M$29:$M$48,$G102,月間集計シート!S$29:S$48)*O$2</f>
        <v>0</v>
      </c>
      <c r="P102" s="88">
        <f>SUMIF(月間集計シート!$M$29:$M$48,$G102,月間集計シート!T$29:T$48)*P$2</f>
        <v>0</v>
      </c>
      <c r="Q102" s="88">
        <f>SUMIF(月間集計シート!$M$50:$M$69,$G102,月間集計シート!N$50:N$69)*Q$2</f>
        <v>0</v>
      </c>
      <c r="R102" s="88">
        <f>SUMIF(月間集計シート!$M$50:$M$69,$G102,月間集計シート!O$50:O$69)*R$2</f>
        <v>0</v>
      </c>
      <c r="S102" s="88">
        <f>SUMIF(月間集計シート!$M$50:$M$69,$G102,月間集計シート!P$50:P$69)*S$2</f>
        <v>0</v>
      </c>
      <c r="T102" s="88">
        <f>SUMIF(月間集計シート!$M$50:$M$69,$G102,月間集計シート!Q$50:Q$69)*T$2</f>
        <v>0</v>
      </c>
      <c r="U102" s="88">
        <f>SUMIF(月間集計シート!$M$50:$M$69,$G102,月間集計シート!R$50:R$69)*U$2</f>
        <v>0</v>
      </c>
      <c r="V102" s="88">
        <f>SUMIF(月間集計シート!$M$50:$M$69,$G102,月間集計シート!S$50:S$69)*V$2</f>
        <v>0</v>
      </c>
      <c r="W102" s="88">
        <f>SUMIF(月間集計シート!$M$50:$M$69,$G102,月間集計シート!T$50:T$69)*W$2</f>
        <v>0</v>
      </c>
      <c r="X102" s="88">
        <f>SUMIF(月間集計シート!$M$71:$M$90,$G102,月間集計シート!N$71:N$90)*X$2</f>
        <v>0</v>
      </c>
      <c r="Y102" s="88">
        <f>SUMIF(月間集計シート!$M$71:$M$90,$G102,月間集計シート!O$71:O$90)*Y$2</f>
        <v>0</v>
      </c>
      <c r="Z102" s="88">
        <f>SUMIF(月間集計シート!$M$71:$M$90,$G102,月間集計シート!P$71:P$90)*Z$2</f>
        <v>0</v>
      </c>
      <c r="AA102" s="88">
        <f>SUMIF(月間集計シート!$M$71:$M$90,$G102,月間集計シート!Q$71:Q$90)*AA$2</f>
        <v>0</v>
      </c>
      <c r="AB102" s="88">
        <f>SUMIF(月間集計シート!$M$71:$M$90,$G102,月間集計シート!R$71:R$90)*AB$2</f>
        <v>0</v>
      </c>
      <c r="AC102" s="88">
        <f>SUMIF(月間集計シート!$M$71:$M$90,$G102,月間集計シート!S$71:S$90)*AC$2</f>
        <v>0</v>
      </c>
      <c r="AD102" s="88">
        <f>SUMIF(月間集計シート!$M$71:$M$90,$G102,月間集計シート!T$71:T$90)*AD$2</f>
        <v>0</v>
      </c>
      <c r="AE102" s="88">
        <f>SUMIF(月間集計シート!$M$92:$M$111,$G102,月間集計シート!N$92:N$111)*AE$2</f>
        <v>0</v>
      </c>
      <c r="AF102" s="88">
        <f>SUMIF(月間集計シート!$M$92:$M$111,$G102,月間集計シート!O$92:O$111)*AF$2</f>
        <v>0</v>
      </c>
      <c r="AG102" s="88">
        <f>SUMIF(月間集計シート!$M$92:$M$111,$G102,月間集計シート!P$92:P$111)*AG$2</f>
        <v>0</v>
      </c>
      <c r="AH102" s="88">
        <f>SUMIF(月間集計シート!$M$92:$M$111,$G102,月間集計シート!Q$92:Q$111)*AH$2</f>
        <v>0</v>
      </c>
      <c r="AI102" s="88">
        <f>SUMIF(月間集計シート!$M$92:$M$111,$G102,月間集計シート!R$92:R$111)*AI$2</f>
        <v>0</v>
      </c>
      <c r="AJ102" s="88">
        <f>SUMIF(月間集計シート!$M$92:$M$111,$G102,月間集計シート!S$92:S$111)*AJ$2</f>
        <v>0</v>
      </c>
      <c r="AK102" s="88">
        <f>SUMIF(月間集計シート!$M$92:$M$111,$G102,月間集計シート!T$92:T$111)*AK$2</f>
        <v>0</v>
      </c>
      <c r="AL102" s="88">
        <f>SUMIF(月間集計シート!$M$113:$M$132,$G102,月間集計シート!N$113:N$132)*AL$2</f>
        <v>0</v>
      </c>
      <c r="AM102" s="88">
        <f>SUMIF(月間集計シート!$M$113:$M$132,$G102,月間集計シート!O$113:O$132)*AM$2</f>
        <v>0</v>
      </c>
      <c r="AN102" s="88">
        <f>SUMIF(月間集計シート!$M$113:$M$132,$G102,月間集計シート!P$113:P$132)*AN$2</f>
        <v>0</v>
      </c>
      <c r="AO102" s="88">
        <f>SUMIF(月間集計シート!$M$113:$M$132,$G102,月間集計シート!Q$113:Q$132)*AO$2</f>
        <v>0</v>
      </c>
      <c r="AP102" s="88">
        <f>SUMIF(月間集計シート!$M$113:$M$132,$G102,月間集計シート!R$113:R$132)*AP$2</f>
        <v>0</v>
      </c>
      <c r="AQ102" s="88">
        <f>SUMIF(月間集計シート!$M$113:$M$132,$G102,月間集計シート!S$113:S$132)*AQ$2</f>
        <v>0</v>
      </c>
      <c r="AR102" s="88">
        <f>SUMIF(月間集計シート!$M$113:$M$132,$G102,月間集計シート!T$113:T$132)*AR$2</f>
        <v>0</v>
      </c>
      <c r="AS102" s="88">
        <f>SUMIF(月間集計シート!$M$134:$M$153,$G102,月間集計シート!N$134:N$153)*AS$2</f>
        <v>0</v>
      </c>
      <c r="AT102" s="88">
        <f>SUMIF(月間集計シート!$M$134:$M$153,$G102,月間集計シート!O$134:O$153)*AT$2</f>
        <v>0</v>
      </c>
      <c r="AU102" s="88">
        <f>SUMIF(月間集計シート!$M$134:$M$153,$G102,月間集計シート!P$134:P$153)*AU$2</f>
        <v>0</v>
      </c>
      <c r="AV102" s="88">
        <f>SUMIF(月間集計シート!$M$134:$M$153,$G102,月間集計シート!Q$134:Q$153)*AV$2</f>
        <v>0</v>
      </c>
      <c r="AW102" s="88">
        <f>SUMIF(月間集計シート!$M$134:$M$153,$G102,月間集計シート!R$134:R$153)*AW$2</f>
        <v>0</v>
      </c>
      <c r="AX102" s="88">
        <f>SUMIF(月間集計シート!$M$134:$M$153,$G102,月間集計シート!S$134:S$153)*AX$2</f>
        <v>0</v>
      </c>
      <c r="AY102" s="88">
        <f>SUMIF(月間集計シート!$M$134:$M$153,$G102,月間集計シート!T$134:T$153)*AY$2</f>
        <v>0</v>
      </c>
    </row>
    <row r="103" spans="1:51" ht="14.25" thickBot="1">
      <c r="A103">
        <v>2</v>
      </c>
      <c r="B103" s="120">
        <f t="shared" si="62"/>
        <v>393021</v>
      </c>
      <c r="C103" s="120" t="e">
        <f t="shared" si="63"/>
        <v>#N/A</v>
      </c>
      <c r="D103" s="137"/>
      <c r="E103" s="150" t="str">
        <f>工種!A10</f>
        <v>20106</v>
      </c>
      <c r="F103" s="119" t="str">
        <f>工種!B10</f>
        <v>設計：設計書修正（手戻り分）</v>
      </c>
      <c r="G103" s="116" t="str">
        <f t="shared" si="64"/>
        <v>39302120106</v>
      </c>
      <c r="H103" s="88">
        <f t="shared" si="18"/>
        <v>0</v>
      </c>
      <c r="I103" s="132"/>
      <c r="J103" s="88">
        <f>SUMIF(月間集計シート!$M$29:$M$48,$G103,月間集計シート!N$29:N$48)*J$2</f>
        <v>0</v>
      </c>
      <c r="K103" s="88">
        <f>SUMIF(月間集計シート!$M$29:$M$48,$G103,月間集計シート!O$29:O$48)*K$2</f>
        <v>0</v>
      </c>
      <c r="L103" s="88">
        <f>SUMIF(月間集計シート!$M$29:$M$48,$G103,月間集計シート!P$29:P$48)*L$2</f>
        <v>0</v>
      </c>
      <c r="M103" s="88">
        <f>SUMIF(月間集計シート!$M$29:$M$48,$G103,月間集計シート!Q$29:Q$48)*M$2</f>
        <v>0</v>
      </c>
      <c r="N103" s="88">
        <f>SUMIF(月間集計シート!$M$29:$M$48,$G103,月間集計シート!R$29:R$48)*N$2</f>
        <v>0</v>
      </c>
      <c r="O103" s="88">
        <f>SUMIF(月間集計シート!$M$29:$M$48,$G103,月間集計シート!S$29:S$48)*O$2</f>
        <v>0</v>
      </c>
      <c r="P103" s="88">
        <f>SUMIF(月間集計シート!$M$29:$M$48,$G103,月間集計シート!T$29:T$48)*P$2</f>
        <v>0</v>
      </c>
      <c r="Q103" s="88">
        <f>SUMIF(月間集計シート!$M$50:$M$69,$G103,月間集計シート!N$50:N$69)*Q$2</f>
        <v>0</v>
      </c>
      <c r="R103" s="88">
        <f>SUMIF(月間集計シート!$M$50:$M$69,$G103,月間集計シート!O$50:O$69)*R$2</f>
        <v>0</v>
      </c>
      <c r="S103" s="88">
        <f>SUMIF(月間集計シート!$M$50:$M$69,$G103,月間集計シート!P$50:P$69)*S$2</f>
        <v>0</v>
      </c>
      <c r="T103" s="88">
        <f>SUMIF(月間集計シート!$M$50:$M$69,$G103,月間集計シート!Q$50:Q$69)*T$2</f>
        <v>0</v>
      </c>
      <c r="U103" s="88">
        <f>SUMIF(月間集計シート!$M$50:$M$69,$G103,月間集計シート!R$50:R$69)*U$2</f>
        <v>0</v>
      </c>
      <c r="V103" s="88">
        <f>SUMIF(月間集計シート!$M$50:$M$69,$G103,月間集計シート!S$50:S$69)*V$2</f>
        <v>0</v>
      </c>
      <c r="W103" s="88">
        <f>SUMIF(月間集計シート!$M$50:$M$69,$G103,月間集計シート!T$50:T$69)*W$2</f>
        <v>0</v>
      </c>
      <c r="X103" s="88">
        <f>SUMIF(月間集計シート!$M$71:$M$90,$G103,月間集計シート!N$71:N$90)*X$2</f>
        <v>0</v>
      </c>
      <c r="Y103" s="88">
        <f>SUMIF(月間集計シート!$M$71:$M$90,$G103,月間集計シート!O$71:O$90)*Y$2</f>
        <v>0</v>
      </c>
      <c r="Z103" s="88">
        <f>SUMIF(月間集計シート!$M$71:$M$90,$G103,月間集計シート!P$71:P$90)*Z$2</f>
        <v>0</v>
      </c>
      <c r="AA103" s="88">
        <f>SUMIF(月間集計シート!$M$71:$M$90,$G103,月間集計シート!Q$71:Q$90)*AA$2</f>
        <v>0</v>
      </c>
      <c r="AB103" s="88">
        <f>SUMIF(月間集計シート!$M$71:$M$90,$G103,月間集計シート!R$71:R$90)*AB$2</f>
        <v>0</v>
      </c>
      <c r="AC103" s="88">
        <f>SUMIF(月間集計シート!$M$71:$M$90,$G103,月間集計シート!S$71:S$90)*AC$2</f>
        <v>0</v>
      </c>
      <c r="AD103" s="88">
        <f>SUMIF(月間集計シート!$M$71:$M$90,$G103,月間集計シート!T$71:T$90)*AD$2</f>
        <v>0</v>
      </c>
      <c r="AE103" s="88">
        <f>SUMIF(月間集計シート!$M$92:$M$111,$G103,月間集計シート!N$92:N$111)*AE$2</f>
        <v>0</v>
      </c>
      <c r="AF103" s="88">
        <f>SUMIF(月間集計シート!$M$92:$M$111,$G103,月間集計シート!O$92:O$111)*AF$2</f>
        <v>0</v>
      </c>
      <c r="AG103" s="88">
        <f>SUMIF(月間集計シート!$M$92:$M$111,$G103,月間集計シート!P$92:P$111)*AG$2</f>
        <v>0</v>
      </c>
      <c r="AH103" s="88">
        <f>SUMIF(月間集計シート!$M$92:$M$111,$G103,月間集計シート!Q$92:Q$111)*AH$2</f>
        <v>0</v>
      </c>
      <c r="AI103" s="88">
        <f>SUMIF(月間集計シート!$M$92:$M$111,$G103,月間集計シート!R$92:R$111)*AI$2</f>
        <v>0</v>
      </c>
      <c r="AJ103" s="88">
        <f>SUMIF(月間集計シート!$M$92:$M$111,$G103,月間集計シート!S$92:S$111)*AJ$2</f>
        <v>0</v>
      </c>
      <c r="AK103" s="88">
        <f>SUMIF(月間集計シート!$M$92:$M$111,$G103,月間集計シート!T$92:T$111)*AK$2</f>
        <v>0</v>
      </c>
      <c r="AL103" s="88">
        <f>SUMIF(月間集計シート!$M$113:$M$132,$G103,月間集計シート!N$113:N$132)*AL$2</f>
        <v>0</v>
      </c>
      <c r="AM103" s="88">
        <f>SUMIF(月間集計シート!$M$113:$M$132,$G103,月間集計シート!O$113:O$132)*AM$2</f>
        <v>0</v>
      </c>
      <c r="AN103" s="88">
        <f>SUMIF(月間集計シート!$M$113:$M$132,$G103,月間集計シート!P$113:P$132)*AN$2</f>
        <v>0</v>
      </c>
      <c r="AO103" s="88">
        <f>SUMIF(月間集計シート!$M$113:$M$132,$G103,月間集計シート!Q$113:Q$132)*AO$2</f>
        <v>0</v>
      </c>
      <c r="AP103" s="88">
        <f>SUMIF(月間集計シート!$M$113:$M$132,$G103,月間集計シート!R$113:R$132)*AP$2</f>
        <v>0</v>
      </c>
      <c r="AQ103" s="88">
        <f>SUMIF(月間集計シート!$M$113:$M$132,$G103,月間集計シート!S$113:S$132)*AQ$2</f>
        <v>0</v>
      </c>
      <c r="AR103" s="88">
        <f>SUMIF(月間集計シート!$M$113:$M$132,$G103,月間集計シート!T$113:T$132)*AR$2</f>
        <v>0</v>
      </c>
      <c r="AS103" s="88">
        <f>SUMIF(月間集計シート!$M$134:$M$153,$G103,月間集計シート!N$134:N$153)*AS$2</f>
        <v>0</v>
      </c>
      <c r="AT103" s="88">
        <f>SUMIF(月間集計シート!$M$134:$M$153,$G103,月間集計シート!O$134:O$153)*AT$2</f>
        <v>0</v>
      </c>
      <c r="AU103" s="88">
        <f>SUMIF(月間集計シート!$M$134:$M$153,$G103,月間集計シート!P$134:P$153)*AU$2</f>
        <v>0</v>
      </c>
      <c r="AV103" s="88">
        <f>SUMIF(月間集計シート!$M$134:$M$153,$G103,月間集計シート!Q$134:Q$153)*AV$2</f>
        <v>0</v>
      </c>
      <c r="AW103" s="88">
        <f>SUMIF(月間集計シート!$M$134:$M$153,$G103,月間集計シート!R$134:R$153)*AW$2</f>
        <v>0</v>
      </c>
      <c r="AX103" s="88">
        <f>SUMIF(月間集計シート!$M$134:$M$153,$G103,月間集計シート!S$134:S$153)*AX$2</f>
        <v>0</v>
      </c>
      <c r="AY103" s="88">
        <f>SUMIF(月間集計シート!$M$134:$M$153,$G103,月間集計シート!T$134:T$153)*AY$2</f>
        <v>0</v>
      </c>
    </row>
    <row r="104" spans="1:51" ht="14.25" thickBot="1">
      <c r="A104">
        <v>2</v>
      </c>
      <c r="B104" s="120">
        <f t="shared" si="62"/>
        <v>393021</v>
      </c>
      <c r="C104" s="120" t="e">
        <f t="shared" si="63"/>
        <v>#N/A</v>
      </c>
      <c r="D104" s="137"/>
      <c r="E104" s="150" t="str">
        <f>工種!A11</f>
        <v>20107</v>
      </c>
      <c r="F104" s="119" t="str">
        <f>工種!B11</f>
        <v>設計：その他の設計書作成</v>
      </c>
      <c r="G104" s="116" t="str">
        <f t="shared" si="64"/>
        <v>39302120107</v>
      </c>
      <c r="H104" s="88">
        <f t="shared" si="18"/>
        <v>0</v>
      </c>
      <c r="I104" s="132"/>
      <c r="J104" s="88">
        <f>SUMIF(月間集計シート!$M$29:$M$48,$G104,月間集計シート!N$29:N$48)*J$2</f>
        <v>0</v>
      </c>
      <c r="K104" s="88">
        <f>SUMIF(月間集計シート!$M$29:$M$48,$G104,月間集計シート!O$29:O$48)*K$2</f>
        <v>0</v>
      </c>
      <c r="L104" s="88">
        <f>SUMIF(月間集計シート!$M$29:$M$48,$G104,月間集計シート!P$29:P$48)*L$2</f>
        <v>0</v>
      </c>
      <c r="M104" s="88">
        <f>SUMIF(月間集計シート!$M$29:$M$48,$G104,月間集計シート!Q$29:Q$48)*M$2</f>
        <v>0</v>
      </c>
      <c r="N104" s="88">
        <f>SUMIF(月間集計シート!$M$29:$M$48,$G104,月間集計シート!R$29:R$48)*N$2</f>
        <v>0</v>
      </c>
      <c r="O104" s="88">
        <f>SUMIF(月間集計シート!$M$29:$M$48,$G104,月間集計シート!S$29:S$48)*O$2</f>
        <v>0</v>
      </c>
      <c r="P104" s="88">
        <f>SUMIF(月間集計シート!$M$29:$M$48,$G104,月間集計シート!T$29:T$48)*P$2</f>
        <v>0</v>
      </c>
      <c r="Q104" s="88">
        <f>SUMIF(月間集計シート!$M$50:$M$69,$G104,月間集計シート!N$50:N$69)*Q$2</f>
        <v>0</v>
      </c>
      <c r="R104" s="88">
        <f>SUMIF(月間集計シート!$M$50:$M$69,$G104,月間集計シート!O$50:O$69)*R$2</f>
        <v>0</v>
      </c>
      <c r="S104" s="88">
        <f>SUMIF(月間集計シート!$M$50:$M$69,$G104,月間集計シート!P$50:P$69)*S$2</f>
        <v>0</v>
      </c>
      <c r="T104" s="88">
        <f>SUMIF(月間集計シート!$M$50:$M$69,$G104,月間集計シート!Q$50:Q$69)*T$2</f>
        <v>0</v>
      </c>
      <c r="U104" s="88">
        <f>SUMIF(月間集計シート!$M$50:$M$69,$G104,月間集計シート!R$50:R$69)*U$2</f>
        <v>0</v>
      </c>
      <c r="V104" s="88">
        <f>SUMIF(月間集計シート!$M$50:$M$69,$G104,月間集計シート!S$50:S$69)*V$2</f>
        <v>0</v>
      </c>
      <c r="W104" s="88">
        <f>SUMIF(月間集計シート!$M$50:$M$69,$G104,月間集計シート!T$50:T$69)*W$2</f>
        <v>0</v>
      </c>
      <c r="X104" s="88">
        <f>SUMIF(月間集計シート!$M$71:$M$90,$G104,月間集計シート!N$71:N$90)*X$2</f>
        <v>0</v>
      </c>
      <c r="Y104" s="88">
        <f>SUMIF(月間集計シート!$M$71:$M$90,$G104,月間集計シート!O$71:O$90)*Y$2</f>
        <v>0</v>
      </c>
      <c r="Z104" s="88">
        <f>SUMIF(月間集計シート!$M$71:$M$90,$G104,月間集計シート!P$71:P$90)*Z$2</f>
        <v>0</v>
      </c>
      <c r="AA104" s="88">
        <f>SUMIF(月間集計シート!$M$71:$M$90,$G104,月間集計シート!Q$71:Q$90)*AA$2</f>
        <v>0</v>
      </c>
      <c r="AB104" s="88">
        <f>SUMIF(月間集計シート!$M$71:$M$90,$G104,月間集計シート!R$71:R$90)*AB$2</f>
        <v>0</v>
      </c>
      <c r="AC104" s="88">
        <f>SUMIF(月間集計シート!$M$71:$M$90,$G104,月間集計シート!S$71:S$90)*AC$2</f>
        <v>0</v>
      </c>
      <c r="AD104" s="88">
        <f>SUMIF(月間集計シート!$M$71:$M$90,$G104,月間集計シート!T$71:T$90)*AD$2</f>
        <v>0</v>
      </c>
      <c r="AE104" s="88">
        <f>SUMIF(月間集計シート!$M$92:$M$111,$G104,月間集計シート!N$92:N$111)*AE$2</f>
        <v>0</v>
      </c>
      <c r="AF104" s="88">
        <f>SUMIF(月間集計シート!$M$92:$M$111,$G104,月間集計シート!O$92:O$111)*AF$2</f>
        <v>0</v>
      </c>
      <c r="AG104" s="88">
        <f>SUMIF(月間集計シート!$M$92:$M$111,$G104,月間集計シート!P$92:P$111)*AG$2</f>
        <v>0</v>
      </c>
      <c r="AH104" s="88">
        <f>SUMIF(月間集計シート!$M$92:$M$111,$G104,月間集計シート!Q$92:Q$111)*AH$2</f>
        <v>0</v>
      </c>
      <c r="AI104" s="88">
        <f>SUMIF(月間集計シート!$M$92:$M$111,$G104,月間集計シート!R$92:R$111)*AI$2</f>
        <v>0</v>
      </c>
      <c r="AJ104" s="88">
        <f>SUMIF(月間集計シート!$M$92:$M$111,$G104,月間集計シート!S$92:S$111)*AJ$2</f>
        <v>0</v>
      </c>
      <c r="AK104" s="88">
        <f>SUMIF(月間集計シート!$M$92:$M$111,$G104,月間集計シート!T$92:T$111)*AK$2</f>
        <v>0</v>
      </c>
      <c r="AL104" s="88">
        <f>SUMIF(月間集計シート!$M$113:$M$132,$G104,月間集計シート!N$113:N$132)*AL$2</f>
        <v>0</v>
      </c>
      <c r="AM104" s="88">
        <f>SUMIF(月間集計シート!$M$113:$M$132,$G104,月間集計シート!O$113:O$132)*AM$2</f>
        <v>0</v>
      </c>
      <c r="AN104" s="88">
        <f>SUMIF(月間集計シート!$M$113:$M$132,$G104,月間集計シート!P$113:P$132)*AN$2</f>
        <v>0</v>
      </c>
      <c r="AO104" s="88">
        <f>SUMIF(月間集計シート!$M$113:$M$132,$G104,月間集計シート!Q$113:Q$132)*AO$2</f>
        <v>0</v>
      </c>
      <c r="AP104" s="88">
        <f>SUMIF(月間集計シート!$M$113:$M$132,$G104,月間集計シート!R$113:R$132)*AP$2</f>
        <v>0</v>
      </c>
      <c r="AQ104" s="88">
        <f>SUMIF(月間集計シート!$M$113:$M$132,$G104,月間集計シート!S$113:S$132)*AQ$2</f>
        <v>0</v>
      </c>
      <c r="AR104" s="88">
        <f>SUMIF(月間集計シート!$M$113:$M$132,$G104,月間集計シート!T$113:T$132)*AR$2</f>
        <v>0</v>
      </c>
      <c r="AS104" s="88">
        <f>SUMIF(月間集計シート!$M$134:$M$153,$G104,月間集計シート!N$134:N$153)*AS$2</f>
        <v>0</v>
      </c>
      <c r="AT104" s="88">
        <f>SUMIF(月間集計シート!$M$134:$M$153,$G104,月間集計シート!O$134:O$153)*AT$2</f>
        <v>0</v>
      </c>
      <c r="AU104" s="88">
        <f>SUMIF(月間集計シート!$M$134:$M$153,$G104,月間集計シート!P$134:P$153)*AU$2</f>
        <v>0</v>
      </c>
      <c r="AV104" s="88">
        <f>SUMIF(月間集計シート!$M$134:$M$153,$G104,月間集計シート!Q$134:Q$153)*AV$2</f>
        <v>0</v>
      </c>
      <c r="AW104" s="88">
        <f>SUMIF(月間集計シート!$M$134:$M$153,$G104,月間集計シート!R$134:R$153)*AW$2</f>
        <v>0</v>
      </c>
      <c r="AX104" s="88">
        <f>SUMIF(月間集計シート!$M$134:$M$153,$G104,月間集計シート!S$134:S$153)*AX$2</f>
        <v>0</v>
      </c>
      <c r="AY104" s="88">
        <f>SUMIF(月間集計シート!$M$134:$M$153,$G104,月間集計シート!T$134:T$153)*AY$2</f>
        <v>0</v>
      </c>
    </row>
    <row r="105" spans="1:51" ht="14.25" thickBot="1">
      <c r="A105">
        <v>2</v>
      </c>
      <c r="B105" s="120">
        <f t="shared" si="62"/>
        <v>393021</v>
      </c>
      <c r="C105" s="120" t="e">
        <f t="shared" si="63"/>
        <v>#N/A</v>
      </c>
      <c r="D105" s="137"/>
      <c r="E105" s="150" t="str">
        <f>工種!A12</f>
        <v>20108</v>
      </c>
      <c r="F105" s="119" t="str">
        <f>工種!B12</f>
        <v>設計：レビュー</v>
      </c>
      <c r="G105" s="116" t="str">
        <f t="shared" si="64"/>
        <v>39302120108</v>
      </c>
      <c r="H105" s="88">
        <f t="shared" si="18"/>
        <v>0</v>
      </c>
      <c r="I105" s="132"/>
      <c r="J105" s="88">
        <f>SUMIF(月間集計シート!$M$29:$M$48,$G105,月間集計シート!N$29:N$48)*J$2</f>
        <v>0</v>
      </c>
      <c r="K105" s="88">
        <f>SUMIF(月間集計シート!$M$29:$M$48,$G105,月間集計シート!O$29:O$48)*K$2</f>
        <v>0</v>
      </c>
      <c r="L105" s="88">
        <f>SUMIF(月間集計シート!$M$29:$M$48,$G105,月間集計シート!P$29:P$48)*L$2</f>
        <v>0</v>
      </c>
      <c r="M105" s="88">
        <f>SUMIF(月間集計シート!$M$29:$M$48,$G105,月間集計シート!Q$29:Q$48)*M$2</f>
        <v>0</v>
      </c>
      <c r="N105" s="88">
        <f>SUMIF(月間集計シート!$M$29:$M$48,$G105,月間集計シート!R$29:R$48)*N$2</f>
        <v>0</v>
      </c>
      <c r="O105" s="88">
        <f>SUMIF(月間集計シート!$M$29:$M$48,$G105,月間集計シート!S$29:S$48)*O$2</f>
        <v>0</v>
      </c>
      <c r="P105" s="88">
        <f>SUMIF(月間集計シート!$M$29:$M$48,$G105,月間集計シート!T$29:T$48)*P$2</f>
        <v>0</v>
      </c>
      <c r="Q105" s="88">
        <f>SUMIF(月間集計シート!$M$50:$M$69,$G105,月間集計シート!N$50:N$69)*Q$2</f>
        <v>0</v>
      </c>
      <c r="R105" s="88">
        <f>SUMIF(月間集計シート!$M$50:$M$69,$G105,月間集計シート!O$50:O$69)*R$2</f>
        <v>0</v>
      </c>
      <c r="S105" s="88">
        <f>SUMIF(月間集計シート!$M$50:$M$69,$G105,月間集計シート!P$50:P$69)*S$2</f>
        <v>0</v>
      </c>
      <c r="T105" s="88">
        <f>SUMIF(月間集計シート!$M$50:$M$69,$G105,月間集計シート!Q$50:Q$69)*T$2</f>
        <v>0</v>
      </c>
      <c r="U105" s="88">
        <f>SUMIF(月間集計シート!$M$50:$M$69,$G105,月間集計シート!R$50:R$69)*U$2</f>
        <v>0</v>
      </c>
      <c r="V105" s="88">
        <f>SUMIF(月間集計シート!$M$50:$M$69,$G105,月間集計シート!S$50:S$69)*V$2</f>
        <v>0</v>
      </c>
      <c r="W105" s="88">
        <f>SUMIF(月間集計シート!$M$50:$M$69,$G105,月間集計シート!T$50:T$69)*W$2</f>
        <v>0</v>
      </c>
      <c r="X105" s="88">
        <f>SUMIF(月間集計シート!$M$71:$M$90,$G105,月間集計シート!N$71:N$90)*X$2</f>
        <v>0</v>
      </c>
      <c r="Y105" s="88">
        <f>SUMIF(月間集計シート!$M$71:$M$90,$G105,月間集計シート!O$71:O$90)*Y$2</f>
        <v>0</v>
      </c>
      <c r="Z105" s="88">
        <f>SUMIF(月間集計シート!$M$71:$M$90,$G105,月間集計シート!P$71:P$90)*Z$2</f>
        <v>0</v>
      </c>
      <c r="AA105" s="88">
        <f>SUMIF(月間集計シート!$M$71:$M$90,$G105,月間集計シート!Q$71:Q$90)*AA$2</f>
        <v>0</v>
      </c>
      <c r="AB105" s="88">
        <f>SUMIF(月間集計シート!$M$71:$M$90,$G105,月間集計シート!R$71:R$90)*AB$2</f>
        <v>0</v>
      </c>
      <c r="AC105" s="88">
        <f>SUMIF(月間集計シート!$M$71:$M$90,$G105,月間集計シート!S$71:S$90)*AC$2</f>
        <v>0</v>
      </c>
      <c r="AD105" s="88">
        <f>SUMIF(月間集計シート!$M$71:$M$90,$G105,月間集計シート!T$71:T$90)*AD$2</f>
        <v>0</v>
      </c>
      <c r="AE105" s="88">
        <f>SUMIF(月間集計シート!$M$92:$M$111,$G105,月間集計シート!N$92:N$111)*AE$2</f>
        <v>0</v>
      </c>
      <c r="AF105" s="88">
        <f>SUMIF(月間集計シート!$M$92:$M$111,$G105,月間集計シート!O$92:O$111)*AF$2</f>
        <v>0</v>
      </c>
      <c r="AG105" s="88">
        <f>SUMIF(月間集計シート!$M$92:$M$111,$G105,月間集計シート!P$92:P$111)*AG$2</f>
        <v>0</v>
      </c>
      <c r="AH105" s="88">
        <f>SUMIF(月間集計シート!$M$92:$M$111,$G105,月間集計シート!Q$92:Q$111)*AH$2</f>
        <v>0</v>
      </c>
      <c r="AI105" s="88">
        <f>SUMIF(月間集計シート!$M$92:$M$111,$G105,月間集計シート!R$92:R$111)*AI$2</f>
        <v>0</v>
      </c>
      <c r="AJ105" s="88">
        <f>SUMIF(月間集計シート!$M$92:$M$111,$G105,月間集計シート!S$92:S$111)*AJ$2</f>
        <v>0</v>
      </c>
      <c r="AK105" s="88">
        <f>SUMIF(月間集計シート!$M$92:$M$111,$G105,月間集計シート!T$92:T$111)*AK$2</f>
        <v>0</v>
      </c>
      <c r="AL105" s="88">
        <f>SUMIF(月間集計シート!$M$113:$M$132,$G105,月間集計シート!N$113:N$132)*AL$2</f>
        <v>0</v>
      </c>
      <c r="AM105" s="88">
        <f>SUMIF(月間集計シート!$M$113:$M$132,$G105,月間集計シート!O$113:O$132)*AM$2</f>
        <v>0</v>
      </c>
      <c r="AN105" s="88">
        <f>SUMIF(月間集計シート!$M$113:$M$132,$G105,月間集計シート!P$113:P$132)*AN$2</f>
        <v>0</v>
      </c>
      <c r="AO105" s="88">
        <f>SUMIF(月間集計シート!$M$113:$M$132,$G105,月間集計シート!Q$113:Q$132)*AO$2</f>
        <v>0</v>
      </c>
      <c r="AP105" s="88">
        <f>SUMIF(月間集計シート!$M$113:$M$132,$G105,月間集計シート!R$113:R$132)*AP$2</f>
        <v>0</v>
      </c>
      <c r="AQ105" s="88">
        <f>SUMIF(月間集計シート!$M$113:$M$132,$G105,月間集計シート!S$113:S$132)*AQ$2</f>
        <v>0</v>
      </c>
      <c r="AR105" s="88">
        <f>SUMIF(月間集計シート!$M$113:$M$132,$G105,月間集計シート!T$113:T$132)*AR$2</f>
        <v>0</v>
      </c>
      <c r="AS105" s="88">
        <f>SUMIF(月間集計シート!$M$134:$M$153,$G105,月間集計シート!N$134:N$153)*AS$2</f>
        <v>0</v>
      </c>
      <c r="AT105" s="88">
        <f>SUMIF(月間集計シート!$M$134:$M$153,$G105,月間集計シート!O$134:O$153)*AT$2</f>
        <v>0</v>
      </c>
      <c r="AU105" s="88">
        <f>SUMIF(月間集計シート!$M$134:$M$153,$G105,月間集計シート!P$134:P$153)*AU$2</f>
        <v>0</v>
      </c>
      <c r="AV105" s="88">
        <f>SUMIF(月間集計シート!$M$134:$M$153,$G105,月間集計シート!Q$134:Q$153)*AV$2</f>
        <v>0</v>
      </c>
      <c r="AW105" s="88">
        <f>SUMIF(月間集計シート!$M$134:$M$153,$G105,月間集計シート!R$134:R$153)*AW$2</f>
        <v>0</v>
      </c>
      <c r="AX105" s="88">
        <f>SUMIF(月間集計シート!$M$134:$M$153,$G105,月間集計シート!S$134:S$153)*AX$2</f>
        <v>0</v>
      </c>
      <c r="AY105" s="88">
        <f>SUMIF(月間集計シート!$M$134:$M$153,$G105,月間集計シート!T$134:T$153)*AY$2</f>
        <v>0</v>
      </c>
    </row>
    <row r="106" spans="1:51" ht="14.25" thickBot="1">
      <c r="A106">
        <v>2</v>
      </c>
      <c r="B106" s="120">
        <f t="shared" si="62"/>
        <v>393021</v>
      </c>
      <c r="C106" s="120" t="e">
        <f t="shared" si="63"/>
        <v>#N/A</v>
      </c>
      <c r="D106" s="137"/>
      <c r="E106" s="150" t="str">
        <f>工種!A13</f>
        <v>20109</v>
      </c>
      <c r="F106" s="119" t="str">
        <f>工種!B13</f>
        <v>設計：QA対応</v>
      </c>
      <c r="G106" s="116" t="str">
        <f t="shared" si="64"/>
        <v>39302120109</v>
      </c>
      <c r="H106" s="88">
        <f t="shared" si="18"/>
        <v>0</v>
      </c>
      <c r="I106" s="132"/>
      <c r="J106" s="88">
        <f>SUMIF(月間集計シート!$M$29:$M$48,$G106,月間集計シート!N$29:N$48)*J$2</f>
        <v>0</v>
      </c>
      <c r="K106" s="88">
        <f>SUMIF(月間集計シート!$M$29:$M$48,$G106,月間集計シート!O$29:O$48)*K$2</f>
        <v>0</v>
      </c>
      <c r="L106" s="88">
        <f>SUMIF(月間集計シート!$M$29:$M$48,$G106,月間集計シート!P$29:P$48)*L$2</f>
        <v>0</v>
      </c>
      <c r="M106" s="88">
        <f>SUMIF(月間集計シート!$M$29:$M$48,$G106,月間集計シート!Q$29:Q$48)*M$2</f>
        <v>0</v>
      </c>
      <c r="N106" s="88">
        <f>SUMIF(月間集計シート!$M$29:$M$48,$G106,月間集計シート!R$29:R$48)*N$2</f>
        <v>0</v>
      </c>
      <c r="O106" s="88">
        <f>SUMIF(月間集計シート!$M$29:$M$48,$G106,月間集計シート!S$29:S$48)*O$2</f>
        <v>0</v>
      </c>
      <c r="P106" s="88">
        <f>SUMIF(月間集計シート!$M$29:$M$48,$G106,月間集計シート!T$29:T$48)*P$2</f>
        <v>0</v>
      </c>
      <c r="Q106" s="88">
        <f>SUMIF(月間集計シート!$M$50:$M$69,$G106,月間集計シート!N$50:N$69)*Q$2</f>
        <v>0</v>
      </c>
      <c r="R106" s="88">
        <f>SUMIF(月間集計シート!$M$50:$M$69,$G106,月間集計シート!O$50:O$69)*R$2</f>
        <v>0</v>
      </c>
      <c r="S106" s="88">
        <f>SUMIF(月間集計シート!$M$50:$M$69,$G106,月間集計シート!P$50:P$69)*S$2</f>
        <v>0</v>
      </c>
      <c r="T106" s="88">
        <f>SUMIF(月間集計シート!$M$50:$M$69,$G106,月間集計シート!Q$50:Q$69)*T$2</f>
        <v>0</v>
      </c>
      <c r="U106" s="88">
        <f>SUMIF(月間集計シート!$M$50:$M$69,$G106,月間集計シート!R$50:R$69)*U$2</f>
        <v>0</v>
      </c>
      <c r="V106" s="88">
        <f>SUMIF(月間集計シート!$M$50:$M$69,$G106,月間集計シート!S$50:S$69)*V$2</f>
        <v>0</v>
      </c>
      <c r="W106" s="88">
        <f>SUMIF(月間集計シート!$M$50:$M$69,$G106,月間集計シート!T$50:T$69)*W$2</f>
        <v>0</v>
      </c>
      <c r="X106" s="88">
        <f>SUMIF(月間集計シート!$M$71:$M$90,$G106,月間集計シート!N$71:N$90)*X$2</f>
        <v>0</v>
      </c>
      <c r="Y106" s="88">
        <f>SUMIF(月間集計シート!$M$71:$M$90,$G106,月間集計シート!O$71:O$90)*Y$2</f>
        <v>0</v>
      </c>
      <c r="Z106" s="88">
        <f>SUMIF(月間集計シート!$M$71:$M$90,$G106,月間集計シート!P$71:P$90)*Z$2</f>
        <v>0</v>
      </c>
      <c r="AA106" s="88">
        <f>SUMIF(月間集計シート!$M$71:$M$90,$G106,月間集計シート!Q$71:Q$90)*AA$2</f>
        <v>0</v>
      </c>
      <c r="AB106" s="88">
        <f>SUMIF(月間集計シート!$M$71:$M$90,$G106,月間集計シート!R$71:R$90)*AB$2</f>
        <v>0</v>
      </c>
      <c r="AC106" s="88">
        <f>SUMIF(月間集計シート!$M$71:$M$90,$G106,月間集計シート!S$71:S$90)*AC$2</f>
        <v>0</v>
      </c>
      <c r="AD106" s="88">
        <f>SUMIF(月間集計シート!$M$71:$M$90,$G106,月間集計シート!T$71:T$90)*AD$2</f>
        <v>0</v>
      </c>
      <c r="AE106" s="88">
        <f>SUMIF(月間集計シート!$M$92:$M$111,$G106,月間集計シート!N$92:N$111)*AE$2</f>
        <v>0</v>
      </c>
      <c r="AF106" s="88">
        <f>SUMIF(月間集計シート!$M$92:$M$111,$G106,月間集計シート!O$92:O$111)*AF$2</f>
        <v>0</v>
      </c>
      <c r="AG106" s="88">
        <f>SUMIF(月間集計シート!$M$92:$M$111,$G106,月間集計シート!P$92:P$111)*AG$2</f>
        <v>0</v>
      </c>
      <c r="AH106" s="88">
        <f>SUMIF(月間集計シート!$M$92:$M$111,$G106,月間集計シート!Q$92:Q$111)*AH$2</f>
        <v>0</v>
      </c>
      <c r="AI106" s="88">
        <f>SUMIF(月間集計シート!$M$92:$M$111,$G106,月間集計シート!R$92:R$111)*AI$2</f>
        <v>0</v>
      </c>
      <c r="AJ106" s="88">
        <f>SUMIF(月間集計シート!$M$92:$M$111,$G106,月間集計シート!S$92:S$111)*AJ$2</f>
        <v>0</v>
      </c>
      <c r="AK106" s="88">
        <f>SUMIF(月間集計シート!$M$92:$M$111,$G106,月間集計シート!T$92:T$111)*AK$2</f>
        <v>0</v>
      </c>
      <c r="AL106" s="88">
        <f>SUMIF(月間集計シート!$M$113:$M$132,$G106,月間集計シート!N$113:N$132)*AL$2</f>
        <v>0</v>
      </c>
      <c r="AM106" s="88">
        <f>SUMIF(月間集計シート!$M$113:$M$132,$G106,月間集計シート!O$113:O$132)*AM$2</f>
        <v>0</v>
      </c>
      <c r="AN106" s="88">
        <f>SUMIF(月間集計シート!$M$113:$M$132,$G106,月間集計シート!P$113:P$132)*AN$2</f>
        <v>0</v>
      </c>
      <c r="AO106" s="88">
        <f>SUMIF(月間集計シート!$M$113:$M$132,$G106,月間集計シート!Q$113:Q$132)*AO$2</f>
        <v>0</v>
      </c>
      <c r="AP106" s="88">
        <f>SUMIF(月間集計シート!$M$113:$M$132,$G106,月間集計シート!R$113:R$132)*AP$2</f>
        <v>0</v>
      </c>
      <c r="AQ106" s="88">
        <f>SUMIF(月間集計シート!$M$113:$M$132,$G106,月間集計シート!S$113:S$132)*AQ$2</f>
        <v>0</v>
      </c>
      <c r="AR106" s="88">
        <f>SUMIF(月間集計シート!$M$113:$M$132,$G106,月間集計シート!T$113:T$132)*AR$2</f>
        <v>0</v>
      </c>
      <c r="AS106" s="88">
        <f>SUMIF(月間集計シート!$M$134:$M$153,$G106,月間集計シート!N$134:N$153)*AS$2</f>
        <v>0</v>
      </c>
      <c r="AT106" s="88">
        <f>SUMIF(月間集計シート!$M$134:$M$153,$G106,月間集計シート!O$134:O$153)*AT$2</f>
        <v>0</v>
      </c>
      <c r="AU106" s="88">
        <f>SUMIF(月間集計シート!$M$134:$M$153,$G106,月間集計シート!P$134:P$153)*AU$2</f>
        <v>0</v>
      </c>
      <c r="AV106" s="88">
        <f>SUMIF(月間集計シート!$M$134:$M$153,$G106,月間集計シート!Q$134:Q$153)*AV$2</f>
        <v>0</v>
      </c>
      <c r="AW106" s="88">
        <f>SUMIF(月間集計シート!$M$134:$M$153,$G106,月間集計シート!R$134:R$153)*AW$2</f>
        <v>0</v>
      </c>
      <c r="AX106" s="88">
        <f>SUMIF(月間集計シート!$M$134:$M$153,$G106,月間集計シート!S$134:S$153)*AX$2</f>
        <v>0</v>
      </c>
      <c r="AY106" s="88">
        <f>SUMIF(月間集計シート!$M$134:$M$153,$G106,月間集計シート!T$134:T$153)*AY$2</f>
        <v>0</v>
      </c>
    </row>
    <row r="107" spans="1:51" ht="14.25" thickBot="1">
      <c r="A107">
        <v>2</v>
      </c>
      <c r="B107" s="120">
        <f t="shared" si="62"/>
        <v>393021</v>
      </c>
      <c r="C107" s="120" t="e">
        <f t="shared" si="63"/>
        <v>#N/A</v>
      </c>
      <c r="D107" s="137"/>
      <c r="E107" s="150" t="str">
        <f>工種!A14</f>
        <v>20199</v>
      </c>
      <c r="F107" s="119" t="str">
        <f>工種!B14</f>
        <v>設計：その他</v>
      </c>
      <c r="G107" s="116" t="str">
        <f t="shared" si="64"/>
        <v>39302120199</v>
      </c>
      <c r="H107" s="88">
        <f t="shared" si="18"/>
        <v>0</v>
      </c>
      <c r="I107" s="132"/>
      <c r="J107" s="88">
        <f>SUMIF(月間集計シート!$M$29:$M$48,$G107,月間集計シート!N$29:N$48)*J$2</f>
        <v>0</v>
      </c>
      <c r="K107" s="88">
        <f>SUMIF(月間集計シート!$M$29:$M$48,$G107,月間集計シート!O$29:O$48)*K$2</f>
        <v>0</v>
      </c>
      <c r="L107" s="88">
        <f>SUMIF(月間集計シート!$M$29:$M$48,$G107,月間集計シート!P$29:P$48)*L$2</f>
        <v>0</v>
      </c>
      <c r="M107" s="88">
        <f>SUMIF(月間集計シート!$M$29:$M$48,$G107,月間集計シート!Q$29:Q$48)*M$2</f>
        <v>0</v>
      </c>
      <c r="N107" s="88">
        <f>SUMIF(月間集計シート!$M$29:$M$48,$G107,月間集計シート!R$29:R$48)*N$2</f>
        <v>0</v>
      </c>
      <c r="O107" s="88">
        <f>SUMIF(月間集計シート!$M$29:$M$48,$G107,月間集計シート!S$29:S$48)*O$2</f>
        <v>0</v>
      </c>
      <c r="P107" s="88">
        <f>SUMIF(月間集計シート!$M$29:$M$48,$G107,月間集計シート!T$29:T$48)*P$2</f>
        <v>0</v>
      </c>
      <c r="Q107" s="88">
        <f>SUMIF(月間集計シート!$M$50:$M$69,$G107,月間集計シート!N$50:N$69)*Q$2</f>
        <v>0</v>
      </c>
      <c r="R107" s="88">
        <f>SUMIF(月間集計シート!$M$50:$M$69,$G107,月間集計シート!O$50:O$69)*R$2</f>
        <v>0</v>
      </c>
      <c r="S107" s="88">
        <f>SUMIF(月間集計シート!$M$50:$M$69,$G107,月間集計シート!P$50:P$69)*S$2</f>
        <v>0</v>
      </c>
      <c r="T107" s="88">
        <f>SUMIF(月間集計シート!$M$50:$M$69,$G107,月間集計シート!Q$50:Q$69)*T$2</f>
        <v>0</v>
      </c>
      <c r="U107" s="88">
        <f>SUMIF(月間集計シート!$M$50:$M$69,$G107,月間集計シート!R$50:R$69)*U$2</f>
        <v>0</v>
      </c>
      <c r="V107" s="88">
        <f>SUMIF(月間集計シート!$M$50:$M$69,$G107,月間集計シート!S$50:S$69)*V$2</f>
        <v>0</v>
      </c>
      <c r="W107" s="88">
        <f>SUMIF(月間集計シート!$M$50:$M$69,$G107,月間集計シート!T$50:T$69)*W$2</f>
        <v>0</v>
      </c>
      <c r="X107" s="88">
        <f>SUMIF(月間集計シート!$M$71:$M$90,$G107,月間集計シート!N$71:N$90)*X$2</f>
        <v>0</v>
      </c>
      <c r="Y107" s="88">
        <f>SUMIF(月間集計シート!$M$71:$M$90,$G107,月間集計シート!O$71:O$90)*Y$2</f>
        <v>0</v>
      </c>
      <c r="Z107" s="88">
        <f>SUMIF(月間集計シート!$M$71:$M$90,$G107,月間集計シート!P$71:P$90)*Z$2</f>
        <v>0</v>
      </c>
      <c r="AA107" s="88">
        <f>SUMIF(月間集計シート!$M$71:$M$90,$G107,月間集計シート!Q$71:Q$90)*AA$2</f>
        <v>0</v>
      </c>
      <c r="AB107" s="88">
        <f>SUMIF(月間集計シート!$M$71:$M$90,$G107,月間集計シート!R$71:R$90)*AB$2</f>
        <v>0</v>
      </c>
      <c r="AC107" s="88">
        <f>SUMIF(月間集計シート!$M$71:$M$90,$G107,月間集計シート!S$71:S$90)*AC$2</f>
        <v>0</v>
      </c>
      <c r="AD107" s="88">
        <f>SUMIF(月間集計シート!$M$71:$M$90,$G107,月間集計シート!T$71:T$90)*AD$2</f>
        <v>0</v>
      </c>
      <c r="AE107" s="88">
        <f>SUMIF(月間集計シート!$M$92:$M$111,$G107,月間集計シート!N$92:N$111)*AE$2</f>
        <v>0</v>
      </c>
      <c r="AF107" s="88">
        <f>SUMIF(月間集計シート!$M$92:$M$111,$G107,月間集計シート!O$92:O$111)*AF$2</f>
        <v>0</v>
      </c>
      <c r="AG107" s="88">
        <f>SUMIF(月間集計シート!$M$92:$M$111,$G107,月間集計シート!P$92:P$111)*AG$2</f>
        <v>0</v>
      </c>
      <c r="AH107" s="88">
        <f>SUMIF(月間集計シート!$M$92:$M$111,$G107,月間集計シート!Q$92:Q$111)*AH$2</f>
        <v>0</v>
      </c>
      <c r="AI107" s="88">
        <f>SUMIF(月間集計シート!$M$92:$M$111,$G107,月間集計シート!R$92:R$111)*AI$2</f>
        <v>0</v>
      </c>
      <c r="AJ107" s="88">
        <f>SUMIF(月間集計シート!$M$92:$M$111,$G107,月間集計シート!S$92:S$111)*AJ$2</f>
        <v>0</v>
      </c>
      <c r="AK107" s="88">
        <f>SUMIF(月間集計シート!$M$92:$M$111,$G107,月間集計シート!T$92:T$111)*AK$2</f>
        <v>0</v>
      </c>
      <c r="AL107" s="88">
        <f>SUMIF(月間集計シート!$M$113:$M$132,$G107,月間集計シート!N$113:N$132)*AL$2</f>
        <v>0</v>
      </c>
      <c r="AM107" s="88">
        <f>SUMIF(月間集計シート!$M$113:$M$132,$G107,月間集計シート!O$113:O$132)*AM$2</f>
        <v>0</v>
      </c>
      <c r="AN107" s="88">
        <f>SUMIF(月間集計シート!$M$113:$M$132,$G107,月間集計シート!P$113:P$132)*AN$2</f>
        <v>0</v>
      </c>
      <c r="AO107" s="88">
        <f>SUMIF(月間集計シート!$M$113:$M$132,$G107,月間集計シート!Q$113:Q$132)*AO$2</f>
        <v>0</v>
      </c>
      <c r="AP107" s="88">
        <f>SUMIF(月間集計シート!$M$113:$M$132,$G107,月間集計シート!R$113:R$132)*AP$2</f>
        <v>0</v>
      </c>
      <c r="AQ107" s="88">
        <f>SUMIF(月間集計シート!$M$113:$M$132,$G107,月間集計シート!S$113:S$132)*AQ$2</f>
        <v>0</v>
      </c>
      <c r="AR107" s="88">
        <f>SUMIF(月間集計シート!$M$113:$M$132,$G107,月間集計シート!T$113:T$132)*AR$2</f>
        <v>0</v>
      </c>
      <c r="AS107" s="88">
        <f>SUMIF(月間集計シート!$M$134:$M$153,$G107,月間集計シート!N$134:N$153)*AS$2</f>
        <v>0</v>
      </c>
      <c r="AT107" s="88">
        <f>SUMIF(月間集計シート!$M$134:$M$153,$G107,月間集計シート!O$134:O$153)*AT$2</f>
        <v>0</v>
      </c>
      <c r="AU107" s="88">
        <f>SUMIF(月間集計シート!$M$134:$M$153,$G107,月間集計シート!P$134:P$153)*AU$2</f>
        <v>0</v>
      </c>
      <c r="AV107" s="88">
        <f>SUMIF(月間集計シート!$M$134:$M$153,$G107,月間集計シート!Q$134:Q$153)*AV$2</f>
        <v>0</v>
      </c>
      <c r="AW107" s="88">
        <f>SUMIF(月間集計シート!$M$134:$M$153,$G107,月間集計シート!R$134:R$153)*AW$2</f>
        <v>0</v>
      </c>
      <c r="AX107" s="88">
        <f>SUMIF(月間集計シート!$M$134:$M$153,$G107,月間集計シート!S$134:S$153)*AX$2</f>
        <v>0</v>
      </c>
      <c r="AY107" s="88">
        <f>SUMIF(月間集計シート!$M$134:$M$153,$G107,月間集計シート!T$134:T$153)*AY$2</f>
        <v>0</v>
      </c>
    </row>
    <row r="108" spans="1:51" ht="14.25" thickBot="1">
      <c r="A108">
        <v>2</v>
      </c>
      <c r="B108" s="120">
        <f t="shared" si="62"/>
        <v>393021</v>
      </c>
      <c r="C108" s="120" t="e">
        <f t="shared" si="63"/>
        <v>#N/A</v>
      </c>
      <c r="D108" s="137"/>
      <c r="E108" s="150" t="str">
        <f>工種!A15</f>
        <v>30101</v>
      </c>
      <c r="F108" s="119" t="str">
        <f>工種!B15</f>
        <v>製造：内部設計書作成</v>
      </c>
      <c r="G108" s="116" t="str">
        <f t="shared" si="64"/>
        <v>39302130101</v>
      </c>
      <c r="H108" s="88">
        <f t="shared" si="18"/>
        <v>0</v>
      </c>
      <c r="I108" s="132"/>
      <c r="J108" s="88">
        <f>SUMIF(月間集計シート!$M$29:$M$48,$G108,月間集計シート!N$29:N$48)*J$2</f>
        <v>0</v>
      </c>
      <c r="K108" s="88">
        <f>SUMIF(月間集計シート!$M$29:$M$48,$G108,月間集計シート!O$29:O$48)*K$2</f>
        <v>0</v>
      </c>
      <c r="L108" s="88">
        <f>SUMIF(月間集計シート!$M$29:$M$48,$G108,月間集計シート!P$29:P$48)*L$2</f>
        <v>0</v>
      </c>
      <c r="M108" s="88">
        <f>SUMIF(月間集計シート!$M$29:$M$48,$G108,月間集計シート!Q$29:Q$48)*M$2</f>
        <v>0</v>
      </c>
      <c r="N108" s="88">
        <f>SUMIF(月間集計シート!$M$29:$M$48,$G108,月間集計シート!R$29:R$48)*N$2</f>
        <v>0</v>
      </c>
      <c r="O108" s="88">
        <f>SUMIF(月間集計シート!$M$29:$M$48,$G108,月間集計シート!S$29:S$48)*O$2</f>
        <v>0</v>
      </c>
      <c r="P108" s="88">
        <f>SUMIF(月間集計シート!$M$29:$M$48,$G108,月間集計シート!T$29:T$48)*P$2</f>
        <v>0</v>
      </c>
      <c r="Q108" s="88">
        <f>SUMIF(月間集計シート!$M$50:$M$69,$G108,月間集計シート!N$50:N$69)*Q$2</f>
        <v>0</v>
      </c>
      <c r="R108" s="88">
        <f>SUMIF(月間集計シート!$M$50:$M$69,$G108,月間集計シート!O$50:O$69)*R$2</f>
        <v>0</v>
      </c>
      <c r="S108" s="88">
        <f>SUMIF(月間集計シート!$M$50:$M$69,$G108,月間集計シート!P$50:P$69)*S$2</f>
        <v>0</v>
      </c>
      <c r="T108" s="88">
        <f>SUMIF(月間集計シート!$M$50:$M$69,$G108,月間集計シート!Q$50:Q$69)*T$2</f>
        <v>0</v>
      </c>
      <c r="U108" s="88">
        <f>SUMIF(月間集計シート!$M$50:$M$69,$G108,月間集計シート!R$50:R$69)*U$2</f>
        <v>0</v>
      </c>
      <c r="V108" s="88">
        <f>SUMIF(月間集計シート!$M$50:$M$69,$G108,月間集計シート!S$50:S$69)*V$2</f>
        <v>0</v>
      </c>
      <c r="W108" s="88">
        <f>SUMIF(月間集計シート!$M$50:$M$69,$G108,月間集計シート!T$50:T$69)*W$2</f>
        <v>0</v>
      </c>
      <c r="X108" s="88">
        <f>SUMIF(月間集計シート!$M$71:$M$90,$G108,月間集計シート!N$71:N$90)*X$2</f>
        <v>0</v>
      </c>
      <c r="Y108" s="88">
        <f>SUMIF(月間集計シート!$M$71:$M$90,$G108,月間集計シート!O$71:O$90)*Y$2</f>
        <v>0</v>
      </c>
      <c r="Z108" s="88">
        <f>SUMIF(月間集計シート!$M$71:$M$90,$G108,月間集計シート!P$71:P$90)*Z$2</f>
        <v>0</v>
      </c>
      <c r="AA108" s="88">
        <f>SUMIF(月間集計シート!$M$71:$M$90,$G108,月間集計シート!Q$71:Q$90)*AA$2</f>
        <v>0</v>
      </c>
      <c r="AB108" s="88">
        <f>SUMIF(月間集計シート!$M$71:$M$90,$G108,月間集計シート!R$71:R$90)*AB$2</f>
        <v>0</v>
      </c>
      <c r="AC108" s="88">
        <f>SUMIF(月間集計シート!$M$71:$M$90,$G108,月間集計シート!S$71:S$90)*AC$2</f>
        <v>0</v>
      </c>
      <c r="AD108" s="88">
        <f>SUMIF(月間集計シート!$M$71:$M$90,$G108,月間集計シート!T$71:T$90)*AD$2</f>
        <v>0</v>
      </c>
      <c r="AE108" s="88">
        <f>SUMIF(月間集計シート!$M$92:$M$111,$G108,月間集計シート!N$92:N$111)*AE$2</f>
        <v>0</v>
      </c>
      <c r="AF108" s="88">
        <f>SUMIF(月間集計シート!$M$92:$M$111,$G108,月間集計シート!O$92:O$111)*AF$2</f>
        <v>0</v>
      </c>
      <c r="AG108" s="88">
        <f>SUMIF(月間集計シート!$M$92:$M$111,$G108,月間集計シート!P$92:P$111)*AG$2</f>
        <v>0</v>
      </c>
      <c r="AH108" s="88">
        <f>SUMIF(月間集計シート!$M$92:$M$111,$G108,月間集計シート!Q$92:Q$111)*AH$2</f>
        <v>0</v>
      </c>
      <c r="AI108" s="88">
        <f>SUMIF(月間集計シート!$M$92:$M$111,$G108,月間集計シート!R$92:R$111)*AI$2</f>
        <v>0</v>
      </c>
      <c r="AJ108" s="88">
        <f>SUMIF(月間集計シート!$M$92:$M$111,$G108,月間集計シート!S$92:S$111)*AJ$2</f>
        <v>0</v>
      </c>
      <c r="AK108" s="88">
        <f>SUMIF(月間集計シート!$M$92:$M$111,$G108,月間集計シート!T$92:T$111)*AK$2</f>
        <v>0</v>
      </c>
      <c r="AL108" s="88">
        <f>SUMIF(月間集計シート!$M$113:$M$132,$G108,月間集計シート!N$113:N$132)*AL$2</f>
        <v>0</v>
      </c>
      <c r="AM108" s="88">
        <f>SUMIF(月間集計シート!$M$113:$M$132,$G108,月間集計シート!O$113:O$132)*AM$2</f>
        <v>0</v>
      </c>
      <c r="AN108" s="88">
        <f>SUMIF(月間集計シート!$M$113:$M$132,$G108,月間集計シート!P$113:P$132)*AN$2</f>
        <v>0</v>
      </c>
      <c r="AO108" s="88">
        <f>SUMIF(月間集計シート!$M$113:$M$132,$G108,月間集計シート!Q$113:Q$132)*AO$2</f>
        <v>0</v>
      </c>
      <c r="AP108" s="88">
        <f>SUMIF(月間集計シート!$M$113:$M$132,$G108,月間集計シート!R$113:R$132)*AP$2</f>
        <v>0</v>
      </c>
      <c r="AQ108" s="88">
        <f>SUMIF(月間集計シート!$M$113:$M$132,$G108,月間集計シート!S$113:S$132)*AQ$2</f>
        <v>0</v>
      </c>
      <c r="AR108" s="88">
        <f>SUMIF(月間集計シート!$M$113:$M$132,$G108,月間集計シート!T$113:T$132)*AR$2</f>
        <v>0</v>
      </c>
      <c r="AS108" s="88">
        <f>SUMIF(月間集計シート!$M$134:$M$153,$G108,月間集計シート!N$134:N$153)*AS$2</f>
        <v>0</v>
      </c>
      <c r="AT108" s="88">
        <f>SUMIF(月間集計シート!$M$134:$M$153,$G108,月間集計シート!O$134:O$153)*AT$2</f>
        <v>0</v>
      </c>
      <c r="AU108" s="88">
        <f>SUMIF(月間集計シート!$M$134:$M$153,$G108,月間集計シート!P$134:P$153)*AU$2</f>
        <v>0</v>
      </c>
      <c r="AV108" s="88">
        <f>SUMIF(月間集計シート!$M$134:$M$153,$G108,月間集計シート!Q$134:Q$153)*AV$2</f>
        <v>0</v>
      </c>
      <c r="AW108" s="88">
        <f>SUMIF(月間集計シート!$M$134:$M$153,$G108,月間集計シート!R$134:R$153)*AW$2</f>
        <v>0</v>
      </c>
      <c r="AX108" s="88">
        <f>SUMIF(月間集計シート!$M$134:$M$153,$G108,月間集計シート!S$134:S$153)*AX$2</f>
        <v>0</v>
      </c>
      <c r="AY108" s="88">
        <f>SUMIF(月間集計シート!$M$134:$M$153,$G108,月間集計シート!T$134:T$153)*AY$2</f>
        <v>0</v>
      </c>
    </row>
    <row r="109" spans="1:51" ht="14.25" thickBot="1">
      <c r="A109">
        <v>2</v>
      </c>
      <c r="B109" s="120">
        <f t="shared" si="62"/>
        <v>393021</v>
      </c>
      <c r="C109" s="120" t="e">
        <f t="shared" si="63"/>
        <v>#N/A</v>
      </c>
      <c r="D109" s="137"/>
      <c r="E109" s="150" t="str">
        <f>工種!A16</f>
        <v>30102</v>
      </c>
      <c r="F109" s="119" t="str">
        <f>工種!B16</f>
        <v>製造：コーディング</v>
      </c>
      <c r="G109" s="116" t="str">
        <f t="shared" si="64"/>
        <v>39302130102</v>
      </c>
      <c r="H109" s="88">
        <f t="shared" si="18"/>
        <v>0</v>
      </c>
      <c r="I109" s="132"/>
      <c r="J109" s="88">
        <f>SUMIF(月間集計シート!$M$29:$M$48,$G109,月間集計シート!N$29:N$48)*J$2</f>
        <v>0</v>
      </c>
      <c r="K109" s="88">
        <f>SUMIF(月間集計シート!$M$29:$M$48,$G109,月間集計シート!O$29:O$48)*K$2</f>
        <v>0</v>
      </c>
      <c r="L109" s="88">
        <f>SUMIF(月間集計シート!$M$29:$M$48,$G109,月間集計シート!P$29:P$48)*L$2</f>
        <v>0</v>
      </c>
      <c r="M109" s="88">
        <f>SUMIF(月間集計シート!$M$29:$M$48,$G109,月間集計シート!Q$29:Q$48)*M$2</f>
        <v>0</v>
      </c>
      <c r="N109" s="88">
        <f>SUMIF(月間集計シート!$M$29:$M$48,$G109,月間集計シート!R$29:R$48)*N$2</f>
        <v>0</v>
      </c>
      <c r="O109" s="88">
        <f>SUMIF(月間集計シート!$M$29:$M$48,$G109,月間集計シート!S$29:S$48)*O$2</f>
        <v>0</v>
      </c>
      <c r="P109" s="88">
        <f>SUMIF(月間集計シート!$M$29:$M$48,$G109,月間集計シート!T$29:T$48)*P$2</f>
        <v>0</v>
      </c>
      <c r="Q109" s="88">
        <f>SUMIF(月間集計シート!$M$50:$M$69,$G109,月間集計シート!N$50:N$69)*Q$2</f>
        <v>0</v>
      </c>
      <c r="R109" s="88">
        <f>SUMIF(月間集計シート!$M$50:$M$69,$G109,月間集計シート!O$50:O$69)*R$2</f>
        <v>0</v>
      </c>
      <c r="S109" s="88">
        <f>SUMIF(月間集計シート!$M$50:$M$69,$G109,月間集計シート!P$50:P$69)*S$2</f>
        <v>0</v>
      </c>
      <c r="T109" s="88">
        <f>SUMIF(月間集計シート!$M$50:$M$69,$G109,月間集計シート!Q$50:Q$69)*T$2</f>
        <v>0</v>
      </c>
      <c r="U109" s="88">
        <f>SUMIF(月間集計シート!$M$50:$M$69,$G109,月間集計シート!R$50:R$69)*U$2</f>
        <v>0</v>
      </c>
      <c r="V109" s="88">
        <f>SUMIF(月間集計シート!$M$50:$M$69,$G109,月間集計シート!S$50:S$69)*V$2</f>
        <v>0</v>
      </c>
      <c r="W109" s="88">
        <f>SUMIF(月間集計シート!$M$50:$M$69,$G109,月間集計シート!T$50:T$69)*W$2</f>
        <v>0</v>
      </c>
      <c r="X109" s="88">
        <f>SUMIF(月間集計シート!$M$71:$M$90,$G109,月間集計シート!N$71:N$90)*X$2</f>
        <v>0</v>
      </c>
      <c r="Y109" s="88">
        <f>SUMIF(月間集計シート!$M$71:$M$90,$G109,月間集計シート!O$71:O$90)*Y$2</f>
        <v>0</v>
      </c>
      <c r="Z109" s="88">
        <f>SUMIF(月間集計シート!$M$71:$M$90,$G109,月間集計シート!P$71:P$90)*Z$2</f>
        <v>0</v>
      </c>
      <c r="AA109" s="88">
        <f>SUMIF(月間集計シート!$M$71:$M$90,$G109,月間集計シート!Q$71:Q$90)*AA$2</f>
        <v>0</v>
      </c>
      <c r="AB109" s="88">
        <f>SUMIF(月間集計シート!$M$71:$M$90,$G109,月間集計シート!R$71:R$90)*AB$2</f>
        <v>0</v>
      </c>
      <c r="AC109" s="88">
        <f>SUMIF(月間集計シート!$M$71:$M$90,$G109,月間集計シート!S$71:S$90)*AC$2</f>
        <v>0</v>
      </c>
      <c r="AD109" s="88">
        <f>SUMIF(月間集計シート!$M$71:$M$90,$G109,月間集計シート!T$71:T$90)*AD$2</f>
        <v>0</v>
      </c>
      <c r="AE109" s="88">
        <f>SUMIF(月間集計シート!$M$92:$M$111,$G109,月間集計シート!N$92:N$111)*AE$2</f>
        <v>0</v>
      </c>
      <c r="AF109" s="88">
        <f>SUMIF(月間集計シート!$M$92:$M$111,$G109,月間集計シート!O$92:O$111)*AF$2</f>
        <v>0</v>
      </c>
      <c r="AG109" s="88">
        <f>SUMIF(月間集計シート!$M$92:$M$111,$G109,月間集計シート!P$92:P$111)*AG$2</f>
        <v>0</v>
      </c>
      <c r="AH109" s="88">
        <f>SUMIF(月間集計シート!$M$92:$M$111,$G109,月間集計シート!Q$92:Q$111)*AH$2</f>
        <v>0</v>
      </c>
      <c r="AI109" s="88">
        <f>SUMIF(月間集計シート!$M$92:$M$111,$G109,月間集計シート!R$92:R$111)*AI$2</f>
        <v>0</v>
      </c>
      <c r="AJ109" s="88">
        <f>SUMIF(月間集計シート!$M$92:$M$111,$G109,月間集計シート!S$92:S$111)*AJ$2</f>
        <v>0</v>
      </c>
      <c r="AK109" s="88">
        <f>SUMIF(月間集計シート!$M$92:$M$111,$G109,月間集計シート!T$92:T$111)*AK$2</f>
        <v>0</v>
      </c>
      <c r="AL109" s="88">
        <f>SUMIF(月間集計シート!$M$113:$M$132,$G109,月間集計シート!N$113:N$132)*AL$2</f>
        <v>0</v>
      </c>
      <c r="AM109" s="88">
        <f>SUMIF(月間集計シート!$M$113:$M$132,$G109,月間集計シート!O$113:O$132)*AM$2</f>
        <v>0</v>
      </c>
      <c r="AN109" s="88">
        <f>SUMIF(月間集計シート!$M$113:$M$132,$G109,月間集計シート!P$113:P$132)*AN$2</f>
        <v>0</v>
      </c>
      <c r="AO109" s="88">
        <f>SUMIF(月間集計シート!$M$113:$M$132,$G109,月間集計シート!Q$113:Q$132)*AO$2</f>
        <v>0</v>
      </c>
      <c r="AP109" s="88">
        <f>SUMIF(月間集計シート!$M$113:$M$132,$G109,月間集計シート!R$113:R$132)*AP$2</f>
        <v>0</v>
      </c>
      <c r="AQ109" s="88">
        <f>SUMIF(月間集計シート!$M$113:$M$132,$G109,月間集計シート!S$113:S$132)*AQ$2</f>
        <v>0</v>
      </c>
      <c r="AR109" s="88">
        <f>SUMIF(月間集計シート!$M$113:$M$132,$G109,月間集計シート!T$113:T$132)*AR$2</f>
        <v>0</v>
      </c>
      <c r="AS109" s="88">
        <f>SUMIF(月間集計シート!$M$134:$M$153,$G109,月間集計シート!N$134:N$153)*AS$2</f>
        <v>0</v>
      </c>
      <c r="AT109" s="88">
        <f>SUMIF(月間集計シート!$M$134:$M$153,$G109,月間集計シート!O$134:O$153)*AT$2</f>
        <v>0</v>
      </c>
      <c r="AU109" s="88">
        <f>SUMIF(月間集計シート!$M$134:$M$153,$G109,月間集計シート!P$134:P$153)*AU$2</f>
        <v>0</v>
      </c>
      <c r="AV109" s="88">
        <f>SUMIF(月間集計シート!$M$134:$M$153,$G109,月間集計シート!Q$134:Q$153)*AV$2</f>
        <v>0</v>
      </c>
      <c r="AW109" s="88">
        <f>SUMIF(月間集計シート!$M$134:$M$153,$G109,月間集計シート!R$134:R$153)*AW$2</f>
        <v>0</v>
      </c>
      <c r="AX109" s="88">
        <f>SUMIF(月間集計シート!$M$134:$M$153,$G109,月間集計シート!S$134:S$153)*AX$2</f>
        <v>0</v>
      </c>
      <c r="AY109" s="88">
        <f>SUMIF(月間集計シート!$M$134:$M$153,$G109,月間集計シート!T$134:T$153)*AY$2</f>
        <v>0</v>
      </c>
    </row>
    <row r="110" spans="1:51" ht="14.25" thickBot="1">
      <c r="A110">
        <v>2</v>
      </c>
      <c r="B110" s="120">
        <f t="shared" si="62"/>
        <v>393021</v>
      </c>
      <c r="C110" s="120" t="e">
        <f t="shared" si="63"/>
        <v>#N/A</v>
      </c>
      <c r="D110" s="137"/>
      <c r="E110" s="150" t="str">
        <f>工種!A17</f>
        <v>30103</v>
      </c>
      <c r="F110" s="119" t="str">
        <f>工種!B17</f>
        <v>製造：単体テスト設計書作成</v>
      </c>
      <c r="G110" s="116" t="str">
        <f t="shared" si="64"/>
        <v>39302130103</v>
      </c>
      <c r="H110" s="88">
        <f t="shared" si="18"/>
        <v>0</v>
      </c>
      <c r="I110" s="132"/>
      <c r="J110" s="88">
        <f>SUMIF(月間集計シート!$M$29:$M$48,$G110,月間集計シート!N$29:N$48)*J$2</f>
        <v>0</v>
      </c>
      <c r="K110" s="88">
        <f>SUMIF(月間集計シート!$M$29:$M$48,$G110,月間集計シート!O$29:O$48)*K$2</f>
        <v>0</v>
      </c>
      <c r="L110" s="88">
        <f>SUMIF(月間集計シート!$M$29:$M$48,$G110,月間集計シート!P$29:P$48)*L$2</f>
        <v>0</v>
      </c>
      <c r="M110" s="88">
        <f>SUMIF(月間集計シート!$M$29:$M$48,$G110,月間集計シート!Q$29:Q$48)*M$2</f>
        <v>0</v>
      </c>
      <c r="N110" s="88">
        <f>SUMIF(月間集計シート!$M$29:$M$48,$G110,月間集計シート!R$29:R$48)*N$2</f>
        <v>0</v>
      </c>
      <c r="O110" s="88">
        <f>SUMIF(月間集計シート!$M$29:$M$48,$G110,月間集計シート!S$29:S$48)*O$2</f>
        <v>0</v>
      </c>
      <c r="P110" s="88">
        <f>SUMIF(月間集計シート!$M$29:$M$48,$G110,月間集計シート!T$29:T$48)*P$2</f>
        <v>0</v>
      </c>
      <c r="Q110" s="88">
        <f>SUMIF(月間集計シート!$M$50:$M$69,$G110,月間集計シート!N$50:N$69)*Q$2</f>
        <v>0</v>
      </c>
      <c r="R110" s="88">
        <f>SUMIF(月間集計シート!$M$50:$M$69,$G110,月間集計シート!O$50:O$69)*R$2</f>
        <v>0</v>
      </c>
      <c r="S110" s="88">
        <f>SUMIF(月間集計シート!$M$50:$M$69,$G110,月間集計シート!P$50:P$69)*S$2</f>
        <v>0</v>
      </c>
      <c r="T110" s="88">
        <f>SUMIF(月間集計シート!$M$50:$M$69,$G110,月間集計シート!Q$50:Q$69)*T$2</f>
        <v>0</v>
      </c>
      <c r="U110" s="88">
        <f>SUMIF(月間集計シート!$M$50:$M$69,$G110,月間集計シート!R$50:R$69)*U$2</f>
        <v>0</v>
      </c>
      <c r="V110" s="88">
        <f>SUMIF(月間集計シート!$M$50:$M$69,$G110,月間集計シート!S$50:S$69)*V$2</f>
        <v>0</v>
      </c>
      <c r="W110" s="88">
        <f>SUMIF(月間集計シート!$M$50:$M$69,$G110,月間集計シート!T$50:T$69)*W$2</f>
        <v>0</v>
      </c>
      <c r="X110" s="88">
        <f>SUMIF(月間集計シート!$M$71:$M$90,$G110,月間集計シート!N$71:N$90)*X$2</f>
        <v>0</v>
      </c>
      <c r="Y110" s="88">
        <f>SUMIF(月間集計シート!$M$71:$M$90,$G110,月間集計シート!O$71:O$90)*Y$2</f>
        <v>0</v>
      </c>
      <c r="Z110" s="88">
        <f>SUMIF(月間集計シート!$M$71:$M$90,$G110,月間集計シート!P$71:P$90)*Z$2</f>
        <v>0</v>
      </c>
      <c r="AA110" s="88">
        <f>SUMIF(月間集計シート!$M$71:$M$90,$G110,月間集計シート!Q$71:Q$90)*AA$2</f>
        <v>0</v>
      </c>
      <c r="AB110" s="88">
        <f>SUMIF(月間集計シート!$M$71:$M$90,$G110,月間集計シート!R$71:R$90)*AB$2</f>
        <v>0</v>
      </c>
      <c r="AC110" s="88">
        <f>SUMIF(月間集計シート!$M$71:$M$90,$G110,月間集計シート!S$71:S$90)*AC$2</f>
        <v>0</v>
      </c>
      <c r="AD110" s="88">
        <f>SUMIF(月間集計シート!$M$71:$M$90,$G110,月間集計シート!T$71:T$90)*AD$2</f>
        <v>0</v>
      </c>
      <c r="AE110" s="88">
        <f>SUMIF(月間集計シート!$M$92:$M$111,$G110,月間集計シート!N$92:N$111)*AE$2</f>
        <v>0</v>
      </c>
      <c r="AF110" s="88">
        <f>SUMIF(月間集計シート!$M$92:$M$111,$G110,月間集計シート!O$92:O$111)*AF$2</f>
        <v>0</v>
      </c>
      <c r="AG110" s="88">
        <f>SUMIF(月間集計シート!$M$92:$M$111,$G110,月間集計シート!P$92:P$111)*AG$2</f>
        <v>0</v>
      </c>
      <c r="AH110" s="88">
        <f>SUMIF(月間集計シート!$M$92:$M$111,$G110,月間集計シート!Q$92:Q$111)*AH$2</f>
        <v>0</v>
      </c>
      <c r="AI110" s="88">
        <f>SUMIF(月間集計シート!$M$92:$M$111,$G110,月間集計シート!R$92:R$111)*AI$2</f>
        <v>0</v>
      </c>
      <c r="AJ110" s="88">
        <f>SUMIF(月間集計シート!$M$92:$M$111,$G110,月間集計シート!S$92:S$111)*AJ$2</f>
        <v>0</v>
      </c>
      <c r="AK110" s="88">
        <f>SUMIF(月間集計シート!$M$92:$M$111,$G110,月間集計シート!T$92:T$111)*AK$2</f>
        <v>0</v>
      </c>
      <c r="AL110" s="88">
        <f>SUMIF(月間集計シート!$M$113:$M$132,$G110,月間集計シート!N$113:N$132)*AL$2</f>
        <v>0</v>
      </c>
      <c r="AM110" s="88">
        <f>SUMIF(月間集計シート!$M$113:$M$132,$G110,月間集計シート!O$113:O$132)*AM$2</f>
        <v>0</v>
      </c>
      <c r="AN110" s="88">
        <f>SUMIF(月間集計シート!$M$113:$M$132,$G110,月間集計シート!P$113:P$132)*AN$2</f>
        <v>0</v>
      </c>
      <c r="AO110" s="88">
        <f>SUMIF(月間集計シート!$M$113:$M$132,$G110,月間集計シート!Q$113:Q$132)*AO$2</f>
        <v>0</v>
      </c>
      <c r="AP110" s="88">
        <f>SUMIF(月間集計シート!$M$113:$M$132,$G110,月間集計シート!R$113:R$132)*AP$2</f>
        <v>0</v>
      </c>
      <c r="AQ110" s="88">
        <f>SUMIF(月間集計シート!$M$113:$M$132,$G110,月間集計シート!S$113:S$132)*AQ$2</f>
        <v>0</v>
      </c>
      <c r="AR110" s="88">
        <f>SUMIF(月間集計シート!$M$113:$M$132,$G110,月間集計シート!T$113:T$132)*AR$2</f>
        <v>0</v>
      </c>
      <c r="AS110" s="88">
        <f>SUMIF(月間集計シート!$M$134:$M$153,$G110,月間集計シート!N$134:N$153)*AS$2</f>
        <v>0</v>
      </c>
      <c r="AT110" s="88">
        <f>SUMIF(月間集計シート!$M$134:$M$153,$G110,月間集計シート!O$134:O$153)*AT$2</f>
        <v>0</v>
      </c>
      <c r="AU110" s="88">
        <f>SUMIF(月間集計シート!$M$134:$M$153,$G110,月間集計シート!P$134:P$153)*AU$2</f>
        <v>0</v>
      </c>
      <c r="AV110" s="88">
        <f>SUMIF(月間集計シート!$M$134:$M$153,$G110,月間集計シート!Q$134:Q$153)*AV$2</f>
        <v>0</v>
      </c>
      <c r="AW110" s="88">
        <f>SUMIF(月間集計シート!$M$134:$M$153,$G110,月間集計シート!R$134:R$153)*AW$2</f>
        <v>0</v>
      </c>
      <c r="AX110" s="88">
        <f>SUMIF(月間集計シート!$M$134:$M$153,$G110,月間集計シート!S$134:S$153)*AX$2</f>
        <v>0</v>
      </c>
      <c r="AY110" s="88">
        <f>SUMIF(月間集計シート!$M$134:$M$153,$G110,月間集計シート!T$134:T$153)*AY$2</f>
        <v>0</v>
      </c>
    </row>
    <row r="111" spans="1:51" ht="14.25" thickBot="1">
      <c r="A111">
        <v>2</v>
      </c>
      <c r="B111" s="120">
        <f t="shared" si="62"/>
        <v>393021</v>
      </c>
      <c r="C111" s="120" t="e">
        <f t="shared" si="63"/>
        <v>#N/A</v>
      </c>
      <c r="D111" s="137"/>
      <c r="E111" s="150" t="str">
        <f>工種!A18</f>
        <v>30104</v>
      </c>
      <c r="F111" s="119" t="str">
        <f>工種!B18</f>
        <v>製造：単体テスト実施</v>
      </c>
      <c r="G111" s="116" t="str">
        <f t="shared" si="64"/>
        <v>39302130104</v>
      </c>
      <c r="H111" s="88">
        <f t="shared" si="18"/>
        <v>0</v>
      </c>
      <c r="I111" s="132"/>
      <c r="J111" s="88">
        <f>SUMIF(月間集計シート!$M$29:$M$48,$G111,月間集計シート!N$29:N$48)*J$2</f>
        <v>0</v>
      </c>
      <c r="K111" s="88">
        <f>SUMIF(月間集計シート!$M$29:$M$48,$G111,月間集計シート!O$29:O$48)*K$2</f>
        <v>0</v>
      </c>
      <c r="L111" s="88">
        <f>SUMIF(月間集計シート!$M$29:$M$48,$G111,月間集計シート!P$29:P$48)*L$2</f>
        <v>0</v>
      </c>
      <c r="M111" s="88">
        <f>SUMIF(月間集計シート!$M$29:$M$48,$G111,月間集計シート!Q$29:Q$48)*M$2</f>
        <v>0</v>
      </c>
      <c r="N111" s="88">
        <f>SUMIF(月間集計シート!$M$29:$M$48,$G111,月間集計シート!R$29:R$48)*N$2</f>
        <v>0</v>
      </c>
      <c r="O111" s="88">
        <f>SUMIF(月間集計シート!$M$29:$M$48,$G111,月間集計シート!S$29:S$48)*O$2</f>
        <v>0</v>
      </c>
      <c r="P111" s="88">
        <f>SUMIF(月間集計シート!$M$29:$M$48,$G111,月間集計シート!T$29:T$48)*P$2</f>
        <v>0</v>
      </c>
      <c r="Q111" s="88">
        <f>SUMIF(月間集計シート!$M$50:$M$69,$G111,月間集計シート!N$50:N$69)*Q$2</f>
        <v>0</v>
      </c>
      <c r="R111" s="88">
        <f>SUMIF(月間集計シート!$M$50:$M$69,$G111,月間集計シート!O$50:O$69)*R$2</f>
        <v>0</v>
      </c>
      <c r="S111" s="88">
        <f>SUMIF(月間集計シート!$M$50:$M$69,$G111,月間集計シート!P$50:P$69)*S$2</f>
        <v>0</v>
      </c>
      <c r="T111" s="88">
        <f>SUMIF(月間集計シート!$M$50:$M$69,$G111,月間集計シート!Q$50:Q$69)*T$2</f>
        <v>0</v>
      </c>
      <c r="U111" s="88">
        <f>SUMIF(月間集計シート!$M$50:$M$69,$G111,月間集計シート!R$50:R$69)*U$2</f>
        <v>0</v>
      </c>
      <c r="V111" s="88">
        <f>SUMIF(月間集計シート!$M$50:$M$69,$G111,月間集計シート!S$50:S$69)*V$2</f>
        <v>0</v>
      </c>
      <c r="W111" s="88">
        <f>SUMIF(月間集計シート!$M$50:$M$69,$G111,月間集計シート!T$50:T$69)*W$2</f>
        <v>0</v>
      </c>
      <c r="X111" s="88">
        <f>SUMIF(月間集計シート!$M$71:$M$90,$G111,月間集計シート!N$71:N$90)*X$2</f>
        <v>0</v>
      </c>
      <c r="Y111" s="88">
        <f>SUMIF(月間集計シート!$M$71:$M$90,$G111,月間集計シート!O$71:O$90)*Y$2</f>
        <v>0</v>
      </c>
      <c r="Z111" s="88">
        <f>SUMIF(月間集計シート!$M$71:$M$90,$G111,月間集計シート!P$71:P$90)*Z$2</f>
        <v>0</v>
      </c>
      <c r="AA111" s="88">
        <f>SUMIF(月間集計シート!$M$71:$M$90,$G111,月間集計シート!Q$71:Q$90)*AA$2</f>
        <v>0</v>
      </c>
      <c r="AB111" s="88">
        <f>SUMIF(月間集計シート!$M$71:$M$90,$G111,月間集計シート!R$71:R$90)*AB$2</f>
        <v>0</v>
      </c>
      <c r="AC111" s="88">
        <f>SUMIF(月間集計シート!$M$71:$M$90,$G111,月間集計シート!S$71:S$90)*AC$2</f>
        <v>0</v>
      </c>
      <c r="AD111" s="88">
        <f>SUMIF(月間集計シート!$M$71:$M$90,$G111,月間集計シート!T$71:T$90)*AD$2</f>
        <v>0</v>
      </c>
      <c r="AE111" s="88">
        <f>SUMIF(月間集計シート!$M$92:$M$111,$G111,月間集計シート!N$92:N$111)*AE$2</f>
        <v>0</v>
      </c>
      <c r="AF111" s="88">
        <f>SUMIF(月間集計シート!$M$92:$M$111,$G111,月間集計シート!O$92:O$111)*AF$2</f>
        <v>0</v>
      </c>
      <c r="AG111" s="88">
        <f>SUMIF(月間集計シート!$M$92:$M$111,$G111,月間集計シート!P$92:P$111)*AG$2</f>
        <v>0</v>
      </c>
      <c r="AH111" s="88">
        <f>SUMIF(月間集計シート!$M$92:$M$111,$G111,月間集計シート!Q$92:Q$111)*AH$2</f>
        <v>0</v>
      </c>
      <c r="AI111" s="88">
        <f>SUMIF(月間集計シート!$M$92:$M$111,$G111,月間集計シート!R$92:R$111)*AI$2</f>
        <v>0</v>
      </c>
      <c r="AJ111" s="88">
        <f>SUMIF(月間集計シート!$M$92:$M$111,$G111,月間集計シート!S$92:S$111)*AJ$2</f>
        <v>0</v>
      </c>
      <c r="AK111" s="88">
        <f>SUMIF(月間集計シート!$M$92:$M$111,$G111,月間集計シート!T$92:T$111)*AK$2</f>
        <v>0</v>
      </c>
      <c r="AL111" s="88">
        <f>SUMIF(月間集計シート!$M$113:$M$132,$G111,月間集計シート!N$113:N$132)*AL$2</f>
        <v>0</v>
      </c>
      <c r="AM111" s="88">
        <f>SUMIF(月間集計シート!$M$113:$M$132,$G111,月間集計シート!O$113:O$132)*AM$2</f>
        <v>0</v>
      </c>
      <c r="AN111" s="88">
        <f>SUMIF(月間集計シート!$M$113:$M$132,$G111,月間集計シート!P$113:P$132)*AN$2</f>
        <v>0</v>
      </c>
      <c r="AO111" s="88">
        <f>SUMIF(月間集計シート!$M$113:$M$132,$G111,月間集計シート!Q$113:Q$132)*AO$2</f>
        <v>0</v>
      </c>
      <c r="AP111" s="88">
        <f>SUMIF(月間集計シート!$M$113:$M$132,$G111,月間集計シート!R$113:R$132)*AP$2</f>
        <v>0</v>
      </c>
      <c r="AQ111" s="88">
        <f>SUMIF(月間集計シート!$M$113:$M$132,$G111,月間集計シート!S$113:S$132)*AQ$2</f>
        <v>0</v>
      </c>
      <c r="AR111" s="88">
        <f>SUMIF(月間集計シート!$M$113:$M$132,$G111,月間集計シート!T$113:T$132)*AR$2</f>
        <v>0</v>
      </c>
      <c r="AS111" s="88">
        <f>SUMIF(月間集計シート!$M$134:$M$153,$G111,月間集計シート!N$134:N$153)*AS$2</f>
        <v>0</v>
      </c>
      <c r="AT111" s="88">
        <f>SUMIF(月間集計シート!$M$134:$M$153,$G111,月間集計シート!O$134:O$153)*AT$2</f>
        <v>0</v>
      </c>
      <c r="AU111" s="88">
        <f>SUMIF(月間集計シート!$M$134:$M$153,$G111,月間集計シート!P$134:P$153)*AU$2</f>
        <v>0</v>
      </c>
      <c r="AV111" s="88">
        <f>SUMIF(月間集計シート!$M$134:$M$153,$G111,月間集計シート!Q$134:Q$153)*AV$2</f>
        <v>0</v>
      </c>
      <c r="AW111" s="88">
        <f>SUMIF(月間集計シート!$M$134:$M$153,$G111,月間集計シート!R$134:R$153)*AW$2</f>
        <v>0</v>
      </c>
      <c r="AX111" s="88">
        <f>SUMIF(月間集計シート!$M$134:$M$153,$G111,月間集計シート!S$134:S$153)*AX$2</f>
        <v>0</v>
      </c>
      <c r="AY111" s="88">
        <f>SUMIF(月間集計シート!$M$134:$M$153,$G111,月間集計シート!T$134:T$153)*AY$2</f>
        <v>0</v>
      </c>
    </row>
    <row r="112" spans="1:51" ht="14.25" thickBot="1">
      <c r="A112">
        <v>2</v>
      </c>
      <c r="B112" s="120">
        <f t="shared" si="62"/>
        <v>393021</v>
      </c>
      <c r="C112" s="120" t="e">
        <f t="shared" si="63"/>
        <v>#N/A</v>
      </c>
      <c r="D112" s="137"/>
      <c r="E112" s="150" t="str">
        <f>工種!A19</f>
        <v>30105</v>
      </c>
      <c r="F112" s="119" t="str">
        <f>工種!B19</f>
        <v>製造：打合せ</v>
      </c>
      <c r="G112" s="116" t="str">
        <f t="shared" si="64"/>
        <v>39302130105</v>
      </c>
      <c r="H112" s="88">
        <f t="shared" si="18"/>
        <v>0</v>
      </c>
      <c r="I112" s="132"/>
      <c r="J112" s="88">
        <f>SUMIF(月間集計シート!$M$29:$M$48,$G112,月間集計シート!N$29:N$48)*J$2</f>
        <v>0</v>
      </c>
      <c r="K112" s="88">
        <f>SUMIF(月間集計シート!$M$29:$M$48,$G112,月間集計シート!O$29:O$48)*K$2</f>
        <v>0</v>
      </c>
      <c r="L112" s="88">
        <f>SUMIF(月間集計シート!$M$29:$M$48,$G112,月間集計シート!P$29:P$48)*L$2</f>
        <v>0</v>
      </c>
      <c r="M112" s="88">
        <f>SUMIF(月間集計シート!$M$29:$M$48,$G112,月間集計シート!Q$29:Q$48)*M$2</f>
        <v>0</v>
      </c>
      <c r="N112" s="88">
        <f>SUMIF(月間集計シート!$M$29:$M$48,$G112,月間集計シート!R$29:R$48)*N$2</f>
        <v>0</v>
      </c>
      <c r="O112" s="88">
        <f>SUMIF(月間集計シート!$M$29:$M$48,$G112,月間集計シート!S$29:S$48)*O$2</f>
        <v>0</v>
      </c>
      <c r="P112" s="88">
        <f>SUMIF(月間集計シート!$M$29:$M$48,$G112,月間集計シート!T$29:T$48)*P$2</f>
        <v>0</v>
      </c>
      <c r="Q112" s="88">
        <f>SUMIF(月間集計シート!$M$50:$M$69,$G112,月間集計シート!N$50:N$69)*Q$2</f>
        <v>0</v>
      </c>
      <c r="R112" s="88">
        <f>SUMIF(月間集計シート!$M$50:$M$69,$G112,月間集計シート!O$50:O$69)*R$2</f>
        <v>0</v>
      </c>
      <c r="S112" s="88">
        <f>SUMIF(月間集計シート!$M$50:$M$69,$G112,月間集計シート!P$50:P$69)*S$2</f>
        <v>0</v>
      </c>
      <c r="T112" s="88">
        <f>SUMIF(月間集計シート!$M$50:$M$69,$G112,月間集計シート!Q$50:Q$69)*T$2</f>
        <v>0</v>
      </c>
      <c r="U112" s="88">
        <f>SUMIF(月間集計シート!$M$50:$M$69,$G112,月間集計シート!R$50:R$69)*U$2</f>
        <v>0</v>
      </c>
      <c r="V112" s="88">
        <f>SUMIF(月間集計シート!$M$50:$M$69,$G112,月間集計シート!S$50:S$69)*V$2</f>
        <v>0</v>
      </c>
      <c r="W112" s="88">
        <f>SUMIF(月間集計シート!$M$50:$M$69,$G112,月間集計シート!T$50:T$69)*W$2</f>
        <v>0</v>
      </c>
      <c r="X112" s="88">
        <f>SUMIF(月間集計シート!$M$71:$M$90,$G112,月間集計シート!N$71:N$90)*X$2</f>
        <v>0</v>
      </c>
      <c r="Y112" s="88">
        <f>SUMIF(月間集計シート!$M$71:$M$90,$G112,月間集計シート!O$71:O$90)*Y$2</f>
        <v>0</v>
      </c>
      <c r="Z112" s="88">
        <f>SUMIF(月間集計シート!$M$71:$M$90,$G112,月間集計シート!P$71:P$90)*Z$2</f>
        <v>0</v>
      </c>
      <c r="AA112" s="88">
        <f>SUMIF(月間集計シート!$M$71:$M$90,$G112,月間集計シート!Q$71:Q$90)*AA$2</f>
        <v>0</v>
      </c>
      <c r="AB112" s="88">
        <f>SUMIF(月間集計シート!$M$71:$M$90,$G112,月間集計シート!R$71:R$90)*AB$2</f>
        <v>0</v>
      </c>
      <c r="AC112" s="88">
        <f>SUMIF(月間集計シート!$M$71:$M$90,$G112,月間集計シート!S$71:S$90)*AC$2</f>
        <v>0</v>
      </c>
      <c r="AD112" s="88">
        <f>SUMIF(月間集計シート!$M$71:$M$90,$G112,月間集計シート!T$71:T$90)*AD$2</f>
        <v>0</v>
      </c>
      <c r="AE112" s="88">
        <f>SUMIF(月間集計シート!$M$92:$M$111,$G112,月間集計シート!N$92:N$111)*AE$2</f>
        <v>0</v>
      </c>
      <c r="AF112" s="88">
        <f>SUMIF(月間集計シート!$M$92:$M$111,$G112,月間集計シート!O$92:O$111)*AF$2</f>
        <v>0</v>
      </c>
      <c r="AG112" s="88">
        <f>SUMIF(月間集計シート!$M$92:$M$111,$G112,月間集計シート!P$92:P$111)*AG$2</f>
        <v>0</v>
      </c>
      <c r="AH112" s="88">
        <f>SUMIF(月間集計シート!$M$92:$M$111,$G112,月間集計シート!Q$92:Q$111)*AH$2</f>
        <v>0</v>
      </c>
      <c r="AI112" s="88">
        <f>SUMIF(月間集計シート!$M$92:$M$111,$G112,月間集計シート!R$92:R$111)*AI$2</f>
        <v>0</v>
      </c>
      <c r="AJ112" s="88">
        <f>SUMIF(月間集計シート!$M$92:$M$111,$G112,月間集計シート!S$92:S$111)*AJ$2</f>
        <v>0</v>
      </c>
      <c r="AK112" s="88">
        <f>SUMIF(月間集計シート!$M$92:$M$111,$G112,月間集計シート!T$92:T$111)*AK$2</f>
        <v>0</v>
      </c>
      <c r="AL112" s="88">
        <f>SUMIF(月間集計シート!$M$113:$M$132,$G112,月間集計シート!N$113:N$132)*AL$2</f>
        <v>0</v>
      </c>
      <c r="AM112" s="88">
        <f>SUMIF(月間集計シート!$M$113:$M$132,$G112,月間集計シート!O$113:O$132)*AM$2</f>
        <v>0</v>
      </c>
      <c r="AN112" s="88">
        <f>SUMIF(月間集計シート!$M$113:$M$132,$G112,月間集計シート!P$113:P$132)*AN$2</f>
        <v>0</v>
      </c>
      <c r="AO112" s="88">
        <f>SUMIF(月間集計シート!$M$113:$M$132,$G112,月間集計シート!Q$113:Q$132)*AO$2</f>
        <v>0</v>
      </c>
      <c r="AP112" s="88">
        <f>SUMIF(月間集計シート!$M$113:$M$132,$G112,月間集計シート!R$113:R$132)*AP$2</f>
        <v>0</v>
      </c>
      <c r="AQ112" s="88">
        <f>SUMIF(月間集計シート!$M$113:$M$132,$G112,月間集計シート!S$113:S$132)*AQ$2</f>
        <v>0</v>
      </c>
      <c r="AR112" s="88">
        <f>SUMIF(月間集計シート!$M$113:$M$132,$G112,月間集計シート!T$113:T$132)*AR$2</f>
        <v>0</v>
      </c>
      <c r="AS112" s="88">
        <f>SUMIF(月間集計シート!$M$134:$M$153,$G112,月間集計シート!N$134:N$153)*AS$2</f>
        <v>0</v>
      </c>
      <c r="AT112" s="88">
        <f>SUMIF(月間集計シート!$M$134:$M$153,$G112,月間集計シート!O$134:O$153)*AT$2</f>
        <v>0</v>
      </c>
      <c r="AU112" s="88">
        <f>SUMIF(月間集計シート!$M$134:$M$153,$G112,月間集計シート!P$134:P$153)*AU$2</f>
        <v>0</v>
      </c>
      <c r="AV112" s="88">
        <f>SUMIF(月間集計シート!$M$134:$M$153,$G112,月間集計シート!Q$134:Q$153)*AV$2</f>
        <v>0</v>
      </c>
      <c r="AW112" s="88">
        <f>SUMIF(月間集計シート!$M$134:$M$153,$G112,月間集計シート!R$134:R$153)*AW$2</f>
        <v>0</v>
      </c>
      <c r="AX112" s="88">
        <f>SUMIF(月間集計シート!$M$134:$M$153,$G112,月間集計シート!S$134:S$153)*AX$2</f>
        <v>0</v>
      </c>
      <c r="AY112" s="88">
        <f>SUMIF(月間集計シート!$M$134:$M$153,$G112,月間集計シート!T$134:T$153)*AY$2</f>
        <v>0</v>
      </c>
    </row>
    <row r="113" spans="1:51" ht="14.25" thickBot="1">
      <c r="A113">
        <v>2</v>
      </c>
      <c r="B113" s="120">
        <f t="shared" si="62"/>
        <v>393021</v>
      </c>
      <c r="C113" s="120" t="e">
        <f t="shared" si="63"/>
        <v>#N/A</v>
      </c>
      <c r="D113" s="137"/>
      <c r="E113" s="150" t="str">
        <f>工種!A20</f>
        <v>30106</v>
      </c>
      <c r="F113" s="119" t="str">
        <f>工種!B20</f>
        <v>製造：PG修正（手戻り分）</v>
      </c>
      <c r="G113" s="116" t="str">
        <f t="shared" si="64"/>
        <v>39302130106</v>
      </c>
      <c r="H113" s="88">
        <f t="shared" si="18"/>
        <v>0</v>
      </c>
      <c r="I113" s="132"/>
      <c r="J113" s="88">
        <f>SUMIF(月間集計シート!$M$29:$M$48,$G113,月間集計シート!N$29:N$48)*J$2</f>
        <v>0</v>
      </c>
      <c r="K113" s="88">
        <f>SUMIF(月間集計シート!$M$29:$M$48,$G113,月間集計シート!O$29:O$48)*K$2</f>
        <v>0</v>
      </c>
      <c r="L113" s="88">
        <f>SUMIF(月間集計シート!$M$29:$M$48,$G113,月間集計シート!P$29:P$48)*L$2</f>
        <v>0</v>
      </c>
      <c r="M113" s="88">
        <f>SUMIF(月間集計シート!$M$29:$M$48,$G113,月間集計シート!Q$29:Q$48)*M$2</f>
        <v>0</v>
      </c>
      <c r="N113" s="88">
        <f>SUMIF(月間集計シート!$M$29:$M$48,$G113,月間集計シート!R$29:R$48)*N$2</f>
        <v>0</v>
      </c>
      <c r="O113" s="88">
        <f>SUMIF(月間集計シート!$M$29:$M$48,$G113,月間集計シート!S$29:S$48)*O$2</f>
        <v>0</v>
      </c>
      <c r="P113" s="88">
        <f>SUMIF(月間集計シート!$M$29:$M$48,$G113,月間集計シート!T$29:T$48)*P$2</f>
        <v>0</v>
      </c>
      <c r="Q113" s="88">
        <f>SUMIF(月間集計シート!$M$50:$M$69,$G113,月間集計シート!N$50:N$69)*Q$2</f>
        <v>0</v>
      </c>
      <c r="R113" s="88">
        <f>SUMIF(月間集計シート!$M$50:$M$69,$G113,月間集計シート!O$50:O$69)*R$2</f>
        <v>0</v>
      </c>
      <c r="S113" s="88">
        <f>SUMIF(月間集計シート!$M$50:$M$69,$G113,月間集計シート!P$50:P$69)*S$2</f>
        <v>0</v>
      </c>
      <c r="T113" s="88">
        <f>SUMIF(月間集計シート!$M$50:$M$69,$G113,月間集計シート!Q$50:Q$69)*T$2</f>
        <v>0</v>
      </c>
      <c r="U113" s="88">
        <f>SUMIF(月間集計シート!$M$50:$M$69,$G113,月間集計シート!R$50:R$69)*U$2</f>
        <v>0</v>
      </c>
      <c r="V113" s="88">
        <f>SUMIF(月間集計シート!$M$50:$M$69,$G113,月間集計シート!S$50:S$69)*V$2</f>
        <v>0</v>
      </c>
      <c r="W113" s="88">
        <f>SUMIF(月間集計シート!$M$50:$M$69,$G113,月間集計シート!T$50:T$69)*W$2</f>
        <v>0</v>
      </c>
      <c r="X113" s="88">
        <f>SUMIF(月間集計シート!$M$71:$M$90,$G113,月間集計シート!N$71:N$90)*X$2</f>
        <v>0</v>
      </c>
      <c r="Y113" s="88">
        <f>SUMIF(月間集計シート!$M$71:$M$90,$G113,月間集計シート!O$71:O$90)*Y$2</f>
        <v>0</v>
      </c>
      <c r="Z113" s="88">
        <f>SUMIF(月間集計シート!$M$71:$M$90,$G113,月間集計シート!P$71:P$90)*Z$2</f>
        <v>0</v>
      </c>
      <c r="AA113" s="88">
        <f>SUMIF(月間集計シート!$M$71:$M$90,$G113,月間集計シート!Q$71:Q$90)*AA$2</f>
        <v>0</v>
      </c>
      <c r="AB113" s="88">
        <f>SUMIF(月間集計シート!$M$71:$M$90,$G113,月間集計シート!R$71:R$90)*AB$2</f>
        <v>0</v>
      </c>
      <c r="AC113" s="88">
        <f>SUMIF(月間集計シート!$M$71:$M$90,$G113,月間集計シート!S$71:S$90)*AC$2</f>
        <v>0</v>
      </c>
      <c r="AD113" s="88">
        <f>SUMIF(月間集計シート!$M$71:$M$90,$G113,月間集計シート!T$71:T$90)*AD$2</f>
        <v>0</v>
      </c>
      <c r="AE113" s="88">
        <f>SUMIF(月間集計シート!$M$92:$M$111,$G113,月間集計シート!N$92:N$111)*AE$2</f>
        <v>0</v>
      </c>
      <c r="AF113" s="88">
        <f>SUMIF(月間集計シート!$M$92:$M$111,$G113,月間集計シート!O$92:O$111)*AF$2</f>
        <v>0</v>
      </c>
      <c r="AG113" s="88">
        <f>SUMIF(月間集計シート!$M$92:$M$111,$G113,月間集計シート!P$92:P$111)*AG$2</f>
        <v>0</v>
      </c>
      <c r="AH113" s="88">
        <f>SUMIF(月間集計シート!$M$92:$M$111,$G113,月間集計シート!Q$92:Q$111)*AH$2</f>
        <v>0</v>
      </c>
      <c r="AI113" s="88">
        <f>SUMIF(月間集計シート!$M$92:$M$111,$G113,月間集計シート!R$92:R$111)*AI$2</f>
        <v>0</v>
      </c>
      <c r="AJ113" s="88">
        <f>SUMIF(月間集計シート!$M$92:$M$111,$G113,月間集計シート!S$92:S$111)*AJ$2</f>
        <v>0</v>
      </c>
      <c r="AK113" s="88">
        <f>SUMIF(月間集計シート!$M$92:$M$111,$G113,月間集計シート!T$92:T$111)*AK$2</f>
        <v>0</v>
      </c>
      <c r="AL113" s="88">
        <f>SUMIF(月間集計シート!$M$113:$M$132,$G113,月間集計シート!N$113:N$132)*AL$2</f>
        <v>0</v>
      </c>
      <c r="AM113" s="88">
        <f>SUMIF(月間集計シート!$M$113:$M$132,$G113,月間集計シート!O$113:O$132)*AM$2</f>
        <v>0</v>
      </c>
      <c r="AN113" s="88">
        <f>SUMIF(月間集計シート!$M$113:$M$132,$G113,月間集計シート!P$113:P$132)*AN$2</f>
        <v>0</v>
      </c>
      <c r="AO113" s="88">
        <f>SUMIF(月間集計シート!$M$113:$M$132,$G113,月間集計シート!Q$113:Q$132)*AO$2</f>
        <v>0</v>
      </c>
      <c r="AP113" s="88">
        <f>SUMIF(月間集計シート!$M$113:$M$132,$G113,月間集計シート!R$113:R$132)*AP$2</f>
        <v>0</v>
      </c>
      <c r="AQ113" s="88">
        <f>SUMIF(月間集計シート!$M$113:$M$132,$G113,月間集計シート!S$113:S$132)*AQ$2</f>
        <v>0</v>
      </c>
      <c r="AR113" s="88">
        <f>SUMIF(月間集計シート!$M$113:$M$132,$G113,月間集計シート!T$113:T$132)*AR$2</f>
        <v>0</v>
      </c>
      <c r="AS113" s="88">
        <f>SUMIF(月間集計シート!$M$134:$M$153,$G113,月間集計シート!N$134:N$153)*AS$2</f>
        <v>0</v>
      </c>
      <c r="AT113" s="88">
        <f>SUMIF(月間集計シート!$M$134:$M$153,$G113,月間集計シート!O$134:O$153)*AT$2</f>
        <v>0</v>
      </c>
      <c r="AU113" s="88">
        <f>SUMIF(月間集計シート!$M$134:$M$153,$G113,月間集計シート!P$134:P$153)*AU$2</f>
        <v>0</v>
      </c>
      <c r="AV113" s="88">
        <f>SUMIF(月間集計シート!$M$134:$M$153,$G113,月間集計シート!Q$134:Q$153)*AV$2</f>
        <v>0</v>
      </c>
      <c r="AW113" s="88">
        <f>SUMIF(月間集計シート!$M$134:$M$153,$G113,月間集計シート!R$134:R$153)*AW$2</f>
        <v>0</v>
      </c>
      <c r="AX113" s="88">
        <f>SUMIF(月間集計シート!$M$134:$M$153,$G113,月間集計シート!S$134:S$153)*AX$2</f>
        <v>0</v>
      </c>
      <c r="AY113" s="88">
        <f>SUMIF(月間集計シート!$M$134:$M$153,$G113,月間集計シート!T$134:T$153)*AY$2</f>
        <v>0</v>
      </c>
    </row>
    <row r="114" spans="1:51" ht="14.25" thickBot="1">
      <c r="A114">
        <v>2</v>
      </c>
      <c r="B114" s="120">
        <f t="shared" si="62"/>
        <v>393021</v>
      </c>
      <c r="C114" s="120" t="e">
        <f t="shared" si="63"/>
        <v>#N/A</v>
      </c>
      <c r="D114" s="137"/>
      <c r="E114" s="150" t="str">
        <f>工種!A21</f>
        <v>30109</v>
      </c>
      <c r="F114" s="119" t="str">
        <f>工種!B21</f>
        <v>製造：レビュー</v>
      </c>
      <c r="G114" s="116" t="str">
        <f t="shared" si="64"/>
        <v>39302130109</v>
      </c>
      <c r="H114" s="88">
        <f t="shared" si="18"/>
        <v>0</v>
      </c>
      <c r="I114" s="132"/>
      <c r="J114" s="88">
        <f>SUMIF(月間集計シート!$M$29:$M$48,$G114,月間集計シート!N$29:N$48)*J$2</f>
        <v>0</v>
      </c>
      <c r="K114" s="88">
        <f>SUMIF(月間集計シート!$M$29:$M$48,$G114,月間集計シート!O$29:O$48)*K$2</f>
        <v>0</v>
      </c>
      <c r="L114" s="88">
        <f>SUMIF(月間集計シート!$M$29:$M$48,$G114,月間集計シート!P$29:P$48)*L$2</f>
        <v>0</v>
      </c>
      <c r="M114" s="88">
        <f>SUMIF(月間集計シート!$M$29:$M$48,$G114,月間集計シート!Q$29:Q$48)*M$2</f>
        <v>0</v>
      </c>
      <c r="N114" s="88">
        <f>SUMIF(月間集計シート!$M$29:$M$48,$G114,月間集計シート!R$29:R$48)*N$2</f>
        <v>0</v>
      </c>
      <c r="O114" s="88">
        <f>SUMIF(月間集計シート!$M$29:$M$48,$G114,月間集計シート!S$29:S$48)*O$2</f>
        <v>0</v>
      </c>
      <c r="P114" s="88">
        <f>SUMIF(月間集計シート!$M$29:$M$48,$G114,月間集計シート!T$29:T$48)*P$2</f>
        <v>0</v>
      </c>
      <c r="Q114" s="88">
        <f>SUMIF(月間集計シート!$M$50:$M$69,$G114,月間集計シート!N$50:N$69)*Q$2</f>
        <v>0</v>
      </c>
      <c r="R114" s="88">
        <f>SUMIF(月間集計シート!$M$50:$M$69,$G114,月間集計シート!O$50:O$69)*R$2</f>
        <v>0</v>
      </c>
      <c r="S114" s="88">
        <f>SUMIF(月間集計シート!$M$50:$M$69,$G114,月間集計シート!P$50:P$69)*S$2</f>
        <v>0</v>
      </c>
      <c r="T114" s="88">
        <f>SUMIF(月間集計シート!$M$50:$M$69,$G114,月間集計シート!Q$50:Q$69)*T$2</f>
        <v>0</v>
      </c>
      <c r="U114" s="88">
        <f>SUMIF(月間集計シート!$M$50:$M$69,$G114,月間集計シート!R$50:R$69)*U$2</f>
        <v>0</v>
      </c>
      <c r="V114" s="88">
        <f>SUMIF(月間集計シート!$M$50:$M$69,$G114,月間集計シート!S$50:S$69)*V$2</f>
        <v>0</v>
      </c>
      <c r="W114" s="88">
        <f>SUMIF(月間集計シート!$M$50:$M$69,$G114,月間集計シート!T$50:T$69)*W$2</f>
        <v>0</v>
      </c>
      <c r="X114" s="88">
        <f>SUMIF(月間集計シート!$M$71:$M$90,$G114,月間集計シート!N$71:N$90)*X$2</f>
        <v>0</v>
      </c>
      <c r="Y114" s="88">
        <f>SUMIF(月間集計シート!$M$71:$M$90,$G114,月間集計シート!O$71:O$90)*Y$2</f>
        <v>0</v>
      </c>
      <c r="Z114" s="88">
        <f>SUMIF(月間集計シート!$M$71:$M$90,$G114,月間集計シート!P$71:P$90)*Z$2</f>
        <v>0</v>
      </c>
      <c r="AA114" s="88">
        <f>SUMIF(月間集計シート!$M$71:$M$90,$G114,月間集計シート!Q$71:Q$90)*AA$2</f>
        <v>0</v>
      </c>
      <c r="AB114" s="88">
        <f>SUMIF(月間集計シート!$M$71:$M$90,$G114,月間集計シート!R$71:R$90)*AB$2</f>
        <v>0</v>
      </c>
      <c r="AC114" s="88">
        <f>SUMIF(月間集計シート!$M$71:$M$90,$G114,月間集計シート!S$71:S$90)*AC$2</f>
        <v>0</v>
      </c>
      <c r="AD114" s="88">
        <f>SUMIF(月間集計シート!$M$71:$M$90,$G114,月間集計シート!T$71:T$90)*AD$2</f>
        <v>0</v>
      </c>
      <c r="AE114" s="88">
        <f>SUMIF(月間集計シート!$M$92:$M$111,$G114,月間集計シート!N$92:N$111)*AE$2</f>
        <v>0</v>
      </c>
      <c r="AF114" s="88">
        <f>SUMIF(月間集計シート!$M$92:$M$111,$G114,月間集計シート!O$92:O$111)*AF$2</f>
        <v>0</v>
      </c>
      <c r="AG114" s="88">
        <f>SUMIF(月間集計シート!$M$92:$M$111,$G114,月間集計シート!P$92:P$111)*AG$2</f>
        <v>0</v>
      </c>
      <c r="AH114" s="88">
        <f>SUMIF(月間集計シート!$M$92:$M$111,$G114,月間集計シート!Q$92:Q$111)*AH$2</f>
        <v>0</v>
      </c>
      <c r="AI114" s="88">
        <f>SUMIF(月間集計シート!$M$92:$M$111,$G114,月間集計シート!R$92:R$111)*AI$2</f>
        <v>0</v>
      </c>
      <c r="AJ114" s="88">
        <f>SUMIF(月間集計シート!$M$92:$M$111,$G114,月間集計シート!S$92:S$111)*AJ$2</f>
        <v>0</v>
      </c>
      <c r="AK114" s="88">
        <f>SUMIF(月間集計シート!$M$92:$M$111,$G114,月間集計シート!T$92:T$111)*AK$2</f>
        <v>0</v>
      </c>
      <c r="AL114" s="88">
        <f>SUMIF(月間集計シート!$M$113:$M$132,$G114,月間集計シート!N$113:N$132)*AL$2</f>
        <v>0</v>
      </c>
      <c r="AM114" s="88">
        <f>SUMIF(月間集計シート!$M$113:$M$132,$G114,月間集計シート!O$113:O$132)*AM$2</f>
        <v>0</v>
      </c>
      <c r="AN114" s="88">
        <f>SUMIF(月間集計シート!$M$113:$M$132,$G114,月間集計シート!P$113:P$132)*AN$2</f>
        <v>0</v>
      </c>
      <c r="AO114" s="88">
        <f>SUMIF(月間集計シート!$M$113:$M$132,$G114,月間集計シート!Q$113:Q$132)*AO$2</f>
        <v>0</v>
      </c>
      <c r="AP114" s="88">
        <f>SUMIF(月間集計シート!$M$113:$M$132,$G114,月間集計シート!R$113:R$132)*AP$2</f>
        <v>0</v>
      </c>
      <c r="AQ114" s="88">
        <f>SUMIF(月間集計シート!$M$113:$M$132,$G114,月間集計シート!S$113:S$132)*AQ$2</f>
        <v>0</v>
      </c>
      <c r="AR114" s="88">
        <f>SUMIF(月間集計シート!$M$113:$M$132,$G114,月間集計シート!T$113:T$132)*AR$2</f>
        <v>0</v>
      </c>
      <c r="AS114" s="88">
        <f>SUMIF(月間集計シート!$M$134:$M$153,$G114,月間集計シート!N$134:N$153)*AS$2</f>
        <v>0</v>
      </c>
      <c r="AT114" s="88">
        <f>SUMIF(月間集計シート!$M$134:$M$153,$G114,月間集計シート!O$134:O$153)*AT$2</f>
        <v>0</v>
      </c>
      <c r="AU114" s="88">
        <f>SUMIF(月間集計シート!$M$134:$M$153,$G114,月間集計シート!P$134:P$153)*AU$2</f>
        <v>0</v>
      </c>
      <c r="AV114" s="88">
        <f>SUMIF(月間集計シート!$M$134:$M$153,$G114,月間集計シート!Q$134:Q$153)*AV$2</f>
        <v>0</v>
      </c>
      <c r="AW114" s="88">
        <f>SUMIF(月間集計シート!$M$134:$M$153,$G114,月間集計シート!R$134:R$153)*AW$2</f>
        <v>0</v>
      </c>
      <c r="AX114" s="88">
        <f>SUMIF(月間集計シート!$M$134:$M$153,$G114,月間集計シート!S$134:S$153)*AX$2</f>
        <v>0</v>
      </c>
      <c r="AY114" s="88">
        <f>SUMIF(月間集計シート!$M$134:$M$153,$G114,月間集計シート!T$134:T$153)*AY$2</f>
        <v>0</v>
      </c>
    </row>
    <row r="115" spans="1:51" ht="14.25" thickBot="1">
      <c r="A115">
        <v>2</v>
      </c>
      <c r="B115" s="120">
        <f t="shared" si="62"/>
        <v>393021</v>
      </c>
      <c r="C115" s="120" t="e">
        <f t="shared" si="63"/>
        <v>#N/A</v>
      </c>
      <c r="D115" s="137"/>
      <c r="E115" s="150" t="str">
        <f>工種!A22</f>
        <v>30199</v>
      </c>
      <c r="F115" s="119" t="str">
        <f>工種!B22</f>
        <v>製造：その他</v>
      </c>
      <c r="G115" s="116" t="str">
        <f t="shared" si="64"/>
        <v>39302130199</v>
      </c>
      <c r="H115" s="88">
        <f t="shared" si="18"/>
        <v>0</v>
      </c>
      <c r="I115" s="132"/>
      <c r="J115" s="88">
        <f>SUMIF(月間集計シート!$M$29:$M$48,$G115,月間集計シート!N$29:N$48)*J$2</f>
        <v>0</v>
      </c>
      <c r="K115" s="88">
        <f>SUMIF(月間集計シート!$M$29:$M$48,$G115,月間集計シート!O$29:O$48)*K$2</f>
        <v>0</v>
      </c>
      <c r="L115" s="88">
        <f>SUMIF(月間集計シート!$M$29:$M$48,$G115,月間集計シート!P$29:P$48)*L$2</f>
        <v>0</v>
      </c>
      <c r="M115" s="88">
        <f>SUMIF(月間集計シート!$M$29:$M$48,$G115,月間集計シート!Q$29:Q$48)*M$2</f>
        <v>0</v>
      </c>
      <c r="N115" s="88">
        <f>SUMIF(月間集計シート!$M$29:$M$48,$G115,月間集計シート!R$29:R$48)*N$2</f>
        <v>0</v>
      </c>
      <c r="O115" s="88">
        <f>SUMIF(月間集計シート!$M$29:$M$48,$G115,月間集計シート!S$29:S$48)*O$2</f>
        <v>0</v>
      </c>
      <c r="P115" s="88">
        <f>SUMIF(月間集計シート!$M$29:$M$48,$G115,月間集計シート!T$29:T$48)*P$2</f>
        <v>0</v>
      </c>
      <c r="Q115" s="88">
        <f>SUMIF(月間集計シート!$M$50:$M$69,$G115,月間集計シート!N$50:N$69)*Q$2</f>
        <v>0</v>
      </c>
      <c r="R115" s="88">
        <f>SUMIF(月間集計シート!$M$50:$M$69,$G115,月間集計シート!O$50:O$69)*R$2</f>
        <v>0</v>
      </c>
      <c r="S115" s="88">
        <f>SUMIF(月間集計シート!$M$50:$M$69,$G115,月間集計シート!P$50:P$69)*S$2</f>
        <v>0</v>
      </c>
      <c r="T115" s="88">
        <f>SUMIF(月間集計シート!$M$50:$M$69,$G115,月間集計シート!Q$50:Q$69)*T$2</f>
        <v>0</v>
      </c>
      <c r="U115" s="88">
        <f>SUMIF(月間集計シート!$M$50:$M$69,$G115,月間集計シート!R$50:R$69)*U$2</f>
        <v>0</v>
      </c>
      <c r="V115" s="88">
        <f>SUMIF(月間集計シート!$M$50:$M$69,$G115,月間集計シート!S$50:S$69)*V$2</f>
        <v>0</v>
      </c>
      <c r="W115" s="88">
        <f>SUMIF(月間集計シート!$M$50:$M$69,$G115,月間集計シート!T$50:T$69)*W$2</f>
        <v>0</v>
      </c>
      <c r="X115" s="88">
        <f>SUMIF(月間集計シート!$M$71:$M$90,$G115,月間集計シート!N$71:N$90)*X$2</f>
        <v>0</v>
      </c>
      <c r="Y115" s="88">
        <f>SUMIF(月間集計シート!$M$71:$M$90,$G115,月間集計シート!O$71:O$90)*Y$2</f>
        <v>0</v>
      </c>
      <c r="Z115" s="88">
        <f>SUMIF(月間集計シート!$M$71:$M$90,$G115,月間集計シート!P$71:P$90)*Z$2</f>
        <v>0</v>
      </c>
      <c r="AA115" s="88">
        <f>SUMIF(月間集計シート!$M$71:$M$90,$G115,月間集計シート!Q$71:Q$90)*AA$2</f>
        <v>0</v>
      </c>
      <c r="AB115" s="88">
        <f>SUMIF(月間集計シート!$M$71:$M$90,$G115,月間集計シート!R$71:R$90)*AB$2</f>
        <v>0</v>
      </c>
      <c r="AC115" s="88">
        <f>SUMIF(月間集計シート!$M$71:$M$90,$G115,月間集計シート!S$71:S$90)*AC$2</f>
        <v>0</v>
      </c>
      <c r="AD115" s="88">
        <f>SUMIF(月間集計シート!$M$71:$M$90,$G115,月間集計シート!T$71:T$90)*AD$2</f>
        <v>0</v>
      </c>
      <c r="AE115" s="88">
        <f>SUMIF(月間集計シート!$M$92:$M$111,$G115,月間集計シート!N$92:N$111)*AE$2</f>
        <v>0</v>
      </c>
      <c r="AF115" s="88">
        <f>SUMIF(月間集計シート!$M$92:$M$111,$G115,月間集計シート!O$92:O$111)*AF$2</f>
        <v>0</v>
      </c>
      <c r="AG115" s="88">
        <f>SUMIF(月間集計シート!$M$92:$M$111,$G115,月間集計シート!P$92:P$111)*AG$2</f>
        <v>0</v>
      </c>
      <c r="AH115" s="88">
        <f>SUMIF(月間集計シート!$M$92:$M$111,$G115,月間集計シート!Q$92:Q$111)*AH$2</f>
        <v>0</v>
      </c>
      <c r="AI115" s="88">
        <f>SUMIF(月間集計シート!$M$92:$M$111,$G115,月間集計シート!R$92:R$111)*AI$2</f>
        <v>0</v>
      </c>
      <c r="AJ115" s="88">
        <f>SUMIF(月間集計シート!$M$92:$M$111,$G115,月間集計シート!S$92:S$111)*AJ$2</f>
        <v>0</v>
      </c>
      <c r="AK115" s="88">
        <f>SUMIF(月間集計シート!$M$92:$M$111,$G115,月間集計シート!T$92:T$111)*AK$2</f>
        <v>0</v>
      </c>
      <c r="AL115" s="88">
        <f>SUMIF(月間集計シート!$M$113:$M$132,$G115,月間集計シート!N$113:N$132)*AL$2</f>
        <v>0</v>
      </c>
      <c r="AM115" s="88">
        <f>SUMIF(月間集計シート!$M$113:$M$132,$G115,月間集計シート!O$113:O$132)*AM$2</f>
        <v>0</v>
      </c>
      <c r="AN115" s="88">
        <f>SUMIF(月間集計シート!$M$113:$M$132,$G115,月間集計シート!P$113:P$132)*AN$2</f>
        <v>0</v>
      </c>
      <c r="AO115" s="88">
        <f>SUMIF(月間集計シート!$M$113:$M$132,$G115,月間集計シート!Q$113:Q$132)*AO$2</f>
        <v>0</v>
      </c>
      <c r="AP115" s="88">
        <f>SUMIF(月間集計シート!$M$113:$M$132,$G115,月間集計シート!R$113:R$132)*AP$2</f>
        <v>0</v>
      </c>
      <c r="AQ115" s="88">
        <f>SUMIF(月間集計シート!$M$113:$M$132,$G115,月間集計シート!S$113:S$132)*AQ$2</f>
        <v>0</v>
      </c>
      <c r="AR115" s="88">
        <f>SUMIF(月間集計シート!$M$113:$M$132,$G115,月間集計シート!T$113:T$132)*AR$2</f>
        <v>0</v>
      </c>
      <c r="AS115" s="88">
        <f>SUMIF(月間集計シート!$M$134:$M$153,$G115,月間集計シート!N$134:N$153)*AS$2</f>
        <v>0</v>
      </c>
      <c r="AT115" s="88">
        <f>SUMIF(月間集計シート!$M$134:$M$153,$G115,月間集計シート!O$134:O$153)*AT$2</f>
        <v>0</v>
      </c>
      <c r="AU115" s="88">
        <f>SUMIF(月間集計シート!$M$134:$M$153,$G115,月間集計シート!P$134:P$153)*AU$2</f>
        <v>0</v>
      </c>
      <c r="AV115" s="88">
        <f>SUMIF(月間集計シート!$M$134:$M$153,$G115,月間集計シート!Q$134:Q$153)*AV$2</f>
        <v>0</v>
      </c>
      <c r="AW115" s="88">
        <f>SUMIF(月間集計シート!$M$134:$M$153,$G115,月間集計シート!R$134:R$153)*AW$2</f>
        <v>0</v>
      </c>
      <c r="AX115" s="88">
        <f>SUMIF(月間集計シート!$M$134:$M$153,$G115,月間集計シート!S$134:S$153)*AX$2</f>
        <v>0</v>
      </c>
      <c r="AY115" s="88">
        <f>SUMIF(月間集計シート!$M$134:$M$153,$G115,月間集計シート!T$134:T$153)*AY$2</f>
        <v>0</v>
      </c>
    </row>
    <row r="116" spans="1:51" ht="14.25" thickBot="1">
      <c r="A116">
        <v>2</v>
      </c>
      <c r="B116" s="120">
        <f t="shared" si="62"/>
        <v>393021</v>
      </c>
      <c r="C116" s="120" t="e">
        <f t="shared" si="63"/>
        <v>#N/A</v>
      </c>
      <c r="D116" s="137"/>
      <c r="E116" s="150" t="str">
        <f>工種!A23</f>
        <v>40101</v>
      </c>
      <c r="F116" s="119" t="str">
        <f>工種!B23</f>
        <v>テスト：結合テスト実施</v>
      </c>
      <c r="G116" s="116" t="str">
        <f t="shared" si="64"/>
        <v>39302140101</v>
      </c>
      <c r="H116" s="88">
        <f t="shared" si="18"/>
        <v>0</v>
      </c>
      <c r="I116" s="132"/>
      <c r="J116" s="88">
        <f>SUMIF(月間集計シート!$M$29:$M$48,$G116,月間集計シート!N$29:N$48)*J$2</f>
        <v>0</v>
      </c>
      <c r="K116" s="88">
        <f>SUMIF(月間集計シート!$M$29:$M$48,$G116,月間集計シート!O$29:O$48)*K$2</f>
        <v>0</v>
      </c>
      <c r="L116" s="88">
        <f>SUMIF(月間集計シート!$M$29:$M$48,$G116,月間集計シート!P$29:P$48)*L$2</f>
        <v>0</v>
      </c>
      <c r="M116" s="88">
        <f>SUMIF(月間集計シート!$M$29:$M$48,$G116,月間集計シート!Q$29:Q$48)*M$2</f>
        <v>0</v>
      </c>
      <c r="N116" s="88">
        <f>SUMIF(月間集計シート!$M$29:$M$48,$G116,月間集計シート!R$29:R$48)*N$2</f>
        <v>0</v>
      </c>
      <c r="O116" s="88">
        <f>SUMIF(月間集計シート!$M$29:$M$48,$G116,月間集計シート!S$29:S$48)*O$2</f>
        <v>0</v>
      </c>
      <c r="P116" s="88">
        <f>SUMIF(月間集計シート!$M$29:$M$48,$G116,月間集計シート!T$29:T$48)*P$2</f>
        <v>0</v>
      </c>
      <c r="Q116" s="88">
        <f>SUMIF(月間集計シート!$M$50:$M$69,$G116,月間集計シート!N$50:N$69)*Q$2</f>
        <v>0</v>
      </c>
      <c r="R116" s="88">
        <f>SUMIF(月間集計シート!$M$50:$M$69,$G116,月間集計シート!O$50:O$69)*R$2</f>
        <v>0</v>
      </c>
      <c r="S116" s="88">
        <f>SUMIF(月間集計シート!$M$50:$M$69,$G116,月間集計シート!P$50:P$69)*S$2</f>
        <v>0</v>
      </c>
      <c r="T116" s="88">
        <f>SUMIF(月間集計シート!$M$50:$M$69,$G116,月間集計シート!Q$50:Q$69)*T$2</f>
        <v>0</v>
      </c>
      <c r="U116" s="88">
        <f>SUMIF(月間集計シート!$M$50:$M$69,$G116,月間集計シート!R$50:R$69)*U$2</f>
        <v>0</v>
      </c>
      <c r="V116" s="88">
        <f>SUMIF(月間集計シート!$M$50:$M$69,$G116,月間集計シート!S$50:S$69)*V$2</f>
        <v>0</v>
      </c>
      <c r="W116" s="88">
        <f>SUMIF(月間集計シート!$M$50:$M$69,$G116,月間集計シート!T$50:T$69)*W$2</f>
        <v>0</v>
      </c>
      <c r="X116" s="88">
        <f>SUMIF(月間集計シート!$M$71:$M$90,$G116,月間集計シート!N$71:N$90)*X$2</f>
        <v>0</v>
      </c>
      <c r="Y116" s="88">
        <f>SUMIF(月間集計シート!$M$71:$M$90,$G116,月間集計シート!O$71:O$90)*Y$2</f>
        <v>0</v>
      </c>
      <c r="Z116" s="88">
        <f>SUMIF(月間集計シート!$M$71:$M$90,$G116,月間集計シート!P$71:P$90)*Z$2</f>
        <v>0</v>
      </c>
      <c r="AA116" s="88">
        <f>SUMIF(月間集計シート!$M$71:$M$90,$G116,月間集計シート!Q$71:Q$90)*AA$2</f>
        <v>0</v>
      </c>
      <c r="AB116" s="88">
        <f>SUMIF(月間集計シート!$M$71:$M$90,$G116,月間集計シート!R$71:R$90)*AB$2</f>
        <v>0</v>
      </c>
      <c r="AC116" s="88">
        <f>SUMIF(月間集計シート!$M$71:$M$90,$G116,月間集計シート!S$71:S$90)*AC$2</f>
        <v>0</v>
      </c>
      <c r="AD116" s="88">
        <f>SUMIF(月間集計シート!$M$71:$M$90,$G116,月間集計シート!T$71:T$90)*AD$2</f>
        <v>0</v>
      </c>
      <c r="AE116" s="88">
        <f>SUMIF(月間集計シート!$M$92:$M$111,$G116,月間集計シート!N$92:N$111)*AE$2</f>
        <v>0</v>
      </c>
      <c r="AF116" s="88">
        <f>SUMIF(月間集計シート!$M$92:$M$111,$G116,月間集計シート!O$92:O$111)*AF$2</f>
        <v>0</v>
      </c>
      <c r="AG116" s="88">
        <f>SUMIF(月間集計シート!$M$92:$M$111,$G116,月間集計シート!P$92:P$111)*AG$2</f>
        <v>0</v>
      </c>
      <c r="AH116" s="88">
        <f>SUMIF(月間集計シート!$M$92:$M$111,$G116,月間集計シート!Q$92:Q$111)*AH$2</f>
        <v>0</v>
      </c>
      <c r="AI116" s="88">
        <f>SUMIF(月間集計シート!$M$92:$M$111,$G116,月間集計シート!R$92:R$111)*AI$2</f>
        <v>0</v>
      </c>
      <c r="AJ116" s="88">
        <f>SUMIF(月間集計シート!$M$92:$M$111,$G116,月間集計シート!S$92:S$111)*AJ$2</f>
        <v>0</v>
      </c>
      <c r="AK116" s="88">
        <f>SUMIF(月間集計シート!$M$92:$M$111,$G116,月間集計シート!T$92:T$111)*AK$2</f>
        <v>0</v>
      </c>
      <c r="AL116" s="88">
        <f>SUMIF(月間集計シート!$M$113:$M$132,$G116,月間集計シート!N$113:N$132)*AL$2</f>
        <v>0</v>
      </c>
      <c r="AM116" s="88">
        <f>SUMIF(月間集計シート!$M$113:$M$132,$G116,月間集計シート!O$113:O$132)*AM$2</f>
        <v>0</v>
      </c>
      <c r="AN116" s="88">
        <f>SUMIF(月間集計シート!$M$113:$M$132,$G116,月間集計シート!P$113:P$132)*AN$2</f>
        <v>0</v>
      </c>
      <c r="AO116" s="88">
        <f>SUMIF(月間集計シート!$M$113:$M$132,$G116,月間集計シート!Q$113:Q$132)*AO$2</f>
        <v>0</v>
      </c>
      <c r="AP116" s="88">
        <f>SUMIF(月間集計シート!$M$113:$M$132,$G116,月間集計シート!R$113:R$132)*AP$2</f>
        <v>0</v>
      </c>
      <c r="AQ116" s="88">
        <f>SUMIF(月間集計シート!$M$113:$M$132,$G116,月間集計シート!S$113:S$132)*AQ$2</f>
        <v>0</v>
      </c>
      <c r="AR116" s="88">
        <f>SUMIF(月間集計シート!$M$113:$M$132,$G116,月間集計シート!T$113:T$132)*AR$2</f>
        <v>0</v>
      </c>
      <c r="AS116" s="88">
        <f>SUMIF(月間集計シート!$M$134:$M$153,$G116,月間集計シート!N$134:N$153)*AS$2</f>
        <v>0</v>
      </c>
      <c r="AT116" s="88">
        <f>SUMIF(月間集計シート!$M$134:$M$153,$G116,月間集計シート!O$134:O$153)*AT$2</f>
        <v>0</v>
      </c>
      <c r="AU116" s="88">
        <f>SUMIF(月間集計シート!$M$134:$M$153,$G116,月間集計シート!P$134:P$153)*AU$2</f>
        <v>0</v>
      </c>
      <c r="AV116" s="88">
        <f>SUMIF(月間集計シート!$M$134:$M$153,$G116,月間集計シート!Q$134:Q$153)*AV$2</f>
        <v>0</v>
      </c>
      <c r="AW116" s="88">
        <f>SUMIF(月間集計シート!$M$134:$M$153,$G116,月間集計シート!R$134:R$153)*AW$2</f>
        <v>0</v>
      </c>
      <c r="AX116" s="88">
        <f>SUMIF(月間集計シート!$M$134:$M$153,$G116,月間集計シート!S$134:S$153)*AX$2</f>
        <v>0</v>
      </c>
      <c r="AY116" s="88">
        <f>SUMIF(月間集計シート!$M$134:$M$153,$G116,月間集計シート!T$134:T$153)*AY$2</f>
        <v>0</v>
      </c>
    </row>
    <row r="117" spans="1:51" ht="14.25" thickBot="1">
      <c r="A117">
        <v>2</v>
      </c>
      <c r="B117" s="120">
        <f t="shared" si="62"/>
        <v>393021</v>
      </c>
      <c r="C117" s="120" t="e">
        <f t="shared" si="63"/>
        <v>#N/A</v>
      </c>
      <c r="D117" s="137"/>
      <c r="E117" s="150" t="str">
        <f>工種!A24</f>
        <v>40102</v>
      </c>
      <c r="F117" s="119" t="str">
        <f>工種!B24</f>
        <v>テスト：システムテスト実施</v>
      </c>
      <c r="G117" s="116" t="str">
        <f t="shared" si="64"/>
        <v>39302140102</v>
      </c>
      <c r="H117" s="88">
        <f t="shared" si="18"/>
        <v>0</v>
      </c>
      <c r="I117" s="132"/>
      <c r="J117" s="88">
        <f>SUMIF(月間集計シート!$M$29:$M$48,$G117,月間集計シート!N$29:N$48)*J$2</f>
        <v>0</v>
      </c>
      <c r="K117" s="88">
        <f>SUMIF(月間集計シート!$M$29:$M$48,$G117,月間集計シート!O$29:O$48)*K$2</f>
        <v>0</v>
      </c>
      <c r="L117" s="88">
        <f>SUMIF(月間集計シート!$M$29:$M$48,$G117,月間集計シート!P$29:P$48)*L$2</f>
        <v>0</v>
      </c>
      <c r="M117" s="88">
        <f>SUMIF(月間集計シート!$M$29:$M$48,$G117,月間集計シート!Q$29:Q$48)*M$2</f>
        <v>0</v>
      </c>
      <c r="N117" s="88">
        <f>SUMIF(月間集計シート!$M$29:$M$48,$G117,月間集計シート!R$29:R$48)*N$2</f>
        <v>0</v>
      </c>
      <c r="O117" s="88">
        <f>SUMIF(月間集計シート!$M$29:$M$48,$G117,月間集計シート!S$29:S$48)*O$2</f>
        <v>0</v>
      </c>
      <c r="P117" s="88">
        <f>SUMIF(月間集計シート!$M$29:$M$48,$G117,月間集計シート!T$29:T$48)*P$2</f>
        <v>0</v>
      </c>
      <c r="Q117" s="88">
        <f>SUMIF(月間集計シート!$M$50:$M$69,$G117,月間集計シート!N$50:N$69)*Q$2</f>
        <v>0</v>
      </c>
      <c r="R117" s="88">
        <f>SUMIF(月間集計シート!$M$50:$M$69,$G117,月間集計シート!O$50:O$69)*R$2</f>
        <v>0</v>
      </c>
      <c r="S117" s="88">
        <f>SUMIF(月間集計シート!$M$50:$M$69,$G117,月間集計シート!P$50:P$69)*S$2</f>
        <v>0</v>
      </c>
      <c r="T117" s="88">
        <f>SUMIF(月間集計シート!$M$50:$M$69,$G117,月間集計シート!Q$50:Q$69)*T$2</f>
        <v>0</v>
      </c>
      <c r="U117" s="88">
        <f>SUMIF(月間集計シート!$M$50:$M$69,$G117,月間集計シート!R$50:R$69)*U$2</f>
        <v>0</v>
      </c>
      <c r="V117" s="88">
        <f>SUMIF(月間集計シート!$M$50:$M$69,$G117,月間集計シート!S$50:S$69)*V$2</f>
        <v>0</v>
      </c>
      <c r="W117" s="88">
        <f>SUMIF(月間集計シート!$M$50:$M$69,$G117,月間集計シート!T$50:T$69)*W$2</f>
        <v>0</v>
      </c>
      <c r="X117" s="88">
        <f>SUMIF(月間集計シート!$M$71:$M$90,$G117,月間集計シート!N$71:N$90)*X$2</f>
        <v>0</v>
      </c>
      <c r="Y117" s="88">
        <f>SUMIF(月間集計シート!$M$71:$M$90,$G117,月間集計シート!O$71:O$90)*Y$2</f>
        <v>0</v>
      </c>
      <c r="Z117" s="88">
        <f>SUMIF(月間集計シート!$M$71:$M$90,$G117,月間集計シート!P$71:P$90)*Z$2</f>
        <v>0</v>
      </c>
      <c r="AA117" s="88">
        <f>SUMIF(月間集計シート!$M$71:$M$90,$G117,月間集計シート!Q$71:Q$90)*AA$2</f>
        <v>0</v>
      </c>
      <c r="AB117" s="88">
        <f>SUMIF(月間集計シート!$M$71:$M$90,$G117,月間集計シート!R$71:R$90)*AB$2</f>
        <v>0</v>
      </c>
      <c r="AC117" s="88">
        <f>SUMIF(月間集計シート!$M$71:$M$90,$G117,月間集計シート!S$71:S$90)*AC$2</f>
        <v>0</v>
      </c>
      <c r="AD117" s="88">
        <f>SUMIF(月間集計シート!$M$71:$M$90,$G117,月間集計シート!T$71:T$90)*AD$2</f>
        <v>0</v>
      </c>
      <c r="AE117" s="88">
        <f>SUMIF(月間集計シート!$M$92:$M$111,$G117,月間集計シート!N$92:N$111)*AE$2</f>
        <v>0</v>
      </c>
      <c r="AF117" s="88">
        <f>SUMIF(月間集計シート!$M$92:$M$111,$G117,月間集計シート!O$92:O$111)*AF$2</f>
        <v>0</v>
      </c>
      <c r="AG117" s="88">
        <f>SUMIF(月間集計シート!$M$92:$M$111,$G117,月間集計シート!P$92:P$111)*AG$2</f>
        <v>0</v>
      </c>
      <c r="AH117" s="88">
        <f>SUMIF(月間集計シート!$M$92:$M$111,$G117,月間集計シート!Q$92:Q$111)*AH$2</f>
        <v>0</v>
      </c>
      <c r="AI117" s="88">
        <f>SUMIF(月間集計シート!$M$92:$M$111,$G117,月間集計シート!R$92:R$111)*AI$2</f>
        <v>0</v>
      </c>
      <c r="AJ117" s="88">
        <f>SUMIF(月間集計シート!$M$92:$M$111,$G117,月間集計シート!S$92:S$111)*AJ$2</f>
        <v>0</v>
      </c>
      <c r="AK117" s="88">
        <f>SUMIF(月間集計シート!$M$92:$M$111,$G117,月間集計シート!T$92:T$111)*AK$2</f>
        <v>0</v>
      </c>
      <c r="AL117" s="88">
        <f>SUMIF(月間集計シート!$M$113:$M$132,$G117,月間集計シート!N$113:N$132)*AL$2</f>
        <v>0</v>
      </c>
      <c r="AM117" s="88">
        <f>SUMIF(月間集計シート!$M$113:$M$132,$G117,月間集計シート!O$113:O$132)*AM$2</f>
        <v>0</v>
      </c>
      <c r="AN117" s="88">
        <f>SUMIF(月間集計シート!$M$113:$M$132,$G117,月間集計シート!P$113:P$132)*AN$2</f>
        <v>0</v>
      </c>
      <c r="AO117" s="88">
        <f>SUMIF(月間集計シート!$M$113:$M$132,$G117,月間集計シート!Q$113:Q$132)*AO$2</f>
        <v>0</v>
      </c>
      <c r="AP117" s="88">
        <f>SUMIF(月間集計シート!$M$113:$M$132,$G117,月間集計シート!R$113:R$132)*AP$2</f>
        <v>0</v>
      </c>
      <c r="AQ117" s="88">
        <f>SUMIF(月間集計シート!$M$113:$M$132,$G117,月間集計シート!S$113:S$132)*AQ$2</f>
        <v>0</v>
      </c>
      <c r="AR117" s="88">
        <f>SUMIF(月間集計シート!$M$113:$M$132,$G117,月間集計シート!T$113:T$132)*AR$2</f>
        <v>0</v>
      </c>
      <c r="AS117" s="88">
        <f>SUMIF(月間集計シート!$M$134:$M$153,$G117,月間集計シート!N$134:N$153)*AS$2</f>
        <v>0</v>
      </c>
      <c r="AT117" s="88">
        <f>SUMIF(月間集計シート!$M$134:$M$153,$G117,月間集計シート!O$134:O$153)*AT$2</f>
        <v>0</v>
      </c>
      <c r="AU117" s="88">
        <f>SUMIF(月間集計シート!$M$134:$M$153,$G117,月間集計シート!P$134:P$153)*AU$2</f>
        <v>0</v>
      </c>
      <c r="AV117" s="88">
        <f>SUMIF(月間集計シート!$M$134:$M$153,$G117,月間集計シート!Q$134:Q$153)*AV$2</f>
        <v>0</v>
      </c>
      <c r="AW117" s="88">
        <f>SUMIF(月間集計シート!$M$134:$M$153,$G117,月間集計シート!R$134:R$153)*AW$2</f>
        <v>0</v>
      </c>
      <c r="AX117" s="88">
        <f>SUMIF(月間集計シート!$M$134:$M$153,$G117,月間集計シート!S$134:S$153)*AX$2</f>
        <v>0</v>
      </c>
      <c r="AY117" s="88">
        <f>SUMIF(月間集計シート!$M$134:$M$153,$G117,月間集計シート!T$134:T$153)*AY$2</f>
        <v>0</v>
      </c>
    </row>
    <row r="118" spans="1:51" ht="14.25" thickBot="1">
      <c r="A118">
        <v>2</v>
      </c>
      <c r="B118" s="120">
        <f t="shared" si="62"/>
        <v>393021</v>
      </c>
      <c r="C118" s="120" t="e">
        <f t="shared" si="63"/>
        <v>#N/A</v>
      </c>
      <c r="D118" s="137"/>
      <c r="E118" s="150" t="str">
        <f>工種!A25</f>
        <v>40103</v>
      </c>
      <c r="F118" s="119" t="str">
        <f>工種!B25</f>
        <v>テスト：テスト計画書作成</v>
      </c>
      <c r="G118" s="116" t="str">
        <f t="shared" si="64"/>
        <v>39302140103</v>
      </c>
      <c r="H118" s="88">
        <f t="shared" si="18"/>
        <v>0</v>
      </c>
      <c r="I118" s="132"/>
      <c r="J118" s="88">
        <f>SUMIF(月間集計シート!$M$29:$M$48,$G118,月間集計シート!N$29:N$48)*J$2</f>
        <v>0</v>
      </c>
      <c r="K118" s="88">
        <f>SUMIF(月間集計シート!$M$29:$M$48,$G118,月間集計シート!O$29:O$48)*K$2</f>
        <v>0</v>
      </c>
      <c r="L118" s="88">
        <f>SUMIF(月間集計シート!$M$29:$M$48,$G118,月間集計シート!P$29:P$48)*L$2</f>
        <v>0</v>
      </c>
      <c r="M118" s="88">
        <f>SUMIF(月間集計シート!$M$29:$M$48,$G118,月間集計シート!Q$29:Q$48)*M$2</f>
        <v>0</v>
      </c>
      <c r="N118" s="88">
        <f>SUMIF(月間集計シート!$M$29:$M$48,$G118,月間集計シート!R$29:R$48)*N$2</f>
        <v>0</v>
      </c>
      <c r="O118" s="88">
        <f>SUMIF(月間集計シート!$M$29:$M$48,$G118,月間集計シート!S$29:S$48)*O$2</f>
        <v>0</v>
      </c>
      <c r="P118" s="88">
        <f>SUMIF(月間集計シート!$M$29:$M$48,$G118,月間集計シート!T$29:T$48)*P$2</f>
        <v>0</v>
      </c>
      <c r="Q118" s="88">
        <f>SUMIF(月間集計シート!$M$50:$M$69,$G118,月間集計シート!N$50:N$69)*Q$2</f>
        <v>0</v>
      </c>
      <c r="R118" s="88">
        <f>SUMIF(月間集計シート!$M$50:$M$69,$G118,月間集計シート!O$50:O$69)*R$2</f>
        <v>0</v>
      </c>
      <c r="S118" s="88">
        <f>SUMIF(月間集計シート!$M$50:$M$69,$G118,月間集計シート!P$50:P$69)*S$2</f>
        <v>0</v>
      </c>
      <c r="T118" s="88">
        <f>SUMIF(月間集計シート!$M$50:$M$69,$G118,月間集計シート!Q$50:Q$69)*T$2</f>
        <v>0</v>
      </c>
      <c r="U118" s="88">
        <f>SUMIF(月間集計シート!$M$50:$M$69,$G118,月間集計シート!R$50:R$69)*U$2</f>
        <v>0</v>
      </c>
      <c r="V118" s="88">
        <f>SUMIF(月間集計シート!$M$50:$M$69,$G118,月間集計シート!S$50:S$69)*V$2</f>
        <v>0</v>
      </c>
      <c r="W118" s="88">
        <f>SUMIF(月間集計シート!$M$50:$M$69,$G118,月間集計シート!T$50:T$69)*W$2</f>
        <v>0</v>
      </c>
      <c r="X118" s="88">
        <f>SUMIF(月間集計シート!$M$71:$M$90,$G118,月間集計シート!N$71:N$90)*X$2</f>
        <v>0</v>
      </c>
      <c r="Y118" s="88">
        <f>SUMIF(月間集計シート!$M$71:$M$90,$G118,月間集計シート!O$71:O$90)*Y$2</f>
        <v>0</v>
      </c>
      <c r="Z118" s="88">
        <f>SUMIF(月間集計シート!$M$71:$M$90,$G118,月間集計シート!P$71:P$90)*Z$2</f>
        <v>0</v>
      </c>
      <c r="AA118" s="88">
        <f>SUMIF(月間集計シート!$M$71:$M$90,$G118,月間集計シート!Q$71:Q$90)*AA$2</f>
        <v>0</v>
      </c>
      <c r="AB118" s="88">
        <f>SUMIF(月間集計シート!$M$71:$M$90,$G118,月間集計シート!R$71:R$90)*AB$2</f>
        <v>0</v>
      </c>
      <c r="AC118" s="88">
        <f>SUMIF(月間集計シート!$M$71:$M$90,$G118,月間集計シート!S$71:S$90)*AC$2</f>
        <v>0</v>
      </c>
      <c r="AD118" s="88">
        <f>SUMIF(月間集計シート!$M$71:$M$90,$G118,月間集計シート!T$71:T$90)*AD$2</f>
        <v>0</v>
      </c>
      <c r="AE118" s="88">
        <f>SUMIF(月間集計シート!$M$92:$M$111,$G118,月間集計シート!N$92:N$111)*AE$2</f>
        <v>0</v>
      </c>
      <c r="AF118" s="88">
        <f>SUMIF(月間集計シート!$M$92:$M$111,$G118,月間集計シート!O$92:O$111)*AF$2</f>
        <v>0</v>
      </c>
      <c r="AG118" s="88">
        <f>SUMIF(月間集計シート!$M$92:$M$111,$G118,月間集計シート!P$92:P$111)*AG$2</f>
        <v>0</v>
      </c>
      <c r="AH118" s="88">
        <f>SUMIF(月間集計シート!$M$92:$M$111,$G118,月間集計シート!Q$92:Q$111)*AH$2</f>
        <v>0</v>
      </c>
      <c r="AI118" s="88">
        <f>SUMIF(月間集計シート!$M$92:$M$111,$G118,月間集計シート!R$92:R$111)*AI$2</f>
        <v>0</v>
      </c>
      <c r="AJ118" s="88">
        <f>SUMIF(月間集計シート!$M$92:$M$111,$G118,月間集計シート!S$92:S$111)*AJ$2</f>
        <v>0</v>
      </c>
      <c r="AK118" s="88">
        <f>SUMIF(月間集計シート!$M$92:$M$111,$G118,月間集計シート!T$92:T$111)*AK$2</f>
        <v>0</v>
      </c>
      <c r="AL118" s="88">
        <f>SUMIF(月間集計シート!$M$113:$M$132,$G118,月間集計シート!N$113:N$132)*AL$2</f>
        <v>0</v>
      </c>
      <c r="AM118" s="88">
        <f>SUMIF(月間集計シート!$M$113:$M$132,$G118,月間集計シート!O$113:O$132)*AM$2</f>
        <v>0</v>
      </c>
      <c r="AN118" s="88">
        <f>SUMIF(月間集計シート!$M$113:$M$132,$G118,月間集計シート!P$113:P$132)*AN$2</f>
        <v>0</v>
      </c>
      <c r="AO118" s="88">
        <f>SUMIF(月間集計シート!$M$113:$M$132,$G118,月間集計シート!Q$113:Q$132)*AO$2</f>
        <v>0</v>
      </c>
      <c r="AP118" s="88">
        <f>SUMIF(月間集計シート!$M$113:$M$132,$G118,月間集計シート!R$113:R$132)*AP$2</f>
        <v>0</v>
      </c>
      <c r="AQ118" s="88">
        <f>SUMIF(月間集計シート!$M$113:$M$132,$G118,月間集計シート!S$113:S$132)*AQ$2</f>
        <v>0</v>
      </c>
      <c r="AR118" s="88">
        <f>SUMIF(月間集計シート!$M$113:$M$132,$G118,月間集計シート!T$113:T$132)*AR$2</f>
        <v>0</v>
      </c>
      <c r="AS118" s="88">
        <f>SUMIF(月間集計シート!$M$134:$M$153,$G118,月間集計シート!N$134:N$153)*AS$2</f>
        <v>0</v>
      </c>
      <c r="AT118" s="88">
        <f>SUMIF(月間集計シート!$M$134:$M$153,$G118,月間集計シート!O$134:O$153)*AT$2</f>
        <v>0</v>
      </c>
      <c r="AU118" s="88">
        <f>SUMIF(月間集計シート!$M$134:$M$153,$G118,月間集計シート!P$134:P$153)*AU$2</f>
        <v>0</v>
      </c>
      <c r="AV118" s="88">
        <f>SUMIF(月間集計シート!$M$134:$M$153,$G118,月間集計シート!Q$134:Q$153)*AV$2</f>
        <v>0</v>
      </c>
      <c r="AW118" s="88">
        <f>SUMIF(月間集計シート!$M$134:$M$153,$G118,月間集計シート!R$134:R$153)*AW$2</f>
        <v>0</v>
      </c>
      <c r="AX118" s="88">
        <f>SUMIF(月間集計シート!$M$134:$M$153,$G118,月間集計シート!S$134:S$153)*AX$2</f>
        <v>0</v>
      </c>
      <c r="AY118" s="88">
        <f>SUMIF(月間集計シート!$M$134:$M$153,$G118,月間集計シート!T$134:T$153)*AY$2</f>
        <v>0</v>
      </c>
    </row>
    <row r="119" spans="1:51" ht="14.25" thickBot="1">
      <c r="A119">
        <v>2</v>
      </c>
      <c r="B119" s="120">
        <f t="shared" si="62"/>
        <v>393021</v>
      </c>
      <c r="C119" s="120" t="e">
        <f t="shared" si="63"/>
        <v>#N/A</v>
      </c>
      <c r="D119" s="137"/>
      <c r="E119" s="150" t="str">
        <f>工種!A26</f>
        <v>40104</v>
      </c>
      <c r="F119" s="119" t="str">
        <f>工種!B26</f>
        <v>テスト：結合テスト設計書作成</v>
      </c>
      <c r="G119" s="116" t="str">
        <f t="shared" si="64"/>
        <v>39302140104</v>
      </c>
      <c r="H119" s="88">
        <f t="shared" si="18"/>
        <v>0</v>
      </c>
      <c r="I119" s="132"/>
      <c r="J119" s="88">
        <f>SUMIF(月間集計シート!$M$29:$M$48,$G119,月間集計シート!N$29:N$48)*J$2</f>
        <v>0</v>
      </c>
      <c r="K119" s="88">
        <f>SUMIF(月間集計シート!$M$29:$M$48,$G119,月間集計シート!O$29:O$48)*K$2</f>
        <v>0</v>
      </c>
      <c r="L119" s="88">
        <f>SUMIF(月間集計シート!$M$29:$M$48,$G119,月間集計シート!P$29:P$48)*L$2</f>
        <v>0</v>
      </c>
      <c r="M119" s="88">
        <f>SUMIF(月間集計シート!$M$29:$M$48,$G119,月間集計シート!Q$29:Q$48)*M$2</f>
        <v>0</v>
      </c>
      <c r="N119" s="88">
        <f>SUMIF(月間集計シート!$M$29:$M$48,$G119,月間集計シート!R$29:R$48)*N$2</f>
        <v>0</v>
      </c>
      <c r="O119" s="88">
        <f>SUMIF(月間集計シート!$M$29:$M$48,$G119,月間集計シート!S$29:S$48)*O$2</f>
        <v>0</v>
      </c>
      <c r="P119" s="88">
        <f>SUMIF(月間集計シート!$M$29:$M$48,$G119,月間集計シート!T$29:T$48)*P$2</f>
        <v>0</v>
      </c>
      <c r="Q119" s="88">
        <f>SUMIF(月間集計シート!$M$50:$M$69,$G119,月間集計シート!N$50:N$69)*Q$2</f>
        <v>0</v>
      </c>
      <c r="R119" s="88">
        <f>SUMIF(月間集計シート!$M$50:$M$69,$G119,月間集計シート!O$50:O$69)*R$2</f>
        <v>0</v>
      </c>
      <c r="S119" s="88">
        <f>SUMIF(月間集計シート!$M$50:$M$69,$G119,月間集計シート!P$50:P$69)*S$2</f>
        <v>0</v>
      </c>
      <c r="T119" s="88">
        <f>SUMIF(月間集計シート!$M$50:$M$69,$G119,月間集計シート!Q$50:Q$69)*T$2</f>
        <v>0</v>
      </c>
      <c r="U119" s="88">
        <f>SUMIF(月間集計シート!$M$50:$M$69,$G119,月間集計シート!R$50:R$69)*U$2</f>
        <v>0</v>
      </c>
      <c r="V119" s="88">
        <f>SUMIF(月間集計シート!$M$50:$M$69,$G119,月間集計シート!S$50:S$69)*V$2</f>
        <v>0</v>
      </c>
      <c r="W119" s="88">
        <f>SUMIF(月間集計シート!$M$50:$M$69,$G119,月間集計シート!T$50:T$69)*W$2</f>
        <v>0</v>
      </c>
      <c r="X119" s="88">
        <f>SUMIF(月間集計シート!$M$71:$M$90,$G119,月間集計シート!N$71:N$90)*X$2</f>
        <v>0</v>
      </c>
      <c r="Y119" s="88">
        <f>SUMIF(月間集計シート!$M$71:$M$90,$G119,月間集計シート!O$71:O$90)*Y$2</f>
        <v>0</v>
      </c>
      <c r="Z119" s="88">
        <f>SUMIF(月間集計シート!$M$71:$M$90,$G119,月間集計シート!P$71:P$90)*Z$2</f>
        <v>0</v>
      </c>
      <c r="AA119" s="88">
        <f>SUMIF(月間集計シート!$M$71:$M$90,$G119,月間集計シート!Q$71:Q$90)*AA$2</f>
        <v>0</v>
      </c>
      <c r="AB119" s="88">
        <f>SUMIF(月間集計シート!$M$71:$M$90,$G119,月間集計シート!R$71:R$90)*AB$2</f>
        <v>0</v>
      </c>
      <c r="AC119" s="88">
        <f>SUMIF(月間集計シート!$M$71:$M$90,$G119,月間集計シート!S$71:S$90)*AC$2</f>
        <v>0</v>
      </c>
      <c r="AD119" s="88">
        <f>SUMIF(月間集計シート!$M$71:$M$90,$G119,月間集計シート!T$71:T$90)*AD$2</f>
        <v>0</v>
      </c>
      <c r="AE119" s="88">
        <f>SUMIF(月間集計シート!$M$92:$M$111,$G119,月間集計シート!N$92:N$111)*AE$2</f>
        <v>0</v>
      </c>
      <c r="AF119" s="88">
        <f>SUMIF(月間集計シート!$M$92:$M$111,$G119,月間集計シート!O$92:O$111)*AF$2</f>
        <v>0</v>
      </c>
      <c r="AG119" s="88">
        <f>SUMIF(月間集計シート!$M$92:$M$111,$G119,月間集計シート!P$92:P$111)*AG$2</f>
        <v>0</v>
      </c>
      <c r="AH119" s="88">
        <f>SUMIF(月間集計シート!$M$92:$M$111,$G119,月間集計シート!Q$92:Q$111)*AH$2</f>
        <v>0</v>
      </c>
      <c r="AI119" s="88">
        <f>SUMIF(月間集計シート!$M$92:$M$111,$G119,月間集計シート!R$92:R$111)*AI$2</f>
        <v>0</v>
      </c>
      <c r="AJ119" s="88">
        <f>SUMIF(月間集計シート!$M$92:$M$111,$G119,月間集計シート!S$92:S$111)*AJ$2</f>
        <v>0</v>
      </c>
      <c r="AK119" s="88">
        <f>SUMIF(月間集計シート!$M$92:$M$111,$G119,月間集計シート!T$92:T$111)*AK$2</f>
        <v>0</v>
      </c>
      <c r="AL119" s="88">
        <f>SUMIF(月間集計シート!$M$113:$M$132,$G119,月間集計シート!N$113:N$132)*AL$2</f>
        <v>0</v>
      </c>
      <c r="AM119" s="88">
        <f>SUMIF(月間集計シート!$M$113:$M$132,$G119,月間集計シート!O$113:O$132)*AM$2</f>
        <v>0</v>
      </c>
      <c r="AN119" s="88">
        <f>SUMIF(月間集計シート!$M$113:$M$132,$G119,月間集計シート!P$113:P$132)*AN$2</f>
        <v>0</v>
      </c>
      <c r="AO119" s="88">
        <f>SUMIF(月間集計シート!$M$113:$M$132,$G119,月間集計シート!Q$113:Q$132)*AO$2</f>
        <v>0</v>
      </c>
      <c r="AP119" s="88">
        <f>SUMIF(月間集計シート!$M$113:$M$132,$G119,月間集計シート!R$113:R$132)*AP$2</f>
        <v>0</v>
      </c>
      <c r="AQ119" s="88">
        <f>SUMIF(月間集計シート!$M$113:$M$132,$G119,月間集計シート!S$113:S$132)*AQ$2</f>
        <v>0</v>
      </c>
      <c r="AR119" s="88">
        <f>SUMIF(月間集計シート!$M$113:$M$132,$G119,月間集計シート!T$113:T$132)*AR$2</f>
        <v>0</v>
      </c>
      <c r="AS119" s="88">
        <f>SUMIF(月間集計シート!$M$134:$M$153,$G119,月間集計シート!N$134:N$153)*AS$2</f>
        <v>0</v>
      </c>
      <c r="AT119" s="88">
        <f>SUMIF(月間集計シート!$M$134:$M$153,$G119,月間集計シート!O$134:O$153)*AT$2</f>
        <v>0</v>
      </c>
      <c r="AU119" s="88">
        <f>SUMIF(月間集計シート!$M$134:$M$153,$G119,月間集計シート!P$134:P$153)*AU$2</f>
        <v>0</v>
      </c>
      <c r="AV119" s="88">
        <f>SUMIF(月間集計シート!$M$134:$M$153,$G119,月間集計シート!Q$134:Q$153)*AV$2</f>
        <v>0</v>
      </c>
      <c r="AW119" s="88">
        <f>SUMIF(月間集計シート!$M$134:$M$153,$G119,月間集計シート!R$134:R$153)*AW$2</f>
        <v>0</v>
      </c>
      <c r="AX119" s="88">
        <f>SUMIF(月間集計シート!$M$134:$M$153,$G119,月間集計シート!S$134:S$153)*AX$2</f>
        <v>0</v>
      </c>
      <c r="AY119" s="88">
        <f>SUMIF(月間集計シート!$M$134:$M$153,$G119,月間集計シート!T$134:T$153)*AY$2</f>
        <v>0</v>
      </c>
    </row>
    <row r="120" spans="1:51" ht="14.25" thickBot="1">
      <c r="A120">
        <v>2</v>
      </c>
      <c r="B120" s="120">
        <f t="shared" si="62"/>
        <v>393021</v>
      </c>
      <c r="C120" s="120" t="e">
        <f t="shared" si="63"/>
        <v>#N/A</v>
      </c>
      <c r="D120" s="137"/>
      <c r="E120" s="150" t="str">
        <f>工種!A27</f>
        <v>40105</v>
      </c>
      <c r="F120" s="119" t="str">
        <f>工種!B27</f>
        <v>テスト：システムテスト設計書作成</v>
      </c>
      <c r="G120" s="116" t="str">
        <f t="shared" si="64"/>
        <v>39302140105</v>
      </c>
      <c r="H120" s="88">
        <f t="shared" si="18"/>
        <v>0</v>
      </c>
      <c r="I120" s="132"/>
      <c r="J120" s="88">
        <f>SUMIF(月間集計シート!$M$29:$M$48,$G120,月間集計シート!N$29:N$48)*J$2</f>
        <v>0</v>
      </c>
      <c r="K120" s="88">
        <f>SUMIF(月間集計シート!$M$29:$M$48,$G120,月間集計シート!O$29:O$48)*K$2</f>
        <v>0</v>
      </c>
      <c r="L120" s="88">
        <f>SUMIF(月間集計シート!$M$29:$M$48,$G120,月間集計シート!P$29:P$48)*L$2</f>
        <v>0</v>
      </c>
      <c r="M120" s="88">
        <f>SUMIF(月間集計シート!$M$29:$M$48,$G120,月間集計シート!Q$29:Q$48)*M$2</f>
        <v>0</v>
      </c>
      <c r="N120" s="88">
        <f>SUMIF(月間集計シート!$M$29:$M$48,$G120,月間集計シート!R$29:R$48)*N$2</f>
        <v>0</v>
      </c>
      <c r="O120" s="88">
        <f>SUMIF(月間集計シート!$M$29:$M$48,$G120,月間集計シート!S$29:S$48)*O$2</f>
        <v>0</v>
      </c>
      <c r="P120" s="88">
        <f>SUMIF(月間集計シート!$M$29:$M$48,$G120,月間集計シート!T$29:T$48)*P$2</f>
        <v>0</v>
      </c>
      <c r="Q120" s="88">
        <f>SUMIF(月間集計シート!$M$50:$M$69,$G120,月間集計シート!N$50:N$69)*Q$2</f>
        <v>0</v>
      </c>
      <c r="R120" s="88">
        <f>SUMIF(月間集計シート!$M$50:$M$69,$G120,月間集計シート!O$50:O$69)*R$2</f>
        <v>0</v>
      </c>
      <c r="S120" s="88">
        <f>SUMIF(月間集計シート!$M$50:$M$69,$G120,月間集計シート!P$50:P$69)*S$2</f>
        <v>0</v>
      </c>
      <c r="T120" s="88">
        <f>SUMIF(月間集計シート!$M$50:$M$69,$G120,月間集計シート!Q$50:Q$69)*T$2</f>
        <v>0</v>
      </c>
      <c r="U120" s="88">
        <f>SUMIF(月間集計シート!$M$50:$M$69,$G120,月間集計シート!R$50:R$69)*U$2</f>
        <v>0</v>
      </c>
      <c r="V120" s="88">
        <f>SUMIF(月間集計シート!$M$50:$M$69,$G120,月間集計シート!S$50:S$69)*V$2</f>
        <v>0</v>
      </c>
      <c r="W120" s="88">
        <f>SUMIF(月間集計シート!$M$50:$M$69,$G120,月間集計シート!T$50:T$69)*W$2</f>
        <v>0</v>
      </c>
      <c r="X120" s="88">
        <f>SUMIF(月間集計シート!$M$71:$M$90,$G120,月間集計シート!N$71:N$90)*X$2</f>
        <v>0</v>
      </c>
      <c r="Y120" s="88">
        <f>SUMIF(月間集計シート!$M$71:$M$90,$G120,月間集計シート!O$71:O$90)*Y$2</f>
        <v>0</v>
      </c>
      <c r="Z120" s="88">
        <f>SUMIF(月間集計シート!$M$71:$M$90,$G120,月間集計シート!P$71:P$90)*Z$2</f>
        <v>0</v>
      </c>
      <c r="AA120" s="88">
        <f>SUMIF(月間集計シート!$M$71:$M$90,$G120,月間集計シート!Q$71:Q$90)*AA$2</f>
        <v>0</v>
      </c>
      <c r="AB120" s="88">
        <f>SUMIF(月間集計シート!$M$71:$M$90,$G120,月間集計シート!R$71:R$90)*AB$2</f>
        <v>0</v>
      </c>
      <c r="AC120" s="88">
        <f>SUMIF(月間集計シート!$M$71:$M$90,$G120,月間集計シート!S$71:S$90)*AC$2</f>
        <v>0</v>
      </c>
      <c r="AD120" s="88">
        <f>SUMIF(月間集計シート!$M$71:$M$90,$G120,月間集計シート!T$71:T$90)*AD$2</f>
        <v>0</v>
      </c>
      <c r="AE120" s="88">
        <f>SUMIF(月間集計シート!$M$92:$M$111,$G120,月間集計シート!N$92:N$111)*AE$2</f>
        <v>0</v>
      </c>
      <c r="AF120" s="88">
        <f>SUMIF(月間集計シート!$M$92:$M$111,$G120,月間集計シート!O$92:O$111)*AF$2</f>
        <v>0</v>
      </c>
      <c r="AG120" s="88">
        <f>SUMIF(月間集計シート!$M$92:$M$111,$G120,月間集計シート!P$92:P$111)*AG$2</f>
        <v>0</v>
      </c>
      <c r="AH120" s="88">
        <f>SUMIF(月間集計シート!$M$92:$M$111,$G120,月間集計シート!Q$92:Q$111)*AH$2</f>
        <v>0</v>
      </c>
      <c r="AI120" s="88">
        <f>SUMIF(月間集計シート!$M$92:$M$111,$G120,月間集計シート!R$92:R$111)*AI$2</f>
        <v>0</v>
      </c>
      <c r="AJ120" s="88">
        <f>SUMIF(月間集計シート!$M$92:$M$111,$G120,月間集計シート!S$92:S$111)*AJ$2</f>
        <v>0</v>
      </c>
      <c r="AK120" s="88">
        <f>SUMIF(月間集計シート!$M$92:$M$111,$G120,月間集計シート!T$92:T$111)*AK$2</f>
        <v>0</v>
      </c>
      <c r="AL120" s="88">
        <f>SUMIF(月間集計シート!$M$113:$M$132,$G120,月間集計シート!N$113:N$132)*AL$2</f>
        <v>0</v>
      </c>
      <c r="AM120" s="88">
        <f>SUMIF(月間集計シート!$M$113:$M$132,$G120,月間集計シート!O$113:O$132)*AM$2</f>
        <v>0</v>
      </c>
      <c r="AN120" s="88">
        <f>SUMIF(月間集計シート!$M$113:$M$132,$G120,月間集計シート!P$113:P$132)*AN$2</f>
        <v>0</v>
      </c>
      <c r="AO120" s="88">
        <f>SUMIF(月間集計シート!$M$113:$M$132,$G120,月間集計シート!Q$113:Q$132)*AO$2</f>
        <v>0</v>
      </c>
      <c r="AP120" s="88">
        <f>SUMIF(月間集計シート!$M$113:$M$132,$G120,月間集計シート!R$113:R$132)*AP$2</f>
        <v>0</v>
      </c>
      <c r="AQ120" s="88">
        <f>SUMIF(月間集計シート!$M$113:$M$132,$G120,月間集計シート!S$113:S$132)*AQ$2</f>
        <v>0</v>
      </c>
      <c r="AR120" s="88">
        <f>SUMIF(月間集計シート!$M$113:$M$132,$G120,月間集計シート!T$113:T$132)*AR$2</f>
        <v>0</v>
      </c>
      <c r="AS120" s="88">
        <f>SUMIF(月間集計シート!$M$134:$M$153,$G120,月間集計シート!N$134:N$153)*AS$2</f>
        <v>0</v>
      </c>
      <c r="AT120" s="88">
        <f>SUMIF(月間集計シート!$M$134:$M$153,$G120,月間集計シート!O$134:O$153)*AT$2</f>
        <v>0</v>
      </c>
      <c r="AU120" s="88">
        <f>SUMIF(月間集計シート!$M$134:$M$153,$G120,月間集計シート!P$134:P$153)*AU$2</f>
        <v>0</v>
      </c>
      <c r="AV120" s="88">
        <f>SUMIF(月間集計シート!$M$134:$M$153,$G120,月間集計シート!Q$134:Q$153)*AV$2</f>
        <v>0</v>
      </c>
      <c r="AW120" s="88">
        <f>SUMIF(月間集計シート!$M$134:$M$153,$G120,月間集計シート!R$134:R$153)*AW$2</f>
        <v>0</v>
      </c>
      <c r="AX120" s="88">
        <f>SUMIF(月間集計シート!$M$134:$M$153,$G120,月間集計シート!S$134:S$153)*AX$2</f>
        <v>0</v>
      </c>
      <c r="AY120" s="88">
        <f>SUMIF(月間集計シート!$M$134:$M$153,$G120,月間集計シート!T$134:T$153)*AY$2</f>
        <v>0</v>
      </c>
    </row>
    <row r="121" spans="1:51" ht="14.25" thickBot="1">
      <c r="A121">
        <v>2</v>
      </c>
      <c r="B121" s="120">
        <f t="shared" si="62"/>
        <v>393021</v>
      </c>
      <c r="C121" s="120" t="e">
        <f t="shared" si="63"/>
        <v>#N/A</v>
      </c>
      <c r="D121" s="137"/>
      <c r="E121" s="150" t="str">
        <f>工種!A28</f>
        <v>40106</v>
      </c>
      <c r="F121" s="119" t="str">
        <f>工種!B28</f>
        <v>テスト：総合評価設計書作成</v>
      </c>
      <c r="G121" s="116" t="str">
        <f t="shared" si="64"/>
        <v>39302140106</v>
      </c>
      <c r="H121" s="88">
        <f t="shared" si="18"/>
        <v>0</v>
      </c>
      <c r="I121" s="132"/>
      <c r="J121" s="88">
        <f>SUMIF(月間集計シート!$M$29:$M$48,$G121,月間集計シート!N$29:N$48)*J$2</f>
        <v>0</v>
      </c>
      <c r="K121" s="88">
        <f>SUMIF(月間集計シート!$M$29:$M$48,$G121,月間集計シート!O$29:O$48)*K$2</f>
        <v>0</v>
      </c>
      <c r="L121" s="88">
        <f>SUMIF(月間集計シート!$M$29:$M$48,$G121,月間集計シート!P$29:P$48)*L$2</f>
        <v>0</v>
      </c>
      <c r="M121" s="88">
        <f>SUMIF(月間集計シート!$M$29:$M$48,$G121,月間集計シート!Q$29:Q$48)*M$2</f>
        <v>0</v>
      </c>
      <c r="N121" s="88">
        <f>SUMIF(月間集計シート!$M$29:$M$48,$G121,月間集計シート!R$29:R$48)*N$2</f>
        <v>0</v>
      </c>
      <c r="O121" s="88">
        <f>SUMIF(月間集計シート!$M$29:$M$48,$G121,月間集計シート!S$29:S$48)*O$2</f>
        <v>0</v>
      </c>
      <c r="P121" s="88">
        <f>SUMIF(月間集計シート!$M$29:$M$48,$G121,月間集計シート!T$29:T$48)*P$2</f>
        <v>0</v>
      </c>
      <c r="Q121" s="88">
        <f>SUMIF(月間集計シート!$M$50:$M$69,$G121,月間集計シート!N$50:N$69)*Q$2</f>
        <v>0</v>
      </c>
      <c r="R121" s="88">
        <f>SUMIF(月間集計シート!$M$50:$M$69,$G121,月間集計シート!O$50:O$69)*R$2</f>
        <v>0</v>
      </c>
      <c r="S121" s="88">
        <f>SUMIF(月間集計シート!$M$50:$M$69,$G121,月間集計シート!P$50:P$69)*S$2</f>
        <v>0</v>
      </c>
      <c r="T121" s="88">
        <f>SUMIF(月間集計シート!$M$50:$M$69,$G121,月間集計シート!Q$50:Q$69)*T$2</f>
        <v>0</v>
      </c>
      <c r="U121" s="88">
        <f>SUMIF(月間集計シート!$M$50:$M$69,$G121,月間集計シート!R$50:R$69)*U$2</f>
        <v>0</v>
      </c>
      <c r="V121" s="88">
        <f>SUMIF(月間集計シート!$M$50:$M$69,$G121,月間集計シート!S$50:S$69)*V$2</f>
        <v>0</v>
      </c>
      <c r="W121" s="88">
        <f>SUMIF(月間集計シート!$M$50:$M$69,$G121,月間集計シート!T$50:T$69)*W$2</f>
        <v>0</v>
      </c>
      <c r="X121" s="88">
        <f>SUMIF(月間集計シート!$M$71:$M$90,$G121,月間集計シート!N$71:N$90)*X$2</f>
        <v>0</v>
      </c>
      <c r="Y121" s="88">
        <f>SUMIF(月間集計シート!$M$71:$M$90,$G121,月間集計シート!O$71:O$90)*Y$2</f>
        <v>0</v>
      </c>
      <c r="Z121" s="88">
        <f>SUMIF(月間集計シート!$M$71:$M$90,$G121,月間集計シート!P$71:P$90)*Z$2</f>
        <v>0</v>
      </c>
      <c r="AA121" s="88">
        <f>SUMIF(月間集計シート!$M$71:$M$90,$G121,月間集計シート!Q$71:Q$90)*AA$2</f>
        <v>0</v>
      </c>
      <c r="AB121" s="88">
        <f>SUMIF(月間集計シート!$M$71:$M$90,$G121,月間集計シート!R$71:R$90)*AB$2</f>
        <v>0</v>
      </c>
      <c r="AC121" s="88">
        <f>SUMIF(月間集計シート!$M$71:$M$90,$G121,月間集計シート!S$71:S$90)*AC$2</f>
        <v>0</v>
      </c>
      <c r="AD121" s="88">
        <f>SUMIF(月間集計シート!$M$71:$M$90,$G121,月間集計シート!T$71:T$90)*AD$2</f>
        <v>0</v>
      </c>
      <c r="AE121" s="88">
        <f>SUMIF(月間集計シート!$M$92:$M$111,$G121,月間集計シート!N$92:N$111)*AE$2</f>
        <v>0</v>
      </c>
      <c r="AF121" s="88">
        <f>SUMIF(月間集計シート!$M$92:$M$111,$G121,月間集計シート!O$92:O$111)*AF$2</f>
        <v>0</v>
      </c>
      <c r="AG121" s="88">
        <f>SUMIF(月間集計シート!$M$92:$M$111,$G121,月間集計シート!P$92:P$111)*AG$2</f>
        <v>0</v>
      </c>
      <c r="AH121" s="88">
        <f>SUMIF(月間集計シート!$M$92:$M$111,$G121,月間集計シート!Q$92:Q$111)*AH$2</f>
        <v>0</v>
      </c>
      <c r="AI121" s="88">
        <f>SUMIF(月間集計シート!$M$92:$M$111,$G121,月間集計シート!R$92:R$111)*AI$2</f>
        <v>0</v>
      </c>
      <c r="AJ121" s="88">
        <f>SUMIF(月間集計シート!$M$92:$M$111,$G121,月間集計シート!S$92:S$111)*AJ$2</f>
        <v>0</v>
      </c>
      <c r="AK121" s="88">
        <f>SUMIF(月間集計シート!$M$92:$M$111,$G121,月間集計シート!T$92:T$111)*AK$2</f>
        <v>0</v>
      </c>
      <c r="AL121" s="88">
        <f>SUMIF(月間集計シート!$M$113:$M$132,$G121,月間集計シート!N$113:N$132)*AL$2</f>
        <v>0</v>
      </c>
      <c r="AM121" s="88">
        <f>SUMIF(月間集計シート!$M$113:$M$132,$G121,月間集計シート!O$113:O$132)*AM$2</f>
        <v>0</v>
      </c>
      <c r="AN121" s="88">
        <f>SUMIF(月間集計シート!$M$113:$M$132,$G121,月間集計シート!P$113:P$132)*AN$2</f>
        <v>0</v>
      </c>
      <c r="AO121" s="88">
        <f>SUMIF(月間集計シート!$M$113:$M$132,$G121,月間集計シート!Q$113:Q$132)*AO$2</f>
        <v>0</v>
      </c>
      <c r="AP121" s="88">
        <f>SUMIF(月間集計シート!$M$113:$M$132,$G121,月間集計シート!R$113:R$132)*AP$2</f>
        <v>0</v>
      </c>
      <c r="AQ121" s="88">
        <f>SUMIF(月間集計シート!$M$113:$M$132,$G121,月間集計シート!S$113:S$132)*AQ$2</f>
        <v>0</v>
      </c>
      <c r="AR121" s="88">
        <f>SUMIF(月間集計シート!$M$113:$M$132,$G121,月間集計シート!T$113:T$132)*AR$2</f>
        <v>0</v>
      </c>
      <c r="AS121" s="88">
        <f>SUMIF(月間集計シート!$M$134:$M$153,$G121,月間集計シート!N$134:N$153)*AS$2</f>
        <v>0</v>
      </c>
      <c r="AT121" s="88">
        <f>SUMIF(月間集計シート!$M$134:$M$153,$G121,月間集計シート!O$134:O$153)*AT$2</f>
        <v>0</v>
      </c>
      <c r="AU121" s="88">
        <f>SUMIF(月間集計シート!$M$134:$M$153,$G121,月間集計シート!P$134:P$153)*AU$2</f>
        <v>0</v>
      </c>
      <c r="AV121" s="88">
        <f>SUMIF(月間集計シート!$M$134:$M$153,$G121,月間集計シート!Q$134:Q$153)*AV$2</f>
        <v>0</v>
      </c>
      <c r="AW121" s="88">
        <f>SUMIF(月間集計シート!$M$134:$M$153,$G121,月間集計シート!R$134:R$153)*AW$2</f>
        <v>0</v>
      </c>
      <c r="AX121" s="88">
        <f>SUMIF(月間集計シート!$M$134:$M$153,$G121,月間集計シート!S$134:S$153)*AX$2</f>
        <v>0</v>
      </c>
      <c r="AY121" s="88">
        <f>SUMIF(月間集計シート!$M$134:$M$153,$G121,月間集計シート!T$134:T$153)*AY$2</f>
        <v>0</v>
      </c>
    </row>
    <row r="122" spans="1:51" ht="14.25" thickBot="1">
      <c r="A122">
        <v>2</v>
      </c>
      <c r="B122" s="120">
        <f t="shared" si="62"/>
        <v>393021</v>
      </c>
      <c r="C122" s="120" t="e">
        <f t="shared" si="63"/>
        <v>#N/A</v>
      </c>
      <c r="D122" s="137"/>
      <c r="E122" s="150" t="str">
        <f>工種!A29</f>
        <v>40107</v>
      </c>
      <c r="F122" s="119" t="str">
        <f>工種!B29</f>
        <v>テスト：評価報告書作成</v>
      </c>
      <c r="G122" s="116" t="str">
        <f t="shared" si="64"/>
        <v>39302140107</v>
      </c>
      <c r="H122" s="88">
        <f t="shared" si="18"/>
        <v>0</v>
      </c>
      <c r="I122" s="132"/>
      <c r="J122" s="88">
        <f>SUMIF(月間集計シート!$M$29:$M$48,$G122,月間集計シート!N$29:N$48)*J$2</f>
        <v>0</v>
      </c>
      <c r="K122" s="88">
        <f>SUMIF(月間集計シート!$M$29:$M$48,$G122,月間集計シート!O$29:O$48)*K$2</f>
        <v>0</v>
      </c>
      <c r="L122" s="88">
        <f>SUMIF(月間集計シート!$M$29:$M$48,$G122,月間集計シート!P$29:P$48)*L$2</f>
        <v>0</v>
      </c>
      <c r="M122" s="88">
        <f>SUMIF(月間集計シート!$M$29:$M$48,$G122,月間集計シート!Q$29:Q$48)*M$2</f>
        <v>0</v>
      </c>
      <c r="N122" s="88">
        <f>SUMIF(月間集計シート!$M$29:$M$48,$G122,月間集計シート!R$29:R$48)*N$2</f>
        <v>0</v>
      </c>
      <c r="O122" s="88">
        <f>SUMIF(月間集計シート!$M$29:$M$48,$G122,月間集計シート!S$29:S$48)*O$2</f>
        <v>0</v>
      </c>
      <c r="P122" s="88">
        <f>SUMIF(月間集計シート!$M$29:$M$48,$G122,月間集計シート!T$29:T$48)*P$2</f>
        <v>0</v>
      </c>
      <c r="Q122" s="88">
        <f>SUMIF(月間集計シート!$M$50:$M$69,$G122,月間集計シート!N$50:N$69)*Q$2</f>
        <v>0</v>
      </c>
      <c r="R122" s="88">
        <f>SUMIF(月間集計シート!$M$50:$M$69,$G122,月間集計シート!O$50:O$69)*R$2</f>
        <v>0</v>
      </c>
      <c r="S122" s="88">
        <f>SUMIF(月間集計シート!$M$50:$M$69,$G122,月間集計シート!P$50:P$69)*S$2</f>
        <v>0</v>
      </c>
      <c r="T122" s="88">
        <f>SUMIF(月間集計シート!$M$50:$M$69,$G122,月間集計シート!Q$50:Q$69)*T$2</f>
        <v>0</v>
      </c>
      <c r="U122" s="88">
        <f>SUMIF(月間集計シート!$M$50:$M$69,$G122,月間集計シート!R$50:R$69)*U$2</f>
        <v>0</v>
      </c>
      <c r="V122" s="88">
        <f>SUMIF(月間集計シート!$M$50:$M$69,$G122,月間集計シート!S$50:S$69)*V$2</f>
        <v>0</v>
      </c>
      <c r="W122" s="88">
        <f>SUMIF(月間集計シート!$M$50:$M$69,$G122,月間集計シート!T$50:T$69)*W$2</f>
        <v>0</v>
      </c>
      <c r="X122" s="88">
        <f>SUMIF(月間集計シート!$M$71:$M$90,$G122,月間集計シート!N$71:N$90)*X$2</f>
        <v>0</v>
      </c>
      <c r="Y122" s="88">
        <f>SUMIF(月間集計シート!$M$71:$M$90,$G122,月間集計シート!O$71:O$90)*Y$2</f>
        <v>0</v>
      </c>
      <c r="Z122" s="88">
        <f>SUMIF(月間集計シート!$M$71:$M$90,$G122,月間集計シート!P$71:P$90)*Z$2</f>
        <v>0</v>
      </c>
      <c r="AA122" s="88">
        <f>SUMIF(月間集計シート!$M$71:$M$90,$G122,月間集計シート!Q$71:Q$90)*AA$2</f>
        <v>0</v>
      </c>
      <c r="AB122" s="88">
        <f>SUMIF(月間集計シート!$M$71:$M$90,$G122,月間集計シート!R$71:R$90)*AB$2</f>
        <v>0</v>
      </c>
      <c r="AC122" s="88">
        <f>SUMIF(月間集計シート!$M$71:$M$90,$G122,月間集計シート!S$71:S$90)*AC$2</f>
        <v>0</v>
      </c>
      <c r="AD122" s="88">
        <f>SUMIF(月間集計シート!$M$71:$M$90,$G122,月間集計シート!T$71:T$90)*AD$2</f>
        <v>0</v>
      </c>
      <c r="AE122" s="88">
        <f>SUMIF(月間集計シート!$M$92:$M$111,$G122,月間集計シート!N$92:N$111)*AE$2</f>
        <v>0</v>
      </c>
      <c r="AF122" s="88">
        <f>SUMIF(月間集計シート!$M$92:$M$111,$G122,月間集計シート!O$92:O$111)*AF$2</f>
        <v>0</v>
      </c>
      <c r="AG122" s="88">
        <f>SUMIF(月間集計シート!$M$92:$M$111,$G122,月間集計シート!P$92:P$111)*AG$2</f>
        <v>0</v>
      </c>
      <c r="AH122" s="88">
        <f>SUMIF(月間集計シート!$M$92:$M$111,$G122,月間集計シート!Q$92:Q$111)*AH$2</f>
        <v>0</v>
      </c>
      <c r="AI122" s="88">
        <f>SUMIF(月間集計シート!$M$92:$M$111,$G122,月間集計シート!R$92:R$111)*AI$2</f>
        <v>0</v>
      </c>
      <c r="AJ122" s="88">
        <f>SUMIF(月間集計シート!$M$92:$M$111,$G122,月間集計シート!S$92:S$111)*AJ$2</f>
        <v>0</v>
      </c>
      <c r="AK122" s="88">
        <f>SUMIF(月間集計シート!$M$92:$M$111,$G122,月間集計シート!T$92:T$111)*AK$2</f>
        <v>0</v>
      </c>
      <c r="AL122" s="88">
        <f>SUMIF(月間集計シート!$M$113:$M$132,$G122,月間集計シート!N$113:N$132)*AL$2</f>
        <v>0</v>
      </c>
      <c r="AM122" s="88">
        <f>SUMIF(月間集計シート!$M$113:$M$132,$G122,月間集計シート!O$113:O$132)*AM$2</f>
        <v>0</v>
      </c>
      <c r="AN122" s="88">
        <f>SUMIF(月間集計シート!$M$113:$M$132,$G122,月間集計シート!P$113:P$132)*AN$2</f>
        <v>0</v>
      </c>
      <c r="AO122" s="88">
        <f>SUMIF(月間集計シート!$M$113:$M$132,$G122,月間集計シート!Q$113:Q$132)*AO$2</f>
        <v>0</v>
      </c>
      <c r="AP122" s="88">
        <f>SUMIF(月間集計シート!$M$113:$M$132,$G122,月間集計シート!R$113:R$132)*AP$2</f>
        <v>0</v>
      </c>
      <c r="AQ122" s="88">
        <f>SUMIF(月間集計シート!$M$113:$M$132,$G122,月間集計シート!S$113:S$132)*AQ$2</f>
        <v>0</v>
      </c>
      <c r="AR122" s="88">
        <f>SUMIF(月間集計シート!$M$113:$M$132,$G122,月間集計シート!T$113:T$132)*AR$2</f>
        <v>0</v>
      </c>
      <c r="AS122" s="88">
        <f>SUMIF(月間集計シート!$M$134:$M$153,$G122,月間集計シート!N$134:N$153)*AS$2</f>
        <v>0</v>
      </c>
      <c r="AT122" s="88">
        <f>SUMIF(月間集計シート!$M$134:$M$153,$G122,月間集計シート!O$134:O$153)*AT$2</f>
        <v>0</v>
      </c>
      <c r="AU122" s="88">
        <f>SUMIF(月間集計シート!$M$134:$M$153,$G122,月間集計シート!P$134:P$153)*AU$2</f>
        <v>0</v>
      </c>
      <c r="AV122" s="88">
        <f>SUMIF(月間集計シート!$M$134:$M$153,$G122,月間集計シート!Q$134:Q$153)*AV$2</f>
        <v>0</v>
      </c>
      <c r="AW122" s="88">
        <f>SUMIF(月間集計シート!$M$134:$M$153,$G122,月間集計シート!R$134:R$153)*AW$2</f>
        <v>0</v>
      </c>
      <c r="AX122" s="88">
        <f>SUMIF(月間集計シート!$M$134:$M$153,$G122,月間集計シート!S$134:S$153)*AX$2</f>
        <v>0</v>
      </c>
      <c r="AY122" s="88">
        <f>SUMIF(月間集計シート!$M$134:$M$153,$G122,月間集計シート!T$134:T$153)*AY$2</f>
        <v>0</v>
      </c>
    </row>
    <row r="123" spans="1:51" ht="14.25" thickBot="1">
      <c r="A123">
        <v>2</v>
      </c>
      <c r="B123" s="120">
        <f t="shared" si="62"/>
        <v>393021</v>
      </c>
      <c r="C123" s="120" t="e">
        <f t="shared" si="63"/>
        <v>#N/A</v>
      </c>
      <c r="D123" s="137"/>
      <c r="E123" s="150" t="str">
        <f>工種!A30</f>
        <v>40108</v>
      </c>
      <c r="F123" s="119" t="str">
        <f>工種!B30</f>
        <v>テスト：総合評価実施</v>
      </c>
      <c r="G123" s="116" t="str">
        <f t="shared" si="64"/>
        <v>39302140108</v>
      </c>
      <c r="H123" s="88">
        <f t="shared" si="18"/>
        <v>0</v>
      </c>
      <c r="I123" s="132"/>
      <c r="J123" s="88">
        <f>SUMIF(月間集計シート!$M$29:$M$48,$G123,月間集計シート!N$29:N$48)*J$2</f>
        <v>0</v>
      </c>
      <c r="K123" s="88">
        <f>SUMIF(月間集計シート!$M$29:$M$48,$G123,月間集計シート!O$29:O$48)*K$2</f>
        <v>0</v>
      </c>
      <c r="L123" s="88">
        <f>SUMIF(月間集計シート!$M$29:$M$48,$G123,月間集計シート!P$29:P$48)*L$2</f>
        <v>0</v>
      </c>
      <c r="M123" s="88">
        <f>SUMIF(月間集計シート!$M$29:$M$48,$G123,月間集計シート!Q$29:Q$48)*M$2</f>
        <v>0</v>
      </c>
      <c r="N123" s="88">
        <f>SUMIF(月間集計シート!$M$29:$M$48,$G123,月間集計シート!R$29:R$48)*N$2</f>
        <v>0</v>
      </c>
      <c r="O123" s="88">
        <f>SUMIF(月間集計シート!$M$29:$M$48,$G123,月間集計シート!S$29:S$48)*O$2</f>
        <v>0</v>
      </c>
      <c r="P123" s="88">
        <f>SUMIF(月間集計シート!$M$29:$M$48,$G123,月間集計シート!T$29:T$48)*P$2</f>
        <v>0</v>
      </c>
      <c r="Q123" s="88">
        <f>SUMIF(月間集計シート!$M$50:$M$69,$G123,月間集計シート!N$50:N$69)*Q$2</f>
        <v>0</v>
      </c>
      <c r="R123" s="88">
        <f>SUMIF(月間集計シート!$M$50:$M$69,$G123,月間集計シート!O$50:O$69)*R$2</f>
        <v>0</v>
      </c>
      <c r="S123" s="88">
        <f>SUMIF(月間集計シート!$M$50:$M$69,$G123,月間集計シート!P$50:P$69)*S$2</f>
        <v>0</v>
      </c>
      <c r="T123" s="88">
        <f>SUMIF(月間集計シート!$M$50:$M$69,$G123,月間集計シート!Q$50:Q$69)*T$2</f>
        <v>0</v>
      </c>
      <c r="U123" s="88">
        <f>SUMIF(月間集計シート!$M$50:$M$69,$G123,月間集計シート!R$50:R$69)*U$2</f>
        <v>0</v>
      </c>
      <c r="V123" s="88">
        <f>SUMIF(月間集計シート!$M$50:$M$69,$G123,月間集計シート!S$50:S$69)*V$2</f>
        <v>0</v>
      </c>
      <c r="W123" s="88">
        <f>SUMIF(月間集計シート!$M$50:$M$69,$G123,月間集計シート!T$50:T$69)*W$2</f>
        <v>0</v>
      </c>
      <c r="X123" s="88">
        <f>SUMIF(月間集計シート!$M$71:$M$90,$G123,月間集計シート!N$71:N$90)*X$2</f>
        <v>0</v>
      </c>
      <c r="Y123" s="88">
        <f>SUMIF(月間集計シート!$M$71:$M$90,$G123,月間集計シート!O$71:O$90)*Y$2</f>
        <v>0</v>
      </c>
      <c r="Z123" s="88">
        <f>SUMIF(月間集計シート!$M$71:$M$90,$G123,月間集計シート!P$71:P$90)*Z$2</f>
        <v>0</v>
      </c>
      <c r="AA123" s="88">
        <f>SUMIF(月間集計シート!$M$71:$M$90,$G123,月間集計シート!Q$71:Q$90)*AA$2</f>
        <v>0</v>
      </c>
      <c r="AB123" s="88">
        <f>SUMIF(月間集計シート!$M$71:$M$90,$G123,月間集計シート!R$71:R$90)*AB$2</f>
        <v>0</v>
      </c>
      <c r="AC123" s="88">
        <f>SUMIF(月間集計シート!$M$71:$M$90,$G123,月間集計シート!S$71:S$90)*AC$2</f>
        <v>0</v>
      </c>
      <c r="AD123" s="88">
        <f>SUMIF(月間集計シート!$M$71:$M$90,$G123,月間集計シート!T$71:T$90)*AD$2</f>
        <v>0</v>
      </c>
      <c r="AE123" s="88">
        <f>SUMIF(月間集計シート!$M$92:$M$111,$G123,月間集計シート!N$92:N$111)*AE$2</f>
        <v>0</v>
      </c>
      <c r="AF123" s="88">
        <f>SUMIF(月間集計シート!$M$92:$M$111,$G123,月間集計シート!O$92:O$111)*AF$2</f>
        <v>0</v>
      </c>
      <c r="AG123" s="88">
        <f>SUMIF(月間集計シート!$M$92:$M$111,$G123,月間集計シート!P$92:P$111)*AG$2</f>
        <v>0</v>
      </c>
      <c r="AH123" s="88">
        <f>SUMIF(月間集計シート!$M$92:$M$111,$G123,月間集計シート!Q$92:Q$111)*AH$2</f>
        <v>0</v>
      </c>
      <c r="AI123" s="88">
        <f>SUMIF(月間集計シート!$M$92:$M$111,$G123,月間集計シート!R$92:R$111)*AI$2</f>
        <v>0</v>
      </c>
      <c r="AJ123" s="88">
        <f>SUMIF(月間集計シート!$M$92:$M$111,$G123,月間集計シート!S$92:S$111)*AJ$2</f>
        <v>0</v>
      </c>
      <c r="AK123" s="88">
        <f>SUMIF(月間集計シート!$M$92:$M$111,$G123,月間集計シート!T$92:T$111)*AK$2</f>
        <v>0</v>
      </c>
      <c r="AL123" s="88">
        <f>SUMIF(月間集計シート!$M$113:$M$132,$G123,月間集計シート!N$113:N$132)*AL$2</f>
        <v>0</v>
      </c>
      <c r="AM123" s="88">
        <f>SUMIF(月間集計シート!$M$113:$M$132,$G123,月間集計シート!O$113:O$132)*AM$2</f>
        <v>0</v>
      </c>
      <c r="AN123" s="88">
        <f>SUMIF(月間集計シート!$M$113:$M$132,$G123,月間集計シート!P$113:P$132)*AN$2</f>
        <v>0</v>
      </c>
      <c r="AO123" s="88">
        <f>SUMIF(月間集計シート!$M$113:$M$132,$G123,月間集計シート!Q$113:Q$132)*AO$2</f>
        <v>0</v>
      </c>
      <c r="AP123" s="88">
        <f>SUMIF(月間集計シート!$M$113:$M$132,$G123,月間集計シート!R$113:R$132)*AP$2</f>
        <v>0</v>
      </c>
      <c r="AQ123" s="88">
        <f>SUMIF(月間集計シート!$M$113:$M$132,$G123,月間集計シート!S$113:S$132)*AQ$2</f>
        <v>0</v>
      </c>
      <c r="AR123" s="88">
        <f>SUMIF(月間集計シート!$M$113:$M$132,$G123,月間集計シート!T$113:T$132)*AR$2</f>
        <v>0</v>
      </c>
      <c r="AS123" s="88">
        <f>SUMIF(月間集計シート!$M$134:$M$153,$G123,月間集計シート!N$134:N$153)*AS$2</f>
        <v>0</v>
      </c>
      <c r="AT123" s="88">
        <f>SUMIF(月間集計シート!$M$134:$M$153,$G123,月間集計シート!O$134:O$153)*AT$2</f>
        <v>0</v>
      </c>
      <c r="AU123" s="88">
        <f>SUMIF(月間集計シート!$M$134:$M$153,$G123,月間集計シート!P$134:P$153)*AU$2</f>
        <v>0</v>
      </c>
      <c r="AV123" s="88">
        <f>SUMIF(月間集計シート!$M$134:$M$153,$G123,月間集計シート!Q$134:Q$153)*AV$2</f>
        <v>0</v>
      </c>
      <c r="AW123" s="88">
        <f>SUMIF(月間集計シート!$M$134:$M$153,$G123,月間集計シート!R$134:R$153)*AW$2</f>
        <v>0</v>
      </c>
      <c r="AX123" s="88">
        <f>SUMIF(月間集計シート!$M$134:$M$153,$G123,月間集計シート!S$134:S$153)*AX$2</f>
        <v>0</v>
      </c>
      <c r="AY123" s="88">
        <f>SUMIF(月間集計シート!$M$134:$M$153,$G123,月間集計シート!T$134:T$153)*AY$2</f>
        <v>0</v>
      </c>
    </row>
    <row r="124" spans="1:51" ht="14.25" thickBot="1">
      <c r="A124">
        <v>2</v>
      </c>
      <c r="B124" s="120">
        <f t="shared" si="62"/>
        <v>393021</v>
      </c>
      <c r="C124" s="120" t="e">
        <f t="shared" si="63"/>
        <v>#N/A</v>
      </c>
      <c r="D124" s="137"/>
      <c r="E124" s="150" t="str">
        <f>工種!A31</f>
        <v>40109</v>
      </c>
      <c r="F124" s="119" t="str">
        <f>工種!B31</f>
        <v>テスト：打合せ</v>
      </c>
      <c r="G124" s="116" t="str">
        <f t="shared" si="64"/>
        <v>39302140109</v>
      </c>
      <c r="H124" s="88">
        <f t="shared" si="18"/>
        <v>0</v>
      </c>
      <c r="I124" s="132"/>
      <c r="J124" s="88">
        <f>SUMIF(月間集計シート!$M$29:$M$48,$G124,月間集計シート!N$29:N$48)*J$2</f>
        <v>0</v>
      </c>
      <c r="K124" s="88">
        <f>SUMIF(月間集計シート!$M$29:$M$48,$G124,月間集計シート!O$29:O$48)*K$2</f>
        <v>0</v>
      </c>
      <c r="L124" s="88">
        <f>SUMIF(月間集計シート!$M$29:$M$48,$G124,月間集計シート!P$29:P$48)*L$2</f>
        <v>0</v>
      </c>
      <c r="M124" s="88">
        <f>SUMIF(月間集計シート!$M$29:$M$48,$G124,月間集計シート!Q$29:Q$48)*M$2</f>
        <v>0</v>
      </c>
      <c r="N124" s="88">
        <f>SUMIF(月間集計シート!$M$29:$M$48,$G124,月間集計シート!R$29:R$48)*N$2</f>
        <v>0</v>
      </c>
      <c r="O124" s="88">
        <f>SUMIF(月間集計シート!$M$29:$M$48,$G124,月間集計シート!S$29:S$48)*O$2</f>
        <v>0</v>
      </c>
      <c r="P124" s="88">
        <f>SUMIF(月間集計シート!$M$29:$M$48,$G124,月間集計シート!T$29:T$48)*P$2</f>
        <v>0</v>
      </c>
      <c r="Q124" s="88">
        <f>SUMIF(月間集計シート!$M$50:$M$69,$G124,月間集計シート!N$50:N$69)*Q$2</f>
        <v>0</v>
      </c>
      <c r="R124" s="88">
        <f>SUMIF(月間集計シート!$M$50:$M$69,$G124,月間集計シート!O$50:O$69)*R$2</f>
        <v>0</v>
      </c>
      <c r="S124" s="88">
        <f>SUMIF(月間集計シート!$M$50:$M$69,$G124,月間集計シート!P$50:P$69)*S$2</f>
        <v>0</v>
      </c>
      <c r="T124" s="88">
        <f>SUMIF(月間集計シート!$M$50:$M$69,$G124,月間集計シート!Q$50:Q$69)*T$2</f>
        <v>0</v>
      </c>
      <c r="U124" s="88">
        <f>SUMIF(月間集計シート!$M$50:$M$69,$G124,月間集計シート!R$50:R$69)*U$2</f>
        <v>0</v>
      </c>
      <c r="V124" s="88">
        <f>SUMIF(月間集計シート!$M$50:$M$69,$G124,月間集計シート!S$50:S$69)*V$2</f>
        <v>0</v>
      </c>
      <c r="W124" s="88">
        <f>SUMIF(月間集計シート!$M$50:$M$69,$G124,月間集計シート!T$50:T$69)*W$2</f>
        <v>0</v>
      </c>
      <c r="X124" s="88">
        <f>SUMIF(月間集計シート!$M$71:$M$90,$G124,月間集計シート!N$71:N$90)*X$2</f>
        <v>0</v>
      </c>
      <c r="Y124" s="88">
        <f>SUMIF(月間集計シート!$M$71:$M$90,$G124,月間集計シート!O$71:O$90)*Y$2</f>
        <v>0</v>
      </c>
      <c r="Z124" s="88">
        <f>SUMIF(月間集計シート!$M$71:$M$90,$G124,月間集計シート!P$71:P$90)*Z$2</f>
        <v>0</v>
      </c>
      <c r="AA124" s="88">
        <f>SUMIF(月間集計シート!$M$71:$M$90,$G124,月間集計シート!Q$71:Q$90)*AA$2</f>
        <v>0</v>
      </c>
      <c r="AB124" s="88">
        <f>SUMIF(月間集計シート!$M$71:$M$90,$G124,月間集計シート!R$71:R$90)*AB$2</f>
        <v>0</v>
      </c>
      <c r="AC124" s="88">
        <f>SUMIF(月間集計シート!$M$71:$M$90,$G124,月間集計シート!S$71:S$90)*AC$2</f>
        <v>0</v>
      </c>
      <c r="AD124" s="88">
        <f>SUMIF(月間集計シート!$M$71:$M$90,$G124,月間集計シート!T$71:T$90)*AD$2</f>
        <v>0</v>
      </c>
      <c r="AE124" s="88">
        <f>SUMIF(月間集計シート!$M$92:$M$111,$G124,月間集計シート!N$92:N$111)*AE$2</f>
        <v>0</v>
      </c>
      <c r="AF124" s="88">
        <f>SUMIF(月間集計シート!$M$92:$M$111,$G124,月間集計シート!O$92:O$111)*AF$2</f>
        <v>0</v>
      </c>
      <c r="AG124" s="88">
        <f>SUMIF(月間集計シート!$M$92:$M$111,$G124,月間集計シート!P$92:P$111)*AG$2</f>
        <v>0</v>
      </c>
      <c r="AH124" s="88">
        <f>SUMIF(月間集計シート!$M$92:$M$111,$G124,月間集計シート!Q$92:Q$111)*AH$2</f>
        <v>0</v>
      </c>
      <c r="AI124" s="88">
        <f>SUMIF(月間集計シート!$M$92:$M$111,$G124,月間集計シート!R$92:R$111)*AI$2</f>
        <v>0</v>
      </c>
      <c r="AJ124" s="88">
        <f>SUMIF(月間集計シート!$M$92:$M$111,$G124,月間集計シート!S$92:S$111)*AJ$2</f>
        <v>0</v>
      </c>
      <c r="AK124" s="88">
        <f>SUMIF(月間集計シート!$M$92:$M$111,$G124,月間集計シート!T$92:T$111)*AK$2</f>
        <v>0</v>
      </c>
      <c r="AL124" s="88">
        <f>SUMIF(月間集計シート!$M$113:$M$132,$G124,月間集計シート!N$113:N$132)*AL$2</f>
        <v>0</v>
      </c>
      <c r="AM124" s="88">
        <f>SUMIF(月間集計シート!$M$113:$M$132,$G124,月間集計シート!O$113:O$132)*AM$2</f>
        <v>0</v>
      </c>
      <c r="AN124" s="88">
        <f>SUMIF(月間集計シート!$M$113:$M$132,$G124,月間集計シート!P$113:P$132)*AN$2</f>
        <v>0</v>
      </c>
      <c r="AO124" s="88">
        <f>SUMIF(月間集計シート!$M$113:$M$132,$G124,月間集計シート!Q$113:Q$132)*AO$2</f>
        <v>0</v>
      </c>
      <c r="AP124" s="88">
        <f>SUMIF(月間集計シート!$M$113:$M$132,$G124,月間集計シート!R$113:R$132)*AP$2</f>
        <v>0</v>
      </c>
      <c r="AQ124" s="88">
        <f>SUMIF(月間集計シート!$M$113:$M$132,$G124,月間集計シート!S$113:S$132)*AQ$2</f>
        <v>0</v>
      </c>
      <c r="AR124" s="88">
        <f>SUMIF(月間集計シート!$M$113:$M$132,$G124,月間集計シート!T$113:T$132)*AR$2</f>
        <v>0</v>
      </c>
      <c r="AS124" s="88">
        <f>SUMIF(月間集計シート!$M$134:$M$153,$G124,月間集計シート!N$134:N$153)*AS$2</f>
        <v>0</v>
      </c>
      <c r="AT124" s="88">
        <f>SUMIF(月間集計シート!$M$134:$M$153,$G124,月間集計シート!O$134:O$153)*AT$2</f>
        <v>0</v>
      </c>
      <c r="AU124" s="88">
        <f>SUMIF(月間集計シート!$M$134:$M$153,$G124,月間集計シート!P$134:P$153)*AU$2</f>
        <v>0</v>
      </c>
      <c r="AV124" s="88">
        <f>SUMIF(月間集計シート!$M$134:$M$153,$G124,月間集計シート!Q$134:Q$153)*AV$2</f>
        <v>0</v>
      </c>
      <c r="AW124" s="88">
        <f>SUMIF(月間集計シート!$M$134:$M$153,$G124,月間集計シート!R$134:R$153)*AW$2</f>
        <v>0</v>
      </c>
      <c r="AX124" s="88">
        <f>SUMIF(月間集計シート!$M$134:$M$153,$G124,月間集計シート!S$134:S$153)*AX$2</f>
        <v>0</v>
      </c>
      <c r="AY124" s="88">
        <f>SUMIF(月間集計シート!$M$134:$M$153,$G124,月間集計シート!T$134:T$153)*AY$2</f>
        <v>0</v>
      </c>
    </row>
    <row r="125" spans="1:51" ht="14.25" thickBot="1">
      <c r="A125">
        <v>2</v>
      </c>
      <c r="B125" s="120">
        <f t="shared" si="62"/>
        <v>393021</v>
      </c>
      <c r="C125" s="120" t="e">
        <f t="shared" si="63"/>
        <v>#N/A</v>
      </c>
      <c r="D125" s="137"/>
      <c r="E125" s="150" t="str">
        <f>工種!A32</f>
        <v>40110</v>
      </c>
      <c r="F125" s="119" t="str">
        <f>工種!B32</f>
        <v>テスト：レビュー</v>
      </c>
      <c r="G125" s="116" t="str">
        <f t="shared" si="64"/>
        <v>39302140110</v>
      </c>
      <c r="H125" s="88">
        <f t="shared" si="18"/>
        <v>0</v>
      </c>
      <c r="I125" s="132"/>
      <c r="J125" s="88">
        <f>SUMIF(月間集計シート!$M$29:$M$48,$G125,月間集計シート!N$29:N$48)*J$2</f>
        <v>0</v>
      </c>
      <c r="K125" s="88">
        <f>SUMIF(月間集計シート!$M$29:$M$48,$G125,月間集計シート!O$29:O$48)*K$2</f>
        <v>0</v>
      </c>
      <c r="L125" s="88">
        <f>SUMIF(月間集計シート!$M$29:$M$48,$G125,月間集計シート!P$29:P$48)*L$2</f>
        <v>0</v>
      </c>
      <c r="M125" s="88">
        <f>SUMIF(月間集計シート!$M$29:$M$48,$G125,月間集計シート!Q$29:Q$48)*M$2</f>
        <v>0</v>
      </c>
      <c r="N125" s="88">
        <f>SUMIF(月間集計シート!$M$29:$M$48,$G125,月間集計シート!R$29:R$48)*N$2</f>
        <v>0</v>
      </c>
      <c r="O125" s="88">
        <f>SUMIF(月間集計シート!$M$29:$M$48,$G125,月間集計シート!S$29:S$48)*O$2</f>
        <v>0</v>
      </c>
      <c r="P125" s="88">
        <f>SUMIF(月間集計シート!$M$29:$M$48,$G125,月間集計シート!T$29:T$48)*P$2</f>
        <v>0</v>
      </c>
      <c r="Q125" s="88">
        <f>SUMIF(月間集計シート!$M$50:$M$69,$G125,月間集計シート!N$50:N$69)*Q$2</f>
        <v>0</v>
      </c>
      <c r="R125" s="88">
        <f>SUMIF(月間集計シート!$M$50:$M$69,$G125,月間集計シート!O$50:O$69)*R$2</f>
        <v>0</v>
      </c>
      <c r="S125" s="88">
        <f>SUMIF(月間集計シート!$M$50:$M$69,$G125,月間集計シート!P$50:P$69)*S$2</f>
        <v>0</v>
      </c>
      <c r="T125" s="88">
        <f>SUMIF(月間集計シート!$M$50:$M$69,$G125,月間集計シート!Q$50:Q$69)*T$2</f>
        <v>0</v>
      </c>
      <c r="U125" s="88">
        <f>SUMIF(月間集計シート!$M$50:$M$69,$G125,月間集計シート!R$50:R$69)*U$2</f>
        <v>0</v>
      </c>
      <c r="V125" s="88">
        <f>SUMIF(月間集計シート!$M$50:$M$69,$G125,月間集計シート!S$50:S$69)*V$2</f>
        <v>0</v>
      </c>
      <c r="W125" s="88">
        <f>SUMIF(月間集計シート!$M$50:$M$69,$G125,月間集計シート!T$50:T$69)*W$2</f>
        <v>0</v>
      </c>
      <c r="X125" s="88">
        <f>SUMIF(月間集計シート!$M$71:$M$90,$G125,月間集計シート!N$71:N$90)*X$2</f>
        <v>0</v>
      </c>
      <c r="Y125" s="88">
        <f>SUMIF(月間集計シート!$M$71:$M$90,$G125,月間集計シート!O$71:O$90)*Y$2</f>
        <v>0</v>
      </c>
      <c r="Z125" s="88">
        <f>SUMIF(月間集計シート!$M$71:$M$90,$G125,月間集計シート!P$71:P$90)*Z$2</f>
        <v>0</v>
      </c>
      <c r="AA125" s="88">
        <f>SUMIF(月間集計シート!$M$71:$M$90,$G125,月間集計シート!Q$71:Q$90)*AA$2</f>
        <v>0</v>
      </c>
      <c r="AB125" s="88">
        <f>SUMIF(月間集計シート!$M$71:$M$90,$G125,月間集計シート!R$71:R$90)*AB$2</f>
        <v>0</v>
      </c>
      <c r="AC125" s="88">
        <f>SUMIF(月間集計シート!$M$71:$M$90,$G125,月間集計シート!S$71:S$90)*AC$2</f>
        <v>0</v>
      </c>
      <c r="AD125" s="88">
        <f>SUMIF(月間集計シート!$M$71:$M$90,$G125,月間集計シート!T$71:T$90)*AD$2</f>
        <v>0</v>
      </c>
      <c r="AE125" s="88">
        <f>SUMIF(月間集計シート!$M$92:$M$111,$G125,月間集計シート!N$92:N$111)*AE$2</f>
        <v>0</v>
      </c>
      <c r="AF125" s="88">
        <f>SUMIF(月間集計シート!$M$92:$M$111,$G125,月間集計シート!O$92:O$111)*AF$2</f>
        <v>0</v>
      </c>
      <c r="AG125" s="88">
        <f>SUMIF(月間集計シート!$M$92:$M$111,$G125,月間集計シート!P$92:P$111)*AG$2</f>
        <v>0</v>
      </c>
      <c r="AH125" s="88">
        <f>SUMIF(月間集計シート!$M$92:$M$111,$G125,月間集計シート!Q$92:Q$111)*AH$2</f>
        <v>0</v>
      </c>
      <c r="AI125" s="88">
        <f>SUMIF(月間集計シート!$M$92:$M$111,$G125,月間集計シート!R$92:R$111)*AI$2</f>
        <v>0</v>
      </c>
      <c r="AJ125" s="88">
        <f>SUMIF(月間集計シート!$M$92:$M$111,$G125,月間集計シート!S$92:S$111)*AJ$2</f>
        <v>0</v>
      </c>
      <c r="AK125" s="88">
        <f>SUMIF(月間集計シート!$M$92:$M$111,$G125,月間集計シート!T$92:T$111)*AK$2</f>
        <v>0</v>
      </c>
      <c r="AL125" s="88">
        <f>SUMIF(月間集計シート!$M$113:$M$132,$G125,月間集計シート!N$113:N$132)*AL$2</f>
        <v>0</v>
      </c>
      <c r="AM125" s="88">
        <f>SUMIF(月間集計シート!$M$113:$M$132,$G125,月間集計シート!O$113:O$132)*AM$2</f>
        <v>0</v>
      </c>
      <c r="AN125" s="88">
        <f>SUMIF(月間集計シート!$M$113:$M$132,$G125,月間集計シート!P$113:P$132)*AN$2</f>
        <v>0</v>
      </c>
      <c r="AO125" s="88">
        <f>SUMIF(月間集計シート!$M$113:$M$132,$G125,月間集計シート!Q$113:Q$132)*AO$2</f>
        <v>0</v>
      </c>
      <c r="AP125" s="88">
        <f>SUMIF(月間集計シート!$M$113:$M$132,$G125,月間集計シート!R$113:R$132)*AP$2</f>
        <v>0</v>
      </c>
      <c r="AQ125" s="88">
        <f>SUMIF(月間集計シート!$M$113:$M$132,$G125,月間集計シート!S$113:S$132)*AQ$2</f>
        <v>0</v>
      </c>
      <c r="AR125" s="88">
        <f>SUMIF(月間集計シート!$M$113:$M$132,$G125,月間集計シート!T$113:T$132)*AR$2</f>
        <v>0</v>
      </c>
      <c r="AS125" s="88">
        <f>SUMIF(月間集計シート!$M$134:$M$153,$G125,月間集計シート!N$134:N$153)*AS$2</f>
        <v>0</v>
      </c>
      <c r="AT125" s="88">
        <f>SUMIF(月間集計シート!$M$134:$M$153,$G125,月間集計シート!O$134:O$153)*AT$2</f>
        <v>0</v>
      </c>
      <c r="AU125" s="88">
        <f>SUMIF(月間集計シート!$M$134:$M$153,$G125,月間集計シート!P$134:P$153)*AU$2</f>
        <v>0</v>
      </c>
      <c r="AV125" s="88">
        <f>SUMIF(月間集計シート!$M$134:$M$153,$G125,月間集計シート!Q$134:Q$153)*AV$2</f>
        <v>0</v>
      </c>
      <c r="AW125" s="88">
        <f>SUMIF(月間集計シート!$M$134:$M$153,$G125,月間集計シート!R$134:R$153)*AW$2</f>
        <v>0</v>
      </c>
      <c r="AX125" s="88">
        <f>SUMIF(月間集計シート!$M$134:$M$153,$G125,月間集計シート!S$134:S$153)*AX$2</f>
        <v>0</v>
      </c>
      <c r="AY125" s="88">
        <f>SUMIF(月間集計シート!$M$134:$M$153,$G125,月間集計シート!T$134:T$153)*AY$2</f>
        <v>0</v>
      </c>
    </row>
    <row r="126" spans="1:51" ht="14.25" thickBot="1">
      <c r="A126">
        <v>2</v>
      </c>
      <c r="B126" s="120">
        <f t="shared" si="62"/>
        <v>393021</v>
      </c>
      <c r="C126" s="120" t="e">
        <f t="shared" si="63"/>
        <v>#N/A</v>
      </c>
      <c r="D126" s="137"/>
      <c r="E126" s="150" t="str">
        <f>工種!A33</f>
        <v>40111</v>
      </c>
      <c r="F126" s="119" t="str">
        <f>工種!B33</f>
        <v>テスト：PG修正（手戻り分）</v>
      </c>
      <c r="G126" s="116" t="str">
        <f t="shared" si="64"/>
        <v>39302140111</v>
      </c>
      <c r="H126" s="88">
        <f t="shared" si="18"/>
        <v>0</v>
      </c>
      <c r="I126" s="132"/>
      <c r="J126" s="88">
        <f>SUMIF(月間集計シート!$M$29:$M$48,$G126,月間集計シート!N$29:N$48)*J$2</f>
        <v>0</v>
      </c>
      <c r="K126" s="88">
        <f>SUMIF(月間集計シート!$M$29:$M$48,$G126,月間集計シート!O$29:O$48)*K$2</f>
        <v>0</v>
      </c>
      <c r="L126" s="88">
        <f>SUMIF(月間集計シート!$M$29:$M$48,$G126,月間集計シート!P$29:P$48)*L$2</f>
        <v>0</v>
      </c>
      <c r="M126" s="88">
        <f>SUMIF(月間集計シート!$M$29:$M$48,$G126,月間集計シート!Q$29:Q$48)*M$2</f>
        <v>0</v>
      </c>
      <c r="N126" s="88">
        <f>SUMIF(月間集計シート!$M$29:$M$48,$G126,月間集計シート!R$29:R$48)*N$2</f>
        <v>0</v>
      </c>
      <c r="O126" s="88">
        <f>SUMIF(月間集計シート!$M$29:$M$48,$G126,月間集計シート!S$29:S$48)*O$2</f>
        <v>0</v>
      </c>
      <c r="P126" s="88">
        <f>SUMIF(月間集計シート!$M$29:$M$48,$G126,月間集計シート!T$29:T$48)*P$2</f>
        <v>0</v>
      </c>
      <c r="Q126" s="88">
        <f>SUMIF(月間集計シート!$M$50:$M$69,$G126,月間集計シート!N$50:N$69)*Q$2</f>
        <v>0</v>
      </c>
      <c r="R126" s="88">
        <f>SUMIF(月間集計シート!$M$50:$M$69,$G126,月間集計シート!O$50:O$69)*R$2</f>
        <v>0</v>
      </c>
      <c r="S126" s="88">
        <f>SUMIF(月間集計シート!$M$50:$M$69,$G126,月間集計シート!P$50:P$69)*S$2</f>
        <v>0</v>
      </c>
      <c r="T126" s="88">
        <f>SUMIF(月間集計シート!$M$50:$M$69,$G126,月間集計シート!Q$50:Q$69)*T$2</f>
        <v>0</v>
      </c>
      <c r="U126" s="88">
        <f>SUMIF(月間集計シート!$M$50:$M$69,$G126,月間集計シート!R$50:R$69)*U$2</f>
        <v>0</v>
      </c>
      <c r="V126" s="88">
        <f>SUMIF(月間集計シート!$M$50:$M$69,$G126,月間集計シート!S$50:S$69)*V$2</f>
        <v>0</v>
      </c>
      <c r="W126" s="88">
        <f>SUMIF(月間集計シート!$M$50:$M$69,$G126,月間集計シート!T$50:T$69)*W$2</f>
        <v>0</v>
      </c>
      <c r="X126" s="88">
        <f>SUMIF(月間集計シート!$M$71:$M$90,$G126,月間集計シート!N$71:N$90)*X$2</f>
        <v>0</v>
      </c>
      <c r="Y126" s="88">
        <f>SUMIF(月間集計シート!$M$71:$M$90,$G126,月間集計シート!O$71:O$90)*Y$2</f>
        <v>0</v>
      </c>
      <c r="Z126" s="88">
        <f>SUMIF(月間集計シート!$M$71:$M$90,$G126,月間集計シート!P$71:P$90)*Z$2</f>
        <v>0</v>
      </c>
      <c r="AA126" s="88">
        <f>SUMIF(月間集計シート!$M$71:$M$90,$G126,月間集計シート!Q$71:Q$90)*AA$2</f>
        <v>0</v>
      </c>
      <c r="AB126" s="88">
        <f>SUMIF(月間集計シート!$M$71:$M$90,$G126,月間集計シート!R$71:R$90)*AB$2</f>
        <v>0</v>
      </c>
      <c r="AC126" s="88">
        <f>SUMIF(月間集計シート!$M$71:$M$90,$G126,月間集計シート!S$71:S$90)*AC$2</f>
        <v>0</v>
      </c>
      <c r="AD126" s="88">
        <f>SUMIF(月間集計シート!$M$71:$M$90,$G126,月間集計シート!T$71:T$90)*AD$2</f>
        <v>0</v>
      </c>
      <c r="AE126" s="88">
        <f>SUMIF(月間集計シート!$M$92:$M$111,$G126,月間集計シート!N$92:N$111)*AE$2</f>
        <v>0</v>
      </c>
      <c r="AF126" s="88">
        <f>SUMIF(月間集計シート!$M$92:$M$111,$G126,月間集計シート!O$92:O$111)*AF$2</f>
        <v>0</v>
      </c>
      <c r="AG126" s="88">
        <f>SUMIF(月間集計シート!$M$92:$M$111,$G126,月間集計シート!P$92:P$111)*AG$2</f>
        <v>0</v>
      </c>
      <c r="AH126" s="88">
        <f>SUMIF(月間集計シート!$M$92:$M$111,$G126,月間集計シート!Q$92:Q$111)*AH$2</f>
        <v>0</v>
      </c>
      <c r="AI126" s="88">
        <f>SUMIF(月間集計シート!$M$92:$M$111,$G126,月間集計シート!R$92:R$111)*AI$2</f>
        <v>0</v>
      </c>
      <c r="AJ126" s="88">
        <f>SUMIF(月間集計シート!$M$92:$M$111,$G126,月間集計シート!S$92:S$111)*AJ$2</f>
        <v>0</v>
      </c>
      <c r="AK126" s="88">
        <f>SUMIF(月間集計シート!$M$92:$M$111,$G126,月間集計シート!T$92:T$111)*AK$2</f>
        <v>0</v>
      </c>
      <c r="AL126" s="88">
        <f>SUMIF(月間集計シート!$M$113:$M$132,$G126,月間集計シート!N$113:N$132)*AL$2</f>
        <v>0</v>
      </c>
      <c r="AM126" s="88">
        <f>SUMIF(月間集計シート!$M$113:$M$132,$G126,月間集計シート!O$113:O$132)*AM$2</f>
        <v>0</v>
      </c>
      <c r="AN126" s="88">
        <f>SUMIF(月間集計シート!$M$113:$M$132,$G126,月間集計シート!P$113:P$132)*AN$2</f>
        <v>0</v>
      </c>
      <c r="AO126" s="88">
        <f>SUMIF(月間集計シート!$M$113:$M$132,$G126,月間集計シート!Q$113:Q$132)*AO$2</f>
        <v>0</v>
      </c>
      <c r="AP126" s="88">
        <f>SUMIF(月間集計シート!$M$113:$M$132,$G126,月間集計シート!R$113:R$132)*AP$2</f>
        <v>0</v>
      </c>
      <c r="AQ126" s="88">
        <f>SUMIF(月間集計シート!$M$113:$M$132,$G126,月間集計シート!S$113:S$132)*AQ$2</f>
        <v>0</v>
      </c>
      <c r="AR126" s="88">
        <f>SUMIF(月間集計シート!$M$113:$M$132,$G126,月間集計シート!T$113:T$132)*AR$2</f>
        <v>0</v>
      </c>
      <c r="AS126" s="88">
        <f>SUMIF(月間集計シート!$M$134:$M$153,$G126,月間集計シート!N$134:N$153)*AS$2</f>
        <v>0</v>
      </c>
      <c r="AT126" s="88">
        <f>SUMIF(月間集計シート!$M$134:$M$153,$G126,月間集計シート!O$134:O$153)*AT$2</f>
        <v>0</v>
      </c>
      <c r="AU126" s="88">
        <f>SUMIF(月間集計シート!$M$134:$M$153,$G126,月間集計シート!P$134:P$153)*AU$2</f>
        <v>0</v>
      </c>
      <c r="AV126" s="88">
        <f>SUMIF(月間集計シート!$M$134:$M$153,$G126,月間集計シート!Q$134:Q$153)*AV$2</f>
        <v>0</v>
      </c>
      <c r="AW126" s="88">
        <f>SUMIF(月間集計シート!$M$134:$M$153,$G126,月間集計シート!R$134:R$153)*AW$2</f>
        <v>0</v>
      </c>
      <c r="AX126" s="88">
        <f>SUMIF(月間集計シート!$M$134:$M$153,$G126,月間集計シート!S$134:S$153)*AX$2</f>
        <v>0</v>
      </c>
      <c r="AY126" s="88">
        <f>SUMIF(月間集計シート!$M$134:$M$153,$G126,月間集計シート!T$134:T$153)*AY$2</f>
        <v>0</v>
      </c>
    </row>
    <row r="127" spans="1:51" ht="14.25" thickBot="1">
      <c r="A127">
        <v>2</v>
      </c>
      <c r="B127" s="120">
        <f t="shared" si="62"/>
        <v>393021</v>
      </c>
      <c r="C127" s="120" t="e">
        <f t="shared" si="63"/>
        <v>#N/A</v>
      </c>
      <c r="D127" s="137"/>
      <c r="E127" s="150" t="str">
        <f>工種!A34</f>
        <v>40112</v>
      </c>
      <c r="F127" s="119" t="str">
        <f>工種!B34</f>
        <v>テスト：再テスト（手戻り分）</v>
      </c>
      <c r="G127" s="116" t="str">
        <f t="shared" si="64"/>
        <v>39302140112</v>
      </c>
      <c r="H127" s="88">
        <f t="shared" si="18"/>
        <v>0</v>
      </c>
      <c r="I127" s="132"/>
      <c r="J127" s="88">
        <f>SUMIF(月間集計シート!$M$29:$M$48,$G127,月間集計シート!N$29:N$48)*J$2</f>
        <v>0</v>
      </c>
      <c r="K127" s="88">
        <f>SUMIF(月間集計シート!$M$29:$M$48,$G127,月間集計シート!O$29:O$48)*K$2</f>
        <v>0</v>
      </c>
      <c r="L127" s="88">
        <f>SUMIF(月間集計シート!$M$29:$M$48,$G127,月間集計シート!P$29:P$48)*L$2</f>
        <v>0</v>
      </c>
      <c r="M127" s="88">
        <f>SUMIF(月間集計シート!$M$29:$M$48,$G127,月間集計シート!Q$29:Q$48)*M$2</f>
        <v>0</v>
      </c>
      <c r="N127" s="88">
        <f>SUMIF(月間集計シート!$M$29:$M$48,$G127,月間集計シート!R$29:R$48)*N$2</f>
        <v>0</v>
      </c>
      <c r="O127" s="88">
        <f>SUMIF(月間集計シート!$M$29:$M$48,$G127,月間集計シート!S$29:S$48)*O$2</f>
        <v>0</v>
      </c>
      <c r="P127" s="88">
        <f>SUMIF(月間集計シート!$M$29:$M$48,$G127,月間集計シート!T$29:T$48)*P$2</f>
        <v>0</v>
      </c>
      <c r="Q127" s="88">
        <f>SUMIF(月間集計シート!$M$50:$M$69,$G127,月間集計シート!N$50:N$69)*Q$2</f>
        <v>0</v>
      </c>
      <c r="R127" s="88">
        <f>SUMIF(月間集計シート!$M$50:$M$69,$G127,月間集計シート!O$50:O$69)*R$2</f>
        <v>0</v>
      </c>
      <c r="S127" s="88">
        <f>SUMIF(月間集計シート!$M$50:$M$69,$G127,月間集計シート!P$50:P$69)*S$2</f>
        <v>0</v>
      </c>
      <c r="T127" s="88">
        <f>SUMIF(月間集計シート!$M$50:$M$69,$G127,月間集計シート!Q$50:Q$69)*T$2</f>
        <v>0</v>
      </c>
      <c r="U127" s="88">
        <f>SUMIF(月間集計シート!$M$50:$M$69,$G127,月間集計シート!R$50:R$69)*U$2</f>
        <v>0</v>
      </c>
      <c r="V127" s="88">
        <f>SUMIF(月間集計シート!$M$50:$M$69,$G127,月間集計シート!S$50:S$69)*V$2</f>
        <v>0</v>
      </c>
      <c r="W127" s="88">
        <f>SUMIF(月間集計シート!$M$50:$M$69,$G127,月間集計シート!T$50:T$69)*W$2</f>
        <v>0</v>
      </c>
      <c r="X127" s="88">
        <f>SUMIF(月間集計シート!$M$71:$M$90,$G127,月間集計シート!N$71:N$90)*X$2</f>
        <v>0</v>
      </c>
      <c r="Y127" s="88">
        <f>SUMIF(月間集計シート!$M$71:$M$90,$G127,月間集計シート!O$71:O$90)*Y$2</f>
        <v>0</v>
      </c>
      <c r="Z127" s="88">
        <f>SUMIF(月間集計シート!$M$71:$M$90,$G127,月間集計シート!P$71:P$90)*Z$2</f>
        <v>0</v>
      </c>
      <c r="AA127" s="88">
        <f>SUMIF(月間集計シート!$M$71:$M$90,$G127,月間集計シート!Q$71:Q$90)*AA$2</f>
        <v>0</v>
      </c>
      <c r="AB127" s="88">
        <f>SUMIF(月間集計シート!$M$71:$M$90,$G127,月間集計シート!R$71:R$90)*AB$2</f>
        <v>0</v>
      </c>
      <c r="AC127" s="88">
        <f>SUMIF(月間集計シート!$M$71:$M$90,$G127,月間集計シート!S$71:S$90)*AC$2</f>
        <v>0</v>
      </c>
      <c r="AD127" s="88">
        <f>SUMIF(月間集計シート!$M$71:$M$90,$G127,月間集計シート!T$71:T$90)*AD$2</f>
        <v>0</v>
      </c>
      <c r="AE127" s="88">
        <f>SUMIF(月間集計シート!$M$92:$M$111,$G127,月間集計シート!N$92:N$111)*AE$2</f>
        <v>0</v>
      </c>
      <c r="AF127" s="88">
        <f>SUMIF(月間集計シート!$M$92:$M$111,$G127,月間集計シート!O$92:O$111)*AF$2</f>
        <v>0</v>
      </c>
      <c r="AG127" s="88">
        <f>SUMIF(月間集計シート!$M$92:$M$111,$G127,月間集計シート!P$92:P$111)*AG$2</f>
        <v>0</v>
      </c>
      <c r="AH127" s="88">
        <f>SUMIF(月間集計シート!$M$92:$M$111,$G127,月間集計シート!Q$92:Q$111)*AH$2</f>
        <v>0</v>
      </c>
      <c r="AI127" s="88">
        <f>SUMIF(月間集計シート!$M$92:$M$111,$G127,月間集計シート!R$92:R$111)*AI$2</f>
        <v>0</v>
      </c>
      <c r="AJ127" s="88">
        <f>SUMIF(月間集計シート!$M$92:$M$111,$G127,月間集計シート!S$92:S$111)*AJ$2</f>
        <v>0</v>
      </c>
      <c r="AK127" s="88">
        <f>SUMIF(月間集計シート!$M$92:$M$111,$G127,月間集計シート!T$92:T$111)*AK$2</f>
        <v>0</v>
      </c>
      <c r="AL127" s="88">
        <f>SUMIF(月間集計シート!$M$113:$M$132,$G127,月間集計シート!N$113:N$132)*AL$2</f>
        <v>0</v>
      </c>
      <c r="AM127" s="88">
        <f>SUMIF(月間集計シート!$M$113:$M$132,$G127,月間集計シート!O$113:O$132)*AM$2</f>
        <v>0</v>
      </c>
      <c r="AN127" s="88">
        <f>SUMIF(月間集計シート!$M$113:$M$132,$G127,月間集計シート!P$113:P$132)*AN$2</f>
        <v>0</v>
      </c>
      <c r="AO127" s="88">
        <f>SUMIF(月間集計シート!$M$113:$M$132,$G127,月間集計シート!Q$113:Q$132)*AO$2</f>
        <v>0</v>
      </c>
      <c r="AP127" s="88">
        <f>SUMIF(月間集計シート!$M$113:$M$132,$G127,月間集計シート!R$113:R$132)*AP$2</f>
        <v>0</v>
      </c>
      <c r="AQ127" s="88">
        <f>SUMIF(月間集計シート!$M$113:$M$132,$G127,月間集計シート!S$113:S$132)*AQ$2</f>
        <v>0</v>
      </c>
      <c r="AR127" s="88">
        <f>SUMIF(月間集計シート!$M$113:$M$132,$G127,月間集計シート!T$113:T$132)*AR$2</f>
        <v>0</v>
      </c>
      <c r="AS127" s="88">
        <f>SUMIF(月間集計シート!$M$134:$M$153,$G127,月間集計シート!N$134:N$153)*AS$2</f>
        <v>0</v>
      </c>
      <c r="AT127" s="88">
        <f>SUMIF(月間集計シート!$M$134:$M$153,$G127,月間集計シート!O$134:O$153)*AT$2</f>
        <v>0</v>
      </c>
      <c r="AU127" s="88">
        <f>SUMIF(月間集計シート!$M$134:$M$153,$G127,月間集計シート!P$134:P$153)*AU$2</f>
        <v>0</v>
      </c>
      <c r="AV127" s="88">
        <f>SUMIF(月間集計シート!$M$134:$M$153,$G127,月間集計シート!Q$134:Q$153)*AV$2</f>
        <v>0</v>
      </c>
      <c r="AW127" s="88">
        <f>SUMIF(月間集計シート!$M$134:$M$153,$G127,月間集計シート!R$134:R$153)*AW$2</f>
        <v>0</v>
      </c>
      <c r="AX127" s="88">
        <f>SUMIF(月間集計シート!$M$134:$M$153,$G127,月間集計シート!S$134:S$153)*AX$2</f>
        <v>0</v>
      </c>
      <c r="AY127" s="88">
        <f>SUMIF(月間集計シート!$M$134:$M$153,$G127,月間集計シート!T$134:T$153)*AY$2</f>
        <v>0</v>
      </c>
    </row>
    <row r="128" spans="1:51" ht="14.25" thickBot="1">
      <c r="A128">
        <v>2</v>
      </c>
      <c r="B128" s="120">
        <f t="shared" si="62"/>
        <v>393021</v>
      </c>
      <c r="C128" s="120" t="e">
        <f t="shared" si="63"/>
        <v>#N/A</v>
      </c>
      <c r="D128" s="137"/>
      <c r="E128" s="150" t="str">
        <f>工種!A35</f>
        <v>40113</v>
      </c>
      <c r="F128" s="119" t="str">
        <f>工種!B35</f>
        <v>テスト：QA対応</v>
      </c>
      <c r="G128" s="116" t="str">
        <f t="shared" si="64"/>
        <v>39302140113</v>
      </c>
      <c r="H128" s="88">
        <f t="shared" si="18"/>
        <v>0</v>
      </c>
      <c r="I128" s="132"/>
      <c r="J128" s="88">
        <f>SUMIF(月間集計シート!$M$29:$M$48,$G128,月間集計シート!N$29:N$48)*J$2</f>
        <v>0</v>
      </c>
      <c r="K128" s="88">
        <f>SUMIF(月間集計シート!$M$29:$M$48,$G128,月間集計シート!O$29:O$48)*K$2</f>
        <v>0</v>
      </c>
      <c r="L128" s="88">
        <f>SUMIF(月間集計シート!$M$29:$M$48,$G128,月間集計シート!P$29:P$48)*L$2</f>
        <v>0</v>
      </c>
      <c r="M128" s="88">
        <f>SUMIF(月間集計シート!$M$29:$M$48,$G128,月間集計シート!Q$29:Q$48)*M$2</f>
        <v>0</v>
      </c>
      <c r="N128" s="88">
        <f>SUMIF(月間集計シート!$M$29:$M$48,$G128,月間集計シート!R$29:R$48)*N$2</f>
        <v>0</v>
      </c>
      <c r="O128" s="88">
        <f>SUMIF(月間集計シート!$M$29:$M$48,$G128,月間集計シート!S$29:S$48)*O$2</f>
        <v>0</v>
      </c>
      <c r="P128" s="88">
        <f>SUMIF(月間集計シート!$M$29:$M$48,$G128,月間集計シート!T$29:T$48)*P$2</f>
        <v>0</v>
      </c>
      <c r="Q128" s="88">
        <f>SUMIF(月間集計シート!$M$50:$M$69,$G128,月間集計シート!N$50:N$69)*Q$2</f>
        <v>0</v>
      </c>
      <c r="R128" s="88">
        <f>SUMIF(月間集計シート!$M$50:$M$69,$G128,月間集計シート!O$50:O$69)*R$2</f>
        <v>0</v>
      </c>
      <c r="S128" s="88">
        <f>SUMIF(月間集計シート!$M$50:$M$69,$G128,月間集計シート!P$50:P$69)*S$2</f>
        <v>0</v>
      </c>
      <c r="T128" s="88">
        <f>SUMIF(月間集計シート!$M$50:$M$69,$G128,月間集計シート!Q$50:Q$69)*T$2</f>
        <v>0</v>
      </c>
      <c r="U128" s="88">
        <f>SUMIF(月間集計シート!$M$50:$M$69,$G128,月間集計シート!R$50:R$69)*U$2</f>
        <v>0</v>
      </c>
      <c r="V128" s="88">
        <f>SUMIF(月間集計シート!$M$50:$M$69,$G128,月間集計シート!S$50:S$69)*V$2</f>
        <v>0</v>
      </c>
      <c r="W128" s="88">
        <f>SUMIF(月間集計シート!$M$50:$M$69,$G128,月間集計シート!T$50:T$69)*W$2</f>
        <v>0</v>
      </c>
      <c r="X128" s="88">
        <f>SUMIF(月間集計シート!$M$71:$M$90,$G128,月間集計シート!N$71:N$90)*X$2</f>
        <v>0</v>
      </c>
      <c r="Y128" s="88">
        <f>SUMIF(月間集計シート!$M$71:$M$90,$G128,月間集計シート!O$71:O$90)*Y$2</f>
        <v>0</v>
      </c>
      <c r="Z128" s="88">
        <f>SUMIF(月間集計シート!$M$71:$M$90,$G128,月間集計シート!P$71:P$90)*Z$2</f>
        <v>0</v>
      </c>
      <c r="AA128" s="88">
        <f>SUMIF(月間集計シート!$M$71:$M$90,$G128,月間集計シート!Q$71:Q$90)*AA$2</f>
        <v>0</v>
      </c>
      <c r="AB128" s="88">
        <f>SUMIF(月間集計シート!$M$71:$M$90,$G128,月間集計シート!R$71:R$90)*AB$2</f>
        <v>0</v>
      </c>
      <c r="AC128" s="88">
        <f>SUMIF(月間集計シート!$M$71:$M$90,$G128,月間集計シート!S$71:S$90)*AC$2</f>
        <v>0</v>
      </c>
      <c r="AD128" s="88">
        <f>SUMIF(月間集計シート!$M$71:$M$90,$G128,月間集計シート!T$71:T$90)*AD$2</f>
        <v>0</v>
      </c>
      <c r="AE128" s="88">
        <f>SUMIF(月間集計シート!$M$92:$M$111,$G128,月間集計シート!N$92:N$111)*AE$2</f>
        <v>0</v>
      </c>
      <c r="AF128" s="88">
        <f>SUMIF(月間集計シート!$M$92:$M$111,$G128,月間集計シート!O$92:O$111)*AF$2</f>
        <v>0</v>
      </c>
      <c r="AG128" s="88">
        <f>SUMIF(月間集計シート!$M$92:$M$111,$G128,月間集計シート!P$92:P$111)*AG$2</f>
        <v>0</v>
      </c>
      <c r="AH128" s="88">
        <f>SUMIF(月間集計シート!$M$92:$M$111,$G128,月間集計シート!Q$92:Q$111)*AH$2</f>
        <v>0</v>
      </c>
      <c r="AI128" s="88">
        <f>SUMIF(月間集計シート!$M$92:$M$111,$G128,月間集計シート!R$92:R$111)*AI$2</f>
        <v>0</v>
      </c>
      <c r="AJ128" s="88">
        <f>SUMIF(月間集計シート!$M$92:$M$111,$G128,月間集計シート!S$92:S$111)*AJ$2</f>
        <v>0</v>
      </c>
      <c r="AK128" s="88">
        <f>SUMIF(月間集計シート!$M$92:$M$111,$G128,月間集計シート!T$92:T$111)*AK$2</f>
        <v>0</v>
      </c>
      <c r="AL128" s="88">
        <f>SUMIF(月間集計シート!$M$113:$M$132,$G128,月間集計シート!N$113:N$132)*AL$2</f>
        <v>0</v>
      </c>
      <c r="AM128" s="88">
        <f>SUMIF(月間集計シート!$M$113:$M$132,$G128,月間集計シート!O$113:O$132)*AM$2</f>
        <v>0</v>
      </c>
      <c r="AN128" s="88">
        <f>SUMIF(月間集計シート!$M$113:$M$132,$G128,月間集計シート!P$113:P$132)*AN$2</f>
        <v>0</v>
      </c>
      <c r="AO128" s="88">
        <f>SUMIF(月間集計シート!$M$113:$M$132,$G128,月間集計シート!Q$113:Q$132)*AO$2</f>
        <v>0</v>
      </c>
      <c r="AP128" s="88">
        <f>SUMIF(月間集計シート!$M$113:$M$132,$G128,月間集計シート!R$113:R$132)*AP$2</f>
        <v>0</v>
      </c>
      <c r="AQ128" s="88">
        <f>SUMIF(月間集計シート!$M$113:$M$132,$G128,月間集計シート!S$113:S$132)*AQ$2</f>
        <v>0</v>
      </c>
      <c r="AR128" s="88">
        <f>SUMIF(月間集計シート!$M$113:$M$132,$G128,月間集計シート!T$113:T$132)*AR$2</f>
        <v>0</v>
      </c>
      <c r="AS128" s="88">
        <f>SUMIF(月間集計シート!$M$134:$M$153,$G128,月間集計シート!N$134:N$153)*AS$2</f>
        <v>0</v>
      </c>
      <c r="AT128" s="88">
        <f>SUMIF(月間集計シート!$M$134:$M$153,$G128,月間集計シート!O$134:O$153)*AT$2</f>
        <v>0</v>
      </c>
      <c r="AU128" s="88">
        <f>SUMIF(月間集計シート!$M$134:$M$153,$G128,月間集計シート!P$134:P$153)*AU$2</f>
        <v>0</v>
      </c>
      <c r="AV128" s="88">
        <f>SUMIF(月間集計シート!$M$134:$M$153,$G128,月間集計シート!Q$134:Q$153)*AV$2</f>
        <v>0</v>
      </c>
      <c r="AW128" s="88">
        <f>SUMIF(月間集計シート!$M$134:$M$153,$G128,月間集計シート!R$134:R$153)*AW$2</f>
        <v>0</v>
      </c>
      <c r="AX128" s="88">
        <f>SUMIF(月間集計シート!$M$134:$M$153,$G128,月間集計シート!S$134:S$153)*AX$2</f>
        <v>0</v>
      </c>
      <c r="AY128" s="88">
        <f>SUMIF(月間集計シート!$M$134:$M$153,$G128,月間集計シート!T$134:T$153)*AY$2</f>
        <v>0</v>
      </c>
    </row>
    <row r="129" spans="1:51" ht="14.25" thickBot="1">
      <c r="A129">
        <v>2</v>
      </c>
      <c r="B129" s="120">
        <f t="shared" si="62"/>
        <v>393021</v>
      </c>
      <c r="C129" s="120" t="e">
        <f t="shared" si="63"/>
        <v>#N/A</v>
      </c>
      <c r="D129" s="137"/>
      <c r="E129" s="150" t="str">
        <f>工種!A36</f>
        <v>40189</v>
      </c>
      <c r="F129" s="119" t="str">
        <f>工種!B36</f>
        <v>テスト：内部不具合分析</v>
      </c>
      <c r="G129" s="116" t="str">
        <f t="shared" si="64"/>
        <v>39302140189</v>
      </c>
      <c r="H129" s="88">
        <f t="shared" si="18"/>
        <v>0</v>
      </c>
      <c r="I129" s="132"/>
      <c r="J129" s="88">
        <f>SUMIF(月間集計シート!$M$29:$M$48,$G129,月間集計シート!N$29:N$48)*J$2</f>
        <v>0</v>
      </c>
      <c r="K129" s="88">
        <f>SUMIF(月間集計シート!$M$29:$M$48,$G129,月間集計シート!O$29:O$48)*K$2</f>
        <v>0</v>
      </c>
      <c r="L129" s="88">
        <f>SUMIF(月間集計シート!$M$29:$M$48,$G129,月間集計シート!P$29:P$48)*L$2</f>
        <v>0</v>
      </c>
      <c r="M129" s="88">
        <f>SUMIF(月間集計シート!$M$29:$M$48,$G129,月間集計シート!Q$29:Q$48)*M$2</f>
        <v>0</v>
      </c>
      <c r="N129" s="88">
        <f>SUMIF(月間集計シート!$M$29:$M$48,$G129,月間集計シート!R$29:R$48)*N$2</f>
        <v>0</v>
      </c>
      <c r="O129" s="88">
        <f>SUMIF(月間集計シート!$M$29:$M$48,$G129,月間集計シート!S$29:S$48)*O$2</f>
        <v>0</v>
      </c>
      <c r="P129" s="88">
        <f>SUMIF(月間集計シート!$M$29:$M$48,$G129,月間集計シート!T$29:T$48)*P$2</f>
        <v>0</v>
      </c>
      <c r="Q129" s="88">
        <f>SUMIF(月間集計シート!$M$50:$M$69,$G129,月間集計シート!N$50:N$69)*Q$2</f>
        <v>0</v>
      </c>
      <c r="R129" s="88">
        <f>SUMIF(月間集計シート!$M$50:$M$69,$G129,月間集計シート!O$50:O$69)*R$2</f>
        <v>0</v>
      </c>
      <c r="S129" s="88">
        <f>SUMIF(月間集計シート!$M$50:$M$69,$G129,月間集計シート!P$50:P$69)*S$2</f>
        <v>0</v>
      </c>
      <c r="T129" s="88">
        <f>SUMIF(月間集計シート!$M$50:$M$69,$G129,月間集計シート!Q$50:Q$69)*T$2</f>
        <v>0</v>
      </c>
      <c r="U129" s="88">
        <f>SUMIF(月間集計シート!$M$50:$M$69,$G129,月間集計シート!R$50:R$69)*U$2</f>
        <v>0</v>
      </c>
      <c r="V129" s="88">
        <f>SUMIF(月間集計シート!$M$50:$M$69,$G129,月間集計シート!S$50:S$69)*V$2</f>
        <v>0</v>
      </c>
      <c r="W129" s="88">
        <f>SUMIF(月間集計シート!$M$50:$M$69,$G129,月間集計シート!T$50:T$69)*W$2</f>
        <v>0</v>
      </c>
      <c r="X129" s="88">
        <f>SUMIF(月間集計シート!$M$71:$M$90,$G129,月間集計シート!N$71:N$90)*X$2</f>
        <v>0</v>
      </c>
      <c r="Y129" s="88">
        <f>SUMIF(月間集計シート!$M$71:$M$90,$G129,月間集計シート!O$71:O$90)*Y$2</f>
        <v>0</v>
      </c>
      <c r="Z129" s="88">
        <f>SUMIF(月間集計シート!$M$71:$M$90,$G129,月間集計シート!P$71:P$90)*Z$2</f>
        <v>0</v>
      </c>
      <c r="AA129" s="88">
        <f>SUMIF(月間集計シート!$M$71:$M$90,$G129,月間集計シート!Q$71:Q$90)*AA$2</f>
        <v>0</v>
      </c>
      <c r="AB129" s="88">
        <f>SUMIF(月間集計シート!$M$71:$M$90,$G129,月間集計シート!R$71:R$90)*AB$2</f>
        <v>0</v>
      </c>
      <c r="AC129" s="88">
        <f>SUMIF(月間集計シート!$M$71:$M$90,$G129,月間集計シート!S$71:S$90)*AC$2</f>
        <v>0</v>
      </c>
      <c r="AD129" s="88">
        <f>SUMIF(月間集計シート!$M$71:$M$90,$G129,月間集計シート!T$71:T$90)*AD$2</f>
        <v>0</v>
      </c>
      <c r="AE129" s="88">
        <f>SUMIF(月間集計シート!$M$92:$M$111,$G129,月間集計シート!N$92:N$111)*AE$2</f>
        <v>0</v>
      </c>
      <c r="AF129" s="88">
        <f>SUMIF(月間集計シート!$M$92:$M$111,$G129,月間集計シート!O$92:O$111)*AF$2</f>
        <v>0</v>
      </c>
      <c r="AG129" s="88">
        <f>SUMIF(月間集計シート!$M$92:$M$111,$G129,月間集計シート!P$92:P$111)*AG$2</f>
        <v>0</v>
      </c>
      <c r="AH129" s="88">
        <f>SUMIF(月間集計シート!$M$92:$M$111,$G129,月間集計シート!Q$92:Q$111)*AH$2</f>
        <v>0</v>
      </c>
      <c r="AI129" s="88">
        <f>SUMIF(月間集計シート!$M$92:$M$111,$G129,月間集計シート!R$92:R$111)*AI$2</f>
        <v>0</v>
      </c>
      <c r="AJ129" s="88">
        <f>SUMIF(月間集計シート!$M$92:$M$111,$G129,月間集計シート!S$92:S$111)*AJ$2</f>
        <v>0</v>
      </c>
      <c r="AK129" s="88">
        <f>SUMIF(月間集計シート!$M$92:$M$111,$G129,月間集計シート!T$92:T$111)*AK$2</f>
        <v>0</v>
      </c>
      <c r="AL129" s="88">
        <f>SUMIF(月間集計シート!$M$113:$M$132,$G129,月間集計シート!N$113:N$132)*AL$2</f>
        <v>0</v>
      </c>
      <c r="AM129" s="88">
        <f>SUMIF(月間集計シート!$M$113:$M$132,$G129,月間集計シート!O$113:O$132)*AM$2</f>
        <v>0</v>
      </c>
      <c r="AN129" s="88">
        <f>SUMIF(月間集計シート!$M$113:$M$132,$G129,月間集計シート!P$113:P$132)*AN$2</f>
        <v>0</v>
      </c>
      <c r="AO129" s="88">
        <f>SUMIF(月間集計シート!$M$113:$M$132,$G129,月間集計シート!Q$113:Q$132)*AO$2</f>
        <v>0</v>
      </c>
      <c r="AP129" s="88">
        <f>SUMIF(月間集計シート!$M$113:$M$132,$G129,月間集計シート!R$113:R$132)*AP$2</f>
        <v>0</v>
      </c>
      <c r="AQ129" s="88">
        <f>SUMIF(月間集計シート!$M$113:$M$132,$G129,月間集計シート!S$113:S$132)*AQ$2</f>
        <v>0</v>
      </c>
      <c r="AR129" s="88">
        <f>SUMIF(月間集計シート!$M$113:$M$132,$G129,月間集計シート!T$113:T$132)*AR$2</f>
        <v>0</v>
      </c>
      <c r="AS129" s="88">
        <f>SUMIF(月間集計シート!$M$134:$M$153,$G129,月間集計シート!N$134:N$153)*AS$2</f>
        <v>0</v>
      </c>
      <c r="AT129" s="88">
        <f>SUMIF(月間集計シート!$M$134:$M$153,$G129,月間集計シート!O$134:O$153)*AT$2</f>
        <v>0</v>
      </c>
      <c r="AU129" s="88">
        <f>SUMIF(月間集計シート!$M$134:$M$153,$G129,月間集計シート!P$134:P$153)*AU$2</f>
        <v>0</v>
      </c>
      <c r="AV129" s="88">
        <f>SUMIF(月間集計シート!$M$134:$M$153,$G129,月間集計シート!Q$134:Q$153)*AV$2</f>
        <v>0</v>
      </c>
      <c r="AW129" s="88">
        <f>SUMIF(月間集計シート!$M$134:$M$153,$G129,月間集計シート!R$134:R$153)*AW$2</f>
        <v>0</v>
      </c>
      <c r="AX129" s="88">
        <f>SUMIF(月間集計シート!$M$134:$M$153,$G129,月間集計シート!S$134:S$153)*AX$2</f>
        <v>0</v>
      </c>
      <c r="AY129" s="88">
        <f>SUMIF(月間集計シート!$M$134:$M$153,$G129,月間集計シート!T$134:T$153)*AY$2</f>
        <v>0</v>
      </c>
    </row>
    <row r="130" spans="1:51" ht="14.25" thickBot="1">
      <c r="A130">
        <v>2</v>
      </c>
      <c r="B130" s="120">
        <f t="shared" si="62"/>
        <v>393021</v>
      </c>
      <c r="C130" s="120" t="e">
        <f t="shared" si="63"/>
        <v>#N/A</v>
      </c>
      <c r="D130" s="137"/>
      <c r="E130" s="150" t="str">
        <f>工種!A37</f>
        <v>40199</v>
      </c>
      <c r="F130" s="119" t="str">
        <f>工種!B37</f>
        <v>テスト：その他</v>
      </c>
      <c r="G130" s="116" t="str">
        <f t="shared" si="64"/>
        <v>39302140199</v>
      </c>
      <c r="H130" s="88">
        <f t="shared" si="18"/>
        <v>0</v>
      </c>
      <c r="I130" s="132"/>
      <c r="J130" s="88">
        <f>SUMIF(月間集計シート!$M$29:$M$48,$G130,月間集計シート!N$29:N$48)*J$2</f>
        <v>0</v>
      </c>
      <c r="K130" s="88">
        <f>SUMIF(月間集計シート!$M$29:$M$48,$G130,月間集計シート!O$29:O$48)*K$2</f>
        <v>0</v>
      </c>
      <c r="L130" s="88">
        <f>SUMIF(月間集計シート!$M$29:$M$48,$G130,月間集計シート!P$29:P$48)*L$2</f>
        <v>0</v>
      </c>
      <c r="M130" s="88">
        <f>SUMIF(月間集計シート!$M$29:$M$48,$G130,月間集計シート!Q$29:Q$48)*M$2</f>
        <v>0</v>
      </c>
      <c r="N130" s="88">
        <f>SUMIF(月間集計シート!$M$29:$M$48,$G130,月間集計シート!R$29:R$48)*N$2</f>
        <v>0</v>
      </c>
      <c r="O130" s="88">
        <f>SUMIF(月間集計シート!$M$29:$M$48,$G130,月間集計シート!S$29:S$48)*O$2</f>
        <v>0</v>
      </c>
      <c r="P130" s="88">
        <f>SUMIF(月間集計シート!$M$29:$M$48,$G130,月間集計シート!T$29:T$48)*P$2</f>
        <v>0</v>
      </c>
      <c r="Q130" s="88">
        <f>SUMIF(月間集計シート!$M$50:$M$69,$G130,月間集計シート!N$50:N$69)*Q$2</f>
        <v>0</v>
      </c>
      <c r="R130" s="88">
        <f>SUMIF(月間集計シート!$M$50:$M$69,$G130,月間集計シート!O$50:O$69)*R$2</f>
        <v>0</v>
      </c>
      <c r="S130" s="88">
        <f>SUMIF(月間集計シート!$M$50:$M$69,$G130,月間集計シート!P$50:P$69)*S$2</f>
        <v>0</v>
      </c>
      <c r="T130" s="88">
        <f>SUMIF(月間集計シート!$M$50:$M$69,$G130,月間集計シート!Q$50:Q$69)*T$2</f>
        <v>0</v>
      </c>
      <c r="U130" s="88">
        <f>SUMIF(月間集計シート!$M$50:$M$69,$G130,月間集計シート!R$50:R$69)*U$2</f>
        <v>0</v>
      </c>
      <c r="V130" s="88">
        <f>SUMIF(月間集計シート!$M$50:$M$69,$G130,月間集計シート!S$50:S$69)*V$2</f>
        <v>0</v>
      </c>
      <c r="W130" s="88">
        <f>SUMIF(月間集計シート!$M$50:$M$69,$G130,月間集計シート!T$50:T$69)*W$2</f>
        <v>0</v>
      </c>
      <c r="X130" s="88">
        <f>SUMIF(月間集計シート!$M$71:$M$90,$G130,月間集計シート!N$71:N$90)*X$2</f>
        <v>0</v>
      </c>
      <c r="Y130" s="88">
        <f>SUMIF(月間集計シート!$M$71:$M$90,$G130,月間集計シート!O$71:O$90)*Y$2</f>
        <v>0</v>
      </c>
      <c r="Z130" s="88">
        <f>SUMIF(月間集計シート!$M$71:$M$90,$G130,月間集計シート!P$71:P$90)*Z$2</f>
        <v>0</v>
      </c>
      <c r="AA130" s="88">
        <f>SUMIF(月間集計シート!$M$71:$M$90,$G130,月間集計シート!Q$71:Q$90)*AA$2</f>
        <v>0</v>
      </c>
      <c r="AB130" s="88">
        <f>SUMIF(月間集計シート!$M$71:$M$90,$G130,月間集計シート!R$71:R$90)*AB$2</f>
        <v>0</v>
      </c>
      <c r="AC130" s="88">
        <f>SUMIF(月間集計シート!$M$71:$M$90,$G130,月間集計シート!S$71:S$90)*AC$2</f>
        <v>0</v>
      </c>
      <c r="AD130" s="88">
        <f>SUMIF(月間集計シート!$M$71:$M$90,$G130,月間集計シート!T$71:T$90)*AD$2</f>
        <v>0</v>
      </c>
      <c r="AE130" s="88">
        <f>SUMIF(月間集計シート!$M$92:$M$111,$G130,月間集計シート!N$92:N$111)*AE$2</f>
        <v>0</v>
      </c>
      <c r="AF130" s="88">
        <f>SUMIF(月間集計シート!$M$92:$M$111,$G130,月間集計シート!O$92:O$111)*AF$2</f>
        <v>0</v>
      </c>
      <c r="AG130" s="88">
        <f>SUMIF(月間集計シート!$M$92:$M$111,$G130,月間集計シート!P$92:P$111)*AG$2</f>
        <v>0</v>
      </c>
      <c r="AH130" s="88">
        <f>SUMIF(月間集計シート!$M$92:$M$111,$G130,月間集計シート!Q$92:Q$111)*AH$2</f>
        <v>0</v>
      </c>
      <c r="AI130" s="88">
        <f>SUMIF(月間集計シート!$M$92:$M$111,$G130,月間集計シート!R$92:R$111)*AI$2</f>
        <v>0</v>
      </c>
      <c r="AJ130" s="88">
        <f>SUMIF(月間集計シート!$M$92:$M$111,$G130,月間集計シート!S$92:S$111)*AJ$2</f>
        <v>0</v>
      </c>
      <c r="AK130" s="88">
        <f>SUMIF(月間集計シート!$M$92:$M$111,$G130,月間集計シート!T$92:T$111)*AK$2</f>
        <v>0</v>
      </c>
      <c r="AL130" s="88">
        <f>SUMIF(月間集計シート!$M$113:$M$132,$G130,月間集計シート!N$113:N$132)*AL$2</f>
        <v>0</v>
      </c>
      <c r="AM130" s="88">
        <f>SUMIF(月間集計シート!$M$113:$M$132,$G130,月間集計シート!O$113:O$132)*AM$2</f>
        <v>0</v>
      </c>
      <c r="AN130" s="88">
        <f>SUMIF(月間集計シート!$M$113:$M$132,$G130,月間集計シート!P$113:P$132)*AN$2</f>
        <v>0</v>
      </c>
      <c r="AO130" s="88">
        <f>SUMIF(月間集計シート!$M$113:$M$132,$G130,月間集計シート!Q$113:Q$132)*AO$2</f>
        <v>0</v>
      </c>
      <c r="AP130" s="88">
        <f>SUMIF(月間集計シート!$M$113:$M$132,$G130,月間集計シート!R$113:R$132)*AP$2</f>
        <v>0</v>
      </c>
      <c r="AQ130" s="88">
        <f>SUMIF(月間集計シート!$M$113:$M$132,$G130,月間集計シート!S$113:S$132)*AQ$2</f>
        <v>0</v>
      </c>
      <c r="AR130" s="88">
        <f>SUMIF(月間集計シート!$M$113:$M$132,$G130,月間集計シート!T$113:T$132)*AR$2</f>
        <v>0</v>
      </c>
      <c r="AS130" s="88">
        <f>SUMIF(月間集計シート!$M$134:$M$153,$G130,月間集計シート!N$134:N$153)*AS$2</f>
        <v>0</v>
      </c>
      <c r="AT130" s="88">
        <f>SUMIF(月間集計シート!$M$134:$M$153,$G130,月間集計シート!O$134:O$153)*AT$2</f>
        <v>0</v>
      </c>
      <c r="AU130" s="88">
        <f>SUMIF(月間集計シート!$M$134:$M$153,$G130,月間集計シート!P$134:P$153)*AU$2</f>
        <v>0</v>
      </c>
      <c r="AV130" s="88">
        <f>SUMIF(月間集計シート!$M$134:$M$153,$G130,月間集計シート!Q$134:Q$153)*AV$2</f>
        <v>0</v>
      </c>
      <c r="AW130" s="88">
        <f>SUMIF(月間集計シート!$M$134:$M$153,$G130,月間集計シート!R$134:R$153)*AW$2</f>
        <v>0</v>
      </c>
      <c r="AX130" s="88">
        <f>SUMIF(月間集計シート!$M$134:$M$153,$G130,月間集計シート!S$134:S$153)*AX$2</f>
        <v>0</v>
      </c>
      <c r="AY130" s="88">
        <f>SUMIF(月間集計シート!$M$134:$M$153,$G130,月間集計シート!T$134:T$153)*AY$2</f>
        <v>0</v>
      </c>
    </row>
    <row r="131" spans="1:51" ht="14.25" thickBot="1">
      <c r="A131">
        <v>2</v>
      </c>
      <c r="B131" s="120">
        <f t="shared" si="62"/>
        <v>393021</v>
      </c>
      <c r="C131" s="120" t="e">
        <f t="shared" si="63"/>
        <v>#N/A</v>
      </c>
      <c r="D131" s="137"/>
      <c r="E131" s="150" t="str">
        <f>工種!A38</f>
        <v>50101</v>
      </c>
      <c r="F131" s="119" t="str">
        <f>工種!B38</f>
        <v>ﾏﾆｭｱﾙ作成：原稿作成</v>
      </c>
      <c r="G131" s="116" t="str">
        <f t="shared" si="64"/>
        <v>39302150101</v>
      </c>
      <c r="H131" s="88">
        <f t="shared" si="18"/>
        <v>0</v>
      </c>
      <c r="I131" s="132"/>
      <c r="J131" s="88">
        <f>SUMIF(月間集計シート!$M$29:$M$48,$G131,月間集計シート!N$29:N$48)*J$2</f>
        <v>0</v>
      </c>
      <c r="K131" s="88">
        <f>SUMIF(月間集計シート!$M$29:$M$48,$G131,月間集計シート!O$29:O$48)*K$2</f>
        <v>0</v>
      </c>
      <c r="L131" s="88">
        <f>SUMIF(月間集計シート!$M$29:$M$48,$G131,月間集計シート!P$29:P$48)*L$2</f>
        <v>0</v>
      </c>
      <c r="M131" s="88">
        <f>SUMIF(月間集計シート!$M$29:$M$48,$G131,月間集計シート!Q$29:Q$48)*M$2</f>
        <v>0</v>
      </c>
      <c r="N131" s="88">
        <f>SUMIF(月間集計シート!$M$29:$M$48,$G131,月間集計シート!R$29:R$48)*N$2</f>
        <v>0</v>
      </c>
      <c r="O131" s="88">
        <f>SUMIF(月間集計シート!$M$29:$M$48,$G131,月間集計シート!S$29:S$48)*O$2</f>
        <v>0</v>
      </c>
      <c r="P131" s="88">
        <f>SUMIF(月間集計シート!$M$29:$M$48,$G131,月間集計シート!T$29:T$48)*P$2</f>
        <v>0</v>
      </c>
      <c r="Q131" s="88">
        <f>SUMIF(月間集計シート!$M$50:$M$69,$G131,月間集計シート!N$50:N$69)*Q$2</f>
        <v>0</v>
      </c>
      <c r="R131" s="88">
        <f>SUMIF(月間集計シート!$M$50:$M$69,$G131,月間集計シート!O$50:O$69)*R$2</f>
        <v>0</v>
      </c>
      <c r="S131" s="88">
        <f>SUMIF(月間集計シート!$M$50:$M$69,$G131,月間集計シート!P$50:P$69)*S$2</f>
        <v>0</v>
      </c>
      <c r="T131" s="88">
        <f>SUMIF(月間集計シート!$M$50:$M$69,$G131,月間集計シート!Q$50:Q$69)*T$2</f>
        <v>0</v>
      </c>
      <c r="U131" s="88">
        <f>SUMIF(月間集計シート!$M$50:$M$69,$G131,月間集計シート!R$50:R$69)*U$2</f>
        <v>0</v>
      </c>
      <c r="V131" s="88">
        <f>SUMIF(月間集計シート!$M$50:$M$69,$G131,月間集計シート!S$50:S$69)*V$2</f>
        <v>0</v>
      </c>
      <c r="W131" s="88">
        <f>SUMIF(月間集計シート!$M$50:$M$69,$G131,月間集計シート!T$50:T$69)*W$2</f>
        <v>0</v>
      </c>
      <c r="X131" s="88">
        <f>SUMIF(月間集計シート!$M$71:$M$90,$G131,月間集計シート!N$71:N$90)*X$2</f>
        <v>0</v>
      </c>
      <c r="Y131" s="88">
        <f>SUMIF(月間集計シート!$M$71:$M$90,$G131,月間集計シート!O$71:O$90)*Y$2</f>
        <v>0</v>
      </c>
      <c r="Z131" s="88">
        <f>SUMIF(月間集計シート!$M$71:$M$90,$G131,月間集計シート!P$71:P$90)*Z$2</f>
        <v>0</v>
      </c>
      <c r="AA131" s="88">
        <f>SUMIF(月間集計シート!$M$71:$M$90,$G131,月間集計シート!Q$71:Q$90)*AA$2</f>
        <v>0</v>
      </c>
      <c r="AB131" s="88">
        <f>SUMIF(月間集計シート!$M$71:$M$90,$G131,月間集計シート!R$71:R$90)*AB$2</f>
        <v>0</v>
      </c>
      <c r="AC131" s="88">
        <f>SUMIF(月間集計シート!$M$71:$M$90,$G131,月間集計シート!S$71:S$90)*AC$2</f>
        <v>0</v>
      </c>
      <c r="AD131" s="88">
        <f>SUMIF(月間集計シート!$M$71:$M$90,$G131,月間集計シート!T$71:T$90)*AD$2</f>
        <v>0</v>
      </c>
      <c r="AE131" s="88">
        <f>SUMIF(月間集計シート!$M$92:$M$111,$G131,月間集計シート!N$92:N$111)*AE$2</f>
        <v>0</v>
      </c>
      <c r="AF131" s="88">
        <f>SUMIF(月間集計シート!$M$92:$M$111,$G131,月間集計シート!O$92:O$111)*AF$2</f>
        <v>0</v>
      </c>
      <c r="AG131" s="88">
        <f>SUMIF(月間集計シート!$M$92:$M$111,$G131,月間集計シート!P$92:P$111)*AG$2</f>
        <v>0</v>
      </c>
      <c r="AH131" s="88">
        <f>SUMIF(月間集計シート!$M$92:$M$111,$G131,月間集計シート!Q$92:Q$111)*AH$2</f>
        <v>0</v>
      </c>
      <c r="AI131" s="88">
        <f>SUMIF(月間集計シート!$M$92:$M$111,$G131,月間集計シート!R$92:R$111)*AI$2</f>
        <v>0</v>
      </c>
      <c r="AJ131" s="88">
        <f>SUMIF(月間集計シート!$M$92:$M$111,$G131,月間集計シート!S$92:S$111)*AJ$2</f>
        <v>0</v>
      </c>
      <c r="AK131" s="88">
        <f>SUMIF(月間集計シート!$M$92:$M$111,$G131,月間集計シート!T$92:T$111)*AK$2</f>
        <v>0</v>
      </c>
      <c r="AL131" s="88">
        <f>SUMIF(月間集計シート!$M$113:$M$132,$G131,月間集計シート!N$113:N$132)*AL$2</f>
        <v>0</v>
      </c>
      <c r="AM131" s="88">
        <f>SUMIF(月間集計シート!$M$113:$M$132,$G131,月間集計シート!O$113:O$132)*AM$2</f>
        <v>0</v>
      </c>
      <c r="AN131" s="88">
        <f>SUMIF(月間集計シート!$M$113:$M$132,$G131,月間集計シート!P$113:P$132)*AN$2</f>
        <v>0</v>
      </c>
      <c r="AO131" s="88">
        <f>SUMIF(月間集計シート!$M$113:$M$132,$G131,月間集計シート!Q$113:Q$132)*AO$2</f>
        <v>0</v>
      </c>
      <c r="AP131" s="88">
        <f>SUMIF(月間集計シート!$M$113:$M$132,$G131,月間集計シート!R$113:R$132)*AP$2</f>
        <v>0</v>
      </c>
      <c r="AQ131" s="88">
        <f>SUMIF(月間集計シート!$M$113:$M$132,$G131,月間集計シート!S$113:S$132)*AQ$2</f>
        <v>0</v>
      </c>
      <c r="AR131" s="88">
        <f>SUMIF(月間集計シート!$M$113:$M$132,$G131,月間集計シート!T$113:T$132)*AR$2</f>
        <v>0</v>
      </c>
      <c r="AS131" s="88">
        <f>SUMIF(月間集計シート!$M$134:$M$153,$G131,月間集計シート!N$134:N$153)*AS$2</f>
        <v>0</v>
      </c>
      <c r="AT131" s="88">
        <f>SUMIF(月間集計シート!$M$134:$M$153,$G131,月間集計シート!O$134:O$153)*AT$2</f>
        <v>0</v>
      </c>
      <c r="AU131" s="88">
        <f>SUMIF(月間集計シート!$M$134:$M$153,$G131,月間集計シート!P$134:P$153)*AU$2</f>
        <v>0</v>
      </c>
      <c r="AV131" s="88">
        <f>SUMIF(月間集計シート!$M$134:$M$153,$G131,月間集計シート!Q$134:Q$153)*AV$2</f>
        <v>0</v>
      </c>
      <c r="AW131" s="88">
        <f>SUMIF(月間集計シート!$M$134:$M$153,$G131,月間集計シート!R$134:R$153)*AW$2</f>
        <v>0</v>
      </c>
      <c r="AX131" s="88">
        <f>SUMIF(月間集計シート!$M$134:$M$153,$G131,月間集計シート!S$134:S$153)*AX$2</f>
        <v>0</v>
      </c>
      <c r="AY131" s="88">
        <f>SUMIF(月間集計シート!$M$134:$M$153,$G131,月間集計シート!T$134:T$153)*AY$2</f>
        <v>0</v>
      </c>
    </row>
    <row r="132" spans="1:51" ht="14.25" thickBot="1">
      <c r="A132">
        <v>2</v>
      </c>
      <c r="B132" s="120">
        <f t="shared" si="62"/>
        <v>393021</v>
      </c>
      <c r="C132" s="120" t="e">
        <f t="shared" si="63"/>
        <v>#N/A</v>
      </c>
      <c r="D132" s="137"/>
      <c r="E132" s="150" t="str">
        <f>工種!A39</f>
        <v>50105</v>
      </c>
      <c r="F132" s="119" t="str">
        <f>工種!B39</f>
        <v>ﾏﾆｭｱﾙ作成：打合せ</v>
      </c>
      <c r="G132" s="116" t="str">
        <f t="shared" si="64"/>
        <v>39302150105</v>
      </c>
      <c r="H132" s="88">
        <f t="shared" si="18"/>
        <v>0</v>
      </c>
      <c r="I132" s="132"/>
      <c r="J132" s="88">
        <f>SUMIF(月間集計シート!$M$29:$M$48,$G132,月間集計シート!N$29:N$48)*J$2</f>
        <v>0</v>
      </c>
      <c r="K132" s="88">
        <f>SUMIF(月間集計シート!$M$29:$M$48,$G132,月間集計シート!O$29:O$48)*K$2</f>
        <v>0</v>
      </c>
      <c r="L132" s="88">
        <f>SUMIF(月間集計シート!$M$29:$M$48,$G132,月間集計シート!P$29:P$48)*L$2</f>
        <v>0</v>
      </c>
      <c r="M132" s="88">
        <f>SUMIF(月間集計シート!$M$29:$M$48,$G132,月間集計シート!Q$29:Q$48)*M$2</f>
        <v>0</v>
      </c>
      <c r="N132" s="88">
        <f>SUMIF(月間集計シート!$M$29:$M$48,$G132,月間集計シート!R$29:R$48)*N$2</f>
        <v>0</v>
      </c>
      <c r="O132" s="88">
        <f>SUMIF(月間集計シート!$M$29:$M$48,$G132,月間集計シート!S$29:S$48)*O$2</f>
        <v>0</v>
      </c>
      <c r="P132" s="88">
        <f>SUMIF(月間集計シート!$M$29:$M$48,$G132,月間集計シート!T$29:T$48)*P$2</f>
        <v>0</v>
      </c>
      <c r="Q132" s="88">
        <f>SUMIF(月間集計シート!$M$50:$M$69,$G132,月間集計シート!N$50:N$69)*Q$2</f>
        <v>0</v>
      </c>
      <c r="R132" s="88">
        <f>SUMIF(月間集計シート!$M$50:$M$69,$G132,月間集計シート!O$50:O$69)*R$2</f>
        <v>0</v>
      </c>
      <c r="S132" s="88">
        <f>SUMIF(月間集計シート!$M$50:$M$69,$G132,月間集計シート!P$50:P$69)*S$2</f>
        <v>0</v>
      </c>
      <c r="T132" s="88">
        <f>SUMIF(月間集計シート!$M$50:$M$69,$G132,月間集計シート!Q$50:Q$69)*T$2</f>
        <v>0</v>
      </c>
      <c r="U132" s="88">
        <f>SUMIF(月間集計シート!$M$50:$M$69,$G132,月間集計シート!R$50:R$69)*U$2</f>
        <v>0</v>
      </c>
      <c r="V132" s="88">
        <f>SUMIF(月間集計シート!$M$50:$M$69,$G132,月間集計シート!S$50:S$69)*V$2</f>
        <v>0</v>
      </c>
      <c r="W132" s="88">
        <f>SUMIF(月間集計シート!$M$50:$M$69,$G132,月間集計シート!T$50:T$69)*W$2</f>
        <v>0</v>
      </c>
      <c r="X132" s="88">
        <f>SUMIF(月間集計シート!$M$71:$M$90,$G132,月間集計シート!N$71:N$90)*X$2</f>
        <v>0</v>
      </c>
      <c r="Y132" s="88">
        <f>SUMIF(月間集計シート!$M$71:$M$90,$G132,月間集計シート!O$71:O$90)*Y$2</f>
        <v>0</v>
      </c>
      <c r="Z132" s="88">
        <f>SUMIF(月間集計シート!$M$71:$M$90,$G132,月間集計シート!P$71:P$90)*Z$2</f>
        <v>0</v>
      </c>
      <c r="AA132" s="88">
        <f>SUMIF(月間集計シート!$M$71:$M$90,$G132,月間集計シート!Q$71:Q$90)*AA$2</f>
        <v>0</v>
      </c>
      <c r="AB132" s="88">
        <f>SUMIF(月間集計シート!$M$71:$M$90,$G132,月間集計シート!R$71:R$90)*AB$2</f>
        <v>0</v>
      </c>
      <c r="AC132" s="88">
        <f>SUMIF(月間集計シート!$M$71:$M$90,$G132,月間集計シート!S$71:S$90)*AC$2</f>
        <v>0</v>
      </c>
      <c r="AD132" s="88">
        <f>SUMIF(月間集計シート!$M$71:$M$90,$G132,月間集計シート!T$71:T$90)*AD$2</f>
        <v>0</v>
      </c>
      <c r="AE132" s="88">
        <f>SUMIF(月間集計シート!$M$92:$M$111,$G132,月間集計シート!N$92:N$111)*AE$2</f>
        <v>0</v>
      </c>
      <c r="AF132" s="88">
        <f>SUMIF(月間集計シート!$M$92:$M$111,$G132,月間集計シート!O$92:O$111)*AF$2</f>
        <v>0</v>
      </c>
      <c r="AG132" s="88">
        <f>SUMIF(月間集計シート!$M$92:$M$111,$G132,月間集計シート!P$92:P$111)*AG$2</f>
        <v>0</v>
      </c>
      <c r="AH132" s="88">
        <f>SUMIF(月間集計シート!$M$92:$M$111,$G132,月間集計シート!Q$92:Q$111)*AH$2</f>
        <v>0</v>
      </c>
      <c r="AI132" s="88">
        <f>SUMIF(月間集計シート!$M$92:$M$111,$G132,月間集計シート!R$92:R$111)*AI$2</f>
        <v>0</v>
      </c>
      <c r="AJ132" s="88">
        <f>SUMIF(月間集計シート!$M$92:$M$111,$G132,月間集計シート!S$92:S$111)*AJ$2</f>
        <v>0</v>
      </c>
      <c r="AK132" s="88">
        <f>SUMIF(月間集計シート!$M$92:$M$111,$G132,月間集計シート!T$92:T$111)*AK$2</f>
        <v>0</v>
      </c>
      <c r="AL132" s="88">
        <f>SUMIF(月間集計シート!$M$113:$M$132,$G132,月間集計シート!N$113:N$132)*AL$2</f>
        <v>0</v>
      </c>
      <c r="AM132" s="88">
        <f>SUMIF(月間集計シート!$M$113:$M$132,$G132,月間集計シート!O$113:O$132)*AM$2</f>
        <v>0</v>
      </c>
      <c r="AN132" s="88">
        <f>SUMIF(月間集計シート!$M$113:$M$132,$G132,月間集計シート!P$113:P$132)*AN$2</f>
        <v>0</v>
      </c>
      <c r="AO132" s="88">
        <f>SUMIF(月間集計シート!$M$113:$M$132,$G132,月間集計シート!Q$113:Q$132)*AO$2</f>
        <v>0</v>
      </c>
      <c r="AP132" s="88">
        <f>SUMIF(月間集計シート!$M$113:$M$132,$G132,月間集計シート!R$113:R$132)*AP$2</f>
        <v>0</v>
      </c>
      <c r="AQ132" s="88">
        <f>SUMIF(月間集計シート!$M$113:$M$132,$G132,月間集計シート!S$113:S$132)*AQ$2</f>
        <v>0</v>
      </c>
      <c r="AR132" s="88">
        <f>SUMIF(月間集計シート!$M$113:$M$132,$G132,月間集計シート!T$113:T$132)*AR$2</f>
        <v>0</v>
      </c>
      <c r="AS132" s="88">
        <f>SUMIF(月間集計シート!$M$134:$M$153,$G132,月間集計シート!N$134:N$153)*AS$2</f>
        <v>0</v>
      </c>
      <c r="AT132" s="88">
        <f>SUMIF(月間集計シート!$M$134:$M$153,$G132,月間集計シート!O$134:O$153)*AT$2</f>
        <v>0</v>
      </c>
      <c r="AU132" s="88">
        <f>SUMIF(月間集計シート!$M$134:$M$153,$G132,月間集計シート!P$134:P$153)*AU$2</f>
        <v>0</v>
      </c>
      <c r="AV132" s="88">
        <f>SUMIF(月間集計シート!$M$134:$M$153,$G132,月間集計シート!Q$134:Q$153)*AV$2</f>
        <v>0</v>
      </c>
      <c r="AW132" s="88">
        <f>SUMIF(月間集計シート!$M$134:$M$153,$G132,月間集計シート!R$134:R$153)*AW$2</f>
        <v>0</v>
      </c>
      <c r="AX132" s="88">
        <f>SUMIF(月間集計シート!$M$134:$M$153,$G132,月間集計シート!S$134:S$153)*AX$2</f>
        <v>0</v>
      </c>
      <c r="AY132" s="88">
        <f>SUMIF(月間集計シート!$M$134:$M$153,$G132,月間集計シート!T$134:T$153)*AY$2</f>
        <v>0</v>
      </c>
    </row>
    <row r="133" spans="1:51" ht="14.25" thickBot="1">
      <c r="A133">
        <v>2</v>
      </c>
      <c r="B133" s="120">
        <f t="shared" si="62"/>
        <v>393021</v>
      </c>
      <c r="C133" s="120" t="e">
        <f t="shared" si="63"/>
        <v>#N/A</v>
      </c>
      <c r="D133" s="137"/>
      <c r="E133" s="150" t="str">
        <f>工種!A40</f>
        <v>50106</v>
      </c>
      <c r="F133" s="119" t="str">
        <f>工種!B40</f>
        <v>ﾏﾆｭｱﾙ作成：ﾚﾋﾞｭｰ</v>
      </c>
      <c r="G133" s="116" t="str">
        <f t="shared" si="64"/>
        <v>39302150106</v>
      </c>
      <c r="H133" s="88">
        <f t="shared" si="18"/>
        <v>0</v>
      </c>
      <c r="I133" s="132"/>
      <c r="J133" s="88">
        <f>SUMIF(月間集計シート!$M$29:$M$48,$G133,月間集計シート!N$29:N$48)*J$2</f>
        <v>0</v>
      </c>
      <c r="K133" s="88">
        <f>SUMIF(月間集計シート!$M$29:$M$48,$G133,月間集計シート!O$29:O$48)*K$2</f>
        <v>0</v>
      </c>
      <c r="L133" s="88">
        <f>SUMIF(月間集計シート!$M$29:$M$48,$G133,月間集計シート!P$29:P$48)*L$2</f>
        <v>0</v>
      </c>
      <c r="M133" s="88">
        <f>SUMIF(月間集計シート!$M$29:$M$48,$G133,月間集計シート!Q$29:Q$48)*M$2</f>
        <v>0</v>
      </c>
      <c r="N133" s="88">
        <f>SUMIF(月間集計シート!$M$29:$M$48,$G133,月間集計シート!R$29:R$48)*N$2</f>
        <v>0</v>
      </c>
      <c r="O133" s="88">
        <f>SUMIF(月間集計シート!$M$29:$M$48,$G133,月間集計シート!S$29:S$48)*O$2</f>
        <v>0</v>
      </c>
      <c r="P133" s="88">
        <f>SUMIF(月間集計シート!$M$29:$M$48,$G133,月間集計シート!T$29:T$48)*P$2</f>
        <v>0</v>
      </c>
      <c r="Q133" s="88">
        <f>SUMIF(月間集計シート!$M$50:$M$69,$G133,月間集計シート!N$50:N$69)*Q$2</f>
        <v>0</v>
      </c>
      <c r="R133" s="88">
        <f>SUMIF(月間集計シート!$M$50:$M$69,$G133,月間集計シート!O$50:O$69)*R$2</f>
        <v>0</v>
      </c>
      <c r="S133" s="88">
        <f>SUMIF(月間集計シート!$M$50:$M$69,$G133,月間集計シート!P$50:P$69)*S$2</f>
        <v>0</v>
      </c>
      <c r="T133" s="88">
        <f>SUMIF(月間集計シート!$M$50:$M$69,$G133,月間集計シート!Q$50:Q$69)*T$2</f>
        <v>0</v>
      </c>
      <c r="U133" s="88">
        <f>SUMIF(月間集計シート!$M$50:$M$69,$G133,月間集計シート!R$50:R$69)*U$2</f>
        <v>0</v>
      </c>
      <c r="V133" s="88">
        <f>SUMIF(月間集計シート!$M$50:$M$69,$G133,月間集計シート!S$50:S$69)*V$2</f>
        <v>0</v>
      </c>
      <c r="W133" s="88">
        <f>SUMIF(月間集計シート!$M$50:$M$69,$G133,月間集計シート!T$50:T$69)*W$2</f>
        <v>0</v>
      </c>
      <c r="X133" s="88">
        <f>SUMIF(月間集計シート!$M$71:$M$90,$G133,月間集計シート!N$71:N$90)*X$2</f>
        <v>0</v>
      </c>
      <c r="Y133" s="88">
        <f>SUMIF(月間集計シート!$M$71:$M$90,$G133,月間集計シート!O$71:O$90)*Y$2</f>
        <v>0</v>
      </c>
      <c r="Z133" s="88">
        <f>SUMIF(月間集計シート!$M$71:$M$90,$G133,月間集計シート!P$71:P$90)*Z$2</f>
        <v>0</v>
      </c>
      <c r="AA133" s="88">
        <f>SUMIF(月間集計シート!$M$71:$M$90,$G133,月間集計シート!Q$71:Q$90)*AA$2</f>
        <v>0</v>
      </c>
      <c r="AB133" s="88">
        <f>SUMIF(月間集計シート!$M$71:$M$90,$G133,月間集計シート!R$71:R$90)*AB$2</f>
        <v>0</v>
      </c>
      <c r="AC133" s="88">
        <f>SUMIF(月間集計シート!$M$71:$M$90,$G133,月間集計シート!S$71:S$90)*AC$2</f>
        <v>0</v>
      </c>
      <c r="AD133" s="88">
        <f>SUMIF(月間集計シート!$M$71:$M$90,$G133,月間集計シート!T$71:T$90)*AD$2</f>
        <v>0</v>
      </c>
      <c r="AE133" s="88">
        <f>SUMIF(月間集計シート!$M$92:$M$111,$G133,月間集計シート!N$92:N$111)*AE$2</f>
        <v>0</v>
      </c>
      <c r="AF133" s="88">
        <f>SUMIF(月間集計シート!$M$92:$M$111,$G133,月間集計シート!O$92:O$111)*AF$2</f>
        <v>0</v>
      </c>
      <c r="AG133" s="88">
        <f>SUMIF(月間集計シート!$M$92:$M$111,$G133,月間集計シート!P$92:P$111)*AG$2</f>
        <v>0</v>
      </c>
      <c r="AH133" s="88">
        <f>SUMIF(月間集計シート!$M$92:$M$111,$G133,月間集計シート!Q$92:Q$111)*AH$2</f>
        <v>0</v>
      </c>
      <c r="AI133" s="88">
        <f>SUMIF(月間集計シート!$M$92:$M$111,$G133,月間集計シート!R$92:R$111)*AI$2</f>
        <v>0</v>
      </c>
      <c r="AJ133" s="88">
        <f>SUMIF(月間集計シート!$M$92:$M$111,$G133,月間集計シート!S$92:S$111)*AJ$2</f>
        <v>0</v>
      </c>
      <c r="AK133" s="88">
        <f>SUMIF(月間集計シート!$M$92:$M$111,$G133,月間集計シート!T$92:T$111)*AK$2</f>
        <v>0</v>
      </c>
      <c r="AL133" s="88">
        <f>SUMIF(月間集計シート!$M$113:$M$132,$G133,月間集計シート!N$113:N$132)*AL$2</f>
        <v>0</v>
      </c>
      <c r="AM133" s="88">
        <f>SUMIF(月間集計シート!$M$113:$M$132,$G133,月間集計シート!O$113:O$132)*AM$2</f>
        <v>0</v>
      </c>
      <c r="AN133" s="88">
        <f>SUMIF(月間集計シート!$M$113:$M$132,$G133,月間集計シート!P$113:P$132)*AN$2</f>
        <v>0</v>
      </c>
      <c r="AO133" s="88">
        <f>SUMIF(月間集計シート!$M$113:$M$132,$G133,月間集計シート!Q$113:Q$132)*AO$2</f>
        <v>0</v>
      </c>
      <c r="AP133" s="88">
        <f>SUMIF(月間集計シート!$M$113:$M$132,$G133,月間集計シート!R$113:R$132)*AP$2</f>
        <v>0</v>
      </c>
      <c r="AQ133" s="88">
        <f>SUMIF(月間集計シート!$M$113:$M$132,$G133,月間集計シート!S$113:S$132)*AQ$2</f>
        <v>0</v>
      </c>
      <c r="AR133" s="88">
        <f>SUMIF(月間集計シート!$M$113:$M$132,$G133,月間集計シート!T$113:T$132)*AR$2</f>
        <v>0</v>
      </c>
      <c r="AS133" s="88">
        <f>SUMIF(月間集計シート!$M$134:$M$153,$G133,月間集計シート!N$134:N$153)*AS$2</f>
        <v>0</v>
      </c>
      <c r="AT133" s="88">
        <f>SUMIF(月間集計シート!$M$134:$M$153,$G133,月間集計シート!O$134:O$153)*AT$2</f>
        <v>0</v>
      </c>
      <c r="AU133" s="88">
        <f>SUMIF(月間集計シート!$M$134:$M$153,$G133,月間集計シート!P$134:P$153)*AU$2</f>
        <v>0</v>
      </c>
      <c r="AV133" s="88">
        <f>SUMIF(月間集計シート!$M$134:$M$153,$G133,月間集計シート!Q$134:Q$153)*AV$2</f>
        <v>0</v>
      </c>
      <c r="AW133" s="88">
        <f>SUMIF(月間集計シート!$M$134:$M$153,$G133,月間集計シート!R$134:R$153)*AW$2</f>
        <v>0</v>
      </c>
      <c r="AX133" s="88">
        <f>SUMIF(月間集計シート!$M$134:$M$153,$G133,月間集計シート!S$134:S$153)*AX$2</f>
        <v>0</v>
      </c>
      <c r="AY133" s="88">
        <f>SUMIF(月間集計シート!$M$134:$M$153,$G133,月間集計シート!T$134:T$153)*AY$2</f>
        <v>0</v>
      </c>
    </row>
    <row r="134" spans="1:51" ht="14.25" thickBot="1">
      <c r="A134">
        <v>2</v>
      </c>
      <c r="B134" s="120">
        <f t="shared" si="62"/>
        <v>393021</v>
      </c>
      <c r="C134" s="120" t="e">
        <f t="shared" si="63"/>
        <v>#N/A</v>
      </c>
      <c r="D134" s="137"/>
      <c r="E134" s="150" t="str">
        <f>工種!A41</f>
        <v>50199</v>
      </c>
      <c r="F134" s="119" t="str">
        <f>工種!B41</f>
        <v>ﾏﾆｭｱﾙ作成：その他</v>
      </c>
      <c r="G134" s="116" t="str">
        <f t="shared" si="64"/>
        <v>39302150199</v>
      </c>
      <c r="H134" s="88">
        <f t="shared" si="18"/>
        <v>0</v>
      </c>
      <c r="I134" s="132"/>
      <c r="J134" s="88">
        <f>SUMIF(月間集計シート!$M$29:$M$48,$G134,月間集計シート!N$29:N$48)*J$2</f>
        <v>0</v>
      </c>
      <c r="K134" s="88">
        <f>SUMIF(月間集計シート!$M$29:$M$48,$G134,月間集計シート!O$29:O$48)*K$2</f>
        <v>0</v>
      </c>
      <c r="L134" s="88">
        <f>SUMIF(月間集計シート!$M$29:$M$48,$G134,月間集計シート!P$29:P$48)*L$2</f>
        <v>0</v>
      </c>
      <c r="M134" s="88">
        <f>SUMIF(月間集計シート!$M$29:$M$48,$G134,月間集計シート!Q$29:Q$48)*M$2</f>
        <v>0</v>
      </c>
      <c r="N134" s="88">
        <f>SUMIF(月間集計シート!$M$29:$M$48,$G134,月間集計シート!R$29:R$48)*N$2</f>
        <v>0</v>
      </c>
      <c r="O134" s="88">
        <f>SUMIF(月間集計シート!$M$29:$M$48,$G134,月間集計シート!S$29:S$48)*O$2</f>
        <v>0</v>
      </c>
      <c r="P134" s="88">
        <f>SUMIF(月間集計シート!$M$29:$M$48,$G134,月間集計シート!T$29:T$48)*P$2</f>
        <v>0</v>
      </c>
      <c r="Q134" s="88">
        <f>SUMIF(月間集計シート!$M$50:$M$69,$G134,月間集計シート!N$50:N$69)*Q$2</f>
        <v>0</v>
      </c>
      <c r="R134" s="88">
        <f>SUMIF(月間集計シート!$M$50:$M$69,$G134,月間集計シート!O$50:O$69)*R$2</f>
        <v>0</v>
      </c>
      <c r="S134" s="88">
        <f>SUMIF(月間集計シート!$M$50:$M$69,$G134,月間集計シート!P$50:P$69)*S$2</f>
        <v>0</v>
      </c>
      <c r="T134" s="88">
        <f>SUMIF(月間集計シート!$M$50:$M$69,$G134,月間集計シート!Q$50:Q$69)*T$2</f>
        <v>0</v>
      </c>
      <c r="U134" s="88">
        <f>SUMIF(月間集計シート!$M$50:$M$69,$G134,月間集計シート!R$50:R$69)*U$2</f>
        <v>0</v>
      </c>
      <c r="V134" s="88">
        <f>SUMIF(月間集計シート!$M$50:$M$69,$G134,月間集計シート!S$50:S$69)*V$2</f>
        <v>0</v>
      </c>
      <c r="W134" s="88">
        <f>SUMIF(月間集計シート!$M$50:$M$69,$G134,月間集計シート!T$50:T$69)*W$2</f>
        <v>0</v>
      </c>
      <c r="X134" s="88">
        <f>SUMIF(月間集計シート!$M$71:$M$90,$G134,月間集計シート!N$71:N$90)*X$2</f>
        <v>0</v>
      </c>
      <c r="Y134" s="88">
        <f>SUMIF(月間集計シート!$M$71:$M$90,$G134,月間集計シート!O$71:O$90)*Y$2</f>
        <v>0</v>
      </c>
      <c r="Z134" s="88">
        <f>SUMIF(月間集計シート!$M$71:$M$90,$G134,月間集計シート!P$71:P$90)*Z$2</f>
        <v>0</v>
      </c>
      <c r="AA134" s="88">
        <f>SUMIF(月間集計シート!$M$71:$M$90,$G134,月間集計シート!Q$71:Q$90)*AA$2</f>
        <v>0</v>
      </c>
      <c r="AB134" s="88">
        <f>SUMIF(月間集計シート!$M$71:$M$90,$G134,月間集計シート!R$71:R$90)*AB$2</f>
        <v>0</v>
      </c>
      <c r="AC134" s="88">
        <f>SUMIF(月間集計シート!$M$71:$M$90,$G134,月間集計シート!S$71:S$90)*AC$2</f>
        <v>0</v>
      </c>
      <c r="AD134" s="88">
        <f>SUMIF(月間集計シート!$M$71:$M$90,$G134,月間集計シート!T$71:T$90)*AD$2</f>
        <v>0</v>
      </c>
      <c r="AE134" s="88">
        <f>SUMIF(月間集計シート!$M$92:$M$111,$G134,月間集計シート!N$92:N$111)*AE$2</f>
        <v>0</v>
      </c>
      <c r="AF134" s="88">
        <f>SUMIF(月間集計シート!$M$92:$M$111,$G134,月間集計シート!O$92:O$111)*AF$2</f>
        <v>0</v>
      </c>
      <c r="AG134" s="88">
        <f>SUMIF(月間集計シート!$M$92:$M$111,$G134,月間集計シート!P$92:P$111)*AG$2</f>
        <v>0</v>
      </c>
      <c r="AH134" s="88">
        <f>SUMIF(月間集計シート!$M$92:$M$111,$G134,月間集計シート!Q$92:Q$111)*AH$2</f>
        <v>0</v>
      </c>
      <c r="AI134" s="88">
        <f>SUMIF(月間集計シート!$M$92:$M$111,$G134,月間集計シート!R$92:R$111)*AI$2</f>
        <v>0</v>
      </c>
      <c r="AJ134" s="88">
        <f>SUMIF(月間集計シート!$M$92:$M$111,$G134,月間集計シート!S$92:S$111)*AJ$2</f>
        <v>0</v>
      </c>
      <c r="AK134" s="88">
        <f>SUMIF(月間集計シート!$M$92:$M$111,$G134,月間集計シート!T$92:T$111)*AK$2</f>
        <v>0</v>
      </c>
      <c r="AL134" s="88">
        <f>SUMIF(月間集計シート!$M$113:$M$132,$G134,月間集計シート!N$113:N$132)*AL$2</f>
        <v>0</v>
      </c>
      <c r="AM134" s="88">
        <f>SUMIF(月間集計シート!$M$113:$M$132,$G134,月間集計シート!O$113:O$132)*AM$2</f>
        <v>0</v>
      </c>
      <c r="AN134" s="88">
        <f>SUMIF(月間集計シート!$M$113:$M$132,$G134,月間集計シート!P$113:P$132)*AN$2</f>
        <v>0</v>
      </c>
      <c r="AO134" s="88">
        <f>SUMIF(月間集計シート!$M$113:$M$132,$G134,月間集計シート!Q$113:Q$132)*AO$2</f>
        <v>0</v>
      </c>
      <c r="AP134" s="88">
        <f>SUMIF(月間集計シート!$M$113:$M$132,$G134,月間集計シート!R$113:R$132)*AP$2</f>
        <v>0</v>
      </c>
      <c r="AQ134" s="88">
        <f>SUMIF(月間集計シート!$M$113:$M$132,$G134,月間集計シート!S$113:S$132)*AQ$2</f>
        <v>0</v>
      </c>
      <c r="AR134" s="88">
        <f>SUMIF(月間集計シート!$M$113:$M$132,$G134,月間集計シート!T$113:T$132)*AR$2</f>
        <v>0</v>
      </c>
      <c r="AS134" s="88">
        <f>SUMIF(月間集計シート!$M$134:$M$153,$G134,月間集計シート!N$134:N$153)*AS$2</f>
        <v>0</v>
      </c>
      <c r="AT134" s="88">
        <f>SUMIF(月間集計シート!$M$134:$M$153,$G134,月間集計シート!O$134:O$153)*AT$2</f>
        <v>0</v>
      </c>
      <c r="AU134" s="88">
        <f>SUMIF(月間集計シート!$M$134:$M$153,$G134,月間集計シート!P$134:P$153)*AU$2</f>
        <v>0</v>
      </c>
      <c r="AV134" s="88">
        <f>SUMIF(月間集計シート!$M$134:$M$153,$G134,月間集計シート!Q$134:Q$153)*AV$2</f>
        <v>0</v>
      </c>
      <c r="AW134" s="88">
        <f>SUMIF(月間集計シート!$M$134:$M$153,$G134,月間集計シート!R$134:R$153)*AW$2</f>
        <v>0</v>
      </c>
      <c r="AX134" s="88">
        <f>SUMIF(月間集計シート!$M$134:$M$153,$G134,月間集計シート!S$134:S$153)*AX$2</f>
        <v>0</v>
      </c>
      <c r="AY134" s="88">
        <f>SUMIF(月間集計シート!$M$134:$M$153,$G134,月間集計シート!T$134:T$153)*AY$2</f>
        <v>0</v>
      </c>
    </row>
    <row r="135" spans="1:51" ht="14.25" thickBot="1">
      <c r="A135">
        <v>2</v>
      </c>
      <c r="B135" s="120">
        <f t="shared" si="62"/>
        <v>393021</v>
      </c>
      <c r="C135" s="120" t="e">
        <f t="shared" si="63"/>
        <v>#N/A</v>
      </c>
      <c r="D135" s="137"/>
      <c r="E135" s="150" t="str">
        <f>工種!A42</f>
        <v>60101</v>
      </c>
      <c r="F135" s="119" t="str">
        <f>工種!B42</f>
        <v>ﾘﾘｰｽ：ﾘﾘｰｽ・ﾃﾞﾘﾊﾞﾘ作業</v>
      </c>
      <c r="G135" s="116" t="str">
        <f t="shared" si="64"/>
        <v>39302160101</v>
      </c>
      <c r="H135" s="88">
        <f t="shared" si="18"/>
        <v>0</v>
      </c>
      <c r="I135" s="132"/>
      <c r="J135" s="88">
        <f>SUMIF(月間集計シート!$M$29:$M$48,$G135,月間集計シート!N$29:N$48)*J$2</f>
        <v>0</v>
      </c>
      <c r="K135" s="88">
        <f>SUMIF(月間集計シート!$M$29:$M$48,$G135,月間集計シート!O$29:O$48)*K$2</f>
        <v>0</v>
      </c>
      <c r="L135" s="88">
        <f>SUMIF(月間集計シート!$M$29:$M$48,$G135,月間集計シート!P$29:P$48)*L$2</f>
        <v>0</v>
      </c>
      <c r="M135" s="88">
        <f>SUMIF(月間集計シート!$M$29:$M$48,$G135,月間集計シート!Q$29:Q$48)*M$2</f>
        <v>0</v>
      </c>
      <c r="N135" s="88">
        <f>SUMIF(月間集計シート!$M$29:$M$48,$G135,月間集計シート!R$29:R$48)*N$2</f>
        <v>0</v>
      </c>
      <c r="O135" s="88">
        <f>SUMIF(月間集計シート!$M$29:$M$48,$G135,月間集計シート!S$29:S$48)*O$2</f>
        <v>0</v>
      </c>
      <c r="P135" s="88">
        <f>SUMIF(月間集計シート!$M$29:$M$48,$G135,月間集計シート!T$29:T$48)*P$2</f>
        <v>0</v>
      </c>
      <c r="Q135" s="88">
        <f>SUMIF(月間集計シート!$M$50:$M$69,$G135,月間集計シート!N$50:N$69)*Q$2</f>
        <v>0</v>
      </c>
      <c r="R135" s="88">
        <f>SUMIF(月間集計シート!$M$50:$M$69,$G135,月間集計シート!O$50:O$69)*R$2</f>
        <v>0</v>
      </c>
      <c r="S135" s="88">
        <f>SUMIF(月間集計シート!$M$50:$M$69,$G135,月間集計シート!P$50:P$69)*S$2</f>
        <v>0</v>
      </c>
      <c r="T135" s="88">
        <f>SUMIF(月間集計シート!$M$50:$M$69,$G135,月間集計シート!Q$50:Q$69)*T$2</f>
        <v>0</v>
      </c>
      <c r="U135" s="88">
        <f>SUMIF(月間集計シート!$M$50:$M$69,$G135,月間集計シート!R$50:R$69)*U$2</f>
        <v>0</v>
      </c>
      <c r="V135" s="88">
        <f>SUMIF(月間集計シート!$M$50:$M$69,$G135,月間集計シート!S$50:S$69)*V$2</f>
        <v>0</v>
      </c>
      <c r="W135" s="88">
        <f>SUMIF(月間集計シート!$M$50:$M$69,$G135,月間集計シート!T$50:T$69)*W$2</f>
        <v>0</v>
      </c>
      <c r="X135" s="88">
        <f>SUMIF(月間集計シート!$M$71:$M$90,$G135,月間集計シート!N$71:N$90)*X$2</f>
        <v>0</v>
      </c>
      <c r="Y135" s="88">
        <f>SUMIF(月間集計シート!$M$71:$M$90,$G135,月間集計シート!O$71:O$90)*Y$2</f>
        <v>0</v>
      </c>
      <c r="Z135" s="88">
        <f>SUMIF(月間集計シート!$M$71:$M$90,$G135,月間集計シート!P$71:P$90)*Z$2</f>
        <v>0</v>
      </c>
      <c r="AA135" s="88">
        <f>SUMIF(月間集計シート!$M$71:$M$90,$G135,月間集計シート!Q$71:Q$90)*AA$2</f>
        <v>0</v>
      </c>
      <c r="AB135" s="88">
        <f>SUMIF(月間集計シート!$M$71:$M$90,$G135,月間集計シート!R$71:R$90)*AB$2</f>
        <v>0</v>
      </c>
      <c r="AC135" s="88">
        <f>SUMIF(月間集計シート!$M$71:$M$90,$G135,月間集計シート!S$71:S$90)*AC$2</f>
        <v>0</v>
      </c>
      <c r="AD135" s="88">
        <f>SUMIF(月間集計シート!$M$71:$M$90,$G135,月間集計シート!T$71:T$90)*AD$2</f>
        <v>0</v>
      </c>
      <c r="AE135" s="88">
        <f>SUMIF(月間集計シート!$M$92:$M$111,$G135,月間集計シート!N$92:N$111)*AE$2</f>
        <v>0</v>
      </c>
      <c r="AF135" s="88">
        <f>SUMIF(月間集計シート!$M$92:$M$111,$G135,月間集計シート!O$92:O$111)*AF$2</f>
        <v>0</v>
      </c>
      <c r="AG135" s="88">
        <f>SUMIF(月間集計シート!$M$92:$M$111,$G135,月間集計シート!P$92:P$111)*AG$2</f>
        <v>0</v>
      </c>
      <c r="AH135" s="88">
        <f>SUMIF(月間集計シート!$M$92:$M$111,$G135,月間集計シート!Q$92:Q$111)*AH$2</f>
        <v>0</v>
      </c>
      <c r="AI135" s="88">
        <f>SUMIF(月間集計シート!$M$92:$M$111,$G135,月間集計シート!R$92:R$111)*AI$2</f>
        <v>0</v>
      </c>
      <c r="AJ135" s="88">
        <f>SUMIF(月間集計シート!$M$92:$M$111,$G135,月間集計シート!S$92:S$111)*AJ$2</f>
        <v>0</v>
      </c>
      <c r="AK135" s="88">
        <f>SUMIF(月間集計シート!$M$92:$M$111,$G135,月間集計シート!T$92:T$111)*AK$2</f>
        <v>0</v>
      </c>
      <c r="AL135" s="88">
        <f>SUMIF(月間集計シート!$M$113:$M$132,$G135,月間集計シート!N$113:N$132)*AL$2</f>
        <v>0</v>
      </c>
      <c r="AM135" s="88">
        <f>SUMIF(月間集計シート!$M$113:$M$132,$G135,月間集計シート!O$113:O$132)*AM$2</f>
        <v>0</v>
      </c>
      <c r="AN135" s="88">
        <f>SUMIF(月間集計シート!$M$113:$M$132,$G135,月間集計シート!P$113:P$132)*AN$2</f>
        <v>0</v>
      </c>
      <c r="AO135" s="88">
        <f>SUMIF(月間集計シート!$M$113:$M$132,$G135,月間集計シート!Q$113:Q$132)*AO$2</f>
        <v>0</v>
      </c>
      <c r="AP135" s="88">
        <f>SUMIF(月間集計シート!$M$113:$M$132,$G135,月間集計シート!R$113:R$132)*AP$2</f>
        <v>0</v>
      </c>
      <c r="AQ135" s="88">
        <f>SUMIF(月間集計シート!$M$113:$M$132,$G135,月間集計シート!S$113:S$132)*AQ$2</f>
        <v>0</v>
      </c>
      <c r="AR135" s="88">
        <f>SUMIF(月間集計シート!$M$113:$M$132,$G135,月間集計シート!T$113:T$132)*AR$2</f>
        <v>0</v>
      </c>
      <c r="AS135" s="88">
        <f>SUMIF(月間集計シート!$M$134:$M$153,$G135,月間集計シート!N$134:N$153)*AS$2</f>
        <v>0</v>
      </c>
      <c r="AT135" s="88">
        <f>SUMIF(月間集計シート!$M$134:$M$153,$G135,月間集計シート!O$134:O$153)*AT$2</f>
        <v>0</v>
      </c>
      <c r="AU135" s="88">
        <f>SUMIF(月間集計シート!$M$134:$M$153,$G135,月間集計シート!P$134:P$153)*AU$2</f>
        <v>0</v>
      </c>
      <c r="AV135" s="88">
        <f>SUMIF(月間集計シート!$M$134:$M$153,$G135,月間集計シート!Q$134:Q$153)*AV$2</f>
        <v>0</v>
      </c>
      <c r="AW135" s="88">
        <f>SUMIF(月間集計シート!$M$134:$M$153,$G135,月間集計シート!R$134:R$153)*AW$2</f>
        <v>0</v>
      </c>
      <c r="AX135" s="88">
        <f>SUMIF(月間集計シート!$M$134:$M$153,$G135,月間集計シート!S$134:S$153)*AX$2</f>
        <v>0</v>
      </c>
      <c r="AY135" s="88">
        <f>SUMIF(月間集計シート!$M$134:$M$153,$G135,月間集計シート!T$134:T$153)*AY$2</f>
        <v>0</v>
      </c>
    </row>
    <row r="136" spans="1:51" ht="14.25" thickBot="1">
      <c r="A136">
        <v>2</v>
      </c>
      <c r="B136" s="120">
        <f t="shared" si="62"/>
        <v>393021</v>
      </c>
      <c r="C136" s="120" t="e">
        <f t="shared" si="63"/>
        <v>#N/A</v>
      </c>
      <c r="D136" s="137"/>
      <c r="E136" s="150" t="str">
        <f>工種!A43</f>
        <v>60102</v>
      </c>
      <c r="F136" s="119" t="str">
        <f>工種!B43</f>
        <v>ﾘﾘｰｽ：ﾘﾘｰｽ関連業務</v>
      </c>
      <c r="G136" s="116" t="str">
        <f t="shared" si="64"/>
        <v>39302160102</v>
      </c>
      <c r="H136" s="88">
        <f t="shared" si="18"/>
        <v>0</v>
      </c>
      <c r="I136" s="132"/>
      <c r="J136" s="88">
        <f>SUMIF(月間集計シート!$M$29:$M$48,$G136,月間集計シート!N$29:N$48)*J$2</f>
        <v>0</v>
      </c>
      <c r="K136" s="88">
        <f>SUMIF(月間集計シート!$M$29:$M$48,$G136,月間集計シート!O$29:O$48)*K$2</f>
        <v>0</v>
      </c>
      <c r="L136" s="88">
        <f>SUMIF(月間集計シート!$M$29:$M$48,$G136,月間集計シート!P$29:P$48)*L$2</f>
        <v>0</v>
      </c>
      <c r="M136" s="88">
        <f>SUMIF(月間集計シート!$M$29:$M$48,$G136,月間集計シート!Q$29:Q$48)*M$2</f>
        <v>0</v>
      </c>
      <c r="N136" s="88">
        <f>SUMIF(月間集計シート!$M$29:$M$48,$G136,月間集計シート!R$29:R$48)*N$2</f>
        <v>0</v>
      </c>
      <c r="O136" s="88">
        <f>SUMIF(月間集計シート!$M$29:$M$48,$G136,月間集計シート!S$29:S$48)*O$2</f>
        <v>0</v>
      </c>
      <c r="P136" s="88">
        <f>SUMIF(月間集計シート!$M$29:$M$48,$G136,月間集計シート!T$29:T$48)*P$2</f>
        <v>0</v>
      </c>
      <c r="Q136" s="88">
        <f>SUMIF(月間集計シート!$M$50:$M$69,$G136,月間集計シート!N$50:N$69)*Q$2</f>
        <v>0</v>
      </c>
      <c r="R136" s="88">
        <f>SUMIF(月間集計シート!$M$50:$M$69,$G136,月間集計シート!O$50:O$69)*R$2</f>
        <v>0</v>
      </c>
      <c r="S136" s="88">
        <f>SUMIF(月間集計シート!$M$50:$M$69,$G136,月間集計シート!P$50:P$69)*S$2</f>
        <v>0</v>
      </c>
      <c r="T136" s="88">
        <f>SUMIF(月間集計シート!$M$50:$M$69,$G136,月間集計シート!Q$50:Q$69)*T$2</f>
        <v>0</v>
      </c>
      <c r="U136" s="88">
        <f>SUMIF(月間集計シート!$M$50:$M$69,$G136,月間集計シート!R$50:R$69)*U$2</f>
        <v>0</v>
      </c>
      <c r="V136" s="88">
        <f>SUMIF(月間集計シート!$M$50:$M$69,$G136,月間集計シート!S$50:S$69)*V$2</f>
        <v>0</v>
      </c>
      <c r="W136" s="88">
        <f>SUMIF(月間集計シート!$M$50:$M$69,$G136,月間集計シート!T$50:T$69)*W$2</f>
        <v>0</v>
      </c>
      <c r="X136" s="88">
        <f>SUMIF(月間集計シート!$M$71:$M$90,$G136,月間集計シート!N$71:N$90)*X$2</f>
        <v>0</v>
      </c>
      <c r="Y136" s="88">
        <f>SUMIF(月間集計シート!$M$71:$M$90,$G136,月間集計シート!O$71:O$90)*Y$2</f>
        <v>0</v>
      </c>
      <c r="Z136" s="88">
        <f>SUMIF(月間集計シート!$M$71:$M$90,$G136,月間集計シート!P$71:P$90)*Z$2</f>
        <v>0</v>
      </c>
      <c r="AA136" s="88">
        <f>SUMIF(月間集計シート!$M$71:$M$90,$G136,月間集計シート!Q$71:Q$90)*AA$2</f>
        <v>0</v>
      </c>
      <c r="AB136" s="88">
        <f>SUMIF(月間集計シート!$M$71:$M$90,$G136,月間集計シート!R$71:R$90)*AB$2</f>
        <v>0</v>
      </c>
      <c r="AC136" s="88">
        <f>SUMIF(月間集計シート!$M$71:$M$90,$G136,月間集計シート!S$71:S$90)*AC$2</f>
        <v>0</v>
      </c>
      <c r="AD136" s="88">
        <f>SUMIF(月間集計シート!$M$71:$M$90,$G136,月間集計シート!T$71:T$90)*AD$2</f>
        <v>0</v>
      </c>
      <c r="AE136" s="88">
        <f>SUMIF(月間集計シート!$M$92:$M$111,$G136,月間集計シート!N$92:N$111)*AE$2</f>
        <v>0</v>
      </c>
      <c r="AF136" s="88">
        <f>SUMIF(月間集計シート!$M$92:$M$111,$G136,月間集計シート!O$92:O$111)*AF$2</f>
        <v>0</v>
      </c>
      <c r="AG136" s="88">
        <f>SUMIF(月間集計シート!$M$92:$M$111,$G136,月間集計シート!P$92:P$111)*AG$2</f>
        <v>0</v>
      </c>
      <c r="AH136" s="88">
        <f>SUMIF(月間集計シート!$M$92:$M$111,$G136,月間集計シート!Q$92:Q$111)*AH$2</f>
        <v>0</v>
      </c>
      <c r="AI136" s="88">
        <f>SUMIF(月間集計シート!$M$92:$M$111,$G136,月間集計シート!R$92:R$111)*AI$2</f>
        <v>0</v>
      </c>
      <c r="AJ136" s="88">
        <f>SUMIF(月間集計シート!$M$92:$M$111,$G136,月間集計シート!S$92:S$111)*AJ$2</f>
        <v>0</v>
      </c>
      <c r="AK136" s="88">
        <f>SUMIF(月間集計シート!$M$92:$M$111,$G136,月間集計シート!T$92:T$111)*AK$2</f>
        <v>0</v>
      </c>
      <c r="AL136" s="88">
        <f>SUMIF(月間集計シート!$M$113:$M$132,$G136,月間集計シート!N$113:N$132)*AL$2</f>
        <v>0</v>
      </c>
      <c r="AM136" s="88">
        <f>SUMIF(月間集計シート!$M$113:$M$132,$G136,月間集計シート!O$113:O$132)*AM$2</f>
        <v>0</v>
      </c>
      <c r="AN136" s="88">
        <f>SUMIF(月間集計シート!$M$113:$M$132,$G136,月間集計シート!P$113:P$132)*AN$2</f>
        <v>0</v>
      </c>
      <c r="AO136" s="88">
        <f>SUMIF(月間集計シート!$M$113:$M$132,$G136,月間集計シート!Q$113:Q$132)*AO$2</f>
        <v>0</v>
      </c>
      <c r="AP136" s="88">
        <f>SUMIF(月間集計シート!$M$113:$M$132,$G136,月間集計シート!R$113:R$132)*AP$2</f>
        <v>0</v>
      </c>
      <c r="AQ136" s="88">
        <f>SUMIF(月間集計シート!$M$113:$M$132,$G136,月間集計シート!S$113:S$132)*AQ$2</f>
        <v>0</v>
      </c>
      <c r="AR136" s="88">
        <f>SUMIF(月間集計シート!$M$113:$M$132,$G136,月間集計シート!T$113:T$132)*AR$2</f>
        <v>0</v>
      </c>
      <c r="AS136" s="88">
        <f>SUMIF(月間集計シート!$M$134:$M$153,$G136,月間集計シート!N$134:N$153)*AS$2</f>
        <v>0</v>
      </c>
      <c r="AT136" s="88">
        <f>SUMIF(月間集計シート!$M$134:$M$153,$G136,月間集計シート!O$134:O$153)*AT$2</f>
        <v>0</v>
      </c>
      <c r="AU136" s="88">
        <f>SUMIF(月間集計シート!$M$134:$M$153,$G136,月間集計シート!P$134:P$153)*AU$2</f>
        <v>0</v>
      </c>
      <c r="AV136" s="88">
        <f>SUMIF(月間集計シート!$M$134:$M$153,$G136,月間集計シート!Q$134:Q$153)*AV$2</f>
        <v>0</v>
      </c>
      <c r="AW136" s="88">
        <f>SUMIF(月間集計シート!$M$134:$M$153,$G136,月間集計シート!R$134:R$153)*AW$2</f>
        <v>0</v>
      </c>
      <c r="AX136" s="88">
        <f>SUMIF(月間集計シート!$M$134:$M$153,$G136,月間集計シート!S$134:S$153)*AX$2</f>
        <v>0</v>
      </c>
      <c r="AY136" s="88">
        <f>SUMIF(月間集計シート!$M$134:$M$153,$G136,月間集計シート!T$134:T$153)*AY$2</f>
        <v>0</v>
      </c>
    </row>
    <row r="137" spans="1:51" ht="14.25" thickBot="1">
      <c r="A137">
        <v>2</v>
      </c>
      <c r="B137" s="120">
        <f t="shared" si="62"/>
        <v>393021</v>
      </c>
      <c r="C137" s="120" t="e">
        <f t="shared" si="63"/>
        <v>#N/A</v>
      </c>
      <c r="D137" s="137"/>
      <c r="E137" s="150" t="str">
        <f>工種!A44</f>
        <v>60103</v>
      </c>
      <c r="F137" s="119" t="str">
        <f>工種!B44</f>
        <v>ﾘﾘｰｽ：ﾏﾆｭｱﾙPDF作成・修正</v>
      </c>
      <c r="G137" s="116" t="str">
        <f t="shared" si="64"/>
        <v>39302160103</v>
      </c>
      <c r="H137" s="88">
        <f t="shared" si="18"/>
        <v>0</v>
      </c>
      <c r="I137" s="132"/>
      <c r="J137" s="88">
        <f>SUMIF(月間集計シート!$M$29:$M$48,$G137,月間集計シート!N$29:N$48)*J$2</f>
        <v>0</v>
      </c>
      <c r="K137" s="88">
        <f>SUMIF(月間集計シート!$M$29:$M$48,$G137,月間集計シート!O$29:O$48)*K$2</f>
        <v>0</v>
      </c>
      <c r="L137" s="88">
        <f>SUMIF(月間集計シート!$M$29:$M$48,$G137,月間集計シート!P$29:P$48)*L$2</f>
        <v>0</v>
      </c>
      <c r="M137" s="88">
        <f>SUMIF(月間集計シート!$M$29:$M$48,$G137,月間集計シート!Q$29:Q$48)*M$2</f>
        <v>0</v>
      </c>
      <c r="N137" s="88">
        <f>SUMIF(月間集計シート!$M$29:$M$48,$G137,月間集計シート!R$29:R$48)*N$2</f>
        <v>0</v>
      </c>
      <c r="O137" s="88">
        <f>SUMIF(月間集計シート!$M$29:$M$48,$G137,月間集計シート!S$29:S$48)*O$2</f>
        <v>0</v>
      </c>
      <c r="P137" s="88">
        <f>SUMIF(月間集計シート!$M$29:$M$48,$G137,月間集計シート!T$29:T$48)*P$2</f>
        <v>0</v>
      </c>
      <c r="Q137" s="88">
        <f>SUMIF(月間集計シート!$M$50:$M$69,$G137,月間集計シート!N$50:N$69)*Q$2</f>
        <v>0</v>
      </c>
      <c r="R137" s="88">
        <f>SUMIF(月間集計シート!$M$50:$M$69,$G137,月間集計シート!O$50:O$69)*R$2</f>
        <v>0</v>
      </c>
      <c r="S137" s="88">
        <f>SUMIF(月間集計シート!$M$50:$M$69,$G137,月間集計シート!P$50:P$69)*S$2</f>
        <v>0</v>
      </c>
      <c r="T137" s="88">
        <f>SUMIF(月間集計シート!$M$50:$M$69,$G137,月間集計シート!Q$50:Q$69)*T$2</f>
        <v>0</v>
      </c>
      <c r="U137" s="88">
        <f>SUMIF(月間集計シート!$M$50:$M$69,$G137,月間集計シート!R$50:R$69)*U$2</f>
        <v>0</v>
      </c>
      <c r="V137" s="88">
        <f>SUMIF(月間集計シート!$M$50:$M$69,$G137,月間集計シート!S$50:S$69)*V$2</f>
        <v>0</v>
      </c>
      <c r="W137" s="88">
        <f>SUMIF(月間集計シート!$M$50:$M$69,$G137,月間集計シート!T$50:T$69)*W$2</f>
        <v>0</v>
      </c>
      <c r="X137" s="88">
        <f>SUMIF(月間集計シート!$M$71:$M$90,$G137,月間集計シート!N$71:N$90)*X$2</f>
        <v>0</v>
      </c>
      <c r="Y137" s="88">
        <f>SUMIF(月間集計シート!$M$71:$M$90,$G137,月間集計シート!O$71:O$90)*Y$2</f>
        <v>0</v>
      </c>
      <c r="Z137" s="88">
        <f>SUMIF(月間集計シート!$M$71:$M$90,$G137,月間集計シート!P$71:P$90)*Z$2</f>
        <v>0</v>
      </c>
      <c r="AA137" s="88">
        <f>SUMIF(月間集計シート!$M$71:$M$90,$G137,月間集計シート!Q$71:Q$90)*AA$2</f>
        <v>0</v>
      </c>
      <c r="AB137" s="88">
        <f>SUMIF(月間集計シート!$M$71:$M$90,$G137,月間集計シート!R$71:R$90)*AB$2</f>
        <v>0</v>
      </c>
      <c r="AC137" s="88">
        <f>SUMIF(月間集計シート!$M$71:$M$90,$G137,月間集計シート!S$71:S$90)*AC$2</f>
        <v>0</v>
      </c>
      <c r="AD137" s="88">
        <f>SUMIF(月間集計シート!$M$71:$M$90,$G137,月間集計シート!T$71:T$90)*AD$2</f>
        <v>0</v>
      </c>
      <c r="AE137" s="88">
        <f>SUMIF(月間集計シート!$M$92:$M$111,$G137,月間集計シート!N$92:N$111)*AE$2</f>
        <v>0</v>
      </c>
      <c r="AF137" s="88">
        <f>SUMIF(月間集計シート!$M$92:$M$111,$G137,月間集計シート!O$92:O$111)*AF$2</f>
        <v>0</v>
      </c>
      <c r="AG137" s="88">
        <f>SUMIF(月間集計シート!$M$92:$M$111,$G137,月間集計シート!P$92:P$111)*AG$2</f>
        <v>0</v>
      </c>
      <c r="AH137" s="88">
        <f>SUMIF(月間集計シート!$M$92:$M$111,$G137,月間集計シート!Q$92:Q$111)*AH$2</f>
        <v>0</v>
      </c>
      <c r="AI137" s="88">
        <f>SUMIF(月間集計シート!$M$92:$M$111,$G137,月間集計シート!R$92:R$111)*AI$2</f>
        <v>0</v>
      </c>
      <c r="AJ137" s="88">
        <f>SUMIF(月間集計シート!$M$92:$M$111,$G137,月間集計シート!S$92:S$111)*AJ$2</f>
        <v>0</v>
      </c>
      <c r="AK137" s="88">
        <f>SUMIF(月間集計シート!$M$92:$M$111,$G137,月間集計シート!T$92:T$111)*AK$2</f>
        <v>0</v>
      </c>
      <c r="AL137" s="88">
        <f>SUMIF(月間集計シート!$M$113:$M$132,$G137,月間集計シート!N$113:N$132)*AL$2</f>
        <v>0</v>
      </c>
      <c r="AM137" s="88">
        <f>SUMIF(月間集計シート!$M$113:$M$132,$G137,月間集計シート!O$113:O$132)*AM$2</f>
        <v>0</v>
      </c>
      <c r="AN137" s="88">
        <f>SUMIF(月間集計シート!$M$113:$M$132,$G137,月間集計シート!P$113:P$132)*AN$2</f>
        <v>0</v>
      </c>
      <c r="AO137" s="88">
        <f>SUMIF(月間集計シート!$M$113:$M$132,$G137,月間集計シート!Q$113:Q$132)*AO$2</f>
        <v>0</v>
      </c>
      <c r="AP137" s="88">
        <f>SUMIF(月間集計シート!$M$113:$M$132,$G137,月間集計シート!R$113:R$132)*AP$2</f>
        <v>0</v>
      </c>
      <c r="AQ137" s="88">
        <f>SUMIF(月間集計シート!$M$113:$M$132,$G137,月間集計シート!S$113:S$132)*AQ$2</f>
        <v>0</v>
      </c>
      <c r="AR137" s="88">
        <f>SUMIF(月間集計シート!$M$113:$M$132,$G137,月間集計シート!T$113:T$132)*AR$2</f>
        <v>0</v>
      </c>
      <c r="AS137" s="88">
        <f>SUMIF(月間集計シート!$M$134:$M$153,$G137,月間集計シート!N$134:N$153)*AS$2</f>
        <v>0</v>
      </c>
      <c r="AT137" s="88">
        <f>SUMIF(月間集計シート!$M$134:$M$153,$G137,月間集計シート!O$134:O$153)*AT$2</f>
        <v>0</v>
      </c>
      <c r="AU137" s="88">
        <f>SUMIF(月間集計シート!$M$134:$M$153,$G137,月間集計シート!P$134:P$153)*AU$2</f>
        <v>0</v>
      </c>
      <c r="AV137" s="88">
        <f>SUMIF(月間集計シート!$M$134:$M$153,$G137,月間集計シート!Q$134:Q$153)*AV$2</f>
        <v>0</v>
      </c>
      <c r="AW137" s="88">
        <f>SUMIF(月間集計シート!$M$134:$M$153,$G137,月間集計シート!R$134:R$153)*AW$2</f>
        <v>0</v>
      </c>
      <c r="AX137" s="88">
        <f>SUMIF(月間集計シート!$M$134:$M$153,$G137,月間集計シート!S$134:S$153)*AX$2</f>
        <v>0</v>
      </c>
      <c r="AY137" s="88">
        <f>SUMIF(月間集計シート!$M$134:$M$153,$G137,月間集計シート!T$134:T$153)*AY$2</f>
        <v>0</v>
      </c>
    </row>
    <row r="138" spans="1:51" ht="14.25" thickBot="1">
      <c r="A138">
        <v>2</v>
      </c>
      <c r="B138" s="120">
        <f t="shared" si="62"/>
        <v>393021</v>
      </c>
      <c r="C138" s="120" t="e">
        <f t="shared" si="63"/>
        <v>#N/A</v>
      </c>
      <c r="D138" s="137"/>
      <c r="E138" s="150" t="str">
        <f>工種!A45</f>
        <v>60104</v>
      </c>
      <c r="F138" s="119" t="str">
        <f>工種!B45</f>
        <v>ﾘﾘｰｽ：ﾍﾙﾌﾟ作成・修正</v>
      </c>
      <c r="G138" s="116" t="str">
        <f t="shared" si="64"/>
        <v>39302160104</v>
      </c>
      <c r="H138" s="88">
        <f t="shared" si="18"/>
        <v>0</v>
      </c>
      <c r="I138" s="132"/>
      <c r="J138" s="88">
        <f>SUMIF(月間集計シート!$M$29:$M$48,$G138,月間集計シート!N$29:N$48)*J$2</f>
        <v>0</v>
      </c>
      <c r="K138" s="88">
        <f>SUMIF(月間集計シート!$M$29:$M$48,$G138,月間集計シート!O$29:O$48)*K$2</f>
        <v>0</v>
      </c>
      <c r="L138" s="88">
        <f>SUMIF(月間集計シート!$M$29:$M$48,$G138,月間集計シート!P$29:P$48)*L$2</f>
        <v>0</v>
      </c>
      <c r="M138" s="88">
        <f>SUMIF(月間集計シート!$M$29:$M$48,$G138,月間集計シート!Q$29:Q$48)*M$2</f>
        <v>0</v>
      </c>
      <c r="N138" s="88">
        <f>SUMIF(月間集計シート!$M$29:$M$48,$G138,月間集計シート!R$29:R$48)*N$2</f>
        <v>0</v>
      </c>
      <c r="O138" s="88">
        <f>SUMIF(月間集計シート!$M$29:$M$48,$G138,月間集計シート!S$29:S$48)*O$2</f>
        <v>0</v>
      </c>
      <c r="P138" s="88">
        <f>SUMIF(月間集計シート!$M$29:$M$48,$G138,月間集計シート!T$29:T$48)*P$2</f>
        <v>0</v>
      </c>
      <c r="Q138" s="88">
        <f>SUMIF(月間集計シート!$M$50:$M$69,$G138,月間集計シート!N$50:N$69)*Q$2</f>
        <v>0</v>
      </c>
      <c r="R138" s="88">
        <f>SUMIF(月間集計シート!$M$50:$M$69,$G138,月間集計シート!O$50:O$69)*R$2</f>
        <v>0</v>
      </c>
      <c r="S138" s="88">
        <f>SUMIF(月間集計シート!$M$50:$M$69,$G138,月間集計シート!P$50:P$69)*S$2</f>
        <v>0</v>
      </c>
      <c r="T138" s="88">
        <f>SUMIF(月間集計シート!$M$50:$M$69,$G138,月間集計シート!Q$50:Q$69)*T$2</f>
        <v>0</v>
      </c>
      <c r="U138" s="88">
        <f>SUMIF(月間集計シート!$M$50:$M$69,$G138,月間集計シート!R$50:R$69)*U$2</f>
        <v>0</v>
      </c>
      <c r="V138" s="88">
        <f>SUMIF(月間集計シート!$M$50:$M$69,$G138,月間集計シート!S$50:S$69)*V$2</f>
        <v>0</v>
      </c>
      <c r="W138" s="88">
        <f>SUMIF(月間集計シート!$M$50:$M$69,$G138,月間集計シート!T$50:T$69)*W$2</f>
        <v>0</v>
      </c>
      <c r="X138" s="88">
        <f>SUMIF(月間集計シート!$M$71:$M$90,$G138,月間集計シート!N$71:N$90)*X$2</f>
        <v>0</v>
      </c>
      <c r="Y138" s="88">
        <f>SUMIF(月間集計シート!$M$71:$M$90,$G138,月間集計シート!O$71:O$90)*Y$2</f>
        <v>0</v>
      </c>
      <c r="Z138" s="88">
        <f>SUMIF(月間集計シート!$M$71:$M$90,$G138,月間集計シート!P$71:P$90)*Z$2</f>
        <v>0</v>
      </c>
      <c r="AA138" s="88">
        <f>SUMIF(月間集計シート!$M$71:$M$90,$G138,月間集計シート!Q$71:Q$90)*AA$2</f>
        <v>0</v>
      </c>
      <c r="AB138" s="88">
        <f>SUMIF(月間集計シート!$M$71:$M$90,$G138,月間集計シート!R$71:R$90)*AB$2</f>
        <v>0</v>
      </c>
      <c r="AC138" s="88">
        <f>SUMIF(月間集計シート!$M$71:$M$90,$G138,月間集計シート!S$71:S$90)*AC$2</f>
        <v>0</v>
      </c>
      <c r="AD138" s="88">
        <f>SUMIF(月間集計シート!$M$71:$M$90,$G138,月間集計シート!T$71:T$90)*AD$2</f>
        <v>0</v>
      </c>
      <c r="AE138" s="88">
        <f>SUMIF(月間集計シート!$M$92:$M$111,$G138,月間集計シート!N$92:N$111)*AE$2</f>
        <v>0</v>
      </c>
      <c r="AF138" s="88">
        <f>SUMIF(月間集計シート!$M$92:$M$111,$G138,月間集計シート!O$92:O$111)*AF$2</f>
        <v>0</v>
      </c>
      <c r="AG138" s="88">
        <f>SUMIF(月間集計シート!$M$92:$M$111,$G138,月間集計シート!P$92:P$111)*AG$2</f>
        <v>0</v>
      </c>
      <c r="AH138" s="88">
        <f>SUMIF(月間集計シート!$M$92:$M$111,$G138,月間集計シート!Q$92:Q$111)*AH$2</f>
        <v>0</v>
      </c>
      <c r="AI138" s="88">
        <f>SUMIF(月間集計シート!$M$92:$M$111,$G138,月間集計シート!R$92:R$111)*AI$2</f>
        <v>0</v>
      </c>
      <c r="AJ138" s="88">
        <f>SUMIF(月間集計シート!$M$92:$M$111,$G138,月間集計シート!S$92:S$111)*AJ$2</f>
        <v>0</v>
      </c>
      <c r="AK138" s="88">
        <f>SUMIF(月間集計シート!$M$92:$M$111,$G138,月間集計シート!T$92:T$111)*AK$2</f>
        <v>0</v>
      </c>
      <c r="AL138" s="88">
        <f>SUMIF(月間集計シート!$M$113:$M$132,$G138,月間集計シート!N$113:N$132)*AL$2</f>
        <v>0</v>
      </c>
      <c r="AM138" s="88">
        <f>SUMIF(月間集計シート!$M$113:$M$132,$G138,月間集計シート!O$113:O$132)*AM$2</f>
        <v>0</v>
      </c>
      <c r="AN138" s="88">
        <f>SUMIF(月間集計シート!$M$113:$M$132,$G138,月間集計シート!P$113:P$132)*AN$2</f>
        <v>0</v>
      </c>
      <c r="AO138" s="88">
        <f>SUMIF(月間集計シート!$M$113:$M$132,$G138,月間集計シート!Q$113:Q$132)*AO$2</f>
        <v>0</v>
      </c>
      <c r="AP138" s="88">
        <f>SUMIF(月間集計シート!$M$113:$M$132,$G138,月間集計シート!R$113:R$132)*AP$2</f>
        <v>0</v>
      </c>
      <c r="AQ138" s="88">
        <f>SUMIF(月間集計シート!$M$113:$M$132,$G138,月間集計シート!S$113:S$132)*AQ$2</f>
        <v>0</v>
      </c>
      <c r="AR138" s="88">
        <f>SUMIF(月間集計シート!$M$113:$M$132,$G138,月間集計シート!T$113:T$132)*AR$2</f>
        <v>0</v>
      </c>
      <c r="AS138" s="88">
        <f>SUMIF(月間集計シート!$M$134:$M$153,$G138,月間集計シート!N$134:N$153)*AS$2</f>
        <v>0</v>
      </c>
      <c r="AT138" s="88">
        <f>SUMIF(月間集計シート!$M$134:$M$153,$G138,月間集計シート!O$134:O$153)*AT$2</f>
        <v>0</v>
      </c>
      <c r="AU138" s="88">
        <f>SUMIF(月間集計シート!$M$134:$M$153,$G138,月間集計シート!P$134:P$153)*AU$2</f>
        <v>0</v>
      </c>
      <c r="AV138" s="88">
        <f>SUMIF(月間集計シート!$M$134:$M$153,$G138,月間集計シート!Q$134:Q$153)*AV$2</f>
        <v>0</v>
      </c>
      <c r="AW138" s="88">
        <f>SUMIF(月間集計シート!$M$134:$M$153,$G138,月間集計シート!R$134:R$153)*AW$2</f>
        <v>0</v>
      </c>
      <c r="AX138" s="88">
        <f>SUMIF(月間集計シート!$M$134:$M$153,$G138,月間集計シート!S$134:S$153)*AX$2</f>
        <v>0</v>
      </c>
      <c r="AY138" s="88">
        <f>SUMIF(月間集計シート!$M$134:$M$153,$G138,月間集計シート!T$134:T$153)*AY$2</f>
        <v>0</v>
      </c>
    </row>
    <row r="139" spans="1:51" ht="14.25" thickBot="1">
      <c r="A139">
        <v>2</v>
      </c>
      <c r="B139" s="120">
        <f t="shared" si="62"/>
        <v>393021</v>
      </c>
      <c r="C139" s="120" t="e">
        <f t="shared" si="63"/>
        <v>#N/A</v>
      </c>
      <c r="D139" s="137"/>
      <c r="E139" s="150" t="str">
        <f>工種!A46</f>
        <v>60105</v>
      </c>
      <c r="F139" s="119" t="str">
        <f>工種!B46</f>
        <v>ﾘﾘｰｽ：締め作業</v>
      </c>
      <c r="G139" s="116" t="str">
        <f t="shared" si="64"/>
        <v>39302160105</v>
      </c>
      <c r="H139" s="88">
        <f t="shared" si="18"/>
        <v>0</v>
      </c>
      <c r="I139" s="132"/>
      <c r="J139" s="88">
        <f>SUMIF(月間集計シート!$M$29:$M$48,$G139,月間集計シート!N$29:N$48)*J$2</f>
        <v>0</v>
      </c>
      <c r="K139" s="88">
        <f>SUMIF(月間集計シート!$M$29:$M$48,$G139,月間集計シート!O$29:O$48)*K$2</f>
        <v>0</v>
      </c>
      <c r="L139" s="88">
        <f>SUMIF(月間集計シート!$M$29:$M$48,$G139,月間集計シート!P$29:P$48)*L$2</f>
        <v>0</v>
      </c>
      <c r="M139" s="88">
        <f>SUMIF(月間集計シート!$M$29:$M$48,$G139,月間集計シート!Q$29:Q$48)*M$2</f>
        <v>0</v>
      </c>
      <c r="N139" s="88">
        <f>SUMIF(月間集計シート!$M$29:$M$48,$G139,月間集計シート!R$29:R$48)*N$2</f>
        <v>0</v>
      </c>
      <c r="O139" s="88">
        <f>SUMIF(月間集計シート!$M$29:$M$48,$G139,月間集計シート!S$29:S$48)*O$2</f>
        <v>0</v>
      </c>
      <c r="P139" s="88">
        <f>SUMIF(月間集計シート!$M$29:$M$48,$G139,月間集計シート!T$29:T$48)*P$2</f>
        <v>0</v>
      </c>
      <c r="Q139" s="88">
        <f>SUMIF(月間集計シート!$M$50:$M$69,$G139,月間集計シート!N$50:N$69)*Q$2</f>
        <v>0</v>
      </c>
      <c r="R139" s="88">
        <f>SUMIF(月間集計シート!$M$50:$M$69,$G139,月間集計シート!O$50:O$69)*R$2</f>
        <v>0</v>
      </c>
      <c r="S139" s="88">
        <f>SUMIF(月間集計シート!$M$50:$M$69,$G139,月間集計シート!P$50:P$69)*S$2</f>
        <v>0</v>
      </c>
      <c r="T139" s="88">
        <f>SUMIF(月間集計シート!$M$50:$M$69,$G139,月間集計シート!Q$50:Q$69)*T$2</f>
        <v>0</v>
      </c>
      <c r="U139" s="88">
        <f>SUMIF(月間集計シート!$M$50:$M$69,$G139,月間集計シート!R$50:R$69)*U$2</f>
        <v>0</v>
      </c>
      <c r="V139" s="88">
        <f>SUMIF(月間集計シート!$M$50:$M$69,$G139,月間集計シート!S$50:S$69)*V$2</f>
        <v>0</v>
      </c>
      <c r="W139" s="88">
        <f>SUMIF(月間集計シート!$M$50:$M$69,$G139,月間集計シート!T$50:T$69)*W$2</f>
        <v>0</v>
      </c>
      <c r="X139" s="88">
        <f>SUMIF(月間集計シート!$M$71:$M$90,$G139,月間集計シート!N$71:N$90)*X$2</f>
        <v>0</v>
      </c>
      <c r="Y139" s="88">
        <f>SUMIF(月間集計シート!$M$71:$M$90,$G139,月間集計シート!O$71:O$90)*Y$2</f>
        <v>0</v>
      </c>
      <c r="Z139" s="88">
        <f>SUMIF(月間集計シート!$M$71:$M$90,$G139,月間集計シート!P$71:P$90)*Z$2</f>
        <v>0</v>
      </c>
      <c r="AA139" s="88">
        <f>SUMIF(月間集計シート!$M$71:$M$90,$G139,月間集計シート!Q$71:Q$90)*AA$2</f>
        <v>0</v>
      </c>
      <c r="AB139" s="88">
        <f>SUMIF(月間集計シート!$M$71:$M$90,$G139,月間集計シート!R$71:R$90)*AB$2</f>
        <v>0</v>
      </c>
      <c r="AC139" s="88">
        <f>SUMIF(月間集計シート!$M$71:$M$90,$G139,月間集計シート!S$71:S$90)*AC$2</f>
        <v>0</v>
      </c>
      <c r="AD139" s="88">
        <f>SUMIF(月間集計シート!$M$71:$M$90,$G139,月間集計シート!T$71:T$90)*AD$2</f>
        <v>0</v>
      </c>
      <c r="AE139" s="88">
        <f>SUMIF(月間集計シート!$M$92:$M$111,$G139,月間集計シート!N$92:N$111)*AE$2</f>
        <v>0</v>
      </c>
      <c r="AF139" s="88">
        <f>SUMIF(月間集計シート!$M$92:$M$111,$G139,月間集計シート!O$92:O$111)*AF$2</f>
        <v>0</v>
      </c>
      <c r="AG139" s="88">
        <f>SUMIF(月間集計シート!$M$92:$M$111,$G139,月間集計シート!P$92:P$111)*AG$2</f>
        <v>0</v>
      </c>
      <c r="AH139" s="88">
        <f>SUMIF(月間集計シート!$M$92:$M$111,$G139,月間集計シート!Q$92:Q$111)*AH$2</f>
        <v>0</v>
      </c>
      <c r="AI139" s="88">
        <f>SUMIF(月間集計シート!$M$92:$M$111,$G139,月間集計シート!R$92:R$111)*AI$2</f>
        <v>0</v>
      </c>
      <c r="AJ139" s="88">
        <f>SUMIF(月間集計シート!$M$92:$M$111,$G139,月間集計シート!S$92:S$111)*AJ$2</f>
        <v>0</v>
      </c>
      <c r="AK139" s="88">
        <f>SUMIF(月間集計シート!$M$92:$M$111,$G139,月間集計シート!T$92:T$111)*AK$2</f>
        <v>0</v>
      </c>
      <c r="AL139" s="88">
        <f>SUMIF(月間集計シート!$M$113:$M$132,$G139,月間集計シート!N$113:N$132)*AL$2</f>
        <v>0</v>
      </c>
      <c r="AM139" s="88">
        <f>SUMIF(月間集計シート!$M$113:$M$132,$G139,月間集計シート!O$113:O$132)*AM$2</f>
        <v>0</v>
      </c>
      <c r="AN139" s="88">
        <f>SUMIF(月間集計シート!$M$113:$M$132,$G139,月間集計シート!P$113:P$132)*AN$2</f>
        <v>0</v>
      </c>
      <c r="AO139" s="88">
        <f>SUMIF(月間集計シート!$M$113:$M$132,$G139,月間集計シート!Q$113:Q$132)*AO$2</f>
        <v>0</v>
      </c>
      <c r="AP139" s="88">
        <f>SUMIF(月間集計シート!$M$113:$M$132,$G139,月間集計シート!R$113:R$132)*AP$2</f>
        <v>0</v>
      </c>
      <c r="AQ139" s="88">
        <f>SUMIF(月間集計シート!$M$113:$M$132,$G139,月間集計シート!S$113:S$132)*AQ$2</f>
        <v>0</v>
      </c>
      <c r="AR139" s="88">
        <f>SUMIF(月間集計シート!$M$113:$M$132,$G139,月間集計シート!T$113:T$132)*AR$2</f>
        <v>0</v>
      </c>
      <c r="AS139" s="88">
        <f>SUMIF(月間集計シート!$M$134:$M$153,$G139,月間集計シート!N$134:N$153)*AS$2</f>
        <v>0</v>
      </c>
      <c r="AT139" s="88">
        <f>SUMIF(月間集計シート!$M$134:$M$153,$G139,月間集計シート!O$134:O$153)*AT$2</f>
        <v>0</v>
      </c>
      <c r="AU139" s="88">
        <f>SUMIF(月間集計シート!$M$134:$M$153,$G139,月間集計シート!P$134:P$153)*AU$2</f>
        <v>0</v>
      </c>
      <c r="AV139" s="88">
        <f>SUMIF(月間集計シート!$M$134:$M$153,$G139,月間集計シート!Q$134:Q$153)*AV$2</f>
        <v>0</v>
      </c>
      <c r="AW139" s="88">
        <f>SUMIF(月間集計シート!$M$134:$M$153,$G139,月間集計シート!R$134:R$153)*AW$2</f>
        <v>0</v>
      </c>
      <c r="AX139" s="88">
        <f>SUMIF(月間集計シート!$M$134:$M$153,$G139,月間集計シート!S$134:S$153)*AX$2</f>
        <v>0</v>
      </c>
      <c r="AY139" s="88">
        <f>SUMIF(月間集計シート!$M$134:$M$153,$G139,月間集計シート!T$134:T$153)*AY$2</f>
        <v>0</v>
      </c>
    </row>
    <row r="140" spans="1:51" ht="14.25" thickBot="1">
      <c r="A140">
        <v>2</v>
      </c>
      <c r="B140" s="120">
        <f t="shared" si="62"/>
        <v>393021</v>
      </c>
      <c r="C140" s="120" t="e">
        <f t="shared" si="63"/>
        <v>#N/A</v>
      </c>
      <c r="D140" s="137"/>
      <c r="E140" s="150" t="str">
        <f>工種!A47</f>
        <v>60107</v>
      </c>
      <c r="F140" s="119" t="str">
        <f>工種!B47</f>
        <v>ﾘﾘｰｽ：打合せ</v>
      </c>
      <c r="G140" s="116" t="str">
        <f t="shared" si="64"/>
        <v>39302160107</v>
      </c>
      <c r="H140" s="88">
        <f t="shared" si="18"/>
        <v>0</v>
      </c>
      <c r="I140" s="132"/>
      <c r="J140" s="88">
        <f>SUMIF(月間集計シート!$M$29:$M$48,$G140,月間集計シート!N$29:N$48)*J$2</f>
        <v>0</v>
      </c>
      <c r="K140" s="88">
        <f>SUMIF(月間集計シート!$M$29:$M$48,$G140,月間集計シート!O$29:O$48)*K$2</f>
        <v>0</v>
      </c>
      <c r="L140" s="88">
        <f>SUMIF(月間集計シート!$M$29:$M$48,$G140,月間集計シート!P$29:P$48)*L$2</f>
        <v>0</v>
      </c>
      <c r="M140" s="88">
        <f>SUMIF(月間集計シート!$M$29:$M$48,$G140,月間集計シート!Q$29:Q$48)*M$2</f>
        <v>0</v>
      </c>
      <c r="N140" s="88">
        <f>SUMIF(月間集計シート!$M$29:$M$48,$G140,月間集計シート!R$29:R$48)*N$2</f>
        <v>0</v>
      </c>
      <c r="O140" s="88">
        <f>SUMIF(月間集計シート!$M$29:$M$48,$G140,月間集計シート!S$29:S$48)*O$2</f>
        <v>0</v>
      </c>
      <c r="P140" s="88">
        <f>SUMIF(月間集計シート!$M$29:$M$48,$G140,月間集計シート!T$29:T$48)*P$2</f>
        <v>0</v>
      </c>
      <c r="Q140" s="88">
        <f>SUMIF(月間集計シート!$M$50:$M$69,$G140,月間集計シート!N$50:N$69)*Q$2</f>
        <v>0</v>
      </c>
      <c r="R140" s="88">
        <f>SUMIF(月間集計シート!$M$50:$M$69,$G140,月間集計シート!O$50:O$69)*R$2</f>
        <v>0</v>
      </c>
      <c r="S140" s="88">
        <f>SUMIF(月間集計シート!$M$50:$M$69,$G140,月間集計シート!P$50:P$69)*S$2</f>
        <v>0</v>
      </c>
      <c r="T140" s="88">
        <f>SUMIF(月間集計シート!$M$50:$M$69,$G140,月間集計シート!Q$50:Q$69)*T$2</f>
        <v>0</v>
      </c>
      <c r="U140" s="88">
        <f>SUMIF(月間集計シート!$M$50:$M$69,$G140,月間集計シート!R$50:R$69)*U$2</f>
        <v>0</v>
      </c>
      <c r="V140" s="88">
        <f>SUMIF(月間集計シート!$M$50:$M$69,$G140,月間集計シート!S$50:S$69)*V$2</f>
        <v>0</v>
      </c>
      <c r="W140" s="88">
        <f>SUMIF(月間集計シート!$M$50:$M$69,$G140,月間集計シート!T$50:T$69)*W$2</f>
        <v>0</v>
      </c>
      <c r="X140" s="88">
        <f>SUMIF(月間集計シート!$M$71:$M$90,$G140,月間集計シート!N$71:N$90)*X$2</f>
        <v>0</v>
      </c>
      <c r="Y140" s="88">
        <f>SUMIF(月間集計シート!$M$71:$M$90,$G140,月間集計シート!O$71:O$90)*Y$2</f>
        <v>0</v>
      </c>
      <c r="Z140" s="88">
        <f>SUMIF(月間集計シート!$M$71:$M$90,$G140,月間集計シート!P$71:P$90)*Z$2</f>
        <v>0</v>
      </c>
      <c r="AA140" s="88">
        <f>SUMIF(月間集計シート!$M$71:$M$90,$G140,月間集計シート!Q$71:Q$90)*AA$2</f>
        <v>0</v>
      </c>
      <c r="AB140" s="88">
        <f>SUMIF(月間集計シート!$M$71:$M$90,$G140,月間集計シート!R$71:R$90)*AB$2</f>
        <v>0</v>
      </c>
      <c r="AC140" s="88">
        <f>SUMIF(月間集計シート!$M$71:$M$90,$G140,月間集計シート!S$71:S$90)*AC$2</f>
        <v>0</v>
      </c>
      <c r="AD140" s="88">
        <f>SUMIF(月間集計シート!$M$71:$M$90,$G140,月間集計シート!T$71:T$90)*AD$2</f>
        <v>0</v>
      </c>
      <c r="AE140" s="88">
        <f>SUMIF(月間集計シート!$M$92:$M$111,$G140,月間集計シート!N$92:N$111)*AE$2</f>
        <v>0</v>
      </c>
      <c r="AF140" s="88">
        <f>SUMIF(月間集計シート!$M$92:$M$111,$G140,月間集計シート!O$92:O$111)*AF$2</f>
        <v>0</v>
      </c>
      <c r="AG140" s="88">
        <f>SUMIF(月間集計シート!$M$92:$M$111,$G140,月間集計シート!P$92:P$111)*AG$2</f>
        <v>0</v>
      </c>
      <c r="AH140" s="88">
        <f>SUMIF(月間集計シート!$M$92:$M$111,$G140,月間集計シート!Q$92:Q$111)*AH$2</f>
        <v>0</v>
      </c>
      <c r="AI140" s="88">
        <f>SUMIF(月間集計シート!$M$92:$M$111,$G140,月間集計シート!R$92:R$111)*AI$2</f>
        <v>0</v>
      </c>
      <c r="AJ140" s="88">
        <f>SUMIF(月間集計シート!$M$92:$M$111,$G140,月間集計シート!S$92:S$111)*AJ$2</f>
        <v>0</v>
      </c>
      <c r="AK140" s="88">
        <f>SUMIF(月間集計シート!$M$92:$M$111,$G140,月間集計シート!T$92:T$111)*AK$2</f>
        <v>0</v>
      </c>
      <c r="AL140" s="88">
        <f>SUMIF(月間集計シート!$M$113:$M$132,$G140,月間集計シート!N$113:N$132)*AL$2</f>
        <v>0</v>
      </c>
      <c r="AM140" s="88">
        <f>SUMIF(月間集計シート!$M$113:$M$132,$G140,月間集計シート!O$113:O$132)*AM$2</f>
        <v>0</v>
      </c>
      <c r="AN140" s="88">
        <f>SUMIF(月間集計シート!$M$113:$M$132,$G140,月間集計シート!P$113:P$132)*AN$2</f>
        <v>0</v>
      </c>
      <c r="AO140" s="88">
        <f>SUMIF(月間集計シート!$M$113:$M$132,$G140,月間集計シート!Q$113:Q$132)*AO$2</f>
        <v>0</v>
      </c>
      <c r="AP140" s="88">
        <f>SUMIF(月間集計シート!$M$113:$M$132,$G140,月間集計シート!R$113:R$132)*AP$2</f>
        <v>0</v>
      </c>
      <c r="AQ140" s="88">
        <f>SUMIF(月間集計シート!$M$113:$M$132,$G140,月間集計シート!S$113:S$132)*AQ$2</f>
        <v>0</v>
      </c>
      <c r="AR140" s="88">
        <f>SUMIF(月間集計シート!$M$113:$M$132,$G140,月間集計シート!T$113:T$132)*AR$2</f>
        <v>0</v>
      </c>
      <c r="AS140" s="88">
        <f>SUMIF(月間集計シート!$M$134:$M$153,$G140,月間集計シート!N$134:N$153)*AS$2</f>
        <v>0</v>
      </c>
      <c r="AT140" s="88">
        <f>SUMIF(月間集計シート!$M$134:$M$153,$G140,月間集計シート!O$134:O$153)*AT$2</f>
        <v>0</v>
      </c>
      <c r="AU140" s="88">
        <f>SUMIF(月間集計シート!$M$134:$M$153,$G140,月間集計シート!P$134:P$153)*AU$2</f>
        <v>0</v>
      </c>
      <c r="AV140" s="88">
        <f>SUMIF(月間集計シート!$M$134:$M$153,$G140,月間集計シート!Q$134:Q$153)*AV$2</f>
        <v>0</v>
      </c>
      <c r="AW140" s="88">
        <f>SUMIF(月間集計シート!$M$134:$M$153,$G140,月間集計シート!R$134:R$153)*AW$2</f>
        <v>0</v>
      </c>
      <c r="AX140" s="88">
        <f>SUMIF(月間集計シート!$M$134:$M$153,$G140,月間集計シート!S$134:S$153)*AX$2</f>
        <v>0</v>
      </c>
      <c r="AY140" s="88">
        <f>SUMIF(月間集計シート!$M$134:$M$153,$G140,月間集計シート!T$134:T$153)*AY$2</f>
        <v>0</v>
      </c>
    </row>
    <row r="141" spans="1:51" ht="14.25" thickBot="1">
      <c r="A141">
        <v>2</v>
      </c>
      <c r="B141" s="120">
        <f t="shared" si="62"/>
        <v>393021</v>
      </c>
      <c r="C141" s="120" t="e">
        <f t="shared" si="63"/>
        <v>#N/A</v>
      </c>
      <c r="D141" s="137"/>
      <c r="E141" s="150" t="str">
        <f>工種!A48</f>
        <v>60108</v>
      </c>
      <c r="F141" s="119" t="str">
        <f>工種!B48</f>
        <v>ﾘﾘｰｽ：ﾚﾋﾞｭｰ</v>
      </c>
      <c r="G141" s="116" t="str">
        <f t="shared" si="64"/>
        <v>39302160108</v>
      </c>
      <c r="H141" s="88">
        <f t="shared" si="18"/>
        <v>0</v>
      </c>
      <c r="I141" s="132"/>
      <c r="J141" s="88">
        <f>SUMIF(月間集計シート!$M$29:$M$48,$G141,月間集計シート!N$29:N$48)*J$2</f>
        <v>0</v>
      </c>
      <c r="K141" s="88">
        <f>SUMIF(月間集計シート!$M$29:$M$48,$G141,月間集計シート!O$29:O$48)*K$2</f>
        <v>0</v>
      </c>
      <c r="L141" s="88">
        <f>SUMIF(月間集計シート!$M$29:$M$48,$G141,月間集計シート!P$29:P$48)*L$2</f>
        <v>0</v>
      </c>
      <c r="M141" s="88">
        <f>SUMIF(月間集計シート!$M$29:$M$48,$G141,月間集計シート!Q$29:Q$48)*M$2</f>
        <v>0</v>
      </c>
      <c r="N141" s="88">
        <f>SUMIF(月間集計シート!$M$29:$M$48,$G141,月間集計シート!R$29:R$48)*N$2</f>
        <v>0</v>
      </c>
      <c r="O141" s="88">
        <f>SUMIF(月間集計シート!$M$29:$M$48,$G141,月間集計シート!S$29:S$48)*O$2</f>
        <v>0</v>
      </c>
      <c r="P141" s="88">
        <f>SUMIF(月間集計シート!$M$29:$M$48,$G141,月間集計シート!T$29:T$48)*P$2</f>
        <v>0</v>
      </c>
      <c r="Q141" s="88">
        <f>SUMIF(月間集計シート!$M$50:$M$69,$G141,月間集計シート!N$50:N$69)*Q$2</f>
        <v>0</v>
      </c>
      <c r="R141" s="88">
        <f>SUMIF(月間集計シート!$M$50:$M$69,$G141,月間集計シート!O$50:O$69)*R$2</f>
        <v>0</v>
      </c>
      <c r="S141" s="88">
        <f>SUMIF(月間集計シート!$M$50:$M$69,$G141,月間集計シート!P$50:P$69)*S$2</f>
        <v>0</v>
      </c>
      <c r="T141" s="88">
        <f>SUMIF(月間集計シート!$M$50:$M$69,$G141,月間集計シート!Q$50:Q$69)*T$2</f>
        <v>0</v>
      </c>
      <c r="U141" s="88">
        <f>SUMIF(月間集計シート!$M$50:$M$69,$G141,月間集計シート!R$50:R$69)*U$2</f>
        <v>0</v>
      </c>
      <c r="V141" s="88">
        <f>SUMIF(月間集計シート!$M$50:$M$69,$G141,月間集計シート!S$50:S$69)*V$2</f>
        <v>0</v>
      </c>
      <c r="W141" s="88">
        <f>SUMIF(月間集計シート!$M$50:$M$69,$G141,月間集計シート!T$50:T$69)*W$2</f>
        <v>0</v>
      </c>
      <c r="X141" s="88">
        <f>SUMIF(月間集計シート!$M$71:$M$90,$G141,月間集計シート!N$71:N$90)*X$2</f>
        <v>0</v>
      </c>
      <c r="Y141" s="88">
        <f>SUMIF(月間集計シート!$M$71:$M$90,$G141,月間集計シート!O$71:O$90)*Y$2</f>
        <v>0</v>
      </c>
      <c r="Z141" s="88">
        <f>SUMIF(月間集計シート!$M$71:$M$90,$G141,月間集計シート!P$71:P$90)*Z$2</f>
        <v>0</v>
      </c>
      <c r="AA141" s="88">
        <f>SUMIF(月間集計シート!$M$71:$M$90,$G141,月間集計シート!Q$71:Q$90)*AA$2</f>
        <v>0</v>
      </c>
      <c r="AB141" s="88">
        <f>SUMIF(月間集計シート!$M$71:$M$90,$G141,月間集計シート!R$71:R$90)*AB$2</f>
        <v>0</v>
      </c>
      <c r="AC141" s="88">
        <f>SUMIF(月間集計シート!$M$71:$M$90,$G141,月間集計シート!S$71:S$90)*AC$2</f>
        <v>0</v>
      </c>
      <c r="AD141" s="88">
        <f>SUMIF(月間集計シート!$M$71:$M$90,$G141,月間集計シート!T$71:T$90)*AD$2</f>
        <v>0</v>
      </c>
      <c r="AE141" s="88">
        <f>SUMIF(月間集計シート!$M$92:$M$111,$G141,月間集計シート!N$92:N$111)*AE$2</f>
        <v>0</v>
      </c>
      <c r="AF141" s="88">
        <f>SUMIF(月間集計シート!$M$92:$M$111,$G141,月間集計シート!O$92:O$111)*AF$2</f>
        <v>0</v>
      </c>
      <c r="AG141" s="88">
        <f>SUMIF(月間集計シート!$M$92:$M$111,$G141,月間集計シート!P$92:P$111)*AG$2</f>
        <v>0</v>
      </c>
      <c r="AH141" s="88">
        <f>SUMIF(月間集計シート!$M$92:$M$111,$G141,月間集計シート!Q$92:Q$111)*AH$2</f>
        <v>0</v>
      </c>
      <c r="AI141" s="88">
        <f>SUMIF(月間集計シート!$M$92:$M$111,$G141,月間集計シート!R$92:R$111)*AI$2</f>
        <v>0</v>
      </c>
      <c r="AJ141" s="88">
        <f>SUMIF(月間集計シート!$M$92:$M$111,$G141,月間集計シート!S$92:S$111)*AJ$2</f>
        <v>0</v>
      </c>
      <c r="AK141" s="88">
        <f>SUMIF(月間集計シート!$M$92:$M$111,$G141,月間集計シート!T$92:T$111)*AK$2</f>
        <v>0</v>
      </c>
      <c r="AL141" s="88">
        <f>SUMIF(月間集計シート!$M$113:$M$132,$G141,月間集計シート!N$113:N$132)*AL$2</f>
        <v>0</v>
      </c>
      <c r="AM141" s="88">
        <f>SUMIF(月間集計シート!$M$113:$M$132,$G141,月間集計シート!O$113:O$132)*AM$2</f>
        <v>0</v>
      </c>
      <c r="AN141" s="88">
        <f>SUMIF(月間集計シート!$M$113:$M$132,$G141,月間集計シート!P$113:P$132)*AN$2</f>
        <v>0</v>
      </c>
      <c r="AO141" s="88">
        <f>SUMIF(月間集計シート!$M$113:$M$132,$G141,月間集計シート!Q$113:Q$132)*AO$2</f>
        <v>0</v>
      </c>
      <c r="AP141" s="88">
        <f>SUMIF(月間集計シート!$M$113:$M$132,$G141,月間集計シート!R$113:R$132)*AP$2</f>
        <v>0</v>
      </c>
      <c r="AQ141" s="88">
        <f>SUMIF(月間集計シート!$M$113:$M$132,$G141,月間集計シート!S$113:S$132)*AQ$2</f>
        <v>0</v>
      </c>
      <c r="AR141" s="88">
        <f>SUMIF(月間集計シート!$M$113:$M$132,$G141,月間集計シート!T$113:T$132)*AR$2</f>
        <v>0</v>
      </c>
      <c r="AS141" s="88">
        <f>SUMIF(月間集計シート!$M$134:$M$153,$G141,月間集計シート!N$134:N$153)*AS$2</f>
        <v>0</v>
      </c>
      <c r="AT141" s="88">
        <f>SUMIF(月間集計シート!$M$134:$M$153,$G141,月間集計シート!O$134:O$153)*AT$2</f>
        <v>0</v>
      </c>
      <c r="AU141" s="88">
        <f>SUMIF(月間集計シート!$M$134:$M$153,$G141,月間集計シート!P$134:P$153)*AU$2</f>
        <v>0</v>
      </c>
      <c r="AV141" s="88">
        <f>SUMIF(月間集計シート!$M$134:$M$153,$G141,月間集計シート!Q$134:Q$153)*AV$2</f>
        <v>0</v>
      </c>
      <c r="AW141" s="88">
        <f>SUMIF(月間集計シート!$M$134:$M$153,$G141,月間集計シート!R$134:R$153)*AW$2</f>
        <v>0</v>
      </c>
      <c r="AX141" s="88">
        <f>SUMIF(月間集計シート!$M$134:$M$153,$G141,月間集計シート!S$134:S$153)*AX$2</f>
        <v>0</v>
      </c>
      <c r="AY141" s="88">
        <f>SUMIF(月間集計シート!$M$134:$M$153,$G141,月間集計シート!T$134:T$153)*AY$2</f>
        <v>0</v>
      </c>
    </row>
    <row r="142" spans="1:51" ht="14.25" thickBot="1">
      <c r="A142">
        <v>2</v>
      </c>
      <c r="B142" s="120">
        <f t="shared" si="62"/>
        <v>393021</v>
      </c>
      <c r="C142" s="120" t="e">
        <f t="shared" si="63"/>
        <v>#N/A</v>
      </c>
      <c r="D142" s="137"/>
      <c r="E142" s="150" t="str">
        <f>工種!A49</f>
        <v>60199</v>
      </c>
      <c r="F142" s="119" t="str">
        <f>工種!B49</f>
        <v>ﾘﾘｰｽ：その他</v>
      </c>
      <c r="G142" s="116" t="str">
        <f t="shared" si="64"/>
        <v>39302160199</v>
      </c>
      <c r="H142" s="88">
        <f t="shared" si="18"/>
        <v>0</v>
      </c>
      <c r="I142" s="132"/>
      <c r="J142" s="88">
        <f>SUMIF(月間集計シート!$M$29:$M$48,$G142,月間集計シート!N$29:N$48)*J$2</f>
        <v>0</v>
      </c>
      <c r="K142" s="88">
        <f>SUMIF(月間集計シート!$M$29:$M$48,$G142,月間集計シート!O$29:O$48)*K$2</f>
        <v>0</v>
      </c>
      <c r="L142" s="88">
        <f>SUMIF(月間集計シート!$M$29:$M$48,$G142,月間集計シート!P$29:P$48)*L$2</f>
        <v>0</v>
      </c>
      <c r="M142" s="88">
        <f>SUMIF(月間集計シート!$M$29:$M$48,$G142,月間集計シート!Q$29:Q$48)*M$2</f>
        <v>0</v>
      </c>
      <c r="N142" s="88">
        <f>SUMIF(月間集計シート!$M$29:$M$48,$G142,月間集計シート!R$29:R$48)*N$2</f>
        <v>0</v>
      </c>
      <c r="O142" s="88">
        <f>SUMIF(月間集計シート!$M$29:$M$48,$G142,月間集計シート!S$29:S$48)*O$2</f>
        <v>0</v>
      </c>
      <c r="P142" s="88">
        <f>SUMIF(月間集計シート!$M$29:$M$48,$G142,月間集計シート!T$29:T$48)*P$2</f>
        <v>0</v>
      </c>
      <c r="Q142" s="88">
        <f>SUMIF(月間集計シート!$M$50:$M$69,$G142,月間集計シート!N$50:N$69)*Q$2</f>
        <v>0</v>
      </c>
      <c r="R142" s="88">
        <f>SUMIF(月間集計シート!$M$50:$M$69,$G142,月間集計シート!O$50:O$69)*R$2</f>
        <v>0</v>
      </c>
      <c r="S142" s="88">
        <f>SUMIF(月間集計シート!$M$50:$M$69,$G142,月間集計シート!P$50:P$69)*S$2</f>
        <v>0</v>
      </c>
      <c r="T142" s="88">
        <f>SUMIF(月間集計シート!$M$50:$M$69,$G142,月間集計シート!Q$50:Q$69)*T$2</f>
        <v>0</v>
      </c>
      <c r="U142" s="88">
        <f>SUMIF(月間集計シート!$M$50:$M$69,$G142,月間集計シート!R$50:R$69)*U$2</f>
        <v>0</v>
      </c>
      <c r="V142" s="88">
        <f>SUMIF(月間集計シート!$M$50:$M$69,$G142,月間集計シート!S$50:S$69)*V$2</f>
        <v>0</v>
      </c>
      <c r="W142" s="88">
        <f>SUMIF(月間集計シート!$M$50:$M$69,$G142,月間集計シート!T$50:T$69)*W$2</f>
        <v>0</v>
      </c>
      <c r="X142" s="88">
        <f>SUMIF(月間集計シート!$M$71:$M$90,$G142,月間集計シート!N$71:N$90)*X$2</f>
        <v>0</v>
      </c>
      <c r="Y142" s="88">
        <f>SUMIF(月間集計シート!$M$71:$M$90,$G142,月間集計シート!O$71:O$90)*Y$2</f>
        <v>0</v>
      </c>
      <c r="Z142" s="88">
        <f>SUMIF(月間集計シート!$M$71:$M$90,$G142,月間集計シート!P$71:P$90)*Z$2</f>
        <v>0</v>
      </c>
      <c r="AA142" s="88">
        <f>SUMIF(月間集計シート!$M$71:$M$90,$G142,月間集計シート!Q$71:Q$90)*AA$2</f>
        <v>0</v>
      </c>
      <c r="AB142" s="88">
        <f>SUMIF(月間集計シート!$M$71:$M$90,$G142,月間集計シート!R$71:R$90)*AB$2</f>
        <v>0</v>
      </c>
      <c r="AC142" s="88">
        <f>SUMIF(月間集計シート!$M$71:$M$90,$G142,月間集計シート!S$71:S$90)*AC$2</f>
        <v>0</v>
      </c>
      <c r="AD142" s="88">
        <f>SUMIF(月間集計シート!$M$71:$M$90,$G142,月間集計シート!T$71:T$90)*AD$2</f>
        <v>0</v>
      </c>
      <c r="AE142" s="88">
        <f>SUMIF(月間集計シート!$M$92:$M$111,$G142,月間集計シート!N$92:N$111)*AE$2</f>
        <v>0</v>
      </c>
      <c r="AF142" s="88">
        <f>SUMIF(月間集計シート!$M$92:$M$111,$G142,月間集計シート!O$92:O$111)*AF$2</f>
        <v>0</v>
      </c>
      <c r="AG142" s="88">
        <f>SUMIF(月間集計シート!$M$92:$M$111,$G142,月間集計シート!P$92:P$111)*AG$2</f>
        <v>0</v>
      </c>
      <c r="AH142" s="88">
        <f>SUMIF(月間集計シート!$M$92:$M$111,$G142,月間集計シート!Q$92:Q$111)*AH$2</f>
        <v>0</v>
      </c>
      <c r="AI142" s="88">
        <f>SUMIF(月間集計シート!$M$92:$M$111,$G142,月間集計シート!R$92:R$111)*AI$2</f>
        <v>0</v>
      </c>
      <c r="AJ142" s="88">
        <f>SUMIF(月間集計シート!$M$92:$M$111,$G142,月間集計シート!S$92:S$111)*AJ$2</f>
        <v>0</v>
      </c>
      <c r="AK142" s="88">
        <f>SUMIF(月間集計シート!$M$92:$M$111,$G142,月間集計シート!T$92:T$111)*AK$2</f>
        <v>0</v>
      </c>
      <c r="AL142" s="88">
        <f>SUMIF(月間集計シート!$M$113:$M$132,$G142,月間集計シート!N$113:N$132)*AL$2</f>
        <v>0</v>
      </c>
      <c r="AM142" s="88">
        <f>SUMIF(月間集計シート!$M$113:$M$132,$G142,月間集計シート!O$113:O$132)*AM$2</f>
        <v>0</v>
      </c>
      <c r="AN142" s="88">
        <f>SUMIF(月間集計シート!$M$113:$M$132,$G142,月間集計シート!P$113:P$132)*AN$2</f>
        <v>0</v>
      </c>
      <c r="AO142" s="88">
        <f>SUMIF(月間集計シート!$M$113:$M$132,$G142,月間集計シート!Q$113:Q$132)*AO$2</f>
        <v>0</v>
      </c>
      <c r="AP142" s="88">
        <f>SUMIF(月間集計シート!$M$113:$M$132,$G142,月間集計シート!R$113:R$132)*AP$2</f>
        <v>0</v>
      </c>
      <c r="AQ142" s="88">
        <f>SUMIF(月間集計シート!$M$113:$M$132,$G142,月間集計シート!S$113:S$132)*AQ$2</f>
        <v>0</v>
      </c>
      <c r="AR142" s="88">
        <f>SUMIF(月間集計シート!$M$113:$M$132,$G142,月間集計シート!T$113:T$132)*AR$2</f>
        <v>0</v>
      </c>
      <c r="AS142" s="88">
        <f>SUMIF(月間集計シート!$M$134:$M$153,$G142,月間集計シート!N$134:N$153)*AS$2</f>
        <v>0</v>
      </c>
      <c r="AT142" s="88">
        <f>SUMIF(月間集計シート!$M$134:$M$153,$G142,月間集計シート!O$134:O$153)*AT$2</f>
        <v>0</v>
      </c>
      <c r="AU142" s="88">
        <f>SUMIF(月間集計シート!$M$134:$M$153,$G142,月間集計シート!P$134:P$153)*AU$2</f>
        <v>0</v>
      </c>
      <c r="AV142" s="88">
        <f>SUMIF(月間集計シート!$M$134:$M$153,$G142,月間集計シート!Q$134:Q$153)*AV$2</f>
        <v>0</v>
      </c>
      <c r="AW142" s="88">
        <f>SUMIF(月間集計シート!$M$134:$M$153,$G142,月間集計シート!R$134:R$153)*AW$2</f>
        <v>0</v>
      </c>
      <c r="AX142" s="88">
        <f>SUMIF(月間集計シート!$M$134:$M$153,$G142,月間集計シート!S$134:S$153)*AX$2</f>
        <v>0</v>
      </c>
      <c r="AY142" s="88">
        <f>SUMIF(月間集計シート!$M$134:$M$153,$G142,月間集計シート!T$134:T$153)*AY$2</f>
        <v>0</v>
      </c>
    </row>
    <row r="143" spans="1:51" ht="14.25" thickBot="1">
      <c r="A143">
        <v>2</v>
      </c>
      <c r="B143" s="120">
        <f t="shared" si="62"/>
        <v>393021</v>
      </c>
      <c r="C143" s="120" t="e">
        <f t="shared" si="63"/>
        <v>#N/A</v>
      </c>
      <c r="D143" s="137"/>
      <c r="E143" s="150">
        <f>工種!A50</f>
        <v>70101</v>
      </c>
      <c r="F143" s="119" t="str">
        <f>工種!B50</f>
        <v>外部不具合修正：調査・設計</v>
      </c>
      <c r="G143" s="116" t="str">
        <f t="shared" si="64"/>
        <v>39302170101</v>
      </c>
      <c r="H143" s="88">
        <f t="shared" si="18"/>
        <v>0</v>
      </c>
      <c r="I143" s="132"/>
      <c r="J143" s="88">
        <f>SUMIF(月間集計シート!$M$29:$M$48,$G143,月間集計シート!N$29:N$48)*J$2</f>
        <v>0</v>
      </c>
      <c r="K143" s="88">
        <f>SUMIF(月間集計シート!$M$29:$M$48,$G143,月間集計シート!O$29:O$48)*K$2</f>
        <v>0</v>
      </c>
      <c r="L143" s="88">
        <f>SUMIF(月間集計シート!$M$29:$M$48,$G143,月間集計シート!P$29:P$48)*L$2</f>
        <v>0</v>
      </c>
      <c r="M143" s="88">
        <f>SUMIF(月間集計シート!$M$29:$M$48,$G143,月間集計シート!Q$29:Q$48)*M$2</f>
        <v>0</v>
      </c>
      <c r="N143" s="88">
        <f>SUMIF(月間集計シート!$M$29:$M$48,$G143,月間集計シート!R$29:R$48)*N$2</f>
        <v>0</v>
      </c>
      <c r="O143" s="88">
        <f>SUMIF(月間集計シート!$M$29:$M$48,$G143,月間集計シート!S$29:S$48)*O$2</f>
        <v>0</v>
      </c>
      <c r="P143" s="88">
        <f>SUMIF(月間集計シート!$M$29:$M$48,$G143,月間集計シート!T$29:T$48)*P$2</f>
        <v>0</v>
      </c>
      <c r="Q143" s="88">
        <f>SUMIF(月間集計シート!$M$50:$M$69,$G143,月間集計シート!N$50:N$69)*Q$2</f>
        <v>0</v>
      </c>
      <c r="R143" s="88">
        <f>SUMIF(月間集計シート!$M$50:$M$69,$G143,月間集計シート!O$50:O$69)*R$2</f>
        <v>0</v>
      </c>
      <c r="S143" s="88">
        <f>SUMIF(月間集計シート!$M$50:$M$69,$G143,月間集計シート!P$50:P$69)*S$2</f>
        <v>0</v>
      </c>
      <c r="T143" s="88">
        <f>SUMIF(月間集計シート!$M$50:$M$69,$G143,月間集計シート!Q$50:Q$69)*T$2</f>
        <v>0</v>
      </c>
      <c r="U143" s="88">
        <f>SUMIF(月間集計シート!$M$50:$M$69,$G143,月間集計シート!R$50:R$69)*U$2</f>
        <v>0</v>
      </c>
      <c r="V143" s="88">
        <f>SUMIF(月間集計シート!$M$50:$M$69,$G143,月間集計シート!S$50:S$69)*V$2</f>
        <v>0</v>
      </c>
      <c r="W143" s="88">
        <f>SUMIF(月間集計シート!$M$50:$M$69,$G143,月間集計シート!T$50:T$69)*W$2</f>
        <v>0</v>
      </c>
      <c r="X143" s="88">
        <f>SUMIF(月間集計シート!$M$71:$M$90,$G143,月間集計シート!N$71:N$90)*X$2</f>
        <v>0</v>
      </c>
      <c r="Y143" s="88">
        <f>SUMIF(月間集計シート!$M$71:$M$90,$G143,月間集計シート!O$71:O$90)*Y$2</f>
        <v>0</v>
      </c>
      <c r="Z143" s="88">
        <f>SUMIF(月間集計シート!$M$71:$M$90,$G143,月間集計シート!P$71:P$90)*Z$2</f>
        <v>0</v>
      </c>
      <c r="AA143" s="88">
        <f>SUMIF(月間集計シート!$M$71:$M$90,$G143,月間集計シート!Q$71:Q$90)*AA$2</f>
        <v>0</v>
      </c>
      <c r="AB143" s="88">
        <f>SUMIF(月間集計シート!$M$71:$M$90,$G143,月間集計シート!R$71:R$90)*AB$2</f>
        <v>0</v>
      </c>
      <c r="AC143" s="88">
        <f>SUMIF(月間集計シート!$M$71:$M$90,$G143,月間集計シート!S$71:S$90)*AC$2</f>
        <v>0</v>
      </c>
      <c r="AD143" s="88">
        <f>SUMIF(月間集計シート!$M$71:$M$90,$G143,月間集計シート!T$71:T$90)*AD$2</f>
        <v>0</v>
      </c>
      <c r="AE143" s="88">
        <f>SUMIF(月間集計シート!$M$92:$M$111,$G143,月間集計シート!N$92:N$111)*AE$2</f>
        <v>0</v>
      </c>
      <c r="AF143" s="88">
        <f>SUMIF(月間集計シート!$M$92:$M$111,$G143,月間集計シート!O$92:O$111)*AF$2</f>
        <v>0</v>
      </c>
      <c r="AG143" s="88">
        <f>SUMIF(月間集計シート!$M$92:$M$111,$G143,月間集計シート!P$92:P$111)*AG$2</f>
        <v>0</v>
      </c>
      <c r="AH143" s="88">
        <f>SUMIF(月間集計シート!$M$92:$M$111,$G143,月間集計シート!Q$92:Q$111)*AH$2</f>
        <v>0</v>
      </c>
      <c r="AI143" s="88">
        <f>SUMIF(月間集計シート!$M$92:$M$111,$G143,月間集計シート!R$92:R$111)*AI$2</f>
        <v>0</v>
      </c>
      <c r="AJ143" s="88">
        <f>SUMIF(月間集計シート!$M$92:$M$111,$G143,月間集計シート!S$92:S$111)*AJ$2</f>
        <v>0</v>
      </c>
      <c r="AK143" s="88">
        <f>SUMIF(月間集計シート!$M$92:$M$111,$G143,月間集計シート!T$92:T$111)*AK$2</f>
        <v>0</v>
      </c>
      <c r="AL143" s="88">
        <f>SUMIF(月間集計シート!$M$113:$M$132,$G143,月間集計シート!N$113:N$132)*AL$2</f>
        <v>0</v>
      </c>
      <c r="AM143" s="88">
        <f>SUMIF(月間集計シート!$M$113:$M$132,$G143,月間集計シート!O$113:O$132)*AM$2</f>
        <v>0</v>
      </c>
      <c r="AN143" s="88">
        <f>SUMIF(月間集計シート!$M$113:$M$132,$G143,月間集計シート!P$113:P$132)*AN$2</f>
        <v>0</v>
      </c>
      <c r="AO143" s="88">
        <f>SUMIF(月間集計シート!$M$113:$M$132,$G143,月間集計シート!Q$113:Q$132)*AO$2</f>
        <v>0</v>
      </c>
      <c r="AP143" s="88">
        <f>SUMIF(月間集計シート!$M$113:$M$132,$G143,月間集計シート!R$113:R$132)*AP$2</f>
        <v>0</v>
      </c>
      <c r="AQ143" s="88">
        <f>SUMIF(月間集計シート!$M$113:$M$132,$G143,月間集計シート!S$113:S$132)*AQ$2</f>
        <v>0</v>
      </c>
      <c r="AR143" s="88">
        <f>SUMIF(月間集計シート!$M$113:$M$132,$G143,月間集計シート!T$113:T$132)*AR$2</f>
        <v>0</v>
      </c>
      <c r="AS143" s="88">
        <f>SUMIF(月間集計シート!$M$134:$M$153,$G143,月間集計シート!N$134:N$153)*AS$2</f>
        <v>0</v>
      </c>
      <c r="AT143" s="88">
        <f>SUMIF(月間集計シート!$M$134:$M$153,$G143,月間集計シート!O$134:O$153)*AT$2</f>
        <v>0</v>
      </c>
      <c r="AU143" s="88">
        <f>SUMIF(月間集計シート!$M$134:$M$153,$G143,月間集計シート!P$134:P$153)*AU$2</f>
        <v>0</v>
      </c>
      <c r="AV143" s="88">
        <f>SUMIF(月間集計シート!$M$134:$M$153,$G143,月間集計シート!Q$134:Q$153)*AV$2</f>
        <v>0</v>
      </c>
      <c r="AW143" s="88">
        <f>SUMIF(月間集計シート!$M$134:$M$153,$G143,月間集計シート!R$134:R$153)*AW$2</f>
        <v>0</v>
      </c>
      <c r="AX143" s="88">
        <f>SUMIF(月間集計シート!$M$134:$M$153,$G143,月間集計シート!S$134:S$153)*AX$2</f>
        <v>0</v>
      </c>
      <c r="AY143" s="88">
        <f>SUMIF(月間集計シート!$M$134:$M$153,$G143,月間集計シート!T$134:T$153)*AY$2</f>
        <v>0</v>
      </c>
    </row>
    <row r="144" spans="1:51" ht="14.25" thickBot="1">
      <c r="A144">
        <v>2</v>
      </c>
      <c r="B144" s="120">
        <f t="shared" si="62"/>
        <v>393021</v>
      </c>
      <c r="C144" s="120" t="e">
        <f t="shared" si="63"/>
        <v>#N/A</v>
      </c>
      <c r="D144" s="137"/>
      <c r="E144" s="150">
        <f>工種!A51</f>
        <v>70102</v>
      </c>
      <c r="F144" s="119" t="str">
        <f>工種!B51</f>
        <v>外部不具合修正：コーディング</v>
      </c>
      <c r="G144" s="116" t="str">
        <f t="shared" si="64"/>
        <v>39302170102</v>
      </c>
      <c r="H144" s="88">
        <f t="shared" si="18"/>
        <v>0</v>
      </c>
      <c r="I144" s="132"/>
      <c r="J144" s="88">
        <f>SUMIF(月間集計シート!$M$29:$M$48,$G144,月間集計シート!N$29:N$48)*J$2</f>
        <v>0</v>
      </c>
      <c r="K144" s="88">
        <f>SUMIF(月間集計シート!$M$29:$M$48,$G144,月間集計シート!O$29:O$48)*K$2</f>
        <v>0</v>
      </c>
      <c r="L144" s="88">
        <f>SUMIF(月間集計シート!$M$29:$M$48,$G144,月間集計シート!P$29:P$48)*L$2</f>
        <v>0</v>
      </c>
      <c r="M144" s="88">
        <f>SUMIF(月間集計シート!$M$29:$M$48,$G144,月間集計シート!Q$29:Q$48)*M$2</f>
        <v>0</v>
      </c>
      <c r="N144" s="88">
        <f>SUMIF(月間集計シート!$M$29:$M$48,$G144,月間集計シート!R$29:R$48)*N$2</f>
        <v>0</v>
      </c>
      <c r="O144" s="88">
        <f>SUMIF(月間集計シート!$M$29:$M$48,$G144,月間集計シート!S$29:S$48)*O$2</f>
        <v>0</v>
      </c>
      <c r="P144" s="88">
        <f>SUMIF(月間集計シート!$M$29:$M$48,$G144,月間集計シート!T$29:T$48)*P$2</f>
        <v>0</v>
      </c>
      <c r="Q144" s="88">
        <f>SUMIF(月間集計シート!$M$50:$M$69,$G144,月間集計シート!N$50:N$69)*Q$2</f>
        <v>0</v>
      </c>
      <c r="R144" s="88">
        <f>SUMIF(月間集計シート!$M$50:$M$69,$G144,月間集計シート!O$50:O$69)*R$2</f>
        <v>0</v>
      </c>
      <c r="S144" s="88">
        <f>SUMIF(月間集計シート!$M$50:$M$69,$G144,月間集計シート!P$50:P$69)*S$2</f>
        <v>0</v>
      </c>
      <c r="T144" s="88">
        <f>SUMIF(月間集計シート!$M$50:$M$69,$G144,月間集計シート!Q$50:Q$69)*T$2</f>
        <v>0</v>
      </c>
      <c r="U144" s="88">
        <f>SUMIF(月間集計シート!$M$50:$M$69,$G144,月間集計シート!R$50:R$69)*U$2</f>
        <v>0</v>
      </c>
      <c r="V144" s="88">
        <f>SUMIF(月間集計シート!$M$50:$M$69,$G144,月間集計シート!S$50:S$69)*V$2</f>
        <v>0</v>
      </c>
      <c r="W144" s="88">
        <f>SUMIF(月間集計シート!$M$50:$M$69,$G144,月間集計シート!T$50:T$69)*W$2</f>
        <v>0</v>
      </c>
      <c r="X144" s="88">
        <f>SUMIF(月間集計シート!$M$71:$M$90,$G144,月間集計シート!N$71:N$90)*X$2</f>
        <v>0</v>
      </c>
      <c r="Y144" s="88">
        <f>SUMIF(月間集計シート!$M$71:$M$90,$G144,月間集計シート!O$71:O$90)*Y$2</f>
        <v>0</v>
      </c>
      <c r="Z144" s="88">
        <f>SUMIF(月間集計シート!$M$71:$M$90,$G144,月間集計シート!P$71:P$90)*Z$2</f>
        <v>0</v>
      </c>
      <c r="AA144" s="88">
        <f>SUMIF(月間集計シート!$M$71:$M$90,$G144,月間集計シート!Q$71:Q$90)*AA$2</f>
        <v>0</v>
      </c>
      <c r="AB144" s="88">
        <f>SUMIF(月間集計シート!$M$71:$M$90,$G144,月間集計シート!R$71:R$90)*AB$2</f>
        <v>0</v>
      </c>
      <c r="AC144" s="88">
        <f>SUMIF(月間集計シート!$M$71:$M$90,$G144,月間集計シート!S$71:S$90)*AC$2</f>
        <v>0</v>
      </c>
      <c r="AD144" s="88">
        <f>SUMIF(月間集計シート!$M$71:$M$90,$G144,月間集計シート!T$71:T$90)*AD$2</f>
        <v>0</v>
      </c>
      <c r="AE144" s="88">
        <f>SUMIF(月間集計シート!$M$92:$M$111,$G144,月間集計シート!N$92:N$111)*AE$2</f>
        <v>0</v>
      </c>
      <c r="AF144" s="88">
        <f>SUMIF(月間集計シート!$M$92:$M$111,$G144,月間集計シート!O$92:O$111)*AF$2</f>
        <v>0</v>
      </c>
      <c r="AG144" s="88">
        <f>SUMIF(月間集計シート!$M$92:$M$111,$G144,月間集計シート!P$92:P$111)*AG$2</f>
        <v>0</v>
      </c>
      <c r="AH144" s="88">
        <f>SUMIF(月間集計シート!$M$92:$M$111,$G144,月間集計シート!Q$92:Q$111)*AH$2</f>
        <v>0</v>
      </c>
      <c r="AI144" s="88">
        <f>SUMIF(月間集計シート!$M$92:$M$111,$G144,月間集計シート!R$92:R$111)*AI$2</f>
        <v>0</v>
      </c>
      <c r="AJ144" s="88">
        <f>SUMIF(月間集計シート!$M$92:$M$111,$G144,月間集計シート!S$92:S$111)*AJ$2</f>
        <v>0</v>
      </c>
      <c r="AK144" s="88">
        <f>SUMIF(月間集計シート!$M$92:$M$111,$G144,月間集計シート!T$92:T$111)*AK$2</f>
        <v>0</v>
      </c>
      <c r="AL144" s="88">
        <f>SUMIF(月間集計シート!$M$113:$M$132,$G144,月間集計シート!N$113:N$132)*AL$2</f>
        <v>0</v>
      </c>
      <c r="AM144" s="88">
        <f>SUMIF(月間集計シート!$M$113:$M$132,$G144,月間集計シート!O$113:O$132)*AM$2</f>
        <v>0</v>
      </c>
      <c r="AN144" s="88">
        <f>SUMIF(月間集計シート!$M$113:$M$132,$G144,月間集計シート!P$113:P$132)*AN$2</f>
        <v>0</v>
      </c>
      <c r="AO144" s="88">
        <f>SUMIF(月間集計シート!$M$113:$M$132,$G144,月間集計シート!Q$113:Q$132)*AO$2</f>
        <v>0</v>
      </c>
      <c r="AP144" s="88">
        <f>SUMIF(月間集計シート!$M$113:$M$132,$G144,月間集計シート!R$113:R$132)*AP$2</f>
        <v>0</v>
      </c>
      <c r="AQ144" s="88">
        <f>SUMIF(月間集計シート!$M$113:$M$132,$G144,月間集計シート!S$113:S$132)*AQ$2</f>
        <v>0</v>
      </c>
      <c r="AR144" s="88">
        <f>SUMIF(月間集計シート!$M$113:$M$132,$G144,月間集計シート!T$113:T$132)*AR$2</f>
        <v>0</v>
      </c>
      <c r="AS144" s="88">
        <f>SUMIF(月間集計シート!$M$134:$M$153,$G144,月間集計シート!N$134:N$153)*AS$2</f>
        <v>0</v>
      </c>
      <c r="AT144" s="88">
        <f>SUMIF(月間集計シート!$M$134:$M$153,$G144,月間集計シート!O$134:O$153)*AT$2</f>
        <v>0</v>
      </c>
      <c r="AU144" s="88">
        <f>SUMIF(月間集計シート!$M$134:$M$153,$G144,月間集計シート!P$134:P$153)*AU$2</f>
        <v>0</v>
      </c>
      <c r="AV144" s="88">
        <f>SUMIF(月間集計シート!$M$134:$M$153,$G144,月間集計シート!Q$134:Q$153)*AV$2</f>
        <v>0</v>
      </c>
      <c r="AW144" s="88">
        <f>SUMIF(月間集計シート!$M$134:$M$153,$G144,月間集計シート!R$134:R$153)*AW$2</f>
        <v>0</v>
      </c>
      <c r="AX144" s="88">
        <f>SUMIF(月間集計シート!$M$134:$M$153,$G144,月間集計シート!S$134:S$153)*AX$2</f>
        <v>0</v>
      </c>
      <c r="AY144" s="88">
        <f>SUMIF(月間集計シート!$M$134:$M$153,$G144,月間集計シート!T$134:T$153)*AY$2</f>
        <v>0</v>
      </c>
    </row>
    <row r="145" spans="1:51" ht="14.25" thickBot="1">
      <c r="A145">
        <v>2</v>
      </c>
      <c r="B145" s="120">
        <f t="shared" si="62"/>
        <v>393021</v>
      </c>
      <c r="C145" s="120" t="e">
        <f t="shared" si="63"/>
        <v>#N/A</v>
      </c>
      <c r="D145" s="137"/>
      <c r="E145" s="150">
        <f>工種!A52</f>
        <v>70103</v>
      </c>
      <c r="F145" s="119" t="str">
        <f>工種!B52</f>
        <v>外部不具合修正：テスト</v>
      </c>
      <c r="G145" s="116" t="str">
        <f t="shared" si="64"/>
        <v>39302170103</v>
      </c>
      <c r="H145" s="88">
        <f t="shared" si="18"/>
        <v>0</v>
      </c>
      <c r="I145" s="132"/>
      <c r="J145" s="88">
        <f>SUMIF(月間集計シート!$M$29:$M$48,$G145,月間集計シート!N$29:N$48)*J$2</f>
        <v>0</v>
      </c>
      <c r="K145" s="88">
        <f>SUMIF(月間集計シート!$M$29:$M$48,$G145,月間集計シート!O$29:O$48)*K$2</f>
        <v>0</v>
      </c>
      <c r="L145" s="88">
        <f>SUMIF(月間集計シート!$M$29:$M$48,$G145,月間集計シート!P$29:P$48)*L$2</f>
        <v>0</v>
      </c>
      <c r="M145" s="88">
        <f>SUMIF(月間集計シート!$M$29:$M$48,$G145,月間集計シート!Q$29:Q$48)*M$2</f>
        <v>0</v>
      </c>
      <c r="N145" s="88">
        <f>SUMIF(月間集計シート!$M$29:$M$48,$G145,月間集計シート!R$29:R$48)*N$2</f>
        <v>0</v>
      </c>
      <c r="O145" s="88">
        <f>SUMIF(月間集計シート!$M$29:$M$48,$G145,月間集計シート!S$29:S$48)*O$2</f>
        <v>0</v>
      </c>
      <c r="P145" s="88">
        <f>SUMIF(月間集計シート!$M$29:$M$48,$G145,月間集計シート!T$29:T$48)*P$2</f>
        <v>0</v>
      </c>
      <c r="Q145" s="88">
        <f>SUMIF(月間集計シート!$M$50:$M$69,$G145,月間集計シート!N$50:N$69)*Q$2</f>
        <v>0</v>
      </c>
      <c r="R145" s="88">
        <f>SUMIF(月間集計シート!$M$50:$M$69,$G145,月間集計シート!O$50:O$69)*R$2</f>
        <v>0</v>
      </c>
      <c r="S145" s="88">
        <f>SUMIF(月間集計シート!$M$50:$M$69,$G145,月間集計シート!P$50:P$69)*S$2</f>
        <v>0</v>
      </c>
      <c r="T145" s="88">
        <f>SUMIF(月間集計シート!$M$50:$M$69,$G145,月間集計シート!Q$50:Q$69)*T$2</f>
        <v>0</v>
      </c>
      <c r="U145" s="88">
        <f>SUMIF(月間集計シート!$M$50:$M$69,$G145,月間集計シート!R$50:R$69)*U$2</f>
        <v>0</v>
      </c>
      <c r="V145" s="88">
        <f>SUMIF(月間集計シート!$M$50:$M$69,$G145,月間集計シート!S$50:S$69)*V$2</f>
        <v>0</v>
      </c>
      <c r="W145" s="88">
        <f>SUMIF(月間集計シート!$M$50:$M$69,$G145,月間集計シート!T$50:T$69)*W$2</f>
        <v>0</v>
      </c>
      <c r="X145" s="88">
        <f>SUMIF(月間集計シート!$M$71:$M$90,$G145,月間集計シート!N$71:N$90)*X$2</f>
        <v>0</v>
      </c>
      <c r="Y145" s="88">
        <f>SUMIF(月間集計シート!$M$71:$M$90,$G145,月間集計シート!O$71:O$90)*Y$2</f>
        <v>0</v>
      </c>
      <c r="Z145" s="88">
        <f>SUMIF(月間集計シート!$M$71:$M$90,$G145,月間集計シート!P$71:P$90)*Z$2</f>
        <v>0</v>
      </c>
      <c r="AA145" s="88">
        <f>SUMIF(月間集計シート!$M$71:$M$90,$G145,月間集計シート!Q$71:Q$90)*AA$2</f>
        <v>0</v>
      </c>
      <c r="AB145" s="88">
        <f>SUMIF(月間集計シート!$M$71:$M$90,$G145,月間集計シート!R$71:R$90)*AB$2</f>
        <v>0</v>
      </c>
      <c r="AC145" s="88">
        <f>SUMIF(月間集計シート!$M$71:$M$90,$G145,月間集計シート!S$71:S$90)*AC$2</f>
        <v>0</v>
      </c>
      <c r="AD145" s="88">
        <f>SUMIF(月間集計シート!$M$71:$M$90,$G145,月間集計シート!T$71:T$90)*AD$2</f>
        <v>0</v>
      </c>
      <c r="AE145" s="88">
        <f>SUMIF(月間集計シート!$M$92:$M$111,$G145,月間集計シート!N$92:N$111)*AE$2</f>
        <v>0</v>
      </c>
      <c r="AF145" s="88">
        <f>SUMIF(月間集計シート!$M$92:$M$111,$G145,月間集計シート!O$92:O$111)*AF$2</f>
        <v>0</v>
      </c>
      <c r="AG145" s="88">
        <f>SUMIF(月間集計シート!$M$92:$M$111,$G145,月間集計シート!P$92:P$111)*AG$2</f>
        <v>0</v>
      </c>
      <c r="AH145" s="88">
        <f>SUMIF(月間集計シート!$M$92:$M$111,$G145,月間集計シート!Q$92:Q$111)*AH$2</f>
        <v>0</v>
      </c>
      <c r="AI145" s="88">
        <f>SUMIF(月間集計シート!$M$92:$M$111,$G145,月間集計シート!R$92:R$111)*AI$2</f>
        <v>0</v>
      </c>
      <c r="AJ145" s="88">
        <f>SUMIF(月間集計シート!$M$92:$M$111,$G145,月間集計シート!S$92:S$111)*AJ$2</f>
        <v>0</v>
      </c>
      <c r="AK145" s="88">
        <f>SUMIF(月間集計シート!$M$92:$M$111,$G145,月間集計シート!T$92:T$111)*AK$2</f>
        <v>0</v>
      </c>
      <c r="AL145" s="88">
        <f>SUMIF(月間集計シート!$M$113:$M$132,$G145,月間集計シート!N$113:N$132)*AL$2</f>
        <v>0</v>
      </c>
      <c r="AM145" s="88">
        <f>SUMIF(月間集計シート!$M$113:$M$132,$G145,月間集計シート!O$113:O$132)*AM$2</f>
        <v>0</v>
      </c>
      <c r="AN145" s="88">
        <f>SUMIF(月間集計シート!$M$113:$M$132,$G145,月間集計シート!P$113:P$132)*AN$2</f>
        <v>0</v>
      </c>
      <c r="AO145" s="88">
        <f>SUMIF(月間集計シート!$M$113:$M$132,$G145,月間集計シート!Q$113:Q$132)*AO$2</f>
        <v>0</v>
      </c>
      <c r="AP145" s="88">
        <f>SUMIF(月間集計シート!$M$113:$M$132,$G145,月間集計シート!R$113:R$132)*AP$2</f>
        <v>0</v>
      </c>
      <c r="AQ145" s="88">
        <f>SUMIF(月間集計シート!$M$113:$M$132,$G145,月間集計シート!S$113:S$132)*AQ$2</f>
        <v>0</v>
      </c>
      <c r="AR145" s="88">
        <f>SUMIF(月間集計シート!$M$113:$M$132,$G145,月間集計シート!T$113:T$132)*AR$2</f>
        <v>0</v>
      </c>
      <c r="AS145" s="88">
        <f>SUMIF(月間集計シート!$M$134:$M$153,$G145,月間集計シート!N$134:N$153)*AS$2</f>
        <v>0</v>
      </c>
      <c r="AT145" s="88">
        <f>SUMIF(月間集計シート!$M$134:$M$153,$G145,月間集計シート!O$134:O$153)*AT$2</f>
        <v>0</v>
      </c>
      <c r="AU145" s="88">
        <f>SUMIF(月間集計シート!$M$134:$M$153,$G145,月間集計シート!P$134:P$153)*AU$2</f>
        <v>0</v>
      </c>
      <c r="AV145" s="88">
        <f>SUMIF(月間集計シート!$M$134:$M$153,$G145,月間集計シート!Q$134:Q$153)*AV$2</f>
        <v>0</v>
      </c>
      <c r="AW145" s="88">
        <f>SUMIF(月間集計シート!$M$134:$M$153,$G145,月間集計シート!R$134:R$153)*AW$2</f>
        <v>0</v>
      </c>
      <c r="AX145" s="88">
        <f>SUMIF(月間集計シート!$M$134:$M$153,$G145,月間集計シート!S$134:S$153)*AX$2</f>
        <v>0</v>
      </c>
      <c r="AY145" s="88">
        <f>SUMIF(月間集計シート!$M$134:$M$153,$G145,月間集計シート!T$134:T$153)*AY$2</f>
        <v>0</v>
      </c>
    </row>
    <row r="146" spans="1:51" ht="14.25" thickBot="1">
      <c r="A146">
        <v>2</v>
      </c>
      <c r="B146" s="120">
        <f t="shared" si="62"/>
        <v>393021</v>
      </c>
      <c r="C146" s="120" t="e">
        <f t="shared" si="63"/>
        <v>#N/A</v>
      </c>
      <c r="D146" s="137"/>
      <c r="E146" s="150">
        <f>工種!A53</f>
        <v>70104</v>
      </c>
      <c r="F146" s="119" t="str">
        <f>工種!B53</f>
        <v>外部不具合修正：不具合連絡作成</v>
      </c>
      <c r="G146" s="116" t="str">
        <f t="shared" si="64"/>
        <v>39302170104</v>
      </c>
      <c r="H146" s="88">
        <f t="shared" si="18"/>
        <v>0</v>
      </c>
      <c r="I146" s="132"/>
      <c r="J146" s="88">
        <f>SUMIF(月間集計シート!$M$29:$M$48,$G146,月間集計シート!N$29:N$48)*J$2</f>
        <v>0</v>
      </c>
      <c r="K146" s="88">
        <f>SUMIF(月間集計シート!$M$29:$M$48,$G146,月間集計シート!O$29:O$48)*K$2</f>
        <v>0</v>
      </c>
      <c r="L146" s="88">
        <f>SUMIF(月間集計シート!$M$29:$M$48,$G146,月間集計シート!P$29:P$48)*L$2</f>
        <v>0</v>
      </c>
      <c r="M146" s="88">
        <f>SUMIF(月間集計シート!$M$29:$M$48,$G146,月間集計シート!Q$29:Q$48)*M$2</f>
        <v>0</v>
      </c>
      <c r="N146" s="88">
        <f>SUMIF(月間集計シート!$M$29:$M$48,$G146,月間集計シート!R$29:R$48)*N$2</f>
        <v>0</v>
      </c>
      <c r="O146" s="88">
        <f>SUMIF(月間集計シート!$M$29:$M$48,$G146,月間集計シート!S$29:S$48)*O$2</f>
        <v>0</v>
      </c>
      <c r="P146" s="88">
        <f>SUMIF(月間集計シート!$M$29:$M$48,$G146,月間集計シート!T$29:T$48)*P$2</f>
        <v>0</v>
      </c>
      <c r="Q146" s="88">
        <f>SUMIF(月間集計シート!$M$50:$M$69,$G146,月間集計シート!N$50:N$69)*Q$2</f>
        <v>0</v>
      </c>
      <c r="R146" s="88">
        <f>SUMIF(月間集計シート!$M$50:$M$69,$G146,月間集計シート!O$50:O$69)*R$2</f>
        <v>0</v>
      </c>
      <c r="S146" s="88">
        <f>SUMIF(月間集計シート!$M$50:$M$69,$G146,月間集計シート!P$50:P$69)*S$2</f>
        <v>0</v>
      </c>
      <c r="T146" s="88">
        <f>SUMIF(月間集計シート!$M$50:$M$69,$G146,月間集計シート!Q$50:Q$69)*T$2</f>
        <v>0</v>
      </c>
      <c r="U146" s="88">
        <f>SUMIF(月間集計シート!$M$50:$M$69,$G146,月間集計シート!R$50:R$69)*U$2</f>
        <v>0</v>
      </c>
      <c r="V146" s="88">
        <f>SUMIF(月間集計シート!$M$50:$M$69,$G146,月間集計シート!S$50:S$69)*V$2</f>
        <v>0</v>
      </c>
      <c r="W146" s="88">
        <f>SUMIF(月間集計シート!$M$50:$M$69,$G146,月間集計シート!T$50:T$69)*W$2</f>
        <v>0</v>
      </c>
      <c r="X146" s="88">
        <f>SUMIF(月間集計シート!$M$71:$M$90,$G146,月間集計シート!N$71:N$90)*X$2</f>
        <v>0</v>
      </c>
      <c r="Y146" s="88">
        <f>SUMIF(月間集計シート!$M$71:$M$90,$G146,月間集計シート!O$71:O$90)*Y$2</f>
        <v>0</v>
      </c>
      <c r="Z146" s="88">
        <f>SUMIF(月間集計シート!$M$71:$M$90,$G146,月間集計シート!P$71:P$90)*Z$2</f>
        <v>0</v>
      </c>
      <c r="AA146" s="88">
        <f>SUMIF(月間集計シート!$M$71:$M$90,$G146,月間集計シート!Q$71:Q$90)*AA$2</f>
        <v>0</v>
      </c>
      <c r="AB146" s="88">
        <f>SUMIF(月間集計シート!$M$71:$M$90,$G146,月間集計シート!R$71:R$90)*AB$2</f>
        <v>0</v>
      </c>
      <c r="AC146" s="88">
        <f>SUMIF(月間集計シート!$M$71:$M$90,$G146,月間集計シート!S$71:S$90)*AC$2</f>
        <v>0</v>
      </c>
      <c r="AD146" s="88">
        <f>SUMIF(月間集計シート!$M$71:$M$90,$G146,月間集計シート!T$71:T$90)*AD$2</f>
        <v>0</v>
      </c>
      <c r="AE146" s="88">
        <f>SUMIF(月間集計シート!$M$92:$M$111,$G146,月間集計シート!N$92:N$111)*AE$2</f>
        <v>0</v>
      </c>
      <c r="AF146" s="88">
        <f>SUMIF(月間集計シート!$M$92:$M$111,$G146,月間集計シート!O$92:O$111)*AF$2</f>
        <v>0</v>
      </c>
      <c r="AG146" s="88">
        <f>SUMIF(月間集計シート!$M$92:$M$111,$G146,月間集計シート!P$92:P$111)*AG$2</f>
        <v>0</v>
      </c>
      <c r="AH146" s="88">
        <f>SUMIF(月間集計シート!$M$92:$M$111,$G146,月間集計シート!Q$92:Q$111)*AH$2</f>
        <v>0</v>
      </c>
      <c r="AI146" s="88">
        <f>SUMIF(月間集計シート!$M$92:$M$111,$G146,月間集計シート!R$92:R$111)*AI$2</f>
        <v>0</v>
      </c>
      <c r="AJ146" s="88">
        <f>SUMIF(月間集計シート!$M$92:$M$111,$G146,月間集計シート!S$92:S$111)*AJ$2</f>
        <v>0</v>
      </c>
      <c r="AK146" s="88">
        <f>SUMIF(月間集計シート!$M$92:$M$111,$G146,月間集計シート!T$92:T$111)*AK$2</f>
        <v>0</v>
      </c>
      <c r="AL146" s="88">
        <f>SUMIF(月間集計シート!$M$113:$M$132,$G146,月間集計シート!N$113:N$132)*AL$2</f>
        <v>0</v>
      </c>
      <c r="AM146" s="88">
        <f>SUMIF(月間集計シート!$M$113:$M$132,$G146,月間集計シート!O$113:O$132)*AM$2</f>
        <v>0</v>
      </c>
      <c r="AN146" s="88">
        <f>SUMIF(月間集計シート!$M$113:$M$132,$G146,月間集計シート!P$113:P$132)*AN$2</f>
        <v>0</v>
      </c>
      <c r="AO146" s="88">
        <f>SUMIF(月間集計シート!$M$113:$M$132,$G146,月間集計シート!Q$113:Q$132)*AO$2</f>
        <v>0</v>
      </c>
      <c r="AP146" s="88">
        <f>SUMIF(月間集計シート!$M$113:$M$132,$G146,月間集計シート!R$113:R$132)*AP$2</f>
        <v>0</v>
      </c>
      <c r="AQ146" s="88">
        <f>SUMIF(月間集計シート!$M$113:$M$132,$G146,月間集計シート!S$113:S$132)*AQ$2</f>
        <v>0</v>
      </c>
      <c r="AR146" s="88">
        <f>SUMIF(月間集計シート!$M$113:$M$132,$G146,月間集計シート!T$113:T$132)*AR$2</f>
        <v>0</v>
      </c>
      <c r="AS146" s="88">
        <f>SUMIF(月間集計シート!$M$134:$M$153,$G146,月間集計シート!N$134:N$153)*AS$2</f>
        <v>0</v>
      </c>
      <c r="AT146" s="88">
        <f>SUMIF(月間集計シート!$M$134:$M$153,$G146,月間集計シート!O$134:O$153)*AT$2</f>
        <v>0</v>
      </c>
      <c r="AU146" s="88">
        <f>SUMIF(月間集計シート!$M$134:$M$153,$G146,月間集計シート!P$134:P$153)*AU$2</f>
        <v>0</v>
      </c>
      <c r="AV146" s="88">
        <f>SUMIF(月間集計シート!$M$134:$M$153,$G146,月間集計シート!Q$134:Q$153)*AV$2</f>
        <v>0</v>
      </c>
      <c r="AW146" s="88">
        <f>SUMIF(月間集計シート!$M$134:$M$153,$G146,月間集計シート!R$134:R$153)*AW$2</f>
        <v>0</v>
      </c>
      <c r="AX146" s="88">
        <f>SUMIF(月間集計シート!$M$134:$M$153,$G146,月間集計シート!S$134:S$153)*AX$2</f>
        <v>0</v>
      </c>
      <c r="AY146" s="88">
        <f>SUMIF(月間集計シート!$M$134:$M$153,$G146,月間集計シート!T$134:T$153)*AY$2</f>
        <v>0</v>
      </c>
    </row>
    <row r="147" spans="1:51" ht="14.25" thickBot="1">
      <c r="A147">
        <v>2</v>
      </c>
      <c r="B147" s="120">
        <f t="shared" si="62"/>
        <v>393021</v>
      </c>
      <c r="C147" s="120" t="e">
        <f t="shared" si="63"/>
        <v>#N/A</v>
      </c>
      <c r="D147" s="137"/>
      <c r="E147" s="150">
        <f>工種!A54</f>
        <v>70105</v>
      </c>
      <c r="F147" s="119" t="str">
        <f>工種!B54</f>
        <v>外部不具合修正：差分PGイントラ掲載</v>
      </c>
      <c r="G147" s="116" t="str">
        <f t="shared" si="64"/>
        <v>39302170105</v>
      </c>
      <c r="H147" s="88">
        <f t="shared" si="18"/>
        <v>0</v>
      </c>
      <c r="I147" s="132"/>
      <c r="J147" s="88">
        <f>SUMIF(月間集計シート!$M$29:$M$48,$G147,月間集計シート!N$29:N$48)*J$2</f>
        <v>0</v>
      </c>
      <c r="K147" s="88">
        <f>SUMIF(月間集計シート!$M$29:$M$48,$G147,月間集計シート!O$29:O$48)*K$2</f>
        <v>0</v>
      </c>
      <c r="L147" s="88">
        <f>SUMIF(月間集計シート!$M$29:$M$48,$G147,月間集計シート!P$29:P$48)*L$2</f>
        <v>0</v>
      </c>
      <c r="M147" s="88">
        <f>SUMIF(月間集計シート!$M$29:$M$48,$G147,月間集計シート!Q$29:Q$48)*M$2</f>
        <v>0</v>
      </c>
      <c r="N147" s="88">
        <f>SUMIF(月間集計シート!$M$29:$M$48,$G147,月間集計シート!R$29:R$48)*N$2</f>
        <v>0</v>
      </c>
      <c r="O147" s="88">
        <f>SUMIF(月間集計シート!$M$29:$M$48,$G147,月間集計シート!S$29:S$48)*O$2</f>
        <v>0</v>
      </c>
      <c r="P147" s="88">
        <f>SUMIF(月間集計シート!$M$29:$M$48,$G147,月間集計シート!T$29:T$48)*P$2</f>
        <v>0</v>
      </c>
      <c r="Q147" s="88">
        <f>SUMIF(月間集計シート!$M$50:$M$69,$G147,月間集計シート!N$50:N$69)*Q$2</f>
        <v>0</v>
      </c>
      <c r="R147" s="88">
        <f>SUMIF(月間集計シート!$M$50:$M$69,$G147,月間集計シート!O$50:O$69)*R$2</f>
        <v>0</v>
      </c>
      <c r="S147" s="88">
        <f>SUMIF(月間集計シート!$M$50:$M$69,$G147,月間集計シート!P$50:P$69)*S$2</f>
        <v>0</v>
      </c>
      <c r="T147" s="88">
        <f>SUMIF(月間集計シート!$M$50:$M$69,$G147,月間集計シート!Q$50:Q$69)*T$2</f>
        <v>0</v>
      </c>
      <c r="U147" s="88">
        <f>SUMIF(月間集計シート!$M$50:$M$69,$G147,月間集計シート!R$50:R$69)*U$2</f>
        <v>0</v>
      </c>
      <c r="V147" s="88">
        <f>SUMIF(月間集計シート!$M$50:$M$69,$G147,月間集計シート!S$50:S$69)*V$2</f>
        <v>0</v>
      </c>
      <c r="W147" s="88">
        <f>SUMIF(月間集計シート!$M$50:$M$69,$G147,月間集計シート!T$50:T$69)*W$2</f>
        <v>0</v>
      </c>
      <c r="X147" s="88">
        <f>SUMIF(月間集計シート!$M$71:$M$90,$G147,月間集計シート!N$71:N$90)*X$2</f>
        <v>0</v>
      </c>
      <c r="Y147" s="88">
        <f>SUMIF(月間集計シート!$M$71:$M$90,$G147,月間集計シート!O$71:O$90)*Y$2</f>
        <v>0</v>
      </c>
      <c r="Z147" s="88">
        <f>SUMIF(月間集計シート!$M$71:$M$90,$G147,月間集計シート!P$71:P$90)*Z$2</f>
        <v>0</v>
      </c>
      <c r="AA147" s="88">
        <f>SUMIF(月間集計シート!$M$71:$M$90,$G147,月間集計シート!Q$71:Q$90)*AA$2</f>
        <v>0</v>
      </c>
      <c r="AB147" s="88">
        <f>SUMIF(月間集計シート!$M$71:$M$90,$G147,月間集計シート!R$71:R$90)*AB$2</f>
        <v>0</v>
      </c>
      <c r="AC147" s="88">
        <f>SUMIF(月間集計シート!$M$71:$M$90,$G147,月間集計シート!S$71:S$90)*AC$2</f>
        <v>0</v>
      </c>
      <c r="AD147" s="88">
        <f>SUMIF(月間集計シート!$M$71:$M$90,$G147,月間集計シート!T$71:T$90)*AD$2</f>
        <v>0</v>
      </c>
      <c r="AE147" s="88">
        <f>SUMIF(月間集計シート!$M$92:$M$111,$G147,月間集計シート!N$92:N$111)*AE$2</f>
        <v>0</v>
      </c>
      <c r="AF147" s="88">
        <f>SUMIF(月間集計シート!$M$92:$M$111,$G147,月間集計シート!O$92:O$111)*AF$2</f>
        <v>0</v>
      </c>
      <c r="AG147" s="88">
        <f>SUMIF(月間集計シート!$M$92:$M$111,$G147,月間集計シート!P$92:P$111)*AG$2</f>
        <v>0</v>
      </c>
      <c r="AH147" s="88">
        <f>SUMIF(月間集計シート!$M$92:$M$111,$G147,月間集計シート!Q$92:Q$111)*AH$2</f>
        <v>0</v>
      </c>
      <c r="AI147" s="88">
        <f>SUMIF(月間集計シート!$M$92:$M$111,$G147,月間集計シート!R$92:R$111)*AI$2</f>
        <v>0</v>
      </c>
      <c r="AJ147" s="88">
        <f>SUMIF(月間集計シート!$M$92:$M$111,$G147,月間集計シート!S$92:S$111)*AJ$2</f>
        <v>0</v>
      </c>
      <c r="AK147" s="88">
        <f>SUMIF(月間集計シート!$M$92:$M$111,$G147,月間集計シート!T$92:T$111)*AK$2</f>
        <v>0</v>
      </c>
      <c r="AL147" s="88">
        <f>SUMIF(月間集計シート!$M$113:$M$132,$G147,月間集計シート!N$113:N$132)*AL$2</f>
        <v>0</v>
      </c>
      <c r="AM147" s="88">
        <f>SUMIF(月間集計シート!$M$113:$M$132,$G147,月間集計シート!O$113:O$132)*AM$2</f>
        <v>0</v>
      </c>
      <c r="AN147" s="88">
        <f>SUMIF(月間集計シート!$M$113:$M$132,$G147,月間集計シート!P$113:P$132)*AN$2</f>
        <v>0</v>
      </c>
      <c r="AO147" s="88">
        <f>SUMIF(月間集計シート!$M$113:$M$132,$G147,月間集計シート!Q$113:Q$132)*AO$2</f>
        <v>0</v>
      </c>
      <c r="AP147" s="88">
        <f>SUMIF(月間集計シート!$M$113:$M$132,$G147,月間集計シート!R$113:R$132)*AP$2</f>
        <v>0</v>
      </c>
      <c r="AQ147" s="88">
        <f>SUMIF(月間集計シート!$M$113:$M$132,$G147,月間集計シート!S$113:S$132)*AQ$2</f>
        <v>0</v>
      </c>
      <c r="AR147" s="88">
        <f>SUMIF(月間集計シート!$M$113:$M$132,$G147,月間集計シート!T$113:T$132)*AR$2</f>
        <v>0</v>
      </c>
      <c r="AS147" s="88">
        <f>SUMIF(月間集計シート!$M$134:$M$153,$G147,月間集計シート!N$134:N$153)*AS$2</f>
        <v>0</v>
      </c>
      <c r="AT147" s="88">
        <f>SUMIF(月間集計シート!$M$134:$M$153,$G147,月間集計シート!O$134:O$153)*AT$2</f>
        <v>0</v>
      </c>
      <c r="AU147" s="88">
        <f>SUMIF(月間集計シート!$M$134:$M$153,$G147,月間集計シート!P$134:P$153)*AU$2</f>
        <v>0</v>
      </c>
      <c r="AV147" s="88">
        <f>SUMIF(月間集計シート!$M$134:$M$153,$G147,月間集計シート!Q$134:Q$153)*AV$2</f>
        <v>0</v>
      </c>
      <c r="AW147" s="88">
        <f>SUMIF(月間集計シート!$M$134:$M$153,$G147,月間集計シート!R$134:R$153)*AW$2</f>
        <v>0</v>
      </c>
      <c r="AX147" s="88">
        <f>SUMIF(月間集計シート!$M$134:$M$153,$G147,月間集計シート!S$134:S$153)*AX$2</f>
        <v>0</v>
      </c>
      <c r="AY147" s="88">
        <f>SUMIF(月間集計シート!$M$134:$M$153,$G147,月間集計シート!T$134:T$153)*AY$2</f>
        <v>0</v>
      </c>
    </row>
    <row r="148" spans="1:51" ht="14.25" thickBot="1">
      <c r="A148">
        <v>2</v>
      </c>
      <c r="B148" s="120">
        <f t="shared" si="62"/>
        <v>393021</v>
      </c>
      <c r="C148" s="120" t="e">
        <f t="shared" si="63"/>
        <v>#N/A</v>
      </c>
      <c r="D148" s="137"/>
      <c r="E148" s="150">
        <f>工種!A55</f>
        <v>70106</v>
      </c>
      <c r="F148" s="119" t="str">
        <f>工種!B55</f>
        <v>外部不具合修正：打合せ</v>
      </c>
      <c r="G148" s="116" t="str">
        <f t="shared" si="64"/>
        <v>39302170106</v>
      </c>
      <c r="H148" s="88">
        <f t="shared" si="18"/>
        <v>0</v>
      </c>
      <c r="I148" s="132"/>
      <c r="J148" s="88">
        <f>SUMIF(月間集計シート!$M$29:$M$48,$G148,月間集計シート!N$29:N$48)*J$2</f>
        <v>0</v>
      </c>
      <c r="K148" s="88">
        <f>SUMIF(月間集計シート!$M$29:$M$48,$G148,月間集計シート!O$29:O$48)*K$2</f>
        <v>0</v>
      </c>
      <c r="L148" s="88">
        <f>SUMIF(月間集計シート!$M$29:$M$48,$G148,月間集計シート!P$29:P$48)*L$2</f>
        <v>0</v>
      </c>
      <c r="M148" s="88">
        <f>SUMIF(月間集計シート!$M$29:$M$48,$G148,月間集計シート!Q$29:Q$48)*M$2</f>
        <v>0</v>
      </c>
      <c r="N148" s="88">
        <f>SUMIF(月間集計シート!$M$29:$M$48,$G148,月間集計シート!R$29:R$48)*N$2</f>
        <v>0</v>
      </c>
      <c r="O148" s="88">
        <f>SUMIF(月間集計シート!$M$29:$M$48,$G148,月間集計シート!S$29:S$48)*O$2</f>
        <v>0</v>
      </c>
      <c r="P148" s="88">
        <f>SUMIF(月間集計シート!$M$29:$M$48,$G148,月間集計シート!T$29:T$48)*P$2</f>
        <v>0</v>
      </c>
      <c r="Q148" s="88">
        <f>SUMIF(月間集計シート!$M$50:$M$69,$G148,月間集計シート!N$50:N$69)*Q$2</f>
        <v>0</v>
      </c>
      <c r="R148" s="88">
        <f>SUMIF(月間集計シート!$M$50:$M$69,$G148,月間集計シート!O$50:O$69)*R$2</f>
        <v>0</v>
      </c>
      <c r="S148" s="88">
        <f>SUMIF(月間集計シート!$M$50:$M$69,$G148,月間集計シート!P$50:P$69)*S$2</f>
        <v>0</v>
      </c>
      <c r="T148" s="88">
        <f>SUMIF(月間集計シート!$M$50:$M$69,$G148,月間集計シート!Q$50:Q$69)*T$2</f>
        <v>0</v>
      </c>
      <c r="U148" s="88">
        <f>SUMIF(月間集計シート!$M$50:$M$69,$G148,月間集計シート!R$50:R$69)*U$2</f>
        <v>0</v>
      </c>
      <c r="V148" s="88">
        <f>SUMIF(月間集計シート!$M$50:$M$69,$G148,月間集計シート!S$50:S$69)*V$2</f>
        <v>0</v>
      </c>
      <c r="W148" s="88">
        <f>SUMIF(月間集計シート!$M$50:$M$69,$G148,月間集計シート!T$50:T$69)*W$2</f>
        <v>0</v>
      </c>
      <c r="X148" s="88">
        <f>SUMIF(月間集計シート!$M$71:$M$90,$G148,月間集計シート!N$71:N$90)*X$2</f>
        <v>0</v>
      </c>
      <c r="Y148" s="88">
        <f>SUMIF(月間集計シート!$M$71:$M$90,$G148,月間集計シート!O$71:O$90)*Y$2</f>
        <v>0</v>
      </c>
      <c r="Z148" s="88">
        <f>SUMIF(月間集計シート!$M$71:$M$90,$G148,月間集計シート!P$71:P$90)*Z$2</f>
        <v>0</v>
      </c>
      <c r="AA148" s="88">
        <f>SUMIF(月間集計シート!$M$71:$M$90,$G148,月間集計シート!Q$71:Q$90)*AA$2</f>
        <v>0</v>
      </c>
      <c r="AB148" s="88">
        <f>SUMIF(月間集計シート!$M$71:$M$90,$G148,月間集計シート!R$71:R$90)*AB$2</f>
        <v>0</v>
      </c>
      <c r="AC148" s="88">
        <f>SUMIF(月間集計シート!$M$71:$M$90,$G148,月間集計シート!S$71:S$90)*AC$2</f>
        <v>0</v>
      </c>
      <c r="AD148" s="88">
        <f>SUMIF(月間集計シート!$M$71:$M$90,$G148,月間集計シート!T$71:T$90)*AD$2</f>
        <v>0</v>
      </c>
      <c r="AE148" s="88">
        <f>SUMIF(月間集計シート!$M$92:$M$111,$G148,月間集計シート!N$92:N$111)*AE$2</f>
        <v>0</v>
      </c>
      <c r="AF148" s="88">
        <f>SUMIF(月間集計シート!$M$92:$M$111,$G148,月間集計シート!O$92:O$111)*AF$2</f>
        <v>0</v>
      </c>
      <c r="AG148" s="88">
        <f>SUMIF(月間集計シート!$M$92:$M$111,$G148,月間集計シート!P$92:P$111)*AG$2</f>
        <v>0</v>
      </c>
      <c r="AH148" s="88">
        <f>SUMIF(月間集計シート!$M$92:$M$111,$G148,月間集計シート!Q$92:Q$111)*AH$2</f>
        <v>0</v>
      </c>
      <c r="AI148" s="88">
        <f>SUMIF(月間集計シート!$M$92:$M$111,$G148,月間集計シート!R$92:R$111)*AI$2</f>
        <v>0</v>
      </c>
      <c r="AJ148" s="88">
        <f>SUMIF(月間集計シート!$M$92:$M$111,$G148,月間集計シート!S$92:S$111)*AJ$2</f>
        <v>0</v>
      </c>
      <c r="AK148" s="88">
        <f>SUMIF(月間集計シート!$M$92:$M$111,$G148,月間集計シート!T$92:T$111)*AK$2</f>
        <v>0</v>
      </c>
      <c r="AL148" s="88">
        <f>SUMIF(月間集計シート!$M$113:$M$132,$G148,月間集計シート!N$113:N$132)*AL$2</f>
        <v>0</v>
      </c>
      <c r="AM148" s="88">
        <f>SUMIF(月間集計シート!$M$113:$M$132,$G148,月間集計シート!O$113:O$132)*AM$2</f>
        <v>0</v>
      </c>
      <c r="AN148" s="88">
        <f>SUMIF(月間集計シート!$M$113:$M$132,$G148,月間集計シート!P$113:P$132)*AN$2</f>
        <v>0</v>
      </c>
      <c r="AO148" s="88">
        <f>SUMIF(月間集計シート!$M$113:$M$132,$G148,月間集計シート!Q$113:Q$132)*AO$2</f>
        <v>0</v>
      </c>
      <c r="AP148" s="88">
        <f>SUMIF(月間集計シート!$M$113:$M$132,$G148,月間集計シート!R$113:R$132)*AP$2</f>
        <v>0</v>
      </c>
      <c r="AQ148" s="88">
        <f>SUMIF(月間集計シート!$M$113:$M$132,$G148,月間集計シート!S$113:S$132)*AQ$2</f>
        <v>0</v>
      </c>
      <c r="AR148" s="88">
        <f>SUMIF(月間集計シート!$M$113:$M$132,$G148,月間集計シート!T$113:T$132)*AR$2</f>
        <v>0</v>
      </c>
      <c r="AS148" s="88">
        <f>SUMIF(月間集計シート!$M$134:$M$153,$G148,月間集計シート!N$134:N$153)*AS$2</f>
        <v>0</v>
      </c>
      <c r="AT148" s="88">
        <f>SUMIF(月間集計シート!$M$134:$M$153,$G148,月間集計シート!O$134:O$153)*AT$2</f>
        <v>0</v>
      </c>
      <c r="AU148" s="88">
        <f>SUMIF(月間集計シート!$M$134:$M$153,$G148,月間集計シート!P$134:P$153)*AU$2</f>
        <v>0</v>
      </c>
      <c r="AV148" s="88">
        <f>SUMIF(月間集計シート!$M$134:$M$153,$G148,月間集計シート!Q$134:Q$153)*AV$2</f>
        <v>0</v>
      </c>
      <c r="AW148" s="88">
        <f>SUMIF(月間集計シート!$M$134:$M$153,$G148,月間集計シート!R$134:R$153)*AW$2</f>
        <v>0</v>
      </c>
      <c r="AX148" s="88">
        <f>SUMIF(月間集計シート!$M$134:$M$153,$G148,月間集計シート!S$134:S$153)*AX$2</f>
        <v>0</v>
      </c>
      <c r="AY148" s="88">
        <f>SUMIF(月間集計シート!$M$134:$M$153,$G148,月間集計シート!T$134:T$153)*AY$2</f>
        <v>0</v>
      </c>
    </row>
    <row r="149" spans="1:51" ht="14.25" thickBot="1">
      <c r="A149">
        <v>2</v>
      </c>
      <c r="B149" s="120">
        <f t="shared" si="62"/>
        <v>393021</v>
      </c>
      <c r="C149" s="120" t="e">
        <f t="shared" si="63"/>
        <v>#N/A</v>
      </c>
      <c r="D149" s="137"/>
      <c r="E149" s="150">
        <f>工種!A56</f>
        <v>70109</v>
      </c>
      <c r="F149" s="119" t="str">
        <f>工種!B56</f>
        <v>外部不具合修正：レビュー</v>
      </c>
      <c r="G149" s="116" t="str">
        <f t="shared" si="64"/>
        <v>39302170109</v>
      </c>
      <c r="H149" s="88">
        <f t="shared" si="18"/>
        <v>0</v>
      </c>
      <c r="I149" s="132"/>
      <c r="J149" s="88">
        <f>SUMIF(月間集計シート!$M$29:$M$48,$G149,月間集計シート!N$29:N$48)*J$2</f>
        <v>0</v>
      </c>
      <c r="K149" s="88">
        <f>SUMIF(月間集計シート!$M$29:$M$48,$G149,月間集計シート!O$29:O$48)*K$2</f>
        <v>0</v>
      </c>
      <c r="L149" s="88">
        <f>SUMIF(月間集計シート!$M$29:$M$48,$G149,月間集計シート!P$29:P$48)*L$2</f>
        <v>0</v>
      </c>
      <c r="M149" s="88">
        <f>SUMIF(月間集計シート!$M$29:$M$48,$G149,月間集計シート!Q$29:Q$48)*M$2</f>
        <v>0</v>
      </c>
      <c r="N149" s="88">
        <f>SUMIF(月間集計シート!$M$29:$M$48,$G149,月間集計シート!R$29:R$48)*N$2</f>
        <v>0</v>
      </c>
      <c r="O149" s="88">
        <f>SUMIF(月間集計シート!$M$29:$M$48,$G149,月間集計シート!S$29:S$48)*O$2</f>
        <v>0</v>
      </c>
      <c r="P149" s="88">
        <f>SUMIF(月間集計シート!$M$29:$M$48,$G149,月間集計シート!T$29:T$48)*P$2</f>
        <v>0</v>
      </c>
      <c r="Q149" s="88">
        <f>SUMIF(月間集計シート!$M$50:$M$69,$G149,月間集計シート!N$50:N$69)*Q$2</f>
        <v>0</v>
      </c>
      <c r="R149" s="88">
        <f>SUMIF(月間集計シート!$M$50:$M$69,$G149,月間集計シート!O$50:O$69)*R$2</f>
        <v>0</v>
      </c>
      <c r="S149" s="88">
        <f>SUMIF(月間集計シート!$M$50:$M$69,$G149,月間集計シート!P$50:P$69)*S$2</f>
        <v>0</v>
      </c>
      <c r="T149" s="88">
        <f>SUMIF(月間集計シート!$M$50:$M$69,$G149,月間集計シート!Q$50:Q$69)*T$2</f>
        <v>0</v>
      </c>
      <c r="U149" s="88">
        <f>SUMIF(月間集計シート!$M$50:$M$69,$G149,月間集計シート!R$50:R$69)*U$2</f>
        <v>0</v>
      </c>
      <c r="V149" s="88">
        <f>SUMIF(月間集計シート!$M$50:$M$69,$G149,月間集計シート!S$50:S$69)*V$2</f>
        <v>0</v>
      </c>
      <c r="W149" s="88">
        <f>SUMIF(月間集計シート!$M$50:$M$69,$G149,月間集計シート!T$50:T$69)*W$2</f>
        <v>0</v>
      </c>
      <c r="X149" s="88">
        <f>SUMIF(月間集計シート!$M$71:$M$90,$G149,月間集計シート!N$71:N$90)*X$2</f>
        <v>0</v>
      </c>
      <c r="Y149" s="88">
        <f>SUMIF(月間集計シート!$M$71:$M$90,$G149,月間集計シート!O$71:O$90)*Y$2</f>
        <v>0</v>
      </c>
      <c r="Z149" s="88">
        <f>SUMIF(月間集計シート!$M$71:$M$90,$G149,月間集計シート!P$71:P$90)*Z$2</f>
        <v>0</v>
      </c>
      <c r="AA149" s="88">
        <f>SUMIF(月間集計シート!$M$71:$M$90,$G149,月間集計シート!Q$71:Q$90)*AA$2</f>
        <v>0</v>
      </c>
      <c r="AB149" s="88">
        <f>SUMIF(月間集計シート!$M$71:$M$90,$G149,月間集計シート!R$71:R$90)*AB$2</f>
        <v>0</v>
      </c>
      <c r="AC149" s="88">
        <f>SUMIF(月間集計シート!$M$71:$M$90,$G149,月間集計シート!S$71:S$90)*AC$2</f>
        <v>0</v>
      </c>
      <c r="AD149" s="88">
        <f>SUMIF(月間集計シート!$M$71:$M$90,$G149,月間集計シート!T$71:T$90)*AD$2</f>
        <v>0</v>
      </c>
      <c r="AE149" s="88">
        <f>SUMIF(月間集計シート!$M$92:$M$111,$G149,月間集計シート!N$92:N$111)*AE$2</f>
        <v>0</v>
      </c>
      <c r="AF149" s="88">
        <f>SUMIF(月間集計シート!$M$92:$M$111,$G149,月間集計シート!O$92:O$111)*AF$2</f>
        <v>0</v>
      </c>
      <c r="AG149" s="88">
        <f>SUMIF(月間集計シート!$M$92:$M$111,$G149,月間集計シート!P$92:P$111)*AG$2</f>
        <v>0</v>
      </c>
      <c r="AH149" s="88">
        <f>SUMIF(月間集計シート!$M$92:$M$111,$G149,月間集計シート!Q$92:Q$111)*AH$2</f>
        <v>0</v>
      </c>
      <c r="AI149" s="88">
        <f>SUMIF(月間集計シート!$M$92:$M$111,$G149,月間集計シート!R$92:R$111)*AI$2</f>
        <v>0</v>
      </c>
      <c r="AJ149" s="88">
        <f>SUMIF(月間集計シート!$M$92:$M$111,$G149,月間集計シート!S$92:S$111)*AJ$2</f>
        <v>0</v>
      </c>
      <c r="AK149" s="88">
        <f>SUMIF(月間集計シート!$M$92:$M$111,$G149,月間集計シート!T$92:T$111)*AK$2</f>
        <v>0</v>
      </c>
      <c r="AL149" s="88">
        <f>SUMIF(月間集計シート!$M$113:$M$132,$G149,月間集計シート!N$113:N$132)*AL$2</f>
        <v>0</v>
      </c>
      <c r="AM149" s="88">
        <f>SUMIF(月間集計シート!$M$113:$M$132,$G149,月間集計シート!O$113:O$132)*AM$2</f>
        <v>0</v>
      </c>
      <c r="AN149" s="88">
        <f>SUMIF(月間集計シート!$M$113:$M$132,$G149,月間集計シート!P$113:P$132)*AN$2</f>
        <v>0</v>
      </c>
      <c r="AO149" s="88">
        <f>SUMIF(月間集計シート!$M$113:$M$132,$G149,月間集計シート!Q$113:Q$132)*AO$2</f>
        <v>0</v>
      </c>
      <c r="AP149" s="88">
        <f>SUMIF(月間集計シート!$M$113:$M$132,$G149,月間集計シート!R$113:R$132)*AP$2</f>
        <v>0</v>
      </c>
      <c r="AQ149" s="88">
        <f>SUMIF(月間集計シート!$M$113:$M$132,$G149,月間集計シート!S$113:S$132)*AQ$2</f>
        <v>0</v>
      </c>
      <c r="AR149" s="88">
        <f>SUMIF(月間集計シート!$M$113:$M$132,$G149,月間集計シート!T$113:T$132)*AR$2</f>
        <v>0</v>
      </c>
      <c r="AS149" s="88">
        <f>SUMIF(月間集計シート!$M$134:$M$153,$G149,月間集計シート!N$134:N$153)*AS$2</f>
        <v>0</v>
      </c>
      <c r="AT149" s="88">
        <f>SUMIF(月間集計シート!$M$134:$M$153,$G149,月間集計シート!O$134:O$153)*AT$2</f>
        <v>0</v>
      </c>
      <c r="AU149" s="88">
        <f>SUMIF(月間集計シート!$M$134:$M$153,$G149,月間集計シート!P$134:P$153)*AU$2</f>
        <v>0</v>
      </c>
      <c r="AV149" s="88">
        <f>SUMIF(月間集計シート!$M$134:$M$153,$G149,月間集計シート!Q$134:Q$153)*AV$2</f>
        <v>0</v>
      </c>
      <c r="AW149" s="88">
        <f>SUMIF(月間集計シート!$M$134:$M$153,$G149,月間集計シート!R$134:R$153)*AW$2</f>
        <v>0</v>
      </c>
      <c r="AX149" s="88">
        <f>SUMIF(月間集計シート!$M$134:$M$153,$G149,月間集計シート!S$134:S$153)*AX$2</f>
        <v>0</v>
      </c>
      <c r="AY149" s="88">
        <f>SUMIF(月間集計シート!$M$134:$M$153,$G149,月間集計シート!T$134:T$153)*AY$2</f>
        <v>0</v>
      </c>
    </row>
    <row r="150" spans="1:51" ht="14.25" thickBot="1">
      <c r="A150">
        <v>2</v>
      </c>
      <c r="B150" s="120">
        <f t="shared" si="62"/>
        <v>393021</v>
      </c>
      <c r="C150" s="120" t="e">
        <f t="shared" si="63"/>
        <v>#N/A</v>
      </c>
      <c r="D150" s="137"/>
      <c r="E150" s="150">
        <f>工種!A57</f>
        <v>70189</v>
      </c>
      <c r="F150" s="119" t="str">
        <f>工種!B57</f>
        <v>外部不具合修正：外部不具合分析</v>
      </c>
      <c r="G150" s="116" t="str">
        <f t="shared" si="64"/>
        <v>39302170189</v>
      </c>
      <c r="H150" s="88">
        <f t="shared" si="18"/>
        <v>0</v>
      </c>
      <c r="I150" s="132"/>
      <c r="J150" s="88">
        <f>SUMIF(月間集計シート!$M$29:$M$48,$G150,月間集計シート!N$29:N$48)*J$2</f>
        <v>0</v>
      </c>
      <c r="K150" s="88">
        <f>SUMIF(月間集計シート!$M$29:$M$48,$G150,月間集計シート!O$29:O$48)*K$2</f>
        <v>0</v>
      </c>
      <c r="L150" s="88">
        <f>SUMIF(月間集計シート!$M$29:$M$48,$G150,月間集計シート!P$29:P$48)*L$2</f>
        <v>0</v>
      </c>
      <c r="M150" s="88">
        <f>SUMIF(月間集計シート!$M$29:$M$48,$G150,月間集計シート!Q$29:Q$48)*M$2</f>
        <v>0</v>
      </c>
      <c r="N150" s="88">
        <f>SUMIF(月間集計シート!$M$29:$M$48,$G150,月間集計シート!R$29:R$48)*N$2</f>
        <v>0</v>
      </c>
      <c r="O150" s="88">
        <f>SUMIF(月間集計シート!$M$29:$M$48,$G150,月間集計シート!S$29:S$48)*O$2</f>
        <v>0</v>
      </c>
      <c r="P150" s="88">
        <f>SUMIF(月間集計シート!$M$29:$M$48,$G150,月間集計シート!T$29:T$48)*P$2</f>
        <v>0</v>
      </c>
      <c r="Q150" s="88">
        <f>SUMIF(月間集計シート!$M$50:$M$69,$G150,月間集計シート!N$50:N$69)*Q$2</f>
        <v>0</v>
      </c>
      <c r="R150" s="88">
        <f>SUMIF(月間集計シート!$M$50:$M$69,$G150,月間集計シート!O$50:O$69)*R$2</f>
        <v>0</v>
      </c>
      <c r="S150" s="88">
        <f>SUMIF(月間集計シート!$M$50:$M$69,$G150,月間集計シート!P$50:P$69)*S$2</f>
        <v>0</v>
      </c>
      <c r="T150" s="88">
        <f>SUMIF(月間集計シート!$M$50:$M$69,$G150,月間集計シート!Q$50:Q$69)*T$2</f>
        <v>0</v>
      </c>
      <c r="U150" s="88">
        <f>SUMIF(月間集計シート!$M$50:$M$69,$G150,月間集計シート!R$50:R$69)*U$2</f>
        <v>0</v>
      </c>
      <c r="V150" s="88">
        <f>SUMIF(月間集計シート!$M$50:$M$69,$G150,月間集計シート!S$50:S$69)*V$2</f>
        <v>0</v>
      </c>
      <c r="W150" s="88">
        <f>SUMIF(月間集計シート!$M$50:$M$69,$G150,月間集計シート!T$50:T$69)*W$2</f>
        <v>0</v>
      </c>
      <c r="X150" s="88">
        <f>SUMIF(月間集計シート!$M$71:$M$90,$G150,月間集計シート!N$71:N$90)*X$2</f>
        <v>0</v>
      </c>
      <c r="Y150" s="88">
        <f>SUMIF(月間集計シート!$M$71:$M$90,$G150,月間集計シート!O$71:O$90)*Y$2</f>
        <v>0</v>
      </c>
      <c r="Z150" s="88">
        <f>SUMIF(月間集計シート!$M$71:$M$90,$G150,月間集計シート!P$71:P$90)*Z$2</f>
        <v>0</v>
      </c>
      <c r="AA150" s="88">
        <f>SUMIF(月間集計シート!$M$71:$M$90,$G150,月間集計シート!Q$71:Q$90)*AA$2</f>
        <v>0</v>
      </c>
      <c r="AB150" s="88">
        <f>SUMIF(月間集計シート!$M$71:$M$90,$G150,月間集計シート!R$71:R$90)*AB$2</f>
        <v>0</v>
      </c>
      <c r="AC150" s="88">
        <f>SUMIF(月間集計シート!$M$71:$M$90,$G150,月間集計シート!S$71:S$90)*AC$2</f>
        <v>0</v>
      </c>
      <c r="AD150" s="88">
        <f>SUMIF(月間集計シート!$M$71:$M$90,$G150,月間集計シート!T$71:T$90)*AD$2</f>
        <v>0</v>
      </c>
      <c r="AE150" s="88">
        <f>SUMIF(月間集計シート!$M$92:$M$111,$G150,月間集計シート!N$92:N$111)*AE$2</f>
        <v>0</v>
      </c>
      <c r="AF150" s="88">
        <f>SUMIF(月間集計シート!$M$92:$M$111,$G150,月間集計シート!O$92:O$111)*AF$2</f>
        <v>0</v>
      </c>
      <c r="AG150" s="88">
        <f>SUMIF(月間集計シート!$M$92:$M$111,$G150,月間集計シート!P$92:P$111)*AG$2</f>
        <v>0</v>
      </c>
      <c r="AH150" s="88">
        <f>SUMIF(月間集計シート!$M$92:$M$111,$G150,月間集計シート!Q$92:Q$111)*AH$2</f>
        <v>0</v>
      </c>
      <c r="AI150" s="88">
        <f>SUMIF(月間集計シート!$M$92:$M$111,$G150,月間集計シート!R$92:R$111)*AI$2</f>
        <v>0</v>
      </c>
      <c r="AJ150" s="88">
        <f>SUMIF(月間集計シート!$M$92:$M$111,$G150,月間集計シート!S$92:S$111)*AJ$2</f>
        <v>0</v>
      </c>
      <c r="AK150" s="88">
        <f>SUMIF(月間集計シート!$M$92:$M$111,$G150,月間集計シート!T$92:T$111)*AK$2</f>
        <v>0</v>
      </c>
      <c r="AL150" s="88">
        <f>SUMIF(月間集計シート!$M$113:$M$132,$G150,月間集計シート!N$113:N$132)*AL$2</f>
        <v>0</v>
      </c>
      <c r="AM150" s="88">
        <f>SUMIF(月間集計シート!$M$113:$M$132,$G150,月間集計シート!O$113:O$132)*AM$2</f>
        <v>0</v>
      </c>
      <c r="AN150" s="88">
        <f>SUMIF(月間集計シート!$M$113:$M$132,$G150,月間集計シート!P$113:P$132)*AN$2</f>
        <v>0</v>
      </c>
      <c r="AO150" s="88">
        <f>SUMIF(月間集計シート!$M$113:$M$132,$G150,月間集計シート!Q$113:Q$132)*AO$2</f>
        <v>0</v>
      </c>
      <c r="AP150" s="88">
        <f>SUMIF(月間集計シート!$M$113:$M$132,$G150,月間集計シート!R$113:R$132)*AP$2</f>
        <v>0</v>
      </c>
      <c r="AQ150" s="88">
        <f>SUMIF(月間集計シート!$M$113:$M$132,$G150,月間集計シート!S$113:S$132)*AQ$2</f>
        <v>0</v>
      </c>
      <c r="AR150" s="88">
        <f>SUMIF(月間集計シート!$M$113:$M$132,$G150,月間集計シート!T$113:T$132)*AR$2</f>
        <v>0</v>
      </c>
      <c r="AS150" s="88">
        <f>SUMIF(月間集計シート!$M$134:$M$153,$G150,月間集計シート!N$134:N$153)*AS$2</f>
        <v>0</v>
      </c>
      <c r="AT150" s="88">
        <f>SUMIF(月間集計シート!$M$134:$M$153,$G150,月間集計シート!O$134:O$153)*AT$2</f>
        <v>0</v>
      </c>
      <c r="AU150" s="88">
        <f>SUMIF(月間集計シート!$M$134:$M$153,$G150,月間集計シート!P$134:P$153)*AU$2</f>
        <v>0</v>
      </c>
      <c r="AV150" s="88">
        <f>SUMIF(月間集計シート!$M$134:$M$153,$G150,月間集計シート!Q$134:Q$153)*AV$2</f>
        <v>0</v>
      </c>
      <c r="AW150" s="88">
        <f>SUMIF(月間集計シート!$M$134:$M$153,$G150,月間集計シート!R$134:R$153)*AW$2</f>
        <v>0</v>
      </c>
      <c r="AX150" s="88">
        <f>SUMIF(月間集計シート!$M$134:$M$153,$G150,月間集計シート!S$134:S$153)*AX$2</f>
        <v>0</v>
      </c>
      <c r="AY150" s="88">
        <f>SUMIF(月間集計シート!$M$134:$M$153,$G150,月間集計シート!T$134:T$153)*AY$2</f>
        <v>0</v>
      </c>
    </row>
    <row r="151" spans="1:51" ht="14.25" thickBot="1">
      <c r="A151">
        <v>2</v>
      </c>
      <c r="B151" s="120">
        <f t="shared" si="62"/>
        <v>393021</v>
      </c>
      <c r="C151" s="120" t="e">
        <f t="shared" si="63"/>
        <v>#N/A</v>
      </c>
      <c r="D151" s="137"/>
      <c r="E151" s="150">
        <f>工種!A58</f>
        <v>70199</v>
      </c>
      <c r="F151" s="119" t="str">
        <f>工種!B58</f>
        <v>外部不具合修正：その他</v>
      </c>
      <c r="G151" s="116" t="str">
        <f t="shared" si="64"/>
        <v>39302170199</v>
      </c>
      <c r="H151" s="88">
        <f t="shared" si="18"/>
        <v>0</v>
      </c>
      <c r="I151" s="132"/>
      <c r="J151" s="88">
        <f>SUMIF(月間集計シート!$M$29:$M$48,$G151,月間集計シート!N$29:N$48)*J$2</f>
        <v>0</v>
      </c>
      <c r="K151" s="88">
        <f>SUMIF(月間集計シート!$M$29:$M$48,$G151,月間集計シート!O$29:O$48)*K$2</f>
        <v>0</v>
      </c>
      <c r="L151" s="88">
        <f>SUMIF(月間集計シート!$M$29:$M$48,$G151,月間集計シート!P$29:P$48)*L$2</f>
        <v>0</v>
      </c>
      <c r="M151" s="88">
        <f>SUMIF(月間集計シート!$M$29:$M$48,$G151,月間集計シート!Q$29:Q$48)*M$2</f>
        <v>0</v>
      </c>
      <c r="N151" s="88">
        <f>SUMIF(月間集計シート!$M$29:$M$48,$G151,月間集計シート!R$29:R$48)*N$2</f>
        <v>0</v>
      </c>
      <c r="O151" s="88">
        <f>SUMIF(月間集計シート!$M$29:$M$48,$G151,月間集計シート!S$29:S$48)*O$2</f>
        <v>0</v>
      </c>
      <c r="P151" s="88">
        <f>SUMIF(月間集計シート!$M$29:$M$48,$G151,月間集計シート!T$29:T$48)*P$2</f>
        <v>0</v>
      </c>
      <c r="Q151" s="88">
        <f>SUMIF(月間集計シート!$M$50:$M$69,$G151,月間集計シート!N$50:N$69)*Q$2</f>
        <v>0</v>
      </c>
      <c r="R151" s="88">
        <f>SUMIF(月間集計シート!$M$50:$M$69,$G151,月間集計シート!O$50:O$69)*R$2</f>
        <v>0</v>
      </c>
      <c r="S151" s="88">
        <f>SUMIF(月間集計シート!$M$50:$M$69,$G151,月間集計シート!P$50:P$69)*S$2</f>
        <v>0</v>
      </c>
      <c r="T151" s="88">
        <f>SUMIF(月間集計シート!$M$50:$M$69,$G151,月間集計シート!Q$50:Q$69)*T$2</f>
        <v>0</v>
      </c>
      <c r="U151" s="88">
        <f>SUMIF(月間集計シート!$M$50:$M$69,$G151,月間集計シート!R$50:R$69)*U$2</f>
        <v>0</v>
      </c>
      <c r="V151" s="88">
        <f>SUMIF(月間集計シート!$M$50:$M$69,$G151,月間集計シート!S$50:S$69)*V$2</f>
        <v>0</v>
      </c>
      <c r="W151" s="88">
        <f>SUMIF(月間集計シート!$M$50:$M$69,$G151,月間集計シート!T$50:T$69)*W$2</f>
        <v>0</v>
      </c>
      <c r="X151" s="88">
        <f>SUMIF(月間集計シート!$M$71:$M$90,$G151,月間集計シート!N$71:N$90)*X$2</f>
        <v>0</v>
      </c>
      <c r="Y151" s="88">
        <f>SUMIF(月間集計シート!$M$71:$M$90,$G151,月間集計シート!O$71:O$90)*Y$2</f>
        <v>0</v>
      </c>
      <c r="Z151" s="88">
        <f>SUMIF(月間集計シート!$M$71:$M$90,$G151,月間集計シート!P$71:P$90)*Z$2</f>
        <v>0</v>
      </c>
      <c r="AA151" s="88">
        <f>SUMIF(月間集計シート!$M$71:$M$90,$G151,月間集計シート!Q$71:Q$90)*AA$2</f>
        <v>0</v>
      </c>
      <c r="AB151" s="88">
        <f>SUMIF(月間集計シート!$M$71:$M$90,$G151,月間集計シート!R$71:R$90)*AB$2</f>
        <v>0</v>
      </c>
      <c r="AC151" s="88">
        <f>SUMIF(月間集計シート!$M$71:$M$90,$G151,月間集計シート!S$71:S$90)*AC$2</f>
        <v>0</v>
      </c>
      <c r="AD151" s="88">
        <f>SUMIF(月間集計シート!$M$71:$M$90,$G151,月間集計シート!T$71:T$90)*AD$2</f>
        <v>0</v>
      </c>
      <c r="AE151" s="88">
        <f>SUMIF(月間集計シート!$M$92:$M$111,$G151,月間集計シート!N$92:N$111)*AE$2</f>
        <v>0</v>
      </c>
      <c r="AF151" s="88">
        <f>SUMIF(月間集計シート!$M$92:$M$111,$G151,月間集計シート!O$92:O$111)*AF$2</f>
        <v>0</v>
      </c>
      <c r="AG151" s="88">
        <f>SUMIF(月間集計シート!$M$92:$M$111,$G151,月間集計シート!P$92:P$111)*AG$2</f>
        <v>0</v>
      </c>
      <c r="AH151" s="88">
        <f>SUMIF(月間集計シート!$M$92:$M$111,$G151,月間集計シート!Q$92:Q$111)*AH$2</f>
        <v>0</v>
      </c>
      <c r="AI151" s="88">
        <f>SUMIF(月間集計シート!$M$92:$M$111,$G151,月間集計シート!R$92:R$111)*AI$2</f>
        <v>0</v>
      </c>
      <c r="AJ151" s="88">
        <f>SUMIF(月間集計シート!$M$92:$M$111,$G151,月間集計シート!S$92:S$111)*AJ$2</f>
        <v>0</v>
      </c>
      <c r="AK151" s="88">
        <f>SUMIF(月間集計シート!$M$92:$M$111,$G151,月間集計シート!T$92:T$111)*AK$2</f>
        <v>0</v>
      </c>
      <c r="AL151" s="88">
        <f>SUMIF(月間集計シート!$M$113:$M$132,$G151,月間集計シート!N$113:N$132)*AL$2</f>
        <v>0</v>
      </c>
      <c r="AM151" s="88">
        <f>SUMIF(月間集計シート!$M$113:$M$132,$G151,月間集計シート!O$113:O$132)*AM$2</f>
        <v>0</v>
      </c>
      <c r="AN151" s="88">
        <f>SUMIF(月間集計シート!$M$113:$M$132,$G151,月間集計シート!P$113:P$132)*AN$2</f>
        <v>0</v>
      </c>
      <c r="AO151" s="88">
        <f>SUMIF(月間集計シート!$M$113:$M$132,$G151,月間集計シート!Q$113:Q$132)*AO$2</f>
        <v>0</v>
      </c>
      <c r="AP151" s="88">
        <f>SUMIF(月間集計シート!$M$113:$M$132,$G151,月間集計シート!R$113:R$132)*AP$2</f>
        <v>0</v>
      </c>
      <c r="AQ151" s="88">
        <f>SUMIF(月間集計シート!$M$113:$M$132,$G151,月間集計シート!S$113:S$132)*AQ$2</f>
        <v>0</v>
      </c>
      <c r="AR151" s="88">
        <f>SUMIF(月間集計シート!$M$113:$M$132,$G151,月間集計シート!T$113:T$132)*AR$2</f>
        <v>0</v>
      </c>
      <c r="AS151" s="88">
        <f>SUMIF(月間集計シート!$M$134:$M$153,$G151,月間集計シート!N$134:N$153)*AS$2</f>
        <v>0</v>
      </c>
      <c r="AT151" s="88">
        <f>SUMIF(月間集計シート!$M$134:$M$153,$G151,月間集計シート!O$134:O$153)*AT$2</f>
        <v>0</v>
      </c>
      <c r="AU151" s="88">
        <f>SUMIF(月間集計シート!$M$134:$M$153,$G151,月間集計シート!P$134:P$153)*AU$2</f>
        <v>0</v>
      </c>
      <c r="AV151" s="88">
        <f>SUMIF(月間集計シート!$M$134:$M$153,$G151,月間集計シート!Q$134:Q$153)*AV$2</f>
        <v>0</v>
      </c>
      <c r="AW151" s="88">
        <f>SUMIF(月間集計シート!$M$134:$M$153,$G151,月間集計シート!R$134:R$153)*AW$2</f>
        <v>0</v>
      </c>
      <c r="AX151" s="88">
        <f>SUMIF(月間集計シート!$M$134:$M$153,$G151,月間集計シート!S$134:S$153)*AX$2</f>
        <v>0</v>
      </c>
      <c r="AY151" s="88">
        <f>SUMIF(月間集計シート!$M$134:$M$153,$G151,月間集計シート!T$134:T$153)*AY$2</f>
        <v>0</v>
      </c>
    </row>
    <row r="152" spans="1:51" ht="14.25" thickBot="1">
      <c r="A152">
        <v>2</v>
      </c>
      <c r="B152" s="120">
        <f t="shared" si="62"/>
        <v>393021</v>
      </c>
      <c r="C152" s="120" t="e">
        <f t="shared" si="63"/>
        <v>#N/A</v>
      </c>
      <c r="D152" s="137"/>
      <c r="E152" s="150" t="str">
        <f>工種!A59</f>
        <v>80101</v>
      </c>
      <c r="F152" s="119" t="str">
        <f>工種!B59</f>
        <v>保守／ｻﾎﾟｰﾄ：調査</v>
      </c>
      <c r="G152" s="116" t="str">
        <f t="shared" si="64"/>
        <v>39302180101</v>
      </c>
      <c r="H152" s="88">
        <f t="shared" si="18"/>
        <v>0</v>
      </c>
      <c r="I152" s="132"/>
      <c r="J152" s="88">
        <f>SUMIF(月間集計シート!$M$29:$M$48,$G152,月間集計シート!N$29:N$48)*J$2</f>
        <v>0</v>
      </c>
      <c r="K152" s="88">
        <f>SUMIF(月間集計シート!$M$29:$M$48,$G152,月間集計シート!O$29:O$48)*K$2</f>
        <v>0</v>
      </c>
      <c r="L152" s="88">
        <f>SUMIF(月間集計シート!$M$29:$M$48,$G152,月間集計シート!P$29:P$48)*L$2</f>
        <v>0</v>
      </c>
      <c r="M152" s="88">
        <f>SUMIF(月間集計シート!$M$29:$M$48,$G152,月間集計シート!Q$29:Q$48)*M$2</f>
        <v>0</v>
      </c>
      <c r="N152" s="88">
        <f>SUMIF(月間集計シート!$M$29:$M$48,$G152,月間集計シート!R$29:R$48)*N$2</f>
        <v>0</v>
      </c>
      <c r="O152" s="88">
        <f>SUMIF(月間集計シート!$M$29:$M$48,$G152,月間集計シート!S$29:S$48)*O$2</f>
        <v>0</v>
      </c>
      <c r="P152" s="88">
        <f>SUMIF(月間集計シート!$M$29:$M$48,$G152,月間集計シート!T$29:T$48)*P$2</f>
        <v>0</v>
      </c>
      <c r="Q152" s="88">
        <f>SUMIF(月間集計シート!$M$50:$M$69,$G152,月間集計シート!N$50:N$69)*Q$2</f>
        <v>0</v>
      </c>
      <c r="R152" s="88">
        <f>SUMIF(月間集計シート!$M$50:$M$69,$G152,月間集計シート!O$50:O$69)*R$2</f>
        <v>0</v>
      </c>
      <c r="S152" s="88">
        <f>SUMIF(月間集計シート!$M$50:$M$69,$G152,月間集計シート!P$50:P$69)*S$2</f>
        <v>0</v>
      </c>
      <c r="T152" s="88">
        <f>SUMIF(月間集計シート!$M$50:$M$69,$G152,月間集計シート!Q$50:Q$69)*T$2</f>
        <v>0</v>
      </c>
      <c r="U152" s="88">
        <f>SUMIF(月間集計シート!$M$50:$M$69,$G152,月間集計シート!R$50:R$69)*U$2</f>
        <v>0</v>
      </c>
      <c r="V152" s="88">
        <f>SUMIF(月間集計シート!$M$50:$M$69,$G152,月間集計シート!S$50:S$69)*V$2</f>
        <v>0</v>
      </c>
      <c r="W152" s="88">
        <f>SUMIF(月間集計シート!$M$50:$M$69,$G152,月間集計シート!T$50:T$69)*W$2</f>
        <v>0</v>
      </c>
      <c r="X152" s="88">
        <f>SUMIF(月間集計シート!$M$71:$M$90,$G152,月間集計シート!N$71:N$90)*X$2</f>
        <v>0</v>
      </c>
      <c r="Y152" s="88">
        <f>SUMIF(月間集計シート!$M$71:$M$90,$G152,月間集計シート!O$71:O$90)*Y$2</f>
        <v>0</v>
      </c>
      <c r="Z152" s="88">
        <f>SUMIF(月間集計シート!$M$71:$M$90,$G152,月間集計シート!P$71:P$90)*Z$2</f>
        <v>0</v>
      </c>
      <c r="AA152" s="88">
        <f>SUMIF(月間集計シート!$M$71:$M$90,$G152,月間集計シート!Q$71:Q$90)*AA$2</f>
        <v>0</v>
      </c>
      <c r="AB152" s="88">
        <f>SUMIF(月間集計シート!$M$71:$M$90,$G152,月間集計シート!R$71:R$90)*AB$2</f>
        <v>0</v>
      </c>
      <c r="AC152" s="88">
        <f>SUMIF(月間集計シート!$M$71:$M$90,$G152,月間集計シート!S$71:S$90)*AC$2</f>
        <v>0</v>
      </c>
      <c r="AD152" s="88">
        <f>SUMIF(月間集計シート!$M$71:$M$90,$G152,月間集計シート!T$71:T$90)*AD$2</f>
        <v>0</v>
      </c>
      <c r="AE152" s="88">
        <f>SUMIF(月間集計シート!$M$92:$M$111,$G152,月間集計シート!N$92:N$111)*AE$2</f>
        <v>0</v>
      </c>
      <c r="AF152" s="88">
        <f>SUMIF(月間集計シート!$M$92:$M$111,$G152,月間集計シート!O$92:O$111)*AF$2</f>
        <v>0</v>
      </c>
      <c r="AG152" s="88">
        <f>SUMIF(月間集計シート!$M$92:$M$111,$G152,月間集計シート!P$92:P$111)*AG$2</f>
        <v>0</v>
      </c>
      <c r="AH152" s="88">
        <f>SUMIF(月間集計シート!$M$92:$M$111,$G152,月間集計シート!Q$92:Q$111)*AH$2</f>
        <v>0</v>
      </c>
      <c r="AI152" s="88">
        <f>SUMIF(月間集計シート!$M$92:$M$111,$G152,月間集計シート!R$92:R$111)*AI$2</f>
        <v>0</v>
      </c>
      <c r="AJ152" s="88">
        <f>SUMIF(月間集計シート!$M$92:$M$111,$G152,月間集計シート!S$92:S$111)*AJ$2</f>
        <v>0</v>
      </c>
      <c r="AK152" s="88">
        <f>SUMIF(月間集計シート!$M$92:$M$111,$G152,月間集計シート!T$92:T$111)*AK$2</f>
        <v>0</v>
      </c>
      <c r="AL152" s="88">
        <f>SUMIF(月間集計シート!$M$113:$M$132,$G152,月間集計シート!N$113:N$132)*AL$2</f>
        <v>0</v>
      </c>
      <c r="AM152" s="88">
        <f>SUMIF(月間集計シート!$M$113:$M$132,$G152,月間集計シート!O$113:O$132)*AM$2</f>
        <v>0</v>
      </c>
      <c r="AN152" s="88">
        <f>SUMIF(月間集計シート!$M$113:$M$132,$G152,月間集計シート!P$113:P$132)*AN$2</f>
        <v>0</v>
      </c>
      <c r="AO152" s="88">
        <f>SUMIF(月間集計シート!$M$113:$M$132,$G152,月間集計シート!Q$113:Q$132)*AO$2</f>
        <v>0</v>
      </c>
      <c r="AP152" s="88">
        <f>SUMIF(月間集計シート!$M$113:$M$132,$G152,月間集計シート!R$113:R$132)*AP$2</f>
        <v>0</v>
      </c>
      <c r="AQ152" s="88">
        <f>SUMIF(月間集計シート!$M$113:$M$132,$G152,月間集計シート!S$113:S$132)*AQ$2</f>
        <v>0</v>
      </c>
      <c r="AR152" s="88">
        <f>SUMIF(月間集計シート!$M$113:$M$132,$G152,月間集計シート!T$113:T$132)*AR$2</f>
        <v>0</v>
      </c>
      <c r="AS152" s="88">
        <f>SUMIF(月間集計シート!$M$134:$M$153,$G152,月間集計シート!N$134:N$153)*AS$2</f>
        <v>0</v>
      </c>
      <c r="AT152" s="88">
        <f>SUMIF(月間集計シート!$M$134:$M$153,$G152,月間集計シート!O$134:O$153)*AT$2</f>
        <v>0</v>
      </c>
      <c r="AU152" s="88">
        <f>SUMIF(月間集計シート!$M$134:$M$153,$G152,月間集計シート!P$134:P$153)*AU$2</f>
        <v>0</v>
      </c>
      <c r="AV152" s="88">
        <f>SUMIF(月間集計シート!$M$134:$M$153,$G152,月間集計シート!Q$134:Q$153)*AV$2</f>
        <v>0</v>
      </c>
      <c r="AW152" s="88">
        <f>SUMIF(月間集計シート!$M$134:$M$153,$G152,月間集計シート!R$134:R$153)*AW$2</f>
        <v>0</v>
      </c>
      <c r="AX152" s="88">
        <f>SUMIF(月間集計シート!$M$134:$M$153,$G152,月間集計シート!S$134:S$153)*AX$2</f>
        <v>0</v>
      </c>
      <c r="AY152" s="88">
        <f>SUMIF(月間集計シート!$M$134:$M$153,$G152,月間集計シート!T$134:T$153)*AY$2</f>
        <v>0</v>
      </c>
    </row>
    <row r="153" spans="1:51" ht="14.25" thickBot="1">
      <c r="A153">
        <v>2</v>
      </c>
      <c r="B153" s="120">
        <f t="shared" si="62"/>
        <v>393021</v>
      </c>
      <c r="C153" s="120" t="e">
        <f t="shared" si="63"/>
        <v>#N/A</v>
      </c>
      <c r="D153" s="137"/>
      <c r="E153" s="150" t="str">
        <f>工種!A60</f>
        <v>80102</v>
      </c>
      <c r="F153" s="119" t="str">
        <f>工種!B60</f>
        <v>保守／ｻﾎﾟｰﾄ：社内問い合わせ</v>
      </c>
      <c r="G153" s="116" t="str">
        <f t="shared" si="64"/>
        <v>39302180102</v>
      </c>
      <c r="H153" s="88">
        <f t="shared" si="18"/>
        <v>0</v>
      </c>
      <c r="I153" s="132"/>
      <c r="J153" s="88">
        <f>SUMIF(月間集計シート!$M$29:$M$48,$G153,月間集計シート!N$29:N$48)*J$2</f>
        <v>0</v>
      </c>
      <c r="K153" s="88">
        <f>SUMIF(月間集計シート!$M$29:$M$48,$G153,月間集計シート!O$29:O$48)*K$2</f>
        <v>0</v>
      </c>
      <c r="L153" s="88">
        <f>SUMIF(月間集計シート!$M$29:$M$48,$G153,月間集計シート!P$29:P$48)*L$2</f>
        <v>0</v>
      </c>
      <c r="M153" s="88">
        <f>SUMIF(月間集計シート!$M$29:$M$48,$G153,月間集計シート!Q$29:Q$48)*M$2</f>
        <v>0</v>
      </c>
      <c r="N153" s="88">
        <f>SUMIF(月間集計シート!$M$29:$M$48,$G153,月間集計シート!R$29:R$48)*N$2</f>
        <v>0</v>
      </c>
      <c r="O153" s="88">
        <f>SUMIF(月間集計シート!$M$29:$M$48,$G153,月間集計シート!S$29:S$48)*O$2</f>
        <v>0</v>
      </c>
      <c r="P153" s="88">
        <f>SUMIF(月間集計シート!$M$29:$M$48,$G153,月間集計シート!T$29:T$48)*P$2</f>
        <v>0</v>
      </c>
      <c r="Q153" s="88">
        <f>SUMIF(月間集計シート!$M$50:$M$69,$G153,月間集計シート!N$50:N$69)*Q$2</f>
        <v>0</v>
      </c>
      <c r="R153" s="88">
        <f>SUMIF(月間集計シート!$M$50:$M$69,$G153,月間集計シート!O$50:O$69)*R$2</f>
        <v>0</v>
      </c>
      <c r="S153" s="88">
        <f>SUMIF(月間集計シート!$M$50:$M$69,$G153,月間集計シート!P$50:P$69)*S$2</f>
        <v>0</v>
      </c>
      <c r="T153" s="88">
        <f>SUMIF(月間集計シート!$M$50:$M$69,$G153,月間集計シート!Q$50:Q$69)*T$2</f>
        <v>0</v>
      </c>
      <c r="U153" s="88">
        <f>SUMIF(月間集計シート!$M$50:$M$69,$G153,月間集計シート!R$50:R$69)*U$2</f>
        <v>0</v>
      </c>
      <c r="V153" s="88">
        <f>SUMIF(月間集計シート!$M$50:$M$69,$G153,月間集計シート!S$50:S$69)*V$2</f>
        <v>0</v>
      </c>
      <c r="W153" s="88">
        <f>SUMIF(月間集計シート!$M$50:$M$69,$G153,月間集計シート!T$50:T$69)*W$2</f>
        <v>0</v>
      </c>
      <c r="X153" s="88">
        <f>SUMIF(月間集計シート!$M$71:$M$90,$G153,月間集計シート!N$71:N$90)*X$2</f>
        <v>0</v>
      </c>
      <c r="Y153" s="88">
        <f>SUMIF(月間集計シート!$M$71:$M$90,$G153,月間集計シート!O$71:O$90)*Y$2</f>
        <v>0</v>
      </c>
      <c r="Z153" s="88">
        <f>SUMIF(月間集計シート!$M$71:$M$90,$G153,月間集計シート!P$71:P$90)*Z$2</f>
        <v>0</v>
      </c>
      <c r="AA153" s="88">
        <f>SUMIF(月間集計シート!$M$71:$M$90,$G153,月間集計シート!Q$71:Q$90)*AA$2</f>
        <v>0</v>
      </c>
      <c r="AB153" s="88">
        <f>SUMIF(月間集計シート!$M$71:$M$90,$G153,月間集計シート!R$71:R$90)*AB$2</f>
        <v>0</v>
      </c>
      <c r="AC153" s="88">
        <f>SUMIF(月間集計シート!$M$71:$M$90,$G153,月間集計シート!S$71:S$90)*AC$2</f>
        <v>0</v>
      </c>
      <c r="AD153" s="88">
        <f>SUMIF(月間集計シート!$M$71:$M$90,$G153,月間集計シート!T$71:T$90)*AD$2</f>
        <v>0</v>
      </c>
      <c r="AE153" s="88">
        <f>SUMIF(月間集計シート!$M$92:$M$111,$G153,月間集計シート!N$92:N$111)*AE$2</f>
        <v>0</v>
      </c>
      <c r="AF153" s="88">
        <f>SUMIF(月間集計シート!$M$92:$M$111,$G153,月間集計シート!O$92:O$111)*AF$2</f>
        <v>0</v>
      </c>
      <c r="AG153" s="88">
        <f>SUMIF(月間集計シート!$M$92:$M$111,$G153,月間集計シート!P$92:P$111)*AG$2</f>
        <v>0</v>
      </c>
      <c r="AH153" s="88">
        <f>SUMIF(月間集計シート!$M$92:$M$111,$G153,月間集計シート!Q$92:Q$111)*AH$2</f>
        <v>0</v>
      </c>
      <c r="AI153" s="88">
        <f>SUMIF(月間集計シート!$M$92:$M$111,$G153,月間集計シート!R$92:R$111)*AI$2</f>
        <v>0</v>
      </c>
      <c r="AJ153" s="88">
        <f>SUMIF(月間集計シート!$M$92:$M$111,$G153,月間集計シート!S$92:S$111)*AJ$2</f>
        <v>0</v>
      </c>
      <c r="AK153" s="88">
        <f>SUMIF(月間集計シート!$M$92:$M$111,$G153,月間集計シート!T$92:T$111)*AK$2</f>
        <v>0</v>
      </c>
      <c r="AL153" s="88">
        <f>SUMIF(月間集計シート!$M$113:$M$132,$G153,月間集計シート!N$113:N$132)*AL$2</f>
        <v>0</v>
      </c>
      <c r="AM153" s="88">
        <f>SUMIF(月間集計シート!$M$113:$M$132,$G153,月間集計シート!O$113:O$132)*AM$2</f>
        <v>0</v>
      </c>
      <c r="AN153" s="88">
        <f>SUMIF(月間集計シート!$M$113:$M$132,$G153,月間集計シート!P$113:P$132)*AN$2</f>
        <v>0</v>
      </c>
      <c r="AO153" s="88">
        <f>SUMIF(月間集計シート!$M$113:$M$132,$G153,月間集計シート!Q$113:Q$132)*AO$2</f>
        <v>0</v>
      </c>
      <c r="AP153" s="88">
        <f>SUMIF(月間集計シート!$M$113:$M$132,$G153,月間集計シート!R$113:R$132)*AP$2</f>
        <v>0</v>
      </c>
      <c r="AQ153" s="88">
        <f>SUMIF(月間集計シート!$M$113:$M$132,$G153,月間集計シート!S$113:S$132)*AQ$2</f>
        <v>0</v>
      </c>
      <c r="AR153" s="88">
        <f>SUMIF(月間集計シート!$M$113:$M$132,$G153,月間集計シート!T$113:T$132)*AR$2</f>
        <v>0</v>
      </c>
      <c r="AS153" s="88">
        <f>SUMIF(月間集計シート!$M$134:$M$153,$G153,月間集計シート!N$134:N$153)*AS$2</f>
        <v>0</v>
      </c>
      <c r="AT153" s="88">
        <f>SUMIF(月間集計シート!$M$134:$M$153,$G153,月間集計シート!O$134:O$153)*AT$2</f>
        <v>0</v>
      </c>
      <c r="AU153" s="88">
        <f>SUMIF(月間集計シート!$M$134:$M$153,$G153,月間集計シート!P$134:P$153)*AU$2</f>
        <v>0</v>
      </c>
      <c r="AV153" s="88">
        <f>SUMIF(月間集計シート!$M$134:$M$153,$G153,月間集計シート!Q$134:Q$153)*AV$2</f>
        <v>0</v>
      </c>
      <c r="AW153" s="88">
        <f>SUMIF(月間集計シート!$M$134:$M$153,$G153,月間集計シート!R$134:R$153)*AW$2</f>
        <v>0</v>
      </c>
      <c r="AX153" s="88">
        <f>SUMIF(月間集計シート!$M$134:$M$153,$G153,月間集計シート!S$134:S$153)*AX$2</f>
        <v>0</v>
      </c>
      <c r="AY153" s="88">
        <f>SUMIF(月間集計シート!$M$134:$M$153,$G153,月間集計シート!T$134:T$153)*AY$2</f>
        <v>0</v>
      </c>
    </row>
    <row r="154" spans="1:51" ht="14.25" thickBot="1">
      <c r="A154">
        <v>2</v>
      </c>
      <c r="B154" s="120">
        <f t="shared" si="62"/>
        <v>393021</v>
      </c>
      <c r="C154" s="120" t="e">
        <f t="shared" si="63"/>
        <v>#N/A</v>
      </c>
      <c r="D154" s="137"/>
      <c r="E154" s="150" t="str">
        <f>工種!A61</f>
        <v>80103</v>
      </c>
      <c r="F154" s="119" t="str">
        <f>工種!B61</f>
        <v>保守／ｻﾎﾟｰﾄ：支社・他部門支援</v>
      </c>
      <c r="G154" s="116" t="str">
        <f t="shared" si="64"/>
        <v>39302180103</v>
      </c>
      <c r="H154" s="88">
        <f t="shared" si="18"/>
        <v>0</v>
      </c>
      <c r="I154" s="132"/>
      <c r="J154" s="88">
        <f>SUMIF(月間集計シート!$M$29:$M$48,$G154,月間集計シート!N$29:N$48)*J$2</f>
        <v>0</v>
      </c>
      <c r="K154" s="88">
        <f>SUMIF(月間集計シート!$M$29:$M$48,$G154,月間集計シート!O$29:O$48)*K$2</f>
        <v>0</v>
      </c>
      <c r="L154" s="88">
        <f>SUMIF(月間集計シート!$M$29:$M$48,$G154,月間集計シート!P$29:P$48)*L$2</f>
        <v>0</v>
      </c>
      <c r="M154" s="88">
        <f>SUMIF(月間集計シート!$M$29:$M$48,$G154,月間集計シート!Q$29:Q$48)*M$2</f>
        <v>0</v>
      </c>
      <c r="N154" s="88">
        <f>SUMIF(月間集計シート!$M$29:$M$48,$G154,月間集計シート!R$29:R$48)*N$2</f>
        <v>0</v>
      </c>
      <c r="O154" s="88">
        <f>SUMIF(月間集計シート!$M$29:$M$48,$G154,月間集計シート!S$29:S$48)*O$2</f>
        <v>0</v>
      </c>
      <c r="P154" s="88">
        <f>SUMIF(月間集計シート!$M$29:$M$48,$G154,月間集計シート!T$29:T$48)*P$2</f>
        <v>0</v>
      </c>
      <c r="Q154" s="88">
        <f>SUMIF(月間集計シート!$M$50:$M$69,$G154,月間集計シート!N$50:N$69)*Q$2</f>
        <v>0</v>
      </c>
      <c r="R154" s="88">
        <f>SUMIF(月間集計シート!$M$50:$M$69,$G154,月間集計シート!O$50:O$69)*R$2</f>
        <v>0</v>
      </c>
      <c r="S154" s="88">
        <f>SUMIF(月間集計シート!$M$50:$M$69,$G154,月間集計シート!P$50:P$69)*S$2</f>
        <v>0</v>
      </c>
      <c r="T154" s="88">
        <f>SUMIF(月間集計シート!$M$50:$M$69,$G154,月間集計シート!Q$50:Q$69)*T$2</f>
        <v>0</v>
      </c>
      <c r="U154" s="88">
        <f>SUMIF(月間集計シート!$M$50:$M$69,$G154,月間集計シート!R$50:R$69)*U$2</f>
        <v>0</v>
      </c>
      <c r="V154" s="88">
        <f>SUMIF(月間集計シート!$M$50:$M$69,$G154,月間集計シート!S$50:S$69)*V$2</f>
        <v>0</v>
      </c>
      <c r="W154" s="88">
        <f>SUMIF(月間集計シート!$M$50:$M$69,$G154,月間集計シート!T$50:T$69)*W$2</f>
        <v>0</v>
      </c>
      <c r="X154" s="88">
        <f>SUMIF(月間集計シート!$M$71:$M$90,$G154,月間集計シート!N$71:N$90)*X$2</f>
        <v>0</v>
      </c>
      <c r="Y154" s="88">
        <f>SUMIF(月間集計シート!$M$71:$M$90,$G154,月間集計シート!O$71:O$90)*Y$2</f>
        <v>0</v>
      </c>
      <c r="Z154" s="88">
        <f>SUMIF(月間集計シート!$M$71:$M$90,$G154,月間集計シート!P$71:P$90)*Z$2</f>
        <v>0</v>
      </c>
      <c r="AA154" s="88">
        <f>SUMIF(月間集計シート!$M$71:$M$90,$G154,月間集計シート!Q$71:Q$90)*AA$2</f>
        <v>0</v>
      </c>
      <c r="AB154" s="88">
        <f>SUMIF(月間集計シート!$M$71:$M$90,$G154,月間集計シート!R$71:R$90)*AB$2</f>
        <v>0</v>
      </c>
      <c r="AC154" s="88">
        <f>SUMIF(月間集計シート!$M$71:$M$90,$G154,月間集計シート!S$71:S$90)*AC$2</f>
        <v>0</v>
      </c>
      <c r="AD154" s="88">
        <f>SUMIF(月間集計シート!$M$71:$M$90,$G154,月間集計シート!T$71:T$90)*AD$2</f>
        <v>0</v>
      </c>
      <c r="AE154" s="88">
        <f>SUMIF(月間集計シート!$M$92:$M$111,$G154,月間集計シート!N$92:N$111)*AE$2</f>
        <v>0</v>
      </c>
      <c r="AF154" s="88">
        <f>SUMIF(月間集計シート!$M$92:$M$111,$G154,月間集計シート!O$92:O$111)*AF$2</f>
        <v>0</v>
      </c>
      <c r="AG154" s="88">
        <f>SUMIF(月間集計シート!$M$92:$M$111,$G154,月間集計シート!P$92:P$111)*AG$2</f>
        <v>0</v>
      </c>
      <c r="AH154" s="88">
        <f>SUMIF(月間集計シート!$M$92:$M$111,$G154,月間集計シート!Q$92:Q$111)*AH$2</f>
        <v>0</v>
      </c>
      <c r="AI154" s="88">
        <f>SUMIF(月間集計シート!$M$92:$M$111,$G154,月間集計シート!R$92:R$111)*AI$2</f>
        <v>0</v>
      </c>
      <c r="AJ154" s="88">
        <f>SUMIF(月間集計シート!$M$92:$M$111,$G154,月間集計シート!S$92:S$111)*AJ$2</f>
        <v>0</v>
      </c>
      <c r="AK154" s="88">
        <f>SUMIF(月間集計シート!$M$92:$M$111,$G154,月間集計シート!T$92:T$111)*AK$2</f>
        <v>0</v>
      </c>
      <c r="AL154" s="88">
        <f>SUMIF(月間集計シート!$M$113:$M$132,$G154,月間集計シート!N$113:N$132)*AL$2</f>
        <v>0</v>
      </c>
      <c r="AM154" s="88">
        <f>SUMIF(月間集計シート!$M$113:$M$132,$G154,月間集計シート!O$113:O$132)*AM$2</f>
        <v>0</v>
      </c>
      <c r="AN154" s="88">
        <f>SUMIF(月間集計シート!$M$113:$M$132,$G154,月間集計シート!P$113:P$132)*AN$2</f>
        <v>0</v>
      </c>
      <c r="AO154" s="88">
        <f>SUMIF(月間集計シート!$M$113:$M$132,$G154,月間集計シート!Q$113:Q$132)*AO$2</f>
        <v>0</v>
      </c>
      <c r="AP154" s="88">
        <f>SUMIF(月間集計シート!$M$113:$M$132,$G154,月間集計シート!R$113:R$132)*AP$2</f>
        <v>0</v>
      </c>
      <c r="AQ154" s="88">
        <f>SUMIF(月間集計シート!$M$113:$M$132,$G154,月間集計シート!S$113:S$132)*AQ$2</f>
        <v>0</v>
      </c>
      <c r="AR154" s="88">
        <f>SUMIF(月間集計シート!$M$113:$M$132,$G154,月間集計シート!T$113:T$132)*AR$2</f>
        <v>0</v>
      </c>
      <c r="AS154" s="88">
        <f>SUMIF(月間集計シート!$M$134:$M$153,$G154,月間集計シート!N$134:N$153)*AS$2</f>
        <v>0</v>
      </c>
      <c r="AT154" s="88">
        <f>SUMIF(月間集計シート!$M$134:$M$153,$G154,月間集計シート!O$134:O$153)*AT$2</f>
        <v>0</v>
      </c>
      <c r="AU154" s="88">
        <f>SUMIF(月間集計シート!$M$134:$M$153,$G154,月間集計シート!P$134:P$153)*AU$2</f>
        <v>0</v>
      </c>
      <c r="AV154" s="88">
        <f>SUMIF(月間集計シート!$M$134:$M$153,$G154,月間集計シート!Q$134:Q$153)*AV$2</f>
        <v>0</v>
      </c>
      <c r="AW154" s="88">
        <f>SUMIF(月間集計シート!$M$134:$M$153,$G154,月間集計シート!R$134:R$153)*AW$2</f>
        <v>0</v>
      </c>
      <c r="AX154" s="88">
        <f>SUMIF(月間集計シート!$M$134:$M$153,$G154,月間集計シート!S$134:S$153)*AX$2</f>
        <v>0</v>
      </c>
      <c r="AY154" s="88">
        <f>SUMIF(月間集計シート!$M$134:$M$153,$G154,月間集計シート!T$134:T$153)*AY$2</f>
        <v>0</v>
      </c>
    </row>
    <row r="155" spans="1:51" ht="14.25" thickBot="1">
      <c r="A155">
        <v>2</v>
      </c>
      <c r="B155" s="120">
        <f t="shared" si="62"/>
        <v>393021</v>
      </c>
      <c r="C155" s="120" t="e">
        <f t="shared" si="63"/>
        <v>#N/A</v>
      </c>
      <c r="D155" s="137"/>
      <c r="E155" s="150" t="str">
        <f>工種!A62</f>
        <v>80104</v>
      </c>
      <c r="F155" s="119" t="str">
        <f>工種!B62</f>
        <v>保守／ｻﾎﾟｰﾄ：連絡文書作成・更新</v>
      </c>
      <c r="G155" s="116" t="str">
        <f t="shared" si="64"/>
        <v>39302180104</v>
      </c>
      <c r="H155" s="88">
        <f t="shared" si="18"/>
        <v>0</v>
      </c>
      <c r="I155" s="132"/>
      <c r="J155" s="88">
        <f>SUMIF(月間集計シート!$M$29:$M$48,$G155,月間集計シート!N$29:N$48)*J$2</f>
        <v>0</v>
      </c>
      <c r="K155" s="88">
        <f>SUMIF(月間集計シート!$M$29:$M$48,$G155,月間集計シート!O$29:O$48)*K$2</f>
        <v>0</v>
      </c>
      <c r="L155" s="88">
        <f>SUMIF(月間集計シート!$M$29:$M$48,$G155,月間集計シート!P$29:P$48)*L$2</f>
        <v>0</v>
      </c>
      <c r="M155" s="88">
        <f>SUMIF(月間集計シート!$M$29:$M$48,$G155,月間集計シート!Q$29:Q$48)*M$2</f>
        <v>0</v>
      </c>
      <c r="N155" s="88">
        <f>SUMIF(月間集計シート!$M$29:$M$48,$G155,月間集計シート!R$29:R$48)*N$2</f>
        <v>0</v>
      </c>
      <c r="O155" s="88">
        <f>SUMIF(月間集計シート!$M$29:$M$48,$G155,月間集計シート!S$29:S$48)*O$2</f>
        <v>0</v>
      </c>
      <c r="P155" s="88">
        <f>SUMIF(月間集計シート!$M$29:$M$48,$G155,月間集計シート!T$29:T$48)*P$2</f>
        <v>0</v>
      </c>
      <c r="Q155" s="88">
        <f>SUMIF(月間集計シート!$M$50:$M$69,$G155,月間集計シート!N$50:N$69)*Q$2</f>
        <v>0</v>
      </c>
      <c r="R155" s="88">
        <f>SUMIF(月間集計シート!$M$50:$M$69,$G155,月間集計シート!O$50:O$69)*R$2</f>
        <v>0</v>
      </c>
      <c r="S155" s="88">
        <f>SUMIF(月間集計シート!$M$50:$M$69,$G155,月間集計シート!P$50:P$69)*S$2</f>
        <v>0</v>
      </c>
      <c r="T155" s="88">
        <f>SUMIF(月間集計シート!$M$50:$M$69,$G155,月間集計シート!Q$50:Q$69)*T$2</f>
        <v>0</v>
      </c>
      <c r="U155" s="88">
        <f>SUMIF(月間集計シート!$M$50:$M$69,$G155,月間集計シート!R$50:R$69)*U$2</f>
        <v>0</v>
      </c>
      <c r="V155" s="88">
        <f>SUMIF(月間集計シート!$M$50:$M$69,$G155,月間集計シート!S$50:S$69)*V$2</f>
        <v>0</v>
      </c>
      <c r="W155" s="88">
        <f>SUMIF(月間集計シート!$M$50:$M$69,$G155,月間集計シート!T$50:T$69)*W$2</f>
        <v>0</v>
      </c>
      <c r="X155" s="88">
        <f>SUMIF(月間集計シート!$M$71:$M$90,$G155,月間集計シート!N$71:N$90)*X$2</f>
        <v>0</v>
      </c>
      <c r="Y155" s="88">
        <f>SUMIF(月間集計シート!$M$71:$M$90,$G155,月間集計シート!O$71:O$90)*Y$2</f>
        <v>0</v>
      </c>
      <c r="Z155" s="88">
        <f>SUMIF(月間集計シート!$M$71:$M$90,$G155,月間集計シート!P$71:P$90)*Z$2</f>
        <v>0</v>
      </c>
      <c r="AA155" s="88">
        <f>SUMIF(月間集計シート!$M$71:$M$90,$G155,月間集計シート!Q$71:Q$90)*AA$2</f>
        <v>0</v>
      </c>
      <c r="AB155" s="88">
        <f>SUMIF(月間集計シート!$M$71:$M$90,$G155,月間集計シート!R$71:R$90)*AB$2</f>
        <v>0</v>
      </c>
      <c r="AC155" s="88">
        <f>SUMIF(月間集計シート!$M$71:$M$90,$G155,月間集計シート!S$71:S$90)*AC$2</f>
        <v>0</v>
      </c>
      <c r="AD155" s="88">
        <f>SUMIF(月間集計シート!$M$71:$M$90,$G155,月間集計シート!T$71:T$90)*AD$2</f>
        <v>0</v>
      </c>
      <c r="AE155" s="88">
        <f>SUMIF(月間集計シート!$M$92:$M$111,$G155,月間集計シート!N$92:N$111)*AE$2</f>
        <v>0</v>
      </c>
      <c r="AF155" s="88">
        <f>SUMIF(月間集計シート!$M$92:$M$111,$G155,月間集計シート!O$92:O$111)*AF$2</f>
        <v>0</v>
      </c>
      <c r="AG155" s="88">
        <f>SUMIF(月間集計シート!$M$92:$M$111,$G155,月間集計シート!P$92:P$111)*AG$2</f>
        <v>0</v>
      </c>
      <c r="AH155" s="88">
        <f>SUMIF(月間集計シート!$M$92:$M$111,$G155,月間集計シート!Q$92:Q$111)*AH$2</f>
        <v>0</v>
      </c>
      <c r="AI155" s="88">
        <f>SUMIF(月間集計シート!$M$92:$M$111,$G155,月間集計シート!R$92:R$111)*AI$2</f>
        <v>0</v>
      </c>
      <c r="AJ155" s="88">
        <f>SUMIF(月間集計シート!$M$92:$M$111,$G155,月間集計シート!S$92:S$111)*AJ$2</f>
        <v>0</v>
      </c>
      <c r="AK155" s="88">
        <f>SUMIF(月間集計シート!$M$92:$M$111,$G155,月間集計シート!T$92:T$111)*AK$2</f>
        <v>0</v>
      </c>
      <c r="AL155" s="88">
        <f>SUMIF(月間集計シート!$M$113:$M$132,$G155,月間集計シート!N$113:N$132)*AL$2</f>
        <v>0</v>
      </c>
      <c r="AM155" s="88">
        <f>SUMIF(月間集計シート!$M$113:$M$132,$G155,月間集計シート!O$113:O$132)*AM$2</f>
        <v>0</v>
      </c>
      <c r="AN155" s="88">
        <f>SUMIF(月間集計シート!$M$113:$M$132,$G155,月間集計シート!P$113:P$132)*AN$2</f>
        <v>0</v>
      </c>
      <c r="AO155" s="88">
        <f>SUMIF(月間集計シート!$M$113:$M$132,$G155,月間集計シート!Q$113:Q$132)*AO$2</f>
        <v>0</v>
      </c>
      <c r="AP155" s="88">
        <f>SUMIF(月間集計シート!$M$113:$M$132,$G155,月間集計シート!R$113:R$132)*AP$2</f>
        <v>0</v>
      </c>
      <c r="AQ155" s="88">
        <f>SUMIF(月間集計シート!$M$113:$M$132,$G155,月間集計シート!S$113:S$132)*AQ$2</f>
        <v>0</v>
      </c>
      <c r="AR155" s="88">
        <f>SUMIF(月間集計シート!$M$113:$M$132,$G155,月間集計シート!T$113:T$132)*AR$2</f>
        <v>0</v>
      </c>
      <c r="AS155" s="88">
        <f>SUMIF(月間集計シート!$M$134:$M$153,$G155,月間集計シート!N$134:N$153)*AS$2</f>
        <v>0</v>
      </c>
      <c r="AT155" s="88">
        <f>SUMIF(月間集計シート!$M$134:$M$153,$G155,月間集計シート!O$134:O$153)*AT$2</f>
        <v>0</v>
      </c>
      <c r="AU155" s="88">
        <f>SUMIF(月間集計シート!$M$134:$M$153,$G155,月間集計シート!P$134:P$153)*AU$2</f>
        <v>0</v>
      </c>
      <c r="AV155" s="88">
        <f>SUMIF(月間集計シート!$M$134:$M$153,$G155,月間集計シート!Q$134:Q$153)*AV$2</f>
        <v>0</v>
      </c>
      <c r="AW155" s="88">
        <f>SUMIF(月間集計シート!$M$134:$M$153,$G155,月間集計シート!R$134:R$153)*AW$2</f>
        <v>0</v>
      </c>
      <c r="AX155" s="88">
        <f>SUMIF(月間集計シート!$M$134:$M$153,$G155,月間集計シート!S$134:S$153)*AX$2</f>
        <v>0</v>
      </c>
      <c r="AY155" s="88">
        <f>SUMIF(月間集計シート!$M$134:$M$153,$G155,月間集計シート!T$134:T$153)*AY$2</f>
        <v>0</v>
      </c>
    </row>
    <row r="156" spans="1:51" ht="14.25" thickBot="1">
      <c r="A156">
        <v>2</v>
      </c>
      <c r="B156" s="120">
        <f t="shared" si="62"/>
        <v>393021</v>
      </c>
      <c r="C156" s="120" t="e">
        <f t="shared" si="63"/>
        <v>#N/A</v>
      </c>
      <c r="D156" s="137"/>
      <c r="E156" s="150" t="str">
        <f>工種!A63</f>
        <v>80105</v>
      </c>
      <c r="F156" s="119" t="str">
        <f>工種!B63</f>
        <v>保守／ｻﾎﾟｰﾄ：ｲﾝﾄﾗ資料更新</v>
      </c>
      <c r="G156" s="116" t="str">
        <f t="shared" ref="G156:G173" si="65">B156&amp;E156</f>
        <v>39302180105</v>
      </c>
      <c r="H156" s="88">
        <f t="shared" ref="H156:H157" si="66">SUM(J156:AY156)</f>
        <v>0</v>
      </c>
      <c r="I156" s="132"/>
      <c r="J156" s="88">
        <f>SUMIF(月間集計シート!$M$29:$M$48,$G156,月間集計シート!N$29:N$48)*J$2</f>
        <v>0</v>
      </c>
      <c r="K156" s="88">
        <f>SUMIF(月間集計シート!$M$29:$M$48,$G156,月間集計シート!O$29:O$48)*K$2</f>
        <v>0</v>
      </c>
      <c r="L156" s="88">
        <f>SUMIF(月間集計シート!$M$29:$M$48,$G156,月間集計シート!P$29:P$48)*L$2</f>
        <v>0</v>
      </c>
      <c r="M156" s="88">
        <f>SUMIF(月間集計シート!$M$29:$M$48,$G156,月間集計シート!Q$29:Q$48)*M$2</f>
        <v>0</v>
      </c>
      <c r="N156" s="88">
        <f>SUMIF(月間集計シート!$M$29:$M$48,$G156,月間集計シート!R$29:R$48)*N$2</f>
        <v>0</v>
      </c>
      <c r="O156" s="88">
        <f>SUMIF(月間集計シート!$M$29:$M$48,$G156,月間集計シート!S$29:S$48)*O$2</f>
        <v>0</v>
      </c>
      <c r="P156" s="88">
        <f>SUMIF(月間集計シート!$M$29:$M$48,$G156,月間集計シート!T$29:T$48)*P$2</f>
        <v>0</v>
      </c>
      <c r="Q156" s="88">
        <f>SUMIF(月間集計シート!$M$50:$M$69,$G156,月間集計シート!N$50:N$69)*Q$2</f>
        <v>0</v>
      </c>
      <c r="R156" s="88">
        <f>SUMIF(月間集計シート!$M$50:$M$69,$G156,月間集計シート!O$50:O$69)*R$2</f>
        <v>0</v>
      </c>
      <c r="S156" s="88">
        <f>SUMIF(月間集計シート!$M$50:$M$69,$G156,月間集計シート!P$50:P$69)*S$2</f>
        <v>0</v>
      </c>
      <c r="T156" s="88">
        <f>SUMIF(月間集計シート!$M$50:$M$69,$G156,月間集計シート!Q$50:Q$69)*T$2</f>
        <v>0</v>
      </c>
      <c r="U156" s="88">
        <f>SUMIF(月間集計シート!$M$50:$M$69,$G156,月間集計シート!R$50:R$69)*U$2</f>
        <v>0</v>
      </c>
      <c r="V156" s="88">
        <f>SUMIF(月間集計シート!$M$50:$M$69,$G156,月間集計シート!S$50:S$69)*V$2</f>
        <v>0</v>
      </c>
      <c r="W156" s="88">
        <f>SUMIF(月間集計シート!$M$50:$M$69,$G156,月間集計シート!T$50:T$69)*W$2</f>
        <v>0</v>
      </c>
      <c r="X156" s="88">
        <f>SUMIF(月間集計シート!$M$71:$M$90,$G156,月間集計シート!N$71:N$90)*X$2</f>
        <v>0</v>
      </c>
      <c r="Y156" s="88">
        <f>SUMIF(月間集計シート!$M$71:$M$90,$G156,月間集計シート!O$71:O$90)*Y$2</f>
        <v>0</v>
      </c>
      <c r="Z156" s="88">
        <f>SUMIF(月間集計シート!$M$71:$M$90,$G156,月間集計シート!P$71:P$90)*Z$2</f>
        <v>0</v>
      </c>
      <c r="AA156" s="88">
        <f>SUMIF(月間集計シート!$M$71:$M$90,$G156,月間集計シート!Q$71:Q$90)*AA$2</f>
        <v>0</v>
      </c>
      <c r="AB156" s="88">
        <f>SUMIF(月間集計シート!$M$71:$M$90,$G156,月間集計シート!R$71:R$90)*AB$2</f>
        <v>0</v>
      </c>
      <c r="AC156" s="88">
        <f>SUMIF(月間集計シート!$M$71:$M$90,$G156,月間集計シート!S$71:S$90)*AC$2</f>
        <v>0</v>
      </c>
      <c r="AD156" s="88">
        <f>SUMIF(月間集計シート!$M$71:$M$90,$G156,月間集計シート!T$71:T$90)*AD$2</f>
        <v>0</v>
      </c>
      <c r="AE156" s="88">
        <f>SUMIF(月間集計シート!$M$92:$M$111,$G156,月間集計シート!N$92:N$111)*AE$2</f>
        <v>0</v>
      </c>
      <c r="AF156" s="88">
        <f>SUMIF(月間集計シート!$M$92:$M$111,$G156,月間集計シート!O$92:O$111)*AF$2</f>
        <v>0</v>
      </c>
      <c r="AG156" s="88">
        <f>SUMIF(月間集計シート!$M$92:$M$111,$G156,月間集計シート!P$92:P$111)*AG$2</f>
        <v>0</v>
      </c>
      <c r="AH156" s="88">
        <f>SUMIF(月間集計シート!$M$92:$M$111,$G156,月間集計シート!Q$92:Q$111)*AH$2</f>
        <v>0</v>
      </c>
      <c r="AI156" s="88">
        <f>SUMIF(月間集計シート!$M$92:$M$111,$G156,月間集計シート!R$92:R$111)*AI$2</f>
        <v>0</v>
      </c>
      <c r="AJ156" s="88">
        <f>SUMIF(月間集計シート!$M$92:$M$111,$G156,月間集計シート!S$92:S$111)*AJ$2</f>
        <v>0</v>
      </c>
      <c r="AK156" s="88">
        <f>SUMIF(月間集計シート!$M$92:$M$111,$G156,月間集計シート!T$92:T$111)*AK$2</f>
        <v>0</v>
      </c>
      <c r="AL156" s="88">
        <f>SUMIF(月間集計シート!$M$113:$M$132,$G156,月間集計シート!N$113:N$132)*AL$2</f>
        <v>0</v>
      </c>
      <c r="AM156" s="88">
        <f>SUMIF(月間集計シート!$M$113:$M$132,$G156,月間集計シート!O$113:O$132)*AM$2</f>
        <v>0</v>
      </c>
      <c r="AN156" s="88">
        <f>SUMIF(月間集計シート!$M$113:$M$132,$G156,月間集計シート!P$113:P$132)*AN$2</f>
        <v>0</v>
      </c>
      <c r="AO156" s="88">
        <f>SUMIF(月間集計シート!$M$113:$M$132,$G156,月間集計シート!Q$113:Q$132)*AO$2</f>
        <v>0</v>
      </c>
      <c r="AP156" s="88">
        <f>SUMIF(月間集計シート!$M$113:$M$132,$G156,月間集計シート!R$113:R$132)*AP$2</f>
        <v>0</v>
      </c>
      <c r="AQ156" s="88">
        <f>SUMIF(月間集計シート!$M$113:$M$132,$G156,月間集計シート!S$113:S$132)*AQ$2</f>
        <v>0</v>
      </c>
      <c r="AR156" s="88">
        <f>SUMIF(月間集計シート!$M$113:$M$132,$G156,月間集計シート!T$113:T$132)*AR$2</f>
        <v>0</v>
      </c>
      <c r="AS156" s="88">
        <f>SUMIF(月間集計シート!$M$134:$M$153,$G156,月間集計シート!N$134:N$153)*AS$2</f>
        <v>0</v>
      </c>
      <c r="AT156" s="88">
        <f>SUMIF(月間集計シート!$M$134:$M$153,$G156,月間集計シート!O$134:O$153)*AT$2</f>
        <v>0</v>
      </c>
      <c r="AU156" s="88">
        <f>SUMIF(月間集計シート!$M$134:$M$153,$G156,月間集計シート!P$134:P$153)*AU$2</f>
        <v>0</v>
      </c>
      <c r="AV156" s="88">
        <f>SUMIF(月間集計シート!$M$134:$M$153,$G156,月間集計シート!Q$134:Q$153)*AV$2</f>
        <v>0</v>
      </c>
      <c r="AW156" s="88">
        <f>SUMIF(月間集計シート!$M$134:$M$153,$G156,月間集計シート!R$134:R$153)*AW$2</f>
        <v>0</v>
      </c>
      <c r="AX156" s="88">
        <f>SUMIF(月間集計シート!$M$134:$M$153,$G156,月間集計シート!S$134:S$153)*AX$2</f>
        <v>0</v>
      </c>
      <c r="AY156" s="88">
        <f>SUMIF(月間集計シート!$M$134:$M$153,$G156,月間集計シート!T$134:T$153)*AY$2</f>
        <v>0</v>
      </c>
    </row>
    <row r="157" spans="1:51" ht="14.25" thickBot="1">
      <c r="A157">
        <v>2</v>
      </c>
      <c r="B157" s="120">
        <f t="shared" si="62"/>
        <v>393021</v>
      </c>
      <c r="C157" s="120" t="e">
        <f t="shared" si="63"/>
        <v>#N/A</v>
      </c>
      <c r="D157" s="137"/>
      <c r="E157" s="150" t="str">
        <f>工種!A64</f>
        <v>80106</v>
      </c>
      <c r="F157" s="119" t="str">
        <f>工種!B64</f>
        <v>保守／ｻﾎﾟｰﾄ：打合せ</v>
      </c>
      <c r="G157" s="116" t="str">
        <f t="shared" si="65"/>
        <v>39302180106</v>
      </c>
      <c r="H157" s="88">
        <f t="shared" si="66"/>
        <v>0</v>
      </c>
      <c r="I157" s="132"/>
      <c r="J157" s="88">
        <f>SUMIF(月間集計シート!$M$29:$M$48,$G157,月間集計シート!N$29:N$48)*J$2</f>
        <v>0</v>
      </c>
      <c r="K157" s="88">
        <f>SUMIF(月間集計シート!$M$29:$M$48,$G157,月間集計シート!O$29:O$48)*K$2</f>
        <v>0</v>
      </c>
      <c r="L157" s="88">
        <f>SUMIF(月間集計シート!$M$29:$M$48,$G157,月間集計シート!P$29:P$48)*L$2</f>
        <v>0</v>
      </c>
      <c r="M157" s="88">
        <f>SUMIF(月間集計シート!$M$29:$M$48,$G157,月間集計シート!Q$29:Q$48)*M$2</f>
        <v>0</v>
      </c>
      <c r="N157" s="88">
        <f>SUMIF(月間集計シート!$M$29:$M$48,$G157,月間集計シート!R$29:R$48)*N$2</f>
        <v>0</v>
      </c>
      <c r="O157" s="88">
        <f>SUMIF(月間集計シート!$M$29:$M$48,$G157,月間集計シート!S$29:S$48)*O$2</f>
        <v>0</v>
      </c>
      <c r="P157" s="88">
        <f>SUMIF(月間集計シート!$M$29:$M$48,$G157,月間集計シート!T$29:T$48)*P$2</f>
        <v>0</v>
      </c>
      <c r="Q157" s="88">
        <f>SUMIF(月間集計シート!$M$50:$M$69,$G157,月間集計シート!N$50:N$69)*Q$2</f>
        <v>0</v>
      </c>
      <c r="R157" s="88">
        <f>SUMIF(月間集計シート!$M$50:$M$69,$G157,月間集計シート!O$50:O$69)*R$2</f>
        <v>0</v>
      </c>
      <c r="S157" s="88">
        <f>SUMIF(月間集計シート!$M$50:$M$69,$G157,月間集計シート!P$50:P$69)*S$2</f>
        <v>0</v>
      </c>
      <c r="T157" s="88">
        <f>SUMIF(月間集計シート!$M$50:$M$69,$G157,月間集計シート!Q$50:Q$69)*T$2</f>
        <v>0</v>
      </c>
      <c r="U157" s="88">
        <f>SUMIF(月間集計シート!$M$50:$M$69,$G157,月間集計シート!R$50:R$69)*U$2</f>
        <v>0</v>
      </c>
      <c r="V157" s="88">
        <f>SUMIF(月間集計シート!$M$50:$M$69,$G157,月間集計シート!S$50:S$69)*V$2</f>
        <v>0</v>
      </c>
      <c r="W157" s="88">
        <f>SUMIF(月間集計シート!$M$50:$M$69,$G157,月間集計シート!T$50:T$69)*W$2</f>
        <v>0</v>
      </c>
      <c r="X157" s="88">
        <f>SUMIF(月間集計シート!$M$71:$M$90,$G157,月間集計シート!N$71:N$90)*X$2</f>
        <v>0</v>
      </c>
      <c r="Y157" s="88">
        <f>SUMIF(月間集計シート!$M$71:$M$90,$G157,月間集計シート!O$71:O$90)*Y$2</f>
        <v>0</v>
      </c>
      <c r="Z157" s="88">
        <f>SUMIF(月間集計シート!$M$71:$M$90,$G157,月間集計シート!P$71:P$90)*Z$2</f>
        <v>0</v>
      </c>
      <c r="AA157" s="88">
        <f>SUMIF(月間集計シート!$M$71:$M$90,$G157,月間集計シート!Q$71:Q$90)*AA$2</f>
        <v>0</v>
      </c>
      <c r="AB157" s="88">
        <f>SUMIF(月間集計シート!$M$71:$M$90,$G157,月間集計シート!R$71:R$90)*AB$2</f>
        <v>0</v>
      </c>
      <c r="AC157" s="88">
        <f>SUMIF(月間集計シート!$M$71:$M$90,$G157,月間集計シート!S$71:S$90)*AC$2</f>
        <v>0</v>
      </c>
      <c r="AD157" s="88">
        <f>SUMIF(月間集計シート!$M$71:$M$90,$G157,月間集計シート!T$71:T$90)*AD$2</f>
        <v>0</v>
      </c>
      <c r="AE157" s="88">
        <f>SUMIF(月間集計シート!$M$92:$M$111,$G157,月間集計シート!N$92:N$111)*AE$2</f>
        <v>0</v>
      </c>
      <c r="AF157" s="88">
        <f>SUMIF(月間集計シート!$M$92:$M$111,$G157,月間集計シート!O$92:O$111)*AF$2</f>
        <v>0</v>
      </c>
      <c r="AG157" s="88">
        <f>SUMIF(月間集計シート!$M$92:$M$111,$G157,月間集計シート!P$92:P$111)*AG$2</f>
        <v>0</v>
      </c>
      <c r="AH157" s="88">
        <f>SUMIF(月間集計シート!$M$92:$M$111,$G157,月間集計シート!Q$92:Q$111)*AH$2</f>
        <v>0</v>
      </c>
      <c r="AI157" s="88">
        <f>SUMIF(月間集計シート!$M$92:$M$111,$G157,月間集計シート!R$92:R$111)*AI$2</f>
        <v>0</v>
      </c>
      <c r="AJ157" s="88">
        <f>SUMIF(月間集計シート!$M$92:$M$111,$G157,月間集計シート!S$92:S$111)*AJ$2</f>
        <v>0</v>
      </c>
      <c r="AK157" s="88">
        <f>SUMIF(月間集計シート!$M$92:$M$111,$G157,月間集計シート!T$92:T$111)*AK$2</f>
        <v>0</v>
      </c>
      <c r="AL157" s="88">
        <f>SUMIF(月間集計シート!$M$113:$M$132,$G157,月間集計シート!N$113:N$132)*AL$2</f>
        <v>0</v>
      </c>
      <c r="AM157" s="88">
        <f>SUMIF(月間集計シート!$M$113:$M$132,$G157,月間集計シート!O$113:O$132)*AM$2</f>
        <v>0</v>
      </c>
      <c r="AN157" s="88">
        <f>SUMIF(月間集計シート!$M$113:$M$132,$G157,月間集計シート!P$113:P$132)*AN$2</f>
        <v>0</v>
      </c>
      <c r="AO157" s="88">
        <f>SUMIF(月間集計シート!$M$113:$M$132,$G157,月間集計シート!Q$113:Q$132)*AO$2</f>
        <v>0</v>
      </c>
      <c r="AP157" s="88">
        <f>SUMIF(月間集計シート!$M$113:$M$132,$G157,月間集計シート!R$113:R$132)*AP$2</f>
        <v>0</v>
      </c>
      <c r="AQ157" s="88">
        <f>SUMIF(月間集計シート!$M$113:$M$132,$G157,月間集計シート!S$113:S$132)*AQ$2</f>
        <v>0</v>
      </c>
      <c r="AR157" s="88">
        <f>SUMIF(月間集計シート!$M$113:$M$132,$G157,月間集計シート!T$113:T$132)*AR$2</f>
        <v>0</v>
      </c>
      <c r="AS157" s="88">
        <f>SUMIF(月間集計シート!$M$134:$M$153,$G157,月間集計シート!N$134:N$153)*AS$2</f>
        <v>0</v>
      </c>
      <c r="AT157" s="88">
        <f>SUMIF(月間集計シート!$M$134:$M$153,$G157,月間集計シート!O$134:O$153)*AT$2</f>
        <v>0</v>
      </c>
      <c r="AU157" s="88">
        <f>SUMIF(月間集計シート!$M$134:$M$153,$G157,月間集計シート!P$134:P$153)*AU$2</f>
        <v>0</v>
      </c>
      <c r="AV157" s="88">
        <f>SUMIF(月間集計シート!$M$134:$M$153,$G157,月間集計シート!Q$134:Q$153)*AV$2</f>
        <v>0</v>
      </c>
      <c r="AW157" s="88">
        <f>SUMIF(月間集計シート!$M$134:$M$153,$G157,月間集計シート!R$134:R$153)*AW$2</f>
        <v>0</v>
      </c>
      <c r="AX157" s="88">
        <f>SUMIF(月間集計シート!$M$134:$M$153,$G157,月間集計シート!S$134:S$153)*AX$2</f>
        <v>0</v>
      </c>
      <c r="AY157" s="88">
        <f>SUMIF(月間集計シート!$M$134:$M$153,$G157,月間集計シート!T$134:T$153)*AY$2</f>
        <v>0</v>
      </c>
    </row>
    <row r="158" spans="1:51" ht="14.25" thickBot="1">
      <c r="A158">
        <v>2</v>
      </c>
      <c r="B158" s="120">
        <f>B157</f>
        <v>393021</v>
      </c>
      <c r="C158" s="120" t="e">
        <f>C157</f>
        <v>#N/A</v>
      </c>
      <c r="D158" s="137"/>
      <c r="E158" s="150" t="str">
        <f>工種!A65</f>
        <v>80107</v>
      </c>
      <c r="F158" s="119" t="str">
        <f>工種!B65</f>
        <v>保守／ｻﾎﾟｰﾄ：ﾚﾋﾞｭｰ</v>
      </c>
      <c r="G158" s="116" t="str">
        <f t="shared" si="65"/>
        <v>39302180107</v>
      </c>
      <c r="H158" s="88">
        <f t="shared" ref="H158:H173" si="67">SUM(J158:AY158)</f>
        <v>0</v>
      </c>
      <c r="I158" s="132"/>
      <c r="J158" s="88">
        <f>SUMIF(月間集計シート!$M$29:$M$48,$G158,月間集計シート!N$29:N$48)*J$2</f>
        <v>0</v>
      </c>
      <c r="K158" s="88">
        <f>SUMIF(月間集計シート!$M$29:$M$48,$G158,月間集計シート!O$29:O$48)*K$2</f>
        <v>0</v>
      </c>
      <c r="L158" s="88">
        <f>SUMIF(月間集計シート!$M$29:$M$48,$G158,月間集計シート!P$29:P$48)*L$2</f>
        <v>0</v>
      </c>
      <c r="M158" s="88">
        <f>SUMIF(月間集計シート!$M$29:$M$48,$G158,月間集計シート!Q$29:Q$48)*M$2</f>
        <v>0</v>
      </c>
      <c r="N158" s="88">
        <f>SUMIF(月間集計シート!$M$29:$M$48,$G158,月間集計シート!R$29:R$48)*N$2</f>
        <v>0</v>
      </c>
      <c r="O158" s="88">
        <f>SUMIF(月間集計シート!$M$29:$M$48,$G158,月間集計シート!S$29:S$48)*O$2</f>
        <v>0</v>
      </c>
      <c r="P158" s="88">
        <f>SUMIF(月間集計シート!$M$29:$M$48,$G158,月間集計シート!T$29:T$48)*P$2</f>
        <v>0</v>
      </c>
      <c r="Q158" s="88">
        <f>SUMIF(月間集計シート!$M$50:$M$69,$G158,月間集計シート!N$50:N$69)*Q$2</f>
        <v>0</v>
      </c>
      <c r="R158" s="88">
        <f>SUMIF(月間集計シート!$M$50:$M$69,$G158,月間集計シート!O$50:O$69)*R$2</f>
        <v>0</v>
      </c>
      <c r="S158" s="88">
        <f>SUMIF(月間集計シート!$M$50:$M$69,$G158,月間集計シート!P$50:P$69)*S$2</f>
        <v>0</v>
      </c>
      <c r="T158" s="88">
        <f>SUMIF(月間集計シート!$M$50:$M$69,$G158,月間集計シート!Q$50:Q$69)*T$2</f>
        <v>0</v>
      </c>
      <c r="U158" s="88">
        <f>SUMIF(月間集計シート!$M$50:$M$69,$G158,月間集計シート!R$50:R$69)*U$2</f>
        <v>0</v>
      </c>
      <c r="V158" s="88">
        <f>SUMIF(月間集計シート!$M$50:$M$69,$G158,月間集計シート!S$50:S$69)*V$2</f>
        <v>0</v>
      </c>
      <c r="W158" s="88">
        <f>SUMIF(月間集計シート!$M$50:$M$69,$G158,月間集計シート!T$50:T$69)*W$2</f>
        <v>0</v>
      </c>
      <c r="X158" s="88">
        <f>SUMIF(月間集計シート!$M$71:$M$90,$G158,月間集計シート!N$71:N$90)*X$2</f>
        <v>0</v>
      </c>
      <c r="Y158" s="88">
        <f>SUMIF(月間集計シート!$M$71:$M$90,$G158,月間集計シート!O$71:O$90)*Y$2</f>
        <v>0</v>
      </c>
      <c r="Z158" s="88">
        <f>SUMIF(月間集計シート!$M$71:$M$90,$G158,月間集計シート!P$71:P$90)*Z$2</f>
        <v>0</v>
      </c>
      <c r="AA158" s="88">
        <f>SUMIF(月間集計シート!$M$71:$M$90,$G158,月間集計シート!Q$71:Q$90)*AA$2</f>
        <v>0</v>
      </c>
      <c r="AB158" s="88">
        <f>SUMIF(月間集計シート!$M$71:$M$90,$G158,月間集計シート!R$71:R$90)*AB$2</f>
        <v>0</v>
      </c>
      <c r="AC158" s="88">
        <f>SUMIF(月間集計シート!$M$71:$M$90,$G158,月間集計シート!S$71:S$90)*AC$2</f>
        <v>0</v>
      </c>
      <c r="AD158" s="88">
        <f>SUMIF(月間集計シート!$M$71:$M$90,$G158,月間集計シート!T$71:T$90)*AD$2</f>
        <v>0</v>
      </c>
      <c r="AE158" s="88">
        <f>SUMIF(月間集計シート!$M$92:$M$111,$G158,月間集計シート!N$92:N$111)*AE$2</f>
        <v>0</v>
      </c>
      <c r="AF158" s="88">
        <f>SUMIF(月間集計シート!$M$92:$M$111,$G158,月間集計シート!O$92:O$111)*AF$2</f>
        <v>0</v>
      </c>
      <c r="AG158" s="88">
        <f>SUMIF(月間集計シート!$M$92:$M$111,$G158,月間集計シート!P$92:P$111)*AG$2</f>
        <v>0</v>
      </c>
      <c r="AH158" s="88">
        <f>SUMIF(月間集計シート!$M$92:$M$111,$G158,月間集計シート!Q$92:Q$111)*AH$2</f>
        <v>0</v>
      </c>
      <c r="AI158" s="88">
        <f>SUMIF(月間集計シート!$M$92:$M$111,$G158,月間集計シート!R$92:R$111)*AI$2</f>
        <v>0</v>
      </c>
      <c r="AJ158" s="88">
        <f>SUMIF(月間集計シート!$M$92:$M$111,$G158,月間集計シート!S$92:S$111)*AJ$2</f>
        <v>0</v>
      </c>
      <c r="AK158" s="88">
        <f>SUMIF(月間集計シート!$M$92:$M$111,$G158,月間集計シート!T$92:T$111)*AK$2</f>
        <v>0</v>
      </c>
      <c r="AL158" s="88">
        <f>SUMIF(月間集計シート!$M$113:$M$132,$G158,月間集計シート!N$113:N$132)*AL$2</f>
        <v>0</v>
      </c>
      <c r="AM158" s="88">
        <f>SUMIF(月間集計シート!$M$113:$M$132,$G158,月間集計シート!O$113:O$132)*AM$2</f>
        <v>0</v>
      </c>
      <c r="AN158" s="88">
        <f>SUMIF(月間集計シート!$M$113:$M$132,$G158,月間集計シート!P$113:P$132)*AN$2</f>
        <v>0</v>
      </c>
      <c r="AO158" s="88">
        <f>SUMIF(月間集計シート!$M$113:$M$132,$G158,月間集計シート!Q$113:Q$132)*AO$2</f>
        <v>0</v>
      </c>
      <c r="AP158" s="88">
        <f>SUMIF(月間集計シート!$M$113:$M$132,$G158,月間集計シート!R$113:R$132)*AP$2</f>
        <v>0</v>
      </c>
      <c r="AQ158" s="88">
        <f>SUMIF(月間集計シート!$M$113:$M$132,$G158,月間集計シート!S$113:S$132)*AQ$2</f>
        <v>0</v>
      </c>
      <c r="AR158" s="88">
        <f>SUMIF(月間集計シート!$M$113:$M$132,$G158,月間集計シート!T$113:T$132)*AR$2</f>
        <v>0</v>
      </c>
      <c r="AS158" s="88">
        <f>SUMIF(月間集計シート!$M$134:$M$153,$G158,月間集計シート!N$134:N$153)*AS$2</f>
        <v>0</v>
      </c>
      <c r="AT158" s="88">
        <f>SUMIF(月間集計シート!$M$134:$M$153,$G158,月間集計シート!O$134:O$153)*AT$2</f>
        <v>0</v>
      </c>
      <c r="AU158" s="88">
        <f>SUMIF(月間集計シート!$M$134:$M$153,$G158,月間集計シート!P$134:P$153)*AU$2</f>
        <v>0</v>
      </c>
      <c r="AV158" s="88">
        <f>SUMIF(月間集計シート!$M$134:$M$153,$G158,月間集計シート!Q$134:Q$153)*AV$2</f>
        <v>0</v>
      </c>
      <c r="AW158" s="88">
        <f>SUMIF(月間集計シート!$M$134:$M$153,$G158,月間集計シート!R$134:R$153)*AW$2</f>
        <v>0</v>
      </c>
      <c r="AX158" s="88">
        <f>SUMIF(月間集計シート!$M$134:$M$153,$G158,月間集計シート!S$134:S$153)*AX$2</f>
        <v>0</v>
      </c>
      <c r="AY158" s="88">
        <f>SUMIF(月間集計シート!$M$134:$M$153,$G158,月間集計シート!T$134:T$153)*AY$2</f>
        <v>0</v>
      </c>
    </row>
    <row r="159" spans="1:51" ht="14.25" thickBot="1">
      <c r="A159">
        <v>2</v>
      </c>
      <c r="B159" s="120">
        <f t="shared" si="62"/>
        <v>393021</v>
      </c>
      <c r="C159" s="120" t="e">
        <f t="shared" si="63"/>
        <v>#N/A</v>
      </c>
      <c r="D159" s="137"/>
      <c r="E159" s="150" t="str">
        <f>工種!A66</f>
        <v>80199</v>
      </c>
      <c r="F159" s="119" t="str">
        <f>工種!B66</f>
        <v>保守／ｻﾎﾟｰﾄ：その他</v>
      </c>
      <c r="G159" s="116" t="str">
        <f t="shared" si="65"/>
        <v>39302180199</v>
      </c>
      <c r="H159" s="88">
        <f t="shared" si="67"/>
        <v>0</v>
      </c>
      <c r="I159" s="132"/>
      <c r="J159" s="88">
        <f>SUMIF(月間集計シート!$M$29:$M$48,$G159,月間集計シート!N$29:N$48)*J$2</f>
        <v>0</v>
      </c>
      <c r="K159" s="88">
        <f>SUMIF(月間集計シート!$M$29:$M$48,$G159,月間集計シート!O$29:O$48)*K$2</f>
        <v>0</v>
      </c>
      <c r="L159" s="88">
        <f>SUMIF(月間集計シート!$M$29:$M$48,$G159,月間集計シート!P$29:P$48)*L$2</f>
        <v>0</v>
      </c>
      <c r="M159" s="88">
        <f>SUMIF(月間集計シート!$M$29:$M$48,$G159,月間集計シート!Q$29:Q$48)*M$2</f>
        <v>0</v>
      </c>
      <c r="N159" s="88">
        <f>SUMIF(月間集計シート!$M$29:$M$48,$G159,月間集計シート!R$29:R$48)*N$2</f>
        <v>0</v>
      </c>
      <c r="O159" s="88">
        <f>SUMIF(月間集計シート!$M$29:$M$48,$G159,月間集計シート!S$29:S$48)*O$2</f>
        <v>0</v>
      </c>
      <c r="P159" s="88">
        <f>SUMIF(月間集計シート!$M$29:$M$48,$G159,月間集計シート!T$29:T$48)*P$2</f>
        <v>0</v>
      </c>
      <c r="Q159" s="88">
        <f>SUMIF(月間集計シート!$M$50:$M$69,$G159,月間集計シート!N$50:N$69)*Q$2</f>
        <v>0</v>
      </c>
      <c r="R159" s="88">
        <f>SUMIF(月間集計シート!$M$50:$M$69,$G159,月間集計シート!O$50:O$69)*R$2</f>
        <v>0</v>
      </c>
      <c r="S159" s="88">
        <f>SUMIF(月間集計シート!$M$50:$M$69,$G159,月間集計シート!P$50:P$69)*S$2</f>
        <v>0</v>
      </c>
      <c r="T159" s="88">
        <f>SUMIF(月間集計シート!$M$50:$M$69,$G159,月間集計シート!Q$50:Q$69)*T$2</f>
        <v>0</v>
      </c>
      <c r="U159" s="88">
        <f>SUMIF(月間集計シート!$M$50:$M$69,$G159,月間集計シート!R$50:R$69)*U$2</f>
        <v>0</v>
      </c>
      <c r="V159" s="88">
        <f>SUMIF(月間集計シート!$M$50:$M$69,$G159,月間集計シート!S$50:S$69)*V$2</f>
        <v>0</v>
      </c>
      <c r="W159" s="88">
        <f>SUMIF(月間集計シート!$M$50:$M$69,$G159,月間集計シート!T$50:T$69)*W$2</f>
        <v>0</v>
      </c>
      <c r="X159" s="88">
        <f>SUMIF(月間集計シート!$M$71:$M$90,$G159,月間集計シート!N$71:N$90)*X$2</f>
        <v>0</v>
      </c>
      <c r="Y159" s="88">
        <f>SUMIF(月間集計シート!$M$71:$M$90,$G159,月間集計シート!O$71:O$90)*Y$2</f>
        <v>0</v>
      </c>
      <c r="Z159" s="88">
        <f>SUMIF(月間集計シート!$M$71:$M$90,$G159,月間集計シート!P$71:P$90)*Z$2</f>
        <v>0</v>
      </c>
      <c r="AA159" s="88">
        <f>SUMIF(月間集計シート!$M$71:$M$90,$G159,月間集計シート!Q$71:Q$90)*AA$2</f>
        <v>0</v>
      </c>
      <c r="AB159" s="88">
        <f>SUMIF(月間集計シート!$M$71:$M$90,$G159,月間集計シート!R$71:R$90)*AB$2</f>
        <v>0</v>
      </c>
      <c r="AC159" s="88">
        <f>SUMIF(月間集計シート!$M$71:$M$90,$G159,月間集計シート!S$71:S$90)*AC$2</f>
        <v>0</v>
      </c>
      <c r="AD159" s="88">
        <f>SUMIF(月間集計シート!$M$71:$M$90,$G159,月間集計シート!T$71:T$90)*AD$2</f>
        <v>0</v>
      </c>
      <c r="AE159" s="88">
        <f>SUMIF(月間集計シート!$M$92:$M$111,$G159,月間集計シート!N$92:N$111)*AE$2</f>
        <v>0</v>
      </c>
      <c r="AF159" s="88">
        <f>SUMIF(月間集計シート!$M$92:$M$111,$G159,月間集計シート!O$92:O$111)*AF$2</f>
        <v>0</v>
      </c>
      <c r="AG159" s="88">
        <f>SUMIF(月間集計シート!$M$92:$M$111,$G159,月間集計シート!P$92:P$111)*AG$2</f>
        <v>0</v>
      </c>
      <c r="AH159" s="88">
        <f>SUMIF(月間集計シート!$M$92:$M$111,$G159,月間集計シート!Q$92:Q$111)*AH$2</f>
        <v>0</v>
      </c>
      <c r="AI159" s="88">
        <f>SUMIF(月間集計シート!$M$92:$M$111,$G159,月間集計シート!R$92:R$111)*AI$2</f>
        <v>0</v>
      </c>
      <c r="AJ159" s="88">
        <f>SUMIF(月間集計シート!$M$92:$M$111,$G159,月間集計シート!S$92:S$111)*AJ$2</f>
        <v>0</v>
      </c>
      <c r="AK159" s="88">
        <f>SUMIF(月間集計シート!$M$92:$M$111,$G159,月間集計シート!T$92:T$111)*AK$2</f>
        <v>0</v>
      </c>
      <c r="AL159" s="88">
        <f>SUMIF(月間集計シート!$M$113:$M$132,$G159,月間集計シート!N$113:N$132)*AL$2</f>
        <v>0</v>
      </c>
      <c r="AM159" s="88">
        <f>SUMIF(月間集計シート!$M$113:$M$132,$G159,月間集計シート!O$113:O$132)*AM$2</f>
        <v>0</v>
      </c>
      <c r="AN159" s="88">
        <f>SUMIF(月間集計シート!$M$113:$M$132,$G159,月間集計シート!P$113:P$132)*AN$2</f>
        <v>0</v>
      </c>
      <c r="AO159" s="88">
        <f>SUMIF(月間集計シート!$M$113:$M$132,$G159,月間集計シート!Q$113:Q$132)*AO$2</f>
        <v>0</v>
      </c>
      <c r="AP159" s="88">
        <f>SUMIF(月間集計シート!$M$113:$M$132,$G159,月間集計シート!R$113:R$132)*AP$2</f>
        <v>0</v>
      </c>
      <c r="AQ159" s="88">
        <f>SUMIF(月間集計シート!$M$113:$M$132,$G159,月間集計シート!S$113:S$132)*AQ$2</f>
        <v>0</v>
      </c>
      <c r="AR159" s="88">
        <f>SUMIF(月間集計シート!$M$113:$M$132,$G159,月間集計シート!T$113:T$132)*AR$2</f>
        <v>0</v>
      </c>
      <c r="AS159" s="88">
        <f>SUMIF(月間集計シート!$M$134:$M$153,$G159,月間集計シート!N$134:N$153)*AS$2</f>
        <v>0</v>
      </c>
      <c r="AT159" s="88">
        <f>SUMIF(月間集計シート!$M$134:$M$153,$G159,月間集計シート!O$134:O$153)*AT$2</f>
        <v>0</v>
      </c>
      <c r="AU159" s="88">
        <f>SUMIF(月間集計シート!$M$134:$M$153,$G159,月間集計シート!P$134:P$153)*AU$2</f>
        <v>0</v>
      </c>
      <c r="AV159" s="88">
        <f>SUMIF(月間集計シート!$M$134:$M$153,$G159,月間集計シート!Q$134:Q$153)*AV$2</f>
        <v>0</v>
      </c>
      <c r="AW159" s="88">
        <f>SUMIF(月間集計シート!$M$134:$M$153,$G159,月間集計シート!R$134:R$153)*AW$2</f>
        <v>0</v>
      </c>
      <c r="AX159" s="88">
        <f>SUMIF(月間集計シート!$M$134:$M$153,$G159,月間集計シート!S$134:S$153)*AX$2</f>
        <v>0</v>
      </c>
      <c r="AY159" s="88">
        <f>SUMIF(月間集計シート!$M$134:$M$153,$G159,月間集計シート!T$134:T$153)*AY$2</f>
        <v>0</v>
      </c>
    </row>
    <row r="160" spans="1:51" ht="14.25" thickBot="1">
      <c r="A160">
        <v>2</v>
      </c>
      <c r="B160" s="120">
        <f t="shared" ref="B160:C176" si="68">B159</f>
        <v>393021</v>
      </c>
      <c r="C160" s="120" t="e">
        <f t="shared" si="68"/>
        <v>#N/A</v>
      </c>
      <c r="D160" s="137"/>
      <c r="E160" s="150" t="str">
        <f>工種!A67</f>
        <v>90101</v>
      </c>
      <c r="F160" s="119" t="str">
        <f>工種!B67</f>
        <v>管理業務：ﾌﾟﾛｼﾞｪｸﾄ管理</v>
      </c>
      <c r="G160" s="116" t="str">
        <f t="shared" si="65"/>
        <v>39302190101</v>
      </c>
      <c r="H160" s="88">
        <f t="shared" si="67"/>
        <v>0</v>
      </c>
      <c r="I160" s="132"/>
      <c r="J160" s="88">
        <f>SUMIF(月間集計シート!$M$29:$M$48,$G160,月間集計シート!N$29:N$48)*J$2</f>
        <v>0</v>
      </c>
      <c r="K160" s="88">
        <f>SUMIF(月間集計シート!$M$29:$M$48,$G160,月間集計シート!O$29:O$48)*K$2</f>
        <v>0</v>
      </c>
      <c r="L160" s="88">
        <f>SUMIF(月間集計シート!$M$29:$M$48,$G160,月間集計シート!P$29:P$48)*L$2</f>
        <v>0</v>
      </c>
      <c r="M160" s="88">
        <f>SUMIF(月間集計シート!$M$29:$M$48,$G160,月間集計シート!Q$29:Q$48)*M$2</f>
        <v>0</v>
      </c>
      <c r="N160" s="88">
        <f>SUMIF(月間集計シート!$M$29:$M$48,$G160,月間集計シート!R$29:R$48)*N$2</f>
        <v>0</v>
      </c>
      <c r="O160" s="88">
        <f>SUMIF(月間集計シート!$M$29:$M$48,$G160,月間集計シート!S$29:S$48)*O$2</f>
        <v>0</v>
      </c>
      <c r="P160" s="88">
        <f>SUMIF(月間集計シート!$M$29:$M$48,$G160,月間集計シート!T$29:T$48)*P$2</f>
        <v>0</v>
      </c>
      <c r="Q160" s="88">
        <f>SUMIF(月間集計シート!$M$50:$M$69,$G160,月間集計シート!N$50:N$69)*Q$2</f>
        <v>0</v>
      </c>
      <c r="R160" s="88">
        <f>SUMIF(月間集計シート!$M$50:$M$69,$G160,月間集計シート!O$50:O$69)*R$2</f>
        <v>0</v>
      </c>
      <c r="S160" s="88">
        <f>SUMIF(月間集計シート!$M$50:$M$69,$G160,月間集計シート!P$50:P$69)*S$2</f>
        <v>0</v>
      </c>
      <c r="T160" s="88">
        <f>SUMIF(月間集計シート!$M$50:$M$69,$G160,月間集計シート!Q$50:Q$69)*T$2</f>
        <v>0</v>
      </c>
      <c r="U160" s="88">
        <f>SUMIF(月間集計シート!$M$50:$M$69,$G160,月間集計シート!R$50:R$69)*U$2</f>
        <v>0</v>
      </c>
      <c r="V160" s="88">
        <f>SUMIF(月間集計シート!$M$50:$M$69,$G160,月間集計シート!S$50:S$69)*V$2</f>
        <v>0</v>
      </c>
      <c r="W160" s="88">
        <f>SUMIF(月間集計シート!$M$50:$M$69,$G160,月間集計シート!T$50:T$69)*W$2</f>
        <v>0</v>
      </c>
      <c r="X160" s="88">
        <f>SUMIF(月間集計シート!$M$71:$M$90,$G160,月間集計シート!N$71:N$90)*X$2</f>
        <v>0</v>
      </c>
      <c r="Y160" s="88">
        <f>SUMIF(月間集計シート!$M$71:$M$90,$G160,月間集計シート!O$71:O$90)*Y$2</f>
        <v>0</v>
      </c>
      <c r="Z160" s="88">
        <f>SUMIF(月間集計シート!$M$71:$M$90,$G160,月間集計シート!P$71:P$90)*Z$2</f>
        <v>0</v>
      </c>
      <c r="AA160" s="88">
        <f>SUMIF(月間集計シート!$M$71:$M$90,$G160,月間集計シート!Q$71:Q$90)*AA$2</f>
        <v>0</v>
      </c>
      <c r="AB160" s="88">
        <f>SUMIF(月間集計シート!$M$71:$M$90,$G160,月間集計シート!R$71:R$90)*AB$2</f>
        <v>0</v>
      </c>
      <c r="AC160" s="88">
        <f>SUMIF(月間集計シート!$M$71:$M$90,$G160,月間集計シート!S$71:S$90)*AC$2</f>
        <v>0</v>
      </c>
      <c r="AD160" s="88">
        <f>SUMIF(月間集計シート!$M$71:$M$90,$G160,月間集計シート!T$71:T$90)*AD$2</f>
        <v>0</v>
      </c>
      <c r="AE160" s="88">
        <f>SUMIF(月間集計シート!$M$92:$M$111,$G160,月間集計シート!N$92:N$111)*AE$2</f>
        <v>0</v>
      </c>
      <c r="AF160" s="88">
        <f>SUMIF(月間集計シート!$M$92:$M$111,$G160,月間集計シート!O$92:O$111)*AF$2</f>
        <v>0</v>
      </c>
      <c r="AG160" s="88">
        <f>SUMIF(月間集計シート!$M$92:$M$111,$G160,月間集計シート!P$92:P$111)*AG$2</f>
        <v>0</v>
      </c>
      <c r="AH160" s="88">
        <f>SUMIF(月間集計シート!$M$92:$M$111,$G160,月間集計シート!Q$92:Q$111)*AH$2</f>
        <v>0</v>
      </c>
      <c r="AI160" s="88">
        <f>SUMIF(月間集計シート!$M$92:$M$111,$G160,月間集計シート!R$92:R$111)*AI$2</f>
        <v>0</v>
      </c>
      <c r="AJ160" s="88">
        <f>SUMIF(月間集計シート!$M$92:$M$111,$G160,月間集計シート!S$92:S$111)*AJ$2</f>
        <v>0</v>
      </c>
      <c r="AK160" s="88">
        <f>SUMIF(月間集計シート!$M$92:$M$111,$G160,月間集計シート!T$92:T$111)*AK$2</f>
        <v>0</v>
      </c>
      <c r="AL160" s="88">
        <f>SUMIF(月間集計シート!$M$113:$M$132,$G160,月間集計シート!N$113:N$132)*AL$2</f>
        <v>0</v>
      </c>
      <c r="AM160" s="88">
        <f>SUMIF(月間集計シート!$M$113:$M$132,$G160,月間集計シート!O$113:O$132)*AM$2</f>
        <v>0</v>
      </c>
      <c r="AN160" s="88">
        <f>SUMIF(月間集計シート!$M$113:$M$132,$G160,月間集計シート!P$113:P$132)*AN$2</f>
        <v>0</v>
      </c>
      <c r="AO160" s="88">
        <f>SUMIF(月間集計シート!$M$113:$M$132,$G160,月間集計シート!Q$113:Q$132)*AO$2</f>
        <v>0</v>
      </c>
      <c r="AP160" s="88">
        <f>SUMIF(月間集計シート!$M$113:$M$132,$G160,月間集計シート!R$113:R$132)*AP$2</f>
        <v>0</v>
      </c>
      <c r="AQ160" s="88">
        <f>SUMIF(月間集計シート!$M$113:$M$132,$G160,月間集計シート!S$113:S$132)*AQ$2</f>
        <v>0</v>
      </c>
      <c r="AR160" s="88">
        <f>SUMIF(月間集計シート!$M$113:$M$132,$G160,月間集計シート!T$113:T$132)*AR$2</f>
        <v>0</v>
      </c>
      <c r="AS160" s="88">
        <f>SUMIF(月間集計シート!$M$134:$M$153,$G160,月間集計シート!N$134:N$153)*AS$2</f>
        <v>0</v>
      </c>
      <c r="AT160" s="88">
        <f>SUMIF(月間集計シート!$M$134:$M$153,$G160,月間集計シート!O$134:O$153)*AT$2</f>
        <v>0</v>
      </c>
      <c r="AU160" s="88">
        <f>SUMIF(月間集計シート!$M$134:$M$153,$G160,月間集計シート!P$134:P$153)*AU$2</f>
        <v>0</v>
      </c>
      <c r="AV160" s="88">
        <f>SUMIF(月間集計シート!$M$134:$M$153,$G160,月間集計シート!Q$134:Q$153)*AV$2</f>
        <v>0</v>
      </c>
      <c r="AW160" s="88">
        <f>SUMIF(月間集計シート!$M$134:$M$153,$G160,月間集計シート!R$134:R$153)*AW$2</f>
        <v>0</v>
      </c>
      <c r="AX160" s="88">
        <f>SUMIF(月間集計シート!$M$134:$M$153,$G160,月間集計シート!S$134:S$153)*AX$2</f>
        <v>0</v>
      </c>
      <c r="AY160" s="88">
        <f>SUMIF(月間集計シート!$M$134:$M$153,$G160,月間集計シート!T$134:T$153)*AY$2</f>
        <v>0</v>
      </c>
    </row>
    <row r="161" spans="1:51" ht="14.25" thickBot="1">
      <c r="A161">
        <v>2</v>
      </c>
      <c r="B161" s="120">
        <f t="shared" si="68"/>
        <v>393021</v>
      </c>
      <c r="C161" s="120" t="e">
        <f t="shared" si="68"/>
        <v>#N/A</v>
      </c>
      <c r="D161" s="137"/>
      <c r="E161" s="150" t="str">
        <f>工種!A68</f>
        <v>90102</v>
      </c>
      <c r="F161" s="119" t="str">
        <f>工種!B68</f>
        <v>管理業務：開発環境管理</v>
      </c>
      <c r="G161" s="116" t="str">
        <f t="shared" si="65"/>
        <v>39302190102</v>
      </c>
      <c r="H161" s="88">
        <f t="shared" si="67"/>
        <v>0</v>
      </c>
      <c r="I161" s="132"/>
      <c r="J161" s="88">
        <f>SUMIF(月間集計シート!$M$29:$M$48,$G161,月間集計シート!N$29:N$48)*J$2</f>
        <v>0</v>
      </c>
      <c r="K161" s="88">
        <f>SUMIF(月間集計シート!$M$29:$M$48,$G161,月間集計シート!O$29:O$48)*K$2</f>
        <v>0</v>
      </c>
      <c r="L161" s="88">
        <f>SUMIF(月間集計シート!$M$29:$M$48,$G161,月間集計シート!P$29:P$48)*L$2</f>
        <v>0</v>
      </c>
      <c r="M161" s="88">
        <f>SUMIF(月間集計シート!$M$29:$M$48,$G161,月間集計シート!Q$29:Q$48)*M$2</f>
        <v>0</v>
      </c>
      <c r="N161" s="88">
        <f>SUMIF(月間集計シート!$M$29:$M$48,$G161,月間集計シート!R$29:R$48)*N$2</f>
        <v>0</v>
      </c>
      <c r="O161" s="88">
        <f>SUMIF(月間集計シート!$M$29:$M$48,$G161,月間集計シート!S$29:S$48)*O$2</f>
        <v>0</v>
      </c>
      <c r="P161" s="88">
        <f>SUMIF(月間集計シート!$M$29:$M$48,$G161,月間集計シート!T$29:T$48)*P$2</f>
        <v>0</v>
      </c>
      <c r="Q161" s="88">
        <f>SUMIF(月間集計シート!$M$50:$M$69,$G161,月間集計シート!N$50:N$69)*Q$2</f>
        <v>0</v>
      </c>
      <c r="R161" s="88">
        <f>SUMIF(月間集計シート!$M$50:$M$69,$G161,月間集計シート!O$50:O$69)*R$2</f>
        <v>0</v>
      </c>
      <c r="S161" s="88">
        <f>SUMIF(月間集計シート!$M$50:$M$69,$G161,月間集計シート!P$50:P$69)*S$2</f>
        <v>0</v>
      </c>
      <c r="T161" s="88">
        <f>SUMIF(月間集計シート!$M$50:$M$69,$G161,月間集計シート!Q$50:Q$69)*T$2</f>
        <v>0</v>
      </c>
      <c r="U161" s="88">
        <f>SUMIF(月間集計シート!$M$50:$M$69,$G161,月間集計シート!R$50:R$69)*U$2</f>
        <v>0</v>
      </c>
      <c r="V161" s="88">
        <f>SUMIF(月間集計シート!$M$50:$M$69,$G161,月間集計シート!S$50:S$69)*V$2</f>
        <v>0</v>
      </c>
      <c r="W161" s="88">
        <f>SUMIF(月間集計シート!$M$50:$M$69,$G161,月間集計シート!T$50:T$69)*W$2</f>
        <v>0</v>
      </c>
      <c r="X161" s="88">
        <f>SUMIF(月間集計シート!$M$71:$M$90,$G161,月間集計シート!N$71:N$90)*X$2</f>
        <v>0</v>
      </c>
      <c r="Y161" s="88">
        <f>SUMIF(月間集計シート!$M$71:$M$90,$G161,月間集計シート!O$71:O$90)*Y$2</f>
        <v>0</v>
      </c>
      <c r="Z161" s="88">
        <f>SUMIF(月間集計シート!$M$71:$M$90,$G161,月間集計シート!P$71:P$90)*Z$2</f>
        <v>0</v>
      </c>
      <c r="AA161" s="88">
        <f>SUMIF(月間集計シート!$M$71:$M$90,$G161,月間集計シート!Q$71:Q$90)*AA$2</f>
        <v>0</v>
      </c>
      <c r="AB161" s="88">
        <f>SUMIF(月間集計シート!$M$71:$M$90,$G161,月間集計シート!R$71:R$90)*AB$2</f>
        <v>0</v>
      </c>
      <c r="AC161" s="88">
        <f>SUMIF(月間集計シート!$M$71:$M$90,$G161,月間集計シート!S$71:S$90)*AC$2</f>
        <v>0</v>
      </c>
      <c r="AD161" s="88">
        <f>SUMIF(月間集計シート!$M$71:$M$90,$G161,月間集計シート!T$71:T$90)*AD$2</f>
        <v>0</v>
      </c>
      <c r="AE161" s="88">
        <f>SUMIF(月間集計シート!$M$92:$M$111,$G161,月間集計シート!N$92:N$111)*AE$2</f>
        <v>0</v>
      </c>
      <c r="AF161" s="88">
        <f>SUMIF(月間集計シート!$M$92:$M$111,$G161,月間集計シート!O$92:O$111)*AF$2</f>
        <v>0</v>
      </c>
      <c r="AG161" s="88">
        <f>SUMIF(月間集計シート!$M$92:$M$111,$G161,月間集計シート!P$92:P$111)*AG$2</f>
        <v>0</v>
      </c>
      <c r="AH161" s="88">
        <f>SUMIF(月間集計シート!$M$92:$M$111,$G161,月間集計シート!Q$92:Q$111)*AH$2</f>
        <v>0</v>
      </c>
      <c r="AI161" s="88">
        <f>SUMIF(月間集計シート!$M$92:$M$111,$G161,月間集計シート!R$92:R$111)*AI$2</f>
        <v>0</v>
      </c>
      <c r="AJ161" s="88">
        <f>SUMIF(月間集計シート!$M$92:$M$111,$G161,月間集計シート!S$92:S$111)*AJ$2</f>
        <v>0</v>
      </c>
      <c r="AK161" s="88">
        <f>SUMIF(月間集計シート!$M$92:$M$111,$G161,月間集計シート!T$92:T$111)*AK$2</f>
        <v>0</v>
      </c>
      <c r="AL161" s="88">
        <f>SUMIF(月間集計シート!$M$113:$M$132,$G161,月間集計シート!N$113:N$132)*AL$2</f>
        <v>0</v>
      </c>
      <c r="AM161" s="88">
        <f>SUMIF(月間集計シート!$M$113:$M$132,$G161,月間集計シート!O$113:O$132)*AM$2</f>
        <v>0</v>
      </c>
      <c r="AN161" s="88">
        <f>SUMIF(月間集計シート!$M$113:$M$132,$G161,月間集計シート!P$113:P$132)*AN$2</f>
        <v>0</v>
      </c>
      <c r="AO161" s="88">
        <f>SUMIF(月間集計シート!$M$113:$M$132,$G161,月間集計シート!Q$113:Q$132)*AO$2</f>
        <v>0</v>
      </c>
      <c r="AP161" s="88">
        <f>SUMIF(月間集計シート!$M$113:$M$132,$G161,月間集計シート!R$113:R$132)*AP$2</f>
        <v>0</v>
      </c>
      <c r="AQ161" s="88">
        <f>SUMIF(月間集計シート!$M$113:$M$132,$G161,月間集計シート!S$113:S$132)*AQ$2</f>
        <v>0</v>
      </c>
      <c r="AR161" s="88">
        <f>SUMIF(月間集計シート!$M$113:$M$132,$G161,月間集計シート!T$113:T$132)*AR$2</f>
        <v>0</v>
      </c>
      <c r="AS161" s="88">
        <f>SUMIF(月間集計シート!$M$134:$M$153,$G161,月間集計シート!N$134:N$153)*AS$2</f>
        <v>0</v>
      </c>
      <c r="AT161" s="88">
        <f>SUMIF(月間集計シート!$M$134:$M$153,$G161,月間集計シート!O$134:O$153)*AT$2</f>
        <v>0</v>
      </c>
      <c r="AU161" s="88">
        <f>SUMIF(月間集計シート!$M$134:$M$153,$G161,月間集計シート!P$134:P$153)*AU$2</f>
        <v>0</v>
      </c>
      <c r="AV161" s="88">
        <f>SUMIF(月間集計シート!$M$134:$M$153,$G161,月間集計シート!Q$134:Q$153)*AV$2</f>
        <v>0</v>
      </c>
      <c r="AW161" s="88">
        <f>SUMIF(月間集計シート!$M$134:$M$153,$G161,月間集計シート!R$134:R$153)*AW$2</f>
        <v>0</v>
      </c>
      <c r="AX161" s="88">
        <f>SUMIF(月間集計シート!$M$134:$M$153,$G161,月間集計シート!S$134:S$153)*AX$2</f>
        <v>0</v>
      </c>
      <c r="AY161" s="88">
        <f>SUMIF(月間集計シート!$M$134:$M$153,$G161,月間集計シート!T$134:T$153)*AY$2</f>
        <v>0</v>
      </c>
    </row>
    <row r="162" spans="1:51" ht="14.25" thickBot="1">
      <c r="A162">
        <v>2</v>
      </c>
      <c r="B162" s="120">
        <f t="shared" si="68"/>
        <v>393021</v>
      </c>
      <c r="C162" s="120" t="e">
        <f t="shared" si="68"/>
        <v>#N/A</v>
      </c>
      <c r="D162" s="137"/>
      <c r="E162" s="150" t="str">
        <f>工種!A69</f>
        <v>90103</v>
      </c>
      <c r="F162" s="119" t="str">
        <f>工種!B69</f>
        <v>管理業務：標準化・開発業務改善作業</v>
      </c>
      <c r="G162" s="116" t="str">
        <f t="shared" si="65"/>
        <v>39302190103</v>
      </c>
      <c r="H162" s="88">
        <f t="shared" si="67"/>
        <v>0</v>
      </c>
      <c r="I162" s="132"/>
      <c r="J162" s="88">
        <f>SUMIF(月間集計シート!$M$29:$M$48,$G162,月間集計シート!N$29:N$48)*J$2</f>
        <v>0</v>
      </c>
      <c r="K162" s="88">
        <f>SUMIF(月間集計シート!$M$29:$M$48,$G162,月間集計シート!O$29:O$48)*K$2</f>
        <v>0</v>
      </c>
      <c r="L162" s="88">
        <f>SUMIF(月間集計シート!$M$29:$M$48,$G162,月間集計シート!P$29:P$48)*L$2</f>
        <v>0</v>
      </c>
      <c r="M162" s="88">
        <f>SUMIF(月間集計シート!$M$29:$M$48,$G162,月間集計シート!Q$29:Q$48)*M$2</f>
        <v>0</v>
      </c>
      <c r="N162" s="88">
        <f>SUMIF(月間集計シート!$M$29:$M$48,$G162,月間集計シート!R$29:R$48)*N$2</f>
        <v>0</v>
      </c>
      <c r="O162" s="88">
        <f>SUMIF(月間集計シート!$M$29:$M$48,$G162,月間集計シート!S$29:S$48)*O$2</f>
        <v>0</v>
      </c>
      <c r="P162" s="88">
        <f>SUMIF(月間集計シート!$M$29:$M$48,$G162,月間集計シート!T$29:T$48)*P$2</f>
        <v>0</v>
      </c>
      <c r="Q162" s="88">
        <f>SUMIF(月間集計シート!$M$50:$M$69,$G162,月間集計シート!N$50:N$69)*Q$2</f>
        <v>0</v>
      </c>
      <c r="R162" s="88">
        <f>SUMIF(月間集計シート!$M$50:$M$69,$G162,月間集計シート!O$50:O$69)*R$2</f>
        <v>0</v>
      </c>
      <c r="S162" s="88">
        <f>SUMIF(月間集計シート!$M$50:$M$69,$G162,月間集計シート!P$50:P$69)*S$2</f>
        <v>0</v>
      </c>
      <c r="T162" s="88">
        <f>SUMIF(月間集計シート!$M$50:$M$69,$G162,月間集計シート!Q$50:Q$69)*T$2</f>
        <v>0</v>
      </c>
      <c r="U162" s="88">
        <f>SUMIF(月間集計シート!$M$50:$M$69,$G162,月間集計シート!R$50:R$69)*U$2</f>
        <v>0</v>
      </c>
      <c r="V162" s="88">
        <f>SUMIF(月間集計シート!$M$50:$M$69,$G162,月間集計シート!S$50:S$69)*V$2</f>
        <v>0</v>
      </c>
      <c r="W162" s="88">
        <f>SUMIF(月間集計シート!$M$50:$M$69,$G162,月間集計シート!T$50:T$69)*W$2</f>
        <v>0</v>
      </c>
      <c r="X162" s="88">
        <f>SUMIF(月間集計シート!$M$71:$M$90,$G162,月間集計シート!N$71:N$90)*X$2</f>
        <v>0</v>
      </c>
      <c r="Y162" s="88">
        <f>SUMIF(月間集計シート!$M$71:$M$90,$G162,月間集計シート!O$71:O$90)*Y$2</f>
        <v>0</v>
      </c>
      <c r="Z162" s="88">
        <f>SUMIF(月間集計シート!$M$71:$M$90,$G162,月間集計シート!P$71:P$90)*Z$2</f>
        <v>0</v>
      </c>
      <c r="AA162" s="88">
        <f>SUMIF(月間集計シート!$M$71:$M$90,$G162,月間集計シート!Q$71:Q$90)*AA$2</f>
        <v>0</v>
      </c>
      <c r="AB162" s="88">
        <f>SUMIF(月間集計シート!$M$71:$M$90,$G162,月間集計シート!R$71:R$90)*AB$2</f>
        <v>0</v>
      </c>
      <c r="AC162" s="88">
        <f>SUMIF(月間集計シート!$M$71:$M$90,$G162,月間集計シート!S$71:S$90)*AC$2</f>
        <v>0</v>
      </c>
      <c r="AD162" s="88">
        <f>SUMIF(月間集計シート!$M$71:$M$90,$G162,月間集計シート!T$71:T$90)*AD$2</f>
        <v>0</v>
      </c>
      <c r="AE162" s="88">
        <f>SUMIF(月間集計シート!$M$92:$M$111,$G162,月間集計シート!N$92:N$111)*AE$2</f>
        <v>0</v>
      </c>
      <c r="AF162" s="88">
        <f>SUMIF(月間集計シート!$M$92:$M$111,$G162,月間集計シート!O$92:O$111)*AF$2</f>
        <v>0</v>
      </c>
      <c r="AG162" s="88">
        <f>SUMIF(月間集計シート!$M$92:$M$111,$G162,月間集計シート!P$92:P$111)*AG$2</f>
        <v>0</v>
      </c>
      <c r="AH162" s="88">
        <f>SUMIF(月間集計シート!$M$92:$M$111,$G162,月間集計シート!Q$92:Q$111)*AH$2</f>
        <v>0</v>
      </c>
      <c r="AI162" s="88">
        <f>SUMIF(月間集計シート!$M$92:$M$111,$G162,月間集計シート!R$92:R$111)*AI$2</f>
        <v>0</v>
      </c>
      <c r="AJ162" s="88">
        <f>SUMIF(月間集計シート!$M$92:$M$111,$G162,月間集計シート!S$92:S$111)*AJ$2</f>
        <v>0</v>
      </c>
      <c r="AK162" s="88">
        <f>SUMIF(月間集計シート!$M$92:$M$111,$G162,月間集計シート!T$92:T$111)*AK$2</f>
        <v>0</v>
      </c>
      <c r="AL162" s="88">
        <f>SUMIF(月間集計シート!$M$113:$M$132,$G162,月間集計シート!N$113:N$132)*AL$2</f>
        <v>0</v>
      </c>
      <c r="AM162" s="88">
        <f>SUMIF(月間集計シート!$M$113:$M$132,$G162,月間集計シート!O$113:O$132)*AM$2</f>
        <v>0</v>
      </c>
      <c r="AN162" s="88">
        <f>SUMIF(月間集計シート!$M$113:$M$132,$G162,月間集計シート!P$113:P$132)*AN$2</f>
        <v>0</v>
      </c>
      <c r="AO162" s="88">
        <f>SUMIF(月間集計シート!$M$113:$M$132,$G162,月間集計シート!Q$113:Q$132)*AO$2</f>
        <v>0</v>
      </c>
      <c r="AP162" s="88">
        <f>SUMIF(月間集計シート!$M$113:$M$132,$G162,月間集計シート!R$113:R$132)*AP$2</f>
        <v>0</v>
      </c>
      <c r="AQ162" s="88">
        <f>SUMIF(月間集計シート!$M$113:$M$132,$G162,月間集計シート!S$113:S$132)*AQ$2</f>
        <v>0</v>
      </c>
      <c r="AR162" s="88">
        <f>SUMIF(月間集計シート!$M$113:$M$132,$G162,月間集計シート!T$113:T$132)*AR$2</f>
        <v>0</v>
      </c>
      <c r="AS162" s="88">
        <f>SUMIF(月間集計シート!$M$134:$M$153,$G162,月間集計シート!N$134:N$153)*AS$2</f>
        <v>0</v>
      </c>
      <c r="AT162" s="88">
        <f>SUMIF(月間集計シート!$M$134:$M$153,$G162,月間集計シート!O$134:O$153)*AT$2</f>
        <v>0</v>
      </c>
      <c r="AU162" s="88">
        <f>SUMIF(月間集計シート!$M$134:$M$153,$G162,月間集計シート!P$134:P$153)*AU$2</f>
        <v>0</v>
      </c>
      <c r="AV162" s="88">
        <f>SUMIF(月間集計シート!$M$134:$M$153,$G162,月間集計シート!Q$134:Q$153)*AV$2</f>
        <v>0</v>
      </c>
      <c r="AW162" s="88">
        <f>SUMIF(月間集計シート!$M$134:$M$153,$G162,月間集計シート!R$134:R$153)*AW$2</f>
        <v>0</v>
      </c>
      <c r="AX162" s="88">
        <f>SUMIF(月間集計シート!$M$134:$M$153,$G162,月間集計シート!S$134:S$153)*AX$2</f>
        <v>0</v>
      </c>
      <c r="AY162" s="88">
        <f>SUMIF(月間集計シート!$M$134:$M$153,$G162,月間集計シート!T$134:T$153)*AY$2</f>
        <v>0</v>
      </c>
    </row>
    <row r="163" spans="1:51" ht="14.25" thickBot="1">
      <c r="A163">
        <v>2</v>
      </c>
      <c r="B163" s="120">
        <f t="shared" si="68"/>
        <v>393021</v>
      </c>
      <c r="C163" s="120" t="e">
        <f t="shared" si="68"/>
        <v>#N/A</v>
      </c>
      <c r="D163" s="137"/>
      <c r="E163" s="150" t="str">
        <f>工種!A70</f>
        <v>90104</v>
      </c>
      <c r="F163" s="119" t="str">
        <f>工種!B70</f>
        <v>管理業務：開発業務の引継ぎ</v>
      </c>
      <c r="G163" s="116" t="str">
        <f t="shared" si="65"/>
        <v>39302190104</v>
      </c>
      <c r="H163" s="88">
        <f t="shared" si="67"/>
        <v>0</v>
      </c>
      <c r="I163" s="132"/>
      <c r="J163" s="88">
        <f>SUMIF(月間集計シート!$M$29:$M$48,$G163,月間集計シート!N$29:N$48)*J$2</f>
        <v>0</v>
      </c>
      <c r="K163" s="88">
        <f>SUMIF(月間集計シート!$M$29:$M$48,$G163,月間集計シート!O$29:O$48)*K$2</f>
        <v>0</v>
      </c>
      <c r="L163" s="88">
        <f>SUMIF(月間集計シート!$M$29:$M$48,$G163,月間集計シート!P$29:P$48)*L$2</f>
        <v>0</v>
      </c>
      <c r="M163" s="88">
        <f>SUMIF(月間集計シート!$M$29:$M$48,$G163,月間集計シート!Q$29:Q$48)*M$2</f>
        <v>0</v>
      </c>
      <c r="N163" s="88">
        <f>SUMIF(月間集計シート!$M$29:$M$48,$G163,月間集計シート!R$29:R$48)*N$2</f>
        <v>0</v>
      </c>
      <c r="O163" s="88">
        <f>SUMIF(月間集計シート!$M$29:$M$48,$G163,月間集計シート!S$29:S$48)*O$2</f>
        <v>0</v>
      </c>
      <c r="P163" s="88">
        <f>SUMIF(月間集計シート!$M$29:$M$48,$G163,月間集計シート!T$29:T$48)*P$2</f>
        <v>0</v>
      </c>
      <c r="Q163" s="88">
        <f>SUMIF(月間集計シート!$M$50:$M$69,$G163,月間集計シート!N$50:N$69)*Q$2</f>
        <v>0</v>
      </c>
      <c r="R163" s="88">
        <f>SUMIF(月間集計シート!$M$50:$M$69,$G163,月間集計シート!O$50:O$69)*R$2</f>
        <v>0</v>
      </c>
      <c r="S163" s="88">
        <f>SUMIF(月間集計シート!$M$50:$M$69,$G163,月間集計シート!P$50:P$69)*S$2</f>
        <v>0</v>
      </c>
      <c r="T163" s="88">
        <f>SUMIF(月間集計シート!$M$50:$M$69,$G163,月間集計シート!Q$50:Q$69)*T$2</f>
        <v>0</v>
      </c>
      <c r="U163" s="88">
        <f>SUMIF(月間集計シート!$M$50:$M$69,$G163,月間集計シート!R$50:R$69)*U$2</f>
        <v>0</v>
      </c>
      <c r="V163" s="88">
        <f>SUMIF(月間集計シート!$M$50:$M$69,$G163,月間集計シート!S$50:S$69)*V$2</f>
        <v>0</v>
      </c>
      <c r="W163" s="88">
        <f>SUMIF(月間集計シート!$M$50:$M$69,$G163,月間集計シート!T$50:T$69)*W$2</f>
        <v>0</v>
      </c>
      <c r="X163" s="88">
        <f>SUMIF(月間集計シート!$M$71:$M$90,$G163,月間集計シート!N$71:N$90)*X$2</f>
        <v>0</v>
      </c>
      <c r="Y163" s="88">
        <f>SUMIF(月間集計シート!$M$71:$M$90,$G163,月間集計シート!O$71:O$90)*Y$2</f>
        <v>0</v>
      </c>
      <c r="Z163" s="88">
        <f>SUMIF(月間集計シート!$M$71:$M$90,$G163,月間集計シート!P$71:P$90)*Z$2</f>
        <v>0</v>
      </c>
      <c r="AA163" s="88">
        <f>SUMIF(月間集計シート!$M$71:$M$90,$G163,月間集計シート!Q$71:Q$90)*AA$2</f>
        <v>0</v>
      </c>
      <c r="AB163" s="88">
        <f>SUMIF(月間集計シート!$M$71:$M$90,$G163,月間集計シート!R$71:R$90)*AB$2</f>
        <v>0</v>
      </c>
      <c r="AC163" s="88">
        <f>SUMIF(月間集計シート!$M$71:$M$90,$G163,月間集計シート!S$71:S$90)*AC$2</f>
        <v>0</v>
      </c>
      <c r="AD163" s="88">
        <f>SUMIF(月間集計シート!$M$71:$M$90,$G163,月間集計シート!T$71:T$90)*AD$2</f>
        <v>0</v>
      </c>
      <c r="AE163" s="88">
        <f>SUMIF(月間集計シート!$M$92:$M$111,$G163,月間集計シート!N$92:N$111)*AE$2</f>
        <v>0</v>
      </c>
      <c r="AF163" s="88">
        <f>SUMIF(月間集計シート!$M$92:$M$111,$G163,月間集計シート!O$92:O$111)*AF$2</f>
        <v>0</v>
      </c>
      <c r="AG163" s="88">
        <f>SUMIF(月間集計シート!$M$92:$M$111,$G163,月間集計シート!P$92:P$111)*AG$2</f>
        <v>0</v>
      </c>
      <c r="AH163" s="88">
        <f>SUMIF(月間集計シート!$M$92:$M$111,$G163,月間集計シート!Q$92:Q$111)*AH$2</f>
        <v>0</v>
      </c>
      <c r="AI163" s="88">
        <f>SUMIF(月間集計シート!$M$92:$M$111,$G163,月間集計シート!R$92:R$111)*AI$2</f>
        <v>0</v>
      </c>
      <c r="AJ163" s="88">
        <f>SUMIF(月間集計シート!$M$92:$M$111,$G163,月間集計シート!S$92:S$111)*AJ$2</f>
        <v>0</v>
      </c>
      <c r="AK163" s="88">
        <f>SUMIF(月間集計シート!$M$92:$M$111,$G163,月間集計シート!T$92:T$111)*AK$2</f>
        <v>0</v>
      </c>
      <c r="AL163" s="88">
        <f>SUMIF(月間集計シート!$M$113:$M$132,$G163,月間集計シート!N$113:N$132)*AL$2</f>
        <v>0</v>
      </c>
      <c r="AM163" s="88">
        <f>SUMIF(月間集計シート!$M$113:$M$132,$G163,月間集計シート!O$113:O$132)*AM$2</f>
        <v>0</v>
      </c>
      <c r="AN163" s="88">
        <f>SUMIF(月間集計シート!$M$113:$M$132,$G163,月間集計シート!P$113:P$132)*AN$2</f>
        <v>0</v>
      </c>
      <c r="AO163" s="88">
        <f>SUMIF(月間集計シート!$M$113:$M$132,$G163,月間集計シート!Q$113:Q$132)*AO$2</f>
        <v>0</v>
      </c>
      <c r="AP163" s="88">
        <f>SUMIF(月間集計シート!$M$113:$M$132,$G163,月間集計シート!R$113:R$132)*AP$2</f>
        <v>0</v>
      </c>
      <c r="AQ163" s="88">
        <f>SUMIF(月間集計シート!$M$113:$M$132,$G163,月間集計シート!S$113:S$132)*AQ$2</f>
        <v>0</v>
      </c>
      <c r="AR163" s="88">
        <f>SUMIF(月間集計シート!$M$113:$M$132,$G163,月間集計シート!T$113:T$132)*AR$2</f>
        <v>0</v>
      </c>
      <c r="AS163" s="88">
        <f>SUMIF(月間集計シート!$M$134:$M$153,$G163,月間集計シート!N$134:N$153)*AS$2</f>
        <v>0</v>
      </c>
      <c r="AT163" s="88">
        <f>SUMIF(月間集計シート!$M$134:$M$153,$G163,月間集計シート!O$134:O$153)*AT$2</f>
        <v>0</v>
      </c>
      <c r="AU163" s="88">
        <f>SUMIF(月間集計シート!$M$134:$M$153,$G163,月間集計シート!P$134:P$153)*AU$2</f>
        <v>0</v>
      </c>
      <c r="AV163" s="88">
        <f>SUMIF(月間集計シート!$M$134:$M$153,$G163,月間集計シート!Q$134:Q$153)*AV$2</f>
        <v>0</v>
      </c>
      <c r="AW163" s="88">
        <f>SUMIF(月間集計シート!$M$134:$M$153,$G163,月間集計シート!R$134:R$153)*AW$2</f>
        <v>0</v>
      </c>
      <c r="AX163" s="88">
        <f>SUMIF(月間集計シート!$M$134:$M$153,$G163,月間集計シート!S$134:S$153)*AX$2</f>
        <v>0</v>
      </c>
      <c r="AY163" s="88">
        <f>SUMIF(月間集計シート!$M$134:$M$153,$G163,月間集計シート!T$134:T$153)*AY$2</f>
        <v>0</v>
      </c>
    </row>
    <row r="164" spans="1:51" ht="14.25" thickBot="1">
      <c r="A164">
        <v>2</v>
      </c>
      <c r="B164" s="120">
        <f t="shared" si="68"/>
        <v>393021</v>
      </c>
      <c r="C164" s="120" t="e">
        <f t="shared" si="68"/>
        <v>#N/A</v>
      </c>
      <c r="D164" s="137"/>
      <c r="E164" s="150" t="str">
        <f>工種!A71</f>
        <v>90105</v>
      </c>
      <c r="F164" s="119" t="str">
        <f>工種!B71</f>
        <v>管理業務：SRB管理</v>
      </c>
      <c r="G164" s="116" t="str">
        <f t="shared" si="65"/>
        <v>39302190105</v>
      </c>
      <c r="H164" s="88">
        <f t="shared" si="67"/>
        <v>0</v>
      </c>
      <c r="I164" s="132"/>
      <c r="J164" s="88">
        <f>SUMIF(月間集計シート!$M$29:$M$48,$G164,月間集計シート!N$29:N$48)*J$2</f>
        <v>0</v>
      </c>
      <c r="K164" s="88">
        <f>SUMIF(月間集計シート!$M$29:$M$48,$G164,月間集計シート!O$29:O$48)*K$2</f>
        <v>0</v>
      </c>
      <c r="L164" s="88">
        <f>SUMIF(月間集計シート!$M$29:$M$48,$G164,月間集計シート!P$29:P$48)*L$2</f>
        <v>0</v>
      </c>
      <c r="M164" s="88">
        <f>SUMIF(月間集計シート!$M$29:$M$48,$G164,月間集計シート!Q$29:Q$48)*M$2</f>
        <v>0</v>
      </c>
      <c r="N164" s="88">
        <f>SUMIF(月間集計シート!$M$29:$M$48,$G164,月間集計シート!R$29:R$48)*N$2</f>
        <v>0</v>
      </c>
      <c r="O164" s="88">
        <f>SUMIF(月間集計シート!$M$29:$M$48,$G164,月間集計シート!S$29:S$48)*O$2</f>
        <v>0</v>
      </c>
      <c r="P164" s="88">
        <f>SUMIF(月間集計シート!$M$29:$M$48,$G164,月間集計シート!T$29:T$48)*P$2</f>
        <v>0</v>
      </c>
      <c r="Q164" s="88">
        <f>SUMIF(月間集計シート!$M$50:$M$69,$G164,月間集計シート!N$50:N$69)*Q$2</f>
        <v>0</v>
      </c>
      <c r="R164" s="88">
        <f>SUMIF(月間集計シート!$M$50:$M$69,$G164,月間集計シート!O$50:O$69)*R$2</f>
        <v>0</v>
      </c>
      <c r="S164" s="88">
        <f>SUMIF(月間集計シート!$M$50:$M$69,$G164,月間集計シート!P$50:P$69)*S$2</f>
        <v>0</v>
      </c>
      <c r="T164" s="88">
        <f>SUMIF(月間集計シート!$M$50:$M$69,$G164,月間集計シート!Q$50:Q$69)*T$2</f>
        <v>0</v>
      </c>
      <c r="U164" s="88">
        <f>SUMIF(月間集計シート!$M$50:$M$69,$G164,月間集計シート!R$50:R$69)*U$2</f>
        <v>0</v>
      </c>
      <c r="V164" s="88">
        <f>SUMIF(月間集計シート!$M$50:$M$69,$G164,月間集計シート!S$50:S$69)*V$2</f>
        <v>0</v>
      </c>
      <c r="W164" s="88">
        <f>SUMIF(月間集計シート!$M$50:$M$69,$G164,月間集計シート!T$50:T$69)*W$2</f>
        <v>0</v>
      </c>
      <c r="X164" s="88">
        <f>SUMIF(月間集計シート!$M$71:$M$90,$G164,月間集計シート!N$71:N$90)*X$2</f>
        <v>0</v>
      </c>
      <c r="Y164" s="88">
        <f>SUMIF(月間集計シート!$M$71:$M$90,$G164,月間集計シート!O$71:O$90)*Y$2</f>
        <v>0</v>
      </c>
      <c r="Z164" s="88">
        <f>SUMIF(月間集計シート!$M$71:$M$90,$G164,月間集計シート!P$71:P$90)*Z$2</f>
        <v>0</v>
      </c>
      <c r="AA164" s="88">
        <f>SUMIF(月間集計シート!$M$71:$M$90,$G164,月間集計シート!Q$71:Q$90)*AA$2</f>
        <v>0</v>
      </c>
      <c r="AB164" s="88">
        <f>SUMIF(月間集計シート!$M$71:$M$90,$G164,月間集計シート!R$71:R$90)*AB$2</f>
        <v>0</v>
      </c>
      <c r="AC164" s="88">
        <f>SUMIF(月間集計シート!$M$71:$M$90,$G164,月間集計シート!S$71:S$90)*AC$2</f>
        <v>0</v>
      </c>
      <c r="AD164" s="88">
        <f>SUMIF(月間集計シート!$M$71:$M$90,$G164,月間集計シート!T$71:T$90)*AD$2</f>
        <v>0</v>
      </c>
      <c r="AE164" s="88">
        <f>SUMIF(月間集計シート!$M$92:$M$111,$G164,月間集計シート!N$92:N$111)*AE$2</f>
        <v>0</v>
      </c>
      <c r="AF164" s="88">
        <f>SUMIF(月間集計シート!$M$92:$M$111,$G164,月間集計シート!O$92:O$111)*AF$2</f>
        <v>0</v>
      </c>
      <c r="AG164" s="88">
        <f>SUMIF(月間集計シート!$M$92:$M$111,$G164,月間集計シート!P$92:P$111)*AG$2</f>
        <v>0</v>
      </c>
      <c r="AH164" s="88">
        <f>SUMIF(月間集計シート!$M$92:$M$111,$G164,月間集計シート!Q$92:Q$111)*AH$2</f>
        <v>0</v>
      </c>
      <c r="AI164" s="88">
        <f>SUMIF(月間集計シート!$M$92:$M$111,$G164,月間集計シート!R$92:R$111)*AI$2</f>
        <v>0</v>
      </c>
      <c r="AJ164" s="88">
        <f>SUMIF(月間集計シート!$M$92:$M$111,$G164,月間集計シート!S$92:S$111)*AJ$2</f>
        <v>0</v>
      </c>
      <c r="AK164" s="88">
        <f>SUMIF(月間集計シート!$M$92:$M$111,$G164,月間集計シート!T$92:T$111)*AK$2</f>
        <v>0</v>
      </c>
      <c r="AL164" s="88">
        <f>SUMIF(月間集計シート!$M$113:$M$132,$G164,月間集計シート!N$113:N$132)*AL$2</f>
        <v>0</v>
      </c>
      <c r="AM164" s="88">
        <f>SUMIF(月間集計シート!$M$113:$M$132,$G164,月間集計シート!O$113:O$132)*AM$2</f>
        <v>0</v>
      </c>
      <c r="AN164" s="88">
        <f>SUMIF(月間集計シート!$M$113:$M$132,$G164,月間集計シート!P$113:P$132)*AN$2</f>
        <v>0</v>
      </c>
      <c r="AO164" s="88">
        <f>SUMIF(月間集計シート!$M$113:$M$132,$G164,月間集計シート!Q$113:Q$132)*AO$2</f>
        <v>0</v>
      </c>
      <c r="AP164" s="88">
        <f>SUMIF(月間集計シート!$M$113:$M$132,$G164,月間集計シート!R$113:R$132)*AP$2</f>
        <v>0</v>
      </c>
      <c r="AQ164" s="88">
        <f>SUMIF(月間集計シート!$M$113:$M$132,$G164,月間集計シート!S$113:S$132)*AQ$2</f>
        <v>0</v>
      </c>
      <c r="AR164" s="88">
        <f>SUMIF(月間集計シート!$M$113:$M$132,$G164,月間集計シート!T$113:T$132)*AR$2</f>
        <v>0</v>
      </c>
      <c r="AS164" s="88">
        <f>SUMIF(月間集計シート!$M$134:$M$153,$G164,月間集計シート!N$134:N$153)*AS$2</f>
        <v>0</v>
      </c>
      <c r="AT164" s="88">
        <f>SUMIF(月間集計シート!$M$134:$M$153,$G164,月間集計シート!O$134:O$153)*AT$2</f>
        <v>0</v>
      </c>
      <c r="AU164" s="88">
        <f>SUMIF(月間集計シート!$M$134:$M$153,$G164,月間集計シート!P$134:P$153)*AU$2</f>
        <v>0</v>
      </c>
      <c r="AV164" s="88">
        <f>SUMIF(月間集計シート!$M$134:$M$153,$G164,月間集計シート!Q$134:Q$153)*AV$2</f>
        <v>0</v>
      </c>
      <c r="AW164" s="88">
        <f>SUMIF(月間集計シート!$M$134:$M$153,$G164,月間集計シート!R$134:R$153)*AW$2</f>
        <v>0</v>
      </c>
      <c r="AX164" s="88">
        <f>SUMIF(月間集計シート!$M$134:$M$153,$G164,月間集計シート!S$134:S$153)*AX$2</f>
        <v>0</v>
      </c>
      <c r="AY164" s="88">
        <f>SUMIF(月間集計シート!$M$134:$M$153,$G164,月間集計シート!T$134:T$153)*AY$2</f>
        <v>0</v>
      </c>
    </row>
    <row r="165" spans="1:51" ht="14.25" thickBot="1">
      <c r="A165">
        <v>2</v>
      </c>
      <c r="B165" s="120">
        <f t="shared" si="68"/>
        <v>393021</v>
      </c>
      <c r="C165" s="120" t="e">
        <f t="shared" si="68"/>
        <v>#N/A</v>
      </c>
      <c r="D165" s="137"/>
      <c r="E165" s="150" t="str">
        <f>工種!A72</f>
        <v>90107</v>
      </c>
      <c r="F165" s="119" t="str">
        <f>工種!B72</f>
        <v>管理業務：開発事務作業</v>
      </c>
      <c r="G165" s="116" t="str">
        <f t="shared" si="65"/>
        <v>39302190107</v>
      </c>
      <c r="H165" s="88">
        <f t="shared" si="67"/>
        <v>0</v>
      </c>
      <c r="I165" s="132"/>
      <c r="J165" s="88">
        <f>SUMIF(月間集計シート!$M$29:$M$48,$G165,月間集計シート!N$29:N$48)*J$2</f>
        <v>0</v>
      </c>
      <c r="K165" s="88">
        <f>SUMIF(月間集計シート!$M$29:$M$48,$G165,月間集計シート!O$29:O$48)*K$2</f>
        <v>0</v>
      </c>
      <c r="L165" s="88">
        <f>SUMIF(月間集計シート!$M$29:$M$48,$G165,月間集計シート!P$29:P$48)*L$2</f>
        <v>0</v>
      </c>
      <c r="M165" s="88">
        <f>SUMIF(月間集計シート!$M$29:$M$48,$G165,月間集計シート!Q$29:Q$48)*M$2</f>
        <v>0</v>
      </c>
      <c r="N165" s="88">
        <f>SUMIF(月間集計シート!$M$29:$M$48,$G165,月間集計シート!R$29:R$48)*N$2</f>
        <v>0</v>
      </c>
      <c r="O165" s="88">
        <f>SUMIF(月間集計シート!$M$29:$M$48,$G165,月間集計シート!S$29:S$48)*O$2</f>
        <v>0</v>
      </c>
      <c r="P165" s="88">
        <f>SUMIF(月間集計シート!$M$29:$M$48,$G165,月間集計シート!T$29:T$48)*P$2</f>
        <v>0</v>
      </c>
      <c r="Q165" s="88">
        <f>SUMIF(月間集計シート!$M$50:$M$69,$G165,月間集計シート!N$50:N$69)*Q$2</f>
        <v>0</v>
      </c>
      <c r="R165" s="88">
        <f>SUMIF(月間集計シート!$M$50:$M$69,$G165,月間集計シート!O$50:O$69)*R$2</f>
        <v>0</v>
      </c>
      <c r="S165" s="88">
        <f>SUMIF(月間集計シート!$M$50:$M$69,$G165,月間集計シート!P$50:P$69)*S$2</f>
        <v>0</v>
      </c>
      <c r="T165" s="88">
        <f>SUMIF(月間集計シート!$M$50:$M$69,$G165,月間集計シート!Q$50:Q$69)*T$2</f>
        <v>0</v>
      </c>
      <c r="U165" s="88">
        <f>SUMIF(月間集計シート!$M$50:$M$69,$G165,月間集計シート!R$50:R$69)*U$2</f>
        <v>0</v>
      </c>
      <c r="V165" s="88">
        <f>SUMIF(月間集計シート!$M$50:$M$69,$G165,月間集計シート!S$50:S$69)*V$2</f>
        <v>0</v>
      </c>
      <c r="W165" s="88">
        <f>SUMIF(月間集計シート!$M$50:$M$69,$G165,月間集計シート!T$50:T$69)*W$2</f>
        <v>0</v>
      </c>
      <c r="X165" s="88">
        <f>SUMIF(月間集計シート!$M$71:$M$90,$G165,月間集計シート!N$71:N$90)*X$2</f>
        <v>0</v>
      </c>
      <c r="Y165" s="88">
        <f>SUMIF(月間集計シート!$M$71:$M$90,$G165,月間集計シート!O$71:O$90)*Y$2</f>
        <v>0</v>
      </c>
      <c r="Z165" s="88">
        <f>SUMIF(月間集計シート!$M$71:$M$90,$G165,月間集計シート!P$71:P$90)*Z$2</f>
        <v>0</v>
      </c>
      <c r="AA165" s="88">
        <f>SUMIF(月間集計シート!$M$71:$M$90,$G165,月間集計シート!Q$71:Q$90)*AA$2</f>
        <v>0</v>
      </c>
      <c r="AB165" s="88">
        <f>SUMIF(月間集計シート!$M$71:$M$90,$G165,月間集計シート!R$71:R$90)*AB$2</f>
        <v>0</v>
      </c>
      <c r="AC165" s="88">
        <f>SUMIF(月間集計シート!$M$71:$M$90,$G165,月間集計シート!S$71:S$90)*AC$2</f>
        <v>0</v>
      </c>
      <c r="AD165" s="88">
        <f>SUMIF(月間集計シート!$M$71:$M$90,$G165,月間集計シート!T$71:T$90)*AD$2</f>
        <v>0</v>
      </c>
      <c r="AE165" s="88">
        <f>SUMIF(月間集計シート!$M$92:$M$111,$G165,月間集計シート!N$92:N$111)*AE$2</f>
        <v>0</v>
      </c>
      <c r="AF165" s="88">
        <f>SUMIF(月間集計シート!$M$92:$M$111,$G165,月間集計シート!O$92:O$111)*AF$2</f>
        <v>0</v>
      </c>
      <c r="AG165" s="88">
        <f>SUMIF(月間集計シート!$M$92:$M$111,$G165,月間集計シート!P$92:P$111)*AG$2</f>
        <v>0</v>
      </c>
      <c r="AH165" s="88">
        <f>SUMIF(月間集計シート!$M$92:$M$111,$G165,月間集計シート!Q$92:Q$111)*AH$2</f>
        <v>0</v>
      </c>
      <c r="AI165" s="88">
        <f>SUMIF(月間集計シート!$M$92:$M$111,$G165,月間集計シート!R$92:R$111)*AI$2</f>
        <v>0</v>
      </c>
      <c r="AJ165" s="88">
        <f>SUMIF(月間集計シート!$M$92:$M$111,$G165,月間集計シート!S$92:S$111)*AJ$2</f>
        <v>0</v>
      </c>
      <c r="AK165" s="88">
        <f>SUMIF(月間集計シート!$M$92:$M$111,$G165,月間集計シート!T$92:T$111)*AK$2</f>
        <v>0</v>
      </c>
      <c r="AL165" s="88">
        <f>SUMIF(月間集計シート!$M$113:$M$132,$G165,月間集計シート!N$113:N$132)*AL$2</f>
        <v>0</v>
      </c>
      <c r="AM165" s="88">
        <f>SUMIF(月間集計シート!$M$113:$M$132,$G165,月間集計シート!O$113:O$132)*AM$2</f>
        <v>0</v>
      </c>
      <c r="AN165" s="88">
        <f>SUMIF(月間集計シート!$M$113:$M$132,$G165,月間集計シート!P$113:P$132)*AN$2</f>
        <v>0</v>
      </c>
      <c r="AO165" s="88">
        <f>SUMIF(月間集計シート!$M$113:$M$132,$G165,月間集計シート!Q$113:Q$132)*AO$2</f>
        <v>0</v>
      </c>
      <c r="AP165" s="88">
        <f>SUMIF(月間集計シート!$M$113:$M$132,$G165,月間集計シート!R$113:R$132)*AP$2</f>
        <v>0</v>
      </c>
      <c r="AQ165" s="88">
        <f>SUMIF(月間集計シート!$M$113:$M$132,$G165,月間集計シート!S$113:S$132)*AQ$2</f>
        <v>0</v>
      </c>
      <c r="AR165" s="88">
        <f>SUMIF(月間集計シート!$M$113:$M$132,$G165,月間集計シート!T$113:T$132)*AR$2</f>
        <v>0</v>
      </c>
      <c r="AS165" s="88">
        <f>SUMIF(月間集計シート!$M$134:$M$153,$G165,月間集計シート!N$134:N$153)*AS$2</f>
        <v>0</v>
      </c>
      <c r="AT165" s="88">
        <f>SUMIF(月間集計シート!$M$134:$M$153,$G165,月間集計シート!O$134:O$153)*AT$2</f>
        <v>0</v>
      </c>
      <c r="AU165" s="88">
        <f>SUMIF(月間集計シート!$M$134:$M$153,$G165,月間集計シート!P$134:P$153)*AU$2</f>
        <v>0</v>
      </c>
      <c r="AV165" s="88">
        <f>SUMIF(月間集計シート!$M$134:$M$153,$G165,月間集計シート!Q$134:Q$153)*AV$2</f>
        <v>0</v>
      </c>
      <c r="AW165" s="88">
        <f>SUMIF(月間集計シート!$M$134:$M$153,$G165,月間集計シート!R$134:R$153)*AW$2</f>
        <v>0</v>
      </c>
      <c r="AX165" s="88">
        <f>SUMIF(月間集計シート!$M$134:$M$153,$G165,月間集計シート!S$134:S$153)*AX$2</f>
        <v>0</v>
      </c>
      <c r="AY165" s="88">
        <f>SUMIF(月間集計シート!$M$134:$M$153,$G165,月間集計シート!T$134:T$153)*AY$2</f>
        <v>0</v>
      </c>
    </row>
    <row r="166" spans="1:51" ht="14.25" thickBot="1">
      <c r="A166">
        <v>2</v>
      </c>
      <c r="B166" s="120">
        <f t="shared" si="68"/>
        <v>393021</v>
      </c>
      <c r="C166" s="120" t="e">
        <f t="shared" si="68"/>
        <v>#N/A</v>
      </c>
      <c r="D166" s="137"/>
      <c r="E166" s="150" t="str">
        <f>工種!A73</f>
        <v>90108</v>
      </c>
      <c r="F166" s="119" t="str">
        <f>工種!B73</f>
        <v>管理業務：外部不具合分析</v>
      </c>
      <c r="G166" s="116" t="str">
        <f t="shared" si="65"/>
        <v>39302190108</v>
      </c>
      <c r="H166" s="88">
        <f t="shared" si="67"/>
        <v>0</v>
      </c>
      <c r="I166" s="132"/>
      <c r="J166" s="88">
        <f>SUMIF(月間集計シート!$M$29:$M$48,$G166,月間集計シート!N$29:N$48)*J$2</f>
        <v>0</v>
      </c>
      <c r="K166" s="88">
        <f>SUMIF(月間集計シート!$M$29:$M$48,$G166,月間集計シート!O$29:O$48)*K$2</f>
        <v>0</v>
      </c>
      <c r="L166" s="88">
        <f>SUMIF(月間集計シート!$M$29:$M$48,$G166,月間集計シート!P$29:P$48)*L$2</f>
        <v>0</v>
      </c>
      <c r="M166" s="88">
        <f>SUMIF(月間集計シート!$M$29:$M$48,$G166,月間集計シート!Q$29:Q$48)*M$2</f>
        <v>0</v>
      </c>
      <c r="N166" s="88">
        <f>SUMIF(月間集計シート!$M$29:$M$48,$G166,月間集計シート!R$29:R$48)*N$2</f>
        <v>0</v>
      </c>
      <c r="O166" s="88">
        <f>SUMIF(月間集計シート!$M$29:$M$48,$G166,月間集計シート!S$29:S$48)*O$2</f>
        <v>0</v>
      </c>
      <c r="P166" s="88">
        <f>SUMIF(月間集計シート!$M$29:$M$48,$G166,月間集計シート!T$29:T$48)*P$2</f>
        <v>0</v>
      </c>
      <c r="Q166" s="88">
        <f>SUMIF(月間集計シート!$M$50:$M$69,$G166,月間集計シート!N$50:N$69)*Q$2</f>
        <v>0</v>
      </c>
      <c r="R166" s="88">
        <f>SUMIF(月間集計シート!$M$50:$M$69,$G166,月間集計シート!O$50:O$69)*R$2</f>
        <v>0</v>
      </c>
      <c r="S166" s="88">
        <f>SUMIF(月間集計シート!$M$50:$M$69,$G166,月間集計シート!P$50:P$69)*S$2</f>
        <v>0</v>
      </c>
      <c r="T166" s="88">
        <f>SUMIF(月間集計シート!$M$50:$M$69,$G166,月間集計シート!Q$50:Q$69)*T$2</f>
        <v>0</v>
      </c>
      <c r="U166" s="88">
        <f>SUMIF(月間集計シート!$M$50:$M$69,$G166,月間集計シート!R$50:R$69)*U$2</f>
        <v>0</v>
      </c>
      <c r="V166" s="88">
        <f>SUMIF(月間集計シート!$M$50:$M$69,$G166,月間集計シート!S$50:S$69)*V$2</f>
        <v>0</v>
      </c>
      <c r="W166" s="88">
        <f>SUMIF(月間集計シート!$M$50:$M$69,$G166,月間集計シート!T$50:T$69)*W$2</f>
        <v>0</v>
      </c>
      <c r="X166" s="88">
        <f>SUMIF(月間集計シート!$M$71:$M$90,$G166,月間集計シート!N$71:N$90)*X$2</f>
        <v>0</v>
      </c>
      <c r="Y166" s="88">
        <f>SUMIF(月間集計シート!$M$71:$M$90,$G166,月間集計シート!O$71:O$90)*Y$2</f>
        <v>0</v>
      </c>
      <c r="Z166" s="88">
        <f>SUMIF(月間集計シート!$M$71:$M$90,$G166,月間集計シート!P$71:P$90)*Z$2</f>
        <v>0</v>
      </c>
      <c r="AA166" s="88">
        <f>SUMIF(月間集計シート!$M$71:$M$90,$G166,月間集計シート!Q$71:Q$90)*AA$2</f>
        <v>0</v>
      </c>
      <c r="AB166" s="88">
        <f>SUMIF(月間集計シート!$M$71:$M$90,$G166,月間集計シート!R$71:R$90)*AB$2</f>
        <v>0</v>
      </c>
      <c r="AC166" s="88">
        <f>SUMIF(月間集計シート!$M$71:$M$90,$G166,月間集計シート!S$71:S$90)*AC$2</f>
        <v>0</v>
      </c>
      <c r="AD166" s="88">
        <f>SUMIF(月間集計シート!$M$71:$M$90,$G166,月間集計シート!T$71:T$90)*AD$2</f>
        <v>0</v>
      </c>
      <c r="AE166" s="88">
        <f>SUMIF(月間集計シート!$M$92:$M$111,$G166,月間集計シート!N$92:N$111)*AE$2</f>
        <v>0</v>
      </c>
      <c r="AF166" s="88">
        <f>SUMIF(月間集計シート!$M$92:$M$111,$G166,月間集計シート!O$92:O$111)*AF$2</f>
        <v>0</v>
      </c>
      <c r="AG166" s="88">
        <f>SUMIF(月間集計シート!$M$92:$M$111,$G166,月間集計シート!P$92:P$111)*AG$2</f>
        <v>0</v>
      </c>
      <c r="AH166" s="88">
        <f>SUMIF(月間集計シート!$M$92:$M$111,$G166,月間集計シート!Q$92:Q$111)*AH$2</f>
        <v>0</v>
      </c>
      <c r="AI166" s="88">
        <f>SUMIF(月間集計シート!$M$92:$M$111,$G166,月間集計シート!R$92:R$111)*AI$2</f>
        <v>0</v>
      </c>
      <c r="AJ166" s="88">
        <f>SUMIF(月間集計シート!$M$92:$M$111,$G166,月間集計シート!S$92:S$111)*AJ$2</f>
        <v>0</v>
      </c>
      <c r="AK166" s="88">
        <f>SUMIF(月間集計シート!$M$92:$M$111,$G166,月間集計シート!T$92:T$111)*AK$2</f>
        <v>0</v>
      </c>
      <c r="AL166" s="88">
        <f>SUMIF(月間集計シート!$M$113:$M$132,$G166,月間集計シート!N$113:N$132)*AL$2</f>
        <v>0</v>
      </c>
      <c r="AM166" s="88">
        <f>SUMIF(月間集計シート!$M$113:$M$132,$G166,月間集計シート!O$113:O$132)*AM$2</f>
        <v>0</v>
      </c>
      <c r="AN166" s="88">
        <f>SUMIF(月間集計シート!$M$113:$M$132,$G166,月間集計シート!P$113:P$132)*AN$2</f>
        <v>0</v>
      </c>
      <c r="AO166" s="88">
        <f>SUMIF(月間集計シート!$M$113:$M$132,$G166,月間集計シート!Q$113:Q$132)*AO$2</f>
        <v>0</v>
      </c>
      <c r="AP166" s="88">
        <f>SUMIF(月間集計シート!$M$113:$M$132,$G166,月間集計シート!R$113:R$132)*AP$2</f>
        <v>0</v>
      </c>
      <c r="AQ166" s="88">
        <f>SUMIF(月間集計シート!$M$113:$M$132,$G166,月間集計シート!S$113:S$132)*AQ$2</f>
        <v>0</v>
      </c>
      <c r="AR166" s="88">
        <f>SUMIF(月間集計シート!$M$113:$M$132,$G166,月間集計シート!T$113:T$132)*AR$2</f>
        <v>0</v>
      </c>
      <c r="AS166" s="88">
        <f>SUMIF(月間集計シート!$M$134:$M$153,$G166,月間集計シート!N$134:N$153)*AS$2</f>
        <v>0</v>
      </c>
      <c r="AT166" s="88">
        <f>SUMIF(月間集計シート!$M$134:$M$153,$G166,月間集計シート!O$134:O$153)*AT$2</f>
        <v>0</v>
      </c>
      <c r="AU166" s="88">
        <f>SUMIF(月間集計シート!$M$134:$M$153,$G166,月間集計シート!P$134:P$153)*AU$2</f>
        <v>0</v>
      </c>
      <c r="AV166" s="88">
        <f>SUMIF(月間集計シート!$M$134:$M$153,$G166,月間集計シート!Q$134:Q$153)*AV$2</f>
        <v>0</v>
      </c>
      <c r="AW166" s="88">
        <f>SUMIF(月間集計シート!$M$134:$M$153,$G166,月間集計シート!R$134:R$153)*AW$2</f>
        <v>0</v>
      </c>
      <c r="AX166" s="88">
        <f>SUMIF(月間集計シート!$M$134:$M$153,$G166,月間集計シート!S$134:S$153)*AX$2</f>
        <v>0</v>
      </c>
      <c r="AY166" s="88">
        <f>SUMIF(月間集計シート!$M$134:$M$153,$G166,月間集計シート!T$134:T$153)*AY$2</f>
        <v>0</v>
      </c>
    </row>
    <row r="167" spans="1:51" ht="14.25" thickBot="1">
      <c r="A167">
        <v>2</v>
      </c>
      <c r="B167" s="120">
        <f t="shared" si="68"/>
        <v>393021</v>
      </c>
      <c r="C167" s="120" t="e">
        <f t="shared" si="68"/>
        <v>#N/A</v>
      </c>
      <c r="D167" s="137"/>
      <c r="E167" s="150" t="str">
        <f>工種!A74</f>
        <v>90110</v>
      </c>
      <c r="F167" s="119" t="str">
        <f>工種!B74</f>
        <v>管理業務：打合せ</v>
      </c>
      <c r="G167" s="116" t="str">
        <f t="shared" si="65"/>
        <v>39302190110</v>
      </c>
      <c r="H167" s="88">
        <f t="shared" si="67"/>
        <v>0</v>
      </c>
      <c r="I167" s="132"/>
      <c r="J167" s="88">
        <f>SUMIF(月間集計シート!$M$29:$M$48,$G167,月間集計シート!N$29:N$48)*J$2</f>
        <v>0</v>
      </c>
      <c r="K167" s="88">
        <f>SUMIF(月間集計シート!$M$29:$M$48,$G167,月間集計シート!O$29:O$48)*K$2</f>
        <v>0</v>
      </c>
      <c r="L167" s="88">
        <f>SUMIF(月間集計シート!$M$29:$M$48,$G167,月間集計シート!P$29:P$48)*L$2</f>
        <v>0</v>
      </c>
      <c r="M167" s="88">
        <f>SUMIF(月間集計シート!$M$29:$M$48,$G167,月間集計シート!Q$29:Q$48)*M$2</f>
        <v>0</v>
      </c>
      <c r="N167" s="88">
        <f>SUMIF(月間集計シート!$M$29:$M$48,$G167,月間集計シート!R$29:R$48)*N$2</f>
        <v>0</v>
      </c>
      <c r="O167" s="88">
        <f>SUMIF(月間集計シート!$M$29:$M$48,$G167,月間集計シート!S$29:S$48)*O$2</f>
        <v>0</v>
      </c>
      <c r="P167" s="88">
        <f>SUMIF(月間集計シート!$M$29:$M$48,$G167,月間集計シート!T$29:T$48)*P$2</f>
        <v>0</v>
      </c>
      <c r="Q167" s="88">
        <f>SUMIF(月間集計シート!$M$50:$M$69,$G167,月間集計シート!N$50:N$69)*Q$2</f>
        <v>0</v>
      </c>
      <c r="R167" s="88">
        <f>SUMIF(月間集計シート!$M$50:$M$69,$G167,月間集計シート!O$50:O$69)*R$2</f>
        <v>0</v>
      </c>
      <c r="S167" s="88">
        <f>SUMIF(月間集計シート!$M$50:$M$69,$G167,月間集計シート!P$50:P$69)*S$2</f>
        <v>0</v>
      </c>
      <c r="T167" s="88">
        <f>SUMIF(月間集計シート!$M$50:$M$69,$G167,月間集計シート!Q$50:Q$69)*T$2</f>
        <v>0</v>
      </c>
      <c r="U167" s="88">
        <f>SUMIF(月間集計シート!$M$50:$M$69,$G167,月間集計シート!R$50:R$69)*U$2</f>
        <v>0</v>
      </c>
      <c r="V167" s="88">
        <f>SUMIF(月間集計シート!$M$50:$M$69,$G167,月間集計シート!S$50:S$69)*V$2</f>
        <v>0</v>
      </c>
      <c r="W167" s="88">
        <f>SUMIF(月間集計シート!$M$50:$M$69,$G167,月間集計シート!T$50:T$69)*W$2</f>
        <v>0</v>
      </c>
      <c r="X167" s="88">
        <f>SUMIF(月間集計シート!$M$71:$M$90,$G167,月間集計シート!N$71:N$90)*X$2</f>
        <v>0</v>
      </c>
      <c r="Y167" s="88">
        <f>SUMIF(月間集計シート!$M$71:$M$90,$G167,月間集計シート!O$71:O$90)*Y$2</f>
        <v>0</v>
      </c>
      <c r="Z167" s="88">
        <f>SUMIF(月間集計シート!$M$71:$M$90,$G167,月間集計シート!P$71:P$90)*Z$2</f>
        <v>0</v>
      </c>
      <c r="AA167" s="88">
        <f>SUMIF(月間集計シート!$M$71:$M$90,$G167,月間集計シート!Q$71:Q$90)*AA$2</f>
        <v>0</v>
      </c>
      <c r="AB167" s="88">
        <f>SUMIF(月間集計シート!$M$71:$M$90,$G167,月間集計シート!R$71:R$90)*AB$2</f>
        <v>0</v>
      </c>
      <c r="AC167" s="88">
        <f>SUMIF(月間集計シート!$M$71:$M$90,$G167,月間集計シート!S$71:S$90)*AC$2</f>
        <v>0</v>
      </c>
      <c r="AD167" s="88">
        <f>SUMIF(月間集計シート!$M$71:$M$90,$G167,月間集計シート!T$71:T$90)*AD$2</f>
        <v>0</v>
      </c>
      <c r="AE167" s="88">
        <f>SUMIF(月間集計シート!$M$92:$M$111,$G167,月間集計シート!N$92:N$111)*AE$2</f>
        <v>0</v>
      </c>
      <c r="AF167" s="88">
        <f>SUMIF(月間集計シート!$M$92:$M$111,$G167,月間集計シート!O$92:O$111)*AF$2</f>
        <v>0</v>
      </c>
      <c r="AG167" s="88">
        <f>SUMIF(月間集計シート!$M$92:$M$111,$G167,月間集計シート!P$92:P$111)*AG$2</f>
        <v>0</v>
      </c>
      <c r="AH167" s="88">
        <f>SUMIF(月間集計シート!$M$92:$M$111,$G167,月間集計シート!Q$92:Q$111)*AH$2</f>
        <v>0</v>
      </c>
      <c r="AI167" s="88">
        <f>SUMIF(月間集計シート!$M$92:$M$111,$G167,月間集計シート!R$92:R$111)*AI$2</f>
        <v>0</v>
      </c>
      <c r="AJ167" s="88">
        <f>SUMIF(月間集計シート!$M$92:$M$111,$G167,月間集計シート!S$92:S$111)*AJ$2</f>
        <v>0</v>
      </c>
      <c r="AK167" s="88">
        <f>SUMIF(月間集計シート!$M$92:$M$111,$G167,月間集計シート!T$92:T$111)*AK$2</f>
        <v>0</v>
      </c>
      <c r="AL167" s="88">
        <f>SUMIF(月間集計シート!$M$113:$M$132,$G167,月間集計シート!N$113:N$132)*AL$2</f>
        <v>0</v>
      </c>
      <c r="AM167" s="88">
        <f>SUMIF(月間集計シート!$M$113:$M$132,$G167,月間集計シート!O$113:O$132)*AM$2</f>
        <v>0</v>
      </c>
      <c r="AN167" s="88">
        <f>SUMIF(月間集計シート!$M$113:$M$132,$G167,月間集計シート!P$113:P$132)*AN$2</f>
        <v>0</v>
      </c>
      <c r="AO167" s="88">
        <f>SUMIF(月間集計シート!$M$113:$M$132,$G167,月間集計シート!Q$113:Q$132)*AO$2</f>
        <v>0</v>
      </c>
      <c r="AP167" s="88">
        <f>SUMIF(月間集計シート!$M$113:$M$132,$G167,月間集計シート!R$113:R$132)*AP$2</f>
        <v>0</v>
      </c>
      <c r="AQ167" s="88">
        <f>SUMIF(月間集計シート!$M$113:$M$132,$G167,月間集計シート!S$113:S$132)*AQ$2</f>
        <v>0</v>
      </c>
      <c r="AR167" s="88">
        <f>SUMIF(月間集計シート!$M$113:$M$132,$G167,月間集計シート!T$113:T$132)*AR$2</f>
        <v>0</v>
      </c>
      <c r="AS167" s="88">
        <f>SUMIF(月間集計シート!$M$134:$M$153,$G167,月間集計シート!N$134:N$153)*AS$2</f>
        <v>0</v>
      </c>
      <c r="AT167" s="88">
        <f>SUMIF(月間集計シート!$M$134:$M$153,$G167,月間集計シート!O$134:O$153)*AT$2</f>
        <v>0</v>
      </c>
      <c r="AU167" s="88">
        <f>SUMIF(月間集計シート!$M$134:$M$153,$G167,月間集計シート!P$134:P$153)*AU$2</f>
        <v>0</v>
      </c>
      <c r="AV167" s="88">
        <f>SUMIF(月間集計シート!$M$134:$M$153,$G167,月間集計シート!Q$134:Q$153)*AV$2</f>
        <v>0</v>
      </c>
      <c r="AW167" s="88">
        <f>SUMIF(月間集計シート!$M$134:$M$153,$G167,月間集計シート!R$134:R$153)*AW$2</f>
        <v>0</v>
      </c>
      <c r="AX167" s="88">
        <f>SUMIF(月間集計シート!$M$134:$M$153,$G167,月間集計シート!S$134:S$153)*AX$2</f>
        <v>0</v>
      </c>
      <c r="AY167" s="88">
        <f>SUMIF(月間集計シート!$M$134:$M$153,$G167,月間集計シート!T$134:T$153)*AY$2</f>
        <v>0</v>
      </c>
    </row>
    <row r="168" spans="1:51" ht="14.25" thickBot="1">
      <c r="A168">
        <v>2</v>
      </c>
      <c r="B168" s="120">
        <f t="shared" si="68"/>
        <v>393021</v>
      </c>
      <c r="C168" s="120" t="e">
        <f t="shared" si="68"/>
        <v>#N/A</v>
      </c>
      <c r="D168" s="137"/>
      <c r="E168" s="150" t="str">
        <f>工種!A75</f>
        <v>90111</v>
      </c>
      <c r="F168" s="119" t="str">
        <f>工種!B75</f>
        <v>管理業務：レビュー</v>
      </c>
      <c r="G168" s="116" t="str">
        <f t="shared" si="65"/>
        <v>39302190111</v>
      </c>
      <c r="H168" s="88">
        <f t="shared" si="67"/>
        <v>0</v>
      </c>
      <c r="I168" s="132"/>
      <c r="J168" s="88">
        <f>SUMIF(月間集計シート!$M$29:$M$48,$G168,月間集計シート!N$29:N$48)*J$2</f>
        <v>0</v>
      </c>
      <c r="K168" s="88">
        <f>SUMIF(月間集計シート!$M$29:$M$48,$G168,月間集計シート!O$29:O$48)*K$2</f>
        <v>0</v>
      </c>
      <c r="L168" s="88">
        <f>SUMIF(月間集計シート!$M$29:$M$48,$G168,月間集計シート!P$29:P$48)*L$2</f>
        <v>0</v>
      </c>
      <c r="M168" s="88">
        <f>SUMIF(月間集計シート!$M$29:$M$48,$G168,月間集計シート!Q$29:Q$48)*M$2</f>
        <v>0</v>
      </c>
      <c r="N168" s="88">
        <f>SUMIF(月間集計シート!$M$29:$M$48,$G168,月間集計シート!R$29:R$48)*N$2</f>
        <v>0</v>
      </c>
      <c r="O168" s="88">
        <f>SUMIF(月間集計シート!$M$29:$M$48,$G168,月間集計シート!S$29:S$48)*O$2</f>
        <v>0</v>
      </c>
      <c r="P168" s="88">
        <f>SUMIF(月間集計シート!$M$29:$M$48,$G168,月間集計シート!T$29:T$48)*P$2</f>
        <v>0</v>
      </c>
      <c r="Q168" s="88">
        <f>SUMIF(月間集計シート!$M$50:$M$69,$G168,月間集計シート!N$50:N$69)*Q$2</f>
        <v>0</v>
      </c>
      <c r="R168" s="88">
        <f>SUMIF(月間集計シート!$M$50:$M$69,$G168,月間集計シート!O$50:O$69)*R$2</f>
        <v>0</v>
      </c>
      <c r="S168" s="88">
        <f>SUMIF(月間集計シート!$M$50:$M$69,$G168,月間集計シート!P$50:P$69)*S$2</f>
        <v>0</v>
      </c>
      <c r="T168" s="88">
        <f>SUMIF(月間集計シート!$M$50:$M$69,$G168,月間集計シート!Q$50:Q$69)*T$2</f>
        <v>0</v>
      </c>
      <c r="U168" s="88">
        <f>SUMIF(月間集計シート!$M$50:$M$69,$G168,月間集計シート!R$50:R$69)*U$2</f>
        <v>0</v>
      </c>
      <c r="V168" s="88">
        <f>SUMIF(月間集計シート!$M$50:$M$69,$G168,月間集計シート!S$50:S$69)*V$2</f>
        <v>0</v>
      </c>
      <c r="W168" s="88">
        <f>SUMIF(月間集計シート!$M$50:$M$69,$G168,月間集計シート!T$50:T$69)*W$2</f>
        <v>0</v>
      </c>
      <c r="X168" s="88">
        <f>SUMIF(月間集計シート!$M$71:$M$90,$G168,月間集計シート!N$71:N$90)*X$2</f>
        <v>0</v>
      </c>
      <c r="Y168" s="88">
        <f>SUMIF(月間集計シート!$M$71:$M$90,$G168,月間集計シート!O$71:O$90)*Y$2</f>
        <v>0</v>
      </c>
      <c r="Z168" s="88">
        <f>SUMIF(月間集計シート!$M$71:$M$90,$G168,月間集計シート!P$71:P$90)*Z$2</f>
        <v>0</v>
      </c>
      <c r="AA168" s="88">
        <f>SUMIF(月間集計シート!$M$71:$M$90,$G168,月間集計シート!Q$71:Q$90)*AA$2</f>
        <v>0</v>
      </c>
      <c r="AB168" s="88">
        <f>SUMIF(月間集計シート!$M$71:$M$90,$G168,月間集計シート!R$71:R$90)*AB$2</f>
        <v>0</v>
      </c>
      <c r="AC168" s="88">
        <f>SUMIF(月間集計シート!$M$71:$M$90,$G168,月間集計シート!S$71:S$90)*AC$2</f>
        <v>0</v>
      </c>
      <c r="AD168" s="88">
        <f>SUMIF(月間集計シート!$M$71:$M$90,$G168,月間集計シート!T$71:T$90)*AD$2</f>
        <v>0</v>
      </c>
      <c r="AE168" s="88">
        <f>SUMIF(月間集計シート!$M$92:$M$111,$G168,月間集計シート!N$92:N$111)*AE$2</f>
        <v>0</v>
      </c>
      <c r="AF168" s="88">
        <f>SUMIF(月間集計シート!$M$92:$M$111,$G168,月間集計シート!O$92:O$111)*AF$2</f>
        <v>0</v>
      </c>
      <c r="AG168" s="88">
        <f>SUMIF(月間集計シート!$M$92:$M$111,$G168,月間集計シート!P$92:P$111)*AG$2</f>
        <v>0</v>
      </c>
      <c r="AH168" s="88">
        <f>SUMIF(月間集計シート!$M$92:$M$111,$G168,月間集計シート!Q$92:Q$111)*AH$2</f>
        <v>0</v>
      </c>
      <c r="AI168" s="88">
        <f>SUMIF(月間集計シート!$M$92:$M$111,$G168,月間集計シート!R$92:R$111)*AI$2</f>
        <v>0</v>
      </c>
      <c r="AJ168" s="88">
        <f>SUMIF(月間集計シート!$M$92:$M$111,$G168,月間集計シート!S$92:S$111)*AJ$2</f>
        <v>0</v>
      </c>
      <c r="AK168" s="88">
        <f>SUMIF(月間集計シート!$M$92:$M$111,$G168,月間集計シート!T$92:T$111)*AK$2</f>
        <v>0</v>
      </c>
      <c r="AL168" s="88">
        <f>SUMIF(月間集計シート!$M$113:$M$132,$G168,月間集計シート!N$113:N$132)*AL$2</f>
        <v>0</v>
      </c>
      <c r="AM168" s="88">
        <f>SUMIF(月間集計シート!$M$113:$M$132,$G168,月間集計シート!O$113:O$132)*AM$2</f>
        <v>0</v>
      </c>
      <c r="AN168" s="88">
        <f>SUMIF(月間集計シート!$M$113:$M$132,$G168,月間集計シート!P$113:P$132)*AN$2</f>
        <v>0</v>
      </c>
      <c r="AO168" s="88">
        <f>SUMIF(月間集計シート!$M$113:$M$132,$G168,月間集計シート!Q$113:Q$132)*AO$2</f>
        <v>0</v>
      </c>
      <c r="AP168" s="88">
        <f>SUMIF(月間集計シート!$M$113:$M$132,$G168,月間集計シート!R$113:R$132)*AP$2</f>
        <v>0</v>
      </c>
      <c r="AQ168" s="88">
        <f>SUMIF(月間集計シート!$M$113:$M$132,$G168,月間集計シート!S$113:S$132)*AQ$2</f>
        <v>0</v>
      </c>
      <c r="AR168" s="88">
        <f>SUMIF(月間集計シート!$M$113:$M$132,$G168,月間集計シート!T$113:T$132)*AR$2</f>
        <v>0</v>
      </c>
      <c r="AS168" s="88">
        <f>SUMIF(月間集計シート!$M$134:$M$153,$G168,月間集計シート!N$134:N$153)*AS$2</f>
        <v>0</v>
      </c>
      <c r="AT168" s="88">
        <f>SUMIF(月間集計シート!$M$134:$M$153,$G168,月間集計シート!O$134:O$153)*AT$2</f>
        <v>0</v>
      </c>
      <c r="AU168" s="88">
        <f>SUMIF(月間集計シート!$M$134:$M$153,$G168,月間集計シート!P$134:P$153)*AU$2</f>
        <v>0</v>
      </c>
      <c r="AV168" s="88">
        <f>SUMIF(月間集計シート!$M$134:$M$153,$G168,月間集計シート!Q$134:Q$153)*AV$2</f>
        <v>0</v>
      </c>
      <c r="AW168" s="88">
        <f>SUMIF(月間集計シート!$M$134:$M$153,$G168,月間集計シート!R$134:R$153)*AW$2</f>
        <v>0</v>
      </c>
      <c r="AX168" s="88">
        <f>SUMIF(月間集計シート!$M$134:$M$153,$G168,月間集計シート!S$134:S$153)*AX$2</f>
        <v>0</v>
      </c>
      <c r="AY168" s="88">
        <f>SUMIF(月間集計シート!$M$134:$M$153,$G168,月間集計シート!T$134:T$153)*AY$2</f>
        <v>0</v>
      </c>
    </row>
    <row r="169" spans="1:51" ht="14.25" thickBot="1">
      <c r="A169">
        <v>2</v>
      </c>
      <c r="B169" s="120">
        <f t="shared" si="68"/>
        <v>393021</v>
      </c>
      <c r="C169" s="120" t="e">
        <f t="shared" si="68"/>
        <v>#N/A</v>
      </c>
      <c r="D169" s="137"/>
      <c r="E169" s="150" t="str">
        <f>工種!A76</f>
        <v>90199</v>
      </c>
      <c r="F169" s="119" t="str">
        <f>工種!B76</f>
        <v>管理業務：その他</v>
      </c>
      <c r="G169" s="116" t="str">
        <f t="shared" si="65"/>
        <v>39302190199</v>
      </c>
      <c r="H169" s="88">
        <f t="shared" si="67"/>
        <v>0</v>
      </c>
      <c r="I169" s="132"/>
      <c r="J169" s="88">
        <f>SUMIF(月間集計シート!$M$29:$M$48,$G169,月間集計シート!N$29:N$48)*J$2</f>
        <v>0</v>
      </c>
      <c r="K169" s="88">
        <f>SUMIF(月間集計シート!$M$29:$M$48,$G169,月間集計シート!O$29:O$48)*K$2</f>
        <v>0</v>
      </c>
      <c r="L169" s="88">
        <f>SUMIF(月間集計シート!$M$29:$M$48,$G169,月間集計シート!P$29:P$48)*L$2</f>
        <v>0</v>
      </c>
      <c r="M169" s="88">
        <f>SUMIF(月間集計シート!$M$29:$M$48,$G169,月間集計シート!Q$29:Q$48)*M$2</f>
        <v>0</v>
      </c>
      <c r="N169" s="88">
        <f>SUMIF(月間集計シート!$M$29:$M$48,$G169,月間集計シート!R$29:R$48)*N$2</f>
        <v>0</v>
      </c>
      <c r="O169" s="88">
        <f>SUMIF(月間集計シート!$M$29:$M$48,$G169,月間集計シート!S$29:S$48)*O$2</f>
        <v>0</v>
      </c>
      <c r="P169" s="88">
        <f>SUMIF(月間集計シート!$M$29:$M$48,$G169,月間集計シート!T$29:T$48)*P$2</f>
        <v>0</v>
      </c>
      <c r="Q169" s="88">
        <f>SUMIF(月間集計シート!$M$50:$M$69,$G169,月間集計シート!N$50:N$69)*Q$2</f>
        <v>0</v>
      </c>
      <c r="R169" s="88">
        <f>SUMIF(月間集計シート!$M$50:$M$69,$G169,月間集計シート!O$50:O$69)*R$2</f>
        <v>0</v>
      </c>
      <c r="S169" s="88">
        <f>SUMIF(月間集計シート!$M$50:$M$69,$G169,月間集計シート!P$50:P$69)*S$2</f>
        <v>0</v>
      </c>
      <c r="T169" s="88">
        <f>SUMIF(月間集計シート!$M$50:$M$69,$G169,月間集計シート!Q$50:Q$69)*T$2</f>
        <v>0</v>
      </c>
      <c r="U169" s="88">
        <f>SUMIF(月間集計シート!$M$50:$M$69,$G169,月間集計シート!R$50:R$69)*U$2</f>
        <v>0</v>
      </c>
      <c r="V169" s="88">
        <f>SUMIF(月間集計シート!$M$50:$M$69,$G169,月間集計シート!S$50:S$69)*V$2</f>
        <v>0</v>
      </c>
      <c r="W169" s="88">
        <f>SUMIF(月間集計シート!$M$50:$M$69,$G169,月間集計シート!T$50:T$69)*W$2</f>
        <v>0</v>
      </c>
      <c r="X169" s="88">
        <f>SUMIF(月間集計シート!$M$71:$M$90,$G169,月間集計シート!N$71:N$90)*X$2</f>
        <v>0</v>
      </c>
      <c r="Y169" s="88">
        <f>SUMIF(月間集計シート!$M$71:$M$90,$G169,月間集計シート!O$71:O$90)*Y$2</f>
        <v>0</v>
      </c>
      <c r="Z169" s="88">
        <f>SUMIF(月間集計シート!$M$71:$M$90,$G169,月間集計シート!P$71:P$90)*Z$2</f>
        <v>0</v>
      </c>
      <c r="AA169" s="88">
        <f>SUMIF(月間集計シート!$M$71:$M$90,$G169,月間集計シート!Q$71:Q$90)*AA$2</f>
        <v>0</v>
      </c>
      <c r="AB169" s="88">
        <f>SUMIF(月間集計シート!$M$71:$M$90,$G169,月間集計シート!R$71:R$90)*AB$2</f>
        <v>0</v>
      </c>
      <c r="AC169" s="88">
        <f>SUMIF(月間集計シート!$M$71:$M$90,$G169,月間集計シート!S$71:S$90)*AC$2</f>
        <v>0</v>
      </c>
      <c r="AD169" s="88">
        <f>SUMIF(月間集計シート!$M$71:$M$90,$G169,月間集計シート!T$71:T$90)*AD$2</f>
        <v>0</v>
      </c>
      <c r="AE169" s="88">
        <f>SUMIF(月間集計シート!$M$92:$M$111,$G169,月間集計シート!N$92:N$111)*AE$2</f>
        <v>0</v>
      </c>
      <c r="AF169" s="88">
        <f>SUMIF(月間集計シート!$M$92:$M$111,$G169,月間集計シート!O$92:O$111)*AF$2</f>
        <v>0</v>
      </c>
      <c r="AG169" s="88">
        <f>SUMIF(月間集計シート!$M$92:$M$111,$G169,月間集計シート!P$92:P$111)*AG$2</f>
        <v>0</v>
      </c>
      <c r="AH169" s="88">
        <f>SUMIF(月間集計シート!$M$92:$M$111,$G169,月間集計シート!Q$92:Q$111)*AH$2</f>
        <v>0</v>
      </c>
      <c r="AI169" s="88">
        <f>SUMIF(月間集計シート!$M$92:$M$111,$G169,月間集計シート!R$92:R$111)*AI$2</f>
        <v>0</v>
      </c>
      <c r="AJ169" s="88">
        <f>SUMIF(月間集計シート!$M$92:$M$111,$G169,月間集計シート!S$92:S$111)*AJ$2</f>
        <v>0</v>
      </c>
      <c r="AK169" s="88">
        <f>SUMIF(月間集計シート!$M$92:$M$111,$G169,月間集計シート!T$92:T$111)*AK$2</f>
        <v>0</v>
      </c>
      <c r="AL169" s="88">
        <f>SUMIF(月間集計シート!$M$113:$M$132,$G169,月間集計シート!N$113:N$132)*AL$2</f>
        <v>0</v>
      </c>
      <c r="AM169" s="88">
        <f>SUMIF(月間集計シート!$M$113:$M$132,$G169,月間集計シート!O$113:O$132)*AM$2</f>
        <v>0</v>
      </c>
      <c r="AN169" s="88">
        <f>SUMIF(月間集計シート!$M$113:$M$132,$G169,月間集計シート!P$113:P$132)*AN$2</f>
        <v>0</v>
      </c>
      <c r="AO169" s="88">
        <f>SUMIF(月間集計シート!$M$113:$M$132,$G169,月間集計シート!Q$113:Q$132)*AO$2</f>
        <v>0</v>
      </c>
      <c r="AP169" s="88">
        <f>SUMIF(月間集計シート!$M$113:$M$132,$G169,月間集計シート!R$113:R$132)*AP$2</f>
        <v>0</v>
      </c>
      <c r="AQ169" s="88">
        <f>SUMIF(月間集計シート!$M$113:$M$132,$G169,月間集計シート!S$113:S$132)*AQ$2</f>
        <v>0</v>
      </c>
      <c r="AR169" s="88">
        <f>SUMIF(月間集計シート!$M$113:$M$132,$G169,月間集計シート!T$113:T$132)*AR$2</f>
        <v>0</v>
      </c>
      <c r="AS169" s="88">
        <f>SUMIF(月間集計シート!$M$134:$M$153,$G169,月間集計シート!N$134:N$153)*AS$2</f>
        <v>0</v>
      </c>
      <c r="AT169" s="88">
        <f>SUMIF(月間集計シート!$M$134:$M$153,$G169,月間集計シート!O$134:O$153)*AT$2</f>
        <v>0</v>
      </c>
      <c r="AU169" s="88">
        <f>SUMIF(月間集計シート!$M$134:$M$153,$G169,月間集計シート!P$134:P$153)*AU$2</f>
        <v>0</v>
      </c>
      <c r="AV169" s="88">
        <f>SUMIF(月間集計シート!$M$134:$M$153,$G169,月間集計シート!Q$134:Q$153)*AV$2</f>
        <v>0</v>
      </c>
      <c r="AW169" s="88">
        <f>SUMIF(月間集計シート!$M$134:$M$153,$G169,月間集計シート!R$134:R$153)*AW$2</f>
        <v>0</v>
      </c>
      <c r="AX169" s="88">
        <f>SUMIF(月間集計シート!$M$134:$M$153,$G169,月間集計シート!S$134:S$153)*AX$2</f>
        <v>0</v>
      </c>
      <c r="AY169" s="88">
        <f>SUMIF(月間集計シート!$M$134:$M$153,$G169,月間集計シート!T$134:T$153)*AY$2</f>
        <v>0</v>
      </c>
    </row>
    <row r="170" spans="1:51" ht="14.25" thickBot="1">
      <c r="A170">
        <v>2</v>
      </c>
      <c r="B170" s="120">
        <f t="shared" si="68"/>
        <v>393021</v>
      </c>
      <c r="C170" s="120" t="e">
        <f t="shared" si="68"/>
        <v>#N/A</v>
      </c>
      <c r="D170" s="137"/>
      <c r="E170" s="150">
        <f>工種!A77</f>
        <v>99102</v>
      </c>
      <c r="F170" s="119" t="str">
        <f>工種!B77</f>
        <v>間接業務：業務環境管理（PCｾｯﾄｱｯﾌﾟ等）</v>
      </c>
      <c r="G170" s="116" t="str">
        <f t="shared" si="65"/>
        <v>39302199102</v>
      </c>
      <c r="H170" s="88">
        <f t="shared" si="67"/>
        <v>0</v>
      </c>
      <c r="I170" s="132"/>
      <c r="J170" s="88">
        <f>SUMIF(月間集計シート!$M$29:$M$48,$G170,月間集計シート!N$29:N$48)*J$2</f>
        <v>0</v>
      </c>
      <c r="K170" s="88">
        <f>SUMIF(月間集計シート!$M$29:$M$48,$G170,月間集計シート!O$29:O$48)*K$2</f>
        <v>0</v>
      </c>
      <c r="L170" s="88">
        <f>SUMIF(月間集計シート!$M$29:$M$48,$G170,月間集計シート!P$29:P$48)*L$2</f>
        <v>0</v>
      </c>
      <c r="M170" s="88">
        <f>SUMIF(月間集計シート!$M$29:$M$48,$G170,月間集計シート!Q$29:Q$48)*M$2</f>
        <v>0</v>
      </c>
      <c r="N170" s="88">
        <f>SUMIF(月間集計シート!$M$29:$M$48,$G170,月間集計シート!R$29:R$48)*N$2</f>
        <v>0</v>
      </c>
      <c r="O170" s="88">
        <f>SUMIF(月間集計シート!$M$29:$M$48,$G170,月間集計シート!S$29:S$48)*O$2</f>
        <v>0</v>
      </c>
      <c r="P170" s="88">
        <f>SUMIF(月間集計シート!$M$29:$M$48,$G170,月間集計シート!T$29:T$48)*P$2</f>
        <v>0</v>
      </c>
      <c r="Q170" s="88">
        <f>SUMIF(月間集計シート!$M$50:$M$69,$G170,月間集計シート!N$50:N$69)*Q$2</f>
        <v>0</v>
      </c>
      <c r="R170" s="88">
        <f>SUMIF(月間集計シート!$M$50:$M$69,$G170,月間集計シート!O$50:O$69)*R$2</f>
        <v>0</v>
      </c>
      <c r="S170" s="88">
        <f>SUMIF(月間集計シート!$M$50:$M$69,$G170,月間集計シート!P$50:P$69)*S$2</f>
        <v>0</v>
      </c>
      <c r="T170" s="88">
        <f>SUMIF(月間集計シート!$M$50:$M$69,$G170,月間集計シート!Q$50:Q$69)*T$2</f>
        <v>0</v>
      </c>
      <c r="U170" s="88">
        <f>SUMIF(月間集計シート!$M$50:$M$69,$G170,月間集計シート!R$50:R$69)*U$2</f>
        <v>0</v>
      </c>
      <c r="V170" s="88">
        <f>SUMIF(月間集計シート!$M$50:$M$69,$G170,月間集計シート!S$50:S$69)*V$2</f>
        <v>0</v>
      </c>
      <c r="W170" s="88">
        <f>SUMIF(月間集計シート!$M$50:$M$69,$G170,月間集計シート!T$50:T$69)*W$2</f>
        <v>0</v>
      </c>
      <c r="X170" s="88">
        <f>SUMIF(月間集計シート!$M$71:$M$90,$G170,月間集計シート!N$71:N$90)*X$2</f>
        <v>0</v>
      </c>
      <c r="Y170" s="88">
        <f>SUMIF(月間集計シート!$M$71:$M$90,$G170,月間集計シート!O$71:O$90)*Y$2</f>
        <v>0</v>
      </c>
      <c r="Z170" s="88">
        <f>SUMIF(月間集計シート!$M$71:$M$90,$G170,月間集計シート!P$71:P$90)*Z$2</f>
        <v>0</v>
      </c>
      <c r="AA170" s="88">
        <f>SUMIF(月間集計シート!$M$71:$M$90,$G170,月間集計シート!Q$71:Q$90)*AA$2</f>
        <v>0</v>
      </c>
      <c r="AB170" s="88">
        <f>SUMIF(月間集計シート!$M$71:$M$90,$G170,月間集計シート!R$71:R$90)*AB$2</f>
        <v>0</v>
      </c>
      <c r="AC170" s="88">
        <f>SUMIF(月間集計シート!$M$71:$M$90,$G170,月間集計シート!S$71:S$90)*AC$2</f>
        <v>0</v>
      </c>
      <c r="AD170" s="88">
        <f>SUMIF(月間集計シート!$M$71:$M$90,$G170,月間集計シート!T$71:T$90)*AD$2</f>
        <v>0</v>
      </c>
      <c r="AE170" s="88">
        <f>SUMIF(月間集計シート!$M$92:$M$111,$G170,月間集計シート!N$92:N$111)*AE$2</f>
        <v>0</v>
      </c>
      <c r="AF170" s="88">
        <f>SUMIF(月間集計シート!$M$92:$M$111,$G170,月間集計シート!O$92:O$111)*AF$2</f>
        <v>0</v>
      </c>
      <c r="AG170" s="88">
        <f>SUMIF(月間集計シート!$M$92:$M$111,$G170,月間集計シート!P$92:P$111)*AG$2</f>
        <v>0</v>
      </c>
      <c r="AH170" s="88">
        <f>SUMIF(月間集計シート!$M$92:$M$111,$G170,月間集計シート!Q$92:Q$111)*AH$2</f>
        <v>0</v>
      </c>
      <c r="AI170" s="88">
        <f>SUMIF(月間集計シート!$M$92:$M$111,$G170,月間集計シート!R$92:R$111)*AI$2</f>
        <v>0</v>
      </c>
      <c r="AJ170" s="88">
        <f>SUMIF(月間集計シート!$M$92:$M$111,$G170,月間集計シート!S$92:S$111)*AJ$2</f>
        <v>0</v>
      </c>
      <c r="AK170" s="88">
        <f>SUMIF(月間集計シート!$M$92:$M$111,$G170,月間集計シート!T$92:T$111)*AK$2</f>
        <v>0</v>
      </c>
      <c r="AL170" s="88">
        <f>SUMIF(月間集計シート!$M$113:$M$132,$G170,月間集計シート!N$113:N$132)*AL$2</f>
        <v>0</v>
      </c>
      <c r="AM170" s="88">
        <f>SUMIF(月間集計シート!$M$113:$M$132,$G170,月間集計シート!O$113:O$132)*AM$2</f>
        <v>0</v>
      </c>
      <c r="AN170" s="88">
        <f>SUMIF(月間集計シート!$M$113:$M$132,$G170,月間集計シート!P$113:P$132)*AN$2</f>
        <v>0</v>
      </c>
      <c r="AO170" s="88">
        <f>SUMIF(月間集計シート!$M$113:$M$132,$G170,月間集計シート!Q$113:Q$132)*AO$2</f>
        <v>0</v>
      </c>
      <c r="AP170" s="88">
        <f>SUMIF(月間集計シート!$M$113:$M$132,$G170,月間集計シート!R$113:R$132)*AP$2</f>
        <v>0</v>
      </c>
      <c r="AQ170" s="88">
        <f>SUMIF(月間集計シート!$M$113:$M$132,$G170,月間集計シート!S$113:S$132)*AQ$2</f>
        <v>0</v>
      </c>
      <c r="AR170" s="88">
        <f>SUMIF(月間集計シート!$M$113:$M$132,$G170,月間集計シート!T$113:T$132)*AR$2</f>
        <v>0</v>
      </c>
      <c r="AS170" s="88">
        <f>SUMIF(月間集計シート!$M$134:$M$153,$G170,月間集計シート!N$134:N$153)*AS$2</f>
        <v>0</v>
      </c>
      <c r="AT170" s="88">
        <f>SUMIF(月間集計シート!$M$134:$M$153,$G170,月間集計シート!O$134:O$153)*AT$2</f>
        <v>0</v>
      </c>
      <c r="AU170" s="88">
        <f>SUMIF(月間集計シート!$M$134:$M$153,$G170,月間集計シート!P$134:P$153)*AU$2</f>
        <v>0</v>
      </c>
      <c r="AV170" s="88">
        <f>SUMIF(月間集計シート!$M$134:$M$153,$G170,月間集計シート!Q$134:Q$153)*AV$2</f>
        <v>0</v>
      </c>
      <c r="AW170" s="88">
        <f>SUMIF(月間集計シート!$M$134:$M$153,$G170,月間集計シート!R$134:R$153)*AW$2</f>
        <v>0</v>
      </c>
      <c r="AX170" s="88">
        <f>SUMIF(月間集計シート!$M$134:$M$153,$G170,月間集計シート!S$134:S$153)*AX$2</f>
        <v>0</v>
      </c>
      <c r="AY170" s="88">
        <f>SUMIF(月間集計シート!$M$134:$M$153,$G170,月間集計シート!T$134:T$153)*AY$2</f>
        <v>0</v>
      </c>
    </row>
    <row r="171" spans="1:51" ht="14.25" thickBot="1">
      <c r="A171">
        <v>2</v>
      </c>
      <c r="B171" s="120">
        <f t="shared" si="68"/>
        <v>393021</v>
      </c>
      <c r="C171" s="120" t="e">
        <f t="shared" si="68"/>
        <v>#N/A</v>
      </c>
      <c r="D171" s="137"/>
      <c r="E171" s="150" t="str">
        <f>工種!A78</f>
        <v>99103</v>
      </c>
      <c r="F171" s="119" t="str">
        <f>工種!B78</f>
        <v>間接業務：標準化・業務改善作業（開発以外）</v>
      </c>
      <c r="G171" s="116" t="str">
        <f t="shared" si="65"/>
        <v>39302199103</v>
      </c>
      <c r="H171" s="88">
        <f t="shared" si="67"/>
        <v>0</v>
      </c>
      <c r="I171" s="132"/>
      <c r="J171" s="88">
        <f>SUMIF(月間集計シート!$M$29:$M$48,$G171,月間集計シート!N$29:N$48)*J$2</f>
        <v>0</v>
      </c>
      <c r="K171" s="88">
        <f>SUMIF(月間集計シート!$M$29:$M$48,$G171,月間集計シート!O$29:O$48)*K$2</f>
        <v>0</v>
      </c>
      <c r="L171" s="88">
        <f>SUMIF(月間集計シート!$M$29:$M$48,$G171,月間集計シート!P$29:P$48)*L$2</f>
        <v>0</v>
      </c>
      <c r="M171" s="88">
        <f>SUMIF(月間集計シート!$M$29:$M$48,$G171,月間集計シート!Q$29:Q$48)*M$2</f>
        <v>0</v>
      </c>
      <c r="N171" s="88">
        <f>SUMIF(月間集計シート!$M$29:$M$48,$G171,月間集計シート!R$29:R$48)*N$2</f>
        <v>0</v>
      </c>
      <c r="O171" s="88">
        <f>SUMIF(月間集計シート!$M$29:$M$48,$G171,月間集計シート!S$29:S$48)*O$2</f>
        <v>0</v>
      </c>
      <c r="P171" s="88">
        <f>SUMIF(月間集計シート!$M$29:$M$48,$G171,月間集計シート!T$29:T$48)*P$2</f>
        <v>0</v>
      </c>
      <c r="Q171" s="88">
        <f>SUMIF(月間集計シート!$M$50:$M$69,$G171,月間集計シート!N$50:N$69)*Q$2</f>
        <v>0</v>
      </c>
      <c r="R171" s="88">
        <f>SUMIF(月間集計シート!$M$50:$M$69,$G171,月間集計シート!O$50:O$69)*R$2</f>
        <v>0</v>
      </c>
      <c r="S171" s="88">
        <f>SUMIF(月間集計シート!$M$50:$M$69,$G171,月間集計シート!P$50:P$69)*S$2</f>
        <v>0</v>
      </c>
      <c r="T171" s="88">
        <f>SUMIF(月間集計シート!$M$50:$M$69,$G171,月間集計シート!Q$50:Q$69)*T$2</f>
        <v>0</v>
      </c>
      <c r="U171" s="88">
        <f>SUMIF(月間集計シート!$M$50:$M$69,$G171,月間集計シート!R$50:R$69)*U$2</f>
        <v>0</v>
      </c>
      <c r="V171" s="88">
        <f>SUMIF(月間集計シート!$M$50:$M$69,$G171,月間集計シート!S$50:S$69)*V$2</f>
        <v>0</v>
      </c>
      <c r="W171" s="88">
        <f>SUMIF(月間集計シート!$M$50:$M$69,$G171,月間集計シート!T$50:T$69)*W$2</f>
        <v>0</v>
      </c>
      <c r="X171" s="88">
        <f>SUMIF(月間集計シート!$M$71:$M$90,$G171,月間集計シート!N$71:N$90)*X$2</f>
        <v>0</v>
      </c>
      <c r="Y171" s="88">
        <f>SUMIF(月間集計シート!$M$71:$M$90,$G171,月間集計シート!O$71:O$90)*Y$2</f>
        <v>0</v>
      </c>
      <c r="Z171" s="88">
        <f>SUMIF(月間集計シート!$M$71:$M$90,$G171,月間集計シート!P$71:P$90)*Z$2</f>
        <v>0</v>
      </c>
      <c r="AA171" s="88">
        <f>SUMIF(月間集計シート!$M$71:$M$90,$G171,月間集計シート!Q$71:Q$90)*AA$2</f>
        <v>0</v>
      </c>
      <c r="AB171" s="88">
        <f>SUMIF(月間集計シート!$M$71:$M$90,$G171,月間集計シート!R$71:R$90)*AB$2</f>
        <v>0</v>
      </c>
      <c r="AC171" s="88">
        <f>SUMIF(月間集計シート!$M$71:$M$90,$G171,月間集計シート!S$71:S$90)*AC$2</f>
        <v>0</v>
      </c>
      <c r="AD171" s="88">
        <f>SUMIF(月間集計シート!$M$71:$M$90,$G171,月間集計シート!T$71:T$90)*AD$2</f>
        <v>0</v>
      </c>
      <c r="AE171" s="88">
        <f>SUMIF(月間集計シート!$M$92:$M$111,$G171,月間集計シート!N$92:N$111)*AE$2</f>
        <v>0</v>
      </c>
      <c r="AF171" s="88">
        <f>SUMIF(月間集計シート!$M$92:$M$111,$G171,月間集計シート!O$92:O$111)*AF$2</f>
        <v>0</v>
      </c>
      <c r="AG171" s="88">
        <f>SUMIF(月間集計シート!$M$92:$M$111,$G171,月間集計シート!P$92:P$111)*AG$2</f>
        <v>0</v>
      </c>
      <c r="AH171" s="88">
        <f>SUMIF(月間集計シート!$M$92:$M$111,$G171,月間集計シート!Q$92:Q$111)*AH$2</f>
        <v>0</v>
      </c>
      <c r="AI171" s="88">
        <f>SUMIF(月間集計シート!$M$92:$M$111,$G171,月間集計シート!R$92:R$111)*AI$2</f>
        <v>0</v>
      </c>
      <c r="AJ171" s="88">
        <f>SUMIF(月間集計シート!$M$92:$M$111,$G171,月間集計シート!S$92:S$111)*AJ$2</f>
        <v>0</v>
      </c>
      <c r="AK171" s="88">
        <f>SUMIF(月間集計シート!$M$92:$M$111,$G171,月間集計シート!T$92:T$111)*AK$2</f>
        <v>0</v>
      </c>
      <c r="AL171" s="88">
        <f>SUMIF(月間集計シート!$M$113:$M$132,$G171,月間集計シート!N$113:N$132)*AL$2</f>
        <v>0</v>
      </c>
      <c r="AM171" s="88">
        <f>SUMIF(月間集計シート!$M$113:$M$132,$G171,月間集計シート!O$113:O$132)*AM$2</f>
        <v>0</v>
      </c>
      <c r="AN171" s="88">
        <f>SUMIF(月間集計シート!$M$113:$M$132,$G171,月間集計シート!P$113:P$132)*AN$2</f>
        <v>0</v>
      </c>
      <c r="AO171" s="88">
        <f>SUMIF(月間集計シート!$M$113:$M$132,$G171,月間集計シート!Q$113:Q$132)*AO$2</f>
        <v>0</v>
      </c>
      <c r="AP171" s="88">
        <f>SUMIF(月間集計シート!$M$113:$M$132,$G171,月間集計シート!R$113:R$132)*AP$2</f>
        <v>0</v>
      </c>
      <c r="AQ171" s="88">
        <f>SUMIF(月間集計シート!$M$113:$M$132,$G171,月間集計シート!S$113:S$132)*AQ$2</f>
        <v>0</v>
      </c>
      <c r="AR171" s="88">
        <f>SUMIF(月間集計シート!$M$113:$M$132,$G171,月間集計シート!T$113:T$132)*AR$2</f>
        <v>0</v>
      </c>
      <c r="AS171" s="88">
        <f>SUMIF(月間集計シート!$M$134:$M$153,$G171,月間集計シート!N$134:N$153)*AS$2</f>
        <v>0</v>
      </c>
      <c r="AT171" s="88">
        <f>SUMIF(月間集計シート!$M$134:$M$153,$G171,月間集計シート!O$134:O$153)*AT$2</f>
        <v>0</v>
      </c>
      <c r="AU171" s="88">
        <f>SUMIF(月間集計シート!$M$134:$M$153,$G171,月間集計シート!P$134:P$153)*AU$2</f>
        <v>0</v>
      </c>
      <c r="AV171" s="88">
        <f>SUMIF(月間集計シート!$M$134:$M$153,$G171,月間集計シート!Q$134:Q$153)*AV$2</f>
        <v>0</v>
      </c>
      <c r="AW171" s="88">
        <f>SUMIF(月間集計シート!$M$134:$M$153,$G171,月間集計シート!R$134:R$153)*AW$2</f>
        <v>0</v>
      </c>
      <c r="AX171" s="88">
        <f>SUMIF(月間集計シート!$M$134:$M$153,$G171,月間集計シート!S$134:S$153)*AX$2</f>
        <v>0</v>
      </c>
      <c r="AY171" s="88">
        <f>SUMIF(月間集計シート!$M$134:$M$153,$G171,月間集計シート!T$134:T$153)*AY$2</f>
        <v>0</v>
      </c>
    </row>
    <row r="172" spans="1:51" ht="14.25" thickBot="1">
      <c r="A172">
        <v>2</v>
      </c>
      <c r="B172" s="120">
        <f t="shared" si="68"/>
        <v>393021</v>
      </c>
      <c r="C172" s="120" t="e">
        <f t="shared" si="68"/>
        <v>#N/A</v>
      </c>
      <c r="D172" s="137"/>
      <c r="E172" s="150" t="str">
        <f>工種!A79</f>
        <v>99104</v>
      </c>
      <c r="F172" s="119" t="str">
        <f>工種!B79</f>
        <v>間接業務：業務の引継ぎ（開発以外）</v>
      </c>
      <c r="G172" s="116" t="str">
        <f t="shared" si="65"/>
        <v>39302199104</v>
      </c>
      <c r="H172" s="88">
        <f t="shared" si="67"/>
        <v>0</v>
      </c>
      <c r="I172" s="132"/>
      <c r="J172" s="88">
        <f>SUMIF(月間集計シート!$M$29:$M$48,$G172,月間集計シート!N$29:N$48)*J$2</f>
        <v>0</v>
      </c>
      <c r="K172" s="88">
        <f>SUMIF(月間集計シート!$M$29:$M$48,$G172,月間集計シート!O$29:O$48)*K$2</f>
        <v>0</v>
      </c>
      <c r="L172" s="88">
        <f>SUMIF(月間集計シート!$M$29:$M$48,$G172,月間集計シート!P$29:P$48)*L$2</f>
        <v>0</v>
      </c>
      <c r="M172" s="88">
        <f>SUMIF(月間集計シート!$M$29:$M$48,$G172,月間集計シート!Q$29:Q$48)*M$2</f>
        <v>0</v>
      </c>
      <c r="N172" s="88">
        <f>SUMIF(月間集計シート!$M$29:$M$48,$G172,月間集計シート!R$29:R$48)*N$2</f>
        <v>0</v>
      </c>
      <c r="O172" s="88">
        <f>SUMIF(月間集計シート!$M$29:$M$48,$G172,月間集計シート!S$29:S$48)*O$2</f>
        <v>0</v>
      </c>
      <c r="P172" s="88">
        <f>SUMIF(月間集計シート!$M$29:$M$48,$G172,月間集計シート!T$29:T$48)*P$2</f>
        <v>0</v>
      </c>
      <c r="Q172" s="88">
        <f>SUMIF(月間集計シート!$M$50:$M$69,$G172,月間集計シート!N$50:N$69)*Q$2</f>
        <v>0</v>
      </c>
      <c r="R172" s="88">
        <f>SUMIF(月間集計シート!$M$50:$M$69,$G172,月間集計シート!O$50:O$69)*R$2</f>
        <v>0</v>
      </c>
      <c r="S172" s="88">
        <f>SUMIF(月間集計シート!$M$50:$M$69,$G172,月間集計シート!P$50:P$69)*S$2</f>
        <v>0</v>
      </c>
      <c r="T172" s="88">
        <f>SUMIF(月間集計シート!$M$50:$M$69,$G172,月間集計シート!Q$50:Q$69)*T$2</f>
        <v>0</v>
      </c>
      <c r="U172" s="88">
        <f>SUMIF(月間集計シート!$M$50:$M$69,$G172,月間集計シート!R$50:R$69)*U$2</f>
        <v>0</v>
      </c>
      <c r="V172" s="88">
        <f>SUMIF(月間集計シート!$M$50:$M$69,$G172,月間集計シート!S$50:S$69)*V$2</f>
        <v>0</v>
      </c>
      <c r="W172" s="88">
        <f>SUMIF(月間集計シート!$M$50:$M$69,$G172,月間集計シート!T$50:T$69)*W$2</f>
        <v>0</v>
      </c>
      <c r="X172" s="88">
        <f>SUMIF(月間集計シート!$M$71:$M$90,$G172,月間集計シート!N$71:N$90)*X$2</f>
        <v>0</v>
      </c>
      <c r="Y172" s="88">
        <f>SUMIF(月間集計シート!$M$71:$M$90,$G172,月間集計シート!O$71:O$90)*Y$2</f>
        <v>0</v>
      </c>
      <c r="Z172" s="88">
        <f>SUMIF(月間集計シート!$M$71:$M$90,$G172,月間集計シート!P$71:P$90)*Z$2</f>
        <v>0</v>
      </c>
      <c r="AA172" s="88">
        <f>SUMIF(月間集計シート!$M$71:$M$90,$G172,月間集計シート!Q$71:Q$90)*AA$2</f>
        <v>0</v>
      </c>
      <c r="AB172" s="88">
        <f>SUMIF(月間集計シート!$M$71:$M$90,$G172,月間集計シート!R$71:R$90)*AB$2</f>
        <v>0</v>
      </c>
      <c r="AC172" s="88">
        <f>SUMIF(月間集計シート!$M$71:$M$90,$G172,月間集計シート!S$71:S$90)*AC$2</f>
        <v>0</v>
      </c>
      <c r="AD172" s="88">
        <f>SUMIF(月間集計シート!$M$71:$M$90,$G172,月間集計シート!T$71:T$90)*AD$2</f>
        <v>0</v>
      </c>
      <c r="AE172" s="88">
        <f>SUMIF(月間集計シート!$M$92:$M$111,$G172,月間集計シート!N$92:N$111)*AE$2</f>
        <v>0</v>
      </c>
      <c r="AF172" s="88">
        <f>SUMIF(月間集計シート!$M$92:$M$111,$G172,月間集計シート!O$92:O$111)*AF$2</f>
        <v>0</v>
      </c>
      <c r="AG172" s="88">
        <f>SUMIF(月間集計シート!$M$92:$M$111,$G172,月間集計シート!P$92:P$111)*AG$2</f>
        <v>0</v>
      </c>
      <c r="AH172" s="88">
        <f>SUMIF(月間集計シート!$M$92:$M$111,$G172,月間集計シート!Q$92:Q$111)*AH$2</f>
        <v>0</v>
      </c>
      <c r="AI172" s="88">
        <f>SUMIF(月間集計シート!$M$92:$M$111,$G172,月間集計シート!R$92:R$111)*AI$2</f>
        <v>0</v>
      </c>
      <c r="AJ172" s="88">
        <f>SUMIF(月間集計シート!$M$92:$M$111,$G172,月間集計シート!S$92:S$111)*AJ$2</f>
        <v>0</v>
      </c>
      <c r="AK172" s="88">
        <f>SUMIF(月間集計シート!$M$92:$M$111,$G172,月間集計シート!T$92:T$111)*AK$2</f>
        <v>0</v>
      </c>
      <c r="AL172" s="88">
        <f>SUMIF(月間集計シート!$M$113:$M$132,$G172,月間集計シート!N$113:N$132)*AL$2</f>
        <v>0</v>
      </c>
      <c r="AM172" s="88">
        <f>SUMIF(月間集計シート!$M$113:$M$132,$G172,月間集計シート!O$113:O$132)*AM$2</f>
        <v>0</v>
      </c>
      <c r="AN172" s="88">
        <f>SUMIF(月間集計シート!$M$113:$M$132,$G172,月間集計シート!P$113:P$132)*AN$2</f>
        <v>0</v>
      </c>
      <c r="AO172" s="88">
        <f>SUMIF(月間集計シート!$M$113:$M$132,$G172,月間集計シート!Q$113:Q$132)*AO$2</f>
        <v>0</v>
      </c>
      <c r="AP172" s="88">
        <f>SUMIF(月間集計シート!$M$113:$M$132,$G172,月間集計シート!R$113:R$132)*AP$2</f>
        <v>0</v>
      </c>
      <c r="AQ172" s="88">
        <f>SUMIF(月間集計シート!$M$113:$M$132,$G172,月間集計シート!S$113:S$132)*AQ$2</f>
        <v>0</v>
      </c>
      <c r="AR172" s="88">
        <f>SUMIF(月間集計シート!$M$113:$M$132,$G172,月間集計シート!T$113:T$132)*AR$2</f>
        <v>0</v>
      </c>
      <c r="AS172" s="88">
        <f>SUMIF(月間集計シート!$M$134:$M$153,$G172,月間集計シート!N$134:N$153)*AS$2</f>
        <v>0</v>
      </c>
      <c r="AT172" s="88">
        <f>SUMIF(月間集計シート!$M$134:$M$153,$G172,月間集計シート!O$134:O$153)*AT$2</f>
        <v>0</v>
      </c>
      <c r="AU172" s="88">
        <f>SUMIF(月間集計シート!$M$134:$M$153,$G172,月間集計シート!P$134:P$153)*AU$2</f>
        <v>0</v>
      </c>
      <c r="AV172" s="88">
        <f>SUMIF(月間集計シート!$M$134:$M$153,$G172,月間集計シート!Q$134:Q$153)*AV$2</f>
        <v>0</v>
      </c>
      <c r="AW172" s="88">
        <f>SUMIF(月間集計シート!$M$134:$M$153,$G172,月間集計シート!R$134:R$153)*AW$2</f>
        <v>0</v>
      </c>
      <c r="AX172" s="88">
        <f>SUMIF(月間集計シート!$M$134:$M$153,$G172,月間集計シート!S$134:S$153)*AX$2</f>
        <v>0</v>
      </c>
      <c r="AY172" s="88">
        <f>SUMIF(月間集計シート!$M$134:$M$153,$G172,月間集計シート!T$134:T$153)*AY$2</f>
        <v>0</v>
      </c>
    </row>
    <row r="173" spans="1:51" ht="14.25" thickBot="1">
      <c r="A173">
        <v>2</v>
      </c>
      <c r="B173" s="120">
        <f t="shared" si="68"/>
        <v>393021</v>
      </c>
      <c r="C173" s="120" t="e">
        <f t="shared" si="68"/>
        <v>#N/A</v>
      </c>
      <c r="D173" s="137"/>
      <c r="E173" s="150" t="str">
        <f>工種!A80</f>
        <v>99106</v>
      </c>
      <c r="F173" s="119" t="str">
        <f>工種!B80</f>
        <v>間接業務：研修・学習</v>
      </c>
      <c r="G173" s="116" t="str">
        <f t="shared" si="65"/>
        <v>39302199106</v>
      </c>
      <c r="H173" s="88">
        <f t="shared" si="67"/>
        <v>0</v>
      </c>
      <c r="I173" s="132"/>
      <c r="J173" s="88">
        <f>SUMIF(月間集計シート!$M$29:$M$48,$G173,月間集計シート!N$29:N$48)*J$2</f>
        <v>0</v>
      </c>
      <c r="K173" s="88">
        <f>SUMIF(月間集計シート!$M$29:$M$48,$G173,月間集計シート!O$29:O$48)*K$2</f>
        <v>0</v>
      </c>
      <c r="L173" s="88">
        <f>SUMIF(月間集計シート!$M$29:$M$48,$G173,月間集計シート!P$29:P$48)*L$2</f>
        <v>0</v>
      </c>
      <c r="M173" s="88">
        <f>SUMIF(月間集計シート!$M$29:$M$48,$G173,月間集計シート!Q$29:Q$48)*M$2</f>
        <v>0</v>
      </c>
      <c r="N173" s="88">
        <f>SUMIF(月間集計シート!$M$29:$M$48,$G173,月間集計シート!R$29:R$48)*N$2</f>
        <v>0</v>
      </c>
      <c r="O173" s="88">
        <f>SUMIF(月間集計シート!$M$29:$M$48,$G173,月間集計シート!S$29:S$48)*O$2</f>
        <v>0</v>
      </c>
      <c r="P173" s="88">
        <f>SUMIF(月間集計シート!$M$29:$M$48,$G173,月間集計シート!T$29:T$48)*P$2</f>
        <v>0</v>
      </c>
      <c r="Q173" s="88">
        <f>SUMIF(月間集計シート!$M$50:$M$69,$G173,月間集計シート!N$50:N$69)*Q$2</f>
        <v>0</v>
      </c>
      <c r="R173" s="88">
        <f>SUMIF(月間集計シート!$M$50:$M$69,$G173,月間集計シート!O$50:O$69)*R$2</f>
        <v>0</v>
      </c>
      <c r="S173" s="88">
        <f>SUMIF(月間集計シート!$M$50:$M$69,$G173,月間集計シート!P$50:P$69)*S$2</f>
        <v>0</v>
      </c>
      <c r="T173" s="88">
        <f>SUMIF(月間集計シート!$M$50:$M$69,$G173,月間集計シート!Q$50:Q$69)*T$2</f>
        <v>0</v>
      </c>
      <c r="U173" s="88">
        <f>SUMIF(月間集計シート!$M$50:$M$69,$G173,月間集計シート!R$50:R$69)*U$2</f>
        <v>0</v>
      </c>
      <c r="V173" s="88">
        <f>SUMIF(月間集計シート!$M$50:$M$69,$G173,月間集計シート!S$50:S$69)*V$2</f>
        <v>0</v>
      </c>
      <c r="W173" s="88">
        <f>SUMIF(月間集計シート!$M$50:$M$69,$G173,月間集計シート!T$50:T$69)*W$2</f>
        <v>0</v>
      </c>
      <c r="X173" s="88">
        <f>SUMIF(月間集計シート!$M$71:$M$90,$G173,月間集計シート!N$71:N$90)*X$2</f>
        <v>0</v>
      </c>
      <c r="Y173" s="88">
        <f>SUMIF(月間集計シート!$M$71:$M$90,$G173,月間集計シート!O$71:O$90)*Y$2</f>
        <v>0</v>
      </c>
      <c r="Z173" s="88">
        <f>SUMIF(月間集計シート!$M$71:$M$90,$G173,月間集計シート!P$71:P$90)*Z$2</f>
        <v>0</v>
      </c>
      <c r="AA173" s="88">
        <f>SUMIF(月間集計シート!$M$71:$M$90,$G173,月間集計シート!Q$71:Q$90)*AA$2</f>
        <v>0</v>
      </c>
      <c r="AB173" s="88">
        <f>SUMIF(月間集計シート!$M$71:$M$90,$G173,月間集計シート!R$71:R$90)*AB$2</f>
        <v>0</v>
      </c>
      <c r="AC173" s="88">
        <f>SUMIF(月間集計シート!$M$71:$M$90,$G173,月間集計シート!S$71:S$90)*AC$2</f>
        <v>0</v>
      </c>
      <c r="AD173" s="88">
        <f>SUMIF(月間集計シート!$M$71:$M$90,$G173,月間集計シート!T$71:T$90)*AD$2</f>
        <v>0</v>
      </c>
      <c r="AE173" s="88">
        <f>SUMIF(月間集計シート!$M$92:$M$111,$G173,月間集計シート!N$92:N$111)*AE$2</f>
        <v>0</v>
      </c>
      <c r="AF173" s="88">
        <f>SUMIF(月間集計シート!$M$92:$M$111,$G173,月間集計シート!O$92:O$111)*AF$2</f>
        <v>0</v>
      </c>
      <c r="AG173" s="88">
        <f>SUMIF(月間集計シート!$M$92:$M$111,$G173,月間集計シート!P$92:P$111)*AG$2</f>
        <v>0</v>
      </c>
      <c r="AH173" s="88">
        <f>SUMIF(月間集計シート!$M$92:$M$111,$G173,月間集計シート!Q$92:Q$111)*AH$2</f>
        <v>0</v>
      </c>
      <c r="AI173" s="88">
        <f>SUMIF(月間集計シート!$M$92:$M$111,$G173,月間集計シート!R$92:R$111)*AI$2</f>
        <v>0</v>
      </c>
      <c r="AJ173" s="88">
        <f>SUMIF(月間集計シート!$M$92:$M$111,$G173,月間集計シート!S$92:S$111)*AJ$2</f>
        <v>0</v>
      </c>
      <c r="AK173" s="88">
        <f>SUMIF(月間集計シート!$M$92:$M$111,$G173,月間集計シート!T$92:T$111)*AK$2</f>
        <v>0</v>
      </c>
      <c r="AL173" s="88">
        <f>SUMIF(月間集計シート!$M$113:$M$132,$G173,月間集計シート!N$113:N$132)*AL$2</f>
        <v>0</v>
      </c>
      <c r="AM173" s="88">
        <f>SUMIF(月間集計シート!$M$113:$M$132,$G173,月間集計シート!O$113:O$132)*AM$2</f>
        <v>0</v>
      </c>
      <c r="AN173" s="88">
        <f>SUMIF(月間集計シート!$M$113:$M$132,$G173,月間集計シート!P$113:P$132)*AN$2</f>
        <v>0</v>
      </c>
      <c r="AO173" s="88">
        <f>SUMIF(月間集計シート!$M$113:$M$132,$G173,月間集計シート!Q$113:Q$132)*AO$2</f>
        <v>0</v>
      </c>
      <c r="AP173" s="88">
        <f>SUMIF(月間集計シート!$M$113:$M$132,$G173,月間集計シート!R$113:R$132)*AP$2</f>
        <v>0</v>
      </c>
      <c r="AQ173" s="88">
        <f>SUMIF(月間集計シート!$M$113:$M$132,$G173,月間集計シート!S$113:S$132)*AQ$2</f>
        <v>0</v>
      </c>
      <c r="AR173" s="88">
        <f>SUMIF(月間集計シート!$M$113:$M$132,$G173,月間集計シート!T$113:T$132)*AR$2</f>
        <v>0</v>
      </c>
      <c r="AS173" s="88">
        <f>SUMIF(月間集計シート!$M$134:$M$153,$G173,月間集計シート!N$134:N$153)*AS$2</f>
        <v>0</v>
      </c>
      <c r="AT173" s="88">
        <f>SUMIF(月間集計シート!$M$134:$M$153,$G173,月間集計シート!O$134:O$153)*AT$2</f>
        <v>0</v>
      </c>
      <c r="AU173" s="88">
        <f>SUMIF(月間集計シート!$M$134:$M$153,$G173,月間集計シート!P$134:P$153)*AU$2</f>
        <v>0</v>
      </c>
      <c r="AV173" s="88">
        <f>SUMIF(月間集計シート!$M$134:$M$153,$G173,月間集計シート!Q$134:Q$153)*AV$2</f>
        <v>0</v>
      </c>
      <c r="AW173" s="88">
        <f>SUMIF(月間集計シート!$M$134:$M$153,$G173,月間集計シート!R$134:R$153)*AW$2</f>
        <v>0</v>
      </c>
      <c r="AX173" s="88">
        <f>SUMIF(月間集計シート!$M$134:$M$153,$G173,月間集計シート!S$134:S$153)*AX$2</f>
        <v>0</v>
      </c>
      <c r="AY173" s="88">
        <f>SUMIF(月間集計シート!$M$134:$M$153,$G173,月間集計シート!T$134:T$153)*AY$2</f>
        <v>0</v>
      </c>
    </row>
    <row r="174" spans="1:51" ht="14.25" thickBot="1">
      <c r="A174">
        <v>2</v>
      </c>
      <c r="B174" s="120">
        <f t="shared" si="68"/>
        <v>393021</v>
      </c>
      <c r="C174" s="120" t="e">
        <f t="shared" si="68"/>
        <v>#N/A</v>
      </c>
      <c r="D174" s="137"/>
      <c r="E174" s="150" t="str">
        <f>工種!A81</f>
        <v>99107</v>
      </c>
      <c r="F174" s="119" t="str">
        <f>工種!B81</f>
        <v>間接業務：事務作業（開発以外）</v>
      </c>
      <c r="G174" s="116" t="str">
        <f t="shared" ref="G174:G175" si="69">B174&amp;E174</f>
        <v>39302199107</v>
      </c>
      <c r="H174" s="88">
        <f t="shared" ref="H174:H175" si="70">SUM(J174:AY174)</f>
        <v>0</v>
      </c>
      <c r="I174" s="132"/>
      <c r="J174" s="88">
        <f>SUMIF(月間集計シート!$M$29:$M$48,$G174,月間集計シート!N$29:N$48)*J$2</f>
        <v>0</v>
      </c>
      <c r="K174" s="88">
        <f>SUMIF(月間集計シート!$M$29:$M$48,$G174,月間集計シート!O$29:O$48)*K$2</f>
        <v>0</v>
      </c>
      <c r="L174" s="88">
        <f>SUMIF(月間集計シート!$M$29:$M$48,$G174,月間集計シート!P$29:P$48)*L$2</f>
        <v>0</v>
      </c>
      <c r="M174" s="88">
        <f>SUMIF(月間集計シート!$M$29:$M$48,$G174,月間集計シート!Q$29:Q$48)*M$2</f>
        <v>0</v>
      </c>
      <c r="N174" s="88">
        <f>SUMIF(月間集計シート!$M$29:$M$48,$G174,月間集計シート!R$29:R$48)*N$2</f>
        <v>0</v>
      </c>
      <c r="O174" s="88">
        <f>SUMIF(月間集計シート!$M$29:$M$48,$G174,月間集計シート!S$29:S$48)*O$2</f>
        <v>0</v>
      </c>
      <c r="P174" s="88">
        <f>SUMIF(月間集計シート!$M$29:$M$48,$G174,月間集計シート!T$29:T$48)*P$2</f>
        <v>0</v>
      </c>
      <c r="Q174" s="88">
        <f>SUMIF(月間集計シート!$M$50:$M$69,$G174,月間集計シート!N$50:N$69)*Q$2</f>
        <v>0</v>
      </c>
      <c r="R174" s="88">
        <f>SUMIF(月間集計シート!$M$50:$M$69,$G174,月間集計シート!O$50:O$69)*R$2</f>
        <v>0</v>
      </c>
      <c r="S174" s="88">
        <f>SUMIF(月間集計シート!$M$50:$M$69,$G174,月間集計シート!P$50:P$69)*S$2</f>
        <v>0</v>
      </c>
      <c r="T174" s="88">
        <f>SUMIF(月間集計シート!$M$50:$M$69,$G174,月間集計シート!Q$50:Q$69)*T$2</f>
        <v>0</v>
      </c>
      <c r="U174" s="88">
        <f>SUMIF(月間集計シート!$M$50:$M$69,$G174,月間集計シート!R$50:R$69)*U$2</f>
        <v>0</v>
      </c>
      <c r="V174" s="88">
        <f>SUMIF(月間集計シート!$M$50:$M$69,$G174,月間集計シート!S$50:S$69)*V$2</f>
        <v>0</v>
      </c>
      <c r="W174" s="88">
        <f>SUMIF(月間集計シート!$M$50:$M$69,$G174,月間集計シート!T$50:T$69)*W$2</f>
        <v>0</v>
      </c>
      <c r="X174" s="88">
        <f>SUMIF(月間集計シート!$M$71:$M$90,$G174,月間集計シート!N$71:N$90)*X$2</f>
        <v>0</v>
      </c>
      <c r="Y174" s="88">
        <f>SUMIF(月間集計シート!$M$71:$M$90,$G174,月間集計シート!O$71:O$90)*Y$2</f>
        <v>0</v>
      </c>
      <c r="Z174" s="88">
        <f>SUMIF(月間集計シート!$M$71:$M$90,$G174,月間集計シート!P$71:P$90)*Z$2</f>
        <v>0</v>
      </c>
      <c r="AA174" s="88">
        <f>SUMIF(月間集計シート!$M$71:$M$90,$G174,月間集計シート!Q$71:Q$90)*AA$2</f>
        <v>0</v>
      </c>
      <c r="AB174" s="88">
        <f>SUMIF(月間集計シート!$M$71:$M$90,$G174,月間集計シート!R$71:R$90)*AB$2</f>
        <v>0</v>
      </c>
      <c r="AC174" s="88">
        <f>SUMIF(月間集計シート!$M$71:$M$90,$G174,月間集計シート!S$71:S$90)*AC$2</f>
        <v>0</v>
      </c>
      <c r="AD174" s="88">
        <f>SUMIF(月間集計シート!$M$71:$M$90,$G174,月間集計シート!T$71:T$90)*AD$2</f>
        <v>0</v>
      </c>
      <c r="AE174" s="88">
        <f>SUMIF(月間集計シート!$M$92:$M$111,$G174,月間集計シート!N$92:N$111)*AE$2</f>
        <v>0</v>
      </c>
      <c r="AF174" s="88">
        <f>SUMIF(月間集計シート!$M$92:$M$111,$G174,月間集計シート!O$92:O$111)*AF$2</f>
        <v>0</v>
      </c>
      <c r="AG174" s="88">
        <f>SUMIF(月間集計シート!$M$92:$M$111,$G174,月間集計シート!P$92:P$111)*AG$2</f>
        <v>0</v>
      </c>
      <c r="AH174" s="88">
        <f>SUMIF(月間集計シート!$M$92:$M$111,$G174,月間集計シート!Q$92:Q$111)*AH$2</f>
        <v>0</v>
      </c>
      <c r="AI174" s="88">
        <f>SUMIF(月間集計シート!$M$92:$M$111,$G174,月間集計シート!R$92:R$111)*AI$2</f>
        <v>0</v>
      </c>
      <c r="AJ174" s="88">
        <f>SUMIF(月間集計シート!$M$92:$M$111,$G174,月間集計シート!S$92:S$111)*AJ$2</f>
        <v>0</v>
      </c>
      <c r="AK174" s="88">
        <f>SUMIF(月間集計シート!$M$92:$M$111,$G174,月間集計シート!T$92:T$111)*AK$2</f>
        <v>0</v>
      </c>
      <c r="AL174" s="88">
        <f>SUMIF(月間集計シート!$M$113:$M$132,$G174,月間集計シート!N$113:N$132)*AL$2</f>
        <v>0</v>
      </c>
      <c r="AM174" s="88">
        <f>SUMIF(月間集計シート!$M$113:$M$132,$G174,月間集計シート!O$113:O$132)*AM$2</f>
        <v>0</v>
      </c>
      <c r="AN174" s="88">
        <f>SUMIF(月間集計シート!$M$113:$M$132,$G174,月間集計シート!P$113:P$132)*AN$2</f>
        <v>0</v>
      </c>
      <c r="AO174" s="88">
        <f>SUMIF(月間集計シート!$M$113:$M$132,$G174,月間集計シート!Q$113:Q$132)*AO$2</f>
        <v>0</v>
      </c>
      <c r="AP174" s="88">
        <f>SUMIF(月間集計シート!$M$113:$M$132,$G174,月間集計シート!R$113:R$132)*AP$2</f>
        <v>0</v>
      </c>
      <c r="AQ174" s="88">
        <f>SUMIF(月間集計シート!$M$113:$M$132,$G174,月間集計シート!S$113:S$132)*AQ$2</f>
        <v>0</v>
      </c>
      <c r="AR174" s="88">
        <f>SUMIF(月間集計シート!$M$113:$M$132,$G174,月間集計シート!T$113:T$132)*AR$2</f>
        <v>0</v>
      </c>
      <c r="AS174" s="88">
        <f>SUMIF(月間集計シート!$M$134:$M$153,$G174,月間集計シート!N$134:N$153)*AS$2</f>
        <v>0</v>
      </c>
      <c r="AT174" s="88">
        <f>SUMIF(月間集計シート!$M$134:$M$153,$G174,月間集計シート!O$134:O$153)*AT$2</f>
        <v>0</v>
      </c>
      <c r="AU174" s="88">
        <f>SUMIF(月間集計シート!$M$134:$M$153,$G174,月間集計シート!P$134:P$153)*AU$2</f>
        <v>0</v>
      </c>
      <c r="AV174" s="88">
        <f>SUMIF(月間集計シート!$M$134:$M$153,$G174,月間集計シート!Q$134:Q$153)*AV$2</f>
        <v>0</v>
      </c>
      <c r="AW174" s="88">
        <f>SUMIF(月間集計シート!$M$134:$M$153,$G174,月間集計シート!R$134:R$153)*AW$2</f>
        <v>0</v>
      </c>
      <c r="AX174" s="88">
        <f>SUMIF(月間集計シート!$M$134:$M$153,$G174,月間集計シート!S$134:S$153)*AX$2</f>
        <v>0</v>
      </c>
      <c r="AY174" s="88">
        <f>SUMIF(月間集計シート!$M$134:$M$153,$G174,月間集計シート!T$134:T$153)*AY$2</f>
        <v>0</v>
      </c>
    </row>
    <row r="175" spans="1:51" ht="14.25" thickBot="1">
      <c r="A175">
        <v>2</v>
      </c>
      <c r="B175" s="120">
        <f t="shared" si="68"/>
        <v>393021</v>
      </c>
      <c r="C175" s="120" t="e">
        <f t="shared" si="68"/>
        <v>#N/A</v>
      </c>
      <c r="D175" s="137"/>
      <c r="E175" s="150" t="str">
        <f>工種!A82</f>
        <v>99110</v>
      </c>
      <c r="F175" s="119" t="str">
        <f>工種!B82</f>
        <v>間接業務：打合せ</v>
      </c>
      <c r="G175" s="116" t="str">
        <f t="shared" si="69"/>
        <v>39302199110</v>
      </c>
      <c r="H175" s="88">
        <f t="shared" si="70"/>
        <v>0</v>
      </c>
      <c r="I175" s="132"/>
      <c r="J175" s="88">
        <f>SUMIF(月間集計シート!$M$29:$M$48,$G175,月間集計シート!N$29:N$48)*J$2</f>
        <v>0</v>
      </c>
      <c r="K175" s="88">
        <f>SUMIF(月間集計シート!$M$29:$M$48,$G175,月間集計シート!O$29:O$48)*K$2</f>
        <v>0</v>
      </c>
      <c r="L175" s="88">
        <f>SUMIF(月間集計シート!$M$29:$M$48,$G175,月間集計シート!P$29:P$48)*L$2</f>
        <v>0</v>
      </c>
      <c r="M175" s="88">
        <f>SUMIF(月間集計シート!$M$29:$M$48,$G175,月間集計シート!Q$29:Q$48)*M$2</f>
        <v>0</v>
      </c>
      <c r="N175" s="88">
        <f>SUMIF(月間集計シート!$M$29:$M$48,$G175,月間集計シート!R$29:R$48)*N$2</f>
        <v>0</v>
      </c>
      <c r="O175" s="88">
        <f>SUMIF(月間集計シート!$M$29:$M$48,$G175,月間集計シート!S$29:S$48)*O$2</f>
        <v>0</v>
      </c>
      <c r="P175" s="88">
        <f>SUMIF(月間集計シート!$M$29:$M$48,$G175,月間集計シート!T$29:T$48)*P$2</f>
        <v>0</v>
      </c>
      <c r="Q175" s="88">
        <f>SUMIF(月間集計シート!$M$50:$M$69,$G175,月間集計シート!N$50:N$69)*Q$2</f>
        <v>0</v>
      </c>
      <c r="R175" s="88">
        <f>SUMIF(月間集計シート!$M$50:$M$69,$G175,月間集計シート!O$50:O$69)*R$2</f>
        <v>0</v>
      </c>
      <c r="S175" s="88">
        <f>SUMIF(月間集計シート!$M$50:$M$69,$G175,月間集計シート!P$50:P$69)*S$2</f>
        <v>0</v>
      </c>
      <c r="T175" s="88">
        <f>SUMIF(月間集計シート!$M$50:$M$69,$G175,月間集計シート!Q$50:Q$69)*T$2</f>
        <v>0</v>
      </c>
      <c r="U175" s="88">
        <f>SUMIF(月間集計シート!$M$50:$M$69,$G175,月間集計シート!R$50:R$69)*U$2</f>
        <v>0</v>
      </c>
      <c r="V175" s="88">
        <f>SUMIF(月間集計シート!$M$50:$M$69,$G175,月間集計シート!S$50:S$69)*V$2</f>
        <v>0</v>
      </c>
      <c r="W175" s="88">
        <f>SUMIF(月間集計シート!$M$50:$M$69,$G175,月間集計シート!T$50:T$69)*W$2</f>
        <v>0</v>
      </c>
      <c r="X175" s="88">
        <f>SUMIF(月間集計シート!$M$71:$M$90,$G175,月間集計シート!N$71:N$90)*X$2</f>
        <v>0</v>
      </c>
      <c r="Y175" s="88">
        <f>SUMIF(月間集計シート!$M$71:$M$90,$G175,月間集計シート!O$71:O$90)*Y$2</f>
        <v>0</v>
      </c>
      <c r="Z175" s="88">
        <f>SUMIF(月間集計シート!$M$71:$M$90,$G175,月間集計シート!P$71:P$90)*Z$2</f>
        <v>0</v>
      </c>
      <c r="AA175" s="88">
        <f>SUMIF(月間集計シート!$M$71:$M$90,$G175,月間集計シート!Q$71:Q$90)*AA$2</f>
        <v>0</v>
      </c>
      <c r="AB175" s="88">
        <f>SUMIF(月間集計シート!$M$71:$M$90,$G175,月間集計シート!R$71:R$90)*AB$2</f>
        <v>0</v>
      </c>
      <c r="AC175" s="88">
        <f>SUMIF(月間集計シート!$M$71:$M$90,$G175,月間集計シート!S$71:S$90)*AC$2</f>
        <v>0</v>
      </c>
      <c r="AD175" s="88">
        <f>SUMIF(月間集計シート!$M$71:$M$90,$G175,月間集計シート!T$71:T$90)*AD$2</f>
        <v>0</v>
      </c>
      <c r="AE175" s="88">
        <f>SUMIF(月間集計シート!$M$92:$M$111,$G175,月間集計シート!N$92:N$111)*AE$2</f>
        <v>0</v>
      </c>
      <c r="AF175" s="88">
        <f>SUMIF(月間集計シート!$M$92:$M$111,$G175,月間集計シート!O$92:O$111)*AF$2</f>
        <v>0</v>
      </c>
      <c r="AG175" s="88">
        <f>SUMIF(月間集計シート!$M$92:$M$111,$G175,月間集計シート!P$92:P$111)*AG$2</f>
        <v>0</v>
      </c>
      <c r="AH175" s="88">
        <f>SUMIF(月間集計シート!$M$92:$M$111,$G175,月間集計シート!Q$92:Q$111)*AH$2</f>
        <v>0</v>
      </c>
      <c r="AI175" s="88">
        <f>SUMIF(月間集計シート!$M$92:$M$111,$G175,月間集計シート!R$92:R$111)*AI$2</f>
        <v>0</v>
      </c>
      <c r="AJ175" s="88">
        <f>SUMIF(月間集計シート!$M$92:$M$111,$G175,月間集計シート!S$92:S$111)*AJ$2</f>
        <v>0</v>
      </c>
      <c r="AK175" s="88">
        <f>SUMIF(月間集計シート!$M$92:$M$111,$G175,月間集計シート!T$92:T$111)*AK$2</f>
        <v>0</v>
      </c>
      <c r="AL175" s="88">
        <f>SUMIF(月間集計シート!$M$113:$M$132,$G175,月間集計シート!N$113:N$132)*AL$2</f>
        <v>0</v>
      </c>
      <c r="AM175" s="88">
        <f>SUMIF(月間集計シート!$M$113:$M$132,$G175,月間集計シート!O$113:O$132)*AM$2</f>
        <v>0</v>
      </c>
      <c r="AN175" s="88">
        <f>SUMIF(月間集計シート!$M$113:$M$132,$G175,月間集計シート!P$113:P$132)*AN$2</f>
        <v>0</v>
      </c>
      <c r="AO175" s="88">
        <f>SUMIF(月間集計シート!$M$113:$M$132,$G175,月間集計シート!Q$113:Q$132)*AO$2</f>
        <v>0</v>
      </c>
      <c r="AP175" s="88">
        <f>SUMIF(月間集計シート!$M$113:$M$132,$G175,月間集計シート!R$113:R$132)*AP$2</f>
        <v>0</v>
      </c>
      <c r="AQ175" s="88">
        <f>SUMIF(月間集計シート!$M$113:$M$132,$G175,月間集計シート!S$113:S$132)*AQ$2</f>
        <v>0</v>
      </c>
      <c r="AR175" s="88">
        <f>SUMIF(月間集計シート!$M$113:$M$132,$G175,月間集計シート!T$113:T$132)*AR$2</f>
        <v>0</v>
      </c>
      <c r="AS175" s="88">
        <f>SUMIF(月間集計シート!$M$134:$M$153,$G175,月間集計シート!N$134:N$153)*AS$2</f>
        <v>0</v>
      </c>
      <c r="AT175" s="88">
        <f>SUMIF(月間集計シート!$M$134:$M$153,$G175,月間集計シート!O$134:O$153)*AT$2</f>
        <v>0</v>
      </c>
      <c r="AU175" s="88">
        <f>SUMIF(月間集計シート!$M$134:$M$153,$G175,月間集計シート!P$134:P$153)*AU$2</f>
        <v>0</v>
      </c>
      <c r="AV175" s="88">
        <f>SUMIF(月間集計シート!$M$134:$M$153,$G175,月間集計シート!Q$134:Q$153)*AV$2</f>
        <v>0</v>
      </c>
      <c r="AW175" s="88">
        <f>SUMIF(月間集計シート!$M$134:$M$153,$G175,月間集計シート!R$134:R$153)*AW$2</f>
        <v>0</v>
      </c>
      <c r="AX175" s="88">
        <f>SUMIF(月間集計シート!$M$134:$M$153,$G175,月間集計シート!S$134:S$153)*AX$2</f>
        <v>0</v>
      </c>
      <c r="AY175" s="88">
        <f>SUMIF(月間集計シート!$M$134:$M$153,$G175,月間集計シート!T$134:T$153)*AY$2</f>
        <v>0</v>
      </c>
    </row>
    <row r="176" spans="1:51" ht="14.25" thickBot="1">
      <c r="A176">
        <v>2</v>
      </c>
      <c r="B176" s="120">
        <f t="shared" si="68"/>
        <v>393021</v>
      </c>
      <c r="C176" s="120" t="e">
        <f t="shared" si="68"/>
        <v>#N/A</v>
      </c>
      <c r="D176" s="137"/>
      <c r="E176" s="150" t="str">
        <f>工種!A65</f>
        <v>80107</v>
      </c>
      <c r="F176" s="119" t="str">
        <f>工種!B83</f>
        <v>間接業務：その他</v>
      </c>
      <c r="G176" s="116" t="str">
        <f t="shared" si="64"/>
        <v>39302180107</v>
      </c>
      <c r="H176" s="88">
        <f t="shared" si="18"/>
        <v>0</v>
      </c>
      <c r="I176" s="132"/>
      <c r="J176" s="88">
        <f>SUMIF(月間集計シート!$M$29:$M$48,$G176,月間集計シート!N$29:N$48)*J$2</f>
        <v>0</v>
      </c>
      <c r="K176" s="88">
        <f>SUMIF(月間集計シート!$M$29:$M$48,$G176,月間集計シート!O$29:O$48)*K$2</f>
        <v>0</v>
      </c>
      <c r="L176" s="88">
        <f>SUMIF(月間集計シート!$M$29:$M$48,$G176,月間集計シート!P$29:P$48)*L$2</f>
        <v>0</v>
      </c>
      <c r="M176" s="88">
        <f>SUMIF(月間集計シート!$M$29:$M$48,$G176,月間集計シート!Q$29:Q$48)*M$2</f>
        <v>0</v>
      </c>
      <c r="N176" s="88">
        <f>SUMIF(月間集計シート!$M$29:$M$48,$G176,月間集計シート!R$29:R$48)*N$2</f>
        <v>0</v>
      </c>
      <c r="O176" s="88">
        <f>SUMIF(月間集計シート!$M$29:$M$48,$G176,月間集計シート!S$29:S$48)*O$2</f>
        <v>0</v>
      </c>
      <c r="P176" s="88">
        <f>SUMIF(月間集計シート!$M$29:$M$48,$G176,月間集計シート!T$29:T$48)*P$2</f>
        <v>0</v>
      </c>
      <c r="Q176" s="88">
        <f>SUMIF(月間集計シート!$M$50:$M$69,$G176,月間集計シート!N$50:N$69)*Q$2</f>
        <v>0</v>
      </c>
      <c r="R176" s="88">
        <f>SUMIF(月間集計シート!$M$50:$M$69,$G176,月間集計シート!O$50:O$69)*R$2</f>
        <v>0</v>
      </c>
      <c r="S176" s="88">
        <f>SUMIF(月間集計シート!$M$50:$M$69,$G176,月間集計シート!P$50:P$69)*S$2</f>
        <v>0</v>
      </c>
      <c r="T176" s="88">
        <f>SUMIF(月間集計シート!$M$50:$M$69,$G176,月間集計シート!Q$50:Q$69)*T$2</f>
        <v>0</v>
      </c>
      <c r="U176" s="88">
        <f>SUMIF(月間集計シート!$M$50:$M$69,$G176,月間集計シート!R$50:R$69)*U$2</f>
        <v>0</v>
      </c>
      <c r="V176" s="88">
        <f>SUMIF(月間集計シート!$M$50:$M$69,$G176,月間集計シート!S$50:S$69)*V$2</f>
        <v>0</v>
      </c>
      <c r="W176" s="88">
        <f>SUMIF(月間集計シート!$M$50:$M$69,$G176,月間集計シート!T$50:T$69)*W$2</f>
        <v>0</v>
      </c>
      <c r="X176" s="88">
        <f>SUMIF(月間集計シート!$M$71:$M$90,$G176,月間集計シート!N$71:N$90)*X$2</f>
        <v>0</v>
      </c>
      <c r="Y176" s="88">
        <f>SUMIF(月間集計シート!$M$71:$M$90,$G176,月間集計シート!O$71:O$90)*Y$2</f>
        <v>0</v>
      </c>
      <c r="Z176" s="88">
        <f>SUMIF(月間集計シート!$M$71:$M$90,$G176,月間集計シート!P$71:P$90)*Z$2</f>
        <v>0</v>
      </c>
      <c r="AA176" s="88">
        <f>SUMIF(月間集計シート!$M$71:$M$90,$G176,月間集計シート!Q$71:Q$90)*AA$2</f>
        <v>0</v>
      </c>
      <c r="AB176" s="88">
        <f>SUMIF(月間集計シート!$M$71:$M$90,$G176,月間集計シート!R$71:R$90)*AB$2</f>
        <v>0</v>
      </c>
      <c r="AC176" s="88">
        <f>SUMIF(月間集計シート!$M$71:$M$90,$G176,月間集計シート!S$71:S$90)*AC$2</f>
        <v>0</v>
      </c>
      <c r="AD176" s="88">
        <f>SUMIF(月間集計シート!$M$71:$M$90,$G176,月間集計シート!T$71:T$90)*AD$2</f>
        <v>0</v>
      </c>
      <c r="AE176" s="88">
        <f>SUMIF(月間集計シート!$M$92:$M$111,$G176,月間集計シート!N$92:N$111)*AE$2</f>
        <v>0</v>
      </c>
      <c r="AF176" s="88">
        <f>SUMIF(月間集計シート!$M$92:$M$111,$G176,月間集計シート!O$92:O$111)*AF$2</f>
        <v>0</v>
      </c>
      <c r="AG176" s="88">
        <f>SUMIF(月間集計シート!$M$92:$M$111,$G176,月間集計シート!P$92:P$111)*AG$2</f>
        <v>0</v>
      </c>
      <c r="AH176" s="88">
        <f>SUMIF(月間集計シート!$M$92:$M$111,$G176,月間集計シート!Q$92:Q$111)*AH$2</f>
        <v>0</v>
      </c>
      <c r="AI176" s="88">
        <f>SUMIF(月間集計シート!$M$92:$M$111,$G176,月間集計シート!R$92:R$111)*AI$2</f>
        <v>0</v>
      </c>
      <c r="AJ176" s="88">
        <f>SUMIF(月間集計シート!$M$92:$M$111,$G176,月間集計シート!S$92:S$111)*AJ$2</f>
        <v>0</v>
      </c>
      <c r="AK176" s="88">
        <f>SUMIF(月間集計シート!$M$92:$M$111,$G176,月間集計シート!T$92:T$111)*AK$2</f>
        <v>0</v>
      </c>
      <c r="AL176" s="88">
        <f>SUMIF(月間集計シート!$M$113:$M$132,$G176,月間集計シート!N$113:N$132)*AL$2</f>
        <v>0</v>
      </c>
      <c r="AM176" s="88">
        <f>SUMIF(月間集計シート!$M$113:$M$132,$G176,月間集計シート!O$113:O$132)*AM$2</f>
        <v>0</v>
      </c>
      <c r="AN176" s="88">
        <f>SUMIF(月間集計シート!$M$113:$M$132,$G176,月間集計シート!P$113:P$132)*AN$2</f>
        <v>0</v>
      </c>
      <c r="AO176" s="88">
        <f>SUMIF(月間集計シート!$M$113:$M$132,$G176,月間集計シート!Q$113:Q$132)*AO$2</f>
        <v>0</v>
      </c>
      <c r="AP176" s="88">
        <f>SUMIF(月間集計シート!$M$113:$M$132,$G176,月間集計シート!R$113:R$132)*AP$2</f>
        <v>0</v>
      </c>
      <c r="AQ176" s="88">
        <f>SUMIF(月間集計シート!$M$113:$M$132,$G176,月間集計シート!S$113:S$132)*AQ$2</f>
        <v>0</v>
      </c>
      <c r="AR176" s="88">
        <f>SUMIF(月間集計シート!$M$113:$M$132,$G176,月間集計シート!T$113:T$132)*AR$2</f>
        <v>0</v>
      </c>
      <c r="AS176" s="88">
        <f>SUMIF(月間集計シート!$M$134:$M$153,$G176,月間集計シート!N$134:N$153)*AS$2</f>
        <v>0</v>
      </c>
      <c r="AT176" s="88">
        <f>SUMIF(月間集計シート!$M$134:$M$153,$G176,月間集計シート!O$134:O$153)*AT$2</f>
        <v>0</v>
      </c>
      <c r="AU176" s="88">
        <f>SUMIF(月間集計シート!$M$134:$M$153,$G176,月間集計シート!P$134:P$153)*AU$2</f>
        <v>0</v>
      </c>
      <c r="AV176" s="88">
        <f>SUMIF(月間集計シート!$M$134:$M$153,$G176,月間集計シート!Q$134:Q$153)*AV$2</f>
        <v>0</v>
      </c>
      <c r="AW176" s="88">
        <f>SUMIF(月間集計シート!$M$134:$M$153,$G176,月間集計シート!R$134:R$153)*AW$2</f>
        <v>0</v>
      </c>
      <c r="AX176" s="88">
        <f>SUMIF(月間集計シート!$M$134:$M$153,$G176,月間集計シート!S$134:S$153)*AX$2</f>
        <v>0</v>
      </c>
      <c r="AY176" s="88">
        <f>SUMIF(月間集計シート!$M$134:$M$153,$G176,月間集計シート!T$134:T$153)*AY$2</f>
        <v>0</v>
      </c>
    </row>
    <row r="177" spans="1:51">
      <c r="B177" s="120"/>
      <c r="C177" s="120"/>
      <c r="D177" s="127"/>
      <c r="E177" s="115"/>
      <c r="F177" s="119"/>
      <c r="G177" s="116"/>
      <c r="H177" s="88"/>
      <c r="I177" s="132"/>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row>
    <row r="178" spans="1:51" ht="14.25" thickBot="1">
      <c r="A178">
        <v>3</v>
      </c>
      <c r="B178">
        <f>月間集計シート!I6</f>
        <v>0</v>
      </c>
      <c r="C178" s="116" t="str">
        <f>月間集計シート!J6</f>
        <v/>
      </c>
      <c r="D178" s="147">
        <v>1</v>
      </c>
      <c r="E178" s="115" t="s">
        <v>451</v>
      </c>
      <c r="F178" s="119" t="s">
        <v>29</v>
      </c>
      <c r="G178" s="116"/>
      <c r="H178" s="88">
        <f t="shared" ref="H178:H240" si="71">SUM(J178:AY178)</f>
        <v>0</v>
      </c>
      <c r="I178" s="132"/>
      <c r="J178" s="88">
        <f t="shared" ref="J178:AY178" si="72">SUM(J180:J261)</f>
        <v>0</v>
      </c>
      <c r="K178" s="88">
        <f t="shared" si="72"/>
        <v>0</v>
      </c>
      <c r="L178" s="88">
        <f t="shared" si="72"/>
        <v>0</v>
      </c>
      <c r="M178" s="88">
        <f t="shared" si="72"/>
        <v>0</v>
      </c>
      <c r="N178" s="88">
        <f t="shared" si="72"/>
        <v>0</v>
      </c>
      <c r="O178" s="88">
        <f t="shared" si="72"/>
        <v>0</v>
      </c>
      <c r="P178" s="88">
        <f t="shared" si="72"/>
        <v>0</v>
      </c>
      <c r="Q178" s="88">
        <f t="shared" si="72"/>
        <v>0</v>
      </c>
      <c r="R178" s="88">
        <f t="shared" si="72"/>
        <v>0</v>
      </c>
      <c r="S178" s="88">
        <f t="shared" si="72"/>
        <v>0</v>
      </c>
      <c r="T178" s="88">
        <f t="shared" si="72"/>
        <v>0</v>
      </c>
      <c r="U178" s="88">
        <f t="shared" si="72"/>
        <v>0</v>
      </c>
      <c r="V178" s="88">
        <f t="shared" si="72"/>
        <v>0</v>
      </c>
      <c r="W178" s="88">
        <f t="shared" si="72"/>
        <v>0</v>
      </c>
      <c r="X178" s="88">
        <f t="shared" si="72"/>
        <v>0</v>
      </c>
      <c r="Y178" s="88">
        <f t="shared" si="72"/>
        <v>0</v>
      </c>
      <c r="Z178" s="88">
        <f t="shared" si="72"/>
        <v>0</v>
      </c>
      <c r="AA178" s="88">
        <f t="shared" si="72"/>
        <v>0</v>
      </c>
      <c r="AB178" s="88">
        <f t="shared" si="72"/>
        <v>0</v>
      </c>
      <c r="AC178" s="88">
        <f t="shared" si="72"/>
        <v>0</v>
      </c>
      <c r="AD178" s="88">
        <f t="shared" si="72"/>
        <v>0</v>
      </c>
      <c r="AE178" s="88">
        <f t="shared" si="72"/>
        <v>0</v>
      </c>
      <c r="AF178" s="88">
        <f t="shared" si="72"/>
        <v>0</v>
      </c>
      <c r="AG178" s="88">
        <f t="shared" si="72"/>
        <v>0</v>
      </c>
      <c r="AH178" s="88">
        <f t="shared" si="72"/>
        <v>0</v>
      </c>
      <c r="AI178" s="88">
        <f t="shared" si="72"/>
        <v>0</v>
      </c>
      <c r="AJ178" s="88">
        <f t="shared" si="72"/>
        <v>0</v>
      </c>
      <c r="AK178" s="88">
        <f t="shared" si="72"/>
        <v>0</v>
      </c>
      <c r="AL178" s="88">
        <f t="shared" si="72"/>
        <v>0</v>
      </c>
      <c r="AM178" s="88">
        <f t="shared" si="72"/>
        <v>0</v>
      </c>
      <c r="AN178" s="88">
        <f t="shared" si="72"/>
        <v>0</v>
      </c>
      <c r="AO178" s="88">
        <f t="shared" si="72"/>
        <v>0</v>
      </c>
      <c r="AP178" s="88">
        <f t="shared" si="72"/>
        <v>0</v>
      </c>
      <c r="AQ178" s="88">
        <f t="shared" si="72"/>
        <v>0</v>
      </c>
      <c r="AR178" s="88">
        <f t="shared" si="72"/>
        <v>0</v>
      </c>
      <c r="AS178" s="88">
        <f t="shared" si="72"/>
        <v>0</v>
      </c>
      <c r="AT178" s="88">
        <f t="shared" si="72"/>
        <v>0</v>
      </c>
      <c r="AU178" s="88">
        <f t="shared" si="72"/>
        <v>0</v>
      </c>
      <c r="AV178" s="88">
        <f t="shared" si="72"/>
        <v>0</v>
      </c>
      <c r="AW178" s="88">
        <f t="shared" si="72"/>
        <v>0</v>
      </c>
      <c r="AX178" s="88">
        <f t="shared" si="72"/>
        <v>0</v>
      </c>
      <c r="AY178" s="88">
        <f t="shared" si="72"/>
        <v>0</v>
      </c>
    </row>
    <row r="179" spans="1:51" ht="14.25" customHeight="1" thickBot="1">
      <c r="A179">
        <v>3</v>
      </c>
      <c r="B179">
        <f>B178</f>
        <v>0</v>
      </c>
      <c r="C179" s="116" t="str">
        <f>C178</f>
        <v/>
      </c>
      <c r="D179" s="147">
        <v>1</v>
      </c>
      <c r="E179" s="115" t="s">
        <v>453</v>
      </c>
      <c r="F179" s="119" t="s">
        <v>454</v>
      </c>
      <c r="G179" s="116"/>
      <c r="H179" s="129">
        <f t="shared" ref="H179" si="73">SUM(J179:AY179)</f>
        <v>0</v>
      </c>
      <c r="I179" s="132"/>
      <c r="J179" s="88">
        <f t="shared" ref="J179:AY179" si="74">SUMIF($D180:$D261,1,J180:J261)</f>
        <v>0</v>
      </c>
      <c r="K179" s="88">
        <f t="shared" si="74"/>
        <v>0</v>
      </c>
      <c r="L179" s="88">
        <f t="shared" si="74"/>
        <v>0</v>
      </c>
      <c r="M179" s="88">
        <f t="shared" si="74"/>
        <v>0</v>
      </c>
      <c r="N179" s="88">
        <f t="shared" si="74"/>
        <v>0</v>
      </c>
      <c r="O179" s="88">
        <f t="shared" si="74"/>
        <v>0</v>
      </c>
      <c r="P179" s="88">
        <f t="shared" si="74"/>
        <v>0</v>
      </c>
      <c r="Q179" s="88">
        <f t="shared" si="74"/>
        <v>0</v>
      </c>
      <c r="R179" s="88">
        <f t="shared" si="74"/>
        <v>0</v>
      </c>
      <c r="S179" s="88">
        <f t="shared" si="74"/>
        <v>0</v>
      </c>
      <c r="T179" s="88">
        <f t="shared" si="74"/>
        <v>0</v>
      </c>
      <c r="U179" s="88">
        <f t="shared" si="74"/>
        <v>0</v>
      </c>
      <c r="V179" s="88">
        <f t="shared" si="74"/>
        <v>0</v>
      </c>
      <c r="W179" s="88">
        <f t="shared" si="74"/>
        <v>0</v>
      </c>
      <c r="X179" s="88">
        <f t="shared" si="74"/>
        <v>0</v>
      </c>
      <c r="Y179" s="88">
        <f t="shared" si="74"/>
        <v>0</v>
      </c>
      <c r="Z179" s="88">
        <f t="shared" si="74"/>
        <v>0</v>
      </c>
      <c r="AA179" s="88">
        <f t="shared" si="74"/>
        <v>0</v>
      </c>
      <c r="AB179" s="88">
        <f t="shared" si="74"/>
        <v>0</v>
      </c>
      <c r="AC179" s="88">
        <f t="shared" si="74"/>
        <v>0</v>
      </c>
      <c r="AD179" s="88">
        <f t="shared" si="74"/>
        <v>0</v>
      </c>
      <c r="AE179" s="88">
        <f t="shared" si="74"/>
        <v>0</v>
      </c>
      <c r="AF179" s="88">
        <f t="shared" si="74"/>
        <v>0</v>
      </c>
      <c r="AG179" s="88">
        <f t="shared" si="74"/>
        <v>0</v>
      </c>
      <c r="AH179" s="88">
        <f t="shared" si="74"/>
        <v>0</v>
      </c>
      <c r="AI179" s="88">
        <f t="shared" si="74"/>
        <v>0</v>
      </c>
      <c r="AJ179" s="88">
        <f t="shared" si="74"/>
        <v>0</v>
      </c>
      <c r="AK179" s="88">
        <f t="shared" si="74"/>
        <v>0</v>
      </c>
      <c r="AL179" s="88">
        <f t="shared" si="74"/>
        <v>0</v>
      </c>
      <c r="AM179" s="88">
        <f t="shared" si="74"/>
        <v>0</v>
      </c>
      <c r="AN179" s="88">
        <f t="shared" si="74"/>
        <v>0</v>
      </c>
      <c r="AO179" s="88">
        <f t="shared" si="74"/>
        <v>0</v>
      </c>
      <c r="AP179" s="88">
        <f t="shared" si="74"/>
        <v>0</v>
      </c>
      <c r="AQ179" s="88">
        <f t="shared" si="74"/>
        <v>0</v>
      </c>
      <c r="AR179" s="88">
        <f t="shared" si="74"/>
        <v>0</v>
      </c>
      <c r="AS179" s="88">
        <f t="shared" si="74"/>
        <v>0</v>
      </c>
      <c r="AT179" s="88">
        <f t="shared" si="74"/>
        <v>0</v>
      </c>
      <c r="AU179" s="88">
        <f t="shared" si="74"/>
        <v>0</v>
      </c>
      <c r="AV179" s="88">
        <f t="shared" si="74"/>
        <v>0</v>
      </c>
      <c r="AW179" s="88">
        <f t="shared" si="74"/>
        <v>0</v>
      </c>
      <c r="AX179" s="88">
        <f t="shared" si="74"/>
        <v>0</v>
      </c>
      <c r="AY179" s="88">
        <f t="shared" si="74"/>
        <v>0</v>
      </c>
    </row>
    <row r="180" spans="1:51" ht="14.25" thickBot="1">
      <c r="A180">
        <v>3</v>
      </c>
      <c r="B180" s="120">
        <f t="shared" ref="B180" si="75">B178</f>
        <v>0</v>
      </c>
      <c r="C180" s="120" t="str">
        <f t="shared" ref="C180" si="76">C178</f>
        <v/>
      </c>
      <c r="D180" s="137"/>
      <c r="E180" s="150" t="str">
        <f>工種!A2</f>
        <v>10102</v>
      </c>
      <c r="F180" s="119" t="str">
        <f>工種!B2</f>
        <v>SRS：調査・分析・開発計画の準備・実施作業</v>
      </c>
      <c r="G180" s="116" t="str">
        <f>B180&amp;E180</f>
        <v>010102</v>
      </c>
      <c r="H180" s="88">
        <f t="shared" si="71"/>
        <v>0</v>
      </c>
      <c r="I180" s="132"/>
      <c r="J180" s="88">
        <f>SUMIF(月間集計シート!$M$29:$M$48,$G180,月間集計シート!N$29:N$48)*J$2</f>
        <v>0</v>
      </c>
      <c r="K180" s="88">
        <f>SUMIF(月間集計シート!$M$29:$M$48,$G180,月間集計シート!O$29:O$48)*K$2</f>
        <v>0</v>
      </c>
      <c r="L180" s="88">
        <f>SUMIF(月間集計シート!$M$29:$M$48,$G180,月間集計シート!P$29:P$48)*L$2</f>
        <v>0</v>
      </c>
      <c r="M180" s="88">
        <f>SUMIF(月間集計シート!$M$29:$M$48,$G180,月間集計シート!Q$29:Q$48)*M$2</f>
        <v>0</v>
      </c>
      <c r="N180" s="88">
        <f>SUMIF(月間集計シート!$M$29:$M$48,$G180,月間集計シート!R$29:R$48)*N$2</f>
        <v>0</v>
      </c>
      <c r="O180" s="88">
        <f>SUMIF(月間集計シート!$M$29:$M$48,$G180,月間集計シート!S$29:S$48)*O$2</f>
        <v>0</v>
      </c>
      <c r="P180" s="88">
        <f>SUMIF(月間集計シート!$M$29:$M$48,$G180,月間集計シート!T$29:T$48)*P$2</f>
        <v>0</v>
      </c>
      <c r="Q180" s="88">
        <f>SUMIF(月間集計シート!$M$50:$M$69,$G180,月間集計シート!N$50:N$69)*Q$2</f>
        <v>0</v>
      </c>
      <c r="R180" s="88">
        <f>SUMIF(月間集計シート!$M$50:$M$69,$G180,月間集計シート!O$50:O$69)*R$2</f>
        <v>0</v>
      </c>
      <c r="S180" s="88">
        <f>SUMIF(月間集計シート!$M$50:$M$69,$G180,月間集計シート!P$50:P$69)*S$2</f>
        <v>0</v>
      </c>
      <c r="T180" s="88">
        <f>SUMIF(月間集計シート!$M$50:$M$69,$G180,月間集計シート!Q$50:Q$69)*T$2</f>
        <v>0</v>
      </c>
      <c r="U180" s="88">
        <f>SUMIF(月間集計シート!$M$50:$M$69,$G180,月間集計シート!R$50:R$69)*U$2</f>
        <v>0</v>
      </c>
      <c r="V180" s="88">
        <f>SUMIF(月間集計シート!$M$50:$M$69,$G180,月間集計シート!S$50:S$69)*V$2</f>
        <v>0</v>
      </c>
      <c r="W180" s="88">
        <f>SUMIF(月間集計シート!$M$50:$M$69,$G180,月間集計シート!T$50:T$69)*W$2</f>
        <v>0</v>
      </c>
      <c r="X180" s="88">
        <f>SUMIF(月間集計シート!$M$71:$M$90,$G180,月間集計シート!N$71:N$90)*X$2</f>
        <v>0</v>
      </c>
      <c r="Y180" s="88">
        <f>SUMIF(月間集計シート!$M$71:$M$90,$G180,月間集計シート!O$71:O$90)*Y$2</f>
        <v>0</v>
      </c>
      <c r="Z180" s="88">
        <f>SUMIF(月間集計シート!$M$71:$M$90,$G180,月間集計シート!P$71:P$90)*Z$2</f>
        <v>0</v>
      </c>
      <c r="AA180" s="88">
        <f>SUMIF(月間集計シート!$M$71:$M$90,$G180,月間集計シート!Q$71:Q$90)*AA$2</f>
        <v>0</v>
      </c>
      <c r="AB180" s="88">
        <f>SUMIF(月間集計シート!$M$71:$M$90,$G180,月間集計シート!R$71:R$90)*AB$2</f>
        <v>0</v>
      </c>
      <c r="AC180" s="88">
        <f>SUMIF(月間集計シート!$M$71:$M$90,$G180,月間集計シート!S$71:S$90)*AC$2</f>
        <v>0</v>
      </c>
      <c r="AD180" s="88">
        <f>SUMIF(月間集計シート!$M$71:$M$90,$G180,月間集計シート!T$71:T$90)*AD$2</f>
        <v>0</v>
      </c>
      <c r="AE180" s="88">
        <f>SUMIF(月間集計シート!$M$92:$M$111,$G180,月間集計シート!N$92:N$111)*AE$2</f>
        <v>0</v>
      </c>
      <c r="AF180" s="88">
        <f>SUMIF(月間集計シート!$M$92:$M$111,$G180,月間集計シート!O$92:O$111)*AF$2</f>
        <v>0</v>
      </c>
      <c r="AG180" s="88">
        <f>SUMIF(月間集計シート!$M$92:$M$111,$G180,月間集計シート!P$92:P$111)*AG$2</f>
        <v>0</v>
      </c>
      <c r="AH180" s="88">
        <f>SUMIF(月間集計シート!$M$92:$M$111,$G180,月間集計シート!Q$92:Q$111)*AH$2</f>
        <v>0</v>
      </c>
      <c r="AI180" s="88">
        <f>SUMIF(月間集計シート!$M$92:$M$111,$G180,月間集計シート!R$92:R$111)*AI$2</f>
        <v>0</v>
      </c>
      <c r="AJ180" s="88">
        <f>SUMIF(月間集計シート!$M$92:$M$111,$G180,月間集計シート!S$92:S$111)*AJ$2</f>
        <v>0</v>
      </c>
      <c r="AK180" s="88">
        <f>SUMIF(月間集計シート!$M$92:$M$111,$G180,月間集計シート!T$92:T$111)*AK$2</f>
        <v>0</v>
      </c>
      <c r="AL180" s="88">
        <f>SUMIF(月間集計シート!$M$113:$M$132,$G180,月間集計シート!N$113:N$132)*AL$2</f>
        <v>0</v>
      </c>
      <c r="AM180" s="88">
        <f>SUMIF(月間集計シート!$M$113:$M$132,$G180,月間集計シート!O$113:O$132)*AM$2</f>
        <v>0</v>
      </c>
      <c r="AN180" s="88">
        <f>SUMIF(月間集計シート!$M$113:$M$132,$G180,月間集計シート!P$113:P$132)*AN$2</f>
        <v>0</v>
      </c>
      <c r="AO180" s="88">
        <f>SUMIF(月間集計シート!$M$113:$M$132,$G180,月間集計シート!Q$113:Q$132)*AO$2</f>
        <v>0</v>
      </c>
      <c r="AP180" s="88">
        <f>SUMIF(月間集計シート!$M$113:$M$132,$G180,月間集計シート!R$113:R$132)*AP$2</f>
        <v>0</v>
      </c>
      <c r="AQ180" s="88">
        <f>SUMIF(月間集計シート!$M$113:$M$132,$G180,月間集計シート!S$113:S$132)*AQ$2</f>
        <v>0</v>
      </c>
      <c r="AR180" s="88">
        <f>SUMIF(月間集計シート!$M$113:$M$132,$G180,月間集計シート!T$113:T$132)*AR$2</f>
        <v>0</v>
      </c>
      <c r="AS180" s="88">
        <f>SUMIF(月間集計シート!$M$134:$M$153,$G180,月間集計シート!N$134:N$153)*AS$2</f>
        <v>0</v>
      </c>
      <c r="AT180" s="88">
        <f>SUMIF(月間集計シート!$M$134:$M$153,$G180,月間集計シート!O$134:O$153)*AT$2</f>
        <v>0</v>
      </c>
      <c r="AU180" s="88">
        <f>SUMIF(月間集計シート!$M$134:$M$153,$G180,月間集計シート!P$134:P$153)*AU$2</f>
        <v>0</v>
      </c>
      <c r="AV180" s="88">
        <f>SUMIF(月間集計シート!$M$134:$M$153,$G180,月間集計シート!Q$134:Q$153)*AV$2</f>
        <v>0</v>
      </c>
      <c r="AW180" s="88">
        <f>SUMIF(月間集計シート!$M$134:$M$153,$G180,月間集計シート!R$134:R$153)*AW$2</f>
        <v>0</v>
      </c>
      <c r="AX180" s="88">
        <f>SUMIF(月間集計シート!$M$134:$M$153,$G180,月間集計シート!S$134:S$153)*AX$2</f>
        <v>0</v>
      </c>
      <c r="AY180" s="88">
        <f>SUMIF(月間集計シート!$M$134:$M$153,$G180,月間集計シート!T$134:T$153)*AY$2</f>
        <v>0</v>
      </c>
    </row>
    <row r="181" spans="1:51" ht="14.25" thickBot="1">
      <c r="A181">
        <v>3</v>
      </c>
      <c r="B181" s="120">
        <f t="shared" ref="B181:B244" si="77">B180</f>
        <v>0</v>
      </c>
      <c r="C181" s="120" t="str">
        <f t="shared" ref="C181:C244" si="78">C180</f>
        <v/>
      </c>
      <c r="D181" s="137"/>
      <c r="E181" s="150" t="str">
        <f>工種!A3</f>
        <v>10103</v>
      </c>
      <c r="F181" s="119" t="str">
        <f>工種!B3</f>
        <v>SRS：企画書・計画書・報告書等資料作成・修正</v>
      </c>
      <c r="G181" s="116" t="str">
        <f t="shared" si="64"/>
        <v>010103</v>
      </c>
      <c r="H181" s="88">
        <f t="shared" si="71"/>
        <v>0</v>
      </c>
      <c r="I181" s="132"/>
      <c r="J181" s="88">
        <f>SUMIF(月間集計シート!$M$29:$M$48,$G181,月間集計シート!N$29:N$48)*J$2</f>
        <v>0</v>
      </c>
      <c r="K181" s="88">
        <f>SUMIF(月間集計シート!$M$29:$M$48,$G181,月間集計シート!O$29:O$48)*K$2</f>
        <v>0</v>
      </c>
      <c r="L181" s="88">
        <f>SUMIF(月間集計シート!$M$29:$M$48,$G181,月間集計シート!P$29:P$48)*L$2</f>
        <v>0</v>
      </c>
      <c r="M181" s="88">
        <f>SUMIF(月間集計シート!$M$29:$M$48,$G181,月間集計シート!Q$29:Q$48)*M$2</f>
        <v>0</v>
      </c>
      <c r="N181" s="88">
        <f>SUMIF(月間集計シート!$M$29:$M$48,$G181,月間集計シート!R$29:R$48)*N$2</f>
        <v>0</v>
      </c>
      <c r="O181" s="88">
        <f>SUMIF(月間集計シート!$M$29:$M$48,$G181,月間集計シート!S$29:S$48)*O$2</f>
        <v>0</v>
      </c>
      <c r="P181" s="88">
        <f>SUMIF(月間集計シート!$M$29:$M$48,$G181,月間集計シート!T$29:T$48)*P$2</f>
        <v>0</v>
      </c>
      <c r="Q181" s="88">
        <f>SUMIF(月間集計シート!$M$50:$M$69,$G181,月間集計シート!N$50:N$69)*Q$2</f>
        <v>0</v>
      </c>
      <c r="R181" s="88">
        <f>SUMIF(月間集計シート!$M$50:$M$69,$G181,月間集計シート!O$50:O$69)*R$2</f>
        <v>0</v>
      </c>
      <c r="S181" s="88">
        <f>SUMIF(月間集計シート!$M$50:$M$69,$G181,月間集計シート!P$50:P$69)*S$2</f>
        <v>0</v>
      </c>
      <c r="T181" s="88">
        <f>SUMIF(月間集計シート!$M$50:$M$69,$G181,月間集計シート!Q$50:Q$69)*T$2</f>
        <v>0</v>
      </c>
      <c r="U181" s="88">
        <f>SUMIF(月間集計シート!$M$50:$M$69,$G181,月間集計シート!R$50:R$69)*U$2</f>
        <v>0</v>
      </c>
      <c r="V181" s="88">
        <f>SUMIF(月間集計シート!$M$50:$M$69,$G181,月間集計シート!S$50:S$69)*V$2</f>
        <v>0</v>
      </c>
      <c r="W181" s="88">
        <f>SUMIF(月間集計シート!$M$50:$M$69,$G181,月間集計シート!T$50:T$69)*W$2</f>
        <v>0</v>
      </c>
      <c r="X181" s="88">
        <f>SUMIF(月間集計シート!$M$71:$M$90,$G181,月間集計シート!N$71:N$90)*X$2</f>
        <v>0</v>
      </c>
      <c r="Y181" s="88">
        <f>SUMIF(月間集計シート!$M$71:$M$90,$G181,月間集計シート!O$71:O$90)*Y$2</f>
        <v>0</v>
      </c>
      <c r="Z181" s="88">
        <f>SUMIF(月間集計シート!$M$71:$M$90,$G181,月間集計シート!P$71:P$90)*Z$2</f>
        <v>0</v>
      </c>
      <c r="AA181" s="88">
        <f>SUMIF(月間集計シート!$M$71:$M$90,$G181,月間集計シート!Q$71:Q$90)*AA$2</f>
        <v>0</v>
      </c>
      <c r="AB181" s="88">
        <f>SUMIF(月間集計シート!$M$71:$M$90,$G181,月間集計シート!R$71:R$90)*AB$2</f>
        <v>0</v>
      </c>
      <c r="AC181" s="88">
        <f>SUMIF(月間集計シート!$M$71:$M$90,$G181,月間集計シート!S$71:S$90)*AC$2</f>
        <v>0</v>
      </c>
      <c r="AD181" s="88">
        <f>SUMIF(月間集計シート!$M$71:$M$90,$G181,月間集計シート!T$71:T$90)*AD$2</f>
        <v>0</v>
      </c>
      <c r="AE181" s="88">
        <f>SUMIF(月間集計シート!$M$92:$M$111,$G181,月間集計シート!N$92:N$111)*AE$2</f>
        <v>0</v>
      </c>
      <c r="AF181" s="88">
        <f>SUMIF(月間集計シート!$M$92:$M$111,$G181,月間集計シート!O$92:O$111)*AF$2</f>
        <v>0</v>
      </c>
      <c r="AG181" s="88">
        <f>SUMIF(月間集計シート!$M$92:$M$111,$G181,月間集計シート!P$92:P$111)*AG$2</f>
        <v>0</v>
      </c>
      <c r="AH181" s="88">
        <f>SUMIF(月間集計シート!$M$92:$M$111,$G181,月間集計シート!Q$92:Q$111)*AH$2</f>
        <v>0</v>
      </c>
      <c r="AI181" s="88">
        <f>SUMIF(月間集計シート!$M$92:$M$111,$G181,月間集計シート!R$92:R$111)*AI$2</f>
        <v>0</v>
      </c>
      <c r="AJ181" s="88">
        <f>SUMIF(月間集計シート!$M$92:$M$111,$G181,月間集計シート!S$92:S$111)*AJ$2</f>
        <v>0</v>
      </c>
      <c r="AK181" s="88">
        <f>SUMIF(月間集計シート!$M$92:$M$111,$G181,月間集計シート!T$92:T$111)*AK$2</f>
        <v>0</v>
      </c>
      <c r="AL181" s="88">
        <f>SUMIF(月間集計シート!$M$113:$M$132,$G181,月間集計シート!N$113:N$132)*AL$2</f>
        <v>0</v>
      </c>
      <c r="AM181" s="88">
        <f>SUMIF(月間集計シート!$M$113:$M$132,$G181,月間集計シート!O$113:O$132)*AM$2</f>
        <v>0</v>
      </c>
      <c r="AN181" s="88">
        <f>SUMIF(月間集計シート!$M$113:$M$132,$G181,月間集計シート!P$113:P$132)*AN$2</f>
        <v>0</v>
      </c>
      <c r="AO181" s="88">
        <f>SUMIF(月間集計シート!$M$113:$M$132,$G181,月間集計シート!Q$113:Q$132)*AO$2</f>
        <v>0</v>
      </c>
      <c r="AP181" s="88">
        <f>SUMIF(月間集計シート!$M$113:$M$132,$G181,月間集計シート!R$113:R$132)*AP$2</f>
        <v>0</v>
      </c>
      <c r="AQ181" s="88">
        <f>SUMIF(月間集計シート!$M$113:$M$132,$G181,月間集計シート!S$113:S$132)*AQ$2</f>
        <v>0</v>
      </c>
      <c r="AR181" s="88">
        <f>SUMIF(月間集計シート!$M$113:$M$132,$G181,月間集計シート!T$113:T$132)*AR$2</f>
        <v>0</v>
      </c>
      <c r="AS181" s="88">
        <f>SUMIF(月間集計シート!$M$134:$M$153,$G181,月間集計シート!N$134:N$153)*AS$2</f>
        <v>0</v>
      </c>
      <c r="AT181" s="88">
        <f>SUMIF(月間集計シート!$M$134:$M$153,$G181,月間集計シート!O$134:O$153)*AT$2</f>
        <v>0</v>
      </c>
      <c r="AU181" s="88">
        <f>SUMIF(月間集計シート!$M$134:$M$153,$G181,月間集計シート!P$134:P$153)*AU$2</f>
        <v>0</v>
      </c>
      <c r="AV181" s="88">
        <f>SUMIF(月間集計シート!$M$134:$M$153,$G181,月間集計シート!Q$134:Q$153)*AV$2</f>
        <v>0</v>
      </c>
      <c r="AW181" s="88">
        <f>SUMIF(月間集計シート!$M$134:$M$153,$G181,月間集計シート!R$134:R$153)*AW$2</f>
        <v>0</v>
      </c>
      <c r="AX181" s="88">
        <f>SUMIF(月間集計シート!$M$134:$M$153,$G181,月間集計シート!S$134:S$153)*AX$2</f>
        <v>0</v>
      </c>
      <c r="AY181" s="88">
        <f>SUMIF(月間集計シート!$M$134:$M$153,$G181,月間集計シート!T$134:T$153)*AY$2</f>
        <v>0</v>
      </c>
    </row>
    <row r="182" spans="1:51" ht="14.25" thickBot="1">
      <c r="A182">
        <v>3</v>
      </c>
      <c r="B182" s="120">
        <f t="shared" si="77"/>
        <v>0</v>
      </c>
      <c r="C182" s="120" t="str">
        <f t="shared" si="78"/>
        <v/>
      </c>
      <c r="D182" s="137"/>
      <c r="E182" s="150" t="str">
        <f>工種!A4</f>
        <v>10104</v>
      </c>
      <c r="F182" s="119" t="str">
        <f>工種!B4</f>
        <v>SRS：打合せ</v>
      </c>
      <c r="G182" s="116" t="str">
        <f t="shared" si="64"/>
        <v>010104</v>
      </c>
      <c r="H182" s="88">
        <f t="shared" si="71"/>
        <v>0</v>
      </c>
      <c r="I182" s="132"/>
      <c r="J182" s="88">
        <f>SUMIF(月間集計シート!$M$29:$M$48,$G182,月間集計シート!N$29:N$48)*J$2</f>
        <v>0</v>
      </c>
      <c r="K182" s="88">
        <f>SUMIF(月間集計シート!$M$29:$M$48,$G182,月間集計シート!O$29:O$48)*K$2</f>
        <v>0</v>
      </c>
      <c r="L182" s="88">
        <f>SUMIF(月間集計シート!$M$29:$M$48,$G182,月間集計シート!P$29:P$48)*L$2</f>
        <v>0</v>
      </c>
      <c r="M182" s="88">
        <f>SUMIF(月間集計シート!$M$29:$M$48,$G182,月間集計シート!Q$29:Q$48)*M$2</f>
        <v>0</v>
      </c>
      <c r="N182" s="88">
        <f>SUMIF(月間集計シート!$M$29:$M$48,$G182,月間集計シート!R$29:R$48)*N$2</f>
        <v>0</v>
      </c>
      <c r="O182" s="88">
        <f>SUMIF(月間集計シート!$M$29:$M$48,$G182,月間集計シート!S$29:S$48)*O$2</f>
        <v>0</v>
      </c>
      <c r="P182" s="88">
        <f>SUMIF(月間集計シート!$M$29:$M$48,$G182,月間集計シート!T$29:T$48)*P$2</f>
        <v>0</v>
      </c>
      <c r="Q182" s="88">
        <f>SUMIF(月間集計シート!$M$50:$M$69,$G182,月間集計シート!N$50:N$69)*Q$2</f>
        <v>0</v>
      </c>
      <c r="R182" s="88">
        <f>SUMIF(月間集計シート!$M$50:$M$69,$G182,月間集計シート!O$50:O$69)*R$2</f>
        <v>0</v>
      </c>
      <c r="S182" s="88">
        <f>SUMIF(月間集計シート!$M$50:$M$69,$G182,月間集計シート!P$50:P$69)*S$2</f>
        <v>0</v>
      </c>
      <c r="T182" s="88">
        <f>SUMIF(月間集計シート!$M$50:$M$69,$G182,月間集計シート!Q$50:Q$69)*T$2</f>
        <v>0</v>
      </c>
      <c r="U182" s="88">
        <f>SUMIF(月間集計シート!$M$50:$M$69,$G182,月間集計シート!R$50:R$69)*U$2</f>
        <v>0</v>
      </c>
      <c r="V182" s="88">
        <f>SUMIF(月間集計シート!$M$50:$M$69,$G182,月間集計シート!S$50:S$69)*V$2</f>
        <v>0</v>
      </c>
      <c r="W182" s="88">
        <f>SUMIF(月間集計シート!$M$50:$M$69,$G182,月間集計シート!T$50:T$69)*W$2</f>
        <v>0</v>
      </c>
      <c r="X182" s="88">
        <f>SUMIF(月間集計シート!$M$71:$M$90,$G182,月間集計シート!N$71:N$90)*X$2</f>
        <v>0</v>
      </c>
      <c r="Y182" s="88">
        <f>SUMIF(月間集計シート!$M$71:$M$90,$G182,月間集計シート!O$71:O$90)*Y$2</f>
        <v>0</v>
      </c>
      <c r="Z182" s="88">
        <f>SUMIF(月間集計シート!$M$71:$M$90,$G182,月間集計シート!P$71:P$90)*Z$2</f>
        <v>0</v>
      </c>
      <c r="AA182" s="88">
        <f>SUMIF(月間集計シート!$M$71:$M$90,$G182,月間集計シート!Q$71:Q$90)*AA$2</f>
        <v>0</v>
      </c>
      <c r="AB182" s="88">
        <f>SUMIF(月間集計シート!$M$71:$M$90,$G182,月間集計シート!R$71:R$90)*AB$2</f>
        <v>0</v>
      </c>
      <c r="AC182" s="88">
        <f>SUMIF(月間集計シート!$M$71:$M$90,$G182,月間集計シート!S$71:S$90)*AC$2</f>
        <v>0</v>
      </c>
      <c r="AD182" s="88">
        <f>SUMIF(月間集計シート!$M$71:$M$90,$G182,月間集計シート!T$71:T$90)*AD$2</f>
        <v>0</v>
      </c>
      <c r="AE182" s="88">
        <f>SUMIF(月間集計シート!$M$92:$M$111,$G182,月間集計シート!N$92:N$111)*AE$2</f>
        <v>0</v>
      </c>
      <c r="AF182" s="88">
        <f>SUMIF(月間集計シート!$M$92:$M$111,$G182,月間集計シート!O$92:O$111)*AF$2</f>
        <v>0</v>
      </c>
      <c r="AG182" s="88">
        <f>SUMIF(月間集計シート!$M$92:$M$111,$G182,月間集計シート!P$92:P$111)*AG$2</f>
        <v>0</v>
      </c>
      <c r="AH182" s="88">
        <f>SUMIF(月間集計シート!$M$92:$M$111,$G182,月間集計シート!Q$92:Q$111)*AH$2</f>
        <v>0</v>
      </c>
      <c r="AI182" s="88">
        <f>SUMIF(月間集計シート!$M$92:$M$111,$G182,月間集計シート!R$92:R$111)*AI$2</f>
        <v>0</v>
      </c>
      <c r="AJ182" s="88">
        <f>SUMIF(月間集計シート!$M$92:$M$111,$G182,月間集計シート!S$92:S$111)*AJ$2</f>
        <v>0</v>
      </c>
      <c r="AK182" s="88">
        <f>SUMIF(月間集計シート!$M$92:$M$111,$G182,月間集計シート!T$92:T$111)*AK$2</f>
        <v>0</v>
      </c>
      <c r="AL182" s="88">
        <f>SUMIF(月間集計シート!$M$113:$M$132,$G182,月間集計シート!N$113:N$132)*AL$2</f>
        <v>0</v>
      </c>
      <c r="AM182" s="88">
        <f>SUMIF(月間集計シート!$M$113:$M$132,$G182,月間集計シート!O$113:O$132)*AM$2</f>
        <v>0</v>
      </c>
      <c r="AN182" s="88">
        <f>SUMIF(月間集計シート!$M$113:$M$132,$G182,月間集計シート!P$113:P$132)*AN$2</f>
        <v>0</v>
      </c>
      <c r="AO182" s="88">
        <f>SUMIF(月間集計シート!$M$113:$M$132,$G182,月間集計シート!Q$113:Q$132)*AO$2</f>
        <v>0</v>
      </c>
      <c r="AP182" s="88">
        <f>SUMIF(月間集計シート!$M$113:$M$132,$G182,月間集計シート!R$113:R$132)*AP$2</f>
        <v>0</v>
      </c>
      <c r="AQ182" s="88">
        <f>SUMIF(月間集計シート!$M$113:$M$132,$G182,月間集計シート!S$113:S$132)*AQ$2</f>
        <v>0</v>
      </c>
      <c r="AR182" s="88">
        <f>SUMIF(月間集計シート!$M$113:$M$132,$G182,月間集計シート!T$113:T$132)*AR$2</f>
        <v>0</v>
      </c>
      <c r="AS182" s="88">
        <f>SUMIF(月間集計シート!$M$134:$M$153,$G182,月間集計シート!N$134:N$153)*AS$2</f>
        <v>0</v>
      </c>
      <c r="AT182" s="88">
        <f>SUMIF(月間集計シート!$M$134:$M$153,$G182,月間集計シート!O$134:O$153)*AT$2</f>
        <v>0</v>
      </c>
      <c r="AU182" s="88">
        <f>SUMIF(月間集計シート!$M$134:$M$153,$G182,月間集計シート!P$134:P$153)*AU$2</f>
        <v>0</v>
      </c>
      <c r="AV182" s="88">
        <f>SUMIF(月間集計シート!$M$134:$M$153,$G182,月間集計シート!Q$134:Q$153)*AV$2</f>
        <v>0</v>
      </c>
      <c r="AW182" s="88">
        <f>SUMIF(月間集計シート!$M$134:$M$153,$G182,月間集計シート!R$134:R$153)*AW$2</f>
        <v>0</v>
      </c>
      <c r="AX182" s="88">
        <f>SUMIF(月間集計シート!$M$134:$M$153,$G182,月間集計シート!S$134:S$153)*AX$2</f>
        <v>0</v>
      </c>
      <c r="AY182" s="88">
        <f>SUMIF(月間集計シート!$M$134:$M$153,$G182,月間集計シート!T$134:T$153)*AY$2</f>
        <v>0</v>
      </c>
    </row>
    <row r="183" spans="1:51" ht="14.25" thickBot="1">
      <c r="A183">
        <v>3</v>
      </c>
      <c r="B183" s="120">
        <f t="shared" si="77"/>
        <v>0</v>
      </c>
      <c r="C183" s="120" t="str">
        <f t="shared" si="78"/>
        <v/>
      </c>
      <c r="D183" s="137"/>
      <c r="E183" s="150" t="str">
        <f>工種!A5</f>
        <v>10105</v>
      </c>
      <c r="F183" s="119" t="str">
        <f>工種!B5</f>
        <v>SRS：レビュー</v>
      </c>
      <c r="G183" s="116" t="str">
        <f t="shared" ref="G183:G268" si="79">B183&amp;E183</f>
        <v>010105</v>
      </c>
      <c r="H183" s="88">
        <f t="shared" si="71"/>
        <v>0</v>
      </c>
      <c r="I183" s="132"/>
      <c r="J183" s="88">
        <f>SUMIF(月間集計シート!$M$29:$M$48,$G183,月間集計シート!N$29:N$48)*J$2</f>
        <v>0</v>
      </c>
      <c r="K183" s="88">
        <f>SUMIF(月間集計シート!$M$29:$M$48,$G183,月間集計シート!O$29:O$48)*K$2</f>
        <v>0</v>
      </c>
      <c r="L183" s="88">
        <f>SUMIF(月間集計シート!$M$29:$M$48,$G183,月間集計シート!P$29:P$48)*L$2</f>
        <v>0</v>
      </c>
      <c r="M183" s="88">
        <f>SUMIF(月間集計シート!$M$29:$M$48,$G183,月間集計シート!Q$29:Q$48)*M$2</f>
        <v>0</v>
      </c>
      <c r="N183" s="88">
        <f>SUMIF(月間集計シート!$M$29:$M$48,$G183,月間集計シート!R$29:R$48)*N$2</f>
        <v>0</v>
      </c>
      <c r="O183" s="88">
        <f>SUMIF(月間集計シート!$M$29:$M$48,$G183,月間集計シート!S$29:S$48)*O$2</f>
        <v>0</v>
      </c>
      <c r="P183" s="88">
        <f>SUMIF(月間集計シート!$M$29:$M$48,$G183,月間集計シート!T$29:T$48)*P$2</f>
        <v>0</v>
      </c>
      <c r="Q183" s="88">
        <f>SUMIF(月間集計シート!$M$50:$M$69,$G183,月間集計シート!N$50:N$69)*Q$2</f>
        <v>0</v>
      </c>
      <c r="R183" s="88">
        <f>SUMIF(月間集計シート!$M$50:$M$69,$G183,月間集計シート!O$50:O$69)*R$2</f>
        <v>0</v>
      </c>
      <c r="S183" s="88">
        <f>SUMIF(月間集計シート!$M$50:$M$69,$G183,月間集計シート!P$50:P$69)*S$2</f>
        <v>0</v>
      </c>
      <c r="T183" s="88">
        <f>SUMIF(月間集計シート!$M$50:$M$69,$G183,月間集計シート!Q$50:Q$69)*T$2</f>
        <v>0</v>
      </c>
      <c r="U183" s="88">
        <f>SUMIF(月間集計シート!$M$50:$M$69,$G183,月間集計シート!R$50:R$69)*U$2</f>
        <v>0</v>
      </c>
      <c r="V183" s="88">
        <f>SUMIF(月間集計シート!$M$50:$M$69,$G183,月間集計シート!S$50:S$69)*V$2</f>
        <v>0</v>
      </c>
      <c r="W183" s="88">
        <f>SUMIF(月間集計シート!$M$50:$M$69,$G183,月間集計シート!T$50:T$69)*W$2</f>
        <v>0</v>
      </c>
      <c r="X183" s="88">
        <f>SUMIF(月間集計シート!$M$71:$M$90,$G183,月間集計シート!N$71:N$90)*X$2</f>
        <v>0</v>
      </c>
      <c r="Y183" s="88">
        <f>SUMIF(月間集計シート!$M$71:$M$90,$G183,月間集計シート!O$71:O$90)*Y$2</f>
        <v>0</v>
      </c>
      <c r="Z183" s="88">
        <f>SUMIF(月間集計シート!$M$71:$M$90,$G183,月間集計シート!P$71:P$90)*Z$2</f>
        <v>0</v>
      </c>
      <c r="AA183" s="88">
        <f>SUMIF(月間集計シート!$M$71:$M$90,$G183,月間集計シート!Q$71:Q$90)*AA$2</f>
        <v>0</v>
      </c>
      <c r="AB183" s="88">
        <f>SUMIF(月間集計シート!$M$71:$M$90,$G183,月間集計シート!R$71:R$90)*AB$2</f>
        <v>0</v>
      </c>
      <c r="AC183" s="88">
        <f>SUMIF(月間集計シート!$M$71:$M$90,$G183,月間集計シート!S$71:S$90)*AC$2</f>
        <v>0</v>
      </c>
      <c r="AD183" s="88">
        <f>SUMIF(月間集計シート!$M$71:$M$90,$G183,月間集計シート!T$71:T$90)*AD$2</f>
        <v>0</v>
      </c>
      <c r="AE183" s="88">
        <f>SUMIF(月間集計シート!$M$92:$M$111,$G183,月間集計シート!N$92:N$111)*AE$2</f>
        <v>0</v>
      </c>
      <c r="AF183" s="88">
        <f>SUMIF(月間集計シート!$M$92:$M$111,$G183,月間集計シート!O$92:O$111)*AF$2</f>
        <v>0</v>
      </c>
      <c r="AG183" s="88">
        <f>SUMIF(月間集計シート!$M$92:$M$111,$G183,月間集計シート!P$92:P$111)*AG$2</f>
        <v>0</v>
      </c>
      <c r="AH183" s="88">
        <f>SUMIF(月間集計シート!$M$92:$M$111,$G183,月間集計シート!Q$92:Q$111)*AH$2</f>
        <v>0</v>
      </c>
      <c r="AI183" s="88">
        <f>SUMIF(月間集計シート!$M$92:$M$111,$G183,月間集計シート!R$92:R$111)*AI$2</f>
        <v>0</v>
      </c>
      <c r="AJ183" s="88">
        <f>SUMIF(月間集計シート!$M$92:$M$111,$G183,月間集計シート!S$92:S$111)*AJ$2</f>
        <v>0</v>
      </c>
      <c r="AK183" s="88">
        <f>SUMIF(月間集計シート!$M$92:$M$111,$G183,月間集計シート!T$92:T$111)*AK$2</f>
        <v>0</v>
      </c>
      <c r="AL183" s="88">
        <f>SUMIF(月間集計シート!$M$113:$M$132,$G183,月間集計シート!N$113:N$132)*AL$2</f>
        <v>0</v>
      </c>
      <c r="AM183" s="88">
        <f>SUMIF(月間集計シート!$M$113:$M$132,$G183,月間集計シート!O$113:O$132)*AM$2</f>
        <v>0</v>
      </c>
      <c r="AN183" s="88">
        <f>SUMIF(月間集計シート!$M$113:$M$132,$G183,月間集計シート!P$113:P$132)*AN$2</f>
        <v>0</v>
      </c>
      <c r="AO183" s="88">
        <f>SUMIF(月間集計シート!$M$113:$M$132,$G183,月間集計シート!Q$113:Q$132)*AO$2</f>
        <v>0</v>
      </c>
      <c r="AP183" s="88">
        <f>SUMIF(月間集計シート!$M$113:$M$132,$G183,月間集計シート!R$113:R$132)*AP$2</f>
        <v>0</v>
      </c>
      <c r="AQ183" s="88">
        <f>SUMIF(月間集計シート!$M$113:$M$132,$G183,月間集計シート!S$113:S$132)*AQ$2</f>
        <v>0</v>
      </c>
      <c r="AR183" s="88">
        <f>SUMIF(月間集計シート!$M$113:$M$132,$G183,月間集計シート!T$113:T$132)*AR$2</f>
        <v>0</v>
      </c>
      <c r="AS183" s="88">
        <f>SUMIF(月間集計シート!$M$134:$M$153,$G183,月間集計シート!N$134:N$153)*AS$2</f>
        <v>0</v>
      </c>
      <c r="AT183" s="88">
        <f>SUMIF(月間集計シート!$M$134:$M$153,$G183,月間集計シート!O$134:O$153)*AT$2</f>
        <v>0</v>
      </c>
      <c r="AU183" s="88">
        <f>SUMIF(月間集計シート!$M$134:$M$153,$G183,月間集計シート!P$134:P$153)*AU$2</f>
        <v>0</v>
      </c>
      <c r="AV183" s="88">
        <f>SUMIF(月間集計シート!$M$134:$M$153,$G183,月間集計シート!Q$134:Q$153)*AV$2</f>
        <v>0</v>
      </c>
      <c r="AW183" s="88">
        <f>SUMIF(月間集計シート!$M$134:$M$153,$G183,月間集計シート!R$134:R$153)*AW$2</f>
        <v>0</v>
      </c>
      <c r="AX183" s="88">
        <f>SUMIF(月間集計シート!$M$134:$M$153,$G183,月間集計シート!S$134:S$153)*AX$2</f>
        <v>0</v>
      </c>
      <c r="AY183" s="88">
        <f>SUMIF(月間集計シート!$M$134:$M$153,$G183,月間集計シート!T$134:T$153)*AY$2</f>
        <v>0</v>
      </c>
    </row>
    <row r="184" spans="1:51" ht="14.25" thickBot="1">
      <c r="A184">
        <v>3</v>
      </c>
      <c r="B184" s="120">
        <f t="shared" si="77"/>
        <v>0</v>
      </c>
      <c r="C184" s="120" t="str">
        <f t="shared" si="78"/>
        <v/>
      </c>
      <c r="D184" s="137"/>
      <c r="E184" s="150" t="str">
        <f>工種!A6</f>
        <v>10199</v>
      </c>
      <c r="F184" s="119" t="str">
        <f>工種!B6</f>
        <v>SRS：その他</v>
      </c>
      <c r="G184" s="116" t="str">
        <f t="shared" si="79"/>
        <v>010199</v>
      </c>
      <c r="H184" s="88">
        <f t="shared" si="71"/>
        <v>0</v>
      </c>
      <c r="I184" s="132"/>
      <c r="J184" s="88">
        <f>SUMIF(月間集計シート!$M$29:$M$48,$G184,月間集計シート!N$29:N$48)*J$2</f>
        <v>0</v>
      </c>
      <c r="K184" s="88">
        <f>SUMIF(月間集計シート!$M$29:$M$48,$G184,月間集計シート!O$29:O$48)*K$2</f>
        <v>0</v>
      </c>
      <c r="L184" s="88">
        <f>SUMIF(月間集計シート!$M$29:$M$48,$G184,月間集計シート!P$29:P$48)*L$2</f>
        <v>0</v>
      </c>
      <c r="M184" s="88">
        <f>SUMIF(月間集計シート!$M$29:$M$48,$G184,月間集計シート!Q$29:Q$48)*M$2</f>
        <v>0</v>
      </c>
      <c r="N184" s="88">
        <f>SUMIF(月間集計シート!$M$29:$M$48,$G184,月間集計シート!R$29:R$48)*N$2</f>
        <v>0</v>
      </c>
      <c r="O184" s="88">
        <f>SUMIF(月間集計シート!$M$29:$M$48,$G184,月間集計シート!S$29:S$48)*O$2</f>
        <v>0</v>
      </c>
      <c r="P184" s="88">
        <f>SUMIF(月間集計シート!$M$29:$M$48,$G184,月間集計シート!T$29:T$48)*P$2</f>
        <v>0</v>
      </c>
      <c r="Q184" s="88">
        <f>SUMIF(月間集計シート!$M$50:$M$69,$G184,月間集計シート!N$50:N$69)*Q$2</f>
        <v>0</v>
      </c>
      <c r="R184" s="88">
        <f>SUMIF(月間集計シート!$M$50:$M$69,$G184,月間集計シート!O$50:O$69)*R$2</f>
        <v>0</v>
      </c>
      <c r="S184" s="88">
        <f>SUMIF(月間集計シート!$M$50:$M$69,$G184,月間集計シート!P$50:P$69)*S$2</f>
        <v>0</v>
      </c>
      <c r="T184" s="88">
        <f>SUMIF(月間集計シート!$M$50:$M$69,$G184,月間集計シート!Q$50:Q$69)*T$2</f>
        <v>0</v>
      </c>
      <c r="U184" s="88">
        <f>SUMIF(月間集計シート!$M$50:$M$69,$G184,月間集計シート!R$50:R$69)*U$2</f>
        <v>0</v>
      </c>
      <c r="V184" s="88">
        <f>SUMIF(月間集計シート!$M$50:$M$69,$G184,月間集計シート!S$50:S$69)*V$2</f>
        <v>0</v>
      </c>
      <c r="W184" s="88">
        <f>SUMIF(月間集計シート!$M$50:$M$69,$G184,月間集計シート!T$50:T$69)*W$2</f>
        <v>0</v>
      </c>
      <c r="X184" s="88">
        <f>SUMIF(月間集計シート!$M$71:$M$90,$G184,月間集計シート!N$71:N$90)*X$2</f>
        <v>0</v>
      </c>
      <c r="Y184" s="88">
        <f>SUMIF(月間集計シート!$M$71:$M$90,$G184,月間集計シート!O$71:O$90)*Y$2</f>
        <v>0</v>
      </c>
      <c r="Z184" s="88">
        <f>SUMIF(月間集計シート!$M$71:$M$90,$G184,月間集計シート!P$71:P$90)*Z$2</f>
        <v>0</v>
      </c>
      <c r="AA184" s="88">
        <f>SUMIF(月間集計シート!$M$71:$M$90,$G184,月間集計シート!Q$71:Q$90)*AA$2</f>
        <v>0</v>
      </c>
      <c r="AB184" s="88">
        <f>SUMIF(月間集計シート!$M$71:$M$90,$G184,月間集計シート!R$71:R$90)*AB$2</f>
        <v>0</v>
      </c>
      <c r="AC184" s="88">
        <f>SUMIF(月間集計シート!$M$71:$M$90,$G184,月間集計シート!S$71:S$90)*AC$2</f>
        <v>0</v>
      </c>
      <c r="AD184" s="88">
        <f>SUMIF(月間集計シート!$M$71:$M$90,$G184,月間集計シート!T$71:T$90)*AD$2</f>
        <v>0</v>
      </c>
      <c r="AE184" s="88">
        <f>SUMIF(月間集計シート!$M$92:$M$111,$G184,月間集計シート!N$92:N$111)*AE$2</f>
        <v>0</v>
      </c>
      <c r="AF184" s="88">
        <f>SUMIF(月間集計シート!$M$92:$M$111,$G184,月間集計シート!O$92:O$111)*AF$2</f>
        <v>0</v>
      </c>
      <c r="AG184" s="88">
        <f>SUMIF(月間集計シート!$M$92:$M$111,$G184,月間集計シート!P$92:P$111)*AG$2</f>
        <v>0</v>
      </c>
      <c r="AH184" s="88">
        <f>SUMIF(月間集計シート!$M$92:$M$111,$G184,月間集計シート!Q$92:Q$111)*AH$2</f>
        <v>0</v>
      </c>
      <c r="AI184" s="88">
        <f>SUMIF(月間集計シート!$M$92:$M$111,$G184,月間集計シート!R$92:R$111)*AI$2</f>
        <v>0</v>
      </c>
      <c r="AJ184" s="88">
        <f>SUMIF(月間集計シート!$M$92:$M$111,$G184,月間集計シート!S$92:S$111)*AJ$2</f>
        <v>0</v>
      </c>
      <c r="AK184" s="88">
        <f>SUMIF(月間集計シート!$M$92:$M$111,$G184,月間集計シート!T$92:T$111)*AK$2</f>
        <v>0</v>
      </c>
      <c r="AL184" s="88">
        <f>SUMIF(月間集計シート!$M$113:$M$132,$G184,月間集計シート!N$113:N$132)*AL$2</f>
        <v>0</v>
      </c>
      <c r="AM184" s="88">
        <f>SUMIF(月間集計シート!$M$113:$M$132,$G184,月間集計シート!O$113:O$132)*AM$2</f>
        <v>0</v>
      </c>
      <c r="AN184" s="88">
        <f>SUMIF(月間集計シート!$M$113:$M$132,$G184,月間集計シート!P$113:P$132)*AN$2</f>
        <v>0</v>
      </c>
      <c r="AO184" s="88">
        <f>SUMIF(月間集計シート!$M$113:$M$132,$G184,月間集計シート!Q$113:Q$132)*AO$2</f>
        <v>0</v>
      </c>
      <c r="AP184" s="88">
        <f>SUMIF(月間集計シート!$M$113:$M$132,$G184,月間集計シート!R$113:R$132)*AP$2</f>
        <v>0</v>
      </c>
      <c r="AQ184" s="88">
        <f>SUMIF(月間集計シート!$M$113:$M$132,$G184,月間集計シート!S$113:S$132)*AQ$2</f>
        <v>0</v>
      </c>
      <c r="AR184" s="88">
        <f>SUMIF(月間集計シート!$M$113:$M$132,$G184,月間集計シート!T$113:T$132)*AR$2</f>
        <v>0</v>
      </c>
      <c r="AS184" s="88">
        <f>SUMIF(月間集計シート!$M$134:$M$153,$G184,月間集計シート!N$134:N$153)*AS$2</f>
        <v>0</v>
      </c>
      <c r="AT184" s="88">
        <f>SUMIF(月間集計シート!$M$134:$M$153,$G184,月間集計シート!O$134:O$153)*AT$2</f>
        <v>0</v>
      </c>
      <c r="AU184" s="88">
        <f>SUMIF(月間集計シート!$M$134:$M$153,$G184,月間集計シート!P$134:P$153)*AU$2</f>
        <v>0</v>
      </c>
      <c r="AV184" s="88">
        <f>SUMIF(月間集計シート!$M$134:$M$153,$G184,月間集計シート!Q$134:Q$153)*AV$2</f>
        <v>0</v>
      </c>
      <c r="AW184" s="88">
        <f>SUMIF(月間集計シート!$M$134:$M$153,$G184,月間集計シート!R$134:R$153)*AW$2</f>
        <v>0</v>
      </c>
      <c r="AX184" s="88">
        <f>SUMIF(月間集計シート!$M$134:$M$153,$G184,月間集計シート!S$134:S$153)*AX$2</f>
        <v>0</v>
      </c>
      <c r="AY184" s="88">
        <f>SUMIF(月間集計シート!$M$134:$M$153,$G184,月間集計シート!T$134:T$153)*AY$2</f>
        <v>0</v>
      </c>
    </row>
    <row r="185" spans="1:51" ht="14.25" thickBot="1">
      <c r="A185">
        <v>3</v>
      </c>
      <c r="B185" s="120">
        <f t="shared" si="77"/>
        <v>0</v>
      </c>
      <c r="C185" s="120" t="str">
        <f t="shared" si="78"/>
        <v/>
      </c>
      <c r="D185" s="137"/>
      <c r="E185" s="150" t="str">
        <f>工種!A7</f>
        <v>20101</v>
      </c>
      <c r="F185" s="119" t="str">
        <f>工種!B7</f>
        <v>設計：外部設計書作成</v>
      </c>
      <c r="G185" s="116" t="str">
        <f t="shared" si="79"/>
        <v>020101</v>
      </c>
      <c r="H185" s="88">
        <f t="shared" si="71"/>
        <v>0</v>
      </c>
      <c r="I185" s="132"/>
      <c r="J185" s="88">
        <f>SUMIF(月間集計シート!$M$29:$M$48,$G185,月間集計シート!N$29:N$48)*J$2</f>
        <v>0</v>
      </c>
      <c r="K185" s="88">
        <f>SUMIF(月間集計シート!$M$29:$M$48,$G185,月間集計シート!O$29:O$48)*K$2</f>
        <v>0</v>
      </c>
      <c r="L185" s="88">
        <f>SUMIF(月間集計シート!$M$29:$M$48,$G185,月間集計シート!P$29:P$48)*L$2</f>
        <v>0</v>
      </c>
      <c r="M185" s="88">
        <f>SUMIF(月間集計シート!$M$29:$M$48,$G185,月間集計シート!Q$29:Q$48)*M$2</f>
        <v>0</v>
      </c>
      <c r="N185" s="88">
        <f>SUMIF(月間集計シート!$M$29:$M$48,$G185,月間集計シート!R$29:R$48)*N$2</f>
        <v>0</v>
      </c>
      <c r="O185" s="88">
        <f>SUMIF(月間集計シート!$M$29:$M$48,$G185,月間集計シート!S$29:S$48)*O$2</f>
        <v>0</v>
      </c>
      <c r="P185" s="88">
        <f>SUMIF(月間集計シート!$M$29:$M$48,$G185,月間集計シート!T$29:T$48)*P$2</f>
        <v>0</v>
      </c>
      <c r="Q185" s="88">
        <f>SUMIF(月間集計シート!$M$50:$M$69,$G185,月間集計シート!N$50:N$69)*Q$2</f>
        <v>0</v>
      </c>
      <c r="R185" s="88">
        <f>SUMIF(月間集計シート!$M$50:$M$69,$G185,月間集計シート!O$50:O$69)*R$2</f>
        <v>0</v>
      </c>
      <c r="S185" s="88">
        <f>SUMIF(月間集計シート!$M$50:$M$69,$G185,月間集計シート!P$50:P$69)*S$2</f>
        <v>0</v>
      </c>
      <c r="T185" s="88">
        <f>SUMIF(月間集計シート!$M$50:$M$69,$G185,月間集計シート!Q$50:Q$69)*T$2</f>
        <v>0</v>
      </c>
      <c r="U185" s="88">
        <f>SUMIF(月間集計シート!$M$50:$M$69,$G185,月間集計シート!R$50:R$69)*U$2</f>
        <v>0</v>
      </c>
      <c r="V185" s="88">
        <f>SUMIF(月間集計シート!$M$50:$M$69,$G185,月間集計シート!S$50:S$69)*V$2</f>
        <v>0</v>
      </c>
      <c r="W185" s="88">
        <f>SUMIF(月間集計シート!$M$50:$M$69,$G185,月間集計シート!T$50:T$69)*W$2</f>
        <v>0</v>
      </c>
      <c r="X185" s="88">
        <f>SUMIF(月間集計シート!$M$71:$M$90,$G185,月間集計シート!N$71:N$90)*X$2</f>
        <v>0</v>
      </c>
      <c r="Y185" s="88">
        <f>SUMIF(月間集計シート!$M$71:$M$90,$G185,月間集計シート!O$71:O$90)*Y$2</f>
        <v>0</v>
      </c>
      <c r="Z185" s="88">
        <f>SUMIF(月間集計シート!$M$71:$M$90,$G185,月間集計シート!P$71:P$90)*Z$2</f>
        <v>0</v>
      </c>
      <c r="AA185" s="88">
        <f>SUMIF(月間集計シート!$M$71:$M$90,$G185,月間集計シート!Q$71:Q$90)*AA$2</f>
        <v>0</v>
      </c>
      <c r="AB185" s="88">
        <f>SUMIF(月間集計シート!$M$71:$M$90,$G185,月間集計シート!R$71:R$90)*AB$2</f>
        <v>0</v>
      </c>
      <c r="AC185" s="88">
        <f>SUMIF(月間集計シート!$M$71:$M$90,$G185,月間集計シート!S$71:S$90)*AC$2</f>
        <v>0</v>
      </c>
      <c r="AD185" s="88">
        <f>SUMIF(月間集計シート!$M$71:$M$90,$G185,月間集計シート!T$71:T$90)*AD$2</f>
        <v>0</v>
      </c>
      <c r="AE185" s="88">
        <f>SUMIF(月間集計シート!$M$92:$M$111,$G185,月間集計シート!N$92:N$111)*AE$2</f>
        <v>0</v>
      </c>
      <c r="AF185" s="88">
        <f>SUMIF(月間集計シート!$M$92:$M$111,$G185,月間集計シート!O$92:O$111)*AF$2</f>
        <v>0</v>
      </c>
      <c r="AG185" s="88">
        <f>SUMIF(月間集計シート!$M$92:$M$111,$G185,月間集計シート!P$92:P$111)*AG$2</f>
        <v>0</v>
      </c>
      <c r="AH185" s="88">
        <f>SUMIF(月間集計シート!$M$92:$M$111,$G185,月間集計シート!Q$92:Q$111)*AH$2</f>
        <v>0</v>
      </c>
      <c r="AI185" s="88">
        <f>SUMIF(月間集計シート!$M$92:$M$111,$G185,月間集計シート!R$92:R$111)*AI$2</f>
        <v>0</v>
      </c>
      <c r="AJ185" s="88">
        <f>SUMIF(月間集計シート!$M$92:$M$111,$G185,月間集計シート!S$92:S$111)*AJ$2</f>
        <v>0</v>
      </c>
      <c r="AK185" s="88">
        <f>SUMIF(月間集計シート!$M$92:$M$111,$G185,月間集計シート!T$92:T$111)*AK$2</f>
        <v>0</v>
      </c>
      <c r="AL185" s="88">
        <f>SUMIF(月間集計シート!$M$113:$M$132,$G185,月間集計シート!N$113:N$132)*AL$2</f>
        <v>0</v>
      </c>
      <c r="AM185" s="88">
        <f>SUMIF(月間集計シート!$M$113:$M$132,$G185,月間集計シート!O$113:O$132)*AM$2</f>
        <v>0</v>
      </c>
      <c r="AN185" s="88">
        <f>SUMIF(月間集計シート!$M$113:$M$132,$G185,月間集計シート!P$113:P$132)*AN$2</f>
        <v>0</v>
      </c>
      <c r="AO185" s="88">
        <f>SUMIF(月間集計シート!$M$113:$M$132,$G185,月間集計シート!Q$113:Q$132)*AO$2</f>
        <v>0</v>
      </c>
      <c r="AP185" s="88">
        <f>SUMIF(月間集計シート!$M$113:$M$132,$G185,月間集計シート!R$113:R$132)*AP$2</f>
        <v>0</v>
      </c>
      <c r="AQ185" s="88">
        <f>SUMIF(月間集計シート!$M$113:$M$132,$G185,月間集計シート!S$113:S$132)*AQ$2</f>
        <v>0</v>
      </c>
      <c r="AR185" s="88">
        <f>SUMIF(月間集計シート!$M$113:$M$132,$G185,月間集計シート!T$113:T$132)*AR$2</f>
        <v>0</v>
      </c>
      <c r="AS185" s="88">
        <f>SUMIF(月間集計シート!$M$134:$M$153,$G185,月間集計シート!N$134:N$153)*AS$2</f>
        <v>0</v>
      </c>
      <c r="AT185" s="88">
        <f>SUMIF(月間集計シート!$M$134:$M$153,$G185,月間集計シート!O$134:O$153)*AT$2</f>
        <v>0</v>
      </c>
      <c r="AU185" s="88">
        <f>SUMIF(月間集計シート!$M$134:$M$153,$G185,月間集計シート!P$134:P$153)*AU$2</f>
        <v>0</v>
      </c>
      <c r="AV185" s="88">
        <f>SUMIF(月間集計シート!$M$134:$M$153,$G185,月間集計シート!Q$134:Q$153)*AV$2</f>
        <v>0</v>
      </c>
      <c r="AW185" s="88">
        <f>SUMIF(月間集計シート!$M$134:$M$153,$G185,月間集計シート!R$134:R$153)*AW$2</f>
        <v>0</v>
      </c>
      <c r="AX185" s="88">
        <f>SUMIF(月間集計シート!$M$134:$M$153,$G185,月間集計シート!S$134:S$153)*AX$2</f>
        <v>0</v>
      </c>
      <c r="AY185" s="88">
        <f>SUMIF(月間集計シート!$M$134:$M$153,$G185,月間集計シート!T$134:T$153)*AY$2</f>
        <v>0</v>
      </c>
    </row>
    <row r="186" spans="1:51" ht="14.25" thickBot="1">
      <c r="A186">
        <v>3</v>
      </c>
      <c r="B186" s="120">
        <f t="shared" si="77"/>
        <v>0</v>
      </c>
      <c r="C186" s="120" t="str">
        <f t="shared" si="78"/>
        <v/>
      </c>
      <c r="D186" s="137"/>
      <c r="E186" s="150" t="str">
        <f>工種!A8</f>
        <v>20103</v>
      </c>
      <c r="F186" s="119" t="str">
        <f>工種!B8</f>
        <v>設計：打合せ</v>
      </c>
      <c r="G186" s="116" t="str">
        <f t="shared" si="79"/>
        <v>020103</v>
      </c>
      <c r="H186" s="88">
        <f t="shared" si="71"/>
        <v>0</v>
      </c>
      <c r="I186" s="132"/>
      <c r="J186" s="88">
        <f>SUMIF(月間集計シート!$M$29:$M$48,$G186,月間集計シート!N$29:N$48)*J$2</f>
        <v>0</v>
      </c>
      <c r="K186" s="88">
        <f>SUMIF(月間集計シート!$M$29:$M$48,$G186,月間集計シート!O$29:O$48)*K$2</f>
        <v>0</v>
      </c>
      <c r="L186" s="88">
        <f>SUMIF(月間集計シート!$M$29:$M$48,$G186,月間集計シート!P$29:P$48)*L$2</f>
        <v>0</v>
      </c>
      <c r="M186" s="88">
        <f>SUMIF(月間集計シート!$M$29:$M$48,$G186,月間集計シート!Q$29:Q$48)*M$2</f>
        <v>0</v>
      </c>
      <c r="N186" s="88">
        <f>SUMIF(月間集計シート!$M$29:$M$48,$G186,月間集計シート!R$29:R$48)*N$2</f>
        <v>0</v>
      </c>
      <c r="O186" s="88">
        <f>SUMIF(月間集計シート!$M$29:$M$48,$G186,月間集計シート!S$29:S$48)*O$2</f>
        <v>0</v>
      </c>
      <c r="P186" s="88">
        <f>SUMIF(月間集計シート!$M$29:$M$48,$G186,月間集計シート!T$29:T$48)*P$2</f>
        <v>0</v>
      </c>
      <c r="Q186" s="88">
        <f>SUMIF(月間集計シート!$M$50:$M$69,$G186,月間集計シート!N$50:N$69)*Q$2</f>
        <v>0</v>
      </c>
      <c r="R186" s="88">
        <f>SUMIF(月間集計シート!$M$50:$M$69,$G186,月間集計シート!O$50:O$69)*R$2</f>
        <v>0</v>
      </c>
      <c r="S186" s="88">
        <f>SUMIF(月間集計シート!$M$50:$M$69,$G186,月間集計シート!P$50:P$69)*S$2</f>
        <v>0</v>
      </c>
      <c r="T186" s="88">
        <f>SUMIF(月間集計シート!$M$50:$M$69,$G186,月間集計シート!Q$50:Q$69)*T$2</f>
        <v>0</v>
      </c>
      <c r="U186" s="88">
        <f>SUMIF(月間集計シート!$M$50:$M$69,$G186,月間集計シート!R$50:R$69)*U$2</f>
        <v>0</v>
      </c>
      <c r="V186" s="88">
        <f>SUMIF(月間集計シート!$M$50:$M$69,$G186,月間集計シート!S$50:S$69)*V$2</f>
        <v>0</v>
      </c>
      <c r="W186" s="88">
        <f>SUMIF(月間集計シート!$M$50:$M$69,$G186,月間集計シート!T$50:T$69)*W$2</f>
        <v>0</v>
      </c>
      <c r="X186" s="88">
        <f>SUMIF(月間集計シート!$M$71:$M$90,$G186,月間集計シート!N$71:N$90)*X$2</f>
        <v>0</v>
      </c>
      <c r="Y186" s="88">
        <f>SUMIF(月間集計シート!$M$71:$M$90,$G186,月間集計シート!O$71:O$90)*Y$2</f>
        <v>0</v>
      </c>
      <c r="Z186" s="88">
        <f>SUMIF(月間集計シート!$M$71:$M$90,$G186,月間集計シート!P$71:P$90)*Z$2</f>
        <v>0</v>
      </c>
      <c r="AA186" s="88">
        <f>SUMIF(月間集計シート!$M$71:$M$90,$G186,月間集計シート!Q$71:Q$90)*AA$2</f>
        <v>0</v>
      </c>
      <c r="AB186" s="88">
        <f>SUMIF(月間集計シート!$M$71:$M$90,$G186,月間集計シート!R$71:R$90)*AB$2</f>
        <v>0</v>
      </c>
      <c r="AC186" s="88">
        <f>SUMIF(月間集計シート!$M$71:$M$90,$G186,月間集計シート!S$71:S$90)*AC$2</f>
        <v>0</v>
      </c>
      <c r="AD186" s="88">
        <f>SUMIF(月間集計シート!$M$71:$M$90,$G186,月間集計シート!T$71:T$90)*AD$2</f>
        <v>0</v>
      </c>
      <c r="AE186" s="88">
        <f>SUMIF(月間集計シート!$M$92:$M$111,$G186,月間集計シート!N$92:N$111)*AE$2</f>
        <v>0</v>
      </c>
      <c r="AF186" s="88">
        <f>SUMIF(月間集計シート!$M$92:$M$111,$G186,月間集計シート!O$92:O$111)*AF$2</f>
        <v>0</v>
      </c>
      <c r="AG186" s="88">
        <f>SUMIF(月間集計シート!$M$92:$M$111,$G186,月間集計シート!P$92:P$111)*AG$2</f>
        <v>0</v>
      </c>
      <c r="AH186" s="88">
        <f>SUMIF(月間集計シート!$M$92:$M$111,$G186,月間集計シート!Q$92:Q$111)*AH$2</f>
        <v>0</v>
      </c>
      <c r="AI186" s="88">
        <f>SUMIF(月間集計シート!$M$92:$M$111,$G186,月間集計シート!R$92:R$111)*AI$2</f>
        <v>0</v>
      </c>
      <c r="AJ186" s="88">
        <f>SUMIF(月間集計シート!$M$92:$M$111,$G186,月間集計シート!S$92:S$111)*AJ$2</f>
        <v>0</v>
      </c>
      <c r="AK186" s="88">
        <f>SUMIF(月間集計シート!$M$92:$M$111,$G186,月間集計シート!T$92:T$111)*AK$2</f>
        <v>0</v>
      </c>
      <c r="AL186" s="88">
        <f>SUMIF(月間集計シート!$M$113:$M$132,$G186,月間集計シート!N$113:N$132)*AL$2</f>
        <v>0</v>
      </c>
      <c r="AM186" s="88">
        <f>SUMIF(月間集計シート!$M$113:$M$132,$G186,月間集計シート!O$113:O$132)*AM$2</f>
        <v>0</v>
      </c>
      <c r="AN186" s="88">
        <f>SUMIF(月間集計シート!$M$113:$M$132,$G186,月間集計シート!P$113:P$132)*AN$2</f>
        <v>0</v>
      </c>
      <c r="AO186" s="88">
        <f>SUMIF(月間集計シート!$M$113:$M$132,$G186,月間集計シート!Q$113:Q$132)*AO$2</f>
        <v>0</v>
      </c>
      <c r="AP186" s="88">
        <f>SUMIF(月間集計シート!$M$113:$M$132,$G186,月間集計シート!R$113:R$132)*AP$2</f>
        <v>0</v>
      </c>
      <c r="AQ186" s="88">
        <f>SUMIF(月間集計シート!$M$113:$M$132,$G186,月間集計シート!S$113:S$132)*AQ$2</f>
        <v>0</v>
      </c>
      <c r="AR186" s="88">
        <f>SUMIF(月間集計シート!$M$113:$M$132,$G186,月間集計シート!T$113:T$132)*AR$2</f>
        <v>0</v>
      </c>
      <c r="AS186" s="88">
        <f>SUMIF(月間集計シート!$M$134:$M$153,$G186,月間集計シート!N$134:N$153)*AS$2</f>
        <v>0</v>
      </c>
      <c r="AT186" s="88">
        <f>SUMIF(月間集計シート!$M$134:$M$153,$G186,月間集計シート!O$134:O$153)*AT$2</f>
        <v>0</v>
      </c>
      <c r="AU186" s="88">
        <f>SUMIF(月間集計シート!$M$134:$M$153,$G186,月間集計シート!P$134:P$153)*AU$2</f>
        <v>0</v>
      </c>
      <c r="AV186" s="88">
        <f>SUMIF(月間集計シート!$M$134:$M$153,$G186,月間集計シート!Q$134:Q$153)*AV$2</f>
        <v>0</v>
      </c>
      <c r="AW186" s="88">
        <f>SUMIF(月間集計シート!$M$134:$M$153,$G186,月間集計シート!R$134:R$153)*AW$2</f>
        <v>0</v>
      </c>
      <c r="AX186" s="88">
        <f>SUMIF(月間集計シート!$M$134:$M$153,$G186,月間集計シート!S$134:S$153)*AX$2</f>
        <v>0</v>
      </c>
      <c r="AY186" s="88">
        <f>SUMIF(月間集計シート!$M$134:$M$153,$G186,月間集計シート!T$134:T$153)*AY$2</f>
        <v>0</v>
      </c>
    </row>
    <row r="187" spans="1:51" ht="14.25" thickBot="1">
      <c r="A187">
        <v>3</v>
      </c>
      <c r="B187" s="120">
        <f t="shared" si="77"/>
        <v>0</v>
      </c>
      <c r="C187" s="120" t="str">
        <f t="shared" si="78"/>
        <v/>
      </c>
      <c r="D187" s="137"/>
      <c r="E187" s="150">
        <f>工種!A9</f>
        <v>20105</v>
      </c>
      <c r="F187" s="119" t="str">
        <f>工種!B9</f>
        <v>設計：原因調査・影響範囲分析・変更仕様作成</v>
      </c>
      <c r="G187" s="116" t="str">
        <f t="shared" si="79"/>
        <v>020105</v>
      </c>
      <c r="H187" s="88">
        <f t="shared" si="71"/>
        <v>0</v>
      </c>
      <c r="I187" s="132"/>
      <c r="J187" s="88">
        <f>SUMIF(月間集計シート!$M$29:$M$48,$G187,月間集計シート!N$29:N$48)*J$2</f>
        <v>0</v>
      </c>
      <c r="K187" s="88">
        <f>SUMIF(月間集計シート!$M$29:$M$48,$G187,月間集計シート!O$29:O$48)*K$2</f>
        <v>0</v>
      </c>
      <c r="L187" s="88">
        <f>SUMIF(月間集計シート!$M$29:$M$48,$G187,月間集計シート!P$29:P$48)*L$2</f>
        <v>0</v>
      </c>
      <c r="M187" s="88">
        <f>SUMIF(月間集計シート!$M$29:$M$48,$G187,月間集計シート!Q$29:Q$48)*M$2</f>
        <v>0</v>
      </c>
      <c r="N187" s="88">
        <f>SUMIF(月間集計シート!$M$29:$M$48,$G187,月間集計シート!R$29:R$48)*N$2</f>
        <v>0</v>
      </c>
      <c r="O187" s="88">
        <f>SUMIF(月間集計シート!$M$29:$M$48,$G187,月間集計シート!S$29:S$48)*O$2</f>
        <v>0</v>
      </c>
      <c r="P187" s="88">
        <f>SUMIF(月間集計シート!$M$29:$M$48,$G187,月間集計シート!T$29:T$48)*P$2</f>
        <v>0</v>
      </c>
      <c r="Q187" s="88">
        <f>SUMIF(月間集計シート!$M$50:$M$69,$G187,月間集計シート!N$50:N$69)*Q$2</f>
        <v>0</v>
      </c>
      <c r="R187" s="88">
        <f>SUMIF(月間集計シート!$M$50:$M$69,$G187,月間集計シート!O$50:O$69)*R$2</f>
        <v>0</v>
      </c>
      <c r="S187" s="88">
        <f>SUMIF(月間集計シート!$M$50:$M$69,$G187,月間集計シート!P$50:P$69)*S$2</f>
        <v>0</v>
      </c>
      <c r="T187" s="88">
        <f>SUMIF(月間集計シート!$M$50:$M$69,$G187,月間集計シート!Q$50:Q$69)*T$2</f>
        <v>0</v>
      </c>
      <c r="U187" s="88">
        <f>SUMIF(月間集計シート!$M$50:$M$69,$G187,月間集計シート!R$50:R$69)*U$2</f>
        <v>0</v>
      </c>
      <c r="V187" s="88">
        <f>SUMIF(月間集計シート!$M$50:$M$69,$G187,月間集計シート!S$50:S$69)*V$2</f>
        <v>0</v>
      </c>
      <c r="W187" s="88">
        <f>SUMIF(月間集計シート!$M$50:$M$69,$G187,月間集計シート!T$50:T$69)*W$2</f>
        <v>0</v>
      </c>
      <c r="X187" s="88">
        <f>SUMIF(月間集計シート!$M$71:$M$90,$G187,月間集計シート!N$71:N$90)*X$2</f>
        <v>0</v>
      </c>
      <c r="Y187" s="88">
        <f>SUMIF(月間集計シート!$M$71:$M$90,$G187,月間集計シート!O$71:O$90)*Y$2</f>
        <v>0</v>
      </c>
      <c r="Z187" s="88">
        <f>SUMIF(月間集計シート!$M$71:$M$90,$G187,月間集計シート!P$71:P$90)*Z$2</f>
        <v>0</v>
      </c>
      <c r="AA187" s="88">
        <f>SUMIF(月間集計シート!$M$71:$M$90,$G187,月間集計シート!Q$71:Q$90)*AA$2</f>
        <v>0</v>
      </c>
      <c r="AB187" s="88">
        <f>SUMIF(月間集計シート!$M$71:$M$90,$G187,月間集計シート!R$71:R$90)*AB$2</f>
        <v>0</v>
      </c>
      <c r="AC187" s="88">
        <f>SUMIF(月間集計シート!$M$71:$M$90,$G187,月間集計シート!S$71:S$90)*AC$2</f>
        <v>0</v>
      </c>
      <c r="AD187" s="88">
        <f>SUMIF(月間集計シート!$M$71:$M$90,$G187,月間集計シート!T$71:T$90)*AD$2</f>
        <v>0</v>
      </c>
      <c r="AE187" s="88">
        <f>SUMIF(月間集計シート!$M$92:$M$111,$G187,月間集計シート!N$92:N$111)*AE$2</f>
        <v>0</v>
      </c>
      <c r="AF187" s="88">
        <f>SUMIF(月間集計シート!$M$92:$M$111,$G187,月間集計シート!O$92:O$111)*AF$2</f>
        <v>0</v>
      </c>
      <c r="AG187" s="88">
        <f>SUMIF(月間集計シート!$M$92:$M$111,$G187,月間集計シート!P$92:P$111)*AG$2</f>
        <v>0</v>
      </c>
      <c r="AH187" s="88">
        <f>SUMIF(月間集計シート!$M$92:$M$111,$G187,月間集計シート!Q$92:Q$111)*AH$2</f>
        <v>0</v>
      </c>
      <c r="AI187" s="88">
        <f>SUMIF(月間集計シート!$M$92:$M$111,$G187,月間集計シート!R$92:R$111)*AI$2</f>
        <v>0</v>
      </c>
      <c r="AJ187" s="88">
        <f>SUMIF(月間集計シート!$M$92:$M$111,$G187,月間集計シート!S$92:S$111)*AJ$2</f>
        <v>0</v>
      </c>
      <c r="AK187" s="88">
        <f>SUMIF(月間集計シート!$M$92:$M$111,$G187,月間集計シート!T$92:T$111)*AK$2</f>
        <v>0</v>
      </c>
      <c r="AL187" s="88">
        <f>SUMIF(月間集計シート!$M$113:$M$132,$G187,月間集計シート!N$113:N$132)*AL$2</f>
        <v>0</v>
      </c>
      <c r="AM187" s="88">
        <f>SUMIF(月間集計シート!$M$113:$M$132,$G187,月間集計シート!O$113:O$132)*AM$2</f>
        <v>0</v>
      </c>
      <c r="AN187" s="88">
        <f>SUMIF(月間集計シート!$M$113:$M$132,$G187,月間集計シート!P$113:P$132)*AN$2</f>
        <v>0</v>
      </c>
      <c r="AO187" s="88">
        <f>SUMIF(月間集計シート!$M$113:$M$132,$G187,月間集計シート!Q$113:Q$132)*AO$2</f>
        <v>0</v>
      </c>
      <c r="AP187" s="88">
        <f>SUMIF(月間集計シート!$M$113:$M$132,$G187,月間集計シート!R$113:R$132)*AP$2</f>
        <v>0</v>
      </c>
      <c r="AQ187" s="88">
        <f>SUMIF(月間集計シート!$M$113:$M$132,$G187,月間集計シート!S$113:S$132)*AQ$2</f>
        <v>0</v>
      </c>
      <c r="AR187" s="88">
        <f>SUMIF(月間集計シート!$M$113:$M$132,$G187,月間集計シート!T$113:T$132)*AR$2</f>
        <v>0</v>
      </c>
      <c r="AS187" s="88">
        <f>SUMIF(月間集計シート!$M$134:$M$153,$G187,月間集計シート!N$134:N$153)*AS$2</f>
        <v>0</v>
      </c>
      <c r="AT187" s="88">
        <f>SUMIF(月間集計シート!$M$134:$M$153,$G187,月間集計シート!O$134:O$153)*AT$2</f>
        <v>0</v>
      </c>
      <c r="AU187" s="88">
        <f>SUMIF(月間集計シート!$M$134:$M$153,$G187,月間集計シート!P$134:P$153)*AU$2</f>
        <v>0</v>
      </c>
      <c r="AV187" s="88">
        <f>SUMIF(月間集計シート!$M$134:$M$153,$G187,月間集計シート!Q$134:Q$153)*AV$2</f>
        <v>0</v>
      </c>
      <c r="AW187" s="88">
        <f>SUMIF(月間集計シート!$M$134:$M$153,$G187,月間集計シート!R$134:R$153)*AW$2</f>
        <v>0</v>
      </c>
      <c r="AX187" s="88">
        <f>SUMIF(月間集計シート!$M$134:$M$153,$G187,月間集計シート!S$134:S$153)*AX$2</f>
        <v>0</v>
      </c>
      <c r="AY187" s="88">
        <f>SUMIF(月間集計シート!$M$134:$M$153,$G187,月間集計シート!T$134:T$153)*AY$2</f>
        <v>0</v>
      </c>
    </row>
    <row r="188" spans="1:51" ht="14.25" thickBot="1">
      <c r="A188">
        <v>3</v>
      </c>
      <c r="B188" s="120">
        <f t="shared" si="77"/>
        <v>0</v>
      </c>
      <c r="C188" s="120" t="str">
        <f t="shared" si="78"/>
        <v/>
      </c>
      <c r="D188" s="137"/>
      <c r="E188" s="150" t="str">
        <f>工種!A10</f>
        <v>20106</v>
      </c>
      <c r="F188" s="119" t="str">
        <f>工種!B10</f>
        <v>設計：設計書修正（手戻り分）</v>
      </c>
      <c r="G188" s="116" t="str">
        <f t="shared" si="79"/>
        <v>020106</v>
      </c>
      <c r="H188" s="88">
        <f t="shared" si="71"/>
        <v>0</v>
      </c>
      <c r="I188" s="132"/>
      <c r="J188" s="88">
        <f>SUMIF(月間集計シート!$M$29:$M$48,$G188,月間集計シート!N$29:N$48)*J$2</f>
        <v>0</v>
      </c>
      <c r="K188" s="88">
        <f>SUMIF(月間集計シート!$M$29:$M$48,$G188,月間集計シート!O$29:O$48)*K$2</f>
        <v>0</v>
      </c>
      <c r="L188" s="88">
        <f>SUMIF(月間集計シート!$M$29:$M$48,$G188,月間集計シート!P$29:P$48)*L$2</f>
        <v>0</v>
      </c>
      <c r="M188" s="88">
        <f>SUMIF(月間集計シート!$M$29:$M$48,$G188,月間集計シート!Q$29:Q$48)*M$2</f>
        <v>0</v>
      </c>
      <c r="N188" s="88">
        <f>SUMIF(月間集計シート!$M$29:$M$48,$G188,月間集計シート!R$29:R$48)*N$2</f>
        <v>0</v>
      </c>
      <c r="O188" s="88">
        <f>SUMIF(月間集計シート!$M$29:$M$48,$G188,月間集計シート!S$29:S$48)*O$2</f>
        <v>0</v>
      </c>
      <c r="P188" s="88">
        <f>SUMIF(月間集計シート!$M$29:$M$48,$G188,月間集計シート!T$29:T$48)*P$2</f>
        <v>0</v>
      </c>
      <c r="Q188" s="88">
        <f>SUMIF(月間集計シート!$M$50:$M$69,$G188,月間集計シート!N$50:N$69)*Q$2</f>
        <v>0</v>
      </c>
      <c r="R188" s="88">
        <f>SUMIF(月間集計シート!$M$50:$M$69,$G188,月間集計シート!O$50:O$69)*R$2</f>
        <v>0</v>
      </c>
      <c r="S188" s="88">
        <f>SUMIF(月間集計シート!$M$50:$M$69,$G188,月間集計シート!P$50:P$69)*S$2</f>
        <v>0</v>
      </c>
      <c r="T188" s="88">
        <f>SUMIF(月間集計シート!$M$50:$M$69,$G188,月間集計シート!Q$50:Q$69)*T$2</f>
        <v>0</v>
      </c>
      <c r="U188" s="88">
        <f>SUMIF(月間集計シート!$M$50:$M$69,$G188,月間集計シート!R$50:R$69)*U$2</f>
        <v>0</v>
      </c>
      <c r="V188" s="88">
        <f>SUMIF(月間集計シート!$M$50:$M$69,$G188,月間集計シート!S$50:S$69)*V$2</f>
        <v>0</v>
      </c>
      <c r="W188" s="88">
        <f>SUMIF(月間集計シート!$M$50:$M$69,$G188,月間集計シート!T$50:T$69)*W$2</f>
        <v>0</v>
      </c>
      <c r="X188" s="88">
        <f>SUMIF(月間集計シート!$M$71:$M$90,$G188,月間集計シート!N$71:N$90)*X$2</f>
        <v>0</v>
      </c>
      <c r="Y188" s="88">
        <f>SUMIF(月間集計シート!$M$71:$M$90,$G188,月間集計シート!O$71:O$90)*Y$2</f>
        <v>0</v>
      </c>
      <c r="Z188" s="88">
        <f>SUMIF(月間集計シート!$M$71:$M$90,$G188,月間集計シート!P$71:P$90)*Z$2</f>
        <v>0</v>
      </c>
      <c r="AA188" s="88">
        <f>SUMIF(月間集計シート!$M$71:$M$90,$G188,月間集計シート!Q$71:Q$90)*AA$2</f>
        <v>0</v>
      </c>
      <c r="AB188" s="88">
        <f>SUMIF(月間集計シート!$M$71:$M$90,$G188,月間集計シート!R$71:R$90)*AB$2</f>
        <v>0</v>
      </c>
      <c r="AC188" s="88">
        <f>SUMIF(月間集計シート!$M$71:$M$90,$G188,月間集計シート!S$71:S$90)*AC$2</f>
        <v>0</v>
      </c>
      <c r="AD188" s="88">
        <f>SUMIF(月間集計シート!$M$71:$M$90,$G188,月間集計シート!T$71:T$90)*AD$2</f>
        <v>0</v>
      </c>
      <c r="AE188" s="88">
        <f>SUMIF(月間集計シート!$M$92:$M$111,$G188,月間集計シート!N$92:N$111)*AE$2</f>
        <v>0</v>
      </c>
      <c r="AF188" s="88">
        <f>SUMIF(月間集計シート!$M$92:$M$111,$G188,月間集計シート!O$92:O$111)*AF$2</f>
        <v>0</v>
      </c>
      <c r="AG188" s="88">
        <f>SUMIF(月間集計シート!$M$92:$M$111,$G188,月間集計シート!P$92:P$111)*AG$2</f>
        <v>0</v>
      </c>
      <c r="AH188" s="88">
        <f>SUMIF(月間集計シート!$M$92:$M$111,$G188,月間集計シート!Q$92:Q$111)*AH$2</f>
        <v>0</v>
      </c>
      <c r="AI188" s="88">
        <f>SUMIF(月間集計シート!$M$92:$M$111,$G188,月間集計シート!R$92:R$111)*AI$2</f>
        <v>0</v>
      </c>
      <c r="AJ188" s="88">
        <f>SUMIF(月間集計シート!$M$92:$M$111,$G188,月間集計シート!S$92:S$111)*AJ$2</f>
        <v>0</v>
      </c>
      <c r="AK188" s="88">
        <f>SUMIF(月間集計シート!$M$92:$M$111,$G188,月間集計シート!T$92:T$111)*AK$2</f>
        <v>0</v>
      </c>
      <c r="AL188" s="88">
        <f>SUMIF(月間集計シート!$M$113:$M$132,$G188,月間集計シート!N$113:N$132)*AL$2</f>
        <v>0</v>
      </c>
      <c r="AM188" s="88">
        <f>SUMIF(月間集計シート!$M$113:$M$132,$G188,月間集計シート!O$113:O$132)*AM$2</f>
        <v>0</v>
      </c>
      <c r="AN188" s="88">
        <f>SUMIF(月間集計シート!$M$113:$M$132,$G188,月間集計シート!P$113:P$132)*AN$2</f>
        <v>0</v>
      </c>
      <c r="AO188" s="88">
        <f>SUMIF(月間集計シート!$M$113:$M$132,$G188,月間集計シート!Q$113:Q$132)*AO$2</f>
        <v>0</v>
      </c>
      <c r="AP188" s="88">
        <f>SUMIF(月間集計シート!$M$113:$M$132,$G188,月間集計シート!R$113:R$132)*AP$2</f>
        <v>0</v>
      </c>
      <c r="AQ188" s="88">
        <f>SUMIF(月間集計シート!$M$113:$M$132,$G188,月間集計シート!S$113:S$132)*AQ$2</f>
        <v>0</v>
      </c>
      <c r="AR188" s="88">
        <f>SUMIF(月間集計シート!$M$113:$M$132,$G188,月間集計シート!T$113:T$132)*AR$2</f>
        <v>0</v>
      </c>
      <c r="AS188" s="88">
        <f>SUMIF(月間集計シート!$M$134:$M$153,$G188,月間集計シート!N$134:N$153)*AS$2</f>
        <v>0</v>
      </c>
      <c r="AT188" s="88">
        <f>SUMIF(月間集計シート!$M$134:$M$153,$G188,月間集計シート!O$134:O$153)*AT$2</f>
        <v>0</v>
      </c>
      <c r="AU188" s="88">
        <f>SUMIF(月間集計シート!$M$134:$M$153,$G188,月間集計シート!P$134:P$153)*AU$2</f>
        <v>0</v>
      </c>
      <c r="AV188" s="88">
        <f>SUMIF(月間集計シート!$M$134:$M$153,$G188,月間集計シート!Q$134:Q$153)*AV$2</f>
        <v>0</v>
      </c>
      <c r="AW188" s="88">
        <f>SUMIF(月間集計シート!$M$134:$M$153,$G188,月間集計シート!R$134:R$153)*AW$2</f>
        <v>0</v>
      </c>
      <c r="AX188" s="88">
        <f>SUMIF(月間集計シート!$M$134:$M$153,$G188,月間集計シート!S$134:S$153)*AX$2</f>
        <v>0</v>
      </c>
      <c r="AY188" s="88">
        <f>SUMIF(月間集計シート!$M$134:$M$153,$G188,月間集計シート!T$134:T$153)*AY$2</f>
        <v>0</v>
      </c>
    </row>
    <row r="189" spans="1:51" ht="14.25" thickBot="1">
      <c r="A189">
        <v>3</v>
      </c>
      <c r="B189" s="120">
        <f t="shared" si="77"/>
        <v>0</v>
      </c>
      <c r="C189" s="120" t="str">
        <f t="shared" si="78"/>
        <v/>
      </c>
      <c r="D189" s="137"/>
      <c r="E189" s="150" t="str">
        <f>工種!A11</f>
        <v>20107</v>
      </c>
      <c r="F189" s="119" t="str">
        <f>工種!B11</f>
        <v>設計：その他の設計書作成</v>
      </c>
      <c r="G189" s="116" t="str">
        <f t="shared" si="79"/>
        <v>020107</v>
      </c>
      <c r="H189" s="88">
        <f t="shared" si="71"/>
        <v>0</v>
      </c>
      <c r="I189" s="132"/>
      <c r="J189" s="88">
        <f>SUMIF(月間集計シート!$M$29:$M$48,$G189,月間集計シート!N$29:N$48)*J$2</f>
        <v>0</v>
      </c>
      <c r="K189" s="88">
        <f>SUMIF(月間集計シート!$M$29:$M$48,$G189,月間集計シート!O$29:O$48)*K$2</f>
        <v>0</v>
      </c>
      <c r="L189" s="88">
        <f>SUMIF(月間集計シート!$M$29:$M$48,$G189,月間集計シート!P$29:P$48)*L$2</f>
        <v>0</v>
      </c>
      <c r="M189" s="88">
        <f>SUMIF(月間集計シート!$M$29:$M$48,$G189,月間集計シート!Q$29:Q$48)*M$2</f>
        <v>0</v>
      </c>
      <c r="N189" s="88">
        <f>SUMIF(月間集計シート!$M$29:$M$48,$G189,月間集計シート!R$29:R$48)*N$2</f>
        <v>0</v>
      </c>
      <c r="O189" s="88">
        <f>SUMIF(月間集計シート!$M$29:$M$48,$G189,月間集計シート!S$29:S$48)*O$2</f>
        <v>0</v>
      </c>
      <c r="P189" s="88">
        <f>SUMIF(月間集計シート!$M$29:$M$48,$G189,月間集計シート!T$29:T$48)*P$2</f>
        <v>0</v>
      </c>
      <c r="Q189" s="88">
        <f>SUMIF(月間集計シート!$M$50:$M$69,$G189,月間集計シート!N$50:N$69)*Q$2</f>
        <v>0</v>
      </c>
      <c r="R189" s="88">
        <f>SUMIF(月間集計シート!$M$50:$M$69,$G189,月間集計シート!O$50:O$69)*R$2</f>
        <v>0</v>
      </c>
      <c r="S189" s="88">
        <f>SUMIF(月間集計シート!$M$50:$M$69,$G189,月間集計シート!P$50:P$69)*S$2</f>
        <v>0</v>
      </c>
      <c r="T189" s="88">
        <f>SUMIF(月間集計シート!$M$50:$M$69,$G189,月間集計シート!Q$50:Q$69)*T$2</f>
        <v>0</v>
      </c>
      <c r="U189" s="88">
        <f>SUMIF(月間集計シート!$M$50:$M$69,$G189,月間集計シート!R$50:R$69)*U$2</f>
        <v>0</v>
      </c>
      <c r="V189" s="88">
        <f>SUMIF(月間集計シート!$M$50:$M$69,$G189,月間集計シート!S$50:S$69)*V$2</f>
        <v>0</v>
      </c>
      <c r="W189" s="88">
        <f>SUMIF(月間集計シート!$M$50:$M$69,$G189,月間集計シート!T$50:T$69)*W$2</f>
        <v>0</v>
      </c>
      <c r="X189" s="88">
        <f>SUMIF(月間集計シート!$M$71:$M$90,$G189,月間集計シート!N$71:N$90)*X$2</f>
        <v>0</v>
      </c>
      <c r="Y189" s="88">
        <f>SUMIF(月間集計シート!$M$71:$M$90,$G189,月間集計シート!O$71:O$90)*Y$2</f>
        <v>0</v>
      </c>
      <c r="Z189" s="88">
        <f>SUMIF(月間集計シート!$M$71:$M$90,$G189,月間集計シート!P$71:P$90)*Z$2</f>
        <v>0</v>
      </c>
      <c r="AA189" s="88">
        <f>SUMIF(月間集計シート!$M$71:$M$90,$G189,月間集計シート!Q$71:Q$90)*AA$2</f>
        <v>0</v>
      </c>
      <c r="AB189" s="88">
        <f>SUMIF(月間集計シート!$M$71:$M$90,$G189,月間集計シート!R$71:R$90)*AB$2</f>
        <v>0</v>
      </c>
      <c r="AC189" s="88">
        <f>SUMIF(月間集計シート!$M$71:$M$90,$G189,月間集計シート!S$71:S$90)*AC$2</f>
        <v>0</v>
      </c>
      <c r="AD189" s="88">
        <f>SUMIF(月間集計シート!$M$71:$M$90,$G189,月間集計シート!T$71:T$90)*AD$2</f>
        <v>0</v>
      </c>
      <c r="AE189" s="88">
        <f>SUMIF(月間集計シート!$M$92:$M$111,$G189,月間集計シート!N$92:N$111)*AE$2</f>
        <v>0</v>
      </c>
      <c r="AF189" s="88">
        <f>SUMIF(月間集計シート!$M$92:$M$111,$G189,月間集計シート!O$92:O$111)*AF$2</f>
        <v>0</v>
      </c>
      <c r="AG189" s="88">
        <f>SUMIF(月間集計シート!$M$92:$M$111,$G189,月間集計シート!P$92:P$111)*AG$2</f>
        <v>0</v>
      </c>
      <c r="AH189" s="88">
        <f>SUMIF(月間集計シート!$M$92:$M$111,$G189,月間集計シート!Q$92:Q$111)*AH$2</f>
        <v>0</v>
      </c>
      <c r="AI189" s="88">
        <f>SUMIF(月間集計シート!$M$92:$M$111,$G189,月間集計シート!R$92:R$111)*AI$2</f>
        <v>0</v>
      </c>
      <c r="AJ189" s="88">
        <f>SUMIF(月間集計シート!$M$92:$M$111,$G189,月間集計シート!S$92:S$111)*AJ$2</f>
        <v>0</v>
      </c>
      <c r="AK189" s="88">
        <f>SUMIF(月間集計シート!$M$92:$M$111,$G189,月間集計シート!T$92:T$111)*AK$2</f>
        <v>0</v>
      </c>
      <c r="AL189" s="88">
        <f>SUMIF(月間集計シート!$M$113:$M$132,$G189,月間集計シート!N$113:N$132)*AL$2</f>
        <v>0</v>
      </c>
      <c r="AM189" s="88">
        <f>SUMIF(月間集計シート!$M$113:$M$132,$G189,月間集計シート!O$113:O$132)*AM$2</f>
        <v>0</v>
      </c>
      <c r="AN189" s="88">
        <f>SUMIF(月間集計シート!$M$113:$M$132,$G189,月間集計シート!P$113:P$132)*AN$2</f>
        <v>0</v>
      </c>
      <c r="AO189" s="88">
        <f>SUMIF(月間集計シート!$M$113:$M$132,$G189,月間集計シート!Q$113:Q$132)*AO$2</f>
        <v>0</v>
      </c>
      <c r="AP189" s="88">
        <f>SUMIF(月間集計シート!$M$113:$M$132,$G189,月間集計シート!R$113:R$132)*AP$2</f>
        <v>0</v>
      </c>
      <c r="AQ189" s="88">
        <f>SUMIF(月間集計シート!$M$113:$M$132,$G189,月間集計シート!S$113:S$132)*AQ$2</f>
        <v>0</v>
      </c>
      <c r="AR189" s="88">
        <f>SUMIF(月間集計シート!$M$113:$M$132,$G189,月間集計シート!T$113:T$132)*AR$2</f>
        <v>0</v>
      </c>
      <c r="AS189" s="88">
        <f>SUMIF(月間集計シート!$M$134:$M$153,$G189,月間集計シート!N$134:N$153)*AS$2</f>
        <v>0</v>
      </c>
      <c r="AT189" s="88">
        <f>SUMIF(月間集計シート!$M$134:$M$153,$G189,月間集計シート!O$134:O$153)*AT$2</f>
        <v>0</v>
      </c>
      <c r="AU189" s="88">
        <f>SUMIF(月間集計シート!$M$134:$M$153,$G189,月間集計シート!P$134:P$153)*AU$2</f>
        <v>0</v>
      </c>
      <c r="AV189" s="88">
        <f>SUMIF(月間集計シート!$M$134:$M$153,$G189,月間集計シート!Q$134:Q$153)*AV$2</f>
        <v>0</v>
      </c>
      <c r="AW189" s="88">
        <f>SUMIF(月間集計シート!$M$134:$M$153,$G189,月間集計シート!R$134:R$153)*AW$2</f>
        <v>0</v>
      </c>
      <c r="AX189" s="88">
        <f>SUMIF(月間集計シート!$M$134:$M$153,$G189,月間集計シート!S$134:S$153)*AX$2</f>
        <v>0</v>
      </c>
      <c r="AY189" s="88">
        <f>SUMIF(月間集計シート!$M$134:$M$153,$G189,月間集計シート!T$134:T$153)*AY$2</f>
        <v>0</v>
      </c>
    </row>
    <row r="190" spans="1:51" ht="14.25" thickBot="1">
      <c r="A190">
        <v>3</v>
      </c>
      <c r="B190" s="120">
        <f t="shared" si="77"/>
        <v>0</v>
      </c>
      <c r="C190" s="120" t="str">
        <f t="shared" si="78"/>
        <v/>
      </c>
      <c r="D190" s="137"/>
      <c r="E190" s="150" t="str">
        <f>工種!A12</f>
        <v>20108</v>
      </c>
      <c r="F190" s="119" t="str">
        <f>工種!B12</f>
        <v>設計：レビュー</v>
      </c>
      <c r="G190" s="116" t="str">
        <f t="shared" si="79"/>
        <v>020108</v>
      </c>
      <c r="H190" s="88">
        <f t="shared" si="71"/>
        <v>0</v>
      </c>
      <c r="I190" s="132"/>
      <c r="J190" s="88">
        <f>SUMIF(月間集計シート!$M$29:$M$48,$G190,月間集計シート!N$29:N$48)*J$2</f>
        <v>0</v>
      </c>
      <c r="K190" s="88">
        <f>SUMIF(月間集計シート!$M$29:$M$48,$G190,月間集計シート!O$29:O$48)*K$2</f>
        <v>0</v>
      </c>
      <c r="L190" s="88">
        <f>SUMIF(月間集計シート!$M$29:$M$48,$G190,月間集計シート!P$29:P$48)*L$2</f>
        <v>0</v>
      </c>
      <c r="M190" s="88">
        <f>SUMIF(月間集計シート!$M$29:$M$48,$G190,月間集計シート!Q$29:Q$48)*M$2</f>
        <v>0</v>
      </c>
      <c r="N190" s="88">
        <f>SUMIF(月間集計シート!$M$29:$M$48,$G190,月間集計シート!R$29:R$48)*N$2</f>
        <v>0</v>
      </c>
      <c r="O190" s="88">
        <f>SUMIF(月間集計シート!$M$29:$M$48,$G190,月間集計シート!S$29:S$48)*O$2</f>
        <v>0</v>
      </c>
      <c r="P190" s="88">
        <f>SUMIF(月間集計シート!$M$29:$M$48,$G190,月間集計シート!T$29:T$48)*P$2</f>
        <v>0</v>
      </c>
      <c r="Q190" s="88">
        <f>SUMIF(月間集計シート!$M$50:$M$69,$G190,月間集計シート!N$50:N$69)*Q$2</f>
        <v>0</v>
      </c>
      <c r="R190" s="88">
        <f>SUMIF(月間集計シート!$M$50:$M$69,$G190,月間集計シート!O$50:O$69)*R$2</f>
        <v>0</v>
      </c>
      <c r="S190" s="88">
        <f>SUMIF(月間集計シート!$M$50:$M$69,$G190,月間集計シート!P$50:P$69)*S$2</f>
        <v>0</v>
      </c>
      <c r="T190" s="88">
        <f>SUMIF(月間集計シート!$M$50:$M$69,$G190,月間集計シート!Q$50:Q$69)*T$2</f>
        <v>0</v>
      </c>
      <c r="U190" s="88">
        <f>SUMIF(月間集計シート!$M$50:$M$69,$G190,月間集計シート!R$50:R$69)*U$2</f>
        <v>0</v>
      </c>
      <c r="V190" s="88">
        <f>SUMIF(月間集計シート!$M$50:$M$69,$G190,月間集計シート!S$50:S$69)*V$2</f>
        <v>0</v>
      </c>
      <c r="W190" s="88">
        <f>SUMIF(月間集計シート!$M$50:$M$69,$G190,月間集計シート!T$50:T$69)*W$2</f>
        <v>0</v>
      </c>
      <c r="X190" s="88">
        <f>SUMIF(月間集計シート!$M$71:$M$90,$G190,月間集計シート!N$71:N$90)*X$2</f>
        <v>0</v>
      </c>
      <c r="Y190" s="88">
        <f>SUMIF(月間集計シート!$M$71:$M$90,$G190,月間集計シート!O$71:O$90)*Y$2</f>
        <v>0</v>
      </c>
      <c r="Z190" s="88">
        <f>SUMIF(月間集計シート!$M$71:$M$90,$G190,月間集計シート!P$71:P$90)*Z$2</f>
        <v>0</v>
      </c>
      <c r="AA190" s="88">
        <f>SUMIF(月間集計シート!$M$71:$M$90,$G190,月間集計シート!Q$71:Q$90)*AA$2</f>
        <v>0</v>
      </c>
      <c r="AB190" s="88">
        <f>SUMIF(月間集計シート!$M$71:$M$90,$G190,月間集計シート!R$71:R$90)*AB$2</f>
        <v>0</v>
      </c>
      <c r="AC190" s="88">
        <f>SUMIF(月間集計シート!$M$71:$M$90,$G190,月間集計シート!S$71:S$90)*AC$2</f>
        <v>0</v>
      </c>
      <c r="AD190" s="88">
        <f>SUMIF(月間集計シート!$M$71:$M$90,$G190,月間集計シート!T$71:T$90)*AD$2</f>
        <v>0</v>
      </c>
      <c r="AE190" s="88">
        <f>SUMIF(月間集計シート!$M$92:$M$111,$G190,月間集計シート!N$92:N$111)*AE$2</f>
        <v>0</v>
      </c>
      <c r="AF190" s="88">
        <f>SUMIF(月間集計シート!$M$92:$M$111,$G190,月間集計シート!O$92:O$111)*AF$2</f>
        <v>0</v>
      </c>
      <c r="AG190" s="88">
        <f>SUMIF(月間集計シート!$M$92:$M$111,$G190,月間集計シート!P$92:P$111)*AG$2</f>
        <v>0</v>
      </c>
      <c r="AH190" s="88">
        <f>SUMIF(月間集計シート!$M$92:$M$111,$G190,月間集計シート!Q$92:Q$111)*AH$2</f>
        <v>0</v>
      </c>
      <c r="AI190" s="88">
        <f>SUMIF(月間集計シート!$M$92:$M$111,$G190,月間集計シート!R$92:R$111)*AI$2</f>
        <v>0</v>
      </c>
      <c r="AJ190" s="88">
        <f>SUMIF(月間集計シート!$M$92:$M$111,$G190,月間集計シート!S$92:S$111)*AJ$2</f>
        <v>0</v>
      </c>
      <c r="AK190" s="88">
        <f>SUMIF(月間集計シート!$M$92:$M$111,$G190,月間集計シート!T$92:T$111)*AK$2</f>
        <v>0</v>
      </c>
      <c r="AL190" s="88">
        <f>SUMIF(月間集計シート!$M$113:$M$132,$G190,月間集計シート!N$113:N$132)*AL$2</f>
        <v>0</v>
      </c>
      <c r="AM190" s="88">
        <f>SUMIF(月間集計シート!$M$113:$M$132,$G190,月間集計シート!O$113:O$132)*AM$2</f>
        <v>0</v>
      </c>
      <c r="AN190" s="88">
        <f>SUMIF(月間集計シート!$M$113:$M$132,$G190,月間集計シート!P$113:P$132)*AN$2</f>
        <v>0</v>
      </c>
      <c r="AO190" s="88">
        <f>SUMIF(月間集計シート!$M$113:$M$132,$G190,月間集計シート!Q$113:Q$132)*AO$2</f>
        <v>0</v>
      </c>
      <c r="AP190" s="88">
        <f>SUMIF(月間集計シート!$M$113:$M$132,$G190,月間集計シート!R$113:R$132)*AP$2</f>
        <v>0</v>
      </c>
      <c r="AQ190" s="88">
        <f>SUMIF(月間集計シート!$M$113:$M$132,$G190,月間集計シート!S$113:S$132)*AQ$2</f>
        <v>0</v>
      </c>
      <c r="AR190" s="88">
        <f>SUMIF(月間集計シート!$M$113:$M$132,$G190,月間集計シート!T$113:T$132)*AR$2</f>
        <v>0</v>
      </c>
      <c r="AS190" s="88">
        <f>SUMIF(月間集計シート!$M$134:$M$153,$G190,月間集計シート!N$134:N$153)*AS$2</f>
        <v>0</v>
      </c>
      <c r="AT190" s="88">
        <f>SUMIF(月間集計シート!$M$134:$M$153,$G190,月間集計シート!O$134:O$153)*AT$2</f>
        <v>0</v>
      </c>
      <c r="AU190" s="88">
        <f>SUMIF(月間集計シート!$M$134:$M$153,$G190,月間集計シート!P$134:P$153)*AU$2</f>
        <v>0</v>
      </c>
      <c r="AV190" s="88">
        <f>SUMIF(月間集計シート!$M$134:$M$153,$G190,月間集計シート!Q$134:Q$153)*AV$2</f>
        <v>0</v>
      </c>
      <c r="AW190" s="88">
        <f>SUMIF(月間集計シート!$M$134:$M$153,$G190,月間集計シート!R$134:R$153)*AW$2</f>
        <v>0</v>
      </c>
      <c r="AX190" s="88">
        <f>SUMIF(月間集計シート!$M$134:$M$153,$G190,月間集計シート!S$134:S$153)*AX$2</f>
        <v>0</v>
      </c>
      <c r="AY190" s="88">
        <f>SUMIF(月間集計シート!$M$134:$M$153,$G190,月間集計シート!T$134:T$153)*AY$2</f>
        <v>0</v>
      </c>
    </row>
    <row r="191" spans="1:51" ht="14.25" thickBot="1">
      <c r="A191">
        <v>3</v>
      </c>
      <c r="B191" s="120">
        <f t="shared" si="77"/>
        <v>0</v>
      </c>
      <c r="C191" s="120" t="str">
        <f t="shared" si="78"/>
        <v/>
      </c>
      <c r="D191" s="137"/>
      <c r="E191" s="150" t="str">
        <f>工種!A13</f>
        <v>20109</v>
      </c>
      <c r="F191" s="119" t="str">
        <f>工種!B13</f>
        <v>設計：QA対応</v>
      </c>
      <c r="G191" s="116" t="str">
        <f t="shared" si="79"/>
        <v>020109</v>
      </c>
      <c r="H191" s="88">
        <f t="shared" si="71"/>
        <v>0</v>
      </c>
      <c r="I191" s="132"/>
      <c r="J191" s="88">
        <f>SUMIF(月間集計シート!$M$29:$M$48,$G191,月間集計シート!N$29:N$48)*J$2</f>
        <v>0</v>
      </c>
      <c r="K191" s="88">
        <f>SUMIF(月間集計シート!$M$29:$M$48,$G191,月間集計シート!O$29:O$48)*K$2</f>
        <v>0</v>
      </c>
      <c r="L191" s="88">
        <f>SUMIF(月間集計シート!$M$29:$M$48,$G191,月間集計シート!P$29:P$48)*L$2</f>
        <v>0</v>
      </c>
      <c r="M191" s="88">
        <f>SUMIF(月間集計シート!$M$29:$M$48,$G191,月間集計シート!Q$29:Q$48)*M$2</f>
        <v>0</v>
      </c>
      <c r="N191" s="88">
        <f>SUMIF(月間集計シート!$M$29:$M$48,$G191,月間集計シート!R$29:R$48)*N$2</f>
        <v>0</v>
      </c>
      <c r="O191" s="88">
        <f>SUMIF(月間集計シート!$M$29:$M$48,$G191,月間集計シート!S$29:S$48)*O$2</f>
        <v>0</v>
      </c>
      <c r="P191" s="88">
        <f>SUMIF(月間集計シート!$M$29:$M$48,$G191,月間集計シート!T$29:T$48)*P$2</f>
        <v>0</v>
      </c>
      <c r="Q191" s="88">
        <f>SUMIF(月間集計シート!$M$50:$M$69,$G191,月間集計シート!N$50:N$69)*Q$2</f>
        <v>0</v>
      </c>
      <c r="R191" s="88">
        <f>SUMIF(月間集計シート!$M$50:$M$69,$G191,月間集計シート!O$50:O$69)*R$2</f>
        <v>0</v>
      </c>
      <c r="S191" s="88">
        <f>SUMIF(月間集計シート!$M$50:$M$69,$G191,月間集計シート!P$50:P$69)*S$2</f>
        <v>0</v>
      </c>
      <c r="T191" s="88">
        <f>SUMIF(月間集計シート!$M$50:$M$69,$G191,月間集計シート!Q$50:Q$69)*T$2</f>
        <v>0</v>
      </c>
      <c r="U191" s="88">
        <f>SUMIF(月間集計シート!$M$50:$M$69,$G191,月間集計シート!R$50:R$69)*U$2</f>
        <v>0</v>
      </c>
      <c r="V191" s="88">
        <f>SUMIF(月間集計シート!$M$50:$M$69,$G191,月間集計シート!S$50:S$69)*V$2</f>
        <v>0</v>
      </c>
      <c r="W191" s="88">
        <f>SUMIF(月間集計シート!$M$50:$M$69,$G191,月間集計シート!T$50:T$69)*W$2</f>
        <v>0</v>
      </c>
      <c r="X191" s="88">
        <f>SUMIF(月間集計シート!$M$71:$M$90,$G191,月間集計シート!N$71:N$90)*X$2</f>
        <v>0</v>
      </c>
      <c r="Y191" s="88">
        <f>SUMIF(月間集計シート!$M$71:$M$90,$G191,月間集計シート!O$71:O$90)*Y$2</f>
        <v>0</v>
      </c>
      <c r="Z191" s="88">
        <f>SUMIF(月間集計シート!$M$71:$M$90,$G191,月間集計シート!P$71:P$90)*Z$2</f>
        <v>0</v>
      </c>
      <c r="AA191" s="88">
        <f>SUMIF(月間集計シート!$M$71:$M$90,$G191,月間集計シート!Q$71:Q$90)*AA$2</f>
        <v>0</v>
      </c>
      <c r="AB191" s="88">
        <f>SUMIF(月間集計シート!$M$71:$M$90,$G191,月間集計シート!R$71:R$90)*AB$2</f>
        <v>0</v>
      </c>
      <c r="AC191" s="88">
        <f>SUMIF(月間集計シート!$M$71:$M$90,$G191,月間集計シート!S$71:S$90)*AC$2</f>
        <v>0</v>
      </c>
      <c r="AD191" s="88">
        <f>SUMIF(月間集計シート!$M$71:$M$90,$G191,月間集計シート!T$71:T$90)*AD$2</f>
        <v>0</v>
      </c>
      <c r="AE191" s="88">
        <f>SUMIF(月間集計シート!$M$92:$M$111,$G191,月間集計シート!N$92:N$111)*AE$2</f>
        <v>0</v>
      </c>
      <c r="AF191" s="88">
        <f>SUMIF(月間集計シート!$M$92:$M$111,$G191,月間集計シート!O$92:O$111)*AF$2</f>
        <v>0</v>
      </c>
      <c r="AG191" s="88">
        <f>SUMIF(月間集計シート!$M$92:$M$111,$G191,月間集計シート!P$92:P$111)*AG$2</f>
        <v>0</v>
      </c>
      <c r="AH191" s="88">
        <f>SUMIF(月間集計シート!$M$92:$M$111,$G191,月間集計シート!Q$92:Q$111)*AH$2</f>
        <v>0</v>
      </c>
      <c r="AI191" s="88">
        <f>SUMIF(月間集計シート!$M$92:$M$111,$G191,月間集計シート!R$92:R$111)*AI$2</f>
        <v>0</v>
      </c>
      <c r="AJ191" s="88">
        <f>SUMIF(月間集計シート!$M$92:$M$111,$G191,月間集計シート!S$92:S$111)*AJ$2</f>
        <v>0</v>
      </c>
      <c r="AK191" s="88">
        <f>SUMIF(月間集計シート!$M$92:$M$111,$G191,月間集計シート!T$92:T$111)*AK$2</f>
        <v>0</v>
      </c>
      <c r="AL191" s="88">
        <f>SUMIF(月間集計シート!$M$113:$M$132,$G191,月間集計シート!N$113:N$132)*AL$2</f>
        <v>0</v>
      </c>
      <c r="AM191" s="88">
        <f>SUMIF(月間集計シート!$M$113:$M$132,$G191,月間集計シート!O$113:O$132)*AM$2</f>
        <v>0</v>
      </c>
      <c r="AN191" s="88">
        <f>SUMIF(月間集計シート!$M$113:$M$132,$G191,月間集計シート!P$113:P$132)*AN$2</f>
        <v>0</v>
      </c>
      <c r="AO191" s="88">
        <f>SUMIF(月間集計シート!$M$113:$M$132,$G191,月間集計シート!Q$113:Q$132)*AO$2</f>
        <v>0</v>
      </c>
      <c r="AP191" s="88">
        <f>SUMIF(月間集計シート!$M$113:$M$132,$G191,月間集計シート!R$113:R$132)*AP$2</f>
        <v>0</v>
      </c>
      <c r="AQ191" s="88">
        <f>SUMIF(月間集計シート!$M$113:$M$132,$G191,月間集計シート!S$113:S$132)*AQ$2</f>
        <v>0</v>
      </c>
      <c r="AR191" s="88">
        <f>SUMIF(月間集計シート!$M$113:$M$132,$G191,月間集計シート!T$113:T$132)*AR$2</f>
        <v>0</v>
      </c>
      <c r="AS191" s="88">
        <f>SUMIF(月間集計シート!$M$134:$M$153,$G191,月間集計シート!N$134:N$153)*AS$2</f>
        <v>0</v>
      </c>
      <c r="AT191" s="88">
        <f>SUMIF(月間集計シート!$M$134:$M$153,$G191,月間集計シート!O$134:O$153)*AT$2</f>
        <v>0</v>
      </c>
      <c r="AU191" s="88">
        <f>SUMIF(月間集計シート!$M$134:$M$153,$G191,月間集計シート!P$134:P$153)*AU$2</f>
        <v>0</v>
      </c>
      <c r="AV191" s="88">
        <f>SUMIF(月間集計シート!$M$134:$M$153,$G191,月間集計シート!Q$134:Q$153)*AV$2</f>
        <v>0</v>
      </c>
      <c r="AW191" s="88">
        <f>SUMIF(月間集計シート!$M$134:$M$153,$G191,月間集計シート!R$134:R$153)*AW$2</f>
        <v>0</v>
      </c>
      <c r="AX191" s="88">
        <f>SUMIF(月間集計シート!$M$134:$M$153,$G191,月間集計シート!S$134:S$153)*AX$2</f>
        <v>0</v>
      </c>
      <c r="AY191" s="88">
        <f>SUMIF(月間集計シート!$M$134:$M$153,$G191,月間集計シート!T$134:T$153)*AY$2</f>
        <v>0</v>
      </c>
    </row>
    <row r="192" spans="1:51" ht="14.25" thickBot="1">
      <c r="A192">
        <v>3</v>
      </c>
      <c r="B192" s="120">
        <f t="shared" si="77"/>
        <v>0</v>
      </c>
      <c r="C192" s="120" t="str">
        <f t="shared" si="78"/>
        <v/>
      </c>
      <c r="D192" s="137"/>
      <c r="E192" s="150" t="str">
        <f>工種!A14</f>
        <v>20199</v>
      </c>
      <c r="F192" s="119" t="str">
        <f>工種!B14</f>
        <v>設計：その他</v>
      </c>
      <c r="G192" s="116" t="str">
        <f t="shared" si="79"/>
        <v>020199</v>
      </c>
      <c r="H192" s="88">
        <f t="shared" si="71"/>
        <v>0</v>
      </c>
      <c r="I192" s="132"/>
      <c r="J192" s="88">
        <f>SUMIF(月間集計シート!$M$29:$M$48,$G192,月間集計シート!N$29:N$48)*J$2</f>
        <v>0</v>
      </c>
      <c r="K192" s="88">
        <f>SUMIF(月間集計シート!$M$29:$M$48,$G192,月間集計シート!O$29:O$48)*K$2</f>
        <v>0</v>
      </c>
      <c r="L192" s="88">
        <f>SUMIF(月間集計シート!$M$29:$M$48,$G192,月間集計シート!P$29:P$48)*L$2</f>
        <v>0</v>
      </c>
      <c r="M192" s="88">
        <f>SUMIF(月間集計シート!$M$29:$M$48,$G192,月間集計シート!Q$29:Q$48)*M$2</f>
        <v>0</v>
      </c>
      <c r="N192" s="88">
        <f>SUMIF(月間集計シート!$M$29:$M$48,$G192,月間集計シート!R$29:R$48)*N$2</f>
        <v>0</v>
      </c>
      <c r="O192" s="88">
        <f>SUMIF(月間集計シート!$M$29:$M$48,$G192,月間集計シート!S$29:S$48)*O$2</f>
        <v>0</v>
      </c>
      <c r="P192" s="88">
        <f>SUMIF(月間集計シート!$M$29:$M$48,$G192,月間集計シート!T$29:T$48)*P$2</f>
        <v>0</v>
      </c>
      <c r="Q192" s="88">
        <f>SUMIF(月間集計シート!$M$50:$M$69,$G192,月間集計シート!N$50:N$69)*Q$2</f>
        <v>0</v>
      </c>
      <c r="R192" s="88">
        <f>SUMIF(月間集計シート!$M$50:$M$69,$G192,月間集計シート!O$50:O$69)*R$2</f>
        <v>0</v>
      </c>
      <c r="S192" s="88">
        <f>SUMIF(月間集計シート!$M$50:$M$69,$G192,月間集計シート!P$50:P$69)*S$2</f>
        <v>0</v>
      </c>
      <c r="T192" s="88">
        <f>SUMIF(月間集計シート!$M$50:$M$69,$G192,月間集計シート!Q$50:Q$69)*T$2</f>
        <v>0</v>
      </c>
      <c r="U192" s="88">
        <f>SUMIF(月間集計シート!$M$50:$M$69,$G192,月間集計シート!R$50:R$69)*U$2</f>
        <v>0</v>
      </c>
      <c r="V192" s="88">
        <f>SUMIF(月間集計シート!$M$50:$M$69,$G192,月間集計シート!S$50:S$69)*V$2</f>
        <v>0</v>
      </c>
      <c r="W192" s="88">
        <f>SUMIF(月間集計シート!$M$50:$M$69,$G192,月間集計シート!T$50:T$69)*W$2</f>
        <v>0</v>
      </c>
      <c r="X192" s="88">
        <f>SUMIF(月間集計シート!$M$71:$M$90,$G192,月間集計シート!N$71:N$90)*X$2</f>
        <v>0</v>
      </c>
      <c r="Y192" s="88">
        <f>SUMIF(月間集計シート!$M$71:$M$90,$G192,月間集計シート!O$71:O$90)*Y$2</f>
        <v>0</v>
      </c>
      <c r="Z192" s="88">
        <f>SUMIF(月間集計シート!$M$71:$M$90,$G192,月間集計シート!P$71:P$90)*Z$2</f>
        <v>0</v>
      </c>
      <c r="AA192" s="88">
        <f>SUMIF(月間集計シート!$M$71:$M$90,$G192,月間集計シート!Q$71:Q$90)*AA$2</f>
        <v>0</v>
      </c>
      <c r="AB192" s="88">
        <f>SUMIF(月間集計シート!$M$71:$M$90,$G192,月間集計シート!R$71:R$90)*AB$2</f>
        <v>0</v>
      </c>
      <c r="AC192" s="88">
        <f>SUMIF(月間集計シート!$M$71:$M$90,$G192,月間集計シート!S$71:S$90)*AC$2</f>
        <v>0</v>
      </c>
      <c r="AD192" s="88">
        <f>SUMIF(月間集計シート!$M$71:$M$90,$G192,月間集計シート!T$71:T$90)*AD$2</f>
        <v>0</v>
      </c>
      <c r="AE192" s="88">
        <f>SUMIF(月間集計シート!$M$92:$M$111,$G192,月間集計シート!N$92:N$111)*AE$2</f>
        <v>0</v>
      </c>
      <c r="AF192" s="88">
        <f>SUMIF(月間集計シート!$M$92:$M$111,$G192,月間集計シート!O$92:O$111)*AF$2</f>
        <v>0</v>
      </c>
      <c r="AG192" s="88">
        <f>SUMIF(月間集計シート!$M$92:$M$111,$G192,月間集計シート!P$92:P$111)*AG$2</f>
        <v>0</v>
      </c>
      <c r="AH192" s="88">
        <f>SUMIF(月間集計シート!$M$92:$M$111,$G192,月間集計シート!Q$92:Q$111)*AH$2</f>
        <v>0</v>
      </c>
      <c r="AI192" s="88">
        <f>SUMIF(月間集計シート!$M$92:$M$111,$G192,月間集計シート!R$92:R$111)*AI$2</f>
        <v>0</v>
      </c>
      <c r="AJ192" s="88">
        <f>SUMIF(月間集計シート!$M$92:$M$111,$G192,月間集計シート!S$92:S$111)*AJ$2</f>
        <v>0</v>
      </c>
      <c r="AK192" s="88">
        <f>SUMIF(月間集計シート!$M$92:$M$111,$G192,月間集計シート!T$92:T$111)*AK$2</f>
        <v>0</v>
      </c>
      <c r="AL192" s="88">
        <f>SUMIF(月間集計シート!$M$113:$M$132,$G192,月間集計シート!N$113:N$132)*AL$2</f>
        <v>0</v>
      </c>
      <c r="AM192" s="88">
        <f>SUMIF(月間集計シート!$M$113:$M$132,$G192,月間集計シート!O$113:O$132)*AM$2</f>
        <v>0</v>
      </c>
      <c r="AN192" s="88">
        <f>SUMIF(月間集計シート!$M$113:$M$132,$G192,月間集計シート!P$113:P$132)*AN$2</f>
        <v>0</v>
      </c>
      <c r="AO192" s="88">
        <f>SUMIF(月間集計シート!$M$113:$M$132,$G192,月間集計シート!Q$113:Q$132)*AO$2</f>
        <v>0</v>
      </c>
      <c r="AP192" s="88">
        <f>SUMIF(月間集計シート!$M$113:$M$132,$G192,月間集計シート!R$113:R$132)*AP$2</f>
        <v>0</v>
      </c>
      <c r="AQ192" s="88">
        <f>SUMIF(月間集計シート!$M$113:$M$132,$G192,月間集計シート!S$113:S$132)*AQ$2</f>
        <v>0</v>
      </c>
      <c r="AR192" s="88">
        <f>SUMIF(月間集計シート!$M$113:$M$132,$G192,月間集計シート!T$113:T$132)*AR$2</f>
        <v>0</v>
      </c>
      <c r="AS192" s="88">
        <f>SUMIF(月間集計シート!$M$134:$M$153,$G192,月間集計シート!N$134:N$153)*AS$2</f>
        <v>0</v>
      </c>
      <c r="AT192" s="88">
        <f>SUMIF(月間集計シート!$M$134:$M$153,$G192,月間集計シート!O$134:O$153)*AT$2</f>
        <v>0</v>
      </c>
      <c r="AU192" s="88">
        <f>SUMIF(月間集計シート!$M$134:$M$153,$G192,月間集計シート!P$134:P$153)*AU$2</f>
        <v>0</v>
      </c>
      <c r="AV192" s="88">
        <f>SUMIF(月間集計シート!$M$134:$M$153,$G192,月間集計シート!Q$134:Q$153)*AV$2</f>
        <v>0</v>
      </c>
      <c r="AW192" s="88">
        <f>SUMIF(月間集計シート!$M$134:$M$153,$G192,月間集計シート!R$134:R$153)*AW$2</f>
        <v>0</v>
      </c>
      <c r="AX192" s="88">
        <f>SUMIF(月間集計シート!$M$134:$M$153,$G192,月間集計シート!S$134:S$153)*AX$2</f>
        <v>0</v>
      </c>
      <c r="AY192" s="88">
        <f>SUMIF(月間集計シート!$M$134:$M$153,$G192,月間集計シート!T$134:T$153)*AY$2</f>
        <v>0</v>
      </c>
    </row>
    <row r="193" spans="1:51" ht="14.25" thickBot="1">
      <c r="A193">
        <v>3</v>
      </c>
      <c r="B193" s="120">
        <f t="shared" si="77"/>
        <v>0</v>
      </c>
      <c r="C193" s="120" t="str">
        <f t="shared" si="78"/>
        <v/>
      </c>
      <c r="D193" s="137"/>
      <c r="E193" s="150" t="str">
        <f>工種!A15</f>
        <v>30101</v>
      </c>
      <c r="F193" s="119" t="str">
        <f>工種!B15</f>
        <v>製造：内部設計書作成</v>
      </c>
      <c r="G193" s="116" t="str">
        <f t="shared" si="79"/>
        <v>030101</v>
      </c>
      <c r="H193" s="88">
        <f t="shared" si="71"/>
        <v>0</v>
      </c>
      <c r="I193" s="132"/>
      <c r="J193" s="88">
        <f>SUMIF(月間集計シート!$M$29:$M$48,$G193,月間集計シート!N$29:N$48)*J$2</f>
        <v>0</v>
      </c>
      <c r="K193" s="88">
        <f>SUMIF(月間集計シート!$M$29:$M$48,$G193,月間集計シート!O$29:O$48)*K$2</f>
        <v>0</v>
      </c>
      <c r="L193" s="88">
        <f>SUMIF(月間集計シート!$M$29:$M$48,$G193,月間集計シート!P$29:P$48)*L$2</f>
        <v>0</v>
      </c>
      <c r="M193" s="88">
        <f>SUMIF(月間集計シート!$M$29:$M$48,$G193,月間集計シート!Q$29:Q$48)*M$2</f>
        <v>0</v>
      </c>
      <c r="N193" s="88">
        <f>SUMIF(月間集計シート!$M$29:$M$48,$G193,月間集計シート!R$29:R$48)*N$2</f>
        <v>0</v>
      </c>
      <c r="O193" s="88">
        <f>SUMIF(月間集計シート!$M$29:$M$48,$G193,月間集計シート!S$29:S$48)*O$2</f>
        <v>0</v>
      </c>
      <c r="P193" s="88">
        <f>SUMIF(月間集計シート!$M$29:$M$48,$G193,月間集計シート!T$29:T$48)*P$2</f>
        <v>0</v>
      </c>
      <c r="Q193" s="88">
        <f>SUMIF(月間集計シート!$M$50:$M$69,$G193,月間集計シート!N$50:N$69)*Q$2</f>
        <v>0</v>
      </c>
      <c r="R193" s="88">
        <f>SUMIF(月間集計シート!$M$50:$M$69,$G193,月間集計シート!O$50:O$69)*R$2</f>
        <v>0</v>
      </c>
      <c r="S193" s="88">
        <f>SUMIF(月間集計シート!$M$50:$M$69,$G193,月間集計シート!P$50:P$69)*S$2</f>
        <v>0</v>
      </c>
      <c r="T193" s="88">
        <f>SUMIF(月間集計シート!$M$50:$M$69,$G193,月間集計シート!Q$50:Q$69)*T$2</f>
        <v>0</v>
      </c>
      <c r="U193" s="88">
        <f>SUMIF(月間集計シート!$M$50:$M$69,$G193,月間集計シート!R$50:R$69)*U$2</f>
        <v>0</v>
      </c>
      <c r="V193" s="88">
        <f>SUMIF(月間集計シート!$M$50:$M$69,$G193,月間集計シート!S$50:S$69)*V$2</f>
        <v>0</v>
      </c>
      <c r="W193" s="88">
        <f>SUMIF(月間集計シート!$M$50:$M$69,$G193,月間集計シート!T$50:T$69)*W$2</f>
        <v>0</v>
      </c>
      <c r="X193" s="88">
        <f>SUMIF(月間集計シート!$M$71:$M$90,$G193,月間集計シート!N$71:N$90)*X$2</f>
        <v>0</v>
      </c>
      <c r="Y193" s="88">
        <f>SUMIF(月間集計シート!$M$71:$M$90,$G193,月間集計シート!O$71:O$90)*Y$2</f>
        <v>0</v>
      </c>
      <c r="Z193" s="88">
        <f>SUMIF(月間集計シート!$M$71:$M$90,$G193,月間集計シート!P$71:P$90)*Z$2</f>
        <v>0</v>
      </c>
      <c r="AA193" s="88">
        <f>SUMIF(月間集計シート!$M$71:$M$90,$G193,月間集計シート!Q$71:Q$90)*AA$2</f>
        <v>0</v>
      </c>
      <c r="AB193" s="88">
        <f>SUMIF(月間集計シート!$M$71:$M$90,$G193,月間集計シート!R$71:R$90)*AB$2</f>
        <v>0</v>
      </c>
      <c r="AC193" s="88">
        <f>SUMIF(月間集計シート!$M$71:$M$90,$G193,月間集計シート!S$71:S$90)*AC$2</f>
        <v>0</v>
      </c>
      <c r="AD193" s="88">
        <f>SUMIF(月間集計シート!$M$71:$M$90,$G193,月間集計シート!T$71:T$90)*AD$2</f>
        <v>0</v>
      </c>
      <c r="AE193" s="88">
        <f>SUMIF(月間集計シート!$M$92:$M$111,$G193,月間集計シート!N$92:N$111)*AE$2</f>
        <v>0</v>
      </c>
      <c r="AF193" s="88">
        <f>SUMIF(月間集計シート!$M$92:$M$111,$G193,月間集計シート!O$92:O$111)*AF$2</f>
        <v>0</v>
      </c>
      <c r="AG193" s="88">
        <f>SUMIF(月間集計シート!$M$92:$M$111,$G193,月間集計シート!P$92:P$111)*AG$2</f>
        <v>0</v>
      </c>
      <c r="AH193" s="88">
        <f>SUMIF(月間集計シート!$M$92:$M$111,$G193,月間集計シート!Q$92:Q$111)*AH$2</f>
        <v>0</v>
      </c>
      <c r="AI193" s="88">
        <f>SUMIF(月間集計シート!$M$92:$M$111,$G193,月間集計シート!R$92:R$111)*AI$2</f>
        <v>0</v>
      </c>
      <c r="AJ193" s="88">
        <f>SUMIF(月間集計シート!$M$92:$M$111,$G193,月間集計シート!S$92:S$111)*AJ$2</f>
        <v>0</v>
      </c>
      <c r="AK193" s="88">
        <f>SUMIF(月間集計シート!$M$92:$M$111,$G193,月間集計シート!T$92:T$111)*AK$2</f>
        <v>0</v>
      </c>
      <c r="AL193" s="88">
        <f>SUMIF(月間集計シート!$M$113:$M$132,$G193,月間集計シート!N$113:N$132)*AL$2</f>
        <v>0</v>
      </c>
      <c r="AM193" s="88">
        <f>SUMIF(月間集計シート!$M$113:$M$132,$G193,月間集計シート!O$113:O$132)*AM$2</f>
        <v>0</v>
      </c>
      <c r="AN193" s="88">
        <f>SUMIF(月間集計シート!$M$113:$M$132,$G193,月間集計シート!P$113:P$132)*AN$2</f>
        <v>0</v>
      </c>
      <c r="AO193" s="88">
        <f>SUMIF(月間集計シート!$M$113:$M$132,$G193,月間集計シート!Q$113:Q$132)*AO$2</f>
        <v>0</v>
      </c>
      <c r="AP193" s="88">
        <f>SUMIF(月間集計シート!$M$113:$M$132,$G193,月間集計シート!R$113:R$132)*AP$2</f>
        <v>0</v>
      </c>
      <c r="AQ193" s="88">
        <f>SUMIF(月間集計シート!$M$113:$M$132,$G193,月間集計シート!S$113:S$132)*AQ$2</f>
        <v>0</v>
      </c>
      <c r="AR193" s="88">
        <f>SUMIF(月間集計シート!$M$113:$M$132,$G193,月間集計シート!T$113:T$132)*AR$2</f>
        <v>0</v>
      </c>
      <c r="AS193" s="88">
        <f>SUMIF(月間集計シート!$M$134:$M$153,$G193,月間集計シート!N$134:N$153)*AS$2</f>
        <v>0</v>
      </c>
      <c r="AT193" s="88">
        <f>SUMIF(月間集計シート!$M$134:$M$153,$G193,月間集計シート!O$134:O$153)*AT$2</f>
        <v>0</v>
      </c>
      <c r="AU193" s="88">
        <f>SUMIF(月間集計シート!$M$134:$M$153,$G193,月間集計シート!P$134:P$153)*AU$2</f>
        <v>0</v>
      </c>
      <c r="AV193" s="88">
        <f>SUMIF(月間集計シート!$M$134:$M$153,$G193,月間集計シート!Q$134:Q$153)*AV$2</f>
        <v>0</v>
      </c>
      <c r="AW193" s="88">
        <f>SUMIF(月間集計シート!$M$134:$M$153,$G193,月間集計シート!R$134:R$153)*AW$2</f>
        <v>0</v>
      </c>
      <c r="AX193" s="88">
        <f>SUMIF(月間集計シート!$M$134:$M$153,$G193,月間集計シート!S$134:S$153)*AX$2</f>
        <v>0</v>
      </c>
      <c r="AY193" s="88">
        <f>SUMIF(月間集計シート!$M$134:$M$153,$G193,月間集計シート!T$134:T$153)*AY$2</f>
        <v>0</v>
      </c>
    </row>
    <row r="194" spans="1:51" ht="14.25" thickBot="1">
      <c r="A194">
        <v>3</v>
      </c>
      <c r="B194" s="120">
        <f t="shared" si="77"/>
        <v>0</v>
      </c>
      <c r="C194" s="120" t="str">
        <f t="shared" si="78"/>
        <v/>
      </c>
      <c r="D194" s="137"/>
      <c r="E194" s="150" t="str">
        <f>工種!A16</f>
        <v>30102</v>
      </c>
      <c r="F194" s="119" t="str">
        <f>工種!B16</f>
        <v>製造：コーディング</v>
      </c>
      <c r="G194" s="116" t="str">
        <f t="shared" si="79"/>
        <v>030102</v>
      </c>
      <c r="H194" s="88">
        <f t="shared" si="71"/>
        <v>0</v>
      </c>
      <c r="I194" s="132"/>
      <c r="J194" s="88">
        <f>SUMIF(月間集計シート!$M$29:$M$48,$G194,月間集計シート!N$29:N$48)*J$2</f>
        <v>0</v>
      </c>
      <c r="K194" s="88">
        <f>SUMIF(月間集計シート!$M$29:$M$48,$G194,月間集計シート!O$29:O$48)*K$2</f>
        <v>0</v>
      </c>
      <c r="L194" s="88">
        <f>SUMIF(月間集計シート!$M$29:$M$48,$G194,月間集計シート!P$29:P$48)*L$2</f>
        <v>0</v>
      </c>
      <c r="M194" s="88">
        <f>SUMIF(月間集計シート!$M$29:$M$48,$G194,月間集計シート!Q$29:Q$48)*M$2</f>
        <v>0</v>
      </c>
      <c r="N194" s="88">
        <f>SUMIF(月間集計シート!$M$29:$M$48,$G194,月間集計シート!R$29:R$48)*N$2</f>
        <v>0</v>
      </c>
      <c r="O194" s="88">
        <f>SUMIF(月間集計シート!$M$29:$M$48,$G194,月間集計シート!S$29:S$48)*O$2</f>
        <v>0</v>
      </c>
      <c r="P194" s="88">
        <f>SUMIF(月間集計シート!$M$29:$M$48,$G194,月間集計シート!T$29:T$48)*P$2</f>
        <v>0</v>
      </c>
      <c r="Q194" s="88">
        <f>SUMIF(月間集計シート!$M$50:$M$69,$G194,月間集計シート!N$50:N$69)*Q$2</f>
        <v>0</v>
      </c>
      <c r="R194" s="88">
        <f>SUMIF(月間集計シート!$M$50:$M$69,$G194,月間集計シート!O$50:O$69)*R$2</f>
        <v>0</v>
      </c>
      <c r="S194" s="88">
        <f>SUMIF(月間集計シート!$M$50:$M$69,$G194,月間集計シート!P$50:P$69)*S$2</f>
        <v>0</v>
      </c>
      <c r="T194" s="88">
        <f>SUMIF(月間集計シート!$M$50:$M$69,$G194,月間集計シート!Q$50:Q$69)*T$2</f>
        <v>0</v>
      </c>
      <c r="U194" s="88">
        <f>SUMIF(月間集計シート!$M$50:$M$69,$G194,月間集計シート!R$50:R$69)*U$2</f>
        <v>0</v>
      </c>
      <c r="V194" s="88">
        <f>SUMIF(月間集計シート!$M$50:$M$69,$G194,月間集計シート!S$50:S$69)*V$2</f>
        <v>0</v>
      </c>
      <c r="W194" s="88">
        <f>SUMIF(月間集計シート!$M$50:$M$69,$G194,月間集計シート!T$50:T$69)*W$2</f>
        <v>0</v>
      </c>
      <c r="X194" s="88">
        <f>SUMIF(月間集計シート!$M$71:$M$90,$G194,月間集計シート!N$71:N$90)*X$2</f>
        <v>0</v>
      </c>
      <c r="Y194" s="88">
        <f>SUMIF(月間集計シート!$M$71:$M$90,$G194,月間集計シート!O$71:O$90)*Y$2</f>
        <v>0</v>
      </c>
      <c r="Z194" s="88">
        <f>SUMIF(月間集計シート!$M$71:$M$90,$G194,月間集計シート!P$71:P$90)*Z$2</f>
        <v>0</v>
      </c>
      <c r="AA194" s="88">
        <f>SUMIF(月間集計シート!$M$71:$M$90,$G194,月間集計シート!Q$71:Q$90)*AA$2</f>
        <v>0</v>
      </c>
      <c r="AB194" s="88">
        <f>SUMIF(月間集計シート!$M$71:$M$90,$G194,月間集計シート!R$71:R$90)*AB$2</f>
        <v>0</v>
      </c>
      <c r="AC194" s="88">
        <f>SUMIF(月間集計シート!$M$71:$M$90,$G194,月間集計シート!S$71:S$90)*AC$2</f>
        <v>0</v>
      </c>
      <c r="AD194" s="88">
        <f>SUMIF(月間集計シート!$M$71:$M$90,$G194,月間集計シート!T$71:T$90)*AD$2</f>
        <v>0</v>
      </c>
      <c r="AE194" s="88">
        <f>SUMIF(月間集計シート!$M$92:$M$111,$G194,月間集計シート!N$92:N$111)*AE$2</f>
        <v>0</v>
      </c>
      <c r="AF194" s="88">
        <f>SUMIF(月間集計シート!$M$92:$M$111,$G194,月間集計シート!O$92:O$111)*AF$2</f>
        <v>0</v>
      </c>
      <c r="AG194" s="88">
        <f>SUMIF(月間集計シート!$M$92:$M$111,$G194,月間集計シート!P$92:P$111)*AG$2</f>
        <v>0</v>
      </c>
      <c r="AH194" s="88">
        <f>SUMIF(月間集計シート!$M$92:$M$111,$G194,月間集計シート!Q$92:Q$111)*AH$2</f>
        <v>0</v>
      </c>
      <c r="AI194" s="88">
        <f>SUMIF(月間集計シート!$M$92:$M$111,$G194,月間集計シート!R$92:R$111)*AI$2</f>
        <v>0</v>
      </c>
      <c r="AJ194" s="88">
        <f>SUMIF(月間集計シート!$M$92:$M$111,$G194,月間集計シート!S$92:S$111)*AJ$2</f>
        <v>0</v>
      </c>
      <c r="AK194" s="88">
        <f>SUMIF(月間集計シート!$M$92:$M$111,$G194,月間集計シート!T$92:T$111)*AK$2</f>
        <v>0</v>
      </c>
      <c r="AL194" s="88">
        <f>SUMIF(月間集計シート!$M$113:$M$132,$G194,月間集計シート!N$113:N$132)*AL$2</f>
        <v>0</v>
      </c>
      <c r="AM194" s="88">
        <f>SUMIF(月間集計シート!$M$113:$M$132,$G194,月間集計シート!O$113:O$132)*AM$2</f>
        <v>0</v>
      </c>
      <c r="AN194" s="88">
        <f>SUMIF(月間集計シート!$M$113:$M$132,$G194,月間集計シート!P$113:P$132)*AN$2</f>
        <v>0</v>
      </c>
      <c r="AO194" s="88">
        <f>SUMIF(月間集計シート!$M$113:$M$132,$G194,月間集計シート!Q$113:Q$132)*AO$2</f>
        <v>0</v>
      </c>
      <c r="AP194" s="88">
        <f>SUMIF(月間集計シート!$M$113:$M$132,$G194,月間集計シート!R$113:R$132)*AP$2</f>
        <v>0</v>
      </c>
      <c r="AQ194" s="88">
        <f>SUMIF(月間集計シート!$M$113:$M$132,$G194,月間集計シート!S$113:S$132)*AQ$2</f>
        <v>0</v>
      </c>
      <c r="AR194" s="88">
        <f>SUMIF(月間集計シート!$M$113:$M$132,$G194,月間集計シート!T$113:T$132)*AR$2</f>
        <v>0</v>
      </c>
      <c r="AS194" s="88">
        <f>SUMIF(月間集計シート!$M$134:$M$153,$G194,月間集計シート!N$134:N$153)*AS$2</f>
        <v>0</v>
      </c>
      <c r="AT194" s="88">
        <f>SUMIF(月間集計シート!$M$134:$M$153,$G194,月間集計シート!O$134:O$153)*AT$2</f>
        <v>0</v>
      </c>
      <c r="AU194" s="88">
        <f>SUMIF(月間集計シート!$M$134:$M$153,$G194,月間集計シート!P$134:P$153)*AU$2</f>
        <v>0</v>
      </c>
      <c r="AV194" s="88">
        <f>SUMIF(月間集計シート!$M$134:$M$153,$G194,月間集計シート!Q$134:Q$153)*AV$2</f>
        <v>0</v>
      </c>
      <c r="AW194" s="88">
        <f>SUMIF(月間集計シート!$M$134:$M$153,$G194,月間集計シート!R$134:R$153)*AW$2</f>
        <v>0</v>
      </c>
      <c r="AX194" s="88">
        <f>SUMIF(月間集計シート!$M$134:$M$153,$G194,月間集計シート!S$134:S$153)*AX$2</f>
        <v>0</v>
      </c>
      <c r="AY194" s="88">
        <f>SUMIF(月間集計シート!$M$134:$M$153,$G194,月間集計シート!T$134:T$153)*AY$2</f>
        <v>0</v>
      </c>
    </row>
    <row r="195" spans="1:51" ht="14.25" thickBot="1">
      <c r="A195">
        <v>3</v>
      </c>
      <c r="B195" s="120">
        <f t="shared" si="77"/>
        <v>0</v>
      </c>
      <c r="C195" s="120" t="str">
        <f t="shared" si="78"/>
        <v/>
      </c>
      <c r="D195" s="137"/>
      <c r="E195" s="150" t="str">
        <f>工種!A17</f>
        <v>30103</v>
      </c>
      <c r="F195" s="119" t="str">
        <f>工種!B17</f>
        <v>製造：単体テスト設計書作成</v>
      </c>
      <c r="G195" s="116" t="str">
        <f t="shared" si="79"/>
        <v>030103</v>
      </c>
      <c r="H195" s="88">
        <f t="shared" si="71"/>
        <v>0</v>
      </c>
      <c r="I195" s="132"/>
      <c r="J195" s="88">
        <f>SUMIF(月間集計シート!$M$29:$M$48,$G195,月間集計シート!N$29:N$48)*J$2</f>
        <v>0</v>
      </c>
      <c r="K195" s="88">
        <f>SUMIF(月間集計シート!$M$29:$M$48,$G195,月間集計シート!O$29:O$48)*K$2</f>
        <v>0</v>
      </c>
      <c r="L195" s="88">
        <f>SUMIF(月間集計シート!$M$29:$M$48,$G195,月間集計シート!P$29:P$48)*L$2</f>
        <v>0</v>
      </c>
      <c r="M195" s="88">
        <f>SUMIF(月間集計シート!$M$29:$M$48,$G195,月間集計シート!Q$29:Q$48)*M$2</f>
        <v>0</v>
      </c>
      <c r="N195" s="88">
        <f>SUMIF(月間集計シート!$M$29:$M$48,$G195,月間集計シート!R$29:R$48)*N$2</f>
        <v>0</v>
      </c>
      <c r="O195" s="88">
        <f>SUMIF(月間集計シート!$M$29:$M$48,$G195,月間集計シート!S$29:S$48)*O$2</f>
        <v>0</v>
      </c>
      <c r="P195" s="88">
        <f>SUMIF(月間集計シート!$M$29:$M$48,$G195,月間集計シート!T$29:T$48)*P$2</f>
        <v>0</v>
      </c>
      <c r="Q195" s="88">
        <f>SUMIF(月間集計シート!$M$50:$M$69,$G195,月間集計シート!N$50:N$69)*Q$2</f>
        <v>0</v>
      </c>
      <c r="R195" s="88">
        <f>SUMIF(月間集計シート!$M$50:$M$69,$G195,月間集計シート!O$50:O$69)*R$2</f>
        <v>0</v>
      </c>
      <c r="S195" s="88">
        <f>SUMIF(月間集計シート!$M$50:$M$69,$G195,月間集計シート!P$50:P$69)*S$2</f>
        <v>0</v>
      </c>
      <c r="T195" s="88">
        <f>SUMIF(月間集計シート!$M$50:$M$69,$G195,月間集計シート!Q$50:Q$69)*T$2</f>
        <v>0</v>
      </c>
      <c r="U195" s="88">
        <f>SUMIF(月間集計シート!$M$50:$M$69,$G195,月間集計シート!R$50:R$69)*U$2</f>
        <v>0</v>
      </c>
      <c r="V195" s="88">
        <f>SUMIF(月間集計シート!$M$50:$M$69,$G195,月間集計シート!S$50:S$69)*V$2</f>
        <v>0</v>
      </c>
      <c r="W195" s="88">
        <f>SUMIF(月間集計シート!$M$50:$M$69,$G195,月間集計シート!T$50:T$69)*W$2</f>
        <v>0</v>
      </c>
      <c r="X195" s="88">
        <f>SUMIF(月間集計シート!$M$71:$M$90,$G195,月間集計シート!N$71:N$90)*X$2</f>
        <v>0</v>
      </c>
      <c r="Y195" s="88">
        <f>SUMIF(月間集計シート!$M$71:$M$90,$G195,月間集計シート!O$71:O$90)*Y$2</f>
        <v>0</v>
      </c>
      <c r="Z195" s="88">
        <f>SUMIF(月間集計シート!$M$71:$M$90,$G195,月間集計シート!P$71:P$90)*Z$2</f>
        <v>0</v>
      </c>
      <c r="AA195" s="88">
        <f>SUMIF(月間集計シート!$M$71:$M$90,$G195,月間集計シート!Q$71:Q$90)*AA$2</f>
        <v>0</v>
      </c>
      <c r="AB195" s="88">
        <f>SUMIF(月間集計シート!$M$71:$M$90,$G195,月間集計シート!R$71:R$90)*AB$2</f>
        <v>0</v>
      </c>
      <c r="AC195" s="88">
        <f>SUMIF(月間集計シート!$M$71:$M$90,$G195,月間集計シート!S$71:S$90)*AC$2</f>
        <v>0</v>
      </c>
      <c r="AD195" s="88">
        <f>SUMIF(月間集計シート!$M$71:$M$90,$G195,月間集計シート!T$71:T$90)*AD$2</f>
        <v>0</v>
      </c>
      <c r="AE195" s="88">
        <f>SUMIF(月間集計シート!$M$92:$M$111,$G195,月間集計シート!N$92:N$111)*AE$2</f>
        <v>0</v>
      </c>
      <c r="AF195" s="88">
        <f>SUMIF(月間集計シート!$M$92:$M$111,$G195,月間集計シート!O$92:O$111)*AF$2</f>
        <v>0</v>
      </c>
      <c r="AG195" s="88">
        <f>SUMIF(月間集計シート!$M$92:$M$111,$G195,月間集計シート!P$92:P$111)*AG$2</f>
        <v>0</v>
      </c>
      <c r="AH195" s="88">
        <f>SUMIF(月間集計シート!$M$92:$M$111,$G195,月間集計シート!Q$92:Q$111)*AH$2</f>
        <v>0</v>
      </c>
      <c r="AI195" s="88">
        <f>SUMIF(月間集計シート!$M$92:$M$111,$G195,月間集計シート!R$92:R$111)*AI$2</f>
        <v>0</v>
      </c>
      <c r="AJ195" s="88">
        <f>SUMIF(月間集計シート!$M$92:$M$111,$G195,月間集計シート!S$92:S$111)*AJ$2</f>
        <v>0</v>
      </c>
      <c r="AK195" s="88">
        <f>SUMIF(月間集計シート!$M$92:$M$111,$G195,月間集計シート!T$92:T$111)*AK$2</f>
        <v>0</v>
      </c>
      <c r="AL195" s="88">
        <f>SUMIF(月間集計シート!$M$113:$M$132,$G195,月間集計シート!N$113:N$132)*AL$2</f>
        <v>0</v>
      </c>
      <c r="AM195" s="88">
        <f>SUMIF(月間集計シート!$M$113:$M$132,$G195,月間集計シート!O$113:O$132)*AM$2</f>
        <v>0</v>
      </c>
      <c r="AN195" s="88">
        <f>SUMIF(月間集計シート!$M$113:$M$132,$G195,月間集計シート!P$113:P$132)*AN$2</f>
        <v>0</v>
      </c>
      <c r="AO195" s="88">
        <f>SUMIF(月間集計シート!$M$113:$M$132,$G195,月間集計シート!Q$113:Q$132)*AO$2</f>
        <v>0</v>
      </c>
      <c r="AP195" s="88">
        <f>SUMIF(月間集計シート!$M$113:$M$132,$G195,月間集計シート!R$113:R$132)*AP$2</f>
        <v>0</v>
      </c>
      <c r="AQ195" s="88">
        <f>SUMIF(月間集計シート!$M$113:$M$132,$G195,月間集計シート!S$113:S$132)*AQ$2</f>
        <v>0</v>
      </c>
      <c r="AR195" s="88">
        <f>SUMIF(月間集計シート!$M$113:$M$132,$G195,月間集計シート!T$113:T$132)*AR$2</f>
        <v>0</v>
      </c>
      <c r="AS195" s="88">
        <f>SUMIF(月間集計シート!$M$134:$M$153,$G195,月間集計シート!N$134:N$153)*AS$2</f>
        <v>0</v>
      </c>
      <c r="AT195" s="88">
        <f>SUMIF(月間集計シート!$M$134:$M$153,$G195,月間集計シート!O$134:O$153)*AT$2</f>
        <v>0</v>
      </c>
      <c r="AU195" s="88">
        <f>SUMIF(月間集計シート!$M$134:$M$153,$G195,月間集計シート!P$134:P$153)*AU$2</f>
        <v>0</v>
      </c>
      <c r="AV195" s="88">
        <f>SUMIF(月間集計シート!$M$134:$M$153,$G195,月間集計シート!Q$134:Q$153)*AV$2</f>
        <v>0</v>
      </c>
      <c r="AW195" s="88">
        <f>SUMIF(月間集計シート!$M$134:$M$153,$G195,月間集計シート!R$134:R$153)*AW$2</f>
        <v>0</v>
      </c>
      <c r="AX195" s="88">
        <f>SUMIF(月間集計シート!$M$134:$M$153,$G195,月間集計シート!S$134:S$153)*AX$2</f>
        <v>0</v>
      </c>
      <c r="AY195" s="88">
        <f>SUMIF(月間集計シート!$M$134:$M$153,$G195,月間集計シート!T$134:T$153)*AY$2</f>
        <v>0</v>
      </c>
    </row>
    <row r="196" spans="1:51" ht="14.25" thickBot="1">
      <c r="A196">
        <v>3</v>
      </c>
      <c r="B196" s="120">
        <f t="shared" si="77"/>
        <v>0</v>
      </c>
      <c r="C196" s="120" t="str">
        <f t="shared" si="78"/>
        <v/>
      </c>
      <c r="D196" s="137"/>
      <c r="E196" s="150" t="str">
        <f>工種!A18</f>
        <v>30104</v>
      </c>
      <c r="F196" s="119" t="str">
        <f>工種!B18</f>
        <v>製造：単体テスト実施</v>
      </c>
      <c r="G196" s="116" t="str">
        <f t="shared" si="79"/>
        <v>030104</v>
      </c>
      <c r="H196" s="88">
        <f t="shared" si="71"/>
        <v>0</v>
      </c>
      <c r="I196" s="132"/>
      <c r="J196" s="88">
        <f>SUMIF(月間集計シート!$M$29:$M$48,$G196,月間集計シート!N$29:N$48)*J$2</f>
        <v>0</v>
      </c>
      <c r="K196" s="88">
        <f>SUMIF(月間集計シート!$M$29:$M$48,$G196,月間集計シート!O$29:O$48)*K$2</f>
        <v>0</v>
      </c>
      <c r="L196" s="88">
        <f>SUMIF(月間集計シート!$M$29:$M$48,$G196,月間集計シート!P$29:P$48)*L$2</f>
        <v>0</v>
      </c>
      <c r="M196" s="88">
        <f>SUMIF(月間集計シート!$M$29:$M$48,$G196,月間集計シート!Q$29:Q$48)*M$2</f>
        <v>0</v>
      </c>
      <c r="N196" s="88">
        <f>SUMIF(月間集計シート!$M$29:$M$48,$G196,月間集計シート!R$29:R$48)*N$2</f>
        <v>0</v>
      </c>
      <c r="O196" s="88">
        <f>SUMIF(月間集計シート!$M$29:$M$48,$G196,月間集計シート!S$29:S$48)*O$2</f>
        <v>0</v>
      </c>
      <c r="P196" s="88">
        <f>SUMIF(月間集計シート!$M$29:$M$48,$G196,月間集計シート!T$29:T$48)*P$2</f>
        <v>0</v>
      </c>
      <c r="Q196" s="88">
        <f>SUMIF(月間集計シート!$M$50:$M$69,$G196,月間集計シート!N$50:N$69)*Q$2</f>
        <v>0</v>
      </c>
      <c r="R196" s="88">
        <f>SUMIF(月間集計シート!$M$50:$M$69,$G196,月間集計シート!O$50:O$69)*R$2</f>
        <v>0</v>
      </c>
      <c r="S196" s="88">
        <f>SUMIF(月間集計シート!$M$50:$M$69,$G196,月間集計シート!P$50:P$69)*S$2</f>
        <v>0</v>
      </c>
      <c r="T196" s="88">
        <f>SUMIF(月間集計シート!$M$50:$M$69,$G196,月間集計シート!Q$50:Q$69)*T$2</f>
        <v>0</v>
      </c>
      <c r="U196" s="88">
        <f>SUMIF(月間集計シート!$M$50:$M$69,$G196,月間集計シート!R$50:R$69)*U$2</f>
        <v>0</v>
      </c>
      <c r="V196" s="88">
        <f>SUMIF(月間集計シート!$M$50:$M$69,$G196,月間集計シート!S$50:S$69)*V$2</f>
        <v>0</v>
      </c>
      <c r="W196" s="88">
        <f>SUMIF(月間集計シート!$M$50:$M$69,$G196,月間集計シート!T$50:T$69)*W$2</f>
        <v>0</v>
      </c>
      <c r="X196" s="88">
        <f>SUMIF(月間集計シート!$M$71:$M$90,$G196,月間集計シート!N$71:N$90)*X$2</f>
        <v>0</v>
      </c>
      <c r="Y196" s="88">
        <f>SUMIF(月間集計シート!$M$71:$M$90,$G196,月間集計シート!O$71:O$90)*Y$2</f>
        <v>0</v>
      </c>
      <c r="Z196" s="88">
        <f>SUMIF(月間集計シート!$M$71:$M$90,$G196,月間集計シート!P$71:P$90)*Z$2</f>
        <v>0</v>
      </c>
      <c r="AA196" s="88">
        <f>SUMIF(月間集計シート!$M$71:$M$90,$G196,月間集計シート!Q$71:Q$90)*AA$2</f>
        <v>0</v>
      </c>
      <c r="AB196" s="88">
        <f>SUMIF(月間集計シート!$M$71:$M$90,$G196,月間集計シート!R$71:R$90)*AB$2</f>
        <v>0</v>
      </c>
      <c r="AC196" s="88">
        <f>SUMIF(月間集計シート!$M$71:$M$90,$G196,月間集計シート!S$71:S$90)*AC$2</f>
        <v>0</v>
      </c>
      <c r="AD196" s="88">
        <f>SUMIF(月間集計シート!$M$71:$M$90,$G196,月間集計シート!T$71:T$90)*AD$2</f>
        <v>0</v>
      </c>
      <c r="AE196" s="88">
        <f>SUMIF(月間集計シート!$M$92:$M$111,$G196,月間集計シート!N$92:N$111)*AE$2</f>
        <v>0</v>
      </c>
      <c r="AF196" s="88">
        <f>SUMIF(月間集計シート!$M$92:$M$111,$G196,月間集計シート!O$92:O$111)*AF$2</f>
        <v>0</v>
      </c>
      <c r="AG196" s="88">
        <f>SUMIF(月間集計シート!$M$92:$M$111,$G196,月間集計シート!P$92:P$111)*AG$2</f>
        <v>0</v>
      </c>
      <c r="AH196" s="88">
        <f>SUMIF(月間集計シート!$M$92:$M$111,$G196,月間集計シート!Q$92:Q$111)*AH$2</f>
        <v>0</v>
      </c>
      <c r="AI196" s="88">
        <f>SUMIF(月間集計シート!$M$92:$M$111,$G196,月間集計シート!R$92:R$111)*AI$2</f>
        <v>0</v>
      </c>
      <c r="AJ196" s="88">
        <f>SUMIF(月間集計シート!$M$92:$M$111,$G196,月間集計シート!S$92:S$111)*AJ$2</f>
        <v>0</v>
      </c>
      <c r="AK196" s="88">
        <f>SUMIF(月間集計シート!$M$92:$M$111,$G196,月間集計シート!T$92:T$111)*AK$2</f>
        <v>0</v>
      </c>
      <c r="AL196" s="88">
        <f>SUMIF(月間集計シート!$M$113:$M$132,$G196,月間集計シート!N$113:N$132)*AL$2</f>
        <v>0</v>
      </c>
      <c r="AM196" s="88">
        <f>SUMIF(月間集計シート!$M$113:$M$132,$G196,月間集計シート!O$113:O$132)*AM$2</f>
        <v>0</v>
      </c>
      <c r="AN196" s="88">
        <f>SUMIF(月間集計シート!$M$113:$M$132,$G196,月間集計シート!P$113:P$132)*AN$2</f>
        <v>0</v>
      </c>
      <c r="AO196" s="88">
        <f>SUMIF(月間集計シート!$M$113:$M$132,$G196,月間集計シート!Q$113:Q$132)*AO$2</f>
        <v>0</v>
      </c>
      <c r="AP196" s="88">
        <f>SUMIF(月間集計シート!$M$113:$M$132,$G196,月間集計シート!R$113:R$132)*AP$2</f>
        <v>0</v>
      </c>
      <c r="AQ196" s="88">
        <f>SUMIF(月間集計シート!$M$113:$M$132,$G196,月間集計シート!S$113:S$132)*AQ$2</f>
        <v>0</v>
      </c>
      <c r="AR196" s="88">
        <f>SUMIF(月間集計シート!$M$113:$M$132,$G196,月間集計シート!T$113:T$132)*AR$2</f>
        <v>0</v>
      </c>
      <c r="AS196" s="88">
        <f>SUMIF(月間集計シート!$M$134:$M$153,$G196,月間集計シート!N$134:N$153)*AS$2</f>
        <v>0</v>
      </c>
      <c r="AT196" s="88">
        <f>SUMIF(月間集計シート!$M$134:$M$153,$G196,月間集計シート!O$134:O$153)*AT$2</f>
        <v>0</v>
      </c>
      <c r="AU196" s="88">
        <f>SUMIF(月間集計シート!$M$134:$M$153,$G196,月間集計シート!P$134:P$153)*AU$2</f>
        <v>0</v>
      </c>
      <c r="AV196" s="88">
        <f>SUMIF(月間集計シート!$M$134:$M$153,$G196,月間集計シート!Q$134:Q$153)*AV$2</f>
        <v>0</v>
      </c>
      <c r="AW196" s="88">
        <f>SUMIF(月間集計シート!$M$134:$M$153,$G196,月間集計シート!R$134:R$153)*AW$2</f>
        <v>0</v>
      </c>
      <c r="AX196" s="88">
        <f>SUMIF(月間集計シート!$M$134:$M$153,$G196,月間集計シート!S$134:S$153)*AX$2</f>
        <v>0</v>
      </c>
      <c r="AY196" s="88">
        <f>SUMIF(月間集計シート!$M$134:$M$153,$G196,月間集計シート!T$134:T$153)*AY$2</f>
        <v>0</v>
      </c>
    </row>
    <row r="197" spans="1:51" ht="14.25" thickBot="1">
      <c r="A197">
        <v>3</v>
      </c>
      <c r="B197" s="120">
        <f t="shared" si="77"/>
        <v>0</v>
      </c>
      <c r="C197" s="120" t="str">
        <f t="shared" si="78"/>
        <v/>
      </c>
      <c r="D197" s="137"/>
      <c r="E197" s="150" t="str">
        <f>工種!A19</f>
        <v>30105</v>
      </c>
      <c r="F197" s="119" t="str">
        <f>工種!B19</f>
        <v>製造：打合せ</v>
      </c>
      <c r="G197" s="116" t="str">
        <f t="shared" si="79"/>
        <v>030105</v>
      </c>
      <c r="H197" s="88">
        <f t="shared" si="71"/>
        <v>0</v>
      </c>
      <c r="I197" s="132"/>
      <c r="J197" s="88">
        <f>SUMIF(月間集計シート!$M$29:$M$48,$G197,月間集計シート!N$29:N$48)*J$2</f>
        <v>0</v>
      </c>
      <c r="K197" s="88">
        <f>SUMIF(月間集計シート!$M$29:$M$48,$G197,月間集計シート!O$29:O$48)*K$2</f>
        <v>0</v>
      </c>
      <c r="L197" s="88">
        <f>SUMIF(月間集計シート!$M$29:$M$48,$G197,月間集計シート!P$29:P$48)*L$2</f>
        <v>0</v>
      </c>
      <c r="M197" s="88">
        <f>SUMIF(月間集計シート!$M$29:$M$48,$G197,月間集計シート!Q$29:Q$48)*M$2</f>
        <v>0</v>
      </c>
      <c r="N197" s="88">
        <f>SUMIF(月間集計シート!$M$29:$M$48,$G197,月間集計シート!R$29:R$48)*N$2</f>
        <v>0</v>
      </c>
      <c r="O197" s="88">
        <f>SUMIF(月間集計シート!$M$29:$M$48,$G197,月間集計シート!S$29:S$48)*O$2</f>
        <v>0</v>
      </c>
      <c r="P197" s="88">
        <f>SUMIF(月間集計シート!$M$29:$M$48,$G197,月間集計シート!T$29:T$48)*P$2</f>
        <v>0</v>
      </c>
      <c r="Q197" s="88">
        <f>SUMIF(月間集計シート!$M$50:$M$69,$G197,月間集計シート!N$50:N$69)*Q$2</f>
        <v>0</v>
      </c>
      <c r="R197" s="88">
        <f>SUMIF(月間集計シート!$M$50:$M$69,$G197,月間集計シート!O$50:O$69)*R$2</f>
        <v>0</v>
      </c>
      <c r="S197" s="88">
        <f>SUMIF(月間集計シート!$M$50:$M$69,$G197,月間集計シート!P$50:P$69)*S$2</f>
        <v>0</v>
      </c>
      <c r="T197" s="88">
        <f>SUMIF(月間集計シート!$M$50:$M$69,$G197,月間集計シート!Q$50:Q$69)*T$2</f>
        <v>0</v>
      </c>
      <c r="U197" s="88">
        <f>SUMIF(月間集計シート!$M$50:$M$69,$G197,月間集計シート!R$50:R$69)*U$2</f>
        <v>0</v>
      </c>
      <c r="V197" s="88">
        <f>SUMIF(月間集計シート!$M$50:$M$69,$G197,月間集計シート!S$50:S$69)*V$2</f>
        <v>0</v>
      </c>
      <c r="W197" s="88">
        <f>SUMIF(月間集計シート!$M$50:$M$69,$G197,月間集計シート!T$50:T$69)*W$2</f>
        <v>0</v>
      </c>
      <c r="X197" s="88">
        <f>SUMIF(月間集計シート!$M$71:$M$90,$G197,月間集計シート!N$71:N$90)*X$2</f>
        <v>0</v>
      </c>
      <c r="Y197" s="88">
        <f>SUMIF(月間集計シート!$M$71:$M$90,$G197,月間集計シート!O$71:O$90)*Y$2</f>
        <v>0</v>
      </c>
      <c r="Z197" s="88">
        <f>SUMIF(月間集計シート!$M$71:$M$90,$G197,月間集計シート!P$71:P$90)*Z$2</f>
        <v>0</v>
      </c>
      <c r="AA197" s="88">
        <f>SUMIF(月間集計シート!$M$71:$M$90,$G197,月間集計シート!Q$71:Q$90)*AA$2</f>
        <v>0</v>
      </c>
      <c r="AB197" s="88">
        <f>SUMIF(月間集計シート!$M$71:$M$90,$G197,月間集計シート!R$71:R$90)*AB$2</f>
        <v>0</v>
      </c>
      <c r="AC197" s="88">
        <f>SUMIF(月間集計シート!$M$71:$M$90,$G197,月間集計シート!S$71:S$90)*AC$2</f>
        <v>0</v>
      </c>
      <c r="AD197" s="88">
        <f>SUMIF(月間集計シート!$M$71:$M$90,$G197,月間集計シート!T$71:T$90)*AD$2</f>
        <v>0</v>
      </c>
      <c r="AE197" s="88">
        <f>SUMIF(月間集計シート!$M$92:$M$111,$G197,月間集計シート!N$92:N$111)*AE$2</f>
        <v>0</v>
      </c>
      <c r="AF197" s="88">
        <f>SUMIF(月間集計シート!$M$92:$M$111,$G197,月間集計シート!O$92:O$111)*AF$2</f>
        <v>0</v>
      </c>
      <c r="AG197" s="88">
        <f>SUMIF(月間集計シート!$M$92:$M$111,$G197,月間集計シート!P$92:P$111)*AG$2</f>
        <v>0</v>
      </c>
      <c r="AH197" s="88">
        <f>SUMIF(月間集計シート!$M$92:$M$111,$G197,月間集計シート!Q$92:Q$111)*AH$2</f>
        <v>0</v>
      </c>
      <c r="AI197" s="88">
        <f>SUMIF(月間集計シート!$M$92:$M$111,$G197,月間集計シート!R$92:R$111)*AI$2</f>
        <v>0</v>
      </c>
      <c r="AJ197" s="88">
        <f>SUMIF(月間集計シート!$M$92:$M$111,$G197,月間集計シート!S$92:S$111)*AJ$2</f>
        <v>0</v>
      </c>
      <c r="AK197" s="88">
        <f>SUMIF(月間集計シート!$M$92:$M$111,$G197,月間集計シート!T$92:T$111)*AK$2</f>
        <v>0</v>
      </c>
      <c r="AL197" s="88">
        <f>SUMIF(月間集計シート!$M$113:$M$132,$G197,月間集計シート!N$113:N$132)*AL$2</f>
        <v>0</v>
      </c>
      <c r="AM197" s="88">
        <f>SUMIF(月間集計シート!$M$113:$M$132,$G197,月間集計シート!O$113:O$132)*AM$2</f>
        <v>0</v>
      </c>
      <c r="AN197" s="88">
        <f>SUMIF(月間集計シート!$M$113:$M$132,$G197,月間集計シート!P$113:P$132)*AN$2</f>
        <v>0</v>
      </c>
      <c r="AO197" s="88">
        <f>SUMIF(月間集計シート!$M$113:$M$132,$G197,月間集計シート!Q$113:Q$132)*AO$2</f>
        <v>0</v>
      </c>
      <c r="AP197" s="88">
        <f>SUMIF(月間集計シート!$M$113:$M$132,$G197,月間集計シート!R$113:R$132)*AP$2</f>
        <v>0</v>
      </c>
      <c r="AQ197" s="88">
        <f>SUMIF(月間集計シート!$M$113:$M$132,$G197,月間集計シート!S$113:S$132)*AQ$2</f>
        <v>0</v>
      </c>
      <c r="AR197" s="88">
        <f>SUMIF(月間集計シート!$M$113:$M$132,$G197,月間集計シート!T$113:T$132)*AR$2</f>
        <v>0</v>
      </c>
      <c r="AS197" s="88">
        <f>SUMIF(月間集計シート!$M$134:$M$153,$G197,月間集計シート!N$134:N$153)*AS$2</f>
        <v>0</v>
      </c>
      <c r="AT197" s="88">
        <f>SUMIF(月間集計シート!$M$134:$M$153,$G197,月間集計シート!O$134:O$153)*AT$2</f>
        <v>0</v>
      </c>
      <c r="AU197" s="88">
        <f>SUMIF(月間集計シート!$M$134:$M$153,$G197,月間集計シート!P$134:P$153)*AU$2</f>
        <v>0</v>
      </c>
      <c r="AV197" s="88">
        <f>SUMIF(月間集計シート!$M$134:$M$153,$G197,月間集計シート!Q$134:Q$153)*AV$2</f>
        <v>0</v>
      </c>
      <c r="AW197" s="88">
        <f>SUMIF(月間集計シート!$M$134:$M$153,$G197,月間集計シート!R$134:R$153)*AW$2</f>
        <v>0</v>
      </c>
      <c r="AX197" s="88">
        <f>SUMIF(月間集計シート!$M$134:$M$153,$G197,月間集計シート!S$134:S$153)*AX$2</f>
        <v>0</v>
      </c>
      <c r="AY197" s="88">
        <f>SUMIF(月間集計シート!$M$134:$M$153,$G197,月間集計シート!T$134:T$153)*AY$2</f>
        <v>0</v>
      </c>
    </row>
    <row r="198" spans="1:51" ht="14.25" thickBot="1">
      <c r="A198">
        <v>3</v>
      </c>
      <c r="B198" s="120">
        <f t="shared" si="77"/>
        <v>0</v>
      </c>
      <c r="C198" s="120" t="str">
        <f t="shared" si="78"/>
        <v/>
      </c>
      <c r="D198" s="137"/>
      <c r="E198" s="150" t="str">
        <f>工種!A20</f>
        <v>30106</v>
      </c>
      <c r="F198" s="119" t="str">
        <f>工種!B20</f>
        <v>製造：PG修正（手戻り分）</v>
      </c>
      <c r="G198" s="116" t="str">
        <f t="shared" si="79"/>
        <v>030106</v>
      </c>
      <c r="H198" s="88">
        <f t="shared" si="71"/>
        <v>0</v>
      </c>
      <c r="I198" s="132"/>
      <c r="J198" s="88">
        <f>SUMIF(月間集計シート!$M$29:$M$48,$G198,月間集計シート!N$29:N$48)*J$2</f>
        <v>0</v>
      </c>
      <c r="K198" s="88">
        <f>SUMIF(月間集計シート!$M$29:$M$48,$G198,月間集計シート!O$29:O$48)*K$2</f>
        <v>0</v>
      </c>
      <c r="L198" s="88">
        <f>SUMIF(月間集計シート!$M$29:$M$48,$G198,月間集計シート!P$29:P$48)*L$2</f>
        <v>0</v>
      </c>
      <c r="M198" s="88">
        <f>SUMIF(月間集計シート!$M$29:$M$48,$G198,月間集計シート!Q$29:Q$48)*M$2</f>
        <v>0</v>
      </c>
      <c r="N198" s="88">
        <f>SUMIF(月間集計シート!$M$29:$M$48,$G198,月間集計シート!R$29:R$48)*N$2</f>
        <v>0</v>
      </c>
      <c r="O198" s="88">
        <f>SUMIF(月間集計シート!$M$29:$M$48,$G198,月間集計シート!S$29:S$48)*O$2</f>
        <v>0</v>
      </c>
      <c r="P198" s="88">
        <f>SUMIF(月間集計シート!$M$29:$M$48,$G198,月間集計シート!T$29:T$48)*P$2</f>
        <v>0</v>
      </c>
      <c r="Q198" s="88">
        <f>SUMIF(月間集計シート!$M$50:$M$69,$G198,月間集計シート!N$50:N$69)*Q$2</f>
        <v>0</v>
      </c>
      <c r="R198" s="88">
        <f>SUMIF(月間集計シート!$M$50:$M$69,$G198,月間集計シート!O$50:O$69)*R$2</f>
        <v>0</v>
      </c>
      <c r="S198" s="88">
        <f>SUMIF(月間集計シート!$M$50:$M$69,$G198,月間集計シート!P$50:P$69)*S$2</f>
        <v>0</v>
      </c>
      <c r="T198" s="88">
        <f>SUMIF(月間集計シート!$M$50:$M$69,$G198,月間集計シート!Q$50:Q$69)*T$2</f>
        <v>0</v>
      </c>
      <c r="U198" s="88">
        <f>SUMIF(月間集計シート!$M$50:$M$69,$G198,月間集計シート!R$50:R$69)*U$2</f>
        <v>0</v>
      </c>
      <c r="V198" s="88">
        <f>SUMIF(月間集計シート!$M$50:$M$69,$G198,月間集計シート!S$50:S$69)*V$2</f>
        <v>0</v>
      </c>
      <c r="W198" s="88">
        <f>SUMIF(月間集計シート!$M$50:$M$69,$G198,月間集計シート!T$50:T$69)*W$2</f>
        <v>0</v>
      </c>
      <c r="X198" s="88">
        <f>SUMIF(月間集計シート!$M$71:$M$90,$G198,月間集計シート!N$71:N$90)*X$2</f>
        <v>0</v>
      </c>
      <c r="Y198" s="88">
        <f>SUMIF(月間集計シート!$M$71:$M$90,$G198,月間集計シート!O$71:O$90)*Y$2</f>
        <v>0</v>
      </c>
      <c r="Z198" s="88">
        <f>SUMIF(月間集計シート!$M$71:$M$90,$G198,月間集計シート!P$71:P$90)*Z$2</f>
        <v>0</v>
      </c>
      <c r="AA198" s="88">
        <f>SUMIF(月間集計シート!$M$71:$M$90,$G198,月間集計シート!Q$71:Q$90)*AA$2</f>
        <v>0</v>
      </c>
      <c r="AB198" s="88">
        <f>SUMIF(月間集計シート!$M$71:$M$90,$G198,月間集計シート!R$71:R$90)*AB$2</f>
        <v>0</v>
      </c>
      <c r="AC198" s="88">
        <f>SUMIF(月間集計シート!$M$71:$M$90,$G198,月間集計シート!S$71:S$90)*AC$2</f>
        <v>0</v>
      </c>
      <c r="AD198" s="88">
        <f>SUMIF(月間集計シート!$M$71:$M$90,$G198,月間集計シート!T$71:T$90)*AD$2</f>
        <v>0</v>
      </c>
      <c r="AE198" s="88">
        <f>SUMIF(月間集計シート!$M$92:$M$111,$G198,月間集計シート!N$92:N$111)*AE$2</f>
        <v>0</v>
      </c>
      <c r="AF198" s="88">
        <f>SUMIF(月間集計シート!$M$92:$M$111,$G198,月間集計シート!O$92:O$111)*AF$2</f>
        <v>0</v>
      </c>
      <c r="AG198" s="88">
        <f>SUMIF(月間集計シート!$M$92:$M$111,$G198,月間集計シート!P$92:P$111)*AG$2</f>
        <v>0</v>
      </c>
      <c r="AH198" s="88">
        <f>SUMIF(月間集計シート!$M$92:$M$111,$G198,月間集計シート!Q$92:Q$111)*AH$2</f>
        <v>0</v>
      </c>
      <c r="AI198" s="88">
        <f>SUMIF(月間集計シート!$M$92:$M$111,$G198,月間集計シート!R$92:R$111)*AI$2</f>
        <v>0</v>
      </c>
      <c r="AJ198" s="88">
        <f>SUMIF(月間集計シート!$M$92:$M$111,$G198,月間集計シート!S$92:S$111)*AJ$2</f>
        <v>0</v>
      </c>
      <c r="AK198" s="88">
        <f>SUMIF(月間集計シート!$M$92:$M$111,$G198,月間集計シート!T$92:T$111)*AK$2</f>
        <v>0</v>
      </c>
      <c r="AL198" s="88">
        <f>SUMIF(月間集計シート!$M$113:$M$132,$G198,月間集計シート!N$113:N$132)*AL$2</f>
        <v>0</v>
      </c>
      <c r="AM198" s="88">
        <f>SUMIF(月間集計シート!$M$113:$M$132,$G198,月間集計シート!O$113:O$132)*AM$2</f>
        <v>0</v>
      </c>
      <c r="AN198" s="88">
        <f>SUMIF(月間集計シート!$M$113:$M$132,$G198,月間集計シート!P$113:P$132)*AN$2</f>
        <v>0</v>
      </c>
      <c r="AO198" s="88">
        <f>SUMIF(月間集計シート!$M$113:$M$132,$G198,月間集計シート!Q$113:Q$132)*AO$2</f>
        <v>0</v>
      </c>
      <c r="AP198" s="88">
        <f>SUMIF(月間集計シート!$M$113:$M$132,$G198,月間集計シート!R$113:R$132)*AP$2</f>
        <v>0</v>
      </c>
      <c r="AQ198" s="88">
        <f>SUMIF(月間集計シート!$M$113:$M$132,$G198,月間集計シート!S$113:S$132)*AQ$2</f>
        <v>0</v>
      </c>
      <c r="AR198" s="88">
        <f>SUMIF(月間集計シート!$M$113:$M$132,$G198,月間集計シート!T$113:T$132)*AR$2</f>
        <v>0</v>
      </c>
      <c r="AS198" s="88">
        <f>SUMIF(月間集計シート!$M$134:$M$153,$G198,月間集計シート!N$134:N$153)*AS$2</f>
        <v>0</v>
      </c>
      <c r="AT198" s="88">
        <f>SUMIF(月間集計シート!$M$134:$M$153,$G198,月間集計シート!O$134:O$153)*AT$2</f>
        <v>0</v>
      </c>
      <c r="AU198" s="88">
        <f>SUMIF(月間集計シート!$M$134:$M$153,$G198,月間集計シート!P$134:P$153)*AU$2</f>
        <v>0</v>
      </c>
      <c r="AV198" s="88">
        <f>SUMIF(月間集計シート!$M$134:$M$153,$G198,月間集計シート!Q$134:Q$153)*AV$2</f>
        <v>0</v>
      </c>
      <c r="AW198" s="88">
        <f>SUMIF(月間集計シート!$M$134:$M$153,$G198,月間集計シート!R$134:R$153)*AW$2</f>
        <v>0</v>
      </c>
      <c r="AX198" s="88">
        <f>SUMIF(月間集計シート!$M$134:$M$153,$G198,月間集計シート!S$134:S$153)*AX$2</f>
        <v>0</v>
      </c>
      <c r="AY198" s="88">
        <f>SUMIF(月間集計シート!$M$134:$M$153,$G198,月間集計シート!T$134:T$153)*AY$2</f>
        <v>0</v>
      </c>
    </row>
    <row r="199" spans="1:51" ht="14.25" thickBot="1">
      <c r="A199">
        <v>3</v>
      </c>
      <c r="B199" s="120">
        <f t="shared" si="77"/>
        <v>0</v>
      </c>
      <c r="C199" s="120" t="str">
        <f t="shared" si="78"/>
        <v/>
      </c>
      <c r="D199" s="137"/>
      <c r="E199" s="150" t="str">
        <f>工種!A21</f>
        <v>30109</v>
      </c>
      <c r="F199" s="119" t="str">
        <f>工種!B21</f>
        <v>製造：レビュー</v>
      </c>
      <c r="G199" s="116" t="str">
        <f t="shared" si="79"/>
        <v>030109</v>
      </c>
      <c r="H199" s="88">
        <f t="shared" si="71"/>
        <v>0</v>
      </c>
      <c r="I199" s="132"/>
      <c r="J199" s="88">
        <f>SUMIF(月間集計シート!$M$29:$M$48,$G199,月間集計シート!N$29:N$48)*J$2</f>
        <v>0</v>
      </c>
      <c r="K199" s="88">
        <f>SUMIF(月間集計シート!$M$29:$M$48,$G199,月間集計シート!O$29:O$48)*K$2</f>
        <v>0</v>
      </c>
      <c r="L199" s="88">
        <f>SUMIF(月間集計シート!$M$29:$M$48,$G199,月間集計シート!P$29:P$48)*L$2</f>
        <v>0</v>
      </c>
      <c r="M199" s="88">
        <f>SUMIF(月間集計シート!$M$29:$M$48,$G199,月間集計シート!Q$29:Q$48)*M$2</f>
        <v>0</v>
      </c>
      <c r="N199" s="88">
        <f>SUMIF(月間集計シート!$M$29:$M$48,$G199,月間集計シート!R$29:R$48)*N$2</f>
        <v>0</v>
      </c>
      <c r="O199" s="88">
        <f>SUMIF(月間集計シート!$M$29:$M$48,$G199,月間集計シート!S$29:S$48)*O$2</f>
        <v>0</v>
      </c>
      <c r="P199" s="88">
        <f>SUMIF(月間集計シート!$M$29:$M$48,$G199,月間集計シート!T$29:T$48)*P$2</f>
        <v>0</v>
      </c>
      <c r="Q199" s="88">
        <f>SUMIF(月間集計シート!$M$50:$M$69,$G199,月間集計シート!N$50:N$69)*Q$2</f>
        <v>0</v>
      </c>
      <c r="R199" s="88">
        <f>SUMIF(月間集計シート!$M$50:$M$69,$G199,月間集計シート!O$50:O$69)*R$2</f>
        <v>0</v>
      </c>
      <c r="S199" s="88">
        <f>SUMIF(月間集計シート!$M$50:$M$69,$G199,月間集計シート!P$50:P$69)*S$2</f>
        <v>0</v>
      </c>
      <c r="T199" s="88">
        <f>SUMIF(月間集計シート!$M$50:$M$69,$G199,月間集計シート!Q$50:Q$69)*T$2</f>
        <v>0</v>
      </c>
      <c r="U199" s="88">
        <f>SUMIF(月間集計シート!$M$50:$M$69,$G199,月間集計シート!R$50:R$69)*U$2</f>
        <v>0</v>
      </c>
      <c r="V199" s="88">
        <f>SUMIF(月間集計シート!$M$50:$M$69,$G199,月間集計シート!S$50:S$69)*V$2</f>
        <v>0</v>
      </c>
      <c r="W199" s="88">
        <f>SUMIF(月間集計シート!$M$50:$M$69,$G199,月間集計シート!T$50:T$69)*W$2</f>
        <v>0</v>
      </c>
      <c r="X199" s="88">
        <f>SUMIF(月間集計シート!$M$71:$M$90,$G199,月間集計シート!N$71:N$90)*X$2</f>
        <v>0</v>
      </c>
      <c r="Y199" s="88">
        <f>SUMIF(月間集計シート!$M$71:$M$90,$G199,月間集計シート!O$71:O$90)*Y$2</f>
        <v>0</v>
      </c>
      <c r="Z199" s="88">
        <f>SUMIF(月間集計シート!$M$71:$M$90,$G199,月間集計シート!P$71:P$90)*Z$2</f>
        <v>0</v>
      </c>
      <c r="AA199" s="88">
        <f>SUMIF(月間集計シート!$M$71:$M$90,$G199,月間集計シート!Q$71:Q$90)*AA$2</f>
        <v>0</v>
      </c>
      <c r="AB199" s="88">
        <f>SUMIF(月間集計シート!$M$71:$M$90,$G199,月間集計シート!R$71:R$90)*AB$2</f>
        <v>0</v>
      </c>
      <c r="AC199" s="88">
        <f>SUMIF(月間集計シート!$M$71:$M$90,$G199,月間集計シート!S$71:S$90)*AC$2</f>
        <v>0</v>
      </c>
      <c r="AD199" s="88">
        <f>SUMIF(月間集計シート!$M$71:$M$90,$G199,月間集計シート!T$71:T$90)*AD$2</f>
        <v>0</v>
      </c>
      <c r="AE199" s="88">
        <f>SUMIF(月間集計シート!$M$92:$M$111,$G199,月間集計シート!N$92:N$111)*AE$2</f>
        <v>0</v>
      </c>
      <c r="AF199" s="88">
        <f>SUMIF(月間集計シート!$M$92:$M$111,$G199,月間集計シート!O$92:O$111)*AF$2</f>
        <v>0</v>
      </c>
      <c r="AG199" s="88">
        <f>SUMIF(月間集計シート!$M$92:$M$111,$G199,月間集計シート!P$92:P$111)*AG$2</f>
        <v>0</v>
      </c>
      <c r="AH199" s="88">
        <f>SUMIF(月間集計シート!$M$92:$M$111,$G199,月間集計シート!Q$92:Q$111)*AH$2</f>
        <v>0</v>
      </c>
      <c r="AI199" s="88">
        <f>SUMIF(月間集計シート!$M$92:$M$111,$G199,月間集計シート!R$92:R$111)*AI$2</f>
        <v>0</v>
      </c>
      <c r="AJ199" s="88">
        <f>SUMIF(月間集計シート!$M$92:$M$111,$G199,月間集計シート!S$92:S$111)*AJ$2</f>
        <v>0</v>
      </c>
      <c r="AK199" s="88">
        <f>SUMIF(月間集計シート!$M$92:$M$111,$G199,月間集計シート!T$92:T$111)*AK$2</f>
        <v>0</v>
      </c>
      <c r="AL199" s="88">
        <f>SUMIF(月間集計シート!$M$113:$M$132,$G199,月間集計シート!N$113:N$132)*AL$2</f>
        <v>0</v>
      </c>
      <c r="AM199" s="88">
        <f>SUMIF(月間集計シート!$M$113:$M$132,$G199,月間集計シート!O$113:O$132)*AM$2</f>
        <v>0</v>
      </c>
      <c r="AN199" s="88">
        <f>SUMIF(月間集計シート!$M$113:$M$132,$G199,月間集計シート!P$113:P$132)*AN$2</f>
        <v>0</v>
      </c>
      <c r="AO199" s="88">
        <f>SUMIF(月間集計シート!$M$113:$M$132,$G199,月間集計シート!Q$113:Q$132)*AO$2</f>
        <v>0</v>
      </c>
      <c r="AP199" s="88">
        <f>SUMIF(月間集計シート!$M$113:$M$132,$G199,月間集計シート!R$113:R$132)*AP$2</f>
        <v>0</v>
      </c>
      <c r="AQ199" s="88">
        <f>SUMIF(月間集計シート!$M$113:$M$132,$G199,月間集計シート!S$113:S$132)*AQ$2</f>
        <v>0</v>
      </c>
      <c r="AR199" s="88">
        <f>SUMIF(月間集計シート!$M$113:$M$132,$G199,月間集計シート!T$113:T$132)*AR$2</f>
        <v>0</v>
      </c>
      <c r="AS199" s="88">
        <f>SUMIF(月間集計シート!$M$134:$M$153,$G199,月間集計シート!N$134:N$153)*AS$2</f>
        <v>0</v>
      </c>
      <c r="AT199" s="88">
        <f>SUMIF(月間集計シート!$M$134:$M$153,$G199,月間集計シート!O$134:O$153)*AT$2</f>
        <v>0</v>
      </c>
      <c r="AU199" s="88">
        <f>SUMIF(月間集計シート!$M$134:$M$153,$G199,月間集計シート!P$134:P$153)*AU$2</f>
        <v>0</v>
      </c>
      <c r="AV199" s="88">
        <f>SUMIF(月間集計シート!$M$134:$M$153,$G199,月間集計シート!Q$134:Q$153)*AV$2</f>
        <v>0</v>
      </c>
      <c r="AW199" s="88">
        <f>SUMIF(月間集計シート!$M$134:$M$153,$G199,月間集計シート!R$134:R$153)*AW$2</f>
        <v>0</v>
      </c>
      <c r="AX199" s="88">
        <f>SUMIF(月間集計シート!$M$134:$M$153,$G199,月間集計シート!S$134:S$153)*AX$2</f>
        <v>0</v>
      </c>
      <c r="AY199" s="88">
        <f>SUMIF(月間集計シート!$M$134:$M$153,$G199,月間集計シート!T$134:T$153)*AY$2</f>
        <v>0</v>
      </c>
    </row>
    <row r="200" spans="1:51" ht="14.25" thickBot="1">
      <c r="A200">
        <v>3</v>
      </c>
      <c r="B200" s="120">
        <f t="shared" si="77"/>
        <v>0</v>
      </c>
      <c r="C200" s="120" t="str">
        <f t="shared" si="78"/>
        <v/>
      </c>
      <c r="D200" s="137"/>
      <c r="E200" s="150" t="str">
        <f>工種!A22</f>
        <v>30199</v>
      </c>
      <c r="F200" s="119" t="str">
        <f>工種!B22</f>
        <v>製造：その他</v>
      </c>
      <c r="G200" s="116" t="str">
        <f t="shared" si="79"/>
        <v>030199</v>
      </c>
      <c r="H200" s="88">
        <f t="shared" si="71"/>
        <v>0</v>
      </c>
      <c r="I200" s="132"/>
      <c r="J200" s="88">
        <f>SUMIF(月間集計シート!$M$29:$M$48,$G200,月間集計シート!N$29:N$48)*J$2</f>
        <v>0</v>
      </c>
      <c r="K200" s="88">
        <f>SUMIF(月間集計シート!$M$29:$M$48,$G200,月間集計シート!O$29:O$48)*K$2</f>
        <v>0</v>
      </c>
      <c r="L200" s="88">
        <f>SUMIF(月間集計シート!$M$29:$M$48,$G200,月間集計シート!P$29:P$48)*L$2</f>
        <v>0</v>
      </c>
      <c r="M200" s="88">
        <f>SUMIF(月間集計シート!$M$29:$M$48,$G200,月間集計シート!Q$29:Q$48)*M$2</f>
        <v>0</v>
      </c>
      <c r="N200" s="88">
        <f>SUMIF(月間集計シート!$M$29:$M$48,$G200,月間集計シート!R$29:R$48)*N$2</f>
        <v>0</v>
      </c>
      <c r="O200" s="88">
        <f>SUMIF(月間集計シート!$M$29:$M$48,$G200,月間集計シート!S$29:S$48)*O$2</f>
        <v>0</v>
      </c>
      <c r="P200" s="88">
        <f>SUMIF(月間集計シート!$M$29:$M$48,$G200,月間集計シート!T$29:T$48)*P$2</f>
        <v>0</v>
      </c>
      <c r="Q200" s="88">
        <f>SUMIF(月間集計シート!$M$50:$M$69,$G200,月間集計シート!N$50:N$69)*Q$2</f>
        <v>0</v>
      </c>
      <c r="R200" s="88">
        <f>SUMIF(月間集計シート!$M$50:$M$69,$G200,月間集計シート!O$50:O$69)*R$2</f>
        <v>0</v>
      </c>
      <c r="S200" s="88">
        <f>SUMIF(月間集計シート!$M$50:$M$69,$G200,月間集計シート!P$50:P$69)*S$2</f>
        <v>0</v>
      </c>
      <c r="T200" s="88">
        <f>SUMIF(月間集計シート!$M$50:$M$69,$G200,月間集計シート!Q$50:Q$69)*T$2</f>
        <v>0</v>
      </c>
      <c r="U200" s="88">
        <f>SUMIF(月間集計シート!$M$50:$M$69,$G200,月間集計シート!R$50:R$69)*U$2</f>
        <v>0</v>
      </c>
      <c r="V200" s="88">
        <f>SUMIF(月間集計シート!$M$50:$M$69,$G200,月間集計シート!S$50:S$69)*V$2</f>
        <v>0</v>
      </c>
      <c r="W200" s="88">
        <f>SUMIF(月間集計シート!$M$50:$M$69,$G200,月間集計シート!T$50:T$69)*W$2</f>
        <v>0</v>
      </c>
      <c r="X200" s="88">
        <f>SUMIF(月間集計シート!$M$71:$M$90,$G200,月間集計シート!N$71:N$90)*X$2</f>
        <v>0</v>
      </c>
      <c r="Y200" s="88">
        <f>SUMIF(月間集計シート!$M$71:$M$90,$G200,月間集計シート!O$71:O$90)*Y$2</f>
        <v>0</v>
      </c>
      <c r="Z200" s="88">
        <f>SUMIF(月間集計シート!$M$71:$M$90,$G200,月間集計シート!P$71:P$90)*Z$2</f>
        <v>0</v>
      </c>
      <c r="AA200" s="88">
        <f>SUMIF(月間集計シート!$M$71:$M$90,$G200,月間集計シート!Q$71:Q$90)*AA$2</f>
        <v>0</v>
      </c>
      <c r="AB200" s="88">
        <f>SUMIF(月間集計シート!$M$71:$M$90,$G200,月間集計シート!R$71:R$90)*AB$2</f>
        <v>0</v>
      </c>
      <c r="AC200" s="88">
        <f>SUMIF(月間集計シート!$M$71:$M$90,$G200,月間集計シート!S$71:S$90)*AC$2</f>
        <v>0</v>
      </c>
      <c r="AD200" s="88">
        <f>SUMIF(月間集計シート!$M$71:$M$90,$G200,月間集計シート!T$71:T$90)*AD$2</f>
        <v>0</v>
      </c>
      <c r="AE200" s="88">
        <f>SUMIF(月間集計シート!$M$92:$M$111,$G200,月間集計シート!N$92:N$111)*AE$2</f>
        <v>0</v>
      </c>
      <c r="AF200" s="88">
        <f>SUMIF(月間集計シート!$M$92:$M$111,$G200,月間集計シート!O$92:O$111)*AF$2</f>
        <v>0</v>
      </c>
      <c r="AG200" s="88">
        <f>SUMIF(月間集計シート!$M$92:$M$111,$G200,月間集計シート!P$92:P$111)*AG$2</f>
        <v>0</v>
      </c>
      <c r="AH200" s="88">
        <f>SUMIF(月間集計シート!$M$92:$M$111,$G200,月間集計シート!Q$92:Q$111)*AH$2</f>
        <v>0</v>
      </c>
      <c r="AI200" s="88">
        <f>SUMIF(月間集計シート!$M$92:$M$111,$G200,月間集計シート!R$92:R$111)*AI$2</f>
        <v>0</v>
      </c>
      <c r="AJ200" s="88">
        <f>SUMIF(月間集計シート!$M$92:$M$111,$G200,月間集計シート!S$92:S$111)*AJ$2</f>
        <v>0</v>
      </c>
      <c r="AK200" s="88">
        <f>SUMIF(月間集計シート!$M$92:$M$111,$G200,月間集計シート!T$92:T$111)*AK$2</f>
        <v>0</v>
      </c>
      <c r="AL200" s="88">
        <f>SUMIF(月間集計シート!$M$113:$M$132,$G200,月間集計シート!N$113:N$132)*AL$2</f>
        <v>0</v>
      </c>
      <c r="AM200" s="88">
        <f>SUMIF(月間集計シート!$M$113:$M$132,$G200,月間集計シート!O$113:O$132)*AM$2</f>
        <v>0</v>
      </c>
      <c r="AN200" s="88">
        <f>SUMIF(月間集計シート!$M$113:$M$132,$G200,月間集計シート!P$113:P$132)*AN$2</f>
        <v>0</v>
      </c>
      <c r="AO200" s="88">
        <f>SUMIF(月間集計シート!$M$113:$M$132,$G200,月間集計シート!Q$113:Q$132)*AO$2</f>
        <v>0</v>
      </c>
      <c r="AP200" s="88">
        <f>SUMIF(月間集計シート!$M$113:$M$132,$G200,月間集計シート!R$113:R$132)*AP$2</f>
        <v>0</v>
      </c>
      <c r="AQ200" s="88">
        <f>SUMIF(月間集計シート!$M$113:$M$132,$G200,月間集計シート!S$113:S$132)*AQ$2</f>
        <v>0</v>
      </c>
      <c r="AR200" s="88">
        <f>SUMIF(月間集計シート!$M$113:$M$132,$G200,月間集計シート!T$113:T$132)*AR$2</f>
        <v>0</v>
      </c>
      <c r="AS200" s="88">
        <f>SUMIF(月間集計シート!$M$134:$M$153,$G200,月間集計シート!N$134:N$153)*AS$2</f>
        <v>0</v>
      </c>
      <c r="AT200" s="88">
        <f>SUMIF(月間集計シート!$M$134:$M$153,$G200,月間集計シート!O$134:O$153)*AT$2</f>
        <v>0</v>
      </c>
      <c r="AU200" s="88">
        <f>SUMIF(月間集計シート!$M$134:$M$153,$G200,月間集計シート!P$134:P$153)*AU$2</f>
        <v>0</v>
      </c>
      <c r="AV200" s="88">
        <f>SUMIF(月間集計シート!$M$134:$M$153,$G200,月間集計シート!Q$134:Q$153)*AV$2</f>
        <v>0</v>
      </c>
      <c r="AW200" s="88">
        <f>SUMIF(月間集計シート!$M$134:$M$153,$G200,月間集計シート!R$134:R$153)*AW$2</f>
        <v>0</v>
      </c>
      <c r="AX200" s="88">
        <f>SUMIF(月間集計シート!$M$134:$M$153,$G200,月間集計シート!S$134:S$153)*AX$2</f>
        <v>0</v>
      </c>
      <c r="AY200" s="88">
        <f>SUMIF(月間集計シート!$M$134:$M$153,$G200,月間集計シート!T$134:T$153)*AY$2</f>
        <v>0</v>
      </c>
    </row>
    <row r="201" spans="1:51" ht="14.25" thickBot="1">
      <c r="A201">
        <v>3</v>
      </c>
      <c r="B201" s="120">
        <f t="shared" si="77"/>
        <v>0</v>
      </c>
      <c r="C201" s="120" t="str">
        <f t="shared" si="78"/>
        <v/>
      </c>
      <c r="D201" s="137"/>
      <c r="E201" s="150" t="str">
        <f>工種!A23</f>
        <v>40101</v>
      </c>
      <c r="F201" s="119" t="str">
        <f>工種!B23</f>
        <v>テスト：結合テスト実施</v>
      </c>
      <c r="G201" s="116" t="str">
        <f t="shared" si="79"/>
        <v>040101</v>
      </c>
      <c r="H201" s="88">
        <f t="shared" si="71"/>
        <v>0</v>
      </c>
      <c r="I201" s="132"/>
      <c r="J201" s="88">
        <f>SUMIF(月間集計シート!$M$29:$M$48,$G201,月間集計シート!N$29:N$48)*J$2</f>
        <v>0</v>
      </c>
      <c r="K201" s="88">
        <f>SUMIF(月間集計シート!$M$29:$M$48,$G201,月間集計シート!O$29:O$48)*K$2</f>
        <v>0</v>
      </c>
      <c r="L201" s="88">
        <f>SUMIF(月間集計シート!$M$29:$M$48,$G201,月間集計シート!P$29:P$48)*L$2</f>
        <v>0</v>
      </c>
      <c r="M201" s="88">
        <f>SUMIF(月間集計シート!$M$29:$M$48,$G201,月間集計シート!Q$29:Q$48)*M$2</f>
        <v>0</v>
      </c>
      <c r="N201" s="88">
        <f>SUMIF(月間集計シート!$M$29:$M$48,$G201,月間集計シート!R$29:R$48)*N$2</f>
        <v>0</v>
      </c>
      <c r="O201" s="88">
        <f>SUMIF(月間集計シート!$M$29:$M$48,$G201,月間集計シート!S$29:S$48)*O$2</f>
        <v>0</v>
      </c>
      <c r="P201" s="88">
        <f>SUMIF(月間集計シート!$M$29:$M$48,$G201,月間集計シート!T$29:T$48)*P$2</f>
        <v>0</v>
      </c>
      <c r="Q201" s="88">
        <f>SUMIF(月間集計シート!$M$50:$M$69,$G201,月間集計シート!N$50:N$69)*Q$2</f>
        <v>0</v>
      </c>
      <c r="R201" s="88">
        <f>SUMIF(月間集計シート!$M$50:$M$69,$G201,月間集計シート!O$50:O$69)*R$2</f>
        <v>0</v>
      </c>
      <c r="S201" s="88">
        <f>SUMIF(月間集計シート!$M$50:$M$69,$G201,月間集計シート!P$50:P$69)*S$2</f>
        <v>0</v>
      </c>
      <c r="T201" s="88">
        <f>SUMIF(月間集計シート!$M$50:$M$69,$G201,月間集計シート!Q$50:Q$69)*T$2</f>
        <v>0</v>
      </c>
      <c r="U201" s="88">
        <f>SUMIF(月間集計シート!$M$50:$M$69,$G201,月間集計シート!R$50:R$69)*U$2</f>
        <v>0</v>
      </c>
      <c r="V201" s="88">
        <f>SUMIF(月間集計シート!$M$50:$M$69,$G201,月間集計シート!S$50:S$69)*V$2</f>
        <v>0</v>
      </c>
      <c r="W201" s="88">
        <f>SUMIF(月間集計シート!$M$50:$M$69,$G201,月間集計シート!T$50:T$69)*W$2</f>
        <v>0</v>
      </c>
      <c r="X201" s="88">
        <f>SUMIF(月間集計シート!$M$71:$M$90,$G201,月間集計シート!N$71:N$90)*X$2</f>
        <v>0</v>
      </c>
      <c r="Y201" s="88">
        <f>SUMIF(月間集計シート!$M$71:$M$90,$G201,月間集計シート!O$71:O$90)*Y$2</f>
        <v>0</v>
      </c>
      <c r="Z201" s="88">
        <f>SUMIF(月間集計シート!$M$71:$M$90,$G201,月間集計シート!P$71:P$90)*Z$2</f>
        <v>0</v>
      </c>
      <c r="AA201" s="88">
        <f>SUMIF(月間集計シート!$M$71:$M$90,$G201,月間集計シート!Q$71:Q$90)*AA$2</f>
        <v>0</v>
      </c>
      <c r="AB201" s="88">
        <f>SUMIF(月間集計シート!$M$71:$M$90,$G201,月間集計シート!R$71:R$90)*AB$2</f>
        <v>0</v>
      </c>
      <c r="AC201" s="88">
        <f>SUMIF(月間集計シート!$M$71:$M$90,$G201,月間集計シート!S$71:S$90)*AC$2</f>
        <v>0</v>
      </c>
      <c r="AD201" s="88">
        <f>SUMIF(月間集計シート!$M$71:$M$90,$G201,月間集計シート!T$71:T$90)*AD$2</f>
        <v>0</v>
      </c>
      <c r="AE201" s="88">
        <f>SUMIF(月間集計シート!$M$92:$M$111,$G201,月間集計シート!N$92:N$111)*AE$2</f>
        <v>0</v>
      </c>
      <c r="AF201" s="88">
        <f>SUMIF(月間集計シート!$M$92:$M$111,$G201,月間集計シート!O$92:O$111)*AF$2</f>
        <v>0</v>
      </c>
      <c r="AG201" s="88">
        <f>SUMIF(月間集計シート!$M$92:$M$111,$G201,月間集計シート!P$92:P$111)*AG$2</f>
        <v>0</v>
      </c>
      <c r="AH201" s="88">
        <f>SUMIF(月間集計シート!$M$92:$M$111,$G201,月間集計シート!Q$92:Q$111)*AH$2</f>
        <v>0</v>
      </c>
      <c r="AI201" s="88">
        <f>SUMIF(月間集計シート!$M$92:$M$111,$G201,月間集計シート!R$92:R$111)*AI$2</f>
        <v>0</v>
      </c>
      <c r="AJ201" s="88">
        <f>SUMIF(月間集計シート!$M$92:$M$111,$G201,月間集計シート!S$92:S$111)*AJ$2</f>
        <v>0</v>
      </c>
      <c r="AK201" s="88">
        <f>SUMIF(月間集計シート!$M$92:$M$111,$G201,月間集計シート!T$92:T$111)*AK$2</f>
        <v>0</v>
      </c>
      <c r="AL201" s="88">
        <f>SUMIF(月間集計シート!$M$113:$M$132,$G201,月間集計シート!N$113:N$132)*AL$2</f>
        <v>0</v>
      </c>
      <c r="AM201" s="88">
        <f>SUMIF(月間集計シート!$M$113:$M$132,$G201,月間集計シート!O$113:O$132)*AM$2</f>
        <v>0</v>
      </c>
      <c r="AN201" s="88">
        <f>SUMIF(月間集計シート!$M$113:$M$132,$G201,月間集計シート!P$113:P$132)*AN$2</f>
        <v>0</v>
      </c>
      <c r="AO201" s="88">
        <f>SUMIF(月間集計シート!$M$113:$M$132,$G201,月間集計シート!Q$113:Q$132)*AO$2</f>
        <v>0</v>
      </c>
      <c r="AP201" s="88">
        <f>SUMIF(月間集計シート!$M$113:$M$132,$G201,月間集計シート!R$113:R$132)*AP$2</f>
        <v>0</v>
      </c>
      <c r="AQ201" s="88">
        <f>SUMIF(月間集計シート!$M$113:$M$132,$G201,月間集計シート!S$113:S$132)*AQ$2</f>
        <v>0</v>
      </c>
      <c r="AR201" s="88">
        <f>SUMIF(月間集計シート!$M$113:$M$132,$G201,月間集計シート!T$113:T$132)*AR$2</f>
        <v>0</v>
      </c>
      <c r="AS201" s="88">
        <f>SUMIF(月間集計シート!$M$134:$M$153,$G201,月間集計シート!N$134:N$153)*AS$2</f>
        <v>0</v>
      </c>
      <c r="AT201" s="88">
        <f>SUMIF(月間集計シート!$M$134:$M$153,$G201,月間集計シート!O$134:O$153)*AT$2</f>
        <v>0</v>
      </c>
      <c r="AU201" s="88">
        <f>SUMIF(月間集計シート!$M$134:$M$153,$G201,月間集計シート!P$134:P$153)*AU$2</f>
        <v>0</v>
      </c>
      <c r="AV201" s="88">
        <f>SUMIF(月間集計シート!$M$134:$M$153,$G201,月間集計シート!Q$134:Q$153)*AV$2</f>
        <v>0</v>
      </c>
      <c r="AW201" s="88">
        <f>SUMIF(月間集計シート!$M$134:$M$153,$G201,月間集計シート!R$134:R$153)*AW$2</f>
        <v>0</v>
      </c>
      <c r="AX201" s="88">
        <f>SUMIF(月間集計シート!$M$134:$M$153,$G201,月間集計シート!S$134:S$153)*AX$2</f>
        <v>0</v>
      </c>
      <c r="AY201" s="88">
        <f>SUMIF(月間集計シート!$M$134:$M$153,$G201,月間集計シート!T$134:T$153)*AY$2</f>
        <v>0</v>
      </c>
    </row>
    <row r="202" spans="1:51" ht="14.25" thickBot="1">
      <c r="A202">
        <v>3</v>
      </c>
      <c r="B202" s="120">
        <f t="shared" si="77"/>
        <v>0</v>
      </c>
      <c r="C202" s="120" t="str">
        <f t="shared" si="78"/>
        <v/>
      </c>
      <c r="D202" s="137"/>
      <c r="E202" s="150" t="str">
        <f>工種!A24</f>
        <v>40102</v>
      </c>
      <c r="F202" s="119" t="str">
        <f>工種!B24</f>
        <v>テスト：システムテスト実施</v>
      </c>
      <c r="G202" s="116" t="str">
        <f t="shared" si="79"/>
        <v>040102</v>
      </c>
      <c r="H202" s="88">
        <f t="shared" si="71"/>
        <v>0</v>
      </c>
      <c r="I202" s="132"/>
      <c r="J202" s="88">
        <f>SUMIF(月間集計シート!$M$29:$M$48,$G202,月間集計シート!N$29:N$48)*J$2</f>
        <v>0</v>
      </c>
      <c r="K202" s="88">
        <f>SUMIF(月間集計シート!$M$29:$M$48,$G202,月間集計シート!O$29:O$48)*K$2</f>
        <v>0</v>
      </c>
      <c r="L202" s="88">
        <f>SUMIF(月間集計シート!$M$29:$M$48,$G202,月間集計シート!P$29:P$48)*L$2</f>
        <v>0</v>
      </c>
      <c r="M202" s="88">
        <f>SUMIF(月間集計シート!$M$29:$M$48,$G202,月間集計シート!Q$29:Q$48)*M$2</f>
        <v>0</v>
      </c>
      <c r="N202" s="88">
        <f>SUMIF(月間集計シート!$M$29:$M$48,$G202,月間集計シート!R$29:R$48)*N$2</f>
        <v>0</v>
      </c>
      <c r="O202" s="88">
        <f>SUMIF(月間集計シート!$M$29:$M$48,$G202,月間集計シート!S$29:S$48)*O$2</f>
        <v>0</v>
      </c>
      <c r="P202" s="88">
        <f>SUMIF(月間集計シート!$M$29:$M$48,$G202,月間集計シート!T$29:T$48)*P$2</f>
        <v>0</v>
      </c>
      <c r="Q202" s="88">
        <f>SUMIF(月間集計シート!$M$50:$M$69,$G202,月間集計シート!N$50:N$69)*Q$2</f>
        <v>0</v>
      </c>
      <c r="R202" s="88">
        <f>SUMIF(月間集計シート!$M$50:$M$69,$G202,月間集計シート!O$50:O$69)*R$2</f>
        <v>0</v>
      </c>
      <c r="S202" s="88">
        <f>SUMIF(月間集計シート!$M$50:$M$69,$G202,月間集計シート!P$50:P$69)*S$2</f>
        <v>0</v>
      </c>
      <c r="T202" s="88">
        <f>SUMIF(月間集計シート!$M$50:$M$69,$G202,月間集計シート!Q$50:Q$69)*T$2</f>
        <v>0</v>
      </c>
      <c r="U202" s="88">
        <f>SUMIF(月間集計シート!$M$50:$M$69,$G202,月間集計シート!R$50:R$69)*U$2</f>
        <v>0</v>
      </c>
      <c r="V202" s="88">
        <f>SUMIF(月間集計シート!$M$50:$M$69,$G202,月間集計シート!S$50:S$69)*V$2</f>
        <v>0</v>
      </c>
      <c r="W202" s="88">
        <f>SUMIF(月間集計シート!$M$50:$M$69,$G202,月間集計シート!T$50:T$69)*W$2</f>
        <v>0</v>
      </c>
      <c r="X202" s="88">
        <f>SUMIF(月間集計シート!$M$71:$M$90,$G202,月間集計シート!N$71:N$90)*X$2</f>
        <v>0</v>
      </c>
      <c r="Y202" s="88">
        <f>SUMIF(月間集計シート!$M$71:$M$90,$G202,月間集計シート!O$71:O$90)*Y$2</f>
        <v>0</v>
      </c>
      <c r="Z202" s="88">
        <f>SUMIF(月間集計シート!$M$71:$M$90,$G202,月間集計シート!P$71:P$90)*Z$2</f>
        <v>0</v>
      </c>
      <c r="AA202" s="88">
        <f>SUMIF(月間集計シート!$M$71:$M$90,$G202,月間集計シート!Q$71:Q$90)*AA$2</f>
        <v>0</v>
      </c>
      <c r="AB202" s="88">
        <f>SUMIF(月間集計シート!$M$71:$M$90,$G202,月間集計シート!R$71:R$90)*AB$2</f>
        <v>0</v>
      </c>
      <c r="AC202" s="88">
        <f>SUMIF(月間集計シート!$M$71:$M$90,$G202,月間集計シート!S$71:S$90)*AC$2</f>
        <v>0</v>
      </c>
      <c r="AD202" s="88">
        <f>SUMIF(月間集計シート!$M$71:$M$90,$G202,月間集計シート!T$71:T$90)*AD$2</f>
        <v>0</v>
      </c>
      <c r="AE202" s="88">
        <f>SUMIF(月間集計シート!$M$92:$M$111,$G202,月間集計シート!N$92:N$111)*AE$2</f>
        <v>0</v>
      </c>
      <c r="AF202" s="88">
        <f>SUMIF(月間集計シート!$M$92:$M$111,$G202,月間集計シート!O$92:O$111)*AF$2</f>
        <v>0</v>
      </c>
      <c r="AG202" s="88">
        <f>SUMIF(月間集計シート!$M$92:$M$111,$G202,月間集計シート!P$92:P$111)*AG$2</f>
        <v>0</v>
      </c>
      <c r="AH202" s="88">
        <f>SUMIF(月間集計シート!$M$92:$M$111,$G202,月間集計シート!Q$92:Q$111)*AH$2</f>
        <v>0</v>
      </c>
      <c r="AI202" s="88">
        <f>SUMIF(月間集計シート!$M$92:$M$111,$G202,月間集計シート!R$92:R$111)*AI$2</f>
        <v>0</v>
      </c>
      <c r="AJ202" s="88">
        <f>SUMIF(月間集計シート!$M$92:$M$111,$G202,月間集計シート!S$92:S$111)*AJ$2</f>
        <v>0</v>
      </c>
      <c r="AK202" s="88">
        <f>SUMIF(月間集計シート!$M$92:$M$111,$G202,月間集計シート!T$92:T$111)*AK$2</f>
        <v>0</v>
      </c>
      <c r="AL202" s="88">
        <f>SUMIF(月間集計シート!$M$113:$M$132,$G202,月間集計シート!N$113:N$132)*AL$2</f>
        <v>0</v>
      </c>
      <c r="AM202" s="88">
        <f>SUMIF(月間集計シート!$M$113:$M$132,$G202,月間集計シート!O$113:O$132)*AM$2</f>
        <v>0</v>
      </c>
      <c r="AN202" s="88">
        <f>SUMIF(月間集計シート!$M$113:$M$132,$G202,月間集計シート!P$113:P$132)*AN$2</f>
        <v>0</v>
      </c>
      <c r="AO202" s="88">
        <f>SUMIF(月間集計シート!$M$113:$M$132,$G202,月間集計シート!Q$113:Q$132)*AO$2</f>
        <v>0</v>
      </c>
      <c r="AP202" s="88">
        <f>SUMIF(月間集計シート!$M$113:$M$132,$G202,月間集計シート!R$113:R$132)*AP$2</f>
        <v>0</v>
      </c>
      <c r="AQ202" s="88">
        <f>SUMIF(月間集計シート!$M$113:$M$132,$G202,月間集計シート!S$113:S$132)*AQ$2</f>
        <v>0</v>
      </c>
      <c r="AR202" s="88">
        <f>SUMIF(月間集計シート!$M$113:$M$132,$G202,月間集計シート!T$113:T$132)*AR$2</f>
        <v>0</v>
      </c>
      <c r="AS202" s="88">
        <f>SUMIF(月間集計シート!$M$134:$M$153,$G202,月間集計シート!N$134:N$153)*AS$2</f>
        <v>0</v>
      </c>
      <c r="AT202" s="88">
        <f>SUMIF(月間集計シート!$M$134:$M$153,$G202,月間集計シート!O$134:O$153)*AT$2</f>
        <v>0</v>
      </c>
      <c r="AU202" s="88">
        <f>SUMIF(月間集計シート!$M$134:$M$153,$G202,月間集計シート!P$134:P$153)*AU$2</f>
        <v>0</v>
      </c>
      <c r="AV202" s="88">
        <f>SUMIF(月間集計シート!$M$134:$M$153,$G202,月間集計シート!Q$134:Q$153)*AV$2</f>
        <v>0</v>
      </c>
      <c r="AW202" s="88">
        <f>SUMIF(月間集計シート!$M$134:$M$153,$G202,月間集計シート!R$134:R$153)*AW$2</f>
        <v>0</v>
      </c>
      <c r="AX202" s="88">
        <f>SUMIF(月間集計シート!$M$134:$M$153,$G202,月間集計シート!S$134:S$153)*AX$2</f>
        <v>0</v>
      </c>
      <c r="AY202" s="88">
        <f>SUMIF(月間集計シート!$M$134:$M$153,$G202,月間集計シート!T$134:T$153)*AY$2</f>
        <v>0</v>
      </c>
    </row>
    <row r="203" spans="1:51" ht="14.25" thickBot="1">
      <c r="A203">
        <v>3</v>
      </c>
      <c r="B203" s="120">
        <f t="shared" si="77"/>
        <v>0</v>
      </c>
      <c r="C203" s="120" t="str">
        <f t="shared" si="78"/>
        <v/>
      </c>
      <c r="D203" s="137"/>
      <c r="E203" s="150" t="str">
        <f>工種!A25</f>
        <v>40103</v>
      </c>
      <c r="F203" s="119" t="str">
        <f>工種!B25</f>
        <v>テスト：テスト計画書作成</v>
      </c>
      <c r="G203" s="116" t="str">
        <f t="shared" si="79"/>
        <v>040103</v>
      </c>
      <c r="H203" s="88">
        <f t="shared" si="71"/>
        <v>0</v>
      </c>
      <c r="I203" s="132"/>
      <c r="J203" s="88">
        <f>SUMIF(月間集計シート!$M$29:$M$48,$G203,月間集計シート!N$29:N$48)*J$2</f>
        <v>0</v>
      </c>
      <c r="K203" s="88">
        <f>SUMIF(月間集計シート!$M$29:$M$48,$G203,月間集計シート!O$29:O$48)*K$2</f>
        <v>0</v>
      </c>
      <c r="L203" s="88">
        <f>SUMIF(月間集計シート!$M$29:$M$48,$G203,月間集計シート!P$29:P$48)*L$2</f>
        <v>0</v>
      </c>
      <c r="M203" s="88">
        <f>SUMIF(月間集計シート!$M$29:$M$48,$G203,月間集計シート!Q$29:Q$48)*M$2</f>
        <v>0</v>
      </c>
      <c r="N203" s="88">
        <f>SUMIF(月間集計シート!$M$29:$M$48,$G203,月間集計シート!R$29:R$48)*N$2</f>
        <v>0</v>
      </c>
      <c r="O203" s="88">
        <f>SUMIF(月間集計シート!$M$29:$M$48,$G203,月間集計シート!S$29:S$48)*O$2</f>
        <v>0</v>
      </c>
      <c r="P203" s="88">
        <f>SUMIF(月間集計シート!$M$29:$M$48,$G203,月間集計シート!T$29:T$48)*P$2</f>
        <v>0</v>
      </c>
      <c r="Q203" s="88">
        <f>SUMIF(月間集計シート!$M$50:$M$69,$G203,月間集計シート!N$50:N$69)*Q$2</f>
        <v>0</v>
      </c>
      <c r="R203" s="88">
        <f>SUMIF(月間集計シート!$M$50:$M$69,$G203,月間集計シート!O$50:O$69)*R$2</f>
        <v>0</v>
      </c>
      <c r="S203" s="88">
        <f>SUMIF(月間集計シート!$M$50:$M$69,$G203,月間集計シート!P$50:P$69)*S$2</f>
        <v>0</v>
      </c>
      <c r="T203" s="88">
        <f>SUMIF(月間集計シート!$M$50:$M$69,$G203,月間集計シート!Q$50:Q$69)*T$2</f>
        <v>0</v>
      </c>
      <c r="U203" s="88">
        <f>SUMIF(月間集計シート!$M$50:$M$69,$G203,月間集計シート!R$50:R$69)*U$2</f>
        <v>0</v>
      </c>
      <c r="V203" s="88">
        <f>SUMIF(月間集計シート!$M$50:$M$69,$G203,月間集計シート!S$50:S$69)*V$2</f>
        <v>0</v>
      </c>
      <c r="W203" s="88">
        <f>SUMIF(月間集計シート!$M$50:$M$69,$G203,月間集計シート!T$50:T$69)*W$2</f>
        <v>0</v>
      </c>
      <c r="X203" s="88">
        <f>SUMIF(月間集計シート!$M$71:$M$90,$G203,月間集計シート!N$71:N$90)*X$2</f>
        <v>0</v>
      </c>
      <c r="Y203" s="88">
        <f>SUMIF(月間集計シート!$M$71:$M$90,$G203,月間集計シート!O$71:O$90)*Y$2</f>
        <v>0</v>
      </c>
      <c r="Z203" s="88">
        <f>SUMIF(月間集計シート!$M$71:$M$90,$G203,月間集計シート!P$71:P$90)*Z$2</f>
        <v>0</v>
      </c>
      <c r="AA203" s="88">
        <f>SUMIF(月間集計シート!$M$71:$M$90,$G203,月間集計シート!Q$71:Q$90)*AA$2</f>
        <v>0</v>
      </c>
      <c r="AB203" s="88">
        <f>SUMIF(月間集計シート!$M$71:$M$90,$G203,月間集計シート!R$71:R$90)*AB$2</f>
        <v>0</v>
      </c>
      <c r="AC203" s="88">
        <f>SUMIF(月間集計シート!$M$71:$M$90,$G203,月間集計シート!S$71:S$90)*AC$2</f>
        <v>0</v>
      </c>
      <c r="AD203" s="88">
        <f>SUMIF(月間集計シート!$M$71:$M$90,$G203,月間集計シート!T$71:T$90)*AD$2</f>
        <v>0</v>
      </c>
      <c r="AE203" s="88">
        <f>SUMIF(月間集計シート!$M$92:$M$111,$G203,月間集計シート!N$92:N$111)*AE$2</f>
        <v>0</v>
      </c>
      <c r="AF203" s="88">
        <f>SUMIF(月間集計シート!$M$92:$M$111,$G203,月間集計シート!O$92:O$111)*AF$2</f>
        <v>0</v>
      </c>
      <c r="AG203" s="88">
        <f>SUMIF(月間集計シート!$M$92:$M$111,$G203,月間集計シート!P$92:P$111)*AG$2</f>
        <v>0</v>
      </c>
      <c r="AH203" s="88">
        <f>SUMIF(月間集計シート!$M$92:$M$111,$G203,月間集計シート!Q$92:Q$111)*AH$2</f>
        <v>0</v>
      </c>
      <c r="AI203" s="88">
        <f>SUMIF(月間集計シート!$M$92:$M$111,$G203,月間集計シート!R$92:R$111)*AI$2</f>
        <v>0</v>
      </c>
      <c r="AJ203" s="88">
        <f>SUMIF(月間集計シート!$M$92:$M$111,$G203,月間集計シート!S$92:S$111)*AJ$2</f>
        <v>0</v>
      </c>
      <c r="AK203" s="88">
        <f>SUMIF(月間集計シート!$M$92:$M$111,$G203,月間集計シート!T$92:T$111)*AK$2</f>
        <v>0</v>
      </c>
      <c r="AL203" s="88">
        <f>SUMIF(月間集計シート!$M$113:$M$132,$G203,月間集計シート!N$113:N$132)*AL$2</f>
        <v>0</v>
      </c>
      <c r="AM203" s="88">
        <f>SUMIF(月間集計シート!$M$113:$M$132,$G203,月間集計シート!O$113:O$132)*AM$2</f>
        <v>0</v>
      </c>
      <c r="AN203" s="88">
        <f>SUMIF(月間集計シート!$M$113:$M$132,$G203,月間集計シート!P$113:P$132)*AN$2</f>
        <v>0</v>
      </c>
      <c r="AO203" s="88">
        <f>SUMIF(月間集計シート!$M$113:$M$132,$G203,月間集計シート!Q$113:Q$132)*AO$2</f>
        <v>0</v>
      </c>
      <c r="AP203" s="88">
        <f>SUMIF(月間集計シート!$M$113:$M$132,$G203,月間集計シート!R$113:R$132)*AP$2</f>
        <v>0</v>
      </c>
      <c r="AQ203" s="88">
        <f>SUMIF(月間集計シート!$M$113:$M$132,$G203,月間集計シート!S$113:S$132)*AQ$2</f>
        <v>0</v>
      </c>
      <c r="AR203" s="88">
        <f>SUMIF(月間集計シート!$M$113:$M$132,$G203,月間集計シート!T$113:T$132)*AR$2</f>
        <v>0</v>
      </c>
      <c r="AS203" s="88">
        <f>SUMIF(月間集計シート!$M$134:$M$153,$G203,月間集計シート!N$134:N$153)*AS$2</f>
        <v>0</v>
      </c>
      <c r="AT203" s="88">
        <f>SUMIF(月間集計シート!$M$134:$M$153,$G203,月間集計シート!O$134:O$153)*AT$2</f>
        <v>0</v>
      </c>
      <c r="AU203" s="88">
        <f>SUMIF(月間集計シート!$M$134:$M$153,$G203,月間集計シート!P$134:P$153)*AU$2</f>
        <v>0</v>
      </c>
      <c r="AV203" s="88">
        <f>SUMIF(月間集計シート!$M$134:$M$153,$G203,月間集計シート!Q$134:Q$153)*AV$2</f>
        <v>0</v>
      </c>
      <c r="AW203" s="88">
        <f>SUMIF(月間集計シート!$M$134:$M$153,$G203,月間集計シート!R$134:R$153)*AW$2</f>
        <v>0</v>
      </c>
      <c r="AX203" s="88">
        <f>SUMIF(月間集計シート!$M$134:$M$153,$G203,月間集計シート!S$134:S$153)*AX$2</f>
        <v>0</v>
      </c>
      <c r="AY203" s="88">
        <f>SUMIF(月間集計シート!$M$134:$M$153,$G203,月間集計シート!T$134:T$153)*AY$2</f>
        <v>0</v>
      </c>
    </row>
    <row r="204" spans="1:51" ht="14.25" thickBot="1">
      <c r="A204">
        <v>3</v>
      </c>
      <c r="B204" s="120">
        <f t="shared" si="77"/>
        <v>0</v>
      </c>
      <c r="C204" s="120" t="str">
        <f t="shared" si="78"/>
        <v/>
      </c>
      <c r="D204" s="137"/>
      <c r="E204" s="150" t="str">
        <f>工種!A26</f>
        <v>40104</v>
      </c>
      <c r="F204" s="119" t="str">
        <f>工種!B26</f>
        <v>テスト：結合テスト設計書作成</v>
      </c>
      <c r="G204" s="116" t="str">
        <f t="shared" si="79"/>
        <v>040104</v>
      </c>
      <c r="H204" s="88">
        <f t="shared" si="71"/>
        <v>0</v>
      </c>
      <c r="I204" s="132"/>
      <c r="J204" s="88">
        <f>SUMIF(月間集計シート!$M$29:$M$48,$G204,月間集計シート!N$29:N$48)*J$2</f>
        <v>0</v>
      </c>
      <c r="K204" s="88">
        <f>SUMIF(月間集計シート!$M$29:$M$48,$G204,月間集計シート!O$29:O$48)*K$2</f>
        <v>0</v>
      </c>
      <c r="L204" s="88">
        <f>SUMIF(月間集計シート!$M$29:$M$48,$G204,月間集計シート!P$29:P$48)*L$2</f>
        <v>0</v>
      </c>
      <c r="M204" s="88">
        <f>SUMIF(月間集計シート!$M$29:$M$48,$G204,月間集計シート!Q$29:Q$48)*M$2</f>
        <v>0</v>
      </c>
      <c r="N204" s="88">
        <f>SUMIF(月間集計シート!$M$29:$M$48,$G204,月間集計シート!R$29:R$48)*N$2</f>
        <v>0</v>
      </c>
      <c r="O204" s="88">
        <f>SUMIF(月間集計シート!$M$29:$M$48,$G204,月間集計シート!S$29:S$48)*O$2</f>
        <v>0</v>
      </c>
      <c r="P204" s="88">
        <f>SUMIF(月間集計シート!$M$29:$M$48,$G204,月間集計シート!T$29:T$48)*P$2</f>
        <v>0</v>
      </c>
      <c r="Q204" s="88">
        <f>SUMIF(月間集計シート!$M$50:$M$69,$G204,月間集計シート!N$50:N$69)*Q$2</f>
        <v>0</v>
      </c>
      <c r="R204" s="88">
        <f>SUMIF(月間集計シート!$M$50:$M$69,$G204,月間集計シート!O$50:O$69)*R$2</f>
        <v>0</v>
      </c>
      <c r="S204" s="88">
        <f>SUMIF(月間集計シート!$M$50:$M$69,$G204,月間集計シート!P$50:P$69)*S$2</f>
        <v>0</v>
      </c>
      <c r="T204" s="88">
        <f>SUMIF(月間集計シート!$M$50:$M$69,$G204,月間集計シート!Q$50:Q$69)*T$2</f>
        <v>0</v>
      </c>
      <c r="U204" s="88">
        <f>SUMIF(月間集計シート!$M$50:$M$69,$G204,月間集計シート!R$50:R$69)*U$2</f>
        <v>0</v>
      </c>
      <c r="V204" s="88">
        <f>SUMIF(月間集計シート!$M$50:$M$69,$G204,月間集計シート!S$50:S$69)*V$2</f>
        <v>0</v>
      </c>
      <c r="W204" s="88">
        <f>SUMIF(月間集計シート!$M$50:$M$69,$G204,月間集計シート!T$50:T$69)*W$2</f>
        <v>0</v>
      </c>
      <c r="X204" s="88">
        <f>SUMIF(月間集計シート!$M$71:$M$90,$G204,月間集計シート!N$71:N$90)*X$2</f>
        <v>0</v>
      </c>
      <c r="Y204" s="88">
        <f>SUMIF(月間集計シート!$M$71:$M$90,$G204,月間集計シート!O$71:O$90)*Y$2</f>
        <v>0</v>
      </c>
      <c r="Z204" s="88">
        <f>SUMIF(月間集計シート!$M$71:$M$90,$G204,月間集計シート!P$71:P$90)*Z$2</f>
        <v>0</v>
      </c>
      <c r="AA204" s="88">
        <f>SUMIF(月間集計シート!$M$71:$M$90,$G204,月間集計シート!Q$71:Q$90)*AA$2</f>
        <v>0</v>
      </c>
      <c r="AB204" s="88">
        <f>SUMIF(月間集計シート!$M$71:$M$90,$G204,月間集計シート!R$71:R$90)*AB$2</f>
        <v>0</v>
      </c>
      <c r="AC204" s="88">
        <f>SUMIF(月間集計シート!$M$71:$M$90,$G204,月間集計シート!S$71:S$90)*AC$2</f>
        <v>0</v>
      </c>
      <c r="AD204" s="88">
        <f>SUMIF(月間集計シート!$M$71:$M$90,$G204,月間集計シート!T$71:T$90)*AD$2</f>
        <v>0</v>
      </c>
      <c r="AE204" s="88">
        <f>SUMIF(月間集計シート!$M$92:$M$111,$G204,月間集計シート!N$92:N$111)*AE$2</f>
        <v>0</v>
      </c>
      <c r="AF204" s="88">
        <f>SUMIF(月間集計シート!$M$92:$M$111,$G204,月間集計シート!O$92:O$111)*AF$2</f>
        <v>0</v>
      </c>
      <c r="AG204" s="88">
        <f>SUMIF(月間集計シート!$M$92:$M$111,$G204,月間集計シート!P$92:P$111)*AG$2</f>
        <v>0</v>
      </c>
      <c r="AH204" s="88">
        <f>SUMIF(月間集計シート!$M$92:$M$111,$G204,月間集計シート!Q$92:Q$111)*AH$2</f>
        <v>0</v>
      </c>
      <c r="AI204" s="88">
        <f>SUMIF(月間集計シート!$M$92:$M$111,$G204,月間集計シート!R$92:R$111)*AI$2</f>
        <v>0</v>
      </c>
      <c r="AJ204" s="88">
        <f>SUMIF(月間集計シート!$M$92:$M$111,$G204,月間集計シート!S$92:S$111)*AJ$2</f>
        <v>0</v>
      </c>
      <c r="AK204" s="88">
        <f>SUMIF(月間集計シート!$M$92:$M$111,$G204,月間集計シート!T$92:T$111)*AK$2</f>
        <v>0</v>
      </c>
      <c r="AL204" s="88">
        <f>SUMIF(月間集計シート!$M$113:$M$132,$G204,月間集計シート!N$113:N$132)*AL$2</f>
        <v>0</v>
      </c>
      <c r="AM204" s="88">
        <f>SUMIF(月間集計シート!$M$113:$M$132,$G204,月間集計シート!O$113:O$132)*AM$2</f>
        <v>0</v>
      </c>
      <c r="AN204" s="88">
        <f>SUMIF(月間集計シート!$M$113:$M$132,$G204,月間集計シート!P$113:P$132)*AN$2</f>
        <v>0</v>
      </c>
      <c r="AO204" s="88">
        <f>SUMIF(月間集計シート!$M$113:$M$132,$G204,月間集計シート!Q$113:Q$132)*AO$2</f>
        <v>0</v>
      </c>
      <c r="AP204" s="88">
        <f>SUMIF(月間集計シート!$M$113:$M$132,$G204,月間集計シート!R$113:R$132)*AP$2</f>
        <v>0</v>
      </c>
      <c r="AQ204" s="88">
        <f>SUMIF(月間集計シート!$M$113:$M$132,$G204,月間集計シート!S$113:S$132)*AQ$2</f>
        <v>0</v>
      </c>
      <c r="AR204" s="88">
        <f>SUMIF(月間集計シート!$M$113:$M$132,$G204,月間集計シート!T$113:T$132)*AR$2</f>
        <v>0</v>
      </c>
      <c r="AS204" s="88">
        <f>SUMIF(月間集計シート!$M$134:$M$153,$G204,月間集計シート!N$134:N$153)*AS$2</f>
        <v>0</v>
      </c>
      <c r="AT204" s="88">
        <f>SUMIF(月間集計シート!$M$134:$M$153,$G204,月間集計シート!O$134:O$153)*AT$2</f>
        <v>0</v>
      </c>
      <c r="AU204" s="88">
        <f>SUMIF(月間集計シート!$M$134:$M$153,$G204,月間集計シート!P$134:P$153)*AU$2</f>
        <v>0</v>
      </c>
      <c r="AV204" s="88">
        <f>SUMIF(月間集計シート!$M$134:$M$153,$G204,月間集計シート!Q$134:Q$153)*AV$2</f>
        <v>0</v>
      </c>
      <c r="AW204" s="88">
        <f>SUMIF(月間集計シート!$M$134:$M$153,$G204,月間集計シート!R$134:R$153)*AW$2</f>
        <v>0</v>
      </c>
      <c r="AX204" s="88">
        <f>SUMIF(月間集計シート!$M$134:$M$153,$G204,月間集計シート!S$134:S$153)*AX$2</f>
        <v>0</v>
      </c>
      <c r="AY204" s="88">
        <f>SUMIF(月間集計シート!$M$134:$M$153,$G204,月間集計シート!T$134:T$153)*AY$2</f>
        <v>0</v>
      </c>
    </row>
    <row r="205" spans="1:51" ht="14.25" thickBot="1">
      <c r="A205">
        <v>3</v>
      </c>
      <c r="B205" s="120">
        <f t="shared" si="77"/>
        <v>0</v>
      </c>
      <c r="C205" s="120" t="str">
        <f t="shared" si="78"/>
        <v/>
      </c>
      <c r="D205" s="137"/>
      <c r="E205" s="150" t="str">
        <f>工種!A27</f>
        <v>40105</v>
      </c>
      <c r="F205" s="119" t="str">
        <f>工種!B27</f>
        <v>テスト：システムテスト設計書作成</v>
      </c>
      <c r="G205" s="116" t="str">
        <f t="shared" si="79"/>
        <v>040105</v>
      </c>
      <c r="H205" s="88">
        <f t="shared" si="71"/>
        <v>0</v>
      </c>
      <c r="I205" s="132"/>
      <c r="J205" s="88">
        <f>SUMIF(月間集計シート!$M$29:$M$48,$G205,月間集計シート!N$29:N$48)*J$2</f>
        <v>0</v>
      </c>
      <c r="K205" s="88">
        <f>SUMIF(月間集計シート!$M$29:$M$48,$G205,月間集計シート!O$29:O$48)*K$2</f>
        <v>0</v>
      </c>
      <c r="L205" s="88">
        <f>SUMIF(月間集計シート!$M$29:$M$48,$G205,月間集計シート!P$29:P$48)*L$2</f>
        <v>0</v>
      </c>
      <c r="M205" s="88">
        <f>SUMIF(月間集計シート!$M$29:$M$48,$G205,月間集計シート!Q$29:Q$48)*M$2</f>
        <v>0</v>
      </c>
      <c r="N205" s="88">
        <f>SUMIF(月間集計シート!$M$29:$M$48,$G205,月間集計シート!R$29:R$48)*N$2</f>
        <v>0</v>
      </c>
      <c r="O205" s="88">
        <f>SUMIF(月間集計シート!$M$29:$M$48,$G205,月間集計シート!S$29:S$48)*O$2</f>
        <v>0</v>
      </c>
      <c r="P205" s="88">
        <f>SUMIF(月間集計シート!$M$29:$M$48,$G205,月間集計シート!T$29:T$48)*P$2</f>
        <v>0</v>
      </c>
      <c r="Q205" s="88">
        <f>SUMIF(月間集計シート!$M$50:$M$69,$G205,月間集計シート!N$50:N$69)*Q$2</f>
        <v>0</v>
      </c>
      <c r="R205" s="88">
        <f>SUMIF(月間集計シート!$M$50:$M$69,$G205,月間集計シート!O$50:O$69)*R$2</f>
        <v>0</v>
      </c>
      <c r="S205" s="88">
        <f>SUMIF(月間集計シート!$M$50:$M$69,$G205,月間集計シート!P$50:P$69)*S$2</f>
        <v>0</v>
      </c>
      <c r="T205" s="88">
        <f>SUMIF(月間集計シート!$M$50:$M$69,$G205,月間集計シート!Q$50:Q$69)*T$2</f>
        <v>0</v>
      </c>
      <c r="U205" s="88">
        <f>SUMIF(月間集計シート!$M$50:$M$69,$G205,月間集計シート!R$50:R$69)*U$2</f>
        <v>0</v>
      </c>
      <c r="V205" s="88">
        <f>SUMIF(月間集計シート!$M$50:$M$69,$G205,月間集計シート!S$50:S$69)*V$2</f>
        <v>0</v>
      </c>
      <c r="W205" s="88">
        <f>SUMIF(月間集計シート!$M$50:$M$69,$G205,月間集計シート!T$50:T$69)*W$2</f>
        <v>0</v>
      </c>
      <c r="X205" s="88">
        <f>SUMIF(月間集計シート!$M$71:$M$90,$G205,月間集計シート!N$71:N$90)*X$2</f>
        <v>0</v>
      </c>
      <c r="Y205" s="88">
        <f>SUMIF(月間集計シート!$M$71:$M$90,$G205,月間集計シート!O$71:O$90)*Y$2</f>
        <v>0</v>
      </c>
      <c r="Z205" s="88">
        <f>SUMIF(月間集計シート!$M$71:$M$90,$G205,月間集計シート!P$71:P$90)*Z$2</f>
        <v>0</v>
      </c>
      <c r="AA205" s="88">
        <f>SUMIF(月間集計シート!$M$71:$M$90,$G205,月間集計シート!Q$71:Q$90)*AA$2</f>
        <v>0</v>
      </c>
      <c r="AB205" s="88">
        <f>SUMIF(月間集計シート!$M$71:$M$90,$G205,月間集計シート!R$71:R$90)*AB$2</f>
        <v>0</v>
      </c>
      <c r="AC205" s="88">
        <f>SUMIF(月間集計シート!$M$71:$M$90,$G205,月間集計シート!S$71:S$90)*AC$2</f>
        <v>0</v>
      </c>
      <c r="AD205" s="88">
        <f>SUMIF(月間集計シート!$M$71:$M$90,$G205,月間集計シート!T$71:T$90)*AD$2</f>
        <v>0</v>
      </c>
      <c r="AE205" s="88">
        <f>SUMIF(月間集計シート!$M$92:$M$111,$G205,月間集計シート!N$92:N$111)*AE$2</f>
        <v>0</v>
      </c>
      <c r="AF205" s="88">
        <f>SUMIF(月間集計シート!$M$92:$M$111,$G205,月間集計シート!O$92:O$111)*AF$2</f>
        <v>0</v>
      </c>
      <c r="AG205" s="88">
        <f>SUMIF(月間集計シート!$M$92:$M$111,$G205,月間集計シート!P$92:P$111)*AG$2</f>
        <v>0</v>
      </c>
      <c r="AH205" s="88">
        <f>SUMIF(月間集計シート!$M$92:$M$111,$G205,月間集計シート!Q$92:Q$111)*AH$2</f>
        <v>0</v>
      </c>
      <c r="AI205" s="88">
        <f>SUMIF(月間集計シート!$M$92:$M$111,$G205,月間集計シート!R$92:R$111)*AI$2</f>
        <v>0</v>
      </c>
      <c r="AJ205" s="88">
        <f>SUMIF(月間集計シート!$M$92:$M$111,$G205,月間集計シート!S$92:S$111)*AJ$2</f>
        <v>0</v>
      </c>
      <c r="AK205" s="88">
        <f>SUMIF(月間集計シート!$M$92:$M$111,$G205,月間集計シート!T$92:T$111)*AK$2</f>
        <v>0</v>
      </c>
      <c r="AL205" s="88">
        <f>SUMIF(月間集計シート!$M$113:$M$132,$G205,月間集計シート!N$113:N$132)*AL$2</f>
        <v>0</v>
      </c>
      <c r="AM205" s="88">
        <f>SUMIF(月間集計シート!$M$113:$M$132,$G205,月間集計シート!O$113:O$132)*AM$2</f>
        <v>0</v>
      </c>
      <c r="AN205" s="88">
        <f>SUMIF(月間集計シート!$M$113:$M$132,$G205,月間集計シート!P$113:P$132)*AN$2</f>
        <v>0</v>
      </c>
      <c r="AO205" s="88">
        <f>SUMIF(月間集計シート!$M$113:$M$132,$G205,月間集計シート!Q$113:Q$132)*AO$2</f>
        <v>0</v>
      </c>
      <c r="AP205" s="88">
        <f>SUMIF(月間集計シート!$M$113:$M$132,$G205,月間集計シート!R$113:R$132)*AP$2</f>
        <v>0</v>
      </c>
      <c r="AQ205" s="88">
        <f>SUMIF(月間集計シート!$M$113:$M$132,$G205,月間集計シート!S$113:S$132)*AQ$2</f>
        <v>0</v>
      </c>
      <c r="AR205" s="88">
        <f>SUMIF(月間集計シート!$M$113:$M$132,$G205,月間集計シート!T$113:T$132)*AR$2</f>
        <v>0</v>
      </c>
      <c r="AS205" s="88">
        <f>SUMIF(月間集計シート!$M$134:$M$153,$G205,月間集計シート!N$134:N$153)*AS$2</f>
        <v>0</v>
      </c>
      <c r="AT205" s="88">
        <f>SUMIF(月間集計シート!$M$134:$M$153,$G205,月間集計シート!O$134:O$153)*AT$2</f>
        <v>0</v>
      </c>
      <c r="AU205" s="88">
        <f>SUMIF(月間集計シート!$M$134:$M$153,$G205,月間集計シート!P$134:P$153)*AU$2</f>
        <v>0</v>
      </c>
      <c r="AV205" s="88">
        <f>SUMIF(月間集計シート!$M$134:$M$153,$G205,月間集計シート!Q$134:Q$153)*AV$2</f>
        <v>0</v>
      </c>
      <c r="AW205" s="88">
        <f>SUMIF(月間集計シート!$M$134:$M$153,$G205,月間集計シート!R$134:R$153)*AW$2</f>
        <v>0</v>
      </c>
      <c r="AX205" s="88">
        <f>SUMIF(月間集計シート!$M$134:$M$153,$G205,月間集計シート!S$134:S$153)*AX$2</f>
        <v>0</v>
      </c>
      <c r="AY205" s="88">
        <f>SUMIF(月間集計シート!$M$134:$M$153,$G205,月間集計シート!T$134:T$153)*AY$2</f>
        <v>0</v>
      </c>
    </row>
    <row r="206" spans="1:51" ht="14.25" thickBot="1">
      <c r="A206">
        <v>3</v>
      </c>
      <c r="B206" s="120">
        <f t="shared" si="77"/>
        <v>0</v>
      </c>
      <c r="C206" s="120" t="str">
        <f t="shared" si="78"/>
        <v/>
      </c>
      <c r="D206" s="137"/>
      <c r="E206" s="150" t="str">
        <f>工種!A28</f>
        <v>40106</v>
      </c>
      <c r="F206" s="119" t="str">
        <f>工種!B28</f>
        <v>テスト：総合評価設計書作成</v>
      </c>
      <c r="G206" s="116" t="str">
        <f t="shared" si="79"/>
        <v>040106</v>
      </c>
      <c r="H206" s="88">
        <f t="shared" si="71"/>
        <v>0</v>
      </c>
      <c r="I206" s="132"/>
      <c r="J206" s="88">
        <f>SUMIF(月間集計シート!$M$29:$M$48,$G206,月間集計シート!N$29:N$48)*J$2</f>
        <v>0</v>
      </c>
      <c r="K206" s="88">
        <f>SUMIF(月間集計シート!$M$29:$M$48,$G206,月間集計シート!O$29:O$48)*K$2</f>
        <v>0</v>
      </c>
      <c r="L206" s="88">
        <f>SUMIF(月間集計シート!$M$29:$M$48,$G206,月間集計シート!P$29:P$48)*L$2</f>
        <v>0</v>
      </c>
      <c r="M206" s="88">
        <f>SUMIF(月間集計シート!$M$29:$M$48,$G206,月間集計シート!Q$29:Q$48)*M$2</f>
        <v>0</v>
      </c>
      <c r="N206" s="88">
        <f>SUMIF(月間集計シート!$M$29:$M$48,$G206,月間集計シート!R$29:R$48)*N$2</f>
        <v>0</v>
      </c>
      <c r="O206" s="88">
        <f>SUMIF(月間集計シート!$M$29:$M$48,$G206,月間集計シート!S$29:S$48)*O$2</f>
        <v>0</v>
      </c>
      <c r="P206" s="88">
        <f>SUMIF(月間集計シート!$M$29:$M$48,$G206,月間集計シート!T$29:T$48)*P$2</f>
        <v>0</v>
      </c>
      <c r="Q206" s="88">
        <f>SUMIF(月間集計シート!$M$50:$M$69,$G206,月間集計シート!N$50:N$69)*Q$2</f>
        <v>0</v>
      </c>
      <c r="R206" s="88">
        <f>SUMIF(月間集計シート!$M$50:$M$69,$G206,月間集計シート!O$50:O$69)*R$2</f>
        <v>0</v>
      </c>
      <c r="S206" s="88">
        <f>SUMIF(月間集計シート!$M$50:$M$69,$G206,月間集計シート!P$50:P$69)*S$2</f>
        <v>0</v>
      </c>
      <c r="T206" s="88">
        <f>SUMIF(月間集計シート!$M$50:$M$69,$G206,月間集計シート!Q$50:Q$69)*T$2</f>
        <v>0</v>
      </c>
      <c r="U206" s="88">
        <f>SUMIF(月間集計シート!$M$50:$M$69,$G206,月間集計シート!R$50:R$69)*U$2</f>
        <v>0</v>
      </c>
      <c r="V206" s="88">
        <f>SUMIF(月間集計シート!$M$50:$M$69,$G206,月間集計シート!S$50:S$69)*V$2</f>
        <v>0</v>
      </c>
      <c r="W206" s="88">
        <f>SUMIF(月間集計シート!$M$50:$M$69,$G206,月間集計シート!T$50:T$69)*W$2</f>
        <v>0</v>
      </c>
      <c r="X206" s="88">
        <f>SUMIF(月間集計シート!$M$71:$M$90,$G206,月間集計シート!N$71:N$90)*X$2</f>
        <v>0</v>
      </c>
      <c r="Y206" s="88">
        <f>SUMIF(月間集計シート!$M$71:$M$90,$G206,月間集計シート!O$71:O$90)*Y$2</f>
        <v>0</v>
      </c>
      <c r="Z206" s="88">
        <f>SUMIF(月間集計シート!$M$71:$M$90,$G206,月間集計シート!P$71:P$90)*Z$2</f>
        <v>0</v>
      </c>
      <c r="AA206" s="88">
        <f>SUMIF(月間集計シート!$M$71:$M$90,$G206,月間集計シート!Q$71:Q$90)*AA$2</f>
        <v>0</v>
      </c>
      <c r="AB206" s="88">
        <f>SUMIF(月間集計シート!$M$71:$M$90,$G206,月間集計シート!R$71:R$90)*AB$2</f>
        <v>0</v>
      </c>
      <c r="AC206" s="88">
        <f>SUMIF(月間集計シート!$M$71:$M$90,$G206,月間集計シート!S$71:S$90)*AC$2</f>
        <v>0</v>
      </c>
      <c r="AD206" s="88">
        <f>SUMIF(月間集計シート!$M$71:$M$90,$G206,月間集計シート!T$71:T$90)*AD$2</f>
        <v>0</v>
      </c>
      <c r="AE206" s="88">
        <f>SUMIF(月間集計シート!$M$92:$M$111,$G206,月間集計シート!N$92:N$111)*AE$2</f>
        <v>0</v>
      </c>
      <c r="AF206" s="88">
        <f>SUMIF(月間集計シート!$M$92:$M$111,$G206,月間集計シート!O$92:O$111)*AF$2</f>
        <v>0</v>
      </c>
      <c r="AG206" s="88">
        <f>SUMIF(月間集計シート!$M$92:$M$111,$G206,月間集計シート!P$92:P$111)*AG$2</f>
        <v>0</v>
      </c>
      <c r="AH206" s="88">
        <f>SUMIF(月間集計シート!$M$92:$M$111,$G206,月間集計シート!Q$92:Q$111)*AH$2</f>
        <v>0</v>
      </c>
      <c r="AI206" s="88">
        <f>SUMIF(月間集計シート!$M$92:$M$111,$G206,月間集計シート!R$92:R$111)*AI$2</f>
        <v>0</v>
      </c>
      <c r="AJ206" s="88">
        <f>SUMIF(月間集計シート!$M$92:$M$111,$G206,月間集計シート!S$92:S$111)*AJ$2</f>
        <v>0</v>
      </c>
      <c r="AK206" s="88">
        <f>SUMIF(月間集計シート!$M$92:$M$111,$G206,月間集計シート!T$92:T$111)*AK$2</f>
        <v>0</v>
      </c>
      <c r="AL206" s="88">
        <f>SUMIF(月間集計シート!$M$113:$M$132,$G206,月間集計シート!N$113:N$132)*AL$2</f>
        <v>0</v>
      </c>
      <c r="AM206" s="88">
        <f>SUMIF(月間集計シート!$M$113:$M$132,$G206,月間集計シート!O$113:O$132)*AM$2</f>
        <v>0</v>
      </c>
      <c r="AN206" s="88">
        <f>SUMIF(月間集計シート!$M$113:$M$132,$G206,月間集計シート!P$113:P$132)*AN$2</f>
        <v>0</v>
      </c>
      <c r="AO206" s="88">
        <f>SUMIF(月間集計シート!$M$113:$M$132,$G206,月間集計シート!Q$113:Q$132)*AO$2</f>
        <v>0</v>
      </c>
      <c r="AP206" s="88">
        <f>SUMIF(月間集計シート!$M$113:$M$132,$G206,月間集計シート!R$113:R$132)*AP$2</f>
        <v>0</v>
      </c>
      <c r="AQ206" s="88">
        <f>SUMIF(月間集計シート!$M$113:$M$132,$G206,月間集計シート!S$113:S$132)*AQ$2</f>
        <v>0</v>
      </c>
      <c r="AR206" s="88">
        <f>SUMIF(月間集計シート!$M$113:$M$132,$G206,月間集計シート!T$113:T$132)*AR$2</f>
        <v>0</v>
      </c>
      <c r="AS206" s="88">
        <f>SUMIF(月間集計シート!$M$134:$M$153,$G206,月間集計シート!N$134:N$153)*AS$2</f>
        <v>0</v>
      </c>
      <c r="AT206" s="88">
        <f>SUMIF(月間集計シート!$M$134:$M$153,$G206,月間集計シート!O$134:O$153)*AT$2</f>
        <v>0</v>
      </c>
      <c r="AU206" s="88">
        <f>SUMIF(月間集計シート!$M$134:$M$153,$G206,月間集計シート!P$134:P$153)*AU$2</f>
        <v>0</v>
      </c>
      <c r="AV206" s="88">
        <f>SUMIF(月間集計シート!$M$134:$M$153,$G206,月間集計シート!Q$134:Q$153)*AV$2</f>
        <v>0</v>
      </c>
      <c r="AW206" s="88">
        <f>SUMIF(月間集計シート!$M$134:$M$153,$G206,月間集計シート!R$134:R$153)*AW$2</f>
        <v>0</v>
      </c>
      <c r="AX206" s="88">
        <f>SUMIF(月間集計シート!$M$134:$M$153,$G206,月間集計シート!S$134:S$153)*AX$2</f>
        <v>0</v>
      </c>
      <c r="AY206" s="88">
        <f>SUMIF(月間集計シート!$M$134:$M$153,$G206,月間集計シート!T$134:T$153)*AY$2</f>
        <v>0</v>
      </c>
    </row>
    <row r="207" spans="1:51" ht="14.25" thickBot="1">
      <c r="A207">
        <v>3</v>
      </c>
      <c r="B207" s="120">
        <f t="shared" si="77"/>
        <v>0</v>
      </c>
      <c r="C207" s="120" t="str">
        <f t="shared" si="78"/>
        <v/>
      </c>
      <c r="D207" s="137"/>
      <c r="E207" s="150" t="str">
        <f>工種!A29</f>
        <v>40107</v>
      </c>
      <c r="F207" s="119" t="str">
        <f>工種!B29</f>
        <v>テスト：評価報告書作成</v>
      </c>
      <c r="G207" s="116" t="str">
        <f t="shared" si="79"/>
        <v>040107</v>
      </c>
      <c r="H207" s="88">
        <f t="shared" si="71"/>
        <v>0</v>
      </c>
      <c r="I207" s="132"/>
      <c r="J207" s="88">
        <f>SUMIF(月間集計シート!$M$29:$M$48,$G207,月間集計シート!N$29:N$48)*J$2</f>
        <v>0</v>
      </c>
      <c r="K207" s="88">
        <f>SUMIF(月間集計シート!$M$29:$M$48,$G207,月間集計シート!O$29:O$48)*K$2</f>
        <v>0</v>
      </c>
      <c r="L207" s="88">
        <f>SUMIF(月間集計シート!$M$29:$M$48,$G207,月間集計シート!P$29:P$48)*L$2</f>
        <v>0</v>
      </c>
      <c r="M207" s="88">
        <f>SUMIF(月間集計シート!$M$29:$M$48,$G207,月間集計シート!Q$29:Q$48)*M$2</f>
        <v>0</v>
      </c>
      <c r="N207" s="88">
        <f>SUMIF(月間集計シート!$M$29:$M$48,$G207,月間集計シート!R$29:R$48)*N$2</f>
        <v>0</v>
      </c>
      <c r="O207" s="88">
        <f>SUMIF(月間集計シート!$M$29:$M$48,$G207,月間集計シート!S$29:S$48)*O$2</f>
        <v>0</v>
      </c>
      <c r="P207" s="88">
        <f>SUMIF(月間集計シート!$M$29:$M$48,$G207,月間集計シート!T$29:T$48)*P$2</f>
        <v>0</v>
      </c>
      <c r="Q207" s="88">
        <f>SUMIF(月間集計シート!$M$50:$M$69,$G207,月間集計シート!N$50:N$69)*Q$2</f>
        <v>0</v>
      </c>
      <c r="R207" s="88">
        <f>SUMIF(月間集計シート!$M$50:$M$69,$G207,月間集計シート!O$50:O$69)*R$2</f>
        <v>0</v>
      </c>
      <c r="S207" s="88">
        <f>SUMIF(月間集計シート!$M$50:$M$69,$G207,月間集計シート!P$50:P$69)*S$2</f>
        <v>0</v>
      </c>
      <c r="T207" s="88">
        <f>SUMIF(月間集計シート!$M$50:$M$69,$G207,月間集計シート!Q$50:Q$69)*T$2</f>
        <v>0</v>
      </c>
      <c r="U207" s="88">
        <f>SUMIF(月間集計シート!$M$50:$M$69,$G207,月間集計シート!R$50:R$69)*U$2</f>
        <v>0</v>
      </c>
      <c r="V207" s="88">
        <f>SUMIF(月間集計シート!$M$50:$M$69,$G207,月間集計シート!S$50:S$69)*V$2</f>
        <v>0</v>
      </c>
      <c r="W207" s="88">
        <f>SUMIF(月間集計シート!$M$50:$M$69,$G207,月間集計シート!T$50:T$69)*W$2</f>
        <v>0</v>
      </c>
      <c r="X207" s="88">
        <f>SUMIF(月間集計シート!$M$71:$M$90,$G207,月間集計シート!N$71:N$90)*X$2</f>
        <v>0</v>
      </c>
      <c r="Y207" s="88">
        <f>SUMIF(月間集計シート!$M$71:$M$90,$G207,月間集計シート!O$71:O$90)*Y$2</f>
        <v>0</v>
      </c>
      <c r="Z207" s="88">
        <f>SUMIF(月間集計シート!$M$71:$M$90,$G207,月間集計シート!P$71:P$90)*Z$2</f>
        <v>0</v>
      </c>
      <c r="AA207" s="88">
        <f>SUMIF(月間集計シート!$M$71:$M$90,$G207,月間集計シート!Q$71:Q$90)*AA$2</f>
        <v>0</v>
      </c>
      <c r="AB207" s="88">
        <f>SUMIF(月間集計シート!$M$71:$M$90,$G207,月間集計シート!R$71:R$90)*AB$2</f>
        <v>0</v>
      </c>
      <c r="AC207" s="88">
        <f>SUMIF(月間集計シート!$M$71:$M$90,$G207,月間集計シート!S$71:S$90)*AC$2</f>
        <v>0</v>
      </c>
      <c r="AD207" s="88">
        <f>SUMIF(月間集計シート!$M$71:$M$90,$G207,月間集計シート!T$71:T$90)*AD$2</f>
        <v>0</v>
      </c>
      <c r="AE207" s="88">
        <f>SUMIF(月間集計シート!$M$92:$M$111,$G207,月間集計シート!N$92:N$111)*AE$2</f>
        <v>0</v>
      </c>
      <c r="AF207" s="88">
        <f>SUMIF(月間集計シート!$M$92:$M$111,$G207,月間集計シート!O$92:O$111)*AF$2</f>
        <v>0</v>
      </c>
      <c r="AG207" s="88">
        <f>SUMIF(月間集計シート!$M$92:$M$111,$G207,月間集計シート!P$92:P$111)*AG$2</f>
        <v>0</v>
      </c>
      <c r="AH207" s="88">
        <f>SUMIF(月間集計シート!$M$92:$M$111,$G207,月間集計シート!Q$92:Q$111)*AH$2</f>
        <v>0</v>
      </c>
      <c r="AI207" s="88">
        <f>SUMIF(月間集計シート!$M$92:$M$111,$G207,月間集計シート!R$92:R$111)*AI$2</f>
        <v>0</v>
      </c>
      <c r="AJ207" s="88">
        <f>SUMIF(月間集計シート!$M$92:$M$111,$G207,月間集計シート!S$92:S$111)*AJ$2</f>
        <v>0</v>
      </c>
      <c r="AK207" s="88">
        <f>SUMIF(月間集計シート!$M$92:$M$111,$G207,月間集計シート!T$92:T$111)*AK$2</f>
        <v>0</v>
      </c>
      <c r="AL207" s="88">
        <f>SUMIF(月間集計シート!$M$113:$M$132,$G207,月間集計シート!N$113:N$132)*AL$2</f>
        <v>0</v>
      </c>
      <c r="AM207" s="88">
        <f>SUMIF(月間集計シート!$M$113:$M$132,$G207,月間集計シート!O$113:O$132)*AM$2</f>
        <v>0</v>
      </c>
      <c r="AN207" s="88">
        <f>SUMIF(月間集計シート!$M$113:$M$132,$G207,月間集計シート!P$113:P$132)*AN$2</f>
        <v>0</v>
      </c>
      <c r="AO207" s="88">
        <f>SUMIF(月間集計シート!$M$113:$M$132,$G207,月間集計シート!Q$113:Q$132)*AO$2</f>
        <v>0</v>
      </c>
      <c r="AP207" s="88">
        <f>SUMIF(月間集計シート!$M$113:$M$132,$G207,月間集計シート!R$113:R$132)*AP$2</f>
        <v>0</v>
      </c>
      <c r="AQ207" s="88">
        <f>SUMIF(月間集計シート!$M$113:$M$132,$G207,月間集計シート!S$113:S$132)*AQ$2</f>
        <v>0</v>
      </c>
      <c r="AR207" s="88">
        <f>SUMIF(月間集計シート!$M$113:$M$132,$G207,月間集計シート!T$113:T$132)*AR$2</f>
        <v>0</v>
      </c>
      <c r="AS207" s="88">
        <f>SUMIF(月間集計シート!$M$134:$M$153,$G207,月間集計シート!N$134:N$153)*AS$2</f>
        <v>0</v>
      </c>
      <c r="AT207" s="88">
        <f>SUMIF(月間集計シート!$M$134:$M$153,$G207,月間集計シート!O$134:O$153)*AT$2</f>
        <v>0</v>
      </c>
      <c r="AU207" s="88">
        <f>SUMIF(月間集計シート!$M$134:$M$153,$G207,月間集計シート!P$134:P$153)*AU$2</f>
        <v>0</v>
      </c>
      <c r="AV207" s="88">
        <f>SUMIF(月間集計シート!$M$134:$M$153,$G207,月間集計シート!Q$134:Q$153)*AV$2</f>
        <v>0</v>
      </c>
      <c r="AW207" s="88">
        <f>SUMIF(月間集計シート!$M$134:$M$153,$G207,月間集計シート!R$134:R$153)*AW$2</f>
        <v>0</v>
      </c>
      <c r="AX207" s="88">
        <f>SUMIF(月間集計シート!$M$134:$M$153,$G207,月間集計シート!S$134:S$153)*AX$2</f>
        <v>0</v>
      </c>
      <c r="AY207" s="88">
        <f>SUMIF(月間集計シート!$M$134:$M$153,$G207,月間集計シート!T$134:T$153)*AY$2</f>
        <v>0</v>
      </c>
    </row>
    <row r="208" spans="1:51" ht="14.25" thickBot="1">
      <c r="A208">
        <v>3</v>
      </c>
      <c r="B208" s="120">
        <f t="shared" si="77"/>
        <v>0</v>
      </c>
      <c r="C208" s="120" t="str">
        <f t="shared" si="78"/>
        <v/>
      </c>
      <c r="D208" s="137"/>
      <c r="E208" s="150" t="str">
        <f>工種!A30</f>
        <v>40108</v>
      </c>
      <c r="F208" s="119" t="str">
        <f>工種!B30</f>
        <v>テスト：総合評価実施</v>
      </c>
      <c r="G208" s="116" t="str">
        <f t="shared" si="79"/>
        <v>040108</v>
      </c>
      <c r="H208" s="88">
        <f t="shared" si="71"/>
        <v>0</v>
      </c>
      <c r="I208" s="132"/>
      <c r="J208" s="88">
        <f>SUMIF(月間集計シート!$M$29:$M$48,$G208,月間集計シート!N$29:N$48)*J$2</f>
        <v>0</v>
      </c>
      <c r="K208" s="88">
        <f>SUMIF(月間集計シート!$M$29:$M$48,$G208,月間集計シート!O$29:O$48)*K$2</f>
        <v>0</v>
      </c>
      <c r="L208" s="88">
        <f>SUMIF(月間集計シート!$M$29:$M$48,$G208,月間集計シート!P$29:P$48)*L$2</f>
        <v>0</v>
      </c>
      <c r="M208" s="88">
        <f>SUMIF(月間集計シート!$M$29:$M$48,$G208,月間集計シート!Q$29:Q$48)*M$2</f>
        <v>0</v>
      </c>
      <c r="N208" s="88">
        <f>SUMIF(月間集計シート!$M$29:$M$48,$G208,月間集計シート!R$29:R$48)*N$2</f>
        <v>0</v>
      </c>
      <c r="O208" s="88">
        <f>SUMIF(月間集計シート!$M$29:$M$48,$G208,月間集計シート!S$29:S$48)*O$2</f>
        <v>0</v>
      </c>
      <c r="P208" s="88">
        <f>SUMIF(月間集計シート!$M$29:$M$48,$G208,月間集計シート!T$29:T$48)*P$2</f>
        <v>0</v>
      </c>
      <c r="Q208" s="88">
        <f>SUMIF(月間集計シート!$M$50:$M$69,$G208,月間集計シート!N$50:N$69)*Q$2</f>
        <v>0</v>
      </c>
      <c r="R208" s="88">
        <f>SUMIF(月間集計シート!$M$50:$M$69,$G208,月間集計シート!O$50:O$69)*R$2</f>
        <v>0</v>
      </c>
      <c r="S208" s="88">
        <f>SUMIF(月間集計シート!$M$50:$M$69,$G208,月間集計シート!P$50:P$69)*S$2</f>
        <v>0</v>
      </c>
      <c r="T208" s="88">
        <f>SUMIF(月間集計シート!$M$50:$M$69,$G208,月間集計シート!Q$50:Q$69)*T$2</f>
        <v>0</v>
      </c>
      <c r="U208" s="88">
        <f>SUMIF(月間集計シート!$M$50:$M$69,$G208,月間集計シート!R$50:R$69)*U$2</f>
        <v>0</v>
      </c>
      <c r="V208" s="88">
        <f>SUMIF(月間集計シート!$M$50:$M$69,$G208,月間集計シート!S$50:S$69)*V$2</f>
        <v>0</v>
      </c>
      <c r="W208" s="88">
        <f>SUMIF(月間集計シート!$M$50:$M$69,$G208,月間集計シート!T$50:T$69)*W$2</f>
        <v>0</v>
      </c>
      <c r="X208" s="88">
        <f>SUMIF(月間集計シート!$M$71:$M$90,$G208,月間集計シート!N$71:N$90)*X$2</f>
        <v>0</v>
      </c>
      <c r="Y208" s="88">
        <f>SUMIF(月間集計シート!$M$71:$M$90,$G208,月間集計シート!O$71:O$90)*Y$2</f>
        <v>0</v>
      </c>
      <c r="Z208" s="88">
        <f>SUMIF(月間集計シート!$M$71:$M$90,$G208,月間集計シート!P$71:P$90)*Z$2</f>
        <v>0</v>
      </c>
      <c r="AA208" s="88">
        <f>SUMIF(月間集計シート!$M$71:$M$90,$G208,月間集計シート!Q$71:Q$90)*AA$2</f>
        <v>0</v>
      </c>
      <c r="AB208" s="88">
        <f>SUMIF(月間集計シート!$M$71:$M$90,$G208,月間集計シート!R$71:R$90)*AB$2</f>
        <v>0</v>
      </c>
      <c r="AC208" s="88">
        <f>SUMIF(月間集計シート!$M$71:$M$90,$G208,月間集計シート!S$71:S$90)*AC$2</f>
        <v>0</v>
      </c>
      <c r="AD208" s="88">
        <f>SUMIF(月間集計シート!$M$71:$M$90,$G208,月間集計シート!T$71:T$90)*AD$2</f>
        <v>0</v>
      </c>
      <c r="AE208" s="88">
        <f>SUMIF(月間集計シート!$M$92:$M$111,$G208,月間集計シート!N$92:N$111)*AE$2</f>
        <v>0</v>
      </c>
      <c r="AF208" s="88">
        <f>SUMIF(月間集計シート!$M$92:$M$111,$G208,月間集計シート!O$92:O$111)*AF$2</f>
        <v>0</v>
      </c>
      <c r="AG208" s="88">
        <f>SUMIF(月間集計シート!$M$92:$M$111,$G208,月間集計シート!P$92:P$111)*AG$2</f>
        <v>0</v>
      </c>
      <c r="AH208" s="88">
        <f>SUMIF(月間集計シート!$M$92:$M$111,$G208,月間集計シート!Q$92:Q$111)*AH$2</f>
        <v>0</v>
      </c>
      <c r="AI208" s="88">
        <f>SUMIF(月間集計シート!$M$92:$M$111,$G208,月間集計シート!R$92:R$111)*AI$2</f>
        <v>0</v>
      </c>
      <c r="AJ208" s="88">
        <f>SUMIF(月間集計シート!$M$92:$M$111,$G208,月間集計シート!S$92:S$111)*AJ$2</f>
        <v>0</v>
      </c>
      <c r="AK208" s="88">
        <f>SUMIF(月間集計シート!$M$92:$M$111,$G208,月間集計シート!T$92:T$111)*AK$2</f>
        <v>0</v>
      </c>
      <c r="AL208" s="88">
        <f>SUMIF(月間集計シート!$M$113:$M$132,$G208,月間集計シート!N$113:N$132)*AL$2</f>
        <v>0</v>
      </c>
      <c r="AM208" s="88">
        <f>SUMIF(月間集計シート!$M$113:$M$132,$G208,月間集計シート!O$113:O$132)*AM$2</f>
        <v>0</v>
      </c>
      <c r="AN208" s="88">
        <f>SUMIF(月間集計シート!$M$113:$M$132,$G208,月間集計シート!P$113:P$132)*AN$2</f>
        <v>0</v>
      </c>
      <c r="AO208" s="88">
        <f>SUMIF(月間集計シート!$M$113:$M$132,$G208,月間集計シート!Q$113:Q$132)*AO$2</f>
        <v>0</v>
      </c>
      <c r="AP208" s="88">
        <f>SUMIF(月間集計シート!$M$113:$M$132,$G208,月間集計シート!R$113:R$132)*AP$2</f>
        <v>0</v>
      </c>
      <c r="AQ208" s="88">
        <f>SUMIF(月間集計シート!$M$113:$M$132,$G208,月間集計シート!S$113:S$132)*AQ$2</f>
        <v>0</v>
      </c>
      <c r="AR208" s="88">
        <f>SUMIF(月間集計シート!$M$113:$M$132,$G208,月間集計シート!T$113:T$132)*AR$2</f>
        <v>0</v>
      </c>
      <c r="AS208" s="88">
        <f>SUMIF(月間集計シート!$M$134:$M$153,$G208,月間集計シート!N$134:N$153)*AS$2</f>
        <v>0</v>
      </c>
      <c r="AT208" s="88">
        <f>SUMIF(月間集計シート!$M$134:$M$153,$G208,月間集計シート!O$134:O$153)*AT$2</f>
        <v>0</v>
      </c>
      <c r="AU208" s="88">
        <f>SUMIF(月間集計シート!$M$134:$M$153,$G208,月間集計シート!P$134:P$153)*AU$2</f>
        <v>0</v>
      </c>
      <c r="AV208" s="88">
        <f>SUMIF(月間集計シート!$M$134:$M$153,$G208,月間集計シート!Q$134:Q$153)*AV$2</f>
        <v>0</v>
      </c>
      <c r="AW208" s="88">
        <f>SUMIF(月間集計シート!$M$134:$M$153,$G208,月間集計シート!R$134:R$153)*AW$2</f>
        <v>0</v>
      </c>
      <c r="AX208" s="88">
        <f>SUMIF(月間集計シート!$M$134:$M$153,$G208,月間集計シート!S$134:S$153)*AX$2</f>
        <v>0</v>
      </c>
      <c r="AY208" s="88">
        <f>SUMIF(月間集計シート!$M$134:$M$153,$G208,月間集計シート!T$134:T$153)*AY$2</f>
        <v>0</v>
      </c>
    </row>
    <row r="209" spans="1:51" ht="14.25" thickBot="1">
      <c r="A209">
        <v>3</v>
      </c>
      <c r="B209" s="120">
        <f t="shared" si="77"/>
        <v>0</v>
      </c>
      <c r="C209" s="120" t="str">
        <f t="shared" si="78"/>
        <v/>
      </c>
      <c r="D209" s="137"/>
      <c r="E209" s="150" t="str">
        <f>工種!A31</f>
        <v>40109</v>
      </c>
      <c r="F209" s="119" t="str">
        <f>工種!B31</f>
        <v>テスト：打合せ</v>
      </c>
      <c r="G209" s="116" t="str">
        <f t="shared" si="79"/>
        <v>040109</v>
      </c>
      <c r="H209" s="88">
        <f t="shared" si="71"/>
        <v>0</v>
      </c>
      <c r="I209" s="132"/>
      <c r="J209" s="88">
        <f>SUMIF(月間集計シート!$M$29:$M$48,$G209,月間集計シート!N$29:N$48)*J$2</f>
        <v>0</v>
      </c>
      <c r="K209" s="88">
        <f>SUMIF(月間集計シート!$M$29:$M$48,$G209,月間集計シート!O$29:O$48)*K$2</f>
        <v>0</v>
      </c>
      <c r="L209" s="88">
        <f>SUMIF(月間集計シート!$M$29:$M$48,$G209,月間集計シート!P$29:P$48)*L$2</f>
        <v>0</v>
      </c>
      <c r="M209" s="88">
        <f>SUMIF(月間集計シート!$M$29:$M$48,$G209,月間集計シート!Q$29:Q$48)*M$2</f>
        <v>0</v>
      </c>
      <c r="N209" s="88">
        <f>SUMIF(月間集計シート!$M$29:$M$48,$G209,月間集計シート!R$29:R$48)*N$2</f>
        <v>0</v>
      </c>
      <c r="O209" s="88">
        <f>SUMIF(月間集計シート!$M$29:$M$48,$G209,月間集計シート!S$29:S$48)*O$2</f>
        <v>0</v>
      </c>
      <c r="P209" s="88">
        <f>SUMIF(月間集計シート!$M$29:$M$48,$G209,月間集計シート!T$29:T$48)*P$2</f>
        <v>0</v>
      </c>
      <c r="Q209" s="88">
        <f>SUMIF(月間集計シート!$M$50:$M$69,$G209,月間集計シート!N$50:N$69)*Q$2</f>
        <v>0</v>
      </c>
      <c r="R209" s="88">
        <f>SUMIF(月間集計シート!$M$50:$M$69,$G209,月間集計シート!O$50:O$69)*R$2</f>
        <v>0</v>
      </c>
      <c r="S209" s="88">
        <f>SUMIF(月間集計シート!$M$50:$M$69,$G209,月間集計シート!P$50:P$69)*S$2</f>
        <v>0</v>
      </c>
      <c r="T209" s="88">
        <f>SUMIF(月間集計シート!$M$50:$M$69,$G209,月間集計シート!Q$50:Q$69)*T$2</f>
        <v>0</v>
      </c>
      <c r="U209" s="88">
        <f>SUMIF(月間集計シート!$M$50:$M$69,$G209,月間集計シート!R$50:R$69)*U$2</f>
        <v>0</v>
      </c>
      <c r="V209" s="88">
        <f>SUMIF(月間集計シート!$M$50:$M$69,$G209,月間集計シート!S$50:S$69)*V$2</f>
        <v>0</v>
      </c>
      <c r="W209" s="88">
        <f>SUMIF(月間集計シート!$M$50:$M$69,$G209,月間集計シート!T$50:T$69)*W$2</f>
        <v>0</v>
      </c>
      <c r="X209" s="88">
        <f>SUMIF(月間集計シート!$M$71:$M$90,$G209,月間集計シート!N$71:N$90)*X$2</f>
        <v>0</v>
      </c>
      <c r="Y209" s="88">
        <f>SUMIF(月間集計シート!$M$71:$M$90,$G209,月間集計シート!O$71:O$90)*Y$2</f>
        <v>0</v>
      </c>
      <c r="Z209" s="88">
        <f>SUMIF(月間集計シート!$M$71:$M$90,$G209,月間集計シート!P$71:P$90)*Z$2</f>
        <v>0</v>
      </c>
      <c r="AA209" s="88">
        <f>SUMIF(月間集計シート!$M$71:$M$90,$G209,月間集計シート!Q$71:Q$90)*AA$2</f>
        <v>0</v>
      </c>
      <c r="AB209" s="88">
        <f>SUMIF(月間集計シート!$M$71:$M$90,$G209,月間集計シート!R$71:R$90)*AB$2</f>
        <v>0</v>
      </c>
      <c r="AC209" s="88">
        <f>SUMIF(月間集計シート!$M$71:$M$90,$G209,月間集計シート!S$71:S$90)*AC$2</f>
        <v>0</v>
      </c>
      <c r="AD209" s="88">
        <f>SUMIF(月間集計シート!$M$71:$M$90,$G209,月間集計シート!T$71:T$90)*AD$2</f>
        <v>0</v>
      </c>
      <c r="AE209" s="88">
        <f>SUMIF(月間集計シート!$M$92:$M$111,$G209,月間集計シート!N$92:N$111)*AE$2</f>
        <v>0</v>
      </c>
      <c r="AF209" s="88">
        <f>SUMIF(月間集計シート!$M$92:$M$111,$G209,月間集計シート!O$92:O$111)*AF$2</f>
        <v>0</v>
      </c>
      <c r="AG209" s="88">
        <f>SUMIF(月間集計シート!$M$92:$M$111,$G209,月間集計シート!P$92:P$111)*AG$2</f>
        <v>0</v>
      </c>
      <c r="AH209" s="88">
        <f>SUMIF(月間集計シート!$M$92:$M$111,$G209,月間集計シート!Q$92:Q$111)*AH$2</f>
        <v>0</v>
      </c>
      <c r="AI209" s="88">
        <f>SUMIF(月間集計シート!$M$92:$M$111,$G209,月間集計シート!R$92:R$111)*AI$2</f>
        <v>0</v>
      </c>
      <c r="AJ209" s="88">
        <f>SUMIF(月間集計シート!$M$92:$M$111,$G209,月間集計シート!S$92:S$111)*AJ$2</f>
        <v>0</v>
      </c>
      <c r="AK209" s="88">
        <f>SUMIF(月間集計シート!$M$92:$M$111,$G209,月間集計シート!T$92:T$111)*AK$2</f>
        <v>0</v>
      </c>
      <c r="AL209" s="88">
        <f>SUMIF(月間集計シート!$M$113:$M$132,$G209,月間集計シート!N$113:N$132)*AL$2</f>
        <v>0</v>
      </c>
      <c r="AM209" s="88">
        <f>SUMIF(月間集計シート!$M$113:$M$132,$G209,月間集計シート!O$113:O$132)*AM$2</f>
        <v>0</v>
      </c>
      <c r="AN209" s="88">
        <f>SUMIF(月間集計シート!$M$113:$M$132,$G209,月間集計シート!P$113:P$132)*AN$2</f>
        <v>0</v>
      </c>
      <c r="AO209" s="88">
        <f>SUMIF(月間集計シート!$M$113:$M$132,$G209,月間集計シート!Q$113:Q$132)*AO$2</f>
        <v>0</v>
      </c>
      <c r="AP209" s="88">
        <f>SUMIF(月間集計シート!$M$113:$M$132,$G209,月間集計シート!R$113:R$132)*AP$2</f>
        <v>0</v>
      </c>
      <c r="AQ209" s="88">
        <f>SUMIF(月間集計シート!$M$113:$M$132,$G209,月間集計シート!S$113:S$132)*AQ$2</f>
        <v>0</v>
      </c>
      <c r="AR209" s="88">
        <f>SUMIF(月間集計シート!$M$113:$M$132,$G209,月間集計シート!T$113:T$132)*AR$2</f>
        <v>0</v>
      </c>
      <c r="AS209" s="88">
        <f>SUMIF(月間集計シート!$M$134:$M$153,$G209,月間集計シート!N$134:N$153)*AS$2</f>
        <v>0</v>
      </c>
      <c r="AT209" s="88">
        <f>SUMIF(月間集計シート!$M$134:$M$153,$G209,月間集計シート!O$134:O$153)*AT$2</f>
        <v>0</v>
      </c>
      <c r="AU209" s="88">
        <f>SUMIF(月間集計シート!$M$134:$M$153,$G209,月間集計シート!P$134:P$153)*AU$2</f>
        <v>0</v>
      </c>
      <c r="AV209" s="88">
        <f>SUMIF(月間集計シート!$M$134:$M$153,$G209,月間集計シート!Q$134:Q$153)*AV$2</f>
        <v>0</v>
      </c>
      <c r="AW209" s="88">
        <f>SUMIF(月間集計シート!$M$134:$M$153,$G209,月間集計シート!R$134:R$153)*AW$2</f>
        <v>0</v>
      </c>
      <c r="AX209" s="88">
        <f>SUMIF(月間集計シート!$M$134:$M$153,$G209,月間集計シート!S$134:S$153)*AX$2</f>
        <v>0</v>
      </c>
      <c r="AY209" s="88">
        <f>SUMIF(月間集計シート!$M$134:$M$153,$G209,月間集計シート!T$134:T$153)*AY$2</f>
        <v>0</v>
      </c>
    </row>
    <row r="210" spans="1:51" ht="14.25" thickBot="1">
      <c r="A210">
        <v>3</v>
      </c>
      <c r="B210" s="120">
        <f t="shared" si="77"/>
        <v>0</v>
      </c>
      <c r="C210" s="120" t="str">
        <f t="shared" si="78"/>
        <v/>
      </c>
      <c r="D210" s="137"/>
      <c r="E210" s="150" t="str">
        <f>工種!A32</f>
        <v>40110</v>
      </c>
      <c r="F210" s="119" t="str">
        <f>工種!B32</f>
        <v>テスト：レビュー</v>
      </c>
      <c r="G210" s="116" t="str">
        <f t="shared" si="79"/>
        <v>040110</v>
      </c>
      <c r="H210" s="88">
        <f t="shared" si="71"/>
        <v>0</v>
      </c>
      <c r="I210" s="132"/>
      <c r="J210" s="88">
        <f>SUMIF(月間集計シート!$M$29:$M$48,$G210,月間集計シート!N$29:N$48)*J$2</f>
        <v>0</v>
      </c>
      <c r="K210" s="88">
        <f>SUMIF(月間集計シート!$M$29:$M$48,$G210,月間集計シート!O$29:O$48)*K$2</f>
        <v>0</v>
      </c>
      <c r="L210" s="88">
        <f>SUMIF(月間集計シート!$M$29:$M$48,$G210,月間集計シート!P$29:P$48)*L$2</f>
        <v>0</v>
      </c>
      <c r="M210" s="88">
        <f>SUMIF(月間集計シート!$M$29:$M$48,$G210,月間集計シート!Q$29:Q$48)*M$2</f>
        <v>0</v>
      </c>
      <c r="N210" s="88">
        <f>SUMIF(月間集計シート!$M$29:$M$48,$G210,月間集計シート!R$29:R$48)*N$2</f>
        <v>0</v>
      </c>
      <c r="O210" s="88">
        <f>SUMIF(月間集計シート!$M$29:$M$48,$G210,月間集計シート!S$29:S$48)*O$2</f>
        <v>0</v>
      </c>
      <c r="P210" s="88">
        <f>SUMIF(月間集計シート!$M$29:$M$48,$G210,月間集計シート!T$29:T$48)*P$2</f>
        <v>0</v>
      </c>
      <c r="Q210" s="88">
        <f>SUMIF(月間集計シート!$M$50:$M$69,$G210,月間集計シート!N$50:N$69)*Q$2</f>
        <v>0</v>
      </c>
      <c r="R210" s="88">
        <f>SUMIF(月間集計シート!$M$50:$M$69,$G210,月間集計シート!O$50:O$69)*R$2</f>
        <v>0</v>
      </c>
      <c r="S210" s="88">
        <f>SUMIF(月間集計シート!$M$50:$M$69,$G210,月間集計シート!P$50:P$69)*S$2</f>
        <v>0</v>
      </c>
      <c r="T210" s="88">
        <f>SUMIF(月間集計シート!$M$50:$M$69,$G210,月間集計シート!Q$50:Q$69)*T$2</f>
        <v>0</v>
      </c>
      <c r="U210" s="88">
        <f>SUMIF(月間集計シート!$M$50:$M$69,$G210,月間集計シート!R$50:R$69)*U$2</f>
        <v>0</v>
      </c>
      <c r="V210" s="88">
        <f>SUMIF(月間集計シート!$M$50:$M$69,$G210,月間集計シート!S$50:S$69)*V$2</f>
        <v>0</v>
      </c>
      <c r="W210" s="88">
        <f>SUMIF(月間集計シート!$M$50:$M$69,$G210,月間集計シート!T$50:T$69)*W$2</f>
        <v>0</v>
      </c>
      <c r="X210" s="88">
        <f>SUMIF(月間集計シート!$M$71:$M$90,$G210,月間集計シート!N$71:N$90)*X$2</f>
        <v>0</v>
      </c>
      <c r="Y210" s="88">
        <f>SUMIF(月間集計シート!$M$71:$M$90,$G210,月間集計シート!O$71:O$90)*Y$2</f>
        <v>0</v>
      </c>
      <c r="Z210" s="88">
        <f>SUMIF(月間集計シート!$M$71:$M$90,$G210,月間集計シート!P$71:P$90)*Z$2</f>
        <v>0</v>
      </c>
      <c r="AA210" s="88">
        <f>SUMIF(月間集計シート!$M$71:$M$90,$G210,月間集計シート!Q$71:Q$90)*AA$2</f>
        <v>0</v>
      </c>
      <c r="AB210" s="88">
        <f>SUMIF(月間集計シート!$M$71:$M$90,$G210,月間集計シート!R$71:R$90)*AB$2</f>
        <v>0</v>
      </c>
      <c r="AC210" s="88">
        <f>SUMIF(月間集計シート!$M$71:$M$90,$G210,月間集計シート!S$71:S$90)*AC$2</f>
        <v>0</v>
      </c>
      <c r="AD210" s="88">
        <f>SUMIF(月間集計シート!$M$71:$M$90,$G210,月間集計シート!T$71:T$90)*AD$2</f>
        <v>0</v>
      </c>
      <c r="AE210" s="88">
        <f>SUMIF(月間集計シート!$M$92:$M$111,$G210,月間集計シート!N$92:N$111)*AE$2</f>
        <v>0</v>
      </c>
      <c r="AF210" s="88">
        <f>SUMIF(月間集計シート!$M$92:$M$111,$G210,月間集計シート!O$92:O$111)*AF$2</f>
        <v>0</v>
      </c>
      <c r="AG210" s="88">
        <f>SUMIF(月間集計シート!$M$92:$M$111,$G210,月間集計シート!P$92:P$111)*AG$2</f>
        <v>0</v>
      </c>
      <c r="AH210" s="88">
        <f>SUMIF(月間集計シート!$M$92:$M$111,$G210,月間集計シート!Q$92:Q$111)*AH$2</f>
        <v>0</v>
      </c>
      <c r="AI210" s="88">
        <f>SUMIF(月間集計シート!$M$92:$M$111,$G210,月間集計シート!R$92:R$111)*AI$2</f>
        <v>0</v>
      </c>
      <c r="AJ210" s="88">
        <f>SUMIF(月間集計シート!$M$92:$M$111,$G210,月間集計シート!S$92:S$111)*AJ$2</f>
        <v>0</v>
      </c>
      <c r="AK210" s="88">
        <f>SUMIF(月間集計シート!$M$92:$M$111,$G210,月間集計シート!T$92:T$111)*AK$2</f>
        <v>0</v>
      </c>
      <c r="AL210" s="88">
        <f>SUMIF(月間集計シート!$M$113:$M$132,$G210,月間集計シート!N$113:N$132)*AL$2</f>
        <v>0</v>
      </c>
      <c r="AM210" s="88">
        <f>SUMIF(月間集計シート!$M$113:$M$132,$G210,月間集計シート!O$113:O$132)*AM$2</f>
        <v>0</v>
      </c>
      <c r="AN210" s="88">
        <f>SUMIF(月間集計シート!$M$113:$M$132,$G210,月間集計シート!P$113:P$132)*AN$2</f>
        <v>0</v>
      </c>
      <c r="AO210" s="88">
        <f>SUMIF(月間集計シート!$M$113:$M$132,$G210,月間集計シート!Q$113:Q$132)*AO$2</f>
        <v>0</v>
      </c>
      <c r="AP210" s="88">
        <f>SUMIF(月間集計シート!$M$113:$M$132,$G210,月間集計シート!R$113:R$132)*AP$2</f>
        <v>0</v>
      </c>
      <c r="AQ210" s="88">
        <f>SUMIF(月間集計シート!$M$113:$M$132,$G210,月間集計シート!S$113:S$132)*AQ$2</f>
        <v>0</v>
      </c>
      <c r="AR210" s="88">
        <f>SUMIF(月間集計シート!$M$113:$M$132,$G210,月間集計シート!T$113:T$132)*AR$2</f>
        <v>0</v>
      </c>
      <c r="AS210" s="88">
        <f>SUMIF(月間集計シート!$M$134:$M$153,$G210,月間集計シート!N$134:N$153)*AS$2</f>
        <v>0</v>
      </c>
      <c r="AT210" s="88">
        <f>SUMIF(月間集計シート!$M$134:$M$153,$G210,月間集計シート!O$134:O$153)*AT$2</f>
        <v>0</v>
      </c>
      <c r="AU210" s="88">
        <f>SUMIF(月間集計シート!$M$134:$M$153,$G210,月間集計シート!P$134:P$153)*AU$2</f>
        <v>0</v>
      </c>
      <c r="AV210" s="88">
        <f>SUMIF(月間集計シート!$M$134:$M$153,$G210,月間集計シート!Q$134:Q$153)*AV$2</f>
        <v>0</v>
      </c>
      <c r="AW210" s="88">
        <f>SUMIF(月間集計シート!$M$134:$M$153,$G210,月間集計シート!R$134:R$153)*AW$2</f>
        <v>0</v>
      </c>
      <c r="AX210" s="88">
        <f>SUMIF(月間集計シート!$M$134:$M$153,$G210,月間集計シート!S$134:S$153)*AX$2</f>
        <v>0</v>
      </c>
      <c r="AY210" s="88">
        <f>SUMIF(月間集計シート!$M$134:$M$153,$G210,月間集計シート!T$134:T$153)*AY$2</f>
        <v>0</v>
      </c>
    </row>
    <row r="211" spans="1:51" ht="14.25" thickBot="1">
      <c r="A211">
        <v>3</v>
      </c>
      <c r="B211" s="120">
        <f t="shared" si="77"/>
        <v>0</v>
      </c>
      <c r="C211" s="120" t="str">
        <f t="shared" si="78"/>
        <v/>
      </c>
      <c r="D211" s="137"/>
      <c r="E211" s="150" t="str">
        <f>工種!A33</f>
        <v>40111</v>
      </c>
      <c r="F211" s="119" t="str">
        <f>工種!B33</f>
        <v>テスト：PG修正（手戻り分）</v>
      </c>
      <c r="G211" s="116" t="str">
        <f t="shared" si="79"/>
        <v>040111</v>
      </c>
      <c r="H211" s="88">
        <f t="shared" si="71"/>
        <v>0</v>
      </c>
      <c r="I211" s="132"/>
      <c r="J211" s="88">
        <f>SUMIF(月間集計シート!$M$29:$M$48,$G211,月間集計シート!N$29:N$48)*J$2</f>
        <v>0</v>
      </c>
      <c r="K211" s="88">
        <f>SUMIF(月間集計シート!$M$29:$M$48,$G211,月間集計シート!O$29:O$48)*K$2</f>
        <v>0</v>
      </c>
      <c r="L211" s="88">
        <f>SUMIF(月間集計シート!$M$29:$M$48,$G211,月間集計シート!P$29:P$48)*L$2</f>
        <v>0</v>
      </c>
      <c r="M211" s="88">
        <f>SUMIF(月間集計シート!$M$29:$M$48,$G211,月間集計シート!Q$29:Q$48)*M$2</f>
        <v>0</v>
      </c>
      <c r="N211" s="88">
        <f>SUMIF(月間集計シート!$M$29:$M$48,$G211,月間集計シート!R$29:R$48)*N$2</f>
        <v>0</v>
      </c>
      <c r="O211" s="88">
        <f>SUMIF(月間集計シート!$M$29:$M$48,$G211,月間集計シート!S$29:S$48)*O$2</f>
        <v>0</v>
      </c>
      <c r="P211" s="88">
        <f>SUMIF(月間集計シート!$M$29:$M$48,$G211,月間集計シート!T$29:T$48)*P$2</f>
        <v>0</v>
      </c>
      <c r="Q211" s="88">
        <f>SUMIF(月間集計シート!$M$50:$M$69,$G211,月間集計シート!N$50:N$69)*Q$2</f>
        <v>0</v>
      </c>
      <c r="R211" s="88">
        <f>SUMIF(月間集計シート!$M$50:$M$69,$G211,月間集計シート!O$50:O$69)*R$2</f>
        <v>0</v>
      </c>
      <c r="S211" s="88">
        <f>SUMIF(月間集計シート!$M$50:$M$69,$G211,月間集計シート!P$50:P$69)*S$2</f>
        <v>0</v>
      </c>
      <c r="T211" s="88">
        <f>SUMIF(月間集計シート!$M$50:$M$69,$G211,月間集計シート!Q$50:Q$69)*T$2</f>
        <v>0</v>
      </c>
      <c r="U211" s="88">
        <f>SUMIF(月間集計シート!$M$50:$M$69,$G211,月間集計シート!R$50:R$69)*U$2</f>
        <v>0</v>
      </c>
      <c r="V211" s="88">
        <f>SUMIF(月間集計シート!$M$50:$M$69,$G211,月間集計シート!S$50:S$69)*V$2</f>
        <v>0</v>
      </c>
      <c r="W211" s="88">
        <f>SUMIF(月間集計シート!$M$50:$M$69,$G211,月間集計シート!T$50:T$69)*W$2</f>
        <v>0</v>
      </c>
      <c r="X211" s="88">
        <f>SUMIF(月間集計シート!$M$71:$M$90,$G211,月間集計シート!N$71:N$90)*X$2</f>
        <v>0</v>
      </c>
      <c r="Y211" s="88">
        <f>SUMIF(月間集計シート!$M$71:$M$90,$G211,月間集計シート!O$71:O$90)*Y$2</f>
        <v>0</v>
      </c>
      <c r="Z211" s="88">
        <f>SUMIF(月間集計シート!$M$71:$M$90,$G211,月間集計シート!P$71:P$90)*Z$2</f>
        <v>0</v>
      </c>
      <c r="AA211" s="88">
        <f>SUMIF(月間集計シート!$M$71:$M$90,$G211,月間集計シート!Q$71:Q$90)*AA$2</f>
        <v>0</v>
      </c>
      <c r="AB211" s="88">
        <f>SUMIF(月間集計シート!$M$71:$M$90,$G211,月間集計シート!R$71:R$90)*AB$2</f>
        <v>0</v>
      </c>
      <c r="AC211" s="88">
        <f>SUMIF(月間集計シート!$M$71:$M$90,$G211,月間集計シート!S$71:S$90)*AC$2</f>
        <v>0</v>
      </c>
      <c r="AD211" s="88">
        <f>SUMIF(月間集計シート!$M$71:$M$90,$G211,月間集計シート!T$71:T$90)*AD$2</f>
        <v>0</v>
      </c>
      <c r="AE211" s="88">
        <f>SUMIF(月間集計シート!$M$92:$M$111,$G211,月間集計シート!N$92:N$111)*AE$2</f>
        <v>0</v>
      </c>
      <c r="AF211" s="88">
        <f>SUMIF(月間集計シート!$M$92:$M$111,$G211,月間集計シート!O$92:O$111)*AF$2</f>
        <v>0</v>
      </c>
      <c r="AG211" s="88">
        <f>SUMIF(月間集計シート!$M$92:$M$111,$G211,月間集計シート!P$92:P$111)*AG$2</f>
        <v>0</v>
      </c>
      <c r="AH211" s="88">
        <f>SUMIF(月間集計シート!$M$92:$M$111,$G211,月間集計シート!Q$92:Q$111)*AH$2</f>
        <v>0</v>
      </c>
      <c r="AI211" s="88">
        <f>SUMIF(月間集計シート!$M$92:$M$111,$G211,月間集計シート!R$92:R$111)*AI$2</f>
        <v>0</v>
      </c>
      <c r="AJ211" s="88">
        <f>SUMIF(月間集計シート!$M$92:$M$111,$G211,月間集計シート!S$92:S$111)*AJ$2</f>
        <v>0</v>
      </c>
      <c r="AK211" s="88">
        <f>SUMIF(月間集計シート!$M$92:$M$111,$G211,月間集計シート!T$92:T$111)*AK$2</f>
        <v>0</v>
      </c>
      <c r="AL211" s="88">
        <f>SUMIF(月間集計シート!$M$113:$M$132,$G211,月間集計シート!N$113:N$132)*AL$2</f>
        <v>0</v>
      </c>
      <c r="AM211" s="88">
        <f>SUMIF(月間集計シート!$M$113:$M$132,$G211,月間集計シート!O$113:O$132)*AM$2</f>
        <v>0</v>
      </c>
      <c r="AN211" s="88">
        <f>SUMIF(月間集計シート!$M$113:$M$132,$G211,月間集計シート!P$113:P$132)*AN$2</f>
        <v>0</v>
      </c>
      <c r="AO211" s="88">
        <f>SUMIF(月間集計シート!$M$113:$M$132,$G211,月間集計シート!Q$113:Q$132)*AO$2</f>
        <v>0</v>
      </c>
      <c r="AP211" s="88">
        <f>SUMIF(月間集計シート!$M$113:$M$132,$G211,月間集計シート!R$113:R$132)*AP$2</f>
        <v>0</v>
      </c>
      <c r="AQ211" s="88">
        <f>SUMIF(月間集計シート!$M$113:$M$132,$G211,月間集計シート!S$113:S$132)*AQ$2</f>
        <v>0</v>
      </c>
      <c r="AR211" s="88">
        <f>SUMIF(月間集計シート!$M$113:$M$132,$G211,月間集計シート!T$113:T$132)*AR$2</f>
        <v>0</v>
      </c>
      <c r="AS211" s="88">
        <f>SUMIF(月間集計シート!$M$134:$M$153,$G211,月間集計シート!N$134:N$153)*AS$2</f>
        <v>0</v>
      </c>
      <c r="AT211" s="88">
        <f>SUMIF(月間集計シート!$M$134:$M$153,$G211,月間集計シート!O$134:O$153)*AT$2</f>
        <v>0</v>
      </c>
      <c r="AU211" s="88">
        <f>SUMIF(月間集計シート!$M$134:$M$153,$G211,月間集計シート!P$134:P$153)*AU$2</f>
        <v>0</v>
      </c>
      <c r="AV211" s="88">
        <f>SUMIF(月間集計シート!$M$134:$M$153,$G211,月間集計シート!Q$134:Q$153)*AV$2</f>
        <v>0</v>
      </c>
      <c r="AW211" s="88">
        <f>SUMIF(月間集計シート!$M$134:$M$153,$G211,月間集計シート!R$134:R$153)*AW$2</f>
        <v>0</v>
      </c>
      <c r="AX211" s="88">
        <f>SUMIF(月間集計シート!$M$134:$M$153,$G211,月間集計シート!S$134:S$153)*AX$2</f>
        <v>0</v>
      </c>
      <c r="AY211" s="88">
        <f>SUMIF(月間集計シート!$M$134:$M$153,$G211,月間集計シート!T$134:T$153)*AY$2</f>
        <v>0</v>
      </c>
    </row>
    <row r="212" spans="1:51" ht="14.25" thickBot="1">
      <c r="A212">
        <v>3</v>
      </c>
      <c r="B212" s="120">
        <f t="shared" si="77"/>
        <v>0</v>
      </c>
      <c r="C212" s="120" t="str">
        <f t="shared" si="78"/>
        <v/>
      </c>
      <c r="D212" s="137"/>
      <c r="E212" s="150" t="str">
        <f>工種!A34</f>
        <v>40112</v>
      </c>
      <c r="F212" s="119" t="str">
        <f>工種!B34</f>
        <v>テスト：再テスト（手戻り分）</v>
      </c>
      <c r="G212" s="116" t="str">
        <f t="shared" si="79"/>
        <v>040112</v>
      </c>
      <c r="H212" s="88">
        <f t="shared" si="71"/>
        <v>0</v>
      </c>
      <c r="I212" s="132"/>
      <c r="J212" s="88">
        <f>SUMIF(月間集計シート!$M$29:$M$48,$G212,月間集計シート!N$29:N$48)*J$2</f>
        <v>0</v>
      </c>
      <c r="K212" s="88">
        <f>SUMIF(月間集計シート!$M$29:$M$48,$G212,月間集計シート!O$29:O$48)*K$2</f>
        <v>0</v>
      </c>
      <c r="L212" s="88">
        <f>SUMIF(月間集計シート!$M$29:$M$48,$G212,月間集計シート!P$29:P$48)*L$2</f>
        <v>0</v>
      </c>
      <c r="M212" s="88">
        <f>SUMIF(月間集計シート!$M$29:$M$48,$G212,月間集計シート!Q$29:Q$48)*M$2</f>
        <v>0</v>
      </c>
      <c r="N212" s="88">
        <f>SUMIF(月間集計シート!$M$29:$M$48,$G212,月間集計シート!R$29:R$48)*N$2</f>
        <v>0</v>
      </c>
      <c r="O212" s="88">
        <f>SUMIF(月間集計シート!$M$29:$M$48,$G212,月間集計シート!S$29:S$48)*O$2</f>
        <v>0</v>
      </c>
      <c r="P212" s="88">
        <f>SUMIF(月間集計シート!$M$29:$M$48,$G212,月間集計シート!T$29:T$48)*P$2</f>
        <v>0</v>
      </c>
      <c r="Q212" s="88">
        <f>SUMIF(月間集計シート!$M$50:$M$69,$G212,月間集計シート!N$50:N$69)*Q$2</f>
        <v>0</v>
      </c>
      <c r="R212" s="88">
        <f>SUMIF(月間集計シート!$M$50:$M$69,$G212,月間集計シート!O$50:O$69)*R$2</f>
        <v>0</v>
      </c>
      <c r="S212" s="88">
        <f>SUMIF(月間集計シート!$M$50:$M$69,$G212,月間集計シート!P$50:P$69)*S$2</f>
        <v>0</v>
      </c>
      <c r="T212" s="88">
        <f>SUMIF(月間集計シート!$M$50:$M$69,$G212,月間集計シート!Q$50:Q$69)*T$2</f>
        <v>0</v>
      </c>
      <c r="U212" s="88">
        <f>SUMIF(月間集計シート!$M$50:$M$69,$G212,月間集計シート!R$50:R$69)*U$2</f>
        <v>0</v>
      </c>
      <c r="V212" s="88">
        <f>SUMIF(月間集計シート!$M$50:$M$69,$G212,月間集計シート!S$50:S$69)*V$2</f>
        <v>0</v>
      </c>
      <c r="W212" s="88">
        <f>SUMIF(月間集計シート!$M$50:$M$69,$G212,月間集計シート!T$50:T$69)*W$2</f>
        <v>0</v>
      </c>
      <c r="X212" s="88">
        <f>SUMIF(月間集計シート!$M$71:$M$90,$G212,月間集計シート!N$71:N$90)*X$2</f>
        <v>0</v>
      </c>
      <c r="Y212" s="88">
        <f>SUMIF(月間集計シート!$M$71:$M$90,$G212,月間集計シート!O$71:O$90)*Y$2</f>
        <v>0</v>
      </c>
      <c r="Z212" s="88">
        <f>SUMIF(月間集計シート!$M$71:$M$90,$G212,月間集計シート!P$71:P$90)*Z$2</f>
        <v>0</v>
      </c>
      <c r="AA212" s="88">
        <f>SUMIF(月間集計シート!$M$71:$M$90,$G212,月間集計シート!Q$71:Q$90)*AA$2</f>
        <v>0</v>
      </c>
      <c r="AB212" s="88">
        <f>SUMIF(月間集計シート!$M$71:$M$90,$G212,月間集計シート!R$71:R$90)*AB$2</f>
        <v>0</v>
      </c>
      <c r="AC212" s="88">
        <f>SUMIF(月間集計シート!$M$71:$M$90,$G212,月間集計シート!S$71:S$90)*AC$2</f>
        <v>0</v>
      </c>
      <c r="AD212" s="88">
        <f>SUMIF(月間集計シート!$M$71:$M$90,$G212,月間集計シート!T$71:T$90)*AD$2</f>
        <v>0</v>
      </c>
      <c r="AE212" s="88">
        <f>SUMIF(月間集計シート!$M$92:$M$111,$G212,月間集計シート!N$92:N$111)*AE$2</f>
        <v>0</v>
      </c>
      <c r="AF212" s="88">
        <f>SUMIF(月間集計シート!$M$92:$M$111,$G212,月間集計シート!O$92:O$111)*AF$2</f>
        <v>0</v>
      </c>
      <c r="AG212" s="88">
        <f>SUMIF(月間集計シート!$M$92:$M$111,$G212,月間集計シート!P$92:P$111)*AG$2</f>
        <v>0</v>
      </c>
      <c r="AH212" s="88">
        <f>SUMIF(月間集計シート!$M$92:$M$111,$G212,月間集計シート!Q$92:Q$111)*AH$2</f>
        <v>0</v>
      </c>
      <c r="AI212" s="88">
        <f>SUMIF(月間集計シート!$M$92:$M$111,$G212,月間集計シート!R$92:R$111)*AI$2</f>
        <v>0</v>
      </c>
      <c r="AJ212" s="88">
        <f>SUMIF(月間集計シート!$M$92:$M$111,$G212,月間集計シート!S$92:S$111)*AJ$2</f>
        <v>0</v>
      </c>
      <c r="AK212" s="88">
        <f>SUMIF(月間集計シート!$M$92:$M$111,$G212,月間集計シート!T$92:T$111)*AK$2</f>
        <v>0</v>
      </c>
      <c r="AL212" s="88">
        <f>SUMIF(月間集計シート!$M$113:$M$132,$G212,月間集計シート!N$113:N$132)*AL$2</f>
        <v>0</v>
      </c>
      <c r="AM212" s="88">
        <f>SUMIF(月間集計シート!$M$113:$M$132,$G212,月間集計シート!O$113:O$132)*AM$2</f>
        <v>0</v>
      </c>
      <c r="AN212" s="88">
        <f>SUMIF(月間集計シート!$M$113:$M$132,$G212,月間集計シート!P$113:P$132)*AN$2</f>
        <v>0</v>
      </c>
      <c r="AO212" s="88">
        <f>SUMIF(月間集計シート!$M$113:$M$132,$G212,月間集計シート!Q$113:Q$132)*AO$2</f>
        <v>0</v>
      </c>
      <c r="AP212" s="88">
        <f>SUMIF(月間集計シート!$M$113:$M$132,$G212,月間集計シート!R$113:R$132)*AP$2</f>
        <v>0</v>
      </c>
      <c r="AQ212" s="88">
        <f>SUMIF(月間集計シート!$M$113:$M$132,$G212,月間集計シート!S$113:S$132)*AQ$2</f>
        <v>0</v>
      </c>
      <c r="AR212" s="88">
        <f>SUMIF(月間集計シート!$M$113:$M$132,$G212,月間集計シート!T$113:T$132)*AR$2</f>
        <v>0</v>
      </c>
      <c r="AS212" s="88">
        <f>SUMIF(月間集計シート!$M$134:$M$153,$G212,月間集計シート!N$134:N$153)*AS$2</f>
        <v>0</v>
      </c>
      <c r="AT212" s="88">
        <f>SUMIF(月間集計シート!$M$134:$M$153,$G212,月間集計シート!O$134:O$153)*AT$2</f>
        <v>0</v>
      </c>
      <c r="AU212" s="88">
        <f>SUMIF(月間集計シート!$M$134:$M$153,$G212,月間集計シート!P$134:P$153)*AU$2</f>
        <v>0</v>
      </c>
      <c r="AV212" s="88">
        <f>SUMIF(月間集計シート!$M$134:$M$153,$G212,月間集計シート!Q$134:Q$153)*AV$2</f>
        <v>0</v>
      </c>
      <c r="AW212" s="88">
        <f>SUMIF(月間集計シート!$M$134:$M$153,$G212,月間集計シート!R$134:R$153)*AW$2</f>
        <v>0</v>
      </c>
      <c r="AX212" s="88">
        <f>SUMIF(月間集計シート!$M$134:$M$153,$G212,月間集計シート!S$134:S$153)*AX$2</f>
        <v>0</v>
      </c>
      <c r="AY212" s="88">
        <f>SUMIF(月間集計シート!$M$134:$M$153,$G212,月間集計シート!T$134:T$153)*AY$2</f>
        <v>0</v>
      </c>
    </row>
    <row r="213" spans="1:51" ht="14.25" thickBot="1">
      <c r="A213">
        <v>3</v>
      </c>
      <c r="B213" s="120">
        <f t="shared" si="77"/>
        <v>0</v>
      </c>
      <c r="C213" s="120" t="str">
        <f t="shared" si="78"/>
        <v/>
      </c>
      <c r="D213" s="137"/>
      <c r="E213" s="150" t="str">
        <f>工種!A35</f>
        <v>40113</v>
      </c>
      <c r="F213" s="119" t="str">
        <f>工種!B35</f>
        <v>テスト：QA対応</v>
      </c>
      <c r="G213" s="116" t="str">
        <f t="shared" si="79"/>
        <v>040113</v>
      </c>
      <c r="H213" s="88">
        <f t="shared" si="71"/>
        <v>0</v>
      </c>
      <c r="I213" s="132"/>
      <c r="J213" s="88">
        <f>SUMIF(月間集計シート!$M$29:$M$48,$G213,月間集計シート!N$29:N$48)*J$2</f>
        <v>0</v>
      </c>
      <c r="K213" s="88">
        <f>SUMIF(月間集計シート!$M$29:$M$48,$G213,月間集計シート!O$29:O$48)*K$2</f>
        <v>0</v>
      </c>
      <c r="L213" s="88">
        <f>SUMIF(月間集計シート!$M$29:$M$48,$G213,月間集計シート!P$29:P$48)*L$2</f>
        <v>0</v>
      </c>
      <c r="M213" s="88">
        <f>SUMIF(月間集計シート!$M$29:$M$48,$G213,月間集計シート!Q$29:Q$48)*M$2</f>
        <v>0</v>
      </c>
      <c r="N213" s="88">
        <f>SUMIF(月間集計シート!$M$29:$M$48,$G213,月間集計シート!R$29:R$48)*N$2</f>
        <v>0</v>
      </c>
      <c r="O213" s="88">
        <f>SUMIF(月間集計シート!$M$29:$M$48,$G213,月間集計シート!S$29:S$48)*O$2</f>
        <v>0</v>
      </c>
      <c r="P213" s="88">
        <f>SUMIF(月間集計シート!$M$29:$M$48,$G213,月間集計シート!T$29:T$48)*P$2</f>
        <v>0</v>
      </c>
      <c r="Q213" s="88">
        <f>SUMIF(月間集計シート!$M$50:$M$69,$G213,月間集計シート!N$50:N$69)*Q$2</f>
        <v>0</v>
      </c>
      <c r="R213" s="88">
        <f>SUMIF(月間集計シート!$M$50:$M$69,$G213,月間集計シート!O$50:O$69)*R$2</f>
        <v>0</v>
      </c>
      <c r="S213" s="88">
        <f>SUMIF(月間集計シート!$M$50:$M$69,$G213,月間集計シート!P$50:P$69)*S$2</f>
        <v>0</v>
      </c>
      <c r="T213" s="88">
        <f>SUMIF(月間集計シート!$M$50:$M$69,$G213,月間集計シート!Q$50:Q$69)*T$2</f>
        <v>0</v>
      </c>
      <c r="U213" s="88">
        <f>SUMIF(月間集計シート!$M$50:$M$69,$G213,月間集計シート!R$50:R$69)*U$2</f>
        <v>0</v>
      </c>
      <c r="V213" s="88">
        <f>SUMIF(月間集計シート!$M$50:$M$69,$G213,月間集計シート!S$50:S$69)*V$2</f>
        <v>0</v>
      </c>
      <c r="W213" s="88">
        <f>SUMIF(月間集計シート!$M$50:$M$69,$G213,月間集計シート!T$50:T$69)*W$2</f>
        <v>0</v>
      </c>
      <c r="X213" s="88">
        <f>SUMIF(月間集計シート!$M$71:$M$90,$G213,月間集計シート!N$71:N$90)*X$2</f>
        <v>0</v>
      </c>
      <c r="Y213" s="88">
        <f>SUMIF(月間集計シート!$M$71:$M$90,$G213,月間集計シート!O$71:O$90)*Y$2</f>
        <v>0</v>
      </c>
      <c r="Z213" s="88">
        <f>SUMIF(月間集計シート!$M$71:$M$90,$G213,月間集計シート!P$71:P$90)*Z$2</f>
        <v>0</v>
      </c>
      <c r="AA213" s="88">
        <f>SUMIF(月間集計シート!$M$71:$M$90,$G213,月間集計シート!Q$71:Q$90)*AA$2</f>
        <v>0</v>
      </c>
      <c r="AB213" s="88">
        <f>SUMIF(月間集計シート!$M$71:$M$90,$G213,月間集計シート!R$71:R$90)*AB$2</f>
        <v>0</v>
      </c>
      <c r="AC213" s="88">
        <f>SUMIF(月間集計シート!$M$71:$M$90,$G213,月間集計シート!S$71:S$90)*AC$2</f>
        <v>0</v>
      </c>
      <c r="AD213" s="88">
        <f>SUMIF(月間集計シート!$M$71:$M$90,$G213,月間集計シート!T$71:T$90)*AD$2</f>
        <v>0</v>
      </c>
      <c r="AE213" s="88">
        <f>SUMIF(月間集計シート!$M$92:$M$111,$G213,月間集計シート!N$92:N$111)*AE$2</f>
        <v>0</v>
      </c>
      <c r="AF213" s="88">
        <f>SUMIF(月間集計シート!$M$92:$M$111,$G213,月間集計シート!O$92:O$111)*AF$2</f>
        <v>0</v>
      </c>
      <c r="AG213" s="88">
        <f>SUMIF(月間集計シート!$M$92:$M$111,$G213,月間集計シート!P$92:P$111)*AG$2</f>
        <v>0</v>
      </c>
      <c r="AH213" s="88">
        <f>SUMIF(月間集計シート!$M$92:$M$111,$G213,月間集計シート!Q$92:Q$111)*AH$2</f>
        <v>0</v>
      </c>
      <c r="AI213" s="88">
        <f>SUMIF(月間集計シート!$M$92:$M$111,$G213,月間集計シート!R$92:R$111)*AI$2</f>
        <v>0</v>
      </c>
      <c r="AJ213" s="88">
        <f>SUMIF(月間集計シート!$M$92:$M$111,$G213,月間集計シート!S$92:S$111)*AJ$2</f>
        <v>0</v>
      </c>
      <c r="AK213" s="88">
        <f>SUMIF(月間集計シート!$M$92:$M$111,$G213,月間集計シート!T$92:T$111)*AK$2</f>
        <v>0</v>
      </c>
      <c r="AL213" s="88">
        <f>SUMIF(月間集計シート!$M$113:$M$132,$G213,月間集計シート!N$113:N$132)*AL$2</f>
        <v>0</v>
      </c>
      <c r="AM213" s="88">
        <f>SUMIF(月間集計シート!$M$113:$M$132,$G213,月間集計シート!O$113:O$132)*AM$2</f>
        <v>0</v>
      </c>
      <c r="AN213" s="88">
        <f>SUMIF(月間集計シート!$M$113:$M$132,$G213,月間集計シート!P$113:P$132)*AN$2</f>
        <v>0</v>
      </c>
      <c r="AO213" s="88">
        <f>SUMIF(月間集計シート!$M$113:$M$132,$G213,月間集計シート!Q$113:Q$132)*AO$2</f>
        <v>0</v>
      </c>
      <c r="AP213" s="88">
        <f>SUMIF(月間集計シート!$M$113:$M$132,$G213,月間集計シート!R$113:R$132)*AP$2</f>
        <v>0</v>
      </c>
      <c r="AQ213" s="88">
        <f>SUMIF(月間集計シート!$M$113:$M$132,$G213,月間集計シート!S$113:S$132)*AQ$2</f>
        <v>0</v>
      </c>
      <c r="AR213" s="88">
        <f>SUMIF(月間集計シート!$M$113:$M$132,$G213,月間集計シート!T$113:T$132)*AR$2</f>
        <v>0</v>
      </c>
      <c r="AS213" s="88">
        <f>SUMIF(月間集計シート!$M$134:$M$153,$G213,月間集計シート!N$134:N$153)*AS$2</f>
        <v>0</v>
      </c>
      <c r="AT213" s="88">
        <f>SUMIF(月間集計シート!$M$134:$M$153,$G213,月間集計シート!O$134:O$153)*AT$2</f>
        <v>0</v>
      </c>
      <c r="AU213" s="88">
        <f>SUMIF(月間集計シート!$M$134:$M$153,$G213,月間集計シート!P$134:P$153)*AU$2</f>
        <v>0</v>
      </c>
      <c r="AV213" s="88">
        <f>SUMIF(月間集計シート!$M$134:$M$153,$G213,月間集計シート!Q$134:Q$153)*AV$2</f>
        <v>0</v>
      </c>
      <c r="AW213" s="88">
        <f>SUMIF(月間集計シート!$M$134:$M$153,$G213,月間集計シート!R$134:R$153)*AW$2</f>
        <v>0</v>
      </c>
      <c r="AX213" s="88">
        <f>SUMIF(月間集計シート!$M$134:$M$153,$G213,月間集計シート!S$134:S$153)*AX$2</f>
        <v>0</v>
      </c>
      <c r="AY213" s="88">
        <f>SUMIF(月間集計シート!$M$134:$M$153,$G213,月間集計シート!T$134:T$153)*AY$2</f>
        <v>0</v>
      </c>
    </row>
    <row r="214" spans="1:51" ht="14.25" thickBot="1">
      <c r="A214">
        <v>3</v>
      </c>
      <c r="B214" s="120">
        <f t="shared" si="77"/>
        <v>0</v>
      </c>
      <c r="C214" s="120" t="str">
        <f t="shared" si="78"/>
        <v/>
      </c>
      <c r="D214" s="137"/>
      <c r="E214" s="150" t="str">
        <f>工種!A36</f>
        <v>40189</v>
      </c>
      <c r="F214" s="119" t="str">
        <f>工種!B36</f>
        <v>テスト：内部不具合分析</v>
      </c>
      <c r="G214" s="116" t="str">
        <f t="shared" si="79"/>
        <v>040189</v>
      </c>
      <c r="H214" s="88">
        <f t="shared" si="71"/>
        <v>0</v>
      </c>
      <c r="I214" s="132"/>
      <c r="J214" s="88">
        <f>SUMIF(月間集計シート!$M$29:$M$48,$G214,月間集計シート!N$29:N$48)*J$2</f>
        <v>0</v>
      </c>
      <c r="K214" s="88">
        <f>SUMIF(月間集計シート!$M$29:$M$48,$G214,月間集計シート!O$29:O$48)*K$2</f>
        <v>0</v>
      </c>
      <c r="L214" s="88">
        <f>SUMIF(月間集計シート!$M$29:$M$48,$G214,月間集計シート!P$29:P$48)*L$2</f>
        <v>0</v>
      </c>
      <c r="M214" s="88">
        <f>SUMIF(月間集計シート!$M$29:$M$48,$G214,月間集計シート!Q$29:Q$48)*M$2</f>
        <v>0</v>
      </c>
      <c r="N214" s="88">
        <f>SUMIF(月間集計シート!$M$29:$M$48,$G214,月間集計シート!R$29:R$48)*N$2</f>
        <v>0</v>
      </c>
      <c r="O214" s="88">
        <f>SUMIF(月間集計シート!$M$29:$M$48,$G214,月間集計シート!S$29:S$48)*O$2</f>
        <v>0</v>
      </c>
      <c r="P214" s="88">
        <f>SUMIF(月間集計シート!$M$29:$M$48,$G214,月間集計シート!T$29:T$48)*P$2</f>
        <v>0</v>
      </c>
      <c r="Q214" s="88">
        <f>SUMIF(月間集計シート!$M$50:$M$69,$G214,月間集計シート!N$50:N$69)*Q$2</f>
        <v>0</v>
      </c>
      <c r="R214" s="88">
        <f>SUMIF(月間集計シート!$M$50:$M$69,$G214,月間集計シート!O$50:O$69)*R$2</f>
        <v>0</v>
      </c>
      <c r="S214" s="88">
        <f>SUMIF(月間集計シート!$M$50:$M$69,$G214,月間集計シート!P$50:P$69)*S$2</f>
        <v>0</v>
      </c>
      <c r="T214" s="88">
        <f>SUMIF(月間集計シート!$M$50:$M$69,$G214,月間集計シート!Q$50:Q$69)*T$2</f>
        <v>0</v>
      </c>
      <c r="U214" s="88">
        <f>SUMIF(月間集計シート!$M$50:$M$69,$G214,月間集計シート!R$50:R$69)*U$2</f>
        <v>0</v>
      </c>
      <c r="V214" s="88">
        <f>SUMIF(月間集計シート!$M$50:$M$69,$G214,月間集計シート!S$50:S$69)*V$2</f>
        <v>0</v>
      </c>
      <c r="W214" s="88">
        <f>SUMIF(月間集計シート!$M$50:$M$69,$G214,月間集計シート!T$50:T$69)*W$2</f>
        <v>0</v>
      </c>
      <c r="X214" s="88">
        <f>SUMIF(月間集計シート!$M$71:$M$90,$G214,月間集計シート!N$71:N$90)*X$2</f>
        <v>0</v>
      </c>
      <c r="Y214" s="88">
        <f>SUMIF(月間集計シート!$M$71:$M$90,$G214,月間集計シート!O$71:O$90)*Y$2</f>
        <v>0</v>
      </c>
      <c r="Z214" s="88">
        <f>SUMIF(月間集計シート!$M$71:$M$90,$G214,月間集計シート!P$71:P$90)*Z$2</f>
        <v>0</v>
      </c>
      <c r="AA214" s="88">
        <f>SUMIF(月間集計シート!$M$71:$M$90,$G214,月間集計シート!Q$71:Q$90)*AA$2</f>
        <v>0</v>
      </c>
      <c r="AB214" s="88">
        <f>SUMIF(月間集計シート!$M$71:$M$90,$G214,月間集計シート!R$71:R$90)*AB$2</f>
        <v>0</v>
      </c>
      <c r="AC214" s="88">
        <f>SUMIF(月間集計シート!$M$71:$M$90,$G214,月間集計シート!S$71:S$90)*AC$2</f>
        <v>0</v>
      </c>
      <c r="AD214" s="88">
        <f>SUMIF(月間集計シート!$M$71:$M$90,$G214,月間集計シート!T$71:T$90)*AD$2</f>
        <v>0</v>
      </c>
      <c r="AE214" s="88">
        <f>SUMIF(月間集計シート!$M$92:$M$111,$G214,月間集計シート!N$92:N$111)*AE$2</f>
        <v>0</v>
      </c>
      <c r="AF214" s="88">
        <f>SUMIF(月間集計シート!$M$92:$M$111,$G214,月間集計シート!O$92:O$111)*AF$2</f>
        <v>0</v>
      </c>
      <c r="AG214" s="88">
        <f>SUMIF(月間集計シート!$M$92:$M$111,$G214,月間集計シート!P$92:P$111)*AG$2</f>
        <v>0</v>
      </c>
      <c r="AH214" s="88">
        <f>SUMIF(月間集計シート!$M$92:$M$111,$G214,月間集計シート!Q$92:Q$111)*AH$2</f>
        <v>0</v>
      </c>
      <c r="AI214" s="88">
        <f>SUMIF(月間集計シート!$M$92:$M$111,$G214,月間集計シート!R$92:R$111)*AI$2</f>
        <v>0</v>
      </c>
      <c r="AJ214" s="88">
        <f>SUMIF(月間集計シート!$M$92:$M$111,$G214,月間集計シート!S$92:S$111)*AJ$2</f>
        <v>0</v>
      </c>
      <c r="AK214" s="88">
        <f>SUMIF(月間集計シート!$M$92:$M$111,$G214,月間集計シート!T$92:T$111)*AK$2</f>
        <v>0</v>
      </c>
      <c r="AL214" s="88">
        <f>SUMIF(月間集計シート!$M$113:$M$132,$G214,月間集計シート!N$113:N$132)*AL$2</f>
        <v>0</v>
      </c>
      <c r="AM214" s="88">
        <f>SUMIF(月間集計シート!$M$113:$M$132,$G214,月間集計シート!O$113:O$132)*AM$2</f>
        <v>0</v>
      </c>
      <c r="AN214" s="88">
        <f>SUMIF(月間集計シート!$M$113:$M$132,$G214,月間集計シート!P$113:P$132)*AN$2</f>
        <v>0</v>
      </c>
      <c r="AO214" s="88">
        <f>SUMIF(月間集計シート!$M$113:$M$132,$G214,月間集計シート!Q$113:Q$132)*AO$2</f>
        <v>0</v>
      </c>
      <c r="AP214" s="88">
        <f>SUMIF(月間集計シート!$M$113:$M$132,$G214,月間集計シート!R$113:R$132)*AP$2</f>
        <v>0</v>
      </c>
      <c r="AQ214" s="88">
        <f>SUMIF(月間集計シート!$M$113:$M$132,$G214,月間集計シート!S$113:S$132)*AQ$2</f>
        <v>0</v>
      </c>
      <c r="AR214" s="88">
        <f>SUMIF(月間集計シート!$M$113:$M$132,$G214,月間集計シート!T$113:T$132)*AR$2</f>
        <v>0</v>
      </c>
      <c r="AS214" s="88">
        <f>SUMIF(月間集計シート!$M$134:$M$153,$G214,月間集計シート!N$134:N$153)*AS$2</f>
        <v>0</v>
      </c>
      <c r="AT214" s="88">
        <f>SUMIF(月間集計シート!$M$134:$M$153,$G214,月間集計シート!O$134:O$153)*AT$2</f>
        <v>0</v>
      </c>
      <c r="AU214" s="88">
        <f>SUMIF(月間集計シート!$M$134:$M$153,$G214,月間集計シート!P$134:P$153)*AU$2</f>
        <v>0</v>
      </c>
      <c r="AV214" s="88">
        <f>SUMIF(月間集計シート!$M$134:$M$153,$G214,月間集計シート!Q$134:Q$153)*AV$2</f>
        <v>0</v>
      </c>
      <c r="AW214" s="88">
        <f>SUMIF(月間集計シート!$M$134:$M$153,$G214,月間集計シート!R$134:R$153)*AW$2</f>
        <v>0</v>
      </c>
      <c r="AX214" s="88">
        <f>SUMIF(月間集計シート!$M$134:$M$153,$G214,月間集計シート!S$134:S$153)*AX$2</f>
        <v>0</v>
      </c>
      <c r="AY214" s="88">
        <f>SUMIF(月間集計シート!$M$134:$M$153,$G214,月間集計シート!T$134:T$153)*AY$2</f>
        <v>0</v>
      </c>
    </row>
    <row r="215" spans="1:51" ht="14.25" thickBot="1">
      <c r="A215">
        <v>3</v>
      </c>
      <c r="B215" s="120">
        <f t="shared" si="77"/>
        <v>0</v>
      </c>
      <c r="C215" s="120" t="str">
        <f t="shared" si="78"/>
        <v/>
      </c>
      <c r="D215" s="137"/>
      <c r="E215" s="150" t="str">
        <f>工種!A37</f>
        <v>40199</v>
      </c>
      <c r="F215" s="119" t="str">
        <f>工種!B37</f>
        <v>テスト：その他</v>
      </c>
      <c r="G215" s="116" t="str">
        <f t="shared" si="79"/>
        <v>040199</v>
      </c>
      <c r="H215" s="88">
        <f t="shared" si="71"/>
        <v>0</v>
      </c>
      <c r="I215" s="132"/>
      <c r="J215" s="88">
        <f>SUMIF(月間集計シート!$M$29:$M$48,$G215,月間集計シート!N$29:N$48)*J$2</f>
        <v>0</v>
      </c>
      <c r="K215" s="88">
        <f>SUMIF(月間集計シート!$M$29:$M$48,$G215,月間集計シート!O$29:O$48)*K$2</f>
        <v>0</v>
      </c>
      <c r="L215" s="88">
        <f>SUMIF(月間集計シート!$M$29:$M$48,$G215,月間集計シート!P$29:P$48)*L$2</f>
        <v>0</v>
      </c>
      <c r="M215" s="88">
        <f>SUMIF(月間集計シート!$M$29:$M$48,$G215,月間集計シート!Q$29:Q$48)*M$2</f>
        <v>0</v>
      </c>
      <c r="N215" s="88">
        <f>SUMIF(月間集計シート!$M$29:$M$48,$G215,月間集計シート!R$29:R$48)*N$2</f>
        <v>0</v>
      </c>
      <c r="O215" s="88">
        <f>SUMIF(月間集計シート!$M$29:$M$48,$G215,月間集計シート!S$29:S$48)*O$2</f>
        <v>0</v>
      </c>
      <c r="P215" s="88">
        <f>SUMIF(月間集計シート!$M$29:$M$48,$G215,月間集計シート!T$29:T$48)*P$2</f>
        <v>0</v>
      </c>
      <c r="Q215" s="88">
        <f>SUMIF(月間集計シート!$M$50:$M$69,$G215,月間集計シート!N$50:N$69)*Q$2</f>
        <v>0</v>
      </c>
      <c r="R215" s="88">
        <f>SUMIF(月間集計シート!$M$50:$M$69,$G215,月間集計シート!O$50:O$69)*R$2</f>
        <v>0</v>
      </c>
      <c r="S215" s="88">
        <f>SUMIF(月間集計シート!$M$50:$M$69,$G215,月間集計シート!P$50:P$69)*S$2</f>
        <v>0</v>
      </c>
      <c r="T215" s="88">
        <f>SUMIF(月間集計シート!$M$50:$M$69,$G215,月間集計シート!Q$50:Q$69)*T$2</f>
        <v>0</v>
      </c>
      <c r="U215" s="88">
        <f>SUMIF(月間集計シート!$M$50:$M$69,$G215,月間集計シート!R$50:R$69)*U$2</f>
        <v>0</v>
      </c>
      <c r="V215" s="88">
        <f>SUMIF(月間集計シート!$M$50:$M$69,$G215,月間集計シート!S$50:S$69)*V$2</f>
        <v>0</v>
      </c>
      <c r="W215" s="88">
        <f>SUMIF(月間集計シート!$M$50:$M$69,$G215,月間集計シート!T$50:T$69)*W$2</f>
        <v>0</v>
      </c>
      <c r="X215" s="88">
        <f>SUMIF(月間集計シート!$M$71:$M$90,$G215,月間集計シート!N$71:N$90)*X$2</f>
        <v>0</v>
      </c>
      <c r="Y215" s="88">
        <f>SUMIF(月間集計シート!$M$71:$M$90,$G215,月間集計シート!O$71:O$90)*Y$2</f>
        <v>0</v>
      </c>
      <c r="Z215" s="88">
        <f>SUMIF(月間集計シート!$M$71:$M$90,$G215,月間集計シート!P$71:P$90)*Z$2</f>
        <v>0</v>
      </c>
      <c r="AA215" s="88">
        <f>SUMIF(月間集計シート!$M$71:$M$90,$G215,月間集計シート!Q$71:Q$90)*AA$2</f>
        <v>0</v>
      </c>
      <c r="AB215" s="88">
        <f>SUMIF(月間集計シート!$M$71:$M$90,$G215,月間集計シート!R$71:R$90)*AB$2</f>
        <v>0</v>
      </c>
      <c r="AC215" s="88">
        <f>SUMIF(月間集計シート!$M$71:$M$90,$G215,月間集計シート!S$71:S$90)*AC$2</f>
        <v>0</v>
      </c>
      <c r="AD215" s="88">
        <f>SUMIF(月間集計シート!$M$71:$M$90,$G215,月間集計シート!T$71:T$90)*AD$2</f>
        <v>0</v>
      </c>
      <c r="AE215" s="88">
        <f>SUMIF(月間集計シート!$M$92:$M$111,$G215,月間集計シート!N$92:N$111)*AE$2</f>
        <v>0</v>
      </c>
      <c r="AF215" s="88">
        <f>SUMIF(月間集計シート!$M$92:$M$111,$G215,月間集計シート!O$92:O$111)*AF$2</f>
        <v>0</v>
      </c>
      <c r="AG215" s="88">
        <f>SUMIF(月間集計シート!$M$92:$M$111,$G215,月間集計シート!P$92:P$111)*AG$2</f>
        <v>0</v>
      </c>
      <c r="AH215" s="88">
        <f>SUMIF(月間集計シート!$M$92:$M$111,$G215,月間集計シート!Q$92:Q$111)*AH$2</f>
        <v>0</v>
      </c>
      <c r="AI215" s="88">
        <f>SUMIF(月間集計シート!$M$92:$M$111,$G215,月間集計シート!R$92:R$111)*AI$2</f>
        <v>0</v>
      </c>
      <c r="AJ215" s="88">
        <f>SUMIF(月間集計シート!$M$92:$M$111,$G215,月間集計シート!S$92:S$111)*AJ$2</f>
        <v>0</v>
      </c>
      <c r="AK215" s="88">
        <f>SUMIF(月間集計シート!$M$92:$M$111,$G215,月間集計シート!T$92:T$111)*AK$2</f>
        <v>0</v>
      </c>
      <c r="AL215" s="88">
        <f>SUMIF(月間集計シート!$M$113:$M$132,$G215,月間集計シート!N$113:N$132)*AL$2</f>
        <v>0</v>
      </c>
      <c r="AM215" s="88">
        <f>SUMIF(月間集計シート!$M$113:$M$132,$G215,月間集計シート!O$113:O$132)*AM$2</f>
        <v>0</v>
      </c>
      <c r="AN215" s="88">
        <f>SUMIF(月間集計シート!$M$113:$M$132,$G215,月間集計シート!P$113:P$132)*AN$2</f>
        <v>0</v>
      </c>
      <c r="AO215" s="88">
        <f>SUMIF(月間集計シート!$M$113:$M$132,$G215,月間集計シート!Q$113:Q$132)*AO$2</f>
        <v>0</v>
      </c>
      <c r="AP215" s="88">
        <f>SUMIF(月間集計シート!$M$113:$M$132,$G215,月間集計シート!R$113:R$132)*AP$2</f>
        <v>0</v>
      </c>
      <c r="AQ215" s="88">
        <f>SUMIF(月間集計シート!$M$113:$M$132,$G215,月間集計シート!S$113:S$132)*AQ$2</f>
        <v>0</v>
      </c>
      <c r="AR215" s="88">
        <f>SUMIF(月間集計シート!$M$113:$M$132,$G215,月間集計シート!T$113:T$132)*AR$2</f>
        <v>0</v>
      </c>
      <c r="AS215" s="88">
        <f>SUMIF(月間集計シート!$M$134:$M$153,$G215,月間集計シート!N$134:N$153)*AS$2</f>
        <v>0</v>
      </c>
      <c r="AT215" s="88">
        <f>SUMIF(月間集計シート!$M$134:$M$153,$G215,月間集計シート!O$134:O$153)*AT$2</f>
        <v>0</v>
      </c>
      <c r="AU215" s="88">
        <f>SUMIF(月間集計シート!$M$134:$M$153,$G215,月間集計シート!P$134:P$153)*AU$2</f>
        <v>0</v>
      </c>
      <c r="AV215" s="88">
        <f>SUMIF(月間集計シート!$M$134:$M$153,$G215,月間集計シート!Q$134:Q$153)*AV$2</f>
        <v>0</v>
      </c>
      <c r="AW215" s="88">
        <f>SUMIF(月間集計シート!$M$134:$M$153,$G215,月間集計シート!R$134:R$153)*AW$2</f>
        <v>0</v>
      </c>
      <c r="AX215" s="88">
        <f>SUMIF(月間集計シート!$M$134:$M$153,$G215,月間集計シート!S$134:S$153)*AX$2</f>
        <v>0</v>
      </c>
      <c r="AY215" s="88">
        <f>SUMIF(月間集計シート!$M$134:$M$153,$G215,月間集計シート!T$134:T$153)*AY$2</f>
        <v>0</v>
      </c>
    </row>
    <row r="216" spans="1:51" ht="14.25" thickBot="1">
      <c r="A216">
        <v>3</v>
      </c>
      <c r="B216" s="120">
        <f t="shared" si="77"/>
        <v>0</v>
      </c>
      <c r="C216" s="120" t="str">
        <f t="shared" si="78"/>
        <v/>
      </c>
      <c r="D216" s="137"/>
      <c r="E216" s="150" t="str">
        <f>工種!A38</f>
        <v>50101</v>
      </c>
      <c r="F216" s="119" t="str">
        <f>工種!B38</f>
        <v>ﾏﾆｭｱﾙ作成：原稿作成</v>
      </c>
      <c r="G216" s="116" t="str">
        <f t="shared" si="79"/>
        <v>050101</v>
      </c>
      <c r="H216" s="88">
        <f t="shared" si="71"/>
        <v>0</v>
      </c>
      <c r="I216" s="132"/>
      <c r="J216" s="88">
        <f>SUMIF(月間集計シート!$M$29:$M$48,$G216,月間集計シート!N$29:N$48)*J$2</f>
        <v>0</v>
      </c>
      <c r="K216" s="88">
        <f>SUMIF(月間集計シート!$M$29:$M$48,$G216,月間集計シート!O$29:O$48)*K$2</f>
        <v>0</v>
      </c>
      <c r="L216" s="88">
        <f>SUMIF(月間集計シート!$M$29:$M$48,$G216,月間集計シート!P$29:P$48)*L$2</f>
        <v>0</v>
      </c>
      <c r="M216" s="88">
        <f>SUMIF(月間集計シート!$M$29:$M$48,$G216,月間集計シート!Q$29:Q$48)*M$2</f>
        <v>0</v>
      </c>
      <c r="N216" s="88">
        <f>SUMIF(月間集計シート!$M$29:$M$48,$G216,月間集計シート!R$29:R$48)*N$2</f>
        <v>0</v>
      </c>
      <c r="O216" s="88">
        <f>SUMIF(月間集計シート!$M$29:$M$48,$G216,月間集計シート!S$29:S$48)*O$2</f>
        <v>0</v>
      </c>
      <c r="P216" s="88">
        <f>SUMIF(月間集計シート!$M$29:$M$48,$G216,月間集計シート!T$29:T$48)*P$2</f>
        <v>0</v>
      </c>
      <c r="Q216" s="88">
        <f>SUMIF(月間集計シート!$M$50:$M$69,$G216,月間集計シート!N$50:N$69)*Q$2</f>
        <v>0</v>
      </c>
      <c r="R216" s="88">
        <f>SUMIF(月間集計シート!$M$50:$M$69,$G216,月間集計シート!O$50:O$69)*R$2</f>
        <v>0</v>
      </c>
      <c r="S216" s="88">
        <f>SUMIF(月間集計シート!$M$50:$M$69,$G216,月間集計シート!P$50:P$69)*S$2</f>
        <v>0</v>
      </c>
      <c r="T216" s="88">
        <f>SUMIF(月間集計シート!$M$50:$M$69,$G216,月間集計シート!Q$50:Q$69)*T$2</f>
        <v>0</v>
      </c>
      <c r="U216" s="88">
        <f>SUMIF(月間集計シート!$M$50:$M$69,$G216,月間集計シート!R$50:R$69)*U$2</f>
        <v>0</v>
      </c>
      <c r="V216" s="88">
        <f>SUMIF(月間集計シート!$M$50:$M$69,$G216,月間集計シート!S$50:S$69)*V$2</f>
        <v>0</v>
      </c>
      <c r="W216" s="88">
        <f>SUMIF(月間集計シート!$M$50:$M$69,$G216,月間集計シート!T$50:T$69)*W$2</f>
        <v>0</v>
      </c>
      <c r="X216" s="88">
        <f>SUMIF(月間集計シート!$M$71:$M$90,$G216,月間集計シート!N$71:N$90)*X$2</f>
        <v>0</v>
      </c>
      <c r="Y216" s="88">
        <f>SUMIF(月間集計シート!$M$71:$M$90,$G216,月間集計シート!O$71:O$90)*Y$2</f>
        <v>0</v>
      </c>
      <c r="Z216" s="88">
        <f>SUMIF(月間集計シート!$M$71:$M$90,$G216,月間集計シート!P$71:P$90)*Z$2</f>
        <v>0</v>
      </c>
      <c r="AA216" s="88">
        <f>SUMIF(月間集計シート!$M$71:$M$90,$G216,月間集計シート!Q$71:Q$90)*AA$2</f>
        <v>0</v>
      </c>
      <c r="AB216" s="88">
        <f>SUMIF(月間集計シート!$M$71:$M$90,$G216,月間集計シート!R$71:R$90)*AB$2</f>
        <v>0</v>
      </c>
      <c r="AC216" s="88">
        <f>SUMIF(月間集計シート!$M$71:$M$90,$G216,月間集計シート!S$71:S$90)*AC$2</f>
        <v>0</v>
      </c>
      <c r="AD216" s="88">
        <f>SUMIF(月間集計シート!$M$71:$M$90,$G216,月間集計シート!T$71:T$90)*AD$2</f>
        <v>0</v>
      </c>
      <c r="AE216" s="88">
        <f>SUMIF(月間集計シート!$M$92:$M$111,$G216,月間集計シート!N$92:N$111)*AE$2</f>
        <v>0</v>
      </c>
      <c r="AF216" s="88">
        <f>SUMIF(月間集計シート!$M$92:$M$111,$G216,月間集計シート!O$92:O$111)*AF$2</f>
        <v>0</v>
      </c>
      <c r="AG216" s="88">
        <f>SUMIF(月間集計シート!$M$92:$M$111,$G216,月間集計シート!P$92:P$111)*AG$2</f>
        <v>0</v>
      </c>
      <c r="AH216" s="88">
        <f>SUMIF(月間集計シート!$M$92:$M$111,$G216,月間集計シート!Q$92:Q$111)*AH$2</f>
        <v>0</v>
      </c>
      <c r="AI216" s="88">
        <f>SUMIF(月間集計シート!$M$92:$M$111,$G216,月間集計シート!R$92:R$111)*AI$2</f>
        <v>0</v>
      </c>
      <c r="AJ216" s="88">
        <f>SUMIF(月間集計シート!$M$92:$M$111,$G216,月間集計シート!S$92:S$111)*AJ$2</f>
        <v>0</v>
      </c>
      <c r="AK216" s="88">
        <f>SUMIF(月間集計シート!$M$92:$M$111,$G216,月間集計シート!T$92:T$111)*AK$2</f>
        <v>0</v>
      </c>
      <c r="AL216" s="88">
        <f>SUMIF(月間集計シート!$M$113:$M$132,$G216,月間集計シート!N$113:N$132)*AL$2</f>
        <v>0</v>
      </c>
      <c r="AM216" s="88">
        <f>SUMIF(月間集計シート!$M$113:$M$132,$G216,月間集計シート!O$113:O$132)*AM$2</f>
        <v>0</v>
      </c>
      <c r="AN216" s="88">
        <f>SUMIF(月間集計シート!$M$113:$M$132,$G216,月間集計シート!P$113:P$132)*AN$2</f>
        <v>0</v>
      </c>
      <c r="AO216" s="88">
        <f>SUMIF(月間集計シート!$M$113:$M$132,$G216,月間集計シート!Q$113:Q$132)*AO$2</f>
        <v>0</v>
      </c>
      <c r="AP216" s="88">
        <f>SUMIF(月間集計シート!$M$113:$M$132,$G216,月間集計シート!R$113:R$132)*AP$2</f>
        <v>0</v>
      </c>
      <c r="AQ216" s="88">
        <f>SUMIF(月間集計シート!$M$113:$M$132,$G216,月間集計シート!S$113:S$132)*AQ$2</f>
        <v>0</v>
      </c>
      <c r="AR216" s="88">
        <f>SUMIF(月間集計シート!$M$113:$M$132,$G216,月間集計シート!T$113:T$132)*AR$2</f>
        <v>0</v>
      </c>
      <c r="AS216" s="88">
        <f>SUMIF(月間集計シート!$M$134:$M$153,$G216,月間集計シート!N$134:N$153)*AS$2</f>
        <v>0</v>
      </c>
      <c r="AT216" s="88">
        <f>SUMIF(月間集計シート!$M$134:$M$153,$G216,月間集計シート!O$134:O$153)*AT$2</f>
        <v>0</v>
      </c>
      <c r="AU216" s="88">
        <f>SUMIF(月間集計シート!$M$134:$M$153,$G216,月間集計シート!P$134:P$153)*AU$2</f>
        <v>0</v>
      </c>
      <c r="AV216" s="88">
        <f>SUMIF(月間集計シート!$M$134:$M$153,$G216,月間集計シート!Q$134:Q$153)*AV$2</f>
        <v>0</v>
      </c>
      <c r="AW216" s="88">
        <f>SUMIF(月間集計シート!$M$134:$M$153,$G216,月間集計シート!R$134:R$153)*AW$2</f>
        <v>0</v>
      </c>
      <c r="AX216" s="88">
        <f>SUMIF(月間集計シート!$M$134:$M$153,$G216,月間集計シート!S$134:S$153)*AX$2</f>
        <v>0</v>
      </c>
      <c r="AY216" s="88">
        <f>SUMIF(月間集計シート!$M$134:$M$153,$G216,月間集計シート!T$134:T$153)*AY$2</f>
        <v>0</v>
      </c>
    </row>
    <row r="217" spans="1:51" ht="14.25" thickBot="1">
      <c r="A217">
        <v>3</v>
      </c>
      <c r="B217" s="120">
        <f t="shared" si="77"/>
        <v>0</v>
      </c>
      <c r="C217" s="120" t="str">
        <f t="shared" si="78"/>
        <v/>
      </c>
      <c r="D217" s="137"/>
      <c r="E217" s="150" t="str">
        <f>工種!A39</f>
        <v>50105</v>
      </c>
      <c r="F217" s="119" t="str">
        <f>工種!B39</f>
        <v>ﾏﾆｭｱﾙ作成：打合せ</v>
      </c>
      <c r="G217" s="116" t="str">
        <f t="shared" si="79"/>
        <v>050105</v>
      </c>
      <c r="H217" s="88">
        <f t="shared" si="71"/>
        <v>0</v>
      </c>
      <c r="I217" s="132"/>
      <c r="J217" s="88">
        <f>SUMIF(月間集計シート!$M$29:$M$48,$G217,月間集計シート!N$29:N$48)*J$2</f>
        <v>0</v>
      </c>
      <c r="K217" s="88">
        <f>SUMIF(月間集計シート!$M$29:$M$48,$G217,月間集計シート!O$29:O$48)*K$2</f>
        <v>0</v>
      </c>
      <c r="L217" s="88">
        <f>SUMIF(月間集計シート!$M$29:$M$48,$G217,月間集計シート!P$29:P$48)*L$2</f>
        <v>0</v>
      </c>
      <c r="M217" s="88">
        <f>SUMIF(月間集計シート!$M$29:$M$48,$G217,月間集計シート!Q$29:Q$48)*M$2</f>
        <v>0</v>
      </c>
      <c r="N217" s="88">
        <f>SUMIF(月間集計シート!$M$29:$M$48,$G217,月間集計シート!R$29:R$48)*N$2</f>
        <v>0</v>
      </c>
      <c r="O217" s="88">
        <f>SUMIF(月間集計シート!$M$29:$M$48,$G217,月間集計シート!S$29:S$48)*O$2</f>
        <v>0</v>
      </c>
      <c r="P217" s="88">
        <f>SUMIF(月間集計シート!$M$29:$M$48,$G217,月間集計シート!T$29:T$48)*P$2</f>
        <v>0</v>
      </c>
      <c r="Q217" s="88">
        <f>SUMIF(月間集計シート!$M$50:$M$69,$G217,月間集計シート!N$50:N$69)*Q$2</f>
        <v>0</v>
      </c>
      <c r="R217" s="88">
        <f>SUMIF(月間集計シート!$M$50:$M$69,$G217,月間集計シート!O$50:O$69)*R$2</f>
        <v>0</v>
      </c>
      <c r="S217" s="88">
        <f>SUMIF(月間集計シート!$M$50:$M$69,$G217,月間集計シート!P$50:P$69)*S$2</f>
        <v>0</v>
      </c>
      <c r="T217" s="88">
        <f>SUMIF(月間集計シート!$M$50:$M$69,$G217,月間集計シート!Q$50:Q$69)*T$2</f>
        <v>0</v>
      </c>
      <c r="U217" s="88">
        <f>SUMIF(月間集計シート!$M$50:$M$69,$G217,月間集計シート!R$50:R$69)*U$2</f>
        <v>0</v>
      </c>
      <c r="V217" s="88">
        <f>SUMIF(月間集計シート!$M$50:$M$69,$G217,月間集計シート!S$50:S$69)*V$2</f>
        <v>0</v>
      </c>
      <c r="W217" s="88">
        <f>SUMIF(月間集計シート!$M$50:$M$69,$G217,月間集計シート!T$50:T$69)*W$2</f>
        <v>0</v>
      </c>
      <c r="X217" s="88">
        <f>SUMIF(月間集計シート!$M$71:$M$90,$G217,月間集計シート!N$71:N$90)*X$2</f>
        <v>0</v>
      </c>
      <c r="Y217" s="88">
        <f>SUMIF(月間集計シート!$M$71:$M$90,$G217,月間集計シート!O$71:O$90)*Y$2</f>
        <v>0</v>
      </c>
      <c r="Z217" s="88">
        <f>SUMIF(月間集計シート!$M$71:$M$90,$G217,月間集計シート!P$71:P$90)*Z$2</f>
        <v>0</v>
      </c>
      <c r="AA217" s="88">
        <f>SUMIF(月間集計シート!$M$71:$M$90,$G217,月間集計シート!Q$71:Q$90)*AA$2</f>
        <v>0</v>
      </c>
      <c r="AB217" s="88">
        <f>SUMIF(月間集計シート!$M$71:$M$90,$G217,月間集計シート!R$71:R$90)*AB$2</f>
        <v>0</v>
      </c>
      <c r="AC217" s="88">
        <f>SUMIF(月間集計シート!$M$71:$M$90,$G217,月間集計シート!S$71:S$90)*AC$2</f>
        <v>0</v>
      </c>
      <c r="AD217" s="88">
        <f>SUMIF(月間集計シート!$M$71:$M$90,$G217,月間集計シート!T$71:T$90)*AD$2</f>
        <v>0</v>
      </c>
      <c r="AE217" s="88">
        <f>SUMIF(月間集計シート!$M$92:$M$111,$G217,月間集計シート!N$92:N$111)*AE$2</f>
        <v>0</v>
      </c>
      <c r="AF217" s="88">
        <f>SUMIF(月間集計シート!$M$92:$M$111,$G217,月間集計シート!O$92:O$111)*AF$2</f>
        <v>0</v>
      </c>
      <c r="AG217" s="88">
        <f>SUMIF(月間集計シート!$M$92:$M$111,$G217,月間集計シート!P$92:P$111)*AG$2</f>
        <v>0</v>
      </c>
      <c r="AH217" s="88">
        <f>SUMIF(月間集計シート!$M$92:$M$111,$G217,月間集計シート!Q$92:Q$111)*AH$2</f>
        <v>0</v>
      </c>
      <c r="AI217" s="88">
        <f>SUMIF(月間集計シート!$M$92:$M$111,$G217,月間集計シート!R$92:R$111)*AI$2</f>
        <v>0</v>
      </c>
      <c r="AJ217" s="88">
        <f>SUMIF(月間集計シート!$M$92:$M$111,$G217,月間集計シート!S$92:S$111)*AJ$2</f>
        <v>0</v>
      </c>
      <c r="AK217" s="88">
        <f>SUMIF(月間集計シート!$M$92:$M$111,$G217,月間集計シート!T$92:T$111)*AK$2</f>
        <v>0</v>
      </c>
      <c r="AL217" s="88">
        <f>SUMIF(月間集計シート!$M$113:$M$132,$G217,月間集計シート!N$113:N$132)*AL$2</f>
        <v>0</v>
      </c>
      <c r="AM217" s="88">
        <f>SUMIF(月間集計シート!$M$113:$M$132,$G217,月間集計シート!O$113:O$132)*AM$2</f>
        <v>0</v>
      </c>
      <c r="AN217" s="88">
        <f>SUMIF(月間集計シート!$M$113:$M$132,$G217,月間集計シート!P$113:P$132)*AN$2</f>
        <v>0</v>
      </c>
      <c r="AO217" s="88">
        <f>SUMIF(月間集計シート!$M$113:$M$132,$G217,月間集計シート!Q$113:Q$132)*AO$2</f>
        <v>0</v>
      </c>
      <c r="AP217" s="88">
        <f>SUMIF(月間集計シート!$M$113:$M$132,$G217,月間集計シート!R$113:R$132)*AP$2</f>
        <v>0</v>
      </c>
      <c r="AQ217" s="88">
        <f>SUMIF(月間集計シート!$M$113:$M$132,$G217,月間集計シート!S$113:S$132)*AQ$2</f>
        <v>0</v>
      </c>
      <c r="AR217" s="88">
        <f>SUMIF(月間集計シート!$M$113:$M$132,$G217,月間集計シート!T$113:T$132)*AR$2</f>
        <v>0</v>
      </c>
      <c r="AS217" s="88">
        <f>SUMIF(月間集計シート!$M$134:$M$153,$G217,月間集計シート!N$134:N$153)*AS$2</f>
        <v>0</v>
      </c>
      <c r="AT217" s="88">
        <f>SUMIF(月間集計シート!$M$134:$M$153,$G217,月間集計シート!O$134:O$153)*AT$2</f>
        <v>0</v>
      </c>
      <c r="AU217" s="88">
        <f>SUMIF(月間集計シート!$M$134:$M$153,$G217,月間集計シート!P$134:P$153)*AU$2</f>
        <v>0</v>
      </c>
      <c r="AV217" s="88">
        <f>SUMIF(月間集計シート!$M$134:$M$153,$G217,月間集計シート!Q$134:Q$153)*AV$2</f>
        <v>0</v>
      </c>
      <c r="AW217" s="88">
        <f>SUMIF(月間集計シート!$M$134:$M$153,$G217,月間集計シート!R$134:R$153)*AW$2</f>
        <v>0</v>
      </c>
      <c r="AX217" s="88">
        <f>SUMIF(月間集計シート!$M$134:$M$153,$G217,月間集計シート!S$134:S$153)*AX$2</f>
        <v>0</v>
      </c>
      <c r="AY217" s="88">
        <f>SUMIF(月間集計シート!$M$134:$M$153,$G217,月間集計シート!T$134:T$153)*AY$2</f>
        <v>0</v>
      </c>
    </row>
    <row r="218" spans="1:51" ht="14.25" thickBot="1">
      <c r="A218">
        <v>3</v>
      </c>
      <c r="B218" s="120">
        <f t="shared" si="77"/>
        <v>0</v>
      </c>
      <c r="C218" s="120" t="str">
        <f t="shared" si="78"/>
        <v/>
      </c>
      <c r="D218" s="137"/>
      <c r="E218" s="150" t="str">
        <f>工種!A40</f>
        <v>50106</v>
      </c>
      <c r="F218" s="119" t="str">
        <f>工種!B40</f>
        <v>ﾏﾆｭｱﾙ作成：ﾚﾋﾞｭｰ</v>
      </c>
      <c r="G218" s="116" t="str">
        <f t="shared" si="79"/>
        <v>050106</v>
      </c>
      <c r="H218" s="88">
        <f t="shared" si="71"/>
        <v>0</v>
      </c>
      <c r="I218" s="132"/>
      <c r="J218" s="88">
        <f>SUMIF(月間集計シート!$M$29:$M$48,$G218,月間集計シート!N$29:N$48)*J$2</f>
        <v>0</v>
      </c>
      <c r="K218" s="88">
        <f>SUMIF(月間集計シート!$M$29:$M$48,$G218,月間集計シート!O$29:O$48)*K$2</f>
        <v>0</v>
      </c>
      <c r="L218" s="88">
        <f>SUMIF(月間集計シート!$M$29:$M$48,$G218,月間集計シート!P$29:P$48)*L$2</f>
        <v>0</v>
      </c>
      <c r="M218" s="88">
        <f>SUMIF(月間集計シート!$M$29:$M$48,$G218,月間集計シート!Q$29:Q$48)*M$2</f>
        <v>0</v>
      </c>
      <c r="N218" s="88">
        <f>SUMIF(月間集計シート!$M$29:$M$48,$G218,月間集計シート!R$29:R$48)*N$2</f>
        <v>0</v>
      </c>
      <c r="O218" s="88">
        <f>SUMIF(月間集計シート!$M$29:$M$48,$G218,月間集計シート!S$29:S$48)*O$2</f>
        <v>0</v>
      </c>
      <c r="P218" s="88">
        <f>SUMIF(月間集計シート!$M$29:$M$48,$G218,月間集計シート!T$29:T$48)*P$2</f>
        <v>0</v>
      </c>
      <c r="Q218" s="88">
        <f>SUMIF(月間集計シート!$M$50:$M$69,$G218,月間集計シート!N$50:N$69)*Q$2</f>
        <v>0</v>
      </c>
      <c r="R218" s="88">
        <f>SUMIF(月間集計シート!$M$50:$M$69,$G218,月間集計シート!O$50:O$69)*R$2</f>
        <v>0</v>
      </c>
      <c r="S218" s="88">
        <f>SUMIF(月間集計シート!$M$50:$M$69,$G218,月間集計シート!P$50:P$69)*S$2</f>
        <v>0</v>
      </c>
      <c r="T218" s="88">
        <f>SUMIF(月間集計シート!$M$50:$M$69,$G218,月間集計シート!Q$50:Q$69)*T$2</f>
        <v>0</v>
      </c>
      <c r="U218" s="88">
        <f>SUMIF(月間集計シート!$M$50:$M$69,$G218,月間集計シート!R$50:R$69)*U$2</f>
        <v>0</v>
      </c>
      <c r="V218" s="88">
        <f>SUMIF(月間集計シート!$M$50:$M$69,$G218,月間集計シート!S$50:S$69)*V$2</f>
        <v>0</v>
      </c>
      <c r="W218" s="88">
        <f>SUMIF(月間集計シート!$M$50:$M$69,$G218,月間集計シート!T$50:T$69)*W$2</f>
        <v>0</v>
      </c>
      <c r="X218" s="88">
        <f>SUMIF(月間集計シート!$M$71:$M$90,$G218,月間集計シート!N$71:N$90)*X$2</f>
        <v>0</v>
      </c>
      <c r="Y218" s="88">
        <f>SUMIF(月間集計シート!$M$71:$M$90,$G218,月間集計シート!O$71:O$90)*Y$2</f>
        <v>0</v>
      </c>
      <c r="Z218" s="88">
        <f>SUMIF(月間集計シート!$M$71:$M$90,$G218,月間集計シート!P$71:P$90)*Z$2</f>
        <v>0</v>
      </c>
      <c r="AA218" s="88">
        <f>SUMIF(月間集計シート!$M$71:$M$90,$G218,月間集計シート!Q$71:Q$90)*AA$2</f>
        <v>0</v>
      </c>
      <c r="AB218" s="88">
        <f>SUMIF(月間集計シート!$M$71:$M$90,$G218,月間集計シート!R$71:R$90)*AB$2</f>
        <v>0</v>
      </c>
      <c r="AC218" s="88">
        <f>SUMIF(月間集計シート!$M$71:$M$90,$G218,月間集計シート!S$71:S$90)*AC$2</f>
        <v>0</v>
      </c>
      <c r="AD218" s="88">
        <f>SUMIF(月間集計シート!$M$71:$M$90,$G218,月間集計シート!T$71:T$90)*AD$2</f>
        <v>0</v>
      </c>
      <c r="AE218" s="88">
        <f>SUMIF(月間集計シート!$M$92:$M$111,$G218,月間集計シート!N$92:N$111)*AE$2</f>
        <v>0</v>
      </c>
      <c r="AF218" s="88">
        <f>SUMIF(月間集計シート!$M$92:$M$111,$G218,月間集計シート!O$92:O$111)*AF$2</f>
        <v>0</v>
      </c>
      <c r="AG218" s="88">
        <f>SUMIF(月間集計シート!$M$92:$M$111,$G218,月間集計シート!P$92:P$111)*AG$2</f>
        <v>0</v>
      </c>
      <c r="AH218" s="88">
        <f>SUMIF(月間集計シート!$M$92:$M$111,$G218,月間集計シート!Q$92:Q$111)*AH$2</f>
        <v>0</v>
      </c>
      <c r="AI218" s="88">
        <f>SUMIF(月間集計シート!$M$92:$M$111,$G218,月間集計シート!R$92:R$111)*AI$2</f>
        <v>0</v>
      </c>
      <c r="AJ218" s="88">
        <f>SUMIF(月間集計シート!$M$92:$M$111,$G218,月間集計シート!S$92:S$111)*AJ$2</f>
        <v>0</v>
      </c>
      <c r="AK218" s="88">
        <f>SUMIF(月間集計シート!$M$92:$M$111,$G218,月間集計シート!T$92:T$111)*AK$2</f>
        <v>0</v>
      </c>
      <c r="AL218" s="88">
        <f>SUMIF(月間集計シート!$M$113:$M$132,$G218,月間集計シート!N$113:N$132)*AL$2</f>
        <v>0</v>
      </c>
      <c r="AM218" s="88">
        <f>SUMIF(月間集計シート!$M$113:$M$132,$G218,月間集計シート!O$113:O$132)*AM$2</f>
        <v>0</v>
      </c>
      <c r="AN218" s="88">
        <f>SUMIF(月間集計シート!$M$113:$M$132,$G218,月間集計シート!P$113:P$132)*AN$2</f>
        <v>0</v>
      </c>
      <c r="AO218" s="88">
        <f>SUMIF(月間集計シート!$M$113:$M$132,$G218,月間集計シート!Q$113:Q$132)*AO$2</f>
        <v>0</v>
      </c>
      <c r="AP218" s="88">
        <f>SUMIF(月間集計シート!$M$113:$M$132,$G218,月間集計シート!R$113:R$132)*AP$2</f>
        <v>0</v>
      </c>
      <c r="AQ218" s="88">
        <f>SUMIF(月間集計シート!$M$113:$M$132,$G218,月間集計シート!S$113:S$132)*AQ$2</f>
        <v>0</v>
      </c>
      <c r="AR218" s="88">
        <f>SUMIF(月間集計シート!$M$113:$M$132,$G218,月間集計シート!T$113:T$132)*AR$2</f>
        <v>0</v>
      </c>
      <c r="AS218" s="88">
        <f>SUMIF(月間集計シート!$M$134:$M$153,$G218,月間集計シート!N$134:N$153)*AS$2</f>
        <v>0</v>
      </c>
      <c r="AT218" s="88">
        <f>SUMIF(月間集計シート!$M$134:$M$153,$G218,月間集計シート!O$134:O$153)*AT$2</f>
        <v>0</v>
      </c>
      <c r="AU218" s="88">
        <f>SUMIF(月間集計シート!$M$134:$M$153,$G218,月間集計シート!P$134:P$153)*AU$2</f>
        <v>0</v>
      </c>
      <c r="AV218" s="88">
        <f>SUMIF(月間集計シート!$M$134:$M$153,$G218,月間集計シート!Q$134:Q$153)*AV$2</f>
        <v>0</v>
      </c>
      <c r="AW218" s="88">
        <f>SUMIF(月間集計シート!$M$134:$M$153,$G218,月間集計シート!R$134:R$153)*AW$2</f>
        <v>0</v>
      </c>
      <c r="AX218" s="88">
        <f>SUMIF(月間集計シート!$M$134:$M$153,$G218,月間集計シート!S$134:S$153)*AX$2</f>
        <v>0</v>
      </c>
      <c r="AY218" s="88">
        <f>SUMIF(月間集計シート!$M$134:$M$153,$G218,月間集計シート!T$134:T$153)*AY$2</f>
        <v>0</v>
      </c>
    </row>
    <row r="219" spans="1:51" ht="14.25" thickBot="1">
      <c r="A219">
        <v>3</v>
      </c>
      <c r="B219" s="120">
        <f t="shared" si="77"/>
        <v>0</v>
      </c>
      <c r="C219" s="120" t="str">
        <f t="shared" si="78"/>
        <v/>
      </c>
      <c r="D219" s="137"/>
      <c r="E219" s="150" t="str">
        <f>工種!A41</f>
        <v>50199</v>
      </c>
      <c r="F219" s="119" t="str">
        <f>工種!B41</f>
        <v>ﾏﾆｭｱﾙ作成：その他</v>
      </c>
      <c r="G219" s="116" t="str">
        <f t="shared" si="79"/>
        <v>050199</v>
      </c>
      <c r="H219" s="88">
        <f t="shared" si="71"/>
        <v>0</v>
      </c>
      <c r="I219" s="132"/>
      <c r="J219" s="88">
        <f>SUMIF(月間集計シート!$M$29:$M$48,$G219,月間集計シート!N$29:N$48)*J$2</f>
        <v>0</v>
      </c>
      <c r="K219" s="88">
        <f>SUMIF(月間集計シート!$M$29:$M$48,$G219,月間集計シート!O$29:O$48)*K$2</f>
        <v>0</v>
      </c>
      <c r="L219" s="88">
        <f>SUMIF(月間集計シート!$M$29:$M$48,$G219,月間集計シート!P$29:P$48)*L$2</f>
        <v>0</v>
      </c>
      <c r="M219" s="88">
        <f>SUMIF(月間集計シート!$M$29:$M$48,$G219,月間集計シート!Q$29:Q$48)*M$2</f>
        <v>0</v>
      </c>
      <c r="N219" s="88">
        <f>SUMIF(月間集計シート!$M$29:$M$48,$G219,月間集計シート!R$29:R$48)*N$2</f>
        <v>0</v>
      </c>
      <c r="O219" s="88">
        <f>SUMIF(月間集計シート!$M$29:$M$48,$G219,月間集計シート!S$29:S$48)*O$2</f>
        <v>0</v>
      </c>
      <c r="P219" s="88">
        <f>SUMIF(月間集計シート!$M$29:$M$48,$G219,月間集計シート!T$29:T$48)*P$2</f>
        <v>0</v>
      </c>
      <c r="Q219" s="88">
        <f>SUMIF(月間集計シート!$M$50:$M$69,$G219,月間集計シート!N$50:N$69)*Q$2</f>
        <v>0</v>
      </c>
      <c r="R219" s="88">
        <f>SUMIF(月間集計シート!$M$50:$M$69,$G219,月間集計シート!O$50:O$69)*R$2</f>
        <v>0</v>
      </c>
      <c r="S219" s="88">
        <f>SUMIF(月間集計シート!$M$50:$M$69,$G219,月間集計シート!P$50:P$69)*S$2</f>
        <v>0</v>
      </c>
      <c r="T219" s="88">
        <f>SUMIF(月間集計シート!$M$50:$M$69,$G219,月間集計シート!Q$50:Q$69)*T$2</f>
        <v>0</v>
      </c>
      <c r="U219" s="88">
        <f>SUMIF(月間集計シート!$M$50:$M$69,$G219,月間集計シート!R$50:R$69)*U$2</f>
        <v>0</v>
      </c>
      <c r="V219" s="88">
        <f>SUMIF(月間集計シート!$M$50:$M$69,$G219,月間集計シート!S$50:S$69)*V$2</f>
        <v>0</v>
      </c>
      <c r="W219" s="88">
        <f>SUMIF(月間集計シート!$M$50:$M$69,$G219,月間集計シート!T$50:T$69)*W$2</f>
        <v>0</v>
      </c>
      <c r="X219" s="88">
        <f>SUMIF(月間集計シート!$M$71:$M$90,$G219,月間集計シート!N$71:N$90)*X$2</f>
        <v>0</v>
      </c>
      <c r="Y219" s="88">
        <f>SUMIF(月間集計シート!$M$71:$M$90,$G219,月間集計シート!O$71:O$90)*Y$2</f>
        <v>0</v>
      </c>
      <c r="Z219" s="88">
        <f>SUMIF(月間集計シート!$M$71:$M$90,$G219,月間集計シート!P$71:P$90)*Z$2</f>
        <v>0</v>
      </c>
      <c r="AA219" s="88">
        <f>SUMIF(月間集計シート!$M$71:$M$90,$G219,月間集計シート!Q$71:Q$90)*AA$2</f>
        <v>0</v>
      </c>
      <c r="AB219" s="88">
        <f>SUMIF(月間集計シート!$M$71:$M$90,$G219,月間集計シート!R$71:R$90)*AB$2</f>
        <v>0</v>
      </c>
      <c r="AC219" s="88">
        <f>SUMIF(月間集計シート!$M$71:$M$90,$G219,月間集計シート!S$71:S$90)*AC$2</f>
        <v>0</v>
      </c>
      <c r="AD219" s="88">
        <f>SUMIF(月間集計シート!$M$71:$M$90,$G219,月間集計シート!T$71:T$90)*AD$2</f>
        <v>0</v>
      </c>
      <c r="AE219" s="88">
        <f>SUMIF(月間集計シート!$M$92:$M$111,$G219,月間集計シート!N$92:N$111)*AE$2</f>
        <v>0</v>
      </c>
      <c r="AF219" s="88">
        <f>SUMIF(月間集計シート!$M$92:$M$111,$G219,月間集計シート!O$92:O$111)*AF$2</f>
        <v>0</v>
      </c>
      <c r="AG219" s="88">
        <f>SUMIF(月間集計シート!$M$92:$M$111,$G219,月間集計シート!P$92:P$111)*AG$2</f>
        <v>0</v>
      </c>
      <c r="AH219" s="88">
        <f>SUMIF(月間集計シート!$M$92:$M$111,$G219,月間集計シート!Q$92:Q$111)*AH$2</f>
        <v>0</v>
      </c>
      <c r="AI219" s="88">
        <f>SUMIF(月間集計シート!$M$92:$M$111,$G219,月間集計シート!R$92:R$111)*AI$2</f>
        <v>0</v>
      </c>
      <c r="AJ219" s="88">
        <f>SUMIF(月間集計シート!$M$92:$M$111,$G219,月間集計シート!S$92:S$111)*AJ$2</f>
        <v>0</v>
      </c>
      <c r="AK219" s="88">
        <f>SUMIF(月間集計シート!$M$92:$M$111,$G219,月間集計シート!T$92:T$111)*AK$2</f>
        <v>0</v>
      </c>
      <c r="AL219" s="88">
        <f>SUMIF(月間集計シート!$M$113:$M$132,$G219,月間集計シート!N$113:N$132)*AL$2</f>
        <v>0</v>
      </c>
      <c r="AM219" s="88">
        <f>SUMIF(月間集計シート!$M$113:$M$132,$G219,月間集計シート!O$113:O$132)*AM$2</f>
        <v>0</v>
      </c>
      <c r="AN219" s="88">
        <f>SUMIF(月間集計シート!$M$113:$M$132,$G219,月間集計シート!P$113:P$132)*AN$2</f>
        <v>0</v>
      </c>
      <c r="AO219" s="88">
        <f>SUMIF(月間集計シート!$M$113:$M$132,$G219,月間集計シート!Q$113:Q$132)*AO$2</f>
        <v>0</v>
      </c>
      <c r="AP219" s="88">
        <f>SUMIF(月間集計シート!$M$113:$M$132,$G219,月間集計シート!R$113:R$132)*AP$2</f>
        <v>0</v>
      </c>
      <c r="AQ219" s="88">
        <f>SUMIF(月間集計シート!$M$113:$M$132,$G219,月間集計シート!S$113:S$132)*AQ$2</f>
        <v>0</v>
      </c>
      <c r="AR219" s="88">
        <f>SUMIF(月間集計シート!$M$113:$M$132,$G219,月間集計シート!T$113:T$132)*AR$2</f>
        <v>0</v>
      </c>
      <c r="AS219" s="88">
        <f>SUMIF(月間集計シート!$M$134:$M$153,$G219,月間集計シート!N$134:N$153)*AS$2</f>
        <v>0</v>
      </c>
      <c r="AT219" s="88">
        <f>SUMIF(月間集計シート!$M$134:$M$153,$G219,月間集計シート!O$134:O$153)*AT$2</f>
        <v>0</v>
      </c>
      <c r="AU219" s="88">
        <f>SUMIF(月間集計シート!$M$134:$M$153,$G219,月間集計シート!P$134:P$153)*AU$2</f>
        <v>0</v>
      </c>
      <c r="AV219" s="88">
        <f>SUMIF(月間集計シート!$M$134:$M$153,$G219,月間集計シート!Q$134:Q$153)*AV$2</f>
        <v>0</v>
      </c>
      <c r="AW219" s="88">
        <f>SUMIF(月間集計シート!$M$134:$M$153,$G219,月間集計シート!R$134:R$153)*AW$2</f>
        <v>0</v>
      </c>
      <c r="AX219" s="88">
        <f>SUMIF(月間集計シート!$M$134:$M$153,$G219,月間集計シート!S$134:S$153)*AX$2</f>
        <v>0</v>
      </c>
      <c r="AY219" s="88">
        <f>SUMIF(月間集計シート!$M$134:$M$153,$G219,月間集計シート!T$134:T$153)*AY$2</f>
        <v>0</v>
      </c>
    </row>
    <row r="220" spans="1:51" ht="14.25" thickBot="1">
      <c r="A220">
        <v>3</v>
      </c>
      <c r="B220" s="120">
        <f t="shared" si="77"/>
        <v>0</v>
      </c>
      <c r="C220" s="120" t="str">
        <f t="shared" si="78"/>
        <v/>
      </c>
      <c r="D220" s="137"/>
      <c r="E220" s="150" t="str">
        <f>工種!A42</f>
        <v>60101</v>
      </c>
      <c r="F220" s="119" t="str">
        <f>工種!B42</f>
        <v>ﾘﾘｰｽ：ﾘﾘｰｽ・ﾃﾞﾘﾊﾞﾘ作業</v>
      </c>
      <c r="G220" s="116" t="str">
        <f t="shared" si="79"/>
        <v>060101</v>
      </c>
      <c r="H220" s="88">
        <f t="shared" si="71"/>
        <v>0</v>
      </c>
      <c r="I220" s="132"/>
      <c r="J220" s="88">
        <f>SUMIF(月間集計シート!$M$29:$M$48,$G220,月間集計シート!N$29:N$48)*J$2</f>
        <v>0</v>
      </c>
      <c r="K220" s="88">
        <f>SUMIF(月間集計シート!$M$29:$M$48,$G220,月間集計シート!O$29:O$48)*K$2</f>
        <v>0</v>
      </c>
      <c r="L220" s="88">
        <f>SUMIF(月間集計シート!$M$29:$M$48,$G220,月間集計シート!P$29:P$48)*L$2</f>
        <v>0</v>
      </c>
      <c r="M220" s="88">
        <f>SUMIF(月間集計シート!$M$29:$M$48,$G220,月間集計シート!Q$29:Q$48)*M$2</f>
        <v>0</v>
      </c>
      <c r="N220" s="88">
        <f>SUMIF(月間集計シート!$M$29:$M$48,$G220,月間集計シート!R$29:R$48)*N$2</f>
        <v>0</v>
      </c>
      <c r="O220" s="88">
        <f>SUMIF(月間集計シート!$M$29:$M$48,$G220,月間集計シート!S$29:S$48)*O$2</f>
        <v>0</v>
      </c>
      <c r="P220" s="88">
        <f>SUMIF(月間集計シート!$M$29:$M$48,$G220,月間集計シート!T$29:T$48)*P$2</f>
        <v>0</v>
      </c>
      <c r="Q220" s="88">
        <f>SUMIF(月間集計シート!$M$50:$M$69,$G220,月間集計シート!N$50:N$69)*Q$2</f>
        <v>0</v>
      </c>
      <c r="R220" s="88">
        <f>SUMIF(月間集計シート!$M$50:$M$69,$G220,月間集計シート!O$50:O$69)*R$2</f>
        <v>0</v>
      </c>
      <c r="S220" s="88">
        <f>SUMIF(月間集計シート!$M$50:$M$69,$G220,月間集計シート!P$50:P$69)*S$2</f>
        <v>0</v>
      </c>
      <c r="T220" s="88">
        <f>SUMIF(月間集計シート!$M$50:$M$69,$G220,月間集計シート!Q$50:Q$69)*T$2</f>
        <v>0</v>
      </c>
      <c r="U220" s="88">
        <f>SUMIF(月間集計シート!$M$50:$M$69,$G220,月間集計シート!R$50:R$69)*U$2</f>
        <v>0</v>
      </c>
      <c r="V220" s="88">
        <f>SUMIF(月間集計シート!$M$50:$M$69,$G220,月間集計シート!S$50:S$69)*V$2</f>
        <v>0</v>
      </c>
      <c r="W220" s="88">
        <f>SUMIF(月間集計シート!$M$50:$M$69,$G220,月間集計シート!T$50:T$69)*W$2</f>
        <v>0</v>
      </c>
      <c r="X220" s="88">
        <f>SUMIF(月間集計シート!$M$71:$M$90,$G220,月間集計シート!N$71:N$90)*X$2</f>
        <v>0</v>
      </c>
      <c r="Y220" s="88">
        <f>SUMIF(月間集計シート!$M$71:$M$90,$G220,月間集計シート!O$71:O$90)*Y$2</f>
        <v>0</v>
      </c>
      <c r="Z220" s="88">
        <f>SUMIF(月間集計シート!$M$71:$M$90,$G220,月間集計シート!P$71:P$90)*Z$2</f>
        <v>0</v>
      </c>
      <c r="AA220" s="88">
        <f>SUMIF(月間集計シート!$M$71:$M$90,$G220,月間集計シート!Q$71:Q$90)*AA$2</f>
        <v>0</v>
      </c>
      <c r="AB220" s="88">
        <f>SUMIF(月間集計シート!$M$71:$M$90,$G220,月間集計シート!R$71:R$90)*AB$2</f>
        <v>0</v>
      </c>
      <c r="AC220" s="88">
        <f>SUMIF(月間集計シート!$M$71:$M$90,$G220,月間集計シート!S$71:S$90)*AC$2</f>
        <v>0</v>
      </c>
      <c r="AD220" s="88">
        <f>SUMIF(月間集計シート!$M$71:$M$90,$G220,月間集計シート!T$71:T$90)*AD$2</f>
        <v>0</v>
      </c>
      <c r="AE220" s="88">
        <f>SUMIF(月間集計シート!$M$92:$M$111,$G220,月間集計シート!N$92:N$111)*AE$2</f>
        <v>0</v>
      </c>
      <c r="AF220" s="88">
        <f>SUMIF(月間集計シート!$M$92:$M$111,$G220,月間集計シート!O$92:O$111)*AF$2</f>
        <v>0</v>
      </c>
      <c r="AG220" s="88">
        <f>SUMIF(月間集計シート!$M$92:$M$111,$G220,月間集計シート!P$92:P$111)*AG$2</f>
        <v>0</v>
      </c>
      <c r="AH220" s="88">
        <f>SUMIF(月間集計シート!$M$92:$M$111,$G220,月間集計シート!Q$92:Q$111)*AH$2</f>
        <v>0</v>
      </c>
      <c r="AI220" s="88">
        <f>SUMIF(月間集計シート!$M$92:$M$111,$G220,月間集計シート!R$92:R$111)*AI$2</f>
        <v>0</v>
      </c>
      <c r="AJ220" s="88">
        <f>SUMIF(月間集計シート!$M$92:$M$111,$G220,月間集計シート!S$92:S$111)*AJ$2</f>
        <v>0</v>
      </c>
      <c r="AK220" s="88">
        <f>SUMIF(月間集計シート!$M$92:$M$111,$G220,月間集計シート!T$92:T$111)*AK$2</f>
        <v>0</v>
      </c>
      <c r="AL220" s="88">
        <f>SUMIF(月間集計シート!$M$113:$M$132,$G220,月間集計シート!N$113:N$132)*AL$2</f>
        <v>0</v>
      </c>
      <c r="AM220" s="88">
        <f>SUMIF(月間集計シート!$M$113:$M$132,$G220,月間集計シート!O$113:O$132)*AM$2</f>
        <v>0</v>
      </c>
      <c r="AN220" s="88">
        <f>SUMIF(月間集計シート!$M$113:$M$132,$G220,月間集計シート!P$113:P$132)*AN$2</f>
        <v>0</v>
      </c>
      <c r="AO220" s="88">
        <f>SUMIF(月間集計シート!$M$113:$M$132,$G220,月間集計シート!Q$113:Q$132)*AO$2</f>
        <v>0</v>
      </c>
      <c r="AP220" s="88">
        <f>SUMIF(月間集計シート!$M$113:$M$132,$G220,月間集計シート!R$113:R$132)*AP$2</f>
        <v>0</v>
      </c>
      <c r="AQ220" s="88">
        <f>SUMIF(月間集計シート!$M$113:$M$132,$G220,月間集計シート!S$113:S$132)*AQ$2</f>
        <v>0</v>
      </c>
      <c r="AR220" s="88">
        <f>SUMIF(月間集計シート!$M$113:$M$132,$G220,月間集計シート!T$113:T$132)*AR$2</f>
        <v>0</v>
      </c>
      <c r="AS220" s="88">
        <f>SUMIF(月間集計シート!$M$134:$M$153,$G220,月間集計シート!N$134:N$153)*AS$2</f>
        <v>0</v>
      </c>
      <c r="AT220" s="88">
        <f>SUMIF(月間集計シート!$M$134:$M$153,$G220,月間集計シート!O$134:O$153)*AT$2</f>
        <v>0</v>
      </c>
      <c r="AU220" s="88">
        <f>SUMIF(月間集計シート!$M$134:$M$153,$G220,月間集計シート!P$134:P$153)*AU$2</f>
        <v>0</v>
      </c>
      <c r="AV220" s="88">
        <f>SUMIF(月間集計シート!$M$134:$M$153,$G220,月間集計シート!Q$134:Q$153)*AV$2</f>
        <v>0</v>
      </c>
      <c r="AW220" s="88">
        <f>SUMIF(月間集計シート!$M$134:$M$153,$G220,月間集計シート!R$134:R$153)*AW$2</f>
        <v>0</v>
      </c>
      <c r="AX220" s="88">
        <f>SUMIF(月間集計シート!$M$134:$M$153,$G220,月間集計シート!S$134:S$153)*AX$2</f>
        <v>0</v>
      </c>
      <c r="AY220" s="88">
        <f>SUMIF(月間集計シート!$M$134:$M$153,$G220,月間集計シート!T$134:T$153)*AY$2</f>
        <v>0</v>
      </c>
    </row>
    <row r="221" spans="1:51" ht="14.25" thickBot="1">
      <c r="A221">
        <v>3</v>
      </c>
      <c r="B221" s="120">
        <f t="shared" si="77"/>
        <v>0</v>
      </c>
      <c r="C221" s="120" t="str">
        <f t="shared" si="78"/>
        <v/>
      </c>
      <c r="D221" s="137"/>
      <c r="E221" s="150" t="str">
        <f>工種!A43</f>
        <v>60102</v>
      </c>
      <c r="F221" s="119" t="str">
        <f>工種!B43</f>
        <v>ﾘﾘｰｽ：ﾘﾘｰｽ関連業務</v>
      </c>
      <c r="G221" s="116" t="str">
        <f t="shared" si="79"/>
        <v>060102</v>
      </c>
      <c r="H221" s="88">
        <f t="shared" si="71"/>
        <v>0</v>
      </c>
      <c r="I221" s="132"/>
      <c r="J221" s="88">
        <f>SUMIF(月間集計シート!$M$29:$M$48,$G221,月間集計シート!N$29:N$48)*J$2</f>
        <v>0</v>
      </c>
      <c r="K221" s="88">
        <f>SUMIF(月間集計シート!$M$29:$M$48,$G221,月間集計シート!O$29:O$48)*K$2</f>
        <v>0</v>
      </c>
      <c r="L221" s="88">
        <f>SUMIF(月間集計シート!$M$29:$M$48,$G221,月間集計シート!P$29:P$48)*L$2</f>
        <v>0</v>
      </c>
      <c r="M221" s="88">
        <f>SUMIF(月間集計シート!$M$29:$M$48,$G221,月間集計シート!Q$29:Q$48)*M$2</f>
        <v>0</v>
      </c>
      <c r="N221" s="88">
        <f>SUMIF(月間集計シート!$M$29:$M$48,$G221,月間集計シート!R$29:R$48)*N$2</f>
        <v>0</v>
      </c>
      <c r="O221" s="88">
        <f>SUMIF(月間集計シート!$M$29:$M$48,$G221,月間集計シート!S$29:S$48)*O$2</f>
        <v>0</v>
      </c>
      <c r="P221" s="88">
        <f>SUMIF(月間集計シート!$M$29:$M$48,$G221,月間集計シート!T$29:T$48)*P$2</f>
        <v>0</v>
      </c>
      <c r="Q221" s="88">
        <f>SUMIF(月間集計シート!$M$50:$M$69,$G221,月間集計シート!N$50:N$69)*Q$2</f>
        <v>0</v>
      </c>
      <c r="R221" s="88">
        <f>SUMIF(月間集計シート!$M$50:$M$69,$G221,月間集計シート!O$50:O$69)*R$2</f>
        <v>0</v>
      </c>
      <c r="S221" s="88">
        <f>SUMIF(月間集計シート!$M$50:$M$69,$G221,月間集計シート!P$50:P$69)*S$2</f>
        <v>0</v>
      </c>
      <c r="T221" s="88">
        <f>SUMIF(月間集計シート!$M$50:$M$69,$G221,月間集計シート!Q$50:Q$69)*T$2</f>
        <v>0</v>
      </c>
      <c r="U221" s="88">
        <f>SUMIF(月間集計シート!$M$50:$M$69,$G221,月間集計シート!R$50:R$69)*U$2</f>
        <v>0</v>
      </c>
      <c r="V221" s="88">
        <f>SUMIF(月間集計シート!$M$50:$M$69,$G221,月間集計シート!S$50:S$69)*V$2</f>
        <v>0</v>
      </c>
      <c r="W221" s="88">
        <f>SUMIF(月間集計シート!$M$50:$M$69,$G221,月間集計シート!T$50:T$69)*W$2</f>
        <v>0</v>
      </c>
      <c r="X221" s="88">
        <f>SUMIF(月間集計シート!$M$71:$M$90,$G221,月間集計シート!N$71:N$90)*X$2</f>
        <v>0</v>
      </c>
      <c r="Y221" s="88">
        <f>SUMIF(月間集計シート!$M$71:$M$90,$G221,月間集計シート!O$71:O$90)*Y$2</f>
        <v>0</v>
      </c>
      <c r="Z221" s="88">
        <f>SUMIF(月間集計シート!$M$71:$M$90,$G221,月間集計シート!P$71:P$90)*Z$2</f>
        <v>0</v>
      </c>
      <c r="AA221" s="88">
        <f>SUMIF(月間集計シート!$M$71:$M$90,$G221,月間集計シート!Q$71:Q$90)*AA$2</f>
        <v>0</v>
      </c>
      <c r="AB221" s="88">
        <f>SUMIF(月間集計シート!$M$71:$M$90,$G221,月間集計シート!R$71:R$90)*AB$2</f>
        <v>0</v>
      </c>
      <c r="AC221" s="88">
        <f>SUMIF(月間集計シート!$M$71:$M$90,$G221,月間集計シート!S$71:S$90)*AC$2</f>
        <v>0</v>
      </c>
      <c r="AD221" s="88">
        <f>SUMIF(月間集計シート!$M$71:$M$90,$G221,月間集計シート!T$71:T$90)*AD$2</f>
        <v>0</v>
      </c>
      <c r="AE221" s="88">
        <f>SUMIF(月間集計シート!$M$92:$M$111,$G221,月間集計シート!N$92:N$111)*AE$2</f>
        <v>0</v>
      </c>
      <c r="AF221" s="88">
        <f>SUMIF(月間集計シート!$M$92:$M$111,$G221,月間集計シート!O$92:O$111)*AF$2</f>
        <v>0</v>
      </c>
      <c r="AG221" s="88">
        <f>SUMIF(月間集計シート!$M$92:$M$111,$G221,月間集計シート!P$92:P$111)*AG$2</f>
        <v>0</v>
      </c>
      <c r="AH221" s="88">
        <f>SUMIF(月間集計シート!$M$92:$M$111,$G221,月間集計シート!Q$92:Q$111)*AH$2</f>
        <v>0</v>
      </c>
      <c r="AI221" s="88">
        <f>SUMIF(月間集計シート!$M$92:$M$111,$G221,月間集計シート!R$92:R$111)*AI$2</f>
        <v>0</v>
      </c>
      <c r="AJ221" s="88">
        <f>SUMIF(月間集計シート!$M$92:$M$111,$G221,月間集計シート!S$92:S$111)*AJ$2</f>
        <v>0</v>
      </c>
      <c r="AK221" s="88">
        <f>SUMIF(月間集計シート!$M$92:$M$111,$G221,月間集計シート!T$92:T$111)*AK$2</f>
        <v>0</v>
      </c>
      <c r="AL221" s="88">
        <f>SUMIF(月間集計シート!$M$113:$M$132,$G221,月間集計シート!N$113:N$132)*AL$2</f>
        <v>0</v>
      </c>
      <c r="AM221" s="88">
        <f>SUMIF(月間集計シート!$M$113:$M$132,$G221,月間集計シート!O$113:O$132)*AM$2</f>
        <v>0</v>
      </c>
      <c r="AN221" s="88">
        <f>SUMIF(月間集計シート!$M$113:$M$132,$G221,月間集計シート!P$113:P$132)*AN$2</f>
        <v>0</v>
      </c>
      <c r="AO221" s="88">
        <f>SUMIF(月間集計シート!$M$113:$M$132,$G221,月間集計シート!Q$113:Q$132)*AO$2</f>
        <v>0</v>
      </c>
      <c r="AP221" s="88">
        <f>SUMIF(月間集計シート!$M$113:$M$132,$G221,月間集計シート!R$113:R$132)*AP$2</f>
        <v>0</v>
      </c>
      <c r="AQ221" s="88">
        <f>SUMIF(月間集計シート!$M$113:$M$132,$G221,月間集計シート!S$113:S$132)*AQ$2</f>
        <v>0</v>
      </c>
      <c r="AR221" s="88">
        <f>SUMIF(月間集計シート!$M$113:$M$132,$G221,月間集計シート!T$113:T$132)*AR$2</f>
        <v>0</v>
      </c>
      <c r="AS221" s="88">
        <f>SUMIF(月間集計シート!$M$134:$M$153,$G221,月間集計シート!N$134:N$153)*AS$2</f>
        <v>0</v>
      </c>
      <c r="AT221" s="88">
        <f>SUMIF(月間集計シート!$M$134:$M$153,$G221,月間集計シート!O$134:O$153)*AT$2</f>
        <v>0</v>
      </c>
      <c r="AU221" s="88">
        <f>SUMIF(月間集計シート!$M$134:$M$153,$G221,月間集計シート!P$134:P$153)*AU$2</f>
        <v>0</v>
      </c>
      <c r="AV221" s="88">
        <f>SUMIF(月間集計シート!$M$134:$M$153,$G221,月間集計シート!Q$134:Q$153)*AV$2</f>
        <v>0</v>
      </c>
      <c r="AW221" s="88">
        <f>SUMIF(月間集計シート!$M$134:$M$153,$G221,月間集計シート!R$134:R$153)*AW$2</f>
        <v>0</v>
      </c>
      <c r="AX221" s="88">
        <f>SUMIF(月間集計シート!$M$134:$M$153,$G221,月間集計シート!S$134:S$153)*AX$2</f>
        <v>0</v>
      </c>
      <c r="AY221" s="88">
        <f>SUMIF(月間集計シート!$M$134:$M$153,$G221,月間集計シート!T$134:T$153)*AY$2</f>
        <v>0</v>
      </c>
    </row>
    <row r="222" spans="1:51" ht="14.25" thickBot="1">
      <c r="A222">
        <v>3</v>
      </c>
      <c r="B222" s="120">
        <f t="shared" si="77"/>
        <v>0</v>
      </c>
      <c r="C222" s="120" t="str">
        <f t="shared" si="78"/>
        <v/>
      </c>
      <c r="D222" s="137"/>
      <c r="E222" s="150" t="str">
        <f>工種!A44</f>
        <v>60103</v>
      </c>
      <c r="F222" s="119" t="str">
        <f>工種!B44</f>
        <v>ﾘﾘｰｽ：ﾏﾆｭｱﾙPDF作成・修正</v>
      </c>
      <c r="G222" s="116" t="str">
        <f t="shared" si="79"/>
        <v>060103</v>
      </c>
      <c r="H222" s="88">
        <f t="shared" si="71"/>
        <v>0</v>
      </c>
      <c r="I222" s="132"/>
      <c r="J222" s="88">
        <f>SUMIF(月間集計シート!$M$29:$M$48,$G222,月間集計シート!N$29:N$48)*J$2</f>
        <v>0</v>
      </c>
      <c r="K222" s="88">
        <f>SUMIF(月間集計シート!$M$29:$M$48,$G222,月間集計シート!O$29:O$48)*K$2</f>
        <v>0</v>
      </c>
      <c r="L222" s="88">
        <f>SUMIF(月間集計シート!$M$29:$M$48,$G222,月間集計シート!P$29:P$48)*L$2</f>
        <v>0</v>
      </c>
      <c r="M222" s="88">
        <f>SUMIF(月間集計シート!$M$29:$M$48,$G222,月間集計シート!Q$29:Q$48)*M$2</f>
        <v>0</v>
      </c>
      <c r="N222" s="88">
        <f>SUMIF(月間集計シート!$M$29:$M$48,$G222,月間集計シート!R$29:R$48)*N$2</f>
        <v>0</v>
      </c>
      <c r="O222" s="88">
        <f>SUMIF(月間集計シート!$M$29:$M$48,$G222,月間集計シート!S$29:S$48)*O$2</f>
        <v>0</v>
      </c>
      <c r="P222" s="88">
        <f>SUMIF(月間集計シート!$M$29:$M$48,$G222,月間集計シート!T$29:T$48)*P$2</f>
        <v>0</v>
      </c>
      <c r="Q222" s="88">
        <f>SUMIF(月間集計シート!$M$50:$M$69,$G222,月間集計シート!N$50:N$69)*Q$2</f>
        <v>0</v>
      </c>
      <c r="R222" s="88">
        <f>SUMIF(月間集計シート!$M$50:$M$69,$G222,月間集計シート!O$50:O$69)*R$2</f>
        <v>0</v>
      </c>
      <c r="S222" s="88">
        <f>SUMIF(月間集計シート!$M$50:$M$69,$G222,月間集計シート!P$50:P$69)*S$2</f>
        <v>0</v>
      </c>
      <c r="T222" s="88">
        <f>SUMIF(月間集計シート!$M$50:$M$69,$G222,月間集計シート!Q$50:Q$69)*T$2</f>
        <v>0</v>
      </c>
      <c r="U222" s="88">
        <f>SUMIF(月間集計シート!$M$50:$M$69,$G222,月間集計シート!R$50:R$69)*U$2</f>
        <v>0</v>
      </c>
      <c r="V222" s="88">
        <f>SUMIF(月間集計シート!$M$50:$M$69,$G222,月間集計シート!S$50:S$69)*V$2</f>
        <v>0</v>
      </c>
      <c r="W222" s="88">
        <f>SUMIF(月間集計シート!$M$50:$M$69,$G222,月間集計シート!T$50:T$69)*W$2</f>
        <v>0</v>
      </c>
      <c r="X222" s="88">
        <f>SUMIF(月間集計シート!$M$71:$M$90,$G222,月間集計シート!N$71:N$90)*X$2</f>
        <v>0</v>
      </c>
      <c r="Y222" s="88">
        <f>SUMIF(月間集計シート!$M$71:$M$90,$G222,月間集計シート!O$71:O$90)*Y$2</f>
        <v>0</v>
      </c>
      <c r="Z222" s="88">
        <f>SUMIF(月間集計シート!$M$71:$M$90,$G222,月間集計シート!P$71:P$90)*Z$2</f>
        <v>0</v>
      </c>
      <c r="AA222" s="88">
        <f>SUMIF(月間集計シート!$M$71:$M$90,$G222,月間集計シート!Q$71:Q$90)*AA$2</f>
        <v>0</v>
      </c>
      <c r="AB222" s="88">
        <f>SUMIF(月間集計シート!$M$71:$M$90,$G222,月間集計シート!R$71:R$90)*AB$2</f>
        <v>0</v>
      </c>
      <c r="AC222" s="88">
        <f>SUMIF(月間集計シート!$M$71:$M$90,$G222,月間集計シート!S$71:S$90)*AC$2</f>
        <v>0</v>
      </c>
      <c r="AD222" s="88">
        <f>SUMIF(月間集計シート!$M$71:$M$90,$G222,月間集計シート!T$71:T$90)*AD$2</f>
        <v>0</v>
      </c>
      <c r="AE222" s="88">
        <f>SUMIF(月間集計シート!$M$92:$M$111,$G222,月間集計シート!N$92:N$111)*AE$2</f>
        <v>0</v>
      </c>
      <c r="AF222" s="88">
        <f>SUMIF(月間集計シート!$M$92:$M$111,$G222,月間集計シート!O$92:O$111)*AF$2</f>
        <v>0</v>
      </c>
      <c r="AG222" s="88">
        <f>SUMIF(月間集計シート!$M$92:$M$111,$G222,月間集計シート!P$92:P$111)*AG$2</f>
        <v>0</v>
      </c>
      <c r="AH222" s="88">
        <f>SUMIF(月間集計シート!$M$92:$M$111,$G222,月間集計シート!Q$92:Q$111)*AH$2</f>
        <v>0</v>
      </c>
      <c r="AI222" s="88">
        <f>SUMIF(月間集計シート!$M$92:$M$111,$G222,月間集計シート!R$92:R$111)*AI$2</f>
        <v>0</v>
      </c>
      <c r="AJ222" s="88">
        <f>SUMIF(月間集計シート!$M$92:$M$111,$G222,月間集計シート!S$92:S$111)*AJ$2</f>
        <v>0</v>
      </c>
      <c r="AK222" s="88">
        <f>SUMIF(月間集計シート!$M$92:$M$111,$G222,月間集計シート!T$92:T$111)*AK$2</f>
        <v>0</v>
      </c>
      <c r="AL222" s="88">
        <f>SUMIF(月間集計シート!$M$113:$M$132,$G222,月間集計シート!N$113:N$132)*AL$2</f>
        <v>0</v>
      </c>
      <c r="AM222" s="88">
        <f>SUMIF(月間集計シート!$M$113:$M$132,$G222,月間集計シート!O$113:O$132)*AM$2</f>
        <v>0</v>
      </c>
      <c r="AN222" s="88">
        <f>SUMIF(月間集計シート!$M$113:$M$132,$G222,月間集計シート!P$113:P$132)*AN$2</f>
        <v>0</v>
      </c>
      <c r="AO222" s="88">
        <f>SUMIF(月間集計シート!$M$113:$M$132,$G222,月間集計シート!Q$113:Q$132)*AO$2</f>
        <v>0</v>
      </c>
      <c r="AP222" s="88">
        <f>SUMIF(月間集計シート!$M$113:$M$132,$G222,月間集計シート!R$113:R$132)*AP$2</f>
        <v>0</v>
      </c>
      <c r="AQ222" s="88">
        <f>SUMIF(月間集計シート!$M$113:$M$132,$G222,月間集計シート!S$113:S$132)*AQ$2</f>
        <v>0</v>
      </c>
      <c r="AR222" s="88">
        <f>SUMIF(月間集計シート!$M$113:$M$132,$G222,月間集計シート!T$113:T$132)*AR$2</f>
        <v>0</v>
      </c>
      <c r="AS222" s="88">
        <f>SUMIF(月間集計シート!$M$134:$M$153,$G222,月間集計シート!N$134:N$153)*AS$2</f>
        <v>0</v>
      </c>
      <c r="AT222" s="88">
        <f>SUMIF(月間集計シート!$M$134:$M$153,$G222,月間集計シート!O$134:O$153)*AT$2</f>
        <v>0</v>
      </c>
      <c r="AU222" s="88">
        <f>SUMIF(月間集計シート!$M$134:$M$153,$G222,月間集計シート!P$134:P$153)*AU$2</f>
        <v>0</v>
      </c>
      <c r="AV222" s="88">
        <f>SUMIF(月間集計シート!$M$134:$M$153,$G222,月間集計シート!Q$134:Q$153)*AV$2</f>
        <v>0</v>
      </c>
      <c r="AW222" s="88">
        <f>SUMIF(月間集計シート!$M$134:$M$153,$G222,月間集計シート!R$134:R$153)*AW$2</f>
        <v>0</v>
      </c>
      <c r="AX222" s="88">
        <f>SUMIF(月間集計シート!$M$134:$M$153,$G222,月間集計シート!S$134:S$153)*AX$2</f>
        <v>0</v>
      </c>
      <c r="AY222" s="88">
        <f>SUMIF(月間集計シート!$M$134:$M$153,$G222,月間集計シート!T$134:T$153)*AY$2</f>
        <v>0</v>
      </c>
    </row>
    <row r="223" spans="1:51" ht="14.25" thickBot="1">
      <c r="A223">
        <v>3</v>
      </c>
      <c r="B223" s="120">
        <f t="shared" si="77"/>
        <v>0</v>
      </c>
      <c r="C223" s="120" t="str">
        <f t="shared" si="78"/>
        <v/>
      </c>
      <c r="D223" s="137"/>
      <c r="E223" s="150" t="str">
        <f>工種!A45</f>
        <v>60104</v>
      </c>
      <c r="F223" s="119" t="str">
        <f>工種!B45</f>
        <v>ﾘﾘｰｽ：ﾍﾙﾌﾟ作成・修正</v>
      </c>
      <c r="G223" s="116" t="str">
        <f t="shared" si="79"/>
        <v>060104</v>
      </c>
      <c r="H223" s="88">
        <f t="shared" si="71"/>
        <v>0</v>
      </c>
      <c r="I223" s="132"/>
      <c r="J223" s="88">
        <f>SUMIF(月間集計シート!$M$29:$M$48,$G223,月間集計シート!N$29:N$48)*J$2</f>
        <v>0</v>
      </c>
      <c r="K223" s="88">
        <f>SUMIF(月間集計シート!$M$29:$M$48,$G223,月間集計シート!O$29:O$48)*K$2</f>
        <v>0</v>
      </c>
      <c r="L223" s="88">
        <f>SUMIF(月間集計シート!$M$29:$M$48,$G223,月間集計シート!P$29:P$48)*L$2</f>
        <v>0</v>
      </c>
      <c r="M223" s="88">
        <f>SUMIF(月間集計シート!$M$29:$M$48,$G223,月間集計シート!Q$29:Q$48)*M$2</f>
        <v>0</v>
      </c>
      <c r="N223" s="88">
        <f>SUMIF(月間集計シート!$M$29:$M$48,$G223,月間集計シート!R$29:R$48)*N$2</f>
        <v>0</v>
      </c>
      <c r="O223" s="88">
        <f>SUMIF(月間集計シート!$M$29:$M$48,$G223,月間集計シート!S$29:S$48)*O$2</f>
        <v>0</v>
      </c>
      <c r="P223" s="88">
        <f>SUMIF(月間集計シート!$M$29:$M$48,$G223,月間集計シート!T$29:T$48)*P$2</f>
        <v>0</v>
      </c>
      <c r="Q223" s="88">
        <f>SUMIF(月間集計シート!$M$50:$M$69,$G223,月間集計シート!N$50:N$69)*Q$2</f>
        <v>0</v>
      </c>
      <c r="R223" s="88">
        <f>SUMIF(月間集計シート!$M$50:$M$69,$G223,月間集計シート!O$50:O$69)*R$2</f>
        <v>0</v>
      </c>
      <c r="S223" s="88">
        <f>SUMIF(月間集計シート!$M$50:$M$69,$G223,月間集計シート!P$50:P$69)*S$2</f>
        <v>0</v>
      </c>
      <c r="T223" s="88">
        <f>SUMIF(月間集計シート!$M$50:$M$69,$G223,月間集計シート!Q$50:Q$69)*T$2</f>
        <v>0</v>
      </c>
      <c r="U223" s="88">
        <f>SUMIF(月間集計シート!$M$50:$M$69,$G223,月間集計シート!R$50:R$69)*U$2</f>
        <v>0</v>
      </c>
      <c r="V223" s="88">
        <f>SUMIF(月間集計シート!$M$50:$M$69,$G223,月間集計シート!S$50:S$69)*V$2</f>
        <v>0</v>
      </c>
      <c r="W223" s="88">
        <f>SUMIF(月間集計シート!$M$50:$M$69,$G223,月間集計シート!T$50:T$69)*W$2</f>
        <v>0</v>
      </c>
      <c r="X223" s="88">
        <f>SUMIF(月間集計シート!$M$71:$M$90,$G223,月間集計シート!N$71:N$90)*X$2</f>
        <v>0</v>
      </c>
      <c r="Y223" s="88">
        <f>SUMIF(月間集計シート!$M$71:$M$90,$G223,月間集計シート!O$71:O$90)*Y$2</f>
        <v>0</v>
      </c>
      <c r="Z223" s="88">
        <f>SUMIF(月間集計シート!$M$71:$M$90,$G223,月間集計シート!P$71:P$90)*Z$2</f>
        <v>0</v>
      </c>
      <c r="AA223" s="88">
        <f>SUMIF(月間集計シート!$M$71:$M$90,$G223,月間集計シート!Q$71:Q$90)*AA$2</f>
        <v>0</v>
      </c>
      <c r="AB223" s="88">
        <f>SUMIF(月間集計シート!$M$71:$M$90,$G223,月間集計シート!R$71:R$90)*AB$2</f>
        <v>0</v>
      </c>
      <c r="AC223" s="88">
        <f>SUMIF(月間集計シート!$M$71:$M$90,$G223,月間集計シート!S$71:S$90)*AC$2</f>
        <v>0</v>
      </c>
      <c r="AD223" s="88">
        <f>SUMIF(月間集計シート!$M$71:$M$90,$G223,月間集計シート!T$71:T$90)*AD$2</f>
        <v>0</v>
      </c>
      <c r="AE223" s="88">
        <f>SUMIF(月間集計シート!$M$92:$M$111,$G223,月間集計シート!N$92:N$111)*AE$2</f>
        <v>0</v>
      </c>
      <c r="AF223" s="88">
        <f>SUMIF(月間集計シート!$M$92:$M$111,$G223,月間集計シート!O$92:O$111)*AF$2</f>
        <v>0</v>
      </c>
      <c r="AG223" s="88">
        <f>SUMIF(月間集計シート!$M$92:$M$111,$G223,月間集計シート!P$92:P$111)*AG$2</f>
        <v>0</v>
      </c>
      <c r="AH223" s="88">
        <f>SUMIF(月間集計シート!$M$92:$M$111,$G223,月間集計シート!Q$92:Q$111)*AH$2</f>
        <v>0</v>
      </c>
      <c r="AI223" s="88">
        <f>SUMIF(月間集計シート!$M$92:$M$111,$G223,月間集計シート!R$92:R$111)*AI$2</f>
        <v>0</v>
      </c>
      <c r="AJ223" s="88">
        <f>SUMIF(月間集計シート!$M$92:$M$111,$G223,月間集計シート!S$92:S$111)*AJ$2</f>
        <v>0</v>
      </c>
      <c r="AK223" s="88">
        <f>SUMIF(月間集計シート!$M$92:$M$111,$G223,月間集計シート!T$92:T$111)*AK$2</f>
        <v>0</v>
      </c>
      <c r="AL223" s="88">
        <f>SUMIF(月間集計シート!$M$113:$M$132,$G223,月間集計シート!N$113:N$132)*AL$2</f>
        <v>0</v>
      </c>
      <c r="AM223" s="88">
        <f>SUMIF(月間集計シート!$M$113:$M$132,$G223,月間集計シート!O$113:O$132)*AM$2</f>
        <v>0</v>
      </c>
      <c r="AN223" s="88">
        <f>SUMIF(月間集計シート!$M$113:$M$132,$G223,月間集計シート!P$113:P$132)*AN$2</f>
        <v>0</v>
      </c>
      <c r="AO223" s="88">
        <f>SUMIF(月間集計シート!$M$113:$M$132,$G223,月間集計シート!Q$113:Q$132)*AO$2</f>
        <v>0</v>
      </c>
      <c r="AP223" s="88">
        <f>SUMIF(月間集計シート!$M$113:$M$132,$G223,月間集計シート!R$113:R$132)*AP$2</f>
        <v>0</v>
      </c>
      <c r="AQ223" s="88">
        <f>SUMIF(月間集計シート!$M$113:$M$132,$G223,月間集計シート!S$113:S$132)*AQ$2</f>
        <v>0</v>
      </c>
      <c r="AR223" s="88">
        <f>SUMIF(月間集計シート!$M$113:$M$132,$G223,月間集計シート!T$113:T$132)*AR$2</f>
        <v>0</v>
      </c>
      <c r="AS223" s="88">
        <f>SUMIF(月間集計シート!$M$134:$M$153,$G223,月間集計シート!N$134:N$153)*AS$2</f>
        <v>0</v>
      </c>
      <c r="AT223" s="88">
        <f>SUMIF(月間集計シート!$M$134:$M$153,$G223,月間集計シート!O$134:O$153)*AT$2</f>
        <v>0</v>
      </c>
      <c r="AU223" s="88">
        <f>SUMIF(月間集計シート!$M$134:$M$153,$G223,月間集計シート!P$134:P$153)*AU$2</f>
        <v>0</v>
      </c>
      <c r="AV223" s="88">
        <f>SUMIF(月間集計シート!$M$134:$M$153,$G223,月間集計シート!Q$134:Q$153)*AV$2</f>
        <v>0</v>
      </c>
      <c r="AW223" s="88">
        <f>SUMIF(月間集計シート!$M$134:$M$153,$G223,月間集計シート!R$134:R$153)*AW$2</f>
        <v>0</v>
      </c>
      <c r="AX223" s="88">
        <f>SUMIF(月間集計シート!$M$134:$M$153,$G223,月間集計シート!S$134:S$153)*AX$2</f>
        <v>0</v>
      </c>
      <c r="AY223" s="88">
        <f>SUMIF(月間集計シート!$M$134:$M$153,$G223,月間集計シート!T$134:T$153)*AY$2</f>
        <v>0</v>
      </c>
    </row>
    <row r="224" spans="1:51" ht="14.25" thickBot="1">
      <c r="A224">
        <v>3</v>
      </c>
      <c r="B224" s="120">
        <f t="shared" si="77"/>
        <v>0</v>
      </c>
      <c r="C224" s="120" t="str">
        <f t="shared" si="78"/>
        <v/>
      </c>
      <c r="D224" s="137"/>
      <c r="E224" s="150" t="str">
        <f>工種!A46</f>
        <v>60105</v>
      </c>
      <c r="F224" s="119" t="str">
        <f>工種!B46</f>
        <v>ﾘﾘｰｽ：締め作業</v>
      </c>
      <c r="G224" s="116" t="str">
        <f t="shared" si="79"/>
        <v>060105</v>
      </c>
      <c r="H224" s="88">
        <f t="shared" si="71"/>
        <v>0</v>
      </c>
      <c r="I224" s="132"/>
      <c r="J224" s="88">
        <f>SUMIF(月間集計シート!$M$29:$M$48,$G224,月間集計シート!N$29:N$48)*J$2</f>
        <v>0</v>
      </c>
      <c r="K224" s="88">
        <f>SUMIF(月間集計シート!$M$29:$M$48,$G224,月間集計シート!O$29:O$48)*K$2</f>
        <v>0</v>
      </c>
      <c r="L224" s="88">
        <f>SUMIF(月間集計シート!$M$29:$M$48,$G224,月間集計シート!P$29:P$48)*L$2</f>
        <v>0</v>
      </c>
      <c r="M224" s="88">
        <f>SUMIF(月間集計シート!$M$29:$M$48,$G224,月間集計シート!Q$29:Q$48)*M$2</f>
        <v>0</v>
      </c>
      <c r="N224" s="88">
        <f>SUMIF(月間集計シート!$M$29:$M$48,$G224,月間集計シート!R$29:R$48)*N$2</f>
        <v>0</v>
      </c>
      <c r="O224" s="88">
        <f>SUMIF(月間集計シート!$M$29:$M$48,$G224,月間集計シート!S$29:S$48)*O$2</f>
        <v>0</v>
      </c>
      <c r="P224" s="88">
        <f>SUMIF(月間集計シート!$M$29:$M$48,$G224,月間集計シート!T$29:T$48)*P$2</f>
        <v>0</v>
      </c>
      <c r="Q224" s="88">
        <f>SUMIF(月間集計シート!$M$50:$M$69,$G224,月間集計シート!N$50:N$69)*Q$2</f>
        <v>0</v>
      </c>
      <c r="R224" s="88">
        <f>SUMIF(月間集計シート!$M$50:$M$69,$G224,月間集計シート!O$50:O$69)*R$2</f>
        <v>0</v>
      </c>
      <c r="S224" s="88">
        <f>SUMIF(月間集計シート!$M$50:$M$69,$G224,月間集計シート!P$50:P$69)*S$2</f>
        <v>0</v>
      </c>
      <c r="T224" s="88">
        <f>SUMIF(月間集計シート!$M$50:$M$69,$G224,月間集計シート!Q$50:Q$69)*T$2</f>
        <v>0</v>
      </c>
      <c r="U224" s="88">
        <f>SUMIF(月間集計シート!$M$50:$M$69,$G224,月間集計シート!R$50:R$69)*U$2</f>
        <v>0</v>
      </c>
      <c r="V224" s="88">
        <f>SUMIF(月間集計シート!$M$50:$M$69,$G224,月間集計シート!S$50:S$69)*V$2</f>
        <v>0</v>
      </c>
      <c r="W224" s="88">
        <f>SUMIF(月間集計シート!$M$50:$M$69,$G224,月間集計シート!T$50:T$69)*W$2</f>
        <v>0</v>
      </c>
      <c r="X224" s="88">
        <f>SUMIF(月間集計シート!$M$71:$M$90,$G224,月間集計シート!N$71:N$90)*X$2</f>
        <v>0</v>
      </c>
      <c r="Y224" s="88">
        <f>SUMIF(月間集計シート!$M$71:$M$90,$G224,月間集計シート!O$71:O$90)*Y$2</f>
        <v>0</v>
      </c>
      <c r="Z224" s="88">
        <f>SUMIF(月間集計シート!$M$71:$M$90,$G224,月間集計シート!P$71:P$90)*Z$2</f>
        <v>0</v>
      </c>
      <c r="AA224" s="88">
        <f>SUMIF(月間集計シート!$M$71:$M$90,$G224,月間集計シート!Q$71:Q$90)*AA$2</f>
        <v>0</v>
      </c>
      <c r="AB224" s="88">
        <f>SUMIF(月間集計シート!$M$71:$M$90,$G224,月間集計シート!R$71:R$90)*AB$2</f>
        <v>0</v>
      </c>
      <c r="AC224" s="88">
        <f>SUMIF(月間集計シート!$M$71:$M$90,$G224,月間集計シート!S$71:S$90)*AC$2</f>
        <v>0</v>
      </c>
      <c r="AD224" s="88">
        <f>SUMIF(月間集計シート!$M$71:$M$90,$G224,月間集計シート!T$71:T$90)*AD$2</f>
        <v>0</v>
      </c>
      <c r="AE224" s="88">
        <f>SUMIF(月間集計シート!$M$92:$M$111,$G224,月間集計シート!N$92:N$111)*AE$2</f>
        <v>0</v>
      </c>
      <c r="AF224" s="88">
        <f>SUMIF(月間集計シート!$M$92:$M$111,$G224,月間集計シート!O$92:O$111)*AF$2</f>
        <v>0</v>
      </c>
      <c r="AG224" s="88">
        <f>SUMIF(月間集計シート!$M$92:$M$111,$G224,月間集計シート!P$92:P$111)*AG$2</f>
        <v>0</v>
      </c>
      <c r="AH224" s="88">
        <f>SUMIF(月間集計シート!$M$92:$M$111,$G224,月間集計シート!Q$92:Q$111)*AH$2</f>
        <v>0</v>
      </c>
      <c r="AI224" s="88">
        <f>SUMIF(月間集計シート!$M$92:$M$111,$G224,月間集計シート!R$92:R$111)*AI$2</f>
        <v>0</v>
      </c>
      <c r="AJ224" s="88">
        <f>SUMIF(月間集計シート!$M$92:$M$111,$G224,月間集計シート!S$92:S$111)*AJ$2</f>
        <v>0</v>
      </c>
      <c r="AK224" s="88">
        <f>SUMIF(月間集計シート!$M$92:$M$111,$G224,月間集計シート!T$92:T$111)*AK$2</f>
        <v>0</v>
      </c>
      <c r="AL224" s="88">
        <f>SUMIF(月間集計シート!$M$113:$M$132,$G224,月間集計シート!N$113:N$132)*AL$2</f>
        <v>0</v>
      </c>
      <c r="AM224" s="88">
        <f>SUMIF(月間集計シート!$M$113:$M$132,$G224,月間集計シート!O$113:O$132)*AM$2</f>
        <v>0</v>
      </c>
      <c r="AN224" s="88">
        <f>SUMIF(月間集計シート!$M$113:$M$132,$G224,月間集計シート!P$113:P$132)*AN$2</f>
        <v>0</v>
      </c>
      <c r="AO224" s="88">
        <f>SUMIF(月間集計シート!$M$113:$M$132,$G224,月間集計シート!Q$113:Q$132)*AO$2</f>
        <v>0</v>
      </c>
      <c r="AP224" s="88">
        <f>SUMIF(月間集計シート!$M$113:$M$132,$G224,月間集計シート!R$113:R$132)*AP$2</f>
        <v>0</v>
      </c>
      <c r="AQ224" s="88">
        <f>SUMIF(月間集計シート!$M$113:$M$132,$G224,月間集計シート!S$113:S$132)*AQ$2</f>
        <v>0</v>
      </c>
      <c r="AR224" s="88">
        <f>SUMIF(月間集計シート!$M$113:$M$132,$G224,月間集計シート!T$113:T$132)*AR$2</f>
        <v>0</v>
      </c>
      <c r="AS224" s="88">
        <f>SUMIF(月間集計シート!$M$134:$M$153,$G224,月間集計シート!N$134:N$153)*AS$2</f>
        <v>0</v>
      </c>
      <c r="AT224" s="88">
        <f>SUMIF(月間集計シート!$M$134:$M$153,$G224,月間集計シート!O$134:O$153)*AT$2</f>
        <v>0</v>
      </c>
      <c r="AU224" s="88">
        <f>SUMIF(月間集計シート!$M$134:$M$153,$G224,月間集計シート!P$134:P$153)*AU$2</f>
        <v>0</v>
      </c>
      <c r="AV224" s="88">
        <f>SUMIF(月間集計シート!$M$134:$M$153,$G224,月間集計シート!Q$134:Q$153)*AV$2</f>
        <v>0</v>
      </c>
      <c r="AW224" s="88">
        <f>SUMIF(月間集計シート!$M$134:$M$153,$G224,月間集計シート!R$134:R$153)*AW$2</f>
        <v>0</v>
      </c>
      <c r="AX224" s="88">
        <f>SUMIF(月間集計シート!$M$134:$M$153,$G224,月間集計シート!S$134:S$153)*AX$2</f>
        <v>0</v>
      </c>
      <c r="AY224" s="88">
        <f>SUMIF(月間集計シート!$M$134:$M$153,$G224,月間集計シート!T$134:T$153)*AY$2</f>
        <v>0</v>
      </c>
    </row>
    <row r="225" spans="1:51" ht="14.25" thickBot="1">
      <c r="A225">
        <v>3</v>
      </c>
      <c r="B225" s="120">
        <f t="shared" si="77"/>
        <v>0</v>
      </c>
      <c r="C225" s="120" t="str">
        <f t="shared" si="78"/>
        <v/>
      </c>
      <c r="D225" s="137"/>
      <c r="E225" s="150" t="str">
        <f>工種!A47</f>
        <v>60107</v>
      </c>
      <c r="F225" s="119" t="str">
        <f>工種!B47</f>
        <v>ﾘﾘｰｽ：打合せ</v>
      </c>
      <c r="G225" s="116" t="str">
        <f t="shared" si="79"/>
        <v>060107</v>
      </c>
      <c r="H225" s="88">
        <f t="shared" si="71"/>
        <v>0</v>
      </c>
      <c r="I225" s="132"/>
      <c r="J225" s="88">
        <f>SUMIF(月間集計シート!$M$29:$M$48,$G225,月間集計シート!N$29:N$48)*J$2</f>
        <v>0</v>
      </c>
      <c r="K225" s="88">
        <f>SUMIF(月間集計シート!$M$29:$M$48,$G225,月間集計シート!O$29:O$48)*K$2</f>
        <v>0</v>
      </c>
      <c r="L225" s="88">
        <f>SUMIF(月間集計シート!$M$29:$M$48,$G225,月間集計シート!P$29:P$48)*L$2</f>
        <v>0</v>
      </c>
      <c r="M225" s="88">
        <f>SUMIF(月間集計シート!$M$29:$M$48,$G225,月間集計シート!Q$29:Q$48)*M$2</f>
        <v>0</v>
      </c>
      <c r="N225" s="88">
        <f>SUMIF(月間集計シート!$M$29:$M$48,$G225,月間集計シート!R$29:R$48)*N$2</f>
        <v>0</v>
      </c>
      <c r="O225" s="88">
        <f>SUMIF(月間集計シート!$M$29:$M$48,$G225,月間集計シート!S$29:S$48)*O$2</f>
        <v>0</v>
      </c>
      <c r="P225" s="88">
        <f>SUMIF(月間集計シート!$M$29:$M$48,$G225,月間集計シート!T$29:T$48)*P$2</f>
        <v>0</v>
      </c>
      <c r="Q225" s="88">
        <f>SUMIF(月間集計シート!$M$50:$M$69,$G225,月間集計シート!N$50:N$69)*Q$2</f>
        <v>0</v>
      </c>
      <c r="R225" s="88">
        <f>SUMIF(月間集計シート!$M$50:$M$69,$G225,月間集計シート!O$50:O$69)*R$2</f>
        <v>0</v>
      </c>
      <c r="S225" s="88">
        <f>SUMIF(月間集計シート!$M$50:$M$69,$G225,月間集計シート!P$50:P$69)*S$2</f>
        <v>0</v>
      </c>
      <c r="T225" s="88">
        <f>SUMIF(月間集計シート!$M$50:$M$69,$G225,月間集計シート!Q$50:Q$69)*T$2</f>
        <v>0</v>
      </c>
      <c r="U225" s="88">
        <f>SUMIF(月間集計シート!$M$50:$M$69,$G225,月間集計シート!R$50:R$69)*U$2</f>
        <v>0</v>
      </c>
      <c r="V225" s="88">
        <f>SUMIF(月間集計シート!$M$50:$M$69,$G225,月間集計シート!S$50:S$69)*V$2</f>
        <v>0</v>
      </c>
      <c r="W225" s="88">
        <f>SUMIF(月間集計シート!$M$50:$M$69,$G225,月間集計シート!T$50:T$69)*W$2</f>
        <v>0</v>
      </c>
      <c r="X225" s="88">
        <f>SUMIF(月間集計シート!$M$71:$M$90,$G225,月間集計シート!N$71:N$90)*X$2</f>
        <v>0</v>
      </c>
      <c r="Y225" s="88">
        <f>SUMIF(月間集計シート!$M$71:$M$90,$G225,月間集計シート!O$71:O$90)*Y$2</f>
        <v>0</v>
      </c>
      <c r="Z225" s="88">
        <f>SUMIF(月間集計シート!$M$71:$M$90,$G225,月間集計シート!P$71:P$90)*Z$2</f>
        <v>0</v>
      </c>
      <c r="AA225" s="88">
        <f>SUMIF(月間集計シート!$M$71:$M$90,$G225,月間集計シート!Q$71:Q$90)*AA$2</f>
        <v>0</v>
      </c>
      <c r="AB225" s="88">
        <f>SUMIF(月間集計シート!$M$71:$M$90,$G225,月間集計シート!R$71:R$90)*AB$2</f>
        <v>0</v>
      </c>
      <c r="AC225" s="88">
        <f>SUMIF(月間集計シート!$M$71:$M$90,$G225,月間集計シート!S$71:S$90)*AC$2</f>
        <v>0</v>
      </c>
      <c r="AD225" s="88">
        <f>SUMIF(月間集計シート!$M$71:$M$90,$G225,月間集計シート!T$71:T$90)*AD$2</f>
        <v>0</v>
      </c>
      <c r="AE225" s="88">
        <f>SUMIF(月間集計シート!$M$92:$M$111,$G225,月間集計シート!N$92:N$111)*AE$2</f>
        <v>0</v>
      </c>
      <c r="AF225" s="88">
        <f>SUMIF(月間集計シート!$M$92:$M$111,$G225,月間集計シート!O$92:O$111)*AF$2</f>
        <v>0</v>
      </c>
      <c r="AG225" s="88">
        <f>SUMIF(月間集計シート!$M$92:$M$111,$G225,月間集計シート!P$92:P$111)*AG$2</f>
        <v>0</v>
      </c>
      <c r="AH225" s="88">
        <f>SUMIF(月間集計シート!$M$92:$M$111,$G225,月間集計シート!Q$92:Q$111)*AH$2</f>
        <v>0</v>
      </c>
      <c r="AI225" s="88">
        <f>SUMIF(月間集計シート!$M$92:$M$111,$G225,月間集計シート!R$92:R$111)*AI$2</f>
        <v>0</v>
      </c>
      <c r="AJ225" s="88">
        <f>SUMIF(月間集計シート!$M$92:$M$111,$G225,月間集計シート!S$92:S$111)*AJ$2</f>
        <v>0</v>
      </c>
      <c r="AK225" s="88">
        <f>SUMIF(月間集計シート!$M$92:$M$111,$G225,月間集計シート!T$92:T$111)*AK$2</f>
        <v>0</v>
      </c>
      <c r="AL225" s="88">
        <f>SUMIF(月間集計シート!$M$113:$M$132,$G225,月間集計シート!N$113:N$132)*AL$2</f>
        <v>0</v>
      </c>
      <c r="AM225" s="88">
        <f>SUMIF(月間集計シート!$M$113:$M$132,$G225,月間集計シート!O$113:O$132)*AM$2</f>
        <v>0</v>
      </c>
      <c r="AN225" s="88">
        <f>SUMIF(月間集計シート!$M$113:$M$132,$G225,月間集計シート!P$113:P$132)*AN$2</f>
        <v>0</v>
      </c>
      <c r="AO225" s="88">
        <f>SUMIF(月間集計シート!$M$113:$M$132,$G225,月間集計シート!Q$113:Q$132)*AO$2</f>
        <v>0</v>
      </c>
      <c r="AP225" s="88">
        <f>SUMIF(月間集計シート!$M$113:$M$132,$G225,月間集計シート!R$113:R$132)*AP$2</f>
        <v>0</v>
      </c>
      <c r="AQ225" s="88">
        <f>SUMIF(月間集計シート!$M$113:$M$132,$G225,月間集計シート!S$113:S$132)*AQ$2</f>
        <v>0</v>
      </c>
      <c r="AR225" s="88">
        <f>SUMIF(月間集計シート!$M$113:$M$132,$G225,月間集計シート!T$113:T$132)*AR$2</f>
        <v>0</v>
      </c>
      <c r="AS225" s="88">
        <f>SUMIF(月間集計シート!$M$134:$M$153,$G225,月間集計シート!N$134:N$153)*AS$2</f>
        <v>0</v>
      </c>
      <c r="AT225" s="88">
        <f>SUMIF(月間集計シート!$M$134:$M$153,$G225,月間集計シート!O$134:O$153)*AT$2</f>
        <v>0</v>
      </c>
      <c r="AU225" s="88">
        <f>SUMIF(月間集計シート!$M$134:$M$153,$G225,月間集計シート!P$134:P$153)*AU$2</f>
        <v>0</v>
      </c>
      <c r="AV225" s="88">
        <f>SUMIF(月間集計シート!$M$134:$M$153,$G225,月間集計シート!Q$134:Q$153)*AV$2</f>
        <v>0</v>
      </c>
      <c r="AW225" s="88">
        <f>SUMIF(月間集計シート!$M$134:$M$153,$G225,月間集計シート!R$134:R$153)*AW$2</f>
        <v>0</v>
      </c>
      <c r="AX225" s="88">
        <f>SUMIF(月間集計シート!$M$134:$M$153,$G225,月間集計シート!S$134:S$153)*AX$2</f>
        <v>0</v>
      </c>
      <c r="AY225" s="88">
        <f>SUMIF(月間集計シート!$M$134:$M$153,$G225,月間集計シート!T$134:T$153)*AY$2</f>
        <v>0</v>
      </c>
    </row>
    <row r="226" spans="1:51" ht="14.25" thickBot="1">
      <c r="A226">
        <v>3</v>
      </c>
      <c r="B226" s="120">
        <f t="shared" si="77"/>
        <v>0</v>
      </c>
      <c r="C226" s="120" t="str">
        <f t="shared" si="78"/>
        <v/>
      </c>
      <c r="D226" s="137"/>
      <c r="E226" s="150" t="str">
        <f>工種!A48</f>
        <v>60108</v>
      </c>
      <c r="F226" s="119" t="str">
        <f>工種!B48</f>
        <v>ﾘﾘｰｽ：ﾚﾋﾞｭｰ</v>
      </c>
      <c r="G226" s="116" t="str">
        <f t="shared" si="79"/>
        <v>060108</v>
      </c>
      <c r="H226" s="88">
        <f t="shared" si="71"/>
        <v>0</v>
      </c>
      <c r="I226" s="132"/>
      <c r="J226" s="88">
        <f>SUMIF(月間集計シート!$M$29:$M$48,$G226,月間集計シート!N$29:N$48)*J$2</f>
        <v>0</v>
      </c>
      <c r="K226" s="88">
        <f>SUMIF(月間集計シート!$M$29:$M$48,$G226,月間集計シート!O$29:O$48)*K$2</f>
        <v>0</v>
      </c>
      <c r="L226" s="88">
        <f>SUMIF(月間集計シート!$M$29:$M$48,$G226,月間集計シート!P$29:P$48)*L$2</f>
        <v>0</v>
      </c>
      <c r="M226" s="88">
        <f>SUMIF(月間集計シート!$M$29:$M$48,$G226,月間集計シート!Q$29:Q$48)*M$2</f>
        <v>0</v>
      </c>
      <c r="N226" s="88">
        <f>SUMIF(月間集計シート!$M$29:$M$48,$G226,月間集計シート!R$29:R$48)*N$2</f>
        <v>0</v>
      </c>
      <c r="O226" s="88">
        <f>SUMIF(月間集計シート!$M$29:$M$48,$G226,月間集計シート!S$29:S$48)*O$2</f>
        <v>0</v>
      </c>
      <c r="P226" s="88">
        <f>SUMIF(月間集計シート!$M$29:$M$48,$G226,月間集計シート!T$29:T$48)*P$2</f>
        <v>0</v>
      </c>
      <c r="Q226" s="88">
        <f>SUMIF(月間集計シート!$M$50:$M$69,$G226,月間集計シート!N$50:N$69)*Q$2</f>
        <v>0</v>
      </c>
      <c r="R226" s="88">
        <f>SUMIF(月間集計シート!$M$50:$M$69,$G226,月間集計シート!O$50:O$69)*R$2</f>
        <v>0</v>
      </c>
      <c r="S226" s="88">
        <f>SUMIF(月間集計シート!$M$50:$M$69,$G226,月間集計シート!P$50:P$69)*S$2</f>
        <v>0</v>
      </c>
      <c r="T226" s="88">
        <f>SUMIF(月間集計シート!$M$50:$M$69,$G226,月間集計シート!Q$50:Q$69)*T$2</f>
        <v>0</v>
      </c>
      <c r="U226" s="88">
        <f>SUMIF(月間集計シート!$M$50:$M$69,$G226,月間集計シート!R$50:R$69)*U$2</f>
        <v>0</v>
      </c>
      <c r="V226" s="88">
        <f>SUMIF(月間集計シート!$M$50:$M$69,$G226,月間集計シート!S$50:S$69)*V$2</f>
        <v>0</v>
      </c>
      <c r="W226" s="88">
        <f>SUMIF(月間集計シート!$M$50:$M$69,$G226,月間集計シート!T$50:T$69)*W$2</f>
        <v>0</v>
      </c>
      <c r="X226" s="88">
        <f>SUMIF(月間集計シート!$M$71:$M$90,$G226,月間集計シート!N$71:N$90)*X$2</f>
        <v>0</v>
      </c>
      <c r="Y226" s="88">
        <f>SUMIF(月間集計シート!$M$71:$M$90,$G226,月間集計シート!O$71:O$90)*Y$2</f>
        <v>0</v>
      </c>
      <c r="Z226" s="88">
        <f>SUMIF(月間集計シート!$M$71:$M$90,$G226,月間集計シート!P$71:P$90)*Z$2</f>
        <v>0</v>
      </c>
      <c r="AA226" s="88">
        <f>SUMIF(月間集計シート!$M$71:$M$90,$G226,月間集計シート!Q$71:Q$90)*AA$2</f>
        <v>0</v>
      </c>
      <c r="AB226" s="88">
        <f>SUMIF(月間集計シート!$M$71:$M$90,$G226,月間集計シート!R$71:R$90)*AB$2</f>
        <v>0</v>
      </c>
      <c r="AC226" s="88">
        <f>SUMIF(月間集計シート!$M$71:$M$90,$G226,月間集計シート!S$71:S$90)*AC$2</f>
        <v>0</v>
      </c>
      <c r="AD226" s="88">
        <f>SUMIF(月間集計シート!$M$71:$M$90,$G226,月間集計シート!T$71:T$90)*AD$2</f>
        <v>0</v>
      </c>
      <c r="AE226" s="88">
        <f>SUMIF(月間集計シート!$M$92:$M$111,$G226,月間集計シート!N$92:N$111)*AE$2</f>
        <v>0</v>
      </c>
      <c r="AF226" s="88">
        <f>SUMIF(月間集計シート!$M$92:$M$111,$G226,月間集計シート!O$92:O$111)*AF$2</f>
        <v>0</v>
      </c>
      <c r="AG226" s="88">
        <f>SUMIF(月間集計シート!$M$92:$M$111,$G226,月間集計シート!P$92:P$111)*AG$2</f>
        <v>0</v>
      </c>
      <c r="AH226" s="88">
        <f>SUMIF(月間集計シート!$M$92:$M$111,$G226,月間集計シート!Q$92:Q$111)*AH$2</f>
        <v>0</v>
      </c>
      <c r="AI226" s="88">
        <f>SUMIF(月間集計シート!$M$92:$M$111,$G226,月間集計シート!R$92:R$111)*AI$2</f>
        <v>0</v>
      </c>
      <c r="AJ226" s="88">
        <f>SUMIF(月間集計シート!$M$92:$M$111,$G226,月間集計シート!S$92:S$111)*AJ$2</f>
        <v>0</v>
      </c>
      <c r="AK226" s="88">
        <f>SUMIF(月間集計シート!$M$92:$M$111,$G226,月間集計シート!T$92:T$111)*AK$2</f>
        <v>0</v>
      </c>
      <c r="AL226" s="88">
        <f>SUMIF(月間集計シート!$M$113:$M$132,$G226,月間集計シート!N$113:N$132)*AL$2</f>
        <v>0</v>
      </c>
      <c r="AM226" s="88">
        <f>SUMIF(月間集計シート!$M$113:$M$132,$G226,月間集計シート!O$113:O$132)*AM$2</f>
        <v>0</v>
      </c>
      <c r="AN226" s="88">
        <f>SUMIF(月間集計シート!$M$113:$M$132,$G226,月間集計シート!P$113:P$132)*AN$2</f>
        <v>0</v>
      </c>
      <c r="AO226" s="88">
        <f>SUMIF(月間集計シート!$M$113:$M$132,$G226,月間集計シート!Q$113:Q$132)*AO$2</f>
        <v>0</v>
      </c>
      <c r="AP226" s="88">
        <f>SUMIF(月間集計シート!$M$113:$M$132,$G226,月間集計シート!R$113:R$132)*AP$2</f>
        <v>0</v>
      </c>
      <c r="AQ226" s="88">
        <f>SUMIF(月間集計シート!$M$113:$M$132,$G226,月間集計シート!S$113:S$132)*AQ$2</f>
        <v>0</v>
      </c>
      <c r="AR226" s="88">
        <f>SUMIF(月間集計シート!$M$113:$M$132,$G226,月間集計シート!T$113:T$132)*AR$2</f>
        <v>0</v>
      </c>
      <c r="AS226" s="88">
        <f>SUMIF(月間集計シート!$M$134:$M$153,$G226,月間集計シート!N$134:N$153)*AS$2</f>
        <v>0</v>
      </c>
      <c r="AT226" s="88">
        <f>SUMIF(月間集計シート!$M$134:$M$153,$G226,月間集計シート!O$134:O$153)*AT$2</f>
        <v>0</v>
      </c>
      <c r="AU226" s="88">
        <f>SUMIF(月間集計シート!$M$134:$M$153,$G226,月間集計シート!P$134:P$153)*AU$2</f>
        <v>0</v>
      </c>
      <c r="AV226" s="88">
        <f>SUMIF(月間集計シート!$M$134:$M$153,$G226,月間集計シート!Q$134:Q$153)*AV$2</f>
        <v>0</v>
      </c>
      <c r="AW226" s="88">
        <f>SUMIF(月間集計シート!$M$134:$M$153,$G226,月間集計シート!R$134:R$153)*AW$2</f>
        <v>0</v>
      </c>
      <c r="AX226" s="88">
        <f>SUMIF(月間集計シート!$M$134:$M$153,$G226,月間集計シート!S$134:S$153)*AX$2</f>
        <v>0</v>
      </c>
      <c r="AY226" s="88">
        <f>SUMIF(月間集計シート!$M$134:$M$153,$G226,月間集計シート!T$134:T$153)*AY$2</f>
        <v>0</v>
      </c>
    </row>
    <row r="227" spans="1:51" ht="14.25" thickBot="1">
      <c r="A227">
        <v>3</v>
      </c>
      <c r="B227" s="120">
        <f t="shared" si="77"/>
        <v>0</v>
      </c>
      <c r="C227" s="120" t="str">
        <f t="shared" si="78"/>
        <v/>
      </c>
      <c r="D227" s="137"/>
      <c r="E227" s="150" t="str">
        <f>工種!A49</f>
        <v>60199</v>
      </c>
      <c r="F227" s="119" t="str">
        <f>工種!B49</f>
        <v>ﾘﾘｰｽ：その他</v>
      </c>
      <c r="G227" s="116" t="str">
        <f t="shared" si="79"/>
        <v>060199</v>
      </c>
      <c r="H227" s="88">
        <f t="shared" si="71"/>
        <v>0</v>
      </c>
      <c r="I227" s="132"/>
      <c r="J227" s="88">
        <f>SUMIF(月間集計シート!$M$29:$M$48,$G227,月間集計シート!N$29:N$48)*J$2</f>
        <v>0</v>
      </c>
      <c r="K227" s="88">
        <f>SUMIF(月間集計シート!$M$29:$M$48,$G227,月間集計シート!O$29:O$48)*K$2</f>
        <v>0</v>
      </c>
      <c r="L227" s="88">
        <f>SUMIF(月間集計シート!$M$29:$M$48,$G227,月間集計シート!P$29:P$48)*L$2</f>
        <v>0</v>
      </c>
      <c r="M227" s="88">
        <f>SUMIF(月間集計シート!$M$29:$M$48,$G227,月間集計シート!Q$29:Q$48)*M$2</f>
        <v>0</v>
      </c>
      <c r="N227" s="88">
        <f>SUMIF(月間集計シート!$M$29:$M$48,$G227,月間集計シート!R$29:R$48)*N$2</f>
        <v>0</v>
      </c>
      <c r="O227" s="88">
        <f>SUMIF(月間集計シート!$M$29:$M$48,$G227,月間集計シート!S$29:S$48)*O$2</f>
        <v>0</v>
      </c>
      <c r="P227" s="88">
        <f>SUMIF(月間集計シート!$M$29:$M$48,$G227,月間集計シート!T$29:T$48)*P$2</f>
        <v>0</v>
      </c>
      <c r="Q227" s="88">
        <f>SUMIF(月間集計シート!$M$50:$M$69,$G227,月間集計シート!N$50:N$69)*Q$2</f>
        <v>0</v>
      </c>
      <c r="R227" s="88">
        <f>SUMIF(月間集計シート!$M$50:$M$69,$G227,月間集計シート!O$50:O$69)*R$2</f>
        <v>0</v>
      </c>
      <c r="S227" s="88">
        <f>SUMIF(月間集計シート!$M$50:$M$69,$G227,月間集計シート!P$50:P$69)*S$2</f>
        <v>0</v>
      </c>
      <c r="T227" s="88">
        <f>SUMIF(月間集計シート!$M$50:$M$69,$G227,月間集計シート!Q$50:Q$69)*T$2</f>
        <v>0</v>
      </c>
      <c r="U227" s="88">
        <f>SUMIF(月間集計シート!$M$50:$M$69,$G227,月間集計シート!R$50:R$69)*U$2</f>
        <v>0</v>
      </c>
      <c r="V227" s="88">
        <f>SUMIF(月間集計シート!$M$50:$M$69,$G227,月間集計シート!S$50:S$69)*V$2</f>
        <v>0</v>
      </c>
      <c r="W227" s="88">
        <f>SUMIF(月間集計シート!$M$50:$M$69,$G227,月間集計シート!T$50:T$69)*W$2</f>
        <v>0</v>
      </c>
      <c r="X227" s="88">
        <f>SUMIF(月間集計シート!$M$71:$M$90,$G227,月間集計シート!N$71:N$90)*X$2</f>
        <v>0</v>
      </c>
      <c r="Y227" s="88">
        <f>SUMIF(月間集計シート!$M$71:$M$90,$G227,月間集計シート!O$71:O$90)*Y$2</f>
        <v>0</v>
      </c>
      <c r="Z227" s="88">
        <f>SUMIF(月間集計シート!$M$71:$M$90,$G227,月間集計シート!P$71:P$90)*Z$2</f>
        <v>0</v>
      </c>
      <c r="AA227" s="88">
        <f>SUMIF(月間集計シート!$M$71:$M$90,$G227,月間集計シート!Q$71:Q$90)*AA$2</f>
        <v>0</v>
      </c>
      <c r="AB227" s="88">
        <f>SUMIF(月間集計シート!$M$71:$M$90,$G227,月間集計シート!R$71:R$90)*AB$2</f>
        <v>0</v>
      </c>
      <c r="AC227" s="88">
        <f>SUMIF(月間集計シート!$M$71:$M$90,$G227,月間集計シート!S$71:S$90)*AC$2</f>
        <v>0</v>
      </c>
      <c r="AD227" s="88">
        <f>SUMIF(月間集計シート!$M$71:$M$90,$G227,月間集計シート!T$71:T$90)*AD$2</f>
        <v>0</v>
      </c>
      <c r="AE227" s="88">
        <f>SUMIF(月間集計シート!$M$92:$M$111,$G227,月間集計シート!N$92:N$111)*AE$2</f>
        <v>0</v>
      </c>
      <c r="AF227" s="88">
        <f>SUMIF(月間集計シート!$M$92:$M$111,$G227,月間集計シート!O$92:O$111)*AF$2</f>
        <v>0</v>
      </c>
      <c r="AG227" s="88">
        <f>SUMIF(月間集計シート!$M$92:$M$111,$G227,月間集計シート!P$92:P$111)*AG$2</f>
        <v>0</v>
      </c>
      <c r="AH227" s="88">
        <f>SUMIF(月間集計シート!$M$92:$M$111,$G227,月間集計シート!Q$92:Q$111)*AH$2</f>
        <v>0</v>
      </c>
      <c r="AI227" s="88">
        <f>SUMIF(月間集計シート!$M$92:$M$111,$G227,月間集計シート!R$92:R$111)*AI$2</f>
        <v>0</v>
      </c>
      <c r="AJ227" s="88">
        <f>SUMIF(月間集計シート!$M$92:$M$111,$G227,月間集計シート!S$92:S$111)*AJ$2</f>
        <v>0</v>
      </c>
      <c r="AK227" s="88">
        <f>SUMIF(月間集計シート!$M$92:$M$111,$G227,月間集計シート!T$92:T$111)*AK$2</f>
        <v>0</v>
      </c>
      <c r="AL227" s="88">
        <f>SUMIF(月間集計シート!$M$113:$M$132,$G227,月間集計シート!N$113:N$132)*AL$2</f>
        <v>0</v>
      </c>
      <c r="AM227" s="88">
        <f>SUMIF(月間集計シート!$M$113:$M$132,$G227,月間集計シート!O$113:O$132)*AM$2</f>
        <v>0</v>
      </c>
      <c r="AN227" s="88">
        <f>SUMIF(月間集計シート!$M$113:$M$132,$G227,月間集計シート!P$113:P$132)*AN$2</f>
        <v>0</v>
      </c>
      <c r="AO227" s="88">
        <f>SUMIF(月間集計シート!$M$113:$M$132,$G227,月間集計シート!Q$113:Q$132)*AO$2</f>
        <v>0</v>
      </c>
      <c r="AP227" s="88">
        <f>SUMIF(月間集計シート!$M$113:$M$132,$G227,月間集計シート!R$113:R$132)*AP$2</f>
        <v>0</v>
      </c>
      <c r="AQ227" s="88">
        <f>SUMIF(月間集計シート!$M$113:$M$132,$G227,月間集計シート!S$113:S$132)*AQ$2</f>
        <v>0</v>
      </c>
      <c r="AR227" s="88">
        <f>SUMIF(月間集計シート!$M$113:$M$132,$G227,月間集計シート!T$113:T$132)*AR$2</f>
        <v>0</v>
      </c>
      <c r="AS227" s="88">
        <f>SUMIF(月間集計シート!$M$134:$M$153,$G227,月間集計シート!N$134:N$153)*AS$2</f>
        <v>0</v>
      </c>
      <c r="AT227" s="88">
        <f>SUMIF(月間集計シート!$M$134:$M$153,$G227,月間集計シート!O$134:O$153)*AT$2</f>
        <v>0</v>
      </c>
      <c r="AU227" s="88">
        <f>SUMIF(月間集計シート!$M$134:$M$153,$G227,月間集計シート!P$134:P$153)*AU$2</f>
        <v>0</v>
      </c>
      <c r="AV227" s="88">
        <f>SUMIF(月間集計シート!$M$134:$M$153,$G227,月間集計シート!Q$134:Q$153)*AV$2</f>
        <v>0</v>
      </c>
      <c r="AW227" s="88">
        <f>SUMIF(月間集計シート!$M$134:$M$153,$G227,月間集計シート!R$134:R$153)*AW$2</f>
        <v>0</v>
      </c>
      <c r="AX227" s="88">
        <f>SUMIF(月間集計シート!$M$134:$M$153,$G227,月間集計シート!S$134:S$153)*AX$2</f>
        <v>0</v>
      </c>
      <c r="AY227" s="88">
        <f>SUMIF(月間集計シート!$M$134:$M$153,$G227,月間集計シート!T$134:T$153)*AY$2</f>
        <v>0</v>
      </c>
    </row>
    <row r="228" spans="1:51" ht="14.25" thickBot="1">
      <c r="A228">
        <v>3</v>
      </c>
      <c r="B228" s="120">
        <f t="shared" si="77"/>
        <v>0</v>
      </c>
      <c r="C228" s="120" t="str">
        <f t="shared" si="78"/>
        <v/>
      </c>
      <c r="D228" s="137"/>
      <c r="E228" s="150">
        <f>工種!A50</f>
        <v>70101</v>
      </c>
      <c r="F228" s="119" t="str">
        <f>工種!B50</f>
        <v>外部不具合修正：調査・設計</v>
      </c>
      <c r="G228" s="116" t="str">
        <f t="shared" si="79"/>
        <v>070101</v>
      </c>
      <c r="H228" s="88">
        <f t="shared" si="71"/>
        <v>0</v>
      </c>
      <c r="I228" s="132"/>
      <c r="J228" s="88">
        <f>SUMIF(月間集計シート!$M$29:$M$48,$G228,月間集計シート!N$29:N$48)*J$2</f>
        <v>0</v>
      </c>
      <c r="K228" s="88">
        <f>SUMIF(月間集計シート!$M$29:$M$48,$G228,月間集計シート!O$29:O$48)*K$2</f>
        <v>0</v>
      </c>
      <c r="L228" s="88">
        <f>SUMIF(月間集計シート!$M$29:$M$48,$G228,月間集計シート!P$29:P$48)*L$2</f>
        <v>0</v>
      </c>
      <c r="M228" s="88">
        <f>SUMIF(月間集計シート!$M$29:$M$48,$G228,月間集計シート!Q$29:Q$48)*M$2</f>
        <v>0</v>
      </c>
      <c r="N228" s="88">
        <f>SUMIF(月間集計シート!$M$29:$M$48,$G228,月間集計シート!R$29:R$48)*N$2</f>
        <v>0</v>
      </c>
      <c r="O228" s="88">
        <f>SUMIF(月間集計シート!$M$29:$M$48,$G228,月間集計シート!S$29:S$48)*O$2</f>
        <v>0</v>
      </c>
      <c r="P228" s="88">
        <f>SUMIF(月間集計シート!$M$29:$M$48,$G228,月間集計シート!T$29:T$48)*P$2</f>
        <v>0</v>
      </c>
      <c r="Q228" s="88">
        <f>SUMIF(月間集計シート!$M$50:$M$69,$G228,月間集計シート!N$50:N$69)*Q$2</f>
        <v>0</v>
      </c>
      <c r="R228" s="88">
        <f>SUMIF(月間集計シート!$M$50:$M$69,$G228,月間集計シート!O$50:O$69)*R$2</f>
        <v>0</v>
      </c>
      <c r="S228" s="88">
        <f>SUMIF(月間集計シート!$M$50:$M$69,$G228,月間集計シート!P$50:P$69)*S$2</f>
        <v>0</v>
      </c>
      <c r="T228" s="88">
        <f>SUMIF(月間集計シート!$M$50:$M$69,$G228,月間集計シート!Q$50:Q$69)*T$2</f>
        <v>0</v>
      </c>
      <c r="U228" s="88">
        <f>SUMIF(月間集計シート!$M$50:$M$69,$G228,月間集計シート!R$50:R$69)*U$2</f>
        <v>0</v>
      </c>
      <c r="V228" s="88">
        <f>SUMIF(月間集計シート!$M$50:$M$69,$G228,月間集計シート!S$50:S$69)*V$2</f>
        <v>0</v>
      </c>
      <c r="W228" s="88">
        <f>SUMIF(月間集計シート!$M$50:$M$69,$G228,月間集計シート!T$50:T$69)*W$2</f>
        <v>0</v>
      </c>
      <c r="X228" s="88">
        <f>SUMIF(月間集計シート!$M$71:$M$90,$G228,月間集計シート!N$71:N$90)*X$2</f>
        <v>0</v>
      </c>
      <c r="Y228" s="88">
        <f>SUMIF(月間集計シート!$M$71:$M$90,$G228,月間集計シート!O$71:O$90)*Y$2</f>
        <v>0</v>
      </c>
      <c r="Z228" s="88">
        <f>SUMIF(月間集計シート!$M$71:$M$90,$G228,月間集計シート!P$71:P$90)*Z$2</f>
        <v>0</v>
      </c>
      <c r="AA228" s="88">
        <f>SUMIF(月間集計シート!$M$71:$M$90,$G228,月間集計シート!Q$71:Q$90)*AA$2</f>
        <v>0</v>
      </c>
      <c r="AB228" s="88">
        <f>SUMIF(月間集計シート!$M$71:$M$90,$G228,月間集計シート!R$71:R$90)*AB$2</f>
        <v>0</v>
      </c>
      <c r="AC228" s="88">
        <f>SUMIF(月間集計シート!$M$71:$M$90,$G228,月間集計シート!S$71:S$90)*AC$2</f>
        <v>0</v>
      </c>
      <c r="AD228" s="88">
        <f>SUMIF(月間集計シート!$M$71:$M$90,$G228,月間集計シート!T$71:T$90)*AD$2</f>
        <v>0</v>
      </c>
      <c r="AE228" s="88">
        <f>SUMIF(月間集計シート!$M$92:$M$111,$G228,月間集計シート!N$92:N$111)*AE$2</f>
        <v>0</v>
      </c>
      <c r="AF228" s="88">
        <f>SUMIF(月間集計シート!$M$92:$M$111,$G228,月間集計シート!O$92:O$111)*AF$2</f>
        <v>0</v>
      </c>
      <c r="AG228" s="88">
        <f>SUMIF(月間集計シート!$M$92:$M$111,$G228,月間集計シート!P$92:P$111)*AG$2</f>
        <v>0</v>
      </c>
      <c r="AH228" s="88">
        <f>SUMIF(月間集計シート!$M$92:$M$111,$G228,月間集計シート!Q$92:Q$111)*AH$2</f>
        <v>0</v>
      </c>
      <c r="AI228" s="88">
        <f>SUMIF(月間集計シート!$M$92:$M$111,$G228,月間集計シート!R$92:R$111)*AI$2</f>
        <v>0</v>
      </c>
      <c r="AJ228" s="88">
        <f>SUMIF(月間集計シート!$M$92:$M$111,$G228,月間集計シート!S$92:S$111)*AJ$2</f>
        <v>0</v>
      </c>
      <c r="AK228" s="88">
        <f>SUMIF(月間集計シート!$M$92:$M$111,$G228,月間集計シート!T$92:T$111)*AK$2</f>
        <v>0</v>
      </c>
      <c r="AL228" s="88">
        <f>SUMIF(月間集計シート!$M$113:$M$132,$G228,月間集計シート!N$113:N$132)*AL$2</f>
        <v>0</v>
      </c>
      <c r="AM228" s="88">
        <f>SUMIF(月間集計シート!$M$113:$M$132,$G228,月間集計シート!O$113:O$132)*AM$2</f>
        <v>0</v>
      </c>
      <c r="AN228" s="88">
        <f>SUMIF(月間集計シート!$M$113:$M$132,$G228,月間集計シート!P$113:P$132)*AN$2</f>
        <v>0</v>
      </c>
      <c r="AO228" s="88">
        <f>SUMIF(月間集計シート!$M$113:$M$132,$G228,月間集計シート!Q$113:Q$132)*AO$2</f>
        <v>0</v>
      </c>
      <c r="AP228" s="88">
        <f>SUMIF(月間集計シート!$M$113:$M$132,$G228,月間集計シート!R$113:R$132)*AP$2</f>
        <v>0</v>
      </c>
      <c r="AQ228" s="88">
        <f>SUMIF(月間集計シート!$M$113:$M$132,$G228,月間集計シート!S$113:S$132)*AQ$2</f>
        <v>0</v>
      </c>
      <c r="AR228" s="88">
        <f>SUMIF(月間集計シート!$M$113:$M$132,$G228,月間集計シート!T$113:T$132)*AR$2</f>
        <v>0</v>
      </c>
      <c r="AS228" s="88">
        <f>SUMIF(月間集計シート!$M$134:$M$153,$G228,月間集計シート!N$134:N$153)*AS$2</f>
        <v>0</v>
      </c>
      <c r="AT228" s="88">
        <f>SUMIF(月間集計シート!$M$134:$M$153,$G228,月間集計シート!O$134:O$153)*AT$2</f>
        <v>0</v>
      </c>
      <c r="AU228" s="88">
        <f>SUMIF(月間集計シート!$M$134:$M$153,$G228,月間集計シート!P$134:P$153)*AU$2</f>
        <v>0</v>
      </c>
      <c r="AV228" s="88">
        <f>SUMIF(月間集計シート!$M$134:$M$153,$G228,月間集計シート!Q$134:Q$153)*AV$2</f>
        <v>0</v>
      </c>
      <c r="AW228" s="88">
        <f>SUMIF(月間集計シート!$M$134:$M$153,$G228,月間集計シート!R$134:R$153)*AW$2</f>
        <v>0</v>
      </c>
      <c r="AX228" s="88">
        <f>SUMIF(月間集計シート!$M$134:$M$153,$G228,月間集計シート!S$134:S$153)*AX$2</f>
        <v>0</v>
      </c>
      <c r="AY228" s="88">
        <f>SUMIF(月間集計シート!$M$134:$M$153,$G228,月間集計シート!T$134:T$153)*AY$2</f>
        <v>0</v>
      </c>
    </row>
    <row r="229" spans="1:51" ht="14.25" thickBot="1">
      <c r="A229">
        <v>3</v>
      </c>
      <c r="B229" s="120">
        <f t="shared" si="77"/>
        <v>0</v>
      </c>
      <c r="C229" s="120" t="str">
        <f t="shared" si="78"/>
        <v/>
      </c>
      <c r="D229" s="137"/>
      <c r="E229" s="150">
        <f>工種!A51</f>
        <v>70102</v>
      </c>
      <c r="F229" s="119" t="str">
        <f>工種!B51</f>
        <v>外部不具合修正：コーディング</v>
      </c>
      <c r="G229" s="116" t="str">
        <f t="shared" si="79"/>
        <v>070102</v>
      </c>
      <c r="H229" s="88">
        <f t="shared" si="71"/>
        <v>0</v>
      </c>
      <c r="I229" s="132"/>
      <c r="J229" s="88">
        <f>SUMIF(月間集計シート!$M$29:$M$48,$G229,月間集計シート!N$29:N$48)*J$2</f>
        <v>0</v>
      </c>
      <c r="K229" s="88">
        <f>SUMIF(月間集計シート!$M$29:$M$48,$G229,月間集計シート!O$29:O$48)*K$2</f>
        <v>0</v>
      </c>
      <c r="L229" s="88">
        <f>SUMIF(月間集計シート!$M$29:$M$48,$G229,月間集計シート!P$29:P$48)*L$2</f>
        <v>0</v>
      </c>
      <c r="M229" s="88">
        <f>SUMIF(月間集計シート!$M$29:$M$48,$G229,月間集計シート!Q$29:Q$48)*M$2</f>
        <v>0</v>
      </c>
      <c r="N229" s="88">
        <f>SUMIF(月間集計シート!$M$29:$M$48,$G229,月間集計シート!R$29:R$48)*N$2</f>
        <v>0</v>
      </c>
      <c r="O229" s="88">
        <f>SUMIF(月間集計シート!$M$29:$M$48,$G229,月間集計シート!S$29:S$48)*O$2</f>
        <v>0</v>
      </c>
      <c r="P229" s="88">
        <f>SUMIF(月間集計シート!$M$29:$M$48,$G229,月間集計シート!T$29:T$48)*P$2</f>
        <v>0</v>
      </c>
      <c r="Q229" s="88">
        <f>SUMIF(月間集計シート!$M$50:$M$69,$G229,月間集計シート!N$50:N$69)*Q$2</f>
        <v>0</v>
      </c>
      <c r="R229" s="88">
        <f>SUMIF(月間集計シート!$M$50:$M$69,$G229,月間集計シート!O$50:O$69)*R$2</f>
        <v>0</v>
      </c>
      <c r="S229" s="88">
        <f>SUMIF(月間集計シート!$M$50:$M$69,$G229,月間集計シート!P$50:P$69)*S$2</f>
        <v>0</v>
      </c>
      <c r="T229" s="88">
        <f>SUMIF(月間集計シート!$M$50:$M$69,$G229,月間集計シート!Q$50:Q$69)*T$2</f>
        <v>0</v>
      </c>
      <c r="U229" s="88">
        <f>SUMIF(月間集計シート!$M$50:$M$69,$G229,月間集計シート!R$50:R$69)*U$2</f>
        <v>0</v>
      </c>
      <c r="V229" s="88">
        <f>SUMIF(月間集計シート!$M$50:$M$69,$G229,月間集計シート!S$50:S$69)*V$2</f>
        <v>0</v>
      </c>
      <c r="W229" s="88">
        <f>SUMIF(月間集計シート!$M$50:$M$69,$G229,月間集計シート!T$50:T$69)*W$2</f>
        <v>0</v>
      </c>
      <c r="X229" s="88">
        <f>SUMIF(月間集計シート!$M$71:$M$90,$G229,月間集計シート!N$71:N$90)*X$2</f>
        <v>0</v>
      </c>
      <c r="Y229" s="88">
        <f>SUMIF(月間集計シート!$M$71:$M$90,$G229,月間集計シート!O$71:O$90)*Y$2</f>
        <v>0</v>
      </c>
      <c r="Z229" s="88">
        <f>SUMIF(月間集計シート!$M$71:$M$90,$G229,月間集計シート!P$71:P$90)*Z$2</f>
        <v>0</v>
      </c>
      <c r="AA229" s="88">
        <f>SUMIF(月間集計シート!$M$71:$M$90,$G229,月間集計シート!Q$71:Q$90)*AA$2</f>
        <v>0</v>
      </c>
      <c r="AB229" s="88">
        <f>SUMIF(月間集計シート!$M$71:$M$90,$G229,月間集計シート!R$71:R$90)*AB$2</f>
        <v>0</v>
      </c>
      <c r="AC229" s="88">
        <f>SUMIF(月間集計シート!$M$71:$M$90,$G229,月間集計シート!S$71:S$90)*AC$2</f>
        <v>0</v>
      </c>
      <c r="AD229" s="88">
        <f>SUMIF(月間集計シート!$M$71:$M$90,$G229,月間集計シート!T$71:T$90)*AD$2</f>
        <v>0</v>
      </c>
      <c r="AE229" s="88">
        <f>SUMIF(月間集計シート!$M$92:$M$111,$G229,月間集計シート!N$92:N$111)*AE$2</f>
        <v>0</v>
      </c>
      <c r="AF229" s="88">
        <f>SUMIF(月間集計シート!$M$92:$M$111,$G229,月間集計シート!O$92:O$111)*AF$2</f>
        <v>0</v>
      </c>
      <c r="AG229" s="88">
        <f>SUMIF(月間集計シート!$M$92:$M$111,$G229,月間集計シート!P$92:P$111)*AG$2</f>
        <v>0</v>
      </c>
      <c r="AH229" s="88">
        <f>SUMIF(月間集計シート!$M$92:$M$111,$G229,月間集計シート!Q$92:Q$111)*AH$2</f>
        <v>0</v>
      </c>
      <c r="AI229" s="88">
        <f>SUMIF(月間集計シート!$M$92:$M$111,$G229,月間集計シート!R$92:R$111)*AI$2</f>
        <v>0</v>
      </c>
      <c r="AJ229" s="88">
        <f>SUMIF(月間集計シート!$M$92:$M$111,$G229,月間集計シート!S$92:S$111)*AJ$2</f>
        <v>0</v>
      </c>
      <c r="AK229" s="88">
        <f>SUMIF(月間集計シート!$M$92:$M$111,$G229,月間集計シート!T$92:T$111)*AK$2</f>
        <v>0</v>
      </c>
      <c r="AL229" s="88">
        <f>SUMIF(月間集計シート!$M$113:$M$132,$G229,月間集計シート!N$113:N$132)*AL$2</f>
        <v>0</v>
      </c>
      <c r="AM229" s="88">
        <f>SUMIF(月間集計シート!$M$113:$M$132,$G229,月間集計シート!O$113:O$132)*AM$2</f>
        <v>0</v>
      </c>
      <c r="AN229" s="88">
        <f>SUMIF(月間集計シート!$M$113:$M$132,$G229,月間集計シート!P$113:P$132)*AN$2</f>
        <v>0</v>
      </c>
      <c r="AO229" s="88">
        <f>SUMIF(月間集計シート!$M$113:$M$132,$G229,月間集計シート!Q$113:Q$132)*AO$2</f>
        <v>0</v>
      </c>
      <c r="AP229" s="88">
        <f>SUMIF(月間集計シート!$M$113:$M$132,$G229,月間集計シート!R$113:R$132)*AP$2</f>
        <v>0</v>
      </c>
      <c r="AQ229" s="88">
        <f>SUMIF(月間集計シート!$M$113:$M$132,$G229,月間集計シート!S$113:S$132)*AQ$2</f>
        <v>0</v>
      </c>
      <c r="AR229" s="88">
        <f>SUMIF(月間集計シート!$M$113:$M$132,$G229,月間集計シート!T$113:T$132)*AR$2</f>
        <v>0</v>
      </c>
      <c r="AS229" s="88">
        <f>SUMIF(月間集計シート!$M$134:$M$153,$G229,月間集計シート!N$134:N$153)*AS$2</f>
        <v>0</v>
      </c>
      <c r="AT229" s="88">
        <f>SUMIF(月間集計シート!$M$134:$M$153,$G229,月間集計シート!O$134:O$153)*AT$2</f>
        <v>0</v>
      </c>
      <c r="AU229" s="88">
        <f>SUMIF(月間集計シート!$M$134:$M$153,$G229,月間集計シート!P$134:P$153)*AU$2</f>
        <v>0</v>
      </c>
      <c r="AV229" s="88">
        <f>SUMIF(月間集計シート!$M$134:$M$153,$G229,月間集計シート!Q$134:Q$153)*AV$2</f>
        <v>0</v>
      </c>
      <c r="AW229" s="88">
        <f>SUMIF(月間集計シート!$M$134:$M$153,$G229,月間集計シート!R$134:R$153)*AW$2</f>
        <v>0</v>
      </c>
      <c r="AX229" s="88">
        <f>SUMIF(月間集計シート!$M$134:$M$153,$G229,月間集計シート!S$134:S$153)*AX$2</f>
        <v>0</v>
      </c>
      <c r="AY229" s="88">
        <f>SUMIF(月間集計シート!$M$134:$M$153,$G229,月間集計シート!T$134:T$153)*AY$2</f>
        <v>0</v>
      </c>
    </row>
    <row r="230" spans="1:51" ht="14.25" thickBot="1">
      <c r="A230">
        <v>3</v>
      </c>
      <c r="B230" s="120">
        <f t="shared" si="77"/>
        <v>0</v>
      </c>
      <c r="C230" s="120" t="str">
        <f t="shared" si="78"/>
        <v/>
      </c>
      <c r="D230" s="137"/>
      <c r="E230" s="150">
        <f>工種!A52</f>
        <v>70103</v>
      </c>
      <c r="F230" s="119" t="str">
        <f>工種!B52</f>
        <v>外部不具合修正：テスト</v>
      </c>
      <c r="G230" s="116" t="str">
        <f t="shared" si="79"/>
        <v>070103</v>
      </c>
      <c r="H230" s="88">
        <f t="shared" si="71"/>
        <v>0</v>
      </c>
      <c r="I230" s="132"/>
      <c r="J230" s="88">
        <f>SUMIF(月間集計シート!$M$29:$M$48,$G230,月間集計シート!N$29:N$48)*J$2</f>
        <v>0</v>
      </c>
      <c r="K230" s="88">
        <f>SUMIF(月間集計シート!$M$29:$M$48,$G230,月間集計シート!O$29:O$48)*K$2</f>
        <v>0</v>
      </c>
      <c r="L230" s="88">
        <f>SUMIF(月間集計シート!$M$29:$M$48,$G230,月間集計シート!P$29:P$48)*L$2</f>
        <v>0</v>
      </c>
      <c r="M230" s="88">
        <f>SUMIF(月間集計シート!$M$29:$M$48,$G230,月間集計シート!Q$29:Q$48)*M$2</f>
        <v>0</v>
      </c>
      <c r="N230" s="88">
        <f>SUMIF(月間集計シート!$M$29:$M$48,$G230,月間集計シート!R$29:R$48)*N$2</f>
        <v>0</v>
      </c>
      <c r="O230" s="88">
        <f>SUMIF(月間集計シート!$M$29:$M$48,$G230,月間集計シート!S$29:S$48)*O$2</f>
        <v>0</v>
      </c>
      <c r="P230" s="88">
        <f>SUMIF(月間集計シート!$M$29:$M$48,$G230,月間集計シート!T$29:T$48)*P$2</f>
        <v>0</v>
      </c>
      <c r="Q230" s="88">
        <f>SUMIF(月間集計シート!$M$50:$M$69,$G230,月間集計シート!N$50:N$69)*Q$2</f>
        <v>0</v>
      </c>
      <c r="R230" s="88">
        <f>SUMIF(月間集計シート!$M$50:$M$69,$G230,月間集計シート!O$50:O$69)*R$2</f>
        <v>0</v>
      </c>
      <c r="S230" s="88">
        <f>SUMIF(月間集計シート!$M$50:$M$69,$G230,月間集計シート!P$50:P$69)*S$2</f>
        <v>0</v>
      </c>
      <c r="T230" s="88">
        <f>SUMIF(月間集計シート!$M$50:$M$69,$G230,月間集計シート!Q$50:Q$69)*T$2</f>
        <v>0</v>
      </c>
      <c r="U230" s="88">
        <f>SUMIF(月間集計シート!$M$50:$M$69,$G230,月間集計シート!R$50:R$69)*U$2</f>
        <v>0</v>
      </c>
      <c r="V230" s="88">
        <f>SUMIF(月間集計シート!$M$50:$M$69,$G230,月間集計シート!S$50:S$69)*V$2</f>
        <v>0</v>
      </c>
      <c r="W230" s="88">
        <f>SUMIF(月間集計シート!$M$50:$M$69,$G230,月間集計シート!T$50:T$69)*W$2</f>
        <v>0</v>
      </c>
      <c r="X230" s="88">
        <f>SUMIF(月間集計シート!$M$71:$M$90,$G230,月間集計シート!N$71:N$90)*X$2</f>
        <v>0</v>
      </c>
      <c r="Y230" s="88">
        <f>SUMIF(月間集計シート!$M$71:$M$90,$G230,月間集計シート!O$71:O$90)*Y$2</f>
        <v>0</v>
      </c>
      <c r="Z230" s="88">
        <f>SUMIF(月間集計シート!$M$71:$M$90,$G230,月間集計シート!P$71:P$90)*Z$2</f>
        <v>0</v>
      </c>
      <c r="AA230" s="88">
        <f>SUMIF(月間集計シート!$M$71:$M$90,$G230,月間集計シート!Q$71:Q$90)*AA$2</f>
        <v>0</v>
      </c>
      <c r="AB230" s="88">
        <f>SUMIF(月間集計シート!$M$71:$M$90,$G230,月間集計シート!R$71:R$90)*AB$2</f>
        <v>0</v>
      </c>
      <c r="AC230" s="88">
        <f>SUMIF(月間集計シート!$M$71:$M$90,$G230,月間集計シート!S$71:S$90)*AC$2</f>
        <v>0</v>
      </c>
      <c r="AD230" s="88">
        <f>SUMIF(月間集計シート!$M$71:$M$90,$G230,月間集計シート!T$71:T$90)*AD$2</f>
        <v>0</v>
      </c>
      <c r="AE230" s="88">
        <f>SUMIF(月間集計シート!$M$92:$M$111,$G230,月間集計シート!N$92:N$111)*AE$2</f>
        <v>0</v>
      </c>
      <c r="AF230" s="88">
        <f>SUMIF(月間集計シート!$M$92:$M$111,$G230,月間集計シート!O$92:O$111)*AF$2</f>
        <v>0</v>
      </c>
      <c r="AG230" s="88">
        <f>SUMIF(月間集計シート!$M$92:$M$111,$G230,月間集計シート!P$92:P$111)*AG$2</f>
        <v>0</v>
      </c>
      <c r="AH230" s="88">
        <f>SUMIF(月間集計シート!$M$92:$M$111,$G230,月間集計シート!Q$92:Q$111)*AH$2</f>
        <v>0</v>
      </c>
      <c r="AI230" s="88">
        <f>SUMIF(月間集計シート!$M$92:$M$111,$G230,月間集計シート!R$92:R$111)*AI$2</f>
        <v>0</v>
      </c>
      <c r="AJ230" s="88">
        <f>SUMIF(月間集計シート!$M$92:$M$111,$G230,月間集計シート!S$92:S$111)*AJ$2</f>
        <v>0</v>
      </c>
      <c r="AK230" s="88">
        <f>SUMIF(月間集計シート!$M$92:$M$111,$G230,月間集計シート!T$92:T$111)*AK$2</f>
        <v>0</v>
      </c>
      <c r="AL230" s="88">
        <f>SUMIF(月間集計シート!$M$113:$M$132,$G230,月間集計シート!N$113:N$132)*AL$2</f>
        <v>0</v>
      </c>
      <c r="AM230" s="88">
        <f>SUMIF(月間集計シート!$M$113:$M$132,$G230,月間集計シート!O$113:O$132)*AM$2</f>
        <v>0</v>
      </c>
      <c r="AN230" s="88">
        <f>SUMIF(月間集計シート!$M$113:$M$132,$G230,月間集計シート!P$113:P$132)*AN$2</f>
        <v>0</v>
      </c>
      <c r="AO230" s="88">
        <f>SUMIF(月間集計シート!$M$113:$M$132,$G230,月間集計シート!Q$113:Q$132)*AO$2</f>
        <v>0</v>
      </c>
      <c r="AP230" s="88">
        <f>SUMIF(月間集計シート!$M$113:$M$132,$G230,月間集計シート!R$113:R$132)*AP$2</f>
        <v>0</v>
      </c>
      <c r="AQ230" s="88">
        <f>SUMIF(月間集計シート!$M$113:$M$132,$G230,月間集計シート!S$113:S$132)*AQ$2</f>
        <v>0</v>
      </c>
      <c r="AR230" s="88">
        <f>SUMIF(月間集計シート!$M$113:$M$132,$G230,月間集計シート!T$113:T$132)*AR$2</f>
        <v>0</v>
      </c>
      <c r="AS230" s="88">
        <f>SUMIF(月間集計シート!$M$134:$M$153,$G230,月間集計シート!N$134:N$153)*AS$2</f>
        <v>0</v>
      </c>
      <c r="AT230" s="88">
        <f>SUMIF(月間集計シート!$M$134:$M$153,$G230,月間集計シート!O$134:O$153)*AT$2</f>
        <v>0</v>
      </c>
      <c r="AU230" s="88">
        <f>SUMIF(月間集計シート!$M$134:$M$153,$G230,月間集計シート!P$134:P$153)*AU$2</f>
        <v>0</v>
      </c>
      <c r="AV230" s="88">
        <f>SUMIF(月間集計シート!$M$134:$M$153,$G230,月間集計シート!Q$134:Q$153)*AV$2</f>
        <v>0</v>
      </c>
      <c r="AW230" s="88">
        <f>SUMIF(月間集計シート!$M$134:$M$153,$G230,月間集計シート!R$134:R$153)*AW$2</f>
        <v>0</v>
      </c>
      <c r="AX230" s="88">
        <f>SUMIF(月間集計シート!$M$134:$M$153,$G230,月間集計シート!S$134:S$153)*AX$2</f>
        <v>0</v>
      </c>
      <c r="AY230" s="88">
        <f>SUMIF(月間集計シート!$M$134:$M$153,$G230,月間集計シート!T$134:T$153)*AY$2</f>
        <v>0</v>
      </c>
    </row>
    <row r="231" spans="1:51" ht="14.25" thickBot="1">
      <c r="A231">
        <v>3</v>
      </c>
      <c r="B231" s="120">
        <f t="shared" si="77"/>
        <v>0</v>
      </c>
      <c r="C231" s="120" t="str">
        <f t="shared" si="78"/>
        <v/>
      </c>
      <c r="D231" s="137"/>
      <c r="E231" s="150">
        <f>工種!A53</f>
        <v>70104</v>
      </c>
      <c r="F231" s="119" t="str">
        <f>工種!B53</f>
        <v>外部不具合修正：不具合連絡作成</v>
      </c>
      <c r="G231" s="116" t="str">
        <f t="shared" si="79"/>
        <v>070104</v>
      </c>
      <c r="H231" s="88">
        <f t="shared" si="71"/>
        <v>0</v>
      </c>
      <c r="I231" s="132"/>
      <c r="J231" s="88">
        <f>SUMIF(月間集計シート!$M$29:$M$48,$G231,月間集計シート!N$29:N$48)*J$2</f>
        <v>0</v>
      </c>
      <c r="K231" s="88">
        <f>SUMIF(月間集計シート!$M$29:$M$48,$G231,月間集計シート!O$29:O$48)*K$2</f>
        <v>0</v>
      </c>
      <c r="L231" s="88">
        <f>SUMIF(月間集計シート!$M$29:$M$48,$G231,月間集計シート!P$29:P$48)*L$2</f>
        <v>0</v>
      </c>
      <c r="M231" s="88">
        <f>SUMIF(月間集計シート!$M$29:$M$48,$G231,月間集計シート!Q$29:Q$48)*M$2</f>
        <v>0</v>
      </c>
      <c r="N231" s="88">
        <f>SUMIF(月間集計シート!$M$29:$M$48,$G231,月間集計シート!R$29:R$48)*N$2</f>
        <v>0</v>
      </c>
      <c r="O231" s="88">
        <f>SUMIF(月間集計シート!$M$29:$M$48,$G231,月間集計シート!S$29:S$48)*O$2</f>
        <v>0</v>
      </c>
      <c r="P231" s="88">
        <f>SUMIF(月間集計シート!$M$29:$M$48,$G231,月間集計シート!T$29:T$48)*P$2</f>
        <v>0</v>
      </c>
      <c r="Q231" s="88">
        <f>SUMIF(月間集計シート!$M$50:$M$69,$G231,月間集計シート!N$50:N$69)*Q$2</f>
        <v>0</v>
      </c>
      <c r="R231" s="88">
        <f>SUMIF(月間集計シート!$M$50:$M$69,$G231,月間集計シート!O$50:O$69)*R$2</f>
        <v>0</v>
      </c>
      <c r="S231" s="88">
        <f>SUMIF(月間集計シート!$M$50:$M$69,$G231,月間集計シート!P$50:P$69)*S$2</f>
        <v>0</v>
      </c>
      <c r="T231" s="88">
        <f>SUMIF(月間集計シート!$M$50:$M$69,$G231,月間集計シート!Q$50:Q$69)*T$2</f>
        <v>0</v>
      </c>
      <c r="U231" s="88">
        <f>SUMIF(月間集計シート!$M$50:$M$69,$G231,月間集計シート!R$50:R$69)*U$2</f>
        <v>0</v>
      </c>
      <c r="V231" s="88">
        <f>SUMIF(月間集計シート!$M$50:$M$69,$G231,月間集計シート!S$50:S$69)*V$2</f>
        <v>0</v>
      </c>
      <c r="W231" s="88">
        <f>SUMIF(月間集計シート!$M$50:$M$69,$G231,月間集計シート!T$50:T$69)*W$2</f>
        <v>0</v>
      </c>
      <c r="X231" s="88">
        <f>SUMIF(月間集計シート!$M$71:$M$90,$G231,月間集計シート!N$71:N$90)*X$2</f>
        <v>0</v>
      </c>
      <c r="Y231" s="88">
        <f>SUMIF(月間集計シート!$M$71:$M$90,$G231,月間集計シート!O$71:O$90)*Y$2</f>
        <v>0</v>
      </c>
      <c r="Z231" s="88">
        <f>SUMIF(月間集計シート!$M$71:$M$90,$G231,月間集計シート!P$71:P$90)*Z$2</f>
        <v>0</v>
      </c>
      <c r="AA231" s="88">
        <f>SUMIF(月間集計シート!$M$71:$M$90,$G231,月間集計シート!Q$71:Q$90)*AA$2</f>
        <v>0</v>
      </c>
      <c r="AB231" s="88">
        <f>SUMIF(月間集計シート!$M$71:$M$90,$G231,月間集計シート!R$71:R$90)*AB$2</f>
        <v>0</v>
      </c>
      <c r="AC231" s="88">
        <f>SUMIF(月間集計シート!$M$71:$M$90,$G231,月間集計シート!S$71:S$90)*AC$2</f>
        <v>0</v>
      </c>
      <c r="AD231" s="88">
        <f>SUMIF(月間集計シート!$M$71:$M$90,$G231,月間集計シート!T$71:T$90)*AD$2</f>
        <v>0</v>
      </c>
      <c r="AE231" s="88">
        <f>SUMIF(月間集計シート!$M$92:$M$111,$G231,月間集計シート!N$92:N$111)*AE$2</f>
        <v>0</v>
      </c>
      <c r="AF231" s="88">
        <f>SUMIF(月間集計シート!$M$92:$M$111,$G231,月間集計シート!O$92:O$111)*AF$2</f>
        <v>0</v>
      </c>
      <c r="AG231" s="88">
        <f>SUMIF(月間集計シート!$M$92:$M$111,$G231,月間集計シート!P$92:P$111)*AG$2</f>
        <v>0</v>
      </c>
      <c r="AH231" s="88">
        <f>SUMIF(月間集計シート!$M$92:$M$111,$G231,月間集計シート!Q$92:Q$111)*AH$2</f>
        <v>0</v>
      </c>
      <c r="AI231" s="88">
        <f>SUMIF(月間集計シート!$M$92:$M$111,$G231,月間集計シート!R$92:R$111)*AI$2</f>
        <v>0</v>
      </c>
      <c r="AJ231" s="88">
        <f>SUMIF(月間集計シート!$M$92:$M$111,$G231,月間集計シート!S$92:S$111)*AJ$2</f>
        <v>0</v>
      </c>
      <c r="AK231" s="88">
        <f>SUMIF(月間集計シート!$M$92:$M$111,$G231,月間集計シート!T$92:T$111)*AK$2</f>
        <v>0</v>
      </c>
      <c r="AL231" s="88">
        <f>SUMIF(月間集計シート!$M$113:$M$132,$G231,月間集計シート!N$113:N$132)*AL$2</f>
        <v>0</v>
      </c>
      <c r="AM231" s="88">
        <f>SUMIF(月間集計シート!$M$113:$M$132,$G231,月間集計シート!O$113:O$132)*AM$2</f>
        <v>0</v>
      </c>
      <c r="AN231" s="88">
        <f>SUMIF(月間集計シート!$M$113:$M$132,$G231,月間集計シート!P$113:P$132)*AN$2</f>
        <v>0</v>
      </c>
      <c r="AO231" s="88">
        <f>SUMIF(月間集計シート!$M$113:$M$132,$G231,月間集計シート!Q$113:Q$132)*AO$2</f>
        <v>0</v>
      </c>
      <c r="AP231" s="88">
        <f>SUMIF(月間集計シート!$M$113:$M$132,$G231,月間集計シート!R$113:R$132)*AP$2</f>
        <v>0</v>
      </c>
      <c r="AQ231" s="88">
        <f>SUMIF(月間集計シート!$M$113:$M$132,$G231,月間集計シート!S$113:S$132)*AQ$2</f>
        <v>0</v>
      </c>
      <c r="AR231" s="88">
        <f>SUMIF(月間集計シート!$M$113:$M$132,$G231,月間集計シート!T$113:T$132)*AR$2</f>
        <v>0</v>
      </c>
      <c r="AS231" s="88">
        <f>SUMIF(月間集計シート!$M$134:$M$153,$G231,月間集計シート!N$134:N$153)*AS$2</f>
        <v>0</v>
      </c>
      <c r="AT231" s="88">
        <f>SUMIF(月間集計シート!$M$134:$M$153,$G231,月間集計シート!O$134:O$153)*AT$2</f>
        <v>0</v>
      </c>
      <c r="AU231" s="88">
        <f>SUMIF(月間集計シート!$M$134:$M$153,$G231,月間集計シート!P$134:P$153)*AU$2</f>
        <v>0</v>
      </c>
      <c r="AV231" s="88">
        <f>SUMIF(月間集計シート!$M$134:$M$153,$G231,月間集計シート!Q$134:Q$153)*AV$2</f>
        <v>0</v>
      </c>
      <c r="AW231" s="88">
        <f>SUMIF(月間集計シート!$M$134:$M$153,$G231,月間集計シート!R$134:R$153)*AW$2</f>
        <v>0</v>
      </c>
      <c r="AX231" s="88">
        <f>SUMIF(月間集計シート!$M$134:$M$153,$G231,月間集計シート!S$134:S$153)*AX$2</f>
        <v>0</v>
      </c>
      <c r="AY231" s="88">
        <f>SUMIF(月間集計シート!$M$134:$M$153,$G231,月間集計シート!T$134:T$153)*AY$2</f>
        <v>0</v>
      </c>
    </row>
    <row r="232" spans="1:51" ht="14.25" thickBot="1">
      <c r="A232">
        <v>3</v>
      </c>
      <c r="B232" s="120">
        <f t="shared" si="77"/>
        <v>0</v>
      </c>
      <c r="C232" s="120" t="str">
        <f t="shared" si="78"/>
        <v/>
      </c>
      <c r="D232" s="137"/>
      <c r="E232" s="150">
        <f>工種!A54</f>
        <v>70105</v>
      </c>
      <c r="F232" s="119" t="str">
        <f>工種!B54</f>
        <v>外部不具合修正：差分PGイントラ掲載</v>
      </c>
      <c r="G232" s="116" t="str">
        <f t="shared" si="79"/>
        <v>070105</v>
      </c>
      <c r="H232" s="88">
        <f t="shared" si="71"/>
        <v>0</v>
      </c>
      <c r="I232" s="132"/>
      <c r="J232" s="88">
        <f>SUMIF(月間集計シート!$M$29:$M$48,$G232,月間集計シート!N$29:N$48)*J$2</f>
        <v>0</v>
      </c>
      <c r="K232" s="88">
        <f>SUMIF(月間集計シート!$M$29:$M$48,$G232,月間集計シート!O$29:O$48)*K$2</f>
        <v>0</v>
      </c>
      <c r="L232" s="88">
        <f>SUMIF(月間集計シート!$M$29:$M$48,$G232,月間集計シート!P$29:P$48)*L$2</f>
        <v>0</v>
      </c>
      <c r="M232" s="88">
        <f>SUMIF(月間集計シート!$M$29:$M$48,$G232,月間集計シート!Q$29:Q$48)*M$2</f>
        <v>0</v>
      </c>
      <c r="N232" s="88">
        <f>SUMIF(月間集計シート!$M$29:$M$48,$G232,月間集計シート!R$29:R$48)*N$2</f>
        <v>0</v>
      </c>
      <c r="O232" s="88">
        <f>SUMIF(月間集計シート!$M$29:$M$48,$G232,月間集計シート!S$29:S$48)*O$2</f>
        <v>0</v>
      </c>
      <c r="P232" s="88">
        <f>SUMIF(月間集計シート!$M$29:$M$48,$G232,月間集計シート!T$29:T$48)*P$2</f>
        <v>0</v>
      </c>
      <c r="Q232" s="88">
        <f>SUMIF(月間集計シート!$M$50:$M$69,$G232,月間集計シート!N$50:N$69)*Q$2</f>
        <v>0</v>
      </c>
      <c r="R232" s="88">
        <f>SUMIF(月間集計シート!$M$50:$M$69,$G232,月間集計シート!O$50:O$69)*R$2</f>
        <v>0</v>
      </c>
      <c r="S232" s="88">
        <f>SUMIF(月間集計シート!$M$50:$M$69,$G232,月間集計シート!P$50:P$69)*S$2</f>
        <v>0</v>
      </c>
      <c r="T232" s="88">
        <f>SUMIF(月間集計シート!$M$50:$M$69,$G232,月間集計シート!Q$50:Q$69)*T$2</f>
        <v>0</v>
      </c>
      <c r="U232" s="88">
        <f>SUMIF(月間集計シート!$M$50:$M$69,$G232,月間集計シート!R$50:R$69)*U$2</f>
        <v>0</v>
      </c>
      <c r="V232" s="88">
        <f>SUMIF(月間集計シート!$M$50:$M$69,$G232,月間集計シート!S$50:S$69)*V$2</f>
        <v>0</v>
      </c>
      <c r="W232" s="88">
        <f>SUMIF(月間集計シート!$M$50:$M$69,$G232,月間集計シート!T$50:T$69)*W$2</f>
        <v>0</v>
      </c>
      <c r="X232" s="88">
        <f>SUMIF(月間集計シート!$M$71:$M$90,$G232,月間集計シート!N$71:N$90)*X$2</f>
        <v>0</v>
      </c>
      <c r="Y232" s="88">
        <f>SUMIF(月間集計シート!$M$71:$M$90,$G232,月間集計シート!O$71:O$90)*Y$2</f>
        <v>0</v>
      </c>
      <c r="Z232" s="88">
        <f>SUMIF(月間集計シート!$M$71:$M$90,$G232,月間集計シート!P$71:P$90)*Z$2</f>
        <v>0</v>
      </c>
      <c r="AA232" s="88">
        <f>SUMIF(月間集計シート!$M$71:$M$90,$G232,月間集計シート!Q$71:Q$90)*AA$2</f>
        <v>0</v>
      </c>
      <c r="AB232" s="88">
        <f>SUMIF(月間集計シート!$M$71:$M$90,$G232,月間集計シート!R$71:R$90)*AB$2</f>
        <v>0</v>
      </c>
      <c r="AC232" s="88">
        <f>SUMIF(月間集計シート!$M$71:$M$90,$G232,月間集計シート!S$71:S$90)*AC$2</f>
        <v>0</v>
      </c>
      <c r="AD232" s="88">
        <f>SUMIF(月間集計シート!$M$71:$M$90,$G232,月間集計シート!T$71:T$90)*AD$2</f>
        <v>0</v>
      </c>
      <c r="AE232" s="88">
        <f>SUMIF(月間集計シート!$M$92:$M$111,$G232,月間集計シート!N$92:N$111)*AE$2</f>
        <v>0</v>
      </c>
      <c r="AF232" s="88">
        <f>SUMIF(月間集計シート!$M$92:$M$111,$G232,月間集計シート!O$92:O$111)*AF$2</f>
        <v>0</v>
      </c>
      <c r="AG232" s="88">
        <f>SUMIF(月間集計シート!$M$92:$M$111,$G232,月間集計シート!P$92:P$111)*AG$2</f>
        <v>0</v>
      </c>
      <c r="AH232" s="88">
        <f>SUMIF(月間集計シート!$M$92:$M$111,$G232,月間集計シート!Q$92:Q$111)*AH$2</f>
        <v>0</v>
      </c>
      <c r="AI232" s="88">
        <f>SUMIF(月間集計シート!$M$92:$M$111,$G232,月間集計シート!R$92:R$111)*AI$2</f>
        <v>0</v>
      </c>
      <c r="AJ232" s="88">
        <f>SUMIF(月間集計シート!$M$92:$M$111,$G232,月間集計シート!S$92:S$111)*AJ$2</f>
        <v>0</v>
      </c>
      <c r="AK232" s="88">
        <f>SUMIF(月間集計シート!$M$92:$M$111,$G232,月間集計シート!T$92:T$111)*AK$2</f>
        <v>0</v>
      </c>
      <c r="AL232" s="88">
        <f>SUMIF(月間集計シート!$M$113:$M$132,$G232,月間集計シート!N$113:N$132)*AL$2</f>
        <v>0</v>
      </c>
      <c r="AM232" s="88">
        <f>SUMIF(月間集計シート!$M$113:$M$132,$G232,月間集計シート!O$113:O$132)*AM$2</f>
        <v>0</v>
      </c>
      <c r="AN232" s="88">
        <f>SUMIF(月間集計シート!$M$113:$M$132,$G232,月間集計シート!P$113:P$132)*AN$2</f>
        <v>0</v>
      </c>
      <c r="AO232" s="88">
        <f>SUMIF(月間集計シート!$M$113:$M$132,$G232,月間集計シート!Q$113:Q$132)*AO$2</f>
        <v>0</v>
      </c>
      <c r="AP232" s="88">
        <f>SUMIF(月間集計シート!$M$113:$M$132,$G232,月間集計シート!R$113:R$132)*AP$2</f>
        <v>0</v>
      </c>
      <c r="AQ232" s="88">
        <f>SUMIF(月間集計シート!$M$113:$M$132,$G232,月間集計シート!S$113:S$132)*AQ$2</f>
        <v>0</v>
      </c>
      <c r="AR232" s="88">
        <f>SUMIF(月間集計シート!$M$113:$M$132,$G232,月間集計シート!T$113:T$132)*AR$2</f>
        <v>0</v>
      </c>
      <c r="AS232" s="88">
        <f>SUMIF(月間集計シート!$M$134:$M$153,$G232,月間集計シート!N$134:N$153)*AS$2</f>
        <v>0</v>
      </c>
      <c r="AT232" s="88">
        <f>SUMIF(月間集計シート!$M$134:$M$153,$G232,月間集計シート!O$134:O$153)*AT$2</f>
        <v>0</v>
      </c>
      <c r="AU232" s="88">
        <f>SUMIF(月間集計シート!$M$134:$M$153,$G232,月間集計シート!P$134:P$153)*AU$2</f>
        <v>0</v>
      </c>
      <c r="AV232" s="88">
        <f>SUMIF(月間集計シート!$M$134:$M$153,$G232,月間集計シート!Q$134:Q$153)*AV$2</f>
        <v>0</v>
      </c>
      <c r="AW232" s="88">
        <f>SUMIF(月間集計シート!$M$134:$M$153,$G232,月間集計シート!R$134:R$153)*AW$2</f>
        <v>0</v>
      </c>
      <c r="AX232" s="88">
        <f>SUMIF(月間集計シート!$M$134:$M$153,$G232,月間集計シート!S$134:S$153)*AX$2</f>
        <v>0</v>
      </c>
      <c r="AY232" s="88">
        <f>SUMIF(月間集計シート!$M$134:$M$153,$G232,月間集計シート!T$134:T$153)*AY$2</f>
        <v>0</v>
      </c>
    </row>
    <row r="233" spans="1:51" ht="14.25" thickBot="1">
      <c r="A233">
        <v>3</v>
      </c>
      <c r="B233" s="120">
        <f t="shared" si="77"/>
        <v>0</v>
      </c>
      <c r="C233" s="120" t="str">
        <f t="shared" si="78"/>
        <v/>
      </c>
      <c r="D233" s="137"/>
      <c r="E233" s="150">
        <f>工種!A55</f>
        <v>70106</v>
      </c>
      <c r="F233" s="119" t="str">
        <f>工種!B55</f>
        <v>外部不具合修正：打合せ</v>
      </c>
      <c r="G233" s="116" t="str">
        <f t="shared" si="79"/>
        <v>070106</v>
      </c>
      <c r="H233" s="88">
        <f t="shared" si="71"/>
        <v>0</v>
      </c>
      <c r="I233" s="132"/>
      <c r="J233" s="88">
        <f>SUMIF(月間集計シート!$M$29:$M$48,$G233,月間集計シート!N$29:N$48)*J$2</f>
        <v>0</v>
      </c>
      <c r="K233" s="88">
        <f>SUMIF(月間集計シート!$M$29:$M$48,$G233,月間集計シート!O$29:O$48)*K$2</f>
        <v>0</v>
      </c>
      <c r="L233" s="88">
        <f>SUMIF(月間集計シート!$M$29:$M$48,$G233,月間集計シート!P$29:P$48)*L$2</f>
        <v>0</v>
      </c>
      <c r="M233" s="88">
        <f>SUMIF(月間集計シート!$M$29:$M$48,$G233,月間集計シート!Q$29:Q$48)*M$2</f>
        <v>0</v>
      </c>
      <c r="N233" s="88">
        <f>SUMIF(月間集計シート!$M$29:$M$48,$G233,月間集計シート!R$29:R$48)*N$2</f>
        <v>0</v>
      </c>
      <c r="O233" s="88">
        <f>SUMIF(月間集計シート!$M$29:$M$48,$G233,月間集計シート!S$29:S$48)*O$2</f>
        <v>0</v>
      </c>
      <c r="P233" s="88">
        <f>SUMIF(月間集計シート!$M$29:$M$48,$G233,月間集計シート!T$29:T$48)*P$2</f>
        <v>0</v>
      </c>
      <c r="Q233" s="88">
        <f>SUMIF(月間集計シート!$M$50:$M$69,$G233,月間集計シート!N$50:N$69)*Q$2</f>
        <v>0</v>
      </c>
      <c r="R233" s="88">
        <f>SUMIF(月間集計シート!$M$50:$M$69,$G233,月間集計シート!O$50:O$69)*R$2</f>
        <v>0</v>
      </c>
      <c r="S233" s="88">
        <f>SUMIF(月間集計シート!$M$50:$M$69,$G233,月間集計シート!P$50:P$69)*S$2</f>
        <v>0</v>
      </c>
      <c r="T233" s="88">
        <f>SUMIF(月間集計シート!$M$50:$M$69,$G233,月間集計シート!Q$50:Q$69)*T$2</f>
        <v>0</v>
      </c>
      <c r="U233" s="88">
        <f>SUMIF(月間集計シート!$M$50:$M$69,$G233,月間集計シート!R$50:R$69)*U$2</f>
        <v>0</v>
      </c>
      <c r="V233" s="88">
        <f>SUMIF(月間集計シート!$M$50:$M$69,$G233,月間集計シート!S$50:S$69)*V$2</f>
        <v>0</v>
      </c>
      <c r="W233" s="88">
        <f>SUMIF(月間集計シート!$M$50:$M$69,$G233,月間集計シート!T$50:T$69)*W$2</f>
        <v>0</v>
      </c>
      <c r="X233" s="88">
        <f>SUMIF(月間集計シート!$M$71:$M$90,$G233,月間集計シート!N$71:N$90)*X$2</f>
        <v>0</v>
      </c>
      <c r="Y233" s="88">
        <f>SUMIF(月間集計シート!$M$71:$M$90,$G233,月間集計シート!O$71:O$90)*Y$2</f>
        <v>0</v>
      </c>
      <c r="Z233" s="88">
        <f>SUMIF(月間集計シート!$M$71:$M$90,$G233,月間集計シート!P$71:P$90)*Z$2</f>
        <v>0</v>
      </c>
      <c r="AA233" s="88">
        <f>SUMIF(月間集計シート!$M$71:$M$90,$G233,月間集計シート!Q$71:Q$90)*AA$2</f>
        <v>0</v>
      </c>
      <c r="AB233" s="88">
        <f>SUMIF(月間集計シート!$M$71:$M$90,$G233,月間集計シート!R$71:R$90)*AB$2</f>
        <v>0</v>
      </c>
      <c r="AC233" s="88">
        <f>SUMIF(月間集計シート!$M$71:$M$90,$G233,月間集計シート!S$71:S$90)*AC$2</f>
        <v>0</v>
      </c>
      <c r="AD233" s="88">
        <f>SUMIF(月間集計シート!$M$71:$M$90,$G233,月間集計シート!T$71:T$90)*AD$2</f>
        <v>0</v>
      </c>
      <c r="AE233" s="88">
        <f>SUMIF(月間集計シート!$M$92:$M$111,$G233,月間集計シート!N$92:N$111)*AE$2</f>
        <v>0</v>
      </c>
      <c r="AF233" s="88">
        <f>SUMIF(月間集計シート!$M$92:$M$111,$G233,月間集計シート!O$92:O$111)*AF$2</f>
        <v>0</v>
      </c>
      <c r="AG233" s="88">
        <f>SUMIF(月間集計シート!$M$92:$M$111,$G233,月間集計シート!P$92:P$111)*AG$2</f>
        <v>0</v>
      </c>
      <c r="AH233" s="88">
        <f>SUMIF(月間集計シート!$M$92:$M$111,$G233,月間集計シート!Q$92:Q$111)*AH$2</f>
        <v>0</v>
      </c>
      <c r="AI233" s="88">
        <f>SUMIF(月間集計シート!$M$92:$M$111,$G233,月間集計シート!R$92:R$111)*AI$2</f>
        <v>0</v>
      </c>
      <c r="AJ233" s="88">
        <f>SUMIF(月間集計シート!$M$92:$M$111,$G233,月間集計シート!S$92:S$111)*AJ$2</f>
        <v>0</v>
      </c>
      <c r="AK233" s="88">
        <f>SUMIF(月間集計シート!$M$92:$M$111,$G233,月間集計シート!T$92:T$111)*AK$2</f>
        <v>0</v>
      </c>
      <c r="AL233" s="88">
        <f>SUMIF(月間集計シート!$M$113:$M$132,$G233,月間集計シート!N$113:N$132)*AL$2</f>
        <v>0</v>
      </c>
      <c r="AM233" s="88">
        <f>SUMIF(月間集計シート!$M$113:$M$132,$G233,月間集計シート!O$113:O$132)*AM$2</f>
        <v>0</v>
      </c>
      <c r="AN233" s="88">
        <f>SUMIF(月間集計シート!$M$113:$M$132,$G233,月間集計シート!P$113:P$132)*AN$2</f>
        <v>0</v>
      </c>
      <c r="AO233" s="88">
        <f>SUMIF(月間集計シート!$M$113:$M$132,$G233,月間集計シート!Q$113:Q$132)*AO$2</f>
        <v>0</v>
      </c>
      <c r="AP233" s="88">
        <f>SUMIF(月間集計シート!$M$113:$M$132,$G233,月間集計シート!R$113:R$132)*AP$2</f>
        <v>0</v>
      </c>
      <c r="AQ233" s="88">
        <f>SUMIF(月間集計シート!$M$113:$M$132,$G233,月間集計シート!S$113:S$132)*AQ$2</f>
        <v>0</v>
      </c>
      <c r="AR233" s="88">
        <f>SUMIF(月間集計シート!$M$113:$M$132,$G233,月間集計シート!T$113:T$132)*AR$2</f>
        <v>0</v>
      </c>
      <c r="AS233" s="88">
        <f>SUMIF(月間集計シート!$M$134:$M$153,$G233,月間集計シート!N$134:N$153)*AS$2</f>
        <v>0</v>
      </c>
      <c r="AT233" s="88">
        <f>SUMIF(月間集計シート!$M$134:$M$153,$G233,月間集計シート!O$134:O$153)*AT$2</f>
        <v>0</v>
      </c>
      <c r="AU233" s="88">
        <f>SUMIF(月間集計シート!$M$134:$M$153,$G233,月間集計シート!P$134:P$153)*AU$2</f>
        <v>0</v>
      </c>
      <c r="AV233" s="88">
        <f>SUMIF(月間集計シート!$M$134:$M$153,$G233,月間集計シート!Q$134:Q$153)*AV$2</f>
        <v>0</v>
      </c>
      <c r="AW233" s="88">
        <f>SUMIF(月間集計シート!$M$134:$M$153,$G233,月間集計シート!R$134:R$153)*AW$2</f>
        <v>0</v>
      </c>
      <c r="AX233" s="88">
        <f>SUMIF(月間集計シート!$M$134:$M$153,$G233,月間集計シート!S$134:S$153)*AX$2</f>
        <v>0</v>
      </c>
      <c r="AY233" s="88">
        <f>SUMIF(月間集計シート!$M$134:$M$153,$G233,月間集計シート!T$134:T$153)*AY$2</f>
        <v>0</v>
      </c>
    </row>
    <row r="234" spans="1:51" ht="14.25" thickBot="1">
      <c r="A234">
        <v>3</v>
      </c>
      <c r="B234" s="120">
        <f t="shared" si="77"/>
        <v>0</v>
      </c>
      <c r="C234" s="120" t="str">
        <f t="shared" si="78"/>
        <v/>
      </c>
      <c r="D234" s="137"/>
      <c r="E234" s="150">
        <f>工種!A56</f>
        <v>70109</v>
      </c>
      <c r="F234" s="119" t="str">
        <f>工種!B56</f>
        <v>外部不具合修正：レビュー</v>
      </c>
      <c r="G234" s="116" t="str">
        <f t="shared" si="79"/>
        <v>070109</v>
      </c>
      <c r="H234" s="88">
        <f t="shared" si="71"/>
        <v>0</v>
      </c>
      <c r="I234" s="132"/>
      <c r="J234" s="88">
        <f>SUMIF(月間集計シート!$M$29:$M$48,$G234,月間集計シート!N$29:N$48)*J$2</f>
        <v>0</v>
      </c>
      <c r="K234" s="88">
        <f>SUMIF(月間集計シート!$M$29:$M$48,$G234,月間集計シート!O$29:O$48)*K$2</f>
        <v>0</v>
      </c>
      <c r="L234" s="88">
        <f>SUMIF(月間集計シート!$M$29:$M$48,$G234,月間集計シート!P$29:P$48)*L$2</f>
        <v>0</v>
      </c>
      <c r="M234" s="88">
        <f>SUMIF(月間集計シート!$M$29:$M$48,$G234,月間集計シート!Q$29:Q$48)*M$2</f>
        <v>0</v>
      </c>
      <c r="N234" s="88">
        <f>SUMIF(月間集計シート!$M$29:$M$48,$G234,月間集計シート!R$29:R$48)*N$2</f>
        <v>0</v>
      </c>
      <c r="O234" s="88">
        <f>SUMIF(月間集計シート!$M$29:$M$48,$G234,月間集計シート!S$29:S$48)*O$2</f>
        <v>0</v>
      </c>
      <c r="P234" s="88">
        <f>SUMIF(月間集計シート!$M$29:$M$48,$G234,月間集計シート!T$29:T$48)*P$2</f>
        <v>0</v>
      </c>
      <c r="Q234" s="88">
        <f>SUMIF(月間集計シート!$M$50:$M$69,$G234,月間集計シート!N$50:N$69)*Q$2</f>
        <v>0</v>
      </c>
      <c r="R234" s="88">
        <f>SUMIF(月間集計シート!$M$50:$M$69,$G234,月間集計シート!O$50:O$69)*R$2</f>
        <v>0</v>
      </c>
      <c r="S234" s="88">
        <f>SUMIF(月間集計シート!$M$50:$M$69,$G234,月間集計シート!P$50:P$69)*S$2</f>
        <v>0</v>
      </c>
      <c r="T234" s="88">
        <f>SUMIF(月間集計シート!$M$50:$M$69,$G234,月間集計シート!Q$50:Q$69)*T$2</f>
        <v>0</v>
      </c>
      <c r="U234" s="88">
        <f>SUMIF(月間集計シート!$M$50:$M$69,$G234,月間集計シート!R$50:R$69)*U$2</f>
        <v>0</v>
      </c>
      <c r="V234" s="88">
        <f>SUMIF(月間集計シート!$M$50:$M$69,$G234,月間集計シート!S$50:S$69)*V$2</f>
        <v>0</v>
      </c>
      <c r="W234" s="88">
        <f>SUMIF(月間集計シート!$M$50:$M$69,$G234,月間集計シート!T$50:T$69)*W$2</f>
        <v>0</v>
      </c>
      <c r="X234" s="88">
        <f>SUMIF(月間集計シート!$M$71:$M$90,$G234,月間集計シート!N$71:N$90)*X$2</f>
        <v>0</v>
      </c>
      <c r="Y234" s="88">
        <f>SUMIF(月間集計シート!$M$71:$M$90,$G234,月間集計シート!O$71:O$90)*Y$2</f>
        <v>0</v>
      </c>
      <c r="Z234" s="88">
        <f>SUMIF(月間集計シート!$M$71:$M$90,$G234,月間集計シート!P$71:P$90)*Z$2</f>
        <v>0</v>
      </c>
      <c r="AA234" s="88">
        <f>SUMIF(月間集計シート!$M$71:$M$90,$G234,月間集計シート!Q$71:Q$90)*AA$2</f>
        <v>0</v>
      </c>
      <c r="AB234" s="88">
        <f>SUMIF(月間集計シート!$M$71:$M$90,$G234,月間集計シート!R$71:R$90)*AB$2</f>
        <v>0</v>
      </c>
      <c r="AC234" s="88">
        <f>SUMIF(月間集計シート!$M$71:$M$90,$G234,月間集計シート!S$71:S$90)*AC$2</f>
        <v>0</v>
      </c>
      <c r="AD234" s="88">
        <f>SUMIF(月間集計シート!$M$71:$M$90,$G234,月間集計シート!T$71:T$90)*AD$2</f>
        <v>0</v>
      </c>
      <c r="AE234" s="88">
        <f>SUMIF(月間集計シート!$M$92:$M$111,$G234,月間集計シート!N$92:N$111)*AE$2</f>
        <v>0</v>
      </c>
      <c r="AF234" s="88">
        <f>SUMIF(月間集計シート!$M$92:$M$111,$G234,月間集計シート!O$92:O$111)*AF$2</f>
        <v>0</v>
      </c>
      <c r="AG234" s="88">
        <f>SUMIF(月間集計シート!$M$92:$M$111,$G234,月間集計シート!P$92:P$111)*AG$2</f>
        <v>0</v>
      </c>
      <c r="AH234" s="88">
        <f>SUMIF(月間集計シート!$M$92:$M$111,$G234,月間集計シート!Q$92:Q$111)*AH$2</f>
        <v>0</v>
      </c>
      <c r="AI234" s="88">
        <f>SUMIF(月間集計シート!$M$92:$M$111,$G234,月間集計シート!R$92:R$111)*AI$2</f>
        <v>0</v>
      </c>
      <c r="AJ234" s="88">
        <f>SUMIF(月間集計シート!$M$92:$M$111,$G234,月間集計シート!S$92:S$111)*AJ$2</f>
        <v>0</v>
      </c>
      <c r="AK234" s="88">
        <f>SUMIF(月間集計シート!$M$92:$M$111,$G234,月間集計シート!T$92:T$111)*AK$2</f>
        <v>0</v>
      </c>
      <c r="AL234" s="88">
        <f>SUMIF(月間集計シート!$M$113:$M$132,$G234,月間集計シート!N$113:N$132)*AL$2</f>
        <v>0</v>
      </c>
      <c r="AM234" s="88">
        <f>SUMIF(月間集計シート!$M$113:$M$132,$G234,月間集計シート!O$113:O$132)*AM$2</f>
        <v>0</v>
      </c>
      <c r="AN234" s="88">
        <f>SUMIF(月間集計シート!$M$113:$M$132,$G234,月間集計シート!P$113:P$132)*AN$2</f>
        <v>0</v>
      </c>
      <c r="AO234" s="88">
        <f>SUMIF(月間集計シート!$M$113:$M$132,$G234,月間集計シート!Q$113:Q$132)*AO$2</f>
        <v>0</v>
      </c>
      <c r="AP234" s="88">
        <f>SUMIF(月間集計シート!$M$113:$M$132,$G234,月間集計シート!R$113:R$132)*AP$2</f>
        <v>0</v>
      </c>
      <c r="AQ234" s="88">
        <f>SUMIF(月間集計シート!$M$113:$M$132,$G234,月間集計シート!S$113:S$132)*AQ$2</f>
        <v>0</v>
      </c>
      <c r="AR234" s="88">
        <f>SUMIF(月間集計シート!$M$113:$M$132,$G234,月間集計シート!T$113:T$132)*AR$2</f>
        <v>0</v>
      </c>
      <c r="AS234" s="88">
        <f>SUMIF(月間集計シート!$M$134:$M$153,$G234,月間集計シート!N$134:N$153)*AS$2</f>
        <v>0</v>
      </c>
      <c r="AT234" s="88">
        <f>SUMIF(月間集計シート!$M$134:$M$153,$G234,月間集計シート!O$134:O$153)*AT$2</f>
        <v>0</v>
      </c>
      <c r="AU234" s="88">
        <f>SUMIF(月間集計シート!$M$134:$M$153,$G234,月間集計シート!P$134:P$153)*AU$2</f>
        <v>0</v>
      </c>
      <c r="AV234" s="88">
        <f>SUMIF(月間集計シート!$M$134:$M$153,$G234,月間集計シート!Q$134:Q$153)*AV$2</f>
        <v>0</v>
      </c>
      <c r="AW234" s="88">
        <f>SUMIF(月間集計シート!$M$134:$M$153,$G234,月間集計シート!R$134:R$153)*AW$2</f>
        <v>0</v>
      </c>
      <c r="AX234" s="88">
        <f>SUMIF(月間集計シート!$M$134:$M$153,$G234,月間集計シート!S$134:S$153)*AX$2</f>
        <v>0</v>
      </c>
      <c r="AY234" s="88">
        <f>SUMIF(月間集計シート!$M$134:$M$153,$G234,月間集計シート!T$134:T$153)*AY$2</f>
        <v>0</v>
      </c>
    </row>
    <row r="235" spans="1:51" ht="14.25" thickBot="1">
      <c r="A235">
        <v>3</v>
      </c>
      <c r="B235" s="120">
        <f t="shared" si="77"/>
        <v>0</v>
      </c>
      <c r="C235" s="120" t="str">
        <f t="shared" si="78"/>
        <v/>
      </c>
      <c r="D235" s="137"/>
      <c r="E235" s="150">
        <f>工種!A57</f>
        <v>70189</v>
      </c>
      <c r="F235" s="119" t="str">
        <f>工種!B57</f>
        <v>外部不具合修正：外部不具合分析</v>
      </c>
      <c r="G235" s="116" t="str">
        <f t="shared" si="79"/>
        <v>070189</v>
      </c>
      <c r="H235" s="88">
        <f t="shared" si="71"/>
        <v>0</v>
      </c>
      <c r="I235" s="132"/>
      <c r="J235" s="88">
        <f>SUMIF(月間集計シート!$M$29:$M$48,$G235,月間集計シート!N$29:N$48)*J$2</f>
        <v>0</v>
      </c>
      <c r="K235" s="88">
        <f>SUMIF(月間集計シート!$M$29:$M$48,$G235,月間集計シート!O$29:O$48)*K$2</f>
        <v>0</v>
      </c>
      <c r="L235" s="88">
        <f>SUMIF(月間集計シート!$M$29:$M$48,$G235,月間集計シート!P$29:P$48)*L$2</f>
        <v>0</v>
      </c>
      <c r="M235" s="88">
        <f>SUMIF(月間集計シート!$M$29:$M$48,$G235,月間集計シート!Q$29:Q$48)*M$2</f>
        <v>0</v>
      </c>
      <c r="N235" s="88">
        <f>SUMIF(月間集計シート!$M$29:$M$48,$G235,月間集計シート!R$29:R$48)*N$2</f>
        <v>0</v>
      </c>
      <c r="O235" s="88">
        <f>SUMIF(月間集計シート!$M$29:$M$48,$G235,月間集計シート!S$29:S$48)*O$2</f>
        <v>0</v>
      </c>
      <c r="P235" s="88">
        <f>SUMIF(月間集計シート!$M$29:$M$48,$G235,月間集計シート!T$29:T$48)*P$2</f>
        <v>0</v>
      </c>
      <c r="Q235" s="88">
        <f>SUMIF(月間集計シート!$M$50:$M$69,$G235,月間集計シート!N$50:N$69)*Q$2</f>
        <v>0</v>
      </c>
      <c r="R235" s="88">
        <f>SUMIF(月間集計シート!$M$50:$M$69,$G235,月間集計シート!O$50:O$69)*R$2</f>
        <v>0</v>
      </c>
      <c r="S235" s="88">
        <f>SUMIF(月間集計シート!$M$50:$M$69,$G235,月間集計シート!P$50:P$69)*S$2</f>
        <v>0</v>
      </c>
      <c r="T235" s="88">
        <f>SUMIF(月間集計シート!$M$50:$M$69,$G235,月間集計シート!Q$50:Q$69)*T$2</f>
        <v>0</v>
      </c>
      <c r="U235" s="88">
        <f>SUMIF(月間集計シート!$M$50:$M$69,$G235,月間集計シート!R$50:R$69)*U$2</f>
        <v>0</v>
      </c>
      <c r="V235" s="88">
        <f>SUMIF(月間集計シート!$M$50:$M$69,$G235,月間集計シート!S$50:S$69)*V$2</f>
        <v>0</v>
      </c>
      <c r="W235" s="88">
        <f>SUMIF(月間集計シート!$M$50:$M$69,$G235,月間集計シート!T$50:T$69)*W$2</f>
        <v>0</v>
      </c>
      <c r="X235" s="88">
        <f>SUMIF(月間集計シート!$M$71:$M$90,$G235,月間集計シート!N$71:N$90)*X$2</f>
        <v>0</v>
      </c>
      <c r="Y235" s="88">
        <f>SUMIF(月間集計シート!$M$71:$M$90,$G235,月間集計シート!O$71:O$90)*Y$2</f>
        <v>0</v>
      </c>
      <c r="Z235" s="88">
        <f>SUMIF(月間集計シート!$M$71:$M$90,$G235,月間集計シート!P$71:P$90)*Z$2</f>
        <v>0</v>
      </c>
      <c r="AA235" s="88">
        <f>SUMIF(月間集計シート!$M$71:$M$90,$G235,月間集計シート!Q$71:Q$90)*AA$2</f>
        <v>0</v>
      </c>
      <c r="AB235" s="88">
        <f>SUMIF(月間集計シート!$M$71:$M$90,$G235,月間集計シート!R$71:R$90)*AB$2</f>
        <v>0</v>
      </c>
      <c r="AC235" s="88">
        <f>SUMIF(月間集計シート!$M$71:$M$90,$G235,月間集計シート!S$71:S$90)*AC$2</f>
        <v>0</v>
      </c>
      <c r="AD235" s="88">
        <f>SUMIF(月間集計シート!$M$71:$M$90,$G235,月間集計シート!T$71:T$90)*AD$2</f>
        <v>0</v>
      </c>
      <c r="AE235" s="88">
        <f>SUMIF(月間集計シート!$M$92:$M$111,$G235,月間集計シート!N$92:N$111)*AE$2</f>
        <v>0</v>
      </c>
      <c r="AF235" s="88">
        <f>SUMIF(月間集計シート!$M$92:$M$111,$G235,月間集計シート!O$92:O$111)*AF$2</f>
        <v>0</v>
      </c>
      <c r="AG235" s="88">
        <f>SUMIF(月間集計シート!$M$92:$M$111,$G235,月間集計シート!P$92:P$111)*AG$2</f>
        <v>0</v>
      </c>
      <c r="AH235" s="88">
        <f>SUMIF(月間集計シート!$M$92:$M$111,$G235,月間集計シート!Q$92:Q$111)*AH$2</f>
        <v>0</v>
      </c>
      <c r="AI235" s="88">
        <f>SUMIF(月間集計シート!$M$92:$M$111,$G235,月間集計シート!R$92:R$111)*AI$2</f>
        <v>0</v>
      </c>
      <c r="AJ235" s="88">
        <f>SUMIF(月間集計シート!$M$92:$M$111,$G235,月間集計シート!S$92:S$111)*AJ$2</f>
        <v>0</v>
      </c>
      <c r="AK235" s="88">
        <f>SUMIF(月間集計シート!$M$92:$M$111,$G235,月間集計シート!T$92:T$111)*AK$2</f>
        <v>0</v>
      </c>
      <c r="AL235" s="88">
        <f>SUMIF(月間集計シート!$M$113:$M$132,$G235,月間集計シート!N$113:N$132)*AL$2</f>
        <v>0</v>
      </c>
      <c r="AM235" s="88">
        <f>SUMIF(月間集計シート!$M$113:$M$132,$G235,月間集計シート!O$113:O$132)*AM$2</f>
        <v>0</v>
      </c>
      <c r="AN235" s="88">
        <f>SUMIF(月間集計シート!$M$113:$M$132,$G235,月間集計シート!P$113:P$132)*AN$2</f>
        <v>0</v>
      </c>
      <c r="AO235" s="88">
        <f>SUMIF(月間集計シート!$M$113:$M$132,$G235,月間集計シート!Q$113:Q$132)*AO$2</f>
        <v>0</v>
      </c>
      <c r="AP235" s="88">
        <f>SUMIF(月間集計シート!$M$113:$M$132,$G235,月間集計シート!R$113:R$132)*AP$2</f>
        <v>0</v>
      </c>
      <c r="AQ235" s="88">
        <f>SUMIF(月間集計シート!$M$113:$M$132,$G235,月間集計シート!S$113:S$132)*AQ$2</f>
        <v>0</v>
      </c>
      <c r="AR235" s="88">
        <f>SUMIF(月間集計シート!$M$113:$M$132,$G235,月間集計シート!T$113:T$132)*AR$2</f>
        <v>0</v>
      </c>
      <c r="AS235" s="88">
        <f>SUMIF(月間集計シート!$M$134:$M$153,$G235,月間集計シート!N$134:N$153)*AS$2</f>
        <v>0</v>
      </c>
      <c r="AT235" s="88">
        <f>SUMIF(月間集計シート!$M$134:$M$153,$G235,月間集計シート!O$134:O$153)*AT$2</f>
        <v>0</v>
      </c>
      <c r="AU235" s="88">
        <f>SUMIF(月間集計シート!$M$134:$M$153,$G235,月間集計シート!P$134:P$153)*AU$2</f>
        <v>0</v>
      </c>
      <c r="AV235" s="88">
        <f>SUMIF(月間集計シート!$M$134:$M$153,$G235,月間集計シート!Q$134:Q$153)*AV$2</f>
        <v>0</v>
      </c>
      <c r="AW235" s="88">
        <f>SUMIF(月間集計シート!$M$134:$M$153,$G235,月間集計シート!R$134:R$153)*AW$2</f>
        <v>0</v>
      </c>
      <c r="AX235" s="88">
        <f>SUMIF(月間集計シート!$M$134:$M$153,$G235,月間集計シート!S$134:S$153)*AX$2</f>
        <v>0</v>
      </c>
      <c r="AY235" s="88">
        <f>SUMIF(月間集計シート!$M$134:$M$153,$G235,月間集計シート!T$134:T$153)*AY$2</f>
        <v>0</v>
      </c>
    </row>
    <row r="236" spans="1:51" ht="14.25" thickBot="1">
      <c r="A236">
        <v>3</v>
      </c>
      <c r="B236" s="120">
        <f t="shared" si="77"/>
        <v>0</v>
      </c>
      <c r="C236" s="120" t="str">
        <f t="shared" si="78"/>
        <v/>
      </c>
      <c r="D236" s="137"/>
      <c r="E236" s="150">
        <f>工種!A58</f>
        <v>70199</v>
      </c>
      <c r="F236" s="119" t="str">
        <f>工種!B58</f>
        <v>外部不具合修正：その他</v>
      </c>
      <c r="G236" s="116" t="str">
        <f t="shared" si="79"/>
        <v>070199</v>
      </c>
      <c r="H236" s="88">
        <f t="shared" si="71"/>
        <v>0</v>
      </c>
      <c r="I236" s="132"/>
      <c r="J236" s="88">
        <f>SUMIF(月間集計シート!$M$29:$M$48,$G236,月間集計シート!N$29:N$48)*J$2</f>
        <v>0</v>
      </c>
      <c r="K236" s="88">
        <f>SUMIF(月間集計シート!$M$29:$M$48,$G236,月間集計シート!O$29:O$48)*K$2</f>
        <v>0</v>
      </c>
      <c r="L236" s="88">
        <f>SUMIF(月間集計シート!$M$29:$M$48,$G236,月間集計シート!P$29:P$48)*L$2</f>
        <v>0</v>
      </c>
      <c r="M236" s="88">
        <f>SUMIF(月間集計シート!$M$29:$M$48,$G236,月間集計シート!Q$29:Q$48)*M$2</f>
        <v>0</v>
      </c>
      <c r="N236" s="88">
        <f>SUMIF(月間集計シート!$M$29:$M$48,$G236,月間集計シート!R$29:R$48)*N$2</f>
        <v>0</v>
      </c>
      <c r="O236" s="88">
        <f>SUMIF(月間集計シート!$M$29:$M$48,$G236,月間集計シート!S$29:S$48)*O$2</f>
        <v>0</v>
      </c>
      <c r="P236" s="88">
        <f>SUMIF(月間集計シート!$M$29:$M$48,$G236,月間集計シート!T$29:T$48)*P$2</f>
        <v>0</v>
      </c>
      <c r="Q236" s="88">
        <f>SUMIF(月間集計シート!$M$50:$M$69,$G236,月間集計シート!N$50:N$69)*Q$2</f>
        <v>0</v>
      </c>
      <c r="R236" s="88">
        <f>SUMIF(月間集計シート!$M$50:$M$69,$G236,月間集計シート!O$50:O$69)*R$2</f>
        <v>0</v>
      </c>
      <c r="S236" s="88">
        <f>SUMIF(月間集計シート!$M$50:$M$69,$G236,月間集計シート!P$50:P$69)*S$2</f>
        <v>0</v>
      </c>
      <c r="T236" s="88">
        <f>SUMIF(月間集計シート!$M$50:$M$69,$G236,月間集計シート!Q$50:Q$69)*T$2</f>
        <v>0</v>
      </c>
      <c r="U236" s="88">
        <f>SUMIF(月間集計シート!$M$50:$M$69,$G236,月間集計シート!R$50:R$69)*U$2</f>
        <v>0</v>
      </c>
      <c r="V236" s="88">
        <f>SUMIF(月間集計シート!$M$50:$M$69,$G236,月間集計シート!S$50:S$69)*V$2</f>
        <v>0</v>
      </c>
      <c r="W236" s="88">
        <f>SUMIF(月間集計シート!$M$50:$M$69,$G236,月間集計シート!T$50:T$69)*W$2</f>
        <v>0</v>
      </c>
      <c r="X236" s="88">
        <f>SUMIF(月間集計シート!$M$71:$M$90,$G236,月間集計シート!N$71:N$90)*X$2</f>
        <v>0</v>
      </c>
      <c r="Y236" s="88">
        <f>SUMIF(月間集計シート!$M$71:$M$90,$G236,月間集計シート!O$71:O$90)*Y$2</f>
        <v>0</v>
      </c>
      <c r="Z236" s="88">
        <f>SUMIF(月間集計シート!$M$71:$M$90,$G236,月間集計シート!P$71:P$90)*Z$2</f>
        <v>0</v>
      </c>
      <c r="AA236" s="88">
        <f>SUMIF(月間集計シート!$M$71:$M$90,$G236,月間集計シート!Q$71:Q$90)*AA$2</f>
        <v>0</v>
      </c>
      <c r="AB236" s="88">
        <f>SUMIF(月間集計シート!$M$71:$M$90,$G236,月間集計シート!R$71:R$90)*AB$2</f>
        <v>0</v>
      </c>
      <c r="AC236" s="88">
        <f>SUMIF(月間集計シート!$M$71:$M$90,$G236,月間集計シート!S$71:S$90)*AC$2</f>
        <v>0</v>
      </c>
      <c r="AD236" s="88">
        <f>SUMIF(月間集計シート!$M$71:$M$90,$G236,月間集計シート!T$71:T$90)*AD$2</f>
        <v>0</v>
      </c>
      <c r="AE236" s="88">
        <f>SUMIF(月間集計シート!$M$92:$M$111,$G236,月間集計シート!N$92:N$111)*AE$2</f>
        <v>0</v>
      </c>
      <c r="AF236" s="88">
        <f>SUMIF(月間集計シート!$M$92:$M$111,$G236,月間集計シート!O$92:O$111)*AF$2</f>
        <v>0</v>
      </c>
      <c r="AG236" s="88">
        <f>SUMIF(月間集計シート!$M$92:$M$111,$G236,月間集計シート!P$92:P$111)*AG$2</f>
        <v>0</v>
      </c>
      <c r="AH236" s="88">
        <f>SUMIF(月間集計シート!$M$92:$M$111,$G236,月間集計シート!Q$92:Q$111)*AH$2</f>
        <v>0</v>
      </c>
      <c r="AI236" s="88">
        <f>SUMIF(月間集計シート!$M$92:$M$111,$G236,月間集計シート!R$92:R$111)*AI$2</f>
        <v>0</v>
      </c>
      <c r="AJ236" s="88">
        <f>SUMIF(月間集計シート!$M$92:$M$111,$G236,月間集計シート!S$92:S$111)*AJ$2</f>
        <v>0</v>
      </c>
      <c r="AK236" s="88">
        <f>SUMIF(月間集計シート!$M$92:$M$111,$G236,月間集計シート!T$92:T$111)*AK$2</f>
        <v>0</v>
      </c>
      <c r="AL236" s="88">
        <f>SUMIF(月間集計シート!$M$113:$M$132,$G236,月間集計シート!N$113:N$132)*AL$2</f>
        <v>0</v>
      </c>
      <c r="AM236" s="88">
        <f>SUMIF(月間集計シート!$M$113:$M$132,$G236,月間集計シート!O$113:O$132)*AM$2</f>
        <v>0</v>
      </c>
      <c r="AN236" s="88">
        <f>SUMIF(月間集計シート!$M$113:$M$132,$G236,月間集計シート!P$113:P$132)*AN$2</f>
        <v>0</v>
      </c>
      <c r="AO236" s="88">
        <f>SUMIF(月間集計シート!$M$113:$M$132,$G236,月間集計シート!Q$113:Q$132)*AO$2</f>
        <v>0</v>
      </c>
      <c r="AP236" s="88">
        <f>SUMIF(月間集計シート!$M$113:$M$132,$G236,月間集計シート!R$113:R$132)*AP$2</f>
        <v>0</v>
      </c>
      <c r="AQ236" s="88">
        <f>SUMIF(月間集計シート!$M$113:$M$132,$G236,月間集計シート!S$113:S$132)*AQ$2</f>
        <v>0</v>
      </c>
      <c r="AR236" s="88">
        <f>SUMIF(月間集計シート!$M$113:$M$132,$G236,月間集計シート!T$113:T$132)*AR$2</f>
        <v>0</v>
      </c>
      <c r="AS236" s="88">
        <f>SUMIF(月間集計シート!$M$134:$M$153,$G236,月間集計シート!N$134:N$153)*AS$2</f>
        <v>0</v>
      </c>
      <c r="AT236" s="88">
        <f>SUMIF(月間集計シート!$M$134:$M$153,$G236,月間集計シート!O$134:O$153)*AT$2</f>
        <v>0</v>
      </c>
      <c r="AU236" s="88">
        <f>SUMIF(月間集計シート!$M$134:$M$153,$G236,月間集計シート!P$134:P$153)*AU$2</f>
        <v>0</v>
      </c>
      <c r="AV236" s="88">
        <f>SUMIF(月間集計シート!$M$134:$M$153,$G236,月間集計シート!Q$134:Q$153)*AV$2</f>
        <v>0</v>
      </c>
      <c r="AW236" s="88">
        <f>SUMIF(月間集計シート!$M$134:$M$153,$G236,月間集計シート!R$134:R$153)*AW$2</f>
        <v>0</v>
      </c>
      <c r="AX236" s="88">
        <f>SUMIF(月間集計シート!$M$134:$M$153,$G236,月間集計シート!S$134:S$153)*AX$2</f>
        <v>0</v>
      </c>
      <c r="AY236" s="88">
        <f>SUMIF(月間集計シート!$M$134:$M$153,$G236,月間集計シート!T$134:T$153)*AY$2</f>
        <v>0</v>
      </c>
    </row>
    <row r="237" spans="1:51" ht="14.25" thickBot="1">
      <c r="A237">
        <v>3</v>
      </c>
      <c r="B237" s="120">
        <f t="shared" si="77"/>
        <v>0</v>
      </c>
      <c r="C237" s="120" t="str">
        <f t="shared" si="78"/>
        <v/>
      </c>
      <c r="D237" s="137"/>
      <c r="E237" s="150" t="str">
        <f>工種!A59</f>
        <v>80101</v>
      </c>
      <c r="F237" s="119" t="str">
        <f>工種!B59</f>
        <v>保守／ｻﾎﾟｰﾄ：調査</v>
      </c>
      <c r="G237" s="116" t="str">
        <f t="shared" si="79"/>
        <v>080101</v>
      </c>
      <c r="H237" s="88">
        <f t="shared" si="71"/>
        <v>0</v>
      </c>
      <c r="I237" s="132"/>
      <c r="J237" s="88">
        <f>SUMIF(月間集計シート!$M$29:$M$48,$G237,月間集計シート!N$29:N$48)*J$2</f>
        <v>0</v>
      </c>
      <c r="K237" s="88">
        <f>SUMIF(月間集計シート!$M$29:$M$48,$G237,月間集計シート!O$29:O$48)*K$2</f>
        <v>0</v>
      </c>
      <c r="L237" s="88">
        <f>SUMIF(月間集計シート!$M$29:$M$48,$G237,月間集計シート!P$29:P$48)*L$2</f>
        <v>0</v>
      </c>
      <c r="M237" s="88">
        <f>SUMIF(月間集計シート!$M$29:$M$48,$G237,月間集計シート!Q$29:Q$48)*M$2</f>
        <v>0</v>
      </c>
      <c r="N237" s="88">
        <f>SUMIF(月間集計シート!$M$29:$M$48,$G237,月間集計シート!R$29:R$48)*N$2</f>
        <v>0</v>
      </c>
      <c r="O237" s="88">
        <f>SUMIF(月間集計シート!$M$29:$M$48,$G237,月間集計シート!S$29:S$48)*O$2</f>
        <v>0</v>
      </c>
      <c r="P237" s="88">
        <f>SUMIF(月間集計シート!$M$29:$M$48,$G237,月間集計シート!T$29:T$48)*P$2</f>
        <v>0</v>
      </c>
      <c r="Q237" s="88">
        <f>SUMIF(月間集計シート!$M$50:$M$69,$G237,月間集計シート!N$50:N$69)*Q$2</f>
        <v>0</v>
      </c>
      <c r="R237" s="88">
        <f>SUMIF(月間集計シート!$M$50:$M$69,$G237,月間集計シート!O$50:O$69)*R$2</f>
        <v>0</v>
      </c>
      <c r="S237" s="88">
        <f>SUMIF(月間集計シート!$M$50:$M$69,$G237,月間集計シート!P$50:P$69)*S$2</f>
        <v>0</v>
      </c>
      <c r="T237" s="88">
        <f>SUMIF(月間集計シート!$M$50:$M$69,$G237,月間集計シート!Q$50:Q$69)*T$2</f>
        <v>0</v>
      </c>
      <c r="U237" s="88">
        <f>SUMIF(月間集計シート!$M$50:$M$69,$G237,月間集計シート!R$50:R$69)*U$2</f>
        <v>0</v>
      </c>
      <c r="V237" s="88">
        <f>SUMIF(月間集計シート!$M$50:$M$69,$G237,月間集計シート!S$50:S$69)*V$2</f>
        <v>0</v>
      </c>
      <c r="W237" s="88">
        <f>SUMIF(月間集計シート!$M$50:$M$69,$G237,月間集計シート!T$50:T$69)*W$2</f>
        <v>0</v>
      </c>
      <c r="X237" s="88">
        <f>SUMIF(月間集計シート!$M$71:$M$90,$G237,月間集計シート!N$71:N$90)*X$2</f>
        <v>0</v>
      </c>
      <c r="Y237" s="88">
        <f>SUMIF(月間集計シート!$M$71:$M$90,$G237,月間集計シート!O$71:O$90)*Y$2</f>
        <v>0</v>
      </c>
      <c r="Z237" s="88">
        <f>SUMIF(月間集計シート!$M$71:$M$90,$G237,月間集計シート!P$71:P$90)*Z$2</f>
        <v>0</v>
      </c>
      <c r="AA237" s="88">
        <f>SUMIF(月間集計シート!$M$71:$M$90,$G237,月間集計シート!Q$71:Q$90)*AA$2</f>
        <v>0</v>
      </c>
      <c r="AB237" s="88">
        <f>SUMIF(月間集計シート!$M$71:$M$90,$G237,月間集計シート!R$71:R$90)*AB$2</f>
        <v>0</v>
      </c>
      <c r="AC237" s="88">
        <f>SUMIF(月間集計シート!$M$71:$M$90,$G237,月間集計シート!S$71:S$90)*AC$2</f>
        <v>0</v>
      </c>
      <c r="AD237" s="88">
        <f>SUMIF(月間集計シート!$M$71:$M$90,$G237,月間集計シート!T$71:T$90)*AD$2</f>
        <v>0</v>
      </c>
      <c r="AE237" s="88">
        <f>SUMIF(月間集計シート!$M$92:$M$111,$G237,月間集計シート!N$92:N$111)*AE$2</f>
        <v>0</v>
      </c>
      <c r="AF237" s="88">
        <f>SUMIF(月間集計シート!$M$92:$M$111,$G237,月間集計シート!O$92:O$111)*AF$2</f>
        <v>0</v>
      </c>
      <c r="AG237" s="88">
        <f>SUMIF(月間集計シート!$M$92:$M$111,$G237,月間集計シート!P$92:P$111)*AG$2</f>
        <v>0</v>
      </c>
      <c r="AH237" s="88">
        <f>SUMIF(月間集計シート!$M$92:$M$111,$G237,月間集計シート!Q$92:Q$111)*AH$2</f>
        <v>0</v>
      </c>
      <c r="AI237" s="88">
        <f>SUMIF(月間集計シート!$M$92:$M$111,$G237,月間集計シート!R$92:R$111)*AI$2</f>
        <v>0</v>
      </c>
      <c r="AJ237" s="88">
        <f>SUMIF(月間集計シート!$M$92:$M$111,$G237,月間集計シート!S$92:S$111)*AJ$2</f>
        <v>0</v>
      </c>
      <c r="AK237" s="88">
        <f>SUMIF(月間集計シート!$M$92:$M$111,$G237,月間集計シート!T$92:T$111)*AK$2</f>
        <v>0</v>
      </c>
      <c r="AL237" s="88">
        <f>SUMIF(月間集計シート!$M$113:$M$132,$G237,月間集計シート!N$113:N$132)*AL$2</f>
        <v>0</v>
      </c>
      <c r="AM237" s="88">
        <f>SUMIF(月間集計シート!$M$113:$M$132,$G237,月間集計シート!O$113:O$132)*AM$2</f>
        <v>0</v>
      </c>
      <c r="AN237" s="88">
        <f>SUMIF(月間集計シート!$M$113:$M$132,$G237,月間集計シート!P$113:P$132)*AN$2</f>
        <v>0</v>
      </c>
      <c r="AO237" s="88">
        <f>SUMIF(月間集計シート!$M$113:$M$132,$G237,月間集計シート!Q$113:Q$132)*AO$2</f>
        <v>0</v>
      </c>
      <c r="AP237" s="88">
        <f>SUMIF(月間集計シート!$M$113:$M$132,$G237,月間集計シート!R$113:R$132)*AP$2</f>
        <v>0</v>
      </c>
      <c r="AQ237" s="88">
        <f>SUMIF(月間集計シート!$M$113:$M$132,$G237,月間集計シート!S$113:S$132)*AQ$2</f>
        <v>0</v>
      </c>
      <c r="AR237" s="88">
        <f>SUMIF(月間集計シート!$M$113:$M$132,$G237,月間集計シート!T$113:T$132)*AR$2</f>
        <v>0</v>
      </c>
      <c r="AS237" s="88">
        <f>SUMIF(月間集計シート!$M$134:$M$153,$G237,月間集計シート!N$134:N$153)*AS$2</f>
        <v>0</v>
      </c>
      <c r="AT237" s="88">
        <f>SUMIF(月間集計シート!$M$134:$M$153,$G237,月間集計シート!O$134:O$153)*AT$2</f>
        <v>0</v>
      </c>
      <c r="AU237" s="88">
        <f>SUMIF(月間集計シート!$M$134:$M$153,$G237,月間集計シート!P$134:P$153)*AU$2</f>
        <v>0</v>
      </c>
      <c r="AV237" s="88">
        <f>SUMIF(月間集計シート!$M$134:$M$153,$G237,月間集計シート!Q$134:Q$153)*AV$2</f>
        <v>0</v>
      </c>
      <c r="AW237" s="88">
        <f>SUMIF(月間集計シート!$M$134:$M$153,$G237,月間集計シート!R$134:R$153)*AW$2</f>
        <v>0</v>
      </c>
      <c r="AX237" s="88">
        <f>SUMIF(月間集計シート!$M$134:$M$153,$G237,月間集計シート!S$134:S$153)*AX$2</f>
        <v>0</v>
      </c>
      <c r="AY237" s="88">
        <f>SUMIF(月間集計シート!$M$134:$M$153,$G237,月間集計シート!T$134:T$153)*AY$2</f>
        <v>0</v>
      </c>
    </row>
    <row r="238" spans="1:51" ht="14.25" thickBot="1">
      <c r="A238">
        <v>3</v>
      </c>
      <c r="B238" s="120">
        <f t="shared" si="77"/>
        <v>0</v>
      </c>
      <c r="C238" s="120" t="str">
        <f t="shared" si="78"/>
        <v/>
      </c>
      <c r="D238" s="137"/>
      <c r="E238" s="150" t="str">
        <f>工種!A60</f>
        <v>80102</v>
      </c>
      <c r="F238" s="119" t="str">
        <f>工種!B60</f>
        <v>保守／ｻﾎﾟｰﾄ：社内問い合わせ</v>
      </c>
      <c r="G238" s="116" t="str">
        <f t="shared" si="79"/>
        <v>080102</v>
      </c>
      <c r="H238" s="88">
        <f t="shared" si="71"/>
        <v>0</v>
      </c>
      <c r="I238" s="132"/>
      <c r="J238" s="88">
        <f>SUMIF(月間集計シート!$M$29:$M$48,$G238,月間集計シート!N$29:N$48)*J$2</f>
        <v>0</v>
      </c>
      <c r="K238" s="88">
        <f>SUMIF(月間集計シート!$M$29:$M$48,$G238,月間集計シート!O$29:O$48)*K$2</f>
        <v>0</v>
      </c>
      <c r="L238" s="88">
        <f>SUMIF(月間集計シート!$M$29:$M$48,$G238,月間集計シート!P$29:P$48)*L$2</f>
        <v>0</v>
      </c>
      <c r="M238" s="88">
        <f>SUMIF(月間集計シート!$M$29:$M$48,$G238,月間集計シート!Q$29:Q$48)*M$2</f>
        <v>0</v>
      </c>
      <c r="N238" s="88">
        <f>SUMIF(月間集計シート!$M$29:$M$48,$G238,月間集計シート!R$29:R$48)*N$2</f>
        <v>0</v>
      </c>
      <c r="O238" s="88">
        <f>SUMIF(月間集計シート!$M$29:$M$48,$G238,月間集計シート!S$29:S$48)*O$2</f>
        <v>0</v>
      </c>
      <c r="P238" s="88">
        <f>SUMIF(月間集計シート!$M$29:$M$48,$G238,月間集計シート!T$29:T$48)*P$2</f>
        <v>0</v>
      </c>
      <c r="Q238" s="88">
        <f>SUMIF(月間集計シート!$M$50:$M$69,$G238,月間集計シート!N$50:N$69)*Q$2</f>
        <v>0</v>
      </c>
      <c r="R238" s="88">
        <f>SUMIF(月間集計シート!$M$50:$M$69,$G238,月間集計シート!O$50:O$69)*R$2</f>
        <v>0</v>
      </c>
      <c r="S238" s="88">
        <f>SUMIF(月間集計シート!$M$50:$M$69,$G238,月間集計シート!P$50:P$69)*S$2</f>
        <v>0</v>
      </c>
      <c r="T238" s="88">
        <f>SUMIF(月間集計シート!$M$50:$M$69,$G238,月間集計シート!Q$50:Q$69)*T$2</f>
        <v>0</v>
      </c>
      <c r="U238" s="88">
        <f>SUMIF(月間集計シート!$M$50:$M$69,$G238,月間集計シート!R$50:R$69)*U$2</f>
        <v>0</v>
      </c>
      <c r="V238" s="88">
        <f>SUMIF(月間集計シート!$M$50:$M$69,$G238,月間集計シート!S$50:S$69)*V$2</f>
        <v>0</v>
      </c>
      <c r="W238" s="88">
        <f>SUMIF(月間集計シート!$M$50:$M$69,$G238,月間集計シート!T$50:T$69)*W$2</f>
        <v>0</v>
      </c>
      <c r="X238" s="88">
        <f>SUMIF(月間集計シート!$M$71:$M$90,$G238,月間集計シート!N$71:N$90)*X$2</f>
        <v>0</v>
      </c>
      <c r="Y238" s="88">
        <f>SUMIF(月間集計シート!$M$71:$M$90,$G238,月間集計シート!O$71:O$90)*Y$2</f>
        <v>0</v>
      </c>
      <c r="Z238" s="88">
        <f>SUMIF(月間集計シート!$M$71:$M$90,$G238,月間集計シート!P$71:P$90)*Z$2</f>
        <v>0</v>
      </c>
      <c r="AA238" s="88">
        <f>SUMIF(月間集計シート!$M$71:$M$90,$G238,月間集計シート!Q$71:Q$90)*AA$2</f>
        <v>0</v>
      </c>
      <c r="AB238" s="88">
        <f>SUMIF(月間集計シート!$M$71:$M$90,$G238,月間集計シート!R$71:R$90)*AB$2</f>
        <v>0</v>
      </c>
      <c r="AC238" s="88">
        <f>SUMIF(月間集計シート!$M$71:$M$90,$G238,月間集計シート!S$71:S$90)*AC$2</f>
        <v>0</v>
      </c>
      <c r="AD238" s="88">
        <f>SUMIF(月間集計シート!$M$71:$M$90,$G238,月間集計シート!T$71:T$90)*AD$2</f>
        <v>0</v>
      </c>
      <c r="AE238" s="88">
        <f>SUMIF(月間集計シート!$M$92:$M$111,$G238,月間集計シート!N$92:N$111)*AE$2</f>
        <v>0</v>
      </c>
      <c r="AF238" s="88">
        <f>SUMIF(月間集計シート!$M$92:$M$111,$G238,月間集計シート!O$92:O$111)*AF$2</f>
        <v>0</v>
      </c>
      <c r="AG238" s="88">
        <f>SUMIF(月間集計シート!$M$92:$M$111,$G238,月間集計シート!P$92:P$111)*AG$2</f>
        <v>0</v>
      </c>
      <c r="AH238" s="88">
        <f>SUMIF(月間集計シート!$M$92:$M$111,$G238,月間集計シート!Q$92:Q$111)*AH$2</f>
        <v>0</v>
      </c>
      <c r="AI238" s="88">
        <f>SUMIF(月間集計シート!$M$92:$M$111,$G238,月間集計シート!R$92:R$111)*AI$2</f>
        <v>0</v>
      </c>
      <c r="AJ238" s="88">
        <f>SUMIF(月間集計シート!$M$92:$M$111,$G238,月間集計シート!S$92:S$111)*AJ$2</f>
        <v>0</v>
      </c>
      <c r="AK238" s="88">
        <f>SUMIF(月間集計シート!$M$92:$M$111,$G238,月間集計シート!T$92:T$111)*AK$2</f>
        <v>0</v>
      </c>
      <c r="AL238" s="88">
        <f>SUMIF(月間集計シート!$M$113:$M$132,$G238,月間集計シート!N$113:N$132)*AL$2</f>
        <v>0</v>
      </c>
      <c r="AM238" s="88">
        <f>SUMIF(月間集計シート!$M$113:$M$132,$G238,月間集計シート!O$113:O$132)*AM$2</f>
        <v>0</v>
      </c>
      <c r="AN238" s="88">
        <f>SUMIF(月間集計シート!$M$113:$M$132,$G238,月間集計シート!P$113:P$132)*AN$2</f>
        <v>0</v>
      </c>
      <c r="AO238" s="88">
        <f>SUMIF(月間集計シート!$M$113:$M$132,$G238,月間集計シート!Q$113:Q$132)*AO$2</f>
        <v>0</v>
      </c>
      <c r="AP238" s="88">
        <f>SUMIF(月間集計シート!$M$113:$M$132,$G238,月間集計シート!R$113:R$132)*AP$2</f>
        <v>0</v>
      </c>
      <c r="AQ238" s="88">
        <f>SUMIF(月間集計シート!$M$113:$M$132,$G238,月間集計シート!S$113:S$132)*AQ$2</f>
        <v>0</v>
      </c>
      <c r="AR238" s="88">
        <f>SUMIF(月間集計シート!$M$113:$M$132,$G238,月間集計シート!T$113:T$132)*AR$2</f>
        <v>0</v>
      </c>
      <c r="AS238" s="88">
        <f>SUMIF(月間集計シート!$M$134:$M$153,$G238,月間集計シート!N$134:N$153)*AS$2</f>
        <v>0</v>
      </c>
      <c r="AT238" s="88">
        <f>SUMIF(月間集計シート!$M$134:$M$153,$G238,月間集計シート!O$134:O$153)*AT$2</f>
        <v>0</v>
      </c>
      <c r="AU238" s="88">
        <f>SUMIF(月間集計シート!$M$134:$M$153,$G238,月間集計シート!P$134:P$153)*AU$2</f>
        <v>0</v>
      </c>
      <c r="AV238" s="88">
        <f>SUMIF(月間集計シート!$M$134:$M$153,$G238,月間集計シート!Q$134:Q$153)*AV$2</f>
        <v>0</v>
      </c>
      <c r="AW238" s="88">
        <f>SUMIF(月間集計シート!$M$134:$M$153,$G238,月間集計シート!R$134:R$153)*AW$2</f>
        <v>0</v>
      </c>
      <c r="AX238" s="88">
        <f>SUMIF(月間集計シート!$M$134:$M$153,$G238,月間集計シート!S$134:S$153)*AX$2</f>
        <v>0</v>
      </c>
      <c r="AY238" s="88">
        <f>SUMIF(月間集計シート!$M$134:$M$153,$G238,月間集計シート!T$134:T$153)*AY$2</f>
        <v>0</v>
      </c>
    </row>
    <row r="239" spans="1:51" ht="14.25" thickBot="1">
      <c r="A239">
        <v>3</v>
      </c>
      <c r="B239" s="120">
        <f t="shared" si="77"/>
        <v>0</v>
      </c>
      <c r="C239" s="120" t="str">
        <f t="shared" si="78"/>
        <v/>
      </c>
      <c r="D239" s="137"/>
      <c r="E239" s="150" t="str">
        <f>工種!A61</f>
        <v>80103</v>
      </c>
      <c r="F239" s="119" t="str">
        <f>工種!B61</f>
        <v>保守／ｻﾎﾟｰﾄ：支社・他部門支援</v>
      </c>
      <c r="G239" s="116" t="str">
        <f t="shared" si="79"/>
        <v>080103</v>
      </c>
      <c r="H239" s="88">
        <f t="shared" si="71"/>
        <v>0</v>
      </c>
      <c r="I239" s="132"/>
      <c r="J239" s="88">
        <f>SUMIF(月間集計シート!$M$29:$M$48,$G239,月間集計シート!N$29:N$48)*J$2</f>
        <v>0</v>
      </c>
      <c r="K239" s="88">
        <f>SUMIF(月間集計シート!$M$29:$M$48,$G239,月間集計シート!O$29:O$48)*K$2</f>
        <v>0</v>
      </c>
      <c r="L239" s="88">
        <f>SUMIF(月間集計シート!$M$29:$M$48,$G239,月間集計シート!P$29:P$48)*L$2</f>
        <v>0</v>
      </c>
      <c r="M239" s="88">
        <f>SUMIF(月間集計シート!$M$29:$M$48,$G239,月間集計シート!Q$29:Q$48)*M$2</f>
        <v>0</v>
      </c>
      <c r="N239" s="88">
        <f>SUMIF(月間集計シート!$M$29:$M$48,$G239,月間集計シート!R$29:R$48)*N$2</f>
        <v>0</v>
      </c>
      <c r="O239" s="88">
        <f>SUMIF(月間集計シート!$M$29:$M$48,$G239,月間集計シート!S$29:S$48)*O$2</f>
        <v>0</v>
      </c>
      <c r="P239" s="88">
        <f>SUMIF(月間集計シート!$M$29:$M$48,$G239,月間集計シート!T$29:T$48)*P$2</f>
        <v>0</v>
      </c>
      <c r="Q239" s="88">
        <f>SUMIF(月間集計シート!$M$50:$M$69,$G239,月間集計シート!N$50:N$69)*Q$2</f>
        <v>0</v>
      </c>
      <c r="R239" s="88">
        <f>SUMIF(月間集計シート!$M$50:$M$69,$G239,月間集計シート!O$50:O$69)*R$2</f>
        <v>0</v>
      </c>
      <c r="S239" s="88">
        <f>SUMIF(月間集計シート!$M$50:$M$69,$G239,月間集計シート!P$50:P$69)*S$2</f>
        <v>0</v>
      </c>
      <c r="T239" s="88">
        <f>SUMIF(月間集計シート!$M$50:$M$69,$G239,月間集計シート!Q$50:Q$69)*T$2</f>
        <v>0</v>
      </c>
      <c r="U239" s="88">
        <f>SUMIF(月間集計シート!$M$50:$M$69,$G239,月間集計シート!R$50:R$69)*U$2</f>
        <v>0</v>
      </c>
      <c r="V239" s="88">
        <f>SUMIF(月間集計シート!$M$50:$M$69,$G239,月間集計シート!S$50:S$69)*V$2</f>
        <v>0</v>
      </c>
      <c r="W239" s="88">
        <f>SUMIF(月間集計シート!$M$50:$M$69,$G239,月間集計シート!T$50:T$69)*W$2</f>
        <v>0</v>
      </c>
      <c r="X239" s="88">
        <f>SUMIF(月間集計シート!$M$71:$M$90,$G239,月間集計シート!N$71:N$90)*X$2</f>
        <v>0</v>
      </c>
      <c r="Y239" s="88">
        <f>SUMIF(月間集計シート!$M$71:$M$90,$G239,月間集計シート!O$71:O$90)*Y$2</f>
        <v>0</v>
      </c>
      <c r="Z239" s="88">
        <f>SUMIF(月間集計シート!$M$71:$M$90,$G239,月間集計シート!P$71:P$90)*Z$2</f>
        <v>0</v>
      </c>
      <c r="AA239" s="88">
        <f>SUMIF(月間集計シート!$M$71:$M$90,$G239,月間集計シート!Q$71:Q$90)*AA$2</f>
        <v>0</v>
      </c>
      <c r="AB239" s="88">
        <f>SUMIF(月間集計シート!$M$71:$M$90,$G239,月間集計シート!R$71:R$90)*AB$2</f>
        <v>0</v>
      </c>
      <c r="AC239" s="88">
        <f>SUMIF(月間集計シート!$M$71:$M$90,$G239,月間集計シート!S$71:S$90)*AC$2</f>
        <v>0</v>
      </c>
      <c r="AD239" s="88">
        <f>SUMIF(月間集計シート!$M$71:$M$90,$G239,月間集計シート!T$71:T$90)*AD$2</f>
        <v>0</v>
      </c>
      <c r="AE239" s="88">
        <f>SUMIF(月間集計シート!$M$92:$M$111,$G239,月間集計シート!N$92:N$111)*AE$2</f>
        <v>0</v>
      </c>
      <c r="AF239" s="88">
        <f>SUMIF(月間集計シート!$M$92:$M$111,$G239,月間集計シート!O$92:O$111)*AF$2</f>
        <v>0</v>
      </c>
      <c r="AG239" s="88">
        <f>SUMIF(月間集計シート!$M$92:$M$111,$G239,月間集計シート!P$92:P$111)*AG$2</f>
        <v>0</v>
      </c>
      <c r="AH239" s="88">
        <f>SUMIF(月間集計シート!$M$92:$M$111,$G239,月間集計シート!Q$92:Q$111)*AH$2</f>
        <v>0</v>
      </c>
      <c r="AI239" s="88">
        <f>SUMIF(月間集計シート!$M$92:$M$111,$G239,月間集計シート!R$92:R$111)*AI$2</f>
        <v>0</v>
      </c>
      <c r="AJ239" s="88">
        <f>SUMIF(月間集計シート!$M$92:$M$111,$G239,月間集計シート!S$92:S$111)*AJ$2</f>
        <v>0</v>
      </c>
      <c r="AK239" s="88">
        <f>SUMIF(月間集計シート!$M$92:$M$111,$G239,月間集計シート!T$92:T$111)*AK$2</f>
        <v>0</v>
      </c>
      <c r="AL239" s="88">
        <f>SUMIF(月間集計シート!$M$113:$M$132,$G239,月間集計シート!N$113:N$132)*AL$2</f>
        <v>0</v>
      </c>
      <c r="AM239" s="88">
        <f>SUMIF(月間集計シート!$M$113:$M$132,$G239,月間集計シート!O$113:O$132)*AM$2</f>
        <v>0</v>
      </c>
      <c r="AN239" s="88">
        <f>SUMIF(月間集計シート!$M$113:$M$132,$G239,月間集計シート!P$113:P$132)*AN$2</f>
        <v>0</v>
      </c>
      <c r="AO239" s="88">
        <f>SUMIF(月間集計シート!$M$113:$M$132,$G239,月間集計シート!Q$113:Q$132)*AO$2</f>
        <v>0</v>
      </c>
      <c r="AP239" s="88">
        <f>SUMIF(月間集計シート!$M$113:$M$132,$G239,月間集計シート!R$113:R$132)*AP$2</f>
        <v>0</v>
      </c>
      <c r="AQ239" s="88">
        <f>SUMIF(月間集計シート!$M$113:$M$132,$G239,月間集計シート!S$113:S$132)*AQ$2</f>
        <v>0</v>
      </c>
      <c r="AR239" s="88">
        <f>SUMIF(月間集計シート!$M$113:$M$132,$G239,月間集計シート!T$113:T$132)*AR$2</f>
        <v>0</v>
      </c>
      <c r="AS239" s="88">
        <f>SUMIF(月間集計シート!$M$134:$M$153,$G239,月間集計シート!N$134:N$153)*AS$2</f>
        <v>0</v>
      </c>
      <c r="AT239" s="88">
        <f>SUMIF(月間集計シート!$M$134:$M$153,$G239,月間集計シート!O$134:O$153)*AT$2</f>
        <v>0</v>
      </c>
      <c r="AU239" s="88">
        <f>SUMIF(月間集計シート!$M$134:$M$153,$G239,月間集計シート!P$134:P$153)*AU$2</f>
        <v>0</v>
      </c>
      <c r="AV239" s="88">
        <f>SUMIF(月間集計シート!$M$134:$M$153,$G239,月間集計シート!Q$134:Q$153)*AV$2</f>
        <v>0</v>
      </c>
      <c r="AW239" s="88">
        <f>SUMIF(月間集計シート!$M$134:$M$153,$G239,月間集計シート!R$134:R$153)*AW$2</f>
        <v>0</v>
      </c>
      <c r="AX239" s="88">
        <f>SUMIF(月間集計シート!$M$134:$M$153,$G239,月間集計シート!S$134:S$153)*AX$2</f>
        <v>0</v>
      </c>
      <c r="AY239" s="88">
        <f>SUMIF(月間集計シート!$M$134:$M$153,$G239,月間集計シート!T$134:T$153)*AY$2</f>
        <v>0</v>
      </c>
    </row>
    <row r="240" spans="1:51" ht="14.25" thickBot="1">
      <c r="A240">
        <v>3</v>
      </c>
      <c r="B240" s="120">
        <f t="shared" si="77"/>
        <v>0</v>
      </c>
      <c r="C240" s="120" t="str">
        <f t="shared" si="78"/>
        <v/>
      </c>
      <c r="D240" s="137"/>
      <c r="E240" s="150" t="str">
        <f>工種!A62</f>
        <v>80104</v>
      </c>
      <c r="F240" s="119" t="str">
        <f>工種!B62</f>
        <v>保守／ｻﾎﾟｰﾄ：連絡文書作成・更新</v>
      </c>
      <c r="G240" s="116" t="str">
        <f t="shared" si="79"/>
        <v>080104</v>
      </c>
      <c r="H240" s="88">
        <f t="shared" si="71"/>
        <v>0</v>
      </c>
      <c r="I240" s="132"/>
      <c r="J240" s="88">
        <f>SUMIF(月間集計シート!$M$29:$M$48,$G240,月間集計シート!N$29:N$48)*J$2</f>
        <v>0</v>
      </c>
      <c r="K240" s="88">
        <f>SUMIF(月間集計シート!$M$29:$M$48,$G240,月間集計シート!O$29:O$48)*K$2</f>
        <v>0</v>
      </c>
      <c r="L240" s="88">
        <f>SUMIF(月間集計シート!$M$29:$M$48,$G240,月間集計シート!P$29:P$48)*L$2</f>
        <v>0</v>
      </c>
      <c r="M240" s="88">
        <f>SUMIF(月間集計シート!$M$29:$M$48,$G240,月間集計シート!Q$29:Q$48)*M$2</f>
        <v>0</v>
      </c>
      <c r="N240" s="88">
        <f>SUMIF(月間集計シート!$M$29:$M$48,$G240,月間集計シート!R$29:R$48)*N$2</f>
        <v>0</v>
      </c>
      <c r="O240" s="88">
        <f>SUMIF(月間集計シート!$M$29:$M$48,$G240,月間集計シート!S$29:S$48)*O$2</f>
        <v>0</v>
      </c>
      <c r="P240" s="88">
        <f>SUMIF(月間集計シート!$M$29:$M$48,$G240,月間集計シート!T$29:T$48)*P$2</f>
        <v>0</v>
      </c>
      <c r="Q240" s="88">
        <f>SUMIF(月間集計シート!$M$50:$M$69,$G240,月間集計シート!N$50:N$69)*Q$2</f>
        <v>0</v>
      </c>
      <c r="R240" s="88">
        <f>SUMIF(月間集計シート!$M$50:$M$69,$G240,月間集計シート!O$50:O$69)*R$2</f>
        <v>0</v>
      </c>
      <c r="S240" s="88">
        <f>SUMIF(月間集計シート!$M$50:$M$69,$G240,月間集計シート!P$50:P$69)*S$2</f>
        <v>0</v>
      </c>
      <c r="T240" s="88">
        <f>SUMIF(月間集計シート!$M$50:$M$69,$G240,月間集計シート!Q$50:Q$69)*T$2</f>
        <v>0</v>
      </c>
      <c r="U240" s="88">
        <f>SUMIF(月間集計シート!$M$50:$M$69,$G240,月間集計シート!R$50:R$69)*U$2</f>
        <v>0</v>
      </c>
      <c r="V240" s="88">
        <f>SUMIF(月間集計シート!$M$50:$M$69,$G240,月間集計シート!S$50:S$69)*V$2</f>
        <v>0</v>
      </c>
      <c r="W240" s="88">
        <f>SUMIF(月間集計シート!$M$50:$M$69,$G240,月間集計シート!T$50:T$69)*W$2</f>
        <v>0</v>
      </c>
      <c r="X240" s="88">
        <f>SUMIF(月間集計シート!$M$71:$M$90,$G240,月間集計シート!N$71:N$90)*X$2</f>
        <v>0</v>
      </c>
      <c r="Y240" s="88">
        <f>SUMIF(月間集計シート!$M$71:$M$90,$G240,月間集計シート!O$71:O$90)*Y$2</f>
        <v>0</v>
      </c>
      <c r="Z240" s="88">
        <f>SUMIF(月間集計シート!$M$71:$M$90,$G240,月間集計シート!P$71:P$90)*Z$2</f>
        <v>0</v>
      </c>
      <c r="AA240" s="88">
        <f>SUMIF(月間集計シート!$M$71:$M$90,$G240,月間集計シート!Q$71:Q$90)*AA$2</f>
        <v>0</v>
      </c>
      <c r="AB240" s="88">
        <f>SUMIF(月間集計シート!$M$71:$M$90,$G240,月間集計シート!R$71:R$90)*AB$2</f>
        <v>0</v>
      </c>
      <c r="AC240" s="88">
        <f>SUMIF(月間集計シート!$M$71:$M$90,$G240,月間集計シート!S$71:S$90)*AC$2</f>
        <v>0</v>
      </c>
      <c r="AD240" s="88">
        <f>SUMIF(月間集計シート!$M$71:$M$90,$G240,月間集計シート!T$71:T$90)*AD$2</f>
        <v>0</v>
      </c>
      <c r="AE240" s="88">
        <f>SUMIF(月間集計シート!$M$92:$M$111,$G240,月間集計シート!N$92:N$111)*AE$2</f>
        <v>0</v>
      </c>
      <c r="AF240" s="88">
        <f>SUMIF(月間集計シート!$M$92:$M$111,$G240,月間集計シート!O$92:O$111)*AF$2</f>
        <v>0</v>
      </c>
      <c r="AG240" s="88">
        <f>SUMIF(月間集計シート!$M$92:$M$111,$G240,月間集計シート!P$92:P$111)*AG$2</f>
        <v>0</v>
      </c>
      <c r="AH240" s="88">
        <f>SUMIF(月間集計シート!$M$92:$M$111,$G240,月間集計シート!Q$92:Q$111)*AH$2</f>
        <v>0</v>
      </c>
      <c r="AI240" s="88">
        <f>SUMIF(月間集計シート!$M$92:$M$111,$G240,月間集計シート!R$92:R$111)*AI$2</f>
        <v>0</v>
      </c>
      <c r="AJ240" s="88">
        <f>SUMIF(月間集計シート!$M$92:$M$111,$G240,月間集計シート!S$92:S$111)*AJ$2</f>
        <v>0</v>
      </c>
      <c r="AK240" s="88">
        <f>SUMIF(月間集計シート!$M$92:$M$111,$G240,月間集計シート!T$92:T$111)*AK$2</f>
        <v>0</v>
      </c>
      <c r="AL240" s="88">
        <f>SUMIF(月間集計シート!$M$113:$M$132,$G240,月間集計シート!N$113:N$132)*AL$2</f>
        <v>0</v>
      </c>
      <c r="AM240" s="88">
        <f>SUMIF(月間集計シート!$M$113:$M$132,$G240,月間集計シート!O$113:O$132)*AM$2</f>
        <v>0</v>
      </c>
      <c r="AN240" s="88">
        <f>SUMIF(月間集計シート!$M$113:$M$132,$G240,月間集計シート!P$113:P$132)*AN$2</f>
        <v>0</v>
      </c>
      <c r="AO240" s="88">
        <f>SUMIF(月間集計シート!$M$113:$M$132,$G240,月間集計シート!Q$113:Q$132)*AO$2</f>
        <v>0</v>
      </c>
      <c r="AP240" s="88">
        <f>SUMIF(月間集計シート!$M$113:$M$132,$G240,月間集計シート!R$113:R$132)*AP$2</f>
        <v>0</v>
      </c>
      <c r="AQ240" s="88">
        <f>SUMIF(月間集計シート!$M$113:$M$132,$G240,月間集計シート!S$113:S$132)*AQ$2</f>
        <v>0</v>
      </c>
      <c r="AR240" s="88">
        <f>SUMIF(月間集計シート!$M$113:$M$132,$G240,月間集計シート!T$113:T$132)*AR$2</f>
        <v>0</v>
      </c>
      <c r="AS240" s="88">
        <f>SUMIF(月間集計シート!$M$134:$M$153,$G240,月間集計シート!N$134:N$153)*AS$2</f>
        <v>0</v>
      </c>
      <c r="AT240" s="88">
        <f>SUMIF(月間集計シート!$M$134:$M$153,$G240,月間集計シート!O$134:O$153)*AT$2</f>
        <v>0</v>
      </c>
      <c r="AU240" s="88">
        <f>SUMIF(月間集計シート!$M$134:$M$153,$G240,月間集計シート!P$134:P$153)*AU$2</f>
        <v>0</v>
      </c>
      <c r="AV240" s="88">
        <f>SUMIF(月間集計シート!$M$134:$M$153,$G240,月間集計シート!Q$134:Q$153)*AV$2</f>
        <v>0</v>
      </c>
      <c r="AW240" s="88">
        <f>SUMIF(月間集計シート!$M$134:$M$153,$G240,月間集計シート!R$134:R$153)*AW$2</f>
        <v>0</v>
      </c>
      <c r="AX240" s="88">
        <f>SUMIF(月間集計シート!$M$134:$M$153,$G240,月間集計シート!S$134:S$153)*AX$2</f>
        <v>0</v>
      </c>
      <c r="AY240" s="88">
        <f>SUMIF(月間集計シート!$M$134:$M$153,$G240,月間集計シート!T$134:T$153)*AY$2</f>
        <v>0</v>
      </c>
    </row>
    <row r="241" spans="1:51" ht="14.25" thickBot="1">
      <c r="A241">
        <v>3</v>
      </c>
      <c r="B241" s="120">
        <f t="shared" si="77"/>
        <v>0</v>
      </c>
      <c r="C241" s="120" t="str">
        <f t="shared" si="78"/>
        <v/>
      </c>
      <c r="D241" s="137"/>
      <c r="E241" s="150" t="str">
        <f>工種!A63</f>
        <v>80105</v>
      </c>
      <c r="F241" s="119" t="str">
        <f>工種!B63</f>
        <v>保守／ｻﾎﾟｰﾄ：ｲﾝﾄﾗ資料更新</v>
      </c>
      <c r="G241" s="116" t="str">
        <f t="shared" ref="G241:G258" si="80">B241&amp;E241</f>
        <v>080105</v>
      </c>
      <c r="H241" s="88">
        <f t="shared" ref="H241:H242" si="81">SUM(J241:AY241)</f>
        <v>0</v>
      </c>
      <c r="I241" s="132"/>
      <c r="J241" s="88">
        <f>SUMIF(月間集計シート!$M$29:$M$48,$G241,月間集計シート!N$29:N$48)*J$2</f>
        <v>0</v>
      </c>
      <c r="K241" s="88">
        <f>SUMIF(月間集計シート!$M$29:$M$48,$G241,月間集計シート!O$29:O$48)*K$2</f>
        <v>0</v>
      </c>
      <c r="L241" s="88">
        <f>SUMIF(月間集計シート!$M$29:$M$48,$G241,月間集計シート!P$29:P$48)*L$2</f>
        <v>0</v>
      </c>
      <c r="M241" s="88">
        <f>SUMIF(月間集計シート!$M$29:$M$48,$G241,月間集計シート!Q$29:Q$48)*M$2</f>
        <v>0</v>
      </c>
      <c r="N241" s="88">
        <f>SUMIF(月間集計シート!$M$29:$M$48,$G241,月間集計シート!R$29:R$48)*N$2</f>
        <v>0</v>
      </c>
      <c r="O241" s="88">
        <f>SUMIF(月間集計シート!$M$29:$M$48,$G241,月間集計シート!S$29:S$48)*O$2</f>
        <v>0</v>
      </c>
      <c r="P241" s="88">
        <f>SUMIF(月間集計シート!$M$29:$M$48,$G241,月間集計シート!T$29:T$48)*P$2</f>
        <v>0</v>
      </c>
      <c r="Q241" s="88">
        <f>SUMIF(月間集計シート!$M$50:$M$69,$G241,月間集計シート!N$50:N$69)*Q$2</f>
        <v>0</v>
      </c>
      <c r="R241" s="88">
        <f>SUMIF(月間集計シート!$M$50:$M$69,$G241,月間集計シート!O$50:O$69)*R$2</f>
        <v>0</v>
      </c>
      <c r="S241" s="88">
        <f>SUMIF(月間集計シート!$M$50:$M$69,$G241,月間集計シート!P$50:P$69)*S$2</f>
        <v>0</v>
      </c>
      <c r="T241" s="88">
        <f>SUMIF(月間集計シート!$M$50:$M$69,$G241,月間集計シート!Q$50:Q$69)*T$2</f>
        <v>0</v>
      </c>
      <c r="U241" s="88">
        <f>SUMIF(月間集計シート!$M$50:$M$69,$G241,月間集計シート!R$50:R$69)*U$2</f>
        <v>0</v>
      </c>
      <c r="V241" s="88">
        <f>SUMIF(月間集計シート!$M$50:$M$69,$G241,月間集計シート!S$50:S$69)*V$2</f>
        <v>0</v>
      </c>
      <c r="W241" s="88">
        <f>SUMIF(月間集計シート!$M$50:$M$69,$G241,月間集計シート!T$50:T$69)*W$2</f>
        <v>0</v>
      </c>
      <c r="X241" s="88">
        <f>SUMIF(月間集計シート!$M$71:$M$90,$G241,月間集計シート!N$71:N$90)*X$2</f>
        <v>0</v>
      </c>
      <c r="Y241" s="88">
        <f>SUMIF(月間集計シート!$M$71:$M$90,$G241,月間集計シート!O$71:O$90)*Y$2</f>
        <v>0</v>
      </c>
      <c r="Z241" s="88">
        <f>SUMIF(月間集計シート!$M$71:$M$90,$G241,月間集計シート!P$71:P$90)*Z$2</f>
        <v>0</v>
      </c>
      <c r="AA241" s="88">
        <f>SUMIF(月間集計シート!$M$71:$M$90,$G241,月間集計シート!Q$71:Q$90)*AA$2</f>
        <v>0</v>
      </c>
      <c r="AB241" s="88">
        <f>SUMIF(月間集計シート!$M$71:$M$90,$G241,月間集計シート!R$71:R$90)*AB$2</f>
        <v>0</v>
      </c>
      <c r="AC241" s="88">
        <f>SUMIF(月間集計シート!$M$71:$M$90,$G241,月間集計シート!S$71:S$90)*AC$2</f>
        <v>0</v>
      </c>
      <c r="AD241" s="88">
        <f>SUMIF(月間集計シート!$M$71:$M$90,$G241,月間集計シート!T$71:T$90)*AD$2</f>
        <v>0</v>
      </c>
      <c r="AE241" s="88">
        <f>SUMIF(月間集計シート!$M$92:$M$111,$G241,月間集計シート!N$92:N$111)*AE$2</f>
        <v>0</v>
      </c>
      <c r="AF241" s="88">
        <f>SUMIF(月間集計シート!$M$92:$M$111,$G241,月間集計シート!O$92:O$111)*AF$2</f>
        <v>0</v>
      </c>
      <c r="AG241" s="88">
        <f>SUMIF(月間集計シート!$M$92:$M$111,$G241,月間集計シート!P$92:P$111)*AG$2</f>
        <v>0</v>
      </c>
      <c r="AH241" s="88">
        <f>SUMIF(月間集計シート!$M$92:$M$111,$G241,月間集計シート!Q$92:Q$111)*AH$2</f>
        <v>0</v>
      </c>
      <c r="AI241" s="88">
        <f>SUMIF(月間集計シート!$M$92:$M$111,$G241,月間集計シート!R$92:R$111)*AI$2</f>
        <v>0</v>
      </c>
      <c r="AJ241" s="88">
        <f>SUMIF(月間集計シート!$M$92:$M$111,$G241,月間集計シート!S$92:S$111)*AJ$2</f>
        <v>0</v>
      </c>
      <c r="AK241" s="88">
        <f>SUMIF(月間集計シート!$M$92:$M$111,$G241,月間集計シート!T$92:T$111)*AK$2</f>
        <v>0</v>
      </c>
      <c r="AL241" s="88">
        <f>SUMIF(月間集計シート!$M$113:$M$132,$G241,月間集計シート!N$113:N$132)*AL$2</f>
        <v>0</v>
      </c>
      <c r="AM241" s="88">
        <f>SUMIF(月間集計シート!$M$113:$M$132,$G241,月間集計シート!O$113:O$132)*AM$2</f>
        <v>0</v>
      </c>
      <c r="AN241" s="88">
        <f>SUMIF(月間集計シート!$M$113:$M$132,$G241,月間集計シート!P$113:P$132)*AN$2</f>
        <v>0</v>
      </c>
      <c r="AO241" s="88">
        <f>SUMIF(月間集計シート!$M$113:$M$132,$G241,月間集計シート!Q$113:Q$132)*AO$2</f>
        <v>0</v>
      </c>
      <c r="AP241" s="88">
        <f>SUMIF(月間集計シート!$M$113:$M$132,$G241,月間集計シート!R$113:R$132)*AP$2</f>
        <v>0</v>
      </c>
      <c r="AQ241" s="88">
        <f>SUMIF(月間集計シート!$M$113:$M$132,$G241,月間集計シート!S$113:S$132)*AQ$2</f>
        <v>0</v>
      </c>
      <c r="AR241" s="88">
        <f>SUMIF(月間集計シート!$M$113:$M$132,$G241,月間集計シート!T$113:T$132)*AR$2</f>
        <v>0</v>
      </c>
      <c r="AS241" s="88">
        <f>SUMIF(月間集計シート!$M$134:$M$153,$G241,月間集計シート!N$134:N$153)*AS$2</f>
        <v>0</v>
      </c>
      <c r="AT241" s="88">
        <f>SUMIF(月間集計シート!$M$134:$M$153,$G241,月間集計シート!O$134:O$153)*AT$2</f>
        <v>0</v>
      </c>
      <c r="AU241" s="88">
        <f>SUMIF(月間集計シート!$M$134:$M$153,$G241,月間集計シート!P$134:P$153)*AU$2</f>
        <v>0</v>
      </c>
      <c r="AV241" s="88">
        <f>SUMIF(月間集計シート!$M$134:$M$153,$G241,月間集計シート!Q$134:Q$153)*AV$2</f>
        <v>0</v>
      </c>
      <c r="AW241" s="88">
        <f>SUMIF(月間集計シート!$M$134:$M$153,$G241,月間集計シート!R$134:R$153)*AW$2</f>
        <v>0</v>
      </c>
      <c r="AX241" s="88">
        <f>SUMIF(月間集計シート!$M$134:$M$153,$G241,月間集計シート!S$134:S$153)*AX$2</f>
        <v>0</v>
      </c>
      <c r="AY241" s="88">
        <f>SUMIF(月間集計シート!$M$134:$M$153,$G241,月間集計シート!T$134:T$153)*AY$2</f>
        <v>0</v>
      </c>
    </row>
    <row r="242" spans="1:51" ht="14.25" thickBot="1">
      <c r="A242">
        <v>3</v>
      </c>
      <c r="B242" s="120">
        <f t="shared" si="77"/>
        <v>0</v>
      </c>
      <c r="C242" s="120" t="str">
        <f t="shared" si="78"/>
        <v/>
      </c>
      <c r="D242" s="137"/>
      <c r="E242" s="150" t="str">
        <f>工種!A64</f>
        <v>80106</v>
      </c>
      <c r="F242" s="119" t="str">
        <f>工種!B64</f>
        <v>保守／ｻﾎﾟｰﾄ：打合せ</v>
      </c>
      <c r="G242" s="116" t="str">
        <f t="shared" si="80"/>
        <v>080106</v>
      </c>
      <c r="H242" s="88">
        <f t="shared" si="81"/>
        <v>0</v>
      </c>
      <c r="I242" s="132"/>
      <c r="J242" s="88">
        <f>SUMIF(月間集計シート!$M$29:$M$48,$G242,月間集計シート!N$29:N$48)*J$2</f>
        <v>0</v>
      </c>
      <c r="K242" s="88">
        <f>SUMIF(月間集計シート!$M$29:$M$48,$G242,月間集計シート!O$29:O$48)*K$2</f>
        <v>0</v>
      </c>
      <c r="L242" s="88">
        <f>SUMIF(月間集計シート!$M$29:$M$48,$G242,月間集計シート!P$29:P$48)*L$2</f>
        <v>0</v>
      </c>
      <c r="M242" s="88">
        <f>SUMIF(月間集計シート!$M$29:$M$48,$G242,月間集計シート!Q$29:Q$48)*M$2</f>
        <v>0</v>
      </c>
      <c r="N242" s="88">
        <f>SUMIF(月間集計シート!$M$29:$M$48,$G242,月間集計シート!R$29:R$48)*N$2</f>
        <v>0</v>
      </c>
      <c r="O242" s="88">
        <f>SUMIF(月間集計シート!$M$29:$M$48,$G242,月間集計シート!S$29:S$48)*O$2</f>
        <v>0</v>
      </c>
      <c r="P242" s="88">
        <f>SUMIF(月間集計シート!$M$29:$M$48,$G242,月間集計シート!T$29:T$48)*P$2</f>
        <v>0</v>
      </c>
      <c r="Q242" s="88">
        <f>SUMIF(月間集計シート!$M$50:$M$69,$G242,月間集計シート!N$50:N$69)*Q$2</f>
        <v>0</v>
      </c>
      <c r="R242" s="88">
        <f>SUMIF(月間集計シート!$M$50:$M$69,$G242,月間集計シート!O$50:O$69)*R$2</f>
        <v>0</v>
      </c>
      <c r="S242" s="88">
        <f>SUMIF(月間集計シート!$M$50:$M$69,$G242,月間集計シート!P$50:P$69)*S$2</f>
        <v>0</v>
      </c>
      <c r="T242" s="88">
        <f>SUMIF(月間集計シート!$M$50:$M$69,$G242,月間集計シート!Q$50:Q$69)*T$2</f>
        <v>0</v>
      </c>
      <c r="U242" s="88">
        <f>SUMIF(月間集計シート!$M$50:$M$69,$G242,月間集計シート!R$50:R$69)*U$2</f>
        <v>0</v>
      </c>
      <c r="V242" s="88">
        <f>SUMIF(月間集計シート!$M$50:$M$69,$G242,月間集計シート!S$50:S$69)*V$2</f>
        <v>0</v>
      </c>
      <c r="W242" s="88">
        <f>SUMIF(月間集計シート!$M$50:$M$69,$G242,月間集計シート!T$50:T$69)*W$2</f>
        <v>0</v>
      </c>
      <c r="X242" s="88">
        <f>SUMIF(月間集計シート!$M$71:$M$90,$G242,月間集計シート!N$71:N$90)*X$2</f>
        <v>0</v>
      </c>
      <c r="Y242" s="88">
        <f>SUMIF(月間集計シート!$M$71:$M$90,$G242,月間集計シート!O$71:O$90)*Y$2</f>
        <v>0</v>
      </c>
      <c r="Z242" s="88">
        <f>SUMIF(月間集計シート!$M$71:$M$90,$G242,月間集計シート!P$71:P$90)*Z$2</f>
        <v>0</v>
      </c>
      <c r="AA242" s="88">
        <f>SUMIF(月間集計シート!$M$71:$M$90,$G242,月間集計シート!Q$71:Q$90)*AA$2</f>
        <v>0</v>
      </c>
      <c r="AB242" s="88">
        <f>SUMIF(月間集計シート!$M$71:$M$90,$G242,月間集計シート!R$71:R$90)*AB$2</f>
        <v>0</v>
      </c>
      <c r="AC242" s="88">
        <f>SUMIF(月間集計シート!$M$71:$M$90,$G242,月間集計シート!S$71:S$90)*AC$2</f>
        <v>0</v>
      </c>
      <c r="AD242" s="88">
        <f>SUMIF(月間集計シート!$M$71:$M$90,$G242,月間集計シート!T$71:T$90)*AD$2</f>
        <v>0</v>
      </c>
      <c r="AE242" s="88">
        <f>SUMIF(月間集計シート!$M$92:$M$111,$G242,月間集計シート!N$92:N$111)*AE$2</f>
        <v>0</v>
      </c>
      <c r="AF242" s="88">
        <f>SUMIF(月間集計シート!$M$92:$M$111,$G242,月間集計シート!O$92:O$111)*AF$2</f>
        <v>0</v>
      </c>
      <c r="AG242" s="88">
        <f>SUMIF(月間集計シート!$M$92:$M$111,$G242,月間集計シート!P$92:P$111)*AG$2</f>
        <v>0</v>
      </c>
      <c r="AH242" s="88">
        <f>SUMIF(月間集計シート!$M$92:$M$111,$G242,月間集計シート!Q$92:Q$111)*AH$2</f>
        <v>0</v>
      </c>
      <c r="AI242" s="88">
        <f>SUMIF(月間集計シート!$M$92:$M$111,$G242,月間集計シート!R$92:R$111)*AI$2</f>
        <v>0</v>
      </c>
      <c r="AJ242" s="88">
        <f>SUMIF(月間集計シート!$M$92:$M$111,$G242,月間集計シート!S$92:S$111)*AJ$2</f>
        <v>0</v>
      </c>
      <c r="AK242" s="88">
        <f>SUMIF(月間集計シート!$M$92:$M$111,$G242,月間集計シート!T$92:T$111)*AK$2</f>
        <v>0</v>
      </c>
      <c r="AL242" s="88">
        <f>SUMIF(月間集計シート!$M$113:$M$132,$G242,月間集計シート!N$113:N$132)*AL$2</f>
        <v>0</v>
      </c>
      <c r="AM242" s="88">
        <f>SUMIF(月間集計シート!$M$113:$M$132,$G242,月間集計シート!O$113:O$132)*AM$2</f>
        <v>0</v>
      </c>
      <c r="AN242" s="88">
        <f>SUMIF(月間集計シート!$M$113:$M$132,$G242,月間集計シート!P$113:P$132)*AN$2</f>
        <v>0</v>
      </c>
      <c r="AO242" s="88">
        <f>SUMIF(月間集計シート!$M$113:$M$132,$G242,月間集計シート!Q$113:Q$132)*AO$2</f>
        <v>0</v>
      </c>
      <c r="AP242" s="88">
        <f>SUMIF(月間集計シート!$M$113:$M$132,$G242,月間集計シート!R$113:R$132)*AP$2</f>
        <v>0</v>
      </c>
      <c r="AQ242" s="88">
        <f>SUMIF(月間集計シート!$M$113:$M$132,$G242,月間集計シート!S$113:S$132)*AQ$2</f>
        <v>0</v>
      </c>
      <c r="AR242" s="88">
        <f>SUMIF(月間集計シート!$M$113:$M$132,$G242,月間集計シート!T$113:T$132)*AR$2</f>
        <v>0</v>
      </c>
      <c r="AS242" s="88">
        <f>SUMIF(月間集計シート!$M$134:$M$153,$G242,月間集計シート!N$134:N$153)*AS$2</f>
        <v>0</v>
      </c>
      <c r="AT242" s="88">
        <f>SUMIF(月間集計シート!$M$134:$M$153,$G242,月間集計シート!O$134:O$153)*AT$2</f>
        <v>0</v>
      </c>
      <c r="AU242" s="88">
        <f>SUMIF(月間集計シート!$M$134:$M$153,$G242,月間集計シート!P$134:P$153)*AU$2</f>
        <v>0</v>
      </c>
      <c r="AV242" s="88">
        <f>SUMIF(月間集計シート!$M$134:$M$153,$G242,月間集計シート!Q$134:Q$153)*AV$2</f>
        <v>0</v>
      </c>
      <c r="AW242" s="88">
        <f>SUMIF(月間集計シート!$M$134:$M$153,$G242,月間集計シート!R$134:R$153)*AW$2</f>
        <v>0</v>
      </c>
      <c r="AX242" s="88">
        <f>SUMIF(月間集計シート!$M$134:$M$153,$G242,月間集計シート!S$134:S$153)*AX$2</f>
        <v>0</v>
      </c>
      <c r="AY242" s="88">
        <f>SUMIF(月間集計シート!$M$134:$M$153,$G242,月間集計シート!T$134:T$153)*AY$2</f>
        <v>0</v>
      </c>
    </row>
    <row r="243" spans="1:51" ht="14.25" thickBot="1">
      <c r="A243">
        <v>3</v>
      </c>
      <c r="B243" s="120">
        <f t="shared" si="77"/>
        <v>0</v>
      </c>
      <c r="C243" s="120" t="str">
        <f t="shared" si="78"/>
        <v/>
      </c>
      <c r="D243" s="137"/>
      <c r="E243" s="150" t="str">
        <f>工種!A65</f>
        <v>80107</v>
      </c>
      <c r="F243" s="119" t="str">
        <f>工種!B65</f>
        <v>保守／ｻﾎﾟｰﾄ：ﾚﾋﾞｭｰ</v>
      </c>
      <c r="G243" s="116" t="str">
        <f t="shared" si="80"/>
        <v>080107</v>
      </c>
      <c r="H243" s="88">
        <f t="shared" ref="H243:H258" si="82">SUM(J243:AY243)</f>
        <v>0</v>
      </c>
      <c r="I243" s="132"/>
      <c r="J243" s="88">
        <f>SUMIF(月間集計シート!$M$29:$M$48,$G243,月間集計シート!N$29:N$48)*J$2</f>
        <v>0</v>
      </c>
      <c r="K243" s="88">
        <f>SUMIF(月間集計シート!$M$29:$M$48,$G243,月間集計シート!O$29:O$48)*K$2</f>
        <v>0</v>
      </c>
      <c r="L243" s="88">
        <f>SUMIF(月間集計シート!$M$29:$M$48,$G243,月間集計シート!P$29:P$48)*L$2</f>
        <v>0</v>
      </c>
      <c r="M243" s="88">
        <f>SUMIF(月間集計シート!$M$29:$M$48,$G243,月間集計シート!Q$29:Q$48)*M$2</f>
        <v>0</v>
      </c>
      <c r="N243" s="88">
        <f>SUMIF(月間集計シート!$M$29:$M$48,$G243,月間集計シート!R$29:R$48)*N$2</f>
        <v>0</v>
      </c>
      <c r="O243" s="88">
        <f>SUMIF(月間集計シート!$M$29:$M$48,$G243,月間集計シート!S$29:S$48)*O$2</f>
        <v>0</v>
      </c>
      <c r="P243" s="88">
        <f>SUMIF(月間集計シート!$M$29:$M$48,$G243,月間集計シート!T$29:T$48)*P$2</f>
        <v>0</v>
      </c>
      <c r="Q243" s="88">
        <f>SUMIF(月間集計シート!$M$50:$M$69,$G243,月間集計シート!N$50:N$69)*Q$2</f>
        <v>0</v>
      </c>
      <c r="R243" s="88">
        <f>SUMIF(月間集計シート!$M$50:$M$69,$G243,月間集計シート!O$50:O$69)*R$2</f>
        <v>0</v>
      </c>
      <c r="S243" s="88">
        <f>SUMIF(月間集計シート!$M$50:$M$69,$G243,月間集計シート!P$50:P$69)*S$2</f>
        <v>0</v>
      </c>
      <c r="T243" s="88">
        <f>SUMIF(月間集計シート!$M$50:$M$69,$G243,月間集計シート!Q$50:Q$69)*T$2</f>
        <v>0</v>
      </c>
      <c r="U243" s="88">
        <f>SUMIF(月間集計シート!$M$50:$M$69,$G243,月間集計シート!R$50:R$69)*U$2</f>
        <v>0</v>
      </c>
      <c r="V243" s="88">
        <f>SUMIF(月間集計シート!$M$50:$M$69,$G243,月間集計シート!S$50:S$69)*V$2</f>
        <v>0</v>
      </c>
      <c r="W243" s="88">
        <f>SUMIF(月間集計シート!$M$50:$M$69,$G243,月間集計シート!T$50:T$69)*W$2</f>
        <v>0</v>
      </c>
      <c r="X243" s="88">
        <f>SUMIF(月間集計シート!$M$71:$M$90,$G243,月間集計シート!N$71:N$90)*X$2</f>
        <v>0</v>
      </c>
      <c r="Y243" s="88">
        <f>SUMIF(月間集計シート!$M$71:$M$90,$G243,月間集計シート!O$71:O$90)*Y$2</f>
        <v>0</v>
      </c>
      <c r="Z243" s="88">
        <f>SUMIF(月間集計シート!$M$71:$M$90,$G243,月間集計シート!P$71:P$90)*Z$2</f>
        <v>0</v>
      </c>
      <c r="AA243" s="88">
        <f>SUMIF(月間集計シート!$M$71:$M$90,$G243,月間集計シート!Q$71:Q$90)*AA$2</f>
        <v>0</v>
      </c>
      <c r="AB243" s="88">
        <f>SUMIF(月間集計シート!$M$71:$M$90,$G243,月間集計シート!R$71:R$90)*AB$2</f>
        <v>0</v>
      </c>
      <c r="AC243" s="88">
        <f>SUMIF(月間集計シート!$M$71:$M$90,$G243,月間集計シート!S$71:S$90)*AC$2</f>
        <v>0</v>
      </c>
      <c r="AD243" s="88">
        <f>SUMIF(月間集計シート!$M$71:$M$90,$G243,月間集計シート!T$71:T$90)*AD$2</f>
        <v>0</v>
      </c>
      <c r="AE243" s="88">
        <f>SUMIF(月間集計シート!$M$92:$M$111,$G243,月間集計シート!N$92:N$111)*AE$2</f>
        <v>0</v>
      </c>
      <c r="AF243" s="88">
        <f>SUMIF(月間集計シート!$M$92:$M$111,$G243,月間集計シート!O$92:O$111)*AF$2</f>
        <v>0</v>
      </c>
      <c r="AG243" s="88">
        <f>SUMIF(月間集計シート!$M$92:$M$111,$G243,月間集計シート!P$92:P$111)*AG$2</f>
        <v>0</v>
      </c>
      <c r="AH243" s="88">
        <f>SUMIF(月間集計シート!$M$92:$M$111,$G243,月間集計シート!Q$92:Q$111)*AH$2</f>
        <v>0</v>
      </c>
      <c r="AI243" s="88">
        <f>SUMIF(月間集計シート!$M$92:$M$111,$G243,月間集計シート!R$92:R$111)*AI$2</f>
        <v>0</v>
      </c>
      <c r="AJ243" s="88">
        <f>SUMIF(月間集計シート!$M$92:$M$111,$G243,月間集計シート!S$92:S$111)*AJ$2</f>
        <v>0</v>
      </c>
      <c r="AK243" s="88">
        <f>SUMIF(月間集計シート!$M$92:$M$111,$G243,月間集計シート!T$92:T$111)*AK$2</f>
        <v>0</v>
      </c>
      <c r="AL243" s="88">
        <f>SUMIF(月間集計シート!$M$113:$M$132,$G243,月間集計シート!N$113:N$132)*AL$2</f>
        <v>0</v>
      </c>
      <c r="AM243" s="88">
        <f>SUMIF(月間集計シート!$M$113:$M$132,$G243,月間集計シート!O$113:O$132)*AM$2</f>
        <v>0</v>
      </c>
      <c r="AN243" s="88">
        <f>SUMIF(月間集計シート!$M$113:$M$132,$G243,月間集計シート!P$113:P$132)*AN$2</f>
        <v>0</v>
      </c>
      <c r="AO243" s="88">
        <f>SUMIF(月間集計シート!$M$113:$M$132,$G243,月間集計シート!Q$113:Q$132)*AO$2</f>
        <v>0</v>
      </c>
      <c r="AP243" s="88">
        <f>SUMIF(月間集計シート!$M$113:$M$132,$G243,月間集計シート!R$113:R$132)*AP$2</f>
        <v>0</v>
      </c>
      <c r="AQ243" s="88">
        <f>SUMIF(月間集計シート!$M$113:$M$132,$G243,月間集計シート!S$113:S$132)*AQ$2</f>
        <v>0</v>
      </c>
      <c r="AR243" s="88">
        <f>SUMIF(月間集計シート!$M$113:$M$132,$G243,月間集計シート!T$113:T$132)*AR$2</f>
        <v>0</v>
      </c>
      <c r="AS243" s="88">
        <f>SUMIF(月間集計シート!$M$134:$M$153,$G243,月間集計シート!N$134:N$153)*AS$2</f>
        <v>0</v>
      </c>
      <c r="AT243" s="88">
        <f>SUMIF(月間集計シート!$M$134:$M$153,$G243,月間集計シート!O$134:O$153)*AT$2</f>
        <v>0</v>
      </c>
      <c r="AU243" s="88">
        <f>SUMIF(月間集計シート!$M$134:$M$153,$G243,月間集計シート!P$134:P$153)*AU$2</f>
        <v>0</v>
      </c>
      <c r="AV243" s="88">
        <f>SUMIF(月間集計シート!$M$134:$M$153,$G243,月間集計シート!Q$134:Q$153)*AV$2</f>
        <v>0</v>
      </c>
      <c r="AW243" s="88">
        <f>SUMIF(月間集計シート!$M$134:$M$153,$G243,月間集計シート!R$134:R$153)*AW$2</f>
        <v>0</v>
      </c>
      <c r="AX243" s="88">
        <f>SUMIF(月間集計シート!$M$134:$M$153,$G243,月間集計シート!S$134:S$153)*AX$2</f>
        <v>0</v>
      </c>
      <c r="AY243" s="88">
        <f>SUMIF(月間集計シート!$M$134:$M$153,$G243,月間集計シート!T$134:T$153)*AY$2</f>
        <v>0</v>
      </c>
    </row>
    <row r="244" spans="1:51" ht="14.25" thickBot="1">
      <c r="A244">
        <v>3</v>
      </c>
      <c r="B244" s="120">
        <f t="shared" si="77"/>
        <v>0</v>
      </c>
      <c r="C244" s="120" t="str">
        <f t="shared" si="78"/>
        <v/>
      </c>
      <c r="D244" s="137"/>
      <c r="E244" s="150" t="str">
        <f>工種!A66</f>
        <v>80199</v>
      </c>
      <c r="F244" s="119" t="str">
        <f>工種!B66</f>
        <v>保守／ｻﾎﾟｰﾄ：その他</v>
      </c>
      <c r="G244" s="116" t="str">
        <f t="shared" si="80"/>
        <v>080199</v>
      </c>
      <c r="H244" s="88">
        <f t="shared" si="82"/>
        <v>0</v>
      </c>
      <c r="I244" s="132"/>
      <c r="J244" s="88">
        <f>SUMIF(月間集計シート!$M$29:$M$48,$G244,月間集計シート!N$29:N$48)*J$2</f>
        <v>0</v>
      </c>
      <c r="K244" s="88">
        <f>SUMIF(月間集計シート!$M$29:$M$48,$G244,月間集計シート!O$29:O$48)*K$2</f>
        <v>0</v>
      </c>
      <c r="L244" s="88">
        <f>SUMIF(月間集計シート!$M$29:$M$48,$G244,月間集計シート!P$29:P$48)*L$2</f>
        <v>0</v>
      </c>
      <c r="M244" s="88">
        <f>SUMIF(月間集計シート!$M$29:$M$48,$G244,月間集計シート!Q$29:Q$48)*M$2</f>
        <v>0</v>
      </c>
      <c r="N244" s="88">
        <f>SUMIF(月間集計シート!$M$29:$M$48,$G244,月間集計シート!R$29:R$48)*N$2</f>
        <v>0</v>
      </c>
      <c r="O244" s="88">
        <f>SUMIF(月間集計シート!$M$29:$M$48,$G244,月間集計シート!S$29:S$48)*O$2</f>
        <v>0</v>
      </c>
      <c r="P244" s="88">
        <f>SUMIF(月間集計シート!$M$29:$M$48,$G244,月間集計シート!T$29:T$48)*P$2</f>
        <v>0</v>
      </c>
      <c r="Q244" s="88">
        <f>SUMIF(月間集計シート!$M$50:$M$69,$G244,月間集計シート!N$50:N$69)*Q$2</f>
        <v>0</v>
      </c>
      <c r="R244" s="88">
        <f>SUMIF(月間集計シート!$M$50:$M$69,$G244,月間集計シート!O$50:O$69)*R$2</f>
        <v>0</v>
      </c>
      <c r="S244" s="88">
        <f>SUMIF(月間集計シート!$M$50:$M$69,$G244,月間集計シート!P$50:P$69)*S$2</f>
        <v>0</v>
      </c>
      <c r="T244" s="88">
        <f>SUMIF(月間集計シート!$M$50:$M$69,$G244,月間集計シート!Q$50:Q$69)*T$2</f>
        <v>0</v>
      </c>
      <c r="U244" s="88">
        <f>SUMIF(月間集計シート!$M$50:$M$69,$G244,月間集計シート!R$50:R$69)*U$2</f>
        <v>0</v>
      </c>
      <c r="V244" s="88">
        <f>SUMIF(月間集計シート!$M$50:$M$69,$G244,月間集計シート!S$50:S$69)*V$2</f>
        <v>0</v>
      </c>
      <c r="W244" s="88">
        <f>SUMIF(月間集計シート!$M$50:$M$69,$G244,月間集計シート!T$50:T$69)*W$2</f>
        <v>0</v>
      </c>
      <c r="X244" s="88">
        <f>SUMIF(月間集計シート!$M$71:$M$90,$G244,月間集計シート!N$71:N$90)*X$2</f>
        <v>0</v>
      </c>
      <c r="Y244" s="88">
        <f>SUMIF(月間集計シート!$M$71:$M$90,$G244,月間集計シート!O$71:O$90)*Y$2</f>
        <v>0</v>
      </c>
      <c r="Z244" s="88">
        <f>SUMIF(月間集計シート!$M$71:$M$90,$G244,月間集計シート!P$71:P$90)*Z$2</f>
        <v>0</v>
      </c>
      <c r="AA244" s="88">
        <f>SUMIF(月間集計シート!$M$71:$M$90,$G244,月間集計シート!Q$71:Q$90)*AA$2</f>
        <v>0</v>
      </c>
      <c r="AB244" s="88">
        <f>SUMIF(月間集計シート!$M$71:$M$90,$G244,月間集計シート!R$71:R$90)*AB$2</f>
        <v>0</v>
      </c>
      <c r="AC244" s="88">
        <f>SUMIF(月間集計シート!$M$71:$M$90,$G244,月間集計シート!S$71:S$90)*AC$2</f>
        <v>0</v>
      </c>
      <c r="AD244" s="88">
        <f>SUMIF(月間集計シート!$M$71:$M$90,$G244,月間集計シート!T$71:T$90)*AD$2</f>
        <v>0</v>
      </c>
      <c r="AE244" s="88">
        <f>SUMIF(月間集計シート!$M$92:$M$111,$G244,月間集計シート!N$92:N$111)*AE$2</f>
        <v>0</v>
      </c>
      <c r="AF244" s="88">
        <f>SUMIF(月間集計シート!$M$92:$M$111,$G244,月間集計シート!O$92:O$111)*AF$2</f>
        <v>0</v>
      </c>
      <c r="AG244" s="88">
        <f>SUMIF(月間集計シート!$M$92:$M$111,$G244,月間集計シート!P$92:P$111)*AG$2</f>
        <v>0</v>
      </c>
      <c r="AH244" s="88">
        <f>SUMIF(月間集計シート!$M$92:$M$111,$G244,月間集計シート!Q$92:Q$111)*AH$2</f>
        <v>0</v>
      </c>
      <c r="AI244" s="88">
        <f>SUMIF(月間集計シート!$M$92:$M$111,$G244,月間集計シート!R$92:R$111)*AI$2</f>
        <v>0</v>
      </c>
      <c r="AJ244" s="88">
        <f>SUMIF(月間集計シート!$M$92:$M$111,$G244,月間集計シート!S$92:S$111)*AJ$2</f>
        <v>0</v>
      </c>
      <c r="AK244" s="88">
        <f>SUMIF(月間集計シート!$M$92:$M$111,$G244,月間集計シート!T$92:T$111)*AK$2</f>
        <v>0</v>
      </c>
      <c r="AL244" s="88">
        <f>SUMIF(月間集計シート!$M$113:$M$132,$G244,月間集計シート!N$113:N$132)*AL$2</f>
        <v>0</v>
      </c>
      <c r="AM244" s="88">
        <f>SUMIF(月間集計シート!$M$113:$M$132,$G244,月間集計シート!O$113:O$132)*AM$2</f>
        <v>0</v>
      </c>
      <c r="AN244" s="88">
        <f>SUMIF(月間集計シート!$M$113:$M$132,$G244,月間集計シート!P$113:P$132)*AN$2</f>
        <v>0</v>
      </c>
      <c r="AO244" s="88">
        <f>SUMIF(月間集計シート!$M$113:$M$132,$G244,月間集計シート!Q$113:Q$132)*AO$2</f>
        <v>0</v>
      </c>
      <c r="AP244" s="88">
        <f>SUMIF(月間集計シート!$M$113:$M$132,$G244,月間集計シート!R$113:R$132)*AP$2</f>
        <v>0</v>
      </c>
      <c r="AQ244" s="88">
        <f>SUMIF(月間集計シート!$M$113:$M$132,$G244,月間集計シート!S$113:S$132)*AQ$2</f>
        <v>0</v>
      </c>
      <c r="AR244" s="88">
        <f>SUMIF(月間集計シート!$M$113:$M$132,$G244,月間集計シート!T$113:T$132)*AR$2</f>
        <v>0</v>
      </c>
      <c r="AS244" s="88">
        <f>SUMIF(月間集計シート!$M$134:$M$153,$G244,月間集計シート!N$134:N$153)*AS$2</f>
        <v>0</v>
      </c>
      <c r="AT244" s="88">
        <f>SUMIF(月間集計シート!$M$134:$M$153,$G244,月間集計シート!O$134:O$153)*AT$2</f>
        <v>0</v>
      </c>
      <c r="AU244" s="88">
        <f>SUMIF(月間集計シート!$M$134:$M$153,$G244,月間集計シート!P$134:P$153)*AU$2</f>
        <v>0</v>
      </c>
      <c r="AV244" s="88">
        <f>SUMIF(月間集計シート!$M$134:$M$153,$G244,月間集計シート!Q$134:Q$153)*AV$2</f>
        <v>0</v>
      </c>
      <c r="AW244" s="88">
        <f>SUMIF(月間集計シート!$M$134:$M$153,$G244,月間集計シート!R$134:R$153)*AW$2</f>
        <v>0</v>
      </c>
      <c r="AX244" s="88">
        <f>SUMIF(月間集計シート!$M$134:$M$153,$G244,月間集計シート!S$134:S$153)*AX$2</f>
        <v>0</v>
      </c>
      <c r="AY244" s="88">
        <f>SUMIF(月間集計シート!$M$134:$M$153,$G244,月間集計シート!T$134:T$153)*AY$2</f>
        <v>0</v>
      </c>
    </row>
    <row r="245" spans="1:51" ht="14.25" thickBot="1">
      <c r="A245">
        <v>3</v>
      </c>
      <c r="B245" s="120">
        <f t="shared" ref="B245:C260" si="83">B244</f>
        <v>0</v>
      </c>
      <c r="C245" s="120" t="str">
        <f t="shared" si="83"/>
        <v/>
      </c>
      <c r="D245" s="137"/>
      <c r="E245" s="150" t="str">
        <f>工種!A67</f>
        <v>90101</v>
      </c>
      <c r="F245" s="119" t="str">
        <f>工種!B67</f>
        <v>管理業務：ﾌﾟﾛｼﾞｪｸﾄ管理</v>
      </c>
      <c r="G245" s="116" t="str">
        <f t="shared" si="80"/>
        <v>090101</v>
      </c>
      <c r="H245" s="88">
        <f t="shared" si="82"/>
        <v>0</v>
      </c>
      <c r="I245" s="132"/>
      <c r="J245" s="88">
        <f>SUMIF(月間集計シート!$M$29:$M$48,$G245,月間集計シート!N$29:N$48)*J$2</f>
        <v>0</v>
      </c>
      <c r="K245" s="88">
        <f>SUMIF(月間集計シート!$M$29:$M$48,$G245,月間集計シート!O$29:O$48)*K$2</f>
        <v>0</v>
      </c>
      <c r="L245" s="88">
        <f>SUMIF(月間集計シート!$M$29:$M$48,$G245,月間集計シート!P$29:P$48)*L$2</f>
        <v>0</v>
      </c>
      <c r="M245" s="88">
        <f>SUMIF(月間集計シート!$M$29:$M$48,$G245,月間集計シート!Q$29:Q$48)*M$2</f>
        <v>0</v>
      </c>
      <c r="N245" s="88">
        <f>SUMIF(月間集計シート!$M$29:$M$48,$G245,月間集計シート!R$29:R$48)*N$2</f>
        <v>0</v>
      </c>
      <c r="O245" s="88">
        <f>SUMIF(月間集計シート!$M$29:$M$48,$G245,月間集計シート!S$29:S$48)*O$2</f>
        <v>0</v>
      </c>
      <c r="P245" s="88">
        <f>SUMIF(月間集計シート!$M$29:$M$48,$G245,月間集計シート!T$29:T$48)*P$2</f>
        <v>0</v>
      </c>
      <c r="Q245" s="88">
        <f>SUMIF(月間集計シート!$M$50:$M$69,$G245,月間集計シート!N$50:N$69)*Q$2</f>
        <v>0</v>
      </c>
      <c r="R245" s="88">
        <f>SUMIF(月間集計シート!$M$50:$M$69,$G245,月間集計シート!O$50:O$69)*R$2</f>
        <v>0</v>
      </c>
      <c r="S245" s="88">
        <f>SUMIF(月間集計シート!$M$50:$M$69,$G245,月間集計シート!P$50:P$69)*S$2</f>
        <v>0</v>
      </c>
      <c r="T245" s="88">
        <f>SUMIF(月間集計シート!$M$50:$M$69,$G245,月間集計シート!Q$50:Q$69)*T$2</f>
        <v>0</v>
      </c>
      <c r="U245" s="88">
        <f>SUMIF(月間集計シート!$M$50:$M$69,$G245,月間集計シート!R$50:R$69)*U$2</f>
        <v>0</v>
      </c>
      <c r="V245" s="88">
        <f>SUMIF(月間集計シート!$M$50:$M$69,$G245,月間集計シート!S$50:S$69)*V$2</f>
        <v>0</v>
      </c>
      <c r="W245" s="88">
        <f>SUMIF(月間集計シート!$M$50:$M$69,$G245,月間集計シート!T$50:T$69)*W$2</f>
        <v>0</v>
      </c>
      <c r="X245" s="88">
        <f>SUMIF(月間集計シート!$M$71:$M$90,$G245,月間集計シート!N$71:N$90)*X$2</f>
        <v>0</v>
      </c>
      <c r="Y245" s="88">
        <f>SUMIF(月間集計シート!$M$71:$M$90,$G245,月間集計シート!O$71:O$90)*Y$2</f>
        <v>0</v>
      </c>
      <c r="Z245" s="88">
        <f>SUMIF(月間集計シート!$M$71:$M$90,$G245,月間集計シート!P$71:P$90)*Z$2</f>
        <v>0</v>
      </c>
      <c r="AA245" s="88">
        <f>SUMIF(月間集計シート!$M$71:$M$90,$G245,月間集計シート!Q$71:Q$90)*AA$2</f>
        <v>0</v>
      </c>
      <c r="AB245" s="88">
        <f>SUMIF(月間集計シート!$M$71:$M$90,$G245,月間集計シート!R$71:R$90)*AB$2</f>
        <v>0</v>
      </c>
      <c r="AC245" s="88">
        <f>SUMIF(月間集計シート!$M$71:$M$90,$G245,月間集計シート!S$71:S$90)*AC$2</f>
        <v>0</v>
      </c>
      <c r="AD245" s="88">
        <f>SUMIF(月間集計シート!$M$71:$M$90,$G245,月間集計シート!T$71:T$90)*AD$2</f>
        <v>0</v>
      </c>
      <c r="AE245" s="88">
        <f>SUMIF(月間集計シート!$M$92:$M$111,$G245,月間集計シート!N$92:N$111)*AE$2</f>
        <v>0</v>
      </c>
      <c r="AF245" s="88">
        <f>SUMIF(月間集計シート!$M$92:$M$111,$G245,月間集計シート!O$92:O$111)*AF$2</f>
        <v>0</v>
      </c>
      <c r="AG245" s="88">
        <f>SUMIF(月間集計シート!$M$92:$M$111,$G245,月間集計シート!P$92:P$111)*AG$2</f>
        <v>0</v>
      </c>
      <c r="AH245" s="88">
        <f>SUMIF(月間集計シート!$M$92:$M$111,$G245,月間集計シート!Q$92:Q$111)*AH$2</f>
        <v>0</v>
      </c>
      <c r="AI245" s="88">
        <f>SUMIF(月間集計シート!$M$92:$M$111,$G245,月間集計シート!R$92:R$111)*AI$2</f>
        <v>0</v>
      </c>
      <c r="AJ245" s="88">
        <f>SUMIF(月間集計シート!$M$92:$M$111,$G245,月間集計シート!S$92:S$111)*AJ$2</f>
        <v>0</v>
      </c>
      <c r="AK245" s="88">
        <f>SUMIF(月間集計シート!$M$92:$M$111,$G245,月間集計シート!T$92:T$111)*AK$2</f>
        <v>0</v>
      </c>
      <c r="AL245" s="88">
        <f>SUMIF(月間集計シート!$M$113:$M$132,$G245,月間集計シート!N$113:N$132)*AL$2</f>
        <v>0</v>
      </c>
      <c r="AM245" s="88">
        <f>SUMIF(月間集計シート!$M$113:$M$132,$G245,月間集計シート!O$113:O$132)*AM$2</f>
        <v>0</v>
      </c>
      <c r="AN245" s="88">
        <f>SUMIF(月間集計シート!$M$113:$M$132,$G245,月間集計シート!P$113:P$132)*AN$2</f>
        <v>0</v>
      </c>
      <c r="AO245" s="88">
        <f>SUMIF(月間集計シート!$M$113:$M$132,$G245,月間集計シート!Q$113:Q$132)*AO$2</f>
        <v>0</v>
      </c>
      <c r="AP245" s="88">
        <f>SUMIF(月間集計シート!$M$113:$M$132,$G245,月間集計シート!R$113:R$132)*AP$2</f>
        <v>0</v>
      </c>
      <c r="AQ245" s="88">
        <f>SUMIF(月間集計シート!$M$113:$M$132,$G245,月間集計シート!S$113:S$132)*AQ$2</f>
        <v>0</v>
      </c>
      <c r="AR245" s="88">
        <f>SUMIF(月間集計シート!$M$113:$M$132,$G245,月間集計シート!T$113:T$132)*AR$2</f>
        <v>0</v>
      </c>
      <c r="AS245" s="88">
        <f>SUMIF(月間集計シート!$M$134:$M$153,$G245,月間集計シート!N$134:N$153)*AS$2</f>
        <v>0</v>
      </c>
      <c r="AT245" s="88">
        <f>SUMIF(月間集計シート!$M$134:$M$153,$G245,月間集計シート!O$134:O$153)*AT$2</f>
        <v>0</v>
      </c>
      <c r="AU245" s="88">
        <f>SUMIF(月間集計シート!$M$134:$M$153,$G245,月間集計シート!P$134:P$153)*AU$2</f>
        <v>0</v>
      </c>
      <c r="AV245" s="88">
        <f>SUMIF(月間集計シート!$M$134:$M$153,$G245,月間集計シート!Q$134:Q$153)*AV$2</f>
        <v>0</v>
      </c>
      <c r="AW245" s="88">
        <f>SUMIF(月間集計シート!$M$134:$M$153,$G245,月間集計シート!R$134:R$153)*AW$2</f>
        <v>0</v>
      </c>
      <c r="AX245" s="88">
        <f>SUMIF(月間集計シート!$M$134:$M$153,$G245,月間集計シート!S$134:S$153)*AX$2</f>
        <v>0</v>
      </c>
      <c r="AY245" s="88">
        <f>SUMIF(月間集計シート!$M$134:$M$153,$G245,月間集計シート!T$134:T$153)*AY$2</f>
        <v>0</v>
      </c>
    </row>
    <row r="246" spans="1:51" ht="14.25" thickBot="1">
      <c r="A246">
        <v>3</v>
      </c>
      <c r="B246" s="120">
        <f t="shared" si="83"/>
        <v>0</v>
      </c>
      <c r="C246" s="120" t="str">
        <f t="shared" si="83"/>
        <v/>
      </c>
      <c r="D246" s="137"/>
      <c r="E246" s="150" t="str">
        <f>工種!A68</f>
        <v>90102</v>
      </c>
      <c r="F246" s="119" t="str">
        <f>工種!B68</f>
        <v>管理業務：開発環境管理</v>
      </c>
      <c r="G246" s="116" t="str">
        <f t="shared" si="80"/>
        <v>090102</v>
      </c>
      <c r="H246" s="88">
        <f t="shared" si="82"/>
        <v>0</v>
      </c>
      <c r="I246" s="132"/>
      <c r="J246" s="88">
        <f>SUMIF(月間集計シート!$M$29:$M$48,$G246,月間集計シート!N$29:N$48)*J$2</f>
        <v>0</v>
      </c>
      <c r="K246" s="88">
        <f>SUMIF(月間集計シート!$M$29:$M$48,$G246,月間集計シート!O$29:O$48)*K$2</f>
        <v>0</v>
      </c>
      <c r="L246" s="88">
        <f>SUMIF(月間集計シート!$M$29:$M$48,$G246,月間集計シート!P$29:P$48)*L$2</f>
        <v>0</v>
      </c>
      <c r="M246" s="88">
        <f>SUMIF(月間集計シート!$M$29:$M$48,$G246,月間集計シート!Q$29:Q$48)*M$2</f>
        <v>0</v>
      </c>
      <c r="N246" s="88">
        <f>SUMIF(月間集計シート!$M$29:$M$48,$G246,月間集計シート!R$29:R$48)*N$2</f>
        <v>0</v>
      </c>
      <c r="O246" s="88">
        <f>SUMIF(月間集計シート!$M$29:$M$48,$G246,月間集計シート!S$29:S$48)*O$2</f>
        <v>0</v>
      </c>
      <c r="P246" s="88">
        <f>SUMIF(月間集計シート!$M$29:$M$48,$G246,月間集計シート!T$29:T$48)*P$2</f>
        <v>0</v>
      </c>
      <c r="Q246" s="88">
        <f>SUMIF(月間集計シート!$M$50:$M$69,$G246,月間集計シート!N$50:N$69)*Q$2</f>
        <v>0</v>
      </c>
      <c r="R246" s="88">
        <f>SUMIF(月間集計シート!$M$50:$M$69,$G246,月間集計シート!O$50:O$69)*R$2</f>
        <v>0</v>
      </c>
      <c r="S246" s="88">
        <f>SUMIF(月間集計シート!$M$50:$M$69,$G246,月間集計シート!P$50:P$69)*S$2</f>
        <v>0</v>
      </c>
      <c r="T246" s="88">
        <f>SUMIF(月間集計シート!$M$50:$M$69,$G246,月間集計シート!Q$50:Q$69)*T$2</f>
        <v>0</v>
      </c>
      <c r="U246" s="88">
        <f>SUMIF(月間集計シート!$M$50:$M$69,$G246,月間集計シート!R$50:R$69)*U$2</f>
        <v>0</v>
      </c>
      <c r="V246" s="88">
        <f>SUMIF(月間集計シート!$M$50:$M$69,$G246,月間集計シート!S$50:S$69)*V$2</f>
        <v>0</v>
      </c>
      <c r="W246" s="88">
        <f>SUMIF(月間集計シート!$M$50:$M$69,$G246,月間集計シート!T$50:T$69)*W$2</f>
        <v>0</v>
      </c>
      <c r="X246" s="88">
        <f>SUMIF(月間集計シート!$M$71:$M$90,$G246,月間集計シート!N$71:N$90)*X$2</f>
        <v>0</v>
      </c>
      <c r="Y246" s="88">
        <f>SUMIF(月間集計シート!$M$71:$M$90,$G246,月間集計シート!O$71:O$90)*Y$2</f>
        <v>0</v>
      </c>
      <c r="Z246" s="88">
        <f>SUMIF(月間集計シート!$M$71:$M$90,$G246,月間集計シート!P$71:P$90)*Z$2</f>
        <v>0</v>
      </c>
      <c r="AA246" s="88">
        <f>SUMIF(月間集計シート!$M$71:$M$90,$G246,月間集計シート!Q$71:Q$90)*AA$2</f>
        <v>0</v>
      </c>
      <c r="AB246" s="88">
        <f>SUMIF(月間集計シート!$M$71:$M$90,$G246,月間集計シート!R$71:R$90)*AB$2</f>
        <v>0</v>
      </c>
      <c r="AC246" s="88">
        <f>SUMIF(月間集計シート!$M$71:$M$90,$G246,月間集計シート!S$71:S$90)*AC$2</f>
        <v>0</v>
      </c>
      <c r="AD246" s="88">
        <f>SUMIF(月間集計シート!$M$71:$M$90,$G246,月間集計シート!T$71:T$90)*AD$2</f>
        <v>0</v>
      </c>
      <c r="AE246" s="88">
        <f>SUMIF(月間集計シート!$M$92:$M$111,$G246,月間集計シート!N$92:N$111)*AE$2</f>
        <v>0</v>
      </c>
      <c r="AF246" s="88">
        <f>SUMIF(月間集計シート!$M$92:$M$111,$G246,月間集計シート!O$92:O$111)*AF$2</f>
        <v>0</v>
      </c>
      <c r="AG246" s="88">
        <f>SUMIF(月間集計シート!$M$92:$M$111,$G246,月間集計シート!P$92:P$111)*AG$2</f>
        <v>0</v>
      </c>
      <c r="AH246" s="88">
        <f>SUMIF(月間集計シート!$M$92:$M$111,$G246,月間集計シート!Q$92:Q$111)*AH$2</f>
        <v>0</v>
      </c>
      <c r="AI246" s="88">
        <f>SUMIF(月間集計シート!$M$92:$M$111,$G246,月間集計シート!R$92:R$111)*AI$2</f>
        <v>0</v>
      </c>
      <c r="AJ246" s="88">
        <f>SUMIF(月間集計シート!$M$92:$M$111,$G246,月間集計シート!S$92:S$111)*AJ$2</f>
        <v>0</v>
      </c>
      <c r="AK246" s="88">
        <f>SUMIF(月間集計シート!$M$92:$M$111,$G246,月間集計シート!T$92:T$111)*AK$2</f>
        <v>0</v>
      </c>
      <c r="AL246" s="88">
        <f>SUMIF(月間集計シート!$M$113:$M$132,$G246,月間集計シート!N$113:N$132)*AL$2</f>
        <v>0</v>
      </c>
      <c r="AM246" s="88">
        <f>SUMIF(月間集計シート!$M$113:$M$132,$G246,月間集計シート!O$113:O$132)*AM$2</f>
        <v>0</v>
      </c>
      <c r="AN246" s="88">
        <f>SUMIF(月間集計シート!$M$113:$M$132,$G246,月間集計シート!P$113:P$132)*AN$2</f>
        <v>0</v>
      </c>
      <c r="AO246" s="88">
        <f>SUMIF(月間集計シート!$M$113:$M$132,$G246,月間集計シート!Q$113:Q$132)*AO$2</f>
        <v>0</v>
      </c>
      <c r="AP246" s="88">
        <f>SUMIF(月間集計シート!$M$113:$M$132,$G246,月間集計シート!R$113:R$132)*AP$2</f>
        <v>0</v>
      </c>
      <c r="AQ246" s="88">
        <f>SUMIF(月間集計シート!$M$113:$M$132,$G246,月間集計シート!S$113:S$132)*AQ$2</f>
        <v>0</v>
      </c>
      <c r="AR246" s="88">
        <f>SUMIF(月間集計シート!$M$113:$M$132,$G246,月間集計シート!T$113:T$132)*AR$2</f>
        <v>0</v>
      </c>
      <c r="AS246" s="88">
        <f>SUMIF(月間集計シート!$M$134:$M$153,$G246,月間集計シート!N$134:N$153)*AS$2</f>
        <v>0</v>
      </c>
      <c r="AT246" s="88">
        <f>SUMIF(月間集計シート!$M$134:$M$153,$G246,月間集計シート!O$134:O$153)*AT$2</f>
        <v>0</v>
      </c>
      <c r="AU246" s="88">
        <f>SUMIF(月間集計シート!$M$134:$M$153,$G246,月間集計シート!P$134:P$153)*AU$2</f>
        <v>0</v>
      </c>
      <c r="AV246" s="88">
        <f>SUMIF(月間集計シート!$M$134:$M$153,$G246,月間集計シート!Q$134:Q$153)*AV$2</f>
        <v>0</v>
      </c>
      <c r="AW246" s="88">
        <f>SUMIF(月間集計シート!$M$134:$M$153,$G246,月間集計シート!R$134:R$153)*AW$2</f>
        <v>0</v>
      </c>
      <c r="AX246" s="88">
        <f>SUMIF(月間集計シート!$M$134:$M$153,$G246,月間集計シート!S$134:S$153)*AX$2</f>
        <v>0</v>
      </c>
      <c r="AY246" s="88">
        <f>SUMIF(月間集計シート!$M$134:$M$153,$G246,月間集計シート!T$134:T$153)*AY$2</f>
        <v>0</v>
      </c>
    </row>
    <row r="247" spans="1:51" ht="14.25" thickBot="1">
      <c r="A247">
        <v>3</v>
      </c>
      <c r="B247" s="120">
        <f t="shared" si="83"/>
        <v>0</v>
      </c>
      <c r="C247" s="120" t="str">
        <f t="shared" si="83"/>
        <v/>
      </c>
      <c r="D247" s="137"/>
      <c r="E247" s="150" t="str">
        <f>工種!A69</f>
        <v>90103</v>
      </c>
      <c r="F247" s="119" t="str">
        <f>工種!B69</f>
        <v>管理業務：標準化・開発業務改善作業</v>
      </c>
      <c r="G247" s="116" t="str">
        <f t="shared" si="80"/>
        <v>090103</v>
      </c>
      <c r="H247" s="88">
        <f t="shared" si="82"/>
        <v>0</v>
      </c>
      <c r="I247" s="132"/>
      <c r="J247" s="88">
        <f>SUMIF(月間集計シート!$M$29:$M$48,$G247,月間集計シート!N$29:N$48)*J$2</f>
        <v>0</v>
      </c>
      <c r="K247" s="88">
        <f>SUMIF(月間集計シート!$M$29:$M$48,$G247,月間集計シート!O$29:O$48)*K$2</f>
        <v>0</v>
      </c>
      <c r="L247" s="88">
        <f>SUMIF(月間集計シート!$M$29:$M$48,$G247,月間集計シート!P$29:P$48)*L$2</f>
        <v>0</v>
      </c>
      <c r="M247" s="88">
        <f>SUMIF(月間集計シート!$M$29:$M$48,$G247,月間集計シート!Q$29:Q$48)*M$2</f>
        <v>0</v>
      </c>
      <c r="N247" s="88">
        <f>SUMIF(月間集計シート!$M$29:$M$48,$G247,月間集計シート!R$29:R$48)*N$2</f>
        <v>0</v>
      </c>
      <c r="O247" s="88">
        <f>SUMIF(月間集計シート!$M$29:$M$48,$G247,月間集計シート!S$29:S$48)*O$2</f>
        <v>0</v>
      </c>
      <c r="P247" s="88">
        <f>SUMIF(月間集計シート!$M$29:$M$48,$G247,月間集計シート!T$29:T$48)*P$2</f>
        <v>0</v>
      </c>
      <c r="Q247" s="88">
        <f>SUMIF(月間集計シート!$M$50:$M$69,$G247,月間集計シート!N$50:N$69)*Q$2</f>
        <v>0</v>
      </c>
      <c r="R247" s="88">
        <f>SUMIF(月間集計シート!$M$50:$M$69,$G247,月間集計シート!O$50:O$69)*R$2</f>
        <v>0</v>
      </c>
      <c r="S247" s="88">
        <f>SUMIF(月間集計シート!$M$50:$M$69,$G247,月間集計シート!P$50:P$69)*S$2</f>
        <v>0</v>
      </c>
      <c r="T247" s="88">
        <f>SUMIF(月間集計シート!$M$50:$M$69,$G247,月間集計シート!Q$50:Q$69)*T$2</f>
        <v>0</v>
      </c>
      <c r="U247" s="88">
        <f>SUMIF(月間集計シート!$M$50:$M$69,$G247,月間集計シート!R$50:R$69)*U$2</f>
        <v>0</v>
      </c>
      <c r="V247" s="88">
        <f>SUMIF(月間集計シート!$M$50:$M$69,$G247,月間集計シート!S$50:S$69)*V$2</f>
        <v>0</v>
      </c>
      <c r="W247" s="88">
        <f>SUMIF(月間集計シート!$M$50:$M$69,$G247,月間集計シート!T$50:T$69)*W$2</f>
        <v>0</v>
      </c>
      <c r="X247" s="88">
        <f>SUMIF(月間集計シート!$M$71:$M$90,$G247,月間集計シート!N$71:N$90)*X$2</f>
        <v>0</v>
      </c>
      <c r="Y247" s="88">
        <f>SUMIF(月間集計シート!$M$71:$M$90,$G247,月間集計シート!O$71:O$90)*Y$2</f>
        <v>0</v>
      </c>
      <c r="Z247" s="88">
        <f>SUMIF(月間集計シート!$M$71:$M$90,$G247,月間集計シート!P$71:P$90)*Z$2</f>
        <v>0</v>
      </c>
      <c r="AA247" s="88">
        <f>SUMIF(月間集計シート!$M$71:$M$90,$G247,月間集計シート!Q$71:Q$90)*AA$2</f>
        <v>0</v>
      </c>
      <c r="AB247" s="88">
        <f>SUMIF(月間集計シート!$M$71:$M$90,$G247,月間集計シート!R$71:R$90)*AB$2</f>
        <v>0</v>
      </c>
      <c r="AC247" s="88">
        <f>SUMIF(月間集計シート!$M$71:$M$90,$G247,月間集計シート!S$71:S$90)*AC$2</f>
        <v>0</v>
      </c>
      <c r="AD247" s="88">
        <f>SUMIF(月間集計シート!$M$71:$M$90,$G247,月間集計シート!T$71:T$90)*AD$2</f>
        <v>0</v>
      </c>
      <c r="AE247" s="88">
        <f>SUMIF(月間集計シート!$M$92:$M$111,$G247,月間集計シート!N$92:N$111)*AE$2</f>
        <v>0</v>
      </c>
      <c r="AF247" s="88">
        <f>SUMIF(月間集計シート!$M$92:$M$111,$G247,月間集計シート!O$92:O$111)*AF$2</f>
        <v>0</v>
      </c>
      <c r="AG247" s="88">
        <f>SUMIF(月間集計シート!$M$92:$M$111,$G247,月間集計シート!P$92:P$111)*AG$2</f>
        <v>0</v>
      </c>
      <c r="AH247" s="88">
        <f>SUMIF(月間集計シート!$M$92:$M$111,$G247,月間集計シート!Q$92:Q$111)*AH$2</f>
        <v>0</v>
      </c>
      <c r="AI247" s="88">
        <f>SUMIF(月間集計シート!$M$92:$M$111,$G247,月間集計シート!R$92:R$111)*AI$2</f>
        <v>0</v>
      </c>
      <c r="AJ247" s="88">
        <f>SUMIF(月間集計シート!$M$92:$M$111,$G247,月間集計シート!S$92:S$111)*AJ$2</f>
        <v>0</v>
      </c>
      <c r="AK247" s="88">
        <f>SUMIF(月間集計シート!$M$92:$M$111,$G247,月間集計シート!T$92:T$111)*AK$2</f>
        <v>0</v>
      </c>
      <c r="AL247" s="88">
        <f>SUMIF(月間集計シート!$M$113:$M$132,$G247,月間集計シート!N$113:N$132)*AL$2</f>
        <v>0</v>
      </c>
      <c r="AM247" s="88">
        <f>SUMIF(月間集計シート!$M$113:$M$132,$G247,月間集計シート!O$113:O$132)*AM$2</f>
        <v>0</v>
      </c>
      <c r="AN247" s="88">
        <f>SUMIF(月間集計シート!$M$113:$M$132,$G247,月間集計シート!P$113:P$132)*AN$2</f>
        <v>0</v>
      </c>
      <c r="AO247" s="88">
        <f>SUMIF(月間集計シート!$M$113:$M$132,$G247,月間集計シート!Q$113:Q$132)*AO$2</f>
        <v>0</v>
      </c>
      <c r="AP247" s="88">
        <f>SUMIF(月間集計シート!$M$113:$M$132,$G247,月間集計シート!R$113:R$132)*AP$2</f>
        <v>0</v>
      </c>
      <c r="AQ247" s="88">
        <f>SUMIF(月間集計シート!$M$113:$M$132,$G247,月間集計シート!S$113:S$132)*AQ$2</f>
        <v>0</v>
      </c>
      <c r="AR247" s="88">
        <f>SUMIF(月間集計シート!$M$113:$M$132,$G247,月間集計シート!T$113:T$132)*AR$2</f>
        <v>0</v>
      </c>
      <c r="AS247" s="88">
        <f>SUMIF(月間集計シート!$M$134:$M$153,$G247,月間集計シート!N$134:N$153)*AS$2</f>
        <v>0</v>
      </c>
      <c r="AT247" s="88">
        <f>SUMIF(月間集計シート!$M$134:$M$153,$G247,月間集計シート!O$134:O$153)*AT$2</f>
        <v>0</v>
      </c>
      <c r="AU247" s="88">
        <f>SUMIF(月間集計シート!$M$134:$M$153,$G247,月間集計シート!P$134:P$153)*AU$2</f>
        <v>0</v>
      </c>
      <c r="AV247" s="88">
        <f>SUMIF(月間集計シート!$M$134:$M$153,$G247,月間集計シート!Q$134:Q$153)*AV$2</f>
        <v>0</v>
      </c>
      <c r="AW247" s="88">
        <f>SUMIF(月間集計シート!$M$134:$M$153,$G247,月間集計シート!R$134:R$153)*AW$2</f>
        <v>0</v>
      </c>
      <c r="AX247" s="88">
        <f>SUMIF(月間集計シート!$M$134:$M$153,$G247,月間集計シート!S$134:S$153)*AX$2</f>
        <v>0</v>
      </c>
      <c r="AY247" s="88">
        <f>SUMIF(月間集計シート!$M$134:$M$153,$G247,月間集計シート!T$134:T$153)*AY$2</f>
        <v>0</v>
      </c>
    </row>
    <row r="248" spans="1:51" ht="14.25" thickBot="1">
      <c r="A248">
        <v>3</v>
      </c>
      <c r="B248" s="120">
        <f t="shared" si="83"/>
        <v>0</v>
      </c>
      <c r="C248" s="120" t="str">
        <f t="shared" si="83"/>
        <v/>
      </c>
      <c r="D248" s="137"/>
      <c r="E248" s="150" t="str">
        <f>工種!A70</f>
        <v>90104</v>
      </c>
      <c r="F248" s="119" t="str">
        <f>工種!B70</f>
        <v>管理業務：開発業務の引継ぎ</v>
      </c>
      <c r="G248" s="116" t="str">
        <f t="shared" si="80"/>
        <v>090104</v>
      </c>
      <c r="H248" s="88">
        <f t="shared" si="82"/>
        <v>0</v>
      </c>
      <c r="I248" s="132"/>
      <c r="J248" s="88">
        <f>SUMIF(月間集計シート!$M$29:$M$48,$G248,月間集計シート!N$29:N$48)*J$2</f>
        <v>0</v>
      </c>
      <c r="K248" s="88">
        <f>SUMIF(月間集計シート!$M$29:$M$48,$G248,月間集計シート!O$29:O$48)*K$2</f>
        <v>0</v>
      </c>
      <c r="L248" s="88">
        <f>SUMIF(月間集計シート!$M$29:$M$48,$G248,月間集計シート!P$29:P$48)*L$2</f>
        <v>0</v>
      </c>
      <c r="M248" s="88">
        <f>SUMIF(月間集計シート!$M$29:$M$48,$G248,月間集計シート!Q$29:Q$48)*M$2</f>
        <v>0</v>
      </c>
      <c r="N248" s="88">
        <f>SUMIF(月間集計シート!$M$29:$M$48,$G248,月間集計シート!R$29:R$48)*N$2</f>
        <v>0</v>
      </c>
      <c r="O248" s="88">
        <f>SUMIF(月間集計シート!$M$29:$M$48,$G248,月間集計シート!S$29:S$48)*O$2</f>
        <v>0</v>
      </c>
      <c r="P248" s="88">
        <f>SUMIF(月間集計シート!$M$29:$M$48,$G248,月間集計シート!T$29:T$48)*P$2</f>
        <v>0</v>
      </c>
      <c r="Q248" s="88">
        <f>SUMIF(月間集計シート!$M$50:$M$69,$G248,月間集計シート!N$50:N$69)*Q$2</f>
        <v>0</v>
      </c>
      <c r="R248" s="88">
        <f>SUMIF(月間集計シート!$M$50:$M$69,$G248,月間集計シート!O$50:O$69)*R$2</f>
        <v>0</v>
      </c>
      <c r="S248" s="88">
        <f>SUMIF(月間集計シート!$M$50:$M$69,$G248,月間集計シート!P$50:P$69)*S$2</f>
        <v>0</v>
      </c>
      <c r="T248" s="88">
        <f>SUMIF(月間集計シート!$M$50:$M$69,$G248,月間集計シート!Q$50:Q$69)*T$2</f>
        <v>0</v>
      </c>
      <c r="U248" s="88">
        <f>SUMIF(月間集計シート!$M$50:$M$69,$G248,月間集計シート!R$50:R$69)*U$2</f>
        <v>0</v>
      </c>
      <c r="V248" s="88">
        <f>SUMIF(月間集計シート!$M$50:$M$69,$G248,月間集計シート!S$50:S$69)*V$2</f>
        <v>0</v>
      </c>
      <c r="W248" s="88">
        <f>SUMIF(月間集計シート!$M$50:$M$69,$G248,月間集計シート!T$50:T$69)*W$2</f>
        <v>0</v>
      </c>
      <c r="X248" s="88">
        <f>SUMIF(月間集計シート!$M$71:$M$90,$G248,月間集計シート!N$71:N$90)*X$2</f>
        <v>0</v>
      </c>
      <c r="Y248" s="88">
        <f>SUMIF(月間集計シート!$M$71:$M$90,$G248,月間集計シート!O$71:O$90)*Y$2</f>
        <v>0</v>
      </c>
      <c r="Z248" s="88">
        <f>SUMIF(月間集計シート!$M$71:$M$90,$G248,月間集計シート!P$71:P$90)*Z$2</f>
        <v>0</v>
      </c>
      <c r="AA248" s="88">
        <f>SUMIF(月間集計シート!$M$71:$M$90,$G248,月間集計シート!Q$71:Q$90)*AA$2</f>
        <v>0</v>
      </c>
      <c r="AB248" s="88">
        <f>SUMIF(月間集計シート!$M$71:$M$90,$G248,月間集計シート!R$71:R$90)*AB$2</f>
        <v>0</v>
      </c>
      <c r="AC248" s="88">
        <f>SUMIF(月間集計シート!$M$71:$M$90,$G248,月間集計シート!S$71:S$90)*AC$2</f>
        <v>0</v>
      </c>
      <c r="AD248" s="88">
        <f>SUMIF(月間集計シート!$M$71:$M$90,$G248,月間集計シート!T$71:T$90)*AD$2</f>
        <v>0</v>
      </c>
      <c r="AE248" s="88">
        <f>SUMIF(月間集計シート!$M$92:$M$111,$G248,月間集計シート!N$92:N$111)*AE$2</f>
        <v>0</v>
      </c>
      <c r="AF248" s="88">
        <f>SUMIF(月間集計シート!$M$92:$M$111,$G248,月間集計シート!O$92:O$111)*AF$2</f>
        <v>0</v>
      </c>
      <c r="AG248" s="88">
        <f>SUMIF(月間集計シート!$M$92:$M$111,$G248,月間集計シート!P$92:P$111)*AG$2</f>
        <v>0</v>
      </c>
      <c r="AH248" s="88">
        <f>SUMIF(月間集計シート!$M$92:$M$111,$G248,月間集計シート!Q$92:Q$111)*AH$2</f>
        <v>0</v>
      </c>
      <c r="AI248" s="88">
        <f>SUMIF(月間集計シート!$M$92:$M$111,$G248,月間集計シート!R$92:R$111)*AI$2</f>
        <v>0</v>
      </c>
      <c r="AJ248" s="88">
        <f>SUMIF(月間集計シート!$M$92:$M$111,$G248,月間集計シート!S$92:S$111)*AJ$2</f>
        <v>0</v>
      </c>
      <c r="AK248" s="88">
        <f>SUMIF(月間集計シート!$M$92:$M$111,$G248,月間集計シート!T$92:T$111)*AK$2</f>
        <v>0</v>
      </c>
      <c r="AL248" s="88">
        <f>SUMIF(月間集計シート!$M$113:$M$132,$G248,月間集計シート!N$113:N$132)*AL$2</f>
        <v>0</v>
      </c>
      <c r="AM248" s="88">
        <f>SUMIF(月間集計シート!$M$113:$M$132,$G248,月間集計シート!O$113:O$132)*AM$2</f>
        <v>0</v>
      </c>
      <c r="AN248" s="88">
        <f>SUMIF(月間集計シート!$M$113:$M$132,$G248,月間集計シート!P$113:P$132)*AN$2</f>
        <v>0</v>
      </c>
      <c r="AO248" s="88">
        <f>SUMIF(月間集計シート!$M$113:$M$132,$G248,月間集計シート!Q$113:Q$132)*AO$2</f>
        <v>0</v>
      </c>
      <c r="AP248" s="88">
        <f>SUMIF(月間集計シート!$M$113:$M$132,$G248,月間集計シート!R$113:R$132)*AP$2</f>
        <v>0</v>
      </c>
      <c r="AQ248" s="88">
        <f>SUMIF(月間集計シート!$M$113:$M$132,$G248,月間集計シート!S$113:S$132)*AQ$2</f>
        <v>0</v>
      </c>
      <c r="AR248" s="88">
        <f>SUMIF(月間集計シート!$M$113:$M$132,$G248,月間集計シート!T$113:T$132)*AR$2</f>
        <v>0</v>
      </c>
      <c r="AS248" s="88">
        <f>SUMIF(月間集計シート!$M$134:$M$153,$G248,月間集計シート!N$134:N$153)*AS$2</f>
        <v>0</v>
      </c>
      <c r="AT248" s="88">
        <f>SUMIF(月間集計シート!$M$134:$M$153,$G248,月間集計シート!O$134:O$153)*AT$2</f>
        <v>0</v>
      </c>
      <c r="AU248" s="88">
        <f>SUMIF(月間集計シート!$M$134:$M$153,$G248,月間集計シート!P$134:P$153)*AU$2</f>
        <v>0</v>
      </c>
      <c r="AV248" s="88">
        <f>SUMIF(月間集計シート!$M$134:$M$153,$G248,月間集計シート!Q$134:Q$153)*AV$2</f>
        <v>0</v>
      </c>
      <c r="AW248" s="88">
        <f>SUMIF(月間集計シート!$M$134:$M$153,$G248,月間集計シート!R$134:R$153)*AW$2</f>
        <v>0</v>
      </c>
      <c r="AX248" s="88">
        <f>SUMIF(月間集計シート!$M$134:$M$153,$G248,月間集計シート!S$134:S$153)*AX$2</f>
        <v>0</v>
      </c>
      <c r="AY248" s="88">
        <f>SUMIF(月間集計シート!$M$134:$M$153,$G248,月間集計シート!T$134:T$153)*AY$2</f>
        <v>0</v>
      </c>
    </row>
    <row r="249" spans="1:51" ht="14.25" thickBot="1">
      <c r="A249">
        <v>3</v>
      </c>
      <c r="B249" s="120">
        <f t="shared" si="83"/>
        <v>0</v>
      </c>
      <c r="C249" s="120" t="str">
        <f t="shared" si="83"/>
        <v/>
      </c>
      <c r="D249" s="137"/>
      <c r="E249" s="150" t="str">
        <f>工種!A71</f>
        <v>90105</v>
      </c>
      <c r="F249" s="119" t="str">
        <f>工種!B71</f>
        <v>管理業務：SRB管理</v>
      </c>
      <c r="G249" s="116" t="str">
        <f t="shared" si="80"/>
        <v>090105</v>
      </c>
      <c r="H249" s="88">
        <f t="shared" si="82"/>
        <v>0</v>
      </c>
      <c r="I249" s="132"/>
      <c r="J249" s="88">
        <f>SUMIF(月間集計シート!$M$29:$M$48,$G249,月間集計シート!N$29:N$48)*J$2</f>
        <v>0</v>
      </c>
      <c r="K249" s="88">
        <f>SUMIF(月間集計シート!$M$29:$M$48,$G249,月間集計シート!O$29:O$48)*K$2</f>
        <v>0</v>
      </c>
      <c r="L249" s="88">
        <f>SUMIF(月間集計シート!$M$29:$M$48,$G249,月間集計シート!P$29:P$48)*L$2</f>
        <v>0</v>
      </c>
      <c r="M249" s="88">
        <f>SUMIF(月間集計シート!$M$29:$M$48,$G249,月間集計シート!Q$29:Q$48)*M$2</f>
        <v>0</v>
      </c>
      <c r="N249" s="88">
        <f>SUMIF(月間集計シート!$M$29:$M$48,$G249,月間集計シート!R$29:R$48)*N$2</f>
        <v>0</v>
      </c>
      <c r="O249" s="88">
        <f>SUMIF(月間集計シート!$M$29:$M$48,$G249,月間集計シート!S$29:S$48)*O$2</f>
        <v>0</v>
      </c>
      <c r="P249" s="88">
        <f>SUMIF(月間集計シート!$M$29:$M$48,$G249,月間集計シート!T$29:T$48)*P$2</f>
        <v>0</v>
      </c>
      <c r="Q249" s="88">
        <f>SUMIF(月間集計シート!$M$50:$M$69,$G249,月間集計シート!N$50:N$69)*Q$2</f>
        <v>0</v>
      </c>
      <c r="R249" s="88">
        <f>SUMIF(月間集計シート!$M$50:$M$69,$G249,月間集計シート!O$50:O$69)*R$2</f>
        <v>0</v>
      </c>
      <c r="S249" s="88">
        <f>SUMIF(月間集計シート!$M$50:$M$69,$G249,月間集計シート!P$50:P$69)*S$2</f>
        <v>0</v>
      </c>
      <c r="T249" s="88">
        <f>SUMIF(月間集計シート!$M$50:$M$69,$G249,月間集計シート!Q$50:Q$69)*T$2</f>
        <v>0</v>
      </c>
      <c r="U249" s="88">
        <f>SUMIF(月間集計シート!$M$50:$M$69,$G249,月間集計シート!R$50:R$69)*U$2</f>
        <v>0</v>
      </c>
      <c r="V249" s="88">
        <f>SUMIF(月間集計シート!$M$50:$M$69,$G249,月間集計シート!S$50:S$69)*V$2</f>
        <v>0</v>
      </c>
      <c r="W249" s="88">
        <f>SUMIF(月間集計シート!$M$50:$M$69,$G249,月間集計シート!T$50:T$69)*W$2</f>
        <v>0</v>
      </c>
      <c r="X249" s="88">
        <f>SUMIF(月間集計シート!$M$71:$M$90,$G249,月間集計シート!N$71:N$90)*X$2</f>
        <v>0</v>
      </c>
      <c r="Y249" s="88">
        <f>SUMIF(月間集計シート!$M$71:$M$90,$G249,月間集計シート!O$71:O$90)*Y$2</f>
        <v>0</v>
      </c>
      <c r="Z249" s="88">
        <f>SUMIF(月間集計シート!$M$71:$M$90,$G249,月間集計シート!P$71:P$90)*Z$2</f>
        <v>0</v>
      </c>
      <c r="AA249" s="88">
        <f>SUMIF(月間集計シート!$M$71:$M$90,$G249,月間集計シート!Q$71:Q$90)*AA$2</f>
        <v>0</v>
      </c>
      <c r="AB249" s="88">
        <f>SUMIF(月間集計シート!$M$71:$M$90,$G249,月間集計シート!R$71:R$90)*AB$2</f>
        <v>0</v>
      </c>
      <c r="AC249" s="88">
        <f>SUMIF(月間集計シート!$M$71:$M$90,$G249,月間集計シート!S$71:S$90)*AC$2</f>
        <v>0</v>
      </c>
      <c r="AD249" s="88">
        <f>SUMIF(月間集計シート!$M$71:$M$90,$G249,月間集計シート!T$71:T$90)*AD$2</f>
        <v>0</v>
      </c>
      <c r="AE249" s="88">
        <f>SUMIF(月間集計シート!$M$92:$M$111,$G249,月間集計シート!N$92:N$111)*AE$2</f>
        <v>0</v>
      </c>
      <c r="AF249" s="88">
        <f>SUMIF(月間集計シート!$M$92:$M$111,$G249,月間集計シート!O$92:O$111)*AF$2</f>
        <v>0</v>
      </c>
      <c r="AG249" s="88">
        <f>SUMIF(月間集計シート!$M$92:$M$111,$G249,月間集計シート!P$92:P$111)*AG$2</f>
        <v>0</v>
      </c>
      <c r="AH249" s="88">
        <f>SUMIF(月間集計シート!$M$92:$M$111,$G249,月間集計シート!Q$92:Q$111)*AH$2</f>
        <v>0</v>
      </c>
      <c r="AI249" s="88">
        <f>SUMIF(月間集計シート!$M$92:$M$111,$G249,月間集計シート!R$92:R$111)*AI$2</f>
        <v>0</v>
      </c>
      <c r="AJ249" s="88">
        <f>SUMIF(月間集計シート!$M$92:$M$111,$G249,月間集計シート!S$92:S$111)*AJ$2</f>
        <v>0</v>
      </c>
      <c r="AK249" s="88">
        <f>SUMIF(月間集計シート!$M$92:$M$111,$G249,月間集計シート!T$92:T$111)*AK$2</f>
        <v>0</v>
      </c>
      <c r="AL249" s="88">
        <f>SUMIF(月間集計シート!$M$113:$M$132,$G249,月間集計シート!N$113:N$132)*AL$2</f>
        <v>0</v>
      </c>
      <c r="AM249" s="88">
        <f>SUMIF(月間集計シート!$M$113:$M$132,$G249,月間集計シート!O$113:O$132)*AM$2</f>
        <v>0</v>
      </c>
      <c r="AN249" s="88">
        <f>SUMIF(月間集計シート!$M$113:$M$132,$G249,月間集計シート!P$113:P$132)*AN$2</f>
        <v>0</v>
      </c>
      <c r="AO249" s="88">
        <f>SUMIF(月間集計シート!$M$113:$M$132,$G249,月間集計シート!Q$113:Q$132)*AO$2</f>
        <v>0</v>
      </c>
      <c r="AP249" s="88">
        <f>SUMIF(月間集計シート!$M$113:$M$132,$G249,月間集計シート!R$113:R$132)*AP$2</f>
        <v>0</v>
      </c>
      <c r="AQ249" s="88">
        <f>SUMIF(月間集計シート!$M$113:$M$132,$G249,月間集計シート!S$113:S$132)*AQ$2</f>
        <v>0</v>
      </c>
      <c r="AR249" s="88">
        <f>SUMIF(月間集計シート!$M$113:$M$132,$G249,月間集計シート!T$113:T$132)*AR$2</f>
        <v>0</v>
      </c>
      <c r="AS249" s="88">
        <f>SUMIF(月間集計シート!$M$134:$M$153,$G249,月間集計シート!N$134:N$153)*AS$2</f>
        <v>0</v>
      </c>
      <c r="AT249" s="88">
        <f>SUMIF(月間集計シート!$M$134:$M$153,$G249,月間集計シート!O$134:O$153)*AT$2</f>
        <v>0</v>
      </c>
      <c r="AU249" s="88">
        <f>SUMIF(月間集計シート!$M$134:$M$153,$G249,月間集計シート!P$134:P$153)*AU$2</f>
        <v>0</v>
      </c>
      <c r="AV249" s="88">
        <f>SUMIF(月間集計シート!$M$134:$M$153,$G249,月間集計シート!Q$134:Q$153)*AV$2</f>
        <v>0</v>
      </c>
      <c r="AW249" s="88">
        <f>SUMIF(月間集計シート!$M$134:$M$153,$G249,月間集計シート!R$134:R$153)*AW$2</f>
        <v>0</v>
      </c>
      <c r="AX249" s="88">
        <f>SUMIF(月間集計シート!$M$134:$M$153,$G249,月間集計シート!S$134:S$153)*AX$2</f>
        <v>0</v>
      </c>
      <c r="AY249" s="88">
        <f>SUMIF(月間集計シート!$M$134:$M$153,$G249,月間集計シート!T$134:T$153)*AY$2</f>
        <v>0</v>
      </c>
    </row>
    <row r="250" spans="1:51" ht="14.25" thickBot="1">
      <c r="A250">
        <v>3</v>
      </c>
      <c r="B250" s="120">
        <f t="shared" si="83"/>
        <v>0</v>
      </c>
      <c r="C250" s="120" t="str">
        <f t="shared" si="83"/>
        <v/>
      </c>
      <c r="D250" s="137"/>
      <c r="E250" s="150" t="str">
        <f>工種!A72</f>
        <v>90107</v>
      </c>
      <c r="F250" s="119" t="str">
        <f>工種!B72</f>
        <v>管理業務：開発事務作業</v>
      </c>
      <c r="G250" s="116" t="str">
        <f t="shared" si="80"/>
        <v>090107</v>
      </c>
      <c r="H250" s="88">
        <f t="shared" si="82"/>
        <v>0</v>
      </c>
      <c r="I250" s="132"/>
      <c r="J250" s="88">
        <f>SUMIF(月間集計シート!$M$29:$M$48,$G250,月間集計シート!N$29:N$48)*J$2</f>
        <v>0</v>
      </c>
      <c r="K250" s="88">
        <f>SUMIF(月間集計シート!$M$29:$M$48,$G250,月間集計シート!O$29:O$48)*K$2</f>
        <v>0</v>
      </c>
      <c r="L250" s="88">
        <f>SUMIF(月間集計シート!$M$29:$M$48,$G250,月間集計シート!P$29:P$48)*L$2</f>
        <v>0</v>
      </c>
      <c r="M250" s="88">
        <f>SUMIF(月間集計シート!$M$29:$M$48,$G250,月間集計シート!Q$29:Q$48)*M$2</f>
        <v>0</v>
      </c>
      <c r="N250" s="88">
        <f>SUMIF(月間集計シート!$M$29:$M$48,$G250,月間集計シート!R$29:R$48)*N$2</f>
        <v>0</v>
      </c>
      <c r="O250" s="88">
        <f>SUMIF(月間集計シート!$M$29:$M$48,$G250,月間集計シート!S$29:S$48)*O$2</f>
        <v>0</v>
      </c>
      <c r="P250" s="88">
        <f>SUMIF(月間集計シート!$M$29:$M$48,$G250,月間集計シート!T$29:T$48)*P$2</f>
        <v>0</v>
      </c>
      <c r="Q250" s="88">
        <f>SUMIF(月間集計シート!$M$50:$M$69,$G250,月間集計シート!N$50:N$69)*Q$2</f>
        <v>0</v>
      </c>
      <c r="R250" s="88">
        <f>SUMIF(月間集計シート!$M$50:$M$69,$G250,月間集計シート!O$50:O$69)*R$2</f>
        <v>0</v>
      </c>
      <c r="S250" s="88">
        <f>SUMIF(月間集計シート!$M$50:$M$69,$G250,月間集計シート!P$50:P$69)*S$2</f>
        <v>0</v>
      </c>
      <c r="T250" s="88">
        <f>SUMIF(月間集計シート!$M$50:$M$69,$G250,月間集計シート!Q$50:Q$69)*T$2</f>
        <v>0</v>
      </c>
      <c r="U250" s="88">
        <f>SUMIF(月間集計シート!$M$50:$M$69,$G250,月間集計シート!R$50:R$69)*U$2</f>
        <v>0</v>
      </c>
      <c r="V250" s="88">
        <f>SUMIF(月間集計シート!$M$50:$M$69,$G250,月間集計シート!S$50:S$69)*V$2</f>
        <v>0</v>
      </c>
      <c r="W250" s="88">
        <f>SUMIF(月間集計シート!$M$50:$M$69,$G250,月間集計シート!T$50:T$69)*W$2</f>
        <v>0</v>
      </c>
      <c r="X250" s="88">
        <f>SUMIF(月間集計シート!$M$71:$M$90,$G250,月間集計シート!N$71:N$90)*X$2</f>
        <v>0</v>
      </c>
      <c r="Y250" s="88">
        <f>SUMIF(月間集計シート!$M$71:$M$90,$G250,月間集計シート!O$71:O$90)*Y$2</f>
        <v>0</v>
      </c>
      <c r="Z250" s="88">
        <f>SUMIF(月間集計シート!$M$71:$M$90,$G250,月間集計シート!P$71:P$90)*Z$2</f>
        <v>0</v>
      </c>
      <c r="AA250" s="88">
        <f>SUMIF(月間集計シート!$M$71:$M$90,$G250,月間集計シート!Q$71:Q$90)*AA$2</f>
        <v>0</v>
      </c>
      <c r="AB250" s="88">
        <f>SUMIF(月間集計シート!$M$71:$M$90,$G250,月間集計シート!R$71:R$90)*AB$2</f>
        <v>0</v>
      </c>
      <c r="AC250" s="88">
        <f>SUMIF(月間集計シート!$M$71:$M$90,$G250,月間集計シート!S$71:S$90)*AC$2</f>
        <v>0</v>
      </c>
      <c r="AD250" s="88">
        <f>SUMIF(月間集計シート!$M$71:$M$90,$G250,月間集計シート!T$71:T$90)*AD$2</f>
        <v>0</v>
      </c>
      <c r="AE250" s="88">
        <f>SUMIF(月間集計シート!$M$92:$M$111,$G250,月間集計シート!N$92:N$111)*AE$2</f>
        <v>0</v>
      </c>
      <c r="AF250" s="88">
        <f>SUMIF(月間集計シート!$M$92:$M$111,$G250,月間集計シート!O$92:O$111)*AF$2</f>
        <v>0</v>
      </c>
      <c r="AG250" s="88">
        <f>SUMIF(月間集計シート!$M$92:$M$111,$G250,月間集計シート!P$92:P$111)*AG$2</f>
        <v>0</v>
      </c>
      <c r="AH250" s="88">
        <f>SUMIF(月間集計シート!$M$92:$M$111,$G250,月間集計シート!Q$92:Q$111)*AH$2</f>
        <v>0</v>
      </c>
      <c r="AI250" s="88">
        <f>SUMIF(月間集計シート!$M$92:$M$111,$G250,月間集計シート!R$92:R$111)*AI$2</f>
        <v>0</v>
      </c>
      <c r="AJ250" s="88">
        <f>SUMIF(月間集計シート!$M$92:$M$111,$G250,月間集計シート!S$92:S$111)*AJ$2</f>
        <v>0</v>
      </c>
      <c r="AK250" s="88">
        <f>SUMIF(月間集計シート!$M$92:$M$111,$G250,月間集計シート!T$92:T$111)*AK$2</f>
        <v>0</v>
      </c>
      <c r="AL250" s="88">
        <f>SUMIF(月間集計シート!$M$113:$M$132,$G250,月間集計シート!N$113:N$132)*AL$2</f>
        <v>0</v>
      </c>
      <c r="AM250" s="88">
        <f>SUMIF(月間集計シート!$M$113:$M$132,$G250,月間集計シート!O$113:O$132)*AM$2</f>
        <v>0</v>
      </c>
      <c r="AN250" s="88">
        <f>SUMIF(月間集計シート!$M$113:$M$132,$G250,月間集計シート!P$113:P$132)*AN$2</f>
        <v>0</v>
      </c>
      <c r="AO250" s="88">
        <f>SUMIF(月間集計シート!$M$113:$M$132,$G250,月間集計シート!Q$113:Q$132)*AO$2</f>
        <v>0</v>
      </c>
      <c r="AP250" s="88">
        <f>SUMIF(月間集計シート!$M$113:$M$132,$G250,月間集計シート!R$113:R$132)*AP$2</f>
        <v>0</v>
      </c>
      <c r="AQ250" s="88">
        <f>SUMIF(月間集計シート!$M$113:$M$132,$G250,月間集計シート!S$113:S$132)*AQ$2</f>
        <v>0</v>
      </c>
      <c r="AR250" s="88">
        <f>SUMIF(月間集計シート!$M$113:$M$132,$G250,月間集計シート!T$113:T$132)*AR$2</f>
        <v>0</v>
      </c>
      <c r="AS250" s="88">
        <f>SUMIF(月間集計シート!$M$134:$M$153,$G250,月間集計シート!N$134:N$153)*AS$2</f>
        <v>0</v>
      </c>
      <c r="AT250" s="88">
        <f>SUMIF(月間集計シート!$M$134:$M$153,$G250,月間集計シート!O$134:O$153)*AT$2</f>
        <v>0</v>
      </c>
      <c r="AU250" s="88">
        <f>SUMIF(月間集計シート!$M$134:$M$153,$G250,月間集計シート!P$134:P$153)*AU$2</f>
        <v>0</v>
      </c>
      <c r="AV250" s="88">
        <f>SUMIF(月間集計シート!$M$134:$M$153,$G250,月間集計シート!Q$134:Q$153)*AV$2</f>
        <v>0</v>
      </c>
      <c r="AW250" s="88">
        <f>SUMIF(月間集計シート!$M$134:$M$153,$G250,月間集計シート!R$134:R$153)*AW$2</f>
        <v>0</v>
      </c>
      <c r="AX250" s="88">
        <f>SUMIF(月間集計シート!$M$134:$M$153,$G250,月間集計シート!S$134:S$153)*AX$2</f>
        <v>0</v>
      </c>
      <c r="AY250" s="88">
        <f>SUMIF(月間集計シート!$M$134:$M$153,$G250,月間集計シート!T$134:T$153)*AY$2</f>
        <v>0</v>
      </c>
    </row>
    <row r="251" spans="1:51" ht="14.25" thickBot="1">
      <c r="A251">
        <v>3</v>
      </c>
      <c r="B251" s="120">
        <f t="shared" si="83"/>
        <v>0</v>
      </c>
      <c r="C251" s="120" t="str">
        <f t="shared" si="83"/>
        <v/>
      </c>
      <c r="D251" s="137"/>
      <c r="E251" s="150" t="str">
        <f>工種!A73</f>
        <v>90108</v>
      </c>
      <c r="F251" s="119" t="str">
        <f>工種!B73</f>
        <v>管理業務：外部不具合分析</v>
      </c>
      <c r="G251" s="116" t="str">
        <f t="shared" si="80"/>
        <v>090108</v>
      </c>
      <c r="H251" s="88">
        <f t="shared" si="82"/>
        <v>0</v>
      </c>
      <c r="I251" s="132"/>
      <c r="J251" s="88">
        <f>SUMIF(月間集計シート!$M$29:$M$48,$G251,月間集計シート!N$29:N$48)*J$2</f>
        <v>0</v>
      </c>
      <c r="K251" s="88">
        <f>SUMIF(月間集計シート!$M$29:$M$48,$G251,月間集計シート!O$29:O$48)*K$2</f>
        <v>0</v>
      </c>
      <c r="L251" s="88">
        <f>SUMIF(月間集計シート!$M$29:$M$48,$G251,月間集計シート!P$29:P$48)*L$2</f>
        <v>0</v>
      </c>
      <c r="M251" s="88">
        <f>SUMIF(月間集計シート!$M$29:$M$48,$G251,月間集計シート!Q$29:Q$48)*M$2</f>
        <v>0</v>
      </c>
      <c r="N251" s="88">
        <f>SUMIF(月間集計シート!$M$29:$M$48,$G251,月間集計シート!R$29:R$48)*N$2</f>
        <v>0</v>
      </c>
      <c r="O251" s="88">
        <f>SUMIF(月間集計シート!$M$29:$M$48,$G251,月間集計シート!S$29:S$48)*O$2</f>
        <v>0</v>
      </c>
      <c r="P251" s="88">
        <f>SUMIF(月間集計シート!$M$29:$M$48,$G251,月間集計シート!T$29:T$48)*P$2</f>
        <v>0</v>
      </c>
      <c r="Q251" s="88">
        <f>SUMIF(月間集計シート!$M$50:$M$69,$G251,月間集計シート!N$50:N$69)*Q$2</f>
        <v>0</v>
      </c>
      <c r="R251" s="88">
        <f>SUMIF(月間集計シート!$M$50:$M$69,$G251,月間集計シート!O$50:O$69)*R$2</f>
        <v>0</v>
      </c>
      <c r="S251" s="88">
        <f>SUMIF(月間集計シート!$M$50:$M$69,$G251,月間集計シート!P$50:P$69)*S$2</f>
        <v>0</v>
      </c>
      <c r="T251" s="88">
        <f>SUMIF(月間集計シート!$M$50:$M$69,$G251,月間集計シート!Q$50:Q$69)*T$2</f>
        <v>0</v>
      </c>
      <c r="U251" s="88">
        <f>SUMIF(月間集計シート!$M$50:$M$69,$G251,月間集計シート!R$50:R$69)*U$2</f>
        <v>0</v>
      </c>
      <c r="V251" s="88">
        <f>SUMIF(月間集計シート!$M$50:$M$69,$G251,月間集計シート!S$50:S$69)*V$2</f>
        <v>0</v>
      </c>
      <c r="W251" s="88">
        <f>SUMIF(月間集計シート!$M$50:$M$69,$G251,月間集計シート!T$50:T$69)*W$2</f>
        <v>0</v>
      </c>
      <c r="X251" s="88">
        <f>SUMIF(月間集計シート!$M$71:$M$90,$G251,月間集計シート!N$71:N$90)*X$2</f>
        <v>0</v>
      </c>
      <c r="Y251" s="88">
        <f>SUMIF(月間集計シート!$M$71:$M$90,$G251,月間集計シート!O$71:O$90)*Y$2</f>
        <v>0</v>
      </c>
      <c r="Z251" s="88">
        <f>SUMIF(月間集計シート!$M$71:$M$90,$G251,月間集計シート!P$71:P$90)*Z$2</f>
        <v>0</v>
      </c>
      <c r="AA251" s="88">
        <f>SUMIF(月間集計シート!$M$71:$M$90,$G251,月間集計シート!Q$71:Q$90)*AA$2</f>
        <v>0</v>
      </c>
      <c r="AB251" s="88">
        <f>SUMIF(月間集計シート!$M$71:$M$90,$G251,月間集計シート!R$71:R$90)*AB$2</f>
        <v>0</v>
      </c>
      <c r="AC251" s="88">
        <f>SUMIF(月間集計シート!$M$71:$M$90,$G251,月間集計シート!S$71:S$90)*AC$2</f>
        <v>0</v>
      </c>
      <c r="AD251" s="88">
        <f>SUMIF(月間集計シート!$M$71:$M$90,$G251,月間集計シート!T$71:T$90)*AD$2</f>
        <v>0</v>
      </c>
      <c r="AE251" s="88">
        <f>SUMIF(月間集計シート!$M$92:$M$111,$G251,月間集計シート!N$92:N$111)*AE$2</f>
        <v>0</v>
      </c>
      <c r="AF251" s="88">
        <f>SUMIF(月間集計シート!$M$92:$M$111,$G251,月間集計シート!O$92:O$111)*AF$2</f>
        <v>0</v>
      </c>
      <c r="AG251" s="88">
        <f>SUMIF(月間集計シート!$M$92:$M$111,$G251,月間集計シート!P$92:P$111)*AG$2</f>
        <v>0</v>
      </c>
      <c r="AH251" s="88">
        <f>SUMIF(月間集計シート!$M$92:$M$111,$G251,月間集計シート!Q$92:Q$111)*AH$2</f>
        <v>0</v>
      </c>
      <c r="AI251" s="88">
        <f>SUMIF(月間集計シート!$M$92:$M$111,$G251,月間集計シート!R$92:R$111)*AI$2</f>
        <v>0</v>
      </c>
      <c r="AJ251" s="88">
        <f>SUMIF(月間集計シート!$M$92:$M$111,$G251,月間集計シート!S$92:S$111)*AJ$2</f>
        <v>0</v>
      </c>
      <c r="AK251" s="88">
        <f>SUMIF(月間集計シート!$M$92:$M$111,$G251,月間集計シート!T$92:T$111)*AK$2</f>
        <v>0</v>
      </c>
      <c r="AL251" s="88">
        <f>SUMIF(月間集計シート!$M$113:$M$132,$G251,月間集計シート!N$113:N$132)*AL$2</f>
        <v>0</v>
      </c>
      <c r="AM251" s="88">
        <f>SUMIF(月間集計シート!$M$113:$M$132,$G251,月間集計シート!O$113:O$132)*AM$2</f>
        <v>0</v>
      </c>
      <c r="AN251" s="88">
        <f>SUMIF(月間集計シート!$M$113:$M$132,$G251,月間集計シート!P$113:P$132)*AN$2</f>
        <v>0</v>
      </c>
      <c r="AO251" s="88">
        <f>SUMIF(月間集計シート!$M$113:$M$132,$G251,月間集計シート!Q$113:Q$132)*AO$2</f>
        <v>0</v>
      </c>
      <c r="AP251" s="88">
        <f>SUMIF(月間集計シート!$M$113:$M$132,$G251,月間集計シート!R$113:R$132)*AP$2</f>
        <v>0</v>
      </c>
      <c r="AQ251" s="88">
        <f>SUMIF(月間集計シート!$M$113:$M$132,$G251,月間集計シート!S$113:S$132)*AQ$2</f>
        <v>0</v>
      </c>
      <c r="AR251" s="88">
        <f>SUMIF(月間集計シート!$M$113:$M$132,$G251,月間集計シート!T$113:T$132)*AR$2</f>
        <v>0</v>
      </c>
      <c r="AS251" s="88">
        <f>SUMIF(月間集計シート!$M$134:$M$153,$G251,月間集計シート!N$134:N$153)*AS$2</f>
        <v>0</v>
      </c>
      <c r="AT251" s="88">
        <f>SUMIF(月間集計シート!$M$134:$M$153,$G251,月間集計シート!O$134:O$153)*AT$2</f>
        <v>0</v>
      </c>
      <c r="AU251" s="88">
        <f>SUMIF(月間集計シート!$M$134:$M$153,$G251,月間集計シート!P$134:P$153)*AU$2</f>
        <v>0</v>
      </c>
      <c r="AV251" s="88">
        <f>SUMIF(月間集計シート!$M$134:$M$153,$G251,月間集計シート!Q$134:Q$153)*AV$2</f>
        <v>0</v>
      </c>
      <c r="AW251" s="88">
        <f>SUMIF(月間集計シート!$M$134:$M$153,$G251,月間集計シート!R$134:R$153)*AW$2</f>
        <v>0</v>
      </c>
      <c r="AX251" s="88">
        <f>SUMIF(月間集計シート!$M$134:$M$153,$G251,月間集計シート!S$134:S$153)*AX$2</f>
        <v>0</v>
      </c>
      <c r="AY251" s="88">
        <f>SUMIF(月間集計シート!$M$134:$M$153,$G251,月間集計シート!T$134:T$153)*AY$2</f>
        <v>0</v>
      </c>
    </row>
    <row r="252" spans="1:51" ht="14.25" thickBot="1">
      <c r="A252">
        <v>3</v>
      </c>
      <c r="B252" s="120">
        <f t="shared" si="83"/>
        <v>0</v>
      </c>
      <c r="C252" s="120" t="str">
        <f t="shared" si="83"/>
        <v/>
      </c>
      <c r="D252" s="137"/>
      <c r="E252" s="150" t="str">
        <f>工種!A74</f>
        <v>90110</v>
      </c>
      <c r="F252" s="119" t="str">
        <f>工種!B74</f>
        <v>管理業務：打合せ</v>
      </c>
      <c r="G252" s="116" t="str">
        <f t="shared" si="80"/>
        <v>090110</v>
      </c>
      <c r="H252" s="88">
        <f t="shared" si="82"/>
        <v>0</v>
      </c>
      <c r="I252" s="132"/>
      <c r="J252" s="88">
        <f>SUMIF(月間集計シート!$M$29:$M$48,$G252,月間集計シート!N$29:N$48)*J$2</f>
        <v>0</v>
      </c>
      <c r="K252" s="88">
        <f>SUMIF(月間集計シート!$M$29:$M$48,$G252,月間集計シート!O$29:O$48)*K$2</f>
        <v>0</v>
      </c>
      <c r="L252" s="88">
        <f>SUMIF(月間集計シート!$M$29:$M$48,$G252,月間集計シート!P$29:P$48)*L$2</f>
        <v>0</v>
      </c>
      <c r="M252" s="88">
        <f>SUMIF(月間集計シート!$M$29:$M$48,$G252,月間集計シート!Q$29:Q$48)*M$2</f>
        <v>0</v>
      </c>
      <c r="N252" s="88">
        <f>SUMIF(月間集計シート!$M$29:$M$48,$G252,月間集計シート!R$29:R$48)*N$2</f>
        <v>0</v>
      </c>
      <c r="O252" s="88">
        <f>SUMIF(月間集計シート!$M$29:$M$48,$G252,月間集計シート!S$29:S$48)*O$2</f>
        <v>0</v>
      </c>
      <c r="P252" s="88">
        <f>SUMIF(月間集計シート!$M$29:$M$48,$G252,月間集計シート!T$29:T$48)*P$2</f>
        <v>0</v>
      </c>
      <c r="Q252" s="88">
        <f>SUMIF(月間集計シート!$M$50:$M$69,$G252,月間集計シート!N$50:N$69)*Q$2</f>
        <v>0</v>
      </c>
      <c r="R252" s="88">
        <f>SUMIF(月間集計シート!$M$50:$M$69,$G252,月間集計シート!O$50:O$69)*R$2</f>
        <v>0</v>
      </c>
      <c r="S252" s="88">
        <f>SUMIF(月間集計シート!$M$50:$M$69,$G252,月間集計シート!P$50:P$69)*S$2</f>
        <v>0</v>
      </c>
      <c r="T252" s="88">
        <f>SUMIF(月間集計シート!$M$50:$M$69,$G252,月間集計シート!Q$50:Q$69)*T$2</f>
        <v>0</v>
      </c>
      <c r="U252" s="88">
        <f>SUMIF(月間集計シート!$M$50:$M$69,$G252,月間集計シート!R$50:R$69)*U$2</f>
        <v>0</v>
      </c>
      <c r="V252" s="88">
        <f>SUMIF(月間集計シート!$M$50:$M$69,$G252,月間集計シート!S$50:S$69)*V$2</f>
        <v>0</v>
      </c>
      <c r="W252" s="88">
        <f>SUMIF(月間集計シート!$M$50:$M$69,$G252,月間集計シート!T$50:T$69)*W$2</f>
        <v>0</v>
      </c>
      <c r="X252" s="88">
        <f>SUMIF(月間集計シート!$M$71:$M$90,$G252,月間集計シート!N$71:N$90)*X$2</f>
        <v>0</v>
      </c>
      <c r="Y252" s="88">
        <f>SUMIF(月間集計シート!$M$71:$M$90,$G252,月間集計シート!O$71:O$90)*Y$2</f>
        <v>0</v>
      </c>
      <c r="Z252" s="88">
        <f>SUMIF(月間集計シート!$M$71:$M$90,$G252,月間集計シート!P$71:P$90)*Z$2</f>
        <v>0</v>
      </c>
      <c r="AA252" s="88">
        <f>SUMIF(月間集計シート!$M$71:$M$90,$G252,月間集計シート!Q$71:Q$90)*AA$2</f>
        <v>0</v>
      </c>
      <c r="AB252" s="88">
        <f>SUMIF(月間集計シート!$M$71:$M$90,$G252,月間集計シート!R$71:R$90)*AB$2</f>
        <v>0</v>
      </c>
      <c r="AC252" s="88">
        <f>SUMIF(月間集計シート!$M$71:$M$90,$G252,月間集計シート!S$71:S$90)*AC$2</f>
        <v>0</v>
      </c>
      <c r="AD252" s="88">
        <f>SUMIF(月間集計シート!$M$71:$M$90,$G252,月間集計シート!T$71:T$90)*AD$2</f>
        <v>0</v>
      </c>
      <c r="AE252" s="88">
        <f>SUMIF(月間集計シート!$M$92:$M$111,$G252,月間集計シート!N$92:N$111)*AE$2</f>
        <v>0</v>
      </c>
      <c r="AF252" s="88">
        <f>SUMIF(月間集計シート!$M$92:$M$111,$G252,月間集計シート!O$92:O$111)*AF$2</f>
        <v>0</v>
      </c>
      <c r="AG252" s="88">
        <f>SUMIF(月間集計シート!$M$92:$M$111,$G252,月間集計シート!P$92:P$111)*AG$2</f>
        <v>0</v>
      </c>
      <c r="AH252" s="88">
        <f>SUMIF(月間集計シート!$M$92:$M$111,$G252,月間集計シート!Q$92:Q$111)*AH$2</f>
        <v>0</v>
      </c>
      <c r="AI252" s="88">
        <f>SUMIF(月間集計シート!$M$92:$M$111,$G252,月間集計シート!R$92:R$111)*AI$2</f>
        <v>0</v>
      </c>
      <c r="AJ252" s="88">
        <f>SUMIF(月間集計シート!$M$92:$M$111,$G252,月間集計シート!S$92:S$111)*AJ$2</f>
        <v>0</v>
      </c>
      <c r="AK252" s="88">
        <f>SUMIF(月間集計シート!$M$92:$M$111,$G252,月間集計シート!T$92:T$111)*AK$2</f>
        <v>0</v>
      </c>
      <c r="AL252" s="88">
        <f>SUMIF(月間集計シート!$M$113:$M$132,$G252,月間集計シート!N$113:N$132)*AL$2</f>
        <v>0</v>
      </c>
      <c r="AM252" s="88">
        <f>SUMIF(月間集計シート!$M$113:$M$132,$G252,月間集計シート!O$113:O$132)*AM$2</f>
        <v>0</v>
      </c>
      <c r="AN252" s="88">
        <f>SUMIF(月間集計シート!$M$113:$M$132,$G252,月間集計シート!P$113:P$132)*AN$2</f>
        <v>0</v>
      </c>
      <c r="AO252" s="88">
        <f>SUMIF(月間集計シート!$M$113:$M$132,$G252,月間集計シート!Q$113:Q$132)*AO$2</f>
        <v>0</v>
      </c>
      <c r="AP252" s="88">
        <f>SUMIF(月間集計シート!$M$113:$M$132,$G252,月間集計シート!R$113:R$132)*AP$2</f>
        <v>0</v>
      </c>
      <c r="AQ252" s="88">
        <f>SUMIF(月間集計シート!$M$113:$M$132,$G252,月間集計シート!S$113:S$132)*AQ$2</f>
        <v>0</v>
      </c>
      <c r="AR252" s="88">
        <f>SUMIF(月間集計シート!$M$113:$M$132,$G252,月間集計シート!T$113:T$132)*AR$2</f>
        <v>0</v>
      </c>
      <c r="AS252" s="88">
        <f>SUMIF(月間集計シート!$M$134:$M$153,$G252,月間集計シート!N$134:N$153)*AS$2</f>
        <v>0</v>
      </c>
      <c r="AT252" s="88">
        <f>SUMIF(月間集計シート!$M$134:$M$153,$G252,月間集計シート!O$134:O$153)*AT$2</f>
        <v>0</v>
      </c>
      <c r="AU252" s="88">
        <f>SUMIF(月間集計シート!$M$134:$M$153,$G252,月間集計シート!P$134:P$153)*AU$2</f>
        <v>0</v>
      </c>
      <c r="AV252" s="88">
        <f>SUMIF(月間集計シート!$M$134:$M$153,$G252,月間集計シート!Q$134:Q$153)*AV$2</f>
        <v>0</v>
      </c>
      <c r="AW252" s="88">
        <f>SUMIF(月間集計シート!$M$134:$M$153,$G252,月間集計シート!R$134:R$153)*AW$2</f>
        <v>0</v>
      </c>
      <c r="AX252" s="88">
        <f>SUMIF(月間集計シート!$M$134:$M$153,$G252,月間集計シート!S$134:S$153)*AX$2</f>
        <v>0</v>
      </c>
      <c r="AY252" s="88">
        <f>SUMIF(月間集計シート!$M$134:$M$153,$G252,月間集計シート!T$134:T$153)*AY$2</f>
        <v>0</v>
      </c>
    </row>
    <row r="253" spans="1:51" ht="14.25" thickBot="1">
      <c r="A253">
        <v>3</v>
      </c>
      <c r="B253" s="120">
        <f t="shared" si="83"/>
        <v>0</v>
      </c>
      <c r="C253" s="120" t="str">
        <f t="shared" si="83"/>
        <v/>
      </c>
      <c r="D253" s="137"/>
      <c r="E253" s="150" t="str">
        <f>工種!A75</f>
        <v>90111</v>
      </c>
      <c r="F253" s="119" t="str">
        <f>工種!B75</f>
        <v>管理業務：レビュー</v>
      </c>
      <c r="G253" s="116" t="str">
        <f t="shared" si="80"/>
        <v>090111</v>
      </c>
      <c r="H253" s="88">
        <f t="shared" si="82"/>
        <v>0</v>
      </c>
      <c r="I253" s="132"/>
      <c r="J253" s="88">
        <f>SUMIF(月間集計シート!$M$29:$M$48,$G253,月間集計シート!N$29:N$48)*J$2</f>
        <v>0</v>
      </c>
      <c r="K253" s="88">
        <f>SUMIF(月間集計シート!$M$29:$M$48,$G253,月間集計シート!O$29:O$48)*K$2</f>
        <v>0</v>
      </c>
      <c r="L253" s="88">
        <f>SUMIF(月間集計シート!$M$29:$M$48,$G253,月間集計シート!P$29:P$48)*L$2</f>
        <v>0</v>
      </c>
      <c r="M253" s="88">
        <f>SUMIF(月間集計シート!$M$29:$M$48,$G253,月間集計シート!Q$29:Q$48)*M$2</f>
        <v>0</v>
      </c>
      <c r="N253" s="88">
        <f>SUMIF(月間集計シート!$M$29:$M$48,$G253,月間集計シート!R$29:R$48)*N$2</f>
        <v>0</v>
      </c>
      <c r="O253" s="88">
        <f>SUMIF(月間集計シート!$M$29:$M$48,$G253,月間集計シート!S$29:S$48)*O$2</f>
        <v>0</v>
      </c>
      <c r="P253" s="88">
        <f>SUMIF(月間集計シート!$M$29:$M$48,$G253,月間集計シート!T$29:T$48)*P$2</f>
        <v>0</v>
      </c>
      <c r="Q253" s="88">
        <f>SUMIF(月間集計シート!$M$50:$M$69,$G253,月間集計シート!N$50:N$69)*Q$2</f>
        <v>0</v>
      </c>
      <c r="R253" s="88">
        <f>SUMIF(月間集計シート!$M$50:$M$69,$G253,月間集計シート!O$50:O$69)*R$2</f>
        <v>0</v>
      </c>
      <c r="S253" s="88">
        <f>SUMIF(月間集計シート!$M$50:$M$69,$G253,月間集計シート!P$50:P$69)*S$2</f>
        <v>0</v>
      </c>
      <c r="T253" s="88">
        <f>SUMIF(月間集計シート!$M$50:$M$69,$G253,月間集計シート!Q$50:Q$69)*T$2</f>
        <v>0</v>
      </c>
      <c r="U253" s="88">
        <f>SUMIF(月間集計シート!$M$50:$M$69,$G253,月間集計シート!R$50:R$69)*U$2</f>
        <v>0</v>
      </c>
      <c r="V253" s="88">
        <f>SUMIF(月間集計シート!$M$50:$M$69,$G253,月間集計シート!S$50:S$69)*V$2</f>
        <v>0</v>
      </c>
      <c r="W253" s="88">
        <f>SUMIF(月間集計シート!$M$50:$M$69,$G253,月間集計シート!T$50:T$69)*W$2</f>
        <v>0</v>
      </c>
      <c r="X253" s="88">
        <f>SUMIF(月間集計シート!$M$71:$M$90,$G253,月間集計シート!N$71:N$90)*X$2</f>
        <v>0</v>
      </c>
      <c r="Y253" s="88">
        <f>SUMIF(月間集計シート!$M$71:$M$90,$G253,月間集計シート!O$71:O$90)*Y$2</f>
        <v>0</v>
      </c>
      <c r="Z253" s="88">
        <f>SUMIF(月間集計シート!$M$71:$M$90,$G253,月間集計シート!P$71:P$90)*Z$2</f>
        <v>0</v>
      </c>
      <c r="AA253" s="88">
        <f>SUMIF(月間集計シート!$M$71:$M$90,$G253,月間集計シート!Q$71:Q$90)*AA$2</f>
        <v>0</v>
      </c>
      <c r="AB253" s="88">
        <f>SUMIF(月間集計シート!$M$71:$M$90,$G253,月間集計シート!R$71:R$90)*AB$2</f>
        <v>0</v>
      </c>
      <c r="AC253" s="88">
        <f>SUMIF(月間集計シート!$M$71:$M$90,$G253,月間集計シート!S$71:S$90)*AC$2</f>
        <v>0</v>
      </c>
      <c r="AD253" s="88">
        <f>SUMIF(月間集計シート!$M$71:$M$90,$G253,月間集計シート!T$71:T$90)*AD$2</f>
        <v>0</v>
      </c>
      <c r="AE253" s="88">
        <f>SUMIF(月間集計シート!$M$92:$M$111,$G253,月間集計シート!N$92:N$111)*AE$2</f>
        <v>0</v>
      </c>
      <c r="AF253" s="88">
        <f>SUMIF(月間集計シート!$M$92:$M$111,$G253,月間集計シート!O$92:O$111)*AF$2</f>
        <v>0</v>
      </c>
      <c r="AG253" s="88">
        <f>SUMIF(月間集計シート!$M$92:$M$111,$G253,月間集計シート!P$92:P$111)*AG$2</f>
        <v>0</v>
      </c>
      <c r="AH253" s="88">
        <f>SUMIF(月間集計シート!$M$92:$M$111,$G253,月間集計シート!Q$92:Q$111)*AH$2</f>
        <v>0</v>
      </c>
      <c r="AI253" s="88">
        <f>SUMIF(月間集計シート!$M$92:$M$111,$G253,月間集計シート!R$92:R$111)*AI$2</f>
        <v>0</v>
      </c>
      <c r="AJ253" s="88">
        <f>SUMIF(月間集計シート!$M$92:$M$111,$G253,月間集計シート!S$92:S$111)*AJ$2</f>
        <v>0</v>
      </c>
      <c r="AK253" s="88">
        <f>SUMIF(月間集計シート!$M$92:$M$111,$G253,月間集計シート!T$92:T$111)*AK$2</f>
        <v>0</v>
      </c>
      <c r="AL253" s="88">
        <f>SUMIF(月間集計シート!$M$113:$M$132,$G253,月間集計シート!N$113:N$132)*AL$2</f>
        <v>0</v>
      </c>
      <c r="AM253" s="88">
        <f>SUMIF(月間集計シート!$M$113:$M$132,$G253,月間集計シート!O$113:O$132)*AM$2</f>
        <v>0</v>
      </c>
      <c r="AN253" s="88">
        <f>SUMIF(月間集計シート!$M$113:$M$132,$G253,月間集計シート!P$113:P$132)*AN$2</f>
        <v>0</v>
      </c>
      <c r="AO253" s="88">
        <f>SUMIF(月間集計シート!$M$113:$M$132,$G253,月間集計シート!Q$113:Q$132)*AO$2</f>
        <v>0</v>
      </c>
      <c r="AP253" s="88">
        <f>SUMIF(月間集計シート!$M$113:$M$132,$G253,月間集計シート!R$113:R$132)*AP$2</f>
        <v>0</v>
      </c>
      <c r="AQ253" s="88">
        <f>SUMIF(月間集計シート!$M$113:$M$132,$G253,月間集計シート!S$113:S$132)*AQ$2</f>
        <v>0</v>
      </c>
      <c r="AR253" s="88">
        <f>SUMIF(月間集計シート!$M$113:$M$132,$G253,月間集計シート!T$113:T$132)*AR$2</f>
        <v>0</v>
      </c>
      <c r="AS253" s="88">
        <f>SUMIF(月間集計シート!$M$134:$M$153,$G253,月間集計シート!N$134:N$153)*AS$2</f>
        <v>0</v>
      </c>
      <c r="AT253" s="88">
        <f>SUMIF(月間集計シート!$M$134:$M$153,$G253,月間集計シート!O$134:O$153)*AT$2</f>
        <v>0</v>
      </c>
      <c r="AU253" s="88">
        <f>SUMIF(月間集計シート!$M$134:$M$153,$G253,月間集計シート!P$134:P$153)*AU$2</f>
        <v>0</v>
      </c>
      <c r="AV253" s="88">
        <f>SUMIF(月間集計シート!$M$134:$M$153,$G253,月間集計シート!Q$134:Q$153)*AV$2</f>
        <v>0</v>
      </c>
      <c r="AW253" s="88">
        <f>SUMIF(月間集計シート!$M$134:$M$153,$G253,月間集計シート!R$134:R$153)*AW$2</f>
        <v>0</v>
      </c>
      <c r="AX253" s="88">
        <f>SUMIF(月間集計シート!$M$134:$M$153,$G253,月間集計シート!S$134:S$153)*AX$2</f>
        <v>0</v>
      </c>
      <c r="AY253" s="88">
        <f>SUMIF(月間集計シート!$M$134:$M$153,$G253,月間集計シート!T$134:T$153)*AY$2</f>
        <v>0</v>
      </c>
    </row>
    <row r="254" spans="1:51" ht="14.25" thickBot="1">
      <c r="A254">
        <v>3</v>
      </c>
      <c r="B254" s="120">
        <f t="shared" si="83"/>
        <v>0</v>
      </c>
      <c r="C254" s="120" t="str">
        <f t="shared" si="83"/>
        <v/>
      </c>
      <c r="D254" s="137"/>
      <c r="E254" s="150" t="str">
        <f>工種!A76</f>
        <v>90199</v>
      </c>
      <c r="F254" s="119" t="str">
        <f>工種!B76</f>
        <v>管理業務：その他</v>
      </c>
      <c r="G254" s="116" t="str">
        <f t="shared" si="80"/>
        <v>090199</v>
      </c>
      <c r="H254" s="88">
        <f t="shared" si="82"/>
        <v>0</v>
      </c>
      <c r="I254" s="132"/>
      <c r="J254" s="88">
        <f>SUMIF(月間集計シート!$M$29:$M$48,$G254,月間集計シート!N$29:N$48)*J$2</f>
        <v>0</v>
      </c>
      <c r="K254" s="88">
        <f>SUMIF(月間集計シート!$M$29:$M$48,$G254,月間集計シート!O$29:O$48)*K$2</f>
        <v>0</v>
      </c>
      <c r="L254" s="88">
        <f>SUMIF(月間集計シート!$M$29:$M$48,$G254,月間集計シート!P$29:P$48)*L$2</f>
        <v>0</v>
      </c>
      <c r="M254" s="88">
        <f>SUMIF(月間集計シート!$M$29:$M$48,$G254,月間集計シート!Q$29:Q$48)*M$2</f>
        <v>0</v>
      </c>
      <c r="N254" s="88">
        <f>SUMIF(月間集計シート!$M$29:$M$48,$G254,月間集計シート!R$29:R$48)*N$2</f>
        <v>0</v>
      </c>
      <c r="O254" s="88">
        <f>SUMIF(月間集計シート!$M$29:$M$48,$G254,月間集計シート!S$29:S$48)*O$2</f>
        <v>0</v>
      </c>
      <c r="P254" s="88">
        <f>SUMIF(月間集計シート!$M$29:$M$48,$G254,月間集計シート!T$29:T$48)*P$2</f>
        <v>0</v>
      </c>
      <c r="Q254" s="88">
        <f>SUMIF(月間集計シート!$M$50:$M$69,$G254,月間集計シート!N$50:N$69)*Q$2</f>
        <v>0</v>
      </c>
      <c r="R254" s="88">
        <f>SUMIF(月間集計シート!$M$50:$M$69,$G254,月間集計シート!O$50:O$69)*R$2</f>
        <v>0</v>
      </c>
      <c r="S254" s="88">
        <f>SUMIF(月間集計シート!$M$50:$M$69,$G254,月間集計シート!P$50:P$69)*S$2</f>
        <v>0</v>
      </c>
      <c r="T254" s="88">
        <f>SUMIF(月間集計シート!$M$50:$M$69,$G254,月間集計シート!Q$50:Q$69)*T$2</f>
        <v>0</v>
      </c>
      <c r="U254" s="88">
        <f>SUMIF(月間集計シート!$M$50:$M$69,$G254,月間集計シート!R$50:R$69)*U$2</f>
        <v>0</v>
      </c>
      <c r="V254" s="88">
        <f>SUMIF(月間集計シート!$M$50:$M$69,$G254,月間集計シート!S$50:S$69)*V$2</f>
        <v>0</v>
      </c>
      <c r="W254" s="88">
        <f>SUMIF(月間集計シート!$M$50:$M$69,$G254,月間集計シート!T$50:T$69)*W$2</f>
        <v>0</v>
      </c>
      <c r="X254" s="88">
        <f>SUMIF(月間集計シート!$M$71:$M$90,$G254,月間集計シート!N$71:N$90)*X$2</f>
        <v>0</v>
      </c>
      <c r="Y254" s="88">
        <f>SUMIF(月間集計シート!$M$71:$M$90,$G254,月間集計シート!O$71:O$90)*Y$2</f>
        <v>0</v>
      </c>
      <c r="Z254" s="88">
        <f>SUMIF(月間集計シート!$M$71:$M$90,$G254,月間集計シート!P$71:P$90)*Z$2</f>
        <v>0</v>
      </c>
      <c r="AA254" s="88">
        <f>SUMIF(月間集計シート!$M$71:$M$90,$G254,月間集計シート!Q$71:Q$90)*AA$2</f>
        <v>0</v>
      </c>
      <c r="AB254" s="88">
        <f>SUMIF(月間集計シート!$M$71:$M$90,$G254,月間集計シート!R$71:R$90)*AB$2</f>
        <v>0</v>
      </c>
      <c r="AC254" s="88">
        <f>SUMIF(月間集計シート!$M$71:$M$90,$G254,月間集計シート!S$71:S$90)*AC$2</f>
        <v>0</v>
      </c>
      <c r="AD254" s="88">
        <f>SUMIF(月間集計シート!$M$71:$M$90,$G254,月間集計シート!T$71:T$90)*AD$2</f>
        <v>0</v>
      </c>
      <c r="AE254" s="88">
        <f>SUMIF(月間集計シート!$M$92:$M$111,$G254,月間集計シート!N$92:N$111)*AE$2</f>
        <v>0</v>
      </c>
      <c r="AF254" s="88">
        <f>SUMIF(月間集計シート!$M$92:$M$111,$G254,月間集計シート!O$92:O$111)*AF$2</f>
        <v>0</v>
      </c>
      <c r="AG254" s="88">
        <f>SUMIF(月間集計シート!$M$92:$M$111,$G254,月間集計シート!P$92:P$111)*AG$2</f>
        <v>0</v>
      </c>
      <c r="AH254" s="88">
        <f>SUMIF(月間集計シート!$M$92:$M$111,$G254,月間集計シート!Q$92:Q$111)*AH$2</f>
        <v>0</v>
      </c>
      <c r="AI254" s="88">
        <f>SUMIF(月間集計シート!$M$92:$M$111,$G254,月間集計シート!R$92:R$111)*AI$2</f>
        <v>0</v>
      </c>
      <c r="AJ254" s="88">
        <f>SUMIF(月間集計シート!$M$92:$M$111,$G254,月間集計シート!S$92:S$111)*AJ$2</f>
        <v>0</v>
      </c>
      <c r="AK254" s="88">
        <f>SUMIF(月間集計シート!$M$92:$M$111,$G254,月間集計シート!T$92:T$111)*AK$2</f>
        <v>0</v>
      </c>
      <c r="AL254" s="88">
        <f>SUMIF(月間集計シート!$M$113:$M$132,$G254,月間集計シート!N$113:N$132)*AL$2</f>
        <v>0</v>
      </c>
      <c r="AM254" s="88">
        <f>SUMIF(月間集計シート!$M$113:$M$132,$G254,月間集計シート!O$113:O$132)*AM$2</f>
        <v>0</v>
      </c>
      <c r="AN254" s="88">
        <f>SUMIF(月間集計シート!$M$113:$M$132,$G254,月間集計シート!P$113:P$132)*AN$2</f>
        <v>0</v>
      </c>
      <c r="AO254" s="88">
        <f>SUMIF(月間集計シート!$M$113:$M$132,$G254,月間集計シート!Q$113:Q$132)*AO$2</f>
        <v>0</v>
      </c>
      <c r="AP254" s="88">
        <f>SUMIF(月間集計シート!$M$113:$M$132,$G254,月間集計シート!R$113:R$132)*AP$2</f>
        <v>0</v>
      </c>
      <c r="AQ254" s="88">
        <f>SUMIF(月間集計シート!$M$113:$M$132,$G254,月間集計シート!S$113:S$132)*AQ$2</f>
        <v>0</v>
      </c>
      <c r="AR254" s="88">
        <f>SUMIF(月間集計シート!$M$113:$M$132,$G254,月間集計シート!T$113:T$132)*AR$2</f>
        <v>0</v>
      </c>
      <c r="AS254" s="88">
        <f>SUMIF(月間集計シート!$M$134:$M$153,$G254,月間集計シート!N$134:N$153)*AS$2</f>
        <v>0</v>
      </c>
      <c r="AT254" s="88">
        <f>SUMIF(月間集計シート!$M$134:$M$153,$G254,月間集計シート!O$134:O$153)*AT$2</f>
        <v>0</v>
      </c>
      <c r="AU254" s="88">
        <f>SUMIF(月間集計シート!$M$134:$M$153,$G254,月間集計シート!P$134:P$153)*AU$2</f>
        <v>0</v>
      </c>
      <c r="AV254" s="88">
        <f>SUMIF(月間集計シート!$M$134:$M$153,$G254,月間集計シート!Q$134:Q$153)*AV$2</f>
        <v>0</v>
      </c>
      <c r="AW254" s="88">
        <f>SUMIF(月間集計シート!$M$134:$M$153,$G254,月間集計シート!R$134:R$153)*AW$2</f>
        <v>0</v>
      </c>
      <c r="AX254" s="88">
        <f>SUMIF(月間集計シート!$M$134:$M$153,$G254,月間集計シート!S$134:S$153)*AX$2</f>
        <v>0</v>
      </c>
      <c r="AY254" s="88">
        <f>SUMIF(月間集計シート!$M$134:$M$153,$G254,月間集計シート!T$134:T$153)*AY$2</f>
        <v>0</v>
      </c>
    </row>
    <row r="255" spans="1:51" ht="14.25" thickBot="1">
      <c r="A255">
        <v>3</v>
      </c>
      <c r="B255" s="120">
        <f t="shared" si="83"/>
        <v>0</v>
      </c>
      <c r="C255" s="120" t="str">
        <f t="shared" si="83"/>
        <v/>
      </c>
      <c r="D255" s="137"/>
      <c r="E255" s="150">
        <f>工種!A77</f>
        <v>99102</v>
      </c>
      <c r="F255" s="119" t="str">
        <f>工種!B77</f>
        <v>間接業務：業務環境管理（PCｾｯﾄｱｯﾌﾟ等）</v>
      </c>
      <c r="G255" s="116" t="str">
        <f t="shared" si="80"/>
        <v>099102</v>
      </c>
      <c r="H255" s="88">
        <f t="shared" si="82"/>
        <v>0</v>
      </c>
      <c r="I255" s="132"/>
      <c r="J255" s="88">
        <f>SUMIF(月間集計シート!$M$29:$M$48,$G255,月間集計シート!N$29:N$48)*J$2</f>
        <v>0</v>
      </c>
      <c r="K255" s="88">
        <f>SUMIF(月間集計シート!$M$29:$M$48,$G255,月間集計シート!O$29:O$48)*K$2</f>
        <v>0</v>
      </c>
      <c r="L255" s="88">
        <f>SUMIF(月間集計シート!$M$29:$M$48,$G255,月間集計シート!P$29:P$48)*L$2</f>
        <v>0</v>
      </c>
      <c r="M255" s="88">
        <f>SUMIF(月間集計シート!$M$29:$M$48,$G255,月間集計シート!Q$29:Q$48)*M$2</f>
        <v>0</v>
      </c>
      <c r="N255" s="88">
        <f>SUMIF(月間集計シート!$M$29:$M$48,$G255,月間集計シート!R$29:R$48)*N$2</f>
        <v>0</v>
      </c>
      <c r="O255" s="88">
        <f>SUMIF(月間集計シート!$M$29:$M$48,$G255,月間集計シート!S$29:S$48)*O$2</f>
        <v>0</v>
      </c>
      <c r="P255" s="88">
        <f>SUMIF(月間集計シート!$M$29:$M$48,$G255,月間集計シート!T$29:T$48)*P$2</f>
        <v>0</v>
      </c>
      <c r="Q255" s="88">
        <f>SUMIF(月間集計シート!$M$50:$M$69,$G255,月間集計シート!N$50:N$69)*Q$2</f>
        <v>0</v>
      </c>
      <c r="R255" s="88">
        <f>SUMIF(月間集計シート!$M$50:$M$69,$G255,月間集計シート!O$50:O$69)*R$2</f>
        <v>0</v>
      </c>
      <c r="S255" s="88">
        <f>SUMIF(月間集計シート!$M$50:$M$69,$G255,月間集計シート!P$50:P$69)*S$2</f>
        <v>0</v>
      </c>
      <c r="T255" s="88">
        <f>SUMIF(月間集計シート!$M$50:$M$69,$G255,月間集計シート!Q$50:Q$69)*T$2</f>
        <v>0</v>
      </c>
      <c r="U255" s="88">
        <f>SUMIF(月間集計シート!$M$50:$M$69,$G255,月間集計シート!R$50:R$69)*U$2</f>
        <v>0</v>
      </c>
      <c r="V255" s="88">
        <f>SUMIF(月間集計シート!$M$50:$M$69,$G255,月間集計シート!S$50:S$69)*V$2</f>
        <v>0</v>
      </c>
      <c r="W255" s="88">
        <f>SUMIF(月間集計シート!$M$50:$M$69,$G255,月間集計シート!T$50:T$69)*W$2</f>
        <v>0</v>
      </c>
      <c r="X255" s="88">
        <f>SUMIF(月間集計シート!$M$71:$M$90,$G255,月間集計シート!N$71:N$90)*X$2</f>
        <v>0</v>
      </c>
      <c r="Y255" s="88">
        <f>SUMIF(月間集計シート!$M$71:$M$90,$G255,月間集計シート!O$71:O$90)*Y$2</f>
        <v>0</v>
      </c>
      <c r="Z255" s="88">
        <f>SUMIF(月間集計シート!$M$71:$M$90,$G255,月間集計シート!P$71:P$90)*Z$2</f>
        <v>0</v>
      </c>
      <c r="AA255" s="88">
        <f>SUMIF(月間集計シート!$M$71:$M$90,$G255,月間集計シート!Q$71:Q$90)*AA$2</f>
        <v>0</v>
      </c>
      <c r="AB255" s="88">
        <f>SUMIF(月間集計シート!$M$71:$M$90,$G255,月間集計シート!R$71:R$90)*AB$2</f>
        <v>0</v>
      </c>
      <c r="AC255" s="88">
        <f>SUMIF(月間集計シート!$M$71:$M$90,$G255,月間集計シート!S$71:S$90)*AC$2</f>
        <v>0</v>
      </c>
      <c r="AD255" s="88">
        <f>SUMIF(月間集計シート!$M$71:$M$90,$G255,月間集計シート!T$71:T$90)*AD$2</f>
        <v>0</v>
      </c>
      <c r="AE255" s="88">
        <f>SUMIF(月間集計シート!$M$92:$M$111,$G255,月間集計シート!N$92:N$111)*AE$2</f>
        <v>0</v>
      </c>
      <c r="AF255" s="88">
        <f>SUMIF(月間集計シート!$M$92:$M$111,$G255,月間集計シート!O$92:O$111)*AF$2</f>
        <v>0</v>
      </c>
      <c r="AG255" s="88">
        <f>SUMIF(月間集計シート!$M$92:$M$111,$G255,月間集計シート!P$92:P$111)*AG$2</f>
        <v>0</v>
      </c>
      <c r="AH255" s="88">
        <f>SUMIF(月間集計シート!$M$92:$M$111,$G255,月間集計シート!Q$92:Q$111)*AH$2</f>
        <v>0</v>
      </c>
      <c r="AI255" s="88">
        <f>SUMIF(月間集計シート!$M$92:$M$111,$G255,月間集計シート!R$92:R$111)*AI$2</f>
        <v>0</v>
      </c>
      <c r="AJ255" s="88">
        <f>SUMIF(月間集計シート!$M$92:$M$111,$G255,月間集計シート!S$92:S$111)*AJ$2</f>
        <v>0</v>
      </c>
      <c r="AK255" s="88">
        <f>SUMIF(月間集計シート!$M$92:$M$111,$G255,月間集計シート!T$92:T$111)*AK$2</f>
        <v>0</v>
      </c>
      <c r="AL255" s="88">
        <f>SUMIF(月間集計シート!$M$113:$M$132,$G255,月間集計シート!N$113:N$132)*AL$2</f>
        <v>0</v>
      </c>
      <c r="AM255" s="88">
        <f>SUMIF(月間集計シート!$M$113:$M$132,$G255,月間集計シート!O$113:O$132)*AM$2</f>
        <v>0</v>
      </c>
      <c r="AN255" s="88">
        <f>SUMIF(月間集計シート!$M$113:$M$132,$G255,月間集計シート!P$113:P$132)*AN$2</f>
        <v>0</v>
      </c>
      <c r="AO255" s="88">
        <f>SUMIF(月間集計シート!$M$113:$M$132,$G255,月間集計シート!Q$113:Q$132)*AO$2</f>
        <v>0</v>
      </c>
      <c r="AP255" s="88">
        <f>SUMIF(月間集計シート!$M$113:$M$132,$G255,月間集計シート!R$113:R$132)*AP$2</f>
        <v>0</v>
      </c>
      <c r="AQ255" s="88">
        <f>SUMIF(月間集計シート!$M$113:$M$132,$G255,月間集計シート!S$113:S$132)*AQ$2</f>
        <v>0</v>
      </c>
      <c r="AR255" s="88">
        <f>SUMIF(月間集計シート!$M$113:$M$132,$G255,月間集計シート!T$113:T$132)*AR$2</f>
        <v>0</v>
      </c>
      <c r="AS255" s="88">
        <f>SUMIF(月間集計シート!$M$134:$M$153,$G255,月間集計シート!N$134:N$153)*AS$2</f>
        <v>0</v>
      </c>
      <c r="AT255" s="88">
        <f>SUMIF(月間集計シート!$M$134:$M$153,$G255,月間集計シート!O$134:O$153)*AT$2</f>
        <v>0</v>
      </c>
      <c r="AU255" s="88">
        <f>SUMIF(月間集計シート!$M$134:$M$153,$G255,月間集計シート!P$134:P$153)*AU$2</f>
        <v>0</v>
      </c>
      <c r="AV255" s="88">
        <f>SUMIF(月間集計シート!$M$134:$M$153,$G255,月間集計シート!Q$134:Q$153)*AV$2</f>
        <v>0</v>
      </c>
      <c r="AW255" s="88">
        <f>SUMIF(月間集計シート!$M$134:$M$153,$G255,月間集計シート!R$134:R$153)*AW$2</f>
        <v>0</v>
      </c>
      <c r="AX255" s="88">
        <f>SUMIF(月間集計シート!$M$134:$M$153,$G255,月間集計シート!S$134:S$153)*AX$2</f>
        <v>0</v>
      </c>
      <c r="AY255" s="88">
        <f>SUMIF(月間集計シート!$M$134:$M$153,$G255,月間集計シート!T$134:T$153)*AY$2</f>
        <v>0</v>
      </c>
    </row>
    <row r="256" spans="1:51" ht="14.25" thickBot="1">
      <c r="A256">
        <v>3</v>
      </c>
      <c r="B256" s="120">
        <f t="shared" si="83"/>
        <v>0</v>
      </c>
      <c r="C256" s="120" t="str">
        <f t="shared" si="83"/>
        <v/>
      </c>
      <c r="D256" s="137"/>
      <c r="E256" s="150" t="str">
        <f>工種!A78</f>
        <v>99103</v>
      </c>
      <c r="F256" s="119" t="str">
        <f>工種!B78</f>
        <v>間接業務：標準化・業務改善作業（開発以外）</v>
      </c>
      <c r="G256" s="116" t="str">
        <f t="shared" si="80"/>
        <v>099103</v>
      </c>
      <c r="H256" s="88">
        <f t="shared" si="82"/>
        <v>0</v>
      </c>
      <c r="I256" s="132"/>
      <c r="J256" s="88">
        <f>SUMIF(月間集計シート!$M$29:$M$48,$G256,月間集計シート!N$29:N$48)*J$2</f>
        <v>0</v>
      </c>
      <c r="K256" s="88">
        <f>SUMIF(月間集計シート!$M$29:$M$48,$G256,月間集計シート!O$29:O$48)*K$2</f>
        <v>0</v>
      </c>
      <c r="L256" s="88">
        <f>SUMIF(月間集計シート!$M$29:$M$48,$G256,月間集計シート!P$29:P$48)*L$2</f>
        <v>0</v>
      </c>
      <c r="M256" s="88">
        <f>SUMIF(月間集計シート!$M$29:$M$48,$G256,月間集計シート!Q$29:Q$48)*M$2</f>
        <v>0</v>
      </c>
      <c r="N256" s="88">
        <f>SUMIF(月間集計シート!$M$29:$M$48,$G256,月間集計シート!R$29:R$48)*N$2</f>
        <v>0</v>
      </c>
      <c r="O256" s="88">
        <f>SUMIF(月間集計シート!$M$29:$M$48,$G256,月間集計シート!S$29:S$48)*O$2</f>
        <v>0</v>
      </c>
      <c r="P256" s="88">
        <f>SUMIF(月間集計シート!$M$29:$M$48,$G256,月間集計シート!T$29:T$48)*P$2</f>
        <v>0</v>
      </c>
      <c r="Q256" s="88">
        <f>SUMIF(月間集計シート!$M$50:$M$69,$G256,月間集計シート!N$50:N$69)*Q$2</f>
        <v>0</v>
      </c>
      <c r="R256" s="88">
        <f>SUMIF(月間集計シート!$M$50:$M$69,$G256,月間集計シート!O$50:O$69)*R$2</f>
        <v>0</v>
      </c>
      <c r="S256" s="88">
        <f>SUMIF(月間集計シート!$M$50:$M$69,$G256,月間集計シート!P$50:P$69)*S$2</f>
        <v>0</v>
      </c>
      <c r="T256" s="88">
        <f>SUMIF(月間集計シート!$M$50:$M$69,$G256,月間集計シート!Q$50:Q$69)*T$2</f>
        <v>0</v>
      </c>
      <c r="U256" s="88">
        <f>SUMIF(月間集計シート!$M$50:$M$69,$G256,月間集計シート!R$50:R$69)*U$2</f>
        <v>0</v>
      </c>
      <c r="V256" s="88">
        <f>SUMIF(月間集計シート!$M$50:$M$69,$G256,月間集計シート!S$50:S$69)*V$2</f>
        <v>0</v>
      </c>
      <c r="W256" s="88">
        <f>SUMIF(月間集計シート!$M$50:$M$69,$G256,月間集計シート!T$50:T$69)*W$2</f>
        <v>0</v>
      </c>
      <c r="X256" s="88">
        <f>SUMIF(月間集計シート!$M$71:$M$90,$G256,月間集計シート!N$71:N$90)*X$2</f>
        <v>0</v>
      </c>
      <c r="Y256" s="88">
        <f>SUMIF(月間集計シート!$M$71:$M$90,$G256,月間集計シート!O$71:O$90)*Y$2</f>
        <v>0</v>
      </c>
      <c r="Z256" s="88">
        <f>SUMIF(月間集計シート!$M$71:$M$90,$G256,月間集計シート!P$71:P$90)*Z$2</f>
        <v>0</v>
      </c>
      <c r="AA256" s="88">
        <f>SUMIF(月間集計シート!$M$71:$M$90,$G256,月間集計シート!Q$71:Q$90)*AA$2</f>
        <v>0</v>
      </c>
      <c r="AB256" s="88">
        <f>SUMIF(月間集計シート!$M$71:$M$90,$G256,月間集計シート!R$71:R$90)*AB$2</f>
        <v>0</v>
      </c>
      <c r="AC256" s="88">
        <f>SUMIF(月間集計シート!$M$71:$M$90,$G256,月間集計シート!S$71:S$90)*AC$2</f>
        <v>0</v>
      </c>
      <c r="AD256" s="88">
        <f>SUMIF(月間集計シート!$M$71:$M$90,$G256,月間集計シート!T$71:T$90)*AD$2</f>
        <v>0</v>
      </c>
      <c r="AE256" s="88">
        <f>SUMIF(月間集計シート!$M$92:$M$111,$G256,月間集計シート!N$92:N$111)*AE$2</f>
        <v>0</v>
      </c>
      <c r="AF256" s="88">
        <f>SUMIF(月間集計シート!$M$92:$M$111,$G256,月間集計シート!O$92:O$111)*AF$2</f>
        <v>0</v>
      </c>
      <c r="AG256" s="88">
        <f>SUMIF(月間集計シート!$M$92:$M$111,$G256,月間集計シート!P$92:P$111)*AG$2</f>
        <v>0</v>
      </c>
      <c r="AH256" s="88">
        <f>SUMIF(月間集計シート!$M$92:$M$111,$G256,月間集計シート!Q$92:Q$111)*AH$2</f>
        <v>0</v>
      </c>
      <c r="AI256" s="88">
        <f>SUMIF(月間集計シート!$M$92:$M$111,$G256,月間集計シート!R$92:R$111)*AI$2</f>
        <v>0</v>
      </c>
      <c r="AJ256" s="88">
        <f>SUMIF(月間集計シート!$M$92:$M$111,$G256,月間集計シート!S$92:S$111)*AJ$2</f>
        <v>0</v>
      </c>
      <c r="AK256" s="88">
        <f>SUMIF(月間集計シート!$M$92:$M$111,$G256,月間集計シート!T$92:T$111)*AK$2</f>
        <v>0</v>
      </c>
      <c r="AL256" s="88">
        <f>SUMIF(月間集計シート!$M$113:$M$132,$G256,月間集計シート!N$113:N$132)*AL$2</f>
        <v>0</v>
      </c>
      <c r="AM256" s="88">
        <f>SUMIF(月間集計シート!$M$113:$M$132,$G256,月間集計シート!O$113:O$132)*AM$2</f>
        <v>0</v>
      </c>
      <c r="AN256" s="88">
        <f>SUMIF(月間集計シート!$M$113:$M$132,$G256,月間集計シート!P$113:P$132)*AN$2</f>
        <v>0</v>
      </c>
      <c r="AO256" s="88">
        <f>SUMIF(月間集計シート!$M$113:$M$132,$G256,月間集計シート!Q$113:Q$132)*AO$2</f>
        <v>0</v>
      </c>
      <c r="AP256" s="88">
        <f>SUMIF(月間集計シート!$M$113:$M$132,$G256,月間集計シート!R$113:R$132)*AP$2</f>
        <v>0</v>
      </c>
      <c r="AQ256" s="88">
        <f>SUMIF(月間集計シート!$M$113:$M$132,$G256,月間集計シート!S$113:S$132)*AQ$2</f>
        <v>0</v>
      </c>
      <c r="AR256" s="88">
        <f>SUMIF(月間集計シート!$M$113:$M$132,$G256,月間集計シート!T$113:T$132)*AR$2</f>
        <v>0</v>
      </c>
      <c r="AS256" s="88">
        <f>SUMIF(月間集計シート!$M$134:$M$153,$G256,月間集計シート!N$134:N$153)*AS$2</f>
        <v>0</v>
      </c>
      <c r="AT256" s="88">
        <f>SUMIF(月間集計シート!$M$134:$M$153,$G256,月間集計シート!O$134:O$153)*AT$2</f>
        <v>0</v>
      </c>
      <c r="AU256" s="88">
        <f>SUMIF(月間集計シート!$M$134:$M$153,$G256,月間集計シート!P$134:P$153)*AU$2</f>
        <v>0</v>
      </c>
      <c r="AV256" s="88">
        <f>SUMIF(月間集計シート!$M$134:$M$153,$G256,月間集計シート!Q$134:Q$153)*AV$2</f>
        <v>0</v>
      </c>
      <c r="AW256" s="88">
        <f>SUMIF(月間集計シート!$M$134:$M$153,$G256,月間集計シート!R$134:R$153)*AW$2</f>
        <v>0</v>
      </c>
      <c r="AX256" s="88">
        <f>SUMIF(月間集計シート!$M$134:$M$153,$G256,月間集計シート!S$134:S$153)*AX$2</f>
        <v>0</v>
      </c>
      <c r="AY256" s="88">
        <f>SUMIF(月間集計シート!$M$134:$M$153,$G256,月間集計シート!T$134:T$153)*AY$2</f>
        <v>0</v>
      </c>
    </row>
    <row r="257" spans="1:51" ht="14.25" thickBot="1">
      <c r="A257">
        <v>3</v>
      </c>
      <c r="B257" s="120">
        <f t="shared" si="83"/>
        <v>0</v>
      </c>
      <c r="C257" s="120" t="str">
        <f t="shared" si="83"/>
        <v/>
      </c>
      <c r="D257" s="137"/>
      <c r="E257" s="150" t="str">
        <f>工種!A79</f>
        <v>99104</v>
      </c>
      <c r="F257" s="119" t="str">
        <f>工種!B79</f>
        <v>間接業務：業務の引継ぎ（開発以外）</v>
      </c>
      <c r="G257" s="116" t="str">
        <f t="shared" si="80"/>
        <v>099104</v>
      </c>
      <c r="H257" s="88">
        <f t="shared" si="82"/>
        <v>0</v>
      </c>
      <c r="I257" s="132"/>
      <c r="J257" s="88">
        <f>SUMIF(月間集計シート!$M$29:$M$48,$G257,月間集計シート!N$29:N$48)*J$2</f>
        <v>0</v>
      </c>
      <c r="K257" s="88">
        <f>SUMIF(月間集計シート!$M$29:$M$48,$G257,月間集計シート!O$29:O$48)*K$2</f>
        <v>0</v>
      </c>
      <c r="L257" s="88">
        <f>SUMIF(月間集計シート!$M$29:$M$48,$G257,月間集計シート!P$29:P$48)*L$2</f>
        <v>0</v>
      </c>
      <c r="M257" s="88">
        <f>SUMIF(月間集計シート!$M$29:$M$48,$G257,月間集計シート!Q$29:Q$48)*M$2</f>
        <v>0</v>
      </c>
      <c r="N257" s="88">
        <f>SUMIF(月間集計シート!$M$29:$M$48,$G257,月間集計シート!R$29:R$48)*N$2</f>
        <v>0</v>
      </c>
      <c r="O257" s="88">
        <f>SUMIF(月間集計シート!$M$29:$M$48,$G257,月間集計シート!S$29:S$48)*O$2</f>
        <v>0</v>
      </c>
      <c r="P257" s="88">
        <f>SUMIF(月間集計シート!$M$29:$M$48,$G257,月間集計シート!T$29:T$48)*P$2</f>
        <v>0</v>
      </c>
      <c r="Q257" s="88">
        <f>SUMIF(月間集計シート!$M$50:$M$69,$G257,月間集計シート!N$50:N$69)*Q$2</f>
        <v>0</v>
      </c>
      <c r="R257" s="88">
        <f>SUMIF(月間集計シート!$M$50:$M$69,$G257,月間集計シート!O$50:O$69)*R$2</f>
        <v>0</v>
      </c>
      <c r="S257" s="88">
        <f>SUMIF(月間集計シート!$M$50:$M$69,$G257,月間集計シート!P$50:P$69)*S$2</f>
        <v>0</v>
      </c>
      <c r="T257" s="88">
        <f>SUMIF(月間集計シート!$M$50:$M$69,$G257,月間集計シート!Q$50:Q$69)*T$2</f>
        <v>0</v>
      </c>
      <c r="U257" s="88">
        <f>SUMIF(月間集計シート!$M$50:$M$69,$G257,月間集計シート!R$50:R$69)*U$2</f>
        <v>0</v>
      </c>
      <c r="V257" s="88">
        <f>SUMIF(月間集計シート!$M$50:$M$69,$G257,月間集計シート!S$50:S$69)*V$2</f>
        <v>0</v>
      </c>
      <c r="W257" s="88">
        <f>SUMIF(月間集計シート!$M$50:$M$69,$G257,月間集計シート!T$50:T$69)*W$2</f>
        <v>0</v>
      </c>
      <c r="X257" s="88">
        <f>SUMIF(月間集計シート!$M$71:$M$90,$G257,月間集計シート!N$71:N$90)*X$2</f>
        <v>0</v>
      </c>
      <c r="Y257" s="88">
        <f>SUMIF(月間集計シート!$M$71:$M$90,$G257,月間集計シート!O$71:O$90)*Y$2</f>
        <v>0</v>
      </c>
      <c r="Z257" s="88">
        <f>SUMIF(月間集計シート!$M$71:$M$90,$G257,月間集計シート!P$71:P$90)*Z$2</f>
        <v>0</v>
      </c>
      <c r="AA257" s="88">
        <f>SUMIF(月間集計シート!$M$71:$M$90,$G257,月間集計シート!Q$71:Q$90)*AA$2</f>
        <v>0</v>
      </c>
      <c r="AB257" s="88">
        <f>SUMIF(月間集計シート!$M$71:$M$90,$G257,月間集計シート!R$71:R$90)*AB$2</f>
        <v>0</v>
      </c>
      <c r="AC257" s="88">
        <f>SUMIF(月間集計シート!$M$71:$M$90,$G257,月間集計シート!S$71:S$90)*AC$2</f>
        <v>0</v>
      </c>
      <c r="AD257" s="88">
        <f>SUMIF(月間集計シート!$M$71:$M$90,$G257,月間集計シート!T$71:T$90)*AD$2</f>
        <v>0</v>
      </c>
      <c r="AE257" s="88">
        <f>SUMIF(月間集計シート!$M$92:$M$111,$G257,月間集計シート!N$92:N$111)*AE$2</f>
        <v>0</v>
      </c>
      <c r="AF257" s="88">
        <f>SUMIF(月間集計シート!$M$92:$M$111,$G257,月間集計シート!O$92:O$111)*AF$2</f>
        <v>0</v>
      </c>
      <c r="AG257" s="88">
        <f>SUMIF(月間集計シート!$M$92:$M$111,$G257,月間集計シート!P$92:P$111)*AG$2</f>
        <v>0</v>
      </c>
      <c r="AH257" s="88">
        <f>SUMIF(月間集計シート!$M$92:$M$111,$G257,月間集計シート!Q$92:Q$111)*AH$2</f>
        <v>0</v>
      </c>
      <c r="AI257" s="88">
        <f>SUMIF(月間集計シート!$M$92:$M$111,$G257,月間集計シート!R$92:R$111)*AI$2</f>
        <v>0</v>
      </c>
      <c r="AJ257" s="88">
        <f>SUMIF(月間集計シート!$M$92:$M$111,$G257,月間集計シート!S$92:S$111)*AJ$2</f>
        <v>0</v>
      </c>
      <c r="AK257" s="88">
        <f>SUMIF(月間集計シート!$M$92:$M$111,$G257,月間集計シート!T$92:T$111)*AK$2</f>
        <v>0</v>
      </c>
      <c r="AL257" s="88">
        <f>SUMIF(月間集計シート!$M$113:$M$132,$G257,月間集計シート!N$113:N$132)*AL$2</f>
        <v>0</v>
      </c>
      <c r="AM257" s="88">
        <f>SUMIF(月間集計シート!$M$113:$M$132,$G257,月間集計シート!O$113:O$132)*AM$2</f>
        <v>0</v>
      </c>
      <c r="AN257" s="88">
        <f>SUMIF(月間集計シート!$M$113:$M$132,$G257,月間集計シート!P$113:P$132)*AN$2</f>
        <v>0</v>
      </c>
      <c r="AO257" s="88">
        <f>SUMIF(月間集計シート!$M$113:$M$132,$G257,月間集計シート!Q$113:Q$132)*AO$2</f>
        <v>0</v>
      </c>
      <c r="AP257" s="88">
        <f>SUMIF(月間集計シート!$M$113:$M$132,$G257,月間集計シート!R$113:R$132)*AP$2</f>
        <v>0</v>
      </c>
      <c r="AQ257" s="88">
        <f>SUMIF(月間集計シート!$M$113:$M$132,$G257,月間集計シート!S$113:S$132)*AQ$2</f>
        <v>0</v>
      </c>
      <c r="AR257" s="88">
        <f>SUMIF(月間集計シート!$M$113:$M$132,$G257,月間集計シート!T$113:T$132)*AR$2</f>
        <v>0</v>
      </c>
      <c r="AS257" s="88">
        <f>SUMIF(月間集計シート!$M$134:$M$153,$G257,月間集計シート!N$134:N$153)*AS$2</f>
        <v>0</v>
      </c>
      <c r="AT257" s="88">
        <f>SUMIF(月間集計シート!$M$134:$M$153,$G257,月間集計シート!O$134:O$153)*AT$2</f>
        <v>0</v>
      </c>
      <c r="AU257" s="88">
        <f>SUMIF(月間集計シート!$M$134:$M$153,$G257,月間集計シート!P$134:P$153)*AU$2</f>
        <v>0</v>
      </c>
      <c r="AV257" s="88">
        <f>SUMIF(月間集計シート!$M$134:$M$153,$G257,月間集計シート!Q$134:Q$153)*AV$2</f>
        <v>0</v>
      </c>
      <c r="AW257" s="88">
        <f>SUMIF(月間集計シート!$M$134:$M$153,$G257,月間集計シート!R$134:R$153)*AW$2</f>
        <v>0</v>
      </c>
      <c r="AX257" s="88">
        <f>SUMIF(月間集計シート!$M$134:$M$153,$G257,月間集計シート!S$134:S$153)*AX$2</f>
        <v>0</v>
      </c>
      <c r="AY257" s="88">
        <f>SUMIF(月間集計シート!$M$134:$M$153,$G257,月間集計シート!T$134:T$153)*AY$2</f>
        <v>0</v>
      </c>
    </row>
    <row r="258" spans="1:51" ht="14.25" thickBot="1">
      <c r="A258">
        <v>3</v>
      </c>
      <c r="B258" s="120">
        <f t="shared" si="83"/>
        <v>0</v>
      </c>
      <c r="C258" s="120" t="str">
        <f t="shared" si="83"/>
        <v/>
      </c>
      <c r="D258" s="137"/>
      <c r="E258" s="150" t="str">
        <f>工種!A80</f>
        <v>99106</v>
      </c>
      <c r="F258" s="119" t="str">
        <f>工種!B80</f>
        <v>間接業務：研修・学習</v>
      </c>
      <c r="G258" s="116" t="str">
        <f t="shared" si="80"/>
        <v>099106</v>
      </c>
      <c r="H258" s="88">
        <f t="shared" si="82"/>
        <v>0</v>
      </c>
      <c r="I258" s="132"/>
      <c r="J258" s="88">
        <f>SUMIF(月間集計シート!$M$29:$M$48,$G258,月間集計シート!N$29:N$48)*J$2</f>
        <v>0</v>
      </c>
      <c r="K258" s="88">
        <f>SUMIF(月間集計シート!$M$29:$M$48,$G258,月間集計シート!O$29:O$48)*K$2</f>
        <v>0</v>
      </c>
      <c r="L258" s="88">
        <f>SUMIF(月間集計シート!$M$29:$M$48,$G258,月間集計シート!P$29:P$48)*L$2</f>
        <v>0</v>
      </c>
      <c r="M258" s="88">
        <f>SUMIF(月間集計シート!$M$29:$M$48,$G258,月間集計シート!Q$29:Q$48)*M$2</f>
        <v>0</v>
      </c>
      <c r="N258" s="88">
        <f>SUMIF(月間集計シート!$M$29:$M$48,$G258,月間集計シート!R$29:R$48)*N$2</f>
        <v>0</v>
      </c>
      <c r="O258" s="88">
        <f>SUMIF(月間集計シート!$M$29:$M$48,$G258,月間集計シート!S$29:S$48)*O$2</f>
        <v>0</v>
      </c>
      <c r="P258" s="88">
        <f>SUMIF(月間集計シート!$M$29:$M$48,$G258,月間集計シート!T$29:T$48)*P$2</f>
        <v>0</v>
      </c>
      <c r="Q258" s="88">
        <f>SUMIF(月間集計シート!$M$50:$M$69,$G258,月間集計シート!N$50:N$69)*Q$2</f>
        <v>0</v>
      </c>
      <c r="R258" s="88">
        <f>SUMIF(月間集計シート!$M$50:$M$69,$G258,月間集計シート!O$50:O$69)*R$2</f>
        <v>0</v>
      </c>
      <c r="S258" s="88">
        <f>SUMIF(月間集計シート!$M$50:$M$69,$G258,月間集計シート!P$50:P$69)*S$2</f>
        <v>0</v>
      </c>
      <c r="T258" s="88">
        <f>SUMIF(月間集計シート!$M$50:$M$69,$G258,月間集計シート!Q$50:Q$69)*T$2</f>
        <v>0</v>
      </c>
      <c r="U258" s="88">
        <f>SUMIF(月間集計シート!$M$50:$M$69,$G258,月間集計シート!R$50:R$69)*U$2</f>
        <v>0</v>
      </c>
      <c r="V258" s="88">
        <f>SUMIF(月間集計シート!$M$50:$M$69,$G258,月間集計シート!S$50:S$69)*V$2</f>
        <v>0</v>
      </c>
      <c r="W258" s="88">
        <f>SUMIF(月間集計シート!$M$50:$M$69,$G258,月間集計シート!T$50:T$69)*W$2</f>
        <v>0</v>
      </c>
      <c r="X258" s="88">
        <f>SUMIF(月間集計シート!$M$71:$M$90,$G258,月間集計シート!N$71:N$90)*X$2</f>
        <v>0</v>
      </c>
      <c r="Y258" s="88">
        <f>SUMIF(月間集計シート!$M$71:$M$90,$G258,月間集計シート!O$71:O$90)*Y$2</f>
        <v>0</v>
      </c>
      <c r="Z258" s="88">
        <f>SUMIF(月間集計シート!$M$71:$M$90,$G258,月間集計シート!P$71:P$90)*Z$2</f>
        <v>0</v>
      </c>
      <c r="AA258" s="88">
        <f>SUMIF(月間集計シート!$M$71:$M$90,$G258,月間集計シート!Q$71:Q$90)*AA$2</f>
        <v>0</v>
      </c>
      <c r="AB258" s="88">
        <f>SUMIF(月間集計シート!$M$71:$M$90,$G258,月間集計シート!R$71:R$90)*AB$2</f>
        <v>0</v>
      </c>
      <c r="AC258" s="88">
        <f>SUMIF(月間集計シート!$M$71:$M$90,$G258,月間集計シート!S$71:S$90)*AC$2</f>
        <v>0</v>
      </c>
      <c r="AD258" s="88">
        <f>SUMIF(月間集計シート!$M$71:$M$90,$G258,月間集計シート!T$71:T$90)*AD$2</f>
        <v>0</v>
      </c>
      <c r="AE258" s="88">
        <f>SUMIF(月間集計シート!$M$92:$M$111,$G258,月間集計シート!N$92:N$111)*AE$2</f>
        <v>0</v>
      </c>
      <c r="AF258" s="88">
        <f>SUMIF(月間集計シート!$M$92:$M$111,$G258,月間集計シート!O$92:O$111)*AF$2</f>
        <v>0</v>
      </c>
      <c r="AG258" s="88">
        <f>SUMIF(月間集計シート!$M$92:$M$111,$G258,月間集計シート!P$92:P$111)*AG$2</f>
        <v>0</v>
      </c>
      <c r="AH258" s="88">
        <f>SUMIF(月間集計シート!$M$92:$M$111,$G258,月間集計シート!Q$92:Q$111)*AH$2</f>
        <v>0</v>
      </c>
      <c r="AI258" s="88">
        <f>SUMIF(月間集計シート!$M$92:$M$111,$G258,月間集計シート!R$92:R$111)*AI$2</f>
        <v>0</v>
      </c>
      <c r="AJ258" s="88">
        <f>SUMIF(月間集計シート!$M$92:$M$111,$G258,月間集計シート!S$92:S$111)*AJ$2</f>
        <v>0</v>
      </c>
      <c r="AK258" s="88">
        <f>SUMIF(月間集計シート!$M$92:$M$111,$G258,月間集計シート!T$92:T$111)*AK$2</f>
        <v>0</v>
      </c>
      <c r="AL258" s="88">
        <f>SUMIF(月間集計シート!$M$113:$M$132,$G258,月間集計シート!N$113:N$132)*AL$2</f>
        <v>0</v>
      </c>
      <c r="AM258" s="88">
        <f>SUMIF(月間集計シート!$M$113:$M$132,$G258,月間集計シート!O$113:O$132)*AM$2</f>
        <v>0</v>
      </c>
      <c r="AN258" s="88">
        <f>SUMIF(月間集計シート!$M$113:$M$132,$G258,月間集計シート!P$113:P$132)*AN$2</f>
        <v>0</v>
      </c>
      <c r="AO258" s="88">
        <f>SUMIF(月間集計シート!$M$113:$M$132,$G258,月間集計シート!Q$113:Q$132)*AO$2</f>
        <v>0</v>
      </c>
      <c r="AP258" s="88">
        <f>SUMIF(月間集計シート!$M$113:$M$132,$G258,月間集計シート!R$113:R$132)*AP$2</f>
        <v>0</v>
      </c>
      <c r="AQ258" s="88">
        <f>SUMIF(月間集計シート!$M$113:$M$132,$G258,月間集計シート!S$113:S$132)*AQ$2</f>
        <v>0</v>
      </c>
      <c r="AR258" s="88">
        <f>SUMIF(月間集計シート!$M$113:$M$132,$G258,月間集計シート!T$113:T$132)*AR$2</f>
        <v>0</v>
      </c>
      <c r="AS258" s="88">
        <f>SUMIF(月間集計シート!$M$134:$M$153,$G258,月間集計シート!N$134:N$153)*AS$2</f>
        <v>0</v>
      </c>
      <c r="AT258" s="88">
        <f>SUMIF(月間集計シート!$M$134:$M$153,$G258,月間集計シート!O$134:O$153)*AT$2</f>
        <v>0</v>
      </c>
      <c r="AU258" s="88">
        <f>SUMIF(月間集計シート!$M$134:$M$153,$G258,月間集計シート!P$134:P$153)*AU$2</f>
        <v>0</v>
      </c>
      <c r="AV258" s="88">
        <f>SUMIF(月間集計シート!$M$134:$M$153,$G258,月間集計シート!Q$134:Q$153)*AV$2</f>
        <v>0</v>
      </c>
      <c r="AW258" s="88">
        <f>SUMIF(月間集計シート!$M$134:$M$153,$G258,月間集計シート!R$134:R$153)*AW$2</f>
        <v>0</v>
      </c>
      <c r="AX258" s="88">
        <f>SUMIF(月間集計シート!$M$134:$M$153,$G258,月間集計シート!S$134:S$153)*AX$2</f>
        <v>0</v>
      </c>
      <c r="AY258" s="88">
        <f>SUMIF(月間集計シート!$M$134:$M$153,$G258,月間集計シート!T$134:T$153)*AY$2</f>
        <v>0</v>
      </c>
    </row>
    <row r="259" spans="1:51" ht="14.25" thickBot="1">
      <c r="A259">
        <v>3</v>
      </c>
      <c r="B259" s="120">
        <f t="shared" si="83"/>
        <v>0</v>
      </c>
      <c r="C259" s="120" t="str">
        <f t="shared" si="83"/>
        <v/>
      </c>
      <c r="D259" s="137"/>
      <c r="E259" s="150" t="str">
        <f>工種!A81</f>
        <v>99107</v>
      </c>
      <c r="F259" s="119" t="str">
        <f>工種!B81</f>
        <v>間接業務：事務作業（開発以外）</v>
      </c>
      <c r="G259" s="116" t="str">
        <f t="shared" ref="G259:G260" si="84">B259&amp;E259</f>
        <v>099107</v>
      </c>
      <c r="H259" s="88">
        <f t="shared" ref="H259:H260" si="85">SUM(J259:AY259)</f>
        <v>0</v>
      </c>
      <c r="I259" s="132"/>
      <c r="J259" s="88">
        <f>SUMIF(月間集計シート!$M$29:$M$48,$G259,月間集計シート!N$29:N$48)*J$2</f>
        <v>0</v>
      </c>
      <c r="K259" s="88">
        <f>SUMIF(月間集計シート!$M$29:$M$48,$G259,月間集計シート!O$29:O$48)*K$2</f>
        <v>0</v>
      </c>
      <c r="L259" s="88">
        <f>SUMIF(月間集計シート!$M$29:$M$48,$G259,月間集計シート!P$29:P$48)*L$2</f>
        <v>0</v>
      </c>
      <c r="M259" s="88">
        <f>SUMIF(月間集計シート!$M$29:$M$48,$G259,月間集計シート!Q$29:Q$48)*M$2</f>
        <v>0</v>
      </c>
      <c r="N259" s="88">
        <f>SUMIF(月間集計シート!$M$29:$M$48,$G259,月間集計シート!R$29:R$48)*N$2</f>
        <v>0</v>
      </c>
      <c r="O259" s="88">
        <f>SUMIF(月間集計シート!$M$29:$M$48,$G259,月間集計シート!S$29:S$48)*O$2</f>
        <v>0</v>
      </c>
      <c r="P259" s="88">
        <f>SUMIF(月間集計シート!$M$29:$M$48,$G259,月間集計シート!T$29:T$48)*P$2</f>
        <v>0</v>
      </c>
      <c r="Q259" s="88">
        <f>SUMIF(月間集計シート!$M$50:$M$69,$G259,月間集計シート!N$50:N$69)*Q$2</f>
        <v>0</v>
      </c>
      <c r="R259" s="88">
        <f>SUMIF(月間集計シート!$M$50:$M$69,$G259,月間集計シート!O$50:O$69)*R$2</f>
        <v>0</v>
      </c>
      <c r="S259" s="88">
        <f>SUMIF(月間集計シート!$M$50:$M$69,$G259,月間集計シート!P$50:P$69)*S$2</f>
        <v>0</v>
      </c>
      <c r="T259" s="88">
        <f>SUMIF(月間集計シート!$M$50:$M$69,$G259,月間集計シート!Q$50:Q$69)*T$2</f>
        <v>0</v>
      </c>
      <c r="U259" s="88">
        <f>SUMIF(月間集計シート!$M$50:$M$69,$G259,月間集計シート!R$50:R$69)*U$2</f>
        <v>0</v>
      </c>
      <c r="V259" s="88">
        <f>SUMIF(月間集計シート!$M$50:$M$69,$G259,月間集計シート!S$50:S$69)*V$2</f>
        <v>0</v>
      </c>
      <c r="W259" s="88">
        <f>SUMIF(月間集計シート!$M$50:$M$69,$G259,月間集計シート!T$50:T$69)*W$2</f>
        <v>0</v>
      </c>
      <c r="X259" s="88">
        <f>SUMIF(月間集計シート!$M$71:$M$90,$G259,月間集計シート!N$71:N$90)*X$2</f>
        <v>0</v>
      </c>
      <c r="Y259" s="88">
        <f>SUMIF(月間集計シート!$M$71:$M$90,$G259,月間集計シート!O$71:O$90)*Y$2</f>
        <v>0</v>
      </c>
      <c r="Z259" s="88">
        <f>SUMIF(月間集計シート!$M$71:$M$90,$G259,月間集計シート!P$71:P$90)*Z$2</f>
        <v>0</v>
      </c>
      <c r="AA259" s="88">
        <f>SUMIF(月間集計シート!$M$71:$M$90,$G259,月間集計シート!Q$71:Q$90)*AA$2</f>
        <v>0</v>
      </c>
      <c r="AB259" s="88">
        <f>SUMIF(月間集計シート!$M$71:$M$90,$G259,月間集計シート!R$71:R$90)*AB$2</f>
        <v>0</v>
      </c>
      <c r="AC259" s="88">
        <f>SUMIF(月間集計シート!$M$71:$M$90,$G259,月間集計シート!S$71:S$90)*AC$2</f>
        <v>0</v>
      </c>
      <c r="AD259" s="88">
        <f>SUMIF(月間集計シート!$M$71:$M$90,$G259,月間集計シート!T$71:T$90)*AD$2</f>
        <v>0</v>
      </c>
      <c r="AE259" s="88">
        <f>SUMIF(月間集計シート!$M$92:$M$111,$G259,月間集計シート!N$92:N$111)*AE$2</f>
        <v>0</v>
      </c>
      <c r="AF259" s="88">
        <f>SUMIF(月間集計シート!$M$92:$M$111,$G259,月間集計シート!O$92:O$111)*AF$2</f>
        <v>0</v>
      </c>
      <c r="AG259" s="88">
        <f>SUMIF(月間集計シート!$M$92:$M$111,$G259,月間集計シート!P$92:P$111)*AG$2</f>
        <v>0</v>
      </c>
      <c r="AH259" s="88">
        <f>SUMIF(月間集計シート!$M$92:$M$111,$G259,月間集計シート!Q$92:Q$111)*AH$2</f>
        <v>0</v>
      </c>
      <c r="AI259" s="88">
        <f>SUMIF(月間集計シート!$M$92:$M$111,$G259,月間集計シート!R$92:R$111)*AI$2</f>
        <v>0</v>
      </c>
      <c r="AJ259" s="88">
        <f>SUMIF(月間集計シート!$M$92:$M$111,$G259,月間集計シート!S$92:S$111)*AJ$2</f>
        <v>0</v>
      </c>
      <c r="AK259" s="88">
        <f>SUMIF(月間集計シート!$M$92:$M$111,$G259,月間集計シート!T$92:T$111)*AK$2</f>
        <v>0</v>
      </c>
      <c r="AL259" s="88">
        <f>SUMIF(月間集計シート!$M$113:$M$132,$G259,月間集計シート!N$113:N$132)*AL$2</f>
        <v>0</v>
      </c>
      <c r="AM259" s="88">
        <f>SUMIF(月間集計シート!$M$113:$M$132,$G259,月間集計シート!O$113:O$132)*AM$2</f>
        <v>0</v>
      </c>
      <c r="AN259" s="88">
        <f>SUMIF(月間集計シート!$M$113:$M$132,$G259,月間集計シート!P$113:P$132)*AN$2</f>
        <v>0</v>
      </c>
      <c r="AO259" s="88">
        <f>SUMIF(月間集計シート!$M$113:$M$132,$G259,月間集計シート!Q$113:Q$132)*AO$2</f>
        <v>0</v>
      </c>
      <c r="AP259" s="88">
        <f>SUMIF(月間集計シート!$M$113:$M$132,$G259,月間集計シート!R$113:R$132)*AP$2</f>
        <v>0</v>
      </c>
      <c r="AQ259" s="88">
        <f>SUMIF(月間集計シート!$M$113:$M$132,$G259,月間集計シート!S$113:S$132)*AQ$2</f>
        <v>0</v>
      </c>
      <c r="AR259" s="88">
        <f>SUMIF(月間集計シート!$M$113:$M$132,$G259,月間集計シート!T$113:T$132)*AR$2</f>
        <v>0</v>
      </c>
      <c r="AS259" s="88">
        <f>SUMIF(月間集計シート!$M$134:$M$153,$G259,月間集計シート!N$134:N$153)*AS$2</f>
        <v>0</v>
      </c>
      <c r="AT259" s="88">
        <f>SUMIF(月間集計シート!$M$134:$M$153,$G259,月間集計シート!O$134:O$153)*AT$2</f>
        <v>0</v>
      </c>
      <c r="AU259" s="88">
        <f>SUMIF(月間集計シート!$M$134:$M$153,$G259,月間集計シート!P$134:P$153)*AU$2</f>
        <v>0</v>
      </c>
      <c r="AV259" s="88">
        <f>SUMIF(月間集計シート!$M$134:$M$153,$G259,月間集計シート!Q$134:Q$153)*AV$2</f>
        <v>0</v>
      </c>
      <c r="AW259" s="88">
        <f>SUMIF(月間集計シート!$M$134:$M$153,$G259,月間集計シート!R$134:R$153)*AW$2</f>
        <v>0</v>
      </c>
      <c r="AX259" s="88">
        <f>SUMIF(月間集計シート!$M$134:$M$153,$G259,月間集計シート!S$134:S$153)*AX$2</f>
        <v>0</v>
      </c>
      <c r="AY259" s="88">
        <f>SUMIF(月間集計シート!$M$134:$M$153,$G259,月間集計シート!T$134:T$153)*AY$2</f>
        <v>0</v>
      </c>
    </row>
    <row r="260" spans="1:51" ht="14.25" thickBot="1">
      <c r="A260">
        <v>3</v>
      </c>
      <c r="B260" s="120">
        <f t="shared" si="83"/>
        <v>0</v>
      </c>
      <c r="C260" s="120" t="str">
        <f t="shared" si="83"/>
        <v/>
      </c>
      <c r="D260" s="137"/>
      <c r="E260" s="150" t="str">
        <f>工種!A82</f>
        <v>99110</v>
      </c>
      <c r="F260" s="119" t="str">
        <f>工種!B82</f>
        <v>間接業務：打合せ</v>
      </c>
      <c r="G260" s="116" t="str">
        <f t="shared" si="84"/>
        <v>099110</v>
      </c>
      <c r="H260" s="88">
        <f t="shared" si="85"/>
        <v>0</v>
      </c>
      <c r="I260" s="132"/>
      <c r="J260" s="88">
        <f>SUMIF(月間集計シート!$M$29:$M$48,$G260,月間集計シート!N$29:N$48)*J$2</f>
        <v>0</v>
      </c>
      <c r="K260" s="88">
        <f>SUMIF(月間集計シート!$M$29:$M$48,$G260,月間集計シート!O$29:O$48)*K$2</f>
        <v>0</v>
      </c>
      <c r="L260" s="88">
        <f>SUMIF(月間集計シート!$M$29:$M$48,$G260,月間集計シート!P$29:P$48)*L$2</f>
        <v>0</v>
      </c>
      <c r="M260" s="88">
        <f>SUMIF(月間集計シート!$M$29:$M$48,$G260,月間集計シート!Q$29:Q$48)*M$2</f>
        <v>0</v>
      </c>
      <c r="N260" s="88">
        <f>SUMIF(月間集計シート!$M$29:$M$48,$G260,月間集計シート!R$29:R$48)*N$2</f>
        <v>0</v>
      </c>
      <c r="O260" s="88">
        <f>SUMIF(月間集計シート!$M$29:$M$48,$G260,月間集計シート!S$29:S$48)*O$2</f>
        <v>0</v>
      </c>
      <c r="P260" s="88">
        <f>SUMIF(月間集計シート!$M$29:$M$48,$G260,月間集計シート!T$29:T$48)*P$2</f>
        <v>0</v>
      </c>
      <c r="Q260" s="88">
        <f>SUMIF(月間集計シート!$M$50:$M$69,$G260,月間集計シート!N$50:N$69)*Q$2</f>
        <v>0</v>
      </c>
      <c r="R260" s="88">
        <f>SUMIF(月間集計シート!$M$50:$M$69,$G260,月間集計シート!O$50:O$69)*R$2</f>
        <v>0</v>
      </c>
      <c r="S260" s="88">
        <f>SUMIF(月間集計シート!$M$50:$M$69,$G260,月間集計シート!P$50:P$69)*S$2</f>
        <v>0</v>
      </c>
      <c r="T260" s="88">
        <f>SUMIF(月間集計シート!$M$50:$M$69,$G260,月間集計シート!Q$50:Q$69)*T$2</f>
        <v>0</v>
      </c>
      <c r="U260" s="88">
        <f>SUMIF(月間集計シート!$M$50:$M$69,$G260,月間集計シート!R$50:R$69)*U$2</f>
        <v>0</v>
      </c>
      <c r="V260" s="88">
        <f>SUMIF(月間集計シート!$M$50:$M$69,$G260,月間集計シート!S$50:S$69)*V$2</f>
        <v>0</v>
      </c>
      <c r="W260" s="88">
        <f>SUMIF(月間集計シート!$M$50:$M$69,$G260,月間集計シート!T$50:T$69)*W$2</f>
        <v>0</v>
      </c>
      <c r="X260" s="88">
        <f>SUMIF(月間集計シート!$M$71:$M$90,$G260,月間集計シート!N$71:N$90)*X$2</f>
        <v>0</v>
      </c>
      <c r="Y260" s="88">
        <f>SUMIF(月間集計シート!$M$71:$M$90,$G260,月間集計シート!O$71:O$90)*Y$2</f>
        <v>0</v>
      </c>
      <c r="Z260" s="88">
        <f>SUMIF(月間集計シート!$M$71:$M$90,$G260,月間集計シート!P$71:P$90)*Z$2</f>
        <v>0</v>
      </c>
      <c r="AA260" s="88">
        <f>SUMIF(月間集計シート!$M$71:$M$90,$G260,月間集計シート!Q$71:Q$90)*AA$2</f>
        <v>0</v>
      </c>
      <c r="AB260" s="88">
        <f>SUMIF(月間集計シート!$M$71:$M$90,$G260,月間集計シート!R$71:R$90)*AB$2</f>
        <v>0</v>
      </c>
      <c r="AC260" s="88">
        <f>SUMIF(月間集計シート!$M$71:$M$90,$G260,月間集計シート!S$71:S$90)*AC$2</f>
        <v>0</v>
      </c>
      <c r="AD260" s="88">
        <f>SUMIF(月間集計シート!$M$71:$M$90,$G260,月間集計シート!T$71:T$90)*AD$2</f>
        <v>0</v>
      </c>
      <c r="AE260" s="88">
        <f>SUMIF(月間集計シート!$M$92:$M$111,$G260,月間集計シート!N$92:N$111)*AE$2</f>
        <v>0</v>
      </c>
      <c r="AF260" s="88">
        <f>SUMIF(月間集計シート!$M$92:$M$111,$G260,月間集計シート!O$92:O$111)*AF$2</f>
        <v>0</v>
      </c>
      <c r="AG260" s="88">
        <f>SUMIF(月間集計シート!$M$92:$M$111,$G260,月間集計シート!P$92:P$111)*AG$2</f>
        <v>0</v>
      </c>
      <c r="AH260" s="88">
        <f>SUMIF(月間集計シート!$M$92:$M$111,$G260,月間集計シート!Q$92:Q$111)*AH$2</f>
        <v>0</v>
      </c>
      <c r="AI260" s="88">
        <f>SUMIF(月間集計シート!$M$92:$M$111,$G260,月間集計シート!R$92:R$111)*AI$2</f>
        <v>0</v>
      </c>
      <c r="AJ260" s="88">
        <f>SUMIF(月間集計シート!$M$92:$M$111,$G260,月間集計シート!S$92:S$111)*AJ$2</f>
        <v>0</v>
      </c>
      <c r="AK260" s="88">
        <f>SUMIF(月間集計シート!$M$92:$M$111,$G260,月間集計シート!T$92:T$111)*AK$2</f>
        <v>0</v>
      </c>
      <c r="AL260" s="88">
        <f>SUMIF(月間集計シート!$M$113:$M$132,$G260,月間集計シート!N$113:N$132)*AL$2</f>
        <v>0</v>
      </c>
      <c r="AM260" s="88">
        <f>SUMIF(月間集計シート!$M$113:$M$132,$G260,月間集計シート!O$113:O$132)*AM$2</f>
        <v>0</v>
      </c>
      <c r="AN260" s="88">
        <f>SUMIF(月間集計シート!$M$113:$M$132,$G260,月間集計シート!P$113:P$132)*AN$2</f>
        <v>0</v>
      </c>
      <c r="AO260" s="88">
        <f>SUMIF(月間集計シート!$M$113:$M$132,$G260,月間集計シート!Q$113:Q$132)*AO$2</f>
        <v>0</v>
      </c>
      <c r="AP260" s="88">
        <f>SUMIF(月間集計シート!$M$113:$M$132,$G260,月間集計シート!R$113:R$132)*AP$2</f>
        <v>0</v>
      </c>
      <c r="AQ260" s="88">
        <f>SUMIF(月間集計シート!$M$113:$M$132,$G260,月間集計シート!S$113:S$132)*AQ$2</f>
        <v>0</v>
      </c>
      <c r="AR260" s="88">
        <f>SUMIF(月間集計シート!$M$113:$M$132,$G260,月間集計シート!T$113:T$132)*AR$2</f>
        <v>0</v>
      </c>
      <c r="AS260" s="88">
        <f>SUMIF(月間集計シート!$M$134:$M$153,$G260,月間集計シート!N$134:N$153)*AS$2</f>
        <v>0</v>
      </c>
      <c r="AT260" s="88">
        <f>SUMIF(月間集計シート!$M$134:$M$153,$G260,月間集計シート!O$134:O$153)*AT$2</f>
        <v>0</v>
      </c>
      <c r="AU260" s="88">
        <f>SUMIF(月間集計シート!$M$134:$M$153,$G260,月間集計シート!P$134:P$153)*AU$2</f>
        <v>0</v>
      </c>
      <c r="AV260" s="88">
        <f>SUMIF(月間集計シート!$M$134:$M$153,$G260,月間集計シート!Q$134:Q$153)*AV$2</f>
        <v>0</v>
      </c>
      <c r="AW260" s="88">
        <f>SUMIF(月間集計シート!$M$134:$M$153,$G260,月間集計シート!R$134:R$153)*AW$2</f>
        <v>0</v>
      </c>
      <c r="AX260" s="88">
        <f>SUMIF(月間集計シート!$M$134:$M$153,$G260,月間集計シート!S$134:S$153)*AX$2</f>
        <v>0</v>
      </c>
      <c r="AY260" s="88">
        <f>SUMIF(月間集計シート!$M$134:$M$153,$G260,月間集計シート!T$134:T$153)*AY$2</f>
        <v>0</v>
      </c>
    </row>
    <row r="261" spans="1:51" ht="14.25" thickBot="1">
      <c r="A261">
        <v>3</v>
      </c>
      <c r="B261" s="120">
        <f t="shared" ref="B261:C261" si="86">B260</f>
        <v>0</v>
      </c>
      <c r="C261" s="120" t="str">
        <f t="shared" si="86"/>
        <v/>
      </c>
      <c r="D261" s="137"/>
      <c r="E261" s="150" t="str">
        <f>工種!A83</f>
        <v>99199</v>
      </c>
      <c r="F261" s="119" t="str">
        <f>工種!B83</f>
        <v>間接業務：その他</v>
      </c>
      <c r="G261" s="116" t="str">
        <f>B261&amp;E261</f>
        <v>099199</v>
      </c>
      <c r="H261" s="88">
        <f t="shared" ref="H261" si="87">SUM(J261:AY261)</f>
        <v>0</v>
      </c>
      <c r="I261" s="132"/>
      <c r="J261" s="88">
        <f>SUMIF(月間集計シート!$M$29:$M$48,$G261,月間集計シート!N$29:N$48)*J$2</f>
        <v>0</v>
      </c>
      <c r="K261" s="88">
        <f>SUMIF(月間集計シート!$M$29:$M$48,$G261,月間集計シート!O$29:O$48)*K$2</f>
        <v>0</v>
      </c>
      <c r="L261" s="88">
        <f>SUMIF(月間集計シート!$M$29:$M$48,$G261,月間集計シート!P$29:P$48)*L$2</f>
        <v>0</v>
      </c>
      <c r="M261" s="88">
        <f>SUMIF(月間集計シート!$M$29:$M$48,$G261,月間集計シート!Q$29:Q$48)*M$2</f>
        <v>0</v>
      </c>
      <c r="N261" s="88">
        <f>SUMIF(月間集計シート!$M$29:$M$48,$G261,月間集計シート!R$29:R$48)*N$2</f>
        <v>0</v>
      </c>
      <c r="O261" s="88">
        <f>SUMIF(月間集計シート!$M$29:$M$48,$G261,月間集計シート!S$29:S$48)*O$2</f>
        <v>0</v>
      </c>
      <c r="P261" s="88">
        <f>SUMIF(月間集計シート!$M$29:$M$48,$G261,月間集計シート!T$29:T$48)*P$2</f>
        <v>0</v>
      </c>
      <c r="Q261" s="88">
        <f>SUMIF(月間集計シート!$M$50:$M$69,$G261,月間集計シート!N$50:N$69)*Q$2</f>
        <v>0</v>
      </c>
      <c r="R261" s="88">
        <f>SUMIF(月間集計シート!$M$50:$M$69,$G261,月間集計シート!O$50:O$69)*R$2</f>
        <v>0</v>
      </c>
      <c r="S261" s="88">
        <f>SUMIF(月間集計シート!$M$50:$M$69,$G261,月間集計シート!P$50:P$69)*S$2</f>
        <v>0</v>
      </c>
      <c r="T261" s="88">
        <f>SUMIF(月間集計シート!$M$50:$M$69,$G261,月間集計シート!Q$50:Q$69)*T$2</f>
        <v>0</v>
      </c>
      <c r="U261" s="88">
        <f>SUMIF(月間集計シート!$M$50:$M$69,$G261,月間集計シート!R$50:R$69)*U$2</f>
        <v>0</v>
      </c>
      <c r="V261" s="88">
        <f>SUMIF(月間集計シート!$M$50:$M$69,$G261,月間集計シート!S$50:S$69)*V$2</f>
        <v>0</v>
      </c>
      <c r="W261" s="88">
        <f>SUMIF(月間集計シート!$M$50:$M$69,$G261,月間集計シート!T$50:T$69)*W$2</f>
        <v>0</v>
      </c>
      <c r="X261" s="88">
        <f>SUMIF(月間集計シート!$M$71:$M$90,$G261,月間集計シート!N$71:N$90)*X$2</f>
        <v>0</v>
      </c>
      <c r="Y261" s="88">
        <f>SUMIF(月間集計シート!$M$71:$M$90,$G261,月間集計シート!O$71:O$90)*Y$2</f>
        <v>0</v>
      </c>
      <c r="Z261" s="88">
        <f>SUMIF(月間集計シート!$M$71:$M$90,$G261,月間集計シート!P$71:P$90)*Z$2</f>
        <v>0</v>
      </c>
      <c r="AA261" s="88">
        <f>SUMIF(月間集計シート!$M$71:$M$90,$G261,月間集計シート!Q$71:Q$90)*AA$2</f>
        <v>0</v>
      </c>
      <c r="AB261" s="88">
        <f>SUMIF(月間集計シート!$M$71:$M$90,$G261,月間集計シート!R$71:R$90)*AB$2</f>
        <v>0</v>
      </c>
      <c r="AC261" s="88">
        <f>SUMIF(月間集計シート!$M$71:$M$90,$G261,月間集計シート!S$71:S$90)*AC$2</f>
        <v>0</v>
      </c>
      <c r="AD261" s="88">
        <f>SUMIF(月間集計シート!$M$71:$M$90,$G261,月間集計シート!T$71:T$90)*AD$2</f>
        <v>0</v>
      </c>
      <c r="AE261" s="88">
        <f>SUMIF(月間集計シート!$M$92:$M$111,$G261,月間集計シート!N$92:N$111)*AE$2</f>
        <v>0</v>
      </c>
      <c r="AF261" s="88">
        <f>SUMIF(月間集計シート!$M$92:$M$111,$G261,月間集計シート!O$92:O$111)*AF$2</f>
        <v>0</v>
      </c>
      <c r="AG261" s="88">
        <f>SUMIF(月間集計シート!$M$92:$M$111,$G261,月間集計シート!P$92:P$111)*AG$2</f>
        <v>0</v>
      </c>
      <c r="AH261" s="88">
        <f>SUMIF(月間集計シート!$M$92:$M$111,$G261,月間集計シート!Q$92:Q$111)*AH$2</f>
        <v>0</v>
      </c>
      <c r="AI261" s="88">
        <f>SUMIF(月間集計シート!$M$92:$M$111,$G261,月間集計シート!R$92:R$111)*AI$2</f>
        <v>0</v>
      </c>
      <c r="AJ261" s="88">
        <f>SUMIF(月間集計シート!$M$92:$M$111,$G261,月間集計シート!S$92:S$111)*AJ$2</f>
        <v>0</v>
      </c>
      <c r="AK261" s="88">
        <f>SUMIF(月間集計シート!$M$92:$M$111,$G261,月間集計シート!T$92:T$111)*AK$2</f>
        <v>0</v>
      </c>
      <c r="AL261" s="88">
        <f>SUMIF(月間集計シート!$M$113:$M$132,$G261,月間集計シート!N$113:N$132)*AL$2</f>
        <v>0</v>
      </c>
      <c r="AM261" s="88">
        <f>SUMIF(月間集計シート!$M$113:$M$132,$G261,月間集計シート!O$113:O$132)*AM$2</f>
        <v>0</v>
      </c>
      <c r="AN261" s="88">
        <f>SUMIF(月間集計シート!$M$113:$M$132,$G261,月間集計シート!P$113:P$132)*AN$2</f>
        <v>0</v>
      </c>
      <c r="AO261" s="88">
        <f>SUMIF(月間集計シート!$M$113:$M$132,$G261,月間集計シート!Q$113:Q$132)*AO$2</f>
        <v>0</v>
      </c>
      <c r="AP261" s="88">
        <f>SUMIF(月間集計シート!$M$113:$M$132,$G261,月間集計シート!R$113:R$132)*AP$2</f>
        <v>0</v>
      </c>
      <c r="AQ261" s="88">
        <f>SUMIF(月間集計シート!$M$113:$M$132,$G261,月間集計シート!S$113:S$132)*AQ$2</f>
        <v>0</v>
      </c>
      <c r="AR261" s="88">
        <f>SUMIF(月間集計シート!$M$113:$M$132,$G261,月間集計シート!T$113:T$132)*AR$2</f>
        <v>0</v>
      </c>
      <c r="AS261" s="88">
        <f>SUMIF(月間集計シート!$M$134:$M$153,$G261,月間集計シート!N$134:N$153)*AS$2</f>
        <v>0</v>
      </c>
      <c r="AT261" s="88">
        <f>SUMIF(月間集計シート!$M$134:$M$153,$G261,月間集計シート!O$134:O$153)*AT$2</f>
        <v>0</v>
      </c>
      <c r="AU261" s="88">
        <f>SUMIF(月間集計シート!$M$134:$M$153,$G261,月間集計シート!P$134:P$153)*AU$2</f>
        <v>0</v>
      </c>
      <c r="AV261" s="88">
        <f>SUMIF(月間集計シート!$M$134:$M$153,$G261,月間集計シート!Q$134:Q$153)*AV$2</f>
        <v>0</v>
      </c>
      <c r="AW261" s="88">
        <f>SUMIF(月間集計シート!$M$134:$M$153,$G261,月間集計シート!R$134:R$153)*AW$2</f>
        <v>0</v>
      </c>
      <c r="AX261" s="88">
        <f>SUMIF(月間集計シート!$M$134:$M$153,$G261,月間集計シート!S$134:S$153)*AX$2</f>
        <v>0</v>
      </c>
      <c r="AY261" s="88">
        <f>SUMIF(月間集計シート!$M$134:$M$153,$G261,月間集計シート!T$134:T$153)*AY$2</f>
        <v>0</v>
      </c>
    </row>
    <row r="262" spans="1:51">
      <c r="B262" s="120"/>
      <c r="C262" s="120"/>
      <c r="D262" s="127"/>
      <c r="E262" s="115"/>
      <c r="F262" s="119"/>
      <c r="G262" s="116"/>
      <c r="H262" s="88"/>
      <c r="I262" s="132"/>
      <c r="J262" s="88"/>
      <c r="K262" s="88"/>
      <c r="L262" s="88"/>
      <c r="M262" s="88"/>
      <c r="N262" s="88"/>
      <c r="O262" s="88"/>
      <c r="P262" s="88"/>
      <c r="Q262" s="88"/>
      <c r="R262" s="88"/>
      <c r="S262" s="88"/>
      <c r="T262" s="88"/>
      <c r="U262" s="88"/>
      <c r="V262" s="88"/>
      <c r="W262" s="88"/>
      <c r="X262" s="88"/>
      <c r="Y262" s="88"/>
      <c r="Z262" s="88"/>
      <c r="AA262" s="88"/>
      <c r="AB262" s="88"/>
      <c r="AC262" s="88"/>
      <c r="AD262" s="88"/>
      <c r="AE262" s="88"/>
      <c r="AF262" s="88"/>
      <c r="AG262" s="88"/>
      <c r="AH262" s="88"/>
      <c r="AI262" s="88"/>
      <c r="AJ262" s="88"/>
      <c r="AK262" s="88"/>
      <c r="AL262" s="88"/>
      <c r="AM262" s="88"/>
      <c r="AN262" s="88"/>
      <c r="AO262" s="88"/>
      <c r="AP262" s="88"/>
      <c r="AQ262" s="88"/>
      <c r="AR262" s="88"/>
      <c r="AS262" s="88"/>
      <c r="AT262" s="88"/>
      <c r="AU262" s="88"/>
      <c r="AV262" s="88"/>
      <c r="AW262" s="88"/>
      <c r="AX262" s="88"/>
      <c r="AY262" s="88"/>
    </row>
    <row r="263" spans="1:51" ht="14.25" thickBot="1">
      <c r="A263">
        <v>4</v>
      </c>
      <c r="B263">
        <f>月間集計シート!I7</f>
        <v>0</v>
      </c>
      <c r="C263" s="116" t="str">
        <f>月間集計シート!J7</f>
        <v/>
      </c>
      <c r="D263" s="147">
        <v>1</v>
      </c>
      <c r="E263" s="115" t="s">
        <v>451</v>
      </c>
      <c r="F263" s="119" t="s">
        <v>29</v>
      </c>
      <c r="G263" s="116"/>
      <c r="H263" s="88">
        <f t="shared" ref="H263:H346" si="88">SUM(J263:AY263)</f>
        <v>0</v>
      </c>
      <c r="I263" s="132"/>
      <c r="J263" s="88">
        <f>SUM(J265:J346)</f>
        <v>0</v>
      </c>
      <c r="K263" s="88">
        <f t="shared" ref="K263:AY263" si="89">SUM(K265:K346)</f>
        <v>0</v>
      </c>
      <c r="L263" s="88">
        <f t="shared" si="89"/>
        <v>0</v>
      </c>
      <c r="M263" s="88">
        <f t="shared" si="89"/>
        <v>0</v>
      </c>
      <c r="N263" s="88">
        <f t="shared" si="89"/>
        <v>0</v>
      </c>
      <c r="O263" s="88">
        <f t="shared" si="89"/>
        <v>0</v>
      </c>
      <c r="P263" s="88">
        <f t="shared" si="89"/>
        <v>0</v>
      </c>
      <c r="Q263" s="88">
        <f t="shared" si="89"/>
        <v>0</v>
      </c>
      <c r="R263" s="88">
        <f t="shared" si="89"/>
        <v>0</v>
      </c>
      <c r="S263" s="88">
        <f t="shared" si="89"/>
        <v>0</v>
      </c>
      <c r="T263" s="88">
        <f t="shared" si="89"/>
        <v>0</v>
      </c>
      <c r="U263" s="88">
        <f t="shared" si="89"/>
        <v>0</v>
      </c>
      <c r="V263" s="88">
        <f t="shared" si="89"/>
        <v>0</v>
      </c>
      <c r="W263" s="88">
        <f t="shared" si="89"/>
        <v>0</v>
      </c>
      <c r="X263" s="88">
        <f t="shared" si="89"/>
        <v>0</v>
      </c>
      <c r="Y263" s="88">
        <f t="shared" si="89"/>
        <v>0</v>
      </c>
      <c r="Z263" s="88">
        <f t="shared" si="89"/>
        <v>0</v>
      </c>
      <c r="AA263" s="88">
        <f t="shared" si="89"/>
        <v>0</v>
      </c>
      <c r="AB263" s="88">
        <f t="shared" si="89"/>
        <v>0</v>
      </c>
      <c r="AC263" s="88">
        <f t="shared" si="89"/>
        <v>0</v>
      </c>
      <c r="AD263" s="88">
        <f t="shared" si="89"/>
        <v>0</v>
      </c>
      <c r="AE263" s="88">
        <f t="shared" si="89"/>
        <v>0</v>
      </c>
      <c r="AF263" s="88">
        <f t="shared" si="89"/>
        <v>0</v>
      </c>
      <c r="AG263" s="88">
        <f t="shared" si="89"/>
        <v>0</v>
      </c>
      <c r="AH263" s="88">
        <f t="shared" si="89"/>
        <v>0</v>
      </c>
      <c r="AI263" s="88">
        <f t="shared" si="89"/>
        <v>0</v>
      </c>
      <c r="AJ263" s="88">
        <f t="shared" si="89"/>
        <v>0</v>
      </c>
      <c r="AK263" s="88">
        <f t="shared" si="89"/>
        <v>0</v>
      </c>
      <c r="AL263" s="88">
        <f t="shared" si="89"/>
        <v>0</v>
      </c>
      <c r="AM263" s="88">
        <f t="shared" si="89"/>
        <v>0</v>
      </c>
      <c r="AN263" s="88">
        <f t="shared" si="89"/>
        <v>0</v>
      </c>
      <c r="AO263" s="88">
        <f t="shared" si="89"/>
        <v>0</v>
      </c>
      <c r="AP263" s="88">
        <f t="shared" si="89"/>
        <v>0</v>
      </c>
      <c r="AQ263" s="88">
        <f t="shared" si="89"/>
        <v>0</v>
      </c>
      <c r="AR263" s="88">
        <f t="shared" si="89"/>
        <v>0</v>
      </c>
      <c r="AS263" s="88">
        <f t="shared" si="89"/>
        <v>0</v>
      </c>
      <c r="AT263" s="88">
        <f t="shared" si="89"/>
        <v>0</v>
      </c>
      <c r="AU263" s="88">
        <f t="shared" si="89"/>
        <v>0</v>
      </c>
      <c r="AV263" s="88">
        <f t="shared" si="89"/>
        <v>0</v>
      </c>
      <c r="AW263" s="88">
        <f t="shared" si="89"/>
        <v>0</v>
      </c>
      <c r="AX263" s="88">
        <f t="shared" si="89"/>
        <v>0</v>
      </c>
      <c r="AY263" s="88">
        <f t="shared" si="89"/>
        <v>0</v>
      </c>
    </row>
    <row r="264" spans="1:51" ht="14.25" customHeight="1" thickBot="1">
      <c r="A264">
        <v>4</v>
      </c>
      <c r="B264">
        <f>B263</f>
        <v>0</v>
      </c>
      <c r="C264" s="116" t="str">
        <f>C263</f>
        <v/>
      </c>
      <c r="D264" s="147">
        <v>1</v>
      </c>
      <c r="E264" s="115" t="s">
        <v>453</v>
      </c>
      <c r="F264" s="119" t="s">
        <v>454</v>
      </c>
      <c r="G264" s="116"/>
      <c r="H264" s="129">
        <f t="shared" ref="H264" si="90">SUM(J264:AY264)</f>
        <v>0</v>
      </c>
      <c r="I264" s="132"/>
      <c r="J264" s="88">
        <f>SUMIF($D265:$D346,1,J265:J346)</f>
        <v>0</v>
      </c>
      <c r="K264" s="88">
        <f t="shared" ref="K264" si="91">SUMIF($D265:$D346,1,K265:K346)</f>
        <v>0</v>
      </c>
      <c r="L264" s="88">
        <f t="shared" ref="L264" si="92">SUMIF($D265:$D346,1,L265:L346)</f>
        <v>0</v>
      </c>
      <c r="M264" s="88">
        <f t="shared" ref="M264" si="93">SUMIF($D265:$D346,1,M265:M346)</f>
        <v>0</v>
      </c>
      <c r="N264" s="88">
        <f t="shared" ref="N264" si="94">SUMIF($D265:$D346,1,N265:N346)</f>
        <v>0</v>
      </c>
      <c r="O264" s="88">
        <f t="shared" ref="O264" si="95">SUMIF($D265:$D346,1,O265:O346)</f>
        <v>0</v>
      </c>
      <c r="P264" s="88">
        <f t="shared" ref="P264" si="96">SUMIF($D265:$D346,1,P265:P346)</f>
        <v>0</v>
      </c>
      <c r="Q264" s="88">
        <f t="shared" ref="Q264" si="97">SUMIF($D265:$D346,1,Q265:Q346)</f>
        <v>0</v>
      </c>
      <c r="R264" s="88">
        <f t="shared" ref="R264" si="98">SUMIF($D265:$D346,1,R265:R346)</f>
        <v>0</v>
      </c>
      <c r="S264" s="88">
        <f t="shared" ref="S264" si="99">SUMIF($D265:$D346,1,S265:S346)</f>
        <v>0</v>
      </c>
      <c r="T264" s="88">
        <f t="shared" ref="T264" si="100">SUMIF($D265:$D346,1,T265:T346)</f>
        <v>0</v>
      </c>
      <c r="U264" s="88">
        <f t="shared" ref="U264" si="101">SUMIF($D265:$D346,1,U265:U346)</f>
        <v>0</v>
      </c>
      <c r="V264" s="88">
        <f t="shared" ref="V264" si="102">SUMIF($D265:$D346,1,V265:V346)</f>
        <v>0</v>
      </c>
      <c r="W264" s="88">
        <f t="shared" ref="W264" si="103">SUMIF($D265:$D346,1,W265:W346)</f>
        <v>0</v>
      </c>
      <c r="X264" s="88">
        <f t="shared" ref="X264" si="104">SUMIF($D265:$D346,1,X265:X346)</f>
        <v>0</v>
      </c>
      <c r="Y264" s="88">
        <f t="shared" ref="Y264" si="105">SUMIF($D265:$D346,1,Y265:Y346)</f>
        <v>0</v>
      </c>
      <c r="Z264" s="88">
        <f t="shared" ref="Z264" si="106">SUMIF($D265:$D346,1,Z265:Z346)</f>
        <v>0</v>
      </c>
      <c r="AA264" s="88">
        <f t="shared" ref="AA264" si="107">SUMIF($D265:$D346,1,AA265:AA346)</f>
        <v>0</v>
      </c>
      <c r="AB264" s="88">
        <f t="shared" ref="AB264" si="108">SUMIF($D265:$D346,1,AB265:AB346)</f>
        <v>0</v>
      </c>
      <c r="AC264" s="88">
        <f t="shared" ref="AC264" si="109">SUMIF($D265:$D346,1,AC265:AC346)</f>
        <v>0</v>
      </c>
      <c r="AD264" s="88">
        <f t="shared" ref="AD264" si="110">SUMIF($D265:$D346,1,AD265:AD346)</f>
        <v>0</v>
      </c>
      <c r="AE264" s="88">
        <f t="shared" ref="AE264" si="111">SUMIF($D265:$D346,1,AE265:AE346)</f>
        <v>0</v>
      </c>
      <c r="AF264" s="88">
        <f t="shared" ref="AF264" si="112">SUMIF($D265:$D346,1,AF265:AF346)</f>
        <v>0</v>
      </c>
      <c r="AG264" s="88">
        <f t="shared" ref="AG264" si="113">SUMIF($D265:$D346,1,AG265:AG346)</f>
        <v>0</v>
      </c>
      <c r="AH264" s="88">
        <f t="shared" ref="AH264" si="114">SUMIF($D265:$D346,1,AH265:AH346)</f>
        <v>0</v>
      </c>
      <c r="AI264" s="88">
        <f t="shared" ref="AI264" si="115">SUMIF($D265:$D346,1,AI265:AI346)</f>
        <v>0</v>
      </c>
      <c r="AJ264" s="88">
        <f t="shared" ref="AJ264" si="116">SUMIF($D265:$D346,1,AJ265:AJ346)</f>
        <v>0</v>
      </c>
      <c r="AK264" s="88">
        <f t="shared" ref="AK264" si="117">SUMIF($D265:$D346,1,AK265:AK346)</f>
        <v>0</v>
      </c>
      <c r="AL264" s="88">
        <f t="shared" ref="AL264" si="118">SUMIF($D265:$D346,1,AL265:AL346)</f>
        <v>0</v>
      </c>
      <c r="AM264" s="88">
        <f t="shared" ref="AM264" si="119">SUMIF($D265:$D346,1,AM265:AM346)</f>
        <v>0</v>
      </c>
      <c r="AN264" s="88">
        <f t="shared" ref="AN264" si="120">SUMIF($D265:$D346,1,AN265:AN346)</f>
        <v>0</v>
      </c>
      <c r="AO264" s="88">
        <f t="shared" ref="AO264" si="121">SUMIF($D265:$D346,1,AO265:AO346)</f>
        <v>0</v>
      </c>
      <c r="AP264" s="88">
        <f t="shared" ref="AP264" si="122">SUMIF($D265:$D346,1,AP265:AP346)</f>
        <v>0</v>
      </c>
      <c r="AQ264" s="88">
        <f t="shared" ref="AQ264" si="123">SUMIF($D265:$D346,1,AQ265:AQ346)</f>
        <v>0</v>
      </c>
      <c r="AR264" s="88">
        <f t="shared" ref="AR264" si="124">SUMIF($D265:$D346,1,AR265:AR346)</f>
        <v>0</v>
      </c>
      <c r="AS264" s="88">
        <f t="shared" ref="AS264" si="125">SUMIF($D265:$D346,1,AS265:AS346)</f>
        <v>0</v>
      </c>
      <c r="AT264" s="88">
        <f t="shared" ref="AT264" si="126">SUMIF($D265:$D346,1,AT265:AT346)</f>
        <v>0</v>
      </c>
      <c r="AU264" s="88">
        <f t="shared" ref="AU264" si="127">SUMIF($D265:$D346,1,AU265:AU346)</f>
        <v>0</v>
      </c>
      <c r="AV264" s="88">
        <f t="shared" ref="AV264" si="128">SUMIF($D265:$D346,1,AV265:AV346)</f>
        <v>0</v>
      </c>
      <c r="AW264" s="88">
        <f t="shared" ref="AW264" si="129">SUMIF($D265:$D346,1,AW265:AW346)</f>
        <v>0</v>
      </c>
      <c r="AX264" s="88">
        <f t="shared" ref="AX264" si="130">SUMIF($D265:$D346,1,AX265:AX346)</f>
        <v>0</v>
      </c>
      <c r="AY264" s="88">
        <f t="shared" ref="AY264" si="131">SUMIF($D265:$D346,1,AY265:AY346)</f>
        <v>0</v>
      </c>
    </row>
    <row r="265" spans="1:51" ht="14.25" thickBot="1">
      <c r="A265">
        <v>4</v>
      </c>
      <c r="B265" s="120">
        <f>B263</f>
        <v>0</v>
      </c>
      <c r="C265" s="120" t="str">
        <f>C263</f>
        <v/>
      </c>
      <c r="D265" s="137"/>
      <c r="E265" s="150" t="str">
        <f>工種!A2</f>
        <v>10102</v>
      </c>
      <c r="F265" s="119" t="str">
        <f>工種!B2</f>
        <v>SRS：調査・分析・開発計画の準備・実施作業</v>
      </c>
      <c r="G265" s="116" t="str">
        <f t="shared" si="79"/>
        <v>010102</v>
      </c>
      <c r="H265" s="88">
        <f t="shared" si="88"/>
        <v>0</v>
      </c>
      <c r="I265" s="132"/>
      <c r="J265" s="88">
        <f>SUMIF(月間集計シート!$M$29:$M$48,$G265,月間集計シート!N$29:N$48)*J$2</f>
        <v>0</v>
      </c>
      <c r="K265" s="88">
        <f>SUMIF(月間集計シート!$M$29:$M$48,$G265,月間集計シート!O$29:O$48)*K$2</f>
        <v>0</v>
      </c>
      <c r="L265" s="88">
        <f>SUMIF(月間集計シート!$M$29:$M$48,$G265,月間集計シート!P$29:P$48)*L$2</f>
        <v>0</v>
      </c>
      <c r="M265" s="88">
        <f>SUMIF(月間集計シート!$M$29:$M$48,$G265,月間集計シート!Q$29:Q$48)*M$2</f>
        <v>0</v>
      </c>
      <c r="N265" s="88">
        <f>SUMIF(月間集計シート!$M$29:$M$48,$G265,月間集計シート!R$29:R$48)*N$2</f>
        <v>0</v>
      </c>
      <c r="O265" s="88">
        <f>SUMIF(月間集計シート!$M$29:$M$48,$G265,月間集計シート!S$29:S$48)*O$2</f>
        <v>0</v>
      </c>
      <c r="P265" s="88">
        <f>SUMIF(月間集計シート!$M$29:$M$48,$G265,月間集計シート!T$29:T$48)*P$2</f>
        <v>0</v>
      </c>
      <c r="Q265" s="88">
        <f>SUMIF(月間集計シート!$M$50:$M$69,$G265,月間集計シート!N$50:N$69)*Q$2</f>
        <v>0</v>
      </c>
      <c r="R265" s="88">
        <f>SUMIF(月間集計シート!$M$50:$M$69,$G265,月間集計シート!O$50:O$69)*R$2</f>
        <v>0</v>
      </c>
      <c r="S265" s="88">
        <f>SUMIF(月間集計シート!$M$50:$M$69,$G265,月間集計シート!P$50:P$69)*S$2</f>
        <v>0</v>
      </c>
      <c r="T265" s="88">
        <f>SUMIF(月間集計シート!$M$50:$M$69,$G265,月間集計シート!Q$50:Q$69)*T$2</f>
        <v>0</v>
      </c>
      <c r="U265" s="88">
        <f>SUMIF(月間集計シート!$M$50:$M$69,$G265,月間集計シート!R$50:R$69)*U$2</f>
        <v>0</v>
      </c>
      <c r="V265" s="88">
        <f>SUMIF(月間集計シート!$M$50:$M$69,$G265,月間集計シート!S$50:S$69)*V$2</f>
        <v>0</v>
      </c>
      <c r="W265" s="88">
        <f>SUMIF(月間集計シート!$M$50:$M$69,$G265,月間集計シート!T$50:T$69)*W$2</f>
        <v>0</v>
      </c>
      <c r="X265" s="88">
        <f>SUMIF(月間集計シート!$M$71:$M$90,$G265,月間集計シート!N$71:N$90)*X$2</f>
        <v>0</v>
      </c>
      <c r="Y265" s="88">
        <f>SUMIF(月間集計シート!$M$71:$M$90,$G265,月間集計シート!O$71:O$90)*Y$2</f>
        <v>0</v>
      </c>
      <c r="Z265" s="88">
        <f>SUMIF(月間集計シート!$M$71:$M$90,$G265,月間集計シート!P$71:P$90)*Z$2</f>
        <v>0</v>
      </c>
      <c r="AA265" s="88">
        <f>SUMIF(月間集計シート!$M$71:$M$90,$G265,月間集計シート!Q$71:Q$90)*AA$2</f>
        <v>0</v>
      </c>
      <c r="AB265" s="88">
        <f>SUMIF(月間集計シート!$M$71:$M$90,$G265,月間集計シート!R$71:R$90)*AB$2</f>
        <v>0</v>
      </c>
      <c r="AC265" s="88">
        <f>SUMIF(月間集計シート!$M$71:$M$90,$G265,月間集計シート!S$71:S$90)*AC$2</f>
        <v>0</v>
      </c>
      <c r="AD265" s="88">
        <f>SUMIF(月間集計シート!$M$71:$M$90,$G265,月間集計シート!T$71:T$90)*AD$2</f>
        <v>0</v>
      </c>
      <c r="AE265" s="88">
        <f>SUMIF(月間集計シート!$M$92:$M$111,$G265,月間集計シート!N$92:N$111)*AE$2</f>
        <v>0</v>
      </c>
      <c r="AF265" s="88">
        <f>SUMIF(月間集計シート!$M$92:$M$111,$G265,月間集計シート!O$92:O$111)*AF$2</f>
        <v>0</v>
      </c>
      <c r="AG265" s="88">
        <f>SUMIF(月間集計シート!$M$92:$M$111,$G265,月間集計シート!P$92:P$111)*AG$2</f>
        <v>0</v>
      </c>
      <c r="AH265" s="88">
        <f>SUMIF(月間集計シート!$M$92:$M$111,$G265,月間集計シート!Q$92:Q$111)*AH$2</f>
        <v>0</v>
      </c>
      <c r="AI265" s="88">
        <f>SUMIF(月間集計シート!$M$92:$M$111,$G265,月間集計シート!R$92:R$111)*AI$2</f>
        <v>0</v>
      </c>
      <c r="AJ265" s="88">
        <f>SUMIF(月間集計シート!$M$92:$M$111,$G265,月間集計シート!S$92:S$111)*AJ$2</f>
        <v>0</v>
      </c>
      <c r="AK265" s="88">
        <f>SUMIF(月間集計シート!$M$92:$M$111,$G265,月間集計シート!T$92:T$111)*AK$2</f>
        <v>0</v>
      </c>
      <c r="AL265" s="88">
        <f>SUMIF(月間集計シート!$M$113:$M$132,$G265,月間集計シート!N$113:N$132)*AL$2</f>
        <v>0</v>
      </c>
      <c r="AM265" s="88">
        <f>SUMIF(月間集計シート!$M$113:$M$132,$G265,月間集計シート!O$113:O$132)*AM$2</f>
        <v>0</v>
      </c>
      <c r="AN265" s="88">
        <f>SUMIF(月間集計シート!$M$113:$M$132,$G265,月間集計シート!P$113:P$132)*AN$2</f>
        <v>0</v>
      </c>
      <c r="AO265" s="88">
        <f>SUMIF(月間集計シート!$M$113:$M$132,$G265,月間集計シート!Q$113:Q$132)*AO$2</f>
        <v>0</v>
      </c>
      <c r="AP265" s="88">
        <f>SUMIF(月間集計シート!$M$113:$M$132,$G265,月間集計シート!R$113:R$132)*AP$2</f>
        <v>0</v>
      </c>
      <c r="AQ265" s="88">
        <f>SUMIF(月間集計シート!$M$113:$M$132,$G265,月間集計シート!S$113:S$132)*AQ$2</f>
        <v>0</v>
      </c>
      <c r="AR265" s="88">
        <f>SUMIF(月間集計シート!$M$113:$M$132,$G265,月間集計シート!T$113:T$132)*AR$2</f>
        <v>0</v>
      </c>
      <c r="AS265" s="88">
        <f>SUMIF(月間集計シート!$M$134:$M$153,$G265,月間集計シート!N$134:N$153)*AS$2</f>
        <v>0</v>
      </c>
      <c r="AT265" s="88">
        <f>SUMIF(月間集計シート!$M$134:$M$153,$G265,月間集計シート!O$134:O$153)*AT$2</f>
        <v>0</v>
      </c>
      <c r="AU265" s="88">
        <f>SUMIF(月間集計シート!$M$134:$M$153,$G265,月間集計シート!P$134:P$153)*AU$2</f>
        <v>0</v>
      </c>
      <c r="AV265" s="88">
        <f>SUMIF(月間集計シート!$M$134:$M$153,$G265,月間集計シート!Q$134:Q$153)*AV$2</f>
        <v>0</v>
      </c>
      <c r="AW265" s="88">
        <f>SUMIF(月間集計シート!$M$134:$M$153,$G265,月間集計シート!R$134:R$153)*AW$2</f>
        <v>0</v>
      </c>
      <c r="AX265" s="88">
        <f>SUMIF(月間集計シート!$M$134:$M$153,$G265,月間集計シート!S$134:S$153)*AX$2</f>
        <v>0</v>
      </c>
      <c r="AY265" s="88">
        <f>SUMIF(月間集計シート!$M$134:$M$153,$G265,月間集計シート!T$134:T$153)*AY$2</f>
        <v>0</v>
      </c>
    </row>
    <row r="266" spans="1:51" ht="14.25" thickBot="1">
      <c r="A266">
        <v>4</v>
      </c>
      <c r="B266" s="120">
        <f t="shared" ref="B266:B329" si="132">B265</f>
        <v>0</v>
      </c>
      <c r="C266" s="120" t="str">
        <f t="shared" ref="C266:C329" si="133">C265</f>
        <v/>
      </c>
      <c r="D266" s="137"/>
      <c r="E266" s="150" t="str">
        <f>工種!A3</f>
        <v>10103</v>
      </c>
      <c r="F266" s="119" t="str">
        <f>工種!B3</f>
        <v>SRS：企画書・計画書・報告書等資料作成・修正</v>
      </c>
      <c r="G266" s="116" t="str">
        <f t="shared" si="79"/>
        <v>010103</v>
      </c>
      <c r="H266" s="88">
        <f t="shared" si="88"/>
        <v>0</v>
      </c>
      <c r="I266" s="132"/>
      <c r="J266" s="88">
        <f>SUMIF(月間集計シート!$M$29:$M$48,$G266,月間集計シート!N$29:N$48)*J$2</f>
        <v>0</v>
      </c>
      <c r="K266" s="88">
        <f>SUMIF(月間集計シート!$M$29:$M$48,$G266,月間集計シート!O$29:O$48)*K$2</f>
        <v>0</v>
      </c>
      <c r="L266" s="88">
        <f>SUMIF(月間集計シート!$M$29:$M$48,$G266,月間集計シート!P$29:P$48)*L$2</f>
        <v>0</v>
      </c>
      <c r="M266" s="88">
        <f>SUMIF(月間集計シート!$M$29:$M$48,$G266,月間集計シート!Q$29:Q$48)*M$2</f>
        <v>0</v>
      </c>
      <c r="N266" s="88">
        <f>SUMIF(月間集計シート!$M$29:$M$48,$G266,月間集計シート!R$29:R$48)*N$2</f>
        <v>0</v>
      </c>
      <c r="O266" s="88">
        <f>SUMIF(月間集計シート!$M$29:$M$48,$G266,月間集計シート!S$29:S$48)*O$2</f>
        <v>0</v>
      </c>
      <c r="P266" s="88">
        <f>SUMIF(月間集計シート!$M$29:$M$48,$G266,月間集計シート!T$29:T$48)*P$2</f>
        <v>0</v>
      </c>
      <c r="Q266" s="88">
        <f>SUMIF(月間集計シート!$M$50:$M$69,$G266,月間集計シート!N$50:N$69)*Q$2</f>
        <v>0</v>
      </c>
      <c r="R266" s="88">
        <f>SUMIF(月間集計シート!$M$50:$M$69,$G266,月間集計シート!O$50:O$69)*R$2</f>
        <v>0</v>
      </c>
      <c r="S266" s="88">
        <f>SUMIF(月間集計シート!$M$50:$M$69,$G266,月間集計シート!P$50:P$69)*S$2</f>
        <v>0</v>
      </c>
      <c r="T266" s="88">
        <f>SUMIF(月間集計シート!$M$50:$M$69,$G266,月間集計シート!Q$50:Q$69)*T$2</f>
        <v>0</v>
      </c>
      <c r="U266" s="88">
        <f>SUMIF(月間集計シート!$M$50:$M$69,$G266,月間集計シート!R$50:R$69)*U$2</f>
        <v>0</v>
      </c>
      <c r="V266" s="88">
        <f>SUMIF(月間集計シート!$M$50:$M$69,$G266,月間集計シート!S$50:S$69)*V$2</f>
        <v>0</v>
      </c>
      <c r="W266" s="88">
        <f>SUMIF(月間集計シート!$M$50:$M$69,$G266,月間集計シート!T$50:T$69)*W$2</f>
        <v>0</v>
      </c>
      <c r="X266" s="88">
        <f>SUMIF(月間集計シート!$M$71:$M$90,$G266,月間集計シート!N$71:N$90)*X$2</f>
        <v>0</v>
      </c>
      <c r="Y266" s="88">
        <f>SUMIF(月間集計シート!$M$71:$M$90,$G266,月間集計シート!O$71:O$90)*Y$2</f>
        <v>0</v>
      </c>
      <c r="Z266" s="88">
        <f>SUMIF(月間集計シート!$M$71:$M$90,$G266,月間集計シート!P$71:P$90)*Z$2</f>
        <v>0</v>
      </c>
      <c r="AA266" s="88">
        <f>SUMIF(月間集計シート!$M$71:$M$90,$G266,月間集計シート!Q$71:Q$90)*AA$2</f>
        <v>0</v>
      </c>
      <c r="AB266" s="88">
        <f>SUMIF(月間集計シート!$M$71:$M$90,$G266,月間集計シート!R$71:R$90)*AB$2</f>
        <v>0</v>
      </c>
      <c r="AC266" s="88">
        <f>SUMIF(月間集計シート!$M$71:$M$90,$G266,月間集計シート!S$71:S$90)*AC$2</f>
        <v>0</v>
      </c>
      <c r="AD266" s="88">
        <f>SUMIF(月間集計シート!$M$71:$M$90,$G266,月間集計シート!T$71:T$90)*AD$2</f>
        <v>0</v>
      </c>
      <c r="AE266" s="88">
        <f>SUMIF(月間集計シート!$M$92:$M$111,$G266,月間集計シート!N$92:N$111)*AE$2</f>
        <v>0</v>
      </c>
      <c r="AF266" s="88">
        <f>SUMIF(月間集計シート!$M$92:$M$111,$G266,月間集計シート!O$92:O$111)*AF$2</f>
        <v>0</v>
      </c>
      <c r="AG266" s="88">
        <f>SUMIF(月間集計シート!$M$92:$M$111,$G266,月間集計シート!P$92:P$111)*AG$2</f>
        <v>0</v>
      </c>
      <c r="AH266" s="88">
        <f>SUMIF(月間集計シート!$M$92:$M$111,$G266,月間集計シート!Q$92:Q$111)*AH$2</f>
        <v>0</v>
      </c>
      <c r="AI266" s="88">
        <f>SUMIF(月間集計シート!$M$92:$M$111,$G266,月間集計シート!R$92:R$111)*AI$2</f>
        <v>0</v>
      </c>
      <c r="AJ266" s="88">
        <f>SUMIF(月間集計シート!$M$92:$M$111,$G266,月間集計シート!S$92:S$111)*AJ$2</f>
        <v>0</v>
      </c>
      <c r="AK266" s="88">
        <f>SUMIF(月間集計シート!$M$92:$M$111,$G266,月間集計シート!T$92:T$111)*AK$2</f>
        <v>0</v>
      </c>
      <c r="AL266" s="88">
        <f>SUMIF(月間集計シート!$M$113:$M$132,$G266,月間集計シート!N$113:N$132)*AL$2</f>
        <v>0</v>
      </c>
      <c r="AM266" s="88">
        <f>SUMIF(月間集計シート!$M$113:$M$132,$G266,月間集計シート!O$113:O$132)*AM$2</f>
        <v>0</v>
      </c>
      <c r="AN266" s="88">
        <f>SUMIF(月間集計シート!$M$113:$M$132,$G266,月間集計シート!P$113:P$132)*AN$2</f>
        <v>0</v>
      </c>
      <c r="AO266" s="88">
        <f>SUMIF(月間集計シート!$M$113:$M$132,$G266,月間集計シート!Q$113:Q$132)*AO$2</f>
        <v>0</v>
      </c>
      <c r="AP266" s="88">
        <f>SUMIF(月間集計シート!$M$113:$M$132,$G266,月間集計シート!R$113:R$132)*AP$2</f>
        <v>0</v>
      </c>
      <c r="AQ266" s="88">
        <f>SUMIF(月間集計シート!$M$113:$M$132,$G266,月間集計シート!S$113:S$132)*AQ$2</f>
        <v>0</v>
      </c>
      <c r="AR266" s="88">
        <f>SUMIF(月間集計シート!$M$113:$M$132,$G266,月間集計シート!T$113:T$132)*AR$2</f>
        <v>0</v>
      </c>
      <c r="AS266" s="88">
        <f>SUMIF(月間集計シート!$M$134:$M$153,$G266,月間集計シート!N$134:N$153)*AS$2</f>
        <v>0</v>
      </c>
      <c r="AT266" s="88">
        <f>SUMIF(月間集計シート!$M$134:$M$153,$G266,月間集計シート!O$134:O$153)*AT$2</f>
        <v>0</v>
      </c>
      <c r="AU266" s="88">
        <f>SUMIF(月間集計シート!$M$134:$M$153,$G266,月間集計シート!P$134:P$153)*AU$2</f>
        <v>0</v>
      </c>
      <c r="AV266" s="88">
        <f>SUMIF(月間集計シート!$M$134:$M$153,$G266,月間集計シート!Q$134:Q$153)*AV$2</f>
        <v>0</v>
      </c>
      <c r="AW266" s="88">
        <f>SUMIF(月間集計シート!$M$134:$M$153,$G266,月間集計シート!R$134:R$153)*AW$2</f>
        <v>0</v>
      </c>
      <c r="AX266" s="88">
        <f>SUMIF(月間集計シート!$M$134:$M$153,$G266,月間集計シート!S$134:S$153)*AX$2</f>
        <v>0</v>
      </c>
      <c r="AY266" s="88">
        <f>SUMIF(月間集計シート!$M$134:$M$153,$G266,月間集計シート!T$134:T$153)*AY$2</f>
        <v>0</v>
      </c>
    </row>
    <row r="267" spans="1:51" ht="14.25" thickBot="1">
      <c r="A267">
        <v>4</v>
      </c>
      <c r="B267" s="120">
        <f t="shared" si="132"/>
        <v>0</v>
      </c>
      <c r="C267" s="120" t="str">
        <f t="shared" si="133"/>
        <v/>
      </c>
      <c r="D267" s="137"/>
      <c r="E267" s="150" t="str">
        <f>工種!A4</f>
        <v>10104</v>
      </c>
      <c r="F267" s="119" t="str">
        <f>工種!B4</f>
        <v>SRS：打合せ</v>
      </c>
      <c r="G267" s="116" t="str">
        <f t="shared" si="79"/>
        <v>010104</v>
      </c>
      <c r="H267" s="88">
        <f t="shared" si="88"/>
        <v>0</v>
      </c>
      <c r="I267" s="132"/>
      <c r="J267" s="88">
        <f>SUMIF(月間集計シート!$M$29:$M$48,$G267,月間集計シート!N$29:N$48)*J$2</f>
        <v>0</v>
      </c>
      <c r="K267" s="88">
        <f>SUMIF(月間集計シート!$M$29:$M$48,$G267,月間集計シート!O$29:O$48)*K$2</f>
        <v>0</v>
      </c>
      <c r="L267" s="88">
        <f>SUMIF(月間集計シート!$M$29:$M$48,$G267,月間集計シート!P$29:P$48)*L$2</f>
        <v>0</v>
      </c>
      <c r="M267" s="88">
        <f>SUMIF(月間集計シート!$M$29:$M$48,$G267,月間集計シート!Q$29:Q$48)*M$2</f>
        <v>0</v>
      </c>
      <c r="N267" s="88">
        <f>SUMIF(月間集計シート!$M$29:$M$48,$G267,月間集計シート!R$29:R$48)*N$2</f>
        <v>0</v>
      </c>
      <c r="O267" s="88">
        <f>SUMIF(月間集計シート!$M$29:$M$48,$G267,月間集計シート!S$29:S$48)*O$2</f>
        <v>0</v>
      </c>
      <c r="P267" s="88">
        <f>SUMIF(月間集計シート!$M$29:$M$48,$G267,月間集計シート!T$29:T$48)*P$2</f>
        <v>0</v>
      </c>
      <c r="Q267" s="88">
        <f>SUMIF(月間集計シート!$M$50:$M$69,$G267,月間集計シート!N$50:N$69)*Q$2</f>
        <v>0</v>
      </c>
      <c r="R267" s="88">
        <f>SUMIF(月間集計シート!$M$50:$M$69,$G267,月間集計シート!O$50:O$69)*R$2</f>
        <v>0</v>
      </c>
      <c r="S267" s="88">
        <f>SUMIF(月間集計シート!$M$50:$M$69,$G267,月間集計シート!P$50:P$69)*S$2</f>
        <v>0</v>
      </c>
      <c r="T267" s="88">
        <f>SUMIF(月間集計シート!$M$50:$M$69,$G267,月間集計シート!Q$50:Q$69)*T$2</f>
        <v>0</v>
      </c>
      <c r="U267" s="88">
        <f>SUMIF(月間集計シート!$M$50:$M$69,$G267,月間集計シート!R$50:R$69)*U$2</f>
        <v>0</v>
      </c>
      <c r="V267" s="88">
        <f>SUMIF(月間集計シート!$M$50:$M$69,$G267,月間集計シート!S$50:S$69)*V$2</f>
        <v>0</v>
      </c>
      <c r="W267" s="88">
        <f>SUMIF(月間集計シート!$M$50:$M$69,$G267,月間集計シート!T$50:T$69)*W$2</f>
        <v>0</v>
      </c>
      <c r="X267" s="88">
        <f>SUMIF(月間集計シート!$M$71:$M$90,$G267,月間集計シート!N$71:N$90)*X$2</f>
        <v>0</v>
      </c>
      <c r="Y267" s="88">
        <f>SUMIF(月間集計シート!$M$71:$M$90,$G267,月間集計シート!O$71:O$90)*Y$2</f>
        <v>0</v>
      </c>
      <c r="Z267" s="88">
        <f>SUMIF(月間集計シート!$M$71:$M$90,$G267,月間集計シート!P$71:P$90)*Z$2</f>
        <v>0</v>
      </c>
      <c r="AA267" s="88">
        <f>SUMIF(月間集計シート!$M$71:$M$90,$G267,月間集計シート!Q$71:Q$90)*AA$2</f>
        <v>0</v>
      </c>
      <c r="AB267" s="88">
        <f>SUMIF(月間集計シート!$M$71:$M$90,$G267,月間集計シート!R$71:R$90)*AB$2</f>
        <v>0</v>
      </c>
      <c r="AC267" s="88">
        <f>SUMIF(月間集計シート!$M$71:$M$90,$G267,月間集計シート!S$71:S$90)*AC$2</f>
        <v>0</v>
      </c>
      <c r="AD267" s="88">
        <f>SUMIF(月間集計シート!$M$71:$M$90,$G267,月間集計シート!T$71:T$90)*AD$2</f>
        <v>0</v>
      </c>
      <c r="AE267" s="88">
        <f>SUMIF(月間集計シート!$M$92:$M$111,$G267,月間集計シート!N$92:N$111)*AE$2</f>
        <v>0</v>
      </c>
      <c r="AF267" s="88">
        <f>SUMIF(月間集計シート!$M$92:$M$111,$G267,月間集計シート!O$92:O$111)*AF$2</f>
        <v>0</v>
      </c>
      <c r="AG267" s="88">
        <f>SUMIF(月間集計シート!$M$92:$M$111,$G267,月間集計シート!P$92:P$111)*AG$2</f>
        <v>0</v>
      </c>
      <c r="AH267" s="88">
        <f>SUMIF(月間集計シート!$M$92:$M$111,$G267,月間集計シート!Q$92:Q$111)*AH$2</f>
        <v>0</v>
      </c>
      <c r="AI267" s="88">
        <f>SUMIF(月間集計シート!$M$92:$M$111,$G267,月間集計シート!R$92:R$111)*AI$2</f>
        <v>0</v>
      </c>
      <c r="AJ267" s="88">
        <f>SUMIF(月間集計シート!$M$92:$M$111,$G267,月間集計シート!S$92:S$111)*AJ$2</f>
        <v>0</v>
      </c>
      <c r="AK267" s="88">
        <f>SUMIF(月間集計シート!$M$92:$M$111,$G267,月間集計シート!T$92:T$111)*AK$2</f>
        <v>0</v>
      </c>
      <c r="AL267" s="88">
        <f>SUMIF(月間集計シート!$M$113:$M$132,$G267,月間集計シート!N$113:N$132)*AL$2</f>
        <v>0</v>
      </c>
      <c r="AM267" s="88">
        <f>SUMIF(月間集計シート!$M$113:$M$132,$G267,月間集計シート!O$113:O$132)*AM$2</f>
        <v>0</v>
      </c>
      <c r="AN267" s="88">
        <f>SUMIF(月間集計シート!$M$113:$M$132,$G267,月間集計シート!P$113:P$132)*AN$2</f>
        <v>0</v>
      </c>
      <c r="AO267" s="88">
        <f>SUMIF(月間集計シート!$M$113:$M$132,$G267,月間集計シート!Q$113:Q$132)*AO$2</f>
        <v>0</v>
      </c>
      <c r="AP267" s="88">
        <f>SUMIF(月間集計シート!$M$113:$M$132,$G267,月間集計シート!R$113:R$132)*AP$2</f>
        <v>0</v>
      </c>
      <c r="AQ267" s="88">
        <f>SUMIF(月間集計シート!$M$113:$M$132,$G267,月間集計シート!S$113:S$132)*AQ$2</f>
        <v>0</v>
      </c>
      <c r="AR267" s="88">
        <f>SUMIF(月間集計シート!$M$113:$M$132,$G267,月間集計シート!T$113:T$132)*AR$2</f>
        <v>0</v>
      </c>
      <c r="AS267" s="88">
        <f>SUMIF(月間集計シート!$M$134:$M$153,$G267,月間集計シート!N$134:N$153)*AS$2</f>
        <v>0</v>
      </c>
      <c r="AT267" s="88">
        <f>SUMIF(月間集計シート!$M$134:$M$153,$G267,月間集計シート!O$134:O$153)*AT$2</f>
        <v>0</v>
      </c>
      <c r="AU267" s="88">
        <f>SUMIF(月間集計シート!$M$134:$M$153,$G267,月間集計シート!P$134:P$153)*AU$2</f>
        <v>0</v>
      </c>
      <c r="AV267" s="88">
        <f>SUMIF(月間集計シート!$M$134:$M$153,$G267,月間集計シート!Q$134:Q$153)*AV$2</f>
        <v>0</v>
      </c>
      <c r="AW267" s="88">
        <f>SUMIF(月間集計シート!$M$134:$M$153,$G267,月間集計シート!R$134:R$153)*AW$2</f>
        <v>0</v>
      </c>
      <c r="AX267" s="88">
        <f>SUMIF(月間集計シート!$M$134:$M$153,$G267,月間集計シート!S$134:S$153)*AX$2</f>
        <v>0</v>
      </c>
      <c r="AY267" s="88">
        <f>SUMIF(月間集計シート!$M$134:$M$153,$G267,月間集計シート!T$134:T$153)*AY$2</f>
        <v>0</v>
      </c>
    </row>
    <row r="268" spans="1:51" ht="14.25" thickBot="1">
      <c r="A268">
        <v>4</v>
      </c>
      <c r="B268" s="120">
        <f t="shared" si="132"/>
        <v>0</v>
      </c>
      <c r="C268" s="120" t="str">
        <f t="shared" si="133"/>
        <v/>
      </c>
      <c r="D268" s="137"/>
      <c r="E268" s="150" t="str">
        <f>工種!A5</f>
        <v>10105</v>
      </c>
      <c r="F268" s="119" t="str">
        <f>工種!B5</f>
        <v>SRS：レビュー</v>
      </c>
      <c r="G268" s="116" t="str">
        <f t="shared" si="79"/>
        <v>010105</v>
      </c>
      <c r="H268" s="88">
        <f t="shared" si="88"/>
        <v>0</v>
      </c>
      <c r="I268" s="132"/>
      <c r="J268" s="88">
        <f>SUMIF(月間集計シート!$M$29:$M$48,$G268,月間集計シート!N$29:N$48)*J$2</f>
        <v>0</v>
      </c>
      <c r="K268" s="88">
        <f>SUMIF(月間集計シート!$M$29:$M$48,$G268,月間集計シート!O$29:O$48)*K$2</f>
        <v>0</v>
      </c>
      <c r="L268" s="88">
        <f>SUMIF(月間集計シート!$M$29:$M$48,$G268,月間集計シート!P$29:P$48)*L$2</f>
        <v>0</v>
      </c>
      <c r="M268" s="88">
        <f>SUMIF(月間集計シート!$M$29:$M$48,$G268,月間集計シート!Q$29:Q$48)*M$2</f>
        <v>0</v>
      </c>
      <c r="N268" s="88">
        <f>SUMIF(月間集計シート!$M$29:$M$48,$G268,月間集計シート!R$29:R$48)*N$2</f>
        <v>0</v>
      </c>
      <c r="O268" s="88">
        <f>SUMIF(月間集計シート!$M$29:$M$48,$G268,月間集計シート!S$29:S$48)*O$2</f>
        <v>0</v>
      </c>
      <c r="P268" s="88">
        <f>SUMIF(月間集計シート!$M$29:$M$48,$G268,月間集計シート!T$29:T$48)*P$2</f>
        <v>0</v>
      </c>
      <c r="Q268" s="88">
        <f>SUMIF(月間集計シート!$M$50:$M$69,$G268,月間集計シート!N$50:N$69)*Q$2</f>
        <v>0</v>
      </c>
      <c r="R268" s="88">
        <f>SUMIF(月間集計シート!$M$50:$M$69,$G268,月間集計シート!O$50:O$69)*R$2</f>
        <v>0</v>
      </c>
      <c r="S268" s="88">
        <f>SUMIF(月間集計シート!$M$50:$M$69,$G268,月間集計シート!P$50:P$69)*S$2</f>
        <v>0</v>
      </c>
      <c r="T268" s="88">
        <f>SUMIF(月間集計シート!$M$50:$M$69,$G268,月間集計シート!Q$50:Q$69)*T$2</f>
        <v>0</v>
      </c>
      <c r="U268" s="88">
        <f>SUMIF(月間集計シート!$M$50:$M$69,$G268,月間集計シート!R$50:R$69)*U$2</f>
        <v>0</v>
      </c>
      <c r="V268" s="88">
        <f>SUMIF(月間集計シート!$M$50:$M$69,$G268,月間集計シート!S$50:S$69)*V$2</f>
        <v>0</v>
      </c>
      <c r="W268" s="88">
        <f>SUMIF(月間集計シート!$M$50:$M$69,$G268,月間集計シート!T$50:T$69)*W$2</f>
        <v>0</v>
      </c>
      <c r="X268" s="88">
        <f>SUMIF(月間集計シート!$M$71:$M$90,$G268,月間集計シート!N$71:N$90)*X$2</f>
        <v>0</v>
      </c>
      <c r="Y268" s="88">
        <f>SUMIF(月間集計シート!$M$71:$M$90,$G268,月間集計シート!O$71:O$90)*Y$2</f>
        <v>0</v>
      </c>
      <c r="Z268" s="88">
        <f>SUMIF(月間集計シート!$M$71:$M$90,$G268,月間集計シート!P$71:P$90)*Z$2</f>
        <v>0</v>
      </c>
      <c r="AA268" s="88">
        <f>SUMIF(月間集計シート!$M$71:$M$90,$G268,月間集計シート!Q$71:Q$90)*AA$2</f>
        <v>0</v>
      </c>
      <c r="AB268" s="88">
        <f>SUMIF(月間集計シート!$M$71:$M$90,$G268,月間集計シート!R$71:R$90)*AB$2</f>
        <v>0</v>
      </c>
      <c r="AC268" s="88">
        <f>SUMIF(月間集計シート!$M$71:$M$90,$G268,月間集計シート!S$71:S$90)*AC$2</f>
        <v>0</v>
      </c>
      <c r="AD268" s="88">
        <f>SUMIF(月間集計シート!$M$71:$M$90,$G268,月間集計シート!T$71:T$90)*AD$2</f>
        <v>0</v>
      </c>
      <c r="AE268" s="88">
        <f>SUMIF(月間集計シート!$M$92:$M$111,$G268,月間集計シート!N$92:N$111)*AE$2</f>
        <v>0</v>
      </c>
      <c r="AF268" s="88">
        <f>SUMIF(月間集計シート!$M$92:$M$111,$G268,月間集計シート!O$92:O$111)*AF$2</f>
        <v>0</v>
      </c>
      <c r="AG268" s="88">
        <f>SUMIF(月間集計シート!$M$92:$M$111,$G268,月間集計シート!P$92:P$111)*AG$2</f>
        <v>0</v>
      </c>
      <c r="AH268" s="88">
        <f>SUMIF(月間集計シート!$M$92:$M$111,$G268,月間集計シート!Q$92:Q$111)*AH$2</f>
        <v>0</v>
      </c>
      <c r="AI268" s="88">
        <f>SUMIF(月間集計シート!$M$92:$M$111,$G268,月間集計シート!R$92:R$111)*AI$2</f>
        <v>0</v>
      </c>
      <c r="AJ268" s="88">
        <f>SUMIF(月間集計シート!$M$92:$M$111,$G268,月間集計シート!S$92:S$111)*AJ$2</f>
        <v>0</v>
      </c>
      <c r="AK268" s="88">
        <f>SUMIF(月間集計シート!$M$92:$M$111,$G268,月間集計シート!T$92:T$111)*AK$2</f>
        <v>0</v>
      </c>
      <c r="AL268" s="88">
        <f>SUMIF(月間集計シート!$M$113:$M$132,$G268,月間集計シート!N$113:N$132)*AL$2</f>
        <v>0</v>
      </c>
      <c r="AM268" s="88">
        <f>SUMIF(月間集計シート!$M$113:$M$132,$G268,月間集計シート!O$113:O$132)*AM$2</f>
        <v>0</v>
      </c>
      <c r="AN268" s="88">
        <f>SUMIF(月間集計シート!$M$113:$M$132,$G268,月間集計シート!P$113:P$132)*AN$2</f>
        <v>0</v>
      </c>
      <c r="AO268" s="88">
        <f>SUMIF(月間集計シート!$M$113:$M$132,$G268,月間集計シート!Q$113:Q$132)*AO$2</f>
        <v>0</v>
      </c>
      <c r="AP268" s="88">
        <f>SUMIF(月間集計シート!$M$113:$M$132,$G268,月間集計シート!R$113:R$132)*AP$2</f>
        <v>0</v>
      </c>
      <c r="AQ268" s="88">
        <f>SUMIF(月間集計シート!$M$113:$M$132,$G268,月間集計シート!S$113:S$132)*AQ$2</f>
        <v>0</v>
      </c>
      <c r="AR268" s="88">
        <f>SUMIF(月間集計シート!$M$113:$M$132,$G268,月間集計シート!T$113:T$132)*AR$2</f>
        <v>0</v>
      </c>
      <c r="AS268" s="88">
        <f>SUMIF(月間集計シート!$M$134:$M$153,$G268,月間集計シート!N$134:N$153)*AS$2</f>
        <v>0</v>
      </c>
      <c r="AT268" s="88">
        <f>SUMIF(月間集計シート!$M$134:$M$153,$G268,月間集計シート!O$134:O$153)*AT$2</f>
        <v>0</v>
      </c>
      <c r="AU268" s="88">
        <f>SUMIF(月間集計シート!$M$134:$M$153,$G268,月間集計シート!P$134:P$153)*AU$2</f>
        <v>0</v>
      </c>
      <c r="AV268" s="88">
        <f>SUMIF(月間集計シート!$M$134:$M$153,$G268,月間集計シート!Q$134:Q$153)*AV$2</f>
        <v>0</v>
      </c>
      <c r="AW268" s="88">
        <f>SUMIF(月間集計シート!$M$134:$M$153,$G268,月間集計シート!R$134:R$153)*AW$2</f>
        <v>0</v>
      </c>
      <c r="AX268" s="88">
        <f>SUMIF(月間集計シート!$M$134:$M$153,$G268,月間集計シート!S$134:S$153)*AX$2</f>
        <v>0</v>
      </c>
      <c r="AY268" s="88">
        <f>SUMIF(月間集計シート!$M$134:$M$153,$G268,月間集計シート!T$134:T$153)*AY$2</f>
        <v>0</v>
      </c>
    </row>
    <row r="269" spans="1:51" ht="14.25" thickBot="1">
      <c r="A269">
        <v>4</v>
      </c>
      <c r="B269" s="120">
        <f t="shared" si="132"/>
        <v>0</v>
      </c>
      <c r="C269" s="120" t="str">
        <f t="shared" si="133"/>
        <v/>
      </c>
      <c r="D269" s="137"/>
      <c r="E269" s="150" t="str">
        <f>工種!A6</f>
        <v>10199</v>
      </c>
      <c r="F269" s="119" t="str">
        <f>工種!B6</f>
        <v>SRS：その他</v>
      </c>
      <c r="G269" s="116" t="str">
        <f t="shared" ref="G269:G354" si="134">B269&amp;E269</f>
        <v>010199</v>
      </c>
      <c r="H269" s="88">
        <f t="shared" si="88"/>
        <v>0</v>
      </c>
      <c r="I269" s="132"/>
      <c r="J269" s="88">
        <f>SUMIF(月間集計シート!$M$29:$M$48,$G269,月間集計シート!N$29:N$48)*J$2</f>
        <v>0</v>
      </c>
      <c r="K269" s="88">
        <f>SUMIF(月間集計シート!$M$29:$M$48,$G269,月間集計シート!O$29:O$48)*K$2</f>
        <v>0</v>
      </c>
      <c r="L269" s="88">
        <f>SUMIF(月間集計シート!$M$29:$M$48,$G269,月間集計シート!P$29:P$48)*L$2</f>
        <v>0</v>
      </c>
      <c r="M269" s="88">
        <f>SUMIF(月間集計シート!$M$29:$M$48,$G269,月間集計シート!Q$29:Q$48)*M$2</f>
        <v>0</v>
      </c>
      <c r="N269" s="88">
        <f>SUMIF(月間集計シート!$M$29:$M$48,$G269,月間集計シート!R$29:R$48)*N$2</f>
        <v>0</v>
      </c>
      <c r="O269" s="88">
        <f>SUMIF(月間集計シート!$M$29:$M$48,$G269,月間集計シート!S$29:S$48)*O$2</f>
        <v>0</v>
      </c>
      <c r="P269" s="88">
        <f>SUMIF(月間集計シート!$M$29:$M$48,$G269,月間集計シート!T$29:T$48)*P$2</f>
        <v>0</v>
      </c>
      <c r="Q269" s="88">
        <f>SUMIF(月間集計シート!$M$50:$M$69,$G269,月間集計シート!N$50:N$69)*Q$2</f>
        <v>0</v>
      </c>
      <c r="R269" s="88">
        <f>SUMIF(月間集計シート!$M$50:$M$69,$G269,月間集計シート!O$50:O$69)*R$2</f>
        <v>0</v>
      </c>
      <c r="S269" s="88">
        <f>SUMIF(月間集計シート!$M$50:$M$69,$G269,月間集計シート!P$50:P$69)*S$2</f>
        <v>0</v>
      </c>
      <c r="T269" s="88">
        <f>SUMIF(月間集計シート!$M$50:$M$69,$G269,月間集計シート!Q$50:Q$69)*T$2</f>
        <v>0</v>
      </c>
      <c r="U269" s="88">
        <f>SUMIF(月間集計シート!$M$50:$M$69,$G269,月間集計シート!R$50:R$69)*U$2</f>
        <v>0</v>
      </c>
      <c r="V269" s="88">
        <f>SUMIF(月間集計シート!$M$50:$M$69,$G269,月間集計シート!S$50:S$69)*V$2</f>
        <v>0</v>
      </c>
      <c r="W269" s="88">
        <f>SUMIF(月間集計シート!$M$50:$M$69,$G269,月間集計シート!T$50:T$69)*W$2</f>
        <v>0</v>
      </c>
      <c r="X269" s="88">
        <f>SUMIF(月間集計シート!$M$71:$M$90,$G269,月間集計シート!N$71:N$90)*X$2</f>
        <v>0</v>
      </c>
      <c r="Y269" s="88">
        <f>SUMIF(月間集計シート!$M$71:$M$90,$G269,月間集計シート!O$71:O$90)*Y$2</f>
        <v>0</v>
      </c>
      <c r="Z269" s="88">
        <f>SUMIF(月間集計シート!$M$71:$M$90,$G269,月間集計シート!P$71:P$90)*Z$2</f>
        <v>0</v>
      </c>
      <c r="AA269" s="88">
        <f>SUMIF(月間集計シート!$M$71:$M$90,$G269,月間集計シート!Q$71:Q$90)*AA$2</f>
        <v>0</v>
      </c>
      <c r="AB269" s="88">
        <f>SUMIF(月間集計シート!$M$71:$M$90,$G269,月間集計シート!R$71:R$90)*AB$2</f>
        <v>0</v>
      </c>
      <c r="AC269" s="88">
        <f>SUMIF(月間集計シート!$M$71:$M$90,$G269,月間集計シート!S$71:S$90)*AC$2</f>
        <v>0</v>
      </c>
      <c r="AD269" s="88">
        <f>SUMIF(月間集計シート!$M$71:$M$90,$G269,月間集計シート!T$71:T$90)*AD$2</f>
        <v>0</v>
      </c>
      <c r="AE269" s="88">
        <f>SUMIF(月間集計シート!$M$92:$M$111,$G269,月間集計シート!N$92:N$111)*AE$2</f>
        <v>0</v>
      </c>
      <c r="AF269" s="88">
        <f>SUMIF(月間集計シート!$M$92:$M$111,$G269,月間集計シート!O$92:O$111)*AF$2</f>
        <v>0</v>
      </c>
      <c r="AG269" s="88">
        <f>SUMIF(月間集計シート!$M$92:$M$111,$G269,月間集計シート!P$92:P$111)*AG$2</f>
        <v>0</v>
      </c>
      <c r="AH269" s="88">
        <f>SUMIF(月間集計シート!$M$92:$M$111,$G269,月間集計シート!Q$92:Q$111)*AH$2</f>
        <v>0</v>
      </c>
      <c r="AI269" s="88">
        <f>SUMIF(月間集計シート!$M$92:$M$111,$G269,月間集計シート!R$92:R$111)*AI$2</f>
        <v>0</v>
      </c>
      <c r="AJ269" s="88">
        <f>SUMIF(月間集計シート!$M$92:$M$111,$G269,月間集計シート!S$92:S$111)*AJ$2</f>
        <v>0</v>
      </c>
      <c r="AK269" s="88">
        <f>SUMIF(月間集計シート!$M$92:$M$111,$G269,月間集計シート!T$92:T$111)*AK$2</f>
        <v>0</v>
      </c>
      <c r="AL269" s="88">
        <f>SUMIF(月間集計シート!$M$113:$M$132,$G269,月間集計シート!N$113:N$132)*AL$2</f>
        <v>0</v>
      </c>
      <c r="AM269" s="88">
        <f>SUMIF(月間集計シート!$M$113:$M$132,$G269,月間集計シート!O$113:O$132)*AM$2</f>
        <v>0</v>
      </c>
      <c r="AN269" s="88">
        <f>SUMIF(月間集計シート!$M$113:$M$132,$G269,月間集計シート!P$113:P$132)*AN$2</f>
        <v>0</v>
      </c>
      <c r="AO269" s="88">
        <f>SUMIF(月間集計シート!$M$113:$M$132,$G269,月間集計シート!Q$113:Q$132)*AO$2</f>
        <v>0</v>
      </c>
      <c r="AP269" s="88">
        <f>SUMIF(月間集計シート!$M$113:$M$132,$G269,月間集計シート!R$113:R$132)*AP$2</f>
        <v>0</v>
      </c>
      <c r="AQ269" s="88">
        <f>SUMIF(月間集計シート!$M$113:$M$132,$G269,月間集計シート!S$113:S$132)*AQ$2</f>
        <v>0</v>
      </c>
      <c r="AR269" s="88">
        <f>SUMIF(月間集計シート!$M$113:$M$132,$G269,月間集計シート!T$113:T$132)*AR$2</f>
        <v>0</v>
      </c>
      <c r="AS269" s="88">
        <f>SUMIF(月間集計シート!$M$134:$M$153,$G269,月間集計シート!N$134:N$153)*AS$2</f>
        <v>0</v>
      </c>
      <c r="AT269" s="88">
        <f>SUMIF(月間集計シート!$M$134:$M$153,$G269,月間集計シート!O$134:O$153)*AT$2</f>
        <v>0</v>
      </c>
      <c r="AU269" s="88">
        <f>SUMIF(月間集計シート!$M$134:$M$153,$G269,月間集計シート!P$134:P$153)*AU$2</f>
        <v>0</v>
      </c>
      <c r="AV269" s="88">
        <f>SUMIF(月間集計シート!$M$134:$M$153,$G269,月間集計シート!Q$134:Q$153)*AV$2</f>
        <v>0</v>
      </c>
      <c r="AW269" s="88">
        <f>SUMIF(月間集計シート!$M$134:$M$153,$G269,月間集計シート!R$134:R$153)*AW$2</f>
        <v>0</v>
      </c>
      <c r="AX269" s="88">
        <f>SUMIF(月間集計シート!$M$134:$M$153,$G269,月間集計シート!S$134:S$153)*AX$2</f>
        <v>0</v>
      </c>
      <c r="AY269" s="88">
        <f>SUMIF(月間集計シート!$M$134:$M$153,$G269,月間集計シート!T$134:T$153)*AY$2</f>
        <v>0</v>
      </c>
    </row>
    <row r="270" spans="1:51" ht="14.25" thickBot="1">
      <c r="A270">
        <v>4</v>
      </c>
      <c r="B270" s="120">
        <f t="shared" si="132"/>
        <v>0</v>
      </c>
      <c r="C270" s="120" t="str">
        <f t="shared" si="133"/>
        <v/>
      </c>
      <c r="D270" s="137"/>
      <c r="E270" s="150" t="str">
        <f>工種!A7</f>
        <v>20101</v>
      </c>
      <c r="F270" s="119" t="str">
        <f>工種!B7</f>
        <v>設計：外部設計書作成</v>
      </c>
      <c r="G270" s="116" t="str">
        <f t="shared" si="134"/>
        <v>020101</v>
      </c>
      <c r="H270" s="88">
        <f t="shared" si="88"/>
        <v>0</v>
      </c>
      <c r="I270" s="132"/>
      <c r="J270" s="88">
        <f>SUMIF(月間集計シート!$M$29:$M$48,$G270,月間集計シート!N$29:N$48)*J$2</f>
        <v>0</v>
      </c>
      <c r="K270" s="88">
        <f>SUMIF(月間集計シート!$M$29:$M$48,$G270,月間集計シート!O$29:O$48)*K$2</f>
        <v>0</v>
      </c>
      <c r="L270" s="88">
        <f>SUMIF(月間集計シート!$M$29:$M$48,$G270,月間集計シート!P$29:P$48)*L$2</f>
        <v>0</v>
      </c>
      <c r="M270" s="88">
        <f>SUMIF(月間集計シート!$M$29:$M$48,$G270,月間集計シート!Q$29:Q$48)*M$2</f>
        <v>0</v>
      </c>
      <c r="N270" s="88">
        <f>SUMIF(月間集計シート!$M$29:$M$48,$G270,月間集計シート!R$29:R$48)*N$2</f>
        <v>0</v>
      </c>
      <c r="O270" s="88">
        <f>SUMIF(月間集計シート!$M$29:$M$48,$G270,月間集計シート!S$29:S$48)*O$2</f>
        <v>0</v>
      </c>
      <c r="P270" s="88">
        <f>SUMIF(月間集計シート!$M$29:$M$48,$G270,月間集計シート!T$29:T$48)*P$2</f>
        <v>0</v>
      </c>
      <c r="Q270" s="88">
        <f>SUMIF(月間集計シート!$M$50:$M$69,$G270,月間集計シート!N$50:N$69)*Q$2</f>
        <v>0</v>
      </c>
      <c r="R270" s="88">
        <f>SUMIF(月間集計シート!$M$50:$M$69,$G270,月間集計シート!O$50:O$69)*R$2</f>
        <v>0</v>
      </c>
      <c r="S270" s="88">
        <f>SUMIF(月間集計シート!$M$50:$M$69,$G270,月間集計シート!P$50:P$69)*S$2</f>
        <v>0</v>
      </c>
      <c r="T270" s="88">
        <f>SUMIF(月間集計シート!$M$50:$M$69,$G270,月間集計シート!Q$50:Q$69)*T$2</f>
        <v>0</v>
      </c>
      <c r="U270" s="88">
        <f>SUMIF(月間集計シート!$M$50:$M$69,$G270,月間集計シート!R$50:R$69)*U$2</f>
        <v>0</v>
      </c>
      <c r="V270" s="88">
        <f>SUMIF(月間集計シート!$M$50:$M$69,$G270,月間集計シート!S$50:S$69)*V$2</f>
        <v>0</v>
      </c>
      <c r="W270" s="88">
        <f>SUMIF(月間集計シート!$M$50:$M$69,$G270,月間集計シート!T$50:T$69)*W$2</f>
        <v>0</v>
      </c>
      <c r="X270" s="88">
        <f>SUMIF(月間集計シート!$M$71:$M$90,$G270,月間集計シート!N$71:N$90)*X$2</f>
        <v>0</v>
      </c>
      <c r="Y270" s="88">
        <f>SUMIF(月間集計シート!$M$71:$M$90,$G270,月間集計シート!O$71:O$90)*Y$2</f>
        <v>0</v>
      </c>
      <c r="Z270" s="88">
        <f>SUMIF(月間集計シート!$M$71:$M$90,$G270,月間集計シート!P$71:P$90)*Z$2</f>
        <v>0</v>
      </c>
      <c r="AA270" s="88">
        <f>SUMIF(月間集計シート!$M$71:$M$90,$G270,月間集計シート!Q$71:Q$90)*AA$2</f>
        <v>0</v>
      </c>
      <c r="AB270" s="88">
        <f>SUMIF(月間集計シート!$M$71:$M$90,$G270,月間集計シート!R$71:R$90)*AB$2</f>
        <v>0</v>
      </c>
      <c r="AC270" s="88">
        <f>SUMIF(月間集計シート!$M$71:$M$90,$G270,月間集計シート!S$71:S$90)*AC$2</f>
        <v>0</v>
      </c>
      <c r="AD270" s="88">
        <f>SUMIF(月間集計シート!$M$71:$M$90,$G270,月間集計シート!T$71:T$90)*AD$2</f>
        <v>0</v>
      </c>
      <c r="AE270" s="88">
        <f>SUMIF(月間集計シート!$M$92:$M$111,$G270,月間集計シート!N$92:N$111)*AE$2</f>
        <v>0</v>
      </c>
      <c r="AF270" s="88">
        <f>SUMIF(月間集計シート!$M$92:$M$111,$G270,月間集計シート!O$92:O$111)*AF$2</f>
        <v>0</v>
      </c>
      <c r="AG270" s="88">
        <f>SUMIF(月間集計シート!$M$92:$M$111,$G270,月間集計シート!P$92:P$111)*AG$2</f>
        <v>0</v>
      </c>
      <c r="AH270" s="88">
        <f>SUMIF(月間集計シート!$M$92:$M$111,$G270,月間集計シート!Q$92:Q$111)*AH$2</f>
        <v>0</v>
      </c>
      <c r="AI270" s="88">
        <f>SUMIF(月間集計シート!$M$92:$M$111,$G270,月間集計シート!R$92:R$111)*AI$2</f>
        <v>0</v>
      </c>
      <c r="AJ270" s="88">
        <f>SUMIF(月間集計シート!$M$92:$M$111,$G270,月間集計シート!S$92:S$111)*AJ$2</f>
        <v>0</v>
      </c>
      <c r="AK270" s="88">
        <f>SUMIF(月間集計シート!$M$92:$M$111,$G270,月間集計シート!T$92:T$111)*AK$2</f>
        <v>0</v>
      </c>
      <c r="AL270" s="88">
        <f>SUMIF(月間集計シート!$M$113:$M$132,$G270,月間集計シート!N$113:N$132)*AL$2</f>
        <v>0</v>
      </c>
      <c r="AM270" s="88">
        <f>SUMIF(月間集計シート!$M$113:$M$132,$G270,月間集計シート!O$113:O$132)*AM$2</f>
        <v>0</v>
      </c>
      <c r="AN270" s="88">
        <f>SUMIF(月間集計シート!$M$113:$M$132,$G270,月間集計シート!P$113:P$132)*AN$2</f>
        <v>0</v>
      </c>
      <c r="AO270" s="88">
        <f>SUMIF(月間集計シート!$M$113:$M$132,$G270,月間集計シート!Q$113:Q$132)*AO$2</f>
        <v>0</v>
      </c>
      <c r="AP270" s="88">
        <f>SUMIF(月間集計シート!$M$113:$M$132,$G270,月間集計シート!R$113:R$132)*AP$2</f>
        <v>0</v>
      </c>
      <c r="AQ270" s="88">
        <f>SUMIF(月間集計シート!$M$113:$M$132,$G270,月間集計シート!S$113:S$132)*AQ$2</f>
        <v>0</v>
      </c>
      <c r="AR270" s="88">
        <f>SUMIF(月間集計シート!$M$113:$M$132,$G270,月間集計シート!T$113:T$132)*AR$2</f>
        <v>0</v>
      </c>
      <c r="AS270" s="88">
        <f>SUMIF(月間集計シート!$M$134:$M$153,$G270,月間集計シート!N$134:N$153)*AS$2</f>
        <v>0</v>
      </c>
      <c r="AT270" s="88">
        <f>SUMIF(月間集計シート!$M$134:$M$153,$G270,月間集計シート!O$134:O$153)*AT$2</f>
        <v>0</v>
      </c>
      <c r="AU270" s="88">
        <f>SUMIF(月間集計シート!$M$134:$M$153,$G270,月間集計シート!P$134:P$153)*AU$2</f>
        <v>0</v>
      </c>
      <c r="AV270" s="88">
        <f>SUMIF(月間集計シート!$M$134:$M$153,$G270,月間集計シート!Q$134:Q$153)*AV$2</f>
        <v>0</v>
      </c>
      <c r="AW270" s="88">
        <f>SUMIF(月間集計シート!$M$134:$M$153,$G270,月間集計シート!R$134:R$153)*AW$2</f>
        <v>0</v>
      </c>
      <c r="AX270" s="88">
        <f>SUMIF(月間集計シート!$M$134:$M$153,$G270,月間集計シート!S$134:S$153)*AX$2</f>
        <v>0</v>
      </c>
      <c r="AY270" s="88">
        <f>SUMIF(月間集計シート!$M$134:$M$153,$G270,月間集計シート!T$134:T$153)*AY$2</f>
        <v>0</v>
      </c>
    </row>
    <row r="271" spans="1:51" ht="14.25" thickBot="1">
      <c r="A271">
        <v>4</v>
      </c>
      <c r="B271" s="120">
        <f t="shared" si="132"/>
        <v>0</v>
      </c>
      <c r="C271" s="120" t="str">
        <f t="shared" si="133"/>
        <v/>
      </c>
      <c r="D271" s="137"/>
      <c r="E271" s="150" t="str">
        <f>工種!A8</f>
        <v>20103</v>
      </c>
      <c r="F271" s="119" t="str">
        <f>工種!B8</f>
        <v>設計：打合せ</v>
      </c>
      <c r="G271" s="116" t="str">
        <f t="shared" si="134"/>
        <v>020103</v>
      </c>
      <c r="H271" s="88">
        <f t="shared" si="88"/>
        <v>0</v>
      </c>
      <c r="I271" s="132"/>
      <c r="J271" s="88">
        <f>SUMIF(月間集計シート!$M$29:$M$48,$G271,月間集計シート!N$29:N$48)*J$2</f>
        <v>0</v>
      </c>
      <c r="K271" s="88">
        <f>SUMIF(月間集計シート!$M$29:$M$48,$G271,月間集計シート!O$29:O$48)*K$2</f>
        <v>0</v>
      </c>
      <c r="L271" s="88">
        <f>SUMIF(月間集計シート!$M$29:$M$48,$G271,月間集計シート!P$29:P$48)*L$2</f>
        <v>0</v>
      </c>
      <c r="M271" s="88">
        <f>SUMIF(月間集計シート!$M$29:$M$48,$G271,月間集計シート!Q$29:Q$48)*M$2</f>
        <v>0</v>
      </c>
      <c r="N271" s="88">
        <f>SUMIF(月間集計シート!$M$29:$M$48,$G271,月間集計シート!R$29:R$48)*N$2</f>
        <v>0</v>
      </c>
      <c r="O271" s="88">
        <f>SUMIF(月間集計シート!$M$29:$M$48,$G271,月間集計シート!S$29:S$48)*O$2</f>
        <v>0</v>
      </c>
      <c r="P271" s="88">
        <f>SUMIF(月間集計シート!$M$29:$M$48,$G271,月間集計シート!T$29:T$48)*P$2</f>
        <v>0</v>
      </c>
      <c r="Q271" s="88">
        <f>SUMIF(月間集計シート!$M$50:$M$69,$G271,月間集計シート!N$50:N$69)*Q$2</f>
        <v>0</v>
      </c>
      <c r="R271" s="88">
        <f>SUMIF(月間集計シート!$M$50:$M$69,$G271,月間集計シート!O$50:O$69)*R$2</f>
        <v>0</v>
      </c>
      <c r="S271" s="88">
        <f>SUMIF(月間集計シート!$M$50:$M$69,$G271,月間集計シート!P$50:P$69)*S$2</f>
        <v>0</v>
      </c>
      <c r="T271" s="88">
        <f>SUMIF(月間集計シート!$M$50:$M$69,$G271,月間集計シート!Q$50:Q$69)*T$2</f>
        <v>0</v>
      </c>
      <c r="U271" s="88">
        <f>SUMIF(月間集計シート!$M$50:$M$69,$G271,月間集計シート!R$50:R$69)*U$2</f>
        <v>0</v>
      </c>
      <c r="V271" s="88">
        <f>SUMIF(月間集計シート!$M$50:$M$69,$G271,月間集計シート!S$50:S$69)*V$2</f>
        <v>0</v>
      </c>
      <c r="W271" s="88">
        <f>SUMIF(月間集計シート!$M$50:$M$69,$G271,月間集計シート!T$50:T$69)*W$2</f>
        <v>0</v>
      </c>
      <c r="X271" s="88">
        <f>SUMIF(月間集計シート!$M$71:$M$90,$G271,月間集計シート!N$71:N$90)*X$2</f>
        <v>0</v>
      </c>
      <c r="Y271" s="88">
        <f>SUMIF(月間集計シート!$M$71:$M$90,$G271,月間集計シート!O$71:O$90)*Y$2</f>
        <v>0</v>
      </c>
      <c r="Z271" s="88">
        <f>SUMIF(月間集計シート!$M$71:$M$90,$G271,月間集計シート!P$71:P$90)*Z$2</f>
        <v>0</v>
      </c>
      <c r="AA271" s="88">
        <f>SUMIF(月間集計シート!$M$71:$M$90,$G271,月間集計シート!Q$71:Q$90)*AA$2</f>
        <v>0</v>
      </c>
      <c r="AB271" s="88">
        <f>SUMIF(月間集計シート!$M$71:$M$90,$G271,月間集計シート!R$71:R$90)*AB$2</f>
        <v>0</v>
      </c>
      <c r="AC271" s="88">
        <f>SUMIF(月間集計シート!$M$71:$M$90,$G271,月間集計シート!S$71:S$90)*AC$2</f>
        <v>0</v>
      </c>
      <c r="AD271" s="88">
        <f>SUMIF(月間集計シート!$M$71:$M$90,$G271,月間集計シート!T$71:T$90)*AD$2</f>
        <v>0</v>
      </c>
      <c r="AE271" s="88">
        <f>SUMIF(月間集計シート!$M$92:$M$111,$G271,月間集計シート!N$92:N$111)*AE$2</f>
        <v>0</v>
      </c>
      <c r="AF271" s="88">
        <f>SUMIF(月間集計シート!$M$92:$M$111,$G271,月間集計シート!O$92:O$111)*AF$2</f>
        <v>0</v>
      </c>
      <c r="AG271" s="88">
        <f>SUMIF(月間集計シート!$M$92:$M$111,$G271,月間集計シート!P$92:P$111)*AG$2</f>
        <v>0</v>
      </c>
      <c r="AH271" s="88">
        <f>SUMIF(月間集計シート!$M$92:$M$111,$G271,月間集計シート!Q$92:Q$111)*AH$2</f>
        <v>0</v>
      </c>
      <c r="AI271" s="88">
        <f>SUMIF(月間集計シート!$M$92:$M$111,$G271,月間集計シート!R$92:R$111)*AI$2</f>
        <v>0</v>
      </c>
      <c r="AJ271" s="88">
        <f>SUMIF(月間集計シート!$M$92:$M$111,$G271,月間集計シート!S$92:S$111)*AJ$2</f>
        <v>0</v>
      </c>
      <c r="AK271" s="88">
        <f>SUMIF(月間集計シート!$M$92:$M$111,$G271,月間集計シート!T$92:T$111)*AK$2</f>
        <v>0</v>
      </c>
      <c r="AL271" s="88">
        <f>SUMIF(月間集計シート!$M$113:$M$132,$G271,月間集計シート!N$113:N$132)*AL$2</f>
        <v>0</v>
      </c>
      <c r="AM271" s="88">
        <f>SUMIF(月間集計シート!$M$113:$M$132,$G271,月間集計シート!O$113:O$132)*AM$2</f>
        <v>0</v>
      </c>
      <c r="AN271" s="88">
        <f>SUMIF(月間集計シート!$M$113:$M$132,$G271,月間集計シート!P$113:P$132)*AN$2</f>
        <v>0</v>
      </c>
      <c r="AO271" s="88">
        <f>SUMIF(月間集計シート!$M$113:$M$132,$G271,月間集計シート!Q$113:Q$132)*AO$2</f>
        <v>0</v>
      </c>
      <c r="AP271" s="88">
        <f>SUMIF(月間集計シート!$M$113:$M$132,$G271,月間集計シート!R$113:R$132)*AP$2</f>
        <v>0</v>
      </c>
      <c r="AQ271" s="88">
        <f>SUMIF(月間集計シート!$M$113:$M$132,$G271,月間集計シート!S$113:S$132)*AQ$2</f>
        <v>0</v>
      </c>
      <c r="AR271" s="88">
        <f>SUMIF(月間集計シート!$M$113:$M$132,$G271,月間集計シート!T$113:T$132)*AR$2</f>
        <v>0</v>
      </c>
      <c r="AS271" s="88">
        <f>SUMIF(月間集計シート!$M$134:$M$153,$G271,月間集計シート!N$134:N$153)*AS$2</f>
        <v>0</v>
      </c>
      <c r="AT271" s="88">
        <f>SUMIF(月間集計シート!$M$134:$M$153,$G271,月間集計シート!O$134:O$153)*AT$2</f>
        <v>0</v>
      </c>
      <c r="AU271" s="88">
        <f>SUMIF(月間集計シート!$M$134:$M$153,$G271,月間集計シート!P$134:P$153)*AU$2</f>
        <v>0</v>
      </c>
      <c r="AV271" s="88">
        <f>SUMIF(月間集計シート!$M$134:$M$153,$G271,月間集計シート!Q$134:Q$153)*AV$2</f>
        <v>0</v>
      </c>
      <c r="AW271" s="88">
        <f>SUMIF(月間集計シート!$M$134:$M$153,$G271,月間集計シート!R$134:R$153)*AW$2</f>
        <v>0</v>
      </c>
      <c r="AX271" s="88">
        <f>SUMIF(月間集計シート!$M$134:$M$153,$G271,月間集計シート!S$134:S$153)*AX$2</f>
        <v>0</v>
      </c>
      <c r="AY271" s="88">
        <f>SUMIF(月間集計シート!$M$134:$M$153,$G271,月間集計シート!T$134:T$153)*AY$2</f>
        <v>0</v>
      </c>
    </row>
    <row r="272" spans="1:51" ht="14.25" thickBot="1">
      <c r="A272">
        <v>4</v>
      </c>
      <c r="B272" s="120">
        <f t="shared" si="132"/>
        <v>0</v>
      </c>
      <c r="C272" s="120" t="str">
        <f t="shared" si="133"/>
        <v/>
      </c>
      <c r="D272" s="137"/>
      <c r="E272" s="150">
        <f>工種!A9</f>
        <v>20105</v>
      </c>
      <c r="F272" s="119" t="str">
        <f>工種!B9</f>
        <v>設計：原因調査・影響範囲分析・変更仕様作成</v>
      </c>
      <c r="G272" s="116" t="str">
        <f t="shared" si="134"/>
        <v>020105</v>
      </c>
      <c r="H272" s="88">
        <f t="shared" si="88"/>
        <v>0</v>
      </c>
      <c r="I272" s="132"/>
      <c r="J272" s="88">
        <f>SUMIF(月間集計シート!$M$29:$M$48,$G272,月間集計シート!N$29:N$48)*J$2</f>
        <v>0</v>
      </c>
      <c r="K272" s="88">
        <f>SUMIF(月間集計シート!$M$29:$M$48,$G272,月間集計シート!O$29:O$48)*K$2</f>
        <v>0</v>
      </c>
      <c r="L272" s="88">
        <f>SUMIF(月間集計シート!$M$29:$M$48,$G272,月間集計シート!P$29:P$48)*L$2</f>
        <v>0</v>
      </c>
      <c r="M272" s="88">
        <f>SUMIF(月間集計シート!$M$29:$M$48,$G272,月間集計シート!Q$29:Q$48)*M$2</f>
        <v>0</v>
      </c>
      <c r="N272" s="88">
        <f>SUMIF(月間集計シート!$M$29:$M$48,$G272,月間集計シート!R$29:R$48)*N$2</f>
        <v>0</v>
      </c>
      <c r="O272" s="88">
        <f>SUMIF(月間集計シート!$M$29:$M$48,$G272,月間集計シート!S$29:S$48)*O$2</f>
        <v>0</v>
      </c>
      <c r="P272" s="88">
        <f>SUMIF(月間集計シート!$M$29:$M$48,$G272,月間集計シート!T$29:T$48)*P$2</f>
        <v>0</v>
      </c>
      <c r="Q272" s="88">
        <f>SUMIF(月間集計シート!$M$50:$M$69,$G272,月間集計シート!N$50:N$69)*Q$2</f>
        <v>0</v>
      </c>
      <c r="R272" s="88">
        <f>SUMIF(月間集計シート!$M$50:$M$69,$G272,月間集計シート!O$50:O$69)*R$2</f>
        <v>0</v>
      </c>
      <c r="S272" s="88">
        <f>SUMIF(月間集計シート!$M$50:$M$69,$G272,月間集計シート!P$50:P$69)*S$2</f>
        <v>0</v>
      </c>
      <c r="T272" s="88">
        <f>SUMIF(月間集計シート!$M$50:$M$69,$G272,月間集計シート!Q$50:Q$69)*T$2</f>
        <v>0</v>
      </c>
      <c r="U272" s="88">
        <f>SUMIF(月間集計シート!$M$50:$M$69,$G272,月間集計シート!R$50:R$69)*U$2</f>
        <v>0</v>
      </c>
      <c r="V272" s="88">
        <f>SUMIF(月間集計シート!$M$50:$M$69,$G272,月間集計シート!S$50:S$69)*V$2</f>
        <v>0</v>
      </c>
      <c r="W272" s="88">
        <f>SUMIF(月間集計シート!$M$50:$M$69,$G272,月間集計シート!T$50:T$69)*W$2</f>
        <v>0</v>
      </c>
      <c r="X272" s="88">
        <f>SUMIF(月間集計シート!$M$71:$M$90,$G272,月間集計シート!N$71:N$90)*X$2</f>
        <v>0</v>
      </c>
      <c r="Y272" s="88">
        <f>SUMIF(月間集計シート!$M$71:$M$90,$G272,月間集計シート!O$71:O$90)*Y$2</f>
        <v>0</v>
      </c>
      <c r="Z272" s="88">
        <f>SUMIF(月間集計シート!$M$71:$M$90,$G272,月間集計シート!P$71:P$90)*Z$2</f>
        <v>0</v>
      </c>
      <c r="AA272" s="88">
        <f>SUMIF(月間集計シート!$M$71:$M$90,$G272,月間集計シート!Q$71:Q$90)*AA$2</f>
        <v>0</v>
      </c>
      <c r="AB272" s="88">
        <f>SUMIF(月間集計シート!$M$71:$M$90,$G272,月間集計シート!R$71:R$90)*AB$2</f>
        <v>0</v>
      </c>
      <c r="AC272" s="88">
        <f>SUMIF(月間集計シート!$M$71:$M$90,$G272,月間集計シート!S$71:S$90)*AC$2</f>
        <v>0</v>
      </c>
      <c r="AD272" s="88">
        <f>SUMIF(月間集計シート!$M$71:$M$90,$G272,月間集計シート!T$71:T$90)*AD$2</f>
        <v>0</v>
      </c>
      <c r="AE272" s="88">
        <f>SUMIF(月間集計シート!$M$92:$M$111,$G272,月間集計シート!N$92:N$111)*AE$2</f>
        <v>0</v>
      </c>
      <c r="AF272" s="88">
        <f>SUMIF(月間集計シート!$M$92:$M$111,$G272,月間集計シート!O$92:O$111)*AF$2</f>
        <v>0</v>
      </c>
      <c r="AG272" s="88">
        <f>SUMIF(月間集計シート!$M$92:$M$111,$G272,月間集計シート!P$92:P$111)*AG$2</f>
        <v>0</v>
      </c>
      <c r="AH272" s="88">
        <f>SUMIF(月間集計シート!$M$92:$M$111,$G272,月間集計シート!Q$92:Q$111)*AH$2</f>
        <v>0</v>
      </c>
      <c r="AI272" s="88">
        <f>SUMIF(月間集計シート!$M$92:$M$111,$G272,月間集計シート!R$92:R$111)*AI$2</f>
        <v>0</v>
      </c>
      <c r="AJ272" s="88">
        <f>SUMIF(月間集計シート!$M$92:$M$111,$G272,月間集計シート!S$92:S$111)*AJ$2</f>
        <v>0</v>
      </c>
      <c r="AK272" s="88">
        <f>SUMIF(月間集計シート!$M$92:$M$111,$G272,月間集計シート!T$92:T$111)*AK$2</f>
        <v>0</v>
      </c>
      <c r="AL272" s="88">
        <f>SUMIF(月間集計シート!$M$113:$M$132,$G272,月間集計シート!N$113:N$132)*AL$2</f>
        <v>0</v>
      </c>
      <c r="AM272" s="88">
        <f>SUMIF(月間集計シート!$M$113:$M$132,$G272,月間集計シート!O$113:O$132)*AM$2</f>
        <v>0</v>
      </c>
      <c r="AN272" s="88">
        <f>SUMIF(月間集計シート!$M$113:$M$132,$G272,月間集計シート!P$113:P$132)*AN$2</f>
        <v>0</v>
      </c>
      <c r="AO272" s="88">
        <f>SUMIF(月間集計シート!$M$113:$M$132,$G272,月間集計シート!Q$113:Q$132)*AO$2</f>
        <v>0</v>
      </c>
      <c r="AP272" s="88">
        <f>SUMIF(月間集計シート!$M$113:$M$132,$G272,月間集計シート!R$113:R$132)*AP$2</f>
        <v>0</v>
      </c>
      <c r="AQ272" s="88">
        <f>SUMIF(月間集計シート!$M$113:$M$132,$G272,月間集計シート!S$113:S$132)*AQ$2</f>
        <v>0</v>
      </c>
      <c r="AR272" s="88">
        <f>SUMIF(月間集計シート!$M$113:$M$132,$G272,月間集計シート!T$113:T$132)*AR$2</f>
        <v>0</v>
      </c>
      <c r="AS272" s="88">
        <f>SUMIF(月間集計シート!$M$134:$M$153,$G272,月間集計シート!N$134:N$153)*AS$2</f>
        <v>0</v>
      </c>
      <c r="AT272" s="88">
        <f>SUMIF(月間集計シート!$M$134:$M$153,$G272,月間集計シート!O$134:O$153)*AT$2</f>
        <v>0</v>
      </c>
      <c r="AU272" s="88">
        <f>SUMIF(月間集計シート!$M$134:$M$153,$G272,月間集計シート!P$134:P$153)*AU$2</f>
        <v>0</v>
      </c>
      <c r="AV272" s="88">
        <f>SUMIF(月間集計シート!$M$134:$M$153,$G272,月間集計シート!Q$134:Q$153)*AV$2</f>
        <v>0</v>
      </c>
      <c r="AW272" s="88">
        <f>SUMIF(月間集計シート!$M$134:$M$153,$G272,月間集計シート!R$134:R$153)*AW$2</f>
        <v>0</v>
      </c>
      <c r="AX272" s="88">
        <f>SUMIF(月間集計シート!$M$134:$M$153,$G272,月間集計シート!S$134:S$153)*AX$2</f>
        <v>0</v>
      </c>
      <c r="AY272" s="88">
        <f>SUMIF(月間集計シート!$M$134:$M$153,$G272,月間集計シート!T$134:T$153)*AY$2</f>
        <v>0</v>
      </c>
    </row>
    <row r="273" spans="1:51" ht="14.25" thickBot="1">
      <c r="A273">
        <v>4</v>
      </c>
      <c r="B273" s="120">
        <f t="shared" si="132"/>
        <v>0</v>
      </c>
      <c r="C273" s="120" t="str">
        <f t="shared" si="133"/>
        <v/>
      </c>
      <c r="D273" s="137"/>
      <c r="E273" s="150" t="str">
        <f>工種!A10</f>
        <v>20106</v>
      </c>
      <c r="F273" s="119" t="str">
        <f>工種!B10</f>
        <v>設計：設計書修正（手戻り分）</v>
      </c>
      <c r="G273" s="116" t="str">
        <f t="shared" si="134"/>
        <v>020106</v>
      </c>
      <c r="H273" s="88">
        <f t="shared" si="88"/>
        <v>0</v>
      </c>
      <c r="I273" s="132"/>
      <c r="J273" s="88">
        <f>SUMIF(月間集計シート!$M$29:$M$48,$G273,月間集計シート!N$29:N$48)*J$2</f>
        <v>0</v>
      </c>
      <c r="K273" s="88">
        <f>SUMIF(月間集計シート!$M$29:$M$48,$G273,月間集計シート!O$29:O$48)*K$2</f>
        <v>0</v>
      </c>
      <c r="L273" s="88">
        <f>SUMIF(月間集計シート!$M$29:$M$48,$G273,月間集計シート!P$29:P$48)*L$2</f>
        <v>0</v>
      </c>
      <c r="M273" s="88">
        <f>SUMIF(月間集計シート!$M$29:$M$48,$G273,月間集計シート!Q$29:Q$48)*M$2</f>
        <v>0</v>
      </c>
      <c r="N273" s="88">
        <f>SUMIF(月間集計シート!$M$29:$M$48,$G273,月間集計シート!R$29:R$48)*N$2</f>
        <v>0</v>
      </c>
      <c r="O273" s="88">
        <f>SUMIF(月間集計シート!$M$29:$M$48,$G273,月間集計シート!S$29:S$48)*O$2</f>
        <v>0</v>
      </c>
      <c r="P273" s="88">
        <f>SUMIF(月間集計シート!$M$29:$M$48,$G273,月間集計シート!T$29:T$48)*P$2</f>
        <v>0</v>
      </c>
      <c r="Q273" s="88">
        <f>SUMIF(月間集計シート!$M$50:$M$69,$G273,月間集計シート!N$50:N$69)*Q$2</f>
        <v>0</v>
      </c>
      <c r="R273" s="88">
        <f>SUMIF(月間集計シート!$M$50:$M$69,$G273,月間集計シート!O$50:O$69)*R$2</f>
        <v>0</v>
      </c>
      <c r="S273" s="88">
        <f>SUMIF(月間集計シート!$M$50:$M$69,$G273,月間集計シート!P$50:P$69)*S$2</f>
        <v>0</v>
      </c>
      <c r="T273" s="88">
        <f>SUMIF(月間集計シート!$M$50:$M$69,$G273,月間集計シート!Q$50:Q$69)*T$2</f>
        <v>0</v>
      </c>
      <c r="U273" s="88">
        <f>SUMIF(月間集計シート!$M$50:$M$69,$G273,月間集計シート!R$50:R$69)*U$2</f>
        <v>0</v>
      </c>
      <c r="V273" s="88">
        <f>SUMIF(月間集計シート!$M$50:$M$69,$G273,月間集計シート!S$50:S$69)*V$2</f>
        <v>0</v>
      </c>
      <c r="W273" s="88">
        <f>SUMIF(月間集計シート!$M$50:$M$69,$G273,月間集計シート!T$50:T$69)*W$2</f>
        <v>0</v>
      </c>
      <c r="X273" s="88">
        <f>SUMIF(月間集計シート!$M$71:$M$90,$G273,月間集計シート!N$71:N$90)*X$2</f>
        <v>0</v>
      </c>
      <c r="Y273" s="88">
        <f>SUMIF(月間集計シート!$M$71:$M$90,$G273,月間集計シート!O$71:O$90)*Y$2</f>
        <v>0</v>
      </c>
      <c r="Z273" s="88">
        <f>SUMIF(月間集計シート!$M$71:$M$90,$G273,月間集計シート!P$71:P$90)*Z$2</f>
        <v>0</v>
      </c>
      <c r="AA273" s="88">
        <f>SUMIF(月間集計シート!$M$71:$M$90,$G273,月間集計シート!Q$71:Q$90)*AA$2</f>
        <v>0</v>
      </c>
      <c r="AB273" s="88">
        <f>SUMIF(月間集計シート!$M$71:$M$90,$G273,月間集計シート!R$71:R$90)*AB$2</f>
        <v>0</v>
      </c>
      <c r="AC273" s="88">
        <f>SUMIF(月間集計シート!$M$71:$M$90,$G273,月間集計シート!S$71:S$90)*AC$2</f>
        <v>0</v>
      </c>
      <c r="AD273" s="88">
        <f>SUMIF(月間集計シート!$M$71:$M$90,$G273,月間集計シート!T$71:T$90)*AD$2</f>
        <v>0</v>
      </c>
      <c r="AE273" s="88">
        <f>SUMIF(月間集計シート!$M$92:$M$111,$G273,月間集計シート!N$92:N$111)*AE$2</f>
        <v>0</v>
      </c>
      <c r="AF273" s="88">
        <f>SUMIF(月間集計シート!$M$92:$M$111,$G273,月間集計シート!O$92:O$111)*AF$2</f>
        <v>0</v>
      </c>
      <c r="AG273" s="88">
        <f>SUMIF(月間集計シート!$M$92:$M$111,$G273,月間集計シート!P$92:P$111)*AG$2</f>
        <v>0</v>
      </c>
      <c r="AH273" s="88">
        <f>SUMIF(月間集計シート!$M$92:$M$111,$G273,月間集計シート!Q$92:Q$111)*AH$2</f>
        <v>0</v>
      </c>
      <c r="AI273" s="88">
        <f>SUMIF(月間集計シート!$M$92:$M$111,$G273,月間集計シート!R$92:R$111)*AI$2</f>
        <v>0</v>
      </c>
      <c r="AJ273" s="88">
        <f>SUMIF(月間集計シート!$M$92:$M$111,$G273,月間集計シート!S$92:S$111)*AJ$2</f>
        <v>0</v>
      </c>
      <c r="AK273" s="88">
        <f>SUMIF(月間集計シート!$M$92:$M$111,$G273,月間集計シート!T$92:T$111)*AK$2</f>
        <v>0</v>
      </c>
      <c r="AL273" s="88">
        <f>SUMIF(月間集計シート!$M$113:$M$132,$G273,月間集計シート!N$113:N$132)*AL$2</f>
        <v>0</v>
      </c>
      <c r="AM273" s="88">
        <f>SUMIF(月間集計シート!$M$113:$M$132,$G273,月間集計シート!O$113:O$132)*AM$2</f>
        <v>0</v>
      </c>
      <c r="AN273" s="88">
        <f>SUMIF(月間集計シート!$M$113:$M$132,$G273,月間集計シート!P$113:P$132)*AN$2</f>
        <v>0</v>
      </c>
      <c r="AO273" s="88">
        <f>SUMIF(月間集計シート!$M$113:$M$132,$G273,月間集計シート!Q$113:Q$132)*AO$2</f>
        <v>0</v>
      </c>
      <c r="AP273" s="88">
        <f>SUMIF(月間集計シート!$M$113:$M$132,$G273,月間集計シート!R$113:R$132)*AP$2</f>
        <v>0</v>
      </c>
      <c r="AQ273" s="88">
        <f>SUMIF(月間集計シート!$M$113:$M$132,$G273,月間集計シート!S$113:S$132)*AQ$2</f>
        <v>0</v>
      </c>
      <c r="AR273" s="88">
        <f>SUMIF(月間集計シート!$M$113:$M$132,$G273,月間集計シート!T$113:T$132)*AR$2</f>
        <v>0</v>
      </c>
      <c r="AS273" s="88">
        <f>SUMIF(月間集計シート!$M$134:$M$153,$G273,月間集計シート!N$134:N$153)*AS$2</f>
        <v>0</v>
      </c>
      <c r="AT273" s="88">
        <f>SUMIF(月間集計シート!$M$134:$M$153,$G273,月間集計シート!O$134:O$153)*AT$2</f>
        <v>0</v>
      </c>
      <c r="AU273" s="88">
        <f>SUMIF(月間集計シート!$M$134:$M$153,$G273,月間集計シート!P$134:P$153)*AU$2</f>
        <v>0</v>
      </c>
      <c r="AV273" s="88">
        <f>SUMIF(月間集計シート!$M$134:$M$153,$G273,月間集計シート!Q$134:Q$153)*AV$2</f>
        <v>0</v>
      </c>
      <c r="AW273" s="88">
        <f>SUMIF(月間集計シート!$M$134:$M$153,$G273,月間集計シート!R$134:R$153)*AW$2</f>
        <v>0</v>
      </c>
      <c r="AX273" s="88">
        <f>SUMIF(月間集計シート!$M$134:$M$153,$G273,月間集計シート!S$134:S$153)*AX$2</f>
        <v>0</v>
      </c>
      <c r="AY273" s="88">
        <f>SUMIF(月間集計シート!$M$134:$M$153,$G273,月間集計シート!T$134:T$153)*AY$2</f>
        <v>0</v>
      </c>
    </row>
    <row r="274" spans="1:51" ht="14.25" thickBot="1">
      <c r="A274">
        <v>4</v>
      </c>
      <c r="B274" s="120">
        <f t="shared" si="132"/>
        <v>0</v>
      </c>
      <c r="C274" s="120" t="str">
        <f t="shared" si="133"/>
        <v/>
      </c>
      <c r="D274" s="137"/>
      <c r="E274" s="150" t="str">
        <f>工種!A11</f>
        <v>20107</v>
      </c>
      <c r="F274" s="119" t="str">
        <f>工種!B11</f>
        <v>設計：その他の設計書作成</v>
      </c>
      <c r="G274" s="116" t="str">
        <f t="shared" si="134"/>
        <v>020107</v>
      </c>
      <c r="H274" s="88">
        <f t="shared" si="88"/>
        <v>0</v>
      </c>
      <c r="I274" s="132"/>
      <c r="J274" s="88">
        <f>SUMIF(月間集計シート!$M$29:$M$48,$G274,月間集計シート!N$29:N$48)*J$2</f>
        <v>0</v>
      </c>
      <c r="K274" s="88">
        <f>SUMIF(月間集計シート!$M$29:$M$48,$G274,月間集計シート!O$29:O$48)*K$2</f>
        <v>0</v>
      </c>
      <c r="L274" s="88">
        <f>SUMIF(月間集計シート!$M$29:$M$48,$G274,月間集計シート!P$29:P$48)*L$2</f>
        <v>0</v>
      </c>
      <c r="M274" s="88">
        <f>SUMIF(月間集計シート!$M$29:$M$48,$G274,月間集計シート!Q$29:Q$48)*M$2</f>
        <v>0</v>
      </c>
      <c r="N274" s="88">
        <f>SUMIF(月間集計シート!$M$29:$M$48,$G274,月間集計シート!R$29:R$48)*N$2</f>
        <v>0</v>
      </c>
      <c r="O274" s="88">
        <f>SUMIF(月間集計シート!$M$29:$M$48,$G274,月間集計シート!S$29:S$48)*O$2</f>
        <v>0</v>
      </c>
      <c r="P274" s="88">
        <f>SUMIF(月間集計シート!$M$29:$M$48,$G274,月間集計シート!T$29:T$48)*P$2</f>
        <v>0</v>
      </c>
      <c r="Q274" s="88">
        <f>SUMIF(月間集計シート!$M$50:$M$69,$G274,月間集計シート!N$50:N$69)*Q$2</f>
        <v>0</v>
      </c>
      <c r="R274" s="88">
        <f>SUMIF(月間集計シート!$M$50:$M$69,$G274,月間集計シート!O$50:O$69)*R$2</f>
        <v>0</v>
      </c>
      <c r="S274" s="88">
        <f>SUMIF(月間集計シート!$M$50:$M$69,$G274,月間集計シート!P$50:P$69)*S$2</f>
        <v>0</v>
      </c>
      <c r="T274" s="88">
        <f>SUMIF(月間集計シート!$M$50:$M$69,$G274,月間集計シート!Q$50:Q$69)*T$2</f>
        <v>0</v>
      </c>
      <c r="U274" s="88">
        <f>SUMIF(月間集計シート!$M$50:$M$69,$G274,月間集計シート!R$50:R$69)*U$2</f>
        <v>0</v>
      </c>
      <c r="V274" s="88">
        <f>SUMIF(月間集計シート!$M$50:$M$69,$G274,月間集計シート!S$50:S$69)*V$2</f>
        <v>0</v>
      </c>
      <c r="W274" s="88">
        <f>SUMIF(月間集計シート!$M$50:$M$69,$G274,月間集計シート!T$50:T$69)*W$2</f>
        <v>0</v>
      </c>
      <c r="X274" s="88">
        <f>SUMIF(月間集計シート!$M$71:$M$90,$G274,月間集計シート!N$71:N$90)*X$2</f>
        <v>0</v>
      </c>
      <c r="Y274" s="88">
        <f>SUMIF(月間集計シート!$M$71:$M$90,$G274,月間集計シート!O$71:O$90)*Y$2</f>
        <v>0</v>
      </c>
      <c r="Z274" s="88">
        <f>SUMIF(月間集計シート!$M$71:$M$90,$G274,月間集計シート!P$71:P$90)*Z$2</f>
        <v>0</v>
      </c>
      <c r="AA274" s="88">
        <f>SUMIF(月間集計シート!$M$71:$M$90,$G274,月間集計シート!Q$71:Q$90)*AA$2</f>
        <v>0</v>
      </c>
      <c r="AB274" s="88">
        <f>SUMIF(月間集計シート!$M$71:$M$90,$G274,月間集計シート!R$71:R$90)*AB$2</f>
        <v>0</v>
      </c>
      <c r="AC274" s="88">
        <f>SUMIF(月間集計シート!$M$71:$M$90,$G274,月間集計シート!S$71:S$90)*AC$2</f>
        <v>0</v>
      </c>
      <c r="AD274" s="88">
        <f>SUMIF(月間集計シート!$M$71:$M$90,$G274,月間集計シート!T$71:T$90)*AD$2</f>
        <v>0</v>
      </c>
      <c r="AE274" s="88">
        <f>SUMIF(月間集計シート!$M$92:$M$111,$G274,月間集計シート!N$92:N$111)*AE$2</f>
        <v>0</v>
      </c>
      <c r="AF274" s="88">
        <f>SUMIF(月間集計シート!$M$92:$M$111,$G274,月間集計シート!O$92:O$111)*AF$2</f>
        <v>0</v>
      </c>
      <c r="AG274" s="88">
        <f>SUMIF(月間集計シート!$M$92:$M$111,$G274,月間集計シート!P$92:P$111)*AG$2</f>
        <v>0</v>
      </c>
      <c r="AH274" s="88">
        <f>SUMIF(月間集計シート!$M$92:$M$111,$G274,月間集計シート!Q$92:Q$111)*AH$2</f>
        <v>0</v>
      </c>
      <c r="AI274" s="88">
        <f>SUMIF(月間集計シート!$M$92:$M$111,$G274,月間集計シート!R$92:R$111)*AI$2</f>
        <v>0</v>
      </c>
      <c r="AJ274" s="88">
        <f>SUMIF(月間集計シート!$M$92:$M$111,$G274,月間集計シート!S$92:S$111)*AJ$2</f>
        <v>0</v>
      </c>
      <c r="AK274" s="88">
        <f>SUMIF(月間集計シート!$M$92:$M$111,$G274,月間集計シート!T$92:T$111)*AK$2</f>
        <v>0</v>
      </c>
      <c r="AL274" s="88">
        <f>SUMIF(月間集計シート!$M$113:$M$132,$G274,月間集計シート!N$113:N$132)*AL$2</f>
        <v>0</v>
      </c>
      <c r="AM274" s="88">
        <f>SUMIF(月間集計シート!$M$113:$M$132,$G274,月間集計シート!O$113:O$132)*AM$2</f>
        <v>0</v>
      </c>
      <c r="AN274" s="88">
        <f>SUMIF(月間集計シート!$M$113:$M$132,$G274,月間集計シート!P$113:P$132)*AN$2</f>
        <v>0</v>
      </c>
      <c r="AO274" s="88">
        <f>SUMIF(月間集計シート!$M$113:$M$132,$G274,月間集計シート!Q$113:Q$132)*AO$2</f>
        <v>0</v>
      </c>
      <c r="AP274" s="88">
        <f>SUMIF(月間集計シート!$M$113:$M$132,$G274,月間集計シート!R$113:R$132)*AP$2</f>
        <v>0</v>
      </c>
      <c r="AQ274" s="88">
        <f>SUMIF(月間集計シート!$M$113:$M$132,$G274,月間集計シート!S$113:S$132)*AQ$2</f>
        <v>0</v>
      </c>
      <c r="AR274" s="88">
        <f>SUMIF(月間集計シート!$M$113:$M$132,$G274,月間集計シート!T$113:T$132)*AR$2</f>
        <v>0</v>
      </c>
      <c r="AS274" s="88">
        <f>SUMIF(月間集計シート!$M$134:$M$153,$G274,月間集計シート!N$134:N$153)*AS$2</f>
        <v>0</v>
      </c>
      <c r="AT274" s="88">
        <f>SUMIF(月間集計シート!$M$134:$M$153,$G274,月間集計シート!O$134:O$153)*AT$2</f>
        <v>0</v>
      </c>
      <c r="AU274" s="88">
        <f>SUMIF(月間集計シート!$M$134:$M$153,$G274,月間集計シート!P$134:P$153)*AU$2</f>
        <v>0</v>
      </c>
      <c r="AV274" s="88">
        <f>SUMIF(月間集計シート!$M$134:$M$153,$G274,月間集計シート!Q$134:Q$153)*AV$2</f>
        <v>0</v>
      </c>
      <c r="AW274" s="88">
        <f>SUMIF(月間集計シート!$M$134:$M$153,$G274,月間集計シート!R$134:R$153)*AW$2</f>
        <v>0</v>
      </c>
      <c r="AX274" s="88">
        <f>SUMIF(月間集計シート!$M$134:$M$153,$G274,月間集計シート!S$134:S$153)*AX$2</f>
        <v>0</v>
      </c>
      <c r="AY274" s="88">
        <f>SUMIF(月間集計シート!$M$134:$M$153,$G274,月間集計シート!T$134:T$153)*AY$2</f>
        <v>0</v>
      </c>
    </row>
    <row r="275" spans="1:51" ht="14.25" thickBot="1">
      <c r="A275">
        <v>4</v>
      </c>
      <c r="B275" s="120">
        <f t="shared" si="132"/>
        <v>0</v>
      </c>
      <c r="C275" s="120" t="str">
        <f t="shared" si="133"/>
        <v/>
      </c>
      <c r="D275" s="137"/>
      <c r="E275" s="150" t="str">
        <f>工種!A12</f>
        <v>20108</v>
      </c>
      <c r="F275" s="119" t="str">
        <f>工種!B12</f>
        <v>設計：レビュー</v>
      </c>
      <c r="G275" s="116" t="str">
        <f t="shared" si="134"/>
        <v>020108</v>
      </c>
      <c r="H275" s="88">
        <f t="shared" si="88"/>
        <v>0</v>
      </c>
      <c r="I275" s="132"/>
      <c r="J275" s="88">
        <f>SUMIF(月間集計シート!$M$29:$M$48,$G275,月間集計シート!N$29:N$48)*J$2</f>
        <v>0</v>
      </c>
      <c r="K275" s="88">
        <f>SUMIF(月間集計シート!$M$29:$M$48,$G275,月間集計シート!O$29:O$48)*K$2</f>
        <v>0</v>
      </c>
      <c r="L275" s="88">
        <f>SUMIF(月間集計シート!$M$29:$M$48,$G275,月間集計シート!P$29:P$48)*L$2</f>
        <v>0</v>
      </c>
      <c r="M275" s="88">
        <f>SUMIF(月間集計シート!$M$29:$M$48,$G275,月間集計シート!Q$29:Q$48)*M$2</f>
        <v>0</v>
      </c>
      <c r="N275" s="88">
        <f>SUMIF(月間集計シート!$M$29:$M$48,$G275,月間集計シート!R$29:R$48)*N$2</f>
        <v>0</v>
      </c>
      <c r="O275" s="88">
        <f>SUMIF(月間集計シート!$M$29:$M$48,$G275,月間集計シート!S$29:S$48)*O$2</f>
        <v>0</v>
      </c>
      <c r="P275" s="88">
        <f>SUMIF(月間集計シート!$M$29:$M$48,$G275,月間集計シート!T$29:T$48)*P$2</f>
        <v>0</v>
      </c>
      <c r="Q275" s="88">
        <f>SUMIF(月間集計シート!$M$50:$M$69,$G275,月間集計シート!N$50:N$69)*Q$2</f>
        <v>0</v>
      </c>
      <c r="R275" s="88">
        <f>SUMIF(月間集計シート!$M$50:$M$69,$G275,月間集計シート!O$50:O$69)*R$2</f>
        <v>0</v>
      </c>
      <c r="S275" s="88">
        <f>SUMIF(月間集計シート!$M$50:$M$69,$G275,月間集計シート!P$50:P$69)*S$2</f>
        <v>0</v>
      </c>
      <c r="T275" s="88">
        <f>SUMIF(月間集計シート!$M$50:$M$69,$G275,月間集計シート!Q$50:Q$69)*T$2</f>
        <v>0</v>
      </c>
      <c r="U275" s="88">
        <f>SUMIF(月間集計シート!$M$50:$M$69,$G275,月間集計シート!R$50:R$69)*U$2</f>
        <v>0</v>
      </c>
      <c r="V275" s="88">
        <f>SUMIF(月間集計シート!$M$50:$M$69,$G275,月間集計シート!S$50:S$69)*V$2</f>
        <v>0</v>
      </c>
      <c r="W275" s="88">
        <f>SUMIF(月間集計シート!$M$50:$M$69,$G275,月間集計シート!T$50:T$69)*W$2</f>
        <v>0</v>
      </c>
      <c r="X275" s="88">
        <f>SUMIF(月間集計シート!$M$71:$M$90,$G275,月間集計シート!N$71:N$90)*X$2</f>
        <v>0</v>
      </c>
      <c r="Y275" s="88">
        <f>SUMIF(月間集計シート!$M$71:$M$90,$G275,月間集計シート!O$71:O$90)*Y$2</f>
        <v>0</v>
      </c>
      <c r="Z275" s="88">
        <f>SUMIF(月間集計シート!$M$71:$M$90,$G275,月間集計シート!P$71:P$90)*Z$2</f>
        <v>0</v>
      </c>
      <c r="AA275" s="88">
        <f>SUMIF(月間集計シート!$M$71:$M$90,$G275,月間集計シート!Q$71:Q$90)*AA$2</f>
        <v>0</v>
      </c>
      <c r="AB275" s="88">
        <f>SUMIF(月間集計シート!$M$71:$M$90,$G275,月間集計シート!R$71:R$90)*AB$2</f>
        <v>0</v>
      </c>
      <c r="AC275" s="88">
        <f>SUMIF(月間集計シート!$M$71:$M$90,$G275,月間集計シート!S$71:S$90)*AC$2</f>
        <v>0</v>
      </c>
      <c r="AD275" s="88">
        <f>SUMIF(月間集計シート!$M$71:$M$90,$G275,月間集計シート!T$71:T$90)*AD$2</f>
        <v>0</v>
      </c>
      <c r="AE275" s="88">
        <f>SUMIF(月間集計シート!$M$92:$M$111,$G275,月間集計シート!N$92:N$111)*AE$2</f>
        <v>0</v>
      </c>
      <c r="AF275" s="88">
        <f>SUMIF(月間集計シート!$M$92:$M$111,$G275,月間集計シート!O$92:O$111)*AF$2</f>
        <v>0</v>
      </c>
      <c r="AG275" s="88">
        <f>SUMIF(月間集計シート!$M$92:$M$111,$G275,月間集計シート!P$92:P$111)*AG$2</f>
        <v>0</v>
      </c>
      <c r="AH275" s="88">
        <f>SUMIF(月間集計シート!$M$92:$M$111,$G275,月間集計シート!Q$92:Q$111)*AH$2</f>
        <v>0</v>
      </c>
      <c r="AI275" s="88">
        <f>SUMIF(月間集計シート!$M$92:$M$111,$G275,月間集計シート!R$92:R$111)*AI$2</f>
        <v>0</v>
      </c>
      <c r="AJ275" s="88">
        <f>SUMIF(月間集計シート!$M$92:$M$111,$G275,月間集計シート!S$92:S$111)*AJ$2</f>
        <v>0</v>
      </c>
      <c r="AK275" s="88">
        <f>SUMIF(月間集計シート!$M$92:$M$111,$G275,月間集計シート!T$92:T$111)*AK$2</f>
        <v>0</v>
      </c>
      <c r="AL275" s="88">
        <f>SUMIF(月間集計シート!$M$113:$M$132,$G275,月間集計シート!N$113:N$132)*AL$2</f>
        <v>0</v>
      </c>
      <c r="AM275" s="88">
        <f>SUMIF(月間集計シート!$M$113:$M$132,$G275,月間集計シート!O$113:O$132)*AM$2</f>
        <v>0</v>
      </c>
      <c r="AN275" s="88">
        <f>SUMIF(月間集計シート!$M$113:$M$132,$G275,月間集計シート!P$113:P$132)*AN$2</f>
        <v>0</v>
      </c>
      <c r="AO275" s="88">
        <f>SUMIF(月間集計シート!$M$113:$M$132,$G275,月間集計シート!Q$113:Q$132)*AO$2</f>
        <v>0</v>
      </c>
      <c r="AP275" s="88">
        <f>SUMIF(月間集計シート!$M$113:$M$132,$G275,月間集計シート!R$113:R$132)*AP$2</f>
        <v>0</v>
      </c>
      <c r="AQ275" s="88">
        <f>SUMIF(月間集計シート!$M$113:$M$132,$G275,月間集計シート!S$113:S$132)*AQ$2</f>
        <v>0</v>
      </c>
      <c r="AR275" s="88">
        <f>SUMIF(月間集計シート!$M$113:$M$132,$G275,月間集計シート!T$113:T$132)*AR$2</f>
        <v>0</v>
      </c>
      <c r="AS275" s="88">
        <f>SUMIF(月間集計シート!$M$134:$M$153,$G275,月間集計シート!N$134:N$153)*AS$2</f>
        <v>0</v>
      </c>
      <c r="AT275" s="88">
        <f>SUMIF(月間集計シート!$M$134:$M$153,$G275,月間集計シート!O$134:O$153)*AT$2</f>
        <v>0</v>
      </c>
      <c r="AU275" s="88">
        <f>SUMIF(月間集計シート!$M$134:$M$153,$G275,月間集計シート!P$134:P$153)*AU$2</f>
        <v>0</v>
      </c>
      <c r="AV275" s="88">
        <f>SUMIF(月間集計シート!$M$134:$M$153,$G275,月間集計シート!Q$134:Q$153)*AV$2</f>
        <v>0</v>
      </c>
      <c r="AW275" s="88">
        <f>SUMIF(月間集計シート!$M$134:$M$153,$G275,月間集計シート!R$134:R$153)*AW$2</f>
        <v>0</v>
      </c>
      <c r="AX275" s="88">
        <f>SUMIF(月間集計シート!$M$134:$M$153,$G275,月間集計シート!S$134:S$153)*AX$2</f>
        <v>0</v>
      </c>
      <c r="AY275" s="88">
        <f>SUMIF(月間集計シート!$M$134:$M$153,$G275,月間集計シート!T$134:T$153)*AY$2</f>
        <v>0</v>
      </c>
    </row>
    <row r="276" spans="1:51" ht="14.25" thickBot="1">
      <c r="A276">
        <v>4</v>
      </c>
      <c r="B276" s="120">
        <f t="shared" si="132"/>
        <v>0</v>
      </c>
      <c r="C276" s="120" t="str">
        <f t="shared" si="133"/>
        <v/>
      </c>
      <c r="D276" s="137"/>
      <c r="E276" s="150" t="str">
        <f>工種!A13</f>
        <v>20109</v>
      </c>
      <c r="F276" s="119" t="str">
        <f>工種!B13</f>
        <v>設計：QA対応</v>
      </c>
      <c r="G276" s="116" t="str">
        <f t="shared" si="134"/>
        <v>020109</v>
      </c>
      <c r="H276" s="88">
        <f t="shared" si="88"/>
        <v>0</v>
      </c>
      <c r="I276" s="132"/>
      <c r="J276" s="88">
        <f>SUMIF(月間集計シート!$M$29:$M$48,$G276,月間集計シート!N$29:N$48)*J$2</f>
        <v>0</v>
      </c>
      <c r="K276" s="88">
        <f>SUMIF(月間集計シート!$M$29:$M$48,$G276,月間集計シート!O$29:O$48)*K$2</f>
        <v>0</v>
      </c>
      <c r="L276" s="88">
        <f>SUMIF(月間集計シート!$M$29:$M$48,$G276,月間集計シート!P$29:P$48)*L$2</f>
        <v>0</v>
      </c>
      <c r="M276" s="88">
        <f>SUMIF(月間集計シート!$M$29:$M$48,$G276,月間集計シート!Q$29:Q$48)*M$2</f>
        <v>0</v>
      </c>
      <c r="N276" s="88">
        <f>SUMIF(月間集計シート!$M$29:$M$48,$G276,月間集計シート!R$29:R$48)*N$2</f>
        <v>0</v>
      </c>
      <c r="O276" s="88">
        <f>SUMIF(月間集計シート!$M$29:$M$48,$G276,月間集計シート!S$29:S$48)*O$2</f>
        <v>0</v>
      </c>
      <c r="P276" s="88">
        <f>SUMIF(月間集計シート!$M$29:$M$48,$G276,月間集計シート!T$29:T$48)*P$2</f>
        <v>0</v>
      </c>
      <c r="Q276" s="88">
        <f>SUMIF(月間集計シート!$M$50:$M$69,$G276,月間集計シート!N$50:N$69)*Q$2</f>
        <v>0</v>
      </c>
      <c r="R276" s="88">
        <f>SUMIF(月間集計シート!$M$50:$M$69,$G276,月間集計シート!O$50:O$69)*R$2</f>
        <v>0</v>
      </c>
      <c r="S276" s="88">
        <f>SUMIF(月間集計シート!$M$50:$M$69,$G276,月間集計シート!P$50:P$69)*S$2</f>
        <v>0</v>
      </c>
      <c r="T276" s="88">
        <f>SUMIF(月間集計シート!$M$50:$M$69,$G276,月間集計シート!Q$50:Q$69)*T$2</f>
        <v>0</v>
      </c>
      <c r="U276" s="88">
        <f>SUMIF(月間集計シート!$M$50:$M$69,$G276,月間集計シート!R$50:R$69)*U$2</f>
        <v>0</v>
      </c>
      <c r="V276" s="88">
        <f>SUMIF(月間集計シート!$M$50:$M$69,$G276,月間集計シート!S$50:S$69)*V$2</f>
        <v>0</v>
      </c>
      <c r="W276" s="88">
        <f>SUMIF(月間集計シート!$M$50:$M$69,$G276,月間集計シート!T$50:T$69)*W$2</f>
        <v>0</v>
      </c>
      <c r="X276" s="88">
        <f>SUMIF(月間集計シート!$M$71:$M$90,$G276,月間集計シート!N$71:N$90)*X$2</f>
        <v>0</v>
      </c>
      <c r="Y276" s="88">
        <f>SUMIF(月間集計シート!$M$71:$M$90,$G276,月間集計シート!O$71:O$90)*Y$2</f>
        <v>0</v>
      </c>
      <c r="Z276" s="88">
        <f>SUMIF(月間集計シート!$M$71:$M$90,$G276,月間集計シート!P$71:P$90)*Z$2</f>
        <v>0</v>
      </c>
      <c r="AA276" s="88">
        <f>SUMIF(月間集計シート!$M$71:$M$90,$G276,月間集計シート!Q$71:Q$90)*AA$2</f>
        <v>0</v>
      </c>
      <c r="AB276" s="88">
        <f>SUMIF(月間集計シート!$M$71:$M$90,$G276,月間集計シート!R$71:R$90)*AB$2</f>
        <v>0</v>
      </c>
      <c r="AC276" s="88">
        <f>SUMIF(月間集計シート!$M$71:$M$90,$G276,月間集計シート!S$71:S$90)*AC$2</f>
        <v>0</v>
      </c>
      <c r="AD276" s="88">
        <f>SUMIF(月間集計シート!$M$71:$M$90,$G276,月間集計シート!T$71:T$90)*AD$2</f>
        <v>0</v>
      </c>
      <c r="AE276" s="88">
        <f>SUMIF(月間集計シート!$M$92:$M$111,$G276,月間集計シート!N$92:N$111)*AE$2</f>
        <v>0</v>
      </c>
      <c r="AF276" s="88">
        <f>SUMIF(月間集計シート!$M$92:$M$111,$G276,月間集計シート!O$92:O$111)*AF$2</f>
        <v>0</v>
      </c>
      <c r="AG276" s="88">
        <f>SUMIF(月間集計シート!$M$92:$M$111,$G276,月間集計シート!P$92:P$111)*AG$2</f>
        <v>0</v>
      </c>
      <c r="AH276" s="88">
        <f>SUMIF(月間集計シート!$M$92:$M$111,$G276,月間集計シート!Q$92:Q$111)*AH$2</f>
        <v>0</v>
      </c>
      <c r="AI276" s="88">
        <f>SUMIF(月間集計シート!$M$92:$M$111,$G276,月間集計シート!R$92:R$111)*AI$2</f>
        <v>0</v>
      </c>
      <c r="AJ276" s="88">
        <f>SUMIF(月間集計シート!$M$92:$M$111,$G276,月間集計シート!S$92:S$111)*AJ$2</f>
        <v>0</v>
      </c>
      <c r="AK276" s="88">
        <f>SUMIF(月間集計シート!$M$92:$M$111,$G276,月間集計シート!T$92:T$111)*AK$2</f>
        <v>0</v>
      </c>
      <c r="AL276" s="88">
        <f>SUMIF(月間集計シート!$M$113:$M$132,$G276,月間集計シート!N$113:N$132)*AL$2</f>
        <v>0</v>
      </c>
      <c r="AM276" s="88">
        <f>SUMIF(月間集計シート!$M$113:$M$132,$G276,月間集計シート!O$113:O$132)*AM$2</f>
        <v>0</v>
      </c>
      <c r="AN276" s="88">
        <f>SUMIF(月間集計シート!$M$113:$M$132,$G276,月間集計シート!P$113:P$132)*AN$2</f>
        <v>0</v>
      </c>
      <c r="AO276" s="88">
        <f>SUMIF(月間集計シート!$M$113:$M$132,$G276,月間集計シート!Q$113:Q$132)*AO$2</f>
        <v>0</v>
      </c>
      <c r="AP276" s="88">
        <f>SUMIF(月間集計シート!$M$113:$M$132,$G276,月間集計シート!R$113:R$132)*AP$2</f>
        <v>0</v>
      </c>
      <c r="AQ276" s="88">
        <f>SUMIF(月間集計シート!$M$113:$M$132,$G276,月間集計シート!S$113:S$132)*AQ$2</f>
        <v>0</v>
      </c>
      <c r="AR276" s="88">
        <f>SUMIF(月間集計シート!$M$113:$M$132,$G276,月間集計シート!T$113:T$132)*AR$2</f>
        <v>0</v>
      </c>
      <c r="AS276" s="88">
        <f>SUMIF(月間集計シート!$M$134:$M$153,$G276,月間集計シート!N$134:N$153)*AS$2</f>
        <v>0</v>
      </c>
      <c r="AT276" s="88">
        <f>SUMIF(月間集計シート!$M$134:$M$153,$G276,月間集計シート!O$134:O$153)*AT$2</f>
        <v>0</v>
      </c>
      <c r="AU276" s="88">
        <f>SUMIF(月間集計シート!$M$134:$M$153,$G276,月間集計シート!P$134:P$153)*AU$2</f>
        <v>0</v>
      </c>
      <c r="AV276" s="88">
        <f>SUMIF(月間集計シート!$M$134:$M$153,$G276,月間集計シート!Q$134:Q$153)*AV$2</f>
        <v>0</v>
      </c>
      <c r="AW276" s="88">
        <f>SUMIF(月間集計シート!$M$134:$M$153,$G276,月間集計シート!R$134:R$153)*AW$2</f>
        <v>0</v>
      </c>
      <c r="AX276" s="88">
        <f>SUMIF(月間集計シート!$M$134:$M$153,$G276,月間集計シート!S$134:S$153)*AX$2</f>
        <v>0</v>
      </c>
      <c r="AY276" s="88">
        <f>SUMIF(月間集計シート!$M$134:$M$153,$G276,月間集計シート!T$134:T$153)*AY$2</f>
        <v>0</v>
      </c>
    </row>
    <row r="277" spans="1:51" ht="14.25" thickBot="1">
      <c r="A277">
        <v>4</v>
      </c>
      <c r="B277" s="120">
        <f t="shared" si="132"/>
        <v>0</v>
      </c>
      <c r="C277" s="120" t="str">
        <f t="shared" si="133"/>
        <v/>
      </c>
      <c r="D277" s="137"/>
      <c r="E277" s="150" t="str">
        <f>工種!A14</f>
        <v>20199</v>
      </c>
      <c r="F277" s="119" t="str">
        <f>工種!B14</f>
        <v>設計：その他</v>
      </c>
      <c r="G277" s="116" t="str">
        <f t="shared" si="134"/>
        <v>020199</v>
      </c>
      <c r="H277" s="88">
        <f t="shared" si="88"/>
        <v>0</v>
      </c>
      <c r="I277" s="132"/>
      <c r="J277" s="88">
        <f>SUMIF(月間集計シート!$M$29:$M$48,$G277,月間集計シート!N$29:N$48)*J$2</f>
        <v>0</v>
      </c>
      <c r="K277" s="88">
        <f>SUMIF(月間集計シート!$M$29:$M$48,$G277,月間集計シート!O$29:O$48)*K$2</f>
        <v>0</v>
      </c>
      <c r="L277" s="88">
        <f>SUMIF(月間集計シート!$M$29:$M$48,$G277,月間集計シート!P$29:P$48)*L$2</f>
        <v>0</v>
      </c>
      <c r="M277" s="88">
        <f>SUMIF(月間集計シート!$M$29:$M$48,$G277,月間集計シート!Q$29:Q$48)*M$2</f>
        <v>0</v>
      </c>
      <c r="N277" s="88">
        <f>SUMIF(月間集計シート!$M$29:$M$48,$G277,月間集計シート!R$29:R$48)*N$2</f>
        <v>0</v>
      </c>
      <c r="O277" s="88">
        <f>SUMIF(月間集計シート!$M$29:$M$48,$G277,月間集計シート!S$29:S$48)*O$2</f>
        <v>0</v>
      </c>
      <c r="P277" s="88">
        <f>SUMIF(月間集計シート!$M$29:$M$48,$G277,月間集計シート!T$29:T$48)*P$2</f>
        <v>0</v>
      </c>
      <c r="Q277" s="88">
        <f>SUMIF(月間集計シート!$M$50:$M$69,$G277,月間集計シート!N$50:N$69)*Q$2</f>
        <v>0</v>
      </c>
      <c r="R277" s="88">
        <f>SUMIF(月間集計シート!$M$50:$M$69,$G277,月間集計シート!O$50:O$69)*R$2</f>
        <v>0</v>
      </c>
      <c r="S277" s="88">
        <f>SUMIF(月間集計シート!$M$50:$M$69,$G277,月間集計シート!P$50:P$69)*S$2</f>
        <v>0</v>
      </c>
      <c r="T277" s="88">
        <f>SUMIF(月間集計シート!$M$50:$M$69,$G277,月間集計シート!Q$50:Q$69)*T$2</f>
        <v>0</v>
      </c>
      <c r="U277" s="88">
        <f>SUMIF(月間集計シート!$M$50:$M$69,$G277,月間集計シート!R$50:R$69)*U$2</f>
        <v>0</v>
      </c>
      <c r="V277" s="88">
        <f>SUMIF(月間集計シート!$M$50:$M$69,$G277,月間集計シート!S$50:S$69)*V$2</f>
        <v>0</v>
      </c>
      <c r="W277" s="88">
        <f>SUMIF(月間集計シート!$M$50:$M$69,$G277,月間集計シート!T$50:T$69)*W$2</f>
        <v>0</v>
      </c>
      <c r="X277" s="88">
        <f>SUMIF(月間集計シート!$M$71:$M$90,$G277,月間集計シート!N$71:N$90)*X$2</f>
        <v>0</v>
      </c>
      <c r="Y277" s="88">
        <f>SUMIF(月間集計シート!$M$71:$M$90,$G277,月間集計シート!O$71:O$90)*Y$2</f>
        <v>0</v>
      </c>
      <c r="Z277" s="88">
        <f>SUMIF(月間集計シート!$M$71:$M$90,$G277,月間集計シート!P$71:P$90)*Z$2</f>
        <v>0</v>
      </c>
      <c r="AA277" s="88">
        <f>SUMIF(月間集計シート!$M$71:$M$90,$G277,月間集計シート!Q$71:Q$90)*AA$2</f>
        <v>0</v>
      </c>
      <c r="AB277" s="88">
        <f>SUMIF(月間集計シート!$M$71:$M$90,$G277,月間集計シート!R$71:R$90)*AB$2</f>
        <v>0</v>
      </c>
      <c r="AC277" s="88">
        <f>SUMIF(月間集計シート!$M$71:$M$90,$G277,月間集計シート!S$71:S$90)*AC$2</f>
        <v>0</v>
      </c>
      <c r="AD277" s="88">
        <f>SUMIF(月間集計シート!$M$71:$M$90,$G277,月間集計シート!T$71:T$90)*AD$2</f>
        <v>0</v>
      </c>
      <c r="AE277" s="88">
        <f>SUMIF(月間集計シート!$M$92:$M$111,$G277,月間集計シート!N$92:N$111)*AE$2</f>
        <v>0</v>
      </c>
      <c r="AF277" s="88">
        <f>SUMIF(月間集計シート!$M$92:$M$111,$G277,月間集計シート!O$92:O$111)*AF$2</f>
        <v>0</v>
      </c>
      <c r="AG277" s="88">
        <f>SUMIF(月間集計シート!$M$92:$M$111,$G277,月間集計シート!P$92:P$111)*AG$2</f>
        <v>0</v>
      </c>
      <c r="AH277" s="88">
        <f>SUMIF(月間集計シート!$M$92:$M$111,$G277,月間集計シート!Q$92:Q$111)*AH$2</f>
        <v>0</v>
      </c>
      <c r="AI277" s="88">
        <f>SUMIF(月間集計シート!$M$92:$M$111,$G277,月間集計シート!R$92:R$111)*AI$2</f>
        <v>0</v>
      </c>
      <c r="AJ277" s="88">
        <f>SUMIF(月間集計シート!$M$92:$M$111,$G277,月間集計シート!S$92:S$111)*AJ$2</f>
        <v>0</v>
      </c>
      <c r="AK277" s="88">
        <f>SUMIF(月間集計シート!$M$92:$M$111,$G277,月間集計シート!T$92:T$111)*AK$2</f>
        <v>0</v>
      </c>
      <c r="AL277" s="88">
        <f>SUMIF(月間集計シート!$M$113:$M$132,$G277,月間集計シート!N$113:N$132)*AL$2</f>
        <v>0</v>
      </c>
      <c r="AM277" s="88">
        <f>SUMIF(月間集計シート!$M$113:$M$132,$G277,月間集計シート!O$113:O$132)*AM$2</f>
        <v>0</v>
      </c>
      <c r="AN277" s="88">
        <f>SUMIF(月間集計シート!$M$113:$M$132,$G277,月間集計シート!P$113:P$132)*AN$2</f>
        <v>0</v>
      </c>
      <c r="AO277" s="88">
        <f>SUMIF(月間集計シート!$M$113:$M$132,$G277,月間集計シート!Q$113:Q$132)*AO$2</f>
        <v>0</v>
      </c>
      <c r="AP277" s="88">
        <f>SUMIF(月間集計シート!$M$113:$M$132,$G277,月間集計シート!R$113:R$132)*AP$2</f>
        <v>0</v>
      </c>
      <c r="AQ277" s="88">
        <f>SUMIF(月間集計シート!$M$113:$M$132,$G277,月間集計シート!S$113:S$132)*AQ$2</f>
        <v>0</v>
      </c>
      <c r="AR277" s="88">
        <f>SUMIF(月間集計シート!$M$113:$M$132,$G277,月間集計シート!T$113:T$132)*AR$2</f>
        <v>0</v>
      </c>
      <c r="AS277" s="88">
        <f>SUMIF(月間集計シート!$M$134:$M$153,$G277,月間集計シート!N$134:N$153)*AS$2</f>
        <v>0</v>
      </c>
      <c r="AT277" s="88">
        <f>SUMIF(月間集計シート!$M$134:$M$153,$G277,月間集計シート!O$134:O$153)*AT$2</f>
        <v>0</v>
      </c>
      <c r="AU277" s="88">
        <f>SUMIF(月間集計シート!$M$134:$M$153,$G277,月間集計シート!P$134:P$153)*AU$2</f>
        <v>0</v>
      </c>
      <c r="AV277" s="88">
        <f>SUMIF(月間集計シート!$M$134:$M$153,$G277,月間集計シート!Q$134:Q$153)*AV$2</f>
        <v>0</v>
      </c>
      <c r="AW277" s="88">
        <f>SUMIF(月間集計シート!$M$134:$M$153,$G277,月間集計シート!R$134:R$153)*AW$2</f>
        <v>0</v>
      </c>
      <c r="AX277" s="88">
        <f>SUMIF(月間集計シート!$M$134:$M$153,$G277,月間集計シート!S$134:S$153)*AX$2</f>
        <v>0</v>
      </c>
      <c r="AY277" s="88">
        <f>SUMIF(月間集計シート!$M$134:$M$153,$G277,月間集計シート!T$134:T$153)*AY$2</f>
        <v>0</v>
      </c>
    </row>
    <row r="278" spans="1:51" ht="14.25" thickBot="1">
      <c r="A278">
        <v>4</v>
      </c>
      <c r="B278" s="120">
        <f t="shared" si="132"/>
        <v>0</v>
      </c>
      <c r="C278" s="120" t="str">
        <f t="shared" si="133"/>
        <v/>
      </c>
      <c r="D278" s="137"/>
      <c r="E278" s="150" t="str">
        <f>工種!A15</f>
        <v>30101</v>
      </c>
      <c r="F278" s="119" t="str">
        <f>工種!B15</f>
        <v>製造：内部設計書作成</v>
      </c>
      <c r="G278" s="116" t="str">
        <f t="shared" si="134"/>
        <v>030101</v>
      </c>
      <c r="H278" s="88">
        <f t="shared" si="88"/>
        <v>0</v>
      </c>
      <c r="I278" s="132"/>
      <c r="J278" s="88">
        <f>SUMIF(月間集計シート!$M$29:$M$48,$G278,月間集計シート!N$29:N$48)*J$2</f>
        <v>0</v>
      </c>
      <c r="K278" s="88">
        <f>SUMIF(月間集計シート!$M$29:$M$48,$G278,月間集計シート!O$29:O$48)*K$2</f>
        <v>0</v>
      </c>
      <c r="L278" s="88">
        <f>SUMIF(月間集計シート!$M$29:$M$48,$G278,月間集計シート!P$29:P$48)*L$2</f>
        <v>0</v>
      </c>
      <c r="M278" s="88">
        <f>SUMIF(月間集計シート!$M$29:$M$48,$G278,月間集計シート!Q$29:Q$48)*M$2</f>
        <v>0</v>
      </c>
      <c r="N278" s="88">
        <f>SUMIF(月間集計シート!$M$29:$M$48,$G278,月間集計シート!R$29:R$48)*N$2</f>
        <v>0</v>
      </c>
      <c r="O278" s="88">
        <f>SUMIF(月間集計シート!$M$29:$M$48,$G278,月間集計シート!S$29:S$48)*O$2</f>
        <v>0</v>
      </c>
      <c r="P278" s="88">
        <f>SUMIF(月間集計シート!$M$29:$M$48,$G278,月間集計シート!T$29:T$48)*P$2</f>
        <v>0</v>
      </c>
      <c r="Q278" s="88">
        <f>SUMIF(月間集計シート!$M$50:$M$69,$G278,月間集計シート!N$50:N$69)*Q$2</f>
        <v>0</v>
      </c>
      <c r="R278" s="88">
        <f>SUMIF(月間集計シート!$M$50:$M$69,$G278,月間集計シート!O$50:O$69)*R$2</f>
        <v>0</v>
      </c>
      <c r="S278" s="88">
        <f>SUMIF(月間集計シート!$M$50:$M$69,$G278,月間集計シート!P$50:P$69)*S$2</f>
        <v>0</v>
      </c>
      <c r="T278" s="88">
        <f>SUMIF(月間集計シート!$M$50:$M$69,$G278,月間集計シート!Q$50:Q$69)*T$2</f>
        <v>0</v>
      </c>
      <c r="U278" s="88">
        <f>SUMIF(月間集計シート!$M$50:$M$69,$G278,月間集計シート!R$50:R$69)*U$2</f>
        <v>0</v>
      </c>
      <c r="V278" s="88">
        <f>SUMIF(月間集計シート!$M$50:$M$69,$G278,月間集計シート!S$50:S$69)*V$2</f>
        <v>0</v>
      </c>
      <c r="W278" s="88">
        <f>SUMIF(月間集計シート!$M$50:$M$69,$G278,月間集計シート!T$50:T$69)*W$2</f>
        <v>0</v>
      </c>
      <c r="X278" s="88">
        <f>SUMIF(月間集計シート!$M$71:$M$90,$G278,月間集計シート!N$71:N$90)*X$2</f>
        <v>0</v>
      </c>
      <c r="Y278" s="88">
        <f>SUMIF(月間集計シート!$M$71:$M$90,$G278,月間集計シート!O$71:O$90)*Y$2</f>
        <v>0</v>
      </c>
      <c r="Z278" s="88">
        <f>SUMIF(月間集計シート!$M$71:$M$90,$G278,月間集計シート!P$71:P$90)*Z$2</f>
        <v>0</v>
      </c>
      <c r="AA278" s="88">
        <f>SUMIF(月間集計シート!$M$71:$M$90,$G278,月間集計シート!Q$71:Q$90)*AA$2</f>
        <v>0</v>
      </c>
      <c r="AB278" s="88">
        <f>SUMIF(月間集計シート!$M$71:$M$90,$G278,月間集計シート!R$71:R$90)*AB$2</f>
        <v>0</v>
      </c>
      <c r="AC278" s="88">
        <f>SUMIF(月間集計シート!$M$71:$M$90,$G278,月間集計シート!S$71:S$90)*AC$2</f>
        <v>0</v>
      </c>
      <c r="AD278" s="88">
        <f>SUMIF(月間集計シート!$M$71:$M$90,$G278,月間集計シート!T$71:T$90)*AD$2</f>
        <v>0</v>
      </c>
      <c r="AE278" s="88">
        <f>SUMIF(月間集計シート!$M$92:$M$111,$G278,月間集計シート!N$92:N$111)*AE$2</f>
        <v>0</v>
      </c>
      <c r="AF278" s="88">
        <f>SUMIF(月間集計シート!$M$92:$M$111,$G278,月間集計シート!O$92:O$111)*AF$2</f>
        <v>0</v>
      </c>
      <c r="AG278" s="88">
        <f>SUMIF(月間集計シート!$M$92:$M$111,$G278,月間集計シート!P$92:P$111)*AG$2</f>
        <v>0</v>
      </c>
      <c r="AH278" s="88">
        <f>SUMIF(月間集計シート!$M$92:$M$111,$G278,月間集計シート!Q$92:Q$111)*AH$2</f>
        <v>0</v>
      </c>
      <c r="AI278" s="88">
        <f>SUMIF(月間集計シート!$M$92:$M$111,$G278,月間集計シート!R$92:R$111)*AI$2</f>
        <v>0</v>
      </c>
      <c r="AJ278" s="88">
        <f>SUMIF(月間集計シート!$M$92:$M$111,$G278,月間集計シート!S$92:S$111)*AJ$2</f>
        <v>0</v>
      </c>
      <c r="AK278" s="88">
        <f>SUMIF(月間集計シート!$M$92:$M$111,$G278,月間集計シート!T$92:T$111)*AK$2</f>
        <v>0</v>
      </c>
      <c r="AL278" s="88">
        <f>SUMIF(月間集計シート!$M$113:$M$132,$G278,月間集計シート!N$113:N$132)*AL$2</f>
        <v>0</v>
      </c>
      <c r="AM278" s="88">
        <f>SUMIF(月間集計シート!$M$113:$M$132,$G278,月間集計シート!O$113:O$132)*AM$2</f>
        <v>0</v>
      </c>
      <c r="AN278" s="88">
        <f>SUMIF(月間集計シート!$M$113:$M$132,$G278,月間集計シート!P$113:P$132)*AN$2</f>
        <v>0</v>
      </c>
      <c r="AO278" s="88">
        <f>SUMIF(月間集計シート!$M$113:$M$132,$G278,月間集計シート!Q$113:Q$132)*AO$2</f>
        <v>0</v>
      </c>
      <c r="AP278" s="88">
        <f>SUMIF(月間集計シート!$M$113:$M$132,$G278,月間集計シート!R$113:R$132)*AP$2</f>
        <v>0</v>
      </c>
      <c r="AQ278" s="88">
        <f>SUMIF(月間集計シート!$M$113:$M$132,$G278,月間集計シート!S$113:S$132)*AQ$2</f>
        <v>0</v>
      </c>
      <c r="AR278" s="88">
        <f>SUMIF(月間集計シート!$M$113:$M$132,$G278,月間集計シート!T$113:T$132)*AR$2</f>
        <v>0</v>
      </c>
      <c r="AS278" s="88">
        <f>SUMIF(月間集計シート!$M$134:$M$153,$G278,月間集計シート!N$134:N$153)*AS$2</f>
        <v>0</v>
      </c>
      <c r="AT278" s="88">
        <f>SUMIF(月間集計シート!$M$134:$M$153,$G278,月間集計シート!O$134:O$153)*AT$2</f>
        <v>0</v>
      </c>
      <c r="AU278" s="88">
        <f>SUMIF(月間集計シート!$M$134:$M$153,$G278,月間集計シート!P$134:P$153)*AU$2</f>
        <v>0</v>
      </c>
      <c r="AV278" s="88">
        <f>SUMIF(月間集計シート!$M$134:$M$153,$G278,月間集計シート!Q$134:Q$153)*AV$2</f>
        <v>0</v>
      </c>
      <c r="AW278" s="88">
        <f>SUMIF(月間集計シート!$M$134:$M$153,$G278,月間集計シート!R$134:R$153)*AW$2</f>
        <v>0</v>
      </c>
      <c r="AX278" s="88">
        <f>SUMIF(月間集計シート!$M$134:$M$153,$G278,月間集計シート!S$134:S$153)*AX$2</f>
        <v>0</v>
      </c>
      <c r="AY278" s="88">
        <f>SUMIF(月間集計シート!$M$134:$M$153,$G278,月間集計シート!T$134:T$153)*AY$2</f>
        <v>0</v>
      </c>
    </row>
    <row r="279" spans="1:51" ht="14.25" thickBot="1">
      <c r="A279">
        <v>4</v>
      </c>
      <c r="B279" s="120">
        <f t="shared" si="132"/>
        <v>0</v>
      </c>
      <c r="C279" s="120" t="str">
        <f t="shared" si="133"/>
        <v/>
      </c>
      <c r="D279" s="137"/>
      <c r="E279" s="150" t="str">
        <f>工種!A16</f>
        <v>30102</v>
      </c>
      <c r="F279" s="119" t="str">
        <f>工種!B16</f>
        <v>製造：コーディング</v>
      </c>
      <c r="G279" s="116" t="str">
        <f t="shared" si="134"/>
        <v>030102</v>
      </c>
      <c r="H279" s="88">
        <f t="shared" si="88"/>
        <v>0</v>
      </c>
      <c r="I279" s="132"/>
      <c r="J279" s="88">
        <f>SUMIF(月間集計シート!$M$29:$M$48,$G279,月間集計シート!N$29:N$48)*J$2</f>
        <v>0</v>
      </c>
      <c r="K279" s="88">
        <f>SUMIF(月間集計シート!$M$29:$M$48,$G279,月間集計シート!O$29:O$48)*K$2</f>
        <v>0</v>
      </c>
      <c r="L279" s="88">
        <f>SUMIF(月間集計シート!$M$29:$M$48,$G279,月間集計シート!P$29:P$48)*L$2</f>
        <v>0</v>
      </c>
      <c r="M279" s="88">
        <f>SUMIF(月間集計シート!$M$29:$M$48,$G279,月間集計シート!Q$29:Q$48)*M$2</f>
        <v>0</v>
      </c>
      <c r="N279" s="88">
        <f>SUMIF(月間集計シート!$M$29:$M$48,$G279,月間集計シート!R$29:R$48)*N$2</f>
        <v>0</v>
      </c>
      <c r="O279" s="88">
        <f>SUMIF(月間集計シート!$M$29:$M$48,$G279,月間集計シート!S$29:S$48)*O$2</f>
        <v>0</v>
      </c>
      <c r="P279" s="88">
        <f>SUMIF(月間集計シート!$M$29:$M$48,$G279,月間集計シート!T$29:T$48)*P$2</f>
        <v>0</v>
      </c>
      <c r="Q279" s="88">
        <f>SUMIF(月間集計シート!$M$50:$M$69,$G279,月間集計シート!N$50:N$69)*Q$2</f>
        <v>0</v>
      </c>
      <c r="R279" s="88">
        <f>SUMIF(月間集計シート!$M$50:$M$69,$G279,月間集計シート!O$50:O$69)*R$2</f>
        <v>0</v>
      </c>
      <c r="S279" s="88">
        <f>SUMIF(月間集計シート!$M$50:$M$69,$G279,月間集計シート!P$50:P$69)*S$2</f>
        <v>0</v>
      </c>
      <c r="T279" s="88">
        <f>SUMIF(月間集計シート!$M$50:$M$69,$G279,月間集計シート!Q$50:Q$69)*T$2</f>
        <v>0</v>
      </c>
      <c r="U279" s="88">
        <f>SUMIF(月間集計シート!$M$50:$M$69,$G279,月間集計シート!R$50:R$69)*U$2</f>
        <v>0</v>
      </c>
      <c r="V279" s="88">
        <f>SUMIF(月間集計シート!$M$50:$M$69,$G279,月間集計シート!S$50:S$69)*V$2</f>
        <v>0</v>
      </c>
      <c r="W279" s="88">
        <f>SUMIF(月間集計シート!$M$50:$M$69,$G279,月間集計シート!T$50:T$69)*W$2</f>
        <v>0</v>
      </c>
      <c r="X279" s="88">
        <f>SUMIF(月間集計シート!$M$71:$M$90,$G279,月間集計シート!N$71:N$90)*X$2</f>
        <v>0</v>
      </c>
      <c r="Y279" s="88">
        <f>SUMIF(月間集計シート!$M$71:$M$90,$G279,月間集計シート!O$71:O$90)*Y$2</f>
        <v>0</v>
      </c>
      <c r="Z279" s="88">
        <f>SUMIF(月間集計シート!$M$71:$M$90,$G279,月間集計シート!P$71:P$90)*Z$2</f>
        <v>0</v>
      </c>
      <c r="AA279" s="88">
        <f>SUMIF(月間集計シート!$M$71:$M$90,$G279,月間集計シート!Q$71:Q$90)*AA$2</f>
        <v>0</v>
      </c>
      <c r="AB279" s="88">
        <f>SUMIF(月間集計シート!$M$71:$M$90,$G279,月間集計シート!R$71:R$90)*AB$2</f>
        <v>0</v>
      </c>
      <c r="AC279" s="88">
        <f>SUMIF(月間集計シート!$M$71:$M$90,$G279,月間集計シート!S$71:S$90)*AC$2</f>
        <v>0</v>
      </c>
      <c r="AD279" s="88">
        <f>SUMIF(月間集計シート!$M$71:$M$90,$G279,月間集計シート!T$71:T$90)*AD$2</f>
        <v>0</v>
      </c>
      <c r="AE279" s="88">
        <f>SUMIF(月間集計シート!$M$92:$M$111,$G279,月間集計シート!N$92:N$111)*AE$2</f>
        <v>0</v>
      </c>
      <c r="AF279" s="88">
        <f>SUMIF(月間集計シート!$M$92:$M$111,$G279,月間集計シート!O$92:O$111)*AF$2</f>
        <v>0</v>
      </c>
      <c r="AG279" s="88">
        <f>SUMIF(月間集計シート!$M$92:$M$111,$G279,月間集計シート!P$92:P$111)*AG$2</f>
        <v>0</v>
      </c>
      <c r="AH279" s="88">
        <f>SUMIF(月間集計シート!$M$92:$M$111,$G279,月間集計シート!Q$92:Q$111)*AH$2</f>
        <v>0</v>
      </c>
      <c r="AI279" s="88">
        <f>SUMIF(月間集計シート!$M$92:$M$111,$G279,月間集計シート!R$92:R$111)*AI$2</f>
        <v>0</v>
      </c>
      <c r="AJ279" s="88">
        <f>SUMIF(月間集計シート!$M$92:$M$111,$G279,月間集計シート!S$92:S$111)*AJ$2</f>
        <v>0</v>
      </c>
      <c r="AK279" s="88">
        <f>SUMIF(月間集計シート!$M$92:$M$111,$G279,月間集計シート!T$92:T$111)*AK$2</f>
        <v>0</v>
      </c>
      <c r="AL279" s="88">
        <f>SUMIF(月間集計シート!$M$113:$M$132,$G279,月間集計シート!N$113:N$132)*AL$2</f>
        <v>0</v>
      </c>
      <c r="AM279" s="88">
        <f>SUMIF(月間集計シート!$M$113:$M$132,$G279,月間集計シート!O$113:O$132)*AM$2</f>
        <v>0</v>
      </c>
      <c r="AN279" s="88">
        <f>SUMIF(月間集計シート!$M$113:$M$132,$G279,月間集計シート!P$113:P$132)*AN$2</f>
        <v>0</v>
      </c>
      <c r="AO279" s="88">
        <f>SUMIF(月間集計シート!$M$113:$M$132,$G279,月間集計シート!Q$113:Q$132)*AO$2</f>
        <v>0</v>
      </c>
      <c r="AP279" s="88">
        <f>SUMIF(月間集計シート!$M$113:$M$132,$G279,月間集計シート!R$113:R$132)*AP$2</f>
        <v>0</v>
      </c>
      <c r="AQ279" s="88">
        <f>SUMIF(月間集計シート!$M$113:$M$132,$G279,月間集計シート!S$113:S$132)*AQ$2</f>
        <v>0</v>
      </c>
      <c r="AR279" s="88">
        <f>SUMIF(月間集計シート!$M$113:$M$132,$G279,月間集計シート!T$113:T$132)*AR$2</f>
        <v>0</v>
      </c>
      <c r="AS279" s="88">
        <f>SUMIF(月間集計シート!$M$134:$M$153,$G279,月間集計シート!N$134:N$153)*AS$2</f>
        <v>0</v>
      </c>
      <c r="AT279" s="88">
        <f>SUMIF(月間集計シート!$M$134:$M$153,$G279,月間集計シート!O$134:O$153)*AT$2</f>
        <v>0</v>
      </c>
      <c r="AU279" s="88">
        <f>SUMIF(月間集計シート!$M$134:$M$153,$G279,月間集計シート!P$134:P$153)*AU$2</f>
        <v>0</v>
      </c>
      <c r="AV279" s="88">
        <f>SUMIF(月間集計シート!$M$134:$M$153,$G279,月間集計シート!Q$134:Q$153)*AV$2</f>
        <v>0</v>
      </c>
      <c r="AW279" s="88">
        <f>SUMIF(月間集計シート!$M$134:$M$153,$G279,月間集計シート!R$134:R$153)*AW$2</f>
        <v>0</v>
      </c>
      <c r="AX279" s="88">
        <f>SUMIF(月間集計シート!$M$134:$M$153,$G279,月間集計シート!S$134:S$153)*AX$2</f>
        <v>0</v>
      </c>
      <c r="AY279" s="88">
        <f>SUMIF(月間集計シート!$M$134:$M$153,$G279,月間集計シート!T$134:T$153)*AY$2</f>
        <v>0</v>
      </c>
    </row>
    <row r="280" spans="1:51" ht="14.25" thickBot="1">
      <c r="A280">
        <v>4</v>
      </c>
      <c r="B280" s="120">
        <f t="shared" si="132"/>
        <v>0</v>
      </c>
      <c r="C280" s="120" t="str">
        <f t="shared" si="133"/>
        <v/>
      </c>
      <c r="D280" s="137"/>
      <c r="E280" s="150" t="str">
        <f>工種!A17</f>
        <v>30103</v>
      </c>
      <c r="F280" s="119" t="str">
        <f>工種!B17</f>
        <v>製造：単体テスト設計書作成</v>
      </c>
      <c r="G280" s="116" t="str">
        <f t="shared" si="134"/>
        <v>030103</v>
      </c>
      <c r="H280" s="88">
        <f t="shared" si="88"/>
        <v>0</v>
      </c>
      <c r="I280" s="132"/>
      <c r="J280" s="88">
        <f>SUMIF(月間集計シート!$M$29:$M$48,$G280,月間集計シート!N$29:N$48)*J$2</f>
        <v>0</v>
      </c>
      <c r="K280" s="88">
        <f>SUMIF(月間集計シート!$M$29:$M$48,$G280,月間集計シート!O$29:O$48)*K$2</f>
        <v>0</v>
      </c>
      <c r="L280" s="88">
        <f>SUMIF(月間集計シート!$M$29:$M$48,$G280,月間集計シート!P$29:P$48)*L$2</f>
        <v>0</v>
      </c>
      <c r="M280" s="88">
        <f>SUMIF(月間集計シート!$M$29:$M$48,$G280,月間集計シート!Q$29:Q$48)*M$2</f>
        <v>0</v>
      </c>
      <c r="N280" s="88">
        <f>SUMIF(月間集計シート!$M$29:$M$48,$G280,月間集計シート!R$29:R$48)*N$2</f>
        <v>0</v>
      </c>
      <c r="O280" s="88">
        <f>SUMIF(月間集計シート!$M$29:$M$48,$G280,月間集計シート!S$29:S$48)*O$2</f>
        <v>0</v>
      </c>
      <c r="P280" s="88">
        <f>SUMIF(月間集計シート!$M$29:$M$48,$G280,月間集計シート!T$29:T$48)*P$2</f>
        <v>0</v>
      </c>
      <c r="Q280" s="88">
        <f>SUMIF(月間集計シート!$M$50:$M$69,$G280,月間集計シート!N$50:N$69)*Q$2</f>
        <v>0</v>
      </c>
      <c r="R280" s="88">
        <f>SUMIF(月間集計シート!$M$50:$M$69,$G280,月間集計シート!O$50:O$69)*R$2</f>
        <v>0</v>
      </c>
      <c r="S280" s="88">
        <f>SUMIF(月間集計シート!$M$50:$M$69,$G280,月間集計シート!P$50:P$69)*S$2</f>
        <v>0</v>
      </c>
      <c r="T280" s="88">
        <f>SUMIF(月間集計シート!$M$50:$M$69,$G280,月間集計シート!Q$50:Q$69)*T$2</f>
        <v>0</v>
      </c>
      <c r="U280" s="88">
        <f>SUMIF(月間集計シート!$M$50:$M$69,$G280,月間集計シート!R$50:R$69)*U$2</f>
        <v>0</v>
      </c>
      <c r="V280" s="88">
        <f>SUMIF(月間集計シート!$M$50:$M$69,$G280,月間集計シート!S$50:S$69)*V$2</f>
        <v>0</v>
      </c>
      <c r="W280" s="88">
        <f>SUMIF(月間集計シート!$M$50:$M$69,$G280,月間集計シート!T$50:T$69)*W$2</f>
        <v>0</v>
      </c>
      <c r="X280" s="88">
        <f>SUMIF(月間集計シート!$M$71:$M$90,$G280,月間集計シート!N$71:N$90)*X$2</f>
        <v>0</v>
      </c>
      <c r="Y280" s="88">
        <f>SUMIF(月間集計シート!$M$71:$M$90,$G280,月間集計シート!O$71:O$90)*Y$2</f>
        <v>0</v>
      </c>
      <c r="Z280" s="88">
        <f>SUMIF(月間集計シート!$M$71:$M$90,$G280,月間集計シート!P$71:P$90)*Z$2</f>
        <v>0</v>
      </c>
      <c r="AA280" s="88">
        <f>SUMIF(月間集計シート!$M$71:$M$90,$G280,月間集計シート!Q$71:Q$90)*AA$2</f>
        <v>0</v>
      </c>
      <c r="AB280" s="88">
        <f>SUMIF(月間集計シート!$M$71:$M$90,$G280,月間集計シート!R$71:R$90)*AB$2</f>
        <v>0</v>
      </c>
      <c r="AC280" s="88">
        <f>SUMIF(月間集計シート!$M$71:$M$90,$G280,月間集計シート!S$71:S$90)*AC$2</f>
        <v>0</v>
      </c>
      <c r="AD280" s="88">
        <f>SUMIF(月間集計シート!$M$71:$M$90,$G280,月間集計シート!T$71:T$90)*AD$2</f>
        <v>0</v>
      </c>
      <c r="AE280" s="88">
        <f>SUMIF(月間集計シート!$M$92:$M$111,$G280,月間集計シート!N$92:N$111)*AE$2</f>
        <v>0</v>
      </c>
      <c r="AF280" s="88">
        <f>SUMIF(月間集計シート!$M$92:$M$111,$G280,月間集計シート!O$92:O$111)*AF$2</f>
        <v>0</v>
      </c>
      <c r="AG280" s="88">
        <f>SUMIF(月間集計シート!$M$92:$M$111,$G280,月間集計シート!P$92:P$111)*AG$2</f>
        <v>0</v>
      </c>
      <c r="AH280" s="88">
        <f>SUMIF(月間集計シート!$M$92:$M$111,$G280,月間集計シート!Q$92:Q$111)*AH$2</f>
        <v>0</v>
      </c>
      <c r="AI280" s="88">
        <f>SUMIF(月間集計シート!$M$92:$M$111,$G280,月間集計シート!R$92:R$111)*AI$2</f>
        <v>0</v>
      </c>
      <c r="AJ280" s="88">
        <f>SUMIF(月間集計シート!$M$92:$M$111,$G280,月間集計シート!S$92:S$111)*AJ$2</f>
        <v>0</v>
      </c>
      <c r="AK280" s="88">
        <f>SUMIF(月間集計シート!$M$92:$M$111,$G280,月間集計シート!T$92:T$111)*AK$2</f>
        <v>0</v>
      </c>
      <c r="AL280" s="88">
        <f>SUMIF(月間集計シート!$M$113:$M$132,$G280,月間集計シート!N$113:N$132)*AL$2</f>
        <v>0</v>
      </c>
      <c r="AM280" s="88">
        <f>SUMIF(月間集計シート!$M$113:$M$132,$G280,月間集計シート!O$113:O$132)*AM$2</f>
        <v>0</v>
      </c>
      <c r="AN280" s="88">
        <f>SUMIF(月間集計シート!$M$113:$M$132,$G280,月間集計シート!P$113:P$132)*AN$2</f>
        <v>0</v>
      </c>
      <c r="AO280" s="88">
        <f>SUMIF(月間集計シート!$M$113:$M$132,$G280,月間集計シート!Q$113:Q$132)*AO$2</f>
        <v>0</v>
      </c>
      <c r="AP280" s="88">
        <f>SUMIF(月間集計シート!$M$113:$M$132,$G280,月間集計シート!R$113:R$132)*AP$2</f>
        <v>0</v>
      </c>
      <c r="AQ280" s="88">
        <f>SUMIF(月間集計シート!$M$113:$M$132,$G280,月間集計シート!S$113:S$132)*AQ$2</f>
        <v>0</v>
      </c>
      <c r="AR280" s="88">
        <f>SUMIF(月間集計シート!$M$113:$M$132,$G280,月間集計シート!T$113:T$132)*AR$2</f>
        <v>0</v>
      </c>
      <c r="AS280" s="88">
        <f>SUMIF(月間集計シート!$M$134:$M$153,$G280,月間集計シート!N$134:N$153)*AS$2</f>
        <v>0</v>
      </c>
      <c r="AT280" s="88">
        <f>SUMIF(月間集計シート!$M$134:$M$153,$G280,月間集計シート!O$134:O$153)*AT$2</f>
        <v>0</v>
      </c>
      <c r="AU280" s="88">
        <f>SUMIF(月間集計シート!$M$134:$M$153,$G280,月間集計シート!P$134:P$153)*AU$2</f>
        <v>0</v>
      </c>
      <c r="AV280" s="88">
        <f>SUMIF(月間集計シート!$M$134:$M$153,$G280,月間集計シート!Q$134:Q$153)*AV$2</f>
        <v>0</v>
      </c>
      <c r="AW280" s="88">
        <f>SUMIF(月間集計シート!$M$134:$M$153,$G280,月間集計シート!R$134:R$153)*AW$2</f>
        <v>0</v>
      </c>
      <c r="AX280" s="88">
        <f>SUMIF(月間集計シート!$M$134:$M$153,$G280,月間集計シート!S$134:S$153)*AX$2</f>
        <v>0</v>
      </c>
      <c r="AY280" s="88">
        <f>SUMIF(月間集計シート!$M$134:$M$153,$G280,月間集計シート!T$134:T$153)*AY$2</f>
        <v>0</v>
      </c>
    </row>
    <row r="281" spans="1:51" ht="14.25" thickBot="1">
      <c r="A281">
        <v>4</v>
      </c>
      <c r="B281" s="120">
        <f t="shared" si="132"/>
        <v>0</v>
      </c>
      <c r="C281" s="120" t="str">
        <f t="shared" si="133"/>
        <v/>
      </c>
      <c r="D281" s="137">
        <v>1</v>
      </c>
      <c r="E281" s="150" t="str">
        <f>工種!A18</f>
        <v>30104</v>
      </c>
      <c r="F281" s="119" t="str">
        <f>工種!B18</f>
        <v>製造：単体テスト実施</v>
      </c>
      <c r="G281" s="116" t="str">
        <f t="shared" si="134"/>
        <v>030104</v>
      </c>
      <c r="H281" s="88">
        <f t="shared" si="88"/>
        <v>0</v>
      </c>
      <c r="I281" s="132"/>
      <c r="J281" s="88">
        <f>SUMIF(月間集計シート!$M$29:$M$48,$G281,月間集計シート!N$29:N$48)*J$2</f>
        <v>0</v>
      </c>
      <c r="K281" s="88">
        <f>SUMIF(月間集計シート!$M$29:$M$48,$G281,月間集計シート!O$29:O$48)*K$2</f>
        <v>0</v>
      </c>
      <c r="L281" s="88">
        <f>SUMIF(月間集計シート!$M$29:$M$48,$G281,月間集計シート!P$29:P$48)*L$2</f>
        <v>0</v>
      </c>
      <c r="M281" s="88">
        <f>SUMIF(月間集計シート!$M$29:$M$48,$G281,月間集計シート!Q$29:Q$48)*M$2</f>
        <v>0</v>
      </c>
      <c r="N281" s="88">
        <f>SUMIF(月間集計シート!$M$29:$M$48,$G281,月間集計シート!R$29:R$48)*N$2</f>
        <v>0</v>
      </c>
      <c r="O281" s="88">
        <f>SUMIF(月間集計シート!$M$29:$M$48,$G281,月間集計シート!S$29:S$48)*O$2</f>
        <v>0</v>
      </c>
      <c r="P281" s="88">
        <f>SUMIF(月間集計シート!$M$29:$M$48,$G281,月間集計シート!T$29:T$48)*P$2</f>
        <v>0</v>
      </c>
      <c r="Q281" s="88">
        <f>SUMIF(月間集計シート!$M$50:$M$69,$G281,月間集計シート!N$50:N$69)*Q$2</f>
        <v>0</v>
      </c>
      <c r="R281" s="88">
        <f>SUMIF(月間集計シート!$M$50:$M$69,$G281,月間集計シート!O$50:O$69)*R$2</f>
        <v>0</v>
      </c>
      <c r="S281" s="88">
        <f>SUMIF(月間集計シート!$M$50:$M$69,$G281,月間集計シート!P$50:P$69)*S$2</f>
        <v>0</v>
      </c>
      <c r="T281" s="88">
        <f>SUMIF(月間集計シート!$M$50:$M$69,$G281,月間集計シート!Q$50:Q$69)*T$2</f>
        <v>0</v>
      </c>
      <c r="U281" s="88">
        <f>SUMIF(月間集計シート!$M$50:$M$69,$G281,月間集計シート!R$50:R$69)*U$2</f>
        <v>0</v>
      </c>
      <c r="V281" s="88">
        <f>SUMIF(月間集計シート!$M$50:$M$69,$G281,月間集計シート!S$50:S$69)*V$2</f>
        <v>0</v>
      </c>
      <c r="W281" s="88">
        <f>SUMIF(月間集計シート!$M$50:$M$69,$G281,月間集計シート!T$50:T$69)*W$2</f>
        <v>0</v>
      </c>
      <c r="X281" s="88">
        <f>SUMIF(月間集計シート!$M$71:$M$90,$G281,月間集計シート!N$71:N$90)*X$2</f>
        <v>0</v>
      </c>
      <c r="Y281" s="88">
        <f>SUMIF(月間集計シート!$M$71:$M$90,$G281,月間集計シート!O$71:O$90)*Y$2</f>
        <v>0</v>
      </c>
      <c r="Z281" s="88">
        <f>SUMIF(月間集計シート!$M$71:$M$90,$G281,月間集計シート!P$71:P$90)*Z$2</f>
        <v>0</v>
      </c>
      <c r="AA281" s="88">
        <f>SUMIF(月間集計シート!$M$71:$M$90,$G281,月間集計シート!Q$71:Q$90)*AA$2</f>
        <v>0</v>
      </c>
      <c r="AB281" s="88">
        <f>SUMIF(月間集計シート!$M$71:$M$90,$G281,月間集計シート!R$71:R$90)*AB$2</f>
        <v>0</v>
      </c>
      <c r="AC281" s="88">
        <f>SUMIF(月間集計シート!$M$71:$M$90,$G281,月間集計シート!S$71:S$90)*AC$2</f>
        <v>0</v>
      </c>
      <c r="AD281" s="88">
        <f>SUMIF(月間集計シート!$M$71:$M$90,$G281,月間集計シート!T$71:T$90)*AD$2</f>
        <v>0</v>
      </c>
      <c r="AE281" s="88">
        <f>SUMIF(月間集計シート!$M$92:$M$111,$G281,月間集計シート!N$92:N$111)*AE$2</f>
        <v>0</v>
      </c>
      <c r="AF281" s="88">
        <f>SUMIF(月間集計シート!$M$92:$M$111,$G281,月間集計シート!O$92:O$111)*AF$2</f>
        <v>0</v>
      </c>
      <c r="AG281" s="88">
        <f>SUMIF(月間集計シート!$M$92:$M$111,$G281,月間集計シート!P$92:P$111)*AG$2</f>
        <v>0</v>
      </c>
      <c r="AH281" s="88">
        <f>SUMIF(月間集計シート!$M$92:$M$111,$G281,月間集計シート!Q$92:Q$111)*AH$2</f>
        <v>0</v>
      </c>
      <c r="AI281" s="88">
        <f>SUMIF(月間集計シート!$M$92:$M$111,$G281,月間集計シート!R$92:R$111)*AI$2</f>
        <v>0</v>
      </c>
      <c r="AJ281" s="88">
        <f>SUMIF(月間集計シート!$M$92:$M$111,$G281,月間集計シート!S$92:S$111)*AJ$2</f>
        <v>0</v>
      </c>
      <c r="AK281" s="88">
        <f>SUMIF(月間集計シート!$M$92:$M$111,$G281,月間集計シート!T$92:T$111)*AK$2</f>
        <v>0</v>
      </c>
      <c r="AL281" s="88">
        <f>SUMIF(月間集計シート!$M$113:$M$132,$G281,月間集計シート!N$113:N$132)*AL$2</f>
        <v>0</v>
      </c>
      <c r="AM281" s="88">
        <f>SUMIF(月間集計シート!$M$113:$M$132,$G281,月間集計シート!O$113:O$132)*AM$2</f>
        <v>0</v>
      </c>
      <c r="AN281" s="88">
        <f>SUMIF(月間集計シート!$M$113:$M$132,$G281,月間集計シート!P$113:P$132)*AN$2</f>
        <v>0</v>
      </c>
      <c r="AO281" s="88">
        <f>SUMIF(月間集計シート!$M$113:$M$132,$G281,月間集計シート!Q$113:Q$132)*AO$2</f>
        <v>0</v>
      </c>
      <c r="AP281" s="88">
        <f>SUMIF(月間集計シート!$M$113:$M$132,$G281,月間集計シート!R$113:R$132)*AP$2</f>
        <v>0</v>
      </c>
      <c r="AQ281" s="88">
        <f>SUMIF(月間集計シート!$M$113:$M$132,$G281,月間集計シート!S$113:S$132)*AQ$2</f>
        <v>0</v>
      </c>
      <c r="AR281" s="88">
        <f>SUMIF(月間集計シート!$M$113:$M$132,$G281,月間集計シート!T$113:T$132)*AR$2</f>
        <v>0</v>
      </c>
      <c r="AS281" s="88">
        <f>SUMIF(月間集計シート!$M$134:$M$153,$G281,月間集計シート!N$134:N$153)*AS$2</f>
        <v>0</v>
      </c>
      <c r="AT281" s="88">
        <f>SUMIF(月間集計シート!$M$134:$M$153,$G281,月間集計シート!O$134:O$153)*AT$2</f>
        <v>0</v>
      </c>
      <c r="AU281" s="88">
        <f>SUMIF(月間集計シート!$M$134:$M$153,$G281,月間集計シート!P$134:P$153)*AU$2</f>
        <v>0</v>
      </c>
      <c r="AV281" s="88">
        <f>SUMIF(月間集計シート!$M$134:$M$153,$G281,月間集計シート!Q$134:Q$153)*AV$2</f>
        <v>0</v>
      </c>
      <c r="AW281" s="88">
        <f>SUMIF(月間集計シート!$M$134:$M$153,$G281,月間集計シート!R$134:R$153)*AW$2</f>
        <v>0</v>
      </c>
      <c r="AX281" s="88">
        <f>SUMIF(月間集計シート!$M$134:$M$153,$G281,月間集計シート!S$134:S$153)*AX$2</f>
        <v>0</v>
      </c>
      <c r="AY281" s="88">
        <f>SUMIF(月間集計シート!$M$134:$M$153,$G281,月間集計シート!T$134:T$153)*AY$2</f>
        <v>0</v>
      </c>
    </row>
    <row r="282" spans="1:51" ht="14.25" thickBot="1">
      <c r="A282">
        <v>4</v>
      </c>
      <c r="B282" s="120">
        <f t="shared" si="132"/>
        <v>0</v>
      </c>
      <c r="C282" s="120" t="str">
        <f t="shared" si="133"/>
        <v/>
      </c>
      <c r="D282" s="137"/>
      <c r="E282" s="150" t="str">
        <f>工種!A19</f>
        <v>30105</v>
      </c>
      <c r="F282" s="119" t="str">
        <f>工種!B19</f>
        <v>製造：打合せ</v>
      </c>
      <c r="G282" s="116" t="str">
        <f t="shared" si="134"/>
        <v>030105</v>
      </c>
      <c r="H282" s="88">
        <f t="shared" si="88"/>
        <v>0</v>
      </c>
      <c r="I282" s="132"/>
      <c r="J282" s="88">
        <f>SUMIF(月間集計シート!$M$29:$M$48,$G282,月間集計シート!N$29:N$48)*J$2</f>
        <v>0</v>
      </c>
      <c r="K282" s="88">
        <f>SUMIF(月間集計シート!$M$29:$M$48,$G282,月間集計シート!O$29:O$48)*K$2</f>
        <v>0</v>
      </c>
      <c r="L282" s="88">
        <f>SUMIF(月間集計シート!$M$29:$M$48,$G282,月間集計シート!P$29:P$48)*L$2</f>
        <v>0</v>
      </c>
      <c r="M282" s="88">
        <f>SUMIF(月間集計シート!$M$29:$M$48,$G282,月間集計シート!Q$29:Q$48)*M$2</f>
        <v>0</v>
      </c>
      <c r="N282" s="88">
        <f>SUMIF(月間集計シート!$M$29:$M$48,$G282,月間集計シート!R$29:R$48)*N$2</f>
        <v>0</v>
      </c>
      <c r="O282" s="88">
        <f>SUMIF(月間集計シート!$M$29:$M$48,$G282,月間集計シート!S$29:S$48)*O$2</f>
        <v>0</v>
      </c>
      <c r="P282" s="88">
        <f>SUMIF(月間集計シート!$M$29:$M$48,$G282,月間集計シート!T$29:T$48)*P$2</f>
        <v>0</v>
      </c>
      <c r="Q282" s="88">
        <f>SUMIF(月間集計シート!$M$50:$M$69,$G282,月間集計シート!N$50:N$69)*Q$2</f>
        <v>0</v>
      </c>
      <c r="R282" s="88">
        <f>SUMIF(月間集計シート!$M$50:$M$69,$G282,月間集計シート!O$50:O$69)*R$2</f>
        <v>0</v>
      </c>
      <c r="S282" s="88">
        <f>SUMIF(月間集計シート!$M$50:$M$69,$G282,月間集計シート!P$50:P$69)*S$2</f>
        <v>0</v>
      </c>
      <c r="T282" s="88">
        <f>SUMIF(月間集計シート!$M$50:$M$69,$G282,月間集計シート!Q$50:Q$69)*T$2</f>
        <v>0</v>
      </c>
      <c r="U282" s="88">
        <f>SUMIF(月間集計シート!$M$50:$M$69,$G282,月間集計シート!R$50:R$69)*U$2</f>
        <v>0</v>
      </c>
      <c r="V282" s="88">
        <f>SUMIF(月間集計シート!$M$50:$M$69,$G282,月間集計シート!S$50:S$69)*V$2</f>
        <v>0</v>
      </c>
      <c r="W282" s="88">
        <f>SUMIF(月間集計シート!$M$50:$M$69,$G282,月間集計シート!T$50:T$69)*W$2</f>
        <v>0</v>
      </c>
      <c r="X282" s="88">
        <f>SUMIF(月間集計シート!$M$71:$M$90,$G282,月間集計シート!N$71:N$90)*X$2</f>
        <v>0</v>
      </c>
      <c r="Y282" s="88">
        <f>SUMIF(月間集計シート!$M$71:$M$90,$G282,月間集計シート!O$71:O$90)*Y$2</f>
        <v>0</v>
      </c>
      <c r="Z282" s="88">
        <f>SUMIF(月間集計シート!$M$71:$M$90,$G282,月間集計シート!P$71:P$90)*Z$2</f>
        <v>0</v>
      </c>
      <c r="AA282" s="88">
        <f>SUMIF(月間集計シート!$M$71:$M$90,$G282,月間集計シート!Q$71:Q$90)*AA$2</f>
        <v>0</v>
      </c>
      <c r="AB282" s="88">
        <f>SUMIF(月間集計シート!$M$71:$M$90,$G282,月間集計シート!R$71:R$90)*AB$2</f>
        <v>0</v>
      </c>
      <c r="AC282" s="88">
        <f>SUMIF(月間集計シート!$M$71:$M$90,$G282,月間集計シート!S$71:S$90)*AC$2</f>
        <v>0</v>
      </c>
      <c r="AD282" s="88">
        <f>SUMIF(月間集計シート!$M$71:$M$90,$G282,月間集計シート!T$71:T$90)*AD$2</f>
        <v>0</v>
      </c>
      <c r="AE282" s="88">
        <f>SUMIF(月間集計シート!$M$92:$M$111,$G282,月間集計シート!N$92:N$111)*AE$2</f>
        <v>0</v>
      </c>
      <c r="AF282" s="88">
        <f>SUMIF(月間集計シート!$M$92:$M$111,$G282,月間集計シート!O$92:O$111)*AF$2</f>
        <v>0</v>
      </c>
      <c r="AG282" s="88">
        <f>SUMIF(月間集計シート!$M$92:$M$111,$G282,月間集計シート!P$92:P$111)*AG$2</f>
        <v>0</v>
      </c>
      <c r="AH282" s="88">
        <f>SUMIF(月間集計シート!$M$92:$M$111,$G282,月間集計シート!Q$92:Q$111)*AH$2</f>
        <v>0</v>
      </c>
      <c r="AI282" s="88">
        <f>SUMIF(月間集計シート!$M$92:$M$111,$G282,月間集計シート!R$92:R$111)*AI$2</f>
        <v>0</v>
      </c>
      <c r="AJ282" s="88">
        <f>SUMIF(月間集計シート!$M$92:$M$111,$G282,月間集計シート!S$92:S$111)*AJ$2</f>
        <v>0</v>
      </c>
      <c r="AK282" s="88">
        <f>SUMIF(月間集計シート!$M$92:$M$111,$G282,月間集計シート!T$92:T$111)*AK$2</f>
        <v>0</v>
      </c>
      <c r="AL282" s="88">
        <f>SUMIF(月間集計シート!$M$113:$M$132,$G282,月間集計シート!N$113:N$132)*AL$2</f>
        <v>0</v>
      </c>
      <c r="AM282" s="88">
        <f>SUMIF(月間集計シート!$M$113:$M$132,$G282,月間集計シート!O$113:O$132)*AM$2</f>
        <v>0</v>
      </c>
      <c r="AN282" s="88">
        <f>SUMIF(月間集計シート!$M$113:$M$132,$G282,月間集計シート!P$113:P$132)*AN$2</f>
        <v>0</v>
      </c>
      <c r="AO282" s="88">
        <f>SUMIF(月間集計シート!$M$113:$M$132,$G282,月間集計シート!Q$113:Q$132)*AO$2</f>
        <v>0</v>
      </c>
      <c r="AP282" s="88">
        <f>SUMIF(月間集計シート!$M$113:$M$132,$G282,月間集計シート!R$113:R$132)*AP$2</f>
        <v>0</v>
      </c>
      <c r="AQ282" s="88">
        <f>SUMIF(月間集計シート!$M$113:$M$132,$G282,月間集計シート!S$113:S$132)*AQ$2</f>
        <v>0</v>
      </c>
      <c r="AR282" s="88">
        <f>SUMIF(月間集計シート!$M$113:$M$132,$G282,月間集計シート!T$113:T$132)*AR$2</f>
        <v>0</v>
      </c>
      <c r="AS282" s="88">
        <f>SUMIF(月間集計シート!$M$134:$M$153,$G282,月間集計シート!N$134:N$153)*AS$2</f>
        <v>0</v>
      </c>
      <c r="AT282" s="88">
        <f>SUMIF(月間集計シート!$M$134:$M$153,$G282,月間集計シート!O$134:O$153)*AT$2</f>
        <v>0</v>
      </c>
      <c r="AU282" s="88">
        <f>SUMIF(月間集計シート!$M$134:$M$153,$G282,月間集計シート!P$134:P$153)*AU$2</f>
        <v>0</v>
      </c>
      <c r="AV282" s="88">
        <f>SUMIF(月間集計シート!$M$134:$M$153,$G282,月間集計シート!Q$134:Q$153)*AV$2</f>
        <v>0</v>
      </c>
      <c r="AW282" s="88">
        <f>SUMIF(月間集計シート!$M$134:$M$153,$G282,月間集計シート!R$134:R$153)*AW$2</f>
        <v>0</v>
      </c>
      <c r="AX282" s="88">
        <f>SUMIF(月間集計シート!$M$134:$M$153,$G282,月間集計シート!S$134:S$153)*AX$2</f>
        <v>0</v>
      </c>
      <c r="AY282" s="88">
        <f>SUMIF(月間集計シート!$M$134:$M$153,$G282,月間集計シート!T$134:T$153)*AY$2</f>
        <v>0</v>
      </c>
    </row>
    <row r="283" spans="1:51" ht="14.25" thickBot="1">
      <c r="A283">
        <v>4</v>
      </c>
      <c r="B283" s="120">
        <f t="shared" si="132"/>
        <v>0</v>
      </c>
      <c r="C283" s="120" t="str">
        <f t="shared" si="133"/>
        <v/>
      </c>
      <c r="D283" s="137">
        <v>1</v>
      </c>
      <c r="E283" s="150" t="str">
        <f>工種!A20</f>
        <v>30106</v>
      </c>
      <c r="F283" s="119" t="str">
        <f>工種!B20</f>
        <v>製造：PG修正（手戻り分）</v>
      </c>
      <c r="G283" s="116" t="str">
        <f t="shared" si="134"/>
        <v>030106</v>
      </c>
      <c r="H283" s="88">
        <f t="shared" si="88"/>
        <v>0</v>
      </c>
      <c r="I283" s="132"/>
      <c r="J283" s="88">
        <f>SUMIF(月間集計シート!$M$29:$M$48,$G283,月間集計シート!N$29:N$48)*J$2</f>
        <v>0</v>
      </c>
      <c r="K283" s="88">
        <f>SUMIF(月間集計シート!$M$29:$M$48,$G283,月間集計シート!O$29:O$48)*K$2</f>
        <v>0</v>
      </c>
      <c r="L283" s="88">
        <f>SUMIF(月間集計シート!$M$29:$M$48,$G283,月間集計シート!P$29:P$48)*L$2</f>
        <v>0</v>
      </c>
      <c r="M283" s="88">
        <f>SUMIF(月間集計シート!$M$29:$M$48,$G283,月間集計シート!Q$29:Q$48)*M$2</f>
        <v>0</v>
      </c>
      <c r="N283" s="88">
        <f>SUMIF(月間集計シート!$M$29:$M$48,$G283,月間集計シート!R$29:R$48)*N$2</f>
        <v>0</v>
      </c>
      <c r="O283" s="88">
        <f>SUMIF(月間集計シート!$M$29:$M$48,$G283,月間集計シート!S$29:S$48)*O$2</f>
        <v>0</v>
      </c>
      <c r="P283" s="88">
        <f>SUMIF(月間集計シート!$M$29:$M$48,$G283,月間集計シート!T$29:T$48)*P$2</f>
        <v>0</v>
      </c>
      <c r="Q283" s="88">
        <f>SUMIF(月間集計シート!$M$50:$M$69,$G283,月間集計シート!N$50:N$69)*Q$2</f>
        <v>0</v>
      </c>
      <c r="R283" s="88">
        <f>SUMIF(月間集計シート!$M$50:$M$69,$G283,月間集計シート!O$50:O$69)*R$2</f>
        <v>0</v>
      </c>
      <c r="S283" s="88">
        <f>SUMIF(月間集計シート!$M$50:$M$69,$G283,月間集計シート!P$50:P$69)*S$2</f>
        <v>0</v>
      </c>
      <c r="T283" s="88">
        <f>SUMIF(月間集計シート!$M$50:$M$69,$G283,月間集計シート!Q$50:Q$69)*T$2</f>
        <v>0</v>
      </c>
      <c r="U283" s="88">
        <f>SUMIF(月間集計シート!$M$50:$M$69,$G283,月間集計シート!R$50:R$69)*U$2</f>
        <v>0</v>
      </c>
      <c r="V283" s="88">
        <f>SUMIF(月間集計シート!$M$50:$M$69,$G283,月間集計シート!S$50:S$69)*V$2</f>
        <v>0</v>
      </c>
      <c r="W283" s="88">
        <f>SUMIF(月間集計シート!$M$50:$M$69,$G283,月間集計シート!T$50:T$69)*W$2</f>
        <v>0</v>
      </c>
      <c r="X283" s="88">
        <f>SUMIF(月間集計シート!$M$71:$M$90,$G283,月間集計シート!N$71:N$90)*X$2</f>
        <v>0</v>
      </c>
      <c r="Y283" s="88">
        <f>SUMIF(月間集計シート!$M$71:$M$90,$G283,月間集計シート!O$71:O$90)*Y$2</f>
        <v>0</v>
      </c>
      <c r="Z283" s="88">
        <f>SUMIF(月間集計シート!$M$71:$M$90,$G283,月間集計シート!P$71:P$90)*Z$2</f>
        <v>0</v>
      </c>
      <c r="AA283" s="88">
        <f>SUMIF(月間集計シート!$M$71:$M$90,$G283,月間集計シート!Q$71:Q$90)*AA$2</f>
        <v>0</v>
      </c>
      <c r="AB283" s="88">
        <f>SUMIF(月間集計シート!$M$71:$M$90,$G283,月間集計シート!R$71:R$90)*AB$2</f>
        <v>0</v>
      </c>
      <c r="AC283" s="88">
        <f>SUMIF(月間集計シート!$M$71:$M$90,$G283,月間集計シート!S$71:S$90)*AC$2</f>
        <v>0</v>
      </c>
      <c r="AD283" s="88">
        <f>SUMIF(月間集計シート!$M$71:$M$90,$G283,月間集計シート!T$71:T$90)*AD$2</f>
        <v>0</v>
      </c>
      <c r="AE283" s="88">
        <f>SUMIF(月間集計シート!$M$92:$M$111,$G283,月間集計シート!N$92:N$111)*AE$2</f>
        <v>0</v>
      </c>
      <c r="AF283" s="88">
        <f>SUMIF(月間集計シート!$M$92:$M$111,$G283,月間集計シート!O$92:O$111)*AF$2</f>
        <v>0</v>
      </c>
      <c r="AG283" s="88">
        <f>SUMIF(月間集計シート!$M$92:$M$111,$G283,月間集計シート!P$92:P$111)*AG$2</f>
        <v>0</v>
      </c>
      <c r="AH283" s="88">
        <f>SUMIF(月間集計シート!$M$92:$M$111,$G283,月間集計シート!Q$92:Q$111)*AH$2</f>
        <v>0</v>
      </c>
      <c r="AI283" s="88">
        <f>SUMIF(月間集計シート!$M$92:$M$111,$G283,月間集計シート!R$92:R$111)*AI$2</f>
        <v>0</v>
      </c>
      <c r="AJ283" s="88">
        <f>SUMIF(月間集計シート!$M$92:$M$111,$G283,月間集計シート!S$92:S$111)*AJ$2</f>
        <v>0</v>
      </c>
      <c r="AK283" s="88">
        <f>SUMIF(月間集計シート!$M$92:$M$111,$G283,月間集計シート!T$92:T$111)*AK$2</f>
        <v>0</v>
      </c>
      <c r="AL283" s="88">
        <f>SUMIF(月間集計シート!$M$113:$M$132,$G283,月間集計シート!N$113:N$132)*AL$2</f>
        <v>0</v>
      </c>
      <c r="AM283" s="88">
        <f>SUMIF(月間集計シート!$M$113:$M$132,$G283,月間集計シート!O$113:O$132)*AM$2</f>
        <v>0</v>
      </c>
      <c r="AN283" s="88">
        <f>SUMIF(月間集計シート!$M$113:$M$132,$G283,月間集計シート!P$113:P$132)*AN$2</f>
        <v>0</v>
      </c>
      <c r="AO283" s="88">
        <f>SUMIF(月間集計シート!$M$113:$M$132,$G283,月間集計シート!Q$113:Q$132)*AO$2</f>
        <v>0</v>
      </c>
      <c r="AP283" s="88">
        <f>SUMIF(月間集計シート!$M$113:$M$132,$G283,月間集計シート!R$113:R$132)*AP$2</f>
        <v>0</v>
      </c>
      <c r="AQ283" s="88">
        <f>SUMIF(月間集計シート!$M$113:$M$132,$G283,月間集計シート!S$113:S$132)*AQ$2</f>
        <v>0</v>
      </c>
      <c r="AR283" s="88">
        <f>SUMIF(月間集計シート!$M$113:$M$132,$G283,月間集計シート!T$113:T$132)*AR$2</f>
        <v>0</v>
      </c>
      <c r="AS283" s="88">
        <f>SUMIF(月間集計シート!$M$134:$M$153,$G283,月間集計シート!N$134:N$153)*AS$2</f>
        <v>0</v>
      </c>
      <c r="AT283" s="88">
        <f>SUMIF(月間集計シート!$M$134:$M$153,$G283,月間集計シート!O$134:O$153)*AT$2</f>
        <v>0</v>
      </c>
      <c r="AU283" s="88">
        <f>SUMIF(月間集計シート!$M$134:$M$153,$G283,月間集計シート!P$134:P$153)*AU$2</f>
        <v>0</v>
      </c>
      <c r="AV283" s="88">
        <f>SUMIF(月間集計シート!$M$134:$M$153,$G283,月間集計シート!Q$134:Q$153)*AV$2</f>
        <v>0</v>
      </c>
      <c r="AW283" s="88">
        <f>SUMIF(月間集計シート!$M$134:$M$153,$G283,月間集計シート!R$134:R$153)*AW$2</f>
        <v>0</v>
      </c>
      <c r="AX283" s="88">
        <f>SUMIF(月間集計シート!$M$134:$M$153,$G283,月間集計シート!S$134:S$153)*AX$2</f>
        <v>0</v>
      </c>
      <c r="AY283" s="88">
        <f>SUMIF(月間集計シート!$M$134:$M$153,$G283,月間集計シート!T$134:T$153)*AY$2</f>
        <v>0</v>
      </c>
    </row>
    <row r="284" spans="1:51" ht="14.25" thickBot="1">
      <c r="A284">
        <v>4</v>
      </c>
      <c r="B284" s="120">
        <f t="shared" si="132"/>
        <v>0</v>
      </c>
      <c r="C284" s="120" t="str">
        <f t="shared" si="133"/>
        <v/>
      </c>
      <c r="D284" s="137"/>
      <c r="E284" s="150" t="str">
        <f>工種!A21</f>
        <v>30109</v>
      </c>
      <c r="F284" s="119" t="str">
        <f>工種!B21</f>
        <v>製造：レビュー</v>
      </c>
      <c r="G284" s="116" t="str">
        <f t="shared" si="134"/>
        <v>030109</v>
      </c>
      <c r="H284" s="88">
        <f t="shared" si="88"/>
        <v>0</v>
      </c>
      <c r="I284" s="132"/>
      <c r="J284" s="88">
        <f>SUMIF(月間集計シート!$M$29:$M$48,$G284,月間集計シート!N$29:N$48)*J$2</f>
        <v>0</v>
      </c>
      <c r="K284" s="88">
        <f>SUMIF(月間集計シート!$M$29:$M$48,$G284,月間集計シート!O$29:O$48)*K$2</f>
        <v>0</v>
      </c>
      <c r="L284" s="88">
        <f>SUMIF(月間集計シート!$M$29:$M$48,$G284,月間集計シート!P$29:P$48)*L$2</f>
        <v>0</v>
      </c>
      <c r="M284" s="88">
        <f>SUMIF(月間集計シート!$M$29:$M$48,$G284,月間集計シート!Q$29:Q$48)*M$2</f>
        <v>0</v>
      </c>
      <c r="N284" s="88">
        <f>SUMIF(月間集計シート!$M$29:$M$48,$G284,月間集計シート!R$29:R$48)*N$2</f>
        <v>0</v>
      </c>
      <c r="O284" s="88">
        <f>SUMIF(月間集計シート!$M$29:$M$48,$G284,月間集計シート!S$29:S$48)*O$2</f>
        <v>0</v>
      </c>
      <c r="P284" s="88">
        <f>SUMIF(月間集計シート!$M$29:$M$48,$G284,月間集計シート!T$29:T$48)*P$2</f>
        <v>0</v>
      </c>
      <c r="Q284" s="88">
        <f>SUMIF(月間集計シート!$M$50:$M$69,$G284,月間集計シート!N$50:N$69)*Q$2</f>
        <v>0</v>
      </c>
      <c r="R284" s="88">
        <f>SUMIF(月間集計シート!$M$50:$M$69,$G284,月間集計シート!O$50:O$69)*R$2</f>
        <v>0</v>
      </c>
      <c r="S284" s="88">
        <f>SUMIF(月間集計シート!$M$50:$M$69,$G284,月間集計シート!P$50:P$69)*S$2</f>
        <v>0</v>
      </c>
      <c r="T284" s="88">
        <f>SUMIF(月間集計シート!$M$50:$M$69,$G284,月間集計シート!Q$50:Q$69)*T$2</f>
        <v>0</v>
      </c>
      <c r="U284" s="88">
        <f>SUMIF(月間集計シート!$M$50:$M$69,$G284,月間集計シート!R$50:R$69)*U$2</f>
        <v>0</v>
      </c>
      <c r="V284" s="88">
        <f>SUMIF(月間集計シート!$M$50:$M$69,$G284,月間集計シート!S$50:S$69)*V$2</f>
        <v>0</v>
      </c>
      <c r="W284" s="88">
        <f>SUMIF(月間集計シート!$M$50:$M$69,$G284,月間集計シート!T$50:T$69)*W$2</f>
        <v>0</v>
      </c>
      <c r="X284" s="88">
        <f>SUMIF(月間集計シート!$M$71:$M$90,$G284,月間集計シート!N$71:N$90)*X$2</f>
        <v>0</v>
      </c>
      <c r="Y284" s="88">
        <f>SUMIF(月間集計シート!$M$71:$M$90,$G284,月間集計シート!O$71:O$90)*Y$2</f>
        <v>0</v>
      </c>
      <c r="Z284" s="88">
        <f>SUMIF(月間集計シート!$M$71:$M$90,$G284,月間集計シート!P$71:P$90)*Z$2</f>
        <v>0</v>
      </c>
      <c r="AA284" s="88">
        <f>SUMIF(月間集計シート!$M$71:$M$90,$G284,月間集計シート!Q$71:Q$90)*AA$2</f>
        <v>0</v>
      </c>
      <c r="AB284" s="88">
        <f>SUMIF(月間集計シート!$M$71:$M$90,$G284,月間集計シート!R$71:R$90)*AB$2</f>
        <v>0</v>
      </c>
      <c r="AC284" s="88">
        <f>SUMIF(月間集計シート!$M$71:$M$90,$G284,月間集計シート!S$71:S$90)*AC$2</f>
        <v>0</v>
      </c>
      <c r="AD284" s="88">
        <f>SUMIF(月間集計シート!$M$71:$M$90,$G284,月間集計シート!T$71:T$90)*AD$2</f>
        <v>0</v>
      </c>
      <c r="AE284" s="88">
        <f>SUMIF(月間集計シート!$M$92:$M$111,$G284,月間集計シート!N$92:N$111)*AE$2</f>
        <v>0</v>
      </c>
      <c r="AF284" s="88">
        <f>SUMIF(月間集計シート!$M$92:$M$111,$G284,月間集計シート!O$92:O$111)*AF$2</f>
        <v>0</v>
      </c>
      <c r="AG284" s="88">
        <f>SUMIF(月間集計シート!$M$92:$M$111,$G284,月間集計シート!P$92:P$111)*AG$2</f>
        <v>0</v>
      </c>
      <c r="AH284" s="88">
        <f>SUMIF(月間集計シート!$M$92:$M$111,$G284,月間集計シート!Q$92:Q$111)*AH$2</f>
        <v>0</v>
      </c>
      <c r="AI284" s="88">
        <f>SUMIF(月間集計シート!$M$92:$M$111,$G284,月間集計シート!R$92:R$111)*AI$2</f>
        <v>0</v>
      </c>
      <c r="AJ284" s="88">
        <f>SUMIF(月間集計シート!$M$92:$M$111,$G284,月間集計シート!S$92:S$111)*AJ$2</f>
        <v>0</v>
      </c>
      <c r="AK284" s="88">
        <f>SUMIF(月間集計シート!$M$92:$M$111,$G284,月間集計シート!T$92:T$111)*AK$2</f>
        <v>0</v>
      </c>
      <c r="AL284" s="88">
        <f>SUMIF(月間集計シート!$M$113:$M$132,$G284,月間集計シート!N$113:N$132)*AL$2</f>
        <v>0</v>
      </c>
      <c r="AM284" s="88">
        <f>SUMIF(月間集計シート!$M$113:$M$132,$G284,月間集計シート!O$113:O$132)*AM$2</f>
        <v>0</v>
      </c>
      <c r="AN284" s="88">
        <f>SUMIF(月間集計シート!$M$113:$M$132,$G284,月間集計シート!P$113:P$132)*AN$2</f>
        <v>0</v>
      </c>
      <c r="AO284" s="88">
        <f>SUMIF(月間集計シート!$M$113:$M$132,$G284,月間集計シート!Q$113:Q$132)*AO$2</f>
        <v>0</v>
      </c>
      <c r="AP284" s="88">
        <f>SUMIF(月間集計シート!$M$113:$M$132,$G284,月間集計シート!R$113:R$132)*AP$2</f>
        <v>0</v>
      </c>
      <c r="AQ284" s="88">
        <f>SUMIF(月間集計シート!$M$113:$M$132,$G284,月間集計シート!S$113:S$132)*AQ$2</f>
        <v>0</v>
      </c>
      <c r="AR284" s="88">
        <f>SUMIF(月間集計シート!$M$113:$M$132,$G284,月間集計シート!T$113:T$132)*AR$2</f>
        <v>0</v>
      </c>
      <c r="AS284" s="88">
        <f>SUMIF(月間集計シート!$M$134:$M$153,$G284,月間集計シート!N$134:N$153)*AS$2</f>
        <v>0</v>
      </c>
      <c r="AT284" s="88">
        <f>SUMIF(月間集計シート!$M$134:$M$153,$G284,月間集計シート!O$134:O$153)*AT$2</f>
        <v>0</v>
      </c>
      <c r="AU284" s="88">
        <f>SUMIF(月間集計シート!$M$134:$M$153,$G284,月間集計シート!P$134:P$153)*AU$2</f>
        <v>0</v>
      </c>
      <c r="AV284" s="88">
        <f>SUMIF(月間集計シート!$M$134:$M$153,$G284,月間集計シート!Q$134:Q$153)*AV$2</f>
        <v>0</v>
      </c>
      <c r="AW284" s="88">
        <f>SUMIF(月間集計シート!$M$134:$M$153,$G284,月間集計シート!R$134:R$153)*AW$2</f>
        <v>0</v>
      </c>
      <c r="AX284" s="88">
        <f>SUMIF(月間集計シート!$M$134:$M$153,$G284,月間集計シート!S$134:S$153)*AX$2</f>
        <v>0</v>
      </c>
      <c r="AY284" s="88">
        <f>SUMIF(月間集計シート!$M$134:$M$153,$G284,月間集計シート!T$134:T$153)*AY$2</f>
        <v>0</v>
      </c>
    </row>
    <row r="285" spans="1:51" ht="14.25" thickBot="1">
      <c r="A285">
        <v>4</v>
      </c>
      <c r="B285" s="120">
        <f t="shared" si="132"/>
        <v>0</v>
      </c>
      <c r="C285" s="120" t="str">
        <f t="shared" si="133"/>
        <v/>
      </c>
      <c r="D285" s="137">
        <v>1</v>
      </c>
      <c r="E285" s="150" t="str">
        <f>工種!A22</f>
        <v>30199</v>
      </c>
      <c r="F285" s="119" t="str">
        <f>工種!B22</f>
        <v>製造：その他</v>
      </c>
      <c r="G285" s="116" t="str">
        <f t="shared" si="134"/>
        <v>030199</v>
      </c>
      <c r="H285" s="88">
        <f t="shared" si="88"/>
        <v>0</v>
      </c>
      <c r="I285" s="132"/>
      <c r="J285" s="88">
        <f>SUMIF(月間集計シート!$M$29:$M$48,$G285,月間集計シート!N$29:N$48)*J$2</f>
        <v>0</v>
      </c>
      <c r="K285" s="88">
        <f>SUMIF(月間集計シート!$M$29:$M$48,$G285,月間集計シート!O$29:O$48)*K$2</f>
        <v>0</v>
      </c>
      <c r="L285" s="88">
        <f>SUMIF(月間集計シート!$M$29:$M$48,$G285,月間集計シート!P$29:P$48)*L$2</f>
        <v>0</v>
      </c>
      <c r="M285" s="88">
        <f>SUMIF(月間集計シート!$M$29:$M$48,$G285,月間集計シート!Q$29:Q$48)*M$2</f>
        <v>0</v>
      </c>
      <c r="N285" s="88">
        <f>SUMIF(月間集計シート!$M$29:$M$48,$G285,月間集計シート!R$29:R$48)*N$2</f>
        <v>0</v>
      </c>
      <c r="O285" s="88">
        <f>SUMIF(月間集計シート!$M$29:$M$48,$G285,月間集計シート!S$29:S$48)*O$2</f>
        <v>0</v>
      </c>
      <c r="P285" s="88">
        <f>SUMIF(月間集計シート!$M$29:$M$48,$G285,月間集計シート!T$29:T$48)*P$2</f>
        <v>0</v>
      </c>
      <c r="Q285" s="88">
        <f>SUMIF(月間集計シート!$M$50:$M$69,$G285,月間集計シート!N$50:N$69)*Q$2</f>
        <v>0</v>
      </c>
      <c r="R285" s="88">
        <f>SUMIF(月間集計シート!$M$50:$M$69,$G285,月間集計シート!O$50:O$69)*R$2</f>
        <v>0</v>
      </c>
      <c r="S285" s="88">
        <f>SUMIF(月間集計シート!$M$50:$M$69,$G285,月間集計シート!P$50:P$69)*S$2</f>
        <v>0</v>
      </c>
      <c r="T285" s="88">
        <f>SUMIF(月間集計シート!$M$50:$M$69,$G285,月間集計シート!Q$50:Q$69)*T$2</f>
        <v>0</v>
      </c>
      <c r="U285" s="88">
        <f>SUMIF(月間集計シート!$M$50:$M$69,$G285,月間集計シート!R$50:R$69)*U$2</f>
        <v>0</v>
      </c>
      <c r="V285" s="88">
        <f>SUMIF(月間集計シート!$M$50:$M$69,$G285,月間集計シート!S$50:S$69)*V$2</f>
        <v>0</v>
      </c>
      <c r="W285" s="88">
        <f>SUMIF(月間集計シート!$M$50:$M$69,$G285,月間集計シート!T$50:T$69)*W$2</f>
        <v>0</v>
      </c>
      <c r="X285" s="88">
        <f>SUMIF(月間集計シート!$M$71:$M$90,$G285,月間集計シート!N$71:N$90)*X$2</f>
        <v>0</v>
      </c>
      <c r="Y285" s="88">
        <f>SUMIF(月間集計シート!$M$71:$M$90,$G285,月間集計シート!O$71:O$90)*Y$2</f>
        <v>0</v>
      </c>
      <c r="Z285" s="88">
        <f>SUMIF(月間集計シート!$M$71:$M$90,$G285,月間集計シート!P$71:P$90)*Z$2</f>
        <v>0</v>
      </c>
      <c r="AA285" s="88">
        <f>SUMIF(月間集計シート!$M$71:$M$90,$G285,月間集計シート!Q$71:Q$90)*AA$2</f>
        <v>0</v>
      </c>
      <c r="AB285" s="88">
        <f>SUMIF(月間集計シート!$M$71:$M$90,$G285,月間集計シート!R$71:R$90)*AB$2</f>
        <v>0</v>
      </c>
      <c r="AC285" s="88">
        <f>SUMIF(月間集計シート!$M$71:$M$90,$G285,月間集計シート!S$71:S$90)*AC$2</f>
        <v>0</v>
      </c>
      <c r="AD285" s="88">
        <f>SUMIF(月間集計シート!$M$71:$M$90,$G285,月間集計シート!T$71:T$90)*AD$2</f>
        <v>0</v>
      </c>
      <c r="AE285" s="88">
        <f>SUMIF(月間集計シート!$M$92:$M$111,$G285,月間集計シート!N$92:N$111)*AE$2</f>
        <v>0</v>
      </c>
      <c r="AF285" s="88">
        <f>SUMIF(月間集計シート!$M$92:$M$111,$G285,月間集計シート!O$92:O$111)*AF$2</f>
        <v>0</v>
      </c>
      <c r="AG285" s="88">
        <f>SUMIF(月間集計シート!$M$92:$M$111,$G285,月間集計シート!P$92:P$111)*AG$2</f>
        <v>0</v>
      </c>
      <c r="AH285" s="88">
        <f>SUMIF(月間集計シート!$M$92:$M$111,$G285,月間集計シート!Q$92:Q$111)*AH$2</f>
        <v>0</v>
      </c>
      <c r="AI285" s="88">
        <f>SUMIF(月間集計シート!$M$92:$M$111,$G285,月間集計シート!R$92:R$111)*AI$2</f>
        <v>0</v>
      </c>
      <c r="AJ285" s="88">
        <f>SUMIF(月間集計シート!$M$92:$M$111,$G285,月間集計シート!S$92:S$111)*AJ$2</f>
        <v>0</v>
      </c>
      <c r="AK285" s="88">
        <f>SUMIF(月間集計シート!$M$92:$M$111,$G285,月間集計シート!T$92:T$111)*AK$2</f>
        <v>0</v>
      </c>
      <c r="AL285" s="88">
        <f>SUMIF(月間集計シート!$M$113:$M$132,$G285,月間集計シート!N$113:N$132)*AL$2</f>
        <v>0</v>
      </c>
      <c r="AM285" s="88">
        <f>SUMIF(月間集計シート!$M$113:$M$132,$G285,月間集計シート!O$113:O$132)*AM$2</f>
        <v>0</v>
      </c>
      <c r="AN285" s="88">
        <f>SUMIF(月間集計シート!$M$113:$M$132,$G285,月間集計シート!P$113:P$132)*AN$2</f>
        <v>0</v>
      </c>
      <c r="AO285" s="88">
        <f>SUMIF(月間集計シート!$M$113:$M$132,$G285,月間集計シート!Q$113:Q$132)*AO$2</f>
        <v>0</v>
      </c>
      <c r="AP285" s="88">
        <f>SUMIF(月間集計シート!$M$113:$M$132,$G285,月間集計シート!R$113:R$132)*AP$2</f>
        <v>0</v>
      </c>
      <c r="AQ285" s="88">
        <f>SUMIF(月間集計シート!$M$113:$M$132,$G285,月間集計シート!S$113:S$132)*AQ$2</f>
        <v>0</v>
      </c>
      <c r="AR285" s="88">
        <f>SUMIF(月間集計シート!$M$113:$M$132,$G285,月間集計シート!T$113:T$132)*AR$2</f>
        <v>0</v>
      </c>
      <c r="AS285" s="88">
        <f>SUMIF(月間集計シート!$M$134:$M$153,$G285,月間集計シート!N$134:N$153)*AS$2</f>
        <v>0</v>
      </c>
      <c r="AT285" s="88">
        <f>SUMIF(月間集計シート!$M$134:$M$153,$G285,月間集計シート!O$134:O$153)*AT$2</f>
        <v>0</v>
      </c>
      <c r="AU285" s="88">
        <f>SUMIF(月間集計シート!$M$134:$M$153,$G285,月間集計シート!P$134:P$153)*AU$2</f>
        <v>0</v>
      </c>
      <c r="AV285" s="88">
        <f>SUMIF(月間集計シート!$M$134:$M$153,$G285,月間集計シート!Q$134:Q$153)*AV$2</f>
        <v>0</v>
      </c>
      <c r="AW285" s="88">
        <f>SUMIF(月間集計シート!$M$134:$M$153,$G285,月間集計シート!R$134:R$153)*AW$2</f>
        <v>0</v>
      </c>
      <c r="AX285" s="88">
        <f>SUMIF(月間集計シート!$M$134:$M$153,$G285,月間集計シート!S$134:S$153)*AX$2</f>
        <v>0</v>
      </c>
      <c r="AY285" s="88">
        <f>SUMIF(月間集計シート!$M$134:$M$153,$G285,月間集計シート!T$134:T$153)*AY$2</f>
        <v>0</v>
      </c>
    </row>
    <row r="286" spans="1:51" ht="14.25" thickBot="1">
      <c r="A286">
        <v>4</v>
      </c>
      <c r="B286" s="120">
        <f t="shared" si="132"/>
        <v>0</v>
      </c>
      <c r="C286" s="120" t="str">
        <f t="shared" si="133"/>
        <v/>
      </c>
      <c r="D286" s="137"/>
      <c r="E286" s="150" t="str">
        <f>工種!A23</f>
        <v>40101</v>
      </c>
      <c r="F286" s="119" t="str">
        <f>工種!B23</f>
        <v>テスト：結合テスト実施</v>
      </c>
      <c r="G286" s="116" t="str">
        <f t="shared" si="134"/>
        <v>040101</v>
      </c>
      <c r="H286" s="88">
        <f t="shared" si="88"/>
        <v>0</v>
      </c>
      <c r="I286" s="132"/>
      <c r="J286" s="88">
        <f>SUMIF(月間集計シート!$M$29:$M$48,$G286,月間集計シート!N$29:N$48)*J$2</f>
        <v>0</v>
      </c>
      <c r="K286" s="88">
        <f>SUMIF(月間集計シート!$M$29:$M$48,$G286,月間集計シート!O$29:O$48)*K$2</f>
        <v>0</v>
      </c>
      <c r="L286" s="88">
        <f>SUMIF(月間集計シート!$M$29:$M$48,$G286,月間集計シート!P$29:P$48)*L$2</f>
        <v>0</v>
      </c>
      <c r="M286" s="88">
        <f>SUMIF(月間集計シート!$M$29:$M$48,$G286,月間集計シート!Q$29:Q$48)*M$2</f>
        <v>0</v>
      </c>
      <c r="N286" s="88">
        <f>SUMIF(月間集計シート!$M$29:$M$48,$G286,月間集計シート!R$29:R$48)*N$2</f>
        <v>0</v>
      </c>
      <c r="O286" s="88">
        <f>SUMIF(月間集計シート!$M$29:$M$48,$G286,月間集計シート!S$29:S$48)*O$2</f>
        <v>0</v>
      </c>
      <c r="P286" s="88">
        <f>SUMIF(月間集計シート!$M$29:$M$48,$G286,月間集計シート!T$29:T$48)*P$2</f>
        <v>0</v>
      </c>
      <c r="Q286" s="88">
        <f>SUMIF(月間集計シート!$M$50:$M$69,$G286,月間集計シート!N$50:N$69)*Q$2</f>
        <v>0</v>
      </c>
      <c r="R286" s="88">
        <f>SUMIF(月間集計シート!$M$50:$M$69,$G286,月間集計シート!O$50:O$69)*R$2</f>
        <v>0</v>
      </c>
      <c r="S286" s="88">
        <f>SUMIF(月間集計シート!$M$50:$M$69,$G286,月間集計シート!P$50:P$69)*S$2</f>
        <v>0</v>
      </c>
      <c r="T286" s="88">
        <f>SUMIF(月間集計シート!$M$50:$M$69,$G286,月間集計シート!Q$50:Q$69)*T$2</f>
        <v>0</v>
      </c>
      <c r="U286" s="88">
        <f>SUMIF(月間集計シート!$M$50:$M$69,$G286,月間集計シート!R$50:R$69)*U$2</f>
        <v>0</v>
      </c>
      <c r="V286" s="88">
        <f>SUMIF(月間集計シート!$M$50:$M$69,$G286,月間集計シート!S$50:S$69)*V$2</f>
        <v>0</v>
      </c>
      <c r="W286" s="88">
        <f>SUMIF(月間集計シート!$M$50:$M$69,$G286,月間集計シート!T$50:T$69)*W$2</f>
        <v>0</v>
      </c>
      <c r="X286" s="88">
        <f>SUMIF(月間集計シート!$M$71:$M$90,$G286,月間集計シート!N$71:N$90)*X$2</f>
        <v>0</v>
      </c>
      <c r="Y286" s="88">
        <f>SUMIF(月間集計シート!$M$71:$M$90,$G286,月間集計シート!O$71:O$90)*Y$2</f>
        <v>0</v>
      </c>
      <c r="Z286" s="88">
        <f>SUMIF(月間集計シート!$M$71:$M$90,$G286,月間集計シート!P$71:P$90)*Z$2</f>
        <v>0</v>
      </c>
      <c r="AA286" s="88">
        <f>SUMIF(月間集計シート!$M$71:$M$90,$G286,月間集計シート!Q$71:Q$90)*AA$2</f>
        <v>0</v>
      </c>
      <c r="AB286" s="88">
        <f>SUMIF(月間集計シート!$M$71:$M$90,$G286,月間集計シート!R$71:R$90)*AB$2</f>
        <v>0</v>
      </c>
      <c r="AC286" s="88">
        <f>SUMIF(月間集計シート!$M$71:$M$90,$G286,月間集計シート!S$71:S$90)*AC$2</f>
        <v>0</v>
      </c>
      <c r="AD286" s="88">
        <f>SUMIF(月間集計シート!$M$71:$M$90,$G286,月間集計シート!T$71:T$90)*AD$2</f>
        <v>0</v>
      </c>
      <c r="AE286" s="88">
        <f>SUMIF(月間集計シート!$M$92:$M$111,$G286,月間集計シート!N$92:N$111)*AE$2</f>
        <v>0</v>
      </c>
      <c r="AF286" s="88">
        <f>SUMIF(月間集計シート!$M$92:$M$111,$G286,月間集計シート!O$92:O$111)*AF$2</f>
        <v>0</v>
      </c>
      <c r="AG286" s="88">
        <f>SUMIF(月間集計シート!$M$92:$M$111,$G286,月間集計シート!P$92:P$111)*AG$2</f>
        <v>0</v>
      </c>
      <c r="AH286" s="88">
        <f>SUMIF(月間集計シート!$M$92:$M$111,$G286,月間集計シート!Q$92:Q$111)*AH$2</f>
        <v>0</v>
      </c>
      <c r="AI286" s="88">
        <f>SUMIF(月間集計シート!$M$92:$M$111,$G286,月間集計シート!R$92:R$111)*AI$2</f>
        <v>0</v>
      </c>
      <c r="AJ286" s="88">
        <f>SUMIF(月間集計シート!$M$92:$M$111,$G286,月間集計シート!S$92:S$111)*AJ$2</f>
        <v>0</v>
      </c>
      <c r="AK286" s="88">
        <f>SUMIF(月間集計シート!$M$92:$M$111,$G286,月間集計シート!T$92:T$111)*AK$2</f>
        <v>0</v>
      </c>
      <c r="AL286" s="88">
        <f>SUMIF(月間集計シート!$M$113:$M$132,$G286,月間集計シート!N$113:N$132)*AL$2</f>
        <v>0</v>
      </c>
      <c r="AM286" s="88">
        <f>SUMIF(月間集計シート!$M$113:$M$132,$G286,月間集計シート!O$113:O$132)*AM$2</f>
        <v>0</v>
      </c>
      <c r="AN286" s="88">
        <f>SUMIF(月間集計シート!$M$113:$M$132,$G286,月間集計シート!P$113:P$132)*AN$2</f>
        <v>0</v>
      </c>
      <c r="AO286" s="88">
        <f>SUMIF(月間集計シート!$M$113:$M$132,$G286,月間集計シート!Q$113:Q$132)*AO$2</f>
        <v>0</v>
      </c>
      <c r="AP286" s="88">
        <f>SUMIF(月間集計シート!$M$113:$M$132,$G286,月間集計シート!R$113:R$132)*AP$2</f>
        <v>0</v>
      </c>
      <c r="AQ286" s="88">
        <f>SUMIF(月間集計シート!$M$113:$M$132,$G286,月間集計シート!S$113:S$132)*AQ$2</f>
        <v>0</v>
      </c>
      <c r="AR286" s="88">
        <f>SUMIF(月間集計シート!$M$113:$M$132,$G286,月間集計シート!T$113:T$132)*AR$2</f>
        <v>0</v>
      </c>
      <c r="AS286" s="88">
        <f>SUMIF(月間集計シート!$M$134:$M$153,$G286,月間集計シート!N$134:N$153)*AS$2</f>
        <v>0</v>
      </c>
      <c r="AT286" s="88">
        <f>SUMIF(月間集計シート!$M$134:$M$153,$G286,月間集計シート!O$134:O$153)*AT$2</f>
        <v>0</v>
      </c>
      <c r="AU286" s="88">
        <f>SUMIF(月間集計シート!$M$134:$M$153,$G286,月間集計シート!P$134:P$153)*AU$2</f>
        <v>0</v>
      </c>
      <c r="AV286" s="88">
        <f>SUMIF(月間集計シート!$M$134:$M$153,$G286,月間集計シート!Q$134:Q$153)*AV$2</f>
        <v>0</v>
      </c>
      <c r="AW286" s="88">
        <f>SUMIF(月間集計シート!$M$134:$M$153,$G286,月間集計シート!R$134:R$153)*AW$2</f>
        <v>0</v>
      </c>
      <c r="AX286" s="88">
        <f>SUMIF(月間集計シート!$M$134:$M$153,$G286,月間集計シート!S$134:S$153)*AX$2</f>
        <v>0</v>
      </c>
      <c r="AY286" s="88">
        <f>SUMIF(月間集計シート!$M$134:$M$153,$G286,月間集計シート!T$134:T$153)*AY$2</f>
        <v>0</v>
      </c>
    </row>
    <row r="287" spans="1:51" ht="14.25" thickBot="1">
      <c r="A287">
        <v>4</v>
      </c>
      <c r="B287" s="120">
        <f t="shared" si="132"/>
        <v>0</v>
      </c>
      <c r="C287" s="120" t="str">
        <f t="shared" si="133"/>
        <v/>
      </c>
      <c r="D287" s="137"/>
      <c r="E287" s="150" t="str">
        <f>工種!A24</f>
        <v>40102</v>
      </c>
      <c r="F287" s="119" t="str">
        <f>工種!B24</f>
        <v>テスト：システムテスト実施</v>
      </c>
      <c r="G287" s="116" t="str">
        <f t="shared" si="134"/>
        <v>040102</v>
      </c>
      <c r="H287" s="88">
        <f t="shared" si="88"/>
        <v>0</v>
      </c>
      <c r="I287" s="132"/>
      <c r="J287" s="88">
        <f>SUMIF(月間集計シート!$M$29:$M$48,$G287,月間集計シート!N$29:N$48)*J$2</f>
        <v>0</v>
      </c>
      <c r="K287" s="88">
        <f>SUMIF(月間集計シート!$M$29:$M$48,$G287,月間集計シート!O$29:O$48)*K$2</f>
        <v>0</v>
      </c>
      <c r="L287" s="88">
        <f>SUMIF(月間集計シート!$M$29:$M$48,$G287,月間集計シート!P$29:P$48)*L$2</f>
        <v>0</v>
      </c>
      <c r="M287" s="88">
        <f>SUMIF(月間集計シート!$M$29:$M$48,$G287,月間集計シート!Q$29:Q$48)*M$2</f>
        <v>0</v>
      </c>
      <c r="N287" s="88">
        <f>SUMIF(月間集計シート!$M$29:$M$48,$G287,月間集計シート!R$29:R$48)*N$2</f>
        <v>0</v>
      </c>
      <c r="O287" s="88">
        <f>SUMIF(月間集計シート!$M$29:$M$48,$G287,月間集計シート!S$29:S$48)*O$2</f>
        <v>0</v>
      </c>
      <c r="P287" s="88">
        <f>SUMIF(月間集計シート!$M$29:$M$48,$G287,月間集計シート!T$29:T$48)*P$2</f>
        <v>0</v>
      </c>
      <c r="Q287" s="88">
        <f>SUMIF(月間集計シート!$M$50:$M$69,$G287,月間集計シート!N$50:N$69)*Q$2</f>
        <v>0</v>
      </c>
      <c r="R287" s="88">
        <f>SUMIF(月間集計シート!$M$50:$M$69,$G287,月間集計シート!O$50:O$69)*R$2</f>
        <v>0</v>
      </c>
      <c r="S287" s="88">
        <f>SUMIF(月間集計シート!$M$50:$M$69,$G287,月間集計シート!P$50:P$69)*S$2</f>
        <v>0</v>
      </c>
      <c r="T287" s="88">
        <f>SUMIF(月間集計シート!$M$50:$M$69,$G287,月間集計シート!Q$50:Q$69)*T$2</f>
        <v>0</v>
      </c>
      <c r="U287" s="88">
        <f>SUMIF(月間集計シート!$M$50:$M$69,$G287,月間集計シート!R$50:R$69)*U$2</f>
        <v>0</v>
      </c>
      <c r="V287" s="88">
        <f>SUMIF(月間集計シート!$M$50:$M$69,$G287,月間集計シート!S$50:S$69)*V$2</f>
        <v>0</v>
      </c>
      <c r="W287" s="88">
        <f>SUMIF(月間集計シート!$M$50:$M$69,$G287,月間集計シート!T$50:T$69)*W$2</f>
        <v>0</v>
      </c>
      <c r="X287" s="88">
        <f>SUMIF(月間集計シート!$M$71:$M$90,$G287,月間集計シート!N$71:N$90)*X$2</f>
        <v>0</v>
      </c>
      <c r="Y287" s="88">
        <f>SUMIF(月間集計シート!$M$71:$M$90,$G287,月間集計シート!O$71:O$90)*Y$2</f>
        <v>0</v>
      </c>
      <c r="Z287" s="88">
        <f>SUMIF(月間集計シート!$M$71:$M$90,$G287,月間集計シート!P$71:P$90)*Z$2</f>
        <v>0</v>
      </c>
      <c r="AA287" s="88">
        <f>SUMIF(月間集計シート!$M$71:$M$90,$G287,月間集計シート!Q$71:Q$90)*AA$2</f>
        <v>0</v>
      </c>
      <c r="AB287" s="88">
        <f>SUMIF(月間集計シート!$M$71:$M$90,$G287,月間集計シート!R$71:R$90)*AB$2</f>
        <v>0</v>
      </c>
      <c r="AC287" s="88">
        <f>SUMIF(月間集計シート!$M$71:$M$90,$G287,月間集計シート!S$71:S$90)*AC$2</f>
        <v>0</v>
      </c>
      <c r="AD287" s="88">
        <f>SUMIF(月間集計シート!$M$71:$M$90,$G287,月間集計シート!T$71:T$90)*AD$2</f>
        <v>0</v>
      </c>
      <c r="AE287" s="88">
        <f>SUMIF(月間集計シート!$M$92:$M$111,$G287,月間集計シート!N$92:N$111)*AE$2</f>
        <v>0</v>
      </c>
      <c r="AF287" s="88">
        <f>SUMIF(月間集計シート!$M$92:$M$111,$G287,月間集計シート!O$92:O$111)*AF$2</f>
        <v>0</v>
      </c>
      <c r="AG287" s="88">
        <f>SUMIF(月間集計シート!$M$92:$M$111,$G287,月間集計シート!P$92:P$111)*AG$2</f>
        <v>0</v>
      </c>
      <c r="AH287" s="88">
        <f>SUMIF(月間集計シート!$M$92:$M$111,$G287,月間集計シート!Q$92:Q$111)*AH$2</f>
        <v>0</v>
      </c>
      <c r="AI287" s="88">
        <f>SUMIF(月間集計シート!$M$92:$M$111,$G287,月間集計シート!R$92:R$111)*AI$2</f>
        <v>0</v>
      </c>
      <c r="AJ287" s="88">
        <f>SUMIF(月間集計シート!$M$92:$M$111,$G287,月間集計シート!S$92:S$111)*AJ$2</f>
        <v>0</v>
      </c>
      <c r="AK287" s="88">
        <f>SUMIF(月間集計シート!$M$92:$M$111,$G287,月間集計シート!T$92:T$111)*AK$2</f>
        <v>0</v>
      </c>
      <c r="AL287" s="88">
        <f>SUMIF(月間集計シート!$M$113:$M$132,$G287,月間集計シート!N$113:N$132)*AL$2</f>
        <v>0</v>
      </c>
      <c r="AM287" s="88">
        <f>SUMIF(月間集計シート!$M$113:$M$132,$G287,月間集計シート!O$113:O$132)*AM$2</f>
        <v>0</v>
      </c>
      <c r="AN287" s="88">
        <f>SUMIF(月間集計シート!$M$113:$M$132,$G287,月間集計シート!P$113:P$132)*AN$2</f>
        <v>0</v>
      </c>
      <c r="AO287" s="88">
        <f>SUMIF(月間集計シート!$M$113:$M$132,$G287,月間集計シート!Q$113:Q$132)*AO$2</f>
        <v>0</v>
      </c>
      <c r="AP287" s="88">
        <f>SUMIF(月間集計シート!$M$113:$M$132,$G287,月間集計シート!R$113:R$132)*AP$2</f>
        <v>0</v>
      </c>
      <c r="AQ287" s="88">
        <f>SUMIF(月間集計シート!$M$113:$M$132,$G287,月間集計シート!S$113:S$132)*AQ$2</f>
        <v>0</v>
      </c>
      <c r="AR287" s="88">
        <f>SUMIF(月間集計シート!$M$113:$M$132,$G287,月間集計シート!T$113:T$132)*AR$2</f>
        <v>0</v>
      </c>
      <c r="AS287" s="88">
        <f>SUMIF(月間集計シート!$M$134:$M$153,$G287,月間集計シート!N$134:N$153)*AS$2</f>
        <v>0</v>
      </c>
      <c r="AT287" s="88">
        <f>SUMIF(月間集計シート!$M$134:$M$153,$G287,月間集計シート!O$134:O$153)*AT$2</f>
        <v>0</v>
      </c>
      <c r="AU287" s="88">
        <f>SUMIF(月間集計シート!$M$134:$M$153,$G287,月間集計シート!P$134:P$153)*AU$2</f>
        <v>0</v>
      </c>
      <c r="AV287" s="88">
        <f>SUMIF(月間集計シート!$M$134:$M$153,$G287,月間集計シート!Q$134:Q$153)*AV$2</f>
        <v>0</v>
      </c>
      <c r="AW287" s="88">
        <f>SUMIF(月間集計シート!$M$134:$M$153,$G287,月間集計シート!R$134:R$153)*AW$2</f>
        <v>0</v>
      </c>
      <c r="AX287" s="88">
        <f>SUMIF(月間集計シート!$M$134:$M$153,$G287,月間集計シート!S$134:S$153)*AX$2</f>
        <v>0</v>
      </c>
      <c r="AY287" s="88">
        <f>SUMIF(月間集計シート!$M$134:$M$153,$G287,月間集計シート!T$134:T$153)*AY$2</f>
        <v>0</v>
      </c>
    </row>
    <row r="288" spans="1:51" ht="14.25" thickBot="1">
      <c r="A288">
        <v>4</v>
      </c>
      <c r="B288" s="120">
        <f t="shared" si="132"/>
        <v>0</v>
      </c>
      <c r="C288" s="120" t="str">
        <f t="shared" si="133"/>
        <v/>
      </c>
      <c r="D288" s="137"/>
      <c r="E288" s="150" t="str">
        <f>工種!A25</f>
        <v>40103</v>
      </c>
      <c r="F288" s="119" t="str">
        <f>工種!B25</f>
        <v>テスト：テスト計画書作成</v>
      </c>
      <c r="G288" s="116" t="str">
        <f t="shared" si="134"/>
        <v>040103</v>
      </c>
      <c r="H288" s="88">
        <f t="shared" si="88"/>
        <v>0</v>
      </c>
      <c r="I288" s="132"/>
      <c r="J288" s="88">
        <f>SUMIF(月間集計シート!$M$29:$M$48,$G288,月間集計シート!N$29:N$48)*J$2</f>
        <v>0</v>
      </c>
      <c r="K288" s="88">
        <f>SUMIF(月間集計シート!$M$29:$M$48,$G288,月間集計シート!O$29:O$48)*K$2</f>
        <v>0</v>
      </c>
      <c r="L288" s="88">
        <f>SUMIF(月間集計シート!$M$29:$M$48,$G288,月間集計シート!P$29:P$48)*L$2</f>
        <v>0</v>
      </c>
      <c r="M288" s="88">
        <f>SUMIF(月間集計シート!$M$29:$M$48,$G288,月間集計シート!Q$29:Q$48)*M$2</f>
        <v>0</v>
      </c>
      <c r="N288" s="88">
        <f>SUMIF(月間集計シート!$M$29:$M$48,$G288,月間集計シート!R$29:R$48)*N$2</f>
        <v>0</v>
      </c>
      <c r="O288" s="88">
        <f>SUMIF(月間集計シート!$M$29:$M$48,$G288,月間集計シート!S$29:S$48)*O$2</f>
        <v>0</v>
      </c>
      <c r="P288" s="88">
        <f>SUMIF(月間集計シート!$M$29:$M$48,$G288,月間集計シート!T$29:T$48)*P$2</f>
        <v>0</v>
      </c>
      <c r="Q288" s="88">
        <f>SUMIF(月間集計シート!$M$50:$M$69,$G288,月間集計シート!N$50:N$69)*Q$2</f>
        <v>0</v>
      </c>
      <c r="R288" s="88">
        <f>SUMIF(月間集計シート!$M$50:$M$69,$G288,月間集計シート!O$50:O$69)*R$2</f>
        <v>0</v>
      </c>
      <c r="S288" s="88">
        <f>SUMIF(月間集計シート!$M$50:$M$69,$G288,月間集計シート!P$50:P$69)*S$2</f>
        <v>0</v>
      </c>
      <c r="T288" s="88">
        <f>SUMIF(月間集計シート!$M$50:$M$69,$G288,月間集計シート!Q$50:Q$69)*T$2</f>
        <v>0</v>
      </c>
      <c r="U288" s="88">
        <f>SUMIF(月間集計シート!$M$50:$M$69,$G288,月間集計シート!R$50:R$69)*U$2</f>
        <v>0</v>
      </c>
      <c r="V288" s="88">
        <f>SUMIF(月間集計シート!$M$50:$M$69,$G288,月間集計シート!S$50:S$69)*V$2</f>
        <v>0</v>
      </c>
      <c r="W288" s="88">
        <f>SUMIF(月間集計シート!$M$50:$M$69,$G288,月間集計シート!T$50:T$69)*W$2</f>
        <v>0</v>
      </c>
      <c r="X288" s="88">
        <f>SUMIF(月間集計シート!$M$71:$M$90,$G288,月間集計シート!N$71:N$90)*X$2</f>
        <v>0</v>
      </c>
      <c r="Y288" s="88">
        <f>SUMIF(月間集計シート!$M$71:$M$90,$G288,月間集計シート!O$71:O$90)*Y$2</f>
        <v>0</v>
      </c>
      <c r="Z288" s="88">
        <f>SUMIF(月間集計シート!$M$71:$M$90,$G288,月間集計シート!P$71:P$90)*Z$2</f>
        <v>0</v>
      </c>
      <c r="AA288" s="88">
        <f>SUMIF(月間集計シート!$M$71:$M$90,$G288,月間集計シート!Q$71:Q$90)*AA$2</f>
        <v>0</v>
      </c>
      <c r="AB288" s="88">
        <f>SUMIF(月間集計シート!$M$71:$M$90,$G288,月間集計シート!R$71:R$90)*AB$2</f>
        <v>0</v>
      </c>
      <c r="AC288" s="88">
        <f>SUMIF(月間集計シート!$M$71:$M$90,$G288,月間集計シート!S$71:S$90)*AC$2</f>
        <v>0</v>
      </c>
      <c r="AD288" s="88">
        <f>SUMIF(月間集計シート!$M$71:$M$90,$G288,月間集計シート!T$71:T$90)*AD$2</f>
        <v>0</v>
      </c>
      <c r="AE288" s="88">
        <f>SUMIF(月間集計シート!$M$92:$M$111,$G288,月間集計シート!N$92:N$111)*AE$2</f>
        <v>0</v>
      </c>
      <c r="AF288" s="88">
        <f>SUMIF(月間集計シート!$M$92:$M$111,$G288,月間集計シート!O$92:O$111)*AF$2</f>
        <v>0</v>
      </c>
      <c r="AG288" s="88">
        <f>SUMIF(月間集計シート!$M$92:$M$111,$G288,月間集計シート!P$92:P$111)*AG$2</f>
        <v>0</v>
      </c>
      <c r="AH288" s="88">
        <f>SUMIF(月間集計シート!$M$92:$M$111,$G288,月間集計シート!Q$92:Q$111)*AH$2</f>
        <v>0</v>
      </c>
      <c r="AI288" s="88">
        <f>SUMIF(月間集計シート!$M$92:$M$111,$G288,月間集計シート!R$92:R$111)*AI$2</f>
        <v>0</v>
      </c>
      <c r="AJ288" s="88">
        <f>SUMIF(月間集計シート!$M$92:$M$111,$G288,月間集計シート!S$92:S$111)*AJ$2</f>
        <v>0</v>
      </c>
      <c r="AK288" s="88">
        <f>SUMIF(月間集計シート!$M$92:$M$111,$G288,月間集計シート!T$92:T$111)*AK$2</f>
        <v>0</v>
      </c>
      <c r="AL288" s="88">
        <f>SUMIF(月間集計シート!$M$113:$M$132,$G288,月間集計シート!N$113:N$132)*AL$2</f>
        <v>0</v>
      </c>
      <c r="AM288" s="88">
        <f>SUMIF(月間集計シート!$M$113:$M$132,$G288,月間集計シート!O$113:O$132)*AM$2</f>
        <v>0</v>
      </c>
      <c r="AN288" s="88">
        <f>SUMIF(月間集計シート!$M$113:$M$132,$G288,月間集計シート!P$113:P$132)*AN$2</f>
        <v>0</v>
      </c>
      <c r="AO288" s="88">
        <f>SUMIF(月間集計シート!$M$113:$M$132,$G288,月間集計シート!Q$113:Q$132)*AO$2</f>
        <v>0</v>
      </c>
      <c r="AP288" s="88">
        <f>SUMIF(月間集計シート!$M$113:$M$132,$G288,月間集計シート!R$113:R$132)*AP$2</f>
        <v>0</v>
      </c>
      <c r="AQ288" s="88">
        <f>SUMIF(月間集計シート!$M$113:$M$132,$G288,月間集計シート!S$113:S$132)*AQ$2</f>
        <v>0</v>
      </c>
      <c r="AR288" s="88">
        <f>SUMIF(月間集計シート!$M$113:$M$132,$G288,月間集計シート!T$113:T$132)*AR$2</f>
        <v>0</v>
      </c>
      <c r="AS288" s="88">
        <f>SUMIF(月間集計シート!$M$134:$M$153,$G288,月間集計シート!N$134:N$153)*AS$2</f>
        <v>0</v>
      </c>
      <c r="AT288" s="88">
        <f>SUMIF(月間集計シート!$M$134:$M$153,$G288,月間集計シート!O$134:O$153)*AT$2</f>
        <v>0</v>
      </c>
      <c r="AU288" s="88">
        <f>SUMIF(月間集計シート!$M$134:$M$153,$G288,月間集計シート!P$134:P$153)*AU$2</f>
        <v>0</v>
      </c>
      <c r="AV288" s="88">
        <f>SUMIF(月間集計シート!$M$134:$M$153,$G288,月間集計シート!Q$134:Q$153)*AV$2</f>
        <v>0</v>
      </c>
      <c r="AW288" s="88">
        <f>SUMIF(月間集計シート!$M$134:$M$153,$G288,月間集計シート!R$134:R$153)*AW$2</f>
        <v>0</v>
      </c>
      <c r="AX288" s="88">
        <f>SUMIF(月間集計シート!$M$134:$M$153,$G288,月間集計シート!S$134:S$153)*AX$2</f>
        <v>0</v>
      </c>
      <c r="AY288" s="88">
        <f>SUMIF(月間集計シート!$M$134:$M$153,$G288,月間集計シート!T$134:T$153)*AY$2</f>
        <v>0</v>
      </c>
    </row>
    <row r="289" spans="1:51" ht="14.25" thickBot="1">
      <c r="A289">
        <v>4</v>
      </c>
      <c r="B289" s="120">
        <f t="shared" si="132"/>
        <v>0</v>
      </c>
      <c r="C289" s="120" t="str">
        <f t="shared" si="133"/>
        <v/>
      </c>
      <c r="D289" s="137"/>
      <c r="E289" s="150" t="str">
        <f>工種!A26</f>
        <v>40104</v>
      </c>
      <c r="F289" s="119" t="str">
        <f>工種!B26</f>
        <v>テスト：結合テスト設計書作成</v>
      </c>
      <c r="G289" s="116" t="str">
        <f t="shared" si="134"/>
        <v>040104</v>
      </c>
      <c r="H289" s="88">
        <f t="shared" si="88"/>
        <v>0</v>
      </c>
      <c r="I289" s="132"/>
      <c r="J289" s="88">
        <f>SUMIF(月間集計シート!$M$29:$M$48,$G289,月間集計シート!N$29:N$48)*J$2</f>
        <v>0</v>
      </c>
      <c r="K289" s="88">
        <f>SUMIF(月間集計シート!$M$29:$M$48,$G289,月間集計シート!O$29:O$48)*K$2</f>
        <v>0</v>
      </c>
      <c r="L289" s="88">
        <f>SUMIF(月間集計シート!$M$29:$M$48,$G289,月間集計シート!P$29:P$48)*L$2</f>
        <v>0</v>
      </c>
      <c r="M289" s="88">
        <f>SUMIF(月間集計シート!$M$29:$M$48,$G289,月間集計シート!Q$29:Q$48)*M$2</f>
        <v>0</v>
      </c>
      <c r="N289" s="88">
        <f>SUMIF(月間集計シート!$M$29:$M$48,$G289,月間集計シート!R$29:R$48)*N$2</f>
        <v>0</v>
      </c>
      <c r="O289" s="88">
        <f>SUMIF(月間集計シート!$M$29:$M$48,$G289,月間集計シート!S$29:S$48)*O$2</f>
        <v>0</v>
      </c>
      <c r="P289" s="88">
        <f>SUMIF(月間集計シート!$M$29:$M$48,$G289,月間集計シート!T$29:T$48)*P$2</f>
        <v>0</v>
      </c>
      <c r="Q289" s="88">
        <f>SUMIF(月間集計シート!$M$50:$M$69,$G289,月間集計シート!N$50:N$69)*Q$2</f>
        <v>0</v>
      </c>
      <c r="R289" s="88">
        <f>SUMIF(月間集計シート!$M$50:$M$69,$G289,月間集計シート!O$50:O$69)*R$2</f>
        <v>0</v>
      </c>
      <c r="S289" s="88">
        <f>SUMIF(月間集計シート!$M$50:$M$69,$G289,月間集計シート!P$50:P$69)*S$2</f>
        <v>0</v>
      </c>
      <c r="T289" s="88">
        <f>SUMIF(月間集計シート!$M$50:$M$69,$G289,月間集計シート!Q$50:Q$69)*T$2</f>
        <v>0</v>
      </c>
      <c r="U289" s="88">
        <f>SUMIF(月間集計シート!$M$50:$M$69,$G289,月間集計シート!R$50:R$69)*U$2</f>
        <v>0</v>
      </c>
      <c r="V289" s="88">
        <f>SUMIF(月間集計シート!$M$50:$M$69,$G289,月間集計シート!S$50:S$69)*V$2</f>
        <v>0</v>
      </c>
      <c r="W289" s="88">
        <f>SUMIF(月間集計シート!$M$50:$M$69,$G289,月間集計シート!T$50:T$69)*W$2</f>
        <v>0</v>
      </c>
      <c r="X289" s="88">
        <f>SUMIF(月間集計シート!$M$71:$M$90,$G289,月間集計シート!N$71:N$90)*X$2</f>
        <v>0</v>
      </c>
      <c r="Y289" s="88">
        <f>SUMIF(月間集計シート!$M$71:$M$90,$G289,月間集計シート!O$71:O$90)*Y$2</f>
        <v>0</v>
      </c>
      <c r="Z289" s="88">
        <f>SUMIF(月間集計シート!$M$71:$M$90,$G289,月間集計シート!P$71:P$90)*Z$2</f>
        <v>0</v>
      </c>
      <c r="AA289" s="88">
        <f>SUMIF(月間集計シート!$M$71:$M$90,$G289,月間集計シート!Q$71:Q$90)*AA$2</f>
        <v>0</v>
      </c>
      <c r="AB289" s="88">
        <f>SUMIF(月間集計シート!$M$71:$M$90,$G289,月間集計シート!R$71:R$90)*AB$2</f>
        <v>0</v>
      </c>
      <c r="AC289" s="88">
        <f>SUMIF(月間集計シート!$M$71:$M$90,$G289,月間集計シート!S$71:S$90)*AC$2</f>
        <v>0</v>
      </c>
      <c r="AD289" s="88">
        <f>SUMIF(月間集計シート!$M$71:$M$90,$G289,月間集計シート!T$71:T$90)*AD$2</f>
        <v>0</v>
      </c>
      <c r="AE289" s="88">
        <f>SUMIF(月間集計シート!$M$92:$M$111,$G289,月間集計シート!N$92:N$111)*AE$2</f>
        <v>0</v>
      </c>
      <c r="AF289" s="88">
        <f>SUMIF(月間集計シート!$M$92:$M$111,$G289,月間集計シート!O$92:O$111)*AF$2</f>
        <v>0</v>
      </c>
      <c r="AG289" s="88">
        <f>SUMIF(月間集計シート!$M$92:$M$111,$G289,月間集計シート!P$92:P$111)*AG$2</f>
        <v>0</v>
      </c>
      <c r="AH289" s="88">
        <f>SUMIF(月間集計シート!$M$92:$M$111,$G289,月間集計シート!Q$92:Q$111)*AH$2</f>
        <v>0</v>
      </c>
      <c r="AI289" s="88">
        <f>SUMIF(月間集計シート!$M$92:$M$111,$G289,月間集計シート!R$92:R$111)*AI$2</f>
        <v>0</v>
      </c>
      <c r="AJ289" s="88">
        <f>SUMIF(月間集計シート!$M$92:$M$111,$G289,月間集計シート!S$92:S$111)*AJ$2</f>
        <v>0</v>
      </c>
      <c r="AK289" s="88">
        <f>SUMIF(月間集計シート!$M$92:$M$111,$G289,月間集計シート!T$92:T$111)*AK$2</f>
        <v>0</v>
      </c>
      <c r="AL289" s="88">
        <f>SUMIF(月間集計シート!$M$113:$M$132,$G289,月間集計シート!N$113:N$132)*AL$2</f>
        <v>0</v>
      </c>
      <c r="AM289" s="88">
        <f>SUMIF(月間集計シート!$M$113:$M$132,$G289,月間集計シート!O$113:O$132)*AM$2</f>
        <v>0</v>
      </c>
      <c r="AN289" s="88">
        <f>SUMIF(月間集計シート!$M$113:$M$132,$G289,月間集計シート!P$113:P$132)*AN$2</f>
        <v>0</v>
      </c>
      <c r="AO289" s="88">
        <f>SUMIF(月間集計シート!$M$113:$M$132,$G289,月間集計シート!Q$113:Q$132)*AO$2</f>
        <v>0</v>
      </c>
      <c r="AP289" s="88">
        <f>SUMIF(月間集計シート!$M$113:$M$132,$G289,月間集計シート!R$113:R$132)*AP$2</f>
        <v>0</v>
      </c>
      <c r="AQ289" s="88">
        <f>SUMIF(月間集計シート!$M$113:$M$132,$G289,月間集計シート!S$113:S$132)*AQ$2</f>
        <v>0</v>
      </c>
      <c r="AR289" s="88">
        <f>SUMIF(月間集計シート!$M$113:$M$132,$G289,月間集計シート!T$113:T$132)*AR$2</f>
        <v>0</v>
      </c>
      <c r="AS289" s="88">
        <f>SUMIF(月間集計シート!$M$134:$M$153,$G289,月間集計シート!N$134:N$153)*AS$2</f>
        <v>0</v>
      </c>
      <c r="AT289" s="88">
        <f>SUMIF(月間集計シート!$M$134:$M$153,$G289,月間集計シート!O$134:O$153)*AT$2</f>
        <v>0</v>
      </c>
      <c r="AU289" s="88">
        <f>SUMIF(月間集計シート!$M$134:$M$153,$G289,月間集計シート!P$134:P$153)*AU$2</f>
        <v>0</v>
      </c>
      <c r="AV289" s="88">
        <f>SUMIF(月間集計シート!$M$134:$M$153,$G289,月間集計シート!Q$134:Q$153)*AV$2</f>
        <v>0</v>
      </c>
      <c r="AW289" s="88">
        <f>SUMIF(月間集計シート!$M$134:$M$153,$G289,月間集計シート!R$134:R$153)*AW$2</f>
        <v>0</v>
      </c>
      <c r="AX289" s="88">
        <f>SUMIF(月間集計シート!$M$134:$M$153,$G289,月間集計シート!S$134:S$153)*AX$2</f>
        <v>0</v>
      </c>
      <c r="AY289" s="88">
        <f>SUMIF(月間集計シート!$M$134:$M$153,$G289,月間集計シート!T$134:T$153)*AY$2</f>
        <v>0</v>
      </c>
    </row>
    <row r="290" spans="1:51" ht="14.25" thickBot="1">
      <c r="A290">
        <v>4</v>
      </c>
      <c r="B290" s="120">
        <f t="shared" si="132"/>
        <v>0</v>
      </c>
      <c r="C290" s="120" t="str">
        <f t="shared" si="133"/>
        <v/>
      </c>
      <c r="D290" s="137"/>
      <c r="E290" s="150" t="str">
        <f>工種!A27</f>
        <v>40105</v>
      </c>
      <c r="F290" s="119" t="str">
        <f>工種!B27</f>
        <v>テスト：システムテスト設計書作成</v>
      </c>
      <c r="G290" s="116" t="str">
        <f t="shared" si="134"/>
        <v>040105</v>
      </c>
      <c r="H290" s="88">
        <f t="shared" si="88"/>
        <v>0</v>
      </c>
      <c r="I290" s="132"/>
      <c r="J290" s="88">
        <f>SUMIF(月間集計シート!$M$29:$M$48,$G290,月間集計シート!N$29:N$48)*J$2</f>
        <v>0</v>
      </c>
      <c r="K290" s="88">
        <f>SUMIF(月間集計シート!$M$29:$M$48,$G290,月間集計シート!O$29:O$48)*K$2</f>
        <v>0</v>
      </c>
      <c r="L290" s="88">
        <f>SUMIF(月間集計シート!$M$29:$M$48,$G290,月間集計シート!P$29:P$48)*L$2</f>
        <v>0</v>
      </c>
      <c r="M290" s="88">
        <f>SUMIF(月間集計シート!$M$29:$M$48,$G290,月間集計シート!Q$29:Q$48)*M$2</f>
        <v>0</v>
      </c>
      <c r="N290" s="88">
        <f>SUMIF(月間集計シート!$M$29:$M$48,$G290,月間集計シート!R$29:R$48)*N$2</f>
        <v>0</v>
      </c>
      <c r="O290" s="88">
        <f>SUMIF(月間集計シート!$M$29:$M$48,$G290,月間集計シート!S$29:S$48)*O$2</f>
        <v>0</v>
      </c>
      <c r="P290" s="88">
        <f>SUMIF(月間集計シート!$M$29:$M$48,$G290,月間集計シート!T$29:T$48)*P$2</f>
        <v>0</v>
      </c>
      <c r="Q290" s="88">
        <f>SUMIF(月間集計シート!$M$50:$M$69,$G290,月間集計シート!N$50:N$69)*Q$2</f>
        <v>0</v>
      </c>
      <c r="R290" s="88">
        <f>SUMIF(月間集計シート!$M$50:$M$69,$G290,月間集計シート!O$50:O$69)*R$2</f>
        <v>0</v>
      </c>
      <c r="S290" s="88">
        <f>SUMIF(月間集計シート!$M$50:$M$69,$G290,月間集計シート!P$50:P$69)*S$2</f>
        <v>0</v>
      </c>
      <c r="T290" s="88">
        <f>SUMIF(月間集計シート!$M$50:$M$69,$G290,月間集計シート!Q$50:Q$69)*T$2</f>
        <v>0</v>
      </c>
      <c r="U290" s="88">
        <f>SUMIF(月間集計シート!$M$50:$M$69,$G290,月間集計シート!R$50:R$69)*U$2</f>
        <v>0</v>
      </c>
      <c r="V290" s="88">
        <f>SUMIF(月間集計シート!$M$50:$M$69,$G290,月間集計シート!S$50:S$69)*V$2</f>
        <v>0</v>
      </c>
      <c r="W290" s="88">
        <f>SUMIF(月間集計シート!$M$50:$M$69,$G290,月間集計シート!T$50:T$69)*W$2</f>
        <v>0</v>
      </c>
      <c r="X290" s="88">
        <f>SUMIF(月間集計シート!$M$71:$M$90,$G290,月間集計シート!N$71:N$90)*X$2</f>
        <v>0</v>
      </c>
      <c r="Y290" s="88">
        <f>SUMIF(月間集計シート!$M$71:$M$90,$G290,月間集計シート!O$71:O$90)*Y$2</f>
        <v>0</v>
      </c>
      <c r="Z290" s="88">
        <f>SUMIF(月間集計シート!$M$71:$M$90,$G290,月間集計シート!P$71:P$90)*Z$2</f>
        <v>0</v>
      </c>
      <c r="AA290" s="88">
        <f>SUMIF(月間集計シート!$M$71:$M$90,$G290,月間集計シート!Q$71:Q$90)*AA$2</f>
        <v>0</v>
      </c>
      <c r="AB290" s="88">
        <f>SUMIF(月間集計シート!$M$71:$M$90,$G290,月間集計シート!R$71:R$90)*AB$2</f>
        <v>0</v>
      </c>
      <c r="AC290" s="88">
        <f>SUMIF(月間集計シート!$M$71:$M$90,$G290,月間集計シート!S$71:S$90)*AC$2</f>
        <v>0</v>
      </c>
      <c r="AD290" s="88">
        <f>SUMIF(月間集計シート!$M$71:$M$90,$G290,月間集計シート!T$71:T$90)*AD$2</f>
        <v>0</v>
      </c>
      <c r="AE290" s="88">
        <f>SUMIF(月間集計シート!$M$92:$M$111,$G290,月間集計シート!N$92:N$111)*AE$2</f>
        <v>0</v>
      </c>
      <c r="AF290" s="88">
        <f>SUMIF(月間集計シート!$M$92:$M$111,$G290,月間集計シート!O$92:O$111)*AF$2</f>
        <v>0</v>
      </c>
      <c r="AG290" s="88">
        <f>SUMIF(月間集計シート!$M$92:$M$111,$G290,月間集計シート!P$92:P$111)*AG$2</f>
        <v>0</v>
      </c>
      <c r="AH290" s="88">
        <f>SUMIF(月間集計シート!$M$92:$M$111,$G290,月間集計シート!Q$92:Q$111)*AH$2</f>
        <v>0</v>
      </c>
      <c r="AI290" s="88">
        <f>SUMIF(月間集計シート!$M$92:$M$111,$G290,月間集計シート!R$92:R$111)*AI$2</f>
        <v>0</v>
      </c>
      <c r="AJ290" s="88">
        <f>SUMIF(月間集計シート!$M$92:$M$111,$G290,月間集計シート!S$92:S$111)*AJ$2</f>
        <v>0</v>
      </c>
      <c r="AK290" s="88">
        <f>SUMIF(月間集計シート!$M$92:$M$111,$G290,月間集計シート!T$92:T$111)*AK$2</f>
        <v>0</v>
      </c>
      <c r="AL290" s="88">
        <f>SUMIF(月間集計シート!$M$113:$M$132,$G290,月間集計シート!N$113:N$132)*AL$2</f>
        <v>0</v>
      </c>
      <c r="AM290" s="88">
        <f>SUMIF(月間集計シート!$M$113:$M$132,$G290,月間集計シート!O$113:O$132)*AM$2</f>
        <v>0</v>
      </c>
      <c r="AN290" s="88">
        <f>SUMIF(月間集計シート!$M$113:$M$132,$G290,月間集計シート!P$113:P$132)*AN$2</f>
        <v>0</v>
      </c>
      <c r="AO290" s="88">
        <f>SUMIF(月間集計シート!$M$113:$M$132,$G290,月間集計シート!Q$113:Q$132)*AO$2</f>
        <v>0</v>
      </c>
      <c r="AP290" s="88">
        <f>SUMIF(月間集計シート!$M$113:$M$132,$G290,月間集計シート!R$113:R$132)*AP$2</f>
        <v>0</v>
      </c>
      <c r="AQ290" s="88">
        <f>SUMIF(月間集計シート!$M$113:$M$132,$G290,月間集計シート!S$113:S$132)*AQ$2</f>
        <v>0</v>
      </c>
      <c r="AR290" s="88">
        <f>SUMIF(月間集計シート!$M$113:$M$132,$G290,月間集計シート!T$113:T$132)*AR$2</f>
        <v>0</v>
      </c>
      <c r="AS290" s="88">
        <f>SUMIF(月間集計シート!$M$134:$M$153,$G290,月間集計シート!N$134:N$153)*AS$2</f>
        <v>0</v>
      </c>
      <c r="AT290" s="88">
        <f>SUMIF(月間集計シート!$M$134:$M$153,$G290,月間集計シート!O$134:O$153)*AT$2</f>
        <v>0</v>
      </c>
      <c r="AU290" s="88">
        <f>SUMIF(月間集計シート!$M$134:$M$153,$G290,月間集計シート!P$134:P$153)*AU$2</f>
        <v>0</v>
      </c>
      <c r="AV290" s="88">
        <f>SUMIF(月間集計シート!$M$134:$M$153,$G290,月間集計シート!Q$134:Q$153)*AV$2</f>
        <v>0</v>
      </c>
      <c r="AW290" s="88">
        <f>SUMIF(月間集計シート!$M$134:$M$153,$G290,月間集計シート!R$134:R$153)*AW$2</f>
        <v>0</v>
      </c>
      <c r="AX290" s="88">
        <f>SUMIF(月間集計シート!$M$134:$M$153,$G290,月間集計シート!S$134:S$153)*AX$2</f>
        <v>0</v>
      </c>
      <c r="AY290" s="88">
        <f>SUMIF(月間集計シート!$M$134:$M$153,$G290,月間集計シート!T$134:T$153)*AY$2</f>
        <v>0</v>
      </c>
    </row>
    <row r="291" spans="1:51" ht="14.25" thickBot="1">
      <c r="A291">
        <v>4</v>
      </c>
      <c r="B291" s="120">
        <f t="shared" si="132"/>
        <v>0</v>
      </c>
      <c r="C291" s="120" t="str">
        <f t="shared" si="133"/>
        <v/>
      </c>
      <c r="D291" s="137"/>
      <c r="E291" s="150" t="str">
        <f>工種!A28</f>
        <v>40106</v>
      </c>
      <c r="F291" s="119" t="str">
        <f>工種!B28</f>
        <v>テスト：総合評価設計書作成</v>
      </c>
      <c r="G291" s="116" t="str">
        <f t="shared" si="134"/>
        <v>040106</v>
      </c>
      <c r="H291" s="88">
        <f t="shared" si="88"/>
        <v>0</v>
      </c>
      <c r="I291" s="132"/>
      <c r="J291" s="88">
        <f>SUMIF(月間集計シート!$M$29:$M$48,$G291,月間集計シート!N$29:N$48)*J$2</f>
        <v>0</v>
      </c>
      <c r="K291" s="88">
        <f>SUMIF(月間集計シート!$M$29:$M$48,$G291,月間集計シート!O$29:O$48)*K$2</f>
        <v>0</v>
      </c>
      <c r="L291" s="88">
        <f>SUMIF(月間集計シート!$M$29:$M$48,$G291,月間集計シート!P$29:P$48)*L$2</f>
        <v>0</v>
      </c>
      <c r="M291" s="88">
        <f>SUMIF(月間集計シート!$M$29:$M$48,$G291,月間集計シート!Q$29:Q$48)*M$2</f>
        <v>0</v>
      </c>
      <c r="N291" s="88">
        <f>SUMIF(月間集計シート!$M$29:$M$48,$G291,月間集計シート!R$29:R$48)*N$2</f>
        <v>0</v>
      </c>
      <c r="O291" s="88">
        <f>SUMIF(月間集計シート!$M$29:$M$48,$G291,月間集計シート!S$29:S$48)*O$2</f>
        <v>0</v>
      </c>
      <c r="P291" s="88">
        <f>SUMIF(月間集計シート!$M$29:$M$48,$G291,月間集計シート!T$29:T$48)*P$2</f>
        <v>0</v>
      </c>
      <c r="Q291" s="88">
        <f>SUMIF(月間集計シート!$M$50:$M$69,$G291,月間集計シート!N$50:N$69)*Q$2</f>
        <v>0</v>
      </c>
      <c r="R291" s="88">
        <f>SUMIF(月間集計シート!$M$50:$M$69,$G291,月間集計シート!O$50:O$69)*R$2</f>
        <v>0</v>
      </c>
      <c r="S291" s="88">
        <f>SUMIF(月間集計シート!$M$50:$M$69,$G291,月間集計シート!P$50:P$69)*S$2</f>
        <v>0</v>
      </c>
      <c r="T291" s="88">
        <f>SUMIF(月間集計シート!$M$50:$M$69,$G291,月間集計シート!Q$50:Q$69)*T$2</f>
        <v>0</v>
      </c>
      <c r="U291" s="88">
        <f>SUMIF(月間集計シート!$M$50:$M$69,$G291,月間集計シート!R$50:R$69)*U$2</f>
        <v>0</v>
      </c>
      <c r="V291" s="88">
        <f>SUMIF(月間集計シート!$M$50:$M$69,$G291,月間集計シート!S$50:S$69)*V$2</f>
        <v>0</v>
      </c>
      <c r="W291" s="88">
        <f>SUMIF(月間集計シート!$M$50:$M$69,$G291,月間集計シート!T$50:T$69)*W$2</f>
        <v>0</v>
      </c>
      <c r="X291" s="88">
        <f>SUMIF(月間集計シート!$M$71:$M$90,$G291,月間集計シート!N$71:N$90)*X$2</f>
        <v>0</v>
      </c>
      <c r="Y291" s="88">
        <f>SUMIF(月間集計シート!$M$71:$M$90,$G291,月間集計シート!O$71:O$90)*Y$2</f>
        <v>0</v>
      </c>
      <c r="Z291" s="88">
        <f>SUMIF(月間集計シート!$M$71:$M$90,$G291,月間集計シート!P$71:P$90)*Z$2</f>
        <v>0</v>
      </c>
      <c r="AA291" s="88">
        <f>SUMIF(月間集計シート!$M$71:$M$90,$G291,月間集計シート!Q$71:Q$90)*AA$2</f>
        <v>0</v>
      </c>
      <c r="AB291" s="88">
        <f>SUMIF(月間集計シート!$M$71:$M$90,$G291,月間集計シート!R$71:R$90)*AB$2</f>
        <v>0</v>
      </c>
      <c r="AC291" s="88">
        <f>SUMIF(月間集計シート!$M$71:$M$90,$G291,月間集計シート!S$71:S$90)*AC$2</f>
        <v>0</v>
      </c>
      <c r="AD291" s="88">
        <f>SUMIF(月間集計シート!$M$71:$M$90,$G291,月間集計シート!T$71:T$90)*AD$2</f>
        <v>0</v>
      </c>
      <c r="AE291" s="88">
        <f>SUMIF(月間集計シート!$M$92:$M$111,$G291,月間集計シート!N$92:N$111)*AE$2</f>
        <v>0</v>
      </c>
      <c r="AF291" s="88">
        <f>SUMIF(月間集計シート!$M$92:$M$111,$G291,月間集計シート!O$92:O$111)*AF$2</f>
        <v>0</v>
      </c>
      <c r="AG291" s="88">
        <f>SUMIF(月間集計シート!$M$92:$M$111,$G291,月間集計シート!P$92:P$111)*AG$2</f>
        <v>0</v>
      </c>
      <c r="AH291" s="88">
        <f>SUMIF(月間集計シート!$M$92:$M$111,$G291,月間集計シート!Q$92:Q$111)*AH$2</f>
        <v>0</v>
      </c>
      <c r="AI291" s="88">
        <f>SUMIF(月間集計シート!$M$92:$M$111,$G291,月間集計シート!R$92:R$111)*AI$2</f>
        <v>0</v>
      </c>
      <c r="AJ291" s="88">
        <f>SUMIF(月間集計シート!$M$92:$M$111,$G291,月間集計シート!S$92:S$111)*AJ$2</f>
        <v>0</v>
      </c>
      <c r="AK291" s="88">
        <f>SUMIF(月間集計シート!$M$92:$M$111,$G291,月間集計シート!T$92:T$111)*AK$2</f>
        <v>0</v>
      </c>
      <c r="AL291" s="88">
        <f>SUMIF(月間集計シート!$M$113:$M$132,$G291,月間集計シート!N$113:N$132)*AL$2</f>
        <v>0</v>
      </c>
      <c r="AM291" s="88">
        <f>SUMIF(月間集計シート!$M$113:$M$132,$G291,月間集計シート!O$113:O$132)*AM$2</f>
        <v>0</v>
      </c>
      <c r="AN291" s="88">
        <f>SUMIF(月間集計シート!$M$113:$M$132,$G291,月間集計シート!P$113:P$132)*AN$2</f>
        <v>0</v>
      </c>
      <c r="AO291" s="88">
        <f>SUMIF(月間集計シート!$M$113:$M$132,$G291,月間集計シート!Q$113:Q$132)*AO$2</f>
        <v>0</v>
      </c>
      <c r="AP291" s="88">
        <f>SUMIF(月間集計シート!$M$113:$M$132,$G291,月間集計シート!R$113:R$132)*AP$2</f>
        <v>0</v>
      </c>
      <c r="AQ291" s="88">
        <f>SUMIF(月間集計シート!$M$113:$M$132,$G291,月間集計シート!S$113:S$132)*AQ$2</f>
        <v>0</v>
      </c>
      <c r="AR291" s="88">
        <f>SUMIF(月間集計シート!$M$113:$M$132,$G291,月間集計シート!T$113:T$132)*AR$2</f>
        <v>0</v>
      </c>
      <c r="AS291" s="88">
        <f>SUMIF(月間集計シート!$M$134:$M$153,$G291,月間集計シート!N$134:N$153)*AS$2</f>
        <v>0</v>
      </c>
      <c r="AT291" s="88">
        <f>SUMIF(月間集計シート!$M$134:$M$153,$G291,月間集計シート!O$134:O$153)*AT$2</f>
        <v>0</v>
      </c>
      <c r="AU291" s="88">
        <f>SUMIF(月間集計シート!$M$134:$M$153,$G291,月間集計シート!P$134:P$153)*AU$2</f>
        <v>0</v>
      </c>
      <c r="AV291" s="88">
        <f>SUMIF(月間集計シート!$M$134:$M$153,$G291,月間集計シート!Q$134:Q$153)*AV$2</f>
        <v>0</v>
      </c>
      <c r="AW291" s="88">
        <f>SUMIF(月間集計シート!$M$134:$M$153,$G291,月間集計シート!R$134:R$153)*AW$2</f>
        <v>0</v>
      </c>
      <c r="AX291" s="88">
        <f>SUMIF(月間集計シート!$M$134:$M$153,$G291,月間集計シート!S$134:S$153)*AX$2</f>
        <v>0</v>
      </c>
      <c r="AY291" s="88">
        <f>SUMIF(月間集計シート!$M$134:$M$153,$G291,月間集計シート!T$134:T$153)*AY$2</f>
        <v>0</v>
      </c>
    </row>
    <row r="292" spans="1:51" ht="14.25" thickBot="1">
      <c r="A292">
        <v>4</v>
      </c>
      <c r="B292" s="120">
        <f t="shared" si="132"/>
        <v>0</v>
      </c>
      <c r="C292" s="120" t="str">
        <f t="shared" si="133"/>
        <v/>
      </c>
      <c r="D292" s="137"/>
      <c r="E292" s="150" t="str">
        <f>工種!A29</f>
        <v>40107</v>
      </c>
      <c r="F292" s="119" t="str">
        <f>工種!B29</f>
        <v>テスト：評価報告書作成</v>
      </c>
      <c r="G292" s="116" t="str">
        <f t="shared" si="134"/>
        <v>040107</v>
      </c>
      <c r="H292" s="88">
        <f t="shared" si="88"/>
        <v>0</v>
      </c>
      <c r="I292" s="132"/>
      <c r="J292" s="88">
        <f>SUMIF(月間集計シート!$M$29:$M$48,$G292,月間集計シート!N$29:N$48)*J$2</f>
        <v>0</v>
      </c>
      <c r="K292" s="88">
        <f>SUMIF(月間集計シート!$M$29:$M$48,$G292,月間集計シート!O$29:O$48)*K$2</f>
        <v>0</v>
      </c>
      <c r="L292" s="88">
        <f>SUMIF(月間集計シート!$M$29:$M$48,$G292,月間集計シート!P$29:P$48)*L$2</f>
        <v>0</v>
      </c>
      <c r="M292" s="88">
        <f>SUMIF(月間集計シート!$M$29:$M$48,$G292,月間集計シート!Q$29:Q$48)*M$2</f>
        <v>0</v>
      </c>
      <c r="N292" s="88">
        <f>SUMIF(月間集計シート!$M$29:$M$48,$G292,月間集計シート!R$29:R$48)*N$2</f>
        <v>0</v>
      </c>
      <c r="O292" s="88">
        <f>SUMIF(月間集計シート!$M$29:$M$48,$G292,月間集計シート!S$29:S$48)*O$2</f>
        <v>0</v>
      </c>
      <c r="P292" s="88">
        <f>SUMIF(月間集計シート!$M$29:$M$48,$G292,月間集計シート!T$29:T$48)*P$2</f>
        <v>0</v>
      </c>
      <c r="Q292" s="88">
        <f>SUMIF(月間集計シート!$M$50:$M$69,$G292,月間集計シート!N$50:N$69)*Q$2</f>
        <v>0</v>
      </c>
      <c r="R292" s="88">
        <f>SUMIF(月間集計シート!$M$50:$M$69,$G292,月間集計シート!O$50:O$69)*R$2</f>
        <v>0</v>
      </c>
      <c r="S292" s="88">
        <f>SUMIF(月間集計シート!$M$50:$M$69,$G292,月間集計シート!P$50:P$69)*S$2</f>
        <v>0</v>
      </c>
      <c r="T292" s="88">
        <f>SUMIF(月間集計シート!$M$50:$M$69,$G292,月間集計シート!Q$50:Q$69)*T$2</f>
        <v>0</v>
      </c>
      <c r="U292" s="88">
        <f>SUMIF(月間集計シート!$M$50:$M$69,$G292,月間集計シート!R$50:R$69)*U$2</f>
        <v>0</v>
      </c>
      <c r="V292" s="88">
        <f>SUMIF(月間集計シート!$M$50:$M$69,$G292,月間集計シート!S$50:S$69)*V$2</f>
        <v>0</v>
      </c>
      <c r="W292" s="88">
        <f>SUMIF(月間集計シート!$M$50:$M$69,$G292,月間集計シート!T$50:T$69)*W$2</f>
        <v>0</v>
      </c>
      <c r="X292" s="88">
        <f>SUMIF(月間集計シート!$M$71:$M$90,$G292,月間集計シート!N$71:N$90)*X$2</f>
        <v>0</v>
      </c>
      <c r="Y292" s="88">
        <f>SUMIF(月間集計シート!$M$71:$M$90,$G292,月間集計シート!O$71:O$90)*Y$2</f>
        <v>0</v>
      </c>
      <c r="Z292" s="88">
        <f>SUMIF(月間集計シート!$M$71:$M$90,$G292,月間集計シート!P$71:P$90)*Z$2</f>
        <v>0</v>
      </c>
      <c r="AA292" s="88">
        <f>SUMIF(月間集計シート!$M$71:$M$90,$G292,月間集計シート!Q$71:Q$90)*AA$2</f>
        <v>0</v>
      </c>
      <c r="AB292" s="88">
        <f>SUMIF(月間集計シート!$M$71:$M$90,$G292,月間集計シート!R$71:R$90)*AB$2</f>
        <v>0</v>
      </c>
      <c r="AC292" s="88">
        <f>SUMIF(月間集計シート!$M$71:$M$90,$G292,月間集計シート!S$71:S$90)*AC$2</f>
        <v>0</v>
      </c>
      <c r="AD292" s="88">
        <f>SUMIF(月間集計シート!$M$71:$M$90,$G292,月間集計シート!T$71:T$90)*AD$2</f>
        <v>0</v>
      </c>
      <c r="AE292" s="88">
        <f>SUMIF(月間集計シート!$M$92:$M$111,$G292,月間集計シート!N$92:N$111)*AE$2</f>
        <v>0</v>
      </c>
      <c r="AF292" s="88">
        <f>SUMIF(月間集計シート!$M$92:$M$111,$G292,月間集計シート!O$92:O$111)*AF$2</f>
        <v>0</v>
      </c>
      <c r="AG292" s="88">
        <f>SUMIF(月間集計シート!$M$92:$M$111,$G292,月間集計シート!P$92:P$111)*AG$2</f>
        <v>0</v>
      </c>
      <c r="AH292" s="88">
        <f>SUMIF(月間集計シート!$M$92:$M$111,$G292,月間集計シート!Q$92:Q$111)*AH$2</f>
        <v>0</v>
      </c>
      <c r="AI292" s="88">
        <f>SUMIF(月間集計シート!$M$92:$M$111,$G292,月間集計シート!R$92:R$111)*AI$2</f>
        <v>0</v>
      </c>
      <c r="AJ292" s="88">
        <f>SUMIF(月間集計シート!$M$92:$M$111,$G292,月間集計シート!S$92:S$111)*AJ$2</f>
        <v>0</v>
      </c>
      <c r="AK292" s="88">
        <f>SUMIF(月間集計シート!$M$92:$M$111,$G292,月間集計シート!T$92:T$111)*AK$2</f>
        <v>0</v>
      </c>
      <c r="AL292" s="88">
        <f>SUMIF(月間集計シート!$M$113:$M$132,$G292,月間集計シート!N$113:N$132)*AL$2</f>
        <v>0</v>
      </c>
      <c r="AM292" s="88">
        <f>SUMIF(月間集計シート!$M$113:$M$132,$G292,月間集計シート!O$113:O$132)*AM$2</f>
        <v>0</v>
      </c>
      <c r="AN292" s="88">
        <f>SUMIF(月間集計シート!$M$113:$M$132,$G292,月間集計シート!P$113:P$132)*AN$2</f>
        <v>0</v>
      </c>
      <c r="AO292" s="88">
        <f>SUMIF(月間集計シート!$M$113:$M$132,$G292,月間集計シート!Q$113:Q$132)*AO$2</f>
        <v>0</v>
      </c>
      <c r="AP292" s="88">
        <f>SUMIF(月間集計シート!$M$113:$M$132,$G292,月間集計シート!R$113:R$132)*AP$2</f>
        <v>0</v>
      </c>
      <c r="AQ292" s="88">
        <f>SUMIF(月間集計シート!$M$113:$M$132,$G292,月間集計シート!S$113:S$132)*AQ$2</f>
        <v>0</v>
      </c>
      <c r="AR292" s="88">
        <f>SUMIF(月間集計シート!$M$113:$M$132,$G292,月間集計シート!T$113:T$132)*AR$2</f>
        <v>0</v>
      </c>
      <c r="AS292" s="88">
        <f>SUMIF(月間集計シート!$M$134:$M$153,$G292,月間集計シート!N$134:N$153)*AS$2</f>
        <v>0</v>
      </c>
      <c r="AT292" s="88">
        <f>SUMIF(月間集計シート!$M$134:$M$153,$G292,月間集計シート!O$134:O$153)*AT$2</f>
        <v>0</v>
      </c>
      <c r="AU292" s="88">
        <f>SUMIF(月間集計シート!$M$134:$M$153,$G292,月間集計シート!P$134:P$153)*AU$2</f>
        <v>0</v>
      </c>
      <c r="AV292" s="88">
        <f>SUMIF(月間集計シート!$M$134:$M$153,$G292,月間集計シート!Q$134:Q$153)*AV$2</f>
        <v>0</v>
      </c>
      <c r="AW292" s="88">
        <f>SUMIF(月間集計シート!$M$134:$M$153,$G292,月間集計シート!R$134:R$153)*AW$2</f>
        <v>0</v>
      </c>
      <c r="AX292" s="88">
        <f>SUMIF(月間集計シート!$M$134:$M$153,$G292,月間集計シート!S$134:S$153)*AX$2</f>
        <v>0</v>
      </c>
      <c r="AY292" s="88">
        <f>SUMIF(月間集計シート!$M$134:$M$153,$G292,月間集計シート!T$134:T$153)*AY$2</f>
        <v>0</v>
      </c>
    </row>
    <row r="293" spans="1:51" ht="14.25" thickBot="1">
      <c r="A293">
        <v>4</v>
      </c>
      <c r="B293" s="120">
        <f t="shared" si="132"/>
        <v>0</v>
      </c>
      <c r="C293" s="120" t="str">
        <f t="shared" si="133"/>
        <v/>
      </c>
      <c r="D293" s="137"/>
      <c r="E293" s="150" t="str">
        <f>工種!A30</f>
        <v>40108</v>
      </c>
      <c r="F293" s="119" t="str">
        <f>工種!B30</f>
        <v>テスト：総合評価実施</v>
      </c>
      <c r="G293" s="116" t="str">
        <f t="shared" si="134"/>
        <v>040108</v>
      </c>
      <c r="H293" s="88">
        <f t="shared" si="88"/>
        <v>0</v>
      </c>
      <c r="I293" s="132"/>
      <c r="J293" s="88">
        <f>SUMIF(月間集計シート!$M$29:$M$48,$G293,月間集計シート!N$29:N$48)*J$2</f>
        <v>0</v>
      </c>
      <c r="K293" s="88">
        <f>SUMIF(月間集計シート!$M$29:$M$48,$G293,月間集計シート!O$29:O$48)*K$2</f>
        <v>0</v>
      </c>
      <c r="L293" s="88">
        <f>SUMIF(月間集計シート!$M$29:$M$48,$G293,月間集計シート!P$29:P$48)*L$2</f>
        <v>0</v>
      </c>
      <c r="M293" s="88">
        <f>SUMIF(月間集計シート!$M$29:$M$48,$G293,月間集計シート!Q$29:Q$48)*M$2</f>
        <v>0</v>
      </c>
      <c r="N293" s="88">
        <f>SUMIF(月間集計シート!$M$29:$M$48,$G293,月間集計シート!R$29:R$48)*N$2</f>
        <v>0</v>
      </c>
      <c r="O293" s="88">
        <f>SUMIF(月間集計シート!$M$29:$M$48,$G293,月間集計シート!S$29:S$48)*O$2</f>
        <v>0</v>
      </c>
      <c r="P293" s="88">
        <f>SUMIF(月間集計シート!$M$29:$M$48,$G293,月間集計シート!T$29:T$48)*P$2</f>
        <v>0</v>
      </c>
      <c r="Q293" s="88">
        <f>SUMIF(月間集計シート!$M$50:$M$69,$G293,月間集計シート!N$50:N$69)*Q$2</f>
        <v>0</v>
      </c>
      <c r="R293" s="88">
        <f>SUMIF(月間集計シート!$M$50:$M$69,$G293,月間集計シート!O$50:O$69)*R$2</f>
        <v>0</v>
      </c>
      <c r="S293" s="88">
        <f>SUMIF(月間集計シート!$M$50:$M$69,$G293,月間集計シート!P$50:P$69)*S$2</f>
        <v>0</v>
      </c>
      <c r="T293" s="88">
        <f>SUMIF(月間集計シート!$M$50:$M$69,$G293,月間集計シート!Q$50:Q$69)*T$2</f>
        <v>0</v>
      </c>
      <c r="U293" s="88">
        <f>SUMIF(月間集計シート!$M$50:$M$69,$G293,月間集計シート!R$50:R$69)*U$2</f>
        <v>0</v>
      </c>
      <c r="V293" s="88">
        <f>SUMIF(月間集計シート!$M$50:$M$69,$G293,月間集計シート!S$50:S$69)*V$2</f>
        <v>0</v>
      </c>
      <c r="W293" s="88">
        <f>SUMIF(月間集計シート!$M$50:$M$69,$G293,月間集計シート!T$50:T$69)*W$2</f>
        <v>0</v>
      </c>
      <c r="X293" s="88">
        <f>SUMIF(月間集計シート!$M$71:$M$90,$G293,月間集計シート!N$71:N$90)*X$2</f>
        <v>0</v>
      </c>
      <c r="Y293" s="88">
        <f>SUMIF(月間集計シート!$M$71:$M$90,$G293,月間集計シート!O$71:O$90)*Y$2</f>
        <v>0</v>
      </c>
      <c r="Z293" s="88">
        <f>SUMIF(月間集計シート!$M$71:$M$90,$G293,月間集計シート!P$71:P$90)*Z$2</f>
        <v>0</v>
      </c>
      <c r="AA293" s="88">
        <f>SUMIF(月間集計シート!$M$71:$M$90,$G293,月間集計シート!Q$71:Q$90)*AA$2</f>
        <v>0</v>
      </c>
      <c r="AB293" s="88">
        <f>SUMIF(月間集計シート!$M$71:$M$90,$G293,月間集計シート!R$71:R$90)*AB$2</f>
        <v>0</v>
      </c>
      <c r="AC293" s="88">
        <f>SUMIF(月間集計シート!$M$71:$M$90,$G293,月間集計シート!S$71:S$90)*AC$2</f>
        <v>0</v>
      </c>
      <c r="AD293" s="88">
        <f>SUMIF(月間集計シート!$M$71:$M$90,$G293,月間集計シート!T$71:T$90)*AD$2</f>
        <v>0</v>
      </c>
      <c r="AE293" s="88">
        <f>SUMIF(月間集計シート!$M$92:$M$111,$G293,月間集計シート!N$92:N$111)*AE$2</f>
        <v>0</v>
      </c>
      <c r="AF293" s="88">
        <f>SUMIF(月間集計シート!$M$92:$M$111,$G293,月間集計シート!O$92:O$111)*AF$2</f>
        <v>0</v>
      </c>
      <c r="AG293" s="88">
        <f>SUMIF(月間集計シート!$M$92:$M$111,$G293,月間集計シート!P$92:P$111)*AG$2</f>
        <v>0</v>
      </c>
      <c r="AH293" s="88">
        <f>SUMIF(月間集計シート!$M$92:$M$111,$G293,月間集計シート!Q$92:Q$111)*AH$2</f>
        <v>0</v>
      </c>
      <c r="AI293" s="88">
        <f>SUMIF(月間集計シート!$M$92:$M$111,$G293,月間集計シート!R$92:R$111)*AI$2</f>
        <v>0</v>
      </c>
      <c r="AJ293" s="88">
        <f>SUMIF(月間集計シート!$M$92:$M$111,$G293,月間集計シート!S$92:S$111)*AJ$2</f>
        <v>0</v>
      </c>
      <c r="AK293" s="88">
        <f>SUMIF(月間集計シート!$M$92:$M$111,$G293,月間集計シート!T$92:T$111)*AK$2</f>
        <v>0</v>
      </c>
      <c r="AL293" s="88">
        <f>SUMIF(月間集計シート!$M$113:$M$132,$G293,月間集計シート!N$113:N$132)*AL$2</f>
        <v>0</v>
      </c>
      <c r="AM293" s="88">
        <f>SUMIF(月間集計シート!$M$113:$M$132,$G293,月間集計シート!O$113:O$132)*AM$2</f>
        <v>0</v>
      </c>
      <c r="AN293" s="88">
        <f>SUMIF(月間集計シート!$M$113:$M$132,$G293,月間集計シート!P$113:P$132)*AN$2</f>
        <v>0</v>
      </c>
      <c r="AO293" s="88">
        <f>SUMIF(月間集計シート!$M$113:$M$132,$G293,月間集計シート!Q$113:Q$132)*AO$2</f>
        <v>0</v>
      </c>
      <c r="AP293" s="88">
        <f>SUMIF(月間集計シート!$M$113:$M$132,$G293,月間集計シート!R$113:R$132)*AP$2</f>
        <v>0</v>
      </c>
      <c r="AQ293" s="88">
        <f>SUMIF(月間集計シート!$M$113:$M$132,$G293,月間集計シート!S$113:S$132)*AQ$2</f>
        <v>0</v>
      </c>
      <c r="AR293" s="88">
        <f>SUMIF(月間集計シート!$M$113:$M$132,$G293,月間集計シート!T$113:T$132)*AR$2</f>
        <v>0</v>
      </c>
      <c r="AS293" s="88">
        <f>SUMIF(月間集計シート!$M$134:$M$153,$G293,月間集計シート!N$134:N$153)*AS$2</f>
        <v>0</v>
      </c>
      <c r="AT293" s="88">
        <f>SUMIF(月間集計シート!$M$134:$M$153,$G293,月間集計シート!O$134:O$153)*AT$2</f>
        <v>0</v>
      </c>
      <c r="AU293" s="88">
        <f>SUMIF(月間集計シート!$M$134:$M$153,$G293,月間集計シート!P$134:P$153)*AU$2</f>
        <v>0</v>
      </c>
      <c r="AV293" s="88">
        <f>SUMIF(月間集計シート!$M$134:$M$153,$G293,月間集計シート!Q$134:Q$153)*AV$2</f>
        <v>0</v>
      </c>
      <c r="AW293" s="88">
        <f>SUMIF(月間集計シート!$M$134:$M$153,$G293,月間集計シート!R$134:R$153)*AW$2</f>
        <v>0</v>
      </c>
      <c r="AX293" s="88">
        <f>SUMIF(月間集計シート!$M$134:$M$153,$G293,月間集計シート!S$134:S$153)*AX$2</f>
        <v>0</v>
      </c>
      <c r="AY293" s="88">
        <f>SUMIF(月間集計シート!$M$134:$M$153,$G293,月間集計シート!T$134:T$153)*AY$2</f>
        <v>0</v>
      </c>
    </row>
    <row r="294" spans="1:51" ht="14.25" thickBot="1">
      <c r="A294">
        <v>4</v>
      </c>
      <c r="B294" s="120">
        <f t="shared" si="132"/>
        <v>0</v>
      </c>
      <c r="C294" s="120" t="str">
        <f t="shared" si="133"/>
        <v/>
      </c>
      <c r="D294" s="137"/>
      <c r="E294" s="150" t="str">
        <f>工種!A31</f>
        <v>40109</v>
      </c>
      <c r="F294" s="119" t="str">
        <f>工種!B31</f>
        <v>テスト：打合せ</v>
      </c>
      <c r="G294" s="116" t="str">
        <f t="shared" si="134"/>
        <v>040109</v>
      </c>
      <c r="H294" s="88">
        <f t="shared" si="88"/>
        <v>0</v>
      </c>
      <c r="I294" s="132"/>
      <c r="J294" s="88">
        <f>SUMIF(月間集計シート!$M$29:$M$48,$G294,月間集計シート!N$29:N$48)*J$2</f>
        <v>0</v>
      </c>
      <c r="K294" s="88">
        <f>SUMIF(月間集計シート!$M$29:$M$48,$G294,月間集計シート!O$29:O$48)*K$2</f>
        <v>0</v>
      </c>
      <c r="L294" s="88">
        <f>SUMIF(月間集計シート!$M$29:$M$48,$G294,月間集計シート!P$29:P$48)*L$2</f>
        <v>0</v>
      </c>
      <c r="M294" s="88">
        <f>SUMIF(月間集計シート!$M$29:$M$48,$G294,月間集計シート!Q$29:Q$48)*M$2</f>
        <v>0</v>
      </c>
      <c r="N294" s="88">
        <f>SUMIF(月間集計シート!$M$29:$M$48,$G294,月間集計シート!R$29:R$48)*N$2</f>
        <v>0</v>
      </c>
      <c r="O294" s="88">
        <f>SUMIF(月間集計シート!$M$29:$M$48,$G294,月間集計シート!S$29:S$48)*O$2</f>
        <v>0</v>
      </c>
      <c r="P294" s="88">
        <f>SUMIF(月間集計シート!$M$29:$M$48,$G294,月間集計シート!T$29:T$48)*P$2</f>
        <v>0</v>
      </c>
      <c r="Q294" s="88">
        <f>SUMIF(月間集計シート!$M$50:$M$69,$G294,月間集計シート!N$50:N$69)*Q$2</f>
        <v>0</v>
      </c>
      <c r="R294" s="88">
        <f>SUMIF(月間集計シート!$M$50:$M$69,$G294,月間集計シート!O$50:O$69)*R$2</f>
        <v>0</v>
      </c>
      <c r="S294" s="88">
        <f>SUMIF(月間集計シート!$M$50:$M$69,$G294,月間集計シート!P$50:P$69)*S$2</f>
        <v>0</v>
      </c>
      <c r="T294" s="88">
        <f>SUMIF(月間集計シート!$M$50:$M$69,$G294,月間集計シート!Q$50:Q$69)*T$2</f>
        <v>0</v>
      </c>
      <c r="U294" s="88">
        <f>SUMIF(月間集計シート!$M$50:$M$69,$G294,月間集計シート!R$50:R$69)*U$2</f>
        <v>0</v>
      </c>
      <c r="V294" s="88">
        <f>SUMIF(月間集計シート!$M$50:$M$69,$G294,月間集計シート!S$50:S$69)*V$2</f>
        <v>0</v>
      </c>
      <c r="W294" s="88">
        <f>SUMIF(月間集計シート!$M$50:$M$69,$G294,月間集計シート!T$50:T$69)*W$2</f>
        <v>0</v>
      </c>
      <c r="X294" s="88">
        <f>SUMIF(月間集計シート!$M$71:$M$90,$G294,月間集計シート!N$71:N$90)*X$2</f>
        <v>0</v>
      </c>
      <c r="Y294" s="88">
        <f>SUMIF(月間集計シート!$M$71:$M$90,$G294,月間集計シート!O$71:O$90)*Y$2</f>
        <v>0</v>
      </c>
      <c r="Z294" s="88">
        <f>SUMIF(月間集計シート!$M$71:$M$90,$G294,月間集計シート!P$71:P$90)*Z$2</f>
        <v>0</v>
      </c>
      <c r="AA294" s="88">
        <f>SUMIF(月間集計シート!$M$71:$M$90,$G294,月間集計シート!Q$71:Q$90)*AA$2</f>
        <v>0</v>
      </c>
      <c r="AB294" s="88">
        <f>SUMIF(月間集計シート!$M$71:$M$90,$G294,月間集計シート!R$71:R$90)*AB$2</f>
        <v>0</v>
      </c>
      <c r="AC294" s="88">
        <f>SUMIF(月間集計シート!$M$71:$M$90,$G294,月間集計シート!S$71:S$90)*AC$2</f>
        <v>0</v>
      </c>
      <c r="AD294" s="88">
        <f>SUMIF(月間集計シート!$M$71:$M$90,$G294,月間集計シート!T$71:T$90)*AD$2</f>
        <v>0</v>
      </c>
      <c r="AE294" s="88">
        <f>SUMIF(月間集計シート!$M$92:$M$111,$G294,月間集計シート!N$92:N$111)*AE$2</f>
        <v>0</v>
      </c>
      <c r="AF294" s="88">
        <f>SUMIF(月間集計シート!$M$92:$M$111,$G294,月間集計シート!O$92:O$111)*AF$2</f>
        <v>0</v>
      </c>
      <c r="AG294" s="88">
        <f>SUMIF(月間集計シート!$M$92:$M$111,$G294,月間集計シート!P$92:P$111)*AG$2</f>
        <v>0</v>
      </c>
      <c r="AH294" s="88">
        <f>SUMIF(月間集計シート!$M$92:$M$111,$G294,月間集計シート!Q$92:Q$111)*AH$2</f>
        <v>0</v>
      </c>
      <c r="AI294" s="88">
        <f>SUMIF(月間集計シート!$M$92:$M$111,$G294,月間集計シート!R$92:R$111)*AI$2</f>
        <v>0</v>
      </c>
      <c r="AJ294" s="88">
        <f>SUMIF(月間集計シート!$M$92:$M$111,$G294,月間集計シート!S$92:S$111)*AJ$2</f>
        <v>0</v>
      </c>
      <c r="AK294" s="88">
        <f>SUMIF(月間集計シート!$M$92:$M$111,$G294,月間集計シート!T$92:T$111)*AK$2</f>
        <v>0</v>
      </c>
      <c r="AL294" s="88">
        <f>SUMIF(月間集計シート!$M$113:$M$132,$G294,月間集計シート!N$113:N$132)*AL$2</f>
        <v>0</v>
      </c>
      <c r="AM294" s="88">
        <f>SUMIF(月間集計シート!$M$113:$M$132,$G294,月間集計シート!O$113:O$132)*AM$2</f>
        <v>0</v>
      </c>
      <c r="AN294" s="88">
        <f>SUMIF(月間集計シート!$M$113:$M$132,$G294,月間集計シート!P$113:P$132)*AN$2</f>
        <v>0</v>
      </c>
      <c r="AO294" s="88">
        <f>SUMIF(月間集計シート!$M$113:$M$132,$G294,月間集計シート!Q$113:Q$132)*AO$2</f>
        <v>0</v>
      </c>
      <c r="AP294" s="88">
        <f>SUMIF(月間集計シート!$M$113:$M$132,$G294,月間集計シート!R$113:R$132)*AP$2</f>
        <v>0</v>
      </c>
      <c r="AQ294" s="88">
        <f>SUMIF(月間集計シート!$M$113:$M$132,$G294,月間集計シート!S$113:S$132)*AQ$2</f>
        <v>0</v>
      </c>
      <c r="AR294" s="88">
        <f>SUMIF(月間集計シート!$M$113:$M$132,$G294,月間集計シート!T$113:T$132)*AR$2</f>
        <v>0</v>
      </c>
      <c r="AS294" s="88">
        <f>SUMIF(月間集計シート!$M$134:$M$153,$G294,月間集計シート!N$134:N$153)*AS$2</f>
        <v>0</v>
      </c>
      <c r="AT294" s="88">
        <f>SUMIF(月間集計シート!$M$134:$M$153,$G294,月間集計シート!O$134:O$153)*AT$2</f>
        <v>0</v>
      </c>
      <c r="AU294" s="88">
        <f>SUMIF(月間集計シート!$M$134:$M$153,$G294,月間集計シート!P$134:P$153)*AU$2</f>
        <v>0</v>
      </c>
      <c r="AV294" s="88">
        <f>SUMIF(月間集計シート!$M$134:$M$153,$G294,月間集計シート!Q$134:Q$153)*AV$2</f>
        <v>0</v>
      </c>
      <c r="AW294" s="88">
        <f>SUMIF(月間集計シート!$M$134:$M$153,$G294,月間集計シート!R$134:R$153)*AW$2</f>
        <v>0</v>
      </c>
      <c r="AX294" s="88">
        <f>SUMIF(月間集計シート!$M$134:$M$153,$G294,月間集計シート!S$134:S$153)*AX$2</f>
        <v>0</v>
      </c>
      <c r="AY294" s="88">
        <f>SUMIF(月間集計シート!$M$134:$M$153,$G294,月間集計シート!T$134:T$153)*AY$2</f>
        <v>0</v>
      </c>
    </row>
    <row r="295" spans="1:51" ht="14.25" thickBot="1">
      <c r="A295">
        <v>4</v>
      </c>
      <c r="B295" s="120">
        <f t="shared" si="132"/>
        <v>0</v>
      </c>
      <c r="C295" s="120" t="str">
        <f t="shared" si="133"/>
        <v/>
      </c>
      <c r="D295" s="137"/>
      <c r="E295" s="150" t="str">
        <f>工種!A32</f>
        <v>40110</v>
      </c>
      <c r="F295" s="119" t="str">
        <f>工種!B32</f>
        <v>テスト：レビュー</v>
      </c>
      <c r="G295" s="116" t="str">
        <f t="shared" si="134"/>
        <v>040110</v>
      </c>
      <c r="H295" s="88">
        <f t="shared" si="88"/>
        <v>0</v>
      </c>
      <c r="I295" s="132"/>
      <c r="J295" s="88">
        <f>SUMIF(月間集計シート!$M$29:$M$48,$G295,月間集計シート!N$29:N$48)*J$2</f>
        <v>0</v>
      </c>
      <c r="K295" s="88">
        <f>SUMIF(月間集計シート!$M$29:$M$48,$G295,月間集計シート!O$29:O$48)*K$2</f>
        <v>0</v>
      </c>
      <c r="L295" s="88">
        <f>SUMIF(月間集計シート!$M$29:$M$48,$G295,月間集計シート!P$29:P$48)*L$2</f>
        <v>0</v>
      </c>
      <c r="M295" s="88">
        <f>SUMIF(月間集計シート!$M$29:$M$48,$G295,月間集計シート!Q$29:Q$48)*M$2</f>
        <v>0</v>
      </c>
      <c r="N295" s="88">
        <f>SUMIF(月間集計シート!$M$29:$M$48,$G295,月間集計シート!R$29:R$48)*N$2</f>
        <v>0</v>
      </c>
      <c r="O295" s="88">
        <f>SUMIF(月間集計シート!$M$29:$M$48,$G295,月間集計シート!S$29:S$48)*O$2</f>
        <v>0</v>
      </c>
      <c r="P295" s="88">
        <f>SUMIF(月間集計シート!$M$29:$M$48,$G295,月間集計シート!T$29:T$48)*P$2</f>
        <v>0</v>
      </c>
      <c r="Q295" s="88">
        <f>SUMIF(月間集計シート!$M$50:$M$69,$G295,月間集計シート!N$50:N$69)*Q$2</f>
        <v>0</v>
      </c>
      <c r="R295" s="88">
        <f>SUMIF(月間集計シート!$M$50:$M$69,$G295,月間集計シート!O$50:O$69)*R$2</f>
        <v>0</v>
      </c>
      <c r="S295" s="88">
        <f>SUMIF(月間集計シート!$M$50:$M$69,$G295,月間集計シート!P$50:P$69)*S$2</f>
        <v>0</v>
      </c>
      <c r="T295" s="88">
        <f>SUMIF(月間集計シート!$M$50:$M$69,$G295,月間集計シート!Q$50:Q$69)*T$2</f>
        <v>0</v>
      </c>
      <c r="U295" s="88">
        <f>SUMIF(月間集計シート!$M$50:$M$69,$G295,月間集計シート!R$50:R$69)*U$2</f>
        <v>0</v>
      </c>
      <c r="V295" s="88">
        <f>SUMIF(月間集計シート!$M$50:$M$69,$G295,月間集計シート!S$50:S$69)*V$2</f>
        <v>0</v>
      </c>
      <c r="W295" s="88">
        <f>SUMIF(月間集計シート!$M$50:$M$69,$G295,月間集計シート!T$50:T$69)*W$2</f>
        <v>0</v>
      </c>
      <c r="X295" s="88">
        <f>SUMIF(月間集計シート!$M$71:$M$90,$G295,月間集計シート!N$71:N$90)*X$2</f>
        <v>0</v>
      </c>
      <c r="Y295" s="88">
        <f>SUMIF(月間集計シート!$M$71:$M$90,$G295,月間集計シート!O$71:O$90)*Y$2</f>
        <v>0</v>
      </c>
      <c r="Z295" s="88">
        <f>SUMIF(月間集計シート!$M$71:$M$90,$G295,月間集計シート!P$71:P$90)*Z$2</f>
        <v>0</v>
      </c>
      <c r="AA295" s="88">
        <f>SUMIF(月間集計シート!$M$71:$M$90,$G295,月間集計シート!Q$71:Q$90)*AA$2</f>
        <v>0</v>
      </c>
      <c r="AB295" s="88">
        <f>SUMIF(月間集計シート!$M$71:$M$90,$G295,月間集計シート!R$71:R$90)*AB$2</f>
        <v>0</v>
      </c>
      <c r="AC295" s="88">
        <f>SUMIF(月間集計シート!$M$71:$M$90,$G295,月間集計シート!S$71:S$90)*AC$2</f>
        <v>0</v>
      </c>
      <c r="AD295" s="88">
        <f>SUMIF(月間集計シート!$M$71:$M$90,$G295,月間集計シート!T$71:T$90)*AD$2</f>
        <v>0</v>
      </c>
      <c r="AE295" s="88">
        <f>SUMIF(月間集計シート!$M$92:$M$111,$G295,月間集計シート!N$92:N$111)*AE$2</f>
        <v>0</v>
      </c>
      <c r="AF295" s="88">
        <f>SUMIF(月間集計シート!$M$92:$M$111,$G295,月間集計シート!O$92:O$111)*AF$2</f>
        <v>0</v>
      </c>
      <c r="AG295" s="88">
        <f>SUMIF(月間集計シート!$M$92:$M$111,$G295,月間集計シート!P$92:P$111)*AG$2</f>
        <v>0</v>
      </c>
      <c r="AH295" s="88">
        <f>SUMIF(月間集計シート!$M$92:$M$111,$G295,月間集計シート!Q$92:Q$111)*AH$2</f>
        <v>0</v>
      </c>
      <c r="AI295" s="88">
        <f>SUMIF(月間集計シート!$M$92:$M$111,$G295,月間集計シート!R$92:R$111)*AI$2</f>
        <v>0</v>
      </c>
      <c r="AJ295" s="88">
        <f>SUMIF(月間集計シート!$M$92:$M$111,$G295,月間集計シート!S$92:S$111)*AJ$2</f>
        <v>0</v>
      </c>
      <c r="AK295" s="88">
        <f>SUMIF(月間集計シート!$M$92:$M$111,$G295,月間集計シート!T$92:T$111)*AK$2</f>
        <v>0</v>
      </c>
      <c r="AL295" s="88">
        <f>SUMIF(月間集計シート!$M$113:$M$132,$G295,月間集計シート!N$113:N$132)*AL$2</f>
        <v>0</v>
      </c>
      <c r="AM295" s="88">
        <f>SUMIF(月間集計シート!$M$113:$M$132,$G295,月間集計シート!O$113:O$132)*AM$2</f>
        <v>0</v>
      </c>
      <c r="AN295" s="88">
        <f>SUMIF(月間集計シート!$M$113:$M$132,$G295,月間集計シート!P$113:P$132)*AN$2</f>
        <v>0</v>
      </c>
      <c r="AO295" s="88">
        <f>SUMIF(月間集計シート!$M$113:$M$132,$G295,月間集計シート!Q$113:Q$132)*AO$2</f>
        <v>0</v>
      </c>
      <c r="AP295" s="88">
        <f>SUMIF(月間集計シート!$M$113:$M$132,$G295,月間集計シート!R$113:R$132)*AP$2</f>
        <v>0</v>
      </c>
      <c r="AQ295" s="88">
        <f>SUMIF(月間集計シート!$M$113:$M$132,$G295,月間集計シート!S$113:S$132)*AQ$2</f>
        <v>0</v>
      </c>
      <c r="AR295" s="88">
        <f>SUMIF(月間集計シート!$M$113:$M$132,$G295,月間集計シート!T$113:T$132)*AR$2</f>
        <v>0</v>
      </c>
      <c r="AS295" s="88">
        <f>SUMIF(月間集計シート!$M$134:$M$153,$G295,月間集計シート!N$134:N$153)*AS$2</f>
        <v>0</v>
      </c>
      <c r="AT295" s="88">
        <f>SUMIF(月間集計シート!$M$134:$M$153,$G295,月間集計シート!O$134:O$153)*AT$2</f>
        <v>0</v>
      </c>
      <c r="AU295" s="88">
        <f>SUMIF(月間集計シート!$M$134:$M$153,$G295,月間集計シート!P$134:P$153)*AU$2</f>
        <v>0</v>
      </c>
      <c r="AV295" s="88">
        <f>SUMIF(月間集計シート!$M$134:$M$153,$G295,月間集計シート!Q$134:Q$153)*AV$2</f>
        <v>0</v>
      </c>
      <c r="AW295" s="88">
        <f>SUMIF(月間集計シート!$M$134:$M$153,$G295,月間集計シート!R$134:R$153)*AW$2</f>
        <v>0</v>
      </c>
      <c r="AX295" s="88">
        <f>SUMIF(月間集計シート!$M$134:$M$153,$G295,月間集計シート!S$134:S$153)*AX$2</f>
        <v>0</v>
      </c>
      <c r="AY295" s="88">
        <f>SUMIF(月間集計シート!$M$134:$M$153,$G295,月間集計シート!T$134:T$153)*AY$2</f>
        <v>0</v>
      </c>
    </row>
    <row r="296" spans="1:51" ht="14.25" thickBot="1">
      <c r="A296">
        <v>4</v>
      </c>
      <c r="B296" s="120">
        <f t="shared" si="132"/>
        <v>0</v>
      </c>
      <c r="C296" s="120" t="str">
        <f t="shared" si="133"/>
        <v/>
      </c>
      <c r="D296" s="137"/>
      <c r="E296" s="150" t="str">
        <f>工種!A33</f>
        <v>40111</v>
      </c>
      <c r="F296" s="119" t="str">
        <f>工種!B33</f>
        <v>テスト：PG修正（手戻り分）</v>
      </c>
      <c r="G296" s="116" t="str">
        <f t="shared" si="134"/>
        <v>040111</v>
      </c>
      <c r="H296" s="88">
        <f t="shared" si="88"/>
        <v>0</v>
      </c>
      <c r="I296" s="132"/>
      <c r="J296" s="88">
        <f>SUMIF(月間集計シート!$M$29:$M$48,$G296,月間集計シート!N$29:N$48)*J$2</f>
        <v>0</v>
      </c>
      <c r="K296" s="88">
        <f>SUMIF(月間集計シート!$M$29:$M$48,$G296,月間集計シート!O$29:O$48)*K$2</f>
        <v>0</v>
      </c>
      <c r="L296" s="88">
        <f>SUMIF(月間集計シート!$M$29:$M$48,$G296,月間集計シート!P$29:P$48)*L$2</f>
        <v>0</v>
      </c>
      <c r="M296" s="88">
        <f>SUMIF(月間集計シート!$M$29:$M$48,$G296,月間集計シート!Q$29:Q$48)*M$2</f>
        <v>0</v>
      </c>
      <c r="N296" s="88">
        <f>SUMIF(月間集計シート!$M$29:$M$48,$G296,月間集計シート!R$29:R$48)*N$2</f>
        <v>0</v>
      </c>
      <c r="O296" s="88">
        <f>SUMIF(月間集計シート!$M$29:$M$48,$G296,月間集計シート!S$29:S$48)*O$2</f>
        <v>0</v>
      </c>
      <c r="P296" s="88">
        <f>SUMIF(月間集計シート!$M$29:$M$48,$G296,月間集計シート!T$29:T$48)*P$2</f>
        <v>0</v>
      </c>
      <c r="Q296" s="88">
        <f>SUMIF(月間集計シート!$M$50:$M$69,$G296,月間集計シート!N$50:N$69)*Q$2</f>
        <v>0</v>
      </c>
      <c r="R296" s="88">
        <f>SUMIF(月間集計シート!$M$50:$M$69,$G296,月間集計シート!O$50:O$69)*R$2</f>
        <v>0</v>
      </c>
      <c r="S296" s="88">
        <f>SUMIF(月間集計シート!$M$50:$M$69,$G296,月間集計シート!P$50:P$69)*S$2</f>
        <v>0</v>
      </c>
      <c r="T296" s="88">
        <f>SUMIF(月間集計シート!$M$50:$M$69,$G296,月間集計シート!Q$50:Q$69)*T$2</f>
        <v>0</v>
      </c>
      <c r="U296" s="88">
        <f>SUMIF(月間集計シート!$M$50:$M$69,$G296,月間集計シート!R$50:R$69)*U$2</f>
        <v>0</v>
      </c>
      <c r="V296" s="88">
        <f>SUMIF(月間集計シート!$M$50:$M$69,$G296,月間集計シート!S$50:S$69)*V$2</f>
        <v>0</v>
      </c>
      <c r="W296" s="88">
        <f>SUMIF(月間集計シート!$M$50:$M$69,$G296,月間集計シート!T$50:T$69)*W$2</f>
        <v>0</v>
      </c>
      <c r="X296" s="88">
        <f>SUMIF(月間集計シート!$M$71:$M$90,$G296,月間集計シート!N$71:N$90)*X$2</f>
        <v>0</v>
      </c>
      <c r="Y296" s="88">
        <f>SUMIF(月間集計シート!$M$71:$M$90,$G296,月間集計シート!O$71:O$90)*Y$2</f>
        <v>0</v>
      </c>
      <c r="Z296" s="88">
        <f>SUMIF(月間集計シート!$M$71:$M$90,$G296,月間集計シート!P$71:P$90)*Z$2</f>
        <v>0</v>
      </c>
      <c r="AA296" s="88">
        <f>SUMIF(月間集計シート!$M$71:$M$90,$G296,月間集計シート!Q$71:Q$90)*AA$2</f>
        <v>0</v>
      </c>
      <c r="AB296" s="88">
        <f>SUMIF(月間集計シート!$M$71:$M$90,$G296,月間集計シート!R$71:R$90)*AB$2</f>
        <v>0</v>
      </c>
      <c r="AC296" s="88">
        <f>SUMIF(月間集計シート!$M$71:$M$90,$G296,月間集計シート!S$71:S$90)*AC$2</f>
        <v>0</v>
      </c>
      <c r="AD296" s="88">
        <f>SUMIF(月間集計シート!$M$71:$M$90,$G296,月間集計シート!T$71:T$90)*AD$2</f>
        <v>0</v>
      </c>
      <c r="AE296" s="88">
        <f>SUMIF(月間集計シート!$M$92:$M$111,$G296,月間集計シート!N$92:N$111)*AE$2</f>
        <v>0</v>
      </c>
      <c r="AF296" s="88">
        <f>SUMIF(月間集計シート!$M$92:$M$111,$G296,月間集計シート!O$92:O$111)*AF$2</f>
        <v>0</v>
      </c>
      <c r="AG296" s="88">
        <f>SUMIF(月間集計シート!$M$92:$M$111,$G296,月間集計シート!P$92:P$111)*AG$2</f>
        <v>0</v>
      </c>
      <c r="AH296" s="88">
        <f>SUMIF(月間集計シート!$M$92:$M$111,$G296,月間集計シート!Q$92:Q$111)*AH$2</f>
        <v>0</v>
      </c>
      <c r="AI296" s="88">
        <f>SUMIF(月間集計シート!$M$92:$M$111,$G296,月間集計シート!R$92:R$111)*AI$2</f>
        <v>0</v>
      </c>
      <c r="AJ296" s="88">
        <f>SUMIF(月間集計シート!$M$92:$M$111,$G296,月間集計シート!S$92:S$111)*AJ$2</f>
        <v>0</v>
      </c>
      <c r="AK296" s="88">
        <f>SUMIF(月間集計シート!$M$92:$M$111,$G296,月間集計シート!T$92:T$111)*AK$2</f>
        <v>0</v>
      </c>
      <c r="AL296" s="88">
        <f>SUMIF(月間集計シート!$M$113:$M$132,$G296,月間集計シート!N$113:N$132)*AL$2</f>
        <v>0</v>
      </c>
      <c r="AM296" s="88">
        <f>SUMIF(月間集計シート!$M$113:$M$132,$G296,月間集計シート!O$113:O$132)*AM$2</f>
        <v>0</v>
      </c>
      <c r="AN296" s="88">
        <f>SUMIF(月間集計シート!$M$113:$M$132,$G296,月間集計シート!P$113:P$132)*AN$2</f>
        <v>0</v>
      </c>
      <c r="AO296" s="88">
        <f>SUMIF(月間集計シート!$M$113:$M$132,$G296,月間集計シート!Q$113:Q$132)*AO$2</f>
        <v>0</v>
      </c>
      <c r="AP296" s="88">
        <f>SUMIF(月間集計シート!$M$113:$M$132,$G296,月間集計シート!R$113:R$132)*AP$2</f>
        <v>0</v>
      </c>
      <c r="AQ296" s="88">
        <f>SUMIF(月間集計シート!$M$113:$M$132,$G296,月間集計シート!S$113:S$132)*AQ$2</f>
        <v>0</v>
      </c>
      <c r="AR296" s="88">
        <f>SUMIF(月間集計シート!$M$113:$M$132,$G296,月間集計シート!T$113:T$132)*AR$2</f>
        <v>0</v>
      </c>
      <c r="AS296" s="88">
        <f>SUMIF(月間集計シート!$M$134:$M$153,$G296,月間集計シート!N$134:N$153)*AS$2</f>
        <v>0</v>
      </c>
      <c r="AT296" s="88">
        <f>SUMIF(月間集計シート!$M$134:$M$153,$G296,月間集計シート!O$134:O$153)*AT$2</f>
        <v>0</v>
      </c>
      <c r="AU296" s="88">
        <f>SUMIF(月間集計シート!$M$134:$M$153,$G296,月間集計シート!P$134:P$153)*AU$2</f>
        <v>0</v>
      </c>
      <c r="AV296" s="88">
        <f>SUMIF(月間集計シート!$M$134:$M$153,$G296,月間集計シート!Q$134:Q$153)*AV$2</f>
        <v>0</v>
      </c>
      <c r="AW296" s="88">
        <f>SUMIF(月間集計シート!$M$134:$M$153,$G296,月間集計シート!R$134:R$153)*AW$2</f>
        <v>0</v>
      </c>
      <c r="AX296" s="88">
        <f>SUMIF(月間集計シート!$M$134:$M$153,$G296,月間集計シート!S$134:S$153)*AX$2</f>
        <v>0</v>
      </c>
      <c r="AY296" s="88">
        <f>SUMIF(月間集計シート!$M$134:$M$153,$G296,月間集計シート!T$134:T$153)*AY$2</f>
        <v>0</v>
      </c>
    </row>
    <row r="297" spans="1:51" ht="14.25" thickBot="1">
      <c r="A297">
        <v>4</v>
      </c>
      <c r="B297" s="120">
        <f t="shared" si="132"/>
        <v>0</v>
      </c>
      <c r="C297" s="120" t="str">
        <f t="shared" si="133"/>
        <v/>
      </c>
      <c r="D297" s="137"/>
      <c r="E297" s="150" t="str">
        <f>工種!A34</f>
        <v>40112</v>
      </c>
      <c r="F297" s="119" t="str">
        <f>工種!B34</f>
        <v>テスト：再テスト（手戻り分）</v>
      </c>
      <c r="G297" s="116" t="str">
        <f t="shared" si="134"/>
        <v>040112</v>
      </c>
      <c r="H297" s="88">
        <f t="shared" si="88"/>
        <v>0</v>
      </c>
      <c r="I297" s="132"/>
      <c r="J297" s="88">
        <f>SUMIF(月間集計シート!$M$29:$M$48,$G297,月間集計シート!N$29:N$48)*J$2</f>
        <v>0</v>
      </c>
      <c r="K297" s="88">
        <f>SUMIF(月間集計シート!$M$29:$M$48,$G297,月間集計シート!O$29:O$48)*K$2</f>
        <v>0</v>
      </c>
      <c r="L297" s="88">
        <f>SUMIF(月間集計シート!$M$29:$M$48,$G297,月間集計シート!P$29:P$48)*L$2</f>
        <v>0</v>
      </c>
      <c r="M297" s="88">
        <f>SUMIF(月間集計シート!$M$29:$M$48,$G297,月間集計シート!Q$29:Q$48)*M$2</f>
        <v>0</v>
      </c>
      <c r="N297" s="88">
        <f>SUMIF(月間集計シート!$M$29:$M$48,$G297,月間集計シート!R$29:R$48)*N$2</f>
        <v>0</v>
      </c>
      <c r="O297" s="88">
        <f>SUMIF(月間集計シート!$M$29:$M$48,$G297,月間集計シート!S$29:S$48)*O$2</f>
        <v>0</v>
      </c>
      <c r="P297" s="88">
        <f>SUMIF(月間集計シート!$M$29:$M$48,$G297,月間集計シート!T$29:T$48)*P$2</f>
        <v>0</v>
      </c>
      <c r="Q297" s="88">
        <f>SUMIF(月間集計シート!$M$50:$M$69,$G297,月間集計シート!N$50:N$69)*Q$2</f>
        <v>0</v>
      </c>
      <c r="R297" s="88">
        <f>SUMIF(月間集計シート!$M$50:$M$69,$G297,月間集計シート!O$50:O$69)*R$2</f>
        <v>0</v>
      </c>
      <c r="S297" s="88">
        <f>SUMIF(月間集計シート!$M$50:$M$69,$G297,月間集計シート!P$50:P$69)*S$2</f>
        <v>0</v>
      </c>
      <c r="T297" s="88">
        <f>SUMIF(月間集計シート!$M$50:$M$69,$G297,月間集計シート!Q$50:Q$69)*T$2</f>
        <v>0</v>
      </c>
      <c r="U297" s="88">
        <f>SUMIF(月間集計シート!$M$50:$M$69,$G297,月間集計シート!R$50:R$69)*U$2</f>
        <v>0</v>
      </c>
      <c r="V297" s="88">
        <f>SUMIF(月間集計シート!$M$50:$M$69,$G297,月間集計シート!S$50:S$69)*V$2</f>
        <v>0</v>
      </c>
      <c r="W297" s="88">
        <f>SUMIF(月間集計シート!$M$50:$M$69,$G297,月間集計シート!T$50:T$69)*W$2</f>
        <v>0</v>
      </c>
      <c r="X297" s="88">
        <f>SUMIF(月間集計シート!$M$71:$M$90,$G297,月間集計シート!N$71:N$90)*X$2</f>
        <v>0</v>
      </c>
      <c r="Y297" s="88">
        <f>SUMIF(月間集計シート!$M$71:$M$90,$G297,月間集計シート!O$71:O$90)*Y$2</f>
        <v>0</v>
      </c>
      <c r="Z297" s="88">
        <f>SUMIF(月間集計シート!$M$71:$M$90,$G297,月間集計シート!P$71:P$90)*Z$2</f>
        <v>0</v>
      </c>
      <c r="AA297" s="88">
        <f>SUMIF(月間集計シート!$M$71:$M$90,$G297,月間集計シート!Q$71:Q$90)*AA$2</f>
        <v>0</v>
      </c>
      <c r="AB297" s="88">
        <f>SUMIF(月間集計シート!$M$71:$M$90,$G297,月間集計シート!R$71:R$90)*AB$2</f>
        <v>0</v>
      </c>
      <c r="AC297" s="88">
        <f>SUMIF(月間集計シート!$M$71:$M$90,$G297,月間集計シート!S$71:S$90)*AC$2</f>
        <v>0</v>
      </c>
      <c r="AD297" s="88">
        <f>SUMIF(月間集計シート!$M$71:$M$90,$G297,月間集計シート!T$71:T$90)*AD$2</f>
        <v>0</v>
      </c>
      <c r="AE297" s="88">
        <f>SUMIF(月間集計シート!$M$92:$M$111,$G297,月間集計シート!N$92:N$111)*AE$2</f>
        <v>0</v>
      </c>
      <c r="AF297" s="88">
        <f>SUMIF(月間集計シート!$M$92:$M$111,$G297,月間集計シート!O$92:O$111)*AF$2</f>
        <v>0</v>
      </c>
      <c r="AG297" s="88">
        <f>SUMIF(月間集計シート!$M$92:$M$111,$G297,月間集計シート!P$92:P$111)*AG$2</f>
        <v>0</v>
      </c>
      <c r="AH297" s="88">
        <f>SUMIF(月間集計シート!$M$92:$M$111,$G297,月間集計シート!Q$92:Q$111)*AH$2</f>
        <v>0</v>
      </c>
      <c r="AI297" s="88">
        <f>SUMIF(月間集計シート!$M$92:$M$111,$G297,月間集計シート!R$92:R$111)*AI$2</f>
        <v>0</v>
      </c>
      <c r="AJ297" s="88">
        <f>SUMIF(月間集計シート!$M$92:$M$111,$G297,月間集計シート!S$92:S$111)*AJ$2</f>
        <v>0</v>
      </c>
      <c r="AK297" s="88">
        <f>SUMIF(月間集計シート!$M$92:$M$111,$G297,月間集計シート!T$92:T$111)*AK$2</f>
        <v>0</v>
      </c>
      <c r="AL297" s="88">
        <f>SUMIF(月間集計シート!$M$113:$M$132,$G297,月間集計シート!N$113:N$132)*AL$2</f>
        <v>0</v>
      </c>
      <c r="AM297" s="88">
        <f>SUMIF(月間集計シート!$M$113:$M$132,$G297,月間集計シート!O$113:O$132)*AM$2</f>
        <v>0</v>
      </c>
      <c r="AN297" s="88">
        <f>SUMIF(月間集計シート!$M$113:$M$132,$G297,月間集計シート!P$113:P$132)*AN$2</f>
        <v>0</v>
      </c>
      <c r="AO297" s="88">
        <f>SUMIF(月間集計シート!$M$113:$M$132,$G297,月間集計シート!Q$113:Q$132)*AO$2</f>
        <v>0</v>
      </c>
      <c r="AP297" s="88">
        <f>SUMIF(月間集計シート!$M$113:$M$132,$G297,月間集計シート!R$113:R$132)*AP$2</f>
        <v>0</v>
      </c>
      <c r="AQ297" s="88">
        <f>SUMIF(月間集計シート!$M$113:$M$132,$G297,月間集計シート!S$113:S$132)*AQ$2</f>
        <v>0</v>
      </c>
      <c r="AR297" s="88">
        <f>SUMIF(月間集計シート!$M$113:$M$132,$G297,月間集計シート!T$113:T$132)*AR$2</f>
        <v>0</v>
      </c>
      <c r="AS297" s="88">
        <f>SUMIF(月間集計シート!$M$134:$M$153,$G297,月間集計シート!N$134:N$153)*AS$2</f>
        <v>0</v>
      </c>
      <c r="AT297" s="88">
        <f>SUMIF(月間集計シート!$M$134:$M$153,$G297,月間集計シート!O$134:O$153)*AT$2</f>
        <v>0</v>
      </c>
      <c r="AU297" s="88">
        <f>SUMIF(月間集計シート!$M$134:$M$153,$G297,月間集計シート!P$134:P$153)*AU$2</f>
        <v>0</v>
      </c>
      <c r="AV297" s="88">
        <f>SUMIF(月間集計シート!$M$134:$M$153,$G297,月間集計シート!Q$134:Q$153)*AV$2</f>
        <v>0</v>
      </c>
      <c r="AW297" s="88">
        <f>SUMIF(月間集計シート!$M$134:$M$153,$G297,月間集計シート!R$134:R$153)*AW$2</f>
        <v>0</v>
      </c>
      <c r="AX297" s="88">
        <f>SUMIF(月間集計シート!$M$134:$M$153,$G297,月間集計シート!S$134:S$153)*AX$2</f>
        <v>0</v>
      </c>
      <c r="AY297" s="88">
        <f>SUMIF(月間集計シート!$M$134:$M$153,$G297,月間集計シート!T$134:T$153)*AY$2</f>
        <v>0</v>
      </c>
    </row>
    <row r="298" spans="1:51" ht="14.25" thickBot="1">
      <c r="A298">
        <v>4</v>
      </c>
      <c r="B298" s="120">
        <f t="shared" si="132"/>
        <v>0</v>
      </c>
      <c r="C298" s="120" t="str">
        <f t="shared" si="133"/>
        <v/>
      </c>
      <c r="D298" s="137"/>
      <c r="E298" s="150" t="str">
        <f>工種!A35</f>
        <v>40113</v>
      </c>
      <c r="F298" s="119" t="str">
        <f>工種!B35</f>
        <v>テスト：QA対応</v>
      </c>
      <c r="G298" s="116" t="str">
        <f t="shared" si="134"/>
        <v>040113</v>
      </c>
      <c r="H298" s="88">
        <f t="shared" si="88"/>
        <v>0</v>
      </c>
      <c r="I298" s="132"/>
      <c r="J298" s="88">
        <f>SUMIF(月間集計シート!$M$29:$M$48,$G298,月間集計シート!N$29:N$48)*J$2</f>
        <v>0</v>
      </c>
      <c r="K298" s="88">
        <f>SUMIF(月間集計シート!$M$29:$M$48,$G298,月間集計シート!O$29:O$48)*K$2</f>
        <v>0</v>
      </c>
      <c r="L298" s="88">
        <f>SUMIF(月間集計シート!$M$29:$M$48,$G298,月間集計シート!P$29:P$48)*L$2</f>
        <v>0</v>
      </c>
      <c r="M298" s="88">
        <f>SUMIF(月間集計シート!$M$29:$M$48,$G298,月間集計シート!Q$29:Q$48)*M$2</f>
        <v>0</v>
      </c>
      <c r="N298" s="88">
        <f>SUMIF(月間集計シート!$M$29:$M$48,$G298,月間集計シート!R$29:R$48)*N$2</f>
        <v>0</v>
      </c>
      <c r="O298" s="88">
        <f>SUMIF(月間集計シート!$M$29:$M$48,$G298,月間集計シート!S$29:S$48)*O$2</f>
        <v>0</v>
      </c>
      <c r="P298" s="88">
        <f>SUMIF(月間集計シート!$M$29:$M$48,$G298,月間集計シート!T$29:T$48)*P$2</f>
        <v>0</v>
      </c>
      <c r="Q298" s="88">
        <f>SUMIF(月間集計シート!$M$50:$M$69,$G298,月間集計シート!N$50:N$69)*Q$2</f>
        <v>0</v>
      </c>
      <c r="R298" s="88">
        <f>SUMIF(月間集計シート!$M$50:$M$69,$G298,月間集計シート!O$50:O$69)*R$2</f>
        <v>0</v>
      </c>
      <c r="S298" s="88">
        <f>SUMIF(月間集計シート!$M$50:$M$69,$G298,月間集計シート!P$50:P$69)*S$2</f>
        <v>0</v>
      </c>
      <c r="T298" s="88">
        <f>SUMIF(月間集計シート!$M$50:$M$69,$G298,月間集計シート!Q$50:Q$69)*T$2</f>
        <v>0</v>
      </c>
      <c r="U298" s="88">
        <f>SUMIF(月間集計シート!$M$50:$M$69,$G298,月間集計シート!R$50:R$69)*U$2</f>
        <v>0</v>
      </c>
      <c r="V298" s="88">
        <f>SUMIF(月間集計シート!$M$50:$M$69,$G298,月間集計シート!S$50:S$69)*V$2</f>
        <v>0</v>
      </c>
      <c r="W298" s="88">
        <f>SUMIF(月間集計シート!$M$50:$M$69,$G298,月間集計シート!T$50:T$69)*W$2</f>
        <v>0</v>
      </c>
      <c r="X298" s="88">
        <f>SUMIF(月間集計シート!$M$71:$M$90,$G298,月間集計シート!N$71:N$90)*X$2</f>
        <v>0</v>
      </c>
      <c r="Y298" s="88">
        <f>SUMIF(月間集計シート!$M$71:$M$90,$G298,月間集計シート!O$71:O$90)*Y$2</f>
        <v>0</v>
      </c>
      <c r="Z298" s="88">
        <f>SUMIF(月間集計シート!$M$71:$M$90,$G298,月間集計シート!P$71:P$90)*Z$2</f>
        <v>0</v>
      </c>
      <c r="AA298" s="88">
        <f>SUMIF(月間集計シート!$M$71:$M$90,$G298,月間集計シート!Q$71:Q$90)*AA$2</f>
        <v>0</v>
      </c>
      <c r="AB298" s="88">
        <f>SUMIF(月間集計シート!$M$71:$M$90,$G298,月間集計シート!R$71:R$90)*AB$2</f>
        <v>0</v>
      </c>
      <c r="AC298" s="88">
        <f>SUMIF(月間集計シート!$M$71:$M$90,$G298,月間集計シート!S$71:S$90)*AC$2</f>
        <v>0</v>
      </c>
      <c r="AD298" s="88">
        <f>SUMIF(月間集計シート!$M$71:$M$90,$G298,月間集計シート!T$71:T$90)*AD$2</f>
        <v>0</v>
      </c>
      <c r="AE298" s="88">
        <f>SUMIF(月間集計シート!$M$92:$M$111,$G298,月間集計シート!N$92:N$111)*AE$2</f>
        <v>0</v>
      </c>
      <c r="AF298" s="88">
        <f>SUMIF(月間集計シート!$M$92:$M$111,$G298,月間集計シート!O$92:O$111)*AF$2</f>
        <v>0</v>
      </c>
      <c r="AG298" s="88">
        <f>SUMIF(月間集計シート!$M$92:$M$111,$G298,月間集計シート!P$92:P$111)*AG$2</f>
        <v>0</v>
      </c>
      <c r="AH298" s="88">
        <f>SUMIF(月間集計シート!$M$92:$M$111,$G298,月間集計シート!Q$92:Q$111)*AH$2</f>
        <v>0</v>
      </c>
      <c r="AI298" s="88">
        <f>SUMIF(月間集計シート!$M$92:$M$111,$G298,月間集計シート!R$92:R$111)*AI$2</f>
        <v>0</v>
      </c>
      <c r="AJ298" s="88">
        <f>SUMIF(月間集計シート!$M$92:$M$111,$G298,月間集計シート!S$92:S$111)*AJ$2</f>
        <v>0</v>
      </c>
      <c r="AK298" s="88">
        <f>SUMIF(月間集計シート!$M$92:$M$111,$G298,月間集計シート!T$92:T$111)*AK$2</f>
        <v>0</v>
      </c>
      <c r="AL298" s="88">
        <f>SUMIF(月間集計シート!$M$113:$M$132,$G298,月間集計シート!N$113:N$132)*AL$2</f>
        <v>0</v>
      </c>
      <c r="AM298" s="88">
        <f>SUMIF(月間集計シート!$M$113:$M$132,$G298,月間集計シート!O$113:O$132)*AM$2</f>
        <v>0</v>
      </c>
      <c r="AN298" s="88">
        <f>SUMIF(月間集計シート!$M$113:$M$132,$G298,月間集計シート!P$113:P$132)*AN$2</f>
        <v>0</v>
      </c>
      <c r="AO298" s="88">
        <f>SUMIF(月間集計シート!$M$113:$M$132,$G298,月間集計シート!Q$113:Q$132)*AO$2</f>
        <v>0</v>
      </c>
      <c r="AP298" s="88">
        <f>SUMIF(月間集計シート!$M$113:$M$132,$G298,月間集計シート!R$113:R$132)*AP$2</f>
        <v>0</v>
      </c>
      <c r="AQ298" s="88">
        <f>SUMIF(月間集計シート!$M$113:$M$132,$G298,月間集計シート!S$113:S$132)*AQ$2</f>
        <v>0</v>
      </c>
      <c r="AR298" s="88">
        <f>SUMIF(月間集計シート!$M$113:$M$132,$G298,月間集計シート!T$113:T$132)*AR$2</f>
        <v>0</v>
      </c>
      <c r="AS298" s="88">
        <f>SUMIF(月間集計シート!$M$134:$M$153,$G298,月間集計シート!N$134:N$153)*AS$2</f>
        <v>0</v>
      </c>
      <c r="AT298" s="88">
        <f>SUMIF(月間集計シート!$M$134:$M$153,$G298,月間集計シート!O$134:O$153)*AT$2</f>
        <v>0</v>
      </c>
      <c r="AU298" s="88">
        <f>SUMIF(月間集計シート!$M$134:$M$153,$G298,月間集計シート!P$134:P$153)*AU$2</f>
        <v>0</v>
      </c>
      <c r="AV298" s="88">
        <f>SUMIF(月間集計シート!$M$134:$M$153,$G298,月間集計シート!Q$134:Q$153)*AV$2</f>
        <v>0</v>
      </c>
      <c r="AW298" s="88">
        <f>SUMIF(月間集計シート!$M$134:$M$153,$G298,月間集計シート!R$134:R$153)*AW$2</f>
        <v>0</v>
      </c>
      <c r="AX298" s="88">
        <f>SUMIF(月間集計シート!$M$134:$M$153,$G298,月間集計シート!S$134:S$153)*AX$2</f>
        <v>0</v>
      </c>
      <c r="AY298" s="88">
        <f>SUMIF(月間集計シート!$M$134:$M$153,$G298,月間集計シート!T$134:T$153)*AY$2</f>
        <v>0</v>
      </c>
    </row>
    <row r="299" spans="1:51" ht="14.25" thickBot="1">
      <c r="A299">
        <v>4</v>
      </c>
      <c r="B299" s="120">
        <f t="shared" si="132"/>
        <v>0</v>
      </c>
      <c r="C299" s="120" t="str">
        <f t="shared" si="133"/>
        <v/>
      </c>
      <c r="D299" s="137"/>
      <c r="E299" s="150" t="str">
        <f>工種!A36</f>
        <v>40189</v>
      </c>
      <c r="F299" s="119" t="str">
        <f>工種!B36</f>
        <v>テスト：内部不具合分析</v>
      </c>
      <c r="G299" s="116" t="str">
        <f t="shared" si="134"/>
        <v>040189</v>
      </c>
      <c r="H299" s="88">
        <f t="shared" si="88"/>
        <v>0</v>
      </c>
      <c r="I299" s="132"/>
      <c r="J299" s="88">
        <f>SUMIF(月間集計シート!$M$29:$M$48,$G299,月間集計シート!N$29:N$48)*J$2</f>
        <v>0</v>
      </c>
      <c r="K299" s="88">
        <f>SUMIF(月間集計シート!$M$29:$M$48,$G299,月間集計シート!O$29:O$48)*K$2</f>
        <v>0</v>
      </c>
      <c r="L299" s="88">
        <f>SUMIF(月間集計シート!$M$29:$M$48,$G299,月間集計シート!P$29:P$48)*L$2</f>
        <v>0</v>
      </c>
      <c r="M299" s="88">
        <f>SUMIF(月間集計シート!$M$29:$M$48,$G299,月間集計シート!Q$29:Q$48)*M$2</f>
        <v>0</v>
      </c>
      <c r="N299" s="88">
        <f>SUMIF(月間集計シート!$M$29:$M$48,$G299,月間集計シート!R$29:R$48)*N$2</f>
        <v>0</v>
      </c>
      <c r="O299" s="88">
        <f>SUMIF(月間集計シート!$M$29:$M$48,$G299,月間集計シート!S$29:S$48)*O$2</f>
        <v>0</v>
      </c>
      <c r="P299" s="88">
        <f>SUMIF(月間集計シート!$M$29:$M$48,$G299,月間集計シート!T$29:T$48)*P$2</f>
        <v>0</v>
      </c>
      <c r="Q299" s="88">
        <f>SUMIF(月間集計シート!$M$50:$M$69,$G299,月間集計シート!N$50:N$69)*Q$2</f>
        <v>0</v>
      </c>
      <c r="R299" s="88">
        <f>SUMIF(月間集計シート!$M$50:$M$69,$G299,月間集計シート!O$50:O$69)*R$2</f>
        <v>0</v>
      </c>
      <c r="S299" s="88">
        <f>SUMIF(月間集計シート!$M$50:$M$69,$G299,月間集計シート!P$50:P$69)*S$2</f>
        <v>0</v>
      </c>
      <c r="T299" s="88">
        <f>SUMIF(月間集計シート!$M$50:$M$69,$G299,月間集計シート!Q$50:Q$69)*T$2</f>
        <v>0</v>
      </c>
      <c r="U299" s="88">
        <f>SUMIF(月間集計シート!$M$50:$M$69,$G299,月間集計シート!R$50:R$69)*U$2</f>
        <v>0</v>
      </c>
      <c r="V299" s="88">
        <f>SUMIF(月間集計シート!$M$50:$M$69,$G299,月間集計シート!S$50:S$69)*V$2</f>
        <v>0</v>
      </c>
      <c r="W299" s="88">
        <f>SUMIF(月間集計シート!$M$50:$M$69,$G299,月間集計シート!T$50:T$69)*W$2</f>
        <v>0</v>
      </c>
      <c r="X299" s="88">
        <f>SUMIF(月間集計シート!$M$71:$M$90,$G299,月間集計シート!N$71:N$90)*X$2</f>
        <v>0</v>
      </c>
      <c r="Y299" s="88">
        <f>SUMIF(月間集計シート!$M$71:$M$90,$G299,月間集計シート!O$71:O$90)*Y$2</f>
        <v>0</v>
      </c>
      <c r="Z299" s="88">
        <f>SUMIF(月間集計シート!$M$71:$M$90,$G299,月間集計シート!P$71:P$90)*Z$2</f>
        <v>0</v>
      </c>
      <c r="AA299" s="88">
        <f>SUMIF(月間集計シート!$M$71:$M$90,$G299,月間集計シート!Q$71:Q$90)*AA$2</f>
        <v>0</v>
      </c>
      <c r="AB299" s="88">
        <f>SUMIF(月間集計シート!$M$71:$M$90,$G299,月間集計シート!R$71:R$90)*AB$2</f>
        <v>0</v>
      </c>
      <c r="AC299" s="88">
        <f>SUMIF(月間集計シート!$M$71:$M$90,$G299,月間集計シート!S$71:S$90)*AC$2</f>
        <v>0</v>
      </c>
      <c r="AD299" s="88">
        <f>SUMIF(月間集計シート!$M$71:$M$90,$G299,月間集計シート!T$71:T$90)*AD$2</f>
        <v>0</v>
      </c>
      <c r="AE299" s="88">
        <f>SUMIF(月間集計シート!$M$92:$M$111,$G299,月間集計シート!N$92:N$111)*AE$2</f>
        <v>0</v>
      </c>
      <c r="AF299" s="88">
        <f>SUMIF(月間集計シート!$M$92:$M$111,$G299,月間集計シート!O$92:O$111)*AF$2</f>
        <v>0</v>
      </c>
      <c r="AG299" s="88">
        <f>SUMIF(月間集計シート!$M$92:$M$111,$G299,月間集計シート!P$92:P$111)*AG$2</f>
        <v>0</v>
      </c>
      <c r="AH299" s="88">
        <f>SUMIF(月間集計シート!$M$92:$M$111,$G299,月間集計シート!Q$92:Q$111)*AH$2</f>
        <v>0</v>
      </c>
      <c r="AI299" s="88">
        <f>SUMIF(月間集計シート!$M$92:$M$111,$G299,月間集計シート!R$92:R$111)*AI$2</f>
        <v>0</v>
      </c>
      <c r="AJ299" s="88">
        <f>SUMIF(月間集計シート!$M$92:$M$111,$G299,月間集計シート!S$92:S$111)*AJ$2</f>
        <v>0</v>
      </c>
      <c r="AK299" s="88">
        <f>SUMIF(月間集計シート!$M$92:$M$111,$G299,月間集計シート!T$92:T$111)*AK$2</f>
        <v>0</v>
      </c>
      <c r="AL299" s="88">
        <f>SUMIF(月間集計シート!$M$113:$M$132,$G299,月間集計シート!N$113:N$132)*AL$2</f>
        <v>0</v>
      </c>
      <c r="AM299" s="88">
        <f>SUMIF(月間集計シート!$M$113:$M$132,$G299,月間集計シート!O$113:O$132)*AM$2</f>
        <v>0</v>
      </c>
      <c r="AN299" s="88">
        <f>SUMIF(月間集計シート!$M$113:$M$132,$G299,月間集計シート!P$113:P$132)*AN$2</f>
        <v>0</v>
      </c>
      <c r="AO299" s="88">
        <f>SUMIF(月間集計シート!$M$113:$M$132,$G299,月間集計シート!Q$113:Q$132)*AO$2</f>
        <v>0</v>
      </c>
      <c r="AP299" s="88">
        <f>SUMIF(月間集計シート!$M$113:$M$132,$G299,月間集計シート!R$113:R$132)*AP$2</f>
        <v>0</v>
      </c>
      <c r="AQ299" s="88">
        <f>SUMIF(月間集計シート!$M$113:$M$132,$G299,月間集計シート!S$113:S$132)*AQ$2</f>
        <v>0</v>
      </c>
      <c r="AR299" s="88">
        <f>SUMIF(月間集計シート!$M$113:$M$132,$G299,月間集計シート!T$113:T$132)*AR$2</f>
        <v>0</v>
      </c>
      <c r="AS299" s="88">
        <f>SUMIF(月間集計シート!$M$134:$M$153,$G299,月間集計シート!N$134:N$153)*AS$2</f>
        <v>0</v>
      </c>
      <c r="AT299" s="88">
        <f>SUMIF(月間集計シート!$M$134:$M$153,$G299,月間集計シート!O$134:O$153)*AT$2</f>
        <v>0</v>
      </c>
      <c r="AU299" s="88">
        <f>SUMIF(月間集計シート!$M$134:$M$153,$G299,月間集計シート!P$134:P$153)*AU$2</f>
        <v>0</v>
      </c>
      <c r="AV299" s="88">
        <f>SUMIF(月間集計シート!$M$134:$M$153,$G299,月間集計シート!Q$134:Q$153)*AV$2</f>
        <v>0</v>
      </c>
      <c r="AW299" s="88">
        <f>SUMIF(月間集計シート!$M$134:$M$153,$G299,月間集計シート!R$134:R$153)*AW$2</f>
        <v>0</v>
      </c>
      <c r="AX299" s="88">
        <f>SUMIF(月間集計シート!$M$134:$M$153,$G299,月間集計シート!S$134:S$153)*AX$2</f>
        <v>0</v>
      </c>
      <c r="AY299" s="88">
        <f>SUMIF(月間集計シート!$M$134:$M$153,$G299,月間集計シート!T$134:T$153)*AY$2</f>
        <v>0</v>
      </c>
    </row>
    <row r="300" spans="1:51" ht="14.25" thickBot="1">
      <c r="A300">
        <v>4</v>
      </c>
      <c r="B300" s="120">
        <f t="shared" si="132"/>
        <v>0</v>
      </c>
      <c r="C300" s="120" t="str">
        <f t="shared" si="133"/>
        <v/>
      </c>
      <c r="D300" s="137"/>
      <c r="E300" s="150" t="str">
        <f>工種!A37</f>
        <v>40199</v>
      </c>
      <c r="F300" s="119" t="str">
        <f>工種!B37</f>
        <v>テスト：その他</v>
      </c>
      <c r="G300" s="116" t="str">
        <f t="shared" si="134"/>
        <v>040199</v>
      </c>
      <c r="H300" s="88">
        <f t="shared" si="88"/>
        <v>0</v>
      </c>
      <c r="I300" s="132"/>
      <c r="J300" s="88">
        <f>SUMIF(月間集計シート!$M$29:$M$48,$G300,月間集計シート!N$29:N$48)*J$2</f>
        <v>0</v>
      </c>
      <c r="K300" s="88">
        <f>SUMIF(月間集計シート!$M$29:$M$48,$G300,月間集計シート!O$29:O$48)*K$2</f>
        <v>0</v>
      </c>
      <c r="L300" s="88">
        <f>SUMIF(月間集計シート!$M$29:$M$48,$G300,月間集計シート!P$29:P$48)*L$2</f>
        <v>0</v>
      </c>
      <c r="M300" s="88">
        <f>SUMIF(月間集計シート!$M$29:$M$48,$G300,月間集計シート!Q$29:Q$48)*M$2</f>
        <v>0</v>
      </c>
      <c r="N300" s="88">
        <f>SUMIF(月間集計シート!$M$29:$M$48,$G300,月間集計シート!R$29:R$48)*N$2</f>
        <v>0</v>
      </c>
      <c r="O300" s="88">
        <f>SUMIF(月間集計シート!$M$29:$M$48,$G300,月間集計シート!S$29:S$48)*O$2</f>
        <v>0</v>
      </c>
      <c r="P300" s="88">
        <f>SUMIF(月間集計シート!$M$29:$M$48,$G300,月間集計シート!T$29:T$48)*P$2</f>
        <v>0</v>
      </c>
      <c r="Q300" s="88">
        <f>SUMIF(月間集計シート!$M$50:$M$69,$G300,月間集計シート!N$50:N$69)*Q$2</f>
        <v>0</v>
      </c>
      <c r="R300" s="88">
        <f>SUMIF(月間集計シート!$M$50:$M$69,$G300,月間集計シート!O$50:O$69)*R$2</f>
        <v>0</v>
      </c>
      <c r="S300" s="88">
        <f>SUMIF(月間集計シート!$M$50:$M$69,$G300,月間集計シート!P$50:P$69)*S$2</f>
        <v>0</v>
      </c>
      <c r="T300" s="88">
        <f>SUMIF(月間集計シート!$M$50:$M$69,$G300,月間集計シート!Q$50:Q$69)*T$2</f>
        <v>0</v>
      </c>
      <c r="U300" s="88">
        <f>SUMIF(月間集計シート!$M$50:$M$69,$G300,月間集計シート!R$50:R$69)*U$2</f>
        <v>0</v>
      </c>
      <c r="V300" s="88">
        <f>SUMIF(月間集計シート!$M$50:$M$69,$G300,月間集計シート!S$50:S$69)*V$2</f>
        <v>0</v>
      </c>
      <c r="W300" s="88">
        <f>SUMIF(月間集計シート!$M$50:$M$69,$G300,月間集計シート!T$50:T$69)*W$2</f>
        <v>0</v>
      </c>
      <c r="X300" s="88">
        <f>SUMIF(月間集計シート!$M$71:$M$90,$G300,月間集計シート!N$71:N$90)*X$2</f>
        <v>0</v>
      </c>
      <c r="Y300" s="88">
        <f>SUMIF(月間集計シート!$M$71:$M$90,$G300,月間集計シート!O$71:O$90)*Y$2</f>
        <v>0</v>
      </c>
      <c r="Z300" s="88">
        <f>SUMIF(月間集計シート!$M$71:$M$90,$G300,月間集計シート!P$71:P$90)*Z$2</f>
        <v>0</v>
      </c>
      <c r="AA300" s="88">
        <f>SUMIF(月間集計シート!$M$71:$M$90,$G300,月間集計シート!Q$71:Q$90)*AA$2</f>
        <v>0</v>
      </c>
      <c r="AB300" s="88">
        <f>SUMIF(月間集計シート!$M$71:$M$90,$G300,月間集計シート!R$71:R$90)*AB$2</f>
        <v>0</v>
      </c>
      <c r="AC300" s="88">
        <f>SUMIF(月間集計シート!$M$71:$M$90,$G300,月間集計シート!S$71:S$90)*AC$2</f>
        <v>0</v>
      </c>
      <c r="AD300" s="88">
        <f>SUMIF(月間集計シート!$M$71:$M$90,$G300,月間集計シート!T$71:T$90)*AD$2</f>
        <v>0</v>
      </c>
      <c r="AE300" s="88">
        <f>SUMIF(月間集計シート!$M$92:$M$111,$G300,月間集計シート!N$92:N$111)*AE$2</f>
        <v>0</v>
      </c>
      <c r="AF300" s="88">
        <f>SUMIF(月間集計シート!$M$92:$M$111,$G300,月間集計シート!O$92:O$111)*AF$2</f>
        <v>0</v>
      </c>
      <c r="AG300" s="88">
        <f>SUMIF(月間集計シート!$M$92:$M$111,$G300,月間集計シート!P$92:P$111)*AG$2</f>
        <v>0</v>
      </c>
      <c r="AH300" s="88">
        <f>SUMIF(月間集計シート!$M$92:$M$111,$G300,月間集計シート!Q$92:Q$111)*AH$2</f>
        <v>0</v>
      </c>
      <c r="AI300" s="88">
        <f>SUMIF(月間集計シート!$M$92:$M$111,$G300,月間集計シート!R$92:R$111)*AI$2</f>
        <v>0</v>
      </c>
      <c r="AJ300" s="88">
        <f>SUMIF(月間集計シート!$M$92:$M$111,$G300,月間集計シート!S$92:S$111)*AJ$2</f>
        <v>0</v>
      </c>
      <c r="AK300" s="88">
        <f>SUMIF(月間集計シート!$M$92:$M$111,$G300,月間集計シート!T$92:T$111)*AK$2</f>
        <v>0</v>
      </c>
      <c r="AL300" s="88">
        <f>SUMIF(月間集計シート!$M$113:$M$132,$G300,月間集計シート!N$113:N$132)*AL$2</f>
        <v>0</v>
      </c>
      <c r="AM300" s="88">
        <f>SUMIF(月間集計シート!$M$113:$M$132,$G300,月間集計シート!O$113:O$132)*AM$2</f>
        <v>0</v>
      </c>
      <c r="AN300" s="88">
        <f>SUMIF(月間集計シート!$M$113:$M$132,$G300,月間集計シート!P$113:P$132)*AN$2</f>
        <v>0</v>
      </c>
      <c r="AO300" s="88">
        <f>SUMIF(月間集計シート!$M$113:$M$132,$G300,月間集計シート!Q$113:Q$132)*AO$2</f>
        <v>0</v>
      </c>
      <c r="AP300" s="88">
        <f>SUMIF(月間集計シート!$M$113:$M$132,$G300,月間集計シート!R$113:R$132)*AP$2</f>
        <v>0</v>
      </c>
      <c r="AQ300" s="88">
        <f>SUMIF(月間集計シート!$M$113:$M$132,$G300,月間集計シート!S$113:S$132)*AQ$2</f>
        <v>0</v>
      </c>
      <c r="AR300" s="88">
        <f>SUMIF(月間集計シート!$M$113:$M$132,$G300,月間集計シート!T$113:T$132)*AR$2</f>
        <v>0</v>
      </c>
      <c r="AS300" s="88">
        <f>SUMIF(月間集計シート!$M$134:$M$153,$G300,月間集計シート!N$134:N$153)*AS$2</f>
        <v>0</v>
      </c>
      <c r="AT300" s="88">
        <f>SUMIF(月間集計シート!$M$134:$M$153,$G300,月間集計シート!O$134:O$153)*AT$2</f>
        <v>0</v>
      </c>
      <c r="AU300" s="88">
        <f>SUMIF(月間集計シート!$M$134:$M$153,$G300,月間集計シート!P$134:P$153)*AU$2</f>
        <v>0</v>
      </c>
      <c r="AV300" s="88">
        <f>SUMIF(月間集計シート!$M$134:$M$153,$G300,月間集計シート!Q$134:Q$153)*AV$2</f>
        <v>0</v>
      </c>
      <c r="AW300" s="88">
        <f>SUMIF(月間集計シート!$M$134:$M$153,$G300,月間集計シート!R$134:R$153)*AW$2</f>
        <v>0</v>
      </c>
      <c r="AX300" s="88">
        <f>SUMIF(月間集計シート!$M$134:$M$153,$G300,月間集計シート!S$134:S$153)*AX$2</f>
        <v>0</v>
      </c>
      <c r="AY300" s="88">
        <f>SUMIF(月間集計シート!$M$134:$M$153,$G300,月間集計シート!T$134:T$153)*AY$2</f>
        <v>0</v>
      </c>
    </row>
    <row r="301" spans="1:51" ht="14.25" thickBot="1">
      <c r="A301">
        <v>4</v>
      </c>
      <c r="B301" s="120">
        <f t="shared" si="132"/>
        <v>0</v>
      </c>
      <c r="C301" s="120" t="str">
        <f t="shared" si="133"/>
        <v/>
      </c>
      <c r="D301" s="137"/>
      <c r="E301" s="150" t="str">
        <f>工種!A38</f>
        <v>50101</v>
      </c>
      <c r="F301" s="119" t="str">
        <f>工種!B38</f>
        <v>ﾏﾆｭｱﾙ作成：原稿作成</v>
      </c>
      <c r="G301" s="116" t="str">
        <f t="shared" si="134"/>
        <v>050101</v>
      </c>
      <c r="H301" s="88">
        <f t="shared" si="88"/>
        <v>0</v>
      </c>
      <c r="I301" s="132"/>
      <c r="J301" s="88">
        <f>SUMIF(月間集計シート!$M$29:$M$48,$G301,月間集計シート!N$29:N$48)*J$2</f>
        <v>0</v>
      </c>
      <c r="K301" s="88">
        <f>SUMIF(月間集計シート!$M$29:$M$48,$G301,月間集計シート!O$29:O$48)*K$2</f>
        <v>0</v>
      </c>
      <c r="L301" s="88">
        <f>SUMIF(月間集計シート!$M$29:$M$48,$G301,月間集計シート!P$29:P$48)*L$2</f>
        <v>0</v>
      </c>
      <c r="M301" s="88">
        <f>SUMIF(月間集計シート!$M$29:$M$48,$G301,月間集計シート!Q$29:Q$48)*M$2</f>
        <v>0</v>
      </c>
      <c r="N301" s="88">
        <f>SUMIF(月間集計シート!$M$29:$M$48,$G301,月間集計シート!R$29:R$48)*N$2</f>
        <v>0</v>
      </c>
      <c r="O301" s="88">
        <f>SUMIF(月間集計シート!$M$29:$M$48,$G301,月間集計シート!S$29:S$48)*O$2</f>
        <v>0</v>
      </c>
      <c r="P301" s="88">
        <f>SUMIF(月間集計シート!$M$29:$M$48,$G301,月間集計シート!T$29:T$48)*P$2</f>
        <v>0</v>
      </c>
      <c r="Q301" s="88">
        <f>SUMIF(月間集計シート!$M$50:$M$69,$G301,月間集計シート!N$50:N$69)*Q$2</f>
        <v>0</v>
      </c>
      <c r="R301" s="88">
        <f>SUMIF(月間集計シート!$M$50:$M$69,$G301,月間集計シート!O$50:O$69)*R$2</f>
        <v>0</v>
      </c>
      <c r="S301" s="88">
        <f>SUMIF(月間集計シート!$M$50:$M$69,$G301,月間集計シート!P$50:P$69)*S$2</f>
        <v>0</v>
      </c>
      <c r="T301" s="88">
        <f>SUMIF(月間集計シート!$M$50:$M$69,$G301,月間集計シート!Q$50:Q$69)*T$2</f>
        <v>0</v>
      </c>
      <c r="U301" s="88">
        <f>SUMIF(月間集計シート!$M$50:$M$69,$G301,月間集計シート!R$50:R$69)*U$2</f>
        <v>0</v>
      </c>
      <c r="V301" s="88">
        <f>SUMIF(月間集計シート!$M$50:$M$69,$G301,月間集計シート!S$50:S$69)*V$2</f>
        <v>0</v>
      </c>
      <c r="W301" s="88">
        <f>SUMIF(月間集計シート!$M$50:$M$69,$G301,月間集計シート!T$50:T$69)*W$2</f>
        <v>0</v>
      </c>
      <c r="X301" s="88">
        <f>SUMIF(月間集計シート!$M$71:$M$90,$G301,月間集計シート!N$71:N$90)*X$2</f>
        <v>0</v>
      </c>
      <c r="Y301" s="88">
        <f>SUMIF(月間集計シート!$M$71:$M$90,$G301,月間集計シート!O$71:O$90)*Y$2</f>
        <v>0</v>
      </c>
      <c r="Z301" s="88">
        <f>SUMIF(月間集計シート!$M$71:$M$90,$G301,月間集計シート!P$71:P$90)*Z$2</f>
        <v>0</v>
      </c>
      <c r="AA301" s="88">
        <f>SUMIF(月間集計シート!$M$71:$M$90,$G301,月間集計シート!Q$71:Q$90)*AA$2</f>
        <v>0</v>
      </c>
      <c r="AB301" s="88">
        <f>SUMIF(月間集計シート!$M$71:$M$90,$G301,月間集計シート!R$71:R$90)*AB$2</f>
        <v>0</v>
      </c>
      <c r="AC301" s="88">
        <f>SUMIF(月間集計シート!$M$71:$M$90,$G301,月間集計シート!S$71:S$90)*AC$2</f>
        <v>0</v>
      </c>
      <c r="AD301" s="88">
        <f>SUMIF(月間集計シート!$M$71:$M$90,$G301,月間集計シート!T$71:T$90)*AD$2</f>
        <v>0</v>
      </c>
      <c r="AE301" s="88">
        <f>SUMIF(月間集計シート!$M$92:$M$111,$G301,月間集計シート!N$92:N$111)*AE$2</f>
        <v>0</v>
      </c>
      <c r="AF301" s="88">
        <f>SUMIF(月間集計シート!$M$92:$M$111,$G301,月間集計シート!O$92:O$111)*AF$2</f>
        <v>0</v>
      </c>
      <c r="AG301" s="88">
        <f>SUMIF(月間集計シート!$M$92:$M$111,$G301,月間集計シート!P$92:P$111)*AG$2</f>
        <v>0</v>
      </c>
      <c r="AH301" s="88">
        <f>SUMIF(月間集計シート!$M$92:$M$111,$G301,月間集計シート!Q$92:Q$111)*AH$2</f>
        <v>0</v>
      </c>
      <c r="AI301" s="88">
        <f>SUMIF(月間集計シート!$M$92:$M$111,$G301,月間集計シート!R$92:R$111)*AI$2</f>
        <v>0</v>
      </c>
      <c r="AJ301" s="88">
        <f>SUMIF(月間集計シート!$M$92:$M$111,$G301,月間集計シート!S$92:S$111)*AJ$2</f>
        <v>0</v>
      </c>
      <c r="AK301" s="88">
        <f>SUMIF(月間集計シート!$M$92:$M$111,$G301,月間集計シート!T$92:T$111)*AK$2</f>
        <v>0</v>
      </c>
      <c r="AL301" s="88">
        <f>SUMIF(月間集計シート!$M$113:$M$132,$G301,月間集計シート!N$113:N$132)*AL$2</f>
        <v>0</v>
      </c>
      <c r="AM301" s="88">
        <f>SUMIF(月間集計シート!$M$113:$M$132,$G301,月間集計シート!O$113:O$132)*AM$2</f>
        <v>0</v>
      </c>
      <c r="AN301" s="88">
        <f>SUMIF(月間集計シート!$M$113:$M$132,$G301,月間集計シート!P$113:P$132)*AN$2</f>
        <v>0</v>
      </c>
      <c r="AO301" s="88">
        <f>SUMIF(月間集計シート!$M$113:$M$132,$G301,月間集計シート!Q$113:Q$132)*AO$2</f>
        <v>0</v>
      </c>
      <c r="AP301" s="88">
        <f>SUMIF(月間集計シート!$M$113:$M$132,$G301,月間集計シート!R$113:R$132)*AP$2</f>
        <v>0</v>
      </c>
      <c r="AQ301" s="88">
        <f>SUMIF(月間集計シート!$M$113:$M$132,$G301,月間集計シート!S$113:S$132)*AQ$2</f>
        <v>0</v>
      </c>
      <c r="AR301" s="88">
        <f>SUMIF(月間集計シート!$M$113:$M$132,$G301,月間集計シート!T$113:T$132)*AR$2</f>
        <v>0</v>
      </c>
      <c r="AS301" s="88">
        <f>SUMIF(月間集計シート!$M$134:$M$153,$G301,月間集計シート!N$134:N$153)*AS$2</f>
        <v>0</v>
      </c>
      <c r="AT301" s="88">
        <f>SUMIF(月間集計シート!$M$134:$M$153,$G301,月間集計シート!O$134:O$153)*AT$2</f>
        <v>0</v>
      </c>
      <c r="AU301" s="88">
        <f>SUMIF(月間集計シート!$M$134:$M$153,$G301,月間集計シート!P$134:P$153)*AU$2</f>
        <v>0</v>
      </c>
      <c r="AV301" s="88">
        <f>SUMIF(月間集計シート!$M$134:$M$153,$G301,月間集計シート!Q$134:Q$153)*AV$2</f>
        <v>0</v>
      </c>
      <c r="AW301" s="88">
        <f>SUMIF(月間集計シート!$M$134:$M$153,$G301,月間集計シート!R$134:R$153)*AW$2</f>
        <v>0</v>
      </c>
      <c r="AX301" s="88">
        <f>SUMIF(月間集計シート!$M$134:$M$153,$G301,月間集計シート!S$134:S$153)*AX$2</f>
        <v>0</v>
      </c>
      <c r="AY301" s="88">
        <f>SUMIF(月間集計シート!$M$134:$M$153,$G301,月間集計シート!T$134:T$153)*AY$2</f>
        <v>0</v>
      </c>
    </row>
    <row r="302" spans="1:51" ht="14.25" thickBot="1">
      <c r="A302">
        <v>4</v>
      </c>
      <c r="B302" s="120">
        <f t="shared" si="132"/>
        <v>0</v>
      </c>
      <c r="C302" s="120" t="str">
        <f t="shared" si="133"/>
        <v/>
      </c>
      <c r="D302" s="137"/>
      <c r="E302" s="150" t="str">
        <f>工種!A39</f>
        <v>50105</v>
      </c>
      <c r="F302" s="119" t="str">
        <f>工種!B39</f>
        <v>ﾏﾆｭｱﾙ作成：打合せ</v>
      </c>
      <c r="G302" s="116" t="str">
        <f t="shared" si="134"/>
        <v>050105</v>
      </c>
      <c r="H302" s="88">
        <f t="shared" si="88"/>
        <v>0</v>
      </c>
      <c r="I302" s="132"/>
      <c r="J302" s="88">
        <f>SUMIF(月間集計シート!$M$29:$M$48,$G302,月間集計シート!N$29:N$48)*J$2</f>
        <v>0</v>
      </c>
      <c r="K302" s="88">
        <f>SUMIF(月間集計シート!$M$29:$M$48,$G302,月間集計シート!O$29:O$48)*K$2</f>
        <v>0</v>
      </c>
      <c r="L302" s="88">
        <f>SUMIF(月間集計シート!$M$29:$M$48,$G302,月間集計シート!P$29:P$48)*L$2</f>
        <v>0</v>
      </c>
      <c r="M302" s="88">
        <f>SUMIF(月間集計シート!$M$29:$M$48,$G302,月間集計シート!Q$29:Q$48)*M$2</f>
        <v>0</v>
      </c>
      <c r="N302" s="88">
        <f>SUMIF(月間集計シート!$M$29:$M$48,$G302,月間集計シート!R$29:R$48)*N$2</f>
        <v>0</v>
      </c>
      <c r="O302" s="88">
        <f>SUMIF(月間集計シート!$M$29:$M$48,$G302,月間集計シート!S$29:S$48)*O$2</f>
        <v>0</v>
      </c>
      <c r="P302" s="88">
        <f>SUMIF(月間集計シート!$M$29:$M$48,$G302,月間集計シート!T$29:T$48)*P$2</f>
        <v>0</v>
      </c>
      <c r="Q302" s="88">
        <f>SUMIF(月間集計シート!$M$50:$M$69,$G302,月間集計シート!N$50:N$69)*Q$2</f>
        <v>0</v>
      </c>
      <c r="R302" s="88">
        <f>SUMIF(月間集計シート!$M$50:$M$69,$G302,月間集計シート!O$50:O$69)*R$2</f>
        <v>0</v>
      </c>
      <c r="S302" s="88">
        <f>SUMIF(月間集計シート!$M$50:$M$69,$G302,月間集計シート!P$50:P$69)*S$2</f>
        <v>0</v>
      </c>
      <c r="T302" s="88">
        <f>SUMIF(月間集計シート!$M$50:$M$69,$G302,月間集計シート!Q$50:Q$69)*T$2</f>
        <v>0</v>
      </c>
      <c r="U302" s="88">
        <f>SUMIF(月間集計シート!$M$50:$M$69,$G302,月間集計シート!R$50:R$69)*U$2</f>
        <v>0</v>
      </c>
      <c r="V302" s="88">
        <f>SUMIF(月間集計シート!$M$50:$M$69,$G302,月間集計シート!S$50:S$69)*V$2</f>
        <v>0</v>
      </c>
      <c r="W302" s="88">
        <f>SUMIF(月間集計シート!$M$50:$M$69,$G302,月間集計シート!T$50:T$69)*W$2</f>
        <v>0</v>
      </c>
      <c r="X302" s="88">
        <f>SUMIF(月間集計シート!$M$71:$M$90,$G302,月間集計シート!N$71:N$90)*X$2</f>
        <v>0</v>
      </c>
      <c r="Y302" s="88">
        <f>SUMIF(月間集計シート!$M$71:$M$90,$G302,月間集計シート!O$71:O$90)*Y$2</f>
        <v>0</v>
      </c>
      <c r="Z302" s="88">
        <f>SUMIF(月間集計シート!$M$71:$M$90,$G302,月間集計シート!P$71:P$90)*Z$2</f>
        <v>0</v>
      </c>
      <c r="AA302" s="88">
        <f>SUMIF(月間集計シート!$M$71:$M$90,$G302,月間集計シート!Q$71:Q$90)*AA$2</f>
        <v>0</v>
      </c>
      <c r="AB302" s="88">
        <f>SUMIF(月間集計シート!$M$71:$M$90,$G302,月間集計シート!R$71:R$90)*AB$2</f>
        <v>0</v>
      </c>
      <c r="AC302" s="88">
        <f>SUMIF(月間集計シート!$M$71:$M$90,$G302,月間集計シート!S$71:S$90)*AC$2</f>
        <v>0</v>
      </c>
      <c r="AD302" s="88">
        <f>SUMIF(月間集計シート!$M$71:$M$90,$G302,月間集計シート!T$71:T$90)*AD$2</f>
        <v>0</v>
      </c>
      <c r="AE302" s="88">
        <f>SUMIF(月間集計シート!$M$92:$M$111,$G302,月間集計シート!N$92:N$111)*AE$2</f>
        <v>0</v>
      </c>
      <c r="AF302" s="88">
        <f>SUMIF(月間集計シート!$M$92:$M$111,$G302,月間集計シート!O$92:O$111)*AF$2</f>
        <v>0</v>
      </c>
      <c r="AG302" s="88">
        <f>SUMIF(月間集計シート!$M$92:$M$111,$G302,月間集計シート!P$92:P$111)*AG$2</f>
        <v>0</v>
      </c>
      <c r="AH302" s="88">
        <f>SUMIF(月間集計シート!$M$92:$M$111,$G302,月間集計シート!Q$92:Q$111)*AH$2</f>
        <v>0</v>
      </c>
      <c r="AI302" s="88">
        <f>SUMIF(月間集計シート!$M$92:$M$111,$G302,月間集計シート!R$92:R$111)*AI$2</f>
        <v>0</v>
      </c>
      <c r="AJ302" s="88">
        <f>SUMIF(月間集計シート!$M$92:$M$111,$G302,月間集計シート!S$92:S$111)*AJ$2</f>
        <v>0</v>
      </c>
      <c r="AK302" s="88">
        <f>SUMIF(月間集計シート!$M$92:$M$111,$G302,月間集計シート!T$92:T$111)*AK$2</f>
        <v>0</v>
      </c>
      <c r="AL302" s="88">
        <f>SUMIF(月間集計シート!$M$113:$M$132,$G302,月間集計シート!N$113:N$132)*AL$2</f>
        <v>0</v>
      </c>
      <c r="AM302" s="88">
        <f>SUMIF(月間集計シート!$M$113:$M$132,$G302,月間集計シート!O$113:O$132)*AM$2</f>
        <v>0</v>
      </c>
      <c r="AN302" s="88">
        <f>SUMIF(月間集計シート!$M$113:$M$132,$G302,月間集計シート!P$113:P$132)*AN$2</f>
        <v>0</v>
      </c>
      <c r="AO302" s="88">
        <f>SUMIF(月間集計シート!$M$113:$M$132,$G302,月間集計シート!Q$113:Q$132)*AO$2</f>
        <v>0</v>
      </c>
      <c r="AP302" s="88">
        <f>SUMIF(月間集計シート!$M$113:$M$132,$G302,月間集計シート!R$113:R$132)*AP$2</f>
        <v>0</v>
      </c>
      <c r="AQ302" s="88">
        <f>SUMIF(月間集計シート!$M$113:$M$132,$G302,月間集計シート!S$113:S$132)*AQ$2</f>
        <v>0</v>
      </c>
      <c r="AR302" s="88">
        <f>SUMIF(月間集計シート!$M$113:$M$132,$G302,月間集計シート!T$113:T$132)*AR$2</f>
        <v>0</v>
      </c>
      <c r="AS302" s="88">
        <f>SUMIF(月間集計シート!$M$134:$M$153,$G302,月間集計シート!N$134:N$153)*AS$2</f>
        <v>0</v>
      </c>
      <c r="AT302" s="88">
        <f>SUMIF(月間集計シート!$M$134:$M$153,$G302,月間集計シート!O$134:O$153)*AT$2</f>
        <v>0</v>
      </c>
      <c r="AU302" s="88">
        <f>SUMIF(月間集計シート!$M$134:$M$153,$G302,月間集計シート!P$134:P$153)*AU$2</f>
        <v>0</v>
      </c>
      <c r="AV302" s="88">
        <f>SUMIF(月間集計シート!$M$134:$M$153,$G302,月間集計シート!Q$134:Q$153)*AV$2</f>
        <v>0</v>
      </c>
      <c r="AW302" s="88">
        <f>SUMIF(月間集計シート!$M$134:$M$153,$G302,月間集計シート!R$134:R$153)*AW$2</f>
        <v>0</v>
      </c>
      <c r="AX302" s="88">
        <f>SUMIF(月間集計シート!$M$134:$M$153,$G302,月間集計シート!S$134:S$153)*AX$2</f>
        <v>0</v>
      </c>
      <c r="AY302" s="88">
        <f>SUMIF(月間集計シート!$M$134:$M$153,$G302,月間集計シート!T$134:T$153)*AY$2</f>
        <v>0</v>
      </c>
    </row>
    <row r="303" spans="1:51" ht="14.25" thickBot="1">
      <c r="A303">
        <v>4</v>
      </c>
      <c r="B303" s="120">
        <f t="shared" si="132"/>
        <v>0</v>
      </c>
      <c r="C303" s="120" t="str">
        <f t="shared" si="133"/>
        <v/>
      </c>
      <c r="D303" s="137"/>
      <c r="E303" s="150" t="str">
        <f>工種!A40</f>
        <v>50106</v>
      </c>
      <c r="F303" s="119" t="str">
        <f>工種!B40</f>
        <v>ﾏﾆｭｱﾙ作成：ﾚﾋﾞｭｰ</v>
      </c>
      <c r="G303" s="116" t="str">
        <f t="shared" si="134"/>
        <v>050106</v>
      </c>
      <c r="H303" s="88">
        <f t="shared" si="88"/>
        <v>0</v>
      </c>
      <c r="I303" s="132"/>
      <c r="J303" s="88">
        <f>SUMIF(月間集計シート!$M$29:$M$48,$G303,月間集計シート!N$29:N$48)*J$2</f>
        <v>0</v>
      </c>
      <c r="K303" s="88">
        <f>SUMIF(月間集計シート!$M$29:$M$48,$G303,月間集計シート!O$29:O$48)*K$2</f>
        <v>0</v>
      </c>
      <c r="L303" s="88">
        <f>SUMIF(月間集計シート!$M$29:$M$48,$G303,月間集計シート!P$29:P$48)*L$2</f>
        <v>0</v>
      </c>
      <c r="M303" s="88">
        <f>SUMIF(月間集計シート!$M$29:$M$48,$G303,月間集計シート!Q$29:Q$48)*M$2</f>
        <v>0</v>
      </c>
      <c r="N303" s="88">
        <f>SUMIF(月間集計シート!$M$29:$M$48,$G303,月間集計シート!R$29:R$48)*N$2</f>
        <v>0</v>
      </c>
      <c r="O303" s="88">
        <f>SUMIF(月間集計シート!$M$29:$M$48,$G303,月間集計シート!S$29:S$48)*O$2</f>
        <v>0</v>
      </c>
      <c r="P303" s="88">
        <f>SUMIF(月間集計シート!$M$29:$M$48,$G303,月間集計シート!T$29:T$48)*P$2</f>
        <v>0</v>
      </c>
      <c r="Q303" s="88">
        <f>SUMIF(月間集計シート!$M$50:$M$69,$G303,月間集計シート!N$50:N$69)*Q$2</f>
        <v>0</v>
      </c>
      <c r="R303" s="88">
        <f>SUMIF(月間集計シート!$M$50:$M$69,$G303,月間集計シート!O$50:O$69)*R$2</f>
        <v>0</v>
      </c>
      <c r="S303" s="88">
        <f>SUMIF(月間集計シート!$M$50:$M$69,$G303,月間集計シート!P$50:P$69)*S$2</f>
        <v>0</v>
      </c>
      <c r="T303" s="88">
        <f>SUMIF(月間集計シート!$M$50:$M$69,$G303,月間集計シート!Q$50:Q$69)*T$2</f>
        <v>0</v>
      </c>
      <c r="U303" s="88">
        <f>SUMIF(月間集計シート!$M$50:$M$69,$G303,月間集計シート!R$50:R$69)*U$2</f>
        <v>0</v>
      </c>
      <c r="V303" s="88">
        <f>SUMIF(月間集計シート!$M$50:$M$69,$G303,月間集計シート!S$50:S$69)*V$2</f>
        <v>0</v>
      </c>
      <c r="W303" s="88">
        <f>SUMIF(月間集計シート!$M$50:$M$69,$G303,月間集計シート!T$50:T$69)*W$2</f>
        <v>0</v>
      </c>
      <c r="X303" s="88">
        <f>SUMIF(月間集計シート!$M$71:$M$90,$G303,月間集計シート!N$71:N$90)*X$2</f>
        <v>0</v>
      </c>
      <c r="Y303" s="88">
        <f>SUMIF(月間集計シート!$M$71:$M$90,$G303,月間集計シート!O$71:O$90)*Y$2</f>
        <v>0</v>
      </c>
      <c r="Z303" s="88">
        <f>SUMIF(月間集計シート!$M$71:$M$90,$G303,月間集計シート!P$71:P$90)*Z$2</f>
        <v>0</v>
      </c>
      <c r="AA303" s="88">
        <f>SUMIF(月間集計シート!$M$71:$M$90,$G303,月間集計シート!Q$71:Q$90)*AA$2</f>
        <v>0</v>
      </c>
      <c r="AB303" s="88">
        <f>SUMIF(月間集計シート!$M$71:$M$90,$G303,月間集計シート!R$71:R$90)*AB$2</f>
        <v>0</v>
      </c>
      <c r="AC303" s="88">
        <f>SUMIF(月間集計シート!$M$71:$M$90,$G303,月間集計シート!S$71:S$90)*AC$2</f>
        <v>0</v>
      </c>
      <c r="AD303" s="88">
        <f>SUMIF(月間集計シート!$M$71:$M$90,$G303,月間集計シート!T$71:T$90)*AD$2</f>
        <v>0</v>
      </c>
      <c r="AE303" s="88">
        <f>SUMIF(月間集計シート!$M$92:$M$111,$G303,月間集計シート!N$92:N$111)*AE$2</f>
        <v>0</v>
      </c>
      <c r="AF303" s="88">
        <f>SUMIF(月間集計シート!$M$92:$M$111,$G303,月間集計シート!O$92:O$111)*AF$2</f>
        <v>0</v>
      </c>
      <c r="AG303" s="88">
        <f>SUMIF(月間集計シート!$M$92:$M$111,$G303,月間集計シート!P$92:P$111)*AG$2</f>
        <v>0</v>
      </c>
      <c r="AH303" s="88">
        <f>SUMIF(月間集計シート!$M$92:$M$111,$G303,月間集計シート!Q$92:Q$111)*AH$2</f>
        <v>0</v>
      </c>
      <c r="AI303" s="88">
        <f>SUMIF(月間集計シート!$M$92:$M$111,$G303,月間集計シート!R$92:R$111)*AI$2</f>
        <v>0</v>
      </c>
      <c r="AJ303" s="88">
        <f>SUMIF(月間集計シート!$M$92:$M$111,$G303,月間集計シート!S$92:S$111)*AJ$2</f>
        <v>0</v>
      </c>
      <c r="AK303" s="88">
        <f>SUMIF(月間集計シート!$M$92:$M$111,$G303,月間集計シート!T$92:T$111)*AK$2</f>
        <v>0</v>
      </c>
      <c r="AL303" s="88">
        <f>SUMIF(月間集計シート!$M$113:$M$132,$G303,月間集計シート!N$113:N$132)*AL$2</f>
        <v>0</v>
      </c>
      <c r="AM303" s="88">
        <f>SUMIF(月間集計シート!$M$113:$M$132,$G303,月間集計シート!O$113:O$132)*AM$2</f>
        <v>0</v>
      </c>
      <c r="AN303" s="88">
        <f>SUMIF(月間集計シート!$M$113:$M$132,$G303,月間集計シート!P$113:P$132)*AN$2</f>
        <v>0</v>
      </c>
      <c r="AO303" s="88">
        <f>SUMIF(月間集計シート!$M$113:$M$132,$G303,月間集計シート!Q$113:Q$132)*AO$2</f>
        <v>0</v>
      </c>
      <c r="AP303" s="88">
        <f>SUMIF(月間集計シート!$M$113:$M$132,$G303,月間集計シート!R$113:R$132)*AP$2</f>
        <v>0</v>
      </c>
      <c r="AQ303" s="88">
        <f>SUMIF(月間集計シート!$M$113:$M$132,$G303,月間集計シート!S$113:S$132)*AQ$2</f>
        <v>0</v>
      </c>
      <c r="AR303" s="88">
        <f>SUMIF(月間集計シート!$M$113:$M$132,$G303,月間集計シート!T$113:T$132)*AR$2</f>
        <v>0</v>
      </c>
      <c r="AS303" s="88">
        <f>SUMIF(月間集計シート!$M$134:$M$153,$G303,月間集計シート!N$134:N$153)*AS$2</f>
        <v>0</v>
      </c>
      <c r="AT303" s="88">
        <f>SUMIF(月間集計シート!$M$134:$M$153,$G303,月間集計シート!O$134:O$153)*AT$2</f>
        <v>0</v>
      </c>
      <c r="AU303" s="88">
        <f>SUMIF(月間集計シート!$M$134:$M$153,$G303,月間集計シート!P$134:P$153)*AU$2</f>
        <v>0</v>
      </c>
      <c r="AV303" s="88">
        <f>SUMIF(月間集計シート!$M$134:$M$153,$G303,月間集計シート!Q$134:Q$153)*AV$2</f>
        <v>0</v>
      </c>
      <c r="AW303" s="88">
        <f>SUMIF(月間集計シート!$M$134:$M$153,$G303,月間集計シート!R$134:R$153)*AW$2</f>
        <v>0</v>
      </c>
      <c r="AX303" s="88">
        <f>SUMIF(月間集計シート!$M$134:$M$153,$G303,月間集計シート!S$134:S$153)*AX$2</f>
        <v>0</v>
      </c>
      <c r="AY303" s="88">
        <f>SUMIF(月間集計シート!$M$134:$M$153,$G303,月間集計シート!T$134:T$153)*AY$2</f>
        <v>0</v>
      </c>
    </row>
    <row r="304" spans="1:51" ht="14.25" thickBot="1">
      <c r="A304">
        <v>4</v>
      </c>
      <c r="B304" s="120">
        <f t="shared" si="132"/>
        <v>0</v>
      </c>
      <c r="C304" s="120" t="str">
        <f t="shared" si="133"/>
        <v/>
      </c>
      <c r="D304" s="137"/>
      <c r="E304" s="150" t="str">
        <f>工種!A41</f>
        <v>50199</v>
      </c>
      <c r="F304" s="119" t="str">
        <f>工種!B41</f>
        <v>ﾏﾆｭｱﾙ作成：その他</v>
      </c>
      <c r="G304" s="116" t="str">
        <f t="shared" si="134"/>
        <v>050199</v>
      </c>
      <c r="H304" s="88">
        <f t="shared" si="88"/>
        <v>0</v>
      </c>
      <c r="I304" s="132"/>
      <c r="J304" s="88">
        <f>SUMIF(月間集計シート!$M$29:$M$48,$G304,月間集計シート!N$29:N$48)*J$2</f>
        <v>0</v>
      </c>
      <c r="K304" s="88">
        <f>SUMIF(月間集計シート!$M$29:$M$48,$G304,月間集計シート!O$29:O$48)*K$2</f>
        <v>0</v>
      </c>
      <c r="L304" s="88">
        <f>SUMIF(月間集計シート!$M$29:$M$48,$G304,月間集計シート!P$29:P$48)*L$2</f>
        <v>0</v>
      </c>
      <c r="M304" s="88">
        <f>SUMIF(月間集計シート!$M$29:$M$48,$G304,月間集計シート!Q$29:Q$48)*M$2</f>
        <v>0</v>
      </c>
      <c r="N304" s="88">
        <f>SUMIF(月間集計シート!$M$29:$M$48,$G304,月間集計シート!R$29:R$48)*N$2</f>
        <v>0</v>
      </c>
      <c r="O304" s="88">
        <f>SUMIF(月間集計シート!$M$29:$M$48,$G304,月間集計シート!S$29:S$48)*O$2</f>
        <v>0</v>
      </c>
      <c r="P304" s="88">
        <f>SUMIF(月間集計シート!$M$29:$M$48,$G304,月間集計シート!T$29:T$48)*P$2</f>
        <v>0</v>
      </c>
      <c r="Q304" s="88">
        <f>SUMIF(月間集計シート!$M$50:$M$69,$G304,月間集計シート!N$50:N$69)*Q$2</f>
        <v>0</v>
      </c>
      <c r="R304" s="88">
        <f>SUMIF(月間集計シート!$M$50:$M$69,$G304,月間集計シート!O$50:O$69)*R$2</f>
        <v>0</v>
      </c>
      <c r="S304" s="88">
        <f>SUMIF(月間集計シート!$M$50:$M$69,$G304,月間集計シート!P$50:P$69)*S$2</f>
        <v>0</v>
      </c>
      <c r="T304" s="88">
        <f>SUMIF(月間集計シート!$M$50:$M$69,$G304,月間集計シート!Q$50:Q$69)*T$2</f>
        <v>0</v>
      </c>
      <c r="U304" s="88">
        <f>SUMIF(月間集計シート!$M$50:$M$69,$G304,月間集計シート!R$50:R$69)*U$2</f>
        <v>0</v>
      </c>
      <c r="V304" s="88">
        <f>SUMIF(月間集計シート!$M$50:$M$69,$G304,月間集計シート!S$50:S$69)*V$2</f>
        <v>0</v>
      </c>
      <c r="W304" s="88">
        <f>SUMIF(月間集計シート!$M$50:$M$69,$G304,月間集計シート!T$50:T$69)*W$2</f>
        <v>0</v>
      </c>
      <c r="X304" s="88">
        <f>SUMIF(月間集計シート!$M$71:$M$90,$G304,月間集計シート!N$71:N$90)*X$2</f>
        <v>0</v>
      </c>
      <c r="Y304" s="88">
        <f>SUMIF(月間集計シート!$M$71:$M$90,$G304,月間集計シート!O$71:O$90)*Y$2</f>
        <v>0</v>
      </c>
      <c r="Z304" s="88">
        <f>SUMIF(月間集計シート!$M$71:$M$90,$G304,月間集計シート!P$71:P$90)*Z$2</f>
        <v>0</v>
      </c>
      <c r="AA304" s="88">
        <f>SUMIF(月間集計シート!$M$71:$M$90,$G304,月間集計シート!Q$71:Q$90)*AA$2</f>
        <v>0</v>
      </c>
      <c r="AB304" s="88">
        <f>SUMIF(月間集計シート!$M$71:$M$90,$G304,月間集計シート!R$71:R$90)*AB$2</f>
        <v>0</v>
      </c>
      <c r="AC304" s="88">
        <f>SUMIF(月間集計シート!$M$71:$M$90,$G304,月間集計シート!S$71:S$90)*AC$2</f>
        <v>0</v>
      </c>
      <c r="AD304" s="88">
        <f>SUMIF(月間集計シート!$M$71:$M$90,$G304,月間集計シート!T$71:T$90)*AD$2</f>
        <v>0</v>
      </c>
      <c r="AE304" s="88">
        <f>SUMIF(月間集計シート!$M$92:$M$111,$G304,月間集計シート!N$92:N$111)*AE$2</f>
        <v>0</v>
      </c>
      <c r="AF304" s="88">
        <f>SUMIF(月間集計シート!$M$92:$M$111,$G304,月間集計シート!O$92:O$111)*AF$2</f>
        <v>0</v>
      </c>
      <c r="AG304" s="88">
        <f>SUMIF(月間集計シート!$M$92:$M$111,$G304,月間集計シート!P$92:P$111)*AG$2</f>
        <v>0</v>
      </c>
      <c r="AH304" s="88">
        <f>SUMIF(月間集計シート!$M$92:$M$111,$G304,月間集計シート!Q$92:Q$111)*AH$2</f>
        <v>0</v>
      </c>
      <c r="AI304" s="88">
        <f>SUMIF(月間集計シート!$M$92:$M$111,$G304,月間集計シート!R$92:R$111)*AI$2</f>
        <v>0</v>
      </c>
      <c r="AJ304" s="88">
        <f>SUMIF(月間集計シート!$M$92:$M$111,$G304,月間集計シート!S$92:S$111)*AJ$2</f>
        <v>0</v>
      </c>
      <c r="AK304" s="88">
        <f>SUMIF(月間集計シート!$M$92:$M$111,$G304,月間集計シート!T$92:T$111)*AK$2</f>
        <v>0</v>
      </c>
      <c r="AL304" s="88">
        <f>SUMIF(月間集計シート!$M$113:$M$132,$G304,月間集計シート!N$113:N$132)*AL$2</f>
        <v>0</v>
      </c>
      <c r="AM304" s="88">
        <f>SUMIF(月間集計シート!$M$113:$M$132,$G304,月間集計シート!O$113:O$132)*AM$2</f>
        <v>0</v>
      </c>
      <c r="AN304" s="88">
        <f>SUMIF(月間集計シート!$M$113:$M$132,$G304,月間集計シート!P$113:P$132)*AN$2</f>
        <v>0</v>
      </c>
      <c r="AO304" s="88">
        <f>SUMIF(月間集計シート!$M$113:$M$132,$G304,月間集計シート!Q$113:Q$132)*AO$2</f>
        <v>0</v>
      </c>
      <c r="AP304" s="88">
        <f>SUMIF(月間集計シート!$M$113:$M$132,$G304,月間集計シート!R$113:R$132)*AP$2</f>
        <v>0</v>
      </c>
      <c r="AQ304" s="88">
        <f>SUMIF(月間集計シート!$M$113:$M$132,$G304,月間集計シート!S$113:S$132)*AQ$2</f>
        <v>0</v>
      </c>
      <c r="AR304" s="88">
        <f>SUMIF(月間集計シート!$M$113:$M$132,$G304,月間集計シート!T$113:T$132)*AR$2</f>
        <v>0</v>
      </c>
      <c r="AS304" s="88">
        <f>SUMIF(月間集計シート!$M$134:$M$153,$G304,月間集計シート!N$134:N$153)*AS$2</f>
        <v>0</v>
      </c>
      <c r="AT304" s="88">
        <f>SUMIF(月間集計シート!$M$134:$M$153,$G304,月間集計シート!O$134:O$153)*AT$2</f>
        <v>0</v>
      </c>
      <c r="AU304" s="88">
        <f>SUMIF(月間集計シート!$M$134:$M$153,$G304,月間集計シート!P$134:P$153)*AU$2</f>
        <v>0</v>
      </c>
      <c r="AV304" s="88">
        <f>SUMIF(月間集計シート!$M$134:$M$153,$G304,月間集計シート!Q$134:Q$153)*AV$2</f>
        <v>0</v>
      </c>
      <c r="AW304" s="88">
        <f>SUMIF(月間集計シート!$M$134:$M$153,$G304,月間集計シート!R$134:R$153)*AW$2</f>
        <v>0</v>
      </c>
      <c r="AX304" s="88">
        <f>SUMIF(月間集計シート!$M$134:$M$153,$G304,月間集計シート!S$134:S$153)*AX$2</f>
        <v>0</v>
      </c>
      <c r="AY304" s="88">
        <f>SUMIF(月間集計シート!$M$134:$M$153,$G304,月間集計シート!T$134:T$153)*AY$2</f>
        <v>0</v>
      </c>
    </row>
    <row r="305" spans="1:51" ht="14.25" thickBot="1">
      <c r="A305">
        <v>4</v>
      </c>
      <c r="B305" s="120">
        <f t="shared" si="132"/>
        <v>0</v>
      </c>
      <c r="C305" s="120" t="str">
        <f t="shared" si="133"/>
        <v/>
      </c>
      <c r="D305" s="137"/>
      <c r="E305" s="150" t="str">
        <f>工種!A42</f>
        <v>60101</v>
      </c>
      <c r="F305" s="119" t="str">
        <f>工種!B42</f>
        <v>ﾘﾘｰｽ：ﾘﾘｰｽ・ﾃﾞﾘﾊﾞﾘ作業</v>
      </c>
      <c r="G305" s="116" t="str">
        <f t="shared" si="134"/>
        <v>060101</v>
      </c>
      <c r="H305" s="88">
        <f t="shared" si="88"/>
        <v>0</v>
      </c>
      <c r="I305" s="132"/>
      <c r="J305" s="88">
        <f>SUMIF(月間集計シート!$M$29:$M$48,$G305,月間集計シート!N$29:N$48)*J$2</f>
        <v>0</v>
      </c>
      <c r="K305" s="88">
        <f>SUMIF(月間集計シート!$M$29:$M$48,$G305,月間集計シート!O$29:O$48)*K$2</f>
        <v>0</v>
      </c>
      <c r="L305" s="88">
        <f>SUMIF(月間集計シート!$M$29:$M$48,$G305,月間集計シート!P$29:P$48)*L$2</f>
        <v>0</v>
      </c>
      <c r="M305" s="88">
        <f>SUMIF(月間集計シート!$M$29:$M$48,$G305,月間集計シート!Q$29:Q$48)*M$2</f>
        <v>0</v>
      </c>
      <c r="N305" s="88">
        <f>SUMIF(月間集計シート!$M$29:$M$48,$G305,月間集計シート!R$29:R$48)*N$2</f>
        <v>0</v>
      </c>
      <c r="O305" s="88">
        <f>SUMIF(月間集計シート!$M$29:$M$48,$G305,月間集計シート!S$29:S$48)*O$2</f>
        <v>0</v>
      </c>
      <c r="P305" s="88">
        <f>SUMIF(月間集計シート!$M$29:$M$48,$G305,月間集計シート!T$29:T$48)*P$2</f>
        <v>0</v>
      </c>
      <c r="Q305" s="88">
        <f>SUMIF(月間集計シート!$M$50:$M$69,$G305,月間集計シート!N$50:N$69)*Q$2</f>
        <v>0</v>
      </c>
      <c r="R305" s="88">
        <f>SUMIF(月間集計シート!$M$50:$M$69,$G305,月間集計シート!O$50:O$69)*R$2</f>
        <v>0</v>
      </c>
      <c r="S305" s="88">
        <f>SUMIF(月間集計シート!$M$50:$M$69,$G305,月間集計シート!P$50:P$69)*S$2</f>
        <v>0</v>
      </c>
      <c r="T305" s="88">
        <f>SUMIF(月間集計シート!$M$50:$M$69,$G305,月間集計シート!Q$50:Q$69)*T$2</f>
        <v>0</v>
      </c>
      <c r="U305" s="88">
        <f>SUMIF(月間集計シート!$M$50:$M$69,$G305,月間集計シート!R$50:R$69)*U$2</f>
        <v>0</v>
      </c>
      <c r="V305" s="88">
        <f>SUMIF(月間集計シート!$M$50:$M$69,$G305,月間集計シート!S$50:S$69)*V$2</f>
        <v>0</v>
      </c>
      <c r="W305" s="88">
        <f>SUMIF(月間集計シート!$M$50:$M$69,$G305,月間集計シート!T$50:T$69)*W$2</f>
        <v>0</v>
      </c>
      <c r="X305" s="88">
        <f>SUMIF(月間集計シート!$M$71:$M$90,$G305,月間集計シート!N$71:N$90)*X$2</f>
        <v>0</v>
      </c>
      <c r="Y305" s="88">
        <f>SUMIF(月間集計シート!$M$71:$M$90,$G305,月間集計シート!O$71:O$90)*Y$2</f>
        <v>0</v>
      </c>
      <c r="Z305" s="88">
        <f>SUMIF(月間集計シート!$M$71:$M$90,$G305,月間集計シート!P$71:P$90)*Z$2</f>
        <v>0</v>
      </c>
      <c r="AA305" s="88">
        <f>SUMIF(月間集計シート!$M$71:$M$90,$G305,月間集計シート!Q$71:Q$90)*AA$2</f>
        <v>0</v>
      </c>
      <c r="AB305" s="88">
        <f>SUMIF(月間集計シート!$M$71:$M$90,$G305,月間集計シート!R$71:R$90)*AB$2</f>
        <v>0</v>
      </c>
      <c r="AC305" s="88">
        <f>SUMIF(月間集計シート!$M$71:$M$90,$G305,月間集計シート!S$71:S$90)*AC$2</f>
        <v>0</v>
      </c>
      <c r="AD305" s="88">
        <f>SUMIF(月間集計シート!$M$71:$M$90,$G305,月間集計シート!T$71:T$90)*AD$2</f>
        <v>0</v>
      </c>
      <c r="AE305" s="88">
        <f>SUMIF(月間集計シート!$M$92:$M$111,$G305,月間集計シート!N$92:N$111)*AE$2</f>
        <v>0</v>
      </c>
      <c r="AF305" s="88">
        <f>SUMIF(月間集計シート!$M$92:$M$111,$G305,月間集計シート!O$92:O$111)*AF$2</f>
        <v>0</v>
      </c>
      <c r="AG305" s="88">
        <f>SUMIF(月間集計シート!$M$92:$M$111,$G305,月間集計シート!P$92:P$111)*AG$2</f>
        <v>0</v>
      </c>
      <c r="AH305" s="88">
        <f>SUMIF(月間集計シート!$M$92:$M$111,$G305,月間集計シート!Q$92:Q$111)*AH$2</f>
        <v>0</v>
      </c>
      <c r="AI305" s="88">
        <f>SUMIF(月間集計シート!$M$92:$M$111,$G305,月間集計シート!R$92:R$111)*AI$2</f>
        <v>0</v>
      </c>
      <c r="AJ305" s="88">
        <f>SUMIF(月間集計シート!$M$92:$M$111,$G305,月間集計シート!S$92:S$111)*AJ$2</f>
        <v>0</v>
      </c>
      <c r="AK305" s="88">
        <f>SUMIF(月間集計シート!$M$92:$M$111,$G305,月間集計シート!T$92:T$111)*AK$2</f>
        <v>0</v>
      </c>
      <c r="AL305" s="88">
        <f>SUMIF(月間集計シート!$M$113:$M$132,$G305,月間集計シート!N$113:N$132)*AL$2</f>
        <v>0</v>
      </c>
      <c r="AM305" s="88">
        <f>SUMIF(月間集計シート!$M$113:$M$132,$G305,月間集計シート!O$113:O$132)*AM$2</f>
        <v>0</v>
      </c>
      <c r="AN305" s="88">
        <f>SUMIF(月間集計シート!$M$113:$M$132,$G305,月間集計シート!P$113:P$132)*AN$2</f>
        <v>0</v>
      </c>
      <c r="AO305" s="88">
        <f>SUMIF(月間集計シート!$M$113:$M$132,$G305,月間集計シート!Q$113:Q$132)*AO$2</f>
        <v>0</v>
      </c>
      <c r="AP305" s="88">
        <f>SUMIF(月間集計シート!$M$113:$M$132,$G305,月間集計シート!R$113:R$132)*AP$2</f>
        <v>0</v>
      </c>
      <c r="AQ305" s="88">
        <f>SUMIF(月間集計シート!$M$113:$M$132,$G305,月間集計シート!S$113:S$132)*AQ$2</f>
        <v>0</v>
      </c>
      <c r="AR305" s="88">
        <f>SUMIF(月間集計シート!$M$113:$M$132,$G305,月間集計シート!T$113:T$132)*AR$2</f>
        <v>0</v>
      </c>
      <c r="AS305" s="88">
        <f>SUMIF(月間集計シート!$M$134:$M$153,$G305,月間集計シート!N$134:N$153)*AS$2</f>
        <v>0</v>
      </c>
      <c r="AT305" s="88">
        <f>SUMIF(月間集計シート!$M$134:$M$153,$G305,月間集計シート!O$134:O$153)*AT$2</f>
        <v>0</v>
      </c>
      <c r="AU305" s="88">
        <f>SUMIF(月間集計シート!$M$134:$M$153,$G305,月間集計シート!P$134:P$153)*AU$2</f>
        <v>0</v>
      </c>
      <c r="AV305" s="88">
        <f>SUMIF(月間集計シート!$M$134:$M$153,$G305,月間集計シート!Q$134:Q$153)*AV$2</f>
        <v>0</v>
      </c>
      <c r="AW305" s="88">
        <f>SUMIF(月間集計シート!$M$134:$M$153,$G305,月間集計シート!R$134:R$153)*AW$2</f>
        <v>0</v>
      </c>
      <c r="AX305" s="88">
        <f>SUMIF(月間集計シート!$M$134:$M$153,$G305,月間集計シート!S$134:S$153)*AX$2</f>
        <v>0</v>
      </c>
      <c r="AY305" s="88">
        <f>SUMIF(月間集計シート!$M$134:$M$153,$G305,月間集計シート!T$134:T$153)*AY$2</f>
        <v>0</v>
      </c>
    </row>
    <row r="306" spans="1:51" ht="14.25" thickBot="1">
      <c r="A306">
        <v>4</v>
      </c>
      <c r="B306" s="120">
        <f t="shared" si="132"/>
        <v>0</v>
      </c>
      <c r="C306" s="120" t="str">
        <f t="shared" si="133"/>
        <v/>
      </c>
      <c r="D306" s="137"/>
      <c r="E306" s="150" t="str">
        <f>工種!A43</f>
        <v>60102</v>
      </c>
      <c r="F306" s="119" t="str">
        <f>工種!B43</f>
        <v>ﾘﾘｰｽ：ﾘﾘｰｽ関連業務</v>
      </c>
      <c r="G306" s="116" t="str">
        <f t="shared" si="134"/>
        <v>060102</v>
      </c>
      <c r="H306" s="88">
        <f t="shared" si="88"/>
        <v>0</v>
      </c>
      <c r="I306" s="132"/>
      <c r="J306" s="88">
        <f>SUMIF(月間集計シート!$M$29:$M$48,$G306,月間集計シート!N$29:N$48)*J$2</f>
        <v>0</v>
      </c>
      <c r="K306" s="88">
        <f>SUMIF(月間集計シート!$M$29:$M$48,$G306,月間集計シート!O$29:O$48)*K$2</f>
        <v>0</v>
      </c>
      <c r="L306" s="88">
        <f>SUMIF(月間集計シート!$M$29:$M$48,$G306,月間集計シート!P$29:P$48)*L$2</f>
        <v>0</v>
      </c>
      <c r="M306" s="88">
        <f>SUMIF(月間集計シート!$M$29:$M$48,$G306,月間集計シート!Q$29:Q$48)*M$2</f>
        <v>0</v>
      </c>
      <c r="N306" s="88">
        <f>SUMIF(月間集計シート!$M$29:$M$48,$G306,月間集計シート!R$29:R$48)*N$2</f>
        <v>0</v>
      </c>
      <c r="O306" s="88">
        <f>SUMIF(月間集計シート!$M$29:$M$48,$G306,月間集計シート!S$29:S$48)*O$2</f>
        <v>0</v>
      </c>
      <c r="P306" s="88">
        <f>SUMIF(月間集計シート!$M$29:$M$48,$G306,月間集計シート!T$29:T$48)*P$2</f>
        <v>0</v>
      </c>
      <c r="Q306" s="88">
        <f>SUMIF(月間集計シート!$M$50:$M$69,$G306,月間集計シート!N$50:N$69)*Q$2</f>
        <v>0</v>
      </c>
      <c r="R306" s="88">
        <f>SUMIF(月間集計シート!$M$50:$M$69,$G306,月間集計シート!O$50:O$69)*R$2</f>
        <v>0</v>
      </c>
      <c r="S306" s="88">
        <f>SUMIF(月間集計シート!$M$50:$M$69,$G306,月間集計シート!P$50:P$69)*S$2</f>
        <v>0</v>
      </c>
      <c r="T306" s="88">
        <f>SUMIF(月間集計シート!$M$50:$M$69,$G306,月間集計シート!Q$50:Q$69)*T$2</f>
        <v>0</v>
      </c>
      <c r="U306" s="88">
        <f>SUMIF(月間集計シート!$M$50:$M$69,$G306,月間集計シート!R$50:R$69)*U$2</f>
        <v>0</v>
      </c>
      <c r="V306" s="88">
        <f>SUMIF(月間集計シート!$M$50:$M$69,$G306,月間集計シート!S$50:S$69)*V$2</f>
        <v>0</v>
      </c>
      <c r="W306" s="88">
        <f>SUMIF(月間集計シート!$M$50:$M$69,$G306,月間集計シート!T$50:T$69)*W$2</f>
        <v>0</v>
      </c>
      <c r="X306" s="88">
        <f>SUMIF(月間集計シート!$M$71:$M$90,$G306,月間集計シート!N$71:N$90)*X$2</f>
        <v>0</v>
      </c>
      <c r="Y306" s="88">
        <f>SUMIF(月間集計シート!$M$71:$M$90,$G306,月間集計シート!O$71:O$90)*Y$2</f>
        <v>0</v>
      </c>
      <c r="Z306" s="88">
        <f>SUMIF(月間集計シート!$M$71:$M$90,$G306,月間集計シート!P$71:P$90)*Z$2</f>
        <v>0</v>
      </c>
      <c r="AA306" s="88">
        <f>SUMIF(月間集計シート!$M$71:$M$90,$G306,月間集計シート!Q$71:Q$90)*AA$2</f>
        <v>0</v>
      </c>
      <c r="AB306" s="88">
        <f>SUMIF(月間集計シート!$M$71:$M$90,$G306,月間集計シート!R$71:R$90)*AB$2</f>
        <v>0</v>
      </c>
      <c r="AC306" s="88">
        <f>SUMIF(月間集計シート!$M$71:$M$90,$G306,月間集計シート!S$71:S$90)*AC$2</f>
        <v>0</v>
      </c>
      <c r="AD306" s="88">
        <f>SUMIF(月間集計シート!$M$71:$M$90,$G306,月間集計シート!T$71:T$90)*AD$2</f>
        <v>0</v>
      </c>
      <c r="AE306" s="88">
        <f>SUMIF(月間集計シート!$M$92:$M$111,$G306,月間集計シート!N$92:N$111)*AE$2</f>
        <v>0</v>
      </c>
      <c r="AF306" s="88">
        <f>SUMIF(月間集計シート!$M$92:$M$111,$G306,月間集計シート!O$92:O$111)*AF$2</f>
        <v>0</v>
      </c>
      <c r="AG306" s="88">
        <f>SUMIF(月間集計シート!$M$92:$M$111,$G306,月間集計シート!P$92:P$111)*AG$2</f>
        <v>0</v>
      </c>
      <c r="AH306" s="88">
        <f>SUMIF(月間集計シート!$M$92:$M$111,$G306,月間集計シート!Q$92:Q$111)*AH$2</f>
        <v>0</v>
      </c>
      <c r="AI306" s="88">
        <f>SUMIF(月間集計シート!$M$92:$M$111,$G306,月間集計シート!R$92:R$111)*AI$2</f>
        <v>0</v>
      </c>
      <c r="AJ306" s="88">
        <f>SUMIF(月間集計シート!$M$92:$M$111,$G306,月間集計シート!S$92:S$111)*AJ$2</f>
        <v>0</v>
      </c>
      <c r="AK306" s="88">
        <f>SUMIF(月間集計シート!$M$92:$M$111,$G306,月間集計シート!T$92:T$111)*AK$2</f>
        <v>0</v>
      </c>
      <c r="AL306" s="88">
        <f>SUMIF(月間集計シート!$M$113:$M$132,$G306,月間集計シート!N$113:N$132)*AL$2</f>
        <v>0</v>
      </c>
      <c r="AM306" s="88">
        <f>SUMIF(月間集計シート!$M$113:$M$132,$G306,月間集計シート!O$113:O$132)*AM$2</f>
        <v>0</v>
      </c>
      <c r="AN306" s="88">
        <f>SUMIF(月間集計シート!$M$113:$M$132,$G306,月間集計シート!P$113:P$132)*AN$2</f>
        <v>0</v>
      </c>
      <c r="AO306" s="88">
        <f>SUMIF(月間集計シート!$M$113:$M$132,$G306,月間集計シート!Q$113:Q$132)*AO$2</f>
        <v>0</v>
      </c>
      <c r="AP306" s="88">
        <f>SUMIF(月間集計シート!$M$113:$M$132,$G306,月間集計シート!R$113:R$132)*AP$2</f>
        <v>0</v>
      </c>
      <c r="AQ306" s="88">
        <f>SUMIF(月間集計シート!$M$113:$M$132,$G306,月間集計シート!S$113:S$132)*AQ$2</f>
        <v>0</v>
      </c>
      <c r="AR306" s="88">
        <f>SUMIF(月間集計シート!$M$113:$M$132,$G306,月間集計シート!T$113:T$132)*AR$2</f>
        <v>0</v>
      </c>
      <c r="AS306" s="88">
        <f>SUMIF(月間集計シート!$M$134:$M$153,$G306,月間集計シート!N$134:N$153)*AS$2</f>
        <v>0</v>
      </c>
      <c r="AT306" s="88">
        <f>SUMIF(月間集計シート!$M$134:$M$153,$G306,月間集計シート!O$134:O$153)*AT$2</f>
        <v>0</v>
      </c>
      <c r="AU306" s="88">
        <f>SUMIF(月間集計シート!$M$134:$M$153,$G306,月間集計シート!P$134:P$153)*AU$2</f>
        <v>0</v>
      </c>
      <c r="AV306" s="88">
        <f>SUMIF(月間集計シート!$M$134:$M$153,$G306,月間集計シート!Q$134:Q$153)*AV$2</f>
        <v>0</v>
      </c>
      <c r="AW306" s="88">
        <f>SUMIF(月間集計シート!$M$134:$M$153,$G306,月間集計シート!R$134:R$153)*AW$2</f>
        <v>0</v>
      </c>
      <c r="AX306" s="88">
        <f>SUMIF(月間集計シート!$M$134:$M$153,$G306,月間集計シート!S$134:S$153)*AX$2</f>
        <v>0</v>
      </c>
      <c r="AY306" s="88">
        <f>SUMIF(月間集計シート!$M$134:$M$153,$G306,月間集計シート!T$134:T$153)*AY$2</f>
        <v>0</v>
      </c>
    </row>
    <row r="307" spans="1:51" ht="14.25" thickBot="1">
      <c r="A307">
        <v>4</v>
      </c>
      <c r="B307" s="120">
        <f t="shared" si="132"/>
        <v>0</v>
      </c>
      <c r="C307" s="120" t="str">
        <f t="shared" si="133"/>
        <v/>
      </c>
      <c r="D307" s="137"/>
      <c r="E307" s="150" t="str">
        <f>工種!A44</f>
        <v>60103</v>
      </c>
      <c r="F307" s="119" t="str">
        <f>工種!B44</f>
        <v>ﾘﾘｰｽ：ﾏﾆｭｱﾙPDF作成・修正</v>
      </c>
      <c r="G307" s="116" t="str">
        <f t="shared" si="134"/>
        <v>060103</v>
      </c>
      <c r="H307" s="88">
        <f t="shared" si="88"/>
        <v>0</v>
      </c>
      <c r="I307" s="132"/>
      <c r="J307" s="88">
        <f>SUMIF(月間集計シート!$M$29:$M$48,$G307,月間集計シート!N$29:N$48)*J$2</f>
        <v>0</v>
      </c>
      <c r="K307" s="88">
        <f>SUMIF(月間集計シート!$M$29:$M$48,$G307,月間集計シート!O$29:O$48)*K$2</f>
        <v>0</v>
      </c>
      <c r="L307" s="88">
        <f>SUMIF(月間集計シート!$M$29:$M$48,$G307,月間集計シート!P$29:P$48)*L$2</f>
        <v>0</v>
      </c>
      <c r="M307" s="88">
        <f>SUMIF(月間集計シート!$M$29:$M$48,$G307,月間集計シート!Q$29:Q$48)*M$2</f>
        <v>0</v>
      </c>
      <c r="N307" s="88">
        <f>SUMIF(月間集計シート!$M$29:$M$48,$G307,月間集計シート!R$29:R$48)*N$2</f>
        <v>0</v>
      </c>
      <c r="O307" s="88">
        <f>SUMIF(月間集計シート!$M$29:$M$48,$G307,月間集計シート!S$29:S$48)*O$2</f>
        <v>0</v>
      </c>
      <c r="P307" s="88">
        <f>SUMIF(月間集計シート!$M$29:$M$48,$G307,月間集計シート!T$29:T$48)*P$2</f>
        <v>0</v>
      </c>
      <c r="Q307" s="88">
        <f>SUMIF(月間集計シート!$M$50:$M$69,$G307,月間集計シート!N$50:N$69)*Q$2</f>
        <v>0</v>
      </c>
      <c r="R307" s="88">
        <f>SUMIF(月間集計シート!$M$50:$M$69,$G307,月間集計シート!O$50:O$69)*R$2</f>
        <v>0</v>
      </c>
      <c r="S307" s="88">
        <f>SUMIF(月間集計シート!$M$50:$M$69,$G307,月間集計シート!P$50:P$69)*S$2</f>
        <v>0</v>
      </c>
      <c r="T307" s="88">
        <f>SUMIF(月間集計シート!$M$50:$M$69,$G307,月間集計シート!Q$50:Q$69)*T$2</f>
        <v>0</v>
      </c>
      <c r="U307" s="88">
        <f>SUMIF(月間集計シート!$M$50:$M$69,$G307,月間集計シート!R$50:R$69)*U$2</f>
        <v>0</v>
      </c>
      <c r="V307" s="88">
        <f>SUMIF(月間集計シート!$M$50:$M$69,$G307,月間集計シート!S$50:S$69)*V$2</f>
        <v>0</v>
      </c>
      <c r="W307" s="88">
        <f>SUMIF(月間集計シート!$M$50:$M$69,$G307,月間集計シート!T$50:T$69)*W$2</f>
        <v>0</v>
      </c>
      <c r="X307" s="88">
        <f>SUMIF(月間集計シート!$M$71:$M$90,$G307,月間集計シート!N$71:N$90)*X$2</f>
        <v>0</v>
      </c>
      <c r="Y307" s="88">
        <f>SUMIF(月間集計シート!$M$71:$M$90,$G307,月間集計シート!O$71:O$90)*Y$2</f>
        <v>0</v>
      </c>
      <c r="Z307" s="88">
        <f>SUMIF(月間集計シート!$M$71:$M$90,$G307,月間集計シート!P$71:P$90)*Z$2</f>
        <v>0</v>
      </c>
      <c r="AA307" s="88">
        <f>SUMIF(月間集計シート!$M$71:$M$90,$G307,月間集計シート!Q$71:Q$90)*AA$2</f>
        <v>0</v>
      </c>
      <c r="AB307" s="88">
        <f>SUMIF(月間集計シート!$M$71:$M$90,$G307,月間集計シート!R$71:R$90)*AB$2</f>
        <v>0</v>
      </c>
      <c r="AC307" s="88">
        <f>SUMIF(月間集計シート!$M$71:$M$90,$G307,月間集計シート!S$71:S$90)*AC$2</f>
        <v>0</v>
      </c>
      <c r="AD307" s="88">
        <f>SUMIF(月間集計シート!$M$71:$M$90,$G307,月間集計シート!T$71:T$90)*AD$2</f>
        <v>0</v>
      </c>
      <c r="AE307" s="88">
        <f>SUMIF(月間集計シート!$M$92:$M$111,$G307,月間集計シート!N$92:N$111)*AE$2</f>
        <v>0</v>
      </c>
      <c r="AF307" s="88">
        <f>SUMIF(月間集計シート!$M$92:$M$111,$G307,月間集計シート!O$92:O$111)*AF$2</f>
        <v>0</v>
      </c>
      <c r="AG307" s="88">
        <f>SUMIF(月間集計シート!$M$92:$M$111,$G307,月間集計シート!P$92:P$111)*AG$2</f>
        <v>0</v>
      </c>
      <c r="AH307" s="88">
        <f>SUMIF(月間集計シート!$M$92:$M$111,$G307,月間集計シート!Q$92:Q$111)*AH$2</f>
        <v>0</v>
      </c>
      <c r="AI307" s="88">
        <f>SUMIF(月間集計シート!$M$92:$M$111,$G307,月間集計シート!R$92:R$111)*AI$2</f>
        <v>0</v>
      </c>
      <c r="AJ307" s="88">
        <f>SUMIF(月間集計シート!$M$92:$M$111,$G307,月間集計シート!S$92:S$111)*AJ$2</f>
        <v>0</v>
      </c>
      <c r="AK307" s="88">
        <f>SUMIF(月間集計シート!$M$92:$M$111,$G307,月間集計シート!T$92:T$111)*AK$2</f>
        <v>0</v>
      </c>
      <c r="AL307" s="88">
        <f>SUMIF(月間集計シート!$M$113:$M$132,$G307,月間集計シート!N$113:N$132)*AL$2</f>
        <v>0</v>
      </c>
      <c r="AM307" s="88">
        <f>SUMIF(月間集計シート!$M$113:$M$132,$G307,月間集計シート!O$113:O$132)*AM$2</f>
        <v>0</v>
      </c>
      <c r="AN307" s="88">
        <f>SUMIF(月間集計シート!$M$113:$M$132,$G307,月間集計シート!P$113:P$132)*AN$2</f>
        <v>0</v>
      </c>
      <c r="AO307" s="88">
        <f>SUMIF(月間集計シート!$M$113:$M$132,$G307,月間集計シート!Q$113:Q$132)*AO$2</f>
        <v>0</v>
      </c>
      <c r="AP307" s="88">
        <f>SUMIF(月間集計シート!$M$113:$M$132,$G307,月間集計シート!R$113:R$132)*AP$2</f>
        <v>0</v>
      </c>
      <c r="AQ307" s="88">
        <f>SUMIF(月間集計シート!$M$113:$M$132,$G307,月間集計シート!S$113:S$132)*AQ$2</f>
        <v>0</v>
      </c>
      <c r="AR307" s="88">
        <f>SUMIF(月間集計シート!$M$113:$M$132,$G307,月間集計シート!T$113:T$132)*AR$2</f>
        <v>0</v>
      </c>
      <c r="AS307" s="88">
        <f>SUMIF(月間集計シート!$M$134:$M$153,$G307,月間集計シート!N$134:N$153)*AS$2</f>
        <v>0</v>
      </c>
      <c r="AT307" s="88">
        <f>SUMIF(月間集計シート!$M$134:$M$153,$G307,月間集計シート!O$134:O$153)*AT$2</f>
        <v>0</v>
      </c>
      <c r="AU307" s="88">
        <f>SUMIF(月間集計シート!$M$134:$M$153,$G307,月間集計シート!P$134:P$153)*AU$2</f>
        <v>0</v>
      </c>
      <c r="AV307" s="88">
        <f>SUMIF(月間集計シート!$M$134:$M$153,$G307,月間集計シート!Q$134:Q$153)*AV$2</f>
        <v>0</v>
      </c>
      <c r="AW307" s="88">
        <f>SUMIF(月間集計シート!$M$134:$M$153,$G307,月間集計シート!R$134:R$153)*AW$2</f>
        <v>0</v>
      </c>
      <c r="AX307" s="88">
        <f>SUMIF(月間集計シート!$M$134:$M$153,$G307,月間集計シート!S$134:S$153)*AX$2</f>
        <v>0</v>
      </c>
      <c r="AY307" s="88">
        <f>SUMIF(月間集計シート!$M$134:$M$153,$G307,月間集計シート!T$134:T$153)*AY$2</f>
        <v>0</v>
      </c>
    </row>
    <row r="308" spans="1:51" ht="14.25" thickBot="1">
      <c r="A308">
        <v>4</v>
      </c>
      <c r="B308" s="120">
        <f t="shared" si="132"/>
        <v>0</v>
      </c>
      <c r="C308" s="120" t="str">
        <f t="shared" si="133"/>
        <v/>
      </c>
      <c r="D308" s="137"/>
      <c r="E308" s="150" t="str">
        <f>工種!A45</f>
        <v>60104</v>
      </c>
      <c r="F308" s="119" t="str">
        <f>工種!B45</f>
        <v>ﾘﾘｰｽ：ﾍﾙﾌﾟ作成・修正</v>
      </c>
      <c r="G308" s="116" t="str">
        <f t="shared" si="134"/>
        <v>060104</v>
      </c>
      <c r="H308" s="88">
        <f t="shared" si="88"/>
        <v>0</v>
      </c>
      <c r="I308" s="132"/>
      <c r="J308" s="88">
        <f>SUMIF(月間集計シート!$M$29:$M$48,$G308,月間集計シート!N$29:N$48)*J$2</f>
        <v>0</v>
      </c>
      <c r="K308" s="88">
        <f>SUMIF(月間集計シート!$M$29:$M$48,$G308,月間集計シート!O$29:O$48)*K$2</f>
        <v>0</v>
      </c>
      <c r="L308" s="88">
        <f>SUMIF(月間集計シート!$M$29:$M$48,$G308,月間集計シート!P$29:P$48)*L$2</f>
        <v>0</v>
      </c>
      <c r="M308" s="88">
        <f>SUMIF(月間集計シート!$M$29:$M$48,$G308,月間集計シート!Q$29:Q$48)*M$2</f>
        <v>0</v>
      </c>
      <c r="N308" s="88">
        <f>SUMIF(月間集計シート!$M$29:$M$48,$G308,月間集計シート!R$29:R$48)*N$2</f>
        <v>0</v>
      </c>
      <c r="O308" s="88">
        <f>SUMIF(月間集計シート!$M$29:$M$48,$G308,月間集計シート!S$29:S$48)*O$2</f>
        <v>0</v>
      </c>
      <c r="P308" s="88">
        <f>SUMIF(月間集計シート!$M$29:$M$48,$G308,月間集計シート!T$29:T$48)*P$2</f>
        <v>0</v>
      </c>
      <c r="Q308" s="88">
        <f>SUMIF(月間集計シート!$M$50:$M$69,$G308,月間集計シート!N$50:N$69)*Q$2</f>
        <v>0</v>
      </c>
      <c r="R308" s="88">
        <f>SUMIF(月間集計シート!$M$50:$M$69,$G308,月間集計シート!O$50:O$69)*R$2</f>
        <v>0</v>
      </c>
      <c r="S308" s="88">
        <f>SUMIF(月間集計シート!$M$50:$M$69,$G308,月間集計シート!P$50:P$69)*S$2</f>
        <v>0</v>
      </c>
      <c r="T308" s="88">
        <f>SUMIF(月間集計シート!$M$50:$M$69,$G308,月間集計シート!Q$50:Q$69)*T$2</f>
        <v>0</v>
      </c>
      <c r="U308" s="88">
        <f>SUMIF(月間集計シート!$M$50:$M$69,$G308,月間集計シート!R$50:R$69)*U$2</f>
        <v>0</v>
      </c>
      <c r="V308" s="88">
        <f>SUMIF(月間集計シート!$M$50:$M$69,$G308,月間集計シート!S$50:S$69)*V$2</f>
        <v>0</v>
      </c>
      <c r="W308" s="88">
        <f>SUMIF(月間集計シート!$M$50:$M$69,$G308,月間集計シート!T$50:T$69)*W$2</f>
        <v>0</v>
      </c>
      <c r="X308" s="88">
        <f>SUMIF(月間集計シート!$M$71:$M$90,$G308,月間集計シート!N$71:N$90)*X$2</f>
        <v>0</v>
      </c>
      <c r="Y308" s="88">
        <f>SUMIF(月間集計シート!$M$71:$M$90,$G308,月間集計シート!O$71:O$90)*Y$2</f>
        <v>0</v>
      </c>
      <c r="Z308" s="88">
        <f>SUMIF(月間集計シート!$M$71:$M$90,$G308,月間集計シート!P$71:P$90)*Z$2</f>
        <v>0</v>
      </c>
      <c r="AA308" s="88">
        <f>SUMIF(月間集計シート!$M$71:$M$90,$G308,月間集計シート!Q$71:Q$90)*AA$2</f>
        <v>0</v>
      </c>
      <c r="AB308" s="88">
        <f>SUMIF(月間集計シート!$M$71:$M$90,$G308,月間集計シート!R$71:R$90)*AB$2</f>
        <v>0</v>
      </c>
      <c r="AC308" s="88">
        <f>SUMIF(月間集計シート!$M$71:$M$90,$G308,月間集計シート!S$71:S$90)*AC$2</f>
        <v>0</v>
      </c>
      <c r="AD308" s="88">
        <f>SUMIF(月間集計シート!$M$71:$M$90,$G308,月間集計シート!T$71:T$90)*AD$2</f>
        <v>0</v>
      </c>
      <c r="AE308" s="88">
        <f>SUMIF(月間集計シート!$M$92:$M$111,$G308,月間集計シート!N$92:N$111)*AE$2</f>
        <v>0</v>
      </c>
      <c r="AF308" s="88">
        <f>SUMIF(月間集計シート!$M$92:$M$111,$G308,月間集計シート!O$92:O$111)*AF$2</f>
        <v>0</v>
      </c>
      <c r="AG308" s="88">
        <f>SUMIF(月間集計シート!$M$92:$M$111,$G308,月間集計シート!P$92:P$111)*AG$2</f>
        <v>0</v>
      </c>
      <c r="AH308" s="88">
        <f>SUMIF(月間集計シート!$M$92:$M$111,$G308,月間集計シート!Q$92:Q$111)*AH$2</f>
        <v>0</v>
      </c>
      <c r="AI308" s="88">
        <f>SUMIF(月間集計シート!$M$92:$M$111,$G308,月間集計シート!R$92:R$111)*AI$2</f>
        <v>0</v>
      </c>
      <c r="AJ308" s="88">
        <f>SUMIF(月間集計シート!$M$92:$M$111,$G308,月間集計シート!S$92:S$111)*AJ$2</f>
        <v>0</v>
      </c>
      <c r="AK308" s="88">
        <f>SUMIF(月間集計シート!$M$92:$M$111,$G308,月間集計シート!T$92:T$111)*AK$2</f>
        <v>0</v>
      </c>
      <c r="AL308" s="88">
        <f>SUMIF(月間集計シート!$M$113:$M$132,$G308,月間集計シート!N$113:N$132)*AL$2</f>
        <v>0</v>
      </c>
      <c r="AM308" s="88">
        <f>SUMIF(月間集計シート!$M$113:$M$132,$G308,月間集計シート!O$113:O$132)*AM$2</f>
        <v>0</v>
      </c>
      <c r="AN308" s="88">
        <f>SUMIF(月間集計シート!$M$113:$M$132,$G308,月間集計シート!P$113:P$132)*AN$2</f>
        <v>0</v>
      </c>
      <c r="AO308" s="88">
        <f>SUMIF(月間集計シート!$M$113:$M$132,$G308,月間集計シート!Q$113:Q$132)*AO$2</f>
        <v>0</v>
      </c>
      <c r="AP308" s="88">
        <f>SUMIF(月間集計シート!$M$113:$M$132,$G308,月間集計シート!R$113:R$132)*AP$2</f>
        <v>0</v>
      </c>
      <c r="AQ308" s="88">
        <f>SUMIF(月間集計シート!$M$113:$M$132,$G308,月間集計シート!S$113:S$132)*AQ$2</f>
        <v>0</v>
      </c>
      <c r="AR308" s="88">
        <f>SUMIF(月間集計シート!$M$113:$M$132,$G308,月間集計シート!T$113:T$132)*AR$2</f>
        <v>0</v>
      </c>
      <c r="AS308" s="88">
        <f>SUMIF(月間集計シート!$M$134:$M$153,$G308,月間集計シート!N$134:N$153)*AS$2</f>
        <v>0</v>
      </c>
      <c r="AT308" s="88">
        <f>SUMIF(月間集計シート!$M$134:$M$153,$G308,月間集計シート!O$134:O$153)*AT$2</f>
        <v>0</v>
      </c>
      <c r="AU308" s="88">
        <f>SUMIF(月間集計シート!$M$134:$M$153,$G308,月間集計シート!P$134:P$153)*AU$2</f>
        <v>0</v>
      </c>
      <c r="AV308" s="88">
        <f>SUMIF(月間集計シート!$M$134:$M$153,$G308,月間集計シート!Q$134:Q$153)*AV$2</f>
        <v>0</v>
      </c>
      <c r="AW308" s="88">
        <f>SUMIF(月間集計シート!$M$134:$M$153,$G308,月間集計シート!R$134:R$153)*AW$2</f>
        <v>0</v>
      </c>
      <c r="AX308" s="88">
        <f>SUMIF(月間集計シート!$M$134:$M$153,$G308,月間集計シート!S$134:S$153)*AX$2</f>
        <v>0</v>
      </c>
      <c r="AY308" s="88">
        <f>SUMIF(月間集計シート!$M$134:$M$153,$G308,月間集計シート!T$134:T$153)*AY$2</f>
        <v>0</v>
      </c>
    </row>
    <row r="309" spans="1:51" ht="14.25" thickBot="1">
      <c r="A309">
        <v>4</v>
      </c>
      <c r="B309" s="120">
        <f t="shared" si="132"/>
        <v>0</v>
      </c>
      <c r="C309" s="120" t="str">
        <f t="shared" si="133"/>
        <v/>
      </c>
      <c r="D309" s="137"/>
      <c r="E309" s="150" t="str">
        <f>工種!A46</f>
        <v>60105</v>
      </c>
      <c r="F309" s="119" t="str">
        <f>工種!B46</f>
        <v>ﾘﾘｰｽ：締め作業</v>
      </c>
      <c r="G309" s="116" t="str">
        <f t="shared" si="134"/>
        <v>060105</v>
      </c>
      <c r="H309" s="88">
        <f t="shared" si="88"/>
        <v>0</v>
      </c>
      <c r="I309" s="132"/>
      <c r="J309" s="88">
        <f>SUMIF(月間集計シート!$M$29:$M$48,$G309,月間集計シート!N$29:N$48)*J$2</f>
        <v>0</v>
      </c>
      <c r="K309" s="88">
        <f>SUMIF(月間集計シート!$M$29:$M$48,$G309,月間集計シート!O$29:O$48)*K$2</f>
        <v>0</v>
      </c>
      <c r="L309" s="88">
        <f>SUMIF(月間集計シート!$M$29:$M$48,$G309,月間集計シート!P$29:P$48)*L$2</f>
        <v>0</v>
      </c>
      <c r="M309" s="88">
        <f>SUMIF(月間集計シート!$M$29:$M$48,$G309,月間集計シート!Q$29:Q$48)*M$2</f>
        <v>0</v>
      </c>
      <c r="N309" s="88">
        <f>SUMIF(月間集計シート!$M$29:$M$48,$G309,月間集計シート!R$29:R$48)*N$2</f>
        <v>0</v>
      </c>
      <c r="O309" s="88">
        <f>SUMIF(月間集計シート!$M$29:$M$48,$G309,月間集計シート!S$29:S$48)*O$2</f>
        <v>0</v>
      </c>
      <c r="P309" s="88">
        <f>SUMIF(月間集計シート!$M$29:$M$48,$G309,月間集計シート!T$29:T$48)*P$2</f>
        <v>0</v>
      </c>
      <c r="Q309" s="88">
        <f>SUMIF(月間集計シート!$M$50:$M$69,$G309,月間集計シート!N$50:N$69)*Q$2</f>
        <v>0</v>
      </c>
      <c r="R309" s="88">
        <f>SUMIF(月間集計シート!$M$50:$M$69,$G309,月間集計シート!O$50:O$69)*R$2</f>
        <v>0</v>
      </c>
      <c r="S309" s="88">
        <f>SUMIF(月間集計シート!$M$50:$M$69,$G309,月間集計シート!P$50:P$69)*S$2</f>
        <v>0</v>
      </c>
      <c r="T309" s="88">
        <f>SUMIF(月間集計シート!$M$50:$M$69,$G309,月間集計シート!Q$50:Q$69)*T$2</f>
        <v>0</v>
      </c>
      <c r="U309" s="88">
        <f>SUMIF(月間集計シート!$M$50:$M$69,$G309,月間集計シート!R$50:R$69)*U$2</f>
        <v>0</v>
      </c>
      <c r="V309" s="88">
        <f>SUMIF(月間集計シート!$M$50:$M$69,$G309,月間集計シート!S$50:S$69)*V$2</f>
        <v>0</v>
      </c>
      <c r="W309" s="88">
        <f>SUMIF(月間集計シート!$M$50:$M$69,$G309,月間集計シート!T$50:T$69)*W$2</f>
        <v>0</v>
      </c>
      <c r="X309" s="88">
        <f>SUMIF(月間集計シート!$M$71:$M$90,$G309,月間集計シート!N$71:N$90)*X$2</f>
        <v>0</v>
      </c>
      <c r="Y309" s="88">
        <f>SUMIF(月間集計シート!$M$71:$M$90,$G309,月間集計シート!O$71:O$90)*Y$2</f>
        <v>0</v>
      </c>
      <c r="Z309" s="88">
        <f>SUMIF(月間集計シート!$M$71:$M$90,$G309,月間集計シート!P$71:P$90)*Z$2</f>
        <v>0</v>
      </c>
      <c r="AA309" s="88">
        <f>SUMIF(月間集計シート!$M$71:$M$90,$G309,月間集計シート!Q$71:Q$90)*AA$2</f>
        <v>0</v>
      </c>
      <c r="AB309" s="88">
        <f>SUMIF(月間集計シート!$M$71:$M$90,$G309,月間集計シート!R$71:R$90)*AB$2</f>
        <v>0</v>
      </c>
      <c r="AC309" s="88">
        <f>SUMIF(月間集計シート!$M$71:$M$90,$G309,月間集計シート!S$71:S$90)*AC$2</f>
        <v>0</v>
      </c>
      <c r="AD309" s="88">
        <f>SUMIF(月間集計シート!$M$71:$M$90,$G309,月間集計シート!T$71:T$90)*AD$2</f>
        <v>0</v>
      </c>
      <c r="AE309" s="88">
        <f>SUMIF(月間集計シート!$M$92:$M$111,$G309,月間集計シート!N$92:N$111)*AE$2</f>
        <v>0</v>
      </c>
      <c r="AF309" s="88">
        <f>SUMIF(月間集計シート!$M$92:$M$111,$G309,月間集計シート!O$92:O$111)*AF$2</f>
        <v>0</v>
      </c>
      <c r="AG309" s="88">
        <f>SUMIF(月間集計シート!$M$92:$M$111,$G309,月間集計シート!P$92:P$111)*AG$2</f>
        <v>0</v>
      </c>
      <c r="AH309" s="88">
        <f>SUMIF(月間集計シート!$M$92:$M$111,$G309,月間集計シート!Q$92:Q$111)*AH$2</f>
        <v>0</v>
      </c>
      <c r="AI309" s="88">
        <f>SUMIF(月間集計シート!$M$92:$M$111,$G309,月間集計シート!R$92:R$111)*AI$2</f>
        <v>0</v>
      </c>
      <c r="AJ309" s="88">
        <f>SUMIF(月間集計シート!$M$92:$M$111,$G309,月間集計シート!S$92:S$111)*AJ$2</f>
        <v>0</v>
      </c>
      <c r="AK309" s="88">
        <f>SUMIF(月間集計シート!$M$92:$M$111,$G309,月間集計シート!T$92:T$111)*AK$2</f>
        <v>0</v>
      </c>
      <c r="AL309" s="88">
        <f>SUMIF(月間集計シート!$M$113:$M$132,$G309,月間集計シート!N$113:N$132)*AL$2</f>
        <v>0</v>
      </c>
      <c r="AM309" s="88">
        <f>SUMIF(月間集計シート!$M$113:$M$132,$G309,月間集計シート!O$113:O$132)*AM$2</f>
        <v>0</v>
      </c>
      <c r="AN309" s="88">
        <f>SUMIF(月間集計シート!$M$113:$M$132,$G309,月間集計シート!P$113:P$132)*AN$2</f>
        <v>0</v>
      </c>
      <c r="AO309" s="88">
        <f>SUMIF(月間集計シート!$M$113:$M$132,$G309,月間集計シート!Q$113:Q$132)*AO$2</f>
        <v>0</v>
      </c>
      <c r="AP309" s="88">
        <f>SUMIF(月間集計シート!$M$113:$M$132,$G309,月間集計シート!R$113:R$132)*AP$2</f>
        <v>0</v>
      </c>
      <c r="AQ309" s="88">
        <f>SUMIF(月間集計シート!$M$113:$M$132,$G309,月間集計シート!S$113:S$132)*AQ$2</f>
        <v>0</v>
      </c>
      <c r="AR309" s="88">
        <f>SUMIF(月間集計シート!$M$113:$M$132,$G309,月間集計シート!T$113:T$132)*AR$2</f>
        <v>0</v>
      </c>
      <c r="AS309" s="88">
        <f>SUMIF(月間集計シート!$M$134:$M$153,$G309,月間集計シート!N$134:N$153)*AS$2</f>
        <v>0</v>
      </c>
      <c r="AT309" s="88">
        <f>SUMIF(月間集計シート!$M$134:$M$153,$G309,月間集計シート!O$134:O$153)*AT$2</f>
        <v>0</v>
      </c>
      <c r="AU309" s="88">
        <f>SUMIF(月間集計シート!$M$134:$M$153,$G309,月間集計シート!P$134:P$153)*AU$2</f>
        <v>0</v>
      </c>
      <c r="AV309" s="88">
        <f>SUMIF(月間集計シート!$M$134:$M$153,$G309,月間集計シート!Q$134:Q$153)*AV$2</f>
        <v>0</v>
      </c>
      <c r="AW309" s="88">
        <f>SUMIF(月間集計シート!$M$134:$M$153,$G309,月間集計シート!R$134:R$153)*AW$2</f>
        <v>0</v>
      </c>
      <c r="AX309" s="88">
        <f>SUMIF(月間集計シート!$M$134:$M$153,$G309,月間集計シート!S$134:S$153)*AX$2</f>
        <v>0</v>
      </c>
      <c r="AY309" s="88">
        <f>SUMIF(月間集計シート!$M$134:$M$153,$G309,月間集計シート!T$134:T$153)*AY$2</f>
        <v>0</v>
      </c>
    </row>
    <row r="310" spans="1:51" ht="14.25" thickBot="1">
      <c r="A310">
        <v>4</v>
      </c>
      <c r="B310" s="120">
        <f t="shared" si="132"/>
        <v>0</v>
      </c>
      <c r="C310" s="120" t="str">
        <f t="shared" si="133"/>
        <v/>
      </c>
      <c r="D310" s="137"/>
      <c r="E310" s="150" t="str">
        <f>工種!A47</f>
        <v>60107</v>
      </c>
      <c r="F310" s="119" t="str">
        <f>工種!B47</f>
        <v>ﾘﾘｰｽ：打合せ</v>
      </c>
      <c r="G310" s="116" t="str">
        <f t="shared" si="134"/>
        <v>060107</v>
      </c>
      <c r="H310" s="88">
        <f t="shared" si="88"/>
        <v>0</v>
      </c>
      <c r="I310" s="132"/>
      <c r="J310" s="88">
        <f>SUMIF(月間集計シート!$M$29:$M$48,$G310,月間集計シート!N$29:N$48)*J$2</f>
        <v>0</v>
      </c>
      <c r="K310" s="88">
        <f>SUMIF(月間集計シート!$M$29:$M$48,$G310,月間集計シート!O$29:O$48)*K$2</f>
        <v>0</v>
      </c>
      <c r="L310" s="88">
        <f>SUMIF(月間集計シート!$M$29:$M$48,$G310,月間集計シート!P$29:P$48)*L$2</f>
        <v>0</v>
      </c>
      <c r="M310" s="88">
        <f>SUMIF(月間集計シート!$M$29:$M$48,$G310,月間集計シート!Q$29:Q$48)*M$2</f>
        <v>0</v>
      </c>
      <c r="N310" s="88">
        <f>SUMIF(月間集計シート!$M$29:$M$48,$G310,月間集計シート!R$29:R$48)*N$2</f>
        <v>0</v>
      </c>
      <c r="O310" s="88">
        <f>SUMIF(月間集計シート!$M$29:$M$48,$G310,月間集計シート!S$29:S$48)*O$2</f>
        <v>0</v>
      </c>
      <c r="P310" s="88">
        <f>SUMIF(月間集計シート!$M$29:$M$48,$G310,月間集計シート!T$29:T$48)*P$2</f>
        <v>0</v>
      </c>
      <c r="Q310" s="88">
        <f>SUMIF(月間集計シート!$M$50:$M$69,$G310,月間集計シート!N$50:N$69)*Q$2</f>
        <v>0</v>
      </c>
      <c r="R310" s="88">
        <f>SUMIF(月間集計シート!$M$50:$M$69,$G310,月間集計シート!O$50:O$69)*R$2</f>
        <v>0</v>
      </c>
      <c r="S310" s="88">
        <f>SUMIF(月間集計シート!$M$50:$M$69,$G310,月間集計シート!P$50:P$69)*S$2</f>
        <v>0</v>
      </c>
      <c r="T310" s="88">
        <f>SUMIF(月間集計シート!$M$50:$M$69,$G310,月間集計シート!Q$50:Q$69)*T$2</f>
        <v>0</v>
      </c>
      <c r="U310" s="88">
        <f>SUMIF(月間集計シート!$M$50:$M$69,$G310,月間集計シート!R$50:R$69)*U$2</f>
        <v>0</v>
      </c>
      <c r="V310" s="88">
        <f>SUMIF(月間集計シート!$M$50:$M$69,$G310,月間集計シート!S$50:S$69)*V$2</f>
        <v>0</v>
      </c>
      <c r="W310" s="88">
        <f>SUMIF(月間集計シート!$M$50:$M$69,$G310,月間集計シート!T$50:T$69)*W$2</f>
        <v>0</v>
      </c>
      <c r="X310" s="88">
        <f>SUMIF(月間集計シート!$M$71:$M$90,$G310,月間集計シート!N$71:N$90)*X$2</f>
        <v>0</v>
      </c>
      <c r="Y310" s="88">
        <f>SUMIF(月間集計シート!$M$71:$M$90,$G310,月間集計シート!O$71:O$90)*Y$2</f>
        <v>0</v>
      </c>
      <c r="Z310" s="88">
        <f>SUMIF(月間集計シート!$M$71:$M$90,$G310,月間集計シート!P$71:P$90)*Z$2</f>
        <v>0</v>
      </c>
      <c r="AA310" s="88">
        <f>SUMIF(月間集計シート!$M$71:$M$90,$G310,月間集計シート!Q$71:Q$90)*AA$2</f>
        <v>0</v>
      </c>
      <c r="AB310" s="88">
        <f>SUMIF(月間集計シート!$M$71:$M$90,$G310,月間集計シート!R$71:R$90)*AB$2</f>
        <v>0</v>
      </c>
      <c r="AC310" s="88">
        <f>SUMIF(月間集計シート!$M$71:$M$90,$G310,月間集計シート!S$71:S$90)*AC$2</f>
        <v>0</v>
      </c>
      <c r="AD310" s="88">
        <f>SUMIF(月間集計シート!$M$71:$M$90,$G310,月間集計シート!T$71:T$90)*AD$2</f>
        <v>0</v>
      </c>
      <c r="AE310" s="88">
        <f>SUMIF(月間集計シート!$M$92:$M$111,$G310,月間集計シート!N$92:N$111)*AE$2</f>
        <v>0</v>
      </c>
      <c r="AF310" s="88">
        <f>SUMIF(月間集計シート!$M$92:$M$111,$G310,月間集計シート!O$92:O$111)*AF$2</f>
        <v>0</v>
      </c>
      <c r="AG310" s="88">
        <f>SUMIF(月間集計シート!$M$92:$M$111,$G310,月間集計シート!P$92:P$111)*AG$2</f>
        <v>0</v>
      </c>
      <c r="AH310" s="88">
        <f>SUMIF(月間集計シート!$M$92:$M$111,$G310,月間集計シート!Q$92:Q$111)*AH$2</f>
        <v>0</v>
      </c>
      <c r="AI310" s="88">
        <f>SUMIF(月間集計シート!$M$92:$M$111,$G310,月間集計シート!R$92:R$111)*AI$2</f>
        <v>0</v>
      </c>
      <c r="AJ310" s="88">
        <f>SUMIF(月間集計シート!$M$92:$M$111,$G310,月間集計シート!S$92:S$111)*AJ$2</f>
        <v>0</v>
      </c>
      <c r="AK310" s="88">
        <f>SUMIF(月間集計シート!$M$92:$M$111,$G310,月間集計シート!T$92:T$111)*AK$2</f>
        <v>0</v>
      </c>
      <c r="AL310" s="88">
        <f>SUMIF(月間集計シート!$M$113:$M$132,$G310,月間集計シート!N$113:N$132)*AL$2</f>
        <v>0</v>
      </c>
      <c r="AM310" s="88">
        <f>SUMIF(月間集計シート!$M$113:$M$132,$G310,月間集計シート!O$113:O$132)*AM$2</f>
        <v>0</v>
      </c>
      <c r="AN310" s="88">
        <f>SUMIF(月間集計シート!$M$113:$M$132,$G310,月間集計シート!P$113:P$132)*AN$2</f>
        <v>0</v>
      </c>
      <c r="AO310" s="88">
        <f>SUMIF(月間集計シート!$M$113:$M$132,$G310,月間集計シート!Q$113:Q$132)*AO$2</f>
        <v>0</v>
      </c>
      <c r="AP310" s="88">
        <f>SUMIF(月間集計シート!$M$113:$M$132,$G310,月間集計シート!R$113:R$132)*AP$2</f>
        <v>0</v>
      </c>
      <c r="AQ310" s="88">
        <f>SUMIF(月間集計シート!$M$113:$M$132,$G310,月間集計シート!S$113:S$132)*AQ$2</f>
        <v>0</v>
      </c>
      <c r="AR310" s="88">
        <f>SUMIF(月間集計シート!$M$113:$M$132,$G310,月間集計シート!T$113:T$132)*AR$2</f>
        <v>0</v>
      </c>
      <c r="AS310" s="88">
        <f>SUMIF(月間集計シート!$M$134:$M$153,$G310,月間集計シート!N$134:N$153)*AS$2</f>
        <v>0</v>
      </c>
      <c r="AT310" s="88">
        <f>SUMIF(月間集計シート!$M$134:$M$153,$G310,月間集計シート!O$134:O$153)*AT$2</f>
        <v>0</v>
      </c>
      <c r="AU310" s="88">
        <f>SUMIF(月間集計シート!$M$134:$M$153,$G310,月間集計シート!P$134:P$153)*AU$2</f>
        <v>0</v>
      </c>
      <c r="AV310" s="88">
        <f>SUMIF(月間集計シート!$M$134:$M$153,$G310,月間集計シート!Q$134:Q$153)*AV$2</f>
        <v>0</v>
      </c>
      <c r="AW310" s="88">
        <f>SUMIF(月間集計シート!$M$134:$M$153,$G310,月間集計シート!R$134:R$153)*AW$2</f>
        <v>0</v>
      </c>
      <c r="AX310" s="88">
        <f>SUMIF(月間集計シート!$M$134:$M$153,$G310,月間集計シート!S$134:S$153)*AX$2</f>
        <v>0</v>
      </c>
      <c r="AY310" s="88">
        <f>SUMIF(月間集計シート!$M$134:$M$153,$G310,月間集計シート!T$134:T$153)*AY$2</f>
        <v>0</v>
      </c>
    </row>
    <row r="311" spans="1:51" ht="14.25" thickBot="1">
      <c r="A311">
        <v>4</v>
      </c>
      <c r="B311" s="120">
        <f t="shared" si="132"/>
        <v>0</v>
      </c>
      <c r="C311" s="120" t="str">
        <f t="shared" si="133"/>
        <v/>
      </c>
      <c r="D311" s="137"/>
      <c r="E311" s="150" t="str">
        <f>工種!A48</f>
        <v>60108</v>
      </c>
      <c r="F311" s="119" t="str">
        <f>工種!B48</f>
        <v>ﾘﾘｰｽ：ﾚﾋﾞｭｰ</v>
      </c>
      <c r="G311" s="116" t="str">
        <f t="shared" si="134"/>
        <v>060108</v>
      </c>
      <c r="H311" s="88">
        <f t="shared" si="88"/>
        <v>0</v>
      </c>
      <c r="I311" s="132"/>
      <c r="J311" s="88">
        <f>SUMIF(月間集計シート!$M$29:$M$48,$G311,月間集計シート!N$29:N$48)*J$2</f>
        <v>0</v>
      </c>
      <c r="K311" s="88">
        <f>SUMIF(月間集計シート!$M$29:$M$48,$G311,月間集計シート!O$29:O$48)*K$2</f>
        <v>0</v>
      </c>
      <c r="L311" s="88">
        <f>SUMIF(月間集計シート!$M$29:$M$48,$G311,月間集計シート!P$29:P$48)*L$2</f>
        <v>0</v>
      </c>
      <c r="M311" s="88">
        <f>SUMIF(月間集計シート!$M$29:$M$48,$G311,月間集計シート!Q$29:Q$48)*M$2</f>
        <v>0</v>
      </c>
      <c r="N311" s="88">
        <f>SUMIF(月間集計シート!$M$29:$M$48,$G311,月間集計シート!R$29:R$48)*N$2</f>
        <v>0</v>
      </c>
      <c r="O311" s="88">
        <f>SUMIF(月間集計シート!$M$29:$M$48,$G311,月間集計シート!S$29:S$48)*O$2</f>
        <v>0</v>
      </c>
      <c r="P311" s="88">
        <f>SUMIF(月間集計シート!$M$29:$M$48,$G311,月間集計シート!T$29:T$48)*P$2</f>
        <v>0</v>
      </c>
      <c r="Q311" s="88">
        <f>SUMIF(月間集計シート!$M$50:$M$69,$G311,月間集計シート!N$50:N$69)*Q$2</f>
        <v>0</v>
      </c>
      <c r="R311" s="88">
        <f>SUMIF(月間集計シート!$M$50:$M$69,$G311,月間集計シート!O$50:O$69)*R$2</f>
        <v>0</v>
      </c>
      <c r="S311" s="88">
        <f>SUMIF(月間集計シート!$M$50:$M$69,$G311,月間集計シート!P$50:P$69)*S$2</f>
        <v>0</v>
      </c>
      <c r="T311" s="88">
        <f>SUMIF(月間集計シート!$M$50:$M$69,$G311,月間集計シート!Q$50:Q$69)*T$2</f>
        <v>0</v>
      </c>
      <c r="U311" s="88">
        <f>SUMIF(月間集計シート!$M$50:$M$69,$G311,月間集計シート!R$50:R$69)*U$2</f>
        <v>0</v>
      </c>
      <c r="V311" s="88">
        <f>SUMIF(月間集計シート!$M$50:$M$69,$G311,月間集計シート!S$50:S$69)*V$2</f>
        <v>0</v>
      </c>
      <c r="W311" s="88">
        <f>SUMIF(月間集計シート!$M$50:$M$69,$G311,月間集計シート!T$50:T$69)*W$2</f>
        <v>0</v>
      </c>
      <c r="X311" s="88">
        <f>SUMIF(月間集計シート!$M$71:$M$90,$G311,月間集計シート!N$71:N$90)*X$2</f>
        <v>0</v>
      </c>
      <c r="Y311" s="88">
        <f>SUMIF(月間集計シート!$M$71:$M$90,$G311,月間集計シート!O$71:O$90)*Y$2</f>
        <v>0</v>
      </c>
      <c r="Z311" s="88">
        <f>SUMIF(月間集計シート!$M$71:$M$90,$G311,月間集計シート!P$71:P$90)*Z$2</f>
        <v>0</v>
      </c>
      <c r="AA311" s="88">
        <f>SUMIF(月間集計シート!$M$71:$M$90,$G311,月間集計シート!Q$71:Q$90)*AA$2</f>
        <v>0</v>
      </c>
      <c r="AB311" s="88">
        <f>SUMIF(月間集計シート!$M$71:$M$90,$G311,月間集計シート!R$71:R$90)*AB$2</f>
        <v>0</v>
      </c>
      <c r="AC311" s="88">
        <f>SUMIF(月間集計シート!$M$71:$M$90,$G311,月間集計シート!S$71:S$90)*AC$2</f>
        <v>0</v>
      </c>
      <c r="AD311" s="88">
        <f>SUMIF(月間集計シート!$M$71:$M$90,$G311,月間集計シート!T$71:T$90)*AD$2</f>
        <v>0</v>
      </c>
      <c r="AE311" s="88">
        <f>SUMIF(月間集計シート!$M$92:$M$111,$G311,月間集計シート!N$92:N$111)*AE$2</f>
        <v>0</v>
      </c>
      <c r="AF311" s="88">
        <f>SUMIF(月間集計シート!$M$92:$M$111,$G311,月間集計シート!O$92:O$111)*AF$2</f>
        <v>0</v>
      </c>
      <c r="AG311" s="88">
        <f>SUMIF(月間集計シート!$M$92:$M$111,$G311,月間集計シート!P$92:P$111)*AG$2</f>
        <v>0</v>
      </c>
      <c r="AH311" s="88">
        <f>SUMIF(月間集計シート!$M$92:$M$111,$G311,月間集計シート!Q$92:Q$111)*AH$2</f>
        <v>0</v>
      </c>
      <c r="AI311" s="88">
        <f>SUMIF(月間集計シート!$M$92:$M$111,$G311,月間集計シート!R$92:R$111)*AI$2</f>
        <v>0</v>
      </c>
      <c r="AJ311" s="88">
        <f>SUMIF(月間集計シート!$M$92:$M$111,$G311,月間集計シート!S$92:S$111)*AJ$2</f>
        <v>0</v>
      </c>
      <c r="AK311" s="88">
        <f>SUMIF(月間集計シート!$M$92:$M$111,$G311,月間集計シート!T$92:T$111)*AK$2</f>
        <v>0</v>
      </c>
      <c r="AL311" s="88">
        <f>SUMIF(月間集計シート!$M$113:$M$132,$G311,月間集計シート!N$113:N$132)*AL$2</f>
        <v>0</v>
      </c>
      <c r="AM311" s="88">
        <f>SUMIF(月間集計シート!$M$113:$M$132,$G311,月間集計シート!O$113:O$132)*AM$2</f>
        <v>0</v>
      </c>
      <c r="AN311" s="88">
        <f>SUMIF(月間集計シート!$M$113:$M$132,$G311,月間集計シート!P$113:P$132)*AN$2</f>
        <v>0</v>
      </c>
      <c r="AO311" s="88">
        <f>SUMIF(月間集計シート!$M$113:$M$132,$G311,月間集計シート!Q$113:Q$132)*AO$2</f>
        <v>0</v>
      </c>
      <c r="AP311" s="88">
        <f>SUMIF(月間集計シート!$M$113:$M$132,$G311,月間集計シート!R$113:R$132)*AP$2</f>
        <v>0</v>
      </c>
      <c r="AQ311" s="88">
        <f>SUMIF(月間集計シート!$M$113:$M$132,$G311,月間集計シート!S$113:S$132)*AQ$2</f>
        <v>0</v>
      </c>
      <c r="AR311" s="88">
        <f>SUMIF(月間集計シート!$M$113:$M$132,$G311,月間集計シート!T$113:T$132)*AR$2</f>
        <v>0</v>
      </c>
      <c r="AS311" s="88">
        <f>SUMIF(月間集計シート!$M$134:$M$153,$G311,月間集計シート!N$134:N$153)*AS$2</f>
        <v>0</v>
      </c>
      <c r="AT311" s="88">
        <f>SUMIF(月間集計シート!$M$134:$M$153,$G311,月間集計シート!O$134:O$153)*AT$2</f>
        <v>0</v>
      </c>
      <c r="AU311" s="88">
        <f>SUMIF(月間集計シート!$M$134:$M$153,$G311,月間集計シート!P$134:P$153)*AU$2</f>
        <v>0</v>
      </c>
      <c r="AV311" s="88">
        <f>SUMIF(月間集計シート!$M$134:$M$153,$G311,月間集計シート!Q$134:Q$153)*AV$2</f>
        <v>0</v>
      </c>
      <c r="AW311" s="88">
        <f>SUMIF(月間集計シート!$M$134:$M$153,$G311,月間集計シート!R$134:R$153)*AW$2</f>
        <v>0</v>
      </c>
      <c r="AX311" s="88">
        <f>SUMIF(月間集計シート!$M$134:$M$153,$G311,月間集計シート!S$134:S$153)*AX$2</f>
        <v>0</v>
      </c>
      <c r="AY311" s="88">
        <f>SUMIF(月間集計シート!$M$134:$M$153,$G311,月間集計シート!T$134:T$153)*AY$2</f>
        <v>0</v>
      </c>
    </row>
    <row r="312" spans="1:51" ht="14.25" thickBot="1">
      <c r="A312">
        <v>4</v>
      </c>
      <c r="B312" s="120">
        <f t="shared" si="132"/>
        <v>0</v>
      </c>
      <c r="C312" s="120" t="str">
        <f t="shared" si="133"/>
        <v/>
      </c>
      <c r="D312" s="137"/>
      <c r="E312" s="150" t="str">
        <f>工種!A49</f>
        <v>60199</v>
      </c>
      <c r="F312" s="119" t="str">
        <f>工種!B49</f>
        <v>ﾘﾘｰｽ：その他</v>
      </c>
      <c r="G312" s="116" t="str">
        <f t="shared" si="134"/>
        <v>060199</v>
      </c>
      <c r="H312" s="88">
        <f t="shared" si="88"/>
        <v>0</v>
      </c>
      <c r="I312" s="132"/>
      <c r="J312" s="88">
        <f>SUMIF(月間集計シート!$M$29:$M$48,$G312,月間集計シート!N$29:N$48)*J$2</f>
        <v>0</v>
      </c>
      <c r="K312" s="88">
        <f>SUMIF(月間集計シート!$M$29:$M$48,$G312,月間集計シート!O$29:O$48)*K$2</f>
        <v>0</v>
      </c>
      <c r="L312" s="88">
        <f>SUMIF(月間集計シート!$M$29:$M$48,$G312,月間集計シート!P$29:P$48)*L$2</f>
        <v>0</v>
      </c>
      <c r="M312" s="88">
        <f>SUMIF(月間集計シート!$M$29:$M$48,$G312,月間集計シート!Q$29:Q$48)*M$2</f>
        <v>0</v>
      </c>
      <c r="N312" s="88">
        <f>SUMIF(月間集計シート!$M$29:$M$48,$G312,月間集計シート!R$29:R$48)*N$2</f>
        <v>0</v>
      </c>
      <c r="O312" s="88">
        <f>SUMIF(月間集計シート!$M$29:$M$48,$G312,月間集計シート!S$29:S$48)*O$2</f>
        <v>0</v>
      </c>
      <c r="P312" s="88">
        <f>SUMIF(月間集計シート!$M$29:$M$48,$G312,月間集計シート!T$29:T$48)*P$2</f>
        <v>0</v>
      </c>
      <c r="Q312" s="88">
        <f>SUMIF(月間集計シート!$M$50:$M$69,$G312,月間集計シート!N$50:N$69)*Q$2</f>
        <v>0</v>
      </c>
      <c r="R312" s="88">
        <f>SUMIF(月間集計シート!$M$50:$M$69,$G312,月間集計シート!O$50:O$69)*R$2</f>
        <v>0</v>
      </c>
      <c r="S312" s="88">
        <f>SUMIF(月間集計シート!$M$50:$M$69,$G312,月間集計シート!P$50:P$69)*S$2</f>
        <v>0</v>
      </c>
      <c r="T312" s="88">
        <f>SUMIF(月間集計シート!$M$50:$M$69,$G312,月間集計シート!Q$50:Q$69)*T$2</f>
        <v>0</v>
      </c>
      <c r="U312" s="88">
        <f>SUMIF(月間集計シート!$M$50:$M$69,$G312,月間集計シート!R$50:R$69)*U$2</f>
        <v>0</v>
      </c>
      <c r="V312" s="88">
        <f>SUMIF(月間集計シート!$M$50:$M$69,$G312,月間集計シート!S$50:S$69)*V$2</f>
        <v>0</v>
      </c>
      <c r="W312" s="88">
        <f>SUMIF(月間集計シート!$M$50:$M$69,$G312,月間集計シート!T$50:T$69)*W$2</f>
        <v>0</v>
      </c>
      <c r="X312" s="88">
        <f>SUMIF(月間集計シート!$M$71:$M$90,$G312,月間集計シート!N$71:N$90)*X$2</f>
        <v>0</v>
      </c>
      <c r="Y312" s="88">
        <f>SUMIF(月間集計シート!$M$71:$M$90,$G312,月間集計シート!O$71:O$90)*Y$2</f>
        <v>0</v>
      </c>
      <c r="Z312" s="88">
        <f>SUMIF(月間集計シート!$M$71:$M$90,$G312,月間集計シート!P$71:P$90)*Z$2</f>
        <v>0</v>
      </c>
      <c r="AA312" s="88">
        <f>SUMIF(月間集計シート!$M$71:$M$90,$G312,月間集計シート!Q$71:Q$90)*AA$2</f>
        <v>0</v>
      </c>
      <c r="AB312" s="88">
        <f>SUMIF(月間集計シート!$M$71:$M$90,$G312,月間集計シート!R$71:R$90)*AB$2</f>
        <v>0</v>
      </c>
      <c r="AC312" s="88">
        <f>SUMIF(月間集計シート!$M$71:$M$90,$G312,月間集計シート!S$71:S$90)*AC$2</f>
        <v>0</v>
      </c>
      <c r="AD312" s="88">
        <f>SUMIF(月間集計シート!$M$71:$M$90,$G312,月間集計シート!T$71:T$90)*AD$2</f>
        <v>0</v>
      </c>
      <c r="AE312" s="88">
        <f>SUMIF(月間集計シート!$M$92:$M$111,$G312,月間集計シート!N$92:N$111)*AE$2</f>
        <v>0</v>
      </c>
      <c r="AF312" s="88">
        <f>SUMIF(月間集計シート!$M$92:$M$111,$G312,月間集計シート!O$92:O$111)*AF$2</f>
        <v>0</v>
      </c>
      <c r="AG312" s="88">
        <f>SUMIF(月間集計シート!$M$92:$M$111,$G312,月間集計シート!P$92:P$111)*AG$2</f>
        <v>0</v>
      </c>
      <c r="AH312" s="88">
        <f>SUMIF(月間集計シート!$M$92:$M$111,$G312,月間集計シート!Q$92:Q$111)*AH$2</f>
        <v>0</v>
      </c>
      <c r="AI312" s="88">
        <f>SUMIF(月間集計シート!$M$92:$M$111,$G312,月間集計シート!R$92:R$111)*AI$2</f>
        <v>0</v>
      </c>
      <c r="AJ312" s="88">
        <f>SUMIF(月間集計シート!$M$92:$M$111,$G312,月間集計シート!S$92:S$111)*AJ$2</f>
        <v>0</v>
      </c>
      <c r="AK312" s="88">
        <f>SUMIF(月間集計シート!$M$92:$M$111,$G312,月間集計シート!T$92:T$111)*AK$2</f>
        <v>0</v>
      </c>
      <c r="AL312" s="88">
        <f>SUMIF(月間集計シート!$M$113:$M$132,$G312,月間集計シート!N$113:N$132)*AL$2</f>
        <v>0</v>
      </c>
      <c r="AM312" s="88">
        <f>SUMIF(月間集計シート!$M$113:$M$132,$G312,月間集計シート!O$113:O$132)*AM$2</f>
        <v>0</v>
      </c>
      <c r="AN312" s="88">
        <f>SUMIF(月間集計シート!$M$113:$M$132,$G312,月間集計シート!P$113:P$132)*AN$2</f>
        <v>0</v>
      </c>
      <c r="AO312" s="88">
        <f>SUMIF(月間集計シート!$M$113:$M$132,$G312,月間集計シート!Q$113:Q$132)*AO$2</f>
        <v>0</v>
      </c>
      <c r="AP312" s="88">
        <f>SUMIF(月間集計シート!$M$113:$M$132,$G312,月間集計シート!R$113:R$132)*AP$2</f>
        <v>0</v>
      </c>
      <c r="AQ312" s="88">
        <f>SUMIF(月間集計シート!$M$113:$M$132,$G312,月間集計シート!S$113:S$132)*AQ$2</f>
        <v>0</v>
      </c>
      <c r="AR312" s="88">
        <f>SUMIF(月間集計シート!$M$113:$M$132,$G312,月間集計シート!T$113:T$132)*AR$2</f>
        <v>0</v>
      </c>
      <c r="AS312" s="88">
        <f>SUMIF(月間集計シート!$M$134:$M$153,$G312,月間集計シート!N$134:N$153)*AS$2</f>
        <v>0</v>
      </c>
      <c r="AT312" s="88">
        <f>SUMIF(月間集計シート!$M$134:$M$153,$G312,月間集計シート!O$134:O$153)*AT$2</f>
        <v>0</v>
      </c>
      <c r="AU312" s="88">
        <f>SUMIF(月間集計シート!$M$134:$M$153,$G312,月間集計シート!P$134:P$153)*AU$2</f>
        <v>0</v>
      </c>
      <c r="AV312" s="88">
        <f>SUMIF(月間集計シート!$M$134:$M$153,$G312,月間集計シート!Q$134:Q$153)*AV$2</f>
        <v>0</v>
      </c>
      <c r="AW312" s="88">
        <f>SUMIF(月間集計シート!$M$134:$M$153,$G312,月間集計シート!R$134:R$153)*AW$2</f>
        <v>0</v>
      </c>
      <c r="AX312" s="88">
        <f>SUMIF(月間集計シート!$M$134:$M$153,$G312,月間集計シート!S$134:S$153)*AX$2</f>
        <v>0</v>
      </c>
      <c r="AY312" s="88">
        <f>SUMIF(月間集計シート!$M$134:$M$153,$G312,月間集計シート!T$134:T$153)*AY$2</f>
        <v>0</v>
      </c>
    </row>
    <row r="313" spans="1:51" ht="14.25" thickBot="1">
      <c r="A313">
        <v>4</v>
      </c>
      <c r="B313" s="120">
        <f t="shared" si="132"/>
        <v>0</v>
      </c>
      <c r="C313" s="120" t="str">
        <f t="shared" si="133"/>
        <v/>
      </c>
      <c r="D313" s="137"/>
      <c r="E313" s="150">
        <f>工種!A50</f>
        <v>70101</v>
      </c>
      <c r="F313" s="119" t="str">
        <f>工種!B50</f>
        <v>外部不具合修正：調査・設計</v>
      </c>
      <c r="G313" s="116" t="str">
        <f t="shared" si="134"/>
        <v>070101</v>
      </c>
      <c r="H313" s="88">
        <f t="shared" si="88"/>
        <v>0</v>
      </c>
      <c r="I313" s="132"/>
      <c r="J313" s="88">
        <f>SUMIF(月間集計シート!$M$29:$M$48,$G313,月間集計シート!N$29:N$48)*J$2</f>
        <v>0</v>
      </c>
      <c r="K313" s="88">
        <f>SUMIF(月間集計シート!$M$29:$M$48,$G313,月間集計シート!O$29:O$48)*K$2</f>
        <v>0</v>
      </c>
      <c r="L313" s="88">
        <f>SUMIF(月間集計シート!$M$29:$M$48,$G313,月間集計シート!P$29:P$48)*L$2</f>
        <v>0</v>
      </c>
      <c r="M313" s="88">
        <f>SUMIF(月間集計シート!$M$29:$M$48,$G313,月間集計シート!Q$29:Q$48)*M$2</f>
        <v>0</v>
      </c>
      <c r="N313" s="88">
        <f>SUMIF(月間集計シート!$M$29:$M$48,$G313,月間集計シート!R$29:R$48)*N$2</f>
        <v>0</v>
      </c>
      <c r="O313" s="88">
        <f>SUMIF(月間集計シート!$M$29:$M$48,$G313,月間集計シート!S$29:S$48)*O$2</f>
        <v>0</v>
      </c>
      <c r="P313" s="88">
        <f>SUMIF(月間集計シート!$M$29:$M$48,$G313,月間集計シート!T$29:T$48)*P$2</f>
        <v>0</v>
      </c>
      <c r="Q313" s="88">
        <f>SUMIF(月間集計シート!$M$50:$M$69,$G313,月間集計シート!N$50:N$69)*Q$2</f>
        <v>0</v>
      </c>
      <c r="R313" s="88">
        <f>SUMIF(月間集計シート!$M$50:$M$69,$G313,月間集計シート!O$50:O$69)*R$2</f>
        <v>0</v>
      </c>
      <c r="S313" s="88">
        <f>SUMIF(月間集計シート!$M$50:$M$69,$G313,月間集計シート!P$50:P$69)*S$2</f>
        <v>0</v>
      </c>
      <c r="T313" s="88">
        <f>SUMIF(月間集計シート!$M$50:$M$69,$G313,月間集計シート!Q$50:Q$69)*T$2</f>
        <v>0</v>
      </c>
      <c r="U313" s="88">
        <f>SUMIF(月間集計シート!$M$50:$M$69,$G313,月間集計シート!R$50:R$69)*U$2</f>
        <v>0</v>
      </c>
      <c r="V313" s="88">
        <f>SUMIF(月間集計シート!$M$50:$M$69,$G313,月間集計シート!S$50:S$69)*V$2</f>
        <v>0</v>
      </c>
      <c r="W313" s="88">
        <f>SUMIF(月間集計シート!$M$50:$M$69,$G313,月間集計シート!T$50:T$69)*W$2</f>
        <v>0</v>
      </c>
      <c r="X313" s="88">
        <f>SUMIF(月間集計シート!$M$71:$M$90,$G313,月間集計シート!N$71:N$90)*X$2</f>
        <v>0</v>
      </c>
      <c r="Y313" s="88">
        <f>SUMIF(月間集計シート!$M$71:$M$90,$G313,月間集計シート!O$71:O$90)*Y$2</f>
        <v>0</v>
      </c>
      <c r="Z313" s="88">
        <f>SUMIF(月間集計シート!$M$71:$M$90,$G313,月間集計シート!P$71:P$90)*Z$2</f>
        <v>0</v>
      </c>
      <c r="AA313" s="88">
        <f>SUMIF(月間集計シート!$M$71:$M$90,$G313,月間集計シート!Q$71:Q$90)*AA$2</f>
        <v>0</v>
      </c>
      <c r="AB313" s="88">
        <f>SUMIF(月間集計シート!$M$71:$M$90,$G313,月間集計シート!R$71:R$90)*AB$2</f>
        <v>0</v>
      </c>
      <c r="AC313" s="88">
        <f>SUMIF(月間集計シート!$M$71:$M$90,$G313,月間集計シート!S$71:S$90)*AC$2</f>
        <v>0</v>
      </c>
      <c r="AD313" s="88">
        <f>SUMIF(月間集計シート!$M$71:$M$90,$G313,月間集計シート!T$71:T$90)*AD$2</f>
        <v>0</v>
      </c>
      <c r="AE313" s="88">
        <f>SUMIF(月間集計シート!$M$92:$M$111,$G313,月間集計シート!N$92:N$111)*AE$2</f>
        <v>0</v>
      </c>
      <c r="AF313" s="88">
        <f>SUMIF(月間集計シート!$M$92:$M$111,$G313,月間集計シート!O$92:O$111)*AF$2</f>
        <v>0</v>
      </c>
      <c r="AG313" s="88">
        <f>SUMIF(月間集計シート!$M$92:$M$111,$G313,月間集計シート!P$92:P$111)*AG$2</f>
        <v>0</v>
      </c>
      <c r="AH313" s="88">
        <f>SUMIF(月間集計シート!$M$92:$M$111,$G313,月間集計シート!Q$92:Q$111)*AH$2</f>
        <v>0</v>
      </c>
      <c r="AI313" s="88">
        <f>SUMIF(月間集計シート!$M$92:$M$111,$G313,月間集計シート!R$92:R$111)*AI$2</f>
        <v>0</v>
      </c>
      <c r="AJ313" s="88">
        <f>SUMIF(月間集計シート!$M$92:$M$111,$G313,月間集計シート!S$92:S$111)*AJ$2</f>
        <v>0</v>
      </c>
      <c r="AK313" s="88">
        <f>SUMIF(月間集計シート!$M$92:$M$111,$G313,月間集計シート!T$92:T$111)*AK$2</f>
        <v>0</v>
      </c>
      <c r="AL313" s="88">
        <f>SUMIF(月間集計シート!$M$113:$M$132,$G313,月間集計シート!N$113:N$132)*AL$2</f>
        <v>0</v>
      </c>
      <c r="AM313" s="88">
        <f>SUMIF(月間集計シート!$M$113:$M$132,$G313,月間集計シート!O$113:O$132)*AM$2</f>
        <v>0</v>
      </c>
      <c r="AN313" s="88">
        <f>SUMIF(月間集計シート!$M$113:$M$132,$G313,月間集計シート!P$113:P$132)*AN$2</f>
        <v>0</v>
      </c>
      <c r="AO313" s="88">
        <f>SUMIF(月間集計シート!$M$113:$M$132,$G313,月間集計シート!Q$113:Q$132)*AO$2</f>
        <v>0</v>
      </c>
      <c r="AP313" s="88">
        <f>SUMIF(月間集計シート!$M$113:$M$132,$G313,月間集計シート!R$113:R$132)*AP$2</f>
        <v>0</v>
      </c>
      <c r="AQ313" s="88">
        <f>SUMIF(月間集計シート!$M$113:$M$132,$G313,月間集計シート!S$113:S$132)*AQ$2</f>
        <v>0</v>
      </c>
      <c r="AR313" s="88">
        <f>SUMIF(月間集計シート!$M$113:$M$132,$G313,月間集計シート!T$113:T$132)*AR$2</f>
        <v>0</v>
      </c>
      <c r="AS313" s="88">
        <f>SUMIF(月間集計シート!$M$134:$M$153,$G313,月間集計シート!N$134:N$153)*AS$2</f>
        <v>0</v>
      </c>
      <c r="AT313" s="88">
        <f>SUMIF(月間集計シート!$M$134:$M$153,$G313,月間集計シート!O$134:O$153)*AT$2</f>
        <v>0</v>
      </c>
      <c r="AU313" s="88">
        <f>SUMIF(月間集計シート!$M$134:$M$153,$G313,月間集計シート!P$134:P$153)*AU$2</f>
        <v>0</v>
      </c>
      <c r="AV313" s="88">
        <f>SUMIF(月間集計シート!$M$134:$M$153,$G313,月間集計シート!Q$134:Q$153)*AV$2</f>
        <v>0</v>
      </c>
      <c r="AW313" s="88">
        <f>SUMIF(月間集計シート!$M$134:$M$153,$G313,月間集計シート!R$134:R$153)*AW$2</f>
        <v>0</v>
      </c>
      <c r="AX313" s="88">
        <f>SUMIF(月間集計シート!$M$134:$M$153,$G313,月間集計シート!S$134:S$153)*AX$2</f>
        <v>0</v>
      </c>
      <c r="AY313" s="88">
        <f>SUMIF(月間集計シート!$M$134:$M$153,$G313,月間集計シート!T$134:T$153)*AY$2</f>
        <v>0</v>
      </c>
    </row>
    <row r="314" spans="1:51" ht="14.25" thickBot="1">
      <c r="A314">
        <v>4</v>
      </c>
      <c r="B314" s="120">
        <f t="shared" si="132"/>
        <v>0</v>
      </c>
      <c r="C314" s="120" t="str">
        <f t="shared" si="133"/>
        <v/>
      </c>
      <c r="D314" s="137"/>
      <c r="E314" s="150">
        <f>工種!A51</f>
        <v>70102</v>
      </c>
      <c r="F314" s="119" t="str">
        <f>工種!B51</f>
        <v>外部不具合修正：コーディング</v>
      </c>
      <c r="G314" s="116" t="str">
        <f t="shared" si="134"/>
        <v>070102</v>
      </c>
      <c r="H314" s="88">
        <f t="shared" si="88"/>
        <v>0</v>
      </c>
      <c r="I314" s="132"/>
      <c r="J314" s="88">
        <f>SUMIF(月間集計シート!$M$29:$M$48,$G314,月間集計シート!N$29:N$48)*J$2</f>
        <v>0</v>
      </c>
      <c r="K314" s="88">
        <f>SUMIF(月間集計シート!$M$29:$M$48,$G314,月間集計シート!O$29:O$48)*K$2</f>
        <v>0</v>
      </c>
      <c r="L314" s="88">
        <f>SUMIF(月間集計シート!$M$29:$M$48,$G314,月間集計シート!P$29:P$48)*L$2</f>
        <v>0</v>
      </c>
      <c r="M314" s="88">
        <f>SUMIF(月間集計シート!$M$29:$M$48,$G314,月間集計シート!Q$29:Q$48)*M$2</f>
        <v>0</v>
      </c>
      <c r="N314" s="88">
        <f>SUMIF(月間集計シート!$M$29:$M$48,$G314,月間集計シート!R$29:R$48)*N$2</f>
        <v>0</v>
      </c>
      <c r="O314" s="88">
        <f>SUMIF(月間集計シート!$M$29:$M$48,$G314,月間集計シート!S$29:S$48)*O$2</f>
        <v>0</v>
      </c>
      <c r="P314" s="88">
        <f>SUMIF(月間集計シート!$M$29:$M$48,$G314,月間集計シート!T$29:T$48)*P$2</f>
        <v>0</v>
      </c>
      <c r="Q314" s="88">
        <f>SUMIF(月間集計シート!$M$50:$M$69,$G314,月間集計シート!N$50:N$69)*Q$2</f>
        <v>0</v>
      </c>
      <c r="R314" s="88">
        <f>SUMIF(月間集計シート!$M$50:$M$69,$G314,月間集計シート!O$50:O$69)*R$2</f>
        <v>0</v>
      </c>
      <c r="S314" s="88">
        <f>SUMIF(月間集計シート!$M$50:$M$69,$G314,月間集計シート!P$50:P$69)*S$2</f>
        <v>0</v>
      </c>
      <c r="T314" s="88">
        <f>SUMIF(月間集計シート!$M$50:$M$69,$G314,月間集計シート!Q$50:Q$69)*T$2</f>
        <v>0</v>
      </c>
      <c r="U314" s="88">
        <f>SUMIF(月間集計シート!$M$50:$M$69,$G314,月間集計シート!R$50:R$69)*U$2</f>
        <v>0</v>
      </c>
      <c r="V314" s="88">
        <f>SUMIF(月間集計シート!$M$50:$M$69,$G314,月間集計シート!S$50:S$69)*V$2</f>
        <v>0</v>
      </c>
      <c r="W314" s="88">
        <f>SUMIF(月間集計シート!$M$50:$M$69,$G314,月間集計シート!T$50:T$69)*W$2</f>
        <v>0</v>
      </c>
      <c r="X314" s="88">
        <f>SUMIF(月間集計シート!$M$71:$M$90,$G314,月間集計シート!N$71:N$90)*X$2</f>
        <v>0</v>
      </c>
      <c r="Y314" s="88">
        <f>SUMIF(月間集計シート!$M$71:$M$90,$G314,月間集計シート!O$71:O$90)*Y$2</f>
        <v>0</v>
      </c>
      <c r="Z314" s="88">
        <f>SUMIF(月間集計シート!$M$71:$M$90,$G314,月間集計シート!P$71:P$90)*Z$2</f>
        <v>0</v>
      </c>
      <c r="AA314" s="88">
        <f>SUMIF(月間集計シート!$M$71:$M$90,$G314,月間集計シート!Q$71:Q$90)*AA$2</f>
        <v>0</v>
      </c>
      <c r="AB314" s="88">
        <f>SUMIF(月間集計シート!$M$71:$M$90,$G314,月間集計シート!R$71:R$90)*AB$2</f>
        <v>0</v>
      </c>
      <c r="AC314" s="88">
        <f>SUMIF(月間集計シート!$M$71:$M$90,$G314,月間集計シート!S$71:S$90)*AC$2</f>
        <v>0</v>
      </c>
      <c r="AD314" s="88">
        <f>SUMIF(月間集計シート!$M$71:$M$90,$G314,月間集計シート!T$71:T$90)*AD$2</f>
        <v>0</v>
      </c>
      <c r="AE314" s="88">
        <f>SUMIF(月間集計シート!$M$92:$M$111,$G314,月間集計シート!N$92:N$111)*AE$2</f>
        <v>0</v>
      </c>
      <c r="AF314" s="88">
        <f>SUMIF(月間集計シート!$M$92:$M$111,$G314,月間集計シート!O$92:O$111)*AF$2</f>
        <v>0</v>
      </c>
      <c r="AG314" s="88">
        <f>SUMIF(月間集計シート!$M$92:$M$111,$G314,月間集計シート!P$92:P$111)*AG$2</f>
        <v>0</v>
      </c>
      <c r="AH314" s="88">
        <f>SUMIF(月間集計シート!$M$92:$M$111,$G314,月間集計シート!Q$92:Q$111)*AH$2</f>
        <v>0</v>
      </c>
      <c r="AI314" s="88">
        <f>SUMIF(月間集計シート!$M$92:$M$111,$G314,月間集計シート!R$92:R$111)*AI$2</f>
        <v>0</v>
      </c>
      <c r="AJ314" s="88">
        <f>SUMIF(月間集計シート!$M$92:$M$111,$G314,月間集計シート!S$92:S$111)*AJ$2</f>
        <v>0</v>
      </c>
      <c r="AK314" s="88">
        <f>SUMIF(月間集計シート!$M$92:$M$111,$G314,月間集計シート!T$92:T$111)*AK$2</f>
        <v>0</v>
      </c>
      <c r="AL314" s="88">
        <f>SUMIF(月間集計シート!$M$113:$M$132,$G314,月間集計シート!N$113:N$132)*AL$2</f>
        <v>0</v>
      </c>
      <c r="AM314" s="88">
        <f>SUMIF(月間集計シート!$M$113:$M$132,$G314,月間集計シート!O$113:O$132)*AM$2</f>
        <v>0</v>
      </c>
      <c r="AN314" s="88">
        <f>SUMIF(月間集計シート!$M$113:$M$132,$G314,月間集計シート!P$113:P$132)*AN$2</f>
        <v>0</v>
      </c>
      <c r="AO314" s="88">
        <f>SUMIF(月間集計シート!$M$113:$M$132,$G314,月間集計シート!Q$113:Q$132)*AO$2</f>
        <v>0</v>
      </c>
      <c r="AP314" s="88">
        <f>SUMIF(月間集計シート!$M$113:$M$132,$G314,月間集計シート!R$113:R$132)*AP$2</f>
        <v>0</v>
      </c>
      <c r="AQ314" s="88">
        <f>SUMIF(月間集計シート!$M$113:$M$132,$G314,月間集計シート!S$113:S$132)*AQ$2</f>
        <v>0</v>
      </c>
      <c r="AR314" s="88">
        <f>SUMIF(月間集計シート!$M$113:$M$132,$G314,月間集計シート!T$113:T$132)*AR$2</f>
        <v>0</v>
      </c>
      <c r="AS314" s="88">
        <f>SUMIF(月間集計シート!$M$134:$M$153,$G314,月間集計シート!N$134:N$153)*AS$2</f>
        <v>0</v>
      </c>
      <c r="AT314" s="88">
        <f>SUMIF(月間集計シート!$M$134:$M$153,$G314,月間集計シート!O$134:O$153)*AT$2</f>
        <v>0</v>
      </c>
      <c r="AU314" s="88">
        <f>SUMIF(月間集計シート!$M$134:$M$153,$G314,月間集計シート!P$134:P$153)*AU$2</f>
        <v>0</v>
      </c>
      <c r="AV314" s="88">
        <f>SUMIF(月間集計シート!$M$134:$M$153,$G314,月間集計シート!Q$134:Q$153)*AV$2</f>
        <v>0</v>
      </c>
      <c r="AW314" s="88">
        <f>SUMIF(月間集計シート!$M$134:$M$153,$G314,月間集計シート!R$134:R$153)*AW$2</f>
        <v>0</v>
      </c>
      <c r="AX314" s="88">
        <f>SUMIF(月間集計シート!$M$134:$M$153,$G314,月間集計シート!S$134:S$153)*AX$2</f>
        <v>0</v>
      </c>
      <c r="AY314" s="88">
        <f>SUMIF(月間集計シート!$M$134:$M$153,$G314,月間集計シート!T$134:T$153)*AY$2</f>
        <v>0</v>
      </c>
    </row>
    <row r="315" spans="1:51" ht="14.25" thickBot="1">
      <c r="A315">
        <v>4</v>
      </c>
      <c r="B315" s="120">
        <f t="shared" si="132"/>
        <v>0</v>
      </c>
      <c r="C315" s="120" t="str">
        <f t="shared" si="133"/>
        <v/>
      </c>
      <c r="D315" s="137"/>
      <c r="E315" s="150">
        <f>工種!A52</f>
        <v>70103</v>
      </c>
      <c r="F315" s="119" t="str">
        <f>工種!B52</f>
        <v>外部不具合修正：テスト</v>
      </c>
      <c r="G315" s="116" t="str">
        <f t="shared" si="134"/>
        <v>070103</v>
      </c>
      <c r="H315" s="88">
        <f t="shared" si="88"/>
        <v>0</v>
      </c>
      <c r="I315" s="132"/>
      <c r="J315" s="88">
        <f>SUMIF(月間集計シート!$M$29:$M$48,$G315,月間集計シート!N$29:N$48)*J$2</f>
        <v>0</v>
      </c>
      <c r="K315" s="88">
        <f>SUMIF(月間集計シート!$M$29:$M$48,$G315,月間集計シート!O$29:O$48)*K$2</f>
        <v>0</v>
      </c>
      <c r="L315" s="88">
        <f>SUMIF(月間集計シート!$M$29:$M$48,$G315,月間集計シート!P$29:P$48)*L$2</f>
        <v>0</v>
      </c>
      <c r="M315" s="88">
        <f>SUMIF(月間集計シート!$M$29:$M$48,$G315,月間集計シート!Q$29:Q$48)*M$2</f>
        <v>0</v>
      </c>
      <c r="N315" s="88">
        <f>SUMIF(月間集計シート!$M$29:$M$48,$G315,月間集計シート!R$29:R$48)*N$2</f>
        <v>0</v>
      </c>
      <c r="O315" s="88">
        <f>SUMIF(月間集計シート!$M$29:$M$48,$G315,月間集計シート!S$29:S$48)*O$2</f>
        <v>0</v>
      </c>
      <c r="P315" s="88">
        <f>SUMIF(月間集計シート!$M$29:$M$48,$G315,月間集計シート!T$29:T$48)*P$2</f>
        <v>0</v>
      </c>
      <c r="Q315" s="88">
        <f>SUMIF(月間集計シート!$M$50:$M$69,$G315,月間集計シート!N$50:N$69)*Q$2</f>
        <v>0</v>
      </c>
      <c r="R315" s="88">
        <f>SUMIF(月間集計シート!$M$50:$M$69,$G315,月間集計シート!O$50:O$69)*R$2</f>
        <v>0</v>
      </c>
      <c r="S315" s="88">
        <f>SUMIF(月間集計シート!$M$50:$M$69,$G315,月間集計シート!P$50:P$69)*S$2</f>
        <v>0</v>
      </c>
      <c r="T315" s="88">
        <f>SUMIF(月間集計シート!$M$50:$M$69,$G315,月間集計シート!Q$50:Q$69)*T$2</f>
        <v>0</v>
      </c>
      <c r="U315" s="88">
        <f>SUMIF(月間集計シート!$M$50:$M$69,$G315,月間集計シート!R$50:R$69)*U$2</f>
        <v>0</v>
      </c>
      <c r="V315" s="88">
        <f>SUMIF(月間集計シート!$M$50:$M$69,$G315,月間集計シート!S$50:S$69)*V$2</f>
        <v>0</v>
      </c>
      <c r="W315" s="88">
        <f>SUMIF(月間集計シート!$M$50:$M$69,$G315,月間集計シート!T$50:T$69)*W$2</f>
        <v>0</v>
      </c>
      <c r="X315" s="88">
        <f>SUMIF(月間集計シート!$M$71:$M$90,$G315,月間集計シート!N$71:N$90)*X$2</f>
        <v>0</v>
      </c>
      <c r="Y315" s="88">
        <f>SUMIF(月間集計シート!$M$71:$M$90,$G315,月間集計シート!O$71:O$90)*Y$2</f>
        <v>0</v>
      </c>
      <c r="Z315" s="88">
        <f>SUMIF(月間集計シート!$M$71:$M$90,$G315,月間集計シート!P$71:P$90)*Z$2</f>
        <v>0</v>
      </c>
      <c r="AA315" s="88">
        <f>SUMIF(月間集計シート!$M$71:$M$90,$G315,月間集計シート!Q$71:Q$90)*AA$2</f>
        <v>0</v>
      </c>
      <c r="AB315" s="88">
        <f>SUMIF(月間集計シート!$M$71:$M$90,$G315,月間集計シート!R$71:R$90)*AB$2</f>
        <v>0</v>
      </c>
      <c r="AC315" s="88">
        <f>SUMIF(月間集計シート!$M$71:$M$90,$G315,月間集計シート!S$71:S$90)*AC$2</f>
        <v>0</v>
      </c>
      <c r="AD315" s="88">
        <f>SUMIF(月間集計シート!$M$71:$M$90,$G315,月間集計シート!T$71:T$90)*AD$2</f>
        <v>0</v>
      </c>
      <c r="AE315" s="88">
        <f>SUMIF(月間集計シート!$M$92:$M$111,$G315,月間集計シート!N$92:N$111)*AE$2</f>
        <v>0</v>
      </c>
      <c r="AF315" s="88">
        <f>SUMIF(月間集計シート!$M$92:$M$111,$G315,月間集計シート!O$92:O$111)*AF$2</f>
        <v>0</v>
      </c>
      <c r="AG315" s="88">
        <f>SUMIF(月間集計シート!$M$92:$M$111,$G315,月間集計シート!P$92:P$111)*AG$2</f>
        <v>0</v>
      </c>
      <c r="AH315" s="88">
        <f>SUMIF(月間集計シート!$M$92:$M$111,$G315,月間集計シート!Q$92:Q$111)*AH$2</f>
        <v>0</v>
      </c>
      <c r="AI315" s="88">
        <f>SUMIF(月間集計シート!$M$92:$M$111,$G315,月間集計シート!R$92:R$111)*AI$2</f>
        <v>0</v>
      </c>
      <c r="AJ315" s="88">
        <f>SUMIF(月間集計シート!$M$92:$M$111,$G315,月間集計シート!S$92:S$111)*AJ$2</f>
        <v>0</v>
      </c>
      <c r="AK315" s="88">
        <f>SUMIF(月間集計シート!$M$92:$M$111,$G315,月間集計シート!T$92:T$111)*AK$2</f>
        <v>0</v>
      </c>
      <c r="AL315" s="88">
        <f>SUMIF(月間集計シート!$M$113:$M$132,$G315,月間集計シート!N$113:N$132)*AL$2</f>
        <v>0</v>
      </c>
      <c r="AM315" s="88">
        <f>SUMIF(月間集計シート!$M$113:$M$132,$G315,月間集計シート!O$113:O$132)*AM$2</f>
        <v>0</v>
      </c>
      <c r="AN315" s="88">
        <f>SUMIF(月間集計シート!$M$113:$M$132,$G315,月間集計シート!P$113:P$132)*AN$2</f>
        <v>0</v>
      </c>
      <c r="AO315" s="88">
        <f>SUMIF(月間集計シート!$M$113:$M$132,$G315,月間集計シート!Q$113:Q$132)*AO$2</f>
        <v>0</v>
      </c>
      <c r="AP315" s="88">
        <f>SUMIF(月間集計シート!$M$113:$M$132,$G315,月間集計シート!R$113:R$132)*AP$2</f>
        <v>0</v>
      </c>
      <c r="AQ315" s="88">
        <f>SUMIF(月間集計シート!$M$113:$M$132,$G315,月間集計シート!S$113:S$132)*AQ$2</f>
        <v>0</v>
      </c>
      <c r="AR315" s="88">
        <f>SUMIF(月間集計シート!$M$113:$M$132,$G315,月間集計シート!T$113:T$132)*AR$2</f>
        <v>0</v>
      </c>
      <c r="AS315" s="88">
        <f>SUMIF(月間集計シート!$M$134:$M$153,$G315,月間集計シート!N$134:N$153)*AS$2</f>
        <v>0</v>
      </c>
      <c r="AT315" s="88">
        <f>SUMIF(月間集計シート!$M$134:$M$153,$G315,月間集計シート!O$134:O$153)*AT$2</f>
        <v>0</v>
      </c>
      <c r="AU315" s="88">
        <f>SUMIF(月間集計シート!$M$134:$M$153,$G315,月間集計シート!P$134:P$153)*AU$2</f>
        <v>0</v>
      </c>
      <c r="AV315" s="88">
        <f>SUMIF(月間集計シート!$M$134:$M$153,$G315,月間集計シート!Q$134:Q$153)*AV$2</f>
        <v>0</v>
      </c>
      <c r="AW315" s="88">
        <f>SUMIF(月間集計シート!$M$134:$M$153,$G315,月間集計シート!R$134:R$153)*AW$2</f>
        <v>0</v>
      </c>
      <c r="AX315" s="88">
        <f>SUMIF(月間集計シート!$M$134:$M$153,$G315,月間集計シート!S$134:S$153)*AX$2</f>
        <v>0</v>
      </c>
      <c r="AY315" s="88">
        <f>SUMIF(月間集計シート!$M$134:$M$153,$G315,月間集計シート!T$134:T$153)*AY$2</f>
        <v>0</v>
      </c>
    </row>
    <row r="316" spans="1:51" ht="14.25" thickBot="1">
      <c r="A316">
        <v>4</v>
      </c>
      <c r="B316" s="120">
        <f t="shared" si="132"/>
        <v>0</v>
      </c>
      <c r="C316" s="120" t="str">
        <f t="shared" si="133"/>
        <v/>
      </c>
      <c r="D316" s="137"/>
      <c r="E316" s="150">
        <f>工種!A53</f>
        <v>70104</v>
      </c>
      <c r="F316" s="119" t="str">
        <f>工種!B53</f>
        <v>外部不具合修正：不具合連絡作成</v>
      </c>
      <c r="G316" s="116" t="str">
        <f t="shared" si="134"/>
        <v>070104</v>
      </c>
      <c r="H316" s="88">
        <f t="shared" si="88"/>
        <v>0</v>
      </c>
      <c r="I316" s="132"/>
      <c r="J316" s="88">
        <f>SUMIF(月間集計シート!$M$29:$M$48,$G316,月間集計シート!N$29:N$48)*J$2</f>
        <v>0</v>
      </c>
      <c r="K316" s="88">
        <f>SUMIF(月間集計シート!$M$29:$M$48,$G316,月間集計シート!O$29:O$48)*K$2</f>
        <v>0</v>
      </c>
      <c r="L316" s="88">
        <f>SUMIF(月間集計シート!$M$29:$M$48,$G316,月間集計シート!P$29:P$48)*L$2</f>
        <v>0</v>
      </c>
      <c r="M316" s="88">
        <f>SUMIF(月間集計シート!$M$29:$M$48,$G316,月間集計シート!Q$29:Q$48)*M$2</f>
        <v>0</v>
      </c>
      <c r="N316" s="88">
        <f>SUMIF(月間集計シート!$M$29:$M$48,$G316,月間集計シート!R$29:R$48)*N$2</f>
        <v>0</v>
      </c>
      <c r="O316" s="88">
        <f>SUMIF(月間集計シート!$M$29:$M$48,$G316,月間集計シート!S$29:S$48)*O$2</f>
        <v>0</v>
      </c>
      <c r="P316" s="88">
        <f>SUMIF(月間集計シート!$M$29:$M$48,$G316,月間集計シート!T$29:T$48)*P$2</f>
        <v>0</v>
      </c>
      <c r="Q316" s="88">
        <f>SUMIF(月間集計シート!$M$50:$M$69,$G316,月間集計シート!N$50:N$69)*Q$2</f>
        <v>0</v>
      </c>
      <c r="R316" s="88">
        <f>SUMIF(月間集計シート!$M$50:$M$69,$G316,月間集計シート!O$50:O$69)*R$2</f>
        <v>0</v>
      </c>
      <c r="S316" s="88">
        <f>SUMIF(月間集計シート!$M$50:$M$69,$G316,月間集計シート!P$50:P$69)*S$2</f>
        <v>0</v>
      </c>
      <c r="T316" s="88">
        <f>SUMIF(月間集計シート!$M$50:$M$69,$G316,月間集計シート!Q$50:Q$69)*T$2</f>
        <v>0</v>
      </c>
      <c r="U316" s="88">
        <f>SUMIF(月間集計シート!$M$50:$M$69,$G316,月間集計シート!R$50:R$69)*U$2</f>
        <v>0</v>
      </c>
      <c r="V316" s="88">
        <f>SUMIF(月間集計シート!$M$50:$M$69,$G316,月間集計シート!S$50:S$69)*V$2</f>
        <v>0</v>
      </c>
      <c r="W316" s="88">
        <f>SUMIF(月間集計シート!$M$50:$M$69,$G316,月間集計シート!T$50:T$69)*W$2</f>
        <v>0</v>
      </c>
      <c r="X316" s="88">
        <f>SUMIF(月間集計シート!$M$71:$M$90,$G316,月間集計シート!N$71:N$90)*X$2</f>
        <v>0</v>
      </c>
      <c r="Y316" s="88">
        <f>SUMIF(月間集計シート!$M$71:$M$90,$G316,月間集計シート!O$71:O$90)*Y$2</f>
        <v>0</v>
      </c>
      <c r="Z316" s="88">
        <f>SUMIF(月間集計シート!$M$71:$M$90,$G316,月間集計シート!P$71:P$90)*Z$2</f>
        <v>0</v>
      </c>
      <c r="AA316" s="88">
        <f>SUMIF(月間集計シート!$M$71:$M$90,$G316,月間集計シート!Q$71:Q$90)*AA$2</f>
        <v>0</v>
      </c>
      <c r="AB316" s="88">
        <f>SUMIF(月間集計シート!$M$71:$M$90,$G316,月間集計シート!R$71:R$90)*AB$2</f>
        <v>0</v>
      </c>
      <c r="AC316" s="88">
        <f>SUMIF(月間集計シート!$M$71:$M$90,$G316,月間集計シート!S$71:S$90)*AC$2</f>
        <v>0</v>
      </c>
      <c r="AD316" s="88">
        <f>SUMIF(月間集計シート!$M$71:$M$90,$G316,月間集計シート!T$71:T$90)*AD$2</f>
        <v>0</v>
      </c>
      <c r="AE316" s="88">
        <f>SUMIF(月間集計シート!$M$92:$M$111,$G316,月間集計シート!N$92:N$111)*AE$2</f>
        <v>0</v>
      </c>
      <c r="AF316" s="88">
        <f>SUMIF(月間集計シート!$M$92:$M$111,$G316,月間集計シート!O$92:O$111)*AF$2</f>
        <v>0</v>
      </c>
      <c r="AG316" s="88">
        <f>SUMIF(月間集計シート!$M$92:$M$111,$G316,月間集計シート!P$92:P$111)*AG$2</f>
        <v>0</v>
      </c>
      <c r="AH316" s="88">
        <f>SUMIF(月間集計シート!$M$92:$M$111,$G316,月間集計シート!Q$92:Q$111)*AH$2</f>
        <v>0</v>
      </c>
      <c r="AI316" s="88">
        <f>SUMIF(月間集計シート!$M$92:$M$111,$G316,月間集計シート!R$92:R$111)*AI$2</f>
        <v>0</v>
      </c>
      <c r="AJ316" s="88">
        <f>SUMIF(月間集計シート!$M$92:$M$111,$G316,月間集計シート!S$92:S$111)*AJ$2</f>
        <v>0</v>
      </c>
      <c r="AK316" s="88">
        <f>SUMIF(月間集計シート!$M$92:$M$111,$G316,月間集計シート!T$92:T$111)*AK$2</f>
        <v>0</v>
      </c>
      <c r="AL316" s="88">
        <f>SUMIF(月間集計シート!$M$113:$M$132,$G316,月間集計シート!N$113:N$132)*AL$2</f>
        <v>0</v>
      </c>
      <c r="AM316" s="88">
        <f>SUMIF(月間集計シート!$M$113:$M$132,$G316,月間集計シート!O$113:O$132)*AM$2</f>
        <v>0</v>
      </c>
      <c r="AN316" s="88">
        <f>SUMIF(月間集計シート!$M$113:$M$132,$G316,月間集計シート!P$113:P$132)*AN$2</f>
        <v>0</v>
      </c>
      <c r="AO316" s="88">
        <f>SUMIF(月間集計シート!$M$113:$M$132,$G316,月間集計シート!Q$113:Q$132)*AO$2</f>
        <v>0</v>
      </c>
      <c r="AP316" s="88">
        <f>SUMIF(月間集計シート!$M$113:$M$132,$G316,月間集計シート!R$113:R$132)*AP$2</f>
        <v>0</v>
      </c>
      <c r="AQ316" s="88">
        <f>SUMIF(月間集計シート!$M$113:$M$132,$G316,月間集計シート!S$113:S$132)*AQ$2</f>
        <v>0</v>
      </c>
      <c r="AR316" s="88">
        <f>SUMIF(月間集計シート!$M$113:$M$132,$G316,月間集計シート!T$113:T$132)*AR$2</f>
        <v>0</v>
      </c>
      <c r="AS316" s="88">
        <f>SUMIF(月間集計シート!$M$134:$M$153,$G316,月間集計シート!N$134:N$153)*AS$2</f>
        <v>0</v>
      </c>
      <c r="AT316" s="88">
        <f>SUMIF(月間集計シート!$M$134:$M$153,$G316,月間集計シート!O$134:O$153)*AT$2</f>
        <v>0</v>
      </c>
      <c r="AU316" s="88">
        <f>SUMIF(月間集計シート!$M$134:$M$153,$G316,月間集計シート!P$134:P$153)*AU$2</f>
        <v>0</v>
      </c>
      <c r="AV316" s="88">
        <f>SUMIF(月間集計シート!$M$134:$M$153,$G316,月間集計シート!Q$134:Q$153)*AV$2</f>
        <v>0</v>
      </c>
      <c r="AW316" s="88">
        <f>SUMIF(月間集計シート!$M$134:$M$153,$G316,月間集計シート!R$134:R$153)*AW$2</f>
        <v>0</v>
      </c>
      <c r="AX316" s="88">
        <f>SUMIF(月間集計シート!$M$134:$M$153,$G316,月間集計シート!S$134:S$153)*AX$2</f>
        <v>0</v>
      </c>
      <c r="AY316" s="88">
        <f>SUMIF(月間集計シート!$M$134:$M$153,$G316,月間集計シート!T$134:T$153)*AY$2</f>
        <v>0</v>
      </c>
    </row>
    <row r="317" spans="1:51" ht="14.25" thickBot="1">
      <c r="A317">
        <v>4</v>
      </c>
      <c r="B317" s="120">
        <f t="shared" si="132"/>
        <v>0</v>
      </c>
      <c r="C317" s="120" t="str">
        <f t="shared" si="133"/>
        <v/>
      </c>
      <c r="D317" s="137"/>
      <c r="E317" s="150">
        <f>工種!A54</f>
        <v>70105</v>
      </c>
      <c r="F317" s="119" t="str">
        <f>工種!B54</f>
        <v>外部不具合修正：差分PGイントラ掲載</v>
      </c>
      <c r="G317" s="116" t="str">
        <f t="shared" si="134"/>
        <v>070105</v>
      </c>
      <c r="H317" s="88">
        <f t="shared" si="88"/>
        <v>0</v>
      </c>
      <c r="I317" s="132"/>
      <c r="J317" s="88">
        <f>SUMIF(月間集計シート!$M$29:$M$48,$G317,月間集計シート!N$29:N$48)*J$2</f>
        <v>0</v>
      </c>
      <c r="K317" s="88">
        <f>SUMIF(月間集計シート!$M$29:$M$48,$G317,月間集計シート!O$29:O$48)*K$2</f>
        <v>0</v>
      </c>
      <c r="L317" s="88">
        <f>SUMIF(月間集計シート!$M$29:$M$48,$G317,月間集計シート!P$29:P$48)*L$2</f>
        <v>0</v>
      </c>
      <c r="M317" s="88">
        <f>SUMIF(月間集計シート!$M$29:$M$48,$G317,月間集計シート!Q$29:Q$48)*M$2</f>
        <v>0</v>
      </c>
      <c r="N317" s="88">
        <f>SUMIF(月間集計シート!$M$29:$M$48,$G317,月間集計シート!R$29:R$48)*N$2</f>
        <v>0</v>
      </c>
      <c r="O317" s="88">
        <f>SUMIF(月間集計シート!$M$29:$M$48,$G317,月間集計シート!S$29:S$48)*O$2</f>
        <v>0</v>
      </c>
      <c r="P317" s="88">
        <f>SUMIF(月間集計シート!$M$29:$M$48,$G317,月間集計シート!T$29:T$48)*P$2</f>
        <v>0</v>
      </c>
      <c r="Q317" s="88">
        <f>SUMIF(月間集計シート!$M$50:$M$69,$G317,月間集計シート!N$50:N$69)*Q$2</f>
        <v>0</v>
      </c>
      <c r="R317" s="88">
        <f>SUMIF(月間集計シート!$M$50:$M$69,$G317,月間集計シート!O$50:O$69)*R$2</f>
        <v>0</v>
      </c>
      <c r="S317" s="88">
        <f>SUMIF(月間集計シート!$M$50:$M$69,$G317,月間集計シート!P$50:P$69)*S$2</f>
        <v>0</v>
      </c>
      <c r="T317" s="88">
        <f>SUMIF(月間集計シート!$M$50:$M$69,$G317,月間集計シート!Q$50:Q$69)*T$2</f>
        <v>0</v>
      </c>
      <c r="U317" s="88">
        <f>SUMIF(月間集計シート!$M$50:$M$69,$G317,月間集計シート!R$50:R$69)*U$2</f>
        <v>0</v>
      </c>
      <c r="V317" s="88">
        <f>SUMIF(月間集計シート!$M$50:$M$69,$G317,月間集計シート!S$50:S$69)*V$2</f>
        <v>0</v>
      </c>
      <c r="W317" s="88">
        <f>SUMIF(月間集計シート!$M$50:$M$69,$G317,月間集計シート!T$50:T$69)*W$2</f>
        <v>0</v>
      </c>
      <c r="X317" s="88">
        <f>SUMIF(月間集計シート!$M$71:$M$90,$G317,月間集計シート!N$71:N$90)*X$2</f>
        <v>0</v>
      </c>
      <c r="Y317" s="88">
        <f>SUMIF(月間集計シート!$M$71:$M$90,$G317,月間集計シート!O$71:O$90)*Y$2</f>
        <v>0</v>
      </c>
      <c r="Z317" s="88">
        <f>SUMIF(月間集計シート!$M$71:$M$90,$G317,月間集計シート!P$71:P$90)*Z$2</f>
        <v>0</v>
      </c>
      <c r="AA317" s="88">
        <f>SUMIF(月間集計シート!$M$71:$M$90,$G317,月間集計シート!Q$71:Q$90)*AA$2</f>
        <v>0</v>
      </c>
      <c r="AB317" s="88">
        <f>SUMIF(月間集計シート!$M$71:$M$90,$G317,月間集計シート!R$71:R$90)*AB$2</f>
        <v>0</v>
      </c>
      <c r="AC317" s="88">
        <f>SUMIF(月間集計シート!$M$71:$M$90,$G317,月間集計シート!S$71:S$90)*AC$2</f>
        <v>0</v>
      </c>
      <c r="AD317" s="88">
        <f>SUMIF(月間集計シート!$M$71:$M$90,$G317,月間集計シート!T$71:T$90)*AD$2</f>
        <v>0</v>
      </c>
      <c r="AE317" s="88">
        <f>SUMIF(月間集計シート!$M$92:$M$111,$G317,月間集計シート!N$92:N$111)*AE$2</f>
        <v>0</v>
      </c>
      <c r="AF317" s="88">
        <f>SUMIF(月間集計シート!$M$92:$M$111,$G317,月間集計シート!O$92:O$111)*AF$2</f>
        <v>0</v>
      </c>
      <c r="AG317" s="88">
        <f>SUMIF(月間集計シート!$M$92:$M$111,$G317,月間集計シート!P$92:P$111)*AG$2</f>
        <v>0</v>
      </c>
      <c r="AH317" s="88">
        <f>SUMIF(月間集計シート!$M$92:$M$111,$G317,月間集計シート!Q$92:Q$111)*AH$2</f>
        <v>0</v>
      </c>
      <c r="AI317" s="88">
        <f>SUMIF(月間集計シート!$M$92:$M$111,$G317,月間集計シート!R$92:R$111)*AI$2</f>
        <v>0</v>
      </c>
      <c r="AJ317" s="88">
        <f>SUMIF(月間集計シート!$M$92:$M$111,$G317,月間集計シート!S$92:S$111)*AJ$2</f>
        <v>0</v>
      </c>
      <c r="AK317" s="88">
        <f>SUMIF(月間集計シート!$M$92:$M$111,$G317,月間集計シート!T$92:T$111)*AK$2</f>
        <v>0</v>
      </c>
      <c r="AL317" s="88">
        <f>SUMIF(月間集計シート!$M$113:$M$132,$G317,月間集計シート!N$113:N$132)*AL$2</f>
        <v>0</v>
      </c>
      <c r="AM317" s="88">
        <f>SUMIF(月間集計シート!$M$113:$M$132,$G317,月間集計シート!O$113:O$132)*AM$2</f>
        <v>0</v>
      </c>
      <c r="AN317" s="88">
        <f>SUMIF(月間集計シート!$M$113:$M$132,$G317,月間集計シート!P$113:P$132)*AN$2</f>
        <v>0</v>
      </c>
      <c r="AO317" s="88">
        <f>SUMIF(月間集計シート!$M$113:$M$132,$G317,月間集計シート!Q$113:Q$132)*AO$2</f>
        <v>0</v>
      </c>
      <c r="AP317" s="88">
        <f>SUMIF(月間集計シート!$M$113:$M$132,$G317,月間集計シート!R$113:R$132)*AP$2</f>
        <v>0</v>
      </c>
      <c r="AQ317" s="88">
        <f>SUMIF(月間集計シート!$M$113:$M$132,$G317,月間集計シート!S$113:S$132)*AQ$2</f>
        <v>0</v>
      </c>
      <c r="AR317" s="88">
        <f>SUMIF(月間集計シート!$M$113:$M$132,$G317,月間集計シート!T$113:T$132)*AR$2</f>
        <v>0</v>
      </c>
      <c r="AS317" s="88">
        <f>SUMIF(月間集計シート!$M$134:$M$153,$G317,月間集計シート!N$134:N$153)*AS$2</f>
        <v>0</v>
      </c>
      <c r="AT317" s="88">
        <f>SUMIF(月間集計シート!$M$134:$M$153,$G317,月間集計シート!O$134:O$153)*AT$2</f>
        <v>0</v>
      </c>
      <c r="AU317" s="88">
        <f>SUMIF(月間集計シート!$M$134:$M$153,$G317,月間集計シート!P$134:P$153)*AU$2</f>
        <v>0</v>
      </c>
      <c r="AV317" s="88">
        <f>SUMIF(月間集計シート!$M$134:$M$153,$G317,月間集計シート!Q$134:Q$153)*AV$2</f>
        <v>0</v>
      </c>
      <c r="AW317" s="88">
        <f>SUMIF(月間集計シート!$M$134:$M$153,$G317,月間集計シート!R$134:R$153)*AW$2</f>
        <v>0</v>
      </c>
      <c r="AX317" s="88">
        <f>SUMIF(月間集計シート!$M$134:$M$153,$G317,月間集計シート!S$134:S$153)*AX$2</f>
        <v>0</v>
      </c>
      <c r="AY317" s="88">
        <f>SUMIF(月間集計シート!$M$134:$M$153,$G317,月間集計シート!T$134:T$153)*AY$2</f>
        <v>0</v>
      </c>
    </row>
    <row r="318" spans="1:51" ht="14.25" thickBot="1">
      <c r="A318">
        <v>4</v>
      </c>
      <c r="B318" s="120">
        <f t="shared" si="132"/>
        <v>0</v>
      </c>
      <c r="C318" s="120" t="str">
        <f t="shared" si="133"/>
        <v/>
      </c>
      <c r="D318" s="137"/>
      <c r="E318" s="150">
        <f>工種!A55</f>
        <v>70106</v>
      </c>
      <c r="F318" s="119" t="str">
        <f>工種!B55</f>
        <v>外部不具合修正：打合せ</v>
      </c>
      <c r="G318" s="116" t="str">
        <f t="shared" si="134"/>
        <v>070106</v>
      </c>
      <c r="H318" s="88">
        <f t="shared" si="88"/>
        <v>0</v>
      </c>
      <c r="I318" s="132"/>
      <c r="J318" s="88">
        <f>SUMIF(月間集計シート!$M$29:$M$48,$G318,月間集計シート!N$29:N$48)*J$2</f>
        <v>0</v>
      </c>
      <c r="K318" s="88">
        <f>SUMIF(月間集計シート!$M$29:$M$48,$G318,月間集計シート!O$29:O$48)*K$2</f>
        <v>0</v>
      </c>
      <c r="L318" s="88">
        <f>SUMIF(月間集計シート!$M$29:$M$48,$G318,月間集計シート!P$29:P$48)*L$2</f>
        <v>0</v>
      </c>
      <c r="M318" s="88">
        <f>SUMIF(月間集計シート!$M$29:$M$48,$G318,月間集計シート!Q$29:Q$48)*M$2</f>
        <v>0</v>
      </c>
      <c r="N318" s="88">
        <f>SUMIF(月間集計シート!$M$29:$M$48,$G318,月間集計シート!R$29:R$48)*N$2</f>
        <v>0</v>
      </c>
      <c r="O318" s="88">
        <f>SUMIF(月間集計シート!$M$29:$M$48,$G318,月間集計シート!S$29:S$48)*O$2</f>
        <v>0</v>
      </c>
      <c r="P318" s="88">
        <f>SUMIF(月間集計シート!$M$29:$M$48,$G318,月間集計シート!T$29:T$48)*P$2</f>
        <v>0</v>
      </c>
      <c r="Q318" s="88">
        <f>SUMIF(月間集計シート!$M$50:$M$69,$G318,月間集計シート!N$50:N$69)*Q$2</f>
        <v>0</v>
      </c>
      <c r="R318" s="88">
        <f>SUMIF(月間集計シート!$M$50:$M$69,$G318,月間集計シート!O$50:O$69)*R$2</f>
        <v>0</v>
      </c>
      <c r="S318" s="88">
        <f>SUMIF(月間集計シート!$M$50:$M$69,$G318,月間集計シート!P$50:P$69)*S$2</f>
        <v>0</v>
      </c>
      <c r="T318" s="88">
        <f>SUMIF(月間集計シート!$M$50:$M$69,$G318,月間集計シート!Q$50:Q$69)*T$2</f>
        <v>0</v>
      </c>
      <c r="U318" s="88">
        <f>SUMIF(月間集計シート!$M$50:$M$69,$G318,月間集計シート!R$50:R$69)*U$2</f>
        <v>0</v>
      </c>
      <c r="V318" s="88">
        <f>SUMIF(月間集計シート!$M$50:$M$69,$G318,月間集計シート!S$50:S$69)*V$2</f>
        <v>0</v>
      </c>
      <c r="W318" s="88">
        <f>SUMIF(月間集計シート!$M$50:$M$69,$G318,月間集計シート!T$50:T$69)*W$2</f>
        <v>0</v>
      </c>
      <c r="X318" s="88">
        <f>SUMIF(月間集計シート!$M$71:$M$90,$G318,月間集計シート!N$71:N$90)*X$2</f>
        <v>0</v>
      </c>
      <c r="Y318" s="88">
        <f>SUMIF(月間集計シート!$M$71:$M$90,$G318,月間集計シート!O$71:O$90)*Y$2</f>
        <v>0</v>
      </c>
      <c r="Z318" s="88">
        <f>SUMIF(月間集計シート!$M$71:$M$90,$G318,月間集計シート!P$71:P$90)*Z$2</f>
        <v>0</v>
      </c>
      <c r="AA318" s="88">
        <f>SUMIF(月間集計シート!$M$71:$M$90,$G318,月間集計シート!Q$71:Q$90)*AA$2</f>
        <v>0</v>
      </c>
      <c r="AB318" s="88">
        <f>SUMIF(月間集計シート!$M$71:$M$90,$G318,月間集計シート!R$71:R$90)*AB$2</f>
        <v>0</v>
      </c>
      <c r="AC318" s="88">
        <f>SUMIF(月間集計シート!$M$71:$M$90,$G318,月間集計シート!S$71:S$90)*AC$2</f>
        <v>0</v>
      </c>
      <c r="AD318" s="88">
        <f>SUMIF(月間集計シート!$M$71:$M$90,$G318,月間集計シート!T$71:T$90)*AD$2</f>
        <v>0</v>
      </c>
      <c r="AE318" s="88">
        <f>SUMIF(月間集計シート!$M$92:$M$111,$G318,月間集計シート!N$92:N$111)*AE$2</f>
        <v>0</v>
      </c>
      <c r="AF318" s="88">
        <f>SUMIF(月間集計シート!$M$92:$M$111,$G318,月間集計シート!O$92:O$111)*AF$2</f>
        <v>0</v>
      </c>
      <c r="AG318" s="88">
        <f>SUMIF(月間集計シート!$M$92:$M$111,$G318,月間集計シート!P$92:P$111)*AG$2</f>
        <v>0</v>
      </c>
      <c r="AH318" s="88">
        <f>SUMIF(月間集計シート!$M$92:$M$111,$G318,月間集計シート!Q$92:Q$111)*AH$2</f>
        <v>0</v>
      </c>
      <c r="AI318" s="88">
        <f>SUMIF(月間集計シート!$M$92:$M$111,$G318,月間集計シート!R$92:R$111)*AI$2</f>
        <v>0</v>
      </c>
      <c r="AJ318" s="88">
        <f>SUMIF(月間集計シート!$M$92:$M$111,$G318,月間集計シート!S$92:S$111)*AJ$2</f>
        <v>0</v>
      </c>
      <c r="AK318" s="88">
        <f>SUMIF(月間集計シート!$M$92:$M$111,$G318,月間集計シート!T$92:T$111)*AK$2</f>
        <v>0</v>
      </c>
      <c r="AL318" s="88">
        <f>SUMIF(月間集計シート!$M$113:$M$132,$G318,月間集計シート!N$113:N$132)*AL$2</f>
        <v>0</v>
      </c>
      <c r="AM318" s="88">
        <f>SUMIF(月間集計シート!$M$113:$M$132,$G318,月間集計シート!O$113:O$132)*AM$2</f>
        <v>0</v>
      </c>
      <c r="AN318" s="88">
        <f>SUMIF(月間集計シート!$M$113:$M$132,$G318,月間集計シート!P$113:P$132)*AN$2</f>
        <v>0</v>
      </c>
      <c r="AO318" s="88">
        <f>SUMIF(月間集計シート!$M$113:$M$132,$G318,月間集計シート!Q$113:Q$132)*AO$2</f>
        <v>0</v>
      </c>
      <c r="AP318" s="88">
        <f>SUMIF(月間集計シート!$M$113:$M$132,$G318,月間集計シート!R$113:R$132)*AP$2</f>
        <v>0</v>
      </c>
      <c r="AQ318" s="88">
        <f>SUMIF(月間集計シート!$M$113:$M$132,$G318,月間集計シート!S$113:S$132)*AQ$2</f>
        <v>0</v>
      </c>
      <c r="AR318" s="88">
        <f>SUMIF(月間集計シート!$M$113:$M$132,$G318,月間集計シート!T$113:T$132)*AR$2</f>
        <v>0</v>
      </c>
      <c r="AS318" s="88">
        <f>SUMIF(月間集計シート!$M$134:$M$153,$G318,月間集計シート!N$134:N$153)*AS$2</f>
        <v>0</v>
      </c>
      <c r="AT318" s="88">
        <f>SUMIF(月間集計シート!$M$134:$M$153,$G318,月間集計シート!O$134:O$153)*AT$2</f>
        <v>0</v>
      </c>
      <c r="AU318" s="88">
        <f>SUMIF(月間集計シート!$M$134:$M$153,$G318,月間集計シート!P$134:P$153)*AU$2</f>
        <v>0</v>
      </c>
      <c r="AV318" s="88">
        <f>SUMIF(月間集計シート!$M$134:$M$153,$G318,月間集計シート!Q$134:Q$153)*AV$2</f>
        <v>0</v>
      </c>
      <c r="AW318" s="88">
        <f>SUMIF(月間集計シート!$M$134:$M$153,$G318,月間集計シート!R$134:R$153)*AW$2</f>
        <v>0</v>
      </c>
      <c r="AX318" s="88">
        <f>SUMIF(月間集計シート!$M$134:$M$153,$G318,月間集計シート!S$134:S$153)*AX$2</f>
        <v>0</v>
      </c>
      <c r="AY318" s="88">
        <f>SUMIF(月間集計シート!$M$134:$M$153,$G318,月間集計シート!T$134:T$153)*AY$2</f>
        <v>0</v>
      </c>
    </row>
    <row r="319" spans="1:51" ht="14.25" thickBot="1">
      <c r="A319">
        <v>4</v>
      </c>
      <c r="B319" s="120">
        <f t="shared" si="132"/>
        <v>0</v>
      </c>
      <c r="C319" s="120" t="str">
        <f t="shared" si="133"/>
        <v/>
      </c>
      <c r="D319" s="137"/>
      <c r="E319" s="150">
        <f>工種!A56</f>
        <v>70109</v>
      </c>
      <c r="F319" s="119" t="str">
        <f>工種!B56</f>
        <v>外部不具合修正：レビュー</v>
      </c>
      <c r="G319" s="116" t="str">
        <f t="shared" si="134"/>
        <v>070109</v>
      </c>
      <c r="H319" s="88">
        <f t="shared" si="88"/>
        <v>0</v>
      </c>
      <c r="I319" s="132"/>
      <c r="J319" s="88">
        <f>SUMIF(月間集計シート!$M$29:$M$48,$G319,月間集計シート!N$29:N$48)*J$2</f>
        <v>0</v>
      </c>
      <c r="K319" s="88">
        <f>SUMIF(月間集計シート!$M$29:$M$48,$G319,月間集計シート!O$29:O$48)*K$2</f>
        <v>0</v>
      </c>
      <c r="L319" s="88">
        <f>SUMIF(月間集計シート!$M$29:$M$48,$G319,月間集計シート!P$29:P$48)*L$2</f>
        <v>0</v>
      </c>
      <c r="M319" s="88">
        <f>SUMIF(月間集計シート!$M$29:$M$48,$G319,月間集計シート!Q$29:Q$48)*M$2</f>
        <v>0</v>
      </c>
      <c r="N319" s="88">
        <f>SUMIF(月間集計シート!$M$29:$M$48,$G319,月間集計シート!R$29:R$48)*N$2</f>
        <v>0</v>
      </c>
      <c r="O319" s="88">
        <f>SUMIF(月間集計シート!$M$29:$M$48,$G319,月間集計シート!S$29:S$48)*O$2</f>
        <v>0</v>
      </c>
      <c r="P319" s="88">
        <f>SUMIF(月間集計シート!$M$29:$M$48,$G319,月間集計シート!T$29:T$48)*P$2</f>
        <v>0</v>
      </c>
      <c r="Q319" s="88">
        <f>SUMIF(月間集計シート!$M$50:$M$69,$G319,月間集計シート!N$50:N$69)*Q$2</f>
        <v>0</v>
      </c>
      <c r="R319" s="88">
        <f>SUMIF(月間集計シート!$M$50:$M$69,$G319,月間集計シート!O$50:O$69)*R$2</f>
        <v>0</v>
      </c>
      <c r="S319" s="88">
        <f>SUMIF(月間集計シート!$M$50:$M$69,$G319,月間集計シート!P$50:P$69)*S$2</f>
        <v>0</v>
      </c>
      <c r="T319" s="88">
        <f>SUMIF(月間集計シート!$M$50:$M$69,$G319,月間集計シート!Q$50:Q$69)*T$2</f>
        <v>0</v>
      </c>
      <c r="U319" s="88">
        <f>SUMIF(月間集計シート!$M$50:$M$69,$G319,月間集計シート!R$50:R$69)*U$2</f>
        <v>0</v>
      </c>
      <c r="V319" s="88">
        <f>SUMIF(月間集計シート!$M$50:$M$69,$G319,月間集計シート!S$50:S$69)*V$2</f>
        <v>0</v>
      </c>
      <c r="W319" s="88">
        <f>SUMIF(月間集計シート!$M$50:$M$69,$G319,月間集計シート!T$50:T$69)*W$2</f>
        <v>0</v>
      </c>
      <c r="X319" s="88">
        <f>SUMIF(月間集計シート!$M$71:$M$90,$G319,月間集計シート!N$71:N$90)*X$2</f>
        <v>0</v>
      </c>
      <c r="Y319" s="88">
        <f>SUMIF(月間集計シート!$M$71:$M$90,$G319,月間集計シート!O$71:O$90)*Y$2</f>
        <v>0</v>
      </c>
      <c r="Z319" s="88">
        <f>SUMIF(月間集計シート!$M$71:$M$90,$G319,月間集計シート!P$71:P$90)*Z$2</f>
        <v>0</v>
      </c>
      <c r="AA319" s="88">
        <f>SUMIF(月間集計シート!$M$71:$M$90,$G319,月間集計シート!Q$71:Q$90)*AA$2</f>
        <v>0</v>
      </c>
      <c r="AB319" s="88">
        <f>SUMIF(月間集計シート!$M$71:$M$90,$G319,月間集計シート!R$71:R$90)*AB$2</f>
        <v>0</v>
      </c>
      <c r="AC319" s="88">
        <f>SUMIF(月間集計シート!$M$71:$M$90,$G319,月間集計シート!S$71:S$90)*AC$2</f>
        <v>0</v>
      </c>
      <c r="AD319" s="88">
        <f>SUMIF(月間集計シート!$M$71:$M$90,$G319,月間集計シート!T$71:T$90)*AD$2</f>
        <v>0</v>
      </c>
      <c r="AE319" s="88">
        <f>SUMIF(月間集計シート!$M$92:$M$111,$G319,月間集計シート!N$92:N$111)*AE$2</f>
        <v>0</v>
      </c>
      <c r="AF319" s="88">
        <f>SUMIF(月間集計シート!$M$92:$M$111,$G319,月間集計シート!O$92:O$111)*AF$2</f>
        <v>0</v>
      </c>
      <c r="AG319" s="88">
        <f>SUMIF(月間集計シート!$M$92:$M$111,$G319,月間集計シート!P$92:P$111)*AG$2</f>
        <v>0</v>
      </c>
      <c r="AH319" s="88">
        <f>SUMIF(月間集計シート!$M$92:$M$111,$G319,月間集計シート!Q$92:Q$111)*AH$2</f>
        <v>0</v>
      </c>
      <c r="AI319" s="88">
        <f>SUMIF(月間集計シート!$M$92:$M$111,$G319,月間集計シート!R$92:R$111)*AI$2</f>
        <v>0</v>
      </c>
      <c r="AJ319" s="88">
        <f>SUMIF(月間集計シート!$M$92:$M$111,$G319,月間集計シート!S$92:S$111)*AJ$2</f>
        <v>0</v>
      </c>
      <c r="AK319" s="88">
        <f>SUMIF(月間集計シート!$M$92:$M$111,$G319,月間集計シート!T$92:T$111)*AK$2</f>
        <v>0</v>
      </c>
      <c r="AL319" s="88">
        <f>SUMIF(月間集計シート!$M$113:$M$132,$G319,月間集計シート!N$113:N$132)*AL$2</f>
        <v>0</v>
      </c>
      <c r="AM319" s="88">
        <f>SUMIF(月間集計シート!$M$113:$M$132,$G319,月間集計シート!O$113:O$132)*AM$2</f>
        <v>0</v>
      </c>
      <c r="AN319" s="88">
        <f>SUMIF(月間集計シート!$M$113:$M$132,$G319,月間集計シート!P$113:P$132)*AN$2</f>
        <v>0</v>
      </c>
      <c r="AO319" s="88">
        <f>SUMIF(月間集計シート!$M$113:$M$132,$G319,月間集計シート!Q$113:Q$132)*AO$2</f>
        <v>0</v>
      </c>
      <c r="AP319" s="88">
        <f>SUMIF(月間集計シート!$M$113:$M$132,$G319,月間集計シート!R$113:R$132)*AP$2</f>
        <v>0</v>
      </c>
      <c r="AQ319" s="88">
        <f>SUMIF(月間集計シート!$M$113:$M$132,$G319,月間集計シート!S$113:S$132)*AQ$2</f>
        <v>0</v>
      </c>
      <c r="AR319" s="88">
        <f>SUMIF(月間集計シート!$M$113:$M$132,$G319,月間集計シート!T$113:T$132)*AR$2</f>
        <v>0</v>
      </c>
      <c r="AS319" s="88">
        <f>SUMIF(月間集計シート!$M$134:$M$153,$G319,月間集計シート!N$134:N$153)*AS$2</f>
        <v>0</v>
      </c>
      <c r="AT319" s="88">
        <f>SUMIF(月間集計シート!$M$134:$M$153,$G319,月間集計シート!O$134:O$153)*AT$2</f>
        <v>0</v>
      </c>
      <c r="AU319" s="88">
        <f>SUMIF(月間集計シート!$M$134:$M$153,$G319,月間集計シート!P$134:P$153)*AU$2</f>
        <v>0</v>
      </c>
      <c r="AV319" s="88">
        <f>SUMIF(月間集計シート!$M$134:$M$153,$G319,月間集計シート!Q$134:Q$153)*AV$2</f>
        <v>0</v>
      </c>
      <c r="AW319" s="88">
        <f>SUMIF(月間集計シート!$M$134:$M$153,$G319,月間集計シート!R$134:R$153)*AW$2</f>
        <v>0</v>
      </c>
      <c r="AX319" s="88">
        <f>SUMIF(月間集計シート!$M$134:$M$153,$G319,月間集計シート!S$134:S$153)*AX$2</f>
        <v>0</v>
      </c>
      <c r="AY319" s="88">
        <f>SUMIF(月間集計シート!$M$134:$M$153,$G319,月間集計シート!T$134:T$153)*AY$2</f>
        <v>0</v>
      </c>
    </row>
    <row r="320" spans="1:51" ht="14.25" thickBot="1">
      <c r="A320">
        <v>4</v>
      </c>
      <c r="B320" s="120">
        <f t="shared" si="132"/>
        <v>0</v>
      </c>
      <c r="C320" s="120" t="str">
        <f t="shared" si="133"/>
        <v/>
      </c>
      <c r="D320" s="137"/>
      <c r="E320" s="150">
        <f>工種!A57</f>
        <v>70189</v>
      </c>
      <c r="F320" s="119" t="str">
        <f>工種!B57</f>
        <v>外部不具合修正：外部不具合分析</v>
      </c>
      <c r="G320" s="116" t="str">
        <f t="shared" si="134"/>
        <v>070189</v>
      </c>
      <c r="H320" s="88">
        <f t="shared" si="88"/>
        <v>0</v>
      </c>
      <c r="I320" s="132"/>
      <c r="J320" s="88">
        <f>SUMIF(月間集計シート!$M$29:$M$48,$G320,月間集計シート!N$29:N$48)*J$2</f>
        <v>0</v>
      </c>
      <c r="K320" s="88">
        <f>SUMIF(月間集計シート!$M$29:$M$48,$G320,月間集計シート!O$29:O$48)*K$2</f>
        <v>0</v>
      </c>
      <c r="L320" s="88">
        <f>SUMIF(月間集計シート!$M$29:$M$48,$G320,月間集計シート!P$29:P$48)*L$2</f>
        <v>0</v>
      </c>
      <c r="M320" s="88">
        <f>SUMIF(月間集計シート!$M$29:$M$48,$G320,月間集計シート!Q$29:Q$48)*M$2</f>
        <v>0</v>
      </c>
      <c r="N320" s="88">
        <f>SUMIF(月間集計シート!$M$29:$M$48,$G320,月間集計シート!R$29:R$48)*N$2</f>
        <v>0</v>
      </c>
      <c r="O320" s="88">
        <f>SUMIF(月間集計シート!$M$29:$M$48,$G320,月間集計シート!S$29:S$48)*O$2</f>
        <v>0</v>
      </c>
      <c r="P320" s="88">
        <f>SUMIF(月間集計シート!$M$29:$M$48,$G320,月間集計シート!T$29:T$48)*P$2</f>
        <v>0</v>
      </c>
      <c r="Q320" s="88">
        <f>SUMIF(月間集計シート!$M$50:$M$69,$G320,月間集計シート!N$50:N$69)*Q$2</f>
        <v>0</v>
      </c>
      <c r="R320" s="88">
        <f>SUMIF(月間集計シート!$M$50:$M$69,$G320,月間集計シート!O$50:O$69)*R$2</f>
        <v>0</v>
      </c>
      <c r="S320" s="88">
        <f>SUMIF(月間集計シート!$M$50:$M$69,$G320,月間集計シート!P$50:P$69)*S$2</f>
        <v>0</v>
      </c>
      <c r="T320" s="88">
        <f>SUMIF(月間集計シート!$M$50:$M$69,$G320,月間集計シート!Q$50:Q$69)*T$2</f>
        <v>0</v>
      </c>
      <c r="U320" s="88">
        <f>SUMIF(月間集計シート!$M$50:$M$69,$G320,月間集計シート!R$50:R$69)*U$2</f>
        <v>0</v>
      </c>
      <c r="V320" s="88">
        <f>SUMIF(月間集計シート!$M$50:$M$69,$G320,月間集計シート!S$50:S$69)*V$2</f>
        <v>0</v>
      </c>
      <c r="W320" s="88">
        <f>SUMIF(月間集計シート!$M$50:$M$69,$G320,月間集計シート!T$50:T$69)*W$2</f>
        <v>0</v>
      </c>
      <c r="X320" s="88">
        <f>SUMIF(月間集計シート!$M$71:$M$90,$G320,月間集計シート!N$71:N$90)*X$2</f>
        <v>0</v>
      </c>
      <c r="Y320" s="88">
        <f>SUMIF(月間集計シート!$M$71:$M$90,$G320,月間集計シート!O$71:O$90)*Y$2</f>
        <v>0</v>
      </c>
      <c r="Z320" s="88">
        <f>SUMIF(月間集計シート!$M$71:$M$90,$G320,月間集計シート!P$71:P$90)*Z$2</f>
        <v>0</v>
      </c>
      <c r="AA320" s="88">
        <f>SUMIF(月間集計シート!$M$71:$M$90,$G320,月間集計シート!Q$71:Q$90)*AA$2</f>
        <v>0</v>
      </c>
      <c r="AB320" s="88">
        <f>SUMIF(月間集計シート!$M$71:$M$90,$G320,月間集計シート!R$71:R$90)*AB$2</f>
        <v>0</v>
      </c>
      <c r="AC320" s="88">
        <f>SUMIF(月間集計シート!$M$71:$M$90,$G320,月間集計シート!S$71:S$90)*AC$2</f>
        <v>0</v>
      </c>
      <c r="AD320" s="88">
        <f>SUMIF(月間集計シート!$M$71:$M$90,$G320,月間集計シート!T$71:T$90)*AD$2</f>
        <v>0</v>
      </c>
      <c r="AE320" s="88">
        <f>SUMIF(月間集計シート!$M$92:$M$111,$G320,月間集計シート!N$92:N$111)*AE$2</f>
        <v>0</v>
      </c>
      <c r="AF320" s="88">
        <f>SUMIF(月間集計シート!$M$92:$M$111,$G320,月間集計シート!O$92:O$111)*AF$2</f>
        <v>0</v>
      </c>
      <c r="AG320" s="88">
        <f>SUMIF(月間集計シート!$M$92:$M$111,$G320,月間集計シート!P$92:P$111)*AG$2</f>
        <v>0</v>
      </c>
      <c r="AH320" s="88">
        <f>SUMIF(月間集計シート!$M$92:$M$111,$G320,月間集計シート!Q$92:Q$111)*AH$2</f>
        <v>0</v>
      </c>
      <c r="AI320" s="88">
        <f>SUMIF(月間集計シート!$M$92:$M$111,$G320,月間集計シート!R$92:R$111)*AI$2</f>
        <v>0</v>
      </c>
      <c r="AJ320" s="88">
        <f>SUMIF(月間集計シート!$M$92:$M$111,$G320,月間集計シート!S$92:S$111)*AJ$2</f>
        <v>0</v>
      </c>
      <c r="AK320" s="88">
        <f>SUMIF(月間集計シート!$M$92:$M$111,$G320,月間集計シート!T$92:T$111)*AK$2</f>
        <v>0</v>
      </c>
      <c r="AL320" s="88">
        <f>SUMIF(月間集計シート!$M$113:$M$132,$G320,月間集計シート!N$113:N$132)*AL$2</f>
        <v>0</v>
      </c>
      <c r="AM320" s="88">
        <f>SUMIF(月間集計シート!$M$113:$M$132,$G320,月間集計シート!O$113:O$132)*AM$2</f>
        <v>0</v>
      </c>
      <c r="AN320" s="88">
        <f>SUMIF(月間集計シート!$M$113:$M$132,$G320,月間集計シート!P$113:P$132)*AN$2</f>
        <v>0</v>
      </c>
      <c r="AO320" s="88">
        <f>SUMIF(月間集計シート!$M$113:$M$132,$G320,月間集計シート!Q$113:Q$132)*AO$2</f>
        <v>0</v>
      </c>
      <c r="AP320" s="88">
        <f>SUMIF(月間集計シート!$M$113:$M$132,$G320,月間集計シート!R$113:R$132)*AP$2</f>
        <v>0</v>
      </c>
      <c r="AQ320" s="88">
        <f>SUMIF(月間集計シート!$M$113:$M$132,$G320,月間集計シート!S$113:S$132)*AQ$2</f>
        <v>0</v>
      </c>
      <c r="AR320" s="88">
        <f>SUMIF(月間集計シート!$M$113:$M$132,$G320,月間集計シート!T$113:T$132)*AR$2</f>
        <v>0</v>
      </c>
      <c r="AS320" s="88">
        <f>SUMIF(月間集計シート!$M$134:$M$153,$G320,月間集計シート!N$134:N$153)*AS$2</f>
        <v>0</v>
      </c>
      <c r="AT320" s="88">
        <f>SUMIF(月間集計シート!$M$134:$M$153,$G320,月間集計シート!O$134:O$153)*AT$2</f>
        <v>0</v>
      </c>
      <c r="AU320" s="88">
        <f>SUMIF(月間集計シート!$M$134:$M$153,$G320,月間集計シート!P$134:P$153)*AU$2</f>
        <v>0</v>
      </c>
      <c r="AV320" s="88">
        <f>SUMIF(月間集計シート!$M$134:$M$153,$G320,月間集計シート!Q$134:Q$153)*AV$2</f>
        <v>0</v>
      </c>
      <c r="AW320" s="88">
        <f>SUMIF(月間集計シート!$M$134:$M$153,$G320,月間集計シート!R$134:R$153)*AW$2</f>
        <v>0</v>
      </c>
      <c r="AX320" s="88">
        <f>SUMIF(月間集計シート!$M$134:$M$153,$G320,月間集計シート!S$134:S$153)*AX$2</f>
        <v>0</v>
      </c>
      <c r="AY320" s="88">
        <f>SUMIF(月間集計シート!$M$134:$M$153,$G320,月間集計シート!T$134:T$153)*AY$2</f>
        <v>0</v>
      </c>
    </row>
    <row r="321" spans="1:51" ht="14.25" thickBot="1">
      <c r="A321">
        <v>4</v>
      </c>
      <c r="B321" s="120">
        <f t="shared" si="132"/>
        <v>0</v>
      </c>
      <c r="C321" s="120" t="str">
        <f t="shared" si="133"/>
        <v/>
      </c>
      <c r="D321" s="137"/>
      <c r="E321" s="150">
        <f>工種!A58</f>
        <v>70199</v>
      </c>
      <c r="F321" s="119" t="str">
        <f>工種!B58</f>
        <v>外部不具合修正：その他</v>
      </c>
      <c r="G321" s="116" t="str">
        <f t="shared" si="134"/>
        <v>070199</v>
      </c>
      <c r="H321" s="88">
        <f t="shared" si="88"/>
        <v>0</v>
      </c>
      <c r="I321" s="132"/>
      <c r="J321" s="88">
        <f>SUMIF(月間集計シート!$M$29:$M$48,$G321,月間集計シート!N$29:N$48)*J$2</f>
        <v>0</v>
      </c>
      <c r="K321" s="88">
        <f>SUMIF(月間集計シート!$M$29:$M$48,$G321,月間集計シート!O$29:O$48)*K$2</f>
        <v>0</v>
      </c>
      <c r="L321" s="88">
        <f>SUMIF(月間集計シート!$M$29:$M$48,$G321,月間集計シート!P$29:P$48)*L$2</f>
        <v>0</v>
      </c>
      <c r="M321" s="88">
        <f>SUMIF(月間集計シート!$M$29:$M$48,$G321,月間集計シート!Q$29:Q$48)*M$2</f>
        <v>0</v>
      </c>
      <c r="N321" s="88">
        <f>SUMIF(月間集計シート!$M$29:$M$48,$G321,月間集計シート!R$29:R$48)*N$2</f>
        <v>0</v>
      </c>
      <c r="O321" s="88">
        <f>SUMIF(月間集計シート!$M$29:$M$48,$G321,月間集計シート!S$29:S$48)*O$2</f>
        <v>0</v>
      </c>
      <c r="P321" s="88">
        <f>SUMIF(月間集計シート!$M$29:$M$48,$G321,月間集計シート!T$29:T$48)*P$2</f>
        <v>0</v>
      </c>
      <c r="Q321" s="88">
        <f>SUMIF(月間集計シート!$M$50:$M$69,$G321,月間集計シート!N$50:N$69)*Q$2</f>
        <v>0</v>
      </c>
      <c r="R321" s="88">
        <f>SUMIF(月間集計シート!$M$50:$M$69,$G321,月間集計シート!O$50:O$69)*R$2</f>
        <v>0</v>
      </c>
      <c r="S321" s="88">
        <f>SUMIF(月間集計シート!$M$50:$M$69,$G321,月間集計シート!P$50:P$69)*S$2</f>
        <v>0</v>
      </c>
      <c r="T321" s="88">
        <f>SUMIF(月間集計シート!$M$50:$M$69,$G321,月間集計シート!Q$50:Q$69)*T$2</f>
        <v>0</v>
      </c>
      <c r="U321" s="88">
        <f>SUMIF(月間集計シート!$M$50:$M$69,$G321,月間集計シート!R$50:R$69)*U$2</f>
        <v>0</v>
      </c>
      <c r="V321" s="88">
        <f>SUMIF(月間集計シート!$M$50:$M$69,$G321,月間集計シート!S$50:S$69)*V$2</f>
        <v>0</v>
      </c>
      <c r="W321" s="88">
        <f>SUMIF(月間集計シート!$M$50:$M$69,$G321,月間集計シート!T$50:T$69)*W$2</f>
        <v>0</v>
      </c>
      <c r="X321" s="88">
        <f>SUMIF(月間集計シート!$M$71:$M$90,$G321,月間集計シート!N$71:N$90)*X$2</f>
        <v>0</v>
      </c>
      <c r="Y321" s="88">
        <f>SUMIF(月間集計シート!$M$71:$M$90,$G321,月間集計シート!O$71:O$90)*Y$2</f>
        <v>0</v>
      </c>
      <c r="Z321" s="88">
        <f>SUMIF(月間集計シート!$M$71:$M$90,$G321,月間集計シート!P$71:P$90)*Z$2</f>
        <v>0</v>
      </c>
      <c r="AA321" s="88">
        <f>SUMIF(月間集計シート!$M$71:$M$90,$G321,月間集計シート!Q$71:Q$90)*AA$2</f>
        <v>0</v>
      </c>
      <c r="AB321" s="88">
        <f>SUMIF(月間集計シート!$M$71:$M$90,$G321,月間集計シート!R$71:R$90)*AB$2</f>
        <v>0</v>
      </c>
      <c r="AC321" s="88">
        <f>SUMIF(月間集計シート!$M$71:$M$90,$G321,月間集計シート!S$71:S$90)*AC$2</f>
        <v>0</v>
      </c>
      <c r="AD321" s="88">
        <f>SUMIF(月間集計シート!$M$71:$M$90,$G321,月間集計シート!T$71:T$90)*AD$2</f>
        <v>0</v>
      </c>
      <c r="AE321" s="88">
        <f>SUMIF(月間集計シート!$M$92:$M$111,$G321,月間集計シート!N$92:N$111)*AE$2</f>
        <v>0</v>
      </c>
      <c r="AF321" s="88">
        <f>SUMIF(月間集計シート!$M$92:$M$111,$G321,月間集計シート!O$92:O$111)*AF$2</f>
        <v>0</v>
      </c>
      <c r="AG321" s="88">
        <f>SUMIF(月間集計シート!$M$92:$M$111,$G321,月間集計シート!P$92:P$111)*AG$2</f>
        <v>0</v>
      </c>
      <c r="AH321" s="88">
        <f>SUMIF(月間集計シート!$M$92:$M$111,$G321,月間集計シート!Q$92:Q$111)*AH$2</f>
        <v>0</v>
      </c>
      <c r="AI321" s="88">
        <f>SUMIF(月間集計シート!$M$92:$M$111,$G321,月間集計シート!R$92:R$111)*AI$2</f>
        <v>0</v>
      </c>
      <c r="AJ321" s="88">
        <f>SUMIF(月間集計シート!$M$92:$M$111,$G321,月間集計シート!S$92:S$111)*AJ$2</f>
        <v>0</v>
      </c>
      <c r="AK321" s="88">
        <f>SUMIF(月間集計シート!$M$92:$M$111,$G321,月間集計シート!T$92:T$111)*AK$2</f>
        <v>0</v>
      </c>
      <c r="AL321" s="88">
        <f>SUMIF(月間集計シート!$M$113:$M$132,$G321,月間集計シート!N$113:N$132)*AL$2</f>
        <v>0</v>
      </c>
      <c r="AM321" s="88">
        <f>SUMIF(月間集計シート!$M$113:$M$132,$G321,月間集計シート!O$113:O$132)*AM$2</f>
        <v>0</v>
      </c>
      <c r="AN321" s="88">
        <f>SUMIF(月間集計シート!$M$113:$M$132,$G321,月間集計シート!P$113:P$132)*AN$2</f>
        <v>0</v>
      </c>
      <c r="AO321" s="88">
        <f>SUMIF(月間集計シート!$M$113:$M$132,$G321,月間集計シート!Q$113:Q$132)*AO$2</f>
        <v>0</v>
      </c>
      <c r="AP321" s="88">
        <f>SUMIF(月間集計シート!$M$113:$M$132,$G321,月間集計シート!R$113:R$132)*AP$2</f>
        <v>0</v>
      </c>
      <c r="AQ321" s="88">
        <f>SUMIF(月間集計シート!$M$113:$M$132,$G321,月間集計シート!S$113:S$132)*AQ$2</f>
        <v>0</v>
      </c>
      <c r="AR321" s="88">
        <f>SUMIF(月間集計シート!$M$113:$M$132,$G321,月間集計シート!T$113:T$132)*AR$2</f>
        <v>0</v>
      </c>
      <c r="AS321" s="88">
        <f>SUMIF(月間集計シート!$M$134:$M$153,$G321,月間集計シート!N$134:N$153)*AS$2</f>
        <v>0</v>
      </c>
      <c r="AT321" s="88">
        <f>SUMIF(月間集計シート!$M$134:$M$153,$G321,月間集計シート!O$134:O$153)*AT$2</f>
        <v>0</v>
      </c>
      <c r="AU321" s="88">
        <f>SUMIF(月間集計シート!$M$134:$M$153,$G321,月間集計シート!P$134:P$153)*AU$2</f>
        <v>0</v>
      </c>
      <c r="AV321" s="88">
        <f>SUMIF(月間集計シート!$M$134:$M$153,$G321,月間集計シート!Q$134:Q$153)*AV$2</f>
        <v>0</v>
      </c>
      <c r="AW321" s="88">
        <f>SUMIF(月間集計シート!$M$134:$M$153,$G321,月間集計シート!R$134:R$153)*AW$2</f>
        <v>0</v>
      </c>
      <c r="AX321" s="88">
        <f>SUMIF(月間集計シート!$M$134:$M$153,$G321,月間集計シート!S$134:S$153)*AX$2</f>
        <v>0</v>
      </c>
      <c r="AY321" s="88">
        <f>SUMIF(月間集計シート!$M$134:$M$153,$G321,月間集計シート!T$134:T$153)*AY$2</f>
        <v>0</v>
      </c>
    </row>
    <row r="322" spans="1:51" ht="14.25" thickBot="1">
      <c r="A322">
        <v>4</v>
      </c>
      <c r="B322" s="120">
        <f t="shared" si="132"/>
        <v>0</v>
      </c>
      <c r="C322" s="120" t="str">
        <f t="shared" si="133"/>
        <v/>
      </c>
      <c r="D322" s="137"/>
      <c r="E322" s="150" t="str">
        <f>工種!A59</f>
        <v>80101</v>
      </c>
      <c r="F322" s="119" t="str">
        <f>工種!B59</f>
        <v>保守／ｻﾎﾟｰﾄ：調査</v>
      </c>
      <c r="G322" s="116" t="str">
        <f t="shared" si="134"/>
        <v>080101</v>
      </c>
      <c r="H322" s="88">
        <f t="shared" si="88"/>
        <v>0</v>
      </c>
      <c r="I322" s="132"/>
      <c r="J322" s="88">
        <f>SUMIF(月間集計シート!$M$29:$M$48,$G322,月間集計シート!N$29:N$48)*J$2</f>
        <v>0</v>
      </c>
      <c r="K322" s="88">
        <f>SUMIF(月間集計シート!$M$29:$M$48,$G322,月間集計シート!O$29:O$48)*K$2</f>
        <v>0</v>
      </c>
      <c r="L322" s="88">
        <f>SUMIF(月間集計シート!$M$29:$M$48,$G322,月間集計シート!P$29:P$48)*L$2</f>
        <v>0</v>
      </c>
      <c r="M322" s="88">
        <f>SUMIF(月間集計シート!$M$29:$M$48,$G322,月間集計シート!Q$29:Q$48)*M$2</f>
        <v>0</v>
      </c>
      <c r="N322" s="88">
        <f>SUMIF(月間集計シート!$M$29:$M$48,$G322,月間集計シート!R$29:R$48)*N$2</f>
        <v>0</v>
      </c>
      <c r="O322" s="88">
        <f>SUMIF(月間集計シート!$M$29:$M$48,$G322,月間集計シート!S$29:S$48)*O$2</f>
        <v>0</v>
      </c>
      <c r="P322" s="88">
        <f>SUMIF(月間集計シート!$M$29:$M$48,$G322,月間集計シート!T$29:T$48)*P$2</f>
        <v>0</v>
      </c>
      <c r="Q322" s="88">
        <f>SUMIF(月間集計シート!$M$50:$M$69,$G322,月間集計シート!N$50:N$69)*Q$2</f>
        <v>0</v>
      </c>
      <c r="R322" s="88">
        <f>SUMIF(月間集計シート!$M$50:$M$69,$G322,月間集計シート!O$50:O$69)*R$2</f>
        <v>0</v>
      </c>
      <c r="S322" s="88">
        <f>SUMIF(月間集計シート!$M$50:$M$69,$G322,月間集計シート!P$50:P$69)*S$2</f>
        <v>0</v>
      </c>
      <c r="T322" s="88">
        <f>SUMIF(月間集計シート!$M$50:$M$69,$G322,月間集計シート!Q$50:Q$69)*T$2</f>
        <v>0</v>
      </c>
      <c r="U322" s="88">
        <f>SUMIF(月間集計シート!$M$50:$M$69,$G322,月間集計シート!R$50:R$69)*U$2</f>
        <v>0</v>
      </c>
      <c r="V322" s="88">
        <f>SUMIF(月間集計シート!$M$50:$M$69,$G322,月間集計シート!S$50:S$69)*V$2</f>
        <v>0</v>
      </c>
      <c r="W322" s="88">
        <f>SUMIF(月間集計シート!$M$50:$M$69,$G322,月間集計シート!T$50:T$69)*W$2</f>
        <v>0</v>
      </c>
      <c r="X322" s="88">
        <f>SUMIF(月間集計シート!$M$71:$M$90,$G322,月間集計シート!N$71:N$90)*X$2</f>
        <v>0</v>
      </c>
      <c r="Y322" s="88">
        <f>SUMIF(月間集計シート!$M$71:$M$90,$G322,月間集計シート!O$71:O$90)*Y$2</f>
        <v>0</v>
      </c>
      <c r="Z322" s="88">
        <f>SUMIF(月間集計シート!$M$71:$M$90,$G322,月間集計シート!P$71:P$90)*Z$2</f>
        <v>0</v>
      </c>
      <c r="AA322" s="88">
        <f>SUMIF(月間集計シート!$M$71:$M$90,$G322,月間集計シート!Q$71:Q$90)*AA$2</f>
        <v>0</v>
      </c>
      <c r="AB322" s="88">
        <f>SUMIF(月間集計シート!$M$71:$M$90,$G322,月間集計シート!R$71:R$90)*AB$2</f>
        <v>0</v>
      </c>
      <c r="AC322" s="88">
        <f>SUMIF(月間集計シート!$M$71:$M$90,$G322,月間集計シート!S$71:S$90)*AC$2</f>
        <v>0</v>
      </c>
      <c r="AD322" s="88">
        <f>SUMIF(月間集計シート!$M$71:$M$90,$G322,月間集計シート!T$71:T$90)*AD$2</f>
        <v>0</v>
      </c>
      <c r="AE322" s="88">
        <f>SUMIF(月間集計シート!$M$92:$M$111,$G322,月間集計シート!N$92:N$111)*AE$2</f>
        <v>0</v>
      </c>
      <c r="AF322" s="88">
        <f>SUMIF(月間集計シート!$M$92:$M$111,$G322,月間集計シート!O$92:O$111)*AF$2</f>
        <v>0</v>
      </c>
      <c r="AG322" s="88">
        <f>SUMIF(月間集計シート!$M$92:$M$111,$G322,月間集計シート!P$92:P$111)*AG$2</f>
        <v>0</v>
      </c>
      <c r="AH322" s="88">
        <f>SUMIF(月間集計シート!$M$92:$M$111,$G322,月間集計シート!Q$92:Q$111)*AH$2</f>
        <v>0</v>
      </c>
      <c r="AI322" s="88">
        <f>SUMIF(月間集計シート!$M$92:$M$111,$G322,月間集計シート!R$92:R$111)*AI$2</f>
        <v>0</v>
      </c>
      <c r="AJ322" s="88">
        <f>SUMIF(月間集計シート!$M$92:$M$111,$G322,月間集計シート!S$92:S$111)*AJ$2</f>
        <v>0</v>
      </c>
      <c r="AK322" s="88">
        <f>SUMIF(月間集計シート!$M$92:$M$111,$G322,月間集計シート!T$92:T$111)*AK$2</f>
        <v>0</v>
      </c>
      <c r="AL322" s="88">
        <f>SUMIF(月間集計シート!$M$113:$M$132,$G322,月間集計シート!N$113:N$132)*AL$2</f>
        <v>0</v>
      </c>
      <c r="AM322" s="88">
        <f>SUMIF(月間集計シート!$M$113:$M$132,$G322,月間集計シート!O$113:O$132)*AM$2</f>
        <v>0</v>
      </c>
      <c r="AN322" s="88">
        <f>SUMIF(月間集計シート!$M$113:$M$132,$G322,月間集計シート!P$113:P$132)*AN$2</f>
        <v>0</v>
      </c>
      <c r="AO322" s="88">
        <f>SUMIF(月間集計シート!$M$113:$M$132,$G322,月間集計シート!Q$113:Q$132)*AO$2</f>
        <v>0</v>
      </c>
      <c r="AP322" s="88">
        <f>SUMIF(月間集計シート!$M$113:$M$132,$G322,月間集計シート!R$113:R$132)*AP$2</f>
        <v>0</v>
      </c>
      <c r="AQ322" s="88">
        <f>SUMIF(月間集計シート!$M$113:$M$132,$G322,月間集計シート!S$113:S$132)*AQ$2</f>
        <v>0</v>
      </c>
      <c r="AR322" s="88">
        <f>SUMIF(月間集計シート!$M$113:$M$132,$G322,月間集計シート!T$113:T$132)*AR$2</f>
        <v>0</v>
      </c>
      <c r="AS322" s="88">
        <f>SUMIF(月間集計シート!$M$134:$M$153,$G322,月間集計シート!N$134:N$153)*AS$2</f>
        <v>0</v>
      </c>
      <c r="AT322" s="88">
        <f>SUMIF(月間集計シート!$M$134:$M$153,$G322,月間集計シート!O$134:O$153)*AT$2</f>
        <v>0</v>
      </c>
      <c r="AU322" s="88">
        <f>SUMIF(月間集計シート!$M$134:$M$153,$G322,月間集計シート!P$134:P$153)*AU$2</f>
        <v>0</v>
      </c>
      <c r="AV322" s="88">
        <f>SUMIF(月間集計シート!$M$134:$M$153,$G322,月間集計シート!Q$134:Q$153)*AV$2</f>
        <v>0</v>
      </c>
      <c r="AW322" s="88">
        <f>SUMIF(月間集計シート!$M$134:$M$153,$G322,月間集計シート!R$134:R$153)*AW$2</f>
        <v>0</v>
      </c>
      <c r="AX322" s="88">
        <f>SUMIF(月間集計シート!$M$134:$M$153,$G322,月間集計シート!S$134:S$153)*AX$2</f>
        <v>0</v>
      </c>
      <c r="AY322" s="88">
        <f>SUMIF(月間集計シート!$M$134:$M$153,$G322,月間集計シート!T$134:T$153)*AY$2</f>
        <v>0</v>
      </c>
    </row>
    <row r="323" spans="1:51" ht="14.25" thickBot="1">
      <c r="A323">
        <v>4</v>
      </c>
      <c r="B323" s="120">
        <f t="shared" si="132"/>
        <v>0</v>
      </c>
      <c r="C323" s="120" t="str">
        <f t="shared" si="133"/>
        <v/>
      </c>
      <c r="D323" s="137"/>
      <c r="E323" s="150" t="str">
        <f>工種!A60</f>
        <v>80102</v>
      </c>
      <c r="F323" s="119" t="str">
        <f>工種!B60</f>
        <v>保守／ｻﾎﾟｰﾄ：社内問い合わせ</v>
      </c>
      <c r="G323" s="116" t="str">
        <f t="shared" si="134"/>
        <v>080102</v>
      </c>
      <c r="H323" s="88">
        <f t="shared" si="88"/>
        <v>0</v>
      </c>
      <c r="I323" s="132"/>
      <c r="J323" s="88">
        <f>SUMIF(月間集計シート!$M$29:$M$48,$G323,月間集計シート!N$29:N$48)*J$2</f>
        <v>0</v>
      </c>
      <c r="K323" s="88">
        <f>SUMIF(月間集計シート!$M$29:$M$48,$G323,月間集計シート!O$29:O$48)*K$2</f>
        <v>0</v>
      </c>
      <c r="L323" s="88">
        <f>SUMIF(月間集計シート!$M$29:$M$48,$G323,月間集計シート!P$29:P$48)*L$2</f>
        <v>0</v>
      </c>
      <c r="M323" s="88">
        <f>SUMIF(月間集計シート!$M$29:$M$48,$G323,月間集計シート!Q$29:Q$48)*M$2</f>
        <v>0</v>
      </c>
      <c r="N323" s="88">
        <f>SUMIF(月間集計シート!$M$29:$M$48,$G323,月間集計シート!R$29:R$48)*N$2</f>
        <v>0</v>
      </c>
      <c r="O323" s="88">
        <f>SUMIF(月間集計シート!$M$29:$M$48,$G323,月間集計シート!S$29:S$48)*O$2</f>
        <v>0</v>
      </c>
      <c r="P323" s="88">
        <f>SUMIF(月間集計シート!$M$29:$M$48,$G323,月間集計シート!T$29:T$48)*P$2</f>
        <v>0</v>
      </c>
      <c r="Q323" s="88">
        <f>SUMIF(月間集計シート!$M$50:$M$69,$G323,月間集計シート!N$50:N$69)*Q$2</f>
        <v>0</v>
      </c>
      <c r="R323" s="88">
        <f>SUMIF(月間集計シート!$M$50:$M$69,$G323,月間集計シート!O$50:O$69)*R$2</f>
        <v>0</v>
      </c>
      <c r="S323" s="88">
        <f>SUMIF(月間集計シート!$M$50:$M$69,$G323,月間集計シート!P$50:P$69)*S$2</f>
        <v>0</v>
      </c>
      <c r="T323" s="88">
        <f>SUMIF(月間集計シート!$M$50:$M$69,$G323,月間集計シート!Q$50:Q$69)*T$2</f>
        <v>0</v>
      </c>
      <c r="U323" s="88">
        <f>SUMIF(月間集計シート!$M$50:$M$69,$G323,月間集計シート!R$50:R$69)*U$2</f>
        <v>0</v>
      </c>
      <c r="V323" s="88">
        <f>SUMIF(月間集計シート!$M$50:$M$69,$G323,月間集計シート!S$50:S$69)*V$2</f>
        <v>0</v>
      </c>
      <c r="W323" s="88">
        <f>SUMIF(月間集計シート!$M$50:$M$69,$G323,月間集計シート!T$50:T$69)*W$2</f>
        <v>0</v>
      </c>
      <c r="X323" s="88">
        <f>SUMIF(月間集計シート!$M$71:$M$90,$G323,月間集計シート!N$71:N$90)*X$2</f>
        <v>0</v>
      </c>
      <c r="Y323" s="88">
        <f>SUMIF(月間集計シート!$M$71:$M$90,$G323,月間集計シート!O$71:O$90)*Y$2</f>
        <v>0</v>
      </c>
      <c r="Z323" s="88">
        <f>SUMIF(月間集計シート!$M$71:$M$90,$G323,月間集計シート!P$71:P$90)*Z$2</f>
        <v>0</v>
      </c>
      <c r="AA323" s="88">
        <f>SUMIF(月間集計シート!$M$71:$M$90,$G323,月間集計シート!Q$71:Q$90)*AA$2</f>
        <v>0</v>
      </c>
      <c r="AB323" s="88">
        <f>SUMIF(月間集計シート!$M$71:$M$90,$G323,月間集計シート!R$71:R$90)*AB$2</f>
        <v>0</v>
      </c>
      <c r="AC323" s="88">
        <f>SUMIF(月間集計シート!$M$71:$M$90,$G323,月間集計シート!S$71:S$90)*AC$2</f>
        <v>0</v>
      </c>
      <c r="AD323" s="88">
        <f>SUMIF(月間集計シート!$M$71:$M$90,$G323,月間集計シート!T$71:T$90)*AD$2</f>
        <v>0</v>
      </c>
      <c r="AE323" s="88">
        <f>SUMIF(月間集計シート!$M$92:$M$111,$G323,月間集計シート!N$92:N$111)*AE$2</f>
        <v>0</v>
      </c>
      <c r="AF323" s="88">
        <f>SUMIF(月間集計シート!$M$92:$M$111,$G323,月間集計シート!O$92:O$111)*AF$2</f>
        <v>0</v>
      </c>
      <c r="AG323" s="88">
        <f>SUMIF(月間集計シート!$M$92:$M$111,$G323,月間集計シート!P$92:P$111)*AG$2</f>
        <v>0</v>
      </c>
      <c r="AH323" s="88">
        <f>SUMIF(月間集計シート!$M$92:$M$111,$G323,月間集計シート!Q$92:Q$111)*AH$2</f>
        <v>0</v>
      </c>
      <c r="AI323" s="88">
        <f>SUMIF(月間集計シート!$M$92:$M$111,$G323,月間集計シート!R$92:R$111)*AI$2</f>
        <v>0</v>
      </c>
      <c r="AJ323" s="88">
        <f>SUMIF(月間集計シート!$M$92:$M$111,$G323,月間集計シート!S$92:S$111)*AJ$2</f>
        <v>0</v>
      </c>
      <c r="AK323" s="88">
        <f>SUMIF(月間集計シート!$M$92:$M$111,$G323,月間集計シート!T$92:T$111)*AK$2</f>
        <v>0</v>
      </c>
      <c r="AL323" s="88">
        <f>SUMIF(月間集計シート!$M$113:$M$132,$G323,月間集計シート!N$113:N$132)*AL$2</f>
        <v>0</v>
      </c>
      <c r="AM323" s="88">
        <f>SUMIF(月間集計シート!$M$113:$M$132,$G323,月間集計シート!O$113:O$132)*AM$2</f>
        <v>0</v>
      </c>
      <c r="AN323" s="88">
        <f>SUMIF(月間集計シート!$M$113:$M$132,$G323,月間集計シート!P$113:P$132)*AN$2</f>
        <v>0</v>
      </c>
      <c r="AO323" s="88">
        <f>SUMIF(月間集計シート!$M$113:$M$132,$G323,月間集計シート!Q$113:Q$132)*AO$2</f>
        <v>0</v>
      </c>
      <c r="AP323" s="88">
        <f>SUMIF(月間集計シート!$M$113:$M$132,$G323,月間集計シート!R$113:R$132)*AP$2</f>
        <v>0</v>
      </c>
      <c r="AQ323" s="88">
        <f>SUMIF(月間集計シート!$M$113:$M$132,$G323,月間集計シート!S$113:S$132)*AQ$2</f>
        <v>0</v>
      </c>
      <c r="AR323" s="88">
        <f>SUMIF(月間集計シート!$M$113:$M$132,$G323,月間集計シート!T$113:T$132)*AR$2</f>
        <v>0</v>
      </c>
      <c r="AS323" s="88">
        <f>SUMIF(月間集計シート!$M$134:$M$153,$G323,月間集計シート!N$134:N$153)*AS$2</f>
        <v>0</v>
      </c>
      <c r="AT323" s="88">
        <f>SUMIF(月間集計シート!$M$134:$M$153,$G323,月間集計シート!O$134:O$153)*AT$2</f>
        <v>0</v>
      </c>
      <c r="AU323" s="88">
        <f>SUMIF(月間集計シート!$M$134:$M$153,$G323,月間集計シート!P$134:P$153)*AU$2</f>
        <v>0</v>
      </c>
      <c r="AV323" s="88">
        <f>SUMIF(月間集計シート!$M$134:$M$153,$G323,月間集計シート!Q$134:Q$153)*AV$2</f>
        <v>0</v>
      </c>
      <c r="AW323" s="88">
        <f>SUMIF(月間集計シート!$M$134:$M$153,$G323,月間集計シート!R$134:R$153)*AW$2</f>
        <v>0</v>
      </c>
      <c r="AX323" s="88">
        <f>SUMIF(月間集計シート!$M$134:$M$153,$G323,月間集計シート!S$134:S$153)*AX$2</f>
        <v>0</v>
      </c>
      <c r="AY323" s="88">
        <f>SUMIF(月間集計シート!$M$134:$M$153,$G323,月間集計シート!T$134:T$153)*AY$2</f>
        <v>0</v>
      </c>
    </row>
    <row r="324" spans="1:51" ht="14.25" thickBot="1">
      <c r="A324">
        <v>4</v>
      </c>
      <c r="B324" s="120">
        <f t="shared" si="132"/>
        <v>0</v>
      </c>
      <c r="C324" s="120" t="str">
        <f t="shared" si="133"/>
        <v/>
      </c>
      <c r="D324" s="137"/>
      <c r="E324" s="150" t="str">
        <f>工種!A61</f>
        <v>80103</v>
      </c>
      <c r="F324" s="119" t="str">
        <f>工種!B61</f>
        <v>保守／ｻﾎﾟｰﾄ：支社・他部門支援</v>
      </c>
      <c r="G324" s="116" t="str">
        <f t="shared" si="134"/>
        <v>080103</v>
      </c>
      <c r="H324" s="88">
        <f t="shared" si="88"/>
        <v>0</v>
      </c>
      <c r="I324" s="132"/>
      <c r="J324" s="88">
        <f>SUMIF(月間集計シート!$M$29:$M$48,$G324,月間集計シート!N$29:N$48)*J$2</f>
        <v>0</v>
      </c>
      <c r="K324" s="88">
        <f>SUMIF(月間集計シート!$M$29:$M$48,$G324,月間集計シート!O$29:O$48)*K$2</f>
        <v>0</v>
      </c>
      <c r="L324" s="88">
        <f>SUMIF(月間集計シート!$M$29:$M$48,$G324,月間集計シート!P$29:P$48)*L$2</f>
        <v>0</v>
      </c>
      <c r="M324" s="88">
        <f>SUMIF(月間集計シート!$M$29:$M$48,$G324,月間集計シート!Q$29:Q$48)*M$2</f>
        <v>0</v>
      </c>
      <c r="N324" s="88">
        <f>SUMIF(月間集計シート!$M$29:$M$48,$G324,月間集計シート!R$29:R$48)*N$2</f>
        <v>0</v>
      </c>
      <c r="O324" s="88">
        <f>SUMIF(月間集計シート!$M$29:$M$48,$G324,月間集計シート!S$29:S$48)*O$2</f>
        <v>0</v>
      </c>
      <c r="P324" s="88">
        <f>SUMIF(月間集計シート!$M$29:$M$48,$G324,月間集計シート!T$29:T$48)*P$2</f>
        <v>0</v>
      </c>
      <c r="Q324" s="88">
        <f>SUMIF(月間集計シート!$M$50:$M$69,$G324,月間集計シート!N$50:N$69)*Q$2</f>
        <v>0</v>
      </c>
      <c r="R324" s="88">
        <f>SUMIF(月間集計シート!$M$50:$M$69,$G324,月間集計シート!O$50:O$69)*R$2</f>
        <v>0</v>
      </c>
      <c r="S324" s="88">
        <f>SUMIF(月間集計シート!$M$50:$M$69,$G324,月間集計シート!P$50:P$69)*S$2</f>
        <v>0</v>
      </c>
      <c r="T324" s="88">
        <f>SUMIF(月間集計シート!$M$50:$M$69,$G324,月間集計シート!Q$50:Q$69)*T$2</f>
        <v>0</v>
      </c>
      <c r="U324" s="88">
        <f>SUMIF(月間集計シート!$M$50:$M$69,$G324,月間集計シート!R$50:R$69)*U$2</f>
        <v>0</v>
      </c>
      <c r="V324" s="88">
        <f>SUMIF(月間集計シート!$M$50:$M$69,$G324,月間集計シート!S$50:S$69)*V$2</f>
        <v>0</v>
      </c>
      <c r="W324" s="88">
        <f>SUMIF(月間集計シート!$M$50:$M$69,$G324,月間集計シート!T$50:T$69)*W$2</f>
        <v>0</v>
      </c>
      <c r="X324" s="88">
        <f>SUMIF(月間集計シート!$M$71:$M$90,$G324,月間集計シート!N$71:N$90)*X$2</f>
        <v>0</v>
      </c>
      <c r="Y324" s="88">
        <f>SUMIF(月間集計シート!$M$71:$M$90,$G324,月間集計シート!O$71:O$90)*Y$2</f>
        <v>0</v>
      </c>
      <c r="Z324" s="88">
        <f>SUMIF(月間集計シート!$M$71:$M$90,$G324,月間集計シート!P$71:P$90)*Z$2</f>
        <v>0</v>
      </c>
      <c r="AA324" s="88">
        <f>SUMIF(月間集計シート!$M$71:$M$90,$G324,月間集計シート!Q$71:Q$90)*AA$2</f>
        <v>0</v>
      </c>
      <c r="AB324" s="88">
        <f>SUMIF(月間集計シート!$M$71:$M$90,$G324,月間集計シート!R$71:R$90)*AB$2</f>
        <v>0</v>
      </c>
      <c r="AC324" s="88">
        <f>SUMIF(月間集計シート!$M$71:$M$90,$G324,月間集計シート!S$71:S$90)*AC$2</f>
        <v>0</v>
      </c>
      <c r="AD324" s="88">
        <f>SUMIF(月間集計シート!$M$71:$M$90,$G324,月間集計シート!T$71:T$90)*AD$2</f>
        <v>0</v>
      </c>
      <c r="AE324" s="88">
        <f>SUMIF(月間集計シート!$M$92:$M$111,$G324,月間集計シート!N$92:N$111)*AE$2</f>
        <v>0</v>
      </c>
      <c r="AF324" s="88">
        <f>SUMIF(月間集計シート!$M$92:$M$111,$G324,月間集計シート!O$92:O$111)*AF$2</f>
        <v>0</v>
      </c>
      <c r="AG324" s="88">
        <f>SUMIF(月間集計シート!$M$92:$M$111,$G324,月間集計シート!P$92:P$111)*AG$2</f>
        <v>0</v>
      </c>
      <c r="AH324" s="88">
        <f>SUMIF(月間集計シート!$M$92:$M$111,$G324,月間集計シート!Q$92:Q$111)*AH$2</f>
        <v>0</v>
      </c>
      <c r="AI324" s="88">
        <f>SUMIF(月間集計シート!$M$92:$M$111,$G324,月間集計シート!R$92:R$111)*AI$2</f>
        <v>0</v>
      </c>
      <c r="AJ324" s="88">
        <f>SUMIF(月間集計シート!$M$92:$M$111,$G324,月間集計シート!S$92:S$111)*AJ$2</f>
        <v>0</v>
      </c>
      <c r="AK324" s="88">
        <f>SUMIF(月間集計シート!$M$92:$M$111,$G324,月間集計シート!T$92:T$111)*AK$2</f>
        <v>0</v>
      </c>
      <c r="AL324" s="88">
        <f>SUMIF(月間集計シート!$M$113:$M$132,$G324,月間集計シート!N$113:N$132)*AL$2</f>
        <v>0</v>
      </c>
      <c r="AM324" s="88">
        <f>SUMIF(月間集計シート!$M$113:$M$132,$G324,月間集計シート!O$113:O$132)*AM$2</f>
        <v>0</v>
      </c>
      <c r="AN324" s="88">
        <f>SUMIF(月間集計シート!$M$113:$M$132,$G324,月間集計シート!P$113:P$132)*AN$2</f>
        <v>0</v>
      </c>
      <c r="AO324" s="88">
        <f>SUMIF(月間集計シート!$M$113:$M$132,$G324,月間集計シート!Q$113:Q$132)*AO$2</f>
        <v>0</v>
      </c>
      <c r="AP324" s="88">
        <f>SUMIF(月間集計シート!$M$113:$M$132,$G324,月間集計シート!R$113:R$132)*AP$2</f>
        <v>0</v>
      </c>
      <c r="AQ324" s="88">
        <f>SUMIF(月間集計シート!$M$113:$M$132,$G324,月間集計シート!S$113:S$132)*AQ$2</f>
        <v>0</v>
      </c>
      <c r="AR324" s="88">
        <f>SUMIF(月間集計シート!$M$113:$M$132,$G324,月間集計シート!T$113:T$132)*AR$2</f>
        <v>0</v>
      </c>
      <c r="AS324" s="88">
        <f>SUMIF(月間集計シート!$M$134:$M$153,$G324,月間集計シート!N$134:N$153)*AS$2</f>
        <v>0</v>
      </c>
      <c r="AT324" s="88">
        <f>SUMIF(月間集計シート!$M$134:$M$153,$G324,月間集計シート!O$134:O$153)*AT$2</f>
        <v>0</v>
      </c>
      <c r="AU324" s="88">
        <f>SUMIF(月間集計シート!$M$134:$M$153,$G324,月間集計シート!P$134:P$153)*AU$2</f>
        <v>0</v>
      </c>
      <c r="AV324" s="88">
        <f>SUMIF(月間集計シート!$M$134:$M$153,$G324,月間集計シート!Q$134:Q$153)*AV$2</f>
        <v>0</v>
      </c>
      <c r="AW324" s="88">
        <f>SUMIF(月間集計シート!$M$134:$M$153,$G324,月間集計シート!R$134:R$153)*AW$2</f>
        <v>0</v>
      </c>
      <c r="AX324" s="88">
        <f>SUMIF(月間集計シート!$M$134:$M$153,$G324,月間集計シート!S$134:S$153)*AX$2</f>
        <v>0</v>
      </c>
      <c r="AY324" s="88">
        <f>SUMIF(月間集計シート!$M$134:$M$153,$G324,月間集計シート!T$134:T$153)*AY$2</f>
        <v>0</v>
      </c>
    </row>
    <row r="325" spans="1:51" ht="14.25" thickBot="1">
      <c r="A325">
        <v>4</v>
      </c>
      <c r="B325" s="120">
        <f t="shared" si="132"/>
        <v>0</v>
      </c>
      <c r="C325" s="120" t="str">
        <f t="shared" si="133"/>
        <v/>
      </c>
      <c r="D325" s="137"/>
      <c r="E325" s="150" t="str">
        <f>工種!A62</f>
        <v>80104</v>
      </c>
      <c r="F325" s="119" t="str">
        <f>工種!B62</f>
        <v>保守／ｻﾎﾟｰﾄ：連絡文書作成・更新</v>
      </c>
      <c r="G325" s="116" t="str">
        <f t="shared" si="134"/>
        <v>080104</v>
      </c>
      <c r="H325" s="88">
        <f t="shared" si="88"/>
        <v>0</v>
      </c>
      <c r="I325" s="132"/>
      <c r="J325" s="88">
        <f>SUMIF(月間集計シート!$M$29:$M$48,$G325,月間集計シート!N$29:N$48)*J$2</f>
        <v>0</v>
      </c>
      <c r="K325" s="88">
        <f>SUMIF(月間集計シート!$M$29:$M$48,$G325,月間集計シート!O$29:O$48)*K$2</f>
        <v>0</v>
      </c>
      <c r="L325" s="88">
        <f>SUMIF(月間集計シート!$M$29:$M$48,$G325,月間集計シート!P$29:P$48)*L$2</f>
        <v>0</v>
      </c>
      <c r="M325" s="88">
        <f>SUMIF(月間集計シート!$M$29:$M$48,$G325,月間集計シート!Q$29:Q$48)*M$2</f>
        <v>0</v>
      </c>
      <c r="N325" s="88">
        <f>SUMIF(月間集計シート!$M$29:$M$48,$G325,月間集計シート!R$29:R$48)*N$2</f>
        <v>0</v>
      </c>
      <c r="O325" s="88">
        <f>SUMIF(月間集計シート!$M$29:$M$48,$G325,月間集計シート!S$29:S$48)*O$2</f>
        <v>0</v>
      </c>
      <c r="P325" s="88">
        <f>SUMIF(月間集計シート!$M$29:$M$48,$G325,月間集計シート!T$29:T$48)*P$2</f>
        <v>0</v>
      </c>
      <c r="Q325" s="88">
        <f>SUMIF(月間集計シート!$M$50:$M$69,$G325,月間集計シート!N$50:N$69)*Q$2</f>
        <v>0</v>
      </c>
      <c r="R325" s="88">
        <f>SUMIF(月間集計シート!$M$50:$M$69,$G325,月間集計シート!O$50:O$69)*R$2</f>
        <v>0</v>
      </c>
      <c r="S325" s="88">
        <f>SUMIF(月間集計シート!$M$50:$M$69,$G325,月間集計シート!P$50:P$69)*S$2</f>
        <v>0</v>
      </c>
      <c r="T325" s="88">
        <f>SUMIF(月間集計シート!$M$50:$M$69,$G325,月間集計シート!Q$50:Q$69)*T$2</f>
        <v>0</v>
      </c>
      <c r="U325" s="88">
        <f>SUMIF(月間集計シート!$M$50:$M$69,$G325,月間集計シート!R$50:R$69)*U$2</f>
        <v>0</v>
      </c>
      <c r="V325" s="88">
        <f>SUMIF(月間集計シート!$M$50:$M$69,$G325,月間集計シート!S$50:S$69)*V$2</f>
        <v>0</v>
      </c>
      <c r="W325" s="88">
        <f>SUMIF(月間集計シート!$M$50:$M$69,$G325,月間集計シート!T$50:T$69)*W$2</f>
        <v>0</v>
      </c>
      <c r="X325" s="88">
        <f>SUMIF(月間集計シート!$M$71:$M$90,$G325,月間集計シート!N$71:N$90)*X$2</f>
        <v>0</v>
      </c>
      <c r="Y325" s="88">
        <f>SUMIF(月間集計シート!$M$71:$M$90,$G325,月間集計シート!O$71:O$90)*Y$2</f>
        <v>0</v>
      </c>
      <c r="Z325" s="88">
        <f>SUMIF(月間集計シート!$M$71:$M$90,$G325,月間集計シート!P$71:P$90)*Z$2</f>
        <v>0</v>
      </c>
      <c r="AA325" s="88">
        <f>SUMIF(月間集計シート!$M$71:$M$90,$G325,月間集計シート!Q$71:Q$90)*AA$2</f>
        <v>0</v>
      </c>
      <c r="AB325" s="88">
        <f>SUMIF(月間集計シート!$M$71:$M$90,$G325,月間集計シート!R$71:R$90)*AB$2</f>
        <v>0</v>
      </c>
      <c r="AC325" s="88">
        <f>SUMIF(月間集計シート!$M$71:$M$90,$G325,月間集計シート!S$71:S$90)*AC$2</f>
        <v>0</v>
      </c>
      <c r="AD325" s="88">
        <f>SUMIF(月間集計シート!$M$71:$M$90,$G325,月間集計シート!T$71:T$90)*AD$2</f>
        <v>0</v>
      </c>
      <c r="AE325" s="88">
        <f>SUMIF(月間集計シート!$M$92:$M$111,$G325,月間集計シート!N$92:N$111)*AE$2</f>
        <v>0</v>
      </c>
      <c r="AF325" s="88">
        <f>SUMIF(月間集計シート!$M$92:$M$111,$G325,月間集計シート!O$92:O$111)*AF$2</f>
        <v>0</v>
      </c>
      <c r="AG325" s="88">
        <f>SUMIF(月間集計シート!$M$92:$M$111,$G325,月間集計シート!P$92:P$111)*AG$2</f>
        <v>0</v>
      </c>
      <c r="AH325" s="88">
        <f>SUMIF(月間集計シート!$M$92:$M$111,$G325,月間集計シート!Q$92:Q$111)*AH$2</f>
        <v>0</v>
      </c>
      <c r="AI325" s="88">
        <f>SUMIF(月間集計シート!$M$92:$M$111,$G325,月間集計シート!R$92:R$111)*AI$2</f>
        <v>0</v>
      </c>
      <c r="AJ325" s="88">
        <f>SUMIF(月間集計シート!$M$92:$M$111,$G325,月間集計シート!S$92:S$111)*AJ$2</f>
        <v>0</v>
      </c>
      <c r="AK325" s="88">
        <f>SUMIF(月間集計シート!$M$92:$M$111,$G325,月間集計シート!T$92:T$111)*AK$2</f>
        <v>0</v>
      </c>
      <c r="AL325" s="88">
        <f>SUMIF(月間集計シート!$M$113:$M$132,$G325,月間集計シート!N$113:N$132)*AL$2</f>
        <v>0</v>
      </c>
      <c r="AM325" s="88">
        <f>SUMIF(月間集計シート!$M$113:$M$132,$G325,月間集計シート!O$113:O$132)*AM$2</f>
        <v>0</v>
      </c>
      <c r="AN325" s="88">
        <f>SUMIF(月間集計シート!$M$113:$M$132,$G325,月間集計シート!P$113:P$132)*AN$2</f>
        <v>0</v>
      </c>
      <c r="AO325" s="88">
        <f>SUMIF(月間集計シート!$M$113:$M$132,$G325,月間集計シート!Q$113:Q$132)*AO$2</f>
        <v>0</v>
      </c>
      <c r="AP325" s="88">
        <f>SUMIF(月間集計シート!$M$113:$M$132,$G325,月間集計シート!R$113:R$132)*AP$2</f>
        <v>0</v>
      </c>
      <c r="AQ325" s="88">
        <f>SUMIF(月間集計シート!$M$113:$M$132,$G325,月間集計シート!S$113:S$132)*AQ$2</f>
        <v>0</v>
      </c>
      <c r="AR325" s="88">
        <f>SUMIF(月間集計シート!$M$113:$M$132,$G325,月間集計シート!T$113:T$132)*AR$2</f>
        <v>0</v>
      </c>
      <c r="AS325" s="88">
        <f>SUMIF(月間集計シート!$M$134:$M$153,$G325,月間集計シート!N$134:N$153)*AS$2</f>
        <v>0</v>
      </c>
      <c r="AT325" s="88">
        <f>SUMIF(月間集計シート!$M$134:$M$153,$G325,月間集計シート!O$134:O$153)*AT$2</f>
        <v>0</v>
      </c>
      <c r="AU325" s="88">
        <f>SUMIF(月間集計シート!$M$134:$M$153,$G325,月間集計シート!P$134:P$153)*AU$2</f>
        <v>0</v>
      </c>
      <c r="AV325" s="88">
        <f>SUMIF(月間集計シート!$M$134:$M$153,$G325,月間集計シート!Q$134:Q$153)*AV$2</f>
        <v>0</v>
      </c>
      <c r="AW325" s="88">
        <f>SUMIF(月間集計シート!$M$134:$M$153,$G325,月間集計シート!R$134:R$153)*AW$2</f>
        <v>0</v>
      </c>
      <c r="AX325" s="88">
        <f>SUMIF(月間集計シート!$M$134:$M$153,$G325,月間集計シート!S$134:S$153)*AX$2</f>
        <v>0</v>
      </c>
      <c r="AY325" s="88">
        <f>SUMIF(月間集計シート!$M$134:$M$153,$G325,月間集計シート!T$134:T$153)*AY$2</f>
        <v>0</v>
      </c>
    </row>
    <row r="326" spans="1:51" ht="14.25" thickBot="1">
      <c r="A326">
        <v>4</v>
      </c>
      <c r="B326" s="120">
        <f t="shared" si="132"/>
        <v>0</v>
      </c>
      <c r="C326" s="120" t="str">
        <f t="shared" si="133"/>
        <v/>
      </c>
      <c r="D326" s="137"/>
      <c r="E326" s="150" t="str">
        <f>工種!A63</f>
        <v>80105</v>
      </c>
      <c r="F326" s="119" t="str">
        <f>工種!B63</f>
        <v>保守／ｻﾎﾟｰﾄ：ｲﾝﾄﾗ資料更新</v>
      </c>
      <c r="G326" s="116" t="str">
        <f t="shared" ref="G326:G343" si="135">B326&amp;E326</f>
        <v>080105</v>
      </c>
      <c r="H326" s="88">
        <f t="shared" ref="H326:H327" si="136">SUM(J326:AY326)</f>
        <v>0</v>
      </c>
      <c r="I326" s="132"/>
      <c r="J326" s="88">
        <f>SUMIF(月間集計シート!$M$29:$M$48,$G326,月間集計シート!N$29:N$48)*J$2</f>
        <v>0</v>
      </c>
      <c r="K326" s="88">
        <f>SUMIF(月間集計シート!$M$29:$M$48,$G326,月間集計シート!O$29:O$48)*K$2</f>
        <v>0</v>
      </c>
      <c r="L326" s="88">
        <f>SUMIF(月間集計シート!$M$29:$M$48,$G326,月間集計シート!P$29:P$48)*L$2</f>
        <v>0</v>
      </c>
      <c r="M326" s="88">
        <f>SUMIF(月間集計シート!$M$29:$M$48,$G326,月間集計シート!Q$29:Q$48)*M$2</f>
        <v>0</v>
      </c>
      <c r="N326" s="88">
        <f>SUMIF(月間集計シート!$M$29:$M$48,$G326,月間集計シート!R$29:R$48)*N$2</f>
        <v>0</v>
      </c>
      <c r="O326" s="88">
        <f>SUMIF(月間集計シート!$M$29:$M$48,$G326,月間集計シート!S$29:S$48)*O$2</f>
        <v>0</v>
      </c>
      <c r="P326" s="88">
        <f>SUMIF(月間集計シート!$M$29:$M$48,$G326,月間集計シート!T$29:T$48)*P$2</f>
        <v>0</v>
      </c>
      <c r="Q326" s="88">
        <f>SUMIF(月間集計シート!$M$50:$M$69,$G326,月間集計シート!N$50:N$69)*Q$2</f>
        <v>0</v>
      </c>
      <c r="R326" s="88">
        <f>SUMIF(月間集計シート!$M$50:$M$69,$G326,月間集計シート!O$50:O$69)*R$2</f>
        <v>0</v>
      </c>
      <c r="S326" s="88">
        <f>SUMIF(月間集計シート!$M$50:$M$69,$G326,月間集計シート!P$50:P$69)*S$2</f>
        <v>0</v>
      </c>
      <c r="T326" s="88">
        <f>SUMIF(月間集計シート!$M$50:$M$69,$G326,月間集計シート!Q$50:Q$69)*T$2</f>
        <v>0</v>
      </c>
      <c r="U326" s="88">
        <f>SUMIF(月間集計シート!$M$50:$M$69,$G326,月間集計シート!R$50:R$69)*U$2</f>
        <v>0</v>
      </c>
      <c r="V326" s="88">
        <f>SUMIF(月間集計シート!$M$50:$M$69,$G326,月間集計シート!S$50:S$69)*V$2</f>
        <v>0</v>
      </c>
      <c r="W326" s="88">
        <f>SUMIF(月間集計シート!$M$50:$M$69,$G326,月間集計シート!T$50:T$69)*W$2</f>
        <v>0</v>
      </c>
      <c r="X326" s="88">
        <f>SUMIF(月間集計シート!$M$71:$M$90,$G326,月間集計シート!N$71:N$90)*X$2</f>
        <v>0</v>
      </c>
      <c r="Y326" s="88">
        <f>SUMIF(月間集計シート!$M$71:$M$90,$G326,月間集計シート!O$71:O$90)*Y$2</f>
        <v>0</v>
      </c>
      <c r="Z326" s="88">
        <f>SUMIF(月間集計シート!$M$71:$M$90,$G326,月間集計シート!P$71:P$90)*Z$2</f>
        <v>0</v>
      </c>
      <c r="AA326" s="88">
        <f>SUMIF(月間集計シート!$M$71:$M$90,$G326,月間集計シート!Q$71:Q$90)*AA$2</f>
        <v>0</v>
      </c>
      <c r="AB326" s="88">
        <f>SUMIF(月間集計シート!$M$71:$M$90,$G326,月間集計シート!R$71:R$90)*AB$2</f>
        <v>0</v>
      </c>
      <c r="AC326" s="88">
        <f>SUMIF(月間集計シート!$M$71:$M$90,$G326,月間集計シート!S$71:S$90)*AC$2</f>
        <v>0</v>
      </c>
      <c r="AD326" s="88">
        <f>SUMIF(月間集計シート!$M$71:$M$90,$G326,月間集計シート!T$71:T$90)*AD$2</f>
        <v>0</v>
      </c>
      <c r="AE326" s="88">
        <f>SUMIF(月間集計シート!$M$92:$M$111,$G326,月間集計シート!N$92:N$111)*AE$2</f>
        <v>0</v>
      </c>
      <c r="AF326" s="88">
        <f>SUMIF(月間集計シート!$M$92:$M$111,$G326,月間集計シート!O$92:O$111)*AF$2</f>
        <v>0</v>
      </c>
      <c r="AG326" s="88">
        <f>SUMIF(月間集計シート!$M$92:$M$111,$G326,月間集計シート!P$92:P$111)*AG$2</f>
        <v>0</v>
      </c>
      <c r="AH326" s="88">
        <f>SUMIF(月間集計シート!$M$92:$M$111,$G326,月間集計シート!Q$92:Q$111)*AH$2</f>
        <v>0</v>
      </c>
      <c r="AI326" s="88">
        <f>SUMIF(月間集計シート!$M$92:$M$111,$G326,月間集計シート!R$92:R$111)*AI$2</f>
        <v>0</v>
      </c>
      <c r="AJ326" s="88">
        <f>SUMIF(月間集計シート!$M$92:$M$111,$G326,月間集計シート!S$92:S$111)*AJ$2</f>
        <v>0</v>
      </c>
      <c r="AK326" s="88">
        <f>SUMIF(月間集計シート!$M$92:$M$111,$G326,月間集計シート!T$92:T$111)*AK$2</f>
        <v>0</v>
      </c>
      <c r="AL326" s="88">
        <f>SUMIF(月間集計シート!$M$113:$M$132,$G326,月間集計シート!N$113:N$132)*AL$2</f>
        <v>0</v>
      </c>
      <c r="AM326" s="88">
        <f>SUMIF(月間集計シート!$M$113:$M$132,$G326,月間集計シート!O$113:O$132)*AM$2</f>
        <v>0</v>
      </c>
      <c r="AN326" s="88">
        <f>SUMIF(月間集計シート!$M$113:$M$132,$G326,月間集計シート!P$113:P$132)*AN$2</f>
        <v>0</v>
      </c>
      <c r="AO326" s="88">
        <f>SUMIF(月間集計シート!$M$113:$M$132,$G326,月間集計シート!Q$113:Q$132)*AO$2</f>
        <v>0</v>
      </c>
      <c r="AP326" s="88">
        <f>SUMIF(月間集計シート!$M$113:$M$132,$G326,月間集計シート!R$113:R$132)*AP$2</f>
        <v>0</v>
      </c>
      <c r="AQ326" s="88">
        <f>SUMIF(月間集計シート!$M$113:$M$132,$G326,月間集計シート!S$113:S$132)*AQ$2</f>
        <v>0</v>
      </c>
      <c r="AR326" s="88">
        <f>SUMIF(月間集計シート!$M$113:$M$132,$G326,月間集計シート!T$113:T$132)*AR$2</f>
        <v>0</v>
      </c>
      <c r="AS326" s="88">
        <f>SUMIF(月間集計シート!$M$134:$M$153,$G326,月間集計シート!N$134:N$153)*AS$2</f>
        <v>0</v>
      </c>
      <c r="AT326" s="88">
        <f>SUMIF(月間集計シート!$M$134:$M$153,$G326,月間集計シート!O$134:O$153)*AT$2</f>
        <v>0</v>
      </c>
      <c r="AU326" s="88">
        <f>SUMIF(月間集計シート!$M$134:$M$153,$G326,月間集計シート!P$134:P$153)*AU$2</f>
        <v>0</v>
      </c>
      <c r="AV326" s="88">
        <f>SUMIF(月間集計シート!$M$134:$M$153,$G326,月間集計シート!Q$134:Q$153)*AV$2</f>
        <v>0</v>
      </c>
      <c r="AW326" s="88">
        <f>SUMIF(月間集計シート!$M$134:$M$153,$G326,月間集計シート!R$134:R$153)*AW$2</f>
        <v>0</v>
      </c>
      <c r="AX326" s="88">
        <f>SUMIF(月間集計シート!$M$134:$M$153,$G326,月間集計シート!S$134:S$153)*AX$2</f>
        <v>0</v>
      </c>
      <c r="AY326" s="88">
        <f>SUMIF(月間集計シート!$M$134:$M$153,$G326,月間集計シート!T$134:T$153)*AY$2</f>
        <v>0</v>
      </c>
    </row>
    <row r="327" spans="1:51" ht="14.25" thickBot="1">
      <c r="A327">
        <v>4</v>
      </c>
      <c r="B327" s="120">
        <f t="shared" si="132"/>
        <v>0</v>
      </c>
      <c r="C327" s="120" t="str">
        <f t="shared" si="133"/>
        <v/>
      </c>
      <c r="D327" s="137"/>
      <c r="E327" s="150" t="str">
        <f>工種!A64</f>
        <v>80106</v>
      </c>
      <c r="F327" s="119" t="str">
        <f>工種!B64</f>
        <v>保守／ｻﾎﾟｰﾄ：打合せ</v>
      </c>
      <c r="G327" s="116" t="str">
        <f t="shared" si="135"/>
        <v>080106</v>
      </c>
      <c r="H327" s="88">
        <f t="shared" si="136"/>
        <v>0</v>
      </c>
      <c r="I327" s="132"/>
      <c r="J327" s="88">
        <f>SUMIF(月間集計シート!$M$29:$M$48,$G327,月間集計シート!N$29:N$48)*J$2</f>
        <v>0</v>
      </c>
      <c r="K327" s="88">
        <f>SUMIF(月間集計シート!$M$29:$M$48,$G327,月間集計シート!O$29:O$48)*K$2</f>
        <v>0</v>
      </c>
      <c r="L327" s="88">
        <f>SUMIF(月間集計シート!$M$29:$M$48,$G327,月間集計シート!P$29:P$48)*L$2</f>
        <v>0</v>
      </c>
      <c r="M327" s="88">
        <f>SUMIF(月間集計シート!$M$29:$M$48,$G327,月間集計シート!Q$29:Q$48)*M$2</f>
        <v>0</v>
      </c>
      <c r="N327" s="88">
        <f>SUMIF(月間集計シート!$M$29:$M$48,$G327,月間集計シート!R$29:R$48)*N$2</f>
        <v>0</v>
      </c>
      <c r="O327" s="88">
        <f>SUMIF(月間集計シート!$M$29:$M$48,$G327,月間集計シート!S$29:S$48)*O$2</f>
        <v>0</v>
      </c>
      <c r="P327" s="88">
        <f>SUMIF(月間集計シート!$M$29:$M$48,$G327,月間集計シート!T$29:T$48)*P$2</f>
        <v>0</v>
      </c>
      <c r="Q327" s="88">
        <f>SUMIF(月間集計シート!$M$50:$M$69,$G327,月間集計シート!N$50:N$69)*Q$2</f>
        <v>0</v>
      </c>
      <c r="R327" s="88">
        <f>SUMIF(月間集計シート!$M$50:$M$69,$G327,月間集計シート!O$50:O$69)*R$2</f>
        <v>0</v>
      </c>
      <c r="S327" s="88">
        <f>SUMIF(月間集計シート!$M$50:$M$69,$G327,月間集計シート!P$50:P$69)*S$2</f>
        <v>0</v>
      </c>
      <c r="T327" s="88">
        <f>SUMIF(月間集計シート!$M$50:$M$69,$G327,月間集計シート!Q$50:Q$69)*T$2</f>
        <v>0</v>
      </c>
      <c r="U327" s="88">
        <f>SUMIF(月間集計シート!$M$50:$M$69,$G327,月間集計シート!R$50:R$69)*U$2</f>
        <v>0</v>
      </c>
      <c r="V327" s="88">
        <f>SUMIF(月間集計シート!$M$50:$M$69,$G327,月間集計シート!S$50:S$69)*V$2</f>
        <v>0</v>
      </c>
      <c r="W327" s="88">
        <f>SUMIF(月間集計シート!$M$50:$M$69,$G327,月間集計シート!T$50:T$69)*W$2</f>
        <v>0</v>
      </c>
      <c r="X327" s="88">
        <f>SUMIF(月間集計シート!$M$71:$M$90,$G327,月間集計シート!N$71:N$90)*X$2</f>
        <v>0</v>
      </c>
      <c r="Y327" s="88">
        <f>SUMIF(月間集計シート!$M$71:$M$90,$G327,月間集計シート!O$71:O$90)*Y$2</f>
        <v>0</v>
      </c>
      <c r="Z327" s="88">
        <f>SUMIF(月間集計シート!$M$71:$M$90,$G327,月間集計シート!P$71:P$90)*Z$2</f>
        <v>0</v>
      </c>
      <c r="AA327" s="88">
        <f>SUMIF(月間集計シート!$M$71:$M$90,$G327,月間集計シート!Q$71:Q$90)*AA$2</f>
        <v>0</v>
      </c>
      <c r="AB327" s="88">
        <f>SUMIF(月間集計シート!$M$71:$M$90,$G327,月間集計シート!R$71:R$90)*AB$2</f>
        <v>0</v>
      </c>
      <c r="AC327" s="88">
        <f>SUMIF(月間集計シート!$M$71:$M$90,$G327,月間集計シート!S$71:S$90)*AC$2</f>
        <v>0</v>
      </c>
      <c r="AD327" s="88">
        <f>SUMIF(月間集計シート!$M$71:$M$90,$G327,月間集計シート!T$71:T$90)*AD$2</f>
        <v>0</v>
      </c>
      <c r="AE327" s="88">
        <f>SUMIF(月間集計シート!$M$92:$M$111,$G327,月間集計シート!N$92:N$111)*AE$2</f>
        <v>0</v>
      </c>
      <c r="AF327" s="88">
        <f>SUMIF(月間集計シート!$M$92:$M$111,$G327,月間集計シート!O$92:O$111)*AF$2</f>
        <v>0</v>
      </c>
      <c r="AG327" s="88">
        <f>SUMIF(月間集計シート!$M$92:$M$111,$G327,月間集計シート!P$92:P$111)*AG$2</f>
        <v>0</v>
      </c>
      <c r="AH327" s="88">
        <f>SUMIF(月間集計シート!$M$92:$M$111,$G327,月間集計シート!Q$92:Q$111)*AH$2</f>
        <v>0</v>
      </c>
      <c r="AI327" s="88">
        <f>SUMIF(月間集計シート!$M$92:$M$111,$G327,月間集計シート!R$92:R$111)*AI$2</f>
        <v>0</v>
      </c>
      <c r="AJ327" s="88">
        <f>SUMIF(月間集計シート!$M$92:$M$111,$G327,月間集計シート!S$92:S$111)*AJ$2</f>
        <v>0</v>
      </c>
      <c r="AK327" s="88">
        <f>SUMIF(月間集計シート!$M$92:$M$111,$G327,月間集計シート!T$92:T$111)*AK$2</f>
        <v>0</v>
      </c>
      <c r="AL327" s="88">
        <f>SUMIF(月間集計シート!$M$113:$M$132,$G327,月間集計シート!N$113:N$132)*AL$2</f>
        <v>0</v>
      </c>
      <c r="AM327" s="88">
        <f>SUMIF(月間集計シート!$M$113:$M$132,$G327,月間集計シート!O$113:O$132)*AM$2</f>
        <v>0</v>
      </c>
      <c r="AN327" s="88">
        <f>SUMIF(月間集計シート!$M$113:$M$132,$G327,月間集計シート!P$113:P$132)*AN$2</f>
        <v>0</v>
      </c>
      <c r="AO327" s="88">
        <f>SUMIF(月間集計シート!$M$113:$M$132,$G327,月間集計シート!Q$113:Q$132)*AO$2</f>
        <v>0</v>
      </c>
      <c r="AP327" s="88">
        <f>SUMIF(月間集計シート!$M$113:$M$132,$G327,月間集計シート!R$113:R$132)*AP$2</f>
        <v>0</v>
      </c>
      <c r="AQ327" s="88">
        <f>SUMIF(月間集計シート!$M$113:$M$132,$G327,月間集計シート!S$113:S$132)*AQ$2</f>
        <v>0</v>
      </c>
      <c r="AR327" s="88">
        <f>SUMIF(月間集計シート!$M$113:$M$132,$G327,月間集計シート!T$113:T$132)*AR$2</f>
        <v>0</v>
      </c>
      <c r="AS327" s="88">
        <f>SUMIF(月間集計シート!$M$134:$M$153,$G327,月間集計シート!N$134:N$153)*AS$2</f>
        <v>0</v>
      </c>
      <c r="AT327" s="88">
        <f>SUMIF(月間集計シート!$M$134:$M$153,$G327,月間集計シート!O$134:O$153)*AT$2</f>
        <v>0</v>
      </c>
      <c r="AU327" s="88">
        <f>SUMIF(月間集計シート!$M$134:$M$153,$G327,月間集計シート!P$134:P$153)*AU$2</f>
        <v>0</v>
      </c>
      <c r="AV327" s="88">
        <f>SUMIF(月間集計シート!$M$134:$M$153,$G327,月間集計シート!Q$134:Q$153)*AV$2</f>
        <v>0</v>
      </c>
      <c r="AW327" s="88">
        <f>SUMIF(月間集計シート!$M$134:$M$153,$G327,月間集計シート!R$134:R$153)*AW$2</f>
        <v>0</v>
      </c>
      <c r="AX327" s="88">
        <f>SUMIF(月間集計シート!$M$134:$M$153,$G327,月間集計シート!S$134:S$153)*AX$2</f>
        <v>0</v>
      </c>
      <c r="AY327" s="88">
        <f>SUMIF(月間集計シート!$M$134:$M$153,$G327,月間集計シート!T$134:T$153)*AY$2</f>
        <v>0</v>
      </c>
    </row>
    <row r="328" spans="1:51" ht="14.25" thickBot="1">
      <c r="A328">
        <v>4</v>
      </c>
      <c r="B328" s="120">
        <f t="shared" si="132"/>
        <v>0</v>
      </c>
      <c r="C328" s="120" t="str">
        <f t="shared" si="133"/>
        <v/>
      </c>
      <c r="D328" s="137"/>
      <c r="E328" s="150" t="str">
        <f>工種!A65</f>
        <v>80107</v>
      </c>
      <c r="F328" s="119" t="str">
        <f>工種!B65</f>
        <v>保守／ｻﾎﾟｰﾄ：ﾚﾋﾞｭｰ</v>
      </c>
      <c r="G328" s="116" t="str">
        <f t="shared" si="135"/>
        <v>080107</v>
      </c>
      <c r="H328" s="88">
        <f t="shared" ref="H328:H343" si="137">SUM(J328:AY328)</f>
        <v>0</v>
      </c>
      <c r="I328" s="132"/>
      <c r="J328" s="88">
        <f>SUMIF(月間集計シート!$M$29:$M$48,$G328,月間集計シート!N$29:N$48)*J$2</f>
        <v>0</v>
      </c>
      <c r="K328" s="88">
        <f>SUMIF(月間集計シート!$M$29:$M$48,$G328,月間集計シート!O$29:O$48)*K$2</f>
        <v>0</v>
      </c>
      <c r="L328" s="88">
        <f>SUMIF(月間集計シート!$M$29:$M$48,$G328,月間集計シート!P$29:P$48)*L$2</f>
        <v>0</v>
      </c>
      <c r="M328" s="88">
        <f>SUMIF(月間集計シート!$M$29:$M$48,$G328,月間集計シート!Q$29:Q$48)*M$2</f>
        <v>0</v>
      </c>
      <c r="N328" s="88">
        <f>SUMIF(月間集計シート!$M$29:$M$48,$G328,月間集計シート!R$29:R$48)*N$2</f>
        <v>0</v>
      </c>
      <c r="O328" s="88">
        <f>SUMIF(月間集計シート!$M$29:$M$48,$G328,月間集計シート!S$29:S$48)*O$2</f>
        <v>0</v>
      </c>
      <c r="P328" s="88">
        <f>SUMIF(月間集計シート!$M$29:$M$48,$G328,月間集計シート!T$29:T$48)*P$2</f>
        <v>0</v>
      </c>
      <c r="Q328" s="88">
        <f>SUMIF(月間集計シート!$M$50:$M$69,$G328,月間集計シート!N$50:N$69)*Q$2</f>
        <v>0</v>
      </c>
      <c r="R328" s="88">
        <f>SUMIF(月間集計シート!$M$50:$M$69,$G328,月間集計シート!O$50:O$69)*R$2</f>
        <v>0</v>
      </c>
      <c r="S328" s="88">
        <f>SUMIF(月間集計シート!$M$50:$M$69,$G328,月間集計シート!P$50:P$69)*S$2</f>
        <v>0</v>
      </c>
      <c r="T328" s="88">
        <f>SUMIF(月間集計シート!$M$50:$M$69,$G328,月間集計シート!Q$50:Q$69)*T$2</f>
        <v>0</v>
      </c>
      <c r="U328" s="88">
        <f>SUMIF(月間集計シート!$M$50:$M$69,$G328,月間集計シート!R$50:R$69)*U$2</f>
        <v>0</v>
      </c>
      <c r="V328" s="88">
        <f>SUMIF(月間集計シート!$M$50:$M$69,$G328,月間集計シート!S$50:S$69)*V$2</f>
        <v>0</v>
      </c>
      <c r="W328" s="88">
        <f>SUMIF(月間集計シート!$M$50:$M$69,$G328,月間集計シート!T$50:T$69)*W$2</f>
        <v>0</v>
      </c>
      <c r="X328" s="88">
        <f>SUMIF(月間集計シート!$M$71:$M$90,$G328,月間集計シート!N$71:N$90)*X$2</f>
        <v>0</v>
      </c>
      <c r="Y328" s="88">
        <f>SUMIF(月間集計シート!$M$71:$M$90,$G328,月間集計シート!O$71:O$90)*Y$2</f>
        <v>0</v>
      </c>
      <c r="Z328" s="88">
        <f>SUMIF(月間集計シート!$M$71:$M$90,$G328,月間集計シート!P$71:P$90)*Z$2</f>
        <v>0</v>
      </c>
      <c r="AA328" s="88">
        <f>SUMIF(月間集計シート!$M$71:$M$90,$G328,月間集計シート!Q$71:Q$90)*AA$2</f>
        <v>0</v>
      </c>
      <c r="AB328" s="88">
        <f>SUMIF(月間集計シート!$M$71:$M$90,$G328,月間集計シート!R$71:R$90)*AB$2</f>
        <v>0</v>
      </c>
      <c r="AC328" s="88">
        <f>SUMIF(月間集計シート!$M$71:$M$90,$G328,月間集計シート!S$71:S$90)*AC$2</f>
        <v>0</v>
      </c>
      <c r="AD328" s="88">
        <f>SUMIF(月間集計シート!$M$71:$M$90,$G328,月間集計シート!T$71:T$90)*AD$2</f>
        <v>0</v>
      </c>
      <c r="AE328" s="88">
        <f>SUMIF(月間集計シート!$M$92:$M$111,$G328,月間集計シート!N$92:N$111)*AE$2</f>
        <v>0</v>
      </c>
      <c r="AF328" s="88">
        <f>SUMIF(月間集計シート!$M$92:$M$111,$G328,月間集計シート!O$92:O$111)*AF$2</f>
        <v>0</v>
      </c>
      <c r="AG328" s="88">
        <f>SUMIF(月間集計シート!$M$92:$M$111,$G328,月間集計シート!P$92:P$111)*AG$2</f>
        <v>0</v>
      </c>
      <c r="AH328" s="88">
        <f>SUMIF(月間集計シート!$M$92:$M$111,$G328,月間集計シート!Q$92:Q$111)*AH$2</f>
        <v>0</v>
      </c>
      <c r="AI328" s="88">
        <f>SUMIF(月間集計シート!$M$92:$M$111,$G328,月間集計シート!R$92:R$111)*AI$2</f>
        <v>0</v>
      </c>
      <c r="AJ328" s="88">
        <f>SUMIF(月間集計シート!$M$92:$M$111,$G328,月間集計シート!S$92:S$111)*AJ$2</f>
        <v>0</v>
      </c>
      <c r="AK328" s="88">
        <f>SUMIF(月間集計シート!$M$92:$M$111,$G328,月間集計シート!T$92:T$111)*AK$2</f>
        <v>0</v>
      </c>
      <c r="AL328" s="88">
        <f>SUMIF(月間集計シート!$M$113:$M$132,$G328,月間集計シート!N$113:N$132)*AL$2</f>
        <v>0</v>
      </c>
      <c r="AM328" s="88">
        <f>SUMIF(月間集計シート!$M$113:$M$132,$G328,月間集計シート!O$113:O$132)*AM$2</f>
        <v>0</v>
      </c>
      <c r="AN328" s="88">
        <f>SUMIF(月間集計シート!$M$113:$M$132,$G328,月間集計シート!P$113:P$132)*AN$2</f>
        <v>0</v>
      </c>
      <c r="AO328" s="88">
        <f>SUMIF(月間集計シート!$M$113:$M$132,$G328,月間集計シート!Q$113:Q$132)*AO$2</f>
        <v>0</v>
      </c>
      <c r="AP328" s="88">
        <f>SUMIF(月間集計シート!$M$113:$M$132,$G328,月間集計シート!R$113:R$132)*AP$2</f>
        <v>0</v>
      </c>
      <c r="AQ328" s="88">
        <f>SUMIF(月間集計シート!$M$113:$M$132,$G328,月間集計シート!S$113:S$132)*AQ$2</f>
        <v>0</v>
      </c>
      <c r="AR328" s="88">
        <f>SUMIF(月間集計シート!$M$113:$M$132,$G328,月間集計シート!T$113:T$132)*AR$2</f>
        <v>0</v>
      </c>
      <c r="AS328" s="88">
        <f>SUMIF(月間集計シート!$M$134:$M$153,$G328,月間集計シート!N$134:N$153)*AS$2</f>
        <v>0</v>
      </c>
      <c r="AT328" s="88">
        <f>SUMIF(月間集計シート!$M$134:$M$153,$G328,月間集計シート!O$134:O$153)*AT$2</f>
        <v>0</v>
      </c>
      <c r="AU328" s="88">
        <f>SUMIF(月間集計シート!$M$134:$M$153,$G328,月間集計シート!P$134:P$153)*AU$2</f>
        <v>0</v>
      </c>
      <c r="AV328" s="88">
        <f>SUMIF(月間集計シート!$M$134:$M$153,$G328,月間集計シート!Q$134:Q$153)*AV$2</f>
        <v>0</v>
      </c>
      <c r="AW328" s="88">
        <f>SUMIF(月間集計シート!$M$134:$M$153,$G328,月間集計シート!R$134:R$153)*AW$2</f>
        <v>0</v>
      </c>
      <c r="AX328" s="88">
        <f>SUMIF(月間集計シート!$M$134:$M$153,$G328,月間集計シート!S$134:S$153)*AX$2</f>
        <v>0</v>
      </c>
      <c r="AY328" s="88">
        <f>SUMIF(月間集計シート!$M$134:$M$153,$G328,月間集計シート!T$134:T$153)*AY$2</f>
        <v>0</v>
      </c>
    </row>
    <row r="329" spans="1:51" ht="14.25" thickBot="1">
      <c r="A329">
        <v>4</v>
      </c>
      <c r="B329" s="120">
        <f t="shared" si="132"/>
        <v>0</v>
      </c>
      <c r="C329" s="120" t="str">
        <f t="shared" si="133"/>
        <v/>
      </c>
      <c r="D329" s="137"/>
      <c r="E329" s="150" t="str">
        <f>工種!A66</f>
        <v>80199</v>
      </c>
      <c r="F329" s="119" t="str">
        <f>工種!B66</f>
        <v>保守／ｻﾎﾟｰﾄ：その他</v>
      </c>
      <c r="G329" s="116" t="str">
        <f t="shared" si="135"/>
        <v>080199</v>
      </c>
      <c r="H329" s="88">
        <f t="shared" si="137"/>
        <v>0</v>
      </c>
      <c r="I329" s="132"/>
      <c r="J329" s="88">
        <f>SUMIF(月間集計シート!$M$29:$M$48,$G329,月間集計シート!N$29:N$48)*J$2</f>
        <v>0</v>
      </c>
      <c r="K329" s="88">
        <f>SUMIF(月間集計シート!$M$29:$M$48,$G329,月間集計シート!O$29:O$48)*K$2</f>
        <v>0</v>
      </c>
      <c r="L329" s="88">
        <f>SUMIF(月間集計シート!$M$29:$M$48,$G329,月間集計シート!P$29:P$48)*L$2</f>
        <v>0</v>
      </c>
      <c r="M329" s="88">
        <f>SUMIF(月間集計シート!$M$29:$M$48,$G329,月間集計シート!Q$29:Q$48)*M$2</f>
        <v>0</v>
      </c>
      <c r="N329" s="88">
        <f>SUMIF(月間集計シート!$M$29:$M$48,$G329,月間集計シート!R$29:R$48)*N$2</f>
        <v>0</v>
      </c>
      <c r="O329" s="88">
        <f>SUMIF(月間集計シート!$M$29:$M$48,$G329,月間集計シート!S$29:S$48)*O$2</f>
        <v>0</v>
      </c>
      <c r="P329" s="88">
        <f>SUMIF(月間集計シート!$M$29:$M$48,$G329,月間集計シート!T$29:T$48)*P$2</f>
        <v>0</v>
      </c>
      <c r="Q329" s="88">
        <f>SUMIF(月間集計シート!$M$50:$M$69,$G329,月間集計シート!N$50:N$69)*Q$2</f>
        <v>0</v>
      </c>
      <c r="R329" s="88">
        <f>SUMIF(月間集計シート!$M$50:$M$69,$G329,月間集計シート!O$50:O$69)*R$2</f>
        <v>0</v>
      </c>
      <c r="S329" s="88">
        <f>SUMIF(月間集計シート!$M$50:$M$69,$G329,月間集計シート!P$50:P$69)*S$2</f>
        <v>0</v>
      </c>
      <c r="T329" s="88">
        <f>SUMIF(月間集計シート!$M$50:$M$69,$G329,月間集計シート!Q$50:Q$69)*T$2</f>
        <v>0</v>
      </c>
      <c r="U329" s="88">
        <f>SUMIF(月間集計シート!$M$50:$M$69,$G329,月間集計シート!R$50:R$69)*U$2</f>
        <v>0</v>
      </c>
      <c r="V329" s="88">
        <f>SUMIF(月間集計シート!$M$50:$M$69,$G329,月間集計シート!S$50:S$69)*V$2</f>
        <v>0</v>
      </c>
      <c r="W329" s="88">
        <f>SUMIF(月間集計シート!$M$50:$M$69,$G329,月間集計シート!T$50:T$69)*W$2</f>
        <v>0</v>
      </c>
      <c r="X329" s="88">
        <f>SUMIF(月間集計シート!$M$71:$M$90,$G329,月間集計シート!N$71:N$90)*X$2</f>
        <v>0</v>
      </c>
      <c r="Y329" s="88">
        <f>SUMIF(月間集計シート!$M$71:$M$90,$G329,月間集計シート!O$71:O$90)*Y$2</f>
        <v>0</v>
      </c>
      <c r="Z329" s="88">
        <f>SUMIF(月間集計シート!$M$71:$M$90,$G329,月間集計シート!P$71:P$90)*Z$2</f>
        <v>0</v>
      </c>
      <c r="AA329" s="88">
        <f>SUMIF(月間集計シート!$M$71:$M$90,$G329,月間集計シート!Q$71:Q$90)*AA$2</f>
        <v>0</v>
      </c>
      <c r="AB329" s="88">
        <f>SUMIF(月間集計シート!$M$71:$M$90,$G329,月間集計シート!R$71:R$90)*AB$2</f>
        <v>0</v>
      </c>
      <c r="AC329" s="88">
        <f>SUMIF(月間集計シート!$M$71:$M$90,$G329,月間集計シート!S$71:S$90)*AC$2</f>
        <v>0</v>
      </c>
      <c r="AD329" s="88">
        <f>SUMIF(月間集計シート!$M$71:$M$90,$G329,月間集計シート!T$71:T$90)*AD$2</f>
        <v>0</v>
      </c>
      <c r="AE329" s="88">
        <f>SUMIF(月間集計シート!$M$92:$M$111,$G329,月間集計シート!N$92:N$111)*AE$2</f>
        <v>0</v>
      </c>
      <c r="AF329" s="88">
        <f>SUMIF(月間集計シート!$M$92:$M$111,$G329,月間集計シート!O$92:O$111)*AF$2</f>
        <v>0</v>
      </c>
      <c r="AG329" s="88">
        <f>SUMIF(月間集計シート!$M$92:$M$111,$G329,月間集計シート!P$92:P$111)*AG$2</f>
        <v>0</v>
      </c>
      <c r="AH329" s="88">
        <f>SUMIF(月間集計シート!$M$92:$M$111,$G329,月間集計シート!Q$92:Q$111)*AH$2</f>
        <v>0</v>
      </c>
      <c r="AI329" s="88">
        <f>SUMIF(月間集計シート!$M$92:$M$111,$G329,月間集計シート!R$92:R$111)*AI$2</f>
        <v>0</v>
      </c>
      <c r="AJ329" s="88">
        <f>SUMIF(月間集計シート!$M$92:$M$111,$G329,月間集計シート!S$92:S$111)*AJ$2</f>
        <v>0</v>
      </c>
      <c r="AK329" s="88">
        <f>SUMIF(月間集計シート!$M$92:$M$111,$G329,月間集計シート!T$92:T$111)*AK$2</f>
        <v>0</v>
      </c>
      <c r="AL329" s="88">
        <f>SUMIF(月間集計シート!$M$113:$M$132,$G329,月間集計シート!N$113:N$132)*AL$2</f>
        <v>0</v>
      </c>
      <c r="AM329" s="88">
        <f>SUMIF(月間集計シート!$M$113:$M$132,$G329,月間集計シート!O$113:O$132)*AM$2</f>
        <v>0</v>
      </c>
      <c r="AN329" s="88">
        <f>SUMIF(月間集計シート!$M$113:$M$132,$G329,月間集計シート!P$113:P$132)*AN$2</f>
        <v>0</v>
      </c>
      <c r="AO329" s="88">
        <f>SUMIF(月間集計シート!$M$113:$M$132,$G329,月間集計シート!Q$113:Q$132)*AO$2</f>
        <v>0</v>
      </c>
      <c r="AP329" s="88">
        <f>SUMIF(月間集計シート!$M$113:$M$132,$G329,月間集計シート!R$113:R$132)*AP$2</f>
        <v>0</v>
      </c>
      <c r="AQ329" s="88">
        <f>SUMIF(月間集計シート!$M$113:$M$132,$G329,月間集計シート!S$113:S$132)*AQ$2</f>
        <v>0</v>
      </c>
      <c r="AR329" s="88">
        <f>SUMIF(月間集計シート!$M$113:$M$132,$G329,月間集計シート!T$113:T$132)*AR$2</f>
        <v>0</v>
      </c>
      <c r="AS329" s="88">
        <f>SUMIF(月間集計シート!$M$134:$M$153,$G329,月間集計シート!N$134:N$153)*AS$2</f>
        <v>0</v>
      </c>
      <c r="AT329" s="88">
        <f>SUMIF(月間集計シート!$M$134:$M$153,$G329,月間集計シート!O$134:O$153)*AT$2</f>
        <v>0</v>
      </c>
      <c r="AU329" s="88">
        <f>SUMIF(月間集計シート!$M$134:$M$153,$G329,月間集計シート!P$134:P$153)*AU$2</f>
        <v>0</v>
      </c>
      <c r="AV329" s="88">
        <f>SUMIF(月間集計シート!$M$134:$M$153,$G329,月間集計シート!Q$134:Q$153)*AV$2</f>
        <v>0</v>
      </c>
      <c r="AW329" s="88">
        <f>SUMIF(月間集計シート!$M$134:$M$153,$G329,月間集計シート!R$134:R$153)*AW$2</f>
        <v>0</v>
      </c>
      <c r="AX329" s="88">
        <f>SUMIF(月間集計シート!$M$134:$M$153,$G329,月間集計シート!S$134:S$153)*AX$2</f>
        <v>0</v>
      </c>
      <c r="AY329" s="88">
        <f>SUMIF(月間集計シート!$M$134:$M$153,$G329,月間集計シート!T$134:T$153)*AY$2</f>
        <v>0</v>
      </c>
    </row>
    <row r="330" spans="1:51" ht="14.25" thickBot="1">
      <c r="A330">
        <v>4</v>
      </c>
      <c r="B330" s="120">
        <f t="shared" ref="B330:C346" si="138">B329</f>
        <v>0</v>
      </c>
      <c r="C330" s="120" t="str">
        <f t="shared" si="138"/>
        <v/>
      </c>
      <c r="D330" s="137"/>
      <c r="E330" s="150" t="str">
        <f>工種!A67</f>
        <v>90101</v>
      </c>
      <c r="F330" s="119" t="str">
        <f>工種!B67</f>
        <v>管理業務：ﾌﾟﾛｼﾞｪｸﾄ管理</v>
      </c>
      <c r="G330" s="116" t="str">
        <f t="shared" si="135"/>
        <v>090101</v>
      </c>
      <c r="H330" s="88">
        <f t="shared" si="137"/>
        <v>0</v>
      </c>
      <c r="I330" s="132"/>
      <c r="J330" s="88">
        <f>SUMIF(月間集計シート!$M$29:$M$48,$G330,月間集計シート!N$29:N$48)*J$2</f>
        <v>0</v>
      </c>
      <c r="K330" s="88">
        <f>SUMIF(月間集計シート!$M$29:$M$48,$G330,月間集計シート!O$29:O$48)*K$2</f>
        <v>0</v>
      </c>
      <c r="L330" s="88">
        <f>SUMIF(月間集計シート!$M$29:$M$48,$G330,月間集計シート!P$29:P$48)*L$2</f>
        <v>0</v>
      </c>
      <c r="M330" s="88">
        <f>SUMIF(月間集計シート!$M$29:$M$48,$G330,月間集計シート!Q$29:Q$48)*M$2</f>
        <v>0</v>
      </c>
      <c r="N330" s="88">
        <f>SUMIF(月間集計シート!$M$29:$M$48,$G330,月間集計シート!R$29:R$48)*N$2</f>
        <v>0</v>
      </c>
      <c r="O330" s="88">
        <f>SUMIF(月間集計シート!$M$29:$M$48,$G330,月間集計シート!S$29:S$48)*O$2</f>
        <v>0</v>
      </c>
      <c r="P330" s="88">
        <f>SUMIF(月間集計シート!$M$29:$M$48,$G330,月間集計シート!T$29:T$48)*P$2</f>
        <v>0</v>
      </c>
      <c r="Q330" s="88">
        <f>SUMIF(月間集計シート!$M$50:$M$69,$G330,月間集計シート!N$50:N$69)*Q$2</f>
        <v>0</v>
      </c>
      <c r="R330" s="88">
        <f>SUMIF(月間集計シート!$M$50:$M$69,$G330,月間集計シート!O$50:O$69)*R$2</f>
        <v>0</v>
      </c>
      <c r="S330" s="88">
        <f>SUMIF(月間集計シート!$M$50:$M$69,$G330,月間集計シート!P$50:P$69)*S$2</f>
        <v>0</v>
      </c>
      <c r="T330" s="88">
        <f>SUMIF(月間集計シート!$M$50:$M$69,$G330,月間集計シート!Q$50:Q$69)*T$2</f>
        <v>0</v>
      </c>
      <c r="U330" s="88">
        <f>SUMIF(月間集計シート!$M$50:$M$69,$G330,月間集計シート!R$50:R$69)*U$2</f>
        <v>0</v>
      </c>
      <c r="V330" s="88">
        <f>SUMIF(月間集計シート!$M$50:$M$69,$G330,月間集計シート!S$50:S$69)*V$2</f>
        <v>0</v>
      </c>
      <c r="W330" s="88">
        <f>SUMIF(月間集計シート!$M$50:$M$69,$G330,月間集計シート!T$50:T$69)*W$2</f>
        <v>0</v>
      </c>
      <c r="X330" s="88">
        <f>SUMIF(月間集計シート!$M$71:$M$90,$G330,月間集計シート!N$71:N$90)*X$2</f>
        <v>0</v>
      </c>
      <c r="Y330" s="88">
        <f>SUMIF(月間集計シート!$M$71:$M$90,$G330,月間集計シート!O$71:O$90)*Y$2</f>
        <v>0</v>
      </c>
      <c r="Z330" s="88">
        <f>SUMIF(月間集計シート!$M$71:$M$90,$G330,月間集計シート!P$71:P$90)*Z$2</f>
        <v>0</v>
      </c>
      <c r="AA330" s="88">
        <f>SUMIF(月間集計シート!$M$71:$M$90,$G330,月間集計シート!Q$71:Q$90)*AA$2</f>
        <v>0</v>
      </c>
      <c r="AB330" s="88">
        <f>SUMIF(月間集計シート!$M$71:$M$90,$G330,月間集計シート!R$71:R$90)*AB$2</f>
        <v>0</v>
      </c>
      <c r="AC330" s="88">
        <f>SUMIF(月間集計シート!$M$71:$M$90,$G330,月間集計シート!S$71:S$90)*AC$2</f>
        <v>0</v>
      </c>
      <c r="AD330" s="88">
        <f>SUMIF(月間集計シート!$M$71:$M$90,$G330,月間集計シート!T$71:T$90)*AD$2</f>
        <v>0</v>
      </c>
      <c r="AE330" s="88">
        <f>SUMIF(月間集計シート!$M$92:$M$111,$G330,月間集計シート!N$92:N$111)*AE$2</f>
        <v>0</v>
      </c>
      <c r="AF330" s="88">
        <f>SUMIF(月間集計シート!$M$92:$M$111,$G330,月間集計シート!O$92:O$111)*AF$2</f>
        <v>0</v>
      </c>
      <c r="AG330" s="88">
        <f>SUMIF(月間集計シート!$M$92:$M$111,$G330,月間集計シート!P$92:P$111)*AG$2</f>
        <v>0</v>
      </c>
      <c r="AH330" s="88">
        <f>SUMIF(月間集計シート!$M$92:$M$111,$G330,月間集計シート!Q$92:Q$111)*AH$2</f>
        <v>0</v>
      </c>
      <c r="AI330" s="88">
        <f>SUMIF(月間集計シート!$M$92:$M$111,$G330,月間集計シート!R$92:R$111)*AI$2</f>
        <v>0</v>
      </c>
      <c r="AJ330" s="88">
        <f>SUMIF(月間集計シート!$M$92:$M$111,$G330,月間集計シート!S$92:S$111)*AJ$2</f>
        <v>0</v>
      </c>
      <c r="AK330" s="88">
        <f>SUMIF(月間集計シート!$M$92:$M$111,$G330,月間集計シート!T$92:T$111)*AK$2</f>
        <v>0</v>
      </c>
      <c r="AL330" s="88">
        <f>SUMIF(月間集計シート!$M$113:$M$132,$G330,月間集計シート!N$113:N$132)*AL$2</f>
        <v>0</v>
      </c>
      <c r="AM330" s="88">
        <f>SUMIF(月間集計シート!$M$113:$M$132,$G330,月間集計シート!O$113:O$132)*AM$2</f>
        <v>0</v>
      </c>
      <c r="AN330" s="88">
        <f>SUMIF(月間集計シート!$M$113:$M$132,$G330,月間集計シート!P$113:P$132)*AN$2</f>
        <v>0</v>
      </c>
      <c r="AO330" s="88">
        <f>SUMIF(月間集計シート!$M$113:$M$132,$G330,月間集計シート!Q$113:Q$132)*AO$2</f>
        <v>0</v>
      </c>
      <c r="AP330" s="88">
        <f>SUMIF(月間集計シート!$M$113:$M$132,$G330,月間集計シート!R$113:R$132)*AP$2</f>
        <v>0</v>
      </c>
      <c r="AQ330" s="88">
        <f>SUMIF(月間集計シート!$M$113:$M$132,$G330,月間集計シート!S$113:S$132)*AQ$2</f>
        <v>0</v>
      </c>
      <c r="AR330" s="88">
        <f>SUMIF(月間集計シート!$M$113:$M$132,$G330,月間集計シート!T$113:T$132)*AR$2</f>
        <v>0</v>
      </c>
      <c r="AS330" s="88">
        <f>SUMIF(月間集計シート!$M$134:$M$153,$G330,月間集計シート!N$134:N$153)*AS$2</f>
        <v>0</v>
      </c>
      <c r="AT330" s="88">
        <f>SUMIF(月間集計シート!$M$134:$M$153,$G330,月間集計シート!O$134:O$153)*AT$2</f>
        <v>0</v>
      </c>
      <c r="AU330" s="88">
        <f>SUMIF(月間集計シート!$M$134:$M$153,$G330,月間集計シート!P$134:P$153)*AU$2</f>
        <v>0</v>
      </c>
      <c r="AV330" s="88">
        <f>SUMIF(月間集計シート!$M$134:$M$153,$G330,月間集計シート!Q$134:Q$153)*AV$2</f>
        <v>0</v>
      </c>
      <c r="AW330" s="88">
        <f>SUMIF(月間集計シート!$M$134:$M$153,$G330,月間集計シート!R$134:R$153)*AW$2</f>
        <v>0</v>
      </c>
      <c r="AX330" s="88">
        <f>SUMIF(月間集計シート!$M$134:$M$153,$G330,月間集計シート!S$134:S$153)*AX$2</f>
        <v>0</v>
      </c>
      <c r="AY330" s="88">
        <f>SUMIF(月間集計シート!$M$134:$M$153,$G330,月間集計シート!T$134:T$153)*AY$2</f>
        <v>0</v>
      </c>
    </row>
    <row r="331" spans="1:51" ht="14.25" thickBot="1">
      <c r="A331">
        <v>4</v>
      </c>
      <c r="B331" s="120">
        <f t="shared" si="138"/>
        <v>0</v>
      </c>
      <c r="C331" s="120" t="str">
        <f t="shared" si="138"/>
        <v/>
      </c>
      <c r="D331" s="137"/>
      <c r="E331" s="150" t="str">
        <f>工種!A68</f>
        <v>90102</v>
      </c>
      <c r="F331" s="119" t="str">
        <f>工種!B68</f>
        <v>管理業務：開発環境管理</v>
      </c>
      <c r="G331" s="116" t="str">
        <f t="shared" si="135"/>
        <v>090102</v>
      </c>
      <c r="H331" s="88">
        <f t="shared" si="137"/>
        <v>0</v>
      </c>
      <c r="I331" s="132"/>
      <c r="J331" s="88">
        <f>SUMIF(月間集計シート!$M$29:$M$48,$G331,月間集計シート!N$29:N$48)*J$2</f>
        <v>0</v>
      </c>
      <c r="K331" s="88">
        <f>SUMIF(月間集計シート!$M$29:$M$48,$G331,月間集計シート!O$29:O$48)*K$2</f>
        <v>0</v>
      </c>
      <c r="L331" s="88">
        <f>SUMIF(月間集計シート!$M$29:$M$48,$G331,月間集計シート!P$29:P$48)*L$2</f>
        <v>0</v>
      </c>
      <c r="M331" s="88">
        <f>SUMIF(月間集計シート!$M$29:$M$48,$G331,月間集計シート!Q$29:Q$48)*M$2</f>
        <v>0</v>
      </c>
      <c r="N331" s="88">
        <f>SUMIF(月間集計シート!$M$29:$M$48,$G331,月間集計シート!R$29:R$48)*N$2</f>
        <v>0</v>
      </c>
      <c r="O331" s="88">
        <f>SUMIF(月間集計シート!$M$29:$M$48,$G331,月間集計シート!S$29:S$48)*O$2</f>
        <v>0</v>
      </c>
      <c r="P331" s="88">
        <f>SUMIF(月間集計シート!$M$29:$M$48,$G331,月間集計シート!T$29:T$48)*P$2</f>
        <v>0</v>
      </c>
      <c r="Q331" s="88">
        <f>SUMIF(月間集計シート!$M$50:$M$69,$G331,月間集計シート!N$50:N$69)*Q$2</f>
        <v>0</v>
      </c>
      <c r="R331" s="88">
        <f>SUMIF(月間集計シート!$M$50:$M$69,$G331,月間集計シート!O$50:O$69)*R$2</f>
        <v>0</v>
      </c>
      <c r="S331" s="88">
        <f>SUMIF(月間集計シート!$M$50:$M$69,$G331,月間集計シート!P$50:P$69)*S$2</f>
        <v>0</v>
      </c>
      <c r="T331" s="88">
        <f>SUMIF(月間集計シート!$M$50:$M$69,$G331,月間集計シート!Q$50:Q$69)*T$2</f>
        <v>0</v>
      </c>
      <c r="U331" s="88">
        <f>SUMIF(月間集計シート!$M$50:$M$69,$G331,月間集計シート!R$50:R$69)*U$2</f>
        <v>0</v>
      </c>
      <c r="V331" s="88">
        <f>SUMIF(月間集計シート!$M$50:$M$69,$G331,月間集計シート!S$50:S$69)*V$2</f>
        <v>0</v>
      </c>
      <c r="W331" s="88">
        <f>SUMIF(月間集計シート!$M$50:$M$69,$G331,月間集計シート!T$50:T$69)*W$2</f>
        <v>0</v>
      </c>
      <c r="X331" s="88">
        <f>SUMIF(月間集計シート!$M$71:$M$90,$G331,月間集計シート!N$71:N$90)*X$2</f>
        <v>0</v>
      </c>
      <c r="Y331" s="88">
        <f>SUMIF(月間集計シート!$M$71:$M$90,$G331,月間集計シート!O$71:O$90)*Y$2</f>
        <v>0</v>
      </c>
      <c r="Z331" s="88">
        <f>SUMIF(月間集計シート!$M$71:$M$90,$G331,月間集計シート!P$71:P$90)*Z$2</f>
        <v>0</v>
      </c>
      <c r="AA331" s="88">
        <f>SUMIF(月間集計シート!$M$71:$M$90,$G331,月間集計シート!Q$71:Q$90)*AA$2</f>
        <v>0</v>
      </c>
      <c r="AB331" s="88">
        <f>SUMIF(月間集計シート!$M$71:$M$90,$G331,月間集計シート!R$71:R$90)*AB$2</f>
        <v>0</v>
      </c>
      <c r="AC331" s="88">
        <f>SUMIF(月間集計シート!$M$71:$M$90,$G331,月間集計シート!S$71:S$90)*AC$2</f>
        <v>0</v>
      </c>
      <c r="AD331" s="88">
        <f>SUMIF(月間集計シート!$M$71:$M$90,$G331,月間集計シート!T$71:T$90)*AD$2</f>
        <v>0</v>
      </c>
      <c r="AE331" s="88">
        <f>SUMIF(月間集計シート!$M$92:$M$111,$G331,月間集計シート!N$92:N$111)*AE$2</f>
        <v>0</v>
      </c>
      <c r="AF331" s="88">
        <f>SUMIF(月間集計シート!$M$92:$M$111,$G331,月間集計シート!O$92:O$111)*AF$2</f>
        <v>0</v>
      </c>
      <c r="AG331" s="88">
        <f>SUMIF(月間集計シート!$M$92:$M$111,$G331,月間集計シート!P$92:P$111)*AG$2</f>
        <v>0</v>
      </c>
      <c r="AH331" s="88">
        <f>SUMIF(月間集計シート!$M$92:$M$111,$G331,月間集計シート!Q$92:Q$111)*AH$2</f>
        <v>0</v>
      </c>
      <c r="AI331" s="88">
        <f>SUMIF(月間集計シート!$M$92:$M$111,$G331,月間集計シート!R$92:R$111)*AI$2</f>
        <v>0</v>
      </c>
      <c r="AJ331" s="88">
        <f>SUMIF(月間集計シート!$M$92:$M$111,$G331,月間集計シート!S$92:S$111)*AJ$2</f>
        <v>0</v>
      </c>
      <c r="AK331" s="88">
        <f>SUMIF(月間集計シート!$M$92:$M$111,$G331,月間集計シート!T$92:T$111)*AK$2</f>
        <v>0</v>
      </c>
      <c r="AL331" s="88">
        <f>SUMIF(月間集計シート!$M$113:$M$132,$G331,月間集計シート!N$113:N$132)*AL$2</f>
        <v>0</v>
      </c>
      <c r="AM331" s="88">
        <f>SUMIF(月間集計シート!$M$113:$M$132,$G331,月間集計シート!O$113:O$132)*AM$2</f>
        <v>0</v>
      </c>
      <c r="AN331" s="88">
        <f>SUMIF(月間集計シート!$M$113:$M$132,$G331,月間集計シート!P$113:P$132)*AN$2</f>
        <v>0</v>
      </c>
      <c r="AO331" s="88">
        <f>SUMIF(月間集計シート!$M$113:$M$132,$G331,月間集計シート!Q$113:Q$132)*AO$2</f>
        <v>0</v>
      </c>
      <c r="AP331" s="88">
        <f>SUMIF(月間集計シート!$M$113:$M$132,$G331,月間集計シート!R$113:R$132)*AP$2</f>
        <v>0</v>
      </c>
      <c r="AQ331" s="88">
        <f>SUMIF(月間集計シート!$M$113:$M$132,$G331,月間集計シート!S$113:S$132)*AQ$2</f>
        <v>0</v>
      </c>
      <c r="AR331" s="88">
        <f>SUMIF(月間集計シート!$M$113:$M$132,$G331,月間集計シート!T$113:T$132)*AR$2</f>
        <v>0</v>
      </c>
      <c r="AS331" s="88">
        <f>SUMIF(月間集計シート!$M$134:$M$153,$G331,月間集計シート!N$134:N$153)*AS$2</f>
        <v>0</v>
      </c>
      <c r="AT331" s="88">
        <f>SUMIF(月間集計シート!$M$134:$M$153,$G331,月間集計シート!O$134:O$153)*AT$2</f>
        <v>0</v>
      </c>
      <c r="AU331" s="88">
        <f>SUMIF(月間集計シート!$M$134:$M$153,$G331,月間集計シート!P$134:P$153)*AU$2</f>
        <v>0</v>
      </c>
      <c r="AV331" s="88">
        <f>SUMIF(月間集計シート!$M$134:$M$153,$G331,月間集計シート!Q$134:Q$153)*AV$2</f>
        <v>0</v>
      </c>
      <c r="AW331" s="88">
        <f>SUMIF(月間集計シート!$M$134:$M$153,$G331,月間集計シート!R$134:R$153)*AW$2</f>
        <v>0</v>
      </c>
      <c r="AX331" s="88">
        <f>SUMIF(月間集計シート!$M$134:$M$153,$G331,月間集計シート!S$134:S$153)*AX$2</f>
        <v>0</v>
      </c>
      <c r="AY331" s="88">
        <f>SUMIF(月間集計シート!$M$134:$M$153,$G331,月間集計シート!T$134:T$153)*AY$2</f>
        <v>0</v>
      </c>
    </row>
    <row r="332" spans="1:51" ht="14.25" thickBot="1">
      <c r="A332">
        <v>4</v>
      </c>
      <c r="B332" s="120">
        <f t="shared" si="138"/>
        <v>0</v>
      </c>
      <c r="C332" s="120" t="str">
        <f t="shared" si="138"/>
        <v/>
      </c>
      <c r="D332" s="137"/>
      <c r="E332" s="150" t="str">
        <f>工種!A69</f>
        <v>90103</v>
      </c>
      <c r="F332" s="119" t="str">
        <f>工種!B69</f>
        <v>管理業務：標準化・開発業務改善作業</v>
      </c>
      <c r="G332" s="116" t="str">
        <f t="shared" si="135"/>
        <v>090103</v>
      </c>
      <c r="H332" s="88">
        <f t="shared" si="137"/>
        <v>0</v>
      </c>
      <c r="I332" s="132"/>
      <c r="J332" s="88">
        <f>SUMIF(月間集計シート!$M$29:$M$48,$G332,月間集計シート!N$29:N$48)*J$2</f>
        <v>0</v>
      </c>
      <c r="K332" s="88">
        <f>SUMIF(月間集計シート!$M$29:$M$48,$G332,月間集計シート!O$29:O$48)*K$2</f>
        <v>0</v>
      </c>
      <c r="L332" s="88">
        <f>SUMIF(月間集計シート!$M$29:$M$48,$G332,月間集計シート!P$29:P$48)*L$2</f>
        <v>0</v>
      </c>
      <c r="M332" s="88">
        <f>SUMIF(月間集計シート!$M$29:$M$48,$G332,月間集計シート!Q$29:Q$48)*M$2</f>
        <v>0</v>
      </c>
      <c r="N332" s="88">
        <f>SUMIF(月間集計シート!$M$29:$M$48,$G332,月間集計シート!R$29:R$48)*N$2</f>
        <v>0</v>
      </c>
      <c r="O332" s="88">
        <f>SUMIF(月間集計シート!$M$29:$M$48,$G332,月間集計シート!S$29:S$48)*O$2</f>
        <v>0</v>
      </c>
      <c r="P332" s="88">
        <f>SUMIF(月間集計シート!$M$29:$M$48,$G332,月間集計シート!T$29:T$48)*P$2</f>
        <v>0</v>
      </c>
      <c r="Q332" s="88">
        <f>SUMIF(月間集計シート!$M$50:$M$69,$G332,月間集計シート!N$50:N$69)*Q$2</f>
        <v>0</v>
      </c>
      <c r="R332" s="88">
        <f>SUMIF(月間集計シート!$M$50:$M$69,$G332,月間集計シート!O$50:O$69)*R$2</f>
        <v>0</v>
      </c>
      <c r="S332" s="88">
        <f>SUMIF(月間集計シート!$M$50:$M$69,$G332,月間集計シート!P$50:P$69)*S$2</f>
        <v>0</v>
      </c>
      <c r="T332" s="88">
        <f>SUMIF(月間集計シート!$M$50:$M$69,$G332,月間集計シート!Q$50:Q$69)*T$2</f>
        <v>0</v>
      </c>
      <c r="U332" s="88">
        <f>SUMIF(月間集計シート!$M$50:$M$69,$G332,月間集計シート!R$50:R$69)*U$2</f>
        <v>0</v>
      </c>
      <c r="V332" s="88">
        <f>SUMIF(月間集計シート!$M$50:$M$69,$G332,月間集計シート!S$50:S$69)*V$2</f>
        <v>0</v>
      </c>
      <c r="W332" s="88">
        <f>SUMIF(月間集計シート!$M$50:$M$69,$G332,月間集計シート!T$50:T$69)*W$2</f>
        <v>0</v>
      </c>
      <c r="X332" s="88">
        <f>SUMIF(月間集計シート!$M$71:$M$90,$G332,月間集計シート!N$71:N$90)*X$2</f>
        <v>0</v>
      </c>
      <c r="Y332" s="88">
        <f>SUMIF(月間集計シート!$M$71:$M$90,$G332,月間集計シート!O$71:O$90)*Y$2</f>
        <v>0</v>
      </c>
      <c r="Z332" s="88">
        <f>SUMIF(月間集計シート!$M$71:$M$90,$G332,月間集計シート!P$71:P$90)*Z$2</f>
        <v>0</v>
      </c>
      <c r="AA332" s="88">
        <f>SUMIF(月間集計シート!$M$71:$M$90,$G332,月間集計シート!Q$71:Q$90)*AA$2</f>
        <v>0</v>
      </c>
      <c r="AB332" s="88">
        <f>SUMIF(月間集計シート!$M$71:$M$90,$G332,月間集計シート!R$71:R$90)*AB$2</f>
        <v>0</v>
      </c>
      <c r="AC332" s="88">
        <f>SUMIF(月間集計シート!$M$71:$M$90,$G332,月間集計シート!S$71:S$90)*AC$2</f>
        <v>0</v>
      </c>
      <c r="AD332" s="88">
        <f>SUMIF(月間集計シート!$M$71:$M$90,$G332,月間集計シート!T$71:T$90)*AD$2</f>
        <v>0</v>
      </c>
      <c r="AE332" s="88">
        <f>SUMIF(月間集計シート!$M$92:$M$111,$G332,月間集計シート!N$92:N$111)*AE$2</f>
        <v>0</v>
      </c>
      <c r="AF332" s="88">
        <f>SUMIF(月間集計シート!$M$92:$M$111,$G332,月間集計シート!O$92:O$111)*AF$2</f>
        <v>0</v>
      </c>
      <c r="AG332" s="88">
        <f>SUMIF(月間集計シート!$M$92:$M$111,$G332,月間集計シート!P$92:P$111)*AG$2</f>
        <v>0</v>
      </c>
      <c r="AH332" s="88">
        <f>SUMIF(月間集計シート!$M$92:$M$111,$G332,月間集計シート!Q$92:Q$111)*AH$2</f>
        <v>0</v>
      </c>
      <c r="AI332" s="88">
        <f>SUMIF(月間集計シート!$M$92:$M$111,$G332,月間集計シート!R$92:R$111)*AI$2</f>
        <v>0</v>
      </c>
      <c r="AJ332" s="88">
        <f>SUMIF(月間集計シート!$M$92:$M$111,$G332,月間集計シート!S$92:S$111)*AJ$2</f>
        <v>0</v>
      </c>
      <c r="AK332" s="88">
        <f>SUMIF(月間集計シート!$M$92:$M$111,$G332,月間集計シート!T$92:T$111)*AK$2</f>
        <v>0</v>
      </c>
      <c r="AL332" s="88">
        <f>SUMIF(月間集計シート!$M$113:$M$132,$G332,月間集計シート!N$113:N$132)*AL$2</f>
        <v>0</v>
      </c>
      <c r="AM332" s="88">
        <f>SUMIF(月間集計シート!$M$113:$M$132,$G332,月間集計シート!O$113:O$132)*AM$2</f>
        <v>0</v>
      </c>
      <c r="AN332" s="88">
        <f>SUMIF(月間集計シート!$M$113:$M$132,$G332,月間集計シート!P$113:P$132)*AN$2</f>
        <v>0</v>
      </c>
      <c r="AO332" s="88">
        <f>SUMIF(月間集計シート!$M$113:$M$132,$G332,月間集計シート!Q$113:Q$132)*AO$2</f>
        <v>0</v>
      </c>
      <c r="AP332" s="88">
        <f>SUMIF(月間集計シート!$M$113:$M$132,$G332,月間集計シート!R$113:R$132)*AP$2</f>
        <v>0</v>
      </c>
      <c r="AQ332" s="88">
        <f>SUMIF(月間集計シート!$M$113:$M$132,$G332,月間集計シート!S$113:S$132)*AQ$2</f>
        <v>0</v>
      </c>
      <c r="AR332" s="88">
        <f>SUMIF(月間集計シート!$M$113:$M$132,$G332,月間集計シート!T$113:T$132)*AR$2</f>
        <v>0</v>
      </c>
      <c r="AS332" s="88">
        <f>SUMIF(月間集計シート!$M$134:$M$153,$G332,月間集計シート!N$134:N$153)*AS$2</f>
        <v>0</v>
      </c>
      <c r="AT332" s="88">
        <f>SUMIF(月間集計シート!$M$134:$M$153,$G332,月間集計シート!O$134:O$153)*AT$2</f>
        <v>0</v>
      </c>
      <c r="AU332" s="88">
        <f>SUMIF(月間集計シート!$M$134:$M$153,$G332,月間集計シート!P$134:P$153)*AU$2</f>
        <v>0</v>
      </c>
      <c r="AV332" s="88">
        <f>SUMIF(月間集計シート!$M$134:$M$153,$G332,月間集計シート!Q$134:Q$153)*AV$2</f>
        <v>0</v>
      </c>
      <c r="AW332" s="88">
        <f>SUMIF(月間集計シート!$M$134:$M$153,$G332,月間集計シート!R$134:R$153)*AW$2</f>
        <v>0</v>
      </c>
      <c r="AX332" s="88">
        <f>SUMIF(月間集計シート!$M$134:$M$153,$G332,月間集計シート!S$134:S$153)*AX$2</f>
        <v>0</v>
      </c>
      <c r="AY332" s="88">
        <f>SUMIF(月間集計シート!$M$134:$M$153,$G332,月間集計シート!T$134:T$153)*AY$2</f>
        <v>0</v>
      </c>
    </row>
    <row r="333" spans="1:51" ht="14.25" thickBot="1">
      <c r="A333">
        <v>4</v>
      </c>
      <c r="B333" s="120">
        <f t="shared" si="138"/>
        <v>0</v>
      </c>
      <c r="C333" s="120" t="str">
        <f t="shared" si="138"/>
        <v/>
      </c>
      <c r="D333" s="137"/>
      <c r="E333" s="150" t="str">
        <f>工種!A70</f>
        <v>90104</v>
      </c>
      <c r="F333" s="119" t="str">
        <f>工種!B70</f>
        <v>管理業務：開発業務の引継ぎ</v>
      </c>
      <c r="G333" s="116" t="str">
        <f t="shared" si="135"/>
        <v>090104</v>
      </c>
      <c r="H333" s="88">
        <f t="shared" si="137"/>
        <v>0</v>
      </c>
      <c r="I333" s="132"/>
      <c r="J333" s="88">
        <f>SUMIF(月間集計シート!$M$29:$M$48,$G333,月間集計シート!N$29:N$48)*J$2</f>
        <v>0</v>
      </c>
      <c r="K333" s="88">
        <f>SUMIF(月間集計シート!$M$29:$M$48,$G333,月間集計シート!O$29:O$48)*K$2</f>
        <v>0</v>
      </c>
      <c r="L333" s="88">
        <f>SUMIF(月間集計シート!$M$29:$M$48,$G333,月間集計シート!P$29:P$48)*L$2</f>
        <v>0</v>
      </c>
      <c r="M333" s="88">
        <f>SUMIF(月間集計シート!$M$29:$M$48,$G333,月間集計シート!Q$29:Q$48)*M$2</f>
        <v>0</v>
      </c>
      <c r="N333" s="88">
        <f>SUMIF(月間集計シート!$M$29:$M$48,$G333,月間集計シート!R$29:R$48)*N$2</f>
        <v>0</v>
      </c>
      <c r="O333" s="88">
        <f>SUMIF(月間集計シート!$M$29:$M$48,$G333,月間集計シート!S$29:S$48)*O$2</f>
        <v>0</v>
      </c>
      <c r="P333" s="88">
        <f>SUMIF(月間集計シート!$M$29:$M$48,$G333,月間集計シート!T$29:T$48)*P$2</f>
        <v>0</v>
      </c>
      <c r="Q333" s="88">
        <f>SUMIF(月間集計シート!$M$50:$M$69,$G333,月間集計シート!N$50:N$69)*Q$2</f>
        <v>0</v>
      </c>
      <c r="R333" s="88">
        <f>SUMIF(月間集計シート!$M$50:$M$69,$G333,月間集計シート!O$50:O$69)*R$2</f>
        <v>0</v>
      </c>
      <c r="S333" s="88">
        <f>SUMIF(月間集計シート!$M$50:$M$69,$G333,月間集計シート!P$50:P$69)*S$2</f>
        <v>0</v>
      </c>
      <c r="T333" s="88">
        <f>SUMIF(月間集計シート!$M$50:$M$69,$G333,月間集計シート!Q$50:Q$69)*T$2</f>
        <v>0</v>
      </c>
      <c r="U333" s="88">
        <f>SUMIF(月間集計シート!$M$50:$M$69,$G333,月間集計シート!R$50:R$69)*U$2</f>
        <v>0</v>
      </c>
      <c r="V333" s="88">
        <f>SUMIF(月間集計シート!$M$50:$M$69,$G333,月間集計シート!S$50:S$69)*V$2</f>
        <v>0</v>
      </c>
      <c r="W333" s="88">
        <f>SUMIF(月間集計シート!$M$50:$M$69,$G333,月間集計シート!T$50:T$69)*W$2</f>
        <v>0</v>
      </c>
      <c r="X333" s="88">
        <f>SUMIF(月間集計シート!$M$71:$M$90,$G333,月間集計シート!N$71:N$90)*X$2</f>
        <v>0</v>
      </c>
      <c r="Y333" s="88">
        <f>SUMIF(月間集計シート!$M$71:$M$90,$G333,月間集計シート!O$71:O$90)*Y$2</f>
        <v>0</v>
      </c>
      <c r="Z333" s="88">
        <f>SUMIF(月間集計シート!$M$71:$M$90,$G333,月間集計シート!P$71:P$90)*Z$2</f>
        <v>0</v>
      </c>
      <c r="AA333" s="88">
        <f>SUMIF(月間集計シート!$M$71:$M$90,$G333,月間集計シート!Q$71:Q$90)*AA$2</f>
        <v>0</v>
      </c>
      <c r="AB333" s="88">
        <f>SUMIF(月間集計シート!$M$71:$M$90,$G333,月間集計シート!R$71:R$90)*AB$2</f>
        <v>0</v>
      </c>
      <c r="AC333" s="88">
        <f>SUMIF(月間集計シート!$M$71:$M$90,$G333,月間集計シート!S$71:S$90)*AC$2</f>
        <v>0</v>
      </c>
      <c r="AD333" s="88">
        <f>SUMIF(月間集計シート!$M$71:$M$90,$G333,月間集計シート!T$71:T$90)*AD$2</f>
        <v>0</v>
      </c>
      <c r="AE333" s="88">
        <f>SUMIF(月間集計シート!$M$92:$M$111,$G333,月間集計シート!N$92:N$111)*AE$2</f>
        <v>0</v>
      </c>
      <c r="AF333" s="88">
        <f>SUMIF(月間集計シート!$M$92:$M$111,$G333,月間集計シート!O$92:O$111)*AF$2</f>
        <v>0</v>
      </c>
      <c r="AG333" s="88">
        <f>SUMIF(月間集計シート!$M$92:$M$111,$G333,月間集計シート!P$92:P$111)*AG$2</f>
        <v>0</v>
      </c>
      <c r="AH333" s="88">
        <f>SUMIF(月間集計シート!$M$92:$M$111,$G333,月間集計シート!Q$92:Q$111)*AH$2</f>
        <v>0</v>
      </c>
      <c r="AI333" s="88">
        <f>SUMIF(月間集計シート!$M$92:$M$111,$G333,月間集計シート!R$92:R$111)*AI$2</f>
        <v>0</v>
      </c>
      <c r="AJ333" s="88">
        <f>SUMIF(月間集計シート!$M$92:$M$111,$G333,月間集計シート!S$92:S$111)*AJ$2</f>
        <v>0</v>
      </c>
      <c r="AK333" s="88">
        <f>SUMIF(月間集計シート!$M$92:$M$111,$G333,月間集計シート!T$92:T$111)*AK$2</f>
        <v>0</v>
      </c>
      <c r="AL333" s="88">
        <f>SUMIF(月間集計シート!$M$113:$M$132,$G333,月間集計シート!N$113:N$132)*AL$2</f>
        <v>0</v>
      </c>
      <c r="AM333" s="88">
        <f>SUMIF(月間集計シート!$M$113:$M$132,$G333,月間集計シート!O$113:O$132)*AM$2</f>
        <v>0</v>
      </c>
      <c r="AN333" s="88">
        <f>SUMIF(月間集計シート!$M$113:$M$132,$G333,月間集計シート!P$113:P$132)*AN$2</f>
        <v>0</v>
      </c>
      <c r="AO333" s="88">
        <f>SUMIF(月間集計シート!$M$113:$M$132,$G333,月間集計シート!Q$113:Q$132)*AO$2</f>
        <v>0</v>
      </c>
      <c r="AP333" s="88">
        <f>SUMIF(月間集計シート!$M$113:$M$132,$G333,月間集計シート!R$113:R$132)*AP$2</f>
        <v>0</v>
      </c>
      <c r="AQ333" s="88">
        <f>SUMIF(月間集計シート!$M$113:$M$132,$G333,月間集計シート!S$113:S$132)*AQ$2</f>
        <v>0</v>
      </c>
      <c r="AR333" s="88">
        <f>SUMIF(月間集計シート!$M$113:$M$132,$G333,月間集計シート!T$113:T$132)*AR$2</f>
        <v>0</v>
      </c>
      <c r="AS333" s="88">
        <f>SUMIF(月間集計シート!$M$134:$M$153,$G333,月間集計シート!N$134:N$153)*AS$2</f>
        <v>0</v>
      </c>
      <c r="AT333" s="88">
        <f>SUMIF(月間集計シート!$M$134:$M$153,$G333,月間集計シート!O$134:O$153)*AT$2</f>
        <v>0</v>
      </c>
      <c r="AU333" s="88">
        <f>SUMIF(月間集計シート!$M$134:$M$153,$G333,月間集計シート!P$134:P$153)*AU$2</f>
        <v>0</v>
      </c>
      <c r="AV333" s="88">
        <f>SUMIF(月間集計シート!$M$134:$M$153,$G333,月間集計シート!Q$134:Q$153)*AV$2</f>
        <v>0</v>
      </c>
      <c r="AW333" s="88">
        <f>SUMIF(月間集計シート!$M$134:$M$153,$G333,月間集計シート!R$134:R$153)*AW$2</f>
        <v>0</v>
      </c>
      <c r="AX333" s="88">
        <f>SUMIF(月間集計シート!$M$134:$M$153,$G333,月間集計シート!S$134:S$153)*AX$2</f>
        <v>0</v>
      </c>
      <c r="AY333" s="88">
        <f>SUMIF(月間集計シート!$M$134:$M$153,$G333,月間集計シート!T$134:T$153)*AY$2</f>
        <v>0</v>
      </c>
    </row>
    <row r="334" spans="1:51" ht="14.25" thickBot="1">
      <c r="A334">
        <v>4</v>
      </c>
      <c r="B334" s="120">
        <f t="shared" si="138"/>
        <v>0</v>
      </c>
      <c r="C334" s="120" t="str">
        <f t="shared" si="138"/>
        <v/>
      </c>
      <c r="D334" s="137"/>
      <c r="E334" s="150" t="str">
        <f>工種!A71</f>
        <v>90105</v>
      </c>
      <c r="F334" s="119" t="str">
        <f>工種!B71</f>
        <v>管理業務：SRB管理</v>
      </c>
      <c r="G334" s="116" t="str">
        <f t="shared" si="135"/>
        <v>090105</v>
      </c>
      <c r="H334" s="88">
        <f t="shared" si="137"/>
        <v>0</v>
      </c>
      <c r="I334" s="132"/>
      <c r="J334" s="88">
        <f>SUMIF(月間集計シート!$M$29:$M$48,$G334,月間集計シート!N$29:N$48)*J$2</f>
        <v>0</v>
      </c>
      <c r="K334" s="88">
        <f>SUMIF(月間集計シート!$M$29:$M$48,$G334,月間集計シート!O$29:O$48)*K$2</f>
        <v>0</v>
      </c>
      <c r="L334" s="88">
        <f>SUMIF(月間集計シート!$M$29:$M$48,$G334,月間集計シート!P$29:P$48)*L$2</f>
        <v>0</v>
      </c>
      <c r="M334" s="88">
        <f>SUMIF(月間集計シート!$M$29:$M$48,$G334,月間集計シート!Q$29:Q$48)*M$2</f>
        <v>0</v>
      </c>
      <c r="N334" s="88">
        <f>SUMIF(月間集計シート!$M$29:$M$48,$G334,月間集計シート!R$29:R$48)*N$2</f>
        <v>0</v>
      </c>
      <c r="O334" s="88">
        <f>SUMIF(月間集計シート!$M$29:$M$48,$G334,月間集計シート!S$29:S$48)*O$2</f>
        <v>0</v>
      </c>
      <c r="P334" s="88">
        <f>SUMIF(月間集計シート!$M$29:$M$48,$G334,月間集計シート!T$29:T$48)*P$2</f>
        <v>0</v>
      </c>
      <c r="Q334" s="88">
        <f>SUMIF(月間集計シート!$M$50:$M$69,$G334,月間集計シート!N$50:N$69)*Q$2</f>
        <v>0</v>
      </c>
      <c r="R334" s="88">
        <f>SUMIF(月間集計シート!$M$50:$M$69,$G334,月間集計シート!O$50:O$69)*R$2</f>
        <v>0</v>
      </c>
      <c r="S334" s="88">
        <f>SUMIF(月間集計シート!$M$50:$M$69,$G334,月間集計シート!P$50:P$69)*S$2</f>
        <v>0</v>
      </c>
      <c r="T334" s="88">
        <f>SUMIF(月間集計シート!$M$50:$M$69,$G334,月間集計シート!Q$50:Q$69)*T$2</f>
        <v>0</v>
      </c>
      <c r="U334" s="88">
        <f>SUMIF(月間集計シート!$M$50:$M$69,$G334,月間集計シート!R$50:R$69)*U$2</f>
        <v>0</v>
      </c>
      <c r="V334" s="88">
        <f>SUMIF(月間集計シート!$M$50:$M$69,$G334,月間集計シート!S$50:S$69)*V$2</f>
        <v>0</v>
      </c>
      <c r="W334" s="88">
        <f>SUMIF(月間集計シート!$M$50:$M$69,$G334,月間集計シート!T$50:T$69)*W$2</f>
        <v>0</v>
      </c>
      <c r="X334" s="88">
        <f>SUMIF(月間集計シート!$M$71:$M$90,$G334,月間集計シート!N$71:N$90)*X$2</f>
        <v>0</v>
      </c>
      <c r="Y334" s="88">
        <f>SUMIF(月間集計シート!$M$71:$M$90,$G334,月間集計シート!O$71:O$90)*Y$2</f>
        <v>0</v>
      </c>
      <c r="Z334" s="88">
        <f>SUMIF(月間集計シート!$M$71:$M$90,$G334,月間集計シート!P$71:P$90)*Z$2</f>
        <v>0</v>
      </c>
      <c r="AA334" s="88">
        <f>SUMIF(月間集計シート!$M$71:$M$90,$G334,月間集計シート!Q$71:Q$90)*AA$2</f>
        <v>0</v>
      </c>
      <c r="AB334" s="88">
        <f>SUMIF(月間集計シート!$M$71:$M$90,$G334,月間集計シート!R$71:R$90)*AB$2</f>
        <v>0</v>
      </c>
      <c r="AC334" s="88">
        <f>SUMIF(月間集計シート!$M$71:$M$90,$G334,月間集計シート!S$71:S$90)*AC$2</f>
        <v>0</v>
      </c>
      <c r="AD334" s="88">
        <f>SUMIF(月間集計シート!$M$71:$M$90,$G334,月間集計シート!T$71:T$90)*AD$2</f>
        <v>0</v>
      </c>
      <c r="AE334" s="88">
        <f>SUMIF(月間集計シート!$M$92:$M$111,$G334,月間集計シート!N$92:N$111)*AE$2</f>
        <v>0</v>
      </c>
      <c r="AF334" s="88">
        <f>SUMIF(月間集計シート!$M$92:$M$111,$G334,月間集計シート!O$92:O$111)*AF$2</f>
        <v>0</v>
      </c>
      <c r="AG334" s="88">
        <f>SUMIF(月間集計シート!$M$92:$M$111,$G334,月間集計シート!P$92:P$111)*AG$2</f>
        <v>0</v>
      </c>
      <c r="AH334" s="88">
        <f>SUMIF(月間集計シート!$M$92:$M$111,$G334,月間集計シート!Q$92:Q$111)*AH$2</f>
        <v>0</v>
      </c>
      <c r="AI334" s="88">
        <f>SUMIF(月間集計シート!$M$92:$M$111,$G334,月間集計シート!R$92:R$111)*AI$2</f>
        <v>0</v>
      </c>
      <c r="AJ334" s="88">
        <f>SUMIF(月間集計シート!$M$92:$M$111,$G334,月間集計シート!S$92:S$111)*AJ$2</f>
        <v>0</v>
      </c>
      <c r="AK334" s="88">
        <f>SUMIF(月間集計シート!$M$92:$M$111,$G334,月間集計シート!T$92:T$111)*AK$2</f>
        <v>0</v>
      </c>
      <c r="AL334" s="88">
        <f>SUMIF(月間集計シート!$M$113:$M$132,$G334,月間集計シート!N$113:N$132)*AL$2</f>
        <v>0</v>
      </c>
      <c r="AM334" s="88">
        <f>SUMIF(月間集計シート!$M$113:$M$132,$G334,月間集計シート!O$113:O$132)*AM$2</f>
        <v>0</v>
      </c>
      <c r="AN334" s="88">
        <f>SUMIF(月間集計シート!$M$113:$M$132,$G334,月間集計シート!P$113:P$132)*AN$2</f>
        <v>0</v>
      </c>
      <c r="AO334" s="88">
        <f>SUMIF(月間集計シート!$M$113:$M$132,$G334,月間集計シート!Q$113:Q$132)*AO$2</f>
        <v>0</v>
      </c>
      <c r="AP334" s="88">
        <f>SUMIF(月間集計シート!$M$113:$M$132,$G334,月間集計シート!R$113:R$132)*AP$2</f>
        <v>0</v>
      </c>
      <c r="AQ334" s="88">
        <f>SUMIF(月間集計シート!$M$113:$M$132,$G334,月間集計シート!S$113:S$132)*AQ$2</f>
        <v>0</v>
      </c>
      <c r="AR334" s="88">
        <f>SUMIF(月間集計シート!$M$113:$M$132,$G334,月間集計シート!T$113:T$132)*AR$2</f>
        <v>0</v>
      </c>
      <c r="AS334" s="88">
        <f>SUMIF(月間集計シート!$M$134:$M$153,$G334,月間集計シート!N$134:N$153)*AS$2</f>
        <v>0</v>
      </c>
      <c r="AT334" s="88">
        <f>SUMIF(月間集計シート!$M$134:$M$153,$G334,月間集計シート!O$134:O$153)*AT$2</f>
        <v>0</v>
      </c>
      <c r="AU334" s="88">
        <f>SUMIF(月間集計シート!$M$134:$M$153,$G334,月間集計シート!P$134:P$153)*AU$2</f>
        <v>0</v>
      </c>
      <c r="AV334" s="88">
        <f>SUMIF(月間集計シート!$M$134:$M$153,$G334,月間集計シート!Q$134:Q$153)*AV$2</f>
        <v>0</v>
      </c>
      <c r="AW334" s="88">
        <f>SUMIF(月間集計シート!$M$134:$M$153,$G334,月間集計シート!R$134:R$153)*AW$2</f>
        <v>0</v>
      </c>
      <c r="AX334" s="88">
        <f>SUMIF(月間集計シート!$M$134:$M$153,$G334,月間集計シート!S$134:S$153)*AX$2</f>
        <v>0</v>
      </c>
      <c r="AY334" s="88">
        <f>SUMIF(月間集計シート!$M$134:$M$153,$G334,月間集計シート!T$134:T$153)*AY$2</f>
        <v>0</v>
      </c>
    </row>
    <row r="335" spans="1:51" ht="14.25" thickBot="1">
      <c r="A335">
        <v>4</v>
      </c>
      <c r="B335" s="120">
        <f t="shared" si="138"/>
        <v>0</v>
      </c>
      <c r="C335" s="120" t="str">
        <f t="shared" si="138"/>
        <v/>
      </c>
      <c r="D335" s="137"/>
      <c r="E335" s="150" t="str">
        <f>工種!A72</f>
        <v>90107</v>
      </c>
      <c r="F335" s="119" t="str">
        <f>工種!B72</f>
        <v>管理業務：開発事務作業</v>
      </c>
      <c r="G335" s="116" t="str">
        <f t="shared" si="135"/>
        <v>090107</v>
      </c>
      <c r="H335" s="88">
        <f t="shared" si="137"/>
        <v>0</v>
      </c>
      <c r="I335" s="132"/>
      <c r="J335" s="88">
        <f>SUMIF(月間集計シート!$M$29:$M$48,$G335,月間集計シート!N$29:N$48)*J$2</f>
        <v>0</v>
      </c>
      <c r="K335" s="88">
        <f>SUMIF(月間集計シート!$M$29:$M$48,$G335,月間集計シート!O$29:O$48)*K$2</f>
        <v>0</v>
      </c>
      <c r="L335" s="88">
        <f>SUMIF(月間集計シート!$M$29:$M$48,$G335,月間集計シート!P$29:P$48)*L$2</f>
        <v>0</v>
      </c>
      <c r="M335" s="88">
        <f>SUMIF(月間集計シート!$M$29:$M$48,$G335,月間集計シート!Q$29:Q$48)*M$2</f>
        <v>0</v>
      </c>
      <c r="N335" s="88">
        <f>SUMIF(月間集計シート!$M$29:$M$48,$G335,月間集計シート!R$29:R$48)*N$2</f>
        <v>0</v>
      </c>
      <c r="O335" s="88">
        <f>SUMIF(月間集計シート!$M$29:$M$48,$G335,月間集計シート!S$29:S$48)*O$2</f>
        <v>0</v>
      </c>
      <c r="P335" s="88">
        <f>SUMIF(月間集計シート!$M$29:$M$48,$G335,月間集計シート!T$29:T$48)*P$2</f>
        <v>0</v>
      </c>
      <c r="Q335" s="88">
        <f>SUMIF(月間集計シート!$M$50:$M$69,$G335,月間集計シート!N$50:N$69)*Q$2</f>
        <v>0</v>
      </c>
      <c r="R335" s="88">
        <f>SUMIF(月間集計シート!$M$50:$M$69,$G335,月間集計シート!O$50:O$69)*R$2</f>
        <v>0</v>
      </c>
      <c r="S335" s="88">
        <f>SUMIF(月間集計シート!$M$50:$M$69,$G335,月間集計シート!P$50:P$69)*S$2</f>
        <v>0</v>
      </c>
      <c r="T335" s="88">
        <f>SUMIF(月間集計シート!$M$50:$M$69,$G335,月間集計シート!Q$50:Q$69)*T$2</f>
        <v>0</v>
      </c>
      <c r="U335" s="88">
        <f>SUMIF(月間集計シート!$M$50:$M$69,$G335,月間集計シート!R$50:R$69)*U$2</f>
        <v>0</v>
      </c>
      <c r="V335" s="88">
        <f>SUMIF(月間集計シート!$M$50:$M$69,$G335,月間集計シート!S$50:S$69)*V$2</f>
        <v>0</v>
      </c>
      <c r="W335" s="88">
        <f>SUMIF(月間集計シート!$M$50:$M$69,$G335,月間集計シート!T$50:T$69)*W$2</f>
        <v>0</v>
      </c>
      <c r="X335" s="88">
        <f>SUMIF(月間集計シート!$M$71:$M$90,$G335,月間集計シート!N$71:N$90)*X$2</f>
        <v>0</v>
      </c>
      <c r="Y335" s="88">
        <f>SUMIF(月間集計シート!$M$71:$M$90,$G335,月間集計シート!O$71:O$90)*Y$2</f>
        <v>0</v>
      </c>
      <c r="Z335" s="88">
        <f>SUMIF(月間集計シート!$M$71:$M$90,$G335,月間集計シート!P$71:P$90)*Z$2</f>
        <v>0</v>
      </c>
      <c r="AA335" s="88">
        <f>SUMIF(月間集計シート!$M$71:$M$90,$G335,月間集計シート!Q$71:Q$90)*AA$2</f>
        <v>0</v>
      </c>
      <c r="AB335" s="88">
        <f>SUMIF(月間集計シート!$M$71:$M$90,$G335,月間集計シート!R$71:R$90)*AB$2</f>
        <v>0</v>
      </c>
      <c r="AC335" s="88">
        <f>SUMIF(月間集計シート!$M$71:$M$90,$G335,月間集計シート!S$71:S$90)*AC$2</f>
        <v>0</v>
      </c>
      <c r="AD335" s="88">
        <f>SUMIF(月間集計シート!$M$71:$M$90,$G335,月間集計シート!T$71:T$90)*AD$2</f>
        <v>0</v>
      </c>
      <c r="AE335" s="88">
        <f>SUMIF(月間集計シート!$M$92:$M$111,$G335,月間集計シート!N$92:N$111)*AE$2</f>
        <v>0</v>
      </c>
      <c r="AF335" s="88">
        <f>SUMIF(月間集計シート!$M$92:$M$111,$G335,月間集計シート!O$92:O$111)*AF$2</f>
        <v>0</v>
      </c>
      <c r="AG335" s="88">
        <f>SUMIF(月間集計シート!$M$92:$M$111,$G335,月間集計シート!P$92:P$111)*AG$2</f>
        <v>0</v>
      </c>
      <c r="AH335" s="88">
        <f>SUMIF(月間集計シート!$M$92:$M$111,$G335,月間集計シート!Q$92:Q$111)*AH$2</f>
        <v>0</v>
      </c>
      <c r="AI335" s="88">
        <f>SUMIF(月間集計シート!$M$92:$M$111,$G335,月間集計シート!R$92:R$111)*AI$2</f>
        <v>0</v>
      </c>
      <c r="AJ335" s="88">
        <f>SUMIF(月間集計シート!$M$92:$M$111,$G335,月間集計シート!S$92:S$111)*AJ$2</f>
        <v>0</v>
      </c>
      <c r="AK335" s="88">
        <f>SUMIF(月間集計シート!$M$92:$M$111,$G335,月間集計シート!T$92:T$111)*AK$2</f>
        <v>0</v>
      </c>
      <c r="AL335" s="88">
        <f>SUMIF(月間集計シート!$M$113:$M$132,$G335,月間集計シート!N$113:N$132)*AL$2</f>
        <v>0</v>
      </c>
      <c r="AM335" s="88">
        <f>SUMIF(月間集計シート!$M$113:$M$132,$G335,月間集計シート!O$113:O$132)*AM$2</f>
        <v>0</v>
      </c>
      <c r="AN335" s="88">
        <f>SUMIF(月間集計シート!$M$113:$M$132,$G335,月間集計シート!P$113:P$132)*AN$2</f>
        <v>0</v>
      </c>
      <c r="AO335" s="88">
        <f>SUMIF(月間集計シート!$M$113:$M$132,$G335,月間集計シート!Q$113:Q$132)*AO$2</f>
        <v>0</v>
      </c>
      <c r="AP335" s="88">
        <f>SUMIF(月間集計シート!$M$113:$M$132,$G335,月間集計シート!R$113:R$132)*AP$2</f>
        <v>0</v>
      </c>
      <c r="AQ335" s="88">
        <f>SUMIF(月間集計シート!$M$113:$M$132,$G335,月間集計シート!S$113:S$132)*AQ$2</f>
        <v>0</v>
      </c>
      <c r="AR335" s="88">
        <f>SUMIF(月間集計シート!$M$113:$M$132,$G335,月間集計シート!T$113:T$132)*AR$2</f>
        <v>0</v>
      </c>
      <c r="AS335" s="88">
        <f>SUMIF(月間集計シート!$M$134:$M$153,$G335,月間集計シート!N$134:N$153)*AS$2</f>
        <v>0</v>
      </c>
      <c r="AT335" s="88">
        <f>SUMIF(月間集計シート!$M$134:$M$153,$G335,月間集計シート!O$134:O$153)*AT$2</f>
        <v>0</v>
      </c>
      <c r="AU335" s="88">
        <f>SUMIF(月間集計シート!$M$134:$M$153,$G335,月間集計シート!P$134:P$153)*AU$2</f>
        <v>0</v>
      </c>
      <c r="AV335" s="88">
        <f>SUMIF(月間集計シート!$M$134:$M$153,$G335,月間集計シート!Q$134:Q$153)*AV$2</f>
        <v>0</v>
      </c>
      <c r="AW335" s="88">
        <f>SUMIF(月間集計シート!$M$134:$M$153,$G335,月間集計シート!R$134:R$153)*AW$2</f>
        <v>0</v>
      </c>
      <c r="AX335" s="88">
        <f>SUMIF(月間集計シート!$M$134:$M$153,$G335,月間集計シート!S$134:S$153)*AX$2</f>
        <v>0</v>
      </c>
      <c r="AY335" s="88">
        <f>SUMIF(月間集計シート!$M$134:$M$153,$G335,月間集計シート!T$134:T$153)*AY$2</f>
        <v>0</v>
      </c>
    </row>
    <row r="336" spans="1:51" ht="14.25" thickBot="1">
      <c r="A336">
        <v>4</v>
      </c>
      <c r="B336" s="120">
        <f t="shared" si="138"/>
        <v>0</v>
      </c>
      <c r="C336" s="120" t="str">
        <f t="shared" si="138"/>
        <v/>
      </c>
      <c r="D336" s="137"/>
      <c r="E336" s="150" t="str">
        <f>工種!A73</f>
        <v>90108</v>
      </c>
      <c r="F336" s="119" t="str">
        <f>工種!B73</f>
        <v>管理業務：外部不具合分析</v>
      </c>
      <c r="G336" s="116" t="str">
        <f t="shared" si="135"/>
        <v>090108</v>
      </c>
      <c r="H336" s="88">
        <f t="shared" si="137"/>
        <v>0</v>
      </c>
      <c r="I336" s="132"/>
      <c r="J336" s="88">
        <f>SUMIF(月間集計シート!$M$29:$M$48,$G336,月間集計シート!N$29:N$48)*J$2</f>
        <v>0</v>
      </c>
      <c r="K336" s="88">
        <f>SUMIF(月間集計シート!$M$29:$M$48,$G336,月間集計シート!O$29:O$48)*K$2</f>
        <v>0</v>
      </c>
      <c r="L336" s="88">
        <f>SUMIF(月間集計シート!$M$29:$M$48,$G336,月間集計シート!P$29:P$48)*L$2</f>
        <v>0</v>
      </c>
      <c r="M336" s="88">
        <f>SUMIF(月間集計シート!$M$29:$M$48,$G336,月間集計シート!Q$29:Q$48)*M$2</f>
        <v>0</v>
      </c>
      <c r="N336" s="88">
        <f>SUMIF(月間集計シート!$M$29:$M$48,$G336,月間集計シート!R$29:R$48)*N$2</f>
        <v>0</v>
      </c>
      <c r="O336" s="88">
        <f>SUMIF(月間集計シート!$M$29:$M$48,$G336,月間集計シート!S$29:S$48)*O$2</f>
        <v>0</v>
      </c>
      <c r="P336" s="88">
        <f>SUMIF(月間集計シート!$M$29:$M$48,$G336,月間集計シート!T$29:T$48)*P$2</f>
        <v>0</v>
      </c>
      <c r="Q336" s="88">
        <f>SUMIF(月間集計シート!$M$50:$M$69,$G336,月間集計シート!N$50:N$69)*Q$2</f>
        <v>0</v>
      </c>
      <c r="R336" s="88">
        <f>SUMIF(月間集計シート!$M$50:$M$69,$G336,月間集計シート!O$50:O$69)*R$2</f>
        <v>0</v>
      </c>
      <c r="S336" s="88">
        <f>SUMIF(月間集計シート!$M$50:$M$69,$G336,月間集計シート!P$50:P$69)*S$2</f>
        <v>0</v>
      </c>
      <c r="T336" s="88">
        <f>SUMIF(月間集計シート!$M$50:$M$69,$G336,月間集計シート!Q$50:Q$69)*T$2</f>
        <v>0</v>
      </c>
      <c r="U336" s="88">
        <f>SUMIF(月間集計シート!$M$50:$M$69,$G336,月間集計シート!R$50:R$69)*U$2</f>
        <v>0</v>
      </c>
      <c r="V336" s="88">
        <f>SUMIF(月間集計シート!$M$50:$M$69,$G336,月間集計シート!S$50:S$69)*V$2</f>
        <v>0</v>
      </c>
      <c r="W336" s="88">
        <f>SUMIF(月間集計シート!$M$50:$M$69,$G336,月間集計シート!T$50:T$69)*W$2</f>
        <v>0</v>
      </c>
      <c r="X336" s="88">
        <f>SUMIF(月間集計シート!$M$71:$M$90,$G336,月間集計シート!N$71:N$90)*X$2</f>
        <v>0</v>
      </c>
      <c r="Y336" s="88">
        <f>SUMIF(月間集計シート!$M$71:$M$90,$G336,月間集計シート!O$71:O$90)*Y$2</f>
        <v>0</v>
      </c>
      <c r="Z336" s="88">
        <f>SUMIF(月間集計シート!$M$71:$M$90,$G336,月間集計シート!P$71:P$90)*Z$2</f>
        <v>0</v>
      </c>
      <c r="AA336" s="88">
        <f>SUMIF(月間集計シート!$M$71:$M$90,$G336,月間集計シート!Q$71:Q$90)*AA$2</f>
        <v>0</v>
      </c>
      <c r="AB336" s="88">
        <f>SUMIF(月間集計シート!$M$71:$M$90,$G336,月間集計シート!R$71:R$90)*AB$2</f>
        <v>0</v>
      </c>
      <c r="AC336" s="88">
        <f>SUMIF(月間集計シート!$M$71:$M$90,$G336,月間集計シート!S$71:S$90)*AC$2</f>
        <v>0</v>
      </c>
      <c r="AD336" s="88">
        <f>SUMIF(月間集計シート!$M$71:$M$90,$G336,月間集計シート!T$71:T$90)*AD$2</f>
        <v>0</v>
      </c>
      <c r="AE336" s="88">
        <f>SUMIF(月間集計シート!$M$92:$M$111,$G336,月間集計シート!N$92:N$111)*AE$2</f>
        <v>0</v>
      </c>
      <c r="AF336" s="88">
        <f>SUMIF(月間集計シート!$M$92:$M$111,$G336,月間集計シート!O$92:O$111)*AF$2</f>
        <v>0</v>
      </c>
      <c r="AG336" s="88">
        <f>SUMIF(月間集計シート!$M$92:$M$111,$G336,月間集計シート!P$92:P$111)*AG$2</f>
        <v>0</v>
      </c>
      <c r="AH336" s="88">
        <f>SUMIF(月間集計シート!$M$92:$M$111,$G336,月間集計シート!Q$92:Q$111)*AH$2</f>
        <v>0</v>
      </c>
      <c r="AI336" s="88">
        <f>SUMIF(月間集計シート!$M$92:$M$111,$G336,月間集計シート!R$92:R$111)*AI$2</f>
        <v>0</v>
      </c>
      <c r="AJ336" s="88">
        <f>SUMIF(月間集計シート!$M$92:$M$111,$G336,月間集計シート!S$92:S$111)*AJ$2</f>
        <v>0</v>
      </c>
      <c r="AK336" s="88">
        <f>SUMIF(月間集計シート!$M$92:$M$111,$G336,月間集計シート!T$92:T$111)*AK$2</f>
        <v>0</v>
      </c>
      <c r="AL336" s="88">
        <f>SUMIF(月間集計シート!$M$113:$M$132,$G336,月間集計シート!N$113:N$132)*AL$2</f>
        <v>0</v>
      </c>
      <c r="AM336" s="88">
        <f>SUMIF(月間集計シート!$M$113:$M$132,$G336,月間集計シート!O$113:O$132)*AM$2</f>
        <v>0</v>
      </c>
      <c r="AN336" s="88">
        <f>SUMIF(月間集計シート!$M$113:$M$132,$G336,月間集計シート!P$113:P$132)*AN$2</f>
        <v>0</v>
      </c>
      <c r="AO336" s="88">
        <f>SUMIF(月間集計シート!$M$113:$M$132,$G336,月間集計シート!Q$113:Q$132)*AO$2</f>
        <v>0</v>
      </c>
      <c r="AP336" s="88">
        <f>SUMIF(月間集計シート!$M$113:$M$132,$G336,月間集計シート!R$113:R$132)*AP$2</f>
        <v>0</v>
      </c>
      <c r="AQ336" s="88">
        <f>SUMIF(月間集計シート!$M$113:$M$132,$G336,月間集計シート!S$113:S$132)*AQ$2</f>
        <v>0</v>
      </c>
      <c r="AR336" s="88">
        <f>SUMIF(月間集計シート!$M$113:$M$132,$G336,月間集計シート!T$113:T$132)*AR$2</f>
        <v>0</v>
      </c>
      <c r="AS336" s="88">
        <f>SUMIF(月間集計シート!$M$134:$M$153,$G336,月間集計シート!N$134:N$153)*AS$2</f>
        <v>0</v>
      </c>
      <c r="AT336" s="88">
        <f>SUMIF(月間集計シート!$M$134:$M$153,$G336,月間集計シート!O$134:O$153)*AT$2</f>
        <v>0</v>
      </c>
      <c r="AU336" s="88">
        <f>SUMIF(月間集計シート!$M$134:$M$153,$G336,月間集計シート!P$134:P$153)*AU$2</f>
        <v>0</v>
      </c>
      <c r="AV336" s="88">
        <f>SUMIF(月間集計シート!$M$134:$M$153,$G336,月間集計シート!Q$134:Q$153)*AV$2</f>
        <v>0</v>
      </c>
      <c r="AW336" s="88">
        <f>SUMIF(月間集計シート!$M$134:$M$153,$G336,月間集計シート!R$134:R$153)*AW$2</f>
        <v>0</v>
      </c>
      <c r="AX336" s="88">
        <f>SUMIF(月間集計シート!$M$134:$M$153,$G336,月間集計シート!S$134:S$153)*AX$2</f>
        <v>0</v>
      </c>
      <c r="AY336" s="88">
        <f>SUMIF(月間集計シート!$M$134:$M$153,$G336,月間集計シート!T$134:T$153)*AY$2</f>
        <v>0</v>
      </c>
    </row>
    <row r="337" spans="1:51" ht="14.25" thickBot="1">
      <c r="A337">
        <v>4</v>
      </c>
      <c r="B337" s="120">
        <f t="shared" si="138"/>
        <v>0</v>
      </c>
      <c r="C337" s="120" t="str">
        <f t="shared" si="138"/>
        <v/>
      </c>
      <c r="D337" s="137"/>
      <c r="E337" s="150" t="str">
        <f>工種!A74</f>
        <v>90110</v>
      </c>
      <c r="F337" s="119" t="str">
        <f>工種!B74</f>
        <v>管理業務：打合せ</v>
      </c>
      <c r="G337" s="116" t="str">
        <f t="shared" si="135"/>
        <v>090110</v>
      </c>
      <c r="H337" s="88">
        <f t="shared" si="137"/>
        <v>0</v>
      </c>
      <c r="I337" s="132"/>
      <c r="J337" s="88">
        <f>SUMIF(月間集計シート!$M$29:$M$48,$G337,月間集計シート!N$29:N$48)*J$2</f>
        <v>0</v>
      </c>
      <c r="K337" s="88">
        <f>SUMIF(月間集計シート!$M$29:$M$48,$G337,月間集計シート!O$29:O$48)*K$2</f>
        <v>0</v>
      </c>
      <c r="L337" s="88">
        <f>SUMIF(月間集計シート!$M$29:$M$48,$G337,月間集計シート!P$29:P$48)*L$2</f>
        <v>0</v>
      </c>
      <c r="M337" s="88">
        <f>SUMIF(月間集計シート!$M$29:$M$48,$G337,月間集計シート!Q$29:Q$48)*M$2</f>
        <v>0</v>
      </c>
      <c r="N337" s="88">
        <f>SUMIF(月間集計シート!$M$29:$M$48,$G337,月間集計シート!R$29:R$48)*N$2</f>
        <v>0</v>
      </c>
      <c r="O337" s="88">
        <f>SUMIF(月間集計シート!$M$29:$M$48,$G337,月間集計シート!S$29:S$48)*O$2</f>
        <v>0</v>
      </c>
      <c r="P337" s="88">
        <f>SUMIF(月間集計シート!$M$29:$M$48,$G337,月間集計シート!T$29:T$48)*P$2</f>
        <v>0</v>
      </c>
      <c r="Q337" s="88">
        <f>SUMIF(月間集計シート!$M$50:$M$69,$G337,月間集計シート!N$50:N$69)*Q$2</f>
        <v>0</v>
      </c>
      <c r="R337" s="88">
        <f>SUMIF(月間集計シート!$M$50:$M$69,$G337,月間集計シート!O$50:O$69)*R$2</f>
        <v>0</v>
      </c>
      <c r="S337" s="88">
        <f>SUMIF(月間集計シート!$M$50:$M$69,$G337,月間集計シート!P$50:P$69)*S$2</f>
        <v>0</v>
      </c>
      <c r="T337" s="88">
        <f>SUMIF(月間集計シート!$M$50:$M$69,$G337,月間集計シート!Q$50:Q$69)*T$2</f>
        <v>0</v>
      </c>
      <c r="U337" s="88">
        <f>SUMIF(月間集計シート!$M$50:$M$69,$G337,月間集計シート!R$50:R$69)*U$2</f>
        <v>0</v>
      </c>
      <c r="V337" s="88">
        <f>SUMIF(月間集計シート!$M$50:$M$69,$G337,月間集計シート!S$50:S$69)*V$2</f>
        <v>0</v>
      </c>
      <c r="W337" s="88">
        <f>SUMIF(月間集計シート!$M$50:$M$69,$G337,月間集計シート!T$50:T$69)*W$2</f>
        <v>0</v>
      </c>
      <c r="X337" s="88">
        <f>SUMIF(月間集計シート!$M$71:$M$90,$G337,月間集計シート!N$71:N$90)*X$2</f>
        <v>0</v>
      </c>
      <c r="Y337" s="88">
        <f>SUMIF(月間集計シート!$M$71:$M$90,$G337,月間集計シート!O$71:O$90)*Y$2</f>
        <v>0</v>
      </c>
      <c r="Z337" s="88">
        <f>SUMIF(月間集計シート!$M$71:$M$90,$G337,月間集計シート!P$71:P$90)*Z$2</f>
        <v>0</v>
      </c>
      <c r="AA337" s="88">
        <f>SUMIF(月間集計シート!$M$71:$M$90,$G337,月間集計シート!Q$71:Q$90)*AA$2</f>
        <v>0</v>
      </c>
      <c r="AB337" s="88">
        <f>SUMIF(月間集計シート!$M$71:$M$90,$G337,月間集計シート!R$71:R$90)*AB$2</f>
        <v>0</v>
      </c>
      <c r="AC337" s="88">
        <f>SUMIF(月間集計シート!$M$71:$M$90,$G337,月間集計シート!S$71:S$90)*AC$2</f>
        <v>0</v>
      </c>
      <c r="AD337" s="88">
        <f>SUMIF(月間集計シート!$M$71:$M$90,$G337,月間集計シート!T$71:T$90)*AD$2</f>
        <v>0</v>
      </c>
      <c r="AE337" s="88">
        <f>SUMIF(月間集計シート!$M$92:$M$111,$G337,月間集計シート!N$92:N$111)*AE$2</f>
        <v>0</v>
      </c>
      <c r="AF337" s="88">
        <f>SUMIF(月間集計シート!$M$92:$M$111,$G337,月間集計シート!O$92:O$111)*AF$2</f>
        <v>0</v>
      </c>
      <c r="AG337" s="88">
        <f>SUMIF(月間集計シート!$M$92:$M$111,$G337,月間集計シート!P$92:P$111)*AG$2</f>
        <v>0</v>
      </c>
      <c r="AH337" s="88">
        <f>SUMIF(月間集計シート!$M$92:$M$111,$G337,月間集計シート!Q$92:Q$111)*AH$2</f>
        <v>0</v>
      </c>
      <c r="AI337" s="88">
        <f>SUMIF(月間集計シート!$M$92:$M$111,$G337,月間集計シート!R$92:R$111)*AI$2</f>
        <v>0</v>
      </c>
      <c r="AJ337" s="88">
        <f>SUMIF(月間集計シート!$M$92:$M$111,$G337,月間集計シート!S$92:S$111)*AJ$2</f>
        <v>0</v>
      </c>
      <c r="AK337" s="88">
        <f>SUMIF(月間集計シート!$M$92:$M$111,$G337,月間集計シート!T$92:T$111)*AK$2</f>
        <v>0</v>
      </c>
      <c r="AL337" s="88">
        <f>SUMIF(月間集計シート!$M$113:$M$132,$G337,月間集計シート!N$113:N$132)*AL$2</f>
        <v>0</v>
      </c>
      <c r="AM337" s="88">
        <f>SUMIF(月間集計シート!$M$113:$M$132,$G337,月間集計シート!O$113:O$132)*AM$2</f>
        <v>0</v>
      </c>
      <c r="AN337" s="88">
        <f>SUMIF(月間集計シート!$M$113:$M$132,$G337,月間集計シート!P$113:P$132)*AN$2</f>
        <v>0</v>
      </c>
      <c r="AO337" s="88">
        <f>SUMIF(月間集計シート!$M$113:$M$132,$G337,月間集計シート!Q$113:Q$132)*AO$2</f>
        <v>0</v>
      </c>
      <c r="AP337" s="88">
        <f>SUMIF(月間集計シート!$M$113:$M$132,$G337,月間集計シート!R$113:R$132)*AP$2</f>
        <v>0</v>
      </c>
      <c r="AQ337" s="88">
        <f>SUMIF(月間集計シート!$M$113:$M$132,$G337,月間集計シート!S$113:S$132)*AQ$2</f>
        <v>0</v>
      </c>
      <c r="AR337" s="88">
        <f>SUMIF(月間集計シート!$M$113:$M$132,$G337,月間集計シート!T$113:T$132)*AR$2</f>
        <v>0</v>
      </c>
      <c r="AS337" s="88">
        <f>SUMIF(月間集計シート!$M$134:$M$153,$G337,月間集計シート!N$134:N$153)*AS$2</f>
        <v>0</v>
      </c>
      <c r="AT337" s="88">
        <f>SUMIF(月間集計シート!$M$134:$M$153,$G337,月間集計シート!O$134:O$153)*AT$2</f>
        <v>0</v>
      </c>
      <c r="AU337" s="88">
        <f>SUMIF(月間集計シート!$M$134:$M$153,$G337,月間集計シート!P$134:P$153)*AU$2</f>
        <v>0</v>
      </c>
      <c r="AV337" s="88">
        <f>SUMIF(月間集計シート!$M$134:$M$153,$G337,月間集計シート!Q$134:Q$153)*AV$2</f>
        <v>0</v>
      </c>
      <c r="AW337" s="88">
        <f>SUMIF(月間集計シート!$M$134:$M$153,$G337,月間集計シート!R$134:R$153)*AW$2</f>
        <v>0</v>
      </c>
      <c r="AX337" s="88">
        <f>SUMIF(月間集計シート!$M$134:$M$153,$G337,月間集計シート!S$134:S$153)*AX$2</f>
        <v>0</v>
      </c>
      <c r="AY337" s="88">
        <f>SUMIF(月間集計シート!$M$134:$M$153,$G337,月間集計シート!T$134:T$153)*AY$2</f>
        <v>0</v>
      </c>
    </row>
    <row r="338" spans="1:51" ht="14.25" thickBot="1">
      <c r="A338">
        <v>4</v>
      </c>
      <c r="B338" s="120">
        <f t="shared" si="138"/>
        <v>0</v>
      </c>
      <c r="C338" s="120" t="str">
        <f t="shared" si="138"/>
        <v/>
      </c>
      <c r="D338" s="137"/>
      <c r="E338" s="150" t="str">
        <f>工種!A75</f>
        <v>90111</v>
      </c>
      <c r="F338" s="119" t="str">
        <f>工種!B75</f>
        <v>管理業務：レビュー</v>
      </c>
      <c r="G338" s="116" t="str">
        <f t="shared" si="135"/>
        <v>090111</v>
      </c>
      <c r="H338" s="88">
        <f t="shared" si="137"/>
        <v>0</v>
      </c>
      <c r="I338" s="132"/>
      <c r="J338" s="88">
        <f>SUMIF(月間集計シート!$M$29:$M$48,$G338,月間集計シート!N$29:N$48)*J$2</f>
        <v>0</v>
      </c>
      <c r="K338" s="88">
        <f>SUMIF(月間集計シート!$M$29:$M$48,$G338,月間集計シート!O$29:O$48)*K$2</f>
        <v>0</v>
      </c>
      <c r="L338" s="88">
        <f>SUMIF(月間集計シート!$M$29:$M$48,$G338,月間集計シート!P$29:P$48)*L$2</f>
        <v>0</v>
      </c>
      <c r="M338" s="88">
        <f>SUMIF(月間集計シート!$M$29:$M$48,$G338,月間集計シート!Q$29:Q$48)*M$2</f>
        <v>0</v>
      </c>
      <c r="N338" s="88">
        <f>SUMIF(月間集計シート!$M$29:$M$48,$G338,月間集計シート!R$29:R$48)*N$2</f>
        <v>0</v>
      </c>
      <c r="O338" s="88">
        <f>SUMIF(月間集計シート!$M$29:$M$48,$G338,月間集計シート!S$29:S$48)*O$2</f>
        <v>0</v>
      </c>
      <c r="P338" s="88">
        <f>SUMIF(月間集計シート!$M$29:$M$48,$G338,月間集計シート!T$29:T$48)*P$2</f>
        <v>0</v>
      </c>
      <c r="Q338" s="88">
        <f>SUMIF(月間集計シート!$M$50:$M$69,$G338,月間集計シート!N$50:N$69)*Q$2</f>
        <v>0</v>
      </c>
      <c r="R338" s="88">
        <f>SUMIF(月間集計シート!$M$50:$M$69,$G338,月間集計シート!O$50:O$69)*R$2</f>
        <v>0</v>
      </c>
      <c r="S338" s="88">
        <f>SUMIF(月間集計シート!$M$50:$M$69,$G338,月間集計シート!P$50:P$69)*S$2</f>
        <v>0</v>
      </c>
      <c r="T338" s="88">
        <f>SUMIF(月間集計シート!$M$50:$M$69,$G338,月間集計シート!Q$50:Q$69)*T$2</f>
        <v>0</v>
      </c>
      <c r="U338" s="88">
        <f>SUMIF(月間集計シート!$M$50:$M$69,$G338,月間集計シート!R$50:R$69)*U$2</f>
        <v>0</v>
      </c>
      <c r="V338" s="88">
        <f>SUMIF(月間集計シート!$M$50:$M$69,$G338,月間集計シート!S$50:S$69)*V$2</f>
        <v>0</v>
      </c>
      <c r="W338" s="88">
        <f>SUMIF(月間集計シート!$M$50:$M$69,$G338,月間集計シート!T$50:T$69)*W$2</f>
        <v>0</v>
      </c>
      <c r="X338" s="88">
        <f>SUMIF(月間集計シート!$M$71:$M$90,$G338,月間集計シート!N$71:N$90)*X$2</f>
        <v>0</v>
      </c>
      <c r="Y338" s="88">
        <f>SUMIF(月間集計シート!$M$71:$M$90,$G338,月間集計シート!O$71:O$90)*Y$2</f>
        <v>0</v>
      </c>
      <c r="Z338" s="88">
        <f>SUMIF(月間集計シート!$M$71:$M$90,$G338,月間集計シート!P$71:P$90)*Z$2</f>
        <v>0</v>
      </c>
      <c r="AA338" s="88">
        <f>SUMIF(月間集計シート!$M$71:$M$90,$G338,月間集計シート!Q$71:Q$90)*AA$2</f>
        <v>0</v>
      </c>
      <c r="AB338" s="88">
        <f>SUMIF(月間集計シート!$M$71:$M$90,$G338,月間集計シート!R$71:R$90)*AB$2</f>
        <v>0</v>
      </c>
      <c r="AC338" s="88">
        <f>SUMIF(月間集計シート!$M$71:$M$90,$G338,月間集計シート!S$71:S$90)*AC$2</f>
        <v>0</v>
      </c>
      <c r="AD338" s="88">
        <f>SUMIF(月間集計シート!$M$71:$M$90,$G338,月間集計シート!T$71:T$90)*AD$2</f>
        <v>0</v>
      </c>
      <c r="AE338" s="88">
        <f>SUMIF(月間集計シート!$M$92:$M$111,$G338,月間集計シート!N$92:N$111)*AE$2</f>
        <v>0</v>
      </c>
      <c r="AF338" s="88">
        <f>SUMIF(月間集計シート!$M$92:$M$111,$G338,月間集計シート!O$92:O$111)*AF$2</f>
        <v>0</v>
      </c>
      <c r="AG338" s="88">
        <f>SUMIF(月間集計シート!$M$92:$M$111,$G338,月間集計シート!P$92:P$111)*AG$2</f>
        <v>0</v>
      </c>
      <c r="AH338" s="88">
        <f>SUMIF(月間集計シート!$M$92:$M$111,$G338,月間集計シート!Q$92:Q$111)*AH$2</f>
        <v>0</v>
      </c>
      <c r="AI338" s="88">
        <f>SUMIF(月間集計シート!$M$92:$M$111,$G338,月間集計シート!R$92:R$111)*AI$2</f>
        <v>0</v>
      </c>
      <c r="AJ338" s="88">
        <f>SUMIF(月間集計シート!$M$92:$M$111,$G338,月間集計シート!S$92:S$111)*AJ$2</f>
        <v>0</v>
      </c>
      <c r="AK338" s="88">
        <f>SUMIF(月間集計シート!$M$92:$M$111,$G338,月間集計シート!T$92:T$111)*AK$2</f>
        <v>0</v>
      </c>
      <c r="AL338" s="88">
        <f>SUMIF(月間集計シート!$M$113:$M$132,$G338,月間集計シート!N$113:N$132)*AL$2</f>
        <v>0</v>
      </c>
      <c r="AM338" s="88">
        <f>SUMIF(月間集計シート!$M$113:$M$132,$G338,月間集計シート!O$113:O$132)*AM$2</f>
        <v>0</v>
      </c>
      <c r="AN338" s="88">
        <f>SUMIF(月間集計シート!$M$113:$M$132,$G338,月間集計シート!P$113:P$132)*AN$2</f>
        <v>0</v>
      </c>
      <c r="AO338" s="88">
        <f>SUMIF(月間集計シート!$M$113:$M$132,$G338,月間集計シート!Q$113:Q$132)*AO$2</f>
        <v>0</v>
      </c>
      <c r="AP338" s="88">
        <f>SUMIF(月間集計シート!$M$113:$M$132,$G338,月間集計シート!R$113:R$132)*AP$2</f>
        <v>0</v>
      </c>
      <c r="AQ338" s="88">
        <f>SUMIF(月間集計シート!$M$113:$M$132,$G338,月間集計シート!S$113:S$132)*AQ$2</f>
        <v>0</v>
      </c>
      <c r="AR338" s="88">
        <f>SUMIF(月間集計シート!$M$113:$M$132,$G338,月間集計シート!T$113:T$132)*AR$2</f>
        <v>0</v>
      </c>
      <c r="AS338" s="88">
        <f>SUMIF(月間集計シート!$M$134:$M$153,$G338,月間集計シート!N$134:N$153)*AS$2</f>
        <v>0</v>
      </c>
      <c r="AT338" s="88">
        <f>SUMIF(月間集計シート!$M$134:$M$153,$G338,月間集計シート!O$134:O$153)*AT$2</f>
        <v>0</v>
      </c>
      <c r="AU338" s="88">
        <f>SUMIF(月間集計シート!$M$134:$M$153,$G338,月間集計シート!P$134:P$153)*AU$2</f>
        <v>0</v>
      </c>
      <c r="AV338" s="88">
        <f>SUMIF(月間集計シート!$M$134:$M$153,$G338,月間集計シート!Q$134:Q$153)*AV$2</f>
        <v>0</v>
      </c>
      <c r="AW338" s="88">
        <f>SUMIF(月間集計シート!$M$134:$M$153,$G338,月間集計シート!R$134:R$153)*AW$2</f>
        <v>0</v>
      </c>
      <c r="AX338" s="88">
        <f>SUMIF(月間集計シート!$M$134:$M$153,$G338,月間集計シート!S$134:S$153)*AX$2</f>
        <v>0</v>
      </c>
      <c r="AY338" s="88">
        <f>SUMIF(月間集計シート!$M$134:$M$153,$G338,月間集計シート!T$134:T$153)*AY$2</f>
        <v>0</v>
      </c>
    </row>
    <row r="339" spans="1:51" ht="14.25" thickBot="1">
      <c r="A339">
        <v>4</v>
      </c>
      <c r="B339" s="120">
        <f t="shared" si="138"/>
        <v>0</v>
      </c>
      <c r="C339" s="120" t="str">
        <f t="shared" si="138"/>
        <v/>
      </c>
      <c r="D339" s="137"/>
      <c r="E339" s="150" t="str">
        <f>工種!A76</f>
        <v>90199</v>
      </c>
      <c r="F339" s="119" t="str">
        <f>工種!B76</f>
        <v>管理業務：その他</v>
      </c>
      <c r="G339" s="116" t="str">
        <f t="shared" si="135"/>
        <v>090199</v>
      </c>
      <c r="H339" s="88">
        <f t="shared" si="137"/>
        <v>0</v>
      </c>
      <c r="I339" s="132"/>
      <c r="J339" s="88">
        <f>SUMIF(月間集計シート!$M$29:$M$48,$G339,月間集計シート!N$29:N$48)*J$2</f>
        <v>0</v>
      </c>
      <c r="K339" s="88">
        <f>SUMIF(月間集計シート!$M$29:$M$48,$G339,月間集計シート!O$29:O$48)*K$2</f>
        <v>0</v>
      </c>
      <c r="L339" s="88">
        <f>SUMIF(月間集計シート!$M$29:$M$48,$G339,月間集計シート!P$29:P$48)*L$2</f>
        <v>0</v>
      </c>
      <c r="M339" s="88">
        <f>SUMIF(月間集計シート!$M$29:$M$48,$G339,月間集計シート!Q$29:Q$48)*M$2</f>
        <v>0</v>
      </c>
      <c r="N339" s="88">
        <f>SUMIF(月間集計シート!$M$29:$M$48,$G339,月間集計シート!R$29:R$48)*N$2</f>
        <v>0</v>
      </c>
      <c r="O339" s="88">
        <f>SUMIF(月間集計シート!$M$29:$M$48,$G339,月間集計シート!S$29:S$48)*O$2</f>
        <v>0</v>
      </c>
      <c r="P339" s="88">
        <f>SUMIF(月間集計シート!$M$29:$M$48,$G339,月間集計シート!T$29:T$48)*P$2</f>
        <v>0</v>
      </c>
      <c r="Q339" s="88">
        <f>SUMIF(月間集計シート!$M$50:$M$69,$G339,月間集計シート!N$50:N$69)*Q$2</f>
        <v>0</v>
      </c>
      <c r="R339" s="88">
        <f>SUMIF(月間集計シート!$M$50:$M$69,$G339,月間集計シート!O$50:O$69)*R$2</f>
        <v>0</v>
      </c>
      <c r="S339" s="88">
        <f>SUMIF(月間集計シート!$M$50:$M$69,$G339,月間集計シート!P$50:P$69)*S$2</f>
        <v>0</v>
      </c>
      <c r="T339" s="88">
        <f>SUMIF(月間集計シート!$M$50:$M$69,$G339,月間集計シート!Q$50:Q$69)*T$2</f>
        <v>0</v>
      </c>
      <c r="U339" s="88">
        <f>SUMIF(月間集計シート!$M$50:$M$69,$G339,月間集計シート!R$50:R$69)*U$2</f>
        <v>0</v>
      </c>
      <c r="V339" s="88">
        <f>SUMIF(月間集計シート!$M$50:$M$69,$G339,月間集計シート!S$50:S$69)*V$2</f>
        <v>0</v>
      </c>
      <c r="W339" s="88">
        <f>SUMIF(月間集計シート!$M$50:$M$69,$G339,月間集計シート!T$50:T$69)*W$2</f>
        <v>0</v>
      </c>
      <c r="X339" s="88">
        <f>SUMIF(月間集計シート!$M$71:$M$90,$G339,月間集計シート!N$71:N$90)*X$2</f>
        <v>0</v>
      </c>
      <c r="Y339" s="88">
        <f>SUMIF(月間集計シート!$M$71:$M$90,$G339,月間集計シート!O$71:O$90)*Y$2</f>
        <v>0</v>
      </c>
      <c r="Z339" s="88">
        <f>SUMIF(月間集計シート!$M$71:$M$90,$G339,月間集計シート!P$71:P$90)*Z$2</f>
        <v>0</v>
      </c>
      <c r="AA339" s="88">
        <f>SUMIF(月間集計シート!$M$71:$M$90,$G339,月間集計シート!Q$71:Q$90)*AA$2</f>
        <v>0</v>
      </c>
      <c r="AB339" s="88">
        <f>SUMIF(月間集計シート!$M$71:$M$90,$G339,月間集計シート!R$71:R$90)*AB$2</f>
        <v>0</v>
      </c>
      <c r="AC339" s="88">
        <f>SUMIF(月間集計シート!$M$71:$M$90,$G339,月間集計シート!S$71:S$90)*AC$2</f>
        <v>0</v>
      </c>
      <c r="AD339" s="88">
        <f>SUMIF(月間集計シート!$M$71:$M$90,$G339,月間集計シート!T$71:T$90)*AD$2</f>
        <v>0</v>
      </c>
      <c r="AE339" s="88">
        <f>SUMIF(月間集計シート!$M$92:$M$111,$G339,月間集計シート!N$92:N$111)*AE$2</f>
        <v>0</v>
      </c>
      <c r="AF339" s="88">
        <f>SUMIF(月間集計シート!$M$92:$M$111,$G339,月間集計シート!O$92:O$111)*AF$2</f>
        <v>0</v>
      </c>
      <c r="AG339" s="88">
        <f>SUMIF(月間集計シート!$M$92:$M$111,$G339,月間集計シート!P$92:P$111)*AG$2</f>
        <v>0</v>
      </c>
      <c r="AH339" s="88">
        <f>SUMIF(月間集計シート!$M$92:$M$111,$G339,月間集計シート!Q$92:Q$111)*AH$2</f>
        <v>0</v>
      </c>
      <c r="AI339" s="88">
        <f>SUMIF(月間集計シート!$M$92:$M$111,$G339,月間集計シート!R$92:R$111)*AI$2</f>
        <v>0</v>
      </c>
      <c r="AJ339" s="88">
        <f>SUMIF(月間集計シート!$M$92:$M$111,$G339,月間集計シート!S$92:S$111)*AJ$2</f>
        <v>0</v>
      </c>
      <c r="AK339" s="88">
        <f>SUMIF(月間集計シート!$M$92:$M$111,$G339,月間集計シート!T$92:T$111)*AK$2</f>
        <v>0</v>
      </c>
      <c r="AL339" s="88">
        <f>SUMIF(月間集計シート!$M$113:$M$132,$G339,月間集計シート!N$113:N$132)*AL$2</f>
        <v>0</v>
      </c>
      <c r="AM339" s="88">
        <f>SUMIF(月間集計シート!$M$113:$M$132,$G339,月間集計シート!O$113:O$132)*AM$2</f>
        <v>0</v>
      </c>
      <c r="AN339" s="88">
        <f>SUMIF(月間集計シート!$M$113:$M$132,$G339,月間集計シート!P$113:P$132)*AN$2</f>
        <v>0</v>
      </c>
      <c r="AO339" s="88">
        <f>SUMIF(月間集計シート!$M$113:$M$132,$G339,月間集計シート!Q$113:Q$132)*AO$2</f>
        <v>0</v>
      </c>
      <c r="AP339" s="88">
        <f>SUMIF(月間集計シート!$M$113:$M$132,$G339,月間集計シート!R$113:R$132)*AP$2</f>
        <v>0</v>
      </c>
      <c r="AQ339" s="88">
        <f>SUMIF(月間集計シート!$M$113:$M$132,$G339,月間集計シート!S$113:S$132)*AQ$2</f>
        <v>0</v>
      </c>
      <c r="AR339" s="88">
        <f>SUMIF(月間集計シート!$M$113:$M$132,$G339,月間集計シート!T$113:T$132)*AR$2</f>
        <v>0</v>
      </c>
      <c r="AS339" s="88">
        <f>SUMIF(月間集計シート!$M$134:$M$153,$G339,月間集計シート!N$134:N$153)*AS$2</f>
        <v>0</v>
      </c>
      <c r="AT339" s="88">
        <f>SUMIF(月間集計シート!$M$134:$M$153,$G339,月間集計シート!O$134:O$153)*AT$2</f>
        <v>0</v>
      </c>
      <c r="AU339" s="88">
        <f>SUMIF(月間集計シート!$M$134:$M$153,$G339,月間集計シート!P$134:P$153)*AU$2</f>
        <v>0</v>
      </c>
      <c r="AV339" s="88">
        <f>SUMIF(月間集計シート!$M$134:$M$153,$G339,月間集計シート!Q$134:Q$153)*AV$2</f>
        <v>0</v>
      </c>
      <c r="AW339" s="88">
        <f>SUMIF(月間集計シート!$M$134:$M$153,$G339,月間集計シート!R$134:R$153)*AW$2</f>
        <v>0</v>
      </c>
      <c r="AX339" s="88">
        <f>SUMIF(月間集計シート!$M$134:$M$153,$G339,月間集計シート!S$134:S$153)*AX$2</f>
        <v>0</v>
      </c>
      <c r="AY339" s="88">
        <f>SUMIF(月間集計シート!$M$134:$M$153,$G339,月間集計シート!T$134:T$153)*AY$2</f>
        <v>0</v>
      </c>
    </row>
    <row r="340" spans="1:51" ht="14.25" thickBot="1">
      <c r="A340">
        <v>4</v>
      </c>
      <c r="B340" s="120">
        <f t="shared" si="138"/>
        <v>0</v>
      </c>
      <c r="C340" s="120" t="str">
        <f t="shared" si="138"/>
        <v/>
      </c>
      <c r="D340" s="137"/>
      <c r="E340" s="150">
        <f>工種!A77</f>
        <v>99102</v>
      </c>
      <c r="F340" s="119" t="str">
        <f>工種!B77</f>
        <v>間接業務：業務環境管理（PCｾｯﾄｱｯﾌﾟ等）</v>
      </c>
      <c r="G340" s="116" t="str">
        <f t="shared" si="135"/>
        <v>099102</v>
      </c>
      <c r="H340" s="88">
        <f t="shared" si="137"/>
        <v>0</v>
      </c>
      <c r="I340" s="132"/>
      <c r="J340" s="88">
        <f>SUMIF(月間集計シート!$M$29:$M$48,$G340,月間集計シート!N$29:N$48)*J$2</f>
        <v>0</v>
      </c>
      <c r="K340" s="88">
        <f>SUMIF(月間集計シート!$M$29:$M$48,$G340,月間集計シート!O$29:O$48)*K$2</f>
        <v>0</v>
      </c>
      <c r="L340" s="88">
        <f>SUMIF(月間集計シート!$M$29:$M$48,$G340,月間集計シート!P$29:P$48)*L$2</f>
        <v>0</v>
      </c>
      <c r="M340" s="88">
        <f>SUMIF(月間集計シート!$M$29:$M$48,$G340,月間集計シート!Q$29:Q$48)*M$2</f>
        <v>0</v>
      </c>
      <c r="N340" s="88">
        <f>SUMIF(月間集計シート!$M$29:$M$48,$G340,月間集計シート!R$29:R$48)*N$2</f>
        <v>0</v>
      </c>
      <c r="O340" s="88">
        <f>SUMIF(月間集計シート!$M$29:$M$48,$G340,月間集計シート!S$29:S$48)*O$2</f>
        <v>0</v>
      </c>
      <c r="P340" s="88">
        <f>SUMIF(月間集計シート!$M$29:$M$48,$G340,月間集計シート!T$29:T$48)*P$2</f>
        <v>0</v>
      </c>
      <c r="Q340" s="88">
        <f>SUMIF(月間集計シート!$M$50:$M$69,$G340,月間集計シート!N$50:N$69)*Q$2</f>
        <v>0</v>
      </c>
      <c r="R340" s="88">
        <f>SUMIF(月間集計シート!$M$50:$M$69,$G340,月間集計シート!O$50:O$69)*R$2</f>
        <v>0</v>
      </c>
      <c r="S340" s="88">
        <f>SUMIF(月間集計シート!$M$50:$M$69,$G340,月間集計シート!P$50:P$69)*S$2</f>
        <v>0</v>
      </c>
      <c r="T340" s="88">
        <f>SUMIF(月間集計シート!$M$50:$M$69,$G340,月間集計シート!Q$50:Q$69)*T$2</f>
        <v>0</v>
      </c>
      <c r="U340" s="88">
        <f>SUMIF(月間集計シート!$M$50:$M$69,$G340,月間集計シート!R$50:R$69)*U$2</f>
        <v>0</v>
      </c>
      <c r="V340" s="88">
        <f>SUMIF(月間集計シート!$M$50:$M$69,$G340,月間集計シート!S$50:S$69)*V$2</f>
        <v>0</v>
      </c>
      <c r="W340" s="88">
        <f>SUMIF(月間集計シート!$M$50:$M$69,$G340,月間集計シート!T$50:T$69)*W$2</f>
        <v>0</v>
      </c>
      <c r="X340" s="88">
        <f>SUMIF(月間集計シート!$M$71:$M$90,$G340,月間集計シート!N$71:N$90)*X$2</f>
        <v>0</v>
      </c>
      <c r="Y340" s="88">
        <f>SUMIF(月間集計シート!$M$71:$M$90,$G340,月間集計シート!O$71:O$90)*Y$2</f>
        <v>0</v>
      </c>
      <c r="Z340" s="88">
        <f>SUMIF(月間集計シート!$M$71:$M$90,$G340,月間集計シート!P$71:P$90)*Z$2</f>
        <v>0</v>
      </c>
      <c r="AA340" s="88">
        <f>SUMIF(月間集計シート!$M$71:$M$90,$G340,月間集計シート!Q$71:Q$90)*AA$2</f>
        <v>0</v>
      </c>
      <c r="AB340" s="88">
        <f>SUMIF(月間集計シート!$M$71:$M$90,$G340,月間集計シート!R$71:R$90)*AB$2</f>
        <v>0</v>
      </c>
      <c r="AC340" s="88">
        <f>SUMIF(月間集計シート!$M$71:$M$90,$G340,月間集計シート!S$71:S$90)*AC$2</f>
        <v>0</v>
      </c>
      <c r="AD340" s="88">
        <f>SUMIF(月間集計シート!$M$71:$M$90,$G340,月間集計シート!T$71:T$90)*AD$2</f>
        <v>0</v>
      </c>
      <c r="AE340" s="88">
        <f>SUMIF(月間集計シート!$M$92:$M$111,$G340,月間集計シート!N$92:N$111)*AE$2</f>
        <v>0</v>
      </c>
      <c r="AF340" s="88">
        <f>SUMIF(月間集計シート!$M$92:$M$111,$G340,月間集計シート!O$92:O$111)*AF$2</f>
        <v>0</v>
      </c>
      <c r="AG340" s="88">
        <f>SUMIF(月間集計シート!$M$92:$M$111,$G340,月間集計シート!P$92:P$111)*AG$2</f>
        <v>0</v>
      </c>
      <c r="AH340" s="88">
        <f>SUMIF(月間集計シート!$M$92:$M$111,$G340,月間集計シート!Q$92:Q$111)*AH$2</f>
        <v>0</v>
      </c>
      <c r="AI340" s="88">
        <f>SUMIF(月間集計シート!$M$92:$M$111,$G340,月間集計シート!R$92:R$111)*AI$2</f>
        <v>0</v>
      </c>
      <c r="AJ340" s="88">
        <f>SUMIF(月間集計シート!$M$92:$M$111,$G340,月間集計シート!S$92:S$111)*AJ$2</f>
        <v>0</v>
      </c>
      <c r="AK340" s="88">
        <f>SUMIF(月間集計シート!$M$92:$M$111,$G340,月間集計シート!T$92:T$111)*AK$2</f>
        <v>0</v>
      </c>
      <c r="AL340" s="88">
        <f>SUMIF(月間集計シート!$M$113:$M$132,$G340,月間集計シート!N$113:N$132)*AL$2</f>
        <v>0</v>
      </c>
      <c r="AM340" s="88">
        <f>SUMIF(月間集計シート!$M$113:$M$132,$G340,月間集計シート!O$113:O$132)*AM$2</f>
        <v>0</v>
      </c>
      <c r="AN340" s="88">
        <f>SUMIF(月間集計シート!$M$113:$M$132,$G340,月間集計シート!P$113:P$132)*AN$2</f>
        <v>0</v>
      </c>
      <c r="AO340" s="88">
        <f>SUMIF(月間集計シート!$M$113:$M$132,$G340,月間集計シート!Q$113:Q$132)*AO$2</f>
        <v>0</v>
      </c>
      <c r="AP340" s="88">
        <f>SUMIF(月間集計シート!$M$113:$M$132,$G340,月間集計シート!R$113:R$132)*AP$2</f>
        <v>0</v>
      </c>
      <c r="AQ340" s="88">
        <f>SUMIF(月間集計シート!$M$113:$M$132,$G340,月間集計シート!S$113:S$132)*AQ$2</f>
        <v>0</v>
      </c>
      <c r="AR340" s="88">
        <f>SUMIF(月間集計シート!$M$113:$M$132,$G340,月間集計シート!T$113:T$132)*AR$2</f>
        <v>0</v>
      </c>
      <c r="AS340" s="88">
        <f>SUMIF(月間集計シート!$M$134:$M$153,$G340,月間集計シート!N$134:N$153)*AS$2</f>
        <v>0</v>
      </c>
      <c r="AT340" s="88">
        <f>SUMIF(月間集計シート!$M$134:$M$153,$G340,月間集計シート!O$134:O$153)*AT$2</f>
        <v>0</v>
      </c>
      <c r="AU340" s="88">
        <f>SUMIF(月間集計シート!$M$134:$M$153,$G340,月間集計シート!P$134:P$153)*AU$2</f>
        <v>0</v>
      </c>
      <c r="AV340" s="88">
        <f>SUMIF(月間集計シート!$M$134:$M$153,$G340,月間集計シート!Q$134:Q$153)*AV$2</f>
        <v>0</v>
      </c>
      <c r="AW340" s="88">
        <f>SUMIF(月間集計シート!$M$134:$M$153,$G340,月間集計シート!R$134:R$153)*AW$2</f>
        <v>0</v>
      </c>
      <c r="AX340" s="88">
        <f>SUMIF(月間集計シート!$M$134:$M$153,$G340,月間集計シート!S$134:S$153)*AX$2</f>
        <v>0</v>
      </c>
      <c r="AY340" s="88">
        <f>SUMIF(月間集計シート!$M$134:$M$153,$G340,月間集計シート!T$134:T$153)*AY$2</f>
        <v>0</v>
      </c>
    </row>
    <row r="341" spans="1:51" ht="14.25" thickBot="1">
      <c r="A341">
        <v>4</v>
      </c>
      <c r="B341" s="120">
        <f t="shared" si="138"/>
        <v>0</v>
      </c>
      <c r="C341" s="120" t="str">
        <f t="shared" si="138"/>
        <v/>
      </c>
      <c r="D341" s="137"/>
      <c r="E341" s="150" t="str">
        <f>工種!A78</f>
        <v>99103</v>
      </c>
      <c r="F341" s="119" t="str">
        <f>工種!B78</f>
        <v>間接業務：標準化・業務改善作業（開発以外）</v>
      </c>
      <c r="G341" s="116" t="str">
        <f t="shared" si="135"/>
        <v>099103</v>
      </c>
      <c r="H341" s="88">
        <f t="shared" si="137"/>
        <v>0</v>
      </c>
      <c r="I341" s="132"/>
      <c r="J341" s="88">
        <f>SUMIF(月間集計シート!$M$29:$M$48,$G341,月間集計シート!N$29:N$48)*J$2</f>
        <v>0</v>
      </c>
      <c r="K341" s="88">
        <f>SUMIF(月間集計シート!$M$29:$M$48,$G341,月間集計シート!O$29:O$48)*K$2</f>
        <v>0</v>
      </c>
      <c r="L341" s="88">
        <f>SUMIF(月間集計シート!$M$29:$M$48,$G341,月間集計シート!P$29:P$48)*L$2</f>
        <v>0</v>
      </c>
      <c r="M341" s="88">
        <f>SUMIF(月間集計シート!$M$29:$M$48,$G341,月間集計シート!Q$29:Q$48)*M$2</f>
        <v>0</v>
      </c>
      <c r="N341" s="88">
        <f>SUMIF(月間集計シート!$M$29:$M$48,$G341,月間集計シート!R$29:R$48)*N$2</f>
        <v>0</v>
      </c>
      <c r="O341" s="88">
        <f>SUMIF(月間集計シート!$M$29:$M$48,$G341,月間集計シート!S$29:S$48)*O$2</f>
        <v>0</v>
      </c>
      <c r="P341" s="88">
        <f>SUMIF(月間集計シート!$M$29:$M$48,$G341,月間集計シート!T$29:T$48)*P$2</f>
        <v>0</v>
      </c>
      <c r="Q341" s="88">
        <f>SUMIF(月間集計シート!$M$50:$M$69,$G341,月間集計シート!N$50:N$69)*Q$2</f>
        <v>0</v>
      </c>
      <c r="R341" s="88">
        <f>SUMIF(月間集計シート!$M$50:$M$69,$G341,月間集計シート!O$50:O$69)*R$2</f>
        <v>0</v>
      </c>
      <c r="S341" s="88">
        <f>SUMIF(月間集計シート!$M$50:$M$69,$G341,月間集計シート!P$50:P$69)*S$2</f>
        <v>0</v>
      </c>
      <c r="T341" s="88">
        <f>SUMIF(月間集計シート!$M$50:$M$69,$G341,月間集計シート!Q$50:Q$69)*T$2</f>
        <v>0</v>
      </c>
      <c r="U341" s="88">
        <f>SUMIF(月間集計シート!$M$50:$M$69,$G341,月間集計シート!R$50:R$69)*U$2</f>
        <v>0</v>
      </c>
      <c r="V341" s="88">
        <f>SUMIF(月間集計シート!$M$50:$M$69,$G341,月間集計シート!S$50:S$69)*V$2</f>
        <v>0</v>
      </c>
      <c r="W341" s="88">
        <f>SUMIF(月間集計シート!$M$50:$M$69,$G341,月間集計シート!T$50:T$69)*W$2</f>
        <v>0</v>
      </c>
      <c r="X341" s="88">
        <f>SUMIF(月間集計シート!$M$71:$M$90,$G341,月間集計シート!N$71:N$90)*X$2</f>
        <v>0</v>
      </c>
      <c r="Y341" s="88">
        <f>SUMIF(月間集計シート!$M$71:$M$90,$G341,月間集計シート!O$71:O$90)*Y$2</f>
        <v>0</v>
      </c>
      <c r="Z341" s="88">
        <f>SUMIF(月間集計シート!$M$71:$M$90,$G341,月間集計シート!P$71:P$90)*Z$2</f>
        <v>0</v>
      </c>
      <c r="AA341" s="88">
        <f>SUMIF(月間集計シート!$M$71:$M$90,$G341,月間集計シート!Q$71:Q$90)*AA$2</f>
        <v>0</v>
      </c>
      <c r="AB341" s="88">
        <f>SUMIF(月間集計シート!$M$71:$M$90,$G341,月間集計シート!R$71:R$90)*AB$2</f>
        <v>0</v>
      </c>
      <c r="AC341" s="88">
        <f>SUMIF(月間集計シート!$M$71:$M$90,$G341,月間集計シート!S$71:S$90)*AC$2</f>
        <v>0</v>
      </c>
      <c r="AD341" s="88">
        <f>SUMIF(月間集計シート!$M$71:$M$90,$G341,月間集計シート!T$71:T$90)*AD$2</f>
        <v>0</v>
      </c>
      <c r="AE341" s="88">
        <f>SUMIF(月間集計シート!$M$92:$M$111,$G341,月間集計シート!N$92:N$111)*AE$2</f>
        <v>0</v>
      </c>
      <c r="AF341" s="88">
        <f>SUMIF(月間集計シート!$M$92:$M$111,$G341,月間集計シート!O$92:O$111)*AF$2</f>
        <v>0</v>
      </c>
      <c r="AG341" s="88">
        <f>SUMIF(月間集計シート!$M$92:$M$111,$G341,月間集計シート!P$92:P$111)*AG$2</f>
        <v>0</v>
      </c>
      <c r="AH341" s="88">
        <f>SUMIF(月間集計シート!$M$92:$M$111,$G341,月間集計シート!Q$92:Q$111)*AH$2</f>
        <v>0</v>
      </c>
      <c r="AI341" s="88">
        <f>SUMIF(月間集計シート!$M$92:$M$111,$G341,月間集計シート!R$92:R$111)*AI$2</f>
        <v>0</v>
      </c>
      <c r="AJ341" s="88">
        <f>SUMIF(月間集計シート!$M$92:$M$111,$G341,月間集計シート!S$92:S$111)*AJ$2</f>
        <v>0</v>
      </c>
      <c r="AK341" s="88">
        <f>SUMIF(月間集計シート!$M$92:$M$111,$G341,月間集計シート!T$92:T$111)*AK$2</f>
        <v>0</v>
      </c>
      <c r="AL341" s="88">
        <f>SUMIF(月間集計シート!$M$113:$M$132,$G341,月間集計シート!N$113:N$132)*AL$2</f>
        <v>0</v>
      </c>
      <c r="AM341" s="88">
        <f>SUMIF(月間集計シート!$M$113:$M$132,$G341,月間集計シート!O$113:O$132)*AM$2</f>
        <v>0</v>
      </c>
      <c r="AN341" s="88">
        <f>SUMIF(月間集計シート!$M$113:$M$132,$G341,月間集計シート!P$113:P$132)*AN$2</f>
        <v>0</v>
      </c>
      <c r="AO341" s="88">
        <f>SUMIF(月間集計シート!$M$113:$M$132,$G341,月間集計シート!Q$113:Q$132)*AO$2</f>
        <v>0</v>
      </c>
      <c r="AP341" s="88">
        <f>SUMIF(月間集計シート!$M$113:$M$132,$G341,月間集計シート!R$113:R$132)*AP$2</f>
        <v>0</v>
      </c>
      <c r="AQ341" s="88">
        <f>SUMIF(月間集計シート!$M$113:$M$132,$G341,月間集計シート!S$113:S$132)*AQ$2</f>
        <v>0</v>
      </c>
      <c r="AR341" s="88">
        <f>SUMIF(月間集計シート!$M$113:$M$132,$G341,月間集計シート!T$113:T$132)*AR$2</f>
        <v>0</v>
      </c>
      <c r="AS341" s="88">
        <f>SUMIF(月間集計シート!$M$134:$M$153,$G341,月間集計シート!N$134:N$153)*AS$2</f>
        <v>0</v>
      </c>
      <c r="AT341" s="88">
        <f>SUMIF(月間集計シート!$M$134:$M$153,$G341,月間集計シート!O$134:O$153)*AT$2</f>
        <v>0</v>
      </c>
      <c r="AU341" s="88">
        <f>SUMIF(月間集計シート!$M$134:$M$153,$G341,月間集計シート!P$134:P$153)*AU$2</f>
        <v>0</v>
      </c>
      <c r="AV341" s="88">
        <f>SUMIF(月間集計シート!$M$134:$M$153,$G341,月間集計シート!Q$134:Q$153)*AV$2</f>
        <v>0</v>
      </c>
      <c r="AW341" s="88">
        <f>SUMIF(月間集計シート!$M$134:$M$153,$G341,月間集計シート!R$134:R$153)*AW$2</f>
        <v>0</v>
      </c>
      <c r="AX341" s="88">
        <f>SUMIF(月間集計シート!$M$134:$M$153,$G341,月間集計シート!S$134:S$153)*AX$2</f>
        <v>0</v>
      </c>
      <c r="AY341" s="88">
        <f>SUMIF(月間集計シート!$M$134:$M$153,$G341,月間集計シート!T$134:T$153)*AY$2</f>
        <v>0</v>
      </c>
    </row>
    <row r="342" spans="1:51" ht="14.25" thickBot="1">
      <c r="A342">
        <v>4</v>
      </c>
      <c r="B342" s="120">
        <f t="shared" si="138"/>
        <v>0</v>
      </c>
      <c r="C342" s="120" t="str">
        <f t="shared" si="138"/>
        <v/>
      </c>
      <c r="D342" s="137"/>
      <c r="E342" s="150" t="str">
        <f>工種!A79</f>
        <v>99104</v>
      </c>
      <c r="F342" s="119" t="str">
        <f>工種!B79</f>
        <v>間接業務：業務の引継ぎ（開発以外）</v>
      </c>
      <c r="G342" s="116" t="str">
        <f t="shared" si="135"/>
        <v>099104</v>
      </c>
      <c r="H342" s="88">
        <f t="shared" si="137"/>
        <v>0</v>
      </c>
      <c r="I342" s="132"/>
      <c r="J342" s="88">
        <f>SUMIF(月間集計シート!$M$29:$M$48,$G342,月間集計シート!N$29:N$48)*J$2</f>
        <v>0</v>
      </c>
      <c r="K342" s="88">
        <f>SUMIF(月間集計シート!$M$29:$M$48,$G342,月間集計シート!O$29:O$48)*K$2</f>
        <v>0</v>
      </c>
      <c r="L342" s="88">
        <f>SUMIF(月間集計シート!$M$29:$M$48,$G342,月間集計シート!P$29:P$48)*L$2</f>
        <v>0</v>
      </c>
      <c r="M342" s="88">
        <f>SUMIF(月間集計シート!$M$29:$M$48,$G342,月間集計シート!Q$29:Q$48)*M$2</f>
        <v>0</v>
      </c>
      <c r="N342" s="88">
        <f>SUMIF(月間集計シート!$M$29:$M$48,$G342,月間集計シート!R$29:R$48)*N$2</f>
        <v>0</v>
      </c>
      <c r="O342" s="88">
        <f>SUMIF(月間集計シート!$M$29:$M$48,$G342,月間集計シート!S$29:S$48)*O$2</f>
        <v>0</v>
      </c>
      <c r="P342" s="88">
        <f>SUMIF(月間集計シート!$M$29:$M$48,$G342,月間集計シート!T$29:T$48)*P$2</f>
        <v>0</v>
      </c>
      <c r="Q342" s="88">
        <f>SUMIF(月間集計シート!$M$50:$M$69,$G342,月間集計シート!N$50:N$69)*Q$2</f>
        <v>0</v>
      </c>
      <c r="R342" s="88">
        <f>SUMIF(月間集計シート!$M$50:$M$69,$G342,月間集計シート!O$50:O$69)*R$2</f>
        <v>0</v>
      </c>
      <c r="S342" s="88">
        <f>SUMIF(月間集計シート!$M$50:$M$69,$G342,月間集計シート!P$50:P$69)*S$2</f>
        <v>0</v>
      </c>
      <c r="T342" s="88">
        <f>SUMIF(月間集計シート!$M$50:$M$69,$G342,月間集計シート!Q$50:Q$69)*T$2</f>
        <v>0</v>
      </c>
      <c r="U342" s="88">
        <f>SUMIF(月間集計シート!$M$50:$M$69,$G342,月間集計シート!R$50:R$69)*U$2</f>
        <v>0</v>
      </c>
      <c r="V342" s="88">
        <f>SUMIF(月間集計シート!$M$50:$M$69,$G342,月間集計シート!S$50:S$69)*V$2</f>
        <v>0</v>
      </c>
      <c r="W342" s="88">
        <f>SUMIF(月間集計シート!$M$50:$M$69,$G342,月間集計シート!T$50:T$69)*W$2</f>
        <v>0</v>
      </c>
      <c r="X342" s="88">
        <f>SUMIF(月間集計シート!$M$71:$M$90,$G342,月間集計シート!N$71:N$90)*X$2</f>
        <v>0</v>
      </c>
      <c r="Y342" s="88">
        <f>SUMIF(月間集計シート!$M$71:$M$90,$G342,月間集計シート!O$71:O$90)*Y$2</f>
        <v>0</v>
      </c>
      <c r="Z342" s="88">
        <f>SUMIF(月間集計シート!$M$71:$M$90,$G342,月間集計シート!P$71:P$90)*Z$2</f>
        <v>0</v>
      </c>
      <c r="AA342" s="88">
        <f>SUMIF(月間集計シート!$M$71:$M$90,$G342,月間集計シート!Q$71:Q$90)*AA$2</f>
        <v>0</v>
      </c>
      <c r="AB342" s="88">
        <f>SUMIF(月間集計シート!$M$71:$M$90,$G342,月間集計シート!R$71:R$90)*AB$2</f>
        <v>0</v>
      </c>
      <c r="AC342" s="88">
        <f>SUMIF(月間集計シート!$M$71:$M$90,$G342,月間集計シート!S$71:S$90)*AC$2</f>
        <v>0</v>
      </c>
      <c r="AD342" s="88">
        <f>SUMIF(月間集計シート!$M$71:$M$90,$G342,月間集計シート!T$71:T$90)*AD$2</f>
        <v>0</v>
      </c>
      <c r="AE342" s="88">
        <f>SUMIF(月間集計シート!$M$92:$M$111,$G342,月間集計シート!N$92:N$111)*AE$2</f>
        <v>0</v>
      </c>
      <c r="AF342" s="88">
        <f>SUMIF(月間集計シート!$M$92:$M$111,$G342,月間集計シート!O$92:O$111)*AF$2</f>
        <v>0</v>
      </c>
      <c r="AG342" s="88">
        <f>SUMIF(月間集計シート!$M$92:$M$111,$G342,月間集計シート!P$92:P$111)*AG$2</f>
        <v>0</v>
      </c>
      <c r="AH342" s="88">
        <f>SUMIF(月間集計シート!$M$92:$M$111,$G342,月間集計シート!Q$92:Q$111)*AH$2</f>
        <v>0</v>
      </c>
      <c r="AI342" s="88">
        <f>SUMIF(月間集計シート!$M$92:$M$111,$G342,月間集計シート!R$92:R$111)*AI$2</f>
        <v>0</v>
      </c>
      <c r="AJ342" s="88">
        <f>SUMIF(月間集計シート!$M$92:$M$111,$G342,月間集計シート!S$92:S$111)*AJ$2</f>
        <v>0</v>
      </c>
      <c r="AK342" s="88">
        <f>SUMIF(月間集計シート!$M$92:$M$111,$G342,月間集計シート!T$92:T$111)*AK$2</f>
        <v>0</v>
      </c>
      <c r="AL342" s="88">
        <f>SUMIF(月間集計シート!$M$113:$M$132,$G342,月間集計シート!N$113:N$132)*AL$2</f>
        <v>0</v>
      </c>
      <c r="AM342" s="88">
        <f>SUMIF(月間集計シート!$M$113:$M$132,$G342,月間集計シート!O$113:O$132)*AM$2</f>
        <v>0</v>
      </c>
      <c r="AN342" s="88">
        <f>SUMIF(月間集計シート!$M$113:$M$132,$G342,月間集計シート!P$113:P$132)*AN$2</f>
        <v>0</v>
      </c>
      <c r="AO342" s="88">
        <f>SUMIF(月間集計シート!$M$113:$M$132,$G342,月間集計シート!Q$113:Q$132)*AO$2</f>
        <v>0</v>
      </c>
      <c r="AP342" s="88">
        <f>SUMIF(月間集計シート!$M$113:$M$132,$G342,月間集計シート!R$113:R$132)*AP$2</f>
        <v>0</v>
      </c>
      <c r="AQ342" s="88">
        <f>SUMIF(月間集計シート!$M$113:$M$132,$G342,月間集計シート!S$113:S$132)*AQ$2</f>
        <v>0</v>
      </c>
      <c r="AR342" s="88">
        <f>SUMIF(月間集計シート!$M$113:$M$132,$G342,月間集計シート!T$113:T$132)*AR$2</f>
        <v>0</v>
      </c>
      <c r="AS342" s="88">
        <f>SUMIF(月間集計シート!$M$134:$M$153,$G342,月間集計シート!N$134:N$153)*AS$2</f>
        <v>0</v>
      </c>
      <c r="AT342" s="88">
        <f>SUMIF(月間集計シート!$M$134:$M$153,$G342,月間集計シート!O$134:O$153)*AT$2</f>
        <v>0</v>
      </c>
      <c r="AU342" s="88">
        <f>SUMIF(月間集計シート!$M$134:$M$153,$G342,月間集計シート!P$134:P$153)*AU$2</f>
        <v>0</v>
      </c>
      <c r="AV342" s="88">
        <f>SUMIF(月間集計シート!$M$134:$M$153,$G342,月間集計シート!Q$134:Q$153)*AV$2</f>
        <v>0</v>
      </c>
      <c r="AW342" s="88">
        <f>SUMIF(月間集計シート!$M$134:$M$153,$G342,月間集計シート!R$134:R$153)*AW$2</f>
        <v>0</v>
      </c>
      <c r="AX342" s="88">
        <f>SUMIF(月間集計シート!$M$134:$M$153,$G342,月間集計シート!S$134:S$153)*AX$2</f>
        <v>0</v>
      </c>
      <c r="AY342" s="88">
        <f>SUMIF(月間集計シート!$M$134:$M$153,$G342,月間集計シート!T$134:T$153)*AY$2</f>
        <v>0</v>
      </c>
    </row>
    <row r="343" spans="1:51" ht="14.25" thickBot="1">
      <c r="A343">
        <v>4</v>
      </c>
      <c r="B343" s="120">
        <f t="shared" si="138"/>
        <v>0</v>
      </c>
      <c r="C343" s="120" t="str">
        <f t="shared" si="138"/>
        <v/>
      </c>
      <c r="D343" s="137"/>
      <c r="E343" s="150" t="str">
        <f>工種!A80</f>
        <v>99106</v>
      </c>
      <c r="F343" s="119" t="str">
        <f>工種!B80</f>
        <v>間接業務：研修・学習</v>
      </c>
      <c r="G343" s="116" t="str">
        <f t="shared" si="135"/>
        <v>099106</v>
      </c>
      <c r="H343" s="88">
        <f t="shared" si="137"/>
        <v>0</v>
      </c>
      <c r="I343" s="132"/>
      <c r="J343" s="88">
        <f>SUMIF(月間集計シート!$M$29:$M$48,$G343,月間集計シート!N$29:N$48)*J$2</f>
        <v>0</v>
      </c>
      <c r="K343" s="88">
        <f>SUMIF(月間集計シート!$M$29:$M$48,$G343,月間集計シート!O$29:O$48)*K$2</f>
        <v>0</v>
      </c>
      <c r="L343" s="88">
        <f>SUMIF(月間集計シート!$M$29:$M$48,$G343,月間集計シート!P$29:P$48)*L$2</f>
        <v>0</v>
      </c>
      <c r="M343" s="88">
        <f>SUMIF(月間集計シート!$M$29:$M$48,$G343,月間集計シート!Q$29:Q$48)*M$2</f>
        <v>0</v>
      </c>
      <c r="N343" s="88">
        <f>SUMIF(月間集計シート!$M$29:$M$48,$G343,月間集計シート!R$29:R$48)*N$2</f>
        <v>0</v>
      </c>
      <c r="O343" s="88">
        <f>SUMIF(月間集計シート!$M$29:$M$48,$G343,月間集計シート!S$29:S$48)*O$2</f>
        <v>0</v>
      </c>
      <c r="P343" s="88">
        <f>SUMIF(月間集計シート!$M$29:$M$48,$G343,月間集計シート!T$29:T$48)*P$2</f>
        <v>0</v>
      </c>
      <c r="Q343" s="88">
        <f>SUMIF(月間集計シート!$M$50:$M$69,$G343,月間集計シート!N$50:N$69)*Q$2</f>
        <v>0</v>
      </c>
      <c r="R343" s="88">
        <f>SUMIF(月間集計シート!$M$50:$M$69,$G343,月間集計シート!O$50:O$69)*R$2</f>
        <v>0</v>
      </c>
      <c r="S343" s="88">
        <f>SUMIF(月間集計シート!$M$50:$M$69,$G343,月間集計シート!P$50:P$69)*S$2</f>
        <v>0</v>
      </c>
      <c r="T343" s="88">
        <f>SUMIF(月間集計シート!$M$50:$M$69,$G343,月間集計シート!Q$50:Q$69)*T$2</f>
        <v>0</v>
      </c>
      <c r="U343" s="88">
        <f>SUMIF(月間集計シート!$M$50:$M$69,$G343,月間集計シート!R$50:R$69)*U$2</f>
        <v>0</v>
      </c>
      <c r="V343" s="88">
        <f>SUMIF(月間集計シート!$M$50:$M$69,$G343,月間集計シート!S$50:S$69)*V$2</f>
        <v>0</v>
      </c>
      <c r="W343" s="88">
        <f>SUMIF(月間集計シート!$M$50:$M$69,$G343,月間集計シート!T$50:T$69)*W$2</f>
        <v>0</v>
      </c>
      <c r="X343" s="88">
        <f>SUMIF(月間集計シート!$M$71:$M$90,$G343,月間集計シート!N$71:N$90)*X$2</f>
        <v>0</v>
      </c>
      <c r="Y343" s="88">
        <f>SUMIF(月間集計シート!$M$71:$M$90,$G343,月間集計シート!O$71:O$90)*Y$2</f>
        <v>0</v>
      </c>
      <c r="Z343" s="88">
        <f>SUMIF(月間集計シート!$M$71:$M$90,$G343,月間集計シート!P$71:P$90)*Z$2</f>
        <v>0</v>
      </c>
      <c r="AA343" s="88">
        <f>SUMIF(月間集計シート!$M$71:$M$90,$G343,月間集計シート!Q$71:Q$90)*AA$2</f>
        <v>0</v>
      </c>
      <c r="AB343" s="88">
        <f>SUMIF(月間集計シート!$M$71:$M$90,$G343,月間集計シート!R$71:R$90)*AB$2</f>
        <v>0</v>
      </c>
      <c r="AC343" s="88">
        <f>SUMIF(月間集計シート!$M$71:$M$90,$G343,月間集計シート!S$71:S$90)*AC$2</f>
        <v>0</v>
      </c>
      <c r="AD343" s="88">
        <f>SUMIF(月間集計シート!$M$71:$M$90,$G343,月間集計シート!T$71:T$90)*AD$2</f>
        <v>0</v>
      </c>
      <c r="AE343" s="88">
        <f>SUMIF(月間集計シート!$M$92:$M$111,$G343,月間集計シート!N$92:N$111)*AE$2</f>
        <v>0</v>
      </c>
      <c r="AF343" s="88">
        <f>SUMIF(月間集計シート!$M$92:$M$111,$G343,月間集計シート!O$92:O$111)*AF$2</f>
        <v>0</v>
      </c>
      <c r="AG343" s="88">
        <f>SUMIF(月間集計シート!$M$92:$M$111,$G343,月間集計シート!P$92:P$111)*AG$2</f>
        <v>0</v>
      </c>
      <c r="AH343" s="88">
        <f>SUMIF(月間集計シート!$M$92:$M$111,$G343,月間集計シート!Q$92:Q$111)*AH$2</f>
        <v>0</v>
      </c>
      <c r="AI343" s="88">
        <f>SUMIF(月間集計シート!$M$92:$M$111,$G343,月間集計シート!R$92:R$111)*AI$2</f>
        <v>0</v>
      </c>
      <c r="AJ343" s="88">
        <f>SUMIF(月間集計シート!$M$92:$M$111,$G343,月間集計シート!S$92:S$111)*AJ$2</f>
        <v>0</v>
      </c>
      <c r="AK343" s="88">
        <f>SUMIF(月間集計シート!$M$92:$M$111,$G343,月間集計シート!T$92:T$111)*AK$2</f>
        <v>0</v>
      </c>
      <c r="AL343" s="88">
        <f>SUMIF(月間集計シート!$M$113:$M$132,$G343,月間集計シート!N$113:N$132)*AL$2</f>
        <v>0</v>
      </c>
      <c r="AM343" s="88">
        <f>SUMIF(月間集計シート!$M$113:$M$132,$G343,月間集計シート!O$113:O$132)*AM$2</f>
        <v>0</v>
      </c>
      <c r="AN343" s="88">
        <f>SUMIF(月間集計シート!$M$113:$M$132,$G343,月間集計シート!P$113:P$132)*AN$2</f>
        <v>0</v>
      </c>
      <c r="AO343" s="88">
        <f>SUMIF(月間集計シート!$M$113:$M$132,$G343,月間集計シート!Q$113:Q$132)*AO$2</f>
        <v>0</v>
      </c>
      <c r="AP343" s="88">
        <f>SUMIF(月間集計シート!$M$113:$M$132,$G343,月間集計シート!R$113:R$132)*AP$2</f>
        <v>0</v>
      </c>
      <c r="AQ343" s="88">
        <f>SUMIF(月間集計シート!$M$113:$M$132,$G343,月間集計シート!S$113:S$132)*AQ$2</f>
        <v>0</v>
      </c>
      <c r="AR343" s="88">
        <f>SUMIF(月間集計シート!$M$113:$M$132,$G343,月間集計シート!T$113:T$132)*AR$2</f>
        <v>0</v>
      </c>
      <c r="AS343" s="88">
        <f>SUMIF(月間集計シート!$M$134:$M$153,$G343,月間集計シート!N$134:N$153)*AS$2</f>
        <v>0</v>
      </c>
      <c r="AT343" s="88">
        <f>SUMIF(月間集計シート!$M$134:$M$153,$G343,月間集計シート!O$134:O$153)*AT$2</f>
        <v>0</v>
      </c>
      <c r="AU343" s="88">
        <f>SUMIF(月間集計シート!$M$134:$M$153,$G343,月間集計シート!P$134:P$153)*AU$2</f>
        <v>0</v>
      </c>
      <c r="AV343" s="88">
        <f>SUMIF(月間集計シート!$M$134:$M$153,$G343,月間集計シート!Q$134:Q$153)*AV$2</f>
        <v>0</v>
      </c>
      <c r="AW343" s="88">
        <f>SUMIF(月間集計シート!$M$134:$M$153,$G343,月間集計シート!R$134:R$153)*AW$2</f>
        <v>0</v>
      </c>
      <c r="AX343" s="88">
        <f>SUMIF(月間集計シート!$M$134:$M$153,$G343,月間集計シート!S$134:S$153)*AX$2</f>
        <v>0</v>
      </c>
      <c r="AY343" s="88">
        <f>SUMIF(月間集計シート!$M$134:$M$153,$G343,月間集計シート!T$134:T$153)*AY$2</f>
        <v>0</v>
      </c>
    </row>
    <row r="344" spans="1:51" ht="14.25" thickBot="1">
      <c r="A344">
        <v>4</v>
      </c>
      <c r="B344" s="120">
        <f t="shared" si="138"/>
        <v>0</v>
      </c>
      <c r="C344" s="120" t="str">
        <f t="shared" si="138"/>
        <v/>
      </c>
      <c r="D344" s="137"/>
      <c r="E344" s="150" t="str">
        <f>工種!A81</f>
        <v>99107</v>
      </c>
      <c r="F344" s="119" t="str">
        <f>工種!B81</f>
        <v>間接業務：事務作業（開発以外）</v>
      </c>
      <c r="G344" s="116" t="str">
        <f t="shared" ref="G344:G345" si="139">B344&amp;E344</f>
        <v>099107</v>
      </c>
      <c r="H344" s="88">
        <f t="shared" ref="H344:H345" si="140">SUM(J344:AY344)</f>
        <v>0</v>
      </c>
      <c r="I344" s="132"/>
      <c r="J344" s="88">
        <f>SUMIF(月間集計シート!$M$29:$M$48,$G344,月間集計シート!N$29:N$48)*J$2</f>
        <v>0</v>
      </c>
      <c r="K344" s="88">
        <f>SUMIF(月間集計シート!$M$29:$M$48,$G344,月間集計シート!O$29:O$48)*K$2</f>
        <v>0</v>
      </c>
      <c r="L344" s="88">
        <f>SUMIF(月間集計シート!$M$29:$M$48,$G344,月間集計シート!P$29:P$48)*L$2</f>
        <v>0</v>
      </c>
      <c r="M344" s="88">
        <f>SUMIF(月間集計シート!$M$29:$M$48,$G344,月間集計シート!Q$29:Q$48)*M$2</f>
        <v>0</v>
      </c>
      <c r="N344" s="88">
        <f>SUMIF(月間集計シート!$M$29:$M$48,$G344,月間集計シート!R$29:R$48)*N$2</f>
        <v>0</v>
      </c>
      <c r="O344" s="88">
        <f>SUMIF(月間集計シート!$M$29:$M$48,$G344,月間集計シート!S$29:S$48)*O$2</f>
        <v>0</v>
      </c>
      <c r="P344" s="88">
        <f>SUMIF(月間集計シート!$M$29:$M$48,$G344,月間集計シート!T$29:T$48)*P$2</f>
        <v>0</v>
      </c>
      <c r="Q344" s="88">
        <f>SUMIF(月間集計シート!$M$50:$M$69,$G344,月間集計シート!N$50:N$69)*Q$2</f>
        <v>0</v>
      </c>
      <c r="R344" s="88">
        <f>SUMIF(月間集計シート!$M$50:$M$69,$G344,月間集計シート!O$50:O$69)*R$2</f>
        <v>0</v>
      </c>
      <c r="S344" s="88">
        <f>SUMIF(月間集計シート!$M$50:$M$69,$G344,月間集計シート!P$50:P$69)*S$2</f>
        <v>0</v>
      </c>
      <c r="T344" s="88">
        <f>SUMIF(月間集計シート!$M$50:$M$69,$G344,月間集計シート!Q$50:Q$69)*T$2</f>
        <v>0</v>
      </c>
      <c r="U344" s="88">
        <f>SUMIF(月間集計シート!$M$50:$M$69,$G344,月間集計シート!R$50:R$69)*U$2</f>
        <v>0</v>
      </c>
      <c r="V344" s="88">
        <f>SUMIF(月間集計シート!$M$50:$M$69,$G344,月間集計シート!S$50:S$69)*V$2</f>
        <v>0</v>
      </c>
      <c r="W344" s="88">
        <f>SUMIF(月間集計シート!$M$50:$M$69,$G344,月間集計シート!T$50:T$69)*W$2</f>
        <v>0</v>
      </c>
      <c r="X344" s="88">
        <f>SUMIF(月間集計シート!$M$71:$M$90,$G344,月間集計シート!N$71:N$90)*X$2</f>
        <v>0</v>
      </c>
      <c r="Y344" s="88">
        <f>SUMIF(月間集計シート!$M$71:$M$90,$G344,月間集計シート!O$71:O$90)*Y$2</f>
        <v>0</v>
      </c>
      <c r="Z344" s="88">
        <f>SUMIF(月間集計シート!$M$71:$M$90,$G344,月間集計シート!P$71:P$90)*Z$2</f>
        <v>0</v>
      </c>
      <c r="AA344" s="88">
        <f>SUMIF(月間集計シート!$M$71:$M$90,$G344,月間集計シート!Q$71:Q$90)*AA$2</f>
        <v>0</v>
      </c>
      <c r="AB344" s="88">
        <f>SUMIF(月間集計シート!$M$71:$M$90,$G344,月間集計シート!R$71:R$90)*AB$2</f>
        <v>0</v>
      </c>
      <c r="AC344" s="88">
        <f>SUMIF(月間集計シート!$M$71:$M$90,$G344,月間集計シート!S$71:S$90)*AC$2</f>
        <v>0</v>
      </c>
      <c r="AD344" s="88">
        <f>SUMIF(月間集計シート!$M$71:$M$90,$G344,月間集計シート!T$71:T$90)*AD$2</f>
        <v>0</v>
      </c>
      <c r="AE344" s="88">
        <f>SUMIF(月間集計シート!$M$92:$M$111,$G344,月間集計シート!N$92:N$111)*AE$2</f>
        <v>0</v>
      </c>
      <c r="AF344" s="88">
        <f>SUMIF(月間集計シート!$M$92:$M$111,$G344,月間集計シート!O$92:O$111)*AF$2</f>
        <v>0</v>
      </c>
      <c r="AG344" s="88">
        <f>SUMIF(月間集計シート!$M$92:$M$111,$G344,月間集計シート!P$92:P$111)*AG$2</f>
        <v>0</v>
      </c>
      <c r="AH344" s="88">
        <f>SUMIF(月間集計シート!$M$92:$M$111,$G344,月間集計シート!Q$92:Q$111)*AH$2</f>
        <v>0</v>
      </c>
      <c r="AI344" s="88">
        <f>SUMIF(月間集計シート!$M$92:$M$111,$G344,月間集計シート!R$92:R$111)*AI$2</f>
        <v>0</v>
      </c>
      <c r="AJ344" s="88">
        <f>SUMIF(月間集計シート!$M$92:$M$111,$G344,月間集計シート!S$92:S$111)*AJ$2</f>
        <v>0</v>
      </c>
      <c r="AK344" s="88">
        <f>SUMIF(月間集計シート!$M$92:$M$111,$G344,月間集計シート!T$92:T$111)*AK$2</f>
        <v>0</v>
      </c>
      <c r="AL344" s="88">
        <f>SUMIF(月間集計シート!$M$113:$M$132,$G344,月間集計シート!N$113:N$132)*AL$2</f>
        <v>0</v>
      </c>
      <c r="AM344" s="88">
        <f>SUMIF(月間集計シート!$M$113:$M$132,$G344,月間集計シート!O$113:O$132)*AM$2</f>
        <v>0</v>
      </c>
      <c r="AN344" s="88">
        <f>SUMIF(月間集計シート!$M$113:$M$132,$G344,月間集計シート!P$113:P$132)*AN$2</f>
        <v>0</v>
      </c>
      <c r="AO344" s="88">
        <f>SUMIF(月間集計シート!$M$113:$M$132,$G344,月間集計シート!Q$113:Q$132)*AO$2</f>
        <v>0</v>
      </c>
      <c r="AP344" s="88">
        <f>SUMIF(月間集計シート!$M$113:$M$132,$G344,月間集計シート!R$113:R$132)*AP$2</f>
        <v>0</v>
      </c>
      <c r="AQ344" s="88">
        <f>SUMIF(月間集計シート!$M$113:$M$132,$G344,月間集計シート!S$113:S$132)*AQ$2</f>
        <v>0</v>
      </c>
      <c r="AR344" s="88">
        <f>SUMIF(月間集計シート!$M$113:$M$132,$G344,月間集計シート!T$113:T$132)*AR$2</f>
        <v>0</v>
      </c>
      <c r="AS344" s="88">
        <f>SUMIF(月間集計シート!$M$134:$M$153,$G344,月間集計シート!N$134:N$153)*AS$2</f>
        <v>0</v>
      </c>
      <c r="AT344" s="88">
        <f>SUMIF(月間集計シート!$M$134:$M$153,$G344,月間集計シート!O$134:O$153)*AT$2</f>
        <v>0</v>
      </c>
      <c r="AU344" s="88">
        <f>SUMIF(月間集計シート!$M$134:$M$153,$G344,月間集計シート!P$134:P$153)*AU$2</f>
        <v>0</v>
      </c>
      <c r="AV344" s="88">
        <f>SUMIF(月間集計シート!$M$134:$M$153,$G344,月間集計シート!Q$134:Q$153)*AV$2</f>
        <v>0</v>
      </c>
      <c r="AW344" s="88">
        <f>SUMIF(月間集計シート!$M$134:$M$153,$G344,月間集計シート!R$134:R$153)*AW$2</f>
        <v>0</v>
      </c>
      <c r="AX344" s="88">
        <f>SUMIF(月間集計シート!$M$134:$M$153,$G344,月間集計シート!S$134:S$153)*AX$2</f>
        <v>0</v>
      </c>
      <c r="AY344" s="88">
        <f>SUMIF(月間集計シート!$M$134:$M$153,$G344,月間集計シート!T$134:T$153)*AY$2</f>
        <v>0</v>
      </c>
    </row>
    <row r="345" spans="1:51" ht="14.25" thickBot="1">
      <c r="A345">
        <v>4</v>
      </c>
      <c r="B345" s="120">
        <f t="shared" si="138"/>
        <v>0</v>
      </c>
      <c r="C345" s="120" t="str">
        <f t="shared" si="138"/>
        <v/>
      </c>
      <c r="D345" s="137"/>
      <c r="E345" s="150" t="str">
        <f>工種!A82</f>
        <v>99110</v>
      </c>
      <c r="F345" s="119" t="str">
        <f>工種!B82</f>
        <v>間接業務：打合せ</v>
      </c>
      <c r="G345" s="116" t="str">
        <f t="shared" si="139"/>
        <v>099110</v>
      </c>
      <c r="H345" s="88">
        <f t="shared" si="140"/>
        <v>0</v>
      </c>
      <c r="I345" s="132"/>
      <c r="J345" s="88">
        <f>SUMIF(月間集計シート!$M$29:$M$48,$G345,月間集計シート!N$29:N$48)*J$2</f>
        <v>0</v>
      </c>
      <c r="K345" s="88">
        <f>SUMIF(月間集計シート!$M$29:$M$48,$G345,月間集計シート!O$29:O$48)*K$2</f>
        <v>0</v>
      </c>
      <c r="L345" s="88">
        <f>SUMIF(月間集計シート!$M$29:$M$48,$G345,月間集計シート!P$29:P$48)*L$2</f>
        <v>0</v>
      </c>
      <c r="M345" s="88">
        <f>SUMIF(月間集計シート!$M$29:$M$48,$G345,月間集計シート!Q$29:Q$48)*M$2</f>
        <v>0</v>
      </c>
      <c r="N345" s="88">
        <f>SUMIF(月間集計シート!$M$29:$M$48,$G345,月間集計シート!R$29:R$48)*N$2</f>
        <v>0</v>
      </c>
      <c r="O345" s="88">
        <f>SUMIF(月間集計シート!$M$29:$M$48,$G345,月間集計シート!S$29:S$48)*O$2</f>
        <v>0</v>
      </c>
      <c r="P345" s="88">
        <f>SUMIF(月間集計シート!$M$29:$M$48,$G345,月間集計シート!T$29:T$48)*P$2</f>
        <v>0</v>
      </c>
      <c r="Q345" s="88">
        <f>SUMIF(月間集計シート!$M$50:$M$69,$G345,月間集計シート!N$50:N$69)*Q$2</f>
        <v>0</v>
      </c>
      <c r="R345" s="88">
        <f>SUMIF(月間集計シート!$M$50:$M$69,$G345,月間集計シート!O$50:O$69)*R$2</f>
        <v>0</v>
      </c>
      <c r="S345" s="88">
        <f>SUMIF(月間集計シート!$M$50:$M$69,$G345,月間集計シート!P$50:P$69)*S$2</f>
        <v>0</v>
      </c>
      <c r="T345" s="88">
        <f>SUMIF(月間集計シート!$M$50:$M$69,$G345,月間集計シート!Q$50:Q$69)*T$2</f>
        <v>0</v>
      </c>
      <c r="U345" s="88">
        <f>SUMIF(月間集計シート!$M$50:$M$69,$G345,月間集計シート!R$50:R$69)*U$2</f>
        <v>0</v>
      </c>
      <c r="V345" s="88">
        <f>SUMIF(月間集計シート!$M$50:$M$69,$G345,月間集計シート!S$50:S$69)*V$2</f>
        <v>0</v>
      </c>
      <c r="W345" s="88">
        <f>SUMIF(月間集計シート!$M$50:$M$69,$G345,月間集計シート!T$50:T$69)*W$2</f>
        <v>0</v>
      </c>
      <c r="X345" s="88">
        <f>SUMIF(月間集計シート!$M$71:$M$90,$G345,月間集計シート!N$71:N$90)*X$2</f>
        <v>0</v>
      </c>
      <c r="Y345" s="88">
        <f>SUMIF(月間集計シート!$M$71:$M$90,$G345,月間集計シート!O$71:O$90)*Y$2</f>
        <v>0</v>
      </c>
      <c r="Z345" s="88">
        <f>SUMIF(月間集計シート!$M$71:$M$90,$G345,月間集計シート!P$71:P$90)*Z$2</f>
        <v>0</v>
      </c>
      <c r="AA345" s="88">
        <f>SUMIF(月間集計シート!$M$71:$M$90,$G345,月間集計シート!Q$71:Q$90)*AA$2</f>
        <v>0</v>
      </c>
      <c r="AB345" s="88">
        <f>SUMIF(月間集計シート!$M$71:$M$90,$G345,月間集計シート!R$71:R$90)*AB$2</f>
        <v>0</v>
      </c>
      <c r="AC345" s="88">
        <f>SUMIF(月間集計シート!$M$71:$M$90,$G345,月間集計シート!S$71:S$90)*AC$2</f>
        <v>0</v>
      </c>
      <c r="AD345" s="88">
        <f>SUMIF(月間集計シート!$M$71:$M$90,$G345,月間集計シート!T$71:T$90)*AD$2</f>
        <v>0</v>
      </c>
      <c r="AE345" s="88">
        <f>SUMIF(月間集計シート!$M$92:$M$111,$G345,月間集計シート!N$92:N$111)*AE$2</f>
        <v>0</v>
      </c>
      <c r="AF345" s="88">
        <f>SUMIF(月間集計シート!$M$92:$M$111,$G345,月間集計シート!O$92:O$111)*AF$2</f>
        <v>0</v>
      </c>
      <c r="AG345" s="88">
        <f>SUMIF(月間集計シート!$M$92:$M$111,$G345,月間集計シート!P$92:P$111)*AG$2</f>
        <v>0</v>
      </c>
      <c r="AH345" s="88">
        <f>SUMIF(月間集計シート!$M$92:$M$111,$G345,月間集計シート!Q$92:Q$111)*AH$2</f>
        <v>0</v>
      </c>
      <c r="AI345" s="88">
        <f>SUMIF(月間集計シート!$M$92:$M$111,$G345,月間集計シート!R$92:R$111)*AI$2</f>
        <v>0</v>
      </c>
      <c r="AJ345" s="88">
        <f>SUMIF(月間集計シート!$M$92:$M$111,$G345,月間集計シート!S$92:S$111)*AJ$2</f>
        <v>0</v>
      </c>
      <c r="AK345" s="88">
        <f>SUMIF(月間集計シート!$M$92:$M$111,$G345,月間集計シート!T$92:T$111)*AK$2</f>
        <v>0</v>
      </c>
      <c r="AL345" s="88">
        <f>SUMIF(月間集計シート!$M$113:$M$132,$G345,月間集計シート!N$113:N$132)*AL$2</f>
        <v>0</v>
      </c>
      <c r="AM345" s="88">
        <f>SUMIF(月間集計シート!$M$113:$M$132,$G345,月間集計シート!O$113:O$132)*AM$2</f>
        <v>0</v>
      </c>
      <c r="AN345" s="88">
        <f>SUMIF(月間集計シート!$M$113:$M$132,$G345,月間集計シート!P$113:P$132)*AN$2</f>
        <v>0</v>
      </c>
      <c r="AO345" s="88">
        <f>SUMIF(月間集計シート!$M$113:$M$132,$G345,月間集計シート!Q$113:Q$132)*AO$2</f>
        <v>0</v>
      </c>
      <c r="AP345" s="88">
        <f>SUMIF(月間集計シート!$M$113:$M$132,$G345,月間集計シート!R$113:R$132)*AP$2</f>
        <v>0</v>
      </c>
      <c r="AQ345" s="88">
        <f>SUMIF(月間集計シート!$M$113:$M$132,$G345,月間集計シート!S$113:S$132)*AQ$2</f>
        <v>0</v>
      </c>
      <c r="AR345" s="88">
        <f>SUMIF(月間集計シート!$M$113:$M$132,$G345,月間集計シート!T$113:T$132)*AR$2</f>
        <v>0</v>
      </c>
      <c r="AS345" s="88">
        <f>SUMIF(月間集計シート!$M$134:$M$153,$G345,月間集計シート!N$134:N$153)*AS$2</f>
        <v>0</v>
      </c>
      <c r="AT345" s="88">
        <f>SUMIF(月間集計シート!$M$134:$M$153,$G345,月間集計シート!O$134:O$153)*AT$2</f>
        <v>0</v>
      </c>
      <c r="AU345" s="88">
        <f>SUMIF(月間集計シート!$M$134:$M$153,$G345,月間集計シート!P$134:P$153)*AU$2</f>
        <v>0</v>
      </c>
      <c r="AV345" s="88">
        <f>SUMIF(月間集計シート!$M$134:$M$153,$G345,月間集計シート!Q$134:Q$153)*AV$2</f>
        <v>0</v>
      </c>
      <c r="AW345" s="88">
        <f>SUMIF(月間集計シート!$M$134:$M$153,$G345,月間集計シート!R$134:R$153)*AW$2</f>
        <v>0</v>
      </c>
      <c r="AX345" s="88">
        <f>SUMIF(月間集計シート!$M$134:$M$153,$G345,月間集計シート!S$134:S$153)*AX$2</f>
        <v>0</v>
      </c>
      <c r="AY345" s="88">
        <f>SUMIF(月間集計シート!$M$134:$M$153,$G345,月間集計シート!T$134:T$153)*AY$2</f>
        <v>0</v>
      </c>
    </row>
    <row r="346" spans="1:51" ht="14.25" thickBot="1">
      <c r="A346">
        <v>4</v>
      </c>
      <c r="B346" s="120">
        <f t="shared" si="138"/>
        <v>0</v>
      </c>
      <c r="C346" s="120" t="str">
        <f t="shared" si="138"/>
        <v/>
      </c>
      <c r="D346" s="137"/>
      <c r="E346" s="150" t="str">
        <f>工種!A83</f>
        <v>99199</v>
      </c>
      <c r="F346" s="119" t="str">
        <f>工種!B83</f>
        <v>間接業務：その他</v>
      </c>
      <c r="G346" s="116" t="str">
        <f t="shared" si="134"/>
        <v>099199</v>
      </c>
      <c r="H346" s="88">
        <f t="shared" si="88"/>
        <v>0</v>
      </c>
      <c r="I346" s="132"/>
      <c r="J346" s="88">
        <f>SUMIF(月間集計シート!$M$29:$M$48,$G346,月間集計シート!N$29:N$48)*J$2</f>
        <v>0</v>
      </c>
      <c r="K346" s="88">
        <f>SUMIF(月間集計シート!$M$29:$M$48,$G346,月間集計シート!O$29:O$48)*K$2</f>
        <v>0</v>
      </c>
      <c r="L346" s="88">
        <f>SUMIF(月間集計シート!$M$29:$M$48,$G346,月間集計シート!P$29:P$48)*L$2</f>
        <v>0</v>
      </c>
      <c r="M346" s="88">
        <f>SUMIF(月間集計シート!$M$29:$M$48,$G346,月間集計シート!Q$29:Q$48)*M$2</f>
        <v>0</v>
      </c>
      <c r="N346" s="88">
        <f>SUMIF(月間集計シート!$M$29:$M$48,$G346,月間集計シート!R$29:R$48)*N$2</f>
        <v>0</v>
      </c>
      <c r="O346" s="88">
        <f>SUMIF(月間集計シート!$M$29:$M$48,$G346,月間集計シート!S$29:S$48)*O$2</f>
        <v>0</v>
      </c>
      <c r="P346" s="88">
        <f>SUMIF(月間集計シート!$M$29:$M$48,$G346,月間集計シート!T$29:T$48)*P$2</f>
        <v>0</v>
      </c>
      <c r="Q346" s="88">
        <f>SUMIF(月間集計シート!$M$50:$M$69,$G346,月間集計シート!N$50:N$69)*Q$2</f>
        <v>0</v>
      </c>
      <c r="R346" s="88">
        <f>SUMIF(月間集計シート!$M$50:$M$69,$G346,月間集計シート!O$50:O$69)*R$2</f>
        <v>0</v>
      </c>
      <c r="S346" s="88">
        <f>SUMIF(月間集計シート!$M$50:$M$69,$G346,月間集計シート!P$50:P$69)*S$2</f>
        <v>0</v>
      </c>
      <c r="T346" s="88">
        <f>SUMIF(月間集計シート!$M$50:$M$69,$G346,月間集計シート!Q$50:Q$69)*T$2</f>
        <v>0</v>
      </c>
      <c r="U346" s="88">
        <f>SUMIF(月間集計シート!$M$50:$M$69,$G346,月間集計シート!R$50:R$69)*U$2</f>
        <v>0</v>
      </c>
      <c r="V346" s="88">
        <f>SUMIF(月間集計シート!$M$50:$M$69,$G346,月間集計シート!S$50:S$69)*V$2</f>
        <v>0</v>
      </c>
      <c r="W346" s="88">
        <f>SUMIF(月間集計シート!$M$50:$M$69,$G346,月間集計シート!T$50:T$69)*W$2</f>
        <v>0</v>
      </c>
      <c r="X346" s="88">
        <f>SUMIF(月間集計シート!$M$71:$M$90,$G346,月間集計シート!N$71:N$90)*X$2</f>
        <v>0</v>
      </c>
      <c r="Y346" s="88">
        <f>SUMIF(月間集計シート!$M$71:$M$90,$G346,月間集計シート!O$71:O$90)*Y$2</f>
        <v>0</v>
      </c>
      <c r="Z346" s="88">
        <f>SUMIF(月間集計シート!$M$71:$M$90,$G346,月間集計シート!P$71:P$90)*Z$2</f>
        <v>0</v>
      </c>
      <c r="AA346" s="88">
        <f>SUMIF(月間集計シート!$M$71:$M$90,$G346,月間集計シート!Q$71:Q$90)*AA$2</f>
        <v>0</v>
      </c>
      <c r="AB346" s="88">
        <f>SUMIF(月間集計シート!$M$71:$M$90,$G346,月間集計シート!R$71:R$90)*AB$2</f>
        <v>0</v>
      </c>
      <c r="AC346" s="88">
        <f>SUMIF(月間集計シート!$M$71:$M$90,$G346,月間集計シート!S$71:S$90)*AC$2</f>
        <v>0</v>
      </c>
      <c r="AD346" s="88">
        <f>SUMIF(月間集計シート!$M$71:$M$90,$G346,月間集計シート!T$71:T$90)*AD$2</f>
        <v>0</v>
      </c>
      <c r="AE346" s="88">
        <f>SUMIF(月間集計シート!$M$92:$M$111,$G346,月間集計シート!N$92:N$111)*AE$2</f>
        <v>0</v>
      </c>
      <c r="AF346" s="88">
        <f>SUMIF(月間集計シート!$M$92:$M$111,$G346,月間集計シート!O$92:O$111)*AF$2</f>
        <v>0</v>
      </c>
      <c r="AG346" s="88">
        <f>SUMIF(月間集計シート!$M$92:$M$111,$G346,月間集計シート!P$92:P$111)*AG$2</f>
        <v>0</v>
      </c>
      <c r="AH346" s="88">
        <f>SUMIF(月間集計シート!$M$92:$M$111,$G346,月間集計シート!Q$92:Q$111)*AH$2</f>
        <v>0</v>
      </c>
      <c r="AI346" s="88">
        <f>SUMIF(月間集計シート!$M$92:$M$111,$G346,月間集計シート!R$92:R$111)*AI$2</f>
        <v>0</v>
      </c>
      <c r="AJ346" s="88">
        <f>SUMIF(月間集計シート!$M$92:$M$111,$G346,月間集計シート!S$92:S$111)*AJ$2</f>
        <v>0</v>
      </c>
      <c r="AK346" s="88">
        <f>SUMIF(月間集計シート!$M$92:$M$111,$G346,月間集計シート!T$92:T$111)*AK$2</f>
        <v>0</v>
      </c>
      <c r="AL346" s="88">
        <f>SUMIF(月間集計シート!$M$113:$M$132,$G346,月間集計シート!N$113:N$132)*AL$2</f>
        <v>0</v>
      </c>
      <c r="AM346" s="88">
        <f>SUMIF(月間集計シート!$M$113:$M$132,$G346,月間集計シート!O$113:O$132)*AM$2</f>
        <v>0</v>
      </c>
      <c r="AN346" s="88">
        <f>SUMIF(月間集計シート!$M$113:$M$132,$G346,月間集計シート!P$113:P$132)*AN$2</f>
        <v>0</v>
      </c>
      <c r="AO346" s="88">
        <f>SUMIF(月間集計シート!$M$113:$M$132,$G346,月間集計シート!Q$113:Q$132)*AO$2</f>
        <v>0</v>
      </c>
      <c r="AP346" s="88">
        <f>SUMIF(月間集計シート!$M$113:$M$132,$G346,月間集計シート!R$113:R$132)*AP$2</f>
        <v>0</v>
      </c>
      <c r="AQ346" s="88">
        <f>SUMIF(月間集計シート!$M$113:$M$132,$G346,月間集計シート!S$113:S$132)*AQ$2</f>
        <v>0</v>
      </c>
      <c r="AR346" s="88">
        <f>SUMIF(月間集計シート!$M$113:$M$132,$G346,月間集計シート!T$113:T$132)*AR$2</f>
        <v>0</v>
      </c>
      <c r="AS346" s="88">
        <f>SUMIF(月間集計シート!$M$134:$M$153,$G346,月間集計シート!N$134:N$153)*AS$2</f>
        <v>0</v>
      </c>
      <c r="AT346" s="88">
        <f>SUMIF(月間集計シート!$M$134:$M$153,$G346,月間集計シート!O$134:O$153)*AT$2</f>
        <v>0</v>
      </c>
      <c r="AU346" s="88">
        <f>SUMIF(月間集計シート!$M$134:$M$153,$G346,月間集計シート!P$134:P$153)*AU$2</f>
        <v>0</v>
      </c>
      <c r="AV346" s="88">
        <f>SUMIF(月間集計シート!$M$134:$M$153,$G346,月間集計シート!Q$134:Q$153)*AV$2</f>
        <v>0</v>
      </c>
      <c r="AW346" s="88">
        <f>SUMIF(月間集計シート!$M$134:$M$153,$G346,月間集計シート!R$134:R$153)*AW$2</f>
        <v>0</v>
      </c>
      <c r="AX346" s="88">
        <f>SUMIF(月間集計シート!$M$134:$M$153,$G346,月間集計シート!S$134:S$153)*AX$2</f>
        <v>0</v>
      </c>
      <c r="AY346" s="88">
        <f>SUMIF(月間集計シート!$M$134:$M$153,$G346,月間集計シート!T$134:T$153)*AY$2</f>
        <v>0</v>
      </c>
    </row>
    <row r="347" spans="1:51">
      <c r="B347" s="120"/>
      <c r="C347" s="120"/>
      <c r="D347" s="127"/>
      <c r="E347" s="115"/>
      <c r="F347" s="119"/>
      <c r="G347" s="116"/>
      <c r="H347" s="88"/>
      <c r="I347" s="132"/>
      <c r="J347" s="88"/>
      <c r="K347" s="88"/>
      <c r="L347" s="88"/>
      <c r="M347" s="88"/>
      <c r="N347" s="88"/>
      <c r="O347" s="88"/>
      <c r="P347" s="88"/>
      <c r="Q347" s="88"/>
      <c r="R347" s="88"/>
      <c r="S347" s="88"/>
      <c r="T347" s="88"/>
      <c r="U347" s="88"/>
      <c r="V347" s="88"/>
      <c r="W347" s="88"/>
      <c r="X347" s="88"/>
      <c r="Y347" s="88"/>
      <c r="Z347" s="88"/>
      <c r="AA347" s="88"/>
      <c r="AB347" s="88"/>
      <c r="AC347" s="88"/>
      <c r="AD347" s="88"/>
      <c r="AE347" s="88"/>
      <c r="AF347" s="88"/>
      <c r="AG347" s="88"/>
      <c r="AH347" s="88"/>
      <c r="AI347" s="88"/>
      <c r="AJ347" s="88"/>
      <c r="AK347" s="88"/>
      <c r="AL347" s="88"/>
      <c r="AM347" s="88"/>
      <c r="AN347" s="88"/>
      <c r="AO347" s="88"/>
      <c r="AP347" s="88"/>
      <c r="AQ347" s="88"/>
      <c r="AR347" s="88"/>
      <c r="AS347" s="88"/>
      <c r="AT347" s="88"/>
      <c r="AU347" s="88"/>
      <c r="AV347" s="88"/>
      <c r="AW347" s="88"/>
      <c r="AX347" s="88"/>
      <c r="AY347" s="88"/>
    </row>
    <row r="348" spans="1:51" ht="14.25" thickBot="1">
      <c r="A348">
        <v>5</v>
      </c>
      <c r="B348">
        <f>月間集計シート!I8</f>
        <v>0</v>
      </c>
      <c r="C348" s="116" t="str">
        <f>月間集計シート!J8</f>
        <v/>
      </c>
      <c r="D348" s="147">
        <v>1</v>
      </c>
      <c r="E348" s="115" t="s">
        <v>451</v>
      </c>
      <c r="F348" s="119" t="s">
        <v>29</v>
      </c>
      <c r="G348" s="116"/>
      <c r="H348" s="88">
        <f t="shared" ref="H348:H431" si="141">SUM(J348:AY348)</f>
        <v>0</v>
      </c>
      <c r="I348" s="132"/>
      <c r="J348" s="88">
        <f>SUM(J350:J431)</f>
        <v>0</v>
      </c>
      <c r="K348" s="88">
        <f t="shared" ref="K348:AY348" si="142">SUM(K350:K431)</f>
        <v>0</v>
      </c>
      <c r="L348" s="88">
        <f t="shared" si="142"/>
        <v>0</v>
      </c>
      <c r="M348" s="88">
        <f t="shared" si="142"/>
        <v>0</v>
      </c>
      <c r="N348" s="88">
        <f t="shared" si="142"/>
        <v>0</v>
      </c>
      <c r="O348" s="88">
        <f t="shared" si="142"/>
        <v>0</v>
      </c>
      <c r="P348" s="88">
        <f t="shared" si="142"/>
        <v>0</v>
      </c>
      <c r="Q348" s="88">
        <f t="shared" si="142"/>
        <v>0</v>
      </c>
      <c r="R348" s="88">
        <f t="shared" si="142"/>
        <v>0</v>
      </c>
      <c r="S348" s="88">
        <f t="shared" si="142"/>
        <v>0</v>
      </c>
      <c r="T348" s="88">
        <f t="shared" si="142"/>
        <v>0</v>
      </c>
      <c r="U348" s="88">
        <f t="shared" si="142"/>
        <v>0</v>
      </c>
      <c r="V348" s="88">
        <f t="shared" si="142"/>
        <v>0</v>
      </c>
      <c r="W348" s="88">
        <f t="shared" si="142"/>
        <v>0</v>
      </c>
      <c r="X348" s="88">
        <f t="shared" si="142"/>
        <v>0</v>
      </c>
      <c r="Y348" s="88">
        <f t="shared" si="142"/>
        <v>0</v>
      </c>
      <c r="Z348" s="88">
        <f t="shared" si="142"/>
        <v>0</v>
      </c>
      <c r="AA348" s="88">
        <f t="shared" si="142"/>
        <v>0</v>
      </c>
      <c r="AB348" s="88">
        <f t="shared" si="142"/>
        <v>0</v>
      </c>
      <c r="AC348" s="88">
        <f t="shared" si="142"/>
        <v>0</v>
      </c>
      <c r="AD348" s="88">
        <f t="shared" si="142"/>
        <v>0</v>
      </c>
      <c r="AE348" s="88">
        <f t="shared" si="142"/>
        <v>0</v>
      </c>
      <c r="AF348" s="88">
        <f t="shared" si="142"/>
        <v>0</v>
      </c>
      <c r="AG348" s="88">
        <f t="shared" si="142"/>
        <v>0</v>
      </c>
      <c r="AH348" s="88">
        <f t="shared" si="142"/>
        <v>0</v>
      </c>
      <c r="AI348" s="88">
        <f t="shared" si="142"/>
        <v>0</v>
      </c>
      <c r="AJ348" s="88">
        <f t="shared" si="142"/>
        <v>0</v>
      </c>
      <c r="AK348" s="88">
        <f t="shared" si="142"/>
        <v>0</v>
      </c>
      <c r="AL348" s="88">
        <f t="shared" si="142"/>
        <v>0</v>
      </c>
      <c r="AM348" s="88">
        <f t="shared" si="142"/>
        <v>0</v>
      </c>
      <c r="AN348" s="88">
        <f t="shared" si="142"/>
        <v>0</v>
      </c>
      <c r="AO348" s="88">
        <f t="shared" si="142"/>
        <v>0</v>
      </c>
      <c r="AP348" s="88">
        <f t="shared" si="142"/>
        <v>0</v>
      </c>
      <c r="AQ348" s="88">
        <f t="shared" si="142"/>
        <v>0</v>
      </c>
      <c r="AR348" s="88">
        <f t="shared" si="142"/>
        <v>0</v>
      </c>
      <c r="AS348" s="88">
        <f t="shared" si="142"/>
        <v>0</v>
      </c>
      <c r="AT348" s="88">
        <f t="shared" si="142"/>
        <v>0</v>
      </c>
      <c r="AU348" s="88">
        <f t="shared" si="142"/>
        <v>0</v>
      </c>
      <c r="AV348" s="88">
        <f t="shared" si="142"/>
        <v>0</v>
      </c>
      <c r="AW348" s="88">
        <f t="shared" si="142"/>
        <v>0</v>
      </c>
      <c r="AX348" s="88">
        <f t="shared" si="142"/>
        <v>0</v>
      </c>
      <c r="AY348" s="88">
        <f t="shared" si="142"/>
        <v>0</v>
      </c>
    </row>
    <row r="349" spans="1:51" ht="14.25" customHeight="1" thickBot="1">
      <c r="A349">
        <v>5</v>
      </c>
      <c r="B349">
        <f>B348</f>
        <v>0</v>
      </c>
      <c r="C349" s="116" t="str">
        <f>C348</f>
        <v/>
      </c>
      <c r="D349" s="147">
        <v>1</v>
      </c>
      <c r="E349" s="115" t="s">
        <v>453</v>
      </c>
      <c r="F349" s="119" t="s">
        <v>454</v>
      </c>
      <c r="G349" s="116"/>
      <c r="H349" s="129">
        <f t="shared" ref="H349" si="143">SUM(J349:AY349)</f>
        <v>0</v>
      </c>
      <c r="I349" s="132"/>
      <c r="J349" s="88">
        <f>SUMIF($D350:$D431,1,J350:J431)</f>
        <v>0</v>
      </c>
      <c r="K349" s="88">
        <f t="shared" ref="K349" si="144">SUMIF($D350:$D431,1,K350:K431)</f>
        <v>0</v>
      </c>
      <c r="L349" s="88">
        <f t="shared" ref="L349" si="145">SUMIF($D350:$D431,1,L350:L431)</f>
        <v>0</v>
      </c>
      <c r="M349" s="88">
        <f t="shared" ref="M349" si="146">SUMIF($D350:$D431,1,M350:M431)</f>
        <v>0</v>
      </c>
      <c r="N349" s="88">
        <f t="shared" ref="N349" si="147">SUMIF($D350:$D431,1,N350:N431)</f>
        <v>0</v>
      </c>
      <c r="O349" s="88">
        <f t="shared" ref="O349" si="148">SUMIF($D350:$D431,1,O350:O431)</f>
        <v>0</v>
      </c>
      <c r="P349" s="88">
        <f t="shared" ref="P349" si="149">SUMIF($D350:$D431,1,P350:P431)</f>
        <v>0</v>
      </c>
      <c r="Q349" s="88">
        <f t="shared" ref="Q349" si="150">SUMIF($D350:$D431,1,Q350:Q431)</f>
        <v>0</v>
      </c>
      <c r="R349" s="88">
        <f t="shared" ref="R349" si="151">SUMIF($D350:$D431,1,R350:R431)</f>
        <v>0</v>
      </c>
      <c r="S349" s="88">
        <f t="shared" ref="S349" si="152">SUMIF($D350:$D431,1,S350:S431)</f>
        <v>0</v>
      </c>
      <c r="T349" s="88">
        <f t="shared" ref="T349" si="153">SUMIF($D350:$D431,1,T350:T431)</f>
        <v>0</v>
      </c>
      <c r="U349" s="88">
        <f t="shared" ref="U349" si="154">SUMIF($D350:$D431,1,U350:U431)</f>
        <v>0</v>
      </c>
      <c r="V349" s="88">
        <f t="shared" ref="V349" si="155">SUMIF($D350:$D431,1,V350:V431)</f>
        <v>0</v>
      </c>
      <c r="W349" s="88">
        <f t="shared" ref="W349" si="156">SUMIF($D350:$D431,1,W350:W431)</f>
        <v>0</v>
      </c>
      <c r="X349" s="88">
        <f t="shared" ref="X349" si="157">SUMIF($D350:$D431,1,X350:X431)</f>
        <v>0</v>
      </c>
      <c r="Y349" s="88">
        <f t="shared" ref="Y349" si="158">SUMIF($D350:$D431,1,Y350:Y431)</f>
        <v>0</v>
      </c>
      <c r="Z349" s="88">
        <f t="shared" ref="Z349" si="159">SUMIF($D350:$D431,1,Z350:Z431)</f>
        <v>0</v>
      </c>
      <c r="AA349" s="88">
        <f t="shared" ref="AA349" si="160">SUMIF($D350:$D431,1,AA350:AA431)</f>
        <v>0</v>
      </c>
      <c r="AB349" s="88">
        <f t="shared" ref="AB349" si="161">SUMIF($D350:$D431,1,AB350:AB431)</f>
        <v>0</v>
      </c>
      <c r="AC349" s="88">
        <f t="shared" ref="AC349" si="162">SUMIF($D350:$D431,1,AC350:AC431)</f>
        <v>0</v>
      </c>
      <c r="AD349" s="88">
        <f t="shared" ref="AD349" si="163">SUMIF($D350:$D431,1,AD350:AD431)</f>
        <v>0</v>
      </c>
      <c r="AE349" s="88">
        <f t="shared" ref="AE349" si="164">SUMIF($D350:$D431,1,AE350:AE431)</f>
        <v>0</v>
      </c>
      <c r="AF349" s="88">
        <f t="shared" ref="AF349" si="165">SUMIF($D350:$D431,1,AF350:AF431)</f>
        <v>0</v>
      </c>
      <c r="AG349" s="88">
        <f t="shared" ref="AG349" si="166">SUMIF($D350:$D431,1,AG350:AG431)</f>
        <v>0</v>
      </c>
      <c r="AH349" s="88">
        <f t="shared" ref="AH349" si="167">SUMIF($D350:$D431,1,AH350:AH431)</f>
        <v>0</v>
      </c>
      <c r="AI349" s="88">
        <f t="shared" ref="AI349" si="168">SUMIF($D350:$D431,1,AI350:AI431)</f>
        <v>0</v>
      </c>
      <c r="AJ349" s="88">
        <f t="shared" ref="AJ349" si="169">SUMIF($D350:$D431,1,AJ350:AJ431)</f>
        <v>0</v>
      </c>
      <c r="AK349" s="88">
        <f t="shared" ref="AK349" si="170">SUMIF($D350:$D431,1,AK350:AK431)</f>
        <v>0</v>
      </c>
      <c r="AL349" s="88">
        <f t="shared" ref="AL349" si="171">SUMIF($D350:$D431,1,AL350:AL431)</f>
        <v>0</v>
      </c>
      <c r="AM349" s="88">
        <f t="shared" ref="AM349" si="172">SUMIF($D350:$D431,1,AM350:AM431)</f>
        <v>0</v>
      </c>
      <c r="AN349" s="88">
        <f t="shared" ref="AN349" si="173">SUMIF($D350:$D431,1,AN350:AN431)</f>
        <v>0</v>
      </c>
      <c r="AO349" s="88">
        <f t="shared" ref="AO349" si="174">SUMIF($D350:$D431,1,AO350:AO431)</f>
        <v>0</v>
      </c>
      <c r="AP349" s="88">
        <f t="shared" ref="AP349" si="175">SUMIF($D350:$D431,1,AP350:AP431)</f>
        <v>0</v>
      </c>
      <c r="AQ349" s="88">
        <f t="shared" ref="AQ349" si="176">SUMIF($D350:$D431,1,AQ350:AQ431)</f>
        <v>0</v>
      </c>
      <c r="AR349" s="88">
        <f t="shared" ref="AR349" si="177">SUMIF($D350:$D431,1,AR350:AR431)</f>
        <v>0</v>
      </c>
      <c r="AS349" s="88">
        <f t="shared" ref="AS349" si="178">SUMIF($D350:$D431,1,AS350:AS431)</f>
        <v>0</v>
      </c>
      <c r="AT349" s="88">
        <f t="shared" ref="AT349" si="179">SUMIF($D350:$D431,1,AT350:AT431)</f>
        <v>0</v>
      </c>
      <c r="AU349" s="88">
        <f t="shared" ref="AU349" si="180">SUMIF($D350:$D431,1,AU350:AU431)</f>
        <v>0</v>
      </c>
      <c r="AV349" s="88">
        <f t="shared" ref="AV349" si="181">SUMIF($D350:$D431,1,AV350:AV431)</f>
        <v>0</v>
      </c>
      <c r="AW349" s="88">
        <f t="shared" ref="AW349" si="182">SUMIF($D350:$D431,1,AW350:AW431)</f>
        <v>0</v>
      </c>
      <c r="AX349" s="88">
        <f t="shared" ref="AX349" si="183">SUMIF($D350:$D431,1,AX350:AX431)</f>
        <v>0</v>
      </c>
      <c r="AY349" s="88">
        <f t="shared" ref="AY349" si="184">SUMIF($D350:$D431,1,AY350:AY431)</f>
        <v>0</v>
      </c>
    </row>
    <row r="350" spans="1:51" ht="14.25" thickBot="1">
      <c r="A350">
        <v>5</v>
      </c>
      <c r="B350" s="120">
        <f>B348</f>
        <v>0</v>
      </c>
      <c r="C350" s="120" t="str">
        <f>C348</f>
        <v/>
      </c>
      <c r="D350" s="137"/>
      <c r="E350" s="150" t="str">
        <f>工種!A2</f>
        <v>10102</v>
      </c>
      <c r="F350" s="119" t="str">
        <f>工種!B2</f>
        <v>SRS：調査・分析・開発計画の準備・実施作業</v>
      </c>
      <c r="G350" s="116" t="str">
        <f t="shared" si="134"/>
        <v>010102</v>
      </c>
      <c r="H350" s="88">
        <f t="shared" si="141"/>
        <v>0</v>
      </c>
      <c r="I350" s="132"/>
      <c r="J350" s="88">
        <f>SUMIF(月間集計シート!$M$29:$M$48,$G350,月間集計シート!N$29:N$48)*J$2</f>
        <v>0</v>
      </c>
      <c r="K350" s="88">
        <f>SUMIF(月間集計シート!$M$29:$M$48,$G350,月間集計シート!O$29:O$48)*K$2</f>
        <v>0</v>
      </c>
      <c r="L350" s="88">
        <f>SUMIF(月間集計シート!$M$29:$M$48,$G350,月間集計シート!P$29:P$48)*L$2</f>
        <v>0</v>
      </c>
      <c r="M350" s="88">
        <f>SUMIF(月間集計シート!$M$29:$M$48,$G350,月間集計シート!Q$29:Q$48)*M$2</f>
        <v>0</v>
      </c>
      <c r="N350" s="88">
        <f>SUMIF(月間集計シート!$M$29:$M$48,$G350,月間集計シート!R$29:R$48)*N$2</f>
        <v>0</v>
      </c>
      <c r="O350" s="88">
        <f>SUMIF(月間集計シート!$M$29:$M$48,$G350,月間集計シート!S$29:S$48)*O$2</f>
        <v>0</v>
      </c>
      <c r="P350" s="88">
        <f>SUMIF(月間集計シート!$M$29:$M$48,$G350,月間集計シート!T$29:T$48)*P$2</f>
        <v>0</v>
      </c>
      <c r="Q350" s="88">
        <f>SUMIF(月間集計シート!$M$50:$M$69,$G350,月間集計シート!N$50:N$69)*Q$2</f>
        <v>0</v>
      </c>
      <c r="R350" s="88">
        <f>SUMIF(月間集計シート!$M$50:$M$69,$G350,月間集計シート!O$50:O$69)*R$2</f>
        <v>0</v>
      </c>
      <c r="S350" s="88">
        <f>SUMIF(月間集計シート!$M$50:$M$69,$G350,月間集計シート!P$50:P$69)*S$2</f>
        <v>0</v>
      </c>
      <c r="T350" s="88">
        <f>SUMIF(月間集計シート!$M$50:$M$69,$G350,月間集計シート!Q$50:Q$69)*T$2</f>
        <v>0</v>
      </c>
      <c r="U350" s="88">
        <f>SUMIF(月間集計シート!$M$50:$M$69,$G350,月間集計シート!R$50:R$69)*U$2</f>
        <v>0</v>
      </c>
      <c r="V350" s="88">
        <f>SUMIF(月間集計シート!$M$50:$M$69,$G350,月間集計シート!S$50:S$69)*V$2</f>
        <v>0</v>
      </c>
      <c r="W350" s="88">
        <f>SUMIF(月間集計シート!$M$50:$M$69,$G350,月間集計シート!T$50:T$69)*W$2</f>
        <v>0</v>
      </c>
      <c r="X350" s="88">
        <f>SUMIF(月間集計シート!$M$71:$M$90,$G350,月間集計シート!N$71:N$90)*X$2</f>
        <v>0</v>
      </c>
      <c r="Y350" s="88">
        <f>SUMIF(月間集計シート!$M$71:$M$90,$G350,月間集計シート!O$71:O$90)*Y$2</f>
        <v>0</v>
      </c>
      <c r="Z350" s="88">
        <f>SUMIF(月間集計シート!$M$71:$M$90,$G350,月間集計シート!P$71:P$90)*Z$2</f>
        <v>0</v>
      </c>
      <c r="AA350" s="88">
        <f>SUMIF(月間集計シート!$M$71:$M$90,$G350,月間集計シート!Q$71:Q$90)*AA$2</f>
        <v>0</v>
      </c>
      <c r="AB350" s="88">
        <f>SUMIF(月間集計シート!$M$71:$M$90,$G350,月間集計シート!R$71:R$90)*AB$2</f>
        <v>0</v>
      </c>
      <c r="AC350" s="88">
        <f>SUMIF(月間集計シート!$M$71:$M$90,$G350,月間集計シート!S$71:S$90)*AC$2</f>
        <v>0</v>
      </c>
      <c r="AD350" s="88">
        <f>SUMIF(月間集計シート!$M$71:$M$90,$G350,月間集計シート!T$71:T$90)*AD$2</f>
        <v>0</v>
      </c>
      <c r="AE350" s="88">
        <f>SUMIF(月間集計シート!$M$92:$M$111,$G350,月間集計シート!N$92:N$111)*AE$2</f>
        <v>0</v>
      </c>
      <c r="AF350" s="88">
        <f>SUMIF(月間集計シート!$M$92:$M$111,$G350,月間集計シート!O$92:O$111)*AF$2</f>
        <v>0</v>
      </c>
      <c r="AG350" s="88">
        <f>SUMIF(月間集計シート!$M$92:$M$111,$G350,月間集計シート!P$92:P$111)*AG$2</f>
        <v>0</v>
      </c>
      <c r="AH350" s="88">
        <f>SUMIF(月間集計シート!$M$92:$M$111,$G350,月間集計シート!Q$92:Q$111)*AH$2</f>
        <v>0</v>
      </c>
      <c r="AI350" s="88">
        <f>SUMIF(月間集計シート!$M$92:$M$111,$G350,月間集計シート!R$92:R$111)*AI$2</f>
        <v>0</v>
      </c>
      <c r="AJ350" s="88">
        <f>SUMIF(月間集計シート!$M$92:$M$111,$G350,月間集計シート!S$92:S$111)*AJ$2</f>
        <v>0</v>
      </c>
      <c r="AK350" s="88">
        <f>SUMIF(月間集計シート!$M$92:$M$111,$G350,月間集計シート!T$92:T$111)*AK$2</f>
        <v>0</v>
      </c>
      <c r="AL350" s="88">
        <f>SUMIF(月間集計シート!$M$113:$M$132,$G350,月間集計シート!N$113:N$132)*AL$2</f>
        <v>0</v>
      </c>
      <c r="AM350" s="88">
        <f>SUMIF(月間集計シート!$M$113:$M$132,$G350,月間集計シート!O$113:O$132)*AM$2</f>
        <v>0</v>
      </c>
      <c r="AN350" s="88">
        <f>SUMIF(月間集計シート!$M$113:$M$132,$G350,月間集計シート!P$113:P$132)*AN$2</f>
        <v>0</v>
      </c>
      <c r="AO350" s="88">
        <f>SUMIF(月間集計シート!$M$113:$M$132,$G350,月間集計シート!Q$113:Q$132)*AO$2</f>
        <v>0</v>
      </c>
      <c r="AP350" s="88">
        <f>SUMIF(月間集計シート!$M$113:$M$132,$G350,月間集計シート!R$113:R$132)*AP$2</f>
        <v>0</v>
      </c>
      <c r="AQ350" s="88">
        <f>SUMIF(月間集計シート!$M$113:$M$132,$G350,月間集計シート!S$113:S$132)*AQ$2</f>
        <v>0</v>
      </c>
      <c r="AR350" s="88">
        <f>SUMIF(月間集計シート!$M$113:$M$132,$G350,月間集計シート!T$113:T$132)*AR$2</f>
        <v>0</v>
      </c>
      <c r="AS350" s="88">
        <f>SUMIF(月間集計シート!$M$134:$M$153,$G350,月間集計シート!N$134:N$153)*AS$2</f>
        <v>0</v>
      </c>
      <c r="AT350" s="88">
        <f>SUMIF(月間集計シート!$M$134:$M$153,$G350,月間集計シート!O$134:O$153)*AT$2</f>
        <v>0</v>
      </c>
      <c r="AU350" s="88">
        <f>SUMIF(月間集計シート!$M$134:$M$153,$G350,月間集計シート!P$134:P$153)*AU$2</f>
        <v>0</v>
      </c>
      <c r="AV350" s="88">
        <f>SUMIF(月間集計シート!$M$134:$M$153,$G350,月間集計シート!Q$134:Q$153)*AV$2</f>
        <v>0</v>
      </c>
      <c r="AW350" s="88">
        <f>SUMIF(月間集計シート!$M$134:$M$153,$G350,月間集計シート!R$134:R$153)*AW$2</f>
        <v>0</v>
      </c>
      <c r="AX350" s="88">
        <f>SUMIF(月間集計シート!$M$134:$M$153,$G350,月間集計シート!S$134:S$153)*AX$2</f>
        <v>0</v>
      </c>
      <c r="AY350" s="88">
        <f>SUMIF(月間集計シート!$M$134:$M$153,$G350,月間集計シート!T$134:T$153)*AY$2</f>
        <v>0</v>
      </c>
    </row>
    <row r="351" spans="1:51" ht="14.25" thickBot="1">
      <c r="A351">
        <v>5</v>
      </c>
      <c r="B351" s="120">
        <f t="shared" ref="B351:B414" si="185">B350</f>
        <v>0</v>
      </c>
      <c r="C351" s="120" t="str">
        <f t="shared" ref="C351:C414" si="186">C350</f>
        <v/>
      </c>
      <c r="D351" s="137"/>
      <c r="E351" s="150" t="str">
        <f>工種!A3</f>
        <v>10103</v>
      </c>
      <c r="F351" s="119" t="str">
        <f>工種!B3</f>
        <v>SRS：企画書・計画書・報告書等資料作成・修正</v>
      </c>
      <c r="G351" s="116" t="str">
        <f t="shared" si="134"/>
        <v>010103</v>
      </c>
      <c r="H351" s="88">
        <f t="shared" si="141"/>
        <v>0</v>
      </c>
      <c r="I351" s="132"/>
      <c r="J351" s="88">
        <f>SUMIF(月間集計シート!$M$29:$M$48,$G351,月間集計シート!N$29:N$48)*J$2</f>
        <v>0</v>
      </c>
      <c r="K351" s="88">
        <f>SUMIF(月間集計シート!$M$29:$M$48,$G351,月間集計シート!O$29:O$48)*K$2</f>
        <v>0</v>
      </c>
      <c r="L351" s="88">
        <f>SUMIF(月間集計シート!$M$29:$M$48,$G351,月間集計シート!P$29:P$48)*L$2</f>
        <v>0</v>
      </c>
      <c r="M351" s="88">
        <f>SUMIF(月間集計シート!$M$29:$M$48,$G351,月間集計シート!Q$29:Q$48)*M$2</f>
        <v>0</v>
      </c>
      <c r="N351" s="88">
        <f>SUMIF(月間集計シート!$M$29:$M$48,$G351,月間集計シート!R$29:R$48)*N$2</f>
        <v>0</v>
      </c>
      <c r="O351" s="88">
        <f>SUMIF(月間集計シート!$M$29:$M$48,$G351,月間集計シート!S$29:S$48)*O$2</f>
        <v>0</v>
      </c>
      <c r="P351" s="88">
        <f>SUMIF(月間集計シート!$M$29:$M$48,$G351,月間集計シート!T$29:T$48)*P$2</f>
        <v>0</v>
      </c>
      <c r="Q351" s="88">
        <f>SUMIF(月間集計シート!$M$50:$M$69,$G351,月間集計シート!N$50:N$69)*Q$2</f>
        <v>0</v>
      </c>
      <c r="R351" s="88">
        <f>SUMIF(月間集計シート!$M$50:$M$69,$G351,月間集計シート!O$50:O$69)*R$2</f>
        <v>0</v>
      </c>
      <c r="S351" s="88">
        <f>SUMIF(月間集計シート!$M$50:$M$69,$G351,月間集計シート!P$50:P$69)*S$2</f>
        <v>0</v>
      </c>
      <c r="T351" s="88">
        <f>SUMIF(月間集計シート!$M$50:$M$69,$G351,月間集計シート!Q$50:Q$69)*T$2</f>
        <v>0</v>
      </c>
      <c r="U351" s="88">
        <f>SUMIF(月間集計シート!$M$50:$M$69,$G351,月間集計シート!R$50:R$69)*U$2</f>
        <v>0</v>
      </c>
      <c r="V351" s="88">
        <f>SUMIF(月間集計シート!$M$50:$M$69,$G351,月間集計シート!S$50:S$69)*V$2</f>
        <v>0</v>
      </c>
      <c r="W351" s="88">
        <f>SUMIF(月間集計シート!$M$50:$M$69,$G351,月間集計シート!T$50:T$69)*W$2</f>
        <v>0</v>
      </c>
      <c r="X351" s="88">
        <f>SUMIF(月間集計シート!$M$71:$M$90,$G351,月間集計シート!N$71:N$90)*X$2</f>
        <v>0</v>
      </c>
      <c r="Y351" s="88">
        <f>SUMIF(月間集計シート!$M$71:$M$90,$G351,月間集計シート!O$71:O$90)*Y$2</f>
        <v>0</v>
      </c>
      <c r="Z351" s="88">
        <f>SUMIF(月間集計シート!$M$71:$M$90,$G351,月間集計シート!P$71:P$90)*Z$2</f>
        <v>0</v>
      </c>
      <c r="AA351" s="88">
        <f>SUMIF(月間集計シート!$M$71:$M$90,$G351,月間集計シート!Q$71:Q$90)*AA$2</f>
        <v>0</v>
      </c>
      <c r="AB351" s="88">
        <f>SUMIF(月間集計シート!$M$71:$M$90,$G351,月間集計シート!R$71:R$90)*AB$2</f>
        <v>0</v>
      </c>
      <c r="AC351" s="88">
        <f>SUMIF(月間集計シート!$M$71:$M$90,$G351,月間集計シート!S$71:S$90)*AC$2</f>
        <v>0</v>
      </c>
      <c r="AD351" s="88">
        <f>SUMIF(月間集計シート!$M$71:$M$90,$G351,月間集計シート!T$71:T$90)*AD$2</f>
        <v>0</v>
      </c>
      <c r="AE351" s="88">
        <f>SUMIF(月間集計シート!$M$92:$M$111,$G351,月間集計シート!N$92:N$111)*AE$2</f>
        <v>0</v>
      </c>
      <c r="AF351" s="88">
        <f>SUMIF(月間集計シート!$M$92:$M$111,$G351,月間集計シート!O$92:O$111)*AF$2</f>
        <v>0</v>
      </c>
      <c r="AG351" s="88">
        <f>SUMIF(月間集計シート!$M$92:$M$111,$G351,月間集計シート!P$92:P$111)*AG$2</f>
        <v>0</v>
      </c>
      <c r="AH351" s="88">
        <f>SUMIF(月間集計シート!$M$92:$M$111,$G351,月間集計シート!Q$92:Q$111)*AH$2</f>
        <v>0</v>
      </c>
      <c r="AI351" s="88">
        <f>SUMIF(月間集計シート!$M$92:$M$111,$G351,月間集計シート!R$92:R$111)*AI$2</f>
        <v>0</v>
      </c>
      <c r="AJ351" s="88">
        <f>SUMIF(月間集計シート!$M$92:$M$111,$G351,月間集計シート!S$92:S$111)*AJ$2</f>
        <v>0</v>
      </c>
      <c r="AK351" s="88">
        <f>SUMIF(月間集計シート!$M$92:$M$111,$G351,月間集計シート!T$92:T$111)*AK$2</f>
        <v>0</v>
      </c>
      <c r="AL351" s="88">
        <f>SUMIF(月間集計シート!$M$113:$M$132,$G351,月間集計シート!N$113:N$132)*AL$2</f>
        <v>0</v>
      </c>
      <c r="AM351" s="88">
        <f>SUMIF(月間集計シート!$M$113:$M$132,$G351,月間集計シート!O$113:O$132)*AM$2</f>
        <v>0</v>
      </c>
      <c r="AN351" s="88">
        <f>SUMIF(月間集計シート!$M$113:$M$132,$G351,月間集計シート!P$113:P$132)*AN$2</f>
        <v>0</v>
      </c>
      <c r="AO351" s="88">
        <f>SUMIF(月間集計シート!$M$113:$M$132,$G351,月間集計シート!Q$113:Q$132)*AO$2</f>
        <v>0</v>
      </c>
      <c r="AP351" s="88">
        <f>SUMIF(月間集計シート!$M$113:$M$132,$G351,月間集計シート!R$113:R$132)*AP$2</f>
        <v>0</v>
      </c>
      <c r="AQ351" s="88">
        <f>SUMIF(月間集計シート!$M$113:$M$132,$G351,月間集計シート!S$113:S$132)*AQ$2</f>
        <v>0</v>
      </c>
      <c r="AR351" s="88">
        <f>SUMIF(月間集計シート!$M$113:$M$132,$G351,月間集計シート!T$113:T$132)*AR$2</f>
        <v>0</v>
      </c>
      <c r="AS351" s="88">
        <f>SUMIF(月間集計シート!$M$134:$M$153,$G351,月間集計シート!N$134:N$153)*AS$2</f>
        <v>0</v>
      </c>
      <c r="AT351" s="88">
        <f>SUMIF(月間集計シート!$M$134:$M$153,$G351,月間集計シート!O$134:O$153)*AT$2</f>
        <v>0</v>
      </c>
      <c r="AU351" s="88">
        <f>SUMIF(月間集計シート!$M$134:$M$153,$G351,月間集計シート!P$134:P$153)*AU$2</f>
        <v>0</v>
      </c>
      <c r="AV351" s="88">
        <f>SUMIF(月間集計シート!$M$134:$M$153,$G351,月間集計シート!Q$134:Q$153)*AV$2</f>
        <v>0</v>
      </c>
      <c r="AW351" s="88">
        <f>SUMIF(月間集計シート!$M$134:$M$153,$G351,月間集計シート!R$134:R$153)*AW$2</f>
        <v>0</v>
      </c>
      <c r="AX351" s="88">
        <f>SUMIF(月間集計シート!$M$134:$M$153,$G351,月間集計シート!S$134:S$153)*AX$2</f>
        <v>0</v>
      </c>
      <c r="AY351" s="88">
        <f>SUMIF(月間集計シート!$M$134:$M$153,$G351,月間集計シート!T$134:T$153)*AY$2</f>
        <v>0</v>
      </c>
    </row>
    <row r="352" spans="1:51" ht="14.25" thickBot="1">
      <c r="A352">
        <v>5</v>
      </c>
      <c r="B352" s="120">
        <f t="shared" si="185"/>
        <v>0</v>
      </c>
      <c r="C352" s="120" t="str">
        <f t="shared" si="186"/>
        <v/>
      </c>
      <c r="D352" s="137"/>
      <c r="E352" s="150" t="str">
        <f>工種!A4</f>
        <v>10104</v>
      </c>
      <c r="F352" s="119" t="str">
        <f>工種!B4</f>
        <v>SRS：打合せ</v>
      </c>
      <c r="G352" s="116" t="str">
        <f t="shared" si="134"/>
        <v>010104</v>
      </c>
      <c r="H352" s="88">
        <f t="shared" si="141"/>
        <v>0</v>
      </c>
      <c r="I352" s="132"/>
      <c r="J352" s="88">
        <f>SUMIF(月間集計シート!$M$29:$M$48,$G352,月間集計シート!N$29:N$48)*J$2</f>
        <v>0</v>
      </c>
      <c r="K352" s="88">
        <f>SUMIF(月間集計シート!$M$29:$M$48,$G352,月間集計シート!O$29:O$48)*K$2</f>
        <v>0</v>
      </c>
      <c r="L352" s="88">
        <f>SUMIF(月間集計シート!$M$29:$M$48,$G352,月間集計シート!P$29:P$48)*L$2</f>
        <v>0</v>
      </c>
      <c r="M352" s="88">
        <f>SUMIF(月間集計シート!$M$29:$M$48,$G352,月間集計シート!Q$29:Q$48)*M$2</f>
        <v>0</v>
      </c>
      <c r="N352" s="88">
        <f>SUMIF(月間集計シート!$M$29:$M$48,$G352,月間集計シート!R$29:R$48)*N$2</f>
        <v>0</v>
      </c>
      <c r="O352" s="88">
        <f>SUMIF(月間集計シート!$M$29:$M$48,$G352,月間集計シート!S$29:S$48)*O$2</f>
        <v>0</v>
      </c>
      <c r="P352" s="88">
        <f>SUMIF(月間集計シート!$M$29:$M$48,$G352,月間集計シート!T$29:T$48)*P$2</f>
        <v>0</v>
      </c>
      <c r="Q352" s="88">
        <f>SUMIF(月間集計シート!$M$50:$M$69,$G352,月間集計シート!N$50:N$69)*Q$2</f>
        <v>0</v>
      </c>
      <c r="R352" s="88">
        <f>SUMIF(月間集計シート!$M$50:$M$69,$G352,月間集計シート!O$50:O$69)*R$2</f>
        <v>0</v>
      </c>
      <c r="S352" s="88">
        <f>SUMIF(月間集計シート!$M$50:$M$69,$G352,月間集計シート!P$50:P$69)*S$2</f>
        <v>0</v>
      </c>
      <c r="T352" s="88">
        <f>SUMIF(月間集計シート!$M$50:$M$69,$G352,月間集計シート!Q$50:Q$69)*T$2</f>
        <v>0</v>
      </c>
      <c r="U352" s="88">
        <f>SUMIF(月間集計シート!$M$50:$M$69,$G352,月間集計シート!R$50:R$69)*U$2</f>
        <v>0</v>
      </c>
      <c r="V352" s="88">
        <f>SUMIF(月間集計シート!$M$50:$M$69,$G352,月間集計シート!S$50:S$69)*V$2</f>
        <v>0</v>
      </c>
      <c r="W352" s="88">
        <f>SUMIF(月間集計シート!$M$50:$M$69,$G352,月間集計シート!T$50:T$69)*W$2</f>
        <v>0</v>
      </c>
      <c r="X352" s="88">
        <f>SUMIF(月間集計シート!$M$71:$M$90,$G352,月間集計シート!N$71:N$90)*X$2</f>
        <v>0</v>
      </c>
      <c r="Y352" s="88">
        <f>SUMIF(月間集計シート!$M$71:$M$90,$G352,月間集計シート!O$71:O$90)*Y$2</f>
        <v>0</v>
      </c>
      <c r="Z352" s="88">
        <f>SUMIF(月間集計シート!$M$71:$M$90,$G352,月間集計シート!P$71:P$90)*Z$2</f>
        <v>0</v>
      </c>
      <c r="AA352" s="88">
        <f>SUMIF(月間集計シート!$M$71:$M$90,$G352,月間集計シート!Q$71:Q$90)*AA$2</f>
        <v>0</v>
      </c>
      <c r="AB352" s="88">
        <f>SUMIF(月間集計シート!$M$71:$M$90,$G352,月間集計シート!R$71:R$90)*AB$2</f>
        <v>0</v>
      </c>
      <c r="AC352" s="88">
        <f>SUMIF(月間集計シート!$M$71:$M$90,$G352,月間集計シート!S$71:S$90)*AC$2</f>
        <v>0</v>
      </c>
      <c r="AD352" s="88">
        <f>SUMIF(月間集計シート!$M$71:$M$90,$G352,月間集計シート!T$71:T$90)*AD$2</f>
        <v>0</v>
      </c>
      <c r="AE352" s="88">
        <f>SUMIF(月間集計シート!$M$92:$M$111,$G352,月間集計シート!N$92:N$111)*AE$2</f>
        <v>0</v>
      </c>
      <c r="AF352" s="88">
        <f>SUMIF(月間集計シート!$M$92:$M$111,$G352,月間集計シート!O$92:O$111)*AF$2</f>
        <v>0</v>
      </c>
      <c r="AG352" s="88">
        <f>SUMIF(月間集計シート!$M$92:$M$111,$G352,月間集計シート!P$92:P$111)*AG$2</f>
        <v>0</v>
      </c>
      <c r="AH352" s="88">
        <f>SUMIF(月間集計シート!$M$92:$M$111,$G352,月間集計シート!Q$92:Q$111)*AH$2</f>
        <v>0</v>
      </c>
      <c r="AI352" s="88">
        <f>SUMIF(月間集計シート!$M$92:$M$111,$G352,月間集計シート!R$92:R$111)*AI$2</f>
        <v>0</v>
      </c>
      <c r="AJ352" s="88">
        <f>SUMIF(月間集計シート!$M$92:$M$111,$G352,月間集計シート!S$92:S$111)*AJ$2</f>
        <v>0</v>
      </c>
      <c r="AK352" s="88">
        <f>SUMIF(月間集計シート!$M$92:$M$111,$G352,月間集計シート!T$92:T$111)*AK$2</f>
        <v>0</v>
      </c>
      <c r="AL352" s="88">
        <f>SUMIF(月間集計シート!$M$113:$M$132,$G352,月間集計シート!N$113:N$132)*AL$2</f>
        <v>0</v>
      </c>
      <c r="AM352" s="88">
        <f>SUMIF(月間集計シート!$M$113:$M$132,$G352,月間集計シート!O$113:O$132)*AM$2</f>
        <v>0</v>
      </c>
      <c r="AN352" s="88">
        <f>SUMIF(月間集計シート!$M$113:$M$132,$G352,月間集計シート!P$113:P$132)*AN$2</f>
        <v>0</v>
      </c>
      <c r="AO352" s="88">
        <f>SUMIF(月間集計シート!$M$113:$M$132,$G352,月間集計シート!Q$113:Q$132)*AO$2</f>
        <v>0</v>
      </c>
      <c r="AP352" s="88">
        <f>SUMIF(月間集計シート!$M$113:$M$132,$G352,月間集計シート!R$113:R$132)*AP$2</f>
        <v>0</v>
      </c>
      <c r="AQ352" s="88">
        <f>SUMIF(月間集計シート!$M$113:$M$132,$G352,月間集計シート!S$113:S$132)*AQ$2</f>
        <v>0</v>
      </c>
      <c r="AR352" s="88">
        <f>SUMIF(月間集計シート!$M$113:$M$132,$G352,月間集計シート!T$113:T$132)*AR$2</f>
        <v>0</v>
      </c>
      <c r="AS352" s="88">
        <f>SUMIF(月間集計シート!$M$134:$M$153,$G352,月間集計シート!N$134:N$153)*AS$2</f>
        <v>0</v>
      </c>
      <c r="AT352" s="88">
        <f>SUMIF(月間集計シート!$M$134:$M$153,$G352,月間集計シート!O$134:O$153)*AT$2</f>
        <v>0</v>
      </c>
      <c r="AU352" s="88">
        <f>SUMIF(月間集計シート!$M$134:$M$153,$G352,月間集計シート!P$134:P$153)*AU$2</f>
        <v>0</v>
      </c>
      <c r="AV352" s="88">
        <f>SUMIF(月間集計シート!$M$134:$M$153,$G352,月間集計シート!Q$134:Q$153)*AV$2</f>
        <v>0</v>
      </c>
      <c r="AW352" s="88">
        <f>SUMIF(月間集計シート!$M$134:$M$153,$G352,月間集計シート!R$134:R$153)*AW$2</f>
        <v>0</v>
      </c>
      <c r="AX352" s="88">
        <f>SUMIF(月間集計シート!$M$134:$M$153,$G352,月間集計シート!S$134:S$153)*AX$2</f>
        <v>0</v>
      </c>
      <c r="AY352" s="88">
        <f>SUMIF(月間集計シート!$M$134:$M$153,$G352,月間集計シート!T$134:T$153)*AY$2</f>
        <v>0</v>
      </c>
    </row>
    <row r="353" spans="1:51" ht="14.25" thickBot="1">
      <c r="A353">
        <v>5</v>
      </c>
      <c r="B353" s="120">
        <f t="shared" si="185"/>
        <v>0</v>
      </c>
      <c r="C353" s="120" t="str">
        <f t="shared" si="186"/>
        <v/>
      </c>
      <c r="D353" s="137"/>
      <c r="E353" s="150" t="str">
        <f>工種!A5</f>
        <v>10105</v>
      </c>
      <c r="F353" s="119" t="str">
        <f>工種!B5</f>
        <v>SRS：レビュー</v>
      </c>
      <c r="G353" s="116" t="str">
        <f t="shared" si="134"/>
        <v>010105</v>
      </c>
      <c r="H353" s="88">
        <f t="shared" si="141"/>
        <v>0</v>
      </c>
      <c r="I353" s="132"/>
      <c r="J353" s="88">
        <f>SUMIF(月間集計シート!$M$29:$M$48,$G353,月間集計シート!N$29:N$48)*J$2</f>
        <v>0</v>
      </c>
      <c r="K353" s="88">
        <f>SUMIF(月間集計シート!$M$29:$M$48,$G353,月間集計シート!O$29:O$48)*K$2</f>
        <v>0</v>
      </c>
      <c r="L353" s="88">
        <f>SUMIF(月間集計シート!$M$29:$M$48,$G353,月間集計シート!P$29:P$48)*L$2</f>
        <v>0</v>
      </c>
      <c r="M353" s="88">
        <f>SUMIF(月間集計シート!$M$29:$M$48,$G353,月間集計シート!Q$29:Q$48)*M$2</f>
        <v>0</v>
      </c>
      <c r="N353" s="88">
        <f>SUMIF(月間集計シート!$M$29:$M$48,$G353,月間集計シート!R$29:R$48)*N$2</f>
        <v>0</v>
      </c>
      <c r="O353" s="88">
        <f>SUMIF(月間集計シート!$M$29:$M$48,$G353,月間集計シート!S$29:S$48)*O$2</f>
        <v>0</v>
      </c>
      <c r="P353" s="88">
        <f>SUMIF(月間集計シート!$M$29:$M$48,$G353,月間集計シート!T$29:T$48)*P$2</f>
        <v>0</v>
      </c>
      <c r="Q353" s="88">
        <f>SUMIF(月間集計シート!$M$50:$M$69,$G353,月間集計シート!N$50:N$69)*Q$2</f>
        <v>0</v>
      </c>
      <c r="R353" s="88">
        <f>SUMIF(月間集計シート!$M$50:$M$69,$G353,月間集計シート!O$50:O$69)*R$2</f>
        <v>0</v>
      </c>
      <c r="S353" s="88">
        <f>SUMIF(月間集計シート!$M$50:$M$69,$G353,月間集計シート!P$50:P$69)*S$2</f>
        <v>0</v>
      </c>
      <c r="T353" s="88">
        <f>SUMIF(月間集計シート!$M$50:$M$69,$G353,月間集計シート!Q$50:Q$69)*T$2</f>
        <v>0</v>
      </c>
      <c r="U353" s="88">
        <f>SUMIF(月間集計シート!$M$50:$M$69,$G353,月間集計シート!R$50:R$69)*U$2</f>
        <v>0</v>
      </c>
      <c r="V353" s="88">
        <f>SUMIF(月間集計シート!$M$50:$M$69,$G353,月間集計シート!S$50:S$69)*V$2</f>
        <v>0</v>
      </c>
      <c r="W353" s="88">
        <f>SUMIF(月間集計シート!$M$50:$M$69,$G353,月間集計シート!T$50:T$69)*W$2</f>
        <v>0</v>
      </c>
      <c r="X353" s="88">
        <f>SUMIF(月間集計シート!$M$71:$M$90,$G353,月間集計シート!N$71:N$90)*X$2</f>
        <v>0</v>
      </c>
      <c r="Y353" s="88">
        <f>SUMIF(月間集計シート!$M$71:$M$90,$G353,月間集計シート!O$71:O$90)*Y$2</f>
        <v>0</v>
      </c>
      <c r="Z353" s="88">
        <f>SUMIF(月間集計シート!$M$71:$M$90,$G353,月間集計シート!P$71:P$90)*Z$2</f>
        <v>0</v>
      </c>
      <c r="AA353" s="88">
        <f>SUMIF(月間集計シート!$M$71:$M$90,$G353,月間集計シート!Q$71:Q$90)*AA$2</f>
        <v>0</v>
      </c>
      <c r="AB353" s="88">
        <f>SUMIF(月間集計シート!$M$71:$M$90,$G353,月間集計シート!R$71:R$90)*AB$2</f>
        <v>0</v>
      </c>
      <c r="AC353" s="88">
        <f>SUMIF(月間集計シート!$M$71:$M$90,$G353,月間集計シート!S$71:S$90)*AC$2</f>
        <v>0</v>
      </c>
      <c r="AD353" s="88">
        <f>SUMIF(月間集計シート!$M$71:$M$90,$G353,月間集計シート!T$71:T$90)*AD$2</f>
        <v>0</v>
      </c>
      <c r="AE353" s="88">
        <f>SUMIF(月間集計シート!$M$92:$M$111,$G353,月間集計シート!N$92:N$111)*AE$2</f>
        <v>0</v>
      </c>
      <c r="AF353" s="88">
        <f>SUMIF(月間集計シート!$M$92:$M$111,$G353,月間集計シート!O$92:O$111)*AF$2</f>
        <v>0</v>
      </c>
      <c r="AG353" s="88">
        <f>SUMIF(月間集計シート!$M$92:$M$111,$G353,月間集計シート!P$92:P$111)*AG$2</f>
        <v>0</v>
      </c>
      <c r="AH353" s="88">
        <f>SUMIF(月間集計シート!$M$92:$M$111,$G353,月間集計シート!Q$92:Q$111)*AH$2</f>
        <v>0</v>
      </c>
      <c r="AI353" s="88">
        <f>SUMIF(月間集計シート!$M$92:$M$111,$G353,月間集計シート!R$92:R$111)*AI$2</f>
        <v>0</v>
      </c>
      <c r="AJ353" s="88">
        <f>SUMIF(月間集計シート!$M$92:$M$111,$G353,月間集計シート!S$92:S$111)*AJ$2</f>
        <v>0</v>
      </c>
      <c r="AK353" s="88">
        <f>SUMIF(月間集計シート!$M$92:$M$111,$G353,月間集計シート!T$92:T$111)*AK$2</f>
        <v>0</v>
      </c>
      <c r="AL353" s="88">
        <f>SUMIF(月間集計シート!$M$113:$M$132,$G353,月間集計シート!N$113:N$132)*AL$2</f>
        <v>0</v>
      </c>
      <c r="AM353" s="88">
        <f>SUMIF(月間集計シート!$M$113:$M$132,$G353,月間集計シート!O$113:O$132)*AM$2</f>
        <v>0</v>
      </c>
      <c r="AN353" s="88">
        <f>SUMIF(月間集計シート!$M$113:$M$132,$G353,月間集計シート!P$113:P$132)*AN$2</f>
        <v>0</v>
      </c>
      <c r="AO353" s="88">
        <f>SUMIF(月間集計シート!$M$113:$M$132,$G353,月間集計シート!Q$113:Q$132)*AO$2</f>
        <v>0</v>
      </c>
      <c r="AP353" s="88">
        <f>SUMIF(月間集計シート!$M$113:$M$132,$G353,月間集計シート!R$113:R$132)*AP$2</f>
        <v>0</v>
      </c>
      <c r="AQ353" s="88">
        <f>SUMIF(月間集計シート!$M$113:$M$132,$G353,月間集計シート!S$113:S$132)*AQ$2</f>
        <v>0</v>
      </c>
      <c r="AR353" s="88">
        <f>SUMIF(月間集計シート!$M$113:$M$132,$G353,月間集計シート!T$113:T$132)*AR$2</f>
        <v>0</v>
      </c>
      <c r="AS353" s="88">
        <f>SUMIF(月間集計シート!$M$134:$M$153,$G353,月間集計シート!N$134:N$153)*AS$2</f>
        <v>0</v>
      </c>
      <c r="AT353" s="88">
        <f>SUMIF(月間集計シート!$M$134:$M$153,$G353,月間集計シート!O$134:O$153)*AT$2</f>
        <v>0</v>
      </c>
      <c r="AU353" s="88">
        <f>SUMIF(月間集計シート!$M$134:$M$153,$G353,月間集計シート!P$134:P$153)*AU$2</f>
        <v>0</v>
      </c>
      <c r="AV353" s="88">
        <f>SUMIF(月間集計シート!$M$134:$M$153,$G353,月間集計シート!Q$134:Q$153)*AV$2</f>
        <v>0</v>
      </c>
      <c r="AW353" s="88">
        <f>SUMIF(月間集計シート!$M$134:$M$153,$G353,月間集計シート!R$134:R$153)*AW$2</f>
        <v>0</v>
      </c>
      <c r="AX353" s="88">
        <f>SUMIF(月間集計シート!$M$134:$M$153,$G353,月間集計シート!S$134:S$153)*AX$2</f>
        <v>0</v>
      </c>
      <c r="AY353" s="88">
        <f>SUMIF(月間集計シート!$M$134:$M$153,$G353,月間集計シート!T$134:T$153)*AY$2</f>
        <v>0</v>
      </c>
    </row>
    <row r="354" spans="1:51" ht="14.25" thickBot="1">
      <c r="A354">
        <v>5</v>
      </c>
      <c r="B354" s="120">
        <f t="shared" si="185"/>
        <v>0</v>
      </c>
      <c r="C354" s="120" t="str">
        <f t="shared" si="186"/>
        <v/>
      </c>
      <c r="D354" s="137"/>
      <c r="E354" s="150" t="str">
        <f>工種!A6</f>
        <v>10199</v>
      </c>
      <c r="F354" s="119" t="str">
        <f>工種!B6</f>
        <v>SRS：その他</v>
      </c>
      <c r="G354" s="116" t="str">
        <f t="shared" si="134"/>
        <v>010199</v>
      </c>
      <c r="H354" s="88">
        <f t="shared" si="141"/>
        <v>0</v>
      </c>
      <c r="I354" s="132"/>
      <c r="J354" s="88">
        <f>SUMIF(月間集計シート!$M$29:$M$48,$G354,月間集計シート!N$29:N$48)*J$2</f>
        <v>0</v>
      </c>
      <c r="K354" s="88">
        <f>SUMIF(月間集計シート!$M$29:$M$48,$G354,月間集計シート!O$29:O$48)*K$2</f>
        <v>0</v>
      </c>
      <c r="L354" s="88">
        <f>SUMIF(月間集計シート!$M$29:$M$48,$G354,月間集計シート!P$29:P$48)*L$2</f>
        <v>0</v>
      </c>
      <c r="M354" s="88">
        <f>SUMIF(月間集計シート!$M$29:$M$48,$G354,月間集計シート!Q$29:Q$48)*M$2</f>
        <v>0</v>
      </c>
      <c r="N354" s="88">
        <f>SUMIF(月間集計シート!$M$29:$M$48,$G354,月間集計シート!R$29:R$48)*N$2</f>
        <v>0</v>
      </c>
      <c r="O354" s="88">
        <f>SUMIF(月間集計シート!$M$29:$M$48,$G354,月間集計シート!S$29:S$48)*O$2</f>
        <v>0</v>
      </c>
      <c r="P354" s="88">
        <f>SUMIF(月間集計シート!$M$29:$M$48,$G354,月間集計シート!T$29:T$48)*P$2</f>
        <v>0</v>
      </c>
      <c r="Q354" s="88">
        <f>SUMIF(月間集計シート!$M$50:$M$69,$G354,月間集計シート!N$50:N$69)*Q$2</f>
        <v>0</v>
      </c>
      <c r="R354" s="88">
        <f>SUMIF(月間集計シート!$M$50:$M$69,$G354,月間集計シート!O$50:O$69)*R$2</f>
        <v>0</v>
      </c>
      <c r="S354" s="88">
        <f>SUMIF(月間集計シート!$M$50:$M$69,$G354,月間集計シート!P$50:P$69)*S$2</f>
        <v>0</v>
      </c>
      <c r="T354" s="88">
        <f>SUMIF(月間集計シート!$M$50:$M$69,$G354,月間集計シート!Q$50:Q$69)*T$2</f>
        <v>0</v>
      </c>
      <c r="U354" s="88">
        <f>SUMIF(月間集計シート!$M$50:$M$69,$G354,月間集計シート!R$50:R$69)*U$2</f>
        <v>0</v>
      </c>
      <c r="V354" s="88">
        <f>SUMIF(月間集計シート!$M$50:$M$69,$G354,月間集計シート!S$50:S$69)*V$2</f>
        <v>0</v>
      </c>
      <c r="W354" s="88">
        <f>SUMIF(月間集計シート!$M$50:$M$69,$G354,月間集計シート!T$50:T$69)*W$2</f>
        <v>0</v>
      </c>
      <c r="X354" s="88">
        <f>SUMIF(月間集計シート!$M$71:$M$90,$G354,月間集計シート!N$71:N$90)*X$2</f>
        <v>0</v>
      </c>
      <c r="Y354" s="88">
        <f>SUMIF(月間集計シート!$M$71:$M$90,$G354,月間集計シート!O$71:O$90)*Y$2</f>
        <v>0</v>
      </c>
      <c r="Z354" s="88">
        <f>SUMIF(月間集計シート!$M$71:$M$90,$G354,月間集計シート!P$71:P$90)*Z$2</f>
        <v>0</v>
      </c>
      <c r="AA354" s="88">
        <f>SUMIF(月間集計シート!$M$71:$M$90,$G354,月間集計シート!Q$71:Q$90)*AA$2</f>
        <v>0</v>
      </c>
      <c r="AB354" s="88">
        <f>SUMIF(月間集計シート!$M$71:$M$90,$G354,月間集計シート!R$71:R$90)*AB$2</f>
        <v>0</v>
      </c>
      <c r="AC354" s="88">
        <f>SUMIF(月間集計シート!$M$71:$M$90,$G354,月間集計シート!S$71:S$90)*AC$2</f>
        <v>0</v>
      </c>
      <c r="AD354" s="88">
        <f>SUMIF(月間集計シート!$M$71:$M$90,$G354,月間集計シート!T$71:T$90)*AD$2</f>
        <v>0</v>
      </c>
      <c r="AE354" s="88">
        <f>SUMIF(月間集計シート!$M$92:$M$111,$G354,月間集計シート!N$92:N$111)*AE$2</f>
        <v>0</v>
      </c>
      <c r="AF354" s="88">
        <f>SUMIF(月間集計シート!$M$92:$M$111,$G354,月間集計シート!O$92:O$111)*AF$2</f>
        <v>0</v>
      </c>
      <c r="AG354" s="88">
        <f>SUMIF(月間集計シート!$M$92:$M$111,$G354,月間集計シート!P$92:P$111)*AG$2</f>
        <v>0</v>
      </c>
      <c r="AH354" s="88">
        <f>SUMIF(月間集計シート!$M$92:$M$111,$G354,月間集計シート!Q$92:Q$111)*AH$2</f>
        <v>0</v>
      </c>
      <c r="AI354" s="88">
        <f>SUMIF(月間集計シート!$M$92:$M$111,$G354,月間集計シート!R$92:R$111)*AI$2</f>
        <v>0</v>
      </c>
      <c r="AJ354" s="88">
        <f>SUMIF(月間集計シート!$M$92:$M$111,$G354,月間集計シート!S$92:S$111)*AJ$2</f>
        <v>0</v>
      </c>
      <c r="AK354" s="88">
        <f>SUMIF(月間集計シート!$M$92:$M$111,$G354,月間集計シート!T$92:T$111)*AK$2</f>
        <v>0</v>
      </c>
      <c r="AL354" s="88">
        <f>SUMIF(月間集計シート!$M$113:$M$132,$G354,月間集計シート!N$113:N$132)*AL$2</f>
        <v>0</v>
      </c>
      <c r="AM354" s="88">
        <f>SUMIF(月間集計シート!$M$113:$M$132,$G354,月間集計シート!O$113:O$132)*AM$2</f>
        <v>0</v>
      </c>
      <c r="AN354" s="88">
        <f>SUMIF(月間集計シート!$M$113:$M$132,$G354,月間集計シート!P$113:P$132)*AN$2</f>
        <v>0</v>
      </c>
      <c r="AO354" s="88">
        <f>SUMIF(月間集計シート!$M$113:$M$132,$G354,月間集計シート!Q$113:Q$132)*AO$2</f>
        <v>0</v>
      </c>
      <c r="AP354" s="88">
        <f>SUMIF(月間集計シート!$M$113:$M$132,$G354,月間集計シート!R$113:R$132)*AP$2</f>
        <v>0</v>
      </c>
      <c r="AQ354" s="88">
        <f>SUMIF(月間集計シート!$M$113:$M$132,$G354,月間集計シート!S$113:S$132)*AQ$2</f>
        <v>0</v>
      </c>
      <c r="AR354" s="88">
        <f>SUMIF(月間集計シート!$M$113:$M$132,$G354,月間集計シート!T$113:T$132)*AR$2</f>
        <v>0</v>
      </c>
      <c r="AS354" s="88">
        <f>SUMIF(月間集計シート!$M$134:$M$153,$G354,月間集計シート!N$134:N$153)*AS$2</f>
        <v>0</v>
      </c>
      <c r="AT354" s="88">
        <f>SUMIF(月間集計シート!$M$134:$M$153,$G354,月間集計シート!O$134:O$153)*AT$2</f>
        <v>0</v>
      </c>
      <c r="AU354" s="88">
        <f>SUMIF(月間集計シート!$M$134:$M$153,$G354,月間集計シート!P$134:P$153)*AU$2</f>
        <v>0</v>
      </c>
      <c r="AV354" s="88">
        <f>SUMIF(月間集計シート!$M$134:$M$153,$G354,月間集計シート!Q$134:Q$153)*AV$2</f>
        <v>0</v>
      </c>
      <c r="AW354" s="88">
        <f>SUMIF(月間集計シート!$M$134:$M$153,$G354,月間集計シート!R$134:R$153)*AW$2</f>
        <v>0</v>
      </c>
      <c r="AX354" s="88">
        <f>SUMIF(月間集計シート!$M$134:$M$153,$G354,月間集計シート!S$134:S$153)*AX$2</f>
        <v>0</v>
      </c>
      <c r="AY354" s="88">
        <f>SUMIF(月間集計シート!$M$134:$M$153,$G354,月間集計シート!T$134:T$153)*AY$2</f>
        <v>0</v>
      </c>
    </row>
    <row r="355" spans="1:51" ht="14.25" thickBot="1">
      <c r="A355">
        <v>5</v>
      </c>
      <c r="B355" s="120">
        <f t="shared" si="185"/>
        <v>0</v>
      </c>
      <c r="C355" s="120" t="str">
        <f t="shared" si="186"/>
        <v/>
      </c>
      <c r="D355" s="137"/>
      <c r="E355" s="150" t="str">
        <f>工種!A7</f>
        <v>20101</v>
      </c>
      <c r="F355" s="119" t="str">
        <f>工種!B7</f>
        <v>設計：外部設計書作成</v>
      </c>
      <c r="G355" s="116" t="str">
        <f t="shared" ref="G355:G440" si="187">B355&amp;E355</f>
        <v>020101</v>
      </c>
      <c r="H355" s="88">
        <f t="shared" si="141"/>
        <v>0</v>
      </c>
      <c r="I355" s="132"/>
      <c r="J355" s="88">
        <f>SUMIF(月間集計シート!$M$29:$M$48,$G355,月間集計シート!N$29:N$48)*J$2</f>
        <v>0</v>
      </c>
      <c r="K355" s="88">
        <f>SUMIF(月間集計シート!$M$29:$M$48,$G355,月間集計シート!O$29:O$48)*K$2</f>
        <v>0</v>
      </c>
      <c r="L355" s="88">
        <f>SUMIF(月間集計シート!$M$29:$M$48,$G355,月間集計シート!P$29:P$48)*L$2</f>
        <v>0</v>
      </c>
      <c r="M355" s="88">
        <f>SUMIF(月間集計シート!$M$29:$M$48,$G355,月間集計シート!Q$29:Q$48)*M$2</f>
        <v>0</v>
      </c>
      <c r="N355" s="88">
        <f>SUMIF(月間集計シート!$M$29:$M$48,$G355,月間集計シート!R$29:R$48)*N$2</f>
        <v>0</v>
      </c>
      <c r="O355" s="88">
        <f>SUMIF(月間集計シート!$M$29:$M$48,$G355,月間集計シート!S$29:S$48)*O$2</f>
        <v>0</v>
      </c>
      <c r="P355" s="88">
        <f>SUMIF(月間集計シート!$M$29:$M$48,$G355,月間集計シート!T$29:T$48)*P$2</f>
        <v>0</v>
      </c>
      <c r="Q355" s="88">
        <f>SUMIF(月間集計シート!$M$50:$M$69,$G355,月間集計シート!N$50:N$69)*Q$2</f>
        <v>0</v>
      </c>
      <c r="R355" s="88">
        <f>SUMIF(月間集計シート!$M$50:$M$69,$G355,月間集計シート!O$50:O$69)*R$2</f>
        <v>0</v>
      </c>
      <c r="S355" s="88">
        <f>SUMIF(月間集計シート!$M$50:$M$69,$G355,月間集計シート!P$50:P$69)*S$2</f>
        <v>0</v>
      </c>
      <c r="T355" s="88">
        <f>SUMIF(月間集計シート!$M$50:$M$69,$G355,月間集計シート!Q$50:Q$69)*T$2</f>
        <v>0</v>
      </c>
      <c r="U355" s="88">
        <f>SUMIF(月間集計シート!$M$50:$M$69,$G355,月間集計シート!R$50:R$69)*U$2</f>
        <v>0</v>
      </c>
      <c r="V355" s="88">
        <f>SUMIF(月間集計シート!$M$50:$M$69,$G355,月間集計シート!S$50:S$69)*V$2</f>
        <v>0</v>
      </c>
      <c r="W355" s="88">
        <f>SUMIF(月間集計シート!$M$50:$M$69,$G355,月間集計シート!T$50:T$69)*W$2</f>
        <v>0</v>
      </c>
      <c r="X355" s="88">
        <f>SUMIF(月間集計シート!$M$71:$M$90,$G355,月間集計シート!N$71:N$90)*X$2</f>
        <v>0</v>
      </c>
      <c r="Y355" s="88">
        <f>SUMIF(月間集計シート!$M$71:$M$90,$G355,月間集計シート!O$71:O$90)*Y$2</f>
        <v>0</v>
      </c>
      <c r="Z355" s="88">
        <f>SUMIF(月間集計シート!$M$71:$M$90,$G355,月間集計シート!P$71:P$90)*Z$2</f>
        <v>0</v>
      </c>
      <c r="AA355" s="88">
        <f>SUMIF(月間集計シート!$M$71:$M$90,$G355,月間集計シート!Q$71:Q$90)*AA$2</f>
        <v>0</v>
      </c>
      <c r="AB355" s="88">
        <f>SUMIF(月間集計シート!$M$71:$M$90,$G355,月間集計シート!R$71:R$90)*AB$2</f>
        <v>0</v>
      </c>
      <c r="AC355" s="88">
        <f>SUMIF(月間集計シート!$M$71:$M$90,$G355,月間集計シート!S$71:S$90)*AC$2</f>
        <v>0</v>
      </c>
      <c r="AD355" s="88">
        <f>SUMIF(月間集計シート!$M$71:$M$90,$G355,月間集計シート!T$71:T$90)*AD$2</f>
        <v>0</v>
      </c>
      <c r="AE355" s="88">
        <f>SUMIF(月間集計シート!$M$92:$M$111,$G355,月間集計シート!N$92:N$111)*AE$2</f>
        <v>0</v>
      </c>
      <c r="AF355" s="88">
        <f>SUMIF(月間集計シート!$M$92:$M$111,$G355,月間集計シート!O$92:O$111)*AF$2</f>
        <v>0</v>
      </c>
      <c r="AG355" s="88">
        <f>SUMIF(月間集計シート!$M$92:$M$111,$G355,月間集計シート!P$92:P$111)*AG$2</f>
        <v>0</v>
      </c>
      <c r="AH355" s="88">
        <f>SUMIF(月間集計シート!$M$92:$M$111,$G355,月間集計シート!Q$92:Q$111)*AH$2</f>
        <v>0</v>
      </c>
      <c r="AI355" s="88">
        <f>SUMIF(月間集計シート!$M$92:$M$111,$G355,月間集計シート!R$92:R$111)*AI$2</f>
        <v>0</v>
      </c>
      <c r="AJ355" s="88">
        <f>SUMIF(月間集計シート!$M$92:$M$111,$G355,月間集計シート!S$92:S$111)*AJ$2</f>
        <v>0</v>
      </c>
      <c r="AK355" s="88">
        <f>SUMIF(月間集計シート!$M$92:$M$111,$G355,月間集計シート!T$92:T$111)*AK$2</f>
        <v>0</v>
      </c>
      <c r="AL355" s="88">
        <f>SUMIF(月間集計シート!$M$113:$M$132,$G355,月間集計シート!N$113:N$132)*AL$2</f>
        <v>0</v>
      </c>
      <c r="AM355" s="88">
        <f>SUMIF(月間集計シート!$M$113:$M$132,$G355,月間集計シート!O$113:O$132)*AM$2</f>
        <v>0</v>
      </c>
      <c r="AN355" s="88">
        <f>SUMIF(月間集計シート!$M$113:$M$132,$G355,月間集計シート!P$113:P$132)*AN$2</f>
        <v>0</v>
      </c>
      <c r="AO355" s="88">
        <f>SUMIF(月間集計シート!$M$113:$M$132,$G355,月間集計シート!Q$113:Q$132)*AO$2</f>
        <v>0</v>
      </c>
      <c r="AP355" s="88">
        <f>SUMIF(月間集計シート!$M$113:$M$132,$G355,月間集計シート!R$113:R$132)*AP$2</f>
        <v>0</v>
      </c>
      <c r="AQ355" s="88">
        <f>SUMIF(月間集計シート!$M$113:$M$132,$G355,月間集計シート!S$113:S$132)*AQ$2</f>
        <v>0</v>
      </c>
      <c r="AR355" s="88">
        <f>SUMIF(月間集計シート!$M$113:$M$132,$G355,月間集計シート!T$113:T$132)*AR$2</f>
        <v>0</v>
      </c>
      <c r="AS355" s="88">
        <f>SUMIF(月間集計シート!$M$134:$M$153,$G355,月間集計シート!N$134:N$153)*AS$2</f>
        <v>0</v>
      </c>
      <c r="AT355" s="88">
        <f>SUMIF(月間集計シート!$M$134:$M$153,$G355,月間集計シート!O$134:O$153)*AT$2</f>
        <v>0</v>
      </c>
      <c r="AU355" s="88">
        <f>SUMIF(月間集計シート!$M$134:$M$153,$G355,月間集計シート!P$134:P$153)*AU$2</f>
        <v>0</v>
      </c>
      <c r="AV355" s="88">
        <f>SUMIF(月間集計シート!$M$134:$M$153,$G355,月間集計シート!Q$134:Q$153)*AV$2</f>
        <v>0</v>
      </c>
      <c r="AW355" s="88">
        <f>SUMIF(月間集計シート!$M$134:$M$153,$G355,月間集計シート!R$134:R$153)*AW$2</f>
        <v>0</v>
      </c>
      <c r="AX355" s="88">
        <f>SUMIF(月間集計シート!$M$134:$M$153,$G355,月間集計シート!S$134:S$153)*AX$2</f>
        <v>0</v>
      </c>
      <c r="AY355" s="88">
        <f>SUMIF(月間集計シート!$M$134:$M$153,$G355,月間集計シート!T$134:T$153)*AY$2</f>
        <v>0</v>
      </c>
    </row>
    <row r="356" spans="1:51" ht="14.25" thickBot="1">
      <c r="A356">
        <v>5</v>
      </c>
      <c r="B356" s="120">
        <f t="shared" si="185"/>
        <v>0</v>
      </c>
      <c r="C356" s="120" t="str">
        <f t="shared" si="186"/>
        <v/>
      </c>
      <c r="D356" s="137"/>
      <c r="E356" s="150" t="str">
        <f>工種!A8</f>
        <v>20103</v>
      </c>
      <c r="F356" s="119" t="str">
        <f>工種!B8</f>
        <v>設計：打合せ</v>
      </c>
      <c r="G356" s="116" t="str">
        <f t="shared" si="187"/>
        <v>020103</v>
      </c>
      <c r="H356" s="88">
        <f t="shared" si="141"/>
        <v>0</v>
      </c>
      <c r="I356" s="132"/>
      <c r="J356" s="88">
        <f>SUMIF(月間集計シート!$M$29:$M$48,$G356,月間集計シート!N$29:N$48)*J$2</f>
        <v>0</v>
      </c>
      <c r="K356" s="88">
        <f>SUMIF(月間集計シート!$M$29:$M$48,$G356,月間集計シート!O$29:O$48)*K$2</f>
        <v>0</v>
      </c>
      <c r="L356" s="88">
        <f>SUMIF(月間集計シート!$M$29:$M$48,$G356,月間集計シート!P$29:P$48)*L$2</f>
        <v>0</v>
      </c>
      <c r="M356" s="88">
        <f>SUMIF(月間集計シート!$M$29:$M$48,$G356,月間集計シート!Q$29:Q$48)*M$2</f>
        <v>0</v>
      </c>
      <c r="N356" s="88">
        <f>SUMIF(月間集計シート!$M$29:$M$48,$G356,月間集計シート!R$29:R$48)*N$2</f>
        <v>0</v>
      </c>
      <c r="O356" s="88">
        <f>SUMIF(月間集計シート!$M$29:$M$48,$G356,月間集計シート!S$29:S$48)*O$2</f>
        <v>0</v>
      </c>
      <c r="P356" s="88">
        <f>SUMIF(月間集計シート!$M$29:$M$48,$G356,月間集計シート!T$29:T$48)*P$2</f>
        <v>0</v>
      </c>
      <c r="Q356" s="88">
        <f>SUMIF(月間集計シート!$M$50:$M$69,$G356,月間集計シート!N$50:N$69)*Q$2</f>
        <v>0</v>
      </c>
      <c r="R356" s="88">
        <f>SUMIF(月間集計シート!$M$50:$M$69,$G356,月間集計シート!O$50:O$69)*R$2</f>
        <v>0</v>
      </c>
      <c r="S356" s="88">
        <f>SUMIF(月間集計シート!$M$50:$M$69,$G356,月間集計シート!P$50:P$69)*S$2</f>
        <v>0</v>
      </c>
      <c r="T356" s="88">
        <f>SUMIF(月間集計シート!$M$50:$M$69,$G356,月間集計シート!Q$50:Q$69)*T$2</f>
        <v>0</v>
      </c>
      <c r="U356" s="88">
        <f>SUMIF(月間集計シート!$M$50:$M$69,$G356,月間集計シート!R$50:R$69)*U$2</f>
        <v>0</v>
      </c>
      <c r="V356" s="88">
        <f>SUMIF(月間集計シート!$M$50:$M$69,$G356,月間集計シート!S$50:S$69)*V$2</f>
        <v>0</v>
      </c>
      <c r="W356" s="88">
        <f>SUMIF(月間集計シート!$M$50:$M$69,$G356,月間集計シート!T$50:T$69)*W$2</f>
        <v>0</v>
      </c>
      <c r="X356" s="88">
        <f>SUMIF(月間集計シート!$M$71:$M$90,$G356,月間集計シート!N$71:N$90)*X$2</f>
        <v>0</v>
      </c>
      <c r="Y356" s="88">
        <f>SUMIF(月間集計シート!$M$71:$M$90,$G356,月間集計シート!O$71:O$90)*Y$2</f>
        <v>0</v>
      </c>
      <c r="Z356" s="88">
        <f>SUMIF(月間集計シート!$M$71:$M$90,$G356,月間集計シート!P$71:P$90)*Z$2</f>
        <v>0</v>
      </c>
      <c r="AA356" s="88">
        <f>SUMIF(月間集計シート!$M$71:$M$90,$G356,月間集計シート!Q$71:Q$90)*AA$2</f>
        <v>0</v>
      </c>
      <c r="AB356" s="88">
        <f>SUMIF(月間集計シート!$M$71:$M$90,$G356,月間集計シート!R$71:R$90)*AB$2</f>
        <v>0</v>
      </c>
      <c r="AC356" s="88">
        <f>SUMIF(月間集計シート!$M$71:$M$90,$G356,月間集計シート!S$71:S$90)*AC$2</f>
        <v>0</v>
      </c>
      <c r="AD356" s="88">
        <f>SUMIF(月間集計シート!$M$71:$M$90,$G356,月間集計シート!T$71:T$90)*AD$2</f>
        <v>0</v>
      </c>
      <c r="AE356" s="88">
        <f>SUMIF(月間集計シート!$M$92:$M$111,$G356,月間集計シート!N$92:N$111)*AE$2</f>
        <v>0</v>
      </c>
      <c r="AF356" s="88">
        <f>SUMIF(月間集計シート!$M$92:$M$111,$G356,月間集計シート!O$92:O$111)*AF$2</f>
        <v>0</v>
      </c>
      <c r="AG356" s="88">
        <f>SUMIF(月間集計シート!$M$92:$M$111,$G356,月間集計シート!P$92:P$111)*AG$2</f>
        <v>0</v>
      </c>
      <c r="AH356" s="88">
        <f>SUMIF(月間集計シート!$M$92:$M$111,$G356,月間集計シート!Q$92:Q$111)*AH$2</f>
        <v>0</v>
      </c>
      <c r="AI356" s="88">
        <f>SUMIF(月間集計シート!$M$92:$M$111,$G356,月間集計シート!R$92:R$111)*AI$2</f>
        <v>0</v>
      </c>
      <c r="AJ356" s="88">
        <f>SUMIF(月間集計シート!$M$92:$M$111,$G356,月間集計シート!S$92:S$111)*AJ$2</f>
        <v>0</v>
      </c>
      <c r="AK356" s="88">
        <f>SUMIF(月間集計シート!$M$92:$M$111,$G356,月間集計シート!T$92:T$111)*AK$2</f>
        <v>0</v>
      </c>
      <c r="AL356" s="88">
        <f>SUMIF(月間集計シート!$M$113:$M$132,$G356,月間集計シート!N$113:N$132)*AL$2</f>
        <v>0</v>
      </c>
      <c r="AM356" s="88">
        <f>SUMIF(月間集計シート!$M$113:$M$132,$G356,月間集計シート!O$113:O$132)*AM$2</f>
        <v>0</v>
      </c>
      <c r="AN356" s="88">
        <f>SUMIF(月間集計シート!$M$113:$M$132,$G356,月間集計シート!P$113:P$132)*AN$2</f>
        <v>0</v>
      </c>
      <c r="AO356" s="88">
        <f>SUMIF(月間集計シート!$M$113:$M$132,$G356,月間集計シート!Q$113:Q$132)*AO$2</f>
        <v>0</v>
      </c>
      <c r="AP356" s="88">
        <f>SUMIF(月間集計シート!$M$113:$M$132,$G356,月間集計シート!R$113:R$132)*AP$2</f>
        <v>0</v>
      </c>
      <c r="AQ356" s="88">
        <f>SUMIF(月間集計シート!$M$113:$M$132,$G356,月間集計シート!S$113:S$132)*AQ$2</f>
        <v>0</v>
      </c>
      <c r="AR356" s="88">
        <f>SUMIF(月間集計シート!$M$113:$M$132,$G356,月間集計シート!T$113:T$132)*AR$2</f>
        <v>0</v>
      </c>
      <c r="AS356" s="88">
        <f>SUMIF(月間集計シート!$M$134:$M$153,$G356,月間集計シート!N$134:N$153)*AS$2</f>
        <v>0</v>
      </c>
      <c r="AT356" s="88">
        <f>SUMIF(月間集計シート!$M$134:$M$153,$G356,月間集計シート!O$134:O$153)*AT$2</f>
        <v>0</v>
      </c>
      <c r="AU356" s="88">
        <f>SUMIF(月間集計シート!$M$134:$M$153,$G356,月間集計シート!P$134:P$153)*AU$2</f>
        <v>0</v>
      </c>
      <c r="AV356" s="88">
        <f>SUMIF(月間集計シート!$M$134:$M$153,$G356,月間集計シート!Q$134:Q$153)*AV$2</f>
        <v>0</v>
      </c>
      <c r="AW356" s="88">
        <f>SUMIF(月間集計シート!$M$134:$M$153,$G356,月間集計シート!R$134:R$153)*AW$2</f>
        <v>0</v>
      </c>
      <c r="AX356" s="88">
        <f>SUMIF(月間集計シート!$M$134:$M$153,$G356,月間集計シート!S$134:S$153)*AX$2</f>
        <v>0</v>
      </c>
      <c r="AY356" s="88">
        <f>SUMIF(月間集計シート!$M$134:$M$153,$G356,月間集計シート!T$134:T$153)*AY$2</f>
        <v>0</v>
      </c>
    </row>
    <row r="357" spans="1:51" ht="14.25" thickBot="1">
      <c r="A357">
        <v>5</v>
      </c>
      <c r="B357" s="120">
        <f t="shared" si="185"/>
        <v>0</v>
      </c>
      <c r="C357" s="120" t="str">
        <f t="shared" si="186"/>
        <v/>
      </c>
      <c r="D357" s="137"/>
      <c r="E357" s="150">
        <f>工種!A9</f>
        <v>20105</v>
      </c>
      <c r="F357" s="119" t="str">
        <f>工種!B9</f>
        <v>設計：原因調査・影響範囲分析・変更仕様作成</v>
      </c>
      <c r="G357" s="116" t="str">
        <f t="shared" si="187"/>
        <v>020105</v>
      </c>
      <c r="H357" s="88">
        <f t="shared" si="141"/>
        <v>0</v>
      </c>
      <c r="I357" s="132"/>
      <c r="J357" s="88">
        <f>SUMIF(月間集計シート!$M$29:$M$48,$G357,月間集計シート!N$29:N$48)*J$2</f>
        <v>0</v>
      </c>
      <c r="K357" s="88">
        <f>SUMIF(月間集計シート!$M$29:$M$48,$G357,月間集計シート!O$29:O$48)*K$2</f>
        <v>0</v>
      </c>
      <c r="L357" s="88">
        <f>SUMIF(月間集計シート!$M$29:$M$48,$G357,月間集計シート!P$29:P$48)*L$2</f>
        <v>0</v>
      </c>
      <c r="M357" s="88">
        <f>SUMIF(月間集計シート!$M$29:$M$48,$G357,月間集計シート!Q$29:Q$48)*M$2</f>
        <v>0</v>
      </c>
      <c r="N357" s="88">
        <f>SUMIF(月間集計シート!$M$29:$M$48,$G357,月間集計シート!R$29:R$48)*N$2</f>
        <v>0</v>
      </c>
      <c r="O357" s="88">
        <f>SUMIF(月間集計シート!$M$29:$M$48,$G357,月間集計シート!S$29:S$48)*O$2</f>
        <v>0</v>
      </c>
      <c r="P357" s="88">
        <f>SUMIF(月間集計シート!$M$29:$M$48,$G357,月間集計シート!T$29:T$48)*P$2</f>
        <v>0</v>
      </c>
      <c r="Q357" s="88">
        <f>SUMIF(月間集計シート!$M$50:$M$69,$G357,月間集計シート!N$50:N$69)*Q$2</f>
        <v>0</v>
      </c>
      <c r="R357" s="88">
        <f>SUMIF(月間集計シート!$M$50:$M$69,$G357,月間集計シート!O$50:O$69)*R$2</f>
        <v>0</v>
      </c>
      <c r="S357" s="88">
        <f>SUMIF(月間集計シート!$M$50:$M$69,$G357,月間集計シート!P$50:P$69)*S$2</f>
        <v>0</v>
      </c>
      <c r="T357" s="88">
        <f>SUMIF(月間集計シート!$M$50:$M$69,$G357,月間集計シート!Q$50:Q$69)*T$2</f>
        <v>0</v>
      </c>
      <c r="U357" s="88">
        <f>SUMIF(月間集計シート!$M$50:$M$69,$G357,月間集計シート!R$50:R$69)*U$2</f>
        <v>0</v>
      </c>
      <c r="V357" s="88">
        <f>SUMIF(月間集計シート!$M$50:$M$69,$G357,月間集計シート!S$50:S$69)*V$2</f>
        <v>0</v>
      </c>
      <c r="W357" s="88">
        <f>SUMIF(月間集計シート!$M$50:$M$69,$G357,月間集計シート!T$50:T$69)*W$2</f>
        <v>0</v>
      </c>
      <c r="X357" s="88">
        <f>SUMIF(月間集計シート!$M$71:$M$90,$G357,月間集計シート!N$71:N$90)*X$2</f>
        <v>0</v>
      </c>
      <c r="Y357" s="88">
        <f>SUMIF(月間集計シート!$M$71:$M$90,$G357,月間集計シート!O$71:O$90)*Y$2</f>
        <v>0</v>
      </c>
      <c r="Z357" s="88">
        <f>SUMIF(月間集計シート!$M$71:$M$90,$G357,月間集計シート!P$71:P$90)*Z$2</f>
        <v>0</v>
      </c>
      <c r="AA357" s="88">
        <f>SUMIF(月間集計シート!$M$71:$M$90,$G357,月間集計シート!Q$71:Q$90)*AA$2</f>
        <v>0</v>
      </c>
      <c r="AB357" s="88">
        <f>SUMIF(月間集計シート!$M$71:$M$90,$G357,月間集計シート!R$71:R$90)*AB$2</f>
        <v>0</v>
      </c>
      <c r="AC357" s="88">
        <f>SUMIF(月間集計シート!$M$71:$M$90,$G357,月間集計シート!S$71:S$90)*AC$2</f>
        <v>0</v>
      </c>
      <c r="AD357" s="88">
        <f>SUMIF(月間集計シート!$M$71:$M$90,$G357,月間集計シート!T$71:T$90)*AD$2</f>
        <v>0</v>
      </c>
      <c r="AE357" s="88">
        <f>SUMIF(月間集計シート!$M$92:$M$111,$G357,月間集計シート!N$92:N$111)*AE$2</f>
        <v>0</v>
      </c>
      <c r="AF357" s="88">
        <f>SUMIF(月間集計シート!$M$92:$M$111,$G357,月間集計シート!O$92:O$111)*AF$2</f>
        <v>0</v>
      </c>
      <c r="AG357" s="88">
        <f>SUMIF(月間集計シート!$M$92:$M$111,$G357,月間集計シート!P$92:P$111)*AG$2</f>
        <v>0</v>
      </c>
      <c r="AH357" s="88">
        <f>SUMIF(月間集計シート!$M$92:$M$111,$G357,月間集計シート!Q$92:Q$111)*AH$2</f>
        <v>0</v>
      </c>
      <c r="AI357" s="88">
        <f>SUMIF(月間集計シート!$M$92:$M$111,$G357,月間集計シート!R$92:R$111)*AI$2</f>
        <v>0</v>
      </c>
      <c r="AJ357" s="88">
        <f>SUMIF(月間集計シート!$M$92:$M$111,$G357,月間集計シート!S$92:S$111)*AJ$2</f>
        <v>0</v>
      </c>
      <c r="AK357" s="88">
        <f>SUMIF(月間集計シート!$M$92:$M$111,$G357,月間集計シート!T$92:T$111)*AK$2</f>
        <v>0</v>
      </c>
      <c r="AL357" s="88">
        <f>SUMIF(月間集計シート!$M$113:$M$132,$G357,月間集計シート!N$113:N$132)*AL$2</f>
        <v>0</v>
      </c>
      <c r="AM357" s="88">
        <f>SUMIF(月間集計シート!$M$113:$M$132,$G357,月間集計シート!O$113:O$132)*AM$2</f>
        <v>0</v>
      </c>
      <c r="AN357" s="88">
        <f>SUMIF(月間集計シート!$M$113:$M$132,$G357,月間集計シート!P$113:P$132)*AN$2</f>
        <v>0</v>
      </c>
      <c r="AO357" s="88">
        <f>SUMIF(月間集計シート!$M$113:$M$132,$G357,月間集計シート!Q$113:Q$132)*AO$2</f>
        <v>0</v>
      </c>
      <c r="AP357" s="88">
        <f>SUMIF(月間集計シート!$M$113:$M$132,$G357,月間集計シート!R$113:R$132)*AP$2</f>
        <v>0</v>
      </c>
      <c r="AQ357" s="88">
        <f>SUMIF(月間集計シート!$M$113:$M$132,$G357,月間集計シート!S$113:S$132)*AQ$2</f>
        <v>0</v>
      </c>
      <c r="AR357" s="88">
        <f>SUMIF(月間集計シート!$M$113:$M$132,$G357,月間集計シート!T$113:T$132)*AR$2</f>
        <v>0</v>
      </c>
      <c r="AS357" s="88">
        <f>SUMIF(月間集計シート!$M$134:$M$153,$G357,月間集計シート!N$134:N$153)*AS$2</f>
        <v>0</v>
      </c>
      <c r="AT357" s="88">
        <f>SUMIF(月間集計シート!$M$134:$M$153,$G357,月間集計シート!O$134:O$153)*AT$2</f>
        <v>0</v>
      </c>
      <c r="AU357" s="88">
        <f>SUMIF(月間集計シート!$M$134:$M$153,$G357,月間集計シート!P$134:P$153)*AU$2</f>
        <v>0</v>
      </c>
      <c r="AV357" s="88">
        <f>SUMIF(月間集計シート!$M$134:$M$153,$G357,月間集計シート!Q$134:Q$153)*AV$2</f>
        <v>0</v>
      </c>
      <c r="AW357" s="88">
        <f>SUMIF(月間集計シート!$M$134:$M$153,$G357,月間集計シート!R$134:R$153)*AW$2</f>
        <v>0</v>
      </c>
      <c r="AX357" s="88">
        <f>SUMIF(月間集計シート!$M$134:$M$153,$G357,月間集計シート!S$134:S$153)*AX$2</f>
        <v>0</v>
      </c>
      <c r="AY357" s="88">
        <f>SUMIF(月間集計シート!$M$134:$M$153,$G357,月間集計シート!T$134:T$153)*AY$2</f>
        <v>0</v>
      </c>
    </row>
    <row r="358" spans="1:51" ht="14.25" thickBot="1">
      <c r="A358">
        <v>5</v>
      </c>
      <c r="B358" s="120">
        <f t="shared" si="185"/>
        <v>0</v>
      </c>
      <c r="C358" s="120" t="str">
        <f t="shared" si="186"/>
        <v/>
      </c>
      <c r="D358" s="137"/>
      <c r="E358" s="150" t="str">
        <f>工種!A10</f>
        <v>20106</v>
      </c>
      <c r="F358" s="119" t="str">
        <f>工種!B10</f>
        <v>設計：設計書修正（手戻り分）</v>
      </c>
      <c r="G358" s="116" t="str">
        <f t="shared" si="187"/>
        <v>020106</v>
      </c>
      <c r="H358" s="88">
        <f t="shared" si="141"/>
        <v>0</v>
      </c>
      <c r="I358" s="132"/>
      <c r="J358" s="88">
        <f>SUMIF(月間集計シート!$M$29:$M$48,$G358,月間集計シート!N$29:N$48)*J$2</f>
        <v>0</v>
      </c>
      <c r="K358" s="88">
        <f>SUMIF(月間集計シート!$M$29:$M$48,$G358,月間集計シート!O$29:O$48)*K$2</f>
        <v>0</v>
      </c>
      <c r="L358" s="88">
        <f>SUMIF(月間集計シート!$M$29:$M$48,$G358,月間集計シート!P$29:P$48)*L$2</f>
        <v>0</v>
      </c>
      <c r="M358" s="88">
        <f>SUMIF(月間集計シート!$M$29:$M$48,$G358,月間集計シート!Q$29:Q$48)*M$2</f>
        <v>0</v>
      </c>
      <c r="N358" s="88">
        <f>SUMIF(月間集計シート!$M$29:$M$48,$G358,月間集計シート!R$29:R$48)*N$2</f>
        <v>0</v>
      </c>
      <c r="O358" s="88">
        <f>SUMIF(月間集計シート!$M$29:$M$48,$G358,月間集計シート!S$29:S$48)*O$2</f>
        <v>0</v>
      </c>
      <c r="P358" s="88">
        <f>SUMIF(月間集計シート!$M$29:$M$48,$G358,月間集計シート!T$29:T$48)*P$2</f>
        <v>0</v>
      </c>
      <c r="Q358" s="88">
        <f>SUMIF(月間集計シート!$M$50:$M$69,$G358,月間集計シート!N$50:N$69)*Q$2</f>
        <v>0</v>
      </c>
      <c r="R358" s="88">
        <f>SUMIF(月間集計シート!$M$50:$M$69,$G358,月間集計シート!O$50:O$69)*R$2</f>
        <v>0</v>
      </c>
      <c r="S358" s="88">
        <f>SUMIF(月間集計シート!$M$50:$M$69,$G358,月間集計シート!P$50:P$69)*S$2</f>
        <v>0</v>
      </c>
      <c r="T358" s="88">
        <f>SUMIF(月間集計シート!$M$50:$M$69,$G358,月間集計シート!Q$50:Q$69)*T$2</f>
        <v>0</v>
      </c>
      <c r="U358" s="88">
        <f>SUMIF(月間集計シート!$M$50:$M$69,$G358,月間集計シート!R$50:R$69)*U$2</f>
        <v>0</v>
      </c>
      <c r="V358" s="88">
        <f>SUMIF(月間集計シート!$M$50:$M$69,$G358,月間集計シート!S$50:S$69)*V$2</f>
        <v>0</v>
      </c>
      <c r="W358" s="88">
        <f>SUMIF(月間集計シート!$M$50:$M$69,$G358,月間集計シート!T$50:T$69)*W$2</f>
        <v>0</v>
      </c>
      <c r="X358" s="88">
        <f>SUMIF(月間集計シート!$M$71:$M$90,$G358,月間集計シート!N$71:N$90)*X$2</f>
        <v>0</v>
      </c>
      <c r="Y358" s="88">
        <f>SUMIF(月間集計シート!$M$71:$M$90,$G358,月間集計シート!O$71:O$90)*Y$2</f>
        <v>0</v>
      </c>
      <c r="Z358" s="88">
        <f>SUMIF(月間集計シート!$M$71:$M$90,$G358,月間集計シート!P$71:P$90)*Z$2</f>
        <v>0</v>
      </c>
      <c r="AA358" s="88">
        <f>SUMIF(月間集計シート!$M$71:$M$90,$G358,月間集計シート!Q$71:Q$90)*AA$2</f>
        <v>0</v>
      </c>
      <c r="AB358" s="88">
        <f>SUMIF(月間集計シート!$M$71:$M$90,$G358,月間集計シート!R$71:R$90)*AB$2</f>
        <v>0</v>
      </c>
      <c r="AC358" s="88">
        <f>SUMIF(月間集計シート!$M$71:$M$90,$G358,月間集計シート!S$71:S$90)*AC$2</f>
        <v>0</v>
      </c>
      <c r="AD358" s="88">
        <f>SUMIF(月間集計シート!$M$71:$M$90,$G358,月間集計シート!T$71:T$90)*AD$2</f>
        <v>0</v>
      </c>
      <c r="AE358" s="88">
        <f>SUMIF(月間集計シート!$M$92:$M$111,$G358,月間集計シート!N$92:N$111)*AE$2</f>
        <v>0</v>
      </c>
      <c r="AF358" s="88">
        <f>SUMIF(月間集計シート!$M$92:$M$111,$G358,月間集計シート!O$92:O$111)*AF$2</f>
        <v>0</v>
      </c>
      <c r="AG358" s="88">
        <f>SUMIF(月間集計シート!$M$92:$M$111,$G358,月間集計シート!P$92:P$111)*AG$2</f>
        <v>0</v>
      </c>
      <c r="AH358" s="88">
        <f>SUMIF(月間集計シート!$M$92:$M$111,$G358,月間集計シート!Q$92:Q$111)*AH$2</f>
        <v>0</v>
      </c>
      <c r="AI358" s="88">
        <f>SUMIF(月間集計シート!$M$92:$M$111,$G358,月間集計シート!R$92:R$111)*AI$2</f>
        <v>0</v>
      </c>
      <c r="AJ358" s="88">
        <f>SUMIF(月間集計シート!$M$92:$M$111,$G358,月間集計シート!S$92:S$111)*AJ$2</f>
        <v>0</v>
      </c>
      <c r="AK358" s="88">
        <f>SUMIF(月間集計シート!$M$92:$M$111,$G358,月間集計シート!T$92:T$111)*AK$2</f>
        <v>0</v>
      </c>
      <c r="AL358" s="88">
        <f>SUMIF(月間集計シート!$M$113:$M$132,$G358,月間集計シート!N$113:N$132)*AL$2</f>
        <v>0</v>
      </c>
      <c r="AM358" s="88">
        <f>SUMIF(月間集計シート!$M$113:$M$132,$G358,月間集計シート!O$113:O$132)*AM$2</f>
        <v>0</v>
      </c>
      <c r="AN358" s="88">
        <f>SUMIF(月間集計シート!$M$113:$M$132,$G358,月間集計シート!P$113:P$132)*AN$2</f>
        <v>0</v>
      </c>
      <c r="AO358" s="88">
        <f>SUMIF(月間集計シート!$M$113:$M$132,$G358,月間集計シート!Q$113:Q$132)*AO$2</f>
        <v>0</v>
      </c>
      <c r="AP358" s="88">
        <f>SUMIF(月間集計シート!$M$113:$M$132,$G358,月間集計シート!R$113:R$132)*AP$2</f>
        <v>0</v>
      </c>
      <c r="AQ358" s="88">
        <f>SUMIF(月間集計シート!$M$113:$M$132,$G358,月間集計シート!S$113:S$132)*AQ$2</f>
        <v>0</v>
      </c>
      <c r="AR358" s="88">
        <f>SUMIF(月間集計シート!$M$113:$M$132,$G358,月間集計シート!T$113:T$132)*AR$2</f>
        <v>0</v>
      </c>
      <c r="AS358" s="88">
        <f>SUMIF(月間集計シート!$M$134:$M$153,$G358,月間集計シート!N$134:N$153)*AS$2</f>
        <v>0</v>
      </c>
      <c r="AT358" s="88">
        <f>SUMIF(月間集計シート!$M$134:$M$153,$G358,月間集計シート!O$134:O$153)*AT$2</f>
        <v>0</v>
      </c>
      <c r="AU358" s="88">
        <f>SUMIF(月間集計シート!$M$134:$M$153,$G358,月間集計シート!P$134:P$153)*AU$2</f>
        <v>0</v>
      </c>
      <c r="AV358" s="88">
        <f>SUMIF(月間集計シート!$M$134:$M$153,$G358,月間集計シート!Q$134:Q$153)*AV$2</f>
        <v>0</v>
      </c>
      <c r="AW358" s="88">
        <f>SUMIF(月間集計シート!$M$134:$M$153,$G358,月間集計シート!R$134:R$153)*AW$2</f>
        <v>0</v>
      </c>
      <c r="AX358" s="88">
        <f>SUMIF(月間集計シート!$M$134:$M$153,$G358,月間集計シート!S$134:S$153)*AX$2</f>
        <v>0</v>
      </c>
      <c r="AY358" s="88">
        <f>SUMIF(月間集計シート!$M$134:$M$153,$G358,月間集計シート!T$134:T$153)*AY$2</f>
        <v>0</v>
      </c>
    </row>
    <row r="359" spans="1:51" ht="14.25" thickBot="1">
      <c r="A359">
        <v>5</v>
      </c>
      <c r="B359" s="120">
        <f t="shared" si="185"/>
        <v>0</v>
      </c>
      <c r="C359" s="120" t="str">
        <f t="shared" si="186"/>
        <v/>
      </c>
      <c r="D359" s="137"/>
      <c r="E359" s="150" t="str">
        <f>工種!A11</f>
        <v>20107</v>
      </c>
      <c r="F359" s="119" t="str">
        <f>工種!B11</f>
        <v>設計：その他の設計書作成</v>
      </c>
      <c r="G359" s="116" t="str">
        <f t="shared" si="187"/>
        <v>020107</v>
      </c>
      <c r="H359" s="88">
        <f t="shared" si="141"/>
        <v>0</v>
      </c>
      <c r="I359" s="132"/>
      <c r="J359" s="88">
        <f>SUMIF(月間集計シート!$M$29:$M$48,$G359,月間集計シート!N$29:N$48)*J$2</f>
        <v>0</v>
      </c>
      <c r="K359" s="88">
        <f>SUMIF(月間集計シート!$M$29:$M$48,$G359,月間集計シート!O$29:O$48)*K$2</f>
        <v>0</v>
      </c>
      <c r="L359" s="88">
        <f>SUMIF(月間集計シート!$M$29:$M$48,$G359,月間集計シート!P$29:P$48)*L$2</f>
        <v>0</v>
      </c>
      <c r="M359" s="88">
        <f>SUMIF(月間集計シート!$M$29:$M$48,$G359,月間集計シート!Q$29:Q$48)*M$2</f>
        <v>0</v>
      </c>
      <c r="N359" s="88">
        <f>SUMIF(月間集計シート!$M$29:$M$48,$G359,月間集計シート!R$29:R$48)*N$2</f>
        <v>0</v>
      </c>
      <c r="O359" s="88">
        <f>SUMIF(月間集計シート!$M$29:$M$48,$G359,月間集計シート!S$29:S$48)*O$2</f>
        <v>0</v>
      </c>
      <c r="P359" s="88">
        <f>SUMIF(月間集計シート!$M$29:$M$48,$G359,月間集計シート!T$29:T$48)*P$2</f>
        <v>0</v>
      </c>
      <c r="Q359" s="88">
        <f>SUMIF(月間集計シート!$M$50:$M$69,$G359,月間集計シート!N$50:N$69)*Q$2</f>
        <v>0</v>
      </c>
      <c r="R359" s="88">
        <f>SUMIF(月間集計シート!$M$50:$M$69,$G359,月間集計シート!O$50:O$69)*R$2</f>
        <v>0</v>
      </c>
      <c r="S359" s="88">
        <f>SUMIF(月間集計シート!$M$50:$M$69,$G359,月間集計シート!P$50:P$69)*S$2</f>
        <v>0</v>
      </c>
      <c r="T359" s="88">
        <f>SUMIF(月間集計シート!$M$50:$M$69,$G359,月間集計シート!Q$50:Q$69)*T$2</f>
        <v>0</v>
      </c>
      <c r="U359" s="88">
        <f>SUMIF(月間集計シート!$M$50:$M$69,$G359,月間集計シート!R$50:R$69)*U$2</f>
        <v>0</v>
      </c>
      <c r="V359" s="88">
        <f>SUMIF(月間集計シート!$M$50:$M$69,$G359,月間集計シート!S$50:S$69)*V$2</f>
        <v>0</v>
      </c>
      <c r="W359" s="88">
        <f>SUMIF(月間集計シート!$M$50:$M$69,$G359,月間集計シート!T$50:T$69)*W$2</f>
        <v>0</v>
      </c>
      <c r="X359" s="88">
        <f>SUMIF(月間集計シート!$M$71:$M$90,$G359,月間集計シート!N$71:N$90)*X$2</f>
        <v>0</v>
      </c>
      <c r="Y359" s="88">
        <f>SUMIF(月間集計シート!$M$71:$M$90,$G359,月間集計シート!O$71:O$90)*Y$2</f>
        <v>0</v>
      </c>
      <c r="Z359" s="88">
        <f>SUMIF(月間集計シート!$M$71:$M$90,$G359,月間集計シート!P$71:P$90)*Z$2</f>
        <v>0</v>
      </c>
      <c r="AA359" s="88">
        <f>SUMIF(月間集計シート!$M$71:$M$90,$G359,月間集計シート!Q$71:Q$90)*AA$2</f>
        <v>0</v>
      </c>
      <c r="AB359" s="88">
        <f>SUMIF(月間集計シート!$M$71:$M$90,$G359,月間集計シート!R$71:R$90)*AB$2</f>
        <v>0</v>
      </c>
      <c r="AC359" s="88">
        <f>SUMIF(月間集計シート!$M$71:$M$90,$G359,月間集計シート!S$71:S$90)*AC$2</f>
        <v>0</v>
      </c>
      <c r="AD359" s="88">
        <f>SUMIF(月間集計シート!$M$71:$M$90,$G359,月間集計シート!T$71:T$90)*AD$2</f>
        <v>0</v>
      </c>
      <c r="AE359" s="88">
        <f>SUMIF(月間集計シート!$M$92:$M$111,$G359,月間集計シート!N$92:N$111)*AE$2</f>
        <v>0</v>
      </c>
      <c r="AF359" s="88">
        <f>SUMIF(月間集計シート!$M$92:$M$111,$G359,月間集計シート!O$92:O$111)*AF$2</f>
        <v>0</v>
      </c>
      <c r="AG359" s="88">
        <f>SUMIF(月間集計シート!$M$92:$M$111,$G359,月間集計シート!P$92:P$111)*AG$2</f>
        <v>0</v>
      </c>
      <c r="AH359" s="88">
        <f>SUMIF(月間集計シート!$M$92:$M$111,$G359,月間集計シート!Q$92:Q$111)*AH$2</f>
        <v>0</v>
      </c>
      <c r="AI359" s="88">
        <f>SUMIF(月間集計シート!$M$92:$M$111,$G359,月間集計シート!R$92:R$111)*AI$2</f>
        <v>0</v>
      </c>
      <c r="AJ359" s="88">
        <f>SUMIF(月間集計シート!$M$92:$M$111,$G359,月間集計シート!S$92:S$111)*AJ$2</f>
        <v>0</v>
      </c>
      <c r="AK359" s="88">
        <f>SUMIF(月間集計シート!$M$92:$M$111,$G359,月間集計シート!T$92:T$111)*AK$2</f>
        <v>0</v>
      </c>
      <c r="AL359" s="88">
        <f>SUMIF(月間集計シート!$M$113:$M$132,$G359,月間集計シート!N$113:N$132)*AL$2</f>
        <v>0</v>
      </c>
      <c r="AM359" s="88">
        <f>SUMIF(月間集計シート!$M$113:$M$132,$G359,月間集計シート!O$113:O$132)*AM$2</f>
        <v>0</v>
      </c>
      <c r="AN359" s="88">
        <f>SUMIF(月間集計シート!$M$113:$M$132,$G359,月間集計シート!P$113:P$132)*AN$2</f>
        <v>0</v>
      </c>
      <c r="AO359" s="88">
        <f>SUMIF(月間集計シート!$M$113:$M$132,$G359,月間集計シート!Q$113:Q$132)*AO$2</f>
        <v>0</v>
      </c>
      <c r="AP359" s="88">
        <f>SUMIF(月間集計シート!$M$113:$M$132,$G359,月間集計シート!R$113:R$132)*AP$2</f>
        <v>0</v>
      </c>
      <c r="AQ359" s="88">
        <f>SUMIF(月間集計シート!$M$113:$M$132,$G359,月間集計シート!S$113:S$132)*AQ$2</f>
        <v>0</v>
      </c>
      <c r="AR359" s="88">
        <f>SUMIF(月間集計シート!$M$113:$M$132,$G359,月間集計シート!T$113:T$132)*AR$2</f>
        <v>0</v>
      </c>
      <c r="AS359" s="88">
        <f>SUMIF(月間集計シート!$M$134:$M$153,$G359,月間集計シート!N$134:N$153)*AS$2</f>
        <v>0</v>
      </c>
      <c r="AT359" s="88">
        <f>SUMIF(月間集計シート!$M$134:$M$153,$G359,月間集計シート!O$134:O$153)*AT$2</f>
        <v>0</v>
      </c>
      <c r="AU359" s="88">
        <f>SUMIF(月間集計シート!$M$134:$M$153,$G359,月間集計シート!P$134:P$153)*AU$2</f>
        <v>0</v>
      </c>
      <c r="AV359" s="88">
        <f>SUMIF(月間集計シート!$M$134:$M$153,$G359,月間集計シート!Q$134:Q$153)*AV$2</f>
        <v>0</v>
      </c>
      <c r="AW359" s="88">
        <f>SUMIF(月間集計シート!$M$134:$M$153,$G359,月間集計シート!R$134:R$153)*AW$2</f>
        <v>0</v>
      </c>
      <c r="AX359" s="88">
        <f>SUMIF(月間集計シート!$M$134:$M$153,$G359,月間集計シート!S$134:S$153)*AX$2</f>
        <v>0</v>
      </c>
      <c r="AY359" s="88">
        <f>SUMIF(月間集計シート!$M$134:$M$153,$G359,月間集計シート!T$134:T$153)*AY$2</f>
        <v>0</v>
      </c>
    </row>
    <row r="360" spans="1:51" ht="14.25" thickBot="1">
      <c r="A360">
        <v>5</v>
      </c>
      <c r="B360" s="120">
        <f t="shared" si="185"/>
        <v>0</v>
      </c>
      <c r="C360" s="120" t="str">
        <f t="shared" si="186"/>
        <v/>
      </c>
      <c r="D360" s="137"/>
      <c r="E360" s="150" t="str">
        <f>工種!A12</f>
        <v>20108</v>
      </c>
      <c r="F360" s="119" t="str">
        <f>工種!B12</f>
        <v>設計：レビュー</v>
      </c>
      <c r="G360" s="116" t="str">
        <f t="shared" si="187"/>
        <v>020108</v>
      </c>
      <c r="H360" s="88">
        <f t="shared" si="141"/>
        <v>0</v>
      </c>
      <c r="I360" s="132"/>
      <c r="J360" s="88">
        <f>SUMIF(月間集計シート!$M$29:$M$48,$G360,月間集計シート!N$29:N$48)*J$2</f>
        <v>0</v>
      </c>
      <c r="K360" s="88">
        <f>SUMIF(月間集計シート!$M$29:$M$48,$G360,月間集計シート!O$29:O$48)*K$2</f>
        <v>0</v>
      </c>
      <c r="L360" s="88">
        <f>SUMIF(月間集計シート!$M$29:$M$48,$G360,月間集計シート!P$29:P$48)*L$2</f>
        <v>0</v>
      </c>
      <c r="M360" s="88">
        <f>SUMIF(月間集計シート!$M$29:$M$48,$G360,月間集計シート!Q$29:Q$48)*M$2</f>
        <v>0</v>
      </c>
      <c r="N360" s="88">
        <f>SUMIF(月間集計シート!$M$29:$M$48,$G360,月間集計シート!R$29:R$48)*N$2</f>
        <v>0</v>
      </c>
      <c r="O360" s="88">
        <f>SUMIF(月間集計シート!$M$29:$M$48,$G360,月間集計シート!S$29:S$48)*O$2</f>
        <v>0</v>
      </c>
      <c r="P360" s="88">
        <f>SUMIF(月間集計シート!$M$29:$M$48,$G360,月間集計シート!T$29:T$48)*P$2</f>
        <v>0</v>
      </c>
      <c r="Q360" s="88">
        <f>SUMIF(月間集計シート!$M$50:$M$69,$G360,月間集計シート!N$50:N$69)*Q$2</f>
        <v>0</v>
      </c>
      <c r="R360" s="88">
        <f>SUMIF(月間集計シート!$M$50:$M$69,$G360,月間集計シート!O$50:O$69)*R$2</f>
        <v>0</v>
      </c>
      <c r="S360" s="88">
        <f>SUMIF(月間集計シート!$M$50:$M$69,$G360,月間集計シート!P$50:P$69)*S$2</f>
        <v>0</v>
      </c>
      <c r="T360" s="88">
        <f>SUMIF(月間集計シート!$M$50:$M$69,$G360,月間集計シート!Q$50:Q$69)*T$2</f>
        <v>0</v>
      </c>
      <c r="U360" s="88">
        <f>SUMIF(月間集計シート!$M$50:$M$69,$G360,月間集計シート!R$50:R$69)*U$2</f>
        <v>0</v>
      </c>
      <c r="V360" s="88">
        <f>SUMIF(月間集計シート!$M$50:$M$69,$G360,月間集計シート!S$50:S$69)*V$2</f>
        <v>0</v>
      </c>
      <c r="W360" s="88">
        <f>SUMIF(月間集計シート!$M$50:$M$69,$G360,月間集計シート!T$50:T$69)*W$2</f>
        <v>0</v>
      </c>
      <c r="X360" s="88">
        <f>SUMIF(月間集計シート!$M$71:$M$90,$G360,月間集計シート!N$71:N$90)*X$2</f>
        <v>0</v>
      </c>
      <c r="Y360" s="88">
        <f>SUMIF(月間集計シート!$M$71:$M$90,$G360,月間集計シート!O$71:O$90)*Y$2</f>
        <v>0</v>
      </c>
      <c r="Z360" s="88">
        <f>SUMIF(月間集計シート!$M$71:$M$90,$G360,月間集計シート!P$71:P$90)*Z$2</f>
        <v>0</v>
      </c>
      <c r="AA360" s="88">
        <f>SUMIF(月間集計シート!$M$71:$M$90,$G360,月間集計シート!Q$71:Q$90)*AA$2</f>
        <v>0</v>
      </c>
      <c r="AB360" s="88">
        <f>SUMIF(月間集計シート!$M$71:$M$90,$G360,月間集計シート!R$71:R$90)*AB$2</f>
        <v>0</v>
      </c>
      <c r="AC360" s="88">
        <f>SUMIF(月間集計シート!$M$71:$M$90,$G360,月間集計シート!S$71:S$90)*AC$2</f>
        <v>0</v>
      </c>
      <c r="AD360" s="88">
        <f>SUMIF(月間集計シート!$M$71:$M$90,$G360,月間集計シート!T$71:T$90)*AD$2</f>
        <v>0</v>
      </c>
      <c r="AE360" s="88">
        <f>SUMIF(月間集計シート!$M$92:$M$111,$G360,月間集計シート!N$92:N$111)*AE$2</f>
        <v>0</v>
      </c>
      <c r="AF360" s="88">
        <f>SUMIF(月間集計シート!$M$92:$M$111,$G360,月間集計シート!O$92:O$111)*AF$2</f>
        <v>0</v>
      </c>
      <c r="AG360" s="88">
        <f>SUMIF(月間集計シート!$M$92:$M$111,$G360,月間集計シート!P$92:P$111)*AG$2</f>
        <v>0</v>
      </c>
      <c r="AH360" s="88">
        <f>SUMIF(月間集計シート!$M$92:$M$111,$G360,月間集計シート!Q$92:Q$111)*AH$2</f>
        <v>0</v>
      </c>
      <c r="AI360" s="88">
        <f>SUMIF(月間集計シート!$M$92:$M$111,$G360,月間集計シート!R$92:R$111)*AI$2</f>
        <v>0</v>
      </c>
      <c r="AJ360" s="88">
        <f>SUMIF(月間集計シート!$M$92:$M$111,$G360,月間集計シート!S$92:S$111)*AJ$2</f>
        <v>0</v>
      </c>
      <c r="AK360" s="88">
        <f>SUMIF(月間集計シート!$M$92:$M$111,$G360,月間集計シート!T$92:T$111)*AK$2</f>
        <v>0</v>
      </c>
      <c r="AL360" s="88">
        <f>SUMIF(月間集計シート!$M$113:$M$132,$G360,月間集計シート!N$113:N$132)*AL$2</f>
        <v>0</v>
      </c>
      <c r="AM360" s="88">
        <f>SUMIF(月間集計シート!$M$113:$M$132,$G360,月間集計シート!O$113:O$132)*AM$2</f>
        <v>0</v>
      </c>
      <c r="AN360" s="88">
        <f>SUMIF(月間集計シート!$M$113:$M$132,$G360,月間集計シート!P$113:P$132)*AN$2</f>
        <v>0</v>
      </c>
      <c r="AO360" s="88">
        <f>SUMIF(月間集計シート!$M$113:$M$132,$G360,月間集計シート!Q$113:Q$132)*AO$2</f>
        <v>0</v>
      </c>
      <c r="AP360" s="88">
        <f>SUMIF(月間集計シート!$M$113:$M$132,$G360,月間集計シート!R$113:R$132)*AP$2</f>
        <v>0</v>
      </c>
      <c r="AQ360" s="88">
        <f>SUMIF(月間集計シート!$M$113:$M$132,$G360,月間集計シート!S$113:S$132)*AQ$2</f>
        <v>0</v>
      </c>
      <c r="AR360" s="88">
        <f>SUMIF(月間集計シート!$M$113:$M$132,$G360,月間集計シート!T$113:T$132)*AR$2</f>
        <v>0</v>
      </c>
      <c r="AS360" s="88">
        <f>SUMIF(月間集計シート!$M$134:$M$153,$G360,月間集計シート!N$134:N$153)*AS$2</f>
        <v>0</v>
      </c>
      <c r="AT360" s="88">
        <f>SUMIF(月間集計シート!$M$134:$M$153,$G360,月間集計シート!O$134:O$153)*AT$2</f>
        <v>0</v>
      </c>
      <c r="AU360" s="88">
        <f>SUMIF(月間集計シート!$M$134:$M$153,$G360,月間集計シート!P$134:P$153)*AU$2</f>
        <v>0</v>
      </c>
      <c r="AV360" s="88">
        <f>SUMIF(月間集計シート!$M$134:$M$153,$G360,月間集計シート!Q$134:Q$153)*AV$2</f>
        <v>0</v>
      </c>
      <c r="AW360" s="88">
        <f>SUMIF(月間集計シート!$M$134:$M$153,$G360,月間集計シート!R$134:R$153)*AW$2</f>
        <v>0</v>
      </c>
      <c r="AX360" s="88">
        <f>SUMIF(月間集計シート!$M$134:$M$153,$G360,月間集計シート!S$134:S$153)*AX$2</f>
        <v>0</v>
      </c>
      <c r="AY360" s="88">
        <f>SUMIF(月間集計シート!$M$134:$M$153,$G360,月間集計シート!T$134:T$153)*AY$2</f>
        <v>0</v>
      </c>
    </row>
    <row r="361" spans="1:51" ht="14.25" thickBot="1">
      <c r="A361">
        <v>5</v>
      </c>
      <c r="B361" s="120">
        <f t="shared" si="185"/>
        <v>0</v>
      </c>
      <c r="C361" s="120" t="str">
        <f t="shared" si="186"/>
        <v/>
      </c>
      <c r="D361" s="137"/>
      <c r="E361" s="150" t="str">
        <f>工種!A13</f>
        <v>20109</v>
      </c>
      <c r="F361" s="119" t="str">
        <f>工種!B13</f>
        <v>設計：QA対応</v>
      </c>
      <c r="G361" s="116" t="str">
        <f t="shared" si="187"/>
        <v>020109</v>
      </c>
      <c r="H361" s="88">
        <f t="shared" si="141"/>
        <v>0</v>
      </c>
      <c r="I361" s="132"/>
      <c r="J361" s="88">
        <f>SUMIF(月間集計シート!$M$29:$M$48,$G361,月間集計シート!N$29:N$48)*J$2</f>
        <v>0</v>
      </c>
      <c r="K361" s="88">
        <f>SUMIF(月間集計シート!$M$29:$M$48,$G361,月間集計シート!O$29:O$48)*K$2</f>
        <v>0</v>
      </c>
      <c r="L361" s="88">
        <f>SUMIF(月間集計シート!$M$29:$M$48,$G361,月間集計シート!P$29:P$48)*L$2</f>
        <v>0</v>
      </c>
      <c r="M361" s="88">
        <f>SUMIF(月間集計シート!$M$29:$M$48,$G361,月間集計シート!Q$29:Q$48)*M$2</f>
        <v>0</v>
      </c>
      <c r="N361" s="88">
        <f>SUMIF(月間集計シート!$M$29:$M$48,$G361,月間集計シート!R$29:R$48)*N$2</f>
        <v>0</v>
      </c>
      <c r="O361" s="88">
        <f>SUMIF(月間集計シート!$M$29:$M$48,$G361,月間集計シート!S$29:S$48)*O$2</f>
        <v>0</v>
      </c>
      <c r="P361" s="88">
        <f>SUMIF(月間集計シート!$M$29:$M$48,$G361,月間集計シート!T$29:T$48)*P$2</f>
        <v>0</v>
      </c>
      <c r="Q361" s="88">
        <f>SUMIF(月間集計シート!$M$50:$M$69,$G361,月間集計シート!N$50:N$69)*Q$2</f>
        <v>0</v>
      </c>
      <c r="R361" s="88">
        <f>SUMIF(月間集計シート!$M$50:$M$69,$G361,月間集計シート!O$50:O$69)*R$2</f>
        <v>0</v>
      </c>
      <c r="S361" s="88">
        <f>SUMIF(月間集計シート!$M$50:$M$69,$G361,月間集計シート!P$50:P$69)*S$2</f>
        <v>0</v>
      </c>
      <c r="T361" s="88">
        <f>SUMIF(月間集計シート!$M$50:$M$69,$G361,月間集計シート!Q$50:Q$69)*T$2</f>
        <v>0</v>
      </c>
      <c r="U361" s="88">
        <f>SUMIF(月間集計シート!$M$50:$M$69,$G361,月間集計シート!R$50:R$69)*U$2</f>
        <v>0</v>
      </c>
      <c r="V361" s="88">
        <f>SUMIF(月間集計シート!$M$50:$M$69,$G361,月間集計シート!S$50:S$69)*V$2</f>
        <v>0</v>
      </c>
      <c r="W361" s="88">
        <f>SUMIF(月間集計シート!$M$50:$M$69,$G361,月間集計シート!T$50:T$69)*W$2</f>
        <v>0</v>
      </c>
      <c r="X361" s="88">
        <f>SUMIF(月間集計シート!$M$71:$M$90,$G361,月間集計シート!N$71:N$90)*X$2</f>
        <v>0</v>
      </c>
      <c r="Y361" s="88">
        <f>SUMIF(月間集計シート!$M$71:$M$90,$G361,月間集計シート!O$71:O$90)*Y$2</f>
        <v>0</v>
      </c>
      <c r="Z361" s="88">
        <f>SUMIF(月間集計シート!$M$71:$M$90,$G361,月間集計シート!P$71:P$90)*Z$2</f>
        <v>0</v>
      </c>
      <c r="AA361" s="88">
        <f>SUMIF(月間集計シート!$M$71:$M$90,$G361,月間集計シート!Q$71:Q$90)*AA$2</f>
        <v>0</v>
      </c>
      <c r="AB361" s="88">
        <f>SUMIF(月間集計シート!$M$71:$M$90,$G361,月間集計シート!R$71:R$90)*AB$2</f>
        <v>0</v>
      </c>
      <c r="AC361" s="88">
        <f>SUMIF(月間集計シート!$M$71:$M$90,$G361,月間集計シート!S$71:S$90)*AC$2</f>
        <v>0</v>
      </c>
      <c r="AD361" s="88">
        <f>SUMIF(月間集計シート!$M$71:$M$90,$G361,月間集計シート!T$71:T$90)*AD$2</f>
        <v>0</v>
      </c>
      <c r="AE361" s="88">
        <f>SUMIF(月間集計シート!$M$92:$M$111,$G361,月間集計シート!N$92:N$111)*AE$2</f>
        <v>0</v>
      </c>
      <c r="AF361" s="88">
        <f>SUMIF(月間集計シート!$M$92:$M$111,$G361,月間集計シート!O$92:O$111)*AF$2</f>
        <v>0</v>
      </c>
      <c r="AG361" s="88">
        <f>SUMIF(月間集計シート!$M$92:$M$111,$G361,月間集計シート!P$92:P$111)*AG$2</f>
        <v>0</v>
      </c>
      <c r="AH361" s="88">
        <f>SUMIF(月間集計シート!$M$92:$M$111,$G361,月間集計シート!Q$92:Q$111)*AH$2</f>
        <v>0</v>
      </c>
      <c r="AI361" s="88">
        <f>SUMIF(月間集計シート!$M$92:$M$111,$G361,月間集計シート!R$92:R$111)*AI$2</f>
        <v>0</v>
      </c>
      <c r="AJ361" s="88">
        <f>SUMIF(月間集計シート!$M$92:$M$111,$G361,月間集計シート!S$92:S$111)*AJ$2</f>
        <v>0</v>
      </c>
      <c r="AK361" s="88">
        <f>SUMIF(月間集計シート!$M$92:$M$111,$G361,月間集計シート!T$92:T$111)*AK$2</f>
        <v>0</v>
      </c>
      <c r="AL361" s="88">
        <f>SUMIF(月間集計シート!$M$113:$M$132,$G361,月間集計シート!N$113:N$132)*AL$2</f>
        <v>0</v>
      </c>
      <c r="AM361" s="88">
        <f>SUMIF(月間集計シート!$M$113:$M$132,$G361,月間集計シート!O$113:O$132)*AM$2</f>
        <v>0</v>
      </c>
      <c r="AN361" s="88">
        <f>SUMIF(月間集計シート!$M$113:$M$132,$G361,月間集計シート!P$113:P$132)*AN$2</f>
        <v>0</v>
      </c>
      <c r="AO361" s="88">
        <f>SUMIF(月間集計シート!$M$113:$M$132,$G361,月間集計シート!Q$113:Q$132)*AO$2</f>
        <v>0</v>
      </c>
      <c r="AP361" s="88">
        <f>SUMIF(月間集計シート!$M$113:$M$132,$G361,月間集計シート!R$113:R$132)*AP$2</f>
        <v>0</v>
      </c>
      <c r="AQ361" s="88">
        <f>SUMIF(月間集計シート!$M$113:$M$132,$G361,月間集計シート!S$113:S$132)*AQ$2</f>
        <v>0</v>
      </c>
      <c r="AR361" s="88">
        <f>SUMIF(月間集計シート!$M$113:$M$132,$G361,月間集計シート!T$113:T$132)*AR$2</f>
        <v>0</v>
      </c>
      <c r="AS361" s="88">
        <f>SUMIF(月間集計シート!$M$134:$M$153,$G361,月間集計シート!N$134:N$153)*AS$2</f>
        <v>0</v>
      </c>
      <c r="AT361" s="88">
        <f>SUMIF(月間集計シート!$M$134:$M$153,$G361,月間集計シート!O$134:O$153)*AT$2</f>
        <v>0</v>
      </c>
      <c r="AU361" s="88">
        <f>SUMIF(月間集計シート!$M$134:$M$153,$G361,月間集計シート!P$134:P$153)*AU$2</f>
        <v>0</v>
      </c>
      <c r="AV361" s="88">
        <f>SUMIF(月間集計シート!$M$134:$M$153,$G361,月間集計シート!Q$134:Q$153)*AV$2</f>
        <v>0</v>
      </c>
      <c r="AW361" s="88">
        <f>SUMIF(月間集計シート!$M$134:$M$153,$G361,月間集計シート!R$134:R$153)*AW$2</f>
        <v>0</v>
      </c>
      <c r="AX361" s="88">
        <f>SUMIF(月間集計シート!$M$134:$M$153,$G361,月間集計シート!S$134:S$153)*AX$2</f>
        <v>0</v>
      </c>
      <c r="AY361" s="88">
        <f>SUMIF(月間集計シート!$M$134:$M$153,$G361,月間集計シート!T$134:T$153)*AY$2</f>
        <v>0</v>
      </c>
    </row>
    <row r="362" spans="1:51" ht="14.25" thickBot="1">
      <c r="A362">
        <v>5</v>
      </c>
      <c r="B362" s="120">
        <f t="shared" si="185"/>
        <v>0</v>
      </c>
      <c r="C362" s="120" t="str">
        <f t="shared" si="186"/>
        <v/>
      </c>
      <c r="D362" s="137"/>
      <c r="E362" s="150" t="str">
        <f>工種!A14</f>
        <v>20199</v>
      </c>
      <c r="F362" s="119" t="str">
        <f>工種!B14</f>
        <v>設計：その他</v>
      </c>
      <c r="G362" s="116" t="str">
        <f t="shared" si="187"/>
        <v>020199</v>
      </c>
      <c r="H362" s="88">
        <f t="shared" si="141"/>
        <v>0</v>
      </c>
      <c r="I362" s="132"/>
      <c r="J362" s="88">
        <f>SUMIF(月間集計シート!$M$29:$M$48,$G362,月間集計シート!N$29:N$48)*J$2</f>
        <v>0</v>
      </c>
      <c r="K362" s="88">
        <f>SUMIF(月間集計シート!$M$29:$M$48,$G362,月間集計シート!O$29:O$48)*K$2</f>
        <v>0</v>
      </c>
      <c r="L362" s="88">
        <f>SUMIF(月間集計シート!$M$29:$M$48,$G362,月間集計シート!P$29:P$48)*L$2</f>
        <v>0</v>
      </c>
      <c r="M362" s="88">
        <f>SUMIF(月間集計シート!$M$29:$M$48,$G362,月間集計シート!Q$29:Q$48)*M$2</f>
        <v>0</v>
      </c>
      <c r="N362" s="88">
        <f>SUMIF(月間集計シート!$M$29:$M$48,$G362,月間集計シート!R$29:R$48)*N$2</f>
        <v>0</v>
      </c>
      <c r="O362" s="88">
        <f>SUMIF(月間集計シート!$M$29:$M$48,$G362,月間集計シート!S$29:S$48)*O$2</f>
        <v>0</v>
      </c>
      <c r="P362" s="88">
        <f>SUMIF(月間集計シート!$M$29:$M$48,$G362,月間集計シート!T$29:T$48)*P$2</f>
        <v>0</v>
      </c>
      <c r="Q362" s="88">
        <f>SUMIF(月間集計シート!$M$50:$M$69,$G362,月間集計シート!N$50:N$69)*Q$2</f>
        <v>0</v>
      </c>
      <c r="R362" s="88">
        <f>SUMIF(月間集計シート!$M$50:$M$69,$G362,月間集計シート!O$50:O$69)*R$2</f>
        <v>0</v>
      </c>
      <c r="S362" s="88">
        <f>SUMIF(月間集計シート!$M$50:$M$69,$G362,月間集計シート!P$50:P$69)*S$2</f>
        <v>0</v>
      </c>
      <c r="T362" s="88">
        <f>SUMIF(月間集計シート!$M$50:$M$69,$G362,月間集計シート!Q$50:Q$69)*T$2</f>
        <v>0</v>
      </c>
      <c r="U362" s="88">
        <f>SUMIF(月間集計シート!$M$50:$M$69,$G362,月間集計シート!R$50:R$69)*U$2</f>
        <v>0</v>
      </c>
      <c r="V362" s="88">
        <f>SUMIF(月間集計シート!$M$50:$M$69,$G362,月間集計シート!S$50:S$69)*V$2</f>
        <v>0</v>
      </c>
      <c r="W362" s="88">
        <f>SUMIF(月間集計シート!$M$50:$M$69,$G362,月間集計シート!T$50:T$69)*W$2</f>
        <v>0</v>
      </c>
      <c r="X362" s="88">
        <f>SUMIF(月間集計シート!$M$71:$M$90,$G362,月間集計シート!N$71:N$90)*X$2</f>
        <v>0</v>
      </c>
      <c r="Y362" s="88">
        <f>SUMIF(月間集計シート!$M$71:$M$90,$G362,月間集計シート!O$71:O$90)*Y$2</f>
        <v>0</v>
      </c>
      <c r="Z362" s="88">
        <f>SUMIF(月間集計シート!$M$71:$M$90,$G362,月間集計シート!P$71:P$90)*Z$2</f>
        <v>0</v>
      </c>
      <c r="AA362" s="88">
        <f>SUMIF(月間集計シート!$M$71:$M$90,$G362,月間集計シート!Q$71:Q$90)*AA$2</f>
        <v>0</v>
      </c>
      <c r="AB362" s="88">
        <f>SUMIF(月間集計シート!$M$71:$M$90,$G362,月間集計シート!R$71:R$90)*AB$2</f>
        <v>0</v>
      </c>
      <c r="AC362" s="88">
        <f>SUMIF(月間集計シート!$M$71:$M$90,$G362,月間集計シート!S$71:S$90)*AC$2</f>
        <v>0</v>
      </c>
      <c r="AD362" s="88">
        <f>SUMIF(月間集計シート!$M$71:$M$90,$G362,月間集計シート!T$71:T$90)*AD$2</f>
        <v>0</v>
      </c>
      <c r="AE362" s="88">
        <f>SUMIF(月間集計シート!$M$92:$M$111,$G362,月間集計シート!N$92:N$111)*AE$2</f>
        <v>0</v>
      </c>
      <c r="AF362" s="88">
        <f>SUMIF(月間集計シート!$M$92:$M$111,$G362,月間集計シート!O$92:O$111)*AF$2</f>
        <v>0</v>
      </c>
      <c r="AG362" s="88">
        <f>SUMIF(月間集計シート!$M$92:$M$111,$G362,月間集計シート!P$92:P$111)*AG$2</f>
        <v>0</v>
      </c>
      <c r="AH362" s="88">
        <f>SUMIF(月間集計シート!$M$92:$M$111,$G362,月間集計シート!Q$92:Q$111)*AH$2</f>
        <v>0</v>
      </c>
      <c r="AI362" s="88">
        <f>SUMIF(月間集計シート!$M$92:$M$111,$G362,月間集計シート!R$92:R$111)*AI$2</f>
        <v>0</v>
      </c>
      <c r="AJ362" s="88">
        <f>SUMIF(月間集計シート!$M$92:$M$111,$G362,月間集計シート!S$92:S$111)*AJ$2</f>
        <v>0</v>
      </c>
      <c r="AK362" s="88">
        <f>SUMIF(月間集計シート!$M$92:$M$111,$G362,月間集計シート!T$92:T$111)*AK$2</f>
        <v>0</v>
      </c>
      <c r="AL362" s="88">
        <f>SUMIF(月間集計シート!$M$113:$M$132,$G362,月間集計シート!N$113:N$132)*AL$2</f>
        <v>0</v>
      </c>
      <c r="AM362" s="88">
        <f>SUMIF(月間集計シート!$M$113:$M$132,$G362,月間集計シート!O$113:O$132)*AM$2</f>
        <v>0</v>
      </c>
      <c r="AN362" s="88">
        <f>SUMIF(月間集計シート!$M$113:$M$132,$G362,月間集計シート!P$113:P$132)*AN$2</f>
        <v>0</v>
      </c>
      <c r="AO362" s="88">
        <f>SUMIF(月間集計シート!$M$113:$M$132,$G362,月間集計シート!Q$113:Q$132)*AO$2</f>
        <v>0</v>
      </c>
      <c r="AP362" s="88">
        <f>SUMIF(月間集計シート!$M$113:$M$132,$G362,月間集計シート!R$113:R$132)*AP$2</f>
        <v>0</v>
      </c>
      <c r="AQ362" s="88">
        <f>SUMIF(月間集計シート!$M$113:$M$132,$G362,月間集計シート!S$113:S$132)*AQ$2</f>
        <v>0</v>
      </c>
      <c r="AR362" s="88">
        <f>SUMIF(月間集計シート!$M$113:$M$132,$G362,月間集計シート!T$113:T$132)*AR$2</f>
        <v>0</v>
      </c>
      <c r="AS362" s="88">
        <f>SUMIF(月間集計シート!$M$134:$M$153,$G362,月間集計シート!N$134:N$153)*AS$2</f>
        <v>0</v>
      </c>
      <c r="AT362" s="88">
        <f>SUMIF(月間集計シート!$M$134:$M$153,$G362,月間集計シート!O$134:O$153)*AT$2</f>
        <v>0</v>
      </c>
      <c r="AU362" s="88">
        <f>SUMIF(月間集計シート!$M$134:$M$153,$G362,月間集計シート!P$134:P$153)*AU$2</f>
        <v>0</v>
      </c>
      <c r="AV362" s="88">
        <f>SUMIF(月間集計シート!$M$134:$M$153,$G362,月間集計シート!Q$134:Q$153)*AV$2</f>
        <v>0</v>
      </c>
      <c r="AW362" s="88">
        <f>SUMIF(月間集計シート!$M$134:$M$153,$G362,月間集計シート!R$134:R$153)*AW$2</f>
        <v>0</v>
      </c>
      <c r="AX362" s="88">
        <f>SUMIF(月間集計シート!$M$134:$M$153,$G362,月間集計シート!S$134:S$153)*AX$2</f>
        <v>0</v>
      </c>
      <c r="AY362" s="88">
        <f>SUMIF(月間集計シート!$M$134:$M$153,$G362,月間集計シート!T$134:T$153)*AY$2</f>
        <v>0</v>
      </c>
    </row>
    <row r="363" spans="1:51" ht="14.25" thickBot="1">
      <c r="A363">
        <v>5</v>
      </c>
      <c r="B363" s="120">
        <f t="shared" si="185"/>
        <v>0</v>
      </c>
      <c r="C363" s="120" t="str">
        <f t="shared" si="186"/>
        <v/>
      </c>
      <c r="D363" s="137"/>
      <c r="E363" s="150" t="str">
        <f>工種!A15</f>
        <v>30101</v>
      </c>
      <c r="F363" s="119" t="str">
        <f>工種!B15</f>
        <v>製造：内部設計書作成</v>
      </c>
      <c r="G363" s="116" t="str">
        <f t="shared" si="187"/>
        <v>030101</v>
      </c>
      <c r="H363" s="88">
        <f t="shared" si="141"/>
        <v>0</v>
      </c>
      <c r="I363" s="132"/>
      <c r="J363" s="88">
        <f>SUMIF(月間集計シート!$M$29:$M$48,$G363,月間集計シート!N$29:N$48)*J$2</f>
        <v>0</v>
      </c>
      <c r="K363" s="88">
        <f>SUMIF(月間集計シート!$M$29:$M$48,$G363,月間集計シート!O$29:O$48)*K$2</f>
        <v>0</v>
      </c>
      <c r="L363" s="88">
        <f>SUMIF(月間集計シート!$M$29:$M$48,$G363,月間集計シート!P$29:P$48)*L$2</f>
        <v>0</v>
      </c>
      <c r="M363" s="88">
        <f>SUMIF(月間集計シート!$M$29:$M$48,$G363,月間集計シート!Q$29:Q$48)*M$2</f>
        <v>0</v>
      </c>
      <c r="N363" s="88">
        <f>SUMIF(月間集計シート!$M$29:$M$48,$G363,月間集計シート!R$29:R$48)*N$2</f>
        <v>0</v>
      </c>
      <c r="O363" s="88">
        <f>SUMIF(月間集計シート!$M$29:$M$48,$G363,月間集計シート!S$29:S$48)*O$2</f>
        <v>0</v>
      </c>
      <c r="P363" s="88">
        <f>SUMIF(月間集計シート!$M$29:$M$48,$G363,月間集計シート!T$29:T$48)*P$2</f>
        <v>0</v>
      </c>
      <c r="Q363" s="88">
        <f>SUMIF(月間集計シート!$M$50:$M$69,$G363,月間集計シート!N$50:N$69)*Q$2</f>
        <v>0</v>
      </c>
      <c r="R363" s="88">
        <f>SUMIF(月間集計シート!$M$50:$M$69,$G363,月間集計シート!O$50:O$69)*R$2</f>
        <v>0</v>
      </c>
      <c r="S363" s="88">
        <f>SUMIF(月間集計シート!$M$50:$M$69,$G363,月間集計シート!P$50:P$69)*S$2</f>
        <v>0</v>
      </c>
      <c r="T363" s="88">
        <f>SUMIF(月間集計シート!$M$50:$M$69,$G363,月間集計シート!Q$50:Q$69)*T$2</f>
        <v>0</v>
      </c>
      <c r="U363" s="88">
        <f>SUMIF(月間集計シート!$M$50:$M$69,$G363,月間集計シート!R$50:R$69)*U$2</f>
        <v>0</v>
      </c>
      <c r="V363" s="88">
        <f>SUMIF(月間集計シート!$M$50:$M$69,$G363,月間集計シート!S$50:S$69)*V$2</f>
        <v>0</v>
      </c>
      <c r="W363" s="88">
        <f>SUMIF(月間集計シート!$M$50:$M$69,$G363,月間集計シート!T$50:T$69)*W$2</f>
        <v>0</v>
      </c>
      <c r="X363" s="88">
        <f>SUMIF(月間集計シート!$M$71:$M$90,$G363,月間集計シート!N$71:N$90)*X$2</f>
        <v>0</v>
      </c>
      <c r="Y363" s="88">
        <f>SUMIF(月間集計シート!$M$71:$M$90,$G363,月間集計シート!O$71:O$90)*Y$2</f>
        <v>0</v>
      </c>
      <c r="Z363" s="88">
        <f>SUMIF(月間集計シート!$M$71:$M$90,$G363,月間集計シート!P$71:P$90)*Z$2</f>
        <v>0</v>
      </c>
      <c r="AA363" s="88">
        <f>SUMIF(月間集計シート!$M$71:$M$90,$G363,月間集計シート!Q$71:Q$90)*AA$2</f>
        <v>0</v>
      </c>
      <c r="AB363" s="88">
        <f>SUMIF(月間集計シート!$M$71:$M$90,$G363,月間集計シート!R$71:R$90)*AB$2</f>
        <v>0</v>
      </c>
      <c r="AC363" s="88">
        <f>SUMIF(月間集計シート!$M$71:$M$90,$G363,月間集計シート!S$71:S$90)*AC$2</f>
        <v>0</v>
      </c>
      <c r="AD363" s="88">
        <f>SUMIF(月間集計シート!$M$71:$M$90,$G363,月間集計シート!T$71:T$90)*AD$2</f>
        <v>0</v>
      </c>
      <c r="AE363" s="88">
        <f>SUMIF(月間集計シート!$M$92:$M$111,$G363,月間集計シート!N$92:N$111)*AE$2</f>
        <v>0</v>
      </c>
      <c r="AF363" s="88">
        <f>SUMIF(月間集計シート!$M$92:$M$111,$G363,月間集計シート!O$92:O$111)*AF$2</f>
        <v>0</v>
      </c>
      <c r="AG363" s="88">
        <f>SUMIF(月間集計シート!$M$92:$M$111,$G363,月間集計シート!P$92:P$111)*AG$2</f>
        <v>0</v>
      </c>
      <c r="AH363" s="88">
        <f>SUMIF(月間集計シート!$M$92:$M$111,$G363,月間集計シート!Q$92:Q$111)*AH$2</f>
        <v>0</v>
      </c>
      <c r="AI363" s="88">
        <f>SUMIF(月間集計シート!$M$92:$M$111,$G363,月間集計シート!R$92:R$111)*AI$2</f>
        <v>0</v>
      </c>
      <c r="AJ363" s="88">
        <f>SUMIF(月間集計シート!$M$92:$M$111,$G363,月間集計シート!S$92:S$111)*AJ$2</f>
        <v>0</v>
      </c>
      <c r="AK363" s="88">
        <f>SUMIF(月間集計シート!$M$92:$M$111,$G363,月間集計シート!T$92:T$111)*AK$2</f>
        <v>0</v>
      </c>
      <c r="AL363" s="88">
        <f>SUMIF(月間集計シート!$M$113:$M$132,$G363,月間集計シート!N$113:N$132)*AL$2</f>
        <v>0</v>
      </c>
      <c r="AM363" s="88">
        <f>SUMIF(月間集計シート!$M$113:$M$132,$G363,月間集計シート!O$113:O$132)*AM$2</f>
        <v>0</v>
      </c>
      <c r="AN363" s="88">
        <f>SUMIF(月間集計シート!$M$113:$M$132,$G363,月間集計シート!P$113:P$132)*AN$2</f>
        <v>0</v>
      </c>
      <c r="AO363" s="88">
        <f>SUMIF(月間集計シート!$M$113:$M$132,$G363,月間集計シート!Q$113:Q$132)*AO$2</f>
        <v>0</v>
      </c>
      <c r="AP363" s="88">
        <f>SUMIF(月間集計シート!$M$113:$M$132,$G363,月間集計シート!R$113:R$132)*AP$2</f>
        <v>0</v>
      </c>
      <c r="AQ363" s="88">
        <f>SUMIF(月間集計シート!$M$113:$M$132,$G363,月間集計シート!S$113:S$132)*AQ$2</f>
        <v>0</v>
      </c>
      <c r="AR363" s="88">
        <f>SUMIF(月間集計シート!$M$113:$M$132,$G363,月間集計シート!T$113:T$132)*AR$2</f>
        <v>0</v>
      </c>
      <c r="AS363" s="88">
        <f>SUMIF(月間集計シート!$M$134:$M$153,$G363,月間集計シート!N$134:N$153)*AS$2</f>
        <v>0</v>
      </c>
      <c r="AT363" s="88">
        <f>SUMIF(月間集計シート!$M$134:$M$153,$G363,月間集計シート!O$134:O$153)*AT$2</f>
        <v>0</v>
      </c>
      <c r="AU363" s="88">
        <f>SUMIF(月間集計シート!$M$134:$M$153,$G363,月間集計シート!P$134:P$153)*AU$2</f>
        <v>0</v>
      </c>
      <c r="AV363" s="88">
        <f>SUMIF(月間集計シート!$M$134:$M$153,$G363,月間集計シート!Q$134:Q$153)*AV$2</f>
        <v>0</v>
      </c>
      <c r="AW363" s="88">
        <f>SUMIF(月間集計シート!$M$134:$M$153,$G363,月間集計シート!R$134:R$153)*AW$2</f>
        <v>0</v>
      </c>
      <c r="AX363" s="88">
        <f>SUMIF(月間集計シート!$M$134:$M$153,$G363,月間集計シート!S$134:S$153)*AX$2</f>
        <v>0</v>
      </c>
      <c r="AY363" s="88">
        <f>SUMIF(月間集計シート!$M$134:$M$153,$G363,月間集計シート!T$134:T$153)*AY$2</f>
        <v>0</v>
      </c>
    </row>
    <row r="364" spans="1:51" ht="14.25" thickBot="1">
      <c r="A364">
        <v>5</v>
      </c>
      <c r="B364" s="120">
        <f t="shared" si="185"/>
        <v>0</v>
      </c>
      <c r="C364" s="120" t="str">
        <f t="shared" si="186"/>
        <v/>
      </c>
      <c r="D364" s="137"/>
      <c r="E364" s="150" t="str">
        <f>工種!A16</f>
        <v>30102</v>
      </c>
      <c r="F364" s="119" t="str">
        <f>工種!B16</f>
        <v>製造：コーディング</v>
      </c>
      <c r="G364" s="116" t="str">
        <f t="shared" si="187"/>
        <v>030102</v>
      </c>
      <c r="H364" s="88">
        <f t="shared" si="141"/>
        <v>0</v>
      </c>
      <c r="I364" s="132"/>
      <c r="J364" s="88">
        <f>SUMIF(月間集計シート!$M$29:$M$48,$G364,月間集計シート!N$29:N$48)*J$2</f>
        <v>0</v>
      </c>
      <c r="K364" s="88">
        <f>SUMIF(月間集計シート!$M$29:$M$48,$G364,月間集計シート!O$29:O$48)*K$2</f>
        <v>0</v>
      </c>
      <c r="L364" s="88">
        <f>SUMIF(月間集計シート!$M$29:$M$48,$G364,月間集計シート!P$29:P$48)*L$2</f>
        <v>0</v>
      </c>
      <c r="M364" s="88">
        <f>SUMIF(月間集計シート!$M$29:$M$48,$G364,月間集計シート!Q$29:Q$48)*M$2</f>
        <v>0</v>
      </c>
      <c r="N364" s="88">
        <f>SUMIF(月間集計シート!$M$29:$M$48,$G364,月間集計シート!R$29:R$48)*N$2</f>
        <v>0</v>
      </c>
      <c r="O364" s="88">
        <f>SUMIF(月間集計シート!$M$29:$M$48,$G364,月間集計シート!S$29:S$48)*O$2</f>
        <v>0</v>
      </c>
      <c r="P364" s="88">
        <f>SUMIF(月間集計シート!$M$29:$M$48,$G364,月間集計シート!T$29:T$48)*P$2</f>
        <v>0</v>
      </c>
      <c r="Q364" s="88">
        <f>SUMIF(月間集計シート!$M$50:$M$69,$G364,月間集計シート!N$50:N$69)*Q$2</f>
        <v>0</v>
      </c>
      <c r="R364" s="88">
        <f>SUMIF(月間集計シート!$M$50:$M$69,$G364,月間集計シート!O$50:O$69)*R$2</f>
        <v>0</v>
      </c>
      <c r="S364" s="88">
        <f>SUMIF(月間集計シート!$M$50:$M$69,$G364,月間集計シート!P$50:P$69)*S$2</f>
        <v>0</v>
      </c>
      <c r="T364" s="88">
        <f>SUMIF(月間集計シート!$M$50:$M$69,$G364,月間集計シート!Q$50:Q$69)*T$2</f>
        <v>0</v>
      </c>
      <c r="U364" s="88">
        <f>SUMIF(月間集計シート!$M$50:$M$69,$G364,月間集計シート!R$50:R$69)*U$2</f>
        <v>0</v>
      </c>
      <c r="V364" s="88">
        <f>SUMIF(月間集計シート!$M$50:$M$69,$G364,月間集計シート!S$50:S$69)*V$2</f>
        <v>0</v>
      </c>
      <c r="W364" s="88">
        <f>SUMIF(月間集計シート!$M$50:$M$69,$G364,月間集計シート!T$50:T$69)*W$2</f>
        <v>0</v>
      </c>
      <c r="X364" s="88">
        <f>SUMIF(月間集計シート!$M$71:$M$90,$G364,月間集計シート!N$71:N$90)*X$2</f>
        <v>0</v>
      </c>
      <c r="Y364" s="88">
        <f>SUMIF(月間集計シート!$M$71:$M$90,$G364,月間集計シート!O$71:O$90)*Y$2</f>
        <v>0</v>
      </c>
      <c r="Z364" s="88">
        <f>SUMIF(月間集計シート!$M$71:$M$90,$G364,月間集計シート!P$71:P$90)*Z$2</f>
        <v>0</v>
      </c>
      <c r="AA364" s="88">
        <f>SUMIF(月間集計シート!$M$71:$M$90,$G364,月間集計シート!Q$71:Q$90)*AA$2</f>
        <v>0</v>
      </c>
      <c r="AB364" s="88">
        <f>SUMIF(月間集計シート!$M$71:$M$90,$G364,月間集計シート!R$71:R$90)*AB$2</f>
        <v>0</v>
      </c>
      <c r="AC364" s="88">
        <f>SUMIF(月間集計シート!$M$71:$M$90,$G364,月間集計シート!S$71:S$90)*AC$2</f>
        <v>0</v>
      </c>
      <c r="AD364" s="88">
        <f>SUMIF(月間集計シート!$M$71:$M$90,$G364,月間集計シート!T$71:T$90)*AD$2</f>
        <v>0</v>
      </c>
      <c r="AE364" s="88">
        <f>SUMIF(月間集計シート!$M$92:$M$111,$G364,月間集計シート!N$92:N$111)*AE$2</f>
        <v>0</v>
      </c>
      <c r="AF364" s="88">
        <f>SUMIF(月間集計シート!$M$92:$M$111,$G364,月間集計シート!O$92:O$111)*AF$2</f>
        <v>0</v>
      </c>
      <c r="AG364" s="88">
        <f>SUMIF(月間集計シート!$M$92:$M$111,$G364,月間集計シート!P$92:P$111)*AG$2</f>
        <v>0</v>
      </c>
      <c r="AH364" s="88">
        <f>SUMIF(月間集計シート!$M$92:$M$111,$G364,月間集計シート!Q$92:Q$111)*AH$2</f>
        <v>0</v>
      </c>
      <c r="AI364" s="88">
        <f>SUMIF(月間集計シート!$M$92:$M$111,$G364,月間集計シート!R$92:R$111)*AI$2</f>
        <v>0</v>
      </c>
      <c r="AJ364" s="88">
        <f>SUMIF(月間集計シート!$M$92:$M$111,$G364,月間集計シート!S$92:S$111)*AJ$2</f>
        <v>0</v>
      </c>
      <c r="AK364" s="88">
        <f>SUMIF(月間集計シート!$M$92:$M$111,$G364,月間集計シート!T$92:T$111)*AK$2</f>
        <v>0</v>
      </c>
      <c r="AL364" s="88">
        <f>SUMIF(月間集計シート!$M$113:$M$132,$G364,月間集計シート!N$113:N$132)*AL$2</f>
        <v>0</v>
      </c>
      <c r="AM364" s="88">
        <f>SUMIF(月間集計シート!$M$113:$M$132,$G364,月間集計シート!O$113:O$132)*AM$2</f>
        <v>0</v>
      </c>
      <c r="AN364" s="88">
        <f>SUMIF(月間集計シート!$M$113:$M$132,$G364,月間集計シート!P$113:P$132)*AN$2</f>
        <v>0</v>
      </c>
      <c r="AO364" s="88">
        <f>SUMIF(月間集計シート!$M$113:$M$132,$G364,月間集計シート!Q$113:Q$132)*AO$2</f>
        <v>0</v>
      </c>
      <c r="AP364" s="88">
        <f>SUMIF(月間集計シート!$M$113:$M$132,$G364,月間集計シート!R$113:R$132)*AP$2</f>
        <v>0</v>
      </c>
      <c r="AQ364" s="88">
        <f>SUMIF(月間集計シート!$M$113:$M$132,$G364,月間集計シート!S$113:S$132)*AQ$2</f>
        <v>0</v>
      </c>
      <c r="AR364" s="88">
        <f>SUMIF(月間集計シート!$M$113:$M$132,$G364,月間集計シート!T$113:T$132)*AR$2</f>
        <v>0</v>
      </c>
      <c r="AS364" s="88">
        <f>SUMIF(月間集計シート!$M$134:$M$153,$G364,月間集計シート!N$134:N$153)*AS$2</f>
        <v>0</v>
      </c>
      <c r="AT364" s="88">
        <f>SUMIF(月間集計シート!$M$134:$M$153,$G364,月間集計シート!O$134:O$153)*AT$2</f>
        <v>0</v>
      </c>
      <c r="AU364" s="88">
        <f>SUMIF(月間集計シート!$M$134:$M$153,$G364,月間集計シート!P$134:P$153)*AU$2</f>
        <v>0</v>
      </c>
      <c r="AV364" s="88">
        <f>SUMIF(月間集計シート!$M$134:$M$153,$G364,月間集計シート!Q$134:Q$153)*AV$2</f>
        <v>0</v>
      </c>
      <c r="AW364" s="88">
        <f>SUMIF(月間集計シート!$M$134:$M$153,$G364,月間集計シート!R$134:R$153)*AW$2</f>
        <v>0</v>
      </c>
      <c r="AX364" s="88">
        <f>SUMIF(月間集計シート!$M$134:$M$153,$G364,月間集計シート!S$134:S$153)*AX$2</f>
        <v>0</v>
      </c>
      <c r="AY364" s="88">
        <f>SUMIF(月間集計シート!$M$134:$M$153,$G364,月間集計シート!T$134:T$153)*AY$2</f>
        <v>0</v>
      </c>
    </row>
    <row r="365" spans="1:51" ht="14.25" thickBot="1">
      <c r="A365">
        <v>5</v>
      </c>
      <c r="B365" s="120">
        <f t="shared" si="185"/>
        <v>0</v>
      </c>
      <c r="C365" s="120" t="str">
        <f t="shared" si="186"/>
        <v/>
      </c>
      <c r="D365" s="137"/>
      <c r="E365" s="150" t="str">
        <f>工種!A17</f>
        <v>30103</v>
      </c>
      <c r="F365" s="119" t="str">
        <f>工種!B17</f>
        <v>製造：単体テスト設計書作成</v>
      </c>
      <c r="G365" s="116" t="str">
        <f t="shared" si="187"/>
        <v>030103</v>
      </c>
      <c r="H365" s="88">
        <f t="shared" si="141"/>
        <v>0</v>
      </c>
      <c r="I365" s="132"/>
      <c r="J365" s="88">
        <f>SUMIF(月間集計シート!$M$29:$M$48,$G365,月間集計シート!N$29:N$48)*J$2</f>
        <v>0</v>
      </c>
      <c r="K365" s="88">
        <f>SUMIF(月間集計シート!$M$29:$M$48,$G365,月間集計シート!O$29:O$48)*K$2</f>
        <v>0</v>
      </c>
      <c r="L365" s="88">
        <f>SUMIF(月間集計シート!$M$29:$M$48,$G365,月間集計シート!P$29:P$48)*L$2</f>
        <v>0</v>
      </c>
      <c r="M365" s="88">
        <f>SUMIF(月間集計シート!$M$29:$M$48,$G365,月間集計シート!Q$29:Q$48)*M$2</f>
        <v>0</v>
      </c>
      <c r="N365" s="88">
        <f>SUMIF(月間集計シート!$M$29:$M$48,$G365,月間集計シート!R$29:R$48)*N$2</f>
        <v>0</v>
      </c>
      <c r="O365" s="88">
        <f>SUMIF(月間集計シート!$M$29:$M$48,$G365,月間集計シート!S$29:S$48)*O$2</f>
        <v>0</v>
      </c>
      <c r="P365" s="88">
        <f>SUMIF(月間集計シート!$M$29:$M$48,$G365,月間集計シート!T$29:T$48)*P$2</f>
        <v>0</v>
      </c>
      <c r="Q365" s="88">
        <f>SUMIF(月間集計シート!$M$50:$M$69,$G365,月間集計シート!N$50:N$69)*Q$2</f>
        <v>0</v>
      </c>
      <c r="R365" s="88">
        <f>SUMIF(月間集計シート!$M$50:$M$69,$G365,月間集計シート!O$50:O$69)*R$2</f>
        <v>0</v>
      </c>
      <c r="S365" s="88">
        <f>SUMIF(月間集計シート!$M$50:$M$69,$G365,月間集計シート!P$50:P$69)*S$2</f>
        <v>0</v>
      </c>
      <c r="T365" s="88">
        <f>SUMIF(月間集計シート!$M$50:$M$69,$G365,月間集計シート!Q$50:Q$69)*T$2</f>
        <v>0</v>
      </c>
      <c r="U365" s="88">
        <f>SUMIF(月間集計シート!$M$50:$M$69,$G365,月間集計シート!R$50:R$69)*U$2</f>
        <v>0</v>
      </c>
      <c r="V365" s="88">
        <f>SUMIF(月間集計シート!$M$50:$M$69,$G365,月間集計シート!S$50:S$69)*V$2</f>
        <v>0</v>
      </c>
      <c r="W365" s="88">
        <f>SUMIF(月間集計シート!$M$50:$M$69,$G365,月間集計シート!T$50:T$69)*W$2</f>
        <v>0</v>
      </c>
      <c r="X365" s="88">
        <f>SUMIF(月間集計シート!$M$71:$M$90,$G365,月間集計シート!N$71:N$90)*X$2</f>
        <v>0</v>
      </c>
      <c r="Y365" s="88">
        <f>SUMIF(月間集計シート!$M$71:$M$90,$G365,月間集計シート!O$71:O$90)*Y$2</f>
        <v>0</v>
      </c>
      <c r="Z365" s="88">
        <f>SUMIF(月間集計シート!$M$71:$M$90,$G365,月間集計シート!P$71:P$90)*Z$2</f>
        <v>0</v>
      </c>
      <c r="AA365" s="88">
        <f>SUMIF(月間集計シート!$M$71:$M$90,$G365,月間集計シート!Q$71:Q$90)*AA$2</f>
        <v>0</v>
      </c>
      <c r="AB365" s="88">
        <f>SUMIF(月間集計シート!$M$71:$M$90,$G365,月間集計シート!R$71:R$90)*AB$2</f>
        <v>0</v>
      </c>
      <c r="AC365" s="88">
        <f>SUMIF(月間集計シート!$M$71:$M$90,$G365,月間集計シート!S$71:S$90)*AC$2</f>
        <v>0</v>
      </c>
      <c r="AD365" s="88">
        <f>SUMIF(月間集計シート!$M$71:$M$90,$G365,月間集計シート!T$71:T$90)*AD$2</f>
        <v>0</v>
      </c>
      <c r="AE365" s="88">
        <f>SUMIF(月間集計シート!$M$92:$M$111,$G365,月間集計シート!N$92:N$111)*AE$2</f>
        <v>0</v>
      </c>
      <c r="AF365" s="88">
        <f>SUMIF(月間集計シート!$M$92:$M$111,$G365,月間集計シート!O$92:O$111)*AF$2</f>
        <v>0</v>
      </c>
      <c r="AG365" s="88">
        <f>SUMIF(月間集計シート!$M$92:$M$111,$G365,月間集計シート!P$92:P$111)*AG$2</f>
        <v>0</v>
      </c>
      <c r="AH365" s="88">
        <f>SUMIF(月間集計シート!$M$92:$M$111,$G365,月間集計シート!Q$92:Q$111)*AH$2</f>
        <v>0</v>
      </c>
      <c r="AI365" s="88">
        <f>SUMIF(月間集計シート!$M$92:$M$111,$G365,月間集計シート!R$92:R$111)*AI$2</f>
        <v>0</v>
      </c>
      <c r="AJ365" s="88">
        <f>SUMIF(月間集計シート!$M$92:$M$111,$G365,月間集計シート!S$92:S$111)*AJ$2</f>
        <v>0</v>
      </c>
      <c r="AK365" s="88">
        <f>SUMIF(月間集計シート!$M$92:$M$111,$G365,月間集計シート!T$92:T$111)*AK$2</f>
        <v>0</v>
      </c>
      <c r="AL365" s="88">
        <f>SUMIF(月間集計シート!$M$113:$M$132,$G365,月間集計シート!N$113:N$132)*AL$2</f>
        <v>0</v>
      </c>
      <c r="AM365" s="88">
        <f>SUMIF(月間集計シート!$M$113:$M$132,$G365,月間集計シート!O$113:O$132)*AM$2</f>
        <v>0</v>
      </c>
      <c r="AN365" s="88">
        <f>SUMIF(月間集計シート!$M$113:$M$132,$G365,月間集計シート!P$113:P$132)*AN$2</f>
        <v>0</v>
      </c>
      <c r="AO365" s="88">
        <f>SUMIF(月間集計シート!$M$113:$M$132,$G365,月間集計シート!Q$113:Q$132)*AO$2</f>
        <v>0</v>
      </c>
      <c r="AP365" s="88">
        <f>SUMIF(月間集計シート!$M$113:$M$132,$G365,月間集計シート!R$113:R$132)*AP$2</f>
        <v>0</v>
      </c>
      <c r="AQ365" s="88">
        <f>SUMIF(月間集計シート!$M$113:$M$132,$G365,月間集計シート!S$113:S$132)*AQ$2</f>
        <v>0</v>
      </c>
      <c r="AR365" s="88">
        <f>SUMIF(月間集計シート!$M$113:$M$132,$G365,月間集計シート!T$113:T$132)*AR$2</f>
        <v>0</v>
      </c>
      <c r="AS365" s="88">
        <f>SUMIF(月間集計シート!$M$134:$M$153,$G365,月間集計シート!N$134:N$153)*AS$2</f>
        <v>0</v>
      </c>
      <c r="AT365" s="88">
        <f>SUMIF(月間集計シート!$M$134:$M$153,$G365,月間集計シート!O$134:O$153)*AT$2</f>
        <v>0</v>
      </c>
      <c r="AU365" s="88">
        <f>SUMIF(月間集計シート!$M$134:$M$153,$G365,月間集計シート!P$134:P$153)*AU$2</f>
        <v>0</v>
      </c>
      <c r="AV365" s="88">
        <f>SUMIF(月間集計シート!$M$134:$M$153,$G365,月間集計シート!Q$134:Q$153)*AV$2</f>
        <v>0</v>
      </c>
      <c r="AW365" s="88">
        <f>SUMIF(月間集計シート!$M$134:$M$153,$G365,月間集計シート!R$134:R$153)*AW$2</f>
        <v>0</v>
      </c>
      <c r="AX365" s="88">
        <f>SUMIF(月間集計シート!$M$134:$M$153,$G365,月間集計シート!S$134:S$153)*AX$2</f>
        <v>0</v>
      </c>
      <c r="AY365" s="88">
        <f>SUMIF(月間集計シート!$M$134:$M$153,$G365,月間集計シート!T$134:T$153)*AY$2</f>
        <v>0</v>
      </c>
    </row>
    <row r="366" spans="1:51" ht="14.25" thickBot="1">
      <c r="A366">
        <v>5</v>
      </c>
      <c r="B366" s="120">
        <f t="shared" si="185"/>
        <v>0</v>
      </c>
      <c r="C366" s="120" t="str">
        <f t="shared" si="186"/>
        <v/>
      </c>
      <c r="D366" s="137"/>
      <c r="E366" s="150" t="str">
        <f>工種!A18</f>
        <v>30104</v>
      </c>
      <c r="F366" s="119" t="str">
        <f>工種!B18</f>
        <v>製造：単体テスト実施</v>
      </c>
      <c r="G366" s="116" t="str">
        <f t="shared" si="187"/>
        <v>030104</v>
      </c>
      <c r="H366" s="88">
        <f t="shared" si="141"/>
        <v>0</v>
      </c>
      <c r="I366" s="132"/>
      <c r="J366" s="88">
        <f>SUMIF(月間集計シート!$M$29:$M$48,$G366,月間集計シート!N$29:N$48)*J$2</f>
        <v>0</v>
      </c>
      <c r="K366" s="88">
        <f>SUMIF(月間集計シート!$M$29:$M$48,$G366,月間集計シート!O$29:O$48)*K$2</f>
        <v>0</v>
      </c>
      <c r="L366" s="88">
        <f>SUMIF(月間集計シート!$M$29:$M$48,$G366,月間集計シート!P$29:P$48)*L$2</f>
        <v>0</v>
      </c>
      <c r="M366" s="88">
        <f>SUMIF(月間集計シート!$M$29:$M$48,$G366,月間集計シート!Q$29:Q$48)*M$2</f>
        <v>0</v>
      </c>
      <c r="N366" s="88">
        <f>SUMIF(月間集計シート!$M$29:$M$48,$G366,月間集計シート!R$29:R$48)*N$2</f>
        <v>0</v>
      </c>
      <c r="O366" s="88">
        <f>SUMIF(月間集計シート!$M$29:$M$48,$G366,月間集計シート!S$29:S$48)*O$2</f>
        <v>0</v>
      </c>
      <c r="P366" s="88">
        <f>SUMIF(月間集計シート!$M$29:$M$48,$G366,月間集計シート!T$29:T$48)*P$2</f>
        <v>0</v>
      </c>
      <c r="Q366" s="88">
        <f>SUMIF(月間集計シート!$M$50:$M$69,$G366,月間集計シート!N$50:N$69)*Q$2</f>
        <v>0</v>
      </c>
      <c r="R366" s="88">
        <f>SUMIF(月間集計シート!$M$50:$M$69,$G366,月間集計シート!O$50:O$69)*R$2</f>
        <v>0</v>
      </c>
      <c r="S366" s="88">
        <f>SUMIF(月間集計シート!$M$50:$M$69,$G366,月間集計シート!P$50:P$69)*S$2</f>
        <v>0</v>
      </c>
      <c r="T366" s="88">
        <f>SUMIF(月間集計シート!$M$50:$M$69,$G366,月間集計シート!Q$50:Q$69)*T$2</f>
        <v>0</v>
      </c>
      <c r="U366" s="88">
        <f>SUMIF(月間集計シート!$M$50:$M$69,$G366,月間集計シート!R$50:R$69)*U$2</f>
        <v>0</v>
      </c>
      <c r="V366" s="88">
        <f>SUMIF(月間集計シート!$M$50:$M$69,$G366,月間集計シート!S$50:S$69)*V$2</f>
        <v>0</v>
      </c>
      <c r="W366" s="88">
        <f>SUMIF(月間集計シート!$M$50:$M$69,$G366,月間集計シート!T$50:T$69)*W$2</f>
        <v>0</v>
      </c>
      <c r="X366" s="88">
        <f>SUMIF(月間集計シート!$M$71:$M$90,$G366,月間集計シート!N$71:N$90)*X$2</f>
        <v>0</v>
      </c>
      <c r="Y366" s="88">
        <f>SUMIF(月間集計シート!$M$71:$M$90,$G366,月間集計シート!O$71:O$90)*Y$2</f>
        <v>0</v>
      </c>
      <c r="Z366" s="88">
        <f>SUMIF(月間集計シート!$M$71:$M$90,$G366,月間集計シート!P$71:P$90)*Z$2</f>
        <v>0</v>
      </c>
      <c r="AA366" s="88">
        <f>SUMIF(月間集計シート!$M$71:$M$90,$G366,月間集計シート!Q$71:Q$90)*AA$2</f>
        <v>0</v>
      </c>
      <c r="AB366" s="88">
        <f>SUMIF(月間集計シート!$M$71:$M$90,$G366,月間集計シート!R$71:R$90)*AB$2</f>
        <v>0</v>
      </c>
      <c r="AC366" s="88">
        <f>SUMIF(月間集計シート!$M$71:$M$90,$G366,月間集計シート!S$71:S$90)*AC$2</f>
        <v>0</v>
      </c>
      <c r="AD366" s="88">
        <f>SUMIF(月間集計シート!$M$71:$M$90,$G366,月間集計シート!T$71:T$90)*AD$2</f>
        <v>0</v>
      </c>
      <c r="AE366" s="88">
        <f>SUMIF(月間集計シート!$M$92:$M$111,$G366,月間集計シート!N$92:N$111)*AE$2</f>
        <v>0</v>
      </c>
      <c r="AF366" s="88">
        <f>SUMIF(月間集計シート!$M$92:$M$111,$G366,月間集計シート!O$92:O$111)*AF$2</f>
        <v>0</v>
      </c>
      <c r="AG366" s="88">
        <f>SUMIF(月間集計シート!$M$92:$M$111,$G366,月間集計シート!P$92:P$111)*AG$2</f>
        <v>0</v>
      </c>
      <c r="AH366" s="88">
        <f>SUMIF(月間集計シート!$M$92:$M$111,$G366,月間集計シート!Q$92:Q$111)*AH$2</f>
        <v>0</v>
      </c>
      <c r="AI366" s="88">
        <f>SUMIF(月間集計シート!$M$92:$M$111,$G366,月間集計シート!R$92:R$111)*AI$2</f>
        <v>0</v>
      </c>
      <c r="AJ366" s="88">
        <f>SUMIF(月間集計シート!$M$92:$M$111,$G366,月間集計シート!S$92:S$111)*AJ$2</f>
        <v>0</v>
      </c>
      <c r="AK366" s="88">
        <f>SUMIF(月間集計シート!$M$92:$M$111,$G366,月間集計シート!T$92:T$111)*AK$2</f>
        <v>0</v>
      </c>
      <c r="AL366" s="88">
        <f>SUMIF(月間集計シート!$M$113:$M$132,$G366,月間集計シート!N$113:N$132)*AL$2</f>
        <v>0</v>
      </c>
      <c r="AM366" s="88">
        <f>SUMIF(月間集計シート!$M$113:$M$132,$G366,月間集計シート!O$113:O$132)*AM$2</f>
        <v>0</v>
      </c>
      <c r="AN366" s="88">
        <f>SUMIF(月間集計シート!$M$113:$M$132,$G366,月間集計シート!P$113:P$132)*AN$2</f>
        <v>0</v>
      </c>
      <c r="AO366" s="88">
        <f>SUMIF(月間集計シート!$M$113:$M$132,$G366,月間集計シート!Q$113:Q$132)*AO$2</f>
        <v>0</v>
      </c>
      <c r="AP366" s="88">
        <f>SUMIF(月間集計シート!$M$113:$M$132,$G366,月間集計シート!R$113:R$132)*AP$2</f>
        <v>0</v>
      </c>
      <c r="AQ366" s="88">
        <f>SUMIF(月間集計シート!$M$113:$M$132,$G366,月間集計シート!S$113:S$132)*AQ$2</f>
        <v>0</v>
      </c>
      <c r="AR366" s="88">
        <f>SUMIF(月間集計シート!$M$113:$M$132,$G366,月間集計シート!T$113:T$132)*AR$2</f>
        <v>0</v>
      </c>
      <c r="AS366" s="88">
        <f>SUMIF(月間集計シート!$M$134:$M$153,$G366,月間集計シート!N$134:N$153)*AS$2</f>
        <v>0</v>
      </c>
      <c r="AT366" s="88">
        <f>SUMIF(月間集計シート!$M$134:$M$153,$G366,月間集計シート!O$134:O$153)*AT$2</f>
        <v>0</v>
      </c>
      <c r="AU366" s="88">
        <f>SUMIF(月間集計シート!$M$134:$M$153,$G366,月間集計シート!P$134:P$153)*AU$2</f>
        <v>0</v>
      </c>
      <c r="AV366" s="88">
        <f>SUMIF(月間集計シート!$M$134:$M$153,$G366,月間集計シート!Q$134:Q$153)*AV$2</f>
        <v>0</v>
      </c>
      <c r="AW366" s="88">
        <f>SUMIF(月間集計シート!$M$134:$M$153,$G366,月間集計シート!R$134:R$153)*AW$2</f>
        <v>0</v>
      </c>
      <c r="AX366" s="88">
        <f>SUMIF(月間集計シート!$M$134:$M$153,$G366,月間集計シート!S$134:S$153)*AX$2</f>
        <v>0</v>
      </c>
      <c r="AY366" s="88">
        <f>SUMIF(月間集計シート!$M$134:$M$153,$G366,月間集計シート!T$134:T$153)*AY$2</f>
        <v>0</v>
      </c>
    </row>
    <row r="367" spans="1:51" ht="14.25" thickBot="1">
      <c r="A367">
        <v>5</v>
      </c>
      <c r="B367" s="120">
        <f t="shared" si="185"/>
        <v>0</v>
      </c>
      <c r="C367" s="120" t="str">
        <f t="shared" si="186"/>
        <v/>
      </c>
      <c r="D367" s="137"/>
      <c r="E367" s="150" t="str">
        <f>工種!A19</f>
        <v>30105</v>
      </c>
      <c r="F367" s="119" t="str">
        <f>工種!B19</f>
        <v>製造：打合せ</v>
      </c>
      <c r="G367" s="116" t="str">
        <f t="shared" si="187"/>
        <v>030105</v>
      </c>
      <c r="H367" s="88">
        <f t="shared" si="141"/>
        <v>0</v>
      </c>
      <c r="I367" s="132"/>
      <c r="J367" s="88">
        <f>SUMIF(月間集計シート!$M$29:$M$48,$G367,月間集計シート!N$29:N$48)*J$2</f>
        <v>0</v>
      </c>
      <c r="K367" s="88">
        <f>SUMIF(月間集計シート!$M$29:$M$48,$G367,月間集計シート!O$29:O$48)*K$2</f>
        <v>0</v>
      </c>
      <c r="L367" s="88">
        <f>SUMIF(月間集計シート!$M$29:$M$48,$G367,月間集計シート!P$29:P$48)*L$2</f>
        <v>0</v>
      </c>
      <c r="M367" s="88">
        <f>SUMIF(月間集計シート!$M$29:$M$48,$G367,月間集計シート!Q$29:Q$48)*M$2</f>
        <v>0</v>
      </c>
      <c r="N367" s="88">
        <f>SUMIF(月間集計シート!$M$29:$M$48,$G367,月間集計シート!R$29:R$48)*N$2</f>
        <v>0</v>
      </c>
      <c r="O367" s="88">
        <f>SUMIF(月間集計シート!$M$29:$M$48,$G367,月間集計シート!S$29:S$48)*O$2</f>
        <v>0</v>
      </c>
      <c r="P367" s="88">
        <f>SUMIF(月間集計シート!$M$29:$M$48,$G367,月間集計シート!T$29:T$48)*P$2</f>
        <v>0</v>
      </c>
      <c r="Q367" s="88">
        <f>SUMIF(月間集計シート!$M$50:$M$69,$G367,月間集計シート!N$50:N$69)*Q$2</f>
        <v>0</v>
      </c>
      <c r="R367" s="88">
        <f>SUMIF(月間集計シート!$M$50:$M$69,$G367,月間集計シート!O$50:O$69)*R$2</f>
        <v>0</v>
      </c>
      <c r="S367" s="88">
        <f>SUMIF(月間集計シート!$M$50:$M$69,$G367,月間集計シート!P$50:P$69)*S$2</f>
        <v>0</v>
      </c>
      <c r="T367" s="88">
        <f>SUMIF(月間集計シート!$M$50:$M$69,$G367,月間集計シート!Q$50:Q$69)*T$2</f>
        <v>0</v>
      </c>
      <c r="U367" s="88">
        <f>SUMIF(月間集計シート!$M$50:$M$69,$G367,月間集計シート!R$50:R$69)*U$2</f>
        <v>0</v>
      </c>
      <c r="V367" s="88">
        <f>SUMIF(月間集計シート!$M$50:$M$69,$G367,月間集計シート!S$50:S$69)*V$2</f>
        <v>0</v>
      </c>
      <c r="W367" s="88">
        <f>SUMIF(月間集計シート!$M$50:$M$69,$G367,月間集計シート!T$50:T$69)*W$2</f>
        <v>0</v>
      </c>
      <c r="X367" s="88">
        <f>SUMIF(月間集計シート!$M$71:$M$90,$G367,月間集計シート!N$71:N$90)*X$2</f>
        <v>0</v>
      </c>
      <c r="Y367" s="88">
        <f>SUMIF(月間集計シート!$M$71:$M$90,$G367,月間集計シート!O$71:O$90)*Y$2</f>
        <v>0</v>
      </c>
      <c r="Z367" s="88">
        <f>SUMIF(月間集計シート!$M$71:$M$90,$G367,月間集計シート!P$71:P$90)*Z$2</f>
        <v>0</v>
      </c>
      <c r="AA367" s="88">
        <f>SUMIF(月間集計シート!$M$71:$M$90,$G367,月間集計シート!Q$71:Q$90)*AA$2</f>
        <v>0</v>
      </c>
      <c r="AB367" s="88">
        <f>SUMIF(月間集計シート!$M$71:$M$90,$G367,月間集計シート!R$71:R$90)*AB$2</f>
        <v>0</v>
      </c>
      <c r="AC367" s="88">
        <f>SUMIF(月間集計シート!$M$71:$M$90,$G367,月間集計シート!S$71:S$90)*AC$2</f>
        <v>0</v>
      </c>
      <c r="AD367" s="88">
        <f>SUMIF(月間集計シート!$M$71:$M$90,$G367,月間集計シート!T$71:T$90)*AD$2</f>
        <v>0</v>
      </c>
      <c r="AE367" s="88">
        <f>SUMIF(月間集計シート!$M$92:$M$111,$G367,月間集計シート!N$92:N$111)*AE$2</f>
        <v>0</v>
      </c>
      <c r="AF367" s="88">
        <f>SUMIF(月間集計シート!$M$92:$M$111,$G367,月間集計シート!O$92:O$111)*AF$2</f>
        <v>0</v>
      </c>
      <c r="AG367" s="88">
        <f>SUMIF(月間集計シート!$M$92:$M$111,$G367,月間集計シート!P$92:P$111)*AG$2</f>
        <v>0</v>
      </c>
      <c r="AH367" s="88">
        <f>SUMIF(月間集計シート!$M$92:$M$111,$G367,月間集計シート!Q$92:Q$111)*AH$2</f>
        <v>0</v>
      </c>
      <c r="AI367" s="88">
        <f>SUMIF(月間集計シート!$M$92:$M$111,$G367,月間集計シート!R$92:R$111)*AI$2</f>
        <v>0</v>
      </c>
      <c r="AJ367" s="88">
        <f>SUMIF(月間集計シート!$M$92:$M$111,$G367,月間集計シート!S$92:S$111)*AJ$2</f>
        <v>0</v>
      </c>
      <c r="AK367" s="88">
        <f>SUMIF(月間集計シート!$M$92:$M$111,$G367,月間集計シート!T$92:T$111)*AK$2</f>
        <v>0</v>
      </c>
      <c r="AL367" s="88">
        <f>SUMIF(月間集計シート!$M$113:$M$132,$G367,月間集計シート!N$113:N$132)*AL$2</f>
        <v>0</v>
      </c>
      <c r="AM367" s="88">
        <f>SUMIF(月間集計シート!$M$113:$M$132,$G367,月間集計シート!O$113:O$132)*AM$2</f>
        <v>0</v>
      </c>
      <c r="AN367" s="88">
        <f>SUMIF(月間集計シート!$M$113:$M$132,$G367,月間集計シート!P$113:P$132)*AN$2</f>
        <v>0</v>
      </c>
      <c r="AO367" s="88">
        <f>SUMIF(月間集計シート!$M$113:$M$132,$G367,月間集計シート!Q$113:Q$132)*AO$2</f>
        <v>0</v>
      </c>
      <c r="AP367" s="88">
        <f>SUMIF(月間集計シート!$M$113:$M$132,$G367,月間集計シート!R$113:R$132)*AP$2</f>
        <v>0</v>
      </c>
      <c r="AQ367" s="88">
        <f>SUMIF(月間集計シート!$M$113:$M$132,$G367,月間集計シート!S$113:S$132)*AQ$2</f>
        <v>0</v>
      </c>
      <c r="AR367" s="88">
        <f>SUMIF(月間集計シート!$M$113:$M$132,$G367,月間集計シート!T$113:T$132)*AR$2</f>
        <v>0</v>
      </c>
      <c r="AS367" s="88">
        <f>SUMIF(月間集計シート!$M$134:$M$153,$G367,月間集計シート!N$134:N$153)*AS$2</f>
        <v>0</v>
      </c>
      <c r="AT367" s="88">
        <f>SUMIF(月間集計シート!$M$134:$M$153,$G367,月間集計シート!O$134:O$153)*AT$2</f>
        <v>0</v>
      </c>
      <c r="AU367" s="88">
        <f>SUMIF(月間集計シート!$M$134:$M$153,$G367,月間集計シート!P$134:P$153)*AU$2</f>
        <v>0</v>
      </c>
      <c r="AV367" s="88">
        <f>SUMIF(月間集計シート!$M$134:$M$153,$G367,月間集計シート!Q$134:Q$153)*AV$2</f>
        <v>0</v>
      </c>
      <c r="AW367" s="88">
        <f>SUMIF(月間集計シート!$M$134:$M$153,$G367,月間集計シート!R$134:R$153)*AW$2</f>
        <v>0</v>
      </c>
      <c r="AX367" s="88">
        <f>SUMIF(月間集計シート!$M$134:$M$153,$G367,月間集計シート!S$134:S$153)*AX$2</f>
        <v>0</v>
      </c>
      <c r="AY367" s="88">
        <f>SUMIF(月間集計シート!$M$134:$M$153,$G367,月間集計シート!T$134:T$153)*AY$2</f>
        <v>0</v>
      </c>
    </row>
    <row r="368" spans="1:51" ht="14.25" thickBot="1">
      <c r="A368">
        <v>5</v>
      </c>
      <c r="B368" s="120">
        <f t="shared" si="185"/>
        <v>0</v>
      </c>
      <c r="C368" s="120" t="str">
        <f t="shared" si="186"/>
        <v/>
      </c>
      <c r="D368" s="137"/>
      <c r="E368" s="150" t="str">
        <f>工種!A20</f>
        <v>30106</v>
      </c>
      <c r="F368" s="119" t="str">
        <f>工種!B20</f>
        <v>製造：PG修正（手戻り分）</v>
      </c>
      <c r="G368" s="116" t="str">
        <f t="shared" si="187"/>
        <v>030106</v>
      </c>
      <c r="H368" s="88">
        <f t="shared" si="141"/>
        <v>0</v>
      </c>
      <c r="I368" s="132"/>
      <c r="J368" s="88">
        <f>SUMIF(月間集計シート!$M$29:$M$48,$G368,月間集計シート!N$29:N$48)*J$2</f>
        <v>0</v>
      </c>
      <c r="K368" s="88">
        <f>SUMIF(月間集計シート!$M$29:$M$48,$G368,月間集計シート!O$29:O$48)*K$2</f>
        <v>0</v>
      </c>
      <c r="L368" s="88">
        <f>SUMIF(月間集計シート!$M$29:$M$48,$G368,月間集計シート!P$29:P$48)*L$2</f>
        <v>0</v>
      </c>
      <c r="M368" s="88">
        <f>SUMIF(月間集計シート!$M$29:$M$48,$G368,月間集計シート!Q$29:Q$48)*M$2</f>
        <v>0</v>
      </c>
      <c r="N368" s="88">
        <f>SUMIF(月間集計シート!$M$29:$M$48,$G368,月間集計シート!R$29:R$48)*N$2</f>
        <v>0</v>
      </c>
      <c r="O368" s="88">
        <f>SUMIF(月間集計シート!$M$29:$M$48,$G368,月間集計シート!S$29:S$48)*O$2</f>
        <v>0</v>
      </c>
      <c r="P368" s="88">
        <f>SUMIF(月間集計シート!$M$29:$M$48,$G368,月間集計シート!T$29:T$48)*P$2</f>
        <v>0</v>
      </c>
      <c r="Q368" s="88">
        <f>SUMIF(月間集計シート!$M$50:$M$69,$G368,月間集計シート!N$50:N$69)*Q$2</f>
        <v>0</v>
      </c>
      <c r="R368" s="88">
        <f>SUMIF(月間集計シート!$M$50:$M$69,$G368,月間集計シート!O$50:O$69)*R$2</f>
        <v>0</v>
      </c>
      <c r="S368" s="88">
        <f>SUMIF(月間集計シート!$M$50:$M$69,$G368,月間集計シート!P$50:P$69)*S$2</f>
        <v>0</v>
      </c>
      <c r="T368" s="88">
        <f>SUMIF(月間集計シート!$M$50:$M$69,$G368,月間集計シート!Q$50:Q$69)*T$2</f>
        <v>0</v>
      </c>
      <c r="U368" s="88">
        <f>SUMIF(月間集計シート!$M$50:$M$69,$G368,月間集計シート!R$50:R$69)*U$2</f>
        <v>0</v>
      </c>
      <c r="V368" s="88">
        <f>SUMIF(月間集計シート!$M$50:$M$69,$G368,月間集計シート!S$50:S$69)*V$2</f>
        <v>0</v>
      </c>
      <c r="W368" s="88">
        <f>SUMIF(月間集計シート!$M$50:$M$69,$G368,月間集計シート!T$50:T$69)*W$2</f>
        <v>0</v>
      </c>
      <c r="X368" s="88">
        <f>SUMIF(月間集計シート!$M$71:$M$90,$G368,月間集計シート!N$71:N$90)*X$2</f>
        <v>0</v>
      </c>
      <c r="Y368" s="88">
        <f>SUMIF(月間集計シート!$M$71:$M$90,$G368,月間集計シート!O$71:O$90)*Y$2</f>
        <v>0</v>
      </c>
      <c r="Z368" s="88">
        <f>SUMIF(月間集計シート!$M$71:$M$90,$G368,月間集計シート!P$71:P$90)*Z$2</f>
        <v>0</v>
      </c>
      <c r="AA368" s="88">
        <f>SUMIF(月間集計シート!$M$71:$M$90,$G368,月間集計シート!Q$71:Q$90)*AA$2</f>
        <v>0</v>
      </c>
      <c r="AB368" s="88">
        <f>SUMIF(月間集計シート!$M$71:$M$90,$G368,月間集計シート!R$71:R$90)*AB$2</f>
        <v>0</v>
      </c>
      <c r="AC368" s="88">
        <f>SUMIF(月間集計シート!$M$71:$M$90,$G368,月間集計シート!S$71:S$90)*AC$2</f>
        <v>0</v>
      </c>
      <c r="AD368" s="88">
        <f>SUMIF(月間集計シート!$M$71:$M$90,$G368,月間集計シート!T$71:T$90)*AD$2</f>
        <v>0</v>
      </c>
      <c r="AE368" s="88">
        <f>SUMIF(月間集計シート!$M$92:$M$111,$G368,月間集計シート!N$92:N$111)*AE$2</f>
        <v>0</v>
      </c>
      <c r="AF368" s="88">
        <f>SUMIF(月間集計シート!$M$92:$M$111,$G368,月間集計シート!O$92:O$111)*AF$2</f>
        <v>0</v>
      </c>
      <c r="AG368" s="88">
        <f>SUMIF(月間集計シート!$M$92:$M$111,$G368,月間集計シート!P$92:P$111)*AG$2</f>
        <v>0</v>
      </c>
      <c r="AH368" s="88">
        <f>SUMIF(月間集計シート!$M$92:$M$111,$G368,月間集計シート!Q$92:Q$111)*AH$2</f>
        <v>0</v>
      </c>
      <c r="AI368" s="88">
        <f>SUMIF(月間集計シート!$M$92:$M$111,$G368,月間集計シート!R$92:R$111)*AI$2</f>
        <v>0</v>
      </c>
      <c r="AJ368" s="88">
        <f>SUMIF(月間集計シート!$M$92:$M$111,$G368,月間集計シート!S$92:S$111)*AJ$2</f>
        <v>0</v>
      </c>
      <c r="AK368" s="88">
        <f>SUMIF(月間集計シート!$M$92:$M$111,$G368,月間集計シート!T$92:T$111)*AK$2</f>
        <v>0</v>
      </c>
      <c r="AL368" s="88">
        <f>SUMIF(月間集計シート!$M$113:$M$132,$G368,月間集計シート!N$113:N$132)*AL$2</f>
        <v>0</v>
      </c>
      <c r="AM368" s="88">
        <f>SUMIF(月間集計シート!$M$113:$M$132,$G368,月間集計シート!O$113:O$132)*AM$2</f>
        <v>0</v>
      </c>
      <c r="AN368" s="88">
        <f>SUMIF(月間集計シート!$M$113:$M$132,$G368,月間集計シート!P$113:P$132)*AN$2</f>
        <v>0</v>
      </c>
      <c r="AO368" s="88">
        <f>SUMIF(月間集計シート!$M$113:$M$132,$G368,月間集計シート!Q$113:Q$132)*AO$2</f>
        <v>0</v>
      </c>
      <c r="AP368" s="88">
        <f>SUMIF(月間集計シート!$M$113:$M$132,$G368,月間集計シート!R$113:R$132)*AP$2</f>
        <v>0</v>
      </c>
      <c r="AQ368" s="88">
        <f>SUMIF(月間集計シート!$M$113:$M$132,$G368,月間集計シート!S$113:S$132)*AQ$2</f>
        <v>0</v>
      </c>
      <c r="AR368" s="88">
        <f>SUMIF(月間集計シート!$M$113:$M$132,$G368,月間集計シート!T$113:T$132)*AR$2</f>
        <v>0</v>
      </c>
      <c r="AS368" s="88">
        <f>SUMIF(月間集計シート!$M$134:$M$153,$G368,月間集計シート!N$134:N$153)*AS$2</f>
        <v>0</v>
      </c>
      <c r="AT368" s="88">
        <f>SUMIF(月間集計シート!$M$134:$M$153,$G368,月間集計シート!O$134:O$153)*AT$2</f>
        <v>0</v>
      </c>
      <c r="AU368" s="88">
        <f>SUMIF(月間集計シート!$M$134:$M$153,$G368,月間集計シート!P$134:P$153)*AU$2</f>
        <v>0</v>
      </c>
      <c r="AV368" s="88">
        <f>SUMIF(月間集計シート!$M$134:$M$153,$G368,月間集計シート!Q$134:Q$153)*AV$2</f>
        <v>0</v>
      </c>
      <c r="AW368" s="88">
        <f>SUMIF(月間集計シート!$M$134:$M$153,$G368,月間集計シート!R$134:R$153)*AW$2</f>
        <v>0</v>
      </c>
      <c r="AX368" s="88">
        <f>SUMIF(月間集計シート!$M$134:$M$153,$G368,月間集計シート!S$134:S$153)*AX$2</f>
        <v>0</v>
      </c>
      <c r="AY368" s="88">
        <f>SUMIF(月間集計シート!$M$134:$M$153,$G368,月間集計シート!T$134:T$153)*AY$2</f>
        <v>0</v>
      </c>
    </row>
    <row r="369" spans="1:51" ht="14.25" thickBot="1">
      <c r="A369">
        <v>5</v>
      </c>
      <c r="B369" s="120">
        <f t="shared" si="185"/>
        <v>0</v>
      </c>
      <c r="C369" s="120" t="str">
        <f t="shared" si="186"/>
        <v/>
      </c>
      <c r="D369" s="137"/>
      <c r="E369" s="150" t="str">
        <f>工種!A21</f>
        <v>30109</v>
      </c>
      <c r="F369" s="119" t="str">
        <f>工種!B21</f>
        <v>製造：レビュー</v>
      </c>
      <c r="G369" s="116" t="str">
        <f t="shared" si="187"/>
        <v>030109</v>
      </c>
      <c r="H369" s="88">
        <f t="shared" si="141"/>
        <v>0</v>
      </c>
      <c r="I369" s="132"/>
      <c r="J369" s="88">
        <f>SUMIF(月間集計シート!$M$29:$M$48,$G369,月間集計シート!N$29:N$48)*J$2</f>
        <v>0</v>
      </c>
      <c r="K369" s="88">
        <f>SUMIF(月間集計シート!$M$29:$M$48,$G369,月間集計シート!O$29:O$48)*K$2</f>
        <v>0</v>
      </c>
      <c r="L369" s="88">
        <f>SUMIF(月間集計シート!$M$29:$M$48,$G369,月間集計シート!P$29:P$48)*L$2</f>
        <v>0</v>
      </c>
      <c r="M369" s="88">
        <f>SUMIF(月間集計シート!$M$29:$M$48,$G369,月間集計シート!Q$29:Q$48)*M$2</f>
        <v>0</v>
      </c>
      <c r="N369" s="88">
        <f>SUMIF(月間集計シート!$M$29:$M$48,$G369,月間集計シート!R$29:R$48)*N$2</f>
        <v>0</v>
      </c>
      <c r="O369" s="88">
        <f>SUMIF(月間集計シート!$M$29:$M$48,$G369,月間集計シート!S$29:S$48)*O$2</f>
        <v>0</v>
      </c>
      <c r="P369" s="88">
        <f>SUMIF(月間集計シート!$M$29:$M$48,$G369,月間集計シート!T$29:T$48)*P$2</f>
        <v>0</v>
      </c>
      <c r="Q369" s="88">
        <f>SUMIF(月間集計シート!$M$50:$M$69,$G369,月間集計シート!N$50:N$69)*Q$2</f>
        <v>0</v>
      </c>
      <c r="R369" s="88">
        <f>SUMIF(月間集計シート!$M$50:$M$69,$G369,月間集計シート!O$50:O$69)*R$2</f>
        <v>0</v>
      </c>
      <c r="S369" s="88">
        <f>SUMIF(月間集計シート!$M$50:$M$69,$G369,月間集計シート!P$50:P$69)*S$2</f>
        <v>0</v>
      </c>
      <c r="T369" s="88">
        <f>SUMIF(月間集計シート!$M$50:$M$69,$G369,月間集計シート!Q$50:Q$69)*T$2</f>
        <v>0</v>
      </c>
      <c r="U369" s="88">
        <f>SUMIF(月間集計シート!$M$50:$M$69,$G369,月間集計シート!R$50:R$69)*U$2</f>
        <v>0</v>
      </c>
      <c r="V369" s="88">
        <f>SUMIF(月間集計シート!$M$50:$M$69,$G369,月間集計シート!S$50:S$69)*V$2</f>
        <v>0</v>
      </c>
      <c r="W369" s="88">
        <f>SUMIF(月間集計シート!$M$50:$M$69,$G369,月間集計シート!T$50:T$69)*W$2</f>
        <v>0</v>
      </c>
      <c r="X369" s="88">
        <f>SUMIF(月間集計シート!$M$71:$M$90,$G369,月間集計シート!N$71:N$90)*X$2</f>
        <v>0</v>
      </c>
      <c r="Y369" s="88">
        <f>SUMIF(月間集計シート!$M$71:$M$90,$G369,月間集計シート!O$71:O$90)*Y$2</f>
        <v>0</v>
      </c>
      <c r="Z369" s="88">
        <f>SUMIF(月間集計シート!$M$71:$M$90,$G369,月間集計シート!P$71:P$90)*Z$2</f>
        <v>0</v>
      </c>
      <c r="AA369" s="88">
        <f>SUMIF(月間集計シート!$M$71:$M$90,$G369,月間集計シート!Q$71:Q$90)*AA$2</f>
        <v>0</v>
      </c>
      <c r="AB369" s="88">
        <f>SUMIF(月間集計シート!$M$71:$M$90,$G369,月間集計シート!R$71:R$90)*AB$2</f>
        <v>0</v>
      </c>
      <c r="AC369" s="88">
        <f>SUMIF(月間集計シート!$M$71:$M$90,$G369,月間集計シート!S$71:S$90)*AC$2</f>
        <v>0</v>
      </c>
      <c r="AD369" s="88">
        <f>SUMIF(月間集計シート!$M$71:$M$90,$G369,月間集計シート!T$71:T$90)*AD$2</f>
        <v>0</v>
      </c>
      <c r="AE369" s="88">
        <f>SUMIF(月間集計シート!$M$92:$M$111,$G369,月間集計シート!N$92:N$111)*AE$2</f>
        <v>0</v>
      </c>
      <c r="AF369" s="88">
        <f>SUMIF(月間集計シート!$M$92:$M$111,$G369,月間集計シート!O$92:O$111)*AF$2</f>
        <v>0</v>
      </c>
      <c r="AG369" s="88">
        <f>SUMIF(月間集計シート!$M$92:$M$111,$G369,月間集計シート!P$92:P$111)*AG$2</f>
        <v>0</v>
      </c>
      <c r="AH369" s="88">
        <f>SUMIF(月間集計シート!$M$92:$M$111,$G369,月間集計シート!Q$92:Q$111)*AH$2</f>
        <v>0</v>
      </c>
      <c r="AI369" s="88">
        <f>SUMIF(月間集計シート!$M$92:$M$111,$G369,月間集計シート!R$92:R$111)*AI$2</f>
        <v>0</v>
      </c>
      <c r="AJ369" s="88">
        <f>SUMIF(月間集計シート!$M$92:$M$111,$G369,月間集計シート!S$92:S$111)*AJ$2</f>
        <v>0</v>
      </c>
      <c r="AK369" s="88">
        <f>SUMIF(月間集計シート!$M$92:$M$111,$G369,月間集計シート!T$92:T$111)*AK$2</f>
        <v>0</v>
      </c>
      <c r="AL369" s="88">
        <f>SUMIF(月間集計シート!$M$113:$M$132,$G369,月間集計シート!N$113:N$132)*AL$2</f>
        <v>0</v>
      </c>
      <c r="AM369" s="88">
        <f>SUMIF(月間集計シート!$M$113:$M$132,$G369,月間集計シート!O$113:O$132)*AM$2</f>
        <v>0</v>
      </c>
      <c r="AN369" s="88">
        <f>SUMIF(月間集計シート!$M$113:$M$132,$G369,月間集計シート!P$113:P$132)*AN$2</f>
        <v>0</v>
      </c>
      <c r="AO369" s="88">
        <f>SUMIF(月間集計シート!$M$113:$M$132,$G369,月間集計シート!Q$113:Q$132)*AO$2</f>
        <v>0</v>
      </c>
      <c r="AP369" s="88">
        <f>SUMIF(月間集計シート!$M$113:$M$132,$G369,月間集計シート!R$113:R$132)*AP$2</f>
        <v>0</v>
      </c>
      <c r="AQ369" s="88">
        <f>SUMIF(月間集計シート!$M$113:$M$132,$G369,月間集計シート!S$113:S$132)*AQ$2</f>
        <v>0</v>
      </c>
      <c r="AR369" s="88">
        <f>SUMIF(月間集計シート!$M$113:$M$132,$G369,月間集計シート!T$113:T$132)*AR$2</f>
        <v>0</v>
      </c>
      <c r="AS369" s="88">
        <f>SUMIF(月間集計シート!$M$134:$M$153,$G369,月間集計シート!N$134:N$153)*AS$2</f>
        <v>0</v>
      </c>
      <c r="AT369" s="88">
        <f>SUMIF(月間集計シート!$M$134:$M$153,$G369,月間集計シート!O$134:O$153)*AT$2</f>
        <v>0</v>
      </c>
      <c r="AU369" s="88">
        <f>SUMIF(月間集計シート!$M$134:$M$153,$G369,月間集計シート!P$134:P$153)*AU$2</f>
        <v>0</v>
      </c>
      <c r="AV369" s="88">
        <f>SUMIF(月間集計シート!$M$134:$M$153,$G369,月間集計シート!Q$134:Q$153)*AV$2</f>
        <v>0</v>
      </c>
      <c r="AW369" s="88">
        <f>SUMIF(月間集計シート!$M$134:$M$153,$G369,月間集計シート!R$134:R$153)*AW$2</f>
        <v>0</v>
      </c>
      <c r="AX369" s="88">
        <f>SUMIF(月間集計シート!$M$134:$M$153,$G369,月間集計シート!S$134:S$153)*AX$2</f>
        <v>0</v>
      </c>
      <c r="AY369" s="88">
        <f>SUMIF(月間集計シート!$M$134:$M$153,$G369,月間集計シート!T$134:T$153)*AY$2</f>
        <v>0</v>
      </c>
    </row>
    <row r="370" spans="1:51" ht="14.25" thickBot="1">
      <c r="A370">
        <v>5</v>
      </c>
      <c r="B370" s="120">
        <f t="shared" si="185"/>
        <v>0</v>
      </c>
      <c r="C370" s="120" t="str">
        <f t="shared" si="186"/>
        <v/>
      </c>
      <c r="D370" s="137"/>
      <c r="E370" s="150" t="str">
        <f>工種!A22</f>
        <v>30199</v>
      </c>
      <c r="F370" s="119" t="str">
        <f>工種!B22</f>
        <v>製造：その他</v>
      </c>
      <c r="G370" s="116" t="str">
        <f t="shared" si="187"/>
        <v>030199</v>
      </c>
      <c r="H370" s="88">
        <f t="shared" si="141"/>
        <v>0</v>
      </c>
      <c r="I370" s="132"/>
      <c r="J370" s="88">
        <f>SUMIF(月間集計シート!$M$29:$M$48,$G370,月間集計シート!N$29:N$48)*J$2</f>
        <v>0</v>
      </c>
      <c r="K370" s="88">
        <f>SUMIF(月間集計シート!$M$29:$M$48,$G370,月間集計シート!O$29:O$48)*K$2</f>
        <v>0</v>
      </c>
      <c r="L370" s="88">
        <f>SUMIF(月間集計シート!$M$29:$M$48,$G370,月間集計シート!P$29:P$48)*L$2</f>
        <v>0</v>
      </c>
      <c r="M370" s="88">
        <f>SUMIF(月間集計シート!$M$29:$M$48,$G370,月間集計シート!Q$29:Q$48)*M$2</f>
        <v>0</v>
      </c>
      <c r="N370" s="88">
        <f>SUMIF(月間集計シート!$M$29:$M$48,$G370,月間集計シート!R$29:R$48)*N$2</f>
        <v>0</v>
      </c>
      <c r="O370" s="88">
        <f>SUMIF(月間集計シート!$M$29:$M$48,$G370,月間集計シート!S$29:S$48)*O$2</f>
        <v>0</v>
      </c>
      <c r="P370" s="88">
        <f>SUMIF(月間集計シート!$M$29:$M$48,$G370,月間集計シート!T$29:T$48)*P$2</f>
        <v>0</v>
      </c>
      <c r="Q370" s="88">
        <f>SUMIF(月間集計シート!$M$50:$M$69,$G370,月間集計シート!N$50:N$69)*Q$2</f>
        <v>0</v>
      </c>
      <c r="R370" s="88">
        <f>SUMIF(月間集計シート!$M$50:$M$69,$G370,月間集計シート!O$50:O$69)*R$2</f>
        <v>0</v>
      </c>
      <c r="S370" s="88">
        <f>SUMIF(月間集計シート!$M$50:$M$69,$G370,月間集計シート!P$50:P$69)*S$2</f>
        <v>0</v>
      </c>
      <c r="T370" s="88">
        <f>SUMIF(月間集計シート!$M$50:$M$69,$G370,月間集計シート!Q$50:Q$69)*T$2</f>
        <v>0</v>
      </c>
      <c r="U370" s="88">
        <f>SUMIF(月間集計シート!$M$50:$M$69,$G370,月間集計シート!R$50:R$69)*U$2</f>
        <v>0</v>
      </c>
      <c r="V370" s="88">
        <f>SUMIF(月間集計シート!$M$50:$M$69,$G370,月間集計シート!S$50:S$69)*V$2</f>
        <v>0</v>
      </c>
      <c r="W370" s="88">
        <f>SUMIF(月間集計シート!$M$50:$M$69,$G370,月間集計シート!T$50:T$69)*W$2</f>
        <v>0</v>
      </c>
      <c r="X370" s="88">
        <f>SUMIF(月間集計シート!$M$71:$M$90,$G370,月間集計シート!N$71:N$90)*X$2</f>
        <v>0</v>
      </c>
      <c r="Y370" s="88">
        <f>SUMIF(月間集計シート!$M$71:$M$90,$G370,月間集計シート!O$71:O$90)*Y$2</f>
        <v>0</v>
      </c>
      <c r="Z370" s="88">
        <f>SUMIF(月間集計シート!$M$71:$M$90,$G370,月間集計シート!P$71:P$90)*Z$2</f>
        <v>0</v>
      </c>
      <c r="AA370" s="88">
        <f>SUMIF(月間集計シート!$M$71:$M$90,$G370,月間集計シート!Q$71:Q$90)*AA$2</f>
        <v>0</v>
      </c>
      <c r="AB370" s="88">
        <f>SUMIF(月間集計シート!$M$71:$M$90,$G370,月間集計シート!R$71:R$90)*AB$2</f>
        <v>0</v>
      </c>
      <c r="AC370" s="88">
        <f>SUMIF(月間集計シート!$M$71:$M$90,$G370,月間集計シート!S$71:S$90)*AC$2</f>
        <v>0</v>
      </c>
      <c r="AD370" s="88">
        <f>SUMIF(月間集計シート!$M$71:$M$90,$G370,月間集計シート!T$71:T$90)*AD$2</f>
        <v>0</v>
      </c>
      <c r="AE370" s="88">
        <f>SUMIF(月間集計シート!$M$92:$M$111,$G370,月間集計シート!N$92:N$111)*AE$2</f>
        <v>0</v>
      </c>
      <c r="AF370" s="88">
        <f>SUMIF(月間集計シート!$M$92:$M$111,$G370,月間集計シート!O$92:O$111)*AF$2</f>
        <v>0</v>
      </c>
      <c r="AG370" s="88">
        <f>SUMIF(月間集計シート!$M$92:$M$111,$G370,月間集計シート!P$92:P$111)*AG$2</f>
        <v>0</v>
      </c>
      <c r="AH370" s="88">
        <f>SUMIF(月間集計シート!$M$92:$M$111,$G370,月間集計シート!Q$92:Q$111)*AH$2</f>
        <v>0</v>
      </c>
      <c r="AI370" s="88">
        <f>SUMIF(月間集計シート!$M$92:$M$111,$G370,月間集計シート!R$92:R$111)*AI$2</f>
        <v>0</v>
      </c>
      <c r="AJ370" s="88">
        <f>SUMIF(月間集計シート!$M$92:$M$111,$G370,月間集計シート!S$92:S$111)*AJ$2</f>
        <v>0</v>
      </c>
      <c r="AK370" s="88">
        <f>SUMIF(月間集計シート!$M$92:$M$111,$G370,月間集計シート!T$92:T$111)*AK$2</f>
        <v>0</v>
      </c>
      <c r="AL370" s="88">
        <f>SUMIF(月間集計シート!$M$113:$M$132,$G370,月間集計シート!N$113:N$132)*AL$2</f>
        <v>0</v>
      </c>
      <c r="AM370" s="88">
        <f>SUMIF(月間集計シート!$M$113:$M$132,$G370,月間集計シート!O$113:O$132)*AM$2</f>
        <v>0</v>
      </c>
      <c r="AN370" s="88">
        <f>SUMIF(月間集計シート!$M$113:$M$132,$G370,月間集計シート!P$113:P$132)*AN$2</f>
        <v>0</v>
      </c>
      <c r="AO370" s="88">
        <f>SUMIF(月間集計シート!$M$113:$M$132,$G370,月間集計シート!Q$113:Q$132)*AO$2</f>
        <v>0</v>
      </c>
      <c r="AP370" s="88">
        <f>SUMIF(月間集計シート!$M$113:$M$132,$G370,月間集計シート!R$113:R$132)*AP$2</f>
        <v>0</v>
      </c>
      <c r="AQ370" s="88">
        <f>SUMIF(月間集計シート!$M$113:$M$132,$G370,月間集計シート!S$113:S$132)*AQ$2</f>
        <v>0</v>
      </c>
      <c r="AR370" s="88">
        <f>SUMIF(月間集計シート!$M$113:$M$132,$G370,月間集計シート!T$113:T$132)*AR$2</f>
        <v>0</v>
      </c>
      <c r="AS370" s="88">
        <f>SUMIF(月間集計シート!$M$134:$M$153,$G370,月間集計シート!N$134:N$153)*AS$2</f>
        <v>0</v>
      </c>
      <c r="AT370" s="88">
        <f>SUMIF(月間集計シート!$M$134:$M$153,$G370,月間集計シート!O$134:O$153)*AT$2</f>
        <v>0</v>
      </c>
      <c r="AU370" s="88">
        <f>SUMIF(月間集計シート!$M$134:$M$153,$G370,月間集計シート!P$134:P$153)*AU$2</f>
        <v>0</v>
      </c>
      <c r="AV370" s="88">
        <f>SUMIF(月間集計シート!$M$134:$M$153,$G370,月間集計シート!Q$134:Q$153)*AV$2</f>
        <v>0</v>
      </c>
      <c r="AW370" s="88">
        <f>SUMIF(月間集計シート!$M$134:$M$153,$G370,月間集計シート!R$134:R$153)*AW$2</f>
        <v>0</v>
      </c>
      <c r="AX370" s="88">
        <f>SUMIF(月間集計シート!$M$134:$M$153,$G370,月間集計シート!S$134:S$153)*AX$2</f>
        <v>0</v>
      </c>
      <c r="AY370" s="88">
        <f>SUMIF(月間集計シート!$M$134:$M$153,$G370,月間集計シート!T$134:T$153)*AY$2</f>
        <v>0</v>
      </c>
    </row>
    <row r="371" spans="1:51" ht="14.25" thickBot="1">
      <c r="A371">
        <v>5</v>
      </c>
      <c r="B371" s="120">
        <f t="shared" si="185"/>
        <v>0</v>
      </c>
      <c r="C371" s="120" t="str">
        <f t="shared" si="186"/>
        <v/>
      </c>
      <c r="D371" s="137"/>
      <c r="E371" s="150" t="str">
        <f>工種!A23</f>
        <v>40101</v>
      </c>
      <c r="F371" s="119" t="str">
        <f>工種!B23</f>
        <v>テスト：結合テスト実施</v>
      </c>
      <c r="G371" s="116" t="str">
        <f t="shared" si="187"/>
        <v>040101</v>
      </c>
      <c r="H371" s="88">
        <f t="shared" si="141"/>
        <v>0</v>
      </c>
      <c r="I371" s="132"/>
      <c r="J371" s="88">
        <f>SUMIF(月間集計シート!$M$29:$M$48,$G371,月間集計シート!N$29:N$48)*J$2</f>
        <v>0</v>
      </c>
      <c r="K371" s="88">
        <f>SUMIF(月間集計シート!$M$29:$M$48,$G371,月間集計シート!O$29:O$48)*K$2</f>
        <v>0</v>
      </c>
      <c r="L371" s="88">
        <f>SUMIF(月間集計シート!$M$29:$M$48,$G371,月間集計シート!P$29:P$48)*L$2</f>
        <v>0</v>
      </c>
      <c r="M371" s="88">
        <f>SUMIF(月間集計シート!$M$29:$M$48,$G371,月間集計シート!Q$29:Q$48)*M$2</f>
        <v>0</v>
      </c>
      <c r="N371" s="88">
        <f>SUMIF(月間集計シート!$M$29:$M$48,$G371,月間集計シート!R$29:R$48)*N$2</f>
        <v>0</v>
      </c>
      <c r="O371" s="88">
        <f>SUMIF(月間集計シート!$M$29:$M$48,$G371,月間集計シート!S$29:S$48)*O$2</f>
        <v>0</v>
      </c>
      <c r="P371" s="88">
        <f>SUMIF(月間集計シート!$M$29:$M$48,$G371,月間集計シート!T$29:T$48)*P$2</f>
        <v>0</v>
      </c>
      <c r="Q371" s="88">
        <f>SUMIF(月間集計シート!$M$50:$M$69,$G371,月間集計シート!N$50:N$69)*Q$2</f>
        <v>0</v>
      </c>
      <c r="R371" s="88">
        <f>SUMIF(月間集計シート!$M$50:$M$69,$G371,月間集計シート!O$50:O$69)*R$2</f>
        <v>0</v>
      </c>
      <c r="S371" s="88">
        <f>SUMIF(月間集計シート!$M$50:$M$69,$G371,月間集計シート!P$50:P$69)*S$2</f>
        <v>0</v>
      </c>
      <c r="T371" s="88">
        <f>SUMIF(月間集計シート!$M$50:$M$69,$G371,月間集計シート!Q$50:Q$69)*T$2</f>
        <v>0</v>
      </c>
      <c r="U371" s="88">
        <f>SUMIF(月間集計シート!$M$50:$M$69,$G371,月間集計シート!R$50:R$69)*U$2</f>
        <v>0</v>
      </c>
      <c r="V371" s="88">
        <f>SUMIF(月間集計シート!$M$50:$M$69,$G371,月間集計シート!S$50:S$69)*V$2</f>
        <v>0</v>
      </c>
      <c r="W371" s="88">
        <f>SUMIF(月間集計シート!$M$50:$M$69,$G371,月間集計シート!T$50:T$69)*W$2</f>
        <v>0</v>
      </c>
      <c r="X371" s="88">
        <f>SUMIF(月間集計シート!$M$71:$M$90,$G371,月間集計シート!N$71:N$90)*X$2</f>
        <v>0</v>
      </c>
      <c r="Y371" s="88">
        <f>SUMIF(月間集計シート!$M$71:$M$90,$G371,月間集計シート!O$71:O$90)*Y$2</f>
        <v>0</v>
      </c>
      <c r="Z371" s="88">
        <f>SUMIF(月間集計シート!$M$71:$M$90,$G371,月間集計シート!P$71:P$90)*Z$2</f>
        <v>0</v>
      </c>
      <c r="AA371" s="88">
        <f>SUMIF(月間集計シート!$M$71:$M$90,$G371,月間集計シート!Q$71:Q$90)*AA$2</f>
        <v>0</v>
      </c>
      <c r="AB371" s="88">
        <f>SUMIF(月間集計シート!$M$71:$M$90,$G371,月間集計シート!R$71:R$90)*AB$2</f>
        <v>0</v>
      </c>
      <c r="AC371" s="88">
        <f>SUMIF(月間集計シート!$M$71:$M$90,$G371,月間集計シート!S$71:S$90)*AC$2</f>
        <v>0</v>
      </c>
      <c r="AD371" s="88">
        <f>SUMIF(月間集計シート!$M$71:$M$90,$G371,月間集計シート!T$71:T$90)*AD$2</f>
        <v>0</v>
      </c>
      <c r="AE371" s="88">
        <f>SUMIF(月間集計シート!$M$92:$M$111,$G371,月間集計シート!N$92:N$111)*AE$2</f>
        <v>0</v>
      </c>
      <c r="AF371" s="88">
        <f>SUMIF(月間集計シート!$M$92:$M$111,$G371,月間集計シート!O$92:O$111)*AF$2</f>
        <v>0</v>
      </c>
      <c r="AG371" s="88">
        <f>SUMIF(月間集計シート!$M$92:$M$111,$G371,月間集計シート!P$92:P$111)*AG$2</f>
        <v>0</v>
      </c>
      <c r="AH371" s="88">
        <f>SUMIF(月間集計シート!$M$92:$M$111,$G371,月間集計シート!Q$92:Q$111)*AH$2</f>
        <v>0</v>
      </c>
      <c r="AI371" s="88">
        <f>SUMIF(月間集計シート!$M$92:$M$111,$G371,月間集計シート!R$92:R$111)*AI$2</f>
        <v>0</v>
      </c>
      <c r="AJ371" s="88">
        <f>SUMIF(月間集計シート!$M$92:$M$111,$G371,月間集計シート!S$92:S$111)*AJ$2</f>
        <v>0</v>
      </c>
      <c r="AK371" s="88">
        <f>SUMIF(月間集計シート!$M$92:$M$111,$G371,月間集計シート!T$92:T$111)*AK$2</f>
        <v>0</v>
      </c>
      <c r="AL371" s="88">
        <f>SUMIF(月間集計シート!$M$113:$M$132,$G371,月間集計シート!N$113:N$132)*AL$2</f>
        <v>0</v>
      </c>
      <c r="AM371" s="88">
        <f>SUMIF(月間集計シート!$M$113:$M$132,$G371,月間集計シート!O$113:O$132)*AM$2</f>
        <v>0</v>
      </c>
      <c r="AN371" s="88">
        <f>SUMIF(月間集計シート!$M$113:$M$132,$G371,月間集計シート!P$113:P$132)*AN$2</f>
        <v>0</v>
      </c>
      <c r="AO371" s="88">
        <f>SUMIF(月間集計シート!$M$113:$M$132,$G371,月間集計シート!Q$113:Q$132)*AO$2</f>
        <v>0</v>
      </c>
      <c r="AP371" s="88">
        <f>SUMIF(月間集計シート!$M$113:$M$132,$G371,月間集計シート!R$113:R$132)*AP$2</f>
        <v>0</v>
      </c>
      <c r="AQ371" s="88">
        <f>SUMIF(月間集計シート!$M$113:$M$132,$G371,月間集計シート!S$113:S$132)*AQ$2</f>
        <v>0</v>
      </c>
      <c r="AR371" s="88">
        <f>SUMIF(月間集計シート!$M$113:$M$132,$G371,月間集計シート!T$113:T$132)*AR$2</f>
        <v>0</v>
      </c>
      <c r="AS371" s="88">
        <f>SUMIF(月間集計シート!$M$134:$M$153,$G371,月間集計シート!N$134:N$153)*AS$2</f>
        <v>0</v>
      </c>
      <c r="AT371" s="88">
        <f>SUMIF(月間集計シート!$M$134:$M$153,$G371,月間集計シート!O$134:O$153)*AT$2</f>
        <v>0</v>
      </c>
      <c r="AU371" s="88">
        <f>SUMIF(月間集計シート!$M$134:$M$153,$G371,月間集計シート!P$134:P$153)*AU$2</f>
        <v>0</v>
      </c>
      <c r="AV371" s="88">
        <f>SUMIF(月間集計シート!$M$134:$M$153,$G371,月間集計シート!Q$134:Q$153)*AV$2</f>
        <v>0</v>
      </c>
      <c r="AW371" s="88">
        <f>SUMIF(月間集計シート!$M$134:$M$153,$G371,月間集計シート!R$134:R$153)*AW$2</f>
        <v>0</v>
      </c>
      <c r="AX371" s="88">
        <f>SUMIF(月間集計シート!$M$134:$M$153,$G371,月間集計シート!S$134:S$153)*AX$2</f>
        <v>0</v>
      </c>
      <c r="AY371" s="88">
        <f>SUMIF(月間集計シート!$M$134:$M$153,$G371,月間集計シート!T$134:T$153)*AY$2</f>
        <v>0</v>
      </c>
    </row>
    <row r="372" spans="1:51" ht="14.25" thickBot="1">
      <c r="A372">
        <v>5</v>
      </c>
      <c r="B372" s="120">
        <f t="shared" si="185"/>
        <v>0</v>
      </c>
      <c r="C372" s="120" t="str">
        <f t="shared" si="186"/>
        <v/>
      </c>
      <c r="D372" s="137"/>
      <c r="E372" s="150" t="str">
        <f>工種!A24</f>
        <v>40102</v>
      </c>
      <c r="F372" s="119" t="str">
        <f>工種!B24</f>
        <v>テスト：システムテスト実施</v>
      </c>
      <c r="G372" s="116" t="str">
        <f t="shared" si="187"/>
        <v>040102</v>
      </c>
      <c r="H372" s="88">
        <f t="shared" si="141"/>
        <v>0</v>
      </c>
      <c r="I372" s="132"/>
      <c r="J372" s="88">
        <f>SUMIF(月間集計シート!$M$29:$M$48,$G372,月間集計シート!N$29:N$48)*J$2</f>
        <v>0</v>
      </c>
      <c r="K372" s="88">
        <f>SUMIF(月間集計シート!$M$29:$M$48,$G372,月間集計シート!O$29:O$48)*K$2</f>
        <v>0</v>
      </c>
      <c r="L372" s="88">
        <f>SUMIF(月間集計シート!$M$29:$M$48,$G372,月間集計シート!P$29:P$48)*L$2</f>
        <v>0</v>
      </c>
      <c r="M372" s="88">
        <f>SUMIF(月間集計シート!$M$29:$M$48,$G372,月間集計シート!Q$29:Q$48)*M$2</f>
        <v>0</v>
      </c>
      <c r="N372" s="88">
        <f>SUMIF(月間集計シート!$M$29:$M$48,$G372,月間集計シート!R$29:R$48)*N$2</f>
        <v>0</v>
      </c>
      <c r="O372" s="88">
        <f>SUMIF(月間集計シート!$M$29:$M$48,$G372,月間集計シート!S$29:S$48)*O$2</f>
        <v>0</v>
      </c>
      <c r="P372" s="88">
        <f>SUMIF(月間集計シート!$M$29:$M$48,$G372,月間集計シート!T$29:T$48)*P$2</f>
        <v>0</v>
      </c>
      <c r="Q372" s="88">
        <f>SUMIF(月間集計シート!$M$50:$M$69,$G372,月間集計シート!N$50:N$69)*Q$2</f>
        <v>0</v>
      </c>
      <c r="R372" s="88">
        <f>SUMIF(月間集計シート!$M$50:$M$69,$G372,月間集計シート!O$50:O$69)*R$2</f>
        <v>0</v>
      </c>
      <c r="S372" s="88">
        <f>SUMIF(月間集計シート!$M$50:$M$69,$G372,月間集計シート!P$50:P$69)*S$2</f>
        <v>0</v>
      </c>
      <c r="T372" s="88">
        <f>SUMIF(月間集計シート!$M$50:$M$69,$G372,月間集計シート!Q$50:Q$69)*T$2</f>
        <v>0</v>
      </c>
      <c r="U372" s="88">
        <f>SUMIF(月間集計シート!$M$50:$M$69,$G372,月間集計シート!R$50:R$69)*U$2</f>
        <v>0</v>
      </c>
      <c r="V372" s="88">
        <f>SUMIF(月間集計シート!$M$50:$M$69,$G372,月間集計シート!S$50:S$69)*V$2</f>
        <v>0</v>
      </c>
      <c r="W372" s="88">
        <f>SUMIF(月間集計シート!$M$50:$M$69,$G372,月間集計シート!T$50:T$69)*W$2</f>
        <v>0</v>
      </c>
      <c r="X372" s="88">
        <f>SUMIF(月間集計シート!$M$71:$M$90,$G372,月間集計シート!N$71:N$90)*X$2</f>
        <v>0</v>
      </c>
      <c r="Y372" s="88">
        <f>SUMIF(月間集計シート!$M$71:$M$90,$G372,月間集計シート!O$71:O$90)*Y$2</f>
        <v>0</v>
      </c>
      <c r="Z372" s="88">
        <f>SUMIF(月間集計シート!$M$71:$M$90,$G372,月間集計シート!P$71:P$90)*Z$2</f>
        <v>0</v>
      </c>
      <c r="AA372" s="88">
        <f>SUMIF(月間集計シート!$M$71:$M$90,$G372,月間集計シート!Q$71:Q$90)*AA$2</f>
        <v>0</v>
      </c>
      <c r="AB372" s="88">
        <f>SUMIF(月間集計シート!$M$71:$M$90,$G372,月間集計シート!R$71:R$90)*AB$2</f>
        <v>0</v>
      </c>
      <c r="AC372" s="88">
        <f>SUMIF(月間集計シート!$M$71:$M$90,$G372,月間集計シート!S$71:S$90)*AC$2</f>
        <v>0</v>
      </c>
      <c r="AD372" s="88">
        <f>SUMIF(月間集計シート!$M$71:$M$90,$G372,月間集計シート!T$71:T$90)*AD$2</f>
        <v>0</v>
      </c>
      <c r="AE372" s="88">
        <f>SUMIF(月間集計シート!$M$92:$M$111,$G372,月間集計シート!N$92:N$111)*AE$2</f>
        <v>0</v>
      </c>
      <c r="AF372" s="88">
        <f>SUMIF(月間集計シート!$M$92:$M$111,$G372,月間集計シート!O$92:O$111)*AF$2</f>
        <v>0</v>
      </c>
      <c r="AG372" s="88">
        <f>SUMIF(月間集計シート!$M$92:$M$111,$G372,月間集計シート!P$92:P$111)*AG$2</f>
        <v>0</v>
      </c>
      <c r="AH372" s="88">
        <f>SUMIF(月間集計シート!$M$92:$M$111,$G372,月間集計シート!Q$92:Q$111)*AH$2</f>
        <v>0</v>
      </c>
      <c r="AI372" s="88">
        <f>SUMIF(月間集計シート!$M$92:$M$111,$G372,月間集計シート!R$92:R$111)*AI$2</f>
        <v>0</v>
      </c>
      <c r="AJ372" s="88">
        <f>SUMIF(月間集計シート!$M$92:$M$111,$G372,月間集計シート!S$92:S$111)*AJ$2</f>
        <v>0</v>
      </c>
      <c r="AK372" s="88">
        <f>SUMIF(月間集計シート!$M$92:$M$111,$G372,月間集計シート!T$92:T$111)*AK$2</f>
        <v>0</v>
      </c>
      <c r="AL372" s="88">
        <f>SUMIF(月間集計シート!$M$113:$M$132,$G372,月間集計シート!N$113:N$132)*AL$2</f>
        <v>0</v>
      </c>
      <c r="AM372" s="88">
        <f>SUMIF(月間集計シート!$M$113:$M$132,$G372,月間集計シート!O$113:O$132)*AM$2</f>
        <v>0</v>
      </c>
      <c r="AN372" s="88">
        <f>SUMIF(月間集計シート!$M$113:$M$132,$G372,月間集計シート!P$113:P$132)*AN$2</f>
        <v>0</v>
      </c>
      <c r="AO372" s="88">
        <f>SUMIF(月間集計シート!$M$113:$M$132,$G372,月間集計シート!Q$113:Q$132)*AO$2</f>
        <v>0</v>
      </c>
      <c r="AP372" s="88">
        <f>SUMIF(月間集計シート!$M$113:$M$132,$G372,月間集計シート!R$113:R$132)*AP$2</f>
        <v>0</v>
      </c>
      <c r="AQ372" s="88">
        <f>SUMIF(月間集計シート!$M$113:$M$132,$G372,月間集計シート!S$113:S$132)*AQ$2</f>
        <v>0</v>
      </c>
      <c r="AR372" s="88">
        <f>SUMIF(月間集計シート!$M$113:$M$132,$G372,月間集計シート!T$113:T$132)*AR$2</f>
        <v>0</v>
      </c>
      <c r="AS372" s="88">
        <f>SUMIF(月間集計シート!$M$134:$M$153,$G372,月間集計シート!N$134:N$153)*AS$2</f>
        <v>0</v>
      </c>
      <c r="AT372" s="88">
        <f>SUMIF(月間集計シート!$M$134:$M$153,$G372,月間集計シート!O$134:O$153)*AT$2</f>
        <v>0</v>
      </c>
      <c r="AU372" s="88">
        <f>SUMIF(月間集計シート!$M$134:$M$153,$G372,月間集計シート!P$134:P$153)*AU$2</f>
        <v>0</v>
      </c>
      <c r="AV372" s="88">
        <f>SUMIF(月間集計シート!$M$134:$M$153,$G372,月間集計シート!Q$134:Q$153)*AV$2</f>
        <v>0</v>
      </c>
      <c r="AW372" s="88">
        <f>SUMIF(月間集計シート!$M$134:$M$153,$G372,月間集計シート!R$134:R$153)*AW$2</f>
        <v>0</v>
      </c>
      <c r="AX372" s="88">
        <f>SUMIF(月間集計シート!$M$134:$M$153,$G372,月間集計シート!S$134:S$153)*AX$2</f>
        <v>0</v>
      </c>
      <c r="AY372" s="88">
        <f>SUMIF(月間集計シート!$M$134:$M$153,$G372,月間集計シート!T$134:T$153)*AY$2</f>
        <v>0</v>
      </c>
    </row>
    <row r="373" spans="1:51" ht="14.25" thickBot="1">
      <c r="A373">
        <v>5</v>
      </c>
      <c r="B373" s="120">
        <f t="shared" si="185"/>
        <v>0</v>
      </c>
      <c r="C373" s="120" t="str">
        <f t="shared" si="186"/>
        <v/>
      </c>
      <c r="D373" s="137"/>
      <c r="E373" s="150" t="str">
        <f>工種!A25</f>
        <v>40103</v>
      </c>
      <c r="F373" s="119" t="str">
        <f>工種!B25</f>
        <v>テスト：テスト計画書作成</v>
      </c>
      <c r="G373" s="116" t="str">
        <f t="shared" si="187"/>
        <v>040103</v>
      </c>
      <c r="H373" s="88">
        <f t="shared" si="141"/>
        <v>0</v>
      </c>
      <c r="I373" s="132"/>
      <c r="J373" s="88">
        <f>SUMIF(月間集計シート!$M$29:$M$48,$G373,月間集計シート!N$29:N$48)*J$2</f>
        <v>0</v>
      </c>
      <c r="K373" s="88">
        <f>SUMIF(月間集計シート!$M$29:$M$48,$G373,月間集計シート!O$29:O$48)*K$2</f>
        <v>0</v>
      </c>
      <c r="L373" s="88">
        <f>SUMIF(月間集計シート!$M$29:$M$48,$G373,月間集計シート!P$29:P$48)*L$2</f>
        <v>0</v>
      </c>
      <c r="M373" s="88">
        <f>SUMIF(月間集計シート!$M$29:$M$48,$G373,月間集計シート!Q$29:Q$48)*M$2</f>
        <v>0</v>
      </c>
      <c r="N373" s="88">
        <f>SUMIF(月間集計シート!$M$29:$M$48,$G373,月間集計シート!R$29:R$48)*N$2</f>
        <v>0</v>
      </c>
      <c r="O373" s="88">
        <f>SUMIF(月間集計シート!$M$29:$M$48,$G373,月間集計シート!S$29:S$48)*O$2</f>
        <v>0</v>
      </c>
      <c r="P373" s="88">
        <f>SUMIF(月間集計シート!$M$29:$M$48,$G373,月間集計シート!T$29:T$48)*P$2</f>
        <v>0</v>
      </c>
      <c r="Q373" s="88">
        <f>SUMIF(月間集計シート!$M$50:$M$69,$G373,月間集計シート!N$50:N$69)*Q$2</f>
        <v>0</v>
      </c>
      <c r="R373" s="88">
        <f>SUMIF(月間集計シート!$M$50:$M$69,$G373,月間集計シート!O$50:O$69)*R$2</f>
        <v>0</v>
      </c>
      <c r="S373" s="88">
        <f>SUMIF(月間集計シート!$M$50:$M$69,$G373,月間集計シート!P$50:P$69)*S$2</f>
        <v>0</v>
      </c>
      <c r="T373" s="88">
        <f>SUMIF(月間集計シート!$M$50:$M$69,$G373,月間集計シート!Q$50:Q$69)*T$2</f>
        <v>0</v>
      </c>
      <c r="U373" s="88">
        <f>SUMIF(月間集計シート!$M$50:$M$69,$G373,月間集計シート!R$50:R$69)*U$2</f>
        <v>0</v>
      </c>
      <c r="V373" s="88">
        <f>SUMIF(月間集計シート!$M$50:$M$69,$G373,月間集計シート!S$50:S$69)*V$2</f>
        <v>0</v>
      </c>
      <c r="W373" s="88">
        <f>SUMIF(月間集計シート!$M$50:$M$69,$G373,月間集計シート!T$50:T$69)*W$2</f>
        <v>0</v>
      </c>
      <c r="X373" s="88">
        <f>SUMIF(月間集計シート!$M$71:$M$90,$G373,月間集計シート!N$71:N$90)*X$2</f>
        <v>0</v>
      </c>
      <c r="Y373" s="88">
        <f>SUMIF(月間集計シート!$M$71:$M$90,$G373,月間集計シート!O$71:O$90)*Y$2</f>
        <v>0</v>
      </c>
      <c r="Z373" s="88">
        <f>SUMIF(月間集計シート!$M$71:$M$90,$G373,月間集計シート!P$71:P$90)*Z$2</f>
        <v>0</v>
      </c>
      <c r="AA373" s="88">
        <f>SUMIF(月間集計シート!$M$71:$M$90,$G373,月間集計シート!Q$71:Q$90)*AA$2</f>
        <v>0</v>
      </c>
      <c r="AB373" s="88">
        <f>SUMIF(月間集計シート!$M$71:$M$90,$G373,月間集計シート!R$71:R$90)*AB$2</f>
        <v>0</v>
      </c>
      <c r="AC373" s="88">
        <f>SUMIF(月間集計シート!$M$71:$M$90,$G373,月間集計シート!S$71:S$90)*AC$2</f>
        <v>0</v>
      </c>
      <c r="AD373" s="88">
        <f>SUMIF(月間集計シート!$M$71:$M$90,$G373,月間集計シート!T$71:T$90)*AD$2</f>
        <v>0</v>
      </c>
      <c r="AE373" s="88">
        <f>SUMIF(月間集計シート!$M$92:$M$111,$G373,月間集計シート!N$92:N$111)*AE$2</f>
        <v>0</v>
      </c>
      <c r="AF373" s="88">
        <f>SUMIF(月間集計シート!$M$92:$M$111,$G373,月間集計シート!O$92:O$111)*AF$2</f>
        <v>0</v>
      </c>
      <c r="AG373" s="88">
        <f>SUMIF(月間集計シート!$M$92:$M$111,$G373,月間集計シート!P$92:P$111)*AG$2</f>
        <v>0</v>
      </c>
      <c r="AH373" s="88">
        <f>SUMIF(月間集計シート!$M$92:$M$111,$G373,月間集計シート!Q$92:Q$111)*AH$2</f>
        <v>0</v>
      </c>
      <c r="AI373" s="88">
        <f>SUMIF(月間集計シート!$M$92:$M$111,$G373,月間集計シート!R$92:R$111)*AI$2</f>
        <v>0</v>
      </c>
      <c r="AJ373" s="88">
        <f>SUMIF(月間集計シート!$M$92:$M$111,$G373,月間集計シート!S$92:S$111)*AJ$2</f>
        <v>0</v>
      </c>
      <c r="AK373" s="88">
        <f>SUMIF(月間集計シート!$M$92:$M$111,$G373,月間集計シート!T$92:T$111)*AK$2</f>
        <v>0</v>
      </c>
      <c r="AL373" s="88">
        <f>SUMIF(月間集計シート!$M$113:$M$132,$G373,月間集計シート!N$113:N$132)*AL$2</f>
        <v>0</v>
      </c>
      <c r="AM373" s="88">
        <f>SUMIF(月間集計シート!$M$113:$M$132,$G373,月間集計シート!O$113:O$132)*AM$2</f>
        <v>0</v>
      </c>
      <c r="AN373" s="88">
        <f>SUMIF(月間集計シート!$M$113:$M$132,$G373,月間集計シート!P$113:P$132)*AN$2</f>
        <v>0</v>
      </c>
      <c r="AO373" s="88">
        <f>SUMIF(月間集計シート!$M$113:$M$132,$G373,月間集計シート!Q$113:Q$132)*AO$2</f>
        <v>0</v>
      </c>
      <c r="AP373" s="88">
        <f>SUMIF(月間集計シート!$M$113:$M$132,$G373,月間集計シート!R$113:R$132)*AP$2</f>
        <v>0</v>
      </c>
      <c r="AQ373" s="88">
        <f>SUMIF(月間集計シート!$M$113:$M$132,$G373,月間集計シート!S$113:S$132)*AQ$2</f>
        <v>0</v>
      </c>
      <c r="AR373" s="88">
        <f>SUMIF(月間集計シート!$M$113:$M$132,$G373,月間集計シート!T$113:T$132)*AR$2</f>
        <v>0</v>
      </c>
      <c r="AS373" s="88">
        <f>SUMIF(月間集計シート!$M$134:$M$153,$G373,月間集計シート!N$134:N$153)*AS$2</f>
        <v>0</v>
      </c>
      <c r="AT373" s="88">
        <f>SUMIF(月間集計シート!$M$134:$M$153,$G373,月間集計シート!O$134:O$153)*AT$2</f>
        <v>0</v>
      </c>
      <c r="AU373" s="88">
        <f>SUMIF(月間集計シート!$M$134:$M$153,$G373,月間集計シート!P$134:P$153)*AU$2</f>
        <v>0</v>
      </c>
      <c r="AV373" s="88">
        <f>SUMIF(月間集計シート!$M$134:$M$153,$G373,月間集計シート!Q$134:Q$153)*AV$2</f>
        <v>0</v>
      </c>
      <c r="AW373" s="88">
        <f>SUMIF(月間集計シート!$M$134:$M$153,$G373,月間集計シート!R$134:R$153)*AW$2</f>
        <v>0</v>
      </c>
      <c r="AX373" s="88">
        <f>SUMIF(月間集計シート!$M$134:$M$153,$G373,月間集計シート!S$134:S$153)*AX$2</f>
        <v>0</v>
      </c>
      <c r="AY373" s="88">
        <f>SUMIF(月間集計シート!$M$134:$M$153,$G373,月間集計シート!T$134:T$153)*AY$2</f>
        <v>0</v>
      </c>
    </row>
    <row r="374" spans="1:51" ht="14.25" thickBot="1">
      <c r="A374">
        <v>5</v>
      </c>
      <c r="B374" s="120">
        <f t="shared" si="185"/>
        <v>0</v>
      </c>
      <c r="C374" s="120" t="str">
        <f t="shared" si="186"/>
        <v/>
      </c>
      <c r="D374" s="137"/>
      <c r="E374" s="150" t="str">
        <f>工種!A26</f>
        <v>40104</v>
      </c>
      <c r="F374" s="119" t="str">
        <f>工種!B26</f>
        <v>テスト：結合テスト設計書作成</v>
      </c>
      <c r="G374" s="116" t="str">
        <f t="shared" si="187"/>
        <v>040104</v>
      </c>
      <c r="H374" s="88">
        <f t="shared" si="141"/>
        <v>0</v>
      </c>
      <c r="I374" s="132"/>
      <c r="J374" s="88">
        <f>SUMIF(月間集計シート!$M$29:$M$48,$G374,月間集計シート!N$29:N$48)*J$2</f>
        <v>0</v>
      </c>
      <c r="K374" s="88">
        <f>SUMIF(月間集計シート!$M$29:$M$48,$G374,月間集計シート!O$29:O$48)*K$2</f>
        <v>0</v>
      </c>
      <c r="L374" s="88">
        <f>SUMIF(月間集計シート!$M$29:$M$48,$G374,月間集計シート!P$29:P$48)*L$2</f>
        <v>0</v>
      </c>
      <c r="M374" s="88">
        <f>SUMIF(月間集計シート!$M$29:$M$48,$G374,月間集計シート!Q$29:Q$48)*M$2</f>
        <v>0</v>
      </c>
      <c r="N374" s="88">
        <f>SUMIF(月間集計シート!$M$29:$M$48,$G374,月間集計シート!R$29:R$48)*N$2</f>
        <v>0</v>
      </c>
      <c r="O374" s="88">
        <f>SUMIF(月間集計シート!$M$29:$M$48,$G374,月間集計シート!S$29:S$48)*O$2</f>
        <v>0</v>
      </c>
      <c r="P374" s="88">
        <f>SUMIF(月間集計シート!$M$29:$M$48,$G374,月間集計シート!T$29:T$48)*P$2</f>
        <v>0</v>
      </c>
      <c r="Q374" s="88">
        <f>SUMIF(月間集計シート!$M$50:$M$69,$G374,月間集計シート!N$50:N$69)*Q$2</f>
        <v>0</v>
      </c>
      <c r="R374" s="88">
        <f>SUMIF(月間集計シート!$M$50:$M$69,$G374,月間集計シート!O$50:O$69)*R$2</f>
        <v>0</v>
      </c>
      <c r="S374" s="88">
        <f>SUMIF(月間集計シート!$M$50:$M$69,$G374,月間集計シート!P$50:P$69)*S$2</f>
        <v>0</v>
      </c>
      <c r="T374" s="88">
        <f>SUMIF(月間集計シート!$M$50:$M$69,$G374,月間集計シート!Q$50:Q$69)*T$2</f>
        <v>0</v>
      </c>
      <c r="U374" s="88">
        <f>SUMIF(月間集計シート!$M$50:$M$69,$G374,月間集計シート!R$50:R$69)*U$2</f>
        <v>0</v>
      </c>
      <c r="V374" s="88">
        <f>SUMIF(月間集計シート!$M$50:$M$69,$G374,月間集計シート!S$50:S$69)*V$2</f>
        <v>0</v>
      </c>
      <c r="W374" s="88">
        <f>SUMIF(月間集計シート!$M$50:$M$69,$G374,月間集計シート!T$50:T$69)*W$2</f>
        <v>0</v>
      </c>
      <c r="X374" s="88">
        <f>SUMIF(月間集計シート!$M$71:$M$90,$G374,月間集計シート!N$71:N$90)*X$2</f>
        <v>0</v>
      </c>
      <c r="Y374" s="88">
        <f>SUMIF(月間集計シート!$M$71:$M$90,$G374,月間集計シート!O$71:O$90)*Y$2</f>
        <v>0</v>
      </c>
      <c r="Z374" s="88">
        <f>SUMIF(月間集計シート!$M$71:$M$90,$G374,月間集計シート!P$71:P$90)*Z$2</f>
        <v>0</v>
      </c>
      <c r="AA374" s="88">
        <f>SUMIF(月間集計シート!$M$71:$M$90,$G374,月間集計シート!Q$71:Q$90)*AA$2</f>
        <v>0</v>
      </c>
      <c r="AB374" s="88">
        <f>SUMIF(月間集計シート!$M$71:$M$90,$G374,月間集計シート!R$71:R$90)*AB$2</f>
        <v>0</v>
      </c>
      <c r="AC374" s="88">
        <f>SUMIF(月間集計シート!$M$71:$M$90,$G374,月間集計シート!S$71:S$90)*AC$2</f>
        <v>0</v>
      </c>
      <c r="AD374" s="88">
        <f>SUMIF(月間集計シート!$M$71:$M$90,$G374,月間集計シート!T$71:T$90)*AD$2</f>
        <v>0</v>
      </c>
      <c r="AE374" s="88">
        <f>SUMIF(月間集計シート!$M$92:$M$111,$G374,月間集計シート!N$92:N$111)*AE$2</f>
        <v>0</v>
      </c>
      <c r="AF374" s="88">
        <f>SUMIF(月間集計シート!$M$92:$M$111,$G374,月間集計シート!O$92:O$111)*AF$2</f>
        <v>0</v>
      </c>
      <c r="AG374" s="88">
        <f>SUMIF(月間集計シート!$M$92:$M$111,$G374,月間集計シート!P$92:P$111)*AG$2</f>
        <v>0</v>
      </c>
      <c r="AH374" s="88">
        <f>SUMIF(月間集計シート!$M$92:$M$111,$G374,月間集計シート!Q$92:Q$111)*AH$2</f>
        <v>0</v>
      </c>
      <c r="AI374" s="88">
        <f>SUMIF(月間集計シート!$M$92:$M$111,$G374,月間集計シート!R$92:R$111)*AI$2</f>
        <v>0</v>
      </c>
      <c r="AJ374" s="88">
        <f>SUMIF(月間集計シート!$M$92:$M$111,$G374,月間集計シート!S$92:S$111)*AJ$2</f>
        <v>0</v>
      </c>
      <c r="AK374" s="88">
        <f>SUMIF(月間集計シート!$M$92:$M$111,$G374,月間集計シート!T$92:T$111)*AK$2</f>
        <v>0</v>
      </c>
      <c r="AL374" s="88">
        <f>SUMIF(月間集計シート!$M$113:$M$132,$G374,月間集計シート!N$113:N$132)*AL$2</f>
        <v>0</v>
      </c>
      <c r="AM374" s="88">
        <f>SUMIF(月間集計シート!$M$113:$M$132,$G374,月間集計シート!O$113:O$132)*AM$2</f>
        <v>0</v>
      </c>
      <c r="AN374" s="88">
        <f>SUMIF(月間集計シート!$M$113:$M$132,$G374,月間集計シート!P$113:P$132)*AN$2</f>
        <v>0</v>
      </c>
      <c r="AO374" s="88">
        <f>SUMIF(月間集計シート!$M$113:$M$132,$G374,月間集計シート!Q$113:Q$132)*AO$2</f>
        <v>0</v>
      </c>
      <c r="AP374" s="88">
        <f>SUMIF(月間集計シート!$M$113:$M$132,$G374,月間集計シート!R$113:R$132)*AP$2</f>
        <v>0</v>
      </c>
      <c r="AQ374" s="88">
        <f>SUMIF(月間集計シート!$M$113:$M$132,$G374,月間集計シート!S$113:S$132)*AQ$2</f>
        <v>0</v>
      </c>
      <c r="AR374" s="88">
        <f>SUMIF(月間集計シート!$M$113:$M$132,$G374,月間集計シート!T$113:T$132)*AR$2</f>
        <v>0</v>
      </c>
      <c r="AS374" s="88">
        <f>SUMIF(月間集計シート!$M$134:$M$153,$G374,月間集計シート!N$134:N$153)*AS$2</f>
        <v>0</v>
      </c>
      <c r="AT374" s="88">
        <f>SUMIF(月間集計シート!$M$134:$M$153,$G374,月間集計シート!O$134:O$153)*AT$2</f>
        <v>0</v>
      </c>
      <c r="AU374" s="88">
        <f>SUMIF(月間集計シート!$M$134:$M$153,$G374,月間集計シート!P$134:P$153)*AU$2</f>
        <v>0</v>
      </c>
      <c r="AV374" s="88">
        <f>SUMIF(月間集計シート!$M$134:$M$153,$G374,月間集計シート!Q$134:Q$153)*AV$2</f>
        <v>0</v>
      </c>
      <c r="AW374" s="88">
        <f>SUMIF(月間集計シート!$M$134:$M$153,$G374,月間集計シート!R$134:R$153)*AW$2</f>
        <v>0</v>
      </c>
      <c r="AX374" s="88">
        <f>SUMIF(月間集計シート!$M$134:$M$153,$G374,月間集計シート!S$134:S$153)*AX$2</f>
        <v>0</v>
      </c>
      <c r="AY374" s="88">
        <f>SUMIF(月間集計シート!$M$134:$M$153,$G374,月間集計シート!T$134:T$153)*AY$2</f>
        <v>0</v>
      </c>
    </row>
    <row r="375" spans="1:51" ht="14.25" thickBot="1">
      <c r="A375">
        <v>5</v>
      </c>
      <c r="B375" s="120">
        <f t="shared" si="185"/>
        <v>0</v>
      </c>
      <c r="C375" s="120" t="str">
        <f t="shared" si="186"/>
        <v/>
      </c>
      <c r="D375" s="137"/>
      <c r="E375" s="150" t="str">
        <f>工種!A27</f>
        <v>40105</v>
      </c>
      <c r="F375" s="119" t="str">
        <f>工種!B27</f>
        <v>テスト：システムテスト設計書作成</v>
      </c>
      <c r="G375" s="116" t="str">
        <f t="shared" si="187"/>
        <v>040105</v>
      </c>
      <c r="H375" s="88">
        <f t="shared" si="141"/>
        <v>0</v>
      </c>
      <c r="I375" s="132"/>
      <c r="J375" s="88">
        <f>SUMIF(月間集計シート!$M$29:$M$48,$G375,月間集計シート!N$29:N$48)*J$2</f>
        <v>0</v>
      </c>
      <c r="K375" s="88">
        <f>SUMIF(月間集計シート!$M$29:$M$48,$G375,月間集計シート!O$29:O$48)*K$2</f>
        <v>0</v>
      </c>
      <c r="L375" s="88">
        <f>SUMIF(月間集計シート!$M$29:$M$48,$G375,月間集計シート!P$29:P$48)*L$2</f>
        <v>0</v>
      </c>
      <c r="M375" s="88">
        <f>SUMIF(月間集計シート!$M$29:$M$48,$G375,月間集計シート!Q$29:Q$48)*M$2</f>
        <v>0</v>
      </c>
      <c r="N375" s="88">
        <f>SUMIF(月間集計シート!$M$29:$M$48,$G375,月間集計シート!R$29:R$48)*N$2</f>
        <v>0</v>
      </c>
      <c r="O375" s="88">
        <f>SUMIF(月間集計シート!$M$29:$M$48,$G375,月間集計シート!S$29:S$48)*O$2</f>
        <v>0</v>
      </c>
      <c r="P375" s="88">
        <f>SUMIF(月間集計シート!$M$29:$M$48,$G375,月間集計シート!T$29:T$48)*P$2</f>
        <v>0</v>
      </c>
      <c r="Q375" s="88">
        <f>SUMIF(月間集計シート!$M$50:$M$69,$G375,月間集計シート!N$50:N$69)*Q$2</f>
        <v>0</v>
      </c>
      <c r="R375" s="88">
        <f>SUMIF(月間集計シート!$M$50:$M$69,$G375,月間集計シート!O$50:O$69)*R$2</f>
        <v>0</v>
      </c>
      <c r="S375" s="88">
        <f>SUMIF(月間集計シート!$M$50:$M$69,$G375,月間集計シート!P$50:P$69)*S$2</f>
        <v>0</v>
      </c>
      <c r="T375" s="88">
        <f>SUMIF(月間集計シート!$M$50:$M$69,$G375,月間集計シート!Q$50:Q$69)*T$2</f>
        <v>0</v>
      </c>
      <c r="U375" s="88">
        <f>SUMIF(月間集計シート!$M$50:$M$69,$G375,月間集計シート!R$50:R$69)*U$2</f>
        <v>0</v>
      </c>
      <c r="V375" s="88">
        <f>SUMIF(月間集計シート!$M$50:$M$69,$G375,月間集計シート!S$50:S$69)*V$2</f>
        <v>0</v>
      </c>
      <c r="W375" s="88">
        <f>SUMIF(月間集計シート!$M$50:$M$69,$G375,月間集計シート!T$50:T$69)*W$2</f>
        <v>0</v>
      </c>
      <c r="X375" s="88">
        <f>SUMIF(月間集計シート!$M$71:$M$90,$G375,月間集計シート!N$71:N$90)*X$2</f>
        <v>0</v>
      </c>
      <c r="Y375" s="88">
        <f>SUMIF(月間集計シート!$M$71:$M$90,$G375,月間集計シート!O$71:O$90)*Y$2</f>
        <v>0</v>
      </c>
      <c r="Z375" s="88">
        <f>SUMIF(月間集計シート!$M$71:$M$90,$G375,月間集計シート!P$71:P$90)*Z$2</f>
        <v>0</v>
      </c>
      <c r="AA375" s="88">
        <f>SUMIF(月間集計シート!$M$71:$M$90,$G375,月間集計シート!Q$71:Q$90)*AA$2</f>
        <v>0</v>
      </c>
      <c r="AB375" s="88">
        <f>SUMIF(月間集計シート!$M$71:$M$90,$G375,月間集計シート!R$71:R$90)*AB$2</f>
        <v>0</v>
      </c>
      <c r="AC375" s="88">
        <f>SUMIF(月間集計シート!$M$71:$M$90,$G375,月間集計シート!S$71:S$90)*AC$2</f>
        <v>0</v>
      </c>
      <c r="AD375" s="88">
        <f>SUMIF(月間集計シート!$M$71:$M$90,$G375,月間集計シート!T$71:T$90)*AD$2</f>
        <v>0</v>
      </c>
      <c r="AE375" s="88">
        <f>SUMIF(月間集計シート!$M$92:$M$111,$G375,月間集計シート!N$92:N$111)*AE$2</f>
        <v>0</v>
      </c>
      <c r="AF375" s="88">
        <f>SUMIF(月間集計シート!$M$92:$M$111,$G375,月間集計シート!O$92:O$111)*AF$2</f>
        <v>0</v>
      </c>
      <c r="AG375" s="88">
        <f>SUMIF(月間集計シート!$M$92:$M$111,$G375,月間集計シート!P$92:P$111)*AG$2</f>
        <v>0</v>
      </c>
      <c r="AH375" s="88">
        <f>SUMIF(月間集計シート!$M$92:$M$111,$G375,月間集計シート!Q$92:Q$111)*AH$2</f>
        <v>0</v>
      </c>
      <c r="AI375" s="88">
        <f>SUMIF(月間集計シート!$M$92:$M$111,$G375,月間集計シート!R$92:R$111)*AI$2</f>
        <v>0</v>
      </c>
      <c r="AJ375" s="88">
        <f>SUMIF(月間集計シート!$M$92:$M$111,$G375,月間集計シート!S$92:S$111)*AJ$2</f>
        <v>0</v>
      </c>
      <c r="AK375" s="88">
        <f>SUMIF(月間集計シート!$M$92:$M$111,$G375,月間集計シート!T$92:T$111)*AK$2</f>
        <v>0</v>
      </c>
      <c r="AL375" s="88">
        <f>SUMIF(月間集計シート!$M$113:$M$132,$G375,月間集計シート!N$113:N$132)*AL$2</f>
        <v>0</v>
      </c>
      <c r="AM375" s="88">
        <f>SUMIF(月間集計シート!$M$113:$M$132,$G375,月間集計シート!O$113:O$132)*AM$2</f>
        <v>0</v>
      </c>
      <c r="AN375" s="88">
        <f>SUMIF(月間集計シート!$M$113:$M$132,$G375,月間集計シート!P$113:P$132)*AN$2</f>
        <v>0</v>
      </c>
      <c r="AO375" s="88">
        <f>SUMIF(月間集計シート!$M$113:$M$132,$G375,月間集計シート!Q$113:Q$132)*AO$2</f>
        <v>0</v>
      </c>
      <c r="AP375" s="88">
        <f>SUMIF(月間集計シート!$M$113:$M$132,$G375,月間集計シート!R$113:R$132)*AP$2</f>
        <v>0</v>
      </c>
      <c r="AQ375" s="88">
        <f>SUMIF(月間集計シート!$M$113:$M$132,$G375,月間集計シート!S$113:S$132)*AQ$2</f>
        <v>0</v>
      </c>
      <c r="AR375" s="88">
        <f>SUMIF(月間集計シート!$M$113:$M$132,$G375,月間集計シート!T$113:T$132)*AR$2</f>
        <v>0</v>
      </c>
      <c r="AS375" s="88">
        <f>SUMIF(月間集計シート!$M$134:$M$153,$G375,月間集計シート!N$134:N$153)*AS$2</f>
        <v>0</v>
      </c>
      <c r="AT375" s="88">
        <f>SUMIF(月間集計シート!$M$134:$M$153,$G375,月間集計シート!O$134:O$153)*AT$2</f>
        <v>0</v>
      </c>
      <c r="AU375" s="88">
        <f>SUMIF(月間集計シート!$M$134:$M$153,$G375,月間集計シート!P$134:P$153)*AU$2</f>
        <v>0</v>
      </c>
      <c r="AV375" s="88">
        <f>SUMIF(月間集計シート!$M$134:$M$153,$G375,月間集計シート!Q$134:Q$153)*AV$2</f>
        <v>0</v>
      </c>
      <c r="AW375" s="88">
        <f>SUMIF(月間集計シート!$M$134:$M$153,$G375,月間集計シート!R$134:R$153)*AW$2</f>
        <v>0</v>
      </c>
      <c r="AX375" s="88">
        <f>SUMIF(月間集計シート!$M$134:$M$153,$G375,月間集計シート!S$134:S$153)*AX$2</f>
        <v>0</v>
      </c>
      <c r="AY375" s="88">
        <f>SUMIF(月間集計シート!$M$134:$M$153,$G375,月間集計シート!T$134:T$153)*AY$2</f>
        <v>0</v>
      </c>
    </row>
    <row r="376" spans="1:51" ht="14.25" thickBot="1">
      <c r="A376">
        <v>5</v>
      </c>
      <c r="B376" s="120">
        <f t="shared" si="185"/>
        <v>0</v>
      </c>
      <c r="C376" s="120" t="str">
        <f t="shared" si="186"/>
        <v/>
      </c>
      <c r="D376" s="137"/>
      <c r="E376" s="150" t="str">
        <f>工種!A28</f>
        <v>40106</v>
      </c>
      <c r="F376" s="119" t="str">
        <f>工種!B28</f>
        <v>テスト：総合評価設計書作成</v>
      </c>
      <c r="G376" s="116" t="str">
        <f t="shared" si="187"/>
        <v>040106</v>
      </c>
      <c r="H376" s="88">
        <f t="shared" si="141"/>
        <v>0</v>
      </c>
      <c r="I376" s="132"/>
      <c r="J376" s="88">
        <f>SUMIF(月間集計シート!$M$29:$M$48,$G376,月間集計シート!N$29:N$48)*J$2</f>
        <v>0</v>
      </c>
      <c r="K376" s="88">
        <f>SUMIF(月間集計シート!$M$29:$M$48,$G376,月間集計シート!O$29:O$48)*K$2</f>
        <v>0</v>
      </c>
      <c r="L376" s="88">
        <f>SUMIF(月間集計シート!$M$29:$M$48,$G376,月間集計シート!P$29:P$48)*L$2</f>
        <v>0</v>
      </c>
      <c r="M376" s="88">
        <f>SUMIF(月間集計シート!$M$29:$M$48,$G376,月間集計シート!Q$29:Q$48)*M$2</f>
        <v>0</v>
      </c>
      <c r="N376" s="88">
        <f>SUMIF(月間集計シート!$M$29:$M$48,$G376,月間集計シート!R$29:R$48)*N$2</f>
        <v>0</v>
      </c>
      <c r="O376" s="88">
        <f>SUMIF(月間集計シート!$M$29:$M$48,$G376,月間集計シート!S$29:S$48)*O$2</f>
        <v>0</v>
      </c>
      <c r="P376" s="88">
        <f>SUMIF(月間集計シート!$M$29:$M$48,$G376,月間集計シート!T$29:T$48)*P$2</f>
        <v>0</v>
      </c>
      <c r="Q376" s="88">
        <f>SUMIF(月間集計シート!$M$50:$M$69,$G376,月間集計シート!N$50:N$69)*Q$2</f>
        <v>0</v>
      </c>
      <c r="R376" s="88">
        <f>SUMIF(月間集計シート!$M$50:$M$69,$G376,月間集計シート!O$50:O$69)*R$2</f>
        <v>0</v>
      </c>
      <c r="S376" s="88">
        <f>SUMIF(月間集計シート!$M$50:$M$69,$G376,月間集計シート!P$50:P$69)*S$2</f>
        <v>0</v>
      </c>
      <c r="T376" s="88">
        <f>SUMIF(月間集計シート!$M$50:$M$69,$G376,月間集計シート!Q$50:Q$69)*T$2</f>
        <v>0</v>
      </c>
      <c r="U376" s="88">
        <f>SUMIF(月間集計シート!$M$50:$M$69,$G376,月間集計シート!R$50:R$69)*U$2</f>
        <v>0</v>
      </c>
      <c r="V376" s="88">
        <f>SUMIF(月間集計シート!$M$50:$M$69,$G376,月間集計シート!S$50:S$69)*V$2</f>
        <v>0</v>
      </c>
      <c r="W376" s="88">
        <f>SUMIF(月間集計シート!$M$50:$M$69,$G376,月間集計シート!T$50:T$69)*W$2</f>
        <v>0</v>
      </c>
      <c r="X376" s="88">
        <f>SUMIF(月間集計シート!$M$71:$M$90,$G376,月間集計シート!N$71:N$90)*X$2</f>
        <v>0</v>
      </c>
      <c r="Y376" s="88">
        <f>SUMIF(月間集計シート!$M$71:$M$90,$G376,月間集計シート!O$71:O$90)*Y$2</f>
        <v>0</v>
      </c>
      <c r="Z376" s="88">
        <f>SUMIF(月間集計シート!$M$71:$M$90,$G376,月間集計シート!P$71:P$90)*Z$2</f>
        <v>0</v>
      </c>
      <c r="AA376" s="88">
        <f>SUMIF(月間集計シート!$M$71:$M$90,$G376,月間集計シート!Q$71:Q$90)*AA$2</f>
        <v>0</v>
      </c>
      <c r="AB376" s="88">
        <f>SUMIF(月間集計シート!$M$71:$M$90,$G376,月間集計シート!R$71:R$90)*AB$2</f>
        <v>0</v>
      </c>
      <c r="AC376" s="88">
        <f>SUMIF(月間集計シート!$M$71:$M$90,$G376,月間集計シート!S$71:S$90)*AC$2</f>
        <v>0</v>
      </c>
      <c r="AD376" s="88">
        <f>SUMIF(月間集計シート!$M$71:$M$90,$G376,月間集計シート!T$71:T$90)*AD$2</f>
        <v>0</v>
      </c>
      <c r="AE376" s="88">
        <f>SUMIF(月間集計シート!$M$92:$M$111,$G376,月間集計シート!N$92:N$111)*AE$2</f>
        <v>0</v>
      </c>
      <c r="AF376" s="88">
        <f>SUMIF(月間集計シート!$M$92:$M$111,$G376,月間集計シート!O$92:O$111)*AF$2</f>
        <v>0</v>
      </c>
      <c r="AG376" s="88">
        <f>SUMIF(月間集計シート!$M$92:$M$111,$G376,月間集計シート!P$92:P$111)*AG$2</f>
        <v>0</v>
      </c>
      <c r="AH376" s="88">
        <f>SUMIF(月間集計シート!$M$92:$M$111,$G376,月間集計シート!Q$92:Q$111)*AH$2</f>
        <v>0</v>
      </c>
      <c r="AI376" s="88">
        <f>SUMIF(月間集計シート!$M$92:$M$111,$G376,月間集計シート!R$92:R$111)*AI$2</f>
        <v>0</v>
      </c>
      <c r="AJ376" s="88">
        <f>SUMIF(月間集計シート!$M$92:$M$111,$G376,月間集計シート!S$92:S$111)*AJ$2</f>
        <v>0</v>
      </c>
      <c r="AK376" s="88">
        <f>SUMIF(月間集計シート!$M$92:$M$111,$G376,月間集計シート!T$92:T$111)*AK$2</f>
        <v>0</v>
      </c>
      <c r="AL376" s="88">
        <f>SUMIF(月間集計シート!$M$113:$M$132,$G376,月間集計シート!N$113:N$132)*AL$2</f>
        <v>0</v>
      </c>
      <c r="AM376" s="88">
        <f>SUMIF(月間集計シート!$M$113:$M$132,$G376,月間集計シート!O$113:O$132)*AM$2</f>
        <v>0</v>
      </c>
      <c r="AN376" s="88">
        <f>SUMIF(月間集計シート!$M$113:$M$132,$G376,月間集計シート!P$113:P$132)*AN$2</f>
        <v>0</v>
      </c>
      <c r="AO376" s="88">
        <f>SUMIF(月間集計シート!$M$113:$M$132,$G376,月間集計シート!Q$113:Q$132)*AO$2</f>
        <v>0</v>
      </c>
      <c r="AP376" s="88">
        <f>SUMIF(月間集計シート!$M$113:$M$132,$G376,月間集計シート!R$113:R$132)*AP$2</f>
        <v>0</v>
      </c>
      <c r="AQ376" s="88">
        <f>SUMIF(月間集計シート!$M$113:$M$132,$G376,月間集計シート!S$113:S$132)*AQ$2</f>
        <v>0</v>
      </c>
      <c r="AR376" s="88">
        <f>SUMIF(月間集計シート!$M$113:$M$132,$G376,月間集計シート!T$113:T$132)*AR$2</f>
        <v>0</v>
      </c>
      <c r="AS376" s="88">
        <f>SUMIF(月間集計シート!$M$134:$M$153,$G376,月間集計シート!N$134:N$153)*AS$2</f>
        <v>0</v>
      </c>
      <c r="AT376" s="88">
        <f>SUMIF(月間集計シート!$M$134:$M$153,$G376,月間集計シート!O$134:O$153)*AT$2</f>
        <v>0</v>
      </c>
      <c r="AU376" s="88">
        <f>SUMIF(月間集計シート!$M$134:$M$153,$G376,月間集計シート!P$134:P$153)*AU$2</f>
        <v>0</v>
      </c>
      <c r="AV376" s="88">
        <f>SUMIF(月間集計シート!$M$134:$M$153,$G376,月間集計シート!Q$134:Q$153)*AV$2</f>
        <v>0</v>
      </c>
      <c r="AW376" s="88">
        <f>SUMIF(月間集計シート!$M$134:$M$153,$G376,月間集計シート!R$134:R$153)*AW$2</f>
        <v>0</v>
      </c>
      <c r="AX376" s="88">
        <f>SUMIF(月間集計シート!$M$134:$M$153,$G376,月間集計シート!S$134:S$153)*AX$2</f>
        <v>0</v>
      </c>
      <c r="AY376" s="88">
        <f>SUMIF(月間集計シート!$M$134:$M$153,$G376,月間集計シート!T$134:T$153)*AY$2</f>
        <v>0</v>
      </c>
    </row>
    <row r="377" spans="1:51" ht="14.25" thickBot="1">
      <c r="A377">
        <v>5</v>
      </c>
      <c r="B377" s="120">
        <f t="shared" si="185"/>
        <v>0</v>
      </c>
      <c r="C377" s="120" t="str">
        <f t="shared" si="186"/>
        <v/>
      </c>
      <c r="D377" s="137"/>
      <c r="E377" s="150" t="str">
        <f>工種!A29</f>
        <v>40107</v>
      </c>
      <c r="F377" s="119" t="str">
        <f>工種!B29</f>
        <v>テスト：評価報告書作成</v>
      </c>
      <c r="G377" s="116" t="str">
        <f t="shared" si="187"/>
        <v>040107</v>
      </c>
      <c r="H377" s="88">
        <f t="shared" si="141"/>
        <v>0</v>
      </c>
      <c r="I377" s="132"/>
      <c r="J377" s="88">
        <f>SUMIF(月間集計シート!$M$29:$M$48,$G377,月間集計シート!N$29:N$48)*J$2</f>
        <v>0</v>
      </c>
      <c r="K377" s="88">
        <f>SUMIF(月間集計シート!$M$29:$M$48,$G377,月間集計シート!O$29:O$48)*K$2</f>
        <v>0</v>
      </c>
      <c r="L377" s="88">
        <f>SUMIF(月間集計シート!$M$29:$M$48,$G377,月間集計シート!P$29:P$48)*L$2</f>
        <v>0</v>
      </c>
      <c r="M377" s="88">
        <f>SUMIF(月間集計シート!$M$29:$M$48,$G377,月間集計シート!Q$29:Q$48)*M$2</f>
        <v>0</v>
      </c>
      <c r="N377" s="88">
        <f>SUMIF(月間集計シート!$M$29:$M$48,$G377,月間集計シート!R$29:R$48)*N$2</f>
        <v>0</v>
      </c>
      <c r="O377" s="88">
        <f>SUMIF(月間集計シート!$M$29:$M$48,$G377,月間集計シート!S$29:S$48)*O$2</f>
        <v>0</v>
      </c>
      <c r="P377" s="88">
        <f>SUMIF(月間集計シート!$M$29:$M$48,$G377,月間集計シート!T$29:T$48)*P$2</f>
        <v>0</v>
      </c>
      <c r="Q377" s="88">
        <f>SUMIF(月間集計シート!$M$50:$M$69,$G377,月間集計シート!N$50:N$69)*Q$2</f>
        <v>0</v>
      </c>
      <c r="R377" s="88">
        <f>SUMIF(月間集計シート!$M$50:$M$69,$G377,月間集計シート!O$50:O$69)*R$2</f>
        <v>0</v>
      </c>
      <c r="S377" s="88">
        <f>SUMIF(月間集計シート!$M$50:$M$69,$G377,月間集計シート!P$50:P$69)*S$2</f>
        <v>0</v>
      </c>
      <c r="T377" s="88">
        <f>SUMIF(月間集計シート!$M$50:$M$69,$G377,月間集計シート!Q$50:Q$69)*T$2</f>
        <v>0</v>
      </c>
      <c r="U377" s="88">
        <f>SUMIF(月間集計シート!$M$50:$M$69,$G377,月間集計シート!R$50:R$69)*U$2</f>
        <v>0</v>
      </c>
      <c r="V377" s="88">
        <f>SUMIF(月間集計シート!$M$50:$M$69,$G377,月間集計シート!S$50:S$69)*V$2</f>
        <v>0</v>
      </c>
      <c r="W377" s="88">
        <f>SUMIF(月間集計シート!$M$50:$M$69,$G377,月間集計シート!T$50:T$69)*W$2</f>
        <v>0</v>
      </c>
      <c r="X377" s="88">
        <f>SUMIF(月間集計シート!$M$71:$M$90,$G377,月間集計シート!N$71:N$90)*X$2</f>
        <v>0</v>
      </c>
      <c r="Y377" s="88">
        <f>SUMIF(月間集計シート!$M$71:$M$90,$G377,月間集計シート!O$71:O$90)*Y$2</f>
        <v>0</v>
      </c>
      <c r="Z377" s="88">
        <f>SUMIF(月間集計シート!$M$71:$M$90,$G377,月間集計シート!P$71:P$90)*Z$2</f>
        <v>0</v>
      </c>
      <c r="AA377" s="88">
        <f>SUMIF(月間集計シート!$M$71:$M$90,$G377,月間集計シート!Q$71:Q$90)*AA$2</f>
        <v>0</v>
      </c>
      <c r="AB377" s="88">
        <f>SUMIF(月間集計シート!$M$71:$M$90,$G377,月間集計シート!R$71:R$90)*AB$2</f>
        <v>0</v>
      </c>
      <c r="AC377" s="88">
        <f>SUMIF(月間集計シート!$M$71:$M$90,$G377,月間集計シート!S$71:S$90)*AC$2</f>
        <v>0</v>
      </c>
      <c r="AD377" s="88">
        <f>SUMIF(月間集計シート!$M$71:$M$90,$G377,月間集計シート!T$71:T$90)*AD$2</f>
        <v>0</v>
      </c>
      <c r="AE377" s="88">
        <f>SUMIF(月間集計シート!$M$92:$M$111,$G377,月間集計シート!N$92:N$111)*AE$2</f>
        <v>0</v>
      </c>
      <c r="AF377" s="88">
        <f>SUMIF(月間集計シート!$M$92:$M$111,$G377,月間集計シート!O$92:O$111)*AF$2</f>
        <v>0</v>
      </c>
      <c r="AG377" s="88">
        <f>SUMIF(月間集計シート!$M$92:$M$111,$G377,月間集計シート!P$92:P$111)*AG$2</f>
        <v>0</v>
      </c>
      <c r="AH377" s="88">
        <f>SUMIF(月間集計シート!$M$92:$M$111,$G377,月間集計シート!Q$92:Q$111)*AH$2</f>
        <v>0</v>
      </c>
      <c r="AI377" s="88">
        <f>SUMIF(月間集計シート!$M$92:$M$111,$G377,月間集計シート!R$92:R$111)*AI$2</f>
        <v>0</v>
      </c>
      <c r="AJ377" s="88">
        <f>SUMIF(月間集計シート!$M$92:$M$111,$G377,月間集計シート!S$92:S$111)*AJ$2</f>
        <v>0</v>
      </c>
      <c r="AK377" s="88">
        <f>SUMIF(月間集計シート!$M$92:$M$111,$G377,月間集計シート!T$92:T$111)*AK$2</f>
        <v>0</v>
      </c>
      <c r="AL377" s="88">
        <f>SUMIF(月間集計シート!$M$113:$M$132,$G377,月間集計シート!N$113:N$132)*AL$2</f>
        <v>0</v>
      </c>
      <c r="AM377" s="88">
        <f>SUMIF(月間集計シート!$M$113:$M$132,$G377,月間集計シート!O$113:O$132)*AM$2</f>
        <v>0</v>
      </c>
      <c r="AN377" s="88">
        <f>SUMIF(月間集計シート!$M$113:$M$132,$G377,月間集計シート!P$113:P$132)*AN$2</f>
        <v>0</v>
      </c>
      <c r="AO377" s="88">
        <f>SUMIF(月間集計シート!$M$113:$M$132,$G377,月間集計シート!Q$113:Q$132)*AO$2</f>
        <v>0</v>
      </c>
      <c r="AP377" s="88">
        <f>SUMIF(月間集計シート!$M$113:$M$132,$G377,月間集計シート!R$113:R$132)*AP$2</f>
        <v>0</v>
      </c>
      <c r="AQ377" s="88">
        <f>SUMIF(月間集計シート!$M$113:$M$132,$G377,月間集計シート!S$113:S$132)*AQ$2</f>
        <v>0</v>
      </c>
      <c r="AR377" s="88">
        <f>SUMIF(月間集計シート!$M$113:$M$132,$G377,月間集計シート!T$113:T$132)*AR$2</f>
        <v>0</v>
      </c>
      <c r="AS377" s="88">
        <f>SUMIF(月間集計シート!$M$134:$M$153,$G377,月間集計シート!N$134:N$153)*AS$2</f>
        <v>0</v>
      </c>
      <c r="AT377" s="88">
        <f>SUMIF(月間集計シート!$M$134:$M$153,$G377,月間集計シート!O$134:O$153)*AT$2</f>
        <v>0</v>
      </c>
      <c r="AU377" s="88">
        <f>SUMIF(月間集計シート!$M$134:$M$153,$G377,月間集計シート!P$134:P$153)*AU$2</f>
        <v>0</v>
      </c>
      <c r="AV377" s="88">
        <f>SUMIF(月間集計シート!$M$134:$M$153,$G377,月間集計シート!Q$134:Q$153)*AV$2</f>
        <v>0</v>
      </c>
      <c r="AW377" s="88">
        <f>SUMIF(月間集計シート!$M$134:$M$153,$G377,月間集計シート!R$134:R$153)*AW$2</f>
        <v>0</v>
      </c>
      <c r="AX377" s="88">
        <f>SUMIF(月間集計シート!$M$134:$M$153,$G377,月間集計シート!S$134:S$153)*AX$2</f>
        <v>0</v>
      </c>
      <c r="AY377" s="88">
        <f>SUMIF(月間集計シート!$M$134:$M$153,$G377,月間集計シート!T$134:T$153)*AY$2</f>
        <v>0</v>
      </c>
    </row>
    <row r="378" spans="1:51" ht="14.25" thickBot="1">
      <c r="A378">
        <v>5</v>
      </c>
      <c r="B378" s="120">
        <f t="shared" si="185"/>
        <v>0</v>
      </c>
      <c r="C378" s="120" t="str">
        <f t="shared" si="186"/>
        <v/>
      </c>
      <c r="D378" s="137"/>
      <c r="E378" s="150" t="str">
        <f>工種!A30</f>
        <v>40108</v>
      </c>
      <c r="F378" s="119" t="str">
        <f>工種!B30</f>
        <v>テスト：総合評価実施</v>
      </c>
      <c r="G378" s="116" t="str">
        <f t="shared" si="187"/>
        <v>040108</v>
      </c>
      <c r="H378" s="88">
        <f t="shared" si="141"/>
        <v>0</v>
      </c>
      <c r="I378" s="132"/>
      <c r="J378" s="88">
        <f>SUMIF(月間集計シート!$M$29:$M$48,$G378,月間集計シート!N$29:N$48)*J$2</f>
        <v>0</v>
      </c>
      <c r="K378" s="88">
        <f>SUMIF(月間集計シート!$M$29:$M$48,$G378,月間集計シート!O$29:O$48)*K$2</f>
        <v>0</v>
      </c>
      <c r="L378" s="88">
        <f>SUMIF(月間集計シート!$M$29:$M$48,$G378,月間集計シート!P$29:P$48)*L$2</f>
        <v>0</v>
      </c>
      <c r="M378" s="88">
        <f>SUMIF(月間集計シート!$M$29:$M$48,$G378,月間集計シート!Q$29:Q$48)*M$2</f>
        <v>0</v>
      </c>
      <c r="N378" s="88">
        <f>SUMIF(月間集計シート!$M$29:$M$48,$G378,月間集計シート!R$29:R$48)*N$2</f>
        <v>0</v>
      </c>
      <c r="O378" s="88">
        <f>SUMIF(月間集計シート!$M$29:$M$48,$G378,月間集計シート!S$29:S$48)*O$2</f>
        <v>0</v>
      </c>
      <c r="P378" s="88">
        <f>SUMIF(月間集計シート!$M$29:$M$48,$G378,月間集計シート!T$29:T$48)*P$2</f>
        <v>0</v>
      </c>
      <c r="Q378" s="88">
        <f>SUMIF(月間集計シート!$M$50:$M$69,$G378,月間集計シート!N$50:N$69)*Q$2</f>
        <v>0</v>
      </c>
      <c r="R378" s="88">
        <f>SUMIF(月間集計シート!$M$50:$M$69,$G378,月間集計シート!O$50:O$69)*R$2</f>
        <v>0</v>
      </c>
      <c r="S378" s="88">
        <f>SUMIF(月間集計シート!$M$50:$M$69,$G378,月間集計シート!P$50:P$69)*S$2</f>
        <v>0</v>
      </c>
      <c r="T378" s="88">
        <f>SUMIF(月間集計シート!$M$50:$M$69,$G378,月間集計シート!Q$50:Q$69)*T$2</f>
        <v>0</v>
      </c>
      <c r="U378" s="88">
        <f>SUMIF(月間集計シート!$M$50:$M$69,$G378,月間集計シート!R$50:R$69)*U$2</f>
        <v>0</v>
      </c>
      <c r="V378" s="88">
        <f>SUMIF(月間集計シート!$M$50:$M$69,$G378,月間集計シート!S$50:S$69)*V$2</f>
        <v>0</v>
      </c>
      <c r="W378" s="88">
        <f>SUMIF(月間集計シート!$M$50:$M$69,$G378,月間集計シート!T$50:T$69)*W$2</f>
        <v>0</v>
      </c>
      <c r="X378" s="88">
        <f>SUMIF(月間集計シート!$M$71:$M$90,$G378,月間集計シート!N$71:N$90)*X$2</f>
        <v>0</v>
      </c>
      <c r="Y378" s="88">
        <f>SUMIF(月間集計シート!$M$71:$M$90,$G378,月間集計シート!O$71:O$90)*Y$2</f>
        <v>0</v>
      </c>
      <c r="Z378" s="88">
        <f>SUMIF(月間集計シート!$M$71:$M$90,$G378,月間集計シート!P$71:P$90)*Z$2</f>
        <v>0</v>
      </c>
      <c r="AA378" s="88">
        <f>SUMIF(月間集計シート!$M$71:$M$90,$G378,月間集計シート!Q$71:Q$90)*AA$2</f>
        <v>0</v>
      </c>
      <c r="AB378" s="88">
        <f>SUMIF(月間集計シート!$M$71:$M$90,$G378,月間集計シート!R$71:R$90)*AB$2</f>
        <v>0</v>
      </c>
      <c r="AC378" s="88">
        <f>SUMIF(月間集計シート!$M$71:$M$90,$G378,月間集計シート!S$71:S$90)*AC$2</f>
        <v>0</v>
      </c>
      <c r="AD378" s="88">
        <f>SUMIF(月間集計シート!$M$71:$M$90,$G378,月間集計シート!T$71:T$90)*AD$2</f>
        <v>0</v>
      </c>
      <c r="AE378" s="88">
        <f>SUMIF(月間集計シート!$M$92:$M$111,$G378,月間集計シート!N$92:N$111)*AE$2</f>
        <v>0</v>
      </c>
      <c r="AF378" s="88">
        <f>SUMIF(月間集計シート!$M$92:$M$111,$G378,月間集計シート!O$92:O$111)*AF$2</f>
        <v>0</v>
      </c>
      <c r="AG378" s="88">
        <f>SUMIF(月間集計シート!$M$92:$M$111,$G378,月間集計シート!P$92:P$111)*AG$2</f>
        <v>0</v>
      </c>
      <c r="AH378" s="88">
        <f>SUMIF(月間集計シート!$M$92:$M$111,$G378,月間集計シート!Q$92:Q$111)*AH$2</f>
        <v>0</v>
      </c>
      <c r="AI378" s="88">
        <f>SUMIF(月間集計シート!$M$92:$M$111,$G378,月間集計シート!R$92:R$111)*AI$2</f>
        <v>0</v>
      </c>
      <c r="AJ378" s="88">
        <f>SUMIF(月間集計シート!$M$92:$M$111,$G378,月間集計シート!S$92:S$111)*AJ$2</f>
        <v>0</v>
      </c>
      <c r="AK378" s="88">
        <f>SUMIF(月間集計シート!$M$92:$M$111,$G378,月間集計シート!T$92:T$111)*AK$2</f>
        <v>0</v>
      </c>
      <c r="AL378" s="88">
        <f>SUMIF(月間集計シート!$M$113:$M$132,$G378,月間集計シート!N$113:N$132)*AL$2</f>
        <v>0</v>
      </c>
      <c r="AM378" s="88">
        <f>SUMIF(月間集計シート!$M$113:$M$132,$G378,月間集計シート!O$113:O$132)*AM$2</f>
        <v>0</v>
      </c>
      <c r="AN378" s="88">
        <f>SUMIF(月間集計シート!$M$113:$M$132,$G378,月間集計シート!P$113:P$132)*AN$2</f>
        <v>0</v>
      </c>
      <c r="AO378" s="88">
        <f>SUMIF(月間集計シート!$M$113:$M$132,$G378,月間集計シート!Q$113:Q$132)*AO$2</f>
        <v>0</v>
      </c>
      <c r="AP378" s="88">
        <f>SUMIF(月間集計シート!$M$113:$M$132,$G378,月間集計シート!R$113:R$132)*AP$2</f>
        <v>0</v>
      </c>
      <c r="AQ378" s="88">
        <f>SUMIF(月間集計シート!$M$113:$M$132,$G378,月間集計シート!S$113:S$132)*AQ$2</f>
        <v>0</v>
      </c>
      <c r="AR378" s="88">
        <f>SUMIF(月間集計シート!$M$113:$M$132,$G378,月間集計シート!T$113:T$132)*AR$2</f>
        <v>0</v>
      </c>
      <c r="AS378" s="88">
        <f>SUMIF(月間集計シート!$M$134:$M$153,$G378,月間集計シート!N$134:N$153)*AS$2</f>
        <v>0</v>
      </c>
      <c r="AT378" s="88">
        <f>SUMIF(月間集計シート!$M$134:$M$153,$G378,月間集計シート!O$134:O$153)*AT$2</f>
        <v>0</v>
      </c>
      <c r="AU378" s="88">
        <f>SUMIF(月間集計シート!$M$134:$M$153,$G378,月間集計シート!P$134:P$153)*AU$2</f>
        <v>0</v>
      </c>
      <c r="AV378" s="88">
        <f>SUMIF(月間集計シート!$M$134:$M$153,$G378,月間集計シート!Q$134:Q$153)*AV$2</f>
        <v>0</v>
      </c>
      <c r="AW378" s="88">
        <f>SUMIF(月間集計シート!$M$134:$M$153,$G378,月間集計シート!R$134:R$153)*AW$2</f>
        <v>0</v>
      </c>
      <c r="AX378" s="88">
        <f>SUMIF(月間集計シート!$M$134:$M$153,$G378,月間集計シート!S$134:S$153)*AX$2</f>
        <v>0</v>
      </c>
      <c r="AY378" s="88">
        <f>SUMIF(月間集計シート!$M$134:$M$153,$G378,月間集計シート!T$134:T$153)*AY$2</f>
        <v>0</v>
      </c>
    </row>
    <row r="379" spans="1:51" ht="14.25" thickBot="1">
      <c r="A379">
        <v>5</v>
      </c>
      <c r="B379" s="120">
        <f t="shared" si="185"/>
        <v>0</v>
      </c>
      <c r="C379" s="120" t="str">
        <f t="shared" si="186"/>
        <v/>
      </c>
      <c r="D379" s="137"/>
      <c r="E379" s="150" t="str">
        <f>工種!A31</f>
        <v>40109</v>
      </c>
      <c r="F379" s="119" t="str">
        <f>工種!B31</f>
        <v>テスト：打合せ</v>
      </c>
      <c r="G379" s="116" t="str">
        <f t="shared" si="187"/>
        <v>040109</v>
      </c>
      <c r="H379" s="88">
        <f t="shared" si="141"/>
        <v>0</v>
      </c>
      <c r="I379" s="132"/>
      <c r="J379" s="88">
        <f>SUMIF(月間集計シート!$M$29:$M$48,$G379,月間集計シート!N$29:N$48)*J$2</f>
        <v>0</v>
      </c>
      <c r="K379" s="88">
        <f>SUMIF(月間集計シート!$M$29:$M$48,$G379,月間集計シート!O$29:O$48)*K$2</f>
        <v>0</v>
      </c>
      <c r="L379" s="88">
        <f>SUMIF(月間集計シート!$M$29:$M$48,$G379,月間集計シート!P$29:P$48)*L$2</f>
        <v>0</v>
      </c>
      <c r="M379" s="88">
        <f>SUMIF(月間集計シート!$M$29:$M$48,$G379,月間集計シート!Q$29:Q$48)*M$2</f>
        <v>0</v>
      </c>
      <c r="N379" s="88">
        <f>SUMIF(月間集計シート!$M$29:$M$48,$G379,月間集計シート!R$29:R$48)*N$2</f>
        <v>0</v>
      </c>
      <c r="O379" s="88">
        <f>SUMIF(月間集計シート!$M$29:$M$48,$G379,月間集計シート!S$29:S$48)*O$2</f>
        <v>0</v>
      </c>
      <c r="P379" s="88">
        <f>SUMIF(月間集計シート!$M$29:$M$48,$G379,月間集計シート!T$29:T$48)*P$2</f>
        <v>0</v>
      </c>
      <c r="Q379" s="88">
        <f>SUMIF(月間集計シート!$M$50:$M$69,$G379,月間集計シート!N$50:N$69)*Q$2</f>
        <v>0</v>
      </c>
      <c r="R379" s="88">
        <f>SUMIF(月間集計シート!$M$50:$M$69,$G379,月間集計シート!O$50:O$69)*R$2</f>
        <v>0</v>
      </c>
      <c r="S379" s="88">
        <f>SUMIF(月間集計シート!$M$50:$M$69,$G379,月間集計シート!P$50:P$69)*S$2</f>
        <v>0</v>
      </c>
      <c r="T379" s="88">
        <f>SUMIF(月間集計シート!$M$50:$M$69,$G379,月間集計シート!Q$50:Q$69)*T$2</f>
        <v>0</v>
      </c>
      <c r="U379" s="88">
        <f>SUMIF(月間集計シート!$M$50:$M$69,$G379,月間集計シート!R$50:R$69)*U$2</f>
        <v>0</v>
      </c>
      <c r="V379" s="88">
        <f>SUMIF(月間集計シート!$M$50:$M$69,$G379,月間集計シート!S$50:S$69)*V$2</f>
        <v>0</v>
      </c>
      <c r="W379" s="88">
        <f>SUMIF(月間集計シート!$M$50:$M$69,$G379,月間集計シート!T$50:T$69)*W$2</f>
        <v>0</v>
      </c>
      <c r="X379" s="88">
        <f>SUMIF(月間集計シート!$M$71:$M$90,$G379,月間集計シート!N$71:N$90)*X$2</f>
        <v>0</v>
      </c>
      <c r="Y379" s="88">
        <f>SUMIF(月間集計シート!$M$71:$M$90,$G379,月間集計シート!O$71:O$90)*Y$2</f>
        <v>0</v>
      </c>
      <c r="Z379" s="88">
        <f>SUMIF(月間集計シート!$M$71:$M$90,$G379,月間集計シート!P$71:P$90)*Z$2</f>
        <v>0</v>
      </c>
      <c r="AA379" s="88">
        <f>SUMIF(月間集計シート!$M$71:$M$90,$G379,月間集計シート!Q$71:Q$90)*AA$2</f>
        <v>0</v>
      </c>
      <c r="AB379" s="88">
        <f>SUMIF(月間集計シート!$M$71:$M$90,$G379,月間集計シート!R$71:R$90)*AB$2</f>
        <v>0</v>
      </c>
      <c r="AC379" s="88">
        <f>SUMIF(月間集計シート!$M$71:$M$90,$G379,月間集計シート!S$71:S$90)*AC$2</f>
        <v>0</v>
      </c>
      <c r="AD379" s="88">
        <f>SUMIF(月間集計シート!$M$71:$M$90,$G379,月間集計シート!T$71:T$90)*AD$2</f>
        <v>0</v>
      </c>
      <c r="AE379" s="88">
        <f>SUMIF(月間集計シート!$M$92:$M$111,$G379,月間集計シート!N$92:N$111)*AE$2</f>
        <v>0</v>
      </c>
      <c r="AF379" s="88">
        <f>SUMIF(月間集計シート!$M$92:$M$111,$G379,月間集計シート!O$92:O$111)*AF$2</f>
        <v>0</v>
      </c>
      <c r="AG379" s="88">
        <f>SUMIF(月間集計シート!$M$92:$M$111,$G379,月間集計シート!P$92:P$111)*AG$2</f>
        <v>0</v>
      </c>
      <c r="AH379" s="88">
        <f>SUMIF(月間集計シート!$M$92:$M$111,$G379,月間集計シート!Q$92:Q$111)*AH$2</f>
        <v>0</v>
      </c>
      <c r="AI379" s="88">
        <f>SUMIF(月間集計シート!$M$92:$M$111,$G379,月間集計シート!R$92:R$111)*AI$2</f>
        <v>0</v>
      </c>
      <c r="AJ379" s="88">
        <f>SUMIF(月間集計シート!$M$92:$M$111,$G379,月間集計シート!S$92:S$111)*AJ$2</f>
        <v>0</v>
      </c>
      <c r="AK379" s="88">
        <f>SUMIF(月間集計シート!$M$92:$M$111,$G379,月間集計シート!T$92:T$111)*AK$2</f>
        <v>0</v>
      </c>
      <c r="AL379" s="88">
        <f>SUMIF(月間集計シート!$M$113:$M$132,$G379,月間集計シート!N$113:N$132)*AL$2</f>
        <v>0</v>
      </c>
      <c r="AM379" s="88">
        <f>SUMIF(月間集計シート!$M$113:$M$132,$G379,月間集計シート!O$113:O$132)*AM$2</f>
        <v>0</v>
      </c>
      <c r="AN379" s="88">
        <f>SUMIF(月間集計シート!$M$113:$M$132,$G379,月間集計シート!P$113:P$132)*AN$2</f>
        <v>0</v>
      </c>
      <c r="AO379" s="88">
        <f>SUMIF(月間集計シート!$M$113:$M$132,$G379,月間集計シート!Q$113:Q$132)*AO$2</f>
        <v>0</v>
      </c>
      <c r="AP379" s="88">
        <f>SUMIF(月間集計シート!$M$113:$M$132,$G379,月間集計シート!R$113:R$132)*AP$2</f>
        <v>0</v>
      </c>
      <c r="AQ379" s="88">
        <f>SUMIF(月間集計シート!$M$113:$M$132,$G379,月間集計シート!S$113:S$132)*AQ$2</f>
        <v>0</v>
      </c>
      <c r="AR379" s="88">
        <f>SUMIF(月間集計シート!$M$113:$M$132,$G379,月間集計シート!T$113:T$132)*AR$2</f>
        <v>0</v>
      </c>
      <c r="AS379" s="88">
        <f>SUMIF(月間集計シート!$M$134:$M$153,$G379,月間集計シート!N$134:N$153)*AS$2</f>
        <v>0</v>
      </c>
      <c r="AT379" s="88">
        <f>SUMIF(月間集計シート!$M$134:$M$153,$G379,月間集計シート!O$134:O$153)*AT$2</f>
        <v>0</v>
      </c>
      <c r="AU379" s="88">
        <f>SUMIF(月間集計シート!$M$134:$M$153,$G379,月間集計シート!P$134:P$153)*AU$2</f>
        <v>0</v>
      </c>
      <c r="AV379" s="88">
        <f>SUMIF(月間集計シート!$M$134:$M$153,$G379,月間集計シート!Q$134:Q$153)*AV$2</f>
        <v>0</v>
      </c>
      <c r="AW379" s="88">
        <f>SUMIF(月間集計シート!$M$134:$M$153,$G379,月間集計シート!R$134:R$153)*AW$2</f>
        <v>0</v>
      </c>
      <c r="AX379" s="88">
        <f>SUMIF(月間集計シート!$M$134:$M$153,$G379,月間集計シート!S$134:S$153)*AX$2</f>
        <v>0</v>
      </c>
      <c r="AY379" s="88">
        <f>SUMIF(月間集計シート!$M$134:$M$153,$G379,月間集計シート!T$134:T$153)*AY$2</f>
        <v>0</v>
      </c>
    </row>
    <row r="380" spans="1:51" ht="14.25" thickBot="1">
      <c r="A380">
        <v>5</v>
      </c>
      <c r="B380" s="120">
        <f t="shared" si="185"/>
        <v>0</v>
      </c>
      <c r="C380" s="120" t="str">
        <f t="shared" si="186"/>
        <v/>
      </c>
      <c r="D380" s="137"/>
      <c r="E380" s="150" t="str">
        <f>工種!A32</f>
        <v>40110</v>
      </c>
      <c r="F380" s="119" t="str">
        <f>工種!B32</f>
        <v>テスト：レビュー</v>
      </c>
      <c r="G380" s="116" t="str">
        <f t="shared" si="187"/>
        <v>040110</v>
      </c>
      <c r="H380" s="88">
        <f t="shared" si="141"/>
        <v>0</v>
      </c>
      <c r="I380" s="132"/>
      <c r="J380" s="88">
        <f>SUMIF(月間集計シート!$M$29:$M$48,$G380,月間集計シート!N$29:N$48)*J$2</f>
        <v>0</v>
      </c>
      <c r="K380" s="88">
        <f>SUMIF(月間集計シート!$M$29:$M$48,$G380,月間集計シート!O$29:O$48)*K$2</f>
        <v>0</v>
      </c>
      <c r="L380" s="88">
        <f>SUMIF(月間集計シート!$M$29:$M$48,$G380,月間集計シート!P$29:P$48)*L$2</f>
        <v>0</v>
      </c>
      <c r="M380" s="88">
        <f>SUMIF(月間集計シート!$M$29:$M$48,$G380,月間集計シート!Q$29:Q$48)*M$2</f>
        <v>0</v>
      </c>
      <c r="N380" s="88">
        <f>SUMIF(月間集計シート!$M$29:$M$48,$G380,月間集計シート!R$29:R$48)*N$2</f>
        <v>0</v>
      </c>
      <c r="O380" s="88">
        <f>SUMIF(月間集計シート!$M$29:$M$48,$G380,月間集計シート!S$29:S$48)*O$2</f>
        <v>0</v>
      </c>
      <c r="P380" s="88">
        <f>SUMIF(月間集計シート!$M$29:$M$48,$G380,月間集計シート!T$29:T$48)*P$2</f>
        <v>0</v>
      </c>
      <c r="Q380" s="88">
        <f>SUMIF(月間集計シート!$M$50:$M$69,$G380,月間集計シート!N$50:N$69)*Q$2</f>
        <v>0</v>
      </c>
      <c r="R380" s="88">
        <f>SUMIF(月間集計シート!$M$50:$M$69,$G380,月間集計シート!O$50:O$69)*R$2</f>
        <v>0</v>
      </c>
      <c r="S380" s="88">
        <f>SUMIF(月間集計シート!$M$50:$M$69,$G380,月間集計シート!P$50:P$69)*S$2</f>
        <v>0</v>
      </c>
      <c r="T380" s="88">
        <f>SUMIF(月間集計シート!$M$50:$M$69,$G380,月間集計シート!Q$50:Q$69)*T$2</f>
        <v>0</v>
      </c>
      <c r="U380" s="88">
        <f>SUMIF(月間集計シート!$M$50:$M$69,$G380,月間集計シート!R$50:R$69)*U$2</f>
        <v>0</v>
      </c>
      <c r="V380" s="88">
        <f>SUMIF(月間集計シート!$M$50:$M$69,$G380,月間集計シート!S$50:S$69)*V$2</f>
        <v>0</v>
      </c>
      <c r="W380" s="88">
        <f>SUMIF(月間集計シート!$M$50:$M$69,$G380,月間集計シート!T$50:T$69)*W$2</f>
        <v>0</v>
      </c>
      <c r="X380" s="88">
        <f>SUMIF(月間集計シート!$M$71:$M$90,$G380,月間集計シート!N$71:N$90)*X$2</f>
        <v>0</v>
      </c>
      <c r="Y380" s="88">
        <f>SUMIF(月間集計シート!$M$71:$M$90,$G380,月間集計シート!O$71:O$90)*Y$2</f>
        <v>0</v>
      </c>
      <c r="Z380" s="88">
        <f>SUMIF(月間集計シート!$M$71:$M$90,$G380,月間集計シート!P$71:P$90)*Z$2</f>
        <v>0</v>
      </c>
      <c r="AA380" s="88">
        <f>SUMIF(月間集計シート!$M$71:$M$90,$G380,月間集計シート!Q$71:Q$90)*AA$2</f>
        <v>0</v>
      </c>
      <c r="AB380" s="88">
        <f>SUMIF(月間集計シート!$M$71:$M$90,$G380,月間集計シート!R$71:R$90)*AB$2</f>
        <v>0</v>
      </c>
      <c r="AC380" s="88">
        <f>SUMIF(月間集計シート!$M$71:$M$90,$G380,月間集計シート!S$71:S$90)*AC$2</f>
        <v>0</v>
      </c>
      <c r="AD380" s="88">
        <f>SUMIF(月間集計シート!$M$71:$M$90,$G380,月間集計シート!T$71:T$90)*AD$2</f>
        <v>0</v>
      </c>
      <c r="AE380" s="88">
        <f>SUMIF(月間集計シート!$M$92:$M$111,$G380,月間集計シート!N$92:N$111)*AE$2</f>
        <v>0</v>
      </c>
      <c r="AF380" s="88">
        <f>SUMIF(月間集計シート!$M$92:$M$111,$G380,月間集計シート!O$92:O$111)*AF$2</f>
        <v>0</v>
      </c>
      <c r="AG380" s="88">
        <f>SUMIF(月間集計シート!$M$92:$M$111,$G380,月間集計シート!P$92:P$111)*AG$2</f>
        <v>0</v>
      </c>
      <c r="AH380" s="88">
        <f>SUMIF(月間集計シート!$M$92:$M$111,$G380,月間集計シート!Q$92:Q$111)*AH$2</f>
        <v>0</v>
      </c>
      <c r="AI380" s="88">
        <f>SUMIF(月間集計シート!$M$92:$M$111,$G380,月間集計シート!R$92:R$111)*AI$2</f>
        <v>0</v>
      </c>
      <c r="AJ380" s="88">
        <f>SUMIF(月間集計シート!$M$92:$M$111,$G380,月間集計シート!S$92:S$111)*AJ$2</f>
        <v>0</v>
      </c>
      <c r="AK380" s="88">
        <f>SUMIF(月間集計シート!$M$92:$M$111,$G380,月間集計シート!T$92:T$111)*AK$2</f>
        <v>0</v>
      </c>
      <c r="AL380" s="88">
        <f>SUMIF(月間集計シート!$M$113:$M$132,$G380,月間集計シート!N$113:N$132)*AL$2</f>
        <v>0</v>
      </c>
      <c r="AM380" s="88">
        <f>SUMIF(月間集計シート!$M$113:$M$132,$G380,月間集計シート!O$113:O$132)*AM$2</f>
        <v>0</v>
      </c>
      <c r="AN380" s="88">
        <f>SUMIF(月間集計シート!$M$113:$M$132,$G380,月間集計シート!P$113:P$132)*AN$2</f>
        <v>0</v>
      </c>
      <c r="AO380" s="88">
        <f>SUMIF(月間集計シート!$M$113:$M$132,$G380,月間集計シート!Q$113:Q$132)*AO$2</f>
        <v>0</v>
      </c>
      <c r="AP380" s="88">
        <f>SUMIF(月間集計シート!$M$113:$M$132,$G380,月間集計シート!R$113:R$132)*AP$2</f>
        <v>0</v>
      </c>
      <c r="AQ380" s="88">
        <f>SUMIF(月間集計シート!$M$113:$M$132,$G380,月間集計シート!S$113:S$132)*AQ$2</f>
        <v>0</v>
      </c>
      <c r="AR380" s="88">
        <f>SUMIF(月間集計シート!$M$113:$M$132,$G380,月間集計シート!T$113:T$132)*AR$2</f>
        <v>0</v>
      </c>
      <c r="AS380" s="88">
        <f>SUMIF(月間集計シート!$M$134:$M$153,$G380,月間集計シート!N$134:N$153)*AS$2</f>
        <v>0</v>
      </c>
      <c r="AT380" s="88">
        <f>SUMIF(月間集計シート!$M$134:$M$153,$G380,月間集計シート!O$134:O$153)*AT$2</f>
        <v>0</v>
      </c>
      <c r="AU380" s="88">
        <f>SUMIF(月間集計シート!$M$134:$M$153,$G380,月間集計シート!P$134:P$153)*AU$2</f>
        <v>0</v>
      </c>
      <c r="AV380" s="88">
        <f>SUMIF(月間集計シート!$M$134:$M$153,$G380,月間集計シート!Q$134:Q$153)*AV$2</f>
        <v>0</v>
      </c>
      <c r="AW380" s="88">
        <f>SUMIF(月間集計シート!$M$134:$M$153,$G380,月間集計シート!R$134:R$153)*AW$2</f>
        <v>0</v>
      </c>
      <c r="AX380" s="88">
        <f>SUMIF(月間集計シート!$M$134:$M$153,$G380,月間集計シート!S$134:S$153)*AX$2</f>
        <v>0</v>
      </c>
      <c r="AY380" s="88">
        <f>SUMIF(月間集計シート!$M$134:$M$153,$G380,月間集計シート!T$134:T$153)*AY$2</f>
        <v>0</v>
      </c>
    </row>
    <row r="381" spans="1:51" ht="14.25" thickBot="1">
      <c r="A381">
        <v>5</v>
      </c>
      <c r="B381" s="120">
        <f t="shared" si="185"/>
        <v>0</v>
      </c>
      <c r="C381" s="120" t="str">
        <f t="shared" si="186"/>
        <v/>
      </c>
      <c r="D381" s="137"/>
      <c r="E381" s="150" t="str">
        <f>工種!A33</f>
        <v>40111</v>
      </c>
      <c r="F381" s="119" t="str">
        <f>工種!B33</f>
        <v>テスト：PG修正（手戻り分）</v>
      </c>
      <c r="G381" s="116" t="str">
        <f t="shared" si="187"/>
        <v>040111</v>
      </c>
      <c r="H381" s="88">
        <f t="shared" si="141"/>
        <v>0</v>
      </c>
      <c r="I381" s="132"/>
      <c r="J381" s="88">
        <f>SUMIF(月間集計シート!$M$29:$M$48,$G381,月間集計シート!N$29:N$48)*J$2</f>
        <v>0</v>
      </c>
      <c r="K381" s="88">
        <f>SUMIF(月間集計シート!$M$29:$M$48,$G381,月間集計シート!O$29:O$48)*K$2</f>
        <v>0</v>
      </c>
      <c r="L381" s="88">
        <f>SUMIF(月間集計シート!$M$29:$M$48,$G381,月間集計シート!P$29:P$48)*L$2</f>
        <v>0</v>
      </c>
      <c r="M381" s="88">
        <f>SUMIF(月間集計シート!$M$29:$M$48,$G381,月間集計シート!Q$29:Q$48)*M$2</f>
        <v>0</v>
      </c>
      <c r="N381" s="88">
        <f>SUMIF(月間集計シート!$M$29:$M$48,$G381,月間集計シート!R$29:R$48)*N$2</f>
        <v>0</v>
      </c>
      <c r="O381" s="88">
        <f>SUMIF(月間集計シート!$M$29:$M$48,$G381,月間集計シート!S$29:S$48)*O$2</f>
        <v>0</v>
      </c>
      <c r="P381" s="88">
        <f>SUMIF(月間集計シート!$M$29:$M$48,$G381,月間集計シート!T$29:T$48)*P$2</f>
        <v>0</v>
      </c>
      <c r="Q381" s="88">
        <f>SUMIF(月間集計シート!$M$50:$M$69,$G381,月間集計シート!N$50:N$69)*Q$2</f>
        <v>0</v>
      </c>
      <c r="R381" s="88">
        <f>SUMIF(月間集計シート!$M$50:$M$69,$G381,月間集計シート!O$50:O$69)*R$2</f>
        <v>0</v>
      </c>
      <c r="S381" s="88">
        <f>SUMIF(月間集計シート!$M$50:$M$69,$G381,月間集計シート!P$50:P$69)*S$2</f>
        <v>0</v>
      </c>
      <c r="T381" s="88">
        <f>SUMIF(月間集計シート!$M$50:$M$69,$G381,月間集計シート!Q$50:Q$69)*T$2</f>
        <v>0</v>
      </c>
      <c r="U381" s="88">
        <f>SUMIF(月間集計シート!$M$50:$M$69,$G381,月間集計シート!R$50:R$69)*U$2</f>
        <v>0</v>
      </c>
      <c r="V381" s="88">
        <f>SUMIF(月間集計シート!$M$50:$M$69,$G381,月間集計シート!S$50:S$69)*V$2</f>
        <v>0</v>
      </c>
      <c r="W381" s="88">
        <f>SUMIF(月間集計シート!$M$50:$M$69,$G381,月間集計シート!T$50:T$69)*W$2</f>
        <v>0</v>
      </c>
      <c r="X381" s="88">
        <f>SUMIF(月間集計シート!$M$71:$M$90,$G381,月間集計シート!N$71:N$90)*X$2</f>
        <v>0</v>
      </c>
      <c r="Y381" s="88">
        <f>SUMIF(月間集計シート!$M$71:$M$90,$G381,月間集計シート!O$71:O$90)*Y$2</f>
        <v>0</v>
      </c>
      <c r="Z381" s="88">
        <f>SUMIF(月間集計シート!$M$71:$M$90,$G381,月間集計シート!P$71:P$90)*Z$2</f>
        <v>0</v>
      </c>
      <c r="AA381" s="88">
        <f>SUMIF(月間集計シート!$M$71:$M$90,$G381,月間集計シート!Q$71:Q$90)*AA$2</f>
        <v>0</v>
      </c>
      <c r="AB381" s="88">
        <f>SUMIF(月間集計シート!$M$71:$M$90,$G381,月間集計シート!R$71:R$90)*AB$2</f>
        <v>0</v>
      </c>
      <c r="AC381" s="88">
        <f>SUMIF(月間集計シート!$M$71:$M$90,$G381,月間集計シート!S$71:S$90)*AC$2</f>
        <v>0</v>
      </c>
      <c r="AD381" s="88">
        <f>SUMIF(月間集計シート!$M$71:$M$90,$G381,月間集計シート!T$71:T$90)*AD$2</f>
        <v>0</v>
      </c>
      <c r="AE381" s="88">
        <f>SUMIF(月間集計シート!$M$92:$M$111,$G381,月間集計シート!N$92:N$111)*AE$2</f>
        <v>0</v>
      </c>
      <c r="AF381" s="88">
        <f>SUMIF(月間集計シート!$M$92:$M$111,$G381,月間集計シート!O$92:O$111)*AF$2</f>
        <v>0</v>
      </c>
      <c r="AG381" s="88">
        <f>SUMIF(月間集計シート!$M$92:$M$111,$G381,月間集計シート!P$92:P$111)*AG$2</f>
        <v>0</v>
      </c>
      <c r="AH381" s="88">
        <f>SUMIF(月間集計シート!$M$92:$M$111,$G381,月間集計シート!Q$92:Q$111)*AH$2</f>
        <v>0</v>
      </c>
      <c r="AI381" s="88">
        <f>SUMIF(月間集計シート!$M$92:$M$111,$G381,月間集計シート!R$92:R$111)*AI$2</f>
        <v>0</v>
      </c>
      <c r="AJ381" s="88">
        <f>SUMIF(月間集計シート!$M$92:$M$111,$G381,月間集計シート!S$92:S$111)*AJ$2</f>
        <v>0</v>
      </c>
      <c r="AK381" s="88">
        <f>SUMIF(月間集計シート!$M$92:$M$111,$G381,月間集計シート!T$92:T$111)*AK$2</f>
        <v>0</v>
      </c>
      <c r="AL381" s="88">
        <f>SUMIF(月間集計シート!$M$113:$M$132,$G381,月間集計シート!N$113:N$132)*AL$2</f>
        <v>0</v>
      </c>
      <c r="AM381" s="88">
        <f>SUMIF(月間集計シート!$M$113:$M$132,$G381,月間集計シート!O$113:O$132)*AM$2</f>
        <v>0</v>
      </c>
      <c r="AN381" s="88">
        <f>SUMIF(月間集計シート!$M$113:$M$132,$G381,月間集計シート!P$113:P$132)*AN$2</f>
        <v>0</v>
      </c>
      <c r="AO381" s="88">
        <f>SUMIF(月間集計シート!$M$113:$M$132,$G381,月間集計シート!Q$113:Q$132)*AO$2</f>
        <v>0</v>
      </c>
      <c r="AP381" s="88">
        <f>SUMIF(月間集計シート!$M$113:$M$132,$G381,月間集計シート!R$113:R$132)*AP$2</f>
        <v>0</v>
      </c>
      <c r="AQ381" s="88">
        <f>SUMIF(月間集計シート!$M$113:$M$132,$G381,月間集計シート!S$113:S$132)*AQ$2</f>
        <v>0</v>
      </c>
      <c r="AR381" s="88">
        <f>SUMIF(月間集計シート!$M$113:$M$132,$G381,月間集計シート!T$113:T$132)*AR$2</f>
        <v>0</v>
      </c>
      <c r="AS381" s="88">
        <f>SUMIF(月間集計シート!$M$134:$M$153,$G381,月間集計シート!N$134:N$153)*AS$2</f>
        <v>0</v>
      </c>
      <c r="AT381" s="88">
        <f>SUMIF(月間集計シート!$M$134:$M$153,$G381,月間集計シート!O$134:O$153)*AT$2</f>
        <v>0</v>
      </c>
      <c r="AU381" s="88">
        <f>SUMIF(月間集計シート!$M$134:$M$153,$G381,月間集計シート!P$134:P$153)*AU$2</f>
        <v>0</v>
      </c>
      <c r="AV381" s="88">
        <f>SUMIF(月間集計シート!$M$134:$M$153,$G381,月間集計シート!Q$134:Q$153)*AV$2</f>
        <v>0</v>
      </c>
      <c r="AW381" s="88">
        <f>SUMIF(月間集計シート!$M$134:$M$153,$G381,月間集計シート!R$134:R$153)*AW$2</f>
        <v>0</v>
      </c>
      <c r="AX381" s="88">
        <f>SUMIF(月間集計シート!$M$134:$M$153,$G381,月間集計シート!S$134:S$153)*AX$2</f>
        <v>0</v>
      </c>
      <c r="AY381" s="88">
        <f>SUMIF(月間集計シート!$M$134:$M$153,$G381,月間集計シート!T$134:T$153)*AY$2</f>
        <v>0</v>
      </c>
    </row>
    <row r="382" spans="1:51" ht="14.25" thickBot="1">
      <c r="A382">
        <v>5</v>
      </c>
      <c r="B382" s="120">
        <f t="shared" si="185"/>
        <v>0</v>
      </c>
      <c r="C382" s="120" t="str">
        <f t="shared" si="186"/>
        <v/>
      </c>
      <c r="D382" s="137"/>
      <c r="E382" s="150" t="str">
        <f>工種!A34</f>
        <v>40112</v>
      </c>
      <c r="F382" s="119" t="str">
        <f>工種!B34</f>
        <v>テスト：再テスト（手戻り分）</v>
      </c>
      <c r="G382" s="116" t="str">
        <f t="shared" si="187"/>
        <v>040112</v>
      </c>
      <c r="H382" s="88">
        <f t="shared" si="141"/>
        <v>0</v>
      </c>
      <c r="I382" s="132"/>
      <c r="J382" s="88">
        <f>SUMIF(月間集計シート!$M$29:$M$48,$G382,月間集計シート!N$29:N$48)*J$2</f>
        <v>0</v>
      </c>
      <c r="K382" s="88">
        <f>SUMIF(月間集計シート!$M$29:$M$48,$G382,月間集計シート!O$29:O$48)*K$2</f>
        <v>0</v>
      </c>
      <c r="L382" s="88">
        <f>SUMIF(月間集計シート!$M$29:$M$48,$G382,月間集計シート!P$29:P$48)*L$2</f>
        <v>0</v>
      </c>
      <c r="M382" s="88">
        <f>SUMIF(月間集計シート!$M$29:$M$48,$G382,月間集計シート!Q$29:Q$48)*M$2</f>
        <v>0</v>
      </c>
      <c r="N382" s="88">
        <f>SUMIF(月間集計シート!$M$29:$M$48,$G382,月間集計シート!R$29:R$48)*N$2</f>
        <v>0</v>
      </c>
      <c r="O382" s="88">
        <f>SUMIF(月間集計シート!$M$29:$M$48,$G382,月間集計シート!S$29:S$48)*O$2</f>
        <v>0</v>
      </c>
      <c r="P382" s="88">
        <f>SUMIF(月間集計シート!$M$29:$M$48,$G382,月間集計シート!T$29:T$48)*P$2</f>
        <v>0</v>
      </c>
      <c r="Q382" s="88">
        <f>SUMIF(月間集計シート!$M$50:$M$69,$G382,月間集計シート!N$50:N$69)*Q$2</f>
        <v>0</v>
      </c>
      <c r="R382" s="88">
        <f>SUMIF(月間集計シート!$M$50:$M$69,$G382,月間集計シート!O$50:O$69)*R$2</f>
        <v>0</v>
      </c>
      <c r="S382" s="88">
        <f>SUMIF(月間集計シート!$M$50:$M$69,$G382,月間集計シート!P$50:P$69)*S$2</f>
        <v>0</v>
      </c>
      <c r="T382" s="88">
        <f>SUMIF(月間集計シート!$M$50:$M$69,$G382,月間集計シート!Q$50:Q$69)*T$2</f>
        <v>0</v>
      </c>
      <c r="U382" s="88">
        <f>SUMIF(月間集計シート!$M$50:$M$69,$G382,月間集計シート!R$50:R$69)*U$2</f>
        <v>0</v>
      </c>
      <c r="V382" s="88">
        <f>SUMIF(月間集計シート!$M$50:$M$69,$G382,月間集計シート!S$50:S$69)*V$2</f>
        <v>0</v>
      </c>
      <c r="W382" s="88">
        <f>SUMIF(月間集計シート!$M$50:$M$69,$G382,月間集計シート!T$50:T$69)*W$2</f>
        <v>0</v>
      </c>
      <c r="X382" s="88">
        <f>SUMIF(月間集計シート!$M$71:$M$90,$G382,月間集計シート!N$71:N$90)*X$2</f>
        <v>0</v>
      </c>
      <c r="Y382" s="88">
        <f>SUMIF(月間集計シート!$M$71:$M$90,$G382,月間集計シート!O$71:O$90)*Y$2</f>
        <v>0</v>
      </c>
      <c r="Z382" s="88">
        <f>SUMIF(月間集計シート!$M$71:$M$90,$G382,月間集計シート!P$71:P$90)*Z$2</f>
        <v>0</v>
      </c>
      <c r="AA382" s="88">
        <f>SUMIF(月間集計シート!$M$71:$M$90,$G382,月間集計シート!Q$71:Q$90)*AA$2</f>
        <v>0</v>
      </c>
      <c r="AB382" s="88">
        <f>SUMIF(月間集計シート!$M$71:$M$90,$G382,月間集計シート!R$71:R$90)*AB$2</f>
        <v>0</v>
      </c>
      <c r="AC382" s="88">
        <f>SUMIF(月間集計シート!$M$71:$M$90,$G382,月間集計シート!S$71:S$90)*AC$2</f>
        <v>0</v>
      </c>
      <c r="AD382" s="88">
        <f>SUMIF(月間集計シート!$M$71:$M$90,$G382,月間集計シート!T$71:T$90)*AD$2</f>
        <v>0</v>
      </c>
      <c r="AE382" s="88">
        <f>SUMIF(月間集計シート!$M$92:$M$111,$G382,月間集計シート!N$92:N$111)*AE$2</f>
        <v>0</v>
      </c>
      <c r="AF382" s="88">
        <f>SUMIF(月間集計シート!$M$92:$M$111,$G382,月間集計シート!O$92:O$111)*AF$2</f>
        <v>0</v>
      </c>
      <c r="AG382" s="88">
        <f>SUMIF(月間集計シート!$M$92:$M$111,$G382,月間集計シート!P$92:P$111)*AG$2</f>
        <v>0</v>
      </c>
      <c r="AH382" s="88">
        <f>SUMIF(月間集計シート!$M$92:$M$111,$G382,月間集計シート!Q$92:Q$111)*AH$2</f>
        <v>0</v>
      </c>
      <c r="AI382" s="88">
        <f>SUMIF(月間集計シート!$M$92:$M$111,$G382,月間集計シート!R$92:R$111)*AI$2</f>
        <v>0</v>
      </c>
      <c r="AJ382" s="88">
        <f>SUMIF(月間集計シート!$M$92:$M$111,$G382,月間集計シート!S$92:S$111)*AJ$2</f>
        <v>0</v>
      </c>
      <c r="AK382" s="88">
        <f>SUMIF(月間集計シート!$M$92:$M$111,$G382,月間集計シート!T$92:T$111)*AK$2</f>
        <v>0</v>
      </c>
      <c r="AL382" s="88">
        <f>SUMIF(月間集計シート!$M$113:$M$132,$G382,月間集計シート!N$113:N$132)*AL$2</f>
        <v>0</v>
      </c>
      <c r="AM382" s="88">
        <f>SUMIF(月間集計シート!$M$113:$M$132,$G382,月間集計シート!O$113:O$132)*AM$2</f>
        <v>0</v>
      </c>
      <c r="AN382" s="88">
        <f>SUMIF(月間集計シート!$M$113:$M$132,$G382,月間集計シート!P$113:P$132)*AN$2</f>
        <v>0</v>
      </c>
      <c r="AO382" s="88">
        <f>SUMIF(月間集計シート!$M$113:$M$132,$G382,月間集計シート!Q$113:Q$132)*AO$2</f>
        <v>0</v>
      </c>
      <c r="AP382" s="88">
        <f>SUMIF(月間集計シート!$M$113:$M$132,$G382,月間集計シート!R$113:R$132)*AP$2</f>
        <v>0</v>
      </c>
      <c r="AQ382" s="88">
        <f>SUMIF(月間集計シート!$M$113:$M$132,$G382,月間集計シート!S$113:S$132)*AQ$2</f>
        <v>0</v>
      </c>
      <c r="AR382" s="88">
        <f>SUMIF(月間集計シート!$M$113:$M$132,$G382,月間集計シート!T$113:T$132)*AR$2</f>
        <v>0</v>
      </c>
      <c r="AS382" s="88">
        <f>SUMIF(月間集計シート!$M$134:$M$153,$G382,月間集計シート!N$134:N$153)*AS$2</f>
        <v>0</v>
      </c>
      <c r="AT382" s="88">
        <f>SUMIF(月間集計シート!$M$134:$M$153,$G382,月間集計シート!O$134:O$153)*AT$2</f>
        <v>0</v>
      </c>
      <c r="AU382" s="88">
        <f>SUMIF(月間集計シート!$M$134:$M$153,$G382,月間集計シート!P$134:P$153)*AU$2</f>
        <v>0</v>
      </c>
      <c r="AV382" s="88">
        <f>SUMIF(月間集計シート!$M$134:$M$153,$G382,月間集計シート!Q$134:Q$153)*AV$2</f>
        <v>0</v>
      </c>
      <c r="AW382" s="88">
        <f>SUMIF(月間集計シート!$M$134:$M$153,$G382,月間集計シート!R$134:R$153)*AW$2</f>
        <v>0</v>
      </c>
      <c r="AX382" s="88">
        <f>SUMIF(月間集計シート!$M$134:$M$153,$G382,月間集計シート!S$134:S$153)*AX$2</f>
        <v>0</v>
      </c>
      <c r="AY382" s="88">
        <f>SUMIF(月間集計シート!$M$134:$M$153,$G382,月間集計シート!T$134:T$153)*AY$2</f>
        <v>0</v>
      </c>
    </row>
    <row r="383" spans="1:51" ht="14.25" thickBot="1">
      <c r="A383">
        <v>5</v>
      </c>
      <c r="B383" s="120">
        <f t="shared" si="185"/>
        <v>0</v>
      </c>
      <c r="C383" s="120" t="str">
        <f t="shared" si="186"/>
        <v/>
      </c>
      <c r="D383" s="137"/>
      <c r="E383" s="150" t="str">
        <f>工種!A35</f>
        <v>40113</v>
      </c>
      <c r="F383" s="119" t="str">
        <f>工種!B35</f>
        <v>テスト：QA対応</v>
      </c>
      <c r="G383" s="116" t="str">
        <f t="shared" si="187"/>
        <v>040113</v>
      </c>
      <c r="H383" s="88">
        <f t="shared" si="141"/>
        <v>0</v>
      </c>
      <c r="I383" s="132"/>
      <c r="J383" s="88">
        <f>SUMIF(月間集計シート!$M$29:$M$48,$G383,月間集計シート!N$29:N$48)*J$2</f>
        <v>0</v>
      </c>
      <c r="K383" s="88">
        <f>SUMIF(月間集計シート!$M$29:$M$48,$G383,月間集計シート!O$29:O$48)*K$2</f>
        <v>0</v>
      </c>
      <c r="L383" s="88">
        <f>SUMIF(月間集計シート!$M$29:$M$48,$G383,月間集計シート!P$29:P$48)*L$2</f>
        <v>0</v>
      </c>
      <c r="M383" s="88">
        <f>SUMIF(月間集計シート!$M$29:$M$48,$G383,月間集計シート!Q$29:Q$48)*M$2</f>
        <v>0</v>
      </c>
      <c r="N383" s="88">
        <f>SUMIF(月間集計シート!$M$29:$M$48,$G383,月間集計シート!R$29:R$48)*N$2</f>
        <v>0</v>
      </c>
      <c r="O383" s="88">
        <f>SUMIF(月間集計シート!$M$29:$M$48,$G383,月間集計シート!S$29:S$48)*O$2</f>
        <v>0</v>
      </c>
      <c r="P383" s="88">
        <f>SUMIF(月間集計シート!$M$29:$M$48,$G383,月間集計シート!T$29:T$48)*P$2</f>
        <v>0</v>
      </c>
      <c r="Q383" s="88">
        <f>SUMIF(月間集計シート!$M$50:$M$69,$G383,月間集計シート!N$50:N$69)*Q$2</f>
        <v>0</v>
      </c>
      <c r="R383" s="88">
        <f>SUMIF(月間集計シート!$M$50:$M$69,$G383,月間集計シート!O$50:O$69)*R$2</f>
        <v>0</v>
      </c>
      <c r="S383" s="88">
        <f>SUMIF(月間集計シート!$M$50:$M$69,$G383,月間集計シート!P$50:P$69)*S$2</f>
        <v>0</v>
      </c>
      <c r="T383" s="88">
        <f>SUMIF(月間集計シート!$M$50:$M$69,$G383,月間集計シート!Q$50:Q$69)*T$2</f>
        <v>0</v>
      </c>
      <c r="U383" s="88">
        <f>SUMIF(月間集計シート!$M$50:$M$69,$G383,月間集計シート!R$50:R$69)*U$2</f>
        <v>0</v>
      </c>
      <c r="V383" s="88">
        <f>SUMIF(月間集計シート!$M$50:$M$69,$G383,月間集計シート!S$50:S$69)*V$2</f>
        <v>0</v>
      </c>
      <c r="W383" s="88">
        <f>SUMIF(月間集計シート!$M$50:$M$69,$G383,月間集計シート!T$50:T$69)*W$2</f>
        <v>0</v>
      </c>
      <c r="X383" s="88">
        <f>SUMIF(月間集計シート!$M$71:$M$90,$G383,月間集計シート!N$71:N$90)*X$2</f>
        <v>0</v>
      </c>
      <c r="Y383" s="88">
        <f>SUMIF(月間集計シート!$M$71:$M$90,$G383,月間集計シート!O$71:O$90)*Y$2</f>
        <v>0</v>
      </c>
      <c r="Z383" s="88">
        <f>SUMIF(月間集計シート!$M$71:$M$90,$G383,月間集計シート!P$71:P$90)*Z$2</f>
        <v>0</v>
      </c>
      <c r="AA383" s="88">
        <f>SUMIF(月間集計シート!$M$71:$M$90,$G383,月間集計シート!Q$71:Q$90)*AA$2</f>
        <v>0</v>
      </c>
      <c r="AB383" s="88">
        <f>SUMIF(月間集計シート!$M$71:$M$90,$G383,月間集計シート!R$71:R$90)*AB$2</f>
        <v>0</v>
      </c>
      <c r="AC383" s="88">
        <f>SUMIF(月間集計シート!$M$71:$M$90,$G383,月間集計シート!S$71:S$90)*AC$2</f>
        <v>0</v>
      </c>
      <c r="AD383" s="88">
        <f>SUMIF(月間集計シート!$M$71:$M$90,$G383,月間集計シート!T$71:T$90)*AD$2</f>
        <v>0</v>
      </c>
      <c r="AE383" s="88">
        <f>SUMIF(月間集計シート!$M$92:$M$111,$G383,月間集計シート!N$92:N$111)*AE$2</f>
        <v>0</v>
      </c>
      <c r="AF383" s="88">
        <f>SUMIF(月間集計シート!$M$92:$M$111,$G383,月間集計シート!O$92:O$111)*AF$2</f>
        <v>0</v>
      </c>
      <c r="AG383" s="88">
        <f>SUMIF(月間集計シート!$M$92:$M$111,$G383,月間集計シート!P$92:P$111)*AG$2</f>
        <v>0</v>
      </c>
      <c r="AH383" s="88">
        <f>SUMIF(月間集計シート!$M$92:$M$111,$G383,月間集計シート!Q$92:Q$111)*AH$2</f>
        <v>0</v>
      </c>
      <c r="AI383" s="88">
        <f>SUMIF(月間集計シート!$M$92:$M$111,$G383,月間集計シート!R$92:R$111)*AI$2</f>
        <v>0</v>
      </c>
      <c r="AJ383" s="88">
        <f>SUMIF(月間集計シート!$M$92:$M$111,$G383,月間集計シート!S$92:S$111)*AJ$2</f>
        <v>0</v>
      </c>
      <c r="AK383" s="88">
        <f>SUMIF(月間集計シート!$M$92:$M$111,$G383,月間集計シート!T$92:T$111)*AK$2</f>
        <v>0</v>
      </c>
      <c r="AL383" s="88">
        <f>SUMIF(月間集計シート!$M$113:$M$132,$G383,月間集計シート!N$113:N$132)*AL$2</f>
        <v>0</v>
      </c>
      <c r="AM383" s="88">
        <f>SUMIF(月間集計シート!$M$113:$M$132,$G383,月間集計シート!O$113:O$132)*AM$2</f>
        <v>0</v>
      </c>
      <c r="AN383" s="88">
        <f>SUMIF(月間集計シート!$M$113:$M$132,$G383,月間集計シート!P$113:P$132)*AN$2</f>
        <v>0</v>
      </c>
      <c r="AO383" s="88">
        <f>SUMIF(月間集計シート!$M$113:$M$132,$G383,月間集計シート!Q$113:Q$132)*AO$2</f>
        <v>0</v>
      </c>
      <c r="AP383" s="88">
        <f>SUMIF(月間集計シート!$M$113:$M$132,$G383,月間集計シート!R$113:R$132)*AP$2</f>
        <v>0</v>
      </c>
      <c r="AQ383" s="88">
        <f>SUMIF(月間集計シート!$M$113:$M$132,$G383,月間集計シート!S$113:S$132)*AQ$2</f>
        <v>0</v>
      </c>
      <c r="AR383" s="88">
        <f>SUMIF(月間集計シート!$M$113:$M$132,$G383,月間集計シート!T$113:T$132)*AR$2</f>
        <v>0</v>
      </c>
      <c r="AS383" s="88">
        <f>SUMIF(月間集計シート!$M$134:$M$153,$G383,月間集計シート!N$134:N$153)*AS$2</f>
        <v>0</v>
      </c>
      <c r="AT383" s="88">
        <f>SUMIF(月間集計シート!$M$134:$M$153,$G383,月間集計シート!O$134:O$153)*AT$2</f>
        <v>0</v>
      </c>
      <c r="AU383" s="88">
        <f>SUMIF(月間集計シート!$M$134:$M$153,$G383,月間集計シート!P$134:P$153)*AU$2</f>
        <v>0</v>
      </c>
      <c r="AV383" s="88">
        <f>SUMIF(月間集計シート!$M$134:$M$153,$G383,月間集計シート!Q$134:Q$153)*AV$2</f>
        <v>0</v>
      </c>
      <c r="AW383" s="88">
        <f>SUMIF(月間集計シート!$M$134:$M$153,$G383,月間集計シート!R$134:R$153)*AW$2</f>
        <v>0</v>
      </c>
      <c r="AX383" s="88">
        <f>SUMIF(月間集計シート!$M$134:$M$153,$G383,月間集計シート!S$134:S$153)*AX$2</f>
        <v>0</v>
      </c>
      <c r="AY383" s="88">
        <f>SUMIF(月間集計シート!$M$134:$M$153,$G383,月間集計シート!T$134:T$153)*AY$2</f>
        <v>0</v>
      </c>
    </row>
    <row r="384" spans="1:51" ht="14.25" thickBot="1">
      <c r="A384">
        <v>5</v>
      </c>
      <c r="B384" s="120">
        <f t="shared" si="185"/>
        <v>0</v>
      </c>
      <c r="C384" s="120" t="str">
        <f t="shared" si="186"/>
        <v/>
      </c>
      <c r="D384" s="137"/>
      <c r="E384" s="150" t="str">
        <f>工種!A36</f>
        <v>40189</v>
      </c>
      <c r="F384" s="119" t="str">
        <f>工種!B36</f>
        <v>テスト：内部不具合分析</v>
      </c>
      <c r="G384" s="116" t="str">
        <f t="shared" si="187"/>
        <v>040189</v>
      </c>
      <c r="H384" s="88">
        <f t="shared" si="141"/>
        <v>0</v>
      </c>
      <c r="I384" s="132"/>
      <c r="J384" s="88">
        <f>SUMIF(月間集計シート!$M$29:$M$48,$G384,月間集計シート!N$29:N$48)*J$2</f>
        <v>0</v>
      </c>
      <c r="K384" s="88">
        <f>SUMIF(月間集計シート!$M$29:$M$48,$G384,月間集計シート!O$29:O$48)*K$2</f>
        <v>0</v>
      </c>
      <c r="L384" s="88">
        <f>SUMIF(月間集計シート!$M$29:$M$48,$G384,月間集計シート!P$29:P$48)*L$2</f>
        <v>0</v>
      </c>
      <c r="M384" s="88">
        <f>SUMIF(月間集計シート!$M$29:$M$48,$G384,月間集計シート!Q$29:Q$48)*M$2</f>
        <v>0</v>
      </c>
      <c r="N384" s="88">
        <f>SUMIF(月間集計シート!$M$29:$M$48,$G384,月間集計シート!R$29:R$48)*N$2</f>
        <v>0</v>
      </c>
      <c r="O384" s="88">
        <f>SUMIF(月間集計シート!$M$29:$M$48,$G384,月間集計シート!S$29:S$48)*O$2</f>
        <v>0</v>
      </c>
      <c r="P384" s="88">
        <f>SUMIF(月間集計シート!$M$29:$M$48,$G384,月間集計シート!T$29:T$48)*P$2</f>
        <v>0</v>
      </c>
      <c r="Q384" s="88">
        <f>SUMIF(月間集計シート!$M$50:$M$69,$G384,月間集計シート!N$50:N$69)*Q$2</f>
        <v>0</v>
      </c>
      <c r="R384" s="88">
        <f>SUMIF(月間集計シート!$M$50:$M$69,$G384,月間集計シート!O$50:O$69)*R$2</f>
        <v>0</v>
      </c>
      <c r="S384" s="88">
        <f>SUMIF(月間集計シート!$M$50:$M$69,$G384,月間集計シート!P$50:P$69)*S$2</f>
        <v>0</v>
      </c>
      <c r="T384" s="88">
        <f>SUMIF(月間集計シート!$M$50:$M$69,$G384,月間集計シート!Q$50:Q$69)*T$2</f>
        <v>0</v>
      </c>
      <c r="U384" s="88">
        <f>SUMIF(月間集計シート!$M$50:$M$69,$G384,月間集計シート!R$50:R$69)*U$2</f>
        <v>0</v>
      </c>
      <c r="V384" s="88">
        <f>SUMIF(月間集計シート!$M$50:$M$69,$G384,月間集計シート!S$50:S$69)*V$2</f>
        <v>0</v>
      </c>
      <c r="W384" s="88">
        <f>SUMIF(月間集計シート!$M$50:$M$69,$G384,月間集計シート!T$50:T$69)*W$2</f>
        <v>0</v>
      </c>
      <c r="X384" s="88">
        <f>SUMIF(月間集計シート!$M$71:$M$90,$G384,月間集計シート!N$71:N$90)*X$2</f>
        <v>0</v>
      </c>
      <c r="Y384" s="88">
        <f>SUMIF(月間集計シート!$M$71:$M$90,$G384,月間集計シート!O$71:O$90)*Y$2</f>
        <v>0</v>
      </c>
      <c r="Z384" s="88">
        <f>SUMIF(月間集計シート!$M$71:$M$90,$G384,月間集計シート!P$71:P$90)*Z$2</f>
        <v>0</v>
      </c>
      <c r="AA384" s="88">
        <f>SUMIF(月間集計シート!$M$71:$M$90,$G384,月間集計シート!Q$71:Q$90)*AA$2</f>
        <v>0</v>
      </c>
      <c r="AB384" s="88">
        <f>SUMIF(月間集計シート!$M$71:$M$90,$G384,月間集計シート!R$71:R$90)*AB$2</f>
        <v>0</v>
      </c>
      <c r="AC384" s="88">
        <f>SUMIF(月間集計シート!$M$71:$M$90,$G384,月間集計シート!S$71:S$90)*AC$2</f>
        <v>0</v>
      </c>
      <c r="AD384" s="88">
        <f>SUMIF(月間集計シート!$M$71:$M$90,$G384,月間集計シート!T$71:T$90)*AD$2</f>
        <v>0</v>
      </c>
      <c r="AE384" s="88">
        <f>SUMIF(月間集計シート!$M$92:$M$111,$G384,月間集計シート!N$92:N$111)*AE$2</f>
        <v>0</v>
      </c>
      <c r="AF384" s="88">
        <f>SUMIF(月間集計シート!$M$92:$M$111,$G384,月間集計シート!O$92:O$111)*AF$2</f>
        <v>0</v>
      </c>
      <c r="AG384" s="88">
        <f>SUMIF(月間集計シート!$M$92:$M$111,$G384,月間集計シート!P$92:P$111)*AG$2</f>
        <v>0</v>
      </c>
      <c r="AH384" s="88">
        <f>SUMIF(月間集計シート!$M$92:$M$111,$G384,月間集計シート!Q$92:Q$111)*AH$2</f>
        <v>0</v>
      </c>
      <c r="AI384" s="88">
        <f>SUMIF(月間集計シート!$M$92:$M$111,$G384,月間集計シート!R$92:R$111)*AI$2</f>
        <v>0</v>
      </c>
      <c r="AJ384" s="88">
        <f>SUMIF(月間集計シート!$M$92:$M$111,$G384,月間集計シート!S$92:S$111)*AJ$2</f>
        <v>0</v>
      </c>
      <c r="AK384" s="88">
        <f>SUMIF(月間集計シート!$M$92:$M$111,$G384,月間集計シート!T$92:T$111)*AK$2</f>
        <v>0</v>
      </c>
      <c r="AL384" s="88">
        <f>SUMIF(月間集計シート!$M$113:$M$132,$G384,月間集計シート!N$113:N$132)*AL$2</f>
        <v>0</v>
      </c>
      <c r="AM384" s="88">
        <f>SUMIF(月間集計シート!$M$113:$M$132,$G384,月間集計シート!O$113:O$132)*AM$2</f>
        <v>0</v>
      </c>
      <c r="AN384" s="88">
        <f>SUMIF(月間集計シート!$M$113:$M$132,$G384,月間集計シート!P$113:P$132)*AN$2</f>
        <v>0</v>
      </c>
      <c r="AO384" s="88">
        <f>SUMIF(月間集計シート!$M$113:$M$132,$G384,月間集計シート!Q$113:Q$132)*AO$2</f>
        <v>0</v>
      </c>
      <c r="AP384" s="88">
        <f>SUMIF(月間集計シート!$M$113:$M$132,$G384,月間集計シート!R$113:R$132)*AP$2</f>
        <v>0</v>
      </c>
      <c r="AQ384" s="88">
        <f>SUMIF(月間集計シート!$M$113:$M$132,$G384,月間集計シート!S$113:S$132)*AQ$2</f>
        <v>0</v>
      </c>
      <c r="AR384" s="88">
        <f>SUMIF(月間集計シート!$M$113:$M$132,$G384,月間集計シート!T$113:T$132)*AR$2</f>
        <v>0</v>
      </c>
      <c r="AS384" s="88">
        <f>SUMIF(月間集計シート!$M$134:$M$153,$G384,月間集計シート!N$134:N$153)*AS$2</f>
        <v>0</v>
      </c>
      <c r="AT384" s="88">
        <f>SUMIF(月間集計シート!$M$134:$M$153,$G384,月間集計シート!O$134:O$153)*AT$2</f>
        <v>0</v>
      </c>
      <c r="AU384" s="88">
        <f>SUMIF(月間集計シート!$M$134:$M$153,$G384,月間集計シート!P$134:P$153)*AU$2</f>
        <v>0</v>
      </c>
      <c r="AV384" s="88">
        <f>SUMIF(月間集計シート!$M$134:$M$153,$G384,月間集計シート!Q$134:Q$153)*AV$2</f>
        <v>0</v>
      </c>
      <c r="AW384" s="88">
        <f>SUMIF(月間集計シート!$M$134:$M$153,$G384,月間集計シート!R$134:R$153)*AW$2</f>
        <v>0</v>
      </c>
      <c r="AX384" s="88">
        <f>SUMIF(月間集計シート!$M$134:$M$153,$G384,月間集計シート!S$134:S$153)*AX$2</f>
        <v>0</v>
      </c>
      <c r="AY384" s="88">
        <f>SUMIF(月間集計シート!$M$134:$M$153,$G384,月間集計シート!T$134:T$153)*AY$2</f>
        <v>0</v>
      </c>
    </row>
    <row r="385" spans="1:51" ht="14.25" thickBot="1">
      <c r="A385">
        <v>5</v>
      </c>
      <c r="B385" s="120">
        <f t="shared" si="185"/>
        <v>0</v>
      </c>
      <c r="C385" s="120" t="str">
        <f t="shared" si="186"/>
        <v/>
      </c>
      <c r="D385" s="137"/>
      <c r="E385" s="150" t="str">
        <f>工種!A37</f>
        <v>40199</v>
      </c>
      <c r="F385" s="119" t="str">
        <f>工種!B37</f>
        <v>テスト：その他</v>
      </c>
      <c r="G385" s="116" t="str">
        <f t="shared" si="187"/>
        <v>040199</v>
      </c>
      <c r="H385" s="88">
        <f t="shared" si="141"/>
        <v>0</v>
      </c>
      <c r="I385" s="132"/>
      <c r="J385" s="88">
        <f>SUMIF(月間集計シート!$M$29:$M$48,$G385,月間集計シート!N$29:N$48)*J$2</f>
        <v>0</v>
      </c>
      <c r="K385" s="88">
        <f>SUMIF(月間集計シート!$M$29:$M$48,$G385,月間集計シート!O$29:O$48)*K$2</f>
        <v>0</v>
      </c>
      <c r="L385" s="88">
        <f>SUMIF(月間集計シート!$M$29:$M$48,$G385,月間集計シート!P$29:P$48)*L$2</f>
        <v>0</v>
      </c>
      <c r="M385" s="88">
        <f>SUMIF(月間集計シート!$M$29:$M$48,$G385,月間集計シート!Q$29:Q$48)*M$2</f>
        <v>0</v>
      </c>
      <c r="N385" s="88">
        <f>SUMIF(月間集計シート!$M$29:$M$48,$G385,月間集計シート!R$29:R$48)*N$2</f>
        <v>0</v>
      </c>
      <c r="O385" s="88">
        <f>SUMIF(月間集計シート!$M$29:$M$48,$G385,月間集計シート!S$29:S$48)*O$2</f>
        <v>0</v>
      </c>
      <c r="P385" s="88">
        <f>SUMIF(月間集計シート!$M$29:$M$48,$G385,月間集計シート!T$29:T$48)*P$2</f>
        <v>0</v>
      </c>
      <c r="Q385" s="88">
        <f>SUMIF(月間集計シート!$M$50:$M$69,$G385,月間集計シート!N$50:N$69)*Q$2</f>
        <v>0</v>
      </c>
      <c r="R385" s="88">
        <f>SUMIF(月間集計シート!$M$50:$M$69,$G385,月間集計シート!O$50:O$69)*R$2</f>
        <v>0</v>
      </c>
      <c r="S385" s="88">
        <f>SUMIF(月間集計シート!$M$50:$M$69,$G385,月間集計シート!P$50:P$69)*S$2</f>
        <v>0</v>
      </c>
      <c r="T385" s="88">
        <f>SUMIF(月間集計シート!$M$50:$M$69,$G385,月間集計シート!Q$50:Q$69)*T$2</f>
        <v>0</v>
      </c>
      <c r="U385" s="88">
        <f>SUMIF(月間集計シート!$M$50:$M$69,$G385,月間集計シート!R$50:R$69)*U$2</f>
        <v>0</v>
      </c>
      <c r="V385" s="88">
        <f>SUMIF(月間集計シート!$M$50:$M$69,$G385,月間集計シート!S$50:S$69)*V$2</f>
        <v>0</v>
      </c>
      <c r="W385" s="88">
        <f>SUMIF(月間集計シート!$M$50:$M$69,$G385,月間集計シート!T$50:T$69)*W$2</f>
        <v>0</v>
      </c>
      <c r="X385" s="88">
        <f>SUMIF(月間集計シート!$M$71:$M$90,$G385,月間集計シート!N$71:N$90)*X$2</f>
        <v>0</v>
      </c>
      <c r="Y385" s="88">
        <f>SUMIF(月間集計シート!$M$71:$M$90,$G385,月間集計シート!O$71:O$90)*Y$2</f>
        <v>0</v>
      </c>
      <c r="Z385" s="88">
        <f>SUMIF(月間集計シート!$M$71:$M$90,$G385,月間集計シート!P$71:P$90)*Z$2</f>
        <v>0</v>
      </c>
      <c r="AA385" s="88">
        <f>SUMIF(月間集計シート!$M$71:$M$90,$G385,月間集計シート!Q$71:Q$90)*AA$2</f>
        <v>0</v>
      </c>
      <c r="AB385" s="88">
        <f>SUMIF(月間集計シート!$M$71:$M$90,$G385,月間集計シート!R$71:R$90)*AB$2</f>
        <v>0</v>
      </c>
      <c r="AC385" s="88">
        <f>SUMIF(月間集計シート!$M$71:$M$90,$G385,月間集計シート!S$71:S$90)*AC$2</f>
        <v>0</v>
      </c>
      <c r="AD385" s="88">
        <f>SUMIF(月間集計シート!$M$71:$M$90,$G385,月間集計シート!T$71:T$90)*AD$2</f>
        <v>0</v>
      </c>
      <c r="AE385" s="88">
        <f>SUMIF(月間集計シート!$M$92:$M$111,$G385,月間集計シート!N$92:N$111)*AE$2</f>
        <v>0</v>
      </c>
      <c r="AF385" s="88">
        <f>SUMIF(月間集計シート!$M$92:$M$111,$G385,月間集計シート!O$92:O$111)*AF$2</f>
        <v>0</v>
      </c>
      <c r="AG385" s="88">
        <f>SUMIF(月間集計シート!$M$92:$M$111,$G385,月間集計シート!P$92:P$111)*AG$2</f>
        <v>0</v>
      </c>
      <c r="AH385" s="88">
        <f>SUMIF(月間集計シート!$M$92:$M$111,$G385,月間集計シート!Q$92:Q$111)*AH$2</f>
        <v>0</v>
      </c>
      <c r="AI385" s="88">
        <f>SUMIF(月間集計シート!$M$92:$M$111,$G385,月間集計シート!R$92:R$111)*AI$2</f>
        <v>0</v>
      </c>
      <c r="AJ385" s="88">
        <f>SUMIF(月間集計シート!$M$92:$M$111,$G385,月間集計シート!S$92:S$111)*AJ$2</f>
        <v>0</v>
      </c>
      <c r="AK385" s="88">
        <f>SUMIF(月間集計シート!$M$92:$M$111,$G385,月間集計シート!T$92:T$111)*AK$2</f>
        <v>0</v>
      </c>
      <c r="AL385" s="88">
        <f>SUMIF(月間集計シート!$M$113:$M$132,$G385,月間集計シート!N$113:N$132)*AL$2</f>
        <v>0</v>
      </c>
      <c r="AM385" s="88">
        <f>SUMIF(月間集計シート!$M$113:$M$132,$G385,月間集計シート!O$113:O$132)*AM$2</f>
        <v>0</v>
      </c>
      <c r="AN385" s="88">
        <f>SUMIF(月間集計シート!$M$113:$M$132,$G385,月間集計シート!P$113:P$132)*AN$2</f>
        <v>0</v>
      </c>
      <c r="AO385" s="88">
        <f>SUMIF(月間集計シート!$M$113:$M$132,$G385,月間集計シート!Q$113:Q$132)*AO$2</f>
        <v>0</v>
      </c>
      <c r="AP385" s="88">
        <f>SUMIF(月間集計シート!$M$113:$M$132,$G385,月間集計シート!R$113:R$132)*AP$2</f>
        <v>0</v>
      </c>
      <c r="AQ385" s="88">
        <f>SUMIF(月間集計シート!$M$113:$M$132,$G385,月間集計シート!S$113:S$132)*AQ$2</f>
        <v>0</v>
      </c>
      <c r="AR385" s="88">
        <f>SUMIF(月間集計シート!$M$113:$M$132,$G385,月間集計シート!T$113:T$132)*AR$2</f>
        <v>0</v>
      </c>
      <c r="AS385" s="88">
        <f>SUMIF(月間集計シート!$M$134:$M$153,$G385,月間集計シート!N$134:N$153)*AS$2</f>
        <v>0</v>
      </c>
      <c r="AT385" s="88">
        <f>SUMIF(月間集計シート!$M$134:$M$153,$G385,月間集計シート!O$134:O$153)*AT$2</f>
        <v>0</v>
      </c>
      <c r="AU385" s="88">
        <f>SUMIF(月間集計シート!$M$134:$M$153,$G385,月間集計シート!P$134:P$153)*AU$2</f>
        <v>0</v>
      </c>
      <c r="AV385" s="88">
        <f>SUMIF(月間集計シート!$M$134:$M$153,$G385,月間集計シート!Q$134:Q$153)*AV$2</f>
        <v>0</v>
      </c>
      <c r="AW385" s="88">
        <f>SUMIF(月間集計シート!$M$134:$M$153,$G385,月間集計シート!R$134:R$153)*AW$2</f>
        <v>0</v>
      </c>
      <c r="AX385" s="88">
        <f>SUMIF(月間集計シート!$M$134:$M$153,$G385,月間集計シート!S$134:S$153)*AX$2</f>
        <v>0</v>
      </c>
      <c r="AY385" s="88">
        <f>SUMIF(月間集計シート!$M$134:$M$153,$G385,月間集計シート!T$134:T$153)*AY$2</f>
        <v>0</v>
      </c>
    </row>
    <row r="386" spans="1:51" ht="14.25" thickBot="1">
      <c r="A386">
        <v>5</v>
      </c>
      <c r="B386" s="120">
        <f t="shared" si="185"/>
        <v>0</v>
      </c>
      <c r="C386" s="120" t="str">
        <f t="shared" si="186"/>
        <v/>
      </c>
      <c r="D386" s="137"/>
      <c r="E386" s="150" t="str">
        <f>工種!A38</f>
        <v>50101</v>
      </c>
      <c r="F386" s="119" t="str">
        <f>工種!B38</f>
        <v>ﾏﾆｭｱﾙ作成：原稿作成</v>
      </c>
      <c r="G386" s="116" t="str">
        <f t="shared" si="187"/>
        <v>050101</v>
      </c>
      <c r="H386" s="88">
        <f t="shared" si="141"/>
        <v>0</v>
      </c>
      <c r="I386" s="132"/>
      <c r="J386" s="88">
        <f>SUMIF(月間集計シート!$M$29:$M$48,$G386,月間集計シート!N$29:N$48)*J$2</f>
        <v>0</v>
      </c>
      <c r="K386" s="88">
        <f>SUMIF(月間集計シート!$M$29:$M$48,$G386,月間集計シート!O$29:O$48)*K$2</f>
        <v>0</v>
      </c>
      <c r="L386" s="88">
        <f>SUMIF(月間集計シート!$M$29:$M$48,$G386,月間集計シート!P$29:P$48)*L$2</f>
        <v>0</v>
      </c>
      <c r="M386" s="88">
        <f>SUMIF(月間集計シート!$M$29:$M$48,$G386,月間集計シート!Q$29:Q$48)*M$2</f>
        <v>0</v>
      </c>
      <c r="N386" s="88">
        <f>SUMIF(月間集計シート!$M$29:$M$48,$G386,月間集計シート!R$29:R$48)*N$2</f>
        <v>0</v>
      </c>
      <c r="O386" s="88">
        <f>SUMIF(月間集計シート!$M$29:$M$48,$G386,月間集計シート!S$29:S$48)*O$2</f>
        <v>0</v>
      </c>
      <c r="P386" s="88">
        <f>SUMIF(月間集計シート!$M$29:$M$48,$G386,月間集計シート!T$29:T$48)*P$2</f>
        <v>0</v>
      </c>
      <c r="Q386" s="88">
        <f>SUMIF(月間集計シート!$M$50:$M$69,$G386,月間集計シート!N$50:N$69)*Q$2</f>
        <v>0</v>
      </c>
      <c r="R386" s="88">
        <f>SUMIF(月間集計シート!$M$50:$M$69,$G386,月間集計シート!O$50:O$69)*R$2</f>
        <v>0</v>
      </c>
      <c r="S386" s="88">
        <f>SUMIF(月間集計シート!$M$50:$M$69,$G386,月間集計シート!P$50:P$69)*S$2</f>
        <v>0</v>
      </c>
      <c r="T386" s="88">
        <f>SUMIF(月間集計シート!$M$50:$M$69,$G386,月間集計シート!Q$50:Q$69)*T$2</f>
        <v>0</v>
      </c>
      <c r="U386" s="88">
        <f>SUMIF(月間集計シート!$M$50:$M$69,$G386,月間集計シート!R$50:R$69)*U$2</f>
        <v>0</v>
      </c>
      <c r="V386" s="88">
        <f>SUMIF(月間集計シート!$M$50:$M$69,$G386,月間集計シート!S$50:S$69)*V$2</f>
        <v>0</v>
      </c>
      <c r="W386" s="88">
        <f>SUMIF(月間集計シート!$M$50:$M$69,$G386,月間集計シート!T$50:T$69)*W$2</f>
        <v>0</v>
      </c>
      <c r="X386" s="88">
        <f>SUMIF(月間集計シート!$M$71:$M$90,$G386,月間集計シート!N$71:N$90)*X$2</f>
        <v>0</v>
      </c>
      <c r="Y386" s="88">
        <f>SUMIF(月間集計シート!$M$71:$M$90,$G386,月間集計シート!O$71:O$90)*Y$2</f>
        <v>0</v>
      </c>
      <c r="Z386" s="88">
        <f>SUMIF(月間集計シート!$M$71:$M$90,$G386,月間集計シート!P$71:P$90)*Z$2</f>
        <v>0</v>
      </c>
      <c r="AA386" s="88">
        <f>SUMIF(月間集計シート!$M$71:$M$90,$G386,月間集計シート!Q$71:Q$90)*AA$2</f>
        <v>0</v>
      </c>
      <c r="AB386" s="88">
        <f>SUMIF(月間集計シート!$M$71:$M$90,$G386,月間集計シート!R$71:R$90)*AB$2</f>
        <v>0</v>
      </c>
      <c r="AC386" s="88">
        <f>SUMIF(月間集計シート!$M$71:$M$90,$G386,月間集計シート!S$71:S$90)*AC$2</f>
        <v>0</v>
      </c>
      <c r="AD386" s="88">
        <f>SUMIF(月間集計シート!$M$71:$M$90,$G386,月間集計シート!T$71:T$90)*AD$2</f>
        <v>0</v>
      </c>
      <c r="AE386" s="88">
        <f>SUMIF(月間集計シート!$M$92:$M$111,$G386,月間集計シート!N$92:N$111)*AE$2</f>
        <v>0</v>
      </c>
      <c r="AF386" s="88">
        <f>SUMIF(月間集計シート!$M$92:$M$111,$G386,月間集計シート!O$92:O$111)*AF$2</f>
        <v>0</v>
      </c>
      <c r="AG386" s="88">
        <f>SUMIF(月間集計シート!$M$92:$M$111,$G386,月間集計シート!P$92:P$111)*AG$2</f>
        <v>0</v>
      </c>
      <c r="AH386" s="88">
        <f>SUMIF(月間集計シート!$M$92:$M$111,$G386,月間集計シート!Q$92:Q$111)*AH$2</f>
        <v>0</v>
      </c>
      <c r="AI386" s="88">
        <f>SUMIF(月間集計シート!$M$92:$M$111,$G386,月間集計シート!R$92:R$111)*AI$2</f>
        <v>0</v>
      </c>
      <c r="AJ386" s="88">
        <f>SUMIF(月間集計シート!$M$92:$M$111,$G386,月間集計シート!S$92:S$111)*AJ$2</f>
        <v>0</v>
      </c>
      <c r="AK386" s="88">
        <f>SUMIF(月間集計シート!$M$92:$M$111,$G386,月間集計シート!T$92:T$111)*AK$2</f>
        <v>0</v>
      </c>
      <c r="AL386" s="88">
        <f>SUMIF(月間集計シート!$M$113:$M$132,$G386,月間集計シート!N$113:N$132)*AL$2</f>
        <v>0</v>
      </c>
      <c r="AM386" s="88">
        <f>SUMIF(月間集計シート!$M$113:$M$132,$G386,月間集計シート!O$113:O$132)*AM$2</f>
        <v>0</v>
      </c>
      <c r="AN386" s="88">
        <f>SUMIF(月間集計シート!$M$113:$M$132,$G386,月間集計シート!P$113:P$132)*AN$2</f>
        <v>0</v>
      </c>
      <c r="AO386" s="88">
        <f>SUMIF(月間集計シート!$M$113:$M$132,$G386,月間集計シート!Q$113:Q$132)*AO$2</f>
        <v>0</v>
      </c>
      <c r="AP386" s="88">
        <f>SUMIF(月間集計シート!$M$113:$M$132,$G386,月間集計シート!R$113:R$132)*AP$2</f>
        <v>0</v>
      </c>
      <c r="AQ386" s="88">
        <f>SUMIF(月間集計シート!$M$113:$M$132,$G386,月間集計シート!S$113:S$132)*AQ$2</f>
        <v>0</v>
      </c>
      <c r="AR386" s="88">
        <f>SUMIF(月間集計シート!$M$113:$M$132,$G386,月間集計シート!T$113:T$132)*AR$2</f>
        <v>0</v>
      </c>
      <c r="AS386" s="88">
        <f>SUMIF(月間集計シート!$M$134:$M$153,$G386,月間集計シート!N$134:N$153)*AS$2</f>
        <v>0</v>
      </c>
      <c r="AT386" s="88">
        <f>SUMIF(月間集計シート!$M$134:$M$153,$G386,月間集計シート!O$134:O$153)*AT$2</f>
        <v>0</v>
      </c>
      <c r="AU386" s="88">
        <f>SUMIF(月間集計シート!$M$134:$M$153,$G386,月間集計シート!P$134:P$153)*AU$2</f>
        <v>0</v>
      </c>
      <c r="AV386" s="88">
        <f>SUMIF(月間集計シート!$M$134:$M$153,$G386,月間集計シート!Q$134:Q$153)*AV$2</f>
        <v>0</v>
      </c>
      <c r="AW386" s="88">
        <f>SUMIF(月間集計シート!$M$134:$M$153,$G386,月間集計シート!R$134:R$153)*AW$2</f>
        <v>0</v>
      </c>
      <c r="AX386" s="88">
        <f>SUMIF(月間集計シート!$M$134:$M$153,$G386,月間集計シート!S$134:S$153)*AX$2</f>
        <v>0</v>
      </c>
      <c r="AY386" s="88">
        <f>SUMIF(月間集計シート!$M$134:$M$153,$G386,月間集計シート!T$134:T$153)*AY$2</f>
        <v>0</v>
      </c>
    </row>
    <row r="387" spans="1:51" ht="14.25" thickBot="1">
      <c r="A387">
        <v>5</v>
      </c>
      <c r="B387" s="120">
        <f t="shared" si="185"/>
        <v>0</v>
      </c>
      <c r="C387" s="120" t="str">
        <f t="shared" si="186"/>
        <v/>
      </c>
      <c r="D387" s="137"/>
      <c r="E387" s="150" t="str">
        <f>工種!A39</f>
        <v>50105</v>
      </c>
      <c r="F387" s="119" t="str">
        <f>工種!B39</f>
        <v>ﾏﾆｭｱﾙ作成：打合せ</v>
      </c>
      <c r="G387" s="116" t="str">
        <f t="shared" si="187"/>
        <v>050105</v>
      </c>
      <c r="H387" s="88">
        <f t="shared" si="141"/>
        <v>0</v>
      </c>
      <c r="I387" s="132"/>
      <c r="J387" s="88">
        <f>SUMIF(月間集計シート!$M$29:$M$48,$G387,月間集計シート!N$29:N$48)*J$2</f>
        <v>0</v>
      </c>
      <c r="K387" s="88">
        <f>SUMIF(月間集計シート!$M$29:$M$48,$G387,月間集計シート!O$29:O$48)*K$2</f>
        <v>0</v>
      </c>
      <c r="L387" s="88">
        <f>SUMIF(月間集計シート!$M$29:$M$48,$G387,月間集計シート!P$29:P$48)*L$2</f>
        <v>0</v>
      </c>
      <c r="M387" s="88">
        <f>SUMIF(月間集計シート!$M$29:$M$48,$G387,月間集計シート!Q$29:Q$48)*M$2</f>
        <v>0</v>
      </c>
      <c r="N387" s="88">
        <f>SUMIF(月間集計シート!$M$29:$M$48,$G387,月間集計シート!R$29:R$48)*N$2</f>
        <v>0</v>
      </c>
      <c r="O387" s="88">
        <f>SUMIF(月間集計シート!$M$29:$M$48,$G387,月間集計シート!S$29:S$48)*O$2</f>
        <v>0</v>
      </c>
      <c r="P387" s="88">
        <f>SUMIF(月間集計シート!$M$29:$M$48,$G387,月間集計シート!T$29:T$48)*P$2</f>
        <v>0</v>
      </c>
      <c r="Q387" s="88">
        <f>SUMIF(月間集計シート!$M$50:$M$69,$G387,月間集計シート!N$50:N$69)*Q$2</f>
        <v>0</v>
      </c>
      <c r="R387" s="88">
        <f>SUMIF(月間集計シート!$M$50:$M$69,$G387,月間集計シート!O$50:O$69)*R$2</f>
        <v>0</v>
      </c>
      <c r="S387" s="88">
        <f>SUMIF(月間集計シート!$M$50:$M$69,$G387,月間集計シート!P$50:P$69)*S$2</f>
        <v>0</v>
      </c>
      <c r="T387" s="88">
        <f>SUMIF(月間集計シート!$M$50:$M$69,$G387,月間集計シート!Q$50:Q$69)*T$2</f>
        <v>0</v>
      </c>
      <c r="U387" s="88">
        <f>SUMIF(月間集計シート!$M$50:$M$69,$G387,月間集計シート!R$50:R$69)*U$2</f>
        <v>0</v>
      </c>
      <c r="V387" s="88">
        <f>SUMIF(月間集計シート!$M$50:$M$69,$G387,月間集計シート!S$50:S$69)*V$2</f>
        <v>0</v>
      </c>
      <c r="W387" s="88">
        <f>SUMIF(月間集計シート!$M$50:$M$69,$G387,月間集計シート!T$50:T$69)*W$2</f>
        <v>0</v>
      </c>
      <c r="X387" s="88">
        <f>SUMIF(月間集計シート!$M$71:$M$90,$G387,月間集計シート!N$71:N$90)*X$2</f>
        <v>0</v>
      </c>
      <c r="Y387" s="88">
        <f>SUMIF(月間集計シート!$M$71:$M$90,$G387,月間集計シート!O$71:O$90)*Y$2</f>
        <v>0</v>
      </c>
      <c r="Z387" s="88">
        <f>SUMIF(月間集計シート!$M$71:$M$90,$G387,月間集計シート!P$71:P$90)*Z$2</f>
        <v>0</v>
      </c>
      <c r="AA387" s="88">
        <f>SUMIF(月間集計シート!$M$71:$M$90,$G387,月間集計シート!Q$71:Q$90)*AA$2</f>
        <v>0</v>
      </c>
      <c r="AB387" s="88">
        <f>SUMIF(月間集計シート!$M$71:$M$90,$G387,月間集計シート!R$71:R$90)*AB$2</f>
        <v>0</v>
      </c>
      <c r="AC387" s="88">
        <f>SUMIF(月間集計シート!$M$71:$M$90,$G387,月間集計シート!S$71:S$90)*AC$2</f>
        <v>0</v>
      </c>
      <c r="AD387" s="88">
        <f>SUMIF(月間集計シート!$M$71:$M$90,$G387,月間集計シート!T$71:T$90)*AD$2</f>
        <v>0</v>
      </c>
      <c r="AE387" s="88">
        <f>SUMIF(月間集計シート!$M$92:$M$111,$G387,月間集計シート!N$92:N$111)*AE$2</f>
        <v>0</v>
      </c>
      <c r="AF387" s="88">
        <f>SUMIF(月間集計シート!$M$92:$M$111,$G387,月間集計シート!O$92:O$111)*AF$2</f>
        <v>0</v>
      </c>
      <c r="AG387" s="88">
        <f>SUMIF(月間集計シート!$M$92:$M$111,$G387,月間集計シート!P$92:P$111)*AG$2</f>
        <v>0</v>
      </c>
      <c r="AH387" s="88">
        <f>SUMIF(月間集計シート!$M$92:$M$111,$G387,月間集計シート!Q$92:Q$111)*AH$2</f>
        <v>0</v>
      </c>
      <c r="AI387" s="88">
        <f>SUMIF(月間集計シート!$M$92:$M$111,$G387,月間集計シート!R$92:R$111)*AI$2</f>
        <v>0</v>
      </c>
      <c r="AJ387" s="88">
        <f>SUMIF(月間集計シート!$M$92:$M$111,$G387,月間集計シート!S$92:S$111)*AJ$2</f>
        <v>0</v>
      </c>
      <c r="AK387" s="88">
        <f>SUMIF(月間集計シート!$M$92:$M$111,$G387,月間集計シート!T$92:T$111)*AK$2</f>
        <v>0</v>
      </c>
      <c r="AL387" s="88">
        <f>SUMIF(月間集計シート!$M$113:$M$132,$G387,月間集計シート!N$113:N$132)*AL$2</f>
        <v>0</v>
      </c>
      <c r="AM387" s="88">
        <f>SUMIF(月間集計シート!$M$113:$M$132,$G387,月間集計シート!O$113:O$132)*AM$2</f>
        <v>0</v>
      </c>
      <c r="AN387" s="88">
        <f>SUMIF(月間集計シート!$M$113:$M$132,$G387,月間集計シート!P$113:P$132)*AN$2</f>
        <v>0</v>
      </c>
      <c r="AO387" s="88">
        <f>SUMIF(月間集計シート!$M$113:$M$132,$G387,月間集計シート!Q$113:Q$132)*AO$2</f>
        <v>0</v>
      </c>
      <c r="AP387" s="88">
        <f>SUMIF(月間集計シート!$M$113:$M$132,$G387,月間集計シート!R$113:R$132)*AP$2</f>
        <v>0</v>
      </c>
      <c r="AQ387" s="88">
        <f>SUMIF(月間集計シート!$M$113:$M$132,$G387,月間集計シート!S$113:S$132)*AQ$2</f>
        <v>0</v>
      </c>
      <c r="AR387" s="88">
        <f>SUMIF(月間集計シート!$M$113:$M$132,$G387,月間集計シート!T$113:T$132)*AR$2</f>
        <v>0</v>
      </c>
      <c r="AS387" s="88">
        <f>SUMIF(月間集計シート!$M$134:$M$153,$G387,月間集計シート!N$134:N$153)*AS$2</f>
        <v>0</v>
      </c>
      <c r="AT387" s="88">
        <f>SUMIF(月間集計シート!$M$134:$M$153,$G387,月間集計シート!O$134:O$153)*AT$2</f>
        <v>0</v>
      </c>
      <c r="AU387" s="88">
        <f>SUMIF(月間集計シート!$M$134:$M$153,$G387,月間集計シート!P$134:P$153)*AU$2</f>
        <v>0</v>
      </c>
      <c r="AV387" s="88">
        <f>SUMIF(月間集計シート!$M$134:$M$153,$G387,月間集計シート!Q$134:Q$153)*AV$2</f>
        <v>0</v>
      </c>
      <c r="AW387" s="88">
        <f>SUMIF(月間集計シート!$M$134:$M$153,$G387,月間集計シート!R$134:R$153)*AW$2</f>
        <v>0</v>
      </c>
      <c r="AX387" s="88">
        <f>SUMIF(月間集計シート!$M$134:$M$153,$G387,月間集計シート!S$134:S$153)*AX$2</f>
        <v>0</v>
      </c>
      <c r="AY387" s="88">
        <f>SUMIF(月間集計シート!$M$134:$M$153,$G387,月間集計シート!T$134:T$153)*AY$2</f>
        <v>0</v>
      </c>
    </row>
    <row r="388" spans="1:51" ht="14.25" thickBot="1">
      <c r="A388">
        <v>5</v>
      </c>
      <c r="B388" s="120">
        <f t="shared" si="185"/>
        <v>0</v>
      </c>
      <c r="C388" s="120" t="str">
        <f t="shared" si="186"/>
        <v/>
      </c>
      <c r="D388" s="137"/>
      <c r="E388" s="150" t="str">
        <f>工種!A40</f>
        <v>50106</v>
      </c>
      <c r="F388" s="119" t="str">
        <f>工種!B40</f>
        <v>ﾏﾆｭｱﾙ作成：ﾚﾋﾞｭｰ</v>
      </c>
      <c r="G388" s="116" t="str">
        <f t="shared" si="187"/>
        <v>050106</v>
      </c>
      <c r="H388" s="88">
        <f t="shared" si="141"/>
        <v>0</v>
      </c>
      <c r="I388" s="132"/>
      <c r="J388" s="88">
        <f>SUMIF(月間集計シート!$M$29:$M$48,$G388,月間集計シート!N$29:N$48)*J$2</f>
        <v>0</v>
      </c>
      <c r="K388" s="88">
        <f>SUMIF(月間集計シート!$M$29:$M$48,$G388,月間集計シート!O$29:O$48)*K$2</f>
        <v>0</v>
      </c>
      <c r="L388" s="88">
        <f>SUMIF(月間集計シート!$M$29:$M$48,$G388,月間集計シート!P$29:P$48)*L$2</f>
        <v>0</v>
      </c>
      <c r="M388" s="88">
        <f>SUMIF(月間集計シート!$M$29:$M$48,$G388,月間集計シート!Q$29:Q$48)*M$2</f>
        <v>0</v>
      </c>
      <c r="N388" s="88">
        <f>SUMIF(月間集計シート!$M$29:$M$48,$G388,月間集計シート!R$29:R$48)*N$2</f>
        <v>0</v>
      </c>
      <c r="O388" s="88">
        <f>SUMIF(月間集計シート!$M$29:$M$48,$G388,月間集計シート!S$29:S$48)*O$2</f>
        <v>0</v>
      </c>
      <c r="P388" s="88">
        <f>SUMIF(月間集計シート!$M$29:$M$48,$G388,月間集計シート!T$29:T$48)*P$2</f>
        <v>0</v>
      </c>
      <c r="Q388" s="88">
        <f>SUMIF(月間集計シート!$M$50:$M$69,$G388,月間集計シート!N$50:N$69)*Q$2</f>
        <v>0</v>
      </c>
      <c r="R388" s="88">
        <f>SUMIF(月間集計シート!$M$50:$M$69,$G388,月間集計シート!O$50:O$69)*R$2</f>
        <v>0</v>
      </c>
      <c r="S388" s="88">
        <f>SUMIF(月間集計シート!$M$50:$M$69,$G388,月間集計シート!P$50:P$69)*S$2</f>
        <v>0</v>
      </c>
      <c r="T388" s="88">
        <f>SUMIF(月間集計シート!$M$50:$M$69,$G388,月間集計シート!Q$50:Q$69)*T$2</f>
        <v>0</v>
      </c>
      <c r="U388" s="88">
        <f>SUMIF(月間集計シート!$M$50:$M$69,$G388,月間集計シート!R$50:R$69)*U$2</f>
        <v>0</v>
      </c>
      <c r="V388" s="88">
        <f>SUMIF(月間集計シート!$M$50:$M$69,$G388,月間集計シート!S$50:S$69)*V$2</f>
        <v>0</v>
      </c>
      <c r="W388" s="88">
        <f>SUMIF(月間集計シート!$M$50:$M$69,$G388,月間集計シート!T$50:T$69)*W$2</f>
        <v>0</v>
      </c>
      <c r="X388" s="88">
        <f>SUMIF(月間集計シート!$M$71:$M$90,$G388,月間集計シート!N$71:N$90)*X$2</f>
        <v>0</v>
      </c>
      <c r="Y388" s="88">
        <f>SUMIF(月間集計シート!$M$71:$M$90,$G388,月間集計シート!O$71:O$90)*Y$2</f>
        <v>0</v>
      </c>
      <c r="Z388" s="88">
        <f>SUMIF(月間集計シート!$M$71:$M$90,$G388,月間集計シート!P$71:P$90)*Z$2</f>
        <v>0</v>
      </c>
      <c r="AA388" s="88">
        <f>SUMIF(月間集計シート!$M$71:$M$90,$G388,月間集計シート!Q$71:Q$90)*AA$2</f>
        <v>0</v>
      </c>
      <c r="AB388" s="88">
        <f>SUMIF(月間集計シート!$M$71:$M$90,$G388,月間集計シート!R$71:R$90)*AB$2</f>
        <v>0</v>
      </c>
      <c r="AC388" s="88">
        <f>SUMIF(月間集計シート!$M$71:$M$90,$G388,月間集計シート!S$71:S$90)*AC$2</f>
        <v>0</v>
      </c>
      <c r="AD388" s="88">
        <f>SUMIF(月間集計シート!$M$71:$M$90,$G388,月間集計シート!T$71:T$90)*AD$2</f>
        <v>0</v>
      </c>
      <c r="AE388" s="88">
        <f>SUMIF(月間集計シート!$M$92:$M$111,$G388,月間集計シート!N$92:N$111)*AE$2</f>
        <v>0</v>
      </c>
      <c r="AF388" s="88">
        <f>SUMIF(月間集計シート!$M$92:$M$111,$G388,月間集計シート!O$92:O$111)*AF$2</f>
        <v>0</v>
      </c>
      <c r="AG388" s="88">
        <f>SUMIF(月間集計シート!$M$92:$M$111,$G388,月間集計シート!P$92:P$111)*AG$2</f>
        <v>0</v>
      </c>
      <c r="AH388" s="88">
        <f>SUMIF(月間集計シート!$M$92:$M$111,$G388,月間集計シート!Q$92:Q$111)*AH$2</f>
        <v>0</v>
      </c>
      <c r="AI388" s="88">
        <f>SUMIF(月間集計シート!$M$92:$M$111,$G388,月間集計シート!R$92:R$111)*AI$2</f>
        <v>0</v>
      </c>
      <c r="AJ388" s="88">
        <f>SUMIF(月間集計シート!$M$92:$M$111,$G388,月間集計シート!S$92:S$111)*AJ$2</f>
        <v>0</v>
      </c>
      <c r="AK388" s="88">
        <f>SUMIF(月間集計シート!$M$92:$M$111,$G388,月間集計シート!T$92:T$111)*AK$2</f>
        <v>0</v>
      </c>
      <c r="AL388" s="88">
        <f>SUMIF(月間集計シート!$M$113:$M$132,$G388,月間集計シート!N$113:N$132)*AL$2</f>
        <v>0</v>
      </c>
      <c r="AM388" s="88">
        <f>SUMIF(月間集計シート!$M$113:$M$132,$G388,月間集計シート!O$113:O$132)*AM$2</f>
        <v>0</v>
      </c>
      <c r="AN388" s="88">
        <f>SUMIF(月間集計シート!$M$113:$M$132,$G388,月間集計シート!P$113:P$132)*AN$2</f>
        <v>0</v>
      </c>
      <c r="AO388" s="88">
        <f>SUMIF(月間集計シート!$M$113:$M$132,$G388,月間集計シート!Q$113:Q$132)*AO$2</f>
        <v>0</v>
      </c>
      <c r="AP388" s="88">
        <f>SUMIF(月間集計シート!$M$113:$M$132,$G388,月間集計シート!R$113:R$132)*AP$2</f>
        <v>0</v>
      </c>
      <c r="AQ388" s="88">
        <f>SUMIF(月間集計シート!$M$113:$M$132,$G388,月間集計シート!S$113:S$132)*AQ$2</f>
        <v>0</v>
      </c>
      <c r="AR388" s="88">
        <f>SUMIF(月間集計シート!$M$113:$M$132,$G388,月間集計シート!T$113:T$132)*AR$2</f>
        <v>0</v>
      </c>
      <c r="AS388" s="88">
        <f>SUMIF(月間集計シート!$M$134:$M$153,$G388,月間集計シート!N$134:N$153)*AS$2</f>
        <v>0</v>
      </c>
      <c r="AT388" s="88">
        <f>SUMIF(月間集計シート!$M$134:$M$153,$G388,月間集計シート!O$134:O$153)*AT$2</f>
        <v>0</v>
      </c>
      <c r="AU388" s="88">
        <f>SUMIF(月間集計シート!$M$134:$M$153,$G388,月間集計シート!P$134:P$153)*AU$2</f>
        <v>0</v>
      </c>
      <c r="AV388" s="88">
        <f>SUMIF(月間集計シート!$M$134:$M$153,$G388,月間集計シート!Q$134:Q$153)*AV$2</f>
        <v>0</v>
      </c>
      <c r="AW388" s="88">
        <f>SUMIF(月間集計シート!$M$134:$M$153,$G388,月間集計シート!R$134:R$153)*AW$2</f>
        <v>0</v>
      </c>
      <c r="AX388" s="88">
        <f>SUMIF(月間集計シート!$M$134:$M$153,$G388,月間集計シート!S$134:S$153)*AX$2</f>
        <v>0</v>
      </c>
      <c r="AY388" s="88">
        <f>SUMIF(月間集計シート!$M$134:$M$153,$G388,月間集計シート!T$134:T$153)*AY$2</f>
        <v>0</v>
      </c>
    </row>
    <row r="389" spans="1:51" ht="14.25" thickBot="1">
      <c r="A389">
        <v>5</v>
      </c>
      <c r="B389" s="120">
        <f t="shared" si="185"/>
        <v>0</v>
      </c>
      <c r="C389" s="120" t="str">
        <f t="shared" si="186"/>
        <v/>
      </c>
      <c r="D389" s="137"/>
      <c r="E389" s="150" t="str">
        <f>工種!A41</f>
        <v>50199</v>
      </c>
      <c r="F389" s="119" t="str">
        <f>工種!B41</f>
        <v>ﾏﾆｭｱﾙ作成：その他</v>
      </c>
      <c r="G389" s="116" t="str">
        <f t="shared" si="187"/>
        <v>050199</v>
      </c>
      <c r="H389" s="88">
        <f t="shared" si="141"/>
        <v>0</v>
      </c>
      <c r="I389" s="132"/>
      <c r="J389" s="88">
        <f>SUMIF(月間集計シート!$M$29:$M$48,$G389,月間集計シート!N$29:N$48)*J$2</f>
        <v>0</v>
      </c>
      <c r="K389" s="88">
        <f>SUMIF(月間集計シート!$M$29:$M$48,$G389,月間集計シート!O$29:O$48)*K$2</f>
        <v>0</v>
      </c>
      <c r="L389" s="88">
        <f>SUMIF(月間集計シート!$M$29:$M$48,$G389,月間集計シート!P$29:P$48)*L$2</f>
        <v>0</v>
      </c>
      <c r="M389" s="88">
        <f>SUMIF(月間集計シート!$M$29:$M$48,$G389,月間集計シート!Q$29:Q$48)*M$2</f>
        <v>0</v>
      </c>
      <c r="N389" s="88">
        <f>SUMIF(月間集計シート!$M$29:$M$48,$G389,月間集計シート!R$29:R$48)*N$2</f>
        <v>0</v>
      </c>
      <c r="O389" s="88">
        <f>SUMIF(月間集計シート!$M$29:$M$48,$G389,月間集計シート!S$29:S$48)*O$2</f>
        <v>0</v>
      </c>
      <c r="P389" s="88">
        <f>SUMIF(月間集計シート!$M$29:$M$48,$G389,月間集計シート!T$29:T$48)*P$2</f>
        <v>0</v>
      </c>
      <c r="Q389" s="88">
        <f>SUMIF(月間集計シート!$M$50:$M$69,$G389,月間集計シート!N$50:N$69)*Q$2</f>
        <v>0</v>
      </c>
      <c r="R389" s="88">
        <f>SUMIF(月間集計シート!$M$50:$M$69,$G389,月間集計シート!O$50:O$69)*R$2</f>
        <v>0</v>
      </c>
      <c r="S389" s="88">
        <f>SUMIF(月間集計シート!$M$50:$M$69,$G389,月間集計シート!P$50:P$69)*S$2</f>
        <v>0</v>
      </c>
      <c r="T389" s="88">
        <f>SUMIF(月間集計シート!$M$50:$M$69,$G389,月間集計シート!Q$50:Q$69)*T$2</f>
        <v>0</v>
      </c>
      <c r="U389" s="88">
        <f>SUMIF(月間集計シート!$M$50:$M$69,$G389,月間集計シート!R$50:R$69)*U$2</f>
        <v>0</v>
      </c>
      <c r="V389" s="88">
        <f>SUMIF(月間集計シート!$M$50:$M$69,$G389,月間集計シート!S$50:S$69)*V$2</f>
        <v>0</v>
      </c>
      <c r="W389" s="88">
        <f>SUMIF(月間集計シート!$M$50:$M$69,$G389,月間集計シート!T$50:T$69)*W$2</f>
        <v>0</v>
      </c>
      <c r="X389" s="88">
        <f>SUMIF(月間集計シート!$M$71:$M$90,$G389,月間集計シート!N$71:N$90)*X$2</f>
        <v>0</v>
      </c>
      <c r="Y389" s="88">
        <f>SUMIF(月間集計シート!$M$71:$M$90,$G389,月間集計シート!O$71:O$90)*Y$2</f>
        <v>0</v>
      </c>
      <c r="Z389" s="88">
        <f>SUMIF(月間集計シート!$M$71:$M$90,$G389,月間集計シート!P$71:P$90)*Z$2</f>
        <v>0</v>
      </c>
      <c r="AA389" s="88">
        <f>SUMIF(月間集計シート!$M$71:$M$90,$G389,月間集計シート!Q$71:Q$90)*AA$2</f>
        <v>0</v>
      </c>
      <c r="AB389" s="88">
        <f>SUMIF(月間集計シート!$M$71:$M$90,$G389,月間集計シート!R$71:R$90)*AB$2</f>
        <v>0</v>
      </c>
      <c r="AC389" s="88">
        <f>SUMIF(月間集計シート!$M$71:$M$90,$G389,月間集計シート!S$71:S$90)*AC$2</f>
        <v>0</v>
      </c>
      <c r="AD389" s="88">
        <f>SUMIF(月間集計シート!$M$71:$M$90,$G389,月間集計シート!T$71:T$90)*AD$2</f>
        <v>0</v>
      </c>
      <c r="AE389" s="88">
        <f>SUMIF(月間集計シート!$M$92:$M$111,$G389,月間集計シート!N$92:N$111)*AE$2</f>
        <v>0</v>
      </c>
      <c r="AF389" s="88">
        <f>SUMIF(月間集計シート!$M$92:$M$111,$G389,月間集計シート!O$92:O$111)*AF$2</f>
        <v>0</v>
      </c>
      <c r="AG389" s="88">
        <f>SUMIF(月間集計シート!$M$92:$M$111,$G389,月間集計シート!P$92:P$111)*AG$2</f>
        <v>0</v>
      </c>
      <c r="AH389" s="88">
        <f>SUMIF(月間集計シート!$M$92:$M$111,$G389,月間集計シート!Q$92:Q$111)*AH$2</f>
        <v>0</v>
      </c>
      <c r="AI389" s="88">
        <f>SUMIF(月間集計シート!$M$92:$M$111,$G389,月間集計シート!R$92:R$111)*AI$2</f>
        <v>0</v>
      </c>
      <c r="AJ389" s="88">
        <f>SUMIF(月間集計シート!$M$92:$M$111,$G389,月間集計シート!S$92:S$111)*AJ$2</f>
        <v>0</v>
      </c>
      <c r="AK389" s="88">
        <f>SUMIF(月間集計シート!$M$92:$M$111,$G389,月間集計シート!T$92:T$111)*AK$2</f>
        <v>0</v>
      </c>
      <c r="AL389" s="88">
        <f>SUMIF(月間集計シート!$M$113:$M$132,$G389,月間集計シート!N$113:N$132)*AL$2</f>
        <v>0</v>
      </c>
      <c r="AM389" s="88">
        <f>SUMIF(月間集計シート!$M$113:$M$132,$G389,月間集計シート!O$113:O$132)*AM$2</f>
        <v>0</v>
      </c>
      <c r="AN389" s="88">
        <f>SUMIF(月間集計シート!$M$113:$M$132,$G389,月間集計シート!P$113:P$132)*AN$2</f>
        <v>0</v>
      </c>
      <c r="AO389" s="88">
        <f>SUMIF(月間集計シート!$M$113:$M$132,$G389,月間集計シート!Q$113:Q$132)*AO$2</f>
        <v>0</v>
      </c>
      <c r="AP389" s="88">
        <f>SUMIF(月間集計シート!$M$113:$M$132,$G389,月間集計シート!R$113:R$132)*AP$2</f>
        <v>0</v>
      </c>
      <c r="AQ389" s="88">
        <f>SUMIF(月間集計シート!$M$113:$M$132,$G389,月間集計シート!S$113:S$132)*AQ$2</f>
        <v>0</v>
      </c>
      <c r="AR389" s="88">
        <f>SUMIF(月間集計シート!$M$113:$M$132,$G389,月間集計シート!T$113:T$132)*AR$2</f>
        <v>0</v>
      </c>
      <c r="AS389" s="88">
        <f>SUMIF(月間集計シート!$M$134:$M$153,$G389,月間集計シート!N$134:N$153)*AS$2</f>
        <v>0</v>
      </c>
      <c r="AT389" s="88">
        <f>SUMIF(月間集計シート!$M$134:$M$153,$G389,月間集計シート!O$134:O$153)*AT$2</f>
        <v>0</v>
      </c>
      <c r="AU389" s="88">
        <f>SUMIF(月間集計シート!$M$134:$M$153,$G389,月間集計シート!P$134:P$153)*AU$2</f>
        <v>0</v>
      </c>
      <c r="AV389" s="88">
        <f>SUMIF(月間集計シート!$M$134:$M$153,$G389,月間集計シート!Q$134:Q$153)*AV$2</f>
        <v>0</v>
      </c>
      <c r="AW389" s="88">
        <f>SUMIF(月間集計シート!$M$134:$M$153,$G389,月間集計シート!R$134:R$153)*AW$2</f>
        <v>0</v>
      </c>
      <c r="AX389" s="88">
        <f>SUMIF(月間集計シート!$M$134:$M$153,$G389,月間集計シート!S$134:S$153)*AX$2</f>
        <v>0</v>
      </c>
      <c r="AY389" s="88">
        <f>SUMIF(月間集計シート!$M$134:$M$153,$G389,月間集計シート!T$134:T$153)*AY$2</f>
        <v>0</v>
      </c>
    </row>
    <row r="390" spans="1:51" ht="14.25" thickBot="1">
      <c r="A390">
        <v>5</v>
      </c>
      <c r="B390" s="120">
        <f t="shared" si="185"/>
        <v>0</v>
      </c>
      <c r="C390" s="120" t="str">
        <f t="shared" si="186"/>
        <v/>
      </c>
      <c r="D390" s="137"/>
      <c r="E390" s="150" t="str">
        <f>工種!A42</f>
        <v>60101</v>
      </c>
      <c r="F390" s="119" t="str">
        <f>工種!B42</f>
        <v>ﾘﾘｰｽ：ﾘﾘｰｽ・ﾃﾞﾘﾊﾞﾘ作業</v>
      </c>
      <c r="G390" s="116" t="str">
        <f t="shared" si="187"/>
        <v>060101</v>
      </c>
      <c r="H390" s="88">
        <f t="shared" si="141"/>
        <v>0</v>
      </c>
      <c r="I390" s="132"/>
      <c r="J390" s="88">
        <f>SUMIF(月間集計シート!$M$29:$M$48,$G390,月間集計シート!N$29:N$48)*J$2</f>
        <v>0</v>
      </c>
      <c r="K390" s="88">
        <f>SUMIF(月間集計シート!$M$29:$M$48,$G390,月間集計シート!O$29:O$48)*K$2</f>
        <v>0</v>
      </c>
      <c r="L390" s="88">
        <f>SUMIF(月間集計シート!$M$29:$M$48,$G390,月間集計シート!P$29:P$48)*L$2</f>
        <v>0</v>
      </c>
      <c r="M390" s="88">
        <f>SUMIF(月間集計シート!$M$29:$M$48,$G390,月間集計シート!Q$29:Q$48)*M$2</f>
        <v>0</v>
      </c>
      <c r="N390" s="88">
        <f>SUMIF(月間集計シート!$M$29:$M$48,$G390,月間集計シート!R$29:R$48)*N$2</f>
        <v>0</v>
      </c>
      <c r="O390" s="88">
        <f>SUMIF(月間集計シート!$M$29:$M$48,$G390,月間集計シート!S$29:S$48)*O$2</f>
        <v>0</v>
      </c>
      <c r="P390" s="88">
        <f>SUMIF(月間集計シート!$M$29:$M$48,$G390,月間集計シート!T$29:T$48)*P$2</f>
        <v>0</v>
      </c>
      <c r="Q390" s="88">
        <f>SUMIF(月間集計シート!$M$50:$M$69,$G390,月間集計シート!N$50:N$69)*Q$2</f>
        <v>0</v>
      </c>
      <c r="R390" s="88">
        <f>SUMIF(月間集計シート!$M$50:$M$69,$G390,月間集計シート!O$50:O$69)*R$2</f>
        <v>0</v>
      </c>
      <c r="S390" s="88">
        <f>SUMIF(月間集計シート!$M$50:$M$69,$G390,月間集計シート!P$50:P$69)*S$2</f>
        <v>0</v>
      </c>
      <c r="T390" s="88">
        <f>SUMIF(月間集計シート!$M$50:$M$69,$G390,月間集計シート!Q$50:Q$69)*T$2</f>
        <v>0</v>
      </c>
      <c r="U390" s="88">
        <f>SUMIF(月間集計シート!$M$50:$M$69,$G390,月間集計シート!R$50:R$69)*U$2</f>
        <v>0</v>
      </c>
      <c r="V390" s="88">
        <f>SUMIF(月間集計シート!$M$50:$M$69,$G390,月間集計シート!S$50:S$69)*V$2</f>
        <v>0</v>
      </c>
      <c r="W390" s="88">
        <f>SUMIF(月間集計シート!$M$50:$M$69,$G390,月間集計シート!T$50:T$69)*W$2</f>
        <v>0</v>
      </c>
      <c r="X390" s="88">
        <f>SUMIF(月間集計シート!$M$71:$M$90,$G390,月間集計シート!N$71:N$90)*X$2</f>
        <v>0</v>
      </c>
      <c r="Y390" s="88">
        <f>SUMIF(月間集計シート!$M$71:$M$90,$G390,月間集計シート!O$71:O$90)*Y$2</f>
        <v>0</v>
      </c>
      <c r="Z390" s="88">
        <f>SUMIF(月間集計シート!$M$71:$M$90,$G390,月間集計シート!P$71:P$90)*Z$2</f>
        <v>0</v>
      </c>
      <c r="AA390" s="88">
        <f>SUMIF(月間集計シート!$M$71:$M$90,$G390,月間集計シート!Q$71:Q$90)*AA$2</f>
        <v>0</v>
      </c>
      <c r="AB390" s="88">
        <f>SUMIF(月間集計シート!$M$71:$M$90,$G390,月間集計シート!R$71:R$90)*AB$2</f>
        <v>0</v>
      </c>
      <c r="AC390" s="88">
        <f>SUMIF(月間集計シート!$M$71:$M$90,$G390,月間集計シート!S$71:S$90)*AC$2</f>
        <v>0</v>
      </c>
      <c r="AD390" s="88">
        <f>SUMIF(月間集計シート!$M$71:$M$90,$G390,月間集計シート!T$71:T$90)*AD$2</f>
        <v>0</v>
      </c>
      <c r="AE390" s="88">
        <f>SUMIF(月間集計シート!$M$92:$M$111,$G390,月間集計シート!N$92:N$111)*AE$2</f>
        <v>0</v>
      </c>
      <c r="AF390" s="88">
        <f>SUMIF(月間集計シート!$M$92:$M$111,$G390,月間集計シート!O$92:O$111)*AF$2</f>
        <v>0</v>
      </c>
      <c r="AG390" s="88">
        <f>SUMIF(月間集計シート!$M$92:$M$111,$G390,月間集計シート!P$92:P$111)*AG$2</f>
        <v>0</v>
      </c>
      <c r="AH390" s="88">
        <f>SUMIF(月間集計シート!$M$92:$M$111,$G390,月間集計シート!Q$92:Q$111)*AH$2</f>
        <v>0</v>
      </c>
      <c r="AI390" s="88">
        <f>SUMIF(月間集計シート!$M$92:$M$111,$G390,月間集計シート!R$92:R$111)*AI$2</f>
        <v>0</v>
      </c>
      <c r="AJ390" s="88">
        <f>SUMIF(月間集計シート!$M$92:$M$111,$G390,月間集計シート!S$92:S$111)*AJ$2</f>
        <v>0</v>
      </c>
      <c r="AK390" s="88">
        <f>SUMIF(月間集計シート!$M$92:$M$111,$G390,月間集計シート!T$92:T$111)*AK$2</f>
        <v>0</v>
      </c>
      <c r="AL390" s="88">
        <f>SUMIF(月間集計シート!$M$113:$M$132,$G390,月間集計シート!N$113:N$132)*AL$2</f>
        <v>0</v>
      </c>
      <c r="AM390" s="88">
        <f>SUMIF(月間集計シート!$M$113:$M$132,$G390,月間集計シート!O$113:O$132)*AM$2</f>
        <v>0</v>
      </c>
      <c r="AN390" s="88">
        <f>SUMIF(月間集計シート!$M$113:$M$132,$G390,月間集計シート!P$113:P$132)*AN$2</f>
        <v>0</v>
      </c>
      <c r="AO390" s="88">
        <f>SUMIF(月間集計シート!$M$113:$M$132,$G390,月間集計シート!Q$113:Q$132)*AO$2</f>
        <v>0</v>
      </c>
      <c r="AP390" s="88">
        <f>SUMIF(月間集計シート!$M$113:$M$132,$G390,月間集計シート!R$113:R$132)*AP$2</f>
        <v>0</v>
      </c>
      <c r="AQ390" s="88">
        <f>SUMIF(月間集計シート!$M$113:$M$132,$G390,月間集計シート!S$113:S$132)*AQ$2</f>
        <v>0</v>
      </c>
      <c r="AR390" s="88">
        <f>SUMIF(月間集計シート!$M$113:$M$132,$G390,月間集計シート!T$113:T$132)*AR$2</f>
        <v>0</v>
      </c>
      <c r="AS390" s="88">
        <f>SUMIF(月間集計シート!$M$134:$M$153,$G390,月間集計シート!N$134:N$153)*AS$2</f>
        <v>0</v>
      </c>
      <c r="AT390" s="88">
        <f>SUMIF(月間集計シート!$M$134:$M$153,$G390,月間集計シート!O$134:O$153)*AT$2</f>
        <v>0</v>
      </c>
      <c r="AU390" s="88">
        <f>SUMIF(月間集計シート!$M$134:$M$153,$G390,月間集計シート!P$134:P$153)*AU$2</f>
        <v>0</v>
      </c>
      <c r="AV390" s="88">
        <f>SUMIF(月間集計シート!$M$134:$M$153,$G390,月間集計シート!Q$134:Q$153)*AV$2</f>
        <v>0</v>
      </c>
      <c r="AW390" s="88">
        <f>SUMIF(月間集計シート!$M$134:$M$153,$G390,月間集計シート!R$134:R$153)*AW$2</f>
        <v>0</v>
      </c>
      <c r="AX390" s="88">
        <f>SUMIF(月間集計シート!$M$134:$M$153,$G390,月間集計シート!S$134:S$153)*AX$2</f>
        <v>0</v>
      </c>
      <c r="AY390" s="88">
        <f>SUMIF(月間集計シート!$M$134:$M$153,$G390,月間集計シート!T$134:T$153)*AY$2</f>
        <v>0</v>
      </c>
    </row>
    <row r="391" spans="1:51" ht="14.25" thickBot="1">
      <c r="A391">
        <v>5</v>
      </c>
      <c r="B391" s="120">
        <f t="shared" si="185"/>
        <v>0</v>
      </c>
      <c r="C391" s="120" t="str">
        <f t="shared" si="186"/>
        <v/>
      </c>
      <c r="D391" s="137"/>
      <c r="E391" s="150" t="str">
        <f>工種!A43</f>
        <v>60102</v>
      </c>
      <c r="F391" s="119" t="str">
        <f>工種!B43</f>
        <v>ﾘﾘｰｽ：ﾘﾘｰｽ関連業務</v>
      </c>
      <c r="G391" s="116" t="str">
        <f t="shared" si="187"/>
        <v>060102</v>
      </c>
      <c r="H391" s="88">
        <f t="shared" si="141"/>
        <v>0</v>
      </c>
      <c r="I391" s="132"/>
      <c r="J391" s="88">
        <f>SUMIF(月間集計シート!$M$29:$M$48,$G391,月間集計シート!N$29:N$48)*J$2</f>
        <v>0</v>
      </c>
      <c r="K391" s="88">
        <f>SUMIF(月間集計シート!$M$29:$M$48,$G391,月間集計シート!O$29:O$48)*K$2</f>
        <v>0</v>
      </c>
      <c r="L391" s="88">
        <f>SUMIF(月間集計シート!$M$29:$M$48,$G391,月間集計シート!P$29:P$48)*L$2</f>
        <v>0</v>
      </c>
      <c r="M391" s="88">
        <f>SUMIF(月間集計シート!$M$29:$M$48,$G391,月間集計シート!Q$29:Q$48)*M$2</f>
        <v>0</v>
      </c>
      <c r="N391" s="88">
        <f>SUMIF(月間集計シート!$M$29:$M$48,$G391,月間集計シート!R$29:R$48)*N$2</f>
        <v>0</v>
      </c>
      <c r="O391" s="88">
        <f>SUMIF(月間集計シート!$M$29:$M$48,$G391,月間集計シート!S$29:S$48)*O$2</f>
        <v>0</v>
      </c>
      <c r="P391" s="88">
        <f>SUMIF(月間集計シート!$M$29:$M$48,$G391,月間集計シート!T$29:T$48)*P$2</f>
        <v>0</v>
      </c>
      <c r="Q391" s="88">
        <f>SUMIF(月間集計シート!$M$50:$M$69,$G391,月間集計シート!N$50:N$69)*Q$2</f>
        <v>0</v>
      </c>
      <c r="R391" s="88">
        <f>SUMIF(月間集計シート!$M$50:$M$69,$G391,月間集計シート!O$50:O$69)*R$2</f>
        <v>0</v>
      </c>
      <c r="S391" s="88">
        <f>SUMIF(月間集計シート!$M$50:$M$69,$G391,月間集計シート!P$50:P$69)*S$2</f>
        <v>0</v>
      </c>
      <c r="T391" s="88">
        <f>SUMIF(月間集計シート!$M$50:$M$69,$G391,月間集計シート!Q$50:Q$69)*T$2</f>
        <v>0</v>
      </c>
      <c r="U391" s="88">
        <f>SUMIF(月間集計シート!$M$50:$M$69,$G391,月間集計シート!R$50:R$69)*U$2</f>
        <v>0</v>
      </c>
      <c r="V391" s="88">
        <f>SUMIF(月間集計シート!$M$50:$M$69,$G391,月間集計シート!S$50:S$69)*V$2</f>
        <v>0</v>
      </c>
      <c r="W391" s="88">
        <f>SUMIF(月間集計シート!$M$50:$M$69,$G391,月間集計シート!T$50:T$69)*W$2</f>
        <v>0</v>
      </c>
      <c r="X391" s="88">
        <f>SUMIF(月間集計シート!$M$71:$M$90,$G391,月間集計シート!N$71:N$90)*X$2</f>
        <v>0</v>
      </c>
      <c r="Y391" s="88">
        <f>SUMIF(月間集計シート!$M$71:$M$90,$G391,月間集計シート!O$71:O$90)*Y$2</f>
        <v>0</v>
      </c>
      <c r="Z391" s="88">
        <f>SUMIF(月間集計シート!$M$71:$M$90,$G391,月間集計シート!P$71:P$90)*Z$2</f>
        <v>0</v>
      </c>
      <c r="AA391" s="88">
        <f>SUMIF(月間集計シート!$M$71:$M$90,$G391,月間集計シート!Q$71:Q$90)*AA$2</f>
        <v>0</v>
      </c>
      <c r="AB391" s="88">
        <f>SUMIF(月間集計シート!$M$71:$M$90,$G391,月間集計シート!R$71:R$90)*AB$2</f>
        <v>0</v>
      </c>
      <c r="AC391" s="88">
        <f>SUMIF(月間集計シート!$M$71:$M$90,$G391,月間集計シート!S$71:S$90)*AC$2</f>
        <v>0</v>
      </c>
      <c r="AD391" s="88">
        <f>SUMIF(月間集計シート!$M$71:$M$90,$G391,月間集計シート!T$71:T$90)*AD$2</f>
        <v>0</v>
      </c>
      <c r="AE391" s="88">
        <f>SUMIF(月間集計シート!$M$92:$M$111,$G391,月間集計シート!N$92:N$111)*AE$2</f>
        <v>0</v>
      </c>
      <c r="AF391" s="88">
        <f>SUMIF(月間集計シート!$M$92:$M$111,$G391,月間集計シート!O$92:O$111)*AF$2</f>
        <v>0</v>
      </c>
      <c r="AG391" s="88">
        <f>SUMIF(月間集計シート!$M$92:$M$111,$G391,月間集計シート!P$92:P$111)*AG$2</f>
        <v>0</v>
      </c>
      <c r="AH391" s="88">
        <f>SUMIF(月間集計シート!$M$92:$M$111,$G391,月間集計シート!Q$92:Q$111)*AH$2</f>
        <v>0</v>
      </c>
      <c r="AI391" s="88">
        <f>SUMIF(月間集計シート!$M$92:$M$111,$G391,月間集計シート!R$92:R$111)*AI$2</f>
        <v>0</v>
      </c>
      <c r="AJ391" s="88">
        <f>SUMIF(月間集計シート!$M$92:$M$111,$G391,月間集計シート!S$92:S$111)*AJ$2</f>
        <v>0</v>
      </c>
      <c r="AK391" s="88">
        <f>SUMIF(月間集計シート!$M$92:$M$111,$G391,月間集計シート!T$92:T$111)*AK$2</f>
        <v>0</v>
      </c>
      <c r="AL391" s="88">
        <f>SUMIF(月間集計シート!$M$113:$M$132,$G391,月間集計シート!N$113:N$132)*AL$2</f>
        <v>0</v>
      </c>
      <c r="AM391" s="88">
        <f>SUMIF(月間集計シート!$M$113:$M$132,$G391,月間集計シート!O$113:O$132)*AM$2</f>
        <v>0</v>
      </c>
      <c r="AN391" s="88">
        <f>SUMIF(月間集計シート!$M$113:$M$132,$G391,月間集計シート!P$113:P$132)*AN$2</f>
        <v>0</v>
      </c>
      <c r="AO391" s="88">
        <f>SUMIF(月間集計シート!$M$113:$M$132,$G391,月間集計シート!Q$113:Q$132)*AO$2</f>
        <v>0</v>
      </c>
      <c r="AP391" s="88">
        <f>SUMIF(月間集計シート!$M$113:$M$132,$G391,月間集計シート!R$113:R$132)*AP$2</f>
        <v>0</v>
      </c>
      <c r="AQ391" s="88">
        <f>SUMIF(月間集計シート!$M$113:$M$132,$G391,月間集計シート!S$113:S$132)*AQ$2</f>
        <v>0</v>
      </c>
      <c r="AR391" s="88">
        <f>SUMIF(月間集計シート!$M$113:$M$132,$G391,月間集計シート!T$113:T$132)*AR$2</f>
        <v>0</v>
      </c>
      <c r="AS391" s="88">
        <f>SUMIF(月間集計シート!$M$134:$M$153,$G391,月間集計シート!N$134:N$153)*AS$2</f>
        <v>0</v>
      </c>
      <c r="AT391" s="88">
        <f>SUMIF(月間集計シート!$M$134:$M$153,$G391,月間集計シート!O$134:O$153)*AT$2</f>
        <v>0</v>
      </c>
      <c r="AU391" s="88">
        <f>SUMIF(月間集計シート!$M$134:$M$153,$G391,月間集計シート!P$134:P$153)*AU$2</f>
        <v>0</v>
      </c>
      <c r="AV391" s="88">
        <f>SUMIF(月間集計シート!$M$134:$M$153,$G391,月間集計シート!Q$134:Q$153)*AV$2</f>
        <v>0</v>
      </c>
      <c r="AW391" s="88">
        <f>SUMIF(月間集計シート!$M$134:$M$153,$G391,月間集計シート!R$134:R$153)*AW$2</f>
        <v>0</v>
      </c>
      <c r="AX391" s="88">
        <f>SUMIF(月間集計シート!$M$134:$M$153,$G391,月間集計シート!S$134:S$153)*AX$2</f>
        <v>0</v>
      </c>
      <c r="AY391" s="88">
        <f>SUMIF(月間集計シート!$M$134:$M$153,$G391,月間集計シート!T$134:T$153)*AY$2</f>
        <v>0</v>
      </c>
    </row>
    <row r="392" spans="1:51" ht="14.25" thickBot="1">
      <c r="A392">
        <v>5</v>
      </c>
      <c r="B392" s="120">
        <f t="shared" si="185"/>
        <v>0</v>
      </c>
      <c r="C392" s="120" t="str">
        <f t="shared" si="186"/>
        <v/>
      </c>
      <c r="D392" s="137"/>
      <c r="E392" s="150" t="str">
        <f>工種!A44</f>
        <v>60103</v>
      </c>
      <c r="F392" s="119" t="str">
        <f>工種!B44</f>
        <v>ﾘﾘｰｽ：ﾏﾆｭｱﾙPDF作成・修正</v>
      </c>
      <c r="G392" s="116" t="str">
        <f t="shared" si="187"/>
        <v>060103</v>
      </c>
      <c r="H392" s="88">
        <f t="shared" si="141"/>
        <v>0</v>
      </c>
      <c r="I392" s="132"/>
      <c r="J392" s="88">
        <f>SUMIF(月間集計シート!$M$29:$M$48,$G392,月間集計シート!N$29:N$48)*J$2</f>
        <v>0</v>
      </c>
      <c r="K392" s="88">
        <f>SUMIF(月間集計シート!$M$29:$M$48,$G392,月間集計シート!O$29:O$48)*K$2</f>
        <v>0</v>
      </c>
      <c r="L392" s="88">
        <f>SUMIF(月間集計シート!$M$29:$M$48,$G392,月間集計シート!P$29:P$48)*L$2</f>
        <v>0</v>
      </c>
      <c r="M392" s="88">
        <f>SUMIF(月間集計シート!$M$29:$M$48,$G392,月間集計シート!Q$29:Q$48)*M$2</f>
        <v>0</v>
      </c>
      <c r="N392" s="88">
        <f>SUMIF(月間集計シート!$M$29:$M$48,$G392,月間集計シート!R$29:R$48)*N$2</f>
        <v>0</v>
      </c>
      <c r="O392" s="88">
        <f>SUMIF(月間集計シート!$M$29:$M$48,$G392,月間集計シート!S$29:S$48)*O$2</f>
        <v>0</v>
      </c>
      <c r="P392" s="88">
        <f>SUMIF(月間集計シート!$M$29:$M$48,$G392,月間集計シート!T$29:T$48)*P$2</f>
        <v>0</v>
      </c>
      <c r="Q392" s="88">
        <f>SUMIF(月間集計シート!$M$50:$M$69,$G392,月間集計シート!N$50:N$69)*Q$2</f>
        <v>0</v>
      </c>
      <c r="R392" s="88">
        <f>SUMIF(月間集計シート!$M$50:$M$69,$G392,月間集計シート!O$50:O$69)*R$2</f>
        <v>0</v>
      </c>
      <c r="S392" s="88">
        <f>SUMIF(月間集計シート!$M$50:$M$69,$G392,月間集計シート!P$50:P$69)*S$2</f>
        <v>0</v>
      </c>
      <c r="T392" s="88">
        <f>SUMIF(月間集計シート!$M$50:$M$69,$G392,月間集計シート!Q$50:Q$69)*T$2</f>
        <v>0</v>
      </c>
      <c r="U392" s="88">
        <f>SUMIF(月間集計シート!$M$50:$M$69,$G392,月間集計シート!R$50:R$69)*U$2</f>
        <v>0</v>
      </c>
      <c r="V392" s="88">
        <f>SUMIF(月間集計シート!$M$50:$M$69,$G392,月間集計シート!S$50:S$69)*V$2</f>
        <v>0</v>
      </c>
      <c r="W392" s="88">
        <f>SUMIF(月間集計シート!$M$50:$M$69,$G392,月間集計シート!T$50:T$69)*W$2</f>
        <v>0</v>
      </c>
      <c r="X392" s="88">
        <f>SUMIF(月間集計シート!$M$71:$M$90,$G392,月間集計シート!N$71:N$90)*X$2</f>
        <v>0</v>
      </c>
      <c r="Y392" s="88">
        <f>SUMIF(月間集計シート!$M$71:$M$90,$G392,月間集計シート!O$71:O$90)*Y$2</f>
        <v>0</v>
      </c>
      <c r="Z392" s="88">
        <f>SUMIF(月間集計シート!$M$71:$M$90,$G392,月間集計シート!P$71:P$90)*Z$2</f>
        <v>0</v>
      </c>
      <c r="AA392" s="88">
        <f>SUMIF(月間集計シート!$M$71:$M$90,$G392,月間集計シート!Q$71:Q$90)*AA$2</f>
        <v>0</v>
      </c>
      <c r="AB392" s="88">
        <f>SUMIF(月間集計シート!$M$71:$M$90,$G392,月間集計シート!R$71:R$90)*AB$2</f>
        <v>0</v>
      </c>
      <c r="AC392" s="88">
        <f>SUMIF(月間集計シート!$M$71:$M$90,$G392,月間集計シート!S$71:S$90)*AC$2</f>
        <v>0</v>
      </c>
      <c r="AD392" s="88">
        <f>SUMIF(月間集計シート!$M$71:$M$90,$G392,月間集計シート!T$71:T$90)*AD$2</f>
        <v>0</v>
      </c>
      <c r="AE392" s="88">
        <f>SUMIF(月間集計シート!$M$92:$M$111,$G392,月間集計シート!N$92:N$111)*AE$2</f>
        <v>0</v>
      </c>
      <c r="AF392" s="88">
        <f>SUMIF(月間集計シート!$M$92:$M$111,$G392,月間集計シート!O$92:O$111)*AF$2</f>
        <v>0</v>
      </c>
      <c r="AG392" s="88">
        <f>SUMIF(月間集計シート!$M$92:$M$111,$G392,月間集計シート!P$92:P$111)*AG$2</f>
        <v>0</v>
      </c>
      <c r="AH392" s="88">
        <f>SUMIF(月間集計シート!$M$92:$M$111,$G392,月間集計シート!Q$92:Q$111)*AH$2</f>
        <v>0</v>
      </c>
      <c r="AI392" s="88">
        <f>SUMIF(月間集計シート!$M$92:$M$111,$G392,月間集計シート!R$92:R$111)*AI$2</f>
        <v>0</v>
      </c>
      <c r="AJ392" s="88">
        <f>SUMIF(月間集計シート!$M$92:$M$111,$G392,月間集計シート!S$92:S$111)*AJ$2</f>
        <v>0</v>
      </c>
      <c r="AK392" s="88">
        <f>SUMIF(月間集計シート!$M$92:$M$111,$G392,月間集計シート!T$92:T$111)*AK$2</f>
        <v>0</v>
      </c>
      <c r="AL392" s="88">
        <f>SUMIF(月間集計シート!$M$113:$M$132,$G392,月間集計シート!N$113:N$132)*AL$2</f>
        <v>0</v>
      </c>
      <c r="AM392" s="88">
        <f>SUMIF(月間集計シート!$M$113:$M$132,$G392,月間集計シート!O$113:O$132)*AM$2</f>
        <v>0</v>
      </c>
      <c r="AN392" s="88">
        <f>SUMIF(月間集計シート!$M$113:$M$132,$G392,月間集計シート!P$113:P$132)*AN$2</f>
        <v>0</v>
      </c>
      <c r="AO392" s="88">
        <f>SUMIF(月間集計シート!$M$113:$M$132,$G392,月間集計シート!Q$113:Q$132)*AO$2</f>
        <v>0</v>
      </c>
      <c r="AP392" s="88">
        <f>SUMIF(月間集計シート!$M$113:$M$132,$G392,月間集計シート!R$113:R$132)*AP$2</f>
        <v>0</v>
      </c>
      <c r="AQ392" s="88">
        <f>SUMIF(月間集計シート!$M$113:$M$132,$G392,月間集計シート!S$113:S$132)*AQ$2</f>
        <v>0</v>
      </c>
      <c r="AR392" s="88">
        <f>SUMIF(月間集計シート!$M$113:$M$132,$G392,月間集計シート!T$113:T$132)*AR$2</f>
        <v>0</v>
      </c>
      <c r="AS392" s="88">
        <f>SUMIF(月間集計シート!$M$134:$M$153,$G392,月間集計シート!N$134:N$153)*AS$2</f>
        <v>0</v>
      </c>
      <c r="AT392" s="88">
        <f>SUMIF(月間集計シート!$M$134:$M$153,$G392,月間集計シート!O$134:O$153)*AT$2</f>
        <v>0</v>
      </c>
      <c r="AU392" s="88">
        <f>SUMIF(月間集計シート!$M$134:$M$153,$G392,月間集計シート!P$134:P$153)*AU$2</f>
        <v>0</v>
      </c>
      <c r="AV392" s="88">
        <f>SUMIF(月間集計シート!$M$134:$M$153,$G392,月間集計シート!Q$134:Q$153)*AV$2</f>
        <v>0</v>
      </c>
      <c r="AW392" s="88">
        <f>SUMIF(月間集計シート!$M$134:$M$153,$G392,月間集計シート!R$134:R$153)*AW$2</f>
        <v>0</v>
      </c>
      <c r="AX392" s="88">
        <f>SUMIF(月間集計シート!$M$134:$M$153,$G392,月間集計シート!S$134:S$153)*AX$2</f>
        <v>0</v>
      </c>
      <c r="AY392" s="88">
        <f>SUMIF(月間集計シート!$M$134:$M$153,$G392,月間集計シート!T$134:T$153)*AY$2</f>
        <v>0</v>
      </c>
    </row>
    <row r="393" spans="1:51" ht="14.25" thickBot="1">
      <c r="A393">
        <v>5</v>
      </c>
      <c r="B393" s="120">
        <f t="shared" si="185"/>
        <v>0</v>
      </c>
      <c r="C393" s="120" t="str">
        <f t="shared" si="186"/>
        <v/>
      </c>
      <c r="D393" s="137"/>
      <c r="E393" s="150" t="str">
        <f>工種!A45</f>
        <v>60104</v>
      </c>
      <c r="F393" s="119" t="str">
        <f>工種!B45</f>
        <v>ﾘﾘｰｽ：ﾍﾙﾌﾟ作成・修正</v>
      </c>
      <c r="G393" s="116" t="str">
        <f t="shared" si="187"/>
        <v>060104</v>
      </c>
      <c r="H393" s="88">
        <f t="shared" si="141"/>
        <v>0</v>
      </c>
      <c r="I393" s="132"/>
      <c r="J393" s="88">
        <f>SUMIF(月間集計シート!$M$29:$M$48,$G393,月間集計シート!N$29:N$48)*J$2</f>
        <v>0</v>
      </c>
      <c r="K393" s="88">
        <f>SUMIF(月間集計シート!$M$29:$M$48,$G393,月間集計シート!O$29:O$48)*K$2</f>
        <v>0</v>
      </c>
      <c r="L393" s="88">
        <f>SUMIF(月間集計シート!$M$29:$M$48,$G393,月間集計シート!P$29:P$48)*L$2</f>
        <v>0</v>
      </c>
      <c r="M393" s="88">
        <f>SUMIF(月間集計シート!$M$29:$M$48,$G393,月間集計シート!Q$29:Q$48)*M$2</f>
        <v>0</v>
      </c>
      <c r="N393" s="88">
        <f>SUMIF(月間集計シート!$M$29:$M$48,$G393,月間集計シート!R$29:R$48)*N$2</f>
        <v>0</v>
      </c>
      <c r="O393" s="88">
        <f>SUMIF(月間集計シート!$M$29:$M$48,$G393,月間集計シート!S$29:S$48)*O$2</f>
        <v>0</v>
      </c>
      <c r="P393" s="88">
        <f>SUMIF(月間集計シート!$M$29:$M$48,$G393,月間集計シート!T$29:T$48)*P$2</f>
        <v>0</v>
      </c>
      <c r="Q393" s="88">
        <f>SUMIF(月間集計シート!$M$50:$M$69,$G393,月間集計シート!N$50:N$69)*Q$2</f>
        <v>0</v>
      </c>
      <c r="R393" s="88">
        <f>SUMIF(月間集計シート!$M$50:$M$69,$G393,月間集計シート!O$50:O$69)*R$2</f>
        <v>0</v>
      </c>
      <c r="S393" s="88">
        <f>SUMIF(月間集計シート!$M$50:$M$69,$G393,月間集計シート!P$50:P$69)*S$2</f>
        <v>0</v>
      </c>
      <c r="T393" s="88">
        <f>SUMIF(月間集計シート!$M$50:$M$69,$G393,月間集計シート!Q$50:Q$69)*T$2</f>
        <v>0</v>
      </c>
      <c r="U393" s="88">
        <f>SUMIF(月間集計シート!$M$50:$M$69,$G393,月間集計シート!R$50:R$69)*U$2</f>
        <v>0</v>
      </c>
      <c r="V393" s="88">
        <f>SUMIF(月間集計シート!$M$50:$M$69,$G393,月間集計シート!S$50:S$69)*V$2</f>
        <v>0</v>
      </c>
      <c r="W393" s="88">
        <f>SUMIF(月間集計シート!$M$50:$M$69,$G393,月間集計シート!T$50:T$69)*W$2</f>
        <v>0</v>
      </c>
      <c r="X393" s="88">
        <f>SUMIF(月間集計シート!$M$71:$M$90,$G393,月間集計シート!N$71:N$90)*X$2</f>
        <v>0</v>
      </c>
      <c r="Y393" s="88">
        <f>SUMIF(月間集計シート!$M$71:$M$90,$G393,月間集計シート!O$71:O$90)*Y$2</f>
        <v>0</v>
      </c>
      <c r="Z393" s="88">
        <f>SUMIF(月間集計シート!$M$71:$M$90,$G393,月間集計シート!P$71:P$90)*Z$2</f>
        <v>0</v>
      </c>
      <c r="AA393" s="88">
        <f>SUMIF(月間集計シート!$M$71:$M$90,$G393,月間集計シート!Q$71:Q$90)*AA$2</f>
        <v>0</v>
      </c>
      <c r="AB393" s="88">
        <f>SUMIF(月間集計シート!$M$71:$M$90,$G393,月間集計シート!R$71:R$90)*AB$2</f>
        <v>0</v>
      </c>
      <c r="AC393" s="88">
        <f>SUMIF(月間集計シート!$M$71:$M$90,$G393,月間集計シート!S$71:S$90)*AC$2</f>
        <v>0</v>
      </c>
      <c r="AD393" s="88">
        <f>SUMIF(月間集計シート!$M$71:$M$90,$G393,月間集計シート!T$71:T$90)*AD$2</f>
        <v>0</v>
      </c>
      <c r="AE393" s="88">
        <f>SUMIF(月間集計シート!$M$92:$M$111,$G393,月間集計シート!N$92:N$111)*AE$2</f>
        <v>0</v>
      </c>
      <c r="AF393" s="88">
        <f>SUMIF(月間集計シート!$M$92:$M$111,$G393,月間集計シート!O$92:O$111)*AF$2</f>
        <v>0</v>
      </c>
      <c r="AG393" s="88">
        <f>SUMIF(月間集計シート!$M$92:$M$111,$G393,月間集計シート!P$92:P$111)*AG$2</f>
        <v>0</v>
      </c>
      <c r="AH393" s="88">
        <f>SUMIF(月間集計シート!$M$92:$M$111,$G393,月間集計シート!Q$92:Q$111)*AH$2</f>
        <v>0</v>
      </c>
      <c r="AI393" s="88">
        <f>SUMIF(月間集計シート!$M$92:$M$111,$G393,月間集計シート!R$92:R$111)*AI$2</f>
        <v>0</v>
      </c>
      <c r="AJ393" s="88">
        <f>SUMIF(月間集計シート!$M$92:$M$111,$G393,月間集計シート!S$92:S$111)*AJ$2</f>
        <v>0</v>
      </c>
      <c r="AK393" s="88">
        <f>SUMIF(月間集計シート!$M$92:$M$111,$G393,月間集計シート!T$92:T$111)*AK$2</f>
        <v>0</v>
      </c>
      <c r="AL393" s="88">
        <f>SUMIF(月間集計シート!$M$113:$M$132,$G393,月間集計シート!N$113:N$132)*AL$2</f>
        <v>0</v>
      </c>
      <c r="AM393" s="88">
        <f>SUMIF(月間集計シート!$M$113:$M$132,$G393,月間集計シート!O$113:O$132)*AM$2</f>
        <v>0</v>
      </c>
      <c r="AN393" s="88">
        <f>SUMIF(月間集計シート!$M$113:$M$132,$G393,月間集計シート!P$113:P$132)*AN$2</f>
        <v>0</v>
      </c>
      <c r="AO393" s="88">
        <f>SUMIF(月間集計シート!$M$113:$M$132,$G393,月間集計シート!Q$113:Q$132)*AO$2</f>
        <v>0</v>
      </c>
      <c r="AP393" s="88">
        <f>SUMIF(月間集計シート!$M$113:$M$132,$G393,月間集計シート!R$113:R$132)*AP$2</f>
        <v>0</v>
      </c>
      <c r="AQ393" s="88">
        <f>SUMIF(月間集計シート!$M$113:$M$132,$G393,月間集計シート!S$113:S$132)*AQ$2</f>
        <v>0</v>
      </c>
      <c r="AR393" s="88">
        <f>SUMIF(月間集計シート!$M$113:$M$132,$G393,月間集計シート!T$113:T$132)*AR$2</f>
        <v>0</v>
      </c>
      <c r="AS393" s="88">
        <f>SUMIF(月間集計シート!$M$134:$M$153,$G393,月間集計シート!N$134:N$153)*AS$2</f>
        <v>0</v>
      </c>
      <c r="AT393" s="88">
        <f>SUMIF(月間集計シート!$M$134:$M$153,$G393,月間集計シート!O$134:O$153)*AT$2</f>
        <v>0</v>
      </c>
      <c r="AU393" s="88">
        <f>SUMIF(月間集計シート!$M$134:$M$153,$G393,月間集計シート!P$134:P$153)*AU$2</f>
        <v>0</v>
      </c>
      <c r="AV393" s="88">
        <f>SUMIF(月間集計シート!$M$134:$M$153,$G393,月間集計シート!Q$134:Q$153)*AV$2</f>
        <v>0</v>
      </c>
      <c r="AW393" s="88">
        <f>SUMIF(月間集計シート!$M$134:$M$153,$G393,月間集計シート!R$134:R$153)*AW$2</f>
        <v>0</v>
      </c>
      <c r="AX393" s="88">
        <f>SUMIF(月間集計シート!$M$134:$M$153,$G393,月間集計シート!S$134:S$153)*AX$2</f>
        <v>0</v>
      </c>
      <c r="AY393" s="88">
        <f>SUMIF(月間集計シート!$M$134:$M$153,$G393,月間集計シート!T$134:T$153)*AY$2</f>
        <v>0</v>
      </c>
    </row>
    <row r="394" spans="1:51" ht="14.25" thickBot="1">
      <c r="A394">
        <v>5</v>
      </c>
      <c r="B394" s="120">
        <f t="shared" si="185"/>
        <v>0</v>
      </c>
      <c r="C394" s="120" t="str">
        <f t="shared" si="186"/>
        <v/>
      </c>
      <c r="D394" s="137"/>
      <c r="E394" s="150" t="str">
        <f>工種!A46</f>
        <v>60105</v>
      </c>
      <c r="F394" s="119" t="str">
        <f>工種!B46</f>
        <v>ﾘﾘｰｽ：締め作業</v>
      </c>
      <c r="G394" s="116" t="str">
        <f t="shared" si="187"/>
        <v>060105</v>
      </c>
      <c r="H394" s="88">
        <f t="shared" si="141"/>
        <v>0</v>
      </c>
      <c r="I394" s="132"/>
      <c r="J394" s="88">
        <f>SUMIF(月間集計シート!$M$29:$M$48,$G394,月間集計シート!N$29:N$48)*J$2</f>
        <v>0</v>
      </c>
      <c r="K394" s="88">
        <f>SUMIF(月間集計シート!$M$29:$M$48,$G394,月間集計シート!O$29:O$48)*K$2</f>
        <v>0</v>
      </c>
      <c r="L394" s="88">
        <f>SUMIF(月間集計シート!$M$29:$M$48,$G394,月間集計シート!P$29:P$48)*L$2</f>
        <v>0</v>
      </c>
      <c r="M394" s="88">
        <f>SUMIF(月間集計シート!$M$29:$M$48,$G394,月間集計シート!Q$29:Q$48)*M$2</f>
        <v>0</v>
      </c>
      <c r="N394" s="88">
        <f>SUMIF(月間集計シート!$M$29:$M$48,$G394,月間集計シート!R$29:R$48)*N$2</f>
        <v>0</v>
      </c>
      <c r="O394" s="88">
        <f>SUMIF(月間集計シート!$M$29:$M$48,$G394,月間集計シート!S$29:S$48)*O$2</f>
        <v>0</v>
      </c>
      <c r="P394" s="88">
        <f>SUMIF(月間集計シート!$M$29:$M$48,$G394,月間集計シート!T$29:T$48)*P$2</f>
        <v>0</v>
      </c>
      <c r="Q394" s="88">
        <f>SUMIF(月間集計シート!$M$50:$M$69,$G394,月間集計シート!N$50:N$69)*Q$2</f>
        <v>0</v>
      </c>
      <c r="R394" s="88">
        <f>SUMIF(月間集計シート!$M$50:$M$69,$G394,月間集計シート!O$50:O$69)*R$2</f>
        <v>0</v>
      </c>
      <c r="S394" s="88">
        <f>SUMIF(月間集計シート!$M$50:$M$69,$G394,月間集計シート!P$50:P$69)*S$2</f>
        <v>0</v>
      </c>
      <c r="T394" s="88">
        <f>SUMIF(月間集計シート!$M$50:$M$69,$G394,月間集計シート!Q$50:Q$69)*T$2</f>
        <v>0</v>
      </c>
      <c r="U394" s="88">
        <f>SUMIF(月間集計シート!$M$50:$M$69,$G394,月間集計シート!R$50:R$69)*U$2</f>
        <v>0</v>
      </c>
      <c r="V394" s="88">
        <f>SUMIF(月間集計シート!$M$50:$M$69,$G394,月間集計シート!S$50:S$69)*V$2</f>
        <v>0</v>
      </c>
      <c r="W394" s="88">
        <f>SUMIF(月間集計シート!$M$50:$M$69,$G394,月間集計シート!T$50:T$69)*W$2</f>
        <v>0</v>
      </c>
      <c r="X394" s="88">
        <f>SUMIF(月間集計シート!$M$71:$M$90,$G394,月間集計シート!N$71:N$90)*X$2</f>
        <v>0</v>
      </c>
      <c r="Y394" s="88">
        <f>SUMIF(月間集計シート!$M$71:$M$90,$G394,月間集計シート!O$71:O$90)*Y$2</f>
        <v>0</v>
      </c>
      <c r="Z394" s="88">
        <f>SUMIF(月間集計シート!$M$71:$M$90,$G394,月間集計シート!P$71:P$90)*Z$2</f>
        <v>0</v>
      </c>
      <c r="AA394" s="88">
        <f>SUMIF(月間集計シート!$M$71:$M$90,$G394,月間集計シート!Q$71:Q$90)*AA$2</f>
        <v>0</v>
      </c>
      <c r="AB394" s="88">
        <f>SUMIF(月間集計シート!$M$71:$M$90,$G394,月間集計シート!R$71:R$90)*AB$2</f>
        <v>0</v>
      </c>
      <c r="AC394" s="88">
        <f>SUMIF(月間集計シート!$M$71:$M$90,$G394,月間集計シート!S$71:S$90)*AC$2</f>
        <v>0</v>
      </c>
      <c r="AD394" s="88">
        <f>SUMIF(月間集計シート!$M$71:$M$90,$G394,月間集計シート!T$71:T$90)*AD$2</f>
        <v>0</v>
      </c>
      <c r="AE394" s="88">
        <f>SUMIF(月間集計シート!$M$92:$M$111,$G394,月間集計シート!N$92:N$111)*AE$2</f>
        <v>0</v>
      </c>
      <c r="AF394" s="88">
        <f>SUMIF(月間集計シート!$M$92:$M$111,$G394,月間集計シート!O$92:O$111)*AF$2</f>
        <v>0</v>
      </c>
      <c r="AG394" s="88">
        <f>SUMIF(月間集計シート!$M$92:$M$111,$G394,月間集計シート!P$92:P$111)*AG$2</f>
        <v>0</v>
      </c>
      <c r="AH394" s="88">
        <f>SUMIF(月間集計シート!$M$92:$M$111,$G394,月間集計シート!Q$92:Q$111)*AH$2</f>
        <v>0</v>
      </c>
      <c r="AI394" s="88">
        <f>SUMIF(月間集計シート!$M$92:$M$111,$G394,月間集計シート!R$92:R$111)*AI$2</f>
        <v>0</v>
      </c>
      <c r="AJ394" s="88">
        <f>SUMIF(月間集計シート!$M$92:$M$111,$G394,月間集計シート!S$92:S$111)*AJ$2</f>
        <v>0</v>
      </c>
      <c r="AK394" s="88">
        <f>SUMIF(月間集計シート!$M$92:$M$111,$G394,月間集計シート!T$92:T$111)*AK$2</f>
        <v>0</v>
      </c>
      <c r="AL394" s="88">
        <f>SUMIF(月間集計シート!$M$113:$M$132,$G394,月間集計シート!N$113:N$132)*AL$2</f>
        <v>0</v>
      </c>
      <c r="AM394" s="88">
        <f>SUMIF(月間集計シート!$M$113:$M$132,$G394,月間集計シート!O$113:O$132)*AM$2</f>
        <v>0</v>
      </c>
      <c r="AN394" s="88">
        <f>SUMIF(月間集計シート!$M$113:$M$132,$G394,月間集計シート!P$113:P$132)*AN$2</f>
        <v>0</v>
      </c>
      <c r="AO394" s="88">
        <f>SUMIF(月間集計シート!$M$113:$M$132,$G394,月間集計シート!Q$113:Q$132)*AO$2</f>
        <v>0</v>
      </c>
      <c r="AP394" s="88">
        <f>SUMIF(月間集計シート!$M$113:$M$132,$G394,月間集計シート!R$113:R$132)*AP$2</f>
        <v>0</v>
      </c>
      <c r="AQ394" s="88">
        <f>SUMIF(月間集計シート!$M$113:$M$132,$G394,月間集計シート!S$113:S$132)*AQ$2</f>
        <v>0</v>
      </c>
      <c r="AR394" s="88">
        <f>SUMIF(月間集計シート!$M$113:$M$132,$G394,月間集計シート!T$113:T$132)*AR$2</f>
        <v>0</v>
      </c>
      <c r="AS394" s="88">
        <f>SUMIF(月間集計シート!$M$134:$M$153,$G394,月間集計シート!N$134:N$153)*AS$2</f>
        <v>0</v>
      </c>
      <c r="AT394" s="88">
        <f>SUMIF(月間集計シート!$M$134:$M$153,$G394,月間集計シート!O$134:O$153)*AT$2</f>
        <v>0</v>
      </c>
      <c r="AU394" s="88">
        <f>SUMIF(月間集計シート!$M$134:$M$153,$G394,月間集計シート!P$134:P$153)*AU$2</f>
        <v>0</v>
      </c>
      <c r="AV394" s="88">
        <f>SUMIF(月間集計シート!$M$134:$M$153,$G394,月間集計シート!Q$134:Q$153)*AV$2</f>
        <v>0</v>
      </c>
      <c r="AW394" s="88">
        <f>SUMIF(月間集計シート!$M$134:$M$153,$G394,月間集計シート!R$134:R$153)*AW$2</f>
        <v>0</v>
      </c>
      <c r="AX394" s="88">
        <f>SUMIF(月間集計シート!$M$134:$M$153,$G394,月間集計シート!S$134:S$153)*AX$2</f>
        <v>0</v>
      </c>
      <c r="AY394" s="88">
        <f>SUMIF(月間集計シート!$M$134:$M$153,$G394,月間集計シート!T$134:T$153)*AY$2</f>
        <v>0</v>
      </c>
    </row>
    <row r="395" spans="1:51" ht="14.25" thickBot="1">
      <c r="A395">
        <v>5</v>
      </c>
      <c r="B395" s="120">
        <f t="shared" si="185"/>
        <v>0</v>
      </c>
      <c r="C395" s="120" t="str">
        <f t="shared" si="186"/>
        <v/>
      </c>
      <c r="D395" s="137"/>
      <c r="E395" s="150" t="str">
        <f>工種!A47</f>
        <v>60107</v>
      </c>
      <c r="F395" s="119" t="str">
        <f>工種!B47</f>
        <v>ﾘﾘｰｽ：打合せ</v>
      </c>
      <c r="G395" s="116" t="str">
        <f t="shared" si="187"/>
        <v>060107</v>
      </c>
      <c r="H395" s="88">
        <f t="shared" si="141"/>
        <v>0</v>
      </c>
      <c r="I395" s="132"/>
      <c r="J395" s="88">
        <f>SUMIF(月間集計シート!$M$29:$M$48,$G395,月間集計シート!N$29:N$48)*J$2</f>
        <v>0</v>
      </c>
      <c r="K395" s="88">
        <f>SUMIF(月間集計シート!$M$29:$M$48,$G395,月間集計シート!O$29:O$48)*K$2</f>
        <v>0</v>
      </c>
      <c r="L395" s="88">
        <f>SUMIF(月間集計シート!$M$29:$M$48,$G395,月間集計シート!P$29:P$48)*L$2</f>
        <v>0</v>
      </c>
      <c r="M395" s="88">
        <f>SUMIF(月間集計シート!$M$29:$M$48,$G395,月間集計シート!Q$29:Q$48)*M$2</f>
        <v>0</v>
      </c>
      <c r="N395" s="88">
        <f>SUMIF(月間集計シート!$M$29:$M$48,$G395,月間集計シート!R$29:R$48)*N$2</f>
        <v>0</v>
      </c>
      <c r="O395" s="88">
        <f>SUMIF(月間集計シート!$M$29:$M$48,$G395,月間集計シート!S$29:S$48)*O$2</f>
        <v>0</v>
      </c>
      <c r="P395" s="88">
        <f>SUMIF(月間集計シート!$M$29:$M$48,$G395,月間集計シート!T$29:T$48)*P$2</f>
        <v>0</v>
      </c>
      <c r="Q395" s="88">
        <f>SUMIF(月間集計シート!$M$50:$M$69,$G395,月間集計シート!N$50:N$69)*Q$2</f>
        <v>0</v>
      </c>
      <c r="R395" s="88">
        <f>SUMIF(月間集計シート!$M$50:$M$69,$G395,月間集計シート!O$50:O$69)*R$2</f>
        <v>0</v>
      </c>
      <c r="S395" s="88">
        <f>SUMIF(月間集計シート!$M$50:$M$69,$G395,月間集計シート!P$50:P$69)*S$2</f>
        <v>0</v>
      </c>
      <c r="T395" s="88">
        <f>SUMIF(月間集計シート!$M$50:$M$69,$G395,月間集計シート!Q$50:Q$69)*T$2</f>
        <v>0</v>
      </c>
      <c r="U395" s="88">
        <f>SUMIF(月間集計シート!$M$50:$M$69,$G395,月間集計シート!R$50:R$69)*U$2</f>
        <v>0</v>
      </c>
      <c r="V395" s="88">
        <f>SUMIF(月間集計シート!$M$50:$M$69,$G395,月間集計シート!S$50:S$69)*V$2</f>
        <v>0</v>
      </c>
      <c r="W395" s="88">
        <f>SUMIF(月間集計シート!$M$50:$M$69,$G395,月間集計シート!T$50:T$69)*W$2</f>
        <v>0</v>
      </c>
      <c r="X395" s="88">
        <f>SUMIF(月間集計シート!$M$71:$M$90,$G395,月間集計シート!N$71:N$90)*X$2</f>
        <v>0</v>
      </c>
      <c r="Y395" s="88">
        <f>SUMIF(月間集計シート!$M$71:$M$90,$G395,月間集計シート!O$71:O$90)*Y$2</f>
        <v>0</v>
      </c>
      <c r="Z395" s="88">
        <f>SUMIF(月間集計シート!$M$71:$M$90,$G395,月間集計シート!P$71:P$90)*Z$2</f>
        <v>0</v>
      </c>
      <c r="AA395" s="88">
        <f>SUMIF(月間集計シート!$M$71:$M$90,$G395,月間集計シート!Q$71:Q$90)*AA$2</f>
        <v>0</v>
      </c>
      <c r="AB395" s="88">
        <f>SUMIF(月間集計シート!$M$71:$M$90,$G395,月間集計シート!R$71:R$90)*AB$2</f>
        <v>0</v>
      </c>
      <c r="AC395" s="88">
        <f>SUMIF(月間集計シート!$M$71:$M$90,$G395,月間集計シート!S$71:S$90)*AC$2</f>
        <v>0</v>
      </c>
      <c r="AD395" s="88">
        <f>SUMIF(月間集計シート!$M$71:$M$90,$G395,月間集計シート!T$71:T$90)*AD$2</f>
        <v>0</v>
      </c>
      <c r="AE395" s="88">
        <f>SUMIF(月間集計シート!$M$92:$M$111,$G395,月間集計シート!N$92:N$111)*AE$2</f>
        <v>0</v>
      </c>
      <c r="AF395" s="88">
        <f>SUMIF(月間集計シート!$M$92:$M$111,$G395,月間集計シート!O$92:O$111)*AF$2</f>
        <v>0</v>
      </c>
      <c r="AG395" s="88">
        <f>SUMIF(月間集計シート!$M$92:$M$111,$G395,月間集計シート!P$92:P$111)*AG$2</f>
        <v>0</v>
      </c>
      <c r="AH395" s="88">
        <f>SUMIF(月間集計シート!$M$92:$M$111,$G395,月間集計シート!Q$92:Q$111)*AH$2</f>
        <v>0</v>
      </c>
      <c r="AI395" s="88">
        <f>SUMIF(月間集計シート!$M$92:$M$111,$G395,月間集計シート!R$92:R$111)*AI$2</f>
        <v>0</v>
      </c>
      <c r="AJ395" s="88">
        <f>SUMIF(月間集計シート!$M$92:$M$111,$G395,月間集計シート!S$92:S$111)*AJ$2</f>
        <v>0</v>
      </c>
      <c r="AK395" s="88">
        <f>SUMIF(月間集計シート!$M$92:$M$111,$G395,月間集計シート!T$92:T$111)*AK$2</f>
        <v>0</v>
      </c>
      <c r="AL395" s="88">
        <f>SUMIF(月間集計シート!$M$113:$M$132,$G395,月間集計シート!N$113:N$132)*AL$2</f>
        <v>0</v>
      </c>
      <c r="AM395" s="88">
        <f>SUMIF(月間集計シート!$M$113:$M$132,$G395,月間集計シート!O$113:O$132)*AM$2</f>
        <v>0</v>
      </c>
      <c r="AN395" s="88">
        <f>SUMIF(月間集計シート!$M$113:$M$132,$G395,月間集計シート!P$113:P$132)*AN$2</f>
        <v>0</v>
      </c>
      <c r="AO395" s="88">
        <f>SUMIF(月間集計シート!$M$113:$M$132,$G395,月間集計シート!Q$113:Q$132)*AO$2</f>
        <v>0</v>
      </c>
      <c r="AP395" s="88">
        <f>SUMIF(月間集計シート!$M$113:$M$132,$G395,月間集計シート!R$113:R$132)*AP$2</f>
        <v>0</v>
      </c>
      <c r="AQ395" s="88">
        <f>SUMIF(月間集計シート!$M$113:$M$132,$G395,月間集計シート!S$113:S$132)*AQ$2</f>
        <v>0</v>
      </c>
      <c r="AR395" s="88">
        <f>SUMIF(月間集計シート!$M$113:$M$132,$G395,月間集計シート!T$113:T$132)*AR$2</f>
        <v>0</v>
      </c>
      <c r="AS395" s="88">
        <f>SUMIF(月間集計シート!$M$134:$M$153,$G395,月間集計シート!N$134:N$153)*AS$2</f>
        <v>0</v>
      </c>
      <c r="AT395" s="88">
        <f>SUMIF(月間集計シート!$M$134:$M$153,$G395,月間集計シート!O$134:O$153)*AT$2</f>
        <v>0</v>
      </c>
      <c r="AU395" s="88">
        <f>SUMIF(月間集計シート!$M$134:$M$153,$G395,月間集計シート!P$134:P$153)*AU$2</f>
        <v>0</v>
      </c>
      <c r="AV395" s="88">
        <f>SUMIF(月間集計シート!$M$134:$M$153,$G395,月間集計シート!Q$134:Q$153)*AV$2</f>
        <v>0</v>
      </c>
      <c r="AW395" s="88">
        <f>SUMIF(月間集計シート!$M$134:$M$153,$G395,月間集計シート!R$134:R$153)*AW$2</f>
        <v>0</v>
      </c>
      <c r="AX395" s="88">
        <f>SUMIF(月間集計シート!$M$134:$M$153,$G395,月間集計シート!S$134:S$153)*AX$2</f>
        <v>0</v>
      </c>
      <c r="AY395" s="88">
        <f>SUMIF(月間集計シート!$M$134:$M$153,$G395,月間集計シート!T$134:T$153)*AY$2</f>
        <v>0</v>
      </c>
    </row>
    <row r="396" spans="1:51" ht="14.25" thickBot="1">
      <c r="A396">
        <v>5</v>
      </c>
      <c r="B396" s="120">
        <f t="shared" si="185"/>
        <v>0</v>
      </c>
      <c r="C396" s="120" t="str">
        <f t="shared" si="186"/>
        <v/>
      </c>
      <c r="D396" s="137"/>
      <c r="E396" s="150" t="str">
        <f>工種!A48</f>
        <v>60108</v>
      </c>
      <c r="F396" s="119" t="str">
        <f>工種!B48</f>
        <v>ﾘﾘｰｽ：ﾚﾋﾞｭｰ</v>
      </c>
      <c r="G396" s="116" t="str">
        <f t="shared" si="187"/>
        <v>060108</v>
      </c>
      <c r="H396" s="88">
        <f t="shared" si="141"/>
        <v>0</v>
      </c>
      <c r="I396" s="132"/>
      <c r="J396" s="88">
        <f>SUMIF(月間集計シート!$M$29:$M$48,$G396,月間集計シート!N$29:N$48)*J$2</f>
        <v>0</v>
      </c>
      <c r="K396" s="88">
        <f>SUMIF(月間集計シート!$M$29:$M$48,$G396,月間集計シート!O$29:O$48)*K$2</f>
        <v>0</v>
      </c>
      <c r="L396" s="88">
        <f>SUMIF(月間集計シート!$M$29:$M$48,$G396,月間集計シート!P$29:P$48)*L$2</f>
        <v>0</v>
      </c>
      <c r="M396" s="88">
        <f>SUMIF(月間集計シート!$M$29:$M$48,$G396,月間集計シート!Q$29:Q$48)*M$2</f>
        <v>0</v>
      </c>
      <c r="N396" s="88">
        <f>SUMIF(月間集計シート!$M$29:$M$48,$G396,月間集計シート!R$29:R$48)*N$2</f>
        <v>0</v>
      </c>
      <c r="O396" s="88">
        <f>SUMIF(月間集計シート!$M$29:$M$48,$G396,月間集計シート!S$29:S$48)*O$2</f>
        <v>0</v>
      </c>
      <c r="P396" s="88">
        <f>SUMIF(月間集計シート!$M$29:$M$48,$G396,月間集計シート!T$29:T$48)*P$2</f>
        <v>0</v>
      </c>
      <c r="Q396" s="88">
        <f>SUMIF(月間集計シート!$M$50:$M$69,$G396,月間集計シート!N$50:N$69)*Q$2</f>
        <v>0</v>
      </c>
      <c r="R396" s="88">
        <f>SUMIF(月間集計シート!$M$50:$M$69,$G396,月間集計シート!O$50:O$69)*R$2</f>
        <v>0</v>
      </c>
      <c r="S396" s="88">
        <f>SUMIF(月間集計シート!$M$50:$M$69,$G396,月間集計シート!P$50:P$69)*S$2</f>
        <v>0</v>
      </c>
      <c r="T396" s="88">
        <f>SUMIF(月間集計シート!$M$50:$M$69,$G396,月間集計シート!Q$50:Q$69)*T$2</f>
        <v>0</v>
      </c>
      <c r="U396" s="88">
        <f>SUMIF(月間集計シート!$M$50:$M$69,$G396,月間集計シート!R$50:R$69)*U$2</f>
        <v>0</v>
      </c>
      <c r="V396" s="88">
        <f>SUMIF(月間集計シート!$M$50:$M$69,$G396,月間集計シート!S$50:S$69)*V$2</f>
        <v>0</v>
      </c>
      <c r="W396" s="88">
        <f>SUMIF(月間集計シート!$M$50:$M$69,$G396,月間集計シート!T$50:T$69)*W$2</f>
        <v>0</v>
      </c>
      <c r="X396" s="88">
        <f>SUMIF(月間集計シート!$M$71:$M$90,$G396,月間集計シート!N$71:N$90)*X$2</f>
        <v>0</v>
      </c>
      <c r="Y396" s="88">
        <f>SUMIF(月間集計シート!$M$71:$M$90,$G396,月間集計シート!O$71:O$90)*Y$2</f>
        <v>0</v>
      </c>
      <c r="Z396" s="88">
        <f>SUMIF(月間集計シート!$M$71:$M$90,$G396,月間集計シート!P$71:P$90)*Z$2</f>
        <v>0</v>
      </c>
      <c r="AA396" s="88">
        <f>SUMIF(月間集計シート!$M$71:$M$90,$G396,月間集計シート!Q$71:Q$90)*AA$2</f>
        <v>0</v>
      </c>
      <c r="AB396" s="88">
        <f>SUMIF(月間集計シート!$M$71:$M$90,$G396,月間集計シート!R$71:R$90)*AB$2</f>
        <v>0</v>
      </c>
      <c r="AC396" s="88">
        <f>SUMIF(月間集計シート!$M$71:$M$90,$G396,月間集計シート!S$71:S$90)*AC$2</f>
        <v>0</v>
      </c>
      <c r="AD396" s="88">
        <f>SUMIF(月間集計シート!$M$71:$M$90,$G396,月間集計シート!T$71:T$90)*AD$2</f>
        <v>0</v>
      </c>
      <c r="AE396" s="88">
        <f>SUMIF(月間集計シート!$M$92:$M$111,$G396,月間集計シート!N$92:N$111)*AE$2</f>
        <v>0</v>
      </c>
      <c r="AF396" s="88">
        <f>SUMIF(月間集計シート!$M$92:$M$111,$G396,月間集計シート!O$92:O$111)*AF$2</f>
        <v>0</v>
      </c>
      <c r="AG396" s="88">
        <f>SUMIF(月間集計シート!$M$92:$M$111,$G396,月間集計シート!P$92:P$111)*AG$2</f>
        <v>0</v>
      </c>
      <c r="AH396" s="88">
        <f>SUMIF(月間集計シート!$M$92:$M$111,$G396,月間集計シート!Q$92:Q$111)*AH$2</f>
        <v>0</v>
      </c>
      <c r="AI396" s="88">
        <f>SUMIF(月間集計シート!$M$92:$M$111,$G396,月間集計シート!R$92:R$111)*AI$2</f>
        <v>0</v>
      </c>
      <c r="AJ396" s="88">
        <f>SUMIF(月間集計シート!$M$92:$M$111,$G396,月間集計シート!S$92:S$111)*AJ$2</f>
        <v>0</v>
      </c>
      <c r="AK396" s="88">
        <f>SUMIF(月間集計シート!$M$92:$M$111,$G396,月間集計シート!T$92:T$111)*AK$2</f>
        <v>0</v>
      </c>
      <c r="AL396" s="88">
        <f>SUMIF(月間集計シート!$M$113:$M$132,$G396,月間集計シート!N$113:N$132)*AL$2</f>
        <v>0</v>
      </c>
      <c r="AM396" s="88">
        <f>SUMIF(月間集計シート!$M$113:$M$132,$G396,月間集計シート!O$113:O$132)*AM$2</f>
        <v>0</v>
      </c>
      <c r="AN396" s="88">
        <f>SUMIF(月間集計シート!$M$113:$M$132,$G396,月間集計シート!P$113:P$132)*AN$2</f>
        <v>0</v>
      </c>
      <c r="AO396" s="88">
        <f>SUMIF(月間集計シート!$M$113:$M$132,$G396,月間集計シート!Q$113:Q$132)*AO$2</f>
        <v>0</v>
      </c>
      <c r="AP396" s="88">
        <f>SUMIF(月間集計シート!$M$113:$M$132,$G396,月間集計シート!R$113:R$132)*AP$2</f>
        <v>0</v>
      </c>
      <c r="AQ396" s="88">
        <f>SUMIF(月間集計シート!$M$113:$M$132,$G396,月間集計シート!S$113:S$132)*AQ$2</f>
        <v>0</v>
      </c>
      <c r="AR396" s="88">
        <f>SUMIF(月間集計シート!$M$113:$M$132,$G396,月間集計シート!T$113:T$132)*AR$2</f>
        <v>0</v>
      </c>
      <c r="AS396" s="88">
        <f>SUMIF(月間集計シート!$M$134:$M$153,$G396,月間集計シート!N$134:N$153)*AS$2</f>
        <v>0</v>
      </c>
      <c r="AT396" s="88">
        <f>SUMIF(月間集計シート!$M$134:$M$153,$G396,月間集計シート!O$134:O$153)*AT$2</f>
        <v>0</v>
      </c>
      <c r="AU396" s="88">
        <f>SUMIF(月間集計シート!$M$134:$M$153,$G396,月間集計シート!P$134:P$153)*AU$2</f>
        <v>0</v>
      </c>
      <c r="AV396" s="88">
        <f>SUMIF(月間集計シート!$M$134:$M$153,$G396,月間集計シート!Q$134:Q$153)*AV$2</f>
        <v>0</v>
      </c>
      <c r="AW396" s="88">
        <f>SUMIF(月間集計シート!$M$134:$M$153,$G396,月間集計シート!R$134:R$153)*AW$2</f>
        <v>0</v>
      </c>
      <c r="AX396" s="88">
        <f>SUMIF(月間集計シート!$M$134:$M$153,$G396,月間集計シート!S$134:S$153)*AX$2</f>
        <v>0</v>
      </c>
      <c r="AY396" s="88">
        <f>SUMIF(月間集計シート!$M$134:$M$153,$G396,月間集計シート!T$134:T$153)*AY$2</f>
        <v>0</v>
      </c>
    </row>
    <row r="397" spans="1:51" ht="14.25" thickBot="1">
      <c r="A397">
        <v>5</v>
      </c>
      <c r="B397" s="120">
        <f t="shared" si="185"/>
        <v>0</v>
      </c>
      <c r="C397" s="120" t="str">
        <f t="shared" si="186"/>
        <v/>
      </c>
      <c r="D397" s="137"/>
      <c r="E397" s="150" t="str">
        <f>工種!A49</f>
        <v>60199</v>
      </c>
      <c r="F397" s="119" t="str">
        <f>工種!B49</f>
        <v>ﾘﾘｰｽ：その他</v>
      </c>
      <c r="G397" s="116" t="str">
        <f t="shared" si="187"/>
        <v>060199</v>
      </c>
      <c r="H397" s="88">
        <f t="shared" si="141"/>
        <v>0</v>
      </c>
      <c r="I397" s="132"/>
      <c r="J397" s="88">
        <f>SUMIF(月間集計シート!$M$29:$M$48,$G397,月間集計シート!N$29:N$48)*J$2</f>
        <v>0</v>
      </c>
      <c r="K397" s="88">
        <f>SUMIF(月間集計シート!$M$29:$M$48,$G397,月間集計シート!O$29:O$48)*K$2</f>
        <v>0</v>
      </c>
      <c r="L397" s="88">
        <f>SUMIF(月間集計シート!$M$29:$M$48,$G397,月間集計シート!P$29:P$48)*L$2</f>
        <v>0</v>
      </c>
      <c r="M397" s="88">
        <f>SUMIF(月間集計シート!$M$29:$M$48,$G397,月間集計シート!Q$29:Q$48)*M$2</f>
        <v>0</v>
      </c>
      <c r="N397" s="88">
        <f>SUMIF(月間集計シート!$M$29:$M$48,$G397,月間集計シート!R$29:R$48)*N$2</f>
        <v>0</v>
      </c>
      <c r="O397" s="88">
        <f>SUMIF(月間集計シート!$M$29:$M$48,$G397,月間集計シート!S$29:S$48)*O$2</f>
        <v>0</v>
      </c>
      <c r="P397" s="88">
        <f>SUMIF(月間集計シート!$M$29:$M$48,$G397,月間集計シート!T$29:T$48)*P$2</f>
        <v>0</v>
      </c>
      <c r="Q397" s="88">
        <f>SUMIF(月間集計シート!$M$50:$M$69,$G397,月間集計シート!N$50:N$69)*Q$2</f>
        <v>0</v>
      </c>
      <c r="R397" s="88">
        <f>SUMIF(月間集計シート!$M$50:$M$69,$G397,月間集計シート!O$50:O$69)*R$2</f>
        <v>0</v>
      </c>
      <c r="S397" s="88">
        <f>SUMIF(月間集計シート!$M$50:$M$69,$G397,月間集計シート!P$50:P$69)*S$2</f>
        <v>0</v>
      </c>
      <c r="T397" s="88">
        <f>SUMIF(月間集計シート!$M$50:$M$69,$G397,月間集計シート!Q$50:Q$69)*T$2</f>
        <v>0</v>
      </c>
      <c r="U397" s="88">
        <f>SUMIF(月間集計シート!$M$50:$M$69,$G397,月間集計シート!R$50:R$69)*U$2</f>
        <v>0</v>
      </c>
      <c r="V397" s="88">
        <f>SUMIF(月間集計シート!$M$50:$M$69,$G397,月間集計シート!S$50:S$69)*V$2</f>
        <v>0</v>
      </c>
      <c r="W397" s="88">
        <f>SUMIF(月間集計シート!$M$50:$M$69,$G397,月間集計シート!T$50:T$69)*W$2</f>
        <v>0</v>
      </c>
      <c r="X397" s="88">
        <f>SUMIF(月間集計シート!$M$71:$M$90,$G397,月間集計シート!N$71:N$90)*X$2</f>
        <v>0</v>
      </c>
      <c r="Y397" s="88">
        <f>SUMIF(月間集計シート!$M$71:$M$90,$G397,月間集計シート!O$71:O$90)*Y$2</f>
        <v>0</v>
      </c>
      <c r="Z397" s="88">
        <f>SUMIF(月間集計シート!$M$71:$M$90,$G397,月間集計シート!P$71:P$90)*Z$2</f>
        <v>0</v>
      </c>
      <c r="AA397" s="88">
        <f>SUMIF(月間集計シート!$M$71:$M$90,$G397,月間集計シート!Q$71:Q$90)*AA$2</f>
        <v>0</v>
      </c>
      <c r="AB397" s="88">
        <f>SUMIF(月間集計シート!$M$71:$M$90,$G397,月間集計シート!R$71:R$90)*AB$2</f>
        <v>0</v>
      </c>
      <c r="AC397" s="88">
        <f>SUMIF(月間集計シート!$M$71:$M$90,$G397,月間集計シート!S$71:S$90)*AC$2</f>
        <v>0</v>
      </c>
      <c r="AD397" s="88">
        <f>SUMIF(月間集計シート!$M$71:$M$90,$G397,月間集計シート!T$71:T$90)*AD$2</f>
        <v>0</v>
      </c>
      <c r="AE397" s="88">
        <f>SUMIF(月間集計シート!$M$92:$M$111,$G397,月間集計シート!N$92:N$111)*AE$2</f>
        <v>0</v>
      </c>
      <c r="AF397" s="88">
        <f>SUMIF(月間集計シート!$M$92:$M$111,$G397,月間集計シート!O$92:O$111)*AF$2</f>
        <v>0</v>
      </c>
      <c r="AG397" s="88">
        <f>SUMIF(月間集計シート!$M$92:$M$111,$G397,月間集計シート!P$92:P$111)*AG$2</f>
        <v>0</v>
      </c>
      <c r="AH397" s="88">
        <f>SUMIF(月間集計シート!$M$92:$M$111,$G397,月間集計シート!Q$92:Q$111)*AH$2</f>
        <v>0</v>
      </c>
      <c r="AI397" s="88">
        <f>SUMIF(月間集計シート!$M$92:$M$111,$G397,月間集計シート!R$92:R$111)*AI$2</f>
        <v>0</v>
      </c>
      <c r="AJ397" s="88">
        <f>SUMIF(月間集計シート!$M$92:$M$111,$G397,月間集計シート!S$92:S$111)*AJ$2</f>
        <v>0</v>
      </c>
      <c r="AK397" s="88">
        <f>SUMIF(月間集計シート!$M$92:$M$111,$G397,月間集計シート!T$92:T$111)*AK$2</f>
        <v>0</v>
      </c>
      <c r="AL397" s="88">
        <f>SUMIF(月間集計シート!$M$113:$M$132,$G397,月間集計シート!N$113:N$132)*AL$2</f>
        <v>0</v>
      </c>
      <c r="AM397" s="88">
        <f>SUMIF(月間集計シート!$M$113:$M$132,$G397,月間集計シート!O$113:O$132)*AM$2</f>
        <v>0</v>
      </c>
      <c r="AN397" s="88">
        <f>SUMIF(月間集計シート!$M$113:$M$132,$G397,月間集計シート!P$113:P$132)*AN$2</f>
        <v>0</v>
      </c>
      <c r="AO397" s="88">
        <f>SUMIF(月間集計シート!$M$113:$M$132,$G397,月間集計シート!Q$113:Q$132)*AO$2</f>
        <v>0</v>
      </c>
      <c r="AP397" s="88">
        <f>SUMIF(月間集計シート!$M$113:$M$132,$G397,月間集計シート!R$113:R$132)*AP$2</f>
        <v>0</v>
      </c>
      <c r="AQ397" s="88">
        <f>SUMIF(月間集計シート!$M$113:$M$132,$G397,月間集計シート!S$113:S$132)*AQ$2</f>
        <v>0</v>
      </c>
      <c r="AR397" s="88">
        <f>SUMIF(月間集計シート!$M$113:$M$132,$G397,月間集計シート!T$113:T$132)*AR$2</f>
        <v>0</v>
      </c>
      <c r="AS397" s="88">
        <f>SUMIF(月間集計シート!$M$134:$M$153,$G397,月間集計シート!N$134:N$153)*AS$2</f>
        <v>0</v>
      </c>
      <c r="AT397" s="88">
        <f>SUMIF(月間集計シート!$M$134:$M$153,$G397,月間集計シート!O$134:O$153)*AT$2</f>
        <v>0</v>
      </c>
      <c r="AU397" s="88">
        <f>SUMIF(月間集計シート!$M$134:$M$153,$G397,月間集計シート!P$134:P$153)*AU$2</f>
        <v>0</v>
      </c>
      <c r="AV397" s="88">
        <f>SUMIF(月間集計シート!$M$134:$M$153,$G397,月間集計シート!Q$134:Q$153)*AV$2</f>
        <v>0</v>
      </c>
      <c r="AW397" s="88">
        <f>SUMIF(月間集計シート!$M$134:$M$153,$G397,月間集計シート!R$134:R$153)*AW$2</f>
        <v>0</v>
      </c>
      <c r="AX397" s="88">
        <f>SUMIF(月間集計シート!$M$134:$M$153,$G397,月間集計シート!S$134:S$153)*AX$2</f>
        <v>0</v>
      </c>
      <c r="AY397" s="88">
        <f>SUMIF(月間集計シート!$M$134:$M$153,$G397,月間集計シート!T$134:T$153)*AY$2</f>
        <v>0</v>
      </c>
    </row>
    <row r="398" spans="1:51" ht="14.25" thickBot="1">
      <c r="A398">
        <v>5</v>
      </c>
      <c r="B398" s="120">
        <f t="shared" si="185"/>
        <v>0</v>
      </c>
      <c r="C398" s="120" t="str">
        <f t="shared" si="186"/>
        <v/>
      </c>
      <c r="D398" s="137"/>
      <c r="E398" s="150">
        <f>工種!A50</f>
        <v>70101</v>
      </c>
      <c r="F398" s="119" t="str">
        <f>工種!B50</f>
        <v>外部不具合修正：調査・設計</v>
      </c>
      <c r="G398" s="116" t="str">
        <f t="shared" si="187"/>
        <v>070101</v>
      </c>
      <c r="H398" s="88">
        <f t="shared" si="141"/>
        <v>0</v>
      </c>
      <c r="I398" s="132"/>
      <c r="J398" s="88">
        <f>SUMIF(月間集計シート!$M$29:$M$48,$G398,月間集計シート!N$29:N$48)*J$2</f>
        <v>0</v>
      </c>
      <c r="K398" s="88">
        <f>SUMIF(月間集計シート!$M$29:$M$48,$G398,月間集計シート!O$29:O$48)*K$2</f>
        <v>0</v>
      </c>
      <c r="L398" s="88">
        <f>SUMIF(月間集計シート!$M$29:$M$48,$G398,月間集計シート!P$29:P$48)*L$2</f>
        <v>0</v>
      </c>
      <c r="M398" s="88">
        <f>SUMIF(月間集計シート!$M$29:$M$48,$G398,月間集計シート!Q$29:Q$48)*M$2</f>
        <v>0</v>
      </c>
      <c r="N398" s="88">
        <f>SUMIF(月間集計シート!$M$29:$M$48,$G398,月間集計シート!R$29:R$48)*N$2</f>
        <v>0</v>
      </c>
      <c r="O398" s="88">
        <f>SUMIF(月間集計シート!$M$29:$M$48,$G398,月間集計シート!S$29:S$48)*O$2</f>
        <v>0</v>
      </c>
      <c r="P398" s="88">
        <f>SUMIF(月間集計シート!$M$29:$M$48,$G398,月間集計シート!T$29:T$48)*P$2</f>
        <v>0</v>
      </c>
      <c r="Q398" s="88">
        <f>SUMIF(月間集計シート!$M$50:$M$69,$G398,月間集計シート!N$50:N$69)*Q$2</f>
        <v>0</v>
      </c>
      <c r="R398" s="88">
        <f>SUMIF(月間集計シート!$M$50:$M$69,$G398,月間集計シート!O$50:O$69)*R$2</f>
        <v>0</v>
      </c>
      <c r="S398" s="88">
        <f>SUMIF(月間集計シート!$M$50:$M$69,$G398,月間集計シート!P$50:P$69)*S$2</f>
        <v>0</v>
      </c>
      <c r="T398" s="88">
        <f>SUMIF(月間集計シート!$M$50:$M$69,$G398,月間集計シート!Q$50:Q$69)*T$2</f>
        <v>0</v>
      </c>
      <c r="U398" s="88">
        <f>SUMIF(月間集計シート!$M$50:$M$69,$G398,月間集計シート!R$50:R$69)*U$2</f>
        <v>0</v>
      </c>
      <c r="V398" s="88">
        <f>SUMIF(月間集計シート!$M$50:$M$69,$G398,月間集計シート!S$50:S$69)*V$2</f>
        <v>0</v>
      </c>
      <c r="W398" s="88">
        <f>SUMIF(月間集計シート!$M$50:$M$69,$G398,月間集計シート!T$50:T$69)*W$2</f>
        <v>0</v>
      </c>
      <c r="X398" s="88">
        <f>SUMIF(月間集計シート!$M$71:$M$90,$G398,月間集計シート!N$71:N$90)*X$2</f>
        <v>0</v>
      </c>
      <c r="Y398" s="88">
        <f>SUMIF(月間集計シート!$M$71:$M$90,$G398,月間集計シート!O$71:O$90)*Y$2</f>
        <v>0</v>
      </c>
      <c r="Z398" s="88">
        <f>SUMIF(月間集計シート!$M$71:$M$90,$G398,月間集計シート!P$71:P$90)*Z$2</f>
        <v>0</v>
      </c>
      <c r="AA398" s="88">
        <f>SUMIF(月間集計シート!$M$71:$M$90,$G398,月間集計シート!Q$71:Q$90)*AA$2</f>
        <v>0</v>
      </c>
      <c r="AB398" s="88">
        <f>SUMIF(月間集計シート!$M$71:$M$90,$G398,月間集計シート!R$71:R$90)*AB$2</f>
        <v>0</v>
      </c>
      <c r="AC398" s="88">
        <f>SUMIF(月間集計シート!$M$71:$M$90,$G398,月間集計シート!S$71:S$90)*AC$2</f>
        <v>0</v>
      </c>
      <c r="AD398" s="88">
        <f>SUMIF(月間集計シート!$M$71:$M$90,$G398,月間集計シート!T$71:T$90)*AD$2</f>
        <v>0</v>
      </c>
      <c r="AE398" s="88">
        <f>SUMIF(月間集計シート!$M$92:$M$111,$G398,月間集計シート!N$92:N$111)*AE$2</f>
        <v>0</v>
      </c>
      <c r="AF398" s="88">
        <f>SUMIF(月間集計シート!$M$92:$M$111,$G398,月間集計シート!O$92:O$111)*AF$2</f>
        <v>0</v>
      </c>
      <c r="AG398" s="88">
        <f>SUMIF(月間集計シート!$M$92:$M$111,$G398,月間集計シート!P$92:P$111)*AG$2</f>
        <v>0</v>
      </c>
      <c r="AH398" s="88">
        <f>SUMIF(月間集計シート!$M$92:$M$111,$G398,月間集計シート!Q$92:Q$111)*AH$2</f>
        <v>0</v>
      </c>
      <c r="AI398" s="88">
        <f>SUMIF(月間集計シート!$M$92:$M$111,$G398,月間集計シート!R$92:R$111)*AI$2</f>
        <v>0</v>
      </c>
      <c r="AJ398" s="88">
        <f>SUMIF(月間集計シート!$M$92:$M$111,$G398,月間集計シート!S$92:S$111)*AJ$2</f>
        <v>0</v>
      </c>
      <c r="AK398" s="88">
        <f>SUMIF(月間集計シート!$M$92:$M$111,$G398,月間集計シート!T$92:T$111)*AK$2</f>
        <v>0</v>
      </c>
      <c r="AL398" s="88">
        <f>SUMIF(月間集計シート!$M$113:$M$132,$G398,月間集計シート!N$113:N$132)*AL$2</f>
        <v>0</v>
      </c>
      <c r="AM398" s="88">
        <f>SUMIF(月間集計シート!$M$113:$M$132,$G398,月間集計シート!O$113:O$132)*AM$2</f>
        <v>0</v>
      </c>
      <c r="AN398" s="88">
        <f>SUMIF(月間集計シート!$M$113:$M$132,$G398,月間集計シート!P$113:P$132)*AN$2</f>
        <v>0</v>
      </c>
      <c r="AO398" s="88">
        <f>SUMIF(月間集計シート!$M$113:$M$132,$G398,月間集計シート!Q$113:Q$132)*AO$2</f>
        <v>0</v>
      </c>
      <c r="AP398" s="88">
        <f>SUMIF(月間集計シート!$M$113:$M$132,$G398,月間集計シート!R$113:R$132)*AP$2</f>
        <v>0</v>
      </c>
      <c r="AQ398" s="88">
        <f>SUMIF(月間集計シート!$M$113:$M$132,$G398,月間集計シート!S$113:S$132)*AQ$2</f>
        <v>0</v>
      </c>
      <c r="AR398" s="88">
        <f>SUMIF(月間集計シート!$M$113:$M$132,$G398,月間集計シート!T$113:T$132)*AR$2</f>
        <v>0</v>
      </c>
      <c r="AS398" s="88">
        <f>SUMIF(月間集計シート!$M$134:$M$153,$G398,月間集計シート!N$134:N$153)*AS$2</f>
        <v>0</v>
      </c>
      <c r="AT398" s="88">
        <f>SUMIF(月間集計シート!$M$134:$M$153,$G398,月間集計シート!O$134:O$153)*AT$2</f>
        <v>0</v>
      </c>
      <c r="AU398" s="88">
        <f>SUMIF(月間集計シート!$M$134:$M$153,$G398,月間集計シート!P$134:P$153)*AU$2</f>
        <v>0</v>
      </c>
      <c r="AV398" s="88">
        <f>SUMIF(月間集計シート!$M$134:$M$153,$G398,月間集計シート!Q$134:Q$153)*AV$2</f>
        <v>0</v>
      </c>
      <c r="AW398" s="88">
        <f>SUMIF(月間集計シート!$M$134:$M$153,$G398,月間集計シート!R$134:R$153)*AW$2</f>
        <v>0</v>
      </c>
      <c r="AX398" s="88">
        <f>SUMIF(月間集計シート!$M$134:$M$153,$G398,月間集計シート!S$134:S$153)*AX$2</f>
        <v>0</v>
      </c>
      <c r="AY398" s="88">
        <f>SUMIF(月間集計シート!$M$134:$M$153,$G398,月間集計シート!T$134:T$153)*AY$2</f>
        <v>0</v>
      </c>
    </row>
    <row r="399" spans="1:51" ht="14.25" thickBot="1">
      <c r="A399">
        <v>5</v>
      </c>
      <c r="B399" s="120">
        <f t="shared" si="185"/>
        <v>0</v>
      </c>
      <c r="C399" s="120" t="str">
        <f t="shared" si="186"/>
        <v/>
      </c>
      <c r="D399" s="137"/>
      <c r="E399" s="150">
        <f>工種!A51</f>
        <v>70102</v>
      </c>
      <c r="F399" s="119" t="str">
        <f>工種!B51</f>
        <v>外部不具合修正：コーディング</v>
      </c>
      <c r="G399" s="116" t="str">
        <f t="shared" si="187"/>
        <v>070102</v>
      </c>
      <c r="H399" s="88">
        <f t="shared" si="141"/>
        <v>0</v>
      </c>
      <c r="I399" s="132"/>
      <c r="J399" s="88">
        <f>SUMIF(月間集計シート!$M$29:$M$48,$G399,月間集計シート!N$29:N$48)*J$2</f>
        <v>0</v>
      </c>
      <c r="K399" s="88">
        <f>SUMIF(月間集計シート!$M$29:$M$48,$G399,月間集計シート!O$29:O$48)*K$2</f>
        <v>0</v>
      </c>
      <c r="L399" s="88">
        <f>SUMIF(月間集計シート!$M$29:$M$48,$G399,月間集計シート!P$29:P$48)*L$2</f>
        <v>0</v>
      </c>
      <c r="M399" s="88">
        <f>SUMIF(月間集計シート!$M$29:$M$48,$G399,月間集計シート!Q$29:Q$48)*M$2</f>
        <v>0</v>
      </c>
      <c r="N399" s="88">
        <f>SUMIF(月間集計シート!$M$29:$M$48,$G399,月間集計シート!R$29:R$48)*N$2</f>
        <v>0</v>
      </c>
      <c r="O399" s="88">
        <f>SUMIF(月間集計シート!$M$29:$M$48,$G399,月間集計シート!S$29:S$48)*O$2</f>
        <v>0</v>
      </c>
      <c r="P399" s="88">
        <f>SUMIF(月間集計シート!$M$29:$M$48,$G399,月間集計シート!T$29:T$48)*P$2</f>
        <v>0</v>
      </c>
      <c r="Q399" s="88">
        <f>SUMIF(月間集計シート!$M$50:$M$69,$G399,月間集計シート!N$50:N$69)*Q$2</f>
        <v>0</v>
      </c>
      <c r="R399" s="88">
        <f>SUMIF(月間集計シート!$M$50:$M$69,$G399,月間集計シート!O$50:O$69)*R$2</f>
        <v>0</v>
      </c>
      <c r="S399" s="88">
        <f>SUMIF(月間集計シート!$M$50:$M$69,$G399,月間集計シート!P$50:P$69)*S$2</f>
        <v>0</v>
      </c>
      <c r="T399" s="88">
        <f>SUMIF(月間集計シート!$M$50:$M$69,$G399,月間集計シート!Q$50:Q$69)*T$2</f>
        <v>0</v>
      </c>
      <c r="U399" s="88">
        <f>SUMIF(月間集計シート!$M$50:$M$69,$G399,月間集計シート!R$50:R$69)*U$2</f>
        <v>0</v>
      </c>
      <c r="V399" s="88">
        <f>SUMIF(月間集計シート!$M$50:$M$69,$G399,月間集計シート!S$50:S$69)*V$2</f>
        <v>0</v>
      </c>
      <c r="W399" s="88">
        <f>SUMIF(月間集計シート!$M$50:$M$69,$G399,月間集計シート!T$50:T$69)*W$2</f>
        <v>0</v>
      </c>
      <c r="X399" s="88">
        <f>SUMIF(月間集計シート!$M$71:$M$90,$G399,月間集計シート!N$71:N$90)*X$2</f>
        <v>0</v>
      </c>
      <c r="Y399" s="88">
        <f>SUMIF(月間集計シート!$M$71:$M$90,$G399,月間集計シート!O$71:O$90)*Y$2</f>
        <v>0</v>
      </c>
      <c r="Z399" s="88">
        <f>SUMIF(月間集計シート!$M$71:$M$90,$G399,月間集計シート!P$71:P$90)*Z$2</f>
        <v>0</v>
      </c>
      <c r="AA399" s="88">
        <f>SUMIF(月間集計シート!$M$71:$M$90,$G399,月間集計シート!Q$71:Q$90)*AA$2</f>
        <v>0</v>
      </c>
      <c r="AB399" s="88">
        <f>SUMIF(月間集計シート!$M$71:$M$90,$G399,月間集計シート!R$71:R$90)*AB$2</f>
        <v>0</v>
      </c>
      <c r="AC399" s="88">
        <f>SUMIF(月間集計シート!$M$71:$M$90,$G399,月間集計シート!S$71:S$90)*AC$2</f>
        <v>0</v>
      </c>
      <c r="AD399" s="88">
        <f>SUMIF(月間集計シート!$M$71:$M$90,$G399,月間集計シート!T$71:T$90)*AD$2</f>
        <v>0</v>
      </c>
      <c r="AE399" s="88">
        <f>SUMIF(月間集計シート!$M$92:$M$111,$G399,月間集計シート!N$92:N$111)*AE$2</f>
        <v>0</v>
      </c>
      <c r="AF399" s="88">
        <f>SUMIF(月間集計シート!$M$92:$M$111,$G399,月間集計シート!O$92:O$111)*AF$2</f>
        <v>0</v>
      </c>
      <c r="AG399" s="88">
        <f>SUMIF(月間集計シート!$M$92:$M$111,$G399,月間集計シート!P$92:P$111)*AG$2</f>
        <v>0</v>
      </c>
      <c r="AH399" s="88">
        <f>SUMIF(月間集計シート!$M$92:$M$111,$G399,月間集計シート!Q$92:Q$111)*AH$2</f>
        <v>0</v>
      </c>
      <c r="AI399" s="88">
        <f>SUMIF(月間集計シート!$M$92:$M$111,$G399,月間集計シート!R$92:R$111)*AI$2</f>
        <v>0</v>
      </c>
      <c r="AJ399" s="88">
        <f>SUMIF(月間集計シート!$M$92:$M$111,$G399,月間集計シート!S$92:S$111)*AJ$2</f>
        <v>0</v>
      </c>
      <c r="AK399" s="88">
        <f>SUMIF(月間集計シート!$M$92:$M$111,$G399,月間集計シート!T$92:T$111)*AK$2</f>
        <v>0</v>
      </c>
      <c r="AL399" s="88">
        <f>SUMIF(月間集計シート!$M$113:$M$132,$G399,月間集計シート!N$113:N$132)*AL$2</f>
        <v>0</v>
      </c>
      <c r="AM399" s="88">
        <f>SUMIF(月間集計シート!$M$113:$M$132,$G399,月間集計シート!O$113:O$132)*AM$2</f>
        <v>0</v>
      </c>
      <c r="AN399" s="88">
        <f>SUMIF(月間集計シート!$M$113:$M$132,$G399,月間集計シート!P$113:P$132)*AN$2</f>
        <v>0</v>
      </c>
      <c r="AO399" s="88">
        <f>SUMIF(月間集計シート!$M$113:$M$132,$G399,月間集計シート!Q$113:Q$132)*AO$2</f>
        <v>0</v>
      </c>
      <c r="AP399" s="88">
        <f>SUMIF(月間集計シート!$M$113:$M$132,$G399,月間集計シート!R$113:R$132)*AP$2</f>
        <v>0</v>
      </c>
      <c r="AQ399" s="88">
        <f>SUMIF(月間集計シート!$M$113:$M$132,$G399,月間集計シート!S$113:S$132)*AQ$2</f>
        <v>0</v>
      </c>
      <c r="AR399" s="88">
        <f>SUMIF(月間集計シート!$M$113:$M$132,$G399,月間集計シート!T$113:T$132)*AR$2</f>
        <v>0</v>
      </c>
      <c r="AS399" s="88">
        <f>SUMIF(月間集計シート!$M$134:$M$153,$G399,月間集計シート!N$134:N$153)*AS$2</f>
        <v>0</v>
      </c>
      <c r="AT399" s="88">
        <f>SUMIF(月間集計シート!$M$134:$M$153,$G399,月間集計シート!O$134:O$153)*AT$2</f>
        <v>0</v>
      </c>
      <c r="AU399" s="88">
        <f>SUMIF(月間集計シート!$M$134:$M$153,$G399,月間集計シート!P$134:P$153)*AU$2</f>
        <v>0</v>
      </c>
      <c r="AV399" s="88">
        <f>SUMIF(月間集計シート!$M$134:$M$153,$G399,月間集計シート!Q$134:Q$153)*AV$2</f>
        <v>0</v>
      </c>
      <c r="AW399" s="88">
        <f>SUMIF(月間集計シート!$M$134:$M$153,$G399,月間集計シート!R$134:R$153)*AW$2</f>
        <v>0</v>
      </c>
      <c r="AX399" s="88">
        <f>SUMIF(月間集計シート!$M$134:$M$153,$G399,月間集計シート!S$134:S$153)*AX$2</f>
        <v>0</v>
      </c>
      <c r="AY399" s="88">
        <f>SUMIF(月間集計シート!$M$134:$M$153,$G399,月間集計シート!T$134:T$153)*AY$2</f>
        <v>0</v>
      </c>
    </row>
    <row r="400" spans="1:51" ht="14.25" thickBot="1">
      <c r="A400">
        <v>5</v>
      </c>
      <c r="B400" s="120">
        <f t="shared" si="185"/>
        <v>0</v>
      </c>
      <c r="C400" s="120" t="str">
        <f t="shared" si="186"/>
        <v/>
      </c>
      <c r="D400" s="137"/>
      <c r="E400" s="150">
        <f>工種!A52</f>
        <v>70103</v>
      </c>
      <c r="F400" s="119" t="str">
        <f>工種!B52</f>
        <v>外部不具合修正：テスト</v>
      </c>
      <c r="G400" s="116" t="str">
        <f t="shared" si="187"/>
        <v>070103</v>
      </c>
      <c r="H400" s="88">
        <f t="shared" si="141"/>
        <v>0</v>
      </c>
      <c r="I400" s="132"/>
      <c r="J400" s="88">
        <f>SUMIF(月間集計シート!$M$29:$M$48,$G400,月間集計シート!N$29:N$48)*J$2</f>
        <v>0</v>
      </c>
      <c r="K400" s="88">
        <f>SUMIF(月間集計シート!$M$29:$M$48,$G400,月間集計シート!O$29:O$48)*K$2</f>
        <v>0</v>
      </c>
      <c r="L400" s="88">
        <f>SUMIF(月間集計シート!$M$29:$M$48,$G400,月間集計シート!P$29:P$48)*L$2</f>
        <v>0</v>
      </c>
      <c r="M400" s="88">
        <f>SUMIF(月間集計シート!$M$29:$M$48,$G400,月間集計シート!Q$29:Q$48)*M$2</f>
        <v>0</v>
      </c>
      <c r="N400" s="88">
        <f>SUMIF(月間集計シート!$M$29:$M$48,$G400,月間集計シート!R$29:R$48)*N$2</f>
        <v>0</v>
      </c>
      <c r="O400" s="88">
        <f>SUMIF(月間集計シート!$M$29:$M$48,$G400,月間集計シート!S$29:S$48)*O$2</f>
        <v>0</v>
      </c>
      <c r="P400" s="88">
        <f>SUMIF(月間集計シート!$M$29:$M$48,$G400,月間集計シート!T$29:T$48)*P$2</f>
        <v>0</v>
      </c>
      <c r="Q400" s="88">
        <f>SUMIF(月間集計シート!$M$50:$M$69,$G400,月間集計シート!N$50:N$69)*Q$2</f>
        <v>0</v>
      </c>
      <c r="R400" s="88">
        <f>SUMIF(月間集計シート!$M$50:$M$69,$G400,月間集計シート!O$50:O$69)*R$2</f>
        <v>0</v>
      </c>
      <c r="S400" s="88">
        <f>SUMIF(月間集計シート!$M$50:$M$69,$G400,月間集計シート!P$50:P$69)*S$2</f>
        <v>0</v>
      </c>
      <c r="T400" s="88">
        <f>SUMIF(月間集計シート!$M$50:$M$69,$G400,月間集計シート!Q$50:Q$69)*T$2</f>
        <v>0</v>
      </c>
      <c r="U400" s="88">
        <f>SUMIF(月間集計シート!$M$50:$M$69,$G400,月間集計シート!R$50:R$69)*U$2</f>
        <v>0</v>
      </c>
      <c r="V400" s="88">
        <f>SUMIF(月間集計シート!$M$50:$M$69,$G400,月間集計シート!S$50:S$69)*V$2</f>
        <v>0</v>
      </c>
      <c r="W400" s="88">
        <f>SUMIF(月間集計シート!$M$50:$M$69,$G400,月間集計シート!T$50:T$69)*W$2</f>
        <v>0</v>
      </c>
      <c r="X400" s="88">
        <f>SUMIF(月間集計シート!$M$71:$M$90,$G400,月間集計シート!N$71:N$90)*X$2</f>
        <v>0</v>
      </c>
      <c r="Y400" s="88">
        <f>SUMIF(月間集計シート!$M$71:$M$90,$G400,月間集計シート!O$71:O$90)*Y$2</f>
        <v>0</v>
      </c>
      <c r="Z400" s="88">
        <f>SUMIF(月間集計シート!$M$71:$M$90,$G400,月間集計シート!P$71:P$90)*Z$2</f>
        <v>0</v>
      </c>
      <c r="AA400" s="88">
        <f>SUMIF(月間集計シート!$M$71:$M$90,$G400,月間集計シート!Q$71:Q$90)*AA$2</f>
        <v>0</v>
      </c>
      <c r="AB400" s="88">
        <f>SUMIF(月間集計シート!$M$71:$M$90,$G400,月間集計シート!R$71:R$90)*AB$2</f>
        <v>0</v>
      </c>
      <c r="AC400" s="88">
        <f>SUMIF(月間集計シート!$M$71:$M$90,$G400,月間集計シート!S$71:S$90)*AC$2</f>
        <v>0</v>
      </c>
      <c r="AD400" s="88">
        <f>SUMIF(月間集計シート!$M$71:$M$90,$G400,月間集計シート!T$71:T$90)*AD$2</f>
        <v>0</v>
      </c>
      <c r="AE400" s="88">
        <f>SUMIF(月間集計シート!$M$92:$M$111,$G400,月間集計シート!N$92:N$111)*AE$2</f>
        <v>0</v>
      </c>
      <c r="AF400" s="88">
        <f>SUMIF(月間集計シート!$M$92:$M$111,$G400,月間集計シート!O$92:O$111)*AF$2</f>
        <v>0</v>
      </c>
      <c r="AG400" s="88">
        <f>SUMIF(月間集計シート!$M$92:$M$111,$G400,月間集計シート!P$92:P$111)*AG$2</f>
        <v>0</v>
      </c>
      <c r="AH400" s="88">
        <f>SUMIF(月間集計シート!$M$92:$M$111,$G400,月間集計シート!Q$92:Q$111)*AH$2</f>
        <v>0</v>
      </c>
      <c r="AI400" s="88">
        <f>SUMIF(月間集計シート!$M$92:$M$111,$G400,月間集計シート!R$92:R$111)*AI$2</f>
        <v>0</v>
      </c>
      <c r="AJ400" s="88">
        <f>SUMIF(月間集計シート!$M$92:$M$111,$G400,月間集計シート!S$92:S$111)*AJ$2</f>
        <v>0</v>
      </c>
      <c r="AK400" s="88">
        <f>SUMIF(月間集計シート!$M$92:$M$111,$G400,月間集計シート!T$92:T$111)*AK$2</f>
        <v>0</v>
      </c>
      <c r="AL400" s="88">
        <f>SUMIF(月間集計シート!$M$113:$M$132,$G400,月間集計シート!N$113:N$132)*AL$2</f>
        <v>0</v>
      </c>
      <c r="AM400" s="88">
        <f>SUMIF(月間集計シート!$M$113:$M$132,$G400,月間集計シート!O$113:O$132)*AM$2</f>
        <v>0</v>
      </c>
      <c r="AN400" s="88">
        <f>SUMIF(月間集計シート!$M$113:$M$132,$G400,月間集計シート!P$113:P$132)*AN$2</f>
        <v>0</v>
      </c>
      <c r="AO400" s="88">
        <f>SUMIF(月間集計シート!$M$113:$M$132,$G400,月間集計シート!Q$113:Q$132)*AO$2</f>
        <v>0</v>
      </c>
      <c r="AP400" s="88">
        <f>SUMIF(月間集計シート!$M$113:$M$132,$G400,月間集計シート!R$113:R$132)*AP$2</f>
        <v>0</v>
      </c>
      <c r="AQ400" s="88">
        <f>SUMIF(月間集計シート!$M$113:$M$132,$G400,月間集計シート!S$113:S$132)*AQ$2</f>
        <v>0</v>
      </c>
      <c r="AR400" s="88">
        <f>SUMIF(月間集計シート!$M$113:$M$132,$G400,月間集計シート!T$113:T$132)*AR$2</f>
        <v>0</v>
      </c>
      <c r="AS400" s="88">
        <f>SUMIF(月間集計シート!$M$134:$M$153,$G400,月間集計シート!N$134:N$153)*AS$2</f>
        <v>0</v>
      </c>
      <c r="AT400" s="88">
        <f>SUMIF(月間集計シート!$M$134:$M$153,$G400,月間集計シート!O$134:O$153)*AT$2</f>
        <v>0</v>
      </c>
      <c r="AU400" s="88">
        <f>SUMIF(月間集計シート!$M$134:$M$153,$G400,月間集計シート!P$134:P$153)*AU$2</f>
        <v>0</v>
      </c>
      <c r="AV400" s="88">
        <f>SUMIF(月間集計シート!$M$134:$M$153,$G400,月間集計シート!Q$134:Q$153)*AV$2</f>
        <v>0</v>
      </c>
      <c r="AW400" s="88">
        <f>SUMIF(月間集計シート!$M$134:$M$153,$G400,月間集計シート!R$134:R$153)*AW$2</f>
        <v>0</v>
      </c>
      <c r="AX400" s="88">
        <f>SUMIF(月間集計シート!$M$134:$M$153,$G400,月間集計シート!S$134:S$153)*AX$2</f>
        <v>0</v>
      </c>
      <c r="AY400" s="88">
        <f>SUMIF(月間集計シート!$M$134:$M$153,$G400,月間集計シート!T$134:T$153)*AY$2</f>
        <v>0</v>
      </c>
    </row>
    <row r="401" spans="1:51" ht="14.25" thickBot="1">
      <c r="A401">
        <v>5</v>
      </c>
      <c r="B401" s="120">
        <f t="shared" si="185"/>
        <v>0</v>
      </c>
      <c r="C401" s="120" t="str">
        <f t="shared" si="186"/>
        <v/>
      </c>
      <c r="D401" s="137"/>
      <c r="E401" s="150">
        <f>工種!A53</f>
        <v>70104</v>
      </c>
      <c r="F401" s="119" t="str">
        <f>工種!B53</f>
        <v>外部不具合修正：不具合連絡作成</v>
      </c>
      <c r="G401" s="116" t="str">
        <f t="shared" si="187"/>
        <v>070104</v>
      </c>
      <c r="H401" s="88">
        <f t="shared" si="141"/>
        <v>0</v>
      </c>
      <c r="I401" s="132"/>
      <c r="J401" s="88">
        <f>SUMIF(月間集計シート!$M$29:$M$48,$G401,月間集計シート!N$29:N$48)*J$2</f>
        <v>0</v>
      </c>
      <c r="K401" s="88">
        <f>SUMIF(月間集計シート!$M$29:$M$48,$G401,月間集計シート!O$29:O$48)*K$2</f>
        <v>0</v>
      </c>
      <c r="L401" s="88">
        <f>SUMIF(月間集計シート!$M$29:$M$48,$G401,月間集計シート!P$29:P$48)*L$2</f>
        <v>0</v>
      </c>
      <c r="M401" s="88">
        <f>SUMIF(月間集計シート!$M$29:$M$48,$G401,月間集計シート!Q$29:Q$48)*M$2</f>
        <v>0</v>
      </c>
      <c r="N401" s="88">
        <f>SUMIF(月間集計シート!$M$29:$M$48,$G401,月間集計シート!R$29:R$48)*N$2</f>
        <v>0</v>
      </c>
      <c r="O401" s="88">
        <f>SUMIF(月間集計シート!$M$29:$M$48,$G401,月間集計シート!S$29:S$48)*O$2</f>
        <v>0</v>
      </c>
      <c r="P401" s="88">
        <f>SUMIF(月間集計シート!$M$29:$M$48,$G401,月間集計シート!T$29:T$48)*P$2</f>
        <v>0</v>
      </c>
      <c r="Q401" s="88">
        <f>SUMIF(月間集計シート!$M$50:$M$69,$G401,月間集計シート!N$50:N$69)*Q$2</f>
        <v>0</v>
      </c>
      <c r="R401" s="88">
        <f>SUMIF(月間集計シート!$M$50:$M$69,$G401,月間集計シート!O$50:O$69)*R$2</f>
        <v>0</v>
      </c>
      <c r="S401" s="88">
        <f>SUMIF(月間集計シート!$M$50:$M$69,$G401,月間集計シート!P$50:P$69)*S$2</f>
        <v>0</v>
      </c>
      <c r="T401" s="88">
        <f>SUMIF(月間集計シート!$M$50:$M$69,$G401,月間集計シート!Q$50:Q$69)*T$2</f>
        <v>0</v>
      </c>
      <c r="U401" s="88">
        <f>SUMIF(月間集計シート!$M$50:$M$69,$G401,月間集計シート!R$50:R$69)*U$2</f>
        <v>0</v>
      </c>
      <c r="V401" s="88">
        <f>SUMIF(月間集計シート!$M$50:$M$69,$G401,月間集計シート!S$50:S$69)*V$2</f>
        <v>0</v>
      </c>
      <c r="W401" s="88">
        <f>SUMIF(月間集計シート!$M$50:$M$69,$G401,月間集計シート!T$50:T$69)*W$2</f>
        <v>0</v>
      </c>
      <c r="X401" s="88">
        <f>SUMIF(月間集計シート!$M$71:$M$90,$G401,月間集計シート!N$71:N$90)*X$2</f>
        <v>0</v>
      </c>
      <c r="Y401" s="88">
        <f>SUMIF(月間集計シート!$M$71:$M$90,$G401,月間集計シート!O$71:O$90)*Y$2</f>
        <v>0</v>
      </c>
      <c r="Z401" s="88">
        <f>SUMIF(月間集計シート!$M$71:$M$90,$G401,月間集計シート!P$71:P$90)*Z$2</f>
        <v>0</v>
      </c>
      <c r="AA401" s="88">
        <f>SUMIF(月間集計シート!$M$71:$M$90,$G401,月間集計シート!Q$71:Q$90)*AA$2</f>
        <v>0</v>
      </c>
      <c r="AB401" s="88">
        <f>SUMIF(月間集計シート!$M$71:$M$90,$G401,月間集計シート!R$71:R$90)*AB$2</f>
        <v>0</v>
      </c>
      <c r="AC401" s="88">
        <f>SUMIF(月間集計シート!$M$71:$M$90,$G401,月間集計シート!S$71:S$90)*AC$2</f>
        <v>0</v>
      </c>
      <c r="AD401" s="88">
        <f>SUMIF(月間集計シート!$M$71:$M$90,$G401,月間集計シート!T$71:T$90)*AD$2</f>
        <v>0</v>
      </c>
      <c r="AE401" s="88">
        <f>SUMIF(月間集計シート!$M$92:$M$111,$G401,月間集計シート!N$92:N$111)*AE$2</f>
        <v>0</v>
      </c>
      <c r="AF401" s="88">
        <f>SUMIF(月間集計シート!$M$92:$M$111,$G401,月間集計シート!O$92:O$111)*AF$2</f>
        <v>0</v>
      </c>
      <c r="AG401" s="88">
        <f>SUMIF(月間集計シート!$M$92:$M$111,$G401,月間集計シート!P$92:P$111)*AG$2</f>
        <v>0</v>
      </c>
      <c r="AH401" s="88">
        <f>SUMIF(月間集計シート!$M$92:$M$111,$G401,月間集計シート!Q$92:Q$111)*AH$2</f>
        <v>0</v>
      </c>
      <c r="AI401" s="88">
        <f>SUMIF(月間集計シート!$M$92:$M$111,$G401,月間集計シート!R$92:R$111)*AI$2</f>
        <v>0</v>
      </c>
      <c r="AJ401" s="88">
        <f>SUMIF(月間集計シート!$M$92:$M$111,$G401,月間集計シート!S$92:S$111)*AJ$2</f>
        <v>0</v>
      </c>
      <c r="AK401" s="88">
        <f>SUMIF(月間集計シート!$M$92:$M$111,$G401,月間集計シート!T$92:T$111)*AK$2</f>
        <v>0</v>
      </c>
      <c r="AL401" s="88">
        <f>SUMIF(月間集計シート!$M$113:$M$132,$G401,月間集計シート!N$113:N$132)*AL$2</f>
        <v>0</v>
      </c>
      <c r="AM401" s="88">
        <f>SUMIF(月間集計シート!$M$113:$M$132,$G401,月間集計シート!O$113:O$132)*AM$2</f>
        <v>0</v>
      </c>
      <c r="AN401" s="88">
        <f>SUMIF(月間集計シート!$M$113:$M$132,$G401,月間集計シート!P$113:P$132)*AN$2</f>
        <v>0</v>
      </c>
      <c r="AO401" s="88">
        <f>SUMIF(月間集計シート!$M$113:$M$132,$G401,月間集計シート!Q$113:Q$132)*AO$2</f>
        <v>0</v>
      </c>
      <c r="AP401" s="88">
        <f>SUMIF(月間集計シート!$M$113:$M$132,$G401,月間集計シート!R$113:R$132)*AP$2</f>
        <v>0</v>
      </c>
      <c r="AQ401" s="88">
        <f>SUMIF(月間集計シート!$M$113:$M$132,$G401,月間集計シート!S$113:S$132)*AQ$2</f>
        <v>0</v>
      </c>
      <c r="AR401" s="88">
        <f>SUMIF(月間集計シート!$M$113:$M$132,$G401,月間集計シート!T$113:T$132)*AR$2</f>
        <v>0</v>
      </c>
      <c r="AS401" s="88">
        <f>SUMIF(月間集計シート!$M$134:$M$153,$G401,月間集計シート!N$134:N$153)*AS$2</f>
        <v>0</v>
      </c>
      <c r="AT401" s="88">
        <f>SUMIF(月間集計シート!$M$134:$M$153,$G401,月間集計シート!O$134:O$153)*AT$2</f>
        <v>0</v>
      </c>
      <c r="AU401" s="88">
        <f>SUMIF(月間集計シート!$M$134:$M$153,$G401,月間集計シート!P$134:P$153)*AU$2</f>
        <v>0</v>
      </c>
      <c r="AV401" s="88">
        <f>SUMIF(月間集計シート!$M$134:$M$153,$G401,月間集計シート!Q$134:Q$153)*AV$2</f>
        <v>0</v>
      </c>
      <c r="AW401" s="88">
        <f>SUMIF(月間集計シート!$M$134:$M$153,$G401,月間集計シート!R$134:R$153)*AW$2</f>
        <v>0</v>
      </c>
      <c r="AX401" s="88">
        <f>SUMIF(月間集計シート!$M$134:$M$153,$G401,月間集計シート!S$134:S$153)*AX$2</f>
        <v>0</v>
      </c>
      <c r="AY401" s="88">
        <f>SUMIF(月間集計シート!$M$134:$M$153,$G401,月間集計シート!T$134:T$153)*AY$2</f>
        <v>0</v>
      </c>
    </row>
    <row r="402" spans="1:51" ht="14.25" thickBot="1">
      <c r="A402">
        <v>5</v>
      </c>
      <c r="B402" s="120">
        <f t="shared" si="185"/>
        <v>0</v>
      </c>
      <c r="C402" s="120" t="str">
        <f t="shared" si="186"/>
        <v/>
      </c>
      <c r="D402" s="137"/>
      <c r="E402" s="150">
        <f>工種!A54</f>
        <v>70105</v>
      </c>
      <c r="F402" s="119" t="str">
        <f>工種!B54</f>
        <v>外部不具合修正：差分PGイントラ掲載</v>
      </c>
      <c r="G402" s="116" t="str">
        <f t="shared" si="187"/>
        <v>070105</v>
      </c>
      <c r="H402" s="88">
        <f t="shared" si="141"/>
        <v>0</v>
      </c>
      <c r="I402" s="132"/>
      <c r="J402" s="88">
        <f>SUMIF(月間集計シート!$M$29:$M$48,$G402,月間集計シート!N$29:N$48)*J$2</f>
        <v>0</v>
      </c>
      <c r="K402" s="88">
        <f>SUMIF(月間集計シート!$M$29:$M$48,$G402,月間集計シート!O$29:O$48)*K$2</f>
        <v>0</v>
      </c>
      <c r="L402" s="88">
        <f>SUMIF(月間集計シート!$M$29:$M$48,$G402,月間集計シート!P$29:P$48)*L$2</f>
        <v>0</v>
      </c>
      <c r="M402" s="88">
        <f>SUMIF(月間集計シート!$M$29:$M$48,$G402,月間集計シート!Q$29:Q$48)*M$2</f>
        <v>0</v>
      </c>
      <c r="N402" s="88">
        <f>SUMIF(月間集計シート!$M$29:$M$48,$G402,月間集計シート!R$29:R$48)*N$2</f>
        <v>0</v>
      </c>
      <c r="O402" s="88">
        <f>SUMIF(月間集計シート!$M$29:$M$48,$G402,月間集計シート!S$29:S$48)*O$2</f>
        <v>0</v>
      </c>
      <c r="P402" s="88">
        <f>SUMIF(月間集計シート!$M$29:$M$48,$G402,月間集計シート!T$29:T$48)*P$2</f>
        <v>0</v>
      </c>
      <c r="Q402" s="88">
        <f>SUMIF(月間集計シート!$M$50:$M$69,$G402,月間集計シート!N$50:N$69)*Q$2</f>
        <v>0</v>
      </c>
      <c r="R402" s="88">
        <f>SUMIF(月間集計シート!$M$50:$M$69,$G402,月間集計シート!O$50:O$69)*R$2</f>
        <v>0</v>
      </c>
      <c r="S402" s="88">
        <f>SUMIF(月間集計シート!$M$50:$M$69,$G402,月間集計シート!P$50:P$69)*S$2</f>
        <v>0</v>
      </c>
      <c r="T402" s="88">
        <f>SUMIF(月間集計シート!$M$50:$M$69,$G402,月間集計シート!Q$50:Q$69)*T$2</f>
        <v>0</v>
      </c>
      <c r="U402" s="88">
        <f>SUMIF(月間集計シート!$M$50:$M$69,$G402,月間集計シート!R$50:R$69)*U$2</f>
        <v>0</v>
      </c>
      <c r="V402" s="88">
        <f>SUMIF(月間集計シート!$M$50:$M$69,$G402,月間集計シート!S$50:S$69)*V$2</f>
        <v>0</v>
      </c>
      <c r="W402" s="88">
        <f>SUMIF(月間集計シート!$M$50:$M$69,$G402,月間集計シート!T$50:T$69)*W$2</f>
        <v>0</v>
      </c>
      <c r="X402" s="88">
        <f>SUMIF(月間集計シート!$M$71:$M$90,$G402,月間集計シート!N$71:N$90)*X$2</f>
        <v>0</v>
      </c>
      <c r="Y402" s="88">
        <f>SUMIF(月間集計シート!$M$71:$M$90,$G402,月間集計シート!O$71:O$90)*Y$2</f>
        <v>0</v>
      </c>
      <c r="Z402" s="88">
        <f>SUMIF(月間集計シート!$M$71:$M$90,$G402,月間集計シート!P$71:P$90)*Z$2</f>
        <v>0</v>
      </c>
      <c r="AA402" s="88">
        <f>SUMIF(月間集計シート!$M$71:$M$90,$G402,月間集計シート!Q$71:Q$90)*AA$2</f>
        <v>0</v>
      </c>
      <c r="AB402" s="88">
        <f>SUMIF(月間集計シート!$M$71:$M$90,$G402,月間集計シート!R$71:R$90)*AB$2</f>
        <v>0</v>
      </c>
      <c r="AC402" s="88">
        <f>SUMIF(月間集計シート!$M$71:$M$90,$G402,月間集計シート!S$71:S$90)*AC$2</f>
        <v>0</v>
      </c>
      <c r="AD402" s="88">
        <f>SUMIF(月間集計シート!$M$71:$M$90,$G402,月間集計シート!T$71:T$90)*AD$2</f>
        <v>0</v>
      </c>
      <c r="AE402" s="88">
        <f>SUMIF(月間集計シート!$M$92:$M$111,$G402,月間集計シート!N$92:N$111)*AE$2</f>
        <v>0</v>
      </c>
      <c r="AF402" s="88">
        <f>SUMIF(月間集計シート!$M$92:$M$111,$G402,月間集計シート!O$92:O$111)*AF$2</f>
        <v>0</v>
      </c>
      <c r="AG402" s="88">
        <f>SUMIF(月間集計シート!$M$92:$M$111,$G402,月間集計シート!P$92:P$111)*AG$2</f>
        <v>0</v>
      </c>
      <c r="AH402" s="88">
        <f>SUMIF(月間集計シート!$M$92:$M$111,$G402,月間集計シート!Q$92:Q$111)*AH$2</f>
        <v>0</v>
      </c>
      <c r="AI402" s="88">
        <f>SUMIF(月間集計シート!$M$92:$M$111,$G402,月間集計シート!R$92:R$111)*AI$2</f>
        <v>0</v>
      </c>
      <c r="AJ402" s="88">
        <f>SUMIF(月間集計シート!$M$92:$M$111,$G402,月間集計シート!S$92:S$111)*AJ$2</f>
        <v>0</v>
      </c>
      <c r="AK402" s="88">
        <f>SUMIF(月間集計シート!$M$92:$M$111,$G402,月間集計シート!T$92:T$111)*AK$2</f>
        <v>0</v>
      </c>
      <c r="AL402" s="88">
        <f>SUMIF(月間集計シート!$M$113:$M$132,$G402,月間集計シート!N$113:N$132)*AL$2</f>
        <v>0</v>
      </c>
      <c r="AM402" s="88">
        <f>SUMIF(月間集計シート!$M$113:$M$132,$G402,月間集計シート!O$113:O$132)*AM$2</f>
        <v>0</v>
      </c>
      <c r="AN402" s="88">
        <f>SUMIF(月間集計シート!$M$113:$M$132,$G402,月間集計シート!P$113:P$132)*AN$2</f>
        <v>0</v>
      </c>
      <c r="AO402" s="88">
        <f>SUMIF(月間集計シート!$M$113:$M$132,$G402,月間集計シート!Q$113:Q$132)*AO$2</f>
        <v>0</v>
      </c>
      <c r="AP402" s="88">
        <f>SUMIF(月間集計シート!$M$113:$M$132,$G402,月間集計シート!R$113:R$132)*AP$2</f>
        <v>0</v>
      </c>
      <c r="AQ402" s="88">
        <f>SUMIF(月間集計シート!$M$113:$M$132,$G402,月間集計シート!S$113:S$132)*AQ$2</f>
        <v>0</v>
      </c>
      <c r="AR402" s="88">
        <f>SUMIF(月間集計シート!$M$113:$M$132,$G402,月間集計シート!T$113:T$132)*AR$2</f>
        <v>0</v>
      </c>
      <c r="AS402" s="88">
        <f>SUMIF(月間集計シート!$M$134:$M$153,$G402,月間集計シート!N$134:N$153)*AS$2</f>
        <v>0</v>
      </c>
      <c r="AT402" s="88">
        <f>SUMIF(月間集計シート!$M$134:$M$153,$G402,月間集計シート!O$134:O$153)*AT$2</f>
        <v>0</v>
      </c>
      <c r="AU402" s="88">
        <f>SUMIF(月間集計シート!$M$134:$M$153,$G402,月間集計シート!P$134:P$153)*AU$2</f>
        <v>0</v>
      </c>
      <c r="AV402" s="88">
        <f>SUMIF(月間集計シート!$M$134:$M$153,$G402,月間集計シート!Q$134:Q$153)*AV$2</f>
        <v>0</v>
      </c>
      <c r="AW402" s="88">
        <f>SUMIF(月間集計シート!$M$134:$M$153,$G402,月間集計シート!R$134:R$153)*AW$2</f>
        <v>0</v>
      </c>
      <c r="AX402" s="88">
        <f>SUMIF(月間集計シート!$M$134:$M$153,$G402,月間集計シート!S$134:S$153)*AX$2</f>
        <v>0</v>
      </c>
      <c r="AY402" s="88">
        <f>SUMIF(月間集計シート!$M$134:$M$153,$G402,月間集計シート!T$134:T$153)*AY$2</f>
        <v>0</v>
      </c>
    </row>
    <row r="403" spans="1:51" ht="14.25" thickBot="1">
      <c r="A403">
        <v>5</v>
      </c>
      <c r="B403" s="120">
        <f t="shared" si="185"/>
        <v>0</v>
      </c>
      <c r="C403" s="120" t="str">
        <f t="shared" si="186"/>
        <v/>
      </c>
      <c r="D403" s="137"/>
      <c r="E403" s="150">
        <f>工種!A55</f>
        <v>70106</v>
      </c>
      <c r="F403" s="119" t="str">
        <f>工種!B55</f>
        <v>外部不具合修正：打合せ</v>
      </c>
      <c r="G403" s="116" t="str">
        <f t="shared" si="187"/>
        <v>070106</v>
      </c>
      <c r="H403" s="88">
        <f t="shared" si="141"/>
        <v>0</v>
      </c>
      <c r="I403" s="132"/>
      <c r="J403" s="88">
        <f>SUMIF(月間集計シート!$M$29:$M$48,$G403,月間集計シート!N$29:N$48)*J$2</f>
        <v>0</v>
      </c>
      <c r="K403" s="88">
        <f>SUMIF(月間集計シート!$M$29:$M$48,$G403,月間集計シート!O$29:O$48)*K$2</f>
        <v>0</v>
      </c>
      <c r="L403" s="88">
        <f>SUMIF(月間集計シート!$M$29:$M$48,$G403,月間集計シート!P$29:P$48)*L$2</f>
        <v>0</v>
      </c>
      <c r="M403" s="88">
        <f>SUMIF(月間集計シート!$M$29:$M$48,$G403,月間集計シート!Q$29:Q$48)*M$2</f>
        <v>0</v>
      </c>
      <c r="N403" s="88">
        <f>SUMIF(月間集計シート!$M$29:$M$48,$G403,月間集計シート!R$29:R$48)*N$2</f>
        <v>0</v>
      </c>
      <c r="O403" s="88">
        <f>SUMIF(月間集計シート!$M$29:$M$48,$G403,月間集計シート!S$29:S$48)*O$2</f>
        <v>0</v>
      </c>
      <c r="P403" s="88">
        <f>SUMIF(月間集計シート!$M$29:$M$48,$G403,月間集計シート!T$29:T$48)*P$2</f>
        <v>0</v>
      </c>
      <c r="Q403" s="88">
        <f>SUMIF(月間集計シート!$M$50:$M$69,$G403,月間集計シート!N$50:N$69)*Q$2</f>
        <v>0</v>
      </c>
      <c r="R403" s="88">
        <f>SUMIF(月間集計シート!$M$50:$M$69,$G403,月間集計シート!O$50:O$69)*R$2</f>
        <v>0</v>
      </c>
      <c r="S403" s="88">
        <f>SUMIF(月間集計シート!$M$50:$M$69,$G403,月間集計シート!P$50:P$69)*S$2</f>
        <v>0</v>
      </c>
      <c r="T403" s="88">
        <f>SUMIF(月間集計シート!$M$50:$M$69,$G403,月間集計シート!Q$50:Q$69)*T$2</f>
        <v>0</v>
      </c>
      <c r="U403" s="88">
        <f>SUMIF(月間集計シート!$M$50:$M$69,$G403,月間集計シート!R$50:R$69)*U$2</f>
        <v>0</v>
      </c>
      <c r="V403" s="88">
        <f>SUMIF(月間集計シート!$M$50:$M$69,$G403,月間集計シート!S$50:S$69)*V$2</f>
        <v>0</v>
      </c>
      <c r="W403" s="88">
        <f>SUMIF(月間集計シート!$M$50:$M$69,$G403,月間集計シート!T$50:T$69)*W$2</f>
        <v>0</v>
      </c>
      <c r="X403" s="88">
        <f>SUMIF(月間集計シート!$M$71:$M$90,$G403,月間集計シート!N$71:N$90)*X$2</f>
        <v>0</v>
      </c>
      <c r="Y403" s="88">
        <f>SUMIF(月間集計シート!$M$71:$M$90,$G403,月間集計シート!O$71:O$90)*Y$2</f>
        <v>0</v>
      </c>
      <c r="Z403" s="88">
        <f>SUMIF(月間集計シート!$M$71:$M$90,$G403,月間集計シート!P$71:P$90)*Z$2</f>
        <v>0</v>
      </c>
      <c r="AA403" s="88">
        <f>SUMIF(月間集計シート!$M$71:$M$90,$G403,月間集計シート!Q$71:Q$90)*AA$2</f>
        <v>0</v>
      </c>
      <c r="AB403" s="88">
        <f>SUMIF(月間集計シート!$M$71:$M$90,$G403,月間集計シート!R$71:R$90)*AB$2</f>
        <v>0</v>
      </c>
      <c r="AC403" s="88">
        <f>SUMIF(月間集計シート!$M$71:$M$90,$G403,月間集計シート!S$71:S$90)*AC$2</f>
        <v>0</v>
      </c>
      <c r="AD403" s="88">
        <f>SUMIF(月間集計シート!$M$71:$M$90,$G403,月間集計シート!T$71:T$90)*AD$2</f>
        <v>0</v>
      </c>
      <c r="AE403" s="88">
        <f>SUMIF(月間集計シート!$M$92:$M$111,$G403,月間集計シート!N$92:N$111)*AE$2</f>
        <v>0</v>
      </c>
      <c r="AF403" s="88">
        <f>SUMIF(月間集計シート!$M$92:$M$111,$G403,月間集計シート!O$92:O$111)*AF$2</f>
        <v>0</v>
      </c>
      <c r="AG403" s="88">
        <f>SUMIF(月間集計シート!$M$92:$M$111,$G403,月間集計シート!P$92:P$111)*AG$2</f>
        <v>0</v>
      </c>
      <c r="AH403" s="88">
        <f>SUMIF(月間集計シート!$M$92:$M$111,$G403,月間集計シート!Q$92:Q$111)*AH$2</f>
        <v>0</v>
      </c>
      <c r="AI403" s="88">
        <f>SUMIF(月間集計シート!$M$92:$M$111,$G403,月間集計シート!R$92:R$111)*AI$2</f>
        <v>0</v>
      </c>
      <c r="AJ403" s="88">
        <f>SUMIF(月間集計シート!$M$92:$M$111,$G403,月間集計シート!S$92:S$111)*AJ$2</f>
        <v>0</v>
      </c>
      <c r="AK403" s="88">
        <f>SUMIF(月間集計シート!$M$92:$M$111,$G403,月間集計シート!T$92:T$111)*AK$2</f>
        <v>0</v>
      </c>
      <c r="AL403" s="88">
        <f>SUMIF(月間集計シート!$M$113:$M$132,$G403,月間集計シート!N$113:N$132)*AL$2</f>
        <v>0</v>
      </c>
      <c r="AM403" s="88">
        <f>SUMIF(月間集計シート!$M$113:$M$132,$G403,月間集計シート!O$113:O$132)*AM$2</f>
        <v>0</v>
      </c>
      <c r="AN403" s="88">
        <f>SUMIF(月間集計シート!$M$113:$M$132,$G403,月間集計シート!P$113:P$132)*AN$2</f>
        <v>0</v>
      </c>
      <c r="AO403" s="88">
        <f>SUMIF(月間集計シート!$M$113:$M$132,$G403,月間集計シート!Q$113:Q$132)*AO$2</f>
        <v>0</v>
      </c>
      <c r="AP403" s="88">
        <f>SUMIF(月間集計シート!$M$113:$M$132,$G403,月間集計シート!R$113:R$132)*AP$2</f>
        <v>0</v>
      </c>
      <c r="AQ403" s="88">
        <f>SUMIF(月間集計シート!$M$113:$M$132,$G403,月間集計シート!S$113:S$132)*AQ$2</f>
        <v>0</v>
      </c>
      <c r="AR403" s="88">
        <f>SUMIF(月間集計シート!$M$113:$M$132,$G403,月間集計シート!T$113:T$132)*AR$2</f>
        <v>0</v>
      </c>
      <c r="AS403" s="88">
        <f>SUMIF(月間集計シート!$M$134:$M$153,$G403,月間集計シート!N$134:N$153)*AS$2</f>
        <v>0</v>
      </c>
      <c r="AT403" s="88">
        <f>SUMIF(月間集計シート!$M$134:$M$153,$G403,月間集計シート!O$134:O$153)*AT$2</f>
        <v>0</v>
      </c>
      <c r="AU403" s="88">
        <f>SUMIF(月間集計シート!$M$134:$M$153,$G403,月間集計シート!P$134:P$153)*AU$2</f>
        <v>0</v>
      </c>
      <c r="AV403" s="88">
        <f>SUMIF(月間集計シート!$M$134:$M$153,$G403,月間集計シート!Q$134:Q$153)*AV$2</f>
        <v>0</v>
      </c>
      <c r="AW403" s="88">
        <f>SUMIF(月間集計シート!$M$134:$M$153,$G403,月間集計シート!R$134:R$153)*AW$2</f>
        <v>0</v>
      </c>
      <c r="AX403" s="88">
        <f>SUMIF(月間集計シート!$M$134:$M$153,$G403,月間集計シート!S$134:S$153)*AX$2</f>
        <v>0</v>
      </c>
      <c r="AY403" s="88">
        <f>SUMIF(月間集計シート!$M$134:$M$153,$G403,月間集計シート!T$134:T$153)*AY$2</f>
        <v>0</v>
      </c>
    </row>
    <row r="404" spans="1:51" ht="14.25" thickBot="1">
      <c r="A404">
        <v>5</v>
      </c>
      <c r="B404" s="120">
        <f t="shared" si="185"/>
        <v>0</v>
      </c>
      <c r="C404" s="120" t="str">
        <f t="shared" si="186"/>
        <v/>
      </c>
      <c r="D404" s="137"/>
      <c r="E404" s="150">
        <f>工種!A56</f>
        <v>70109</v>
      </c>
      <c r="F404" s="119" t="str">
        <f>工種!B56</f>
        <v>外部不具合修正：レビュー</v>
      </c>
      <c r="G404" s="116" t="str">
        <f t="shared" si="187"/>
        <v>070109</v>
      </c>
      <c r="H404" s="88">
        <f t="shared" si="141"/>
        <v>0</v>
      </c>
      <c r="I404" s="132"/>
      <c r="J404" s="88">
        <f>SUMIF(月間集計シート!$M$29:$M$48,$G404,月間集計シート!N$29:N$48)*J$2</f>
        <v>0</v>
      </c>
      <c r="K404" s="88">
        <f>SUMIF(月間集計シート!$M$29:$M$48,$G404,月間集計シート!O$29:O$48)*K$2</f>
        <v>0</v>
      </c>
      <c r="L404" s="88">
        <f>SUMIF(月間集計シート!$M$29:$M$48,$G404,月間集計シート!P$29:P$48)*L$2</f>
        <v>0</v>
      </c>
      <c r="M404" s="88">
        <f>SUMIF(月間集計シート!$M$29:$M$48,$G404,月間集計シート!Q$29:Q$48)*M$2</f>
        <v>0</v>
      </c>
      <c r="N404" s="88">
        <f>SUMIF(月間集計シート!$M$29:$M$48,$G404,月間集計シート!R$29:R$48)*N$2</f>
        <v>0</v>
      </c>
      <c r="O404" s="88">
        <f>SUMIF(月間集計シート!$M$29:$M$48,$G404,月間集計シート!S$29:S$48)*O$2</f>
        <v>0</v>
      </c>
      <c r="P404" s="88">
        <f>SUMIF(月間集計シート!$M$29:$M$48,$G404,月間集計シート!T$29:T$48)*P$2</f>
        <v>0</v>
      </c>
      <c r="Q404" s="88">
        <f>SUMIF(月間集計シート!$M$50:$M$69,$G404,月間集計シート!N$50:N$69)*Q$2</f>
        <v>0</v>
      </c>
      <c r="R404" s="88">
        <f>SUMIF(月間集計シート!$M$50:$M$69,$G404,月間集計シート!O$50:O$69)*R$2</f>
        <v>0</v>
      </c>
      <c r="S404" s="88">
        <f>SUMIF(月間集計シート!$M$50:$M$69,$G404,月間集計シート!P$50:P$69)*S$2</f>
        <v>0</v>
      </c>
      <c r="T404" s="88">
        <f>SUMIF(月間集計シート!$M$50:$M$69,$G404,月間集計シート!Q$50:Q$69)*T$2</f>
        <v>0</v>
      </c>
      <c r="U404" s="88">
        <f>SUMIF(月間集計シート!$M$50:$M$69,$G404,月間集計シート!R$50:R$69)*U$2</f>
        <v>0</v>
      </c>
      <c r="V404" s="88">
        <f>SUMIF(月間集計シート!$M$50:$M$69,$G404,月間集計シート!S$50:S$69)*V$2</f>
        <v>0</v>
      </c>
      <c r="W404" s="88">
        <f>SUMIF(月間集計シート!$M$50:$M$69,$G404,月間集計シート!T$50:T$69)*W$2</f>
        <v>0</v>
      </c>
      <c r="X404" s="88">
        <f>SUMIF(月間集計シート!$M$71:$M$90,$G404,月間集計シート!N$71:N$90)*X$2</f>
        <v>0</v>
      </c>
      <c r="Y404" s="88">
        <f>SUMIF(月間集計シート!$M$71:$M$90,$G404,月間集計シート!O$71:O$90)*Y$2</f>
        <v>0</v>
      </c>
      <c r="Z404" s="88">
        <f>SUMIF(月間集計シート!$M$71:$M$90,$G404,月間集計シート!P$71:P$90)*Z$2</f>
        <v>0</v>
      </c>
      <c r="AA404" s="88">
        <f>SUMIF(月間集計シート!$M$71:$M$90,$G404,月間集計シート!Q$71:Q$90)*AA$2</f>
        <v>0</v>
      </c>
      <c r="AB404" s="88">
        <f>SUMIF(月間集計シート!$M$71:$M$90,$G404,月間集計シート!R$71:R$90)*AB$2</f>
        <v>0</v>
      </c>
      <c r="AC404" s="88">
        <f>SUMIF(月間集計シート!$M$71:$M$90,$G404,月間集計シート!S$71:S$90)*AC$2</f>
        <v>0</v>
      </c>
      <c r="AD404" s="88">
        <f>SUMIF(月間集計シート!$M$71:$M$90,$G404,月間集計シート!T$71:T$90)*AD$2</f>
        <v>0</v>
      </c>
      <c r="AE404" s="88">
        <f>SUMIF(月間集計シート!$M$92:$M$111,$G404,月間集計シート!N$92:N$111)*AE$2</f>
        <v>0</v>
      </c>
      <c r="AF404" s="88">
        <f>SUMIF(月間集計シート!$M$92:$M$111,$G404,月間集計シート!O$92:O$111)*AF$2</f>
        <v>0</v>
      </c>
      <c r="AG404" s="88">
        <f>SUMIF(月間集計シート!$M$92:$M$111,$G404,月間集計シート!P$92:P$111)*AG$2</f>
        <v>0</v>
      </c>
      <c r="AH404" s="88">
        <f>SUMIF(月間集計シート!$M$92:$M$111,$G404,月間集計シート!Q$92:Q$111)*AH$2</f>
        <v>0</v>
      </c>
      <c r="AI404" s="88">
        <f>SUMIF(月間集計シート!$M$92:$M$111,$G404,月間集計シート!R$92:R$111)*AI$2</f>
        <v>0</v>
      </c>
      <c r="AJ404" s="88">
        <f>SUMIF(月間集計シート!$M$92:$M$111,$G404,月間集計シート!S$92:S$111)*AJ$2</f>
        <v>0</v>
      </c>
      <c r="AK404" s="88">
        <f>SUMIF(月間集計シート!$M$92:$M$111,$G404,月間集計シート!T$92:T$111)*AK$2</f>
        <v>0</v>
      </c>
      <c r="AL404" s="88">
        <f>SUMIF(月間集計シート!$M$113:$M$132,$G404,月間集計シート!N$113:N$132)*AL$2</f>
        <v>0</v>
      </c>
      <c r="AM404" s="88">
        <f>SUMIF(月間集計シート!$M$113:$M$132,$G404,月間集計シート!O$113:O$132)*AM$2</f>
        <v>0</v>
      </c>
      <c r="AN404" s="88">
        <f>SUMIF(月間集計シート!$M$113:$M$132,$G404,月間集計シート!P$113:P$132)*AN$2</f>
        <v>0</v>
      </c>
      <c r="AO404" s="88">
        <f>SUMIF(月間集計シート!$M$113:$M$132,$G404,月間集計シート!Q$113:Q$132)*AO$2</f>
        <v>0</v>
      </c>
      <c r="AP404" s="88">
        <f>SUMIF(月間集計シート!$M$113:$M$132,$G404,月間集計シート!R$113:R$132)*AP$2</f>
        <v>0</v>
      </c>
      <c r="AQ404" s="88">
        <f>SUMIF(月間集計シート!$M$113:$M$132,$G404,月間集計シート!S$113:S$132)*AQ$2</f>
        <v>0</v>
      </c>
      <c r="AR404" s="88">
        <f>SUMIF(月間集計シート!$M$113:$M$132,$G404,月間集計シート!T$113:T$132)*AR$2</f>
        <v>0</v>
      </c>
      <c r="AS404" s="88">
        <f>SUMIF(月間集計シート!$M$134:$M$153,$G404,月間集計シート!N$134:N$153)*AS$2</f>
        <v>0</v>
      </c>
      <c r="AT404" s="88">
        <f>SUMIF(月間集計シート!$M$134:$M$153,$G404,月間集計シート!O$134:O$153)*AT$2</f>
        <v>0</v>
      </c>
      <c r="AU404" s="88">
        <f>SUMIF(月間集計シート!$M$134:$M$153,$G404,月間集計シート!P$134:P$153)*AU$2</f>
        <v>0</v>
      </c>
      <c r="AV404" s="88">
        <f>SUMIF(月間集計シート!$M$134:$M$153,$G404,月間集計シート!Q$134:Q$153)*AV$2</f>
        <v>0</v>
      </c>
      <c r="AW404" s="88">
        <f>SUMIF(月間集計シート!$M$134:$M$153,$G404,月間集計シート!R$134:R$153)*AW$2</f>
        <v>0</v>
      </c>
      <c r="AX404" s="88">
        <f>SUMIF(月間集計シート!$M$134:$M$153,$G404,月間集計シート!S$134:S$153)*AX$2</f>
        <v>0</v>
      </c>
      <c r="AY404" s="88">
        <f>SUMIF(月間集計シート!$M$134:$M$153,$G404,月間集計シート!T$134:T$153)*AY$2</f>
        <v>0</v>
      </c>
    </row>
    <row r="405" spans="1:51" ht="14.25" thickBot="1">
      <c r="A405">
        <v>5</v>
      </c>
      <c r="B405" s="120">
        <f t="shared" si="185"/>
        <v>0</v>
      </c>
      <c r="C405" s="120" t="str">
        <f t="shared" si="186"/>
        <v/>
      </c>
      <c r="D405" s="137"/>
      <c r="E405" s="150">
        <f>工種!A57</f>
        <v>70189</v>
      </c>
      <c r="F405" s="119" t="str">
        <f>工種!B57</f>
        <v>外部不具合修正：外部不具合分析</v>
      </c>
      <c r="G405" s="116" t="str">
        <f t="shared" si="187"/>
        <v>070189</v>
      </c>
      <c r="H405" s="88">
        <f t="shared" si="141"/>
        <v>0</v>
      </c>
      <c r="I405" s="132"/>
      <c r="J405" s="88">
        <f>SUMIF(月間集計シート!$M$29:$M$48,$G405,月間集計シート!N$29:N$48)*J$2</f>
        <v>0</v>
      </c>
      <c r="K405" s="88">
        <f>SUMIF(月間集計シート!$M$29:$M$48,$G405,月間集計シート!O$29:O$48)*K$2</f>
        <v>0</v>
      </c>
      <c r="L405" s="88">
        <f>SUMIF(月間集計シート!$M$29:$M$48,$G405,月間集計シート!P$29:P$48)*L$2</f>
        <v>0</v>
      </c>
      <c r="M405" s="88">
        <f>SUMIF(月間集計シート!$M$29:$M$48,$G405,月間集計シート!Q$29:Q$48)*M$2</f>
        <v>0</v>
      </c>
      <c r="N405" s="88">
        <f>SUMIF(月間集計シート!$M$29:$M$48,$G405,月間集計シート!R$29:R$48)*N$2</f>
        <v>0</v>
      </c>
      <c r="O405" s="88">
        <f>SUMIF(月間集計シート!$M$29:$M$48,$G405,月間集計シート!S$29:S$48)*O$2</f>
        <v>0</v>
      </c>
      <c r="P405" s="88">
        <f>SUMIF(月間集計シート!$M$29:$M$48,$G405,月間集計シート!T$29:T$48)*P$2</f>
        <v>0</v>
      </c>
      <c r="Q405" s="88">
        <f>SUMIF(月間集計シート!$M$50:$M$69,$G405,月間集計シート!N$50:N$69)*Q$2</f>
        <v>0</v>
      </c>
      <c r="R405" s="88">
        <f>SUMIF(月間集計シート!$M$50:$M$69,$G405,月間集計シート!O$50:O$69)*R$2</f>
        <v>0</v>
      </c>
      <c r="S405" s="88">
        <f>SUMIF(月間集計シート!$M$50:$M$69,$G405,月間集計シート!P$50:P$69)*S$2</f>
        <v>0</v>
      </c>
      <c r="T405" s="88">
        <f>SUMIF(月間集計シート!$M$50:$M$69,$G405,月間集計シート!Q$50:Q$69)*T$2</f>
        <v>0</v>
      </c>
      <c r="U405" s="88">
        <f>SUMIF(月間集計シート!$M$50:$M$69,$G405,月間集計シート!R$50:R$69)*U$2</f>
        <v>0</v>
      </c>
      <c r="V405" s="88">
        <f>SUMIF(月間集計シート!$M$50:$M$69,$G405,月間集計シート!S$50:S$69)*V$2</f>
        <v>0</v>
      </c>
      <c r="W405" s="88">
        <f>SUMIF(月間集計シート!$M$50:$M$69,$G405,月間集計シート!T$50:T$69)*W$2</f>
        <v>0</v>
      </c>
      <c r="X405" s="88">
        <f>SUMIF(月間集計シート!$M$71:$M$90,$G405,月間集計シート!N$71:N$90)*X$2</f>
        <v>0</v>
      </c>
      <c r="Y405" s="88">
        <f>SUMIF(月間集計シート!$M$71:$M$90,$G405,月間集計シート!O$71:O$90)*Y$2</f>
        <v>0</v>
      </c>
      <c r="Z405" s="88">
        <f>SUMIF(月間集計シート!$M$71:$M$90,$G405,月間集計シート!P$71:P$90)*Z$2</f>
        <v>0</v>
      </c>
      <c r="AA405" s="88">
        <f>SUMIF(月間集計シート!$M$71:$M$90,$G405,月間集計シート!Q$71:Q$90)*AA$2</f>
        <v>0</v>
      </c>
      <c r="AB405" s="88">
        <f>SUMIF(月間集計シート!$M$71:$M$90,$G405,月間集計シート!R$71:R$90)*AB$2</f>
        <v>0</v>
      </c>
      <c r="AC405" s="88">
        <f>SUMIF(月間集計シート!$M$71:$M$90,$G405,月間集計シート!S$71:S$90)*AC$2</f>
        <v>0</v>
      </c>
      <c r="AD405" s="88">
        <f>SUMIF(月間集計シート!$M$71:$M$90,$G405,月間集計シート!T$71:T$90)*AD$2</f>
        <v>0</v>
      </c>
      <c r="AE405" s="88">
        <f>SUMIF(月間集計シート!$M$92:$M$111,$G405,月間集計シート!N$92:N$111)*AE$2</f>
        <v>0</v>
      </c>
      <c r="AF405" s="88">
        <f>SUMIF(月間集計シート!$M$92:$M$111,$G405,月間集計シート!O$92:O$111)*AF$2</f>
        <v>0</v>
      </c>
      <c r="AG405" s="88">
        <f>SUMIF(月間集計シート!$M$92:$M$111,$G405,月間集計シート!P$92:P$111)*AG$2</f>
        <v>0</v>
      </c>
      <c r="AH405" s="88">
        <f>SUMIF(月間集計シート!$M$92:$M$111,$G405,月間集計シート!Q$92:Q$111)*AH$2</f>
        <v>0</v>
      </c>
      <c r="AI405" s="88">
        <f>SUMIF(月間集計シート!$M$92:$M$111,$G405,月間集計シート!R$92:R$111)*AI$2</f>
        <v>0</v>
      </c>
      <c r="AJ405" s="88">
        <f>SUMIF(月間集計シート!$M$92:$M$111,$G405,月間集計シート!S$92:S$111)*AJ$2</f>
        <v>0</v>
      </c>
      <c r="AK405" s="88">
        <f>SUMIF(月間集計シート!$M$92:$M$111,$G405,月間集計シート!T$92:T$111)*AK$2</f>
        <v>0</v>
      </c>
      <c r="AL405" s="88">
        <f>SUMIF(月間集計シート!$M$113:$M$132,$G405,月間集計シート!N$113:N$132)*AL$2</f>
        <v>0</v>
      </c>
      <c r="AM405" s="88">
        <f>SUMIF(月間集計シート!$M$113:$M$132,$G405,月間集計シート!O$113:O$132)*AM$2</f>
        <v>0</v>
      </c>
      <c r="AN405" s="88">
        <f>SUMIF(月間集計シート!$M$113:$M$132,$G405,月間集計シート!P$113:P$132)*AN$2</f>
        <v>0</v>
      </c>
      <c r="AO405" s="88">
        <f>SUMIF(月間集計シート!$M$113:$M$132,$G405,月間集計シート!Q$113:Q$132)*AO$2</f>
        <v>0</v>
      </c>
      <c r="AP405" s="88">
        <f>SUMIF(月間集計シート!$M$113:$M$132,$G405,月間集計シート!R$113:R$132)*AP$2</f>
        <v>0</v>
      </c>
      <c r="AQ405" s="88">
        <f>SUMIF(月間集計シート!$M$113:$M$132,$G405,月間集計シート!S$113:S$132)*AQ$2</f>
        <v>0</v>
      </c>
      <c r="AR405" s="88">
        <f>SUMIF(月間集計シート!$M$113:$M$132,$G405,月間集計シート!T$113:T$132)*AR$2</f>
        <v>0</v>
      </c>
      <c r="AS405" s="88">
        <f>SUMIF(月間集計シート!$M$134:$M$153,$G405,月間集計シート!N$134:N$153)*AS$2</f>
        <v>0</v>
      </c>
      <c r="AT405" s="88">
        <f>SUMIF(月間集計シート!$M$134:$M$153,$G405,月間集計シート!O$134:O$153)*AT$2</f>
        <v>0</v>
      </c>
      <c r="AU405" s="88">
        <f>SUMIF(月間集計シート!$M$134:$M$153,$G405,月間集計シート!P$134:P$153)*AU$2</f>
        <v>0</v>
      </c>
      <c r="AV405" s="88">
        <f>SUMIF(月間集計シート!$M$134:$M$153,$G405,月間集計シート!Q$134:Q$153)*AV$2</f>
        <v>0</v>
      </c>
      <c r="AW405" s="88">
        <f>SUMIF(月間集計シート!$M$134:$M$153,$G405,月間集計シート!R$134:R$153)*AW$2</f>
        <v>0</v>
      </c>
      <c r="AX405" s="88">
        <f>SUMIF(月間集計シート!$M$134:$M$153,$G405,月間集計シート!S$134:S$153)*AX$2</f>
        <v>0</v>
      </c>
      <c r="AY405" s="88">
        <f>SUMIF(月間集計シート!$M$134:$M$153,$G405,月間集計シート!T$134:T$153)*AY$2</f>
        <v>0</v>
      </c>
    </row>
    <row r="406" spans="1:51" ht="14.25" thickBot="1">
      <c r="A406">
        <v>5</v>
      </c>
      <c r="B406" s="120">
        <f t="shared" si="185"/>
        <v>0</v>
      </c>
      <c r="C406" s="120" t="str">
        <f t="shared" si="186"/>
        <v/>
      </c>
      <c r="D406" s="137"/>
      <c r="E406" s="150">
        <f>工種!A58</f>
        <v>70199</v>
      </c>
      <c r="F406" s="119" t="str">
        <f>工種!B58</f>
        <v>外部不具合修正：その他</v>
      </c>
      <c r="G406" s="116" t="str">
        <f t="shared" si="187"/>
        <v>070199</v>
      </c>
      <c r="H406" s="88">
        <f t="shared" si="141"/>
        <v>0</v>
      </c>
      <c r="I406" s="132"/>
      <c r="J406" s="88">
        <f>SUMIF(月間集計シート!$M$29:$M$48,$G406,月間集計シート!N$29:N$48)*J$2</f>
        <v>0</v>
      </c>
      <c r="K406" s="88">
        <f>SUMIF(月間集計シート!$M$29:$M$48,$G406,月間集計シート!O$29:O$48)*K$2</f>
        <v>0</v>
      </c>
      <c r="L406" s="88">
        <f>SUMIF(月間集計シート!$M$29:$M$48,$G406,月間集計シート!P$29:P$48)*L$2</f>
        <v>0</v>
      </c>
      <c r="M406" s="88">
        <f>SUMIF(月間集計シート!$M$29:$M$48,$G406,月間集計シート!Q$29:Q$48)*M$2</f>
        <v>0</v>
      </c>
      <c r="N406" s="88">
        <f>SUMIF(月間集計シート!$M$29:$M$48,$G406,月間集計シート!R$29:R$48)*N$2</f>
        <v>0</v>
      </c>
      <c r="O406" s="88">
        <f>SUMIF(月間集計シート!$M$29:$M$48,$G406,月間集計シート!S$29:S$48)*O$2</f>
        <v>0</v>
      </c>
      <c r="P406" s="88">
        <f>SUMIF(月間集計シート!$M$29:$M$48,$G406,月間集計シート!T$29:T$48)*P$2</f>
        <v>0</v>
      </c>
      <c r="Q406" s="88">
        <f>SUMIF(月間集計シート!$M$50:$M$69,$G406,月間集計シート!N$50:N$69)*Q$2</f>
        <v>0</v>
      </c>
      <c r="R406" s="88">
        <f>SUMIF(月間集計シート!$M$50:$M$69,$G406,月間集計シート!O$50:O$69)*R$2</f>
        <v>0</v>
      </c>
      <c r="S406" s="88">
        <f>SUMIF(月間集計シート!$M$50:$M$69,$G406,月間集計シート!P$50:P$69)*S$2</f>
        <v>0</v>
      </c>
      <c r="T406" s="88">
        <f>SUMIF(月間集計シート!$M$50:$M$69,$G406,月間集計シート!Q$50:Q$69)*T$2</f>
        <v>0</v>
      </c>
      <c r="U406" s="88">
        <f>SUMIF(月間集計シート!$M$50:$M$69,$G406,月間集計シート!R$50:R$69)*U$2</f>
        <v>0</v>
      </c>
      <c r="V406" s="88">
        <f>SUMIF(月間集計シート!$M$50:$M$69,$G406,月間集計シート!S$50:S$69)*V$2</f>
        <v>0</v>
      </c>
      <c r="W406" s="88">
        <f>SUMIF(月間集計シート!$M$50:$M$69,$G406,月間集計シート!T$50:T$69)*W$2</f>
        <v>0</v>
      </c>
      <c r="X406" s="88">
        <f>SUMIF(月間集計シート!$M$71:$M$90,$G406,月間集計シート!N$71:N$90)*X$2</f>
        <v>0</v>
      </c>
      <c r="Y406" s="88">
        <f>SUMIF(月間集計シート!$M$71:$M$90,$G406,月間集計シート!O$71:O$90)*Y$2</f>
        <v>0</v>
      </c>
      <c r="Z406" s="88">
        <f>SUMIF(月間集計シート!$M$71:$M$90,$G406,月間集計シート!P$71:P$90)*Z$2</f>
        <v>0</v>
      </c>
      <c r="AA406" s="88">
        <f>SUMIF(月間集計シート!$M$71:$M$90,$G406,月間集計シート!Q$71:Q$90)*AA$2</f>
        <v>0</v>
      </c>
      <c r="AB406" s="88">
        <f>SUMIF(月間集計シート!$M$71:$M$90,$G406,月間集計シート!R$71:R$90)*AB$2</f>
        <v>0</v>
      </c>
      <c r="AC406" s="88">
        <f>SUMIF(月間集計シート!$M$71:$M$90,$G406,月間集計シート!S$71:S$90)*AC$2</f>
        <v>0</v>
      </c>
      <c r="AD406" s="88">
        <f>SUMIF(月間集計シート!$M$71:$M$90,$G406,月間集計シート!T$71:T$90)*AD$2</f>
        <v>0</v>
      </c>
      <c r="AE406" s="88">
        <f>SUMIF(月間集計シート!$M$92:$M$111,$G406,月間集計シート!N$92:N$111)*AE$2</f>
        <v>0</v>
      </c>
      <c r="AF406" s="88">
        <f>SUMIF(月間集計シート!$M$92:$M$111,$G406,月間集計シート!O$92:O$111)*AF$2</f>
        <v>0</v>
      </c>
      <c r="AG406" s="88">
        <f>SUMIF(月間集計シート!$M$92:$M$111,$G406,月間集計シート!P$92:P$111)*AG$2</f>
        <v>0</v>
      </c>
      <c r="AH406" s="88">
        <f>SUMIF(月間集計シート!$M$92:$M$111,$G406,月間集計シート!Q$92:Q$111)*AH$2</f>
        <v>0</v>
      </c>
      <c r="AI406" s="88">
        <f>SUMIF(月間集計シート!$M$92:$M$111,$G406,月間集計シート!R$92:R$111)*AI$2</f>
        <v>0</v>
      </c>
      <c r="AJ406" s="88">
        <f>SUMIF(月間集計シート!$M$92:$M$111,$G406,月間集計シート!S$92:S$111)*AJ$2</f>
        <v>0</v>
      </c>
      <c r="AK406" s="88">
        <f>SUMIF(月間集計シート!$M$92:$M$111,$G406,月間集計シート!T$92:T$111)*AK$2</f>
        <v>0</v>
      </c>
      <c r="AL406" s="88">
        <f>SUMIF(月間集計シート!$M$113:$M$132,$G406,月間集計シート!N$113:N$132)*AL$2</f>
        <v>0</v>
      </c>
      <c r="AM406" s="88">
        <f>SUMIF(月間集計シート!$M$113:$M$132,$G406,月間集計シート!O$113:O$132)*AM$2</f>
        <v>0</v>
      </c>
      <c r="AN406" s="88">
        <f>SUMIF(月間集計シート!$M$113:$M$132,$G406,月間集計シート!P$113:P$132)*AN$2</f>
        <v>0</v>
      </c>
      <c r="AO406" s="88">
        <f>SUMIF(月間集計シート!$M$113:$M$132,$G406,月間集計シート!Q$113:Q$132)*AO$2</f>
        <v>0</v>
      </c>
      <c r="AP406" s="88">
        <f>SUMIF(月間集計シート!$M$113:$M$132,$G406,月間集計シート!R$113:R$132)*AP$2</f>
        <v>0</v>
      </c>
      <c r="AQ406" s="88">
        <f>SUMIF(月間集計シート!$M$113:$M$132,$G406,月間集計シート!S$113:S$132)*AQ$2</f>
        <v>0</v>
      </c>
      <c r="AR406" s="88">
        <f>SUMIF(月間集計シート!$M$113:$M$132,$G406,月間集計シート!T$113:T$132)*AR$2</f>
        <v>0</v>
      </c>
      <c r="AS406" s="88">
        <f>SUMIF(月間集計シート!$M$134:$M$153,$G406,月間集計シート!N$134:N$153)*AS$2</f>
        <v>0</v>
      </c>
      <c r="AT406" s="88">
        <f>SUMIF(月間集計シート!$M$134:$M$153,$G406,月間集計シート!O$134:O$153)*AT$2</f>
        <v>0</v>
      </c>
      <c r="AU406" s="88">
        <f>SUMIF(月間集計シート!$M$134:$M$153,$G406,月間集計シート!P$134:P$153)*AU$2</f>
        <v>0</v>
      </c>
      <c r="AV406" s="88">
        <f>SUMIF(月間集計シート!$M$134:$M$153,$G406,月間集計シート!Q$134:Q$153)*AV$2</f>
        <v>0</v>
      </c>
      <c r="AW406" s="88">
        <f>SUMIF(月間集計シート!$M$134:$M$153,$G406,月間集計シート!R$134:R$153)*AW$2</f>
        <v>0</v>
      </c>
      <c r="AX406" s="88">
        <f>SUMIF(月間集計シート!$M$134:$M$153,$G406,月間集計シート!S$134:S$153)*AX$2</f>
        <v>0</v>
      </c>
      <c r="AY406" s="88">
        <f>SUMIF(月間集計シート!$M$134:$M$153,$G406,月間集計シート!T$134:T$153)*AY$2</f>
        <v>0</v>
      </c>
    </row>
    <row r="407" spans="1:51" ht="14.25" thickBot="1">
      <c r="A407">
        <v>5</v>
      </c>
      <c r="B407" s="120">
        <f t="shared" si="185"/>
        <v>0</v>
      </c>
      <c r="C407" s="120" t="str">
        <f t="shared" si="186"/>
        <v/>
      </c>
      <c r="D407" s="137"/>
      <c r="E407" s="150" t="str">
        <f>工種!A59</f>
        <v>80101</v>
      </c>
      <c r="F407" s="119" t="str">
        <f>工種!B59</f>
        <v>保守／ｻﾎﾟｰﾄ：調査</v>
      </c>
      <c r="G407" s="116" t="str">
        <f t="shared" si="187"/>
        <v>080101</v>
      </c>
      <c r="H407" s="88">
        <f t="shared" si="141"/>
        <v>0</v>
      </c>
      <c r="I407" s="132"/>
      <c r="J407" s="88">
        <f>SUMIF(月間集計シート!$M$29:$M$48,$G407,月間集計シート!N$29:N$48)*J$2</f>
        <v>0</v>
      </c>
      <c r="K407" s="88">
        <f>SUMIF(月間集計シート!$M$29:$M$48,$G407,月間集計シート!O$29:O$48)*K$2</f>
        <v>0</v>
      </c>
      <c r="L407" s="88">
        <f>SUMIF(月間集計シート!$M$29:$M$48,$G407,月間集計シート!P$29:P$48)*L$2</f>
        <v>0</v>
      </c>
      <c r="M407" s="88">
        <f>SUMIF(月間集計シート!$M$29:$M$48,$G407,月間集計シート!Q$29:Q$48)*M$2</f>
        <v>0</v>
      </c>
      <c r="N407" s="88">
        <f>SUMIF(月間集計シート!$M$29:$M$48,$G407,月間集計シート!R$29:R$48)*N$2</f>
        <v>0</v>
      </c>
      <c r="O407" s="88">
        <f>SUMIF(月間集計シート!$M$29:$M$48,$G407,月間集計シート!S$29:S$48)*O$2</f>
        <v>0</v>
      </c>
      <c r="P407" s="88">
        <f>SUMIF(月間集計シート!$M$29:$M$48,$G407,月間集計シート!T$29:T$48)*P$2</f>
        <v>0</v>
      </c>
      <c r="Q407" s="88">
        <f>SUMIF(月間集計シート!$M$50:$M$69,$G407,月間集計シート!N$50:N$69)*Q$2</f>
        <v>0</v>
      </c>
      <c r="R407" s="88">
        <f>SUMIF(月間集計シート!$M$50:$M$69,$G407,月間集計シート!O$50:O$69)*R$2</f>
        <v>0</v>
      </c>
      <c r="S407" s="88">
        <f>SUMIF(月間集計シート!$M$50:$M$69,$G407,月間集計シート!P$50:P$69)*S$2</f>
        <v>0</v>
      </c>
      <c r="T407" s="88">
        <f>SUMIF(月間集計シート!$M$50:$M$69,$G407,月間集計シート!Q$50:Q$69)*T$2</f>
        <v>0</v>
      </c>
      <c r="U407" s="88">
        <f>SUMIF(月間集計シート!$M$50:$M$69,$G407,月間集計シート!R$50:R$69)*U$2</f>
        <v>0</v>
      </c>
      <c r="V407" s="88">
        <f>SUMIF(月間集計シート!$M$50:$M$69,$G407,月間集計シート!S$50:S$69)*V$2</f>
        <v>0</v>
      </c>
      <c r="W407" s="88">
        <f>SUMIF(月間集計シート!$M$50:$M$69,$G407,月間集計シート!T$50:T$69)*W$2</f>
        <v>0</v>
      </c>
      <c r="X407" s="88">
        <f>SUMIF(月間集計シート!$M$71:$M$90,$G407,月間集計シート!N$71:N$90)*X$2</f>
        <v>0</v>
      </c>
      <c r="Y407" s="88">
        <f>SUMIF(月間集計シート!$M$71:$M$90,$G407,月間集計シート!O$71:O$90)*Y$2</f>
        <v>0</v>
      </c>
      <c r="Z407" s="88">
        <f>SUMIF(月間集計シート!$M$71:$M$90,$G407,月間集計シート!P$71:P$90)*Z$2</f>
        <v>0</v>
      </c>
      <c r="AA407" s="88">
        <f>SUMIF(月間集計シート!$M$71:$M$90,$G407,月間集計シート!Q$71:Q$90)*AA$2</f>
        <v>0</v>
      </c>
      <c r="AB407" s="88">
        <f>SUMIF(月間集計シート!$M$71:$M$90,$G407,月間集計シート!R$71:R$90)*AB$2</f>
        <v>0</v>
      </c>
      <c r="AC407" s="88">
        <f>SUMIF(月間集計シート!$M$71:$M$90,$G407,月間集計シート!S$71:S$90)*AC$2</f>
        <v>0</v>
      </c>
      <c r="AD407" s="88">
        <f>SUMIF(月間集計シート!$M$71:$M$90,$G407,月間集計シート!T$71:T$90)*AD$2</f>
        <v>0</v>
      </c>
      <c r="AE407" s="88">
        <f>SUMIF(月間集計シート!$M$92:$M$111,$G407,月間集計シート!N$92:N$111)*AE$2</f>
        <v>0</v>
      </c>
      <c r="AF407" s="88">
        <f>SUMIF(月間集計シート!$M$92:$M$111,$G407,月間集計シート!O$92:O$111)*AF$2</f>
        <v>0</v>
      </c>
      <c r="AG407" s="88">
        <f>SUMIF(月間集計シート!$M$92:$M$111,$G407,月間集計シート!P$92:P$111)*AG$2</f>
        <v>0</v>
      </c>
      <c r="AH407" s="88">
        <f>SUMIF(月間集計シート!$M$92:$M$111,$G407,月間集計シート!Q$92:Q$111)*AH$2</f>
        <v>0</v>
      </c>
      <c r="AI407" s="88">
        <f>SUMIF(月間集計シート!$M$92:$M$111,$G407,月間集計シート!R$92:R$111)*AI$2</f>
        <v>0</v>
      </c>
      <c r="AJ407" s="88">
        <f>SUMIF(月間集計シート!$M$92:$M$111,$G407,月間集計シート!S$92:S$111)*AJ$2</f>
        <v>0</v>
      </c>
      <c r="AK407" s="88">
        <f>SUMIF(月間集計シート!$M$92:$M$111,$G407,月間集計シート!T$92:T$111)*AK$2</f>
        <v>0</v>
      </c>
      <c r="AL407" s="88">
        <f>SUMIF(月間集計シート!$M$113:$M$132,$G407,月間集計シート!N$113:N$132)*AL$2</f>
        <v>0</v>
      </c>
      <c r="AM407" s="88">
        <f>SUMIF(月間集計シート!$M$113:$M$132,$G407,月間集計シート!O$113:O$132)*AM$2</f>
        <v>0</v>
      </c>
      <c r="AN407" s="88">
        <f>SUMIF(月間集計シート!$M$113:$M$132,$G407,月間集計シート!P$113:P$132)*AN$2</f>
        <v>0</v>
      </c>
      <c r="AO407" s="88">
        <f>SUMIF(月間集計シート!$M$113:$M$132,$G407,月間集計シート!Q$113:Q$132)*AO$2</f>
        <v>0</v>
      </c>
      <c r="AP407" s="88">
        <f>SUMIF(月間集計シート!$M$113:$M$132,$G407,月間集計シート!R$113:R$132)*AP$2</f>
        <v>0</v>
      </c>
      <c r="AQ407" s="88">
        <f>SUMIF(月間集計シート!$M$113:$M$132,$G407,月間集計シート!S$113:S$132)*AQ$2</f>
        <v>0</v>
      </c>
      <c r="AR407" s="88">
        <f>SUMIF(月間集計シート!$M$113:$M$132,$G407,月間集計シート!T$113:T$132)*AR$2</f>
        <v>0</v>
      </c>
      <c r="AS407" s="88">
        <f>SUMIF(月間集計シート!$M$134:$M$153,$G407,月間集計シート!N$134:N$153)*AS$2</f>
        <v>0</v>
      </c>
      <c r="AT407" s="88">
        <f>SUMIF(月間集計シート!$M$134:$M$153,$G407,月間集計シート!O$134:O$153)*AT$2</f>
        <v>0</v>
      </c>
      <c r="AU407" s="88">
        <f>SUMIF(月間集計シート!$M$134:$M$153,$G407,月間集計シート!P$134:P$153)*AU$2</f>
        <v>0</v>
      </c>
      <c r="AV407" s="88">
        <f>SUMIF(月間集計シート!$M$134:$M$153,$G407,月間集計シート!Q$134:Q$153)*AV$2</f>
        <v>0</v>
      </c>
      <c r="AW407" s="88">
        <f>SUMIF(月間集計シート!$M$134:$M$153,$G407,月間集計シート!R$134:R$153)*AW$2</f>
        <v>0</v>
      </c>
      <c r="AX407" s="88">
        <f>SUMIF(月間集計シート!$M$134:$M$153,$G407,月間集計シート!S$134:S$153)*AX$2</f>
        <v>0</v>
      </c>
      <c r="AY407" s="88">
        <f>SUMIF(月間集計シート!$M$134:$M$153,$G407,月間集計シート!T$134:T$153)*AY$2</f>
        <v>0</v>
      </c>
    </row>
    <row r="408" spans="1:51" ht="14.25" thickBot="1">
      <c r="A408">
        <v>5</v>
      </c>
      <c r="B408" s="120">
        <f t="shared" si="185"/>
        <v>0</v>
      </c>
      <c r="C408" s="120" t="str">
        <f t="shared" si="186"/>
        <v/>
      </c>
      <c r="D408" s="137"/>
      <c r="E408" s="150" t="str">
        <f>工種!A60</f>
        <v>80102</v>
      </c>
      <c r="F408" s="119" t="str">
        <f>工種!B60</f>
        <v>保守／ｻﾎﾟｰﾄ：社内問い合わせ</v>
      </c>
      <c r="G408" s="116" t="str">
        <f t="shared" si="187"/>
        <v>080102</v>
      </c>
      <c r="H408" s="88">
        <f t="shared" si="141"/>
        <v>0</v>
      </c>
      <c r="I408" s="132"/>
      <c r="J408" s="88">
        <f>SUMIF(月間集計シート!$M$29:$M$48,$G408,月間集計シート!N$29:N$48)*J$2</f>
        <v>0</v>
      </c>
      <c r="K408" s="88">
        <f>SUMIF(月間集計シート!$M$29:$M$48,$G408,月間集計シート!O$29:O$48)*K$2</f>
        <v>0</v>
      </c>
      <c r="L408" s="88">
        <f>SUMIF(月間集計シート!$M$29:$M$48,$G408,月間集計シート!P$29:P$48)*L$2</f>
        <v>0</v>
      </c>
      <c r="M408" s="88">
        <f>SUMIF(月間集計シート!$M$29:$M$48,$G408,月間集計シート!Q$29:Q$48)*M$2</f>
        <v>0</v>
      </c>
      <c r="N408" s="88">
        <f>SUMIF(月間集計シート!$M$29:$M$48,$G408,月間集計シート!R$29:R$48)*N$2</f>
        <v>0</v>
      </c>
      <c r="O408" s="88">
        <f>SUMIF(月間集計シート!$M$29:$M$48,$G408,月間集計シート!S$29:S$48)*O$2</f>
        <v>0</v>
      </c>
      <c r="P408" s="88">
        <f>SUMIF(月間集計シート!$M$29:$M$48,$G408,月間集計シート!T$29:T$48)*P$2</f>
        <v>0</v>
      </c>
      <c r="Q408" s="88">
        <f>SUMIF(月間集計シート!$M$50:$M$69,$G408,月間集計シート!N$50:N$69)*Q$2</f>
        <v>0</v>
      </c>
      <c r="R408" s="88">
        <f>SUMIF(月間集計シート!$M$50:$M$69,$G408,月間集計シート!O$50:O$69)*R$2</f>
        <v>0</v>
      </c>
      <c r="S408" s="88">
        <f>SUMIF(月間集計シート!$M$50:$M$69,$G408,月間集計シート!P$50:P$69)*S$2</f>
        <v>0</v>
      </c>
      <c r="T408" s="88">
        <f>SUMIF(月間集計シート!$M$50:$M$69,$G408,月間集計シート!Q$50:Q$69)*T$2</f>
        <v>0</v>
      </c>
      <c r="U408" s="88">
        <f>SUMIF(月間集計シート!$M$50:$M$69,$G408,月間集計シート!R$50:R$69)*U$2</f>
        <v>0</v>
      </c>
      <c r="V408" s="88">
        <f>SUMIF(月間集計シート!$M$50:$M$69,$G408,月間集計シート!S$50:S$69)*V$2</f>
        <v>0</v>
      </c>
      <c r="W408" s="88">
        <f>SUMIF(月間集計シート!$M$50:$M$69,$G408,月間集計シート!T$50:T$69)*W$2</f>
        <v>0</v>
      </c>
      <c r="X408" s="88">
        <f>SUMIF(月間集計シート!$M$71:$M$90,$G408,月間集計シート!N$71:N$90)*X$2</f>
        <v>0</v>
      </c>
      <c r="Y408" s="88">
        <f>SUMIF(月間集計シート!$M$71:$M$90,$G408,月間集計シート!O$71:O$90)*Y$2</f>
        <v>0</v>
      </c>
      <c r="Z408" s="88">
        <f>SUMIF(月間集計シート!$M$71:$M$90,$G408,月間集計シート!P$71:P$90)*Z$2</f>
        <v>0</v>
      </c>
      <c r="AA408" s="88">
        <f>SUMIF(月間集計シート!$M$71:$M$90,$G408,月間集計シート!Q$71:Q$90)*AA$2</f>
        <v>0</v>
      </c>
      <c r="AB408" s="88">
        <f>SUMIF(月間集計シート!$M$71:$M$90,$G408,月間集計シート!R$71:R$90)*AB$2</f>
        <v>0</v>
      </c>
      <c r="AC408" s="88">
        <f>SUMIF(月間集計シート!$M$71:$M$90,$G408,月間集計シート!S$71:S$90)*AC$2</f>
        <v>0</v>
      </c>
      <c r="AD408" s="88">
        <f>SUMIF(月間集計シート!$M$71:$M$90,$G408,月間集計シート!T$71:T$90)*AD$2</f>
        <v>0</v>
      </c>
      <c r="AE408" s="88">
        <f>SUMIF(月間集計シート!$M$92:$M$111,$G408,月間集計シート!N$92:N$111)*AE$2</f>
        <v>0</v>
      </c>
      <c r="AF408" s="88">
        <f>SUMIF(月間集計シート!$M$92:$M$111,$G408,月間集計シート!O$92:O$111)*AF$2</f>
        <v>0</v>
      </c>
      <c r="AG408" s="88">
        <f>SUMIF(月間集計シート!$M$92:$M$111,$G408,月間集計シート!P$92:P$111)*AG$2</f>
        <v>0</v>
      </c>
      <c r="AH408" s="88">
        <f>SUMIF(月間集計シート!$M$92:$M$111,$G408,月間集計シート!Q$92:Q$111)*AH$2</f>
        <v>0</v>
      </c>
      <c r="AI408" s="88">
        <f>SUMIF(月間集計シート!$M$92:$M$111,$G408,月間集計シート!R$92:R$111)*AI$2</f>
        <v>0</v>
      </c>
      <c r="AJ408" s="88">
        <f>SUMIF(月間集計シート!$M$92:$M$111,$G408,月間集計シート!S$92:S$111)*AJ$2</f>
        <v>0</v>
      </c>
      <c r="AK408" s="88">
        <f>SUMIF(月間集計シート!$M$92:$M$111,$G408,月間集計シート!T$92:T$111)*AK$2</f>
        <v>0</v>
      </c>
      <c r="AL408" s="88">
        <f>SUMIF(月間集計シート!$M$113:$M$132,$G408,月間集計シート!N$113:N$132)*AL$2</f>
        <v>0</v>
      </c>
      <c r="AM408" s="88">
        <f>SUMIF(月間集計シート!$M$113:$M$132,$G408,月間集計シート!O$113:O$132)*AM$2</f>
        <v>0</v>
      </c>
      <c r="AN408" s="88">
        <f>SUMIF(月間集計シート!$M$113:$M$132,$G408,月間集計シート!P$113:P$132)*AN$2</f>
        <v>0</v>
      </c>
      <c r="AO408" s="88">
        <f>SUMIF(月間集計シート!$M$113:$M$132,$G408,月間集計シート!Q$113:Q$132)*AO$2</f>
        <v>0</v>
      </c>
      <c r="AP408" s="88">
        <f>SUMIF(月間集計シート!$M$113:$M$132,$G408,月間集計シート!R$113:R$132)*AP$2</f>
        <v>0</v>
      </c>
      <c r="AQ408" s="88">
        <f>SUMIF(月間集計シート!$M$113:$M$132,$G408,月間集計シート!S$113:S$132)*AQ$2</f>
        <v>0</v>
      </c>
      <c r="AR408" s="88">
        <f>SUMIF(月間集計シート!$M$113:$M$132,$G408,月間集計シート!T$113:T$132)*AR$2</f>
        <v>0</v>
      </c>
      <c r="AS408" s="88">
        <f>SUMIF(月間集計シート!$M$134:$M$153,$G408,月間集計シート!N$134:N$153)*AS$2</f>
        <v>0</v>
      </c>
      <c r="AT408" s="88">
        <f>SUMIF(月間集計シート!$M$134:$M$153,$G408,月間集計シート!O$134:O$153)*AT$2</f>
        <v>0</v>
      </c>
      <c r="AU408" s="88">
        <f>SUMIF(月間集計シート!$M$134:$M$153,$G408,月間集計シート!P$134:P$153)*AU$2</f>
        <v>0</v>
      </c>
      <c r="AV408" s="88">
        <f>SUMIF(月間集計シート!$M$134:$M$153,$G408,月間集計シート!Q$134:Q$153)*AV$2</f>
        <v>0</v>
      </c>
      <c r="AW408" s="88">
        <f>SUMIF(月間集計シート!$M$134:$M$153,$G408,月間集計シート!R$134:R$153)*AW$2</f>
        <v>0</v>
      </c>
      <c r="AX408" s="88">
        <f>SUMIF(月間集計シート!$M$134:$M$153,$G408,月間集計シート!S$134:S$153)*AX$2</f>
        <v>0</v>
      </c>
      <c r="AY408" s="88">
        <f>SUMIF(月間集計シート!$M$134:$M$153,$G408,月間集計シート!T$134:T$153)*AY$2</f>
        <v>0</v>
      </c>
    </row>
    <row r="409" spans="1:51" ht="14.25" thickBot="1">
      <c r="A409">
        <v>5</v>
      </c>
      <c r="B409" s="120">
        <f t="shared" si="185"/>
        <v>0</v>
      </c>
      <c r="C409" s="120" t="str">
        <f t="shared" si="186"/>
        <v/>
      </c>
      <c r="D409" s="137"/>
      <c r="E409" s="150" t="str">
        <f>工種!A61</f>
        <v>80103</v>
      </c>
      <c r="F409" s="119" t="str">
        <f>工種!B61</f>
        <v>保守／ｻﾎﾟｰﾄ：支社・他部門支援</v>
      </c>
      <c r="G409" s="116" t="str">
        <f t="shared" si="187"/>
        <v>080103</v>
      </c>
      <c r="H409" s="88">
        <f t="shared" si="141"/>
        <v>0</v>
      </c>
      <c r="I409" s="132"/>
      <c r="J409" s="88">
        <f>SUMIF(月間集計シート!$M$29:$M$48,$G409,月間集計シート!N$29:N$48)*J$2</f>
        <v>0</v>
      </c>
      <c r="K409" s="88">
        <f>SUMIF(月間集計シート!$M$29:$M$48,$G409,月間集計シート!O$29:O$48)*K$2</f>
        <v>0</v>
      </c>
      <c r="L409" s="88">
        <f>SUMIF(月間集計シート!$M$29:$M$48,$G409,月間集計シート!P$29:P$48)*L$2</f>
        <v>0</v>
      </c>
      <c r="M409" s="88">
        <f>SUMIF(月間集計シート!$M$29:$M$48,$G409,月間集計シート!Q$29:Q$48)*M$2</f>
        <v>0</v>
      </c>
      <c r="N409" s="88">
        <f>SUMIF(月間集計シート!$M$29:$M$48,$G409,月間集計シート!R$29:R$48)*N$2</f>
        <v>0</v>
      </c>
      <c r="O409" s="88">
        <f>SUMIF(月間集計シート!$M$29:$M$48,$G409,月間集計シート!S$29:S$48)*O$2</f>
        <v>0</v>
      </c>
      <c r="P409" s="88">
        <f>SUMIF(月間集計シート!$M$29:$M$48,$G409,月間集計シート!T$29:T$48)*P$2</f>
        <v>0</v>
      </c>
      <c r="Q409" s="88">
        <f>SUMIF(月間集計シート!$M$50:$M$69,$G409,月間集計シート!N$50:N$69)*Q$2</f>
        <v>0</v>
      </c>
      <c r="R409" s="88">
        <f>SUMIF(月間集計シート!$M$50:$M$69,$G409,月間集計シート!O$50:O$69)*R$2</f>
        <v>0</v>
      </c>
      <c r="S409" s="88">
        <f>SUMIF(月間集計シート!$M$50:$M$69,$G409,月間集計シート!P$50:P$69)*S$2</f>
        <v>0</v>
      </c>
      <c r="T409" s="88">
        <f>SUMIF(月間集計シート!$M$50:$M$69,$G409,月間集計シート!Q$50:Q$69)*T$2</f>
        <v>0</v>
      </c>
      <c r="U409" s="88">
        <f>SUMIF(月間集計シート!$M$50:$M$69,$G409,月間集計シート!R$50:R$69)*U$2</f>
        <v>0</v>
      </c>
      <c r="V409" s="88">
        <f>SUMIF(月間集計シート!$M$50:$M$69,$G409,月間集計シート!S$50:S$69)*V$2</f>
        <v>0</v>
      </c>
      <c r="W409" s="88">
        <f>SUMIF(月間集計シート!$M$50:$M$69,$G409,月間集計シート!T$50:T$69)*W$2</f>
        <v>0</v>
      </c>
      <c r="X409" s="88">
        <f>SUMIF(月間集計シート!$M$71:$M$90,$G409,月間集計シート!N$71:N$90)*X$2</f>
        <v>0</v>
      </c>
      <c r="Y409" s="88">
        <f>SUMIF(月間集計シート!$M$71:$M$90,$G409,月間集計シート!O$71:O$90)*Y$2</f>
        <v>0</v>
      </c>
      <c r="Z409" s="88">
        <f>SUMIF(月間集計シート!$M$71:$M$90,$G409,月間集計シート!P$71:P$90)*Z$2</f>
        <v>0</v>
      </c>
      <c r="AA409" s="88">
        <f>SUMIF(月間集計シート!$M$71:$M$90,$G409,月間集計シート!Q$71:Q$90)*AA$2</f>
        <v>0</v>
      </c>
      <c r="AB409" s="88">
        <f>SUMIF(月間集計シート!$M$71:$M$90,$G409,月間集計シート!R$71:R$90)*AB$2</f>
        <v>0</v>
      </c>
      <c r="AC409" s="88">
        <f>SUMIF(月間集計シート!$M$71:$M$90,$G409,月間集計シート!S$71:S$90)*AC$2</f>
        <v>0</v>
      </c>
      <c r="AD409" s="88">
        <f>SUMIF(月間集計シート!$M$71:$M$90,$G409,月間集計シート!T$71:T$90)*AD$2</f>
        <v>0</v>
      </c>
      <c r="AE409" s="88">
        <f>SUMIF(月間集計シート!$M$92:$M$111,$G409,月間集計シート!N$92:N$111)*AE$2</f>
        <v>0</v>
      </c>
      <c r="AF409" s="88">
        <f>SUMIF(月間集計シート!$M$92:$M$111,$G409,月間集計シート!O$92:O$111)*AF$2</f>
        <v>0</v>
      </c>
      <c r="AG409" s="88">
        <f>SUMIF(月間集計シート!$M$92:$M$111,$G409,月間集計シート!P$92:P$111)*AG$2</f>
        <v>0</v>
      </c>
      <c r="AH409" s="88">
        <f>SUMIF(月間集計シート!$M$92:$M$111,$G409,月間集計シート!Q$92:Q$111)*AH$2</f>
        <v>0</v>
      </c>
      <c r="AI409" s="88">
        <f>SUMIF(月間集計シート!$M$92:$M$111,$G409,月間集計シート!R$92:R$111)*AI$2</f>
        <v>0</v>
      </c>
      <c r="AJ409" s="88">
        <f>SUMIF(月間集計シート!$M$92:$M$111,$G409,月間集計シート!S$92:S$111)*AJ$2</f>
        <v>0</v>
      </c>
      <c r="AK409" s="88">
        <f>SUMIF(月間集計シート!$M$92:$M$111,$G409,月間集計シート!T$92:T$111)*AK$2</f>
        <v>0</v>
      </c>
      <c r="AL409" s="88">
        <f>SUMIF(月間集計シート!$M$113:$M$132,$G409,月間集計シート!N$113:N$132)*AL$2</f>
        <v>0</v>
      </c>
      <c r="AM409" s="88">
        <f>SUMIF(月間集計シート!$M$113:$M$132,$G409,月間集計シート!O$113:O$132)*AM$2</f>
        <v>0</v>
      </c>
      <c r="AN409" s="88">
        <f>SUMIF(月間集計シート!$M$113:$M$132,$G409,月間集計シート!P$113:P$132)*AN$2</f>
        <v>0</v>
      </c>
      <c r="AO409" s="88">
        <f>SUMIF(月間集計シート!$M$113:$M$132,$G409,月間集計シート!Q$113:Q$132)*AO$2</f>
        <v>0</v>
      </c>
      <c r="AP409" s="88">
        <f>SUMIF(月間集計シート!$M$113:$M$132,$G409,月間集計シート!R$113:R$132)*AP$2</f>
        <v>0</v>
      </c>
      <c r="AQ409" s="88">
        <f>SUMIF(月間集計シート!$M$113:$M$132,$G409,月間集計シート!S$113:S$132)*AQ$2</f>
        <v>0</v>
      </c>
      <c r="AR409" s="88">
        <f>SUMIF(月間集計シート!$M$113:$M$132,$G409,月間集計シート!T$113:T$132)*AR$2</f>
        <v>0</v>
      </c>
      <c r="AS409" s="88">
        <f>SUMIF(月間集計シート!$M$134:$M$153,$G409,月間集計シート!N$134:N$153)*AS$2</f>
        <v>0</v>
      </c>
      <c r="AT409" s="88">
        <f>SUMIF(月間集計シート!$M$134:$M$153,$G409,月間集計シート!O$134:O$153)*AT$2</f>
        <v>0</v>
      </c>
      <c r="AU409" s="88">
        <f>SUMIF(月間集計シート!$M$134:$M$153,$G409,月間集計シート!P$134:P$153)*AU$2</f>
        <v>0</v>
      </c>
      <c r="AV409" s="88">
        <f>SUMIF(月間集計シート!$M$134:$M$153,$G409,月間集計シート!Q$134:Q$153)*AV$2</f>
        <v>0</v>
      </c>
      <c r="AW409" s="88">
        <f>SUMIF(月間集計シート!$M$134:$M$153,$G409,月間集計シート!R$134:R$153)*AW$2</f>
        <v>0</v>
      </c>
      <c r="AX409" s="88">
        <f>SUMIF(月間集計シート!$M$134:$M$153,$G409,月間集計シート!S$134:S$153)*AX$2</f>
        <v>0</v>
      </c>
      <c r="AY409" s="88">
        <f>SUMIF(月間集計シート!$M$134:$M$153,$G409,月間集計シート!T$134:T$153)*AY$2</f>
        <v>0</v>
      </c>
    </row>
    <row r="410" spans="1:51" ht="14.25" thickBot="1">
      <c r="A410">
        <v>5</v>
      </c>
      <c r="B410" s="120">
        <f t="shared" si="185"/>
        <v>0</v>
      </c>
      <c r="C410" s="120" t="str">
        <f t="shared" si="186"/>
        <v/>
      </c>
      <c r="D410" s="137"/>
      <c r="E410" s="150" t="str">
        <f>工種!A62</f>
        <v>80104</v>
      </c>
      <c r="F410" s="119" t="str">
        <f>工種!B62</f>
        <v>保守／ｻﾎﾟｰﾄ：連絡文書作成・更新</v>
      </c>
      <c r="G410" s="116" t="str">
        <f t="shared" si="187"/>
        <v>080104</v>
      </c>
      <c r="H410" s="88">
        <f t="shared" si="141"/>
        <v>0</v>
      </c>
      <c r="I410" s="132"/>
      <c r="J410" s="88">
        <f>SUMIF(月間集計シート!$M$29:$M$48,$G410,月間集計シート!N$29:N$48)*J$2</f>
        <v>0</v>
      </c>
      <c r="K410" s="88">
        <f>SUMIF(月間集計シート!$M$29:$M$48,$G410,月間集計シート!O$29:O$48)*K$2</f>
        <v>0</v>
      </c>
      <c r="L410" s="88">
        <f>SUMIF(月間集計シート!$M$29:$M$48,$G410,月間集計シート!P$29:P$48)*L$2</f>
        <v>0</v>
      </c>
      <c r="M410" s="88">
        <f>SUMIF(月間集計シート!$M$29:$M$48,$G410,月間集計シート!Q$29:Q$48)*M$2</f>
        <v>0</v>
      </c>
      <c r="N410" s="88">
        <f>SUMIF(月間集計シート!$M$29:$M$48,$G410,月間集計シート!R$29:R$48)*N$2</f>
        <v>0</v>
      </c>
      <c r="O410" s="88">
        <f>SUMIF(月間集計シート!$M$29:$M$48,$G410,月間集計シート!S$29:S$48)*O$2</f>
        <v>0</v>
      </c>
      <c r="P410" s="88">
        <f>SUMIF(月間集計シート!$M$29:$M$48,$G410,月間集計シート!T$29:T$48)*P$2</f>
        <v>0</v>
      </c>
      <c r="Q410" s="88">
        <f>SUMIF(月間集計シート!$M$50:$M$69,$G410,月間集計シート!N$50:N$69)*Q$2</f>
        <v>0</v>
      </c>
      <c r="R410" s="88">
        <f>SUMIF(月間集計シート!$M$50:$M$69,$G410,月間集計シート!O$50:O$69)*R$2</f>
        <v>0</v>
      </c>
      <c r="S410" s="88">
        <f>SUMIF(月間集計シート!$M$50:$M$69,$G410,月間集計シート!P$50:P$69)*S$2</f>
        <v>0</v>
      </c>
      <c r="T410" s="88">
        <f>SUMIF(月間集計シート!$M$50:$M$69,$G410,月間集計シート!Q$50:Q$69)*T$2</f>
        <v>0</v>
      </c>
      <c r="U410" s="88">
        <f>SUMIF(月間集計シート!$M$50:$M$69,$G410,月間集計シート!R$50:R$69)*U$2</f>
        <v>0</v>
      </c>
      <c r="V410" s="88">
        <f>SUMIF(月間集計シート!$M$50:$M$69,$G410,月間集計シート!S$50:S$69)*V$2</f>
        <v>0</v>
      </c>
      <c r="W410" s="88">
        <f>SUMIF(月間集計シート!$M$50:$M$69,$G410,月間集計シート!T$50:T$69)*W$2</f>
        <v>0</v>
      </c>
      <c r="X410" s="88">
        <f>SUMIF(月間集計シート!$M$71:$M$90,$G410,月間集計シート!N$71:N$90)*X$2</f>
        <v>0</v>
      </c>
      <c r="Y410" s="88">
        <f>SUMIF(月間集計シート!$M$71:$M$90,$G410,月間集計シート!O$71:O$90)*Y$2</f>
        <v>0</v>
      </c>
      <c r="Z410" s="88">
        <f>SUMIF(月間集計シート!$M$71:$M$90,$G410,月間集計シート!P$71:P$90)*Z$2</f>
        <v>0</v>
      </c>
      <c r="AA410" s="88">
        <f>SUMIF(月間集計シート!$M$71:$M$90,$G410,月間集計シート!Q$71:Q$90)*AA$2</f>
        <v>0</v>
      </c>
      <c r="AB410" s="88">
        <f>SUMIF(月間集計シート!$M$71:$M$90,$G410,月間集計シート!R$71:R$90)*AB$2</f>
        <v>0</v>
      </c>
      <c r="AC410" s="88">
        <f>SUMIF(月間集計シート!$M$71:$M$90,$G410,月間集計シート!S$71:S$90)*AC$2</f>
        <v>0</v>
      </c>
      <c r="AD410" s="88">
        <f>SUMIF(月間集計シート!$M$71:$M$90,$G410,月間集計シート!T$71:T$90)*AD$2</f>
        <v>0</v>
      </c>
      <c r="AE410" s="88">
        <f>SUMIF(月間集計シート!$M$92:$M$111,$G410,月間集計シート!N$92:N$111)*AE$2</f>
        <v>0</v>
      </c>
      <c r="AF410" s="88">
        <f>SUMIF(月間集計シート!$M$92:$M$111,$G410,月間集計シート!O$92:O$111)*AF$2</f>
        <v>0</v>
      </c>
      <c r="AG410" s="88">
        <f>SUMIF(月間集計シート!$M$92:$M$111,$G410,月間集計シート!P$92:P$111)*AG$2</f>
        <v>0</v>
      </c>
      <c r="AH410" s="88">
        <f>SUMIF(月間集計シート!$M$92:$M$111,$G410,月間集計シート!Q$92:Q$111)*AH$2</f>
        <v>0</v>
      </c>
      <c r="AI410" s="88">
        <f>SUMIF(月間集計シート!$M$92:$M$111,$G410,月間集計シート!R$92:R$111)*AI$2</f>
        <v>0</v>
      </c>
      <c r="AJ410" s="88">
        <f>SUMIF(月間集計シート!$M$92:$M$111,$G410,月間集計シート!S$92:S$111)*AJ$2</f>
        <v>0</v>
      </c>
      <c r="AK410" s="88">
        <f>SUMIF(月間集計シート!$M$92:$M$111,$G410,月間集計シート!T$92:T$111)*AK$2</f>
        <v>0</v>
      </c>
      <c r="AL410" s="88">
        <f>SUMIF(月間集計シート!$M$113:$M$132,$G410,月間集計シート!N$113:N$132)*AL$2</f>
        <v>0</v>
      </c>
      <c r="AM410" s="88">
        <f>SUMIF(月間集計シート!$M$113:$M$132,$G410,月間集計シート!O$113:O$132)*AM$2</f>
        <v>0</v>
      </c>
      <c r="AN410" s="88">
        <f>SUMIF(月間集計シート!$M$113:$M$132,$G410,月間集計シート!P$113:P$132)*AN$2</f>
        <v>0</v>
      </c>
      <c r="AO410" s="88">
        <f>SUMIF(月間集計シート!$M$113:$M$132,$G410,月間集計シート!Q$113:Q$132)*AO$2</f>
        <v>0</v>
      </c>
      <c r="AP410" s="88">
        <f>SUMIF(月間集計シート!$M$113:$M$132,$G410,月間集計シート!R$113:R$132)*AP$2</f>
        <v>0</v>
      </c>
      <c r="AQ410" s="88">
        <f>SUMIF(月間集計シート!$M$113:$M$132,$G410,月間集計シート!S$113:S$132)*AQ$2</f>
        <v>0</v>
      </c>
      <c r="AR410" s="88">
        <f>SUMIF(月間集計シート!$M$113:$M$132,$G410,月間集計シート!T$113:T$132)*AR$2</f>
        <v>0</v>
      </c>
      <c r="AS410" s="88">
        <f>SUMIF(月間集計シート!$M$134:$M$153,$G410,月間集計シート!N$134:N$153)*AS$2</f>
        <v>0</v>
      </c>
      <c r="AT410" s="88">
        <f>SUMIF(月間集計シート!$M$134:$M$153,$G410,月間集計シート!O$134:O$153)*AT$2</f>
        <v>0</v>
      </c>
      <c r="AU410" s="88">
        <f>SUMIF(月間集計シート!$M$134:$M$153,$G410,月間集計シート!P$134:P$153)*AU$2</f>
        <v>0</v>
      </c>
      <c r="AV410" s="88">
        <f>SUMIF(月間集計シート!$M$134:$M$153,$G410,月間集計シート!Q$134:Q$153)*AV$2</f>
        <v>0</v>
      </c>
      <c r="AW410" s="88">
        <f>SUMIF(月間集計シート!$M$134:$M$153,$G410,月間集計シート!R$134:R$153)*AW$2</f>
        <v>0</v>
      </c>
      <c r="AX410" s="88">
        <f>SUMIF(月間集計シート!$M$134:$M$153,$G410,月間集計シート!S$134:S$153)*AX$2</f>
        <v>0</v>
      </c>
      <c r="AY410" s="88">
        <f>SUMIF(月間集計シート!$M$134:$M$153,$G410,月間集計シート!T$134:T$153)*AY$2</f>
        <v>0</v>
      </c>
    </row>
    <row r="411" spans="1:51" ht="14.25" thickBot="1">
      <c r="A411">
        <v>5</v>
      </c>
      <c r="B411" s="120">
        <f t="shared" si="185"/>
        <v>0</v>
      </c>
      <c r="C411" s="120" t="str">
        <f t="shared" si="186"/>
        <v/>
      </c>
      <c r="D411" s="137"/>
      <c r="E411" s="150" t="str">
        <f>工種!A63</f>
        <v>80105</v>
      </c>
      <c r="F411" s="119" t="str">
        <f>工種!B63</f>
        <v>保守／ｻﾎﾟｰﾄ：ｲﾝﾄﾗ資料更新</v>
      </c>
      <c r="G411" s="116" t="str">
        <f t="shared" ref="G411:G428" si="188">B411&amp;E411</f>
        <v>080105</v>
      </c>
      <c r="H411" s="88">
        <f t="shared" ref="H411:H412" si="189">SUM(J411:AY411)</f>
        <v>0</v>
      </c>
      <c r="I411" s="132"/>
      <c r="J411" s="88">
        <f>SUMIF(月間集計シート!$M$29:$M$48,$G411,月間集計シート!N$29:N$48)*J$2</f>
        <v>0</v>
      </c>
      <c r="K411" s="88">
        <f>SUMIF(月間集計シート!$M$29:$M$48,$G411,月間集計シート!O$29:O$48)*K$2</f>
        <v>0</v>
      </c>
      <c r="L411" s="88">
        <f>SUMIF(月間集計シート!$M$29:$M$48,$G411,月間集計シート!P$29:P$48)*L$2</f>
        <v>0</v>
      </c>
      <c r="M411" s="88">
        <f>SUMIF(月間集計シート!$M$29:$M$48,$G411,月間集計シート!Q$29:Q$48)*M$2</f>
        <v>0</v>
      </c>
      <c r="N411" s="88">
        <f>SUMIF(月間集計シート!$M$29:$M$48,$G411,月間集計シート!R$29:R$48)*N$2</f>
        <v>0</v>
      </c>
      <c r="O411" s="88">
        <f>SUMIF(月間集計シート!$M$29:$M$48,$G411,月間集計シート!S$29:S$48)*O$2</f>
        <v>0</v>
      </c>
      <c r="P411" s="88">
        <f>SUMIF(月間集計シート!$M$29:$M$48,$G411,月間集計シート!T$29:T$48)*P$2</f>
        <v>0</v>
      </c>
      <c r="Q411" s="88">
        <f>SUMIF(月間集計シート!$M$50:$M$69,$G411,月間集計シート!N$50:N$69)*Q$2</f>
        <v>0</v>
      </c>
      <c r="R411" s="88">
        <f>SUMIF(月間集計シート!$M$50:$M$69,$G411,月間集計シート!O$50:O$69)*R$2</f>
        <v>0</v>
      </c>
      <c r="S411" s="88">
        <f>SUMIF(月間集計シート!$M$50:$M$69,$G411,月間集計シート!P$50:P$69)*S$2</f>
        <v>0</v>
      </c>
      <c r="T411" s="88">
        <f>SUMIF(月間集計シート!$M$50:$M$69,$G411,月間集計シート!Q$50:Q$69)*T$2</f>
        <v>0</v>
      </c>
      <c r="U411" s="88">
        <f>SUMIF(月間集計シート!$M$50:$M$69,$G411,月間集計シート!R$50:R$69)*U$2</f>
        <v>0</v>
      </c>
      <c r="V411" s="88">
        <f>SUMIF(月間集計シート!$M$50:$M$69,$G411,月間集計シート!S$50:S$69)*V$2</f>
        <v>0</v>
      </c>
      <c r="W411" s="88">
        <f>SUMIF(月間集計シート!$M$50:$M$69,$G411,月間集計シート!T$50:T$69)*W$2</f>
        <v>0</v>
      </c>
      <c r="X411" s="88">
        <f>SUMIF(月間集計シート!$M$71:$M$90,$G411,月間集計シート!N$71:N$90)*X$2</f>
        <v>0</v>
      </c>
      <c r="Y411" s="88">
        <f>SUMIF(月間集計シート!$M$71:$M$90,$G411,月間集計シート!O$71:O$90)*Y$2</f>
        <v>0</v>
      </c>
      <c r="Z411" s="88">
        <f>SUMIF(月間集計シート!$M$71:$M$90,$G411,月間集計シート!P$71:P$90)*Z$2</f>
        <v>0</v>
      </c>
      <c r="AA411" s="88">
        <f>SUMIF(月間集計シート!$M$71:$M$90,$G411,月間集計シート!Q$71:Q$90)*AA$2</f>
        <v>0</v>
      </c>
      <c r="AB411" s="88">
        <f>SUMIF(月間集計シート!$M$71:$M$90,$G411,月間集計シート!R$71:R$90)*AB$2</f>
        <v>0</v>
      </c>
      <c r="AC411" s="88">
        <f>SUMIF(月間集計シート!$M$71:$M$90,$G411,月間集計シート!S$71:S$90)*AC$2</f>
        <v>0</v>
      </c>
      <c r="AD411" s="88">
        <f>SUMIF(月間集計シート!$M$71:$M$90,$G411,月間集計シート!T$71:T$90)*AD$2</f>
        <v>0</v>
      </c>
      <c r="AE411" s="88">
        <f>SUMIF(月間集計シート!$M$92:$M$111,$G411,月間集計シート!N$92:N$111)*AE$2</f>
        <v>0</v>
      </c>
      <c r="AF411" s="88">
        <f>SUMIF(月間集計シート!$M$92:$M$111,$G411,月間集計シート!O$92:O$111)*AF$2</f>
        <v>0</v>
      </c>
      <c r="AG411" s="88">
        <f>SUMIF(月間集計シート!$M$92:$M$111,$G411,月間集計シート!P$92:P$111)*AG$2</f>
        <v>0</v>
      </c>
      <c r="AH411" s="88">
        <f>SUMIF(月間集計シート!$M$92:$M$111,$G411,月間集計シート!Q$92:Q$111)*AH$2</f>
        <v>0</v>
      </c>
      <c r="AI411" s="88">
        <f>SUMIF(月間集計シート!$M$92:$M$111,$G411,月間集計シート!R$92:R$111)*AI$2</f>
        <v>0</v>
      </c>
      <c r="AJ411" s="88">
        <f>SUMIF(月間集計シート!$M$92:$M$111,$G411,月間集計シート!S$92:S$111)*AJ$2</f>
        <v>0</v>
      </c>
      <c r="AK411" s="88">
        <f>SUMIF(月間集計シート!$M$92:$M$111,$G411,月間集計シート!T$92:T$111)*AK$2</f>
        <v>0</v>
      </c>
      <c r="AL411" s="88">
        <f>SUMIF(月間集計シート!$M$113:$M$132,$G411,月間集計シート!N$113:N$132)*AL$2</f>
        <v>0</v>
      </c>
      <c r="AM411" s="88">
        <f>SUMIF(月間集計シート!$M$113:$M$132,$G411,月間集計シート!O$113:O$132)*AM$2</f>
        <v>0</v>
      </c>
      <c r="AN411" s="88">
        <f>SUMIF(月間集計シート!$M$113:$M$132,$G411,月間集計シート!P$113:P$132)*AN$2</f>
        <v>0</v>
      </c>
      <c r="AO411" s="88">
        <f>SUMIF(月間集計シート!$M$113:$M$132,$G411,月間集計シート!Q$113:Q$132)*AO$2</f>
        <v>0</v>
      </c>
      <c r="AP411" s="88">
        <f>SUMIF(月間集計シート!$M$113:$M$132,$G411,月間集計シート!R$113:R$132)*AP$2</f>
        <v>0</v>
      </c>
      <c r="AQ411" s="88">
        <f>SUMIF(月間集計シート!$M$113:$M$132,$G411,月間集計シート!S$113:S$132)*AQ$2</f>
        <v>0</v>
      </c>
      <c r="AR411" s="88">
        <f>SUMIF(月間集計シート!$M$113:$M$132,$G411,月間集計シート!T$113:T$132)*AR$2</f>
        <v>0</v>
      </c>
      <c r="AS411" s="88">
        <f>SUMIF(月間集計シート!$M$134:$M$153,$G411,月間集計シート!N$134:N$153)*AS$2</f>
        <v>0</v>
      </c>
      <c r="AT411" s="88">
        <f>SUMIF(月間集計シート!$M$134:$M$153,$G411,月間集計シート!O$134:O$153)*AT$2</f>
        <v>0</v>
      </c>
      <c r="AU411" s="88">
        <f>SUMIF(月間集計シート!$M$134:$M$153,$G411,月間集計シート!P$134:P$153)*AU$2</f>
        <v>0</v>
      </c>
      <c r="AV411" s="88">
        <f>SUMIF(月間集計シート!$M$134:$M$153,$G411,月間集計シート!Q$134:Q$153)*AV$2</f>
        <v>0</v>
      </c>
      <c r="AW411" s="88">
        <f>SUMIF(月間集計シート!$M$134:$M$153,$G411,月間集計シート!R$134:R$153)*AW$2</f>
        <v>0</v>
      </c>
      <c r="AX411" s="88">
        <f>SUMIF(月間集計シート!$M$134:$M$153,$G411,月間集計シート!S$134:S$153)*AX$2</f>
        <v>0</v>
      </c>
      <c r="AY411" s="88">
        <f>SUMIF(月間集計シート!$M$134:$M$153,$G411,月間集計シート!T$134:T$153)*AY$2</f>
        <v>0</v>
      </c>
    </row>
    <row r="412" spans="1:51" ht="14.25" thickBot="1">
      <c r="A412">
        <v>5</v>
      </c>
      <c r="B412" s="120">
        <f t="shared" si="185"/>
        <v>0</v>
      </c>
      <c r="C412" s="120" t="str">
        <f t="shared" si="186"/>
        <v/>
      </c>
      <c r="D412" s="137"/>
      <c r="E412" s="150" t="str">
        <f>工種!A64</f>
        <v>80106</v>
      </c>
      <c r="F412" s="119" t="str">
        <f>工種!B64</f>
        <v>保守／ｻﾎﾟｰﾄ：打合せ</v>
      </c>
      <c r="G412" s="116" t="str">
        <f t="shared" si="188"/>
        <v>080106</v>
      </c>
      <c r="H412" s="88">
        <f t="shared" si="189"/>
        <v>0</v>
      </c>
      <c r="I412" s="132"/>
      <c r="J412" s="88">
        <f>SUMIF(月間集計シート!$M$29:$M$48,$G412,月間集計シート!N$29:N$48)*J$2</f>
        <v>0</v>
      </c>
      <c r="K412" s="88">
        <f>SUMIF(月間集計シート!$M$29:$M$48,$G412,月間集計シート!O$29:O$48)*K$2</f>
        <v>0</v>
      </c>
      <c r="L412" s="88">
        <f>SUMIF(月間集計シート!$M$29:$M$48,$G412,月間集計シート!P$29:P$48)*L$2</f>
        <v>0</v>
      </c>
      <c r="M412" s="88">
        <f>SUMIF(月間集計シート!$M$29:$M$48,$G412,月間集計シート!Q$29:Q$48)*M$2</f>
        <v>0</v>
      </c>
      <c r="N412" s="88">
        <f>SUMIF(月間集計シート!$M$29:$M$48,$G412,月間集計シート!R$29:R$48)*N$2</f>
        <v>0</v>
      </c>
      <c r="O412" s="88">
        <f>SUMIF(月間集計シート!$M$29:$M$48,$G412,月間集計シート!S$29:S$48)*O$2</f>
        <v>0</v>
      </c>
      <c r="P412" s="88">
        <f>SUMIF(月間集計シート!$M$29:$M$48,$G412,月間集計シート!T$29:T$48)*P$2</f>
        <v>0</v>
      </c>
      <c r="Q412" s="88">
        <f>SUMIF(月間集計シート!$M$50:$M$69,$G412,月間集計シート!N$50:N$69)*Q$2</f>
        <v>0</v>
      </c>
      <c r="R412" s="88">
        <f>SUMIF(月間集計シート!$M$50:$M$69,$G412,月間集計シート!O$50:O$69)*R$2</f>
        <v>0</v>
      </c>
      <c r="S412" s="88">
        <f>SUMIF(月間集計シート!$M$50:$M$69,$G412,月間集計シート!P$50:P$69)*S$2</f>
        <v>0</v>
      </c>
      <c r="T412" s="88">
        <f>SUMIF(月間集計シート!$M$50:$M$69,$G412,月間集計シート!Q$50:Q$69)*T$2</f>
        <v>0</v>
      </c>
      <c r="U412" s="88">
        <f>SUMIF(月間集計シート!$M$50:$M$69,$G412,月間集計シート!R$50:R$69)*U$2</f>
        <v>0</v>
      </c>
      <c r="V412" s="88">
        <f>SUMIF(月間集計シート!$M$50:$M$69,$G412,月間集計シート!S$50:S$69)*V$2</f>
        <v>0</v>
      </c>
      <c r="W412" s="88">
        <f>SUMIF(月間集計シート!$M$50:$M$69,$G412,月間集計シート!T$50:T$69)*W$2</f>
        <v>0</v>
      </c>
      <c r="X412" s="88">
        <f>SUMIF(月間集計シート!$M$71:$M$90,$G412,月間集計シート!N$71:N$90)*X$2</f>
        <v>0</v>
      </c>
      <c r="Y412" s="88">
        <f>SUMIF(月間集計シート!$M$71:$M$90,$G412,月間集計シート!O$71:O$90)*Y$2</f>
        <v>0</v>
      </c>
      <c r="Z412" s="88">
        <f>SUMIF(月間集計シート!$M$71:$M$90,$G412,月間集計シート!P$71:P$90)*Z$2</f>
        <v>0</v>
      </c>
      <c r="AA412" s="88">
        <f>SUMIF(月間集計シート!$M$71:$M$90,$G412,月間集計シート!Q$71:Q$90)*AA$2</f>
        <v>0</v>
      </c>
      <c r="AB412" s="88">
        <f>SUMIF(月間集計シート!$M$71:$M$90,$G412,月間集計シート!R$71:R$90)*AB$2</f>
        <v>0</v>
      </c>
      <c r="AC412" s="88">
        <f>SUMIF(月間集計シート!$M$71:$M$90,$G412,月間集計シート!S$71:S$90)*AC$2</f>
        <v>0</v>
      </c>
      <c r="AD412" s="88">
        <f>SUMIF(月間集計シート!$M$71:$M$90,$G412,月間集計シート!T$71:T$90)*AD$2</f>
        <v>0</v>
      </c>
      <c r="AE412" s="88">
        <f>SUMIF(月間集計シート!$M$92:$M$111,$G412,月間集計シート!N$92:N$111)*AE$2</f>
        <v>0</v>
      </c>
      <c r="AF412" s="88">
        <f>SUMIF(月間集計シート!$M$92:$M$111,$G412,月間集計シート!O$92:O$111)*AF$2</f>
        <v>0</v>
      </c>
      <c r="AG412" s="88">
        <f>SUMIF(月間集計シート!$M$92:$M$111,$G412,月間集計シート!P$92:P$111)*AG$2</f>
        <v>0</v>
      </c>
      <c r="AH412" s="88">
        <f>SUMIF(月間集計シート!$M$92:$M$111,$G412,月間集計シート!Q$92:Q$111)*AH$2</f>
        <v>0</v>
      </c>
      <c r="AI412" s="88">
        <f>SUMIF(月間集計シート!$M$92:$M$111,$G412,月間集計シート!R$92:R$111)*AI$2</f>
        <v>0</v>
      </c>
      <c r="AJ412" s="88">
        <f>SUMIF(月間集計シート!$M$92:$M$111,$G412,月間集計シート!S$92:S$111)*AJ$2</f>
        <v>0</v>
      </c>
      <c r="AK412" s="88">
        <f>SUMIF(月間集計シート!$M$92:$M$111,$G412,月間集計シート!T$92:T$111)*AK$2</f>
        <v>0</v>
      </c>
      <c r="AL412" s="88">
        <f>SUMIF(月間集計シート!$M$113:$M$132,$G412,月間集計シート!N$113:N$132)*AL$2</f>
        <v>0</v>
      </c>
      <c r="AM412" s="88">
        <f>SUMIF(月間集計シート!$M$113:$M$132,$G412,月間集計シート!O$113:O$132)*AM$2</f>
        <v>0</v>
      </c>
      <c r="AN412" s="88">
        <f>SUMIF(月間集計シート!$M$113:$M$132,$G412,月間集計シート!P$113:P$132)*AN$2</f>
        <v>0</v>
      </c>
      <c r="AO412" s="88">
        <f>SUMIF(月間集計シート!$M$113:$M$132,$G412,月間集計シート!Q$113:Q$132)*AO$2</f>
        <v>0</v>
      </c>
      <c r="AP412" s="88">
        <f>SUMIF(月間集計シート!$M$113:$M$132,$G412,月間集計シート!R$113:R$132)*AP$2</f>
        <v>0</v>
      </c>
      <c r="AQ412" s="88">
        <f>SUMIF(月間集計シート!$M$113:$M$132,$G412,月間集計シート!S$113:S$132)*AQ$2</f>
        <v>0</v>
      </c>
      <c r="AR412" s="88">
        <f>SUMIF(月間集計シート!$M$113:$M$132,$G412,月間集計シート!T$113:T$132)*AR$2</f>
        <v>0</v>
      </c>
      <c r="AS412" s="88">
        <f>SUMIF(月間集計シート!$M$134:$M$153,$G412,月間集計シート!N$134:N$153)*AS$2</f>
        <v>0</v>
      </c>
      <c r="AT412" s="88">
        <f>SUMIF(月間集計シート!$M$134:$M$153,$G412,月間集計シート!O$134:O$153)*AT$2</f>
        <v>0</v>
      </c>
      <c r="AU412" s="88">
        <f>SUMIF(月間集計シート!$M$134:$M$153,$G412,月間集計シート!P$134:P$153)*AU$2</f>
        <v>0</v>
      </c>
      <c r="AV412" s="88">
        <f>SUMIF(月間集計シート!$M$134:$M$153,$G412,月間集計シート!Q$134:Q$153)*AV$2</f>
        <v>0</v>
      </c>
      <c r="AW412" s="88">
        <f>SUMIF(月間集計シート!$M$134:$M$153,$G412,月間集計シート!R$134:R$153)*AW$2</f>
        <v>0</v>
      </c>
      <c r="AX412" s="88">
        <f>SUMIF(月間集計シート!$M$134:$M$153,$G412,月間集計シート!S$134:S$153)*AX$2</f>
        <v>0</v>
      </c>
      <c r="AY412" s="88">
        <f>SUMIF(月間集計シート!$M$134:$M$153,$G412,月間集計シート!T$134:T$153)*AY$2</f>
        <v>0</v>
      </c>
    </row>
    <row r="413" spans="1:51" ht="14.25" thickBot="1">
      <c r="A413">
        <v>5</v>
      </c>
      <c r="B413" s="120">
        <f t="shared" si="185"/>
        <v>0</v>
      </c>
      <c r="C413" s="120" t="str">
        <f t="shared" si="186"/>
        <v/>
      </c>
      <c r="D413" s="137"/>
      <c r="E413" s="150" t="str">
        <f>工種!A65</f>
        <v>80107</v>
      </c>
      <c r="F413" s="119" t="str">
        <f>工種!B65</f>
        <v>保守／ｻﾎﾟｰﾄ：ﾚﾋﾞｭｰ</v>
      </c>
      <c r="G413" s="116" t="str">
        <f t="shared" si="188"/>
        <v>080107</v>
      </c>
      <c r="H413" s="88">
        <f t="shared" ref="H413:H428" si="190">SUM(J413:AY413)</f>
        <v>0</v>
      </c>
      <c r="I413" s="132"/>
      <c r="J413" s="88">
        <f>SUMIF(月間集計シート!$M$29:$M$48,$G413,月間集計シート!N$29:N$48)*J$2</f>
        <v>0</v>
      </c>
      <c r="K413" s="88">
        <f>SUMIF(月間集計シート!$M$29:$M$48,$G413,月間集計シート!O$29:O$48)*K$2</f>
        <v>0</v>
      </c>
      <c r="L413" s="88">
        <f>SUMIF(月間集計シート!$M$29:$M$48,$G413,月間集計シート!P$29:P$48)*L$2</f>
        <v>0</v>
      </c>
      <c r="M413" s="88">
        <f>SUMIF(月間集計シート!$M$29:$M$48,$G413,月間集計シート!Q$29:Q$48)*M$2</f>
        <v>0</v>
      </c>
      <c r="N413" s="88">
        <f>SUMIF(月間集計シート!$M$29:$M$48,$G413,月間集計シート!R$29:R$48)*N$2</f>
        <v>0</v>
      </c>
      <c r="O413" s="88">
        <f>SUMIF(月間集計シート!$M$29:$M$48,$G413,月間集計シート!S$29:S$48)*O$2</f>
        <v>0</v>
      </c>
      <c r="P413" s="88">
        <f>SUMIF(月間集計シート!$M$29:$M$48,$G413,月間集計シート!T$29:T$48)*P$2</f>
        <v>0</v>
      </c>
      <c r="Q413" s="88">
        <f>SUMIF(月間集計シート!$M$50:$M$69,$G413,月間集計シート!N$50:N$69)*Q$2</f>
        <v>0</v>
      </c>
      <c r="R413" s="88">
        <f>SUMIF(月間集計シート!$M$50:$M$69,$G413,月間集計シート!O$50:O$69)*R$2</f>
        <v>0</v>
      </c>
      <c r="S413" s="88">
        <f>SUMIF(月間集計シート!$M$50:$M$69,$G413,月間集計シート!P$50:P$69)*S$2</f>
        <v>0</v>
      </c>
      <c r="T413" s="88">
        <f>SUMIF(月間集計シート!$M$50:$M$69,$G413,月間集計シート!Q$50:Q$69)*T$2</f>
        <v>0</v>
      </c>
      <c r="U413" s="88">
        <f>SUMIF(月間集計シート!$M$50:$M$69,$G413,月間集計シート!R$50:R$69)*U$2</f>
        <v>0</v>
      </c>
      <c r="V413" s="88">
        <f>SUMIF(月間集計シート!$M$50:$M$69,$G413,月間集計シート!S$50:S$69)*V$2</f>
        <v>0</v>
      </c>
      <c r="W413" s="88">
        <f>SUMIF(月間集計シート!$M$50:$M$69,$G413,月間集計シート!T$50:T$69)*W$2</f>
        <v>0</v>
      </c>
      <c r="X413" s="88">
        <f>SUMIF(月間集計シート!$M$71:$M$90,$G413,月間集計シート!N$71:N$90)*X$2</f>
        <v>0</v>
      </c>
      <c r="Y413" s="88">
        <f>SUMIF(月間集計シート!$M$71:$M$90,$G413,月間集計シート!O$71:O$90)*Y$2</f>
        <v>0</v>
      </c>
      <c r="Z413" s="88">
        <f>SUMIF(月間集計シート!$M$71:$M$90,$G413,月間集計シート!P$71:P$90)*Z$2</f>
        <v>0</v>
      </c>
      <c r="AA413" s="88">
        <f>SUMIF(月間集計シート!$M$71:$M$90,$G413,月間集計シート!Q$71:Q$90)*AA$2</f>
        <v>0</v>
      </c>
      <c r="AB413" s="88">
        <f>SUMIF(月間集計シート!$M$71:$M$90,$G413,月間集計シート!R$71:R$90)*AB$2</f>
        <v>0</v>
      </c>
      <c r="AC413" s="88">
        <f>SUMIF(月間集計シート!$M$71:$M$90,$G413,月間集計シート!S$71:S$90)*AC$2</f>
        <v>0</v>
      </c>
      <c r="AD413" s="88">
        <f>SUMIF(月間集計シート!$M$71:$M$90,$G413,月間集計シート!T$71:T$90)*AD$2</f>
        <v>0</v>
      </c>
      <c r="AE413" s="88">
        <f>SUMIF(月間集計シート!$M$92:$M$111,$G413,月間集計シート!N$92:N$111)*AE$2</f>
        <v>0</v>
      </c>
      <c r="AF413" s="88">
        <f>SUMIF(月間集計シート!$M$92:$M$111,$G413,月間集計シート!O$92:O$111)*AF$2</f>
        <v>0</v>
      </c>
      <c r="AG413" s="88">
        <f>SUMIF(月間集計シート!$M$92:$M$111,$G413,月間集計シート!P$92:P$111)*AG$2</f>
        <v>0</v>
      </c>
      <c r="AH413" s="88">
        <f>SUMIF(月間集計シート!$M$92:$M$111,$G413,月間集計シート!Q$92:Q$111)*AH$2</f>
        <v>0</v>
      </c>
      <c r="AI413" s="88">
        <f>SUMIF(月間集計シート!$M$92:$M$111,$G413,月間集計シート!R$92:R$111)*AI$2</f>
        <v>0</v>
      </c>
      <c r="AJ413" s="88">
        <f>SUMIF(月間集計シート!$M$92:$M$111,$G413,月間集計シート!S$92:S$111)*AJ$2</f>
        <v>0</v>
      </c>
      <c r="AK413" s="88">
        <f>SUMIF(月間集計シート!$M$92:$M$111,$G413,月間集計シート!T$92:T$111)*AK$2</f>
        <v>0</v>
      </c>
      <c r="AL413" s="88">
        <f>SUMIF(月間集計シート!$M$113:$M$132,$G413,月間集計シート!N$113:N$132)*AL$2</f>
        <v>0</v>
      </c>
      <c r="AM413" s="88">
        <f>SUMIF(月間集計シート!$M$113:$M$132,$G413,月間集計シート!O$113:O$132)*AM$2</f>
        <v>0</v>
      </c>
      <c r="AN413" s="88">
        <f>SUMIF(月間集計シート!$M$113:$M$132,$G413,月間集計シート!P$113:P$132)*AN$2</f>
        <v>0</v>
      </c>
      <c r="AO413" s="88">
        <f>SUMIF(月間集計シート!$M$113:$M$132,$G413,月間集計シート!Q$113:Q$132)*AO$2</f>
        <v>0</v>
      </c>
      <c r="AP413" s="88">
        <f>SUMIF(月間集計シート!$M$113:$M$132,$G413,月間集計シート!R$113:R$132)*AP$2</f>
        <v>0</v>
      </c>
      <c r="AQ413" s="88">
        <f>SUMIF(月間集計シート!$M$113:$M$132,$G413,月間集計シート!S$113:S$132)*AQ$2</f>
        <v>0</v>
      </c>
      <c r="AR413" s="88">
        <f>SUMIF(月間集計シート!$M$113:$M$132,$G413,月間集計シート!T$113:T$132)*AR$2</f>
        <v>0</v>
      </c>
      <c r="AS413" s="88">
        <f>SUMIF(月間集計シート!$M$134:$M$153,$G413,月間集計シート!N$134:N$153)*AS$2</f>
        <v>0</v>
      </c>
      <c r="AT413" s="88">
        <f>SUMIF(月間集計シート!$M$134:$M$153,$G413,月間集計シート!O$134:O$153)*AT$2</f>
        <v>0</v>
      </c>
      <c r="AU413" s="88">
        <f>SUMIF(月間集計シート!$M$134:$M$153,$G413,月間集計シート!P$134:P$153)*AU$2</f>
        <v>0</v>
      </c>
      <c r="AV413" s="88">
        <f>SUMIF(月間集計シート!$M$134:$M$153,$G413,月間集計シート!Q$134:Q$153)*AV$2</f>
        <v>0</v>
      </c>
      <c r="AW413" s="88">
        <f>SUMIF(月間集計シート!$M$134:$M$153,$G413,月間集計シート!R$134:R$153)*AW$2</f>
        <v>0</v>
      </c>
      <c r="AX413" s="88">
        <f>SUMIF(月間集計シート!$M$134:$M$153,$G413,月間集計シート!S$134:S$153)*AX$2</f>
        <v>0</v>
      </c>
      <c r="AY413" s="88">
        <f>SUMIF(月間集計シート!$M$134:$M$153,$G413,月間集計シート!T$134:T$153)*AY$2</f>
        <v>0</v>
      </c>
    </row>
    <row r="414" spans="1:51" ht="14.25" thickBot="1">
      <c r="A414">
        <v>5</v>
      </c>
      <c r="B414" s="120">
        <f t="shared" si="185"/>
        <v>0</v>
      </c>
      <c r="C414" s="120" t="str">
        <f t="shared" si="186"/>
        <v/>
      </c>
      <c r="D414" s="137"/>
      <c r="E414" s="150" t="str">
        <f>工種!A66</f>
        <v>80199</v>
      </c>
      <c r="F414" s="119" t="str">
        <f>工種!B66</f>
        <v>保守／ｻﾎﾟｰﾄ：その他</v>
      </c>
      <c r="G414" s="116" t="str">
        <f t="shared" si="188"/>
        <v>080199</v>
      </c>
      <c r="H414" s="88">
        <f t="shared" si="190"/>
        <v>0</v>
      </c>
      <c r="I414" s="132"/>
      <c r="J414" s="88">
        <f>SUMIF(月間集計シート!$M$29:$M$48,$G414,月間集計シート!N$29:N$48)*J$2</f>
        <v>0</v>
      </c>
      <c r="K414" s="88">
        <f>SUMIF(月間集計シート!$M$29:$M$48,$G414,月間集計シート!O$29:O$48)*K$2</f>
        <v>0</v>
      </c>
      <c r="L414" s="88">
        <f>SUMIF(月間集計シート!$M$29:$M$48,$G414,月間集計シート!P$29:P$48)*L$2</f>
        <v>0</v>
      </c>
      <c r="M414" s="88">
        <f>SUMIF(月間集計シート!$M$29:$M$48,$G414,月間集計シート!Q$29:Q$48)*M$2</f>
        <v>0</v>
      </c>
      <c r="N414" s="88">
        <f>SUMIF(月間集計シート!$M$29:$M$48,$G414,月間集計シート!R$29:R$48)*N$2</f>
        <v>0</v>
      </c>
      <c r="O414" s="88">
        <f>SUMIF(月間集計シート!$M$29:$M$48,$G414,月間集計シート!S$29:S$48)*O$2</f>
        <v>0</v>
      </c>
      <c r="P414" s="88">
        <f>SUMIF(月間集計シート!$M$29:$M$48,$G414,月間集計シート!T$29:T$48)*P$2</f>
        <v>0</v>
      </c>
      <c r="Q414" s="88">
        <f>SUMIF(月間集計シート!$M$50:$M$69,$G414,月間集計シート!N$50:N$69)*Q$2</f>
        <v>0</v>
      </c>
      <c r="R414" s="88">
        <f>SUMIF(月間集計シート!$M$50:$M$69,$G414,月間集計シート!O$50:O$69)*R$2</f>
        <v>0</v>
      </c>
      <c r="S414" s="88">
        <f>SUMIF(月間集計シート!$M$50:$M$69,$G414,月間集計シート!P$50:P$69)*S$2</f>
        <v>0</v>
      </c>
      <c r="T414" s="88">
        <f>SUMIF(月間集計シート!$M$50:$M$69,$G414,月間集計シート!Q$50:Q$69)*T$2</f>
        <v>0</v>
      </c>
      <c r="U414" s="88">
        <f>SUMIF(月間集計シート!$M$50:$M$69,$G414,月間集計シート!R$50:R$69)*U$2</f>
        <v>0</v>
      </c>
      <c r="V414" s="88">
        <f>SUMIF(月間集計シート!$M$50:$M$69,$G414,月間集計シート!S$50:S$69)*V$2</f>
        <v>0</v>
      </c>
      <c r="W414" s="88">
        <f>SUMIF(月間集計シート!$M$50:$M$69,$G414,月間集計シート!T$50:T$69)*W$2</f>
        <v>0</v>
      </c>
      <c r="X414" s="88">
        <f>SUMIF(月間集計シート!$M$71:$M$90,$G414,月間集計シート!N$71:N$90)*X$2</f>
        <v>0</v>
      </c>
      <c r="Y414" s="88">
        <f>SUMIF(月間集計シート!$M$71:$M$90,$G414,月間集計シート!O$71:O$90)*Y$2</f>
        <v>0</v>
      </c>
      <c r="Z414" s="88">
        <f>SUMIF(月間集計シート!$M$71:$M$90,$G414,月間集計シート!P$71:P$90)*Z$2</f>
        <v>0</v>
      </c>
      <c r="AA414" s="88">
        <f>SUMIF(月間集計シート!$M$71:$M$90,$G414,月間集計シート!Q$71:Q$90)*AA$2</f>
        <v>0</v>
      </c>
      <c r="AB414" s="88">
        <f>SUMIF(月間集計シート!$M$71:$M$90,$G414,月間集計シート!R$71:R$90)*AB$2</f>
        <v>0</v>
      </c>
      <c r="AC414" s="88">
        <f>SUMIF(月間集計シート!$M$71:$M$90,$G414,月間集計シート!S$71:S$90)*AC$2</f>
        <v>0</v>
      </c>
      <c r="AD414" s="88">
        <f>SUMIF(月間集計シート!$M$71:$M$90,$G414,月間集計シート!T$71:T$90)*AD$2</f>
        <v>0</v>
      </c>
      <c r="AE414" s="88">
        <f>SUMIF(月間集計シート!$M$92:$M$111,$G414,月間集計シート!N$92:N$111)*AE$2</f>
        <v>0</v>
      </c>
      <c r="AF414" s="88">
        <f>SUMIF(月間集計シート!$M$92:$M$111,$G414,月間集計シート!O$92:O$111)*AF$2</f>
        <v>0</v>
      </c>
      <c r="AG414" s="88">
        <f>SUMIF(月間集計シート!$M$92:$M$111,$G414,月間集計シート!P$92:P$111)*AG$2</f>
        <v>0</v>
      </c>
      <c r="AH414" s="88">
        <f>SUMIF(月間集計シート!$M$92:$M$111,$G414,月間集計シート!Q$92:Q$111)*AH$2</f>
        <v>0</v>
      </c>
      <c r="AI414" s="88">
        <f>SUMIF(月間集計シート!$M$92:$M$111,$G414,月間集計シート!R$92:R$111)*AI$2</f>
        <v>0</v>
      </c>
      <c r="AJ414" s="88">
        <f>SUMIF(月間集計シート!$M$92:$M$111,$G414,月間集計シート!S$92:S$111)*AJ$2</f>
        <v>0</v>
      </c>
      <c r="AK414" s="88">
        <f>SUMIF(月間集計シート!$M$92:$M$111,$G414,月間集計シート!T$92:T$111)*AK$2</f>
        <v>0</v>
      </c>
      <c r="AL414" s="88">
        <f>SUMIF(月間集計シート!$M$113:$M$132,$G414,月間集計シート!N$113:N$132)*AL$2</f>
        <v>0</v>
      </c>
      <c r="AM414" s="88">
        <f>SUMIF(月間集計シート!$M$113:$M$132,$G414,月間集計シート!O$113:O$132)*AM$2</f>
        <v>0</v>
      </c>
      <c r="AN414" s="88">
        <f>SUMIF(月間集計シート!$M$113:$M$132,$G414,月間集計シート!P$113:P$132)*AN$2</f>
        <v>0</v>
      </c>
      <c r="AO414" s="88">
        <f>SUMIF(月間集計シート!$M$113:$M$132,$G414,月間集計シート!Q$113:Q$132)*AO$2</f>
        <v>0</v>
      </c>
      <c r="AP414" s="88">
        <f>SUMIF(月間集計シート!$M$113:$M$132,$G414,月間集計シート!R$113:R$132)*AP$2</f>
        <v>0</v>
      </c>
      <c r="AQ414" s="88">
        <f>SUMIF(月間集計シート!$M$113:$M$132,$G414,月間集計シート!S$113:S$132)*AQ$2</f>
        <v>0</v>
      </c>
      <c r="AR414" s="88">
        <f>SUMIF(月間集計シート!$M$113:$M$132,$G414,月間集計シート!T$113:T$132)*AR$2</f>
        <v>0</v>
      </c>
      <c r="AS414" s="88">
        <f>SUMIF(月間集計シート!$M$134:$M$153,$G414,月間集計シート!N$134:N$153)*AS$2</f>
        <v>0</v>
      </c>
      <c r="AT414" s="88">
        <f>SUMIF(月間集計シート!$M$134:$M$153,$G414,月間集計シート!O$134:O$153)*AT$2</f>
        <v>0</v>
      </c>
      <c r="AU414" s="88">
        <f>SUMIF(月間集計シート!$M$134:$M$153,$G414,月間集計シート!P$134:P$153)*AU$2</f>
        <v>0</v>
      </c>
      <c r="AV414" s="88">
        <f>SUMIF(月間集計シート!$M$134:$M$153,$G414,月間集計シート!Q$134:Q$153)*AV$2</f>
        <v>0</v>
      </c>
      <c r="AW414" s="88">
        <f>SUMIF(月間集計シート!$M$134:$M$153,$G414,月間集計シート!R$134:R$153)*AW$2</f>
        <v>0</v>
      </c>
      <c r="AX414" s="88">
        <f>SUMIF(月間集計シート!$M$134:$M$153,$G414,月間集計シート!S$134:S$153)*AX$2</f>
        <v>0</v>
      </c>
      <c r="AY414" s="88">
        <f>SUMIF(月間集計シート!$M$134:$M$153,$G414,月間集計シート!T$134:T$153)*AY$2</f>
        <v>0</v>
      </c>
    </row>
    <row r="415" spans="1:51" ht="14.25" thickBot="1">
      <c r="A415">
        <v>5</v>
      </c>
      <c r="B415" s="120">
        <f t="shared" ref="B415:C431" si="191">B414</f>
        <v>0</v>
      </c>
      <c r="C415" s="120" t="str">
        <f t="shared" si="191"/>
        <v/>
      </c>
      <c r="D415" s="137"/>
      <c r="E415" s="150" t="str">
        <f>工種!A67</f>
        <v>90101</v>
      </c>
      <c r="F415" s="119" t="str">
        <f>工種!B67</f>
        <v>管理業務：ﾌﾟﾛｼﾞｪｸﾄ管理</v>
      </c>
      <c r="G415" s="116" t="str">
        <f t="shared" si="188"/>
        <v>090101</v>
      </c>
      <c r="H415" s="88">
        <f t="shared" si="190"/>
        <v>0</v>
      </c>
      <c r="I415" s="132"/>
      <c r="J415" s="88">
        <f>SUMIF(月間集計シート!$M$29:$M$48,$G415,月間集計シート!N$29:N$48)*J$2</f>
        <v>0</v>
      </c>
      <c r="K415" s="88">
        <f>SUMIF(月間集計シート!$M$29:$M$48,$G415,月間集計シート!O$29:O$48)*K$2</f>
        <v>0</v>
      </c>
      <c r="L415" s="88">
        <f>SUMIF(月間集計シート!$M$29:$M$48,$G415,月間集計シート!P$29:P$48)*L$2</f>
        <v>0</v>
      </c>
      <c r="M415" s="88">
        <f>SUMIF(月間集計シート!$M$29:$M$48,$G415,月間集計シート!Q$29:Q$48)*M$2</f>
        <v>0</v>
      </c>
      <c r="N415" s="88">
        <f>SUMIF(月間集計シート!$M$29:$M$48,$G415,月間集計シート!R$29:R$48)*N$2</f>
        <v>0</v>
      </c>
      <c r="O415" s="88">
        <f>SUMIF(月間集計シート!$M$29:$M$48,$G415,月間集計シート!S$29:S$48)*O$2</f>
        <v>0</v>
      </c>
      <c r="P415" s="88">
        <f>SUMIF(月間集計シート!$M$29:$M$48,$G415,月間集計シート!T$29:T$48)*P$2</f>
        <v>0</v>
      </c>
      <c r="Q415" s="88">
        <f>SUMIF(月間集計シート!$M$50:$M$69,$G415,月間集計シート!N$50:N$69)*Q$2</f>
        <v>0</v>
      </c>
      <c r="R415" s="88">
        <f>SUMIF(月間集計シート!$M$50:$M$69,$G415,月間集計シート!O$50:O$69)*R$2</f>
        <v>0</v>
      </c>
      <c r="S415" s="88">
        <f>SUMIF(月間集計シート!$M$50:$M$69,$G415,月間集計シート!P$50:P$69)*S$2</f>
        <v>0</v>
      </c>
      <c r="T415" s="88">
        <f>SUMIF(月間集計シート!$M$50:$M$69,$G415,月間集計シート!Q$50:Q$69)*T$2</f>
        <v>0</v>
      </c>
      <c r="U415" s="88">
        <f>SUMIF(月間集計シート!$M$50:$M$69,$G415,月間集計シート!R$50:R$69)*U$2</f>
        <v>0</v>
      </c>
      <c r="V415" s="88">
        <f>SUMIF(月間集計シート!$M$50:$M$69,$G415,月間集計シート!S$50:S$69)*V$2</f>
        <v>0</v>
      </c>
      <c r="W415" s="88">
        <f>SUMIF(月間集計シート!$M$50:$M$69,$G415,月間集計シート!T$50:T$69)*W$2</f>
        <v>0</v>
      </c>
      <c r="X415" s="88">
        <f>SUMIF(月間集計シート!$M$71:$M$90,$G415,月間集計シート!N$71:N$90)*X$2</f>
        <v>0</v>
      </c>
      <c r="Y415" s="88">
        <f>SUMIF(月間集計シート!$M$71:$M$90,$G415,月間集計シート!O$71:O$90)*Y$2</f>
        <v>0</v>
      </c>
      <c r="Z415" s="88">
        <f>SUMIF(月間集計シート!$M$71:$M$90,$G415,月間集計シート!P$71:P$90)*Z$2</f>
        <v>0</v>
      </c>
      <c r="AA415" s="88">
        <f>SUMIF(月間集計シート!$M$71:$M$90,$G415,月間集計シート!Q$71:Q$90)*AA$2</f>
        <v>0</v>
      </c>
      <c r="AB415" s="88">
        <f>SUMIF(月間集計シート!$M$71:$M$90,$G415,月間集計シート!R$71:R$90)*AB$2</f>
        <v>0</v>
      </c>
      <c r="AC415" s="88">
        <f>SUMIF(月間集計シート!$M$71:$M$90,$G415,月間集計シート!S$71:S$90)*AC$2</f>
        <v>0</v>
      </c>
      <c r="AD415" s="88">
        <f>SUMIF(月間集計シート!$M$71:$M$90,$G415,月間集計シート!T$71:T$90)*AD$2</f>
        <v>0</v>
      </c>
      <c r="AE415" s="88">
        <f>SUMIF(月間集計シート!$M$92:$M$111,$G415,月間集計シート!N$92:N$111)*AE$2</f>
        <v>0</v>
      </c>
      <c r="AF415" s="88">
        <f>SUMIF(月間集計シート!$M$92:$M$111,$G415,月間集計シート!O$92:O$111)*AF$2</f>
        <v>0</v>
      </c>
      <c r="AG415" s="88">
        <f>SUMIF(月間集計シート!$M$92:$M$111,$G415,月間集計シート!P$92:P$111)*AG$2</f>
        <v>0</v>
      </c>
      <c r="AH415" s="88">
        <f>SUMIF(月間集計シート!$M$92:$M$111,$G415,月間集計シート!Q$92:Q$111)*AH$2</f>
        <v>0</v>
      </c>
      <c r="AI415" s="88">
        <f>SUMIF(月間集計シート!$M$92:$M$111,$G415,月間集計シート!R$92:R$111)*AI$2</f>
        <v>0</v>
      </c>
      <c r="AJ415" s="88">
        <f>SUMIF(月間集計シート!$M$92:$M$111,$G415,月間集計シート!S$92:S$111)*AJ$2</f>
        <v>0</v>
      </c>
      <c r="AK415" s="88">
        <f>SUMIF(月間集計シート!$M$92:$M$111,$G415,月間集計シート!T$92:T$111)*AK$2</f>
        <v>0</v>
      </c>
      <c r="AL415" s="88">
        <f>SUMIF(月間集計シート!$M$113:$M$132,$G415,月間集計シート!N$113:N$132)*AL$2</f>
        <v>0</v>
      </c>
      <c r="AM415" s="88">
        <f>SUMIF(月間集計シート!$M$113:$M$132,$G415,月間集計シート!O$113:O$132)*AM$2</f>
        <v>0</v>
      </c>
      <c r="AN415" s="88">
        <f>SUMIF(月間集計シート!$M$113:$M$132,$G415,月間集計シート!P$113:P$132)*AN$2</f>
        <v>0</v>
      </c>
      <c r="AO415" s="88">
        <f>SUMIF(月間集計シート!$M$113:$M$132,$G415,月間集計シート!Q$113:Q$132)*AO$2</f>
        <v>0</v>
      </c>
      <c r="AP415" s="88">
        <f>SUMIF(月間集計シート!$M$113:$M$132,$G415,月間集計シート!R$113:R$132)*AP$2</f>
        <v>0</v>
      </c>
      <c r="AQ415" s="88">
        <f>SUMIF(月間集計シート!$M$113:$M$132,$G415,月間集計シート!S$113:S$132)*AQ$2</f>
        <v>0</v>
      </c>
      <c r="AR415" s="88">
        <f>SUMIF(月間集計シート!$M$113:$M$132,$G415,月間集計シート!T$113:T$132)*AR$2</f>
        <v>0</v>
      </c>
      <c r="AS415" s="88">
        <f>SUMIF(月間集計シート!$M$134:$M$153,$G415,月間集計シート!N$134:N$153)*AS$2</f>
        <v>0</v>
      </c>
      <c r="AT415" s="88">
        <f>SUMIF(月間集計シート!$M$134:$M$153,$G415,月間集計シート!O$134:O$153)*AT$2</f>
        <v>0</v>
      </c>
      <c r="AU415" s="88">
        <f>SUMIF(月間集計シート!$M$134:$M$153,$G415,月間集計シート!P$134:P$153)*AU$2</f>
        <v>0</v>
      </c>
      <c r="AV415" s="88">
        <f>SUMIF(月間集計シート!$M$134:$M$153,$G415,月間集計シート!Q$134:Q$153)*AV$2</f>
        <v>0</v>
      </c>
      <c r="AW415" s="88">
        <f>SUMIF(月間集計シート!$M$134:$M$153,$G415,月間集計シート!R$134:R$153)*AW$2</f>
        <v>0</v>
      </c>
      <c r="AX415" s="88">
        <f>SUMIF(月間集計シート!$M$134:$M$153,$G415,月間集計シート!S$134:S$153)*AX$2</f>
        <v>0</v>
      </c>
      <c r="AY415" s="88">
        <f>SUMIF(月間集計シート!$M$134:$M$153,$G415,月間集計シート!T$134:T$153)*AY$2</f>
        <v>0</v>
      </c>
    </row>
    <row r="416" spans="1:51" ht="14.25" thickBot="1">
      <c r="A416">
        <v>5</v>
      </c>
      <c r="B416" s="120">
        <f t="shared" si="191"/>
        <v>0</v>
      </c>
      <c r="C416" s="120" t="str">
        <f t="shared" si="191"/>
        <v/>
      </c>
      <c r="D416" s="137"/>
      <c r="E416" s="150" t="str">
        <f>工種!A68</f>
        <v>90102</v>
      </c>
      <c r="F416" s="119" t="str">
        <f>工種!B68</f>
        <v>管理業務：開発環境管理</v>
      </c>
      <c r="G416" s="116" t="str">
        <f t="shared" si="188"/>
        <v>090102</v>
      </c>
      <c r="H416" s="88">
        <f t="shared" si="190"/>
        <v>0</v>
      </c>
      <c r="I416" s="132"/>
      <c r="J416" s="88">
        <f>SUMIF(月間集計シート!$M$29:$M$48,$G416,月間集計シート!N$29:N$48)*J$2</f>
        <v>0</v>
      </c>
      <c r="K416" s="88">
        <f>SUMIF(月間集計シート!$M$29:$M$48,$G416,月間集計シート!O$29:O$48)*K$2</f>
        <v>0</v>
      </c>
      <c r="L416" s="88">
        <f>SUMIF(月間集計シート!$M$29:$M$48,$G416,月間集計シート!P$29:P$48)*L$2</f>
        <v>0</v>
      </c>
      <c r="M416" s="88">
        <f>SUMIF(月間集計シート!$M$29:$M$48,$G416,月間集計シート!Q$29:Q$48)*M$2</f>
        <v>0</v>
      </c>
      <c r="N416" s="88">
        <f>SUMIF(月間集計シート!$M$29:$M$48,$G416,月間集計シート!R$29:R$48)*N$2</f>
        <v>0</v>
      </c>
      <c r="O416" s="88">
        <f>SUMIF(月間集計シート!$M$29:$M$48,$G416,月間集計シート!S$29:S$48)*O$2</f>
        <v>0</v>
      </c>
      <c r="P416" s="88">
        <f>SUMIF(月間集計シート!$M$29:$M$48,$G416,月間集計シート!T$29:T$48)*P$2</f>
        <v>0</v>
      </c>
      <c r="Q416" s="88">
        <f>SUMIF(月間集計シート!$M$50:$M$69,$G416,月間集計シート!N$50:N$69)*Q$2</f>
        <v>0</v>
      </c>
      <c r="R416" s="88">
        <f>SUMIF(月間集計シート!$M$50:$M$69,$G416,月間集計シート!O$50:O$69)*R$2</f>
        <v>0</v>
      </c>
      <c r="S416" s="88">
        <f>SUMIF(月間集計シート!$M$50:$M$69,$G416,月間集計シート!P$50:P$69)*S$2</f>
        <v>0</v>
      </c>
      <c r="T416" s="88">
        <f>SUMIF(月間集計シート!$M$50:$M$69,$G416,月間集計シート!Q$50:Q$69)*T$2</f>
        <v>0</v>
      </c>
      <c r="U416" s="88">
        <f>SUMIF(月間集計シート!$M$50:$M$69,$G416,月間集計シート!R$50:R$69)*U$2</f>
        <v>0</v>
      </c>
      <c r="V416" s="88">
        <f>SUMIF(月間集計シート!$M$50:$M$69,$G416,月間集計シート!S$50:S$69)*V$2</f>
        <v>0</v>
      </c>
      <c r="W416" s="88">
        <f>SUMIF(月間集計シート!$M$50:$M$69,$G416,月間集計シート!T$50:T$69)*W$2</f>
        <v>0</v>
      </c>
      <c r="X416" s="88">
        <f>SUMIF(月間集計シート!$M$71:$M$90,$G416,月間集計シート!N$71:N$90)*X$2</f>
        <v>0</v>
      </c>
      <c r="Y416" s="88">
        <f>SUMIF(月間集計シート!$M$71:$M$90,$G416,月間集計シート!O$71:O$90)*Y$2</f>
        <v>0</v>
      </c>
      <c r="Z416" s="88">
        <f>SUMIF(月間集計シート!$M$71:$M$90,$G416,月間集計シート!P$71:P$90)*Z$2</f>
        <v>0</v>
      </c>
      <c r="AA416" s="88">
        <f>SUMIF(月間集計シート!$M$71:$M$90,$G416,月間集計シート!Q$71:Q$90)*AA$2</f>
        <v>0</v>
      </c>
      <c r="AB416" s="88">
        <f>SUMIF(月間集計シート!$M$71:$M$90,$G416,月間集計シート!R$71:R$90)*AB$2</f>
        <v>0</v>
      </c>
      <c r="AC416" s="88">
        <f>SUMIF(月間集計シート!$M$71:$M$90,$G416,月間集計シート!S$71:S$90)*AC$2</f>
        <v>0</v>
      </c>
      <c r="AD416" s="88">
        <f>SUMIF(月間集計シート!$M$71:$M$90,$G416,月間集計シート!T$71:T$90)*AD$2</f>
        <v>0</v>
      </c>
      <c r="AE416" s="88">
        <f>SUMIF(月間集計シート!$M$92:$M$111,$G416,月間集計シート!N$92:N$111)*AE$2</f>
        <v>0</v>
      </c>
      <c r="AF416" s="88">
        <f>SUMIF(月間集計シート!$M$92:$M$111,$G416,月間集計シート!O$92:O$111)*AF$2</f>
        <v>0</v>
      </c>
      <c r="AG416" s="88">
        <f>SUMIF(月間集計シート!$M$92:$M$111,$G416,月間集計シート!P$92:P$111)*AG$2</f>
        <v>0</v>
      </c>
      <c r="AH416" s="88">
        <f>SUMIF(月間集計シート!$M$92:$M$111,$G416,月間集計シート!Q$92:Q$111)*AH$2</f>
        <v>0</v>
      </c>
      <c r="AI416" s="88">
        <f>SUMIF(月間集計シート!$M$92:$M$111,$G416,月間集計シート!R$92:R$111)*AI$2</f>
        <v>0</v>
      </c>
      <c r="AJ416" s="88">
        <f>SUMIF(月間集計シート!$M$92:$M$111,$G416,月間集計シート!S$92:S$111)*AJ$2</f>
        <v>0</v>
      </c>
      <c r="AK416" s="88">
        <f>SUMIF(月間集計シート!$M$92:$M$111,$G416,月間集計シート!T$92:T$111)*AK$2</f>
        <v>0</v>
      </c>
      <c r="AL416" s="88">
        <f>SUMIF(月間集計シート!$M$113:$M$132,$G416,月間集計シート!N$113:N$132)*AL$2</f>
        <v>0</v>
      </c>
      <c r="AM416" s="88">
        <f>SUMIF(月間集計シート!$M$113:$M$132,$G416,月間集計シート!O$113:O$132)*AM$2</f>
        <v>0</v>
      </c>
      <c r="AN416" s="88">
        <f>SUMIF(月間集計シート!$M$113:$M$132,$G416,月間集計シート!P$113:P$132)*AN$2</f>
        <v>0</v>
      </c>
      <c r="AO416" s="88">
        <f>SUMIF(月間集計シート!$M$113:$M$132,$G416,月間集計シート!Q$113:Q$132)*AO$2</f>
        <v>0</v>
      </c>
      <c r="AP416" s="88">
        <f>SUMIF(月間集計シート!$M$113:$M$132,$G416,月間集計シート!R$113:R$132)*AP$2</f>
        <v>0</v>
      </c>
      <c r="AQ416" s="88">
        <f>SUMIF(月間集計シート!$M$113:$M$132,$G416,月間集計シート!S$113:S$132)*AQ$2</f>
        <v>0</v>
      </c>
      <c r="AR416" s="88">
        <f>SUMIF(月間集計シート!$M$113:$M$132,$G416,月間集計シート!T$113:T$132)*AR$2</f>
        <v>0</v>
      </c>
      <c r="AS416" s="88">
        <f>SUMIF(月間集計シート!$M$134:$M$153,$G416,月間集計シート!N$134:N$153)*AS$2</f>
        <v>0</v>
      </c>
      <c r="AT416" s="88">
        <f>SUMIF(月間集計シート!$M$134:$M$153,$G416,月間集計シート!O$134:O$153)*AT$2</f>
        <v>0</v>
      </c>
      <c r="AU416" s="88">
        <f>SUMIF(月間集計シート!$M$134:$M$153,$G416,月間集計シート!P$134:P$153)*AU$2</f>
        <v>0</v>
      </c>
      <c r="AV416" s="88">
        <f>SUMIF(月間集計シート!$M$134:$M$153,$G416,月間集計シート!Q$134:Q$153)*AV$2</f>
        <v>0</v>
      </c>
      <c r="AW416" s="88">
        <f>SUMIF(月間集計シート!$M$134:$M$153,$G416,月間集計シート!R$134:R$153)*AW$2</f>
        <v>0</v>
      </c>
      <c r="AX416" s="88">
        <f>SUMIF(月間集計シート!$M$134:$M$153,$G416,月間集計シート!S$134:S$153)*AX$2</f>
        <v>0</v>
      </c>
      <c r="AY416" s="88">
        <f>SUMIF(月間集計シート!$M$134:$M$153,$G416,月間集計シート!T$134:T$153)*AY$2</f>
        <v>0</v>
      </c>
    </row>
    <row r="417" spans="1:51" ht="14.25" thickBot="1">
      <c r="A417">
        <v>5</v>
      </c>
      <c r="B417" s="120">
        <f t="shared" si="191"/>
        <v>0</v>
      </c>
      <c r="C417" s="120" t="str">
        <f t="shared" si="191"/>
        <v/>
      </c>
      <c r="D417" s="137"/>
      <c r="E417" s="150" t="str">
        <f>工種!A69</f>
        <v>90103</v>
      </c>
      <c r="F417" s="119" t="str">
        <f>工種!B69</f>
        <v>管理業務：標準化・開発業務改善作業</v>
      </c>
      <c r="G417" s="116" t="str">
        <f t="shared" si="188"/>
        <v>090103</v>
      </c>
      <c r="H417" s="88">
        <f t="shared" si="190"/>
        <v>0</v>
      </c>
      <c r="I417" s="132"/>
      <c r="J417" s="88">
        <f>SUMIF(月間集計シート!$M$29:$M$48,$G417,月間集計シート!N$29:N$48)*J$2</f>
        <v>0</v>
      </c>
      <c r="K417" s="88">
        <f>SUMIF(月間集計シート!$M$29:$M$48,$G417,月間集計シート!O$29:O$48)*K$2</f>
        <v>0</v>
      </c>
      <c r="L417" s="88">
        <f>SUMIF(月間集計シート!$M$29:$M$48,$G417,月間集計シート!P$29:P$48)*L$2</f>
        <v>0</v>
      </c>
      <c r="M417" s="88">
        <f>SUMIF(月間集計シート!$M$29:$M$48,$G417,月間集計シート!Q$29:Q$48)*M$2</f>
        <v>0</v>
      </c>
      <c r="N417" s="88">
        <f>SUMIF(月間集計シート!$M$29:$M$48,$G417,月間集計シート!R$29:R$48)*N$2</f>
        <v>0</v>
      </c>
      <c r="O417" s="88">
        <f>SUMIF(月間集計シート!$M$29:$M$48,$G417,月間集計シート!S$29:S$48)*O$2</f>
        <v>0</v>
      </c>
      <c r="P417" s="88">
        <f>SUMIF(月間集計シート!$M$29:$M$48,$G417,月間集計シート!T$29:T$48)*P$2</f>
        <v>0</v>
      </c>
      <c r="Q417" s="88">
        <f>SUMIF(月間集計シート!$M$50:$M$69,$G417,月間集計シート!N$50:N$69)*Q$2</f>
        <v>0</v>
      </c>
      <c r="R417" s="88">
        <f>SUMIF(月間集計シート!$M$50:$M$69,$G417,月間集計シート!O$50:O$69)*R$2</f>
        <v>0</v>
      </c>
      <c r="S417" s="88">
        <f>SUMIF(月間集計シート!$M$50:$M$69,$G417,月間集計シート!P$50:P$69)*S$2</f>
        <v>0</v>
      </c>
      <c r="T417" s="88">
        <f>SUMIF(月間集計シート!$M$50:$M$69,$G417,月間集計シート!Q$50:Q$69)*T$2</f>
        <v>0</v>
      </c>
      <c r="U417" s="88">
        <f>SUMIF(月間集計シート!$M$50:$M$69,$G417,月間集計シート!R$50:R$69)*U$2</f>
        <v>0</v>
      </c>
      <c r="V417" s="88">
        <f>SUMIF(月間集計シート!$M$50:$M$69,$G417,月間集計シート!S$50:S$69)*V$2</f>
        <v>0</v>
      </c>
      <c r="W417" s="88">
        <f>SUMIF(月間集計シート!$M$50:$M$69,$G417,月間集計シート!T$50:T$69)*W$2</f>
        <v>0</v>
      </c>
      <c r="X417" s="88">
        <f>SUMIF(月間集計シート!$M$71:$M$90,$G417,月間集計シート!N$71:N$90)*X$2</f>
        <v>0</v>
      </c>
      <c r="Y417" s="88">
        <f>SUMIF(月間集計シート!$M$71:$M$90,$G417,月間集計シート!O$71:O$90)*Y$2</f>
        <v>0</v>
      </c>
      <c r="Z417" s="88">
        <f>SUMIF(月間集計シート!$M$71:$M$90,$G417,月間集計シート!P$71:P$90)*Z$2</f>
        <v>0</v>
      </c>
      <c r="AA417" s="88">
        <f>SUMIF(月間集計シート!$M$71:$M$90,$G417,月間集計シート!Q$71:Q$90)*AA$2</f>
        <v>0</v>
      </c>
      <c r="AB417" s="88">
        <f>SUMIF(月間集計シート!$M$71:$M$90,$G417,月間集計シート!R$71:R$90)*AB$2</f>
        <v>0</v>
      </c>
      <c r="AC417" s="88">
        <f>SUMIF(月間集計シート!$M$71:$M$90,$G417,月間集計シート!S$71:S$90)*AC$2</f>
        <v>0</v>
      </c>
      <c r="AD417" s="88">
        <f>SUMIF(月間集計シート!$M$71:$M$90,$G417,月間集計シート!T$71:T$90)*AD$2</f>
        <v>0</v>
      </c>
      <c r="AE417" s="88">
        <f>SUMIF(月間集計シート!$M$92:$M$111,$G417,月間集計シート!N$92:N$111)*AE$2</f>
        <v>0</v>
      </c>
      <c r="AF417" s="88">
        <f>SUMIF(月間集計シート!$M$92:$M$111,$G417,月間集計シート!O$92:O$111)*AF$2</f>
        <v>0</v>
      </c>
      <c r="AG417" s="88">
        <f>SUMIF(月間集計シート!$M$92:$M$111,$G417,月間集計シート!P$92:P$111)*AG$2</f>
        <v>0</v>
      </c>
      <c r="AH417" s="88">
        <f>SUMIF(月間集計シート!$M$92:$M$111,$G417,月間集計シート!Q$92:Q$111)*AH$2</f>
        <v>0</v>
      </c>
      <c r="AI417" s="88">
        <f>SUMIF(月間集計シート!$M$92:$M$111,$G417,月間集計シート!R$92:R$111)*AI$2</f>
        <v>0</v>
      </c>
      <c r="AJ417" s="88">
        <f>SUMIF(月間集計シート!$M$92:$M$111,$G417,月間集計シート!S$92:S$111)*AJ$2</f>
        <v>0</v>
      </c>
      <c r="AK417" s="88">
        <f>SUMIF(月間集計シート!$M$92:$M$111,$G417,月間集計シート!T$92:T$111)*AK$2</f>
        <v>0</v>
      </c>
      <c r="AL417" s="88">
        <f>SUMIF(月間集計シート!$M$113:$M$132,$G417,月間集計シート!N$113:N$132)*AL$2</f>
        <v>0</v>
      </c>
      <c r="AM417" s="88">
        <f>SUMIF(月間集計シート!$M$113:$M$132,$G417,月間集計シート!O$113:O$132)*AM$2</f>
        <v>0</v>
      </c>
      <c r="AN417" s="88">
        <f>SUMIF(月間集計シート!$M$113:$M$132,$G417,月間集計シート!P$113:P$132)*AN$2</f>
        <v>0</v>
      </c>
      <c r="AO417" s="88">
        <f>SUMIF(月間集計シート!$M$113:$M$132,$G417,月間集計シート!Q$113:Q$132)*AO$2</f>
        <v>0</v>
      </c>
      <c r="AP417" s="88">
        <f>SUMIF(月間集計シート!$M$113:$M$132,$G417,月間集計シート!R$113:R$132)*AP$2</f>
        <v>0</v>
      </c>
      <c r="AQ417" s="88">
        <f>SUMIF(月間集計シート!$M$113:$M$132,$G417,月間集計シート!S$113:S$132)*AQ$2</f>
        <v>0</v>
      </c>
      <c r="AR417" s="88">
        <f>SUMIF(月間集計シート!$M$113:$M$132,$G417,月間集計シート!T$113:T$132)*AR$2</f>
        <v>0</v>
      </c>
      <c r="AS417" s="88">
        <f>SUMIF(月間集計シート!$M$134:$M$153,$G417,月間集計シート!N$134:N$153)*AS$2</f>
        <v>0</v>
      </c>
      <c r="AT417" s="88">
        <f>SUMIF(月間集計シート!$M$134:$M$153,$G417,月間集計シート!O$134:O$153)*AT$2</f>
        <v>0</v>
      </c>
      <c r="AU417" s="88">
        <f>SUMIF(月間集計シート!$M$134:$M$153,$G417,月間集計シート!P$134:P$153)*AU$2</f>
        <v>0</v>
      </c>
      <c r="AV417" s="88">
        <f>SUMIF(月間集計シート!$M$134:$M$153,$G417,月間集計シート!Q$134:Q$153)*AV$2</f>
        <v>0</v>
      </c>
      <c r="AW417" s="88">
        <f>SUMIF(月間集計シート!$M$134:$M$153,$G417,月間集計シート!R$134:R$153)*AW$2</f>
        <v>0</v>
      </c>
      <c r="AX417" s="88">
        <f>SUMIF(月間集計シート!$M$134:$M$153,$G417,月間集計シート!S$134:S$153)*AX$2</f>
        <v>0</v>
      </c>
      <c r="AY417" s="88">
        <f>SUMIF(月間集計シート!$M$134:$M$153,$G417,月間集計シート!T$134:T$153)*AY$2</f>
        <v>0</v>
      </c>
    </row>
    <row r="418" spans="1:51" ht="14.25" thickBot="1">
      <c r="A418">
        <v>5</v>
      </c>
      <c r="B418" s="120">
        <f t="shared" si="191"/>
        <v>0</v>
      </c>
      <c r="C418" s="120" t="str">
        <f t="shared" si="191"/>
        <v/>
      </c>
      <c r="D418" s="137"/>
      <c r="E418" s="150" t="str">
        <f>工種!A70</f>
        <v>90104</v>
      </c>
      <c r="F418" s="119" t="str">
        <f>工種!B70</f>
        <v>管理業務：開発業務の引継ぎ</v>
      </c>
      <c r="G418" s="116" t="str">
        <f t="shared" si="188"/>
        <v>090104</v>
      </c>
      <c r="H418" s="88">
        <f t="shared" si="190"/>
        <v>0</v>
      </c>
      <c r="I418" s="132"/>
      <c r="J418" s="88">
        <f>SUMIF(月間集計シート!$M$29:$M$48,$G418,月間集計シート!N$29:N$48)*J$2</f>
        <v>0</v>
      </c>
      <c r="K418" s="88">
        <f>SUMIF(月間集計シート!$M$29:$M$48,$G418,月間集計シート!O$29:O$48)*K$2</f>
        <v>0</v>
      </c>
      <c r="L418" s="88">
        <f>SUMIF(月間集計シート!$M$29:$M$48,$G418,月間集計シート!P$29:P$48)*L$2</f>
        <v>0</v>
      </c>
      <c r="M418" s="88">
        <f>SUMIF(月間集計シート!$M$29:$M$48,$G418,月間集計シート!Q$29:Q$48)*M$2</f>
        <v>0</v>
      </c>
      <c r="N418" s="88">
        <f>SUMIF(月間集計シート!$M$29:$M$48,$G418,月間集計シート!R$29:R$48)*N$2</f>
        <v>0</v>
      </c>
      <c r="O418" s="88">
        <f>SUMIF(月間集計シート!$M$29:$M$48,$G418,月間集計シート!S$29:S$48)*O$2</f>
        <v>0</v>
      </c>
      <c r="P418" s="88">
        <f>SUMIF(月間集計シート!$M$29:$M$48,$G418,月間集計シート!T$29:T$48)*P$2</f>
        <v>0</v>
      </c>
      <c r="Q418" s="88">
        <f>SUMIF(月間集計シート!$M$50:$M$69,$G418,月間集計シート!N$50:N$69)*Q$2</f>
        <v>0</v>
      </c>
      <c r="R418" s="88">
        <f>SUMIF(月間集計シート!$M$50:$M$69,$G418,月間集計シート!O$50:O$69)*R$2</f>
        <v>0</v>
      </c>
      <c r="S418" s="88">
        <f>SUMIF(月間集計シート!$M$50:$M$69,$G418,月間集計シート!P$50:P$69)*S$2</f>
        <v>0</v>
      </c>
      <c r="T418" s="88">
        <f>SUMIF(月間集計シート!$M$50:$M$69,$G418,月間集計シート!Q$50:Q$69)*T$2</f>
        <v>0</v>
      </c>
      <c r="U418" s="88">
        <f>SUMIF(月間集計シート!$M$50:$M$69,$G418,月間集計シート!R$50:R$69)*U$2</f>
        <v>0</v>
      </c>
      <c r="V418" s="88">
        <f>SUMIF(月間集計シート!$M$50:$M$69,$G418,月間集計シート!S$50:S$69)*V$2</f>
        <v>0</v>
      </c>
      <c r="W418" s="88">
        <f>SUMIF(月間集計シート!$M$50:$M$69,$G418,月間集計シート!T$50:T$69)*W$2</f>
        <v>0</v>
      </c>
      <c r="X418" s="88">
        <f>SUMIF(月間集計シート!$M$71:$M$90,$G418,月間集計シート!N$71:N$90)*X$2</f>
        <v>0</v>
      </c>
      <c r="Y418" s="88">
        <f>SUMIF(月間集計シート!$M$71:$M$90,$G418,月間集計シート!O$71:O$90)*Y$2</f>
        <v>0</v>
      </c>
      <c r="Z418" s="88">
        <f>SUMIF(月間集計シート!$M$71:$M$90,$G418,月間集計シート!P$71:P$90)*Z$2</f>
        <v>0</v>
      </c>
      <c r="AA418" s="88">
        <f>SUMIF(月間集計シート!$M$71:$M$90,$G418,月間集計シート!Q$71:Q$90)*AA$2</f>
        <v>0</v>
      </c>
      <c r="AB418" s="88">
        <f>SUMIF(月間集計シート!$M$71:$M$90,$G418,月間集計シート!R$71:R$90)*AB$2</f>
        <v>0</v>
      </c>
      <c r="AC418" s="88">
        <f>SUMIF(月間集計シート!$M$71:$M$90,$G418,月間集計シート!S$71:S$90)*AC$2</f>
        <v>0</v>
      </c>
      <c r="AD418" s="88">
        <f>SUMIF(月間集計シート!$M$71:$M$90,$G418,月間集計シート!T$71:T$90)*AD$2</f>
        <v>0</v>
      </c>
      <c r="AE418" s="88">
        <f>SUMIF(月間集計シート!$M$92:$M$111,$G418,月間集計シート!N$92:N$111)*AE$2</f>
        <v>0</v>
      </c>
      <c r="AF418" s="88">
        <f>SUMIF(月間集計シート!$M$92:$M$111,$G418,月間集計シート!O$92:O$111)*AF$2</f>
        <v>0</v>
      </c>
      <c r="AG418" s="88">
        <f>SUMIF(月間集計シート!$M$92:$M$111,$G418,月間集計シート!P$92:P$111)*AG$2</f>
        <v>0</v>
      </c>
      <c r="AH418" s="88">
        <f>SUMIF(月間集計シート!$M$92:$M$111,$G418,月間集計シート!Q$92:Q$111)*AH$2</f>
        <v>0</v>
      </c>
      <c r="AI418" s="88">
        <f>SUMIF(月間集計シート!$M$92:$M$111,$G418,月間集計シート!R$92:R$111)*AI$2</f>
        <v>0</v>
      </c>
      <c r="AJ418" s="88">
        <f>SUMIF(月間集計シート!$M$92:$M$111,$G418,月間集計シート!S$92:S$111)*AJ$2</f>
        <v>0</v>
      </c>
      <c r="AK418" s="88">
        <f>SUMIF(月間集計シート!$M$92:$M$111,$G418,月間集計シート!T$92:T$111)*AK$2</f>
        <v>0</v>
      </c>
      <c r="AL418" s="88">
        <f>SUMIF(月間集計シート!$M$113:$M$132,$G418,月間集計シート!N$113:N$132)*AL$2</f>
        <v>0</v>
      </c>
      <c r="AM418" s="88">
        <f>SUMIF(月間集計シート!$M$113:$M$132,$G418,月間集計シート!O$113:O$132)*AM$2</f>
        <v>0</v>
      </c>
      <c r="AN418" s="88">
        <f>SUMIF(月間集計シート!$M$113:$M$132,$G418,月間集計シート!P$113:P$132)*AN$2</f>
        <v>0</v>
      </c>
      <c r="AO418" s="88">
        <f>SUMIF(月間集計シート!$M$113:$M$132,$G418,月間集計シート!Q$113:Q$132)*AO$2</f>
        <v>0</v>
      </c>
      <c r="AP418" s="88">
        <f>SUMIF(月間集計シート!$M$113:$M$132,$G418,月間集計シート!R$113:R$132)*AP$2</f>
        <v>0</v>
      </c>
      <c r="AQ418" s="88">
        <f>SUMIF(月間集計シート!$M$113:$M$132,$G418,月間集計シート!S$113:S$132)*AQ$2</f>
        <v>0</v>
      </c>
      <c r="AR418" s="88">
        <f>SUMIF(月間集計シート!$M$113:$M$132,$G418,月間集計シート!T$113:T$132)*AR$2</f>
        <v>0</v>
      </c>
      <c r="AS418" s="88">
        <f>SUMIF(月間集計シート!$M$134:$M$153,$G418,月間集計シート!N$134:N$153)*AS$2</f>
        <v>0</v>
      </c>
      <c r="AT418" s="88">
        <f>SUMIF(月間集計シート!$M$134:$M$153,$G418,月間集計シート!O$134:O$153)*AT$2</f>
        <v>0</v>
      </c>
      <c r="AU418" s="88">
        <f>SUMIF(月間集計シート!$M$134:$M$153,$G418,月間集計シート!P$134:P$153)*AU$2</f>
        <v>0</v>
      </c>
      <c r="AV418" s="88">
        <f>SUMIF(月間集計シート!$M$134:$M$153,$G418,月間集計シート!Q$134:Q$153)*AV$2</f>
        <v>0</v>
      </c>
      <c r="AW418" s="88">
        <f>SUMIF(月間集計シート!$M$134:$M$153,$G418,月間集計シート!R$134:R$153)*AW$2</f>
        <v>0</v>
      </c>
      <c r="AX418" s="88">
        <f>SUMIF(月間集計シート!$M$134:$M$153,$G418,月間集計シート!S$134:S$153)*AX$2</f>
        <v>0</v>
      </c>
      <c r="AY418" s="88">
        <f>SUMIF(月間集計シート!$M$134:$M$153,$G418,月間集計シート!T$134:T$153)*AY$2</f>
        <v>0</v>
      </c>
    </row>
    <row r="419" spans="1:51" ht="14.25" thickBot="1">
      <c r="A419">
        <v>5</v>
      </c>
      <c r="B419" s="120">
        <f t="shared" si="191"/>
        <v>0</v>
      </c>
      <c r="C419" s="120" t="str">
        <f t="shared" si="191"/>
        <v/>
      </c>
      <c r="D419" s="137"/>
      <c r="E419" s="150" t="str">
        <f>工種!A71</f>
        <v>90105</v>
      </c>
      <c r="F419" s="119" t="str">
        <f>工種!B71</f>
        <v>管理業務：SRB管理</v>
      </c>
      <c r="G419" s="116" t="str">
        <f t="shared" si="188"/>
        <v>090105</v>
      </c>
      <c r="H419" s="88">
        <f t="shared" si="190"/>
        <v>0</v>
      </c>
      <c r="I419" s="132"/>
      <c r="J419" s="88">
        <f>SUMIF(月間集計シート!$M$29:$M$48,$G419,月間集計シート!N$29:N$48)*J$2</f>
        <v>0</v>
      </c>
      <c r="K419" s="88">
        <f>SUMIF(月間集計シート!$M$29:$M$48,$G419,月間集計シート!O$29:O$48)*K$2</f>
        <v>0</v>
      </c>
      <c r="L419" s="88">
        <f>SUMIF(月間集計シート!$M$29:$M$48,$G419,月間集計シート!P$29:P$48)*L$2</f>
        <v>0</v>
      </c>
      <c r="M419" s="88">
        <f>SUMIF(月間集計シート!$M$29:$M$48,$G419,月間集計シート!Q$29:Q$48)*M$2</f>
        <v>0</v>
      </c>
      <c r="N419" s="88">
        <f>SUMIF(月間集計シート!$M$29:$M$48,$G419,月間集計シート!R$29:R$48)*N$2</f>
        <v>0</v>
      </c>
      <c r="O419" s="88">
        <f>SUMIF(月間集計シート!$M$29:$M$48,$G419,月間集計シート!S$29:S$48)*O$2</f>
        <v>0</v>
      </c>
      <c r="P419" s="88">
        <f>SUMIF(月間集計シート!$M$29:$M$48,$G419,月間集計シート!T$29:T$48)*P$2</f>
        <v>0</v>
      </c>
      <c r="Q419" s="88">
        <f>SUMIF(月間集計シート!$M$50:$M$69,$G419,月間集計シート!N$50:N$69)*Q$2</f>
        <v>0</v>
      </c>
      <c r="R419" s="88">
        <f>SUMIF(月間集計シート!$M$50:$M$69,$G419,月間集計シート!O$50:O$69)*R$2</f>
        <v>0</v>
      </c>
      <c r="S419" s="88">
        <f>SUMIF(月間集計シート!$M$50:$M$69,$G419,月間集計シート!P$50:P$69)*S$2</f>
        <v>0</v>
      </c>
      <c r="T419" s="88">
        <f>SUMIF(月間集計シート!$M$50:$M$69,$G419,月間集計シート!Q$50:Q$69)*T$2</f>
        <v>0</v>
      </c>
      <c r="U419" s="88">
        <f>SUMIF(月間集計シート!$M$50:$M$69,$G419,月間集計シート!R$50:R$69)*U$2</f>
        <v>0</v>
      </c>
      <c r="V419" s="88">
        <f>SUMIF(月間集計シート!$M$50:$M$69,$G419,月間集計シート!S$50:S$69)*V$2</f>
        <v>0</v>
      </c>
      <c r="W419" s="88">
        <f>SUMIF(月間集計シート!$M$50:$M$69,$G419,月間集計シート!T$50:T$69)*W$2</f>
        <v>0</v>
      </c>
      <c r="X419" s="88">
        <f>SUMIF(月間集計シート!$M$71:$M$90,$G419,月間集計シート!N$71:N$90)*X$2</f>
        <v>0</v>
      </c>
      <c r="Y419" s="88">
        <f>SUMIF(月間集計シート!$M$71:$M$90,$G419,月間集計シート!O$71:O$90)*Y$2</f>
        <v>0</v>
      </c>
      <c r="Z419" s="88">
        <f>SUMIF(月間集計シート!$M$71:$M$90,$G419,月間集計シート!P$71:P$90)*Z$2</f>
        <v>0</v>
      </c>
      <c r="AA419" s="88">
        <f>SUMIF(月間集計シート!$M$71:$M$90,$G419,月間集計シート!Q$71:Q$90)*AA$2</f>
        <v>0</v>
      </c>
      <c r="AB419" s="88">
        <f>SUMIF(月間集計シート!$M$71:$M$90,$G419,月間集計シート!R$71:R$90)*AB$2</f>
        <v>0</v>
      </c>
      <c r="AC419" s="88">
        <f>SUMIF(月間集計シート!$M$71:$M$90,$G419,月間集計シート!S$71:S$90)*AC$2</f>
        <v>0</v>
      </c>
      <c r="AD419" s="88">
        <f>SUMIF(月間集計シート!$M$71:$M$90,$G419,月間集計シート!T$71:T$90)*AD$2</f>
        <v>0</v>
      </c>
      <c r="AE419" s="88">
        <f>SUMIF(月間集計シート!$M$92:$M$111,$G419,月間集計シート!N$92:N$111)*AE$2</f>
        <v>0</v>
      </c>
      <c r="AF419" s="88">
        <f>SUMIF(月間集計シート!$M$92:$M$111,$G419,月間集計シート!O$92:O$111)*AF$2</f>
        <v>0</v>
      </c>
      <c r="AG419" s="88">
        <f>SUMIF(月間集計シート!$M$92:$M$111,$G419,月間集計シート!P$92:P$111)*AG$2</f>
        <v>0</v>
      </c>
      <c r="AH419" s="88">
        <f>SUMIF(月間集計シート!$M$92:$M$111,$G419,月間集計シート!Q$92:Q$111)*AH$2</f>
        <v>0</v>
      </c>
      <c r="AI419" s="88">
        <f>SUMIF(月間集計シート!$M$92:$M$111,$G419,月間集計シート!R$92:R$111)*AI$2</f>
        <v>0</v>
      </c>
      <c r="AJ419" s="88">
        <f>SUMIF(月間集計シート!$M$92:$M$111,$G419,月間集計シート!S$92:S$111)*AJ$2</f>
        <v>0</v>
      </c>
      <c r="AK419" s="88">
        <f>SUMIF(月間集計シート!$M$92:$M$111,$G419,月間集計シート!T$92:T$111)*AK$2</f>
        <v>0</v>
      </c>
      <c r="AL419" s="88">
        <f>SUMIF(月間集計シート!$M$113:$M$132,$G419,月間集計シート!N$113:N$132)*AL$2</f>
        <v>0</v>
      </c>
      <c r="AM419" s="88">
        <f>SUMIF(月間集計シート!$M$113:$M$132,$G419,月間集計シート!O$113:O$132)*AM$2</f>
        <v>0</v>
      </c>
      <c r="AN419" s="88">
        <f>SUMIF(月間集計シート!$M$113:$M$132,$G419,月間集計シート!P$113:P$132)*AN$2</f>
        <v>0</v>
      </c>
      <c r="AO419" s="88">
        <f>SUMIF(月間集計シート!$M$113:$M$132,$G419,月間集計シート!Q$113:Q$132)*AO$2</f>
        <v>0</v>
      </c>
      <c r="AP419" s="88">
        <f>SUMIF(月間集計シート!$M$113:$M$132,$G419,月間集計シート!R$113:R$132)*AP$2</f>
        <v>0</v>
      </c>
      <c r="AQ419" s="88">
        <f>SUMIF(月間集計シート!$M$113:$M$132,$G419,月間集計シート!S$113:S$132)*AQ$2</f>
        <v>0</v>
      </c>
      <c r="AR419" s="88">
        <f>SUMIF(月間集計シート!$M$113:$M$132,$G419,月間集計シート!T$113:T$132)*AR$2</f>
        <v>0</v>
      </c>
      <c r="AS419" s="88">
        <f>SUMIF(月間集計シート!$M$134:$M$153,$G419,月間集計シート!N$134:N$153)*AS$2</f>
        <v>0</v>
      </c>
      <c r="AT419" s="88">
        <f>SUMIF(月間集計シート!$M$134:$M$153,$G419,月間集計シート!O$134:O$153)*AT$2</f>
        <v>0</v>
      </c>
      <c r="AU419" s="88">
        <f>SUMIF(月間集計シート!$M$134:$M$153,$G419,月間集計シート!P$134:P$153)*AU$2</f>
        <v>0</v>
      </c>
      <c r="AV419" s="88">
        <f>SUMIF(月間集計シート!$M$134:$M$153,$G419,月間集計シート!Q$134:Q$153)*AV$2</f>
        <v>0</v>
      </c>
      <c r="AW419" s="88">
        <f>SUMIF(月間集計シート!$M$134:$M$153,$G419,月間集計シート!R$134:R$153)*AW$2</f>
        <v>0</v>
      </c>
      <c r="AX419" s="88">
        <f>SUMIF(月間集計シート!$M$134:$M$153,$G419,月間集計シート!S$134:S$153)*AX$2</f>
        <v>0</v>
      </c>
      <c r="AY419" s="88">
        <f>SUMIF(月間集計シート!$M$134:$M$153,$G419,月間集計シート!T$134:T$153)*AY$2</f>
        <v>0</v>
      </c>
    </row>
    <row r="420" spans="1:51" ht="14.25" thickBot="1">
      <c r="A420">
        <v>5</v>
      </c>
      <c r="B420" s="120">
        <f t="shared" si="191"/>
        <v>0</v>
      </c>
      <c r="C420" s="120" t="str">
        <f t="shared" si="191"/>
        <v/>
      </c>
      <c r="D420" s="137"/>
      <c r="E420" s="150" t="str">
        <f>工種!A72</f>
        <v>90107</v>
      </c>
      <c r="F420" s="119" t="str">
        <f>工種!B72</f>
        <v>管理業務：開発事務作業</v>
      </c>
      <c r="G420" s="116" t="str">
        <f t="shared" si="188"/>
        <v>090107</v>
      </c>
      <c r="H420" s="88">
        <f t="shared" si="190"/>
        <v>0</v>
      </c>
      <c r="I420" s="132"/>
      <c r="J420" s="88">
        <f>SUMIF(月間集計シート!$M$29:$M$48,$G420,月間集計シート!N$29:N$48)*J$2</f>
        <v>0</v>
      </c>
      <c r="K420" s="88">
        <f>SUMIF(月間集計シート!$M$29:$M$48,$G420,月間集計シート!O$29:O$48)*K$2</f>
        <v>0</v>
      </c>
      <c r="L420" s="88">
        <f>SUMIF(月間集計シート!$M$29:$M$48,$G420,月間集計シート!P$29:P$48)*L$2</f>
        <v>0</v>
      </c>
      <c r="M420" s="88">
        <f>SUMIF(月間集計シート!$M$29:$M$48,$G420,月間集計シート!Q$29:Q$48)*M$2</f>
        <v>0</v>
      </c>
      <c r="N420" s="88">
        <f>SUMIF(月間集計シート!$M$29:$M$48,$G420,月間集計シート!R$29:R$48)*N$2</f>
        <v>0</v>
      </c>
      <c r="O420" s="88">
        <f>SUMIF(月間集計シート!$M$29:$M$48,$G420,月間集計シート!S$29:S$48)*O$2</f>
        <v>0</v>
      </c>
      <c r="P420" s="88">
        <f>SUMIF(月間集計シート!$M$29:$M$48,$G420,月間集計シート!T$29:T$48)*P$2</f>
        <v>0</v>
      </c>
      <c r="Q420" s="88">
        <f>SUMIF(月間集計シート!$M$50:$M$69,$G420,月間集計シート!N$50:N$69)*Q$2</f>
        <v>0</v>
      </c>
      <c r="R420" s="88">
        <f>SUMIF(月間集計シート!$M$50:$M$69,$G420,月間集計シート!O$50:O$69)*R$2</f>
        <v>0</v>
      </c>
      <c r="S420" s="88">
        <f>SUMIF(月間集計シート!$M$50:$M$69,$G420,月間集計シート!P$50:P$69)*S$2</f>
        <v>0</v>
      </c>
      <c r="T420" s="88">
        <f>SUMIF(月間集計シート!$M$50:$M$69,$G420,月間集計シート!Q$50:Q$69)*T$2</f>
        <v>0</v>
      </c>
      <c r="U420" s="88">
        <f>SUMIF(月間集計シート!$M$50:$M$69,$G420,月間集計シート!R$50:R$69)*U$2</f>
        <v>0</v>
      </c>
      <c r="V420" s="88">
        <f>SUMIF(月間集計シート!$M$50:$M$69,$G420,月間集計シート!S$50:S$69)*V$2</f>
        <v>0</v>
      </c>
      <c r="W420" s="88">
        <f>SUMIF(月間集計シート!$M$50:$M$69,$G420,月間集計シート!T$50:T$69)*W$2</f>
        <v>0</v>
      </c>
      <c r="X420" s="88">
        <f>SUMIF(月間集計シート!$M$71:$M$90,$G420,月間集計シート!N$71:N$90)*X$2</f>
        <v>0</v>
      </c>
      <c r="Y420" s="88">
        <f>SUMIF(月間集計シート!$M$71:$M$90,$G420,月間集計シート!O$71:O$90)*Y$2</f>
        <v>0</v>
      </c>
      <c r="Z420" s="88">
        <f>SUMIF(月間集計シート!$M$71:$M$90,$G420,月間集計シート!P$71:P$90)*Z$2</f>
        <v>0</v>
      </c>
      <c r="AA420" s="88">
        <f>SUMIF(月間集計シート!$M$71:$M$90,$G420,月間集計シート!Q$71:Q$90)*AA$2</f>
        <v>0</v>
      </c>
      <c r="AB420" s="88">
        <f>SUMIF(月間集計シート!$M$71:$M$90,$G420,月間集計シート!R$71:R$90)*AB$2</f>
        <v>0</v>
      </c>
      <c r="AC420" s="88">
        <f>SUMIF(月間集計シート!$M$71:$M$90,$G420,月間集計シート!S$71:S$90)*AC$2</f>
        <v>0</v>
      </c>
      <c r="AD420" s="88">
        <f>SUMIF(月間集計シート!$M$71:$M$90,$G420,月間集計シート!T$71:T$90)*AD$2</f>
        <v>0</v>
      </c>
      <c r="AE420" s="88">
        <f>SUMIF(月間集計シート!$M$92:$M$111,$G420,月間集計シート!N$92:N$111)*AE$2</f>
        <v>0</v>
      </c>
      <c r="AF420" s="88">
        <f>SUMIF(月間集計シート!$M$92:$M$111,$G420,月間集計シート!O$92:O$111)*AF$2</f>
        <v>0</v>
      </c>
      <c r="AG420" s="88">
        <f>SUMIF(月間集計シート!$M$92:$M$111,$G420,月間集計シート!P$92:P$111)*AG$2</f>
        <v>0</v>
      </c>
      <c r="AH420" s="88">
        <f>SUMIF(月間集計シート!$M$92:$M$111,$G420,月間集計シート!Q$92:Q$111)*AH$2</f>
        <v>0</v>
      </c>
      <c r="AI420" s="88">
        <f>SUMIF(月間集計シート!$M$92:$M$111,$G420,月間集計シート!R$92:R$111)*AI$2</f>
        <v>0</v>
      </c>
      <c r="AJ420" s="88">
        <f>SUMIF(月間集計シート!$M$92:$M$111,$G420,月間集計シート!S$92:S$111)*AJ$2</f>
        <v>0</v>
      </c>
      <c r="AK420" s="88">
        <f>SUMIF(月間集計シート!$M$92:$M$111,$G420,月間集計シート!T$92:T$111)*AK$2</f>
        <v>0</v>
      </c>
      <c r="AL420" s="88">
        <f>SUMIF(月間集計シート!$M$113:$M$132,$G420,月間集計シート!N$113:N$132)*AL$2</f>
        <v>0</v>
      </c>
      <c r="AM420" s="88">
        <f>SUMIF(月間集計シート!$M$113:$M$132,$G420,月間集計シート!O$113:O$132)*AM$2</f>
        <v>0</v>
      </c>
      <c r="AN420" s="88">
        <f>SUMIF(月間集計シート!$M$113:$M$132,$G420,月間集計シート!P$113:P$132)*AN$2</f>
        <v>0</v>
      </c>
      <c r="AO420" s="88">
        <f>SUMIF(月間集計シート!$M$113:$M$132,$G420,月間集計シート!Q$113:Q$132)*AO$2</f>
        <v>0</v>
      </c>
      <c r="AP420" s="88">
        <f>SUMIF(月間集計シート!$M$113:$M$132,$G420,月間集計シート!R$113:R$132)*AP$2</f>
        <v>0</v>
      </c>
      <c r="AQ420" s="88">
        <f>SUMIF(月間集計シート!$M$113:$M$132,$G420,月間集計シート!S$113:S$132)*AQ$2</f>
        <v>0</v>
      </c>
      <c r="AR420" s="88">
        <f>SUMIF(月間集計シート!$M$113:$M$132,$G420,月間集計シート!T$113:T$132)*AR$2</f>
        <v>0</v>
      </c>
      <c r="AS420" s="88">
        <f>SUMIF(月間集計シート!$M$134:$M$153,$G420,月間集計シート!N$134:N$153)*AS$2</f>
        <v>0</v>
      </c>
      <c r="AT420" s="88">
        <f>SUMIF(月間集計シート!$M$134:$M$153,$G420,月間集計シート!O$134:O$153)*AT$2</f>
        <v>0</v>
      </c>
      <c r="AU420" s="88">
        <f>SUMIF(月間集計シート!$M$134:$M$153,$G420,月間集計シート!P$134:P$153)*AU$2</f>
        <v>0</v>
      </c>
      <c r="AV420" s="88">
        <f>SUMIF(月間集計シート!$M$134:$M$153,$G420,月間集計シート!Q$134:Q$153)*AV$2</f>
        <v>0</v>
      </c>
      <c r="AW420" s="88">
        <f>SUMIF(月間集計シート!$M$134:$M$153,$G420,月間集計シート!R$134:R$153)*AW$2</f>
        <v>0</v>
      </c>
      <c r="AX420" s="88">
        <f>SUMIF(月間集計シート!$M$134:$M$153,$G420,月間集計シート!S$134:S$153)*AX$2</f>
        <v>0</v>
      </c>
      <c r="AY420" s="88">
        <f>SUMIF(月間集計シート!$M$134:$M$153,$G420,月間集計シート!T$134:T$153)*AY$2</f>
        <v>0</v>
      </c>
    </row>
    <row r="421" spans="1:51" ht="14.25" thickBot="1">
      <c r="A421">
        <v>5</v>
      </c>
      <c r="B421" s="120">
        <f t="shared" si="191"/>
        <v>0</v>
      </c>
      <c r="C421" s="120" t="str">
        <f t="shared" si="191"/>
        <v/>
      </c>
      <c r="D421" s="137"/>
      <c r="E421" s="150" t="str">
        <f>工種!A73</f>
        <v>90108</v>
      </c>
      <c r="F421" s="119" t="str">
        <f>工種!B73</f>
        <v>管理業務：外部不具合分析</v>
      </c>
      <c r="G421" s="116" t="str">
        <f t="shared" si="188"/>
        <v>090108</v>
      </c>
      <c r="H421" s="88">
        <f t="shared" si="190"/>
        <v>0</v>
      </c>
      <c r="I421" s="132"/>
      <c r="J421" s="88">
        <f>SUMIF(月間集計シート!$M$29:$M$48,$G421,月間集計シート!N$29:N$48)*J$2</f>
        <v>0</v>
      </c>
      <c r="K421" s="88">
        <f>SUMIF(月間集計シート!$M$29:$M$48,$G421,月間集計シート!O$29:O$48)*K$2</f>
        <v>0</v>
      </c>
      <c r="L421" s="88">
        <f>SUMIF(月間集計シート!$M$29:$M$48,$G421,月間集計シート!P$29:P$48)*L$2</f>
        <v>0</v>
      </c>
      <c r="M421" s="88">
        <f>SUMIF(月間集計シート!$M$29:$M$48,$G421,月間集計シート!Q$29:Q$48)*M$2</f>
        <v>0</v>
      </c>
      <c r="N421" s="88">
        <f>SUMIF(月間集計シート!$M$29:$M$48,$G421,月間集計シート!R$29:R$48)*N$2</f>
        <v>0</v>
      </c>
      <c r="O421" s="88">
        <f>SUMIF(月間集計シート!$M$29:$M$48,$G421,月間集計シート!S$29:S$48)*O$2</f>
        <v>0</v>
      </c>
      <c r="P421" s="88">
        <f>SUMIF(月間集計シート!$M$29:$M$48,$G421,月間集計シート!T$29:T$48)*P$2</f>
        <v>0</v>
      </c>
      <c r="Q421" s="88">
        <f>SUMIF(月間集計シート!$M$50:$M$69,$G421,月間集計シート!N$50:N$69)*Q$2</f>
        <v>0</v>
      </c>
      <c r="R421" s="88">
        <f>SUMIF(月間集計シート!$M$50:$M$69,$G421,月間集計シート!O$50:O$69)*R$2</f>
        <v>0</v>
      </c>
      <c r="S421" s="88">
        <f>SUMIF(月間集計シート!$M$50:$M$69,$G421,月間集計シート!P$50:P$69)*S$2</f>
        <v>0</v>
      </c>
      <c r="T421" s="88">
        <f>SUMIF(月間集計シート!$M$50:$M$69,$G421,月間集計シート!Q$50:Q$69)*T$2</f>
        <v>0</v>
      </c>
      <c r="U421" s="88">
        <f>SUMIF(月間集計シート!$M$50:$M$69,$G421,月間集計シート!R$50:R$69)*U$2</f>
        <v>0</v>
      </c>
      <c r="V421" s="88">
        <f>SUMIF(月間集計シート!$M$50:$M$69,$G421,月間集計シート!S$50:S$69)*V$2</f>
        <v>0</v>
      </c>
      <c r="W421" s="88">
        <f>SUMIF(月間集計シート!$M$50:$M$69,$G421,月間集計シート!T$50:T$69)*W$2</f>
        <v>0</v>
      </c>
      <c r="X421" s="88">
        <f>SUMIF(月間集計シート!$M$71:$M$90,$G421,月間集計シート!N$71:N$90)*X$2</f>
        <v>0</v>
      </c>
      <c r="Y421" s="88">
        <f>SUMIF(月間集計シート!$M$71:$M$90,$G421,月間集計シート!O$71:O$90)*Y$2</f>
        <v>0</v>
      </c>
      <c r="Z421" s="88">
        <f>SUMIF(月間集計シート!$M$71:$M$90,$G421,月間集計シート!P$71:P$90)*Z$2</f>
        <v>0</v>
      </c>
      <c r="AA421" s="88">
        <f>SUMIF(月間集計シート!$M$71:$M$90,$G421,月間集計シート!Q$71:Q$90)*AA$2</f>
        <v>0</v>
      </c>
      <c r="AB421" s="88">
        <f>SUMIF(月間集計シート!$M$71:$M$90,$G421,月間集計シート!R$71:R$90)*AB$2</f>
        <v>0</v>
      </c>
      <c r="AC421" s="88">
        <f>SUMIF(月間集計シート!$M$71:$M$90,$G421,月間集計シート!S$71:S$90)*AC$2</f>
        <v>0</v>
      </c>
      <c r="AD421" s="88">
        <f>SUMIF(月間集計シート!$M$71:$M$90,$G421,月間集計シート!T$71:T$90)*AD$2</f>
        <v>0</v>
      </c>
      <c r="AE421" s="88">
        <f>SUMIF(月間集計シート!$M$92:$M$111,$G421,月間集計シート!N$92:N$111)*AE$2</f>
        <v>0</v>
      </c>
      <c r="AF421" s="88">
        <f>SUMIF(月間集計シート!$M$92:$M$111,$G421,月間集計シート!O$92:O$111)*AF$2</f>
        <v>0</v>
      </c>
      <c r="AG421" s="88">
        <f>SUMIF(月間集計シート!$M$92:$M$111,$G421,月間集計シート!P$92:P$111)*AG$2</f>
        <v>0</v>
      </c>
      <c r="AH421" s="88">
        <f>SUMIF(月間集計シート!$M$92:$M$111,$G421,月間集計シート!Q$92:Q$111)*AH$2</f>
        <v>0</v>
      </c>
      <c r="AI421" s="88">
        <f>SUMIF(月間集計シート!$M$92:$M$111,$G421,月間集計シート!R$92:R$111)*AI$2</f>
        <v>0</v>
      </c>
      <c r="AJ421" s="88">
        <f>SUMIF(月間集計シート!$M$92:$M$111,$G421,月間集計シート!S$92:S$111)*AJ$2</f>
        <v>0</v>
      </c>
      <c r="AK421" s="88">
        <f>SUMIF(月間集計シート!$M$92:$M$111,$G421,月間集計シート!T$92:T$111)*AK$2</f>
        <v>0</v>
      </c>
      <c r="AL421" s="88">
        <f>SUMIF(月間集計シート!$M$113:$M$132,$G421,月間集計シート!N$113:N$132)*AL$2</f>
        <v>0</v>
      </c>
      <c r="AM421" s="88">
        <f>SUMIF(月間集計シート!$M$113:$M$132,$G421,月間集計シート!O$113:O$132)*AM$2</f>
        <v>0</v>
      </c>
      <c r="AN421" s="88">
        <f>SUMIF(月間集計シート!$M$113:$M$132,$G421,月間集計シート!P$113:P$132)*AN$2</f>
        <v>0</v>
      </c>
      <c r="AO421" s="88">
        <f>SUMIF(月間集計シート!$M$113:$M$132,$G421,月間集計シート!Q$113:Q$132)*AO$2</f>
        <v>0</v>
      </c>
      <c r="AP421" s="88">
        <f>SUMIF(月間集計シート!$M$113:$M$132,$G421,月間集計シート!R$113:R$132)*AP$2</f>
        <v>0</v>
      </c>
      <c r="AQ421" s="88">
        <f>SUMIF(月間集計シート!$M$113:$M$132,$G421,月間集計シート!S$113:S$132)*AQ$2</f>
        <v>0</v>
      </c>
      <c r="AR421" s="88">
        <f>SUMIF(月間集計シート!$M$113:$M$132,$G421,月間集計シート!T$113:T$132)*AR$2</f>
        <v>0</v>
      </c>
      <c r="AS421" s="88">
        <f>SUMIF(月間集計シート!$M$134:$M$153,$G421,月間集計シート!N$134:N$153)*AS$2</f>
        <v>0</v>
      </c>
      <c r="AT421" s="88">
        <f>SUMIF(月間集計シート!$M$134:$M$153,$G421,月間集計シート!O$134:O$153)*AT$2</f>
        <v>0</v>
      </c>
      <c r="AU421" s="88">
        <f>SUMIF(月間集計シート!$M$134:$M$153,$G421,月間集計シート!P$134:P$153)*AU$2</f>
        <v>0</v>
      </c>
      <c r="AV421" s="88">
        <f>SUMIF(月間集計シート!$M$134:$M$153,$G421,月間集計シート!Q$134:Q$153)*AV$2</f>
        <v>0</v>
      </c>
      <c r="AW421" s="88">
        <f>SUMIF(月間集計シート!$M$134:$M$153,$G421,月間集計シート!R$134:R$153)*AW$2</f>
        <v>0</v>
      </c>
      <c r="AX421" s="88">
        <f>SUMIF(月間集計シート!$M$134:$M$153,$G421,月間集計シート!S$134:S$153)*AX$2</f>
        <v>0</v>
      </c>
      <c r="AY421" s="88">
        <f>SUMIF(月間集計シート!$M$134:$M$153,$G421,月間集計シート!T$134:T$153)*AY$2</f>
        <v>0</v>
      </c>
    </row>
    <row r="422" spans="1:51" ht="14.25" thickBot="1">
      <c r="A422">
        <v>5</v>
      </c>
      <c r="B422" s="120">
        <f t="shared" si="191"/>
        <v>0</v>
      </c>
      <c r="C422" s="120" t="str">
        <f t="shared" si="191"/>
        <v/>
      </c>
      <c r="D422" s="137"/>
      <c r="E422" s="150" t="str">
        <f>工種!A74</f>
        <v>90110</v>
      </c>
      <c r="F422" s="119" t="str">
        <f>工種!B74</f>
        <v>管理業務：打合せ</v>
      </c>
      <c r="G422" s="116" t="str">
        <f t="shared" si="188"/>
        <v>090110</v>
      </c>
      <c r="H422" s="88">
        <f t="shared" si="190"/>
        <v>0</v>
      </c>
      <c r="I422" s="132"/>
      <c r="J422" s="88">
        <f>SUMIF(月間集計シート!$M$29:$M$48,$G422,月間集計シート!N$29:N$48)*J$2</f>
        <v>0</v>
      </c>
      <c r="K422" s="88">
        <f>SUMIF(月間集計シート!$M$29:$M$48,$G422,月間集計シート!O$29:O$48)*K$2</f>
        <v>0</v>
      </c>
      <c r="L422" s="88">
        <f>SUMIF(月間集計シート!$M$29:$M$48,$G422,月間集計シート!P$29:P$48)*L$2</f>
        <v>0</v>
      </c>
      <c r="M422" s="88">
        <f>SUMIF(月間集計シート!$M$29:$M$48,$G422,月間集計シート!Q$29:Q$48)*M$2</f>
        <v>0</v>
      </c>
      <c r="N422" s="88">
        <f>SUMIF(月間集計シート!$M$29:$M$48,$G422,月間集計シート!R$29:R$48)*N$2</f>
        <v>0</v>
      </c>
      <c r="O422" s="88">
        <f>SUMIF(月間集計シート!$M$29:$M$48,$G422,月間集計シート!S$29:S$48)*O$2</f>
        <v>0</v>
      </c>
      <c r="P422" s="88">
        <f>SUMIF(月間集計シート!$M$29:$M$48,$G422,月間集計シート!T$29:T$48)*P$2</f>
        <v>0</v>
      </c>
      <c r="Q422" s="88">
        <f>SUMIF(月間集計シート!$M$50:$M$69,$G422,月間集計シート!N$50:N$69)*Q$2</f>
        <v>0</v>
      </c>
      <c r="R422" s="88">
        <f>SUMIF(月間集計シート!$M$50:$M$69,$G422,月間集計シート!O$50:O$69)*R$2</f>
        <v>0</v>
      </c>
      <c r="S422" s="88">
        <f>SUMIF(月間集計シート!$M$50:$M$69,$G422,月間集計シート!P$50:P$69)*S$2</f>
        <v>0</v>
      </c>
      <c r="T422" s="88">
        <f>SUMIF(月間集計シート!$M$50:$M$69,$G422,月間集計シート!Q$50:Q$69)*T$2</f>
        <v>0</v>
      </c>
      <c r="U422" s="88">
        <f>SUMIF(月間集計シート!$M$50:$M$69,$G422,月間集計シート!R$50:R$69)*U$2</f>
        <v>0</v>
      </c>
      <c r="V422" s="88">
        <f>SUMIF(月間集計シート!$M$50:$M$69,$G422,月間集計シート!S$50:S$69)*V$2</f>
        <v>0</v>
      </c>
      <c r="W422" s="88">
        <f>SUMIF(月間集計シート!$M$50:$M$69,$G422,月間集計シート!T$50:T$69)*W$2</f>
        <v>0</v>
      </c>
      <c r="X422" s="88">
        <f>SUMIF(月間集計シート!$M$71:$M$90,$G422,月間集計シート!N$71:N$90)*X$2</f>
        <v>0</v>
      </c>
      <c r="Y422" s="88">
        <f>SUMIF(月間集計シート!$M$71:$M$90,$G422,月間集計シート!O$71:O$90)*Y$2</f>
        <v>0</v>
      </c>
      <c r="Z422" s="88">
        <f>SUMIF(月間集計シート!$M$71:$M$90,$G422,月間集計シート!P$71:P$90)*Z$2</f>
        <v>0</v>
      </c>
      <c r="AA422" s="88">
        <f>SUMIF(月間集計シート!$M$71:$M$90,$G422,月間集計シート!Q$71:Q$90)*AA$2</f>
        <v>0</v>
      </c>
      <c r="AB422" s="88">
        <f>SUMIF(月間集計シート!$M$71:$M$90,$G422,月間集計シート!R$71:R$90)*AB$2</f>
        <v>0</v>
      </c>
      <c r="AC422" s="88">
        <f>SUMIF(月間集計シート!$M$71:$M$90,$G422,月間集計シート!S$71:S$90)*AC$2</f>
        <v>0</v>
      </c>
      <c r="AD422" s="88">
        <f>SUMIF(月間集計シート!$M$71:$M$90,$G422,月間集計シート!T$71:T$90)*AD$2</f>
        <v>0</v>
      </c>
      <c r="AE422" s="88">
        <f>SUMIF(月間集計シート!$M$92:$M$111,$G422,月間集計シート!N$92:N$111)*AE$2</f>
        <v>0</v>
      </c>
      <c r="AF422" s="88">
        <f>SUMIF(月間集計シート!$M$92:$M$111,$G422,月間集計シート!O$92:O$111)*AF$2</f>
        <v>0</v>
      </c>
      <c r="AG422" s="88">
        <f>SUMIF(月間集計シート!$M$92:$M$111,$G422,月間集計シート!P$92:P$111)*AG$2</f>
        <v>0</v>
      </c>
      <c r="AH422" s="88">
        <f>SUMIF(月間集計シート!$M$92:$M$111,$G422,月間集計シート!Q$92:Q$111)*AH$2</f>
        <v>0</v>
      </c>
      <c r="AI422" s="88">
        <f>SUMIF(月間集計シート!$M$92:$M$111,$G422,月間集計シート!R$92:R$111)*AI$2</f>
        <v>0</v>
      </c>
      <c r="AJ422" s="88">
        <f>SUMIF(月間集計シート!$M$92:$M$111,$G422,月間集計シート!S$92:S$111)*AJ$2</f>
        <v>0</v>
      </c>
      <c r="AK422" s="88">
        <f>SUMIF(月間集計シート!$M$92:$M$111,$G422,月間集計シート!T$92:T$111)*AK$2</f>
        <v>0</v>
      </c>
      <c r="AL422" s="88">
        <f>SUMIF(月間集計シート!$M$113:$M$132,$G422,月間集計シート!N$113:N$132)*AL$2</f>
        <v>0</v>
      </c>
      <c r="AM422" s="88">
        <f>SUMIF(月間集計シート!$M$113:$M$132,$G422,月間集計シート!O$113:O$132)*AM$2</f>
        <v>0</v>
      </c>
      <c r="AN422" s="88">
        <f>SUMIF(月間集計シート!$M$113:$M$132,$G422,月間集計シート!P$113:P$132)*AN$2</f>
        <v>0</v>
      </c>
      <c r="AO422" s="88">
        <f>SUMIF(月間集計シート!$M$113:$M$132,$G422,月間集計シート!Q$113:Q$132)*AO$2</f>
        <v>0</v>
      </c>
      <c r="AP422" s="88">
        <f>SUMIF(月間集計シート!$M$113:$M$132,$G422,月間集計シート!R$113:R$132)*AP$2</f>
        <v>0</v>
      </c>
      <c r="AQ422" s="88">
        <f>SUMIF(月間集計シート!$M$113:$M$132,$G422,月間集計シート!S$113:S$132)*AQ$2</f>
        <v>0</v>
      </c>
      <c r="AR422" s="88">
        <f>SUMIF(月間集計シート!$M$113:$M$132,$G422,月間集計シート!T$113:T$132)*AR$2</f>
        <v>0</v>
      </c>
      <c r="AS422" s="88">
        <f>SUMIF(月間集計シート!$M$134:$M$153,$G422,月間集計シート!N$134:N$153)*AS$2</f>
        <v>0</v>
      </c>
      <c r="AT422" s="88">
        <f>SUMIF(月間集計シート!$M$134:$M$153,$G422,月間集計シート!O$134:O$153)*AT$2</f>
        <v>0</v>
      </c>
      <c r="AU422" s="88">
        <f>SUMIF(月間集計シート!$M$134:$M$153,$G422,月間集計シート!P$134:P$153)*AU$2</f>
        <v>0</v>
      </c>
      <c r="AV422" s="88">
        <f>SUMIF(月間集計シート!$M$134:$M$153,$G422,月間集計シート!Q$134:Q$153)*AV$2</f>
        <v>0</v>
      </c>
      <c r="AW422" s="88">
        <f>SUMIF(月間集計シート!$M$134:$M$153,$G422,月間集計シート!R$134:R$153)*AW$2</f>
        <v>0</v>
      </c>
      <c r="AX422" s="88">
        <f>SUMIF(月間集計シート!$M$134:$M$153,$G422,月間集計シート!S$134:S$153)*AX$2</f>
        <v>0</v>
      </c>
      <c r="AY422" s="88">
        <f>SUMIF(月間集計シート!$M$134:$M$153,$G422,月間集計シート!T$134:T$153)*AY$2</f>
        <v>0</v>
      </c>
    </row>
    <row r="423" spans="1:51" ht="14.25" thickBot="1">
      <c r="A423">
        <v>5</v>
      </c>
      <c r="B423" s="120">
        <f t="shared" si="191"/>
        <v>0</v>
      </c>
      <c r="C423" s="120" t="str">
        <f t="shared" si="191"/>
        <v/>
      </c>
      <c r="D423" s="137"/>
      <c r="E423" s="150" t="str">
        <f>工種!A75</f>
        <v>90111</v>
      </c>
      <c r="F423" s="119" t="str">
        <f>工種!B75</f>
        <v>管理業務：レビュー</v>
      </c>
      <c r="G423" s="116" t="str">
        <f t="shared" si="188"/>
        <v>090111</v>
      </c>
      <c r="H423" s="88">
        <f t="shared" si="190"/>
        <v>0</v>
      </c>
      <c r="I423" s="132"/>
      <c r="J423" s="88">
        <f>SUMIF(月間集計シート!$M$29:$M$48,$G423,月間集計シート!N$29:N$48)*J$2</f>
        <v>0</v>
      </c>
      <c r="K423" s="88">
        <f>SUMIF(月間集計シート!$M$29:$M$48,$G423,月間集計シート!O$29:O$48)*K$2</f>
        <v>0</v>
      </c>
      <c r="L423" s="88">
        <f>SUMIF(月間集計シート!$M$29:$M$48,$G423,月間集計シート!P$29:P$48)*L$2</f>
        <v>0</v>
      </c>
      <c r="M423" s="88">
        <f>SUMIF(月間集計シート!$M$29:$M$48,$G423,月間集計シート!Q$29:Q$48)*M$2</f>
        <v>0</v>
      </c>
      <c r="N423" s="88">
        <f>SUMIF(月間集計シート!$M$29:$M$48,$G423,月間集計シート!R$29:R$48)*N$2</f>
        <v>0</v>
      </c>
      <c r="O423" s="88">
        <f>SUMIF(月間集計シート!$M$29:$M$48,$G423,月間集計シート!S$29:S$48)*O$2</f>
        <v>0</v>
      </c>
      <c r="P423" s="88">
        <f>SUMIF(月間集計シート!$M$29:$M$48,$G423,月間集計シート!T$29:T$48)*P$2</f>
        <v>0</v>
      </c>
      <c r="Q423" s="88">
        <f>SUMIF(月間集計シート!$M$50:$M$69,$G423,月間集計シート!N$50:N$69)*Q$2</f>
        <v>0</v>
      </c>
      <c r="R423" s="88">
        <f>SUMIF(月間集計シート!$M$50:$M$69,$G423,月間集計シート!O$50:O$69)*R$2</f>
        <v>0</v>
      </c>
      <c r="S423" s="88">
        <f>SUMIF(月間集計シート!$M$50:$M$69,$G423,月間集計シート!P$50:P$69)*S$2</f>
        <v>0</v>
      </c>
      <c r="T423" s="88">
        <f>SUMIF(月間集計シート!$M$50:$M$69,$G423,月間集計シート!Q$50:Q$69)*T$2</f>
        <v>0</v>
      </c>
      <c r="U423" s="88">
        <f>SUMIF(月間集計シート!$M$50:$M$69,$G423,月間集計シート!R$50:R$69)*U$2</f>
        <v>0</v>
      </c>
      <c r="V423" s="88">
        <f>SUMIF(月間集計シート!$M$50:$M$69,$G423,月間集計シート!S$50:S$69)*V$2</f>
        <v>0</v>
      </c>
      <c r="W423" s="88">
        <f>SUMIF(月間集計シート!$M$50:$M$69,$G423,月間集計シート!T$50:T$69)*W$2</f>
        <v>0</v>
      </c>
      <c r="X423" s="88">
        <f>SUMIF(月間集計シート!$M$71:$M$90,$G423,月間集計シート!N$71:N$90)*X$2</f>
        <v>0</v>
      </c>
      <c r="Y423" s="88">
        <f>SUMIF(月間集計シート!$M$71:$M$90,$G423,月間集計シート!O$71:O$90)*Y$2</f>
        <v>0</v>
      </c>
      <c r="Z423" s="88">
        <f>SUMIF(月間集計シート!$M$71:$M$90,$G423,月間集計シート!P$71:P$90)*Z$2</f>
        <v>0</v>
      </c>
      <c r="AA423" s="88">
        <f>SUMIF(月間集計シート!$M$71:$M$90,$G423,月間集計シート!Q$71:Q$90)*AA$2</f>
        <v>0</v>
      </c>
      <c r="AB423" s="88">
        <f>SUMIF(月間集計シート!$M$71:$M$90,$G423,月間集計シート!R$71:R$90)*AB$2</f>
        <v>0</v>
      </c>
      <c r="AC423" s="88">
        <f>SUMIF(月間集計シート!$M$71:$M$90,$G423,月間集計シート!S$71:S$90)*AC$2</f>
        <v>0</v>
      </c>
      <c r="AD423" s="88">
        <f>SUMIF(月間集計シート!$M$71:$M$90,$G423,月間集計シート!T$71:T$90)*AD$2</f>
        <v>0</v>
      </c>
      <c r="AE423" s="88">
        <f>SUMIF(月間集計シート!$M$92:$M$111,$G423,月間集計シート!N$92:N$111)*AE$2</f>
        <v>0</v>
      </c>
      <c r="AF423" s="88">
        <f>SUMIF(月間集計シート!$M$92:$M$111,$G423,月間集計シート!O$92:O$111)*AF$2</f>
        <v>0</v>
      </c>
      <c r="AG423" s="88">
        <f>SUMIF(月間集計シート!$M$92:$M$111,$G423,月間集計シート!P$92:P$111)*AG$2</f>
        <v>0</v>
      </c>
      <c r="AH423" s="88">
        <f>SUMIF(月間集計シート!$M$92:$M$111,$G423,月間集計シート!Q$92:Q$111)*AH$2</f>
        <v>0</v>
      </c>
      <c r="AI423" s="88">
        <f>SUMIF(月間集計シート!$M$92:$M$111,$G423,月間集計シート!R$92:R$111)*AI$2</f>
        <v>0</v>
      </c>
      <c r="AJ423" s="88">
        <f>SUMIF(月間集計シート!$M$92:$M$111,$G423,月間集計シート!S$92:S$111)*AJ$2</f>
        <v>0</v>
      </c>
      <c r="AK423" s="88">
        <f>SUMIF(月間集計シート!$M$92:$M$111,$G423,月間集計シート!T$92:T$111)*AK$2</f>
        <v>0</v>
      </c>
      <c r="AL423" s="88">
        <f>SUMIF(月間集計シート!$M$113:$M$132,$G423,月間集計シート!N$113:N$132)*AL$2</f>
        <v>0</v>
      </c>
      <c r="AM423" s="88">
        <f>SUMIF(月間集計シート!$M$113:$M$132,$G423,月間集計シート!O$113:O$132)*AM$2</f>
        <v>0</v>
      </c>
      <c r="AN423" s="88">
        <f>SUMIF(月間集計シート!$M$113:$M$132,$G423,月間集計シート!P$113:P$132)*AN$2</f>
        <v>0</v>
      </c>
      <c r="AO423" s="88">
        <f>SUMIF(月間集計シート!$M$113:$M$132,$G423,月間集計シート!Q$113:Q$132)*AO$2</f>
        <v>0</v>
      </c>
      <c r="AP423" s="88">
        <f>SUMIF(月間集計シート!$M$113:$M$132,$G423,月間集計シート!R$113:R$132)*AP$2</f>
        <v>0</v>
      </c>
      <c r="AQ423" s="88">
        <f>SUMIF(月間集計シート!$M$113:$M$132,$G423,月間集計シート!S$113:S$132)*AQ$2</f>
        <v>0</v>
      </c>
      <c r="AR423" s="88">
        <f>SUMIF(月間集計シート!$M$113:$M$132,$G423,月間集計シート!T$113:T$132)*AR$2</f>
        <v>0</v>
      </c>
      <c r="AS423" s="88">
        <f>SUMIF(月間集計シート!$M$134:$M$153,$G423,月間集計シート!N$134:N$153)*AS$2</f>
        <v>0</v>
      </c>
      <c r="AT423" s="88">
        <f>SUMIF(月間集計シート!$M$134:$M$153,$G423,月間集計シート!O$134:O$153)*AT$2</f>
        <v>0</v>
      </c>
      <c r="AU423" s="88">
        <f>SUMIF(月間集計シート!$M$134:$M$153,$G423,月間集計シート!P$134:P$153)*AU$2</f>
        <v>0</v>
      </c>
      <c r="AV423" s="88">
        <f>SUMIF(月間集計シート!$M$134:$M$153,$G423,月間集計シート!Q$134:Q$153)*AV$2</f>
        <v>0</v>
      </c>
      <c r="AW423" s="88">
        <f>SUMIF(月間集計シート!$M$134:$M$153,$G423,月間集計シート!R$134:R$153)*AW$2</f>
        <v>0</v>
      </c>
      <c r="AX423" s="88">
        <f>SUMIF(月間集計シート!$M$134:$M$153,$G423,月間集計シート!S$134:S$153)*AX$2</f>
        <v>0</v>
      </c>
      <c r="AY423" s="88">
        <f>SUMIF(月間集計シート!$M$134:$M$153,$G423,月間集計シート!T$134:T$153)*AY$2</f>
        <v>0</v>
      </c>
    </row>
    <row r="424" spans="1:51" ht="14.25" thickBot="1">
      <c r="A424">
        <v>5</v>
      </c>
      <c r="B424" s="120">
        <f t="shared" si="191"/>
        <v>0</v>
      </c>
      <c r="C424" s="120" t="str">
        <f t="shared" si="191"/>
        <v/>
      </c>
      <c r="D424" s="137"/>
      <c r="E424" s="150" t="str">
        <f>工種!A76</f>
        <v>90199</v>
      </c>
      <c r="F424" s="119" t="str">
        <f>工種!B76</f>
        <v>管理業務：その他</v>
      </c>
      <c r="G424" s="116" t="str">
        <f t="shared" si="188"/>
        <v>090199</v>
      </c>
      <c r="H424" s="88">
        <f t="shared" si="190"/>
        <v>0</v>
      </c>
      <c r="I424" s="132"/>
      <c r="J424" s="88">
        <f>SUMIF(月間集計シート!$M$29:$M$48,$G424,月間集計シート!N$29:N$48)*J$2</f>
        <v>0</v>
      </c>
      <c r="K424" s="88">
        <f>SUMIF(月間集計シート!$M$29:$M$48,$G424,月間集計シート!O$29:O$48)*K$2</f>
        <v>0</v>
      </c>
      <c r="L424" s="88">
        <f>SUMIF(月間集計シート!$M$29:$M$48,$G424,月間集計シート!P$29:P$48)*L$2</f>
        <v>0</v>
      </c>
      <c r="M424" s="88">
        <f>SUMIF(月間集計シート!$M$29:$M$48,$G424,月間集計シート!Q$29:Q$48)*M$2</f>
        <v>0</v>
      </c>
      <c r="N424" s="88">
        <f>SUMIF(月間集計シート!$M$29:$M$48,$G424,月間集計シート!R$29:R$48)*N$2</f>
        <v>0</v>
      </c>
      <c r="O424" s="88">
        <f>SUMIF(月間集計シート!$M$29:$M$48,$G424,月間集計シート!S$29:S$48)*O$2</f>
        <v>0</v>
      </c>
      <c r="P424" s="88">
        <f>SUMIF(月間集計シート!$M$29:$M$48,$G424,月間集計シート!T$29:T$48)*P$2</f>
        <v>0</v>
      </c>
      <c r="Q424" s="88">
        <f>SUMIF(月間集計シート!$M$50:$M$69,$G424,月間集計シート!N$50:N$69)*Q$2</f>
        <v>0</v>
      </c>
      <c r="R424" s="88">
        <f>SUMIF(月間集計シート!$M$50:$M$69,$G424,月間集計シート!O$50:O$69)*R$2</f>
        <v>0</v>
      </c>
      <c r="S424" s="88">
        <f>SUMIF(月間集計シート!$M$50:$M$69,$G424,月間集計シート!P$50:P$69)*S$2</f>
        <v>0</v>
      </c>
      <c r="T424" s="88">
        <f>SUMIF(月間集計シート!$M$50:$M$69,$G424,月間集計シート!Q$50:Q$69)*T$2</f>
        <v>0</v>
      </c>
      <c r="U424" s="88">
        <f>SUMIF(月間集計シート!$M$50:$M$69,$G424,月間集計シート!R$50:R$69)*U$2</f>
        <v>0</v>
      </c>
      <c r="V424" s="88">
        <f>SUMIF(月間集計シート!$M$50:$M$69,$G424,月間集計シート!S$50:S$69)*V$2</f>
        <v>0</v>
      </c>
      <c r="W424" s="88">
        <f>SUMIF(月間集計シート!$M$50:$M$69,$G424,月間集計シート!T$50:T$69)*W$2</f>
        <v>0</v>
      </c>
      <c r="X424" s="88">
        <f>SUMIF(月間集計シート!$M$71:$M$90,$G424,月間集計シート!N$71:N$90)*X$2</f>
        <v>0</v>
      </c>
      <c r="Y424" s="88">
        <f>SUMIF(月間集計シート!$M$71:$M$90,$G424,月間集計シート!O$71:O$90)*Y$2</f>
        <v>0</v>
      </c>
      <c r="Z424" s="88">
        <f>SUMIF(月間集計シート!$M$71:$M$90,$G424,月間集計シート!P$71:P$90)*Z$2</f>
        <v>0</v>
      </c>
      <c r="AA424" s="88">
        <f>SUMIF(月間集計シート!$M$71:$M$90,$G424,月間集計シート!Q$71:Q$90)*AA$2</f>
        <v>0</v>
      </c>
      <c r="AB424" s="88">
        <f>SUMIF(月間集計シート!$M$71:$M$90,$G424,月間集計シート!R$71:R$90)*AB$2</f>
        <v>0</v>
      </c>
      <c r="AC424" s="88">
        <f>SUMIF(月間集計シート!$M$71:$M$90,$G424,月間集計シート!S$71:S$90)*AC$2</f>
        <v>0</v>
      </c>
      <c r="AD424" s="88">
        <f>SUMIF(月間集計シート!$M$71:$M$90,$G424,月間集計シート!T$71:T$90)*AD$2</f>
        <v>0</v>
      </c>
      <c r="AE424" s="88">
        <f>SUMIF(月間集計シート!$M$92:$M$111,$G424,月間集計シート!N$92:N$111)*AE$2</f>
        <v>0</v>
      </c>
      <c r="AF424" s="88">
        <f>SUMIF(月間集計シート!$M$92:$M$111,$G424,月間集計シート!O$92:O$111)*AF$2</f>
        <v>0</v>
      </c>
      <c r="AG424" s="88">
        <f>SUMIF(月間集計シート!$M$92:$M$111,$G424,月間集計シート!P$92:P$111)*AG$2</f>
        <v>0</v>
      </c>
      <c r="AH424" s="88">
        <f>SUMIF(月間集計シート!$M$92:$M$111,$G424,月間集計シート!Q$92:Q$111)*AH$2</f>
        <v>0</v>
      </c>
      <c r="AI424" s="88">
        <f>SUMIF(月間集計シート!$M$92:$M$111,$G424,月間集計シート!R$92:R$111)*AI$2</f>
        <v>0</v>
      </c>
      <c r="AJ424" s="88">
        <f>SUMIF(月間集計シート!$M$92:$M$111,$G424,月間集計シート!S$92:S$111)*AJ$2</f>
        <v>0</v>
      </c>
      <c r="AK424" s="88">
        <f>SUMIF(月間集計シート!$M$92:$M$111,$G424,月間集計シート!T$92:T$111)*AK$2</f>
        <v>0</v>
      </c>
      <c r="AL424" s="88">
        <f>SUMIF(月間集計シート!$M$113:$M$132,$G424,月間集計シート!N$113:N$132)*AL$2</f>
        <v>0</v>
      </c>
      <c r="AM424" s="88">
        <f>SUMIF(月間集計シート!$M$113:$M$132,$G424,月間集計シート!O$113:O$132)*AM$2</f>
        <v>0</v>
      </c>
      <c r="AN424" s="88">
        <f>SUMIF(月間集計シート!$M$113:$M$132,$G424,月間集計シート!P$113:P$132)*AN$2</f>
        <v>0</v>
      </c>
      <c r="AO424" s="88">
        <f>SUMIF(月間集計シート!$M$113:$M$132,$G424,月間集計シート!Q$113:Q$132)*AO$2</f>
        <v>0</v>
      </c>
      <c r="AP424" s="88">
        <f>SUMIF(月間集計シート!$M$113:$M$132,$G424,月間集計シート!R$113:R$132)*AP$2</f>
        <v>0</v>
      </c>
      <c r="AQ424" s="88">
        <f>SUMIF(月間集計シート!$M$113:$M$132,$G424,月間集計シート!S$113:S$132)*AQ$2</f>
        <v>0</v>
      </c>
      <c r="AR424" s="88">
        <f>SUMIF(月間集計シート!$M$113:$M$132,$G424,月間集計シート!T$113:T$132)*AR$2</f>
        <v>0</v>
      </c>
      <c r="AS424" s="88">
        <f>SUMIF(月間集計シート!$M$134:$M$153,$G424,月間集計シート!N$134:N$153)*AS$2</f>
        <v>0</v>
      </c>
      <c r="AT424" s="88">
        <f>SUMIF(月間集計シート!$M$134:$M$153,$G424,月間集計シート!O$134:O$153)*AT$2</f>
        <v>0</v>
      </c>
      <c r="AU424" s="88">
        <f>SUMIF(月間集計シート!$M$134:$M$153,$G424,月間集計シート!P$134:P$153)*AU$2</f>
        <v>0</v>
      </c>
      <c r="AV424" s="88">
        <f>SUMIF(月間集計シート!$M$134:$M$153,$G424,月間集計シート!Q$134:Q$153)*AV$2</f>
        <v>0</v>
      </c>
      <c r="AW424" s="88">
        <f>SUMIF(月間集計シート!$M$134:$M$153,$G424,月間集計シート!R$134:R$153)*AW$2</f>
        <v>0</v>
      </c>
      <c r="AX424" s="88">
        <f>SUMIF(月間集計シート!$M$134:$M$153,$G424,月間集計シート!S$134:S$153)*AX$2</f>
        <v>0</v>
      </c>
      <c r="AY424" s="88">
        <f>SUMIF(月間集計シート!$M$134:$M$153,$G424,月間集計シート!T$134:T$153)*AY$2</f>
        <v>0</v>
      </c>
    </row>
    <row r="425" spans="1:51" ht="14.25" thickBot="1">
      <c r="A425">
        <v>5</v>
      </c>
      <c r="B425" s="120">
        <f t="shared" si="191"/>
        <v>0</v>
      </c>
      <c r="C425" s="120" t="str">
        <f t="shared" si="191"/>
        <v/>
      </c>
      <c r="D425" s="137"/>
      <c r="E425" s="150">
        <f>工種!A77</f>
        <v>99102</v>
      </c>
      <c r="F425" s="119" t="str">
        <f>工種!B77</f>
        <v>間接業務：業務環境管理（PCｾｯﾄｱｯﾌﾟ等）</v>
      </c>
      <c r="G425" s="116" t="str">
        <f t="shared" si="188"/>
        <v>099102</v>
      </c>
      <c r="H425" s="88">
        <f t="shared" si="190"/>
        <v>0</v>
      </c>
      <c r="I425" s="132"/>
      <c r="J425" s="88">
        <f>SUMIF(月間集計シート!$M$29:$M$48,$G425,月間集計シート!N$29:N$48)*J$2</f>
        <v>0</v>
      </c>
      <c r="K425" s="88">
        <f>SUMIF(月間集計シート!$M$29:$M$48,$G425,月間集計シート!O$29:O$48)*K$2</f>
        <v>0</v>
      </c>
      <c r="L425" s="88">
        <f>SUMIF(月間集計シート!$M$29:$M$48,$G425,月間集計シート!P$29:P$48)*L$2</f>
        <v>0</v>
      </c>
      <c r="M425" s="88">
        <f>SUMIF(月間集計シート!$M$29:$M$48,$G425,月間集計シート!Q$29:Q$48)*M$2</f>
        <v>0</v>
      </c>
      <c r="N425" s="88">
        <f>SUMIF(月間集計シート!$M$29:$M$48,$G425,月間集計シート!R$29:R$48)*N$2</f>
        <v>0</v>
      </c>
      <c r="O425" s="88">
        <f>SUMIF(月間集計シート!$M$29:$M$48,$G425,月間集計シート!S$29:S$48)*O$2</f>
        <v>0</v>
      </c>
      <c r="P425" s="88">
        <f>SUMIF(月間集計シート!$M$29:$M$48,$G425,月間集計シート!T$29:T$48)*P$2</f>
        <v>0</v>
      </c>
      <c r="Q425" s="88">
        <f>SUMIF(月間集計シート!$M$50:$M$69,$G425,月間集計シート!N$50:N$69)*Q$2</f>
        <v>0</v>
      </c>
      <c r="R425" s="88">
        <f>SUMIF(月間集計シート!$M$50:$M$69,$G425,月間集計シート!O$50:O$69)*R$2</f>
        <v>0</v>
      </c>
      <c r="S425" s="88">
        <f>SUMIF(月間集計シート!$M$50:$M$69,$G425,月間集計シート!P$50:P$69)*S$2</f>
        <v>0</v>
      </c>
      <c r="T425" s="88">
        <f>SUMIF(月間集計シート!$M$50:$M$69,$G425,月間集計シート!Q$50:Q$69)*T$2</f>
        <v>0</v>
      </c>
      <c r="U425" s="88">
        <f>SUMIF(月間集計シート!$M$50:$M$69,$G425,月間集計シート!R$50:R$69)*U$2</f>
        <v>0</v>
      </c>
      <c r="V425" s="88">
        <f>SUMIF(月間集計シート!$M$50:$M$69,$G425,月間集計シート!S$50:S$69)*V$2</f>
        <v>0</v>
      </c>
      <c r="W425" s="88">
        <f>SUMIF(月間集計シート!$M$50:$M$69,$G425,月間集計シート!T$50:T$69)*W$2</f>
        <v>0</v>
      </c>
      <c r="X425" s="88">
        <f>SUMIF(月間集計シート!$M$71:$M$90,$G425,月間集計シート!N$71:N$90)*X$2</f>
        <v>0</v>
      </c>
      <c r="Y425" s="88">
        <f>SUMIF(月間集計シート!$M$71:$M$90,$G425,月間集計シート!O$71:O$90)*Y$2</f>
        <v>0</v>
      </c>
      <c r="Z425" s="88">
        <f>SUMIF(月間集計シート!$M$71:$M$90,$G425,月間集計シート!P$71:P$90)*Z$2</f>
        <v>0</v>
      </c>
      <c r="AA425" s="88">
        <f>SUMIF(月間集計シート!$M$71:$M$90,$G425,月間集計シート!Q$71:Q$90)*AA$2</f>
        <v>0</v>
      </c>
      <c r="AB425" s="88">
        <f>SUMIF(月間集計シート!$M$71:$M$90,$G425,月間集計シート!R$71:R$90)*AB$2</f>
        <v>0</v>
      </c>
      <c r="AC425" s="88">
        <f>SUMIF(月間集計シート!$M$71:$M$90,$G425,月間集計シート!S$71:S$90)*AC$2</f>
        <v>0</v>
      </c>
      <c r="AD425" s="88">
        <f>SUMIF(月間集計シート!$M$71:$M$90,$G425,月間集計シート!T$71:T$90)*AD$2</f>
        <v>0</v>
      </c>
      <c r="AE425" s="88">
        <f>SUMIF(月間集計シート!$M$92:$M$111,$G425,月間集計シート!N$92:N$111)*AE$2</f>
        <v>0</v>
      </c>
      <c r="AF425" s="88">
        <f>SUMIF(月間集計シート!$M$92:$M$111,$G425,月間集計シート!O$92:O$111)*AF$2</f>
        <v>0</v>
      </c>
      <c r="AG425" s="88">
        <f>SUMIF(月間集計シート!$M$92:$M$111,$G425,月間集計シート!P$92:P$111)*AG$2</f>
        <v>0</v>
      </c>
      <c r="AH425" s="88">
        <f>SUMIF(月間集計シート!$M$92:$M$111,$G425,月間集計シート!Q$92:Q$111)*AH$2</f>
        <v>0</v>
      </c>
      <c r="AI425" s="88">
        <f>SUMIF(月間集計シート!$M$92:$M$111,$G425,月間集計シート!R$92:R$111)*AI$2</f>
        <v>0</v>
      </c>
      <c r="AJ425" s="88">
        <f>SUMIF(月間集計シート!$M$92:$M$111,$G425,月間集計シート!S$92:S$111)*AJ$2</f>
        <v>0</v>
      </c>
      <c r="AK425" s="88">
        <f>SUMIF(月間集計シート!$M$92:$M$111,$G425,月間集計シート!T$92:T$111)*AK$2</f>
        <v>0</v>
      </c>
      <c r="AL425" s="88">
        <f>SUMIF(月間集計シート!$M$113:$M$132,$G425,月間集計シート!N$113:N$132)*AL$2</f>
        <v>0</v>
      </c>
      <c r="AM425" s="88">
        <f>SUMIF(月間集計シート!$M$113:$M$132,$G425,月間集計シート!O$113:O$132)*AM$2</f>
        <v>0</v>
      </c>
      <c r="AN425" s="88">
        <f>SUMIF(月間集計シート!$M$113:$M$132,$G425,月間集計シート!P$113:P$132)*AN$2</f>
        <v>0</v>
      </c>
      <c r="AO425" s="88">
        <f>SUMIF(月間集計シート!$M$113:$M$132,$G425,月間集計シート!Q$113:Q$132)*AO$2</f>
        <v>0</v>
      </c>
      <c r="AP425" s="88">
        <f>SUMIF(月間集計シート!$M$113:$M$132,$G425,月間集計シート!R$113:R$132)*AP$2</f>
        <v>0</v>
      </c>
      <c r="AQ425" s="88">
        <f>SUMIF(月間集計シート!$M$113:$M$132,$G425,月間集計シート!S$113:S$132)*AQ$2</f>
        <v>0</v>
      </c>
      <c r="AR425" s="88">
        <f>SUMIF(月間集計シート!$M$113:$M$132,$G425,月間集計シート!T$113:T$132)*AR$2</f>
        <v>0</v>
      </c>
      <c r="AS425" s="88">
        <f>SUMIF(月間集計シート!$M$134:$M$153,$G425,月間集計シート!N$134:N$153)*AS$2</f>
        <v>0</v>
      </c>
      <c r="AT425" s="88">
        <f>SUMIF(月間集計シート!$M$134:$M$153,$G425,月間集計シート!O$134:O$153)*AT$2</f>
        <v>0</v>
      </c>
      <c r="AU425" s="88">
        <f>SUMIF(月間集計シート!$M$134:$M$153,$G425,月間集計シート!P$134:P$153)*AU$2</f>
        <v>0</v>
      </c>
      <c r="AV425" s="88">
        <f>SUMIF(月間集計シート!$M$134:$M$153,$G425,月間集計シート!Q$134:Q$153)*AV$2</f>
        <v>0</v>
      </c>
      <c r="AW425" s="88">
        <f>SUMIF(月間集計シート!$M$134:$M$153,$G425,月間集計シート!R$134:R$153)*AW$2</f>
        <v>0</v>
      </c>
      <c r="AX425" s="88">
        <f>SUMIF(月間集計シート!$M$134:$M$153,$G425,月間集計シート!S$134:S$153)*AX$2</f>
        <v>0</v>
      </c>
      <c r="AY425" s="88">
        <f>SUMIF(月間集計シート!$M$134:$M$153,$G425,月間集計シート!T$134:T$153)*AY$2</f>
        <v>0</v>
      </c>
    </row>
    <row r="426" spans="1:51" ht="14.25" thickBot="1">
      <c r="A426">
        <v>5</v>
      </c>
      <c r="B426" s="120">
        <f t="shared" si="191"/>
        <v>0</v>
      </c>
      <c r="C426" s="120" t="str">
        <f t="shared" si="191"/>
        <v/>
      </c>
      <c r="D426" s="137"/>
      <c r="E426" s="150" t="str">
        <f>工種!A78</f>
        <v>99103</v>
      </c>
      <c r="F426" s="119" t="str">
        <f>工種!B78</f>
        <v>間接業務：標準化・業務改善作業（開発以外）</v>
      </c>
      <c r="G426" s="116" t="str">
        <f t="shared" si="188"/>
        <v>099103</v>
      </c>
      <c r="H426" s="88">
        <f t="shared" si="190"/>
        <v>0</v>
      </c>
      <c r="I426" s="132"/>
      <c r="J426" s="88">
        <f>SUMIF(月間集計シート!$M$29:$M$48,$G426,月間集計シート!N$29:N$48)*J$2</f>
        <v>0</v>
      </c>
      <c r="K426" s="88">
        <f>SUMIF(月間集計シート!$M$29:$M$48,$G426,月間集計シート!O$29:O$48)*K$2</f>
        <v>0</v>
      </c>
      <c r="L426" s="88">
        <f>SUMIF(月間集計シート!$M$29:$M$48,$G426,月間集計シート!P$29:P$48)*L$2</f>
        <v>0</v>
      </c>
      <c r="M426" s="88">
        <f>SUMIF(月間集計シート!$M$29:$M$48,$G426,月間集計シート!Q$29:Q$48)*M$2</f>
        <v>0</v>
      </c>
      <c r="N426" s="88">
        <f>SUMIF(月間集計シート!$M$29:$M$48,$G426,月間集計シート!R$29:R$48)*N$2</f>
        <v>0</v>
      </c>
      <c r="O426" s="88">
        <f>SUMIF(月間集計シート!$M$29:$M$48,$G426,月間集計シート!S$29:S$48)*O$2</f>
        <v>0</v>
      </c>
      <c r="P426" s="88">
        <f>SUMIF(月間集計シート!$M$29:$M$48,$G426,月間集計シート!T$29:T$48)*P$2</f>
        <v>0</v>
      </c>
      <c r="Q426" s="88">
        <f>SUMIF(月間集計シート!$M$50:$M$69,$G426,月間集計シート!N$50:N$69)*Q$2</f>
        <v>0</v>
      </c>
      <c r="R426" s="88">
        <f>SUMIF(月間集計シート!$M$50:$M$69,$G426,月間集計シート!O$50:O$69)*R$2</f>
        <v>0</v>
      </c>
      <c r="S426" s="88">
        <f>SUMIF(月間集計シート!$M$50:$M$69,$G426,月間集計シート!P$50:P$69)*S$2</f>
        <v>0</v>
      </c>
      <c r="T426" s="88">
        <f>SUMIF(月間集計シート!$M$50:$M$69,$G426,月間集計シート!Q$50:Q$69)*T$2</f>
        <v>0</v>
      </c>
      <c r="U426" s="88">
        <f>SUMIF(月間集計シート!$M$50:$M$69,$G426,月間集計シート!R$50:R$69)*U$2</f>
        <v>0</v>
      </c>
      <c r="V426" s="88">
        <f>SUMIF(月間集計シート!$M$50:$M$69,$G426,月間集計シート!S$50:S$69)*V$2</f>
        <v>0</v>
      </c>
      <c r="W426" s="88">
        <f>SUMIF(月間集計シート!$M$50:$M$69,$G426,月間集計シート!T$50:T$69)*W$2</f>
        <v>0</v>
      </c>
      <c r="X426" s="88">
        <f>SUMIF(月間集計シート!$M$71:$M$90,$G426,月間集計シート!N$71:N$90)*X$2</f>
        <v>0</v>
      </c>
      <c r="Y426" s="88">
        <f>SUMIF(月間集計シート!$M$71:$M$90,$G426,月間集計シート!O$71:O$90)*Y$2</f>
        <v>0</v>
      </c>
      <c r="Z426" s="88">
        <f>SUMIF(月間集計シート!$M$71:$M$90,$G426,月間集計シート!P$71:P$90)*Z$2</f>
        <v>0</v>
      </c>
      <c r="AA426" s="88">
        <f>SUMIF(月間集計シート!$M$71:$M$90,$G426,月間集計シート!Q$71:Q$90)*AA$2</f>
        <v>0</v>
      </c>
      <c r="AB426" s="88">
        <f>SUMIF(月間集計シート!$M$71:$M$90,$G426,月間集計シート!R$71:R$90)*AB$2</f>
        <v>0</v>
      </c>
      <c r="AC426" s="88">
        <f>SUMIF(月間集計シート!$M$71:$M$90,$G426,月間集計シート!S$71:S$90)*AC$2</f>
        <v>0</v>
      </c>
      <c r="AD426" s="88">
        <f>SUMIF(月間集計シート!$M$71:$M$90,$G426,月間集計シート!T$71:T$90)*AD$2</f>
        <v>0</v>
      </c>
      <c r="AE426" s="88">
        <f>SUMIF(月間集計シート!$M$92:$M$111,$G426,月間集計シート!N$92:N$111)*AE$2</f>
        <v>0</v>
      </c>
      <c r="AF426" s="88">
        <f>SUMIF(月間集計シート!$M$92:$M$111,$G426,月間集計シート!O$92:O$111)*AF$2</f>
        <v>0</v>
      </c>
      <c r="AG426" s="88">
        <f>SUMIF(月間集計シート!$M$92:$M$111,$G426,月間集計シート!P$92:P$111)*AG$2</f>
        <v>0</v>
      </c>
      <c r="AH426" s="88">
        <f>SUMIF(月間集計シート!$M$92:$M$111,$G426,月間集計シート!Q$92:Q$111)*AH$2</f>
        <v>0</v>
      </c>
      <c r="AI426" s="88">
        <f>SUMIF(月間集計シート!$M$92:$M$111,$G426,月間集計シート!R$92:R$111)*AI$2</f>
        <v>0</v>
      </c>
      <c r="AJ426" s="88">
        <f>SUMIF(月間集計シート!$M$92:$M$111,$G426,月間集計シート!S$92:S$111)*AJ$2</f>
        <v>0</v>
      </c>
      <c r="AK426" s="88">
        <f>SUMIF(月間集計シート!$M$92:$M$111,$G426,月間集計シート!T$92:T$111)*AK$2</f>
        <v>0</v>
      </c>
      <c r="AL426" s="88">
        <f>SUMIF(月間集計シート!$M$113:$M$132,$G426,月間集計シート!N$113:N$132)*AL$2</f>
        <v>0</v>
      </c>
      <c r="AM426" s="88">
        <f>SUMIF(月間集計シート!$M$113:$M$132,$G426,月間集計シート!O$113:O$132)*AM$2</f>
        <v>0</v>
      </c>
      <c r="AN426" s="88">
        <f>SUMIF(月間集計シート!$M$113:$M$132,$G426,月間集計シート!P$113:P$132)*AN$2</f>
        <v>0</v>
      </c>
      <c r="AO426" s="88">
        <f>SUMIF(月間集計シート!$M$113:$M$132,$G426,月間集計シート!Q$113:Q$132)*AO$2</f>
        <v>0</v>
      </c>
      <c r="AP426" s="88">
        <f>SUMIF(月間集計シート!$M$113:$M$132,$G426,月間集計シート!R$113:R$132)*AP$2</f>
        <v>0</v>
      </c>
      <c r="AQ426" s="88">
        <f>SUMIF(月間集計シート!$M$113:$M$132,$G426,月間集計シート!S$113:S$132)*AQ$2</f>
        <v>0</v>
      </c>
      <c r="AR426" s="88">
        <f>SUMIF(月間集計シート!$M$113:$M$132,$G426,月間集計シート!T$113:T$132)*AR$2</f>
        <v>0</v>
      </c>
      <c r="AS426" s="88">
        <f>SUMIF(月間集計シート!$M$134:$M$153,$G426,月間集計シート!N$134:N$153)*AS$2</f>
        <v>0</v>
      </c>
      <c r="AT426" s="88">
        <f>SUMIF(月間集計シート!$M$134:$M$153,$G426,月間集計シート!O$134:O$153)*AT$2</f>
        <v>0</v>
      </c>
      <c r="AU426" s="88">
        <f>SUMIF(月間集計シート!$M$134:$M$153,$G426,月間集計シート!P$134:P$153)*AU$2</f>
        <v>0</v>
      </c>
      <c r="AV426" s="88">
        <f>SUMIF(月間集計シート!$M$134:$M$153,$G426,月間集計シート!Q$134:Q$153)*AV$2</f>
        <v>0</v>
      </c>
      <c r="AW426" s="88">
        <f>SUMIF(月間集計シート!$M$134:$M$153,$G426,月間集計シート!R$134:R$153)*AW$2</f>
        <v>0</v>
      </c>
      <c r="AX426" s="88">
        <f>SUMIF(月間集計シート!$M$134:$M$153,$G426,月間集計シート!S$134:S$153)*AX$2</f>
        <v>0</v>
      </c>
      <c r="AY426" s="88">
        <f>SUMIF(月間集計シート!$M$134:$M$153,$G426,月間集計シート!T$134:T$153)*AY$2</f>
        <v>0</v>
      </c>
    </row>
    <row r="427" spans="1:51" ht="14.25" thickBot="1">
      <c r="A427">
        <v>5</v>
      </c>
      <c r="B427" s="120">
        <f t="shared" si="191"/>
        <v>0</v>
      </c>
      <c r="C427" s="120" t="str">
        <f t="shared" si="191"/>
        <v/>
      </c>
      <c r="D427" s="137"/>
      <c r="E427" s="150" t="str">
        <f>工種!A79</f>
        <v>99104</v>
      </c>
      <c r="F427" s="119" t="str">
        <f>工種!B79</f>
        <v>間接業務：業務の引継ぎ（開発以外）</v>
      </c>
      <c r="G427" s="116" t="str">
        <f t="shared" si="188"/>
        <v>099104</v>
      </c>
      <c r="H427" s="88">
        <f t="shared" si="190"/>
        <v>0</v>
      </c>
      <c r="I427" s="132"/>
      <c r="J427" s="88">
        <f>SUMIF(月間集計シート!$M$29:$M$48,$G427,月間集計シート!N$29:N$48)*J$2</f>
        <v>0</v>
      </c>
      <c r="K427" s="88">
        <f>SUMIF(月間集計シート!$M$29:$M$48,$G427,月間集計シート!O$29:O$48)*K$2</f>
        <v>0</v>
      </c>
      <c r="L427" s="88">
        <f>SUMIF(月間集計シート!$M$29:$M$48,$G427,月間集計シート!P$29:P$48)*L$2</f>
        <v>0</v>
      </c>
      <c r="M427" s="88">
        <f>SUMIF(月間集計シート!$M$29:$M$48,$G427,月間集計シート!Q$29:Q$48)*M$2</f>
        <v>0</v>
      </c>
      <c r="N427" s="88">
        <f>SUMIF(月間集計シート!$M$29:$M$48,$G427,月間集計シート!R$29:R$48)*N$2</f>
        <v>0</v>
      </c>
      <c r="O427" s="88">
        <f>SUMIF(月間集計シート!$M$29:$M$48,$G427,月間集計シート!S$29:S$48)*O$2</f>
        <v>0</v>
      </c>
      <c r="P427" s="88">
        <f>SUMIF(月間集計シート!$M$29:$M$48,$G427,月間集計シート!T$29:T$48)*P$2</f>
        <v>0</v>
      </c>
      <c r="Q427" s="88">
        <f>SUMIF(月間集計シート!$M$50:$M$69,$G427,月間集計シート!N$50:N$69)*Q$2</f>
        <v>0</v>
      </c>
      <c r="R427" s="88">
        <f>SUMIF(月間集計シート!$M$50:$M$69,$G427,月間集計シート!O$50:O$69)*R$2</f>
        <v>0</v>
      </c>
      <c r="S427" s="88">
        <f>SUMIF(月間集計シート!$M$50:$M$69,$G427,月間集計シート!P$50:P$69)*S$2</f>
        <v>0</v>
      </c>
      <c r="T427" s="88">
        <f>SUMIF(月間集計シート!$M$50:$M$69,$G427,月間集計シート!Q$50:Q$69)*T$2</f>
        <v>0</v>
      </c>
      <c r="U427" s="88">
        <f>SUMIF(月間集計シート!$M$50:$M$69,$G427,月間集計シート!R$50:R$69)*U$2</f>
        <v>0</v>
      </c>
      <c r="V427" s="88">
        <f>SUMIF(月間集計シート!$M$50:$M$69,$G427,月間集計シート!S$50:S$69)*V$2</f>
        <v>0</v>
      </c>
      <c r="W427" s="88">
        <f>SUMIF(月間集計シート!$M$50:$M$69,$G427,月間集計シート!T$50:T$69)*W$2</f>
        <v>0</v>
      </c>
      <c r="X427" s="88">
        <f>SUMIF(月間集計シート!$M$71:$M$90,$G427,月間集計シート!N$71:N$90)*X$2</f>
        <v>0</v>
      </c>
      <c r="Y427" s="88">
        <f>SUMIF(月間集計シート!$M$71:$M$90,$G427,月間集計シート!O$71:O$90)*Y$2</f>
        <v>0</v>
      </c>
      <c r="Z427" s="88">
        <f>SUMIF(月間集計シート!$M$71:$M$90,$G427,月間集計シート!P$71:P$90)*Z$2</f>
        <v>0</v>
      </c>
      <c r="AA427" s="88">
        <f>SUMIF(月間集計シート!$M$71:$M$90,$G427,月間集計シート!Q$71:Q$90)*AA$2</f>
        <v>0</v>
      </c>
      <c r="AB427" s="88">
        <f>SUMIF(月間集計シート!$M$71:$M$90,$G427,月間集計シート!R$71:R$90)*AB$2</f>
        <v>0</v>
      </c>
      <c r="AC427" s="88">
        <f>SUMIF(月間集計シート!$M$71:$M$90,$G427,月間集計シート!S$71:S$90)*AC$2</f>
        <v>0</v>
      </c>
      <c r="AD427" s="88">
        <f>SUMIF(月間集計シート!$M$71:$M$90,$G427,月間集計シート!T$71:T$90)*AD$2</f>
        <v>0</v>
      </c>
      <c r="AE427" s="88">
        <f>SUMIF(月間集計シート!$M$92:$M$111,$G427,月間集計シート!N$92:N$111)*AE$2</f>
        <v>0</v>
      </c>
      <c r="AF427" s="88">
        <f>SUMIF(月間集計シート!$M$92:$M$111,$G427,月間集計シート!O$92:O$111)*AF$2</f>
        <v>0</v>
      </c>
      <c r="AG427" s="88">
        <f>SUMIF(月間集計シート!$M$92:$M$111,$G427,月間集計シート!P$92:P$111)*AG$2</f>
        <v>0</v>
      </c>
      <c r="AH427" s="88">
        <f>SUMIF(月間集計シート!$M$92:$M$111,$G427,月間集計シート!Q$92:Q$111)*AH$2</f>
        <v>0</v>
      </c>
      <c r="AI427" s="88">
        <f>SUMIF(月間集計シート!$M$92:$M$111,$G427,月間集計シート!R$92:R$111)*AI$2</f>
        <v>0</v>
      </c>
      <c r="AJ427" s="88">
        <f>SUMIF(月間集計シート!$M$92:$M$111,$G427,月間集計シート!S$92:S$111)*AJ$2</f>
        <v>0</v>
      </c>
      <c r="AK427" s="88">
        <f>SUMIF(月間集計シート!$M$92:$M$111,$G427,月間集計シート!T$92:T$111)*AK$2</f>
        <v>0</v>
      </c>
      <c r="AL427" s="88">
        <f>SUMIF(月間集計シート!$M$113:$M$132,$G427,月間集計シート!N$113:N$132)*AL$2</f>
        <v>0</v>
      </c>
      <c r="AM427" s="88">
        <f>SUMIF(月間集計シート!$M$113:$M$132,$G427,月間集計シート!O$113:O$132)*AM$2</f>
        <v>0</v>
      </c>
      <c r="AN427" s="88">
        <f>SUMIF(月間集計シート!$M$113:$M$132,$G427,月間集計シート!P$113:P$132)*AN$2</f>
        <v>0</v>
      </c>
      <c r="AO427" s="88">
        <f>SUMIF(月間集計シート!$M$113:$M$132,$G427,月間集計シート!Q$113:Q$132)*AO$2</f>
        <v>0</v>
      </c>
      <c r="AP427" s="88">
        <f>SUMIF(月間集計シート!$M$113:$M$132,$G427,月間集計シート!R$113:R$132)*AP$2</f>
        <v>0</v>
      </c>
      <c r="AQ427" s="88">
        <f>SUMIF(月間集計シート!$M$113:$M$132,$G427,月間集計シート!S$113:S$132)*AQ$2</f>
        <v>0</v>
      </c>
      <c r="AR427" s="88">
        <f>SUMIF(月間集計シート!$M$113:$M$132,$G427,月間集計シート!T$113:T$132)*AR$2</f>
        <v>0</v>
      </c>
      <c r="AS427" s="88">
        <f>SUMIF(月間集計シート!$M$134:$M$153,$G427,月間集計シート!N$134:N$153)*AS$2</f>
        <v>0</v>
      </c>
      <c r="AT427" s="88">
        <f>SUMIF(月間集計シート!$M$134:$M$153,$G427,月間集計シート!O$134:O$153)*AT$2</f>
        <v>0</v>
      </c>
      <c r="AU427" s="88">
        <f>SUMIF(月間集計シート!$M$134:$M$153,$G427,月間集計シート!P$134:P$153)*AU$2</f>
        <v>0</v>
      </c>
      <c r="AV427" s="88">
        <f>SUMIF(月間集計シート!$M$134:$M$153,$G427,月間集計シート!Q$134:Q$153)*AV$2</f>
        <v>0</v>
      </c>
      <c r="AW427" s="88">
        <f>SUMIF(月間集計シート!$M$134:$M$153,$G427,月間集計シート!R$134:R$153)*AW$2</f>
        <v>0</v>
      </c>
      <c r="AX427" s="88">
        <f>SUMIF(月間集計シート!$M$134:$M$153,$G427,月間集計シート!S$134:S$153)*AX$2</f>
        <v>0</v>
      </c>
      <c r="AY427" s="88">
        <f>SUMIF(月間集計シート!$M$134:$M$153,$G427,月間集計シート!T$134:T$153)*AY$2</f>
        <v>0</v>
      </c>
    </row>
    <row r="428" spans="1:51" ht="14.25" thickBot="1">
      <c r="A428">
        <v>5</v>
      </c>
      <c r="B428" s="120">
        <f t="shared" si="191"/>
        <v>0</v>
      </c>
      <c r="C428" s="120" t="str">
        <f t="shared" si="191"/>
        <v/>
      </c>
      <c r="D428" s="137"/>
      <c r="E428" s="150" t="str">
        <f>工種!A80</f>
        <v>99106</v>
      </c>
      <c r="F428" s="119" t="str">
        <f>工種!B80</f>
        <v>間接業務：研修・学習</v>
      </c>
      <c r="G428" s="116" t="str">
        <f t="shared" si="188"/>
        <v>099106</v>
      </c>
      <c r="H428" s="88">
        <f t="shared" si="190"/>
        <v>0</v>
      </c>
      <c r="I428" s="132"/>
      <c r="J428" s="88">
        <f>SUMIF(月間集計シート!$M$29:$M$48,$G428,月間集計シート!N$29:N$48)*J$2</f>
        <v>0</v>
      </c>
      <c r="K428" s="88">
        <f>SUMIF(月間集計シート!$M$29:$M$48,$G428,月間集計シート!O$29:O$48)*K$2</f>
        <v>0</v>
      </c>
      <c r="L428" s="88">
        <f>SUMIF(月間集計シート!$M$29:$M$48,$G428,月間集計シート!P$29:P$48)*L$2</f>
        <v>0</v>
      </c>
      <c r="M428" s="88">
        <f>SUMIF(月間集計シート!$M$29:$M$48,$G428,月間集計シート!Q$29:Q$48)*M$2</f>
        <v>0</v>
      </c>
      <c r="N428" s="88">
        <f>SUMIF(月間集計シート!$M$29:$M$48,$G428,月間集計シート!R$29:R$48)*N$2</f>
        <v>0</v>
      </c>
      <c r="O428" s="88">
        <f>SUMIF(月間集計シート!$M$29:$M$48,$G428,月間集計シート!S$29:S$48)*O$2</f>
        <v>0</v>
      </c>
      <c r="P428" s="88">
        <f>SUMIF(月間集計シート!$M$29:$M$48,$G428,月間集計シート!T$29:T$48)*P$2</f>
        <v>0</v>
      </c>
      <c r="Q428" s="88">
        <f>SUMIF(月間集計シート!$M$50:$M$69,$G428,月間集計シート!N$50:N$69)*Q$2</f>
        <v>0</v>
      </c>
      <c r="R428" s="88">
        <f>SUMIF(月間集計シート!$M$50:$M$69,$G428,月間集計シート!O$50:O$69)*R$2</f>
        <v>0</v>
      </c>
      <c r="S428" s="88">
        <f>SUMIF(月間集計シート!$M$50:$M$69,$G428,月間集計シート!P$50:P$69)*S$2</f>
        <v>0</v>
      </c>
      <c r="T428" s="88">
        <f>SUMIF(月間集計シート!$M$50:$M$69,$G428,月間集計シート!Q$50:Q$69)*T$2</f>
        <v>0</v>
      </c>
      <c r="U428" s="88">
        <f>SUMIF(月間集計シート!$M$50:$M$69,$G428,月間集計シート!R$50:R$69)*U$2</f>
        <v>0</v>
      </c>
      <c r="V428" s="88">
        <f>SUMIF(月間集計シート!$M$50:$M$69,$G428,月間集計シート!S$50:S$69)*V$2</f>
        <v>0</v>
      </c>
      <c r="W428" s="88">
        <f>SUMIF(月間集計シート!$M$50:$M$69,$G428,月間集計シート!T$50:T$69)*W$2</f>
        <v>0</v>
      </c>
      <c r="X428" s="88">
        <f>SUMIF(月間集計シート!$M$71:$M$90,$G428,月間集計シート!N$71:N$90)*X$2</f>
        <v>0</v>
      </c>
      <c r="Y428" s="88">
        <f>SUMIF(月間集計シート!$M$71:$M$90,$G428,月間集計シート!O$71:O$90)*Y$2</f>
        <v>0</v>
      </c>
      <c r="Z428" s="88">
        <f>SUMIF(月間集計シート!$M$71:$M$90,$G428,月間集計シート!P$71:P$90)*Z$2</f>
        <v>0</v>
      </c>
      <c r="AA428" s="88">
        <f>SUMIF(月間集計シート!$M$71:$M$90,$G428,月間集計シート!Q$71:Q$90)*AA$2</f>
        <v>0</v>
      </c>
      <c r="AB428" s="88">
        <f>SUMIF(月間集計シート!$M$71:$M$90,$G428,月間集計シート!R$71:R$90)*AB$2</f>
        <v>0</v>
      </c>
      <c r="AC428" s="88">
        <f>SUMIF(月間集計シート!$M$71:$M$90,$G428,月間集計シート!S$71:S$90)*AC$2</f>
        <v>0</v>
      </c>
      <c r="AD428" s="88">
        <f>SUMIF(月間集計シート!$M$71:$M$90,$G428,月間集計シート!T$71:T$90)*AD$2</f>
        <v>0</v>
      </c>
      <c r="AE428" s="88">
        <f>SUMIF(月間集計シート!$M$92:$M$111,$G428,月間集計シート!N$92:N$111)*AE$2</f>
        <v>0</v>
      </c>
      <c r="AF428" s="88">
        <f>SUMIF(月間集計シート!$M$92:$M$111,$G428,月間集計シート!O$92:O$111)*AF$2</f>
        <v>0</v>
      </c>
      <c r="AG428" s="88">
        <f>SUMIF(月間集計シート!$M$92:$M$111,$G428,月間集計シート!P$92:P$111)*AG$2</f>
        <v>0</v>
      </c>
      <c r="AH428" s="88">
        <f>SUMIF(月間集計シート!$M$92:$M$111,$G428,月間集計シート!Q$92:Q$111)*AH$2</f>
        <v>0</v>
      </c>
      <c r="AI428" s="88">
        <f>SUMIF(月間集計シート!$M$92:$M$111,$G428,月間集計シート!R$92:R$111)*AI$2</f>
        <v>0</v>
      </c>
      <c r="AJ428" s="88">
        <f>SUMIF(月間集計シート!$M$92:$M$111,$G428,月間集計シート!S$92:S$111)*AJ$2</f>
        <v>0</v>
      </c>
      <c r="AK428" s="88">
        <f>SUMIF(月間集計シート!$M$92:$M$111,$G428,月間集計シート!T$92:T$111)*AK$2</f>
        <v>0</v>
      </c>
      <c r="AL428" s="88">
        <f>SUMIF(月間集計シート!$M$113:$M$132,$G428,月間集計シート!N$113:N$132)*AL$2</f>
        <v>0</v>
      </c>
      <c r="AM428" s="88">
        <f>SUMIF(月間集計シート!$M$113:$M$132,$G428,月間集計シート!O$113:O$132)*AM$2</f>
        <v>0</v>
      </c>
      <c r="AN428" s="88">
        <f>SUMIF(月間集計シート!$M$113:$M$132,$G428,月間集計シート!P$113:P$132)*AN$2</f>
        <v>0</v>
      </c>
      <c r="AO428" s="88">
        <f>SUMIF(月間集計シート!$M$113:$M$132,$G428,月間集計シート!Q$113:Q$132)*AO$2</f>
        <v>0</v>
      </c>
      <c r="AP428" s="88">
        <f>SUMIF(月間集計シート!$M$113:$M$132,$G428,月間集計シート!R$113:R$132)*AP$2</f>
        <v>0</v>
      </c>
      <c r="AQ428" s="88">
        <f>SUMIF(月間集計シート!$M$113:$M$132,$G428,月間集計シート!S$113:S$132)*AQ$2</f>
        <v>0</v>
      </c>
      <c r="AR428" s="88">
        <f>SUMIF(月間集計シート!$M$113:$M$132,$G428,月間集計シート!T$113:T$132)*AR$2</f>
        <v>0</v>
      </c>
      <c r="AS428" s="88">
        <f>SUMIF(月間集計シート!$M$134:$M$153,$G428,月間集計シート!N$134:N$153)*AS$2</f>
        <v>0</v>
      </c>
      <c r="AT428" s="88">
        <f>SUMIF(月間集計シート!$M$134:$M$153,$G428,月間集計シート!O$134:O$153)*AT$2</f>
        <v>0</v>
      </c>
      <c r="AU428" s="88">
        <f>SUMIF(月間集計シート!$M$134:$M$153,$G428,月間集計シート!P$134:P$153)*AU$2</f>
        <v>0</v>
      </c>
      <c r="AV428" s="88">
        <f>SUMIF(月間集計シート!$M$134:$M$153,$G428,月間集計シート!Q$134:Q$153)*AV$2</f>
        <v>0</v>
      </c>
      <c r="AW428" s="88">
        <f>SUMIF(月間集計シート!$M$134:$M$153,$G428,月間集計シート!R$134:R$153)*AW$2</f>
        <v>0</v>
      </c>
      <c r="AX428" s="88">
        <f>SUMIF(月間集計シート!$M$134:$M$153,$G428,月間集計シート!S$134:S$153)*AX$2</f>
        <v>0</v>
      </c>
      <c r="AY428" s="88">
        <f>SUMIF(月間集計シート!$M$134:$M$153,$G428,月間集計シート!T$134:T$153)*AY$2</f>
        <v>0</v>
      </c>
    </row>
    <row r="429" spans="1:51" ht="14.25" thickBot="1">
      <c r="A429">
        <v>5</v>
      </c>
      <c r="B429" s="120">
        <f t="shared" si="191"/>
        <v>0</v>
      </c>
      <c r="C429" s="120" t="str">
        <f t="shared" si="191"/>
        <v/>
      </c>
      <c r="D429" s="137"/>
      <c r="E429" s="150" t="str">
        <f>工種!A81</f>
        <v>99107</v>
      </c>
      <c r="F429" s="119" t="str">
        <f>工種!B81</f>
        <v>間接業務：事務作業（開発以外）</v>
      </c>
      <c r="G429" s="116" t="str">
        <f t="shared" ref="G429:G430" si="192">B429&amp;E429</f>
        <v>099107</v>
      </c>
      <c r="H429" s="88">
        <f t="shared" ref="H429:H430" si="193">SUM(J429:AY429)</f>
        <v>0</v>
      </c>
      <c r="I429" s="132"/>
      <c r="J429" s="88">
        <f>SUMIF(月間集計シート!$M$29:$M$48,$G429,月間集計シート!N$29:N$48)*J$2</f>
        <v>0</v>
      </c>
      <c r="K429" s="88">
        <f>SUMIF(月間集計シート!$M$29:$M$48,$G429,月間集計シート!O$29:O$48)*K$2</f>
        <v>0</v>
      </c>
      <c r="L429" s="88">
        <f>SUMIF(月間集計シート!$M$29:$M$48,$G429,月間集計シート!P$29:P$48)*L$2</f>
        <v>0</v>
      </c>
      <c r="M429" s="88">
        <f>SUMIF(月間集計シート!$M$29:$M$48,$G429,月間集計シート!Q$29:Q$48)*M$2</f>
        <v>0</v>
      </c>
      <c r="N429" s="88">
        <f>SUMIF(月間集計シート!$M$29:$M$48,$G429,月間集計シート!R$29:R$48)*N$2</f>
        <v>0</v>
      </c>
      <c r="O429" s="88">
        <f>SUMIF(月間集計シート!$M$29:$M$48,$G429,月間集計シート!S$29:S$48)*O$2</f>
        <v>0</v>
      </c>
      <c r="P429" s="88">
        <f>SUMIF(月間集計シート!$M$29:$M$48,$G429,月間集計シート!T$29:T$48)*P$2</f>
        <v>0</v>
      </c>
      <c r="Q429" s="88">
        <f>SUMIF(月間集計シート!$M$50:$M$69,$G429,月間集計シート!N$50:N$69)*Q$2</f>
        <v>0</v>
      </c>
      <c r="R429" s="88">
        <f>SUMIF(月間集計シート!$M$50:$M$69,$G429,月間集計シート!O$50:O$69)*R$2</f>
        <v>0</v>
      </c>
      <c r="S429" s="88">
        <f>SUMIF(月間集計シート!$M$50:$M$69,$G429,月間集計シート!P$50:P$69)*S$2</f>
        <v>0</v>
      </c>
      <c r="T429" s="88">
        <f>SUMIF(月間集計シート!$M$50:$M$69,$G429,月間集計シート!Q$50:Q$69)*T$2</f>
        <v>0</v>
      </c>
      <c r="U429" s="88">
        <f>SUMIF(月間集計シート!$M$50:$M$69,$G429,月間集計シート!R$50:R$69)*U$2</f>
        <v>0</v>
      </c>
      <c r="V429" s="88">
        <f>SUMIF(月間集計シート!$M$50:$M$69,$G429,月間集計シート!S$50:S$69)*V$2</f>
        <v>0</v>
      </c>
      <c r="W429" s="88">
        <f>SUMIF(月間集計シート!$M$50:$M$69,$G429,月間集計シート!T$50:T$69)*W$2</f>
        <v>0</v>
      </c>
      <c r="X429" s="88">
        <f>SUMIF(月間集計シート!$M$71:$M$90,$G429,月間集計シート!N$71:N$90)*X$2</f>
        <v>0</v>
      </c>
      <c r="Y429" s="88">
        <f>SUMIF(月間集計シート!$M$71:$M$90,$G429,月間集計シート!O$71:O$90)*Y$2</f>
        <v>0</v>
      </c>
      <c r="Z429" s="88">
        <f>SUMIF(月間集計シート!$M$71:$M$90,$G429,月間集計シート!P$71:P$90)*Z$2</f>
        <v>0</v>
      </c>
      <c r="AA429" s="88">
        <f>SUMIF(月間集計シート!$M$71:$M$90,$G429,月間集計シート!Q$71:Q$90)*AA$2</f>
        <v>0</v>
      </c>
      <c r="AB429" s="88">
        <f>SUMIF(月間集計シート!$M$71:$M$90,$G429,月間集計シート!R$71:R$90)*AB$2</f>
        <v>0</v>
      </c>
      <c r="AC429" s="88">
        <f>SUMIF(月間集計シート!$M$71:$M$90,$G429,月間集計シート!S$71:S$90)*AC$2</f>
        <v>0</v>
      </c>
      <c r="AD429" s="88">
        <f>SUMIF(月間集計シート!$M$71:$M$90,$G429,月間集計シート!T$71:T$90)*AD$2</f>
        <v>0</v>
      </c>
      <c r="AE429" s="88">
        <f>SUMIF(月間集計シート!$M$92:$M$111,$G429,月間集計シート!N$92:N$111)*AE$2</f>
        <v>0</v>
      </c>
      <c r="AF429" s="88">
        <f>SUMIF(月間集計シート!$M$92:$M$111,$G429,月間集計シート!O$92:O$111)*AF$2</f>
        <v>0</v>
      </c>
      <c r="AG429" s="88">
        <f>SUMIF(月間集計シート!$M$92:$M$111,$G429,月間集計シート!P$92:P$111)*AG$2</f>
        <v>0</v>
      </c>
      <c r="AH429" s="88">
        <f>SUMIF(月間集計シート!$M$92:$M$111,$G429,月間集計シート!Q$92:Q$111)*AH$2</f>
        <v>0</v>
      </c>
      <c r="AI429" s="88">
        <f>SUMIF(月間集計シート!$M$92:$M$111,$G429,月間集計シート!R$92:R$111)*AI$2</f>
        <v>0</v>
      </c>
      <c r="AJ429" s="88">
        <f>SUMIF(月間集計シート!$M$92:$M$111,$G429,月間集計シート!S$92:S$111)*AJ$2</f>
        <v>0</v>
      </c>
      <c r="AK429" s="88">
        <f>SUMIF(月間集計シート!$M$92:$M$111,$G429,月間集計シート!T$92:T$111)*AK$2</f>
        <v>0</v>
      </c>
      <c r="AL429" s="88">
        <f>SUMIF(月間集計シート!$M$113:$M$132,$G429,月間集計シート!N$113:N$132)*AL$2</f>
        <v>0</v>
      </c>
      <c r="AM429" s="88">
        <f>SUMIF(月間集計シート!$M$113:$M$132,$G429,月間集計シート!O$113:O$132)*AM$2</f>
        <v>0</v>
      </c>
      <c r="AN429" s="88">
        <f>SUMIF(月間集計シート!$M$113:$M$132,$G429,月間集計シート!P$113:P$132)*AN$2</f>
        <v>0</v>
      </c>
      <c r="AO429" s="88">
        <f>SUMIF(月間集計シート!$M$113:$M$132,$G429,月間集計シート!Q$113:Q$132)*AO$2</f>
        <v>0</v>
      </c>
      <c r="AP429" s="88">
        <f>SUMIF(月間集計シート!$M$113:$M$132,$G429,月間集計シート!R$113:R$132)*AP$2</f>
        <v>0</v>
      </c>
      <c r="AQ429" s="88">
        <f>SUMIF(月間集計シート!$M$113:$M$132,$G429,月間集計シート!S$113:S$132)*AQ$2</f>
        <v>0</v>
      </c>
      <c r="AR429" s="88">
        <f>SUMIF(月間集計シート!$M$113:$M$132,$G429,月間集計シート!T$113:T$132)*AR$2</f>
        <v>0</v>
      </c>
      <c r="AS429" s="88">
        <f>SUMIF(月間集計シート!$M$134:$M$153,$G429,月間集計シート!N$134:N$153)*AS$2</f>
        <v>0</v>
      </c>
      <c r="AT429" s="88">
        <f>SUMIF(月間集計シート!$M$134:$M$153,$G429,月間集計シート!O$134:O$153)*AT$2</f>
        <v>0</v>
      </c>
      <c r="AU429" s="88">
        <f>SUMIF(月間集計シート!$M$134:$M$153,$G429,月間集計シート!P$134:P$153)*AU$2</f>
        <v>0</v>
      </c>
      <c r="AV429" s="88">
        <f>SUMIF(月間集計シート!$M$134:$M$153,$G429,月間集計シート!Q$134:Q$153)*AV$2</f>
        <v>0</v>
      </c>
      <c r="AW429" s="88">
        <f>SUMIF(月間集計シート!$M$134:$M$153,$G429,月間集計シート!R$134:R$153)*AW$2</f>
        <v>0</v>
      </c>
      <c r="AX429" s="88">
        <f>SUMIF(月間集計シート!$M$134:$M$153,$G429,月間集計シート!S$134:S$153)*AX$2</f>
        <v>0</v>
      </c>
      <c r="AY429" s="88">
        <f>SUMIF(月間集計シート!$M$134:$M$153,$G429,月間集計シート!T$134:T$153)*AY$2</f>
        <v>0</v>
      </c>
    </row>
    <row r="430" spans="1:51" ht="14.25" thickBot="1">
      <c r="A430">
        <v>5</v>
      </c>
      <c r="B430" s="120">
        <f t="shared" si="191"/>
        <v>0</v>
      </c>
      <c r="C430" s="120" t="str">
        <f t="shared" si="191"/>
        <v/>
      </c>
      <c r="D430" s="137"/>
      <c r="E430" s="150" t="str">
        <f>工種!A82</f>
        <v>99110</v>
      </c>
      <c r="F430" s="119" t="str">
        <f>工種!B82</f>
        <v>間接業務：打合せ</v>
      </c>
      <c r="G430" s="116" t="str">
        <f t="shared" si="192"/>
        <v>099110</v>
      </c>
      <c r="H430" s="88">
        <f t="shared" si="193"/>
        <v>0</v>
      </c>
      <c r="I430" s="132"/>
      <c r="J430" s="88">
        <f>SUMIF(月間集計シート!$M$29:$M$48,$G430,月間集計シート!N$29:N$48)*J$2</f>
        <v>0</v>
      </c>
      <c r="K430" s="88">
        <f>SUMIF(月間集計シート!$M$29:$M$48,$G430,月間集計シート!O$29:O$48)*K$2</f>
        <v>0</v>
      </c>
      <c r="L430" s="88">
        <f>SUMIF(月間集計シート!$M$29:$M$48,$G430,月間集計シート!P$29:P$48)*L$2</f>
        <v>0</v>
      </c>
      <c r="M430" s="88">
        <f>SUMIF(月間集計シート!$M$29:$M$48,$G430,月間集計シート!Q$29:Q$48)*M$2</f>
        <v>0</v>
      </c>
      <c r="N430" s="88">
        <f>SUMIF(月間集計シート!$M$29:$M$48,$G430,月間集計シート!R$29:R$48)*N$2</f>
        <v>0</v>
      </c>
      <c r="O430" s="88">
        <f>SUMIF(月間集計シート!$M$29:$M$48,$G430,月間集計シート!S$29:S$48)*O$2</f>
        <v>0</v>
      </c>
      <c r="P430" s="88">
        <f>SUMIF(月間集計シート!$M$29:$M$48,$G430,月間集計シート!T$29:T$48)*P$2</f>
        <v>0</v>
      </c>
      <c r="Q430" s="88">
        <f>SUMIF(月間集計シート!$M$50:$M$69,$G430,月間集計シート!N$50:N$69)*Q$2</f>
        <v>0</v>
      </c>
      <c r="R430" s="88">
        <f>SUMIF(月間集計シート!$M$50:$M$69,$G430,月間集計シート!O$50:O$69)*R$2</f>
        <v>0</v>
      </c>
      <c r="S430" s="88">
        <f>SUMIF(月間集計シート!$M$50:$M$69,$G430,月間集計シート!P$50:P$69)*S$2</f>
        <v>0</v>
      </c>
      <c r="T430" s="88">
        <f>SUMIF(月間集計シート!$M$50:$M$69,$G430,月間集計シート!Q$50:Q$69)*T$2</f>
        <v>0</v>
      </c>
      <c r="U430" s="88">
        <f>SUMIF(月間集計シート!$M$50:$M$69,$G430,月間集計シート!R$50:R$69)*U$2</f>
        <v>0</v>
      </c>
      <c r="V430" s="88">
        <f>SUMIF(月間集計シート!$M$50:$M$69,$G430,月間集計シート!S$50:S$69)*V$2</f>
        <v>0</v>
      </c>
      <c r="W430" s="88">
        <f>SUMIF(月間集計シート!$M$50:$M$69,$G430,月間集計シート!T$50:T$69)*W$2</f>
        <v>0</v>
      </c>
      <c r="X430" s="88">
        <f>SUMIF(月間集計シート!$M$71:$M$90,$G430,月間集計シート!N$71:N$90)*X$2</f>
        <v>0</v>
      </c>
      <c r="Y430" s="88">
        <f>SUMIF(月間集計シート!$M$71:$M$90,$G430,月間集計シート!O$71:O$90)*Y$2</f>
        <v>0</v>
      </c>
      <c r="Z430" s="88">
        <f>SUMIF(月間集計シート!$M$71:$M$90,$G430,月間集計シート!P$71:P$90)*Z$2</f>
        <v>0</v>
      </c>
      <c r="AA430" s="88">
        <f>SUMIF(月間集計シート!$M$71:$M$90,$G430,月間集計シート!Q$71:Q$90)*AA$2</f>
        <v>0</v>
      </c>
      <c r="AB430" s="88">
        <f>SUMIF(月間集計シート!$M$71:$M$90,$G430,月間集計シート!R$71:R$90)*AB$2</f>
        <v>0</v>
      </c>
      <c r="AC430" s="88">
        <f>SUMIF(月間集計シート!$M$71:$M$90,$G430,月間集計シート!S$71:S$90)*AC$2</f>
        <v>0</v>
      </c>
      <c r="AD430" s="88">
        <f>SUMIF(月間集計シート!$M$71:$M$90,$G430,月間集計シート!T$71:T$90)*AD$2</f>
        <v>0</v>
      </c>
      <c r="AE430" s="88">
        <f>SUMIF(月間集計シート!$M$92:$M$111,$G430,月間集計シート!N$92:N$111)*AE$2</f>
        <v>0</v>
      </c>
      <c r="AF430" s="88">
        <f>SUMIF(月間集計シート!$M$92:$M$111,$G430,月間集計シート!O$92:O$111)*AF$2</f>
        <v>0</v>
      </c>
      <c r="AG430" s="88">
        <f>SUMIF(月間集計シート!$M$92:$M$111,$G430,月間集計シート!P$92:P$111)*AG$2</f>
        <v>0</v>
      </c>
      <c r="AH430" s="88">
        <f>SUMIF(月間集計シート!$M$92:$M$111,$G430,月間集計シート!Q$92:Q$111)*AH$2</f>
        <v>0</v>
      </c>
      <c r="AI430" s="88">
        <f>SUMIF(月間集計シート!$M$92:$M$111,$G430,月間集計シート!R$92:R$111)*AI$2</f>
        <v>0</v>
      </c>
      <c r="AJ430" s="88">
        <f>SUMIF(月間集計シート!$M$92:$M$111,$G430,月間集計シート!S$92:S$111)*AJ$2</f>
        <v>0</v>
      </c>
      <c r="AK430" s="88">
        <f>SUMIF(月間集計シート!$M$92:$M$111,$G430,月間集計シート!T$92:T$111)*AK$2</f>
        <v>0</v>
      </c>
      <c r="AL430" s="88">
        <f>SUMIF(月間集計シート!$M$113:$M$132,$G430,月間集計シート!N$113:N$132)*AL$2</f>
        <v>0</v>
      </c>
      <c r="AM430" s="88">
        <f>SUMIF(月間集計シート!$M$113:$M$132,$G430,月間集計シート!O$113:O$132)*AM$2</f>
        <v>0</v>
      </c>
      <c r="AN430" s="88">
        <f>SUMIF(月間集計シート!$M$113:$M$132,$G430,月間集計シート!P$113:P$132)*AN$2</f>
        <v>0</v>
      </c>
      <c r="AO430" s="88">
        <f>SUMIF(月間集計シート!$M$113:$M$132,$G430,月間集計シート!Q$113:Q$132)*AO$2</f>
        <v>0</v>
      </c>
      <c r="AP430" s="88">
        <f>SUMIF(月間集計シート!$M$113:$M$132,$G430,月間集計シート!R$113:R$132)*AP$2</f>
        <v>0</v>
      </c>
      <c r="AQ430" s="88">
        <f>SUMIF(月間集計シート!$M$113:$M$132,$G430,月間集計シート!S$113:S$132)*AQ$2</f>
        <v>0</v>
      </c>
      <c r="AR430" s="88">
        <f>SUMIF(月間集計シート!$M$113:$M$132,$G430,月間集計シート!T$113:T$132)*AR$2</f>
        <v>0</v>
      </c>
      <c r="AS430" s="88">
        <f>SUMIF(月間集計シート!$M$134:$M$153,$G430,月間集計シート!N$134:N$153)*AS$2</f>
        <v>0</v>
      </c>
      <c r="AT430" s="88">
        <f>SUMIF(月間集計シート!$M$134:$M$153,$G430,月間集計シート!O$134:O$153)*AT$2</f>
        <v>0</v>
      </c>
      <c r="AU430" s="88">
        <f>SUMIF(月間集計シート!$M$134:$M$153,$G430,月間集計シート!P$134:P$153)*AU$2</f>
        <v>0</v>
      </c>
      <c r="AV430" s="88">
        <f>SUMIF(月間集計シート!$M$134:$M$153,$G430,月間集計シート!Q$134:Q$153)*AV$2</f>
        <v>0</v>
      </c>
      <c r="AW430" s="88">
        <f>SUMIF(月間集計シート!$M$134:$M$153,$G430,月間集計シート!R$134:R$153)*AW$2</f>
        <v>0</v>
      </c>
      <c r="AX430" s="88">
        <f>SUMIF(月間集計シート!$M$134:$M$153,$G430,月間集計シート!S$134:S$153)*AX$2</f>
        <v>0</v>
      </c>
      <c r="AY430" s="88">
        <f>SUMIF(月間集計シート!$M$134:$M$153,$G430,月間集計シート!T$134:T$153)*AY$2</f>
        <v>0</v>
      </c>
    </row>
    <row r="431" spans="1:51" ht="14.25" thickBot="1">
      <c r="A431">
        <v>5</v>
      </c>
      <c r="B431" s="120">
        <f t="shared" si="191"/>
        <v>0</v>
      </c>
      <c r="C431" s="120" t="str">
        <f t="shared" si="191"/>
        <v/>
      </c>
      <c r="D431" s="137"/>
      <c r="E431" s="150" t="str">
        <f>工種!A83</f>
        <v>99199</v>
      </c>
      <c r="F431" s="119" t="str">
        <f>工種!B72</f>
        <v>管理業務：開発事務作業</v>
      </c>
      <c r="G431" s="116" t="str">
        <f t="shared" si="187"/>
        <v>099199</v>
      </c>
      <c r="H431" s="88">
        <f t="shared" si="141"/>
        <v>0</v>
      </c>
      <c r="I431" s="132"/>
      <c r="J431" s="88">
        <f>SUMIF(月間集計シート!$M$29:$M$48,$G431,月間集計シート!N$29:N$48)*J$2</f>
        <v>0</v>
      </c>
      <c r="K431" s="88">
        <f>SUMIF(月間集計シート!$M$29:$M$48,$G431,月間集計シート!O$29:O$48)*K$2</f>
        <v>0</v>
      </c>
      <c r="L431" s="88">
        <f>SUMIF(月間集計シート!$M$29:$M$48,$G431,月間集計シート!P$29:P$48)*L$2</f>
        <v>0</v>
      </c>
      <c r="M431" s="88">
        <f>SUMIF(月間集計シート!$M$29:$M$48,$G431,月間集計シート!Q$29:Q$48)*M$2</f>
        <v>0</v>
      </c>
      <c r="N431" s="88">
        <f>SUMIF(月間集計シート!$M$29:$M$48,$G431,月間集計シート!R$29:R$48)*N$2</f>
        <v>0</v>
      </c>
      <c r="O431" s="88">
        <f>SUMIF(月間集計シート!$M$29:$M$48,$G431,月間集計シート!S$29:S$48)*O$2</f>
        <v>0</v>
      </c>
      <c r="P431" s="88">
        <f>SUMIF(月間集計シート!$M$29:$M$48,$G431,月間集計シート!T$29:T$48)*P$2</f>
        <v>0</v>
      </c>
      <c r="Q431" s="88">
        <f>SUMIF(月間集計シート!$M$50:$M$69,$G431,月間集計シート!N$50:N$69)*Q$2</f>
        <v>0</v>
      </c>
      <c r="R431" s="88">
        <f>SUMIF(月間集計シート!$M$50:$M$69,$G431,月間集計シート!O$50:O$69)*R$2</f>
        <v>0</v>
      </c>
      <c r="S431" s="88">
        <f>SUMIF(月間集計シート!$M$50:$M$69,$G431,月間集計シート!P$50:P$69)*S$2</f>
        <v>0</v>
      </c>
      <c r="T431" s="88">
        <f>SUMIF(月間集計シート!$M$50:$M$69,$G431,月間集計シート!Q$50:Q$69)*T$2</f>
        <v>0</v>
      </c>
      <c r="U431" s="88">
        <f>SUMIF(月間集計シート!$M$50:$M$69,$G431,月間集計シート!R$50:R$69)*U$2</f>
        <v>0</v>
      </c>
      <c r="V431" s="88">
        <f>SUMIF(月間集計シート!$M$50:$M$69,$G431,月間集計シート!S$50:S$69)*V$2</f>
        <v>0</v>
      </c>
      <c r="W431" s="88">
        <f>SUMIF(月間集計シート!$M$50:$M$69,$G431,月間集計シート!T$50:T$69)*W$2</f>
        <v>0</v>
      </c>
      <c r="X431" s="88">
        <f>SUMIF(月間集計シート!$M$71:$M$90,$G431,月間集計シート!N$71:N$90)*X$2</f>
        <v>0</v>
      </c>
      <c r="Y431" s="88">
        <f>SUMIF(月間集計シート!$M$71:$M$90,$G431,月間集計シート!O$71:O$90)*Y$2</f>
        <v>0</v>
      </c>
      <c r="Z431" s="88">
        <f>SUMIF(月間集計シート!$M$71:$M$90,$G431,月間集計シート!P$71:P$90)*Z$2</f>
        <v>0</v>
      </c>
      <c r="AA431" s="88">
        <f>SUMIF(月間集計シート!$M$71:$M$90,$G431,月間集計シート!Q$71:Q$90)*AA$2</f>
        <v>0</v>
      </c>
      <c r="AB431" s="88">
        <f>SUMIF(月間集計シート!$M$71:$M$90,$G431,月間集計シート!R$71:R$90)*AB$2</f>
        <v>0</v>
      </c>
      <c r="AC431" s="88">
        <f>SUMIF(月間集計シート!$M$71:$M$90,$G431,月間集計シート!S$71:S$90)*AC$2</f>
        <v>0</v>
      </c>
      <c r="AD431" s="88">
        <f>SUMIF(月間集計シート!$M$71:$M$90,$G431,月間集計シート!T$71:T$90)*AD$2</f>
        <v>0</v>
      </c>
      <c r="AE431" s="88">
        <f>SUMIF(月間集計シート!$M$92:$M$111,$G431,月間集計シート!N$92:N$111)*AE$2</f>
        <v>0</v>
      </c>
      <c r="AF431" s="88">
        <f>SUMIF(月間集計シート!$M$92:$M$111,$G431,月間集計シート!O$92:O$111)*AF$2</f>
        <v>0</v>
      </c>
      <c r="AG431" s="88">
        <f>SUMIF(月間集計シート!$M$92:$M$111,$G431,月間集計シート!P$92:P$111)*AG$2</f>
        <v>0</v>
      </c>
      <c r="AH431" s="88">
        <f>SUMIF(月間集計シート!$M$92:$M$111,$G431,月間集計シート!Q$92:Q$111)*AH$2</f>
        <v>0</v>
      </c>
      <c r="AI431" s="88">
        <f>SUMIF(月間集計シート!$M$92:$M$111,$G431,月間集計シート!R$92:R$111)*AI$2</f>
        <v>0</v>
      </c>
      <c r="AJ431" s="88">
        <f>SUMIF(月間集計シート!$M$92:$M$111,$G431,月間集計シート!S$92:S$111)*AJ$2</f>
        <v>0</v>
      </c>
      <c r="AK431" s="88">
        <f>SUMIF(月間集計シート!$M$92:$M$111,$G431,月間集計シート!T$92:T$111)*AK$2</f>
        <v>0</v>
      </c>
      <c r="AL431" s="88">
        <f>SUMIF(月間集計シート!$M$113:$M$132,$G431,月間集計シート!N$113:N$132)*AL$2</f>
        <v>0</v>
      </c>
      <c r="AM431" s="88">
        <f>SUMIF(月間集計シート!$M$113:$M$132,$G431,月間集計シート!O$113:O$132)*AM$2</f>
        <v>0</v>
      </c>
      <c r="AN431" s="88">
        <f>SUMIF(月間集計シート!$M$113:$M$132,$G431,月間集計シート!P$113:P$132)*AN$2</f>
        <v>0</v>
      </c>
      <c r="AO431" s="88">
        <f>SUMIF(月間集計シート!$M$113:$M$132,$G431,月間集計シート!Q$113:Q$132)*AO$2</f>
        <v>0</v>
      </c>
      <c r="AP431" s="88">
        <f>SUMIF(月間集計シート!$M$113:$M$132,$G431,月間集計シート!R$113:R$132)*AP$2</f>
        <v>0</v>
      </c>
      <c r="AQ431" s="88">
        <f>SUMIF(月間集計シート!$M$113:$M$132,$G431,月間集計シート!S$113:S$132)*AQ$2</f>
        <v>0</v>
      </c>
      <c r="AR431" s="88">
        <f>SUMIF(月間集計シート!$M$113:$M$132,$G431,月間集計シート!T$113:T$132)*AR$2</f>
        <v>0</v>
      </c>
      <c r="AS431" s="88">
        <f>SUMIF(月間集計シート!$M$134:$M$153,$G431,月間集計シート!N$134:N$153)*AS$2</f>
        <v>0</v>
      </c>
      <c r="AT431" s="88">
        <f>SUMIF(月間集計シート!$M$134:$M$153,$G431,月間集計シート!O$134:O$153)*AT$2</f>
        <v>0</v>
      </c>
      <c r="AU431" s="88">
        <f>SUMIF(月間集計シート!$M$134:$M$153,$G431,月間集計シート!P$134:P$153)*AU$2</f>
        <v>0</v>
      </c>
      <c r="AV431" s="88">
        <f>SUMIF(月間集計シート!$M$134:$M$153,$G431,月間集計シート!Q$134:Q$153)*AV$2</f>
        <v>0</v>
      </c>
      <c r="AW431" s="88">
        <f>SUMIF(月間集計シート!$M$134:$M$153,$G431,月間集計シート!R$134:R$153)*AW$2</f>
        <v>0</v>
      </c>
      <c r="AX431" s="88">
        <f>SUMIF(月間集計シート!$M$134:$M$153,$G431,月間集計シート!S$134:S$153)*AX$2</f>
        <v>0</v>
      </c>
      <c r="AY431" s="88">
        <f>SUMIF(月間集計シート!$M$134:$M$153,$G431,月間集計シート!T$134:T$153)*AY$2</f>
        <v>0</v>
      </c>
    </row>
    <row r="432" spans="1:51">
      <c r="B432" s="120"/>
      <c r="C432" s="120"/>
      <c r="D432" s="127"/>
      <c r="E432" s="115"/>
      <c r="F432" s="119"/>
      <c r="G432" s="116"/>
      <c r="H432" s="88"/>
      <c r="I432" s="132"/>
      <c r="J432" s="88"/>
      <c r="K432" s="88"/>
      <c r="L432" s="88"/>
      <c r="M432" s="88"/>
      <c r="N432" s="88"/>
      <c r="O432" s="88"/>
      <c r="P432" s="88"/>
      <c r="Q432" s="88"/>
      <c r="R432" s="88"/>
      <c r="S432" s="88"/>
      <c r="T432" s="88"/>
      <c r="U432" s="88"/>
      <c r="V432" s="88"/>
      <c r="W432" s="88"/>
      <c r="X432" s="88"/>
      <c r="Y432" s="88"/>
      <c r="Z432" s="88"/>
      <c r="AA432" s="88"/>
      <c r="AB432" s="88"/>
      <c r="AC432" s="88"/>
      <c r="AD432" s="88"/>
      <c r="AE432" s="88"/>
      <c r="AF432" s="88"/>
      <c r="AG432" s="88"/>
      <c r="AH432" s="88"/>
      <c r="AI432" s="88"/>
      <c r="AJ432" s="88"/>
      <c r="AK432" s="88"/>
      <c r="AL432" s="88"/>
      <c r="AM432" s="88"/>
      <c r="AN432" s="88"/>
      <c r="AO432" s="88"/>
      <c r="AP432" s="88"/>
      <c r="AQ432" s="88"/>
      <c r="AR432" s="88"/>
      <c r="AS432" s="88"/>
      <c r="AT432" s="88"/>
      <c r="AU432" s="88"/>
      <c r="AV432" s="88"/>
      <c r="AW432" s="88"/>
      <c r="AX432" s="88"/>
      <c r="AY432" s="88"/>
    </row>
    <row r="433" spans="1:51" ht="14.25" thickBot="1">
      <c r="A433">
        <v>6</v>
      </c>
      <c r="B433">
        <f>月間集計シート!I9</f>
        <v>0</v>
      </c>
      <c r="C433" s="116" t="str">
        <f>月間集計シート!J9</f>
        <v/>
      </c>
      <c r="D433" s="147">
        <v>1</v>
      </c>
      <c r="E433" s="115" t="s">
        <v>451</v>
      </c>
      <c r="F433" s="119" t="s">
        <v>29</v>
      </c>
      <c r="G433" s="116"/>
      <c r="H433" s="88">
        <f t="shared" ref="H433:H516" si="194">SUM(J433:AY433)</f>
        <v>0</v>
      </c>
      <c r="I433" s="132"/>
      <c r="J433" s="88">
        <f>SUM(J435:J516)</f>
        <v>0</v>
      </c>
      <c r="K433" s="88">
        <f t="shared" ref="K433:AY433" si="195">SUM(K435:K516)</f>
        <v>0</v>
      </c>
      <c r="L433" s="88">
        <f t="shared" si="195"/>
        <v>0</v>
      </c>
      <c r="M433" s="88">
        <f t="shared" si="195"/>
        <v>0</v>
      </c>
      <c r="N433" s="88">
        <f t="shared" si="195"/>
        <v>0</v>
      </c>
      <c r="O433" s="88">
        <f t="shared" si="195"/>
        <v>0</v>
      </c>
      <c r="P433" s="88">
        <f t="shared" si="195"/>
        <v>0</v>
      </c>
      <c r="Q433" s="88">
        <f t="shared" si="195"/>
        <v>0</v>
      </c>
      <c r="R433" s="88">
        <f t="shared" si="195"/>
        <v>0</v>
      </c>
      <c r="S433" s="88">
        <f t="shared" si="195"/>
        <v>0</v>
      </c>
      <c r="T433" s="88">
        <f t="shared" si="195"/>
        <v>0</v>
      </c>
      <c r="U433" s="88">
        <f t="shared" si="195"/>
        <v>0</v>
      </c>
      <c r="V433" s="88">
        <f t="shared" si="195"/>
        <v>0</v>
      </c>
      <c r="W433" s="88">
        <f t="shared" si="195"/>
        <v>0</v>
      </c>
      <c r="X433" s="88">
        <f t="shared" si="195"/>
        <v>0</v>
      </c>
      <c r="Y433" s="88">
        <f t="shared" si="195"/>
        <v>0</v>
      </c>
      <c r="Z433" s="88">
        <f t="shared" si="195"/>
        <v>0</v>
      </c>
      <c r="AA433" s="88">
        <f t="shared" si="195"/>
        <v>0</v>
      </c>
      <c r="AB433" s="88">
        <f t="shared" si="195"/>
        <v>0</v>
      </c>
      <c r="AC433" s="88">
        <f t="shared" si="195"/>
        <v>0</v>
      </c>
      <c r="AD433" s="88">
        <f t="shared" si="195"/>
        <v>0</v>
      </c>
      <c r="AE433" s="88">
        <f t="shared" si="195"/>
        <v>0</v>
      </c>
      <c r="AF433" s="88">
        <f t="shared" si="195"/>
        <v>0</v>
      </c>
      <c r="AG433" s="88">
        <f t="shared" si="195"/>
        <v>0</v>
      </c>
      <c r="AH433" s="88">
        <f t="shared" si="195"/>
        <v>0</v>
      </c>
      <c r="AI433" s="88">
        <f t="shared" si="195"/>
        <v>0</v>
      </c>
      <c r="AJ433" s="88">
        <f t="shared" si="195"/>
        <v>0</v>
      </c>
      <c r="AK433" s="88">
        <f t="shared" si="195"/>
        <v>0</v>
      </c>
      <c r="AL433" s="88">
        <f t="shared" si="195"/>
        <v>0</v>
      </c>
      <c r="AM433" s="88">
        <f t="shared" si="195"/>
        <v>0</v>
      </c>
      <c r="AN433" s="88">
        <f t="shared" si="195"/>
        <v>0</v>
      </c>
      <c r="AO433" s="88">
        <f t="shared" si="195"/>
        <v>0</v>
      </c>
      <c r="AP433" s="88">
        <f t="shared" si="195"/>
        <v>0</v>
      </c>
      <c r="AQ433" s="88">
        <f t="shared" si="195"/>
        <v>0</v>
      </c>
      <c r="AR433" s="88">
        <f t="shared" si="195"/>
        <v>0</v>
      </c>
      <c r="AS433" s="88">
        <f t="shared" si="195"/>
        <v>0</v>
      </c>
      <c r="AT433" s="88">
        <f t="shared" si="195"/>
        <v>0</v>
      </c>
      <c r="AU433" s="88">
        <f t="shared" si="195"/>
        <v>0</v>
      </c>
      <c r="AV433" s="88">
        <f t="shared" si="195"/>
        <v>0</v>
      </c>
      <c r="AW433" s="88">
        <f t="shared" si="195"/>
        <v>0</v>
      </c>
      <c r="AX433" s="88">
        <f t="shared" si="195"/>
        <v>0</v>
      </c>
      <c r="AY433" s="88">
        <f t="shared" si="195"/>
        <v>0</v>
      </c>
    </row>
    <row r="434" spans="1:51" ht="14.25" customHeight="1" thickBot="1">
      <c r="A434">
        <v>6</v>
      </c>
      <c r="B434">
        <f>B433</f>
        <v>0</v>
      </c>
      <c r="C434" s="116" t="str">
        <f>C433</f>
        <v/>
      </c>
      <c r="D434" s="147">
        <v>1</v>
      </c>
      <c r="E434" s="115" t="s">
        <v>453</v>
      </c>
      <c r="F434" s="119" t="s">
        <v>454</v>
      </c>
      <c r="G434" s="116"/>
      <c r="H434" s="129">
        <f t="shared" ref="H434" si="196">SUM(J434:AY434)</f>
        <v>0</v>
      </c>
      <c r="I434" s="132"/>
      <c r="J434" s="88">
        <f>SUMIF($D435:$D516,1,J435:J516)</f>
        <v>0</v>
      </c>
      <c r="K434" s="88">
        <f t="shared" ref="K434" si="197">SUMIF($D435:$D516,1,K435:K516)</f>
        <v>0</v>
      </c>
      <c r="L434" s="88">
        <f t="shared" ref="L434" si="198">SUMIF($D435:$D516,1,L435:L516)</f>
        <v>0</v>
      </c>
      <c r="M434" s="88">
        <f t="shared" ref="M434" si="199">SUMIF($D435:$D516,1,M435:M516)</f>
        <v>0</v>
      </c>
      <c r="N434" s="88">
        <f t="shared" ref="N434" si="200">SUMIF($D435:$D516,1,N435:N516)</f>
        <v>0</v>
      </c>
      <c r="O434" s="88">
        <f t="shared" ref="O434" si="201">SUMIF($D435:$D516,1,O435:O516)</f>
        <v>0</v>
      </c>
      <c r="P434" s="88">
        <f t="shared" ref="P434" si="202">SUMIF($D435:$D516,1,P435:P516)</f>
        <v>0</v>
      </c>
      <c r="Q434" s="88">
        <f t="shared" ref="Q434" si="203">SUMIF($D435:$D516,1,Q435:Q516)</f>
        <v>0</v>
      </c>
      <c r="R434" s="88">
        <f t="shared" ref="R434" si="204">SUMIF($D435:$D516,1,R435:R516)</f>
        <v>0</v>
      </c>
      <c r="S434" s="88">
        <f t="shared" ref="S434" si="205">SUMIF($D435:$D516,1,S435:S516)</f>
        <v>0</v>
      </c>
      <c r="T434" s="88">
        <f t="shared" ref="T434" si="206">SUMIF($D435:$D516,1,T435:T516)</f>
        <v>0</v>
      </c>
      <c r="U434" s="88">
        <f t="shared" ref="U434" si="207">SUMIF($D435:$D516,1,U435:U516)</f>
        <v>0</v>
      </c>
      <c r="V434" s="88">
        <f t="shared" ref="V434" si="208">SUMIF($D435:$D516,1,V435:V516)</f>
        <v>0</v>
      </c>
      <c r="W434" s="88">
        <f t="shared" ref="W434" si="209">SUMIF($D435:$D516,1,W435:W516)</f>
        <v>0</v>
      </c>
      <c r="X434" s="88">
        <f t="shared" ref="X434" si="210">SUMIF($D435:$D516,1,X435:X516)</f>
        <v>0</v>
      </c>
      <c r="Y434" s="88">
        <f t="shared" ref="Y434" si="211">SUMIF($D435:$D516,1,Y435:Y516)</f>
        <v>0</v>
      </c>
      <c r="Z434" s="88">
        <f t="shared" ref="Z434" si="212">SUMIF($D435:$D516,1,Z435:Z516)</f>
        <v>0</v>
      </c>
      <c r="AA434" s="88">
        <f t="shared" ref="AA434" si="213">SUMIF($D435:$D516,1,AA435:AA516)</f>
        <v>0</v>
      </c>
      <c r="AB434" s="88">
        <f t="shared" ref="AB434" si="214">SUMIF($D435:$D516,1,AB435:AB516)</f>
        <v>0</v>
      </c>
      <c r="AC434" s="88">
        <f t="shared" ref="AC434" si="215">SUMIF($D435:$D516,1,AC435:AC516)</f>
        <v>0</v>
      </c>
      <c r="AD434" s="88">
        <f t="shared" ref="AD434" si="216">SUMIF($D435:$D516,1,AD435:AD516)</f>
        <v>0</v>
      </c>
      <c r="AE434" s="88">
        <f t="shared" ref="AE434" si="217">SUMIF($D435:$D516,1,AE435:AE516)</f>
        <v>0</v>
      </c>
      <c r="AF434" s="88">
        <f t="shared" ref="AF434" si="218">SUMIF($D435:$D516,1,AF435:AF516)</f>
        <v>0</v>
      </c>
      <c r="AG434" s="88">
        <f t="shared" ref="AG434" si="219">SUMIF($D435:$D516,1,AG435:AG516)</f>
        <v>0</v>
      </c>
      <c r="AH434" s="88">
        <f t="shared" ref="AH434" si="220">SUMIF($D435:$D516,1,AH435:AH516)</f>
        <v>0</v>
      </c>
      <c r="AI434" s="88">
        <f t="shared" ref="AI434" si="221">SUMIF($D435:$D516,1,AI435:AI516)</f>
        <v>0</v>
      </c>
      <c r="AJ434" s="88">
        <f t="shared" ref="AJ434" si="222">SUMIF($D435:$D516,1,AJ435:AJ516)</f>
        <v>0</v>
      </c>
      <c r="AK434" s="88">
        <f t="shared" ref="AK434" si="223">SUMIF($D435:$D516,1,AK435:AK516)</f>
        <v>0</v>
      </c>
      <c r="AL434" s="88">
        <f t="shared" ref="AL434" si="224">SUMIF($D435:$D516,1,AL435:AL516)</f>
        <v>0</v>
      </c>
      <c r="AM434" s="88">
        <f t="shared" ref="AM434" si="225">SUMIF($D435:$D516,1,AM435:AM516)</f>
        <v>0</v>
      </c>
      <c r="AN434" s="88">
        <f t="shared" ref="AN434" si="226">SUMIF($D435:$D516,1,AN435:AN516)</f>
        <v>0</v>
      </c>
      <c r="AO434" s="88">
        <f t="shared" ref="AO434" si="227">SUMIF($D435:$D516,1,AO435:AO516)</f>
        <v>0</v>
      </c>
      <c r="AP434" s="88">
        <f t="shared" ref="AP434" si="228">SUMIF($D435:$D516,1,AP435:AP516)</f>
        <v>0</v>
      </c>
      <c r="AQ434" s="88">
        <f t="shared" ref="AQ434" si="229">SUMIF($D435:$D516,1,AQ435:AQ516)</f>
        <v>0</v>
      </c>
      <c r="AR434" s="88">
        <f t="shared" ref="AR434" si="230">SUMIF($D435:$D516,1,AR435:AR516)</f>
        <v>0</v>
      </c>
      <c r="AS434" s="88">
        <f t="shared" ref="AS434" si="231">SUMIF($D435:$D516,1,AS435:AS516)</f>
        <v>0</v>
      </c>
      <c r="AT434" s="88">
        <f t="shared" ref="AT434" si="232">SUMIF($D435:$D516,1,AT435:AT516)</f>
        <v>0</v>
      </c>
      <c r="AU434" s="88">
        <f t="shared" ref="AU434" si="233">SUMIF($D435:$D516,1,AU435:AU516)</f>
        <v>0</v>
      </c>
      <c r="AV434" s="88">
        <f t="shared" ref="AV434" si="234">SUMIF($D435:$D516,1,AV435:AV516)</f>
        <v>0</v>
      </c>
      <c r="AW434" s="88">
        <f t="shared" ref="AW434" si="235">SUMIF($D435:$D516,1,AW435:AW516)</f>
        <v>0</v>
      </c>
      <c r="AX434" s="88">
        <f t="shared" ref="AX434" si="236">SUMIF($D435:$D516,1,AX435:AX516)</f>
        <v>0</v>
      </c>
      <c r="AY434" s="88">
        <f t="shared" ref="AY434" si="237">SUMIF($D435:$D516,1,AY435:AY516)</f>
        <v>0</v>
      </c>
    </row>
    <row r="435" spans="1:51" ht="14.25" thickBot="1">
      <c r="A435">
        <v>6</v>
      </c>
      <c r="B435" s="120">
        <f>B433</f>
        <v>0</v>
      </c>
      <c r="C435" s="120" t="str">
        <f>C433</f>
        <v/>
      </c>
      <c r="D435" s="137"/>
      <c r="E435" s="150" t="str">
        <f>工種!A2</f>
        <v>10102</v>
      </c>
      <c r="F435" s="119" t="str">
        <f>工種!B2</f>
        <v>SRS：調査・分析・開発計画の準備・実施作業</v>
      </c>
      <c r="G435" s="116" t="str">
        <f t="shared" si="187"/>
        <v>010102</v>
      </c>
      <c r="H435" s="88">
        <f t="shared" si="194"/>
        <v>0</v>
      </c>
      <c r="I435" s="132"/>
      <c r="J435" s="88">
        <f>SUMIF(月間集計シート!$M$29:$M$48,$G435,月間集計シート!N$29:N$48)*J$2</f>
        <v>0</v>
      </c>
      <c r="K435" s="88">
        <f>SUMIF(月間集計シート!$M$29:$M$48,$G435,月間集計シート!O$29:O$48)*K$2</f>
        <v>0</v>
      </c>
      <c r="L435" s="88">
        <f>SUMIF(月間集計シート!$M$29:$M$48,$G435,月間集計シート!P$29:P$48)*L$2</f>
        <v>0</v>
      </c>
      <c r="M435" s="88">
        <f>SUMIF(月間集計シート!$M$29:$M$48,$G435,月間集計シート!Q$29:Q$48)*M$2</f>
        <v>0</v>
      </c>
      <c r="N435" s="88">
        <f>SUMIF(月間集計シート!$M$29:$M$48,$G435,月間集計シート!R$29:R$48)*N$2</f>
        <v>0</v>
      </c>
      <c r="O435" s="88">
        <f>SUMIF(月間集計シート!$M$29:$M$48,$G435,月間集計シート!S$29:S$48)*O$2</f>
        <v>0</v>
      </c>
      <c r="P435" s="88">
        <f>SUMIF(月間集計シート!$M$29:$M$48,$G435,月間集計シート!T$29:T$48)*P$2</f>
        <v>0</v>
      </c>
      <c r="Q435" s="88">
        <f>SUMIF(月間集計シート!$M$50:$M$69,$G435,月間集計シート!N$50:N$69)*Q$2</f>
        <v>0</v>
      </c>
      <c r="R435" s="88">
        <f>SUMIF(月間集計シート!$M$50:$M$69,$G435,月間集計シート!O$50:O$69)*R$2</f>
        <v>0</v>
      </c>
      <c r="S435" s="88">
        <f>SUMIF(月間集計シート!$M$50:$M$69,$G435,月間集計シート!P$50:P$69)*S$2</f>
        <v>0</v>
      </c>
      <c r="T435" s="88">
        <f>SUMIF(月間集計シート!$M$50:$M$69,$G435,月間集計シート!Q$50:Q$69)*T$2</f>
        <v>0</v>
      </c>
      <c r="U435" s="88">
        <f>SUMIF(月間集計シート!$M$50:$M$69,$G435,月間集計シート!R$50:R$69)*U$2</f>
        <v>0</v>
      </c>
      <c r="V435" s="88">
        <f>SUMIF(月間集計シート!$M$50:$M$69,$G435,月間集計シート!S$50:S$69)*V$2</f>
        <v>0</v>
      </c>
      <c r="W435" s="88">
        <f>SUMIF(月間集計シート!$M$50:$M$69,$G435,月間集計シート!T$50:T$69)*W$2</f>
        <v>0</v>
      </c>
      <c r="X435" s="88">
        <f>SUMIF(月間集計シート!$M$71:$M$90,$G435,月間集計シート!N$71:N$90)*X$2</f>
        <v>0</v>
      </c>
      <c r="Y435" s="88">
        <f>SUMIF(月間集計シート!$M$71:$M$90,$G435,月間集計シート!O$71:O$90)*Y$2</f>
        <v>0</v>
      </c>
      <c r="Z435" s="88">
        <f>SUMIF(月間集計シート!$M$71:$M$90,$G435,月間集計シート!P$71:P$90)*Z$2</f>
        <v>0</v>
      </c>
      <c r="AA435" s="88">
        <f>SUMIF(月間集計シート!$M$71:$M$90,$G435,月間集計シート!Q$71:Q$90)*AA$2</f>
        <v>0</v>
      </c>
      <c r="AB435" s="88">
        <f>SUMIF(月間集計シート!$M$71:$M$90,$G435,月間集計シート!R$71:R$90)*AB$2</f>
        <v>0</v>
      </c>
      <c r="AC435" s="88">
        <f>SUMIF(月間集計シート!$M$71:$M$90,$G435,月間集計シート!S$71:S$90)*AC$2</f>
        <v>0</v>
      </c>
      <c r="AD435" s="88">
        <f>SUMIF(月間集計シート!$M$71:$M$90,$G435,月間集計シート!T$71:T$90)*AD$2</f>
        <v>0</v>
      </c>
      <c r="AE435" s="88">
        <f>SUMIF(月間集計シート!$M$92:$M$111,$G435,月間集計シート!N$92:N$111)*AE$2</f>
        <v>0</v>
      </c>
      <c r="AF435" s="88">
        <f>SUMIF(月間集計シート!$M$92:$M$111,$G435,月間集計シート!O$92:O$111)*AF$2</f>
        <v>0</v>
      </c>
      <c r="AG435" s="88">
        <f>SUMIF(月間集計シート!$M$92:$M$111,$G435,月間集計シート!P$92:P$111)*AG$2</f>
        <v>0</v>
      </c>
      <c r="AH435" s="88">
        <f>SUMIF(月間集計シート!$M$92:$M$111,$G435,月間集計シート!Q$92:Q$111)*AH$2</f>
        <v>0</v>
      </c>
      <c r="AI435" s="88">
        <f>SUMIF(月間集計シート!$M$92:$M$111,$G435,月間集計シート!R$92:R$111)*AI$2</f>
        <v>0</v>
      </c>
      <c r="AJ435" s="88">
        <f>SUMIF(月間集計シート!$M$92:$M$111,$G435,月間集計シート!S$92:S$111)*AJ$2</f>
        <v>0</v>
      </c>
      <c r="AK435" s="88">
        <f>SUMIF(月間集計シート!$M$92:$M$111,$G435,月間集計シート!T$92:T$111)*AK$2</f>
        <v>0</v>
      </c>
      <c r="AL435" s="88">
        <f>SUMIF(月間集計シート!$M$113:$M$132,$G435,月間集計シート!N$113:N$132)*AL$2</f>
        <v>0</v>
      </c>
      <c r="AM435" s="88">
        <f>SUMIF(月間集計シート!$M$113:$M$132,$G435,月間集計シート!O$113:O$132)*AM$2</f>
        <v>0</v>
      </c>
      <c r="AN435" s="88">
        <f>SUMIF(月間集計シート!$M$113:$M$132,$G435,月間集計シート!P$113:P$132)*AN$2</f>
        <v>0</v>
      </c>
      <c r="AO435" s="88">
        <f>SUMIF(月間集計シート!$M$113:$M$132,$G435,月間集計シート!Q$113:Q$132)*AO$2</f>
        <v>0</v>
      </c>
      <c r="AP435" s="88">
        <f>SUMIF(月間集計シート!$M$113:$M$132,$G435,月間集計シート!R$113:R$132)*AP$2</f>
        <v>0</v>
      </c>
      <c r="AQ435" s="88">
        <f>SUMIF(月間集計シート!$M$113:$M$132,$G435,月間集計シート!S$113:S$132)*AQ$2</f>
        <v>0</v>
      </c>
      <c r="AR435" s="88">
        <f>SUMIF(月間集計シート!$M$113:$M$132,$G435,月間集計シート!T$113:T$132)*AR$2</f>
        <v>0</v>
      </c>
      <c r="AS435" s="88">
        <f>SUMIF(月間集計シート!$M$134:$M$153,$G435,月間集計シート!N$134:N$153)*AS$2</f>
        <v>0</v>
      </c>
      <c r="AT435" s="88">
        <f>SUMIF(月間集計シート!$M$134:$M$153,$G435,月間集計シート!O$134:O$153)*AT$2</f>
        <v>0</v>
      </c>
      <c r="AU435" s="88">
        <f>SUMIF(月間集計シート!$M$134:$M$153,$G435,月間集計シート!P$134:P$153)*AU$2</f>
        <v>0</v>
      </c>
      <c r="AV435" s="88">
        <f>SUMIF(月間集計シート!$M$134:$M$153,$G435,月間集計シート!Q$134:Q$153)*AV$2</f>
        <v>0</v>
      </c>
      <c r="AW435" s="88">
        <f>SUMIF(月間集計シート!$M$134:$M$153,$G435,月間集計シート!R$134:R$153)*AW$2</f>
        <v>0</v>
      </c>
      <c r="AX435" s="88">
        <f>SUMIF(月間集計シート!$M$134:$M$153,$G435,月間集計シート!S$134:S$153)*AX$2</f>
        <v>0</v>
      </c>
      <c r="AY435" s="88">
        <f>SUMIF(月間集計シート!$M$134:$M$153,$G435,月間集計シート!T$134:T$153)*AY$2</f>
        <v>0</v>
      </c>
    </row>
    <row r="436" spans="1:51" ht="14.25" thickBot="1">
      <c r="A436">
        <v>6</v>
      </c>
      <c r="B436" s="120">
        <f t="shared" ref="B436:B499" si="238">B435</f>
        <v>0</v>
      </c>
      <c r="C436" s="120" t="str">
        <f t="shared" ref="C436:C499" si="239">C435</f>
        <v/>
      </c>
      <c r="D436" s="137"/>
      <c r="E436" s="150" t="str">
        <f>工種!A3</f>
        <v>10103</v>
      </c>
      <c r="F436" s="119" t="str">
        <f>工種!B3</f>
        <v>SRS：企画書・計画書・報告書等資料作成・修正</v>
      </c>
      <c r="G436" s="116" t="str">
        <f t="shared" si="187"/>
        <v>010103</v>
      </c>
      <c r="H436" s="88">
        <f t="shared" si="194"/>
        <v>0</v>
      </c>
      <c r="I436" s="132"/>
      <c r="J436" s="88">
        <f>SUMIF(月間集計シート!$M$29:$M$48,$G436,月間集計シート!N$29:N$48)*J$2</f>
        <v>0</v>
      </c>
      <c r="K436" s="88">
        <f>SUMIF(月間集計シート!$M$29:$M$48,$G436,月間集計シート!O$29:O$48)*K$2</f>
        <v>0</v>
      </c>
      <c r="L436" s="88">
        <f>SUMIF(月間集計シート!$M$29:$M$48,$G436,月間集計シート!P$29:P$48)*L$2</f>
        <v>0</v>
      </c>
      <c r="M436" s="88">
        <f>SUMIF(月間集計シート!$M$29:$M$48,$G436,月間集計シート!Q$29:Q$48)*M$2</f>
        <v>0</v>
      </c>
      <c r="N436" s="88">
        <f>SUMIF(月間集計シート!$M$29:$M$48,$G436,月間集計シート!R$29:R$48)*N$2</f>
        <v>0</v>
      </c>
      <c r="O436" s="88">
        <f>SUMIF(月間集計シート!$M$29:$M$48,$G436,月間集計シート!S$29:S$48)*O$2</f>
        <v>0</v>
      </c>
      <c r="P436" s="88">
        <f>SUMIF(月間集計シート!$M$29:$M$48,$G436,月間集計シート!T$29:T$48)*P$2</f>
        <v>0</v>
      </c>
      <c r="Q436" s="88">
        <f>SUMIF(月間集計シート!$M$50:$M$69,$G436,月間集計シート!N$50:N$69)*Q$2</f>
        <v>0</v>
      </c>
      <c r="R436" s="88">
        <f>SUMIF(月間集計シート!$M$50:$M$69,$G436,月間集計シート!O$50:O$69)*R$2</f>
        <v>0</v>
      </c>
      <c r="S436" s="88">
        <f>SUMIF(月間集計シート!$M$50:$M$69,$G436,月間集計シート!P$50:P$69)*S$2</f>
        <v>0</v>
      </c>
      <c r="T436" s="88">
        <f>SUMIF(月間集計シート!$M$50:$M$69,$G436,月間集計シート!Q$50:Q$69)*T$2</f>
        <v>0</v>
      </c>
      <c r="U436" s="88">
        <f>SUMIF(月間集計シート!$M$50:$M$69,$G436,月間集計シート!R$50:R$69)*U$2</f>
        <v>0</v>
      </c>
      <c r="V436" s="88">
        <f>SUMIF(月間集計シート!$M$50:$M$69,$G436,月間集計シート!S$50:S$69)*V$2</f>
        <v>0</v>
      </c>
      <c r="W436" s="88">
        <f>SUMIF(月間集計シート!$M$50:$M$69,$G436,月間集計シート!T$50:T$69)*W$2</f>
        <v>0</v>
      </c>
      <c r="X436" s="88">
        <f>SUMIF(月間集計シート!$M$71:$M$90,$G436,月間集計シート!N$71:N$90)*X$2</f>
        <v>0</v>
      </c>
      <c r="Y436" s="88">
        <f>SUMIF(月間集計シート!$M$71:$M$90,$G436,月間集計シート!O$71:O$90)*Y$2</f>
        <v>0</v>
      </c>
      <c r="Z436" s="88">
        <f>SUMIF(月間集計シート!$M$71:$M$90,$G436,月間集計シート!P$71:P$90)*Z$2</f>
        <v>0</v>
      </c>
      <c r="AA436" s="88">
        <f>SUMIF(月間集計シート!$M$71:$M$90,$G436,月間集計シート!Q$71:Q$90)*AA$2</f>
        <v>0</v>
      </c>
      <c r="AB436" s="88">
        <f>SUMIF(月間集計シート!$M$71:$M$90,$G436,月間集計シート!R$71:R$90)*AB$2</f>
        <v>0</v>
      </c>
      <c r="AC436" s="88">
        <f>SUMIF(月間集計シート!$M$71:$M$90,$G436,月間集計シート!S$71:S$90)*AC$2</f>
        <v>0</v>
      </c>
      <c r="AD436" s="88">
        <f>SUMIF(月間集計シート!$M$71:$M$90,$G436,月間集計シート!T$71:T$90)*AD$2</f>
        <v>0</v>
      </c>
      <c r="AE436" s="88">
        <f>SUMIF(月間集計シート!$M$92:$M$111,$G436,月間集計シート!N$92:N$111)*AE$2</f>
        <v>0</v>
      </c>
      <c r="AF436" s="88">
        <f>SUMIF(月間集計シート!$M$92:$M$111,$G436,月間集計シート!O$92:O$111)*AF$2</f>
        <v>0</v>
      </c>
      <c r="AG436" s="88">
        <f>SUMIF(月間集計シート!$M$92:$M$111,$G436,月間集計シート!P$92:P$111)*AG$2</f>
        <v>0</v>
      </c>
      <c r="AH436" s="88">
        <f>SUMIF(月間集計シート!$M$92:$M$111,$G436,月間集計シート!Q$92:Q$111)*AH$2</f>
        <v>0</v>
      </c>
      <c r="AI436" s="88">
        <f>SUMIF(月間集計シート!$M$92:$M$111,$G436,月間集計シート!R$92:R$111)*AI$2</f>
        <v>0</v>
      </c>
      <c r="AJ436" s="88">
        <f>SUMIF(月間集計シート!$M$92:$M$111,$G436,月間集計シート!S$92:S$111)*AJ$2</f>
        <v>0</v>
      </c>
      <c r="AK436" s="88">
        <f>SUMIF(月間集計シート!$M$92:$M$111,$G436,月間集計シート!T$92:T$111)*AK$2</f>
        <v>0</v>
      </c>
      <c r="AL436" s="88">
        <f>SUMIF(月間集計シート!$M$113:$M$132,$G436,月間集計シート!N$113:N$132)*AL$2</f>
        <v>0</v>
      </c>
      <c r="AM436" s="88">
        <f>SUMIF(月間集計シート!$M$113:$M$132,$G436,月間集計シート!O$113:O$132)*AM$2</f>
        <v>0</v>
      </c>
      <c r="AN436" s="88">
        <f>SUMIF(月間集計シート!$M$113:$M$132,$G436,月間集計シート!P$113:P$132)*AN$2</f>
        <v>0</v>
      </c>
      <c r="AO436" s="88">
        <f>SUMIF(月間集計シート!$M$113:$M$132,$G436,月間集計シート!Q$113:Q$132)*AO$2</f>
        <v>0</v>
      </c>
      <c r="AP436" s="88">
        <f>SUMIF(月間集計シート!$M$113:$M$132,$G436,月間集計シート!R$113:R$132)*AP$2</f>
        <v>0</v>
      </c>
      <c r="AQ436" s="88">
        <f>SUMIF(月間集計シート!$M$113:$M$132,$G436,月間集計シート!S$113:S$132)*AQ$2</f>
        <v>0</v>
      </c>
      <c r="AR436" s="88">
        <f>SUMIF(月間集計シート!$M$113:$M$132,$G436,月間集計シート!T$113:T$132)*AR$2</f>
        <v>0</v>
      </c>
      <c r="AS436" s="88">
        <f>SUMIF(月間集計シート!$M$134:$M$153,$G436,月間集計シート!N$134:N$153)*AS$2</f>
        <v>0</v>
      </c>
      <c r="AT436" s="88">
        <f>SUMIF(月間集計シート!$M$134:$M$153,$G436,月間集計シート!O$134:O$153)*AT$2</f>
        <v>0</v>
      </c>
      <c r="AU436" s="88">
        <f>SUMIF(月間集計シート!$M$134:$M$153,$G436,月間集計シート!P$134:P$153)*AU$2</f>
        <v>0</v>
      </c>
      <c r="AV436" s="88">
        <f>SUMIF(月間集計シート!$M$134:$M$153,$G436,月間集計シート!Q$134:Q$153)*AV$2</f>
        <v>0</v>
      </c>
      <c r="AW436" s="88">
        <f>SUMIF(月間集計シート!$M$134:$M$153,$G436,月間集計シート!R$134:R$153)*AW$2</f>
        <v>0</v>
      </c>
      <c r="AX436" s="88">
        <f>SUMIF(月間集計シート!$M$134:$M$153,$G436,月間集計シート!S$134:S$153)*AX$2</f>
        <v>0</v>
      </c>
      <c r="AY436" s="88">
        <f>SUMIF(月間集計シート!$M$134:$M$153,$G436,月間集計シート!T$134:T$153)*AY$2</f>
        <v>0</v>
      </c>
    </row>
    <row r="437" spans="1:51" ht="14.25" thickBot="1">
      <c r="A437">
        <v>6</v>
      </c>
      <c r="B437" s="120">
        <f t="shared" si="238"/>
        <v>0</v>
      </c>
      <c r="C437" s="120" t="str">
        <f t="shared" si="239"/>
        <v/>
      </c>
      <c r="D437" s="137"/>
      <c r="E437" s="150" t="str">
        <f>工種!A4</f>
        <v>10104</v>
      </c>
      <c r="F437" s="119" t="str">
        <f>工種!B4</f>
        <v>SRS：打合せ</v>
      </c>
      <c r="G437" s="116" t="str">
        <f t="shared" si="187"/>
        <v>010104</v>
      </c>
      <c r="H437" s="88">
        <f t="shared" si="194"/>
        <v>0</v>
      </c>
      <c r="I437" s="132"/>
      <c r="J437" s="88">
        <f>SUMIF(月間集計シート!$M$29:$M$48,$G437,月間集計シート!N$29:N$48)*J$2</f>
        <v>0</v>
      </c>
      <c r="K437" s="88">
        <f>SUMIF(月間集計シート!$M$29:$M$48,$G437,月間集計シート!O$29:O$48)*K$2</f>
        <v>0</v>
      </c>
      <c r="L437" s="88">
        <f>SUMIF(月間集計シート!$M$29:$M$48,$G437,月間集計シート!P$29:P$48)*L$2</f>
        <v>0</v>
      </c>
      <c r="M437" s="88">
        <f>SUMIF(月間集計シート!$M$29:$M$48,$G437,月間集計シート!Q$29:Q$48)*M$2</f>
        <v>0</v>
      </c>
      <c r="N437" s="88">
        <f>SUMIF(月間集計シート!$M$29:$M$48,$G437,月間集計シート!R$29:R$48)*N$2</f>
        <v>0</v>
      </c>
      <c r="O437" s="88">
        <f>SUMIF(月間集計シート!$M$29:$M$48,$G437,月間集計シート!S$29:S$48)*O$2</f>
        <v>0</v>
      </c>
      <c r="P437" s="88">
        <f>SUMIF(月間集計シート!$M$29:$M$48,$G437,月間集計シート!T$29:T$48)*P$2</f>
        <v>0</v>
      </c>
      <c r="Q437" s="88">
        <f>SUMIF(月間集計シート!$M$50:$M$69,$G437,月間集計シート!N$50:N$69)*Q$2</f>
        <v>0</v>
      </c>
      <c r="R437" s="88">
        <f>SUMIF(月間集計シート!$M$50:$M$69,$G437,月間集計シート!O$50:O$69)*R$2</f>
        <v>0</v>
      </c>
      <c r="S437" s="88">
        <f>SUMIF(月間集計シート!$M$50:$M$69,$G437,月間集計シート!P$50:P$69)*S$2</f>
        <v>0</v>
      </c>
      <c r="T437" s="88">
        <f>SUMIF(月間集計シート!$M$50:$M$69,$G437,月間集計シート!Q$50:Q$69)*T$2</f>
        <v>0</v>
      </c>
      <c r="U437" s="88">
        <f>SUMIF(月間集計シート!$M$50:$M$69,$G437,月間集計シート!R$50:R$69)*U$2</f>
        <v>0</v>
      </c>
      <c r="V437" s="88">
        <f>SUMIF(月間集計シート!$M$50:$M$69,$G437,月間集計シート!S$50:S$69)*V$2</f>
        <v>0</v>
      </c>
      <c r="W437" s="88">
        <f>SUMIF(月間集計シート!$M$50:$M$69,$G437,月間集計シート!T$50:T$69)*W$2</f>
        <v>0</v>
      </c>
      <c r="X437" s="88">
        <f>SUMIF(月間集計シート!$M$71:$M$90,$G437,月間集計シート!N$71:N$90)*X$2</f>
        <v>0</v>
      </c>
      <c r="Y437" s="88">
        <f>SUMIF(月間集計シート!$M$71:$M$90,$G437,月間集計シート!O$71:O$90)*Y$2</f>
        <v>0</v>
      </c>
      <c r="Z437" s="88">
        <f>SUMIF(月間集計シート!$M$71:$M$90,$G437,月間集計シート!P$71:P$90)*Z$2</f>
        <v>0</v>
      </c>
      <c r="AA437" s="88">
        <f>SUMIF(月間集計シート!$M$71:$M$90,$G437,月間集計シート!Q$71:Q$90)*AA$2</f>
        <v>0</v>
      </c>
      <c r="AB437" s="88">
        <f>SUMIF(月間集計シート!$M$71:$M$90,$G437,月間集計シート!R$71:R$90)*AB$2</f>
        <v>0</v>
      </c>
      <c r="AC437" s="88">
        <f>SUMIF(月間集計シート!$M$71:$M$90,$G437,月間集計シート!S$71:S$90)*AC$2</f>
        <v>0</v>
      </c>
      <c r="AD437" s="88">
        <f>SUMIF(月間集計シート!$M$71:$M$90,$G437,月間集計シート!T$71:T$90)*AD$2</f>
        <v>0</v>
      </c>
      <c r="AE437" s="88">
        <f>SUMIF(月間集計シート!$M$92:$M$111,$G437,月間集計シート!N$92:N$111)*AE$2</f>
        <v>0</v>
      </c>
      <c r="AF437" s="88">
        <f>SUMIF(月間集計シート!$M$92:$M$111,$G437,月間集計シート!O$92:O$111)*AF$2</f>
        <v>0</v>
      </c>
      <c r="AG437" s="88">
        <f>SUMIF(月間集計シート!$M$92:$M$111,$G437,月間集計シート!P$92:P$111)*AG$2</f>
        <v>0</v>
      </c>
      <c r="AH437" s="88">
        <f>SUMIF(月間集計シート!$M$92:$M$111,$G437,月間集計シート!Q$92:Q$111)*AH$2</f>
        <v>0</v>
      </c>
      <c r="AI437" s="88">
        <f>SUMIF(月間集計シート!$M$92:$M$111,$G437,月間集計シート!R$92:R$111)*AI$2</f>
        <v>0</v>
      </c>
      <c r="AJ437" s="88">
        <f>SUMIF(月間集計シート!$M$92:$M$111,$G437,月間集計シート!S$92:S$111)*AJ$2</f>
        <v>0</v>
      </c>
      <c r="AK437" s="88">
        <f>SUMIF(月間集計シート!$M$92:$M$111,$G437,月間集計シート!T$92:T$111)*AK$2</f>
        <v>0</v>
      </c>
      <c r="AL437" s="88">
        <f>SUMIF(月間集計シート!$M$113:$M$132,$G437,月間集計シート!N$113:N$132)*AL$2</f>
        <v>0</v>
      </c>
      <c r="AM437" s="88">
        <f>SUMIF(月間集計シート!$M$113:$M$132,$G437,月間集計シート!O$113:O$132)*AM$2</f>
        <v>0</v>
      </c>
      <c r="AN437" s="88">
        <f>SUMIF(月間集計シート!$M$113:$M$132,$G437,月間集計シート!P$113:P$132)*AN$2</f>
        <v>0</v>
      </c>
      <c r="AO437" s="88">
        <f>SUMIF(月間集計シート!$M$113:$M$132,$G437,月間集計シート!Q$113:Q$132)*AO$2</f>
        <v>0</v>
      </c>
      <c r="AP437" s="88">
        <f>SUMIF(月間集計シート!$M$113:$M$132,$G437,月間集計シート!R$113:R$132)*AP$2</f>
        <v>0</v>
      </c>
      <c r="AQ437" s="88">
        <f>SUMIF(月間集計シート!$M$113:$M$132,$G437,月間集計シート!S$113:S$132)*AQ$2</f>
        <v>0</v>
      </c>
      <c r="AR437" s="88">
        <f>SUMIF(月間集計シート!$M$113:$M$132,$G437,月間集計シート!T$113:T$132)*AR$2</f>
        <v>0</v>
      </c>
      <c r="AS437" s="88">
        <f>SUMIF(月間集計シート!$M$134:$M$153,$G437,月間集計シート!N$134:N$153)*AS$2</f>
        <v>0</v>
      </c>
      <c r="AT437" s="88">
        <f>SUMIF(月間集計シート!$M$134:$M$153,$G437,月間集計シート!O$134:O$153)*AT$2</f>
        <v>0</v>
      </c>
      <c r="AU437" s="88">
        <f>SUMIF(月間集計シート!$M$134:$M$153,$G437,月間集計シート!P$134:P$153)*AU$2</f>
        <v>0</v>
      </c>
      <c r="AV437" s="88">
        <f>SUMIF(月間集計シート!$M$134:$M$153,$G437,月間集計シート!Q$134:Q$153)*AV$2</f>
        <v>0</v>
      </c>
      <c r="AW437" s="88">
        <f>SUMIF(月間集計シート!$M$134:$M$153,$G437,月間集計シート!R$134:R$153)*AW$2</f>
        <v>0</v>
      </c>
      <c r="AX437" s="88">
        <f>SUMIF(月間集計シート!$M$134:$M$153,$G437,月間集計シート!S$134:S$153)*AX$2</f>
        <v>0</v>
      </c>
      <c r="AY437" s="88">
        <f>SUMIF(月間集計シート!$M$134:$M$153,$G437,月間集計シート!T$134:T$153)*AY$2</f>
        <v>0</v>
      </c>
    </row>
    <row r="438" spans="1:51" ht="14.25" thickBot="1">
      <c r="A438">
        <v>6</v>
      </c>
      <c r="B438" s="120">
        <f t="shared" si="238"/>
        <v>0</v>
      </c>
      <c r="C438" s="120" t="str">
        <f t="shared" si="239"/>
        <v/>
      </c>
      <c r="D438" s="137"/>
      <c r="E438" s="150" t="str">
        <f>工種!A5</f>
        <v>10105</v>
      </c>
      <c r="F438" s="119" t="str">
        <f>工種!B5</f>
        <v>SRS：レビュー</v>
      </c>
      <c r="G438" s="116" t="str">
        <f t="shared" si="187"/>
        <v>010105</v>
      </c>
      <c r="H438" s="88">
        <f t="shared" si="194"/>
        <v>0</v>
      </c>
      <c r="I438" s="132"/>
      <c r="J438" s="88">
        <f>SUMIF(月間集計シート!$M$29:$M$48,$G438,月間集計シート!N$29:N$48)*J$2</f>
        <v>0</v>
      </c>
      <c r="K438" s="88">
        <f>SUMIF(月間集計シート!$M$29:$M$48,$G438,月間集計シート!O$29:O$48)*K$2</f>
        <v>0</v>
      </c>
      <c r="L438" s="88">
        <f>SUMIF(月間集計シート!$M$29:$M$48,$G438,月間集計シート!P$29:P$48)*L$2</f>
        <v>0</v>
      </c>
      <c r="M438" s="88">
        <f>SUMIF(月間集計シート!$M$29:$M$48,$G438,月間集計シート!Q$29:Q$48)*M$2</f>
        <v>0</v>
      </c>
      <c r="N438" s="88">
        <f>SUMIF(月間集計シート!$M$29:$M$48,$G438,月間集計シート!R$29:R$48)*N$2</f>
        <v>0</v>
      </c>
      <c r="O438" s="88">
        <f>SUMIF(月間集計シート!$M$29:$M$48,$G438,月間集計シート!S$29:S$48)*O$2</f>
        <v>0</v>
      </c>
      <c r="P438" s="88">
        <f>SUMIF(月間集計シート!$M$29:$M$48,$G438,月間集計シート!T$29:T$48)*P$2</f>
        <v>0</v>
      </c>
      <c r="Q438" s="88">
        <f>SUMIF(月間集計シート!$M$50:$M$69,$G438,月間集計シート!N$50:N$69)*Q$2</f>
        <v>0</v>
      </c>
      <c r="R438" s="88">
        <f>SUMIF(月間集計シート!$M$50:$M$69,$G438,月間集計シート!O$50:O$69)*R$2</f>
        <v>0</v>
      </c>
      <c r="S438" s="88">
        <f>SUMIF(月間集計シート!$M$50:$M$69,$G438,月間集計シート!P$50:P$69)*S$2</f>
        <v>0</v>
      </c>
      <c r="T438" s="88">
        <f>SUMIF(月間集計シート!$M$50:$M$69,$G438,月間集計シート!Q$50:Q$69)*T$2</f>
        <v>0</v>
      </c>
      <c r="U438" s="88">
        <f>SUMIF(月間集計シート!$M$50:$M$69,$G438,月間集計シート!R$50:R$69)*U$2</f>
        <v>0</v>
      </c>
      <c r="V438" s="88">
        <f>SUMIF(月間集計シート!$M$50:$M$69,$G438,月間集計シート!S$50:S$69)*V$2</f>
        <v>0</v>
      </c>
      <c r="W438" s="88">
        <f>SUMIF(月間集計シート!$M$50:$M$69,$G438,月間集計シート!T$50:T$69)*W$2</f>
        <v>0</v>
      </c>
      <c r="X438" s="88">
        <f>SUMIF(月間集計シート!$M$71:$M$90,$G438,月間集計シート!N$71:N$90)*X$2</f>
        <v>0</v>
      </c>
      <c r="Y438" s="88">
        <f>SUMIF(月間集計シート!$M$71:$M$90,$G438,月間集計シート!O$71:O$90)*Y$2</f>
        <v>0</v>
      </c>
      <c r="Z438" s="88">
        <f>SUMIF(月間集計シート!$M$71:$M$90,$G438,月間集計シート!P$71:P$90)*Z$2</f>
        <v>0</v>
      </c>
      <c r="AA438" s="88">
        <f>SUMIF(月間集計シート!$M$71:$M$90,$G438,月間集計シート!Q$71:Q$90)*AA$2</f>
        <v>0</v>
      </c>
      <c r="AB438" s="88">
        <f>SUMIF(月間集計シート!$M$71:$M$90,$G438,月間集計シート!R$71:R$90)*AB$2</f>
        <v>0</v>
      </c>
      <c r="AC438" s="88">
        <f>SUMIF(月間集計シート!$M$71:$M$90,$G438,月間集計シート!S$71:S$90)*AC$2</f>
        <v>0</v>
      </c>
      <c r="AD438" s="88">
        <f>SUMIF(月間集計シート!$M$71:$M$90,$G438,月間集計シート!T$71:T$90)*AD$2</f>
        <v>0</v>
      </c>
      <c r="AE438" s="88">
        <f>SUMIF(月間集計シート!$M$92:$M$111,$G438,月間集計シート!N$92:N$111)*AE$2</f>
        <v>0</v>
      </c>
      <c r="AF438" s="88">
        <f>SUMIF(月間集計シート!$M$92:$M$111,$G438,月間集計シート!O$92:O$111)*AF$2</f>
        <v>0</v>
      </c>
      <c r="AG438" s="88">
        <f>SUMIF(月間集計シート!$M$92:$M$111,$G438,月間集計シート!P$92:P$111)*AG$2</f>
        <v>0</v>
      </c>
      <c r="AH438" s="88">
        <f>SUMIF(月間集計シート!$M$92:$M$111,$G438,月間集計シート!Q$92:Q$111)*AH$2</f>
        <v>0</v>
      </c>
      <c r="AI438" s="88">
        <f>SUMIF(月間集計シート!$M$92:$M$111,$G438,月間集計シート!R$92:R$111)*AI$2</f>
        <v>0</v>
      </c>
      <c r="AJ438" s="88">
        <f>SUMIF(月間集計シート!$M$92:$M$111,$G438,月間集計シート!S$92:S$111)*AJ$2</f>
        <v>0</v>
      </c>
      <c r="AK438" s="88">
        <f>SUMIF(月間集計シート!$M$92:$M$111,$G438,月間集計シート!T$92:T$111)*AK$2</f>
        <v>0</v>
      </c>
      <c r="AL438" s="88">
        <f>SUMIF(月間集計シート!$M$113:$M$132,$G438,月間集計シート!N$113:N$132)*AL$2</f>
        <v>0</v>
      </c>
      <c r="AM438" s="88">
        <f>SUMIF(月間集計シート!$M$113:$M$132,$G438,月間集計シート!O$113:O$132)*AM$2</f>
        <v>0</v>
      </c>
      <c r="AN438" s="88">
        <f>SUMIF(月間集計シート!$M$113:$M$132,$G438,月間集計シート!P$113:P$132)*AN$2</f>
        <v>0</v>
      </c>
      <c r="AO438" s="88">
        <f>SUMIF(月間集計シート!$M$113:$M$132,$G438,月間集計シート!Q$113:Q$132)*AO$2</f>
        <v>0</v>
      </c>
      <c r="AP438" s="88">
        <f>SUMIF(月間集計シート!$M$113:$M$132,$G438,月間集計シート!R$113:R$132)*AP$2</f>
        <v>0</v>
      </c>
      <c r="AQ438" s="88">
        <f>SUMIF(月間集計シート!$M$113:$M$132,$G438,月間集計シート!S$113:S$132)*AQ$2</f>
        <v>0</v>
      </c>
      <c r="AR438" s="88">
        <f>SUMIF(月間集計シート!$M$113:$M$132,$G438,月間集計シート!T$113:T$132)*AR$2</f>
        <v>0</v>
      </c>
      <c r="AS438" s="88">
        <f>SUMIF(月間集計シート!$M$134:$M$153,$G438,月間集計シート!N$134:N$153)*AS$2</f>
        <v>0</v>
      </c>
      <c r="AT438" s="88">
        <f>SUMIF(月間集計シート!$M$134:$M$153,$G438,月間集計シート!O$134:O$153)*AT$2</f>
        <v>0</v>
      </c>
      <c r="AU438" s="88">
        <f>SUMIF(月間集計シート!$M$134:$M$153,$G438,月間集計シート!P$134:P$153)*AU$2</f>
        <v>0</v>
      </c>
      <c r="AV438" s="88">
        <f>SUMIF(月間集計シート!$M$134:$M$153,$G438,月間集計シート!Q$134:Q$153)*AV$2</f>
        <v>0</v>
      </c>
      <c r="AW438" s="88">
        <f>SUMIF(月間集計シート!$M$134:$M$153,$G438,月間集計シート!R$134:R$153)*AW$2</f>
        <v>0</v>
      </c>
      <c r="AX438" s="88">
        <f>SUMIF(月間集計シート!$M$134:$M$153,$G438,月間集計シート!S$134:S$153)*AX$2</f>
        <v>0</v>
      </c>
      <c r="AY438" s="88">
        <f>SUMIF(月間集計シート!$M$134:$M$153,$G438,月間集計シート!T$134:T$153)*AY$2</f>
        <v>0</v>
      </c>
    </row>
    <row r="439" spans="1:51" ht="14.25" thickBot="1">
      <c r="A439">
        <v>6</v>
      </c>
      <c r="B439" s="120">
        <f t="shared" si="238"/>
        <v>0</v>
      </c>
      <c r="C439" s="120" t="str">
        <f t="shared" si="239"/>
        <v/>
      </c>
      <c r="D439" s="137"/>
      <c r="E439" s="150" t="str">
        <f>工種!A6</f>
        <v>10199</v>
      </c>
      <c r="F439" s="119" t="str">
        <f>工種!B6</f>
        <v>SRS：その他</v>
      </c>
      <c r="G439" s="116" t="str">
        <f t="shared" si="187"/>
        <v>010199</v>
      </c>
      <c r="H439" s="88">
        <f t="shared" si="194"/>
        <v>0</v>
      </c>
      <c r="I439" s="132"/>
      <c r="J439" s="88">
        <f>SUMIF(月間集計シート!$M$29:$M$48,$G439,月間集計シート!N$29:N$48)*J$2</f>
        <v>0</v>
      </c>
      <c r="K439" s="88">
        <f>SUMIF(月間集計シート!$M$29:$M$48,$G439,月間集計シート!O$29:O$48)*K$2</f>
        <v>0</v>
      </c>
      <c r="L439" s="88">
        <f>SUMIF(月間集計シート!$M$29:$M$48,$G439,月間集計シート!P$29:P$48)*L$2</f>
        <v>0</v>
      </c>
      <c r="M439" s="88">
        <f>SUMIF(月間集計シート!$M$29:$M$48,$G439,月間集計シート!Q$29:Q$48)*M$2</f>
        <v>0</v>
      </c>
      <c r="N439" s="88">
        <f>SUMIF(月間集計シート!$M$29:$M$48,$G439,月間集計シート!R$29:R$48)*N$2</f>
        <v>0</v>
      </c>
      <c r="O439" s="88">
        <f>SUMIF(月間集計シート!$M$29:$M$48,$G439,月間集計シート!S$29:S$48)*O$2</f>
        <v>0</v>
      </c>
      <c r="P439" s="88">
        <f>SUMIF(月間集計シート!$M$29:$M$48,$G439,月間集計シート!T$29:T$48)*P$2</f>
        <v>0</v>
      </c>
      <c r="Q439" s="88">
        <f>SUMIF(月間集計シート!$M$50:$M$69,$G439,月間集計シート!N$50:N$69)*Q$2</f>
        <v>0</v>
      </c>
      <c r="R439" s="88">
        <f>SUMIF(月間集計シート!$M$50:$M$69,$G439,月間集計シート!O$50:O$69)*R$2</f>
        <v>0</v>
      </c>
      <c r="S439" s="88">
        <f>SUMIF(月間集計シート!$M$50:$M$69,$G439,月間集計シート!P$50:P$69)*S$2</f>
        <v>0</v>
      </c>
      <c r="T439" s="88">
        <f>SUMIF(月間集計シート!$M$50:$M$69,$G439,月間集計シート!Q$50:Q$69)*T$2</f>
        <v>0</v>
      </c>
      <c r="U439" s="88">
        <f>SUMIF(月間集計シート!$M$50:$M$69,$G439,月間集計シート!R$50:R$69)*U$2</f>
        <v>0</v>
      </c>
      <c r="V439" s="88">
        <f>SUMIF(月間集計シート!$M$50:$M$69,$G439,月間集計シート!S$50:S$69)*V$2</f>
        <v>0</v>
      </c>
      <c r="W439" s="88">
        <f>SUMIF(月間集計シート!$M$50:$M$69,$G439,月間集計シート!T$50:T$69)*W$2</f>
        <v>0</v>
      </c>
      <c r="X439" s="88">
        <f>SUMIF(月間集計シート!$M$71:$M$90,$G439,月間集計シート!N$71:N$90)*X$2</f>
        <v>0</v>
      </c>
      <c r="Y439" s="88">
        <f>SUMIF(月間集計シート!$M$71:$M$90,$G439,月間集計シート!O$71:O$90)*Y$2</f>
        <v>0</v>
      </c>
      <c r="Z439" s="88">
        <f>SUMIF(月間集計シート!$M$71:$M$90,$G439,月間集計シート!P$71:P$90)*Z$2</f>
        <v>0</v>
      </c>
      <c r="AA439" s="88">
        <f>SUMIF(月間集計シート!$M$71:$M$90,$G439,月間集計シート!Q$71:Q$90)*AA$2</f>
        <v>0</v>
      </c>
      <c r="AB439" s="88">
        <f>SUMIF(月間集計シート!$M$71:$M$90,$G439,月間集計シート!R$71:R$90)*AB$2</f>
        <v>0</v>
      </c>
      <c r="AC439" s="88">
        <f>SUMIF(月間集計シート!$M$71:$M$90,$G439,月間集計シート!S$71:S$90)*AC$2</f>
        <v>0</v>
      </c>
      <c r="AD439" s="88">
        <f>SUMIF(月間集計シート!$M$71:$M$90,$G439,月間集計シート!T$71:T$90)*AD$2</f>
        <v>0</v>
      </c>
      <c r="AE439" s="88">
        <f>SUMIF(月間集計シート!$M$92:$M$111,$G439,月間集計シート!N$92:N$111)*AE$2</f>
        <v>0</v>
      </c>
      <c r="AF439" s="88">
        <f>SUMIF(月間集計シート!$M$92:$M$111,$G439,月間集計シート!O$92:O$111)*AF$2</f>
        <v>0</v>
      </c>
      <c r="AG439" s="88">
        <f>SUMIF(月間集計シート!$M$92:$M$111,$G439,月間集計シート!P$92:P$111)*AG$2</f>
        <v>0</v>
      </c>
      <c r="AH439" s="88">
        <f>SUMIF(月間集計シート!$M$92:$M$111,$G439,月間集計シート!Q$92:Q$111)*AH$2</f>
        <v>0</v>
      </c>
      <c r="AI439" s="88">
        <f>SUMIF(月間集計シート!$M$92:$M$111,$G439,月間集計シート!R$92:R$111)*AI$2</f>
        <v>0</v>
      </c>
      <c r="AJ439" s="88">
        <f>SUMIF(月間集計シート!$M$92:$M$111,$G439,月間集計シート!S$92:S$111)*AJ$2</f>
        <v>0</v>
      </c>
      <c r="AK439" s="88">
        <f>SUMIF(月間集計シート!$M$92:$M$111,$G439,月間集計シート!T$92:T$111)*AK$2</f>
        <v>0</v>
      </c>
      <c r="AL439" s="88">
        <f>SUMIF(月間集計シート!$M$113:$M$132,$G439,月間集計シート!N$113:N$132)*AL$2</f>
        <v>0</v>
      </c>
      <c r="AM439" s="88">
        <f>SUMIF(月間集計シート!$M$113:$M$132,$G439,月間集計シート!O$113:O$132)*AM$2</f>
        <v>0</v>
      </c>
      <c r="AN439" s="88">
        <f>SUMIF(月間集計シート!$M$113:$M$132,$G439,月間集計シート!P$113:P$132)*AN$2</f>
        <v>0</v>
      </c>
      <c r="AO439" s="88">
        <f>SUMIF(月間集計シート!$M$113:$M$132,$G439,月間集計シート!Q$113:Q$132)*AO$2</f>
        <v>0</v>
      </c>
      <c r="AP439" s="88">
        <f>SUMIF(月間集計シート!$M$113:$M$132,$G439,月間集計シート!R$113:R$132)*AP$2</f>
        <v>0</v>
      </c>
      <c r="AQ439" s="88">
        <f>SUMIF(月間集計シート!$M$113:$M$132,$G439,月間集計シート!S$113:S$132)*AQ$2</f>
        <v>0</v>
      </c>
      <c r="AR439" s="88">
        <f>SUMIF(月間集計シート!$M$113:$M$132,$G439,月間集計シート!T$113:T$132)*AR$2</f>
        <v>0</v>
      </c>
      <c r="AS439" s="88">
        <f>SUMIF(月間集計シート!$M$134:$M$153,$G439,月間集計シート!N$134:N$153)*AS$2</f>
        <v>0</v>
      </c>
      <c r="AT439" s="88">
        <f>SUMIF(月間集計シート!$M$134:$M$153,$G439,月間集計シート!O$134:O$153)*AT$2</f>
        <v>0</v>
      </c>
      <c r="AU439" s="88">
        <f>SUMIF(月間集計シート!$M$134:$M$153,$G439,月間集計シート!P$134:P$153)*AU$2</f>
        <v>0</v>
      </c>
      <c r="AV439" s="88">
        <f>SUMIF(月間集計シート!$M$134:$M$153,$G439,月間集計シート!Q$134:Q$153)*AV$2</f>
        <v>0</v>
      </c>
      <c r="AW439" s="88">
        <f>SUMIF(月間集計シート!$M$134:$M$153,$G439,月間集計シート!R$134:R$153)*AW$2</f>
        <v>0</v>
      </c>
      <c r="AX439" s="88">
        <f>SUMIF(月間集計シート!$M$134:$M$153,$G439,月間集計シート!S$134:S$153)*AX$2</f>
        <v>0</v>
      </c>
      <c r="AY439" s="88">
        <f>SUMIF(月間集計シート!$M$134:$M$153,$G439,月間集計シート!T$134:T$153)*AY$2</f>
        <v>0</v>
      </c>
    </row>
    <row r="440" spans="1:51" ht="14.25" thickBot="1">
      <c r="A440">
        <v>6</v>
      </c>
      <c r="B440" s="120">
        <f t="shared" si="238"/>
        <v>0</v>
      </c>
      <c r="C440" s="120" t="str">
        <f t="shared" si="239"/>
        <v/>
      </c>
      <c r="D440" s="137"/>
      <c r="E440" s="150" t="str">
        <f>工種!A7</f>
        <v>20101</v>
      </c>
      <c r="F440" s="119" t="str">
        <f>工種!B7</f>
        <v>設計：外部設計書作成</v>
      </c>
      <c r="G440" s="116" t="str">
        <f t="shared" si="187"/>
        <v>020101</v>
      </c>
      <c r="H440" s="88">
        <f t="shared" si="194"/>
        <v>0</v>
      </c>
      <c r="I440" s="132"/>
      <c r="J440" s="88">
        <f>SUMIF(月間集計シート!$M$29:$M$48,$G440,月間集計シート!N$29:N$48)*J$2</f>
        <v>0</v>
      </c>
      <c r="K440" s="88">
        <f>SUMIF(月間集計シート!$M$29:$M$48,$G440,月間集計シート!O$29:O$48)*K$2</f>
        <v>0</v>
      </c>
      <c r="L440" s="88">
        <f>SUMIF(月間集計シート!$M$29:$M$48,$G440,月間集計シート!P$29:P$48)*L$2</f>
        <v>0</v>
      </c>
      <c r="M440" s="88">
        <f>SUMIF(月間集計シート!$M$29:$M$48,$G440,月間集計シート!Q$29:Q$48)*M$2</f>
        <v>0</v>
      </c>
      <c r="N440" s="88">
        <f>SUMIF(月間集計シート!$M$29:$M$48,$G440,月間集計シート!R$29:R$48)*N$2</f>
        <v>0</v>
      </c>
      <c r="O440" s="88">
        <f>SUMIF(月間集計シート!$M$29:$M$48,$G440,月間集計シート!S$29:S$48)*O$2</f>
        <v>0</v>
      </c>
      <c r="P440" s="88">
        <f>SUMIF(月間集計シート!$M$29:$M$48,$G440,月間集計シート!T$29:T$48)*P$2</f>
        <v>0</v>
      </c>
      <c r="Q440" s="88">
        <f>SUMIF(月間集計シート!$M$50:$M$69,$G440,月間集計シート!N$50:N$69)*Q$2</f>
        <v>0</v>
      </c>
      <c r="R440" s="88">
        <f>SUMIF(月間集計シート!$M$50:$M$69,$G440,月間集計シート!O$50:O$69)*R$2</f>
        <v>0</v>
      </c>
      <c r="S440" s="88">
        <f>SUMIF(月間集計シート!$M$50:$M$69,$G440,月間集計シート!P$50:P$69)*S$2</f>
        <v>0</v>
      </c>
      <c r="T440" s="88">
        <f>SUMIF(月間集計シート!$M$50:$M$69,$G440,月間集計シート!Q$50:Q$69)*T$2</f>
        <v>0</v>
      </c>
      <c r="U440" s="88">
        <f>SUMIF(月間集計シート!$M$50:$M$69,$G440,月間集計シート!R$50:R$69)*U$2</f>
        <v>0</v>
      </c>
      <c r="V440" s="88">
        <f>SUMIF(月間集計シート!$M$50:$M$69,$G440,月間集計シート!S$50:S$69)*V$2</f>
        <v>0</v>
      </c>
      <c r="W440" s="88">
        <f>SUMIF(月間集計シート!$M$50:$M$69,$G440,月間集計シート!T$50:T$69)*W$2</f>
        <v>0</v>
      </c>
      <c r="X440" s="88">
        <f>SUMIF(月間集計シート!$M$71:$M$90,$G440,月間集計シート!N$71:N$90)*X$2</f>
        <v>0</v>
      </c>
      <c r="Y440" s="88">
        <f>SUMIF(月間集計シート!$M$71:$M$90,$G440,月間集計シート!O$71:O$90)*Y$2</f>
        <v>0</v>
      </c>
      <c r="Z440" s="88">
        <f>SUMIF(月間集計シート!$M$71:$M$90,$G440,月間集計シート!P$71:P$90)*Z$2</f>
        <v>0</v>
      </c>
      <c r="AA440" s="88">
        <f>SUMIF(月間集計シート!$M$71:$M$90,$G440,月間集計シート!Q$71:Q$90)*AA$2</f>
        <v>0</v>
      </c>
      <c r="AB440" s="88">
        <f>SUMIF(月間集計シート!$M$71:$M$90,$G440,月間集計シート!R$71:R$90)*AB$2</f>
        <v>0</v>
      </c>
      <c r="AC440" s="88">
        <f>SUMIF(月間集計シート!$M$71:$M$90,$G440,月間集計シート!S$71:S$90)*AC$2</f>
        <v>0</v>
      </c>
      <c r="AD440" s="88">
        <f>SUMIF(月間集計シート!$M$71:$M$90,$G440,月間集計シート!T$71:T$90)*AD$2</f>
        <v>0</v>
      </c>
      <c r="AE440" s="88">
        <f>SUMIF(月間集計シート!$M$92:$M$111,$G440,月間集計シート!N$92:N$111)*AE$2</f>
        <v>0</v>
      </c>
      <c r="AF440" s="88">
        <f>SUMIF(月間集計シート!$M$92:$M$111,$G440,月間集計シート!O$92:O$111)*AF$2</f>
        <v>0</v>
      </c>
      <c r="AG440" s="88">
        <f>SUMIF(月間集計シート!$M$92:$M$111,$G440,月間集計シート!P$92:P$111)*AG$2</f>
        <v>0</v>
      </c>
      <c r="AH440" s="88">
        <f>SUMIF(月間集計シート!$M$92:$M$111,$G440,月間集計シート!Q$92:Q$111)*AH$2</f>
        <v>0</v>
      </c>
      <c r="AI440" s="88">
        <f>SUMIF(月間集計シート!$M$92:$M$111,$G440,月間集計シート!R$92:R$111)*AI$2</f>
        <v>0</v>
      </c>
      <c r="AJ440" s="88">
        <f>SUMIF(月間集計シート!$M$92:$M$111,$G440,月間集計シート!S$92:S$111)*AJ$2</f>
        <v>0</v>
      </c>
      <c r="AK440" s="88">
        <f>SUMIF(月間集計シート!$M$92:$M$111,$G440,月間集計シート!T$92:T$111)*AK$2</f>
        <v>0</v>
      </c>
      <c r="AL440" s="88">
        <f>SUMIF(月間集計シート!$M$113:$M$132,$G440,月間集計シート!N$113:N$132)*AL$2</f>
        <v>0</v>
      </c>
      <c r="AM440" s="88">
        <f>SUMIF(月間集計シート!$M$113:$M$132,$G440,月間集計シート!O$113:O$132)*AM$2</f>
        <v>0</v>
      </c>
      <c r="AN440" s="88">
        <f>SUMIF(月間集計シート!$M$113:$M$132,$G440,月間集計シート!P$113:P$132)*AN$2</f>
        <v>0</v>
      </c>
      <c r="AO440" s="88">
        <f>SUMIF(月間集計シート!$M$113:$M$132,$G440,月間集計シート!Q$113:Q$132)*AO$2</f>
        <v>0</v>
      </c>
      <c r="AP440" s="88">
        <f>SUMIF(月間集計シート!$M$113:$M$132,$G440,月間集計シート!R$113:R$132)*AP$2</f>
        <v>0</v>
      </c>
      <c r="AQ440" s="88">
        <f>SUMIF(月間集計シート!$M$113:$M$132,$G440,月間集計シート!S$113:S$132)*AQ$2</f>
        <v>0</v>
      </c>
      <c r="AR440" s="88">
        <f>SUMIF(月間集計シート!$M$113:$M$132,$G440,月間集計シート!T$113:T$132)*AR$2</f>
        <v>0</v>
      </c>
      <c r="AS440" s="88">
        <f>SUMIF(月間集計シート!$M$134:$M$153,$G440,月間集計シート!N$134:N$153)*AS$2</f>
        <v>0</v>
      </c>
      <c r="AT440" s="88">
        <f>SUMIF(月間集計シート!$M$134:$M$153,$G440,月間集計シート!O$134:O$153)*AT$2</f>
        <v>0</v>
      </c>
      <c r="AU440" s="88">
        <f>SUMIF(月間集計シート!$M$134:$M$153,$G440,月間集計シート!P$134:P$153)*AU$2</f>
        <v>0</v>
      </c>
      <c r="AV440" s="88">
        <f>SUMIF(月間集計シート!$M$134:$M$153,$G440,月間集計シート!Q$134:Q$153)*AV$2</f>
        <v>0</v>
      </c>
      <c r="AW440" s="88">
        <f>SUMIF(月間集計シート!$M$134:$M$153,$G440,月間集計シート!R$134:R$153)*AW$2</f>
        <v>0</v>
      </c>
      <c r="AX440" s="88">
        <f>SUMIF(月間集計シート!$M$134:$M$153,$G440,月間集計シート!S$134:S$153)*AX$2</f>
        <v>0</v>
      </c>
      <c r="AY440" s="88">
        <f>SUMIF(月間集計シート!$M$134:$M$153,$G440,月間集計シート!T$134:T$153)*AY$2</f>
        <v>0</v>
      </c>
    </row>
    <row r="441" spans="1:51" ht="14.25" thickBot="1">
      <c r="A441">
        <v>6</v>
      </c>
      <c r="B441" s="120">
        <f t="shared" si="238"/>
        <v>0</v>
      </c>
      <c r="C441" s="120" t="str">
        <f t="shared" si="239"/>
        <v/>
      </c>
      <c r="D441" s="137"/>
      <c r="E441" s="150" t="str">
        <f>工種!A8</f>
        <v>20103</v>
      </c>
      <c r="F441" s="119" t="str">
        <f>工種!B8</f>
        <v>設計：打合せ</v>
      </c>
      <c r="G441" s="116" t="str">
        <f t="shared" ref="G441:G526" si="240">B441&amp;E441</f>
        <v>020103</v>
      </c>
      <c r="H441" s="88">
        <f t="shared" si="194"/>
        <v>0</v>
      </c>
      <c r="I441" s="132"/>
      <c r="J441" s="88">
        <f>SUMIF(月間集計シート!$M$29:$M$48,$G441,月間集計シート!N$29:N$48)*J$2</f>
        <v>0</v>
      </c>
      <c r="K441" s="88">
        <f>SUMIF(月間集計シート!$M$29:$M$48,$G441,月間集計シート!O$29:O$48)*K$2</f>
        <v>0</v>
      </c>
      <c r="L441" s="88">
        <f>SUMIF(月間集計シート!$M$29:$M$48,$G441,月間集計シート!P$29:P$48)*L$2</f>
        <v>0</v>
      </c>
      <c r="M441" s="88">
        <f>SUMIF(月間集計シート!$M$29:$M$48,$G441,月間集計シート!Q$29:Q$48)*M$2</f>
        <v>0</v>
      </c>
      <c r="N441" s="88">
        <f>SUMIF(月間集計シート!$M$29:$M$48,$G441,月間集計シート!R$29:R$48)*N$2</f>
        <v>0</v>
      </c>
      <c r="O441" s="88">
        <f>SUMIF(月間集計シート!$M$29:$M$48,$G441,月間集計シート!S$29:S$48)*O$2</f>
        <v>0</v>
      </c>
      <c r="P441" s="88">
        <f>SUMIF(月間集計シート!$M$29:$M$48,$G441,月間集計シート!T$29:T$48)*P$2</f>
        <v>0</v>
      </c>
      <c r="Q441" s="88">
        <f>SUMIF(月間集計シート!$M$50:$M$69,$G441,月間集計シート!N$50:N$69)*Q$2</f>
        <v>0</v>
      </c>
      <c r="R441" s="88">
        <f>SUMIF(月間集計シート!$M$50:$M$69,$G441,月間集計シート!O$50:O$69)*R$2</f>
        <v>0</v>
      </c>
      <c r="S441" s="88">
        <f>SUMIF(月間集計シート!$M$50:$M$69,$G441,月間集計シート!P$50:P$69)*S$2</f>
        <v>0</v>
      </c>
      <c r="T441" s="88">
        <f>SUMIF(月間集計シート!$M$50:$M$69,$G441,月間集計シート!Q$50:Q$69)*T$2</f>
        <v>0</v>
      </c>
      <c r="U441" s="88">
        <f>SUMIF(月間集計シート!$M$50:$M$69,$G441,月間集計シート!R$50:R$69)*U$2</f>
        <v>0</v>
      </c>
      <c r="V441" s="88">
        <f>SUMIF(月間集計シート!$M$50:$M$69,$G441,月間集計シート!S$50:S$69)*V$2</f>
        <v>0</v>
      </c>
      <c r="W441" s="88">
        <f>SUMIF(月間集計シート!$M$50:$M$69,$G441,月間集計シート!T$50:T$69)*W$2</f>
        <v>0</v>
      </c>
      <c r="X441" s="88">
        <f>SUMIF(月間集計シート!$M$71:$M$90,$G441,月間集計シート!N$71:N$90)*X$2</f>
        <v>0</v>
      </c>
      <c r="Y441" s="88">
        <f>SUMIF(月間集計シート!$M$71:$M$90,$G441,月間集計シート!O$71:O$90)*Y$2</f>
        <v>0</v>
      </c>
      <c r="Z441" s="88">
        <f>SUMIF(月間集計シート!$M$71:$M$90,$G441,月間集計シート!P$71:P$90)*Z$2</f>
        <v>0</v>
      </c>
      <c r="AA441" s="88">
        <f>SUMIF(月間集計シート!$M$71:$M$90,$G441,月間集計シート!Q$71:Q$90)*AA$2</f>
        <v>0</v>
      </c>
      <c r="AB441" s="88">
        <f>SUMIF(月間集計シート!$M$71:$M$90,$G441,月間集計シート!R$71:R$90)*AB$2</f>
        <v>0</v>
      </c>
      <c r="AC441" s="88">
        <f>SUMIF(月間集計シート!$M$71:$M$90,$G441,月間集計シート!S$71:S$90)*AC$2</f>
        <v>0</v>
      </c>
      <c r="AD441" s="88">
        <f>SUMIF(月間集計シート!$M$71:$M$90,$G441,月間集計シート!T$71:T$90)*AD$2</f>
        <v>0</v>
      </c>
      <c r="AE441" s="88">
        <f>SUMIF(月間集計シート!$M$92:$M$111,$G441,月間集計シート!N$92:N$111)*AE$2</f>
        <v>0</v>
      </c>
      <c r="AF441" s="88">
        <f>SUMIF(月間集計シート!$M$92:$M$111,$G441,月間集計シート!O$92:O$111)*AF$2</f>
        <v>0</v>
      </c>
      <c r="AG441" s="88">
        <f>SUMIF(月間集計シート!$M$92:$M$111,$G441,月間集計シート!P$92:P$111)*AG$2</f>
        <v>0</v>
      </c>
      <c r="AH441" s="88">
        <f>SUMIF(月間集計シート!$M$92:$M$111,$G441,月間集計シート!Q$92:Q$111)*AH$2</f>
        <v>0</v>
      </c>
      <c r="AI441" s="88">
        <f>SUMIF(月間集計シート!$M$92:$M$111,$G441,月間集計シート!R$92:R$111)*AI$2</f>
        <v>0</v>
      </c>
      <c r="AJ441" s="88">
        <f>SUMIF(月間集計シート!$M$92:$M$111,$G441,月間集計シート!S$92:S$111)*AJ$2</f>
        <v>0</v>
      </c>
      <c r="AK441" s="88">
        <f>SUMIF(月間集計シート!$M$92:$M$111,$G441,月間集計シート!T$92:T$111)*AK$2</f>
        <v>0</v>
      </c>
      <c r="AL441" s="88">
        <f>SUMIF(月間集計シート!$M$113:$M$132,$G441,月間集計シート!N$113:N$132)*AL$2</f>
        <v>0</v>
      </c>
      <c r="AM441" s="88">
        <f>SUMIF(月間集計シート!$M$113:$M$132,$G441,月間集計シート!O$113:O$132)*AM$2</f>
        <v>0</v>
      </c>
      <c r="AN441" s="88">
        <f>SUMIF(月間集計シート!$M$113:$M$132,$G441,月間集計シート!P$113:P$132)*AN$2</f>
        <v>0</v>
      </c>
      <c r="AO441" s="88">
        <f>SUMIF(月間集計シート!$M$113:$M$132,$G441,月間集計シート!Q$113:Q$132)*AO$2</f>
        <v>0</v>
      </c>
      <c r="AP441" s="88">
        <f>SUMIF(月間集計シート!$M$113:$M$132,$G441,月間集計シート!R$113:R$132)*AP$2</f>
        <v>0</v>
      </c>
      <c r="AQ441" s="88">
        <f>SUMIF(月間集計シート!$M$113:$M$132,$G441,月間集計シート!S$113:S$132)*AQ$2</f>
        <v>0</v>
      </c>
      <c r="AR441" s="88">
        <f>SUMIF(月間集計シート!$M$113:$M$132,$G441,月間集計シート!T$113:T$132)*AR$2</f>
        <v>0</v>
      </c>
      <c r="AS441" s="88">
        <f>SUMIF(月間集計シート!$M$134:$M$153,$G441,月間集計シート!N$134:N$153)*AS$2</f>
        <v>0</v>
      </c>
      <c r="AT441" s="88">
        <f>SUMIF(月間集計シート!$M$134:$M$153,$G441,月間集計シート!O$134:O$153)*AT$2</f>
        <v>0</v>
      </c>
      <c r="AU441" s="88">
        <f>SUMIF(月間集計シート!$M$134:$M$153,$G441,月間集計シート!P$134:P$153)*AU$2</f>
        <v>0</v>
      </c>
      <c r="AV441" s="88">
        <f>SUMIF(月間集計シート!$M$134:$M$153,$G441,月間集計シート!Q$134:Q$153)*AV$2</f>
        <v>0</v>
      </c>
      <c r="AW441" s="88">
        <f>SUMIF(月間集計シート!$M$134:$M$153,$G441,月間集計シート!R$134:R$153)*AW$2</f>
        <v>0</v>
      </c>
      <c r="AX441" s="88">
        <f>SUMIF(月間集計シート!$M$134:$M$153,$G441,月間集計シート!S$134:S$153)*AX$2</f>
        <v>0</v>
      </c>
      <c r="AY441" s="88">
        <f>SUMIF(月間集計シート!$M$134:$M$153,$G441,月間集計シート!T$134:T$153)*AY$2</f>
        <v>0</v>
      </c>
    </row>
    <row r="442" spans="1:51" ht="14.25" thickBot="1">
      <c r="A442">
        <v>6</v>
      </c>
      <c r="B442" s="120">
        <f t="shared" si="238"/>
        <v>0</v>
      </c>
      <c r="C442" s="120" t="str">
        <f t="shared" si="239"/>
        <v/>
      </c>
      <c r="D442" s="137"/>
      <c r="E442" s="150">
        <f>工種!A9</f>
        <v>20105</v>
      </c>
      <c r="F442" s="119" t="str">
        <f>工種!B9</f>
        <v>設計：原因調査・影響範囲分析・変更仕様作成</v>
      </c>
      <c r="G442" s="116" t="str">
        <f t="shared" si="240"/>
        <v>020105</v>
      </c>
      <c r="H442" s="88">
        <f t="shared" si="194"/>
        <v>0</v>
      </c>
      <c r="I442" s="132"/>
      <c r="J442" s="88">
        <f>SUMIF(月間集計シート!$M$29:$M$48,$G442,月間集計シート!N$29:N$48)*J$2</f>
        <v>0</v>
      </c>
      <c r="K442" s="88">
        <f>SUMIF(月間集計シート!$M$29:$M$48,$G442,月間集計シート!O$29:O$48)*K$2</f>
        <v>0</v>
      </c>
      <c r="L442" s="88">
        <f>SUMIF(月間集計シート!$M$29:$M$48,$G442,月間集計シート!P$29:P$48)*L$2</f>
        <v>0</v>
      </c>
      <c r="M442" s="88">
        <f>SUMIF(月間集計シート!$M$29:$M$48,$G442,月間集計シート!Q$29:Q$48)*M$2</f>
        <v>0</v>
      </c>
      <c r="N442" s="88">
        <f>SUMIF(月間集計シート!$M$29:$M$48,$G442,月間集計シート!R$29:R$48)*N$2</f>
        <v>0</v>
      </c>
      <c r="O442" s="88">
        <f>SUMIF(月間集計シート!$M$29:$M$48,$G442,月間集計シート!S$29:S$48)*O$2</f>
        <v>0</v>
      </c>
      <c r="P442" s="88">
        <f>SUMIF(月間集計シート!$M$29:$M$48,$G442,月間集計シート!T$29:T$48)*P$2</f>
        <v>0</v>
      </c>
      <c r="Q442" s="88">
        <f>SUMIF(月間集計シート!$M$50:$M$69,$G442,月間集計シート!N$50:N$69)*Q$2</f>
        <v>0</v>
      </c>
      <c r="R442" s="88">
        <f>SUMIF(月間集計シート!$M$50:$M$69,$G442,月間集計シート!O$50:O$69)*R$2</f>
        <v>0</v>
      </c>
      <c r="S442" s="88">
        <f>SUMIF(月間集計シート!$M$50:$M$69,$G442,月間集計シート!P$50:P$69)*S$2</f>
        <v>0</v>
      </c>
      <c r="T442" s="88">
        <f>SUMIF(月間集計シート!$M$50:$M$69,$G442,月間集計シート!Q$50:Q$69)*T$2</f>
        <v>0</v>
      </c>
      <c r="U442" s="88">
        <f>SUMIF(月間集計シート!$M$50:$M$69,$G442,月間集計シート!R$50:R$69)*U$2</f>
        <v>0</v>
      </c>
      <c r="V442" s="88">
        <f>SUMIF(月間集計シート!$M$50:$M$69,$G442,月間集計シート!S$50:S$69)*V$2</f>
        <v>0</v>
      </c>
      <c r="W442" s="88">
        <f>SUMIF(月間集計シート!$M$50:$M$69,$G442,月間集計シート!T$50:T$69)*W$2</f>
        <v>0</v>
      </c>
      <c r="X442" s="88">
        <f>SUMIF(月間集計シート!$M$71:$M$90,$G442,月間集計シート!N$71:N$90)*X$2</f>
        <v>0</v>
      </c>
      <c r="Y442" s="88">
        <f>SUMIF(月間集計シート!$M$71:$M$90,$G442,月間集計シート!O$71:O$90)*Y$2</f>
        <v>0</v>
      </c>
      <c r="Z442" s="88">
        <f>SUMIF(月間集計シート!$M$71:$M$90,$G442,月間集計シート!P$71:P$90)*Z$2</f>
        <v>0</v>
      </c>
      <c r="AA442" s="88">
        <f>SUMIF(月間集計シート!$M$71:$M$90,$G442,月間集計シート!Q$71:Q$90)*AA$2</f>
        <v>0</v>
      </c>
      <c r="AB442" s="88">
        <f>SUMIF(月間集計シート!$M$71:$M$90,$G442,月間集計シート!R$71:R$90)*AB$2</f>
        <v>0</v>
      </c>
      <c r="AC442" s="88">
        <f>SUMIF(月間集計シート!$M$71:$M$90,$G442,月間集計シート!S$71:S$90)*AC$2</f>
        <v>0</v>
      </c>
      <c r="AD442" s="88">
        <f>SUMIF(月間集計シート!$M$71:$M$90,$G442,月間集計シート!T$71:T$90)*AD$2</f>
        <v>0</v>
      </c>
      <c r="AE442" s="88">
        <f>SUMIF(月間集計シート!$M$92:$M$111,$G442,月間集計シート!N$92:N$111)*AE$2</f>
        <v>0</v>
      </c>
      <c r="AF442" s="88">
        <f>SUMIF(月間集計シート!$M$92:$M$111,$G442,月間集計シート!O$92:O$111)*AF$2</f>
        <v>0</v>
      </c>
      <c r="AG442" s="88">
        <f>SUMIF(月間集計シート!$M$92:$M$111,$G442,月間集計シート!P$92:P$111)*AG$2</f>
        <v>0</v>
      </c>
      <c r="AH442" s="88">
        <f>SUMIF(月間集計シート!$M$92:$M$111,$G442,月間集計シート!Q$92:Q$111)*AH$2</f>
        <v>0</v>
      </c>
      <c r="AI442" s="88">
        <f>SUMIF(月間集計シート!$M$92:$M$111,$G442,月間集計シート!R$92:R$111)*AI$2</f>
        <v>0</v>
      </c>
      <c r="AJ442" s="88">
        <f>SUMIF(月間集計シート!$M$92:$M$111,$G442,月間集計シート!S$92:S$111)*AJ$2</f>
        <v>0</v>
      </c>
      <c r="AK442" s="88">
        <f>SUMIF(月間集計シート!$M$92:$M$111,$G442,月間集計シート!T$92:T$111)*AK$2</f>
        <v>0</v>
      </c>
      <c r="AL442" s="88">
        <f>SUMIF(月間集計シート!$M$113:$M$132,$G442,月間集計シート!N$113:N$132)*AL$2</f>
        <v>0</v>
      </c>
      <c r="AM442" s="88">
        <f>SUMIF(月間集計シート!$M$113:$M$132,$G442,月間集計シート!O$113:O$132)*AM$2</f>
        <v>0</v>
      </c>
      <c r="AN442" s="88">
        <f>SUMIF(月間集計シート!$M$113:$M$132,$G442,月間集計シート!P$113:P$132)*AN$2</f>
        <v>0</v>
      </c>
      <c r="AO442" s="88">
        <f>SUMIF(月間集計シート!$M$113:$M$132,$G442,月間集計シート!Q$113:Q$132)*AO$2</f>
        <v>0</v>
      </c>
      <c r="AP442" s="88">
        <f>SUMIF(月間集計シート!$M$113:$M$132,$G442,月間集計シート!R$113:R$132)*AP$2</f>
        <v>0</v>
      </c>
      <c r="AQ442" s="88">
        <f>SUMIF(月間集計シート!$M$113:$M$132,$G442,月間集計シート!S$113:S$132)*AQ$2</f>
        <v>0</v>
      </c>
      <c r="AR442" s="88">
        <f>SUMIF(月間集計シート!$M$113:$M$132,$G442,月間集計シート!T$113:T$132)*AR$2</f>
        <v>0</v>
      </c>
      <c r="AS442" s="88">
        <f>SUMIF(月間集計シート!$M$134:$M$153,$G442,月間集計シート!N$134:N$153)*AS$2</f>
        <v>0</v>
      </c>
      <c r="AT442" s="88">
        <f>SUMIF(月間集計シート!$M$134:$M$153,$G442,月間集計シート!O$134:O$153)*AT$2</f>
        <v>0</v>
      </c>
      <c r="AU442" s="88">
        <f>SUMIF(月間集計シート!$M$134:$M$153,$G442,月間集計シート!P$134:P$153)*AU$2</f>
        <v>0</v>
      </c>
      <c r="AV442" s="88">
        <f>SUMIF(月間集計シート!$M$134:$M$153,$G442,月間集計シート!Q$134:Q$153)*AV$2</f>
        <v>0</v>
      </c>
      <c r="AW442" s="88">
        <f>SUMIF(月間集計シート!$M$134:$M$153,$G442,月間集計シート!R$134:R$153)*AW$2</f>
        <v>0</v>
      </c>
      <c r="AX442" s="88">
        <f>SUMIF(月間集計シート!$M$134:$M$153,$G442,月間集計シート!S$134:S$153)*AX$2</f>
        <v>0</v>
      </c>
      <c r="AY442" s="88">
        <f>SUMIF(月間集計シート!$M$134:$M$153,$G442,月間集計シート!T$134:T$153)*AY$2</f>
        <v>0</v>
      </c>
    </row>
    <row r="443" spans="1:51" ht="14.25" thickBot="1">
      <c r="A443">
        <v>6</v>
      </c>
      <c r="B443" s="120">
        <f t="shared" si="238"/>
        <v>0</v>
      </c>
      <c r="C443" s="120" t="str">
        <f t="shared" si="239"/>
        <v/>
      </c>
      <c r="D443" s="137"/>
      <c r="E443" s="150" t="str">
        <f>工種!A10</f>
        <v>20106</v>
      </c>
      <c r="F443" s="119" t="str">
        <f>工種!B10</f>
        <v>設計：設計書修正（手戻り分）</v>
      </c>
      <c r="G443" s="116" t="str">
        <f t="shared" si="240"/>
        <v>020106</v>
      </c>
      <c r="H443" s="88">
        <f t="shared" si="194"/>
        <v>0</v>
      </c>
      <c r="I443" s="132"/>
      <c r="J443" s="88">
        <f>SUMIF(月間集計シート!$M$29:$M$48,$G443,月間集計シート!N$29:N$48)*J$2</f>
        <v>0</v>
      </c>
      <c r="K443" s="88">
        <f>SUMIF(月間集計シート!$M$29:$M$48,$G443,月間集計シート!O$29:O$48)*K$2</f>
        <v>0</v>
      </c>
      <c r="L443" s="88">
        <f>SUMIF(月間集計シート!$M$29:$M$48,$G443,月間集計シート!P$29:P$48)*L$2</f>
        <v>0</v>
      </c>
      <c r="M443" s="88">
        <f>SUMIF(月間集計シート!$M$29:$M$48,$G443,月間集計シート!Q$29:Q$48)*M$2</f>
        <v>0</v>
      </c>
      <c r="N443" s="88">
        <f>SUMIF(月間集計シート!$M$29:$M$48,$G443,月間集計シート!R$29:R$48)*N$2</f>
        <v>0</v>
      </c>
      <c r="O443" s="88">
        <f>SUMIF(月間集計シート!$M$29:$M$48,$G443,月間集計シート!S$29:S$48)*O$2</f>
        <v>0</v>
      </c>
      <c r="P443" s="88">
        <f>SUMIF(月間集計シート!$M$29:$M$48,$G443,月間集計シート!T$29:T$48)*P$2</f>
        <v>0</v>
      </c>
      <c r="Q443" s="88">
        <f>SUMIF(月間集計シート!$M$50:$M$69,$G443,月間集計シート!N$50:N$69)*Q$2</f>
        <v>0</v>
      </c>
      <c r="R443" s="88">
        <f>SUMIF(月間集計シート!$M$50:$M$69,$G443,月間集計シート!O$50:O$69)*R$2</f>
        <v>0</v>
      </c>
      <c r="S443" s="88">
        <f>SUMIF(月間集計シート!$M$50:$M$69,$G443,月間集計シート!P$50:P$69)*S$2</f>
        <v>0</v>
      </c>
      <c r="T443" s="88">
        <f>SUMIF(月間集計シート!$M$50:$M$69,$G443,月間集計シート!Q$50:Q$69)*T$2</f>
        <v>0</v>
      </c>
      <c r="U443" s="88">
        <f>SUMIF(月間集計シート!$M$50:$M$69,$G443,月間集計シート!R$50:R$69)*U$2</f>
        <v>0</v>
      </c>
      <c r="V443" s="88">
        <f>SUMIF(月間集計シート!$M$50:$M$69,$G443,月間集計シート!S$50:S$69)*V$2</f>
        <v>0</v>
      </c>
      <c r="W443" s="88">
        <f>SUMIF(月間集計シート!$M$50:$M$69,$G443,月間集計シート!T$50:T$69)*W$2</f>
        <v>0</v>
      </c>
      <c r="X443" s="88">
        <f>SUMIF(月間集計シート!$M$71:$M$90,$G443,月間集計シート!N$71:N$90)*X$2</f>
        <v>0</v>
      </c>
      <c r="Y443" s="88">
        <f>SUMIF(月間集計シート!$M$71:$M$90,$G443,月間集計シート!O$71:O$90)*Y$2</f>
        <v>0</v>
      </c>
      <c r="Z443" s="88">
        <f>SUMIF(月間集計シート!$M$71:$M$90,$G443,月間集計シート!P$71:P$90)*Z$2</f>
        <v>0</v>
      </c>
      <c r="AA443" s="88">
        <f>SUMIF(月間集計シート!$M$71:$M$90,$G443,月間集計シート!Q$71:Q$90)*AA$2</f>
        <v>0</v>
      </c>
      <c r="AB443" s="88">
        <f>SUMIF(月間集計シート!$M$71:$M$90,$G443,月間集計シート!R$71:R$90)*AB$2</f>
        <v>0</v>
      </c>
      <c r="AC443" s="88">
        <f>SUMIF(月間集計シート!$M$71:$M$90,$G443,月間集計シート!S$71:S$90)*AC$2</f>
        <v>0</v>
      </c>
      <c r="AD443" s="88">
        <f>SUMIF(月間集計シート!$M$71:$M$90,$G443,月間集計シート!T$71:T$90)*AD$2</f>
        <v>0</v>
      </c>
      <c r="AE443" s="88">
        <f>SUMIF(月間集計シート!$M$92:$M$111,$G443,月間集計シート!N$92:N$111)*AE$2</f>
        <v>0</v>
      </c>
      <c r="AF443" s="88">
        <f>SUMIF(月間集計シート!$M$92:$M$111,$G443,月間集計シート!O$92:O$111)*AF$2</f>
        <v>0</v>
      </c>
      <c r="AG443" s="88">
        <f>SUMIF(月間集計シート!$M$92:$M$111,$G443,月間集計シート!P$92:P$111)*AG$2</f>
        <v>0</v>
      </c>
      <c r="AH443" s="88">
        <f>SUMIF(月間集計シート!$M$92:$M$111,$G443,月間集計シート!Q$92:Q$111)*AH$2</f>
        <v>0</v>
      </c>
      <c r="AI443" s="88">
        <f>SUMIF(月間集計シート!$M$92:$M$111,$G443,月間集計シート!R$92:R$111)*AI$2</f>
        <v>0</v>
      </c>
      <c r="AJ443" s="88">
        <f>SUMIF(月間集計シート!$M$92:$M$111,$G443,月間集計シート!S$92:S$111)*AJ$2</f>
        <v>0</v>
      </c>
      <c r="AK443" s="88">
        <f>SUMIF(月間集計シート!$M$92:$M$111,$G443,月間集計シート!T$92:T$111)*AK$2</f>
        <v>0</v>
      </c>
      <c r="AL443" s="88">
        <f>SUMIF(月間集計シート!$M$113:$M$132,$G443,月間集計シート!N$113:N$132)*AL$2</f>
        <v>0</v>
      </c>
      <c r="AM443" s="88">
        <f>SUMIF(月間集計シート!$M$113:$M$132,$G443,月間集計シート!O$113:O$132)*AM$2</f>
        <v>0</v>
      </c>
      <c r="AN443" s="88">
        <f>SUMIF(月間集計シート!$M$113:$M$132,$G443,月間集計シート!P$113:P$132)*AN$2</f>
        <v>0</v>
      </c>
      <c r="AO443" s="88">
        <f>SUMIF(月間集計シート!$M$113:$M$132,$G443,月間集計シート!Q$113:Q$132)*AO$2</f>
        <v>0</v>
      </c>
      <c r="AP443" s="88">
        <f>SUMIF(月間集計シート!$M$113:$M$132,$G443,月間集計シート!R$113:R$132)*AP$2</f>
        <v>0</v>
      </c>
      <c r="AQ443" s="88">
        <f>SUMIF(月間集計シート!$M$113:$M$132,$G443,月間集計シート!S$113:S$132)*AQ$2</f>
        <v>0</v>
      </c>
      <c r="AR443" s="88">
        <f>SUMIF(月間集計シート!$M$113:$M$132,$G443,月間集計シート!T$113:T$132)*AR$2</f>
        <v>0</v>
      </c>
      <c r="AS443" s="88">
        <f>SUMIF(月間集計シート!$M$134:$M$153,$G443,月間集計シート!N$134:N$153)*AS$2</f>
        <v>0</v>
      </c>
      <c r="AT443" s="88">
        <f>SUMIF(月間集計シート!$M$134:$M$153,$G443,月間集計シート!O$134:O$153)*AT$2</f>
        <v>0</v>
      </c>
      <c r="AU443" s="88">
        <f>SUMIF(月間集計シート!$M$134:$M$153,$G443,月間集計シート!P$134:P$153)*AU$2</f>
        <v>0</v>
      </c>
      <c r="AV443" s="88">
        <f>SUMIF(月間集計シート!$M$134:$M$153,$G443,月間集計シート!Q$134:Q$153)*AV$2</f>
        <v>0</v>
      </c>
      <c r="AW443" s="88">
        <f>SUMIF(月間集計シート!$M$134:$M$153,$G443,月間集計シート!R$134:R$153)*AW$2</f>
        <v>0</v>
      </c>
      <c r="AX443" s="88">
        <f>SUMIF(月間集計シート!$M$134:$M$153,$G443,月間集計シート!S$134:S$153)*AX$2</f>
        <v>0</v>
      </c>
      <c r="AY443" s="88">
        <f>SUMIF(月間集計シート!$M$134:$M$153,$G443,月間集計シート!T$134:T$153)*AY$2</f>
        <v>0</v>
      </c>
    </row>
    <row r="444" spans="1:51" ht="14.25" thickBot="1">
      <c r="A444">
        <v>6</v>
      </c>
      <c r="B444" s="120">
        <f t="shared" si="238"/>
        <v>0</v>
      </c>
      <c r="C444" s="120" t="str">
        <f t="shared" si="239"/>
        <v/>
      </c>
      <c r="D444" s="137"/>
      <c r="E444" s="150" t="str">
        <f>工種!A11</f>
        <v>20107</v>
      </c>
      <c r="F444" s="119" t="str">
        <f>工種!B11</f>
        <v>設計：その他の設計書作成</v>
      </c>
      <c r="G444" s="116" t="str">
        <f t="shared" si="240"/>
        <v>020107</v>
      </c>
      <c r="H444" s="88">
        <f t="shared" si="194"/>
        <v>0</v>
      </c>
      <c r="I444" s="132"/>
      <c r="J444" s="88">
        <f>SUMIF(月間集計シート!$M$29:$M$48,$G444,月間集計シート!N$29:N$48)*J$2</f>
        <v>0</v>
      </c>
      <c r="K444" s="88">
        <f>SUMIF(月間集計シート!$M$29:$M$48,$G444,月間集計シート!O$29:O$48)*K$2</f>
        <v>0</v>
      </c>
      <c r="L444" s="88">
        <f>SUMIF(月間集計シート!$M$29:$M$48,$G444,月間集計シート!P$29:P$48)*L$2</f>
        <v>0</v>
      </c>
      <c r="M444" s="88">
        <f>SUMIF(月間集計シート!$M$29:$M$48,$G444,月間集計シート!Q$29:Q$48)*M$2</f>
        <v>0</v>
      </c>
      <c r="N444" s="88">
        <f>SUMIF(月間集計シート!$M$29:$M$48,$G444,月間集計シート!R$29:R$48)*N$2</f>
        <v>0</v>
      </c>
      <c r="O444" s="88">
        <f>SUMIF(月間集計シート!$M$29:$M$48,$G444,月間集計シート!S$29:S$48)*O$2</f>
        <v>0</v>
      </c>
      <c r="P444" s="88">
        <f>SUMIF(月間集計シート!$M$29:$M$48,$G444,月間集計シート!T$29:T$48)*P$2</f>
        <v>0</v>
      </c>
      <c r="Q444" s="88">
        <f>SUMIF(月間集計シート!$M$50:$M$69,$G444,月間集計シート!N$50:N$69)*Q$2</f>
        <v>0</v>
      </c>
      <c r="R444" s="88">
        <f>SUMIF(月間集計シート!$M$50:$M$69,$G444,月間集計シート!O$50:O$69)*R$2</f>
        <v>0</v>
      </c>
      <c r="S444" s="88">
        <f>SUMIF(月間集計シート!$M$50:$M$69,$G444,月間集計シート!P$50:P$69)*S$2</f>
        <v>0</v>
      </c>
      <c r="T444" s="88">
        <f>SUMIF(月間集計シート!$M$50:$M$69,$G444,月間集計シート!Q$50:Q$69)*T$2</f>
        <v>0</v>
      </c>
      <c r="U444" s="88">
        <f>SUMIF(月間集計シート!$M$50:$M$69,$G444,月間集計シート!R$50:R$69)*U$2</f>
        <v>0</v>
      </c>
      <c r="V444" s="88">
        <f>SUMIF(月間集計シート!$M$50:$M$69,$G444,月間集計シート!S$50:S$69)*V$2</f>
        <v>0</v>
      </c>
      <c r="W444" s="88">
        <f>SUMIF(月間集計シート!$M$50:$M$69,$G444,月間集計シート!T$50:T$69)*W$2</f>
        <v>0</v>
      </c>
      <c r="X444" s="88">
        <f>SUMIF(月間集計シート!$M$71:$M$90,$G444,月間集計シート!N$71:N$90)*X$2</f>
        <v>0</v>
      </c>
      <c r="Y444" s="88">
        <f>SUMIF(月間集計シート!$M$71:$M$90,$G444,月間集計シート!O$71:O$90)*Y$2</f>
        <v>0</v>
      </c>
      <c r="Z444" s="88">
        <f>SUMIF(月間集計シート!$M$71:$M$90,$G444,月間集計シート!P$71:P$90)*Z$2</f>
        <v>0</v>
      </c>
      <c r="AA444" s="88">
        <f>SUMIF(月間集計シート!$M$71:$M$90,$G444,月間集計シート!Q$71:Q$90)*AA$2</f>
        <v>0</v>
      </c>
      <c r="AB444" s="88">
        <f>SUMIF(月間集計シート!$M$71:$M$90,$G444,月間集計シート!R$71:R$90)*AB$2</f>
        <v>0</v>
      </c>
      <c r="AC444" s="88">
        <f>SUMIF(月間集計シート!$M$71:$M$90,$G444,月間集計シート!S$71:S$90)*AC$2</f>
        <v>0</v>
      </c>
      <c r="AD444" s="88">
        <f>SUMIF(月間集計シート!$M$71:$M$90,$G444,月間集計シート!T$71:T$90)*AD$2</f>
        <v>0</v>
      </c>
      <c r="AE444" s="88">
        <f>SUMIF(月間集計シート!$M$92:$M$111,$G444,月間集計シート!N$92:N$111)*AE$2</f>
        <v>0</v>
      </c>
      <c r="AF444" s="88">
        <f>SUMIF(月間集計シート!$M$92:$M$111,$G444,月間集計シート!O$92:O$111)*AF$2</f>
        <v>0</v>
      </c>
      <c r="AG444" s="88">
        <f>SUMIF(月間集計シート!$M$92:$M$111,$G444,月間集計シート!P$92:P$111)*AG$2</f>
        <v>0</v>
      </c>
      <c r="AH444" s="88">
        <f>SUMIF(月間集計シート!$M$92:$M$111,$G444,月間集計シート!Q$92:Q$111)*AH$2</f>
        <v>0</v>
      </c>
      <c r="AI444" s="88">
        <f>SUMIF(月間集計シート!$M$92:$M$111,$G444,月間集計シート!R$92:R$111)*AI$2</f>
        <v>0</v>
      </c>
      <c r="AJ444" s="88">
        <f>SUMIF(月間集計シート!$M$92:$M$111,$G444,月間集計シート!S$92:S$111)*AJ$2</f>
        <v>0</v>
      </c>
      <c r="AK444" s="88">
        <f>SUMIF(月間集計シート!$M$92:$M$111,$G444,月間集計シート!T$92:T$111)*AK$2</f>
        <v>0</v>
      </c>
      <c r="AL444" s="88">
        <f>SUMIF(月間集計シート!$M$113:$M$132,$G444,月間集計シート!N$113:N$132)*AL$2</f>
        <v>0</v>
      </c>
      <c r="AM444" s="88">
        <f>SUMIF(月間集計シート!$M$113:$M$132,$G444,月間集計シート!O$113:O$132)*AM$2</f>
        <v>0</v>
      </c>
      <c r="AN444" s="88">
        <f>SUMIF(月間集計シート!$M$113:$M$132,$G444,月間集計シート!P$113:P$132)*AN$2</f>
        <v>0</v>
      </c>
      <c r="AO444" s="88">
        <f>SUMIF(月間集計シート!$M$113:$M$132,$G444,月間集計シート!Q$113:Q$132)*AO$2</f>
        <v>0</v>
      </c>
      <c r="AP444" s="88">
        <f>SUMIF(月間集計シート!$M$113:$M$132,$G444,月間集計シート!R$113:R$132)*AP$2</f>
        <v>0</v>
      </c>
      <c r="AQ444" s="88">
        <f>SUMIF(月間集計シート!$M$113:$M$132,$G444,月間集計シート!S$113:S$132)*AQ$2</f>
        <v>0</v>
      </c>
      <c r="AR444" s="88">
        <f>SUMIF(月間集計シート!$M$113:$M$132,$G444,月間集計シート!T$113:T$132)*AR$2</f>
        <v>0</v>
      </c>
      <c r="AS444" s="88">
        <f>SUMIF(月間集計シート!$M$134:$M$153,$G444,月間集計シート!N$134:N$153)*AS$2</f>
        <v>0</v>
      </c>
      <c r="AT444" s="88">
        <f>SUMIF(月間集計シート!$M$134:$M$153,$G444,月間集計シート!O$134:O$153)*AT$2</f>
        <v>0</v>
      </c>
      <c r="AU444" s="88">
        <f>SUMIF(月間集計シート!$M$134:$M$153,$G444,月間集計シート!P$134:P$153)*AU$2</f>
        <v>0</v>
      </c>
      <c r="AV444" s="88">
        <f>SUMIF(月間集計シート!$M$134:$M$153,$G444,月間集計シート!Q$134:Q$153)*AV$2</f>
        <v>0</v>
      </c>
      <c r="AW444" s="88">
        <f>SUMIF(月間集計シート!$M$134:$M$153,$G444,月間集計シート!R$134:R$153)*AW$2</f>
        <v>0</v>
      </c>
      <c r="AX444" s="88">
        <f>SUMIF(月間集計シート!$M$134:$M$153,$G444,月間集計シート!S$134:S$153)*AX$2</f>
        <v>0</v>
      </c>
      <c r="AY444" s="88">
        <f>SUMIF(月間集計シート!$M$134:$M$153,$G444,月間集計シート!T$134:T$153)*AY$2</f>
        <v>0</v>
      </c>
    </row>
    <row r="445" spans="1:51" ht="14.25" thickBot="1">
      <c r="A445">
        <v>6</v>
      </c>
      <c r="B445" s="120">
        <f t="shared" si="238"/>
        <v>0</v>
      </c>
      <c r="C445" s="120" t="str">
        <f t="shared" si="239"/>
        <v/>
      </c>
      <c r="D445" s="137"/>
      <c r="E445" s="150" t="str">
        <f>工種!A12</f>
        <v>20108</v>
      </c>
      <c r="F445" s="119" t="str">
        <f>工種!B12</f>
        <v>設計：レビュー</v>
      </c>
      <c r="G445" s="116" t="str">
        <f t="shared" si="240"/>
        <v>020108</v>
      </c>
      <c r="H445" s="88">
        <f t="shared" si="194"/>
        <v>0</v>
      </c>
      <c r="I445" s="132"/>
      <c r="J445" s="88">
        <f>SUMIF(月間集計シート!$M$29:$M$48,$G445,月間集計シート!N$29:N$48)*J$2</f>
        <v>0</v>
      </c>
      <c r="K445" s="88">
        <f>SUMIF(月間集計シート!$M$29:$M$48,$G445,月間集計シート!O$29:O$48)*K$2</f>
        <v>0</v>
      </c>
      <c r="L445" s="88">
        <f>SUMIF(月間集計シート!$M$29:$M$48,$G445,月間集計シート!P$29:P$48)*L$2</f>
        <v>0</v>
      </c>
      <c r="M445" s="88">
        <f>SUMIF(月間集計シート!$M$29:$M$48,$G445,月間集計シート!Q$29:Q$48)*M$2</f>
        <v>0</v>
      </c>
      <c r="N445" s="88">
        <f>SUMIF(月間集計シート!$M$29:$M$48,$G445,月間集計シート!R$29:R$48)*N$2</f>
        <v>0</v>
      </c>
      <c r="O445" s="88">
        <f>SUMIF(月間集計シート!$M$29:$M$48,$G445,月間集計シート!S$29:S$48)*O$2</f>
        <v>0</v>
      </c>
      <c r="P445" s="88">
        <f>SUMIF(月間集計シート!$M$29:$M$48,$G445,月間集計シート!T$29:T$48)*P$2</f>
        <v>0</v>
      </c>
      <c r="Q445" s="88">
        <f>SUMIF(月間集計シート!$M$50:$M$69,$G445,月間集計シート!N$50:N$69)*Q$2</f>
        <v>0</v>
      </c>
      <c r="R445" s="88">
        <f>SUMIF(月間集計シート!$M$50:$M$69,$G445,月間集計シート!O$50:O$69)*R$2</f>
        <v>0</v>
      </c>
      <c r="S445" s="88">
        <f>SUMIF(月間集計シート!$M$50:$M$69,$G445,月間集計シート!P$50:P$69)*S$2</f>
        <v>0</v>
      </c>
      <c r="T445" s="88">
        <f>SUMIF(月間集計シート!$M$50:$M$69,$G445,月間集計シート!Q$50:Q$69)*T$2</f>
        <v>0</v>
      </c>
      <c r="U445" s="88">
        <f>SUMIF(月間集計シート!$M$50:$M$69,$G445,月間集計シート!R$50:R$69)*U$2</f>
        <v>0</v>
      </c>
      <c r="V445" s="88">
        <f>SUMIF(月間集計シート!$M$50:$M$69,$G445,月間集計シート!S$50:S$69)*V$2</f>
        <v>0</v>
      </c>
      <c r="W445" s="88">
        <f>SUMIF(月間集計シート!$M$50:$M$69,$G445,月間集計シート!T$50:T$69)*W$2</f>
        <v>0</v>
      </c>
      <c r="X445" s="88">
        <f>SUMIF(月間集計シート!$M$71:$M$90,$G445,月間集計シート!N$71:N$90)*X$2</f>
        <v>0</v>
      </c>
      <c r="Y445" s="88">
        <f>SUMIF(月間集計シート!$M$71:$M$90,$G445,月間集計シート!O$71:O$90)*Y$2</f>
        <v>0</v>
      </c>
      <c r="Z445" s="88">
        <f>SUMIF(月間集計シート!$M$71:$M$90,$G445,月間集計シート!P$71:P$90)*Z$2</f>
        <v>0</v>
      </c>
      <c r="AA445" s="88">
        <f>SUMIF(月間集計シート!$M$71:$M$90,$G445,月間集計シート!Q$71:Q$90)*AA$2</f>
        <v>0</v>
      </c>
      <c r="AB445" s="88">
        <f>SUMIF(月間集計シート!$M$71:$M$90,$G445,月間集計シート!R$71:R$90)*AB$2</f>
        <v>0</v>
      </c>
      <c r="AC445" s="88">
        <f>SUMIF(月間集計シート!$M$71:$M$90,$G445,月間集計シート!S$71:S$90)*AC$2</f>
        <v>0</v>
      </c>
      <c r="AD445" s="88">
        <f>SUMIF(月間集計シート!$M$71:$M$90,$G445,月間集計シート!T$71:T$90)*AD$2</f>
        <v>0</v>
      </c>
      <c r="AE445" s="88">
        <f>SUMIF(月間集計シート!$M$92:$M$111,$G445,月間集計シート!N$92:N$111)*AE$2</f>
        <v>0</v>
      </c>
      <c r="AF445" s="88">
        <f>SUMIF(月間集計シート!$M$92:$M$111,$G445,月間集計シート!O$92:O$111)*AF$2</f>
        <v>0</v>
      </c>
      <c r="AG445" s="88">
        <f>SUMIF(月間集計シート!$M$92:$M$111,$G445,月間集計シート!P$92:P$111)*AG$2</f>
        <v>0</v>
      </c>
      <c r="AH445" s="88">
        <f>SUMIF(月間集計シート!$M$92:$M$111,$G445,月間集計シート!Q$92:Q$111)*AH$2</f>
        <v>0</v>
      </c>
      <c r="AI445" s="88">
        <f>SUMIF(月間集計シート!$M$92:$M$111,$G445,月間集計シート!R$92:R$111)*AI$2</f>
        <v>0</v>
      </c>
      <c r="AJ445" s="88">
        <f>SUMIF(月間集計シート!$M$92:$M$111,$G445,月間集計シート!S$92:S$111)*AJ$2</f>
        <v>0</v>
      </c>
      <c r="AK445" s="88">
        <f>SUMIF(月間集計シート!$M$92:$M$111,$G445,月間集計シート!T$92:T$111)*AK$2</f>
        <v>0</v>
      </c>
      <c r="AL445" s="88">
        <f>SUMIF(月間集計シート!$M$113:$M$132,$G445,月間集計シート!N$113:N$132)*AL$2</f>
        <v>0</v>
      </c>
      <c r="AM445" s="88">
        <f>SUMIF(月間集計シート!$M$113:$M$132,$G445,月間集計シート!O$113:O$132)*AM$2</f>
        <v>0</v>
      </c>
      <c r="AN445" s="88">
        <f>SUMIF(月間集計シート!$M$113:$M$132,$G445,月間集計シート!P$113:P$132)*AN$2</f>
        <v>0</v>
      </c>
      <c r="AO445" s="88">
        <f>SUMIF(月間集計シート!$M$113:$M$132,$G445,月間集計シート!Q$113:Q$132)*AO$2</f>
        <v>0</v>
      </c>
      <c r="AP445" s="88">
        <f>SUMIF(月間集計シート!$M$113:$M$132,$G445,月間集計シート!R$113:R$132)*AP$2</f>
        <v>0</v>
      </c>
      <c r="AQ445" s="88">
        <f>SUMIF(月間集計シート!$M$113:$M$132,$G445,月間集計シート!S$113:S$132)*AQ$2</f>
        <v>0</v>
      </c>
      <c r="AR445" s="88">
        <f>SUMIF(月間集計シート!$M$113:$M$132,$G445,月間集計シート!T$113:T$132)*AR$2</f>
        <v>0</v>
      </c>
      <c r="AS445" s="88">
        <f>SUMIF(月間集計シート!$M$134:$M$153,$G445,月間集計シート!N$134:N$153)*AS$2</f>
        <v>0</v>
      </c>
      <c r="AT445" s="88">
        <f>SUMIF(月間集計シート!$M$134:$M$153,$G445,月間集計シート!O$134:O$153)*AT$2</f>
        <v>0</v>
      </c>
      <c r="AU445" s="88">
        <f>SUMIF(月間集計シート!$M$134:$M$153,$G445,月間集計シート!P$134:P$153)*AU$2</f>
        <v>0</v>
      </c>
      <c r="AV445" s="88">
        <f>SUMIF(月間集計シート!$M$134:$M$153,$G445,月間集計シート!Q$134:Q$153)*AV$2</f>
        <v>0</v>
      </c>
      <c r="AW445" s="88">
        <f>SUMIF(月間集計シート!$M$134:$M$153,$G445,月間集計シート!R$134:R$153)*AW$2</f>
        <v>0</v>
      </c>
      <c r="AX445" s="88">
        <f>SUMIF(月間集計シート!$M$134:$M$153,$G445,月間集計シート!S$134:S$153)*AX$2</f>
        <v>0</v>
      </c>
      <c r="AY445" s="88">
        <f>SUMIF(月間集計シート!$M$134:$M$153,$G445,月間集計シート!T$134:T$153)*AY$2</f>
        <v>0</v>
      </c>
    </row>
    <row r="446" spans="1:51" ht="14.25" thickBot="1">
      <c r="A446">
        <v>6</v>
      </c>
      <c r="B446" s="120">
        <f t="shared" si="238"/>
        <v>0</v>
      </c>
      <c r="C446" s="120" t="str">
        <f t="shared" si="239"/>
        <v/>
      </c>
      <c r="D446" s="137"/>
      <c r="E446" s="150" t="str">
        <f>工種!A13</f>
        <v>20109</v>
      </c>
      <c r="F446" s="119" t="str">
        <f>工種!B13</f>
        <v>設計：QA対応</v>
      </c>
      <c r="G446" s="116" t="str">
        <f t="shared" si="240"/>
        <v>020109</v>
      </c>
      <c r="H446" s="88">
        <f t="shared" si="194"/>
        <v>0</v>
      </c>
      <c r="I446" s="132"/>
      <c r="J446" s="88">
        <f>SUMIF(月間集計シート!$M$29:$M$48,$G446,月間集計シート!N$29:N$48)*J$2</f>
        <v>0</v>
      </c>
      <c r="K446" s="88">
        <f>SUMIF(月間集計シート!$M$29:$M$48,$G446,月間集計シート!O$29:O$48)*K$2</f>
        <v>0</v>
      </c>
      <c r="L446" s="88">
        <f>SUMIF(月間集計シート!$M$29:$M$48,$G446,月間集計シート!P$29:P$48)*L$2</f>
        <v>0</v>
      </c>
      <c r="M446" s="88">
        <f>SUMIF(月間集計シート!$M$29:$M$48,$G446,月間集計シート!Q$29:Q$48)*M$2</f>
        <v>0</v>
      </c>
      <c r="N446" s="88">
        <f>SUMIF(月間集計シート!$M$29:$M$48,$G446,月間集計シート!R$29:R$48)*N$2</f>
        <v>0</v>
      </c>
      <c r="O446" s="88">
        <f>SUMIF(月間集計シート!$M$29:$M$48,$G446,月間集計シート!S$29:S$48)*O$2</f>
        <v>0</v>
      </c>
      <c r="P446" s="88">
        <f>SUMIF(月間集計シート!$M$29:$M$48,$G446,月間集計シート!T$29:T$48)*P$2</f>
        <v>0</v>
      </c>
      <c r="Q446" s="88">
        <f>SUMIF(月間集計シート!$M$50:$M$69,$G446,月間集計シート!N$50:N$69)*Q$2</f>
        <v>0</v>
      </c>
      <c r="R446" s="88">
        <f>SUMIF(月間集計シート!$M$50:$M$69,$G446,月間集計シート!O$50:O$69)*R$2</f>
        <v>0</v>
      </c>
      <c r="S446" s="88">
        <f>SUMIF(月間集計シート!$M$50:$M$69,$G446,月間集計シート!P$50:P$69)*S$2</f>
        <v>0</v>
      </c>
      <c r="T446" s="88">
        <f>SUMIF(月間集計シート!$M$50:$M$69,$G446,月間集計シート!Q$50:Q$69)*T$2</f>
        <v>0</v>
      </c>
      <c r="U446" s="88">
        <f>SUMIF(月間集計シート!$M$50:$M$69,$G446,月間集計シート!R$50:R$69)*U$2</f>
        <v>0</v>
      </c>
      <c r="V446" s="88">
        <f>SUMIF(月間集計シート!$M$50:$M$69,$G446,月間集計シート!S$50:S$69)*V$2</f>
        <v>0</v>
      </c>
      <c r="W446" s="88">
        <f>SUMIF(月間集計シート!$M$50:$M$69,$G446,月間集計シート!T$50:T$69)*W$2</f>
        <v>0</v>
      </c>
      <c r="X446" s="88">
        <f>SUMIF(月間集計シート!$M$71:$M$90,$G446,月間集計シート!N$71:N$90)*X$2</f>
        <v>0</v>
      </c>
      <c r="Y446" s="88">
        <f>SUMIF(月間集計シート!$M$71:$M$90,$G446,月間集計シート!O$71:O$90)*Y$2</f>
        <v>0</v>
      </c>
      <c r="Z446" s="88">
        <f>SUMIF(月間集計シート!$M$71:$M$90,$G446,月間集計シート!P$71:P$90)*Z$2</f>
        <v>0</v>
      </c>
      <c r="AA446" s="88">
        <f>SUMIF(月間集計シート!$M$71:$M$90,$G446,月間集計シート!Q$71:Q$90)*AA$2</f>
        <v>0</v>
      </c>
      <c r="AB446" s="88">
        <f>SUMIF(月間集計シート!$M$71:$M$90,$G446,月間集計シート!R$71:R$90)*AB$2</f>
        <v>0</v>
      </c>
      <c r="AC446" s="88">
        <f>SUMIF(月間集計シート!$M$71:$M$90,$G446,月間集計シート!S$71:S$90)*AC$2</f>
        <v>0</v>
      </c>
      <c r="AD446" s="88">
        <f>SUMIF(月間集計シート!$M$71:$M$90,$G446,月間集計シート!T$71:T$90)*AD$2</f>
        <v>0</v>
      </c>
      <c r="AE446" s="88">
        <f>SUMIF(月間集計シート!$M$92:$M$111,$G446,月間集計シート!N$92:N$111)*AE$2</f>
        <v>0</v>
      </c>
      <c r="AF446" s="88">
        <f>SUMIF(月間集計シート!$M$92:$M$111,$G446,月間集計シート!O$92:O$111)*AF$2</f>
        <v>0</v>
      </c>
      <c r="AG446" s="88">
        <f>SUMIF(月間集計シート!$M$92:$M$111,$G446,月間集計シート!P$92:P$111)*AG$2</f>
        <v>0</v>
      </c>
      <c r="AH446" s="88">
        <f>SUMIF(月間集計シート!$M$92:$M$111,$G446,月間集計シート!Q$92:Q$111)*AH$2</f>
        <v>0</v>
      </c>
      <c r="AI446" s="88">
        <f>SUMIF(月間集計シート!$M$92:$M$111,$G446,月間集計シート!R$92:R$111)*AI$2</f>
        <v>0</v>
      </c>
      <c r="AJ446" s="88">
        <f>SUMIF(月間集計シート!$M$92:$M$111,$G446,月間集計シート!S$92:S$111)*AJ$2</f>
        <v>0</v>
      </c>
      <c r="AK446" s="88">
        <f>SUMIF(月間集計シート!$M$92:$M$111,$G446,月間集計シート!T$92:T$111)*AK$2</f>
        <v>0</v>
      </c>
      <c r="AL446" s="88">
        <f>SUMIF(月間集計シート!$M$113:$M$132,$G446,月間集計シート!N$113:N$132)*AL$2</f>
        <v>0</v>
      </c>
      <c r="AM446" s="88">
        <f>SUMIF(月間集計シート!$M$113:$M$132,$G446,月間集計シート!O$113:O$132)*AM$2</f>
        <v>0</v>
      </c>
      <c r="AN446" s="88">
        <f>SUMIF(月間集計シート!$M$113:$M$132,$G446,月間集計シート!P$113:P$132)*AN$2</f>
        <v>0</v>
      </c>
      <c r="AO446" s="88">
        <f>SUMIF(月間集計シート!$M$113:$M$132,$G446,月間集計シート!Q$113:Q$132)*AO$2</f>
        <v>0</v>
      </c>
      <c r="AP446" s="88">
        <f>SUMIF(月間集計シート!$M$113:$M$132,$G446,月間集計シート!R$113:R$132)*AP$2</f>
        <v>0</v>
      </c>
      <c r="AQ446" s="88">
        <f>SUMIF(月間集計シート!$M$113:$M$132,$G446,月間集計シート!S$113:S$132)*AQ$2</f>
        <v>0</v>
      </c>
      <c r="AR446" s="88">
        <f>SUMIF(月間集計シート!$M$113:$M$132,$G446,月間集計シート!T$113:T$132)*AR$2</f>
        <v>0</v>
      </c>
      <c r="AS446" s="88">
        <f>SUMIF(月間集計シート!$M$134:$M$153,$G446,月間集計シート!N$134:N$153)*AS$2</f>
        <v>0</v>
      </c>
      <c r="AT446" s="88">
        <f>SUMIF(月間集計シート!$M$134:$M$153,$G446,月間集計シート!O$134:O$153)*AT$2</f>
        <v>0</v>
      </c>
      <c r="AU446" s="88">
        <f>SUMIF(月間集計シート!$M$134:$M$153,$G446,月間集計シート!P$134:P$153)*AU$2</f>
        <v>0</v>
      </c>
      <c r="AV446" s="88">
        <f>SUMIF(月間集計シート!$M$134:$M$153,$G446,月間集計シート!Q$134:Q$153)*AV$2</f>
        <v>0</v>
      </c>
      <c r="AW446" s="88">
        <f>SUMIF(月間集計シート!$M$134:$M$153,$G446,月間集計シート!R$134:R$153)*AW$2</f>
        <v>0</v>
      </c>
      <c r="AX446" s="88">
        <f>SUMIF(月間集計シート!$M$134:$M$153,$G446,月間集計シート!S$134:S$153)*AX$2</f>
        <v>0</v>
      </c>
      <c r="AY446" s="88">
        <f>SUMIF(月間集計シート!$M$134:$M$153,$G446,月間集計シート!T$134:T$153)*AY$2</f>
        <v>0</v>
      </c>
    </row>
    <row r="447" spans="1:51" ht="14.25" thickBot="1">
      <c r="A447">
        <v>6</v>
      </c>
      <c r="B447" s="120">
        <f t="shared" si="238"/>
        <v>0</v>
      </c>
      <c r="C447" s="120" t="str">
        <f t="shared" si="239"/>
        <v/>
      </c>
      <c r="D447" s="137"/>
      <c r="E447" s="150" t="str">
        <f>工種!A14</f>
        <v>20199</v>
      </c>
      <c r="F447" s="119" t="str">
        <f>工種!B14</f>
        <v>設計：その他</v>
      </c>
      <c r="G447" s="116" t="str">
        <f t="shared" si="240"/>
        <v>020199</v>
      </c>
      <c r="H447" s="88">
        <f t="shared" si="194"/>
        <v>0</v>
      </c>
      <c r="I447" s="132"/>
      <c r="J447" s="88">
        <f>SUMIF(月間集計シート!$M$29:$M$48,$G447,月間集計シート!N$29:N$48)*J$2</f>
        <v>0</v>
      </c>
      <c r="K447" s="88">
        <f>SUMIF(月間集計シート!$M$29:$M$48,$G447,月間集計シート!O$29:O$48)*K$2</f>
        <v>0</v>
      </c>
      <c r="L447" s="88">
        <f>SUMIF(月間集計シート!$M$29:$M$48,$G447,月間集計シート!P$29:P$48)*L$2</f>
        <v>0</v>
      </c>
      <c r="M447" s="88">
        <f>SUMIF(月間集計シート!$M$29:$M$48,$G447,月間集計シート!Q$29:Q$48)*M$2</f>
        <v>0</v>
      </c>
      <c r="N447" s="88">
        <f>SUMIF(月間集計シート!$M$29:$M$48,$G447,月間集計シート!R$29:R$48)*N$2</f>
        <v>0</v>
      </c>
      <c r="O447" s="88">
        <f>SUMIF(月間集計シート!$M$29:$M$48,$G447,月間集計シート!S$29:S$48)*O$2</f>
        <v>0</v>
      </c>
      <c r="P447" s="88">
        <f>SUMIF(月間集計シート!$M$29:$M$48,$G447,月間集計シート!T$29:T$48)*P$2</f>
        <v>0</v>
      </c>
      <c r="Q447" s="88">
        <f>SUMIF(月間集計シート!$M$50:$M$69,$G447,月間集計シート!N$50:N$69)*Q$2</f>
        <v>0</v>
      </c>
      <c r="R447" s="88">
        <f>SUMIF(月間集計シート!$M$50:$M$69,$G447,月間集計シート!O$50:O$69)*R$2</f>
        <v>0</v>
      </c>
      <c r="S447" s="88">
        <f>SUMIF(月間集計シート!$M$50:$M$69,$G447,月間集計シート!P$50:P$69)*S$2</f>
        <v>0</v>
      </c>
      <c r="T447" s="88">
        <f>SUMIF(月間集計シート!$M$50:$M$69,$G447,月間集計シート!Q$50:Q$69)*T$2</f>
        <v>0</v>
      </c>
      <c r="U447" s="88">
        <f>SUMIF(月間集計シート!$M$50:$M$69,$G447,月間集計シート!R$50:R$69)*U$2</f>
        <v>0</v>
      </c>
      <c r="V447" s="88">
        <f>SUMIF(月間集計シート!$M$50:$M$69,$G447,月間集計シート!S$50:S$69)*V$2</f>
        <v>0</v>
      </c>
      <c r="W447" s="88">
        <f>SUMIF(月間集計シート!$M$50:$M$69,$G447,月間集計シート!T$50:T$69)*W$2</f>
        <v>0</v>
      </c>
      <c r="X447" s="88">
        <f>SUMIF(月間集計シート!$M$71:$M$90,$G447,月間集計シート!N$71:N$90)*X$2</f>
        <v>0</v>
      </c>
      <c r="Y447" s="88">
        <f>SUMIF(月間集計シート!$M$71:$M$90,$G447,月間集計シート!O$71:O$90)*Y$2</f>
        <v>0</v>
      </c>
      <c r="Z447" s="88">
        <f>SUMIF(月間集計シート!$M$71:$M$90,$G447,月間集計シート!P$71:P$90)*Z$2</f>
        <v>0</v>
      </c>
      <c r="AA447" s="88">
        <f>SUMIF(月間集計シート!$M$71:$M$90,$G447,月間集計シート!Q$71:Q$90)*AA$2</f>
        <v>0</v>
      </c>
      <c r="AB447" s="88">
        <f>SUMIF(月間集計シート!$M$71:$M$90,$G447,月間集計シート!R$71:R$90)*AB$2</f>
        <v>0</v>
      </c>
      <c r="AC447" s="88">
        <f>SUMIF(月間集計シート!$M$71:$M$90,$G447,月間集計シート!S$71:S$90)*AC$2</f>
        <v>0</v>
      </c>
      <c r="AD447" s="88">
        <f>SUMIF(月間集計シート!$M$71:$M$90,$G447,月間集計シート!T$71:T$90)*AD$2</f>
        <v>0</v>
      </c>
      <c r="AE447" s="88">
        <f>SUMIF(月間集計シート!$M$92:$M$111,$G447,月間集計シート!N$92:N$111)*AE$2</f>
        <v>0</v>
      </c>
      <c r="AF447" s="88">
        <f>SUMIF(月間集計シート!$M$92:$M$111,$G447,月間集計シート!O$92:O$111)*AF$2</f>
        <v>0</v>
      </c>
      <c r="AG447" s="88">
        <f>SUMIF(月間集計シート!$M$92:$M$111,$G447,月間集計シート!P$92:P$111)*AG$2</f>
        <v>0</v>
      </c>
      <c r="AH447" s="88">
        <f>SUMIF(月間集計シート!$M$92:$M$111,$G447,月間集計シート!Q$92:Q$111)*AH$2</f>
        <v>0</v>
      </c>
      <c r="AI447" s="88">
        <f>SUMIF(月間集計シート!$M$92:$M$111,$G447,月間集計シート!R$92:R$111)*AI$2</f>
        <v>0</v>
      </c>
      <c r="AJ447" s="88">
        <f>SUMIF(月間集計シート!$M$92:$M$111,$G447,月間集計シート!S$92:S$111)*AJ$2</f>
        <v>0</v>
      </c>
      <c r="AK447" s="88">
        <f>SUMIF(月間集計シート!$M$92:$M$111,$G447,月間集計シート!T$92:T$111)*AK$2</f>
        <v>0</v>
      </c>
      <c r="AL447" s="88">
        <f>SUMIF(月間集計シート!$M$113:$M$132,$G447,月間集計シート!N$113:N$132)*AL$2</f>
        <v>0</v>
      </c>
      <c r="AM447" s="88">
        <f>SUMIF(月間集計シート!$M$113:$M$132,$G447,月間集計シート!O$113:O$132)*AM$2</f>
        <v>0</v>
      </c>
      <c r="AN447" s="88">
        <f>SUMIF(月間集計シート!$M$113:$M$132,$G447,月間集計シート!P$113:P$132)*AN$2</f>
        <v>0</v>
      </c>
      <c r="AO447" s="88">
        <f>SUMIF(月間集計シート!$M$113:$M$132,$G447,月間集計シート!Q$113:Q$132)*AO$2</f>
        <v>0</v>
      </c>
      <c r="AP447" s="88">
        <f>SUMIF(月間集計シート!$M$113:$M$132,$G447,月間集計シート!R$113:R$132)*AP$2</f>
        <v>0</v>
      </c>
      <c r="AQ447" s="88">
        <f>SUMIF(月間集計シート!$M$113:$M$132,$G447,月間集計シート!S$113:S$132)*AQ$2</f>
        <v>0</v>
      </c>
      <c r="AR447" s="88">
        <f>SUMIF(月間集計シート!$M$113:$M$132,$G447,月間集計シート!T$113:T$132)*AR$2</f>
        <v>0</v>
      </c>
      <c r="AS447" s="88">
        <f>SUMIF(月間集計シート!$M$134:$M$153,$G447,月間集計シート!N$134:N$153)*AS$2</f>
        <v>0</v>
      </c>
      <c r="AT447" s="88">
        <f>SUMIF(月間集計シート!$M$134:$M$153,$G447,月間集計シート!O$134:O$153)*AT$2</f>
        <v>0</v>
      </c>
      <c r="AU447" s="88">
        <f>SUMIF(月間集計シート!$M$134:$M$153,$G447,月間集計シート!P$134:P$153)*AU$2</f>
        <v>0</v>
      </c>
      <c r="AV447" s="88">
        <f>SUMIF(月間集計シート!$M$134:$M$153,$G447,月間集計シート!Q$134:Q$153)*AV$2</f>
        <v>0</v>
      </c>
      <c r="AW447" s="88">
        <f>SUMIF(月間集計シート!$M$134:$M$153,$G447,月間集計シート!R$134:R$153)*AW$2</f>
        <v>0</v>
      </c>
      <c r="AX447" s="88">
        <f>SUMIF(月間集計シート!$M$134:$M$153,$G447,月間集計シート!S$134:S$153)*AX$2</f>
        <v>0</v>
      </c>
      <c r="AY447" s="88">
        <f>SUMIF(月間集計シート!$M$134:$M$153,$G447,月間集計シート!T$134:T$153)*AY$2</f>
        <v>0</v>
      </c>
    </row>
    <row r="448" spans="1:51" ht="14.25" thickBot="1">
      <c r="A448">
        <v>6</v>
      </c>
      <c r="B448" s="120">
        <f t="shared" si="238"/>
        <v>0</v>
      </c>
      <c r="C448" s="120" t="str">
        <f t="shared" si="239"/>
        <v/>
      </c>
      <c r="D448" s="137"/>
      <c r="E448" s="150" t="str">
        <f>工種!A15</f>
        <v>30101</v>
      </c>
      <c r="F448" s="119" t="str">
        <f>工種!B15</f>
        <v>製造：内部設計書作成</v>
      </c>
      <c r="G448" s="116" t="str">
        <f t="shared" si="240"/>
        <v>030101</v>
      </c>
      <c r="H448" s="88">
        <f t="shared" si="194"/>
        <v>0</v>
      </c>
      <c r="I448" s="132"/>
      <c r="J448" s="88">
        <f>SUMIF(月間集計シート!$M$29:$M$48,$G448,月間集計シート!N$29:N$48)*J$2</f>
        <v>0</v>
      </c>
      <c r="K448" s="88">
        <f>SUMIF(月間集計シート!$M$29:$M$48,$G448,月間集計シート!O$29:O$48)*K$2</f>
        <v>0</v>
      </c>
      <c r="L448" s="88">
        <f>SUMIF(月間集計シート!$M$29:$M$48,$G448,月間集計シート!P$29:P$48)*L$2</f>
        <v>0</v>
      </c>
      <c r="M448" s="88">
        <f>SUMIF(月間集計シート!$M$29:$M$48,$G448,月間集計シート!Q$29:Q$48)*M$2</f>
        <v>0</v>
      </c>
      <c r="N448" s="88">
        <f>SUMIF(月間集計シート!$M$29:$M$48,$G448,月間集計シート!R$29:R$48)*N$2</f>
        <v>0</v>
      </c>
      <c r="O448" s="88">
        <f>SUMIF(月間集計シート!$M$29:$M$48,$G448,月間集計シート!S$29:S$48)*O$2</f>
        <v>0</v>
      </c>
      <c r="P448" s="88">
        <f>SUMIF(月間集計シート!$M$29:$M$48,$G448,月間集計シート!T$29:T$48)*P$2</f>
        <v>0</v>
      </c>
      <c r="Q448" s="88">
        <f>SUMIF(月間集計シート!$M$50:$M$69,$G448,月間集計シート!N$50:N$69)*Q$2</f>
        <v>0</v>
      </c>
      <c r="R448" s="88">
        <f>SUMIF(月間集計シート!$M$50:$M$69,$G448,月間集計シート!O$50:O$69)*R$2</f>
        <v>0</v>
      </c>
      <c r="S448" s="88">
        <f>SUMIF(月間集計シート!$M$50:$M$69,$G448,月間集計シート!P$50:P$69)*S$2</f>
        <v>0</v>
      </c>
      <c r="T448" s="88">
        <f>SUMIF(月間集計シート!$M$50:$M$69,$G448,月間集計シート!Q$50:Q$69)*T$2</f>
        <v>0</v>
      </c>
      <c r="U448" s="88">
        <f>SUMIF(月間集計シート!$M$50:$M$69,$G448,月間集計シート!R$50:R$69)*U$2</f>
        <v>0</v>
      </c>
      <c r="V448" s="88">
        <f>SUMIF(月間集計シート!$M$50:$M$69,$G448,月間集計シート!S$50:S$69)*V$2</f>
        <v>0</v>
      </c>
      <c r="W448" s="88">
        <f>SUMIF(月間集計シート!$M$50:$M$69,$G448,月間集計シート!T$50:T$69)*W$2</f>
        <v>0</v>
      </c>
      <c r="X448" s="88">
        <f>SUMIF(月間集計シート!$M$71:$M$90,$G448,月間集計シート!N$71:N$90)*X$2</f>
        <v>0</v>
      </c>
      <c r="Y448" s="88">
        <f>SUMIF(月間集計シート!$M$71:$M$90,$G448,月間集計シート!O$71:O$90)*Y$2</f>
        <v>0</v>
      </c>
      <c r="Z448" s="88">
        <f>SUMIF(月間集計シート!$M$71:$M$90,$G448,月間集計シート!P$71:P$90)*Z$2</f>
        <v>0</v>
      </c>
      <c r="AA448" s="88">
        <f>SUMIF(月間集計シート!$M$71:$M$90,$G448,月間集計シート!Q$71:Q$90)*AA$2</f>
        <v>0</v>
      </c>
      <c r="AB448" s="88">
        <f>SUMIF(月間集計シート!$M$71:$M$90,$G448,月間集計シート!R$71:R$90)*AB$2</f>
        <v>0</v>
      </c>
      <c r="AC448" s="88">
        <f>SUMIF(月間集計シート!$M$71:$M$90,$G448,月間集計シート!S$71:S$90)*AC$2</f>
        <v>0</v>
      </c>
      <c r="AD448" s="88">
        <f>SUMIF(月間集計シート!$M$71:$M$90,$G448,月間集計シート!T$71:T$90)*AD$2</f>
        <v>0</v>
      </c>
      <c r="AE448" s="88">
        <f>SUMIF(月間集計シート!$M$92:$M$111,$G448,月間集計シート!N$92:N$111)*AE$2</f>
        <v>0</v>
      </c>
      <c r="AF448" s="88">
        <f>SUMIF(月間集計シート!$M$92:$M$111,$G448,月間集計シート!O$92:O$111)*AF$2</f>
        <v>0</v>
      </c>
      <c r="AG448" s="88">
        <f>SUMIF(月間集計シート!$M$92:$M$111,$G448,月間集計シート!P$92:P$111)*AG$2</f>
        <v>0</v>
      </c>
      <c r="AH448" s="88">
        <f>SUMIF(月間集計シート!$M$92:$M$111,$G448,月間集計シート!Q$92:Q$111)*AH$2</f>
        <v>0</v>
      </c>
      <c r="AI448" s="88">
        <f>SUMIF(月間集計シート!$M$92:$M$111,$G448,月間集計シート!R$92:R$111)*AI$2</f>
        <v>0</v>
      </c>
      <c r="AJ448" s="88">
        <f>SUMIF(月間集計シート!$M$92:$M$111,$G448,月間集計シート!S$92:S$111)*AJ$2</f>
        <v>0</v>
      </c>
      <c r="AK448" s="88">
        <f>SUMIF(月間集計シート!$M$92:$M$111,$G448,月間集計シート!T$92:T$111)*AK$2</f>
        <v>0</v>
      </c>
      <c r="AL448" s="88">
        <f>SUMIF(月間集計シート!$M$113:$M$132,$G448,月間集計シート!N$113:N$132)*AL$2</f>
        <v>0</v>
      </c>
      <c r="AM448" s="88">
        <f>SUMIF(月間集計シート!$M$113:$M$132,$G448,月間集計シート!O$113:O$132)*AM$2</f>
        <v>0</v>
      </c>
      <c r="AN448" s="88">
        <f>SUMIF(月間集計シート!$M$113:$M$132,$G448,月間集計シート!P$113:P$132)*AN$2</f>
        <v>0</v>
      </c>
      <c r="AO448" s="88">
        <f>SUMIF(月間集計シート!$M$113:$M$132,$G448,月間集計シート!Q$113:Q$132)*AO$2</f>
        <v>0</v>
      </c>
      <c r="AP448" s="88">
        <f>SUMIF(月間集計シート!$M$113:$M$132,$G448,月間集計シート!R$113:R$132)*AP$2</f>
        <v>0</v>
      </c>
      <c r="AQ448" s="88">
        <f>SUMIF(月間集計シート!$M$113:$M$132,$G448,月間集計シート!S$113:S$132)*AQ$2</f>
        <v>0</v>
      </c>
      <c r="AR448" s="88">
        <f>SUMIF(月間集計シート!$M$113:$M$132,$G448,月間集計シート!T$113:T$132)*AR$2</f>
        <v>0</v>
      </c>
      <c r="AS448" s="88">
        <f>SUMIF(月間集計シート!$M$134:$M$153,$G448,月間集計シート!N$134:N$153)*AS$2</f>
        <v>0</v>
      </c>
      <c r="AT448" s="88">
        <f>SUMIF(月間集計シート!$M$134:$M$153,$G448,月間集計シート!O$134:O$153)*AT$2</f>
        <v>0</v>
      </c>
      <c r="AU448" s="88">
        <f>SUMIF(月間集計シート!$M$134:$M$153,$G448,月間集計シート!P$134:P$153)*AU$2</f>
        <v>0</v>
      </c>
      <c r="AV448" s="88">
        <f>SUMIF(月間集計シート!$M$134:$M$153,$G448,月間集計シート!Q$134:Q$153)*AV$2</f>
        <v>0</v>
      </c>
      <c r="AW448" s="88">
        <f>SUMIF(月間集計シート!$M$134:$M$153,$G448,月間集計シート!R$134:R$153)*AW$2</f>
        <v>0</v>
      </c>
      <c r="AX448" s="88">
        <f>SUMIF(月間集計シート!$M$134:$M$153,$G448,月間集計シート!S$134:S$153)*AX$2</f>
        <v>0</v>
      </c>
      <c r="AY448" s="88">
        <f>SUMIF(月間集計シート!$M$134:$M$153,$G448,月間集計シート!T$134:T$153)*AY$2</f>
        <v>0</v>
      </c>
    </row>
    <row r="449" spans="1:51" ht="14.25" thickBot="1">
      <c r="A449">
        <v>6</v>
      </c>
      <c r="B449" s="120">
        <f t="shared" si="238"/>
        <v>0</v>
      </c>
      <c r="C449" s="120" t="str">
        <f t="shared" si="239"/>
        <v/>
      </c>
      <c r="D449" s="137"/>
      <c r="E449" s="150" t="str">
        <f>工種!A16</f>
        <v>30102</v>
      </c>
      <c r="F449" s="119" t="str">
        <f>工種!B16</f>
        <v>製造：コーディング</v>
      </c>
      <c r="G449" s="116" t="str">
        <f t="shared" si="240"/>
        <v>030102</v>
      </c>
      <c r="H449" s="88">
        <f t="shared" si="194"/>
        <v>0</v>
      </c>
      <c r="I449" s="132"/>
      <c r="J449" s="88">
        <f>SUMIF(月間集計シート!$M$29:$M$48,$G449,月間集計シート!N$29:N$48)*J$2</f>
        <v>0</v>
      </c>
      <c r="K449" s="88">
        <f>SUMIF(月間集計シート!$M$29:$M$48,$G449,月間集計シート!O$29:O$48)*K$2</f>
        <v>0</v>
      </c>
      <c r="L449" s="88">
        <f>SUMIF(月間集計シート!$M$29:$M$48,$G449,月間集計シート!P$29:P$48)*L$2</f>
        <v>0</v>
      </c>
      <c r="M449" s="88">
        <f>SUMIF(月間集計シート!$M$29:$M$48,$G449,月間集計シート!Q$29:Q$48)*M$2</f>
        <v>0</v>
      </c>
      <c r="N449" s="88">
        <f>SUMIF(月間集計シート!$M$29:$M$48,$G449,月間集計シート!R$29:R$48)*N$2</f>
        <v>0</v>
      </c>
      <c r="O449" s="88">
        <f>SUMIF(月間集計シート!$M$29:$M$48,$G449,月間集計シート!S$29:S$48)*O$2</f>
        <v>0</v>
      </c>
      <c r="P449" s="88">
        <f>SUMIF(月間集計シート!$M$29:$M$48,$G449,月間集計シート!T$29:T$48)*P$2</f>
        <v>0</v>
      </c>
      <c r="Q449" s="88">
        <f>SUMIF(月間集計シート!$M$50:$M$69,$G449,月間集計シート!N$50:N$69)*Q$2</f>
        <v>0</v>
      </c>
      <c r="R449" s="88">
        <f>SUMIF(月間集計シート!$M$50:$M$69,$G449,月間集計シート!O$50:O$69)*R$2</f>
        <v>0</v>
      </c>
      <c r="S449" s="88">
        <f>SUMIF(月間集計シート!$M$50:$M$69,$G449,月間集計シート!P$50:P$69)*S$2</f>
        <v>0</v>
      </c>
      <c r="T449" s="88">
        <f>SUMIF(月間集計シート!$M$50:$M$69,$G449,月間集計シート!Q$50:Q$69)*T$2</f>
        <v>0</v>
      </c>
      <c r="U449" s="88">
        <f>SUMIF(月間集計シート!$M$50:$M$69,$G449,月間集計シート!R$50:R$69)*U$2</f>
        <v>0</v>
      </c>
      <c r="V449" s="88">
        <f>SUMIF(月間集計シート!$M$50:$M$69,$G449,月間集計シート!S$50:S$69)*V$2</f>
        <v>0</v>
      </c>
      <c r="W449" s="88">
        <f>SUMIF(月間集計シート!$M$50:$M$69,$G449,月間集計シート!T$50:T$69)*W$2</f>
        <v>0</v>
      </c>
      <c r="X449" s="88">
        <f>SUMIF(月間集計シート!$M$71:$M$90,$G449,月間集計シート!N$71:N$90)*X$2</f>
        <v>0</v>
      </c>
      <c r="Y449" s="88">
        <f>SUMIF(月間集計シート!$M$71:$M$90,$G449,月間集計シート!O$71:O$90)*Y$2</f>
        <v>0</v>
      </c>
      <c r="Z449" s="88">
        <f>SUMIF(月間集計シート!$M$71:$M$90,$G449,月間集計シート!P$71:P$90)*Z$2</f>
        <v>0</v>
      </c>
      <c r="AA449" s="88">
        <f>SUMIF(月間集計シート!$M$71:$M$90,$G449,月間集計シート!Q$71:Q$90)*AA$2</f>
        <v>0</v>
      </c>
      <c r="AB449" s="88">
        <f>SUMIF(月間集計シート!$M$71:$M$90,$G449,月間集計シート!R$71:R$90)*AB$2</f>
        <v>0</v>
      </c>
      <c r="AC449" s="88">
        <f>SUMIF(月間集計シート!$M$71:$M$90,$G449,月間集計シート!S$71:S$90)*AC$2</f>
        <v>0</v>
      </c>
      <c r="AD449" s="88">
        <f>SUMIF(月間集計シート!$M$71:$M$90,$G449,月間集計シート!T$71:T$90)*AD$2</f>
        <v>0</v>
      </c>
      <c r="AE449" s="88">
        <f>SUMIF(月間集計シート!$M$92:$M$111,$G449,月間集計シート!N$92:N$111)*AE$2</f>
        <v>0</v>
      </c>
      <c r="AF449" s="88">
        <f>SUMIF(月間集計シート!$M$92:$M$111,$G449,月間集計シート!O$92:O$111)*AF$2</f>
        <v>0</v>
      </c>
      <c r="AG449" s="88">
        <f>SUMIF(月間集計シート!$M$92:$M$111,$G449,月間集計シート!P$92:P$111)*AG$2</f>
        <v>0</v>
      </c>
      <c r="AH449" s="88">
        <f>SUMIF(月間集計シート!$M$92:$M$111,$G449,月間集計シート!Q$92:Q$111)*AH$2</f>
        <v>0</v>
      </c>
      <c r="AI449" s="88">
        <f>SUMIF(月間集計シート!$M$92:$M$111,$G449,月間集計シート!R$92:R$111)*AI$2</f>
        <v>0</v>
      </c>
      <c r="AJ449" s="88">
        <f>SUMIF(月間集計シート!$M$92:$M$111,$G449,月間集計シート!S$92:S$111)*AJ$2</f>
        <v>0</v>
      </c>
      <c r="AK449" s="88">
        <f>SUMIF(月間集計シート!$M$92:$M$111,$G449,月間集計シート!T$92:T$111)*AK$2</f>
        <v>0</v>
      </c>
      <c r="AL449" s="88">
        <f>SUMIF(月間集計シート!$M$113:$M$132,$G449,月間集計シート!N$113:N$132)*AL$2</f>
        <v>0</v>
      </c>
      <c r="AM449" s="88">
        <f>SUMIF(月間集計シート!$M$113:$M$132,$G449,月間集計シート!O$113:O$132)*AM$2</f>
        <v>0</v>
      </c>
      <c r="AN449" s="88">
        <f>SUMIF(月間集計シート!$M$113:$M$132,$G449,月間集計シート!P$113:P$132)*AN$2</f>
        <v>0</v>
      </c>
      <c r="AO449" s="88">
        <f>SUMIF(月間集計シート!$M$113:$M$132,$G449,月間集計シート!Q$113:Q$132)*AO$2</f>
        <v>0</v>
      </c>
      <c r="AP449" s="88">
        <f>SUMIF(月間集計シート!$M$113:$M$132,$G449,月間集計シート!R$113:R$132)*AP$2</f>
        <v>0</v>
      </c>
      <c r="AQ449" s="88">
        <f>SUMIF(月間集計シート!$M$113:$M$132,$G449,月間集計シート!S$113:S$132)*AQ$2</f>
        <v>0</v>
      </c>
      <c r="AR449" s="88">
        <f>SUMIF(月間集計シート!$M$113:$M$132,$G449,月間集計シート!T$113:T$132)*AR$2</f>
        <v>0</v>
      </c>
      <c r="AS449" s="88">
        <f>SUMIF(月間集計シート!$M$134:$M$153,$G449,月間集計シート!N$134:N$153)*AS$2</f>
        <v>0</v>
      </c>
      <c r="AT449" s="88">
        <f>SUMIF(月間集計シート!$M$134:$M$153,$G449,月間集計シート!O$134:O$153)*AT$2</f>
        <v>0</v>
      </c>
      <c r="AU449" s="88">
        <f>SUMIF(月間集計シート!$M$134:$M$153,$G449,月間集計シート!P$134:P$153)*AU$2</f>
        <v>0</v>
      </c>
      <c r="AV449" s="88">
        <f>SUMIF(月間集計シート!$M$134:$M$153,$G449,月間集計シート!Q$134:Q$153)*AV$2</f>
        <v>0</v>
      </c>
      <c r="AW449" s="88">
        <f>SUMIF(月間集計シート!$M$134:$M$153,$G449,月間集計シート!R$134:R$153)*AW$2</f>
        <v>0</v>
      </c>
      <c r="AX449" s="88">
        <f>SUMIF(月間集計シート!$M$134:$M$153,$G449,月間集計シート!S$134:S$153)*AX$2</f>
        <v>0</v>
      </c>
      <c r="AY449" s="88">
        <f>SUMIF(月間集計シート!$M$134:$M$153,$G449,月間集計シート!T$134:T$153)*AY$2</f>
        <v>0</v>
      </c>
    </row>
    <row r="450" spans="1:51" ht="14.25" thickBot="1">
      <c r="A450">
        <v>6</v>
      </c>
      <c r="B450" s="120">
        <f t="shared" si="238"/>
        <v>0</v>
      </c>
      <c r="C450" s="120" t="str">
        <f t="shared" si="239"/>
        <v/>
      </c>
      <c r="D450" s="137"/>
      <c r="E450" s="150" t="str">
        <f>工種!A17</f>
        <v>30103</v>
      </c>
      <c r="F450" s="119" t="str">
        <f>工種!B17</f>
        <v>製造：単体テスト設計書作成</v>
      </c>
      <c r="G450" s="116" t="str">
        <f t="shared" si="240"/>
        <v>030103</v>
      </c>
      <c r="H450" s="88">
        <f t="shared" si="194"/>
        <v>0</v>
      </c>
      <c r="I450" s="132"/>
      <c r="J450" s="88">
        <f>SUMIF(月間集計シート!$M$29:$M$48,$G450,月間集計シート!N$29:N$48)*J$2</f>
        <v>0</v>
      </c>
      <c r="K450" s="88">
        <f>SUMIF(月間集計シート!$M$29:$M$48,$G450,月間集計シート!O$29:O$48)*K$2</f>
        <v>0</v>
      </c>
      <c r="L450" s="88">
        <f>SUMIF(月間集計シート!$M$29:$M$48,$G450,月間集計シート!P$29:P$48)*L$2</f>
        <v>0</v>
      </c>
      <c r="M450" s="88">
        <f>SUMIF(月間集計シート!$M$29:$M$48,$G450,月間集計シート!Q$29:Q$48)*M$2</f>
        <v>0</v>
      </c>
      <c r="N450" s="88">
        <f>SUMIF(月間集計シート!$M$29:$M$48,$G450,月間集計シート!R$29:R$48)*N$2</f>
        <v>0</v>
      </c>
      <c r="O450" s="88">
        <f>SUMIF(月間集計シート!$M$29:$M$48,$G450,月間集計シート!S$29:S$48)*O$2</f>
        <v>0</v>
      </c>
      <c r="P450" s="88">
        <f>SUMIF(月間集計シート!$M$29:$M$48,$G450,月間集計シート!T$29:T$48)*P$2</f>
        <v>0</v>
      </c>
      <c r="Q450" s="88">
        <f>SUMIF(月間集計シート!$M$50:$M$69,$G450,月間集計シート!N$50:N$69)*Q$2</f>
        <v>0</v>
      </c>
      <c r="R450" s="88">
        <f>SUMIF(月間集計シート!$M$50:$M$69,$G450,月間集計シート!O$50:O$69)*R$2</f>
        <v>0</v>
      </c>
      <c r="S450" s="88">
        <f>SUMIF(月間集計シート!$M$50:$M$69,$G450,月間集計シート!P$50:P$69)*S$2</f>
        <v>0</v>
      </c>
      <c r="T450" s="88">
        <f>SUMIF(月間集計シート!$M$50:$M$69,$G450,月間集計シート!Q$50:Q$69)*T$2</f>
        <v>0</v>
      </c>
      <c r="U450" s="88">
        <f>SUMIF(月間集計シート!$M$50:$M$69,$G450,月間集計シート!R$50:R$69)*U$2</f>
        <v>0</v>
      </c>
      <c r="V450" s="88">
        <f>SUMIF(月間集計シート!$M$50:$M$69,$G450,月間集計シート!S$50:S$69)*V$2</f>
        <v>0</v>
      </c>
      <c r="W450" s="88">
        <f>SUMIF(月間集計シート!$M$50:$M$69,$G450,月間集計シート!T$50:T$69)*W$2</f>
        <v>0</v>
      </c>
      <c r="X450" s="88">
        <f>SUMIF(月間集計シート!$M$71:$M$90,$G450,月間集計シート!N$71:N$90)*X$2</f>
        <v>0</v>
      </c>
      <c r="Y450" s="88">
        <f>SUMIF(月間集計シート!$M$71:$M$90,$G450,月間集計シート!O$71:O$90)*Y$2</f>
        <v>0</v>
      </c>
      <c r="Z450" s="88">
        <f>SUMIF(月間集計シート!$M$71:$M$90,$G450,月間集計シート!P$71:P$90)*Z$2</f>
        <v>0</v>
      </c>
      <c r="AA450" s="88">
        <f>SUMIF(月間集計シート!$M$71:$M$90,$G450,月間集計シート!Q$71:Q$90)*AA$2</f>
        <v>0</v>
      </c>
      <c r="AB450" s="88">
        <f>SUMIF(月間集計シート!$M$71:$M$90,$G450,月間集計シート!R$71:R$90)*AB$2</f>
        <v>0</v>
      </c>
      <c r="AC450" s="88">
        <f>SUMIF(月間集計シート!$M$71:$M$90,$G450,月間集計シート!S$71:S$90)*AC$2</f>
        <v>0</v>
      </c>
      <c r="AD450" s="88">
        <f>SUMIF(月間集計シート!$M$71:$M$90,$G450,月間集計シート!T$71:T$90)*AD$2</f>
        <v>0</v>
      </c>
      <c r="AE450" s="88">
        <f>SUMIF(月間集計シート!$M$92:$M$111,$G450,月間集計シート!N$92:N$111)*AE$2</f>
        <v>0</v>
      </c>
      <c r="AF450" s="88">
        <f>SUMIF(月間集計シート!$M$92:$M$111,$G450,月間集計シート!O$92:O$111)*AF$2</f>
        <v>0</v>
      </c>
      <c r="AG450" s="88">
        <f>SUMIF(月間集計シート!$M$92:$M$111,$G450,月間集計シート!P$92:P$111)*AG$2</f>
        <v>0</v>
      </c>
      <c r="AH450" s="88">
        <f>SUMIF(月間集計シート!$M$92:$M$111,$G450,月間集計シート!Q$92:Q$111)*AH$2</f>
        <v>0</v>
      </c>
      <c r="AI450" s="88">
        <f>SUMIF(月間集計シート!$M$92:$M$111,$G450,月間集計シート!R$92:R$111)*AI$2</f>
        <v>0</v>
      </c>
      <c r="AJ450" s="88">
        <f>SUMIF(月間集計シート!$M$92:$M$111,$G450,月間集計シート!S$92:S$111)*AJ$2</f>
        <v>0</v>
      </c>
      <c r="AK450" s="88">
        <f>SUMIF(月間集計シート!$M$92:$M$111,$G450,月間集計シート!T$92:T$111)*AK$2</f>
        <v>0</v>
      </c>
      <c r="AL450" s="88">
        <f>SUMIF(月間集計シート!$M$113:$M$132,$G450,月間集計シート!N$113:N$132)*AL$2</f>
        <v>0</v>
      </c>
      <c r="AM450" s="88">
        <f>SUMIF(月間集計シート!$M$113:$M$132,$G450,月間集計シート!O$113:O$132)*AM$2</f>
        <v>0</v>
      </c>
      <c r="AN450" s="88">
        <f>SUMIF(月間集計シート!$M$113:$M$132,$G450,月間集計シート!P$113:P$132)*AN$2</f>
        <v>0</v>
      </c>
      <c r="AO450" s="88">
        <f>SUMIF(月間集計シート!$M$113:$M$132,$G450,月間集計シート!Q$113:Q$132)*AO$2</f>
        <v>0</v>
      </c>
      <c r="AP450" s="88">
        <f>SUMIF(月間集計シート!$M$113:$M$132,$G450,月間集計シート!R$113:R$132)*AP$2</f>
        <v>0</v>
      </c>
      <c r="AQ450" s="88">
        <f>SUMIF(月間集計シート!$M$113:$M$132,$G450,月間集計シート!S$113:S$132)*AQ$2</f>
        <v>0</v>
      </c>
      <c r="AR450" s="88">
        <f>SUMIF(月間集計シート!$M$113:$M$132,$G450,月間集計シート!T$113:T$132)*AR$2</f>
        <v>0</v>
      </c>
      <c r="AS450" s="88">
        <f>SUMIF(月間集計シート!$M$134:$M$153,$G450,月間集計シート!N$134:N$153)*AS$2</f>
        <v>0</v>
      </c>
      <c r="AT450" s="88">
        <f>SUMIF(月間集計シート!$M$134:$M$153,$G450,月間集計シート!O$134:O$153)*AT$2</f>
        <v>0</v>
      </c>
      <c r="AU450" s="88">
        <f>SUMIF(月間集計シート!$M$134:$M$153,$G450,月間集計シート!P$134:P$153)*AU$2</f>
        <v>0</v>
      </c>
      <c r="AV450" s="88">
        <f>SUMIF(月間集計シート!$M$134:$M$153,$G450,月間集計シート!Q$134:Q$153)*AV$2</f>
        <v>0</v>
      </c>
      <c r="AW450" s="88">
        <f>SUMIF(月間集計シート!$M$134:$M$153,$G450,月間集計シート!R$134:R$153)*AW$2</f>
        <v>0</v>
      </c>
      <c r="AX450" s="88">
        <f>SUMIF(月間集計シート!$M$134:$M$153,$G450,月間集計シート!S$134:S$153)*AX$2</f>
        <v>0</v>
      </c>
      <c r="AY450" s="88">
        <f>SUMIF(月間集計シート!$M$134:$M$153,$G450,月間集計シート!T$134:T$153)*AY$2</f>
        <v>0</v>
      </c>
    </row>
    <row r="451" spans="1:51" ht="14.25" thickBot="1">
      <c r="A451">
        <v>6</v>
      </c>
      <c r="B451" s="120">
        <f t="shared" si="238"/>
        <v>0</v>
      </c>
      <c r="C451" s="120" t="str">
        <f t="shared" si="239"/>
        <v/>
      </c>
      <c r="D451" s="137"/>
      <c r="E451" s="150" t="str">
        <f>工種!A18</f>
        <v>30104</v>
      </c>
      <c r="F451" s="119" t="str">
        <f>工種!B18</f>
        <v>製造：単体テスト実施</v>
      </c>
      <c r="G451" s="116" t="str">
        <f t="shared" si="240"/>
        <v>030104</v>
      </c>
      <c r="H451" s="88">
        <f t="shared" si="194"/>
        <v>0</v>
      </c>
      <c r="I451" s="132"/>
      <c r="J451" s="88">
        <f>SUMIF(月間集計シート!$M$29:$M$48,$G451,月間集計シート!N$29:N$48)*J$2</f>
        <v>0</v>
      </c>
      <c r="K451" s="88">
        <f>SUMIF(月間集計シート!$M$29:$M$48,$G451,月間集計シート!O$29:O$48)*K$2</f>
        <v>0</v>
      </c>
      <c r="L451" s="88">
        <f>SUMIF(月間集計シート!$M$29:$M$48,$G451,月間集計シート!P$29:P$48)*L$2</f>
        <v>0</v>
      </c>
      <c r="M451" s="88">
        <f>SUMIF(月間集計シート!$M$29:$M$48,$G451,月間集計シート!Q$29:Q$48)*M$2</f>
        <v>0</v>
      </c>
      <c r="N451" s="88">
        <f>SUMIF(月間集計シート!$M$29:$M$48,$G451,月間集計シート!R$29:R$48)*N$2</f>
        <v>0</v>
      </c>
      <c r="O451" s="88">
        <f>SUMIF(月間集計シート!$M$29:$M$48,$G451,月間集計シート!S$29:S$48)*O$2</f>
        <v>0</v>
      </c>
      <c r="P451" s="88">
        <f>SUMIF(月間集計シート!$M$29:$M$48,$G451,月間集計シート!T$29:T$48)*P$2</f>
        <v>0</v>
      </c>
      <c r="Q451" s="88">
        <f>SUMIF(月間集計シート!$M$50:$M$69,$G451,月間集計シート!N$50:N$69)*Q$2</f>
        <v>0</v>
      </c>
      <c r="R451" s="88">
        <f>SUMIF(月間集計シート!$M$50:$M$69,$G451,月間集計シート!O$50:O$69)*R$2</f>
        <v>0</v>
      </c>
      <c r="S451" s="88">
        <f>SUMIF(月間集計シート!$M$50:$M$69,$G451,月間集計シート!P$50:P$69)*S$2</f>
        <v>0</v>
      </c>
      <c r="T451" s="88">
        <f>SUMIF(月間集計シート!$M$50:$M$69,$G451,月間集計シート!Q$50:Q$69)*T$2</f>
        <v>0</v>
      </c>
      <c r="U451" s="88">
        <f>SUMIF(月間集計シート!$M$50:$M$69,$G451,月間集計シート!R$50:R$69)*U$2</f>
        <v>0</v>
      </c>
      <c r="V451" s="88">
        <f>SUMIF(月間集計シート!$M$50:$M$69,$G451,月間集計シート!S$50:S$69)*V$2</f>
        <v>0</v>
      </c>
      <c r="W451" s="88">
        <f>SUMIF(月間集計シート!$M$50:$M$69,$G451,月間集計シート!T$50:T$69)*W$2</f>
        <v>0</v>
      </c>
      <c r="X451" s="88">
        <f>SUMIF(月間集計シート!$M$71:$M$90,$G451,月間集計シート!N$71:N$90)*X$2</f>
        <v>0</v>
      </c>
      <c r="Y451" s="88">
        <f>SUMIF(月間集計シート!$M$71:$M$90,$G451,月間集計シート!O$71:O$90)*Y$2</f>
        <v>0</v>
      </c>
      <c r="Z451" s="88">
        <f>SUMIF(月間集計シート!$M$71:$M$90,$G451,月間集計シート!P$71:P$90)*Z$2</f>
        <v>0</v>
      </c>
      <c r="AA451" s="88">
        <f>SUMIF(月間集計シート!$M$71:$M$90,$G451,月間集計シート!Q$71:Q$90)*AA$2</f>
        <v>0</v>
      </c>
      <c r="AB451" s="88">
        <f>SUMIF(月間集計シート!$M$71:$M$90,$G451,月間集計シート!R$71:R$90)*AB$2</f>
        <v>0</v>
      </c>
      <c r="AC451" s="88">
        <f>SUMIF(月間集計シート!$M$71:$M$90,$G451,月間集計シート!S$71:S$90)*AC$2</f>
        <v>0</v>
      </c>
      <c r="AD451" s="88">
        <f>SUMIF(月間集計シート!$M$71:$M$90,$G451,月間集計シート!T$71:T$90)*AD$2</f>
        <v>0</v>
      </c>
      <c r="AE451" s="88">
        <f>SUMIF(月間集計シート!$M$92:$M$111,$G451,月間集計シート!N$92:N$111)*AE$2</f>
        <v>0</v>
      </c>
      <c r="AF451" s="88">
        <f>SUMIF(月間集計シート!$M$92:$M$111,$G451,月間集計シート!O$92:O$111)*AF$2</f>
        <v>0</v>
      </c>
      <c r="AG451" s="88">
        <f>SUMIF(月間集計シート!$M$92:$M$111,$G451,月間集計シート!P$92:P$111)*AG$2</f>
        <v>0</v>
      </c>
      <c r="AH451" s="88">
        <f>SUMIF(月間集計シート!$M$92:$M$111,$G451,月間集計シート!Q$92:Q$111)*AH$2</f>
        <v>0</v>
      </c>
      <c r="AI451" s="88">
        <f>SUMIF(月間集計シート!$M$92:$M$111,$G451,月間集計シート!R$92:R$111)*AI$2</f>
        <v>0</v>
      </c>
      <c r="AJ451" s="88">
        <f>SUMIF(月間集計シート!$M$92:$M$111,$G451,月間集計シート!S$92:S$111)*AJ$2</f>
        <v>0</v>
      </c>
      <c r="AK451" s="88">
        <f>SUMIF(月間集計シート!$M$92:$M$111,$G451,月間集計シート!T$92:T$111)*AK$2</f>
        <v>0</v>
      </c>
      <c r="AL451" s="88">
        <f>SUMIF(月間集計シート!$M$113:$M$132,$G451,月間集計シート!N$113:N$132)*AL$2</f>
        <v>0</v>
      </c>
      <c r="AM451" s="88">
        <f>SUMIF(月間集計シート!$M$113:$M$132,$G451,月間集計シート!O$113:O$132)*AM$2</f>
        <v>0</v>
      </c>
      <c r="AN451" s="88">
        <f>SUMIF(月間集計シート!$M$113:$M$132,$G451,月間集計シート!P$113:P$132)*AN$2</f>
        <v>0</v>
      </c>
      <c r="AO451" s="88">
        <f>SUMIF(月間集計シート!$M$113:$M$132,$G451,月間集計シート!Q$113:Q$132)*AO$2</f>
        <v>0</v>
      </c>
      <c r="AP451" s="88">
        <f>SUMIF(月間集計シート!$M$113:$M$132,$G451,月間集計シート!R$113:R$132)*AP$2</f>
        <v>0</v>
      </c>
      <c r="AQ451" s="88">
        <f>SUMIF(月間集計シート!$M$113:$M$132,$G451,月間集計シート!S$113:S$132)*AQ$2</f>
        <v>0</v>
      </c>
      <c r="AR451" s="88">
        <f>SUMIF(月間集計シート!$M$113:$M$132,$G451,月間集計シート!T$113:T$132)*AR$2</f>
        <v>0</v>
      </c>
      <c r="AS451" s="88">
        <f>SUMIF(月間集計シート!$M$134:$M$153,$G451,月間集計シート!N$134:N$153)*AS$2</f>
        <v>0</v>
      </c>
      <c r="AT451" s="88">
        <f>SUMIF(月間集計シート!$M$134:$M$153,$G451,月間集計シート!O$134:O$153)*AT$2</f>
        <v>0</v>
      </c>
      <c r="AU451" s="88">
        <f>SUMIF(月間集計シート!$M$134:$M$153,$G451,月間集計シート!P$134:P$153)*AU$2</f>
        <v>0</v>
      </c>
      <c r="AV451" s="88">
        <f>SUMIF(月間集計シート!$M$134:$M$153,$G451,月間集計シート!Q$134:Q$153)*AV$2</f>
        <v>0</v>
      </c>
      <c r="AW451" s="88">
        <f>SUMIF(月間集計シート!$M$134:$M$153,$G451,月間集計シート!R$134:R$153)*AW$2</f>
        <v>0</v>
      </c>
      <c r="AX451" s="88">
        <f>SUMIF(月間集計シート!$M$134:$M$153,$G451,月間集計シート!S$134:S$153)*AX$2</f>
        <v>0</v>
      </c>
      <c r="AY451" s="88">
        <f>SUMIF(月間集計シート!$M$134:$M$153,$G451,月間集計シート!T$134:T$153)*AY$2</f>
        <v>0</v>
      </c>
    </row>
    <row r="452" spans="1:51" ht="14.25" thickBot="1">
      <c r="A452">
        <v>6</v>
      </c>
      <c r="B452" s="120">
        <f t="shared" si="238"/>
        <v>0</v>
      </c>
      <c r="C452" s="120" t="str">
        <f t="shared" si="239"/>
        <v/>
      </c>
      <c r="D452" s="137"/>
      <c r="E452" s="150" t="str">
        <f>工種!A19</f>
        <v>30105</v>
      </c>
      <c r="F452" s="119" t="str">
        <f>工種!B19</f>
        <v>製造：打合せ</v>
      </c>
      <c r="G452" s="116" t="str">
        <f t="shared" si="240"/>
        <v>030105</v>
      </c>
      <c r="H452" s="88">
        <f t="shared" si="194"/>
        <v>0</v>
      </c>
      <c r="I452" s="132"/>
      <c r="J452" s="88">
        <f>SUMIF(月間集計シート!$M$29:$M$48,$G452,月間集計シート!N$29:N$48)*J$2</f>
        <v>0</v>
      </c>
      <c r="K452" s="88">
        <f>SUMIF(月間集計シート!$M$29:$M$48,$G452,月間集計シート!O$29:O$48)*K$2</f>
        <v>0</v>
      </c>
      <c r="L452" s="88">
        <f>SUMIF(月間集計シート!$M$29:$M$48,$G452,月間集計シート!P$29:P$48)*L$2</f>
        <v>0</v>
      </c>
      <c r="M452" s="88">
        <f>SUMIF(月間集計シート!$M$29:$M$48,$G452,月間集計シート!Q$29:Q$48)*M$2</f>
        <v>0</v>
      </c>
      <c r="N452" s="88">
        <f>SUMIF(月間集計シート!$M$29:$M$48,$G452,月間集計シート!R$29:R$48)*N$2</f>
        <v>0</v>
      </c>
      <c r="O452" s="88">
        <f>SUMIF(月間集計シート!$M$29:$M$48,$G452,月間集計シート!S$29:S$48)*O$2</f>
        <v>0</v>
      </c>
      <c r="P452" s="88">
        <f>SUMIF(月間集計シート!$M$29:$M$48,$G452,月間集計シート!T$29:T$48)*P$2</f>
        <v>0</v>
      </c>
      <c r="Q452" s="88">
        <f>SUMIF(月間集計シート!$M$50:$M$69,$G452,月間集計シート!N$50:N$69)*Q$2</f>
        <v>0</v>
      </c>
      <c r="R452" s="88">
        <f>SUMIF(月間集計シート!$M$50:$M$69,$G452,月間集計シート!O$50:O$69)*R$2</f>
        <v>0</v>
      </c>
      <c r="S452" s="88">
        <f>SUMIF(月間集計シート!$M$50:$M$69,$G452,月間集計シート!P$50:P$69)*S$2</f>
        <v>0</v>
      </c>
      <c r="T452" s="88">
        <f>SUMIF(月間集計シート!$M$50:$M$69,$G452,月間集計シート!Q$50:Q$69)*T$2</f>
        <v>0</v>
      </c>
      <c r="U452" s="88">
        <f>SUMIF(月間集計シート!$M$50:$M$69,$G452,月間集計シート!R$50:R$69)*U$2</f>
        <v>0</v>
      </c>
      <c r="V452" s="88">
        <f>SUMIF(月間集計シート!$M$50:$M$69,$G452,月間集計シート!S$50:S$69)*V$2</f>
        <v>0</v>
      </c>
      <c r="W452" s="88">
        <f>SUMIF(月間集計シート!$M$50:$M$69,$G452,月間集計シート!T$50:T$69)*W$2</f>
        <v>0</v>
      </c>
      <c r="X452" s="88">
        <f>SUMIF(月間集計シート!$M$71:$M$90,$G452,月間集計シート!N$71:N$90)*X$2</f>
        <v>0</v>
      </c>
      <c r="Y452" s="88">
        <f>SUMIF(月間集計シート!$M$71:$M$90,$G452,月間集計シート!O$71:O$90)*Y$2</f>
        <v>0</v>
      </c>
      <c r="Z452" s="88">
        <f>SUMIF(月間集計シート!$M$71:$M$90,$G452,月間集計シート!P$71:P$90)*Z$2</f>
        <v>0</v>
      </c>
      <c r="AA452" s="88">
        <f>SUMIF(月間集計シート!$M$71:$M$90,$G452,月間集計シート!Q$71:Q$90)*AA$2</f>
        <v>0</v>
      </c>
      <c r="AB452" s="88">
        <f>SUMIF(月間集計シート!$M$71:$M$90,$G452,月間集計シート!R$71:R$90)*AB$2</f>
        <v>0</v>
      </c>
      <c r="AC452" s="88">
        <f>SUMIF(月間集計シート!$M$71:$M$90,$G452,月間集計シート!S$71:S$90)*AC$2</f>
        <v>0</v>
      </c>
      <c r="AD452" s="88">
        <f>SUMIF(月間集計シート!$M$71:$M$90,$G452,月間集計シート!T$71:T$90)*AD$2</f>
        <v>0</v>
      </c>
      <c r="AE452" s="88">
        <f>SUMIF(月間集計シート!$M$92:$M$111,$G452,月間集計シート!N$92:N$111)*AE$2</f>
        <v>0</v>
      </c>
      <c r="AF452" s="88">
        <f>SUMIF(月間集計シート!$M$92:$M$111,$G452,月間集計シート!O$92:O$111)*AF$2</f>
        <v>0</v>
      </c>
      <c r="AG452" s="88">
        <f>SUMIF(月間集計シート!$M$92:$M$111,$G452,月間集計シート!P$92:P$111)*AG$2</f>
        <v>0</v>
      </c>
      <c r="AH452" s="88">
        <f>SUMIF(月間集計シート!$M$92:$M$111,$G452,月間集計シート!Q$92:Q$111)*AH$2</f>
        <v>0</v>
      </c>
      <c r="AI452" s="88">
        <f>SUMIF(月間集計シート!$M$92:$M$111,$G452,月間集計シート!R$92:R$111)*AI$2</f>
        <v>0</v>
      </c>
      <c r="AJ452" s="88">
        <f>SUMIF(月間集計シート!$M$92:$M$111,$G452,月間集計シート!S$92:S$111)*AJ$2</f>
        <v>0</v>
      </c>
      <c r="AK452" s="88">
        <f>SUMIF(月間集計シート!$M$92:$M$111,$G452,月間集計シート!T$92:T$111)*AK$2</f>
        <v>0</v>
      </c>
      <c r="AL452" s="88">
        <f>SUMIF(月間集計シート!$M$113:$M$132,$G452,月間集計シート!N$113:N$132)*AL$2</f>
        <v>0</v>
      </c>
      <c r="AM452" s="88">
        <f>SUMIF(月間集計シート!$M$113:$M$132,$G452,月間集計シート!O$113:O$132)*AM$2</f>
        <v>0</v>
      </c>
      <c r="AN452" s="88">
        <f>SUMIF(月間集計シート!$M$113:$M$132,$G452,月間集計シート!P$113:P$132)*AN$2</f>
        <v>0</v>
      </c>
      <c r="AO452" s="88">
        <f>SUMIF(月間集計シート!$M$113:$M$132,$G452,月間集計シート!Q$113:Q$132)*AO$2</f>
        <v>0</v>
      </c>
      <c r="AP452" s="88">
        <f>SUMIF(月間集計シート!$M$113:$M$132,$G452,月間集計シート!R$113:R$132)*AP$2</f>
        <v>0</v>
      </c>
      <c r="AQ452" s="88">
        <f>SUMIF(月間集計シート!$M$113:$M$132,$G452,月間集計シート!S$113:S$132)*AQ$2</f>
        <v>0</v>
      </c>
      <c r="AR452" s="88">
        <f>SUMIF(月間集計シート!$M$113:$M$132,$G452,月間集計シート!T$113:T$132)*AR$2</f>
        <v>0</v>
      </c>
      <c r="AS452" s="88">
        <f>SUMIF(月間集計シート!$M$134:$M$153,$G452,月間集計シート!N$134:N$153)*AS$2</f>
        <v>0</v>
      </c>
      <c r="AT452" s="88">
        <f>SUMIF(月間集計シート!$M$134:$M$153,$G452,月間集計シート!O$134:O$153)*AT$2</f>
        <v>0</v>
      </c>
      <c r="AU452" s="88">
        <f>SUMIF(月間集計シート!$M$134:$M$153,$G452,月間集計シート!P$134:P$153)*AU$2</f>
        <v>0</v>
      </c>
      <c r="AV452" s="88">
        <f>SUMIF(月間集計シート!$M$134:$M$153,$G452,月間集計シート!Q$134:Q$153)*AV$2</f>
        <v>0</v>
      </c>
      <c r="AW452" s="88">
        <f>SUMIF(月間集計シート!$M$134:$M$153,$G452,月間集計シート!R$134:R$153)*AW$2</f>
        <v>0</v>
      </c>
      <c r="AX452" s="88">
        <f>SUMIF(月間集計シート!$M$134:$M$153,$G452,月間集計シート!S$134:S$153)*AX$2</f>
        <v>0</v>
      </c>
      <c r="AY452" s="88">
        <f>SUMIF(月間集計シート!$M$134:$M$153,$G452,月間集計シート!T$134:T$153)*AY$2</f>
        <v>0</v>
      </c>
    </row>
    <row r="453" spans="1:51" ht="14.25" thickBot="1">
      <c r="A453">
        <v>6</v>
      </c>
      <c r="B453" s="120">
        <f t="shared" si="238"/>
        <v>0</v>
      </c>
      <c r="C453" s="120" t="str">
        <f t="shared" si="239"/>
        <v/>
      </c>
      <c r="D453" s="137"/>
      <c r="E453" s="150" t="str">
        <f>工種!A20</f>
        <v>30106</v>
      </c>
      <c r="F453" s="119" t="str">
        <f>工種!B20</f>
        <v>製造：PG修正（手戻り分）</v>
      </c>
      <c r="G453" s="116" t="str">
        <f t="shared" si="240"/>
        <v>030106</v>
      </c>
      <c r="H453" s="88">
        <f t="shared" si="194"/>
        <v>0</v>
      </c>
      <c r="I453" s="132"/>
      <c r="J453" s="88">
        <f>SUMIF(月間集計シート!$M$29:$M$48,$G453,月間集計シート!N$29:N$48)*J$2</f>
        <v>0</v>
      </c>
      <c r="K453" s="88">
        <f>SUMIF(月間集計シート!$M$29:$M$48,$G453,月間集計シート!O$29:O$48)*K$2</f>
        <v>0</v>
      </c>
      <c r="L453" s="88">
        <f>SUMIF(月間集計シート!$M$29:$M$48,$G453,月間集計シート!P$29:P$48)*L$2</f>
        <v>0</v>
      </c>
      <c r="M453" s="88">
        <f>SUMIF(月間集計シート!$M$29:$M$48,$G453,月間集計シート!Q$29:Q$48)*M$2</f>
        <v>0</v>
      </c>
      <c r="N453" s="88">
        <f>SUMIF(月間集計シート!$M$29:$M$48,$G453,月間集計シート!R$29:R$48)*N$2</f>
        <v>0</v>
      </c>
      <c r="O453" s="88">
        <f>SUMIF(月間集計シート!$M$29:$M$48,$G453,月間集計シート!S$29:S$48)*O$2</f>
        <v>0</v>
      </c>
      <c r="P453" s="88">
        <f>SUMIF(月間集計シート!$M$29:$M$48,$G453,月間集計シート!T$29:T$48)*P$2</f>
        <v>0</v>
      </c>
      <c r="Q453" s="88">
        <f>SUMIF(月間集計シート!$M$50:$M$69,$G453,月間集計シート!N$50:N$69)*Q$2</f>
        <v>0</v>
      </c>
      <c r="R453" s="88">
        <f>SUMIF(月間集計シート!$M$50:$M$69,$G453,月間集計シート!O$50:O$69)*R$2</f>
        <v>0</v>
      </c>
      <c r="S453" s="88">
        <f>SUMIF(月間集計シート!$M$50:$M$69,$G453,月間集計シート!P$50:P$69)*S$2</f>
        <v>0</v>
      </c>
      <c r="T453" s="88">
        <f>SUMIF(月間集計シート!$M$50:$M$69,$G453,月間集計シート!Q$50:Q$69)*T$2</f>
        <v>0</v>
      </c>
      <c r="U453" s="88">
        <f>SUMIF(月間集計シート!$M$50:$M$69,$G453,月間集計シート!R$50:R$69)*U$2</f>
        <v>0</v>
      </c>
      <c r="V453" s="88">
        <f>SUMIF(月間集計シート!$M$50:$M$69,$G453,月間集計シート!S$50:S$69)*V$2</f>
        <v>0</v>
      </c>
      <c r="W453" s="88">
        <f>SUMIF(月間集計シート!$M$50:$M$69,$G453,月間集計シート!T$50:T$69)*W$2</f>
        <v>0</v>
      </c>
      <c r="X453" s="88">
        <f>SUMIF(月間集計シート!$M$71:$M$90,$G453,月間集計シート!N$71:N$90)*X$2</f>
        <v>0</v>
      </c>
      <c r="Y453" s="88">
        <f>SUMIF(月間集計シート!$M$71:$M$90,$G453,月間集計シート!O$71:O$90)*Y$2</f>
        <v>0</v>
      </c>
      <c r="Z453" s="88">
        <f>SUMIF(月間集計シート!$M$71:$M$90,$G453,月間集計シート!P$71:P$90)*Z$2</f>
        <v>0</v>
      </c>
      <c r="AA453" s="88">
        <f>SUMIF(月間集計シート!$M$71:$M$90,$G453,月間集計シート!Q$71:Q$90)*AA$2</f>
        <v>0</v>
      </c>
      <c r="AB453" s="88">
        <f>SUMIF(月間集計シート!$M$71:$M$90,$G453,月間集計シート!R$71:R$90)*AB$2</f>
        <v>0</v>
      </c>
      <c r="AC453" s="88">
        <f>SUMIF(月間集計シート!$M$71:$M$90,$G453,月間集計シート!S$71:S$90)*AC$2</f>
        <v>0</v>
      </c>
      <c r="AD453" s="88">
        <f>SUMIF(月間集計シート!$M$71:$M$90,$G453,月間集計シート!T$71:T$90)*AD$2</f>
        <v>0</v>
      </c>
      <c r="AE453" s="88">
        <f>SUMIF(月間集計シート!$M$92:$M$111,$G453,月間集計シート!N$92:N$111)*AE$2</f>
        <v>0</v>
      </c>
      <c r="AF453" s="88">
        <f>SUMIF(月間集計シート!$M$92:$M$111,$G453,月間集計シート!O$92:O$111)*AF$2</f>
        <v>0</v>
      </c>
      <c r="AG453" s="88">
        <f>SUMIF(月間集計シート!$M$92:$M$111,$G453,月間集計シート!P$92:P$111)*AG$2</f>
        <v>0</v>
      </c>
      <c r="AH453" s="88">
        <f>SUMIF(月間集計シート!$M$92:$M$111,$G453,月間集計シート!Q$92:Q$111)*AH$2</f>
        <v>0</v>
      </c>
      <c r="AI453" s="88">
        <f>SUMIF(月間集計シート!$M$92:$M$111,$G453,月間集計シート!R$92:R$111)*AI$2</f>
        <v>0</v>
      </c>
      <c r="AJ453" s="88">
        <f>SUMIF(月間集計シート!$M$92:$M$111,$G453,月間集計シート!S$92:S$111)*AJ$2</f>
        <v>0</v>
      </c>
      <c r="AK453" s="88">
        <f>SUMIF(月間集計シート!$M$92:$M$111,$G453,月間集計シート!T$92:T$111)*AK$2</f>
        <v>0</v>
      </c>
      <c r="AL453" s="88">
        <f>SUMIF(月間集計シート!$M$113:$M$132,$G453,月間集計シート!N$113:N$132)*AL$2</f>
        <v>0</v>
      </c>
      <c r="AM453" s="88">
        <f>SUMIF(月間集計シート!$M$113:$M$132,$G453,月間集計シート!O$113:O$132)*AM$2</f>
        <v>0</v>
      </c>
      <c r="AN453" s="88">
        <f>SUMIF(月間集計シート!$M$113:$M$132,$G453,月間集計シート!P$113:P$132)*AN$2</f>
        <v>0</v>
      </c>
      <c r="AO453" s="88">
        <f>SUMIF(月間集計シート!$M$113:$M$132,$G453,月間集計シート!Q$113:Q$132)*AO$2</f>
        <v>0</v>
      </c>
      <c r="AP453" s="88">
        <f>SUMIF(月間集計シート!$M$113:$M$132,$G453,月間集計シート!R$113:R$132)*AP$2</f>
        <v>0</v>
      </c>
      <c r="AQ453" s="88">
        <f>SUMIF(月間集計シート!$M$113:$M$132,$G453,月間集計シート!S$113:S$132)*AQ$2</f>
        <v>0</v>
      </c>
      <c r="AR453" s="88">
        <f>SUMIF(月間集計シート!$M$113:$M$132,$G453,月間集計シート!T$113:T$132)*AR$2</f>
        <v>0</v>
      </c>
      <c r="AS453" s="88">
        <f>SUMIF(月間集計シート!$M$134:$M$153,$G453,月間集計シート!N$134:N$153)*AS$2</f>
        <v>0</v>
      </c>
      <c r="AT453" s="88">
        <f>SUMIF(月間集計シート!$M$134:$M$153,$G453,月間集計シート!O$134:O$153)*AT$2</f>
        <v>0</v>
      </c>
      <c r="AU453" s="88">
        <f>SUMIF(月間集計シート!$M$134:$M$153,$G453,月間集計シート!P$134:P$153)*AU$2</f>
        <v>0</v>
      </c>
      <c r="AV453" s="88">
        <f>SUMIF(月間集計シート!$M$134:$M$153,$G453,月間集計シート!Q$134:Q$153)*AV$2</f>
        <v>0</v>
      </c>
      <c r="AW453" s="88">
        <f>SUMIF(月間集計シート!$M$134:$M$153,$G453,月間集計シート!R$134:R$153)*AW$2</f>
        <v>0</v>
      </c>
      <c r="AX453" s="88">
        <f>SUMIF(月間集計シート!$M$134:$M$153,$G453,月間集計シート!S$134:S$153)*AX$2</f>
        <v>0</v>
      </c>
      <c r="AY453" s="88">
        <f>SUMIF(月間集計シート!$M$134:$M$153,$G453,月間集計シート!T$134:T$153)*AY$2</f>
        <v>0</v>
      </c>
    </row>
    <row r="454" spans="1:51" ht="14.25" thickBot="1">
      <c r="A454">
        <v>6</v>
      </c>
      <c r="B454" s="120">
        <f t="shared" si="238"/>
        <v>0</v>
      </c>
      <c r="C454" s="120" t="str">
        <f t="shared" si="239"/>
        <v/>
      </c>
      <c r="D454" s="137"/>
      <c r="E454" s="150" t="str">
        <f>工種!A21</f>
        <v>30109</v>
      </c>
      <c r="F454" s="119" t="str">
        <f>工種!B21</f>
        <v>製造：レビュー</v>
      </c>
      <c r="G454" s="116" t="str">
        <f t="shared" si="240"/>
        <v>030109</v>
      </c>
      <c r="H454" s="88">
        <f t="shared" si="194"/>
        <v>0</v>
      </c>
      <c r="I454" s="132"/>
      <c r="J454" s="88">
        <f>SUMIF(月間集計シート!$M$29:$M$48,$G454,月間集計シート!N$29:N$48)*J$2</f>
        <v>0</v>
      </c>
      <c r="K454" s="88">
        <f>SUMIF(月間集計シート!$M$29:$M$48,$G454,月間集計シート!O$29:O$48)*K$2</f>
        <v>0</v>
      </c>
      <c r="L454" s="88">
        <f>SUMIF(月間集計シート!$M$29:$M$48,$G454,月間集計シート!P$29:P$48)*L$2</f>
        <v>0</v>
      </c>
      <c r="M454" s="88">
        <f>SUMIF(月間集計シート!$M$29:$M$48,$G454,月間集計シート!Q$29:Q$48)*M$2</f>
        <v>0</v>
      </c>
      <c r="N454" s="88">
        <f>SUMIF(月間集計シート!$M$29:$M$48,$G454,月間集計シート!R$29:R$48)*N$2</f>
        <v>0</v>
      </c>
      <c r="O454" s="88">
        <f>SUMIF(月間集計シート!$M$29:$M$48,$G454,月間集計シート!S$29:S$48)*O$2</f>
        <v>0</v>
      </c>
      <c r="P454" s="88">
        <f>SUMIF(月間集計シート!$M$29:$M$48,$G454,月間集計シート!T$29:T$48)*P$2</f>
        <v>0</v>
      </c>
      <c r="Q454" s="88">
        <f>SUMIF(月間集計シート!$M$50:$M$69,$G454,月間集計シート!N$50:N$69)*Q$2</f>
        <v>0</v>
      </c>
      <c r="R454" s="88">
        <f>SUMIF(月間集計シート!$M$50:$M$69,$G454,月間集計シート!O$50:O$69)*R$2</f>
        <v>0</v>
      </c>
      <c r="S454" s="88">
        <f>SUMIF(月間集計シート!$M$50:$M$69,$G454,月間集計シート!P$50:P$69)*S$2</f>
        <v>0</v>
      </c>
      <c r="T454" s="88">
        <f>SUMIF(月間集計シート!$M$50:$M$69,$G454,月間集計シート!Q$50:Q$69)*T$2</f>
        <v>0</v>
      </c>
      <c r="U454" s="88">
        <f>SUMIF(月間集計シート!$M$50:$M$69,$G454,月間集計シート!R$50:R$69)*U$2</f>
        <v>0</v>
      </c>
      <c r="V454" s="88">
        <f>SUMIF(月間集計シート!$M$50:$M$69,$G454,月間集計シート!S$50:S$69)*V$2</f>
        <v>0</v>
      </c>
      <c r="W454" s="88">
        <f>SUMIF(月間集計シート!$M$50:$M$69,$G454,月間集計シート!T$50:T$69)*W$2</f>
        <v>0</v>
      </c>
      <c r="X454" s="88">
        <f>SUMIF(月間集計シート!$M$71:$M$90,$G454,月間集計シート!N$71:N$90)*X$2</f>
        <v>0</v>
      </c>
      <c r="Y454" s="88">
        <f>SUMIF(月間集計シート!$M$71:$M$90,$G454,月間集計シート!O$71:O$90)*Y$2</f>
        <v>0</v>
      </c>
      <c r="Z454" s="88">
        <f>SUMIF(月間集計シート!$M$71:$M$90,$G454,月間集計シート!P$71:P$90)*Z$2</f>
        <v>0</v>
      </c>
      <c r="AA454" s="88">
        <f>SUMIF(月間集計シート!$M$71:$M$90,$G454,月間集計シート!Q$71:Q$90)*AA$2</f>
        <v>0</v>
      </c>
      <c r="AB454" s="88">
        <f>SUMIF(月間集計シート!$M$71:$M$90,$G454,月間集計シート!R$71:R$90)*AB$2</f>
        <v>0</v>
      </c>
      <c r="AC454" s="88">
        <f>SUMIF(月間集計シート!$M$71:$M$90,$G454,月間集計シート!S$71:S$90)*AC$2</f>
        <v>0</v>
      </c>
      <c r="AD454" s="88">
        <f>SUMIF(月間集計シート!$M$71:$M$90,$G454,月間集計シート!T$71:T$90)*AD$2</f>
        <v>0</v>
      </c>
      <c r="AE454" s="88">
        <f>SUMIF(月間集計シート!$M$92:$M$111,$G454,月間集計シート!N$92:N$111)*AE$2</f>
        <v>0</v>
      </c>
      <c r="AF454" s="88">
        <f>SUMIF(月間集計シート!$M$92:$M$111,$G454,月間集計シート!O$92:O$111)*AF$2</f>
        <v>0</v>
      </c>
      <c r="AG454" s="88">
        <f>SUMIF(月間集計シート!$M$92:$M$111,$G454,月間集計シート!P$92:P$111)*AG$2</f>
        <v>0</v>
      </c>
      <c r="AH454" s="88">
        <f>SUMIF(月間集計シート!$M$92:$M$111,$G454,月間集計シート!Q$92:Q$111)*AH$2</f>
        <v>0</v>
      </c>
      <c r="AI454" s="88">
        <f>SUMIF(月間集計シート!$M$92:$M$111,$G454,月間集計シート!R$92:R$111)*AI$2</f>
        <v>0</v>
      </c>
      <c r="AJ454" s="88">
        <f>SUMIF(月間集計シート!$M$92:$M$111,$G454,月間集計シート!S$92:S$111)*AJ$2</f>
        <v>0</v>
      </c>
      <c r="AK454" s="88">
        <f>SUMIF(月間集計シート!$M$92:$M$111,$G454,月間集計シート!T$92:T$111)*AK$2</f>
        <v>0</v>
      </c>
      <c r="AL454" s="88">
        <f>SUMIF(月間集計シート!$M$113:$M$132,$G454,月間集計シート!N$113:N$132)*AL$2</f>
        <v>0</v>
      </c>
      <c r="AM454" s="88">
        <f>SUMIF(月間集計シート!$M$113:$M$132,$G454,月間集計シート!O$113:O$132)*AM$2</f>
        <v>0</v>
      </c>
      <c r="AN454" s="88">
        <f>SUMIF(月間集計シート!$M$113:$M$132,$G454,月間集計シート!P$113:P$132)*AN$2</f>
        <v>0</v>
      </c>
      <c r="AO454" s="88">
        <f>SUMIF(月間集計シート!$M$113:$M$132,$G454,月間集計シート!Q$113:Q$132)*AO$2</f>
        <v>0</v>
      </c>
      <c r="AP454" s="88">
        <f>SUMIF(月間集計シート!$M$113:$M$132,$G454,月間集計シート!R$113:R$132)*AP$2</f>
        <v>0</v>
      </c>
      <c r="AQ454" s="88">
        <f>SUMIF(月間集計シート!$M$113:$M$132,$G454,月間集計シート!S$113:S$132)*AQ$2</f>
        <v>0</v>
      </c>
      <c r="AR454" s="88">
        <f>SUMIF(月間集計シート!$M$113:$M$132,$G454,月間集計シート!T$113:T$132)*AR$2</f>
        <v>0</v>
      </c>
      <c r="AS454" s="88">
        <f>SUMIF(月間集計シート!$M$134:$M$153,$G454,月間集計シート!N$134:N$153)*AS$2</f>
        <v>0</v>
      </c>
      <c r="AT454" s="88">
        <f>SUMIF(月間集計シート!$M$134:$M$153,$G454,月間集計シート!O$134:O$153)*AT$2</f>
        <v>0</v>
      </c>
      <c r="AU454" s="88">
        <f>SUMIF(月間集計シート!$M$134:$M$153,$G454,月間集計シート!P$134:P$153)*AU$2</f>
        <v>0</v>
      </c>
      <c r="AV454" s="88">
        <f>SUMIF(月間集計シート!$M$134:$M$153,$G454,月間集計シート!Q$134:Q$153)*AV$2</f>
        <v>0</v>
      </c>
      <c r="AW454" s="88">
        <f>SUMIF(月間集計シート!$M$134:$M$153,$G454,月間集計シート!R$134:R$153)*AW$2</f>
        <v>0</v>
      </c>
      <c r="AX454" s="88">
        <f>SUMIF(月間集計シート!$M$134:$M$153,$G454,月間集計シート!S$134:S$153)*AX$2</f>
        <v>0</v>
      </c>
      <c r="AY454" s="88">
        <f>SUMIF(月間集計シート!$M$134:$M$153,$G454,月間集計シート!T$134:T$153)*AY$2</f>
        <v>0</v>
      </c>
    </row>
    <row r="455" spans="1:51" ht="14.25" thickBot="1">
      <c r="A455">
        <v>6</v>
      </c>
      <c r="B455" s="120">
        <f t="shared" si="238"/>
        <v>0</v>
      </c>
      <c r="C455" s="120" t="str">
        <f t="shared" si="239"/>
        <v/>
      </c>
      <c r="D455" s="137"/>
      <c r="E455" s="150" t="str">
        <f>工種!A22</f>
        <v>30199</v>
      </c>
      <c r="F455" s="119" t="str">
        <f>工種!B22</f>
        <v>製造：その他</v>
      </c>
      <c r="G455" s="116" t="str">
        <f t="shared" si="240"/>
        <v>030199</v>
      </c>
      <c r="H455" s="88">
        <f t="shared" si="194"/>
        <v>0</v>
      </c>
      <c r="I455" s="132"/>
      <c r="J455" s="88">
        <f>SUMIF(月間集計シート!$M$29:$M$48,$G455,月間集計シート!N$29:N$48)*J$2</f>
        <v>0</v>
      </c>
      <c r="K455" s="88">
        <f>SUMIF(月間集計シート!$M$29:$M$48,$G455,月間集計シート!O$29:O$48)*K$2</f>
        <v>0</v>
      </c>
      <c r="L455" s="88">
        <f>SUMIF(月間集計シート!$M$29:$M$48,$G455,月間集計シート!P$29:P$48)*L$2</f>
        <v>0</v>
      </c>
      <c r="M455" s="88">
        <f>SUMIF(月間集計シート!$M$29:$M$48,$G455,月間集計シート!Q$29:Q$48)*M$2</f>
        <v>0</v>
      </c>
      <c r="N455" s="88">
        <f>SUMIF(月間集計シート!$M$29:$M$48,$G455,月間集計シート!R$29:R$48)*N$2</f>
        <v>0</v>
      </c>
      <c r="O455" s="88">
        <f>SUMIF(月間集計シート!$M$29:$M$48,$G455,月間集計シート!S$29:S$48)*O$2</f>
        <v>0</v>
      </c>
      <c r="P455" s="88">
        <f>SUMIF(月間集計シート!$M$29:$M$48,$G455,月間集計シート!T$29:T$48)*P$2</f>
        <v>0</v>
      </c>
      <c r="Q455" s="88">
        <f>SUMIF(月間集計シート!$M$50:$M$69,$G455,月間集計シート!N$50:N$69)*Q$2</f>
        <v>0</v>
      </c>
      <c r="R455" s="88">
        <f>SUMIF(月間集計シート!$M$50:$M$69,$G455,月間集計シート!O$50:O$69)*R$2</f>
        <v>0</v>
      </c>
      <c r="S455" s="88">
        <f>SUMIF(月間集計シート!$M$50:$M$69,$G455,月間集計シート!P$50:P$69)*S$2</f>
        <v>0</v>
      </c>
      <c r="T455" s="88">
        <f>SUMIF(月間集計シート!$M$50:$M$69,$G455,月間集計シート!Q$50:Q$69)*T$2</f>
        <v>0</v>
      </c>
      <c r="U455" s="88">
        <f>SUMIF(月間集計シート!$M$50:$M$69,$G455,月間集計シート!R$50:R$69)*U$2</f>
        <v>0</v>
      </c>
      <c r="V455" s="88">
        <f>SUMIF(月間集計シート!$M$50:$M$69,$G455,月間集計シート!S$50:S$69)*V$2</f>
        <v>0</v>
      </c>
      <c r="W455" s="88">
        <f>SUMIF(月間集計シート!$M$50:$M$69,$G455,月間集計シート!T$50:T$69)*W$2</f>
        <v>0</v>
      </c>
      <c r="X455" s="88">
        <f>SUMIF(月間集計シート!$M$71:$M$90,$G455,月間集計シート!N$71:N$90)*X$2</f>
        <v>0</v>
      </c>
      <c r="Y455" s="88">
        <f>SUMIF(月間集計シート!$M$71:$M$90,$G455,月間集計シート!O$71:O$90)*Y$2</f>
        <v>0</v>
      </c>
      <c r="Z455" s="88">
        <f>SUMIF(月間集計シート!$M$71:$M$90,$G455,月間集計シート!P$71:P$90)*Z$2</f>
        <v>0</v>
      </c>
      <c r="AA455" s="88">
        <f>SUMIF(月間集計シート!$M$71:$M$90,$G455,月間集計シート!Q$71:Q$90)*AA$2</f>
        <v>0</v>
      </c>
      <c r="AB455" s="88">
        <f>SUMIF(月間集計シート!$M$71:$M$90,$G455,月間集計シート!R$71:R$90)*AB$2</f>
        <v>0</v>
      </c>
      <c r="AC455" s="88">
        <f>SUMIF(月間集計シート!$M$71:$M$90,$G455,月間集計シート!S$71:S$90)*AC$2</f>
        <v>0</v>
      </c>
      <c r="AD455" s="88">
        <f>SUMIF(月間集計シート!$M$71:$M$90,$G455,月間集計シート!T$71:T$90)*AD$2</f>
        <v>0</v>
      </c>
      <c r="AE455" s="88">
        <f>SUMIF(月間集計シート!$M$92:$M$111,$G455,月間集計シート!N$92:N$111)*AE$2</f>
        <v>0</v>
      </c>
      <c r="AF455" s="88">
        <f>SUMIF(月間集計シート!$M$92:$M$111,$G455,月間集計シート!O$92:O$111)*AF$2</f>
        <v>0</v>
      </c>
      <c r="AG455" s="88">
        <f>SUMIF(月間集計シート!$M$92:$M$111,$G455,月間集計シート!P$92:P$111)*AG$2</f>
        <v>0</v>
      </c>
      <c r="AH455" s="88">
        <f>SUMIF(月間集計シート!$M$92:$M$111,$G455,月間集計シート!Q$92:Q$111)*AH$2</f>
        <v>0</v>
      </c>
      <c r="AI455" s="88">
        <f>SUMIF(月間集計シート!$M$92:$M$111,$G455,月間集計シート!R$92:R$111)*AI$2</f>
        <v>0</v>
      </c>
      <c r="AJ455" s="88">
        <f>SUMIF(月間集計シート!$M$92:$M$111,$G455,月間集計シート!S$92:S$111)*AJ$2</f>
        <v>0</v>
      </c>
      <c r="AK455" s="88">
        <f>SUMIF(月間集計シート!$M$92:$M$111,$G455,月間集計シート!T$92:T$111)*AK$2</f>
        <v>0</v>
      </c>
      <c r="AL455" s="88">
        <f>SUMIF(月間集計シート!$M$113:$M$132,$G455,月間集計シート!N$113:N$132)*AL$2</f>
        <v>0</v>
      </c>
      <c r="AM455" s="88">
        <f>SUMIF(月間集計シート!$M$113:$M$132,$G455,月間集計シート!O$113:O$132)*AM$2</f>
        <v>0</v>
      </c>
      <c r="AN455" s="88">
        <f>SUMIF(月間集計シート!$M$113:$M$132,$G455,月間集計シート!P$113:P$132)*AN$2</f>
        <v>0</v>
      </c>
      <c r="AO455" s="88">
        <f>SUMIF(月間集計シート!$M$113:$M$132,$G455,月間集計シート!Q$113:Q$132)*AO$2</f>
        <v>0</v>
      </c>
      <c r="AP455" s="88">
        <f>SUMIF(月間集計シート!$M$113:$M$132,$G455,月間集計シート!R$113:R$132)*AP$2</f>
        <v>0</v>
      </c>
      <c r="AQ455" s="88">
        <f>SUMIF(月間集計シート!$M$113:$M$132,$G455,月間集計シート!S$113:S$132)*AQ$2</f>
        <v>0</v>
      </c>
      <c r="AR455" s="88">
        <f>SUMIF(月間集計シート!$M$113:$M$132,$G455,月間集計シート!T$113:T$132)*AR$2</f>
        <v>0</v>
      </c>
      <c r="AS455" s="88">
        <f>SUMIF(月間集計シート!$M$134:$M$153,$G455,月間集計シート!N$134:N$153)*AS$2</f>
        <v>0</v>
      </c>
      <c r="AT455" s="88">
        <f>SUMIF(月間集計シート!$M$134:$M$153,$G455,月間集計シート!O$134:O$153)*AT$2</f>
        <v>0</v>
      </c>
      <c r="AU455" s="88">
        <f>SUMIF(月間集計シート!$M$134:$M$153,$G455,月間集計シート!P$134:P$153)*AU$2</f>
        <v>0</v>
      </c>
      <c r="AV455" s="88">
        <f>SUMIF(月間集計シート!$M$134:$M$153,$G455,月間集計シート!Q$134:Q$153)*AV$2</f>
        <v>0</v>
      </c>
      <c r="AW455" s="88">
        <f>SUMIF(月間集計シート!$M$134:$M$153,$G455,月間集計シート!R$134:R$153)*AW$2</f>
        <v>0</v>
      </c>
      <c r="AX455" s="88">
        <f>SUMIF(月間集計シート!$M$134:$M$153,$G455,月間集計シート!S$134:S$153)*AX$2</f>
        <v>0</v>
      </c>
      <c r="AY455" s="88">
        <f>SUMIF(月間集計シート!$M$134:$M$153,$G455,月間集計シート!T$134:T$153)*AY$2</f>
        <v>0</v>
      </c>
    </row>
    <row r="456" spans="1:51" ht="14.25" thickBot="1">
      <c r="A456">
        <v>6</v>
      </c>
      <c r="B456" s="120">
        <f t="shared" si="238"/>
        <v>0</v>
      </c>
      <c r="C456" s="120" t="str">
        <f t="shared" si="239"/>
        <v/>
      </c>
      <c r="D456" s="137"/>
      <c r="E456" s="150" t="str">
        <f>工種!A23</f>
        <v>40101</v>
      </c>
      <c r="F456" s="119" t="str">
        <f>工種!B23</f>
        <v>テスト：結合テスト実施</v>
      </c>
      <c r="G456" s="116" t="str">
        <f t="shared" si="240"/>
        <v>040101</v>
      </c>
      <c r="H456" s="88">
        <f t="shared" si="194"/>
        <v>0</v>
      </c>
      <c r="I456" s="132"/>
      <c r="J456" s="88">
        <f>SUMIF(月間集計シート!$M$29:$M$48,$G456,月間集計シート!N$29:N$48)*J$2</f>
        <v>0</v>
      </c>
      <c r="K456" s="88">
        <f>SUMIF(月間集計シート!$M$29:$M$48,$G456,月間集計シート!O$29:O$48)*K$2</f>
        <v>0</v>
      </c>
      <c r="L456" s="88">
        <f>SUMIF(月間集計シート!$M$29:$M$48,$G456,月間集計シート!P$29:P$48)*L$2</f>
        <v>0</v>
      </c>
      <c r="M456" s="88">
        <f>SUMIF(月間集計シート!$M$29:$M$48,$G456,月間集計シート!Q$29:Q$48)*M$2</f>
        <v>0</v>
      </c>
      <c r="N456" s="88">
        <f>SUMIF(月間集計シート!$M$29:$M$48,$G456,月間集計シート!R$29:R$48)*N$2</f>
        <v>0</v>
      </c>
      <c r="O456" s="88">
        <f>SUMIF(月間集計シート!$M$29:$M$48,$G456,月間集計シート!S$29:S$48)*O$2</f>
        <v>0</v>
      </c>
      <c r="P456" s="88">
        <f>SUMIF(月間集計シート!$M$29:$M$48,$G456,月間集計シート!T$29:T$48)*P$2</f>
        <v>0</v>
      </c>
      <c r="Q456" s="88">
        <f>SUMIF(月間集計シート!$M$50:$M$69,$G456,月間集計シート!N$50:N$69)*Q$2</f>
        <v>0</v>
      </c>
      <c r="R456" s="88">
        <f>SUMIF(月間集計シート!$M$50:$M$69,$G456,月間集計シート!O$50:O$69)*R$2</f>
        <v>0</v>
      </c>
      <c r="S456" s="88">
        <f>SUMIF(月間集計シート!$M$50:$M$69,$G456,月間集計シート!P$50:P$69)*S$2</f>
        <v>0</v>
      </c>
      <c r="T456" s="88">
        <f>SUMIF(月間集計シート!$M$50:$M$69,$G456,月間集計シート!Q$50:Q$69)*T$2</f>
        <v>0</v>
      </c>
      <c r="U456" s="88">
        <f>SUMIF(月間集計シート!$M$50:$M$69,$G456,月間集計シート!R$50:R$69)*U$2</f>
        <v>0</v>
      </c>
      <c r="V456" s="88">
        <f>SUMIF(月間集計シート!$M$50:$M$69,$G456,月間集計シート!S$50:S$69)*V$2</f>
        <v>0</v>
      </c>
      <c r="W456" s="88">
        <f>SUMIF(月間集計シート!$M$50:$M$69,$G456,月間集計シート!T$50:T$69)*W$2</f>
        <v>0</v>
      </c>
      <c r="X456" s="88">
        <f>SUMIF(月間集計シート!$M$71:$M$90,$G456,月間集計シート!N$71:N$90)*X$2</f>
        <v>0</v>
      </c>
      <c r="Y456" s="88">
        <f>SUMIF(月間集計シート!$M$71:$M$90,$G456,月間集計シート!O$71:O$90)*Y$2</f>
        <v>0</v>
      </c>
      <c r="Z456" s="88">
        <f>SUMIF(月間集計シート!$M$71:$M$90,$G456,月間集計シート!P$71:P$90)*Z$2</f>
        <v>0</v>
      </c>
      <c r="AA456" s="88">
        <f>SUMIF(月間集計シート!$M$71:$M$90,$G456,月間集計シート!Q$71:Q$90)*AA$2</f>
        <v>0</v>
      </c>
      <c r="AB456" s="88">
        <f>SUMIF(月間集計シート!$M$71:$M$90,$G456,月間集計シート!R$71:R$90)*AB$2</f>
        <v>0</v>
      </c>
      <c r="AC456" s="88">
        <f>SUMIF(月間集計シート!$M$71:$M$90,$G456,月間集計シート!S$71:S$90)*AC$2</f>
        <v>0</v>
      </c>
      <c r="AD456" s="88">
        <f>SUMIF(月間集計シート!$M$71:$M$90,$G456,月間集計シート!T$71:T$90)*AD$2</f>
        <v>0</v>
      </c>
      <c r="AE456" s="88">
        <f>SUMIF(月間集計シート!$M$92:$M$111,$G456,月間集計シート!N$92:N$111)*AE$2</f>
        <v>0</v>
      </c>
      <c r="AF456" s="88">
        <f>SUMIF(月間集計シート!$M$92:$M$111,$G456,月間集計シート!O$92:O$111)*AF$2</f>
        <v>0</v>
      </c>
      <c r="AG456" s="88">
        <f>SUMIF(月間集計シート!$M$92:$M$111,$G456,月間集計シート!P$92:P$111)*AG$2</f>
        <v>0</v>
      </c>
      <c r="AH456" s="88">
        <f>SUMIF(月間集計シート!$M$92:$M$111,$G456,月間集計シート!Q$92:Q$111)*AH$2</f>
        <v>0</v>
      </c>
      <c r="AI456" s="88">
        <f>SUMIF(月間集計シート!$M$92:$M$111,$G456,月間集計シート!R$92:R$111)*AI$2</f>
        <v>0</v>
      </c>
      <c r="AJ456" s="88">
        <f>SUMIF(月間集計シート!$M$92:$M$111,$G456,月間集計シート!S$92:S$111)*AJ$2</f>
        <v>0</v>
      </c>
      <c r="AK456" s="88">
        <f>SUMIF(月間集計シート!$M$92:$M$111,$G456,月間集計シート!T$92:T$111)*AK$2</f>
        <v>0</v>
      </c>
      <c r="AL456" s="88">
        <f>SUMIF(月間集計シート!$M$113:$M$132,$G456,月間集計シート!N$113:N$132)*AL$2</f>
        <v>0</v>
      </c>
      <c r="AM456" s="88">
        <f>SUMIF(月間集計シート!$M$113:$M$132,$G456,月間集計シート!O$113:O$132)*AM$2</f>
        <v>0</v>
      </c>
      <c r="AN456" s="88">
        <f>SUMIF(月間集計シート!$M$113:$M$132,$G456,月間集計シート!P$113:P$132)*AN$2</f>
        <v>0</v>
      </c>
      <c r="AO456" s="88">
        <f>SUMIF(月間集計シート!$M$113:$M$132,$G456,月間集計シート!Q$113:Q$132)*AO$2</f>
        <v>0</v>
      </c>
      <c r="AP456" s="88">
        <f>SUMIF(月間集計シート!$M$113:$M$132,$G456,月間集計シート!R$113:R$132)*AP$2</f>
        <v>0</v>
      </c>
      <c r="AQ456" s="88">
        <f>SUMIF(月間集計シート!$M$113:$M$132,$G456,月間集計シート!S$113:S$132)*AQ$2</f>
        <v>0</v>
      </c>
      <c r="AR456" s="88">
        <f>SUMIF(月間集計シート!$M$113:$M$132,$G456,月間集計シート!T$113:T$132)*AR$2</f>
        <v>0</v>
      </c>
      <c r="AS456" s="88">
        <f>SUMIF(月間集計シート!$M$134:$M$153,$G456,月間集計シート!N$134:N$153)*AS$2</f>
        <v>0</v>
      </c>
      <c r="AT456" s="88">
        <f>SUMIF(月間集計シート!$M$134:$M$153,$G456,月間集計シート!O$134:O$153)*AT$2</f>
        <v>0</v>
      </c>
      <c r="AU456" s="88">
        <f>SUMIF(月間集計シート!$M$134:$M$153,$G456,月間集計シート!P$134:P$153)*AU$2</f>
        <v>0</v>
      </c>
      <c r="AV456" s="88">
        <f>SUMIF(月間集計シート!$M$134:$M$153,$G456,月間集計シート!Q$134:Q$153)*AV$2</f>
        <v>0</v>
      </c>
      <c r="AW456" s="88">
        <f>SUMIF(月間集計シート!$M$134:$M$153,$G456,月間集計シート!R$134:R$153)*AW$2</f>
        <v>0</v>
      </c>
      <c r="AX456" s="88">
        <f>SUMIF(月間集計シート!$M$134:$M$153,$G456,月間集計シート!S$134:S$153)*AX$2</f>
        <v>0</v>
      </c>
      <c r="AY456" s="88">
        <f>SUMIF(月間集計シート!$M$134:$M$153,$G456,月間集計シート!T$134:T$153)*AY$2</f>
        <v>0</v>
      </c>
    </row>
    <row r="457" spans="1:51" ht="14.25" thickBot="1">
      <c r="A457">
        <v>6</v>
      </c>
      <c r="B457" s="120">
        <f t="shared" si="238"/>
        <v>0</v>
      </c>
      <c r="C457" s="120" t="str">
        <f t="shared" si="239"/>
        <v/>
      </c>
      <c r="D457" s="137"/>
      <c r="E457" s="150" t="str">
        <f>工種!A24</f>
        <v>40102</v>
      </c>
      <c r="F457" s="119" t="str">
        <f>工種!B24</f>
        <v>テスト：システムテスト実施</v>
      </c>
      <c r="G457" s="116" t="str">
        <f t="shared" si="240"/>
        <v>040102</v>
      </c>
      <c r="H457" s="88">
        <f t="shared" si="194"/>
        <v>0</v>
      </c>
      <c r="I457" s="132"/>
      <c r="J457" s="88">
        <f>SUMIF(月間集計シート!$M$29:$M$48,$G457,月間集計シート!N$29:N$48)*J$2</f>
        <v>0</v>
      </c>
      <c r="K457" s="88">
        <f>SUMIF(月間集計シート!$M$29:$M$48,$G457,月間集計シート!O$29:O$48)*K$2</f>
        <v>0</v>
      </c>
      <c r="L457" s="88">
        <f>SUMIF(月間集計シート!$M$29:$M$48,$G457,月間集計シート!P$29:P$48)*L$2</f>
        <v>0</v>
      </c>
      <c r="M457" s="88">
        <f>SUMIF(月間集計シート!$M$29:$M$48,$G457,月間集計シート!Q$29:Q$48)*M$2</f>
        <v>0</v>
      </c>
      <c r="N457" s="88">
        <f>SUMIF(月間集計シート!$M$29:$M$48,$G457,月間集計シート!R$29:R$48)*N$2</f>
        <v>0</v>
      </c>
      <c r="O457" s="88">
        <f>SUMIF(月間集計シート!$M$29:$M$48,$G457,月間集計シート!S$29:S$48)*O$2</f>
        <v>0</v>
      </c>
      <c r="P457" s="88">
        <f>SUMIF(月間集計シート!$M$29:$M$48,$G457,月間集計シート!T$29:T$48)*P$2</f>
        <v>0</v>
      </c>
      <c r="Q457" s="88">
        <f>SUMIF(月間集計シート!$M$50:$M$69,$G457,月間集計シート!N$50:N$69)*Q$2</f>
        <v>0</v>
      </c>
      <c r="R457" s="88">
        <f>SUMIF(月間集計シート!$M$50:$M$69,$G457,月間集計シート!O$50:O$69)*R$2</f>
        <v>0</v>
      </c>
      <c r="S457" s="88">
        <f>SUMIF(月間集計シート!$M$50:$M$69,$G457,月間集計シート!P$50:P$69)*S$2</f>
        <v>0</v>
      </c>
      <c r="T457" s="88">
        <f>SUMIF(月間集計シート!$M$50:$M$69,$G457,月間集計シート!Q$50:Q$69)*T$2</f>
        <v>0</v>
      </c>
      <c r="U457" s="88">
        <f>SUMIF(月間集計シート!$M$50:$M$69,$G457,月間集計シート!R$50:R$69)*U$2</f>
        <v>0</v>
      </c>
      <c r="V457" s="88">
        <f>SUMIF(月間集計シート!$M$50:$M$69,$G457,月間集計シート!S$50:S$69)*V$2</f>
        <v>0</v>
      </c>
      <c r="W457" s="88">
        <f>SUMIF(月間集計シート!$M$50:$M$69,$G457,月間集計シート!T$50:T$69)*W$2</f>
        <v>0</v>
      </c>
      <c r="X457" s="88">
        <f>SUMIF(月間集計シート!$M$71:$M$90,$G457,月間集計シート!N$71:N$90)*X$2</f>
        <v>0</v>
      </c>
      <c r="Y457" s="88">
        <f>SUMIF(月間集計シート!$M$71:$M$90,$G457,月間集計シート!O$71:O$90)*Y$2</f>
        <v>0</v>
      </c>
      <c r="Z457" s="88">
        <f>SUMIF(月間集計シート!$M$71:$M$90,$G457,月間集計シート!P$71:P$90)*Z$2</f>
        <v>0</v>
      </c>
      <c r="AA457" s="88">
        <f>SUMIF(月間集計シート!$M$71:$M$90,$G457,月間集計シート!Q$71:Q$90)*AA$2</f>
        <v>0</v>
      </c>
      <c r="AB457" s="88">
        <f>SUMIF(月間集計シート!$M$71:$M$90,$G457,月間集計シート!R$71:R$90)*AB$2</f>
        <v>0</v>
      </c>
      <c r="AC457" s="88">
        <f>SUMIF(月間集計シート!$M$71:$M$90,$G457,月間集計シート!S$71:S$90)*AC$2</f>
        <v>0</v>
      </c>
      <c r="AD457" s="88">
        <f>SUMIF(月間集計シート!$M$71:$M$90,$G457,月間集計シート!T$71:T$90)*AD$2</f>
        <v>0</v>
      </c>
      <c r="AE457" s="88">
        <f>SUMIF(月間集計シート!$M$92:$M$111,$G457,月間集計シート!N$92:N$111)*AE$2</f>
        <v>0</v>
      </c>
      <c r="AF457" s="88">
        <f>SUMIF(月間集計シート!$M$92:$M$111,$G457,月間集計シート!O$92:O$111)*AF$2</f>
        <v>0</v>
      </c>
      <c r="AG457" s="88">
        <f>SUMIF(月間集計シート!$M$92:$M$111,$G457,月間集計シート!P$92:P$111)*AG$2</f>
        <v>0</v>
      </c>
      <c r="AH457" s="88">
        <f>SUMIF(月間集計シート!$M$92:$M$111,$G457,月間集計シート!Q$92:Q$111)*AH$2</f>
        <v>0</v>
      </c>
      <c r="AI457" s="88">
        <f>SUMIF(月間集計シート!$M$92:$M$111,$G457,月間集計シート!R$92:R$111)*AI$2</f>
        <v>0</v>
      </c>
      <c r="AJ457" s="88">
        <f>SUMIF(月間集計シート!$M$92:$M$111,$G457,月間集計シート!S$92:S$111)*AJ$2</f>
        <v>0</v>
      </c>
      <c r="AK457" s="88">
        <f>SUMIF(月間集計シート!$M$92:$M$111,$G457,月間集計シート!T$92:T$111)*AK$2</f>
        <v>0</v>
      </c>
      <c r="AL457" s="88">
        <f>SUMIF(月間集計シート!$M$113:$M$132,$G457,月間集計シート!N$113:N$132)*AL$2</f>
        <v>0</v>
      </c>
      <c r="AM457" s="88">
        <f>SUMIF(月間集計シート!$M$113:$M$132,$G457,月間集計シート!O$113:O$132)*AM$2</f>
        <v>0</v>
      </c>
      <c r="AN457" s="88">
        <f>SUMIF(月間集計シート!$M$113:$M$132,$G457,月間集計シート!P$113:P$132)*AN$2</f>
        <v>0</v>
      </c>
      <c r="AO457" s="88">
        <f>SUMIF(月間集計シート!$M$113:$M$132,$G457,月間集計シート!Q$113:Q$132)*AO$2</f>
        <v>0</v>
      </c>
      <c r="AP457" s="88">
        <f>SUMIF(月間集計シート!$M$113:$M$132,$G457,月間集計シート!R$113:R$132)*AP$2</f>
        <v>0</v>
      </c>
      <c r="AQ457" s="88">
        <f>SUMIF(月間集計シート!$M$113:$M$132,$G457,月間集計シート!S$113:S$132)*AQ$2</f>
        <v>0</v>
      </c>
      <c r="AR457" s="88">
        <f>SUMIF(月間集計シート!$M$113:$M$132,$G457,月間集計シート!T$113:T$132)*AR$2</f>
        <v>0</v>
      </c>
      <c r="AS457" s="88">
        <f>SUMIF(月間集計シート!$M$134:$M$153,$G457,月間集計シート!N$134:N$153)*AS$2</f>
        <v>0</v>
      </c>
      <c r="AT457" s="88">
        <f>SUMIF(月間集計シート!$M$134:$M$153,$G457,月間集計シート!O$134:O$153)*AT$2</f>
        <v>0</v>
      </c>
      <c r="AU457" s="88">
        <f>SUMIF(月間集計シート!$M$134:$M$153,$G457,月間集計シート!P$134:P$153)*AU$2</f>
        <v>0</v>
      </c>
      <c r="AV457" s="88">
        <f>SUMIF(月間集計シート!$M$134:$M$153,$G457,月間集計シート!Q$134:Q$153)*AV$2</f>
        <v>0</v>
      </c>
      <c r="AW457" s="88">
        <f>SUMIF(月間集計シート!$M$134:$M$153,$G457,月間集計シート!R$134:R$153)*AW$2</f>
        <v>0</v>
      </c>
      <c r="AX457" s="88">
        <f>SUMIF(月間集計シート!$M$134:$M$153,$G457,月間集計シート!S$134:S$153)*AX$2</f>
        <v>0</v>
      </c>
      <c r="AY457" s="88">
        <f>SUMIF(月間集計シート!$M$134:$M$153,$G457,月間集計シート!T$134:T$153)*AY$2</f>
        <v>0</v>
      </c>
    </row>
    <row r="458" spans="1:51" ht="14.25" thickBot="1">
      <c r="A458">
        <v>6</v>
      </c>
      <c r="B458" s="120">
        <f t="shared" si="238"/>
        <v>0</v>
      </c>
      <c r="C458" s="120" t="str">
        <f t="shared" si="239"/>
        <v/>
      </c>
      <c r="D458" s="137"/>
      <c r="E458" s="150" t="str">
        <f>工種!A25</f>
        <v>40103</v>
      </c>
      <c r="F458" s="119" t="str">
        <f>工種!B25</f>
        <v>テスト：テスト計画書作成</v>
      </c>
      <c r="G458" s="116" t="str">
        <f t="shared" si="240"/>
        <v>040103</v>
      </c>
      <c r="H458" s="88">
        <f t="shared" si="194"/>
        <v>0</v>
      </c>
      <c r="I458" s="132"/>
      <c r="J458" s="88">
        <f>SUMIF(月間集計シート!$M$29:$M$48,$G458,月間集計シート!N$29:N$48)*J$2</f>
        <v>0</v>
      </c>
      <c r="K458" s="88">
        <f>SUMIF(月間集計シート!$M$29:$M$48,$G458,月間集計シート!O$29:O$48)*K$2</f>
        <v>0</v>
      </c>
      <c r="L458" s="88">
        <f>SUMIF(月間集計シート!$M$29:$M$48,$G458,月間集計シート!P$29:P$48)*L$2</f>
        <v>0</v>
      </c>
      <c r="M458" s="88">
        <f>SUMIF(月間集計シート!$M$29:$M$48,$G458,月間集計シート!Q$29:Q$48)*M$2</f>
        <v>0</v>
      </c>
      <c r="N458" s="88">
        <f>SUMIF(月間集計シート!$M$29:$M$48,$G458,月間集計シート!R$29:R$48)*N$2</f>
        <v>0</v>
      </c>
      <c r="O458" s="88">
        <f>SUMIF(月間集計シート!$M$29:$M$48,$G458,月間集計シート!S$29:S$48)*O$2</f>
        <v>0</v>
      </c>
      <c r="P458" s="88">
        <f>SUMIF(月間集計シート!$M$29:$M$48,$G458,月間集計シート!T$29:T$48)*P$2</f>
        <v>0</v>
      </c>
      <c r="Q458" s="88">
        <f>SUMIF(月間集計シート!$M$50:$M$69,$G458,月間集計シート!N$50:N$69)*Q$2</f>
        <v>0</v>
      </c>
      <c r="R458" s="88">
        <f>SUMIF(月間集計シート!$M$50:$M$69,$G458,月間集計シート!O$50:O$69)*R$2</f>
        <v>0</v>
      </c>
      <c r="S458" s="88">
        <f>SUMIF(月間集計シート!$M$50:$M$69,$G458,月間集計シート!P$50:P$69)*S$2</f>
        <v>0</v>
      </c>
      <c r="T458" s="88">
        <f>SUMIF(月間集計シート!$M$50:$M$69,$G458,月間集計シート!Q$50:Q$69)*T$2</f>
        <v>0</v>
      </c>
      <c r="U458" s="88">
        <f>SUMIF(月間集計シート!$M$50:$M$69,$G458,月間集計シート!R$50:R$69)*U$2</f>
        <v>0</v>
      </c>
      <c r="V458" s="88">
        <f>SUMIF(月間集計シート!$M$50:$M$69,$G458,月間集計シート!S$50:S$69)*V$2</f>
        <v>0</v>
      </c>
      <c r="W458" s="88">
        <f>SUMIF(月間集計シート!$M$50:$M$69,$G458,月間集計シート!T$50:T$69)*W$2</f>
        <v>0</v>
      </c>
      <c r="X458" s="88">
        <f>SUMIF(月間集計シート!$M$71:$M$90,$G458,月間集計シート!N$71:N$90)*X$2</f>
        <v>0</v>
      </c>
      <c r="Y458" s="88">
        <f>SUMIF(月間集計シート!$M$71:$M$90,$G458,月間集計シート!O$71:O$90)*Y$2</f>
        <v>0</v>
      </c>
      <c r="Z458" s="88">
        <f>SUMIF(月間集計シート!$M$71:$M$90,$G458,月間集計シート!P$71:P$90)*Z$2</f>
        <v>0</v>
      </c>
      <c r="AA458" s="88">
        <f>SUMIF(月間集計シート!$M$71:$M$90,$G458,月間集計シート!Q$71:Q$90)*AA$2</f>
        <v>0</v>
      </c>
      <c r="AB458" s="88">
        <f>SUMIF(月間集計シート!$M$71:$M$90,$G458,月間集計シート!R$71:R$90)*AB$2</f>
        <v>0</v>
      </c>
      <c r="AC458" s="88">
        <f>SUMIF(月間集計シート!$M$71:$M$90,$G458,月間集計シート!S$71:S$90)*AC$2</f>
        <v>0</v>
      </c>
      <c r="AD458" s="88">
        <f>SUMIF(月間集計シート!$M$71:$M$90,$G458,月間集計シート!T$71:T$90)*AD$2</f>
        <v>0</v>
      </c>
      <c r="AE458" s="88">
        <f>SUMIF(月間集計シート!$M$92:$M$111,$G458,月間集計シート!N$92:N$111)*AE$2</f>
        <v>0</v>
      </c>
      <c r="AF458" s="88">
        <f>SUMIF(月間集計シート!$M$92:$M$111,$G458,月間集計シート!O$92:O$111)*AF$2</f>
        <v>0</v>
      </c>
      <c r="AG458" s="88">
        <f>SUMIF(月間集計シート!$M$92:$M$111,$G458,月間集計シート!P$92:P$111)*AG$2</f>
        <v>0</v>
      </c>
      <c r="AH458" s="88">
        <f>SUMIF(月間集計シート!$M$92:$M$111,$G458,月間集計シート!Q$92:Q$111)*AH$2</f>
        <v>0</v>
      </c>
      <c r="AI458" s="88">
        <f>SUMIF(月間集計シート!$M$92:$M$111,$G458,月間集計シート!R$92:R$111)*AI$2</f>
        <v>0</v>
      </c>
      <c r="AJ458" s="88">
        <f>SUMIF(月間集計シート!$M$92:$M$111,$G458,月間集計シート!S$92:S$111)*AJ$2</f>
        <v>0</v>
      </c>
      <c r="AK458" s="88">
        <f>SUMIF(月間集計シート!$M$92:$M$111,$G458,月間集計シート!T$92:T$111)*AK$2</f>
        <v>0</v>
      </c>
      <c r="AL458" s="88">
        <f>SUMIF(月間集計シート!$M$113:$M$132,$G458,月間集計シート!N$113:N$132)*AL$2</f>
        <v>0</v>
      </c>
      <c r="AM458" s="88">
        <f>SUMIF(月間集計シート!$M$113:$M$132,$G458,月間集計シート!O$113:O$132)*AM$2</f>
        <v>0</v>
      </c>
      <c r="AN458" s="88">
        <f>SUMIF(月間集計シート!$M$113:$M$132,$G458,月間集計シート!P$113:P$132)*AN$2</f>
        <v>0</v>
      </c>
      <c r="AO458" s="88">
        <f>SUMIF(月間集計シート!$M$113:$M$132,$G458,月間集計シート!Q$113:Q$132)*AO$2</f>
        <v>0</v>
      </c>
      <c r="AP458" s="88">
        <f>SUMIF(月間集計シート!$M$113:$M$132,$G458,月間集計シート!R$113:R$132)*AP$2</f>
        <v>0</v>
      </c>
      <c r="AQ458" s="88">
        <f>SUMIF(月間集計シート!$M$113:$M$132,$G458,月間集計シート!S$113:S$132)*AQ$2</f>
        <v>0</v>
      </c>
      <c r="AR458" s="88">
        <f>SUMIF(月間集計シート!$M$113:$M$132,$G458,月間集計シート!T$113:T$132)*AR$2</f>
        <v>0</v>
      </c>
      <c r="AS458" s="88">
        <f>SUMIF(月間集計シート!$M$134:$M$153,$G458,月間集計シート!N$134:N$153)*AS$2</f>
        <v>0</v>
      </c>
      <c r="AT458" s="88">
        <f>SUMIF(月間集計シート!$M$134:$M$153,$G458,月間集計シート!O$134:O$153)*AT$2</f>
        <v>0</v>
      </c>
      <c r="AU458" s="88">
        <f>SUMIF(月間集計シート!$M$134:$M$153,$G458,月間集計シート!P$134:P$153)*AU$2</f>
        <v>0</v>
      </c>
      <c r="AV458" s="88">
        <f>SUMIF(月間集計シート!$M$134:$M$153,$G458,月間集計シート!Q$134:Q$153)*AV$2</f>
        <v>0</v>
      </c>
      <c r="AW458" s="88">
        <f>SUMIF(月間集計シート!$M$134:$M$153,$G458,月間集計シート!R$134:R$153)*AW$2</f>
        <v>0</v>
      </c>
      <c r="AX458" s="88">
        <f>SUMIF(月間集計シート!$M$134:$M$153,$G458,月間集計シート!S$134:S$153)*AX$2</f>
        <v>0</v>
      </c>
      <c r="AY458" s="88">
        <f>SUMIF(月間集計シート!$M$134:$M$153,$G458,月間集計シート!T$134:T$153)*AY$2</f>
        <v>0</v>
      </c>
    </row>
    <row r="459" spans="1:51" ht="14.25" thickBot="1">
      <c r="A459">
        <v>6</v>
      </c>
      <c r="B459" s="120">
        <f t="shared" si="238"/>
        <v>0</v>
      </c>
      <c r="C459" s="120" t="str">
        <f t="shared" si="239"/>
        <v/>
      </c>
      <c r="D459" s="137"/>
      <c r="E459" s="150" t="str">
        <f>工種!A26</f>
        <v>40104</v>
      </c>
      <c r="F459" s="119" t="str">
        <f>工種!B26</f>
        <v>テスト：結合テスト設計書作成</v>
      </c>
      <c r="G459" s="116" t="str">
        <f t="shared" si="240"/>
        <v>040104</v>
      </c>
      <c r="H459" s="88">
        <f t="shared" si="194"/>
        <v>0</v>
      </c>
      <c r="I459" s="132"/>
      <c r="J459" s="88">
        <f>SUMIF(月間集計シート!$M$29:$M$48,$G459,月間集計シート!N$29:N$48)*J$2</f>
        <v>0</v>
      </c>
      <c r="K459" s="88">
        <f>SUMIF(月間集計シート!$M$29:$M$48,$G459,月間集計シート!O$29:O$48)*K$2</f>
        <v>0</v>
      </c>
      <c r="L459" s="88">
        <f>SUMIF(月間集計シート!$M$29:$M$48,$G459,月間集計シート!P$29:P$48)*L$2</f>
        <v>0</v>
      </c>
      <c r="M459" s="88">
        <f>SUMIF(月間集計シート!$M$29:$M$48,$G459,月間集計シート!Q$29:Q$48)*M$2</f>
        <v>0</v>
      </c>
      <c r="N459" s="88">
        <f>SUMIF(月間集計シート!$M$29:$M$48,$G459,月間集計シート!R$29:R$48)*N$2</f>
        <v>0</v>
      </c>
      <c r="O459" s="88">
        <f>SUMIF(月間集計シート!$M$29:$M$48,$G459,月間集計シート!S$29:S$48)*O$2</f>
        <v>0</v>
      </c>
      <c r="P459" s="88">
        <f>SUMIF(月間集計シート!$M$29:$M$48,$G459,月間集計シート!T$29:T$48)*P$2</f>
        <v>0</v>
      </c>
      <c r="Q459" s="88">
        <f>SUMIF(月間集計シート!$M$50:$M$69,$G459,月間集計シート!N$50:N$69)*Q$2</f>
        <v>0</v>
      </c>
      <c r="R459" s="88">
        <f>SUMIF(月間集計シート!$M$50:$M$69,$G459,月間集計シート!O$50:O$69)*R$2</f>
        <v>0</v>
      </c>
      <c r="S459" s="88">
        <f>SUMIF(月間集計シート!$M$50:$M$69,$G459,月間集計シート!P$50:P$69)*S$2</f>
        <v>0</v>
      </c>
      <c r="T459" s="88">
        <f>SUMIF(月間集計シート!$M$50:$M$69,$G459,月間集計シート!Q$50:Q$69)*T$2</f>
        <v>0</v>
      </c>
      <c r="U459" s="88">
        <f>SUMIF(月間集計シート!$M$50:$M$69,$G459,月間集計シート!R$50:R$69)*U$2</f>
        <v>0</v>
      </c>
      <c r="V459" s="88">
        <f>SUMIF(月間集計シート!$M$50:$M$69,$G459,月間集計シート!S$50:S$69)*V$2</f>
        <v>0</v>
      </c>
      <c r="W459" s="88">
        <f>SUMIF(月間集計シート!$M$50:$M$69,$G459,月間集計シート!T$50:T$69)*W$2</f>
        <v>0</v>
      </c>
      <c r="X459" s="88">
        <f>SUMIF(月間集計シート!$M$71:$M$90,$G459,月間集計シート!N$71:N$90)*X$2</f>
        <v>0</v>
      </c>
      <c r="Y459" s="88">
        <f>SUMIF(月間集計シート!$M$71:$M$90,$G459,月間集計シート!O$71:O$90)*Y$2</f>
        <v>0</v>
      </c>
      <c r="Z459" s="88">
        <f>SUMIF(月間集計シート!$M$71:$M$90,$G459,月間集計シート!P$71:P$90)*Z$2</f>
        <v>0</v>
      </c>
      <c r="AA459" s="88">
        <f>SUMIF(月間集計シート!$M$71:$M$90,$G459,月間集計シート!Q$71:Q$90)*AA$2</f>
        <v>0</v>
      </c>
      <c r="AB459" s="88">
        <f>SUMIF(月間集計シート!$M$71:$M$90,$G459,月間集計シート!R$71:R$90)*AB$2</f>
        <v>0</v>
      </c>
      <c r="AC459" s="88">
        <f>SUMIF(月間集計シート!$M$71:$M$90,$G459,月間集計シート!S$71:S$90)*AC$2</f>
        <v>0</v>
      </c>
      <c r="AD459" s="88">
        <f>SUMIF(月間集計シート!$M$71:$M$90,$G459,月間集計シート!T$71:T$90)*AD$2</f>
        <v>0</v>
      </c>
      <c r="AE459" s="88">
        <f>SUMIF(月間集計シート!$M$92:$M$111,$G459,月間集計シート!N$92:N$111)*AE$2</f>
        <v>0</v>
      </c>
      <c r="AF459" s="88">
        <f>SUMIF(月間集計シート!$M$92:$M$111,$G459,月間集計シート!O$92:O$111)*AF$2</f>
        <v>0</v>
      </c>
      <c r="AG459" s="88">
        <f>SUMIF(月間集計シート!$M$92:$M$111,$G459,月間集計シート!P$92:P$111)*AG$2</f>
        <v>0</v>
      </c>
      <c r="AH459" s="88">
        <f>SUMIF(月間集計シート!$M$92:$M$111,$G459,月間集計シート!Q$92:Q$111)*AH$2</f>
        <v>0</v>
      </c>
      <c r="AI459" s="88">
        <f>SUMIF(月間集計シート!$M$92:$M$111,$G459,月間集計シート!R$92:R$111)*AI$2</f>
        <v>0</v>
      </c>
      <c r="AJ459" s="88">
        <f>SUMIF(月間集計シート!$M$92:$M$111,$G459,月間集計シート!S$92:S$111)*AJ$2</f>
        <v>0</v>
      </c>
      <c r="AK459" s="88">
        <f>SUMIF(月間集計シート!$M$92:$M$111,$G459,月間集計シート!T$92:T$111)*AK$2</f>
        <v>0</v>
      </c>
      <c r="AL459" s="88">
        <f>SUMIF(月間集計シート!$M$113:$M$132,$G459,月間集計シート!N$113:N$132)*AL$2</f>
        <v>0</v>
      </c>
      <c r="AM459" s="88">
        <f>SUMIF(月間集計シート!$M$113:$M$132,$G459,月間集計シート!O$113:O$132)*AM$2</f>
        <v>0</v>
      </c>
      <c r="AN459" s="88">
        <f>SUMIF(月間集計シート!$M$113:$M$132,$G459,月間集計シート!P$113:P$132)*AN$2</f>
        <v>0</v>
      </c>
      <c r="AO459" s="88">
        <f>SUMIF(月間集計シート!$M$113:$M$132,$G459,月間集計シート!Q$113:Q$132)*AO$2</f>
        <v>0</v>
      </c>
      <c r="AP459" s="88">
        <f>SUMIF(月間集計シート!$M$113:$M$132,$G459,月間集計シート!R$113:R$132)*AP$2</f>
        <v>0</v>
      </c>
      <c r="AQ459" s="88">
        <f>SUMIF(月間集計シート!$M$113:$M$132,$G459,月間集計シート!S$113:S$132)*AQ$2</f>
        <v>0</v>
      </c>
      <c r="AR459" s="88">
        <f>SUMIF(月間集計シート!$M$113:$M$132,$G459,月間集計シート!T$113:T$132)*AR$2</f>
        <v>0</v>
      </c>
      <c r="AS459" s="88">
        <f>SUMIF(月間集計シート!$M$134:$M$153,$G459,月間集計シート!N$134:N$153)*AS$2</f>
        <v>0</v>
      </c>
      <c r="AT459" s="88">
        <f>SUMIF(月間集計シート!$M$134:$M$153,$G459,月間集計シート!O$134:O$153)*AT$2</f>
        <v>0</v>
      </c>
      <c r="AU459" s="88">
        <f>SUMIF(月間集計シート!$M$134:$M$153,$G459,月間集計シート!P$134:P$153)*AU$2</f>
        <v>0</v>
      </c>
      <c r="AV459" s="88">
        <f>SUMIF(月間集計シート!$M$134:$M$153,$G459,月間集計シート!Q$134:Q$153)*AV$2</f>
        <v>0</v>
      </c>
      <c r="AW459" s="88">
        <f>SUMIF(月間集計シート!$M$134:$M$153,$G459,月間集計シート!R$134:R$153)*AW$2</f>
        <v>0</v>
      </c>
      <c r="AX459" s="88">
        <f>SUMIF(月間集計シート!$M$134:$M$153,$G459,月間集計シート!S$134:S$153)*AX$2</f>
        <v>0</v>
      </c>
      <c r="AY459" s="88">
        <f>SUMIF(月間集計シート!$M$134:$M$153,$G459,月間集計シート!T$134:T$153)*AY$2</f>
        <v>0</v>
      </c>
    </row>
    <row r="460" spans="1:51" ht="14.25" thickBot="1">
      <c r="A460">
        <v>6</v>
      </c>
      <c r="B460" s="120">
        <f t="shared" si="238"/>
        <v>0</v>
      </c>
      <c r="C460" s="120" t="str">
        <f t="shared" si="239"/>
        <v/>
      </c>
      <c r="D460" s="137"/>
      <c r="E460" s="150" t="str">
        <f>工種!A27</f>
        <v>40105</v>
      </c>
      <c r="F460" s="119" t="str">
        <f>工種!B27</f>
        <v>テスト：システムテスト設計書作成</v>
      </c>
      <c r="G460" s="116" t="str">
        <f t="shared" si="240"/>
        <v>040105</v>
      </c>
      <c r="H460" s="88">
        <f t="shared" si="194"/>
        <v>0</v>
      </c>
      <c r="I460" s="132"/>
      <c r="J460" s="88">
        <f>SUMIF(月間集計シート!$M$29:$M$48,$G460,月間集計シート!N$29:N$48)*J$2</f>
        <v>0</v>
      </c>
      <c r="K460" s="88">
        <f>SUMIF(月間集計シート!$M$29:$M$48,$G460,月間集計シート!O$29:O$48)*K$2</f>
        <v>0</v>
      </c>
      <c r="L460" s="88">
        <f>SUMIF(月間集計シート!$M$29:$M$48,$G460,月間集計シート!P$29:P$48)*L$2</f>
        <v>0</v>
      </c>
      <c r="M460" s="88">
        <f>SUMIF(月間集計シート!$M$29:$M$48,$G460,月間集計シート!Q$29:Q$48)*M$2</f>
        <v>0</v>
      </c>
      <c r="N460" s="88">
        <f>SUMIF(月間集計シート!$M$29:$M$48,$G460,月間集計シート!R$29:R$48)*N$2</f>
        <v>0</v>
      </c>
      <c r="O460" s="88">
        <f>SUMIF(月間集計シート!$M$29:$M$48,$G460,月間集計シート!S$29:S$48)*O$2</f>
        <v>0</v>
      </c>
      <c r="P460" s="88">
        <f>SUMIF(月間集計シート!$M$29:$M$48,$G460,月間集計シート!T$29:T$48)*P$2</f>
        <v>0</v>
      </c>
      <c r="Q460" s="88">
        <f>SUMIF(月間集計シート!$M$50:$M$69,$G460,月間集計シート!N$50:N$69)*Q$2</f>
        <v>0</v>
      </c>
      <c r="R460" s="88">
        <f>SUMIF(月間集計シート!$M$50:$M$69,$G460,月間集計シート!O$50:O$69)*R$2</f>
        <v>0</v>
      </c>
      <c r="S460" s="88">
        <f>SUMIF(月間集計シート!$M$50:$M$69,$G460,月間集計シート!P$50:P$69)*S$2</f>
        <v>0</v>
      </c>
      <c r="T460" s="88">
        <f>SUMIF(月間集計シート!$M$50:$M$69,$G460,月間集計シート!Q$50:Q$69)*T$2</f>
        <v>0</v>
      </c>
      <c r="U460" s="88">
        <f>SUMIF(月間集計シート!$M$50:$M$69,$G460,月間集計シート!R$50:R$69)*U$2</f>
        <v>0</v>
      </c>
      <c r="V460" s="88">
        <f>SUMIF(月間集計シート!$M$50:$M$69,$G460,月間集計シート!S$50:S$69)*V$2</f>
        <v>0</v>
      </c>
      <c r="W460" s="88">
        <f>SUMIF(月間集計シート!$M$50:$M$69,$G460,月間集計シート!T$50:T$69)*W$2</f>
        <v>0</v>
      </c>
      <c r="X460" s="88">
        <f>SUMIF(月間集計シート!$M$71:$M$90,$G460,月間集計シート!N$71:N$90)*X$2</f>
        <v>0</v>
      </c>
      <c r="Y460" s="88">
        <f>SUMIF(月間集計シート!$M$71:$M$90,$G460,月間集計シート!O$71:O$90)*Y$2</f>
        <v>0</v>
      </c>
      <c r="Z460" s="88">
        <f>SUMIF(月間集計シート!$M$71:$M$90,$G460,月間集計シート!P$71:P$90)*Z$2</f>
        <v>0</v>
      </c>
      <c r="AA460" s="88">
        <f>SUMIF(月間集計シート!$M$71:$M$90,$G460,月間集計シート!Q$71:Q$90)*AA$2</f>
        <v>0</v>
      </c>
      <c r="AB460" s="88">
        <f>SUMIF(月間集計シート!$M$71:$M$90,$G460,月間集計シート!R$71:R$90)*AB$2</f>
        <v>0</v>
      </c>
      <c r="AC460" s="88">
        <f>SUMIF(月間集計シート!$M$71:$M$90,$G460,月間集計シート!S$71:S$90)*AC$2</f>
        <v>0</v>
      </c>
      <c r="AD460" s="88">
        <f>SUMIF(月間集計シート!$M$71:$M$90,$G460,月間集計シート!T$71:T$90)*AD$2</f>
        <v>0</v>
      </c>
      <c r="AE460" s="88">
        <f>SUMIF(月間集計シート!$M$92:$M$111,$G460,月間集計シート!N$92:N$111)*AE$2</f>
        <v>0</v>
      </c>
      <c r="AF460" s="88">
        <f>SUMIF(月間集計シート!$M$92:$M$111,$G460,月間集計シート!O$92:O$111)*AF$2</f>
        <v>0</v>
      </c>
      <c r="AG460" s="88">
        <f>SUMIF(月間集計シート!$M$92:$M$111,$G460,月間集計シート!P$92:P$111)*AG$2</f>
        <v>0</v>
      </c>
      <c r="AH460" s="88">
        <f>SUMIF(月間集計シート!$M$92:$M$111,$G460,月間集計シート!Q$92:Q$111)*AH$2</f>
        <v>0</v>
      </c>
      <c r="AI460" s="88">
        <f>SUMIF(月間集計シート!$M$92:$M$111,$G460,月間集計シート!R$92:R$111)*AI$2</f>
        <v>0</v>
      </c>
      <c r="AJ460" s="88">
        <f>SUMIF(月間集計シート!$M$92:$M$111,$G460,月間集計シート!S$92:S$111)*AJ$2</f>
        <v>0</v>
      </c>
      <c r="AK460" s="88">
        <f>SUMIF(月間集計シート!$M$92:$M$111,$G460,月間集計シート!T$92:T$111)*AK$2</f>
        <v>0</v>
      </c>
      <c r="AL460" s="88">
        <f>SUMIF(月間集計シート!$M$113:$M$132,$G460,月間集計シート!N$113:N$132)*AL$2</f>
        <v>0</v>
      </c>
      <c r="AM460" s="88">
        <f>SUMIF(月間集計シート!$M$113:$M$132,$G460,月間集計シート!O$113:O$132)*AM$2</f>
        <v>0</v>
      </c>
      <c r="AN460" s="88">
        <f>SUMIF(月間集計シート!$M$113:$M$132,$G460,月間集計シート!P$113:P$132)*AN$2</f>
        <v>0</v>
      </c>
      <c r="AO460" s="88">
        <f>SUMIF(月間集計シート!$M$113:$M$132,$G460,月間集計シート!Q$113:Q$132)*AO$2</f>
        <v>0</v>
      </c>
      <c r="AP460" s="88">
        <f>SUMIF(月間集計シート!$M$113:$M$132,$G460,月間集計シート!R$113:R$132)*AP$2</f>
        <v>0</v>
      </c>
      <c r="AQ460" s="88">
        <f>SUMIF(月間集計シート!$M$113:$M$132,$G460,月間集計シート!S$113:S$132)*AQ$2</f>
        <v>0</v>
      </c>
      <c r="AR460" s="88">
        <f>SUMIF(月間集計シート!$M$113:$M$132,$G460,月間集計シート!T$113:T$132)*AR$2</f>
        <v>0</v>
      </c>
      <c r="AS460" s="88">
        <f>SUMIF(月間集計シート!$M$134:$M$153,$G460,月間集計シート!N$134:N$153)*AS$2</f>
        <v>0</v>
      </c>
      <c r="AT460" s="88">
        <f>SUMIF(月間集計シート!$M$134:$M$153,$G460,月間集計シート!O$134:O$153)*AT$2</f>
        <v>0</v>
      </c>
      <c r="AU460" s="88">
        <f>SUMIF(月間集計シート!$M$134:$M$153,$G460,月間集計シート!P$134:P$153)*AU$2</f>
        <v>0</v>
      </c>
      <c r="AV460" s="88">
        <f>SUMIF(月間集計シート!$M$134:$M$153,$G460,月間集計シート!Q$134:Q$153)*AV$2</f>
        <v>0</v>
      </c>
      <c r="AW460" s="88">
        <f>SUMIF(月間集計シート!$M$134:$M$153,$G460,月間集計シート!R$134:R$153)*AW$2</f>
        <v>0</v>
      </c>
      <c r="AX460" s="88">
        <f>SUMIF(月間集計シート!$M$134:$M$153,$G460,月間集計シート!S$134:S$153)*AX$2</f>
        <v>0</v>
      </c>
      <c r="AY460" s="88">
        <f>SUMIF(月間集計シート!$M$134:$M$153,$G460,月間集計シート!T$134:T$153)*AY$2</f>
        <v>0</v>
      </c>
    </row>
    <row r="461" spans="1:51" ht="14.25" thickBot="1">
      <c r="A461">
        <v>6</v>
      </c>
      <c r="B461" s="120">
        <f t="shared" si="238"/>
        <v>0</v>
      </c>
      <c r="C461" s="120" t="str">
        <f t="shared" si="239"/>
        <v/>
      </c>
      <c r="D461" s="137"/>
      <c r="E461" s="150" t="str">
        <f>工種!A28</f>
        <v>40106</v>
      </c>
      <c r="F461" s="119" t="str">
        <f>工種!B28</f>
        <v>テスト：総合評価設計書作成</v>
      </c>
      <c r="G461" s="116" t="str">
        <f t="shared" si="240"/>
        <v>040106</v>
      </c>
      <c r="H461" s="88">
        <f t="shared" si="194"/>
        <v>0</v>
      </c>
      <c r="I461" s="132"/>
      <c r="J461" s="88">
        <f>SUMIF(月間集計シート!$M$29:$M$48,$G461,月間集計シート!N$29:N$48)*J$2</f>
        <v>0</v>
      </c>
      <c r="K461" s="88">
        <f>SUMIF(月間集計シート!$M$29:$M$48,$G461,月間集計シート!O$29:O$48)*K$2</f>
        <v>0</v>
      </c>
      <c r="L461" s="88">
        <f>SUMIF(月間集計シート!$M$29:$M$48,$G461,月間集計シート!P$29:P$48)*L$2</f>
        <v>0</v>
      </c>
      <c r="M461" s="88">
        <f>SUMIF(月間集計シート!$M$29:$M$48,$G461,月間集計シート!Q$29:Q$48)*M$2</f>
        <v>0</v>
      </c>
      <c r="N461" s="88">
        <f>SUMIF(月間集計シート!$M$29:$M$48,$G461,月間集計シート!R$29:R$48)*N$2</f>
        <v>0</v>
      </c>
      <c r="O461" s="88">
        <f>SUMIF(月間集計シート!$M$29:$M$48,$G461,月間集計シート!S$29:S$48)*O$2</f>
        <v>0</v>
      </c>
      <c r="P461" s="88">
        <f>SUMIF(月間集計シート!$M$29:$M$48,$G461,月間集計シート!T$29:T$48)*P$2</f>
        <v>0</v>
      </c>
      <c r="Q461" s="88">
        <f>SUMIF(月間集計シート!$M$50:$M$69,$G461,月間集計シート!N$50:N$69)*Q$2</f>
        <v>0</v>
      </c>
      <c r="R461" s="88">
        <f>SUMIF(月間集計シート!$M$50:$M$69,$G461,月間集計シート!O$50:O$69)*R$2</f>
        <v>0</v>
      </c>
      <c r="S461" s="88">
        <f>SUMIF(月間集計シート!$M$50:$M$69,$G461,月間集計シート!P$50:P$69)*S$2</f>
        <v>0</v>
      </c>
      <c r="T461" s="88">
        <f>SUMIF(月間集計シート!$M$50:$M$69,$G461,月間集計シート!Q$50:Q$69)*T$2</f>
        <v>0</v>
      </c>
      <c r="U461" s="88">
        <f>SUMIF(月間集計シート!$M$50:$M$69,$G461,月間集計シート!R$50:R$69)*U$2</f>
        <v>0</v>
      </c>
      <c r="V461" s="88">
        <f>SUMIF(月間集計シート!$M$50:$M$69,$G461,月間集計シート!S$50:S$69)*V$2</f>
        <v>0</v>
      </c>
      <c r="W461" s="88">
        <f>SUMIF(月間集計シート!$M$50:$M$69,$G461,月間集計シート!T$50:T$69)*W$2</f>
        <v>0</v>
      </c>
      <c r="X461" s="88">
        <f>SUMIF(月間集計シート!$M$71:$M$90,$G461,月間集計シート!N$71:N$90)*X$2</f>
        <v>0</v>
      </c>
      <c r="Y461" s="88">
        <f>SUMIF(月間集計シート!$M$71:$M$90,$G461,月間集計シート!O$71:O$90)*Y$2</f>
        <v>0</v>
      </c>
      <c r="Z461" s="88">
        <f>SUMIF(月間集計シート!$M$71:$M$90,$G461,月間集計シート!P$71:P$90)*Z$2</f>
        <v>0</v>
      </c>
      <c r="AA461" s="88">
        <f>SUMIF(月間集計シート!$M$71:$M$90,$G461,月間集計シート!Q$71:Q$90)*AA$2</f>
        <v>0</v>
      </c>
      <c r="AB461" s="88">
        <f>SUMIF(月間集計シート!$M$71:$M$90,$G461,月間集計シート!R$71:R$90)*AB$2</f>
        <v>0</v>
      </c>
      <c r="AC461" s="88">
        <f>SUMIF(月間集計シート!$M$71:$M$90,$G461,月間集計シート!S$71:S$90)*AC$2</f>
        <v>0</v>
      </c>
      <c r="AD461" s="88">
        <f>SUMIF(月間集計シート!$M$71:$M$90,$G461,月間集計シート!T$71:T$90)*AD$2</f>
        <v>0</v>
      </c>
      <c r="AE461" s="88">
        <f>SUMIF(月間集計シート!$M$92:$M$111,$G461,月間集計シート!N$92:N$111)*AE$2</f>
        <v>0</v>
      </c>
      <c r="AF461" s="88">
        <f>SUMIF(月間集計シート!$M$92:$M$111,$G461,月間集計シート!O$92:O$111)*AF$2</f>
        <v>0</v>
      </c>
      <c r="AG461" s="88">
        <f>SUMIF(月間集計シート!$M$92:$M$111,$G461,月間集計シート!P$92:P$111)*AG$2</f>
        <v>0</v>
      </c>
      <c r="AH461" s="88">
        <f>SUMIF(月間集計シート!$M$92:$M$111,$G461,月間集計シート!Q$92:Q$111)*AH$2</f>
        <v>0</v>
      </c>
      <c r="AI461" s="88">
        <f>SUMIF(月間集計シート!$M$92:$M$111,$G461,月間集計シート!R$92:R$111)*AI$2</f>
        <v>0</v>
      </c>
      <c r="AJ461" s="88">
        <f>SUMIF(月間集計シート!$M$92:$M$111,$G461,月間集計シート!S$92:S$111)*AJ$2</f>
        <v>0</v>
      </c>
      <c r="AK461" s="88">
        <f>SUMIF(月間集計シート!$M$92:$M$111,$G461,月間集計シート!T$92:T$111)*AK$2</f>
        <v>0</v>
      </c>
      <c r="AL461" s="88">
        <f>SUMIF(月間集計シート!$M$113:$M$132,$G461,月間集計シート!N$113:N$132)*AL$2</f>
        <v>0</v>
      </c>
      <c r="AM461" s="88">
        <f>SUMIF(月間集計シート!$M$113:$M$132,$G461,月間集計シート!O$113:O$132)*AM$2</f>
        <v>0</v>
      </c>
      <c r="AN461" s="88">
        <f>SUMIF(月間集計シート!$M$113:$M$132,$G461,月間集計シート!P$113:P$132)*AN$2</f>
        <v>0</v>
      </c>
      <c r="AO461" s="88">
        <f>SUMIF(月間集計シート!$M$113:$M$132,$G461,月間集計シート!Q$113:Q$132)*AO$2</f>
        <v>0</v>
      </c>
      <c r="AP461" s="88">
        <f>SUMIF(月間集計シート!$M$113:$M$132,$G461,月間集計シート!R$113:R$132)*AP$2</f>
        <v>0</v>
      </c>
      <c r="AQ461" s="88">
        <f>SUMIF(月間集計シート!$M$113:$M$132,$G461,月間集計シート!S$113:S$132)*AQ$2</f>
        <v>0</v>
      </c>
      <c r="AR461" s="88">
        <f>SUMIF(月間集計シート!$M$113:$M$132,$G461,月間集計シート!T$113:T$132)*AR$2</f>
        <v>0</v>
      </c>
      <c r="AS461" s="88">
        <f>SUMIF(月間集計シート!$M$134:$M$153,$G461,月間集計シート!N$134:N$153)*AS$2</f>
        <v>0</v>
      </c>
      <c r="AT461" s="88">
        <f>SUMIF(月間集計シート!$M$134:$M$153,$G461,月間集計シート!O$134:O$153)*AT$2</f>
        <v>0</v>
      </c>
      <c r="AU461" s="88">
        <f>SUMIF(月間集計シート!$M$134:$M$153,$G461,月間集計シート!P$134:P$153)*AU$2</f>
        <v>0</v>
      </c>
      <c r="AV461" s="88">
        <f>SUMIF(月間集計シート!$M$134:$M$153,$G461,月間集計シート!Q$134:Q$153)*AV$2</f>
        <v>0</v>
      </c>
      <c r="AW461" s="88">
        <f>SUMIF(月間集計シート!$M$134:$M$153,$G461,月間集計シート!R$134:R$153)*AW$2</f>
        <v>0</v>
      </c>
      <c r="AX461" s="88">
        <f>SUMIF(月間集計シート!$M$134:$M$153,$G461,月間集計シート!S$134:S$153)*AX$2</f>
        <v>0</v>
      </c>
      <c r="AY461" s="88">
        <f>SUMIF(月間集計シート!$M$134:$M$153,$G461,月間集計シート!T$134:T$153)*AY$2</f>
        <v>0</v>
      </c>
    </row>
    <row r="462" spans="1:51" ht="14.25" thickBot="1">
      <c r="A462">
        <v>6</v>
      </c>
      <c r="B462" s="120">
        <f t="shared" si="238"/>
        <v>0</v>
      </c>
      <c r="C462" s="120" t="str">
        <f t="shared" si="239"/>
        <v/>
      </c>
      <c r="D462" s="137"/>
      <c r="E462" s="150" t="str">
        <f>工種!A29</f>
        <v>40107</v>
      </c>
      <c r="F462" s="119" t="str">
        <f>工種!B29</f>
        <v>テスト：評価報告書作成</v>
      </c>
      <c r="G462" s="116" t="str">
        <f t="shared" si="240"/>
        <v>040107</v>
      </c>
      <c r="H462" s="88">
        <f t="shared" si="194"/>
        <v>0</v>
      </c>
      <c r="I462" s="132"/>
      <c r="J462" s="88">
        <f>SUMIF(月間集計シート!$M$29:$M$48,$G462,月間集計シート!N$29:N$48)*J$2</f>
        <v>0</v>
      </c>
      <c r="K462" s="88">
        <f>SUMIF(月間集計シート!$M$29:$M$48,$G462,月間集計シート!O$29:O$48)*K$2</f>
        <v>0</v>
      </c>
      <c r="L462" s="88">
        <f>SUMIF(月間集計シート!$M$29:$M$48,$G462,月間集計シート!P$29:P$48)*L$2</f>
        <v>0</v>
      </c>
      <c r="M462" s="88">
        <f>SUMIF(月間集計シート!$M$29:$M$48,$G462,月間集計シート!Q$29:Q$48)*M$2</f>
        <v>0</v>
      </c>
      <c r="N462" s="88">
        <f>SUMIF(月間集計シート!$M$29:$M$48,$G462,月間集計シート!R$29:R$48)*N$2</f>
        <v>0</v>
      </c>
      <c r="O462" s="88">
        <f>SUMIF(月間集計シート!$M$29:$M$48,$G462,月間集計シート!S$29:S$48)*O$2</f>
        <v>0</v>
      </c>
      <c r="P462" s="88">
        <f>SUMIF(月間集計シート!$M$29:$M$48,$G462,月間集計シート!T$29:T$48)*P$2</f>
        <v>0</v>
      </c>
      <c r="Q462" s="88">
        <f>SUMIF(月間集計シート!$M$50:$M$69,$G462,月間集計シート!N$50:N$69)*Q$2</f>
        <v>0</v>
      </c>
      <c r="R462" s="88">
        <f>SUMIF(月間集計シート!$M$50:$M$69,$G462,月間集計シート!O$50:O$69)*R$2</f>
        <v>0</v>
      </c>
      <c r="S462" s="88">
        <f>SUMIF(月間集計シート!$M$50:$M$69,$G462,月間集計シート!P$50:P$69)*S$2</f>
        <v>0</v>
      </c>
      <c r="T462" s="88">
        <f>SUMIF(月間集計シート!$M$50:$M$69,$G462,月間集計シート!Q$50:Q$69)*T$2</f>
        <v>0</v>
      </c>
      <c r="U462" s="88">
        <f>SUMIF(月間集計シート!$M$50:$M$69,$G462,月間集計シート!R$50:R$69)*U$2</f>
        <v>0</v>
      </c>
      <c r="V462" s="88">
        <f>SUMIF(月間集計シート!$M$50:$M$69,$G462,月間集計シート!S$50:S$69)*V$2</f>
        <v>0</v>
      </c>
      <c r="W462" s="88">
        <f>SUMIF(月間集計シート!$M$50:$M$69,$G462,月間集計シート!T$50:T$69)*W$2</f>
        <v>0</v>
      </c>
      <c r="X462" s="88">
        <f>SUMIF(月間集計シート!$M$71:$M$90,$G462,月間集計シート!N$71:N$90)*X$2</f>
        <v>0</v>
      </c>
      <c r="Y462" s="88">
        <f>SUMIF(月間集計シート!$M$71:$M$90,$G462,月間集計シート!O$71:O$90)*Y$2</f>
        <v>0</v>
      </c>
      <c r="Z462" s="88">
        <f>SUMIF(月間集計シート!$M$71:$M$90,$G462,月間集計シート!P$71:P$90)*Z$2</f>
        <v>0</v>
      </c>
      <c r="AA462" s="88">
        <f>SUMIF(月間集計シート!$M$71:$M$90,$G462,月間集計シート!Q$71:Q$90)*AA$2</f>
        <v>0</v>
      </c>
      <c r="AB462" s="88">
        <f>SUMIF(月間集計シート!$M$71:$M$90,$G462,月間集計シート!R$71:R$90)*AB$2</f>
        <v>0</v>
      </c>
      <c r="AC462" s="88">
        <f>SUMIF(月間集計シート!$M$71:$M$90,$G462,月間集計シート!S$71:S$90)*AC$2</f>
        <v>0</v>
      </c>
      <c r="AD462" s="88">
        <f>SUMIF(月間集計シート!$M$71:$M$90,$G462,月間集計シート!T$71:T$90)*AD$2</f>
        <v>0</v>
      </c>
      <c r="AE462" s="88">
        <f>SUMIF(月間集計シート!$M$92:$M$111,$G462,月間集計シート!N$92:N$111)*AE$2</f>
        <v>0</v>
      </c>
      <c r="AF462" s="88">
        <f>SUMIF(月間集計シート!$M$92:$M$111,$G462,月間集計シート!O$92:O$111)*AF$2</f>
        <v>0</v>
      </c>
      <c r="AG462" s="88">
        <f>SUMIF(月間集計シート!$M$92:$M$111,$G462,月間集計シート!P$92:P$111)*AG$2</f>
        <v>0</v>
      </c>
      <c r="AH462" s="88">
        <f>SUMIF(月間集計シート!$M$92:$M$111,$G462,月間集計シート!Q$92:Q$111)*AH$2</f>
        <v>0</v>
      </c>
      <c r="AI462" s="88">
        <f>SUMIF(月間集計シート!$M$92:$M$111,$G462,月間集計シート!R$92:R$111)*AI$2</f>
        <v>0</v>
      </c>
      <c r="AJ462" s="88">
        <f>SUMIF(月間集計シート!$M$92:$M$111,$G462,月間集計シート!S$92:S$111)*AJ$2</f>
        <v>0</v>
      </c>
      <c r="AK462" s="88">
        <f>SUMIF(月間集計シート!$M$92:$M$111,$G462,月間集計シート!T$92:T$111)*AK$2</f>
        <v>0</v>
      </c>
      <c r="AL462" s="88">
        <f>SUMIF(月間集計シート!$M$113:$M$132,$G462,月間集計シート!N$113:N$132)*AL$2</f>
        <v>0</v>
      </c>
      <c r="AM462" s="88">
        <f>SUMIF(月間集計シート!$M$113:$M$132,$G462,月間集計シート!O$113:O$132)*AM$2</f>
        <v>0</v>
      </c>
      <c r="AN462" s="88">
        <f>SUMIF(月間集計シート!$M$113:$M$132,$G462,月間集計シート!P$113:P$132)*AN$2</f>
        <v>0</v>
      </c>
      <c r="AO462" s="88">
        <f>SUMIF(月間集計シート!$M$113:$M$132,$G462,月間集計シート!Q$113:Q$132)*AO$2</f>
        <v>0</v>
      </c>
      <c r="AP462" s="88">
        <f>SUMIF(月間集計シート!$M$113:$M$132,$G462,月間集計シート!R$113:R$132)*AP$2</f>
        <v>0</v>
      </c>
      <c r="AQ462" s="88">
        <f>SUMIF(月間集計シート!$M$113:$M$132,$G462,月間集計シート!S$113:S$132)*AQ$2</f>
        <v>0</v>
      </c>
      <c r="AR462" s="88">
        <f>SUMIF(月間集計シート!$M$113:$M$132,$G462,月間集計シート!T$113:T$132)*AR$2</f>
        <v>0</v>
      </c>
      <c r="AS462" s="88">
        <f>SUMIF(月間集計シート!$M$134:$M$153,$G462,月間集計シート!N$134:N$153)*AS$2</f>
        <v>0</v>
      </c>
      <c r="AT462" s="88">
        <f>SUMIF(月間集計シート!$M$134:$M$153,$G462,月間集計シート!O$134:O$153)*AT$2</f>
        <v>0</v>
      </c>
      <c r="AU462" s="88">
        <f>SUMIF(月間集計シート!$M$134:$M$153,$G462,月間集計シート!P$134:P$153)*AU$2</f>
        <v>0</v>
      </c>
      <c r="AV462" s="88">
        <f>SUMIF(月間集計シート!$M$134:$M$153,$G462,月間集計シート!Q$134:Q$153)*AV$2</f>
        <v>0</v>
      </c>
      <c r="AW462" s="88">
        <f>SUMIF(月間集計シート!$M$134:$M$153,$G462,月間集計シート!R$134:R$153)*AW$2</f>
        <v>0</v>
      </c>
      <c r="AX462" s="88">
        <f>SUMIF(月間集計シート!$M$134:$M$153,$G462,月間集計シート!S$134:S$153)*AX$2</f>
        <v>0</v>
      </c>
      <c r="AY462" s="88">
        <f>SUMIF(月間集計シート!$M$134:$M$153,$G462,月間集計シート!T$134:T$153)*AY$2</f>
        <v>0</v>
      </c>
    </row>
    <row r="463" spans="1:51" ht="14.25" thickBot="1">
      <c r="A463">
        <v>6</v>
      </c>
      <c r="B463" s="120">
        <f t="shared" si="238"/>
        <v>0</v>
      </c>
      <c r="C463" s="120" t="str">
        <f t="shared" si="239"/>
        <v/>
      </c>
      <c r="D463" s="137"/>
      <c r="E463" s="150" t="str">
        <f>工種!A30</f>
        <v>40108</v>
      </c>
      <c r="F463" s="119" t="str">
        <f>工種!B30</f>
        <v>テスト：総合評価実施</v>
      </c>
      <c r="G463" s="116" t="str">
        <f t="shared" si="240"/>
        <v>040108</v>
      </c>
      <c r="H463" s="88">
        <f t="shared" si="194"/>
        <v>0</v>
      </c>
      <c r="I463" s="132"/>
      <c r="J463" s="88">
        <f>SUMIF(月間集計シート!$M$29:$M$48,$G463,月間集計シート!N$29:N$48)*J$2</f>
        <v>0</v>
      </c>
      <c r="K463" s="88">
        <f>SUMIF(月間集計シート!$M$29:$M$48,$G463,月間集計シート!O$29:O$48)*K$2</f>
        <v>0</v>
      </c>
      <c r="L463" s="88">
        <f>SUMIF(月間集計シート!$M$29:$M$48,$G463,月間集計シート!P$29:P$48)*L$2</f>
        <v>0</v>
      </c>
      <c r="M463" s="88">
        <f>SUMIF(月間集計シート!$M$29:$M$48,$G463,月間集計シート!Q$29:Q$48)*M$2</f>
        <v>0</v>
      </c>
      <c r="N463" s="88">
        <f>SUMIF(月間集計シート!$M$29:$M$48,$G463,月間集計シート!R$29:R$48)*N$2</f>
        <v>0</v>
      </c>
      <c r="O463" s="88">
        <f>SUMIF(月間集計シート!$M$29:$M$48,$G463,月間集計シート!S$29:S$48)*O$2</f>
        <v>0</v>
      </c>
      <c r="P463" s="88">
        <f>SUMIF(月間集計シート!$M$29:$M$48,$G463,月間集計シート!T$29:T$48)*P$2</f>
        <v>0</v>
      </c>
      <c r="Q463" s="88">
        <f>SUMIF(月間集計シート!$M$50:$M$69,$G463,月間集計シート!N$50:N$69)*Q$2</f>
        <v>0</v>
      </c>
      <c r="R463" s="88">
        <f>SUMIF(月間集計シート!$M$50:$M$69,$G463,月間集計シート!O$50:O$69)*R$2</f>
        <v>0</v>
      </c>
      <c r="S463" s="88">
        <f>SUMIF(月間集計シート!$M$50:$M$69,$G463,月間集計シート!P$50:P$69)*S$2</f>
        <v>0</v>
      </c>
      <c r="T463" s="88">
        <f>SUMIF(月間集計シート!$M$50:$M$69,$G463,月間集計シート!Q$50:Q$69)*T$2</f>
        <v>0</v>
      </c>
      <c r="U463" s="88">
        <f>SUMIF(月間集計シート!$M$50:$M$69,$G463,月間集計シート!R$50:R$69)*U$2</f>
        <v>0</v>
      </c>
      <c r="V463" s="88">
        <f>SUMIF(月間集計シート!$M$50:$M$69,$G463,月間集計シート!S$50:S$69)*V$2</f>
        <v>0</v>
      </c>
      <c r="W463" s="88">
        <f>SUMIF(月間集計シート!$M$50:$M$69,$G463,月間集計シート!T$50:T$69)*W$2</f>
        <v>0</v>
      </c>
      <c r="X463" s="88">
        <f>SUMIF(月間集計シート!$M$71:$M$90,$G463,月間集計シート!N$71:N$90)*X$2</f>
        <v>0</v>
      </c>
      <c r="Y463" s="88">
        <f>SUMIF(月間集計シート!$M$71:$M$90,$G463,月間集計シート!O$71:O$90)*Y$2</f>
        <v>0</v>
      </c>
      <c r="Z463" s="88">
        <f>SUMIF(月間集計シート!$M$71:$M$90,$G463,月間集計シート!P$71:P$90)*Z$2</f>
        <v>0</v>
      </c>
      <c r="AA463" s="88">
        <f>SUMIF(月間集計シート!$M$71:$M$90,$G463,月間集計シート!Q$71:Q$90)*AA$2</f>
        <v>0</v>
      </c>
      <c r="AB463" s="88">
        <f>SUMIF(月間集計シート!$M$71:$M$90,$G463,月間集計シート!R$71:R$90)*AB$2</f>
        <v>0</v>
      </c>
      <c r="AC463" s="88">
        <f>SUMIF(月間集計シート!$M$71:$M$90,$G463,月間集計シート!S$71:S$90)*AC$2</f>
        <v>0</v>
      </c>
      <c r="AD463" s="88">
        <f>SUMIF(月間集計シート!$M$71:$M$90,$G463,月間集計シート!T$71:T$90)*AD$2</f>
        <v>0</v>
      </c>
      <c r="AE463" s="88">
        <f>SUMIF(月間集計シート!$M$92:$M$111,$G463,月間集計シート!N$92:N$111)*AE$2</f>
        <v>0</v>
      </c>
      <c r="AF463" s="88">
        <f>SUMIF(月間集計シート!$M$92:$M$111,$G463,月間集計シート!O$92:O$111)*AF$2</f>
        <v>0</v>
      </c>
      <c r="AG463" s="88">
        <f>SUMIF(月間集計シート!$M$92:$M$111,$G463,月間集計シート!P$92:P$111)*AG$2</f>
        <v>0</v>
      </c>
      <c r="AH463" s="88">
        <f>SUMIF(月間集計シート!$M$92:$M$111,$G463,月間集計シート!Q$92:Q$111)*AH$2</f>
        <v>0</v>
      </c>
      <c r="AI463" s="88">
        <f>SUMIF(月間集計シート!$M$92:$M$111,$G463,月間集計シート!R$92:R$111)*AI$2</f>
        <v>0</v>
      </c>
      <c r="AJ463" s="88">
        <f>SUMIF(月間集計シート!$M$92:$M$111,$G463,月間集計シート!S$92:S$111)*AJ$2</f>
        <v>0</v>
      </c>
      <c r="AK463" s="88">
        <f>SUMIF(月間集計シート!$M$92:$M$111,$G463,月間集計シート!T$92:T$111)*AK$2</f>
        <v>0</v>
      </c>
      <c r="AL463" s="88">
        <f>SUMIF(月間集計シート!$M$113:$M$132,$G463,月間集計シート!N$113:N$132)*AL$2</f>
        <v>0</v>
      </c>
      <c r="AM463" s="88">
        <f>SUMIF(月間集計シート!$M$113:$M$132,$G463,月間集計シート!O$113:O$132)*AM$2</f>
        <v>0</v>
      </c>
      <c r="AN463" s="88">
        <f>SUMIF(月間集計シート!$M$113:$M$132,$G463,月間集計シート!P$113:P$132)*AN$2</f>
        <v>0</v>
      </c>
      <c r="AO463" s="88">
        <f>SUMIF(月間集計シート!$M$113:$M$132,$G463,月間集計シート!Q$113:Q$132)*AO$2</f>
        <v>0</v>
      </c>
      <c r="AP463" s="88">
        <f>SUMIF(月間集計シート!$M$113:$M$132,$G463,月間集計シート!R$113:R$132)*AP$2</f>
        <v>0</v>
      </c>
      <c r="AQ463" s="88">
        <f>SUMIF(月間集計シート!$M$113:$M$132,$G463,月間集計シート!S$113:S$132)*AQ$2</f>
        <v>0</v>
      </c>
      <c r="AR463" s="88">
        <f>SUMIF(月間集計シート!$M$113:$M$132,$G463,月間集計シート!T$113:T$132)*AR$2</f>
        <v>0</v>
      </c>
      <c r="AS463" s="88">
        <f>SUMIF(月間集計シート!$M$134:$M$153,$G463,月間集計シート!N$134:N$153)*AS$2</f>
        <v>0</v>
      </c>
      <c r="AT463" s="88">
        <f>SUMIF(月間集計シート!$M$134:$M$153,$G463,月間集計シート!O$134:O$153)*AT$2</f>
        <v>0</v>
      </c>
      <c r="AU463" s="88">
        <f>SUMIF(月間集計シート!$M$134:$M$153,$G463,月間集計シート!P$134:P$153)*AU$2</f>
        <v>0</v>
      </c>
      <c r="AV463" s="88">
        <f>SUMIF(月間集計シート!$M$134:$M$153,$G463,月間集計シート!Q$134:Q$153)*AV$2</f>
        <v>0</v>
      </c>
      <c r="AW463" s="88">
        <f>SUMIF(月間集計シート!$M$134:$M$153,$G463,月間集計シート!R$134:R$153)*AW$2</f>
        <v>0</v>
      </c>
      <c r="AX463" s="88">
        <f>SUMIF(月間集計シート!$M$134:$M$153,$G463,月間集計シート!S$134:S$153)*AX$2</f>
        <v>0</v>
      </c>
      <c r="AY463" s="88">
        <f>SUMIF(月間集計シート!$M$134:$M$153,$G463,月間集計シート!T$134:T$153)*AY$2</f>
        <v>0</v>
      </c>
    </row>
    <row r="464" spans="1:51" ht="14.25" thickBot="1">
      <c r="A464">
        <v>6</v>
      </c>
      <c r="B464" s="120">
        <f t="shared" si="238"/>
        <v>0</v>
      </c>
      <c r="C464" s="120" t="str">
        <f t="shared" si="239"/>
        <v/>
      </c>
      <c r="D464" s="137"/>
      <c r="E464" s="150" t="str">
        <f>工種!A31</f>
        <v>40109</v>
      </c>
      <c r="F464" s="119" t="str">
        <f>工種!B31</f>
        <v>テスト：打合せ</v>
      </c>
      <c r="G464" s="116" t="str">
        <f t="shared" si="240"/>
        <v>040109</v>
      </c>
      <c r="H464" s="88">
        <f t="shared" si="194"/>
        <v>0</v>
      </c>
      <c r="I464" s="132"/>
      <c r="J464" s="88">
        <f>SUMIF(月間集計シート!$M$29:$M$48,$G464,月間集計シート!N$29:N$48)*J$2</f>
        <v>0</v>
      </c>
      <c r="K464" s="88">
        <f>SUMIF(月間集計シート!$M$29:$M$48,$G464,月間集計シート!O$29:O$48)*K$2</f>
        <v>0</v>
      </c>
      <c r="L464" s="88">
        <f>SUMIF(月間集計シート!$M$29:$M$48,$G464,月間集計シート!P$29:P$48)*L$2</f>
        <v>0</v>
      </c>
      <c r="M464" s="88">
        <f>SUMIF(月間集計シート!$M$29:$M$48,$G464,月間集計シート!Q$29:Q$48)*M$2</f>
        <v>0</v>
      </c>
      <c r="N464" s="88">
        <f>SUMIF(月間集計シート!$M$29:$M$48,$G464,月間集計シート!R$29:R$48)*N$2</f>
        <v>0</v>
      </c>
      <c r="O464" s="88">
        <f>SUMIF(月間集計シート!$M$29:$M$48,$G464,月間集計シート!S$29:S$48)*O$2</f>
        <v>0</v>
      </c>
      <c r="P464" s="88">
        <f>SUMIF(月間集計シート!$M$29:$M$48,$G464,月間集計シート!T$29:T$48)*P$2</f>
        <v>0</v>
      </c>
      <c r="Q464" s="88">
        <f>SUMIF(月間集計シート!$M$50:$M$69,$G464,月間集計シート!N$50:N$69)*Q$2</f>
        <v>0</v>
      </c>
      <c r="R464" s="88">
        <f>SUMIF(月間集計シート!$M$50:$M$69,$G464,月間集計シート!O$50:O$69)*R$2</f>
        <v>0</v>
      </c>
      <c r="S464" s="88">
        <f>SUMIF(月間集計シート!$M$50:$M$69,$G464,月間集計シート!P$50:P$69)*S$2</f>
        <v>0</v>
      </c>
      <c r="T464" s="88">
        <f>SUMIF(月間集計シート!$M$50:$M$69,$G464,月間集計シート!Q$50:Q$69)*T$2</f>
        <v>0</v>
      </c>
      <c r="U464" s="88">
        <f>SUMIF(月間集計シート!$M$50:$M$69,$G464,月間集計シート!R$50:R$69)*U$2</f>
        <v>0</v>
      </c>
      <c r="V464" s="88">
        <f>SUMIF(月間集計シート!$M$50:$M$69,$G464,月間集計シート!S$50:S$69)*V$2</f>
        <v>0</v>
      </c>
      <c r="W464" s="88">
        <f>SUMIF(月間集計シート!$M$50:$M$69,$G464,月間集計シート!T$50:T$69)*W$2</f>
        <v>0</v>
      </c>
      <c r="X464" s="88">
        <f>SUMIF(月間集計シート!$M$71:$M$90,$G464,月間集計シート!N$71:N$90)*X$2</f>
        <v>0</v>
      </c>
      <c r="Y464" s="88">
        <f>SUMIF(月間集計シート!$M$71:$M$90,$G464,月間集計シート!O$71:O$90)*Y$2</f>
        <v>0</v>
      </c>
      <c r="Z464" s="88">
        <f>SUMIF(月間集計シート!$M$71:$M$90,$G464,月間集計シート!P$71:P$90)*Z$2</f>
        <v>0</v>
      </c>
      <c r="AA464" s="88">
        <f>SUMIF(月間集計シート!$M$71:$M$90,$G464,月間集計シート!Q$71:Q$90)*AA$2</f>
        <v>0</v>
      </c>
      <c r="AB464" s="88">
        <f>SUMIF(月間集計シート!$M$71:$M$90,$G464,月間集計シート!R$71:R$90)*AB$2</f>
        <v>0</v>
      </c>
      <c r="AC464" s="88">
        <f>SUMIF(月間集計シート!$M$71:$M$90,$G464,月間集計シート!S$71:S$90)*AC$2</f>
        <v>0</v>
      </c>
      <c r="AD464" s="88">
        <f>SUMIF(月間集計シート!$M$71:$M$90,$G464,月間集計シート!T$71:T$90)*AD$2</f>
        <v>0</v>
      </c>
      <c r="AE464" s="88">
        <f>SUMIF(月間集計シート!$M$92:$M$111,$G464,月間集計シート!N$92:N$111)*AE$2</f>
        <v>0</v>
      </c>
      <c r="AF464" s="88">
        <f>SUMIF(月間集計シート!$M$92:$M$111,$G464,月間集計シート!O$92:O$111)*AF$2</f>
        <v>0</v>
      </c>
      <c r="AG464" s="88">
        <f>SUMIF(月間集計シート!$M$92:$M$111,$G464,月間集計シート!P$92:P$111)*AG$2</f>
        <v>0</v>
      </c>
      <c r="AH464" s="88">
        <f>SUMIF(月間集計シート!$M$92:$M$111,$G464,月間集計シート!Q$92:Q$111)*AH$2</f>
        <v>0</v>
      </c>
      <c r="AI464" s="88">
        <f>SUMIF(月間集計シート!$M$92:$M$111,$G464,月間集計シート!R$92:R$111)*AI$2</f>
        <v>0</v>
      </c>
      <c r="AJ464" s="88">
        <f>SUMIF(月間集計シート!$M$92:$M$111,$G464,月間集計シート!S$92:S$111)*AJ$2</f>
        <v>0</v>
      </c>
      <c r="AK464" s="88">
        <f>SUMIF(月間集計シート!$M$92:$M$111,$G464,月間集計シート!T$92:T$111)*AK$2</f>
        <v>0</v>
      </c>
      <c r="AL464" s="88">
        <f>SUMIF(月間集計シート!$M$113:$M$132,$G464,月間集計シート!N$113:N$132)*AL$2</f>
        <v>0</v>
      </c>
      <c r="AM464" s="88">
        <f>SUMIF(月間集計シート!$M$113:$M$132,$G464,月間集計シート!O$113:O$132)*AM$2</f>
        <v>0</v>
      </c>
      <c r="AN464" s="88">
        <f>SUMIF(月間集計シート!$M$113:$M$132,$G464,月間集計シート!P$113:P$132)*AN$2</f>
        <v>0</v>
      </c>
      <c r="AO464" s="88">
        <f>SUMIF(月間集計シート!$M$113:$M$132,$G464,月間集計シート!Q$113:Q$132)*AO$2</f>
        <v>0</v>
      </c>
      <c r="AP464" s="88">
        <f>SUMIF(月間集計シート!$M$113:$M$132,$G464,月間集計シート!R$113:R$132)*AP$2</f>
        <v>0</v>
      </c>
      <c r="AQ464" s="88">
        <f>SUMIF(月間集計シート!$M$113:$M$132,$G464,月間集計シート!S$113:S$132)*AQ$2</f>
        <v>0</v>
      </c>
      <c r="AR464" s="88">
        <f>SUMIF(月間集計シート!$M$113:$M$132,$G464,月間集計シート!T$113:T$132)*AR$2</f>
        <v>0</v>
      </c>
      <c r="AS464" s="88">
        <f>SUMIF(月間集計シート!$M$134:$M$153,$G464,月間集計シート!N$134:N$153)*AS$2</f>
        <v>0</v>
      </c>
      <c r="AT464" s="88">
        <f>SUMIF(月間集計シート!$M$134:$M$153,$G464,月間集計シート!O$134:O$153)*AT$2</f>
        <v>0</v>
      </c>
      <c r="AU464" s="88">
        <f>SUMIF(月間集計シート!$M$134:$M$153,$G464,月間集計シート!P$134:P$153)*AU$2</f>
        <v>0</v>
      </c>
      <c r="AV464" s="88">
        <f>SUMIF(月間集計シート!$M$134:$M$153,$G464,月間集計シート!Q$134:Q$153)*AV$2</f>
        <v>0</v>
      </c>
      <c r="AW464" s="88">
        <f>SUMIF(月間集計シート!$M$134:$M$153,$G464,月間集計シート!R$134:R$153)*AW$2</f>
        <v>0</v>
      </c>
      <c r="AX464" s="88">
        <f>SUMIF(月間集計シート!$M$134:$M$153,$G464,月間集計シート!S$134:S$153)*AX$2</f>
        <v>0</v>
      </c>
      <c r="AY464" s="88">
        <f>SUMIF(月間集計シート!$M$134:$M$153,$G464,月間集計シート!T$134:T$153)*AY$2</f>
        <v>0</v>
      </c>
    </row>
    <row r="465" spans="1:51" ht="14.25" thickBot="1">
      <c r="A465">
        <v>6</v>
      </c>
      <c r="B465" s="120">
        <f t="shared" si="238"/>
        <v>0</v>
      </c>
      <c r="C465" s="120" t="str">
        <f t="shared" si="239"/>
        <v/>
      </c>
      <c r="D465" s="137"/>
      <c r="E465" s="150" t="str">
        <f>工種!A32</f>
        <v>40110</v>
      </c>
      <c r="F465" s="119" t="str">
        <f>工種!B32</f>
        <v>テスト：レビュー</v>
      </c>
      <c r="G465" s="116" t="str">
        <f t="shared" si="240"/>
        <v>040110</v>
      </c>
      <c r="H465" s="88">
        <f t="shared" si="194"/>
        <v>0</v>
      </c>
      <c r="I465" s="132"/>
      <c r="J465" s="88">
        <f>SUMIF(月間集計シート!$M$29:$M$48,$G465,月間集計シート!N$29:N$48)*J$2</f>
        <v>0</v>
      </c>
      <c r="K465" s="88">
        <f>SUMIF(月間集計シート!$M$29:$M$48,$G465,月間集計シート!O$29:O$48)*K$2</f>
        <v>0</v>
      </c>
      <c r="L465" s="88">
        <f>SUMIF(月間集計シート!$M$29:$M$48,$G465,月間集計シート!P$29:P$48)*L$2</f>
        <v>0</v>
      </c>
      <c r="M465" s="88">
        <f>SUMIF(月間集計シート!$M$29:$M$48,$G465,月間集計シート!Q$29:Q$48)*M$2</f>
        <v>0</v>
      </c>
      <c r="N465" s="88">
        <f>SUMIF(月間集計シート!$M$29:$M$48,$G465,月間集計シート!R$29:R$48)*N$2</f>
        <v>0</v>
      </c>
      <c r="O465" s="88">
        <f>SUMIF(月間集計シート!$M$29:$M$48,$G465,月間集計シート!S$29:S$48)*O$2</f>
        <v>0</v>
      </c>
      <c r="P465" s="88">
        <f>SUMIF(月間集計シート!$M$29:$M$48,$G465,月間集計シート!T$29:T$48)*P$2</f>
        <v>0</v>
      </c>
      <c r="Q465" s="88">
        <f>SUMIF(月間集計シート!$M$50:$M$69,$G465,月間集計シート!N$50:N$69)*Q$2</f>
        <v>0</v>
      </c>
      <c r="R465" s="88">
        <f>SUMIF(月間集計シート!$M$50:$M$69,$G465,月間集計シート!O$50:O$69)*R$2</f>
        <v>0</v>
      </c>
      <c r="S465" s="88">
        <f>SUMIF(月間集計シート!$M$50:$M$69,$G465,月間集計シート!P$50:P$69)*S$2</f>
        <v>0</v>
      </c>
      <c r="T465" s="88">
        <f>SUMIF(月間集計シート!$M$50:$M$69,$G465,月間集計シート!Q$50:Q$69)*T$2</f>
        <v>0</v>
      </c>
      <c r="U465" s="88">
        <f>SUMIF(月間集計シート!$M$50:$M$69,$G465,月間集計シート!R$50:R$69)*U$2</f>
        <v>0</v>
      </c>
      <c r="V465" s="88">
        <f>SUMIF(月間集計シート!$M$50:$M$69,$G465,月間集計シート!S$50:S$69)*V$2</f>
        <v>0</v>
      </c>
      <c r="W465" s="88">
        <f>SUMIF(月間集計シート!$M$50:$M$69,$G465,月間集計シート!T$50:T$69)*W$2</f>
        <v>0</v>
      </c>
      <c r="X465" s="88">
        <f>SUMIF(月間集計シート!$M$71:$M$90,$G465,月間集計シート!N$71:N$90)*X$2</f>
        <v>0</v>
      </c>
      <c r="Y465" s="88">
        <f>SUMIF(月間集計シート!$M$71:$M$90,$G465,月間集計シート!O$71:O$90)*Y$2</f>
        <v>0</v>
      </c>
      <c r="Z465" s="88">
        <f>SUMIF(月間集計シート!$M$71:$M$90,$G465,月間集計シート!P$71:P$90)*Z$2</f>
        <v>0</v>
      </c>
      <c r="AA465" s="88">
        <f>SUMIF(月間集計シート!$M$71:$M$90,$G465,月間集計シート!Q$71:Q$90)*AA$2</f>
        <v>0</v>
      </c>
      <c r="AB465" s="88">
        <f>SUMIF(月間集計シート!$M$71:$M$90,$G465,月間集計シート!R$71:R$90)*AB$2</f>
        <v>0</v>
      </c>
      <c r="AC465" s="88">
        <f>SUMIF(月間集計シート!$M$71:$M$90,$G465,月間集計シート!S$71:S$90)*AC$2</f>
        <v>0</v>
      </c>
      <c r="AD465" s="88">
        <f>SUMIF(月間集計シート!$M$71:$M$90,$G465,月間集計シート!T$71:T$90)*AD$2</f>
        <v>0</v>
      </c>
      <c r="AE465" s="88">
        <f>SUMIF(月間集計シート!$M$92:$M$111,$G465,月間集計シート!N$92:N$111)*AE$2</f>
        <v>0</v>
      </c>
      <c r="AF465" s="88">
        <f>SUMIF(月間集計シート!$M$92:$M$111,$G465,月間集計シート!O$92:O$111)*AF$2</f>
        <v>0</v>
      </c>
      <c r="AG465" s="88">
        <f>SUMIF(月間集計シート!$M$92:$M$111,$G465,月間集計シート!P$92:P$111)*AG$2</f>
        <v>0</v>
      </c>
      <c r="AH465" s="88">
        <f>SUMIF(月間集計シート!$M$92:$M$111,$G465,月間集計シート!Q$92:Q$111)*AH$2</f>
        <v>0</v>
      </c>
      <c r="AI465" s="88">
        <f>SUMIF(月間集計シート!$M$92:$M$111,$G465,月間集計シート!R$92:R$111)*AI$2</f>
        <v>0</v>
      </c>
      <c r="AJ465" s="88">
        <f>SUMIF(月間集計シート!$M$92:$M$111,$G465,月間集計シート!S$92:S$111)*AJ$2</f>
        <v>0</v>
      </c>
      <c r="AK465" s="88">
        <f>SUMIF(月間集計シート!$M$92:$M$111,$G465,月間集計シート!T$92:T$111)*AK$2</f>
        <v>0</v>
      </c>
      <c r="AL465" s="88">
        <f>SUMIF(月間集計シート!$M$113:$M$132,$G465,月間集計シート!N$113:N$132)*AL$2</f>
        <v>0</v>
      </c>
      <c r="AM465" s="88">
        <f>SUMIF(月間集計シート!$M$113:$M$132,$G465,月間集計シート!O$113:O$132)*AM$2</f>
        <v>0</v>
      </c>
      <c r="AN465" s="88">
        <f>SUMIF(月間集計シート!$M$113:$M$132,$G465,月間集計シート!P$113:P$132)*AN$2</f>
        <v>0</v>
      </c>
      <c r="AO465" s="88">
        <f>SUMIF(月間集計シート!$M$113:$M$132,$G465,月間集計シート!Q$113:Q$132)*AO$2</f>
        <v>0</v>
      </c>
      <c r="AP465" s="88">
        <f>SUMIF(月間集計シート!$M$113:$M$132,$G465,月間集計シート!R$113:R$132)*AP$2</f>
        <v>0</v>
      </c>
      <c r="AQ465" s="88">
        <f>SUMIF(月間集計シート!$M$113:$M$132,$G465,月間集計シート!S$113:S$132)*AQ$2</f>
        <v>0</v>
      </c>
      <c r="AR465" s="88">
        <f>SUMIF(月間集計シート!$M$113:$M$132,$G465,月間集計シート!T$113:T$132)*AR$2</f>
        <v>0</v>
      </c>
      <c r="AS465" s="88">
        <f>SUMIF(月間集計シート!$M$134:$M$153,$G465,月間集計シート!N$134:N$153)*AS$2</f>
        <v>0</v>
      </c>
      <c r="AT465" s="88">
        <f>SUMIF(月間集計シート!$M$134:$M$153,$G465,月間集計シート!O$134:O$153)*AT$2</f>
        <v>0</v>
      </c>
      <c r="AU465" s="88">
        <f>SUMIF(月間集計シート!$M$134:$M$153,$G465,月間集計シート!P$134:P$153)*AU$2</f>
        <v>0</v>
      </c>
      <c r="AV465" s="88">
        <f>SUMIF(月間集計シート!$M$134:$M$153,$G465,月間集計シート!Q$134:Q$153)*AV$2</f>
        <v>0</v>
      </c>
      <c r="AW465" s="88">
        <f>SUMIF(月間集計シート!$M$134:$M$153,$G465,月間集計シート!R$134:R$153)*AW$2</f>
        <v>0</v>
      </c>
      <c r="AX465" s="88">
        <f>SUMIF(月間集計シート!$M$134:$M$153,$G465,月間集計シート!S$134:S$153)*AX$2</f>
        <v>0</v>
      </c>
      <c r="AY465" s="88">
        <f>SUMIF(月間集計シート!$M$134:$M$153,$G465,月間集計シート!T$134:T$153)*AY$2</f>
        <v>0</v>
      </c>
    </row>
    <row r="466" spans="1:51" ht="14.25" thickBot="1">
      <c r="A466">
        <v>6</v>
      </c>
      <c r="B466" s="120">
        <f t="shared" si="238"/>
        <v>0</v>
      </c>
      <c r="C466" s="120" t="str">
        <f t="shared" si="239"/>
        <v/>
      </c>
      <c r="D466" s="137"/>
      <c r="E466" s="150" t="str">
        <f>工種!A33</f>
        <v>40111</v>
      </c>
      <c r="F466" s="119" t="str">
        <f>工種!B33</f>
        <v>テスト：PG修正（手戻り分）</v>
      </c>
      <c r="G466" s="116" t="str">
        <f t="shared" si="240"/>
        <v>040111</v>
      </c>
      <c r="H466" s="88">
        <f t="shared" si="194"/>
        <v>0</v>
      </c>
      <c r="I466" s="132"/>
      <c r="J466" s="88">
        <f>SUMIF(月間集計シート!$M$29:$M$48,$G466,月間集計シート!N$29:N$48)*J$2</f>
        <v>0</v>
      </c>
      <c r="K466" s="88">
        <f>SUMIF(月間集計シート!$M$29:$M$48,$G466,月間集計シート!O$29:O$48)*K$2</f>
        <v>0</v>
      </c>
      <c r="L466" s="88">
        <f>SUMIF(月間集計シート!$M$29:$M$48,$G466,月間集計シート!P$29:P$48)*L$2</f>
        <v>0</v>
      </c>
      <c r="M466" s="88">
        <f>SUMIF(月間集計シート!$M$29:$M$48,$G466,月間集計シート!Q$29:Q$48)*M$2</f>
        <v>0</v>
      </c>
      <c r="N466" s="88">
        <f>SUMIF(月間集計シート!$M$29:$M$48,$G466,月間集計シート!R$29:R$48)*N$2</f>
        <v>0</v>
      </c>
      <c r="O466" s="88">
        <f>SUMIF(月間集計シート!$M$29:$M$48,$G466,月間集計シート!S$29:S$48)*O$2</f>
        <v>0</v>
      </c>
      <c r="P466" s="88">
        <f>SUMIF(月間集計シート!$M$29:$M$48,$G466,月間集計シート!T$29:T$48)*P$2</f>
        <v>0</v>
      </c>
      <c r="Q466" s="88">
        <f>SUMIF(月間集計シート!$M$50:$M$69,$G466,月間集計シート!N$50:N$69)*Q$2</f>
        <v>0</v>
      </c>
      <c r="R466" s="88">
        <f>SUMIF(月間集計シート!$M$50:$M$69,$G466,月間集計シート!O$50:O$69)*R$2</f>
        <v>0</v>
      </c>
      <c r="S466" s="88">
        <f>SUMIF(月間集計シート!$M$50:$M$69,$G466,月間集計シート!P$50:P$69)*S$2</f>
        <v>0</v>
      </c>
      <c r="T466" s="88">
        <f>SUMIF(月間集計シート!$M$50:$M$69,$G466,月間集計シート!Q$50:Q$69)*T$2</f>
        <v>0</v>
      </c>
      <c r="U466" s="88">
        <f>SUMIF(月間集計シート!$M$50:$M$69,$G466,月間集計シート!R$50:R$69)*U$2</f>
        <v>0</v>
      </c>
      <c r="V466" s="88">
        <f>SUMIF(月間集計シート!$M$50:$M$69,$G466,月間集計シート!S$50:S$69)*V$2</f>
        <v>0</v>
      </c>
      <c r="W466" s="88">
        <f>SUMIF(月間集計シート!$M$50:$M$69,$G466,月間集計シート!T$50:T$69)*W$2</f>
        <v>0</v>
      </c>
      <c r="X466" s="88">
        <f>SUMIF(月間集計シート!$M$71:$M$90,$G466,月間集計シート!N$71:N$90)*X$2</f>
        <v>0</v>
      </c>
      <c r="Y466" s="88">
        <f>SUMIF(月間集計シート!$M$71:$M$90,$G466,月間集計シート!O$71:O$90)*Y$2</f>
        <v>0</v>
      </c>
      <c r="Z466" s="88">
        <f>SUMIF(月間集計シート!$M$71:$M$90,$G466,月間集計シート!P$71:P$90)*Z$2</f>
        <v>0</v>
      </c>
      <c r="AA466" s="88">
        <f>SUMIF(月間集計シート!$M$71:$M$90,$G466,月間集計シート!Q$71:Q$90)*AA$2</f>
        <v>0</v>
      </c>
      <c r="AB466" s="88">
        <f>SUMIF(月間集計シート!$M$71:$M$90,$G466,月間集計シート!R$71:R$90)*AB$2</f>
        <v>0</v>
      </c>
      <c r="AC466" s="88">
        <f>SUMIF(月間集計シート!$M$71:$M$90,$G466,月間集計シート!S$71:S$90)*AC$2</f>
        <v>0</v>
      </c>
      <c r="AD466" s="88">
        <f>SUMIF(月間集計シート!$M$71:$M$90,$G466,月間集計シート!T$71:T$90)*AD$2</f>
        <v>0</v>
      </c>
      <c r="AE466" s="88">
        <f>SUMIF(月間集計シート!$M$92:$M$111,$G466,月間集計シート!N$92:N$111)*AE$2</f>
        <v>0</v>
      </c>
      <c r="AF466" s="88">
        <f>SUMIF(月間集計シート!$M$92:$M$111,$G466,月間集計シート!O$92:O$111)*AF$2</f>
        <v>0</v>
      </c>
      <c r="AG466" s="88">
        <f>SUMIF(月間集計シート!$M$92:$M$111,$G466,月間集計シート!P$92:P$111)*AG$2</f>
        <v>0</v>
      </c>
      <c r="AH466" s="88">
        <f>SUMIF(月間集計シート!$M$92:$M$111,$G466,月間集計シート!Q$92:Q$111)*AH$2</f>
        <v>0</v>
      </c>
      <c r="AI466" s="88">
        <f>SUMIF(月間集計シート!$M$92:$M$111,$G466,月間集計シート!R$92:R$111)*AI$2</f>
        <v>0</v>
      </c>
      <c r="AJ466" s="88">
        <f>SUMIF(月間集計シート!$M$92:$M$111,$G466,月間集計シート!S$92:S$111)*AJ$2</f>
        <v>0</v>
      </c>
      <c r="AK466" s="88">
        <f>SUMIF(月間集計シート!$M$92:$M$111,$G466,月間集計シート!T$92:T$111)*AK$2</f>
        <v>0</v>
      </c>
      <c r="AL466" s="88">
        <f>SUMIF(月間集計シート!$M$113:$M$132,$G466,月間集計シート!N$113:N$132)*AL$2</f>
        <v>0</v>
      </c>
      <c r="AM466" s="88">
        <f>SUMIF(月間集計シート!$M$113:$M$132,$G466,月間集計シート!O$113:O$132)*AM$2</f>
        <v>0</v>
      </c>
      <c r="AN466" s="88">
        <f>SUMIF(月間集計シート!$M$113:$M$132,$G466,月間集計シート!P$113:P$132)*AN$2</f>
        <v>0</v>
      </c>
      <c r="AO466" s="88">
        <f>SUMIF(月間集計シート!$M$113:$M$132,$G466,月間集計シート!Q$113:Q$132)*AO$2</f>
        <v>0</v>
      </c>
      <c r="AP466" s="88">
        <f>SUMIF(月間集計シート!$M$113:$M$132,$G466,月間集計シート!R$113:R$132)*AP$2</f>
        <v>0</v>
      </c>
      <c r="AQ466" s="88">
        <f>SUMIF(月間集計シート!$M$113:$M$132,$G466,月間集計シート!S$113:S$132)*AQ$2</f>
        <v>0</v>
      </c>
      <c r="AR466" s="88">
        <f>SUMIF(月間集計シート!$M$113:$M$132,$G466,月間集計シート!T$113:T$132)*AR$2</f>
        <v>0</v>
      </c>
      <c r="AS466" s="88">
        <f>SUMIF(月間集計シート!$M$134:$M$153,$G466,月間集計シート!N$134:N$153)*AS$2</f>
        <v>0</v>
      </c>
      <c r="AT466" s="88">
        <f>SUMIF(月間集計シート!$M$134:$M$153,$G466,月間集計シート!O$134:O$153)*AT$2</f>
        <v>0</v>
      </c>
      <c r="AU466" s="88">
        <f>SUMIF(月間集計シート!$M$134:$M$153,$G466,月間集計シート!P$134:P$153)*AU$2</f>
        <v>0</v>
      </c>
      <c r="AV466" s="88">
        <f>SUMIF(月間集計シート!$M$134:$M$153,$G466,月間集計シート!Q$134:Q$153)*AV$2</f>
        <v>0</v>
      </c>
      <c r="AW466" s="88">
        <f>SUMIF(月間集計シート!$M$134:$M$153,$G466,月間集計シート!R$134:R$153)*AW$2</f>
        <v>0</v>
      </c>
      <c r="AX466" s="88">
        <f>SUMIF(月間集計シート!$M$134:$M$153,$G466,月間集計シート!S$134:S$153)*AX$2</f>
        <v>0</v>
      </c>
      <c r="AY466" s="88">
        <f>SUMIF(月間集計シート!$M$134:$M$153,$G466,月間集計シート!T$134:T$153)*AY$2</f>
        <v>0</v>
      </c>
    </row>
    <row r="467" spans="1:51" ht="14.25" thickBot="1">
      <c r="A467">
        <v>6</v>
      </c>
      <c r="B467" s="120">
        <f t="shared" si="238"/>
        <v>0</v>
      </c>
      <c r="C467" s="120" t="str">
        <f t="shared" si="239"/>
        <v/>
      </c>
      <c r="D467" s="137"/>
      <c r="E467" s="150" t="str">
        <f>工種!A34</f>
        <v>40112</v>
      </c>
      <c r="F467" s="119" t="str">
        <f>工種!B34</f>
        <v>テスト：再テスト（手戻り分）</v>
      </c>
      <c r="G467" s="116" t="str">
        <f t="shared" si="240"/>
        <v>040112</v>
      </c>
      <c r="H467" s="88">
        <f t="shared" si="194"/>
        <v>0</v>
      </c>
      <c r="I467" s="132"/>
      <c r="J467" s="88">
        <f>SUMIF(月間集計シート!$M$29:$M$48,$G467,月間集計シート!N$29:N$48)*J$2</f>
        <v>0</v>
      </c>
      <c r="K467" s="88">
        <f>SUMIF(月間集計シート!$M$29:$M$48,$G467,月間集計シート!O$29:O$48)*K$2</f>
        <v>0</v>
      </c>
      <c r="L467" s="88">
        <f>SUMIF(月間集計シート!$M$29:$M$48,$G467,月間集計シート!P$29:P$48)*L$2</f>
        <v>0</v>
      </c>
      <c r="M467" s="88">
        <f>SUMIF(月間集計シート!$M$29:$M$48,$G467,月間集計シート!Q$29:Q$48)*M$2</f>
        <v>0</v>
      </c>
      <c r="N467" s="88">
        <f>SUMIF(月間集計シート!$M$29:$M$48,$G467,月間集計シート!R$29:R$48)*N$2</f>
        <v>0</v>
      </c>
      <c r="O467" s="88">
        <f>SUMIF(月間集計シート!$M$29:$M$48,$G467,月間集計シート!S$29:S$48)*O$2</f>
        <v>0</v>
      </c>
      <c r="P467" s="88">
        <f>SUMIF(月間集計シート!$M$29:$M$48,$G467,月間集計シート!T$29:T$48)*P$2</f>
        <v>0</v>
      </c>
      <c r="Q467" s="88">
        <f>SUMIF(月間集計シート!$M$50:$M$69,$G467,月間集計シート!N$50:N$69)*Q$2</f>
        <v>0</v>
      </c>
      <c r="R467" s="88">
        <f>SUMIF(月間集計シート!$M$50:$M$69,$G467,月間集計シート!O$50:O$69)*R$2</f>
        <v>0</v>
      </c>
      <c r="S467" s="88">
        <f>SUMIF(月間集計シート!$M$50:$M$69,$G467,月間集計シート!P$50:P$69)*S$2</f>
        <v>0</v>
      </c>
      <c r="T467" s="88">
        <f>SUMIF(月間集計シート!$M$50:$M$69,$G467,月間集計シート!Q$50:Q$69)*T$2</f>
        <v>0</v>
      </c>
      <c r="U467" s="88">
        <f>SUMIF(月間集計シート!$M$50:$M$69,$G467,月間集計シート!R$50:R$69)*U$2</f>
        <v>0</v>
      </c>
      <c r="V467" s="88">
        <f>SUMIF(月間集計シート!$M$50:$M$69,$G467,月間集計シート!S$50:S$69)*V$2</f>
        <v>0</v>
      </c>
      <c r="W467" s="88">
        <f>SUMIF(月間集計シート!$M$50:$M$69,$G467,月間集計シート!T$50:T$69)*W$2</f>
        <v>0</v>
      </c>
      <c r="X467" s="88">
        <f>SUMIF(月間集計シート!$M$71:$M$90,$G467,月間集計シート!N$71:N$90)*X$2</f>
        <v>0</v>
      </c>
      <c r="Y467" s="88">
        <f>SUMIF(月間集計シート!$M$71:$M$90,$G467,月間集計シート!O$71:O$90)*Y$2</f>
        <v>0</v>
      </c>
      <c r="Z467" s="88">
        <f>SUMIF(月間集計シート!$M$71:$M$90,$G467,月間集計シート!P$71:P$90)*Z$2</f>
        <v>0</v>
      </c>
      <c r="AA467" s="88">
        <f>SUMIF(月間集計シート!$M$71:$M$90,$G467,月間集計シート!Q$71:Q$90)*AA$2</f>
        <v>0</v>
      </c>
      <c r="AB467" s="88">
        <f>SUMIF(月間集計シート!$M$71:$M$90,$G467,月間集計シート!R$71:R$90)*AB$2</f>
        <v>0</v>
      </c>
      <c r="AC467" s="88">
        <f>SUMIF(月間集計シート!$M$71:$M$90,$G467,月間集計シート!S$71:S$90)*AC$2</f>
        <v>0</v>
      </c>
      <c r="AD467" s="88">
        <f>SUMIF(月間集計シート!$M$71:$M$90,$G467,月間集計シート!T$71:T$90)*AD$2</f>
        <v>0</v>
      </c>
      <c r="AE467" s="88">
        <f>SUMIF(月間集計シート!$M$92:$M$111,$G467,月間集計シート!N$92:N$111)*AE$2</f>
        <v>0</v>
      </c>
      <c r="AF467" s="88">
        <f>SUMIF(月間集計シート!$M$92:$M$111,$G467,月間集計シート!O$92:O$111)*AF$2</f>
        <v>0</v>
      </c>
      <c r="AG467" s="88">
        <f>SUMIF(月間集計シート!$M$92:$M$111,$G467,月間集計シート!P$92:P$111)*AG$2</f>
        <v>0</v>
      </c>
      <c r="AH467" s="88">
        <f>SUMIF(月間集計シート!$M$92:$M$111,$G467,月間集計シート!Q$92:Q$111)*AH$2</f>
        <v>0</v>
      </c>
      <c r="AI467" s="88">
        <f>SUMIF(月間集計シート!$M$92:$M$111,$G467,月間集計シート!R$92:R$111)*AI$2</f>
        <v>0</v>
      </c>
      <c r="AJ467" s="88">
        <f>SUMIF(月間集計シート!$M$92:$M$111,$G467,月間集計シート!S$92:S$111)*AJ$2</f>
        <v>0</v>
      </c>
      <c r="AK467" s="88">
        <f>SUMIF(月間集計シート!$M$92:$M$111,$G467,月間集計シート!T$92:T$111)*AK$2</f>
        <v>0</v>
      </c>
      <c r="AL467" s="88">
        <f>SUMIF(月間集計シート!$M$113:$M$132,$G467,月間集計シート!N$113:N$132)*AL$2</f>
        <v>0</v>
      </c>
      <c r="AM467" s="88">
        <f>SUMIF(月間集計シート!$M$113:$M$132,$G467,月間集計シート!O$113:O$132)*AM$2</f>
        <v>0</v>
      </c>
      <c r="AN467" s="88">
        <f>SUMIF(月間集計シート!$M$113:$M$132,$G467,月間集計シート!P$113:P$132)*AN$2</f>
        <v>0</v>
      </c>
      <c r="AO467" s="88">
        <f>SUMIF(月間集計シート!$M$113:$M$132,$G467,月間集計シート!Q$113:Q$132)*AO$2</f>
        <v>0</v>
      </c>
      <c r="AP467" s="88">
        <f>SUMIF(月間集計シート!$M$113:$M$132,$G467,月間集計シート!R$113:R$132)*AP$2</f>
        <v>0</v>
      </c>
      <c r="AQ467" s="88">
        <f>SUMIF(月間集計シート!$M$113:$M$132,$G467,月間集計シート!S$113:S$132)*AQ$2</f>
        <v>0</v>
      </c>
      <c r="AR467" s="88">
        <f>SUMIF(月間集計シート!$M$113:$M$132,$G467,月間集計シート!T$113:T$132)*AR$2</f>
        <v>0</v>
      </c>
      <c r="AS467" s="88">
        <f>SUMIF(月間集計シート!$M$134:$M$153,$G467,月間集計シート!N$134:N$153)*AS$2</f>
        <v>0</v>
      </c>
      <c r="AT467" s="88">
        <f>SUMIF(月間集計シート!$M$134:$M$153,$G467,月間集計シート!O$134:O$153)*AT$2</f>
        <v>0</v>
      </c>
      <c r="AU467" s="88">
        <f>SUMIF(月間集計シート!$M$134:$M$153,$G467,月間集計シート!P$134:P$153)*AU$2</f>
        <v>0</v>
      </c>
      <c r="AV467" s="88">
        <f>SUMIF(月間集計シート!$M$134:$M$153,$G467,月間集計シート!Q$134:Q$153)*AV$2</f>
        <v>0</v>
      </c>
      <c r="AW467" s="88">
        <f>SUMIF(月間集計シート!$M$134:$M$153,$G467,月間集計シート!R$134:R$153)*AW$2</f>
        <v>0</v>
      </c>
      <c r="AX467" s="88">
        <f>SUMIF(月間集計シート!$M$134:$M$153,$G467,月間集計シート!S$134:S$153)*AX$2</f>
        <v>0</v>
      </c>
      <c r="AY467" s="88">
        <f>SUMIF(月間集計シート!$M$134:$M$153,$G467,月間集計シート!T$134:T$153)*AY$2</f>
        <v>0</v>
      </c>
    </row>
    <row r="468" spans="1:51" ht="14.25" thickBot="1">
      <c r="A468">
        <v>6</v>
      </c>
      <c r="B468" s="120">
        <f t="shared" si="238"/>
        <v>0</v>
      </c>
      <c r="C468" s="120" t="str">
        <f t="shared" si="239"/>
        <v/>
      </c>
      <c r="D468" s="137"/>
      <c r="E468" s="150" t="str">
        <f>工種!A35</f>
        <v>40113</v>
      </c>
      <c r="F468" s="119" t="str">
        <f>工種!B35</f>
        <v>テスト：QA対応</v>
      </c>
      <c r="G468" s="116" t="str">
        <f t="shared" si="240"/>
        <v>040113</v>
      </c>
      <c r="H468" s="88">
        <f t="shared" si="194"/>
        <v>0</v>
      </c>
      <c r="I468" s="132"/>
      <c r="J468" s="88">
        <f>SUMIF(月間集計シート!$M$29:$M$48,$G468,月間集計シート!N$29:N$48)*J$2</f>
        <v>0</v>
      </c>
      <c r="K468" s="88">
        <f>SUMIF(月間集計シート!$M$29:$M$48,$G468,月間集計シート!O$29:O$48)*K$2</f>
        <v>0</v>
      </c>
      <c r="L468" s="88">
        <f>SUMIF(月間集計シート!$M$29:$M$48,$G468,月間集計シート!P$29:P$48)*L$2</f>
        <v>0</v>
      </c>
      <c r="M468" s="88">
        <f>SUMIF(月間集計シート!$M$29:$M$48,$G468,月間集計シート!Q$29:Q$48)*M$2</f>
        <v>0</v>
      </c>
      <c r="N468" s="88">
        <f>SUMIF(月間集計シート!$M$29:$M$48,$G468,月間集計シート!R$29:R$48)*N$2</f>
        <v>0</v>
      </c>
      <c r="O468" s="88">
        <f>SUMIF(月間集計シート!$M$29:$M$48,$G468,月間集計シート!S$29:S$48)*O$2</f>
        <v>0</v>
      </c>
      <c r="P468" s="88">
        <f>SUMIF(月間集計シート!$M$29:$M$48,$G468,月間集計シート!T$29:T$48)*P$2</f>
        <v>0</v>
      </c>
      <c r="Q468" s="88">
        <f>SUMIF(月間集計シート!$M$50:$M$69,$G468,月間集計シート!N$50:N$69)*Q$2</f>
        <v>0</v>
      </c>
      <c r="R468" s="88">
        <f>SUMIF(月間集計シート!$M$50:$M$69,$G468,月間集計シート!O$50:O$69)*R$2</f>
        <v>0</v>
      </c>
      <c r="S468" s="88">
        <f>SUMIF(月間集計シート!$M$50:$M$69,$G468,月間集計シート!P$50:P$69)*S$2</f>
        <v>0</v>
      </c>
      <c r="T468" s="88">
        <f>SUMIF(月間集計シート!$M$50:$M$69,$G468,月間集計シート!Q$50:Q$69)*T$2</f>
        <v>0</v>
      </c>
      <c r="U468" s="88">
        <f>SUMIF(月間集計シート!$M$50:$M$69,$G468,月間集計シート!R$50:R$69)*U$2</f>
        <v>0</v>
      </c>
      <c r="V468" s="88">
        <f>SUMIF(月間集計シート!$M$50:$M$69,$G468,月間集計シート!S$50:S$69)*V$2</f>
        <v>0</v>
      </c>
      <c r="W468" s="88">
        <f>SUMIF(月間集計シート!$M$50:$M$69,$G468,月間集計シート!T$50:T$69)*W$2</f>
        <v>0</v>
      </c>
      <c r="X468" s="88">
        <f>SUMIF(月間集計シート!$M$71:$M$90,$G468,月間集計シート!N$71:N$90)*X$2</f>
        <v>0</v>
      </c>
      <c r="Y468" s="88">
        <f>SUMIF(月間集計シート!$M$71:$M$90,$G468,月間集計シート!O$71:O$90)*Y$2</f>
        <v>0</v>
      </c>
      <c r="Z468" s="88">
        <f>SUMIF(月間集計シート!$M$71:$M$90,$G468,月間集計シート!P$71:P$90)*Z$2</f>
        <v>0</v>
      </c>
      <c r="AA468" s="88">
        <f>SUMIF(月間集計シート!$M$71:$M$90,$G468,月間集計シート!Q$71:Q$90)*AA$2</f>
        <v>0</v>
      </c>
      <c r="AB468" s="88">
        <f>SUMIF(月間集計シート!$M$71:$M$90,$G468,月間集計シート!R$71:R$90)*AB$2</f>
        <v>0</v>
      </c>
      <c r="AC468" s="88">
        <f>SUMIF(月間集計シート!$M$71:$M$90,$G468,月間集計シート!S$71:S$90)*AC$2</f>
        <v>0</v>
      </c>
      <c r="AD468" s="88">
        <f>SUMIF(月間集計シート!$M$71:$M$90,$G468,月間集計シート!T$71:T$90)*AD$2</f>
        <v>0</v>
      </c>
      <c r="AE468" s="88">
        <f>SUMIF(月間集計シート!$M$92:$M$111,$G468,月間集計シート!N$92:N$111)*AE$2</f>
        <v>0</v>
      </c>
      <c r="AF468" s="88">
        <f>SUMIF(月間集計シート!$M$92:$M$111,$G468,月間集計シート!O$92:O$111)*AF$2</f>
        <v>0</v>
      </c>
      <c r="AG468" s="88">
        <f>SUMIF(月間集計シート!$M$92:$M$111,$G468,月間集計シート!P$92:P$111)*AG$2</f>
        <v>0</v>
      </c>
      <c r="AH468" s="88">
        <f>SUMIF(月間集計シート!$M$92:$M$111,$G468,月間集計シート!Q$92:Q$111)*AH$2</f>
        <v>0</v>
      </c>
      <c r="AI468" s="88">
        <f>SUMIF(月間集計シート!$M$92:$M$111,$G468,月間集計シート!R$92:R$111)*AI$2</f>
        <v>0</v>
      </c>
      <c r="AJ468" s="88">
        <f>SUMIF(月間集計シート!$M$92:$M$111,$G468,月間集計シート!S$92:S$111)*AJ$2</f>
        <v>0</v>
      </c>
      <c r="AK468" s="88">
        <f>SUMIF(月間集計シート!$M$92:$M$111,$G468,月間集計シート!T$92:T$111)*AK$2</f>
        <v>0</v>
      </c>
      <c r="AL468" s="88">
        <f>SUMIF(月間集計シート!$M$113:$M$132,$G468,月間集計シート!N$113:N$132)*AL$2</f>
        <v>0</v>
      </c>
      <c r="AM468" s="88">
        <f>SUMIF(月間集計シート!$M$113:$M$132,$G468,月間集計シート!O$113:O$132)*AM$2</f>
        <v>0</v>
      </c>
      <c r="AN468" s="88">
        <f>SUMIF(月間集計シート!$M$113:$M$132,$G468,月間集計シート!P$113:P$132)*AN$2</f>
        <v>0</v>
      </c>
      <c r="AO468" s="88">
        <f>SUMIF(月間集計シート!$M$113:$M$132,$G468,月間集計シート!Q$113:Q$132)*AO$2</f>
        <v>0</v>
      </c>
      <c r="AP468" s="88">
        <f>SUMIF(月間集計シート!$M$113:$M$132,$G468,月間集計シート!R$113:R$132)*AP$2</f>
        <v>0</v>
      </c>
      <c r="AQ468" s="88">
        <f>SUMIF(月間集計シート!$M$113:$M$132,$G468,月間集計シート!S$113:S$132)*AQ$2</f>
        <v>0</v>
      </c>
      <c r="AR468" s="88">
        <f>SUMIF(月間集計シート!$M$113:$M$132,$G468,月間集計シート!T$113:T$132)*AR$2</f>
        <v>0</v>
      </c>
      <c r="AS468" s="88">
        <f>SUMIF(月間集計シート!$M$134:$M$153,$G468,月間集計シート!N$134:N$153)*AS$2</f>
        <v>0</v>
      </c>
      <c r="AT468" s="88">
        <f>SUMIF(月間集計シート!$M$134:$M$153,$G468,月間集計シート!O$134:O$153)*AT$2</f>
        <v>0</v>
      </c>
      <c r="AU468" s="88">
        <f>SUMIF(月間集計シート!$M$134:$M$153,$G468,月間集計シート!P$134:P$153)*AU$2</f>
        <v>0</v>
      </c>
      <c r="AV468" s="88">
        <f>SUMIF(月間集計シート!$M$134:$M$153,$G468,月間集計シート!Q$134:Q$153)*AV$2</f>
        <v>0</v>
      </c>
      <c r="AW468" s="88">
        <f>SUMIF(月間集計シート!$M$134:$M$153,$G468,月間集計シート!R$134:R$153)*AW$2</f>
        <v>0</v>
      </c>
      <c r="AX468" s="88">
        <f>SUMIF(月間集計シート!$M$134:$M$153,$G468,月間集計シート!S$134:S$153)*AX$2</f>
        <v>0</v>
      </c>
      <c r="AY468" s="88">
        <f>SUMIF(月間集計シート!$M$134:$M$153,$G468,月間集計シート!T$134:T$153)*AY$2</f>
        <v>0</v>
      </c>
    </row>
    <row r="469" spans="1:51" ht="14.25" thickBot="1">
      <c r="A469">
        <v>6</v>
      </c>
      <c r="B469" s="120">
        <f t="shared" si="238"/>
        <v>0</v>
      </c>
      <c r="C469" s="120" t="str">
        <f t="shared" si="239"/>
        <v/>
      </c>
      <c r="D469" s="137"/>
      <c r="E469" s="150" t="str">
        <f>工種!A36</f>
        <v>40189</v>
      </c>
      <c r="F469" s="119" t="str">
        <f>工種!B36</f>
        <v>テスト：内部不具合分析</v>
      </c>
      <c r="G469" s="116" t="str">
        <f t="shared" si="240"/>
        <v>040189</v>
      </c>
      <c r="H469" s="88">
        <f t="shared" si="194"/>
        <v>0</v>
      </c>
      <c r="I469" s="132"/>
      <c r="J469" s="88">
        <f>SUMIF(月間集計シート!$M$29:$M$48,$G469,月間集計シート!N$29:N$48)*J$2</f>
        <v>0</v>
      </c>
      <c r="K469" s="88">
        <f>SUMIF(月間集計シート!$M$29:$M$48,$G469,月間集計シート!O$29:O$48)*K$2</f>
        <v>0</v>
      </c>
      <c r="L469" s="88">
        <f>SUMIF(月間集計シート!$M$29:$M$48,$G469,月間集計シート!P$29:P$48)*L$2</f>
        <v>0</v>
      </c>
      <c r="M469" s="88">
        <f>SUMIF(月間集計シート!$M$29:$M$48,$G469,月間集計シート!Q$29:Q$48)*M$2</f>
        <v>0</v>
      </c>
      <c r="N469" s="88">
        <f>SUMIF(月間集計シート!$M$29:$M$48,$G469,月間集計シート!R$29:R$48)*N$2</f>
        <v>0</v>
      </c>
      <c r="O469" s="88">
        <f>SUMIF(月間集計シート!$M$29:$M$48,$G469,月間集計シート!S$29:S$48)*O$2</f>
        <v>0</v>
      </c>
      <c r="P469" s="88">
        <f>SUMIF(月間集計シート!$M$29:$M$48,$G469,月間集計シート!T$29:T$48)*P$2</f>
        <v>0</v>
      </c>
      <c r="Q469" s="88">
        <f>SUMIF(月間集計シート!$M$50:$M$69,$G469,月間集計シート!N$50:N$69)*Q$2</f>
        <v>0</v>
      </c>
      <c r="R469" s="88">
        <f>SUMIF(月間集計シート!$M$50:$M$69,$G469,月間集計シート!O$50:O$69)*R$2</f>
        <v>0</v>
      </c>
      <c r="S469" s="88">
        <f>SUMIF(月間集計シート!$M$50:$M$69,$G469,月間集計シート!P$50:P$69)*S$2</f>
        <v>0</v>
      </c>
      <c r="T469" s="88">
        <f>SUMIF(月間集計シート!$M$50:$M$69,$G469,月間集計シート!Q$50:Q$69)*T$2</f>
        <v>0</v>
      </c>
      <c r="U469" s="88">
        <f>SUMIF(月間集計シート!$M$50:$M$69,$G469,月間集計シート!R$50:R$69)*U$2</f>
        <v>0</v>
      </c>
      <c r="V469" s="88">
        <f>SUMIF(月間集計シート!$M$50:$M$69,$G469,月間集計シート!S$50:S$69)*V$2</f>
        <v>0</v>
      </c>
      <c r="W469" s="88">
        <f>SUMIF(月間集計シート!$M$50:$M$69,$G469,月間集計シート!T$50:T$69)*W$2</f>
        <v>0</v>
      </c>
      <c r="X469" s="88">
        <f>SUMIF(月間集計シート!$M$71:$M$90,$G469,月間集計シート!N$71:N$90)*X$2</f>
        <v>0</v>
      </c>
      <c r="Y469" s="88">
        <f>SUMIF(月間集計シート!$M$71:$M$90,$G469,月間集計シート!O$71:O$90)*Y$2</f>
        <v>0</v>
      </c>
      <c r="Z469" s="88">
        <f>SUMIF(月間集計シート!$M$71:$M$90,$G469,月間集計シート!P$71:P$90)*Z$2</f>
        <v>0</v>
      </c>
      <c r="AA469" s="88">
        <f>SUMIF(月間集計シート!$M$71:$M$90,$G469,月間集計シート!Q$71:Q$90)*AA$2</f>
        <v>0</v>
      </c>
      <c r="AB469" s="88">
        <f>SUMIF(月間集計シート!$M$71:$M$90,$G469,月間集計シート!R$71:R$90)*AB$2</f>
        <v>0</v>
      </c>
      <c r="AC469" s="88">
        <f>SUMIF(月間集計シート!$M$71:$M$90,$G469,月間集計シート!S$71:S$90)*AC$2</f>
        <v>0</v>
      </c>
      <c r="AD469" s="88">
        <f>SUMIF(月間集計シート!$M$71:$M$90,$G469,月間集計シート!T$71:T$90)*AD$2</f>
        <v>0</v>
      </c>
      <c r="AE469" s="88">
        <f>SUMIF(月間集計シート!$M$92:$M$111,$G469,月間集計シート!N$92:N$111)*AE$2</f>
        <v>0</v>
      </c>
      <c r="AF469" s="88">
        <f>SUMIF(月間集計シート!$M$92:$M$111,$G469,月間集計シート!O$92:O$111)*AF$2</f>
        <v>0</v>
      </c>
      <c r="AG469" s="88">
        <f>SUMIF(月間集計シート!$M$92:$M$111,$G469,月間集計シート!P$92:P$111)*AG$2</f>
        <v>0</v>
      </c>
      <c r="AH469" s="88">
        <f>SUMIF(月間集計シート!$M$92:$M$111,$G469,月間集計シート!Q$92:Q$111)*AH$2</f>
        <v>0</v>
      </c>
      <c r="AI469" s="88">
        <f>SUMIF(月間集計シート!$M$92:$M$111,$G469,月間集計シート!R$92:R$111)*AI$2</f>
        <v>0</v>
      </c>
      <c r="AJ469" s="88">
        <f>SUMIF(月間集計シート!$M$92:$M$111,$G469,月間集計シート!S$92:S$111)*AJ$2</f>
        <v>0</v>
      </c>
      <c r="AK469" s="88">
        <f>SUMIF(月間集計シート!$M$92:$M$111,$G469,月間集計シート!T$92:T$111)*AK$2</f>
        <v>0</v>
      </c>
      <c r="AL469" s="88">
        <f>SUMIF(月間集計シート!$M$113:$M$132,$G469,月間集計シート!N$113:N$132)*AL$2</f>
        <v>0</v>
      </c>
      <c r="AM469" s="88">
        <f>SUMIF(月間集計シート!$M$113:$M$132,$G469,月間集計シート!O$113:O$132)*AM$2</f>
        <v>0</v>
      </c>
      <c r="AN469" s="88">
        <f>SUMIF(月間集計シート!$M$113:$M$132,$G469,月間集計シート!P$113:P$132)*AN$2</f>
        <v>0</v>
      </c>
      <c r="AO469" s="88">
        <f>SUMIF(月間集計シート!$M$113:$M$132,$G469,月間集計シート!Q$113:Q$132)*AO$2</f>
        <v>0</v>
      </c>
      <c r="AP469" s="88">
        <f>SUMIF(月間集計シート!$M$113:$M$132,$G469,月間集計シート!R$113:R$132)*AP$2</f>
        <v>0</v>
      </c>
      <c r="AQ469" s="88">
        <f>SUMIF(月間集計シート!$M$113:$M$132,$G469,月間集計シート!S$113:S$132)*AQ$2</f>
        <v>0</v>
      </c>
      <c r="AR469" s="88">
        <f>SUMIF(月間集計シート!$M$113:$M$132,$G469,月間集計シート!T$113:T$132)*AR$2</f>
        <v>0</v>
      </c>
      <c r="AS469" s="88">
        <f>SUMIF(月間集計シート!$M$134:$M$153,$G469,月間集計シート!N$134:N$153)*AS$2</f>
        <v>0</v>
      </c>
      <c r="AT469" s="88">
        <f>SUMIF(月間集計シート!$M$134:$M$153,$G469,月間集計シート!O$134:O$153)*AT$2</f>
        <v>0</v>
      </c>
      <c r="AU469" s="88">
        <f>SUMIF(月間集計シート!$M$134:$M$153,$G469,月間集計シート!P$134:P$153)*AU$2</f>
        <v>0</v>
      </c>
      <c r="AV469" s="88">
        <f>SUMIF(月間集計シート!$M$134:$M$153,$G469,月間集計シート!Q$134:Q$153)*AV$2</f>
        <v>0</v>
      </c>
      <c r="AW469" s="88">
        <f>SUMIF(月間集計シート!$M$134:$M$153,$G469,月間集計シート!R$134:R$153)*AW$2</f>
        <v>0</v>
      </c>
      <c r="AX469" s="88">
        <f>SUMIF(月間集計シート!$M$134:$M$153,$G469,月間集計シート!S$134:S$153)*AX$2</f>
        <v>0</v>
      </c>
      <c r="AY469" s="88">
        <f>SUMIF(月間集計シート!$M$134:$M$153,$G469,月間集計シート!T$134:T$153)*AY$2</f>
        <v>0</v>
      </c>
    </row>
    <row r="470" spans="1:51" ht="14.25" thickBot="1">
      <c r="A470">
        <v>6</v>
      </c>
      <c r="B470" s="120">
        <f t="shared" si="238"/>
        <v>0</v>
      </c>
      <c r="C470" s="120" t="str">
        <f t="shared" si="239"/>
        <v/>
      </c>
      <c r="D470" s="137"/>
      <c r="E470" s="150" t="str">
        <f>工種!A37</f>
        <v>40199</v>
      </c>
      <c r="F470" s="119" t="str">
        <f>工種!B37</f>
        <v>テスト：その他</v>
      </c>
      <c r="G470" s="116" t="str">
        <f t="shared" si="240"/>
        <v>040199</v>
      </c>
      <c r="H470" s="88">
        <f t="shared" si="194"/>
        <v>0</v>
      </c>
      <c r="I470" s="132"/>
      <c r="J470" s="88">
        <f>SUMIF(月間集計シート!$M$29:$M$48,$G470,月間集計シート!N$29:N$48)*J$2</f>
        <v>0</v>
      </c>
      <c r="K470" s="88">
        <f>SUMIF(月間集計シート!$M$29:$M$48,$G470,月間集計シート!O$29:O$48)*K$2</f>
        <v>0</v>
      </c>
      <c r="L470" s="88">
        <f>SUMIF(月間集計シート!$M$29:$M$48,$G470,月間集計シート!P$29:P$48)*L$2</f>
        <v>0</v>
      </c>
      <c r="M470" s="88">
        <f>SUMIF(月間集計シート!$M$29:$M$48,$G470,月間集計シート!Q$29:Q$48)*M$2</f>
        <v>0</v>
      </c>
      <c r="N470" s="88">
        <f>SUMIF(月間集計シート!$M$29:$M$48,$G470,月間集計シート!R$29:R$48)*N$2</f>
        <v>0</v>
      </c>
      <c r="O470" s="88">
        <f>SUMIF(月間集計シート!$M$29:$M$48,$G470,月間集計シート!S$29:S$48)*O$2</f>
        <v>0</v>
      </c>
      <c r="P470" s="88">
        <f>SUMIF(月間集計シート!$M$29:$M$48,$G470,月間集計シート!T$29:T$48)*P$2</f>
        <v>0</v>
      </c>
      <c r="Q470" s="88">
        <f>SUMIF(月間集計シート!$M$50:$M$69,$G470,月間集計シート!N$50:N$69)*Q$2</f>
        <v>0</v>
      </c>
      <c r="R470" s="88">
        <f>SUMIF(月間集計シート!$M$50:$M$69,$G470,月間集計シート!O$50:O$69)*R$2</f>
        <v>0</v>
      </c>
      <c r="S470" s="88">
        <f>SUMIF(月間集計シート!$M$50:$M$69,$G470,月間集計シート!P$50:P$69)*S$2</f>
        <v>0</v>
      </c>
      <c r="T470" s="88">
        <f>SUMIF(月間集計シート!$M$50:$M$69,$G470,月間集計シート!Q$50:Q$69)*T$2</f>
        <v>0</v>
      </c>
      <c r="U470" s="88">
        <f>SUMIF(月間集計シート!$M$50:$M$69,$G470,月間集計シート!R$50:R$69)*U$2</f>
        <v>0</v>
      </c>
      <c r="V470" s="88">
        <f>SUMIF(月間集計シート!$M$50:$M$69,$G470,月間集計シート!S$50:S$69)*V$2</f>
        <v>0</v>
      </c>
      <c r="W470" s="88">
        <f>SUMIF(月間集計シート!$M$50:$M$69,$G470,月間集計シート!T$50:T$69)*W$2</f>
        <v>0</v>
      </c>
      <c r="X470" s="88">
        <f>SUMIF(月間集計シート!$M$71:$M$90,$G470,月間集計シート!N$71:N$90)*X$2</f>
        <v>0</v>
      </c>
      <c r="Y470" s="88">
        <f>SUMIF(月間集計シート!$M$71:$M$90,$G470,月間集計シート!O$71:O$90)*Y$2</f>
        <v>0</v>
      </c>
      <c r="Z470" s="88">
        <f>SUMIF(月間集計シート!$M$71:$M$90,$G470,月間集計シート!P$71:P$90)*Z$2</f>
        <v>0</v>
      </c>
      <c r="AA470" s="88">
        <f>SUMIF(月間集計シート!$M$71:$M$90,$G470,月間集計シート!Q$71:Q$90)*AA$2</f>
        <v>0</v>
      </c>
      <c r="AB470" s="88">
        <f>SUMIF(月間集計シート!$M$71:$M$90,$G470,月間集計シート!R$71:R$90)*AB$2</f>
        <v>0</v>
      </c>
      <c r="AC470" s="88">
        <f>SUMIF(月間集計シート!$M$71:$M$90,$G470,月間集計シート!S$71:S$90)*AC$2</f>
        <v>0</v>
      </c>
      <c r="AD470" s="88">
        <f>SUMIF(月間集計シート!$M$71:$M$90,$G470,月間集計シート!T$71:T$90)*AD$2</f>
        <v>0</v>
      </c>
      <c r="AE470" s="88">
        <f>SUMIF(月間集計シート!$M$92:$M$111,$G470,月間集計シート!N$92:N$111)*AE$2</f>
        <v>0</v>
      </c>
      <c r="AF470" s="88">
        <f>SUMIF(月間集計シート!$M$92:$M$111,$G470,月間集計シート!O$92:O$111)*AF$2</f>
        <v>0</v>
      </c>
      <c r="AG470" s="88">
        <f>SUMIF(月間集計シート!$M$92:$M$111,$G470,月間集計シート!P$92:P$111)*AG$2</f>
        <v>0</v>
      </c>
      <c r="AH470" s="88">
        <f>SUMIF(月間集計シート!$M$92:$M$111,$G470,月間集計シート!Q$92:Q$111)*AH$2</f>
        <v>0</v>
      </c>
      <c r="AI470" s="88">
        <f>SUMIF(月間集計シート!$M$92:$M$111,$G470,月間集計シート!R$92:R$111)*AI$2</f>
        <v>0</v>
      </c>
      <c r="AJ470" s="88">
        <f>SUMIF(月間集計シート!$M$92:$M$111,$G470,月間集計シート!S$92:S$111)*AJ$2</f>
        <v>0</v>
      </c>
      <c r="AK470" s="88">
        <f>SUMIF(月間集計シート!$M$92:$M$111,$G470,月間集計シート!T$92:T$111)*AK$2</f>
        <v>0</v>
      </c>
      <c r="AL470" s="88">
        <f>SUMIF(月間集計シート!$M$113:$M$132,$G470,月間集計シート!N$113:N$132)*AL$2</f>
        <v>0</v>
      </c>
      <c r="AM470" s="88">
        <f>SUMIF(月間集計シート!$M$113:$M$132,$G470,月間集計シート!O$113:O$132)*AM$2</f>
        <v>0</v>
      </c>
      <c r="AN470" s="88">
        <f>SUMIF(月間集計シート!$M$113:$M$132,$G470,月間集計シート!P$113:P$132)*AN$2</f>
        <v>0</v>
      </c>
      <c r="AO470" s="88">
        <f>SUMIF(月間集計シート!$M$113:$M$132,$G470,月間集計シート!Q$113:Q$132)*AO$2</f>
        <v>0</v>
      </c>
      <c r="AP470" s="88">
        <f>SUMIF(月間集計シート!$M$113:$M$132,$G470,月間集計シート!R$113:R$132)*AP$2</f>
        <v>0</v>
      </c>
      <c r="AQ470" s="88">
        <f>SUMIF(月間集計シート!$M$113:$M$132,$G470,月間集計シート!S$113:S$132)*AQ$2</f>
        <v>0</v>
      </c>
      <c r="AR470" s="88">
        <f>SUMIF(月間集計シート!$M$113:$M$132,$G470,月間集計シート!T$113:T$132)*AR$2</f>
        <v>0</v>
      </c>
      <c r="AS470" s="88">
        <f>SUMIF(月間集計シート!$M$134:$M$153,$G470,月間集計シート!N$134:N$153)*AS$2</f>
        <v>0</v>
      </c>
      <c r="AT470" s="88">
        <f>SUMIF(月間集計シート!$M$134:$M$153,$G470,月間集計シート!O$134:O$153)*AT$2</f>
        <v>0</v>
      </c>
      <c r="AU470" s="88">
        <f>SUMIF(月間集計シート!$M$134:$M$153,$G470,月間集計シート!P$134:P$153)*AU$2</f>
        <v>0</v>
      </c>
      <c r="AV470" s="88">
        <f>SUMIF(月間集計シート!$M$134:$M$153,$G470,月間集計シート!Q$134:Q$153)*AV$2</f>
        <v>0</v>
      </c>
      <c r="AW470" s="88">
        <f>SUMIF(月間集計シート!$M$134:$M$153,$G470,月間集計シート!R$134:R$153)*AW$2</f>
        <v>0</v>
      </c>
      <c r="AX470" s="88">
        <f>SUMIF(月間集計シート!$M$134:$M$153,$G470,月間集計シート!S$134:S$153)*AX$2</f>
        <v>0</v>
      </c>
      <c r="AY470" s="88">
        <f>SUMIF(月間集計シート!$M$134:$M$153,$G470,月間集計シート!T$134:T$153)*AY$2</f>
        <v>0</v>
      </c>
    </row>
    <row r="471" spans="1:51" ht="14.25" thickBot="1">
      <c r="A471">
        <v>6</v>
      </c>
      <c r="B471" s="120">
        <f t="shared" si="238"/>
        <v>0</v>
      </c>
      <c r="C471" s="120" t="str">
        <f t="shared" si="239"/>
        <v/>
      </c>
      <c r="D471" s="137"/>
      <c r="E471" s="150" t="str">
        <f>工種!A38</f>
        <v>50101</v>
      </c>
      <c r="F471" s="119" t="str">
        <f>工種!B38</f>
        <v>ﾏﾆｭｱﾙ作成：原稿作成</v>
      </c>
      <c r="G471" s="116" t="str">
        <f t="shared" si="240"/>
        <v>050101</v>
      </c>
      <c r="H471" s="88">
        <f t="shared" si="194"/>
        <v>0</v>
      </c>
      <c r="I471" s="132"/>
      <c r="J471" s="88">
        <f>SUMIF(月間集計シート!$M$29:$M$48,$G471,月間集計シート!N$29:N$48)*J$2</f>
        <v>0</v>
      </c>
      <c r="K471" s="88">
        <f>SUMIF(月間集計シート!$M$29:$M$48,$G471,月間集計シート!O$29:O$48)*K$2</f>
        <v>0</v>
      </c>
      <c r="L471" s="88">
        <f>SUMIF(月間集計シート!$M$29:$M$48,$G471,月間集計シート!P$29:P$48)*L$2</f>
        <v>0</v>
      </c>
      <c r="M471" s="88">
        <f>SUMIF(月間集計シート!$M$29:$M$48,$G471,月間集計シート!Q$29:Q$48)*M$2</f>
        <v>0</v>
      </c>
      <c r="N471" s="88">
        <f>SUMIF(月間集計シート!$M$29:$M$48,$G471,月間集計シート!R$29:R$48)*N$2</f>
        <v>0</v>
      </c>
      <c r="O471" s="88">
        <f>SUMIF(月間集計シート!$M$29:$M$48,$G471,月間集計シート!S$29:S$48)*O$2</f>
        <v>0</v>
      </c>
      <c r="P471" s="88">
        <f>SUMIF(月間集計シート!$M$29:$M$48,$G471,月間集計シート!T$29:T$48)*P$2</f>
        <v>0</v>
      </c>
      <c r="Q471" s="88">
        <f>SUMIF(月間集計シート!$M$50:$M$69,$G471,月間集計シート!N$50:N$69)*Q$2</f>
        <v>0</v>
      </c>
      <c r="R471" s="88">
        <f>SUMIF(月間集計シート!$M$50:$M$69,$G471,月間集計シート!O$50:O$69)*R$2</f>
        <v>0</v>
      </c>
      <c r="S471" s="88">
        <f>SUMIF(月間集計シート!$M$50:$M$69,$G471,月間集計シート!P$50:P$69)*S$2</f>
        <v>0</v>
      </c>
      <c r="T471" s="88">
        <f>SUMIF(月間集計シート!$M$50:$M$69,$G471,月間集計シート!Q$50:Q$69)*T$2</f>
        <v>0</v>
      </c>
      <c r="U471" s="88">
        <f>SUMIF(月間集計シート!$M$50:$M$69,$G471,月間集計シート!R$50:R$69)*U$2</f>
        <v>0</v>
      </c>
      <c r="V471" s="88">
        <f>SUMIF(月間集計シート!$M$50:$M$69,$G471,月間集計シート!S$50:S$69)*V$2</f>
        <v>0</v>
      </c>
      <c r="W471" s="88">
        <f>SUMIF(月間集計シート!$M$50:$M$69,$G471,月間集計シート!T$50:T$69)*W$2</f>
        <v>0</v>
      </c>
      <c r="X471" s="88">
        <f>SUMIF(月間集計シート!$M$71:$M$90,$G471,月間集計シート!N$71:N$90)*X$2</f>
        <v>0</v>
      </c>
      <c r="Y471" s="88">
        <f>SUMIF(月間集計シート!$M$71:$M$90,$G471,月間集計シート!O$71:O$90)*Y$2</f>
        <v>0</v>
      </c>
      <c r="Z471" s="88">
        <f>SUMIF(月間集計シート!$M$71:$M$90,$G471,月間集計シート!P$71:P$90)*Z$2</f>
        <v>0</v>
      </c>
      <c r="AA471" s="88">
        <f>SUMIF(月間集計シート!$M$71:$M$90,$G471,月間集計シート!Q$71:Q$90)*AA$2</f>
        <v>0</v>
      </c>
      <c r="AB471" s="88">
        <f>SUMIF(月間集計シート!$M$71:$M$90,$G471,月間集計シート!R$71:R$90)*AB$2</f>
        <v>0</v>
      </c>
      <c r="AC471" s="88">
        <f>SUMIF(月間集計シート!$M$71:$M$90,$G471,月間集計シート!S$71:S$90)*AC$2</f>
        <v>0</v>
      </c>
      <c r="AD471" s="88">
        <f>SUMIF(月間集計シート!$M$71:$M$90,$G471,月間集計シート!T$71:T$90)*AD$2</f>
        <v>0</v>
      </c>
      <c r="AE471" s="88">
        <f>SUMIF(月間集計シート!$M$92:$M$111,$G471,月間集計シート!N$92:N$111)*AE$2</f>
        <v>0</v>
      </c>
      <c r="AF471" s="88">
        <f>SUMIF(月間集計シート!$M$92:$M$111,$G471,月間集計シート!O$92:O$111)*AF$2</f>
        <v>0</v>
      </c>
      <c r="AG471" s="88">
        <f>SUMIF(月間集計シート!$M$92:$M$111,$G471,月間集計シート!P$92:P$111)*AG$2</f>
        <v>0</v>
      </c>
      <c r="AH471" s="88">
        <f>SUMIF(月間集計シート!$M$92:$M$111,$G471,月間集計シート!Q$92:Q$111)*AH$2</f>
        <v>0</v>
      </c>
      <c r="AI471" s="88">
        <f>SUMIF(月間集計シート!$M$92:$M$111,$G471,月間集計シート!R$92:R$111)*AI$2</f>
        <v>0</v>
      </c>
      <c r="AJ471" s="88">
        <f>SUMIF(月間集計シート!$M$92:$M$111,$G471,月間集計シート!S$92:S$111)*AJ$2</f>
        <v>0</v>
      </c>
      <c r="AK471" s="88">
        <f>SUMIF(月間集計シート!$M$92:$M$111,$G471,月間集計シート!T$92:T$111)*AK$2</f>
        <v>0</v>
      </c>
      <c r="AL471" s="88">
        <f>SUMIF(月間集計シート!$M$113:$M$132,$G471,月間集計シート!N$113:N$132)*AL$2</f>
        <v>0</v>
      </c>
      <c r="AM471" s="88">
        <f>SUMIF(月間集計シート!$M$113:$M$132,$G471,月間集計シート!O$113:O$132)*AM$2</f>
        <v>0</v>
      </c>
      <c r="AN471" s="88">
        <f>SUMIF(月間集計シート!$M$113:$M$132,$G471,月間集計シート!P$113:P$132)*AN$2</f>
        <v>0</v>
      </c>
      <c r="AO471" s="88">
        <f>SUMIF(月間集計シート!$M$113:$M$132,$G471,月間集計シート!Q$113:Q$132)*AO$2</f>
        <v>0</v>
      </c>
      <c r="AP471" s="88">
        <f>SUMIF(月間集計シート!$M$113:$M$132,$G471,月間集計シート!R$113:R$132)*AP$2</f>
        <v>0</v>
      </c>
      <c r="AQ471" s="88">
        <f>SUMIF(月間集計シート!$M$113:$M$132,$G471,月間集計シート!S$113:S$132)*AQ$2</f>
        <v>0</v>
      </c>
      <c r="AR471" s="88">
        <f>SUMIF(月間集計シート!$M$113:$M$132,$G471,月間集計シート!T$113:T$132)*AR$2</f>
        <v>0</v>
      </c>
      <c r="AS471" s="88">
        <f>SUMIF(月間集計シート!$M$134:$M$153,$G471,月間集計シート!N$134:N$153)*AS$2</f>
        <v>0</v>
      </c>
      <c r="AT471" s="88">
        <f>SUMIF(月間集計シート!$M$134:$M$153,$G471,月間集計シート!O$134:O$153)*AT$2</f>
        <v>0</v>
      </c>
      <c r="AU471" s="88">
        <f>SUMIF(月間集計シート!$M$134:$M$153,$G471,月間集計シート!P$134:P$153)*AU$2</f>
        <v>0</v>
      </c>
      <c r="AV471" s="88">
        <f>SUMIF(月間集計シート!$M$134:$M$153,$G471,月間集計シート!Q$134:Q$153)*AV$2</f>
        <v>0</v>
      </c>
      <c r="AW471" s="88">
        <f>SUMIF(月間集計シート!$M$134:$M$153,$G471,月間集計シート!R$134:R$153)*AW$2</f>
        <v>0</v>
      </c>
      <c r="AX471" s="88">
        <f>SUMIF(月間集計シート!$M$134:$M$153,$G471,月間集計シート!S$134:S$153)*AX$2</f>
        <v>0</v>
      </c>
      <c r="AY471" s="88">
        <f>SUMIF(月間集計シート!$M$134:$M$153,$G471,月間集計シート!T$134:T$153)*AY$2</f>
        <v>0</v>
      </c>
    </row>
    <row r="472" spans="1:51" ht="14.25" thickBot="1">
      <c r="A472">
        <v>6</v>
      </c>
      <c r="B472" s="120">
        <f t="shared" si="238"/>
        <v>0</v>
      </c>
      <c r="C472" s="120" t="str">
        <f t="shared" si="239"/>
        <v/>
      </c>
      <c r="D472" s="137"/>
      <c r="E472" s="150" t="str">
        <f>工種!A39</f>
        <v>50105</v>
      </c>
      <c r="F472" s="119" t="str">
        <f>工種!B39</f>
        <v>ﾏﾆｭｱﾙ作成：打合せ</v>
      </c>
      <c r="G472" s="116" t="str">
        <f t="shared" si="240"/>
        <v>050105</v>
      </c>
      <c r="H472" s="88">
        <f t="shared" si="194"/>
        <v>0</v>
      </c>
      <c r="I472" s="132"/>
      <c r="J472" s="88">
        <f>SUMIF(月間集計シート!$M$29:$M$48,$G472,月間集計シート!N$29:N$48)*J$2</f>
        <v>0</v>
      </c>
      <c r="K472" s="88">
        <f>SUMIF(月間集計シート!$M$29:$M$48,$G472,月間集計シート!O$29:O$48)*K$2</f>
        <v>0</v>
      </c>
      <c r="L472" s="88">
        <f>SUMIF(月間集計シート!$M$29:$M$48,$G472,月間集計シート!P$29:P$48)*L$2</f>
        <v>0</v>
      </c>
      <c r="M472" s="88">
        <f>SUMIF(月間集計シート!$M$29:$M$48,$G472,月間集計シート!Q$29:Q$48)*M$2</f>
        <v>0</v>
      </c>
      <c r="N472" s="88">
        <f>SUMIF(月間集計シート!$M$29:$M$48,$G472,月間集計シート!R$29:R$48)*N$2</f>
        <v>0</v>
      </c>
      <c r="O472" s="88">
        <f>SUMIF(月間集計シート!$M$29:$M$48,$G472,月間集計シート!S$29:S$48)*O$2</f>
        <v>0</v>
      </c>
      <c r="P472" s="88">
        <f>SUMIF(月間集計シート!$M$29:$M$48,$G472,月間集計シート!T$29:T$48)*P$2</f>
        <v>0</v>
      </c>
      <c r="Q472" s="88">
        <f>SUMIF(月間集計シート!$M$50:$M$69,$G472,月間集計シート!N$50:N$69)*Q$2</f>
        <v>0</v>
      </c>
      <c r="R472" s="88">
        <f>SUMIF(月間集計シート!$M$50:$M$69,$G472,月間集計シート!O$50:O$69)*R$2</f>
        <v>0</v>
      </c>
      <c r="S472" s="88">
        <f>SUMIF(月間集計シート!$M$50:$M$69,$G472,月間集計シート!P$50:P$69)*S$2</f>
        <v>0</v>
      </c>
      <c r="T472" s="88">
        <f>SUMIF(月間集計シート!$M$50:$M$69,$G472,月間集計シート!Q$50:Q$69)*T$2</f>
        <v>0</v>
      </c>
      <c r="U472" s="88">
        <f>SUMIF(月間集計シート!$M$50:$M$69,$G472,月間集計シート!R$50:R$69)*U$2</f>
        <v>0</v>
      </c>
      <c r="V472" s="88">
        <f>SUMIF(月間集計シート!$M$50:$M$69,$G472,月間集計シート!S$50:S$69)*V$2</f>
        <v>0</v>
      </c>
      <c r="W472" s="88">
        <f>SUMIF(月間集計シート!$M$50:$M$69,$G472,月間集計シート!T$50:T$69)*W$2</f>
        <v>0</v>
      </c>
      <c r="X472" s="88">
        <f>SUMIF(月間集計シート!$M$71:$M$90,$G472,月間集計シート!N$71:N$90)*X$2</f>
        <v>0</v>
      </c>
      <c r="Y472" s="88">
        <f>SUMIF(月間集計シート!$M$71:$M$90,$G472,月間集計シート!O$71:O$90)*Y$2</f>
        <v>0</v>
      </c>
      <c r="Z472" s="88">
        <f>SUMIF(月間集計シート!$M$71:$M$90,$G472,月間集計シート!P$71:P$90)*Z$2</f>
        <v>0</v>
      </c>
      <c r="AA472" s="88">
        <f>SUMIF(月間集計シート!$M$71:$M$90,$G472,月間集計シート!Q$71:Q$90)*AA$2</f>
        <v>0</v>
      </c>
      <c r="AB472" s="88">
        <f>SUMIF(月間集計シート!$M$71:$M$90,$G472,月間集計シート!R$71:R$90)*AB$2</f>
        <v>0</v>
      </c>
      <c r="AC472" s="88">
        <f>SUMIF(月間集計シート!$M$71:$M$90,$G472,月間集計シート!S$71:S$90)*AC$2</f>
        <v>0</v>
      </c>
      <c r="AD472" s="88">
        <f>SUMIF(月間集計シート!$M$71:$M$90,$G472,月間集計シート!T$71:T$90)*AD$2</f>
        <v>0</v>
      </c>
      <c r="AE472" s="88">
        <f>SUMIF(月間集計シート!$M$92:$M$111,$G472,月間集計シート!N$92:N$111)*AE$2</f>
        <v>0</v>
      </c>
      <c r="AF472" s="88">
        <f>SUMIF(月間集計シート!$M$92:$M$111,$G472,月間集計シート!O$92:O$111)*AF$2</f>
        <v>0</v>
      </c>
      <c r="AG472" s="88">
        <f>SUMIF(月間集計シート!$M$92:$M$111,$G472,月間集計シート!P$92:P$111)*AG$2</f>
        <v>0</v>
      </c>
      <c r="AH472" s="88">
        <f>SUMIF(月間集計シート!$M$92:$M$111,$G472,月間集計シート!Q$92:Q$111)*AH$2</f>
        <v>0</v>
      </c>
      <c r="AI472" s="88">
        <f>SUMIF(月間集計シート!$M$92:$M$111,$G472,月間集計シート!R$92:R$111)*AI$2</f>
        <v>0</v>
      </c>
      <c r="AJ472" s="88">
        <f>SUMIF(月間集計シート!$M$92:$M$111,$G472,月間集計シート!S$92:S$111)*AJ$2</f>
        <v>0</v>
      </c>
      <c r="AK472" s="88">
        <f>SUMIF(月間集計シート!$M$92:$M$111,$G472,月間集計シート!T$92:T$111)*AK$2</f>
        <v>0</v>
      </c>
      <c r="AL472" s="88">
        <f>SUMIF(月間集計シート!$M$113:$M$132,$G472,月間集計シート!N$113:N$132)*AL$2</f>
        <v>0</v>
      </c>
      <c r="AM472" s="88">
        <f>SUMIF(月間集計シート!$M$113:$M$132,$G472,月間集計シート!O$113:O$132)*AM$2</f>
        <v>0</v>
      </c>
      <c r="AN472" s="88">
        <f>SUMIF(月間集計シート!$M$113:$M$132,$G472,月間集計シート!P$113:P$132)*AN$2</f>
        <v>0</v>
      </c>
      <c r="AO472" s="88">
        <f>SUMIF(月間集計シート!$M$113:$M$132,$G472,月間集計シート!Q$113:Q$132)*AO$2</f>
        <v>0</v>
      </c>
      <c r="AP472" s="88">
        <f>SUMIF(月間集計シート!$M$113:$M$132,$G472,月間集計シート!R$113:R$132)*AP$2</f>
        <v>0</v>
      </c>
      <c r="AQ472" s="88">
        <f>SUMIF(月間集計シート!$M$113:$M$132,$G472,月間集計シート!S$113:S$132)*AQ$2</f>
        <v>0</v>
      </c>
      <c r="AR472" s="88">
        <f>SUMIF(月間集計シート!$M$113:$M$132,$G472,月間集計シート!T$113:T$132)*AR$2</f>
        <v>0</v>
      </c>
      <c r="AS472" s="88">
        <f>SUMIF(月間集計シート!$M$134:$M$153,$G472,月間集計シート!N$134:N$153)*AS$2</f>
        <v>0</v>
      </c>
      <c r="AT472" s="88">
        <f>SUMIF(月間集計シート!$M$134:$M$153,$G472,月間集計シート!O$134:O$153)*AT$2</f>
        <v>0</v>
      </c>
      <c r="AU472" s="88">
        <f>SUMIF(月間集計シート!$M$134:$M$153,$G472,月間集計シート!P$134:P$153)*AU$2</f>
        <v>0</v>
      </c>
      <c r="AV472" s="88">
        <f>SUMIF(月間集計シート!$M$134:$M$153,$G472,月間集計シート!Q$134:Q$153)*AV$2</f>
        <v>0</v>
      </c>
      <c r="AW472" s="88">
        <f>SUMIF(月間集計シート!$M$134:$M$153,$G472,月間集計シート!R$134:R$153)*AW$2</f>
        <v>0</v>
      </c>
      <c r="AX472" s="88">
        <f>SUMIF(月間集計シート!$M$134:$M$153,$G472,月間集計シート!S$134:S$153)*AX$2</f>
        <v>0</v>
      </c>
      <c r="AY472" s="88">
        <f>SUMIF(月間集計シート!$M$134:$M$153,$G472,月間集計シート!T$134:T$153)*AY$2</f>
        <v>0</v>
      </c>
    </row>
    <row r="473" spans="1:51" ht="14.25" thickBot="1">
      <c r="A473">
        <v>6</v>
      </c>
      <c r="B473" s="120">
        <f t="shared" si="238"/>
        <v>0</v>
      </c>
      <c r="C473" s="120" t="str">
        <f t="shared" si="239"/>
        <v/>
      </c>
      <c r="D473" s="137"/>
      <c r="E473" s="150" t="str">
        <f>工種!A40</f>
        <v>50106</v>
      </c>
      <c r="F473" s="119" t="str">
        <f>工種!B40</f>
        <v>ﾏﾆｭｱﾙ作成：ﾚﾋﾞｭｰ</v>
      </c>
      <c r="G473" s="116" t="str">
        <f t="shared" si="240"/>
        <v>050106</v>
      </c>
      <c r="H473" s="88">
        <f t="shared" si="194"/>
        <v>0</v>
      </c>
      <c r="I473" s="132"/>
      <c r="J473" s="88">
        <f>SUMIF(月間集計シート!$M$29:$M$48,$G473,月間集計シート!N$29:N$48)*J$2</f>
        <v>0</v>
      </c>
      <c r="K473" s="88">
        <f>SUMIF(月間集計シート!$M$29:$M$48,$G473,月間集計シート!O$29:O$48)*K$2</f>
        <v>0</v>
      </c>
      <c r="L473" s="88">
        <f>SUMIF(月間集計シート!$M$29:$M$48,$G473,月間集計シート!P$29:P$48)*L$2</f>
        <v>0</v>
      </c>
      <c r="M473" s="88">
        <f>SUMIF(月間集計シート!$M$29:$M$48,$G473,月間集計シート!Q$29:Q$48)*M$2</f>
        <v>0</v>
      </c>
      <c r="N473" s="88">
        <f>SUMIF(月間集計シート!$M$29:$M$48,$G473,月間集計シート!R$29:R$48)*N$2</f>
        <v>0</v>
      </c>
      <c r="O473" s="88">
        <f>SUMIF(月間集計シート!$M$29:$M$48,$G473,月間集計シート!S$29:S$48)*O$2</f>
        <v>0</v>
      </c>
      <c r="P473" s="88">
        <f>SUMIF(月間集計シート!$M$29:$M$48,$G473,月間集計シート!T$29:T$48)*P$2</f>
        <v>0</v>
      </c>
      <c r="Q473" s="88">
        <f>SUMIF(月間集計シート!$M$50:$M$69,$G473,月間集計シート!N$50:N$69)*Q$2</f>
        <v>0</v>
      </c>
      <c r="R473" s="88">
        <f>SUMIF(月間集計シート!$M$50:$M$69,$G473,月間集計シート!O$50:O$69)*R$2</f>
        <v>0</v>
      </c>
      <c r="S473" s="88">
        <f>SUMIF(月間集計シート!$M$50:$M$69,$G473,月間集計シート!P$50:P$69)*S$2</f>
        <v>0</v>
      </c>
      <c r="T473" s="88">
        <f>SUMIF(月間集計シート!$M$50:$M$69,$G473,月間集計シート!Q$50:Q$69)*T$2</f>
        <v>0</v>
      </c>
      <c r="U473" s="88">
        <f>SUMIF(月間集計シート!$M$50:$M$69,$G473,月間集計シート!R$50:R$69)*U$2</f>
        <v>0</v>
      </c>
      <c r="V473" s="88">
        <f>SUMIF(月間集計シート!$M$50:$M$69,$G473,月間集計シート!S$50:S$69)*V$2</f>
        <v>0</v>
      </c>
      <c r="W473" s="88">
        <f>SUMIF(月間集計シート!$M$50:$M$69,$G473,月間集計シート!T$50:T$69)*W$2</f>
        <v>0</v>
      </c>
      <c r="X473" s="88">
        <f>SUMIF(月間集計シート!$M$71:$M$90,$G473,月間集計シート!N$71:N$90)*X$2</f>
        <v>0</v>
      </c>
      <c r="Y473" s="88">
        <f>SUMIF(月間集計シート!$M$71:$M$90,$G473,月間集計シート!O$71:O$90)*Y$2</f>
        <v>0</v>
      </c>
      <c r="Z473" s="88">
        <f>SUMIF(月間集計シート!$M$71:$M$90,$G473,月間集計シート!P$71:P$90)*Z$2</f>
        <v>0</v>
      </c>
      <c r="AA473" s="88">
        <f>SUMIF(月間集計シート!$M$71:$M$90,$G473,月間集計シート!Q$71:Q$90)*AA$2</f>
        <v>0</v>
      </c>
      <c r="AB473" s="88">
        <f>SUMIF(月間集計シート!$M$71:$M$90,$G473,月間集計シート!R$71:R$90)*AB$2</f>
        <v>0</v>
      </c>
      <c r="AC473" s="88">
        <f>SUMIF(月間集計シート!$M$71:$M$90,$G473,月間集計シート!S$71:S$90)*AC$2</f>
        <v>0</v>
      </c>
      <c r="AD473" s="88">
        <f>SUMIF(月間集計シート!$M$71:$M$90,$G473,月間集計シート!T$71:T$90)*AD$2</f>
        <v>0</v>
      </c>
      <c r="AE473" s="88">
        <f>SUMIF(月間集計シート!$M$92:$M$111,$G473,月間集計シート!N$92:N$111)*AE$2</f>
        <v>0</v>
      </c>
      <c r="AF473" s="88">
        <f>SUMIF(月間集計シート!$M$92:$M$111,$G473,月間集計シート!O$92:O$111)*AF$2</f>
        <v>0</v>
      </c>
      <c r="AG473" s="88">
        <f>SUMIF(月間集計シート!$M$92:$M$111,$G473,月間集計シート!P$92:P$111)*AG$2</f>
        <v>0</v>
      </c>
      <c r="AH473" s="88">
        <f>SUMIF(月間集計シート!$M$92:$M$111,$G473,月間集計シート!Q$92:Q$111)*AH$2</f>
        <v>0</v>
      </c>
      <c r="AI473" s="88">
        <f>SUMIF(月間集計シート!$M$92:$M$111,$G473,月間集計シート!R$92:R$111)*AI$2</f>
        <v>0</v>
      </c>
      <c r="AJ473" s="88">
        <f>SUMIF(月間集計シート!$M$92:$M$111,$G473,月間集計シート!S$92:S$111)*AJ$2</f>
        <v>0</v>
      </c>
      <c r="AK473" s="88">
        <f>SUMIF(月間集計シート!$M$92:$M$111,$G473,月間集計シート!T$92:T$111)*AK$2</f>
        <v>0</v>
      </c>
      <c r="AL473" s="88">
        <f>SUMIF(月間集計シート!$M$113:$M$132,$G473,月間集計シート!N$113:N$132)*AL$2</f>
        <v>0</v>
      </c>
      <c r="AM473" s="88">
        <f>SUMIF(月間集計シート!$M$113:$M$132,$G473,月間集計シート!O$113:O$132)*AM$2</f>
        <v>0</v>
      </c>
      <c r="AN473" s="88">
        <f>SUMIF(月間集計シート!$M$113:$M$132,$G473,月間集計シート!P$113:P$132)*AN$2</f>
        <v>0</v>
      </c>
      <c r="AO473" s="88">
        <f>SUMIF(月間集計シート!$M$113:$M$132,$G473,月間集計シート!Q$113:Q$132)*AO$2</f>
        <v>0</v>
      </c>
      <c r="AP473" s="88">
        <f>SUMIF(月間集計シート!$M$113:$M$132,$G473,月間集計シート!R$113:R$132)*AP$2</f>
        <v>0</v>
      </c>
      <c r="AQ473" s="88">
        <f>SUMIF(月間集計シート!$M$113:$M$132,$G473,月間集計シート!S$113:S$132)*AQ$2</f>
        <v>0</v>
      </c>
      <c r="AR473" s="88">
        <f>SUMIF(月間集計シート!$M$113:$M$132,$G473,月間集計シート!T$113:T$132)*AR$2</f>
        <v>0</v>
      </c>
      <c r="AS473" s="88">
        <f>SUMIF(月間集計シート!$M$134:$M$153,$G473,月間集計シート!N$134:N$153)*AS$2</f>
        <v>0</v>
      </c>
      <c r="AT473" s="88">
        <f>SUMIF(月間集計シート!$M$134:$M$153,$G473,月間集計シート!O$134:O$153)*AT$2</f>
        <v>0</v>
      </c>
      <c r="AU473" s="88">
        <f>SUMIF(月間集計シート!$M$134:$M$153,$G473,月間集計シート!P$134:P$153)*AU$2</f>
        <v>0</v>
      </c>
      <c r="AV473" s="88">
        <f>SUMIF(月間集計シート!$M$134:$M$153,$G473,月間集計シート!Q$134:Q$153)*AV$2</f>
        <v>0</v>
      </c>
      <c r="AW473" s="88">
        <f>SUMIF(月間集計シート!$M$134:$M$153,$G473,月間集計シート!R$134:R$153)*AW$2</f>
        <v>0</v>
      </c>
      <c r="AX473" s="88">
        <f>SUMIF(月間集計シート!$M$134:$M$153,$G473,月間集計シート!S$134:S$153)*AX$2</f>
        <v>0</v>
      </c>
      <c r="AY473" s="88">
        <f>SUMIF(月間集計シート!$M$134:$M$153,$G473,月間集計シート!T$134:T$153)*AY$2</f>
        <v>0</v>
      </c>
    </row>
    <row r="474" spans="1:51" ht="14.25" thickBot="1">
      <c r="A474">
        <v>6</v>
      </c>
      <c r="B474" s="120">
        <f t="shared" si="238"/>
        <v>0</v>
      </c>
      <c r="C474" s="120" t="str">
        <f t="shared" si="239"/>
        <v/>
      </c>
      <c r="D474" s="137"/>
      <c r="E474" s="150" t="str">
        <f>工種!A41</f>
        <v>50199</v>
      </c>
      <c r="F474" s="119" t="str">
        <f>工種!B41</f>
        <v>ﾏﾆｭｱﾙ作成：その他</v>
      </c>
      <c r="G474" s="116" t="str">
        <f t="shared" si="240"/>
        <v>050199</v>
      </c>
      <c r="H474" s="88">
        <f t="shared" si="194"/>
        <v>0</v>
      </c>
      <c r="I474" s="132"/>
      <c r="J474" s="88">
        <f>SUMIF(月間集計シート!$M$29:$M$48,$G474,月間集計シート!N$29:N$48)*J$2</f>
        <v>0</v>
      </c>
      <c r="K474" s="88">
        <f>SUMIF(月間集計シート!$M$29:$M$48,$G474,月間集計シート!O$29:O$48)*K$2</f>
        <v>0</v>
      </c>
      <c r="L474" s="88">
        <f>SUMIF(月間集計シート!$M$29:$M$48,$G474,月間集計シート!P$29:P$48)*L$2</f>
        <v>0</v>
      </c>
      <c r="M474" s="88">
        <f>SUMIF(月間集計シート!$M$29:$M$48,$G474,月間集計シート!Q$29:Q$48)*M$2</f>
        <v>0</v>
      </c>
      <c r="N474" s="88">
        <f>SUMIF(月間集計シート!$M$29:$M$48,$G474,月間集計シート!R$29:R$48)*N$2</f>
        <v>0</v>
      </c>
      <c r="O474" s="88">
        <f>SUMIF(月間集計シート!$M$29:$M$48,$G474,月間集計シート!S$29:S$48)*O$2</f>
        <v>0</v>
      </c>
      <c r="P474" s="88">
        <f>SUMIF(月間集計シート!$M$29:$M$48,$G474,月間集計シート!T$29:T$48)*P$2</f>
        <v>0</v>
      </c>
      <c r="Q474" s="88">
        <f>SUMIF(月間集計シート!$M$50:$M$69,$G474,月間集計シート!N$50:N$69)*Q$2</f>
        <v>0</v>
      </c>
      <c r="R474" s="88">
        <f>SUMIF(月間集計シート!$M$50:$M$69,$G474,月間集計シート!O$50:O$69)*R$2</f>
        <v>0</v>
      </c>
      <c r="S474" s="88">
        <f>SUMIF(月間集計シート!$M$50:$M$69,$G474,月間集計シート!P$50:P$69)*S$2</f>
        <v>0</v>
      </c>
      <c r="T474" s="88">
        <f>SUMIF(月間集計シート!$M$50:$M$69,$G474,月間集計シート!Q$50:Q$69)*T$2</f>
        <v>0</v>
      </c>
      <c r="U474" s="88">
        <f>SUMIF(月間集計シート!$M$50:$M$69,$G474,月間集計シート!R$50:R$69)*U$2</f>
        <v>0</v>
      </c>
      <c r="V474" s="88">
        <f>SUMIF(月間集計シート!$M$50:$M$69,$G474,月間集計シート!S$50:S$69)*V$2</f>
        <v>0</v>
      </c>
      <c r="W474" s="88">
        <f>SUMIF(月間集計シート!$M$50:$M$69,$G474,月間集計シート!T$50:T$69)*W$2</f>
        <v>0</v>
      </c>
      <c r="X474" s="88">
        <f>SUMIF(月間集計シート!$M$71:$M$90,$G474,月間集計シート!N$71:N$90)*X$2</f>
        <v>0</v>
      </c>
      <c r="Y474" s="88">
        <f>SUMIF(月間集計シート!$M$71:$M$90,$G474,月間集計シート!O$71:O$90)*Y$2</f>
        <v>0</v>
      </c>
      <c r="Z474" s="88">
        <f>SUMIF(月間集計シート!$M$71:$M$90,$G474,月間集計シート!P$71:P$90)*Z$2</f>
        <v>0</v>
      </c>
      <c r="AA474" s="88">
        <f>SUMIF(月間集計シート!$M$71:$M$90,$G474,月間集計シート!Q$71:Q$90)*AA$2</f>
        <v>0</v>
      </c>
      <c r="AB474" s="88">
        <f>SUMIF(月間集計シート!$M$71:$M$90,$G474,月間集計シート!R$71:R$90)*AB$2</f>
        <v>0</v>
      </c>
      <c r="AC474" s="88">
        <f>SUMIF(月間集計シート!$M$71:$M$90,$G474,月間集計シート!S$71:S$90)*AC$2</f>
        <v>0</v>
      </c>
      <c r="AD474" s="88">
        <f>SUMIF(月間集計シート!$M$71:$M$90,$G474,月間集計シート!T$71:T$90)*AD$2</f>
        <v>0</v>
      </c>
      <c r="AE474" s="88">
        <f>SUMIF(月間集計シート!$M$92:$M$111,$G474,月間集計シート!N$92:N$111)*AE$2</f>
        <v>0</v>
      </c>
      <c r="AF474" s="88">
        <f>SUMIF(月間集計シート!$M$92:$M$111,$G474,月間集計シート!O$92:O$111)*AF$2</f>
        <v>0</v>
      </c>
      <c r="AG474" s="88">
        <f>SUMIF(月間集計シート!$M$92:$M$111,$G474,月間集計シート!P$92:P$111)*AG$2</f>
        <v>0</v>
      </c>
      <c r="AH474" s="88">
        <f>SUMIF(月間集計シート!$M$92:$M$111,$G474,月間集計シート!Q$92:Q$111)*AH$2</f>
        <v>0</v>
      </c>
      <c r="AI474" s="88">
        <f>SUMIF(月間集計シート!$M$92:$M$111,$G474,月間集計シート!R$92:R$111)*AI$2</f>
        <v>0</v>
      </c>
      <c r="AJ474" s="88">
        <f>SUMIF(月間集計シート!$M$92:$M$111,$G474,月間集計シート!S$92:S$111)*AJ$2</f>
        <v>0</v>
      </c>
      <c r="AK474" s="88">
        <f>SUMIF(月間集計シート!$M$92:$M$111,$G474,月間集計シート!T$92:T$111)*AK$2</f>
        <v>0</v>
      </c>
      <c r="AL474" s="88">
        <f>SUMIF(月間集計シート!$M$113:$M$132,$G474,月間集計シート!N$113:N$132)*AL$2</f>
        <v>0</v>
      </c>
      <c r="AM474" s="88">
        <f>SUMIF(月間集計シート!$M$113:$M$132,$G474,月間集計シート!O$113:O$132)*AM$2</f>
        <v>0</v>
      </c>
      <c r="AN474" s="88">
        <f>SUMIF(月間集計シート!$M$113:$M$132,$G474,月間集計シート!P$113:P$132)*AN$2</f>
        <v>0</v>
      </c>
      <c r="AO474" s="88">
        <f>SUMIF(月間集計シート!$M$113:$M$132,$G474,月間集計シート!Q$113:Q$132)*AO$2</f>
        <v>0</v>
      </c>
      <c r="AP474" s="88">
        <f>SUMIF(月間集計シート!$M$113:$M$132,$G474,月間集計シート!R$113:R$132)*AP$2</f>
        <v>0</v>
      </c>
      <c r="AQ474" s="88">
        <f>SUMIF(月間集計シート!$M$113:$M$132,$G474,月間集計シート!S$113:S$132)*AQ$2</f>
        <v>0</v>
      </c>
      <c r="AR474" s="88">
        <f>SUMIF(月間集計シート!$M$113:$M$132,$G474,月間集計シート!T$113:T$132)*AR$2</f>
        <v>0</v>
      </c>
      <c r="AS474" s="88">
        <f>SUMIF(月間集計シート!$M$134:$M$153,$G474,月間集計シート!N$134:N$153)*AS$2</f>
        <v>0</v>
      </c>
      <c r="AT474" s="88">
        <f>SUMIF(月間集計シート!$M$134:$M$153,$G474,月間集計シート!O$134:O$153)*AT$2</f>
        <v>0</v>
      </c>
      <c r="AU474" s="88">
        <f>SUMIF(月間集計シート!$M$134:$M$153,$G474,月間集計シート!P$134:P$153)*AU$2</f>
        <v>0</v>
      </c>
      <c r="AV474" s="88">
        <f>SUMIF(月間集計シート!$M$134:$M$153,$G474,月間集計シート!Q$134:Q$153)*AV$2</f>
        <v>0</v>
      </c>
      <c r="AW474" s="88">
        <f>SUMIF(月間集計シート!$M$134:$M$153,$G474,月間集計シート!R$134:R$153)*AW$2</f>
        <v>0</v>
      </c>
      <c r="AX474" s="88">
        <f>SUMIF(月間集計シート!$M$134:$M$153,$G474,月間集計シート!S$134:S$153)*AX$2</f>
        <v>0</v>
      </c>
      <c r="AY474" s="88">
        <f>SUMIF(月間集計シート!$M$134:$M$153,$G474,月間集計シート!T$134:T$153)*AY$2</f>
        <v>0</v>
      </c>
    </row>
    <row r="475" spans="1:51" ht="14.25" thickBot="1">
      <c r="A475">
        <v>6</v>
      </c>
      <c r="B475" s="120">
        <f t="shared" si="238"/>
        <v>0</v>
      </c>
      <c r="C475" s="120" t="str">
        <f t="shared" si="239"/>
        <v/>
      </c>
      <c r="D475" s="137"/>
      <c r="E475" s="150" t="str">
        <f>工種!A42</f>
        <v>60101</v>
      </c>
      <c r="F475" s="119" t="str">
        <f>工種!B42</f>
        <v>ﾘﾘｰｽ：ﾘﾘｰｽ・ﾃﾞﾘﾊﾞﾘ作業</v>
      </c>
      <c r="G475" s="116" t="str">
        <f t="shared" si="240"/>
        <v>060101</v>
      </c>
      <c r="H475" s="88">
        <f t="shared" si="194"/>
        <v>0</v>
      </c>
      <c r="I475" s="132"/>
      <c r="J475" s="88">
        <f>SUMIF(月間集計シート!$M$29:$M$48,$G475,月間集計シート!N$29:N$48)*J$2</f>
        <v>0</v>
      </c>
      <c r="K475" s="88">
        <f>SUMIF(月間集計シート!$M$29:$M$48,$G475,月間集計シート!O$29:O$48)*K$2</f>
        <v>0</v>
      </c>
      <c r="L475" s="88">
        <f>SUMIF(月間集計シート!$M$29:$M$48,$G475,月間集計シート!P$29:P$48)*L$2</f>
        <v>0</v>
      </c>
      <c r="M475" s="88">
        <f>SUMIF(月間集計シート!$M$29:$M$48,$G475,月間集計シート!Q$29:Q$48)*M$2</f>
        <v>0</v>
      </c>
      <c r="N475" s="88">
        <f>SUMIF(月間集計シート!$M$29:$M$48,$G475,月間集計シート!R$29:R$48)*N$2</f>
        <v>0</v>
      </c>
      <c r="O475" s="88">
        <f>SUMIF(月間集計シート!$M$29:$M$48,$G475,月間集計シート!S$29:S$48)*O$2</f>
        <v>0</v>
      </c>
      <c r="P475" s="88">
        <f>SUMIF(月間集計シート!$M$29:$M$48,$G475,月間集計シート!T$29:T$48)*P$2</f>
        <v>0</v>
      </c>
      <c r="Q475" s="88">
        <f>SUMIF(月間集計シート!$M$50:$M$69,$G475,月間集計シート!N$50:N$69)*Q$2</f>
        <v>0</v>
      </c>
      <c r="R475" s="88">
        <f>SUMIF(月間集計シート!$M$50:$M$69,$G475,月間集計シート!O$50:O$69)*R$2</f>
        <v>0</v>
      </c>
      <c r="S475" s="88">
        <f>SUMIF(月間集計シート!$M$50:$M$69,$G475,月間集計シート!P$50:P$69)*S$2</f>
        <v>0</v>
      </c>
      <c r="T475" s="88">
        <f>SUMIF(月間集計シート!$M$50:$M$69,$G475,月間集計シート!Q$50:Q$69)*T$2</f>
        <v>0</v>
      </c>
      <c r="U475" s="88">
        <f>SUMIF(月間集計シート!$M$50:$M$69,$G475,月間集計シート!R$50:R$69)*U$2</f>
        <v>0</v>
      </c>
      <c r="V475" s="88">
        <f>SUMIF(月間集計シート!$M$50:$M$69,$G475,月間集計シート!S$50:S$69)*V$2</f>
        <v>0</v>
      </c>
      <c r="W475" s="88">
        <f>SUMIF(月間集計シート!$M$50:$M$69,$G475,月間集計シート!T$50:T$69)*W$2</f>
        <v>0</v>
      </c>
      <c r="X475" s="88">
        <f>SUMIF(月間集計シート!$M$71:$M$90,$G475,月間集計シート!N$71:N$90)*X$2</f>
        <v>0</v>
      </c>
      <c r="Y475" s="88">
        <f>SUMIF(月間集計シート!$M$71:$M$90,$G475,月間集計シート!O$71:O$90)*Y$2</f>
        <v>0</v>
      </c>
      <c r="Z475" s="88">
        <f>SUMIF(月間集計シート!$M$71:$M$90,$G475,月間集計シート!P$71:P$90)*Z$2</f>
        <v>0</v>
      </c>
      <c r="AA475" s="88">
        <f>SUMIF(月間集計シート!$M$71:$M$90,$G475,月間集計シート!Q$71:Q$90)*AA$2</f>
        <v>0</v>
      </c>
      <c r="AB475" s="88">
        <f>SUMIF(月間集計シート!$M$71:$M$90,$G475,月間集計シート!R$71:R$90)*AB$2</f>
        <v>0</v>
      </c>
      <c r="AC475" s="88">
        <f>SUMIF(月間集計シート!$M$71:$M$90,$G475,月間集計シート!S$71:S$90)*AC$2</f>
        <v>0</v>
      </c>
      <c r="AD475" s="88">
        <f>SUMIF(月間集計シート!$M$71:$M$90,$G475,月間集計シート!T$71:T$90)*AD$2</f>
        <v>0</v>
      </c>
      <c r="AE475" s="88">
        <f>SUMIF(月間集計シート!$M$92:$M$111,$G475,月間集計シート!N$92:N$111)*AE$2</f>
        <v>0</v>
      </c>
      <c r="AF475" s="88">
        <f>SUMIF(月間集計シート!$M$92:$M$111,$G475,月間集計シート!O$92:O$111)*AF$2</f>
        <v>0</v>
      </c>
      <c r="AG475" s="88">
        <f>SUMIF(月間集計シート!$M$92:$M$111,$G475,月間集計シート!P$92:P$111)*AG$2</f>
        <v>0</v>
      </c>
      <c r="AH475" s="88">
        <f>SUMIF(月間集計シート!$M$92:$M$111,$G475,月間集計シート!Q$92:Q$111)*AH$2</f>
        <v>0</v>
      </c>
      <c r="AI475" s="88">
        <f>SUMIF(月間集計シート!$M$92:$M$111,$G475,月間集計シート!R$92:R$111)*AI$2</f>
        <v>0</v>
      </c>
      <c r="AJ475" s="88">
        <f>SUMIF(月間集計シート!$M$92:$M$111,$G475,月間集計シート!S$92:S$111)*AJ$2</f>
        <v>0</v>
      </c>
      <c r="AK475" s="88">
        <f>SUMIF(月間集計シート!$M$92:$M$111,$G475,月間集計シート!T$92:T$111)*AK$2</f>
        <v>0</v>
      </c>
      <c r="AL475" s="88">
        <f>SUMIF(月間集計シート!$M$113:$M$132,$G475,月間集計シート!N$113:N$132)*AL$2</f>
        <v>0</v>
      </c>
      <c r="AM475" s="88">
        <f>SUMIF(月間集計シート!$M$113:$M$132,$G475,月間集計シート!O$113:O$132)*AM$2</f>
        <v>0</v>
      </c>
      <c r="AN475" s="88">
        <f>SUMIF(月間集計シート!$M$113:$M$132,$G475,月間集計シート!P$113:P$132)*AN$2</f>
        <v>0</v>
      </c>
      <c r="AO475" s="88">
        <f>SUMIF(月間集計シート!$M$113:$M$132,$G475,月間集計シート!Q$113:Q$132)*AO$2</f>
        <v>0</v>
      </c>
      <c r="AP475" s="88">
        <f>SUMIF(月間集計シート!$M$113:$M$132,$G475,月間集計シート!R$113:R$132)*AP$2</f>
        <v>0</v>
      </c>
      <c r="AQ475" s="88">
        <f>SUMIF(月間集計シート!$M$113:$M$132,$G475,月間集計シート!S$113:S$132)*AQ$2</f>
        <v>0</v>
      </c>
      <c r="AR475" s="88">
        <f>SUMIF(月間集計シート!$M$113:$M$132,$G475,月間集計シート!T$113:T$132)*AR$2</f>
        <v>0</v>
      </c>
      <c r="AS475" s="88">
        <f>SUMIF(月間集計シート!$M$134:$M$153,$G475,月間集計シート!N$134:N$153)*AS$2</f>
        <v>0</v>
      </c>
      <c r="AT475" s="88">
        <f>SUMIF(月間集計シート!$M$134:$M$153,$G475,月間集計シート!O$134:O$153)*AT$2</f>
        <v>0</v>
      </c>
      <c r="AU475" s="88">
        <f>SUMIF(月間集計シート!$M$134:$M$153,$G475,月間集計シート!P$134:P$153)*AU$2</f>
        <v>0</v>
      </c>
      <c r="AV475" s="88">
        <f>SUMIF(月間集計シート!$M$134:$M$153,$G475,月間集計シート!Q$134:Q$153)*AV$2</f>
        <v>0</v>
      </c>
      <c r="AW475" s="88">
        <f>SUMIF(月間集計シート!$M$134:$M$153,$G475,月間集計シート!R$134:R$153)*AW$2</f>
        <v>0</v>
      </c>
      <c r="AX475" s="88">
        <f>SUMIF(月間集計シート!$M$134:$M$153,$G475,月間集計シート!S$134:S$153)*AX$2</f>
        <v>0</v>
      </c>
      <c r="AY475" s="88">
        <f>SUMIF(月間集計シート!$M$134:$M$153,$G475,月間集計シート!T$134:T$153)*AY$2</f>
        <v>0</v>
      </c>
    </row>
    <row r="476" spans="1:51" ht="14.25" thickBot="1">
      <c r="A476">
        <v>6</v>
      </c>
      <c r="B476" s="120">
        <f t="shared" si="238"/>
        <v>0</v>
      </c>
      <c r="C476" s="120" t="str">
        <f t="shared" si="239"/>
        <v/>
      </c>
      <c r="D476" s="137"/>
      <c r="E476" s="150" t="str">
        <f>工種!A43</f>
        <v>60102</v>
      </c>
      <c r="F476" s="119" t="str">
        <f>工種!B43</f>
        <v>ﾘﾘｰｽ：ﾘﾘｰｽ関連業務</v>
      </c>
      <c r="G476" s="116" t="str">
        <f t="shared" si="240"/>
        <v>060102</v>
      </c>
      <c r="H476" s="88">
        <f t="shared" si="194"/>
        <v>0</v>
      </c>
      <c r="I476" s="132"/>
      <c r="J476" s="88">
        <f>SUMIF(月間集計シート!$M$29:$M$48,$G476,月間集計シート!N$29:N$48)*J$2</f>
        <v>0</v>
      </c>
      <c r="K476" s="88">
        <f>SUMIF(月間集計シート!$M$29:$M$48,$G476,月間集計シート!O$29:O$48)*K$2</f>
        <v>0</v>
      </c>
      <c r="L476" s="88">
        <f>SUMIF(月間集計シート!$M$29:$M$48,$G476,月間集計シート!P$29:P$48)*L$2</f>
        <v>0</v>
      </c>
      <c r="M476" s="88">
        <f>SUMIF(月間集計シート!$M$29:$M$48,$G476,月間集計シート!Q$29:Q$48)*M$2</f>
        <v>0</v>
      </c>
      <c r="N476" s="88">
        <f>SUMIF(月間集計シート!$M$29:$M$48,$G476,月間集計シート!R$29:R$48)*N$2</f>
        <v>0</v>
      </c>
      <c r="O476" s="88">
        <f>SUMIF(月間集計シート!$M$29:$M$48,$G476,月間集計シート!S$29:S$48)*O$2</f>
        <v>0</v>
      </c>
      <c r="P476" s="88">
        <f>SUMIF(月間集計シート!$M$29:$M$48,$G476,月間集計シート!T$29:T$48)*P$2</f>
        <v>0</v>
      </c>
      <c r="Q476" s="88">
        <f>SUMIF(月間集計シート!$M$50:$M$69,$G476,月間集計シート!N$50:N$69)*Q$2</f>
        <v>0</v>
      </c>
      <c r="R476" s="88">
        <f>SUMIF(月間集計シート!$M$50:$M$69,$G476,月間集計シート!O$50:O$69)*R$2</f>
        <v>0</v>
      </c>
      <c r="S476" s="88">
        <f>SUMIF(月間集計シート!$M$50:$M$69,$G476,月間集計シート!P$50:P$69)*S$2</f>
        <v>0</v>
      </c>
      <c r="T476" s="88">
        <f>SUMIF(月間集計シート!$M$50:$M$69,$G476,月間集計シート!Q$50:Q$69)*T$2</f>
        <v>0</v>
      </c>
      <c r="U476" s="88">
        <f>SUMIF(月間集計シート!$M$50:$M$69,$G476,月間集計シート!R$50:R$69)*U$2</f>
        <v>0</v>
      </c>
      <c r="V476" s="88">
        <f>SUMIF(月間集計シート!$M$50:$M$69,$G476,月間集計シート!S$50:S$69)*V$2</f>
        <v>0</v>
      </c>
      <c r="W476" s="88">
        <f>SUMIF(月間集計シート!$M$50:$M$69,$G476,月間集計シート!T$50:T$69)*W$2</f>
        <v>0</v>
      </c>
      <c r="X476" s="88">
        <f>SUMIF(月間集計シート!$M$71:$M$90,$G476,月間集計シート!N$71:N$90)*X$2</f>
        <v>0</v>
      </c>
      <c r="Y476" s="88">
        <f>SUMIF(月間集計シート!$M$71:$M$90,$G476,月間集計シート!O$71:O$90)*Y$2</f>
        <v>0</v>
      </c>
      <c r="Z476" s="88">
        <f>SUMIF(月間集計シート!$M$71:$M$90,$G476,月間集計シート!P$71:P$90)*Z$2</f>
        <v>0</v>
      </c>
      <c r="AA476" s="88">
        <f>SUMIF(月間集計シート!$M$71:$M$90,$G476,月間集計シート!Q$71:Q$90)*AA$2</f>
        <v>0</v>
      </c>
      <c r="AB476" s="88">
        <f>SUMIF(月間集計シート!$M$71:$M$90,$G476,月間集計シート!R$71:R$90)*AB$2</f>
        <v>0</v>
      </c>
      <c r="AC476" s="88">
        <f>SUMIF(月間集計シート!$M$71:$M$90,$G476,月間集計シート!S$71:S$90)*AC$2</f>
        <v>0</v>
      </c>
      <c r="AD476" s="88">
        <f>SUMIF(月間集計シート!$M$71:$M$90,$G476,月間集計シート!T$71:T$90)*AD$2</f>
        <v>0</v>
      </c>
      <c r="AE476" s="88">
        <f>SUMIF(月間集計シート!$M$92:$M$111,$G476,月間集計シート!N$92:N$111)*AE$2</f>
        <v>0</v>
      </c>
      <c r="AF476" s="88">
        <f>SUMIF(月間集計シート!$M$92:$M$111,$G476,月間集計シート!O$92:O$111)*AF$2</f>
        <v>0</v>
      </c>
      <c r="AG476" s="88">
        <f>SUMIF(月間集計シート!$M$92:$M$111,$G476,月間集計シート!P$92:P$111)*AG$2</f>
        <v>0</v>
      </c>
      <c r="AH476" s="88">
        <f>SUMIF(月間集計シート!$M$92:$M$111,$G476,月間集計シート!Q$92:Q$111)*AH$2</f>
        <v>0</v>
      </c>
      <c r="AI476" s="88">
        <f>SUMIF(月間集計シート!$M$92:$M$111,$G476,月間集計シート!R$92:R$111)*AI$2</f>
        <v>0</v>
      </c>
      <c r="AJ476" s="88">
        <f>SUMIF(月間集計シート!$M$92:$M$111,$G476,月間集計シート!S$92:S$111)*AJ$2</f>
        <v>0</v>
      </c>
      <c r="AK476" s="88">
        <f>SUMIF(月間集計シート!$M$92:$M$111,$G476,月間集計シート!T$92:T$111)*AK$2</f>
        <v>0</v>
      </c>
      <c r="AL476" s="88">
        <f>SUMIF(月間集計シート!$M$113:$M$132,$G476,月間集計シート!N$113:N$132)*AL$2</f>
        <v>0</v>
      </c>
      <c r="AM476" s="88">
        <f>SUMIF(月間集計シート!$M$113:$M$132,$G476,月間集計シート!O$113:O$132)*AM$2</f>
        <v>0</v>
      </c>
      <c r="AN476" s="88">
        <f>SUMIF(月間集計シート!$M$113:$M$132,$G476,月間集計シート!P$113:P$132)*AN$2</f>
        <v>0</v>
      </c>
      <c r="AO476" s="88">
        <f>SUMIF(月間集計シート!$M$113:$M$132,$G476,月間集計シート!Q$113:Q$132)*AO$2</f>
        <v>0</v>
      </c>
      <c r="AP476" s="88">
        <f>SUMIF(月間集計シート!$M$113:$M$132,$G476,月間集計シート!R$113:R$132)*AP$2</f>
        <v>0</v>
      </c>
      <c r="AQ476" s="88">
        <f>SUMIF(月間集計シート!$M$113:$M$132,$G476,月間集計シート!S$113:S$132)*AQ$2</f>
        <v>0</v>
      </c>
      <c r="AR476" s="88">
        <f>SUMIF(月間集計シート!$M$113:$M$132,$G476,月間集計シート!T$113:T$132)*AR$2</f>
        <v>0</v>
      </c>
      <c r="AS476" s="88">
        <f>SUMIF(月間集計シート!$M$134:$M$153,$G476,月間集計シート!N$134:N$153)*AS$2</f>
        <v>0</v>
      </c>
      <c r="AT476" s="88">
        <f>SUMIF(月間集計シート!$M$134:$M$153,$G476,月間集計シート!O$134:O$153)*AT$2</f>
        <v>0</v>
      </c>
      <c r="AU476" s="88">
        <f>SUMIF(月間集計シート!$M$134:$M$153,$G476,月間集計シート!P$134:P$153)*AU$2</f>
        <v>0</v>
      </c>
      <c r="AV476" s="88">
        <f>SUMIF(月間集計シート!$M$134:$M$153,$G476,月間集計シート!Q$134:Q$153)*AV$2</f>
        <v>0</v>
      </c>
      <c r="AW476" s="88">
        <f>SUMIF(月間集計シート!$M$134:$M$153,$G476,月間集計シート!R$134:R$153)*AW$2</f>
        <v>0</v>
      </c>
      <c r="AX476" s="88">
        <f>SUMIF(月間集計シート!$M$134:$M$153,$G476,月間集計シート!S$134:S$153)*AX$2</f>
        <v>0</v>
      </c>
      <c r="AY476" s="88">
        <f>SUMIF(月間集計シート!$M$134:$M$153,$G476,月間集計シート!T$134:T$153)*AY$2</f>
        <v>0</v>
      </c>
    </row>
    <row r="477" spans="1:51" ht="14.25" thickBot="1">
      <c r="A477">
        <v>6</v>
      </c>
      <c r="B477" s="120">
        <f t="shared" si="238"/>
        <v>0</v>
      </c>
      <c r="C477" s="120" t="str">
        <f t="shared" si="239"/>
        <v/>
      </c>
      <c r="D477" s="137"/>
      <c r="E477" s="150" t="str">
        <f>工種!A44</f>
        <v>60103</v>
      </c>
      <c r="F477" s="119" t="str">
        <f>工種!B44</f>
        <v>ﾘﾘｰｽ：ﾏﾆｭｱﾙPDF作成・修正</v>
      </c>
      <c r="G477" s="116" t="str">
        <f t="shared" si="240"/>
        <v>060103</v>
      </c>
      <c r="H477" s="88">
        <f t="shared" si="194"/>
        <v>0</v>
      </c>
      <c r="I477" s="132"/>
      <c r="J477" s="88">
        <f>SUMIF(月間集計シート!$M$29:$M$48,$G477,月間集計シート!N$29:N$48)*J$2</f>
        <v>0</v>
      </c>
      <c r="K477" s="88">
        <f>SUMIF(月間集計シート!$M$29:$M$48,$G477,月間集計シート!O$29:O$48)*K$2</f>
        <v>0</v>
      </c>
      <c r="L477" s="88">
        <f>SUMIF(月間集計シート!$M$29:$M$48,$G477,月間集計シート!P$29:P$48)*L$2</f>
        <v>0</v>
      </c>
      <c r="M477" s="88">
        <f>SUMIF(月間集計シート!$M$29:$M$48,$G477,月間集計シート!Q$29:Q$48)*M$2</f>
        <v>0</v>
      </c>
      <c r="N477" s="88">
        <f>SUMIF(月間集計シート!$M$29:$M$48,$G477,月間集計シート!R$29:R$48)*N$2</f>
        <v>0</v>
      </c>
      <c r="O477" s="88">
        <f>SUMIF(月間集計シート!$M$29:$M$48,$G477,月間集計シート!S$29:S$48)*O$2</f>
        <v>0</v>
      </c>
      <c r="P477" s="88">
        <f>SUMIF(月間集計シート!$M$29:$M$48,$G477,月間集計シート!T$29:T$48)*P$2</f>
        <v>0</v>
      </c>
      <c r="Q477" s="88">
        <f>SUMIF(月間集計シート!$M$50:$M$69,$G477,月間集計シート!N$50:N$69)*Q$2</f>
        <v>0</v>
      </c>
      <c r="R477" s="88">
        <f>SUMIF(月間集計シート!$M$50:$M$69,$G477,月間集計シート!O$50:O$69)*R$2</f>
        <v>0</v>
      </c>
      <c r="S477" s="88">
        <f>SUMIF(月間集計シート!$M$50:$M$69,$G477,月間集計シート!P$50:P$69)*S$2</f>
        <v>0</v>
      </c>
      <c r="T477" s="88">
        <f>SUMIF(月間集計シート!$M$50:$M$69,$G477,月間集計シート!Q$50:Q$69)*T$2</f>
        <v>0</v>
      </c>
      <c r="U477" s="88">
        <f>SUMIF(月間集計シート!$M$50:$M$69,$G477,月間集計シート!R$50:R$69)*U$2</f>
        <v>0</v>
      </c>
      <c r="V477" s="88">
        <f>SUMIF(月間集計シート!$M$50:$M$69,$G477,月間集計シート!S$50:S$69)*V$2</f>
        <v>0</v>
      </c>
      <c r="W477" s="88">
        <f>SUMIF(月間集計シート!$M$50:$M$69,$G477,月間集計シート!T$50:T$69)*W$2</f>
        <v>0</v>
      </c>
      <c r="X477" s="88">
        <f>SUMIF(月間集計シート!$M$71:$M$90,$G477,月間集計シート!N$71:N$90)*X$2</f>
        <v>0</v>
      </c>
      <c r="Y477" s="88">
        <f>SUMIF(月間集計シート!$M$71:$M$90,$G477,月間集計シート!O$71:O$90)*Y$2</f>
        <v>0</v>
      </c>
      <c r="Z477" s="88">
        <f>SUMIF(月間集計シート!$M$71:$M$90,$G477,月間集計シート!P$71:P$90)*Z$2</f>
        <v>0</v>
      </c>
      <c r="AA477" s="88">
        <f>SUMIF(月間集計シート!$M$71:$M$90,$G477,月間集計シート!Q$71:Q$90)*AA$2</f>
        <v>0</v>
      </c>
      <c r="AB477" s="88">
        <f>SUMIF(月間集計シート!$M$71:$M$90,$G477,月間集計シート!R$71:R$90)*AB$2</f>
        <v>0</v>
      </c>
      <c r="AC477" s="88">
        <f>SUMIF(月間集計シート!$M$71:$M$90,$G477,月間集計シート!S$71:S$90)*AC$2</f>
        <v>0</v>
      </c>
      <c r="AD477" s="88">
        <f>SUMIF(月間集計シート!$M$71:$M$90,$G477,月間集計シート!T$71:T$90)*AD$2</f>
        <v>0</v>
      </c>
      <c r="AE477" s="88">
        <f>SUMIF(月間集計シート!$M$92:$M$111,$G477,月間集計シート!N$92:N$111)*AE$2</f>
        <v>0</v>
      </c>
      <c r="AF477" s="88">
        <f>SUMIF(月間集計シート!$M$92:$M$111,$G477,月間集計シート!O$92:O$111)*AF$2</f>
        <v>0</v>
      </c>
      <c r="AG477" s="88">
        <f>SUMIF(月間集計シート!$M$92:$M$111,$G477,月間集計シート!P$92:P$111)*AG$2</f>
        <v>0</v>
      </c>
      <c r="AH477" s="88">
        <f>SUMIF(月間集計シート!$M$92:$M$111,$G477,月間集計シート!Q$92:Q$111)*AH$2</f>
        <v>0</v>
      </c>
      <c r="AI477" s="88">
        <f>SUMIF(月間集計シート!$M$92:$M$111,$G477,月間集計シート!R$92:R$111)*AI$2</f>
        <v>0</v>
      </c>
      <c r="AJ477" s="88">
        <f>SUMIF(月間集計シート!$M$92:$M$111,$G477,月間集計シート!S$92:S$111)*AJ$2</f>
        <v>0</v>
      </c>
      <c r="AK477" s="88">
        <f>SUMIF(月間集計シート!$M$92:$M$111,$G477,月間集計シート!T$92:T$111)*AK$2</f>
        <v>0</v>
      </c>
      <c r="AL477" s="88">
        <f>SUMIF(月間集計シート!$M$113:$M$132,$G477,月間集計シート!N$113:N$132)*AL$2</f>
        <v>0</v>
      </c>
      <c r="AM477" s="88">
        <f>SUMIF(月間集計シート!$M$113:$M$132,$G477,月間集計シート!O$113:O$132)*AM$2</f>
        <v>0</v>
      </c>
      <c r="AN477" s="88">
        <f>SUMIF(月間集計シート!$M$113:$M$132,$G477,月間集計シート!P$113:P$132)*AN$2</f>
        <v>0</v>
      </c>
      <c r="AO477" s="88">
        <f>SUMIF(月間集計シート!$M$113:$M$132,$G477,月間集計シート!Q$113:Q$132)*AO$2</f>
        <v>0</v>
      </c>
      <c r="AP477" s="88">
        <f>SUMIF(月間集計シート!$M$113:$M$132,$G477,月間集計シート!R$113:R$132)*AP$2</f>
        <v>0</v>
      </c>
      <c r="AQ477" s="88">
        <f>SUMIF(月間集計シート!$M$113:$M$132,$G477,月間集計シート!S$113:S$132)*AQ$2</f>
        <v>0</v>
      </c>
      <c r="AR477" s="88">
        <f>SUMIF(月間集計シート!$M$113:$M$132,$G477,月間集計シート!T$113:T$132)*AR$2</f>
        <v>0</v>
      </c>
      <c r="AS477" s="88">
        <f>SUMIF(月間集計シート!$M$134:$M$153,$G477,月間集計シート!N$134:N$153)*AS$2</f>
        <v>0</v>
      </c>
      <c r="AT477" s="88">
        <f>SUMIF(月間集計シート!$M$134:$M$153,$G477,月間集計シート!O$134:O$153)*AT$2</f>
        <v>0</v>
      </c>
      <c r="AU477" s="88">
        <f>SUMIF(月間集計シート!$M$134:$M$153,$G477,月間集計シート!P$134:P$153)*AU$2</f>
        <v>0</v>
      </c>
      <c r="AV477" s="88">
        <f>SUMIF(月間集計シート!$M$134:$M$153,$G477,月間集計シート!Q$134:Q$153)*AV$2</f>
        <v>0</v>
      </c>
      <c r="AW477" s="88">
        <f>SUMIF(月間集計シート!$M$134:$M$153,$G477,月間集計シート!R$134:R$153)*AW$2</f>
        <v>0</v>
      </c>
      <c r="AX477" s="88">
        <f>SUMIF(月間集計シート!$M$134:$M$153,$G477,月間集計シート!S$134:S$153)*AX$2</f>
        <v>0</v>
      </c>
      <c r="AY477" s="88">
        <f>SUMIF(月間集計シート!$M$134:$M$153,$G477,月間集計シート!T$134:T$153)*AY$2</f>
        <v>0</v>
      </c>
    </row>
    <row r="478" spans="1:51" ht="14.25" thickBot="1">
      <c r="A478">
        <v>6</v>
      </c>
      <c r="B478" s="120">
        <f t="shared" si="238"/>
        <v>0</v>
      </c>
      <c r="C478" s="120" t="str">
        <f t="shared" si="239"/>
        <v/>
      </c>
      <c r="D478" s="137"/>
      <c r="E478" s="150" t="str">
        <f>工種!A45</f>
        <v>60104</v>
      </c>
      <c r="F478" s="119" t="str">
        <f>工種!B45</f>
        <v>ﾘﾘｰｽ：ﾍﾙﾌﾟ作成・修正</v>
      </c>
      <c r="G478" s="116" t="str">
        <f t="shared" si="240"/>
        <v>060104</v>
      </c>
      <c r="H478" s="88">
        <f t="shared" si="194"/>
        <v>0</v>
      </c>
      <c r="I478" s="132"/>
      <c r="J478" s="88">
        <f>SUMIF(月間集計シート!$M$29:$M$48,$G478,月間集計シート!N$29:N$48)*J$2</f>
        <v>0</v>
      </c>
      <c r="K478" s="88">
        <f>SUMIF(月間集計シート!$M$29:$M$48,$G478,月間集計シート!O$29:O$48)*K$2</f>
        <v>0</v>
      </c>
      <c r="L478" s="88">
        <f>SUMIF(月間集計シート!$M$29:$M$48,$G478,月間集計シート!P$29:P$48)*L$2</f>
        <v>0</v>
      </c>
      <c r="M478" s="88">
        <f>SUMIF(月間集計シート!$M$29:$M$48,$G478,月間集計シート!Q$29:Q$48)*M$2</f>
        <v>0</v>
      </c>
      <c r="N478" s="88">
        <f>SUMIF(月間集計シート!$M$29:$M$48,$G478,月間集計シート!R$29:R$48)*N$2</f>
        <v>0</v>
      </c>
      <c r="O478" s="88">
        <f>SUMIF(月間集計シート!$M$29:$M$48,$G478,月間集計シート!S$29:S$48)*O$2</f>
        <v>0</v>
      </c>
      <c r="P478" s="88">
        <f>SUMIF(月間集計シート!$M$29:$M$48,$G478,月間集計シート!T$29:T$48)*P$2</f>
        <v>0</v>
      </c>
      <c r="Q478" s="88">
        <f>SUMIF(月間集計シート!$M$50:$M$69,$G478,月間集計シート!N$50:N$69)*Q$2</f>
        <v>0</v>
      </c>
      <c r="R478" s="88">
        <f>SUMIF(月間集計シート!$M$50:$M$69,$G478,月間集計シート!O$50:O$69)*R$2</f>
        <v>0</v>
      </c>
      <c r="S478" s="88">
        <f>SUMIF(月間集計シート!$M$50:$M$69,$G478,月間集計シート!P$50:P$69)*S$2</f>
        <v>0</v>
      </c>
      <c r="T478" s="88">
        <f>SUMIF(月間集計シート!$M$50:$M$69,$G478,月間集計シート!Q$50:Q$69)*T$2</f>
        <v>0</v>
      </c>
      <c r="U478" s="88">
        <f>SUMIF(月間集計シート!$M$50:$M$69,$G478,月間集計シート!R$50:R$69)*U$2</f>
        <v>0</v>
      </c>
      <c r="V478" s="88">
        <f>SUMIF(月間集計シート!$M$50:$M$69,$G478,月間集計シート!S$50:S$69)*V$2</f>
        <v>0</v>
      </c>
      <c r="W478" s="88">
        <f>SUMIF(月間集計シート!$M$50:$M$69,$G478,月間集計シート!T$50:T$69)*W$2</f>
        <v>0</v>
      </c>
      <c r="X478" s="88">
        <f>SUMIF(月間集計シート!$M$71:$M$90,$G478,月間集計シート!N$71:N$90)*X$2</f>
        <v>0</v>
      </c>
      <c r="Y478" s="88">
        <f>SUMIF(月間集計シート!$M$71:$M$90,$G478,月間集計シート!O$71:O$90)*Y$2</f>
        <v>0</v>
      </c>
      <c r="Z478" s="88">
        <f>SUMIF(月間集計シート!$M$71:$M$90,$G478,月間集計シート!P$71:P$90)*Z$2</f>
        <v>0</v>
      </c>
      <c r="AA478" s="88">
        <f>SUMIF(月間集計シート!$M$71:$M$90,$G478,月間集計シート!Q$71:Q$90)*AA$2</f>
        <v>0</v>
      </c>
      <c r="AB478" s="88">
        <f>SUMIF(月間集計シート!$M$71:$M$90,$G478,月間集計シート!R$71:R$90)*AB$2</f>
        <v>0</v>
      </c>
      <c r="AC478" s="88">
        <f>SUMIF(月間集計シート!$M$71:$M$90,$G478,月間集計シート!S$71:S$90)*AC$2</f>
        <v>0</v>
      </c>
      <c r="AD478" s="88">
        <f>SUMIF(月間集計シート!$M$71:$M$90,$G478,月間集計シート!T$71:T$90)*AD$2</f>
        <v>0</v>
      </c>
      <c r="AE478" s="88">
        <f>SUMIF(月間集計シート!$M$92:$M$111,$G478,月間集計シート!N$92:N$111)*AE$2</f>
        <v>0</v>
      </c>
      <c r="AF478" s="88">
        <f>SUMIF(月間集計シート!$M$92:$M$111,$G478,月間集計シート!O$92:O$111)*AF$2</f>
        <v>0</v>
      </c>
      <c r="AG478" s="88">
        <f>SUMIF(月間集計シート!$M$92:$M$111,$G478,月間集計シート!P$92:P$111)*AG$2</f>
        <v>0</v>
      </c>
      <c r="AH478" s="88">
        <f>SUMIF(月間集計シート!$M$92:$M$111,$G478,月間集計シート!Q$92:Q$111)*AH$2</f>
        <v>0</v>
      </c>
      <c r="AI478" s="88">
        <f>SUMIF(月間集計シート!$M$92:$M$111,$G478,月間集計シート!R$92:R$111)*AI$2</f>
        <v>0</v>
      </c>
      <c r="AJ478" s="88">
        <f>SUMIF(月間集計シート!$M$92:$M$111,$G478,月間集計シート!S$92:S$111)*AJ$2</f>
        <v>0</v>
      </c>
      <c r="AK478" s="88">
        <f>SUMIF(月間集計シート!$M$92:$M$111,$G478,月間集計シート!T$92:T$111)*AK$2</f>
        <v>0</v>
      </c>
      <c r="AL478" s="88">
        <f>SUMIF(月間集計シート!$M$113:$M$132,$G478,月間集計シート!N$113:N$132)*AL$2</f>
        <v>0</v>
      </c>
      <c r="AM478" s="88">
        <f>SUMIF(月間集計シート!$M$113:$M$132,$G478,月間集計シート!O$113:O$132)*AM$2</f>
        <v>0</v>
      </c>
      <c r="AN478" s="88">
        <f>SUMIF(月間集計シート!$M$113:$M$132,$G478,月間集計シート!P$113:P$132)*AN$2</f>
        <v>0</v>
      </c>
      <c r="AO478" s="88">
        <f>SUMIF(月間集計シート!$M$113:$M$132,$G478,月間集計シート!Q$113:Q$132)*AO$2</f>
        <v>0</v>
      </c>
      <c r="AP478" s="88">
        <f>SUMIF(月間集計シート!$M$113:$M$132,$G478,月間集計シート!R$113:R$132)*AP$2</f>
        <v>0</v>
      </c>
      <c r="AQ478" s="88">
        <f>SUMIF(月間集計シート!$M$113:$M$132,$G478,月間集計シート!S$113:S$132)*AQ$2</f>
        <v>0</v>
      </c>
      <c r="AR478" s="88">
        <f>SUMIF(月間集計シート!$M$113:$M$132,$G478,月間集計シート!T$113:T$132)*AR$2</f>
        <v>0</v>
      </c>
      <c r="AS478" s="88">
        <f>SUMIF(月間集計シート!$M$134:$M$153,$G478,月間集計シート!N$134:N$153)*AS$2</f>
        <v>0</v>
      </c>
      <c r="AT478" s="88">
        <f>SUMIF(月間集計シート!$M$134:$M$153,$G478,月間集計シート!O$134:O$153)*AT$2</f>
        <v>0</v>
      </c>
      <c r="AU478" s="88">
        <f>SUMIF(月間集計シート!$M$134:$M$153,$G478,月間集計シート!P$134:P$153)*AU$2</f>
        <v>0</v>
      </c>
      <c r="AV478" s="88">
        <f>SUMIF(月間集計シート!$M$134:$M$153,$G478,月間集計シート!Q$134:Q$153)*AV$2</f>
        <v>0</v>
      </c>
      <c r="AW478" s="88">
        <f>SUMIF(月間集計シート!$M$134:$M$153,$G478,月間集計シート!R$134:R$153)*AW$2</f>
        <v>0</v>
      </c>
      <c r="AX478" s="88">
        <f>SUMIF(月間集計シート!$M$134:$M$153,$G478,月間集計シート!S$134:S$153)*AX$2</f>
        <v>0</v>
      </c>
      <c r="AY478" s="88">
        <f>SUMIF(月間集計シート!$M$134:$M$153,$G478,月間集計シート!T$134:T$153)*AY$2</f>
        <v>0</v>
      </c>
    </row>
    <row r="479" spans="1:51" ht="14.25" thickBot="1">
      <c r="A479">
        <v>6</v>
      </c>
      <c r="B479" s="120">
        <f t="shared" si="238"/>
        <v>0</v>
      </c>
      <c r="C479" s="120" t="str">
        <f t="shared" si="239"/>
        <v/>
      </c>
      <c r="D479" s="137"/>
      <c r="E479" s="150" t="str">
        <f>工種!A46</f>
        <v>60105</v>
      </c>
      <c r="F479" s="119" t="str">
        <f>工種!B46</f>
        <v>ﾘﾘｰｽ：締め作業</v>
      </c>
      <c r="G479" s="116" t="str">
        <f t="shared" si="240"/>
        <v>060105</v>
      </c>
      <c r="H479" s="88">
        <f t="shared" si="194"/>
        <v>0</v>
      </c>
      <c r="I479" s="132"/>
      <c r="J479" s="88">
        <f>SUMIF(月間集計シート!$M$29:$M$48,$G479,月間集計シート!N$29:N$48)*J$2</f>
        <v>0</v>
      </c>
      <c r="K479" s="88">
        <f>SUMIF(月間集計シート!$M$29:$M$48,$G479,月間集計シート!O$29:O$48)*K$2</f>
        <v>0</v>
      </c>
      <c r="L479" s="88">
        <f>SUMIF(月間集計シート!$M$29:$M$48,$G479,月間集計シート!P$29:P$48)*L$2</f>
        <v>0</v>
      </c>
      <c r="M479" s="88">
        <f>SUMIF(月間集計シート!$M$29:$M$48,$G479,月間集計シート!Q$29:Q$48)*M$2</f>
        <v>0</v>
      </c>
      <c r="N479" s="88">
        <f>SUMIF(月間集計シート!$M$29:$M$48,$G479,月間集計シート!R$29:R$48)*N$2</f>
        <v>0</v>
      </c>
      <c r="O479" s="88">
        <f>SUMIF(月間集計シート!$M$29:$M$48,$G479,月間集計シート!S$29:S$48)*O$2</f>
        <v>0</v>
      </c>
      <c r="P479" s="88">
        <f>SUMIF(月間集計シート!$M$29:$M$48,$G479,月間集計シート!T$29:T$48)*P$2</f>
        <v>0</v>
      </c>
      <c r="Q479" s="88">
        <f>SUMIF(月間集計シート!$M$50:$M$69,$G479,月間集計シート!N$50:N$69)*Q$2</f>
        <v>0</v>
      </c>
      <c r="R479" s="88">
        <f>SUMIF(月間集計シート!$M$50:$M$69,$G479,月間集計シート!O$50:O$69)*R$2</f>
        <v>0</v>
      </c>
      <c r="S479" s="88">
        <f>SUMIF(月間集計シート!$M$50:$M$69,$G479,月間集計シート!P$50:P$69)*S$2</f>
        <v>0</v>
      </c>
      <c r="T479" s="88">
        <f>SUMIF(月間集計シート!$M$50:$M$69,$G479,月間集計シート!Q$50:Q$69)*T$2</f>
        <v>0</v>
      </c>
      <c r="U479" s="88">
        <f>SUMIF(月間集計シート!$M$50:$M$69,$G479,月間集計シート!R$50:R$69)*U$2</f>
        <v>0</v>
      </c>
      <c r="V479" s="88">
        <f>SUMIF(月間集計シート!$M$50:$M$69,$G479,月間集計シート!S$50:S$69)*V$2</f>
        <v>0</v>
      </c>
      <c r="W479" s="88">
        <f>SUMIF(月間集計シート!$M$50:$M$69,$G479,月間集計シート!T$50:T$69)*W$2</f>
        <v>0</v>
      </c>
      <c r="X479" s="88">
        <f>SUMIF(月間集計シート!$M$71:$M$90,$G479,月間集計シート!N$71:N$90)*X$2</f>
        <v>0</v>
      </c>
      <c r="Y479" s="88">
        <f>SUMIF(月間集計シート!$M$71:$M$90,$G479,月間集計シート!O$71:O$90)*Y$2</f>
        <v>0</v>
      </c>
      <c r="Z479" s="88">
        <f>SUMIF(月間集計シート!$M$71:$M$90,$G479,月間集計シート!P$71:P$90)*Z$2</f>
        <v>0</v>
      </c>
      <c r="AA479" s="88">
        <f>SUMIF(月間集計シート!$M$71:$M$90,$G479,月間集計シート!Q$71:Q$90)*AA$2</f>
        <v>0</v>
      </c>
      <c r="AB479" s="88">
        <f>SUMIF(月間集計シート!$M$71:$M$90,$G479,月間集計シート!R$71:R$90)*AB$2</f>
        <v>0</v>
      </c>
      <c r="AC479" s="88">
        <f>SUMIF(月間集計シート!$M$71:$M$90,$G479,月間集計シート!S$71:S$90)*AC$2</f>
        <v>0</v>
      </c>
      <c r="AD479" s="88">
        <f>SUMIF(月間集計シート!$M$71:$M$90,$G479,月間集計シート!T$71:T$90)*AD$2</f>
        <v>0</v>
      </c>
      <c r="AE479" s="88">
        <f>SUMIF(月間集計シート!$M$92:$M$111,$G479,月間集計シート!N$92:N$111)*AE$2</f>
        <v>0</v>
      </c>
      <c r="AF479" s="88">
        <f>SUMIF(月間集計シート!$M$92:$M$111,$G479,月間集計シート!O$92:O$111)*AF$2</f>
        <v>0</v>
      </c>
      <c r="AG479" s="88">
        <f>SUMIF(月間集計シート!$M$92:$M$111,$G479,月間集計シート!P$92:P$111)*AG$2</f>
        <v>0</v>
      </c>
      <c r="AH479" s="88">
        <f>SUMIF(月間集計シート!$M$92:$M$111,$G479,月間集計シート!Q$92:Q$111)*AH$2</f>
        <v>0</v>
      </c>
      <c r="AI479" s="88">
        <f>SUMIF(月間集計シート!$M$92:$M$111,$G479,月間集計シート!R$92:R$111)*AI$2</f>
        <v>0</v>
      </c>
      <c r="AJ479" s="88">
        <f>SUMIF(月間集計シート!$M$92:$M$111,$G479,月間集計シート!S$92:S$111)*AJ$2</f>
        <v>0</v>
      </c>
      <c r="AK479" s="88">
        <f>SUMIF(月間集計シート!$M$92:$M$111,$G479,月間集計シート!T$92:T$111)*AK$2</f>
        <v>0</v>
      </c>
      <c r="AL479" s="88">
        <f>SUMIF(月間集計シート!$M$113:$M$132,$G479,月間集計シート!N$113:N$132)*AL$2</f>
        <v>0</v>
      </c>
      <c r="AM479" s="88">
        <f>SUMIF(月間集計シート!$M$113:$M$132,$G479,月間集計シート!O$113:O$132)*AM$2</f>
        <v>0</v>
      </c>
      <c r="AN479" s="88">
        <f>SUMIF(月間集計シート!$M$113:$M$132,$G479,月間集計シート!P$113:P$132)*AN$2</f>
        <v>0</v>
      </c>
      <c r="AO479" s="88">
        <f>SUMIF(月間集計シート!$M$113:$M$132,$G479,月間集計シート!Q$113:Q$132)*AO$2</f>
        <v>0</v>
      </c>
      <c r="AP479" s="88">
        <f>SUMIF(月間集計シート!$M$113:$M$132,$G479,月間集計シート!R$113:R$132)*AP$2</f>
        <v>0</v>
      </c>
      <c r="AQ479" s="88">
        <f>SUMIF(月間集計シート!$M$113:$M$132,$G479,月間集計シート!S$113:S$132)*AQ$2</f>
        <v>0</v>
      </c>
      <c r="AR479" s="88">
        <f>SUMIF(月間集計シート!$M$113:$M$132,$G479,月間集計シート!T$113:T$132)*AR$2</f>
        <v>0</v>
      </c>
      <c r="AS479" s="88">
        <f>SUMIF(月間集計シート!$M$134:$M$153,$G479,月間集計シート!N$134:N$153)*AS$2</f>
        <v>0</v>
      </c>
      <c r="AT479" s="88">
        <f>SUMIF(月間集計シート!$M$134:$M$153,$G479,月間集計シート!O$134:O$153)*AT$2</f>
        <v>0</v>
      </c>
      <c r="AU479" s="88">
        <f>SUMIF(月間集計シート!$M$134:$M$153,$G479,月間集計シート!P$134:P$153)*AU$2</f>
        <v>0</v>
      </c>
      <c r="AV479" s="88">
        <f>SUMIF(月間集計シート!$M$134:$M$153,$G479,月間集計シート!Q$134:Q$153)*AV$2</f>
        <v>0</v>
      </c>
      <c r="AW479" s="88">
        <f>SUMIF(月間集計シート!$M$134:$M$153,$G479,月間集計シート!R$134:R$153)*AW$2</f>
        <v>0</v>
      </c>
      <c r="AX479" s="88">
        <f>SUMIF(月間集計シート!$M$134:$M$153,$G479,月間集計シート!S$134:S$153)*AX$2</f>
        <v>0</v>
      </c>
      <c r="AY479" s="88">
        <f>SUMIF(月間集計シート!$M$134:$M$153,$G479,月間集計シート!T$134:T$153)*AY$2</f>
        <v>0</v>
      </c>
    </row>
    <row r="480" spans="1:51" ht="14.25" thickBot="1">
      <c r="A480">
        <v>6</v>
      </c>
      <c r="B480" s="120">
        <f t="shared" si="238"/>
        <v>0</v>
      </c>
      <c r="C480" s="120" t="str">
        <f t="shared" si="239"/>
        <v/>
      </c>
      <c r="D480" s="137"/>
      <c r="E480" s="150" t="str">
        <f>工種!A47</f>
        <v>60107</v>
      </c>
      <c r="F480" s="119" t="str">
        <f>工種!B47</f>
        <v>ﾘﾘｰｽ：打合せ</v>
      </c>
      <c r="G480" s="116" t="str">
        <f t="shared" si="240"/>
        <v>060107</v>
      </c>
      <c r="H480" s="88">
        <f t="shared" si="194"/>
        <v>0</v>
      </c>
      <c r="I480" s="132"/>
      <c r="J480" s="88">
        <f>SUMIF(月間集計シート!$M$29:$M$48,$G480,月間集計シート!N$29:N$48)*J$2</f>
        <v>0</v>
      </c>
      <c r="K480" s="88">
        <f>SUMIF(月間集計シート!$M$29:$M$48,$G480,月間集計シート!O$29:O$48)*K$2</f>
        <v>0</v>
      </c>
      <c r="L480" s="88">
        <f>SUMIF(月間集計シート!$M$29:$M$48,$G480,月間集計シート!P$29:P$48)*L$2</f>
        <v>0</v>
      </c>
      <c r="M480" s="88">
        <f>SUMIF(月間集計シート!$M$29:$M$48,$G480,月間集計シート!Q$29:Q$48)*M$2</f>
        <v>0</v>
      </c>
      <c r="N480" s="88">
        <f>SUMIF(月間集計シート!$M$29:$M$48,$G480,月間集計シート!R$29:R$48)*N$2</f>
        <v>0</v>
      </c>
      <c r="O480" s="88">
        <f>SUMIF(月間集計シート!$M$29:$M$48,$G480,月間集計シート!S$29:S$48)*O$2</f>
        <v>0</v>
      </c>
      <c r="P480" s="88">
        <f>SUMIF(月間集計シート!$M$29:$M$48,$G480,月間集計シート!T$29:T$48)*P$2</f>
        <v>0</v>
      </c>
      <c r="Q480" s="88">
        <f>SUMIF(月間集計シート!$M$50:$M$69,$G480,月間集計シート!N$50:N$69)*Q$2</f>
        <v>0</v>
      </c>
      <c r="R480" s="88">
        <f>SUMIF(月間集計シート!$M$50:$M$69,$G480,月間集計シート!O$50:O$69)*R$2</f>
        <v>0</v>
      </c>
      <c r="S480" s="88">
        <f>SUMIF(月間集計シート!$M$50:$M$69,$G480,月間集計シート!P$50:P$69)*S$2</f>
        <v>0</v>
      </c>
      <c r="T480" s="88">
        <f>SUMIF(月間集計シート!$M$50:$M$69,$G480,月間集計シート!Q$50:Q$69)*T$2</f>
        <v>0</v>
      </c>
      <c r="U480" s="88">
        <f>SUMIF(月間集計シート!$M$50:$M$69,$G480,月間集計シート!R$50:R$69)*U$2</f>
        <v>0</v>
      </c>
      <c r="V480" s="88">
        <f>SUMIF(月間集計シート!$M$50:$M$69,$G480,月間集計シート!S$50:S$69)*V$2</f>
        <v>0</v>
      </c>
      <c r="W480" s="88">
        <f>SUMIF(月間集計シート!$M$50:$M$69,$G480,月間集計シート!T$50:T$69)*W$2</f>
        <v>0</v>
      </c>
      <c r="X480" s="88">
        <f>SUMIF(月間集計シート!$M$71:$M$90,$G480,月間集計シート!N$71:N$90)*X$2</f>
        <v>0</v>
      </c>
      <c r="Y480" s="88">
        <f>SUMIF(月間集計シート!$M$71:$M$90,$G480,月間集計シート!O$71:O$90)*Y$2</f>
        <v>0</v>
      </c>
      <c r="Z480" s="88">
        <f>SUMIF(月間集計シート!$M$71:$M$90,$G480,月間集計シート!P$71:P$90)*Z$2</f>
        <v>0</v>
      </c>
      <c r="AA480" s="88">
        <f>SUMIF(月間集計シート!$M$71:$M$90,$G480,月間集計シート!Q$71:Q$90)*AA$2</f>
        <v>0</v>
      </c>
      <c r="AB480" s="88">
        <f>SUMIF(月間集計シート!$M$71:$M$90,$G480,月間集計シート!R$71:R$90)*AB$2</f>
        <v>0</v>
      </c>
      <c r="AC480" s="88">
        <f>SUMIF(月間集計シート!$M$71:$M$90,$G480,月間集計シート!S$71:S$90)*AC$2</f>
        <v>0</v>
      </c>
      <c r="AD480" s="88">
        <f>SUMIF(月間集計シート!$M$71:$M$90,$G480,月間集計シート!T$71:T$90)*AD$2</f>
        <v>0</v>
      </c>
      <c r="AE480" s="88">
        <f>SUMIF(月間集計シート!$M$92:$M$111,$G480,月間集計シート!N$92:N$111)*AE$2</f>
        <v>0</v>
      </c>
      <c r="AF480" s="88">
        <f>SUMIF(月間集計シート!$M$92:$M$111,$G480,月間集計シート!O$92:O$111)*AF$2</f>
        <v>0</v>
      </c>
      <c r="AG480" s="88">
        <f>SUMIF(月間集計シート!$M$92:$M$111,$G480,月間集計シート!P$92:P$111)*AG$2</f>
        <v>0</v>
      </c>
      <c r="AH480" s="88">
        <f>SUMIF(月間集計シート!$M$92:$M$111,$G480,月間集計シート!Q$92:Q$111)*AH$2</f>
        <v>0</v>
      </c>
      <c r="AI480" s="88">
        <f>SUMIF(月間集計シート!$M$92:$M$111,$G480,月間集計シート!R$92:R$111)*AI$2</f>
        <v>0</v>
      </c>
      <c r="AJ480" s="88">
        <f>SUMIF(月間集計シート!$M$92:$M$111,$G480,月間集計シート!S$92:S$111)*AJ$2</f>
        <v>0</v>
      </c>
      <c r="AK480" s="88">
        <f>SUMIF(月間集計シート!$M$92:$M$111,$G480,月間集計シート!T$92:T$111)*AK$2</f>
        <v>0</v>
      </c>
      <c r="AL480" s="88">
        <f>SUMIF(月間集計シート!$M$113:$M$132,$G480,月間集計シート!N$113:N$132)*AL$2</f>
        <v>0</v>
      </c>
      <c r="AM480" s="88">
        <f>SUMIF(月間集計シート!$M$113:$M$132,$G480,月間集計シート!O$113:O$132)*AM$2</f>
        <v>0</v>
      </c>
      <c r="AN480" s="88">
        <f>SUMIF(月間集計シート!$M$113:$M$132,$G480,月間集計シート!P$113:P$132)*AN$2</f>
        <v>0</v>
      </c>
      <c r="AO480" s="88">
        <f>SUMIF(月間集計シート!$M$113:$M$132,$G480,月間集計シート!Q$113:Q$132)*AO$2</f>
        <v>0</v>
      </c>
      <c r="AP480" s="88">
        <f>SUMIF(月間集計シート!$M$113:$M$132,$G480,月間集計シート!R$113:R$132)*AP$2</f>
        <v>0</v>
      </c>
      <c r="AQ480" s="88">
        <f>SUMIF(月間集計シート!$M$113:$M$132,$G480,月間集計シート!S$113:S$132)*AQ$2</f>
        <v>0</v>
      </c>
      <c r="AR480" s="88">
        <f>SUMIF(月間集計シート!$M$113:$M$132,$G480,月間集計シート!T$113:T$132)*AR$2</f>
        <v>0</v>
      </c>
      <c r="AS480" s="88">
        <f>SUMIF(月間集計シート!$M$134:$M$153,$G480,月間集計シート!N$134:N$153)*AS$2</f>
        <v>0</v>
      </c>
      <c r="AT480" s="88">
        <f>SUMIF(月間集計シート!$M$134:$M$153,$G480,月間集計シート!O$134:O$153)*AT$2</f>
        <v>0</v>
      </c>
      <c r="AU480" s="88">
        <f>SUMIF(月間集計シート!$M$134:$M$153,$G480,月間集計シート!P$134:P$153)*AU$2</f>
        <v>0</v>
      </c>
      <c r="AV480" s="88">
        <f>SUMIF(月間集計シート!$M$134:$M$153,$G480,月間集計シート!Q$134:Q$153)*AV$2</f>
        <v>0</v>
      </c>
      <c r="AW480" s="88">
        <f>SUMIF(月間集計シート!$M$134:$M$153,$G480,月間集計シート!R$134:R$153)*AW$2</f>
        <v>0</v>
      </c>
      <c r="AX480" s="88">
        <f>SUMIF(月間集計シート!$M$134:$M$153,$G480,月間集計シート!S$134:S$153)*AX$2</f>
        <v>0</v>
      </c>
      <c r="AY480" s="88">
        <f>SUMIF(月間集計シート!$M$134:$M$153,$G480,月間集計シート!T$134:T$153)*AY$2</f>
        <v>0</v>
      </c>
    </row>
    <row r="481" spans="1:51" ht="14.25" thickBot="1">
      <c r="A481">
        <v>6</v>
      </c>
      <c r="B481" s="120">
        <f t="shared" si="238"/>
        <v>0</v>
      </c>
      <c r="C481" s="120" t="str">
        <f t="shared" si="239"/>
        <v/>
      </c>
      <c r="D481" s="137"/>
      <c r="E481" s="150" t="str">
        <f>工種!A48</f>
        <v>60108</v>
      </c>
      <c r="F481" s="119" t="str">
        <f>工種!B48</f>
        <v>ﾘﾘｰｽ：ﾚﾋﾞｭｰ</v>
      </c>
      <c r="G481" s="116" t="str">
        <f t="shared" si="240"/>
        <v>060108</v>
      </c>
      <c r="H481" s="88">
        <f t="shared" si="194"/>
        <v>0</v>
      </c>
      <c r="I481" s="132"/>
      <c r="J481" s="88">
        <f>SUMIF(月間集計シート!$M$29:$M$48,$G481,月間集計シート!N$29:N$48)*J$2</f>
        <v>0</v>
      </c>
      <c r="K481" s="88">
        <f>SUMIF(月間集計シート!$M$29:$M$48,$G481,月間集計シート!O$29:O$48)*K$2</f>
        <v>0</v>
      </c>
      <c r="L481" s="88">
        <f>SUMIF(月間集計シート!$M$29:$M$48,$G481,月間集計シート!P$29:P$48)*L$2</f>
        <v>0</v>
      </c>
      <c r="M481" s="88">
        <f>SUMIF(月間集計シート!$M$29:$M$48,$G481,月間集計シート!Q$29:Q$48)*M$2</f>
        <v>0</v>
      </c>
      <c r="N481" s="88">
        <f>SUMIF(月間集計シート!$M$29:$M$48,$G481,月間集計シート!R$29:R$48)*N$2</f>
        <v>0</v>
      </c>
      <c r="O481" s="88">
        <f>SUMIF(月間集計シート!$M$29:$M$48,$G481,月間集計シート!S$29:S$48)*O$2</f>
        <v>0</v>
      </c>
      <c r="P481" s="88">
        <f>SUMIF(月間集計シート!$M$29:$M$48,$G481,月間集計シート!T$29:T$48)*P$2</f>
        <v>0</v>
      </c>
      <c r="Q481" s="88">
        <f>SUMIF(月間集計シート!$M$50:$M$69,$G481,月間集計シート!N$50:N$69)*Q$2</f>
        <v>0</v>
      </c>
      <c r="R481" s="88">
        <f>SUMIF(月間集計シート!$M$50:$M$69,$G481,月間集計シート!O$50:O$69)*R$2</f>
        <v>0</v>
      </c>
      <c r="S481" s="88">
        <f>SUMIF(月間集計シート!$M$50:$M$69,$G481,月間集計シート!P$50:P$69)*S$2</f>
        <v>0</v>
      </c>
      <c r="T481" s="88">
        <f>SUMIF(月間集計シート!$M$50:$M$69,$G481,月間集計シート!Q$50:Q$69)*T$2</f>
        <v>0</v>
      </c>
      <c r="U481" s="88">
        <f>SUMIF(月間集計シート!$M$50:$M$69,$G481,月間集計シート!R$50:R$69)*U$2</f>
        <v>0</v>
      </c>
      <c r="V481" s="88">
        <f>SUMIF(月間集計シート!$M$50:$M$69,$G481,月間集計シート!S$50:S$69)*V$2</f>
        <v>0</v>
      </c>
      <c r="W481" s="88">
        <f>SUMIF(月間集計シート!$M$50:$M$69,$G481,月間集計シート!T$50:T$69)*W$2</f>
        <v>0</v>
      </c>
      <c r="X481" s="88">
        <f>SUMIF(月間集計シート!$M$71:$M$90,$G481,月間集計シート!N$71:N$90)*X$2</f>
        <v>0</v>
      </c>
      <c r="Y481" s="88">
        <f>SUMIF(月間集計シート!$M$71:$M$90,$G481,月間集計シート!O$71:O$90)*Y$2</f>
        <v>0</v>
      </c>
      <c r="Z481" s="88">
        <f>SUMIF(月間集計シート!$M$71:$M$90,$G481,月間集計シート!P$71:P$90)*Z$2</f>
        <v>0</v>
      </c>
      <c r="AA481" s="88">
        <f>SUMIF(月間集計シート!$M$71:$M$90,$G481,月間集計シート!Q$71:Q$90)*AA$2</f>
        <v>0</v>
      </c>
      <c r="AB481" s="88">
        <f>SUMIF(月間集計シート!$M$71:$M$90,$G481,月間集計シート!R$71:R$90)*AB$2</f>
        <v>0</v>
      </c>
      <c r="AC481" s="88">
        <f>SUMIF(月間集計シート!$M$71:$M$90,$G481,月間集計シート!S$71:S$90)*AC$2</f>
        <v>0</v>
      </c>
      <c r="AD481" s="88">
        <f>SUMIF(月間集計シート!$M$71:$M$90,$G481,月間集計シート!T$71:T$90)*AD$2</f>
        <v>0</v>
      </c>
      <c r="AE481" s="88">
        <f>SUMIF(月間集計シート!$M$92:$M$111,$G481,月間集計シート!N$92:N$111)*AE$2</f>
        <v>0</v>
      </c>
      <c r="AF481" s="88">
        <f>SUMIF(月間集計シート!$M$92:$M$111,$G481,月間集計シート!O$92:O$111)*AF$2</f>
        <v>0</v>
      </c>
      <c r="AG481" s="88">
        <f>SUMIF(月間集計シート!$M$92:$M$111,$G481,月間集計シート!P$92:P$111)*AG$2</f>
        <v>0</v>
      </c>
      <c r="AH481" s="88">
        <f>SUMIF(月間集計シート!$M$92:$M$111,$G481,月間集計シート!Q$92:Q$111)*AH$2</f>
        <v>0</v>
      </c>
      <c r="AI481" s="88">
        <f>SUMIF(月間集計シート!$M$92:$M$111,$G481,月間集計シート!R$92:R$111)*AI$2</f>
        <v>0</v>
      </c>
      <c r="AJ481" s="88">
        <f>SUMIF(月間集計シート!$M$92:$M$111,$G481,月間集計シート!S$92:S$111)*AJ$2</f>
        <v>0</v>
      </c>
      <c r="AK481" s="88">
        <f>SUMIF(月間集計シート!$M$92:$M$111,$G481,月間集計シート!T$92:T$111)*AK$2</f>
        <v>0</v>
      </c>
      <c r="AL481" s="88">
        <f>SUMIF(月間集計シート!$M$113:$M$132,$G481,月間集計シート!N$113:N$132)*AL$2</f>
        <v>0</v>
      </c>
      <c r="AM481" s="88">
        <f>SUMIF(月間集計シート!$M$113:$M$132,$G481,月間集計シート!O$113:O$132)*AM$2</f>
        <v>0</v>
      </c>
      <c r="AN481" s="88">
        <f>SUMIF(月間集計シート!$M$113:$M$132,$G481,月間集計シート!P$113:P$132)*AN$2</f>
        <v>0</v>
      </c>
      <c r="AO481" s="88">
        <f>SUMIF(月間集計シート!$M$113:$M$132,$G481,月間集計シート!Q$113:Q$132)*AO$2</f>
        <v>0</v>
      </c>
      <c r="AP481" s="88">
        <f>SUMIF(月間集計シート!$M$113:$M$132,$G481,月間集計シート!R$113:R$132)*AP$2</f>
        <v>0</v>
      </c>
      <c r="AQ481" s="88">
        <f>SUMIF(月間集計シート!$M$113:$M$132,$G481,月間集計シート!S$113:S$132)*AQ$2</f>
        <v>0</v>
      </c>
      <c r="AR481" s="88">
        <f>SUMIF(月間集計シート!$M$113:$M$132,$G481,月間集計シート!T$113:T$132)*AR$2</f>
        <v>0</v>
      </c>
      <c r="AS481" s="88">
        <f>SUMIF(月間集計シート!$M$134:$M$153,$G481,月間集計シート!N$134:N$153)*AS$2</f>
        <v>0</v>
      </c>
      <c r="AT481" s="88">
        <f>SUMIF(月間集計シート!$M$134:$M$153,$G481,月間集計シート!O$134:O$153)*AT$2</f>
        <v>0</v>
      </c>
      <c r="AU481" s="88">
        <f>SUMIF(月間集計シート!$M$134:$M$153,$G481,月間集計シート!P$134:P$153)*AU$2</f>
        <v>0</v>
      </c>
      <c r="AV481" s="88">
        <f>SUMIF(月間集計シート!$M$134:$M$153,$G481,月間集計シート!Q$134:Q$153)*AV$2</f>
        <v>0</v>
      </c>
      <c r="AW481" s="88">
        <f>SUMIF(月間集計シート!$M$134:$M$153,$G481,月間集計シート!R$134:R$153)*AW$2</f>
        <v>0</v>
      </c>
      <c r="AX481" s="88">
        <f>SUMIF(月間集計シート!$M$134:$M$153,$G481,月間集計シート!S$134:S$153)*AX$2</f>
        <v>0</v>
      </c>
      <c r="AY481" s="88">
        <f>SUMIF(月間集計シート!$M$134:$M$153,$G481,月間集計シート!T$134:T$153)*AY$2</f>
        <v>0</v>
      </c>
    </row>
    <row r="482" spans="1:51" ht="14.25" thickBot="1">
      <c r="A482">
        <v>6</v>
      </c>
      <c r="B482" s="120">
        <f t="shared" si="238"/>
        <v>0</v>
      </c>
      <c r="C482" s="120" t="str">
        <f t="shared" si="239"/>
        <v/>
      </c>
      <c r="D482" s="137"/>
      <c r="E482" s="150" t="str">
        <f>工種!A49</f>
        <v>60199</v>
      </c>
      <c r="F482" s="119" t="str">
        <f>工種!B49</f>
        <v>ﾘﾘｰｽ：その他</v>
      </c>
      <c r="G482" s="116" t="str">
        <f t="shared" si="240"/>
        <v>060199</v>
      </c>
      <c r="H482" s="88">
        <f t="shared" si="194"/>
        <v>0</v>
      </c>
      <c r="I482" s="132"/>
      <c r="J482" s="88">
        <f>SUMIF(月間集計シート!$M$29:$M$48,$G482,月間集計シート!N$29:N$48)*J$2</f>
        <v>0</v>
      </c>
      <c r="K482" s="88">
        <f>SUMIF(月間集計シート!$M$29:$M$48,$G482,月間集計シート!O$29:O$48)*K$2</f>
        <v>0</v>
      </c>
      <c r="L482" s="88">
        <f>SUMIF(月間集計シート!$M$29:$M$48,$G482,月間集計シート!P$29:P$48)*L$2</f>
        <v>0</v>
      </c>
      <c r="M482" s="88">
        <f>SUMIF(月間集計シート!$M$29:$M$48,$G482,月間集計シート!Q$29:Q$48)*M$2</f>
        <v>0</v>
      </c>
      <c r="N482" s="88">
        <f>SUMIF(月間集計シート!$M$29:$M$48,$G482,月間集計シート!R$29:R$48)*N$2</f>
        <v>0</v>
      </c>
      <c r="O482" s="88">
        <f>SUMIF(月間集計シート!$M$29:$M$48,$G482,月間集計シート!S$29:S$48)*O$2</f>
        <v>0</v>
      </c>
      <c r="P482" s="88">
        <f>SUMIF(月間集計シート!$M$29:$M$48,$G482,月間集計シート!T$29:T$48)*P$2</f>
        <v>0</v>
      </c>
      <c r="Q482" s="88">
        <f>SUMIF(月間集計シート!$M$50:$M$69,$G482,月間集計シート!N$50:N$69)*Q$2</f>
        <v>0</v>
      </c>
      <c r="R482" s="88">
        <f>SUMIF(月間集計シート!$M$50:$M$69,$G482,月間集計シート!O$50:O$69)*R$2</f>
        <v>0</v>
      </c>
      <c r="S482" s="88">
        <f>SUMIF(月間集計シート!$M$50:$M$69,$G482,月間集計シート!P$50:P$69)*S$2</f>
        <v>0</v>
      </c>
      <c r="T482" s="88">
        <f>SUMIF(月間集計シート!$M$50:$M$69,$G482,月間集計シート!Q$50:Q$69)*T$2</f>
        <v>0</v>
      </c>
      <c r="U482" s="88">
        <f>SUMIF(月間集計シート!$M$50:$M$69,$G482,月間集計シート!R$50:R$69)*U$2</f>
        <v>0</v>
      </c>
      <c r="V482" s="88">
        <f>SUMIF(月間集計シート!$M$50:$M$69,$G482,月間集計シート!S$50:S$69)*V$2</f>
        <v>0</v>
      </c>
      <c r="W482" s="88">
        <f>SUMIF(月間集計シート!$M$50:$M$69,$G482,月間集計シート!T$50:T$69)*W$2</f>
        <v>0</v>
      </c>
      <c r="X482" s="88">
        <f>SUMIF(月間集計シート!$M$71:$M$90,$G482,月間集計シート!N$71:N$90)*X$2</f>
        <v>0</v>
      </c>
      <c r="Y482" s="88">
        <f>SUMIF(月間集計シート!$M$71:$M$90,$G482,月間集計シート!O$71:O$90)*Y$2</f>
        <v>0</v>
      </c>
      <c r="Z482" s="88">
        <f>SUMIF(月間集計シート!$M$71:$M$90,$G482,月間集計シート!P$71:P$90)*Z$2</f>
        <v>0</v>
      </c>
      <c r="AA482" s="88">
        <f>SUMIF(月間集計シート!$M$71:$M$90,$G482,月間集計シート!Q$71:Q$90)*AA$2</f>
        <v>0</v>
      </c>
      <c r="AB482" s="88">
        <f>SUMIF(月間集計シート!$M$71:$M$90,$G482,月間集計シート!R$71:R$90)*AB$2</f>
        <v>0</v>
      </c>
      <c r="AC482" s="88">
        <f>SUMIF(月間集計シート!$M$71:$M$90,$G482,月間集計シート!S$71:S$90)*AC$2</f>
        <v>0</v>
      </c>
      <c r="AD482" s="88">
        <f>SUMIF(月間集計シート!$M$71:$M$90,$G482,月間集計シート!T$71:T$90)*AD$2</f>
        <v>0</v>
      </c>
      <c r="AE482" s="88">
        <f>SUMIF(月間集計シート!$M$92:$M$111,$G482,月間集計シート!N$92:N$111)*AE$2</f>
        <v>0</v>
      </c>
      <c r="AF482" s="88">
        <f>SUMIF(月間集計シート!$M$92:$M$111,$G482,月間集計シート!O$92:O$111)*AF$2</f>
        <v>0</v>
      </c>
      <c r="AG482" s="88">
        <f>SUMIF(月間集計シート!$M$92:$M$111,$G482,月間集計シート!P$92:P$111)*AG$2</f>
        <v>0</v>
      </c>
      <c r="AH482" s="88">
        <f>SUMIF(月間集計シート!$M$92:$M$111,$G482,月間集計シート!Q$92:Q$111)*AH$2</f>
        <v>0</v>
      </c>
      <c r="AI482" s="88">
        <f>SUMIF(月間集計シート!$M$92:$M$111,$G482,月間集計シート!R$92:R$111)*AI$2</f>
        <v>0</v>
      </c>
      <c r="AJ482" s="88">
        <f>SUMIF(月間集計シート!$M$92:$M$111,$G482,月間集計シート!S$92:S$111)*AJ$2</f>
        <v>0</v>
      </c>
      <c r="AK482" s="88">
        <f>SUMIF(月間集計シート!$M$92:$M$111,$G482,月間集計シート!T$92:T$111)*AK$2</f>
        <v>0</v>
      </c>
      <c r="AL482" s="88">
        <f>SUMIF(月間集計シート!$M$113:$M$132,$G482,月間集計シート!N$113:N$132)*AL$2</f>
        <v>0</v>
      </c>
      <c r="AM482" s="88">
        <f>SUMIF(月間集計シート!$M$113:$M$132,$G482,月間集計シート!O$113:O$132)*AM$2</f>
        <v>0</v>
      </c>
      <c r="AN482" s="88">
        <f>SUMIF(月間集計シート!$M$113:$M$132,$G482,月間集計シート!P$113:P$132)*AN$2</f>
        <v>0</v>
      </c>
      <c r="AO482" s="88">
        <f>SUMIF(月間集計シート!$M$113:$M$132,$G482,月間集計シート!Q$113:Q$132)*AO$2</f>
        <v>0</v>
      </c>
      <c r="AP482" s="88">
        <f>SUMIF(月間集計シート!$M$113:$M$132,$G482,月間集計シート!R$113:R$132)*AP$2</f>
        <v>0</v>
      </c>
      <c r="AQ482" s="88">
        <f>SUMIF(月間集計シート!$M$113:$M$132,$G482,月間集計シート!S$113:S$132)*AQ$2</f>
        <v>0</v>
      </c>
      <c r="AR482" s="88">
        <f>SUMIF(月間集計シート!$M$113:$M$132,$G482,月間集計シート!T$113:T$132)*AR$2</f>
        <v>0</v>
      </c>
      <c r="AS482" s="88">
        <f>SUMIF(月間集計シート!$M$134:$M$153,$G482,月間集計シート!N$134:N$153)*AS$2</f>
        <v>0</v>
      </c>
      <c r="AT482" s="88">
        <f>SUMIF(月間集計シート!$M$134:$M$153,$G482,月間集計シート!O$134:O$153)*AT$2</f>
        <v>0</v>
      </c>
      <c r="AU482" s="88">
        <f>SUMIF(月間集計シート!$M$134:$M$153,$G482,月間集計シート!P$134:P$153)*AU$2</f>
        <v>0</v>
      </c>
      <c r="AV482" s="88">
        <f>SUMIF(月間集計シート!$M$134:$M$153,$G482,月間集計シート!Q$134:Q$153)*AV$2</f>
        <v>0</v>
      </c>
      <c r="AW482" s="88">
        <f>SUMIF(月間集計シート!$M$134:$M$153,$G482,月間集計シート!R$134:R$153)*AW$2</f>
        <v>0</v>
      </c>
      <c r="AX482" s="88">
        <f>SUMIF(月間集計シート!$M$134:$M$153,$G482,月間集計シート!S$134:S$153)*AX$2</f>
        <v>0</v>
      </c>
      <c r="AY482" s="88">
        <f>SUMIF(月間集計シート!$M$134:$M$153,$G482,月間集計シート!T$134:T$153)*AY$2</f>
        <v>0</v>
      </c>
    </row>
    <row r="483" spans="1:51" ht="14.25" thickBot="1">
      <c r="A483">
        <v>6</v>
      </c>
      <c r="B483" s="120">
        <f t="shared" si="238"/>
        <v>0</v>
      </c>
      <c r="C483" s="120" t="str">
        <f t="shared" si="239"/>
        <v/>
      </c>
      <c r="D483" s="137"/>
      <c r="E483" s="150">
        <f>工種!A50</f>
        <v>70101</v>
      </c>
      <c r="F483" s="119" t="str">
        <f>工種!B50</f>
        <v>外部不具合修正：調査・設計</v>
      </c>
      <c r="G483" s="116" t="str">
        <f t="shared" si="240"/>
        <v>070101</v>
      </c>
      <c r="H483" s="88">
        <f t="shared" si="194"/>
        <v>0</v>
      </c>
      <c r="I483" s="132"/>
      <c r="J483" s="88">
        <f>SUMIF(月間集計シート!$M$29:$M$48,$G483,月間集計シート!N$29:N$48)*J$2</f>
        <v>0</v>
      </c>
      <c r="K483" s="88">
        <f>SUMIF(月間集計シート!$M$29:$M$48,$G483,月間集計シート!O$29:O$48)*K$2</f>
        <v>0</v>
      </c>
      <c r="L483" s="88">
        <f>SUMIF(月間集計シート!$M$29:$M$48,$G483,月間集計シート!P$29:P$48)*L$2</f>
        <v>0</v>
      </c>
      <c r="M483" s="88">
        <f>SUMIF(月間集計シート!$M$29:$M$48,$G483,月間集計シート!Q$29:Q$48)*M$2</f>
        <v>0</v>
      </c>
      <c r="N483" s="88">
        <f>SUMIF(月間集計シート!$M$29:$M$48,$G483,月間集計シート!R$29:R$48)*N$2</f>
        <v>0</v>
      </c>
      <c r="O483" s="88">
        <f>SUMIF(月間集計シート!$M$29:$M$48,$G483,月間集計シート!S$29:S$48)*O$2</f>
        <v>0</v>
      </c>
      <c r="P483" s="88">
        <f>SUMIF(月間集計シート!$M$29:$M$48,$G483,月間集計シート!T$29:T$48)*P$2</f>
        <v>0</v>
      </c>
      <c r="Q483" s="88">
        <f>SUMIF(月間集計シート!$M$50:$M$69,$G483,月間集計シート!N$50:N$69)*Q$2</f>
        <v>0</v>
      </c>
      <c r="R483" s="88">
        <f>SUMIF(月間集計シート!$M$50:$M$69,$G483,月間集計シート!O$50:O$69)*R$2</f>
        <v>0</v>
      </c>
      <c r="S483" s="88">
        <f>SUMIF(月間集計シート!$M$50:$M$69,$G483,月間集計シート!P$50:P$69)*S$2</f>
        <v>0</v>
      </c>
      <c r="T483" s="88">
        <f>SUMIF(月間集計シート!$M$50:$M$69,$G483,月間集計シート!Q$50:Q$69)*T$2</f>
        <v>0</v>
      </c>
      <c r="U483" s="88">
        <f>SUMIF(月間集計シート!$M$50:$M$69,$G483,月間集計シート!R$50:R$69)*U$2</f>
        <v>0</v>
      </c>
      <c r="V483" s="88">
        <f>SUMIF(月間集計シート!$M$50:$M$69,$G483,月間集計シート!S$50:S$69)*V$2</f>
        <v>0</v>
      </c>
      <c r="W483" s="88">
        <f>SUMIF(月間集計シート!$M$50:$M$69,$G483,月間集計シート!T$50:T$69)*W$2</f>
        <v>0</v>
      </c>
      <c r="X483" s="88">
        <f>SUMIF(月間集計シート!$M$71:$M$90,$G483,月間集計シート!N$71:N$90)*X$2</f>
        <v>0</v>
      </c>
      <c r="Y483" s="88">
        <f>SUMIF(月間集計シート!$M$71:$M$90,$G483,月間集計シート!O$71:O$90)*Y$2</f>
        <v>0</v>
      </c>
      <c r="Z483" s="88">
        <f>SUMIF(月間集計シート!$M$71:$M$90,$G483,月間集計シート!P$71:P$90)*Z$2</f>
        <v>0</v>
      </c>
      <c r="AA483" s="88">
        <f>SUMIF(月間集計シート!$M$71:$M$90,$G483,月間集計シート!Q$71:Q$90)*AA$2</f>
        <v>0</v>
      </c>
      <c r="AB483" s="88">
        <f>SUMIF(月間集計シート!$M$71:$M$90,$G483,月間集計シート!R$71:R$90)*AB$2</f>
        <v>0</v>
      </c>
      <c r="AC483" s="88">
        <f>SUMIF(月間集計シート!$M$71:$M$90,$G483,月間集計シート!S$71:S$90)*AC$2</f>
        <v>0</v>
      </c>
      <c r="AD483" s="88">
        <f>SUMIF(月間集計シート!$M$71:$M$90,$G483,月間集計シート!T$71:T$90)*AD$2</f>
        <v>0</v>
      </c>
      <c r="AE483" s="88">
        <f>SUMIF(月間集計シート!$M$92:$M$111,$G483,月間集計シート!N$92:N$111)*AE$2</f>
        <v>0</v>
      </c>
      <c r="AF483" s="88">
        <f>SUMIF(月間集計シート!$M$92:$M$111,$G483,月間集計シート!O$92:O$111)*AF$2</f>
        <v>0</v>
      </c>
      <c r="AG483" s="88">
        <f>SUMIF(月間集計シート!$M$92:$M$111,$G483,月間集計シート!P$92:P$111)*AG$2</f>
        <v>0</v>
      </c>
      <c r="AH483" s="88">
        <f>SUMIF(月間集計シート!$M$92:$M$111,$G483,月間集計シート!Q$92:Q$111)*AH$2</f>
        <v>0</v>
      </c>
      <c r="AI483" s="88">
        <f>SUMIF(月間集計シート!$M$92:$M$111,$G483,月間集計シート!R$92:R$111)*AI$2</f>
        <v>0</v>
      </c>
      <c r="AJ483" s="88">
        <f>SUMIF(月間集計シート!$M$92:$M$111,$G483,月間集計シート!S$92:S$111)*AJ$2</f>
        <v>0</v>
      </c>
      <c r="AK483" s="88">
        <f>SUMIF(月間集計シート!$M$92:$M$111,$G483,月間集計シート!T$92:T$111)*AK$2</f>
        <v>0</v>
      </c>
      <c r="AL483" s="88">
        <f>SUMIF(月間集計シート!$M$113:$M$132,$G483,月間集計シート!N$113:N$132)*AL$2</f>
        <v>0</v>
      </c>
      <c r="AM483" s="88">
        <f>SUMIF(月間集計シート!$M$113:$M$132,$G483,月間集計シート!O$113:O$132)*AM$2</f>
        <v>0</v>
      </c>
      <c r="AN483" s="88">
        <f>SUMIF(月間集計シート!$M$113:$M$132,$G483,月間集計シート!P$113:P$132)*AN$2</f>
        <v>0</v>
      </c>
      <c r="AO483" s="88">
        <f>SUMIF(月間集計シート!$M$113:$M$132,$G483,月間集計シート!Q$113:Q$132)*AO$2</f>
        <v>0</v>
      </c>
      <c r="AP483" s="88">
        <f>SUMIF(月間集計シート!$M$113:$M$132,$G483,月間集計シート!R$113:R$132)*AP$2</f>
        <v>0</v>
      </c>
      <c r="AQ483" s="88">
        <f>SUMIF(月間集計シート!$M$113:$M$132,$G483,月間集計シート!S$113:S$132)*AQ$2</f>
        <v>0</v>
      </c>
      <c r="AR483" s="88">
        <f>SUMIF(月間集計シート!$M$113:$M$132,$G483,月間集計シート!T$113:T$132)*AR$2</f>
        <v>0</v>
      </c>
      <c r="AS483" s="88">
        <f>SUMIF(月間集計シート!$M$134:$M$153,$G483,月間集計シート!N$134:N$153)*AS$2</f>
        <v>0</v>
      </c>
      <c r="AT483" s="88">
        <f>SUMIF(月間集計シート!$M$134:$M$153,$G483,月間集計シート!O$134:O$153)*AT$2</f>
        <v>0</v>
      </c>
      <c r="AU483" s="88">
        <f>SUMIF(月間集計シート!$M$134:$M$153,$G483,月間集計シート!P$134:P$153)*AU$2</f>
        <v>0</v>
      </c>
      <c r="AV483" s="88">
        <f>SUMIF(月間集計シート!$M$134:$M$153,$G483,月間集計シート!Q$134:Q$153)*AV$2</f>
        <v>0</v>
      </c>
      <c r="AW483" s="88">
        <f>SUMIF(月間集計シート!$M$134:$M$153,$G483,月間集計シート!R$134:R$153)*AW$2</f>
        <v>0</v>
      </c>
      <c r="AX483" s="88">
        <f>SUMIF(月間集計シート!$M$134:$M$153,$G483,月間集計シート!S$134:S$153)*AX$2</f>
        <v>0</v>
      </c>
      <c r="AY483" s="88">
        <f>SUMIF(月間集計シート!$M$134:$M$153,$G483,月間集計シート!T$134:T$153)*AY$2</f>
        <v>0</v>
      </c>
    </row>
    <row r="484" spans="1:51" ht="14.25" thickBot="1">
      <c r="A484">
        <v>6</v>
      </c>
      <c r="B484" s="120">
        <f t="shared" si="238"/>
        <v>0</v>
      </c>
      <c r="C484" s="120" t="str">
        <f t="shared" si="239"/>
        <v/>
      </c>
      <c r="D484" s="137"/>
      <c r="E484" s="150">
        <f>工種!A51</f>
        <v>70102</v>
      </c>
      <c r="F484" s="119" t="str">
        <f>工種!B51</f>
        <v>外部不具合修正：コーディング</v>
      </c>
      <c r="G484" s="116" t="str">
        <f t="shared" si="240"/>
        <v>070102</v>
      </c>
      <c r="H484" s="88">
        <f t="shared" si="194"/>
        <v>0</v>
      </c>
      <c r="I484" s="132"/>
      <c r="J484" s="88">
        <f>SUMIF(月間集計シート!$M$29:$M$48,$G484,月間集計シート!N$29:N$48)*J$2</f>
        <v>0</v>
      </c>
      <c r="K484" s="88">
        <f>SUMIF(月間集計シート!$M$29:$M$48,$G484,月間集計シート!O$29:O$48)*K$2</f>
        <v>0</v>
      </c>
      <c r="L484" s="88">
        <f>SUMIF(月間集計シート!$M$29:$M$48,$G484,月間集計シート!P$29:P$48)*L$2</f>
        <v>0</v>
      </c>
      <c r="M484" s="88">
        <f>SUMIF(月間集計シート!$M$29:$M$48,$G484,月間集計シート!Q$29:Q$48)*M$2</f>
        <v>0</v>
      </c>
      <c r="N484" s="88">
        <f>SUMIF(月間集計シート!$M$29:$M$48,$G484,月間集計シート!R$29:R$48)*N$2</f>
        <v>0</v>
      </c>
      <c r="O484" s="88">
        <f>SUMIF(月間集計シート!$M$29:$M$48,$G484,月間集計シート!S$29:S$48)*O$2</f>
        <v>0</v>
      </c>
      <c r="P484" s="88">
        <f>SUMIF(月間集計シート!$M$29:$M$48,$G484,月間集計シート!T$29:T$48)*P$2</f>
        <v>0</v>
      </c>
      <c r="Q484" s="88">
        <f>SUMIF(月間集計シート!$M$50:$M$69,$G484,月間集計シート!N$50:N$69)*Q$2</f>
        <v>0</v>
      </c>
      <c r="R484" s="88">
        <f>SUMIF(月間集計シート!$M$50:$M$69,$G484,月間集計シート!O$50:O$69)*R$2</f>
        <v>0</v>
      </c>
      <c r="S484" s="88">
        <f>SUMIF(月間集計シート!$M$50:$M$69,$G484,月間集計シート!P$50:P$69)*S$2</f>
        <v>0</v>
      </c>
      <c r="T484" s="88">
        <f>SUMIF(月間集計シート!$M$50:$M$69,$G484,月間集計シート!Q$50:Q$69)*T$2</f>
        <v>0</v>
      </c>
      <c r="U484" s="88">
        <f>SUMIF(月間集計シート!$M$50:$M$69,$G484,月間集計シート!R$50:R$69)*U$2</f>
        <v>0</v>
      </c>
      <c r="V484" s="88">
        <f>SUMIF(月間集計シート!$M$50:$M$69,$G484,月間集計シート!S$50:S$69)*V$2</f>
        <v>0</v>
      </c>
      <c r="W484" s="88">
        <f>SUMIF(月間集計シート!$M$50:$M$69,$G484,月間集計シート!T$50:T$69)*W$2</f>
        <v>0</v>
      </c>
      <c r="X484" s="88">
        <f>SUMIF(月間集計シート!$M$71:$M$90,$G484,月間集計シート!N$71:N$90)*X$2</f>
        <v>0</v>
      </c>
      <c r="Y484" s="88">
        <f>SUMIF(月間集計シート!$M$71:$M$90,$G484,月間集計シート!O$71:O$90)*Y$2</f>
        <v>0</v>
      </c>
      <c r="Z484" s="88">
        <f>SUMIF(月間集計シート!$M$71:$M$90,$G484,月間集計シート!P$71:P$90)*Z$2</f>
        <v>0</v>
      </c>
      <c r="AA484" s="88">
        <f>SUMIF(月間集計シート!$M$71:$M$90,$G484,月間集計シート!Q$71:Q$90)*AA$2</f>
        <v>0</v>
      </c>
      <c r="AB484" s="88">
        <f>SUMIF(月間集計シート!$M$71:$M$90,$G484,月間集計シート!R$71:R$90)*AB$2</f>
        <v>0</v>
      </c>
      <c r="AC484" s="88">
        <f>SUMIF(月間集計シート!$M$71:$M$90,$G484,月間集計シート!S$71:S$90)*AC$2</f>
        <v>0</v>
      </c>
      <c r="AD484" s="88">
        <f>SUMIF(月間集計シート!$M$71:$M$90,$G484,月間集計シート!T$71:T$90)*AD$2</f>
        <v>0</v>
      </c>
      <c r="AE484" s="88">
        <f>SUMIF(月間集計シート!$M$92:$M$111,$G484,月間集計シート!N$92:N$111)*AE$2</f>
        <v>0</v>
      </c>
      <c r="AF484" s="88">
        <f>SUMIF(月間集計シート!$M$92:$M$111,$G484,月間集計シート!O$92:O$111)*AF$2</f>
        <v>0</v>
      </c>
      <c r="AG484" s="88">
        <f>SUMIF(月間集計シート!$M$92:$M$111,$G484,月間集計シート!P$92:P$111)*AG$2</f>
        <v>0</v>
      </c>
      <c r="AH484" s="88">
        <f>SUMIF(月間集計シート!$M$92:$M$111,$G484,月間集計シート!Q$92:Q$111)*AH$2</f>
        <v>0</v>
      </c>
      <c r="AI484" s="88">
        <f>SUMIF(月間集計シート!$M$92:$M$111,$G484,月間集計シート!R$92:R$111)*AI$2</f>
        <v>0</v>
      </c>
      <c r="AJ484" s="88">
        <f>SUMIF(月間集計シート!$M$92:$M$111,$G484,月間集計シート!S$92:S$111)*AJ$2</f>
        <v>0</v>
      </c>
      <c r="AK484" s="88">
        <f>SUMIF(月間集計シート!$M$92:$M$111,$G484,月間集計シート!T$92:T$111)*AK$2</f>
        <v>0</v>
      </c>
      <c r="AL484" s="88">
        <f>SUMIF(月間集計シート!$M$113:$M$132,$G484,月間集計シート!N$113:N$132)*AL$2</f>
        <v>0</v>
      </c>
      <c r="AM484" s="88">
        <f>SUMIF(月間集計シート!$M$113:$M$132,$G484,月間集計シート!O$113:O$132)*AM$2</f>
        <v>0</v>
      </c>
      <c r="AN484" s="88">
        <f>SUMIF(月間集計シート!$M$113:$M$132,$G484,月間集計シート!P$113:P$132)*AN$2</f>
        <v>0</v>
      </c>
      <c r="AO484" s="88">
        <f>SUMIF(月間集計シート!$M$113:$M$132,$G484,月間集計シート!Q$113:Q$132)*AO$2</f>
        <v>0</v>
      </c>
      <c r="AP484" s="88">
        <f>SUMIF(月間集計シート!$M$113:$M$132,$G484,月間集計シート!R$113:R$132)*AP$2</f>
        <v>0</v>
      </c>
      <c r="AQ484" s="88">
        <f>SUMIF(月間集計シート!$M$113:$M$132,$G484,月間集計シート!S$113:S$132)*AQ$2</f>
        <v>0</v>
      </c>
      <c r="AR484" s="88">
        <f>SUMIF(月間集計シート!$M$113:$M$132,$G484,月間集計シート!T$113:T$132)*AR$2</f>
        <v>0</v>
      </c>
      <c r="AS484" s="88">
        <f>SUMIF(月間集計シート!$M$134:$M$153,$G484,月間集計シート!N$134:N$153)*AS$2</f>
        <v>0</v>
      </c>
      <c r="AT484" s="88">
        <f>SUMIF(月間集計シート!$M$134:$M$153,$G484,月間集計シート!O$134:O$153)*AT$2</f>
        <v>0</v>
      </c>
      <c r="AU484" s="88">
        <f>SUMIF(月間集計シート!$M$134:$M$153,$G484,月間集計シート!P$134:P$153)*AU$2</f>
        <v>0</v>
      </c>
      <c r="AV484" s="88">
        <f>SUMIF(月間集計シート!$M$134:$M$153,$G484,月間集計シート!Q$134:Q$153)*AV$2</f>
        <v>0</v>
      </c>
      <c r="AW484" s="88">
        <f>SUMIF(月間集計シート!$M$134:$M$153,$G484,月間集計シート!R$134:R$153)*AW$2</f>
        <v>0</v>
      </c>
      <c r="AX484" s="88">
        <f>SUMIF(月間集計シート!$M$134:$M$153,$G484,月間集計シート!S$134:S$153)*AX$2</f>
        <v>0</v>
      </c>
      <c r="AY484" s="88">
        <f>SUMIF(月間集計シート!$M$134:$M$153,$G484,月間集計シート!T$134:T$153)*AY$2</f>
        <v>0</v>
      </c>
    </row>
    <row r="485" spans="1:51" ht="14.25" thickBot="1">
      <c r="A485">
        <v>6</v>
      </c>
      <c r="B485" s="120">
        <f t="shared" si="238"/>
        <v>0</v>
      </c>
      <c r="C485" s="120" t="str">
        <f t="shared" si="239"/>
        <v/>
      </c>
      <c r="D485" s="137"/>
      <c r="E485" s="150">
        <f>工種!A52</f>
        <v>70103</v>
      </c>
      <c r="F485" s="119" t="str">
        <f>工種!B52</f>
        <v>外部不具合修正：テスト</v>
      </c>
      <c r="G485" s="116" t="str">
        <f t="shared" si="240"/>
        <v>070103</v>
      </c>
      <c r="H485" s="88">
        <f t="shared" si="194"/>
        <v>0</v>
      </c>
      <c r="I485" s="132"/>
      <c r="J485" s="88">
        <f>SUMIF(月間集計シート!$M$29:$M$48,$G485,月間集計シート!N$29:N$48)*J$2</f>
        <v>0</v>
      </c>
      <c r="K485" s="88">
        <f>SUMIF(月間集計シート!$M$29:$M$48,$G485,月間集計シート!O$29:O$48)*K$2</f>
        <v>0</v>
      </c>
      <c r="L485" s="88">
        <f>SUMIF(月間集計シート!$M$29:$M$48,$G485,月間集計シート!P$29:P$48)*L$2</f>
        <v>0</v>
      </c>
      <c r="M485" s="88">
        <f>SUMIF(月間集計シート!$M$29:$M$48,$G485,月間集計シート!Q$29:Q$48)*M$2</f>
        <v>0</v>
      </c>
      <c r="N485" s="88">
        <f>SUMIF(月間集計シート!$M$29:$M$48,$G485,月間集計シート!R$29:R$48)*N$2</f>
        <v>0</v>
      </c>
      <c r="O485" s="88">
        <f>SUMIF(月間集計シート!$M$29:$M$48,$G485,月間集計シート!S$29:S$48)*O$2</f>
        <v>0</v>
      </c>
      <c r="P485" s="88">
        <f>SUMIF(月間集計シート!$M$29:$M$48,$G485,月間集計シート!T$29:T$48)*P$2</f>
        <v>0</v>
      </c>
      <c r="Q485" s="88">
        <f>SUMIF(月間集計シート!$M$50:$M$69,$G485,月間集計シート!N$50:N$69)*Q$2</f>
        <v>0</v>
      </c>
      <c r="R485" s="88">
        <f>SUMIF(月間集計シート!$M$50:$M$69,$G485,月間集計シート!O$50:O$69)*R$2</f>
        <v>0</v>
      </c>
      <c r="S485" s="88">
        <f>SUMIF(月間集計シート!$M$50:$M$69,$G485,月間集計シート!P$50:P$69)*S$2</f>
        <v>0</v>
      </c>
      <c r="T485" s="88">
        <f>SUMIF(月間集計シート!$M$50:$M$69,$G485,月間集計シート!Q$50:Q$69)*T$2</f>
        <v>0</v>
      </c>
      <c r="U485" s="88">
        <f>SUMIF(月間集計シート!$M$50:$M$69,$G485,月間集計シート!R$50:R$69)*U$2</f>
        <v>0</v>
      </c>
      <c r="V485" s="88">
        <f>SUMIF(月間集計シート!$M$50:$M$69,$G485,月間集計シート!S$50:S$69)*V$2</f>
        <v>0</v>
      </c>
      <c r="W485" s="88">
        <f>SUMIF(月間集計シート!$M$50:$M$69,$G485,月間集計シート!T$50:T$69)*W$2</f>
        <v>0</v>
      </c>
      <c r="X485" s="88">
        <f>SUMIF(月間集計シート!$M$71:$M$90,$G485,月間集計シート!N$71:N$90)*X$2</f>
        <v>0</v>
      </c>
      <c r="Y485" s="88">
        <f>SUMIF(月間集計シート!$M$71:$M$90,$G485,月間集計シート!O$71:O$90)*Y$2</f>
        <v>0</v>
      </c>
      <c r="Z485" s="88">
        <f>SUMIF(月間集計シート!$M$71:$M$90,$G485,月間集計シート!P$71:P$90)*Z$2</f>
        <v>0</v>
      </c>
      <c r="AA485" s="88">
        <f>SUMIF(月間集計シート!$M$71:$M$90,$G485,月間集計シート!Q$71:Q$90)*AA$2</f>
        <v>0</v>
      </c>
      <c r="AB485" s="88">
        <f>SUMIF(月間集計シート!$M$71:$M$90,$G485,月間集計シート!R$71:R$90)*AB$2</f>
        <v>0</v>
      </c>
      <c r="AC485" s="88">
        <f>SUMIF(月間集計シート!$M$71:$M$90,$G485,月間集計シート!S$71:S$90)*AC$2</f>
        <v>0</v>
      </c>
      <c r="AD485" s="88">
        <f>SUMIF(月間集計シート!$M$71:$M$90,$G485,月間集計シート!T$71:T$90)*AD$2</f>
        <v>0</v>
      </c>
      <c r="AE485" s="88">
        <f>SUMIF(月間集計シート!$M$92:$M$111,$G485,月間集計シート!N$92:N$111)*AE$2</f>
        <v>0</v>
      </c>
      <c r="AF485" s="88">
        <f>SUMIF(月間集計シート!$M$92:$M$111,$G485,月間集計シート!O$92:O$111)*AF$2</f>
        <v>0</v>
      </c>
      <c r="AG485" s="88">
        <f>SUMIF(月間集計シート!$M$92:$M$111,$G485,月間集計シート!P$92:P$111)*AG$2</f>
        <v>0</v>
      </c>
      <c r="AH485" s="88">
        <f>SUMIF(月間集計シート!$M$92:$M$111,$G485,月間集計シート!Q$92:Q$111)*AH$2</f>
        <v>0</v>
      </c>
      <c r="AI485" s="88">
        <f>SUMIF(月間集計シート!$M$92:$M$111,$G485,月間集計シート!R$92:R$111)*AI$2</f>
        <v>0</v>
      </c>
      <c r="AJ485" s="88">
        <f>SUMIF(月間集計シート!$M$92:$M$111,$G485,月間集計シート!S$92:S$111)*AJ$2</f>
        <v>0</v>
      </c>
      <c r="AK485" s="88">
        <f>SUMIF(月間集計シート!$M$92:$M$111,$G485,月間集計シート!T$92:T$111)*AK$2</f>
        <v>0</v>
      </c>
      <c r="AL485" s="88">
        <f>SUMIF(月間集計シート!$M$113:$M$132,$G485,月間集計シート!N$113:N$132)*AL$2</f>
        <v>0</v>
      </c>
      <c r="AM485" s="88">
        <f>SUMIF(月間集計シート!$M$113:$M$132,$G485,月間集計シート!O$113:O$132)*AM$2</f>
        <v>0</v>
      </c>
      <c r="AN485" s="88">
        <f>SUMIF(月間集計シート!$M$113:$M$132,$G485,月間集計シート!P$113:P$132)*AN$2</f>
        <v>0</v>
      </c>
      <c r="AO485" s="88">
        <f>SUMIF(月間集計シート!$M$113:$M$132,$G485,月間集計シート!Q$113:Q$132)*AO$2</f>
        <v>0</v>
      </c>
      <c r="AP485" s="88">
        <f>SUMIF(月間集計シート!$M$113:$M$132,$G485,月間集計シート!R$113:R$132)*AP$2</f>
        <v>0</v>
      </c>
      <c r="AQ485" s="88">
        <f>SUMIF(月間集計シート!$M$113:$M$132,$G485,月間集計シート!S$113:S$132)*AQ$2</f>
        <v>0</v>
      </c>
      <c r="AR485" s="88">
        <f>SUMIF(月間集計シート!$M$113:$M$132,$G485,月間集計シート!T$113:T$132)*AR$2</f>
        <v>0</v>
      </c>
      <c r="AS485" s="88">
        <f>SUMIF(月間集計シート!$M$134:$M$153,$G485,月間集計シート!N$134:N$153)*AS$2</f>
        <v>0</v>
      </c>
      <c r="AT485" s="88">
        <f>SUMIF(月間集計シート!$M$134:$M$153,$G485,月間集計シート!O$134:O$153)*AT$2</f>
        <v>0</v>
      </c>
      <c r="AU485" s="88">
        <f>SUMIF(月間集計シート!$M$134:$M$153,$G485,月間集計シート!P$134:P$153)*AU$2</f>
        <v>0</v>
      </c>
      <c r="AV485" s="88">
        <f>SUMIF(月間集計シート!$M$134:$M$153,$G485,月間集計シート!Q$134:Q$153)*AV$2</f>
        <v>0</v>
      </c>
      <c r="AW485" s="88">
        <f>SUMIF(月間集計シート!$M$134:$M$153,$G485,月間集計シート!R$134:R$153)*AW$2</f>
        <v>0</v>
      </c>
      <c r="AX485" s="88">
        <f>SUMIF(月間集計シート!$M$134:$M$153,$G485,月間集計シート!S$134:S$153)*AX$2</f>
        <v>0</v>
      </c>
      <c r="AY485" s="88">
        <f>SUMIF(月間集計シート!$M$134:$M$153,$G485,月間集計シート!T$134:T$153)*AY$2</f>
        <v>0</v>
      </c>
    </row>
    <row r="486" spans="1:51" ht="14.25" thickBot="1">
      <c r="A486">
        <v>6</v>
      </c>
      <c r="B486" s="120">
        <f t="shared" si="238"/>
        <v>0</v>
      </c>
      <c r="C486" s="120" t="str">
        <f t="shared" si="239"/>
        <v/>
      </c>
      <c r="D486" s="137"/>
      <c r="E486" s="150">
        <f>工種!A53</f>
        <v>70104</v>
      </c>
      <c r="F486" s="119" t="str">
        <f>工種!B53</f>
        <v>外部不具合修正：不具合連絡作成</v>
      </c>
      <c r="G486" s="116" t="str">
        <f t="shared" si="240"/>
        <v>070104</v>
      </c>
      <c r="H486" s="88">
        <f t="shared" si="194"/>
        <v>0</v>
      </c>
      <c r="I486" s="132"/>
      <c r="J486" s="88">
        <f>SUMIF(月間集計シート!$M$29:$M$48,$G486,月間集計シート!N$29:N$48)*J$2</f>
        <v>0</v>
      </c>
      <c r="K486" s="88">
        <f>SUMIF(月間集計シート!$M$29:$M$48,$G486,月間集計シート!O$29:O$48)*K$2</f>
        <v>0</v>
      </c>
      <c r="L486" s="88">
        <f>SUMIF(月間集計シート!$M$29:$M$48,$G486,月間集計シート!P$29:P$48)*L$2</f>
        <v>0</v>
      </c>
      <c r="M486" s="88">
        <f>SUMIF(月間集計シート!$M$29:$M$48,$G486,月間集計シート!Q$29:Q$48)*M$2</f>
        <v>0</v>
      </c>
      <c r="N486" s="88">
        <f>SUMIF(月間集計シート!$M$29:$M$48,$G486,月間集計シート!R$29:R$48)*N$2</f>
        <v>0</v>
      </c>
      <c r="O486" s="88">
        <f>SUMIF(月間集計シート!$M$29:$M$48,$G486,月間集計シート!S$29:S$48)*O$2</f>
        <v>0</v>
      </c>
      <c r="P486" s="88">
        <f>SUMIF(月間集計シート!$M$29:$M$48,$G486,月間集計シート!T$29:T$48)*P$2</f>
        <v>0</v>
      </c>
      <c r="Q486" s="88">
        <f>SUMIF(月間集計シート!$M$50:$M$69,$G486,月間集計シート!N$50:N$69)*Q$2</f>
        <v>0</v>
      </c>
      <c r="R486" s="88">
        <f>SUMIF(月間集計シート!$M$50:$M$69,$G486,月間集計シート!O$50:O$69)*R$2</f>
        <v>0</v>
      </c>
      <c r="S486" s="88">
        <f>SUMIF(月間集計シート!$M$50:$M$69,$G486,月間集計シート!P$50:P$69)*S$2</f>
        <v>0</v>
      </c>
      <c r="T486" s="88">
        <f>SUMIF(月間集計シート!$M$50:$M$69,$G486,月間集計シート!Q$50:Q$69)*T$2</f>
        <v>0</v>
      </c>
      <c r="U486" s="88">
        <f>SUMIF(月間集計シート!$M$50:$M$69,$G486,月間集計シート!R$50:R$69)*U$2</f>
        <v>0</v>
      </c>
      <c r="V486" s="88">
        <f>SUMIF(月間集計シート!$M$50:$M$69,$G486,月間集計シート!S$50:S$69)*V$2</f>
        <v>0</v>
      </c>
      <c r="W486" s="88">
        <f>SUMIF(月間集計シート!$M$50:$M$69,$G486,月間集計シート!T$50:T$69)*W$2</f>
        <v>0</v>
      </c>
      <c r="X486" s="88">
        <f>SUMIF(月間集計シート!$M$71:$M$90,$G486,月間集計シート!N$71:N$90)*X$2</f>
        <v>0</v>
      </c>
      <c r="Y486" s="88">
        <f>SUMIF(月間集計シート!$M$71:$M$90,$G486,月間集計シート!O$71:O$90)*Y$2</f>
        <v>0</v>
      </c>
      <c r="Z486" s="88">
        <f>SUMIF(月間集計シート!$M$71:$M$90,$G486,月間集計シート!P$71:P$90)*Z$2</f>
        <v>0</v>
      </c>
      <c r="AA486" s="88">
        <f>SUMIF(月間集計シート!$M$71:$M$90,$G486,月間集計シート!Q$71:Q$90)*AA$2</f>
        <v>0</v>
      </c>
      <c r="AB486" s="88">
        <f>SUMIF(月間集計シート!$M$71:$M$90,$G486,月間集計シート!R$71:R$90)*AB$2</f>
        <v>0</v>
      </c>
      <c r="AC486" s="88">
        <f>SUMIF(月間集計シート!$M$71:$M$90,$G486,月間集計シート!S$71:S$90)*AC$2</f>
        <v>0</v>
      </c>
      <c r="AD486" s="88">
        <f>SUMIF(月間集計シート!$M$71:$M$90,$G486,月間集計シート!T$71:T$90)*AD$2</f>
        <v>0</v>
      </c>
      <c r="AE486" s="88">
        <f>SUMIF(月間集計シート!$M$92:$M$111,$G486,月間集計シート!N$92:N$111)*AE$2</f>
        <v>0</v>
      </c>
      <c r="AF486" s="88">
        <f>SUMIF(月間集計シート!$M$92:$M$111,$G486,月間集計シート!O$92:O$111)*AF$2</f>
        <v>0</v>
      </c>
      <c r="AG486" s="88">
        <f>SUMIF(月間集計シート!$M$92:$M$111,$G486,月間集計シート!P$92:P$111)*AG$2</f>
        <v>0</v>
      </c>
      <c r="AH486" s="88">
        <f>SUMIF(月間集計シート!$M$92:$M$111,$G486,月間集計シート!Q$92:Q$111)*AH$2</f>
        <v>0</v>
      </c>
      <c r="AI486" s="88">
        <f>SUMIF(月間集計シート!$M$92:$M$111,$G486,月間集計シート!R$92:R$111)*AI$2</f>
        <v>0</v>
      </c>
      <c r="AJ486" s="88">
        <f>SUMIF(月間集計シート!$M$92:$M$111,$G486,月間集計シート!S$92:S$111)*AJ$2</f>
        <v>0</v>
      </c>
      <c r="AK486" s="88">
        <f>SUMIF(月間集計シート!$M$92:$M$111,$G486,月間集計シート!T$92:T$111)*AK$2</f>
        <v>0</v>
      </c>
      <c r="AL486" s="88">
        <f>SUMIF(月間集計シート!$M$113:$M$132,$G486,月間集計シート!N$113:N$132)*AL$2</f>
        <v>0</v>
      </c>
      <c r="AM486" s="88">
        <f>SUMIF(月間集計シート!$M$113:$M$132,$G486,月間集計シート!O$113:O$132)*AM$2</f>
        <v>0</v>
      </c>
      <c r="AN486" s="88">
        <f>SUMIF(月間集計シート!$M$113:$M$132,$G486,月間集計シート!P$113:P$132)*AN$2</f>
        <v>0</v>
      </c>
      <c r="AO486" s="88">
        <f>SUMIF(月間集計シート!$M$113:$M$132,$G486,月間集計シート!Q$113:Q$132)*AO$2</f>
        <v>0</v>
      </c>
      <c r="AP486" s="88">
        <f>SUMIF(月間集計シート!$M$113:$M$132,$G486,月間集計シート!R$113:R$132)*AP$2</f>
        <v>0</v>
      </c>
      <c r="AQ486" s="88">
        <f>SUMIF(月間集計シート!$M$113:$M$132,$G486,月間集計シート!S$113:S$132)*AQ$2</f>
        <v>0</v>
      </c>
      <c r="AR486" s="88">
        <f>SUMIF(月間集計シート!$M$113:$M$132,$G486,月間集計シート!T$113:T$132)*AR$2</f>
        <v>0</v>
      </c>
      <c r="AS486" s="88">
        <f>SUMIF(月間集計シート!$M$134:$M$153,$G486,月間集計シート!N$134:N$153)*AS$2</f>
        <v>0</v>
      </c>
      <c r="AT486" s="88">
        <f>SUMIF(月間集計シート!$M$134:$M$153,$G486,月間集計シート!O$134:O$153)*AT$2</f>
        <v>0</v>
      </c>
      <c r="AU486" s="88">
        <f>SUMIF(月間集計シート!$M$134:$M$153,$G486,月間集計シート!P$134:P$153)*AU$2</f>
        <v>0</v>
      </c>
      <c r="AV486" s="88">
        <f>SUMIF(月間集計シート!$M$134:$M$153,$G486,月間集計シート!Q$134:Q$153)*AV$2</f>
        <v>0</v>
      </c>
      <c r="AW486" s="88">
        <f>SUMIF(月間集計シート!$M$134:$M$153,$G486,月間集計シート!R$134:R$153)*AW$2</f>
        <v>0</v>
      </c>
      <c r="AX486" s="88">
        <f>SUMIF(月間集計シート!$M$134:$M$153,$G486,月間集計シート!S$134:S$153)*AX$2</f>
        <v>0</v>
      </c>
      <c r="AY486" s="88">
        <f>SUMIF(月間集計シート!$M$134:$M$153,$G486,月間集計シート!T$134:T$153)*AY$2</f>
        <v>0</v>
      </c>
    </row>
    <row r="487" spans="1:51" ht="14.25" thickBot="1">
      <c r="A487">
        <v>6</v>
      </c>
      <c r="B487" s="120">
        <f t="shared" si="238"/>
        <v>0</v>
      </c>
      <c r="C487" s="120" t="str">
        <f t="shared" si="239"/>
        <v/>
      </c>
      <c r="D487" s="137"/>
      <c r="E487" s="150">
        <f>工種!A54</f>
        <v>70105</v>
      </c>
      <c r="F487" s="119" t="str">
        <f>工種!B54</f>
        <v>外部不具合修正：差分PGイントラ掲載</v>
      </c>
      <c r="G487" s="116" t="str">
        <f t="shared" si="240"/>
        <v>070105</v>
      </c>
      <c r="H487" s="88">
        <f t="shared" si="194"/>
        <v>0</v>
      </c>
      <c r="I487" s="132"/>
      <c r="J487" s="88">
        <f>SUMIF(月間集計シート!$M$29:$M$48,$G487,月間集計シート!N$29:N$48)*J$2</f>
        <v>0</v>
      </c>
      <c r="K487" s="88">
        <f>SUMIF(月間集計シート!$M$29:$M$48,$G487,月間集計シート!O$29:O$48)*K$2</f>
        <v>0</v>
      </c>
      <c r="L487" s="88">
        <f>SUMIF(月間集計シート!$M$29:$M$48,$G487,月間集計シート!P$29:P$48)*L$2</f>
        <v>0</v>
      </c>
      <c r="M487" s="88">
        <f>SUMIF(月間集計シート!$M$29:$M$48,$G487,月間集計シート!Q$29:Q$48)*M$2</f>
        <v>0</v>
      </c>
      <c r="N487" s="88">
        <f>SUMIF(月間集計シート!$M$29:$M$48,$G487,月間集計シート!R$29:R$48)*N$2</f>
        <v>0</v>
      </c>
      <c r="O487" s="88">
        <f>SUMIF(月間集計シート!$M$29:$M$48,$G487,月間集計シート!S$29:S$48)*O$2</f>
        <v>0</v>
      </c>
      <c r="P487" s="88">
        <f>SUMIF(月間集計シート!$M$29:$M$48,$G487,月間集計シート!T$29:T$48)*P$2</f>
        <v>0</v>
      </c>
      <c r="Q487" s="88">
        <f>SUMIF(月間集計シート!$M$50:$M$69,$G487,月間集計シート!N$50:N$69)*Q$2</f>
        <v>0</v>
      </c>
      <c r="R487" s="88">
        <f>SUMIF(月間集計シート!$M$50:$M$69,$G487,月間集計シート!O$50:O$69)*R$2</f>
        <v>0</v>
      </c>
      <c r="S487" s="88">
        <f>SUMIF(月間集計シート!$M$50:$M$69,$G487,月間集計シート!P$50:P$69)*S$2</f>
        <v>0</v>
      </c>
      <c r="T487" s="88">
        <f>SUMIF(月間集計シート!$M$50:$M$69,$G487,月間集計シート!Q$50:Q$69)*T$2</f>
        <v>0</v>
      </c>
      <c r="U487" s="88">
        <f>SUMIF(月間集計シート!$M$50:$M$69,$G487,月間集計シート!R$50:R$69)*U$2</f>
        <v>0</v>
      </c>
      <c r="V487" s="88">
        <f>SUMIF(月間集計シート!$M$50:$M$69,$G487,月間集計シート!S$50:S$69)*V$2</f>
        <v>0</v>
      </c>
      <c r="W487" s="88">
        <f>SUMIF(月間集計シート!$M$50:$M$69,$G487,月間集計シート!T$50:T$69)*W$2</f>
        <v>0</v>
      </c>
      <c r="X487" s="88">
        <f>SUMIF(月間集計シート!$M$71:$M$90,$G487,月間集計シート!N$71:N$90)*X$2</f>
        <v>0</v>
      </c>
      <c r="Y487" s="88">
        <f>SUMIF(月間集計シート!$M$71:$M$90,$G487,月間集計シート!O$71:O$90)*Y$2</f>
        <v>0</v>
      </c>
      <c r="Z487" s="88">
        <f>SUMIF(月間集計シート!$M$71:$M$90,$G487,月間集計シート!P$71:P$90)*Z$2</f>
        <v>0</v>
      </c>
      <c r="AA487" s="88">
        <f>SUMIF(月間集計シート!$M$71:$M$90,$G487,月間集計シート!Q$71:Q$90)*AA$2</f>
        <v>0</v>
      </c>
      <c r="AB487" s="88">
        <f>SUMIF(月間集計シート!$M$71:$M$90,$G487,月間集計シート!R$71:R$90)*AB$2</f>
        <v>0</v>
      </c>
      <c r="AC487" s="88">
        <f>SUMIF(月間集計シート!$M$71:$M$90,$G487,月間集計シート!S$71:S$90)*AC$2</f>
        <v>0</v>
      </c>
      <c r="AD487" s="88">
        <f>SUMIF(月間集計シート!$M$71:$M$90,$G487,月間集計シート!T$71:T$90)*AD$2</f>
        <v>0</v>
      </c>
      <c r="AE487" s="88">
        <f>SUMIF(月間集計シート!$M$92:$M$111,$G487,月間集計シート!N$92:N$111)*AE$2</f>
        <v>0</v>
      </c>
      <c r="AF487" s="88">
        <f>SUMIF(月間集計シート!$M$92:$M$111,$G487,月間集計シート!O$92:O$111)*AF$2</f>
        <v>0</v>
      </c>
      <c r="AG487" s="88">
        <f>SUMIF(月間集計シート!$M$92:$M$111,$G487,月間集計シート!P$92:P$111)*AG$2</f>
        <v>0</v>
      </c>
      <c r="AH487" s="88">
        <f>SUMIF(月間集計シート!$M$92:$M$111,$G487,月間集計シート!Q$92:Q$111)*AH$2</f>
        <v>0</v>
      </c>
      <c r="AI487" s="88">
        <f>SUMIF(月間集計シート!$M$92:$M$111,$G487,月間集計シート!R$92:R$111)*AI$2</f>
        <v>0</v>
      </c>
      <c r="AJ487" s="88">
        <f>SUMIF(月間集計シート!$M$92:$M$111,$G487,月間集計シート!S$92:S$111)*AJ$2</f>
        <v>0</v>
      </c>
      <c r="AK487" s="88">
        <f>SUMIF(月間集計シート!$M$92:$M$111,$G487,月間集計シート!T$92:T$111)*AK$2</f>
        <v>0</v>
      </c>
      <c r="AL487" s="88">
        <f>SUMIF(月間集計シート!$M$113:$M$132,$G487,月間集計シート!N$113:N$132)*AL$2</f>
        <v>0</v>
      </c>
      <c r="AM487" s="88">
        <f>SUMIF(月間集計シート!$M$113:$M$132,$G487,月間集計シート!O$113:O$132)*AM$2</f>
        <v>0</v>
      </c>
      <c r="AN487" s="88">
        <f>SUMIF(月間集計シート!$M$113:$M$132,$G487,月間集計シート!P$113:P$132)*AN$2</f>
        <v>0</v>
      </c>
      <c r="AO487" s="88">
        <f>SUMIF(月間集計シート!$M$113:$M$132,$G487,月間集計シート!Q$113:Q$132)*AO$2</f>
        <v>0</v>
      </c>
      <c r="AP487" s="88">
        <f>SUMIF(月間集計シート!$M$113:$M$132,$G487,月間集計シート!R$113:R$132)*AP$2</f>
        <v>0</v>
      </c>
      <c r="AQ487" s="88">
        <f>SUMIF(月間集計シート!$M$113:$M$132,$G487,月間集計シート!S$113:S$132)*AQ$2</f>
        <v>0</v>
      </c>
      <c r="AR487" s="88">
        <f>SUMIF(月間集計シート!$M$113:$M$132,$G487,月間集計シート!T$113:T$132)*AR$2</f>
        <v>0</v>
      </c>
      <c r="AS487" s="88">
        <f>SUMIF(月間集計シート!$M$134:$M$153,$G487,月間集計シート!N$134:N$153)*AS$2</f>
        <v>0</v>
      </c>
      <c r="AT487" s="88">
        <f>SUMIF(月間集計シート!$M$134:$M$153,$G487,月間集計シート!O$134:O$153)*AT$2</f>
        <v>0</v>
      </c>
      <c r="AU487" s="88">
        <f>SUMIF(月間集計シート!$M$134:$M$153,$G487,月間集計シート!P$134:P$153)*AU$2</f>
        <v>0</v>
      </c>
      <c r="AV487" s="88">
        <f>SUMIF(月間集計シート!$M$134:$M$153,$G487,月間集計シート!Q$134:Q$153)*AV$2</f>
        <v>0</v>
      </c>
      <c r="AW487" s="88">
        <f>SUMIF(月間集計シート!$M$134:$M$153,$G487,月間集計シート!R$134:R$153)*AW$2</f>
        <v>0</v>
      </c>
      <c r="AX487" s="88">
        <f>SUMIF(月間集計シート!$M$134:$M$153,$G487,月間集計シート!S$134:S$153)*AX$2</f>
        <v>0</v>
      </c>
      <c r="AY487" s="88">
        <f>SUMIF(月間集計シート!$M$134:$M$153,$G487,月間集計シート!T$134:T$153)*AY$2</f>
        <v>0</v>
      </c>
    </row>
    <row r="488" spans="1:51" ht="14.25" thickBot="1">
      <c r="A488">
        <v>6</v>
      </c>
      <c r="B488" s="120">
        <f t="shared" si="238"/>
        <v>0</v>
      </c>
      <c r="C488" s="120" t="str">
        <f t="shared" si="239"/>
        <v/>
      </c>
      <c r="D488" s="137"/>
      <c r="E488" s="150">
        <f>工種!A55</f>
        <v>70106</v>
      </c>
      <c r="F488" s="119" t="str">
        <f>工種!B55</f>
        <v>外部不具合修正：打合せ</v>
      </c>
      <c r="G488" s="116" t="str">
        <f t="shared" si="240"/>
        <v>070106</v>
      </c>
      <c r="H488" s="88">
        <f t="shared" si="194"/>
        <v>0</v>
      </c>
      <c r="I488" s="132"/>
      <c r="J488" s="88">
        <f>SUMIF(月間集計シート!$M$29:$M$48,$G488,月間集計シート!N$29:N$48)*J$2</f>
        <v>0</v>
      </c>
      <c r="K488" s="88">
        <f>SUMIF(月間集計シート!$M$29:$M$48,$G488,月間集計シート!O$29:O$48)*K$2</f>
        <v>0</v>
      </c>
      <c r="L488" s="88">
        <f>SUMIF(月間集計シート!$M$29:$M$48,$G488,月間集計シート!P$29:P$48)*L$2</f>
        <v>0</v>
      </c>
      <c r="M488" s="88">
        <f>SUMIF(月間集計シート!$M$29:$M$48,$G488,月間集計シート!Q$29:Q$48)*M$2</f>
        <v>0</v>
      </c>
      <c r="N488" s="88">
        <f>SUMIF(月間集計シート!$M$29:$M$48,$G488,月間集計シート!R$29:R$48)*N$2</f>
        <v>0</v>
      </c>
      <c r="O488" s="88">
        <f>SUMIF(月間集計シート!$M$29:$M$48,$G488,月間集計シート!S$29:S$48)*O$2</f>
        <v>0</v>
      </c>
      <c r="P488" s="88">
        <f>SUMIF(月間集計シート!$M$29:$M$48,$G488,月間集計シート!T$29:T$48)*P$2</f>
        <v>0</v>
      </c>
      <c r="Q488" s="88">
        <f>SUMIF(月間集計シート!$M$50:$M$69,$G488,月間集計シート!N$50:N$69)*Q$2</f>
        <v>0</v>
      </c>
      <c r="R488" s="88">
        <f>SUMIF(月間集計シート!$M$50:$M$69,$G488,月間集計シート!O$50:O$69)*R$2</f>
        <v>0</v>
      </c>
      <c r="S488" s="88">
        <f>SUMIF(月間集計シート!$M$50:$M$69,$G488,月間集計シート!P$50:P$69)*S$2</f>
        <v>0</v>
      </c>
      <c r="T488" s="88">
        <f>SUMIF(月間集計シート!$M$50:$M$69,$G488,月間集計シート!Q$50:Q$69)*T$2</f>
        <v>0</v>
      </c>
      <c r="U488" s="88">
        <f>SUMIF(月間集計シート!$M$50:$M$69,$G488,月間集計シート!R$50:R$69)*U$2</f>
        <v>0</v>
      </c>
      <c r="V488" s="88">
        <f>SUMIF(月間集計シート!$M$50:$M$69,$G488,月間集計シート!S$50:S$69)*V$2</f>
        <v>0</v>
      </c>
      <c r="W488" s="88">
        <f>SUMIF(月間集計シート!$M$50:$M$69,$G488,月間集計シート!T$50:T$69)*W$2</f>
        <v>0</v>
      </c>
      <c r="X488" s="88">
        <f>SUMIF(月間集計シート!$M$71:$M$90,$G488,月間集計シート!N$71:N$90)*X$2</f>
        <v>0</v>
      </c>
      <c r="Y488" s="88">
        <f>SUMIF(月間集計シート!$M$71:$M$90,$G488,月間集計シート!O$71:O$90)*Y$2</f>
        <v>0</v>
      </c>
      <c r="Z488" s="88">
        <f>SUMIF(月間集計シート!$M$71:$M$90,$G488,月間集計シート!P$71:P$90)*Z$2</f>
        <v>0</v>
      </c>
      <c r="AA488" s="88">
        <f>SUMIF(月間集計シート!$M$71:$M$90,$G488,月間集計シート!Q$71:Q$90)*AA$2</f>
        <v>0</v>
      </c>
      <c r="AB488" s="88">
        <f>SUMIF(月間集計シート!$M$71:$M$90,$G488,月間集計シート!R$71:R$90)*AB$2</f>
        <v>0</v>
      </c>
      <c r="AC488" s="88">
        <f>SUMIF(月間集計シート!$M$71:$M$90,$G488,月間集計シート!S$71:S$90)*AC$2</f>
        <v>0</v>
      </c>
      <c r="AD488" s="88">
        <f>SUMIF(月間集計シート!$M$71:$M$90,$G488,月間集計シート!T$71:T$90)*AD$2</f>
        <v>0</v>
      </c>
      <c r="AE488" s="88">
        <f>SUMIF(月間集計シート!$M$92:$M$111,$G488,月間集計シート!N$92:N$111)*AE$2</f>
        <v>0</v>
      </c>
      <c r="AF488" s="88">
        <f>SUMIF(月間集計シート!$M$92:$M$111,$G488,月間集計シート!O$92:O$111)*AF$2</f>
        <v>0</v>
      </c>
      <c r="AG488" s="88">
        <f>SUMIF(月間集計シート!$M$92:$M$111,$G488,月間集計シート!P$92:P$111)*AG$2</f>
        <v>0</v>
      </c>
      <c r="AH488" s="88">
        <f>SUMIF(月間集計シート!$M$92:$M$111,$G488,月間集計シート!Q$92:Q$111)*AH$2</f>
        <v>0</v>
      </c>
      <c r="AI488" s="88">
        <f>SUMIF(月間集計シート!$M$92:$M$111,$G488,月間集計シート!R$92:R$111)*AI$2</f>
        <v>0</v>
      </c>
      <c r="AJ488" s="88">
        <f>SUMIF(月間集計シート!$M$92:$M$111,$G488,月間集計シート!S$92:S$111)*AJ$2</f>
        <v>0</v>
      </c>
      <c r="AK488" s="88">
        <f>SUMIF(月間集計シート!$M$92:$M$111,$G488,月間集計シート!T$92:T$111)*AK$2</f>
        <v>0</v>
      </c>
      <c r="AL488" s="88">
        <f>SUMIF(月間集計シート!$M$113:$M$132,$G488,月間集計シート!N$113:N$132)*AL$2</f>
        <v>0</v>
      </c>
      <c r="AM488" s="88">
        <f>SUMIF(月間集計シート!$M$113:$M$132,$G488,月間集計シート!O$113:O$132)*AM$2</f>
        <v>0</v>
      </c>
      <c r="AN488" s="88">
        <f>SUMIF(月間集計シート!$M$113:$M$132,$G488,月間集計シート!P$113:P$132)*AN$2</f>
        <v>0</v>
      </c>
      <c r="AO488" s="88">
        <f>SUMIF(月間集計シート!$M$113:$M$132,$G488,月間集計シート!Q$113:Q$132)*AO$2</f>
        <v>0</v>
      </c>
      <c r="AP488" s="88">
        <f>SUMIF(月間集計シート!$M$113:$M$132,$G488,月間集計シート!R$113:R$132)*AP$2</f>
        <v>0</v>
      </c>
      <c r="AQ488" s="88">
        <f>SUMIF(月間集計シート!$M$113:$M$132,$G488,月間集計シート!S$113:S$132)*AQ$2</f>
        <v>0</v>
      </c>
      <c r="AR488" s="88">
        <f>SUMIF(月間集計シート!$M$113:$M$132,$G488,月間集計シート!T$113:T$132)*AR$2</f>
        <v>0</v>
      </c>
      <c r="AS488" s="88">
        <f>SUMIF(月間集計シート!$M$134:$M$153,$G488,月間集計シート!N$134:N$153)*AS$2</f>
        <v>0</v>
      </c>
      <c r="AT488" s="88">
        <f>SUMIF(月間集計シート!$M$134:$M$153,$G488,月間集計シート!O$134:O$153)*AT$2</f>
        <v>0</v>
      </c>
      <c r="AU488" s="88">
        <f>SUMIF(月間集計シート!$M$134:$M$153,$G488,月間集計シート!P$134:P$153)*AU$2</f>
        <v>0</v>
      </c>
      <c r="AV488" s="88">
        <f>SUMIF(月間集計シート!$M$134:$M$153,$G488,月間集計シート!Q$134:Q$153)*AV$2</f>
        <v>0</v>
      </c>
      <c r="AW488" s="88">
        <f>SUMIF(月間集計シート!$M$134:$M$153,$G488,月間集計シート!R$134:R$153)*AW$2</f>
        <v>0</v>
      </c>
      <c r="AX488" s="88">
        <f>SUMIF(月間集計シート!$M$134:$M$153,$G488,月間集計シート!S$134:S$153)*AX$2</f>
        <v>0</v>
      </c>
      <c r="AY488" s="88">
        <f>SUMIF(月間集計シート!$M$134:$M$153,$G488,月間集計シート!T$134:T$153)*AY$2</f>
        <v>0</v>
      </c>
    </row>
    <row r="489" spans="1:51" ht="14.25" thickBot="1">
      <c r="A489">
        <v>6</v>
      </c>
      <c r="B489" s="120">
        <f t="shared" si="238"/>
        <v>0</v>
      </c>
      <c r="C489" s="120" t="str">
        <f t="shared" si="239"/>
        <v/>
      </c>
      <c r="D489" s="137"/>
      <c r="E489" s="150">
        <f>工種!A56</f>
        <v>70109</v>
      </c>
      <c r="F489" s="119" t="str">
        <f>工種!B56</f>
        <v>外部不具合修正：レビュー</v>
      </c>
      <c r="G489" s="116" t="str">
        <f t="shared" si="240"/>
        <v>070109</v>
      </c>
      <c r="H489" s="88">
        <f t="shared" si="194"/>
        <v>0</v>
      </c>
      <c r="I489" s="132"/>
      <c r="J489" s="88">
        <f>SUMIF(月間集計シート!$M$29:$M$48,$G489,月間集計シート!N$29:N$48)*J$2</f>
        <v>0</v>
      </c>
      <c r="K489" s="88">
        <f>SUMIF(月間集計シート!$M$29:$M$48,$G489,月間集計シート!O$29:O$48)*K$2</f>
        <v>0</v>
      </c>
      <c r="L489" s="88">
        <f>SUMIF(月間集計シート!$M$29:$M$48,$G489,月間集計シート!P$29:P$48)*L$2</f>
        <v>0</v>
      </c>
      <c r="M489" s="88">
        <f>SUMIF(月間集計シート!$M$29:$M$48,$G489,月間集計シート!Q$29:Q$48)*M$2</f>
        <v>0</v>
      </c>
      <c r="N489" s="88">
        <f>SUMIF(月間集計シート!$M$29:$M$48,$G489,月間集計シート!R$29:R$48)*N$2</f>
        <v>0</v>
      </c>
      <c r="O489" s="88">
        <f>SUMIF(月間集計シート!$M$29:$M$48,$G489,月間集計シート!S$29:S$48)*O$2</f>
        <v>0</v>
      </c>
      <c r="P489" s="88">
        <f>SUMIF(月間集計シート!$M$29:$M$48,$G489,月間集計シート!T$29:T$48)*P$2</f>
        <v>0</v>
      </c>
      <c r="Q489" s="88">
        <f>SUMIF(月間集計シート!$M$50:$M$69,$G489,月間集計シート!N$50:N$69)*Q$2</f>
        <v>0</v>
      </c>
      <c r="R489" s="88">
        <f>SUMIF(月間集計シート!$M$50:$M$69,$G489,月間集計シート!O$50:O$69)*R$2</f>
        <v>0</v>
      </c>
      <c r="S489" s="88">
        <f>SUMIF(月間集計シート!$M$50:$M$69,$G489,月間集計シート!P$50:P$69)*S$2</f>
        <v>0</v>
      </c>
      <c r="T489" s="88">
        <f>SUMIF(月間集計シート!$M$50:$M$69,$G489,月間集計シート!Q$50:Q$69)*T$2</f>
        <v>0</v>
      </c>
      <c r="U489" s="88">
        <f>SUMIF(月間集計シート!$M$50:$M$69,$G489,月間集計シート!R$50:R$69)*U$2</f>
        <v>0</v>
      </c>
      <c r="V489" s="88">
        <f>SUMIF(月間集計シート!$M$50:$M$69,$G489,月間集計シート!S$50:S$69)*V$2</f>
        <v>0</v>
      </c>
      <c r="W489" s="88">
        <f>SUMIF(月間集計シート!$M$50:$M$69,$G489,月間集計シート!T$50:T$69)*W$2</f>
        <v>0</v>
      </c>
      <c r="X489" s="88">
        <f>SUMIF(月間集計シート!$M$71:$M$90,$G489,月間集計シート!N$71:N$90)*X$2</f>
        <v>0</v>
      </c>
      <c r="Y489" s="88">
        <f>SUMIF(月間集計シート!$M$71:$M$90,$G489,月間集計シート!O$71:O$90)*Y$2</f>
        <v>0</v>
      </c>
      <c r="Z489" s="88">
        <f>SUMIF(月間集計シート!$M$71:$M$90,$G489,月間集計シート!P$71:P$90)*Z$2</f>
        <v>0</v>
      </c>
      <c r="AA489" s="88">
        <f>SUMIF(月間集計シート!$M$71:$M$90,$G489,月間集計シート!Q$71:Q$90)*AA$2</f>
        <v>0</v>
      </c>
      <c r="AB489" s="88">
        <f>SUMIF(月間集計シート!$M$71:$M$90,$G489,月間集計シート!R$71:R$90)*AB$2</f>
        <v>0</v>
      </c>
      <c r="AC489" s="88">
        <f>SUMIF(月間集計シート!$M$71:$M$90,$G489,月間集計シート!S$71:S$90)*AC$2</f>
        <v>0</v>
      </c>
      <c r="AD489" s="88">
        <f>SUMIF(月間集計シート!$M$71:$M$90,$G489,月間集計シート!T$71:T$90)*AD$2</f>
        <v>0</v>
      </c>
      <c r="AE489" s="88">
        <f>SUMIF(月間集計シート!$M$92:$M$111,$G489,月間集計シート!N$92:N$111)*AE$2</f>
        <v>0</v>
      </c>
      <c r="AF489" s="88">
        <f>SUMIF(月間集計シート!$M$92:$M$111,$G489,月間集計シート!O$92:O$111)*AF$2</f>
        <v>0</v>
      </c>
      <c r="AG489" s="88">
        <f>SUMIF(月間集計シート!$M$92:$M$111,$G489,月間集計シート!P$92:P$111)*AG$2</f>
        <v>0</v>
      </c>
      <c r="AH489" s="88">
        <f>SUMIF(月間集計シート!$M$92:$M$111,$G489,月間集計シート!Q$92:Q$111)*AH$2</f>
        <v>0</v>
      </c>
      <c r="AI489" s="88">
        <f>SUMIF(月間集計シート!$M$92:$M$111,$G489,月間集計シート!R$92:R$111)*AI$2</f>
        <v>0</v>
      </c>
      <c r="AJ489" s="88">
        <f>SUMIF(月間集計シート!$M$92:$M$111,$G489,月間集計シート!S$92:S$111)*AJ$2</f>
        <v>0</v>
      </c>
      <c r="AK489" s="88">
        <f>SUMIF(月間集計シート!$M$92:$M$111,$G489,月間集計シート!T$92:T$111)*AK$2</f>
        <v>0</v>
      </c>
      <c r="AL489" s="88">
        <f>SUMIF(月間集計シート!$M$113:$M$132,$G489,月間集計シート!N$113:N$132)*AL$2</f>
        <v>0</v>
      </c>
      <c r="AM489" s="88">
        <f>SUMIF(月間集計シート!$M$113:$M$132,$G489,月間集計シート!O$113:O$132)*AM$2</f>
        <v>0</v>
      </c>
      <c r="AN489" s="88">
        <f>SUMIF(月間集計シート!$M$113:$M$132,$G489,月間集計シート!P$113:P$132)*AN$2</f>
        <v>0</v>
      </c>
      <c r="AO489" s="88">
        <f>SUMIF(月間集計シート!$M$113:$M$132,$G489,月間集計シート!Q$113:Q$132)*AO$2</f>
        <v>0</v>
      </c>
      <c r="AP489" s="88">
        <f>SUMIF(月間集計シート!$M$113:$M$132,$G489,月間集計シート!R$113:R$132)*AP$2</f>
        <v>0</v>
      </c>
      <c r="AQ489" s="88">
        <f>SUMIF(月間集計シート!$M$113:$M$132,$G489,月間集計シート!S$113:S$132)*AQ$2</f>
        <v>0</v>
      </c>
      <c r="AR489" s="88">
        <f>SUMIF(月間集計シート!$M$113:$M$132,$G489,月間集計シート!T$113:T$132)*AR$2</f>
        <v>0</v>
      </c>
      <c r="AS489" s="88">
        <f>SUMIF(月間集計シート!$M$134:$M$153,$G489,月間集計シート!N$134:N$153)*AS$2</f>
        <v>0</v>
      </c>
      <c r="AT489" s="88">
        <f>SUMIF(月間集計シート!$M$134:$M$153,$G489,月間集計シート!O$134:O$153)*AT$2</f>
        <v>0</v>
      </c>
      <c r="AU489" s="88">
        <f>SUMIF(月間集計シート!$M$134:$M$153,$G489,月間集計シート!P$134:P$153)*AU$2</f>
        <v>0</v>
      </c>
      <c r="AV489" s="88">
        <f>SUMIF(月間集計シート!$M$134:$M$153,$G489,月間集計シート!Q$134:Q$153)*AV$2</f>
        <v>0</v>
      </c>
      <c r="AW489" s="88">
        <f>SUMIF(月間集計シート!$M$134:$M$153,$G489,月間集計シート!R$134:R$153)*AW$2</f>
        <v>0</v>
      </c>
      <c r="AX489" s="88">
        <f>SUMIF(月間集計シート!$M$134:$M$153,$G489,月間集計シート!S$134:S$153)*AX$2</f>
        <v>0</v>
      </c>
      <c r="AY489" s="88">
        <f>SUMIF(月間集計シート!$M$134:$M$153,$G489,月間集計シート!T$134:T$153)*AY$2</f>
        <v>0</v>
      </c>
    </row>
    <row r="490" spans="1:51" ht="14.25" thickBot="1">
      <c r="A490">
        <v>6</v>
      </c>
      <c r="B490" s="120">
        <f t="shared" si="238"/>
        <v>0</v>
      </c>
      <c r="C490" s="120" t="str">
        <f t="shared" si="239"/>
        <v/>
      </c>
      <c r="D490" s="137"/>
      <c r="E490" s="150">
        <f>工種!A57</f>
        <v>70189</v>
      </c>
      <c r="F490" s="119" t="str">
        <f>工種!B57</f>
        <v>外部不具合修正：外部不具合分析</v>
      </c>
      <c r="G490" s="116" t="str">
        <f t="shared" si="240"/>
        <v>070189</v>
      </c>
      <c r="H490" s="88">
        <f t="shared" si="194"/>
        <v>0</v>
      </c>
      <c r="I490" s="132"/>
      <c r="J490" s="88">
        <f>SUMIF(月間集計シート!$M$29:$M$48,$G490,月間集計シート!N$29:N$48)*J$2</f>
        <v>0</v>
      </c>
      <c r="K490" s="88">
        <f>SUMIF(月間集計シート!$M$29:$M$48,$G490,月間集計シート!O$29:O$48)*K$2</f>
        <v>0</v>
      </c>
      <c r="L490" s="88">
        <f>SUMIF(月間集計シート!$M$29:$M$48,$G490,月間集計シート!P$29:P$48)*L$2</f>
        <v>0</v>
      </c>
      <c r="M490" s="88">
        <f>SUMIF(月間集計シート!$M$29:$M$48,$G490,月間集計シート!Q$29:Q$48)*M$2</f>
        <v>0</v>
      </c>
      <c r="N490" s="88">
        <f>SUMIF(月間集計シート!$M$29:$M$48,$G490,月間集計シート!R$29:R$48)*N$2</f>
        <v>0</v>
      </c>
      <c r="O490" s="88">
        <f>SUMIF(月間集計シート!$M$29:$M$48,$G490,月間集計シート!S$29:S$48)*O$2</f>
        <v>0</v>
      </c>
      <c r="P490" s="88">
        <f>SUMIF(月間集計シート!$M$29:$M$48,$G490,月間集計シート!T$29:T$48)*P$2</f>
        <v>0</v>
      </c>
      <c r="Q490" s="88">
        <f>SUMIF(月間集計シート!$M$50:$M$69,$G490,月間集計シート!N$50:N$69)*Q$2</f>
        <v>0</v>
      </c>
      <c r="R490" s="88">
        <f>SUMIF(月間集計シート!$M$50:$M$69,$G490,月間集計シート!O$50:O$69)*R$2</f>
        <v>0</v>
      </c>
      <c r="S490" s="88">
        <f>SUMIF(月間集計シート!$M$50:$M$69,$G490,月間集計シート!P$50:P$69)*S$2</f>
        <v>0</v>
      </c>
      <c r="T490" s="88">
        <f>SUMIF(月間集計シート!$M$50:$M$69,$G490,月間集計シート!Q$50:Q$69)*T$2</f>
        <v>0</v>
      </c>
      <c r="U490" s="88">
        <f>SUMIF(月間集計シート!$M$50:$M$69,$G490,月間集計シート!R$50:R$69)*U$2</f>
        <v>0</v>
      </c>
      <c r="V490" s="88">
        <f>SUMIF(月間集計シート!$M$50:$M$69,$G490,月間集計シート!S$50:S$69)*V$2</f>
        <v>0</v>
      </c>
      <c r="W490" s="88">
        <f>SUMIF(月間集計シート!$M$50:$M$69,$G490,月間集計シート!T$50:T$69)*W$2</f>
        <v>0</v>
      </c>
      <c r="X490" s="88">
        <f>SUMIF(月間集計シート!$M$71:$M$90,$G490,月間集計シート!N$71:N$90)*X$2</f>
        <v>0</v>
      </c>
      <c r="Y490" s="88">
        <f>SUMIF(月間集計シート!$M$71:$M$90,$G490,月間集計シート!O$71:O$90)*Y$2</f>
        <v>0</v>
      </c>
      <c r="Z490" s="88">
        <f>SUMIF(月間集計シート!$M$71:$M$90,$G490,月間集計シート!P$71:P$90)*Z$2</f>
        <v>0</v>
      </c>
      <c r="AA490" s="88">
        <f>SUMIF(月間集計シート!$M$71:$M$90,$G490,月間集計シート!Q$71:Q$90)*AA$2</f>
        <v>0</v>
      </c>
      <c r="AB490" s="88">
        <f>SUMIF(月間集計シート!$M$71:$M$90,$G490,月間集計シート!R$71:R$90)*AB$2</f>
        <v>0</v>
      </c>
      <c r="AC490" s="88">
        <f>SUMIF(月間集計シート!$M$71:$M$90,$G490,月間集計シート!S$71:S$90)*AC$2</f>
        <v>0</v>
      </c>
      <c r="AD490" s="88">
        <f>SUMIF(月間集計シート!$M$71:$M$90,$G490,月間集計シート!T$71:T$90)*AD$2</f>
        <v>0</v>
      </c>
      <c r="AE490" s="88">
        <f>SUMIF(月間集計シート!$M$92:$M$111,$G490,月間集計シート!N$92:N$111)*AE$2</f>
        <v>0</v>
      </c>
      <c r="AF490" s="88">
        <f>SUMIF(月間集計シート!$M$92:$M$111,$G490,月間集計シート!O$92:O$111)*AF$2</f>
        <v>0</v>
      </c>
      <c r="AG490" s="88">
        <f>SUMIF(月間集計シート!$M$92:$M$111,$G490,月間集計シート!P$92:P$111)*AG$2</f>
        <v>0</v>
      </c>
      <c r="AH490" s="88">
        <f>SUMIF(月間集計シート!$M$92:$M$111,$G490,月間集計シート!Q$92:Q$111)*AH$2</f>
        <v>0</v>
      </c>
      <c r="AI490" s="88">
        <f>SUMIF(月間集計シート!$M$92:$M$111,$G490,月間集計シート!R$92:R$111)*AI$2</f>
        <v>0</v>
      </c>
      <c r="AJ490" s="88">
        <f>SUMIF(月間集計シート!$M$92:$M$111,$G490,月間集計シート!S$92:S$111)*AJ$2</f>
        <v>0</v>
      </c>
      <c r="AK490" s="88">
        <f>SUMIF(月間集計シート!$M$92:$M$111,$G490,月間集計シート!T$92:T$111)*AK$2</f>
        <v>0</v>
      </c>
      <c r="AL490" s="88">
        <f>SUMIF(月間集計シート!$M$113:$M$132,$G490,月間集計シート!N$113:N$132)*AL$2</f>
        <v>0</v>
      </c>
      <c r="AM490" s="88">
        <f>SUMIF(月間集計シート!$M$113:$M$132,$G490,月間集計シート!O$113:O$132)*AM$2</f>
        <v>0</v>
      </c>
      <c r="AN490" s="88">
        <f>SUMIF(月間集計シート!$M$113:$M$132,$G490,月間集計シート!P$113:P$132)*AN$2</f>
        <v>0</v>
      </c>
      <c r="AO490" s="88">
        <f>SUMIF(月間集計シート!$M$113:$M$132,$G490,月間集計シート!Q$113:Q$132)*AO$2</f>
        <v>0</v>
      </c>
      <c r="AP490" s="88">
        <f>SUMIF(月間集計シート!$M$113:$M$132,$G490,月間集計シート!R$113:R$132)*AP$2</f>
        <v>0</v>
      </c>
      <c r="AQ490" s="88">
        <f>SUMIF(月間集計シート!$M$113:$M$132,$G490,月間集計シート!S$113:S$132)*AQ$2</f>
        <v>0</v>
      </c>
      <c r="AR490" s="88">
        <f>SUMIF(月間集計シート!$M$113:$M$132,$G490,月間集計シート!T$113:T$132)*AR$2</f>
        <v>0</v>
      </c>
      <c r="AS490" s="88">
        <f>SUMIF(月間集計シート!$M$134:$M$153,$G490,月間集計シート!N$134:N$153)*AS$2</f>
        <v>0</v>
      </c>
      <c r="AT490" s="88">
        <f>SUMIF(月間集計シート!$M$134:$M$153,$G490,月間集計シート!O$134:O$153)*AT$2</f>
        <v>0</v>
      </c>
      <c r="AU490" s="88">
        <f>SUMIF(月間集計シート!$M$134:$M$153,$G490,月間集計シート!P$134:P$153)*AU$2</f>
        <v>0</v>
      </c>
      <c r="AV490" s="88">
        <f>SUMIF(月間集計シート!$M$134:$M$153,$G490,月間集計シート!Q$134:Q$153)*AV$2</f>
        <v>0</v>
      </c>
      <c r="AW490" s="88">
        <f>SUMIF(月間集計シート!$M$134:$M$153,$G490,月間集計シート!R$134:R$153)*AW$2</f>
        <v>0</v>
      </c>
      <c r="AX490" s="88">
        <f>SUMIF(月間集計シート!$M$134:$M$153,$G490,月間集計シート!S$134:S$153)*AX$2</f>
        <v>0</v>
      </c>
      <c r="AY490" s="88">
        <f>SUMIF(月間集計シート!$M$134:$M$153,$G490,月間集計シート!T$134:T$153)*AY$2</f>
        <v>0</v>
      </c>
    </row>
    <row r="491" spans="1:51" ht="14.25" thickBot="1">
      <c r="A491">
        <v>6</v>
      </c>
      <c r="B491" s="120">
        <f t="shared" si="238"/>
        <v>0</v>
      </c>
      <c r="C491" s="120" t="str">
        <f t="shared" si="239"/>
        <v/>
      </c>
      <c r="D491" s="137"/>
      <c r="E491" s="150">
        <f>工種!A58</f>
        <v>70199</v>
      </c>
      <c r="F491" s="119" t="str">
        <f>工種!B58</f>
        <v>外部不具合修正：その他</v>
      </c>
      <c r="G491" s="116" t="str">
        <f t="shared" si="240"/>
        <v>070199</v>
      </c>
      <c r="H491" s="88">
        <f t="shared" si="194"/>
        <v>0</v>
      </c>
      <c r="I491" s="132"/>
      <c r="J491" s="88">
        <f>SUMIF(月間集計シート!$M$29:$M$48,$G491,月間集計シート!N$29:N$48)*J$2</f>
        <v>0</v>
      </c>
      <c r="K491" s="88">
        <f>SUMIF(月間集計シート!$M$29:$M$48,$G491,月間集計シート!O$29:O$48)*K$2</f>
        <v>0</v>
      </c>
      <c r="L491" s="88">
        <f>SUMIF(月間集計シート!$M$29:$M$48,$G491,月間集計シート!P$29:P$48)*L$2</f>
        <v>0</v>
      </c>
      <c r="M491" s="88">
        <f>SUMIF(月間集計シート!$M$29:$M$48,$G491,月間集計シート!Q$29:Q$48)*M$2</f>
        <v>0</v>
      </c>
      <c r="N491" s="88">
        <f>SUMIF(月間集計シート!$M$29:$M$48,$G491,月間集計シート!R$29:R$48)*N$2</f>
        <v>0</v>
      </c>
      <c r="O491" s="88">
        <f>SUMIF(月間集計シート!$M$29:$M$48,$G491,月間集計シート!S$29:S$48)*O$2</f>
        <v>0</v>
      </c>
      <c r="P491" s="88">
        <f>SUMIF(月間集計シート!$M$29:$M$48,$G491,月間集計シート!T$29:T$48)*P$2</f>
        <v>0</v>
      </c>
      <c r="Q491" s="88">
        <f>SUMIF(月間集計シート!$M$50:$M$69,$G491,月間集計シート!N$50:N$69)*Q$2</f>
        <v>0</v>
      </c>
      <c r="R491" s="88">
        <f>SUMIF(月間集計シート!$M$50:$M$69,$G491,月間集計シート!O$50:O$69)*R$2</f>
        <v>0</v>
      </c>
      <c r="S491" s="88">
        <f>SUMIF(月間集計シート!$M$50:$M$69,$G491,月間集計シート!P$50:P$69)*S$2</f>
        <v>0</v>
      </c>
      <c r="T491" s="88">
        <f>SUMIF(月間集計シート!$M$50:$M$69,$G491,月間集計シート!Q$50:Q$69)*T$2</f>
        <v>0</v>
      </c>
      <c r="U491" s="88">
        <f>SUMIF(月間集計シート!$M$50:$M$69,$G491,月間集計シート!R$50:R$69)*U$2</f>
        <v>0</v>
      </c>
      <c r="V491" s="88">
        <f>SUMIF(月間集計シート!$M$50:$M$69,$G491,月間集計シート!S$50:S$69)*V$2</f>
        <v>0</v>
      </c>
      <c r="W491" s="88">
        <f>SUMIF(月間集計シート!$M$50:$M$69,$G491,月間集計シート!T$50:T$69)*W$2</f>
        <v>0</v>
      </c>
      <c r="X491" s="88">
        <f>SUMIF(月間集計シート!$M$71:$M$90,$G491,月間集計シート!N$71:N$90)*X$2</f>
        <v>0</v>
      </c>
      <c r="Y491" s="88">
        <f>SUMIF(月間集計シート!$M$71:$M$90,$G491,月間集計シート!O$71:O$90)*Y$2</f>
        <v>0</v>
      </c>
      <c r="Z491" s="88">
        <f>SUMIF(月間集計シート!$M$71:$M$90,$G491,月間集計シート!P$71:P$90)*Z$2</f>
        <v>0</v>
      </c>
      <c r="AA491" s="88">
        <f>SUMIF(月間集計シート!$M$71:$M$90,$G491,月間集計シート!Q$71:Q$90)*AA$2</f>
        <v>0</v>
      </c>
      <c r="AB491" s="88">
        <f>SUMIF(月間集計シート!$M$71:$M$90,$G491,月間集計シート!R$71:R$90)*AB$2</f>
        <v>0</v>
      </c>
      <c r="AC491" s="88">
        <f>SUMIF(月間集計シート!$M$71:$M$90,$G491,月間集計シート!S$71:S$90)*AC$2</f>
        <v>0</v>
      </c>
      <c r="AD491" s="88">
        <f>SUMIF(月間集計シート!$M$71:$M$90,$G491,月間集計シート!T$71:T$90)*AD$2</f>
        <v>0</v>
      </c>
      <c r="AE491" s="88">
        <f>SUMIF(月間集計シート!$M$92:$M$111,$G491,月間集計シート!N$92:N$111)*AE$2</f>
        <v>0</v>
      </c>
      <c r="AF491" s="88">
        <f>SUMIF(月間集計シート!$M$92:$M$111,$G491,月間集計シート!O$92:O$111)*AF$2</f>
        <v>0</v>
      </c>
      <c r="AG491" s="88">
        <f>SUMIF(月間集計シート!$M$92:$M$111,$G491,月間集計シート!P$92:P$111)*AG$2</f>
        <v>0</v>
      </c>
      <c r="AH491" s="88">
        <f>SUMIF(月間集計シート!$M$92:$M$111,$G491,月間集計シート!Q$92:Q$111)*AH$2</f>
        <v>0</v>
      </c>
      <c r="AI491" s="88">
        <f>SUMIF(月間集計シート!$M$92:$M$111,$G491,月間集計シート!R$92:R$111)*AI$2</f>
        <v>0</v>
      </c>
      <c r="AJ491" s="88">
        <f>SUMIF(月間集計シート!$M$92:$M$111,$G491,月間集計シート!S$92:S$111)*AJ$2</f>
        <v>0</v>
      </c>
      <c r="AK491" s="88">
        <f>SUMIF(月間集計シート!$M$92:$M$111,$G491,月間集計シート!T$92:T$111)*AK$2</f>
        <v>0</v>
      </c>
      <c r="AL491" s="88">
        <f>SUMIF(月間集計シート!$M$113:$M$132,$G491,月間集計シート!N$113:N$132)*AL$2</f>
        <v>0</v>
      </c>
      <c r="AM491" s="88">
        <f>SUMIF(月間集計シート!$M$113:$M$132,$G491,月間集計シート!O$113:O$132)*AM$2</f>
        <v>0</v>
      </c>
      <c r="AN491" s="88">
        <f>SUMIF(月間集計シート!$M$113:$M$132,$G491,月間集計シート!P$113:P$132)*AN$2</f>
        <v>0</v>
      </c>
      <c r="AO491" s="88">
        <f>SUMIF(月間集計シート!$M$113:$M$132,$G491,月間集計シート!Q$113:Q$132)*AO$2</f>
        <v>0</v>
      </c>
      <c r="AP491" s="88">
        <f>SUMIF(月間集計シート!$M$113:$M$132,$G491,月間集計シート!R$113:R$132)*AP$2</f>
        <v>0</v>
      </c>
      <c r="AQ491" s="88">
        <f>SUMIF(月間集計シート!$M$113:$M$132,$G491,月間集計シート!S$113:S$132)*AQ$2</f>
        <v>0</v>
      </c>
      <c r="AR491" s="88">
        <f>SUMIF(月間集計シート!$M$113:$M$132,$G491,月間集計シート!T$113:T$132)*AR$2</f>
        <v>0</v>
      </c>
      <c r="AS491" s="88">
        <f>SUMIF(月間集計シート!$M$134:$M$153,$G491,月間集計シート!N$134:N$153)*AS$2</f>
        <v>0</v>
      </c>
      <c r="AT491" s="88">
        <f>SUMIF(月間集計シート!$M$134:$M$153,$G491,月間集計シート!O$134:O$153)*AT$2</f>
        <v>0</v>
      </c>
      <c r="AU491" s="88">
        <f>SUMIF(月間集計シート!$M$134:$M$153,$G491,月間集計シート!P$134:P$153)*AU$2</f>
        <v>0</v>
      </c>
      <c r="AV491" s="88">
        <f>SUMIF(月間集計シート!$M$134:$M$153,$G491,月間集計シート!Q$134:Q$153)*AV$2</f>
        <v>0</v>
      </c>
      <c r="AW491" s="88">
        <f>SUMIF(月間集計シート!$M$134:$M$153,$G491,月間集計シート!R$134:R$153)*AW$2</f>
        <v>0</v>
      </c>
      <c r="AX491" s="88">
        <f>SUMIF(月間集計シート!$M$134:$M$153,$G491,月間集計シート!S$134:S$153)*AX$2</f>
        <v>0</v>
      </c>
      <c r="AY491" s="88">
        <f>SUMIF(月間集計シート!$M$134:$M$153,$G491,月間集計シート!T$134:T$153)*AY$2</f>
        <v>0</v>
      </c>
    </row>
    <row r="492" spans="1:51" ht="14.25" thickBot="1">
      <c r="A492">
        <v>6</v>
      </c>
      <c r="B492" s="120">
        <f t="shared" si="238"/>
        <v>0</v>
      </c>
      <c r="C492" s="120" t="str">
        <f t="shared" si="239"/>
        <v/>
      </c>
      <c r="D492" s="137"/>
      <c r="E492" s="150" t="str">
        <f>工種!A59</f>
        <v>80101</v>
      </c>
      <c r="F492" s="119" t="str">
        <f>工種!B59</f>
        <v>保守／ｻﾎﾟｰﾄ：調査</v>
      </c>
      <c r="G492" s="116" t="str">
        <f t="shared" si="240"/>
        <v>080101</v>
      </c>
      <c r="H492" s="88">
        <f t="shared" si="194"/>
        <v>0</v>
      </c>
      <c r="I492" s="132"/>
      <c r="J492" s="88">
        <f>SUMIF(月間集計シート!$M$29:$M$48,$G492,月間集計シート!N$29:N$48)*J$2</f>
        <v>0</v>
      </c>
      <c r="K492" s="88">
        <f>SUMIF(月間集計シート!$M$29:$M$48,$G492,月間集計シート!O$29:O$48)*K$2</f>
        <v>0</v>
      </c>
      <c r="L492" s="88">
        <f>SUMIF(月間集計シート!$M$29:$M$48,$G492,月間集計シート!P$29:P$48)*L$2</f>
        <v>0</v>
      </c>
      <c r="M492" s="88">
        <f>SUMIF(月間集計シート!$M$29:$M$48,$G492,月間集計シート!Q$29:Q$48)*M$2</f>
        <v>0</v>
      </c>
      <c r="N492" s="88">
        <f>SUMIF(月間集計シート!$M$29:$M$48,$G492,月間集計シート!R$29:R$48)*N$2</f>
        <v>0</v>
      </c>
      <c r="O492" s="88">
        <f>SUMIF(月間集計シート!$M$29:$M$48,$G492,月間集計シート!S$29:S$48)*O$2</f>
        <v>0</v>
      </c>
      <c r="P492" s="88">
        <f>SUMIF(月間集計シート!$M$29:$M$48,$G492,月間集計シート!T$29:T$48)*P$2</f>
        <v>0</v>
      </c>
      <c r="Q492" s="88">
        <f>SUMIF(月間集計シート!$M$50:$M$69,$G492,月間集計シート!N$50:N$69)*Q$2</f>
        <v>0</v>
      </c>
      <c r="R492" s="88">
        <f>SUMIF(月間集計シート!$M$50:$M$69,$G492,月間集計シート!O$50:O$69)*R$2</f>
        <v>0</v>
      </c>
      <c r="S492" s="88">
        <f>SUMIF(月間集計シート!$M$50:$M$69,$G492,月間集計シート!P$50:P$69)*S$2</f>
        <v>0</v>
      </c>
      <c r="T492" s="88">
        <f>SUMIF(月間集計シート!$M$50:$M$69,$G492,月間集計シート!Q$50:Q$69)*T$2</f>
        <v>0</v>
      </c>
      <c r="U492" s="88">
        <f>SUMIF(月間集計シート!$M$50:$M$69,$G492,月間集計シート!R$50:R$69)*U$2</f>
        <v>0</v>
      </c>
      <c r="V492" s="88">
        <f>SUMIF(月間集計シート!$M$50:$M$69,$G492,月間集計シート!S$50:S$69)*V$2</f>
        <v>0</v>
      </c>
      <c r="W492" s="88">
        <f>SUMIF(月間集計シート!$M$50:$M$69,$G492,月間集計シート!T$50:T$69)*W$2</f>
        <v>0</v>
      </c>
      <c r="X492" s="88">
        <f>SUMIF(月間集計シート!$M$71:$M$90,$G492,月間集計シート!N$71:N$90)*X$2</f>
        <v>0</v>
      </c>
      <c r="Y492" s="88">
        <f>SUMIF(月間集計シート!$M$71:$M$90,$G492,月間集計シート!O$71:O$90)*Y$2</f>
        <v>0</v>
      </c>
      <c r="Z492" s="88">
        <f>SUMIF(月間集計シート!$M$71:$M$90,$G492,月間集計シート!P$71:P$90)*Z$2</f>
        <v>0</v>
      </c>
      <c r="AA492" s="88">
        <f>SUMIF(月間集計シート!$M$71:$M$90,$G492,月間集計シート!Q$71:Q$90)*AA$2</f>
        <v>0</v>
      </c>
      <c r="AB492" s="88">
        <f>SUMIF(月間集計シート!$M$71:$M$90,$G492,月間集計シート!R$71:R$90)*AB$2</f>
        <v>0</v>
      </c>
      <c r="AC492" s="88">
        <f>SUMIF(月間集計シート!$M$71:$M$90,$G492,月間集計シート!S$71:S$90)*AC$2</f>
        <v>0</v>
      </c>
      <c r="AD492" s="88">
        <f>SUMIF(月間集計シート!$M$71:$M$90,$G492,月間集計シート!T$71:T$90)*AD$2</f>
        <v>0</v>
      </c>
      <c r="AE492" s="88">
        <f>SUMIF(月間集計シート!$M$92:$M$111,$G492,月間集計シート!N$92:N$111)*AE$2</f>
        <v>0</v>
      </c>
      <c r="AF492" s="88">
        <f>SUMIF(月間集計シート!$M$92:$M$111,$G492,月間集計シート!O$92:O$111)*AF$2</f>
        <v>0</v>
      </c>
      <c r="AG492" s="88">
        <f>SUMIF(月間集計シート!$M$92:$M$111,$G492,月間集計シート!P$92:P$111)*AG$2</f>
        <v>0</v>
      </c>
      <c r="AH492" s="88">
        <f>SUMIF(月間集計シート!$M$92:$M$111,$G492,月間集計シート!Q$92:Q$111)*AH$2</f>
        <v>0</v>
      </c>
      <c r="AI492" s="88">
        <f>SUMIF(月間集計シート!$M$92:$M$111,$G492,月間集計シート!R$92:R$111)*AI$2</f>
        <v>0</v>
      </c>
      <c r="AJ492" s="88">
        <f>SUMIF(月間集計シート!$M$92:$M$111,$G492,月間集計シート!S$92:S$111)*AJ$2</f>
        <v>0</v>
      </c>
      <c r="AK492" s="88">
        <f>SUMIF(月間集計シート!$M$92:$M$111,$G492,月間集計シート!T$92:T$111)*AK$2</f>
        <v>0</v>
      </c>
      <c r="AL492" s="88">
        <f>SUMIF(月間集計シート!$M$113:$M$132,$G492,月間集計シート!N$113:N$132)*AL$2</f>
        <v>0</v>
      </c>
      <c r="AM492" s="88">
        <f>SUMIF(月間集計シート!$M$113:$M$132,$G492,月間集計シート!O$113:O$132)*AM$2</f>
        <v>0</v>
      </c>
      <c r="AN492" s="88">
        <f>SUMIF(月間集計シート!$M$113:$M$132,$G492,月間集計シート!P$113:P$132)*AN$2</f>
        <v>0</v>
      </c>
      <c r="AO492" s="88">
        <f>SUMIF(月間集計シート!$M$113:$M$132,$G492,月間集計シート!Q$113:Q$132)*AO$2</f>
        <v>0</v>
      </c>
      <c r="AP492" s="88">
        <f>SUMIF(月間集計シート!$M$113:$M$132,$G492,月間集計シート!R$113:R$132)*AP$2</f>
        <v>0</v>
      </c>
      <c r="AQ492" s="88">
        <f>SUMIF(月間集計シート!$M$113:$M$132,$G492,月間集計シート!S$113:S$132)*AQ$2</f>
        <v>0</v>
      </c>
      <c r="AR492" s="88">
        <f>SUMIF(月間集計シート!$M$113:$M$132,$G492,月間集計シート!T$113:T$132)*AR$2</f>
        <v>0</v>
      </c>
      <c r="AS492" s="88">
        <f>SUMIF(月間集計シート!$M$134:$M$153,$G492,月間集計シート!N$134:N$153)*AS$2</f>
        <v>0</v>
      </c>
      <c r="AT492" s="88">
        <f>SUMIF(月間集計シート!$M$134:$M$153,$G492,月間集計シート!O$134:O$153)*AT$2</f>
        <v>0</v>
      </c>
      <c r="AU492" s="88">
        <f>SUMIF(月間集計シート!$M$134:$M$153,$G492,月間集計シート!P$134:P$153)*AU$2</f>
        <v>0</v>
      </c>
      <c r="AV492" s="88">
        <f>SUMIF(月間集計シート!$M$134:$M$153,$G492,月間集計シート!Q$134:Q$153)*AV$2</f>
        <v>0</v>
      </c>
      <c r="AW492" s="88">
        <f>SUMIF(月間集計シート!$M$134:$M$153,$G492,月間集計シート!R$134:R$153)*AW$2</f>
        <v>0</v>
      </c>
      <c r="AX492" s="88">
        <f>SUMIF(月間集計シート!$M$134:$M$153,$G492,月間集計シート!S$134:S$153)*AX$2</f>
        <v>0</v>
      </c>
      <c r="AY492" s="88">
        <f>SUMIF(月間集計シート!$M$134:$M$153,$G492,月間集計シート!T$134:T$153)*AY$2</f>
        <v>0</v>
      </c>
    </row>
    <row r="493" spans="1:51" ht="14.25" thickBot="1">
      <c r="A493">
        <v>6</v>
      </c>
      <c r="B493" s="120">
        <f t="shared" si="238"/>
        <v>0</v>
      </c>
      <c r="C493" s="120" t="str">
        <f t="shared" si="239"/>
        <v/>
      </c>
      <c r="D493" s="137"/>
      <c r="E493" s="150" t="str">
        <f>工種!A60</f>
        <v>80102</v>
      </c>
      <c r="F493" s="119" t="str">
        <f>工種!B60</f>
        <v>保守／ｻﾎﾟｰﾄ：社内問い合わせ</v>
      </c>
      <c r="G493" s="116" t="str">
        <f t="shared" si="240"/>
        <v>080102</v>
      </c>
      <c r="H493" s="88">
        <f t="shared" si="194"/>
        <v>0</v>
      </c>
      <c r="I493" s="132"/>
      <c r="J493" s="88">
        <f>SUMIF(月間集計シート!$M$29:$M$48,$G493,月間集計シート!N$29:N$48)*J$2</f>
        <v>0</v>
      </c>
      <c r="K493" s="88">
        <f>SUMIF(月間集計シート!$M$29:$M$48,$G493,月間集計シート!O$29:O$48)*K$2</f>
        <v>0</v>
      </c>
      <c r="L493" s="88">
        <f>SUMIF(月間集計シート!$M$29:$M$48,$G493,月間集計シート!P$29:P$48)*L$2</f>
        <v>0</v>
      </c>
      <c r="M493" s="88">
        <f>SUMIF(月間集計シート!$M$29:$M$48,$G493,月間集計シート!Q$29:Q$48)*M$2</f>
        <v>0</v>
      </c>
      <c r="N493" s="88">
        <f>SUMIF(月間集計シート!$M$29:$M$48,$G493,月間集計シート!R$29:R$48)*N$2</f>
        <v>0</v>
      </c>
      <c r="O493" s="88">
        <f>SUMIF(月間集計シート!$M$29:$M$48,$G493,月間集計シート!S$29:S$48)*O$2</f>
        <v>0</v>
      </c>
      <c r="P493" s="88">
        <f>SUMIF(月間集計シート!$M$29:$M$48,$G493,月間集計シート!T$29:T$48)*P$2</f>
        <v>0</v>
      </c>
      <c r="Q493" s="88">
        <f>SUMIF(月間集計シート!$M$50:$M$69,$G493,月間集計シート!N$50:N$69)*Q$2</f>
        <v>0</v>
      </c>
      <c r="R493" s="88">
        <f>SUMIF(月間集計シート!$M$50:$M$69,$G493,月間集計シート!O$50:O$69)*R$2</f>
        <v>0</v>
      </c>
      <c r="S493" s="88">
        <f>SUMIF(月間集計シート!$M$50:$M$69,$G493,月間集計シート!P$50:P$69)*S$2</f>
        <v>0</v>
      </c>
      <c r="T493" s="88">
        <f>SUMIF(月間集計シート!$M$50:$M$69,$G493,月間集計シート!Q$50:Q$69)*T$2</f>
        <v>0</v>
      </c>
      <c r="U493" s="88">
        <f>SUMIF(月間集計シート!$M$50:$M$69,$G493,月間集計シート!R$50:R$69)*U$2</f>
        <v>0</v>
      </c>
      <c r="V493" s="88">
        <f>SUMIF(月間集計シート!$M$50:$M$69,$G493,月間集計シート!S$50:S$69)*V$2</f>
        <v>0</v>
      </c>
      <c r="W493" s="88">
        <f>SUMIF(月間集計シート!$M$50:$M$69,$G493,月間集計シート!T$50:T$69)*W$2</f>
        <v>0</v>
      </c>
      <c r="X493" s="88">
        <f>SUMIF(月間集計シート!$M$71:$M$90,$G493,月間集計シート!N$71:N$90)*X$2</f>
        <v>0</v>
      </c>
      <c r="Y493" s="88">
        <f>SUMIF(月間集計シート!$M$71:$M$90,$G493,月間集計シート!O$71:O$90)*Y$2</f>
        <v>0</v>
      </c>
      <c r="Z493" s="88">
        <f>SUMIF(月間集計シート!$M$71:$M$90,$G493,月間集計シート!P$71:P$90)*Z$2</f>
        <v>0</v>
      </c>
      <c r="AA493" s="88">
        <f>SUMIF(月間集計シート!$M$71:$M$90,$G493,月間集計シート!Q$71:Q$90)*AA$2</f>
        <v>0</v>
      </c>
      <c r="AB493" s="88">
        <f>SUMIF(月間集計シート!$M$71:$M$90,$G493,月間集計シート!R$71:R$90)*AB$2</f>
        <v>0</v>
      </c>
      <c r="AC493" s="88">
        <f>SUMIF(月間集計シート!$M$71:$M$90,$G493,月間集計シート!S$71:S$90)*AC$2</f>
        <v>0</v>
      </c>
      <c r="AD493" s="88">
        <f>SUMIF(月間集計シート!$M$71:$M$90,$G493,月間集計シート!T$71:T$90)*AD$2</f>
        <v>0</v>
      </c>
      <c r="AE493" s="88">
        <f>SUMIF(月間集計シート!$M$92:$M$111,$G493,月間集計シート!N$92:N$111)*AE$2</f>
        <v>0</v>
      </c>
      <c r="AF493" s="88">
        <f>SUMIF(月間集計シート!$M$92:$M$111,$G493,月間集計シート!O$92:O$111)*AF$2</f>
        <v>0</v>
      </c>
      <c r="AG493" s="88">
        <f>SUMIF(月間集計シート!$M$92:$M$111,$G493,月間集計シート!P$92:P$111)*AG$2</f>
        <v>0</v>
      </c>
      <c r="AH493" s="88">
        <f>SUMIF(月間集計シート!$M$92:$M$111,$G493,月間集計シート!Q$92:Q$111)*AH$2</f>
        <v>0</v>
      </c>
      <c r="AI493" s="88">
        <f>SUMIF(月間集計シート!$M$92:$M$111,$G493,月間集計シート!R$92:R$111)*AI$2</f>
        <v>0</v>
      </c>
      <c r="AJ493" s="88">
        <f>SUMIF(月間集計シート!$M$92:$M$111,$G493,月間集計シート!S$92:S$111)*AJ$2</f>
        <v>0</v>
      </c>
      <c r="AK493" s="88">
        <f>SUMIF(月間集計シート!$M$92:$M$111,$G493,月間集計シート!T$92:T$111)*AK$2</f>
        <v>0</v>
      </c>
      <c r="AL493" s="88">
        <f>SUMIF(月間集計シート!$M$113:$M$132,$G493,月間集計シート!N$113:N$132)*AL$2</f>
        <v>0</v>
      </c>
      <c r="AM493" s="88">
        <f>SUMIF(月間集計シート!$M$113:$M$132,$G493,月間集計シート!O$113:O$132)*AM$2</f>
        <v>0</v>
      </c>
      <c r="AN493" s="88">
        <f>SUMIF(月間集計シート!$M$113:$M$132,$G493,月間集計シート!P$113:P$132)*AN$2</f>
        <v>0</v>
      </c>
      <c r="AO493" s="88">
        <f>SUMIF(月間集計シート!$M$113:$M$132,$G493,月間集計シート!Q$113:Q$132)*AO$2</f>
        <v>0</v>
      </c>
      <c r="AP493" s="88">
        <f>SUMIF(月間集計シート!$M$113:$M$132,$G493,月間集計シート!R$113:R$132)*AP$2</f>
        <v>0</v>
      </c>
      <c r="AQ493" s="88">
        <f>SUMIF(月間集計シート!$M$113:$M$132,$G493,月間集計シート!S$113:S$132)*AQ$2</f>
        <v>0</v>
      </c>
      <c r="AR493" s="88">
        <f>SUMIF(月間集計シート!$M$113:$M$132,$G493,月間集計シート!T$113:T$132)*AR$2</f>
        <v>0</v>
      </c>
      <c r="AS493" s="88">
        <f>SUMIF(月間集計シート!$M$134:$M$153,$G493,月間集計シート!N$134:N$153)*AS$2</f>
        <v>0</v>
      </c>
      <c r="AT493" s="88">
        <f>SUMIF(月間集計シート!$M$134:$M$153,$G493,月間集計シート!O$134:O$153)*AT$2</f>
        <v>0</v>
      </c>
      <c r="AU493" s="88">
        <f>SUMIF(月間集計シート!$M$134:$M$153,$G493,月間集計シート!P$134:P$153)*AU$2</f>
        <v>0</v>
      </c>
      <c r="AV493" s="88">
        <f>SUMIF(月間集計シート!$M$134:$M$153,$G493,月間集計シート!Q$134:Q$153)*AV$2</f>
        <v>0</v>
      </c>
      <c r="AW493" s="88">
        <f>SUMIF(月間集計シート!$M$134:$M$153,$G493,月間集計シート!R$134:R$153)*AW$2</f>
        <v>0</v>
      </c>
      <c r="AX493" s="88">
        <f>SUMIF(月間集計シート!$M$134:$M$153,$G493,月間集計シート!S$134:S$153)*AX$2</f>
        <v>0</v>
      </c>
      <c r="AY493" s="88">
        <f>SUMIF(月間集計シート!$M$134:$M$153,$G493,月間集計シート!T$134:T$153)*AY$2</f>
        <v>0</v>
      </c>
    </row>
    <row r="494" spans="1:51" ht="14.25" thickBot="1">
      <c r="A494">
        <v>6</v>
      </c>
      <c r="B494" s="120">
        <f t="shared" si="238"/>
        <v>0</v>
      </c>
      <c r="C494" s="120" t="str">
        <f t="shared" si="239"/>
        <v/>
      </c>
      <c r="D494" s="137"/>
      <c r="E494" s="150" t="str">
        <f>工種!A61</f>
        <v>80103</v>
      </c>
      <c r="F494" s="119" t="str">
        <f>工種!B61</f>
        <v>保守／ｻﾎﾟｰﾄ：支社・他部門支援</v>
      </c>
      <c r="G494" s="116" t="str">
        <f t="shared" si="240"/>
        <v>080103</v>
      </c>
      <c r="H494" s="88">
        <f t="shared" si="194"/>
        <v>0</v>
      </c>
      <c r="I494" s="132"/>
      <c r="J494" s="88">
        <f>SUMIF(月間集計シート!$M$29:$M$48,$G494,月間集計シート!N$29:N$48)*J$2</f>
        <v>0</v>
      </c>
      <c r="K494" s="88">
        <f>SUMIF(月間集計シート!$M$29:$M$48,$G494,月間集計シート!O$29:O$48)*K$2</f>
        <v>0</v>
      </c>
      <c r="L494" s="88">
        <f>SUMIF(月間集計シート!$M$29:$M$48,$G494,月間集計シート!P$29:P$48)*L$2</f>
        <v>0</v>
      </c>
      <c r="M494" s="88">
        <f>SUMIF(月間集計シート!$M$29:$M$48,$G494,月間集計シート!Q$29:Q$48)*M$2</f>
        <v>0</v>
      </c>
      <c r="N494" s="88">
        <f>SUMIF(月間集計シート!$M$29:$M$48,$G494,月間集計シート!R$29:R$48)*N$2</f>
        <v>0</v>
      </c>
      <c r="O494" s="88">
        <f>SUMIF(月間集計シート!$M$29:$M$48,$G494,月間集計シート!S$29:S$48)*O$2</f>
        <v>0</v>
      </c>
      <c r="P494" s="88">
        <f>SUMIF(月間集計シート!$M$29:$M$48,$G494,月間集計シート!T$29:T$48)*P$2</f>
        <v>0</v>
      </c>
      <c r="Q494" s="88">
        <f>SUMIF(月間集計シート!$M$50:$M$69,$G494,月間集計シート!N$50:N$69)*Q$2</f>
        <v>0</v>
      </c>
      <c r="R494" s="88">
        <f>SUMIF(月間集計シート!$M$50:$M$69,$G494,月間集計シート!O$50:O$69)*R$2</f>
        <v>0</v>
      </c>
      <c r="S494" s="88">
        <f>SUMIF(月間集計シート!$M$50:$M$69,$G494,月間集計シート!P$50:P$69)*S$2</f>
        <v>0</v>
      </c>
      <c r="T494" s="88">
        <f>SUMIF(月間集計シート!$M$50:$M$69,$G494,月間集計シート!Q$50:Q$69)*T$2</f>
        <v>0</v>
      </c>
      <c r="U494" s="88">
        <f>SUMIF(月間集計シート!$M$50:$M$69,$G494,月間集計シート!R$50:R$69)*U$2</f>
        <v>0</v>
      </c>
      <c r="V494" s="88">
        <f>SUMIF(月間集計シート!$M$50:$M$69,$G494,月間集計シート!S$50:S$69)*V$2</f>
        <v>0</v>
      </c>
      <c r="W494" s="88">
        <f>SUMIF(月間集計シート!$M$50:$M$69,$G494,月間集計シート!T$50:T$69)*W$2</f>
        <v>0</v>
      </c>
      <c r="X494" s="88">
        <f>SUMIF(月間集計シート!$M$71:$M$90,$G494,月間集計シート!N$71:N$90)*X$2</f>
        <v>0</v>
      </c>
      <c r="Y494" s="88">
        <f>SUMIF(月間集計シート!$M$71:$M$90,$G494,月間集計シート!O$71:O$90)*Y$2</f>
        <v>0</v>
      </c>
      <c r="Z494" s="88">
        <f>SUMIF(月間集計シート!$M$71:$M$90,$G494,月間集計シート!P$71:P$90)*Z$2</f>
        <v>0</v>
      </c>
      <c r="AA494" s="88">
        <f>SUMIF(月間集計シート!$M$71:$M$90,$G494,月間集計シート!Q$71:Q$90)*AA$2</f>
        <v>0</v>
      </c>
      <c r="AB494" s="88">
        <f>SUMIF(月間集計シート!$M$71:$M$90,$G494,月間集計シート!R$71:R$90)*AB$2</f>
        <v>0</v>
      </c>
      <c r="AC494" s="88">
        <f>SUMIF(月間集計シート!$M$71:$M$90,$G494,月間集計シート!S$71:S$90)*AC$2</f>
        <v>0</v>
      </c>
      <c r="AD494" s="88">
        <f>SUMIF(月間集計シート!$M$71:$M$90,$G494,月間集計シート!T$71:T$90)*AD$2</f>
        <v>0</v>
      </c>
      <c r="AE494" s="88">
        <f>SUMIF(月間集計シート!$M$92:$M$111,$G494,月間集計シート!N$92:N$111)*AE$2</f>
        <v>0</v>
      </c>
      <c r="AF494" s="88">
        <f>SUMIF(月間集計シート!$M$92:$M$111,$G494,月間集計シート!O$92:O$111)*AF$2</f>
        <v>0</v>
      </c>
      <c r="AG494" s="88">
        <f>SUMIF(月間集計シート!$M$92:$M$111,$G494,月間集計シート!P$92:P$111)*AG$2</f>
        <v>0</v>
      </c>
      <c r="AH494" s="88">
        <f>SUMIF(月間集計シート!$M$92:$M$111,$G494,月間集計シート!Q$92:Q$111)*AH$2</f>
        <v>0</v>
      </c>
      <c r="AI494" s="88">
        <f>SUMIF(月間集計シート!$M$92:$M$111,$G494,月間集計シート!R$92:R$111)*AI$2</f>
        <v>0</v>
      </c>
      <c r="AJ494" s="88">
        <f>SUMIF(月間集計シート!$M$92:$M$111,$G494,月間集計シート!S$92:S$111)*AJ$2</f>
        <v>0</v>
      </c>
      <c r="AK494" s="88">
        <f>SUMIF(月間集計シート!$M$92:$M$111,$G494,月間集計シート!T$92:T$111)*AK$2</f>
        <v>0</v>
      </c>
      <c r="AL494" s="88">
        <f>SUMIF(月間集計シート!$M$113:$M$132,$G494,月間集計シート!N$113:N$132)*AL$2</f>
        <v>0</v>
      </c>
      <c r="AM494" s="88">
        <f>SUMIF(月間集計シート!$M$113:$M$132,$G494,月間集計シート!O$113:O$132)*AM$2</f>
        <v>0</v>
      </c>
      <c r="AN494" s="88">
        <f>SUMIF(月間集計シート!$M$113:$M$132,$G494,月間集計シート!P$113:P$132)*AN$2</f>
        <v>0</v>
      </c>
      <c r="AO494" s="88">
        <f>SUMIF(月間集計シート!$M$113:$M$132,$G494,月間集計シート!Q$113:Q$132)*AO$2</f>
        <v>0</v>
      </c>
      <c r="AP494" s="88">
        <f>SUMIF(月間集計シート!$M$113:$M$132,$G494,月間集計シート!R$113:R$132)*AP$2</f>
        <v>0</v>
      </c>
      <c r="AQ494" s="88">
        <f>SUMIF(月間集計シート!$M$113:$M$132,$G494,月間集計シート!S$113:S$132)*AQ$2</f>
        <v>0</v>
      </c>
      <c r="AR494" s="88">
        <f>SUMIF(月間集計シート!$M$113:$M$132,$G494,月間集計シート!T$113:T$132)*AR$2</f>
        <v>0</v>
      </c>
      <c r="AS494" s="88">
        <f>SUMIF(月間集計シート!$M$134:$M$153,$G494,月間集計シート!N$134:N$153)*AS$2</f>
        <v>0</v>
      </c>
      <c r="AT494" s="88">
        <f>SUMIF(月間集計シート!$M$134:$M$153,$G494,月間集計シート!O$134:O$153)*AT$2</f>
        <v>0</v>
      </c>
      <c r="AU494" s="88">
        <f>SUMIF(月間集計シート!$M$134:$M$153,$G494,月間集計シート!P$134:P$153)*AU$2</f>
        <v>0</v>
      </c>
      <c r="AV494" s="88">
        <f>SUMIF(月間集計シート!$M$134:$M$153,$G494,月間集計シート!Q$134:Q$153)*AV$2</f>
        <v>0</v>
      </c>
      <c r="AW494" s="88">
        <f>SUMIF(月間集計シート!$M$134:$M$153,$G494,月間集計シート!R$134:R$153)*AW$2</f>
        <v>0</v>
      </c>
      <c r="AX494" s="88">
        <f>SUMIF(月間集計シート!$M$134:$M$153,$G494,月間集計シート!S$134:S$153)*AX$2</f>
        <v>0</v>
      </c>
      <c r="AY494" s="88">
        <f>SUMIF(月間集計シート!$M$134:$M$153,$G494,月間集計シート!T$134:T$153)*AY$2</f>
        <v>0</v>
      </c>
    </row>
    <row r="495" spans="1:51" ht="14.25" thickBot="1">
      <c r="A495">
        <v>6</v>
      </c>
      <c r="B495" s="120">
        <f t="shared" si="238"/>
        <v>0</v>
      </c>
      <c r="C495" s="120" t="str">
        <f t="shared" si="239"/>
        <v/>
      </c>
      <c r="D495" s="137"/>
      <c r="E495" s="150" t="str">
        <f>工種!A62</f>
        <v>80104</v>
      </c>
      <c r="F495" s="119" t="str">
        <f>工種!B62</f>
        <v>保守／ｻﾎﾟｰﾄ：連絡文書作成・更新</v>
      </c>
      <c r="G495" s="116" t="str">
        <f t="shared" si="240"/>
        <v>080104</v>
      </c>
      <c r="H495" s="88">
        <f t="shared" si="194"/>
        <v>0</v>
      </c>
      <c r="I495" s="132"/>
      <c r="J495" s="88">
        <f>SUMIF(月間集計シート!$M$29:$M$48,$G495,月間集計シート!N$29:N$48)*J$2</f>
        <v>0</v>
      </c>
      <c r="K495" s="88">
        <f>SUMIF(月間集計シート!$M$29:$M$48,$G495,月間集計シート!O$29:O$48)*K$2</f>
        <v>0</v>
      </c>
      <c r="L495" s="88">
        <f>SUMIF(月間集計シート!$M$29:$M$48,$G495,月間集計シート!P$29:P$48)*L$2</f>
        <v>0</v>
      </c>
      <c r="M495" s="88">
        <f>SUMIF(月間集計シート!$M$29:$M$48,$G495,月間集計シート!Q$29:Q$48)*M$2</f>
        <v>0</v>
      </c>
      <c r="N495" s="88">
        <f>SUMIF(月間集計シート!$M$29:$M$48,$G495,月間集計シート!R$29:R$48)*N$2</f>
        <v>0</v>
      </c>
      <c r="O495" s="88">
        <f>SUMIF(月間集計シート!$M$29:$M$48,$G495,月間集計シート!S$29:S$48)*O$2</f>
        <v>0</v>
      </c>
      <c r="P495" s="88">
        <f>SUMIF(月間集計シート!$M$29:$M$48,$G495,月間集計シート!T$29:T$48)*P$2</f>
        <v>0</v>
      </c>
      <c r="Q495" s="88">
        <f>SUMIF(月間集計シート!$M$50:$M$69,$G495,月間集計シート!N$50:N$69)*Q$2</f>
        <v>0</v>
      </c>
      <c r="R495" s="88">
        <f>SUMIF(月間集計シート!$M$50:$M$69,$G495,月間集計シート!O$50:O$69)*R$2</f>
        <v>0</v>
      </c>
      <c r="S495" s="88">
        <f>SUMIF(月間集計シート!$M$50:$M$69,$G495,月間集計シート!P$50:P$69)*S$2</f>
        <v>0</v>
      </c>
      <c r="T495" s="88">
        <f>SUMIF(月間集計シート!$M$50:$M$69,$G495,月間集計シート!Q$50:Q$69)*T$2</f>
        <v>0</v>
      </c>
      <c r="U495" s="88">
        <f>SUMIF(月間集計シート!$M$50:$M$69,$G495,月間集計シート!R$50:R$69)*U$2</f>
        <v>0</v>
      </c>
      <c r="V495" s="88">
        <f>SUMIF(月間集計シート!$M$50:$M$69,$G495,月間集計シート!S$50:S$69)*V$2</f>
        <v>0</v>
      </c>
      <c r="W495" s="88">
        <f>SUMIF(月間集計シート!$M$50:$M$69,$G495,月間集計シート!T$50:T$69)*W$2</f>
        <v>0</v>
      </c>
      <c r="X495" s="88">
        <f>SUMIF(月間集計シート!$M$71:$M$90,$G495,月間集計シート!N$71:N$90)*X$2</f>
        <v>0</v>
      </c>
      <c r="Y495" s="88">
        <f>SUMIF(月間集計シート!$M$71:$M$90,$G495,月間集計シート!O$71:O$90)*Y$2</f>
        <v>0</v>
      </c>
      <c r="Z495" s="88">
        <f>SUMIF(月間集計シート!$M$71:$M$90,$G495,月間集計シート!P$71:P$90)*Z$2</f>
        <v>0</v>
      </c>
      <c r="AA495" s="88">
        <f>SUMIF(月間集計シート!$M$71:$M$90,$G495,月間集計シート!Q$71:Q$90)*AA$2</f>
        <v>0</v>
      </c>
      <c r="AB495" s="88">
        <f>SUMIF(月間集計シート!$M$71:$M$90,$G495,月間集計シート!R$71:R$90)*AB$2</f>
        <v>0</v>
      </c>
      <c r="AC495" s="88">
        <f>SUMIF(月間集計シート!$M$71:$M$90,$G495,月間集計シート!S$71:S$90)*AC$2</f>
        <v>0</v>
      </c>
      <c r="AD495" s="88">
        <f>SUMIF(月間集計シート!$M$71:$M$90,$G495,月間集計シート!T$71:T$90)*AD$2</f>
        <v>0</v>
      </c>
      <c r="AE495" s="88">
        <f>SUMIF(月間集計シート!$M$92:$M$111,$G495,月間集計シート!N$92:N$111)*AE$2</f>
        <v>0</v>
      </c>
      <c r="AF495" s="88">
        <f>SUMIF(月間集計シート!$M$92:$M$111,$G495,月間集計シート!O$92:O$111)*AF$2</f>
        <v>0</v>
      </c>
      <c r="AG495" s="88">
        <f>SUMIF(月間集計シート!$M$92:$M$111,$G495,月間集計シート!P$92:P$111)*AG$2</f>
        <v>0</v>
      </c>
      <c r="AH495" s="88">
        <f>SUMIF(月間集計シート!$M$92:$M$111,$G495,月間集計シート!Q$92:Q$111)*AH$2</f>
        <v>0</v>
      </c>
      <c r="AI495" s="88">
        <f>SUMIF(月間集計シート!$M$92:$M$111,$G495,月間集計シート!R$92:R$111)*AI$2</f>
        <v>0</v>
      </c>
      <c r="AJ495" s="88">
        <f>SUMIF(月間集計シート!$M$92:$M$111,$G495,月間集計シート!S$92:S$111)*AJ$2</f>
        <v>0</v>
      </c>
      <c r="AK495" s="88">
        <f>SUMIF(月間集計シート!$M$92:$M$111,$G495,月間集計シート!T$92:T$111)*AK$2</f>
        <v>0</v>
      </c>
      <c r="AL495" s="88">
        <f>SUMIF(月間集計シート!$M$113:$M$132,$G495,月間集計シート!N$113:N$132)*AL$2</f>
        <v>0</v>
      </c>
      <c r="AM495" s="88">
        <f>SUMIF(月間集計シート!$M$113:$M$132,$G495,月間集計シート!O$113:O$132)*AM$2</f>
        <v>0</v>
      </c>
      <c r="AN495" s="88">
        <f>SUMIF(月間集計シート!$M$113:$M$132,$G495,月間集計シート!P$113:P$132)*AN$2</f>
        <v>0</v>
      </c>
      <c r="AO495" s="88">
        <f>SUMIF(月間集計シート!$M$113:$M$132,$G495,月間集計シート!Q$113:Q$132)*AO$2</f>
        <v>0</v>
      </c>
      <c r="AP495" s="88">
        <f>SUMIF(月間集計シート!$M$113:$M$132,$G495,月間集計シート!R$113:R$132)*AP$2</f>
        <v>0</v>
      </c>
      <c r="AQ495" s="88">
        <f>SUMIF(月間集計シート!$M$113:$M$132,$G495,月間集計シート!S$113:S$132)*AQ$2</f>
        <v>0</v>
      </c>
      <c r="AR495" s="88">
        <f>SUMIF(月間集計シート!$M$113:$M$132,$G495,月間集計シート!T$113:T$132)*AR$2</f>
        <v>0</v>
      </c>
      <c r="AS495" s="88">
        <f>SUMIF(月間集計シート!$M$134:$M$153,$G495,月間集計シート!N$134:N$153)*AS$2</f>
        <v>0</v>
      </c>
      <c r="AT495" s="88">
        <f>SUMIF(月間集計シート!$M$134:$M$153,$G495,月間集計シート!O$134:O$153)*AT$2</f>
        <v>0</v>
      </c>
      <c r="AU495" s="88">
        <f>SUMIF(月間集計シート!$M$134:$M$153,$G495,月間集計シート!P$134:P$153)*AU$2</f>
        <v>0</v>
      </c>
      <c r="AV495" s="88">
        <f>SUMIF(月間集計シート!$M$134:$M$153,$G495,月間集計シート!Q$134:Q$153)*AV$2</f>
        <v>0</v>
      </c>
      <c r="AW495" s="88">
        <f>SUMIF(月間集計シート!$M$134:$M$153,$G495,月間集計シート!R$134:R$153)*AW$2</f>
        <v>0</v>
      </c>
      <c r="AX495" s="88">
        <f>SUMIF(月間集計シート!$M$134:$M$153,$G495,月間集計シート!S$134:S$153)*AX$2</f>
        <v>0</v>
      </c>
      <c r="AY495" s="88">
        <f>SUMIF(月間集計シート!$M$134:$M$153,$G495,月間集計シート!T$134:T$153)*AY$2</f>
        <v>0</v>
      </c>
    </row>
    <row r="496" spans="1:51" ht="14.25" thickBot="1">
      <c r="A496">
        <v>6</v>
      </c>
      <c r="B496" s="120">
        <f t="shared" si="238"/>
        <v>0</v>
      </c>
      <c r="C496" s="120" t="str">
        <f t="shared" si="239"/>
        <v/>
      </c>
      <c r="D496" s="137"/>
      <c r="E496" s="150" t="str">
        <f>工種!A63</f>
        <v>80105</v>
      </c>
      <c r="F496" s="119" t="str">
        <f>工種!B63</f>
        <v>保守／ｻﾎﾟｰﾄ：ｲﾝﾄﾗ資料更新</v>
      </c>
      <c r="G496" s="116" t="str">
        <f t="shared" ref="G496:G513" si="241">B496&amp;E496</f>
        <v>080105</v>
      </c>
      <c r="H496" s="88">
        <f t="shared" ref="H496:H497" si="242">SUM(J496:AY496)</f>
        <v>0</v>
      </c>
      <c r="I496" s="132"/>
      <c r="J496" s="88">
        <f>SUMIF(月間集計シート!$M$29:$M$48,$G496,月間集計シート!N$29:N$48)*J$2</f>
        <v>0</v>
      </c>
      <c r="K496" s="88">
        <f>SUMIF(月間集計シート!$M$29:$M$48,$G496,月間集計シート!O$29:O$48)*K$2</f>
        <v>0</v>
      </c>
      <c r="L496" s="88">
        <f>SUMIF(月間集計シート!$M$29:$M$48,$G496,月間集計シート!P$29:P$48)*L$2</f>
        <v>0</v>
      </c>
      <c r="M496" s="88">
        <f>SUMIF(月間集計シート!$M$29:$M$48,$G496,月間集計シート!Q$29:Q$48)*M$2</f>
        <v>0</v>
      </c>
      <c r="N496" s="88">
        <f>SUMIF(月間集計シート!$M$29:$M$48,$G496,月間集計シート!R$29:R$48)*N$2</f>
        <v>0</v>
      </c>
      <c r="O496" s="88">
        <f>SUMIF(月間集計シート!$M$29:$M$48,$G496,月間集計シート!S$29:S$48)*O$2</f>
        <v>0</v>
      </c>
      <c r="P496" s="88">
        <f>SUMIF(月間集計シート!$M$29:$M$48,$G496,月間集計シート!T$29:T$48)*P$2</f>
        <v>0</v>
      </c>
      <c r="Q496" s="88">
        <f>SUMIF(月間集計シート!$M$50:$M$69,$G496,月間集計シート!N$50:N$69)*Q$2</f>
        <v>0</v>
      </c>
      <c r="R496" s="88">
        <f>SUMIF(月間集計シート!$M$50:$M$69,$G496,月間集計シート!O$50:O$69)*R$2</f>
        <v>0</v>
      </c>
      <c r="S496" s="88">
        <f>SUMIF(月間集計シート!$M$50:$M$69,$G496,月間集計シート!P$50:P$69)*S$2</f>
        <v>0</v>
      </c>
      <c r="T496" s="88">
        <f>SUMIF(月間集計シート!$M$50:$M$69,$G496,月間集計シート!Q$50:Q$69)*T$2</f>
        <v>0</v>
      </c>
      <c r="U496" s="88">
        <f>SUMIF(月間集計シート!$M$50:$M$69,$G496,月間集計シート!R$50:R$69)*U$2</f>
        <v>0</v>
      </c>
      <c r="V496" s="88">
        <f>SUMIF(月間集計シート!$M$50:$M$69,$G496,月間集計シート!S$50:S$69)*V$2</f>
        <v>0</v>
      </c>
      <c r="W496" s="88">
        <f>SUMIF(月間集計シート!$M$50:$M$69,$G496,月間集計シート!T$50:T$69)*W$2</f>
        <v>0</v>
      </c>
      <c r="X496" s="88">
        <f>SUMIF(月間集計シート!$M$71:$M$90,$G496,月間集計シート!N$71:N$90)*X$2</f>
        <v>0</v>
      </c>
      <c r="Y496" s="88">
        <f>SUMIF(月間集計シート!$M$71:$M$90,$G496,月間集計シート!O$71:O$90)*Y$2</f>
        <v>0</v>
      </c>
      <c r="Z496" s="88">
        <f>SUMIF(月間集計シート!$M$71:$M$90,$G496,月間集計シート!P$71:P$90)*Z$2</f>
        <v>0</v>
      </c>
      <c r="AA496" s="88">
        <f>SUMIF(月間集計シート!$M$71:$M$90,$G496,月間集計シート!Q$71:Q$90)*AA$2</f>
        <v>0</v>
      </c>
      <c r="AB496" s="88">
        <f>SUMIF(月間集計シート!$M$71:$M$90,$G496,月間集計シート!R$71:R$90)*AB$2</f>
        <v>0</v>
      </c>
      <c r="AC496" s="88">
        <f>SUMIF(月間集計シート!$M$71:$M$90,$G496,月間集計シート!S$71:S$90)*AC$2</f>
        <v>0</v>
      </c>
      <c r="AD496" s="88">
        <f>SUMIF(月間集計シート!$M$71:$M$90,$G496,月間集計シート!T$71:T$90)*AD$2</f>
        <v>0</v>
      </c>
      <c r="AE496" s="88">
        <f>SUMIF(月間集計シート!$M$92:$M$111,$G496,月間集計シート!N$92:N$111)*AE$2</f>
        <v>0</v>
      </c>
      <c r="AF496" s="88">
        <f>SUMIF(月間集計シート!$M$92:$M$111,$G496,月間集計シート!O$92:O$111)*AF$2</f>
        <v>0</v>
      </c>
      <c r="AG496" s="88">
        <f>SUMIF(月間集計シート!$M$92:$M$111,$G496,月間集計シート!P$92:P$111)*AG$2</f>
        <v>0</v>
      </c>
      <c r="AH496" s="88">
        <f>SUMIF(月間集計シート!$M$92:$M$111,$G496,月間集計シート!Q$92:Q$111)*AH$2</f>
        <v>0</v>
      </c>
      <c r="AI496" s="88">
        <f>SUMIF(月間集計シート!$M$92:$M$111,$G496,月間集計シート!R$92:R$111)*AI$2</f>
        <v>0</v>
      </c>
      <c r="AJ496" s="88">
        <f>SUMIF(月間集計シート!$M$92:$M$111,$G496,月間集計シート!S$92:S$111)*AJ$2</f>
        <v>0</v>
      </c>
      <c r="AK496" s="88">
        <f>SUMIF(月間集計シート!$M$92:$M$111,$G496,月間集計シート!T$92:T$111)*AK$2</f>
        <v>0</v>
      </c>
      <c r="AL496" s="88">
        <f>SUMIF(月間集計シート!$M$113:$M$132,$G496,月間集計シート!N$113:N$132)*AL$2</f>
        <v>0</v>
      </c>
      <c r="AM496" s="88">
        <f>SUMIF(月間集計シート!$M$113:$M$132,$G496,月間集計シート!O$113:O$132)*AM$2</f>
        <v>0</v>
      </c>
      <c r="AN496" s="88">
        <f>SUMIF(月間集計シート!$M$113:$M$132,$G496,月間集計シート!P$113:P$132)*AN$2</f>
        <v>0</v>
      </c>
      <c r="AO496" s="88">
        <f>SUMIF(月間集計シート!$M$113:$M$132,$G496,月間集計シート!Q$113:Q$132)*AO$2</f>
        <v>0</v>
      </c>
      <c r="AP496" s="88">
        <f>SUMIF(月間集計シート!$M$113:$M$132,$G496,月間集計シート!R$113:R$132)*AP$2</f>
        <v>0</v>
      </c>
      <c r="AQ496" s="88">
        <f>SUMIF(月間集計シート!$M$113:$M$132,$G496,月間集計シート!S$113:S$132)*AQ$2</f>
        <v>0</v>
      </c>
      <c r="AR496" s="88">
        <f>SUMIF(月間集計シート!$M$113:$M$132,$G496,月間集計シート!T$113:T$132)*AR$2</f>
        <v>0</v>
      </c>
      <c r="AS496" s="88">
        <f>SUMIF(月間集計シート!$M$134:$M$153,$G496,月間集計シート!N$134:N$153)*AS$2</f>
        <v>0</v>
      </c>
      <c r="AT496" s="88">
        <f>SUMIF(月間集計シート!$M$134:$M$153,$G496,月間集計シート!O$134:O$153)*AT$2</f>
        <v>0</v>
      </c>
      <c r="AU496" s="88">
        <f>SUMIF(月間集計シート!$M$134:$M$153,$G496,月間集計シート!P$134:P$153)*AU$2</f>
        <v>0</v>
      </c>
      <c r="AV496" s="88">
        <f>SUMIF(月間集計シート!$M$134:$M$153,$G496,月間集計シート!Q$134:Q$153)*AV$2</f>
        <v>0</v>
      </c>
      <c r="AW496" s="88">
        <f>SUMIF(月間集計シート!$M$134:$M$153,$G496,月間集計シート!R$134:R$153)*AW$2</f>
        <v>0</v>
      </c>
      <c r="AX496" s="88">
        <f>SUMIF(月間集計シート!$M$134:$M$153,$G496,月間集計シート!S$134:S$153)*AX$2</f>
        <v>0</v>
      </c>
      <c r="AY496" s="88">
        <f>SUMIF(月間集計シート!$M$134:$M$153,$G496,月間集計シート!T$134:T$153)*AY$2</f>
        <v>0</v>
      </c>
    </row>
    <row r="497" spans="1:51" ht="14.25" thickBot="1">
      <c r="A497">
        <v>6</v>
      </c>
      <c r="B497" s="120">
        <f t="shared" si="238"/>
        <v>0</v>
      </c>
      <c r="C497" s="120" t="str">
        <f t="shared" si="239"/>
        <v/>
      </c>
      <c r="D497" s="137"/>
      <c r="E497" s="150" t="str">
        <f>工種!A64</f>
        <v>80106</v>
      </c>
      <c r="F497" s="119" t="str">
        <f>工種!B64</f>
        <v>保守／ｻﾎﾟｰﾄ：打合せ</v>
      </c>
      <c r="G497" s="116" t="str">
        <f t="shared" si="241"/>
        <v>080106</v>
      </c>
      <c r="H497" s="88">
        <f t="shared" si="242"/>
        <v>0</v>
      </c>
      <c r="I497" s="132"/>
      <c r="J497" s="88">
        <f>SUMIF(月間集計シート!$M$29:$M$48,$G497,月間集計シート!N$29:N$48)*J$2</f>
        <v>0</v>
      </c>
      <c r="K497" s="88">
        <f>SUMIF(月間集計シート!$M$29:$M$48,$G497,月間集計シート!O$29:O$48)*K$2</f>
        <v>0</v>
      </c>
      <c r="L497" s="88">
        <f>SUMIF(月間集計シート!$M$29:$M$48,$G497,月間集計シート!P$29:P$48)*L$2</f>
        <v>0</v>
      </c>
      <c r="M497" s="88">
        <f>SUMIF(月間集計シート!$M$29:$M$48,$G497,月間集計シート!Q$29:Q$48)*M$2</f>
        <v>0</v>
      </c>
      <c r="N497" s="88">
        <f>SUMIF(月間集計シート!$M$29:$M$48,$G497,月間集計シート!R$29:R$48)*N$2</f>
        <v>0</v>
      </c>
      <c r="O497" s="88">
        <f>SUMIF(月間集計シート!$M$29:$M$48,$G497,月間集計シート!S$29:S$48)*O$2</f>
        <v>0</v>
      </c>
      <c r="P497" s="88">
        <f>SUMIF(月間集計シート!$M$29:$M$48,$G497,月間集計シート!T$29:T$48)*P$2</f>
        <v>0</v>
      </c>
      <c r="Q497" s="88">
        <f>SUMIF(月間集計シート!$M$50:$M$69,$G497,月間集計シート!N$50:N$69)*Q$2</f>
        <v>0</v>
      </c>
      <c r="R497" s="88">
        <f>SUMIF(月間集計シート!$M$50:$M$69,$G497,月間集計シート!O$50:O$69)*R$2</f>
        <v>0</v>
      </c>
      <c r="S497" s="88">
        <f>SUMIF(月間集計シート!$M$50:$M$69,$G497,月間集計シート!P$50:P$69)*S$2</f>
        <v>0</v>
      </c>
      <c r="T497" s="88">
        <f>SUMIF(月間集計シート!$M$50:$M$69,$G497,月間集計シート!Q$50:Q$69)*T$2</f>
        <v>0</v>
      </c>
      <c r="U497" s="88">
        <f>SUMIF(月間集計シート!$M$50:$M$69,$G497,月間集計シート!R$50:R$69)*U$2</f>
        <v>0</v>
      </c>
      <c r="V497" s="88">
        <f>SUMIF(月間集計シート!$M$50:$M$69,$G497,月間集計シート!S$50:S$69)*V$2</f>
        <v>0</v>
      </c>
      <c r="W497" s="88">
        <f>SUMIF(月間集計シート!$M$50:$M$69,$G497,月間集計シート!T$50:T$69)*W$2</f>
        <v>0</v>
      </c>
      <c r="X497" s="88">
        <f>SUMIF(月間集計シート!$M$71:$M$90,$G497,月間集計シート!N$71:N$90)*X$2</f>
        <v>0</v>
      </c>
      <c r="Y497" s="88">
        <f>SUMIF(月間集計シート!$M$71:$M$90,$G497,月間集計シート!O$71:O$90)*Y$2</f>
        <v>0</v>
      </c>
      <c r="Z497" s="88">
        <f>SUMIF(月間集計シート!$M$71:$M$90,$G497,月間集計シート!P$71:P$90)*Z$2</f>
        <v>0</v>
      </c>
      <c r="AA497" s="88">
        <f>SUMIF(月間集計シート!$M$71:$M$90,$G497,月間集計シート!Q$71:Q$90)*AA$2</f>
        <v>0</v>
      </c>
      <c r="AB497" s="88">
        <f>SUMIF(月間集計シート!$M$71:$M$90,$G497,月間集計シート!R$71:R$90)*AB$2</f>
        <v>0</v>
      </c>
      <c r="AC497" s="88">
        <f>SUMIF(月間集計シート!$M$71:$M$90,$G497,月間集計シート!S$71:S$90)*AC$2</f>
        <v>0</v>
      </c>
      <c r="AD497" s="88">
        <f>SUMIF(月間集計シート!$M$71:$M$90,$G497,月間集計シート!T$71:T$90)*AD$2</f>
        <v>0</v>
      </c>
      <c r="AE497" s="88">
        <f>SUMIF(月間集計シート!$M$92:$M$111,$G497,月間集計シート!N$92:N$111)*AE$2</f>
        <v>0</v>
      </c>
      <c r="AF497" s="88">
        <f>SUMIF(月間集計シート!$M$92:$M$111,$G497,月間集計シート!O$92:O$111)*AF$2</f>
        <v>0</v>
      </c>
      <c r="AG497" s="88">
        <f>SUMIF(月間集計シート!$M$92:$M$111,$G497,月間集計シート!P$92:P$111)*AG$2</f>
        <v>0</v>
      </c>
      <c r="AH497" s="88">
        <f>SUMIF(月間集計シート!$M$92:$M$111,$G497,月間集計シート!Q$92:Q$111)*AH$2</f>
        <v>0</v>
      </c>
      <c r="AI497" s="88">
        <f>SUMIF(月間集計シート!$M$92:$M$111,$G497,月間集計シート!R$92:R$111)*AI$2</f>
        <v>0</v>
      </c>
      <c r="AJ497" s="88">
        <f>SUMIF(月間集計シート!$M$92:$M$111,$G497,月間集計シート!S$92:S$111)*AJ$2</f>
        <v>0</v>
      </c>
      <c r="AK497" s="88">
        <f>SUMIF(月間集計シート!$M$92:$M$111,$G497,月間集計シート!T$92:T$111)*AK$2</f>
        <v>0</v>
      </c>
      <c r="AL497" s="88">
        <f>SUMIF(月間集計シート!$M$113:$M$132,$G497,月間集計シート!N$113:N$132)*AL$2</f>
        <v>0</v>
      </c>
      <c r="AM497" s="88">
        <f>SUMIF(月間集計シート!$M$113:$M$132,$G497,月間集計シート!O$113:O$132)*AM$2</f>
        <v>0</v>
      </c>
      <c r="AN497" s="88">
        <f>SUMIF(月間集計シート!$M$113:$M$132,$G497,月間集計シート!P$113:P$132)*AN$2</f>
        <v>0</v>
      </c>
      <c r="AO497" s="88">
        <f>SUMIF(月間集計シート!$M$113:$M$132,$G497,月間集計シート!Q$113:Q$132)*AO$2</f>
        <v>0</v>
      </c>
      <c r="AP497" s="88">
        <f>SUMIF(月間集計シート!$M$113:$M$132,$G497,月間集計シート!R$113:R$132)*AP$2</f>
        <v>0</v>
      </c>
      <c r="AQ497" s="88">
        <f>SUMIF(月間集計シート!$M$113:$M$132,$G497,月間集計シート!S$113:S$132)*AQ$2</f>
        <v>0</v>
      </c>
      <c r="AR497" s="88">
        <f>SUMIF(月間集計シート!$M$113:$M$132,$G497,月間集計シート!T$113:T$132)*AR$2</f>
        <v>0</v>
      </c>
      <c r="AS497" s="88">
        <f>SUMIF(月間集計シート!$M$134:$M$153,$G497,月間集計シート!N$134:N$153)*AS$2</f>
        <v>0</v>
      </c>
      <c r="AT497" s="88">
        <f>SUMIF(月間集計シート!$M$134:$M$153,$G497,月間集計シート!O$134:O$153)*AT$2</f>
        <v>0</v>
      </c>
      <c r="AU497" s="88">
        <f>SUMIF(月間集計シート!$M$134:$M$153,$G497,月間集計シート!P$134:P$153)*AU$2</f>
        <v>0</v>
      </c>
      <c r="AV497" s="88">
        <f>SUMIF(月間集計シート!$M$134:$M$153,$G497,月間集計シート!Q$134:Q$153)*AV$2</f>
        <v>0</v>
      </c>
      <c r="AW497" s="88">
        <f>SUMIF(月間集計シート!$M$134:$M$153,$G497,月間集計シート!R$134:R$153)*AW$2</f>
        <v>0</v>
      </c>
      <c r="AX497" s="88">
        <f>SUMIF(月間集計シート!$M$134:$M$153,$G497,月間集計シート!S$134:S$153)*AX$2</f>
        <v>0</v>
      </c>
      <c r="AY497" s="88">
        <f>SUMIF(月間集計シート!$M$134:$M$153,$G497,月間集計シート!T$134:T$153)*AY$2</f>
        <v>0</v>
      </c>
    </row>
    <row r="498" spans="1:51" ht="14.25" thickBot="1">
      <c r="A498">
        <v>6</v>
      </c>
      <c r="B498" s="120">
        <f t="shared" si="238"/>
        <v>0</v>
      </c>
      <c r="C498" s="120" t="str">
        <f t="shared" si="239"/>
        <v/>
      </c>
      <c r="D498" s="137"/>
      <c r="E498" s="150" t="str">
        <f>工種!A65</f>
        <v>80107</v>
      </c>
      <c r="F498" s="119" t="str">
        <f>工種!B65</f>
        <v>保守／ｻﾎﾟｰﾄ：ﾚﾋﾞｭｰ</v>
      </c>
      <c r="G498" s="116" t="str">
        <f t="shared" si="241"/>
        <v>080107</v>
      </c>
      <c r="H498" s="88">
        <f t="shared" ref="H498:H513" si="243">SUM(J498:AY498)</f>
        <v>0</v>
      </c>
      <c r="I498" s="132"/>
      <c r="J498" s="88">
        <f>SUMIF(月間集計シート!$M$29:$M$48,$G498,月間集計シート!N$29:N$48)*J$2</f>
        <v>0</v>
      </c>
      <c r="K498" s="88">
        <f>SUMIF(月間集計シート!$M$29:$M$48,$G498,月間集計シート!O$29:O$48)*K$2</f>
        <v>0</v>
      </c>
      <c r="L498" s="88">
        <f>SUMIF(月間集計シート!$M$29:$M$48,$G498,月間集計シート!P$29:P$48)*L$2</f>
        <v>0</v>
      </c>
      <c r="M498" s="88">
        <f>SUMIF(月間集計シート!$M$29:$M$48,$G498,月間集計シート!Q$29:Q$48)*M$2</f>
        <v>0</v>
      </c>
      <c r="N498" s="88">
        <f>SUMIF(月間集計シート!$M$29:$M$48,$G498,月間集計シート!R$29:R$48)*N$2</f>
        <v>0</v>
      </c>
      <c r="O498" s="88">
        <f>SUMIF(月間集計シート!$M$29:$M$48,$G498,月間集計シート!S$29:S$48)*O$2</f>
        <v>0</v>
      </c>
      <c r="P498" s="88">
        <f>SUMIF(月間集計シート!$M$29:$M$48,$G498,月間集計シート!T$29:T$48)*P$2</f>
        <v>0</v>
      </c>
      <c r="Q498" s="88">
        <f>SUMIF(月間集計シート!$M$50:$M$69,$G498,月間集計シート!N$50:N$69)*Q$2</f>
        <v>0</v>
      </c>
      <c r="R498" s="88">
        <f>SUMIF(月間集計シート!$M$50:$M$69,$G498,月間集計シート!O$50:O$69)*R$2</f>
        <v>0</v>
      </c>
      <c r="S498" s="88">
        <f>SUMIF(月間集計シート!$M$50:$M$69,$G498,月間集計シート!P$50:P$69)*S$2</f>
        <v>0</v>
      </c>
      <c r="T498" s="88">
        <f>SUMIF(月間集計シート!$M$50:$M$69,$G498,月間集計シート!Q$50:Q$69)*T$2</f>
        <v>0</v>
      </c>
      <c r="U498" s="88">
        <f>SUMIF(月間集計シート!$M$50:$M$69,$G498,月間集計シート!R$50:R$69)*U$2</f>
        <v>0</v>
      </c>
      <c r="V498" s="88">
        <f>SUMIF(月間集計シート!$M$50:$M$69,$G498,月間集計シート!S$50:S$69)*V$2</f>
        <v>0</v>
      </c>
      <c r="W498" s="88">
        <f>SUMIF(月間集計シート!$M$50:$M$69,$G498,月間集計シート!T$50:T$69)*W$2</f>
        <v>0</v>
      </c>
      <c r="X498" s="88">
        <f>SUMIF(月間集計シート!$M$71:$M$90,$G498,月間集計シート!N$71:N$90)*X$2</f>
        <v>0</v>
      </c>
      <c r="Y498" s="88">
        <f>SUMIF(月間集計シート!$M$71:$M$90,$G498,月間集計シート!O$71:O$90)*Y$2</f>
        <v>0</v>
      </c>
      <c r="Z498" s="88">
        <f>SUMIF(月間集計シート!$M$71:$M$90,$G498,月間集計シート!P$71:P$90)*Z$2</f>
        <v>0</v>
      </c>
      <c r="AA498" s="88">
        <f>SUMIF(月間集計シート!$M$71:$M$90,$G498,月間集計シート!Q$71:Q$90)*AA$2</f>
        <v>0</v>
      </c>
      <c r="AB498" s="88">
        <f>SUMIF(月間集計シート!$M$71:$M$90,$G498,月間集計シート!R$71:R$90)*AB$2</f>
        <v>0</v>
      </c>
      <c r="AC498" s="88">
        <f>SUMIF(月間集計シート!$M$71:$M$90,$G498,月間集計シート!S$71:S$90)*AC$2</f>
        <v>0</v>
      </c>
      <c r="AD498" s="88">
        <f>SUMIF(月間集計シート!$M$71:$M$90,$G498,月間集計シート!T$71:T$90)*AD$2</f>
        <v>0</v>
      </c>
      <c r="AE498" s="88">
        <f>SUMIF(月間集計シート!$M$92:$M$111,$G498,月間集計シート!N$92:N$111)*AE$2</f>
        <v>0</v>
      </c>
      <c r="AF498" s="88">
        <f>SUMIF(月間集計シート!$M$92:$M$111,$G498,月間集計シート!O$92:O$111)*AF$2</f>
        <v>0</v>
      </c>
      <c r="AG498" s="88">
        <f>SUMIF(月間集計シート!$M$92:$M$111,$G498,月間集計シート!P$92:P$111)*AG$2</f>
        <v>0</v>
      </c>
      <c r="AH498" s="88">
        <f>SUMIF(月間集計シート!$M$92:$M$111,$G498,月間集計シート!Q$92:Q$111)*AH$2</f>
        <v>0</v>
      </c>
      <c r="AI498" s="88">
        <f>SUMIF(月間集計シート!$M$92:$M$111,$G498,月間集計シート!R$92:R$111)*AI$2</f>
        <v>0</v>
      </c>
      <c r="AJ498" s="88">
        <f>SUMIF(月間集計シート!$M$92:$M$111,$G498,月間集計シート!S$92:S$111)*AJ$2</f>
        <v>0</v>
      </c>
      <c r="AK498" s="88">
        <f>SUMIF(月間集計シート!$M$92:$M$111,$G498,月間集計シート!T$92:T$111)*AK$2</f>
        <v>0</v>
      </c>
      <c r="AL498" s="88">
        <f>SUMIF(月間集計シート!$M$113:$M$132,$G498,月間集計シート!N$113:N$132)*AL$2</f>
        <v>0</v>
      </c>
      <c r="AM498" s="88">
        <f>SUMIF(月間集計シート!$M$113:$M$132,$G498,月間集計シート!O$113:O$132)*AM$2</f>
        <v>0</v>
      </c>
      <c r="AN498" s="88">
        <f>SUMIF(月間集計シート!$M$113:$M$132,$G498,月間集計シート!P$113:P$132)*AN$2</f>
        <v>0</v>
      </c>
      <c r="AO498" s="88">
        <f>SUMIF(月間集計シート!$M$113:$M$132,$G498,月間集計シート!Q$113:Q$132)*AO$2</f>
        <v>0</v>
      </c>
      <c r="AP498" s="88">
        <f>SUMIF(月間集計シート!$M$113:$M$132,$G498,月間集計シート!R$113:R$132)*AP$2</f>
        <v>0</v>
      </c>
      <c r="AQ498" s="88">
        <f>SUMIF(月間集計シート!$M$113:$M$132,$G498,月間集計シート!S$113:S$132)*AQ$2</f>
        <v>0</v>
      </c>
      <c r="AR498" s="88">
        <f>SUMIF(月間集計シート!$M$113:$M$132,$G498,月間集計シート!T$113:T$132)*AR$2</f>
        <v>0</v>
      </c>
      <c r="AS498" s="88">
        <f>SUMIF(月間集計シート!$M$134:$M$153,$G498,月間集計シート!N$134:N$153)*AS$2</f>
        <v>0</v>
      </c>
      <c r="AT498" s="88">
        <f>SUMIF(月間集計シート!$M$134:$M$153,$G498,月間集計シート!O$134:O$153)*AT$2</f>
        <v>0</v>
      </c>
      <c r="AU498" s="88">
        <f>SUMIF(月間集計シート!$M$134:$M$153,$G498,月間集計シート!P$134:P$153)*AU$2</f>
        <v>0</v>
      </c>
      <c r="AV498" s="88">
        <f>SUMIF(月間集計シート!$M$134:$M$153,$G498,月間集計シート!Q$134:Q$153)*AV$2</f>
        <v>0</v>
      </c>
      <c r="AW498" s="88">
        <f>SUMIF(月間集計シート!$M$134:$M$153,$G498,月間集計シート!R$134:R$153)*AW$2</f>
        <v>0</v>
      </c>
      <c r="AX498" s="88">
        <f>SUMIF(月間集計シート!$M$134:$M$153,$G498,月間集計シート!S$134:S$153)*AX$2</f>
        <v>0</v>
      </c>
      <c r="AY498" s="88">
        <f>SUMIF(月間集計シート!$M$134:$M$153,$G498,月間集計シート!T$134:T$153)*AY$2</f>
        <v>0</v>
      </c>
    </row>
    <row r="499" spans="1:51" ht="14.25" thickBot="1">
      <c r="A499">
        <v>6</v>
      </c>
      <c r="B499" s="120">
        <f t="shared" si="238"/>
        <v>0</v>
      </c>
      <c r="C499" s="120" t="str">
        <f t="shared" si="239"/>
        <v/>
      </c>
      <c r="D499" s="137"/>
      <c r="E499" s="150" t="str">
        <f>工種!A66</f>
        <v>80199</v>
      </c>
      <c r="F499" s="119" t="str">
        <f>工種!B66</f>
        <v>保守／ｻﾎﾟｰﾄ：その他</v>
      </c>
      <c r="G499" s="116" t="str">
        <f t="shared" si="241"/>
        <v>080199</v>
      </c>
      <c r="H499" s="88">
        <f t="shared" si="243"/>
        <v>0</v>
      </c>
      <c r="I499" s="132"/>
      <c r="J499" s="88">
        <f>SUMIF(月間集計シート!$M$29:$M$48,$G499,月間集計シート!N$29:N$48)*J$2</f>
        <v>0</v>
      </c>
      <c r="K499" s="88">
        <f>SUMIF(月間集計シート!$M$29:$M$48,$G499,月間集計シート!O$29:O$48)*K$2</f>
        <v>0</v>
      </c>
      <c r="L499" s="88">
        <f>SUMIF(月間集計シート!$M$29:$M$48,$G499,月間集計シート!P$29:P$48)*L$2</f>
        <v>0</v>
      </c>
      <c r="M499" s="88">
        <f>SUMIF(月間集計シート!$M$29:$M$48,$G499,月間集計シート!Q$29:Q$48)*M$2</f>
        <v>0</v>
      </c>
      <c r="N499" s="88">
        <f>SUMIF(月間集計シート!$M$29:$M$48,$G499,月間集計シート!R$29:R$48)*N$2</f>
        <v>0</v>
      </c>
      <c r="O499" s="88">
        <f>SUMIF(月間集計シート!$M$29:$M$48,$G499,月間集計シート!S$29:S$48)*O$2</f>
        <v>0</v>
      </c>
      <c r="P499" s="88">
        <f>SUMIF(月間集計シート!$M$29:$M$48,$G499,月間集計シート!T$29:T$48)*P$2</f>
        <v>0</v>
      </c>
      <c r="Q499" s="88">
        <f>SUMIF(月間集計シート!$M$50:$M$69,$G499,月間集計シート!N$50:N$69)*Q$2</f>
        <v>0</v>
      </c>
      <c r="R499" s="88">
        <f>SUMIF(月間集計シート!$M$50:$M$69,$G499,月間集計シート!O$50:O$69)*R$2</f>
        <v>0</v>
      </c>
      <c r="S499" s="88">
        <f>SUMIF(月間集計シート!$M$50:$M$69,$G499,月間集計シート!P$50:P$69)*S$2</f>
        <v>0</v>
      </c>
      <c r="T499" s="88">
        <f>SUMIF(月間集計シート!$M$50:$M$69,$G499,月間集計シート!Q$50:Q$69)*T$2</f>
        <v>0</v>
      </c>
      <c r="U499" s="88">
        <f>SUMIF(月間集計シート!$M$50:$M$69,$G499,月間集計シート!R$50:R$69)*U$2</f>
        <v>0</v>
      </c>
      <c r="V499" s="88">
        <f>SUMIF(月間集計シート!$M$50:$M$69,$G499,月間集計シート!S$50:S$69)*V$2</f>
        <v>0</v>
      </c>
      <c r="W499" s="88">
        <f>SUMIF(月間集計シート!$M$50:$M$69,$G499,月間集計シート!T$50:T$69)*W$2</f>
        <v>0</v>
      </c>
      <c r="X499" s="88">
        <f>SUMIF(月間集計シート!$M$71:$M$90,$G499,月間集計シート!N$71:N$90)*X$2</f>
        <v>0</v>
      </c>
      <c r="Y499" s="88">
        <f>SUMIF(月間集計シート!$M$71:$M$90,$G499,月間集計シート!O$71:O$90)*Y$2</f>
        <v>0</v>
      </c>
      <c r="Z499" s="88">
        <f>SUMIF(月間集計シート!$M$71:$M$90,$G499,月間集計シート!P$71:P$90)*Z$2</f>
        <v>0</v>
      </c>
      <c r="AA499" s="88">
        <f>SUMIF(月間集計シート!$M$71:$M$90,$G499,月間集計シート!Q$71:Q$90)*AA$2</f>
        <v>0</v>
      </c>
      <c r="AB499" s="88">
        <f>SUMIF(月間集計シート!$M$71:$M$90,$G499,月間集計シート!R$71:R$90)*AB$2</f>
        <v>0</v>
      </c>
      <c r="AC499" s="88">
        <f>SUMIF(月間集計シート!$M$71:$M$90,$G499,月間集計シート!S$71:S$90)*AC$2</f>
        <v>0</v>
      </c>
      <c r="AD499" s="88">
        <f>SUMIF(月間集計シート!$M$71:$M$90,$G499,月間集計シート!T$71:T$90)*AD$2</f>
        <v>0</v>
      </c>
      <c r="AE499" s="88">
        <f>SUMIF(月間集計シート!$M$92:$M$111,$G499,月間集計シート!N$92:N$111)*AE$2</f>
        <v>0</v>
      </c>
      <c r="AF499" s="88">
        <f>SUMIF(月間集計シート!$M$92:$M$111,$G499,月間集計シート!O$92:O$111)*AF$2</f>
        <v>0</v>
      </c>
      <c r="AG499" s="88">
        <f>SUMIF(月間集計シート!$M$92:$M$111,$G499,月間集計シート!P$92:P$111)*AG$2</f>
        <v>0</v>
      </c>
      <c r="AH499" s="88">
        <f>SUMIF(月間集計シート!$M$92:$M$111,$G499,月間集計シート!Q$92:Q$111)*AH$2</f>
        <v>0</v>
      </c>
      <c r="AI499" s="88">
        <f>SUMIF(月間集計シート!$M$92:$M$111,$G499,月間集計シート!R$92:R$111)*AI$2</f>
        <v>0</v>
      </c>
      <c r="AJ499" s="88">
        <f>SUMIF(月間集計シート!$M$92:$M$111,$G499,月間集計シート!S$92:S$111)*AJ$2</f>
        <v>0</v>
      </c>
      <c r="AK499" s="88">
        <f>SUMIF(月間集計シート!$M$92:$M$111,$G499,月間集計シート!T$92:T$111)*AK$2</f>
        <v>0</v>
      </c>
      <c r="AL499" s="88">
        <f>SUMIF(月間集計シート!$M$113:$M$132,$G499,月間集計シート!N$113:N$132)*AL$2</f>
        <v>0</v>
      </c>
      <c r="AM499" s="88">
        <f>SUMIF(月間集計シート!$M$113:$M$132,$G499,月間集計シート!O$113:O$132)*AM$2</f>
        <v>0</v>
      </c>
      <c r="AN499" s="88">
        <f>SUMIF(月間集計シート!$M$113:$M$132,$G499,月間集計シート!P$113:P$132)*AN$2</f>
        <v>0</v>
      </c>
      <c r="AO499" s="88">
        <f>SUMIF(月間集計シート!$M$113:$M$132,$G499,月間集計シート!Q$113:Q$132)*AO$2</f>
        <v>0</v>
      </c>
      <c r="AP499" s="88">
        <f>SUMIF(月間集計シート!$M$113:$M$132,$G499,月間集計シート!R$113:R$132)*AP$2</f>
        <v>0</v>
      </c>
      <c r="AQ499" s="88">
        <f>SUMIF(月間集計シート!$M$113:$M$132,$G499,月間集計シート!S$113:S$132)*AQ$2</f>
        <v>0</v>
      </c>
      <c r="AR499" s="88">
        <f>SUMIF(月間集計シート!$M$113:$M$132,$G499,月間集計シート!T$113:T$132)*AR$2</f>
        <v>0</v>
      </c>
      <c r="AS499" s="88">
        <f>SUMIF(月間集計シート!$M$134:$M$153,$G499,月間集計シート!N$134:N$153)*AS$2</f>
        <v>0</v>
      </c>
      <c r="AT499" s="88">
        <f>SUMIF(月間集計シート!$M$134:$M$153,$G499,月間集計シート!O$134:O$153)*AT$2</f>
        <v>0</v>
      </c>
      <c r="AU499" s="88">
        <f>SUMIF(月間集計シート!$M$134:$M$153,$G499,月間集計シート!P$134:P$153)*AU$2</f>
        <v>0</v>
      </c>
      <c r="AV499" s="88">
        <f>SUMIF(月間集計シート!$M$134:$M$153,$G499,月間集計シート!Q$134:Q$153)*AV$2</f>
        <v>0</v>
      </c>
      <c r="AW499" s="88">
        <f>SUMIF(月間集計シート!$M$134:$M$153,$G499,月間集計シート!R$134:R$153)*AW$2</f>
        <v>0</v>
      </c>
      <c r="AX499" s="88">
        <f>SUMIF(月間集計シート!$M$134:$M$153,$G499,月間集計シート!S$134:S$153)*AX$2</f>
        <v>0</v>
      </c>
      <c r="AY499" s="88">
        <f>SUMIF(月間集計シート!$M$134:$M$153,$G499,月間集計シート!T$134:T$153)*AY$2</f>
        <v>0</v>
      </c>
    </row>
    <row r="500" spans="1:51" ht="14.25" thickBot="1">
      <c r="A500">
        <v>6</v>
      </c>
      <c r="B500" s="120">
        <f t="shared" ref="B500:C516" si="244">B499</f>
        <v>0</v>
      </c>
      <c r="C500" s="120" t="str">
        <f t="shared" si="244"/>
        <v/>
      </c>
      <c r="D500" s="137"/>
      <c r="E500" s="150" t="str">
        <f>工種!A67</f>
        <v>90101</v>
      </c>
      <c r="F500" s="119" t="str">
        <f>工種!B67</f>
        <v>管理業務：ﾌﾟﾛｼﾞｪｸﾄ管理</v>
      </c>
      <c r="G500" s="116" t="str">
        <f t="shared" si="241"/>
        <v>090101</v>
      </c>
      <c r="H500" s="88">
        <f t="shared" si="243"/>
        <v>0</v>
      </c>
      <c r="I500" s="132"/>
      <c r="J500" s="88">
        <f>SUMIF(月間集計シート!$M$29:$M$48,$G500,月間集計シート!N$29:N$48)*J$2</f>
        <v>0</v>
      </c>
      <c r="K500" s="88">
        <f>SUMIF(月間集計シート!$M$29:$M$48,$G500,月間集計シート!O$29:O$48)*K$2</f>
        <v>0</v>
      </c>
      <c r="L500" s="88">
        <f>SUMIF(月間集計シート!$M$29:$M$48,$G500,月間集計シート!P$29:P$48)*L$2</f>
        <v>0</v>
      </c>
      <c r="M500" s="88">
        <f>SUMIF(月間集計シート!$M$29:$M$48,$G500,月間集計シート!Q$29:Q$48)*M$2</f>
        <v>0</v>
      </c>
      <c r="N500" s="88">
        <f>SUMIF(月間集計シート!$M$29:$M$48,$G500,月間集計シート!R$29:R$48)*N$2</f>
        <v>0</v>
      </c>
      <c r="O500" s="88">
        <f>SUMIF(月間集計シート!$M$29:$M$48,$G500,月間集計シート!S$29:S$48)*O$2</f>
        <v>0</v>
      </c>
      <c r="P500" s="88">
        <f>SUMIF(月間集計シート!$M$29:$M$48,$G500,月間集計シート!T$29:T$48)*P$2</f>
        <v>0</v>
      </c>
      <c r="Q500" s="88">
        <f>SUMIF(月間集計シート!$M$50:$M$69,$G500,月間集計シート!N$50:N$69)*Q$2</f>
        <v>0</v>
      </c>
      <c r="R500" s="88">
        <f>SUMIF(月間集計シート!$M$50:$M$69,$G500,月間集計シート!O$50:O$69)*R$2</f>
        <v>0</v>
      </c>
      <c r="S500" s="88">
        <f>SUMIF(月間集計シート!$M$50:$M$69,$G500,月間集計シート!P$50:P$69)*S$2</f>
        <v>0</v>
      </c>
      <c r="T500" s="88">
        <f>SUMIF(月間集計シート!$M$50:$M$69,$G500,月間集計シート!Q$50:Q$69)*T$2</f>
        <v>0</v>
      </c>
      <c r="U500" s="88">
        <f>SUMIF(月間集計シート!$M$50:$M$69,$G500,月間集計シート!R$50:R$69)*U$2</f>
        <v>0</v>
      </c>
      <c r="V500" s="88">
        <f>SUMIF(月間集計シート!$M$50:$M$69,$G500,月間集計シート!S$50:S$69)*V$2</f>
        <v>0</v>
      </c>
      <c r="W500" s="88">
        <f>SUMIF(月間集計シート!$M$50:$M$69,$G500,月間集計シート!T$50:T$69)*W$2</f>
        <v>0</v>
      </c>
      <c r="X500" s="88">
        <f>SUMIF(月間集計シート!$M$71:$M$90,$G500,月間集計シート!N$71:N$90)*X$2</f>
        <v>0</v>
      </c>
      <c r="Y500" s="88">
        <f>SUMIF(月間集計シート!$M$71:$M$90,$G500,月間集計シート!O$71:O$90)*Y$2</f>
        <v>0</v>
      </c>
      <c r="Z500" s="88">
        <f>SUMIF(月間集計シート!$M$71:$M$90,$G500,月間集計シート!P$71:P$90)*Z$2</f>
        <v>0</v>
      </c>
      <c r="AA500" s="88">
        <f>SUMIF(月間集計シート!$M$71:$M$90,$G500,月間集計シート!Q$71:Q$90)*AA$2</f>
        <v>0</v>
      </c>
      <c r="AB500" s="88">
        <f>SUMIF(月間集計シート!$M$71:$M$90,$G500,月間集計シート!R$71:R$90)*AB$2</f>
        <v>0</v>
      </c>
      <c r="AC500" s="88">
        <f>SUMIF(月間集計シート!$M$71:$M$90,$G500,月間集計シート!S$71:S$90)*AC$2</f>
        <v>0</v>
      </c>
      <c r="AD500" s="88">
        <f>SUMIF(月間集計シート!$M$71:$M$90,$G500,月間集計シート!T$71:T$90)*AD$2</f>
        <v>0</v>
      </c>
      <c r="AE500" s="88">
        <f>SUMIF(月間集計シート!$M$92:$M$111,$G500,月間集計シート!N$92:N$111)*AE$2</f>
        <v>0</v>
      </c>
      <c r="AF500" s="88">
        <f>SUMIF(月間集計シート!$M$92:$M$111,$G500,月間集計シート!O$92:O$111)*AF$2</f>
        <v>0</v>
      </c>
      <c r="AG500" s="88">
        <f>SUMIF(月間集計シート!$M$92:$M$111,$G500,月間集計シート!P$92:P$111)*AG$2</f>
        <v>0</v>
      </c>
      <c r="AH500" s="88">
        <f>SUMIF(月間集計シート!$M$92:$M$111,$G500,月間集計シート!Q$92:Q$111)*AH$2</f>
        <v>0</v>
      </c>
      <c r="AI500" s="88">
        <f>SUMIF(月間集計シート!$M$92:$M$111,$G500,月間集計シート!R$92:R$111)*AI$2</f>
        <v>0</v>
      </c>
      <c r="AJ500" s="88">
        <f>SUMIF(月間集計シート!$M$92:$M$111,$G500,月間集計シート!S$92:S$111)*AJ$2</f>
        <v>0</v>
      </c>
      <c r="AK500" s="88">
        <f>SUMIF(月間集計シート!$M$92:$M$111,$G500,月間集計シート!T$92:T$111)*AK$2</f>
        <v>0</v>
      </c>
      <c r="AL500" s="88">
        <f>SUMIF(月間集計シート!$M$113:$M$132,$G500,月間集計シート!N$113:N$132)*AL$2</f>
        <v>0</v>
      </c>
      <c r="AM500" s="88">
        <f>SUMIF(月間集計シート!$M$113:$M$132,$G500,月間集計シート!O$113:O$132)*AM$2</f>
        <v>0</v>
      </c>
      <c r="AN500" s="88">
        <f>SUMIF(月間集計シート!$M$113:$M$132,$G500,月間集計シート!P$113:P$132)*AN$2</f>
        <v>0</v>
      </c>
      <c r="AO500" s="88">
        <f>SUMIF(月間集計シート!$M$113:$M$132,$G500,月間集計シート!Q$113:Q$132)*AO$2</f>
        <v>0</v>
      </c>
      <c r="AP500" s="88">
        <f>SUMIF(月間集計シート!$M$113:$M$132,$G500,月間集計シート!R$113:R$132)*AP$2</f>
        <v>0</v>
      </c>
      <c r="AQ500" s="88">
        <f>SUMIF(月間集計シート!$M$113:$M$132,$G500,月間集計シート!S$113:S$132)*AQ$2</f>
        <v>0</v>
      </c>
      <c r="AR500" s="88">
        <f>SUMIF(月間集計シート!$M$113:$M$132,$G500,月間集計シート!T$113:T$132)*AR$2</f>
        <v>0</v>
      </c>
      <c r="AS500" s="88">
        <f>SUMIF(月間集計シート!$M$134:$M$153,$G500,月間集計シート!N$134:N$153)*AS$2</f>
        <v>0</v>
      </c>
      <c r="AT500" s="88">
        <f>SUMIF(月間集計シート!$M$134:$M$153,$G500,月間集計シート!O$134:O$153)*AT$2</f>
        <v>0</v>
      </c>
      <c r="AU500" s="88">
        <f>SUMIF(月間集計シート!$M$134:$M$153,$G500,月間集計シート!P$134:P$153)*AU$2</f>
        <v>0</v>
      </c>
      <c r="AV500" s="88">
        <f>SUMIF(月間集計シート!$M$134:$M$153,$G500,月間集計シート!Q$134:Q$153)*AV$2</f>
        <v>0</v>
      </c>
      <c r="AW500" s="88">
        <f>SUMIF(月間集計シート!$M$134:$M$153,$G500,月間集計シート!R$134:R$153)*AW$2</f>
        <v>0</v>
      </c>
      <c r="AX500" s="88">
        <f>SUMIF(月間集計シート!$M$134:$M$153,$G500,月間集計シート!S$134:S$153)*AX$2</f>
        <v>0</v>
      </c>
      <c r="AY500" s="88">
        <f>SUMIF(月間集計シート!$M$134:$M$153,$G500,月間集計シート!T$134:T$153)*AY$2</f>
        <v>0</v>
      </c>
    </row>
    <row r="501" spans="1:51" ht="14.25" thickBot="1">
      <c r="A501">
        <v>6</v>
      </c>
      <c r="B501" s="120">
        <f t="shared" si="244"/>
        <v>0</v>
      </c>
      <c r="C501" s="120" t="str">
        <f t="shared" si="244"/>
        <v/>
      </c>
      <c r="D501" s="137"/>
      <c r="E501" s="150" t="str">
        <f>工種!A68</f>
        <v>90102</v>
      </c>
      <c r="F501" s="119" t="str">
        <f>工種!B68</f>
        <v>管理業務：開発環境管理</v>
      </c>
      <c r="G501" s="116" t="str">
        <f t="shared" si="241"/>
        <v>090102</v>
      </c>
      <c r="H501" s="88">
        <f t="shared" si="243"/>
        <v>0</v>
      </c>
      <c r="I501" s="132"/>
      <c r="J501" s="88">
        <f>SUMIF(月間集計シート!$M$29:$M$48,$G501,月間集計シート!N$29:N$48)*J$2</f>
        <v>0</v>
      </c>
      <c r="K501" s="88">
        <f>SUMIF(月間集計シート!$M$29:$M$48,$G501,月間集計シート!O$29:O$48)*K$2</f>
        <v>0</v>
      </c>
      <c r="L501" s="88">
        <f>SUMIF(月間集計シート!$M$29:$M$48,$G501,月間集計シート!P$29:P$48)*L$2</f>
        <v>0</v>
      </c>
      <c r="M501" s="88">
        <f>SUMIF(月間集計シート!$M$29:$M$48,$G501,月間集計シート!Q$29:Q$48)*M$2</f>
        <v>0</v>
      </c>
      <c r="N501" s="88">
        <f>SUMIF(月間集計シート!$M$29:$M$48,$G501,月間集計シート!R$29:R$48)*N$2</f>
        <v>0</v>
      </c>
      <c r="O501" s="88">
        <f>SUMIF(月間集計シート!$M$29:$M$48,$G501,月間集計シート!S$29:S$48)*O$2</f>
        <v>0</v>
      </c>
      <c r="P501" s="88">
        <f>SUMIF(月間集計シート!$M$29:$M$48,$G501,月間集計シート!T$29:T$48)*P$2</f>
        <v>0</v>
      </c>
      <c r="Q501" s="88">
        <f>SUMIF(月間集計シート!$M$50:$M$69,$G501,月間集計シート!N$50:N$69)*Q$2</f>
        <v>0</v>
      </c>
      <c r="R501" s="88">
        <f>SUMIF(月間集計シート!$M$50:$M$69,$G501,月間集計シート!O$50:O$69)*R$2</f>
        <v>0</v>
      </c>
      <c r="S501" s="88">
        <f>SUMIF(月間集計シート!$M$50:$M$69,$G501,月間集計シート!P$50:P$69)*S$2</f>
        <v>0</v>
      </c>
      <c r="T501" s="88">
        <f>SUMIF(月間集計シート!$M$50:$M$69,$G501,月間集計シート!Q$50:Q$69)*T$2</f>
        <v>0</v>
      </c>
      <c r="U501" s="88">
        <f>SUMIF(月間集計シート!$M$50:$M$69,$G501,月間集計シート!R$50:R$69)*U$2</f>
        <v>0</v>
      </c>
      <c r="V501" s="88">
        <f>SUMIF(月間集計シート!$M$50:$M$69,$G501,月間集計シート!S$50:S$69)*V$2</f>
        <v>0</v>
      </c>
      <c r="W501" s="88">
        <f>SUMIF(月間集計シート!$M$50:$M$69,$G501,月間集計シート!T$50:T$69)*W$2</f>
        <v>0</v>
      </c>
      <c r="X501" s="88">
        <f>SUMIF(月間集計シート!$M$71:$M$90,$G501,月間集計シート!N$71:N$90)*X$2</f>
        <v>0</v>
      </c>
      <c r="Y501" s="88">
        <f>SUMIF(月間集計シート!$M$71:$M$90,$G501,月間集計シート!O$71:O$90)*Y$2</f>
        <v>0</v>
      </c>
      <c r="Z501" s="88">
        <f>SUMIF(月間集計シート!$M$71:$M$90,$G501,月間集計シート!P$71:P$90)*Z$2</f>
        <v>0</v>
      </c>
      <c r="AA501" s="88">
        <f>SUMIF(月間集計シート!$M$71:$M$90,$G501,月間集計シート!Q$71:Q$90)*AA$2</f>
        <v>0</v>
      </c>
      <c r="AB501" s="88">
        <f>SUMIF(月間集計シート!$M$71:$M$90,$G501,月間集計シート!R$71:R$90)*AB$2</f>
        <v>0</v>
      </c>
      <c r="AC501" s="88">
        <f>SUMIF(月間集計シート!$M$71:$M$90,$G501,月間集計シート!S$71:S$90)*AC$2</f>
        <v>0</v>
      </c>
      <c r="AD501" s="88">
        <f>SUMIF(月間集計シート!$M$71:$M$90,$G501,月間集計シート!T$71:T$90)*AD$2</f>
        <v>0</v>
      </c>
      <c r="AE501" s="88">
        <f>SUMIF(月間集計シート!$M$92:$M$111,$G501,月間集計シート!N$92:N$111)*AE$2</f>
        <v>0</v>
      </c>
      <c r="AF501" s="88">
        <f>SUMIF(月間集計シート!$M$92:$M$111,$G501,月間集計シート!O$92:O$111)*AF$2</f>
        <v>0</v>
      </c>
      <c r="AG501" s="88">
        <f>SUMIF(月間集計シート!$M$92:$M$111,$G501,月間集計シート!P$92:P$111)*AG$2</f>
        <v>0</v>
      </c>
      <c r="AH501" s="88">
        <f>SUMIF(月間集計シート!$M$92:$M$111,$G501,月間集計シート!Q$92:Q$111)*AH$2</f>
        <v>0</v>
      </c>
      <c r="AI501" s="88">
        <f>SUMIF(月間集計シート!$M$92:$M$111,$G501,月間集計シート!R$92:R$111)*AI$2</f>
        <v>0</v>
      </c>
      <c r="AJ501" s="88">
        <f>SUMIF(月間集計シート!$M$92:$M$111,$G501,月間集計シート!S$92:S$111)*AJ$2</f>
        <v>0</v>
      </c>
      <c r="AK501" s="88">
        <f>SUMIF(月間集計シート!$M$92:$M$111,$G501,月間集計シート!T$92:T$111)*AK$2</f>
        <v>0</v>
      </c>
      <c r="AL501" s="88">
        <f>SUMIF(月間集計シート!$M$113:$M$132,$G501,月間集計シート!N$113:N$132)*AL$2</f>
        <v>0</v>
      </c>
      <c r="AM501" s="88">
        <f>SUMIF(月間集計シート!$M$113:$M$132,$G501,月間集計シート!O$113:O$132)*AM$2</f>
        <v>0</v>
      </c>
      <c r="AN501" s="88">
        <f>SUMIF(月間集計シート!$M$113:$M$132,$G501,月間集計シート!P$113:P$132)*AN$2</f>
        <v>0</v>
      </c>
      <c r="AO501" s="88">
        <f>SUMIF(月間集計シート!$M$113:$M$132,$G501,月間集計シート!Q$113:Q$132)*AO$2</f>
        <v>0</v>
      </c>
      <c r="AP501" s="88">
        <f>SUMIF(月間集計シート!$M$113:$M$132,$G501,月間集計シート!R$113:R$132)*AP$2</f>
        <v>0</v>
      </c>
      <c r="AQ501" s="88">
        <f>SUMIF(月間集計シート!$M$113:$M$132,$G501,月間集計シート!S$113:S$132)*AQ$2</f>
        <v>0</v>
      </c>
      <c r="AR501" s="88">
        <f>SUMIF(月間集計シート!$M$113:$M$132,$G501,月間集計シート!T$113:T$132)*AR$2</f>
        <v>0</v>
      </c>
      <c r="AS501" s="88">
        <f>SUMIF(月間集計シート!$M$134:$M$153,$G501,月間集計シート!N$134:N$153)*AS$2</f>
        <v>0</v>
      </c>
      <c r="AT501" s="88">
        <f>SUMIF(月間集計シート!$M$134:$M$153,$G501,月間集計シート!O$134:O$153)*AT$2</f>
        <v>0</v>
      </c>
      <c r="AU501" s="88">
        <f>SUMIF(月間集計シート!$M$134:$M$153,$G501,月間集計シート!P$134:P$153)*AU$2</f>
        <v>0</v>
      </c>
      <c r="AV501" s="88">
        <f>SUMIF(月間集計シート!$M$134:$M$153,$G501,月間集計シート!Q$134:Q$153)*AV$2</f>
        <v>0</v>
      </c>
      <c r="AW501" s="88">
        <f>SUMIF(月間集計シート!$M$134:$M$153,$G501,月間集計シート!R$134:R$153)*AW$2</f>
        <v>0</v>
      </c>
      <c r="AX501" s="88">
        <f>SUMIF(月間集計シート!$M$134:$M$153,$G501,月間集計シート!S$134:S$153)*AX$2</f>
        <v>0</v>
      </c>
      <c r="AY501" s="88">
        <f>SUMIF(月間集計シート!$M$134:$M$153,$G501,月間集計シート!T$134:T$153)*AY$2</f>
        <v>0</v>
      </c>
    </row>
    <row r="502" spans="1:51" ht="14.25" thickBot="1">
      <c r="A502">
        <v>6</v>
      </c>
      <c r="B502" s="120">
        <f t="shared" si="244"/>
        <v>0</v>
      </c>
      <c r="C502" s="120" t="str">
        <f t="shared" si="244"/>
        <v/>
      </c>
      <c r="D502" s="137"/>
      <c r="E502" s="150" t="str">
        <f>工種!A69</f>
        <v>90103</v>
      </c>
      <c r="F502" s="119" t="str">
        <f>工種!B69</f>
        <v>管理業務：標準化・開発業務改善作業</v>
      </c>
      <c r="G502" s="116" t="str">
        <f t="shared" si="241"/>
        <v>090103</v>
      </c>
      <c r="H502" s="88">
        <f t="shared" si="243"/>
        <v>0</v>
      </c>
      <c r="I502" s="132"/>
      <c r="J502" s="88">
        <f>SUMIF(月間集計シート!$M$29:$M$48,$G502,月間集計シート!N$29:N$48)*J$2</f>
        <v>0</v>
      </c>
      <c r="K502" s="88">
        <f>SUMIF(月間集計シート!$M$29:$M$48,$G502,月間集計シート!O$29:O$48)*K$2</f>
        <v>0</v>
      </c>
      <c r="L502" s="88">
        <f>SUMIF(月間集計シート!$M$29:$M$48,$G502,月間集計シート!P$29:P$48)*L$2</f>
        <v>0</v>
      </c>
      <c r="M502" s="88">
        <f>SUMIF(月間集計シート!$M$29:$M$48,$G502,月間集計シート!Q$29:Q$48)*M$2</f>
        <v>0</v>
      </c>
      <c r="N502" s="88">
        <f>SUMIF(月間集計シート!$M$29:$M$48,$G502,月間集計シート!R$29:R$48)*N$2</f>
        <v>0</v>
      </c>
      <c r="O502" s="88">
        <f>SUMIF(月間集計シート!$M$29:$M$48,$G502,月間集計シート!S$29:S$48)*O$2</f>
        <v>0</v>
      </c>
      <c r="P502" s="88">
        <f>SUMIF(月間集計シート!$M$29:$M$48,$G502,月間集計シート!T$29:T$48)*P$2</f>
        <v>0</v>
      </c>
      <c r="Q502" s="88">
        <f>SUMIF(月間集計シート!$M$50:$M$69,$G502,月間集計シート!N$50:N$69)*Q$2</f>
        <v>0</v>
      </c>
      <c r="R502" s="88">
        <f>SUMIF(月間集計シート!$M$50:$M$69,$G502,月間集計シート!O$50:O$69)*R$2</f>
        <v>0</v>
      </c>
      <c r="S502" s="88">
        <f>SUMIF(月間集計シート!$M$50:$M$69,$G502,月間集計シート!P$50:P$69)*S$2</f>
        <v>0</v>
      </c>
      <c r="T502" s="88">
        <f>SUMIF(月間集計シート!$M$50:$M$69,$G502,月間集計シート!Q$50:Q$69)*T$2</f>
        <v>0</v>
      </c>
      <c r="U502" s="88">
        <f>SUMIF(月間集計シート!$M$50:$M$69,$G502,月間集計シート!R$50:R$69)*U$2</f>
        <v>0</v>
      </c>
      <c r="V502" s="88">
        <f>SUMIF(月間集計シート!$M$50:$M$69,$G502,月間集計シート!S$50:S$69)*V$2</f>
        <v>0</v>
      </c>
      <c r="W502" s="88">
        <f>SUMIF(月間集計シート!$M$50:$M$69,$G502,月間集計シート!T$50:T$69)*W$2</f>
        <v>0</v>
      </c>
      <c r="X502" s="88">
        <f>SUMIF(月間集計シート!$M$71:$M$90,$G502,月間集計シート!N$71:N$90)*X$2</f>
        <v>0</v>
      </c>
      <c r="Y502" s="88">
        <f>SUMIF(月間集計シート!$M$71:$M$90,$G502,月間集計シート!O$71:O$90)*Y$2</f>
        <v>0</v>
      </c>
      <c r="Z502" s="88">
        <f>SUMIF(月間集計シート!$M$71:$M$90,$G502,月間集計シート!P$71:P$90)*Z$2</f>
        <v>0</v>
      </c>
      <c r="AA502" s="88">
        <f>SUMIF(月間集計シート!$M$71:$M$90,$G502,月間集計シート!Q$71:Q$90)*AA$2</f>
        <v>0</v>
      </c>
      <c r="AB502" s="88">
        <f>SUMIF(月間集計シート!$M$71:$M$90,$G502,月間集計シート!R$71:R$90)*AB$2</f>
        <v>0</v>
      </c>
      <c r="AC502" s="88">
        <f>SUMIF(月間集計シート!$M$71:$M$90,$G502,月間集計シート!S$71:S$90)*AC$2</f>
        <v>0</v>
      </c>
      <c r="AD502" s="88">
        <f>SUMIF(月間集計シート!$M$71:$M$90,$G502,月間集計シート!T$71:T$90)*AD$2</f>
        <v>0</v>
      </c>
      <c r="AE502" s="88">
        <f>SUMIF(月間集計シート!$M$92:$M$111,$G502,月間集計シート!N$92:N$111)*AE$2</f>
        <v>0</v>
      </c>
      <c r="AF502" s="88">
        <f>SUMIF(月間集計シート!$M$92:$M$111,$G502,月間集計シート!O$92:O$111)*AF$2</f>
        <v>0</v>
      </c>
      <c r="AG502" s="88">
        <f>SUMIF(月間集計シート!$M$92:$M$111,$G502,月間集計シート!P$92:P$111)*AG$2</f>
        <v>0</v>
      </c>
      <c r="AH502" s="88">
        <f>SUMIF(月間集計シート!$M$92:$M$111,$G502,月間集計シート!Q$92:Q$111)*AH$2</f>
        <v>0</v>
      </c>
      <c r="AI502" s="88">
        <f>SUMIF(月間集計シート!$M$92:$M$111,$G502,月間集計シート!R$92:R$111)*AI$2</f>
        <v>0</v>
      </c>
      <c r="AJ502" s="88">
        <f>SUMIF(月間集計シート!$M$92:$M$111,$G502,月間集計シート!S$92:S$111)*AJ$2</f>
        <v>0</v>
      </c>
      <c r="AK502" s="88">
        <f>SUMIF(月間集計シート!$M$92:$M$111,$G502,月間集計シート!T$92:T$111)*AK$2</f>
        <v>0</v>
      </c>
      <c r="AL502" s="88">
        <f>SUMIF(月間集計シート!$M$113:$M$132,$G502,月間集計シート!N$113:N$132)*AL$2</f>
        <v>0</v>
      </c>
      <c r="AM502" s="88">
        <f>SUMIF(月間集計シート!$M$113:$M$132,$G502,月間集計シート!O$113:O$132)*AM$2</f>
        <v>0</v>
      </c>
      <c r="AN502" s="88">
        <f>SUMIF(月間集計シート!$M$113:$M$132,$G502,月間集計シート!P$113:P$132)*AN$2</f>
        <v>0</v>
      </c>
      <c r="AO502" s="88">
        <f>SUMIF(月間集計シート!$M$113:$M$132,$G502,月間集計シート!Q$113:Q$132)*AO$2</f>
        <v>0</v>
      </c>
      <c r="AP502" s="88">
        <f>SUMIF(月間集計シート!$M$113:$M$132,$G502,月間集計シート!R$113:R$132)*AP$2</f>
        <v>0</v>
      </c>
      <c r="AQ502" s="88">
        <f>SUMIF(月間集計シート!$M$113:$M$132,$G502,月間集計シート!S$113:S$132)*AQ$2</f>
        <v>0</v>
      </c>
      <c r="AR502" s="88">
        <f>SUMIF(月間集計シート!$M$113:$M$132,$G502,月間集計シート!T$113:T$132)*AR$2</f>
        <v>0</v>
      </c>
      <c r="AS502" s="88">
        <f>SUMIF(月間集計シート!$M$134:$M$153,$G502,月間集計シート!N$134:N$153)*AS$2</f>
        <v>0</v>
      </c>
      <c r="AT502" s="88">
        <f>SUMIF(月間集計シート!$M$134:$M$153,$G502,月間集計シート!O$134:O$153)*AT$2</f>
        <v>0</v>
      </c>
      <c r="AU502" s="88">
        <f>SUMIF(月間集計シート!$M$134:$M$153,$G502,月間集計シート!P$134:P$153)*AU$2</f>
        <v>0</v>
      </c>
      <c r="AV502" s="88">
        <f>SUMIF(月間集計シート!$M$134:$M$153,$G502,月間集計シート!Q$134:Q$153)*AV$2</f>
        <v>0</v>
      </c>
      <c r="AW502" s="88">
        <f>SUMIF(月間集計シート!$M$134:$M$153,$G502,月間集計シート!R$134:R$153)*AW$2</f>
        <v>0</v>
      </c>
      <c r="AX502" s="88">
        <f>SUMIF(月間集計シート!$M$134:$M$153,$G502,月間集計シート!S$134:S$153)*AX$2</f>
        <v>0</v>
      </c>
      <c r="AY502" s="88">
        <f>SUMIF(月間集計シート!$M$134:$M$153,$G502,月間集計シート!T$134:T$153)*AY$2</f>
        <v>0</v>
      </c>
    </row>
    <row r="503" spans="1:51" ht="14.25" thickBot="1">
      <c r="A503">
        <v>6</v>
      </c>
      <c r="B503" s="120">
        <f t="shared" si="244"/>
        <v>0</v>
      </c>
      <c r="C503" s="120" t="str">
        <f t="shared" si="244"/>
        <v/>
      </c>
      <c r="D503" s="137"/>
      <c r="E503" s="150" t="str">
        <f>工種!A70</f>
        <v>90104</v>
      </c>
      <c r="F503" s="119" t="str">
        <f>工種!B70</f>
        <v>管理業務：開発業務の引継ぎ</v>
      </c>
      <c r="G503" s="116" t="str">
        <f t="shared" si="241"/>
        <v>090104</v>
      </c>
      <c r="H503" s="88">
        <f t="shared" si="243"/>
        <v>0</v>
      </c>
      <c r="I503" s="132"/>
      <c r="J503" s="88">
        <f>SUMIF(月間集計シート!$M$29:$M$48,$G503,月間集計シート!N$29:N$48)*J$2</f>
        <v>0</v>
      </c>
      <c r="K503" s="88">
        <f>SUMIF(月間集計シート!$M$29:$M$48,$G503,月間集計シート!O$29:O$48)*K$2</f>
        <v>0</v>
      </c>
      <c r="L503" s="88">
        <f>SUMIF(月間集計シート!$M$29:$M$48,$G503,月間集計シート!P$29:P$48)*L$2</f>
        <v>0</v>
      </c>
      <c r="M503" s="88">
        <f>SUMIF(月間集計シート!$M$29:$M$48,$G503,月間集計シート!Q$29:Q$48)*M$2</f>
        <v>0</v>
      </c>
      <c r="N503" s="88">
        <f>SUMIF(月間集計シート!$M$29:$M$48,$G503,月間集計シート!R$29:R$48)*N$2</f>
        <v>0</v>
      </c>
      <c r="O503" s="88">
        <f>SUMIF(月間集計シート!$M$29:$M$48,$G503,月間集計シート!S$29:S$48)*O$2</f>
        <v>0</v>
      </c>
      <c r="P503" s="88">
        <f>SUMIF(月間集計シート!$M$29:$M$48,$G503,月間集計シート!T$29:T$48)*P$2</f>
        <v>0</v>
      </c>
      <c r="Q503" s="88">
        <f>SUMIF(月間集計シート!$M$50:$M$69,$G503,月間集計シート!N$50:N$69)*Q$2</f>
        <v>0</v>
      </c>
      <c r="R503" s="88">
        <f>SUMIF(月間集計シート!$M$50:$M$69,$G503,月間集計シート!O$50:O$69)*R$2</f>
        <v>0</v>
      </c>
      <c r="S503" s="88">
        <f>SUMIF(月間集計シート!$M$50:$M$69,$G503,月間集計シート!P$50:P$69)*S$2</f>
        <v>0</v>
      </c>
      <c r="T503" s="88">
        <f>SUMIF(月間集計シート!$M$50:$M$69,$G503,月間集計シート!Q$50:Q$69)*T$2</f>
        <v>0</v>
      </c>
      <c r="U503" s="88">
        <f>SUMIF(月間集計シート!$M$50:$M$69,$G503,月間集計シート!R$50:R$69)*U$2</f>
        <v>0</v>
      </c>
      <c r="V503" s="88">
        <f>SUMIF(月間集計シート!$M$50:$M$69,$G503,月間集計シート!S$50:S$69)*V$2</f>
        <v>0</v>
      </c>
      <c r="W503" s="88">
        <f>SUMIF(月間集計シート!$M$50:$M$69,$G503,月間集計シート!T$50:T$69)*W$2</f>
        <v>0</v>
      </c>
      <c r="X503" s="88">
        <f>SUMIF(月間集計シート!$M$71:$M$90,$G503,月間集計シート!N$71:N$90)*X$2</f>
        <v>0</v>
      </c>
      <c r="Y503" s="88">
        <f>SUMIF(月間集計シート!$M$71:$M$90,$G503,月間集計シート!O$71:O$90)*Y$2</f>
        <v>0</v>
      </c>
      <c r="Z503" s="88">
        <f>SUMIF(月間集計シート!$M$71:$M$90,$G503,月間集計シート!P$71:P$90)*Z$2</f>
        <v>0</v>
      </c>
      <c r="AA503" s="88">
        <f>SUMIF(月間集計シート!$M$71:$M$90,$G503,月間集計シート!Q$71:Q$90)*AA$2</f>
        <v>0</v>
      </c>
      <c r="AB503" s="88">
        <f>SUMIF(月間集計シート!$M$71:$M$90,$G503,月間集計シート!R$71:R$90)*AB$2</f>
        <v>0</v>
      </c>
      <c r="AC503" s="88">
        <f>SUMIF(月間集計シート!$M$71:$M$90,$G503,月間集計シート!S$71:S$90)*AC$2</f>
        <v>0</v>
      </c>
      <c r="AD503" s="88">
        <f>SUMIF(月間集計シート!$M$71:$M$90,$G503,月間集計シート!T$71:T$90)*AD$2</f>
        <v>0</v>
      </c>
      <c r="AE503" s="88">
        <f>SUMIF(月間集計シート!$M$92:$M$111,$G503,月間集計シート!N$92:N$111)*AE$2</f>
        <v>0</v>
      </c>
      <c r="AF503" s="88">
        <f>SUMIF(月間集計シート!$M$92:$M$111,$G503,月間集計シート!O$92:O$111)*AF$2</f>
        <v>0</v>
      </c>
      <c r="AG503" s="88">
        <f>SUMIF(月間集計シート!$M$92:$M$111,$G503,月間集計シート!P$92:P$111)*AG$2</f>
        <v>0</v>
      </c>
      <c r="AH503" s="88">
        <f>SUMIF(月間集計シート!$M$92:$M$111,$G503,月間集計シート!Q$92:Q$111)*AH$2</f>
        <v>0</v>
      </c>
      <c r="AI503" s="88">
        <f>SUMIF(月間集計シート!$M$92:$M$111,$G503,月間集計シート!R$92:R$111)*AI$2</f>
        <v>0</v>
      </c>
      <c r="AJ503" s="88">
        <f>SUMIF(月間集計シート!$M$92:$M$111,$G503,月間集計シート!S$92:S$111)*AJ$2</f>
        <v>0</v>
      </c>
      <c r="AK503" s="88">
        <f>SUMIF(月間集計シート!$M$92:$M$111,$G503,月間集計シート!T$92:T$111)*AK$2</f>
        <v>0</v>
      </c>
      <c r="AL503" s="88">
        <f>SUMIF(月間集計シート!$M$113:$M$132,$G503,月間集計シート!N$113:N$132)*AL$2</f>
        <v>0</v>
      </c>
      <c r="AM503" s="88">
        <f>SUMIF(月間集計シート!$M$113:$M$132,$G503,月間集計シート!O$113:O$132)*AM$2</f>
        <v>0</v>
      </c>
      <c r="AN503" s="88">
        <f>SUMIF(月間集計シート!$M$113:$M$132,$G503,月間集計シート!P$113:P$132)*AN$2</f>
        <v>0</v>
      </c>
      <c r="AO503" s="88">
        <f>SUMIF(月間集計シート!$M$113:$M$132,$G503,月間集計シート!Q$113:Q$132)*AO$2</f>
        <v>0</v>
      </c>
      <c r="AP503" s="88">
        <f>SUMIF(月間集計シート!$M$113:$M$132,$G503,月間集計シート!R$113:R$132)*AP$2</f>
        <v>0</v>
      </c>
      <c r="AQ503" s="88">
        <f>SUMIF(月間集計シート!$M$113:$M$132,$G503,月間集計シート!S$113:S$132)*AQ$2</f>
        <v>0</v>
      </c>
      <c r="AR503" s="88">
        <f>SUMIF(月間集計シート!$M$113:$M$132,$G503,月間集計シート!T$113:T$132)*AR$2</f>
        <v>0</v>
      </c>
      <c r="AS503" s="88">
        <f>SUMIF(月間集計シート!$M$134:$M$153,$G503,月間集計シート!N$134:N$153)*AS$2</f>
        <v>0</v>
      </c>
      <c r="AT503" s="88">
        <f>SUMIF(月間集計シート!$M$134:$M$153,$G503,月間集計シート!O$134:O$153)*AT$2</f>
        <v>0</v>
      </c>
      <c r="AU503" s="88">
        <f>SUMIF(月間集計シート!$M$134:$M$153,$G503,月間集計シート!P$134:P$153)*AU$2</f>
        <v>0</v>
      </c>
      <c r="AV503" s="88">
        <f>SUMIF(月間集計シート!$M$134:$M$153,$G503,月間集計シート!Q$134:Q$153)*AV$2</f>
        <v>0</v>
      </c>
      <c r="AW503" s="88">
        <f>SUMIF(月間集計シート!$M$134:$M$153,$G503,月間集計シート!R$134:R$153)*AW$2</f>
        <v>0</v>
      </c>
      <c r="AX503" s="88">
        <f>SUMIF(月間集計シート!$M$134:$M$153,$G503,月間集計シート!S$134:S$153)*AX$2</f>
        <v>0</v>
      </c>
      <c r="AY503" s="88">
        <f>SUMIF(月間集計シート!$M$134:$M$153,$G503,月間集計シート!T$134:T$153)*AY$2</f>
        <v>0</v>
      </c>
    </row>
    <row r="504" spans="1:51" ht="14.25" thickBot="1">
      <c r="A504">
        <v>6</v>
      </c>
      <c r="B504" s="120">
        <f t="shared" si="244"/>
        <v>0</v>
      </c>
      <c r="C504" s="120" t="str">
        <f t="shared" si="244"/>
        <v/>
      </c>
      <c r="D504" s="137"/>
      <c r="E504" s="150" t="str">
        <f>工種!A71</f>
        <v>90105</v>
      </c>
      <c r="F504" s="119" t="str">
        <f>工種!B71</f>
        <v>管理業務：SRB管理</v>
      </c>
      <c r="G504" s="116" t="str">
        <f t="shared" si="241"/>
        <v>090105</v>
      </c>
      <c r="H504" s="88">
        <f t="shared" si="243"/>
        <v>0</v>
      </c>
      <c r="I504" s="132"/>
      <c r="J504" s="88">
        <f>SUMIF(月間集計シート!$M$29:$M$48,$G504,月間集計シート!N$29:N$48)*J$2</f>
        <v>0</v>
      </c>
      <c r="K504" s="88">
        <f>SUMIF(月間集計シート!$M$29:$M$48,$G504,月間集計シート!O$29:O$48)*K$2</f>
        <v>0</v>
      </c>
      <c r="L504" s="88">
        <f>SUMIF(月間集計シート!$M$29:$M$48,$G504,月間集計シート!P$29:P$48)*L$2</f>
        <v>0</v>
      </c>
      <c r="M504" s="88">
        <f>SUMIF(月間集計シート!$M$29:$M$48,$G504,月間集計シート!Q$29:Q$48)*M$2</f>
        <v>0</v>
      </c>
      <c r="N504" s="88">
        <f>SUMIF(月間集計シート!$M$29:$M$48,$G504,月間集計シート!R$29:R$48)*N$2</f>
        <v>0</v>
      </c>
      <c r="O504" s="88">
        <f>SUMIF(月間集計シート!$M$29:$M$48,$G504,月間集計シート!S$29:S$48)*O$2</f>
        <v>0</v>
      </c>
      <c r="P504" s="88">
        <f>SUMIF(月間集計シート!$M$29:$M$48,$G504,月間集計シート!T$29:T$48)*P$2</f>
        <v>0</v>
      </c>
      <c r="Q504" s="88">
        <f>SUMIF(月間集計シート!$M$50:$M$69,$G504,月間集計シート!N$50:N$69)*Q$2</f>
        <v>0</v>
      </c>
      <c r="R504" s="88">
        <f>SUMIF(月間集計シート!$M$50:$M$69,$G504,月間集計シート!O$50:O$69)*R$2</f>
        <v>0</v>
      </c>
      <c r="S504" s="88">
        <f>SUMIF(月間集計シート!$M$50:$M$69,$G504,月間集計シート!P$50:P$69)*S$2</f>
        <v>0</v>
      </c>
      <c r="T504" s="88">
        <f>SUMIF(月間集計シート!$M$50:$M$69,$G504,月間集計シート!Q$50:Q$69)*T$2</f>
        <v>0</v>
      </c>
      <c r="U504" s="88">
        <f>SUMIF(月間集計シート!$M$50:$M$69,$G504,月間集計シート!R$50:R$69)*U$2</f>
        <v>0</v>
      </c>
      <c r="V504" s="88">
        <f>SUMIF(月間集計シート!$M$50:$M$69,$G504,月間集計シート!S$50:S$69)*V$2</f>
        <v>0</v>
      </c>
      <c r="W504" s="88">
        <f>SUMIF(月間集計シート!$M$50:$M$69,$G504,月間集計シート!T$50:T$69)*W$2</f>
        <v>0</v>
      </c>
      <c r="X504" s="88">
        <f>SUMIF(月間集計シート!$M$71:$M$90,$G504,月間集計シート!N$71:N$90)*X$2</f>
        <v>0</v>
      </c>
      <c r="Y504" s="88">
        <f>SUMIF(月間集計シート!$M$71:$M$90,$G504,月間集計シート!O$71:O$90)*Y$2</f>
        <v>0</v>
      </c>
      <c r="Z504" s="88">
        <f>SUMIF(月間集計シート!$M$71:$M$90,$G504,月間集計シート!P$71:P$90)*Z$2</f>
        <v>0</v>
      </c>
      <c r="AA504" s="88">
        <f>SUMIF(月間集計シート!$M$71:$M$90,$G504,月間集計シート!Q$71:Q$90)*AA$2</f>
        <v>0</v>
      </c>
      <c r="AB504" s="88">
        <f>SUMIF(月間集計シート!$M$71:$M$90,$G504,月間集計シート!R$71:R$90)*AB$2</f>
        <v>0</v>
      </c>
      <c r="AC504" s="88">
        <f>SUMIF(月間集計シート!$M$71:$M$90,$G504,月間集計シート!S$71:S$90)*AC$2</f>
        <v>0</v>
      </c>
      <c r="AD504" s="88">
        <f>SUMIF(月間集計シート!$M$71:$M$90,$G504,月間集計シート!T$71:T$90)*AD$2</f>
        <v>0</v>
      </c>
      <c r="AE504" s="88">
        <f>SUMIF(月間集計シート!$M$92:$M$111,$G504,月間集計シート!N$92:N$111)*AE$2</f>
        <v>0</v>
      </c>
      <c r="AF504" s="88">
        <f>SUMIF(月間集計シート!$M$92:$M$111,$G504,月間集計シート!O$92:O$111)*AF$2</f>
        <v>0</v>
      </c>
      <c r="AG504" s="88">
        <f>SUMIF(月間集計シート!$M$92:$M$111,$G504,月間集計シート!P$92:P$111)*AG$2</f>
        <v>0</v>
      </c>
      <c r="AH504" s="88">
        <f>SUMIF(月間集計シート!$M$92:$M$111,$G504,月間集計シート!Q$92:Q$111)*AH$2</f>
        <v>0</v>
      </c>
      <c r="AI504" s="88">
        <f>SUMIF(月間集計シート!$M$92:$M$111,$G504,月間集計シート!R$92:R$111)*AI$2</f>
        <v>0</v>
      </c>
      <c r="AJ504" s="88">
        <f>SUMIF(月間集計シート!$M$92:$M$111,$G504,月間集計シート!S$92:S$111)*AJ$2</f>
        <v>0</v>
      </c>
      <c r="AK504" s="88">
        <f>SUMIF(月間集計シート!$M$92:$M$111,$G504,月間集計シート!T$92:T$111)*AK$2</f>
        <v>0</v>
      </c>
      <c r="AL504" s="88">
        <f>SUMIF(月間集計シート!$M$113:$M$132,$G504,月間集計シート!N$113:N$132)*AL$2</f>
        <v>0</v>
      </c>
      <c r="AM504" s="88">
        <f>SUMIF(月間集計シート!$M$113:$M$132,$G504,月間集計シート!O$113:O$132)*AM$2</f>
        <v>0</v>
      </c>
      <c r="AN504" s="88">
        <f>SUMIF(月間集計シート!$M$113:$M$132,$G504,月間集計シート!P$113:P$132)*AN$2</f>
        <v>0</v>
      </c>
      <c r="AO504" s="88">
        <f>SUMIF(月間集計シート!$M$113:$M$132,$G504,月間集計シート!Q$113:Q$132)*AO$2</f>
        <v>0</v>
      </c>
      <c r="AP504" s="88">
        <f>SUMIF(月間集計シート!$M$113:$M$132,$G504,月間集計シート!R$113:R$132)*AP$2</f>
        <v>0</v>
      </c>
      <c r="AQ504" s="88">
        <f>SUMIF(月間集計シート!$M$113:$M$132,$G504,月間集計シート!S$113:S$132)*AQ$2</f>
        <v>0</v>
      </c>
      <c r="AR504" s="88">
        <f>SUMIF(月間集計シート!$M$113:$M$132,$G504,月間集計シート!T$113:T$132)*AR$2</f>
        <v>0</v>
      </c>
      <c r="AS504" s="88">
        <f>SUMIF(月間集計シート!$M$134:$M$153,$G504,月間集計シート!N$134:N$153)*AS$2</f>
        <v>0</v>
      </c>
      <c r="AT504" s="88">
        <f>SUMIF(月間集計シート!$M$134:$M$153,$G504,月間集計シート!O$134:O$153)*AT$2</f>
        <v>0</v>
      </c>
      <c r="AU504" s="88">
        <f>SUMIF(月間集計シート!$M$134:$M$153,$G504,月間集計シート!P$134:P$153)*AU$2</f>
        <v>0</v>
      </c>
      <c r="AV504" s="88">
        <f>SUMIF(月間集計シート!$M$134:$M$153,$G504,月間集計シート!Q$134:Q$153)*AV$2</f>
        <v>0</v>
      </c>
      <c r="AW504" s="88">
        <f>SUMIF(月間集計シート!$M$134:$M$153,$G504,月間集計シート!R$134:R$153)*AW$2</f>
        <v>0</v>
      </c>
      <c r="AX504" s="88">
        <f>SUMIF(月間集計シート!$M$134:$M$153,$G504,月間集計シート!S$134:S$153)*AX$2</f>
        <v>0</v>
      </c>
      <c r="AY504" s="88">
        <f>SUMIF(月間集計シート!$M$134:$M$153,$G504,月間集計シート!T$134:T$153)*AY$2</f>
        <v>0</v>
      </c>
    </row>
    <row r="505" spans="1:51" ht="14.25" thickBot="1">
      <c r="A505">
        <v>6</v>
      </c>
      <c r="B505" s="120">
        <f t="shared" si="244"/>
        <v>0</v>
      </c>
      <c r="C505" s="120" t="str">
        <f t="shared" si="244"/>
        <v/>
      </c>
      <c r="D505" s="137"/>
      <c r="E505" s="150" t="str">
        <f>工種!A72</f>
        <v>90107</v>
      </c>
      <c r="F505" s="119" t="str">
        <f>工種!B72</f>
        <v>管理業務：開発事務作業</v>
      </c>
      <c r="G505" s="116" t="str">
        <f t="shared" si="241"/>
        <v>090107</v>
      </c>
      <c r="H505" s="88">
        <f t="shared" si="243"/>
        <v>0</v>
      </c>
      <c r="I505" s="132"/>
      <c r="J505" s="88">
        <f>SUMIF(月間集計シート!$M$29:$M$48,$G505,月間集計シート!N$29:N$48)*J$2</f>
        <v>0</v>
      </c>
      <c r="K505" s="88">
        <f>SUMIF(月間集計シート!$M$29:$M$48,$G505,月間集計シート!O$29:O$48)*K$2</f>
        <v>0</v>
      </c>
      <c r="L505" s="88">
        <f>SUMIF(月間集計シート!$M$29:$M$48,$G505,月間集計シート!P$29:P$48)*L$2</f>
        <v>0</v>
      </c>
      <c r="M505" s="88">
        <f>SUMIF(月間集計シート!$M$29:$M$48,$G505,月間集計シート!Q$29:Q$48)*M$2</f>
        <v>0</v>
      </c>
      <c r="N505" s="88">
        <f>SUMIF(月間集計シート!$M$29:$M$48,$G505,月間集計シート!R$29:R$48)*N$2</f>
        <v>0</v>
      </c>
      <c r="O505" s="88">
        <f>SUMIF(月間集計シート!$M$29:$M$48,$G505,月間集計シート!S$29:S$48)*O$2</f>
        <v>0</v>
      </c>
      <c r="P505" s="88">
        <f>SUMIF(月間集計シート!$M$29:$M$48,$G505,月間集計シート!T$29:T$48)*P$2</f>
        <v>0</v>
      </c>
      <c r="Q505" s="88">
        <f>SUMIF(月間集計シート!$M$50:$M$69,$G505,月間集計シート!N$50:N$69)*Q$2</f>
        <v>0</v>
      </c>
      <c r="R505" s="88">
        <f>SUMIF(月間集計シート!$M$50:$M$69,$G505,月間集計シート!O$50:O$69)*R$2</f>
        <v>0</v>
      </c>
      <c r="S505" s="88">
        <f>SUMIF(月間集計シート!$M$50:$M$69,$G505,月間集計シート!P$50:P$69)*S$2</f>
        <v>0</v>
      </c>
      <c r="T505" s="88">
        <f>SUMIF(月間集計シート!$M$50:$M$69,$G505,月間集計シート!Q$50:Q$69)*T$2</f>
        <v>0</v>
      </c>
      <c r="U505" s="88">
        <f>SUMIF(月間集計シート!$M$50:$M$69,$G505,月間集計シート!R$50:R$69)*U$2</f>
        <v>0</v>
      </c>
      <c r="V505" s="88">
        <f>SUMIF(月間集計シート!$M$50:$M$69,$G505,月間集計シート!S$50:S$69)*V$2</f>
        <v>0</v>
      </c>
      <c r="W505" s="88">
        <f>SUMIF(月間集計シート!$M$50:$M$69,$G505,月間集計シート!T$50:T$69)*W$2</f>
        <v>0</v>
      </c>
      <c r="X505" s="88">
        <f>SUMIF(月間集計シート!$M$71:$M$90,$G505,月間集計シート!N$71:N$90)*X$2</f>
        <v>0</v>
      </c>
      <c r="Y505" s="88">
        <f>SUMIF(月間集計シート!$M$71:$M$90,$G505,月間集計シート!O$71:O$90)*Y$2</f>
        <v>0</v>
      </c>
      <c r="Z505" s="88">
        <f>SUMIF(月間集計シート!$M$71:$M$90,$G505,月間集計シート!P$71:P$90)*Z$2</f>
        <v>0</v>
      </c>
      <c r="AA505" s="88">
        <f>SUMIF(月間集計シート!$M$71:$M$90,$G505,月間集計シート!Q$71:Q$90)*AA$2</f>
        <v>0</v>
      </c>
      <c r="AB505" s="88">
        <f>SUMIF(月間集計シート!$M$71:$M$90,$G505,月間集計シート!R$71:R$90)*AB$2</f>
        <v>0</v>
      </c>
      <c r="AC505" s="88">
        <f>SUMIF(月間集計シート!$M$71:$M$90,$G505,月間集計シート!S$71:S$90)*AC$2</f>
        <v>0</v>
      </c>
      <c r="AD505" s="88">
        <f>SUMIF(月間集計シート!$M$71:$M$90,$G505,月間集計シート!T$71:T$90)*AD$2</f>
        <v>0</v>
      </c>
      <c r="AE505" s="88">
        <f>SUMIF(月間集計シート!$M$92:$M$111,$G505,月間集計シート!N$92:N$111)*AE$2</f>
        <v>0</v>
      </c>
      <c r="AF505" s="88">
        <f>SUMIF(月間集計シート!$M$92:$M$111,$G505,月間集計シート!O$92:O$111)*AF$2</f>
        <v>0</v>
      </c>
      <c r="AG505" s="88">
        <f>SUMIF(月間集計シート!$M$92:$M$111,$G505,月間集計シート!P$92:P$111)*AG$2</f>
        <v>0</v>
      </c>
      <c r="AH505" s="88">
        <f>SUMIF(月間集計シート!$M$92:$M$111,$G505,月間集計シート!Q$92:Q$111)*AH$2</f>
        <v>0</v>
      </c>
      <c r="AI505" s="88">
        <f>SUMIF(月間集計シート!$M$92:$M$111,$G505,月間集計シート!R$92:R$111)*AI$2</f>
        <v>0</v>
      </c>
      <c r="AJ505" s="88">
        <f>SUMIF(月間集計シート!$M$92:$M$111,$G505,月間集計シート!S$92:S$111)*AJ$2</f>
        <v>0</v>
      </c>
      <c r="AK505" s="88">
        <f>SUMIF(月間集計シート!$M$92:$M$111,$G505,月間集計シート!T$92:T$111)*AK$2</f>
        <v>0</v>
      </c>
      <c r="AL505" s="88">
        <f>SUMIF(月間集計シート!$M$113:$M$132,$G505,月間集計シート!N$113:N$132)*AL$2</f>
        <v>0</v>
      </c>
      <c r="AM505" s="88">
        <f>SUMIF(月間集計シート!$M$113:$M$132,$G505,月間集計シート!O$113:O$132)*AM$2</f>
        <v>0</v>
      </c>
      <c r="AN505" s="88">
        <f>SUMIF(月間集計シート!$M$113:$M$132,$G505,月間集計シート!P$113:P$132)*AN$2</f>
        <v>0</v>
      </c>
      <c r="AO505" s="88">
        <f>SUMIF(月間集計シート!$M$113:$M$132,$G505,月間集計シート!Q$113:Q$132)*AO$2</f>
        <v>0</v>
      </c>
      <c r="AP505" s="88">
        <f>SUMIF(月間集計シート!$M$113:$M$132,$G505,月間集計シート!R$113:R$132)*AP$2</f>
        <v>0</v>
      </c>
      <c r="AQ505" s="88">
        <f>SUMIF(月間集計シート!$M$113:$M$132,$G505,月間集計シート!S$113:S$132)*AQ$2</f>
        <v>0</v>
      </c>
      <c r="AR505" s="88">
        <f>SUMIF(月間集計シート!$M$113:$M$132,$G505,月間集計シート!T$113:T$132)*AR$2</f>
        <v>0</v>
      </c>
      <c r="AS505" s="88">
        <f>SUMIF(月間集計シート!$M$134:$M$153,$G505,月間集計シート!N$134:N$153)*AS$2</f>
        <v>0</v>
      </c>
      <c r="AT505" s="88">
        <f>SUMIF(月間集計シート!$M$134:$M$153,$G505,月間集計シート!O$134:O$153)*AT$2</f>
        <v>0</v>
      </c>
      <c r="AU505" s="88">
        <f>SUMIF(月間集計シート!$M$134:$M$153,$G505,月間集計シート!P$134:P$153)*AU$2</f>
        <v>0</v>
      </c>
      <c r="AV505" s="88">
        <f>SUMIF(月間集計シート!$M$134:$M$153,$G505,月間集計シート!Q$134:Q$153)*AV$2</f>
        <v>0</v>
      </c>
      <c r="AW505" s="88">
        <f>SUMIF(月間集計シート!$M$134:$M$153,$G505,月間集計シート!R$134:R$153)*AW$2</f>
        <v>0</v>
      </c>
      <c r="AX505" s="88">
        <f>SUMIF(月間集計シート!$M$134:$M$153,$G505,月間集計シート!S$134:S$153)*AX$2</f>
        <v>0</v>
      </c>
      <c r="AY505" s="88">
        <f>SUMIF(月間集計シート!$M$134:$M$153,$G505,月間集計シート!T$134:T$153)*AY$2</f>
        <v>0</v>
      </c>
    </row>
    <row r="506" spans="1:51" ht="14.25" thickBot="1">
      <c r="A506">
        <v>6</v>
      </c>
      <c r="B506" s="120">
        <f t="shared" si="244"/>
        <v>0</v>
      </c>
      <c r="C506" s="120" t="str">
        <f t="shared" si="244"/>
        <v/>
      </c>
      <c r="D506" s="137"/>
      <c r="E506" s="150" t="str">
        <f>工種!A73</f>
        <v>90108</v>
      </c>
      <c r="F506" s="119" t="str">
        <f>工種!B73</f>
        <v>管理業務：外部不具合分析</v>
      </c>
      <c r="G506" s="116" t="str">
        <f t="shared" si="241"/>
        <v>090108</v>
      </c>
      <c r="H506" s="88">
        <f t="shared" si="243"/>
        <v>0</v>
      </c>
      <c r="I506" s="132"/>
      <c r="J506" s="88">
        <f>SUMIF(月間集計シート!$M$29:$M$48,$G506,月間集計シート!N$29:N$48)*J$2</f>
        <v>0</v>
      </c>
      <c r="K506" s="88">
        <f>SUMIF(月間集計シート!$M$29:$M$48,$G506,月間集計シート!O$29:O$48)*K$2</f>
        <v>0</v>
      </c>
      <c r="L506" s="88">
        <f>SUMIF(月間集計シート!$M$29:$M$48,$G506,月間集計シート!P$29:P$48)*L$2</f>
        <v>0</v>
      </c>
      <c r="M506" s="88">
        <f>SUMIF(月間集計シート!$M$29:$M$48,$G506,月間集計シート!Q$29:Q$48)*M$2</f>
        <v>0</v>
      </c>
      <c r="N506" s="88">
        <f>SUMIF(月間集計シート!$M$29:$M$48,$G506,月間集計シート!R$29:R$48)*N$2</f>
        <v>0</v>
      </c>
      <c r="O506" s="88">
        <f>SUMIF(月間集計シート!$M$29:$M$48,$G506,月間集計シート!S$29:S$48)*O$2</f>
        <v>0</v>
      </c>
      <c r="P506" s="88">
        <f>SUMIF(月間集計シート!$M$29:$M$48,$G506,月間集計シート!T$29:T$48)*P$2</f>
        <v>0</v>
      </c>
      <c r="Q506" s="88">
        <f>SUMIF(月間集計シート!$M$50:$M$69,$G506,月間集計シート!N$50:N$69)*Q$2</f>
        <v>0</v>
      </c>
      <c r="R506" s="88">
        <f>SUMIF(月間集計シート!$M$50:$M$69,$G506,月間集計シート!O$50:O$69)*R$2</f>
        <v>0</v>
      </c>
      <c r="S506" s="88">
        <f>SUMIF(月間集計シート!$M$50:$M$69,$G506,月間集計シート!P$50:P$69)*S$2</f>
        <v>0</v>
      </c>
      <c r="T506" s="88">
        <f>SUMIF(月間集計シート!$M$50:$M$69,$G506,月間集計シート!Q$50:Q$69)*T$2</f>
        <v>0</v>
      </c>
      <c r="U506" s="88">
        <f>SUMIF(月間集計シート!$M$50:$M$69,$G506,月間集計シート!R$50:R$69)*U$2</f>
        <v>0</v>
      </c>
      <c r="V506" s="88">
        <f>SUMIF(月間集計シート!$M$50:$M$69,$G506,月間集計シート!S$50:S$69)*V$2</f>
        <v>0</v>
      </c>
      <c r="W506" s="88">
        <f>SUMIF(月間集計シート!$M$50:$M$69,$G506,月間集計シート!T$50:T$69)*W$2</f>
        <v>0</v>
      </c>
      <c r="X506" s="88">
        <f>SUMIF(月間集計シート!$M$71:$M$90,$G506,月間集計シート!N$71:N$90)*X$2</f>
        <v>0</v>
      </c>
      <c r="Y506" s="88">
        <f>SUMIF(月間集計シート!$M$71:$M$90,$G506,月間集計シート!O$71:O$90)*Y$2</f>
        <v>0</v>
      </c>
      <c r="Z506" s="88">
        <f>SUMIF(月間集計シート!$M$71:$M$90,$G506,月間集計シート!P$71:P$90)*Z$2</f>
        <v>0</v>
      </c>
      <c r="AA506" s="88">
        <f>SUMIF(月間集計シート!$M$71:$M$90,$G506,月間集計シート!Q$71:Q$90)*AA$2</f>
        <v>0</v>
      </c>
      <c r="AB506" s="88">
        <f>SUMIF(月間集計シート!$M$71:$M$90,$G506,月間集計シート!R$71:R$90)*AB$2</f>
        <v>0</v>
      </c>
      <c r="AC506" s="88">
        <f>SUMIF(月間集計シート!$M$71:$M$90,$G506,月間集計シート!S$71:S$90)*AC$2</f>
        <v>0</v>
      </c>
      <c r="AD506" s="88">
        <f>SUMIF(月間集計シート!$M$71:$M$90,$G506,月間集計シート!T$71:T$90)*AD$2</f>
        <v>0</v>
      </c>
      <c r="AE506" s="88">
        <f>SUMIF(月間集計シート!$M$92:$M$111,$G506,月間集計シート!N$92:N$111)*AE$2</f>
        <v>0</v>
      </c>
      <c r="AF506" s="88">
        <f>SUMIF(月間集計シート!$M$92:$M$111,$G506,月間集計シート!O$92:O$111)*AF$2</f>
        <v>0</v>
      </c>
      <c r="AG506" s="88">
        <f>SUMIF(月間集計シート!$M$92:$M$111,$G506,月間集計シート!P$92:P$111)*AG$2</f>
        <v>0</v>
      </c>
      <c r="AH506" s="88">
        <f>SUMIF(月間集計シート!$M$92:$M$111,$G506,月間集計シート!Q$92:Q$111)*AH$2</f>
        <v>0</v>
      </c>
      <c r="AI506" s="88">
        <f>SUMIF(月間集計シート!$M$92:$M$111,$G506,月間集計シート!R$92:R$111)*AI$2</f>
        <v>0</v>
      </c>
      <c r="AJ506" s="88">
        <f>SUMIF(月間集計シート!$M$92:$M$111,$G506,月間集計シート!S$92:S$111)*AJ$2</f>
        <v>0</v>
      </c>
      <c r="AK506" s="88">
        <f>SUMIF(月間集計シート!$M$92:$M$111,$G506,月間集計シート!T$92:T$111)*AK$2</f>
        <v>0</v>
      </c>
      <c r="AL506" s="88">
        <f>SUMIF(月間集計シート!$M$113:$M$132,$G506,月間集計シート!N$113:N$132)*AL$2</f>
        <v>0</v>
      </c>
      <c r="AM506" s="88">
        <f>SUMIF(月間集計シート!$M$113:$M$132,$G506,月間集計シート!O$113:O$132)*AM$2</f>
        <v>0</v>
      </c>
      <c r="AN506" s="88">
        <f>SUMIF(月間集計シート!$M$113:$M$132,$G506,月間集計シート!P$113:P$132)*AN$2</f>
        <v>0</v>
      </c>
      <c r="AO506" s="88">
        <f>SUMIF(月間集計シート!$M$113:$M$132,$G506,月間集計シート!Q$113:Q$132)*AO$2</f>
        <v>0</v>
      </c>
      <c r="AP506" s="88">
        <f>SUMIF(月間集計シート!$M$113:$M$132,$G506,月間集計シート!R$113:R$132)*AP$2</f>
        <v>0</v>
      </c>
      <c r="AQ506" s="88">
        <f>SUMIF(月間集計シート!$M$113:$M$132,$G506,月間集計シート!S$113:S$132)*AQ$2</f>
        <v>0</v>
      </c>
      <c r="AR506" s="88">
        <f>SUMIF(月間集計シート!$M$113:$M$132,$G506,月間集計シート!T$113:T$132)*AR$2</f>
        <v>0</v>
      </c>
      <c r="AS506" s="88">
        <f>SUMIF(月間集計シート!$M$134:$M$153,$G506,月間集計シート!N$134:N$153)*AS$2</f>
        <v>0</v>
      </c>
      <c r="AT506" s="88">
        <f>SUMIF(月間集計シート!$M$134:$M$153,$G506,月間集計シート!O$134:O$153)*AT$2</f>
        <v>0</v>
      </c>
      <c r="AU506" s="88">
        <f>SUMIF(月間集計シート!$M$134:$M$153,$G506,月間集計シート!P$134:P$153)*AU$2</f>
        <v>0</v>
      </c>
      <c r="AV506" s="88">
        <f>SUMIF(月間集計シート!$M$134:$M$153,$G506,月間集計シート!Q$134:Q$153)*AV$2</f>
        <v>0</v>
      </c>
      <c r="AW506" s="88">
        <f>SUMIF(月間集計シート!$M$134:$M$153,$G506,月間集計シート!R$134:R$153)*AW$2</f>
        <v>0</v>
      </c>
      <c r="AX506" s="88">
        <f>SUMIF(月間集計シート!$M$134:$M$153,$G506,月間集計シート!S$134:S$153)*AX$2</f>
        <v>0</v>
      </c>
      <c r="AY506" s="88">
        <f>SUMIF(月間集計シート!$M$134:$M$153,$G506,月間集計シート!T$134:T$153)*AY$2</f>
        <v>0</v>
      </c>
    </row>
    <row r="507" spans="1:51" ht="14.25" thickBot="1">
      <c r="A507">
        <v>6</v>
      </c>
      <c r="B507" s="120">
        <f t="shared" si="244"/>
        <v>0</v>
      </c>
      <c r="C507" s="120" t="str">
        <f t="shared" si="244"/>
        <v/>
      </c>
      <c r="D507" s="137"/>
      <c r="E507" s="150" t="str">
        <f>工種!A74</f>
        <v>90110</v>
      </c>
      <c r="F507" s="119" t="str">
        <f>工種!B74</f>
        <v>管理業務：打合せ</v>
      </c>
      <c r="G507" s="116" t="str">
        <f t="shared" si="241"/>
        <v>090110</v>
      </c>
      <c r="H507" s="88">
        <f t="shared" si="243"/>
        <v>0</v>
      </c>
      <c r="I507" s="132"/>
      <c r="J507" s="88">
        <f>SUMIF(月間集計シート!$M$29:$M$48,$G507,月間集計シート!N$29:N$48)*J$2</f>
        <v>0</v>
      </c>
      <c r="K507" s="88">
        <f>SUMIF(月間集計シート!$M$29:$M$48,$G507,月間集計シート!O$29:O$48)*K$2</f>
        <v>0</v>
      </c>
      <c r="L507" s="88">
        <f>SUMIF(月間集計シート!$M$29:$M$48,$G507,月間集計シート!P$29:P$48)*L$2</f>
        <v>0</v>
      </c>
      <c r="M507" s="88">
        <f>SUMIF(月間集計シート!$M$29:$M$48,$G507,月間集計シート!Q$29:Q$48)*M$2</f>
        <v>0</v>
      </c>
      <c r="N507" s="88">
        <f>SUMIF(月間集計シート!$M$29:$M$48,$G507,月間集計シート!R$29:R$48)*N$2</f>
        <v>0</v>
      </c>
      <c r="O507" s="88">
        <f>SUMIF(月間集計シート!$M$29:$M$48,$G507,月間集計シート!S$29:S$48)*O$2</f>
        <v>0</v>
      </c>
      <c r="P507" s="88">
        <f>SUMIF(月間集計シート!$M$29:$M$48,$G507,月間集計シート!T$29:T$48)*P$2</f>
        <v>0</v>
      </c>
      <c r="Q507" s="88">
        <f>SUMIF(月間集計シート!$M$50:$M$69,$G507,月間集計シート!N$50:N$69)*Q$2</f>
        <v>0</v>
      </c>
      <c r="R507" s="88">
        <f>SUMIF(月間集計シート!$M$50:$M$69,$G507,月間集計シート!O$50:O$69)*R$2</f>
        <v>0</v>
      </c>
      <c r="S507" s="88">
        <f>SUMIF(月間集計シート!$M$50:$M$69,$G507,月間集計シート!P$50:P$69)*S$2</f>
        <v>0</v>
      </c>
      <c r="T507" s="88">
        <f>SUMIF(月間集計シート!$M$50:$M$69,$G507,月間集計シート!Q$50:Q$69)*T$2</f>
        <v>0</v>
      </c>
      <c r="U507" s="88">
        <f>SUMIF(月間集計シート!$M$50:$M$69,$G507,月間集計シート!R$50:R$69)*U$2</f>
        <v>0</v>
      </c>
      <c r="V507" s="88">
        <f>SUMIF(月間集計シート!$M$50:$M$69,$G507,月間集計シート!S$50:S$69)*V$2</f>
        <v>0</v>
      </c>
      <c r="W507" s="88">
        <f>SUMIF(月間集計シート!$M$50:$M$69,$G507,月間集計シート!T$50:T$69)*W$2</f>
        <v>0</v>
      </c>
      <c r="X507" s="88">
        <f>SUMIF(月間集計シート!$M$71:$M$90,$G507,月間集計シート!N$71:N$90)*X$2</f>
        <v>0</v>
      </c>
      <c r="Y507" s="88">
        <f>SUMIF(月間集計シート!$M$71:$M$90,$G507,月間集計シート!O$71:O$90)*Y$2</f>
        <v>0</v>
      </c>
      <c r="Z507" s="88">
        <f>SUMIF(月間集計シート!$M$71:$M$90,$G507,月間集計シート!P$71:P$90)*Z$2</f>
        <v>0</v>
      </c>
      <c r="AA507" s="88">
        <f>SUMIF(月間集計シート!$M$71:$M$90,$G507,月間集計シート!Q$71:Q$90)*AA$2</f>
        <v>0</v>
      </c>
      <c r="AB507" s="88">
        <f>SUMIF(月間集計シート!$M$71:$M$90,$G507,月間集計シート!R$71:R$90)*AB$2</f>
        <v>0</v>
      </c>
      <c r="AC507" s="88">
        <f>SUMIF(月間集計シート!$M$71:$M$90,$G507,月間集計シート!S$71:S$90)*AC$2</f>
        <v>0</v>
      </c>
      <c r="AD507" s="88">
        <f>SUMIF(月間集計シート!$M$71:$M$90,$G507,月間集計シート!T$71:T$90)*AD$2</f>
        <v>0</v>
      </c>
      <c r="AE507" s="88">
        <f>SUMIF(月間集計シート!$M$92:$M$111,$G507,月間集計シート!N$92:N$111)*AE$2</f>
        <v>0</v>
      </c>
      <c r="AF507" s="88">
        <f>SUMIF(月間集計シート!$M$92:$M$111,$G507,月間集計シート!O$92:O$111)*AF$2</f>
        <v>0</v>
      </c>
      <c r="AG507" s="88">
        <f>SUMIF(月間集計シート!$M$92:$M$111,$G507,月間集計シート!P$92:P$111)*AG$2</f>
        <v>0</v>
      </c>
      <c r="AH507" s="88">
        <f>SUMIF(月間集計シート!$M$92:$M$111,$G507,月間集計シート!Q$92:Q$111)*AH$2</f>
        <v>0</v>
      </c>
      <c r="AI507" s="88">
        <f>SUMIF(月間集計シート!$M$92:$M$111,$G507,月間集計シート!R$92:R$111)*AI$2</f>
        <v>0</v>
      </c>
      <c r="AJ507" s="88">
        <f>SUMIF(月間集計シート!$M$92:$M$111,$G507,月間集計シート!S$92:S$111)*AJ$2</f>
        <v>0</v>
      </c>
      <c r="AK507" s="88">
        <f>SUMIF(月間集計シート!$M$92:$M$111,$G507,月間集計シート!T$92:T$111)*AK$2</f>
        <v>0</v>
      </c>
      <c r="AL507" s="88">
        <f>SUMIF(月間集計シート!$M$113:$M$132,$G507,月間集計シート!N$113:N$132)*AL$2</f>
        <v>0</v>
      </c>
      <c r="AM507" s="88">
        <f>SUMIF(月間集計シート!$M$113:$M$132,$G507,月間集計シート!O$113:O$132)*AM$2</f>
        <v>0</v>
      </c>
      <c r="AN507" s="88">
        <f>SUMIF(月間集計シート!$M$113:$M$132,$G507,月間集計シート!P$113:P$132)*AN$2</f>
        <v>0</v>
      </c>
      <c r="AO507" s="88">
        <f>SUMIF(月間集計シート!$M$113:$M$132,$G507,月間集計シート!Q$113:Q$132)*AO$2</f>
        <v>0</v>
      </c>
      <c r="AP507" s="88">
        <f>SUMIF(月間集計シート!$M$113:$M$132,$G507,月間集計シート!R$113:R$132)*AP$2</f>
        <v>0</v>
      </c>
      <c r="AQ507" s="88">
        <f>SUMIF(月間集計シート!$M$113:$M$132,$G507,月間集計シート!S$113:S$132)*AQ$2</f>
        <v>0</v>
      </c>
      <c r="AR507" s="88">
        <f>SUMIF(月間集計シート!$M$113:$M$132,$G507,月間集計シート!T$113:T$132)*AR$2</f>
        <v>0</v>
      </c>
      <c r="AS507" s="88">
        <f>SUMIF(月間集計シート!$M$134:$M$153,$G507,月間集計シート!N$134:N$153)*AS$2</f>
        <v>0</v>
      </c>
      <c r="AT507" s="88">
        <f>SUMIF(月間集計シート!$M$134:$M$153,$G507,月間集計シート!O$134:O$153)*AT$2</f>
        <v>0</v>
      </c>
      <c r="AU507" s="88">
        <f>SUMIF(月間集計シート!$M$134:$M$153,$G507,月間集計シート!P$134:P$153)*AU$2</f>
        <v>0</v>
      </c>
      <c r="AV507" s="88">
        <f>SUMIF(月間集計シート!$M$134:$M$153,$G507,月間集計シート!Q$134:Q$153)*AV$2</f>
        <v>0</v>
      </c>
      <c r="AW507" s="88">
        <f>SUMIF(月間集計シート!$M$134:$M$153,$G507,月間集計シート!R$134:R$153)*AW$2</f>
        <v>0</v>
      </c>
      <c r="AX507" s="88">
        <f>SUMIF(月間集計シート!$M$134:$M$153,$G507,月間集計シート!S$134:S$153)*AX$2</f>
        <v>0</v>
      </c>
      <c r="AY507" s="88">
        <f>SUMIF(月間集計シート!$M$134:$M$153,$G507,月間集計シート!T$134:T$153)*AY$2</f>
        <v>0</v>
      </c>
    </row>
    <row r="508" spans="1:51" ht="14.25" thickBot="1">
      <c r="A508">
        <v>6</v>
      </c>
      <c r="B508" s="120">
        <f t="shared" si="244"/>
        <v>0</v>
      </c>
      <c r="C508" s="120" t="str">
        <f t="shared" si="244"/>
        <v/>
      </c>
      <c r="D508" s="137"/>
      <c r="E508" s="150" t="str">
        <f>工種!A75</f>
        <v>90111</v>
      </c>
      <c r="F508" s="119" t="str">
        <f>工種!B75</f>
        <v>管理業務：レビュー</v>
      </c>
      <c r="G508" s="116" t="str">
        <f t="shared" si="241"/>
        <v>090111</v>
      </c>
      <c r="H508" s="88">
        <f t="shared" si="243"/>
        <v>0</v>
      </c>
      <c r="I508" s="132"/>
      <c r="J508" s="88">
        <f>SUMIF(月間集計シート!$M$29:$M$48,$G508,月間集計シート!N$29:N$48)*J$2</f>
        <v>0</v>
      </c>
      <c r="K508" s="88">
        <f>SUMIF(月間集計シート!$M$29:$M$48,$G508,月間集計シート!O$29:O$48)*K$2</f>
        <v>0</v>
      </c>
      <c r="L508" s="88">
        <f>SUMIF(月間集計シート!$M$29:$M$48,$G508,月間集計シート!P$29:P$48)*L$2</f>
        <v>0</v>
      </c>
      <c r="M508" s="88">
        <f>SUMIF(月間集計シート!$M$29:$M$48,$G508,月間集計シート!Q$29:Q$48)*M$2</f>
        <v>0</v>
      </c>
      <c r="N508" s="88">
        <f>SUMIF(月間集計シート!$M$29:$M$48,$G508,月間集計シート!R$29:R$48)*N$2</f>
        <v>0</v>
      </c>
      <c r="O508" s="88">
        <f>SUMIF(月間集計シート!$M$29:$M$48,$G508,月間集計シート!S$29:S$48)*O$2</f>
        <v>0</v>
      </c>
      <c r="P508" s="88">
        <f>SUMIF(月間集計シート!$M$29:$M$48,$G508,月間集計シート!T$29:T$48)*P$2</f>
        <v>0</v>
      </c>
      <c r="Q508" s="88">
        <f>SUMIF(月間集計シート!$M$50:$M$69,$G508,月間集計シート!N$50:N$69)*Q$2</f>
        <v>0</v>
      </c>
      <c r="R508" s="88">
        <f>SUMIF(月間集計シート!$M$50:$M$69,$G508,月間集計シート!O$50:O$69)*R$2</f>
        <v>0</v>
      </c>
      <c r="S508" s="88">
        <f>SUMIF(月間集計シート!$M$50:$M$69,$G508,月間集計シート!P$50:P$69)*S$2</f>
        <v>0</v>
      </c>
      <c r="T508" s="88">
        <f>SUMIF(月間集計シート!$M$50:$M$69,$G508,月間集計シート!Q$50:Q$69)*T$2</f>
        <v>0</v>
      </c>
      <c r="U508" s="88">
        <f>SUMIF(月間集計シート!$M$50:$M$69,$G508,月間集計シート!R$50:R$69)*U$2</f>
        <v>0</v>
      </c>
      <c r="V508" s="88">
        <f>SUMIF(月間集計シート!$M$50:$M$69,$G508,月間集計シート!S$50:S$69)*V$2</f>
        <v>0</v>
      </c>
      <c r="W508" s="88">
        <f>SUMIF(月間集計シート!$M$50:$M$69,$G508,月間集計シート!T$50:T$69)*W$2</f>
        <v>0</v>
      </c>
      <c r="X508" s="88">
        <f>SUMIF(月間集計シート!$M$71:$M$90,$G508,月間集計シート!N$71:N$90)*X$2</f>
        <v>0</v>
      </c>
      <c r="Y508" s="88">
        <f>SUMIF(月間集計シート!$M$71:$M$90,$G508,月間集計シート!O$71:O$90)*Y$2</f>
        <v>0</v>
      </c>
      <c r="Z508" s="88">
        <f>SUMIF(月間集計シート!$M$71:$M$90,$G508,月間集計シート!P$71:P$90)*Z$2</f>
        <v>0</v>
      </c>
      <c r="AA508" s="88">
        <f>SUMIF(月間集計シート!$M$71:$M$90,$G508,月間集計シート!Q$71:Q$90)*AA$2</f>
        <v>0</v>
      </c>
      <c r="AB508" s="88">
        <f>SUMIF(月間集計シート!$M$71:$M$90,$G508,月間集計シート!R$71:R$90)*AB$2</f>
        <v>0</v>
      </c>
      <c r="AC508" s="88">
        <f>SUMIF(月間集計シート!$M$71:$M$90,$G508,月間集計シート!S$71:S$90)*AC$2</f>
        <v>0</v>
      </c>
      <c r="AD508" s="88">
        <f>SUMIF(月間集計シート!$M$71:$M$90,$G508,月間集計シート!T$71:T$90)*AD$2</f>
        <v>0</v>
      </c>
      <c r="AE508" s="88">
        <f>SUMIF(月間集計シート!$M$92:$M$111,$G508,月間集計シート!N$92:N$111)*AE$2</f>
        <v>0</v>
      </c>
      <c r="AF508" s="88">
        <f>SUMIF(月間集計シート!$M$92:$M$111,$G508,月間集計シート!O$92:O$111)*AF$2</f>
        <v>0</v>
      </c>
      <c r="AG508" s="88">
        <f>SUMIF(月間集計シート!$M$92:$M$111,$G508,月間集計シート!P$92:P$111)*AG$2</f>
        <v>0</v>
      </c>
      <c r="AH508" s="88">
        <f>SUMIF(月間集計シート!$M$92:$M$111,$G508,月間集計シート!Q$92:Q$111)*AH$2</f>
        <v>0</v>
      </c>
      <c r="AI508" s="88">
        <f>SUMIF(月間集計シート!$M$92:$M$111,$G508,月間集計シート!R$92:R$111)*AI$2</f>
        <v>0</v>
      </c>
      <c r="AJ508" s="88">
        <f>SUMIF(月間集計シート!$M$92:$M$111,$G508,月間集計シート!S$92:S$111)*AJ$2</f>
        <v>0</v>
      </c>
      <c r="AK508" s="88">
        <f>SUMIF(月間集計シート!$M$92:$M$111,$G508,月間集計シート!T$92:T$111)*AK$2</f>
        <v>0</v>
      </c>
      <c r="AL508" s="88">
        <f>SUMIF(月間集計シート!$M$113:$M$132,$G508,月間集計シート!N$113:N$132)*AL$2</f>
        <v>0</v>
      </c>
      <c r="AM508" s="88">
        <f>SUMIF(月間集計シート!$M$113:$M$132,$G508,月間集計シート!O$113:O$132)*AM$2</f>
        <v>0</v>
      </c>
      <c r="AN508" s="88">
        <f>SUMIF(月間集計シート!$M$113:$M$132,$G508,月間集計シート!P$113:P$132)*AN$2</f>
        <v>0</v>
      </c>
      <c r="AO508" s="88">
        <f>SUMIF(月間集計シート!$M$113:$M$132,$G508,月間集計シート!Q$113:Q$132)*AO$2</f>
        <v>0</v>
      </c>
      <c r="AP508" s="88">
        <f>SUMIF(月間集計シート!$M$113:$M$132,$G508,月間集計シート!R$113:R$132)*AP$2</f>
        <v>0</v>
      </c>
      <c r="AQ508" s="88">
        <f>SUMIF(月間集計シート!$M$113:$M$132,$G508,月間集計シート!S$113:S$132)*AQ$2</f>
        <v>0</v>
      </c>
      <c r="AR508" s="88">
        <f>SUMIF(月間集計シート!$M$113:$M$132,$G508,月間集計シート!T$113:T$132)*AR$2</f>
        <v>0</v>
      </c>
      <c r="AS508" s="88">
        <f>SUMIF(月間集計シート!$M$134:$M$153,$G508,月間集計シート!N$134:N$153)*AS$2</f>
        <v>0</v>
      </c>
      <c r="AT508" s="88">
        <f>SUMIF(月間集計シート!$M$134:$M$153,$G508,月間集計シート!O$134:O$153)*AT$2</f>
        <v>0</v>
      </c>
      <c r="AU508" s="88">
        <f>SUMIF(月間集計シート!$M$134:$M$153,$G508,月間集計シート!P$134:P$153)*AU$2</f>
        <v>0</v>
      </c>
      <c r="AV508" s="88">
        <f>SUMIF(月間集計シート!$M$134:$M$153,$G508,月間集計シート!Q$134:Q$153)*AV$2</f>
        <v>0</v>
      </c>
      <c r="AW508" s="88">
        <f>SUMIF(月間集計シート!$M$134:$M$153,$G508,月間集計シート!R$134:R$153)*AW$2</f>
        <v>0</v>
      </c>
      <c r="AX508" s="88">
        <f>SUMIF(月間集計シート!$M$134:$M$153,$G508,月間集計シート!S$134:S$153)*AX$2</f>
        <v>0</v>
      </c>
      <c r="AY508" s="88">
        <f>SUMIF(月間集計シート!$M$134:$M$153,$G508,月間集計シート!T$134:T$153)*AY$2</f>
        <v>0</v>
      </c>
    </row>
    <row r="509" spans="1:51" ht="14.25" thickBot="1">
      <c r="A509">
        <v>6</v>
      </c>
      <c r="B509" s="120">
        <f t="shared" si="244"/>
        <v>0</v>
      </c>
      <c r="C509" s="120" t="str">
        <f t="shared" si="244"/>
        <v/>
      </c>
      <c r="D509" s="137"/>
      <c r="E509" s="150" t="str">
        <f>工種!A76</f>
        <v>90199</v>
      </c>
      <c r="F509" s="119" t="str">
        <f>工種!B76</f>
        <v>管理業務：その他</v>
      </c>
      <c r="G509" s="116" t="str">
        <f t="shared" si="241"/>
        <v>090199</v>
      </c>
      <c r="H509" s="88">
        <f t="shared" si="243"/>
        <v>0</v>
      </c>
      <c r="I509" s="132"/>
      <c r="J509" s="88">
        <f>SUMIF(月間集計シート!$M$29:$M$48,$G509,月間集計シート!N$29:N$48)*J$2</f>
        <v>0</v>
      </c>
      <c r="K509" s="88">
        <f>SUMIF(月間集計シート!$M$29:$M$48,$G509,月間集計シート!O$29:O$48)*K$2</f>
        <v>0</v>
      </c>
      <c r="L509" s="88">
        <f>SUMIF(月間集計シート!$M$29:$M$48,$G509,月間集計シート!P$29:P$48)*L$2</f>
        <v>0</v>
      </c>
      <c r="M509" s="88">
        <f>SUMIF(月間集計シート!$M$29:$M$48,$G509,月間集計シート!Q$29:Q$48)*M$2</f>
        <v>0</v>
      </c>
      <c r="N509" s="88">
        <f>SUMIF(月間集計シート!$M$29:$M$48,$G509,月間集計シート!R$29:R$48)*N$2</f>
        <v>0</v>
      </c>
      <c r="O509" s="88">
        <f>SUMIF(月間集計シート!$M$29:$M$48,$G509,月間集計シート!S$29:S$48)*O$2</f>
        <v>0</v>
      </c>
      <c r="P509" s="88">
        <f>SUMIF(月間集計シート!$M$29:$M$48,$G509,月間集計シート!T$29:T$48)*P$2</f>
        <v>0</v>
      </c>
      <c r="Q509" s="88">
        <f>SUMIF(月間集計シート!$M$50:$M$69,$G509,月間集計シート!N$50:N$69)*Q$2</f>
        <v>0</v>
      </c>
      <c r="R509" s="88">
        <f>SUMIF(月間集計シート!$M$50:$M$69,$G509,月間集計シート!O$50:O$69)*R$2</f>
        <v>0</v>
      </c>
      <c r="S509" s="88">
        <f>SUMIF(月間集計シート!$M$50:$M$69,$G509,月間集計シート!P$50:P$69)*S$2</f>
        <v>0</v>
      </c>
      <c r="T509" s="88">
        <f>SUMIF(月間集計シート!$M$50:$M$69,$G509,月間集計シート!Q$50:Q$69)*T$2</f>
        <v>0</v>
      </c>
      <c r="U509" s="88">
        <f>SUMIF(月間集計シート!$M$50:$M$69,$G509,月間集計シート!R$50:R$69)*U$2</f>
        <v>0</v>
      </c>
      <c r="V509" s="88">
        <f>SUMIF(月間集計シート!$M$50:$M$69,$G509,月間集計シート!S$50:S$69)*V$2</f>
        <v>0</v>
      </c>
      <c r="W509" s="88">
        <f>SUMIF(月間集計シート!$M$50:$M$69,$G509,月間集計シート!T$50:T$69)*W$2</f>
        <v>0</v>
      </c>
      <c r="X509" s="88">
        <f>SUMIF(月間集計シート!$M$71:$M$90,$G509,月間集計シート!N$71:N$90)*X$2</f>
        <v>0</v>
      </c>
      <c r="Y509" s="88">
        <f>SUMIF(月間集計シート!$M$71:$M$90,$G509,月間集計シート!O$71:O$90)*Y$2</f>
        <v>0</v>
      </c>
      <c r="Z509" s="88">
        <f>SUMIF(月間集計シート!$M$71:$M$90,$G509,月間集計シート!P$71:P$90)*Z$2</f>
        <v>0</v>
      </c>
      <c r="AA509" s="88">
        <f>SUMIF(月間集計シート!$M$71:$M$90,$G509,月間集計シート!Q$71:Q$90)*AA$2</f>
        <v>0</v>
      </c>
      <c r="AB509" s="88">
        <f>SUMIF(月間集計シート!$M$71:$M$90,$G509,月間集計シート!R$71:R$90)*AB$2</f>
        <v>0</v>
      </c>
      <c r="AC509" s="88">
        <f>SUMIF(月間集計シート!$M$71:$M$90,$G509,月間集計シート!S$71:S$90)*AC$2</f>
        <v>0</v>
      </c>
      <c r="AD509" s="88">
        <f>SUMIF(月間集計シート!$M$71:$M$90,$G509,月間集計シート!T$71:T$90)*AD$2</f>
        <v>0</v>
      </c>
      <c r="AE509" s="88">
        <f>SUMIF(月間集計シート!$M$92:$M$111,$G509,月間集計シート!N$92:N$111)*AE$2</f>
        <v>0</v>
      </c>
      <c r="AF509" s="88">
        <f>SUMIF(月間集計シート!$M$92:$M$111,$G509,月間集計シート!O$92:O$111)*AF$2</f>
        <v>0</v>
      </c>
      <c r="AG509" s="88">
        <f>SUMIF(月間集計シート!$M$92:$M$111,$G509,月間集計シート!P$92:P$111)*AG$2</f>
        <v>0</v>
      </c>
      <c r="AH509" s="88">
        <f>SUMIF(月間集計シート!$M$92:$M$111,$G509,月間集計シート!Q$92:Q$111)*AH$2</f>
        <v>0</v>
      </c>
      <c r="AI509" s="88">
        <f>SUMIF(月間集計シート!$M$92:$M$111,$G509,月間集計シート!R$92:R$111)*AI$2</f>
        <v>0</v>
      </c>
      <c r="AJ509" s="88">
        <f>SUMIF(月間集計シート!$M$92:$M$111,$G509,月間集計シート!S$92:S$111)*AJ$2</f>
        <v>0</v>
      </c>
      <c r="AK509" s="88">
        <f>SUMIF(月間集計シート!$M$92:$M$111,$G509,月間集計シート!T$92:T$111)*AK$2</f>
        <v>0</v>
      </c>
      <c r="AL509" s="88">
        <f>SUMIF(月間集計シート!$M$113:$M$132,$G509,月間集計シート!N$113:N$132)*AL$2</f>
        <v>0</v>
      </c>
      <c r="AM509" s="88">
        <f>SUMIF(月間集計シート!$M$113:$M$132,$G509,月間集計シート!O$113:O$132)*AM$2</f>
        <v>0</v>
      </c>
      <c r="AN509" s="88">
        <f>SUMIF(月間集計シート!$M$113:$M$132,$G509,月間集計シート!P$113:P$132)*AN$2</f>
        <v>0</v>
      </c>
      <c r="AO509" s="88">
        <f>SUMIF(月間集計シート!$M$113:$M$132,$G509,月間集計シート!Q$113:Q$132)*AO$2</f>
        <v>0</v>
      </c>
      <c r="AP509" s="88">
        <f>SUMIF(月間集計シート!$M$113:$M$132,$G509,月間集計シート!R$113:R$132)*AP$2</f>
        <v>0</v>
      </c>
      <c r="AQ509" s="88">
        <f>SUMIF(月間集計シート!$M$113:$M$132,$G509,月間集計シート!S$113:S$132)*AQ$2</f>
        <v>0</v>
      </c>
      <c r="AR509" s="88">
        <f>SUMIF(月間集計シート!$M$113:$M$132,$G509,月間集計シート!T$113:T$132)*AR$2</f>
        <v>0</v>
      </c>
      <c r="AS509" s="88">
        <f>SUMIF(月間集計シート!$M$134:$M$153,$G509,月間集計シート!N$134:N$153)*AS$2</f>
        <v>0</v>
      </c>
      <c r="AT509" s="88">
        <f>SUMIF(月間集計シート!$M$134:$M$153,$G509,月間集計シート!O$134:O$153)*AT$2</f>
        <v>0</v>
      </c>
      <c r="AU509" s="88">
        <f>SUMIF(月間集計シート!$M$134:$M$153,$G509,月間集計シート!P$134:P$153)*AU$2</f>
        <v>0</v>
      </c>
      <c r="AV509" s="88">
        <f>SUMIF(月間集計シート!$M$134:$M$153,$G509,月間集計シート!Q$134:Q$153)*AV$2</f>
        <v>0</v>
      </c>
      <c r="AW509" s="88">
        <f>SUMIF(月間集計シート!$M$134:$M$153,$G509,月間集計シート!R$134:R$153)*AW$2</f>
        <v>0</v>
      </c>
      <c r="AX509" s="88">
        <f>SUMIF(月間集計シート!$M$134:$M$153,$G509,月間集計シート!S$134:S$153)*AX$2</f>
        <v>0</v>
      </c>
      <c r="AY509" s="88">
        <f>SUMIF(月間集計シート!$M$134:$M$153,$G509,月間集計シート!T$134:T$153)*AY$2</f>
        <v>0</v>
      </c>
    </row>
    <row r="510" spans="1:51" ht="14.25" thickBot="1">
      <c r="A510">
        <v>6</v>
      </c>
      <c r="B510" s="120">
        <f t="shared" si="244"/>
        <v>0</v>
      </c>
      <c r="C510" s="120" t="str">
        <f t="shared" si="244"/>
        <v/>
      </c>
      <c r="D510" s="137"/>
      <c r="E510" s="150">
        <f>工種!A77</f>
        <v>99102</v>
      </c>
      <c r="F510" s="119" t="str">
        <f>工種!B77</f>
        <v>間接業務：業務環境管理（PCｾｯﾄｱｯﾌﾟ等）</v>
      </c>
      <c r="G510" s="116" t="str">
        <f t="shared" si="241"/>
        <v>099102</v>
      </c>
      <c r="H510" s="88">
        <f t="shared" si="243"/>
        <v>0</v>
      </c>
      <c r="I510" s="132"/>
      <c r="J510" s="88">
        <f>SUMIF(月間集計シート!$M$29:$M$48,$G510,月間集計シート!N$29:N$48)*J$2</f>
        <v>0</v>
      </c>
      <c r="K510" s="88">
        <f>SUMIF(月間集計シート!$M$29:$M$48,$G510,月間集計シート!O$29:O$48)*K$2</f>
        <v>0</v>
      </c>
      <c r="L510" s="88">
        <f>SUMIF(月間集計シート!$M$29:$M$48,$G510,月間集計シート!P$29:P$48)*L$2</f>
        <v>0</v>
      </c>
      <c r="M510" s="88">
        <f>SUMIF(月間集計シート!$M$29:$M$48,$G510,月間集計シート!Q$29:Q$48)*M$2</f>
        <v>0</v>
      </c>
      <c r="N510" s="88">
        <f>SUMIF(月間集計シート!$M$29:$M$48,$G510,月間集計シート!R$29:R$48)*N$2</f>
        <v>0</v>
      </c>
      <c r="O510" s="88">
        <f>SUMIF(月間集計シート!$M$29:$M$48,$G510,月間集計シート!S$29:S$48)*O$2</f>
        <v>0</v>
      </c>
      <c r="P510" s="88">
        <f>SUMIF(月間集計シート!$M$29:$M$48,$G510,月間集計シート!T$29:T$48)*P$2</f>
        <v>0</v>
      </c>
      <c r="Q510" s="88">
        <f>SUMIF(月間集計シート!$M$50:$M$69,$G510,月間集計シート!N$50:N$69)*Q$2</f>
        <v>0</v>
      </c>
      <c r="R510" s="88">
        <f>SUMIF(月間集計シート!$M$50:$M$69,$G510,月間集計シート!O$50:O$69)*R$2</f>
        <v>0</v>
      </c>
      <c r="S510" s="88">
        <f>SUMIF(月間集計シート!$M$50:$M$69,$G510,月間集計シート!P$50:P$69)*S$2</f>
        <v>0</v>
      </c>
      <c r="T510" s="88">
        <f>SUMIF(月間集計シート!$M$50:$M$69,$G510,月間集計シート!Q$50:Q$69)*T$2</f>
        <v>0</v>
      </c>
      <c r="U510" s="88">
        <f>SUMIF(月間集計シート!$M$50:$M$69,$G510,月間集計シート!R$50:R$69)*U$2</f>
        <v>0</v>
      </c>
      <c r="V510" s="88">
        <f>SUMIF(月間集計シート!$M$50:$M$69,$G510,月間集計シート!S$50:S$69)*V$2</f>
        <v>0</v>
      </c>
      <c r="W510" s="88">
        <f>SUMIF(月間集計シート!$M$50:$M$69,$G510,月間集計シート!T$50:T$69)*W$2</f>
        <v>0</v>
      </c>
      <c r="X510" s="88">
        <f>SUMIF(月間集計シート!$M$71:$M$90,$G510,月間集計シート!N$71:N$90)*X$2</f>
        <v>0</v>
      </c>
      <c r="Y510" s="88">
        <f>SUMIF(月間集計シート!$M$71:$M$90,$G510,月間集計シート!O$71:O$90)*Y$2</f>
        <v>0</v>
      </c>
      <c r="Z510" s="88">
        <f>SUMIF(月間集計シート!$M$71:$M$90,$G510,月間集計シート!P$71:P$90)*Z$2</f>
        <v>0</v>
      </c>
      <c r="AA510" s="88">
        <f>SUMIF(月間集計シート!$M$71:$M$90,$G510,月間集計シート!Q$71:Q$90)*AA$2</f>
        <v>0</v>
      </c>
      <c r="AB510" s="88">
        <f>SUMIF(月間集計シート!$M$71:$M$90,$G510,月間集計シート!R$71:R$90)*AB$2</f>
        <v>0</v>
      </c>
      <c r="AC510" s="88">
        <f>SUMIF(月間集計シート!$M$71:$M$90,$G510,月間集計シート!S$71:S$90)*AC$2</f>
        <v>0</v>
      </c>
      <c r="AD510" s="88">
        <f>SUMIF(月間集計シート!$M$71:$M$90,$G510,月間集計シート!T$71:T$90)*AD$2</f>
        <v>0</v>
      </c>
      <c r="AE510" s="88">
        <f>SUMIF(月間集計シート!$M$92:$M$111,$G510,月間集計シート!N$92:N$111)*AE$2</f>
        <v>0</v>
      </c>
      <c r="AF510" s="88">
        <f>SUMIF(月間集計シート!$M$92:$M$111,$G510,月間集計シート!O$92:O$111)*AF$2</f>
        <v>0</v>
      </c>
      <c r="AG510" s="88">
        <f>SUMIF(月間集計シート!$M$92:$M$111,$G510,月間集計シート!P$92:P$111)*AG$2</f>
        <v>0</v>
      </c>
      <c r="AH510" s="88">
        <f>SUMIF(月間集計シート!$M$92:$M$111,$G510,月間集計シート!Q$92:Q$111)*AH$2</f>
        <v>0</v>
      </c>
      <c r="AI510" s="88">
        <f>SUMIF(月間集計シート!$M$92:$M$111,$G510,月間集計シート!R$92:R$111)*AI$2</f>
        <v>0</v>
      </c>
      <c r="AJ510" s="88">
        <f>SUMIF(月間集計シート!$M$92:$M$111,$G510,月間集計シート!S$92:S$111)*AJ$2</f>
        <v>0</v>
      </c>
      <c r="AK510" s="88">
        <f>SUMIF(月間集計シート!$M$92:$M$111,$G510,月間集計シート!T$92:T$111)*AK$2</f>
        <v>0</v>
      </c>
      <c r="AL510" s="88">
        <f>SUMIF(月間集計シート!$M$113:$M$132,$G510,月間集計シート!N$113:N$132)*AL$2</f>
        <v>0</v>
      </c>
      <c r="AM510" s="88">
        <f>SUMIF(月間集計シート!$M$113:$M$132,$G510,月間集計シート!O$113:O$132)*AM$2</f>
        <v>0</v>
      </c>
      <c r="AN510" s="88">
        <f>SUMIF(月間集計シート!$M$113:$M$132,$G510,月間集計シート!P$113:P$132)*AN$2</f>
        <v>0</v>
      </c>
      <c r="AO510" s="88">
        <f>SUMIF(月間集計シート!$M$113:$M$132,$G510,月間集計シート!Q$113:Q$132)*AO$2</f>
        <v>0</v>
      </c>
      <c r="AP510" s="88">
        <f>SUMIF(月間集計シート!$M$113:$M$132,$G510,月間集計シート!R$113:R$132)*AP$2</f>
        <v>0</v>
      </c>
      <c r="AQ510" s="88">
        <f>SUMIF(月間集計シート!$M$113:$M$132,$G510,月間集計シート!S$113:S$132)*AQ$2</f>
        <v>0</v>
      </c>
      <c r="AR510" s="88">
        <f>SUMIF(月間集計シート!$M$113:$M$132,$G510,月間集計シート!T$113:T$132)*AR$2</f>
        <v>0</v>
      </c>
      <c r="AS510" s="88">
        <f>SUMIF(月間集計シート!$M$134:$M$153,$G510,月間集計シート!N$134:N$153)*AS$2</f>
        <v>0</v>
      </c>
      <c r="AT510" s="88">
        <f>SUMIF(月間集計シート!$M$134:$M$153,$G510,月間集計シート!O$134:O$153)*AT$2</f>
        <v>0</v>
      </c>
      <c r="AU510" s="88">
        <f>SUMIF(月間集計シート!$M$134:$M$153,$G510,月間集計シート!P$134:P$153)*AU$2</f>
        <v>0</v>
      </c>
      <c r="AV510" s="88">
        <f>SUMIF(月間集計シート!$M$134:$M$153,$G510,月間集計シート!Q$134:Q$153)*AV$2</f>
        <v>0</v>
      </c>
      <c r="AW510" s="88">
        <f>SUMIF(月間集計シート!$M$134:$M$153,$G510,月間集計シート!R$134:R$153)*AW$2</f>
        <v>0</v>
      </c>
      <c r="AX510" s="88">
        <f>SUMIF(月間集計シート!$M$134:$M$153,$G510,月間集計シート!S$134:S$153)*AX$2</f>
        <v>0</v>
      </c>
      <c r="AY510" s="88">
        <f>SUMIF(月間集計シート!$M$134:$M$153,$G510,月間集計シート!T$134:T$153)*AY$2</f>
        <v>0</v>
      </c>
    </row>
    <row r="511" spans="1:51" ht="14.25" thickBot="1">
      <c r="A511">
        <v>6</v>
      </c>
      <c r="B511" s="120">
        <f t="shared" si="244"/>
        <v>0</v>
      </c>
      <c r="C511" s="120" t="str">
        <f t="shared" si="244"/>
        <v/>
      </c>
      <c r="D511" s="137"/>
      <c r="E511" s="150" t="str">
        <f>工種!A78</f>
        <v>99103</v>
      </c>
      <c r="F511" s="119" t="str">
        <f>工種!B78</f>
        <v>間接業務：標準化・業務改善作業（開発以外）</v>
      </c>
      <c r="G511" s="116" t="str">
        <f t="shared" si="241"/>
        <v>099103</v>
      </c>
      <c r="H511" s="88">
        <f t="shared" si="243"/>
        <v>0</v>
      </c>
      <c r="I511" s="132"/>
      <c r="J511" s="88">
        <f>SUMIF(月間集計シート!$M$29:$M$48,$G511,月間集計シート!N$29:N$48)*J$2</f>
        <v>0</v>
      </c>
      <c r="K511" s="88">
        <f>SUMIF(月間集計シート!$M$29:$M$48,$G511,月間集計シート!O$29:O$48)*K$2</f>
        <v>0</v>
      </c>
      <c r="L511" s="88">
        <f>SUMIF(月間集計シート!$M$29:$M$48,$G511,月間集計シート!P$29:P$48)*L$2</f>
        <v>0</v>
      </c>
      <c r="M511" s="88">
        <f>SUMIF(月間集計シート!$M$29:$M$48,$G511,月間集計シート!Q$29:Q$48)*M$2</f>
        <v>0</v>
      </c>
      <c r="N511" s="88">
        <f>SUMIF(月間集計シート!$M$29:$M$48,$G511,月間集計シート!R$29:R$48)*N$2</f>
        <v>0</v>
      </c>
      <c r="O511" s="88">
        <f>SUMIF(月間集計シート!$M$29:$M$48,$G511,月間集計シート!S$29:S$48)*O$2</f>
        <v>0</v>
      </c>
      <c r="P511" s="88">
        <f>SUMIF(月間集計シート!$M$29:$M$48,$G511,月間集計シート!T$29:T$48)*P$2</f>
        <v>0</v>
      </c>
      <c r="Q511" s="88">
        <f>SUMIF(月間集計シート!$M$50:$M$69,$G511,月間集計シート!N$50:N$69)*Q$2</f>
        <v>0</v>
      </c>
      <c r="R511" s="88">
        <f>SUMIF(月間集計シート!$M$50:$M$69,$G511,月間集計シート!O$50:O$69)*R$2</f>
        <v>0</v>
      </c>
      <c r="S511" s="88">
        <f>SUMIF(月間集計シート!$M$50:$M$69,$G511,月間集計シート!P$50:P$69)*S$2</f>
        <v>0</v>
      </c>
      <c r="T511" s="88">
        <f>SUMIF(月間集計シート!$M$50:$M$69,$G511,月間集計シート!Q$50:Q$69)*T$2</f>
        <v>0</v>
      </c>
      <c r="U511" s="88">
        <f>SUMIF(月間集計シート!$M$50:$M$69,$G511,月間集計シート!R$50:R$69)*U$2</f>
        <v>0</v>
      </c>
      <c r="V511" s="88">
        <f>SUMIF(月間集計シート!$M$50:$M$69,$G511,月間集計シート!S$50:S$69)*V$2</f>
        <v>0</v>
      </c>
      <c r="W511" s="88">
        <f>SUMIF(月間集計シート!$M$50:$M$69,$G511,月間集計シート!T$50:T$69)*W$2</f>
        <v>0</v>
      </c>
      <c r="X511" s="88">
        <f>SUMIF(月間集計シート!$M$71:$M$90,$G511,月間集計シート!N$71:N$90)*X$2</f>
        <v>0</v>
      </c>
      <c r="Y511" s="88">
        <f>SUMIF(月間集計シート!$M$71:$M$90,$G511,月間集計シート!O$71:O$90)*Y$2</f>
        <v>0</v>
      </c>
      <c r="Z511" s="88">
        <f>SUMIF(月間集計シート!$M$71:$M$90,$G511,月間集計シート!P$71:P$90)*Z$2</f>
        <v>0</v>
      </c>
      <c r="AA511" s="88">
        <f>SUMIF(月間集計シート!$M$71:$M$90,$G511,月間集計シート!Q$71:Q$90)*AA$2</f>
        <v>0</v>
      </c>
      <c r="AB511" s="88">
        <f>SUMIF(月間集計シート!$M$71:$M$90,$G511,月間集計シート!R$71:R$90)*AB$2</f>
        <v>0</v>
      </c>
      <c r="AC511" s="88">
        <f>SUMIF(月間集計シート!$M$71:$M$90,$G511,月間集計シート!S$71:S$90)*AC$2</f>
        <v>0</v>
      </c>
      <c r="AD511" s="88">
        <f>SUMIF(月間集計シート!$M$71:$M$90,$G511,月間集計シート!T$71:T$90)*AD$2</f>
        <v>0</v>
      </c>
      <c r="AE511" s="88">
        <f>SUMIF(月間集計シート!$M$92:$M$111,$G511,月間集計シート!N$92:N$111)*AE$2</f>
        <v>0</v>
      </c>
      <c r="AF511" s="88">
        <f>SUMIF(月間集計シート!$M$92:$M$111,$G511,月間集計シート!O$92:O$111)*AF$2</f>
        <v>0</v>
      </c>
      <c r="AG511" s="88">
        <f>SUMIF(月間集計シート!$M$92:$M$111,$G511,月間集計シート!P$92:P$111)*AG$2</f>
        <v>0</v>
      </c>
      <c r="AH511" s="88">
        <f>SUMIF(月間集計シート!$M$92:$M$111,$G511,月間集計シート!Q$92:Q$111)*AH$2</f>
        <v>0</v>
      </c>
      <c r="AI511" s="88">
        <f>SUMIF(月間集計シート!$M$92:$M$111,$G511,月間集計シート!R$92:R$111)*AI$2</f>
        <v>0</v>
      </c>
      <c r="AJ511" s="88">
        <f>SUMIF(月間集計シート!$M$92:$M$111,$G511,月間集計シート!S$92:S$111)*AJ$2</f>
        <v>0</v>
      </c>
      <c r="AK511" s="88">
        <f>SUMIF(月間集計シート!$M$92:$M$111,$G511,月間集計シート!T$92:T$111)*AK$2</f>
        <v>0</v>
      </c>
      <c r="AL511" s="88">
        <f>SUMIF(月間集計シート!$M$113:$M$132,$G511,月間集計シート!N$113:N$132)*AL$2</f>
        <v>0</v>
      </c>
      <c r="AM511" s="88">
        <f>SUMIF(月間集計シート!$M$113:$M$132,$G511,月間集計シート!O$113:O$132)*AM$2</f>
        <v>0</v>
      </c>
      <c r="AN511" s="88">
        <f>SUMIF(月間集計シート!$M$113:$M$132,$G511,月間集計シート!P$113:P$132)*AN$2</f>
        <v>0</v>
      </c>
      <c r="AO511" s="88">
        <f>SUMIF(月間集計シート!$M$113:$M$132,$G511,月間集計シート!Q$113:Q$132)*AO$2</f>
        <v>0</v>
      </c>
      <c r="AP511" s="88">
        <f>SUMIF(月間集計シート!$M$113:$M$132,$G511,月間集計シート!R$113:R$132)*AP$2</f>
        <v>0</v>
      </c>
      <c r="AQ511" s="88">
        <f>SUMIF(月間集計シート!$M$113:$M$132,$G511,月間集計シート!S$113:S$132)*AQ$2</f>
        <v>0</v>
      </c>
      <c r="AR511" s="88">
        <f>SUMIF(月間集計シート!$M$113:$M$132,$G511,月間集計シート!T$113:T$132)*AR$2</f>
        <v>0</v>
      </c>
      <c r="AS511" s="88">
        <f>SUMIF(月間集計シート!$M$134:$M$153,$G511,月間集計シート!N$134:N$153)*AS$2</f>
        <v>0</v>
      </c>
      <c r="AT511" s="88">
        <f>SUMIF(月間集計シート!$M$134:$M$153,$G511,月間集計シート!O$134:O$153)*AT$2</f>
        <v>0</v>
      </c>
      <c r="AU511" s="88">
        <f>SUMIF(月間集計シート!$M$134:$M$153,$G511,月間集計シート!P$134:P$153)*AU$2</f>
        <v>0</v>
      </c>
      <c r="AV511" s="88">
        <f>SUMIF(月間集計シート!$M$134:$M$153,$G511,月間集計シート!Q$134:Q$153)*AV$2</f>
        <v>0</v>
      </c>
      <c r="AW511" s="88">
        <f>SUMIF(月間集計シート!$M$134:$M$153,$G511,月間集計シート!R$134:R$153)*AW$2</f>
        <v>0</v>
      </c>
      <c r="AX511" s="88">
        <f>SUMIF(月間集計シート!$M$134:$M$153,$G511,月間集計シート!S$134:S$153)*AX$2</f>
        <v>0</v>
      </c>
      <c r="AY511" s="88">
        <f>SUMIF(月間集計シート!$M$134:$M$153,$G511,月間集計シート!T$134:T$153)*AY$2</f>
        <v>0</v>
      </c>
    </row>
    <row r="512" spans="1:51" ht="14.25" thickBot="1">
      <c r="A512">
        <v>6</v>
      </c>
      <c r="B512" s="120">
        <f t="shared" si="244"/>
        <v>0</v>
      </c>
      <c r="C512" s="120" t="str">
        <f t="shared" si="244"/>
        <v/>
      </c>
      <c r="D512" s="137"/>
      <c r="E512" s="150" t="str">
        <f>工種!A79</f>
        <v>99104</v>
      </c>
      <c r="F512" s="119" t="str">
        <f>工種!B79</f>
        <v>間接業務：業務の引継ぎ（開発以外）</v>
      </c>
      <c r="G512" s="116" t="str">
        <f t="shared" si="241"/>
        <v>099104</v>
      </c>
      <c r="H512" s="88">
        <f t="shared" si="243"/>
        <v>0</v>
      </c>
      <c r="I512" s="132"/>
      <c r="J512" s="88">
        <f>SUMIF(月間集計シート!$M$29:$M$48,$G512,月間集計シート!N$29:N$48)*J$2</f>
        <v>0</v>
      </c>
      <c r="K512" s="88">
        <f>SUMIF(月間集計シート!$M$29:$M$48,$G512,月間集計シート!O$29:O$48)*K$2</f>
        <v>0</v>
      </c>
      <c r="L512" s="88">
        <f>SUMIF(月間集計シート!$M$29:$M$48,$G512,月間集計シート!P$29:P$48)*L$2</f>
        <v>0</v>
      </c>
      <c r="M512" s="88">
        <f>SUMIF(月間集計シート!$M$29:$M$48,$G512,月間集計シート!Q$29:Q$48)*M$2</f>
        <v>0</v>
      </c>
      <c r="N512" s="88">
        <f>SUMIF(月間集計シート!$M$29:$M$48,$G512,月間集計シート!R$29:R$48)*N$2</f>
        <v>0</v>
      </c>
      <c r="O512" s="88">
        <f>SUMIF(月間集計シート!$M$29:$M$48,$G512,月間集計シート!S$29:S$48)*O$2</f>
        <v>0</v>
      </c>
      <c r="P512" s="88">
        <f>SUMIF(月間集計シート!$M$29:$M$48,$G512,月間集計シート!T$29:T$48)*P$2</f>
        <v>0</v>
      </c>
      <c r="Q512" s="88">
        <f>SUMIF(月間集計シート!$M$50:$M$69,$G512,月間集計シート!N$50:N$69)*Q$2</f>
        <v>0</v>
      </c>
      <c r="R512" s="88">
        <f>SUMIF(月間集計シート!$M$50:$M$69,$G512,月間集計シート!O$50:O$69)*R$2</f>
        <v>0</v>
      </c>
      <c r="S512" s="88">
        <f>SUMIF(月間集計シート!$M$50:$M$69,$G512,月間集計シート!P$50:P$69)*S$2</f>
        <v>0</v>
      </c>
      <c r="T512" s="88">
        <f>SUMIF(月間集計シート!$M$50:$M$69,$G512,月間集計シート!Q$50:Q$69)*T$2</f>
        <v>0</v>
      </c>
      <c r="U512" s="88">
        <f>SUMIF(月間集計シート!$M$50:$M$69,$G512,月間集計シート!R$50:R$69)*U$2</f>
        <v>0</v>
      </c>
      <c r="V512" s="88">
        <f>SUMIF(月間集計シート!$M$50:$M$69,$G512,月間集計シート!S$50:S$69)*V$2</f>
        <v>0</v>
      </c>
      <c r="W512" s="88">
        <f>SUMIF(月間集計シート!$M$50:$M$69,$G512,月間集計シート!T$50:T$69)*W$2</f>
        <v>0</v>
      </c>
      <c r="X512" s="88">
        <f>SUMIF(月間集計シート!$M$71:$M$90,$G512,月間集計シート!N$71:N$90)*X$2</f>
        <v>0</v>
      </c>
      <c r="Y512" s="88">
        <f>SUMIF(月間集計シート!$M$71:$M$90,$G512,月間集計シート!O$71:O$90)*Y$2</f>
        <v>0</v>
      </c>
      <c r="Z512" s="88">
        <f>SUMIF(月間集計シート!$M$71:$M$90,$G512,月間集計シート!P$71:P$90)*Z$2</f>
        <v>0</v>
      </c>
      <c r="AA512" s="88">
        <f>SUMIF(月間集計シート!$M$71:$M$90,$G512,月間集計シート!Q$71:Q$90)*AA$2</f>
        <v>0</v>
      </c>
      <c r="AB512" s="88">
        <f>SUMIF(月間集計シート!$M$71:$M$90,$G512,月間集計シート!R$71:R$90)*AB$2</f>
        <v>0</v>
      </c>
      <c r="AC512" s="88">
        <f>SUMIF(月間集計シート!$M$71:$M$90,$G512,月間集計シート!S$71:S$90)*AC$2</f>
        <v>0</v>
      </c>
      <c r="AD512" s="88">
        <f>SUMIF(月間集計シート!$M$71:$M$90,$G512,月間集計シート!T$71:T$90)*AD$2</f>
        <v>0</v>
      </c>
      <c r="AE512" s="88">
        <f>SUMIF(月間集計シート!$M$92:$M$111,$G512,月間集計シート!N$92:N$111)*AE$2</f>
        <v>0</v>
      </c>
      <c r="AF512" s="88">
        <f>SUMIF(月間集計シート!$M$92:$M$111,$G512,月間集計シート!O$92:O$111)*AF$2</f>
        <v>0</v>
      </c>
      <c r="AG512" s="88">
        <f>SUMIF(月間集計シート!$M$92:$M$111,$G512,月間集計シート!P$92:P$111)*AG$2</f>
        <v>0</v>
      </c>
      <c r="AH512" s="88">
        <f>SUMIF(月間集計シート!$M$92:$M$111,$G512,月間集計シート!Q$92:Q$111)*AH$2</f>
        <v>0</v>
      </c>
      <c r="AI512" s="88">
        <f>SUMIF(月間集計シート!$M$92:$M$111,$G512,月間集計シート!R$92:R$111)*AI$2</f>
        <v>0</v>
      </c>
      <c r="AJ512" s="88">
        <f>SUMIF(月間集計シート!$M$92:$M$111,$G512,月間集計シート!S$92:S$111)*AJ$2</f>
        <v>0</v>
      </c>
      <c r="AK512" s="88">
        <f>SUMIF(月間集計シート!$M$92:$M$111,$G512,月間集計シート!T$92:T$111)*AK$2</f>
        <v>0</v>
      </c>
      <c r="AL512" s="88">
        <f>SUMIF(月間集計シート!$M$113:$M$132,$G512,月間集計シート!N$113:N$132)*AL$2</f>
        <v>0</v>
      </c>
      <c r="AM512" s="88">
        <f>SUMIF(月間集計シート!$M$113:$M$132,$G512,月間集計シート!O$113:O$132)*AM$2</f>
        <v>0</v>
      </c>
      <c r="AN512" s="88">
        <f>SUMIF(月間集計シート!$M$113:$M$132,$G512,月間集計シート!P$113:P$132)*AN$2</f>
        <v>0</v>
      </c>
      <c r="AO512" s="88">
        <f>SUMIF(月間集計シート!$M$113:$M$132,$G512,月間集計シート!Q$113:Q$132)*AO$2</f>
        <v>0</v>
      </c>
      <c r="AP512" s="88">
        <f>SUMIF(月間集計シート!$M$113:$M$132,$G512,月間集計シート!R$113:R$132)*AP$2</f>
        <v>0</v>
      </c>
      <c r="AQ512" s="88">
        <f>SUMIF(月間集計シート!$M$113:$M$132,$G512,月間集計シート!S$113:S$132)*AQ$2</f>
        <v>0</v>
      </c>
      <c r="AR512" s="88">
        <f>SUMIF(月間集計シート!$M$113:$M$132,$G512,月間集計シート!T$113:T$132)*AR$2</f>
        <v>0</v>
      </c>
      <c r="AS512" s="88">
        <f>SUMIF(月間集計シート!$M$134:$M$153,$G512,月間集計シート!N$134:N$153)*AS$2</f>
        <v>0</v>
      </c>
      <c r="AT512" s="88">
        <f>SUMIF(月間集計シート!$M$134:$M$153,$G512,月間集計シート!O$134:O$153)*AT$2</f>
        <v>0</v>
      </c>
      <c r="AU512" s="88">
        <f>SUMIF(月間集計シート!$M$134:$M$153,$G512,月間集計シート!P$134:P$153)*AU$2</f>
        <v>0</v>
      </c>
      <c r="AV512" s="88">
        <f>SUMIF(月間集計シート!$M$134:$M$153,$G512,月間集計シート!Q$134:Q$153)*AV$2</f>
        <v>0</v>
      </c>
      <c r="AW512" s="88">
        <f>SUMIF(月間集計シート!$M$134:$M$153,$G512,月間集計シート!R$134:R$153)*AW$2</f>
        <v>0</v>
      </c>
      <c r="AX512" s="88">
        <f>SUMIF(月間集計シート!$M$134:$M$153,$G512,月間集計シート!S$134:S$153)*AX$2</f>
        <v>0</v>
      </c>
      <c r="AY512" s="88">
        <f>SUMIF(月間集計シート!$M$134:$M$153,$G512,月間集計シート!T$134:T$153)*AY$2</f>
        <v>0</v>
      </c>
    </row>
    <row r="513" spans="1:51" ht="14.25" thickBot="1">
      <c r="A513">
        <v>6</v>
      </c>
      <c r="B513" s="120">
        <f t="shared" si="244"/>
        <v>0</v>
      </c>
      <c r="C513" s="120" t="str">
        <f t="shared" si="244"/>
        <v/>
      </c>
      <c r="D513" s="137"/>
      <c r="E513" s="150" t="str">
        <f>工種!A80</f>
        <v>99106</v>
      </c>
      <c r="F513" s="119" t="str">
        <f>工種!B80</f>
        <v>間接業務：研修・学習</v>
      </c>
      <c r="G513" s="116" t="str">
        <f t="shared" si="241"/>
        <v>099106</v>
      </c>
      <c r="H513" s="88">
        <f t="shared" si="243"/>
        <v>0</v>
      </c>
      <c r="I513" s="132"/>
      <c r="J513" s="88">
        <f>SUMIF(月間集計シート!$M$29:$M$48,$G513,月間集計シート!N$29:N$48)*J$2</f>
        <v>0</v>
      </c>
      <c r="K513" s="88">
        <f>SUMIF(月間集計シート!$M$29:$M$48,$G513,月間集計シート!O$29:O$48)*K$2</f>
        <v>0</v>
      </c>
      <c r="L513" s="88">
        <f>SUMIF(月間集計シート!$M$29:$M$48,$G513,月間集計シート!P$29:P$48)*L$2</f>
        <v>0</v>
      </c>
      <c r="M513" s="88">
        <f>SUMIF(月間集計シート!$M$29:$M$48,$G513,月間集計シート!Q$29:Q$48)*M$2</f>
        <v>0</v>
      </c>
      <c r="N513" s="88">
        <f>SUMIF(月間集計シート!$M$29:$M$48,$G513,月間集計シート!R$29:R$48)*N$2</f>
        <v>0</v>
      </c>
      <c r="O513" s="88">
        <f>SUMIF(月間集計シート!$M$29:$M$48,$G513,月間集計シート!S$29:S$48)*O$2</f>
        <v>0</v>
      </c>
      <c r="P513" s="88">
        <f>SUMIF(月間集計シート!$M$29:$M$48,$G513,月間集計シート!T$29:T$48)*P$2</f>
        <v>0</v>
      </c>
      <c r="Q513" s="88">
        <f>SUMIF(月間集計シート!$M$50:$M$69,$G513,月間集計シート!N$50:N$69)*Q$2</f>
        <v>0</v>
      </c>
      <c r="R513" s="88">
        <f>SUMIF(月間集計シート!$M$50:$M$69,$G513,月間集計シート!O$50:O$69)*R$2</f>
        <v>0</v>
      </c>
      <c r="S513" s="88">
        <f>SUMIF(月間集計シート!$M$50:$M$69,$G513,月間集計シート!P$50:P$69)*S$2</f>
        <v>0</v>
      </c>
      <c r="T513" s="88">
        <f>SUMIF(月間集計シート!$M$50:$M$69,$G513,月間集計シート!Q$50:Q$69)*T$2</f>
        <v>0</v>
      </c>
      <c r="U513" s="88">
        <f>SUMIF(月間集計シート!$M$50:$M$69,$G513,月間集計シート!R$50:R$69)*U$2</f>
        <v>0</v>
      </c>
      <c r="V513" s="88">
        <f>SUMIF(月間集計シート!$M$50:$M$69,$G513,月間集計シート!S$50:S$69)*V$2</f>
        <v>0</v>
      </c>
      <c r="W513" s="88">
        <f>SUMIF(月間集計シート!$M$50:$M$69,$G513,月間集計シート!T$50:T$69)*W$2</f>
        <v>0</v>
      </c>
      <c r="X513" s="88">
        <f>SUMIF(月間集計シート!$M$71:$M$90,$G513,月間集計シート!N$71:N$90)*X$2</f>
        <v>0</v>
      </c>
      <c r="Y513" s="88">
        <f>SUMIF(月間集計シート!$M$71:$M$90,$G513,月間集計シート!O$71:O$90)*Y$2</f>
        <v>0</v>
      </c>
      <c r="Z513" s="88">
        <f>SUMIF(月間集計シート!$M$71:$M$90,$G513,月間集計シート!P$71:P$90)*Z$2</f>
        <v>0</v>
      </c>
      <c r="AA513" s="88">
        <f>SUMIF(月間集計シート!$M$71:$M$90,$G513,月間集計シート!Q$71:Q$90)*AA$2</f>
        <v>0</v>
      </c>
      <c r="AB513" s="88">
        <f>SUMIF(月間集計シート!$M$71:$M$90,$G513,月間集計シート!R$71:R$90)*AB$2</f>
        <v>0</v>
      </c>
      <c r="AC513" s="88">
        <f>SUMIF(月間集計シート!$M$71:$M$90,$G513,月間集計シート!S$71:S$90)*AC$2</f>
        <v>0</v>
      </c>
      <c r="AD513" s="88">
        <f>SUMIF(月間集計シート!$M$71:$M$90,$G513,月間集計シート!T$71:T$90)*AD$2</f>
        <v>0</v>
      </c>
      <c r="AE513" s="88">
        <f>SUMIF(月間集計シート!$M$92:$M$111,$G513,月間集計シート!N$92:N$111)*AE$2</f>
        <v>0</v>
      </c>
      <c r="AF513" s="88">
        <f>SUMIF(月間集計シート!$M$92:$M$111,$G513,月間集計シート!O$92:O$111)*AF$2</f>
        <v>0</v>
      </c>
      <c r="AG513" s="88">
        <f>SUMIF(月間集計シート!$M$92:$M$111,$G513,月間集計シート!P$92:P$111)*AG$2</f>
        <v>0</v>
      </c>
      <c r="AH513" s="88">
        <f>SUMIF(月間集計シート!$M$92:$M$111,$G513,月間集計シート!Q$92:Q$111)*AH$2</f>
        <v>0</v>
      </c>
      <c r="AI513" s="88">
        <f>SUMIF(月間集計シート!$M$92:$M$111,$G513,月間集計シート!R$92:R$111)*AI$2</f>
        <v>0</v>
      </c>
      <c r="AJ513" s="88">
        <f>SUMIF(月間集計シート!$M$92:$M$111,$G513,月間集計シート!S$92:S$111)*AJ$2</f>
        <v>0</v>
      </c>
      <c r="AK513" s="88">
        <f>SUMIF(月間集計シート!$M$92:$M$111,$G513,月間集計シート!T$92:T$111)*AK$2</f>
        <v>0</v>
      </c>
      <c r="AL513" s="88">
        <f>SUMIF(月間集計シート!$M$113:$M$132,$G513,月間集計シート!N$113:N$132)*AL$2</f>
        <v>0</v>
      </c>
      <c r="AM513" s="88">
        <f>SUMIF(月間集計シート!$M$113:$M$132,$G513,月間集計シート!O$113:O$132)*AM$2</f>
        <v>0</v>
      </c>
      <c r="AN513" s="88">
        <f>SUMIF(月間集計シート!$M$113:$M$132,$G513,月間集計シート!P$113:P$132)*AN$2</f>
        <v>0</v>
      </c>
      <c r="AO513" s="88">
        <f>SUMIF(月間集計シート!$M$113:$M$132,$G513,月間集計シート!Q$113:Q$132)*AO$2</f>
        <v>0</v>
      </c>
      <c r="AP513" s="88">
        <f>SUMIF(月間集計シート!$M$113:$M$132,$G513,月間集計シート!R$113:R$132)*AP$2</f>
        <v>0</v>
      </c>
      <c r="AQ513" s="88">
        <f>SUMIF(月間集計シート!$M$113:$M$132,$G513,月間集計シート!S$113:S$132)*AQ$2</f>
        <v>0</v>
      </c>
      <c r="AR513" s="88">
        <f>SUMIF(月間集計シート!$M$113:$M$132,$G513,月間集計シート!T$113:T$132)*AR$2</f>
        <v>0</v>
      </c>
      <c r="AS513" s="88">
        <f>SUMIF(月間集計シート!$M$134:$M$153,$G513,月間集計シート!N$134:N$153)*AS$2</f>
        <v>0</v>
      </c>
      <c r="AT513" s="88">
        <f>SUMIF(月間集計シート!$M$134:$M$153,$G513,月間集計シート!O$134:O$153)*AT$2</f>
        <v>0</v>
      </c>
      <c r="AU513" s="88">
        <f>SUMIF(月間集計シート!$M$134:$M$153,$G513,月間集計シート!P$134:P$153)*AU$2</f>
        <v>0</v>
      </c>
      <c r="AV513" s="88">
        <f>SUMIF(月間集計シート!$M$134:$M$153,$G513,月間集計シート!Q$134:Q$153)*AV$2</f>
        <v>0</v>
      </c>
      <c r="AW513" s="88">
        <f>SUMIF(月間集計シート!$M$134:$M$153,$G513,月間集計シート!R$134:R$153)*AW$2</f>
        <v>0</v>
      </c>
      <c r="AX513" s="88">
        <f>SUMIF(月間集計シート!$M$134:$M$153,$G513,月間集計シート!S$134:S$153)*AX$2</f>
        <v>0</v>
      </c>
      <c r="AY513" s="88">
        <f>SUMIF(月間集計シート!$M$134:$M$153,$G513,月間集計シート!T$134:T$153)*AY$2</f>
        <v>0</v>
      </c>
    </row>
    <row r="514" spans="1:51" ht="14.25" thickBot="1">
      <c r="A514">
        <v>6</v>
      </c>
      <c r="B514" s="120">
        <f t="shared" si="244"/>
        <v>0</v>
      </c>
      <c r="C514" s="120" t="str">
        <f t="shared" si="244"/>
        <v/>
      </c>
      <c r="D514" s="137"/>
      <c r="E514" s="150" t="str">
        <f>工種!A81</f>
        <v>99107</v>
      </c>
      <c r="F514" s="119" t="str">
        <f>工種!B81</f>
        <v>間接業務：事務作業（開発以外）</v>
      </c>
      <c r="G514" s="116" t="str">
        <f t="shared" ref="G514:G515" si="245">B514&amp;E514</f>
        <v>099107</v>
      </c>
      <c r="H514" s="88">
        <f t="shared" ref="H514:H515" si="246">SUM(J514:AY514)</f>
        <v>0</v>
      </c>
      <c r="I514" s="132"/>
      <c r="J514" s="88">
        <f>SUMIF(月間集計シート!$M$29:$M$48,$G514,月間集計シート!N$29:N$48)*J$2</f>
        <v>0</v>
      </c>
      <c r="K514" s="88">
        <f>SUMIF(月間集計シート!$M$29:$M$48,$G514,月間集計シート!O$29:O$48)*K$2</f>
        <v>0</v>
      </c>
      <c r="L514" s="88">
        <f>SUMIF(月間集計シート!$M$29:$M$48,$G514,月間集計シート!P$29:P$48)*L$2</f>
        <v>0</v>
      </c>
      <c r="M514" s="88">
        <f>SUMIF(月間集計シート!$M$29:$M$48,$G514,月間集計シート!Q$29:Q$48)*M$2</f>
        <v>0</v>
      </c>
      <c r="N514" s="88">
        <f>SUMIF(月間集計シート!$M$29:$M$48,$G514,月間集計シート!R$29:R$48)*N$2</f>
        <v>0</v>
      </c>
      <c r="O514" s="88">
        <f>SUMIF(月間集計シート!$M$29:$M$48,$G514,月間集計シート!S$29:S$48)*O$2</f>
        <v>0</v>
      </c>
      <c r="P514" s="88">
        <f>SUMIF(月間集計シート!$M$29:$M$48,$G514,月間集計シート!T$29:T$48)*P$2</f>
        <v>0</v>
      </c>
      <c r="Q514" s="88">
        <f>SUMIF(月間集計シート!$M$50:$M$69,$G514,月間集計シート!N$50:N$69)*Q$2</f>
        <v>0</v>
      </c>
      <c r="R514" s="88">
        <f>SUMIF(月間集計シート!$M$50:$M$69,$G514,月間集計シート!O$50:O$69)*R$2</f>
        <v>0</v>
      </c>
      <c r="S514" s="88">
        <f>SUMIF(月間集計シート!$M$50:$M$69,$G514,月間集計シート!P$50:P$69)*S$2</f>
        <v>0</v>
      </c>
      <c r="T514" s="88">
        <f>SUMIF(月間集計シート!$M$50:$M$69,$G514,月間集計シート!Q$50:Q$69)*T$2</f>
        <v>0</v>
      </c>
      <c r="U514" s="88">
        <f>SUMIF(月間集計シート!$M$50:$M$69,$G514,月間集計シート!R$50:R$69)*U$2</f>
        <v>0</v>
      </c>
      <c r="V514" s="88">
        <f>SUMIF(月間集計シート!$M$50:$M$69,$G514,月間集計シート!S$50:S$69)*V$2</f>
        <v>0</v>
      </c>
      <c r="W514" s="88">
        <f>SUMIF(月間集計シート!$M$50:$M$69,$G514,月間集計シート!T$50:T$69)*W$2</f>
        <v>0</v>
      </c>
      <c r="X514" s="88">
        <f>SUMIF(月間集計シート!$M$71:$M$90,$G514,月間集計シート!N$71:N$90)*X$2</f>
        <v>0</v>
      </c>
      <c r="Y514" s="88">
        <f>SUMIF(月間集計シート!$M$71:$M$90,$G514,月間集計シート!O$71:O$90)*Y$2</f>
        <v>0</v>
      </c>
      <c r="Z514" s="88">
        <f>SUMIF(月間集計シート!$M$71:$M$90,$G514,月間集計シート!P$71:P$90)*Z$2</f>
        <v>0</v>
      </c>
      <c r="AA514" s="88">
        <f>SUMIF(月間集計シート!$M$71:$M$90,$G514,月間集計シート!Q$71:Q$90)*AA$2</f>
        <v>0</v>
      </c>
      <c r="AB514" s="88">
        <f>SUMIF(月間集計シート!$M$71:$M$90,$G514,月間集計シート!R$71:R$90)*AB$2</f>
        <v>0</v>
      </c>
      <c r="AC514" s="88">
        <f>SUMIF(月間集計シート!$M$71:$M$90,$G514,月間集計シート!S$71:S$90)*AC$2</f>
        <v>0</v>
      </c>
      <c r="AD514" s="88">
        <f>SUMIF(月間集計シート!$M$71:$M$90,$G514,月間集計シート!T$71:T$90)*AD$2</f>
        <v>0</v>
      </c>
      <c r="AE514" s="88">
        <f>SUMIF(月間集計シート!$M$92:$M$111,$G514,月間集計シート!N$92:N$111)*AE$2</f>
        <v>0</v>
      </c>
      <c r="AF514" s="88">
        <f>SUMIF(月間集計シート!$M$92:$M$111,$G514,月間集計シート!O$92:O$111)*AF$2</f>
        <v>0</v>
      </c>
      <c r="AG514" s="88">
        <f>SUMIF(月間集計シート!$M$92:$M$111,$G514,月間集計シート!P$92:P$111)*AG$2</f>
        <v>0</v>
      </c>
      <c r="AH514" s="88">
        <f>SUMIF(月間集計シート!$M$92:$M$111,$G514,月間集計シート!Q$92:Q$111)*AH$2</f>
        <v>0</v>
      </c>
      <c r="AI514" s="88">
        <f>SUMIF(月間集計シート!$M$92:$M$111,$G514,月間集計シート!R$92:R$111)*AI$2</f>
        <v>0</v>
      </c>
      <c r="AJ514" s="88">
        <f>SUMIF(月間集計シート!$M$92:$M$111,$G514,月間集計シート!S$92:S$111)*AJ$2</f>
        <v>0</v>
      </c>
      <c r="AK514" s="88">
        <f>SUMIF(月間集計シート!$M$92:$M$111,$G514,月間集計シート!T$92:T$111)*AK$2</f>
        <v>0</v>
      </c>
      <c r="AL514" s="88">
        <f>SUMIF(月間集計シート!$M$113:$M$132,$G514,月間集計シート!N$113:N$132)*AL$2</f>
        <v>0</v>
      </c>
      <c r="AM514" s="88">
        <f>SUMIF(月間集計シート!$M$113:$M$132,$G514,月間集計シート!O$113:O$132)*AM$2</f>
        <v>0</v>
      </c>
      <c r="AN514" s="88">
        <f>SUMIF(月間集計シート!$M$113:$M$132,$G514,月間集計シート!P$113:P$132)*AN$2</f>
        <v>0</v>
      </c>
      <c r="AO514" s="88">
        <f>SUMIF(月間集計シート!$M$113:$M$132,$G514,月間集計シート!Q$113:Q$132)*AO$2</f>
        <v>0</v>
      </c>
      <c r="AP514" s="88">
        <f>SUMIF(月間集計シート!$M$113:$M$132,$G514,月間集計シート!R$113:R$132)*AP$2</f>
        <v>0</v>
      </c>
      <c r="AQ514" s="88">
        <f>SUMIF(月間集計シート!$M$113:$M$132,$G514,月間集計シート!S$113:S$132)*AQ$2</f>
        <v>0</v>
      </c>
      <c r="AR514" s="88">
        <f>SUMIF(月間集計シート!$M$113:$M$132,$G514,月間集計シート!T$113:T$132)*AR$2</f>
        <v>0</v>
      </c>
      <c r="AS514" s="88">
        <f>SUMIF(月間集計シート!$M$134:$M$153,$G514,月間集計シート!N$134:N$153)*AS$2</f>
        <v>0</v>
      </c>
      <c r="AT514" s="88">
        <f>SUMIF(月間集計シート!$M$134:$M$153,$G514,月間集計シート!O$134:O$153)*AT$2</f>
        <v>0</v>
      </c>
      <c r="AU514" s="88">
        <f>SUMIF(月間集計シート!$M$134:$M$153,$G514,月間集計シート!P$134:P$153)*AU$2</f>
        <v>0</v>
      </c>
      <c r="AV514" s="88">
        <f>SUMIF(月間集計シート!$M$134:$M$153,$G514,月間集計シート!Q$134:Q$153)*AV$2</f>
        <v>0</v>
      </c>
      <c r="AW514" s="88">
        <f>SUMIF(月間集計シート!$M$134:$M$153,$G514,月間集計シート!R$134:R$153)*AW$2</f>
        <v>0</v>
      </c>
      <c r="AX514" s="88">
        <f>SUMIF(月間集計シート!$M$134:$M$153,$G514,月間集計シート!S$134:S$153)*AX$2</f>
        <v>0</v>
      </c>
      <c r="AY514" s="88">
        <f>SUMIF(月間集計シート!$M$134:$M$153,$G514,月間集計シート!T$134:T$153)*AY$2</f>
        <v>0</v>
      </c>
    </row>
    <row r="515" spans="1:51" ht="14.25" thickBot="1">
      <c r="A515">
        <v>6</v>
      </c>
      <c r="B515" s="120">
        <f t="shared" si="244"/>
        <v>0</v>
      </c>
      <c r="C515" s="120" t="str">
        <f t="shared" si="244"/>
        <v/>
      </c>
      <c r="D515" s="137"/>
      <c r="E515" s="150" t="str">
        <f>工種!A82</f>
        <v>99110</v>
      </c>
      <c r="F515" s="119" t="str">
        <f>工種!B82</f>
        <v>間接業務：打合せ</v>
      </c>
      <c r="G515" s="116" t="str">
        <f t="shared" si="245"/>
        <v>099110</v>
      </c>
      <c r="H515" s="88">
        <f t="shared" si="246"/>
        <v>0</v>
      </c>
      <c r="I515" s="132"/>
      <c r="J515" s="88">
        <f>SUMIF(月間集計シート!$M$29:$M$48,$G515,月間集計シート!N$29:N$48)*J$2</f>
        <v>0</v>
      </c>
      <c r="K515" s="88">
        <f>SUMIF(月間集計シート!$M$29:$M$48,$G515,月間集計シート!O$29:O$48)*K$2</f>
        <v>0</v>
      </c>
      <c r="L515" s="88">
        <f>SUMIF(月間集計シート!$M$29:$M$48,$G515,月間集計シート!P$29:P$48)*L$2</f>
        <v>0</v>
      </c>
      <c r="M515" s="88">
        <f>SUMIF(月間集計シート!$M$29:$M$48,$G515,月間集計シート!Q$29:Q$48)*M$2</f>
        <v>0</v>
      </c>
      <c r="N515" s="88">
        <f>SUMIF(月間集計シート!$M$29:$M$48,$G515,月間集計シート!R$29:R$48)*N$2</f>
        <v>0</v>
      </c>
      <c r="O515" s="88">
        <f>SUMIF(月間集計シート!$M$29:$M$48,$G515,月間集計シート!S$29:S$48)*O$2</f>
        <v>0</v>
      </c>
      <c r="P515" s="88">
        <f>SUMIF(月間集計シート!$M$29:$M$48,$G515,月間集計シート!T$29:T$48)*P$2</f>
        <v>0</v>
      </c>
      <c r="Q515" s="88">
        <f>SUMIF(月間集計シート!$M$50:$M$69,$G515,月間集計シート!N$50:N$69)*Q$2</f>
        <v>0</v>
      </c>
      <c r="R515" s="88">
        <f>SUMIF(月間集計シート!$M$50:$M$69,$G515,月間集計シート!O$50:O$69)*R$2</f>
        <v>0</v>
      </c>
      <c r="S515" s="88">
        <f>SUMIF(月間集計シート!$M$50:$M$69,$G515,月間集計シート!P$50:P$69)*S$2</f>
        <v>0</v>
      </c>
      <c r="T515" s="88">
        <f>SUMIF(月間集計シート!$M$50:$M$69,$G515,月間集計シート!Q$50:Q$69)*T$2</f>
        <v>0</v>
      </c>
      <c r="U515" s="88">
        <f>SUMIF(月間集計シート!$M$50:$M$69,$G515,月間集計シート!R$50:R$69)*U$2</f>
        <v>0</v>
      </c>
      <c r="V515" s="88">
        <f>SUMIF(月間集計シート!$M$50:$M$69,$G515,月間集計シート!S$50:S$69)*V$2</f>
        <v>0</v>
      </c>
      <c r="W515" s="88">
        <f>SUMIF(月間集計シート!$M$50:$M$69,$G515,月間集計シート!T$50:T$69)*W$2</f>
        <v>0</v>
      </c>
      <c r="X515" s="88">
        <f>SUMIF(月間集計シート!$M$71:$M$90,$G515,月間集計シート!N$71:N$90)*X$2</f>
        <v>0</v>
      </c>
      <c r="Y515" s="88">
        <f>SUMIF(月間集計シート!$M$71:$M$90,$G515,月間集計シート!O$71:O$90)*Y$2</f>
        <v>0</v>
      </c>
      <c r="Z515" s="88">
        <f>SUMIF(月間集計シート!$M$71:$M$90,$G515,月間集計シート!P$71:P$90)*Z$2</f>
        <v>0</v>
      </c>
      <c r="AA515" s="88">
        <f>SUMIF(月間集計シート!$M$71:$M$90,$G515,月間集計シート!Q$71:Q$90)*AA$2</f>
        <v>0</v>
      </c>
      <c r="AB515" s="88">
        <f>SUMIF(月間集計シート!$M$71:$M$90,$G515,月間集計シート!R$71:R$90)*AB$2</f>
        <v>0</v>
      </c>
      <c r="AC515" s="88">
        <f>SUMIF(月間集計シート!$M$71:$M$90,$G515,月間集計シート!S$71:S$90)*AC$2</f>
        <v>0</v>
      </c>
      <c r="AD515" s="88">
        <f>SUMIF(月間集計シート!$M$71:$M$90,$G515,月間集計シート!T$71:T$90)*AD$2</f>
        <v>0</v>
      </c>
      <c r="AE515" s="88">
        <f>SUMIF(月間集計シート!$M$92:$M$111,$G515,月間集計シート!N$92:N$111)*AE$2</f>
        <v>0</v>
      </c>
      <c r="AF515" s="88">
        <f>SUMIF(月間集計シート!$M$92:$M$111,$G515,月間集計シート!O$92:O$111)*AF$2</f>
        <v>0</v>
      </c>
      <c r="AG515" s="88">
        <f>SUMIF(月間集計シート!$M$92:$M$111,$G515,月間集計シート!P$92:P$111)*AG$2</f>
        <v>0</v>
      </c>
      <c r="AH515" s="88">
        <f>SUMIF(月間集計シート!$M$92:$M$111,$G515,月間集計シート!Q$92:Q$111)*AH$2</f>
        <v>0</v>
      </c>
      <c r="AI515" s="88">
        <f>SUMIF(月間集計シート!$M$92:$M$111,$G515,月間集計シート!R$92:R$111)*AI$2</f>
        <v>0</v>
      </c>
      <c r="AJ515" s="88">
        <f>SUMIF(月間集計シート!$M$92:$M$111,$G515,月間集計シート!S$92:S$111)*AJ$2</f>
        <v>0</v>
      </c>
      <c r="AK515" s="88">
        <f>SUMIF(月間集計シート!$M$92:$M$111,$G515,月間集計シート!T$92:T$111)*AK$2</f>
        <v>0</v>
      </c>
      <c r="AL515" s="88">
        <f>SUMIF(月間集計シート!$M$113:$M$132,$G515,月間集計シート!N$113:N$132)*AL$2</f>
        <v>0</v>
      </c>
      <c r="AM515" s="88">
        <f>SUMIF(月間集計シート!$M$113:$M$132,$G515,月間集計シート!O$113:O$132)*AM$2</f>
        <v>0</v>
      </c>
      <c r="AN515" s="88">
        <f>SUMIF(月間集計シート!$M$113:$M$132,$G515,月間集計シート!P$113:P$132)*AN$2</f>
        <v>0</v>
      </c>
      <c r="AO515" s="88">
        <f>SUMIF(月間集計シート!$M$113:$M$132,$G515,月間集計シート!Q$113:Q$132)*AO$2</f>
        <v>0</v>
      </c>
      <c r="AP515" s="88">
        <f>SUMIF(月間集計シート!$M$113:$M$132,$G515,月間集計シート!R$113:R$132)*AP$2</f>
        <v>0</v>
      </c>
      <c r="AQ515" s="88">
        <f>SUMIF(月間集計シート!$M$113:$M$132,$G515,月間集計シート!S$113:S$132)*AQ$2</f>
        <v>0</v>
      </c>
      <c r="AR515" s="88">
        <f>SUMIF(月間集計シート!$M$113:$M$132,$G515,月間集計シート!T$113:T$132)*AR$2</f>
        <v>0</v>
      </c>
      <c r="AS515" s="88">
        <f>SUMIF(月間集計シート!$M$134:$M$153,$G515,月間集計シート!N$134:N$153)*AS$2</f>
        <v>0</v>
      </c>
      <c r="AT515" s="88">
        <f>SUMIF(月間集計シート!$M$134:$M$153,$G515,月間集計シート!O$134:O$153)*AT$2</f>
        <v>0</v>
      </c>
      <c r="AU515" s="88">
        <f>SUMIF(月間集計シート!$M$134:$M$153,$G515,月間集計シート!P$134:P$153)*AU$2</f>
        <v>0</v>
      </c>
      <c r="AV515" s="88">
        <f>SUMIF(月間集計シート!$M$134:$M$153,$G515,月間集計シート!Q$134:Q$153)*AV$2</f>
        <v>0</v>
      </c>
      <c r="AW515" s="88">
        <f>SUMIF(月間集計シート!$M$134:$M$153,$G515,月間集計シート!R$134:R$153)*AW$2</f>
        <v>0</v>
      </c>
      <c r="AX515" s="88">
        <f>SUMIF(月間集計シート!$M$134:$M$153,$G515,月間集計シート!S$134:S$153)*AX$2</f>
        <v>0</v>
      </c>
      <c r="AY515" s="88">
        <f>SUMIF(月間集計シート!$M$134:$M$153,$G515,月間集計シート!T$134:T$153)*AY$2</f>
        <v>0</v>
      </c>
    </row>
    <row r="516" spans="1:51" ht="14.25" thickBot="1">
      <c r="A516">
        <v>6</v>
      </c>
      <c r="B516" s="120">
        <f t="shared" si="244"/>
        <v>0</v>
      </c>
      <c r="C516" s="120" t="str">
        <f t="shared" si="244"/>
        <v/>
      </c>
      <c r="D516" s="137"/>
      <c r="E516" s="150" t="str">
        <f>工種!A83</f>
        <v>99199</v>
      </c>
      <c r="F516" s="119" t="str">
        <f>工種!B83</f>
        <v>間接業務：その他</v>
      </c>
      <c r="G516" s="116" t="str">
        <f t="shared" si="240"/>
        <v>099199</v>
      </c>
      <c r="H516" s="88">
        <f t="shared" si="194"/>
        <v>0</v>
      </c>
      <c r="I516" s="132"/>
      <c r="J516" s="88">
        <f>SUMIF(月間集計シート!$M$29:$M$48,$G516,月間集計シート!N$29:N$48)*J$2</f>
        <v>0</v>
      </c>
      <c r="K516" s="88">
        <f>SUMIF(月間集計シート!$M$29:$M$48,$G516,月間集計シート!O$29:O$48)*K$2</f>
        <v>0</v>
      </c>
      <c r="L516" s="88">
        <f>SUMIF(月間集計シート!$M$29:$M$48,$G516,月間集計シート!P$29:P$48)*L$2</f>
        <v>0</v>
      </c>
      <c r="M516" s="88">
        <f>SUMIF(月間集計シート!$M$29:$M$48,$G516,月間集計シート!Q$29:Q$48)*M$2</f>
        <v>0</v>
      </c>
      <c r="N516" s="88">
        <f>SUMIF(月間集計シート!$M$29:$M$48,$G516,月間集計シート!R$29:R$48)*N$2</f>
        <v>0</v>
      </c>
      <c r="O516" s="88">
        <f>SUMIF(月間集計シート!$M$29:$M$48,$G516,月間集計シート!S$29:S$48)*O$2</f>
        <v>0</v>
      </c>
      <c r="P516" s="88">
        <f>SUMIF(月間集計シート!$M$29:$M$48,$G516,月間集計シート!T$29:T$48)*P$2</f>
        <v>0</v>
      </c>
      <c r="Q516" s="88">
        <f>SUMIF(月間集計シート!$M$50:$M$69,$G516,月間集計シート!N$50:N$69)*Q$2</f>
        <v>0</v>
      </c>
      <c r="R516" s="88">
        <f>SUMIF(月間集計シート!$M$50:$M$69,$G516,月間集計シート!O$50:O$69)*R$2</f>
        <v>0</v>
      </c>
      <c r="S516" s="88">
        <f>SUMIF(月間集計シート!$M$50:$M$69,$G516,月間集計シート!P$50:P$69)*S$2</f>
        <v>0</v>
      </c>
      <c r="T516" s="88">
        <f>SUMIF(月間集計シート!$M$50:$M$69,$G516,月間集計シート!Q$50:Q$69)*T$2</f>
        <v>0</v>
      </c>
      <c r="U516" s="88">
        <f>SUMIF(月間集計シート!$M$50:$M$69,$G516,月間集計シート!R$50:R$69)*U$2</f>
        <v>0</v>
      </c>
      <c r="V516" s="88">
        <f>SUMIF(月間集計シート!$M$50:$M$69,$G516,月間集計シート!S$50:S$69)*V$2</f>
        <v>0</v>
      </c>
      <c r="W516" s="88">
        <f>SUMIF(月間集計シート!$M$50:$M$69,$G516,月間集計シート!T$50:T$69)*W$2</f>
        <v>0</v>
      </c>
      <c r="X516" s="88">
        <f>SUMIF(月間集計シート!$M$71:$M$90,$G516,月間集計シート!N$71:N$90)*X$2</f>
        <v>0</v>
      </c>
      <c r="Y516" s="88">
        <f>SUMIF(月間集計シート!$M$71:$M$90,$G516,月間集計シート!O$71:O$90)*Y$2</f>
        <v>0</v>
      </c>
      <c r="Z516" s="88">
        <f>SUMIF(月間集計シート!$M$71:$M$90,$G516,月間集計シート!P$71:P$90)*Z$2</f>
        <v>0</v>
      </c>
      <c r="AA516" s="88">
        <f>SUMIF(月間集計シート!$M$71:$M$90,$G516,月間集計シート!Q$71:Q$90)*AA$2</f>
        <v>0</v>
      </c>
      <c r="AB516" s="88">
        <f>SUMIF(月間集計シート!$M$71:$M$90,$G516,月間集計シート!R$71:R$90)*AB$2</f>
        <v>0</v>
      </c>
      <c r="AC516" s="88">
        <f>SUMIF(月間集計シート!$M$71:$M$90,$G516,月間集計シート!S$71:S$90)*AC$2</f>
        <v>0</v>
      </c>
      <c r="AD516" s="88">
        <f>SUMIF(月間集計シート!$M$71:$M$90,$G516,月間集計シート!T$71:T$90)*AD$2</f>
        <v>0</v>
      </c>
      <c r="AE516" s="88">
        <f>SUMIF(月間集計シート!$M$92:$M$111,$G516,月間集計シート!N$92:N$111)*AE$2</f>
        <v>0</v>
      </c>
      <c r="AF516" s="88">
        <f>SUMIF(月間集計シート!$M$92:$M$111,$G516,月間集計シート!O$92:O$111)*AF$2</f>
        <v>0</v>
      </c>
      <c r="AG516" s="88">
        <f>SUMIF(月間集計シート!$M$92:$M$111,$G516,月間集計シート!P$92:P$111)*AG$2</f>
        <v>0</v>
      </c>
      <c r="AH516" s="88">
        <f>SUMIF(月間集計シート!$M$92:$M$111,$G516,月間集計シート!Q$92:Q$111)*AH$2</f>
        <v>0</v>
      </c>
      <c r="AI516" s="88">
        <f>SUMIF(月間集計シート!$M$92:$M$111,$G516,月間集計シート!R$92:R$111)*AI$2</f>
        <v>0</v>
      </c>
      <c r="AJ516" s="88">
        <f>SUMIF(月間集計シート!$M$92:$M$111,$G516,月間集計シート!S$92:S$111)*AJ$2</f>
        <v>0</v>
      </c>
      <c r="AK516" s="88">
        <f>SUMIF(月間集計シート!$M$92:$M$111,$G516,月間集計シート!T$92:T$111)*AK$2</f>
        <v>0</v>
      </c>
      <c r="AL516" s="88">
        <f>SUMIF(月間集計シート!$M$113:$M$132,$G516,月間集計シート!N$113:N$132)*AL$2</f>
        <v>0</v>
      </c>
      <c r="AM516" s="88">
        <f>SUMIF(月間集計シート!$M$113:$M$132,$G516,月間集計シート!O$113:O$132)*AM$2</f>
        <v>0</v>
      </c>
      <c r="AN516" s="88">
        <f>SUMIF(月間集計シート!$M$113:$M$132,$G516,月間集計シート!P$113:P$132)*AN$2</f>
        <v>0</v>
      </c>
      <c r="AO516" s="88">
        <f>SUMIF(月間集計シート!$M$113:$M$132,$G516,月間集計シート!Q$113:Q$132)*AO$2</f>
        <v>0</v>
      </c>
      <c r="AP516" s="88">
        <f>SUMIF(月間集計シート!$M$113:$M$132,$G516,月間集計シート!R$113:R$132)*AP$2</f>
        <v>0</v>
      </c>
      <c r="AQ516" s="88">
        <f>SUMIF(月間集計シート!$M$113:$M$132,$G516,月間集計シート!S$113:S$132)*AQ$2</f>
        <v>0</v>
      </c>
      <c r="AR516" s="88">
        <f>SUMIF(月間集計シート!$M$113:$M$132,$G516,月間集計シート!T$113:T$132)*AR$2</f>
        <v>0</v>
      </c>
      <c r="AS516" s="88">
        <f>SUMIF(月間集計シート!$M$134:$M$153,$G516,月間集計シート!N$134:N$153)*AS$2</f>
        <v>0</v>
      </c>
      <c r="AT516" s="88">
        <f>SUMIF(月間集計シート!$M$134:$M$153,$G516,月間集計シート!O$134:O$153)*AT$2</f>
        <v>0</v>
      </c>
      <c r="AU516" s="88">
        <f>SUMIF(月間集計シート!$M$134:$M$153,$G516,月間集計シート!P$134:P$153)*AU$2</f>
        <v>0</v>
      </c>
      <c r="AV516" s="88">
        <f>SUMIF(月間集計シート!$M$134:$M$153,$G516,月間集計シート!Q$134:Q$153)*AV$2</f>
        <v>0</v>
      </c>
      <c r="AW516" s="88">
        <f>SUMIF(月間集計シート!$M$134:$M$153,$G516,月間集計シート!R$134:R$153)*AW$2</f>
        <v>0</v>
      </c>
      <c r="AX516" s="88">
        <f>SUMIF(月間集計シート!$M$134:$M$153,$G516,月間集計シート!S$134:S$153)*AX$2</f>
        <v>0</v>
      </c>
      <c r="AY516" s="88">
        <f>SUMIF(月間集計シート!$M$134:$M$153,$G516,月間集計シート!T$134:T$153)*AY$2</f>
        <v>0</v>
      </c>
    </row>
    <row r="517" spans="1:51">
      <c r="B517" s="120"/>
      <c r="C517" s="120"/>
      <c r="D517" s="127"/>
      <c r="E517" s="115"/>
      <c r="F517" s="119"/>
      <c r="G517" s="116"/>
      <c r="H517" s="88"/>
      <c r="I517" s="132"/>
      <c r="J517" s="88"/>
      <c r="K517" s="88"/>
      <c r="L517" s="88"/>
      <c r="M517" s="88"/>
      <c r="N517" s="88"/>
      <c r="O517" s="88"/>
      <c r="P517" s="88"/>
      <c r="Q517" s="88"/>
      <c r="R517" s="88"/>
      <c r="S517" s="88"/>
      <c r="T517" s="88"/>
      <c r="U517" s="88"/>
      <c r="V517" s="88"/>
      <c r="W517" s="88"/>
      <c r="X517" s="88"/>
      <c r="Y517" s="88"/>
      <c r="Z517" s="88"/>
      <c r="AA517" s="88"/>
      <c r="AB517" s="88"/>
      <c r="AC517" s="88"/>
      <c r="AD517" s="88"/>
      <c r="AE517" s="88"/>
      <c r="AF517" s="88"/>
      <c r="AG517" s="88"/>
      <c r="AH517" s="88"/>
      <c r="AI517" s="88"/>
      <c r="AJ517" s="88"/>
      <c r="AK517" s="88"/>
      <c r="AL517" s="88"/>
      <c r="AM517" s="88"/>
      <c r="AN517" s="88"/>
      <c r="AO517" s="88"/>
      <c r="AP517" s="88"/>
      <c r="AQ517" s="88"/>
      <c r="AR517" s="88"/>
      <c r="AS517" s="88"/>
      <c r="AT517" s="88"/>
      <c r="AU517" s="88"/>
      <c r="AV517" s="88"/>
      <c r="AW517" s="88"/>
      <c r="AX517" s="88"/>
      <c r="AY517" s="88"/>
    </row>
    <row r="518" spans="1:51" ht="14.25" thickBot="1">
      <c r="A518">
        <v>7</v>
      </c>
      <c r="B518">
        <f>月間集計シート!I10</f>
        <v>0</v>
      </c>
      <c r="C518" s="116" t="str">
        <f>月間集計シート!J10</f>
        <v/>
      </c>
      <c r="D518" s="147">
        <v>1</v>
      </c>
      <c r="E518" s="115" t="s">
        <v>451</v>
      </c>
      <c r="F518" s="119" t="s">
        <v>29</v>
      </c>
      <c r="G518" s="116"/>
      <c r="H518" s="88">
        <f t="shared" ref="H518:H601" si="247">SUM(J518:AY518)</f>
        <v>0</v>
      </c>
      <c r="I518" s="132"/>
      <c r="J518" s="88">
        <f t="shared" ref="J518:AY518" si="248">SUM(J520:J601)</f>
        <v>0</v>
      </c>
      <c r="K518" s="88">
        <f t="shared" si="248"/>
        <v>0</v>
      </c>
      <c r="L518" s="88">
        <f t="shared" si="248"/>
        <v>0</v>
      </c>
      <c r="M518" s="88">
        <f t="shared" si="248"/>
        <v>0</v>
      </c>
      <c r="N518" s="88">
        <f t="shared" si="248"/>
        <v>0</v>
      </c>
      <c r="O518" s="88">
        <f t="shared" si="248"/>
        <v>0</v>
      </c>
      <c r="P518" s="88">
        <f t="shared" si="248"/>
        <v>0</v>
      </c>
      <c r="Q518" s="88">
        <f t="shared" si="248"/>
        <v>0</v>
      </c>
      <c r="R518" s="88">
        <f t="shared" si="248"/>
        <v>0</v>
      </c>
      <c r="S518" s="88">
        <f t="shared" si="248"/>
        <v>0</v>
      </c>
      <c r="T518" s="88">
        <f t="shared" si="248"/>
        <v>0</v>
      </c>
      <c r="U518" s="88">
        <f t="shared" si="248"/>
        <v>0</v>
      </c>
      <c r="V518" s="88">
        <f t="shared" si="248"/>
        <v>0</v>
      </c>
      <c r="W518" s="88">
        <f t="shared" si="248"/>
        <v>0</v>
      </c>
      <c r="X518" s="88">
        <f t="shared" si="248"/>
        <v>0</v>
      </c>
      <c r="Y518" s="88">
        <f t="shared" si="248"/>
        <v>0</v>
      </c>
      <c r="Z518" s="88">
        <f t="shared" si="248"/>
        <v>0</v>
      </c>
      <c r="AA518" s="88">
        <f t="shared" si="248"/>
        <v>0</v>
      </c>
      <c r="AB518" s="88">
        <f t="shared" si="248"/>
        <v>0</v>
      </c>
      <c r="AC518" s="88">
        <f t="shared" si="248"/>
        <v>0</v>
      </c>
      <c r="AD518" s="88">
        <f t="shared" si="248"/>
        <v>0</v>
      </c>
      <c r="AE518" s="88">
        <f t="shared" si="248"/>
        <v>0</v>
      </c>
      <c r="AF518" s="88">
        <f t="shared" si="248"/>
        <v>0</v>
      </c>
      <c r="AG518" s="88">
        <f t="shared" si="248"/>
        <v>0</v>
      </c>
      <c r="AH518" s="88">
        <f t="shared" si="248"/>
        <v>0</v>
      </c>
      <c r="AI518" s="88">
        <f t="shared" si="248"/>
        <v>0</v>
      </c>
      <c r="AJ518" s="88">
        <f t="shared" si="248"/>
        <v>0</v>
      </c>
      <c r="AK518" s="88">
        <f t="shared" si="248"/>
        <v>0</v>
      </c>
      <c r="AL518" s="88">
        <f t="shared" si="248"/>
        <v>0</v>
      </c>
      <c r="AM518" s="88">
        <f t="shared" si="248"/>
        <v>0</v>
      </c>
      <c r="AN518" s="88">
        <f t="shared" si="248"/>
        <v>0</v>
      </c>
      <c r="AO518" s="88">
        <f t="shared" si="248"/>
        <v>0</v>
      </c>
      <c r="AP518" s="88">
        <f t="shared" si="248"/>
        <v>0</v>
      </c>
      <c r="AQ518" s="88">
        <f t="shared" si="248"/>
        <v>0</v>
      </c>
      <c r="AR518" s="88">
        <f t="shared" si="248"/>
        <v>0</v>
      </c>
      <c r="AS518" s="88">
        <f t="shared" si="248"/>
        <v>0</v>
      </c>
      <c r="AT518" s="88">
        <f t="shared" si="248"/>
        <v>0</v>
      </c>
      <c r="AU518" s="88">
        <f t="shared" si="248"/>
        <v>0</v>
      </c>
      <c r="AV518" s="88">
        <f t="shared" si="248"/>
        <v>0</v>
      </c>
      <c r="AW518" s="88">
        <f t="shared" si="248"/>
        <v>0</v>
      </c>
      <c r="AX518" s="88">
        <f t="shared" si="248"/>
        <v>0</v>
      </c>
      <c r="AY518" s="88">
        <f t="shared" si="248"/>
        <v>0</v>
      </c>
    </row>
    <row r="519" spans="1:51" ht="14.25" customHeight="1" thickBot="1">
      <c r="A519">
        <v>7</v>
      </c>
      <c r="B519">
        <f>B518</f>
        <v>0</v>
      </c>
      <c r="C519" s="116" t="str">
        <f>C518</f>
        <v/>
      </c>
      <c r="D519" s="147">
        <v>1</v>
      </c>
      <c r="E519" s="115" t="s">
        <v>453</v>
      </c>
      <c r="F519" s="119" t="s">
        <v>454</v>
      </c>
      <c r="G519" s="116"/>
      <c r="H519" s="129">
        <f t="shared" ref="H519" si="249">SUM(J519:AY519)</f>
        <v>0</v>
      </c>
      <c r="I519" s="132"/>
      <c r="J519" s="88">
        <f t="shared" ref="J519:AY519" si="250">SUMIF($D520:$D601,1,J520:J601)</f>
        <v>0</v>
      </c>
      <c r="K519" s="88">
        <f t="shared" si="250"/>
        <v>0</v>
      </c>
      <c r="L519" s="88">
        <f t="shared" si="250"/>
        <v>0</v>
      </c>
      <c r="M519" s="88">
        <f t="shared" si="250"/>
        <v>0</v>
      </c>
      <c r="N519" s="88">
        <f t="shared" si="250"/>
        <v>0</v>
      </c>
      <c r="O519" s="88">
        <f t="shared" si="250"/>
        <v>0</v>
      </c>
      <c r="P519" s="88">
        <f t="shared" si="250"/>
        <v>0</v>
      </c>
      <c r="Q519" s="88">
        <f t="shared" si="250"/>
        <v>0</v>
      </c>
      <c r="R519" s="88">
        <f t="shared" si="250"/>
        <v>0</v>
      </c>
      <c r="S519" s="88">
        <f t="shared" si="250"/>
        <v>0</v>
      </c>
      <c r="T519" s="88">
        <f t="shared" si="250"/>
        <v>0</v>
      </c>
      <c r="U519" s="88">
        <f t="shared" si="250"/>
        <v>0</v>
      </c>
      <c r="V519" s="88">
        <f t="shared" si="250"/>
        <v>0</v>
      </c>
      <c r="W519" s="88">
        <f t="shared" si="250"/>
        <v>0</v>
      </c>
      <c r="X519" s="88">
        <f t="shared" si="250"/>
        <v>0</v>
      </c>
      <c r="Y519" s="88">
        <f t="shared" si="250"/>
        <v>0</v>
      </c>
      <c r="Z519" s="88">
        <f t="shared" si="250"/>
        <v>0</v>
      </c>
      <c r="AA519" s="88">
        <f t="shared" si="250"/>
        <v>0</v>
      </c>
      <c r="AB519" s="88">
        <f t="shared" si="250"/>
        <v>0</v>
      </c>
      <c r="AC519" s="88">
        <f t="shared" si="250"/>
        <v>0</v>
      </c>
      <c r="AD519" s="88">
        <f t="shared" si="250"/>
        <v>0</v>
      </c>
      <c r="AE519" s="88">
        <f t="shared" si="250"/>
        <v>0</v>
      </c>
      <c r="AF519" s="88">
        <f t="shared" si="250"/>
        <v>0</v>
      </c>
      <c r="AG519" s="88">
        <f t="shared" si="250"/>
        <v>0</v>
      </c>
      <c r="AH519" s="88">
        <f t="shared" si="250"/>
        <v>0</v>
      </c>
      <c r="AI519" s="88">
        <f t="shared" si="250"/>
        <v>0</v>
      </c>
      <c r="AJ519" s="88">
        <f t="shared" si="250"/>
        <v>0</v>
      </c>
      <c r="AK519" s="88">
        <f t="shared" si="250"/>
        <v>0</v>
      </c>
      <c r="AL519" s="88">
        <f t="shared" si="250"/>
        <v>0</v>
      </c>
      <c r="AM519" s="88">
        <f t="shared" si="250"/>
        <v>0</v>
      </c>
      <c r="AN519" s="88">
        <f t="shared" si="250"/>
        <v>0</v>
      </c>
      <c r="AO519" s="88">
        <f t="shared" si="250"/>
        <v>0</v>
      </c>
      <c r="AP519" s="88">
        <f t="shared" si="250"/>
        <v>0</v>
      </c>
      <c r="AQ519" s="88">
        <f t="shared" si="250"/>
        <v>0</v>
      </c>
      <c r="AR519" s="88">
        <f t="shared" si="250"/>
        <v>0</v>
      </c>
      <c r="AS519" s="88">
        <f t="shared" si="250"/>
        <v>0</v>
      </c>
      <c r="AT519" s="88">
        <f t="shared" si="250"/>
        <v>0</v>
      </c>
      <c r="AU519" s="88">
        <f t="shared" si="250"/>
        <v>0</v>
      </c>
      <c r="AV519" s="88">
        <f t="shared" si="250"/>
        <v>0</v>
      </c>
      <c r="AW519" s="88">
        <f t="shared" si="250"/>
        <v>0</v>
      </c>
      <c r="AX519" s="88">
        <f t="shared" si="250"/>
        <v>0</v>
      </c>
      <c r="AY519" s="88">
        <f t="shared" si="250"/>
        <v>0</v>
      </c>
    </row>
    <row r="520" spans="1:51" ht="14.25" thickBot="1">
      <c r="A520">
        <v>7</v>
      </c>
      <c r="B520" s="120">
        <f>B518</f>
        <v>0</v>
      </c>
      <c r="C520" s="120" t="str">
        <f>C518</f>
        <v/>
      </c>
      <c r="D520" s="137"/>
      <c r="E520" s="150" t="str">
        <f>工種!A2</f>
        <v>10102</v>
      </c>
      <c r="F520" s="119" t="str">
        <f>工種!B2</f>
        <v>SRS：調査・分析・開発計画の準備・実施作業</v>
      </c>
      <c r="G520" s="116" t="str">
        <f t="shared" si="240"/>
        <v>010102</v>
      </c>
      <c r="H520" s="88">
        <f t="shared" si="247"/>
        <v>0</v>
      </c>
      <c r="I520" s="132"/>
      <c r="J520" s="88">
        <f>SUMIF(月間集計シート!$M$29:$M$48,$G520,月間集計シート!N$29:N$48)*J$2</f>
        <v>0</v>
      </c>
      <c r="K520" s="88">
        <f>SUMIF(月間集計シート!$M$29:$M$48,$G520,月間集計シート!O$29:O$48)*K$2</f>
        <v>0</v>
      </c>
      <c r="L520" s="88">
        <f>SUMIF(月間集計シート!$M$29:$M$48,$G520,月間集計シート!P$29:P$48)*L$2</f>
        <v>0</v>
      </c>
      <c r="M520" s="88">
        <f>SUMIF(月間集計シート!$M$29:$M$48,$G520,月間集計シート!Q$29:Q$48)*M$2</f>
        <v>0</v>
      </c>
      <c r="N520" s="88">
        <f>SUMIF(月間集計シート!$M$29:$M$48,$G520,月間集計シート!R$29:R$48)*N$2</f>
        <v>0</v>
      </c>
      <c r="O520" s="88">
        <f>SUMIF(月間集計シート!$M$29:$M$48,$G520,月間集計シート!S$29:S$48)*O$2</f>
        <v>0</v>
      </c>
      <c r="P520" s="88">
        <f>SUMIF(月間集計シート!$M$29:$M$48,$G520,月間集計シート!T$29:T$48)*P$2</f>
        <v>0</v>
      </c>
      <c r="Q520" s="88">
        <f>SUMIF(月間集計シート!$M$50:$M$69,$G520,月間集計シート!N$50:N$69)*Q$2</f>
        <v>0</v>
      </c>
      <c r="R520" s="88">
        <f>SUMIF(月間集計シート!$M$50:$M$69,$G520,月間集計シート!O$50:O$69)*R$2</f>
        <v>0</v>
      </c>
      <c r="S520" s="88">
        <f>SUMIF(月間集計シート!$M$50:$M$69,$G520,月間集計シート!P$50:P$69)*S$2</f>
        <v>0</v>
      </c>
      <c r="T520" s="88">
        <f>SUMIF(月間集計シート!$M$50:$M$69,$G520,月間集計シート!Q$50:Q$69)*T$2</f>
        <v>0</v>
      </c>
      <c r="U520" s="88">
        <f>SUMIF(月間集計シート!$M$50:$M$69,$G520,月間集計シート!R$50:R$69)*U$2</f>
        <v>0</v>
      </c>
      <c r="V520" s="88">
        <f>SUMIF(月間集計シート!$M$50:$M$69,$G520,月間集計シート!S$50:S$69)*V$2</f>
        <v>0</v>
      </c>
      <c r="W520" s="88">
        <f>SUMIF(月間集計シート!$M$50:$M$69,$G520,月間集計シート!T$50:T$69)*W$2</f>
        <v>0</v>
      </c>
      <c r="X520" s="88">
        <f>SUMIF(月間集計シート!$M$71:$M$90,$G520,月間集計シート!N$71:N$90)*X$2</f>
        <v>0</v>
      </c>
      <c r="Y520" s="88">
        <f>SUMIF(月間集計シート!$M$71:$M$90,$G520,月間集計シート!O$71:O$90)*Y$2</f>
        <v>0</v>
      </c>
      <c r="Z520" s="88">
        <f>SUMIF(月間集計シート!$M$71:$M$90,$G520,月間集計シート!P$71:P$90)*Z$2</f>
        <v>0</v>
      </c>
      <c r="AA520" s="88">
        <f>SUMIF(月間集計シート!$M$71:$M$90,$G520,月間集計シート!Q$71:Q$90)*AA$2</f>
        <v>0</v>
      </c>
      <c r="AB520" s="88">
        <f>SUMIF(月間集計シート!$M$71:$M$90,$G520,月間集計シート!R$71:R$90)*AB$2</f>
        <v>0</v>
      </c>
      <c r="AC520" s="88">
        <f>SUMIF(月間集計シート!$M$71:$M$90,$G520,月間集計シート!S$71:S$90)*AC$2</f>
        <v>0</v>
      </c>
      <c r="AD520" s="88">
        <f>SUMIF(月間集計シート!$M$71:$M$90,$G520,月間集計シート!T$71:T$90)*AD$2</f>
        <v>0</v>
      </c>
      <c r="AE520" s="88">
        <f>SUMIF(月間集計シート!$M$92:$M$111,$G520,月間集計シート!N$92:N$111)*AE$2</f>
        <v>0</v>
      </c>
      <c r="AF520" s="88">
        <f>SUMIF(月間集計シート!$M$92:$M$111,$G520,月間集計シート!O$92:O$111)*AF$2</f>
        <v>0</v>
      </c>
      <c r="AG520" s="88">
        <f>SUMIF(月間集計シート!$M$92:$M$111,$G520,月間集計シート!P$92:P$111)*AG$2</f>
        <v>0</v>
      </c>
      <c r="AH520" s="88">
        <f>SUMIF(月間集計シート!$M$92:$M$111,$G520,月間集計シート!Q$92:Q$111)*AH$2</f>
        <v>0</v>
      </c>
      <c r="AI520" s="88">
        <f>SUMIF(月間集計シート!$M$92:$M$111,$G520,月間集計シート!R$92:R$111)*AI$2</f>
        <v>0</v>
      </c>
      <c r="AJ520" s="88">
        <f>SUMIF(月間集計シート!$M$92:$M$111,$G520,月間集計シート!S$92:S$111)*AJ$2</f>
        <v>0</v>
      </c>
      <c r="AK520" s="88">
        <f>SUMIF(月間集計シート!$M$92:$M$111,$G520,月間集計シート!T$92:T$111)*AK$2</f>
        <v>0</v>
      </c>
      <c r="AL520" s="88">
        <f>SUMIF(月間集計シート!$M$113:$M$132,$G520,月間集計シート!N$113:N$132)*AL$2</f>
        <v>0</v>
      </c>
      <c r="AM520" s="88">
        <f>SUMIF(月間集計シート!$M$113:$M$132,$G520,月間集計シート!O$113:O$132)*AM$2</f>
        <v>0</v>
      </c>
      <c r="AN520" s="88">
        <f>SUMIF(月間集計シート!$M$113:$M$132,$G520,月間集計シート!P$113:P$132)*AN$2</f>
        <v>0</v>
      </c>
      <c r="AO520" s="88">
        <f>SUMIF(月間集計シート!$M$113:$M$132,$G520,月間集計シート!Q$113:Q$132)*AO$2</f>
        <v>0</v>
      </c>
      <c r="AP520" s="88">
        <f>SUMIF(月間集計シート!$M$113:$M$132,$G520,月間集計シート!R$113:R$132)*AP$2</f>
        <v>0</v>
      </c>
      <c r="AQ520" s="88">
        <f>SUMIF(月間集計シート!$M$113:$M$132,$G520,月間集計シート!S$113:S$132)*AQ$2</f>
        <v>0</v>
      </c>
      <c r="AR520" s="88">
        <f>SUMIF(月間集計シート!$M$113:$M$132,$G520,月間集計シート!T$113:T$132)*AR$2</f>
        <v>0</v>
      </c>
      <c r="AS520" s="88">
        <f>SUMIF(月間集計シート!$M$134:$M$153,$G520,月間集計シート!N$134:N$153)*AS$2</f>
        <v>0</v>
      </c>
      <c r="AT520" s="88">
        <f>SUMIF(月間集計シート!$M$134:$M$153,$G520,月間集計シート!O$134:O$153)*AT$2</f>
        <v>0</v>
      </c>
      <c r="AU520" s="88">
        <f>SUMIF(月間集計シート!$M$134:$M$153,$G520,月間集計シート!P$134:P$153)*AU$2</f>
        <v>0</v>
      </c>
      <c r="AV520" s="88">
        <f>SUMIF(月間集計シート!$M$134:$M$153,$G520,月間集計シート!Q$134:Q$153)*AV$2</f>
        <v>0</v>
      </c>
      <c r="AW520" s="88">
        <f>SUMIF(月間集計シート!$M$134:$M$153,$G520,月間集計シート!R$134:R$153)*AW$2</f>
        <v>0</v>
      </c>
      <c r="AX520" s="88">
        <f>SUMIF(月間集計シート!$M$134:$M$153,$G520,月間集計シート!S$134:S$153)*AX$2</f>
        <v>0</v>
      </c>
      <c r="AY520" s="88">
        <f>SUMIF(月間集計シート!$M$134:$M$153,$G520,月間集計シート!T$134:T$153)*AY$2</f>
        <v>0</v>
      </c>
    </row>
    <row r="521" spans="1:51" ht="14.25" thickBot="1">
      <c r="A521">
        <v>7</v>
      </c>
      <c r="B521" s="120">
        <f t="shared" ref="B521:B584" si="251">B520</f>
        <v>0</v>
      </c>
      <c r="C521" s="120" t="str">
        <f t="shared" ref="C521:C584" si="252">C520</f>
        <v/>
      </c>
      <c r="D521" s="137"/>
      <c r="E521" s="150" t="str">
        <f>工種!A3</f>
        <v>10103</v>
      </c>
      <c r="F521" s="119" t="str">
        <f>工種!B3</f>
        <v>SRS：企画書・計画書・報告書等資料作成・修正</v>
      </c>
      <c r="G521" s="116" t="str">
        <f t="shared" si="240"/>
        <v>010103</v>
      </c>
      <c r="H521" s="88">
        <f t="shared" si="247"/>
        <v>0</v>
      </c>
      <c r="I521" s="132"/>
      <c r="J521" s="88">
        <f>SUMIF(月間集計シート!$M$29:$M$48,$G521,月間集計シート!N$29:N$48)*J$2</f>
        <v>0</v>
      </c>
      <c r="K521" s="88">
        <f>SUMIF(月間集計シート!$M$29:$M$48,$G521,月間集計シート!O$29:O$48)*K$2</f>
        <v>0</v>
      </c>
      <c r="L521" s="88">
        <f>SUMIF(月間集計シート!$M$29:$M$48,$G521,月間集計シート!P$29:P$48)*L$2</f>
        <v>0</v>
      </c>
      <c r="M521" s="88">
        <f>SUMIF(月間集計シート!$M$29:$M$48,$G521,月間集計シート!Q$29:Q$48)*M$2</f>
        <v>0</v>
      </c>
      <c r="N521" s="88">
        <f>SUMIF(月間集計シート!$M$29:$M$48,$G521,月間集計シート!R$29:R$48)*N$2</f>
        <v>0</v>
      </c>
      <c r="O521" s="88">
        <f>SUMIF(月間集計シート!$M$29:$M$48,$G521,月間集計シート!S$29:S$48)*O$2</f>
        <v>0</v>
      </c>
      <c r="P521" s="88">
        <f>SUMIF(月間集計シート!$M$29:$M$48,$G521,月間集計シート!T$29:T$48)*P$2</f>
        <v>0</v>
      </c>
      <c r="Q521" s="88">
        <f>SUMIF(月間集計シート!$M$50:$M$69,$G521,月間集計シート!N$50:N$69)*Q$2</f>
        <v>0</v>
      </c>
      <c r="R521" s="88">
        <f>SUMIF(月間集計シート!$M$50:$M$69,$G521,月間集計シート!O$50:O$69)*R$2</f>
        <v>0</v>
      </c>
      <c r="S521" s="88">
        <f>SUMIF(月間集計シート!$M$50:$M$69,$G521,月間集計シート!P$50:P$69)*S$2</f>
        <v>0</v>
      </c>
      <c r="T521" s="88">
        <f>SUMIF(月間集計シート!$M$50:$M$69,$G521,月間集計シート!Q$50:Q$69)*T$2</f>
        <v>0</v>
      </c>
      <c r="U521" s="88">
        <f>SUMIF(月間集計シート!$M$50:$M$69,$G521,月間集計シート!R$50:R$69)*U$2</f>
        <v>0</v>
      </c>
      <c r="V521" s="88">
        <f>SUMIF(月間集計シート!$M$50:$M$69,$G521,月間集計シート!S$50:S$69)*V$2</f>
        <v>0</v>
      </c>
      <c r="W521" s="88">
        <f>SUMIF(月間集計シート!$M$50:$M$69,$G521,月間集計シート!T$50:T$69)*W$2</f>
        <v>0</v>
      </c>
      <c r="X521" s="88">
        <f>SUMIF(月間集計シート!$M$71:$M$90,$G521,月間集計シート!N$71:N$90)*X$2</f>
        <v>0</v>
      </c>
      <c r="Y521" s="88">
        <f>SUMIF(月間集計シート!$M$71:$M$90,$G521,月間集計シート!O$71:O$90)*Y$2</f>
        <v>0</v>
      </c>
      <c r="Z521" s="88">
        <f>SUMIF(月間集計シート!$M$71:$M$90,$G521,月間集計シート!P$71:P$90)*Z$2</f>
        <v>0</v>
      </c>
      <c r="AA521" s="88">
        <f>SUMIF(月間集計シート!$M$71:$M$90,$G521,月間集計シート!Q$71:Q$90)*AA$2</f>
        <v>0</v>
      </c>
      <c r="AB521" s="88">
        <f>SUMIF(月間集計シート!$M$71:$M$90,$G521,月間集計シート!R$71:R$90)*AB$2</f>
        <v>0</v>
      </c>
      <c r="AC521" s="88">
        <f>SUMIF(月間集計シート!$M$71:$M$90,$G521,月間集計シート!S$71:S$90)*AC$2</f>
        <v>0</v>
      </c>
      <c r="AD521" s="88">
        <f>SUMIF(月間集計シート!$M$71:$M$90,$G521,月間集計シート!T$71:T$90)*AD$2</f>
        <v>0</v>
      </c>
      <c r="AE521" s="88">
        <f>SUMIF(月間集計シート!$M$92:$M$111,$G521,月間集計シート!N$92:N$111)*AE$2</f>
        <v>0</v>
      </c>
      <c r="AF521" s="88">
        <f>SUMIF(月間集計シート!$M$92:$M$111,$G521,月間集計シート!O$92:O$111)*AF$2</f>
        <v>0</v>
      </c>
      <c r="AG521" s="88">
        <f>SUMIF(月間集計シート!$M$92:$M$111,$G521,月間集計シート!P$92:P$111)*AG$2</f>
        <v>0</v>
      </c>
      <c r="AH521" s="88">
        <f>SUMIF(月間集計シート!$M$92:$M$111,$G521,月間集計シート!Q$92:Q$111)*AH$2</f>
        <v>0</v>
      </c>
      <c r="AI521" s="88">
        <f>SUMIF(月間集計シート!$M$92:$M$111,$G521,月間集計シート!R$92:R$111)*AI$2</f>
        <v>0</v>
      </c>
      <c r="AJ521" s="88">
        <f>SUMIF(月間集計シート!$M$92:$M$111,$G521,月間集計シート!S$92:S$111)*AJ$2</f>
        <v>0</v>
      </c>
      <c r="AK521" s="88">
        <f>SUMIF(月間集計シート!$M$92:$M$111,$G521,月間集計シート!T$92:T$111)*AK$2</f>
        <v>0</v>
      </c>
      <c r="AL521" s="88">
        <f>SUMIF(月間集計シート!$M$113:$M$132,$G521,月間集計シート!N$113:N$132)*AL$2</f>
        <v>0</v>
      </c>
      <c r="AM521" s="88">
        <f>SUMIF(月間集計シート!$M$113:$M$132,$G521,月間集計シート!O$113:O$132)*AM$2</f>
        <v>0</v>
      </c>
      <c r="AN521" s="88">
        <f>SUMIF(月間集計シート!$M$113:$M$132,$G521,月間集計シート!P$113:P$132)*AN$2</f>
        <v>0</v>
      </c>
      <c r="AO521" s="88">
        <f>SUMIF(月間集計シート!$M$113:$M$132,$G521,月間集計シート!Q$113:Q$132)*AO$2</f>
        <v>0</v>
      </c>
      <c r="AP521" s="88">
        <f>SUMIF(月間集計シート!$M$113:$M$132,$G521,月間集計シート!R$113:R$132)*AP$2</f>
        <v>0</v>
      </c>
      <c r="AQ521" s="88">
        <f>SUMIF(月間集計シート!$M$113:$M$132,$G521,月間集計シート!S$113:S$132)*AQ$2</f>
        <v>0</v>
      </c>
      <c r="AR521" s="88">
        <f>SUMIF(月間集計シート!$M$113:$M$132,$G521,月間集計シート!T$113:T$132)*AR$2</f>
        <v>0</v>
      </c>
      <c r="AS521" s="88">
        <f>SUMIF(月間集計シート!$M$134:$M$153,$G521,月間集計シート!N$134:N$153)*AS$2</f>
        <v>0</v>
      </c>
      <c r="AT521" s="88">
        <f>SUMIF(月間集計シート!$M$134:$M$153,$G521,月間集計シート!O$134:O$153)*AT$2</f>
        <v>0</v>
      </c>
      <c r="AU521" s="88">
        <f>SUMIF(月間集計シート!$M$134:$M$153,$G521,月間集計シート!P$134:P$153)*AU$2</f>
        <v>0</v>
      </c>
      <c r="AV521" s="88">
        <f>SUMIF(月間集計シート!$M$134:$M$153,$G521,月間集計シート!Q$134:Q$153)*AV$2</f>
        <v>0</v>
      </c>
      <c r="AW521" s="88">
        <f>SUMIF(月間集計シート!$M$134:$M$153,$G521,月間集計シート!R$134:R$153)*AW$2</f>
        <v>0</v>
      </c>
      <c r="AX521" s="88">
        <f>SUMIF(月間集計シート!$M$134:$M$153,$G521,月間集計シート!S$134:S$153)*AX$2</f>
        <v>0</v>
      </c>
      <c r="AY521" s="88">
        <f>SUMIF(月間集計シート!$M$134:$M$153,$G521,月間集計シート!T$134:T$153)*AY$2</f>
        <v>0</v>
      </c>
    </row>
    <row r="522" spans="1:51" ht="14.25" thickBot="1">
      <c r="A522">
        <v>7</v>
      </c>
      <c r="B522" s="120">
        <f t="shared" si="251"/>
        <v>0</v>
      </c>
      <c r="C522" s="120" t="str">
        <f t="shared" si="252"/>
        <v/>
      </c>
      <c r="D522" s="137"/>
      <c r="E522" s="150" t="str">
        <f>工種!A4</f>
        <v>10104</v>
      </c>
      <c r="F522" s="119" t="str">
        <f>工種!B4</f>
        <v>SRS：打合せ</v>
      </c>
      <c r="G522" s="116" t="str">
        <f t="shared" si="240"/>
        <v>010104</v>
      </c>
      <c r="H522" s="88">
        <f t="shared" si="247"/>
        <v>0</v>
      </c>
      <c r="I522" s="132"/>
      <c r="J522" s="88">
        <f>SUMIF(月間集計シート!$M$29:$M$48,$G522,月間集計シート!N$29:N$48)*J$2</f>
        <v>0</v>
      </c>
      <c r="K522" s="88">
        <f>SUMIF(月間集計シート!$M$29:$M$48,$G522,月間集計シート!O$29:O$48)*K$2</f>
        <v>0</v>
      </c>
      <c r="L522" s="88">
        <f>SUMIF(月間集計シート!$M$29:$M$48,$G522,月間集計シート!P$29:P$48)*L$2</f>
        <v>0</v>
      </c>
      <c r="M522" s="88">
        <f>SUMIF(月間集計シート!$M$29:$M$48,$G522,月間集計シート!Q$29:Q$48)*M$2</f>
        <v>0</v>
      </c>
      <c r="N522" s="88">
        <f>SUMIF(月間集計シート!$M$29:$M$48,$G522,月間集計シート!R$29:R$48)*N$2</f>
        <v>0</v>
      </c>
      <c r="O522" s="88">
        <f>SUMIF(月間集計シート!$M$29:$M$48,$G522,月間集計シート!S$29:S$48)*O$2</f>
        <v>0</v>
      </c>
      <c r="P522" s="88">
        <f>SUMIF(月間集計シート!$M$29:$M$48,$G522,月間集計シート!T$29:T$48)*P$2</f>
        <v>0</v>
      </c>
      <c r="Q522" s="88">
        <f>SUMIF(月間集計シート!$M$50:$M$69,$G522,月間集計シート!N$50:N$69)*Q$2</f>
        <v>0</v>
      </c>
      <c r="R522" s="88">
        <f>SUMIF(月間集計シート!$M$50:$M$69,$G522,月間集計シート!O$50:O$69)*R$2</f>
        <v>0</v>
      </c>
      <c r="S522" s="88">
        <f>SUMIF(月間集計シート!$M$50:$M$69,$G522,月間集計シート!P$50:P$69)*S$2</f>
        <v>0</v>
      </c>
      <c r="T522" s="88">
        <f>SUMIF(月間集計シート!$M$50:$M$69,$G522,月間集計シート!Q$50:Q$69)*T$2</f>
        <v>0</v>
      </c>
      <c r="U522" s="88">
        <f>SUMIF(月間集計シート!$M$50:$M$69,$G522,月間集計シート!R$50:R$69)*U$2</f>
        <v>0</v>
      </c>
      <c r="V522" s="88">
        <f>SUMIF(月間集計シート!$M$50:$M$69,$G522,月間集計シート!S$50:S$69)*V$2</f>
        <v>0</v>
      </c>
      <c r="W522" s="88">
        <f>SUMIF(月間集計シート!$M$50:$M$69,$G522,月間集計シート!T$50:T$69)*W$2</f>
        <v>0</v>
      </c>
      <c r="X522" s="88">
        <f>SUMIF(月間集計シート!$M$71:$M$90,$G522,月間集計シート!N$71:N$90)*X$2</f>
        <v>0</v>
      </c>
      <c r="Y522" s="88">
        <f>SUMIF(月間集計シート!$M$71:$M$90,$G522,月間集計シート!O$71:O$90)*Y$2</f>
        <v>0</v>
      </c>
      <c r="Z522" s="88">
        <f>SUMIF(月間集計シート!$M$71:$M$90,$G522,月間集計シート!P$71:P$90)*Z$2</f>
        <v>0</v>
      </c>
      <c r="AA522" s="88">
        <f>SUMIF(月間集計シート!$M$71:$M$90,$G522,月間集計シート!Q$71:Q$90)*AA$2</f>
        <v>0</v>
      </c>
      <c r="AB522" s="88">
        <f>SUMIF(月間集計シート!$M$71:$M$90,$G522,月間集計シート!R$71:R$90)*AB$2</f>
        <v>0</v>
      </c>
      <c r="AC522" s="88">
        <f>SUMIF(月間集計シート!$M$71:$M$90,$G522,月間集計シート!S$71:S$90)*AC$2</f>
        <v>0</v>
      </c>
      <c r="AD522" s="88">
        <f>SUMIF(月間集計シート!$M$71:$M$90,$G522,月間集計シート!T$71:T$90)*AD$2</f>
        <v>0</v>
      </c>
      <c r="AE522" s="88">
        <f>SUMIF(月間集計シート!$M$92:$M$111,$G522,月間集計シート!N$92:N$111)*AE$2</f>
        <v>0</v>
      </c>
      <c r="AF522" s="88">
        <f>SUMIF(月間集計シート!$M$92:$M$111,$G522,月間集計シート!O$92:O$111)*AF$2</f>
        <v>0</v>
      </c>
      <c r="AG522" s="88">
        <f>SUMIF(月間集計シート!$M$92:$M$111,$G522,月間集計シート!P$92:P$111)*AG$2</f>
        <v>0</v>
      </c>
      <c r="AH522" s="88">
        <f>SUMIF(月間集計シート!$M$92:$M$111,$G522,月間集計シート!Q$92:Q$111)*AH$2</f>
        <v>0</v>
      </c>
      <c r="AI522" s="88">
        <f>SUMIF(月間集計シート!$M$92:$M$111,$G522,月間集計シート!R$92:R$111)*AI$2</f>
        <v>0</v>
      </c>
      <c r="AJ522" s="88">
        <f>SUMIF(月間集計シート!$M$92:$M$111,$G522,月間集計シート!S$92:S$111)*AJ$2</f>
        <v>0</v>
      </c>
      <c r="AK522" s="88">
        <f>SUMIF(月間集計シート!$M$92:$M$111,$G522,月間集計シート!T$92:T$111)*AK$2</f>
        <v>0</v>
      </c>
      <c r="AL522" s="88">
        <f>SUMIF(月間集計シート!$M$113:$M$132,$G522,月間集計シート!N$113:N$132)*AL$2</f>
        <v>0</v>
      </c>
      <c r="AM522" s="88">
        <f>SUMIF(月間集計シート!$M$113:$M$132,$G522,月間集計シート!O$113:O$132)*AM$2</f>
        <v>0</v>
      </c>
      <c r="AN522" s="88">
        <f>SUMIF(月間集計シート!$M$113:$M$132,$G522,月間集計シート!P$113:P$132)*AN$2</f>
        <v>0</v>
      </c>
      <c r="AO522" s="88">
        <f>SUMIF(月間集計シート!$M$113:$M$132,$G522,月間集計シート!Q$113:Q$132)*AO$2</f>
        <v>0</v>
      </c>
      <c r="AP522" s="88">
        <f>SUMIF(月間集計シート!$M$113:$M$132,$G522,月間集計シート!R$113:R$132)*AP$2</f>
        <v>0</v>
      </c>
      <c r="AQ522" s="88">
        <f>SUMIF(月間集計シート!$M$113:$M$132,$G522,月間集計シート!S$113:S$132)*AQ$2</f>
        <v>0</v>
      </c>
      <c r="AR522" s="88">
        <f>SUMIF(月間集計シート!$M$113:$M$132,$G522,月間集計シート!T$113:T$132)*AR$2</f>
        <v>0</v>
      </c>
      <c r="AS522" s="88">
        <f>SUMIF(月間集計シート!$M$134:$M$153,$G522,月間集計シート!N$134:N$153)*AS$2</f>
        <v>0</v>
      </c>
      <c r="AT522" s="88">
        <f>SUMIF(月間集計シート!$M$134:$M$153,$G522,月間集計シート!O$134:O$153)*AT$2</f>
        <v>0</v>
      </c>
      <c r="AU522" s="88">
        <f>SUMIF(月間集計シート!$M$134:$M$153,$G522,月間集計シート!P$134:P$153)*AU$2</f>
        <v>0</v>
      </c>
      <c r="AV522" s="88">
        <f>SUMIF(月間集計シート!$M$134:$M$153,$G522,月間集計シート!Q$134:Q$153)*AV$2</f>
        <v>0</v>
      </c>
      <c r="AW522" s="88">
        <f>SUMIF(月間集計シート!$M$134:$M$153,$G522,月間集計シート!R$134:R$153)*AW$2</f>
        <v>0</v>
      </c>
      <c r="AX522" s="88">
        <f>SUMIF(月間集計シート!$M$134:$M$153,$G522,月間集計シート!S$134:S$153)*AX$2</f>
        <v>0</v>
      </c>
      <c r="AY522" s="88">
        <f>SUMIF(月間集計シート!$M$134:$M$153,$G522,月間集計シート!T$134:T$153)*AY$2</f>
        <v>0</v>
      </c>
    </row>
    <row r="523" spans="1:51" ht="14.25" thickBot="1">
      <c r="A523">
        <v>7</v>
      </c>
      <c r="B523" s="120">
        <f t="shared" si="251"/>
        <v>0</v>
      </c>
      <c r="C523" s="120" t="str">
        <f t="shared" si="252"/>
        <v/>
      </c>
      <c r="D523" s="137"/>
      <c r="E523" s="150" t="str">
        <f>工種!A5</f>
        <v>10105</v>
      </c>
      <c r="F523" s="119" t="str">
        <f>工種!B5</f>
        <v>SRS：レビュー</v>
      </c>
      <c r="G523" s="116" t="str">
        <f t="shared" si="240"/>
        <v>010105</v>
      </c>
      <c r="H523" s="88">
        <f t="shared" si="247"/>
        <v>0</v>
      </c>
      <c r="I523" s="132"/>
      <c r="J523" s="88">
        <f>SUMIF(月間集計シート!$M$29:$M$48,$G523,月間集計シート!N$29:N$48)*J$2</f>
        <v>0</v>
      </c>
      <c r="K523" s="88">
        <f>SUMIF(月間集計シート!$M$29:$M$48,$G523,月間集計シート!O$29:O$48)*K$2</f>
        <v>0</v>
      </c>
      <c r="L523" s="88">
        <f>SUMIF(月間集計シート!$M$29:$M$48,$G523,月間集計シート!P$29:P$48)*L$2</f>
        <v>0</v>
      </c>
      <c r="M523" s="88">
        <f>SUMIF(月間集計シート!$M$29:$M$48,$G523,月間集計シート!Q$29:Q$48)*M$2</f>
        <v>0</v>
      </c>
      <c r="N523" s="88">
        <f>SUMIF(月間集計シート!$M$29:$M$48,$G523,月間集計シート!R$29:R$48)*N$2</f>
        <v>0</v>
      </c>
      <c r="O523" s="88">
        <f>SUMIF(月間集計シート!$M$29:$M$48,$G523,月間集計シート!S$29:S$48)*O$2</f>
        <v>0</v>
      </c>
      <c r="P523" s="88">
        <f>SUMIF(月間集計シート!$M$29:$M$48,$G523,月間集計シート!T$29:T$48)*P$2</f>
        <v>0</v>
      </c>
      <c r="Q523" s="88">
        <f>SUMIF(月間集計シート!$M$50:$M$69,$G523,月間集計シート!N$50:N$69)*Q$2</f>
        <v>0</v>
      </c>
      <c r="R523" s="88">
        <f>SUMIF(月間集計シート!$M$50:$M$69,$G523,月間集計シート!O$50:O$69)*R$2</f>
        <v>0</v>
      </c>
      <c r="S523" s="88">
        <f>SUMIF(月間集計シート!$M$50:$M$69,$G523,月間集計シート!P$50:P$69)*S$2</f>
        <v>0</v>
      </c>
      <c r="T523" s="88">
        <f>SUMIF(月間集計シート!$M$50:$M$69,$G523,月間集計シート!Q$50:Q$69)*T$2</f>
        <v>0</v>
      </c>
      <c r="U523" s="88">
        <f>SUMIF(月間集計シート!$M$50:$M$69,$G523,月間集計シート!R$50:R$69)*U$2</f>
        <v>0</v>
      </c>
      <c r="V523" s="88">
        <f>SUMIF(月間集計シート!$M$50:$M$69,$G523,月間集計シート!S$50:S$69)*V$2</f>
        <v>0</v>
      </c>
      <c r="W523" s="88">
        <f>SUMIF(月間集計シート!$M$50:$M$69,$G523,月間集計シート!T$50:T$69)*W$2</f>
        <v>0</v>
      </c>
      <c r="X523" s="88">
        <f>SUMIF(月間集計シート!$M$71:$M$90,$G523,月間集計シート!N$71:N$90)*X$2</f>
        <v>0</v>
      </c>
      <c r="Y523" s="88">
        <f>SUMIF(月間集計シート!$M$71:$M$90,$G523,月間集計シート!O$71:O$90)*Y$2</f>
        <v>0</v>
      </c>
      <c r="Z523" s="88">
        <f>SUMIF(月間集計シート!$M$71:$M$90,$G523,月間集計シート!P$71:P$90)*Z$2</f>
        <v>0</v>
      </c>
      <c r="AA523" s="88">
        <f>SUMIF(月間集計シート!$M$71:$M$90,$G523,月間集計シート!Q$71:Q$90)*AA$2</f>
        <v>0</v>
      </c>
      <c r="AB523" s="88">
        <f>SUMIF(月間集計シート!$M$71:$M$90,$G523,月間集計シート!R$71:R$90)*AB$2</f>
        <v>0</v>
      </c>
      <c r="AC523" s="88">
        <f>SUMIF(月間集計シート!$M$71:$M$90,$G523,月間集計シート!S$71:S$90)*AC$2</f>
        <v>0</v>
      </c>
      <c r="AD523" s="88">
        <f>SUMIF(月間集計シート!$M$71:$M$90,$G523,月間集計シート!T$71:T$90)*AD$2</f>
        <v>0</v>
      </c>
      <c r="AE523" s="88">
        <f>SUMIF(月間集計シート!$M$92:$M$111,$G523,月間集計シート!N$92:N$111)*AE$2</f>
        <v>0</v>
      </c>
      <c r="AF523" s="88">
        <f>SUMIF(月間集計シート!$M$92:$M$111,$G523,月間集計シート!O$92:O$111)*AF$2</f>
        <v>0</v>
      </c>
      <c r="AG523" s="88">
        <f>SUMIF(月間集計シート!$M$92:$M$111,$G523,月間集計シート!P$92:P$111)*AG$2</f>
        <v>0</v>
      </c>
      <c r="AH523" s="88">
        <f>SUMIF(月間集計シート!$M$92:$M$111,$G523,月間集計シート!Q$92:Q$111)*AH$2</f>
        <v>0</v>
      </c>
      <c r="AI523" s="88">
        <f>SUMIF(月間集計シート!$M$92:$M$111,$G523,月間集計シート!R$92:R$111)*AI$2</f>
        <v>0</v>
      </c>
      <c r="AJ523" s="88">
        <f>SUMIF(月間集計シート!$M$92:$M$111,$G523,月間集計シート!S$92:S$111)*AJ$2</f>
        <v>0</v>
      </c>
      <c r="AK523" s="88">
        <f>SUMIF(月間集計シート!$M$92:$M$111,$G523,月間集計シート!T$92:T$111)*AK$2</f>
        <v>0</v>
      </c>
      <c r="AL523" s="88">
        <f>SUMIF(月間集計シート!$M$113:$M$132,$G523,月間集計シート!N$113:N$132)*AL$2</f>
        <v>0</v>
      </c>
      <c r="AM523" s="88">
        <f>SUMIF(月間集計シート!$M$113:$M$132,$G523,月間集計シート!O$113:O$132)*AM$2</f>
        <v>0</v>
      </c>
      <c r="AN523" s="88">
        <f>SUMIF(月間集計シート!$M$113:$M$132,$G523,月間集計シート!P$113:P$132)*AN$2</f>
        <v>0</v>
      </c>
      <c r="AO523" s="88">
        <f>SUMIF(月間集計シート!$M$113:$M$132,$G523,月間集計シート!Q$113:Q$132)*AO$2</f>
        <v>0</v>
      </c>
      <c r="AP523" s="88">
        <f>SUMIF(月間集計シート!$M$113:$M$132,$G523,月間集計シート!R$113:R$132)*AP$2</f>
        <v>0</v>
      </c>
      <c r="AQ523" s="88">
        <f>SUMIF(月間集計シート!$M$113:$M$132,$G523,月間集計シート!S$113:S$132)*AQ$2</f>
        <v>0</v>
      </c>
      <c r="AR523" s="88">
        <f>SUMIF(月間集計シート!$M$113:$M$132,$G523,月間集計シート!T$113:T$132)*AR$2</f>
        <v>0</v>
      </c>
      <c r="AS523" s="88">
        <f>SUMIF(月間集計シート!$M$134:$M$153,$G523,月間集計シート!N$134:N$153)*AS$2</f>
        <v>0</v>
      </c>
      <c r="AT523" s="88">
        <f>SUMIF(月間集計シート!$M$134:$M$153,$G523,月間集計シート!O$134:O$153)*AT$2</f>
        <v>0</v>
      </c>
      <c r="AU523" s="88">
        <f>SUMIF(月間集計シート!$M$134:$M$153,$G523,月間集計シート!P$134:P$153)*AU$2</f>
        <v>0</v>
      </c>
      <c r="AV523" s="88">
        <f>SUMIF(月間集計シート!$M$134:$M$153,$G523,月間集計シート!Q$134:Q$153)*AV$2</f>
        <v>0</v>
      </c>
      <c r="AW523" s="88">
        <f>SUMIF(月間集計シート!$M$134:$M$153,$G523,月間集計シート!R$134:R$153)*AW$2</f>
        <v>0</v>
      </c>
      <c r="AX523" s="88">
        <f>SUMIF(月間集計シート!$M$134:$M$153,$G523,月間集計シート!S$134:S$153)*AX$2</f>
        <v>0</v>
      </c>
      <c r="AY523" s="88">
        <f>SUMIF(月間集計シート!$M$134:$M$153,$G523,月間集計シート!T$134:T$153)*AY$2</f>
        <v>0</v>
      </c>
    </row>
    <row r="524" spans="1:51" ht="14.25" thickBot="1">
      <c r="A524">
        <v>7</v>
      </c>
      <c r="B524" s="120">
        <f t="shared" si="251"/>
        <v>0</v>
      </c>
      <c r="C524" s="120" t="str">
        <f t="shared" si="252"/>
        <v/>
      </c>
      <c r="D524" s="137"/>
      <c r="E524" s="150" t="str">
        <f>工種!A6</f>
        <v>10199</v>
      </c>
      <c r="F524" s="119" t="str">
        <f>工種!B6</f>
        <v>SRS：その他</v>
      </c>
      <c r="G524" s="116" t="str">
        <f t="shared" si="240"/>
        <v>010199</v>
      </c>
      <c r="H524" s="88">
        <f t="shared" si="247"/>
        <v>0</v>
      </c>
      <c r="I524" s="132"/>
      <c r="J524" s="88">
        <f>SUMIF(月間集計シート!$M$29:$M$48,$G524,月間集計シート!N$29:N$48)*J$2</f>
        <v>0</v>
      </c>
      <c r="K524" s="88">
        <f>SUMIF(月間集計シート!$M$29:$M$48,$G524,月間集計シート!O$29:O$48)*K$2</f>
        <v>0</v>
      </c>
      <c r="L524" s="88">
        <f>SUMIF(月間集計シート!$M$29:$M$48,$G524,月間集計シート!P$29:P$48)*L$2</f>
        <v>0</v>
      </c>
      <c r="M524" s="88">
        <f>SUMIF(月間集計シート!$M$29:$M$48,$G524,月間集計シート!Q$29:Q$48)*M$2</f>
        <v>0</v>
      </c>
      <c r="N524" s="88">
        <f>SUMIF(月間集計シート!$M$29:$M$48,$G524,月間集計シート!R$29:R$48)*N$2</f>
        <v>0</v>
      </c>
      <c r="O524" s="88">
        <f>SUMIF(月間集計シート!$M$29:$M$48,$G524,月間集計シート!S$29:S$48)*O$2</f>
        <v>0</v>
      </c>
      <c r="P524" s="88">
        <f>SUMIF(月間集計シート!$M$29:$M$48,$G524,月間集計シート!T$29:T$48)*P$2</f>
        <v>0</v>
      </c>
      <c r="Q524" s="88">
        <f>SUMIF(月間集計シート!$M$50:$M$69,$G524,月間集計シート!N$50:N$69)*Q$2</f>
        <v>0</v>
      </c>
      <c r="R524" s="88">
        <f>SUMIF(月間集計シート!$M$50:$M$69,$G524,月間集計シート!O$50:O$69)*R$2</f>
        <v>0</v>
      </c>
      <c r="S524" s="88">
        <f>SUMIF(月間集計シート!$M$50:$M$69,$G524,月間集計シート!P$50:P$69)*S$2</f>
        <v>0</v>
      </c>
      <c r="T524" s="88">
        <f>SUMIF(月間集計シート!$M$50:$M$69,$G524,月間集計シート!Q$50:Q$69)*T$2</f>
        <v>0</v>
      </c>
      <c r="U524" s="88">
        <f>SUMIF(月間集計シート!$M$50:$M$69,$G524,月間集計シート!R$50:R$69)*U$2</f>
        <v>0</v>
      </c>
      <c r="V524" s="88">
        <f>SUMIF(月間集計シート!$M$50:$M$69,$G524,月間集計シート!S$50:S$69)*V$2</f>
        <v>0</v>
      </c>
      <c r="W524" s="88">
        <f>SUMIF(月間集計シート!$M$50:$M$69,$G524,月間集計シート!T$50:T$69)*W$2</f>
        <v>0</v>
      </c>
      <c r="X524" s="88">
        <f>SUMIF(月間集計シート!$M$71:$M$90,$G524,月間集計シート!N$71:N$90)*X$2</f>
        <v>0</v>
      </c>
      <c r="Y524" s="88">
        <f>SUMIF(月間集計シート!$M$71:$M$90,$G524,月間集計シート!O$71:O$90)*Y$2</f>
        <v>0</v>
      </c>
      <c r="Z524" s="88">
        <f>SUMIF(月間集計シート!$M$71:$M$90,$G524,月間集計シート!P$71:P$90)*Z$2</f>
        <v>0</v>
      </c>
      <c r="AA524" s="88">
        <f>SUMIF(月間集計シート!$M$71:$M$90,$G524,月間集計シート!Q$71:Q$90)*AA$2</f>
        <v>0</v>
      </c>
      <c r="AB524" s="88">
        <f>SUMIF(月間集計シート!$M$71:$M$90,$G524,月間集計シート!R$71:R$90)*AB$2</f>
        <v>0</v>
      </c>
      <c r="AC524" s="88">
        <f>SUMIF(月間集計シート!$M$71:$M$90,$G524,月間集計シート!S$71:S$90)*AC$2</f>
        <v>0</v>
      </c>
      <c r="AD524" s="88">
        <f>SUMIF(月間集計シート!$M$71:$M$90,$G524,月間集計シート!T$71:T$90)*AD$2</f>
        <v>0</v>
      </c>
      <c r="AE524" s="88">
        <f>SUMIF(月間集計シート!$M$92:$M$111,$G524,月間集計シート!N$92:N$111)*AE$2</f>
        <v>0</v>
      </c>
      <c r="AF524" s="88">
        <f>SUMIF(月間集計シート!$M$92:$M$111,$G524,月間集計シート!O$92:O$111)*AF$2</f>
        <v>0</v>
      </c>
      <c r="AG524" s="88">
        <f>SUMIF(月間集計シート!$M$92:$M$111,$G524,月間集計シート!P$92:P$111)*AG$2</f>
        <v>0</v>
      </c>
      <c r="AH524" s="88">
        <f>SUMIF(月間集計シート!$M$92:$M$111,$G524,月間集計シート!Q$92:Q$111)*AH$2</f>
        <v>0</v>
      </c>
      <c r="AI524" s="88">
        <f>SUMIF(月間集計シート!$M$92:$M$111,$G524,月間集計シート!R$92:R$111)*AI$2</f>
        <v>0</v>
      </c>
      <c r="AJ524" s="88">
        <f>SUMIF(月間集計シート!$M$92:$M$111,$G524,月間集計シート!S$92:S$111)*AJ$2</f>
        <v>0</v>
      </c>
      <c r="AK524" s="88">
        <f>SUMIF(月間集計シート!$M$92:$M$111,$G524,月間集計シート!T$92:T$111)*AK$2</f>
        <v>0</v>
      </c>
      <c r="AL524" s="88">
        <f>SUMIF(月間集計シート!$M$113:$M$132,$G524,月間集計シート!N$113:N$132)*AL$2</f>
        <v>0</v>
      </c>
      <c r="AM524" s="88">
        <f>SUMIF(月間集計シート!$M$113:$M$132,$G524,月間集計シート!O$113:O$132)*AM$2</f>
        <v>0</v>
      </c>
      <c r="AN524" s="88">
        <f>SUMIF(月間集計シート!$M$113:$M$132,$G524,月間集計シート!P$113:P$132)*AN$2</f>
        <v>0</v>
      </c>
      <c r="AO524" s="88">
        <f>SUMIF(月間集計シート!$M$113:$M$132,$G524,月間集計シート!Q$113:Q$132)*AO$2</f>
        <v>0</v>
      </c>
      <c r="AP524" s="88">
        <f>SUMIF(月間集計シート!$M$113:$M$132,$G524,月間集計シート!R$113:R$132)*AP$2</f>
        <v>0</v>
      </c>
      <c r="AQ524" s="88">
        <f>SUMIF(月間集計シート!$M$113:$M$132,$G524,月間集計シート!S$113:S$132)*AQ$2</f>
        <v>0</v>
      </c>
      <c r="AR524" s="88">
        <f>SUMIF(月間集計シート!$M$113:$M$132,$G524,月間集計シート!T$113:T$132)*AR$2</f>
        <v>0</v>
      </c>
      <c r="AS524" s="88">
        <f>SUMIF(月間集計シート!$M$134:$M$153,$G524,月間集計シート!N$134:N$153)*AS$2</f>
        <v>0</v>
      </c>
      <c r="AT524" s="88">
        <f>SUMIF(月間集計シート!$M$134:$M$153,$G524,月間集計シート!O$134:O$153)*AT$2</f>
        <v>0</v>
      </c>
      <c r="AU524" s="88">
        <f>SUMIF(月間集計シート!$M$134:$M$153,$G524,月間集計シート!P$134:P$153)*AU$2</f>
        <v>0</v>
      </c>
      <c r="AV524" s="88">
        <f>SUMIF(月間集計シート!$M$134:$M$153,$G524,月間集計シート!Q$134:Q$153)*AV$2</f>
        <v>0</v>
      </c>
      <c r="AW524" s="88">
        <f>SUMIF(月間集計シート!$M$134:$M$153,$G524,月間集計シート!R$134:R$153)*AW$2</f>
        <v>0</v>
      </c>
      <c r="AX524" s="88">
        <f>SUMIF(月間集計シート!$M$134:$M$153,$G524,月間集計シート!S$134:S$153)*AX$2</f>
        <v>0</v>
      </c>
      <c r="AY524" s="88">
        <f>SUMIF(月間集計シート!$M$134:$M$153,$G524,月間集計シート!T$134:T$153)*AY$2</f>
        <v>0</v>
      </c>
    </row>
    <row r="525" spans="1:51" ht="14.25" thickBot="1">
      <c r="A525">
        <v>7</v>
      </c>
      <c r="B525" s="120">
        <f t="shared" si="251"/>
        <v>0</v>
      </c>
      <c r="C525" s="120" t="str">
        <f t="shared" si="252"/>
        <v/>
      </c>
      <c r="D525" s="137"/>
      <c r="E525" s="150" t="str">
        <f>工種!A7</f>
        <v>20101</v>
      </c>
      <c r="F525" s="119" t="str">
        <f>工種!B7</f>
        <v>設計：外部設計書作成</v>
      </c>
      <c r="G525" s="116" t="str">
        <f t="shared" si="240"/>
        <v>020101</v>
      </c>
      <c r="H525" s="88">
        <f t="shared" si="247"/>
        <v>0</v>
      </c>
      <c r="I525" s="132"/>
      <c r="J525" s="88">
        <f>SUMIF(月間集計シート!$M$29:$M$48,$G525,月間集計シート!N$29:N$48)*J$2</f>
        <v>0</v>
      </c>
      <c r="K525" s="88">
        <f>SUMIF(月間集計シート!$M$29:$M$48,$G525,月間集計シート!O$29:O$48)*K$2</f>
        <v>0</v>
      </c>
      <c r="L525" s="88">
        <f>SUMIF(月間集計シート!$M$29:$M$48,$G525,月間集計シート!P$29:P$48)*L$2</f>
        <v>0</v>
      </c>
      <c r="M525" s="88">
        <f>SUMIF(月間集計シート!$M$29:$M$48,$G525,月間集計シート!Q$29:Q$48)*M$2</f>
        <v>0</v>
      </c>
      <c r="N525" s="88">
        <f>SUMIF(月間集計シート!$M$29:$M$48,$G525,月間集計シート!R$29:R$48)*N$2</f>
        <v>0</v>
      </c>
      <c r="O525" s="88">
        <f>SUMIF(月間集計シート!$M$29:$M$48,$G525,月間集計シート!S$29:S$48)*O$2</f>
        <v>0</v>
      </c>
      <c r="P525" s="88">
        <f>SUMIF(月間集計シート!$M$29:$M$48,$G525,月間集計シート!T$29:T$48)*P$2</f>
        <v>0</v>
      </c>
      <c r="Q525" s="88">
        <f>SUMIF(月間集計シート!$M$50:$M$69,$G525,月間集計シート!N$50:N$69)*Q$2</f>
        <v>0</v>
      </c>
      <c r="R525" s="88">
        <f>SUMIF(月間集計シート!$M$50:$M$69,$G525,月間集計シート!O$50:O$69)*R$2</f>
        <v>0</v>
      </c>
      <c r="S525" s="88">
        <f>SUMIF(月間集計シート!$M$50:$M$69,$G525,月間集計シート!P$50:P$69)*S$2</f>
        <v>0</v>
      </c>
      <c r="T525" s="88">
        <f>SUMIF(月間集計シート!$M$50:$M$69,$G525,月間集計シート!Q$50:Q$69)*T$2</f>
        <v>0</v>
      </c>
      <c r="U525" s="88">
        <f>SUMIF(月間集計シート!$M$50:$M$69,$G525,月間集計シート!R$50:R$69)*U$2</f>
        <v>0</v>
      </c>
      <c r="V525" s="88">
        <f>SUMIF(月間集計シート!$M$50:$M$69,$G525,月間集計シート!S$50:S$69)*V$2</f>
        <v>0</v>
      </c>
      <c r="W525" s="88">
        <f>SUMIF(月間集計シート!$M$50:$M$69,$G525,月間集計シート!T$50:T$69)*W$2</f>
        <v>0</v>
      </c>
      <c r="X525" s="88">
        <f>SUMIF(月間集計シート!$M$71:$M$90,$G525,月間集計シート!N$71:N$90)*X$2</f>
        <v>0</v>
      </c>
      <c r="Y525" s="88">
        <f>SUMIF(月間集計シート!$M$71:$M$90,$G525,月間集計シート!O$71:O$90)*Y$2</f>
        <v>0</v>
      </c>
      <c r="Z525" s="88">
        <f>SUMIF(月間集計シート!$M$71:$M$90,$G525,月間集計シート!P$71:P$90)*Z$2</f>
        <v>0</v>
      </c>
      <c r="AA525" s="88">
        <f>SUMIF(月間集計シート!$M$71:$M$90,$G525,月間集計シート!Q$71:Q$90)*AA$2</f>
        <v>0</v>
      </c>
      <c r="AB525" s="88">
        <f>SUMIF(月間集計シート!$M$71:$M$90,$G525,月間集計シート!R$71:R$90)*AB$2</f>
        <v>0</v>
      </c>
      <c r="AC525" s="88">
        <f>SUMIF(月間集計シート!$M$71:$M$90,$G525,月間集計シート!S$71:S$90)*AC$2</f>
        <v>0</v>
      </c>
      <c r="AD525" s="88">
        <f>SUMIF(月間集計シート!$M$71:$M$90,$G525,月間集計シート!T$71:T$90)*AD$2</f>
        <v>0</v>
      </c>
      <c r="AE525" s="88">
        <f>SUMIF(月間集計シート!$M$92:$M$111,$G525,月間集計シート!N$92:N$111)*AE$2</f>
        <v>0</v>
      </c>
      <c r="AF525" s="88">
        <f>SUMIF(月間集計シート!$M$92:$M$111,$G525,月間集計シート!O$92:O$111)*AF$2</f>
        <v>0</v>
      </c>
      <c r="AG525" s="88">
        <f>SUMIF(月間集計シート!$M$92:$M$111,$G525,月間集計シート!P$92:P$111)*AG$2</f>
        <v>0</v>
      </c>
      <c r="AH525" s="88">
        <f>SUMIF(月間集計シート!$M$92:$M$111,$G525,月間集計シート!Q$92:Q$111)*AH$2</f>
        <v>0</v>
      </c>
      <c r="AI525" s="88">
        <f>SUMIF(月間集計シート!$M$92:$M$111,$G525,月間集計シート!R$92:R$111)*AI$2</f>
        <v>0</v>
      </c>
      <c r="AJ525" s="88">
        <f>SUMIF(月間集計シート!$M$92:$M$111,$G525,月間集計シート!S$92:S$111)*AJ$2</f>
        <v>0</v>
      </c>
      <c r="AK525" s="88">
        <f>SUMIF(月間集計シート!$M$92:$M$111,$G525,月間集計シート!T$92:T$111)*AK$2</f>
        <v>0</v>
      </c>
      <c r="AL525" s="88">
        <f>SUMIF(月間集計シート!$M$113:$M$132,$G525,月間集計シート!N$113:N$132)*AL$2</f>
        <v>0</v>
      </c>
      <c r="AM525" s="88">
        <f>SUMIF(月間集計シート!$M$113:$M$132,$G525,月間集計シート!O$113:O$132)*AM$2</f>
        <v>0</v>
      </c>
      <c r="AN525" s="88">
        <f>SUMIF(月間集計シート!$M$113:$M$132,$G525,月間集計シート!P$113:P$132)*AN$2</f>
        <v>0</v>
      </c>
      <c r="AO525" s="88">
        <f>SUMIF(月間集計シート!$M$113:$M$132,$G525,月間集計シート!Q$113:Q$132)*AO$2</f>
        <v>0</v>
      </c>
      <c r="AP525" s="88">
        <f>SUMIF(月間集計シート!$M$113:$M$132,$G525,月間集計シート!R$113:R$132)*AP$2</f>
        <v>0</v>
      </c>
      <c r="AQ525" s="88">
        <f>SUMIF(月間集計シート!$M$113:$M$132,$G525,月間集計シート!S$113:S$132)*AQ$2</f>
        <v>0</v>
      </c>
      <c r="AR525" s="88">
        <f>SUMIF(月間集計シート!$M$113:$M$132,$G525,月間集計シート!T$113:T$132)*AR$2</f>
        <v>0</v>
      </c>
      <c r="AS525" s="88">
        <f>SUMIF(月間集計シート!$M$134:$M$153,$G525,月間集計シート!N$134:N$153)*AS$2</f>
        <v>0</v>
      </c>
      <c r="AT525" s="88">
        <f>SUMIF(月間集計シート!$M$134:$M$153,$G525,月間集計シート!O$134:O$153)*AT$2</f>
        <v>0</v>
      </c>
      <c r="AU525" s="88">
        <f>SUMIF(月間集計シート!$M$134:$M$153,$G525,月間集計シート!P$134:P$153)*AU$2</f>
        <v>0</v>
      </c>
      <c r="AV525" s="88">
        <f>SUMIF(月間集計シート!$M$134:$M$153,$G525,月間集計シート!Q$134:Q$153)*AV$2</f>
        <v>0</v>
      </c>
      <c r="AW525" s="88">
        <f>SUMIF(月間集計シート!$M$134:$M$153,$G525,月間集計シート!R$134:R$153)*AW$2</f>
        <v>0</v>
      </c>
      <c r="AX525" s="88">
        <f>SUMIF(月間集計シート!$M$134:$M$153,$G525,月間集計シート!S$134:S$153)*AX$2</f>
        <v>0</v>
      </c>
      <c r="AY525" s="88">
        <f>SUMIF(月間集計シート!$M$134:$M$153,$G525,月間集計シート!T$134:T$153)*AY$2</f>
        <v>0</v>
      </c>
    </row>
    <row r="526" spans="1:51" ht="14.25" thickBot="1">
      <c r="A526">
        <v>7</v>
      </c>
      <c r="B526" s="120">
        <f t="shared" si="251"/>
        <v>0</v>
      </c>
      <c r="C526" s="120" t="str">
        <f t="shared" si="252"/>
        <v/>
      </c>
      <c r="D526" s="137"/>
      <c r="E526" s="150" t="str">
        <f>工種!A8</f>
        <v>20103</v>
      </c>
      <c r="F526" s="119" t="str">
        <f>工種!B8</f>
        <v>設計：打合せ</v>
      </c>
      <c r="G526" s="116" t="str">
        <f t="shared" si="240"/>
        <v>020103</v>
      </c>
      <c r="H526" s="88">
        <f t="shared" si="247"/>
        <v>0</v>
      </c>
      <c r="I526" s="132"/>
      <c r="J526" s="88">
        <f>SUMIF(月間集計シート!$M$29:$M$48,$G526,月間集計シート!N$29:N$48)*J$2</f>
        <v>0</v>
      </c>
      <c r="K526" s="88">
        <f>SUMIF(月間集計シート!$M$29:$M$48,$G526,月間集計シート!O$29:O$48)*K$2</f>
        <v>0</v>
      </c>
      <c r="L526" s="88">
        <f>SUMIF(月間集計シート!$M$29:$M$48,$G526,月間集計シート!P$29:P$48)*L$2</f>
        <v>0</v>
      </c>
      <c r="M526" s="88">
        <f>SUMIF(月間集計シート!$M$29:$M$48,$G526,月間集計シート!Q$29:Q$48)*M$2</f>
        <v>0</v>
      </c>
      <c r="N526" s="88">
        <f>SUMIF(月間集計シート!$M$29:$M$48,$G526,月間集計シート!R$29:R$48)*N$2</f>
        <v>0</v>
      </c>
      <c r="O526" s="88">
        <f>SUMIF(月間集計シート!$M$29:$M$48,$G526,月間集計シート!S$29:S$48)*O$2</f>
        <v>0</v>
      </c>
      <c r="P526" s="88">
        <f>SUMIF(月間集計シート!$M$29:$M$48,$G526,月間集計シート!T$29:T$48)*P$2</f>
        <v>0</v>
      </c>
      <c r="Q526" s="88">
        <f>SUMIF(月間集計シート!$M$50:$M$69,$G526,月間集計シート!N$50:N$69)*Q$2</f>
        <v>0</v>
      </c>
      <c r="R526" s="88">
        <f>SUMIF(月間集計シート!$M$50:$M$69,$G526,月間集計シート!O$50:O$69)*R$2</f>
        <v>0</v>
      </c>
      <c r="S526" s="88">
        <f>SUMIF(月間集計シート!$M$50:$M$69,$G526,月間集計シート!P$50:P$69)*S$2</f>
        <v>0</v>
      </c>
      <c r="T526" s="88">
        <f>SUMIF(月間集計シート!$M$50:$M$69,$G526,月間集計シート!Q$50:Q$69)*T$2</f>
        <v>0</v>
      </c>
      <c r="U526" s="88">
        <f>SUMIF(月間集計シート!$M$50:$M$69,$G526,月間集計シート!R$50:R$69)*U$2</f>
        <v>0</v>
      </c>
      <c r="V526" s="88">
        <f>SUMIF(月間集計シート!$M$50:$M$69,$G526,月間集計シート!S$50:S$69)*V$2</f>
        <v>0</v>
      </c>
      <c r="W526" s="88">
        <f>SUMIF(月間集計シート!$M$50:$M$69,$G526,月間集計シート!T$50:T$69)*W$2</f>
        <v>0</v>
      </c>
      <c r="X526" s="88">
        <f>SUMIF(月間集計シート!$M$71:$M$90,$G526,月間集計シート!N$71:N$90)*X$2</f>
        <v>0</v>
      </c>
      <c r="Y526" s="88">
        <f>SUMIF(月間集計シート!$M$71:$M$90,$G526,月間集計シート!O$71:O$90)*Y$2</f>
        <v>0</v>
      </c>
      <c r="Z526" s="88">
        <f>SUMIF(月間集計シート!$M$71:$M$90,$G526,月間集計シート!P$71:P$90)*Z$2</f>
        <v>0</v>
      </c>
      <c r="AA526" s="88">
        <f>SUMIF(月間集計シート!$M$71:$M$90,$G526,月間集計シート!Q$71:Q$90)*AA$2</f>
        <v>0</v>
      </c>
      <c r="AB526" s="88">
        <f>SUMIF(月間集計シート!$M$71:$M$90,$G526,月間集計シート!R$71:R$90)*AB$2</f>
        <v>0</v>
      </c>
      <c r="AC526" s="88">
        <f>SUMIF(月間集計シート!$M$71:$M$90,$G526,月間集計シート!S$71:S$90)*AC$2</f>
        <v>0</v>
      </c>
      <c r="AD526" s="88">
        <f>SUMIF(月間集計シート!$M$71:$M$90,$G526,月間集計シート!T$71:T$90)*AD$2</f>
        <v>0</v>
      </c>
      <c r="AE526" s="88">
        <f>SUMIF(月間集計シート!$M$92:$M$111,$G526,月間集計シート!N$92:N$111)*AE$2</f>
        <v>0</v>
      </c>
      <c r="AF526" s="88">
        <f>SUMIF(月間集計シート!$M$92:$M$111,$G526,月間集計シート!O$92:O$111)*AF$2</f>
        <v>0</v>
      </c>
      <c r="AG526" s="88">
        <f>SUMIF(月間集計シート!$M$92:$M$111,$G526,月間集計シート!P$92:P$111)*AG$2</f>
        <v>0</v>
      </c>
      <c r="AH526" s="88">
        <f>SUMIF(月間集計シート!$M$92:$M$111,$G526,月間集計シート!Q$92:Q$111)*AH$2</f>
        <v>0</v>
      </c>
      <c r="AI526" s="88">
        <f>SUMIF(月間集計シート!$M$92:$M$111,$G526,月間集計シート!R$92:R$111)*AI$2</f>
        <v>0</v>
      </c>
      <c r="AJ526" s="88">
        <f>SUMIF(月間集計シート!$M$92:$M$111,$G526,月間集計シート!S$92:S$111)*AJ$2</f>
        <v>0</v>
      </c>
      <c r="AK526" s="88">
        <f>SUMIF(月間集計シート!$M$92:$M$111,$G526,月間集計シート!T$92:T$111)*AK$2</f>
        <v>0</v>
      </c>
      <c r="AL526" s="88">
        <f>SUMIF(月間集計シート!$M$113:$M$132,$G526,月間集計シート!N$113:N$132)*AL$2</f>
        <v>0</v>
      </c>
      <c r="AM526" s="88">
        <f>SUMIF(月間集計シート!$M$113:$M$132,$G526,月間集計シート!O$113:O$132)*AM$2</f>
        <v>0</v>
      </c>
      <c r="AN526" s="88">
        <f>SUMIF(月間集計シート!$M$113:$M$132,$G526,月間集計シート!P$113:P$132)*AN$2</f>
        <v>0</v>
      </c>
      <c r="AO526" s="88">
        <f>SUMIF(月間集計シート!$M$113:$M$132,$G526,月間集計シート!Q$113:Q$132)*AO$2</f>
        <v>0</v>
      </c>
      <c r="AP526" s="88">
        <f>SUMIF(月間集計シート!$M$113:$M$132,$G526,月間集計シート!R$113:R$132)*AP$2</f>
        <v>0</v>
      </c>
      <c r="AQ526" s="88">
        <f>SUMIF(月間集計シート!$M$113:$M$132,$G526,月間集計シート!S$113:S$132)*AQ$2</f>
        <v>0</v>
      </c>
      <c r="AR526" s="88">
        <f>SUMIF(月間集計シート!$M$113:$M$132,$G526,月間集計シート!T$113:T$132)*AR$2</f>
        <v>0</v>
      </c>
      <c r="AS526" s="88">
        <f>SUMIF(月間集計シート!$M$134:$M$153,$G526,月間集計シート!N$134:N$153)*AS$2</f>
        <v>0</v>
      </c>
      <c r="AT526" s="88">
        <f>SUMIF(月間集計シート!$M$134:$M$153,$G526,月間集計シート!O$134:O$153)*AT$2</f>
        <v>0</v>
      </c>
      <c r="AU526" s="88">
        <f>SUMIF(月間集計シート!$M$134:$M$153,$G526,月間集計シート!P$134:P$153)*AU$2</f>
        <v>0</v>
      </c>
      <c r="AV526" s="88">
        <f>SUMIF(月間集計シート!$M$134:$M$153,$G526,月間集計シート!Q$134:Q$153)*AV$2</f>
        <v>0</v>
      </c>
      <c r="AW526" s="88">
        <f>SUMIF(月間集計シート!$M$134:$M$153,$G526,月間集計シート!R$134:R$153)*AW$2</f>
        <v>0</v>
      </c>
      <c r="AX526" s="88">
        <f>SUMIF(月間集計シート!$M$134:$M$153,$G526,月間集計シート!S$134:S$153)*AX$2</f>
        <v>0</v>
      </c>
      <c r="AY526" s="88">
        <f>SUMIF(月間集計シート!$M$134:$M$153,$G526,月間集計シート!T$134:T$153)*AY$2</f>
        <v>0</v>
      </c>
    </row>
    <row r="527" spans="1:51" ht="14.25" thickBot="1">
      <c r="A527">
        <v>7</v>
      </c>
      <c r="B527" s="120">
        <f t="shared" si="251"/>
        <v>0</v>
      </c>
      <c r="C527" s="120" t="str">
        <f t="shared" si="252"/>
        <v/>
      </c>
      <c r="D527" s="137"/>
      <c r="E527" s="150">
        <f>工種!A9</f>
        <v>20105</v>
      </c>
      <c r="F527" s="119" t="str">
        <f>工種!B9</f>
        <v>設計：原因調査・影響範囲分析・変更仕様作成</v>
      </c>
      <c r="G527" s="116" t="str">
        <f t="shared" ref="G527:G612" si="253">B527&amp;E527</f>
        <v>020105</v>
      </c>
      <c r="H527" s="88">
        <f t="shared" si="247"/>
        <v>0</v>
      </c>
      <c r="I527" s="132"/>
      <c r="J527" s="88">
        <f>SUMIF(月間集計シート!$M$29:$M$48,$G527,月間集計シート!N$29:N$48)*J$2</f>
        <v>0</v>
      </c>
      <c r="K527" s="88">
        <f>SUMIF(月間集計シート!$M$29:$M$48,$G527,月間集計シート!O$29:O$48)*K$2</f>
        <v>0</v>
      </c>
      <c r="L527" s="88">
        <f>SUMIF(月間集計シート!$M$29:$M$48,$G527,月間集計シート!P$29:P$48)*L$2</f>
        <v>0</v>
      </c>
      <c r="M527" s="88">
        <f>SUMIF(月間集計シート!$M$29:$M$48,$G527,月間集計シート!Q$29:Q$48)*M$2</f>
        <v>0</v>
      </c>
      <c r="N527" s="88">
        <f>SUMIF(月間集計シート!$M$29:$M$48,$G527,月間集計シート!R$29:R$48)*N$2</f>
        <v>0</v>
      </c>
      <c r="O527" s="88">
        <f>SUMIF(月間集計シート!$M$29:$M$48,$G527,月間集計シート!S$29:S$48)*O$2</f>
        <v>0</v>
      </c>
      <c r="P527" s="88">
        <f>SUMIF(月間集計シート!$M$29:$M$48,$G527,月間集計シート!T$29:T$48)*P$2</f>
        <v>0</v>
      </c>
      <c r="Q527" s="88">
        <f>SUMIF(月間集計シート!$M$50:$M$69,$G527,月間集計シート!N$50:N$69)*Q$2</f>
        <v>0</v>
      </c>
      <c r="R527" s="88">
        <f>SUMIF(月間集計シート!$M$50:$M$69,$G527,月間集計シート!O$50:O$69)*R$2</f>
        <v>0</v>
      </c>
      <c r="S527" s="88">
        <f>SUMIF(月間集計シート!$M$50:$M$69,$G527,月間集計シート!P$50:P$69)*S$2</f>
        <v>0</v>
      </c>
      <c r="T527" s="88">
        <f>SUMIF(月間集計シート!$M$50:$M$69,$G527,月間集計シート!Q$50:Q$69)*T$2</f>
        <v>0</v>
      </c>
      <c r="U527" s="88">
        <f>SUMIF(月間集計シート!$M$50:$M$69,$G527,月間集計シート!R$50:R$69)*U$2</f>
        <v>0</v>
      </c>
      <c r="V527" s="88">
        <f>SUMIF(月間集計シート!$M$50:$M$69,$G527,月間集計シート!S$50:S$69)*V$2</f>
        <v>0</v>
      </c>
      <c r="W527" s="88">
        <f>SUMIF(月間集計シート!$M$50:$M$69,$G527,月間集計シート!T$50:T$69)*W$2</f>
        <v>0</v>
      </c>
      <c r="X527" s="88">
        <f>SUMIF(月間集計シート!$M$71:$M$90,$G527,月間集計シート!N$71:N$90)*X$2</f>
        <v>0</v>
      </c>
      <c r="Y527" s="88">
        <f>SUMIF(月間集計シート!$M$71:$M$90,$G527,月間集計シート!O$71:O$90)*Y$2</f>
        <v>0</v>
      </c>
      <c r="Z527" s="88">
        <f>SUMIF(月間集計シート!$M$71:$M$90,$G527,月間集計シート!P$71:P$90)*Z$2</f>
        <v>0</v>
      </c>
      <c r="AA527" s="88">
        <f>SUMIF(月間集計シート!$M$71:$M$90,$G527,月間集計シート!Q$71:Q$90)*AA$2</f>
        <v>0</v>
      </c>
      <c r="AB527" s="88">
        <f>SUMIF(月間集計シート!$M$71:$M$90,$G527,月間集計シート!R$71:R$90)*AB$2</f>
        <v>0</v>
      </c>
      <c r="AC527" s="88">
        <f>SUMIF(月間集計シート!$M$71:$M$90,$G527,月間集計シート!S$71:S$90)*AC$2</f>
        <v>0</v>
      </c>
      <c r="AD527" s="88">
        <f>SUMIF(月間集計シート!$M$71:$M$90,$G527,月間集計シート!T$71:T$90)*AD$2</f>
        <v>0</v>
      </c>
      <c r="AE527" s="88">
        <f>SUMIF(月間集計シート!$M$92:$M$111,$G527,月間集計シート!N$92:N$111)*AE$2</f>
        <v>0</v>
      </c>
      <c r="AF527" s="88">
        <f>SUMIF(月間集計シート!$M$92:$M$111,$G527,月間集計シート!O$92:O$111)*AF$2</f>
        <v>0</v>
      </c>
      <c r="AG527" s="88">
        <f>SUMIF(月間集計シート!$M$92:$M$111,$G527,月間集計シート!P$92:P$111)*AG$2</f>
        <v>0</v>
      </c>
      <c r="AH527" s="88">
        <f>SUMIF(月間集計シート!$M$92:$M$111,$G527,月間集計シート!Q$92:Q$111)*AH$2</f>
        <v>0</v>
      </c>
      <c r="AI527" s="88">
        <f>SUMIF(月間集計シート!$M$92:$M$111,$G527,月間集計シート!R$92:R$111)*AI$2</f>
        <v>0</v>
      </c>
      <c r="AJ527" s="88">
        <f>SUMIF(月間集計シート!$M$92:$M$111,$G527,月間集計シート!S$92:S$111)*AJ$2</f>
        <v>0</v>
      </c>
      <c r="AK527" s="88">
        <f>SUMIF(月間集計シート!$M$92:$M$111,$G527,月間集計シート!T$92:T$111)*AK$2</f>
        <v>0</v>
      </c>
      <c r="AL527" s="88">
        <f>SUMIF(月間集計シート!$M$113:$M$132,$G527,月間集計シート!N$113:N$132)*AL$2</f>
        <v>0</v>
      </c>
      <c r="AM527" s="88">
        <f>SUMIF(月間集計シート!$M$113:$M$132,$G527,月間集計シート!O$113:O$132)*AM$2</f>
        <v>0</v>
      </c>
      <c r="AN527" s="88">
        <f>SUMIF(月間集計シート!$M$113:$M$132,$G527,月間集計シート!P$113:P$132)*AN$2</f>
        <v>0</v>
      </c>
      <c r="AO527" s="88">
        <f>SUMIF(月間集計シート!$M$113:$M$132,$G527,月間集計シート!Q$113:Q$132)*AO$2</f>
        <v>0</v>
      </c>
      <c r="AP527" s="88">
        <f>SUMIF(月間集計シート!$M$113:$M$132,$G527,月間集計シート!R$113:R$132)*AP$2</f>
        <v>0</v>
      </c>
      <c r="AQ527" s="88">
        <f>SUMIF(月間集計シート!$M$113:$M$132,$G527,月間集計シート!S$113:S$132)*AQ$2</f>
        <v>0</v>
      </c>
      <c r="AR527" s="88">
        <f>SUMIF(月間集計シート!$M$113:$M$132,$G527,月間集計シート!T$113:T$132)*AR$2</f>
        <v>0</v>
      </c>
      <c r="AS527" s="88">
        <f>SUMIF(月間集計シート!$M$134:$M$153,$G527,月間集計シート!N$134:N$153)*AS$2</f>
        <v>0</v>
      </c>
      <c r="AT527" s="88">
        <f>SUMIF(月間集計シート!$M$134:$M$153,$G527,月間集計シート!O$134:O$153)*AT$2</f>
        <v>0</v>
      </c>
      <c r="AU527" s="88">
        <f>SUMIF(月間集計シート!$M$134:$M$153,$G527,月間集計シート!P$134:P$153)*AU$2</f>
        <v>0</v>
      </c>
      <c r="AV527" s="88">
        <f>SUMIF(月間集計シート!$M$134:$M$153,$G527,月間集計シート!Q$134:Q$153)*AV$2</f>
        <v>0</v>
      </c>
      <c r="AW527" s="88">
        <f>SUMIF(月間集計シート!$M$134:$M$153,$G527,月間集計シート!R$134:R$153)*AW$2</f>
        <v>0</v>
      </c>
      <c r="AX527" s="88">
        <f>SUMIF(月間集計シート!$M$134:$M$153,$G527,月間集計シート!S$134:S$153)*AX$2</f>
        <v>0</v>
      </c>
      <c r="AY527" s="88">
        <f>SUMIF(月間集計シート!$M$134:$M$153,$G527,月間集計シート!T$134:T$153)*AY$2</f>
        <v>0</v>
      </c>
    </row>
    <row r="528" spans="1:51" ht="14.25" thickBot="1">
      <c r="A528">
        <v>7</v>
      </c>
      <c r="B528" s="120">
        <f t="shared" si="251"/>
        <v>0</v>
      </c>
      <c r="C528" s="120" t="str">
        <f t="shared" si="252"/>
        <v/>
      </c>
      <c r="D528" s="137"/>
      <c r="E528" s="150" t="str">
        <f>工種!A10</f>
        <v>20106</v>
      </c>
      <c r="F528" s="119" t="str">
        <f>工種!B10</f>
        <v>設計：設計書修正（手戻り分）</v>
      </c>
      <c r="G528" s="116" t="str">
        <f t="shared" si="253"/>
        <v>020106</v>
      </c>
      <c r="H528" s="88">
        <f t="shared" si="247"/>
        <v>0</v>
      </c>
      <c r="I528" s="132"/>
      <c r="J528" s="88">
        <f>SUMIF(月間集計シート!$M$29:$M$48,$G528,月間集計シート!N$29:N$48)*J$2</f>
        <v>0</v>
      </c>
      <c r="K528" s="88">
        <f>SUMIF(月間集計シート!$M$29:$M$48,$G528,月間集計シート!O$29:O$48)*K$2</f>
        <v>0</v>
      </c>
      <c r="L528" s="88">
        <f>SUMIF(月間集計シート!$M$29:$M$48,$G528,月間集計シート!P$29:P$48)*L$2</f>
        <v>0</v>
      </c>
      <c r="M528" s="88">
        <f>SUMIF(月間集計シート!$M$29:$M$48,$G528,月間集計シート!Q$29:Q$48)*M$2</f>
        <v>0</v>
      </c>
      <c r="N528" s="88">
        <f>SUMIF(月間集計シート!$M$29:$M$48,$G528,月間集計シート!R$29:R$48)*N$2</f>
        <v>0</v>
      </c>
      <c r="O528" s="88">
        <f>SUMIF(月間集計シート!$M$29:$M$48,$G528,月間集計シート!S$29:S$48)*O$2</f>
        <v>0</v>
      </c>
      <c r="P528" s="88">
        <f>SUMIF(月間集計シート!$M$29:$M$48,$G528,月間集計シート!T$29:T$48)*P$2</f>
        <v>0</v>
      </c>
      <c r="Q528" s="88">
        <f>SUMIF(月間集計シート!$M$50:$M$69,$G528,月間集計シート!N$50:N$69)*Q$2</f>
        <v>0</v>
      </c>
      <c r="R528" s="88">
        <f>SUMIF(月間集計シート!$M$50:$M$69,$G528,月間集計シート!O$50:O$69)*R$2</f>
        <v>0</v>
      </c>
      <c r="S528" s="88">
        <f>SUMIF(月間集計シート!$M$50:$M$69,$G528,月間集計シート!P$50:P$69)*S$2</f>
        <v>0</v>
      </c>
      <c r="T528" s="88">
        <f>SUMIF(月間集計シート!$M$50:$M$69,$G528,月間集計シート!Q$50:Q$69)*T$2</f>
        <v>0</v>
      </c>
      <c r="U528" s="88">
        <f>SUMIF(月間集計シート!$M$50:$M$69,$G528,月間集計シート!R$50:R$69)*U$2</f>
        <v>0</v>
      </c>
      <c r="V528" s="88">
        <f>SUMIF(月間集計シート!$M$50:$M$69,$G528,月間集計シート!S$50:S$69)*V$2</f>
        <v>0</v>
      </c>
      <c r="W528" s="88">
        <f>SUMIF(月間集計シート!$M$50:$M$69,$G528,月間集計シート!T$50:T$69)*W$2</f>
        <v>0</v>
      </c>
      <c r="X528" s="88">
        <f>SUMIF(月間集計シート!$M$71:$M$90,$G528,月間集計シート!N$71:N$90)*X$2</f>
        <v>0</v>
      </c>
      <c r="Y528" s="88">
        <f>SUMIF(月間集計シート!$M$71:$M$90,$G528,月間集計シート!O$71:O$90)*Y$2</f>
        <v>0</v>
      </c>
      <c r="Z528" s="88">
        <f>SUMIF(月間集計シート!$M$71:$M$90,$G528,月間集計シート!P$71:P$90)*Z$2</f>
        <v>0</v>
      </c>
      <c r="AA528" s="88">
        <f>SUMIF(月間集計シート!$M$71:$M$90,$G528,月間集計シート!Q$71:Q$90)*AA$2</f>
        <v>0</v>
      </c>
      <c r="AB528" s="88">
        <f>SUMIF(月間集計シート!$M$71:$M$90,$G528,月間集計シート!R$71:R$90)*AB$2</f>
        <v>0</v>
      </c>
      <c r="AC528" s="88">
        <f>SUMIF(月間集計シート!$M$71:$M$90,$G528,月間集計シート!S$71:S$90)*AC$2</f>
        <v>0</v>
      </c>
      <c r="AD528" s="88">
        <f>SUMIF(月間集計シート!$M$71:$M$90,$G528,月間集計シート!T$71:T$90)*AD$2</f>
        <v>0</v>
      </c>
      <c r="AE528" s="88">
        <f>SUMIF(月間集計シート!$M$92:$M$111,$G528,月間集計シート!N$92:N$111)*AE$2</f>
        <v>0</v>
      </c>
      <c r="AF528" s="88">
        <f>SUMIF(月間集計シート!$M$92:$M$111,$G528,月間集計シート!O$92:O$111)*AF$2</f>
        <v>0</v>
      </c>
      <c r="AG528" s="88">
        <f>SUMIF(月間集計シート!$M$92:$M$111,$G528,月間集計シート!P$92:P$111)*AG$2</f>
        <v>0</v>
      </c>
      <c r="AH528" s="88">
        <f>SUMIF(月間集計シート!$M$92:$M$111,$G528,月間集計シート!Q$92:Q$111)*AH$2</f>
        <v>0</v>
      </c>
      <c r="AI528" s="88">
        <f>SUMIF(月間集計シート!$M$92:$M$111,$G528,月間集計シート!R$92:R$111)*AI$2</f>
        <v>0</v>
      </c>
      <c r="AJ528" s="88">
        <f>SUMIF(月間集計シート!$M$92:$M$111,$G528,月間集計シート!S$92:S$111)*AJ$2</f>
        <v>0</v>
      </c>
      <c r="AK528" s="88">
        <f>SUMIF(月間集計シート!$M$92:$M$111,$G528,月間集計シート!T$92:T$111)*AK$2</f>
        <v>0</v>
      </c>
      <c r="AL528" s="88">
        <f>SUMIF(月間集計シート!$M$113:$M$132,$G528,月間集計シート!N$113:N$132)*AL$2</f>
        <v>0</v>
      </c>
      <c r="AM528" s="88">
        <f>SUMIF(月間集計シート!$M$113:$M$132,$G528,月間集計シート!O$113:O$132)*AM$2</f>
        <v>0</v>
      </c>
      <c r="AN528" s="88">
        <f>SUMIF(月間集計シート!$M$113:$M$132,$G528,月間集計シート!P$113:P$132)*AN$2</f>
        <v>0</v>
      </c>
      <c r="AO528" s="88">
        <f>SUMIF(月間集計シート!$M$113:$M$132,$G528,月間集計シート!Q$113:Q$132)*AO$2</f>
        <v>0</v>
      </c>
      <c r="AP528" s="88">
        <f>SUMIF(月間集計シート!$M$113:$M$132,$G528,月間集計シート!R$113:R$132)*AP$2</f>
        <v>0</v>
      </c>
      <c r="AQ528" s="88">
        <f>SUMIF(月間集計シート!$M$113:$M$132,$G528,月間集計シート!S$113:S$132)*AQ$2</f>
        <v>0</v>
      </c>
      <c r="AR528" s="88">
        <f>SUMIF(月間集計シート!$M$113:$M$132,$G528,月間集計シート!T$113:T$132)*AR$2</f>
        <v>0</v>
      </c>
      <c r="AS528" s="88">
        <f>SUMIF(月間集計シート!$M$134:$M$153,$G528,月間集計シート!N$134:N$153)*AS$2</f>
        <v>0</v>
      </c>
      <c r="AT528" s="88">
        <f>SUMIF(月間集計シート!$M$134:$M$153,$G528,月間集計シート!O$134:O$153)*AT$2</f>
        <v>0</v>
      </c>
      <c r="AU528" s="88">
        <f>SUMIF(月間集計シート!$M$134:$M$153,$G528,月間集計シート!P$134:P$153)*AU$2</f>
        <v>0</v>
      </c>
      <c r="AV528" s="88">
        <f>SUMIF(月間集計シート!$M$134:$M$153,$G528,月間集計シート!Q$134:Q$153)*AV$2</f>
        <v>0</v>
      </c>
      <c r="AW528" s="88">
        <f>SUMIF(月間集計シート!$M$134:$M$153,$G528,月間集計シート!R$134:R$153)*AW$2</f>
        <v>0</v>
      </c>
      <c r="AX528" s="88">
        <f>SUMIF(月間集計シート!$M$134:$M$153,$G528,月間集計シート!S$134:S$153)*AX$2</f>
        <v>0</v>
      </c>
      <c r="AY528" s="88">
        <f>SUMIF(月間集計シート!$M$134:$M$153,$G528,月間集計シート!T$134:T$153)*AY$2</f>
        <v>0</v>
      </c>
    </row>
    <row r="529" spans="1:51" ht="14.25" thickBot="1">
      <c r="A529">
        <v>7</v>
      </c>
      <c r="B529" s="120">
        <f t="shared" si="251"/>
        <v>0</v>
      </c>
      <c r="C529" s="120" t="str">
        <f t="shared" si="252"/>
        <v/>
      </c>
      <c r="D529" s="137"/>
      <c r="E529" s="150" t="str">
        <f>工種!A11</f>
        <v>20107</v>
      </c>
      <c r="F529" s="119" t="str">
        <f>工種!B11</f>
        <v>設計：その他の設計書作成</v>
      </c>
      <c r="G529" s="116" t="str">
        <f t="shared" si="253"/>
        <v>020107</v>
      </c>
      <c r="H529" s="88">
        <f t="shared" si="247"/>
        <v>0</v>
      </c>
      <c r="I529" s="132"/>
      <c r="J529" s="88">
        <f>SUMIF(月間集計シート!$M$29:$M$48,$G529,月間集計シート!N$29:N$48)*J$2</f>
        <v>0</v>
      </c>
      <c r="K529" s="88">
        <f>SUMIF(月間集計シート!$M$29:$M$48,$G529,月間集計シート!O$29:O$48)*K$2</f>
        <v>0</v>
      </c>
      <c r="L529" s="88">
        <f>SUMIF(月間集計シート!$M$29:$M$48,$G529,月間集計シート!P$29:P$48)*L$2</f>
        <v>0</v>
      </c>
      <c r="M529" s="88">
        <f>SUMIF(月間集計シート!$M$29:$M$48,$G529,月間集計シート!Q$29:Q$48)*M$2</f>
        <v>0</v>
      </c>
      <c r="N529" s="88">
        <f>SUMIF(月間集計シート!$M$29:$M$48,$G529,月間集計シート!R$29:R$48)*N$2</f>
        <v>0</v>
      </c>
      <c r="O529" s="88">
        <f>SUMIF(月間集計シート!$M$29:$M$48,$G529,月間集計シート!S$29:S$48)*O$2</f>
        <v>0</v>
      </c>
      <c r="P529" s="88">
        <f>SUMIF(月間集計シート!$M$29:$M$48,$G529,月間集計シート!T$29:T$48)*P$2</f>
        <v>0</v>
      </c>
      <c r="Q529" s="88">
        <f>SUMIF(月間集計シート!$M$50:$M$69,$G529,月間集計シート!N$50:N$69)*Q$2</f>
        <v>0</v>
      </c>
      <c r="R529" s="88">
        <f>SUMIF(月間集計シート!$M$50:$M$69,$G529,月間集計シート!O$50:O$69)*R$2</f>
        <v>0</v>
      </c>
      <c r="S529" s="88">
        <f>SUMIF(月間集計シート!$M$50:$M$69,$G529,月間集計シート!P$50:P$69)*S$2</f>
        <v>0</v>
      </c>
      <c r="T529" s="88">
        <f>SUMIF(月間集計シート!$M$50:$M$69,$G529,月間集計シート!Q$50:Q$69)*T$2</f>
        <v>0</v>
      </c>
      <c r="U529" s="88">
        <f>SUMIF(月間集計シート!$M$50:$M$69,$G529,月間集計シート!R$50:R$69)*U$2</f>
        <v>0</v>
      </c>
      <c r="V529" s="88">
        <f>SUMIF(月間集計シート!$M$50:$M$69,$G529,月間集計シート!S$50:S$69)*V$2</f>
        <v>0</v>
      </c>
      <c r="W529" s="88">
        <f>SUMIF(月間集計シート!$M$50:$M$69,$G529,月間集計シート!T$50:T$69)*W$2</f>
        <v>0</v>
      </c>
      <c r="X529" s="88">
        <f>SUMIF(月間集計シート!$M$71:$M$90,$G529,月間集計シート!N$71:N$90)*X$2</f>
        <v>0</v>
      </c>
      <c r="Y529" s="88">
        <f>SUMIF(月間集計シート!$M$71:$M$90,$G529,月間集計シート!O$71:O$90)*Y$2</f>
        <v>0</v>
      </c>
      <c r="Z529" s="88">
        <f>SUMIF(月間集計シート!$M$71:$M$90,$G529,月間集計シート!P$71:P$90)*Z$2</f>
        <v>0</v>
      </c>
      <c r="AA529" s="88">
        <f>SUMIF(月間集計シート!$M$71:$M$90,$G529,月間集計シート!Q$71:Q$90)*AA$2</f>
        <v>0</v>
      </c>
      <c r="AB529" s="88">
        <f>SUMIF(月間集計シート!$M$71:$M$90,$G529,月間集計シート!R$71:R$90)*AB$2</f>
        <v>0</v>
      </c>
      <c r="AC529" s="88">
        <f>SUMIF(月間集計シート!$M$71:$M$90,$G529,月間集計シート!S$71:S$90)*AC$2</f>
        <v>0</v>
      </c>
      <c r="AD529" s="88">
        <f>SUMIF(月間集計シート!$M$71:$M$90,$G529,月間集計シート!T$71:T$90)*AD$2</f>
        <v>0</v>
      </c>
      <c r="AE529" s="88">
        <f>SUMIF(月間集計シート!$M$92:$M$111,$G529,月間集計シート!N$92:N$111)*AE$2</f>
        <v>0</v>
      </c>
      <c r="AF529" s="88">
        <f>SUMIF(月間集計シート!$M$92:$M$111,$G529,月間集計シート!O$92:O$111)*AF$2</f>
        <v>0</v>
      </c>
      <c r="AG529" s="88">
        <f>SUMIF(月間集計シート!$M$92:$M$111,$G529,月間集計シート!P$92:P$111)*AG$2</f>
        <v>0</v>
      </c>
      <c r="AH529" s="88">
        <f>SUMIF(月間集計シート!$M$92:$M$111,$G529,月間集計シート!Q$92:Q$111)*AH$2</f>
        <v>0</v>
      </c>
      <c r="AI529" s="88">
        <f>SUMIF(月間集計シート!$M$92:$M$111,$G529,月間集計シート!R$92:R$111)*AI$2</f>
        <v>0</v>
      </c>
      <c r="AJ529" s="88">
        <f>SUMIF(月間集計シート!$M$92:$M$111,$G529,月間集計シート!S$92:S$111)*AJ$2</f>
        <v>0</v>
      </c>
      <c r="AK529" s="88">
        <f>SUMIF(月間集計シート!$M$92:$M$111,$G529,月間集計シート!T$92:T$111)*AK$2</f>
        <v>0</v>
      </c>
      <c r="AL529" s="88">
        <f>SUMIF(月間集計シート!$M$113:$M$132,$G529,月間集計シート!N$113:N$132)*AL$2</f>
        <v>0</v>
      </c>
      <c r="AM529" s="88">
        <f>SUMIF(月間集計シート!$M$113:$M$132,$G529,月間集計シート!O$113:O$132)*AM$2</f>
        <v>0</v>
      </c>
      <c r="AN529" s="88">
        <f>SUMIF(月間集計シート!$M$113:$M$132,$G529,月間集計シート!P$113:P$132)*AN$2</f>
        <v>0</v>
      </c>
      <c r="AO529" s="88">
        <f>SUMIF(月間集計シート!$M$113:$M$132,$G529,月間集計シート!Q$113:Q$132)*AO$2</f>
        <v>0</v>
      </c>
      <c r="AP529" s="88">
        <f>SUMIF(月間集計シート!$M$113:$M$132,$G529,月間集計シート!R$113:R$132)*AP$2</f>
        <v>0</v>
      </c>
      <c r="AQ529" s="88">
        <f>SUMIF(月間集計シート!$M$113:$M$132,$G529,月間集計シート!S$113:S$132)*AQ$2</f>
        <v>0</v>
      </c>
      <c r="AR529" s="88">
        <f>SUMIF(月間集計シート!$M$113:$M$132,$G529,月間集計シート!T$113:T$132)*AR$2</f>
        <v>0</v>
      </c>
      <c r="AS529" s="88">
        <f>SUMIF(月間集計シート!$M$134:$M$153,$G529,月間集計シート!N$134:N$153)*AS$2</f>
        <v>0</v>
      </c>
      <c r="AT529" s="88">
        <f>SUMIF(月間集計シート!$M$134:$M$153,$G529,月間集計シート!O$134:O$153)*AT$2</f>
        <v>0</v>
      </c>
      <c r="AU529" s="88">
        <f>SUMIF(月間集計シート!$M$134:$M$153,$G529,月間集計シート!P$134:P$153)*AU$2</f>
        <v>0</v>
      </c>
      <c r="AV529" s="88">
        <f>SUMIF(月間集計シート!$M$134:$M$153,$G529,月間集計シート!Q$134:Q$153)*AV$2</f>
        <v>0</v>
      </c>
      <c r="AW529" s="88">
        <f>SUMIF(月間集計シート!$M$134:$M$153,$G529,月間集計シート!R$134:R$153)*AW$2</f>
        <v>0</v>
      </c>
      <c r="AX529" s="88">
        <f>SUMIF(月間集計シート!$M$134:$M$153,$G529,月間集計シート!S$134:S$153)*AX$2</f>
        <v>0</v>
      </c>
      <c r="AY529" s="88">
        <f>SUMIF(月間集計シート!$M$134:$M$153,$G529,月間集計シート!T$134:T$153)*AY$2</f>
        <v>0</v>
      </c>
    </row>
    <row r="530" spans="1:51" ht="14.25" thickBot="1">
      <c r="A530">
        <v>7</v>
      </c>
      <c r="B530" s="120">
        <f t="shared" si="251"/>
        <v>0</v>
      </c>
      <c r="C530" s="120" t="str">
        <f t="shared" si="252"/>
        <v/>
      </c>
      <c r="D530" s="137"/>
      <c r="E530" s="150" t="str">
        <f>工種!A12</f>
        <v>20108</v>
      </c>
      <c r="F530" s="119" t="str">
        <f>工種!B12</f>
        <v>設計：レビュー</v>
      </c>
      <c r="G530" s="116" t="str">
        <f t="shared" si="253"/>
        <v>020108</v>
      </c>
      <c r="H530" s="88">
        <f t="shared" si="247"/>
        <v>0</v>
      </c>
      <c r="I530" s="132"/>
      <c r="J530" s="88">
        <f>SUMIF(月間集計シート!$M$29:$M$48,$G530,月間集計シート!N$29:N$48)*J$2</f>
        <v>0</v>
      </c>
      <c r="K530" s="88">
        <f>SUMIF(月間集計シート!$M$29:$M$48,$G530,月間集計シート!O$29:O$48)*K$2</f>
        <v>0</v>
      </c>
      <c r="L530" s="88">
        <f>SUMIF(月間集計シート!$M$29:$M$48,$G530,月間集計シート!P$29:P$48)*L$2</f>
        <v>0</v>
      </c>
      <c r="M530" s="88">
        <f>SUMIF(月間集計シート!$M$29:$M$48,$G530,月間集計シート!Q$29:Q$48)*M$2</f>
        <v>0</v>
      </c>
      <c r="N530" s="88">
        <f>SUMIF(月間集計シート!$M$29:$M$48,$G530,月間集計シート!R$29:R$48)*N$2</f>
        <v>0</v>
      </c>
      <c r="O530" s="88">
        <f>SUMIF(月間集計シート!$M$29:$M$48,$G530,月間集計シート!S$29:S$48)*O$2</f>
        <v>0</v>
      </c>
      <c r="P530" s="88">
        <f>SUMIF(月間集計シート!$M$29:$M$48,$G530,月間集計シート!T$29:T$48)*P$2</f>
        <v>0</v>
      </c>
      <c r="Q530" s="88">
        <f>SUMIF(月間集計シート!$M$50:$M$69,$G530,月間集計シート!N$50:N$69)*Q$2</f>
        <v>0</v>
      </c>
      <c r="R530" s="88">
        <f>SUMIF(月間集計シート!$M$50:$M$69,$G530,月間集計シート!O$50:O$69)*R$2</f>
        <v>0</v>
      </c>
      <c r="S530" s="88">
        <f>SUMIF(月間集計シート!$M$50:$M$69,$G530,月間集計シート!P$50:P$69)*S$2</f>
        <v>0</v>
      </c>
      <c r="T530" s="88">
        <f>SUMIF(月間集計シート!$M$50:$M$69,$G530,月間集計シート!Q$50:Q$69)*T$2</f>
        <v>0</v>
      </c>
      <c r="U530" s="88">
        <f>SUMIF(月間集計シート!$M$50:$M$69,$G530,月間集計シート!R$50:R$69)*U$2</f>
        <v>0</v>
      </c>
      <c r="V530" s="88">
        <f>SUMIF(月間集計シート!$M$50:$M$69,$G530,月間集計シート!S$50:S$69)*V$2</f>
        <v>0</v>
      </c>
      <c r="W530" s="88">
        <f>SUMIF(月間集計シート!$M$50:$M$69,$G530,月間集計シート!T$50:T$69)*W$2</f>
        <v>0</v>
      </c>
      <c r="X530" s="88">
        <f>SUMIF(月間集計シート!$M$71:$M$90,$G530,月間集計シート!N$71:N$90)*X$2</f>
        <v>0</v>
      </c>
      <c r="Y530" s="88">
        <f>SUMIF(月間集計シート!$M$71:$M$90,$G530,月間集計シート!O$71:O$90)*Y$2</f>
        <v>0</v>
      </c>
      <c r="Z530" s="88">
        <f>SUMIF(月間集計シート!$M$71:$M$90,$G530,月間集計シート!P$71:P$90)*Z$2</f>
        <v>0</v>
      </c>
      <c r="AA530" s="88">
        <f>SUMIF(月間集計シート!$M$71:$M$90,$G530,月間集計シート!Q$71:Q$90)*AA$2</f>
        <v>0</v>
      </c>
      <c r="AB530" s="88">
        <f>SUMIF(月間集計シート!$M$71:$M$90,$G530,月間集計シート!R$71:R$90)*AB$2</f>
        <v>0</v>
      </c>
      <c r="AC530" s="88">
        <f>SUMIF(月間集計シート!$M$71:$M$90,$G530,月間集計シート!S$71:S$90)*AC$2</f>
        <v>0</v>
      </c>
      <c r="AD530" s="88">
        <f>SUMIF(月間集計シート!$M$71:$M$90,$G530,月間集計シート!T$71:T$90)*AD$2</f>
        <v>0</v>
      </c>
      <c r="AE530" s="88">
        <f>SUMIF(月間集計シート!$M$92:$M$111,$G530,月間集計シート!N$92:N$111)*AE$2</f>
        <v>0</v>
      </c>
      <c r="AF530" s="88">
        <f>SUMIF(月間集計シート!$M$92:$M$111,$G530,月間集計シート!O$92:O$111)*AF$2</f>
        <v>0</v>
      </c>
      <c r="AG530" s="88">
        <f>SUMIF(月間集計シート!$M$92:$M$111,$G530,月間集計シート!P$92:P$111)*AG$2</f>
        <v>0</v>
      </c>
      <c r="AH530" s="88">
        <f>SUMIF(月間集計シート!$M$92:$M$111,$G530,月間集計シート!Q$92:Q$111)*AH$2</f>
        <v>0</v>
      </c>
      <c r="AI530" s="88">
        <f>SUMIF(月間集計シート!$M$92:$M$111,$G530,月間集計シート!R$92:R$111)*AI$2</f>
        <v>0</v>
      </c>
      <c r="AJ530" s="88">
        <f>SUMIF(月間集計シート!$M$92:$M$111,$G530,月間集計シート!S$92:S$111)*AJ$2</f>
        <v>0</v>
      </c>
      <c r="AK530" s="88">
        <f>SUMIF(月間集計シート!$M$92:$M$111,$G530,月間集計シート!T$92:T$111)*AK$2</f>
        <v>0</v>
      </c>
      <c r="AL530" s="88">
        <f>SUMIF(月間集計シート!$M$113:$M$132,$G530,月間集計シート!N$113:N$132)*AL$2</f>
        <v>0</v>
      </c>
      <c r="AM530" s="88">
        <f>SUMIF(月間集計シート!$M$113:$M$132,$G530,月間集計シート!O$113:O$132)*AM$2</f>
        <v>0</v>
      </c>
      <c r="AN530" s="88">
        <f>SUMIF(月間集計シート!$M$113:$M$132,$G530,月間集計シート!P$113:P$132)*AN$2</f>
        <v>0</v>
      </c>
      <c r="AO530" s="88">
        <f>SUMIF(月間集計シート!$M$113:$M$132,$G530,月間集計シート!Q$113:Q$132)*AO$2</f>
        <v>0</v>
      </c>
      <c r="AP530" s="88">
        <f>SUMIF(月間集計シート!$M$113:$M$132,$G530,月間集計シート!R$113:R$132)*AP$2</f>
        <v>0</v>
      </c>
      <c r="AQ530" s="88">
        <f>SUMIF(月間集計シート!$M$113:$M$132,$G530,月間集計シート!S$113:S$132)*AQ$2</f>
        <v>0</v>
      </c>
      <c r="AR530" s="88">
        <f>SUMIF(月間集計シート!$M$113:$M$132,$G530,月間集計シート!T$113:T$132)*AR$2</f>
        <v>0</v>
      </c>
      <c r="AS530" s="88">
        <f>SUMIF(月間集計シート!$M$134:$M$153,$G530,月間集計シート!N$134:N$153)*AS$2</f>
        <v>0</v>
      </c>
      <c r="AT530" s="88">
        <f>SUMIF(月間集計シート!$M$134:$M$153,$G530,月間集計シート!O$134:O$153)*AT$2</f>
        <v>0</v>
      </c>
      <c r="AU530" s="88">
        <f>SUMIF(月間集計シート!$M$134:$M$153,$G530,月間集計シート!P$134:P$153)*AU$2</f>
        <v>0</v>
      </c>
      <c r="AV530" s="88">
        <f>SUMIF(月間集計シート!$M$134:$M$153,$G530,月間集計シート!Q$134:Q$153)*AV$2</f>
        <v>0</v>
      </c>
      <c r="AW530" s="88">
        <f>SUMIF(月間集計シート!$M$134:$M$153,$G530,月間集計シート!R$134:R$153)*AW$2</f>
        <v>0</v>
      </c>
      <c r="AX530" s="88">
        <f>SUMIF(月間集計シート!$M$134:$M$153,$G530,月間集計シート!S$134:S$153)*AX$2</f>
        <v>0</v>
      </c>
      <c r="AY530" s="88">
        <f>SUMIF(月間集計シート!$M$134:$M$153,$G530,月間集計シート!T$134:T$153)*AY$2</f>
        <v>0</v>
      </c>
    </row>
    <row r="531" spans="1:51" ht="14.25" thickBot="1">
      <c r="A531">
        <v>7</v>
      </c>
      <c r="B531" s="120">
        <f t="shared" si="251"/>
        <v>0</v>
      </c>
      <c r="C531" s="120" t="str">
        <f t="shared" si="252"/>
        <v/>
      </c>
      <c r="D531" s="137"/>
      <c r="E531" s="150" t="str">
        <f>工種!A13</f>
        <v>20109</v>
      </c>
      <c r="F531" s="119" t="str">
        <f>工種!B13</f>
        <v>設計：QA対応</v>
      </c>
      <c r="G531" s="116" t="str">
        <f t="shared" si="253"/>
        <v>020109</v>
      </c>
      <c r="H531" s="88">
        <f t="shared" si="247"/>
        <v>0</v>
      </c>
      <c r="I531" s="132"/>
      <c r="J531" s="88">
        <f>SUMIF(月間集計シート!$M$29:$M$48,$G531,月間集計シート!N$29:N$48)*J$2</f>
        <v>0</v>
      </c>
      <c r="K531" s="88">
        <f>SUMIF(月間集計シート!$M$29:$M$48,$G531,月間集計シート!O$29:O$48)*K$2</f>
        <v>0</v>
      </c>
      <c r="L531" s="88">
        <f>SUMIF(月間集計シート!$M$29:$M$48,$G531,月間集計シート!P$29:P$48)*L$2</f>
        <v>0</v>
      </c>
      <c r="M531" s="88">
        <f>SUMIF(月間集計シート!$M$29:$M$48,$G531,月間集計シート!Q$29:Q$48)*M$2</f>
        <v>0</v>
      </c>
      <c r="N531" s="88">
        <f>SUMIF(月間集計シート!$M$29:$M$48,$G531,月間集計シート!R$29:R$48)*N$2</f>
        <v>0</v>
      </c>
      <c r="O531" s="88">
        <f>SUMIF(月間集計シート!$M$29:$M$48,$G531,月間集計シート!S$29:S$48)*O$2</f>
        <v>0</v>
      </c>
      <c r="P531" s="88">
        <f>SUMIF(月間集計シート!$M$29:$M$48,$G531,月間集計シート!T$29:T$48)*P$2</f>
        <v>0</v>
      </c>
      <c r="Q531" s="88">
        <f>SUMIF(月間集計シート!$M$50:$M$69,$G531,月間集計シート!N$50:N$69)*Q$2</f>
        <v>0</v>
      </c>
      <c r="R531" s="88">
        <f>SUMIF(月間集計シート!$M$50:$M$69,$G531,月間集計シート!O$50:O$69)*R$2</f>
        <v>0</v>
      </c>
      <c r="S531" s="88">
        <f>SUMIF(月間集計シート!$M$50:$M$69,$G531,月間集計シート!P$50:P$69)*S$2</f>
        <v>0</v>
      </c>
      <c r="T531" s="88">
        <f>SUMIF(月間集計シート!$M$50:$M$69,$G531,月間集計シート!Q$50:Q$69)*T$2</f>
        <v>0</v>
      </c>
      <c r="U531" s="88">
        <f>SUMIF(月間集計シート!$M$50:$M$69,$G531,月間集計シート!R$50:R$69)*U$2</f>
        <v>0</v>
      </c>
      <c r="V531" s="88">
        <f>SUMIF(月間集計シート!$M$50:$M$69,$G531,月間集計シート!S$50:S$69)*V$2</f>
        <v>0</v>
      </c>
      <c r="W531" s="88">
        <f>SUMIF(月間集計シート!$M$50:$M$69,$G531,月間集計シート!T$50:T$69)*W$2</f>
        <v>0</v>
      </c>
      <c r="X531" s="88">
        <f>SUMIF(月間集計シート!$M$71:$M$90,$G531,月間集計シート!N$71:N$90)*X$2</f>
        <v>0</v>
      </c>
      <c r="Y531" s="88">
        <f>SUMIF(月間集計シート!$M$71:$M$90,$G531,月間集計シート!O$71:O$90)*Y$2</f>
        <v>0</v>
      </c>
      <c r="Z531" s="88">
        <f>SUMIF(月間集計シート!$M$71:$M$90,$G531,月間集計シート!P$71:P$90)*Z$2</f>
        <v>0</v>
      </c>
      <c r="AA531" s="88">
        <f>SUMIF(月間集計シート!$M$71:$M$90,$G531,月間集計シート!Q$71:Q$90)*AA$2</f>
        <v>0</v>
      </c>
      <c r="AB531" s="88">
        <f>SUMIF(月間集計シート!$M$71:$M$90,$G531,月間集計シート!R$71:R$90)*AB$2</f>
        <v>0</v>
      </c>
      <c r="AC531" s="88">
        <f>SUMIF(月間集計シート!$M$71:$M$90,$G531,月間集計シート!S$71:S$90)*AC$2</f>
        <v>0</v>
      </c>
      <c r="AD531" s="88">
        <f>SUMIF(月間集計シート!$M$71:$M$90,$G531,月間集計シート!T$71:T$90)*AD$2</f>
        <v>0</v>
      </c>
      <c r="AE531" s="88">
        <f>SUMIF(月間集計シート!$M$92:$M$111,$G531,月間集計シート!N$92:N$111)*AE$2</f>
        <v>0</v>
      </c>
      <c r="AF531" s="88">
        <f>SUMIF(月間集計シート!$M$92:$M$111,$G531,月間集計シート!O$92:O$111)*AF$2</f>
        <v>0</v>
      </c>
      <c r="AG531" s="88">
        <f>SUMIF(月間集計シート!$M$92:$M$111,$G531,月間集計シート!P$92:P$111)*AG$2</f>
        <v>0</v>
      </c>
      <c r="AH531" s="88">
        <f>SUMIF(月間集計シート!$M$92:$M$111,$G531,月間集計シート!Q$92:Q$111)*AH$2</f>
        <v>0</v>
      </c>
      <c r="AI531" s="88">
        <f>SUMIF(月間集計シート!$M$92:$M$111,$G531,月間集計シート!R$92:R$111)*AI$2</f>
        <v>0</v>
      </c>
      <c r="AJ531" s="88">
        <f>SUMIF(月間集計シート!$M$92:$M$111,$G531,月間集計シート!S$92:S$111)*AJ$2</f>
        <v>0</v>
      </c>
      <c r="AK531" s="88">
        <f>SUMIF(月間集計シート!$M$92:$M$111,$G531,月間集計シート!T$92:T$111)*AK$2</f>
        <v>0</v>
      </c>
      <c r="AL531" s="88">
        <f>SUMIF(月間集計シート!$M$113:$M$132,$G531,月間集計シート!N$113:N$132)*AL$2</f>
        <v>0</v>
      </c>
      <c r="AM531" s="88">
        <f>SUMIF(月間集計シート!$M$113:$M$132,$G531,月間集計シート!O$113:O$132)*AM$2</f>
        <v>0</v>
      </c>
      <c r="AN531" s="88">
        <f>SUMIF(月間集計シート!$M$113:$M$132,$G531,月間集計シート!P$113:P$132)*AN$2</f>
        <v>0</v>
      </c>
      <c r="AO531" s="88">
        <f>SUMIF(月間集計シート!$M$113:$M$132,$G531,月間集計シート!Q$113:Q$132)*AO$2</f>
        <v>0</v>
      </c>
      <c r="AP531" s="88">
        <f>SUMIF(月間集計シート!$M$113:$M$132,$G531,月間集計シート!R$113:R$132)*AP$2</f>
        <v>0</v>
      </c>
      <c r="AQ531" s="88">
        <f>SUMIF(月間集計シート!$M$113:$M$132,$G531,月間集計シート!S$113:S$132)*AQ$2</f>
        <v>0</v>
      </c>
      <c r="AR531" s="88">
        <f>SUMIF(月間集計シート!$M$113:$M$132,$G531,月間集計シート!T$113:T$132)*AR$2</f>
        <v>0</v>
      </c>
      <c r="AS531" s="88">
        <f>SUMIF(月間集計シート!$M$134:$M$153,$G531,月間集計シート!N$134:N$153)*AS$2</f>
        <v>0</v>
      </c>
      <c r="AT531" s="88">
        <f>SUMIF(月間集計シート!$M$134:$M$153,$G531,月間集計シート!O$134:O$153)*AT$2</f>
        <v>0</v>
      </c>
      <c r="AU531" s="88">
        <f>SUMIF(月間集計シート!$M$134:$M$153,$G531,月間集計シート!P$134:P$153)*AU$2</f>
        <v>0</v>
      </c>
      <c r="AV531" s="88">
        <f>SUMIF(月間集計シート!$M$134:$M$153,$G531,月間集計シート!Q$134:Q$153)*AV$2</f>
        <v>0</v>
      </c>
      <c r="AW531" s="88">
        <f>SUMIF(月間集計シート!$M$134:$M$153,$G531,月間集計シート!R$134:R$153)*AW$2</f>
        <v>0</v>
      </c>
      <c r="AX531" s="88">
        <f>SUMIF(月間集計シート!$M$134:$M$153,$G531,月間集計シート!S$134:S$153)*AX$2</f>
        <v>0</v>
      </c>
      <c r="AY531" s="88">
        <f>SUMIF(月間集計シート!$M$134:$M$153,$G531,月間集計シート!T$134:T$153)*AY$2</f>
        <v>0</v>
      </c>
    </row>
    <row r="532" spans="1:51" ht="14.25" thickBot="1">
      <c r="A532">
        <v>7</v>
      </c>
      <c r="B532" s="120">
        <f t="shared" si="251"/>
        <v>0</v>
      </c>
      <c r="C532" s="120" t="str">
        <f t="shared" si="252"/>
        <v/>
      </c>
      <c r="D532" s="137"/>
      <c r="E532" s="150" t="str">
        <f>工種!A14</f>
        <v>20199</v>
      </c>
      <c r="F532" s="119" t="str">
        <f>工種!B14</f>
        <v>設計：その他</v>
      </c>
      <c r="G532" s="116" t="str">
        <f t="shared" si="253"/>
        <v>020199</v>
      </c>
      <c r="H532" s="88">
        <f t="shared" si="247"/>
        <v>0</v>
      </c>
      <c r="I532" s="132"/>
      <c r="J532" s="88">
        <f>SUMIF(月間集計シート!$M$29:$M$48,$G532,月間集計シート!N$29:N$48)*J$2</f>
        <v>0</v>
      </c>
      <c r="K532" s="88">
        <f>SUMIF(月間集計シート!$M$29:$M$48,$G532,月間集計シート!O$29:O$48)*K$2</f>
        <v>0</v>
      </c>
      <c r="L532" s="88">
        <f>SUMIF(月間集計シート!$M$29:$M$48,$G532,月間集計シート!P$29:P$48)*L$2</f>
        <v>0</v>
      </c>
      <c r="M532" s="88">
        <f>SUMIF(月間集計シート!$M$29:$M$48,$G532,月間集計シート!Q$29:Q$48)*M$2</f>
        <v>0</v>
      </c>
      <c r="N532" s="88">
        <f>SUMIF(月間集計シート!$M$29:$M$48,$G532,月間集計シート!R$29:R$48)*N$2</f>
        <v>0</v>
      </c>
      <c r="O532" s="88">
        <f>SUMIF(月間集計シート!$M$29:$M$48,$G532,月間集計シート!S$29:S$48)*O$2</f>
        <v>0</v>
      </c>
      <c r="P532" s="88">
        <f>SUMIF(月間集計シート!$M$29:$M$48,$G532,月間集計シート!T$29:T$48)*P$2</f>
        <v>0</v>
      </c>
      <c r="Q532" s="88">
        <f>SUMIF(月間集計シート!$M$50:$M$69,$G532,月間集計シート!N$50:N$69)*Q$2</f>
        <v>0</v>
      </c>
      <c r="R532" s="88">
        <f>SUMIF(月間集計シート!$M$50:$M$69,$G532,月間集計シート!O$50:O$69)*R$2</f>
        <v>0</v>
      </c>
      <c r="S532" s="88">
        <f>SUMIF(月間集計シート!$M$50:$M$69,$G532,月間集計シート!P$50:P$69)*S$2</f>
        <v>0</v>
      </c>
      <c r="T532" s="88">
        <f>SUMIF(月間集計シート!$M$50:$M$69,$G532,月間集計シート!Q$50:Q$69)*T$2</f>
        <v>0</v>
      </c>
      <c r="U532" s="88">
        <f>SUMIF(月間集計シート!$M$50:$M$69,$G532,月間集計シート!R$50:R$69)*U$2</f>
        <v>0</v>
      </c>
      <c r="V532" s="88">
        <f>SUMIF(月間集計シート!$M$50:$M$69,$G532,月間集計シート!S$50:S$69)*V$2</f>
        <v>0</v>
      </c>
      <c r="W532" s="88">
        <f>SUMIF(月間集計シート!$M$50:$M$69,$G532,月間集計シート!T$50:T$69)*W$2</f>
        <v>0</v>
      </c>
      <c r="X532" s="88">
        <f>SUMIF(月間集計シート!$M$71:$M$90,$G532,月間集計シート!N$71:N$90)*X$2</f>
        <v>0</v>
      </c>
      <c r="Y532" s="88">
        <f>SUMIF(月間集計シート!$M$71:$M$90,$G532,月間集計シート!O$71:O$90)*Y$2</f>
        <v>0</v>
      </c>
      <c r="Z532" s="88">
        <f>SUMIF(月間集計シート!$M$71:$M$90,$G532,月間集計シート!P$71:P$90)*Z$2</f>
        <v>0</v>
      </c>
      <c r="AA532" s="88">
        <f>SUMIF(月間集計シート!$M$71:$M$90,$G532,月間集計シート!Q$71:Q$90)*AA$2</f>
        <v>0</v>
      </c>
      <c r="AB532" s="88">
        <f>SUMIF(月間集計シート!$M$71:$M$90,$G532,月間集計シート!R$71:R$90)*AB$2</f>
        <v>0</v>
      </c>
      <c r="AC532" s="88">
        <f>SUMIF(月間集計シート!$M$71:$M$90,$G532,月間集計シート!S$71:S$90)*AC$2</f>
        <v>0</v>
      </c>
      <c r="AD532" s="88">
        <f>SUMIF(月間集計シート!$M$71:$M$90,$G532,月間集計シート!T$71:T$90)*AD$2</f>
        <v>0</v>
      </c>
      <c r="AE532" s="88">
        <f>SUMIF(月間集計シート!$M$92:$M$111,$G532,月間集計シート!N$92:N$111)*AE$2</f>
        <v>0</v>
      </c>
      <c r="AF532" s="88">
        <f>SUMIF(月間集計シート!$M$92:$M$111,$G532,月間集計シート!O$92:O$111)*AF$2</f>
        <v>0</v>
      </c>
      <c r="AG532" s="88">
        <f>SUMIF(月間集計シート!$M$92:$M$111,$G532,月間集計シート!P$92:P$111)*AG$2</f>
        <v>0</v>
      </c>
      <c r="AH532" s="88">
        <f>SUMIF(月間集計シート!$M$92:$M$111,$G532,月間集計シート!Q$92:Q$111)*AH$2</f>
        <v>0</v>
      </c>
      <c r="AI532" s="88">
        <f>SUMIF(月間集計シート!$M$92:$M$111,$G532,月間集計シート!R$92:R$111)*AI$2</f>
        <v>0</v>
      </c>
      <c r="AJ532" s="88">
        <f>SUMIF(月間集計シート!$M$92:$M$111,$G532,月間集計シート!S$92:S$111)*AJ$2</f>
        <v>0</v>
      </c>
      <c r="AK532" s="88">
        <f>SUMIF(月間集計シート!$M$92:$M$111,$G532,月間集計シート!T$92:T$111)*AK$2</f>
        <v>0</v>
      </c>
      <c r="AL532" s="88">
        <f>SUMIF(月間集計シート!$M$113:$M$132,$G532,月間集計シート!N$113:N$132)*AL$2</f>
        <v>0</v>
      </c>
      <c r="AM532" s="88">
        <f>SUMIF(月間集計シート!$M$113:$M$132,$G532,月間集計シート!O$113:O$132)*AM$2</f>
        <v>0</v>
      </c>
      <c r="AN532" s="88">
        <f>SUMIF(月間集計シート!$M$113:$M$132,$G532,月間集計シート!P$113:P$132)*AN$2</f>
        <v>0</v>
      </c>
      <c r="AO532" s="88">
        <f>SUMIF(月間集計シート!$M$113:$M$132,$G532,月間集計シート!Q$113:Q$132)*AO$2</f>
        <v>0</v>
      </c>
      <c r="AP532" s="88">
        <f>SUMIF(月間集計シート!$M$113:$M$132,$G532,月間集計シート!R$113:R$132)*AP$2</f>
        <v>0</v>
      </c>
      <c r="AQ532" s="88">
        <f>SUMIF(月間集計シート!$M$113:$M$132,$G532,月間集計シート!S$113:S$132)*AQ$2</f>
        <v>0</v>
      </c>
      <c r="AR532" s="88">
        <f>SUMIF(月間集計シート!$M$113:$M$132,$G532,月間集計シート!T$113:T$132)*AR$2</f>
        <v>0</v>
      </c>
      <c r="AS532" s="88">
        <f>SUMIF(月間集計シート!$M$134:$M$153,$G532,月間集計シート!N$134:N$153)*AS$2</f>
        <v>0</v>
      </c>
      <c r="AT532" s="88">
        <f>SUMIF(月間集計シート!$M$134:$M$153,$G532,月間集計シート!O$134:O$153)*AT$2</f>
        <v>0</v>
      </c>
      <c r="AU532" s="88">
        <f>SUMIF(月間集計シート!$M$134:$M$153,$G532,月間集計シート!P$134:P$153)*AU$2</f>
        <v>0</v>
      </c>
      <c r="AV532" s="88">
        <f>SUMIF(月間集計シート!$M$134:$M$153,$G532,月間集計シート!Q$134:Q$153)*AV$2</f>
        <v>0</v>
      </c>
      <c r="AW532" s="88">
        <f>SUMIF(月間集計シート!$M$134:$M$153,$G532,月間集計シート!R$134:R$153)*AW$2</f>
        <v>0</v>
      </c>
      <c r="AX532" s="88">
        <f>SUMIF(月間集計シート!$M$134:$M$153,$G532,月間集計シート!S$134:S$153)*AX$2</f>
        <v>0</v>
      </c>
      <c r="AY532" s="88">
        <f>SUMIF(月間集計シート!$M$134:$M$153,$G532,月間集計シート!T$134:T$153)*AY$2</f>
        <v>0</v>
      </c>
    </row>
    <row r="533" spans="1:51" ht="14.25" thickBot="1">
      <c r="A533">
        <v>7</v>
      </c>
      <c r="B533" s="120">
        <f t="shared" si="251"/>
        <v>0</v>
      </c>
      <c r="C533" s="120" t="str">
        <f t="shared" si="252"/>
        <v/>
      </c>
      <c r="D533" s="137"/>
      <c r="E533" s="150" t="str">
        <f>工種!A15</f>
        <v>30101</v>
      </c>
      <c r="F533" s="119" t="str">
        <f>工種!B15</f>
        <v>製造：内部設計書作成</v>
      </c>
      <c r="G533" s="116" t="str">
        <f t="shared" si="253"/>
        <v>030101</v>
      </c>
      <c r="H533" s="88">
        <f t="shared" si="247"/>
        <v>0</v>
      </c>
      <c r="I533" s="132"/>
      <c r="J533" s="88">
        <f>SUMIF(月間集計シート!$M$29:$M$48,$G533,月間集計シート!N$29:N$48)*J$2</f>
        <v>0</v>
      </c>
      <c r="K533" s="88">
        <f>SUMIF(月間集計シート!$M$29:$M$48,$G533,月間集計シート!O$29:O$48)*K$2</f>
        <v>0</v>
      </c>
      <c r="L533" s="88">
        <f>SUMIF(月間集計シート!$M$29:$M$48,$G533,月間集計シート!P$29:P$48)*L$2</f>
        <v>0</v>
      </c>
      <c r="M533" s="88">
        <f>SUMIF(月間集計シート!$M$29:$M$48,$G533,月間集計シート!Q$29:Q$48)*M$2</f>
        <v>0</v>
      </c>
      <c r="N533" s="88">
        <f>SUMIF(月間集計シート!$M$29:$M$48,$G533,月間集計シート!R$29:R$48)*N$2</f>
        <v>0</v>
      </c>
      <c r="O533" s="88">
        <f>SUMIF(月間集計シート!$M$29:$M$48,$G533,月間集計シート!S$29:S$48)*O$2</f>
        <v>0</v>
      </c>
      <c r="P533" s="88">
        <f>SUMIF(月間集計シート!$M$29:$M$48,$G533,月間集計シート!T$29:T$48)*P$2</f>
        <v>0</v>
      </c>
      <c r="Q533" s="88">
        <f>SUMIF(月間集計シート!$M$50:$M$69,$G533,月間集計シート!N$50:N$69)*Q$2</f>
        <v>0</v>
      </c>
      <c r="R533" s="88">
        <f>SUMIF(月間集計シート!$M$50:$M$69,$G533,月間集計シート!O$50:O$69)*R$2</f>
        <v>0</v>
      </c>
      <c r="S533" s="88">
        <f>SUMIF(月間集計シート!$M$50:$M$69,$G533,月間集計シート!P$50:P$69)*S$2</f>
        <v>0</v>
      </c>
      <c r="T533" s="88">
        <f>SUMIF(月間集計シート!$M$50:$M$69,$G533,月間集計シート!Q$50:Q$69)*T$2</f>
        <v>0</v>
      </c>
      <c r="U533" s="88">
        <f>SUMIF(月間集計シート!$M$50:$M$69,$G533,月間集計シート!R$50:R$69)*U$2</f>
        <v>0</v>
      </c>
      <c r="V533" s="88">
        <f>SUMIF(月間集計シート!$M$50:$M$69,$G533,月間集計シート!S$50:S$69)*V$2</f>
        <v>0</v>
      </c>
      <c r="W533" s="88">
        <f>SUMIF(月間集計シート!$M$50:$M$69,$G533,月間集計シート!T$50:T$69)*W$2</f>
        <v>0</v>
      </c>
      <c r="X533" s="88">
        <f>SUMIF(月間集計シート!$M$71:$M$90,$G533,月間集計シート!N$71:N$90)*X$2</f>
        <v>0</v>
      </c>
      <c r="Y533" s="88">
        <f>SUMIF(月間集計シート!$M$71:$M$90,$G533,月間集計シート!O$71:O$90)*Y$2</f>
        <v>0</v>
      </c>
      <c r="Z533" s="88">
        <f>SUMIF(月間集計シート!$M$71:$M$90,$G533,月間集計シート!P$71:P$90)*Z$2</f>
        <v>0</v>
      </c>
      <c r="AA533" s="88">
        <f>SUMIF(月間集計シート!$M$71:$M$90,$G533,月間集計シート!Q$71:Q$90)*AA$2</f>
        <v>0</v>
      </c>
      <c r="AB533" s="88">
        <f>SUMIF(月間集計シート!$M$71:$M$90,$G533,月間集計シート!R$71:R$90)*AB$2</f>
        <v>0</v>
      </c>
      <c r="AC533" s="88">
        <f>SUMIF(月間集計シート!$M$71:$M$90,$G533,月間集計シート!S$71:S$90)*AC$2</f>
        <v>0</v>
      </c>
      <c r="AD533" s="88">
        <f>SUMIF(月間集計シート!$M$71:$M$90,$G533,月間集計シート!T$71:T$90)*AD$2</f>
        <v>0</v>
      </c>
      <c r="AE533" s="88">
        <f>SUMIF(月間集計シート!$M$92:$M$111,$G533,月間集計シート!N$92:N$111)*AE$2</f>
        <v>0</v>
      </c>
      <c r="AF533" s="88">
        <f>SUMIF(月間集計シート!$M$92:$M$111,$G533,月間集計シート!O$92:O$111)*AF$2</f>
        <v>0</v>
      </c>
      <c r="AG533" s="88">
        <f>SUMIF(月間集計シート!$M$92:$M$111,$G533,月間集計シート!P$92:P$111)*AG$2</f>
        <v>0</v>
      </c>
      <c r="AH533" s="88">
        <f>SUMIF(月間集計シート!$M$92:$M$111,$G533,月間集計シート!Q$92:Q$111)*AH$2</f>
        <v>0</v>
      </c>
      <c r="AI533" s="88">
        <f>SUMIF(月間集計シート!$M$92:$M$111,$G533,月間集計シート!R$92:R$111)*AI$2</f>
        <v>0</v>
      </c>
      <c r="AJ533" s="88">
        <f>SUMIF(月間集計シート!$M$92:$M$111,$G533,月間集計シート!S$92:S$111)*AJ$2</f>
        <v>0</v>
      </c>
      <c r="AK533" s="88">
        <f>SUMIF(月間集計シート!$M$92:$M$111,$G533,月間集計シート!T$92:T$111)*AK$2</f>
        <v>0</v>
      </c>
      <c r="AL533" s="88">
        <f>SUMIF(月間集計シート!$M$113:$M$132,$G533,月間集計シート!N$113:N$132)*AL$2</f>
        <v>0</v>
      </c>
      <c r="AM533" s="88">
        <f>SUMIF(月間集計シート!$M$113:$M$132,$G533,月間集計シート!O$113:O$132)*AM$2</f>
        <v>0</v>
      </c>
      <c r="AN533" s="88">
        <f>SUMIF(月間集計シート!$M$113:$M$132,$G533,月間集計シート!P$113:P$132)*AN$2</f>
        <v>0</v>
      </c>
      <c r="AO533" s="88">
        <f>SUMIF(月間集計シート!$M$113:$M$132,$G533,月間集計シート!Q$113:Q$132)*AO$2</f>
        <v>0</v>
      </c>
      <c r="AP533" s="88">
        <f>SUMIF(月間集計シート!$M$113:$M$132,$G533,月間集計シート!R$113:R$132)*AP$2</f>
        <v>0</v>
      </c>
      <c r="AQ533" s="88">
        <f>SUMIF(月間集計シート!$M$113:$M$132,$G533,月間集計シート!S$113:S$132)*AQ$2</f>
        <v>0</v>
      </c>
      <c r="AR533" s="88">
        <f>SUMIF(月間集計シート!$M$113:$M$132,$G533,月間集計シート!T$113:T$132)*AR$2</f>
        <v>0</v>
      </c>
      <c r="AS533" s="88">
        <f>SUMIF(月間集計シート!$M$134:$M$153,$G533,月間集計シート!N$134:N$153)*AS$2</f>
        <v>0</v>
      </c>
      <c r="AT533" s="88">
        <f>SUMIF(月間集計シート!$M$134:$M$153,$G533,月間集計シート!O$134:O$153)*AT$2</f>
        <v>0</v>
      </c>
      <c r="AU533" s="88">
        <f>SUMIF(月間集計シート!$M$134:$M$153,$G533,月間集計シート!P$134:P$153)*AU$2</f>
        <v>0</v>
      </c>
      <c r="AV533" s="88">
        <f>SUMIF(月間集計シート!$M$134:$M$153,$G533,月間集計シート!Q$134:Q$153)*AV$2</f>
        <v>0</v>
      </c>
      <c r="AW533" s="88">
        <f>SUMIF(月間集計シート!$M$134:$M$153,$G533,月間集計シート!R$134:R$153)*AW$2</f>
        <v>0</v>
      </c>
      <c r="AX533" s="88">
        <f>SUMIF(月間集計シート!$M$134:$M$153,$G533,月間集計シート!S$134:S$153)*AX$2</f>
        <v>0</v>
      </c>
      <c r="AY533" s="88">
        <f>SUMIF(月間集計シート!$M$134:$M$153,$G533,月間集計シート!T$134:T$153)*AY$2</f>
        <v>0</v>
      </c>
    </row>
    <row r="534" spans="1:51" ht="14.25" thickBot="1">
      <c r="A534">
        <v>7</v>
      </c>
      <c r="B534" s="120">
        <f t="shared" si="251"/>
        <v>0</v>
      </c>
      <c r="C534" s="120" t="str">
        <f t="shared" si="252"/>
        <v/>
      </c>
      <c r="D534" s="137"/>
      <c r="E534" s="150" t="str">
        <f>工種!A16</f>
        <v>30102</v>
      </c>
      <c r="F534" s="119" t="str">
        <f>工種!B16</f>
        <v>製造：コーディング</v>
      </c>
      <c r="G534" s="116" t="str">
        <f t="shared" si="253"/>
        <v>030102</v>
      </c>
      <c r="H534" s="88">
        <f t="shared" si="247"/>
        <v>0</v>
      </c>
      <c r="I534" s="132"/>
      <c r="J534" s="88">
        <f>SUMIF(月間集計シート!$M$29:$M$48,$G534,月間集計シート!N$29:N$48)*J$2</f>
        <v>0</v>
      </c>
      <c r="K534" s="88">
        <f>SUMIF(月間集計シート!$M$29:$M$48,$G534,月間集計シート!O$29:O$48)*K$2</f>
        <v>0</v>
      </c>
      <c r="L534" s="88">
        <f>SUMIF(月間集計シート!$M$29:$M$48,$G534,月間集計シート!P$29:P$48)*L$2</f>
        <v>0</v>
      </c>
      <c r="M534" s="88">
        <f>SUMIF(月間集計シート!$M$29:$M$48,$G534,月間集計シート!Q$29:Q$48)*M$2</f>
        <v>0</v>
      </c>
      <c r="N534" s="88">
        <f>SUMIF(月間集計シート!$M$29:$M$48,$G534,月間集計シート!R$29:R$48)*N$2</f>
        <v>0</v>
      </c>
      <c r="O534" s="88">
        <f>SUMIF(月間集計シート!$M$29:$M$48,$G534,月間集計シート!S$29:S$48)*O$2</f>
        <v>0</v>
      </c>
      <c r="P534" s="88">
        <f>SUMIF(月間集計シート!$M$29:$M$48,$G534,月間集計シート!T$29:T$48)*P$2</f>
        <v>0</v>
      </c>
      <c r="Q534" s="88">
        <f>SUMIF(月間集計シート!$M$50:$M$69,$G534,月間集計シート!N$50:N$69)*Q$2</f>
        <v>0</v>
      </c>
      <c r="R534" s="88">
        <f>SUMIF(月間集計シート!$M$50:$M$69,$G534,月間集計シート!O$50:O$69)*R$2</f>
        <v>0</v>
      </c>
      <c r="S534" s="88">
        <f>SUMIF(月間集計シート!$M$50:$M$69,$G534,月間集計シート!P$50:P$69)*S$2</f>
        <v>0</v>
      </c>
      <c r="T534" s="88">
        <f>SUMIF(月間集計シート!$M$50:$M$69,$G534,月間集計シート!Q$50:Q$69)*T$2</f>
        <v>0</v>
      </c>
      <c r="U534" s="88">
        <f>SUMIF(月間集計シート!$M$50:$M$69,$G534,月間集計シート!R$50:R$69)*U$2</f>
        <v>0</v>
      </c>
      <c r="V534" s="88">
        <f>SUMIF(月間集計シート!$M$50:$M$69,$G534,月間集計シート!S$50:S$69)*V$2</f>
        <v>0</v>
      </c>
      <c r="W534" s="88">
        <f>SUMIF(月間集計シート!$M$50:$M$69,$G534,月間集計シート!T$50:T$69)*W$2</f>
        <v>0</v>
      </c>
      <c r="X534" s="88">
        <f>SUMIF(月間集計シート!$M$71:$M$90,$G534,月間集計シート!N$71:N$90)*X$2</f>
        <v>0</v>
      </c>
      <c r="Y534" s="88">
        <f>SUMIF(月間集計シート!$M$71:$M$90,$G534,月間集計シート!O$71:O$90)*Y$2</f>
        <v>0</v>
      </c>
      <c r="Z534" s="88">
        <f>SUMIF(月間集計シート!$M$71:$M$90,$G534,月間集計シート!P$71:P$90)*Z$2</f>
        <v>0</v>
      </c>
      <c r="AA534" s="88">
        <f>SUMIF(月間集計シート!$M$71:$M$90,$G534,月間集計シート!Q$71:Q$90)*AA$2</f>
        <v>0</v>
      </c>
      <c r="AB534" s="88">
        <f>SUMIF(月間集計シート!$M$71:$M$90,$G534,月間集計シート!R$71:R$90)*AB$2</f>
        <v>0</v>
      </c>
      <c r="AC534" s="88">
        <f>SUMIF(月間集計シート!$M$71:$M$90,$G534,月間集計シート!S$71:S$90)*AC$2</f>
        <v>0</v>
      </c>
      <c r="AD534" s="88">
        <f>SUMIF(月間集計シート!$M$71:$M$90,$G534,月間集計シート!T$71:T$90)*AD$2</f>
        <v>0</v>
      </c>
      <c r="AE534" s="88">
        <f>SUMIF(月間集計シート!$M$92:$M$111,$G534,月間集計シート!N$92:N$111)*AE$2</f>
        <v>0</v>
      </c>
      <c r="AF534" s="88">
        <f>SUMIF(月間集計シート!$M$92:$M$111,$G534,月間集計シート!O$92:O$111)*AF$2</f>
        <v>0</v>
      </c>
      <c r="AG534" s="88">
        <f>SUMIF(月間集計シート!$M$92:$M$111,$G534,月間集計シート!P$92:P$111)*AG$2</f>
        <v>0</v>
      </c>
      <c r="AH534" s="88">
        <f>SUMIF(月間集計シート!$M$92:$M$111,$G534,月間集計シート!Q$92:Q$111)*AH$2</f>
        <v>0</v>
      </c>
      <c r="AI534" s="88">
        <f>SUMIF(月間集計シート!$M$92:$M$111,$G534,月間集計シート!R$92:R$111)*AI$2</f>
        <v>0</v>
      </c>
      <c r="AJ534" s="88">
        <f>SUMIF(月間集計シート!$M$92:$M$111,$G534,月間集計シート!S$92:S$111)*AJ$2</f>
        <v>0</v>
      </c>
      <c r="AK534" s="88">
        <f>SUMIF(月間集計シート!$M$92:$M$111,$G534,月間集計シート!T$92:T$111)*AK$2</f>
        <v>0</v>
      </c>
      <c r="AL534" s="88">
        <f>SUMIF(月間集計シート!$M$113:$M$132,$G534,月間集計シート!N$113:N$132)*AL$2</f>
        <v>0</v>
      </c>
      <c r="AM534" s="88">
        <f>SUMIF(月間集計シート!$M$113:$M$132,$G534,月間集計シート!O$113:O$132)*AM$2</f>
        <v>0</v>
      </c>
      <c r="AN534" s="88">
        <f>SUMIF(月間集計シート!$M$113:$M$132,$G534,月間集計シート!P$113:P$132)*AN$2</f>
        <v>0</v>
      </c>
      <c r="AO534" s="88">
        <f>SUMIF(月間集計シート!$M$113:$M$132,$G534,月間集計シート!Q$113:Q$132)*AO$2</f>
        <v>0</v>
      </c>
      <c r="AP534" s="88">
        <f>SUMIF(月間集計シート!$M$113:$M$132,$G534,月間集計シート!R$113:R$132)*AP$2</f>
        <v>0</v>
      </c>
      <c r="AQ534" s="88">
        <f>SUMIF(月間集計シート!$M$113:$M$132,$G534,月間集計シート!S$113:S$132)*AQ$2</f>
        <v>0</v>
      </c>
      <c r="AR534" s="88">
        <f>SUMIF(月間集計シート!$M$113:$M$132,$G534,月間集計シート!T$113:T$132)*AR$2</f>
        <v>0</v>
      </c>
      <c r="AS534" s="88">
        <f>SUMIF(月間集計シート!$M$134:$M$153,$G534,月間集計シート!N$134:N$153)*AS$2</f>
        <v>0</v>
      </c>
      <c r="AT534" s="88">
        <f>SUMIF(月間集計シート!$M$134:$M$153,$G534,月間集計シート!O$134:O$153)*AT$2</f>
        <v>0</v>
      </c>
      <c r="AU534" s="88">
        <f>SUMIF(月間集計シート!$M$134:$M$153,$G534,月間集計シート!P$134:P$153)*AU$2</f>
        <v>0</v>
      </c>
      <c r="AV534" s="88">
        <f>SUMIF(月間集計シート!$M$134:$M$153,$G534,月間集計シート!Q$134:Q$153)*AV$2</f>
        <v>0</v>
      </c>
      <c r="AW534" s="88">
        <f>SUMIF(月間集計シート!$M$134:$M$153,$G534,月間集計シート!R$134:R$153)*AW$2</f>
        <v>0</v>
      </c>
      <c r="AX534" s="88">
        <f>SUMIF(月間集計シート!$M$134:$M$153,$G534,月間集計シート!S$134:S$153)*AX$2</f>
        <v>0</v>
      </c>
      <c r="AY534" s="88">
        <f>SUMIF(月間集計シート!$M$134:$M$153,$G534,月間集計シート!T$134:T$153)*AY$2</f>
        <v>0</v>
      </c>
    </row>
    <row r="535" spans="1:51" ht="14.25" thickBot="1">
      <c r="A535">
        <v>7</v>
      </c>
      <c r="B535" s="120">
        <f t="shared" si="251"/>
        <v>0</v>
      </c>
      <c r="C535" s="120" t="str">
        <f t="shared" si="252"/>
        <v/>
      </c>
      <c r="D535" s="137"/>
      <c r="E535" s="150" t="str">
        <f>工種!A17</f>
        <v>30103</v>
      </c>
      <c r="F535" s="119" t="str">
        <f>工種!B17</f>
        <v>製造：単体テスト設計書作成</v>
      </c>
      <c r="G535" s="116" t="str">
        <f t="shared" si="253"/>
        <v>030103</v>
      </c>
      <c r="H535" s="88">
        <f t="shared" si="247"/>
        <v>0</v>
      </c>
      <c r="I535" s="132"/>
      <c r="J535" s="88">
        <f>SUMIF(月間集計シート!$M$29:$M$48,$G535,月間集計シート!N$29:N$48)*J$2</f>
        <v>0</v>
      </c>
      <c r="K535" s="88">
        <f>SUMIF(月間集計シート!$M$29:$M$48,$G535,月間集計シート!O$29:O$48)*K$2</f>
        <v>0</v>
      </c>
      <c r="L535" s="88">
        <f>SUMIF(月間集計シート!$M$29:$M$48,$G535,月間集計シート!P$29:P$48)*L$2</f>
        <v>0</v>
      </c>
      <c r="M535" s="88">
        <f>SUMIF(月間集計シート!$M$29:$M$48,$G535,月間集計シート!Q$29:Q$48)*M$2</f>
        <v>0</v>
      </c>
      <c r="N535" s="88">
        <f>SUMIF(月間集計シート!$M$29:$M$48,$G535,月間集計シート!R$29:R$48)*N$2</f>
        <v>0</v>
      </c>
      <c r="O535" s="88">
        <f>SUMIF(月間集計シート!$M$29:$M$48,$G535,月間集計シート!S$29:S$48)*O$2</f>
        <v>0</v>
      </c>
      <c r="P535" s="88">
        <f>SUMIF(月間集計シート!$M$29:$M$48,$G535,月間集計シート!T$29:T$48)*P$2</f>
        <v>0</v>
      </c>
      <c r="Q535" s="88">
        <f>SUMIF(月間集計シート!$M$50:$M$69,$G535,月間集計シート!N$50:N$69)*Q$2</f>
        <v>0</v>
      </c>
      <c r="R535" s="88">
        <f>SUMIF(月間集計シート!$M$50:$M$69,$G535,月間集計シート!O$50:O$69)*R$2</f>
        <v>0</v>
      </c>
      <c r="S535" s="88">
        <f>SUMIF(月間集計シート!$M$50:$M$69,$G535,月間集計シート!P$50:P$69)*S$2</f>
        <v>0</v>
      </c>
      <c r="T535" s="88">
        <f>SUMIF(月間集計シート!$M$50:$M$69,$G535,月間集計シート!Q$50:Q$69)*T$2</f>
        <v>0</v>
      </c>
      <c r="U535" s="88">
        <f>SUMIF(月間集計シート!$M$50:$M$69,$G535,月間集計シート!R$50:R$69)*U$2</f>
        <v>0</v>
      </c>
      <c r="V535" s="88">
        <f>SUMIF(月間集計シート!$M$50:$M$69,$G535,月間集計シート!S$50:S$69)*V$2</f>
        <v>0</v>
      </c>
      <c r="W535" s="88">
        <f>SUMIF(月間集計シート!$M$50:$M$69,$G535,月間集計シート!T$50:T$69)*W$2</f>
        <v>0</v>
      </c>
      <c r="X535" s="88">
        <f>SUMIF(月間集計シート!$M$71:$M$90,$G535,月間集計シート!N$71:N$90)*X$2</f>
        <v>0</v>
      </c>
      <c r="Y535" s="88">
        <f>SUMIF(月間集計シート!$M$71:$M$90,$G535,月間集計シート!O$71:O$90)*Y$2</f>
        <v>0</v>
      </c>
      <c r="Z535" s="88">
        <f>SUMIF(月間集計シート!$M$71:$M$90,$G535,月間集計シート!P$71:P$90)*Z$2</f>
        <v>0</v>
      </c>
      <c r="AA535" s="88">
        <f>SUMIF(月間集計シート!$M$71:$M$90,$G535,月間集計シート!Q$71:Q$90)*AA$2</f>
        <v>0</v>
      </c>
      <c r="AB535" s="88">
        <f>SUMIF(月間集計シート!$M$71:$M$90,$G535,月間集計シート!R$71:R$90)*AB$2</f>
        <v>0</v>
      </c>
      <c r="AC535" s="88">
        <f>SUMIF(月間集計シート!$M$71:$M$90,$G535,月間集計シート!S$71:S$90)*AC$2</f>
        <v>0</v>
      </c>
      <c r="AD535" s="88">
        <f>SUMIF(月間集計シート!$M$71:$M$90,$G535,月間集計シート!T$71:T$90)*AD$2</f>
        <v>0</v>
      </c>
      <c r="AE535" s="88">
        <f>SUMIF(月間集計シート!$M$92:$M$111,$G535,月間集計シート!N$92:N$111)*AE$2</f>
        <v>0</v>
      </c>
      <c r="AF535" s="88">
        <f>SUMIF(月間集計シート!$M$92:$M$111,$G535,月間集計シート!O$92:O$111)*AF$2</f>
        <v>0</v>
      </c>
      <c r="AG535" s="88">
        <f>SUMIF(月間集計シート!$M$92:$M$111,$G535,月間集計シート!P$92:P$111)*AG$2</f>
        <v>0</v>
      </c>
      <c r="AH535" s="88">
        <f>SUMIF(月間集計シート!$M$92:$M$111,$G535,月間集計シート!Q$92:Q$111)*AH$2</f>
        <v>0</v>
      </c>
      <c r="AI535" s="88">
        <f>SUMIF(月間集計シート!$M$92:$M$111,$G535,月間集計シート!R$92:R$111)*AI$2</f>
        <v>0</v>
      </c>
      <c r="AJ535" s="88">
        <f>SUMIF(月間集計シート!$M$92:$M$111,$G535,月間集計シート!S$92:S$111)*AJ$2</f>
        <v>0</v>
      </c>
      <c r="AK535" s="88">
        <f>SUMIF(月間集計シート!$M$92:$M$111,$G535,月間集計シート!T$92:T$111)*AK$2</f>
        <v>0</v>
      </c>
      <c r="AL535" s="88">
        <f>SUMIF(月間集計シート!$M$113:$M$132,$G535,月間集計シート!N$113:N$132)*AL$2</f>
        <v>0</v>
      </c>
      <c r="AM535" s="88">
        <f>SUMIF(月間集計シート!$M$113:$M$132,$G535,月間集計シート!O$113:O$132)*AM$2</f>
        <v>0</v>
      </c>
      <c r="AN535" s="88">
        <f>SUMIF(月間集計シート!$M$113:$M$132,$G535,月間集計シート!P$113:P$132)*AN$2</f>
        <v>0</v>
      </c>
      <c r="AO535" s="88">
        <f>SUMIF(月間集計シート!$M$113:$M$132,$G535,月間集計シート!Q$113:Q$132)*AO$2</f>
        <v>0</v>
      </c>
      <c r="AP535" s="88">
        <f>SUMIF(月間集計シート!$M$113:$M$132,$G535,月間集計シート!R$113:R$132)*AP$2</f>
        <v>0</v>
      </c>
      <c r="AQ535" s="88">
        <f>SUMIF(月間集計シート!$M$113:$M$132,$G535,月間集計シート!S$113:S$132)*AQ$2</f>
        <v>0</v>
      </c>
      <c r="AR535" s="88">
        <f>SUMIF(月間集計シート!$M$113:$M$132,$G535,月間集計シート!T$113:T$132)*AR$2</f>
        <v>0</v>
      </c>
      <c r="AS535" s="88">
        <f>SUMIF(月間集計シート!$M$134:$M$153,$G535,月間集計シート!N$134:N$153)*AS$2</f>
        <v>0</v>
      </c>
      <c r="AT535" s="88">
        <f>SUMIF(月間集計シート!$M$134:$M$153,$G535,月間集計シート!O$134:O$153)*AT$2</f>
        <v>0</v>
      </c>
      <c r="AU535" s="88">
        <f>SUMIF(月間集計シート!$M$134:$M$153,$G535,月間集計シート!P$134:P$153)*AU$2</f>
        <v>0</v>
      </c>
      <c r="AV535" s="88">
        <f>SUMIF(月間集計シート!$M$134:$M$153,$G535,月間集計シート!Q$134:Q$153)*AV$2</f>
        <v>0</v>
      </c>
      <c r="AW535" s="88">
        <f>SUMIF(月間集計シート!$M$134:$M$153,$G535,月間集計シート!R$134:R$153)*AW$2</f>
        <v>0</v>
      </c>
      <c r="AX535" s="88">
        <f>SUMIF(月間集計シート!$M$134:$M$153,$G535,月間集計シート!S$134:S$153)*AX$2</f>
        <v>0</v>
      </c>
      <c r="AY535" s="88">
        <f>SUMIF(月間集計シート!$M$134:$M$153,$G535,月間集計シート!T$134:T$153)*AY$2</f>
        <v>0</v>
      </c>
    </row>
    <row r="536" spans="1:51" ht="14.25" thickBot="1">
      <c r="A536">
        <v>7</v>
      </c>
      <c r="B536" s="120">
        <f t="shared" si="251"/>
        <v>0</v>
      </c>
      <c r="C536" s="120" t="str">
        <f t="shared" si="252"/>
        <v/>
      </c>
      <c r="D536" s="137"/>
      <c r="E536" s="150" t="str">
        <f>工種!A18</f>
        <v>30104</v>
      </c>
      <c r="F536" s="119" t="str">
        <f>工種!B18</f>
        <v>製造：単体テスト実施</v>
      </c>
      <c r="G536" s="116" t="str">
        <f t="shared" si="253"/>
        <v>030104</v>
      </c>
      <c r="H536" s="88">
        <f t="shared" si="247"/>
        <v>0</v>
      </c>
      <c r="I536" s="132"/>
      <c r="J536" s="88">
        <f>SUMIF(月間集計シート!$M$29:$M$48,$G536,月間集計シート!N$29:N$48)*J$2</f>
        <v>0</v>
      </c>
      <c r="K536" s="88">
        <f>SUMIF(月間集計シート!$M$29:$M$48,$G536,月間集計シート!O$29:O$48)*K$2</f>
        <v>0</v>
      </c>
      <c r="L536" s="88">
        <f>SUMIF(月間集計シート!$M$29:$M$48,$G536,月間集計シート!P$29:P$48)*L$2</f>
        <v>0</v>
      </c>
      <c r="M536" s="88">
        <f>SUMIF(月間集計シート!$M$29:$M$48,$G536,月間集計シート!Q$29:Q$48)*M$2</f>
        <v>0</v>
      </c>
      <c r="N536" s="88">
        <f>SUMIF(月間集計シート!$M$29:$M$48,$G536,月間集計シート!R$29:R$48)*N$2</f>
        <v>0</v>
      </c>
      <c r="O536" s="88">
        <f>SUMIF(月間集計シート!$M$29:$M$48,$G536,月間集計シート!S$29:S$48)*O$2</f>
        <v>0</v>
      </c>
      <c r="P536" s="88">
        <f>SUMIF(月間集計シート!$M$29:$M$48,$G536,月間集計シート!T$29:T$48)*P$2</f>
        <v>0</v>
      </c>
      <c r="Q536" s="88">
        <f>SUMIF(月間集計シート!$M$50:$M$69,$G536,月間集計シート!N$50:N$69)*Q$2</f>
        <v>0</v>
      </c>
      <c r="R536" s="88">
        <f>SUMIF(月間集計シート!$M$50:$M$69,$G536,月間集計シート!O$50:O$69)*R$2</f>
        <v>0</v>
      </c>
      <c r="S536" s="88">
        <f>SUMIF(月間集計シート!$M$50:$M$69,$G536,月間集計シート!P$50:P$69)*S$2</f>
        <v>0</v>
      </c>
      <c r="T536" s="88">
        <f>SUMIF(月間集計シート!$M$50:$M$69,$G536,月間集計シート!Q$50:Q$69)*T$2</f>
        <v>0</v>
      </c>
      <c r="U536" s="88">
        <f>SUMIF(月間集計シート!$M$50:$M$69,$G536,月間集計シート!R$50:R$69)*U$2</f>
        <v>0</v>
      </c>
      <c r="V536" s="88">
        <f>SUMIF(月間集計シート!$M$50:$M$69,$G536,月間集計シート!S$50:S$69)*V$2</f>
        <v>0</v>
      </c>
      <c r="W536" s="88">
        <f>SUMIF(月間集計シート!$M$50:$M$69,$G536,月間集計シート!T$50:T$69)*W$2</f>
        <v>0</v>
      </c>
      <c r="X536" s="88">
        <f>SUMIF(月間集計シート!$M$71:$M$90,$G536,月間集計シート!N$71:N$90)*X$2</f>
        <v>0</v>
      </c>
      <c r="Y536" s="88">
        <f>SUMIF(月間集計シート!$M$71:$M$90,$G536,月間集計シート!O$71:O$90)*Y$2</f>
        <v>0</v>
      </c>
      <c r="Z536" s="88">
        <f>SUMIF(月間集計シート!$M$71:$M$90,$G536,月間集計シート!P$71:P$90)*Z$2</f>
        <v>0</v>
      </c>
      <c r="AA536" s="88">
        <f>SUMIF(月間集計シート!$M$71:$M$90,$G536,月間集計シート!Q$71:Q$90)*AA$2</f>
        <v>0</v>
      </c>
      <c r="AB536" s="88">
        <f>SUMIF(月間集計シート!$M$71:$M$90,$G536,月間集計シート!R$71:R$90)*AB$2</f>
        <v>0</v>
      </c>
      <c r="AC536" s="88">
        <f>SUMIF(月間集計シート!$M$71:$M$90,$G536,月間集計シート!S$71:S$90)*AC$2</f>
        <v>0</v>
      </c>
      <c r="AD536" s="88">
        <f>SUMIF(月間集計シート!$M$71:$M$90,$G536,月間集計シート!T$71:T$90)*AD$2</f>
        <v>0</v>
      </c>
      <c r="AE536" s="88">
        <f>SUMIF(月間集計シート!$M$92:$M$111,$G536,月間集計シート!N$92:N$111)*AE$2</f>
        <v>0</v>
      </c>
      <c r="AF536" s="88">
        <f>SUMIF(月間集計シート!$M$92:$M$111,$G536,月間集計シート!O$92:O$111)*AF$2</f>
        <v>0</v>
      </c>
      <c r="AG536" s="88">
        <f>SUMIF(月間集計シート!$M$92:$M$111,$G536,月間集計シート!P$92:P$111)*AG$2</f>
        <v>0</v>
      </c>
      <c r="AH536" s="88">
        <f>SUMIF(月間集計シート!$M$92:$M$111,$G536,月間集計シート!Q$92:Q$111)*AH$2</f>
        <v>0</v>
      </c>
      <c r="AI536" s="88">
        <f>SUMIF(月間集計シート!$M$92:$M$111,$G536,月間集計シート!R$92:R$111)*AI$2</f>
        <v>0</v>
      </c>
      <c r="AJ536" s="88">
        <f>SUMIF(月間集計シート!$M$92:$M$111,$G536,月間集計シート!S$92:S$111)*AJ$2</f>
        <v>0</v>
      </c>
      <c r="AK536" s="88">
        <f>SUMIF(月間集計シート!$M$92:$M$111,$G536,月間集計シート!T$92:T$111)*AK$2</f>
        <v>0</v>
      </c>
      <c r="AL536" s="88">
        <f>SUMIF(月間集計シート!$M$113:$M$132,$G536,月間集計シート!N$113:N$132)*AL$2</f>
        <v>0</v>
      </c>
      <c r="AM536" s="88">
        <f>SUMIF(月間集計シート!$M$113:$M$132,$G536,月間集計シート!O$113:O$132)*AM$2</f>
        <v>0</v>
      </c>
      <c r="AN536" s="88">
        <f>SUMIF(月間集計シート!$M$113:$M$132,$G536,月間集計シート!P$113:P$132)*AN$2</f>
        <v>0</v>
      </c>
      <c r="AO536" s="88">
        <f>SUMIF(月間集計シート!$M$113:$M$132,$G536,月間集計シート!Q$113:Q$132)*AO$2</f>
        <v>0</v>
      </c>
      <c r="AP536" s="88">
        <f>SUMIF(月間集計シート!$M$113:$M$132,$G536,月間集計シート!R$113:R$132)*AP$2</f>
        <v>0</v>
      </c>
      <c r="AQ536" s="88">
        <f>SUMIF(月間集計シート!$M$113:$M$132,$G536,月間集計シート!S$113:S$132)*AQ$2</f>
        <v>0</v>
      </c>
      <c r="AR536" s="88">
        <f>SUMIF(月間集計シート!$M$113:$M$132,$G536,月間集計シート!T$113:T$132)*AR$2</f>
        <v>0</v>
      </c>
      <c r="AS536" s="88">
        <f>SUMIF(月間集計シート!$M$134:$M$153,$G536,月間集計シート!N$134:N$153)*AS$2</f>
        <v>0</v>
      </c>
      <c r="AT536" s="88">
        <f>SUMIF(月間集計シート!$M$134:$M$153,$G536,月間集計シート!O$134:O$153)*AT$2</f>
        <v>0</v>
      </c>
      <c r="AU536" s="88">
        <f>SUMIF(月間集計シート!$M$134:$M$153,$G536,月間集計シート!P$134:P$153)*AU$2</f>
        <v>0</v>
      </c>
      <c r="AV536" s="88">
        <f>SUMIF(月間集計シート!$M$134:$M$153,$G536,月間集計シート!Q$134:Q$153)*AV$2</f>
        <v>0</v>
      </c>
      <c r="AW536" s="88">
        <f>SUMIF(月間集計シート!$M$134:$M$153,$G536,月間集計シート!R$134:R$153)*AW$2</f>
        <v>0</v>
      </c>
      <c r="AX536" s="88">
        <f>SUMIF(月間集計シート!$M$134:$M$153,$G536,月間集計シート!S$134:S$153)*AX$2</f>
        <v>0</v>
      </c>
      <c r="AY536" s="88">
        <f>SUMIF(月間集計シート!$M$134:$M$153,$G536,月間集計シート!T$134:T$153)*AY$2</f>
        <v>0</v>
      </c>
    </row>
    <row r="537" spans="1:51" ht="14.25" thickBot="1">
      <c r="A537">
        <v>7</v>
      </c>
      <c r="B537" s="120">
        <f t="shared" si="251"/>
        <v>0</v>
      </c>
      <c r="C537" s="120" t="str">
        <f t="shared" si="252"/>
        <v/>
      </c>
      <c r="D537" s="137"/>
      <c r="E537" s="150" t="str">
        <f>工種!A19</f>
        <v>30105</v>
      </c>
      <c r="F537" s="119" t="str">
        <f>工種!B19</f>
        <v>製造：打合せ</v>
      </c>
      <c r="G537" s="116" t="str">
        <f t="shared" si="253"/>
        <v>030105</v>
      </c>
      <c r="H537" s="88">
        <f t="shared" si="247"/>
        <v>0</v>
      </c>
      <c r="I537" s="132"/>
      <c r="J537" s="88">
        <f>SUMIF(月間集計シート!$M$29:$M$48,$G537,月間集計シート!N$29:N$48)*J$2</f>
        <v>0</v>
      </c>
      <c r="K537" s="88">
        <f>SUMIF(月間集計シート!$M$29:$M$48,$G537,月間集計シート!O$29:O$48)*K$2</f>
        <v>0</v>
      </c>
      <c r="L537" s="88">
        <f>SUMIF(月間集計シート!$M$29:$M$48,$G537,月間集計シート!P$29:P$48)*L$2</f>
        <v>0</v>
      </c>
      <c r="M537" s="88">
        <f>SUMIF(月間集計シート!$M$29:$M$48,$G537,月間集計シート!Q$29:Q$48)*M$2</f>
        <v>0</v>
      </c>
      <c r="N537" s="88">
        <f>SUMIF(月間集計シート!$M$29:$M$48,$G537,月間集計シート!R$29:R$48)*N$2</f>
        <v>0</v>
      </c>
      <c r="O537" s="88">
        <f>SUMIF(月間集計シート!$M$29:$M$48,$G537,月間集計シート!S$29:S$48)*O$2</f>
        <v>0</v>
      </c>
      <c r="P537" s="88">
        <f>SUMIF(月間集計シート!$M$29:$M$48,$G537,月間集計シート!T$29:T$48)*P$2</f>
        <v>0</v>
      </c>
      <c r="Q537" s="88">
        <f>SUMIF(月間集計シート!$M$50:$M$69,$G537,月間集計シート!N$50:N$69)*Q$2</f>
        <v>0</v>
      </c>
      <c r="R537" s="88">
        <f>SUMIF(月間集計シート!$M$50:$M$69,$G537,月間集計シート!O$50:O$69)*R$2</f>
        <v>0</v>
      </c>
      <c r="S537" s="88">
        <f>SUMIF(月間集計シート!$M$50:$M$69,$G537,月間集計シート!P$50:P$69)*S$2</f>
        <v>0</v>
      </c>
      <c r="T537" s="88">
        <f>SUMIF(月間集計シート!$M$50:$M$69,$G537,月間集計シート!Q$50:Q$69)*T$2</f>
        <v>0</v>
      </c>
      <c r="U537" s="88">
        <f>SUMIF(月間集計シート!$M$50:$M$69,$G537,月間集計シート!R$50:R$69)*U$2</f>
        <v>0</v>
      </c>
      <c r="V537" s="88">
        <f>SUMIF(月間集計シート!$M$50:$M$69,$G537,月間集計シート!S$50:S$69)*V$2</f>
        <v>0</v>
      </c>
      <c r="W537" s="88">
        <f>SUMIF(月間集計シート!$M$50:$M$69,$G537,月間集計シート!T$50:T$69)*W$2</f>
        <v>0</v>
      </c>
      <c r="X537" s="88">
        <f>SUMIF(月間集計シート!$M$71:$M$90,$G537,月間集計シート!N$71:N$90)*X$2</f>
        <v>0</v>
      </c>
      <c r="Y537" s="88">
        <f>SUMIF(月間集計シート!$M$71:$M$90,$G537,月間集計シート!O$71:O$90)*Y$2</f>
        <v>0</v>
      </c>
      <c r="Z537" s="88">
        <f>SUMIF(月間集計シート!$M$71:$M$90,$G537,月間集計シート!P$71:P$90)*Z$2</f>
        <v>0</v>
      </c>
      <c r="AA537" s="88">
        <f>SUMIF(月間集計シート!$M$71:$M$90,$G537,月間集計シート!Q$71:Q$90)*AA$2</f>
        <v>0</v>
      </c>
      <c r="AB537" s="88">
        <f>SUMIF(月間集計シート!$M$71:$M$90,$G537,月間集計シート!R$71:R$90)*AB$2</f>
        <v>0</v>
      </c>
      <c r="AC537" s="88">
        <f>SUMIF(月間集計シート!$M$71:$M$90,$G537,月間集計シート!S$71:S$90)*AC$2</f>
        <v>0</v>
      </c>
      <c r="AD537" s="88">
        <f>SUMIF(月間集計シート!$M$71:$M$90,$G537,月間集計シート!T$71:T$90)*AD$2</f>
        <v>0</v>
      </c>
      <c r="AE537" s="88">
        <f>SUMIF(月間集計シート!$M$92:$M$111,$G537,月間集計シート!N$92:N$111)*AE$2</f>
        <v>0</v>
      </c>
      <c r="AF537" s="88">
        <f>SUMIF(月間集計シート!$M$92:$M$111,$G537,月間集計シート!O$92:O$111)*AF$2</f>
        <v>0</v>
      </c>
      <c r="AG537" s="88">
        <f>SUMIF(月間集計シート!$M$92:$M$111,$G537,月間集計シート!P$92:P$111)*AG$2</f>
        <v>0</v>
      </c>
      <c r="AH537" s="88">
        <f>SUMIF(月間集計シート!$M$92:$M$111,$G537,月間集計シート!Q$92:Q$111)*AH$2</f>
        <v>0</v>
      </c>
      <c r="AI537" s="88">
        <f>SUMIF(月間集計シート!$M$92:$M$111,$G537,月間集計シート!R$92:R$111)*AI$2</f>
        <v>0</v>
      </c>
      <c r="AJ537" s="88">
        <f>SUMIF(月間集計シート!$M$92:$M$111,$G537,月間集計シート!S$92:S$111)*AJ$2</f>
        <v>0</v>
      </c>
      <c r="AK537" s="88">
        <f>SUMIF(月間集計シート!$M$92:$M$111,$G537,月間集計シート!T$92:T$111)*AK$2</f>
        <v>0</v>
      </c>
      <c r="AL537" s="88">
        <f>SUMIF(月間集計シート!$M$113:$M$132,$G537,月間集計シート!N$113:N$132)*AL$2</f>
        <v>0</v>
      </c>
      <c r="AM537" s="88">
        <f>SUMIF(月間集計シート!$M$113:$M$132,$G537,月間集計シート!O$113:O$132)*AM$2</f>
        <v>0</v>
      </c>
      <c r="AN537" s="88">
        <f>SUMIF(月間集計シート!$M$113:$M$132,$G537,月間集計シート!P$113:P$132)*AN$2</f>
        <v>0</v>
      </c>
      <c r="AO537" s="88">
        <f>SUMIF(月間集計シート!$M$113:$M$132,$G537,月間集計シート!Q$113:Q$132)*AO$2</f>
        <v>0</v>
      </c>
      <c r="AP537" s="88">
        <f>SUMIF(月間集計シート!$M$113:$M$132,$G537,月間集計シート!R$113:R$132)*AP$2</f>
        <v>0</v>
      </c>
      <c r="AQ537" s="88">
        <f>SUMIF(月間集計シート!$M$113:$M$132,$G537,月間集計シート!S$113:S$132)*AQ$2</f>
        <v>0</v>
      </c>
      <c r="AR537" s="88">
        <f>SUMIF(月間集計シート!$M$113:$M$132,$G537,月間集計シート!T$113:T$132)*AR$2</f>
        <v>0</v>
      </c>
      <c r="AS537" s="88">
        <f>SUMIF(月間集計シート!$M$134:$M$153,$G537,月間集計シート!N$134:N$153)*AS$2</f>
        <v>0</v>
      </c>
      <c r="AT537" s="88">
        <f>SUMIF(月間集計シート!$M$134:$M$153,$G537,月間集計シート!O$134:O$153)*AT$2</f>
        <v>0</v>
      </c>
      <c r="AU537" s="88">
        <f>SUMIF(月間集計シート!$M$134:$M$153,$G537,月間集計シート!P$134:P$153)*AU$2</f>
        <v>0</v>
      </c>
      <c r="AV537" s="88">
        <f>SUMIF(月間集計シート!$M$134:$M$153,$G537,月間集計シート!Q$134:Q$153)*AV$2</f>
        <v>0</v>
      </c>
      <c r="AW537" s="88">
        <f>SUMIF(月間集計シート!$M$134:$M$153,$G537,月間集計シート!R$134:R$153)*AW$2</f>
        <v>0</v>
      </c>
      <c r="AX537" s="88">
        <f>SUMIF(月間集計シート!$M$134:$M$153,$G537,月間集計シート!S$134:S$153)*AX$2</f>
        <v>0</v>
      </c>
      <c r="AY537" s="88">
        <f>SUMIF(月間集計シート!$M$134:$M$153,$G537,月間集計シート!T$134:T$153)*AY$2</f>
        <v>0</v>
      </c>
    </row>
    <row r="538" spans="1:51" ht="14.25" thickBot="1">
      <c r="A538">
        <v>7</v>
      </c>
      <c r="B538" s="120">
        <f t="shared" si="251"/>
        <v>0</v>
      </c>
      <c r="C538" s="120" t="str">
        <f t="shared" si="252"/>
        <v/>
      </c>
      <c r="D538" s="137"/>
      <c r="E538" s="150" t="str">
        <f>工種!A20</f>
        <v>30106</v>
      </c>
      <c r="F538" s="119" t="str">
        <f>工種!B20</f>
        <v>製造：PG修正（手戻り分）</v>
      </c>
      <c r="G538" s="116" t="str">
        <f t="shared" si="253"/>
        <v>030106</v>
      </c>
      <c r="H538" s="88">
        <f t="shared" si="247"/>
        <v>0</v>
      </c>
      <c r="I538" s="132"/>
      <c r="J538" s="88">
        <f>SUMIF(月間集計シート!$M$29:$M$48,$G538,月間集計シート!N$29:N$48)*J$2</f>
        <v>0</v>
      </c>
      <c r="K538" s="88">
        <f>SUMIF(月間集計シート!$M$29:$M$48,$G538,月間集計シート!O$29:O$48)*K$2</f>
        <v>0</v>
      </c>
      <c r="L538" s="88">
        <f>SUMIF(月間集計シート!$M$29:$M$48,$G538,月間集計シート!P$29:P$48)*L$2</f>
        <v>0</v>
      </c>
      <c r="M538" s="88">
        <f>SUMIF(月間集計シート!$M$29:$M$48,$G538,月間集計シート!Q$29:Q$48)*M$2</f>
        <v>0</v>
      </c>
      <c r="N538" s="88">
        <f>SUMIF(月間集計シート!$M$29:$M$48,$G538,月間集計シート!R$29:R$48)*N$2</f>
        <v>0</v>
      </c>
      <c r="O538" s="88">
        <f>SUMIF(月間集計シート!$M$29:$M$48,$G538,月間集計シート!S$29:S$48)*O$2</f>
        <v>0</v>
      </c>
      <c r="P538" s="88">
        <f>SUMIF(月間集計シート!$M$29:$M$48,$G538,月間集計シート!T$29:T$48)*P$2</f>
        <v>0</v>
      </c>
      <c r="Q538" s="88">
        <f>SUMIF(月間集計シート!$M$50:$M$69,$G538,月間集計シート!N$50:N$69)*Q$2</f>
        <v>0</v>
      </c>
      <c r="R538" s="88">
        <f>SUMIF(月間集計シート!$M$50:$M$69,$G538,月間集計シート!O$50:O$69)*R$2</f>
        <v>0</v>
      </c>
      <c r="S538" s="88">
        <f>SUMIF(月間集計シート!$M$50:$M$69,$G538,月間集計シート!P$50:P$69)*S$2</f>
        <v>0</v>
      </c>
      <c r="T538" s="88">
        <f>SUMIF(月間集計シート!$M$50:$M$69,$G538,月間集計シート!Q$50:Q$69)*T$2</f>
        <v>0</v>
      </c>
      <c r="U538" s="88">
        <f>SUMIF(月間集計シート!$M$50:$M$69,$G538,月間集計シート!R$50:R$69)*U$2</f>
        <v>0</v>
      </c>
      <c r="V538" s="88">
        <f>SUMIF(月間集計シート!$M$50:$M$69,$G538,月間集計シート!S$50:S$69)*V$2</f>
        <v>0</v>
      </c>
      <c r="W538" s="88">
        <f>SUMIF(月間集計シート!$M$50:$M$69,$G538,月間集計シート!T$50:T$69)*W$2</f>
        <v>0</v>
      </c>
      <c r="X538" s="88">
        <f>SUMIF(月間集計シート!$M$71:$M$90,$G538,月間集計シート!N$71:N$90)*X$2</f>
        <v>0</v>
      </c>
      <c r="Y538" s="88">
        <f>SUMIF(月間集計シート!$M$71:$M$90,$G538,月間集計シート!O$71:O$90)*Y$2</f>
        <v>0</v>
      </c>
      <c r="Z538" s="88">
        <f>SUMIF(月間集計シート!$M$71:$M$90,$G538,月間集計シート!P$71:P$90)*Z$2</f>
        <v>0</v>
      </c>
      <c r="AA538" s="88">
        <f>SUMIF(月間集計シート!$M$71:$M$90,$G538,月間集計シート!Q$71:Q$90)*AA$2</f>
        <v>0</v>
      </c>
      <c r="AB538" s="88">
        <f>SUMIF(月間集計シート!$M$71:$M$90,$G538,月間集計シート!R$71:R$90)*AB$2</f>
        <v>0</v>
      </c>
      <c r="AC538" s="88">
        <f>SUMIF(月間集計シート!$M$71:$M$90,$G538,月間集計シート!S$71:S$90)*AC$2</f>
        <v>0</v>
      </c>
      <c r="AD538" s="88">
        <f>SUMIF(月間集計シート!$M$71:$M$90,$G538,月間集計シート!T$71:T$90)*AD$2</f>
        <v>0</v>
      </c>
      <c r="AE538" s="88">
        <f>SUMIF(月間集計シート!$M$92:$M$111,$G538,月間集計シート!N$92:N$111)*AE$2</f>
        <v>0</v>
      </c>
      <c r="AF538" s="88">
        <f>SUMIF(月間集計シート!$M$92:$M$111,$G538,月間集計シート!O$92:O$111)*AF$2</f>
        <v>0</v>
      </c>
      <c r="AG538" s="88">
        <f>SUMIF(月間集計シート!$M$92:$M$111,$G538,月間集計シート!P$92:P$111)*AG$2</f>
        <v>0</v>
      </c>
      <c r="AH538" s="88">
        <f>SUMIF(月間集計シート!$M$92:$M$111,$G538,月間集計シート!Q$92:Q$111)*AH$2</f>
        <v>0</v>
      </c>
      <c r="AI538" s="88">
        <f>SUMIF(月間集計シート!$M$92:$M$111,$G538,月間集計シート!R$92:R$111)*AI$2</f>
        <v>0</v>
      </c>
      <c r="AJ538" s="88">
        <f>SUMIF(月間集計シート!$M$92:$M$111,$G538,月間集計シート!S$92:S$111)*AJ$2</f>
        <v>0</v>
      </c>
      <c r="AK538" s="88">
        <f>SUMIF(月間集計シート!$M$92:$M$111,$G538,月間集計シート!T$92:T$111)*AK$2</f>
        <v>0</v>
      </c>
      <c r="AL538" s="88">
        <f>SUMIF(月間集計シート!$M$113:$M$132,$G538,月間集計シート!N$113:N$132)*AL$2</f>
        <v>0</v>
      </c>
      <c r="AM538" s="88">
        <f>SUMIF(月間集計シート!$M$113:$M$132,$G538,月間集計シート!O$113:O$132)*AM$2</f>
        <v>0</v>
      </c>
      <c r="AN538" s="88">
        <f>SUMIF(月間集計シート!$M$113:$M$132,$G538,月間集計シート!P$113:P$132)*AN$2</f>
        <v>0</v>
      </c>
      <c r="AO538" s="88">
        <f>SUMIF(月間集計シート!$M$113:$M$132,$G538,月間集計シート!Q$113:Q$132)*AO$2</f>
        <v>0</v>
      </c>
      <c r="AP538" s="88">
        <f>SUMIF(月間集計シート!$M$113:$M$132,$G538,月間集計シート!R$113:R$132)*AP$2</f>
        <v>0</v>
      </c>
      <c r="AQ538" s="88">
        <f>SUMIF(月間集計シート!$M$113:$M$132,$G538,月間集計シート!S$113:S$132)*AQ$2</f>
        <v>0</v>
      </c>
      <c r="AR538" s="88">
        <f>SUMIF(月間集計シート!$M$113:$M$132,$G538,月間集計シート!T$113:T$132)*AR$2</f>
        <v>0</v>
      </c>
      <c r="AS538" s="88">
        <f>SUMIF(月間集計シート!$M$134:$M$153,$G538,月間集計シート!N$134:N$153)*AS$2</f>
        <v>0</v>
      </c>
      <c r="AT538" s="88">
        <f>SUMIF(月間集計シート!$M$134:$M$153,$G538,月間集計シート!O$134:O$153)*AT$2</f>
        <v>0</v>
      </c>
      <c r="AU538" s="88">
        <f>SUMIF(月間集計シート!$M$134:$M$153,$G538,月間集計シート!P$134:P$153)*AU$2</f>
        <v>0</v>
      </c>
      <c r="AV538" s="88">
        <f>SUMIF(月間集計シート!$M$134:$M$153,$G538,月間集計シート!Q$134:Q$153)*AV$2</f>
        <v>0</v>
      </c>
      <c r="AW538" s="88">
        <f>SUMIF(月間集計シート!$M$134:$M$153,$G538,月間集計シート!R$134:R$153)*AW$2</f>
        <v>0</v>
      </c>
      <c r="AX538" s="88">
        <f>SUMIF(月間集計シート!$M$134:$M$153,$G538,月間集計シート!S$134:S$153)*AX$2</f>
        <v>0</v>
      </c>
      <c r="AY538" s="88">
        <f>SUMIF(月間集計シート!$M$134:$M$153,$G538,月間集計シート!T$134:T$153)*AY$2</f>
        <v>0</v>
      </c>
    </row>
    <row r="539" spans="1:51" ht="14.25" thickBot="1">
      <c r="A539">
        <v>7</v>
      </c>
      <c r="B539" s="120">
        <f t="shared" si="251"/>
        <v>0</v>
      </c>
      <c r="C539" s="120" t="str">
        <f t="shared" si="252"/>
        <v/>
      </c>
      <c r="D539" s="137"/>
      <c r="E539" s="150" t="str">
        <f>工種!A21</f>
        <v>30109</v>
      </c>
      <c r="F539" s="119" t="str">
        <f>工種!B21</f>
        <v>製造：レビュー</v>
      </c>
      <c r="G539" s="116" t="str">
        <f t="shared" si="253"/>
        <v>030109</v>
      </c>
      <c r="H539" s="88">
        <f t="shared" si="247"/>
        <v>0</v>
      </c>
      <c r="I539" s="132"/>
      <c r="J539" s="88">
        <f>SUMIF(月間集計シート!$M$29:$M$48,$G539,月間集計シート!N$29:N$48)*J$2</f>
        <v>0</v>
      </c>
      <c r="K539" s="88">
        <f>SUMIF(月間集計シート!$M$29:$M$48,$G539,月間集計シート!O$29:O$48)*K$2</f>
        <v>0</v>
      </c>
      <c r="L539" s="88">
        <f>SUMIF(月間集計シート!$M$29:$M$48,$G539,月間集計シート!P$29:P$48)*L$2</f>
        <v>0</v>
      </c>
      <c r="M539" s="88">
        <f>SUMIF(月間集計シート!$M$29:$M$48,$G539,月間集計シート!Q$29:Q$48)*M$2</f>
        <v>0</v>
      </c>
      <c r="N539" s="88">
        <f>SUMIF(月間集計シート!$M$29:$M$48,$G539,月間集計シート!R$29:R$48)*N$2</f>
        <v>0</v>
      </c>
      <c r="O539" s="88">
        <f>SUMIF(月間集計シート!$M$29:$M$48,$G539,月間集計シート!S$29:S$48)*O$2</f>
        <v>0</v>
      </c>
      <c r="P539" s="88">
        <f>SUMIF(月間集計シート!$M$29:$M$48,$G539,月間集計シート!T$29:T$48)*P$2</f>
        <v>0</v>
      </c>
      <c r="Q539" s="88">
        <f>SUMIF(月間集計シート!$M$50:$M$69,$G539,月間集計シート!N$50:N$69)*Q$2</f>
        <v>0</v>
      </c>
      <c r="R539" s="88">
        <f>SUMIF(月間集計シート!$M$50:$M$69,$G539,月間集計シート!O$50:O$69)*R$2</f>
        <v>0</v>
      </c>
      <c r="S539" s="88">
        <f>SUMIF(月間集計シート!$M$50:$M$69,$G539,月間集計シート!P$50:P$69)*S$2</f>
        <v>0</v>
      </c>
      <c r="T539" s="88">
        <f>SUMIF(月間集計シート!$M$50:$M$69,$G539,月間集計シート!Q$50:Q$69)*T$2</f>
        <v>0</v>
      </c>
      <c r="U539" s="88">
        <f>SUMIF(月間集計シート!$M$50:$M$69,$G539,月間集計シート!R$50:R$69)*U$2</f>
        <v>0</v>
      </c>
      <c r="V539" s="88">
        <f>SUMIF(月間集計シート!$M$50:$M$69,$G539,月間集計シート!S$50:S$69)*V$2</f>
        <v>0</v>
      </c>
      <c r="W539" s="88">
        <f>SUMIF(月間集計シート!$M$50:$M$69,$G539,月間集計シート!T$50:T$69)*W$2</f>
        <v>0</v>
      </c>
      <c r="X539" s="88">
        <f>SUMIF(月間集計シート!$M$71:$M$90,$G539,月間集計シート!N$71:N$90)*X$2</f>
        <v>0</v>
      </c>
      <c r="Y539" s="88">
        <f>SUMIF(月間集計シート!$M$71:$M$90,$G539,月間集計シート!O$71:O$90)*Y$2</f>
        <v>0</v>
      </c>
      <c r="Z539" s="88">
        <f>SUMIF(月間集計シート!$M$71:$M$90,$G539,月間集計シート!P$71:P$90)*Z$2</f>
        <v>0</v>
      </c>
      <c r="AA539" s="88">
        <f>SUMIF(月間集計シート!$M$71:$M$90,$G539,月間集計シート!Q$71:Q$90)*AA$2</f>
        <v>0</v>
      </c>
      <c r="AB539" s="88">
        <f>SUMIF(月間集計シート!$M$71:$M$90,$G539,月間集計シート!R$71:R$90)*AB$2</f>
        <v>0</v>
      </c>
      <c r="AC539" s="88">
        <f>SUMIF(月間集計シート!$M$71:$M$90,$G539,月間集計シート!S$71:S$90)*AC$2</f>
        <v>0</v>
      </c>
      <c r="AD539" s="88">
        <f>SUMIF(月間集計シート!$M$71:$M$90,$G539,月間集計シート!T$71:T$90)*AD$2</f>
        <v>0</v>
      </c>
      <c r="AE539" s="88">
        <f>SUMIF(月間集計シート!$M$92:$M$111,$G539,月間集計シート!N$92:N$111)*AE$2</f>
        <v>0</v>
      </c>
      <c r="AF539" s="88">
        <f>SUMIF(月間集計シート!$M$92:$M$111,$G539,月間集計シート!O$92:O$111)*AF$2</f>
        <v>0</v>
      </c>
      <c r="AG539" s="88">
        <f>SUMIF(月間集計シート!$M$92:$M$111,$G539,月間集計シート!P$92:P$111)*AG$2</f>
        <v>0</v>
      </c>
      <c r="AH539" s="88">
        <f>SUMIF(月間集計シート!$M$92:$M$111,$G539,月間集計シート!Q$92:Q$111)*AH$2</f>
        <v>0</v>
      </c>
      <c r="AI539" s="88">
        <f>SUMIF(月間集計シート!$M$92:$M$111,$G539,月間集計シート!R$92:R$111)*AI$2</f>
        <v>0</v>
      </c>
      <c r="AJ539" s="88">
        <f>SUMIF(月間集計シート!$M$92:$M$111,$G539,月間集計シート!S$92:S$111)*AJ$2</f>
        <v>0</v>
      </c>
      <c r="AK539" s="88">
        <f>SUMIF(月間集計シート!$M$92:$M$111,$G539,月間集計シート!T$92:T$111)*AK$2</f>
        <v>0</v>
      </c>
      <c r="AL539" s="88">
        <f>SUMIF(月間集計シート!$M$113:$M$132,$G539,月間集計シート!N$113:N$132)*AL$2</f>
        <v>0</v>
      </c>
      <c r="AM539" s="88">
        <f>SUMIF(月間集計シート!$M$113:$M$132,$G539,月間集計シート!O$113:O$132)*AM$2</f>
        <v>0</v>
      </c>
      <c r="AN539" s="88">
        <f>SUMIF(月間集計シート!$M$113:$M$132,$G539,月間集計シート!P$113:P$132)*AN$2</f>
        <v>0</v>
      </c>
      <c r="AO539" s="88">
        <f>SUMIF(月間集計シート!$M$113:$M$132,$G539,月間集計シート!Q$113:Q$132)*AO$2</f>
        <v>0</v>
      </c>
      <c r="AP539" s="88">
        <f>SUMIF(月間集計シート!$M$113:$M$132,$G539,月間集計シート!R$113:R$132)*AP$2</f>
        <v>0</v>
      </c>
      <c r="AQ539" s="88">
        <f>SUMIF(月間集計シート!$M$113:$M$132,$G539,月間集計シート!S$113:S$132)*AQ$2</f>
        <v>0</v>
      </c>
      <c r="AR539" s="88">
        <f>SUMIF(月間集計シート!$M$113:$M$132,$G539,月間集計シート!T$113:T$132)*AR$2</f>
        <v>0</v>
      </c>
      <c r="AS539" s="88">
        <f>SUMIF(月間集計シート!$M$134:$M$153,$G539,月間集計シート!N$134:N$153)*AS$2</f>
        <v>0</v>
      </c>
      <c r="AT539" s="88">
        <f>SUMIF(月間集計シート!$M$134:$M$153,$G539,月間集計シート!O$134:O$153)*AT$2</f>
        <v>0</v>
      </c>
      <c r="AU539" s="88">
        <f>SUMIF(月間集計シート!$M$134:$M$153,$G539,月間集計シート!P$134:P$153)*AU$2</f>
        <v>0</v>
      </c>
      <c r="AV539" s="88">
        <f>SUMIF(月間集計シート!$M$134:$M$153,$G539,月間集計シート!Q$134:Q$153)*AV$2</f>
        <v>0</v>
      </c>
      <c r="AW539" s="88">
        <f>SUMIF(月間集計シート!$M$134:$M$153,$G539,月間集計シート!R$134:R$153)*AW$2</f>
        <v>0</v>
      </c>
      <c r="AX539" s="88">
        <f>SUMIF(月間集計シート!$M$134:$M$153,$G539,月間集計シート!S$134:S$153)*AX$2</f>
        <v>0</v>
      </c>
      <c r="AY539" s="88">
        <f>SUMIF(月間集計シート!$M$134:$M$153,$G539,月間集計シート!T$134:T$153)*AY$2</f>
        <v>0</v>
      </c>
    </row>
    <row r="540" spans="1:51" ht="14.25" thickBot="1">
      <c r="A540">
        <v>7</v>
      </c>
      <c r="B540" s="120">
        <f t="shared" si="251"/>
        <v>0</v>
      </c>
      <c r="C540" s="120" t="str">
        <f t="shared" si="252"/>
        <v/>
      </c>
      <c r="D540" s="137"/>
      <c r="E540" s="150" t="str">
        <f>工種!A22</f>
        <v>30199</v>
      </c>
      <c r="F540" s="119" t="str">
        <f>工種!B22</f>
        <v>製造：その他</v>
      </c>
      <c r="G540" s="116" t="str">
        <f t="shared" si="253"/>
        <v>030199</v>
      </c>
      <c r="H540" s="88">
        <f t="shared" si="247"/>
        <v>0</v>
      </c>
      <c r="I540" s="132"/>
      <c r="J540" s="88">
        <f>SUMIF(月間集計シート!$M$29:$M$48,$G540,月間集計シート!N$29:N$48)*J$2</f>
        <v>0</v>
      </c>
      <c r="K540" s="88">
        <f>SUMIF(月間集計シート!$M$29:$M$48,$G540,月間集計シート!O$29:O$48)*K$2</f>
        <v>0</v>
      </c>
      <c r="L540" s="88">
        <f>SUMIF(月間集計シート!$M$29:$M$48,$G540,月間集計シート!P$29:P$48)*L$2</f>
        <v>0</v>
      </c>
      <c r="M540" s="88">
        <f>SUMIF(月間集計シート!$M$29:$M$48,$G540,月間集計シート!Q$29:Q$48)*M$2</f>
        <v>0</v>
      </c>
      <c r="N540" s="88">
        <f>SUMIF(月間集計シート!$M$29:$M$48,$G540,月間集計シート!R$29:R$48)*N$2</f>
        <v>0</v>
      </c>
      <c r="O540" s="88">
        <f>SUMIF(月間集計シート!$M$29:$M$48,$G540,月間集計シート!S$29:S$48)*O$2</f>
        <v>0</v>
      </c>
      <c r="P540" s="88">
        <f>SUMIF(月間集計シート!$M$29:$M$48,$G540,月間集計シート!T$29:T$48)*P$2</f>
        <v>0</v>
      </c>
      <c r="Q540" s="88">
        <f>SUMIF(月間集計シート!$M$50:$M$69,$G540,月間集計シート!N$50:N$69)*Q$2</f>
        <v>0</v>
      </c>
      <c r="R540" s="88">
        <f>SUMIF(月間集計シート!$M$50:$M$69,$G540,月間集計シート!O$50:O$69)*R$2</f>
        <v>0</v>
      </c>
      <c r="S540" s="88">
        <f>SUMIF(月間集計シート!$M$50:$M$69,$G540,月間集計シート!P$50:P$69)*S$2</f>
        <v>0</v>
      </c>
      <c r="T540" s="88">
        <f>SUMIF(月間集計シート!$M$50:$M$69,$G540,月間集計シート!Q$50:Q$69)*T$2</f>
        <v>0</v>
      </c>
      <c r="U540" s="88">
        <f>SUMIF(月間集計シート!$M$50:$M$69,$G540,月間集計シート!R$50:R$69)*U$2</f>
        <v>0</v>
      </c>
      <c r="V540" s="88">
        <f>SUMIF(月間集計シート!$M$50:$M$69,$G540,月間集計シート!S$50:S$69)*V$2</f>
        <v>0</v>
      </c>
      <c r="W540" s="88">
        <f>SUMIF(月間集計シート!$M$50:$M$69,$G540,月間集計シート!T$50:T$69)*W$2</f>
        <v>0</v>
      </c>
      <c r="X540" s="88">
        <f>SUMIF(月間集計シート!$M$71:$M$90,$G540,月間集計シート!N$71:N$90)*X$2</f>
        <v>0</v>
      </c>
      <c r="Y540" s="88">
        <f>SUMIF(月間集計シート!$M$71:$M$90,$G540,月間集計シート!O$71:O$90)*Y$2</f>
        <v>0</v>
      </c>
      <c r="Z540" s="88">
        <f>SUMIF(月間集計シート!$M$71:$M$90,$G540,月間集計シート!P$71:P$90)*Z$2</f>
        <v>0</v>
      </c>
      <c r="AA540" s="88">
        <f>SUMIF(月間集計シート!$M$71:$M$90,$G540,月間集計シート!Q$71:Q$90)*AA$2</f>
        <v>0</v>
      </c>
      <c r="AB540" s="88">
        <f>SUMIF(月間集計シート!$M$71:$M$90,$G540,月間集計シート!R$71:R$90)*AB$2</f>
        <v>0</v>
      </c>
      <c r="AC540" s="88">
        <f>SUMIF(月間集計シート!$M$71:$M$90,$G540,月間集計シート!S$71:S$90)*AC$2</f>
        <v>0</v>
      </c>
      <c r="AD540" s="88">
        <f>SUMIF(月間集計シート!$M$71:$M$90,$G540,月間集計シート!T$71:T$90)*AD$2</f>
        <v>0</v>
      </c>
      <c r="AE540" s="88">
        <f>SUMIF(月間集計シート!$M$92:$M$111,$G540,月間集計シート!N$92:N$111)*AE$2</f>
        <v>0</v>
      </c>
      <c r="AF540" s="88">
        <f>SUMIF(月間集計シート!$M$92:$M$111,$G540,月間集計シート!O$92:O$111)*AF$2</f>
        <v>0</v>
      </c>
      <c r="AG540" s="88">
        <f>SUMIF(月間集計シート!$M$92:$M$111,$G540,月間集計シート!P$92:P$111)*AG$2</f>
        <v>0</v>
      </c>
      <c r="AH540" s="88">
        <f>SUMIF(月間集計シート!$M$92:$M$111,$G540,月間集計シート!Q$92:Q$111)*AH$2</f>
        <v>0</v>
      </c>
      <c r="AI540" s="88">
        <f>SUMIF(月間集計シート!$M$92:$M$111,$G540,月間集計シート!R$92:R$111)*AI$2</f>
        <v>0</v>
      </c>
      <c r="AJ540" s="88">
        <f>SUMIF(月間集計シート!$M$92:$M$111,$G540,月間集計シート!S$92:S$111)*AJ$2</f>
        <v>0</v>
      </c>
      <c r="AK540" s="88">
        <f>SUMIF(月間集計シート!$M$92:$M$111,$G540,月間集計シート!T$92:T$111)*AK$2</f>
        <v>0</v>
      </c>
      <c r="AL540" s="88">
        <f>SUMIF(月間集計シート!$M$113:$M$132,$G540,月間集計シート!N$113:N$132)*AL$2</f>
        <v>0</v>
      </c>
      <c r="AM540" s="88">
        <f>SUMIF(月間集計シート!$M$113:$M$132,$G540,月間集計シート!O$113:O$132)*AM$2</f>
        <v>0</v>
      </c>
      <c r="AN540" s="88">
        <f>SUMIF(月間集計シート!$M$113:$M$132,$G540,月間集計シート!P$113:P$132)*AN$2</f>
        <v>0</v>
      </c>
      <c r="AO540" s="88">
        <f>SUMIF(月間集計シート!$M$113:$M$132,$G540,月間集計シート!Q$113:Q$132)*AO$2</f>
        <v>0</v>
      </c>
      <c r="AP540" s="88">
        <f>SUMIF(月間集計シート!$M$113:$M$132,$G540,月間集計シート!R$113:R$132)*AP$2</f>
        <v>0</v>
      </c>
      <c r="AQ540" s="88">
        <f>SUMIF(月間集計シート!$M$113:$M$132,$G540,月間集計シート!S$113:S$132)*AQ$2</f>
        <v>0</v>
      </c>
      <c r="AR540" s="88">
        <f>SUMIF(月間集計シート!$M$113:$M$132,$G540,月間集計シート!T$113:T$132)*AR$2</f>
        <v>0</v>
      </c>
      <c r="AS540" s="88">
        <f>SUMIF(月間集計シート!$M$134:$M$153,$G540,月間集計シート!N$134:N$153)*AS$2</f>
        <v>0</v>
      </c>
      <c r="AT540" s="88">
        <f>SUMIF(月間集計シート!$M$134:$M$153,$G540,月間集計シート!O$134:O$153)*AT$2</f>
        <v>0</v>
      </c>
      <c r="AU540" s="88">
        <f>SUMIF(月間集計シート!$M$134:$M$153,$G540,月間集計シート!P$134:P$153)*AU$2</f>
        <v>0</v>
      </c>
      <c r="AV540" s="88">
        <f>SUMIF(月間集計シート!$M$134:$M$153,$G540,月間集計シート!Q$134:Q$153)*AV$2</f>
        <v>0</v>
      </c>
      <c r="AW540" s="88">
        <f>SUMIF(月間集計シート!$M$134:$M$153,$G540,月間集計シート!R$134:R$153)*AW$2</f>
        <v>0</v>
      </c>
      <c r="AX540" s="88">
        <f>SUMIF(月間集計シート!$M$134:$M$153,$G540,月間集計シート!S$134:S$153)*AX$2</f>
        <v>0</v>
      </c>
      <c r="AY540" s="88">
        <f>SUMIF(月間集計シート!$M$134:$M$153,$G540,月間集計シート!T$134:T$153)*AY$2</f>
        <v>0</v>
      </c>
    </row>
    <row r="541" spans="1:51" ht="14.25" thickBot="1">
      <c r="A541">
        <v>7</v>
      </c>
      <c r="B541" s="120">
        <f t="shared" si="251"/>
        <v>0</v>
      </c>
      <c r="C541" s="120" t="str">
        <f t="shared" si="252"/>
        <v/>
      </c>
      <c r="D541" s="137"/>
      <c r="E541" s="150" t="str">
        <f>工種!A23</f>
        <v>40101</v>
      </c>
      <c r="F541" s="119" t="str">
        <f>工種!B23</f>
        <v>テスト：結合テスト実施</v>
      </c>
      <c r="G541" s="116" t="str">
        <f t="shared" si="253"/>
        <v>040101</v>
      </c>
      <c r="H541" s="88">
        <f t="shared" si="247"/>
        <v>0</v>
      </c>
      <c r="I541" s="132"/>
      <c r="J541" s="88">
        <f>SUMIF(月間集計シート!$M$29:$M$48,$G541,月間集計シート!N$29:N$48)*J$2</f>
        <v>0</v>
      </c>
      <c r="K541" s="88">
        <f>SUMIF(月間集計シート!$M$29:$M$48,$G541,月間集計シート!O$29:O$48)*K$2</f>
        <v>0</v>
      </c>
      <c r="L541" s="88">
        <f>SUMIF(月間集計シート!$M$29:$M$48,$G541,月間集計シート!P$29:P$48)*L$2</f>
        <v>0</v>
      </c>
      <c r="M541" s="88">
        <f>SUMIF(月間集計シート!$M$29:$M$48,$G541,月間集計シート!Q$29:Q$48)*M$2</f>
        <v>0</v>
      </c>
      <c r="N541" s="88">
        <f>SUMIF(月間集計シート!$M$29:$M$48,$G541,月間集計シート!R$29:R$48)*N$2</f>
        <v>0</v>
      </c>
      <c r="O541" s="88">
        <f>SUMIF(月間集計シート!$M$29:$M$48,$G541,月間集計シート!S$29:S$48)*O$2</f>
        <v>0</v>
      </c>
      <c r="P541" s="88">
        <f>SUMIF(月間集計シート!$M$29:$M$48,$G541,月間集計シート!T$29:T$48)*P$2</f>
        <v>0</v>
      </c>
      <c r="Q541" s="88">
        <f>SUMIF(月間集計シート!$M$50:$M$69,$G541,月間集計シート!N$50:N$69)*Q$2</f>
        <v>0</v>
      </c>
      <c r="R541" s="88">
        <f>SUMIF(月間集計シート!$M$50:$M$69,$G541,月間集計シート!O$50:O$69)*R$2</f>
        <v>0</v>
      </c>
      <c r="S541" s="88">
        <f>SUMIF(月間集計シート!$M$50:$M$69,$G541,月間集計シート!P$50:P$69)*S$2</f>
        <v>0</v>
      </c>
      <c r="T541" s="88">
        <f>SUMIF(月間集計シート!$M$50:$M$69,$G541,月間集計シート!Q$50:Q$69)*T$2</f>
        <v>0</v>
      </c>
      <c r="U541" s="88">
        <f>SUMIF(月間集計シート!$M$50:$M$69,$G541,月間集計シート!R$50:R$69)*U$2</f>
        <v>0</v>
      </c>
      <c r="V541" s="88">
        <f>SUMIF(月間集計シート!$M$50:$M$69,$G541,月間集計シート!S$50:S$69)*V$2</f>
        <v>0</v>
      </c>
      <c r="W541" s="88">
        <f>SUMIF(月間集計シート!$M$50:$M$69,$G541,月間集計シート!T$50:T$69)*W$2</f>
        <v>0</v>
      </c>
      <c r="X541" s="88">
        <f>SUMIF(月間集計シート!$M$71:$M$90,$G541,月間集計シート!N$71:N$90)*X$2</f>
        <v>0</v>
      </c>
      <c r="Y541" s="88">
        <f>SUMIF(月間集計シート!$M$71:$M$90,$G541,月間集計シート!O$71:O$90)*Y$2</f>
        <v>0</v>
      </c>
      <c r="Z541" s="88">
        <f>SUMIF(月間集計シート!$M$71:$M$90,$G541,月間集計シート!P$71:P$90)*Z$2</f>
        <v>0</v>
      </c>
      <c r="AA541" s="88">
        <f>SUMIF(月間集計シート!$M$71:$M$90,$G541,月間集計シート!Q$71:Q$90)*AA$2</f>
        <v>0</v>
      </c>
      <c r="AB541" s="88">
        <f>SUMIF(月間集計シート!$M$71:$M$90,$G541,月間集計シート!R$71:R$90)*AB$2</f>
        <v>0</v>
      </c>
      <c r="AC541" s="88">
        <f>SUMIF(月間集計シート!$M$71:$M$90,$G541,月間集計シート!S$71:S$90)*AC$2</f>
        <v>0</v>
      </c>
      <c r="AD541" s="88">
        <f>SUMIF(月間集計シート!$M$71:$M$90,$G541,月間集計シート!T$71:T$90)*AD$2</f>
        <v>0</v>
      </c>
      <c r="AE541" s="88">
        <f>SUMIF(月間集計シート!$M$92:$M$111,$G541,月間集計シート!N$92:N$111)*AE$2</f>
        <v>0</v>
      </c>
      <c r="AF541" s="88">
        <f>SUMIF(月間集計シート!$M$92:$M$111,$G541,月間集計シート!O$92:O$111)*AF$2</f>
        <v>0</v>
      </c>
      <c r="AG541" s="88">
        <f>SUMIF(月間集計シート!$M$92:$M$111,$G541,月間集計シート!P$92:P$111)*AG$2</f>
        <v>0</v>
      </c>
      <c r="AH541" s="88">
        <f>SUMIF(月間集計シート!$M$92:$M$111,$G541,月間集計シート!Q$92:Q$111)*AH$2</f>
        <v>0</v>
      </c>
      <c r="AI541" s="88">
        <f>SUMIF(月間集計シート!$M$92:$M$111,$G541,月間集計シート!R$92:R$111)*AI$2</f>
        <v>0</v>
      </c>
      <c r="AJ541" s="88">
        <f>SUMIF(月間集計シート!$M$92:$M$111,$G541,月間集計シート!S$92:S$111)*AJ$2</f>
        <v>0</v>
      </c>
      <c r="AK541" s="88">
        <f>SUMIF(月間集計シート!$M$92:$M$111,$G541,月間集計シート!T$92:T$111)*AK$2</f>
        <v>0</v>
      </c>
      <c r="AL541" s="88">
        <f>SUMIF(月間集計シート!$M$113:$M$132,$G541,月間集計シート!N$113:N$132)*AL$2</f>
        <v>0</v>
      </c>
      <c r="AM541" s="88">
        <f>SUMIF(月間集計シート!$M$113:$M$132,$G541,月間集計シート!O$113:O$132)*AM$2</f>
        <v>0</v>
      </c>
      <c r="AN541" s="88">
        <f>SUMIF(月間集計シート!$M$113:$M$132,$G541,月間集計シート!P$113:P$132)*AN$2</f>
        <v>0</v>
      </c>
      <c r="AO541" s="88">
        <f>SUMIF(月間集計シート!$M$113:$M$132,$G541,月間集計シート!Q$113:Q$132)*AO$2</f>
        <v>0</v>
      </c>
      <c r="AP541" s="88">
        <f>SUMIF(月間集計シート!$M$113:$M$132,$G541,月間集計シート!R$113:R$132)*AP$2</f>
        <v>0</v>
      </c>
      <c r="AQ541" s="88">
        <f>SUMIF(月間集計シート!$M$113:$M$132,$G541,月間集計シート!S$113:S$132)*AQ$2</f>
        <v>0</v>
      </c>
      <c r="AR541" s="88">
        <f>SUMIF(月間集計シート!$M$113:$M$132,$G541,月間集計シート!T$113:T$132)*AR$2</f>
        <v>0</v>
      </c>
      <c r="AS541" s="88">
        <f>SUMIF(月間集計シート!$M$134:$M$153,$G541,月間集計シート!N$134:N$153)*AS$2</f>
        <v>0</v>
      </c>
      <c r="AT541" s="88">
        <f>SUMIF(月間集計シート!$M$134:$M$153,$G541,月間集計シート!O$134:O$153)*AT$2</f>
        <v>0</v>
      </c>
      <c r="AU541" s="88">
        <f>SUMIF(月間集計シート!$M$134:$M$153,$G541,月間集計シート!P$134:P$153)*AU$2</f>
        <v>0</v>
      </c>
      <c r="AV541" s="88">
        <f>SUMIF(月間集計シート!$M$134:$M$153,$G541,月間集計シート!Q$134:Q$153)*AV$2</f>
        <v>0</v>
      </c>
      <c r="AW541" s="88">
        <f>SUMIF(月間集計シート!$M$134:$M$153,$G541,月間集計シート!R$134:R$153)*AW$2</f>
        <v>0</v>
      </c>
      <c r="AX541" s="88">
        <f>SUMIF(月間集計シート!$M$134:$M$153,$G541,月間集計シート!S$134:S$153)*AX$2</f>
        <v>0</v>
      </c>
      <c r="AY541" s="88">
        <f>SUMIF(月間集計シート!$M$134:$M$153,$G541,月間集計シート!T$134:T$153)*AY$2</f>
        <v>0</v>
      </c>
    </row>
    <row r="542" spans="1:51" ht="14.25" thickBot="1">
      <c r="A542">
        <v>7</v>
      </c>
      <c r="B542" s="120">
        <f t="shared" si="251"/>
        <v>0</v>
      </c>
      <c r="C542" s="120" t="str">
        <f t="shared" si="252"/>
        <v/>
      </c>
      <c r="D542" s="137"/>
      <c r="E542" s="150" t="str">
        <f>工種!A24</f>
        <v>40102</v>
      </c>
      <c r="F542" s="119" t="str">
        <f>工種!B24</f>
        <v>テスト：システムテスト実施</v>
      </c>
      <c r="G542" s="116" t="str">
        <f t="shared" si="253"/>
        <v>040102</v>
      </c>
      <c r="H542" s="88">
        <f t="shared" si="247"/>
        <v>0</v>
      </c>
      <c r="I542" s="132"/>
      <c r="J542" s="88">
        <f>SUMIF(月間集計シート!$M$29:$M$48,$G542,月間集計シート!N$29:N$48)*J$2</f>
        <v>0</v>
      </c>
      <c r="K542" s="88">
        <f>SUMIF(月間集計シート!$M$29:$M$48,$G542,月間集計シート!O$29:O$48)*K$2</f>
        <v>0</v>
      </c>
      <c r="L542" s="88">
        <f>SUMIF(月間集計シート!$M$29:$M$48,$G542,月間集計シート!P$29:P$48)*L$2</f>
        <v>0</v>
      </c>
      <c r="M542" s="88">
        <f>SUMIF(月間集計シート!$M$29:$M$48,$G542,月間集計シート!Q$29:Q$48)*M$2</f>
        <v>0</v>
      </c>
      <c r="N542" s="88">
        <f>SUMIF(月間集計シート!$M$29:$M$48,$G542,月間集計シート!R$29:R$48)*N$2</f>
        <v>0</v>
      </c>
      <c r="O542" s="88">
        <f>SUMIF(月間集計シート!$M$29:$M$48,$G542,月間集計シート!S$29:S$48)*O$2</f>
        <v>0</v>
      </c>
      <c r="P542" s="88">
        <f>SUMIF(月間集計シート!$M$29:$M$48,$G542,月間集計シート!T$29:T$48)*P$2</f>
        <v>0</v>
      </c>
      <c r="Q542" s="88">
        <f>SUMIF(月間集計シート!$M$50:$M$69,$G542,月間集計シート!N$50:N$69)*Q$2</f>
        <v>0</v>
      </c>
      <c r="R542" s="88">
        <f>SUMIF(月間集計シート!$M$50:$M$69,$G542,月間集計シート!O$50:O$69)*R$2</f>
        <v>0</v>
      </c>
      <c r="S542" s="88">
        <f>SUMIF(月間集計シート!$M$50:$M$69,$G542,月間集計シート!P$50:P$69)*S$2</f>
        <v>0</v>
      </c>
      <c r="T542" s="88">
        <f>SUMIF(月間集計シート!$M$50:$M$69,$G542,月間集計シート!Q$50:Q$69)*T$2</f>
        <v>0</v>
      </c>
      <c r="U542" s="88">
        <f>SUMIF(月間集計シート!$M$50:$M$69,$G542,月間集計シート!R$50:R$69)*U$2</f>
        <v>0</v>
      </c>
      <c r="V542" s="88">
        <f>SUMIF(月間集計シート!$M$50:$M$69,$G542,月間集計シート!S$50:S$69)*V$2</f>
        <v>0</v>
      </c>
      <c r="W542" s="88">
        <f>SUMIF(月間集計シート!$M$50:$M$69,$G542,月間集計シート!T$50:T$69)*W$2</f>
        <v>0</v>
      </c>
      <c r="X542" s="88">
        <f>SUMIF(月間集計シート!$M$71:$M$90,$G542,月間集計シート!N$71:N$90)*X$2</f>
        <v>0</v>
      </c>
      <c r="Y542" s="88">
        <f>SUMIF(月間集計シート!$M$71:$M$90,$G542,月間集計シート!O$71:O$90)*Y$2</f>
        <v>0</v>
      </c>
      <c r="Z542" s="88">
        <f>SUMIF(月間集計シート!$M$71:$M$90,$G542,月間集計シート!P$71:P$90)*Z$2</f>
        <v>0</v>
      </c>
      <c r="AA542" s="88">
        <f>SUMIF(月間集計シート!$M$71:$M$90,$G542,月間集計シート!Q$71:Q$90)*AA$2</f>
        <v>0</v>
      </c>
      <c r="AB542" s="88">
        <f>SUMIF(月間集計シート!$M$71:$M$90,$G542,月間集計シート!R$71:R$90)*AB$2</f>
        <v>0</v>
      </c>
      <c r="AC542" s="88">
        <f>SUMIF(月間集計シート!$M$71:$M$90,$G542,月間集計シート!S$71:S$90)*AC$2</f>
        <v>0</v>
      </c>
      <c r="AD542" s="88">
        <f>SUMIF(月間集計シート!$M$71:$M$90,$G542,月間集計シート!T$71:T$90)*AD$2</f>
        <v>0</v>
      </c>
      <c r="AE542" s="88">
        <f>SUMIF(月間集計シート!$M$92:$M$111,$G542,月間集計シート!N$92:N$111)*AE$2</f>
        <v>0</v>
      </c>
      <c r="AF542" s="88">
        <f>SUMIF(月間集計シート!$M$92:$M$111,$G542,月間集計シート!O$92:O$111)*AF$2</f>
        <v>0</v>
      </c>
      <c r="AG542" s="88">
        <f>SUMIF(月間集計シート!$M$92:$M$111,$G542,月間集計シート!P$92:P$111)*AG$2</f>
        <v>0</v>
      </c>
      <c r="AH542" s="88">
        <f>SUMIF(月間集計シート!$M$92:$M$111,$G542,月間集計シート!Q$92:Q$111)*AH$2</f>
        <v>0</v>
      </c>
      <c r="AI542" s="88">
        <f>SUMIF(月間集計シート!$M$92:$M$111,$G542,月間集計シート!R$92:R$111)*AI$2</f>
        <v>0</v>
      </c>
      <c r="AJ542" s="88">
        <f>SUMIF(月間集計シート!$M$92:$M$111,$G542,月間集計シート!S$92:S$111)*AJ$2</f>
        <v>0</v>
      </c>
      <c r="AK542" s="88">
        <f>SUMIF(月間集計シート!$M$92:$M$111,$G542,月間集計シート!T$92:T$111)*AK$2</f>
        <v>0</v>
      </c>
      <c r="AL542" s="88">
        <f>SUMIF(月間集計シート!$M$113:$M$132,$G542,月間集計シート!N$113:N$132)*AL$2</f>
        <v>0</v>
      </c>
      <c r="AM542" s="88">
        <f>SUMIF(月間集計シート!$M$113:$M$132,$G542,月間集計シート!O$113:O$132)*AM$2</f>
        <v>0</v>
      </c>
      <c r="AN542" s="88">
        <f>SUMIF(月間集計シート!$M$113:$M$132,$G542,月間集計シート!P$113:P$132)*AN$2</f>
        <v>0</v>
      </c>
      <c r="AO542" s="88">
        <f>SUMIF(月間集計シート!$M$113:$M$132,$G542,月間集計シート!Q$113:Q$132)*AO$2</f>
        <v>0</v>
      </c>
      <c r="AP542" s="88">
        <f>SUMIF(月間集計シート!$M$113:$M$132,$G542,月間集計シート!R$113:R$132)*AP$2</f>
        <v>0</v>
      </c>
      <c r="AQ542" s="88">
        <f>SUMIF(月間集計シート!$M$113:$M$132,$G542,月間集計シート!S$113:S$132)*AQ$2</f>
        <v>0</v>
      </c>
      <c r="AR542" s="88">
        <f>SUMIF(月間集計シート!$M$113:$M$132,$G542,月間集計シート!T$113:T$132)*AR$2</f>
        <v>0</v>
      </c>
      <c r="AS542" s="88">
        <f>SUMIF(月間集計シート!$M$134:$M$153,$G542,月間集計シート!N$134:N$153)*AS$2</f>
        <v>0</v>
      </c>
      <c r="AT542" s="88">
        <f>SUMIF(月間集計シート!$M$134:$M$153,$G542,月間集計シート!O$134:O$153)*AT$2</f>
        <v>0</v>
      </c>
      <c r="AU542" s="88">
        <f>SUMIF(月間集計シート!$M$134:$M$153,$G542,月間集計シート!P$134:P$153)*AU$2</f>
        <v>0</v>
      </c>
      <c r="AV542" s="88">
        <f>SUMIF(月間集計シート!$M$134:$M$153,$G542,月間集計シート!Q$134:Q$153)*AV$2</f>
        <v>0</v>
      </c>
      <c r="AW542" s="88">
        <f>SUMIF(月間集計シート!$M$134:$M$153,$G542,月間集計シート!R$134:R$153)*AW$2</f>
        <v>0</v>
      </c>
      <c r="AX542" s="88">
        <f>SUMIF(月間集計シート!$M$134:$M$153,$G542,月間集計シート!S$134:S$153)*AX$2</f>
        <v>0</v>
      </c>
      <c r="AY542" s="88">
        <f>SUMIF(月間集計シート!$M$134:$M$153,$G542,月間集計シート!T$134:T$153)*AY$2</f>
        <v>0</v>
      </c>
    </row>
    <row r="543" spans="1:51" ht="14.25" thickBot="1">
      <c r="A543">
        <v>7</v>
      </c>
      <c r="B543" s="120">
        <f t="shared" si="251"/>
        <v>0</v>
      </c>
      <c r="C543" s="120" t="str">
        <f t="shared" si="252"/>
        <v/>
      </c>
      <c r="D543" s="137"/>
      <c r="E543" s="150" t="str">
        <f>工種!A25</f>
        <v>40103</v>
      </c>
      <c r="F543" s="119" t="str">
        <f>工種!B25</f>
        <v>テスト：テスト計画書作成</v>
      </c>
      <c r="G543" s="116" t="str">
        <f t="shared" si="253"/>
        <v>040103</v>
      </c>
      <c r="H543" s="88">
        <f t="shared" si="247"/>
        <v>0</v>
      </c>
      <c r="I543" s="132"/>
      <c r="J543" s="88">
        <f>SUMIF(月間集計シート!$M$29:$M$48,$G543,月間集計シート!N$29:N$48)*J$2</f>
        <v>0</v>
      </c>
      <c r="K543" s="88">
        <f>SUMIF(月間集計シート!$M$29:$M$48,$G543,月間集計シート!O$29:O$48)*K$2</f>
        <v>0</v>
      </c>
      <c r="L543" s="88">
        <f>SUMIF(月間集計シート!$M$29:$M$48,$G543,月間集計シート!P$29:P$48)*L$2</f>
        <v>0</v>
      </c>
      <c r="M543" s="88">
        <f>SUMIF(月間集計シート!$M$29:$M$48,$G543,月間集計シート!Q$29:Q$48)*M$2</f>
        <v>0</v>
      </c>
      <c r="N543" s="88">
        <f>SUMIF(月間集計シート!$M$29:$M$48,$G543,月間集計シート!R$29:R$48)*N$2</f>
        <v>0</v>
      </c>
      <c r="O543" s="88">
        <f>SUMIF(月間集計シート!$M$29:$M$48,$G543,月間集計シート!S$29:S$48)*O$2</f>
        <v>0</v>
      </c>
      <c r="P543" s="88">
        <f>SUMIF(月間集計シート!$M$29:$M$48,$G543,月間集計シート!T$29:T$48)*P$2</f>
        <v>0</v>
      </c>
      <c r="Q543" s="88">
        <f>SUMIF(月間集計シート!$M$50:$M$69,$G543,月間集計シート!N$50:N$69)*Q$2</f>
        <v>0</v>
      </c>
      <c r="R543" s="88">
        <f>SUMIF(月間集計シート!$M$50:$M$69,$G543,月間集計シート!O$50:O$69)*R$2</f>
        <v>0</v>
      </c>
      <c r="S543" s="88">
        <f>SUMIF(月間集計シート!$M$50:$M$69,$G543,月間集計シート!P$50:P$69)*S$2</f>
        <v>0</v>
      </c>
      <c r="T543" s="88">
        <f>SUMIF(月間集計シート!$M$50:$M$69,$G543,月間集計シート!Q$50:Q$69)*T$2</f>
        <v>0</v>
      </c>
      <c r="U543" s="88">
        <f>SUMIF(月間集計シート!$M$50:$M$69,$G543,月間集計シート!R$50:R$69)*U$2</f>
        <v>0</v>
      </c>
      <c r="V543" s="88">
        <f>SUMIF(月間集計シート!$M$50:$M$69,$G543,月間集計シート!S$50:S$69)*V$2</f>
        <v>0</v>
      </c>
      <c r="W543" s="88">
        <f>SUMIF(月間集計シート!$M$50:$M$69,$G543,月間集計シート!T$50:T$69)*W$2</f>
        <v>0</v>
      </c>
      <c r="X543" s="88">
        <f>SUMIF(月間集計シート!$M$71:$M$90,$G543,月間集計シート!N$71:N$90)*X$2</f>
        <v>0</v>
      </c>
      <c r="Y543" s="88">
        <f>SUMIF(月間集計シート!$M$71:$M$90,$G543,月間集計シート!O$71:O$90)*Y$2</f>
        <v>0</v>
      </c>
      <c r="Z543" s="88">
        <f>SUMIF(月間集計シート!$M$71:$M$90,$G543,月間集計シート!P$71:P$90)*Z$2</f>
        <v>0</v>
      </c>
      <c r="AA543" s="88">
        <f>SUMIF(月間集計シート!$M$71:$M$90,$G543,月間集計シート!Q$71:Q$90)*AA$2</f>
        <v>0</v>
      </c>
      <c r="AB543" s="88">
        <f>SUMIF(月間集計シート!$M$71:$M$90,$G543,月間集計シート!R$71:R$90)*AB$2</f>
        <v>0</v>
      </c>
      <c r="AC543" s="88">
        <f>SUMIF(月間集計シート!$M$71:$M$90,$G543,月間集計シート!S$71:S$90)*AC$2</f>
        <v>0</v>
      </c>
      <c r="AD543" s="88">
        <f>SUMIF(月間集計シート!$M$71:$M$90,$G543,月間集計シート!T$71:T$90)*AD$2</f>
        <v>0</v>
      </c>
      <c r="AE543" s="88">
        <f>SUMIF(月間集計シート!$M$92:$M$111,$G543,月間集計シート!N$92:N$111)*AE$2</f>
        <v>0</v>
      </c>
      <c r="AF543" s="88">
        <f>SUMIF(月間集計シート!$M$92:$M$111,$G543,月間集計シート!O$92:O$111)*AF$2</f>
        <v>0</v>
      </c>
      <c r="AG543" s="88">
        <f>SUMIF(月間集計シート!$M$92:$M$111,$G543,月間集計シート!P$92:P$111)*AG$2</f>
        <v>0</v>
      </c>
      <c r="AH543" s="88">
        <f>SUMIF(月間集計シート!$M$92:$M$111,$G543,月間集計シート!Q$92:Q$111)*AH$2</f>
        <v>0</v>
      </c>
      <c r="AI543" s="88">
        <f>SUMIF(月間集計シート!$M$92:$M$111,$G543,月間集計シート!R$92:R$111)*AI$2</f>
        <v>0</v>
      </c>
      <c r="AJ543" s="88">
        <f>SUMIF(月間集計シート!$M$92:$M$111,$G543,月間集計シート!S$92:S$111)*AJ$2</f>
        <v>0</v>
      </c>
      <c r="AK543" s="88">
        <f>SUMIF(月間集計シート!$M$92:$M$111,$G543,月間集計シート!T$92:T$111)*AK$2</f>
        <v>0</v>
      </c>
      <c r="AL543" s="88">
        <f>SUMIF(月間集計シート!$M$113:$M$132,$G543,月間集計シート!N$113:N$132)*AL$2</f>
        <v>0</v>
      </c>
      <c r="AM543" s="88">
        <f>SUMIF(月間集計シート!$M$113:$M$132,$G543,月間集計シート!O$113:O$132)*AM$2</f>
        <v>0</v>
      </c>
      <c r="AN543" s="88">
        <f>SUMIF(月間集計シート!$M$113:$M$132,$G543,月間集計シート!P$113:P$132)*AN$2</f>
        <v>0</v>
      </c>
      <c r="AO543" s="88">
        <f>SUMIF(月間集計シート!$M$113:$M$132,$G543,月間集計シート!Q$113:Q$132)*AO$2</f>
        <v>0</v>
      </c>
      <c r="AP543" s="88">
        <f>SUMIF(月間集計シート!$M$113:$M$132,$G543,月間集計シート!R$113:R$132)*AP$2</f>
        <v>0</v>
      </c>
      <c r="AQ543" s="88">
        <f>SUMIF(月間集計シート!$M$113:$M$132,$G543,月間集計シート!S$113:S$132)*AQ$2</f>
        <v>0</v>
      </c>
      <c r="AR543" s="88">
        <f>SUMIF(月間集計シート!$M$113:$M$132,$G543,月間集計シート!T$113:T$132)*AR$2</f>
        <v>0</v>
      </c>
      <c r="AS543" s="88">
        <f>SUMIF(月間集計シート!$M$134:$M$153,$G543,月間集計シート!N$134:N$153)*AS$2</f>
        <v>0</v>
      </c>
      <c r="AT543" s="88">
        <f>SUMIF(月間集計シート!$M$134:$M$153,$G543,月間集計シート!O$134:O$153)*AT$2</f>
        <v>0</v>
      </c>
      <c r="AU543" s="88">
        <f>SUMIF(月間集計シート!$M$134:$M$153,$G543,月間集計シート!P$134:P$153)*AU$2</f>
        <v>0</v>
      </c>
      <c r="AV543" s="88">
        <f>SUMIF(月間集計シート!$M$134:$M$153,$G543,月間集計シート!Q$134:Q$153)*AV$2</f>
        <v>0</v>
      </c>
      <c r="AW543" s="88">
        <f>SUMIF(月間集計シート!$M$134:$M$153,$G543,月間集計シート!R$134:R$153)*AW$2</f>
        <v>0</v>
      </c>
      <c r="AX543" s="88">
        <f>SUMIF(月間集計シート!$M$134:$M$153,$G543,月間集計シート!S$134:S$153)*AX$2</f>
        <v>0</v>
      </c>
      <c r="AY543" s="88">
        <f>SUMIF(月間集計シート!$M$134:$M$153,$G543,月間集計シート!T$134:T$153)*AY$2</f>
        <v>0</v>
      </c>
    </row>
    <row r="544" spans="1:51" ht="14.25" thickBot="1">
      <c r="A544">
        <v>7</v>
      </c>
      <c r="B544" s="120">
        <f t="shared" si="251"/>
        <v>0</v>
      </c>
      <c r="C544" s="120" t="str">
        <f t="shared" si="252"/>
        <v/>
      </c>
      <c r="D544" s="137"/>
      <c r="E544" s="150" t="str">
        <f>工種!A26</f>
        <v>40104</v>
      </c>
      <c r="F544" s="119" t="str">
        <f>工種!B26</f>
        <v>テスト：結合テスト設計書作成</v>
      </c>
      <c r="G544" s="116" t="str">
        <f t="shared" si="253"/>
        <v>040104</v>
      </c>
      <c r="H544" s="88">
        <f t="shared" si="247"/>
        <v>0</v>
      </c>
      <c r="I544" s="132"/>
      <c r="J544" s="88">
        <f>SUMIF(月間集計シート!$M$29:$M$48,$G544,月間集計シート!N$29:N$48)*J$2</f>
        <v>0</v>
      </c>
      <c r="K544" s="88">
        <f>SUMIF(月間集計シート!$M$29:$M$48,$G544,月間集計シート!O$29:O$48)*K$2</f>
        <v>0</v>
      </c>
      <c r="L544" s="88">
        <f>SUMIF(月間集計シート!$M$29:$M$48,$G544,月間集計シート!P$29:P$48)*L$2</f>
        <v>0</v>
      </c>
      <c r="M544" s="88">
        <f>SUMIF(月間集計シート!$M$29:$M$48,$G544,月間集計シート!Q$29:Q$48)*M$2</f>
        <v>0</v>
      </c>
      <c r="N544" s="88">
        <f>SUMIF(月間集計シート!$M$29:$M$48,$G544,月間集計シート!R$29:R$48)*N$2</f>
        <v>0</v>
      </c>
      <c r="O544" s="88">
        <f>SUMIF(月間集計シート!$M$29:$M$48,$G544,月間集計シート!S$29:S$48)*O$2</f>
        <v>0</v>
      </c>
      <c r="P544" s="88">
        <f>SUMIF(月間集計シート!$M$29:$M$48,$G544,月間集計シート!T$29:T$48)*P$2</f>
        <v>0</v>
      </c>
      <c r="Q544" s="88">
        <f>SUMIF(月間集計シート!$M$50:$M$69,$G544,月間集計シート!N$50:N$69)*Q$2</f>
        <v>0</v>
      </c>
      <c r="R544" s="88">
        <f>SUMIF(月間集計シート!$M$50:$M$69,$G544,月間集計シート!O$50:O$69)*R$2</f>
        <v>0</v>
      </c>
      <c r="S544" s="88">
        <f>SUMIF(月間集計シート!$M$50:$M$69,$G544,月間集計シート!P$50:P$69)*S$2</f>
        <v>0</v>
      </c>
      <c r="T544" s="88">
        <f>SUMIF(月間集計シート!$M$50:$M$69,$G544,月間集計シート!Q$50:Q$69)*T$2</f>
        <v>0</v>
      </c>
      <c r="U544" s="88">
        <f>SUMIF(月間集計シート!$M$50:$M$69,$G544,月間集計シート!R$50:R$69)*U$2</f>
        <v>0</v>
      </c>
      <c r="V544" s="88">
        <f>SUMIF(月間集計シート!$M$50:$M$69,$G544,月間集計シート!S$50:S$69)*V$2</f>
        <v>0</v>
      </c>
      <c r="W544" s="88">
        <f>SUMIF(月間集計シート!$M$50:$M$69,$G544,月間集計シート!T$50:T$69)*W$2</f>
        <v>0</v>
      </c>
      <c r="X544" s="88">
        <f>SUMIF(月間集計シート!$M$71:$M$90,$G544,月間集計シート!N$71:N$90)*X$2</f>
        <v>0</v>
      </c>
      <c r="Y544" s="88">
        <f>SUMIF(月間集計シート!$M$71:$M$90,$G544,月間集計シート!O$71:O$90)*Y$2</f>
        <v>0</v>
      </c>
      <c r="Z544" s="88">
        <f>SUMIF(月間集計シート!$M$71:$M$90,$G544,月間集計シート!P$71:P$90)*Z$2</f>
        <v>0</v>
      </c>
      <c r="AA544" s="88">
        <f>SUMIF(月間集計シート!$M$71:$M$90,$G544,月間集計シート!Q$71:Q$90)*AA$2</f>
        <v>0</v>
      </c>
      <c r="AB544" s="88">
        <f>SUMIF(月間集計シート!$M$71:$M$90,$G544,月間集計シート!R$71:R$90)*AB$2</f>
        <v>0</v>
      </c>
      <c r="AC544" s="88">
        <f>SUMIF(月間集計シート!$M$71:$M$90,$G544,月間集計シート!S$71:S$90)*AC$2</f>
        <v>0</v>
      </c>
      <c r="AD544" s="88">
        <f>SUMIF(月間集計シート!$M$71:$M$90,$G544,月間集計シート!T$71:T$90)*AD$2</f>
        <v>0</v>
      </c>
      <c r="AE544" s="88">
        <f>SUMIF(月間集計シート!$M$92:$M$111,$G544,月間集計シート!N$92:N$111)*AE$2</f>
        <v>0</v>
      </c>
      <c r="AF544" s="88">
        <f>SUMIF(月間集計シート!$M$92:$M$111,$G544,月間集計シート!O$92:O$111)*AF$2</f>
        <v>0</v>
      </c>
      <c r="AG544" s="88">
        <f>SUMIF(月間集計シート!$M$92:$M$111,$G544,月間集計シート!P$92:P$111)*AG$2</f>
        <v>0</v>
      </c>
      <c r="AH544" s="88">
        <f>SUMIF(月間集計シート!$M$92:$M$111,$G544,月間集計シート!Q$92:Q$111)*AH$2</f>
        <v>0</v>
      </c>
      <c r="AI544" s="88">
        <f>SUMIF(月間集計シート!$M$92:$M$111,$G544,月間集計シート!R$92:R$111)*AI$2</f>
        <v>0</v>
      </c>
      <c r="AJ544" s="88">
        <f>SUMIF(月間集計シート!$M$92:$M$111,$G544,月間集計シート!S$92:S$111)*AJ$2</f>
        <v>0</v>
      </c>
      <c r="AK544" s="88">
        <f>SUMIF(月間集計シート!$M$92:$M$111,$G544,月間集計シート!T$92:T$111)*AK$2</f>
        <v>0</v>
      </c>
      <c r="AL544" s="88">
        <f>SUMIF(月間集計シート!$M$113:$M$132,$G544,月間集計シート!N$113:N$132)*AL$2</f>
        <v>0</v>
      </c>
      <c r="AM544" s="88">
        <f>SUMIF(月間集計シート!$M$113:$M$132,$G544,月間集計シート!O$113:O$132)*AM$2</f>
        <v>0</v>
      </c>
      <c r="AN544" s="88">
        <f>SUMIF(月間集計シート!$M$113:$M$132,$G544,月間集計シート!P$113:P$132)*AN$2</f>
        <v>0</v>
      </c>
      <c r="AO544" s="88">
        <f>SUMIF(月間集計シート!$M$113:$M$132,$G544,月間集計シート!Q$113:Q$132)*AO$2</f>
        <v>0</v>
      </c>
      <c r="AP544" s="88">
        <f>SUMIF(月間集計シート!$M$113:$M$132,$G544,月間集計シート!R$113:R$132)*AP$2</f>
        <v>0</v>
      </c>
      <c r="AQ544" s="88">
        <f>SUMIF(月間集計シート!$M$113:$M$132,$G544,月間集計シート!S$113:S$132)*AQ$2</f>
        <v>0</v>
      </c>
      <c r="AR544" s="88">
        <f>SUMIF(月間集計シート!$M$113:$M$132,$G544,月間集計シート!T$113:T$132)*AR$2</f>
        <v>0</v>
      </c>
      <c r="AS544" s="88">
        <f>SUMIF(月間集計シート!$M$134:$M$153,$G544,月間集計シート!N$134:N$153)*AS$2</f>
        <v>0</v>
      </c>
      <c r="AT544" s="88">
        <f>SUMIF(月間集計シート!$M$134:$M$153,$G544,月間集計シート!O$134:O$153)*AT$2</f>
        <v>0</v>
      </c>
      <c r="AU544" s="88">
        <f>SUMIF(月間集計シート!$M$134:$M$153,$G544,月間集計シート!P$134:P$153)*AU$2</f>
        <v>0</v>
      </c>
      <c r="AV544" s="88">
        <f>SUMIF(月間集計シート!$M$134:$M$153,$G544,月間集計シート!Q$134:Q$153)*AV$2</f>
        <v>0</v>
      </c>
      <c r="AW544" s="88">
        <f>SUMIF(月間集計シート!$M$134:$M$153,$G544,月間集計シート!R$134:R$153)*AW$2</f>
        <v>0</v>
      </c>
      <c r="AX544" s="88">
        <f>SUMIF(月間集計シート!$M$134:$M$153,$G544,月間集計シート!S$134:S$153)*AX$2</f>
        <v>0</v>
      </c>
      <c r="AY544" s="88">
        <f>SUMIF(月間集計シート!$M$134:$M$153,$G544,月間集計シート!T$134:T$153)*AY$2</f>
        <v>0</v>
      </c>
    </row>
    <row r="545" spans="1:51" ht="14.25" thickBot="1">
      <c r="A545">
        <v>7</v>
      </c>
      <c r="B545" s="120">
        <f t="shared" si="251"/>
        <v>0</v>
      </c>
      <c r="C545" s="120" t="str">
        <f t="shared" si="252"/>
        <v/>
      </c>
      <c r="D545" s="137"/>
      <c r="E545" s="150" t="str">
        <f>工種!A27</f>
        <v>40105</v>
      </c>
      <c r="F545" s="119" t="str">
        <f>工種!B27</f>
        <v>テスト：システムテスト設計書作成</v>
      </c>
      <c r="G545" s="116" t="str">
        <f t="shared" si="253"/>
        <v>040105</v>
      </c>
      <c r="H545" s="88">
        <f t="shared" si="247"/>
        <v>0</v>
      </c>
      <c r="I545" s="132"/>
      <c r="J545" s="88">
        <f>SUMIF(月間集計シート!$M$29:$M$48,$G545,月間集計シート!N$29:N$48)*J$2</f>
        <v>0</v>
      </c>
      <c r="K545" s="88">
        <f>SUMIF(月間集計シート!$M$29:$M$48,$G545,月間集計シート!O$29:O$48)*K$2</f>
        <v>0</v>
      </c>
      <c r="L545" s="88">
        <f>SUMIF(月間集計シート!$M$29:$M$48,$G545,月間集計シート!P$29:P$48)*L$2</f>
        <v>0</v>
      </c>
      <c r="M545" s="88">
        <f>SUMIF(月間集計シート!$M$29:$M$48,$G545,月間集計シート!Q$29:Q$48)*M$2</f>
        <v>0</v>
      </c>
      <c r="N545" s="88">
        <f>SUMIF(月間集計シート!$M$29:$M$48,$G545,月間集計シート!R$29:R$48)*N$2</f>
        <v>0</v>
      </c>
      <c r="O545" s="88">
        <f>SUMIF(月間集計シート!$M$29:$M$48,$G545,月間集計シート!S$29:S$48)*O$2</f>
        <v>0</v>
      </c>
      <c r="P545" s="88">
        <f>SUMIF(月間集計シート!$M$29:$M$48,$G545,月間集計シート!T$29:T$48)*P$2</f>
        <v>0</v>
      </c>
      <c r="Q545" s="88">
        <f>SUMIF(月間集計シート!$M$50:$M$69,$G545,月間集計シート!N$50:N$69)*Q$2</f>
        <v>0</v>
      </c>
      <c r="R545" s="88">
        <f>SUMIF(月間集計シート!$M$50:$M$69,$G545,月間集計シート!O$50:O$69)*R$2</f>
        <v>0</v>
      </c>
      <c r="S545" s="88">
        <f>SUMIF(月間集計シート!$M$50:$M$69,$G545,月間集計シート!P$50:P$69)*S$2</f>
        <v>0</v>
      </c>
      <c r="T545" s="88">
        <f>SUMIF(月間集計シート!$M$50:$M$69,$G545,月間集計シート!Q$50:Q$69)*T$2</f>
        <v>0</v>
      </c>
      <c r="U545" s="88">
        <f>SUMIF(月間集計シート!$M$50:$M$69,$G545,月間集計シート!R$50:R$69)*U$2</f>
        <v>0</v>
      </c>
      <c r="V545" s="88">
        <f>SUMIF(月間集計シート!$M$50:$M$69,$G545,月間集計シート!S$50:S$69)*V$2</f>
        <v>0</v>
      </c>
      <c r="W545" s="88">
        <f>SUMIF(月間集計シート!$M$50:$M$69,$G545,月間集計シート!T$50:T$69)*W$2</f>
        <v>0</v>
      </c>
      <c r="X545" s="88">
        <f>SUMIF(月間集計シート!$M$71:$M$90,$G545,月間集計シート!N$71:N$90)*X$2</f>
        <v>0</v>
      </c>
      <c r="Y545" s="88">
        <f>SUMIF(月間集計シート!$M$71:$M$90,$G545,月間集計シート!O$71:O$90)*Y$2</f>
        <v>0</v>
      </c>
      <c r="Z545" s="88">
        <f>SUMIF(月間集計シート!$M$71:$M$90,$G545,月間集計シート!P$71:P$90)*Z$2</f>
        <v>0</v>
      </c>
      <c r="AA545" s="88">
        <f>SUMIF(月間集計シート!$M$71:$M$90,$G545,月間集計シート!Q$71:Q$90)*AA$2</f>
        <v>0</v>
      </c>
      <c r="AB545" s="88">
        <f>SUMIF(月間集計シート!$M$71:$M$90,$G545,月間集計シート!R$71:R$90)*AB$2</f>
        <v>0</v>
      </c>
      <c r="AC545" s="88">
        <f>SUMIF(月間集計シート!$M$71:$M$90,$G545,月間集計シート!S$71:S$90)*AC$2</f>
        <v>0</v>
      </c>
      <c r="AD545" s="88">
        <f>SUMIF(月間集計シート!$M$71:$M$90,$G545,月間集計シート!T$71:T$90)*AD$2</f>
        <v>0</v>
      </c>
      <c r="AE545" s="88">
        <f>SUMIF(月間集計シート!$M$92:$M$111,$G545,月間集計シート!N$92:N$111)*AE$2</f>
        <v>0</v>
      </c>
      <c r="AF545" s="88">
        <f>SUMIF(月間集計シート!$M$92:$M$111,$G545,月間集計シート!O$92:O$111)*AF$2</f>
        <v>0</v>
      </c>
      <c r="AG545" s="88">
        <f>SUMIF(月間集計シート!$M$92:$M$111,$G545,月間集計シート!P$92:P$111)*AG$2</f>
        <v>0</v>
      </c>
      <c r="AH545" s="88">
        <f>SUMIF(月間集計シート!$M$92:$M$111,$G545,月間集計シート!Q$92:Q$111)*AH$2</f>
        <v>0</v>
      </c>
      <c r="AI545" s="88">
        <f>SUMIF(月間集計シート!$M$92:$M$111,$G545,月間集計シート!R$92:R$111)*AI$2</f>
        <v>0</v>
      </c>
      <c r="AJ545" s="88">
        <f>SUMIF(月間集計シート!$M$92:$M$111,$G545,月間集計シート!S$92:S$111)*AJ$2</f>
        <v>0</v>
      </c>
      <c r="AK545" s="88">
        <f>SUMIF(月間集計シート!$M$92:$M$111,$G545,月間集計シート!T$92:T$111)*AK$2</f>
        <v>0</v>
      </c>
      <c r="AL545" s="88">
        <f>SUMIF(月間集計シート!$M$113:$M$132,$G545,月間集計シート!N$113:N$132)*AL$2</f>
        <v>0</v>
      </c>
      <c r="AM545" s="88">
        <f>SUMIF(月間集計シート!$M$113:$M$132,$G545,月間集計シート!O$113:O$132)*AM$2</f>
        <v>0</v>
      </c>
      <c r="AN545" s="88">
        <f>SUMIF(月間集計シート!$M$113:$M$132,$G545,月間集計シート!P$113:P$132)*AN$2</f>
        <v>0</v>
      </c>
      <c r="AO545" s="88">
        <f>SUMIF(月間集計シート!$M$113:$M$132,$G545,月間集計シート!Q$113:Q$132)*AO$2</f>
        <v>0</v>
      </c>
      <c r="AP545" s="88">
        <f>SUMIF(月間集計シート!$M$113:$M$132,$G545,月間集計シート!R$113:R$132)*AP$2</f>
        <v>0</v>
      </c>
      <c r="AQ545" s="88">
        <f>SUMIF(月間集計シート!$M$113:$M$132,$G545,月間集計シート!S$113:S$132)*AQ$2</f>
        <v>0</v>
      </c>
      <c r="AR545" s="88">
        <f>SUMIF(月間集計シート!$M$113:$M$132,$G545,月間集計シート!T$113:T$132)*AR$2</f>
        <v>0</v>
      </c>
      <c r="AS545" s="88">
        <f>SUMIF(月間集計シート!$M$134:$M$153,$G545,月間集計シート!N$134:N$153)*AS$2</f>
        <v>0</v>
      </c>
      <c r="AT545" s="88">
        <f>SUMIF(月間集計シート!$M$134:$M$153,$G545,月間集計シート!O$134:O$153)*AT$2</f>
        <v>0</v>
      </c>
      <c r="AU545" s="88">
        <f>SUMIF(月間集計シート!$M$134:$M$153,$G545,月間集計シート!P$134:P$153)*AU$2</f>
        <v>0</v>
      </c>
      <c r="AV545" s="88">
        <f>SUMIF(月間集計シート!$M$134:$M$153,$G545,月間集計シート!Q$134:Q$153)*AV$2</f>
        <v>0</v>
      </c>
      <c r="AW545" s="88">
        <f>SUMIF(月間集計シート!$M$134:$M$153,$G545,月間集計シート!R$134:R$153)*AW$2</f>
        <v>0</v>
      </c>
      <c r="AX545" s="88">
        <f>SUMIF(月間集計シート!$M$134:$M$153,$G545,月間集計シート!S$134:S$153)*AX$2</f>
        <v>0</v>
      </c>
      <c r="AY545" s="88">
        <f>SUMIF(月間集計シート!$M$134:$M$153,$G545,月間集計シート!T$134:T$153)*AY$2</f>
        <v>0</v>
      </c>
    </row>
    <row r="546" spans="1:51" ht="14.25" thickBot="1">
      <c r="A546">
        <v>7</v>
      </c>
      <c r="B546" s="120">
        <f t="shared" si="251"/>
        <v>0</v>
      </c>
      <c r="C546" s="120" t="str">
        <f t="shared" si="252"/>
        <v/>
      </c>
      <c r="D546" s="137"/>
      <c r="E546" s="150" t="str">
        <f>工種!A28</f>
        <v>40106</v>
      </c>
      <c r="F546" s="119" t="str">
        <f>工種!B28</f>
        <v>テスト：総合評価設計書作成</v>
      </c>
      <c r="G546" s="116" t="str">
        <f t="shared" si="253"/>
        <v>040106</v>
      </c>
      <c r="H546" s="88">
        <f t="shared" si="247"/>
        <v>0</v>
      </c>
      <c r="I546" s="132"/>
      <c r="J546" s="88">
        <f>SUMIF(月間集計シート!$M$29:$M$48,$G546,月間集計シート!N$29:N$48)*J$2</f>
        <v>0</v>
      </c>
      <c r="K546" s="88">
        <f>SUMIF(月間集計シート!$M$29:$M$48,$G546,月間集計シート!O$29:O$48)*K$2</f>
        <v>0</v>
      </c>
      <c r="L546" s="88">
        <f>SUMIF(月間集計シート!$M$29:$M$48,$G546,月間集計シート!P$29:P$48)*L$2</f>
        <v>0</v>
      </c>
      <c r="M546" s="88">
        <f>SUMIF(月間集計シート!$M$29:$M$48,$G546,月間集計シート!Q$29:Q$48)*M$2</f>
        <v>0</v>
      </c>
      <c r="N546" s="88">
        <f>SUMIF(月間集計シート!$M$29:$M$48,$G546,月間集計シート!R$29:R$48)*N$2</f>
        <v>0</v>
      </c>
      <c r="O546" s="88">
        <f>SUMIF(月間集計シート!$M$29:$M$48,$G546,月間集計シート!S$29:S$48)*O$2</f>
        <v>0</v>
      </c>
      <c r="P546" s="88">
        <f>SUMIF(月間集計シート!$M$29:$M$48,$G546,月間集計シート!T$29:T$48)*P$2</f>
        <v>0</v>
      </c>
      <c r="Q546" s="88">
        <f>SUMIF(月間集計シート!$M$50:$M$69,$G546,月間集計シート!N$50:N$69)*Q$2</f>
        <v>0</v>
      </c>
      <c r="R546" s="88">
        <f>SUMIF(月間集計シート!$M$50:$M$69,$G546,月間集計シート!O$50:O$69)*R$2</f>
        <v>0</v>
      </c>
      <c r="S546" s="88">
        <f>SUMIF(月間集計シート!$M$50:$M$69,$G546,月間集計シート!P$50:P$69)*S$2</f>
        <v>0</v>
      </c>
      <c r="T546" s="88">
        <f>SUMIF(月間集計シート!$M$50:$M$69,$G546,月間集計シート!Q$50:Q$69)*T$2</f>
        <v>0</v>
      </c>
      <c r="U546" s="88">
        <f>SUMIF(月間集計シート!$M$50:$M$69,$G546,月間集計シート!R$50:R$69)*U$2</f>
        <v>0</v>
      </c>
      <c r="V546" s="88">
        <f>SUMIF(月間集計シート!$M$50:$M$69,$G546,月間集計シート!S$50:S$69)*V$2</f>
        <v>0</v>
      </c>
      <c r="W546" s="88">
        <f>SUMIF(月間集計シート!$M$50:$M$69,$G546,月間集計シート!T$50:T$69)*W$2</f>
        <v>0</v>
      </c>
      <c r="X546" s="88">
        <f>SUMIF(月間集計シート!$M$71:$M$90,$G546,月間集計シート!N$71:N$90)*X$2</f>
        <v>0</v>
      </c>
      <c r="Y546" s="88">
        <f>SUMIF(月間集計シート!$M$71:$M$90,$G546,月間集計シート!O$71:O$90)*Y$2</f>
        <v>0</v>
      </c>
      <c r="Z546" s="88">
        <f>SUMIF(月間集計シート!$M$71:$M$90,$G546,月間集計シート!P$71:P$90)*Z$2</f>
        <v>0</v>
      </c>
      <c r="AA546" s="88">
        <f>SUMIF(月間集計シート!$M$71:$M$90,$G546,月間集計シート!Q$71:Q$90)*AA$2</f>
        <v>0</v>
      </c>
      <c r="AB546" s="88">
        <f>SUMIF(月間集計シート!$M$71:$M$90,$G546,月間集計シート!R$71:R$90)*AB$2</f>
        <v>0</v>
      </c>
      <c r="AC546" s="88">
        <f>SUMIF(月間集計シート!$M$71:$M$90,$G546,月間集計シート!S$71:S$90)*AC$2</f>
        <v>0</v>
      </c>
      <c r="AD546" s="88">
        <f>SUMIF(月間集計シート!$M$71:$M$90,$G546,月間集計シート!T$71:T$90)*AD$2</f>
        <v>0</v>
      </c>
      <c r="AE546" s="88">
        <f>SUMIF(月間集計シート!$M$92:$M$111,$G546,月間集計シート!N$92:N$111)*AE$2</f>
        <v>0</v>
      </c>
      <c r="AF546" s="88">
        <f>SUMIF(月間集計シート!$M$92:$M$111,$G546,月間集計シート!O$92:O$111)*AF$2</f>
        <v>0</v>
      </c>
      <c r="AG546" s="88">
        <f>SUMIF(月間集計シート!$M$92:$M$111,$G546,月間集計シート!P$92:P$111)*AG$2</f>
        <v>0</v>
      </c>
      <c r="AH546" s="88">
        <f>SUMIF(月間集計シート!$M$92:$M$111,$G546,月間集計シート!Q$92:Q$111)*AH$2</f>
        <v>0</v>
      </c>
      <c r="AI546" s="88">
        <f>SUMIF(月間集計シート!$M$92:$M$111,$G546,月間集計シート!R$92:R$111)*AI$2</f>
        <v>0</v>
      </c>
      <c r="AJ546" s="88">
        <f>SUMIF(月間集計シート!$M$92:$M$111,$G546,月間集計シート!S$92:S$111)*AJ$2</f>
        <v>0</v>
      </c>
      <c r="AK546" s="88">
        <f>SUMIF(月間集計シート!$M$92:$M$111,$G546,月間集計シート!T$92:T$111)*AK$2</f>
        <v>0</v>
      </c>
      <c r="AL546" s="88">
        <f>SUMIF(月間集計シート!$M$113:$M$132,$G546,月間集計シート!N$113:N$132)*AL$2</f>
        <v>0</v>
      </c>
      <c r="AM546" s="88">
        <f>SUMIF(月間集計シート!$M$113:$M$132,$G546,月間集計シート!O$113:O$132)*AM$2</f>
        <v>0</v>
      </c>
      <c r="AN546" s="88">
        <f>SUMIF(月間集計シート!$M$113:$M$132,$G546,月間集計シート!P$113:P$132)*AN$2</f>
        <v>0</v>
      </c>
      <c r="AO546" s="88">
        <f>SUMIF(月間集計シート!$M$113:$M$132,$G546,月間集計シート!Q$113:Q$132)*AO$2</f>
        <v>0</v>
      </c>
      <c r="AP546" s="88">
        <f>SUMIF(月間集計シート!$M$113:$M$132,$G546,月間集計シート!R$113:R$132)*AP$2</f>
        <v>0</v>
      </c>
      <c r="AQ546" s="88">
        <f>SUMIF(月間集計シート!$M$113:$M$132,$G546,月間集計シート!S$113:S$132)*AQ$2</f>
        <v>0</v>
      </c>
      <c r="AR546" s="88">
        <f>SUMIF(月間集計シート!$M$113:$M$132,$G546,月間集計シート!T$113:T$132)*AR$2</f>
        <v>0</v>
      </c>
      <c r="AS546" s="88">
        <f>SUMIF(月間集計シート!$M$134:$M$153,$G546,月間集計シート!N$134:N$153)*AS$2</f>
        <v>0</v>
      </c>
      <c r="AT546" s="88">
        <f>SUMIF(月間集計シート!$M$134:$M$153,$G546,月間集計シート!O$134:O$153)*AT$2</f>
        <v>0</v>
      </c>
      <c r="AU546" s="88">
        <f>SUMIF(月間集計シート!$M$134:$M$153,$G546,月間集計シート!P$134:P$153)*AU$2</f>
        <v>0</v>
      </c>
      <c r="AV546" s="88">
        <f>SUMIF(月間集計シート!$M$134:$M$153,$G546,月間集計シート!Q$134:Q$153)*AV$2</f>
        <v>0</v>
      </c>
      <c r="AW546" s="88">
        <f>SUMIF(月間集計シート!$M$134:$M$153,$G546,月間集計シート!R$134:R$153)*AW$2</f>
        <v>0</v>
      </c>
      <c r="AX546" s="88">
        <f>SUMIF(月間集計シート!$M$134:$M$153,$G546,月間集計シート!S$134:S$153)*AX$2</f>
        <v>0</v>
      </c>
      <c r="AY546" s="88">
        <f>SUMIF(月間集計シート!$M$134:$M$153,$G546,月間集計シート!T$134:T$153)*AY$2</f>
        <v>0</v>
      </c>
    </row>
    <row r="547" spans="1:51" ht="14.25" thickBot="1">
      <c r="A547">
        <v>7</v>
      </c>
      <c r="B547" s="120">
        <f t="shared" si="251"/>
        <v>0</v>
      </c>
      <c r="C547" s="120" t="str">
        <f t="shared" si="252"/>
        <v/>
      </c>
      <c r="D547" s="137"/>
      <c r="E547" s="150" t="str">
        <f>工種!A29</f>
        <v>40107</v>
      </c>
      <c r="F547" s="119" t="str">
        <f>工種!B29</f>
        <v>テスト：評価報告書作成</v>
      </c>
      <c r="G547" s="116" t="str">
        <f t="shared" si="253"/>
        <v>040107</v>
      </c>
      <c r="H547" s="88">
        <f t="shared" si="247"/>
        <v>0</v>
      </c>
      <c r="I547" s="132"/>
      <c r="J547" s="88">
        <f>SUMIF(月間集計シート!$M$29:$M$48,$G547,月間集計シート!N$29:N$48)*J$2</f>
        <v>0</v>
      </c>
      <c r="K547" s="88">
        <f>SUMIF(月間集計シート!$M$29:$M$48,$G547,月間集計シート!O$29:O$48)*K$2</f>
        <v>0</v>
      </c>
      <c r="L547" s="88">
        <f>SUMIF(月間集計シート!$M$29:$M$48,$G547,月間集計シート!P$29:P$48)*L$2</f>
        <v>0</v>
      </c>
      <c r="M547" s="88">
        <f>SUMIF(月間集計シート!$M$29:$M$48,$G547,月間集計シート!Q$29:Q$48)*M$2</f>
        <v>0</v>
      </c>
      <c r="N547" s="88">
        <f>SUMIF(月間集計シート!$M$29:$M$48,$G547,月間集計シート!R$29:R$48)*N$2</f>
        <v>0</v>
      </c>
      <c r="O547" s="88">
        <f>SUMIF(月間集計シート!$M$29:$M$48,$G547,月間集計シート!S$29:S$48)*O$2</f>
        <v>0</v>
      </c>
      <c r="P547" s="88">
        <f>SUMIF(月間集計シート!$M$29:$M$48,$G547,月間集計シート!T$29:T$48)*P$2</f>
        <v>0</v>
      </c>
      <c r="Q547" s="88">
        <f>SUMIF(月間集計シート!$M$50:$M$69,$G547,月間集計シート!N$50:N$69)*Q$2</f>
        <v>0</v>
      </c>
      <c r="R547" s="88">
        <f>SUMIF(月間集計シート!$M$50:$M$69,$G547,月間集計シート!O$50:O$69)*R$2</f>
        <v>0</v>
      </c>
      <c r="S547" s="88">
        <f>SUMIF(月間集計シート!$M$50:$M$69,$G547,月間集計シート!P$50:P$69)*S$2</f>
        <v>0</v>
      </c>
      <c r="T547" s="88">
        <f>SUMIF(月間集計シート!$M$50:$M$69,$G547,月間集計シート!Q$50:Q$69)*T$2</f>
        <v>0</v>
      </c>
      <c r="U547" s="88">
        <f>SUMIF(月間集計シート!$M$50:$M$69,$G547,月間集計シート!R$50:R$69)*U$2</f>
        <v>0</v>
      </c>
      <c r="V547" s="88">
        <f>SUMIF(月間集計シート!$M$50:$M$69,$G547,月間集計シート!S$50:S$69)*V$2</f>
        <v>0</v>
      </c>
      <c r="W547" s="88">
        <f>SUMIF(月間集計シート!$M$50:$M$69,$G547,月間集計シート!T$50:T$69)*W$2</f>
        <v>0</v>
      </c>
      <c r="X547" s="88">
        <f>SUMIF(月間集計シート!$M$71:$M$90,$G547,月間集計シート!N$71:N$90)*X$2</f>
        <v>0</v>
      </c>
      <c r="Y547" s="88">
        <f>SUMIF(月間集計シート!$M$71:$M$90,$G547,月間集計シート!O$71:O$90)*Y$2</f>
        <v>0</v>
      </c>
      <c r="Z547" s="88">
        <f>SUMIF(月間集計シート!$M$71:$M$90,$G547,月間集計シート!P$71:P$90)*Z$2</f>
        <v>0</v>
      </c>
      <c r="AA547" s="88">
        <f>SUMIF(月間集計シート!$M$71:$M$90,$G547,月間集計シート!Q$71:Q$90)*AA$2</f>
        <v>0</v>
      </c>
      <c r="AB547" s="88">
        <f>SUMIF(月間集計シート!$M$71:$M$90,$G547,月間集計シート!R$71:R$90)*AB$2</f>
        <v>0</v>
      </c>
      <c r="AC547" s="88">
        <f>SUMIF(月間集計シート!$M$71:$M$90,$G547,月間集計シート!S$71:S$90)*AC$2</f>
        <v>0</v>
      </c>
      <c r="AD547" s="88">
        <f>SUMIF(月間集計シート!$M$71:$M$90,$G547,月間集計シート!T$71:T$90)*AD$2</f>
        <v>0</v>
      </c>
      <c r="AE547" s="88">
        <f>SUMIF(月間集計シート!$M$92:$M$111,$G547,月間集計シート!N$92:N$111)*AE$2</f>
        <v>0</v>
      </c>
      <c r="AF547" s="88">
        <f>SUMIF(月間集計シート!$M$92:$M$111,$G547,月間集計シート!O$92:O$111)*AF$2</f>
        <v>0</v>
      </c>
      <c r="AG547" s="88">
        <f>SUMIF(月間集計シート!$M$92:$M$111,$G547,月間集計シート!P$92:P$111)*AG$2</f>
        <v>0</v>
      </c>
      <c r="AH547" s="88">
        <f>SUMIF(月間集計シート!$M$92:$M$111,$G547,月間集計シート!Q$92:Q$111)*AH$2</f>
        <v>0</v>
      </c>
      <c r="AI547" s="88">
        <f>SUMIF(月間集計シート!$M$92:$M$111,$G547,月間集計シート!R$92:R$111)*AI$2</f>
        <v>0</v>
      </c>
      <c r="AJ547" s="88">
        <f>SUMIF(月間集計シート!$M$92:$M$111,$G547,月間集計シート!S$92:S$111)*AJ$2</f>
        <v>0</v>
      </c>
      <c r="AK547" s="88">
        <f>SUMIF(月間集計シート!$M$92:$M$111,$G547,月間集計シート!T$92:T$111)*AK$2</f>
        <v>0</v>
      </c>
      <c r="AL547" s="88">
        <f>SUMIF(月間集計シート!$M$113:$M$132,$G547,月間集計シート!N$113:N$132)*AL$2</f>
        <v>0</v>
      </c>
      <c r="AM547" s="88">
        <f>SUMIF(月間集計シート!$M$113:$M$132,$G547,月間集計シート!O$113:O$132)*AM$2</f>
        <v>0</v>
      </c>
      <c r="AN547" s="88">
        <f>SUMIF(月間集計シート!$M$113:$M$132,$G547,月間集計シート!P$113:P$132)*AN$2</f>
        <v>0</v>
      </c>
      <c r="AO547" s="88">
        <f>SUMIF(月間集計シート!$M$113:$M$132,$G547,月間集計シート!Q$113:Q$132)*AO$2</f>
        <v>0</v>
      </c>
      <c r="AP547" s="88">
        <f>SUMIF(月間集計シート!$M$113:$M$132,$G547,月間集計シート!R$113:R$132)*AP$2</f>
        <v>0</v>
      </c>
      <c r="AQ547" s="88">
        <f>SUMIF(月間集計シート!$M$113:$M$132,$G547,月間集計シート!S$113:S$132)*AQ$2</f>
        <v>0</v>
      </c>
      <c r="AR547" s="88">
        <f>SUMIF(月間集計シート!$M$113:$M$132,$G547,月間集計シート!T$113:T$132)*AR$2</f>
        <v>0</v>
      </c>
      <c r="AS547" s="88">
        <f>SUMIF(月間集計シート!$M$134:$M$153,$G547,月間集計シート!N$134:N$153)*AS$2</f>
        <v>0</v>
      </c>
      <c r="AT547" s="88">
        <f>SUMIF(月間集計シート!$M$134:$M$153,$G547,月間集計シート!O$134:O$153)*AT$2</f>
        <v>0</v>
      </c>
      <c r="AU547" s="88">
        <f>SUMIF(月間集計シート!$M$134:$M$153,$G547,月間集計シート!P$134:P$153)*AU$2</f>
        <v>0</v>
      </c>
      <c r="AV547" s="88">
        <f>SUMIF(月間集計シート!$M$134:$M$153,$G547,月間集計シート!Q$134:Q$153)*AV$2</f>
        <v>0</v>
      </c>
      <c r="AW547" s="88">
        <f>SUMIF(月間集計シート!$M$134:$M$153,$G547,月間集計シート!R$134:R$153)*AW$2</f>
        <v>0</v>
      </c>
      <c r="AX547" s="88">
        <f>SUMIF(月間集計シート!$M$134:$M$153,$G547,月間集計シート!S$134:S$153)*AX$2</f>
        <v>0</v>
      </c>
      <c r="AY547" s="88">
        <f>SUMIF(月間集計シート!$M$134:$M$153,$G547,月間集計シート!T$134:T$153)*AY$2</f>
        <v>0</v>
      </c>
    </row>
    <row r="548" spans="1:51" ht="14.25" thickBot="1">
      <c r="A548">
        <v>7</v>
      </c>
      <c r="B548" s="120">
        <f t="shared" si="251"/>
        <v>0</v>
      </c>
      <c r="C548" s="120" t="str">
        <f t="shared" si="252"/>
        <v/>
      </c>
      <c r="D548" s="137"/>
      <c r="E548" s="150" t="str">
        <f>工種!A30</f>
        <v>40108</v>
      </c>
      <c r="F548" s="119" t="str">
        <f>工種!B30</f>
        <v>テスト：総合評価実施</v>
      </c>
      <c r="G548" s="116" t="str">
        <f t="shared" si="253"/>
        <v>040108</v>
      </c>
      <c r="H548" s="88">
        <f t="shared" si="247"/>
        <v>0</v>
      </c>
      <c r="I548" s="132"/>
      <c r="J548" s="88">
        <f>SUMIF(月間集計シート!$M$29:$M$48,$G548,月間集計シート!N$29:N$48)*J$2</f>
        <v>0</v>
      </c>
      <c r="K548" s="88">
        <f>SUMIF(月間集計シート!$M$29:$M$48,$G548,月間集計シート!O$29:O$48)*K$2</f>
        <v>0</v>
      </c>
      <c r="L548" s="88">
        <f>SUMIF(月間集計シート!$M$29:$M$48,$G548,月間集計シート!P$29:P$48)*L$2</f>
        <v>0</v>
      </c>
      <c r="M548" s="88">
        <f>SUMIF(月間集計シート!$M$29:$M$48,$G548,月間集計シート!Q$29:Q$48)*M$2</f>
        <v>0</v>
      </c>
      <c r="N548" s="88">
        <f>SUMIF(月間集計シート!$M$29:$M$48,$G548,月間集計シート!R$29:R$48)*N$2</f>
        <v>0</v>
      </c>
      <c r="O548" s="88">
        <f>SUMIF(月間集計シート!$M$29:$M$48,$G548,月間集計シート!S$29:S$48)*O$2</f>
        <v>0</v>
      </c>
      <c r="P548" s="88">
        <f>SUMIF(月間集計シート!$M$29:$M$48,$G548,月間集計シート!T$29:T$48)*P$2</f>
        <v>0</v>
      </c>
      <c r="Q548" s="88">
        <f>SUMIF(月間集計シート!$M$50:$M$69,$G548,月間集計シート!N$50:N$69)*Q$2</f>
        <v>0</v>
      </c>
      <c r="R548" s="88">
        <f>SUMIF(月間集計シート!$M$50:$M$69,$G548,月間集計シート!O$50:O$69)*R$2</f>
        <v>0</v>
      </c>
      <c r="S548" s="88">
        <f>SUMIF(月間集計シート!$M$50:$M$69,$G548,月間集計シート!P$50:P$69)*S$2</f>
        <v>0</v>
      </c>
      <c r="T548" s="88">
        <f>SUMIF(月間集計シート!$M$50:$M$69,$G548,月間集計シート!Q$50:Q$69)*T$2</f>
        <v>0</v>
      </c>
      <c r="U548" s="88">
        <f>SUMIF(月間集計シート!$M$50:$M$69,$G548,月間集計シート!R$50:R$69)*U$2</f>
        <v>0</v>
      </c>
      <c r="V548" s="88">
        <f>SUMIF(月間集計シート!$M$50:$M$69,$G548,月間集計シート!S$50:S$69)*V$2</f>
        <v>0</v>
      </c>
      <c r="W548" s="88">
        <f>SUMIF(月間集計シート!$M$50:$M$69,$G548,月間集計シート!T$50:T$69)*W$2</f>
        <v>0</v>
      </c>
      <c r="X548" s="88">
        <f>SUMIF(月間集計シート!$M$71:$M$90,$G548,月間集計シート!N$71:N$90)*X$2</f>
        <v>0</v>
      </c>
      <c r="Y548" s="88">
        <f>SUMIF(月間集計シート!$M$71:$M$90,$G548,月間集計シート!O$71:O$90)*Y$2</f>
        <v>0</v>
      </c>
      <c r="Z548" s="88">
        <f>SUMIF(月間集計シート!$M$71:$M$90,$G548,月間集計シート!P$71:P$90)*Z$2</f>
        <v>0</v>
      </c>
      <c r="AA548" s="88">
        <f>SUMIF(月間集計シート!$M$71:$M$90,$G548,月間集計シート!Q$71:Q$90)*AA$2</f>
        <v>0</v>
      </c>
      <c r="AB548" s="88">
        <f>SUMIF(月間集計シート!$M$71:$M$90,$G548,月間集計シート!R$71:R$90)*AB$2</f>
        <v>0</v>
      </c>
      <c r="AC548" s="88">
        <f>SUMIF(月間集計シート!$M$71:$M$90,$G548,月間集計シート!S$71:S$90)*AC$2</f>
        <v>0</v>
      </c>
      <c r="AD548" s="88">
        <f>SUMIF(月間集計シート!$M$71:$M$90,$G548,月間集計シート!T$71:T$90)*AD$2</f>
        <v>0</v>
      </c>
      <c r="AE548" s="88">
        <f>SUMIF(月間集計シート!$M$92:$M$111,$G548,月間集計シート!N$92:N$111)*AE$2</f>
        <v>0</v>
      </c>
      <c r="AF548" s="88">
        <f>SUMIF(月間集計シート!$M$92:$M$111,$G548,月間集計シート!O$92:O$111)*AF$2</f>
        <v>0</v>
      </c>
      <c r="AG548" s="88">
        <f>SUMIF(月間集計シート!$M$92:$M$111,$G548,月間集計シート!P$92:P$111)*AG$2</f>
        <v>0</v>
      </c>
      <c r="AH548" s="88">
        <f>SUMIF(月間集計シート!$M$92:$M$111,$G548,月間集計シート!Q$92:Q$111)*AH$2</f>
        <v>0</v>
      </c>
      <c r="AI548" s="88">
        <f>SUMIF(月間集計シート!$M$92:$M$111,$G548,月間集計シート!R$92:R$111)*AI$2</f>
        <v>0</v>
      </c>
      <c r="AJ548" s="88">
        <f>SUMIF(月間集計シート!$M$92:$M$111,$G548,月間集計シート!S$92:S$111)*AJ$2</f>
        <v>0</v>
      </c>
      <c r="AK548" s="88">
        <f>SUMIF(月間集計シート!$M$92:$M$111,$G548,月間集計シート!T$92:T$111)*AK$2</f>
        <v>0</v>
      </c>
      <c r="AL548" s="88">
        <f>SUMIF(月間集計シート!$M$113:$M$132,$G548,月間集計シート!N$113:N$132)*AL$2</f>
        <v>0</v>
      </c>
      <c r="AM548" s="88">
        <f>SUMIF(月間集計シート!$M$113:$M$132,$G548,月間集計シート!O$113:O$132)*AM$2</f>
        <v>0</v>
      </c>
      <c r="AN548" s="88">
        <f>SUMIF(月間集計シート!$M$113:$M$132,$G548,月間集計シート!P$113:P$132)*AN$2</f>
        <v>0</v>
      </c>
      <c r="AO548" s="88">
        <f>SUMIF(月間集計シート!$M$113:$M$132,$G548,月間集計シート!Q$113:Q$132)*AO$2</f>
        <v>0</v>
      </c>
      <c r="AP548" s="88">
        <f>SUMIF(月間集計シート!$M$113:$M$132,$G548,月間集計シート!R$113:R$132)*AP$2</f>
        <v>0</v>
      </c>
      <c r="AQ548" s="88">
        <f>SUMIF(月間集計シート!$M$113:$M$132,$G548,月間集計シート!S$113:S$132)*AQ$2</f>
        <v>0</v>
      </c>
      <c r="AR548" s="88">
        <f>SUMIF(月間集計シート!$M$113:$M$132,$G548,月間集計シート!T$113:T$132)*AR$2</f>
        <v>0</v>
      </c>
      <c r="AS548" s="88">
        <f>SUMIF(月間集計シート!$M$134:$M$153,$G548,月間集計シート!N$134:N$153)*AS$2</f>
        <v>0</v>
      </c>
      <c r="AT548" s="88">
        <f>SUMIF(月間集計シート!$M$134:$M$153,$G548,月間集計シート!O$134:O$153)*AT$2</f>
        <v>0</v>
      </c>
      <c r="AU548" s="88">
        <f>SUMIF(月間集計シート!$M$134:$M$153,$G548,月間集計シート!P$134:P$153)*AU$2</f>
        <v>0</v>
      </c>
      <c r="AV548" s="88">
        <f>SUMIF(月間集計シート!$M$134:$M$153,$G548,月間集計シート!Q$134:Q$153)*AV$2</f>
        <v>0</v>
      </c>
      <c r="AW548" s="88">
        <f>SUMIF(月間集計シート!$M$134:$M$153,$G548,月間集計シート!R$134:R$153)*AW$2</f>
        <v>0</v>
      </c>
      <c r="AX548" s="88">
        <f>SUMIF(月間集計シート!$M$134:$M$153,$G548,月間集計シート!S$134:S$153)*AX$2</f>
        <v>0</v>
      </c>
      <c r="AY548" s="88">
        <f>SUMIF(月間集計シート!$M$134:$M$153,$G548,月間集計シート!T$134:T$153)*AY$2</f>
        <v>0</v>
      </c>
    </row>
    <row r="549" spans="1:51" ht="14.25" thickBot="1">
      <c r="A549">
        <v>7</v>
      </c>
      <c r="B549" s="120">
        <f t="shared" si="251"/>
        <v>0</v>
      </c>
      <c r="C549" s="120" t="str">
        <f t="shared" si="252"/>
        <v/>
      </c>
      <c r="D549" s="137"/>
      <c r="E549" s="150" t="str">
        <f>工種!A31</f>
        <v>40109</v>
      </c>
      <c r="F549" s="119" t="str">
        <f>工種!B31</f>
        <v>テスト：打合せ</v>
      </c>
      <c r="G549" s="116" t="str">
        <f t="shared" si="253"/>
        <v>040109</v>
      </c>
      <c r="H549" s="88">
        <f t="shared" si="247"/>
        <v>0</v>
      </c>
      <c r="I549" s="132"/>
      <c r="J549" s="88">
        <f>SUMIF(月間集計シート!$M$29:$M$48,$G549,月間集計シート!N$29:N$48)*J$2</f>
        <v>0</v>
      </c>
      <c r="K549" s="88">
        <f>SUMIF(月間集計シート!$M$29:$M$48,$G549,月間集計シート!O$29:O$48)*K$2</f>
        <v>0</v>
      </c>
      <c r="L549" s="88">
        <f>SUMIF(月間集計シート!$M$29:$M$48,$G549,月間集計シート!P$29:P$48)*L$2</f>
        <v>0</v>
      </c>
      <c r="M549" s="88">
        <f>SUMIF(月間集計シート!$M$29:$M$48,$G549,月間集計シート!Q$29:Q$48)*M$2</f>
        <v>0</v>
      </c>
      <c r="N549" s="88">
        <f>SUMIF(月間集計シート!$M$29:$M$48,$G549,月間集計シート!R$29:R$48)*N$2</f>
        <v>0</v>
      </c>
      <c r="O549" s="88">
        <f>SUMIF(月間集計シート!$M$29:$M$48,$G549,月間集計シート!S$29:S$48)*O$2</f>
        <v>0</v>
      </c>
      <c r="P549" s="88">
        <f>SUMIF(月間集計シート!$M$29:$M$48,$G549,月間集計シート!T$29:T$48)*P$2</f>
        <v>0</v>
      </c>
      <c r="Q549" s="88">
        <f>SUMIF(月間集計シート!$M$50:$M$69,$G549,月間集計シート!N$50:N$69)*Q$2</f>
        <v>0</v>
      </c>
      <c r="R549" s="88">
        <f>SUMIF(月間集計シート!$M$50:$M$69,$G549,月間集計シート!O$50:O$69)*R$2</f>
        <v>0</v>
      </c>
      <c r="S549" s="88">
        <f>SUMIF(月間集計シート!$M$50:$M$69,$G549,月間集計シート!P$50:P$69)*S$2</f>
        <v>0</v>
      </c>
      <c r="T549" s="88">
        <f>SUMIF(月間集計シート!$M$50:$M$69,$G549,月間集計シート!Q$50:Q$69)*T$2</f>
        <v>0</v>
      </c>
      <c r="U549" s="88">
        <f>SUMIF(月間集計シート!$M$50:$M$69,$G549,月間集計シート!R$50:R$69)*U$2</f>
        <v>0</v>
      </c>
      <c r="V549" s="88">
        <f>SUMIF(月間集計シート!$M$50:$M$69,$G549,月間集計シート!S$50:S$69)*V$2</f>
        <v>0</v>
      </c>
      <c r="W549" s="88">
        <f>SUMIF(月間集計シート!$M$50:$M$69,$G549,月間集計シート!T$50:T$69)*W$2</f>
        <v>0</v>
      </c>
      <c r="X549" s="88">
        <f>SUMIF(月間集計シート!$M$71:$M$90,$G549,月間集計シート!N$71:N$90)*X$2</f>
        <v>0</v>
      </c>
      <c r="Y549" s="88">
        <f>SUMIF(月間集計シート!$M$71:$M$90,$G549,月間集計シート!O$71:O$90)*Y$2</f>
        <v>0</v>
      </c>
      <c r="Z549" s="88">
        <f>SUMIF(月間集計シート!$M$71:$M$90,$G549,月間集計シート!P$71:P$90)*Z$2</f>
        <v>0</v>
      </c>
      <c r="AA549" s="88">
        <f>SUMIF(月間集計シート!$M$71:$M$90,$G549,月間集計シート!Q$71:Q$90)*AA$2</f>
        <v>0</v>
      </c>
      <c r="AB549" s="88">
        <f>SUMIF(月間集計シート!$M$71:$M$90,$G549,月間集計シート!R$71:R$90)*AB$2</f>
        <v>0</v>
      </c>
      <c r="AC549" s="88">
        <f>SUMIF(月間集計シート!$M$71:$M$90,$G549,月間集計シート!S$71:S$90)*AC$2</f>
        <v>0</v>
      </c>
      <c r="AD549" s="88">
        <f>SUMIF(月間集計シート!$M$71:$M$90,$G549,月間集計シート!T$71:T$90)*AD$2</f>
        <v>0</v>
      </c>
      <c r="AE549" s="88">
        <f>SUMIF(月間集計シート!$M$92:$M$111,$G549,月間集計シート!N$92:N$111)*AE$2</f>
        <v>0</v>
      </c>
      <c r="AF549" s="88">
        <f>SUMIF(月間集計シート!$M$92:$M$111,$G549,月間集計シート!O$92:O$111)*AF$2</f>
        <v>0</v>
      </c>
      <c r="AG549" s="88">
        <f>SUMIF(月間集計シート!$M$92:$M$111,$G549,月間集計シート!P$92:P$111)*AG$2</f>
        <v>0</v>
      </c>
      <c r="AH549" s="88">
        <f>SUMIF(月間集計シート!$M$92:$M$111,$G549,月間集計シート!Q$92:Q$111)*AH$2</f>
        <v>0</v>
      </c>
      <c r="AI549" s="88">
        <f>SUMIF(月間集計シート!$M$92:$M$111,$G549,月間集計シート!R$92:R$111)*AI$2</f>
        <v>0</v>
      </c>
      <c r="AJ549" s="88">
        <f>SUMIF(月間集計シート!$M$92:$M$111,$G549,月間集計シート!S$92:S$111)*AJ$2</f>
        <v>0</v>
      </c>
      <c r="AK549" s="88">
        <f>SUMIF(月間集計シート!$M$92:$M$111,$G549,月間集計シート!T$92:T$111)*AK$2</f>
        <v>0</v>
      </c>
      <c r="AL549" s="88">
        <f>SUMIF(月間集計シート!$M$113:$M$132,$G549,月間集計シート!N$113:N$132)*AL$2</f>
        <v>0</v>
      </c>
      <c r="AM549" s="88">
        <f>SUMIF(月間集計シート!$M$113:$M$132,$G549,月間集計シート!O$113:O$132)*AM$2</f>
        <v>0</v>
      </c>
      <c r="AN549" s="88">
        <f>SUMIF(月間集計シート!$M$113:$M$132,$G549,月間集計シート!P$113:P$132)*AN$2</f>
        <v>0</v>
      </c>
      <c r="AO549" s="88">
        <f>SUMIF(月間集計シート!$M$113:$M$132,$G549,月間集計シート!Q$113:Q$132)*AO$2</f>
        <v>0</v>
      </c>
      <c r="AP549" s="88">
        <f>SUMIF(月間集計シート!$M$113:$M$132,$G549,月間集計シート!R$113:R$132)*AP$2</f>
        <v>0</v>
      </c>
      <c r="AQ549" s="88">
        <f>SUMIF(月間集計シート!$M$113:$M$132,$G549,月間集計シート!S$113:S$132)*AQ$2</f>
        <v>0</v>
      </c>
      <c r="AR549" s="88">
        <f>SUMIF(月間集計シート!$M$113:$M$132,$G549,月間集計シート!T$113:T$132)*AR$2</f>
        <v>0</v>
      </c>
      <c r="AS549" s="88">
        <f>SUMIF(月間集計シート!$M$134:$M$153,$G549,月間集計シート!N$134:N$153)*AS$2</f>
        <v>0</v>
      </c>
      <c r="AT549" s="88">
        <f>SUMIF(月間集計シート!$M$134:$M$153,$G549,月間集計シート!O$134:O$153)*AT$2</f>
        <v>0</v>
      </c>
      <c r="AU549" s="88">
        <f>SUMIF(月間集計シート!$M$134:$M$153,$G549,月間集計シート!P$134:P$153)*AU$2</f>
        <v>0</v>
      </c>
      <c r="AV549" s="88">
        <f>SUMIF(月間集計シート!$M$134:$M$153,$G549,月間集計シート!Q$134:Q$153)*AV$2</f>
        <v>0</v>
      </c>
      <c r="AW549" s="88">
        <f>SUMIF(月間集計シート!$M$134:$M$153,$G549,月間集計シート!R$134:R$153)*AW$2</f>
        <v>0</v>
      </c>
      <c r="AX549" s="88">
        <f>SUMIF(月間集計シート!$M$134:$M$153,$G549,月間集計シート!S$134:S$153)*AX$2</f>
        <v>0</v>
      </c>
      <c r="AY549" s="88">
        <f>SUMIF(月間集計シート!$M$134:$M$153,$G549,月間集計シート!T$134:T$153)*AY$2</f>
        <v>0</v>
      </c>
    </row>
    <row r="550" spans="1:51" ht="14.25" thickBot="1">
      <c r="A550">
        <v>7</v>
      </c>
      <c r="B550" s="120">
        <f t="shared" si="251"/>
        <v>0</v>
      </c>
      <c r="C550" s="120" t="str">
        <f t="shared" si="252"/>
        <v/>
      </c>
      <c r="D550" s="137"/>
      <c r="E550" s="150" t="str">
        <f>工種!A32</f>
        <v>40110</v>
      </c>
      <c r="F550" s="119" t="str">
        <f>工種!B32</f>
        <v>テスト：レビュー</v>
      </c>
      <c r="G550" s="116" t="str">
        <f t="shared" si="253"/>
        <v>040110</v>
      </c>
      <c r="H550" s="88">
        <f t="shared" si="247"/>
        <v>0</v>
      </c>
      <c r="I550" s="132"/>
      <c r="J550" s="88">
        <f>SUMIF(月間集計シート!$M$29:$M$48,$G550,月間集計シート!N$29:N$48)*J$2</f>
        <v>0</v>
      </c>
      <c r="K550" s="88">
        <f>SUMIF(月間集計シート!$M$29:$M$48,$G550,月間集計シート!O$29:O$48)*K$2</f>
        <v>0</v>
      </c>
      <c r="L550" s="88">
        <f>SUMIF(月間集計シート!$M$29:$M$48,$G550,月間集計シート!P$29:P$48)*L$2</f>
        <v>0</v>
      </c>
      <c r="M550" s="88">
        <f>SUMIF(月間集計シート!$M$29:$M$48,$G550,月間集計シート!Q$29:Q$48)*M$2</f>
        <v>0</v>
      </c>
      <c r="N550" s="88">
        <f>SUMIF(月間集計シート!$M$29:$M$48,$G550,月間集計シート!R$29:R$48)*N$2</f>
        <v>0</v>
      </c>
      <c r="O550" s="88">
        <f>SUMIF(月間集計シート!$M$29:$M$48,$G550,月間集計シート!S$29:S$48)*O$2</f>
        <v>0</v>
      </c>
      <c r="P550" s="88">
        <f>SUMIF(月間集計シート!$M$29:$M$48,$G550,月間集計シート!T$29:T$48)*P$2</f>
        <v>0</v>
      </c>
      <c r="Q550" s="88">
        <f>SUMIF(月間集計シート!$M$50:$M$69,$G550,月間集計シート!N$50:N$69)*Q$2</f>
        <v>0</v>
      </c>
      <c r="R550" s="88">
        <f>SUMIF(月間集計シート!$M$50:$M$69,$G550,月間集計シート!O$50:O$69)*R$2</f>
        <v>0</v>
      </c>
      <c r="S550" s="88">
        <f>SUMIF(月間集計シート!$M$50:$M$69,$G550,月間集計シート!P$50:P$69)*S$2</f>
        <v>0</v>
      </c>
      <c r="T550" s="88">
        <f>SUMIF(月間集計シート!$M$50:$M$69,$G550,月間集計シート!Q$50:Q$69)*T$2</f>
        <v>0</v>
      </c>
      <c r="U550" s="88">
        <f>SUMIF(月間集計シート!$M$50:$M$69,$G550,月間集計シート!R$50:R$69)*U$2</f>
        <v>0</v>
      </c>
      <c r="V550" s="88">
        <f>SUMIF(月間集計シート!$M$50:$M$69,$G550,月間集計シート!S$50:S$69)*V$2</f>
        <v>0</v>
      </c>
      <c r="W550" s="88">
        <f>SUMIF(月間集計シート!$M$50:$M$69,$G550,月間集計シート!T$50:T$69)*W$2</f>
        <v>0</v>
      </c>
      <c r="X550" s="88">
        <f>SUMIF(月間集計シート!$M$71:$M$90,$G550,月間集計シート!N$71:N$90)*X$2</f>
        <v>0</v>
      </c>
      <c r="Y550" s="88">
        <f>SUMIF(月間集計シート!$M$71:$M$90,$G550,月間集計シート!O$71:O$90)*Y$2</f>
        <v>0</v>
      </c>
      <c r="Z550" s="88">
        <f>SUMIF(月間集計シート!$M$71:$M$90,$G550,月間集計シート!P$71:P$90)*Z$2</f>
        <v>0</v>
      </c>
      <c r="AA550" s="88">
        <f>SUMIF(月間集計シート!$M$71:$M$90,$G550,月間集計シート!Q$71:Q$90)*AA$2</f>
        <v>0</v>
      </c>
      <c r="AB550" s="88">
        <f>SUMIF(月間集計シート!$M$71:$M$90,$G550,月間集計シート!R$71:R$90)*AB$2</f>
        <v>0</v>
      </c>
      <c r="AC550" s="88">
        <f>SUMIF(月間集計シート!$M$71:$M$90,$G550,月間集計シート!S$71:S$90)*AC$2</f>
        <v>0</v>
      </c>
      <c r="AD550" s="88">
        <f>SUMIF(月間集計シート!$M$71:$M$90,$G550,月間集計シート!T$71:T$90)*AD$2</f>
        <v>0</v>
      </c>
      <c r="AE550" s="88">
        <f>SUMIF(月間集計シート!$M$92:$M$111,$G550,月間集計シート!N$92:N$111)*AE$2</f>
        <v>0</v>
      </c>
      <c r="AF550" s="88">
        <f>SUMIF(月間集計シート!$M$92:$M$111,$G550,月間集計シート!O$92:O$111)*AF$2</f>
        <v>0</v>
      </c>
      <c r="AG550" s="88">
        <f>SUMIF(月間集計シート!$M$92:$M$111,$G550,月間集計シート!P$92:P$111)*AG$2</f>
        <v>0</v>
      </c>
      <c r="AH550" s="88">
        <f>SUMIF(月間集計シート!$M$92:$M$111,$G550,月間集計シート!Q$92:Q$111)*AH$2</f>
        <v>0</v>
      </c>
      <c r="AI550" s="88">
        <f>SUMIF(月間集計シート!$M$92:$M$111,$G550,月間集計シート!R$92:R$111)*AI$2</f>
        <v>0</v>
      </c>
      <c r="AJ550" s="88">
        <f>SUMIF(月間集計シート!$M$92:$M$111,$G550,月間集計シート!S$92:S$111)*AJ$2</f>
        <v>0</v>
      </c>
      <c r="AK550" s="88">
        <f>SUMIF(月間集計シート!$M$92:$M$111,$G550,月間集計シート!T$92:T$111)*AK$2</f>
        <v>0</v>
      </c>
      <c r="AL550" s="88">
        <f>SUMIF(月間集計シート!$M$113:$M$132,$G550,月間集計シート!N$113:N$132)*AL$2</f>
        <v>0</v>
      </c>
      <c r="AM550" s="88">
        <f>SUMIF(月間集計シート!$M$113:$M$132,$G550,月間集計シート!O$113:O$132)*AM$2</f>
        <v>0</v>
      </c>
      <c r="AN550" s="88">
        <f>SUMIF(月間集計シート!$M$113:$M$132,$G550,月間集計シート!P$113:P$132)*AN$2</f>
        <v>0</v>
      </c>
      <c r="AO550" s="88">
        <f>SUMIF(月間集計シート!$M$113:$M$132,$G550,月間集計シート!Q$113:Q$132)*AO$2</f>
        <v>0</v>
      </c>
      <c r="AP550" s="88">
        <f>SUMIF(月間集計シート!$M$113:$M$132,$G550,月間集計シート!R$113:R$132)*AP$2</f>
        <v>0</v>
      </c>
      <c r="AQ550" s="88">
        <f>SUMIF(月間集計シート!$M$113:$M$132,$G550,月間集計シート!S$113:S$132)*AQ$2</f>
        <v>0</v>
      </c>
      <c r="AR550" s="88">
        <f>SUMIF(月間集計シート!$M$113:$M$132,$G550,月間集計シート!T$113:T$132)*AR$2</f>
        <v>0</v>
      </c>
      <c r="AS550" s="88">
        <f>SUMIF(月間集計シート!$M$134:$M$153,$G550,月間集計シート!N$134:N$153)*AS$2</f>
        <v>0</v>
      </c>
      <c r="AT550" s="88">
        <f>SUMIF(月間集計シート!$M$134:$M$153,$G550,月間集計シート!O$134:O$153)*AT$2</f>
        <v>0</v>
      </c>
      <c r="AU550" s="88">
        <f>SUMIF(月間集計シート!$M$134:$M$153,$G550,月間集計シート!P$134:P$153)*AU$2</f>
        <v>0</v>
      </c>
      <c r="AV550" s="88">
        <f>SUMIF(月間集計シート!$M$134:$M$153,$G550,月間集計シート!Q$134:Q$153)*AV$2</f>
        <v>0</v>
      </c>
      <c r="AW550" s="88">
        <f>SUMIF(月間集計シート!$M$134:$M$153,$G550,月間集計シート!R$134:R$153)*AW$2</f>
        <v>0</v>
      </c>
      <c r="AX550" s="88">
        <f>SUMIF(月間集計シート!$M$134:$M$153,$G550,月間集計シート!S$134:S$153)*AX$2</f>
        <v>0</v>
      </c>
      <c r="AY550" s="88">
        <f>SUMIF(月間集計シート!$M$134:$M$153,$G550,月間集計シート!T$134:T$153)*AY$2</f>
        <v>0</v>
      </c>
    </row>
    <row r="551" spans="1:51" ht="14.25" thickBot="1">
      <c r="A551">
        <v>7</v>
      </c>
      <c r="B551" s="120">
        <f t="shared" si="251"/>
        <v>0</v>
      </c>
      <c r="C551" s="120" t="str">
        <f t="shared" si="252"/>
        <v/>
      </c>
      <c r="D551" s="137"/>
      <c r="E551" s="150" t="str">
        <f>工種!A33</f>
        <v>40111</v>
      </c>
      <c r="F551" s="119" t="str">
        <f>工種!B33</f>
        <v>テスト：PG修正（手戻り分）</v>
      </c>
      <c r="G551" s="116" t="str">
        <f t="shared" si="253"/>
        <v>040111</v>
      </c>
      <c r="H551" s="88">
        <f t="shared" si="247"/>
        <v>0</v>
      </c>
      <c r="I551" s="132"/>
      <c r="J551" s="88">
        <f>SUMIF(月間集計シート!$M$29:$M$48,$G551,月間集計シート!N$29:N$48)*J$2</f>
        <v>0</v>
      </c>
      <c r="K551" s="88">
        <f>SUMIF(月間集計シート!$M$29:$M$48,$G551,月間集計シート!O$29:O$48)*K$2</f>
        <v>0</v>
      </c>
      <c r="L551" s="88">
        <f>SUMIF(月間集計シート!$M$29:$M$48,$G551,月間集計シート!P$29:P$48)*L$2</f>
        <v>0</v>
      </c>
      <c r="M551" s="88">
        <f>SUMIF(月間集計シート!$M$29:$M$48,$G551,月間集計シート!Q$29:Q$48)*M$2</f>
        <v>0</v>
      </c>
      <c r="N551" s="88">
        <f>SUMIF(月間集計シート!$M$29:$M$48,$G551,月間集計シート!R$29:R$48)*N$2</f>
        <v>0</v>
      </c>
      <c r="O551" s="88">
        <f>SUMIF(月間集計シート!$M$29:$M$48,$G551,月間集計シート!S$29:S$48)*O$2</f>
        <v>0</v>
      </c>
      <c r="P551" s="88">
        <f>SUMIF(月間集計シート!$M$29:$M$48,$G551,月間集計シート!T$29:T$48)*P$2</f>
        <v>0</v>
      </c>
      <c r="Q551" s="88">
        <f>SUMIF(月間集計シート!$M$50:$M$69,$G551,月間集計シート!N$50:N$69)*Q$2</f>
        <v>0</v>
      </c>
      <c r="R551" s="88">
        <f>SUMIF(月間集計シート!$M$50:$M$69,$G551,月間集計シート!O$50:O$69)*R$2</f>
        <v>0</v>
      </c>
      <c r="S551" s="88">
        <f>SUMIF(月間集計シート!$M$50:$M$69,$G551,月間集計シート!P$50:P$69)*S$2</f>
        <v>0</v>
      </c>
      <c r="T551" s="88">
        <f>SUMIF(月間集計シート!$M$50:$M$69,$G551,月間集計シート!Q$50:Q$69)*T$2</f>
        <v>0</v>
      </c>
      <c r="U551" s="88">
        <f>SUMIF(月間集計シート!$M$50:$M$69,$G551,月間集計シート!R$50:R$69)*U$2</f>
        <v>0</v>
      </c>
      <c r="V551" s="88">
        <f>SUMIF(月間集計シート!$M$50:$M$69,$G551,月間集計シート!S$50:S$69)*V$2</f>
        <v>0</v>
      </c>
      <c r="W551" s="88">
        <f>SUMIF(月間集計シート!$M$50:$M$69,$G551,月間集計シート!T$50:T$69)*W$2</f>
        <v>0</v>
      </c>
      <c r="X551" s="88">
        <f>SUMIF(月間集計シート!$M$71:$M$90,$G551,月間集計シート!N$71:N$90)*X$2</f>
        <v>0</v>
      </c>
      <c r="Y551" s="88">
        <f>SUMIF(月間集計シート!$M$71:$M$90,$G551,月間集計シート!O$71:O$90)*Y$2</f>
        <v>0</v>
      </c>
      <c r="Z551" s="88">
        <f>SUMIF(月間集計シート!$M$71:$M$90,$G551,月間集計シート!P$71:P$90)*Z$2</f>
        <v>0</v>
      </c>
      <c r="AA551" s="88">
        <f>SUMIF(月間集計シート!$M$71:$M$90,$G551,月間集計シート!Q$71:Q$90)*AA$2</f>
        <v>0</v>
      </c>
      <c r="AB551" s="88">
        <f>SUMIF(月間集計シート!$M$71:$M$90,$G551,月間集計シート!R$71:R$90)*AB$2</f>
        <v>0</v>
      </c>
      <c r="AC551" s="88">
        <f>SUMIF(月間集計シート!$M$71:$M$90,$G551,月間集計シート!S$71:S$90)*AC$2</f>
        <v>0</v>
      </c>
      <c r="AD551" s="88">
        <f>SUMIF(月間集計シート!$M$71:$M$90,$G551,月間集計シート!T$71:T$90)*AD$2</f>
        <v>0</v>
      </c>
      <c r="AE551" s="88">
        <f>SUMIF(月間集計シート!$M$92:$M$111,$G551,月間集計シート!N$92:N$111)*AE$2</f>
        <v>0</v>
      </c>
      <c r="AF551" s="88">
        <f>SUMIF(月間集計シート!$M$92:$M$111,$G551,月間集計シート!O$92:O$111)*AF$2</f>
        <v>0</v>
      </c>
      <c r="AG551" s="88">
        <f>SUMIF(月間集計シート!$M$92:$M$111,$G551,月間集計シート!P$92:P$111)*AG$2</f>
        <v>0</v>
      </c>
      <c r="AH551" s="88">
        <f>SUMIF(月間集計シート!$M$92:$M$111,$G551,月間集計シート!Q$92:Q$111)*AH$2</f>
        <v>0</v>
      </c>
      <c r="AI551" s="88">
        <f>SUMIF(月間集計シート!$M$92:$M$111,$G551,月間集計シート!R$92:R$111)*AI$2</f>
        <v>0</v>
      </c>
      <c r="AJ551" s="88">
        <f>SUMIF(月間集計シート!$M$92:$M$111,$G551,月間集計シート!S$92:S$111)*AJ$2</f>
        <v>0</v>
      </c>
      <c r="AK551" s="88">
        <f>SUMIF(月間集計シート!$M$92:$M$111,$G551,月間集計シート!T$92:T$111)*AK$2</f>
        <v>0</v>
      </c>
      <c r="AL551" s="88">
        <f>SUMIF(月間集計シート!$M$113:$M$132,$G551,月間集計シート!N$113:N$132)*AL$2</f>
        <v>0</v>
      </c>
      <c r="AM551" s="88">
        <f>SUMIF(月間集計シート!$M$113:$M$132,$G551,月間集計シート!O$113:O$132)*AM$2</f>
        <v>0</v>
      </c>
      <c r="AN551" s="88">
        <f>SUMIF(月間集計シート!$M$113:$M$132,$G551,月間集計シート!P$113:P$132)*AN$2</f>
        <v>0</v>
      </c>
      <c r="AO551" s="88">
        <f>SUMIF(月間集計シート!$M$113:$M$132,$G551,月間集計シート!Q$113:Q$132)*AO$2</f>
        <v>0</v>
      </c>
      <c r="AP551" s="88">
        <f>SUMIF(月間集計シート!$M$113:$M$132,$G551,月間集計シート!R$113:R$132)*AP$2</f>
        <v>0</v>
      </c>
      <c r="AQ551" s="88">
        <f>SUMIF(月間集計シート!$M$113:$M$132,$G551,月間集計シート!S$113:S$132)*AQ$2</f>
        <v>0</v>
      </c>
      <c r="AR551" s="88">
        <f>SUMIF(月間集計シート!$M$113:$M$132,$G551,月間集計シート!T$113:T$132)*AR$2</f>
        <v>0</v>
      </c>
      <c r="AS551" s="88">
        <f>SUMIF(月間集計シート!$M$134:$M$153,$G551,月間集計シート!N$134:N$153)*AS$2</f>
        <v>0</v>
      </c>
      <c r="AT551" s="88">
        <f>SUMIF(月間集計シート!$M$134:$M$153,$G551,月間集計シート!O$134:O$153)*AT$2</f>
        <v>0</v>
      </c>
      <c r="AU551" s="88">
        <f>SUMIF(月間集計シート!$M$134:$M$153,$G551,月間集計シート!P$134:P$153)*AU$2</f>
        <v>0</v>
      </c>
      <c r="AV551" s="88">
        <f>SUMIF(月間集計シート!$M$134:$M$153,$G551,月間集計シート!Q$134:Q$153)*AV$2</f>
        <v>0</v>
      </c>
      <c r="AW551" s="88">
        <f>SUMIF(月間集計シート!$M$134:$M$153,$G551,月間集計シート!R$134:R$153)*AW$2</f>
        <v>0</v>
      </c>
      <c r="AX551" s="88">
        <f>SUMIF(月間集計シート!$M$134:$M$153,$G551,月間集計シート!S$134:S$153)*AX$2</f>
        <v>0</v>
      </c>
      <c r="AY551" s="88">
        <f>SUMIF(月間集計シート!$M$134:$M$153,$G551,月間集計シート!T$134:T$153)*AY$2</f>
        <v>0</v>
      </c>
    </row>
    <row r="552" spans="1:51" ht="14.25" thickBot="1">
      <c r="A552">
        <v>7</v>
      </c>
      <c r="B552" s="120">
        <f t="shared" si="251"/>
        <v>0</v>
      </c>
      <c r="C552" s="120" t="str">
        <f t="shared" si="252"/>
        <v/>
      </c>
      <c r="D552" s="137"/>
      <c r="E552" s="150" t="str">
        <f>工種!A34</f>
        <v>40112</v>
      </c>
      <c r="F552" s="119" t="str">
        <f>工種!B34</f>
        <v>テスト：再テスト（手戻り分）</v>
      </c>
      <c r="G552" s="116" t="str">
        <f t="shared" si="253"/>
        <v>040112</v>
      </c>
      <c r="H552" s="88">
        <f t="shared" si="247"/>
        <v>0</v>
      </c>
      <c r="I552" s="132"/>
      <c r="J552" s="88">
        <f>SUMIF(月間集計シート!$M$29:$M$48,$G552,月間集計シート!N$29:N$48)*J$2</f>
        <v>0</v>
      </c>
      <c r="K552" s="88">
        <f>SUMIF(月間集計シート!$M$29:$M$48,$G552,月間集計シート!O$29:O$48)*K$2</f>
        <v>0</v>
      </c>
      <c r="L552" s="88">
        <f>SUMIF(月間集計シート!$M$29:$M$48,$G552,月間集計シート!P$29:P$48)*L$2</f>
        <v>0</v>
      </c>
      <c r="M552" s="88">
        <f>SUMIF(月間集計シート!$M$29:$M$48,$G552,月間集計シート!Q$29:Q$48)*M$2</f>
        <v>0</v>
      </c>
      <c r="N552" s="88">
        <f>SUMIF(月間集計シート!$M$29:$M$48,$G552,月間集計シート!R$29:R$48)*N$2</f>
        <v>0</v>
      </c>
      <c r="O552" s="88">
        <f>SUMIF(月間集計シート!$M$29:$M$48,$G552,月間集計シート!S$29:S$48)*O$2</f>
        <v>0</v>
      </c>
      <c r="P552" s="88">
        <f>SUMIF(月間集計シート!$M$29:$M$48,$G552,月間集計シート!T$29:T$48)*P$2</f>
        <v>0</v>
      </c>
      <c r="Q552" s="88">
        <f>SUMIF(月間集計シート!$M$50:$M$69,$G552,月間集計シート!N$50:N$69)*Q$2</f>
        <v>0</v>
      </c>
      <c r="R552" s="88">
        <f>SUMIF(月間集計シート!$M$50:$M$69,$G552,月間集計シート!O$50:O$69)*R$2</f>
        <v>0</v>
      </c>
      <c r="S552" s="88">
        <f>SUMIF(月間集計シート!$M$50:$M$69,$G552,月間集計シート!P$50:P$69)*S$2</f>
        <v>0</v>
      </c>
      <c r="T552" s="88">
        <f>SUMIF(月間集計シート!$M$50:$M$69,$G552,月間集計シート!Q$50:Q$69)*T$2</f>
        <v>0</v>
      </c>
      <c r="U552" s="88">
        <f>SUMIF(月間集計シート!$M$50:$M$69,$G552,月間集計シート!R$50:R$69)*U$2</f>
        <v>0</v>
      </c>
      <c r="V552" s="88">
        <f>SUMIF(月間集計シート!$M$50:$M$69,$G552,月間集計シート!S$50:S$69)*V$2</f>
        <v>0</v>
      </c>
      <c r="W552" s="88">
        <f>SUMIF(月間集計シート!$M$50:$M$69,$G552,月間集計シート!T$50:T$69)*W$2</f>
        <v>0</v>
      </c>
      <c r="X552" s="88">
        <f>SUMIF(月間集計シート!$M$71:$M$90,$G552,月間集計シート!N$71:N$90)*X$2</f>
        <v>0</v>
      </c>
      <c r="Y552" s="88">
        <f>SUMIF(月間集計シート!$M$71:$M$90,$G552,月間集計シート!O$71:O$90)*Y$2</f>
        <v>0</v>
      </c>
      <c r="Z552" s="88">
        <f>SUMIF(月間集計シート!$M$71:$M$90,$G552,月間集計シート!P$71:P$90)*Z$2</f>
        <v>0</v>
      </c>
      <c r="AA552" s="88">
        <f>SUMIF(月間集計シート!$M$71:$M$90,$G552,月間集計シート!Q$71:Q$90)*AA$2</f>
        <v>0</v>
      </c>
      <c r="AB552" s="88">
        <f>SUMIF(月間集計シート!$M$71:$M$90,$G552,月間集計シート!R$71:R$90)*AB$2</f>
        <v>0</v>
      </c>
      <c r="AC552" s="88">
        <f>SUMIF(月間集計シート!$M$71:$M$90,$G552,月間集計シート!S$71:S$90)*AC$2</f>
        <v>0</v>
      </c>
      <c r="AD552" s="88">
        <f>SUMIF(月間集計シート!$M$71:$M$90,$G552,月間集計シート!T$71:T$90)*AD$2</f>
        <v>0</v>
      </c>
      <c r="AE552" s="88">
        <f>SUMIF(月間集計シート!$M$92:$M$111,$G552,月間集計シート!N$92:N$111)*AE$2</f>
        <v>0</v>
      </c>
      <c r="AF552" s="88">
        <f>SUMIF(月間集計シート!$M$92:$M$111,$G552,月間集計シート!O$92:O$111)*AF$2</f>
        <v>0</v>
      </c>
      <c r="AG552" s="88">
        <f>SUMIF(月間集計シート!$M$92:$M$111,$G552,月間集計シート!P$92:P$111)*AG$2</f>
        <v>0</v>
      </c>
      <c r="AH552" s="88">
        <f>SUMIF(月間集計シート!$M$92:$M$111,$G552,月間集計シート!Q$92:Q$111)*AH$2</f>
        <v>0</v>
      </c>
      <c r="AI552" s="88">
        <f>SUMIF(月間集計シート!$M$92:$M$111,$G552,月間集計シート!R$92:R$111)*AI$2</f>
        <v>0</v>
      </c>
      <c r="AJ552" s="88">
        <f>SUMIF(月間集計シート!$M$92:$M$111,$G552,月間集計シート!S$92:S$111)*AJ$2</f>
        <v>0</v>
      </c>
      <c r="AK552" s="88">
        <f>SUMIF(月間集計シート!$M$92:$M$111,$G552,月間集計シート!T$92:T$111)*AK$2</f>
        <v>0</v>
      </c>
      <c r="AL552" s="88">
        <f>SUMIF(月間集計シート!$M$113:$M$132,$G552,月間集計シート!N$113:N$132)*AL$2</f>
        <v>0</v>
      </c>
      <c r="AM552" s="88">
        <f>SUMIF(月間集計シート!$M$113:$M$132,$G552,月間集計シート!O$113:O$132)*AM$2</f>
        <v>0</v>
      </c>
      <c r="AN552" s="88">
        <f>SUMIF(月間集計シート!$M$113:$M$132,$G552,月間集計シート!P$113:P$132)*AN$2</f>
        <v>0</v>
      </c>
      <c r="AO552" s="88">
        <f>SUMIF(月間集計シート!$M$113:$M$132,$G552,月間集計シート!Q$113:Q$132)*AO$2</f>
        <v>0</v>
      </c>
      <c r="AP552" s="88">
        <f>SUMIF(月間集計シート!$M$113:$M$132,$G552,月間集計シート!R$113:R$132)*AP$2</f>
        <v>0</v>
      </c>
      <c r="AQ552" s="88">
        <f>SUMIF(月間集計シート!$M$113:$M$132,$G552,月間集計シート!S$113:S$132)*AQ$2</f>
        <v>0</v>
      </c>
      <c r="AR552" s="88">
        <f>SUMIF(月間集計シート!$M$113:$M$132,$G552,月間集計シート!T$113:T$132)*AR$2</f>
        <v>0</v>
      </c>
      <c r="AS552" s="88">
        <f>SUMIF(月間集計シート!$M$134:$M$153,$G552,月間集計シート!N$134:N$153)*AS$2</f>
        <v>0</v>
      </c>
      <c r="AT552" s="88">
        <f>SUMIF(月間集計シート!$M$134:$M$153,$G552,月間集計シート!O$134:O$153)*AT$2</f>
        <v>0</v>
      </c>
      <c r="AU552" s="88">
        <f>SUMIF(月間集計シート!$M$134:$M$153,$G552,月間集計シート!P$134:P$153)*AU$2</f>
        <v>0</v>
      </c>
      <c r="AV552" s="88">
        <f>SUMIF(月間集計シート!$M$134:$M$153,$G552,月間集計シート!Q$134:Q$153)*AV$2</f>
        <v>0</v>
      </c>
      <c r="AW552" s="88">
        <f>SUMIF(月間集計シート!$M$134:$M$153,$G552,月間集計シート!R$134:R$153)*AW$2</f>
        <v>0</v>
      </c>
      <c r="AX552" s="88">
        <f>SUMIF(月間集計シート!$M$134:$M$153,$G552,月間集計シート!S$134:S$153)*AX$2</f>
        <v>0</v>
      </c>
      <c r="AY552" s="88">
        <f>SUMIF(月間集計シート!$M$134:$M$153,$G552,月間集計シート!T$134:T$153)*AY$2</f>
        <v>0</v>
      </c>
    </row>
    <row r="553" spans="1:51" ht="14.25" thickBot="1">
      <c r="A553">
        <v>7</v>
      </c>
      <c r="B553" s="120">
        <f t="shared" si="251"/>
        <v>0</v>
      </c>
      <c r="C553" s="120" t="str">
        <f t="shared" si="252"/>
        <v/>
      </c>
      <c r="D553" s="137"/>
      <c r="E553" s="150" t="str">
        <f>工種!A35</f>
        <v>40113</v>
      </c>
      <c r="F553" s="119" t="str">
        <f>工種!B35</f>
        <v>テスト：QA対応</v>
      </c>
      <c r="G553" s="116" t="str">
        <f t="shared" si="253"/>
        <v>040113</v>
      </c>
      <c r="H553" s="88">
        <f t="shared" si="247"/>
        <v>0</v>
      </c>
      <c r="I553" s="132"/>
      <c r="J553" s="88">
        <f>SUMIF(月間集計シート!$M$29:$M$48,$G553,月間集計シート!N$29:N$48)*J$2</f>
        <v>0</v>
      </c>
      <c r="K553" s="88">
        <f>SUMIF(月間集計シート!$M$29:$M$48,$G553,月間集計シート!O$29:O$48)*K$2</f>
        <v>0</v>
      </c>
      <c r="L553" s="88">
        <f>SUMIF(月間集計シート!$M$29:$M$48,$G553,月間集計シート!P$29:P$48)*L$2</f>
        <v>0</v>
      </c>
      <c r="M553" s="88">
        <f>SUMIF(月間集計シート!$M$29:$M$48,$G553,月間集計シート!Q$29:Q$48)*M$2</f>
        <v>0</v>
      </c>
      <c r="N553" s="88">
        <f>SUMIF(月間集計シート!$M$29:$M$48,$G553,月間集計シート!R$29:R$48)*N$2</f>
        <v>0</v>
      </c>
      <c r="O553" s="88">
        <f>SUMIF(月間集計シート!$M$29:$M$48,$G553,月間集計シート!S$29:S$48)*O$2</f>
        <v>0</v>
      </c>
      <c r="P553" s="88">
        <f>SUMIF(月間集計シート!$M$29:$M$48,$G553,月間集計シート!T$29:T$48)*P$2</f>
        <v>0</v>
      </c>
      <c r="Q553" s="88">
        <f>SUMIF(月間集計シート!$M$50:$M$69,$G553,月間集計シート!N$50:N$69)*Q$2</f>
        <v>0</v>
      </c>
      <c r="R553" s="88">
        <f>SUMIF(月間集計シート!$M$50:$M$69,$G553,月間集計シート!O$50:O$69)*R$2</f>
        <v>0</v>
      </c>
      <c r="S553" s="88">
        <f>SUMIF(月間集計シート!$M$50:$M$69,$G553,月間集計シート!P$50:P$69)*S$2</f>
        <v>0</v>
      </c>
      <c r="T553" s="88">
        <f>SUMIF(月間集計シート!$M$50:$M$69,$G553,月間集計シート!Q$50:Q$69)*T$2</f>
        <v>0</v>
      </c>
      <c r="U553" s="88">
        <f>SUMIF(月間集計シート!$M$50:$M$69,$G553,月間集計シート!R$50:R$69)*U$2</f>
        <v>0</v>
      </c>
      <c r="V553" s="88">
        <f>SUMIF(月間集計シート!$M$50:$M$69,$G553,月間集計シート!S$50:S$69)*V$2</f>
        <v>0</v>
      </c>
      <c r="W553" s="88">
        <f>SUMIF(月間集計シート!$M$50:$M$69,$G553,月間集計シート!T$50:T$69)*W$2</f>
        <v>0</v>
      </c>
      <c r="X553" s="88">
        <f>SUMIF(月間集計シート!$M$71:$M$90,$G553,月間集計シート!N$71:N$90)*X$2</f>
        <v>0</v>
      </c>
      <c r="Y553" s="88">
        <f>SUMIF(月間集計シート!$M$71:$M$90,$G553,月間集計シート!O$71:O$90)*Y$2</f>
        <v>0</v>
      </c>
      <c r="Z553" s="88">
        <f>SUMIF(月間集計シート!$M$71:$M$90,$G553,月間集計シート!P$71:P$90)*Z$2</f>
        <v>0</v>
      </c>
      <c r="AA553" s="88">
        <f>SUMIF(月間集計シート!$M$71:$M$90,$G553,月間集計シート!Q$71:Q$90)*AA$2</f>
        <v>0</v>
      </c>
      <c r="AB553" s="88">
        <f>SUMIF(月間集計シート!$M$71:$M$90,$G553,月間集計シート!R$71:R$90)*AB$2</f>
        <v>0</v>
      </c>
      <c r="AC553" s="88">
        <f>SUMIF(月間集計シート!$M$71:$M$90,$G553,月間集計シート!S$71:S$90)*AC$2</f>
        <v>0</v>
      </c>
      <c r="AD553" s="88">
        <f>SUMIF(月間集計シート!$M$71:$M$90,$G553,月間集計シート!T$71:T$90)*AD$2</f>
        <v>0</v>
      </c>
      <c r="AE553" s="88">
        <f>SUMIF(月間集計シート!$M$92:$M$111,$G553,月間集計シート!N$92:N$111)*AE$2</f>
        <v>0</v>
      </c>
      <c r="AF553" s="88">
        <f>SUMIF(月間集計シート!$M$92:$M$111,$G553,月間集計シート!O$92:O$111)*AF$2</f>
        <v>0</v>
      </c>
      <c r="AG553" s="88">
        <f>SUMIF(月間集計シート!$M$92:$M$111,$G553,月間集計シート!P$92:P$111)*AG$2</f>
        <v>0</v>
      </c>
      <c r="AH553" s="88">
        <f>SUMIF(月間集計シート!$M$92:$M$111,$G553,月間集計シート!Q$92:Q$111)*AH$2</f>
        <v>0</v>
      </c>
      <c r="AI553" s="88">
        <f>SUMIF(月間集計シート!$M$92:$M$111,$G553,月間集計シート!R$92:R$111)*AI$2</f>
        <v>0</v>
      </c>
      <c r="AJ553" s="88">
        <f>SUMIF(月間集計シート!$M$92:$M$111,$G553,月間集計シート!S$92:S$111)*AJ$2</f>
        <v>0</v>
      </c>
      <c r="AK553" s="88">
        <f>SUMIF(月間集計シート!$M$92:$M$111,$G553,月間集計シート!T$92:T$111)*AK$2</f>
        <v>0</v>
      </c>
      <c r="AL553" s="88">
        <f>SUMIF(月間集計シート!$M$113:$M$132,$G553,月間集計シート!N$113:N$132)*AL$2</f>
        <v>0</v>
      </c>
      <c r="AM553" s="88">
        <f>SUMIF(月間集計シート!$M$113:$M$132,$G553,月間集計シート!O$113:O$132)*AM$2</f>
        <v>0</v>
      </c>
      <c r="AN553" s="88">
        <f>SUMIF(月間集計シート!$M$113:$M$132,$G553,月間集計シート!P$113:P$132)*AN$2</f>
        <v>0</v>
      </c>
      <c r="AO553" s="88">
        <f>SUMIF(月間集計シート!$M$113:$M$132,$G553,月間集計シート!Q$113:Q$132)*AO$2</f>
        <v>0</v>
      </c>
      <c r="AP553" s="88">
        <f>SUMIF(月間集計シート!$M$113:$M$132,$G553,月間集計シート!R$113:R$132)*AP$2</f>
        <v>0</v>
      </c>
      <c r="AQ553" s="88">
        <f>SUMIF(月間集計シート!$M$113:$M$132,$G553,月間集計シート!S$113:S$132)*AQ$2</f>
        <v>0</v>
      </c>
      <c r="AR553" s="88">
        <f>SUMIF(月間集計シート!$M$113:$M$132,$G553,月間集計シート!T$113:T$132)*AR$2</f>
        <v>0</v>
      </c>
      <c r="AS553" s="88">
        <f>SUMIF(月間集計シート!$M$134:$M$153,$G553,月間集計シート!N$134:N$153)*AS$2</f>
        <v>0</v>
      </c>
      <c r="AT553" s="88">
        <f>SUMIF(月間集計シート!$M$134:$M$153,$G553,月間集計シート!O$134:O$153)*AT$2</f>
        <v>0</v>
      </c>
      <c r="AU553" s="88">
        <f>SUMIF(月間集計シート!$M$134:$M$153,$G553,月間集計シート!P$134:P$153)*AU$2</f>
        <v>0</v>
      </c>
      <c r="AV553" s="88">
        <f>SUMIF(月間集計シート!$M$134:$M$153,$G553,月間集計シート!Q$134:Q$153)*AV$2</f>
        <v>0</v>
      </c>
      <c r="AW553" s="88">
        <f>SUMIF(月間集計シート!$M$134:$M$153,$G553,月間集計シート!R$134:R$153)*AW$2</f>
        <v>0</v>
      </c>
      <c r="AX553" s="88">
        <f>SUMIF(月間集計シート!$M$134:$M$153,$G553,月間集計シート!S$134:S$153)*AX$2</f>
        <v>0</v>
      </c>
      <c r="AY553" s="88">
        <f>SUMIF(月間集計シート!$M$134:$M$153,$G553,月間集計シート!T$134:T$153)*AY$2</f>
        <v>0</v>
      </c>
    </row>
    <row r="554" spans="1:51" ht="14.25" thickBot="1">
      <c r="A554">
        <v>7</v>
      </c>
      <c r="B554" s="120">
        <f t="shared" si="251"/>
        <v>0</v>
      </c>
      <c r="C554" s="120" t="str">
        <f t="shared" si="252"/>
        <v/>
      </c>
      <c r="D554" s="137"/>
      <c r="E554" s="150" t="str">
        <f>工種!A36</f>
        <v>40189</v>
      </c>
      <c r="F554" s="119" t="str">
        <f>工種!B36</f>
        <v>テスト：内部不具合分析</v>
      </c>
      <c r="G554" s="116" t="str">
        <f t="shared" si="253"/>
        <v>040189</v>
      </c>
      <c r="H554" s="88">
        <f t="shared" si="247"/>
        <v>0</v>
      </c>
      <c r="I554" s="132"/>
      <c r="J554" s="88">
        <f>SUMIF(月間集計シート!$M$29:$M$48,$G554,月間集計シート!N$29:N$48)*J$2</f>
        <v>0</v>
      </c>
      <c r="K554" s="88">
        <f>SUMIF(月間集計シート!$M$29:$M$48,$G554,月間集計シート!O$29:O$48)*K$2</f>
        <v>0</v>
      </c>
      <c r="L554" s="88">
        <f>SUMIF(月間集計シート!$M$29:$M$48,$G554,月間集計シート!P$29:P$48)*L$2</f>
        <v>0</v>
      </c>
      <c r="M554" s="88">
        <f>SUMIF(月間集計シート!$M$29:$M$48,$G554,月間集計シート!Q$29:Q$48)*M$2</f>
        <v>0</v>
      </c>
      <c r="N554" s="88">
        <f>SUMIF(月間集計シート!$M$29:$M$48,$G554,月間集計シート!R$29:R$48)*N$2</f>
        <v>0</v>
      </c>
      <c r="O554" s="88">
        <f>SUMIF(月間集計シート!$M$29:$M$48,$G554,月間集計シート!S$29:S$48)*O$2</f>
        <v>0</v>
      </c>
      <c r="P554" s="88">
        <f>SUMIF(月間集計シート!$M$29:$M$48,$G554,月間集計シート!T$29:T$48)*P$2</f>
        <v>0</v>
      </c>
      <c r="Q554" s="88">
        <f>SUMIF(月間集計シート!$M$50:$M$69,$G554,月間集計シート!N$50:N$69)*Q$2</f>
        <v>0</v>
      </c>
      <c r="R554" s="88">
        <f>SUMIF(月間集計シート!$M$50:$M$69,$G554,月間集計シート!O$50:O$69)*R$2</f>
        <v>0</v>
      </c>
      <c r="S554" s="88">
        <f>SUMIF(月間集計シート!$M$50:$M$69,$G554,月間集計シート!P$50:P$69)*S$2</f>
        <v>0</v>
      </c>
      <c r="T554" s="88">
        <f>SUMIF(月間集計シート!$M$50:$M$69,$G554,月間集計シート!Q$50:Q$69)*T$2</f>
        <v>0</v>
      </c>
      <c r="U554" s="88">
        <f>SUMIF(月間集計シート!$M$50:$M$69,$G554,月間集計シート!R$50:R$69)*U$2</f>
        <v>0</v>
      </c>
      <c r="V554" s="88">
        <f>SUMIF(月間集計シート!$M$50:$M$69,$G554,月間集計シート!S$50:S$69)*V$2</f>
        <v>0</v>
      </c>
      <c r="W554" s="88">
        <f>SUMIF(月間集計シート!$M$50:$M$69,$G554,月間集計シート!T$50:T$69)*W$2</f>
        <v>0</v>
      </c>
      <c r="X554" s="88">
        <f>SUMIF(月間集計シート!$M$71:$M$90,$G554,月間集計シート!N$71:N$90)*X$2</f>
        <v>0</v>
      </c>
      <c r="Y554" s="88">
        <f>SUMIF(月間集計シート!$M$71:$M$90,$G554,月間集計シート!O$71:O$90)*Y$2</f>
        <v>0</v>
      </c>
      <c r="Z554" s="88">
        <f>SUMIF(月間集計シート!$M$71:$M$90,$G554,月間集計シート!P$71:P$90)*Z$2</f>
        <v>0</v>
      </c>
      <c r="AA554" s="88">
        <f>SUMIF(月間集計シート!$M$71:$M$90,$G554,月間集計シート!Q$71:Q$90)*AA$2</f>
        <v>0</v>
      </c>
      <c r="AB554" s="88">
        <f>SUMIF(月間集計シート!$M$71:$M$90,$G554,月間集計シート!R$71:R$90)*AB$2</f>
        <v>0</v>
      </c>
      <c r="AC554" s="88">
        <f>SUMIF(月間集計シート!$M$71:$M$90,$G554,月間集計シート!S$71:S$90)*AC$2</f>
        <v>0</v>
      </c>
      <c r="AD554" s="88">
        <f>SUMIF(月間集計シート!$M$71:$M$90,$G554,月間集計シート!T$71:T$90)*AD$2</f>
        <v>0</v>
      </c>
      <c r="AE554" s="88">
        <f>SUMIF(月間集計シート!$M$92:$M$111,$G554,月間集計シート!N$92:N$111)*AE$2</f>
        <v>0</v>
      </c>
      <c r="AF554" s="88">
        <f>SUMIF(月間集計シート!$M$92:$M$111,$G554,月間集計シート!O$92:O$111)*AF$2</f>
        <v>0</v>
      </c>
      <c r="AG554" s="88">
        <f>SUMIF(月間集計シート!$M$92:$M$111,$G554,月間集計シート!P$92:P$111)*AG$2</f>
        <v>0</v>
      </c>
      <c r="AH554" s="88">
        <f>SUMIF(月間集計シート!$M$92:$M$111,$G554,月間集計シート!Q$92:Q$111)*AH$2</f>
        <v>0</v>
      </c>
      <c r="AI554" s="88">
        <f>SUMIF(月間集計シート!$M$92:$M$111,$G554,月間集計シート!R$92:R$111)*AI$2</f>
        <v>0</v>
      </c>
      <c r="AJ554" s="88">
        <f>SUMIF(月間集計シート!$M$92:$M$111,$G554,月間集計シート!S$92:S$111)*AJ$2</f>
        <v>0</v>
      </c>
      <c r="AK554" s="88">
        <f>SUMIF(月間集計シート!$M$92:$M$111,$G554,月間集計シート!T$92:T$111)*AK$2</f>
        <v>0</v>
      </c>
      <c r="AL554" s="88">
        <f>SUMIF(月間集計シート!$M$113:$M$132,$G554,月間集計シート!N$113:N$132)*AL$2</f>
        <v>0</v>
      </c>
      <c r="AM554" s="88">
        <f>SUMIF(月間集計シート!$M$113:$M$132,$G554,月間集計シート!O$113:O$132)*AM$2</f>
        <v>0</v>
      </c>
      <c r="AN554" s="88">
        <f>SUMIF(月間集計シート!$M$113:$M$132,$G554,月間集計シート!P$113:P$132)*AN$2</f>
        <v>0</v>
      </c>
      <c r="AO554" s="88">
        <f>SUMIF(月間集計シート!$M$113:$M$132,$G554,月間集計シート!Q$113:Q$132)*AO$2</f>
        <v>0</v>
      </c>
      <c r="AP554" s="88">
        <f>SUMIF(月間集計シート!$M$113:$M$132,$G554,月間集計シート!R$113:R$132)*AP$2</f>
        <v>0</v>
      </c>
      <c r="AQ554" s="88">
        <f>SUMIF(月間集計シート!$M$113:$M$132,$G554,月間集計シート!S$113:S$132)*AQ$2</f>
        <v>0</v>
      </c>
      <c r="AR554" s="88">
        <f>SUMIF(月間集計シート!$M$113:$M$132,$G554,月間集計シート!T$113:T$132)*AR$2</f>
        <v>0</v>
      </c>
      <c r="AS554" s="88">
        <f>SUMIF(月間集計シート!$M$134:$M$153,$G554,月間集計シート!N$134:N$153)*AS$2</f>
        <v>0</v>
      </c>
      <c r="AT554" s="88">
        <f>SUMIF(月間集計シート!$M$134:$M$153,$G554,月間集計シート!O$134:O$153)*AT$2</f>
        <v>0</v>
      </c>
      <c r="AU554" s="88">
        <f>SUMIF(月間集計シート!$M$134:$M$153,$G554,月間集計シート!P$134:P$153)*AU$2</f>
        <v>0</v>
      </c>
      <c r="AV554" s="88">
        <f>SUMIF(月間集計シート!$M$134:$M$153,$G554,月間集計シート!Q$134:Q$153)*AV$2</f>
        <v>0</v>
      </c>
      <c r="AW554" s="88">
        <f>SUMIF(月間集計シート!$M$134:$M$153,$G554,月間集計シート!R$134:R$153)*AW$2</f>
        <v>0</v>
      </c>
      <c r="AX554" s="88">
        <f>SUMIF(月間集計シート!$M$134:$M$153,$G554,月間集計シート!S$134:S$153)*AX$2</f>
        <v>0</v>
      </c>
      <c r="AY554" s="88">
        <f>SUMIF(月間集計シート!$M$134:$M$153,$G554,月間集計シート!T$134:T$153)*AY$2</f>
        <v>0</v>
      </c>
    </row>
    <row r="555" spans="1:51" ht="14.25" thickBot="1">
      <c r="A555">
        <v>7</v>
      </c>
      <c r="B555" s="120">
        <f t="shared" si="251"/>
        <v>0</v>
      </c>
      <c r="C555" s="120" t="str">
        <f t="shared" si="252"/>
        <v/>
      </c>
      <c r="D555" s="137"/>
      <c r="E555" s="150" t="str">
        <f>工種!A37</f>
        <v>40199</v>
      </c>
      <c r="F555" s="119" t="str">
        <f>工種!B37</f>
        <v>テスト：その他</v>
      </c>
      <c r="G555" s="116" t="str">
        <f t="shared" si="253"/>
        <v>040199</v>
      </c>
      <c r="H555" s="88">
        <f t="shared" si="247"/>
        <v>0</v>
      </c>
      <c r="I555" s="132"/>
      <c r="J555" s="88">
        <f>SUMIF(月間集計シート!$M$29:$M$48,$G555,月間集計シート!N$29:N$48)*J$2</f>
        <v>0</v>
      </c>
      <c r="K555" s="88">
        <f>SUMIF(月間集計シート!$M$29:$M$48,$G555,月間集計シート!O$29:O$48)*K$2</f>
        <v>0</v>
      </c>
      <c r="L555" s="88">
        <f>SUMIF(月間集計シート!$M$29:$M$48,$G555,月間集計シート!P$29:P$48)*L$2</f>
        <v>0</v>
      </c>
      <c r="M555" s="88">
        <f>SUMIF(月間集計シート!$M$29:$M$48,$G555,月間集計シート!Q$29:Q$48)*M$2</f>
        <v>0</v>
      </c>
      <c r="N555" s="88">
        <f>SUMIF(月間集計シート!$M$29:$M$48,$G555,月間集計シート!R$29:R$48)*N$2</f>
        <v>0</v>
      </c>
      <c r="O555" s="88">
        <f>SUMIF(月間集計シート!$M$29:$M$48,$G555,月間集計シート!S$29:S$48)*O$2</f>
        <v>0</v>
      </c>
      <c r="P555" s="88">
        <f>SUMIF(月間集計シート!$M$29:$M$48,$G555,月間集計シート!T$29:T$48)*P$2</f>
        <v>0</v>
      </c>
      <c r="Q555" s="88">
        <f>SUMIF(月間集計シート!$M$50:$M$69,$G555,月間集計シート!N$50:N$69)*Q$2</f>
        <v>0</v>
      </c>
      <c r="R555" s="88">
        <f>SUMIF(月間集計シート!$M$50:$M$69,$G555,月間集計シート!O$50:O$69)*R$2</f>
        <v>0</v>
      </c>
      <c r="S555" s="88">
        <f>SUMIF(月間集計シート!$M$50:$M$69,$G555,月間集計シート!P$50:P$69)*S$2</f>
        <v>0</v>
      </c>
      <c r="T555" s="88">
        <f>SUMIF(月間集計シート!$M$50:$M$69,$G555,月間集計シート!Q$50:Q$69)*T$2</f>
        <v>0</v>
      </c>
      <c r="U555" s="88">
        <f>SUMIF(月間集計シート!$M$50:$M$69,$G555,月間集計シート!R$50:R$69)*U$2</f>
        <v>0</v>
      </c>
      <c r="V555" s="88">
        <f>SUMIF(月間集計シート!$M$50:$M$69,$G555,月間集計シート!S$50:S$69)*V$2</f>
        <v>0</v>
      </c>
      <c r="W555" s="88">
        <f>SUMIF(月間集計シート!$M$50:$M$69,$G555,月間集計シート!T$50:T$69)*W$2</f>
        <v>0</v>
      </c>
      <c r="X555" s="88">
        <f>SUMIF(月間集計シート!$M$71:$M$90,$G555,月間集計シート!N$71:N$90)*X$2</f>
        <v>0</v>
      </c>
      <c r="Y555" s="88">
        <f>SUMIF(月間集計シート!$M$71:$M$90,$G555,月間集計シート!O$71:O$90)*Y$2</f>
        <v>0</v>
      </c>
      <c r="Z555" s="88">
        <f>SUMIF(月間集計シート!$M$71:$M$90,$G555,月間集計シート!P$71:P$90)*Z$2</f>
        <v>0</v>
      </c>
      <c r="AA555" s="88">
        <f>SUMIF(月間集計シート!$M$71:$M$90,$G555,月間集計シート!Q$71:Q$90)*AA$2</f>
        <v>0</v>
      </c>
      <c r="AB555" s="88">
        <f>SUMIF(月間集計シート!$M$71:$M$90,$G555,月間集計シート!R$71:R$90)*AB$2</f>
        <v>0</v>
      </c>
      <c r="AC555" s="88">
        <f>SUMIF(月間集計シート!$M$71:$M$90,$G555,月間集計シート!S$71:S$90)*AC$2</f>
        <v>0</v>
      </c>
      <c r="AD555" s="88">
        <f>SUMIF(月間集計シート!$M$71:$M$90,$G555,月間集計シート!T$71:T$90)*AD$2</f>
        <v>0</v>
      </c>
      <c r="AE555" s="88">
        <f>SUMIF(月間集計シート!$M$92:$M$111,$G555,月間集計シート!N$92:N$111)*AE$2</f>
        <v>0</v>
      </c>
      <c r="AF555" s="88">
        <f>SUMIF(月間集計シート!$M$92:$M$111,$G555,月間集計シート!O$92:O$111)*AF$2</f>
        <v>0</v>
      </c>
      <c r="AG555" s="88">
        <f>SUMIF(月間集計シート!$M$92:$M$111,$G555,月間集計シート!P$92:P$111)*AG$2</f>
        <v>0</v>
      </c>
      <c r="AH555" s="88">
        <f>SUMIF(月間集計シート!$M$92:$M$111,$G555,月間集計シート!Q$92:Q$111)*AH$2</f>
        <v>0</v>
      </c>
      <c r="AI555" s="88">
        <f>SUMIF(月間集計シート!$M$92:$M$111,$G555,月間集計シート!R$92:R$111)*AI$2</f>
        <v>0</v>
      </c>
      <c r="AJ555" s="88">
        <f>SUMIF(月間集計シート!$M$92:$M$111,$G555,月間集計シート!S$92:S$111)*AJ$2</f>
        <v>0</v>
      </c>
      <c r="AK555" s="88">
        <f>SUMIF(月間集計シート!$M$92:$M$111,$G555,月間集計シート!T$92:T$111)*AK$2</f>
        <v>0</v>
      </c>
      <c r="AL555" s="88">
        <f>SUMIF(月間集計シート!$M$113:$M$132,$G555,月間集計シート!N$113:N$132)*AL$2</f>
        <v>0</v>
      </c>
      <c r="AM555" s="88">
        <f>SUMIF(月間集計シート!$M$113:$M$132,$G555,月間集計シート!O$113:O$132)*AM$2</f>
        <v>0</v>
      </c>
      <c r="AN555" s="88">
        <f>SUMIF(月間集計シート!$M$113:$M$132,$G555,月間集計シート!P$113:P$132)*AN$2</f>
        <v>0</v>
      </c>
      <c r="AO555" s="88">
        <f>SUMIF(月間集計シート!$M$113:$M$132,$G555,月間集計シート!Q$113:Q$132)*AO$2</f>
        <v>0</v>
      </c>
      <c r="AP555" s="88">
        <f>SUMIF(月間集計シート!$M$113:$M$132,$G555,月間集計シート!R$113:R$132)*AP$2</f>
        <v>0</v>
      </c>
      <c r="AQ555" s="88">
        <f>SUMIF(月間集計シート!$M$113:$M$132,$G555,月間集計シート!S$113:S$132)*AQ$2</f>
        <v>0</v>
      </c>
      <c r="AR555" s="88">
        <f>SUMIF(月間集計シート!$M$113:$M$132,$G555,月間集計シート!T$113:T$132)*AR$2</f>
        <v>0</v>
      </c>
      <c r="AS555" s="88">
        <f>SUMIF(月間集計シート!$M$134:$M$153,$G555,月間集計シート!N$134:N$153)*AS$2</f>
        <v>0</v>
      </c>
      <c r="AT555" s="88">
        <f>SUMIF(月間集計シート!$M$134:$M$153,$G555,月間集計シート!O$134:O$153)*AT$2</f>
        <v>0</v>
      </c>
      <c r="AU555" s="88">
        <f>SUMIF(月間集計シート!$M$134:$M$153,$G555,月間集計シート!P$134:P$153)*AU$2</f>
        <v>0</v>
      </c>
      <c r="AV555" s="88">
        <f>SUMIF(月間集計シート!$M$134:$M$153,$G555,月間集計シート!Q$134:Q$153)*AV$2</f>
        <v>0</v>
      </c>
      <c r="AW555" s="88">
        <f>SUMIF(月間集計シート!$M$134:$M$153,$G555,月間集計シート!R$134:R$153)*AW$2</f>
        <v>0</v>
      </c>
      <c r="AX555" s="88">
        <f>SUMIF(月間集計シート!$M$134:$M$153,$G555,月間集計シート!S$134:S$153)*AX$2</f>
        <v>0</v>
      </c>
      <c r="AY555" s="88">
        <f>SUMIF(月間集計シート!$M$134:$M$153,$G555,月間集計シート!T$134:T$153)*AY$2</f>
        <v>0</v>
      </c>
    </row>
    <row r="556" spans="1:51" ht="14.25" thickBot="1">
      <c r="A556">
        <v>7</v>
      </c>
      <c r="B556" s="120">
        <f t="shared" si="251"/>
        <v>0</v>
      </c>
      <c r="C556" s="120" t="str">
        <f t="shared" si="252"/>
        <v/>
      </c>
      <c r="D556" s="137"/>
      <c r="E556" s="150" t="str">
        <f>工種!A38</f>
        <v>50101</v>
      </c>
      <c r="F556" s="119" t="str">
        <f>工種!B38</f>
        <v>ﾏﾆｭｱﾙ作成：原稿作成</v>
      </c>
      <c r="G556" s="116" t="str">
        <f t="shared" si="253"/>
        <v>050101</v>
      </c>
      <c r="H556" s="88">
        <f t="shared" si="247"/>
        <v>0</v>
      </c>
      <c r="I556" s="132"/>
      <c r="J556" s="88">
        <f>SUMIF(月間集計シート!$M$29:$M$48,$G556,月間集計シート!N$29:N$48)*J$2</f>
        <v>0</v>
      </c>
      <c r="K556" s="88">
        <f>SUMIF(月間集計シート!$M$29:$M$48,$G556,月間集計シート!O$29:O$48)*K$2</f>
        <v>0</v>
      </c>
      <c r="L556" s="88">
        <f>SUMIF(月間集計シート!$M$29:$M$48,$G556,月間集計シート!P$29:P$48)*L$2</f>
        <v>0</v>
      </c>
      <c r="M556" s="88">
        <f>SUMIF(月間集計シート!$M$29:$M$48,$G556,月間集計シート!Q$29:Q$48)*M$2</f>
        <v>0</v>
      </c>
      <c r="N556" s="88">
        <f>SUMIF(月間集計シート!$M$29:$M$48,$G556,月間集計シート!R$29:R$48)*N$2</f>
        <v>0</v>
      </c>
      <c r="O556" s="88">
        <f>SUMIF(月間集計シート!$M$29:$M$48,$G556,月間集計シート!S$29:S$48)*O$2</f>
        <v>0</v>
      </c>
      <c r="P556" s="88">
        <f>SUMIF(月間集計シート!$M$29:$M$48,$G556,月間集計シート!T$29:T$48)*P$2</f>
        <v>0</v>
      </c>
      <c r="Q556" s="88">
        <f>SUMIF(月間集計シート!$M$50:$M$69,$G556,月間集計シート!N$50:N$69)*Q$2</f>
        <v>0</v>
      </c>
      <c r="R556" s="88">
        <f>SUMIF(月間集計シート!$M$50:$M$69,$G556,月間集計シート!O$50:O$69)*R$2</f>
        <v>0</v>
      </c>
      <c r="S556" s="88">
        <f>SUMIF(月間集計シート!$M$50:$M$69,$G556,月間集計シート!P$50:P$69)*S$2</f>
        <v>0</v>
      </c>
      <c r="T556" s="88">
        <f>SUMIF(月間集計シート!$M$50:$M$69,$G556,月間集計シート!Q$50:Q$69)*T$2</f>
        <v>0</v>
      </c>
      <c r="U556" s="88">
        <f>SUMIF(月間集計シート!$M$50:$M$69,$G556,月間集計シート!R$50:R$69)*U$2</f>
        <v>0</v>
      </c>
      <c r="V556" s="88">
        <f>SUMIF(月間集計シート!$M$50:$M$69,$G556,月間集計シート!S$50:S$69)*V$2</f>
        <v>0</v>
      </c>
      <c r="W556" s="88">
        <f>SUMIF(月間集計シート!$M$50:$M$69,$G556,月間集計シート!T$50:T$69)*W$2</f>
        <v>0</v>
      </c>
      <c r="X556" s="88">
        <f>SUMIF(月間集計シート!$M$71:$M$90,$G556,月間集計シート!N$71:N$90)*X$2</f>
        <v>0</v>
      </c>
      <c r="Y556" s="88">
        <f>SUMIF(月間集計シート!$M$71:$M$90,$G556,月間集計シート!O$71:O$90)*Y$2</f>
        <v>0</v>
      </c>
      <c r="Z556" s="88">
        <f>SUMIF(月間集計シート!$M$71:$M$90,$G556,月間集計シート!P$71:P$90)*Z$2</f>
        <v>0</v>
      </c>
      <c r="AA556" s="88">
        <f>SUMIF(月間集計シート!$M$71:$M$90,$G556,月間集計シート!Q$71:Q$90)*AA$2</f>
        <v>0</v>
      </c>
      <c r="AB556" s="88">
        <f>SUMIF(月間集計シート!$M$71:$M$90,$G556,月間集計シート!R$71:R$90)*AB$2</f>
        <v>0</v>
      </c>
      <c r="AC556" s="88">
        <f>SUMIF(月間集計シート!$M$71:$M$90,$G556,月間集計シート!S$71:S$90)*AC$2</f>
        <v>0</v>
      </c>
      <c r="AD556" s="88">
        <f>SUMIF(月間集計シート!$M$71:$M$90,$G556,月間集計シート!T$71:T$90)*AD$2</f>
        <v>0</v>
      </c>
      <c r="AE556" s="88">
        <f>SUMIF(月間集計シート!$M$92:$M$111,$G556,月間集計シート!N$92:N$111)*AE$2</f>
        <v>0</v>
      </c>
      <c r="AF556" s="88">
        <f>SUMIF(月間集計シート!$M$92:$M$111,$G556,月間集計シート!O$92:O$111)*AF$2</f>
        <v>0</v>
      </c>
      <c r="AG556" s="88">
        <f>SUMIF(月間集計シート!$M$92:$M$111,$G556,月間集計シート!P$92:P$111)*AG$2</f>
        <v>0</v>
      </c>
      <c r="AH556" s="88">
        <f>SUMIF(月間集計シート!$M$92:$M$111,$G556,月間集計シート!Q$92:Q$111)*AH$2</f>
        <v>0</v>
      </c>
      <c r="AI556" s="88">
        <f>SUMIF(月間集計シート!$M$92:$M$111,$G556,月間集計シート!R$92:R$111)*AI$2</f>
        <v>0</v>
      </c>
      <c r="AJ556" s="88">
        <f>SUMIF(月間集計シート!$M$92:$M$111,$G556,月間集計シート!S$92:S$111)*AJ$2</f>
        <v>0</v>
      </c>
      <c r="AK556" s="88">
        <f>SUMIF(月間集計シート!$M$92:$M$111,$G556,月間集計シート!T$92:T$111)*AK$2</f>
        <v>0</v>
      </c>
      <c r="AL556" s="88">
        <f>SUMIF(月間集計シート!$M$113:$M$132,$G556,月間集計シート!N$113:N$132)*AL$2</f>
        <v>0</v>
      </c>
      <c r="AM556" s="88">
        <f>SUMIF(月間集計シート!$M$113:$M$132,$G556,月間集計シート!O$113:O$132)*AM$2</f>
        <v>0</v>
      </c>
      <c r="AN556" s="88">
        <f>SUMIF(月間集計シート!$M$113:$M$132,$G556,月間集計シート!P$113:P$132)*AN$2</f>
        <v>0</v>
      </c>
      <c r="AO556" s="88">
        <f>SUMIF(月間集計シート!$M$113:$M$132,$G556,月間集計シート!Q$113:Q$132)*AO$2</f>
        <v>0</v>
      </c>
      <c r="AP556" s="88">
        <f>SUMIF(月間集計シート!$M$113:$M$132,$G556,月間集計シート!R$113:R$132)*AP$2</f>
        <v>0</v>
      </c>
      <c r="AQ556" s="88">
        <f>SUMIF(月間集計シート!$M$113:$M$132,$G556,月間集計シート!S$113:S$132)*AQ$2</f>
        <v>0</v>
      </c>
      <c r="AR556" s="88">
        <f>SUMIF(月間集計シート!$M$113:$M$132,$G556,月間集計シート!T$113:T$132)*AR$2</f>
        <v>0</v>
      </c>
      <c r="AS556" s="88">
        <f>SUMIF(月間集計シート!$M$134:$M$153,$G556,月間集計シート!N$134:N$153)*AS$2</f>
        <v>0</v>
      </c>
      <c r="AT556" s="88">
        <f>SUMIF(月間集計シート!$M$134:$M$153,$G556,月間集計シート!O$134:O$153)*AT$2</f>
        <v>0</v>
      </c>
      <c r="AU556" s="88">
        <f>SUMIF(月間集計シート!$M$134:$M$153,$G556,月間集計シート!P$134:P$153)*AU$2</f>
        <v>0</v>
      </c>
      <c r="AV556" s="88">
        <f>SUMIF(月間集計シート!$M$134:$M$153,$G556,月間集計シート!Q$134:Q$153)*AV$2</f>
        <v>0</v>
      </c>
      <c r="AW556" s="88">
        <f>SUMIF(月間集計シート!$M$134:$M$153,$G556,月間集計シート!R$134:R$153)*AW$2</f>
        <v>0</v>
      </c>
      <c r="AX556" s="88">
        <f>SUMIF(月間集計シート!$M$134:$M$153,$G556,月間集計シート!S$134:S$153)*AX$2</f>
        <v>0</v>
      </c>
      <c r="AY556" s="88">
        <f>SUMIF(月間集計シート!$M$134:$M$153,$G556,月間集計シート!T$134:T$153)*AY$2</f>
        <v>0</v>
      </c>
    </row>
    <row r="557" spans="1:51" ht="14.25" thickBot="1">
      <c r="A557">
        <v>7</v>
      </c>
      <c r="B557" s="120">
        <f t="shared" si="251"/>
        <v>0</v>
      </c>
      <c r="C557" s="120" t="str">
        <f t="shared" si="252"/>
        <v/>
      </c>
      <c r="D557" s="137"/>
      <c r="E557" s="150" t="str">
        <f>工種!A39</f>
        <v>50105</v>
      </c>
      <c r="F557" s="119" t="str">
        <f>工種!B39</f>
        <v>ﾏﾆｭｱﾙ作成：打合せ</v>
      </c>
      <c r="G557" s="116" t="str">
        <f t="shared" si="253"/>
        <v>050105</v>
      </c>
      <c r="H557" s="88">
        <f t="shared" si="247"/>
        <v>0</v>
      </c>
      <c r="I557" s="132"/>
      <c r="J557" s="88">
        <f>SUMIF(月間集計シート!$M$29:$M$48,$G557,月間集計シート!N$29:N$48)*J$2</f>
        <v>0</v>
      </c>
      <c r="K557" s="88">
        <f>SUMIF(月間集計シート!$M$29:$M$48,$G557,月間集計シート!O$29:O$48)*K$2</f>
        <v>0</v>
      </c>
      <c r="L557" s="88">
        <f>SUMIF(月間集計シート!$M$29:$M$48,$G557,月間集計シート!P$29:P$48)*L$2</f>
        <v>0</v>
      </c>
      <c r="M557" s="88">
        <f>SUMIF(月間集計シート!$M$29:$M$48,$G557,月間集計シート!Q$29:Q$48)*M$2</f>
        <v>0</v>
      </c>
      <c r="N557" s="88">
        <f>SUMIF(月間集計シート!$M$29:$M$48,$G557,月間集計シート!R$29:R$48)*N$2</f>
        <v>0</v>
      </c>
      <c r="O557" s="88">
        <f>SUMIF(月間集計シート!$M$29:$M$48,$G557,月間集計シート!S$29:S$48)*O$2</f>
        <v>0</v>
      </c>
      <c r="P557" s="88">
        <f>SUMIF(月間集計シート!$M$29:$M$48,$G557,月間集計シート!T$29:T$48)*P$2</f>
        <v>0</v>
      </c>
      <c r="Q557" s="88">
        <f>SUMIF(月間集計シート!$M$50:$M$69,$G557,月間集計シート!N$50:N$69)*Q$2</f>
        <v>0</v>
      </c>
      <c r="R557" s="88">
        <f>SUMIF(月間集計シート!$M$50:$M$69,$G557,月間集計シート!O$50:O$69)*R$2</f>
        <v>0</v>
      </c>
      <c r="S557" s="88">
        <f>SUMIF(月間集計シート!$M$50:$M$69,$G557,月間集計シート!P$50:P$69)*S$2</f>
        <v>0</v>
      </c>
      <c r="T557" s="88">
        <f>SUMIF(月間集計シート!$M$50:$M$69,$G557,月間集計シート!Q$50:Q$69)*T$2</f>
        <v>0</v>
      </c>
      <c r="U557" s="88">
        <f>SUMIF(月間集計シート!$M$50:$M$69,$G557,月間集計シート!R$50:R$69)*U$2</f>
        <v>0</v>
      </c>
      <c r="V557" s="88">
        <f>SUMIF(月間集計シート!$M$50:$M$69,$G557,月間集計シート!S$50:S$69)*V$2</f>
        <v>0</v>
      </c>
      <c r="W557" s="88">
        <f>SUMIF(月間集計シート!$M$50:$M$69,$G557,月間集計シート!T$50:T$69)*W$2</f>
        <v>0</v>
      </c>
      <c r="X557" s="88">
        <f>SUMIF(月間集計シート!$M$71:$M$90,$G557,月間集計シート!N$71:N$90)*X$2</f>
        <v>0</v>
      </c>
      <c r="Y557" s="88">
        <f>SUMIF(月間集計シート!$M$71:$M$90,$G557,月間集計シート!O$71:O$90)*Y$2</f>
        <v>0</v>
      </c>
      <c r="Z557" s="88">
        <f>SUMIF(月間集計シート!$M$71:$M$90,$G557,月間集計シート!P$71:P$90)*Z$2</f>
        <v>0</v>
      </c>
      <c r="AA557" s="88">
        <f>SUMIF(月間集計シート!$M$71:$M$90,$G557,月間集計シート!Q$71:Q$90)*AA$2</f>
        <v>0</v>
      </c>
      <c r="AB557" s="88">
        <f>SUMIF(月間集計シート!$M$71:$M$90,$G557,月間集計シート!R$71:R$90)*AB$2</f>
        <v>0</v>
      </c>
      <c r="AC557" s="88">
        <f>SUMIF(月間集計シート!$M$71:$M$90,$G557,月間集計シート!S$71:S$90)*AC$2</f>
        <v>0</v>
      </c>
      <c r="AD557" s="88">
        <f>SUMIF(月間集計シート!$M$71:$M$90,$G557,月間集計シート!T$71:T$90)*AD$2</f>
        <v>0</v>
      </c>
      <c r="AE557" s="88">
        <f>SUMIF(月間集計シート!$M$92:$M$111,$G557,月間集計シート!N$92:N$111)*AE$2</f>
        <v>0</v>
      </c>
      <c r="AF557" s="88">
        <f>SUMIF(月間集計シート!$M$92:$M$111,$G557,月間集計シート!O$92:O$111)*AF$2</f>
        <v>0</v>
      </c>
      <c r="AG557" s="88">
        <f>SUMIF(月間集計シート!$M$92:$M$111,$G557,月間集計シート!P$92:P$111)*AG$2</f>
        <v>0</v>
      </c>
      <c r="AH557" s="88">
        <f>SUMIF(月間集計シート!$M$92:$M$111,$G557,月間集計シート!Q$92:Q$111)*AH$2</f>
        <v>0</v>
      </c>
      <c r="AI557" s="88">
        <f>SUMIF(月間集計シート!$M$92:$M$111,$G557,月間集計シート!R$92:R$111)*AI$2</f>
        <v>0</v>
      </c>
      <c r="AJ557" s="88">
        <f>SUMIF(月間集計シート!$M$92:$M$111,$G557,月間集計シート!S$92:S$111)*AJ$2</f>
        <v>0</v>
      </c>
      <c r="AK557" s="88">
        <f>SUMIF(月間集計シート!$M$92:$M$111,$G557,月間集計シート!T$92:T$111)*AK$2</f>
        <v>0</v>
      </c>
      <c r="AL557" s="88">
        <f>SUMIF(月間集計シート!$M$113:$M$132,$G557,月間集計シート!N$113:N$132)*AL$2</f>
        <v>0</v>
      </c>
      <c r="AM557" s="88">
        <f>SUMIF(月間集計シート!$M$113:$M$132,$G557,月間集計シート!O$113:O$132)*AM$2</f>
        <v>0</v>
      </c>
      <c r="AN557" s="88">
        <f>SUMIF(月間集計シート!$M$113:$M$132,$G557,月間集計シート!P$113:P$132)*AN$2</f>
        <v>0</v>
      </c>
      <c r="AO557" s="88">
        <f>SUMIF(月間集計シート!$M$113:$M$132,$G557,月間集計シート!Q$113:Q$132)*AO$2</f>
        <v>0</v>
      </c>
      <c r="AP557" s="88">
        <f>SUMIF(月間集計シート!$M$113:$M$132,$G557,月間集計シート!R$113:R$132)*AP$2</f>
        <v>0</v>
      </c>
      <c r="AQ557" s="88">
        <f>SUMIF(月間集計シート!$M$113:$M$132,$G557,月間集計シート!S$113:S$132)*AQ$2</f>
        <v>0</v>
      </c>
      <c r="AR557" s="88">
        <f>SUMIF(月間集計シート!$M$113:$M$132,$G557,月間集計シート!T$113:T$132)*AR$2</f>
        <v>0</v>
      </c>
      <c r="AS557" s="88">
        <f>SUMIF(月間集計シート!$M$134:$M$153,$G557,月間集計シート!N$134:N$153)*AS$2</f>
        <v>0</v>
      </c>
      <c r="AT557" s="88">
        <f>SUMIF(月間集計シート!$M$134:$M$153,$G557,月間集計シート!O$134:O$153)*AT$2</f>
        <v>0</v>
      </c>
      <c r="AU557" s="88">
        <f>SUMIF(月間集計シート!$M$134:$M$153,$G557,月間集計シート!P$134:P$153)*AU$2</f>
        <v>0</v>
      </c>
      <c r="AV557" s="88">
        <f>SUMIF(月間集計シート!$M$134:$M$153,$G557,月間集計シート!Q$134:Q$153)*AV$2</f>
        <v>0</v>
      </c>
      <c r="AW557" s="88">
        <f>SUMIF(月間集計シート!$M$134:$M$153,$G557,月間集計シート!R$134:R$153)*AW$2</f>
        <v>0</v>
      </c>
      <c r="AX557" s="88">
        <f>SUMIF(月間集計シート!$M$134:$M$153,$G557,月間集計シート!S$134:S$153)*AX$2</f>
        <v>0</v>
      </c>
      <c r="AY557" s="88">
        <f>SUMIF(月間集計シート!$M$134:$M$153,$G557,月間集計シート!T$134:T$153)*AY$2</f>
        <v>0</v>
      </c>
    </row>
    <row r="558" spans="1:51" ht="14.25" thickBot="1">
      <c r="A558">
        <v>7</v>
      </c>
      <c r="B558" s="120">
        <f t="shared" si="251"/>
        <v>0</v>
      </c>
      <c r="C558" s="120" t="str">
        <f t="shared" si="252"/>
        <v/>
      </c>
      <c r="D558" s="137"/>
      <c r="E558" s="150" t="str">
        <f>工種!A40</f>
        <v>50106</v>
      </c>
      <c r="F558" s="119" t="str">
        <f>工種!B40</f>
        <v>ﾏﾆｭｱﾙ作成：ﾚﾋﾞｭｰ</v>
      </c>
      <c r="G558" s="116" t="str">
        <f t="shared" si="253"/>
        <v>050106</v>
      </c>
      <c r="H558" s="88">
        <f t="shared" si="247"/>
        <v>0</v>
      </c>
      <c r="I558" s="132"/>
      <c r="J558" s="88">
        <f>SUMIF(月間集計シート!$M$29:$M$48,$G558,月間集計シート!N$29:N$48)*J$2</f>
        <v>0</v>
      </c>
      <c r="K558" s="88">
        <f>SUMIF(月間集計シート!$M$29:$M$48,$G558,月間集計シート!O$29:O$48)*K$2</f>
        <v>0</v>
      </c>
      <c r="L558" s="88">
        <f>SUMIF(月間集計シート!$M$29:$M$48,$G558,月間集計シート!P$29:P$48)*L$2</f>
        <v>0</v>
      </c>
      <c r="M558" s="88">
        <f>SUMIF(月間集計シート!$M$29:$M$48,$G558,月間集計シート!Q$29:Q$48)*M$2</f>
        <v>0</v>
      </c>
      <c r="N558" s="88">
        <f>SUMIF(月間集計シート!$M$29:$M$48,$G558,月間集計シート!R$29:R$48)*N$2</f>
        <v>0</v>
      </c>
      <c r="O558" s="88">
        <f>SUMIF(月間集計シート!$M$29:$M$48,$G558,月間集計シート!S$29:S$48)*O$2</f>
        <v>0</v>
      </c>
      <c r="P558" s="88">
        <f>SUMIF(月間集計シート!$M$29:$M$48,$G558,月間集計シート!T$29:T$48)*P$2</f>
        <v>0</v>
      </c>
      <c r="Q558" s="88">
        <f>SUMIF(月間集計シート!$M$50:$M$69,$G558,月間集計シート!N$50:N$69)*Q$2</f>
        <v>0</v>
      </c>
      <c r="R558" s="88">
        <f>SUMIF(月間集計シート!$M$50:$M$69,$G558,月間集計シート!O$50:O$69)*R$2</f>
        <v>0</v>
      </c>
      <c r="S558" s="88">
        <f>SUMIF(月間集計シート!$M$50:$M$69,$G558,月間集計シート!P$50:P$69)*S$2</f>
        <v>0</v>
      </c>
      <c r="T558" s="88">
        <f>SUMIF(月間集計シート!$M$50:$M$69,$G558,月間集計シート!Q$50:Q$69)*T$2</f>
        <v>0</v>
      </c>
      <c r="U558" s="88">
        <f>SUMIF(月間集計シート!$M$50:$M$69,$G558,月間集計シート!R$50:R$69)*U$2</f>
        <v>0</v>
      </c>
      <c r="V558" s="88">
        <f>SUMIF(月間集計シート!$M$50:$M$69,$G558,月間集計シート!S$50:S$69)*V$2</f>
        <v>0</v>
      </c>
      <c r="W558" s="88">
        <f>SUMIF(月間集計シート!$M$50:$M$69,$G558,月間集計シート!T$50:T$69)*W$2</f>
        <v>0</v>
      </c>
      <c r="X558" s="88">
        <f>SUMIF(月間集計シート!$M$71:$M$90,$G558,月間集計シート!N$71:N$90)*X$2</f>
        <v>0</v>
      </c>
      <c r="Y558" s="88">
        <f>SUMIF(月間集計シート!$M$71:$M$90,$G558,月間集計シート!O$71:O$90)*Y$2</f>
        <v>0</v>
      </c>
      <c r="Z558" s="88">
        <f>SUMIF(月間集計シート!$M$71:$M$90,$G558,月間集計シート!P$71:P$90)*Z$2</f>
        <v>0</v>
      </c>
      <c r="AA558" s="88">
        <f>SUMIF(月間集計シート!$M$71:$M$90,$G558,月間集計シート!Q$71:Q$90)*AA$2</f>
        <v>0</v>
      </c>
      <c r="AB558" s="88">
        <f>SUMIF(月間集計シート!$M$71:$M$90,$G558,月間集計シート!R$71:R$90)*AB$2</f>
        <v>0</v>
      </c>
      <c r="AC558" s="88">
        <f>SUMIF(月間集計シート!$M$71:$M$90,$G558,月間集計シート!S$71:S$90)*AC$2</f>
        <v>0</v>
      </c>
      <c r="AD558" s="88">
        <f>SUMIF(月間集計シート!$M$71:$M$90,$G558,月間集計シート!T$71:T$90)*AD$2</f>
        <v>0</v>
      </c>
      <c r="AE558" s="88">
        <f>SUMIF(月間集計シート!$M$92:$M$111,$G558,月間集計シート!N$92:N$111)*AE$2</f>
        <v>0</v>
      </c>
      <c r="AF558" s="88">
        <f>SUMIF(月間集計シート!$M$92:$M$111,$G558,月間集計シート!O$92:O$111)*AF$2</f>
        <v>0</v>
      </c>
      <c r="AG558" s="88">
        <f>SUMIF(月間集計シート!$M$92:$M$111,$G558,月間集計シート!P$92:P$111)*AG$2</f>
        <v>0</v>
      </c>
      <c r="AH558" s="88">
        <f>SUMIF(月間集計シート!$M$92:$M$111,$G558,月間集計シート!Q$92:Q$111)*AH$2</f>
        <v>0</v>
      </c>
      <c r="AI558" s="88">
        <f>SUMIF(月間集計シート!$M$92:$M$111,$G558,月間集計シート!R$92:R$111)*AI$2</f>
        <v>0</v>
      </c>
      <c r="AJ558" s="88">
        <f>SUMIF(月間集計シート!$M$92:$M$111,$G558,月間集計シート!S$92:S$111)*AJ$2</f>
        <v>0</v>
      </c>
      <c r="AK558" s="88">
        <f>SUMIF(月間集計シート!$M$92:$M$111,$G558,月間集計シート!T$92:T$111)*AK$2</f>
        <v>0</v>
      </c>
      <c r="AL558" s="88">
        <f>SUMIF(月間集計シート!$M$113:$M$132,$G558,月間集計シート!N$113:N$132)*AL$2</f>
        <v>0</v>
      </c>
      <c r="AM558" s="88">
        <f>SUMIF(月間集計シート!$M$113:$M$132,$G558,月間集計シート!O$113:O$132)*AM$2</f>
        <v>0</v>
      </c>
      <c r="AN558" s="88">
        <f>SUMIF(月間集計シート!$M$113:$M$132,$G558,月間集計シート!P$113:P$132)*AN$2</f>
        <v>0</v>
      </c>
      <c r="AO558" s="88">
        <f>SUMIF(月間集計シート!$M$113:$M$132,$G558,月間集計シート!Q$113:Q$132)*AO$2</f>
        <v>0</v>
      </c>
      <c r="AP558" s="88">
        <f>SUMIF(月間集計シート!$M$113:$M$132,$G558,月間集計シート!R$113:R$132)*AP$2</f>
        <v>0</v>
      </c>
      <c r="AQ558" s="88">
        <f>SUMIF(月間集計シート!$M$113:$M$132,$G558,月間集計シート!S$113:S$132)*AQ$2</f>
        <v>0</v>
      </c>
      <c r="AR558" s="88">
        <f>SUMIF(月間集計シート!$M$113:$M$132,$G558,月間集計シート!T$113:T$132)*AR$2</f>
        <v>0</v>
      </c>
      <c r="AS558" s="88">
        <f>SUMIF(月間集計シート!$M$134:$M$153,$G558,月間集計シート!N$134:N$153)*AS$2</f>
        <v>0</v>
      </c>
      <c r="AT558" s="88">
        <f>SUMIF(月間集計シート!$M$134:$M$153,$G558,月間集計シート!O$134:O$153)*AT$2</f>
        <v>0</v>
      </c>
      <c r="AU558" s="88">
        <f>SUMIF(月間集計シート!$M$134:$M$153,$G558,月間集計シート!P$134:P$153)*AU$2</f>
        <v>0</v>
      </c>
      <c r="AV558" s="88">
        <f>SUMIF(月間集計シート!$M$134:$M$153,$G558,月間集計シート!Q$134:Q$153)*AV$2</f>
        <v>0</v>
      </c>
      <c r="AW558" s="88">
        <f>SUMIF(月間集計シート!$M$134:$M$153,$G558,月間集計シート!R$134:R$153)*AW$2</f>
        <v>0</v>
      </c>
      <c r="AX558" s="88">
        <f>SUMIF(月間集計シート!$M$134:$M$153,$G558,月間集計シート!S$134:S$153)*AX$2</f>
        <v>0</v>
      </c>
      <c r="AY558" s="88">
        <f>SUMIF(月間集計シート!$M$134:$M$153,$G558,月間集計シート!T$134:T$153)*AY$2</f>
        <v>0</v>
      </c>
    </row>
    <row r="559" spans="1:51" ht="14.25" thickBot="1">
      <c r="A559">
        <v>7</v>
      </c>
      <c r="B559" s="120">
        <f t="shared" si="251"/>
        <v>0</v>
      </c>
      <c r="C559" s="120" t="str">
        <f t="shared" si="252"/>
        <v/>
      </c>
      <c r="D559" s="137"/>
      <c r="E559" s="150" t="str">
        <f>工種!A41</f>
        <v>50199</v>
      </c>
      <c r="F559" s="119" t="str">
        <f>工種!B41</f>
        <v>ﾏﾆｭｱﾙ作成：その他</v>
      </c>
      <c r="G559" s="116" t="str">
        <f t="shared" si="253"/>
        <v>050199</v>
      </c>
      <c r="H559" s="88">
        <f t="shared" si="247"/>
        <v>0</v>
      </c>
      <c r="I559" s="132"/>
      <c r="J559" s="88">
        <f>SUMIF(月間集計シート!$M$29:$M$48,$G559,月間集計シート!N$29:N$48)*J$2</f>
        <v>0</v>
      </c>
      <c r="K559" s="88">
        <f>SUMIF(月間集計シート!$M$29:$M$48,$G559,月間集計シート!O$29:O$48)*K$2</f>
        <v>0</v>
      </c>
      <c r="L559" s="88">
        <f>SUMIF(月間集計シート!$M$29:$M$48,$G559,月間集計シート!P$29:P$48)*L$2</f>
        <v>0</v>
      </c>
      <c r="M559" s="88">
        <f>SUMIF(月間集計シート!$M$29:$M$48,$G559,月間集計シート!Q$29:Q$48)*M$2</f>
        <v>0</v>
      </c>
      <c r="N559" s="88">
        <f>SUMIF(月間集計シート!$M$29:$M$48,$G559,月間集計シート!R$29:R$48)*N$2</f>
        <v>0</v>
      </c>
      <c r="O559" s="88">
        <f>SUMIF(月間集計シート!$M$29:$M$48,$G559,月間集計シート!S$29:S$48)*O$2</f>
        <v>0</v>
      </c>
      <c r="P559" s="88">
        <f>SUMIF(月間集計シート!$M$29:$M$48,$G559,月間集計シート!T$29:T$48)*P$2</f>
        <v>0</v>
      </c>
      <c r="Q559" s="88">
        <f>SUMIF(月間集計シート!$M$50:$M$69,$G559,月間集計シート!N$50:N$69)*Q$2</f>
        <v>0</v>
      </c>
      <c r="R559" s="88">
        <f>SUMIF(月間集計シート!$M$50:$M$69,$G559,月間集計シート!O$50:O$69)*R$2</f>
        <v>0</v>
      </c>
      <c r="S559" s="88">
        <f>SUMIF(月間集計シート!$M$50:$M$69,$G559,月間集計シート!P$50:P$69)*S$2</f>
        <v>0</v>
      </c>
      <c r="T559" s="88">
        <f>SUMIF(月間集計シート!$M$50:$M$69,$G559,月間集計シート!Q$50:Q$69)*T$2</f>
        <v>0</v>
      </c>
      <c r="U559" s="88">
        <f>SUMIF(月間集計シート!$M$50:$M$69,$G559,月間集計シート!R$50:R$69)*U$2</f>
        <v>0</v>
      </c>
      <c r="V559" s="88">
        <f>SUMIF(月間集計シート!$M$50:$M$69,$G559,月間集計シート!S$50:S$69)*V$2</f>
        <v>0</v>
      </c>
      <c r="W559" s="88">
        <f>SUMIF(月間集計シート!$M$50:$M$69,$G559,月間集計シート!T$50:T$69)*W$2</f>
        <v>0</v>
      </c>
      <c r="X559" s="88">
        <f>SUMIF(月間集計シート!$M$71:$M$90,$G559,月間集計シート!N$71:N$90)*X$2</f>
        <v>0</v>
      </c>
      <c r="Y559" s="88">
        <f>SUMIF(月間集計シート!$M$71:$M$90,$G559,月間集計シート!O$71:O$90)*Y$2</f>
        <v>0</v>
      </c>
      <c r="Z559" s="88">
        <f>SUMIF(月間集計シート!$M$71:$M$90,$G559,月間集計シート!P$71:P$90)*Z$2</f>
        <v>0</v>
      </c>
      <c r="AA559" s="88">
        <f>SUMIF(月間集計シート!$M$71:$M$90,$G559,月間集計シート!Q$71:Q$90)*AA$2</f>
        <v>0</v>
      </c>
      <c r="AB559" s="88">
        <f>SUMIF(月間集計シート!$M$71:$M$90,$G559,月間集計シート!R$71:R$90)*AB$2</f>
        <v>0</v>
      </c>
      <c r="AC559" s="88">
        <f>SUMIF(月間集計シート!$M$71:$M$90,$G559,月間集計シート!S$71:S$90)*AC$2</f>
        <v>0</v>
      </c>
      <c r="AD559" s="88">
        <f>SUMIF(月間集計シート!$M$71:$M$90,$G559,月間集計シート!T$71:T$90)*AD$2</f>
        <v>0</v>
      </c>
      <c r="AE559" s="88">
        <f>SUMIF(月間集計シート!$M$92:$M$111,$G559,月間集計シート!N$92:N$111)*AE$2</f>
        <v>0</v>
      </c>
      <c r="AF559" s="88">
        <f>SUMIF(月間集計シート!$M$92:$M$111,$G559,月間集計シート!O$92:O$111)*AF$2</f>
        <v>0</v>
      </c>
      <c r="AG559" s="88">
        <f>SUMIF(月間集計シート!$M$92:$M$111,$G559,月間集計シート!P$92:P$111)*AG$2</f>
        <v>0</v>
      </c>
      <c r="AH559" s="88">
        <f>SUMIF(月間集計シート!$M$92:$M$111,$G559,月間集計シート!Q$92:Q$111)*AH$2</f>
        <v>0</v>
      </c>
      <c r="AI559" s="88">
        <f>SUMIF(月間集計シート!$M$92:$M$111,$G559,月間集計シート!R$92:R$111)*AI$2</f>
        <v>0</v>
      </c>
      <c r="AJ559" s="88">
        <f>SUMIF(月間集計シート!$M$92:$M$111,$G559,月間集計シート!S$92:S$111)*AJ$2</f>
        <v>0</v>
      </c>
      <c r="AK559" s="88">
        <f>SUMIF(月間集計シート!$M$92:$M$111,$G559,月間集計シート!T$92:T$111)*AK$2</f>
        <v>0</v>
      </c>
      <c r="AL559" s="88">
        <f>SUMIF(月間集計シート!$M$113:$M$132,$G559,月間集計シート!N$113:N$132)*AL$2</f>
        <v>0</v>
      </c>
      <c r="AM559" s="88">
        <f>SUMIF(月間集計シート!$M$113:$M$132,$G559,月間集計シート!O$113:O$132)*AM$2</f>
        <v>0</v>
      </c>
      <c r="AN559" s="88">
        <f>SUMIF(月間集計シート!$M$113:$M$132,$G559,月間集計シート!P$113:P$132)*AN$2</f>
        <v>0</v>
      </c>
      <c r="AO559" s="88">
        <f>SUMIF(月間集計シート!$M$113:$M$132,$G559,月間集計シート!Q$113:Q$132)*AO$2</f>
        <v>0</v>
      </c>
      <c r="AP559" s="88">
        <f>SUMIF(月間集計シート!$M$113:$M$132,$G559,月間集計シート!R$113:R$132)*AP$2</f>
        <v>0</v>
      </c>
      <c r="AQ559" s="88">
        <f>SUMIF(月間集計シート!$M$113:$M$132,$G559,月間集計シート!S$113:S$132)*AQ$2</f>
        <v>0</v>
      </c>
      <c r="AR559" s="88">
        <f>SUMIF(月間集計シート!$M$113:$M$132,$G559,月間集計シート!T$113:T$132)*AR$2</f>
        <v>0</v>
      </c>
      <c r="AS559" s="88">
        <f>SUMIF(月間集計シート!$M$134:$M$153,$G559,月間集計シート!N$134:N$153)*AS$2</f>
        <v>0</v>
      </c>
      <c r="AT559" s="88">
        <f>SUMIF(月間集計シート!$M$134:$M$153,$G559,月間集計シート!O$134:O$153)*AT$2</f>
        <v>0</v>
      </c>
      <c r="AU559" s="88">
        <f>SUMIF(月間集計シート!$M$134:$M$153,$G559,月間集計シート!P$134:P$153)*AU$2</f>
        <v>0</v>
      </c>
      <c r="AV559" s="88">
        <f>SUMIF(月間集計シート!$M$134:$M$153,$G559,月間集計シート!Q$134:Q$153)*AV$2</f>
        <v>0</v>
      </c>
      <c r="AW559" s="88">
        <f>SUMIF(月間集計シート!$M$134:$M$153,$G559,月間集計シート!R$134:R$153)*AW$2</f>
        <v>0</v>
      </c>
      <c r="AX559" s="88">
        <f>SUMIF(月間集計シート!$M$134:$M$153,$G559,月間集計シート!S$134:S$153)*AX$2</f>
        <v>0</v>
      </c>
      <c r="AY559" s="88">
        <f>SUMIF(月間集計シート!$M$134:$M$153,$G559,月間集計シート!T$134:T$153)*AY$2</f>
        <v>0</v>
      </c>
    </row>
    <row r="560" spans="1:51" ht="14.25" thickBot="1">
      <c r="A560">
        <v>7</v>
      </c>
      <c r="B560" s="120">
        <f t="shared" si="251"/>
        <v>0</v>
      </c>
      <c r="C560" s="120" t="str">
        <f t="shared" si="252"/>
        <v/>
      </c>
      <c r="D560" s="137"/>
      <c r="E560" s="150" t="str">
        <f>工種!A42</f>
        <v>60101</v>
      </c>
      <c r="F560" s="119" t="str">
        <f>工種!B42</f>
        <v>ﾘﾘｰｽ：ﾘﾘｰｽ・ﾃﾞﾘﾊﾞﾘ作業</v>
      </c>
      <c r="G560" s="116" t="str">
        <f t="shared" si="253"/>
        <v>060101</v>
      </c>
      <c r="H560" s="88">
        <f t="shared" si="247"/>
        <v>0</v>
      </c>
      <c r="I560" s="132"/>
      <c r="J560" s="88">
        <f>SUMIF(月間集計シート!$M$29:$M$48,$G560,月間集計シート!N$29:N$48)*J$2</f>
        <v>0</v>
      </c>
      <c r="K560" s="88">
        <f>SUMIF(月間集計シート!$M$29:$M$48,$G560,月間集計シート!O$29:O$48)*K$2</f>
        <v>0</v>
      </c>
      <c r="L560" s="88">
        <f>SUMIF(月間集計シート!$M$29:$M$48,$G560,月間集計シート!P$29:P$48)*L$2</f>
        <v>0</v>
      </c>
      <c r="M560" s="88">
        <f>SUMIF(月間集計シート!$M$29:$M$48,$G560,月間集計シート!Q$29:Q$48)*M$2</f>
        <v>0</v>
      </c>
      <c r="N560" s="88">
        <f>SUMIF(月間集計シート!$M$29:$M$48,$G560,月間集計シート!R$29:R$48)*N$2</f>
        <v>0</v>
      </c>
      <c r="O560" s="88">
        <f>SUMIF(月間集計シート!$M$29:$M$48,$G560,月間集計シート!S$29:S$48)*O$2</f>
        <v>0</v>
      </c>
      <c r="P560" s="88">
        <f>SUMIF(月間集計シート!$M$29:$M$48,$G560,月間集計シート!T$29:T$48)*P$2</f>
        <v>0</v>
      </c>
      <c r="Q560" s="88">
        <f>SUMIF(月間集計シート!$M$50:$M$69,$G560,月間集計シート!N$50:N$69)*Q$2</f>
        <v>0</v>
      </c>
      <c r="R560" s="88">
        <f>SUMIF(月間集計シート!$M$50:$M$69,$G560,月間集計シート!O$50:O$69)*R$2</f>
        <v>0</v>
      </c>
      <c r="S560" s="88">
        <f>SUMIF(月間集計シート!$M$50:$M$69,$G560,月間集計シート!P$50:P$69)*S$2</f>
        <v>0</v>
      </c>
      <c r="T560" s="88">
        <f>SUMIF(月間集計シート!$M$50:$M$69,$G560,月間集計シート!Q$50:Q$69)*T$2</f>
        <v>0</v>
      </c>
      <c r="U560" s="88">
        <f>SUMIF(月間集計シート!$M$50:$M$69,$G560,月間集計シート!R$50:R$69)*U$2</f>
        <v>0</v>
      </c>
      <c r="V560" s="88">
        <f>SUMIF(月間集計シート!$M$50:$M$69,$G560,月間集計シート!S$50:S$69)*V$2</f>
        <v>0</v>
      </c>
      <c r="W560" s="88">
        <f>SUMIF(月間集計シート!$M$50:$M$69,$G560,月間集計シート!T$50:T$69)*W$2</f>
        <v>0</v>
      </c>
      <c r="X560" s="88">
        <f>SUMIF(月間集計シート!$M$71:$M$90,$G560,月間集計シート!N$71:N$90)*X$2</f>
        <v>0</v>
      </c>
      <c r="Y560" s="88">
        <f>SUMIF(月間集計シート!$M$71:$M$90,$G560,月間集計シート!O$71:O$90)*Y$2</f>
        <v>0</v>
      </c>
      <c r="Z560" s="88">
        <f>SUMIF(月間集計シート!$M$71:$M$90,$G560,月間集計シート!P$71:P$90)*Z$2</f>
        <v>0</v>
      </c>
      <c r="AA560" s="88">
        <f>SUMIF(月間集計シート!$M$71:$M$90,$G560,月間集計シート!Q$71:Q$90)*AA$2</f>
        <v>0</v>
      </c>
      <c r="AB560" s="88">
        <f>SUMIF(月間集計シート!$M$71:$M$90,$G560,月間集計シート!R$71:R$90)*AB$2</f>
        <v>0</v>
      </c>
      <c r="AC560" s="88">
        <f>SUMIF(月間集計シート!$M$71:$M$90,$G560,月間集計シート!S$71:S$90)*AC$2</f>
        <v>0</v>
      </c>
      <c r="AD560" s="88">
        <f>SUMIF(月間集計シート!$M$71:$M$90,$G560,月間集計シート!T$71:T$90)*AD$2</f>
        <v>0</v>
      </c>
      <c r="AE560" s="88">
        <f>SUMIF(月間集計シート!$M$92:$M$111,$G560,月間集計シート!N$92:N$111)*AE$2</f>
        <v>0</v>
      </c>
      <c r="AF560" s="88">
        <f>SUMIF(月間集計シート!$M$92:$M$111,$G560,月間集計シート!O$92:O$111)*AF$2</f>
        <v>0</v>
      </c>
      <c r="AG560" s="88">
        <f>SUMIF(月間集計シート!$M$92:$M$111,$G560,月間集計シート!P$92:P$111)*AG$2</f>
        <v>0</v>
      </c>
      <c r="AH560" s="88">
        <f>SUMIF(月間集計シート!$M$92:$M$111,$G560,月間集計シート!Q$92:Q$111)*AH$2</f>
        <v>0</v>
      </c>
      <c r="AI560" s="88">
        <f>SUMIF(月間集計シート!$M$92:$M$111,$G560,月間集計シート!R$92:R$111)*AI$2</f>
        <v>0</v>
      </c>
      <c r="AJ560" s="88">
        <f>SUMIF(月間集計シート!$M$92:$M$111,$G560,月間集計シート!S$92:S$111)*AJ$2</f>
        <v>0</v>
      </c>
      <c r="AK560" s="88">
        <f>SUMIF(月間集計シート!$M$92:$M$111,$G560,月間集計シート!T$92:T$111)*AK$2</f>
        <v>0</v>
      </c>
      <c r="AL560" s="88">
        <f>SUMIF(月間集計シート!$M$113:$M$132,$G560,月間集計シート!N$113:N$132)*AL$2</f>
        <v>0</v>
      </c>
      <c r="AM560" s="88">
        <f>SUMIF(月間集計シート!$M$113:$M$132,$G560,月間集計シート!O$113:O$132)*AM$2</f>
        <v>0</v>
      </c>
      <c r="AN560" s="88">
        <f>SUMIF(月間集計シート!$M$113:$M$132,$G560,月間集計シート!P$113:P$132)*AN$2</f>
        <v>0</v>
      </c>
      <c r="AO560" s="88">
        <f>SUMIF(月間集計シート!$M$113:$M$132,$G560,月間集計シート!Q$113:Q$132)*AO$2</f>
        <v>0</v>
      </c>
      <c r="AP560" s="88">
        <f>SUMIF(月間集計シート!$M$113:$M$132,$G560,月間集計シート!R$113:R$132)*AP$2</f>
        <v>0</v>
      </c>
      <c r="AQ560" s="88">
        <f>SUMIF(月間集計シート!$M$113:$M$132,$G560,月間集計シート!S$113:S$132)*AQ$2</f>
        <v>0</v>
      </c>
      <c r="AR560" s="88">
        <f>SUMIF(月間集計シート!$M$113:$M$132,$G560,月間集計シート!T$113:T$132)*AR$2</f>
        <v>0</v>
      </c>
      <c r="AS560" s="88">
        <f>SUMIF(月間集計シート!$M$134:$M$153,$G560,月間集計シート!N$134:N$153)*AS$2</f>
        <v>0</v>
      </c>
      <c r="AT560" s="88">
        <f>SUMIF(月間集計シート!$M$134:$M$153,$G560,月間集計シート!O$134:O$153)*AT$2</f>
        <v>0</v>
      </c>
      <c r="AU560" s="88">
        <f>SUMIF(月間集計シート!$M$134:$M$153,$G560,月間集計シート!P$134:P$153)*AU$2</f>
        <v>0</v>
      </c>
      <c r="AV560" s="88">
        <f>SUMIF(月間集計シート!$M$134:$M$153,$G560,月間集計シート!Q$134:Q$153)*AV$2</f>
        <v>0</v>
      </c>
      <c r="AW560" s="88">
        <f>SUMIF(月間集計シート!$M$134:$M$153,$G560,月間集計シート!R$134:R$153)*AW$2</f>
        <v>0</v>
      </c>
      <c r="AX560" s="88">
        <f>SUMIF(月間集計シート!$M$134:$M$153,$G560,月間集計シート!S$134:S$153)*AX$2</f>
        <v>0</v>
      </c>
      <c r="AY560" s="88">
        <f>SUMIF(月間集計シート!$M$134:$M$153,$G560,月間集計シート!T$134:T$153)*AY$2</f>
        <v>0</v>
      </c>
    </row>
    <row r="561" spans="1:51" ht="14.25" thickBot="1">
      <c r="A561">
        <v>7</v>
      </c>
      <c r="B561" s="120">
        <f t="shared" si="251"/>
        <v>0</v>
      </c>
      <c r="C561" s="120" t="str">
        <f t="shared" si="252"/>
        <v/>
      </c>
      <c r="D561" s="137"/>
      <c r="E561" s="150" t="str">
        <f>工種!A43</f>
        <v>60102</v>
      </c>
      <c r="F561" s="119" t="str">
        <f>工種!B43</f>
        <v>ﾘﾘｰｽ：ﾘﾘｰｽ関連業務</v>
      </c>
      <c r="G561" s="116" t="str">
        <f t="shared" si="253"/>
        <v>060102</v>
      </c>
      <c r="H561" s="88">
        <f t="shared" si="247"/>
        <v>0</v>
      </c>
      <c r="I561" s="132"/>
      <c r="J561" s="88">
        <f>SUMIF(月間集計シート!$M$29:$M$48,$G561,月間集計シート!N$29:N$48)*J$2</f>
        <v>0</v>
      </c>
      <c r="K561" s="88">
        <f>SUMIF(月間集計シート!$M$29:$M$48,$G561,月間集計シート!O$29:O$48)*K$2</f>
        <v>0</v>
      </c>
      <c r="L561" s="88">
        <f>SUMIF(月間集計シート!$M$29:$M$48,$G561,月間集計シート!P$29:P$48)*L$2</f>
        <v>0</v>
      </c>
      <c r="M561" s="88">
        <f>SUMIF(月間集計シート!$M$29:$M$48,$G561,月間集計シート!Q$29:Q$48)*M$2</f>
        <v>0</v>
      </c>
      <c r="N561" s="88">
        <f>SUMIF(月間集計シート!$M$29:$M$48,$G561,月間集計シート!R$29:R$48)*N$2</f>
        <v>0</v>
      </c>
      <c r="O561" s="88">
        <f>SUMIF(月間集計シート!$M$29:$M$48,$G561,月間集計シート!S$29:S$48)*O$2</f>
        <v>0</v>
      </c>
      <c r="P561" s="88">
        <f>SUMIF(月間集計シート!$M$29:$M$48,$G561,月間集計シート!T$29:T$48)*P$2</f>
        <v>0</v>
      </c>
      <c r="Q561" s="88">
        <f>SUMIF(月間集計シート!$M$50:$M$69,$G561,月間集計シート!N$50:N$69)*Q$2</f>
        <v>0</v>
      </c>
      <c r="R561" s="88">
        <f>SUMIF(月間集計シート!$M$50:$M$69,$G561,月間集計シート!O$50:O$69)*R$2</f>
        <v>0</v>
      </c>
      <c r="S561" s="88">
        <f>SUMIF(月間集計シート!$M$50:$M$69,$G561,月間集計シート!P$50:P$69)*S$2</f>
        <v>0</v>
      </c>
      <c r="T561" s="88">
        <f>SUMIF(月間集計シート!$M$50:$M$69,$G561,月間集計シート!Q$50:Q$69)*T$2</f>
        <v>0</v>
      </c>
      <c r="U561" s="88">
        <f>SUMIF(月間集計シート!$M$50:$M$69,$G561,月間集計シート!R$50:R$69)*U$2</f>
        <v>0</v>
      </c>
      <c r="V561" s="88">
        <f>SUMIF(月間集計シート!$M$50:$M$69,$G561,月間集計シート!S$50:S$69)*V$2</f>
        <v>0</v>
      </c>
      <c r="W561" s="88">
        <f>SUMIF(月間集計シート!$M$50:$M$69,$G561,月間集計シート!T$50:T$69)*W$2</f>
        <v>0</v>
      </c>
      <c r="X561" s="88">
        <f>SUMIF(月間集計シート!$M$71:$M$90,$G561,月間集計シート!N$71:N$90)*X$2</f>
        <v>0</v>
      </c>
      <c r="Y561" s="88">
        <f>SUMIF(月間集計シート!$M$71:$M$90,$G561,月間集計シート!O$71:O$90)*Y$2</f>
        <v>0</v>
      </c>
      <c r="Z561" s="88">
        <f>SUMIF(月間集計シート!$M$71:$M$90,$G561,月間集計シート!P$71:P$90)*Z$2</f>
        <v>0</v>
      </c>
      <c r="AA561" s="88">
        <f>SUMIF(月間集計シート!$M$71:$M$90,$G561,月間集計シート!Q$71:Q$90)*AA$2</f>
        <v>0</v>
      </c>
      <c r="AB561" s="88">
        <f>SUMIF(月間集計シート!$M$71:$M$90,$G561,月間集計シート!R$71:R$90)*AB$2</f>
        <v>0</v>
      </c>
      <c r="AC561" s="88">
        <f>SUMIF(月間集計シート!$M$71:$M$90,$G561,月間集計シート!S$71:S$90)*AC$2</f>
        <v>0</v>
      </c>
      <c r="AD561" s="88">
        <f>SUMIF(月間集計シート!$M$71:$M$90,$G561,月間集計シート!T$71:T$90)*AD$2</f>
        <v>0</v>
      </c>
      <c r="AE561" s="88">
        <f>SUMIF(月間集計シート!$M$92:$M$111,$G561,月間集計シート!N$92:N$111)*AE$2</f>
        <v>0</v>
      </c>
      <c r="AF561" s="88">
        <f>SUMIF(月間集計シート!$M$92:$M$111,$G561,月間集計シート!O$92:O$111)*AF$2</f>
        <v>0</v>
      </c>
      <c r="AG561" s="88">
        <f>SUMIF(月間集計シート!$M$92:$M$111,$G561,月間集計シート!P$92:P$111)*AG$2</f>
        <v>0</v>
      </c>
      <c r="AH561" s="88">
        <f>SUMIF(月間集計シート!$M$92:$M$111,$G561,月間集計シート!Q$92:Q$111)*AH$2</f>
        <v>0</v>
      </c>
      <c r="AI561" s="88">
        <f>SUMIF(月間集計シート!$M$92:$M$111,$G561,月間集計シート!R$92:R$111)*AI$2</f>
        <v>0</v>
      </c>
      <c r="AJ561" s="88">
        <f>SUMIF(月間集計シート!$M$92:$M$111,$G561,月間集計シート!S$92:S$111)*AJ$2</f>
        <v>0</v>
      </c>
      <c r="AK561" s="88">
        <f>SUMIF(月間集計シート!$M$92:$M$111,$G561,月間集計シート!T$92:T$111)*AK$2</f>
        <v>0</v>
      </c>
      <c r="AL561" s="88">
        <f>SUMIF(月間集計シート!$M$113:$M$132,$G561,月間集計シート!N$113:N$132)*AL$2</f>
        <v>0</v>
      </c>
      <c r="AM561" s="88">
        <f>SUMIF(月間集計シート!$M$113:$M$132,$G561,月間集計シート!O$113:O$132)*AM$2</f>
        <v>0</v>
      </c>
      <c r="AN561" s="88">
        <f>SUMIF(月間集計シート!$M$113:$M$132,$G561,月間集計シート!P$113:P$132)*AN$2</f>
        <v>0</v>
      </c>
      <c r="AO561" s="88">
        <f>SUMIF(月間集計シート!$M$113:$M$132,$G561,月間集計シート!Q$113:Q$132)*AO$2</f>
        <v>0</v>
      </c>
      <c r="AP561" s="88">
        <f>SUMIF(月間集計シート!$M$113:$M$132,$G561,月間集計シート!R$113:R$132)*AP$2</f>
        <v>0</v>
      </c>
      <c r="AQ561" s="88">
        <f>SUMIF(月間集計シート!$M$113:$M$132,$G561,月間集計シート!S$113:S$132)*AQ$2</f>
        <v>0</v>
      </c>
      <c r="AR561" s="88">
        <f>SUMIF(月間集計シート!$M$113:$M$132,$G561,月間集計シート!T$113:T$132)*AR$2</f>
        <v>0</v>
      </c>
      <c r="AS561" s="88">
        <f>SUMIF(月間集計シート!$M$134:$M$153,$G561,月間集計シート!N$134:N$153)*AS$2</f>
        <v>0</v>
      </c>
      <c r="AT561" s="88">
        <f>SUMIF(月間集計シート!$M$134:$M$153,$G561,月間集計シート!O$134:O$153)*AT$2</f>
        <v>0</v>
      </c>
      <c r="AU561" s="88">
        <f>SUMIF(月間集計シート!$M$134:$M$153,$G561,月間集計シート!P$134:P$153)*AU$2</f>
        <v>0</v>
      </c>
      <c r="AV561" s="88">
        <f>SUMIF(月間集計シート!$M$134:$M$153,$G561,月間集計シート!Q$134:Q$153)*AV$2</f>
        <v>0</v>
      </c>
      <c r="AW561" s="88">
        <f>SUMIF(月間集計シート!$M$134:$M$153,$G561,月間集計シート!R$134:R$153)*AW$2</f>
        <v>0</v>
      </c>
      <c r="AX561" s="88">
        <f>SUMIF(月間集計シート!$M$134:$M$153,$G561,月間集計シート!S$134:S$153)*AX$2</f>
        <v>0</v>
      </c>
      <c r="AY561" s="88">
        <f>SUMIF(月間集計シート!$M$134:$M$153,$G561,月間集計シート!T$134:T$153)*AY$2</f>
        <v>0</v>
      </c>
    </row>
    <row r="562" spans="1:51" ht="14.25" thickBot="1">
      <c r="A562">
        <v>7</v>
      </c>
      <c r="B562" s="120">
        <f t="shared" si="251"/>
        <v>0</v>
      </c>
      <c r="C562" s="120" t="str">
        <f t="shared" si="252"/>
        <v/>
      </c>
      <c r="D562" s="137"/>
      <c r="E562" s="150" t="str">
        <f>工種!A44</f>
        <v>60103</v>
      </c>
      <c r="F562" s="119" t="str">
        <f>工種!B44</f>
        <v>ﾘﾘｰｽ：ﾏﾆｭｱﾙPDF作成・修正</v>
      </c>
      <c r="G562" s="116" t="str">
        <f t="shared" si="253"/>
        <v>060103</v>
      </c>
      <c r="H562" s="88">
        <f t="shared" si="247"/>
        <v>0</v>
      </c>
      <c r="I562" s="132"/>
      <c r="J562" s="88">
        <f>SUMIF(月間集計シート!$M$29:$M$48,$G562,月間集計シート!N$29:N$48)*J$2</f>
        <v>0</v>
      </c>
      <c r="K562" s="88">
        <f>SUMIF(月間集計シート!$M$29:$M$48,$G562,月間集計シート!O$29:O$48)*K$2</f>
        <v>0</v>
      </c>
      <c r="L562" s="88">
        <f>SUMIF(月間集計シート!$M$29:$M$48,$G562,月間集計シート!P$29:P$48)*L$2</f>
        <v>0</v>
      </c>
      <c r="M562" s="88">
        <f>SUMIF(月間集計シート!$M$29:$M$48,$G562,月間集計シート!Q$29:Q$48)*M$2</f>
        <v>0</v>
      </c>
      <c r="N562" s="88">
        <f>SUMIF(月間集計シート!$M$29:$M$48,$G562,月間集計シート!R$29:R$48)*N$2</f>
        <v>0</v>
      </c>
      <c r="O562" s="88">
        <f>SUMIF(月間集計シート!$M$29:$M$48,$G562,月間集計シート!S$29:S$48)*O$2</f>
        <v>0</v>
      </c>
      <c r="P562" s="88">
        <f>SUMIF(月間集計シート!$M$29:$M$48,$G562,月間集計シート!T$29:T$48)*P$2</f>
        <v>0</v>
      </c>
      <c r="Q562" s="88">
        <f>SUMIF(月間集計シート!$M$50:$M$69,$G562,月間集計シート!N$50:N$69)*Q$2</f>
        <v>0</v>
      </c>
      <c r="R562" s="88">
        <f>SUMIF(月間集計シート!$M$50:$M$69,$G562,月間集計シート!O$50:O$69)*R$2</f>
        <v>0</v>
      </c>
      <c r="S562" s="88">
        <f>SUMIF(月間集計シート!$M$50:$M$69,$G562,月間集計シート!P$50:P$69)*S$2</f>
        <v>0</v>
      </c>
      <c r="T562" s="88">
        <f>SUMIF(月間集計シート!$M$50:$M$69,$G562,月間集計シート!Q$50:Q$69)*T$2</f>
        <v>0</v>
      </c>
      <c r="U562" s="88">
        <f>SUMIF(月間集計シート!$M$50:$M$69,$G562,月間集計シート!R$50:R$69)*U$2</f>
        <v>0</v>
      </c>
      <c r="V562" s="88">
        <f>SUMIF(月間集計シート!$M$50:$M$69,$G562,月間集計シート!S$50:S$69)*V$2</f>
        <v>0</v>
      </c>
      <c r="W562" s="88">
        <f>SUMIF(月間集計シート!$M$50:$M$69,$G562,月間集計シート!T$50:T$69)*W$2</f>
        <v>0</v>
      </c>
      <c r="X562" s="88">
        <f>SUMIF(月間集計シート!$M$71:$M$90,$G562,月間集計シート!N$71:N$90)*X$2</f>
        <v>0</v>
      </c>
      <c r="Y562" s="88">
        <f>SUMIF(月間集計シート!$M$71:$M$90,$G562,月間集計シート!O$71:O$90)*Y$2</f>
        <v>0</v>
      </c>
      <c r="Z562" s="88">
        <f>SUMIF(月間集計シート!$M$71:$M$90,$G562,月間集計シート!P$71:P$90)*Z$2</f>
        <v>0</v>
      </c>
      <c r="AA562" s="88">
        <f>SUMIF(月間集計シート!$M$71:$M$90,$G562,月間集計シート!Q$71:Q$90)*AA$2</f>
        <v>0</v>
      </c>
      <c r="AB562" s="88">
        <f>SUMIF(月間集計シート!$M$71:$M$90,$G562,月間集計シート!R$71:R$90)*AB$2</f>
        <v>0</v>
      </c>
      <c r="AC562" s="88">
        <f>SUMIF(月間集計シート!$M$71:$M$90,$G562,月間集計シート!S$71:S$90)*AC$2</f>
        <v>0</v>
      </c>
      <c r="AD562" s="88">
        <f>SUMIF(月間集計シート!$M$71:$M$90,$G562,月間集計シート!T$71:T$90)*AD$2</f>
        <v>0</v>
      </c>
      <c r="AE562" s="88">
        <f>SUMIF(月間集計シート!$M$92:$M$111,$G562,月間集計シート!N$92:N$111)*AE$2</f>
        <v>0</v>
      </c>
      <c r="AF562" s="88">
        <f>SUMIF(月間集計シート!$M$92:$M$111,$G562,月間集計シート!O$92:O$111)*AF$2</f>
        <v>0</v>
      </c>
      <c r="AG562" s="88">
        <f>SUMIF(月間集計シート!$M$92:$M$111,$G562,月間集計シート!P$92:P$111)*AG$2</f>
        <v>0</v>
      </c>
      <c r="AH562" s="88">
        <f>SUMIF(月間集計シート!$M$92:$M$111,$G562,月間集計シート!Q$92:Q$111)*AH$2</f>
        <v>0</v>
      </c>
      <c r="AI562" s="88">
        <f>SUMIF(月間集計シート!$M$92:$M$111,$G562,月間集計シート!R$92:R$111)*AI$2</f>
        <v>0</v>
      </c>
      <c r="AJ562" s="88">
        <f>SUMIF(月間集計シート!$M$92:$M$111,$G562,月間集計シート!S$92:S$111)*AJ$2</f>
        <v>0</v>
      </c>
      <c r="AK562" s="88">
        <f>SUMIF(月間集計シート!$M$92:$M$111,$G562,月間集計シート!T$92:T$111)*AK$2</f>
        <v>0</v>
      </c>
      <c r="AL562" s="88">
        <f>SUMIF(月間集計シート!$M$113:$M$132,$G562,月間集計シート!N$113:N$132)*AL$2</f>
        <v>0</v>
      </c>
      <c r="AM562" s="88">
        <f>SUMIF(月間集計シート!$M$113:$M$132,$G562,月間集計シート!O$113:O$132)*AM$2</f>
        <v>0</v>
      </c>
      <c r="AN562" s="88">
        <f>SUMIF(月間集計シート!$M$113:$M$132,$G562,月間集計シート!P$113:P$132)*AN$2</f>
        <v>0</v>
      </c>
      <c r="AO562" s="88">
        <f>SUMIF(月間集計シート!$M$113:$M$132,$G562,月間集計シート!Q$113:Q$132)*AO$2</f>
        <v>0</v>
      </c>
      <c r="AP562" s="88">
        <f>SUMIF(月間集計シート!$M$113:$M$132,$G562,月間集計シート!R$113:R$132)*AP$2</f>
        <v>0</v>
      </c>
      <c r="AQ562" s="88">
        <f>SUMIF(月間集計シート!$M$113:$M$132,$G562,月間集計シート!S$113:S$132)*AQ$2</f>
        <v>0</v>
      </c>
      <c r="AR562" s="88">
        <f>SUMIF(月間集計シート!$M$113:$M$132,$G562,月間集計シート!T$113:T$132)*AR$2</f>
        <v>0</v>
      </c>
      <c r="AS562" s="88">
        <f>SUMIF(月間集計シート!$M$134:$M$153,$G562,月間集計シート!N$134:N$153)*AS$2</f>
        <v>0</v>
      </c>
      <c r="AT562" s="88">
        <f>SUMIF(月間集計シート!$M$134:$M$153,$G562,月間集計シート!O$134:O$153)*AT$2</f>
        <v>0</v>
      </c>
      <c r="AU562" s="88">
        <f>SUMIF(月間集計シート!$M$134:$M$153,$G562,月間集計シート!P$134:P$153)*AU$2</f>
        <v>0</v>
      </c>
      <c r="AV562" s="88">
        <f>SUMIF(月間集計シート!$M$134:$M$153,$G562,月間集計シート!Q$134:Q$153)*AV$2</f>
        <v>0</v>
      </c>
      <c r="AW562" s="88">
        <f>SUMIF(月間集計シート!$M$134:$M$153,$G562,月間集計シート!R$134:R$153)*AW$2</f>
        <v>0</v>
      </c>
      <c r="AX562" s="88">
        <f>SUMIF(月間集計シート!$M$134:$M$153,$G562,月間集計シート!S$134:S$153)*AX$2</f>
        <v>0</v>
      </c>
      <c r="AY562" s="88">
        <f>SUMIF(月間集計シート!$M$134:$M$153,$G562,月間集計シート!T$134:T$153)*AY$2</f>
        <v>0</v>
      </c>
    </row>
    <row r="563" spans="1:51" ht="14.25" thickBot="1">
      <c r="A563">
        <v>7</v>
      </c>
      <c r="B563" s="120">
        <f t="shared" si="251"/>
        <v>0</v>
      </c>
      <c r="C563" s="120" t="str">
        <f t="shared" si="252"/>
        <v/>
      </c>
      <c r="D563" s="137"/>
      <c r="E563" s="150" t="str">
        <f>工種!A45</f>
        <v>60104</v>
      </c>
      <c r="F563" s="119" t="str">
        <f>工種!B45</f>
        <v>ﾘﾘｰｽ：ﾍﾙﾌﾟ作成・修正</v>
      </c>
      <c r="G563" s="116" t="str">
        <f t="shared" si="253"/>
        <v>060104</v>
      </c>
      <c r="H563" s="88">
        <f t="shared" si="247"/>
        <v>0</v>
      </c>
      <c r="I563" s="132"/>
      <c r="J563" s="88">
        <f>SUMIF(月間集計シート!$M$29:$M$48,$G563,月間集計シート!N$29:N$48)*J$2</f>
        <v>0</v>
      </c>
      <c r="K563" s="88">
        <f>SUMIF(月間集計シート!$M$29:$M$48,$G563,月間集計シート!O$29:O$48)*K$2</f>
        <v>0</v>
      </c>
      <c r="L563" s="88">
        <f>SUMIF(月間集計シート!$M$29:$M$48,$G563,月間集計シート!P$29:P$48)*L$2</f>
        <v>0</v>
      </c>
      <c r="M563" s="88">
        <f>SUMIF(月間集計シート!$M$29:$M$48,$G563,月間集計シート!Q$29:Q$48)*M$2</f>
        <v>0</v>
      </c>
      <c r="N563" s="88">
        <f>SUMIF(月間集計シート!$M$29:$M$48,$G563,月間集計シート!R$29:R$48)*N$2</f>
        <v>0</v>
      </c>
      <c r="O563" s="88">
        <f>SUMIF(月間集計シート!$M$29:$M$48,$G563,月間集計シート!S$29:S$48)*O$2</f>
        <v>0</v>
      </c>
      <c r="P563" s="88">
        <f>SUMIF(月間集計シート!$M$29:$M$48,$G563,月間集計シート!T$29:T$48)*P$2</f>
        <v>0</v>
      </c>
      <c r="Q563" s="88">
        <f>SUMIF(月間集計シート!$M$50:$M$69,$G563,月間集計シート!N$50:N$69)*Q$2</f>
        <v>0</v>
      </c>
      <c r="R563" s="88">
        <f>SUMIF(月間集計シート!$M$50:$M$69,$G563,月間集計シート!O$50:O$69)*R$2</f>
        <v>0</v>
      </c>
      <c r="S563" s="88">
        <f>SUMIF(月間集計シート!$M$50:$M$69,$G563,月間集計シート!P$50:P$69)*S$2</f>
        <v>0</v>
      </c>
      <c r="T563" s="88">
        <f>SUMIF(月間集計シート!$M$50:$M$69,$G563,月間集計シート!Q$50:Q$69)*T$2</f>
        <v>0</v>
      </c>
      <c r="U563" s="88">
        <f>SUMIF(月間集計シート!$M$50:$M$69,$G563,月間集計シート!R$50:R$69)*U$2</f>
        <v>0</v>
      </c>
      <c r="V563" s="88">
        <f>SUMIF(月間集計シート!$M$50:$M$69,$G563,月間集計シート!S$50:S$69)*V$2</f>
        <v>0</v>
      </c>
      <c r="W563" s="88">
        <f>SUMIF(月間集計シート!$M$50:$M$69,$G563,月間集計シート!T$50:T$69)*W$2</f>
        <v>0</v>
      </c>
      <c r="X563" s="88">
        <f>SUMIF(月間集計シート!$M$71:$M$90,$G563,月間集計シート!N$71:N$90)*X$2</f>
        <v>0</v>
      </c>
      <c r="Y563" s="88">
        <f>SUMIF(月間集計シート!$M$71:$M$90,$G563,月間集計シート!O$71:O$90)*Y$2</f>
        <v>0</v>
      </c>
      <c r="Z563" s="88">
        <f>SUMIF(月間集計シート!$M$71:$M$90,$G563,月間集計シート!P$71:P$90)*Z$2</f>
        <v>0</v>
      </c>
      <c r="AA563" s="88">
        <f>SUMIF(月間集計シート!$M$71:$M$90,$G563,月間集計シート!Q$71:Q$90)*AA$2</f>
        <v>0</v>
      </c>
      <c r="AB563" s="88">
        <f>SUMIF(月間集計シート!$M$71:$M$90,$G563,月間集計シート!R$71:R$90)*AB$2</f>
        <v>0</v>
      </c>
      <c r="AC563" s="88">
        <f>SUMIF(月間集計シート!$M$71:$M$90,$G563,月間集計シート!S$71:S$90)*AC$2</f>
        <v>0</v>
      </c>
      <c r="AD563" s="88">
        <f>SUMIF(月間集計シート!$M$71:$M$90,$G563,月間集計シート!T$71:T$90)*AD$2</f>
        <v>0</v>
      </c>
      <c r="AE563" s="88">
        <f>SUMIF(月間集計シート!$M$92:$M$111,$G563,月間集計シート!N$92:N$111)*AE$2</f>
        <v>0</v>
      </c>
      <c r="AF563" s="88">
        <f>SUMIF(月間集計シート!$M$92:$M$111,$G563,月間集計シート!O$92:O$111)*AF$2</f>
        <v>0</v>
      </c>
      <c r="AG563" s="88">
        <f>SUMIF(月間集計シート!$M$92:$M$111,$G563,月間集計シート!P$92:P$111)*AG$2</f>
        <v>0</v>
      </c>
      <c r="AH563" s="88">
        <f>SUMIF(月間集計シート!$M$92:$M$111,$G563,月間集計シート!Q$92:Q$111)*AH$2</f>
        <v>0</v>
      </c>
      <c r="AI563" s="88">
        <f>SUMIF(月間集計シート!$M$92:$M$111,$G563,月間集計シート!R$92:R$111)*AI$2</f>
        <v>0</v>
      </c>
      <c r="AJ563" s="88">
        <f>SUMIF(月間集計シート!$M$92:$M$111,$G563,月間集計シート!S$92:S$111)*AJ$2</f>
        <v>0</v>
      </c>
      <c r="AK563" s="88">
        <f>SUMIF(月間集計シート!$M$92:$M$111,$G563,月間集計シート!T$92:T$111)*AK$2</f>
        <v>0</v>
      </c>
      <c r="AL563" s="88">
        <f>SUMIF(月間集計シート!$M$113:$M$132,$G563,月間集計シート!N$113:N$132)*AL$2</f>
        <v>0</v>
      </c>
      <c r="AM563" s="88">
        <f>SUMIF(月間集計シート!$M$113:$M$132,$G563,月間集計シート!O$113:O$132)*AM$2</f>
        <v>0</v>
      </c>
      <c r="AN563" s="88">
        <f>SUMIF(月間集計シート!$M$113:$M$132,$G563,月間集計シート!P$113:P$132)*AN$2</f>
        <v>0</v>
      </c>
      <c r="AO563" s="88">
        <f>SUMIF(月間集計シート!$M$113:$M$132,$G563,月間集計シート!Q$113:Q$132)*AO$2</f>
        <v>0</v>
      </c>
      <c r="AP563" s="88">
        <f>SUMIF(月間集計シート!$M$113:$M$132,$G563,月間集計シート!R$113:R$132)*AP$2</f>
        <v>0</v>
      </c>
      <c r="AQ563" s="88">
        <f>SUMIF(月間集計シート!$M$113:$M$132,$G563,月間集計シート!S$113:S$132)*AQ$2</f>
        <v>0</v>
      </c>
      <c r="AR563" s="88">
        <f>SUMIF(月間集計シート!$M$113:$M$132,$G563,月間集計シート!T$113:T$132)*AR$2</f>
        <v>0</v>
      </c>
      <c r="AS563" s="88">
        <f>SUMIF(月間集計シート!$M$134:$M$153,$G563,月間集計シート!N$134:N$153)*AS$2</f>
        <v>0</v>
      </c>
      <c r="AT563" s="88">
        <f>SUMIF(月間集計シート!$M$134:$M$153,$G563,月間集計シート!O$134:O$153)*AT$2</f>
        <v>0</v>
      </c>
      <c r="AU563" s="88">
        <f>SUMIF(月間集計シート!$M$134:$M$153,$G563,月間集計シート!P$134:P$153)*AU$2</f>
        <v>0</v>
      </c>
      <c r="AV563" s="88">
        <f>SUMIF(月間集計シート!$M$134:$M$153,$G563,月間集計シート!Q$134:Q$153)*AV$2</f>
        <v>0</v>
      </c>
      <c r="AW563" s="88">
        <f>SUMIF(月間集計シート!$M$134:$M$153,$G563,月間集計シート!R$134:R$153)*AW$2</f>
        <v>0</v>
      </c>
      <c r="AX563" s="88">
        <f>SUMIF(月間集計シート!$M$134:$M$153,$G563,月間集計シート!S$134:S$153)*AX$2</f>
        <v>0</v>
      </c>
      <c r="AY563" s="88">
        <f>SUMIF(月間集計シート!$M$134:$M$153,$G563,月間集計シート!T$134:T$153)*AY$2</f>
        <v>0</v>
      </c>
    </row>
    <row r="564" spans="1:51" ht="14.25" thickBot="1">
      <c r="A564">
        <v>7</v>
      </c>
      <c r="B564" s="120">
        <f t="shared" si="251"/>
        <v>0</v>
      </c>
      <c r="C564" s="120" t="str">
        <f t="shared" si="252"/>
        <v/>
      </c>
      <c r="D564" s="137"/>
      <c r="E564" s="150" t="str">
        <f>工種!A46</f>
        <v>60105</v>
      </c>
      <c r="F564" s="119" t="str">
        <f>工種!B46</f>
        <v>ﾘﾘｰｽ：締め作業</v>
      </c>
      <c r="G564" s="116" t="str">
        <f t="shared" si="253"/>
        <v>060105</v>
      </c>
      <c r="H564" s="88">
        <f t="shared" si="247"/>
        <v>0</v>
      </c>
      <c r="I564" s="132"/>
      <c r="J564" s="88">
        <f>SUMIF(月間集計シート!$M$29:$M$48,$G564,月間集計シート!N$29:N$48)*J$2</f>
        <v>0</v>
      </c>
      <c r="K564" s="88">
        <f>SUMIF(月間集計シート!$M$29:$M$48,$G564,月間集計シート!O$29:O$48)*K$2</f>
        <v>0</v>
      </c>
      <c r="L564" s="88">
        <f>SUMIF(月間集計シート!$M$29:$M$48,$G564,月間集計シート!P$29:P$48)*L$2</f>
        <v>0</v>
      </c>
      <c r="M564" s="88">
        <f>SUMIF(月間集計シート!$M$29:$M$48,$G564,月間集計シート!Q$29:Q$48)*M$2</f>
        <v>0</v>
      </c>
      <c r="N564" s="88">
        <f>SUMIF(月間集計シート!$M$29:$M$48,$G564,月間集計シート!R$29:R$48)*N$2</f>
        <v>0</v>
      </c>
      <c r="O564" s="88">
        <f>SUMIF(月間集計シート!$M$29:$M$48,$G564,月間集計シート!S$29:S$48)*O$2</f>
        <v>0</v>
      </c>
      <c r="P564" s="88">
        <f>SUMIF(月間集計シート!$M$29:$M$48,$G564,月間集計シート!T$29:T$48)*P$2</f>
        <v>0</v>
      </c>
      <c r="Q564" s="88">
        <f>SUMIF(月間集計シート!$M$50:$M$69,$G564,月間集計シート!N$50:N$69)*Q$2</f>
        <v>0</v>
      </c>
      <c r="R564" s="88">
        <f>SUMIF(月間集計シート!$M$50:$M$69,$G564,月間集計シート!O$50:O$69)*R$2</f>
        <v>0</v>
      </c>
      <c r="S564" s="88">
        <f>SUMIF(月間集計シート!$M$50:$M$69,$G564,月間集計シート!P$50:P$69)*S$2</f>
        <v>0</v>
      </c>
      <c r="T564" s="88">
        <f>SUMIF(月間集計シート!$M$50:$M$69,$G564,月間集計シート!Q$50:Q$69)*T$2</f>
        <v>0</v>
      </c>
      <c r="U564" s="88">
        <f>SUMIF(月間集計シート!$M$50:$M$69,$G564,月間集計シート!R$50:R$69)*U$2</f>
        <v>0</v>
      </c>
      <c r="V564" s="88">
        <f>SUMIF(月間集計シート!$M$50:$M$69,$G564,月間集計シート!S$50:S$69)*V$2</f>
        <v>0</v>
      </c>
      <c r="W564" s="88">
        <f>SUMIF(月間集計シート!$M$50:$M$69,$G564,月間集計シート!T$50:T$69)*W$2</f>
        <v>0</v>
      </c>
      <c r="X564" s="88">
        <f>SUMIF(月間集計シート!$M$71:$M$90,$G564,月間集計シート!N$71:N$90)*X$2</f>
        <v>0</v>
      </c>
      <c r="Y564" s="88">
        <f>SUMIF(月間集計シート!$M$71:$M$90,$G564,月間集計シート!O$71:O$90)*Y$2</f>
        <v>0</v>
      </c>
      <c r="Z564" s="88">
        <f>SUMIF(月間集計シート!$M$71:$M$90,$G564,月間集計シート!P$71:P$90)*Z$2</f>
        <v>0</v>
      </c>
      <c r="AA564" s="88">
        <f>SUMIF(月間集計シート!$M$71:$M$90,$G564,月間集計シート!Q$71:Q$90)*AA$2</f>
        <v>0</v>
      </c>
      <c r="AB564" s="88">
        <f>SUMIF(月間集計シート!$M$71:$M$90,$G564,月間集計シート!R$71:R$90)*AB$2</f>
        <v>0</v>
      </c>
      <c r="AC564" s="88">
        <f>SUMIF(月間集計シート!$M$71:$M$90,$G564,月間集計シート!S$71:S$90)*AC$2</f>
        <v>0</v>
      </c>
      <c r="AD564" s="88">
        <f>SUMIF(月間集計シート!$M$71:$M$90,$G564,月間集計シート!T$71:T$90)*AD$2</f>
        <v>0</v>
      </c>
      <c r="AE564" s="88">
        <f>SUMIF(月間集計シート!$M$92:$M$111,$G564,月間集計シート!N$92:N$111)*AE$2</f>
        <v>0</v>
      </c>
      <c r="AF564" s="88">
        <f>SUMIF(月間集計シート!$M$92:$M$111,$G564,月間集計シート!O$92:O$111)*AF$2</f>
        <v>0</v>
      </c>
      <c r="AG564" s="88">
        <f>SUMIF(月間集計シート!$M$92:$M$111,$G564,月間集計シート!P$92:P$111)*AG$2</f>
        <v>0</v>
      </c>
      <c r="AH564" s="88">
        <f>SUMIF(月間集計シート!$M$92:$M$111,$G564,月間集計シート!Q$92:Q$111)*AH$2</f>
        <v>0</v>
      </c>
      <c r="AI564" s="88">
        <f>SUMIF(月間集計シート!$M$92:$M$111,$G564,月間集計シート!R$92:R$111)*AI$2</f>
        <v>0</v>
      </c>
      <c r="AJ564" s="88">
        <f>SUMIF(月間集計シート!$M$92:$M$111,$G564,月間集計シート!S$92:S$111)*AJ$2</f>
        <v>0</v>
      </c>
      <c r="AK564" s="88">
        <f>SUMIF(月間集計シート!$M$92:$M$111,$G564,月間集計シート!T$92:T$111)*AK$2</f>
        <v>0</v>
      </c>
      <c r="AL564" s="88">
        <f>SUMIF(月間集計シート!$M$113:$M$132,$G564,月間集計シート!N$113:N$132)*AL$2</f>
        <v>0</v>
      </c>
      <c r="AM564" s="88">
        <f>SUMIF(月間集計シート!$M$113:$M$132,$G564,月間集計シート!O$113:O$132)*AM$2</f>
        <v>0</v>
      </c>
      <c r="AN564" s="88">
        <f>SUMIF(月間集計シート!$M$113:$M$132,$G564,月間集計シート!P$113:P$132)*AN$2</f>
        <v>0</v>
      </c>
      <c r="AO564" s="88">
        <f>SUMIF(月間集計シート!$M$113:$M$132,$G564,月間集計シート!Q$113:Q$132)*AO$2</f>
        <v>0</v>
      </c>
      <c r="AP564" s="88">
        <f>SUMIF(月間集計シート!$M$113:$M$132,$G564,月間集計シート!R$113:R$132)*AP$2</f>
        <v>0</v>
      </c>
      <c r="AQ564" s="88">
        <f>SUMIF(月間集計シート!$M$113:$M$132,$G564,月間集計シート!S$113:S$132)*AQ$2</f>
        <v>0</v>
      </c>
      <c r="AR564" s="88">
        <f>SUMIF(月間集計シート!$M$113:$M$132,$G564,月間集計シート!T$113:T$132)*AR$2</f>
        <v>0</v>
      </c>
      <c r="AS564" s="88">
        <f>SUMIF(月間集計シート!$M$134:$M$153,$G564,月間集計シート!N$134:N$153)*AS$2</f>
        <v>0</v>
      </c>
      <c r="AT564" s="88">
        <f>SUMIF(月間集計シート!$M$134:$M$153,$G564,月間集計シート!O$134:O$153)*AT$2</f>
        <v>0</v>
      </c>
      <c r="AU564" s="88">
        <f>SUMIF(月間集計シート!$M$134:$M$153,$G564,月間集計シート!P$134:P$153)*AU$2</f>
        <v>0</v>
      </c>
      <c r="AV564" s="88">
        <f>SUMIF(月間集計シート!$M$134:$M$153,$G564,月間集計シート!Q$134:Q$153)*AV$2</f>
        <v>0</v>
      </c>
      <c r="AW564" s="88">
        <f>SUMIF(月間集計シート!$M$134:$M$153,$G564,月間集計シート!R$134:R$153)*AW$2</f>
        <v>0</v>
      </c>
      <c r="AX564" s="88">
        <f>SUMIF(月間集計シート!$M$134:$M$153,$G564,月間集計シート!S$134:S$153)*AX$2</f>
        <v>0</v>
      </c>
      <c r="AY564" s="88">
        <f>SUMIF(月間集計シート!$M$134:$M$153,$G564,月間集計シート!T$134:T$153)*AY$2</f>
        <v>0</v>
      </c>
    </row>
    <row r="565" spans="1:51" ht="14.25" thickBot="1">
      <c r="A565">
        <v>7</v>
      </c>
      <c r="B565" s="120">
        <f t="shared" si="251"/>
        <v>0</v>
      </c>
      <c r="C565" s="120" t="str">
        <f t="shared" si="252"/>
        <v/>
      </c>
      <c r="D565" s="137"/>
      <c r="E565" s="150" t="str">
        <f>工種!A47</f>
        <v>60107</v>
      </c>
      <c r="F565" s="119" t="str">
        <f>工種!B47</f>
        <v>ﾘﾘｰｽ：打合せ</v>
      </c>
      <c r="G565" s="116" t="str">
        <f t="shared" si="253"/>
        <v>060107</v>
      </c>
      <c r="H565" s="88">
        <f t="shared" si="247"/>
        <v>0</v>
      </c>
      <c r="I565" s="132"/>
      <c r="J565" s="88">
        <f>SUMIF(月間集計シート!$M$29:$M$48,$G565,月間集計シート!N$29:N$48)*J$2</f>
        <v>0</v>
      </c>
      <c r="K565" s="88">
        <f>SUMIF(月間集計シート!$M$29:$M$48,$G565,月間集計シート!O$29:O$48)*K$2</f>
        <v>0</v>
      </c>
      <c r="L565" s="88">
        <f>SUMIF(月間集計シート!$M$29:$M$48,$G565,月間集計シート!P$29:P$48)*L$2</f>
        <v>0</v>
      </c>
      <c r="M565" s="88">
        <f>SUMIF(月間集計シート!$M$29:$M$48,$G565,月間集計シート!Q$29:Q$48)*M$2</f>
        <v>0</v>
      </c>
      <c r="N565" s="88">
        <f>SUMIF(月間集計シート!$M$29:$M$48,$G565,月間集計シート!R$29:R$48)*N$2</f>
        <v>0</v>
      </c>
      <c r="O565" s="88">
        <f>SUMIF(月間集計シート!$M$29:$M$48,$G565,月間集計シート!S$29:S$48)*O$2</f>
        <v>0</v>
      </c>
      <c r="P565" s="88">
        <f>SUMIF(月間集計シート!$M$29:$M$48,$G565,月間集計シート!T$29:T$48)*P$2</f>
        <v>0</v>
      </c>
      <c r="Q565" s="88">
        <f>SUMIF(月間集計シート!$M$50:$M$69,$G565,月間集計シート!N$50:N$69)*Q$2</f>
        <v>0</v>
      </c>
      <c r="R565" s="88">
        <f>SUMIF(月間集計シート!$M$50:$M$69,$G565,月間集計シート!O$50:O$69)*R$2</f>
        <v>0</v>
      </c>
      <c r="S565" s="88">
        <f>SUMIF(月間集計シート!$M$50:$M$69,$G565,月間集計シート!P$50:P$69)*S$2</f>
        <v>0</v>
      </c>
      <c r="T565" s="88">
        <f>SUMIF(月間集計シート!$M$50:$M$69,$G565,月間集計シート!Q$50:Q$69)*T$2</f>
        <v>0</v>
      </c>
      <c r="U565" s="88">
        <f>SUMIF(月間集計シート!$M$50:$M$69,$G565,月間集計シート!R$50:R$69)*U$2</f>
        <v>0</v>
      </c>
      <c r="V565" s="88">
        <f>SUMIF(月間集計シート!$M$50:$M$69,$G565,月間集計シート!S$50:S$69)*V$2</f>
        <v>0</v>
      </c>
      <c r="W565" s="88">
        <f>SUMIF(月間集計シート!$M$50:$M$69,$G565,月間集計シート!T$50:T$69)*W$2</f>
        <v>0</v>
      </c>
      <c r="X565" s="88">
        <f>SUMIF(月間集計シート!$M$71:$M$90,$G565,月間集計シート!N$71:N$90)*X$2</f>
        <v>0</v>
      </c>
      <c r="Y565" s="88">
        <f>SUMIF(月間集計シート!$M$71:$M$90,$G565,月間集計シート!O$71:O$90)*Y$2</f>
        <v>0</v>
      </c>
      <c r="Z565" s="88">
        <f>SUMIF(月間集計シート!$M$71:$M$90,$G565,月間集計シート!P$71:P$90)*Z$2</f>
        <v>0</v>
      </c>
      <c r="AA565" s="88">
        <f>SUMIF(月間集計シート!$M$71:$M$90,$G565,月間集計シート!Q$71:Q$90)*AA$2</f>
        <v>0</v>
      </c>
      <c r="AB565" s="88">
        <f>SUMIF(月間集計シート!$M$71:$M$90,$G565,月間集計シート!R$71:R$90)*AB$2</f>
        <v>0</v>
      </c>
      <c r="AC565" s="88">
        <f>SUMIF(月間集計シート!$M$71:$M$90,$G565,月間集計シート!S$71:S$90)*AC$2</f>
        <v>0</v>
      </c>
      <c r="AD565" s="88">
        <f>SUMIF(月間集計シート!$M$71:$M$90,$G565,月間集計シート!T$71:T$90)*AD$2</f>
        <v>0</v>
      </c>
      <c r="AE565" s="88">
        <f>SUMIF(月間集計シート!$M$92:$M$111,$G565,月間集計シート!N$92:N$111)*AE$2</f>
        <v>0</v>
      </c>
      <c r="AF565" s="88">
        <f>SUMIF(月間集計シート!$M$92:$M$111,$G565,月間集計シート!O$92:O$111)*AF$2</f>
        <v>0</v>
      </c>
      <c r="AG565" s="88">
        <f>SUMIF(月間集計シート!$M$92:$M$111,$G565,月間集計シート!P$92:P$111)*AG$2</f>
        <v>0</v>
      </c>
      <c r="AH565" s="88">
        <f>SUMIF(月間集計シート!$M$92:$M$111,$G565,月間集計シート!Q$92:Q$111)*AH$2</f>
        <v>0</v>
      </c>
      <c r="AI565" s="88">
        <f>SUMIF(月間集計シート!$M$92:$M$111,$G565,月間集計シート!R$92:R$111)*AI$2</f>
        <v>0</v>
      </c>
      <c r="AJ565" s="88">
        <f>SUMIF(月間集計シート!$M$92:$M$111,$G565,月間集計シート!S$92:S$111)*AJ$2</f>
        <v>0</v>
      </c>
      <c r="AK565" s="88">
        <f>SUMIF(月間集計シート!$M$92:$M$111,$G565,月間集計シート!T$92:T$111)*AK$2</f>
        <v>0</v>
      </c>
      <c r="AL565" s="88">
        <f>SUMIF(月間集計シート!$M$113:$M$132,$G565,月間集計シート!N$113:N$132)*AL$2</f>
        <v>0</v>
      </c>
      <c r="AM565" s="88">
        <f>SUMIF(月間集計シート!$M$113:$M$132,$G565,月間集計シート!O$113:O$132)*AM$2</f>
        <v>0</v>
      </c>
      <c r="AN565" s="88">
        <f>SUMIF(月間集計シート!$M$113:$M$132,$G565,月間集計シート!P$113:P$132)*AN$2</f>
        <v>0</v>
      </c>
      <c r="AO565" s="88">
        <f>SUMIF(月間集計シート!$M$113:$M$132,$G565,月間集計シート!Q$113:Q$132)*AO$2</f>
        <v>0</v>
      </c>
      <c r="AP565" s="88">
        <f>SUMIF(月間集計シート!$M$113:$M$132,$G565,月間集計シート!R$113:R$132)*AP$2</f>
        <v>0</v>
      </c>
      <c r="AQ565" s="88">
        <f>SUMIF(月間集計シート!$M$113:$M$132,$G565,月間集計シート!S$113:S$132)*AQ$2</f>
        <v>0</v>
      </c>
      <c r="AR565" s="88">
        <f>SUMIF(月間集計シート!$M$113:$M$132,$G565,月間集計シート!T$113:T$132)*AR$2</f>
        <v>0</v>
      </c>
      <c r="AS565" s="88">
        <f>SUMIF(月間集計シート!$M$134:$M$153,$G565,月間集計シート!N$134:N$153)*AS$2</f>
        <v>0</v>
      </c>
      <c r="AT565" s="88">
        <f>SUMIF(月間集計シート!$M$134:$M$153,$G565,月間集計シート!O$134:O$153)*AT$2</f>
        <v>0</v>
      </c>
      <c r="AU565" s="88">
        <f>SUMIF(月間集計シート!$M$134:$M$153,$G565,月間集計シート!P$134:P$153)*AU$2</f>
        <v>0</v>
      </c>
      <c r="AV565" s="88">
        <f>SUMIF(月間集計シート!$M$134:$M$153,$G565,月間集計シート!Q$134:Q$153)*AV$2</f>
        <v>0</v>
      </c>
      <c r="AW565" s="88">
        <f>SUMIF(月間集計シート!$M$134:$M$153,$G565,月間集計シート!R$134:R$153)*AW$2</f>
        <v>0</v>
      </c>
      <c r="AX565" s="88">
        <f>SUMIF(月間集計シート!$M$134:$M$153,$G565,月間集計シート!S$134:S$153)*AX$2</f>
        <v>0</v>
      </c>
      <c r="AY565" s="88">
        <f>SUMIF(月間集計シート!$M$134:$M$153,$G565,月間集計シート!T$134:T$153)*AY$2</f>
        <v>0</v>
      </c>
    </row>
    <row r="566" spans="1:51" ht="14.25" thickBot="1">
      <c r="A566">
        <v>7</v>
      </c>
      <c r="B566" s="120">
        <f t="shared" si="251"/>
        <v>0</v>
      </c>
      <c r="C566" s="120" t="str">
        <f t="shared" si="252"/>
        <v/>
      </c>
      <c r="D566" s="137"/>
      <c r="E566" s="150" t="str">
        <f>工種!A48</f>
        <v>60108</v>
      </c>
      <c r="F566" s="119" t="str">
        <f>工種!B48</f>
        <v>ﾘﾘｰｽ：ﾚﾋﾞｭｰ</v>
      </c>
      <c r="G566" s="116" t="str">
        <f t="shared" si="253"/>
        <v>060108</v>
      </c>
      <c r="H566" s="88">
        <f t="shared" si="247"/>
        <v>0</v>
      </c>
      <c r="I566" s="132"/>
      <c r="J566" s="88">
        <f>SUMIF(月間集計シート!$M$29:$M$48,$G566,月間集計シート!N$29:N$48)*J$2</f>
        <v>0</v>
      </c>
      <c r="K566" s="88">
        <f>SUMIF(月間集計シート!$M$29:$M$48,$G566,月間集計シート!O$29:O$48)*K$2</f>
        <v>0</v>
      </c>
      <c r="L566" s="88">
        <f>SUMIF(月間集計シート!$M$29:$M$48,$G566,月間集計シート!P$29:P$48)*L$2</f>
        <v>0</v>
      </c>
      <c r="M566" s="88">
        <f>SUMIF(月間集計シート!$M$29:$M$48,$G566,月間集計シート!Q$29:Q$48)*M$2</f>
        <v>0</v>
      </c>
      <c r="N566" s="88">
        <f>SUMIF(月間集計シート!$M$29:$M$48,$G566,月間集計シート!R$29:R$48)*N$2</f>
        <v>0</v>
      </c>
      <c r="O566" s="88">
        <f>SUMIF(月間集計シート!$M$29:$M$48,$G566,月間集計シート!S$29:S$48)*O$2</f>
        <v>0</v>
      </c>
      <c r="P566" s="88">
        <f>SUMIF(月間集計シート!$M$29:$M$48,$G566,月間集計シート!T$29:T$48)*P$2</f>
        <v>0</v>
      </c>
      <c r="Q566" s="88">
        <f>SUMIF(月間集計シート!$M$50:$M$69,$G566,月間集計シート!N$50:N$69)*Q$2</f>
        <v>0</v>
      </c>
      <c r="R566" s="88">
        <f>SUMIF(月間集計シート!$M$50:$M$69,$G566,月間集計シート!O$50:O$69)*R$2</f>
        <v>0</v>
      </c>
      <c r="S566" s="88">
        <f>SUMIF(月間集計シート!$M$50:$M$69,$G566,月間集計シート!P$50:P$69)*S$2</f>
        <v>0</v>
      </c>
      <c r="T566" s="88">
        <f>SUMIF(月間集計シート!$M$50:$M$69,$G566,月間集計シート!Q$50:Q$69)*T$2</f>
        <v>0</v>
      </c>
      <c r="U566" s="88">
        <f>SUMIF(月間集計シート!$M$50:$M$69,$G566,月間集計シート!R$50:R$69)*U$2</f>
        <v>0</v>
      </c>
      <c r="V566" s="88">
        <f>SUMIF(月間集計シート!$M$50:$M$69,$G566,月間集計シート!S$50:S$69)*V$2</f>
        <v>0</v>
      </c>
      <c r="W566" s="88">
        <f>SUMIF(月間集計シート!$M$50:$M$69,$G566,月間集計シート!T$50:T$69)*W$2</f>
        <v>0</v>
      </c>
      <c r="X566" s="88">
        <f>SUMIF(月間集計シート!$M$71:$M$90,$G566,月間集計シート!N$71:N$90)*X$2</f>
        <v>0</v>
      </c>
      <c r="Y566" s="88">
        <f>SUMIF(月間集計シート!$M$71:$M$90,$G566,月間集計シート!O$71:O$90)*Y$2</f>
        <v>0</v>
      </c>
      <c r="Z566" s="88">
        <f>SUMIF(月間集計シート!$M$71:$M$90,$G566,月間集計シート!P$71:P$90)*Z$2</f>
        <v>0</v>
      </c>
      <c r="AA566" s="88">
        <f>SUMIF(月間集計シート!$M$71:$M$90,$G566,月間集計シート!Q$71:Q$90)*AA$2</f>
        <v>0</v>
      </c>
      <c r="AB566" s="88">
        <f>SUMIF(月間集計シート!$M$71:$M$90,$G566,月間集計シート!R$71:R$90)*AB$2</f>
        <v>0</v>
      </c>
      <c r="AC566" s="88">
        <f>SUMIF(月間集計シート!$M$71:$M$90,$G566,月間集計シート!S$71:S$90)*AC$2</f>
        <v>0</v>
      </c>
      <c r="AD566" s="88">
        <f>SUMIF(月間集計シート!$M$71:$M$90,$G566,月間集計シート!T$71:T$90)*AD$2</f>
        <v>0</v>
      </c>
      <c r="AE566" s="88">
        <f>SUMIF(月間集計シート!$M$92:$M$111,$G566,月間集計シート!N$92:N$111)*AE$2</f>
        <v>0</v>
      </c>
      <c r="AF566" s="88">
        <f>SUMIF(月間集計シート!$M$92:$M$111,$G566,月間集計シート!O$92:O$111)*AF$2</f>
        <v>0</v>
      </c>
      <c r="AG566" s="88">
        <f>SUMIF(月間集計シート!$M$92:$M$111,$G566,月間集計シート!P$92:P$111)*AG$2</f>
        <v>0</v>
      </c>
      <c r="AH566" s="88">
        <f>SUMIF(月間集計シート!$M$92:$M$111,$G566,月間集計シート!Q$92:Q$111)*AH$2</f>
        <v>0</v>
      </c>
      <c r="AI566" s="88">
        <f>SUMIF(月間集計シート!$M$92:$M$111,$G566,月間集計シート!R$92:R$111)*AI$2</f>
        <v>0</v>
      </c>
      <c r="AJ566" s="88">
        <f>SUMIF(月間集計シート!$M$92:$M$111,$G566,月間集計シート!S$92:S$111)*AJ$2</f>
        <v>0</v>
      </c>
      <c r="AK566" s="88">
        <f>SUMIF(月間集計シート!$M$92:$M$111,$G566,月間集計シート!T$92:T$111)*AK$2</f>
        <v>0</v>
      </c>
      <c r="AL566" s="88">
        <f>SUMIF(月間集計シート!$M$113:$M$132,$G566,月間集計シート!N$113:N$132)*AL$2</f>
        <v>0</v>
      </c>
      <c r="AM566" s="88">
        <f>SUMIF(月間集計シート!$M$113:$M$132,$G566,月間集計シート!O$113:O$132)*AM$2</f>
        <v>0</v>
      </c>
      <c r="AN566" s="88">
        <f>SUMIF(月間集計シート!$M$113:$M$132,$G566,月間集計シート!P$113:P$132)*AN$2</f>
        <v>0</v>
      </c>
      <c r="AO566" s="88">
        <f>SUMIF(月間集計シート!$M$113:$M$132,$G566,月間集計シート!Q$113:Q$132)*AO$2</f>
        <v>0</v>
      </c>
      <c r="AP566" s="88">
        <f>SUMIF(月間集計シート!$M$113:$M$132,$G566,月間集計シート!R$113:R$132)*AP$2</f>
        <v>0</v>
      </c>
      <c r="AQ566" s="88">
        <f>SUMIF(月間集計シート!$M$113:$M$132,$G566,月間集計シート!S$113:S$132)*AQ$2</f>
        <v>0</v>
      </c>
      <c r="AR566" s="88">
        <f>SUMIF(月間集計シート!$M$113:$M$132,$G566,月間集計シート!T$113:T$132)*AR$2</f>
        <v>0</v>
      </c>
      <c r="AS566" s="88">
        <f>SUMIF(月間集計シート!$M$134:$M$153,$G566,月間集計シート!N$134:N$153)*AS$2</f>
        <v>0</v>
      </c>
      <c r="AT566" s="88">
        <f>SUMIF(月間集計シート!$M$134:$M$153,$G566,月間集計シート!O$134:O$153)*AT$2</f>
        <v>0</v>
      </c>
      <c r="AU566" s="88">
        <f>SUMIF(月間集計シート!$M$134:$M$153,$G566,月間集計シート!P$134:P$153)*AU$2</f>
        <v>0</v>
      </c>
      <c r="AV566" s="88">
        <f>SUMIF(月間集計シート!$M$134:$M$153,$G566,月間集計シート!Q$134:Q$153)*AV$2</f>
        <v>0</v>
      </c>
      <c r="AW566" s="88">
        <f>SUMIF(月間集計シート!$M$134:$M$153,$G566,月間集計シート!R$134:R$153)*AW$2</f>
        <v>0</v>
      </c>
      <c r="AX566" s="88">
        <f>SUMIF(月間集計シート!$M$134:$M$153,$G566,月間集計シート!S$134:S$153)*AX$2</f>
        <v>0</v>
      </c>
      <c r="AY566" s="88">
        <f>SUMIF(月間集計シート!$M$134:$M$153,$G566,月間集計シート!T$134:T$153)*AY$2</f>
        <v>0</v>
      </c>
    </row>
    <row r="567" spans="1:51" ht="14.25" thickBot="1">
      <c r="A567">
        <v>7</v>
      </c>
      <c r="B567" s="120">
        <f t="shared" si="251"/>
        <v>0</v>
      </c>
      <c r="C567" s="120" t="str">
        <f t="shared" si="252"/>
        <v/>
      </c>
      <c r="D567" s="137"/>
      <c r="E567" s="150" t="str">
        <f>工種!A49</f>
        <v>60199</v>
      </c>
      <c r="F567" s="119" t="str">
        <f>工種!B49</f>
        <v>ﾘﾘｰｽ：その他</v>
      </c>
      <c r="G567" s="116" t="str">
        <f t="shared" si="253"/>
        <v>060199</v>
      </c>
      <c r="H567" s="88">
        <f t="shared" si="247"/>
        <v>0</v>
      </c>
      <c r="I567" s="132"/>
      <c r="J567" s="88">
        <f>SUMIF(月間集計シート!$M$29:$M$48,$G567,月間集計シート!N$29:N$48)*J$2</f>
        <v>0</v>
      </c>
      <c r="K567" s="88">
        <f>SUMIF(月間集計シート!$M$29:$M$48,$G567,月間集計シート!O$29:O$48)*K$2</f>
        <v>0</v>
      </c>
      <c r="L567" s="88">
        <f>SUMIF(月間集計シート!$M$29:$M$48,$G567,月間集計シート!P$29:P$48)*L$2</f>
        <v>0</v>
      </c>
      <c r="M567" s="88">
        <f>SUMIF(月間集計シート!$M$29:$M$48,$G567,月間集計シート!Q$29:Q$48)*M$2</f>
        <v>0</v>
      </c>
      <c r="N567" s="88">
        <f>SUMIF(月間集計シート!$M$29:$M$48,$G567,月間集計シート!R$29:R$48)*N$2</f>
        <v>0</v>
      </c>
      <c r="O567" s="88">
        <f>SUMIF(月間集計シート!$M$29:$M$48,$G567,月間集計シート!S$29:S$48)*O$2</f>
        <v>0</v>
      </c>
      <c r="P567" s="88">
        <f>SUMIF(月間集計シート!$M$29:$M$48,$G567,月間集計シート!T$29:T$48)*P$2</f>
        <v>0</v>
      </c>
      <c r="Q567" s="88">
        <f>SUMIF(月間集計シート!$M$50:$M$69,$G567,月間集計シート!N$50:N$69)*Q$2</f>
        <v>0</v>
      </c>
      <c r="R567" s="88">
        <f>SUMIF(月間集計シート!$M$50:$M$69,$G567,月間集計シート!O$50:O$69)*R$2</f>
        <v>0</v>
      </c>
      <c r="S567" s="88">
        <f>SUMIF(月間集計シート!$M$50:$M$69,$G567,月間集計シート!P$50:P$69)*S$2</f>
        <v>0</v>
      </c>
      <c r="T567" s="88">
        <f>SUMIF(月間集計シート!$M$50:$M$69,$G567,月間集計シート!Q$50:Q$69)*T$2</f>
        <v>0</v>
      </c>
      <c r="U567" s="88">
        <f>SUMIF(月間集計シート!$M$50:$M$69,$G567,月間集計シート!R$50:R$69)*U$2</f>
        <v>0</v>
      </c>
      <c r="V567" s="88">
        <f>SUMIF(月間集計シート!$M$50:$M$69,$G567,月間集計シート!S$50:S$69)*V$2</f>
        <v>0</v>
      </c>
      <c r="W567" s="88">
        <f>SUMIF(月間集計シート!$M$50:$M$69,$G567,月間集計シート!T$50:T$69)*W$2</f>
        <v>0</v>
      </c>
      <c r="X567" s="88">
        <f>SUMIF(月間集計シート!$M$71:$M$90,$G567,月間集計シート!N$71:N$90)*X$2</f>
        <v>0</v>
      </c>
      <c r="Y567" s="88">
        <f>SUMIF(月間集計シート!$M$71:$M$90,$G567,月間集計シート!O$71:O$90)*Y$2</f>
        <v>0</v>
      </c>
      <c r="Z567" s="88">
        <f>SUMIF(月間集計シート!$M$71:$M$90,$G567,月間集計シート!P$71:P$90)*Z$2</f>
        <v>0</v>
      </c>
      <c r="AA567" s="88">
        <f>SUMIF(月間集計シート!$M$71:$M$90,$G567,月間集計シート!Q$71:Q$90)*AA$2</f>
        <v>0</v>
      </c>
      <c r="AB567" s="88">
        <f>SUMIF(月間集計シート!$M$71:$M$90,$G567,月間集計シート!R$71:R$90)*AB$2</f>
        <v>0</v>
      </c>
      <c r="AC567" s="88">
        <f>SUMIF(月間集計シート!$M$71:$M$90,$G567,月間集計シート!S$71:S$90)*AC$2</f>
        <v>0</v>
      </c>
      <c r="AD567" s="88">
        <f>SUMIF(月間集計シート!$M$71:$M$90,$G567,月間集計シート!T$71:T$90)*AD$2</f>
        <v>0</v>
      </c>
      <c r="AE567" s="88">
        <f>SUMIF(月間集計シート!$M$92:$M$111,$G567,月間集計シート!N$92:N$111)*AE$2</f>
        <v>0</v>
      </c>
      <c r="AF567" s="88">
        <f>SUMIF(月間集計シート!$M$92:$M$111,$G567,月間集計シート!O$92:O$111)*AF$2</f>
        <v>0</v>
      </c>
      <c r="AG567" s="88">
        <f>SUMIF(月間集計シート!$M$92:$M$111,$G567,月間集計シート!P$92:P$111)*AG$2</f>
        <v>0</v>
      </c>
      <c r="AH567" s="88">
        <f>SUMIF(月間集計シート!$M$92:$M$111,$G567,月間集計シート!Q$92:Q$111)*AH$2</f>
        <v>0</v>
      </c>
      <c r="AI567" s="88">
        <f>SUMIF(月間集計シート!$M$92:$M$111,$G567,月間集計シート!R$92:R$111)*AI$2</f>
        <v>0</v>
      </c>
      <c r="AJ567" s="88">
        <f>SUMIF(月間集計シート!$M$92:$M$111,$G567,月間集計シート!S$92:S$111)*AJ$2</f>
        <v>0</v>
      </c>
      <c r="AK567" s="88">
        <f>SUMIF(月間集計シート!$M$92:$M$111,$G567,月間集計シート!T$92:T$111)*AK$2</f>
        <v>0</v>
      </c>
      <c r="AL567" s="88">
        <f>SUMIF(月間集計シート!$M$113:$M$132,$G567,月間集計シート!N$113:N$132)*AL$2</f>
        <v>0</v>
      </c>
      <c r="AM567" s="88">
        <f>SUMIF(月間集計シート!$M$113:$M$132,$G567,月間集計シート!O$113:O$132)*AM$2</f>
        <v>0</v>
      </c>
      <c r="AN567" s="88">
        <f>SUMIF(月間集計シート!$M$113:$M$132,$G567,月間集計シート!P$113:P$132)*AN$2</f>
        <v>0</v>
      </c>
      <c r="AO567" s="88">
        <f>SUMIF(月間集計シート!$M$113:$M$132,$G567,月間集計シート!Q$113:Q$132)*AO$2</f>
        <v>0</v>
      </c>
      <c r="AP567" s="88">
        <f>SUMIF(月間集計シート!$M$113:$M$132,$G567,月間集計シート!R$113:R$132)*AP$2</f>
        <v>0</v>
      </c>
      <c r="AQ567" s="88">
        <f>SUMIF(月間集計シート!$M$113:$M$132,$G567,月間集計シート!S$113:S$132)*AQ$2</f>
        <v>0</v>
      </c>
      <c r="AR567" s="88">
        <f>SUMIF(月間集計シート!$M$113:$M$132,$G567,月間集計シート!T$113:T$132)*AR$2</f>
        <v>0</v>
      </c>
      <c r="AS567" s="88">
        <f>SUMIF(月間集計シート!$M$134:$M$153,$G567,月間集計シート!N$134:N$153)*AS$2</f>
        <v>0</v>
      </c>
      <c r="AT567" s="88">
        <f>SUMIF(月間集計シート!$M$134:$M$153,$G567,月間集計シート!O$134:O$153)*AT$2</f>
        <v>0</v>
      </c>
      <c r="AU567" s="88">
        <f>SUMIF(月間集計シート!$M$134:$M$153,$G567,月間集計シート!P$134:P$153)*AU$2</f>
        <v>0</v>
      </c>
      <c r="AV567" s="88">
        <f>SUMIF(月間集計シート!$M$134:$M$153,$G567,月間集計シート!Q$134:Q$153)*AV$2</f>
        <v>0</v>
      </c>
      <c r="AW567" s="88">
        <f>SUMIF(月間集計シート!$M$134:$M$153,$G567,月間集計シート!R$134:R$153)*AW$2</f>
        <v>0</v>
      </c>
      <c r="AX567" s="88">
        <f>SUMIF(月間集計シート!$M$134:$M$153,$G567,月間集計シート!S$134:S$153)*AX$2</f>
        <v>0</v>
      </c>
      <c r="AY567" s="88">
        <f>SUMIF(月間集計シート!$M$134:$M$153,$G567,月間集計シート!T$134:T$153)*AY$2</f>
        <v>0</v>
      </c>
    </row>
    <row r="568" spans="1:51" ht="14.25" thickBot="1">
      <c r="A568">
        <v>7</v>
      </c>
      <c r="B568" s="120">
        <f t="shared" si="251"/>
        <v>0</v>
      </c>
      <c r="C568" s="120" t="str">
        <f t="shared" si="252"/>
        <v/>
      </c>
      <c r="D568" s="137"/>
      <c r="E568" s="150">
        <f>工種!A50</f>
        <v>70101</v>
      </c>
      <c r="F568" s="119" t="str">
        <f>工種!B50</f>
        <v>外部不具合修正：調査・設計</v>
      </c>
      <c r="G568" s="116" t="str">
        <f t="shared" si="253"/>
        <v>070101</v>
      </c>
      <c r="H568" s="88">
        <f t="shared" si="247"/>
        <v>0</v>
      </c>
      <c r="I568" s="132"/>
      <c r="J568" s="88">
        <f>SUMIF(月間集計シート!$M$29:$M$48,$G568,月間集計シート!N$29:N$48)*J$2</f>
        <v>0</v>
      </c>
      <c r="K568" s="88">
        <f>SUMIF(月間集計シート!$M$29:$M$48,$G568,月間集計シート!O$29:O$48)*K$2</f>
        <v>0</v>
      </c>
      <c r="L568" s="88">
        <f>SUMIF(月間集計シート!$M$29:$M$48,$G568,月間集計シート!P$29:P$48)*L$2</f>
        <v>0</v>
      </c>
      <c r="M568" s="88">
        <f>SUMIF(月間集計シート!$M$29:$M$48,$G568,月間集計シート!Q$29:Q$48)*M$2</f>
        <v>0</v>
      </c>
      <c r="N568" s="88">
        <f>SUMIF(月間集計シート!$M$29:$M$48,$G568,月間集計シート!R$29:R$48)*N$2</f>
        <v>0</v>
      </c>
      <c r="O568" s="88">
        <f>SUMIF(月間集計シート!$M$29:$M$48,$G568,月間集計シート!S$29:S$48)*O$2</f>
        <v>0</v>
      </c>
      <c r="P568" s="88">
        <f>SUMIF(月間集計シート!$M$29:$M$48,$G568,月間集計シート!T$29:T$48)*P$2</f>
        <v>0</v>
      </c>
      <c r="Q568" s="88">
        <f>SUMIF(月間集計シート!$M$50:$M$69,$G568,月間集計シート!N$50:N$69)*Q$2</f>
        <v>0</v>
      </c>
      <c r="R568" s="88">
        <f>SUMIF(月間集計シート!$M$50:$M$69,$G568,月間集計シート!O$50:O$69)*R$2</f>
        <v>0</v>
      </c>
      <c r="S568" s="88">
        <f>SUMIF(月間集計シート!$M$50:$M$69,$G568,月間集計シート!P$50:P$69)*S$2</f>
        <v>0</v>
      </c>
      <c r="T568" s="88">
        <f>SUMIF(月間集計シート!$M$50:$M$69,$G568,月間集計シート!Q$50:Q$69)*T$2</f>
        <v>0</v>
      </c>
      <c r="U568" s="88">
        <f>SUMIF(月間集計シート!$M$50:$M$69,$G568,月間集計シート!R$50:R$69)*U$2</f>
        <v>0</v>
      </c>
      <c r="V568" s="88">
        <f>SUMIF(月間集計シート!$M$50:$M$69,$G568,月間集計シート!S$50:S$69)*V$2</f>
        <v>0</v>
      </c>
      <c r="W568" s="88">
        <f>SUMIF(月間集計シート!$M$50:$M$69,$G568,月間集計シート!T$50:T$69)*W$2</f>
        <v>0</v>
      </c>
      <c r="X568" s="88">
        <f>SUMIF(月間集計シート!$M$71:$M$90,$G568,月間集計シート!N$71:N$90)*X$2</f>
        <v>0</v>
      </c>
      <c r="Y568" s="88">
        <f>SUMIF(月間集計シート!$M$71:$M$90,$G568,月間集計シート!O$71:O$90)*Y$2</f>
        <v>0</v>
      </c>
      <c r="Z568" s="88">
        <f>SUMIF(月間集計シート!$M$71:$M$90,$G568,月間集計シート!P$71:P$90)*Z$2</f>
        <v>0</v>
      </c>
      <c r="AA568" s="88">
        <f>SUMIF(月間集計シート!$M$71:$M$90,$G568,月間集計シート!Q$71:Q$90)*AA$2</f>
        <v>0</v>
      </c>
      <c r="AB568" s="88">
        <f>SUMIF(月間集計シート!$M$71:$M$90,$G568,月間集計シート!R$71:R$90)*AB$2</f>
        <v>0</v>
      </c>
      <c r="AC568" s="88">
        <f>SUMIF(月間集計シート!$M$71:$M$90,$G568,月間集計シート!S$71:S$90)*AC$2</f>
        <v>0</v>
      </c>
      <c r="AD568" s="88">
        <f>SUMIF(月間集計シート!$M$71:$M$90,$G568,月間集計シート!T$71:T$90)*AD$2</f>
        <v>0</v>
      </c>
      <c r="AE568" s="88">
        <f>SUMIF(月間集計シート!$M$92:$M$111,$G568,月間集計シート!N$92:N$111)*AE$2</f>
        <v>0</v>
      </c>
      <c r="AF568" s="88">
        <f>SUMIF(月間集計シート!$M$92:$M$111,$G568,月間集計シート!O$92:O$111)*AF$2</f>
        <v>0</v>
      </c>
      <c r="AG568" s="88">
        <f>SUMIF(月間集計シート!$M$92:$M$111,$G568,月間集計シート!P$92:P$111)*AG$2</f>
        <v>0</v>
      </c>
      <c r="AH568" s="88">
        <f>SUMIF(月間集計シート!$M$92:$M$111,$G568,月間集計シート!Q$92:Q$111)*AH$2</f>
        <v>0</v>
      </c>
      <c r="AI568" s="88">
        <f>SUMIF(月間集計シート!$M$92:$M$111,$G568,月間集計シート!R$92:R$111)*AI$2</f>
        <v>0</v>
      </c>
      <c r="AJ568" s="88">
        <f>SUMIF(月間集計シート!$M$92:$M$111,$G568,月間集計シート!S$92:S$111)*AJ$2</f>
        <v>0</v>
      </c>
      <c r="AK568" s="88">
        <f>SUMIF(月間集計シート!$M$92:$M$111,$G568,月間集計シート!T$92:T$111)*AK$2</f>
        <v>0</v>
      </c>
      <c r="AL568" s="88">
        <f>SUMIF(月間集計シート!$M$113:$M$132,$G568,月間集計シート!N$113:N$132)*AL$2</f>
        <v>0</v>
      </c>
      <c r="AM568" s="88">
        <f>SUMIF(月間集計シート!$M$113:$M$132,$G568,月間集計シート!O$113:O$132)*AM$2</f>
        <v>0</v>
      </c>
      <c r="AN568" s="88">
        <f>SUMIF(月間集計シート!$M$113:$M$132,$G568,月間集計シート!P$113:P$132)*AN$2</f>
        <v>0</v>
      </c>
      <c r="AO568" s="88">
        <f>SUMIF(月間集計シート!$M$113:$M$132,$G568,月間集計シート!Q$113:Q$132)*AO$2</f>
        <v>0</v>
      </c>
      <c r="AP568" s="88">
        <f>SUMIF(月間集計シート!$M$113:$M$132,$G568,月間集計シート!R$113:R$132)*AP$2</f>
        <v>0</v>
      </c>
      <c r="AQ568" s="88">
        <f>SUMIF(月間集計シート!$M$113:$M$132,$G568,月間集計シート!S$113:S$132)*AQ$2</f>
        <v>0</v>
      </c>
      <c r="AR568" s="88">
        <f>SUMIF(月間集計シート!$M$113:$M$132,$G568,月間集計シート!T$113:T$132)*AR$2</f>
        <v>0</v>
      </c>
      <c r="AS568" s="88">
        <f>SUMIF(月間集計シート!$M$134:$M$153,$G568,月間集計シート!N$134:N$153)*AS$2</f>
        <v>0</v>
      </c>
      <c r="AT568" s="88">
        <f>SUMIF(月間集計シート!$M$134:$M$153,$G568,月間集計シート!O$134:O$153)*AT$2</f>
        <v>0</v>
      </c>
      <c r="AU568" s="88">
        <f>SUMIF(月間集計シート!$M$134:$M$153,$G568,月間集計シート!P$134:P$153)*AU$2</f>
        <v>0</v>
      </c>
      <c r="AV568" s="88">
        <f>SUMIF(月間集計シート!$M$134:$M$153,$G568,月間集計シート!Q$134:Q$153)*AV$2</f>
        <v>0</v>
      </c>
      <c r="AW568" s="88">
        <f>SUMIF(月間集計シート!$M$134:$M$153,$G568,月間集計シート!R$134:R$153)*AW$2</f>
        <v>0</v>
      </c>
      <c r="AX568" s="88">
        <f>SUMIF(月間集計シート!$M$134:$M$153,$G568,月間集計シート!S$134:S$153)*AX$2</f>
        <v>0</v>
      </c>
      <c r="AY568" s="88">
        <f>SUMIF(月間集計シート!$M$134:$M$153,$G568,月間集計シート!T$134:T$153)*AY$2</f>
        <v>0</v>
      </c>
    </row>
    <row r="569" spans="1:51" ht="14.25" thickBot="1">
      <c r="A569">
        <v>7</v>
      </c>
      <c r="B569" s="120">
        <f t="shared" si="251"/>
        <v>0</v>
      </c>
      <c r="C569" s="120" t="str">
        <f t="shared" si="252"/>
        <v/>
      </c>
      <c r="D569" s="137"/>
      <c r="E569" s="150">
        <f>工種!A51</f>
        <v>70102</v>
      </c>
      <c r="F569" s="119" t="str">
        <f>工種!B51</f>
        <v>外部不具合修正：コーディング</v>
      </c>
      <c r="G569" s="116" t="str">
        <f t="shared" si="253"/>
        <v>070102</v>
      </c>
      <c r="H569" s="88">
        <f t="shared" si="247"/>
        <v>0</v>
      </c>
      <c r="I569" s="132"/>
      <c r="J569" s="88">
        <f>SUMIF(月間集計シート!$M$29:$M$48,$G569,月間集計シート!N$29:N$48)*J$2</f>
        <v>0</v>
      </c>
      <c r="K569" s="88">
        <f>SUMIF(月間集計シート!$M$29:$M$48,$G569,月間集計シート!O$29:O$48)*K$2</f>
        <v>0</v>
      </c>
      <c r="L569" s="88">
        <f>SUMIF(月間集計シート!$M$29:$M$48,$G569,月間集計シート!P$29:P$48)*L$2</f>
        <v>0</v>
      </c>
      <c r="M569" s="88">
        <f>SUMIF(月間集計シート!$M$29:$M$48,$G569,月間集計シート!Q$29:Q$48)*M$2</f>
        <v>0</v>
      </c>
      <c r="N569" s="88">
        <f>SUMIF(月間集計シート!$M$29:$M$48,$G569,月間集計シート!R$29:R$48)*N$2</f>
        <v>0</v>
      </c>
      <c r="O569" s="88">
        <f>SUMIF(月間集計シート!$M$29:$M$48,$G569,月間集計シート!S$29:S$48)*O$2</f>
        <v>0</v>
      </c>
      <c r="P569" s="88">
        <f>SUMIF(月間集計シート!$M$29:$M$48,$G569,月間集計シート!T$29:T$48)*P$2</f>
        <v>0</v>
      </c>
      <c r="Q569" s="88">
        <f>SUMIF(月間集計シート!$M$50:$M$69,$G569,月間集計シート!N$50:N$69)*Q$2</f>
        <v>0</v>
      </c>
      <c r="R569" s="88">
        <f>SUMIF(月間集計シート!$M$50:$M$69,$G569,月間集計シート!O$50:O$69)*R$2</f>
        <v>0</v>
      </c>
      <c r="S569" s="88">
        <f>SUMIF(月間集計シート!$M$50:$M$69,$G569,月間集計シート!P$50:P$69)*S$2</f>
        <v>0</v>
      </c>
      <c r="T569" s="88">
        <f>SUMIF(月間集計シート!$M$50:$M$69,$G569,月間集計シート!Q$50:Q$69)*T$2</f>
        <v>0</v>
      </c>
      <c r="U569" s="88">
        <f>SUMIF(月間集計シート!$M$50:$M$69,$G569,月間集計シート!R$50:R$69)*U$2</f>
        <v>0</v>
      </c>
      <c r="V569" s="88">
        <f>SUMIF(月間集計シート!$M$50:$M$69,$G569,月間集計シート!S$50:S$69)*V$2</f>
        <v>0</v>
      </c>
      <c r="W569" s="88">
        <f>SUMIF(月間集計シート!$M$50:$M$69,$G569,月間集計シート!T$50:T$69)*W$2</f>
        <v>0</v>
      </c>
      <c r="X569" s="88">
        <f>SUMIF(月間集計シート!$M$71:$M$90,$G569,月間集計シート!N$71:N$90)*X$2</f>
        <v>0</v>
      </c>
      <c r="Y569" s="88">
        <f>SUMIF(月間集計シート!$M$71:$M$90,$G569,月間集計シート!O$71:O$90)*Y$2</f>
        <v>0</v>
      </c>
      <c r="Z569" s="88">
        <f>SUMIF(月間集計シート!$M$71:$M$90,$G569,月間集計シート!P$71:P$90)*Z$2</f>
        <v>0</v>
      </c>
      <c r="AA569" s="88">
        <f>SUMIF(月間集計シート!$M$71:$M$90,$G569,月間集計シート!Q$71:Q$90)*AA$2</f>
        <v>0</v>
      </c>
      <c r="AB569" s="88">
        <f>SUMIF(月間集計シート!$M$71:$M$90,$G569,月間集計シート!R$71:R$90)*AB$2</f>
        <v>0</v>
      </c>
      <c r="AC569" s="88">
        <f>SUMIF(月間集計シート!$M$71:$M$90,$G569,月間集計シート!S$71:S$90)*AC$2</f>
        <v>0</v>
      </c>
      <c r="AD569" s="88">
        <f>SUMIF(月間集計シート!$M$71:$M$90,$G569,月間集計シート!T$71:T$90)*AD$2</f>
        <v>0</v>
      </c>
      <c r="AE569" s="88">
        <f>SUMIF(月間集計シート!$M$92:$M$111,$G569,月間集計シート!N$92:N$111)*AE$2</f>
        <v>0</v>
      </c>
      <c r="AF569" s="88">
        <f>SUMIF(月間集計シート!$M$92:$M$111,$G569,月間集計シート!O$92:O$111)*AF$2</f>
        <v>0</v>
      </c>
      <c r="AG569" s="88">
        <f>SUMIF(月間集計シート!$M$92:$M$111,$G569,月間集計シート!P$92:P$111)*AG$2</f>
        <v>0</v>
      </c>
      <c r="AH569" s="88">
        <f>SUMIF(月間集計シート!$M$92:$M$111,$G569,月間集計シート!Q$92:Q$111)*AH$2</f>
        <v>0</v>
      </c>
      <c r="AI569" s="88">
        <f>SUMIF(月間集計シート!$M$92:$M$111,$G569,月間集計シート!R$92:R$111)*AI$2</f>
        <v>0</v>
      </c>
      <c r="AJ569" s="88">
        <f>SUMIF(月間集計シート!$M$92:$M$111,$G569,月間集計シート!S$92:S$111)*AJ$2</f>
        <v>0</v>
      </c>
      <c r="AK569" s="88">
        <f>SUMIF(月間集計シート!$M$92:$M$111,$G569,月間集計シート!T$92:T$111)*AK$2</f>
        <v>0</v>
      </c>
      <c r="AL569" s="88">
        <f>SUMIF(月間集計シート!$M$113:$M$132,$G569,月間集計シート!N$113:N$132)*AL$2</f>
        <v>0</v>
      </c>
      <c r="AM569" s="88">
        <f>SUMIF(月間集計シート!$M$113:$M$132,$G569,月間集計シート!O$113:O$132)*AM$2</f>
        <v>0</v>
      </c>
      <c r="AN569" s="88">
        <f>SUMIF(月間集計シート!$M$113:$M$132,$G569,月間集計シート!P$113:P$132)*AN$2</f>
        <v>0</v>
      </c>
      <c r="AO569" s="88">
        <f>SUMIF(月間集計シート!$M$113:$M$132,$G569,月間集計シート!Q$113:Q$132)*AO$2</f>
        <v>0</v>
      </c>
      <c r="AP569" s="88">
        <f>SUMIF(月間集計シート!$M$113:$M$132,$G569,月間集計シート!R$113:R$132)*AP$2</f>
        <v>0</v>
      </c>
      <c r="AQ569" s="88">
        <f>SUMIF(月間集計シート!$M$113:$M$132,$G569,月間集計シート!S$113:S$132)*AQ$2</f>
        <v>0</v>
      </c>
      <c r="AR569" s="88">
        <f>SUMIF(月間集計シート!$M$113:$M$132,$G569,月間集計シート!T$113:T$132)*AR$2</f>
        <v>0</v>
      </c>
      <c r="AS569" s="88">
        <f>SUMIF(月間集計シート!$M$134:$M$153,$G569,月間集計シート!N$134:N$153)*AS$2</f>
        <v>0</v>
      </c>
      <c r="AT569" s="88">
        <f>SUMIF(月間集計シート!$M$134:$M$153,$G569,月間集計シート!O$134:O$153)*AT$2</f>
        <v>0</v>
      </c>
      <c r="AU569" s="88">
        <f>SUMIF(月間集計シート!$M$134:$M$153,$G569,月間集計シート!P$134:P$153)*AU$2</f>
        <v>0</v>
      </c>
      <c r="AV569" s="88">
        <f>SUMIF(月間集計シート!$M$134:$M$153,$G569,月間集計シート!Q$134:Q$153)*AV$2</f>
        <v>0</v>
      </c>
      <c r="AW569" s="88">
        <f>SUMIF(月間集計シート!$M$134:$M$153,$G569,月間集計シート!R$134:R$153)*AW$2</f>
        <v>0</v>
      </c>
      <c r="AX569" s="88">
        <f>SUMIF(月間集計シート!$M$134:$M$153,$G569,月間集計シート!S$134:S$153)*AX$2</f>
        <v>0</v>
      </c>
      <c r="AY569" s="88">
        <f>SUMIF(月間集計シート!$M$134:$M$153,$G569,月間集計シート!T$134:T$153)*AY$2</f>
        <v>0</v>
      </c>
    </row>
    <row r="570" spans="1:51" ht="14.25" thickBot="1">
      <c r="A570">
        <v>7</v>
      </c>
      <c r="B570" s="120">
        <f t="shared" si="251"/>
        <v>0</v>
      </c>
      <c r="C570" s="120" t="str">
        <f t="shared" si="252"/>
        <v/>
      </c>
      <c r="D570" s="137"/>
      <c r="E570" s="150">
        <f>工種!A52</f>
        <v>70103</v>
      </c>
      <c r="F570" s="119" t="str">
        <f>工種!B52</f>
        <v>外部不具合修正：テスト</v>
      </c>
      <c r="G570" s="116" t="str">
        <f t="shared" si="253"/>
        <v>070103</v>
      </c>
      <c r="H570" s="88">
        <f t="shared" si="247"/>
        <v>0</v>
      </c>
      <c r="I570" s="132"/>
      <c r="J570" s="88">
        <f>SUMIF(月間集計シート!$M$29:$M$48,$G570,月間集計シート!N$29:N$48)*J$2</f>
        <v>0</v>
      </c>
      <c r="K570" s="88">
        <f>SUMIF(月間集計シート!$M$29:$M$48,$G570,月間集計シート!O$29:O$48)*K$2</f>
        <v>0</v>
      </c>
      <c r="L570" s="88">
        <f>SUMIF(月間集計シート!$M$29:$M$48,$G570,月間集計シート!P$29:P$48)*L$2</f>
        <v>0</v>
      </c>
      <c r="M570" s="88">
        <f>SUMIF(月間集計シート!$M$29:$M$48,$G570,月間集計シート!Q$29:Q$48)*M$2</f>
        <v>0</v>
      </c>
      <c r="N570" s="88">
        <f>SUMIF(月間集計シート!$M$29:$M$48,$G570,月間集計シート!R$29:R$48)*N$2</f>
        <v>0</v>
      </c>
      <c r="O570" s="88">
        <f>SUMIF(月間集計シート!$M$29:$M$48,$G570,月間集計シート!S$29:S$48)*O$2</f>
        <v>0</v>
      </c>
      <c r="P570" s="88">
        <f>SUMIF(月間集計シート!$M$29:$M$48,$G570,月間集計シート!T$29:T$48)*P$2</f>
        <v>0</v>
      </c>
      <c r="Q570" s="88">
        <f>SUMIF(月間集計シート!$M$50:$M$69,$G570,月間集計シート!N$50:N$69)*Q$2</f>
        <v>0</v>
      </c>
      <c r="R570" s="88">
        <f>SUMIF(月間集計シート!$M$50:$M$69,$G570,月間集計シート!O$50:O$69)*R$2</f>
        <v>0</v>
      </c>
      <c r="S570" s="88">
        <f>SUMIF(月間集計シート!$M$50:$M$69,$G570,月間集計シート!P$50:P$69)*S$2</f>
        <v>0</v>
      </c>
      <c r="T570" s="88">
        <f>SUMIF(月間集計シート!$M$50:$M$69,$G570,月間集計シート!Q$50:Q$69)*T$2</f>
        <v>0</v>
      </c>
      <c r="U570" s="88">
        <f>SUMIF(月間集計シート!$M$50:$M$69,$G570,月間集計シート!R$50:R$69)*U$2</f>
        <v>0</v>
      </c>
      <c r="V570" s="88">
        <f>SUMIF(月間集計シート!$M$50:$M$69,$G570,月間集計シート!S$50:S$69)*V$2</f>
        <v>0</v>
      </c>
      <c r="W570" s="88">
        <f>SUMIF(月間集計シート!$M$50:$M$69,$G570,月間集計シート!T$50:T$69)*W$2</f>
        <v>0</v>
      </c>
      <c r="X570" s="88">
        <f>SUMIF(月間集計シート!$M$71:$M$90,$G570,月間集計シート!N$71:N$90)*X$2</f>
        <v>0</v>
      </c>
      <c r="Y570" s="88">
        <f>SUMIF(月間集計シート!$M$71:$M$90,$G570,月間集計シート!O$71:O$90)*Y$2</f>
        <v>0</v>
      </c>
      <c r="Z570" s="88">
        <f>SUMIF(月間集計シート!$M$71:$M$90,$G570,月間集計シート!P$71:P$90)*Z$2</f>
        <v>0</v>
      </c>
      <c r="AA570" s="88">
        <f>SUMIF(月間集計シート!$M$71:$M$90,$G570,月間集計シート!Q$71:Q$90)*AA$2</f>
        <v>0</v>
      </c>
      <c r="AB570" s="88">
        <f>SUMIF(月間集計シート!$M$71:$M$90,$G570,月間集計シート!R$71:R$90)*AB$2</f>
        <v>0</v>
      </c>
      <c r="AC570" s="88">
        <f>SUMIF(月間集計シート!$M$71:$M$90,$G570,月間集計シート!S$71:S$90)*AC$2</f>
        <v>0</v>
      </c>
      <c r="AD570" s="88">
        <f>SUMIF(月間集計シート!$M$71:$M$90,$G570,月間集計シート!T$71:T$90)*AD$2</f>
        <v>0</v>
      </c>
      <c r="AE570" s="88">
        <f>SUMIF(月間集計シート!$M$92:$M$111,$G570,月間集計シート!N$92:N$111)*AE$2</f>
        <v>0</v>
      </c>
      <c r="AF570" s="88">
        <f>SUMIF(月間集計シート!$M$92:$M$111,$G570,月間集計シート!O$92:O$111)*AF$2</f>
        <v>0</v>
      </c>
      <c r="AG570" s="88">
        <f>SUMIF(月間集計シート!$M$92:$M$111,$G570,月間集計シート!P$92:P$111)*AG$2</f>
        <v>0</v>
      </c>
      <c r="AH570" s="88">
        <f>SUMIF(月間集計シート!$M$92:$M$111,$G570,月間集計シート!Q$92:Q$111)*AH$2</f>
        <v>0</v>
      </c>
      <c r="AI570" s="88">
        <f>SUMIF(月間集計シート!$M$92:$M$111,$G570,月間集計シート!R$92:R$111)*AI$2</f>
        <v>0</v>
      </c>
      <c r="AJ570" s="88">
        <f>SUMIF(月間集計シート!$M$92:$M$111,$G570,月間集計シート!S$92:S$111)*AJ$2</f>
        <v>0</v>
      </c>
      <c r="AK570" s="88">
        <f>SUMIF(月間集計シート!$M$92:$M$111,$G570,月間集計シート!T$92:T$111)*AK$2</f>
        <v>0</v>
      </c>
      <c r="AL570" s="88">
        <f>SUMIF(月間集計シート!$M$113:$M$132,$G570,月間集計シート!N$113:N$132)*AL$2</f>
        <v>0</v>
      </c>
      <c r="AM570" s="88">
        <f>SUMIF(月間集計シート!$M$113:$M$132,$G570,月間集計シート!O$113:O$132)*AM$2</f>
        <v>0</v>
      </c>
      <c r="AN570" s="88">
        <f>SUMIF(月間集計シート!$M$113:$M$132,$G570,月間集計シート!P$113:P$132)*AN$2</f>
        <v>0</v>
      </c>
      <c r="AO570" s="88">
        <f>SUMIF(月間集計シート!$M$113:$M$132,$G570,月間集計シート!Q$113:Q$132)*AO$2</f>
        <v>0</v>
      </c>
      <c r="AP570" s="88">
        <f>SUMIF(月間集計シート!$M$113:$M$132,$G570,月間集計シート!R$113:R$132)*AP$2</f>
        <v>0</v>
      </c>
      <c r="AQ570" s="88">
        <f>SUMIF(月間集計シート!$M$113:$M$132,$G570,月間集計シート!S$113:S$132)*AQ$2</f>
        <v>0</v>
      </c>
      <c r="AR570" s="88">
        <f>SUMIF(月間集計シート!$M$113:$M$132,$G570,月間集計シート!T$113:T$132)*AR$2</f>
        <v>0</v>
      </c>
      <c r="AS570" s="88">
        <f>SUMIF(月間集計シート!$M$134:$M$153,$G570,月間集計シート!N$134:N$153)*AS$2</f>
        <v>0</v>
      </c>
      <c r="AT570" s="88">
        <f>SUMIF(月間集計シート!$M$134:$M$153,$G570,月間集計シート!O$134:O$153)*AT$2</f>
        <v>0</v>
      </c>
      <c r="AU570" s="88">
        <f>SUMIF(月間集計シート!$M$134:$M$153,$G570,月間集計シート!P$134:P$153)*AU$2</f>
        <v>0</v>
      </c>
      <c r="AV570" s="88">
        <f>SUMIF(月間集計シート!$M$134:$M$153,$G570,月間集計シート!Q$134:Q$153)*AV$2</f>
        <v>0</v>
      </c>
      <c r="AW570" s="88">
        <f>SUMIF(月間集計シート!$M$134:$M$153,$G570,月間集計シート!R$134:R$153)*AW$2</f>
        <v>0</v>
      </c>
      <c r="AX570" s="88">
        <f>SUMIF(月間集計シート!$M$134:$M$153,$G570,月間集計シート!S$134:S$153)*AX$2</f>
        <v>0</v>
      </c>
      <c r="AY570" s="88">
        <f>SUMIF(月間集計シート!$M$134:$M$153,$G570,月間集計シート!T$134:T$153)*AY$2</f>
        <v>0</v>
      </c>
    </row>
    <row r="571" spans="1:51" ht="14.25" thickBot="1">
      <c r="A571">
        <v>7</v>
      </c>
      <c r="B571" s="120">
        <f t="shared" si="251"/>
        <v>0</v>
      </c>
      <c r="C571" s="120" t="str">
        <f t="shared" si="252"/>
        <v/>
      </c>
      <c r="D571" s="137"/>
      <c r="E571" s="150">
        <f>工種!A53</f>
        <v>70104</v>
      </c>
      <c r="F571" s="119" t="str">
        <f>工種!B53</f>
        <v>外部不具合修正：不具合連絡作成</v>
      </c>
      <c r="G571" s="116" t="str">
        <f t="shared" si="253"/>
        <v>070104</v>
      </c>
      <c r="H571" s="88">
        <f t="shared" si="247"/>
        <v>0</v>
      </c>
      <c r="I571" s="132"/>
      <c r="J571" s="88">
        <f>SUMIF(月間集計シート!$M$29:$M$48,$G571,月間集計シート!N$29:N$48)*J$2</f>
        <v>0</v>
      </c>
      <c r="K571" s="88">
        <f>SUMIF(月間集計シート!$M$29:$M$48,$G571,月間集計シート!O$29:O$48)*K$2</f>
        <v>0</v>
      </c>
      <c r="L571" s="88">
        <f>SUMIF(月間集計シート!$M$29:$M$48,$G571,月間集計シート!P$29:P$48)*L$2</f>
        <v>0</v>
      </c>
      <c r="M571" s="88">
        <f>SUMIF(月間集計シート!$M$29:$M$48,$G571,月間集計シート!Q$29:Q$48)*M$2</f>
        <v>0</v>
      </c>
      <c r="N571" s="88">
        <f>SUMIF(月間集計シート!$M$29:$M$48,$G571,月間集計シート!R$29:R$48)*N$2</f>
        <v>0</v>
      </c>
      <c r="O571" s="88">
        <f>SUMIF(月間集計シート!$M$29:$M$48,$G571,月間集計シート!S$29:S$48)*O$2</f>
        <v>0</v>
      </c>
      <c r="P571" s="88">
        <f>SUMIF(月間集計シート!$M$29:$M$48,$G571,月間集計シート!T$29:T$48)*P$2</f>
        <v>0</v>
      </c>
      <c r="Q571" s="88">
        <f>SUMIF(月間集計シート!$M$50:$M$69,$G571,月間集計シート!N$50:N$69)*Q$2</f>
        <v>0</v>
      </c>
      <c r="R571" s="88">
        <f>SUMIF(月間集計シート!$M$50:$M$69,$G571,月間集計シート!O$50:O$69)*R$2</f>
        <v>0</v>
      </c>
      <c r="S571" s="88">
        <f>SUMIF(月間集計シート!$M$50:$M$69,$G571,月間集計シート!P$50:P$69)*S$2</f>
        <v>0</v>
      </c>
      <c r="T571" s="88">
        <f>SUMIF(月間集計シート!$M$50:$M$69,$G571,月間集計シート!Q$50:Q$69)*T$2</f>
        <v>0</v>
      </c>
      <c r="U571" s="88">
        <f>SUMIF(月間集計シート!$M$50:$M$69,$G571,月間集計シート!R$50:R$69)*U$2</f>
        <v>0</v>
      </c>
      <c r="V571" s="88">
        <f>SUMIF(月間集計シート!$M$50:$M$69,$G571,月間集計シート!S$50:S$69)*V$2</f>
        <v>0</v>
      </c>
      <c r="W571" s="88">
        <f>SUMIF(月間集計シート!$M$50:$M$69,$G571,月間集計シート!T$50:T$69)*W$2</f>
        <v>0</v>
      </c>
      <c r="X571" s="88">
        <f>SUMIF(月間集計シート!$M$71:$M$90,$G571,月間集計シート!N$71:N$90)*X$2</f>
        <v>0</v>
      </c>
      <c r="Y571" s="88">
        <f>SUMIF(月間集計シート!$M$71:$M$90,$G571,月間集計シート!O$71:O$90)*Y$2</f>
        <v>0</v>
      </c>
      <c r="Z571" s="88">
        <f>SUMIF(月間集計シート!$M$71:$M$90,$G571,月間集計シート!P$71:P$90)*Z$2</f>
        <v>0</v>
      </c>
      <c r="AA571" s="88">
        <f>SUMIF(月間集計シート!$M$71:$M$90,$G571,月間集計シート!Q$71:Q$90)*AA$2</f>
        <v>0</v>
      </c>
      <c r="AB571" s="88">
        <f>SUMIF(月間集計シート!$M$71:$M$90,$G571,月間集計シート!R$71:R$90)*AB$2</f>
        <v>0</v>
      </c>
      <c r="AC571" s="88">
        <f>SUMIF(月間集計シート!$M$71:$M$90,$G571,月間集計シート!S$71:S$90)*AC$2</f>
        <v>0</v>
      </c>
      <c r="AD571" s="88">
        <f>SUMIF(月間集計シート!$M$71:$M$90,$G571,月間集計シート!T$71:T$90)*AD$2</f>
        <v>0</v>
      </c>
      <c r="AE571" s="88">
        <f>SUMIF(月間集計シート!$M$92:$M$111,$G571,月間集計シート!N$92:N$111)*AE$2</f>
        <v>0</v>
      </c>
      <c r="AF571" s="88">
        <f>SUMIF(月間集計シート!$M$92:$M$111,$G571,月間集計シート!O$92:O$111)*AF$2</f>
        <v>0</v>
      </c>
      <c r="AG571" s="88">
        <f>SUMIF(月間集計シート!$M$92:$M$111,$G571,月間集計シート!P$92:P$111)*AG$2</f>
        <v>0</v>
      </c>
      <c r="AH571" s="88">
        <f>SUMIF(月間集計シート!$M$92:$M$111,$G571,月間集計シート!Q$92:Q$111)*AH$2</f>
        <v>0</v>
      </c>
      <c r="AI571" s="88">
        <f>SUMIF(月間集計シート!$M$92:$M$111,$G571,月間集計シート!R$92:R$111)*AI$2</f>
        <v>0</v>
      </c>
      <c r="AJ571" s="88">
        <f>SUMIF(月間集計シート!$M$92:$M$111,$G571,月間集計シート!S$92:S$111)*AJ$2</f>
        <v>0</v>
      </c>
      <c r="AK571" s="88">
        <f>SUMIF(月間集計シート!$M$92:$M$111,$G571,月間集計シート!T$92:T$111)*AK$2</f>
        <v>0</v>
      </c>
      <c r="AL571" s="88">
        <f>SUMIF(月間集計シート!$M$113:$M$132,$G571,月間集計シート!N$113:N$132)*AL$2</f>
        <v>0</v>
      </c>
      <c r="AM571" s="88">
        <f>SUMIF(月間集計シート!$M$113:$M$132,$G571,月間集計シート!O$113:O$132)*AM$2</f>
        <v>0</v>
      </c>
      <c r="AN571" s="88">
        <f>SUMIF(月間集計シート!$M$113:$M$132,$G571,月間集計シート!P$113:P$132)*AN$2</f>
        <v>0</v>
      </c>
      <c r="AO571" s="88">
        <f>SUMIF(月間集計シート!$M$113:$M$132,$G571,月間集計シート!Q$113:Q$132)*AO$2</f>
        <v>0</v>
      </c>
      <c r="AP571" s="88">
        <f>SUMIF(月間集計シート!$M$113:$M$132,$G571,月間集計シート!R$113:R$132)*AP$2</f>
        <v>0</v>
      </c>
      <c r="AQ571" s="88">
        <f>SUMIF(月間集計シート!$M$113:$M$132,$G571,月間集計シート!S$113:S$132)*AQ$2</f>
        <v>0</v>
      </c>
      <c r="AR571" s="88">
        <f>SUMIF(月間集計シート!$M$113:$M$132,$G571,月間集計シート!T$113:T$132)*AR$2</f>
        <v>0</v>
      </c>
      <c r="AS571" s="88">
        <f>SUMIF(月間集計シート!$M$134:$M$153,$G571,月間集計シート!N$134:N$153)*AS$2</f>
        <v>0</v>
      </c>
      <c r="AT571" s="88">
        <f>SUMIF(月間集計シート!$M$134:$M$153,$G571,月間集計シート!O$134:O$153)*AT$2</f>
        <v>0</v>
      </c>
      <c r="AU571" s="88">
        <f>SUMIF(月間集計シート!$M$134:$M$153,$G571,月間集計シート!P$134:P$153)*AU$2</f>
        <v>0</v>
      </c>
      <c r="AV571" s="88">
        <f>SUMIF(月間集計シート!$M$134:$M$153,$G571,月間集計シート!Q$134:Q$153)*AV$2</f>
        <v>0</v>
      </c>
      <c r="AW571" s="88">
        <f>SUMIF(月間集計シート!$M$134:$M$153,$G571,月間集計シート!R$134:R$153)*AW$2</f>
        <v>0</v>
      </c>
      <c r="AX571" s="88">
        <f>SUMIF(月間集計シート!$M$134:$M$153,$G571,月間集計シート!S$134:S$153)*AX$2</f>
        <v>0</v>
      </c>
      <c r="AY571" s="88">
        <f>SUMIF(月間集計シート!$M$134:$M$153,$G571,月間集計シート!T$134:T$153)*AY$2</f>
        <v>0</v>
      </c>
    </row>
    <row r="572" spans="1:51" ht="14.25" thickBot="1">
      <c r="A572">
        <v>7</v>
      </c>
      <c r="B572" s="120">
        <f t="shared" si="251"/>
        <v>0</v>
      </c>
      <c r="C572" s="120" t="str">
        <f t="shared" si="252"/>
        <v/>
      </c>
      <c r="D572" s="137"/>
      <c r="E572" s="150">
        <f>工種!A54</f>
        <v>70105</v>
      </c>
      <c r="F572" s="119" t="str">
        <f>工種!B54</f>
        <v>外部不具合修正：差分PGイントラ掲載</v>
      </c>
      <c r="G572" s="116" t="str">
        <f t="shared" si="253"/>
        <v>070105</v>
      </c>
      <c r="H572" s="88">
        <f t="shared" si="247"/>
        <v>0</v>
      </c>
      <c r="I572" s="132"/>
      <c r="J572" s="88">
        <f>SUMIF(月間集計シート!$M$29:$M$48,$G572,月間集計シート!N$29:N$48)*J$2</f>
        <v>0</v>
      </c>
      <c r="K572" s="88">
        <f>SUMIF(月間集計シート!$M$29:$M$48,$G572,月間集計シート!O$29:O$48)*K$2</f>
        <v>0</v>
      </c>
      <c r="L572" s="88">
        <f>SUMIF(月間集計シート!$M$29:$M$48,$G572,月間集計シート!P$29:P$48)*L$2</f>
        <v>0</v>
      </c>
      <c r="M572" s="88">
        <f>SUMIF(月間集計シート!$M$29:$M$48,$G572,月間集計シート!Q$29:Q$48)*M$2</f>
        <v>0</v>
      </c>
      <c r="N572" s="88">
        <f>SUMIF(月間集計シート!$M$29:$M$48,$G572,月間集計シート!R$29:R$48)*N$2</f>
        <v>0</v>
      </c>
      <c r="O572" s="88">
        <f>SUMIF(月間集計シート!$M$29:$M$48,$G572,月間集計シート!S$29:S$48)*O$2</f>
        <v>0</v>
      </c>
      <c r="P572" s="88">
        <f>SUMIF(月間集計シート!$M$29:$M$48,$G572,月間集計シート!T$29:T$48)*P$2</f>
        <v>0</v>
      </c>
      <c r="Q572" s="88">
        <f>SUMIF(月間集計シート!$M$50:$M$69,$G572,月間集計シート!N$50:N$69)*Q$2</f>
        <v>0</v>
      </c>
      <c r="R572" s="88">
        <f>SUMIF(月間集計シート!$M$50:$M$69,$G572,月間集計シート!O$50:O$69)*R$2</f>
        <v>0</v>
      </c>
      <c r="S572" s="88">
        <f>SUMIF(月間集計シート!$M$50:$M$69,$G572,月間集計シート!P$50:P$69)*S$2</f>
        <v>0</v>
      </c>
      <c r="T572" s="88">
        <f>SUMIF(月間集計シート!$M$50:$M$69,$G572,月間集計シート!Q$50:Q$69)*T$2</f>
        <v>0</v>
      </c>
      <c r="U572" s="88">
        <f>SUMIF(月間集計シート!$M$50:$M$69,$G572,月間集計シート!R$50:R$69)*U$2</f>
        <v>0</v>
      </c>
      <c r="V572" s="88">
        <f>SUMIF(月間集計シート!$M$50:$M$69,$G572,月間集計シート!S$50:S$69)*V$2</f>
        <v>0</v>
      </c>
      <c r="W572" s="88">
        <f>SUMIF(月間集計シート!$M$50:$M$69,$G572,月間集計シート!T$50:T$69)*W$2</f>
        <v>0</v>
      </c>
      <c r="X572" s="88">
        <f>SUMIF(月間集計シート!$M$71:$M$90,$G572,月間集計シート!N$71:N$90)*X$2</f>
        <v>0</v>
      </c>
      <c r="Y572" s="88">
        <f>SUMIF(月間集計シート!$M$71:$M$90,$G572,月間集計シート!O$71:O$90)*Y$2</f>
        <v>0</v>
      </c>
      <c r="Z572" s="88">
        <f>SUMIF(月間集計シート!$M$71:$M$90,$G572,月間集計シート!P$71:P$90)*Z$2</f>
        <v>0</v>
      </c>
      <c r="AA572" s="88">
        <f>SUMIF(月間集計シート!$M$71:$M$90,$G572,月間集計シート!Q$71:Q$90)*AA$2</f>
        <v>0</v>
      </c>
      <c r="AB572" s="88">
        <f>SUMIF(月間集計シート!$M$71:$M$90,$G572,月間集計シート!R$71:R$90)*AB$2</f>
        <v>0</v>
      </c>
      <c r="AC572" s="88">
        <f>SUMIF(月間集計シート!$M$71:$M$90,$G572,月間集計シート!S$71:S$90)*AC$2</f>
        <v>0</v>
      </c>
      <c r="AD572" s="88">
        <f>SUMIF(月間集計シート!$M$71:$M$90,$G572,月間集計シート!T$71:T$90)*AD$2</f>
        <v>0</v>
      </c>
      <c r="AE572" s="88">
        <f>SUMIF(月間集計シート!$M$92:$M$111,$G572,月間集計シート!N$92:N$111)*AE$2</f>
        <v>0</v>
      </c>
      <c r="AF572" s="88">
        <f>SUMIF(月間集計シート!$M$92:$M$111,$G572,月間集計シート!O$92:O$111)*AF$2</f>
        <v>0</v>
      </c>
      <c r="AG572" s="88">
        <f>SUMIF(月間集計シート!$M$92:$M$111,$G572,月間集計シート!P$92:P$111)*AG$2</f>
        <v>0</v>
      </c>
      <c r="AH572" s="88">
        <f>SUMIF(月間集計シート!$M$92:$M$111,$G572,月間集計シート!Q$92:Q$111)*AH$2</f>
        <v>0</v>
      </c>
      <c r="AI572" s="88">
        <f>SUMIF(月間集計シート!$M$92:$M$111,$G572,月間集計シート!R$92:R$111)*AI$2</f>
        <v>0</v>
      </c>
      <c r="AJ572" s="88">
        <f>SUMIF(月間集計シート!$M$92:$M$111,$G572,月間集計シート!S$92:S$111)*AJ$2</f>
        <v>0</v>
      </c>
      <c r="AK572" s="88">
        <f>SUMIF(月間集計シート!$M$92:$M$111,$G572,月間集計シート!T$92:T$111)*AK$2</f>
        <v>0</v>
      </c>
      <c r="AL572" s="88">
        <f>SUMIF(月間集計シート!$M$113:$M$132,$G572,月間集計シート!N$113:N$132)*AL$2</f>
        <v>0</v>
      </c>
      <c r="AM572" s="88">
        <f>SUMIF(月間集計シート!$M$113:$M$132,$G572,月間集計シート!O$113:O$132)*AM$2</f>
        <v>0</v>
      </c>
      <c r="AN572" s="88">
        <f>SUMIF(月間集計シート!$M$113:$M$132,$G572,月間集計シート!P$113:P$132)*AN$2</f>
        <v>0</v>
      </c>
      <c r="AO572" s="88">
        <f>SUMIF(月間集計シート!$M$113:$M$132,$G572,月間集計シート!Q$113:Q$132)*AO$2</f>
        <v>0</v>
      </c>
      <c r="AP572" s="88">
        <f>SUMIF(月間集計シート!$M$113:$M$132,$G572,月間集計シート!R$113:R$132)*AP$2</f>
        <v>0</v>
      </c>
      <c r="AQ572" s="88">
        <f>SUMIF(月間集計シート!$M$113:$M$132,$G572,月間集計シート!S$113:S$132)*AQ$2</f>
        <v>0</v>
      </c>
      <c r="AR572" s="88">
        <f>SUMIF(月間集計シート!$M$113:$M$132,$G572,月間集計シート!T$113:T$132)*AR$2</f>
        <v>0</v>
      </c>
      <c r="AS572" s="88">
        <f>SUMIF(月間集計シート!$M$134:$M$153,$G572,月間集計シート!N$134:N$153)*AS$2</f>
        <v>0</v>
      </c>
      <c r="AT572" s="88">
        <f>SUMIF(月間集計シート!$M$134:$M$153,$G572,月間集計シート!O$134:O$153)*AT$2</f>
        <v>0</v>
      </c>
      <c r="AU572" s="88">
        <f>SUMIF(月間集計シート!$M$134:$M$153,$G572,月間集計シート!P$134:P$153)*AU$2</f>
        <v>0</v>
      </c>
      <c r="AV572" s="88">
        <f>SUMIF(月間集計シート!$M$134:$M$153,$G572,月間集計シート!Q$134:Q$153)*AV$2</f>
        <v>0</v>
      </c>
      <c r="AW572" s="88">
        <f>SUMIF(月間集計シート!$M$134:$M$153,$G572,月間集計シート!R$134:R$153)*AW$2</f>
        <v>0</v>
      </c>
      <c r="AX572" s="88">
        <f>SUMIF(月間集計シート!$M$134:$M$153,$G572,月間集計シート!S$134:S$153)*AX$2</f>
        <v>0</v>
      </c>
      <c r="AY572" s="88">
        <f>SUMIF(月間集計シート!$M$134:$M$153,$G572,月間集計シート!T$134:T$153)*AY$2</f>
        <v>0</v>
      </c>
    </row>
    <row r="573" spans="1:51" ht="14.25" thickBot="1">
      <c r="A573">
        <v>7</v>
      </c>
      <c r="B573" s="120">
        <f t="shared" si="251"/>
        <v>0</v>
      </c>
      <c r="C573" s="120" t="str">
        <f t="shared" si="252"/>
        <v/>
      </c>
      <c r="D573" s="137"/>
      <c r="E573" s="150">
        <f>工種!A55</f>
        <v>70106</v>
      </c>
      <c r="F573" s="119" t="str">
        <f>工種!B55</f>
        <v>外部不具合修正：打合せ</v>
      </c>
      <c r="G573" s="116" t="str">
        <f t="shared" si="253"/>
        <v>070106</v>
      </c>
      <c r="H573" s="88">
        <f t="shared" si="247"/>
        <v>0</v>
      </c>
      <c r="I573" s="132"/>
      <c r="J573" s="88">
        <f>SUMIF(月間集計シート!$M$29:$M$48,$G573,月間集計シート!N$29:N$48)*J$2</f>
        <v>0</v>
      </c>
      <c r="K573" s="88">
        <f>SUMIF(月間集計シート!$M$29:$M$48,$G573,月間集計シート!O$29:O$48)*K$2</f>
        <v>0</v>
      </c>
      <c r="L573" s="88">
        <f>SUMIF(月間集計シート!$M$29:$M$48,$G573,月間集計シート!P$29:P$48)*L$2</f>
        <v>0</v>
      </c>
      <c r="M573" s="88">
        <f>SUMIF(月間集計シート!$M$29:$M$48,$G573,月間集計シート!Q$29:Q$48)*M$2</f>
        <v>0</v>
      </c>
      <c r="N573" s="88">
        <f>SUMIF(月間集計シート!$M$29:$M$48,$G573,月間集計シート!R$29:R$48)*N$2</f>
        <v>0</v>
      </c>
      <c r="O573" s="88">
        <f>SUMIF(月間集計シート!$M$29:$M$48,$G573,月間集計シート!S$29:S$48)*O$2</f>
        <v>0</v>
      </c>
      <c r="P573" s="88">
        <f>SUMIF(月間集計シート!$M$29:$M$48,$G573,月間集計シート!T$29:T$48)*P$2</f>
        <v>0</v>
      </c>
      <c r="Q573" s="88">
        <f>SUMIF(月間集計シート!$M$50:$M$69,$G573,月間集計シート!N$50:N$69)*Q$2</f>
        <v>0</v>
      </c>
      <c r="R573" s="88">
        <f>SUMIF(月間集計シート!$M$50:$M$69,$G573,月間集計シート!O$50:O$69)*R$2</f>
        <v>0</v>
      </c>
      <c r="S573" s="88">
        <f>SUMIF(月間集計シート!$M$50:$M$69,$G573,月間集計シート!P$50:P$69)*S$2</f>
        <v>0</v>
      </c>
      <c r="T573" s="88">
        <f>SUMIF(月間集計シート!$M$50:$M$69,$G573,月間集計シート!Q$50:Q$69)*T$2</f>
        <v>0</v>
      </c>
      <c r="U573" s="88">
        <f>SUMIF(月間集計シート!$M$50:$M$69,$G573,月間集計シート!R$50:R$69)*U$2</f>
        <v>0</v>
      </c>
      <c r="V573" s="88">
        <f>SUMIF(月間集計シート!$M$50:$M$69,$G573,月間集計シート!S$50:S$69)*V$2</f>
        <v>0</v>
      </c>
      <c r="W573" s="88">
        <f>SUMIF(月間集計シート!$M$50:$M$69,$G573,月間集計シート!T$50:T$69)*W$2</f>
        <v>0</v>
      </c>
      <c r="X573" s="88">
        <f>SUMIF(月間集計シート!$M$71:$M$90,$G573,月間集計シート!N$71:N$90)*X$2</f>
        <v>0</v>
      </c>
      <c r="Y573" s="88">
        <f>SUMIF(月間集計シート!$M$71:$M$90,$G573,月間集計シート!O$71:O$90)*Y$2</f>
        <v>0</v>
      </c>
      <c r="Z573" s="88">
        <f>SUMIF(月間集計シート!$M$71:$M$90,$G573,月間集計シート!P$71:P$90)*Z$2</f>
        <v>0</v>
      </c>
      <c r="AA573" s="88">
        <f>SUMIF(月間集計シート!$M$71:$M$90,$G573,月間集計シート!Q$71:Q$90)*AA$2</f>
        <v>0</v>
      </c>
      <c r="AB573" s="88">
        <f>SUMIF(月間集計シート!$M$71:$M$90,$G573,月間集計シート!R$71:R$90)*AB$2</f>
        <v>0</v>
      </c>
      <c r="AC573" s="88">
        <f>SUMIF(月間集計シート!$M$71:$M$90,$G573,月間集計シート!S$71:S$90)*AC$2</f>
        <v>0</v>
      </c>
      <c r="AD573" s="88">
        <f>SUMIF(月間集計シート!$M$71:$M$90,$G573,月間集計シート!T$71:T$90)*AD$2</f>
        <v>0</v>
      </c>
      <c r="AE573" s="88">
        <f>SUMIF(月間集計シート!$M$92:$M$111,$G573,月間集計シート!N$92:N$111)*AE$2</f>
        <v>0</v>
      </c>
      <c r="AF573" s="88">
        <f>SUMIF(月間集計シート!$M$92:$M$111,$G573,月間集計シート!O$92:O$111)*AF$2</f>
        <v>0</v>
      </c>
      <c r="AG573" s="88">
        <f>SUMIF(月間集計シート!$M$92:$M$111,$G573,月間集計シート!P$92:P$111)*AG$2</f>
        <v>0</v>
      </c>
      <c r="AH573" s="88">
        <f>SUMIF(月間集計シート!$M$92:$M$111,$G573,月間集計シート!Q$92:Q$111)*AH$2</f>
        <v>0</v>
      </c>
      <c r="AI573" s="88">
        <f>SUMIF(月間集計シート!$M$92:$M$111,$G573,月間集計シート!R$92:R$111)*AI$2</f>
        <v>0</v>
      </c>
      <c r="AJ573" s="88">
        <f>SUMIF(月間集計シート!$M$92:$M$111,$G573,月間集計シート!S$92:S$111)*AJ$2</f>
        <v>0</v>
      </c>
      <c r="AK573" s="88">
        <f>SUMIF(月間集計シート!$M$92:$M$111,$G573,月間集計シート!T$92:T$111)*AK$2</f>
        <v>0</v>
      </c>
      <c r="AL573" s="88">
        <f>SUMIF(月間集計シート!$M$113:$M$132,$G573,月間集計シート!N$113:N$132)*AL$2</f>
        <v>0</v>
      </c>
      <c r="AM573" s="88">
        <f>SUMIF(月間集計シート!$M$113:$M$132,$G573,月間集計シート!O$113:O$132)*AM$2</f>
        <v>0</v>
      </c>
      <c r="AN573" s="88">
        <f>SUMIF(月間集計シート!$M$113:$M$132,$G573,月間集計シート!P$113:P$132)*AN$2</f>
        <v>0</v>
      </c>
      <c r="AO573" s="88">
        <f>SUMIF(月間集計シート!$M$113:$M$132,$G573,月間集計シート!Q$113:Q$132)*AO$2</f>
        <v>0</v>
      </c>
      <c r="AP573" s="88">
        <f>SUMIF(月間集計シート!$M$113:$M$132,$G573,月間集計シート!R$113:R$132)*AP$2</f>
        <v>0</v>
      </c>
      <c r="AQ573" s="88">
        <f>SUMIF(月間集計シート!$M$113:$M$132,$G573,月間集計シート!S$113:S$132)*AQ$2</f>
        <v>0</v>
      </c>
      <c r="AR573" s="88">
        <f>SUMIF(月間集計シート!$M$113:$M$132,$G573,月間集計シート!T$113:T$132)*AR$2</f>
        <v>0</v>
      </c>
      <c r="AS573" s="88">
        <f>SUMIF(月間集計シート!$M$134:$M$153,$G573,月間集計シート!N$134:N$153)*AS$2</f>
        <v>0</v>
      </c>
      <c r="AT573" s="88">
        <f>SUMIF(月間集計シート!$M$134:$M$153,$G573,月間集計シート!O$134:O$153)*AT$2</f>
        <v>0</v>
      </c>
      <c r="AU573" s="88">
        <f>SUMIF(月間集計シート!$M$134:$M$153,$G573,月間集計シート!P$134:P$153)*AU$2</f>
        <v>0</v>
      </c>
      <c r="AV573" s="88">
        <f>SUMIF(月間集計シート!$M$134:$M$153,$G573,月間集計シート!Q$134:Q$153)*AV$2</f>
        <v>0</v>
      </c>
      <c r="AW573" s="88">
        <f>SUMIF(月間集計シート!$M$134:$M$153,$G573,月間集計シート!R$134:R$153)*AW$2</f>
        <v>0</v>
      </c>
      <c r="AX573" s="88">
        <f>SUMIF(月間集計シート!$M$134:$M$153,$G573,月間集計シート!S$134:S$153)*AX$2</f>
        <v>0</v>
      </c>
      <c r="AY573" s="88">
        <f>SUMIF(月間集計シート!$M$134:$M$153,$G573,月間集計シート!T$134:T$153)*AY$2</f>
        <v>0</v>
      </c>
    </row>
    <row r="574" spans="1:51" ht="14.25" thickBot="1">
      <c r="A574">
        <v>7</v>
      </c>
      <c r="B574" s="120">
        <f t="shared" si="251"/>
        <v>0</v>
      </c>
      <c r="C574" s="120" t="str">
        <f t="shared" si="252"/>
        <v/>
      </c>
      <c r="D574" s="137"/>
      <c r="E574" s="150">
        <f>工種!A56</f>
        <v>70109</v>
      </c>
      <c r="F574" s="119" t="str">
        <f>工種!B56</f>
        <v>外部不具合修正：レビュー</v>
      </c>
      <c r="G574" s="116" t="str">
        <f t="shared" si="253"/>
        <v>070109</v>
      </c>
      <c r="H574" s="88">
        <f t="shared" si="247"/>
        <v>0</v>
      </c>
      <c r="I574" s="132"/>
      <c r="J574" s="88">
        <f>SUMIF(月間集計シート!$M$29:$M$48,$G574,月間集計シート!N$29:N$48)*J$2</f>
        <v>0</v>
      </c>
      <c r="K574" s="88">
        <f>SUMIF(月間集計シート!$M$29:$M$48,$G574,月間集計シート!O$29:O$48)*K$2</f>
        <v>0</v>
      </c>
      <c r="L574" s="88">
        <f>SUMIF(月間集計シート!$M$29:$M$48,$G574,月間集計シート!P$29:P$48)*L$2</f>
        <v>0</v>
      </c>
      <c r="M574" s="88">
        <f>SUMIF(月間集計シート!$M$29:$M$48,$G574,月間集計シート!Q$29:Q$48)*M$2</f>
        <v>0</v>
      </c>
      <c r="N574" s="88">
        <f>SUMIF(月間集計シート!$M$29:$M$48,$G574,月間集計シート!R$29:R$48)*N$2</f>
        <v>0</v>
      </c>
      <c r="O574" s="88">
        <f>SUMIF(月間集計シート!$M$29:$M$48,$G574,月間集計シート!S$29:S$48)*O$2</f>
        <v>0</v>
      </c>
      <c r="P574" s="88">
        <f>SUMIF(月間集計シート!$M$29:$M$48,$G574,月間集計シート!T$29:T$48)*P$2</f>
        <v>0</v>
      </c>
      <c r="Q574" s="88">
        <f>SUMIF(月間集計シート!$M$50:$M$69,$G574,月間集計シート!N$50:N$69)*Q$2</f>
        <v>0</v>
      </c>
      <c r="R574" s="88">
        <f>SUMIF(月間集計シート!$M$50:$M$69,$G574,月間集計シート!O$50:O$69)*R$2</f>
        <v>0</v>
      </c>
      <c r="S574" s="88">
        <f>SUMIF(月間集計シート!$M$50:$M$69,$G574,月間集計シート!P$50:P$69)*S$2</f>
        <v>0</v>
      </c>
      <c r="T574" s="88">
        <f>SUMIF(月間集計シート!$M$50:$M$69,$G574,月間集計シート!Q$50:Q$69)*T$2</f>
        <v>0</v>
      </c>
      <c r="U574" s="88">
        <f>SUMIF(月間集計シート!$M$50:$M$69,$G574,月間集計シート!R$50:R$69)*U$2</f>
        <v>0</v>
      </c>
      <c r="V574" s="88">
        <f>SUMIF(月間集計シート!$M$50:$M$69,$G574,月間集計シート!S$50:S$69)*V$2</f>
        <v>0</v>
      </c>
      <c r="W574" s="88">
        <f>SUMIF(月間集計シート!$M$50:$M$69,$G574,月間集計シート!T$50:T$69)*W$2</f>
        <v>0</v>
      </c>
      <c r="X574" s="88">
        <f>SUMIF(月間集計シート!$M$71:$M$90,$G574,月間集計シート!N$71:N$90)*X$2</f>
        <v>0</v>
      </c>
      <c r="Y574" s="88">
        <f>SUMIF(月間集計シート!$M$71:$M$90,$G574,月間集計シート!O$71:O$90)*Y$2</f>
        <v>0</v>
      </c>
      <c r="Z574" s="88">
        <f>SUMIF(月間集計シート!$M$71:$M$90,$G574,月間集計シート!P$71:P$90)*Z$2</f>
        <v>0</v>
      </c>
      <c r="AA574" s="88">
        <f>SUMIF(月間集計シート!$M$71:$M$90,$G574,月間集計シート!Q$71:Q$90)*AA$2</f>
        <v>0</v>
      </c>
      <c r="AB574" s="88">
        <f>SUMIF(月間集計シート!$M$71:$M$90,$G574,月間集計シート!R$71:R$90)*AB$2</f>
        <v>0</v>
      </c>
      <c r="AC574" s="88">
        <f>SUMIF(月間集計シート!$M$71:$M$90,$G574,月間集計シート!S$71:S$90)*AC$2</f>
        <v>0</v>
      </c>
      <c r="AD574" s="88">
        <f>SUMIF(月間集計シート!$M$71:$M$90,$G574,月間集計シート!T$71:T$90)*AD$2</f>
        <v>0</v>
      </c>
      <c r="AE574" s="88">
        <f>SUMIF(月間集計シート!$M$92:$M$111,$G574,月間集計シート!N$92:N$111)*AE$2</f>
        <v>0</v>
      </c>
      <c r="AF574" s="88">
        <f>SUMIF(月間集計シート!$M$92:$M$111,$G574,月間集計シート!O$92:O$111)*AF$2</f>
        <v>0</v>
      </c>
      <c r="AG574" s="88">
        <f>SUMIF(月間集計シート!$M$92:$M$111,$G574,月間集計シート!P$92:P$111)*AG$2</f>
        <v>0</v>
      </c>
      <c r="AH574" s="88">
        <f>SUMIF(月間集計シート!$M$92:$M$111,$G574,月間集計シート!Q$92:Q$111)*AH$2</f>
        <v>0</v>
      </c>
      <c r="AI574" s="88">
        <f>SUMIF(月間集計シート!$M$92:$M$111,$G574,月間集計シート!R$92:R$111)*AI$2</f>
        <v>0</v>
      </c>
      <c r="AJ574" s="88">
        <f>SUMIF(月間集計シート!$M$92:$M$111,$G574,月間集計シート!S$92:S$111)*AJ$2</f>
        <v>0</v>
      </c>
      <c r="AK574" s="88">
        <f>SUMIF(月間集計シート!$M$92:$M$111,$G574,月間集計シート!T$92:T$111)*AK$2</f>
        <v>0</v>
      </c>
      <c r="AL574" s="88">
        <f>SUMIF(月間集計シート!$M$113:$M$132,$G574,月間集計シート!N$113:N$132)*AL$2</f>
        <v>0</v>
      </c>
      <c r="AM574" s="88">
        <f>SUMIF(月間集計シート!$M$113:$M$132,$G574,月間集計シート!O$113:O$132)*AM$2</f>
        <v>0</v>
      </c>
      <c r="AN574" s="88">
        <f>SUMIF(月間集計シート!$M$113:$M$132,$G574,月間集計シート!P$113:P$132)*AN$2</f>
        <v>0</v>
      </c>
      <c r="AO574" s="88">
        <f>SUMIF(月間集計シート!$M$113:$M$132,$G574,月間集計シート!Q$113:Q$132)*AO$2</f>
        <v>0</v>
      </c>
      <c r="AP574" s="88">
        <f>SUMIF(月間集計シート!$M$113:$M$132,$G574,月間集計シート!R$113:R$132)*AP$2</f>
        <v>0</v>
      </c>
      <c r="AQ574" s="88">
        <f>SUMIF(月間集計シート!$M$113:$M$132,$G574,月間集計シート!S$113:S$132)*AQ$2</f>
        <v>0</v>
      </c>
      <c r="AR574" s="88">
        <f>SUMIF(月間集計シート!$M$113:$M$132,$G574,月間集計シート!T$113:T$132)*AR$2</f>
        <v>0</v>
      </c>
      <c r="AS574" s="88">
        <f>SUMIF(月間集計シート!$M$134:$M$153,$G574,月間集計シート!N$134:N$153)*AS$2</f>
        <v>0</v>
      </c>
      <c r="AT574" s="88">
        <f>SUMIF(月間集計シート!$M$134:$M$153,$G574,月間集計シート!O$134:O$153)*AT$2</f>
        <v>0</v>
      </c>
      <c r="AU574" s="88">
        <f>SUMIF(月間集計シート!$M$134:$M$153,$G574,月間集計シート!P$134:P$153)*AU$2</f>
        <v>0</v>
      </c>
      <c r="AV574" s="88">
        <f>SUMIF(月間集計シート!$M$134:$M$153,$G574,月間集計シート!Q$134:Q$153)*AV$2</f>
        <v>0</v>
      </c>
      <c r="AW574" s="88">
        <f>SUMIF(月間集計シート!$M$134:$M$153,$G574,月間集計シート!R$134:R$153)*AW$2</f>
        <v>0</v>
      </c>
      <c r="AX574" s="88">
        <f>SUMIF(月間集計シート!$M$134:$M$153,$G574,月間集計シート!S$134:S$153)*AX$2</f>
        <v>0</v>
      </c>
      <c r="AY574" s="88">
        <f>SUMIF(月間集計シート!$M$134:$M$153,$G574,月間集計シート!T$134:T$153)*AY$2</f>
        <v>0</v>
      </c>
    </row>
    <row r="575" spans="1:51" ht="14.25" thickBot="1">
      <c r="A575">
        <v>7</v>
      </c>
      <c r="B575" s="120">
        <f t="shared" si="251"/>
        <v>0</v>
      </c>
      <c r="C575" s="120" t="str">
        <f t="shared" si="252"/>
        <v/>
      </c>
      <c r="D575" s="137"/>
      <c r="E575" s="150">
        <f>工種!A57</f>
        <v>70189</v>
      </c>
      <c r="F575" s="119" t="str">
        <f>工種!B57</f>
        <v>外部不具合修正：外部不具合分析</v>
      </c>
      <c r="G575" s="116" t="str">
        <f t="shared" si="253"/>
        <v>070189</v>
      </c>
      <c r="H575" s="88">
        <f t="shared" si="247"/>
        <v>0</v>
      </c>
      <c r="I575" s="132"/>
      <c r="J575" s="88">
        <f>SUMIF(月間集計シート!$M$29:$M$48,$G575,月間集計シート!N$29:N$48)*J$2</f>
        <v>0</v>
      </c>
      <c r="K575" s="88">
        <f>SUMIF(月間集計シート!$M$29:$M$48,$G575,月間集計シート!O$29:O$48)*K$2</f>
        <v>0</v>
      </c>
      <c r="L575" s="88">
        <f>SUMIF(月間集計シート!$M$29:$M$48,$G575,月間集計シート!P$29:P$48)*L$2</f>
        <v>0</v>
      </c>
      <c r="M575" s="88">
        <f>SUMIF(月間集計シート!$M$29:$M$48,$G575,月間集計シート!Q$29:Q$48)*M$2</f>
        <v>0</v>
      </c>
      <c r="N575" s="88">
        <f>SUMIF(月間集計シート!$M$29:$M$48,$G575,月間集計シート!R$29:R$48)*N$2</f>
        <v>0</v>
      </c>
      <c r="O575" s="88">
        <f>SUMIF(月間集計シート!$M$29:$M$48,$G575,月間集計シート!S$29:S$48)*O$2</f>
        <v>0</v>
      </c>
      <c r="P575" s="88">
        <f>SUMIF(月間集計シート!$M$29:$M$48,$G575,月間集計シート!T$29:T$48)*P$2</f>
        <v>0</v>
      </c>
      <c r="Q575" s="88">
        <f>SUMIF(月間集計シート!$M$50:$M$69,$G575,月間集計シート!N$50:N$69)*Q$2</f>
        <v>0</v>
      </c>
      <c r="R575" s="88">
        <f>SUMIF(月間集計シート!$M$50:$M$69,$G575,月間集計シート!O$50:O$69)*R$2</f>
        <v>0</v>
      </c>
      <c r="S575" s="88">
        <f>SUMIF(月間集計シート!$M$50:$M$69,$G575,月間集計シート!P$50:P$69)*S$2</f>
        <v>0</v>
      </c>
      <c r="T575" s="88">
        <f>SUMIF(月間集計シート!$M$50:$M$69,$G575,月間集計シート!Q$50:Q$69)*T$2</f>
        <v>0</v>
      </c>
      <c r="U575" s="88">
        <f>SUMIF(月間集計シート!$M$50:$M$69,$G575,月間集計シート!R$50:R$69)*U$2</f>
        <v>0</v>
      </c>
      <c r="V575" s="88">
        <f>SUMIF(月間集計シート!$M$50:$M$69,$G575,月間集計シート!S$50:S$69)*V$2</f>
        <v>0</v>
      </c>
      <c r="W575" s="88">
        <f>SUMIF(月間集計シート!$M$50:$M$69,$G575,月間集計シート!T$50:T$69)*W$2</f>
        <v>0</v>
      </c>
      <c r="X575" s="88">
        <f>SUMIF(月間集計シート!$M$71:$M$90,$G575,月間集計シート!N$71:N$90)*X$2</f>
        <v>0</v>
      </c>
      <c r="Y575" s="88">
        <f>SUMIF(月間集計シート!$M$71:$M$90,$G575,月間集計シート!O$71:O$90)*Y$2</f>
        <v>0</v>
      </c>
      <c r="Z575" s="88">
        <f>SUMIF(月間集計シート!$M$71:$M$90,$G575,月間集計シート!P$71:P$90)*Z$2</f>
        <v>0</v>
      </c>
      <c r="AA575" s="88">
        <f>SUMIF(月間集計シート!$M$71:$M$90,$G575,月間集計シート!Q$71:Q$90)*AA$2</f>
        <v>0</v>
      </c>
      <c r="AB575" s="88">
        <f>SUMIF(月間集計シート!$M$71:$M$90,$G575,月間集計シート!R$71:R$90)*AB$2</f>
        <v>0</v>
      </c>
      <c r="AC575" s="88">
        <f>SUMIF(月間集計シート!$M$71:$M$90,$G575,月間集計シート!S$71:S$90)*AC$2</f>
        <v>0</v>
      </c>
      <c r="AD575" s="88">
        <f>SUMIF(月間集計シート!$M$71:$M$90,$G575,月間集計シート!T$71:T$90)*AD$2</f>
        <v>0</v>
      </c>
      <c r="AE575" s="88">
        <f>SUMIF(月間集計シート!$M$92:$M$111,$G575,月間集計シート!N$92:N$111)*AE$2</f>
        <v>0</v>
      </c>
      <c r="AF575" s="88">
        <f>SUMIF(月間集計シート!$M$92:$M$111,$G575,月間集計シート!O$92:O$111)*AF$2</f>
        <v>0</v>
      </c>
      <c r="AG575" s="88">
        <f>SUMIF(月間集計シート!$M$92:$M$111,$G575,月間集計シート!P$92:P$111)*AG$2</f>
        <v>0</v>
      </c>
      <c r="AH575" s="88">
        <f>SUMIF(月間集計シート!$M$92:$M$111,$G575,月間集計シート!Q$92:Q$111)*AH$2</f>
        <v>0</v>
      </c>
      <c r="AI575" s="88">
        <f>SUMIF(月間集計シート!$M$92:$M$111,$G575,月間集計シート!R$92:R$111)*AI$2</f>
        <v>0</v>
      </c>
      <c r="AJ575" s="88">
        <f>SUMIF(月間集計シート!$M$92:$M$111,$G575,月間集計シート!S$92:S$111)*AJ$2</f>
        <v>0</v>
      </c>
      <c r="AK575" s="88">
        <f>SUMIF(月間集計シート!$M$92:$M$111,$G575,月間集計シート!T$92:T$111)*AK$2</f>
        <v>0</v>
      </c>
      <c r="AL575" s="88">
        <f>SUMIF(月間集計シート!$M$113:$M$132,$G575,月間集計シート!N$113:N$132)*AL$2</f>
        <v>0</v>
      </c>
      <c r="AM575" s="88">
        <f>SUMIF(月間集計シート!$M$113:$M$132,$G575,月間集計シート!O$113:O$132)*AM$2</f>
        <v>0</v>
      </c>
      <c r="AN575" s="88">
        <f>SUMIF(月間集計シート!$M$113:$M$132,$G575,月間集計シート!P$113:P$132)*AN$2</f>
        <v>0</v>
      </c>
      <c r="AO575" s="88">
        <f>SUMIF(月間集計シート!$M$113:$M$132,$G575,月間集計シート!Q$113:Q$132)*AO$2</f>
        <v>0</v>
      </c>
      <c r="AP575" s="88">
        <f>SUMIF(月間集計シート!$M$113:$M$132,$G575,月間集計シート!R$113:R$132)*AP$2</f>
        <v>0</v>
      </c>
      <c r="AQ575" s="88">
        <f>SUMIF(月間集計シート!$M$113:$M$132,$G575,月間集計シート!S$113:S$132)*AQ$2</f>
        <v>0</v>
      </c>
      <c r="AR575" s="88">
        <f>SUMIF(月間集計シート!$M$113:$M$132,$G575,月間集計シート!T$113:T$132)*AR$2</f>
        <v>0</v>
      </c>
      <c r="AS575" s="88">
        <f>SUMIF(月間集計シート!$M$134:$M$153,$G575,月間集計シート!N$134:N$153)*AS$2</f>
        <v>0</v>
      </c>
      <c r="AT575" s="88">
        <f>SUMIF(月間集計シート!$M$134:$M$153,$G575,月間集計シート!O$134:O$153)*AT$2</f>
        <v>0</v>
      </c>
      <c r="AU575" s="88">
        <f>SUMIF(月間集計シート!$M$134:$M$153,$G575,月間集計シート!P$134:P$153)*AU$2</f>
        <v>0</v>
      </c>
      <c r="AV575" s="88">
        <f>SUMIF(月間集計シート!$M$134:$M$153,$G575,月間集計シート!Q$134:Q$153)*AV$2</f>
        <v>0</v>
      </c>
      <c r="AW575" s="88">
        <f>SUMIF(月間集計シート!$M$134:$M$153,$G575,月間集計シート!R$134:R$153)*AW$2</f>
        <v>0</v>
      </c>
      <c r="AX575" s="88">
        <f>SUMIF(月間集計シート!$M$134:$M$153,$G575,月間集計シート!S$134:S$153)*AX$2</f>
        <v>0</v>
      </c>
      <c r="AY575" s="88">
        <f>SUMIF(月間集計シート!$M$134:$M$153,$G575,月間集計シート!T$134:T$153)*AY$2</f>
        <v>0</v>
      </c>
    </row>
    <row r="576" spans="1:51" ht="14.25" thickBot="1">
      <c r="A576">
        <v>7</v>
      </c>
      <c r="B576" s="120">
        <f t="shared" si="251"/>
        <v>0</v>
      </c>
      <c r="C576" s="120" t="str">
        <f t="shared" si="252"/>
        <v/>
      </c>
      <c r="D576" s="137"/>
      <c r="E576" s="150">
        <f>工種!A58</f>
        <v>70199</v>
      </c>
      <c r="F576" s="119" t="str">
        <f>工種!B58</f>
        <v>外部不具合修正：その他</v>
      </c>
      <c r="G576" s="116" t="str">
        <f t="shared" si="253"/>
        <v>070199</v>
      </c>
      <c r="H576" s="88">
        <f t="shared" si="247"/>
        <v>0</v>
      </c>
      <c r="I576" s="132"/>
      <c r="J576" s="88">
        <f>SUMIF(月間集計シート!$M$29:$M$48,$G576,月間集計シート!N$29:N$48)*J$2</f>
        <v>0</v>
      </c>
      <c r="K576" s="88">
        <f>SUMIF(月間集計シート!$M$29:$M$48,$G576,月間集計シート!O$29:O$48)*K$2</f>
        <v>0</v>
      </c>
      <c r="L576" s="88">
        <f>SUMIF(月間集計シート!$M$29:$M$48,$G576,月間集計シート!P$29:P$48)*L$2</f>
        <v>0</v>
      </c>
      <c r="M576" s="88">
        <f>SUMIF(月間集計シート!$M$29:$M$48,$G576,月間集計シート!Q$29:Q$48)*M$2</f>
        <v>0</v>
      </c>
      <c r="N576" s="88">
        <f>SUMIF(月間集計シート!$M$29:$M$48,$G576,月間集計シート!R$29:R$48)*N$2</f>
        <v>0</v>
      </c>
      <c r="O576" s="88">
        <f>SUMIF(月間集計シート!$M$29:$M$48,$G576,月間集計シート!S$29:S$48)*O$2</f>
        <v>0</v>
      </c>
      <c r="P576" s="88">
        <f>SUMIF(月間集計シート!$M$29:$M$48,$G576,月間集計シート!T$29:T$48)*P$2</f>
        <v>0</v>
      </c>
      <c r="Q576" s="88">
        <f>SUMIF(月間集計シート!$M$50:$M$69,$G576,月間集計シート!N$50:N$69)*Q$2</f>
        <v>0</v>
      </c>
      <c r="R576" s="88">
        <f>SUMIF(月間集計シート!$M$50:$M$69,$G576,月間集計シート!O$50:O$69)*R$2</f>
        <v>0</v>
      </c>
      <c r="S576" s="88">
        <f>SUMIF(月間集計シート!$M$50:$M$69,$G576,月間集計シート!P$50:P$69)*S$2</f>
        <v>0</v>
      </c>
      <c r="T576" s="88">
        <f>SUMIF(月間集計シート!$M$50:$M$69,$G576,月間集計シート!Q$50:Q$69)*T$2</f>
        <v>0</v>
      </c>
      <c r="U576" s="88">
        <f>SUMIF(月間集計シート!$M$50:$M$69,$G576,月間集計シート!R$50:R$69)*U$2</f>
        <v>0</v>
      </c>
      <c r="V576" s="88">
        <f>SUMIF(月間集計シート!$M$50:$M$69,$G576,月間集計シート!S$50:S$69)*V$2</f>
        <v>0</v>
      </c>
      <c r="W576" s="88">
        <f>SUMIF(月間集計シート!$M$50:$M$69,$G576,月間集計シート!T$50:T$69)*W$2</f>
        <v>0</v>
      </c>
      <c r="X576" s="88">
        <f>SUMIF(月間集計シート!$M$71:$M$90,$G576,月間集計シート!N$71:N$90)*X$2</f>
        <v>0</v>
      </c>
      <c r="Y576" s="88">
        <f>SUMIF(月間集計シート!$M$71:$M$90,$G576,月間集計シート!O$71:O$90)*Y$2</f>
        <v>0</v>
      </c>
      <c r="Z576" s="88">
        <f>SUMIF(月間集計シート!$M$71:$M$90,$G576,月間集計シート!P$71:P$90)*Z$2</f>
        <v>0</v>
      </c>
      <c r="AA576" s="88">
        <f>SUMIF(月間集計シート!$M$71:$M$90,$G576,月間集計シート!Q$71:Q$90)*AA$2</f>
        <v>0</v>
      </c>
      <c r="AB576" s="88">
        <f>SUMIF(月間集計シート!$M$71:$M$90,$G576,月間集計シート!R$71:R$90)*AB$2</f>
        <v>0</v>
      </c>
      <c r="AC576" s="88">
        <f>SUMIF(月間集計シート!$M$71:$M$90,$G576,月間集計シート!S$71:S$90)*AC$2</f>
        <v>0</v>
      </c>
      <c r="AD576" s="88">
        <f>SUMIF(月間集計シート!$M$71:$M$90,$G576,月間集計シート!T$71:T$90)*AD$2</f>
        <v>0</v>
      </c>
      <c r="AE576" s="88">
        <f>SUMIF(月間集計シート!$M$92:$M$111,$G576,月間集計シート!N$92:N$111)*AE$2</f>
        <v>0</v>
      </c>
      <c r="AF576" s="88">
        <f>SUMIF(月間集計シート!$M$92:$M$111,$G576,月間集計シート!O$92:O$111)*AF$2</f>
        <v>0</v>
      </c>
      <c r="AG576" s="88">
        <f>SUMIF(月間集計シート!$M$92:$M$111,$G576,月間集計シート!P$92:P$111)*AG$2</f>
        <v>0</v>
      </c>
      <c r="AH576" s="88">
        <f>SUMIF(月間集計シート!$M$92:$M$111,$G576,月間集計シート!Q$92:Q$111)*AH$2</f>
        <v>0</v>
      </c>
      <c r="AI576" s="88">
        <f>SUMIF(月間集計シート!$M$92:$M$111,$G576,月間集計シート!R$92:R$111)*AI$2</f>
        <v>0</v>
      </c>
      <c r="AJ576" s="88">
        <f>SUMIF(月間集計シート!$M$92:$M$111,$G576,月間集計シート!S$92:S$111)*AJ$2</f>
        <v>0</v>
      </c>
      <c r="AK576" s="88">
        <f>SUMIF(月間集計シート!$M$92:$M$111,$G576,月間集計シート!T$92:T$111)*AK$2</f>
        <v>0</v>
      </c>
      <c r="AL576" s="88">
        <f>SUMIF(月間集計シート!$M$113:$M$132,$G576,月間集計シート!N$113:N$132)*AL$2</f>
        <v>0</v>
      </c>
      <c r="AM576" s="88">
        <f>SUMIF(月間集計シート!$M$113:$M$132,$G576,月間集計シート!O$113:O$132)*AM$2</f>
        <v>0</v>
      </c>
      <c r="AN576" s="88">
        <f>SUMIF(月間集計シート!$M$113:$M$132,$G576,月間集計シート!P$113:P$132)*AN$2</f>
        <v>0</v>
      </c>
      <c r="AO576" s="88">
        <f>SUMIF(月間集計シート!$M$113:$M$132,$G576,月間集計シート!Q$113:Q$132)*AO$2</f>
        <v>0</v>
      </c>
      <c r="AP576" s="88">
        <f>SUMIF(月間集計シート!$M$113:$M$132,$G576,月間集計シート!R$113:R$132)*AP$2</f>
        <v>0</v>
      </c>
      <c r="AQ576" s="88">
        <f>SUMIF(月間集計シート!$M$113:$M$132,$G576,月間集計シート!S$113:S$132)*AQ$2</f>
        <v>0</v>
      </c>
      <c r="AR576" s="88">
        <f>SUMIF(月間集計シート!$M$113:$M$132,$G576,月間集計シート!T$113:T$132)*AR$2</f>
        <v>0</v>
      </c>
      <c r="AS576" s="88">
        <f>SUMIF(月間集計シート!$M$134:$M$153,$G576,月間集計シート!N$134:N$153)*AS$2</f>
        <v>0</v>
      </c>
      <c r="AT576" s="88">
        <f>SUMIF(月間集計シート!$M$134:$M$153,$G576,月間集計シート!O$134:O$153)*AT$2</f>
        <v>0</v>
      </c>
      <c r="AU576" s="88">
        <f>SUMIF(月間集計シート!$M$134:$M$153,$G576,月間集計シート!P$134:P$153)*AU$2</f>
        <v>0</v>
      </c>
      <c r="AV576" s="88">
        <f>SUMIF(月間集計シート!$M$134:$M$153,$G576,月間集計シート!Q$134:Q$153)*AV$2</f>
        <v>0</v>
      </c>
      <c r="AW576" s="88">
        <f>SUMIF(月間集計シート!$M$134:$M$153,$G576,月間集計シート!R$134:R$153)*AW$2</f>
        <v>0</v>
      </c>
      <c r="AX576" s="88">
        <f>SUMIF(月間集計シート!$M$134:$M$153,$G576,月間集計シート!S$134:S$153)*AX$2</f>
        <v>0</v>
      </c>
      <c r="AY576" s="88">
        <f>SUMIF(月間集計シート!$M$134:$M$153,$G576,月間集計シート!T$134:T$153)*AY$2</f>
        <v>0</v>
      </c>
    </row>
    <row r="577" spans="1:51" ht="14.25" thickBot="1">
      <c r="A577">
        <v>7</v>
      </c>
      <c r="B577" s="120">
        <f t="shared" si="251"/>
        <v>0</v>
      </c>
      <c r="C577" s="120" t="str">
        <f t="shared" si="252"/>
        <v/>
      </c>
      <c r="D577" s="137"/>
      <c r="E577" s="150" t="str">
        <f>工種!A59</f>
        <v>80101</v>
      </c>
      <c r="F577" s="119" t="str">
        <f>工種!B59</f>
        <v>保守／ｻﾎﾟｰﾄ：調査</v>
      </c>
      <c r="G577" s="116" t="str">
        <f t="shared" si="253"/>
        <v>080101</v>
      </c>
      <c r="H577" s="88">
        <f t="shared" si="247"/>
        <v>0</v>
      </c>
      <c r="I577" s="132"/>
      <c r="J577" s="88">
        <f>SUMIF(月間集計シート!$M$29:$M$48,$G577,月間集計シート!N$29:N$48)*J$2</f>
        <v>0</v>
      </c>
      <c r="K577" s="88">
        <f>SUMIF(月間集計シート!$M$29:$M$48,$G577,月間集計シート!O$29:O$48)*K$2</f>
        <v>0</v>
      </c>
      <c r="L577" s="88">
        <f>SUMIF(月間集計シート!$M$29:$M$48,$G577,月間集計シート!P$29:P$48)*L$2</f>
        <v>0</v>
      </c>
      <c r="M577" s="88">
        <f>SUMIF(月間集計シート!$M$29:$M$48,$G577,月間集計シート!Q$29:Q$48)*M$2</f>
        <v>0</v>
      </c>
      <c r="N577" s="88">
        <f>SUMIF(月間集計シート!$M$29:$M$48,$G577,月間集計シート!R$29:R$48)*N$2</f>
        <v>0</v>
      </c>
      <c r="O577" s="88">
        <f>SUMIF(月間集計シート!$M$29:$M$48,$G577,月間集計シート!S$29:S$48)*O$2</f>
        <v>0</v>
      </c>
      <c r="P577" s="88">
        <f>SUMIF(月間集計シート!$M$29:$M$48,$G577,月間集計シート!T$29:T$48)*P$2</f>
        <v>0</v>
      </c>
      <c r="Q577" s="88">
        <f>SUMIF(月間集計シート!$M$50:$M$69,$G577,月間集計シート!N$50:N$69)*Q$2</f>
        <v>0</v>
      </c>
      <c r="R577" s="88">
        <f>SUMIF(月間集計シート!$M$50:$M$69,$G577,月間集計シート!O$50:O$69)*R$2</f>
        <v>0</v>
      </c>
      <c r="S577" s="88">
        <f>SUMIF(月間集計シート!$M$50:$M$69,$G577,月間集計シート!P$50:P$69)*S$2</f>
        <v>0</v>
      </c>
      <c r="T577" s="88">
        <f>SUMIF(月間集計シート!$M$50:$M$69,$G577,月間集計シート!Q$50:Q$69)*T$2</f>
        <v>0</v>
      </c>
      <c r="U577" s="88">
        <f>SUMIF(月間集計シート!$M$50:$M$69,$G577,月間集計シート!R$50:R$69)*U$2</f>
        <v>0</v>
      </c>
      <c r="V577" s="88">
        <f>SUMIF(月間集計シート!$M$50:$M$69,$G577,月間集計シート!S$50:S$69)*V$2</f>
        <v>0</v>
      </c>
      <c r="W577" s="88">
        <f>SUMIF(月間集計シート!$M$50:$M$69,$G577,月間集計シート!T$50:T$69)*W$2</f>
        <v>0</v>
      </c>
      <c r="X577" s="88">
        <f>SUMIF(月間集計シート!$M$71:$M$90,$G577,月間集計シート!N$71:N$90)*X$2</f>
        <v>0</v>
      </c>
      <c r="Y577" s="88">
        <f>SUMIF(月間集計シート!$M$71:$M$90,$G577,月間集計シート!O$71:O$90)*Y$2</f>
        <v>0</v>
      </c>
      <c r="Z577" s="88">
        <f>SUMIF(月間集計シート!$M$71:$M$90,$G577,月間集計シート!P$71:P$90)*Z$2</f>
        <v>0</v>
      </c>
      <c r="AA577" s="88">
        <f>SUMIF(月間集計シート!$M$71:$M$90,$G577,月間集計シート!Q$71:Q$90)*AA$2</f>
        <v>0</v>
      </c>
      <c r="AB577" s="88">
        <f>SUMIF(月間集計シート!$M$71:$M$90,$G577,月間集計シート!R$71:R$90)*AB$2</f>
        <v>0</v>
      </c>
      <c r="AC577" s="88">
        <f>SUMIF(月間集計シート!$M$71:$M$90,$G577,月間集計シート!S$71:S$90)*AC$2</f>
        <v>0</v>
      </c>
      <c r="AD577" s="88">
        <f>SUMIF(月間集計シート!$M$71:$M$90,$G577,月間集計シート!T$71:T$90)*AD$2</f>
        <v>0</v>
      </c>
      <c r="AE577" s="88">
        <f>SUMIF(月間集計シート!$M$92:$M$111,$G577,月間集計シート!N$92:N$111)*AE$2</f>
        <v>0</v>
      </c>
      <c r="AF577" s="88">
        <f>SUMIF(月間集計シート!$M$92:$M$111,$G577,月間集計シート!O$92:O$111)*AF$2</f>
        <v>0</v>
      </c>
      <c r="AG577" s="88">
        <f>SUMIF(月間集計シート!$M$92:$M$111,$G577,月間集計シート!P$92:P$111)*AG$2</f>
        <v>0</v>
      </c>
      <c r="AH577" s="88">
        <f>SUMIF(月間集計シート!$M$92:$M$111,$G577,月間集計シート!Q$92:Q$111)*AH$2</f>
        <v>0</v>
      </c>
      <c r="AI577" s="88">
        <f>SUMIF(月間集計シート!$M$92:$M$111,$G577,月間集計シート!R$92:R$111)*AI$2</f>
        <v>0</v>
      </c>
      <c r="AJ577" s="88">
        <f>SUMIF(月間集計シート!$M$92:$M$111,$G577,月間集計シート!S$92:S$111)*AJ$2</f>
        <v>0</v>
      </c>
      <c r="AK577" s="88">
        <f>SUMIF(月間集計シート!$M$92:$M$111,$G577,月間集計シート!T$92:T$111)*AK$2</f>
        <v>0</v>
      </c>
      <c r="AL577" s="88">
        <f>SUMIF(月間集計シート!$M$113:$M$132,$G577,月間集計シート!N$113:N$132)*AL$2</f>
        <v>0</v>
      </c>
      <c r="AM577" s="88">
        <f>SUMIF(月間集計シート!$M$113:$M$132,$G577,月間集計シート!O$113:O$132)*AM$2</f>
        <v>0</v>
      </c>
      <c r="AN577" s="88">
        <f>SUMIF(月間集計シート!$M$113:$M$132,$G577,月間集計シート!P$113:P$132)*AN$2</f>
        <v>0</v>
      </c>
      <c r="AO577" s="88">
        <f>SUMIF(月間集計シート!$M$113:$M$132,$G577,月間集計シート!Q$113:Q$132)*AO$2</f>
        <v>0</v>
      </c>
      <c r="AP577" s="88">
        <f>SUMIF(月間集計シート!$M$113:$M$132,$G577,月間集計シート!R$113:R$132)*AP$2</f>
        <v>0</v>
      </c>
      <c r="AQ577" s="88">
        <f>SUMIF(月間集計シート!$M$113:$M$132,$G577,月間集計シート!S$113:S$132)*AQ$2</f>
        <v>0</v>
      </c>
      <c r="AR577" s="88">
        <f>SUMIF(月間集計シート!$M$113:$M$132,$G577,月間集計シート!T$113:T$132)*AR$2</f>
        <v>0</v>
      </c>
      <c r="AS577" s="88">
        <f>SUMIF(月間集計シート!$M$134:$M$153,$G577,月間集計シート!N$134:N$153)*AS$2</f>
        <v>0</v>
      </c>
      <c r="AT577" s="88">
        <f>SUMIF(月間集計シート!$M$134:$M$153,$G577,月間集計シート!O$134:O$153)*AT$2</f>
        <v>0</v>
      </c>
      <c r="AU577" s="88">
        <f>SUMIF(月間集計シート!$M$134:$M$153,$G577,月間集計シート!P$134:P$153)*AU$2</f>
        <v>0</v>
      </c>
      <c r="AV577" s="88">
        <f>SUMIF(月間集計シート!$M$134:$M$153,$G577,月間集計シート!Q$134:Q$153)*AV$2</f>
        <v>0</v>
      </c>
      <c r="AW577" s="88">
        <f>SUMIF(月間集計シート!$M$134:$M$153,$G577,月間集計シート!R$134:R$153)*AW$2</f>
        <v>0</v>
      </c>
      <c r="AX577" s="88">
        <f>SUMIF(月間集計シート!$M$134:$M$153,$G577,月間集計シート!S$134:S$153)*AX$2</f>
        <v>0</v>
      </c>
      <c r="AY577" s="88">
        <f>SUMIF(月間集計シート!$M$134:$M$153,$G577,月間集計シート!T$134:T$153)*AY$2</f>
        <v>0</v>
      </c>
    </row>
    <row r="578" spans="1:51" ht="14.25" thickBot="1">
      <c r="A578">
        <v>7</v>
      </c>
      <c r="B578" s="120">
        <f t="shared" si="251"/>
        <v>0</v>
      </c>
      <c r="C578" s="120" t="str">
        <f t="shared" si="252"/>
        <v/>
      </c>
      <c r="D578" s="137"/>
      <c r="E578" s="150" t="str">
        <f>工種!A60</f>
        <v>80102</v>
      </c>
      <c r="F578" s="119" t="str">
        <f>工種!B60</f>
        <v>保守／ｻﾎﾟｰﾄ：社内問い合わせ</v>
      </c>
      <c r="G578" s="116" t="str">
        <f t="shared" si="253"/>
        <v>080102</v>
      </c>
      <c r="H578" s="88">
        <f t="shared" si="247"/>
        <v>0</v>
      </c>
      <c r="I578" s="132"/>
      <c r="J578" s="88">
        <f>SUMIF(月間集計シート!$M$29:$M$48,$G578,月間集計シート!N$29:N$48)*J$2</f>
        <v>0</v>
      </c>
      <c r="K578" s="88">
        <f>SUMIF(月間集計シート!$M$29:$M$48,$G578,月間集計シート!O$29:O$48)*K$2</f>
        <v>0</v>
      </c>
      <c r="L578" s="88">
        <f>SUMIF(月間集計シート!$M$29:$M$48,$G578,月間集計シート!P$29:P$48)*L$2</f>
        <v>0</v>
      </c>
      <c r="M578" s="88">
        <f>SUMIF(月間集計シート!$M$29:$M$48,$G578,月間集計シート!Q$29:Q$48)*M$2</f>
        <v>0</v>
      </c>
      <c r="N578" s="88">
        <f>SUMIF(月間集計シート!$M$29:$M$48,$G578,月間集計シート!R$29:R$48)*N$2</f>
        <v>0</v>
      </c>
      <c r="O578" s="88">
        <f>SUMIF(月間集計シート!$M$29:$M$48,$G578,月間集計シート!S$29:S$48)*O$2</f>
        <v>0</v>
      </c>
      <c r="P578" s="88">
        <f>SUMIF(月間集計シート!$M$29:$M$48,$G578,月間集計シート!T$29:T$48)*P$2</f>
        <v>0</v>
      </c>
      <c r="Q578" s="88">
        <f>SUMIF(月間集計シート!$M$50:$M$69,$G578,月間集計シート!N$50:N$69)*Q$2</f>
        <v>0</v>
      </c>
      <c r="R578" s="88">
        <f>SUMIF(月間集計シート!$M$50:$M$69,$G578,月間集計シート!O$50:O$69)*R$2</f>
        <v>0</v>
      </c>
      <c r="S578" s="88">
        <f>SUMIF(月間集計シート!$M$50:$M$69,$G578,月間集計シート!P$50:P$69)*S$2</f>
        <v>0</v>
      </c>
      <c r="T578" s="88">
        <f>SUMIF(月間集計シート!$M$50:$M$69,$G578,月間集計シート!Q$50:Q$69)*T$2</f>
        <v>0</v>
      </c>
      <c r="U578" s="88">
        <f>SUMIF(月間集計シート!$M$50:$M$69,$G578,月間集計シート!R$50:R$69)*U$2</f>
        <v>0</v>
      </c>
      <c r="V578" s="88">
        <f>SUMIF(月間集計シート!$M$50:$M$69,$G578,月間集計シート!S$50:S$69)*V$2</f>
        <v>0</v>
      </c>
      <c r="W578" s="88">
        <f>SUMIF(月間集計シート!$M$50:$M$69,$G578,月間集計シート!T$50:T$69)*W$2</f>
        <v>0</v>
      </c>
      <c r="X578" s="88">
        <f>SUMIF(月間集計シート!$M$71:$M$90,$G578,月間集計シート!N$71:N$90)*X$2</f>
        <v>0</v>
      </c>
      <c r="Y578" s="88">
        <f>SUMIF(月間集計シート!$M$71:$M$90,$G578,月間集計シート!O$71:O$90)*Y$2</f>
        <v>0</v>
      </c>
      <c r="Z578" s="88">
        <f>SUMIF(月間集計シート!$M$71:$M$90,$G578,月間集計シート!P$71:P$90)*Z$2</f>
        <v>0</v>
      </c>
      <c r="AA578" s="88">
        <f>SUMIF(月間集計シート!$M$71:$M$90,$G578,月間集計シート!Q$71:Q$90)*AA$2</f>
        <v>0</v>
      </c>
      <c r="AB578" s="88">
        <f>SUMIF(月間集計シート!$M$71:$M$90,$G578,月間集計シート!R$71:R$90)*AB$2</f>
        <v>0</v>
      </c>
      <c r="AC578" s="88">
        <f>SUMIF(月間集計シート!$M$71:$M$90,$G578,月間集計シート!S$71:S$90)*AC$2</f>
        <v>0</v>
      </c>
      <c r="AD578" s="88">
        <f>SUMIF(月間集計シート!$M$71:$M$90,$G578,月間集計シート!T$71:T$90)*AD$2</f>
        <v>0</v>
      </c>
      <c r="AE578" s="88">
        <f>SUMIF(月間集計シート!$M$92:$M$111,$G578,月間集計シート!N$92:N$111)*AE$2</f>
        <v>0</v>
      </c>
      <c r="AF578" s="88">
        <f>SUMIF(月間集計シート!$M$92:$M$111,$G578,月間集計シート!O$92:O$111)*AF$2</f>
        <v>0</v>
      </c>
      <c r="AG578" s="88">
        <f>SUMIF(月間集計シート!$M$92:$M$111,$G578,月間集計シート!P$92:P$111)*AG$2</f>
        <v>0</v>
      </c>
      <c r="AH578" s="88">
        <f>SUMIF(月間集計シート!$M$92:$M$111,$G578,月間集計シート!Q$92:Q$111)*AH$2</f>
        <v>0</v>
      </c>
      <c r="AI578" s="88">
        <f>SUMIF(月間集計シート!$M$92:$M$111,$G578,月間集計シート!R$92:R$111)*AI$2</f>
        <v>0</v>
      </c>
      <c r="AJ578" s="88">
        <f>SUMIF(月間集計シート!$M$92:$M$111,$G578,月間集計シート!S$92:S$111)*AJ$2</f>
        <v>0</v>
      </c>
      <c r="AK578" s="88">
        <f>SUMIF(月間集計シート!$M$92:$M$111,$G578,月間集計シート!T$92:T$111)*AK$2</f>
        <v>0</v>
      </c>
      <c r="AL578" s="88">
        <f>SUMIF(月間集計シート!$M$113:$M$132,$G578,月間集計シート!N$113:N$132)*AL$2</f>
        <v>0</v>
      </c>
      <c r="AM578" s="88">
        <f>SUMIF(月間集計シート!$M$113:$M$132,$G578,月間集計シート!O$113:O$132)*AM$2</f>
        <v>0</v>
      </c>
      <c r="AN578" s="88">
        <f>SUMIF(月間集計シート!$M$113:$M$132,$G578,月間集計シート!P$113:P$132)*AN$2</f>
        <v>0</v>
      </c>
      <c r="AO578" s="88">
        <f>SUMIF(月間集計シート!$M$113:$M$132,$G578,月間集計シート!Q$113:Q$132)*AO$2</f>
        <v>0</v>
      </c>
      <c r="AP578" s="88">
        <f>SUMIF(月間集計シート!$M$113:$M$132,$G578,月間集計シート!R$113:R$132)*AP$2</f>
        <v>0</v>
      </c>
      <c r="AQ578" s="88">
        <f>SUMIF(月間集計シート!$M$113:$M$132,$G578,月間集計シート!S$113:S$132)*AQ$2</f>
        <v>0</v>
      </c>
      <c r="AR578" s="88">
        <f>SUMIF(月間集計シート!$M$113:$M$132,$G578,月間集計シート!T$113:T$132)*AR$2</f>
        <v>0</v>
      </c>
      <c r="AS578" s="88">
        <f>SUMIF(月間集計シート!$M$134:$M$153,$G578,月間集計シート!N$134:N$153)*AS$2</f>
        <v>0</v>
      </c>
      <c r="AT578" s="88">
        <f>SUMIF(月間集計シート!$M$134:$M$153,$G578,月間集計シート!O$134:O$153)*AT$2</f>
        <v>0</v>
      </c>
      <c r="AU578" s="88">
        <f>SUMIF(月間集計シート!$M$134:$M$153,$G578,月間集計シート!P$134:P$153)*AU$2</f>
        <v>0</v>
      </c>
      <c r="AV578" s="88">
        <f>SUMIF(月間集計シート!$M$134:$M$153,$G578,月間集計シート!Q$134:Q$153)*AV$2</f>
        <v>0</v>
      </c>
      <c r="AW578" s="88">
        <f>SUMIF(月間集計シート!$M$134:$M$153,$G578,月間集計シート!R$134:R$153)*AW$2</f>
        <v>0</v>
      </c>
      <c r="AX578" s="88">
        <f>SUMIF(月間集計シート!$M$134:$M$153,$G578,月間集計シート!S$134:S$153)*AX$2</f>
        <v>0</v>
      </c>
      <c r="AY578" s="88">
        <f>SUMIF(月間集計シート!$M$134:$M$153,$G578,月間集計シート!T$134:T$153)*AY$2</f>
        <v>0</v>
      </c>
    </row>
    <row r="579" spans="1:51" ht="14.25" thickBot="1">
      <c r="A579">
        <v>7</v>
      </c>
      <c r="B579" s="120">
        <f t="shared" si="251"/>
        <v>0</v>
      </c>
      <c r="C579" s="120" t="str">
        <f t="shared" si="252"/>
        <v/>
      </c>
      <c r="D579" s="137"/>
      <c r="E579" s="150" t="str">
        <f>工種!A61</f>
        <v>80103</v>
      </c>
      <c r="F579" s="119" t="str">
        <f>工種!B61</f>
        <v>保守／ｻﾎﾟｰﾄ：支社・他部門支援</v>
      </c>
      <c r="G579" s="116" t="str">
        <f t="shared" si="253"/>
        <v>080103</v>
      </c>
      <c r="H579" s="88">
        <f t="shared" si="247"/>
        <v>0</v>
      </c>
      <c r="I579" s="132"/>
      <c r="J579" s="88">
        <f>SUMIF(月間集計シート!$M$29:$M$48,$G579,月間集計シート!N$29:N$48)*J$2</f>
        <v>0</v>
      </c>
      <c r="K579" s="88">
        <f>SUMIF(月間集計シート!$M$29:$M$48,$G579,月間集計シート!O$29:O$48)*K$2</f>
        <v>0</v>
      </c>
      <c r="L579" s="88">
        <f>SUMIF(月間集計シート!$M$29:$M$48,$G579,月間集計シート!P$29:P$48)*L$2</f>
        <v>0</v>
      </c>
      <c r="M579" s="88">
        <f>SUMIF(月間集計シート!$M$29:$M$48,$G579,月間集計シート!Q$29:Q$48)*M$2</f>
        <v>0</v>
      </c>
      <c r="N579" s="88">
        <f>SUMIF(月間集計シート!$M$29:$M$48,$G579,月間集計シート!R$29:R$48)*N$2</f>
        <v>0</v>
      </c>
      <c r="O579" s="88">
        <f>SUMIF(月間集計シート!$M$29:$M$48,$G579,月間集計シート!S$29:S$48)*O$2</f>
        <v>0</v>
      </c>
      <c r="P579" s="88">
        <f>SUMIF(月間集計シート!$M$29:$M$48,$G579,月間集計シート!T$29:T$48)*P$2</f>
        <v>0</v>
      </c>
      <c r="Q579" s="88">
        <f>SUMIF(月間集計シート!$M$50:$M$69,$G579,月間集計シート!N$50:N$69)*Q$2</f>
        <v>0</v>
      </c>
      <c r="R579" s="88">
        <f>SUMIF(月間集計シート!$M$50:$M$69,$G579,月間集計シート!O$50:O$69)*R$2</f>
        <v>0</v>
      </c>
      <c r="S579" s="88">
        <f>SUMIF(月間集計シート!$M$50:$M$69,$G579,月間集計シート!P$50:P$69)*S$2</f>
        <v>0</v>
      </c>
      <c r="T579" s="88">
        <f>SUMIF(月間集計シート!$M$50:$M$69,$G579,月間集計シート!Q$50:Q$69)*T$2</f>
        <v>0</v>
      </c>
      <c r="U579" s="88">
        <f>SUMIF(月間集計シート!$M$50:$M$69,$G579,月間集計シート!R$50:R$69)*U$2</f>
        <v>0</v>
      </c>
      <c r="V579" s="88">
        <f>SUMIF(月間集計シート!$M$50:$M$69,$G579,月間集計シート!S$50:S$69)*V$2</f>
        <v>0</v>
      </c>
      <c r="W579" s="88">
        <f>SUMIF(月間集計シート!$M$50:$M$69,$G579,月間集計シート!T$50:T$69)*W$2</f>
        <v>0</v>
      </c>
      <c r="X579" s="88">
        <f>SUMIF(月間集計シート!$M$71:$M$90,$G579,月間集計シート!N$71:N$90)*X$2</f>
        <v>0</v>
      </c>
      <c r="Y579" s="88">
        <f>SUMIF(月間集計シート!$M$71:$M$90,$G579,月間集計シート!O$71:O$90)*Y$2</f>
        <v>0</v>
      </c>
      <c r="Z579" s="88">
        <f>SUMIF(月間集計シート!$M$71:$M$90,$G579,月間集計シート!P$71:P$90)*Z$2</f>
        <v>0</v>
      </c>
      <c r="AA579" s="88">
        <f>SUMIF(月間集計シート!$M$71:$M$90,$G579,月間集計シート!Q$71:Q$90)*AA$2</f>
        <v>0</v>
      </c>
      <c r="AB579" s="88">
        <f>SUMIF(月間集計シート!$M$71:$M$90,$G579,月間集計シート!R$71:R$90)*AB$2</f>
        <v>0</v>
      </c>
      <c r="AC579" s="88">
        <f>SUMIF(月間集計シート!$M$71:$M$90,$G579,月間集計シート!S$71:S$90)*AC$2</f>
        <v>0</v>
      </c>
      <c r="AD579" s="88">
        <f>SUMIF(月間集計シート!$M$71:$M$90,$G579,月間集計シート!T$71:T$90)*AD$2</f>
        <v>0</v>
      </c>
      <c r="AE579" s="88">
        <f>SUMIF(月間集計シート!$M$92:$M$111,$G579,月間集計シート!N$92:N$111)*AE$2</f>
        <v>0</v>
      </c>
      <c r="AF579" s="88">
        <f>SUMIF(月間集計シート!$M$92:$M$111,$G579,月間集計シート!O$92:O$111)*AF$2</f>
        <v>0</v>
      </c>
      <c r="AG579" s="88">
        <f>SUMIF(月間集計シート!$M$92:$M$111,$G579,月間集計シート!P$92:P$111)*AG$2</f>
        <v>0</v>
      </c>
      <c r="AH579" s="88">
        <f>SUMIF(月間集計シート!$M$92:$M$111,$G579,月間集計シート!Q$92:Q$111)*AH$2</f>
        <v>0</v>
      </c>
      <c r="AI579" s="88">
        <f>SUMIF(月間集計シート!$M$92:$M$111,$G579,月間集計シート!R$92:R$111)*AI$2</f>
        <v>0</v>
      </c>
      <c r="AJ579" s="88">
        <f>SUMIF(月間集計シート!$M$92:$M$111,$G579,月間集計シート!S$92:S$111)*AJ$2</f>
        <v>0</v>
      </c>
      <c r="AK579" s="88">
        <f>SUMIF(月間集計シート!$M$92:$M$111,$G579,月間集計シート!T$92:T$111)*AK$2</f>
        <v>0</v>
      </c>
      <c r="AL579" s="88">
        <f>SUMIF(月間集計シート!$M$113:$M$132,$G579,月間集計シート!N$113:N$132)*AL$2</f>
        <v>0</v>
      </c>
      <c r="AM579" s="88">
        <f>SUMIF(月間集計シート!$M$113:$M$132,$G579,月間集計シート!O$113:O$132)*AM$2</f>
        <v>0</v>
      </c>
      <c r="AN579" s="88">
        <f>SUMIF(月間集計シート!$M$113:$M$132,$G579,月間集計シート!P$113:P$132)*AN$2</f>
        <v>0</v>
      </c>
      <c r="AO579" s="88">
        <f>SUMIF(月間集計シート!$M$113:$M$132,$G579,月間集計シート!Q$113:Q$132)*AO$2</f>
        <v>0</v>
      </c>
      <c r="AP579" s="88">
        <f>SUMIF(月間集計シート!$M$113:$M$132,$G579,月間集計シート!R$113:R$132)*AP$2</f>
        <v>0</v>
      </c>
      <c r="AQ579" s="88">
        <f>SUMIF(月間集計シート!$M$113:$M$132,$G579,月間集計シート!S$113:S$132)*AQ$2</f>
        <v>0</v>
      </c>
      <c r="AR579" s="88">
        <f>SUMIF(月間集計シート!$M$113:$M$132,$G579,月間集計シート!T$113:T$132)*AR$2</f>
        <v>0</v>
      </c>
      <c r="AS579" s="88">
        <f>SUMIF(月間集計シート!$M$134:$M$153,$G579,月間集計シート!N$134:N$153)*AS$2</f>
        <v>0</v>
      </c>
      <c r="AT579" s="88">
        <f>SUMIF(月間集計シート!$M$134:$M$153,$G579,月間集計シート!O$134:O$153)*AT$2</f>
        <v>0</v>
      </c>
      <c r="AU579" s="88">
        <f>SUMIF(月間集計シート!$M$134:$M$153,$G579,月間集計シート!P$134:P$153)*AU$2</f>
        <v>0</v>
      </c>
      <c r="AV579" s="88">
        <f>SUMIF(月間集計シート!$M$134:$M$153,$G579,月間集計シート!Q$134:Q$153)*AV$2</f>
        <v>0</v>
      </c>
      <c r="AW579" s="88">
        <f>SUMIF(月間集計シート!$M$134:$M$153,$G579,月間集計シート!R$134:R$153)*AW$2</f>
        <v>0</v>
      </c>
      <c r="AX579" s="88">
        <f>SUMIF(月間集計シート!$M$134:$M$153,$G579,月間集計シート!S$134:S$153)*AX$2</f>
        <v>0</v>
      </c>
      <c r="AY579" s="88">
        <f>SUMIF(月間集計シート!$M$134:$M$153,$G579,月間集計シート!T$134:T$153)*AY$2</f>
        <v>0</v>
      </c>
    </row>
    <row r="580" spans="1:51" ht="14.25" thickBot="1">
      <c r="A580">
        <v>7</v>
      </c>
      <c r="B580" s="120">
        <f t="shared" si="251"/>
        <v>0</v>
      </c>
      <c r="C580" s="120" t="str">
        <f t="shared" si="252"/>
        <v/>
      </c>
      <c r="D580" s="137"/>
      <c r="E580" s="150" t="str">
        <f>工種!A62</f>
        <v>80104</v>
      </c>
      <c r="F580" s="119" t="str">
        <f>工種!B62</f>
        <v>保守／ｻﾎﾟｰﾄ：連絡文書作成・更新</v>
      </c>
      <c r="G580" s="116" t="str">
        <f t="shared" si="253"/>
        <v>080104</v>
      </c>
      <c r="H580" s="88">
        <f t="shared" si="247"/>
        <v>0</v>
      </c>
      <c r="I580" s="132"/>
      <c r="J580" s="88">
        <f>SUMIF(月間集計シート!$M$29:$M$48,$G580,月間集計シート!N$29:N$48)*J$2</f>
        <v>0</v>
      </c>
      <c r="K580" s="88">
        <f>SUMIF(月間集計シート!$M$29:$M$48,$G580,月間集計シート!O$29:O$48)*K$2</f>
        <v>0</v>
      </c>
      <c r="L580" s="88">
        <f>SUMIF(月間集計シート!$M$29:$M$48,$G580,月間集計シート!P$29:P$48)*L$2</f>
        <v>0</v>
      </c>
      <c r="M580" s="88">
        <f>SUMIF(月間集計シート!$M$29:$M$48,$G580,月間集計シート!Q$29:Q$48)*M$2</f>
        <v>0</v>
      </c>
      <c r="N580" s="88">
        <f>SUMIF(月間集計シート!$M$29:$M$48,$G580,月間集計シート!R$29:R$48)*N$2</f>
        <v>0</v>
      </c>
      <c r="O580" s="88">
        <f>SUMIF(月間集計シート!$M$29:$M$48,$G580,月間集計シート!S$29:S$48)*O$2</f>
        <v>0</v>
      </c>
      <c r="P580" s="88">
        <f>SUMIF(月間集計シート!$M$29:$M$48,$G580,月間集計シート!T$29:T$48)*P$2</f>
        <v>0</v>
      </c>
      <c r="Q580" s="88">
        <f>SUMIF(月間集計シート!$M$50:$M$69,$G580,月間集計シート!N$50:N$69)*Q$2</f>
        <v>0</v>
      </c>
      <c r="R580" s="88">
        <f>SUMIF(月間集計シート!$M$50:$M$69,$G580,月間集計シート!O$50:O$69)*R$2</f>
        <v>0</v>
      </c>
      <c r="S580" s="88">
        <f>SUMIF(月間集計シート!$M$50:$M$69,$G580,月間集計シート!P$50:P$69)*S$2</f>
        <v>0</v>
      </c>
      <c r="T580" s="88">
        <f>SUMIF(月間集計シート!$M$50:$M$69,$G580,月間集計シート!Q$50:Q$69)*T$2</f>
        <v>0</v>
      </c>
      <c r="U580" s="88">
        <f>SUMIF(月間集計シート!$M$50:$M$69,$G580,月間集計シート!R$50:R$69)*U$2</f>
        <v>0</v>
      </c>
      <c r="V580" s="88">
        <f>SUMIF(月間集計シート!$M$50:$M$69,$G580,月間集計シート!S$50:S$69)*V$2</f>
        <v>0</v>
      </c>
      <c r="W580" s="88">
        <f>SUMIF(月間集計シート!$M$50:$M$69,$G580,月間集計シート!T$50:T$69)*W$2</f>
        <v>0</v>
      </c>
      <c r="X580" s="88">
        <f>SUMIF(月間集計シート!$M$71:$M$90,$G580,月間集計シート!N$71:N$90)*X$2</f>
        <v>0</v>
      </c>
      <c r="Y580" s="88">
        <f>SUMIF(月間集計シート!$M$71:$M$90,$G580,月間集計シート!O$71:O$90)*Y$2</f>
        <v>0</v>
      </c>
      <c r="Z580" s="88">
        <f>SUMIF(月間集計シート!$M$71:$M$90,$G580,月間集計シート!P$71:P$90)*Z$2</f>
        <v>0</v>
      </c>
      <c r="AA580" s="88">
        <f>SUMIF(月間集計シート!$M$71:$M$90,$G580,月間集計シート!Q$71:Q$90)*AA$2</f>
        <v>0</v>
      </c>
      <c r="AB580" s="88">
        <f>SUMIF(月間集計シート!$M$71:$M$90,$G580,月間集計シート!R$71:R$90)*AB$2</f>
        <v>0</v>
      </c>
      <c r="AC580" s="88">
        <f>SUMIF(月間集計シート!$M$71:$M$90,$G580,月間集計シート!S$71:S$90)*AC$2</f>
        <v>0</v>
      </c>
      <c r="AD580" s="88">
        <f>SUMIF(月間集計シート!$M$71:$M$90,$G580,月間集計シート!T$71:T$90)*AD$2</f>
        <v>0</v>
      </c>
      <c r="AE580" s="88">
        <f>SUMIF(月間集計シート!$M$92:$M$111,$G580,月間集計シート!N$92:N$111)*AE$2</f>
        <v>0</v>
      </c>
      <c r="AF580" s="88">
        <f>SUMIF(月間集計シート!$M$92:$M$111,$G580,月間集計シート!O$92:O$111)*AF$2</f>
        <v>0</v>
      </c>
      <c r="AG580" s="88">
        <f>SUMIF(月間集計シート!$M$92:$M$111,$G580,月間集計シート!P$92:P$111)*AG$2</f>
        <v>0</v>
      </c>
      <c r="AH580" s="88">
        <f>SUMIF(月間集計シート!$M$92:$M$111,$G580,月間集計シート!Q$92:Q$111)*AH$2</f>
        <v>0</v>
      </c>
      <c r="AI580" s="88">
        <f>SUMIF(月間集計シート!$M$92:$M$111,$G580,月間集計シート!R$92:R$111)*AI$2</f>
        <v>0</v>
      </c>
      <c r="AJ580" s="88">
        <f>SUMIF(月間集計シート!$M$92:$M$111,$G580,月間集計シート!S$92:S$111)*AJ$2</f>
        <v>0</v>
      </c>
      <c r="AK580" s="88">
        <f>SUMIF(月間集計シート!$M$92:$M$111,$G580,月間集計シート!T$92:T$111)*AK$2</f>
        <v>0</v>
      </c>
      <c r="AL580" s="88">
        <f>SUMIF(月間集計シート!$M$113:$M$132,$G580,月間集計シート!N$113:N$132)*AL$2</f>
        <v>0</v>
      </c>
      <c r="AM580" s="88">
        <f>SUMIF(月間集計シート!$M$113:$M$132,$G580,月間集計シート!O$113:O$132)*AM$2</f>
        <v>0</v>
      </c>
      <c r="AN580" s="88">
        <f>SUMIF(月間集計シート!$M$113:$M$132,$G580,月間集計シート!P$113:P$132)*AN$2</f>
        <v>0</v>
      </c>
      <c r="AO580" s="88">
        <f>SUMIF(月間集計シート!$M$113:$M$132,$G580,月間集計シート!Q$113:Q$132)*AO$2</f>
        <v>0</v>
      </c>
      <c r="AP580" s="88">
        <f>SUMIF(月間集計シート!$M$113:$M$132,$G580,月間集計シート!R$113:R$132)*AP$2</f>
        <v>0</v>
      </c>
      <c r="AQ580" s="88">
        <f>SUMIF(月間集計シート!$M$113:$M$132,$G580,月間集計シート!S$113:S$132)*AQ$2</f>
        <v>0</v>
      </c>
      <c r="AR580" s="88">
        <f>SUMIF(月間集計シート!$M$113:$M$132,$G580,月間集計シート!T$113:T$132)*AR$2</f>
        <v>0</v>
      </c>
      <c r="AS580" s="88">
        <f>SUMIF(月間集計シート!$M$134:$M$153,$G580,月間集計シート!N$134:N$153)*AS$2</f>
        <v>0</v>
      </c>
      <c r="AT580" s="88">
        <f>SUMIF(月間集計シート!$M$134:$M$153,$G580,月間集計シート!O$134:O$153)*AT$2</f>
        <v>0</v>
      </c>
      <c r="AU580" s="88">
        <f>SUMIF(月間集計シート!$M$134:$M$153,$G580,月間集計シート!P$134:P$153)*AU$2</f>
        <v>0</v>
      </c>
      <c r="AV580" s="88">
        <f>SUMIF(月間集計シート!$M$134:$M$153,$G580,月間集計シート!Q$134:Q$153)*AV$2</f>
        <v>0</v>
      </c>
      <c r="AW580" s="88">
        <f>SUMIF(月間集計シート!$M$134:$M$153,$G580,月間集計シート!R$134:R$153)*AW$2</f>
        <v>0</v>
      </c>
      <c r="AX580" s="88">
        <f>SUMIF(月間集計シート!$M$134:$M$153,$G580,月間集計シート!S$134:S$153)*AX$2</f>
        <v>0</v>
      </c>
      <c r="AY580" s="88">
        <f>SUMIF(月間集計シート!$M$134:$M$153,$G580,月間集計シート!T$134:T$153)*AY$2</f>
        <v>0</v>
      </c>
    </row>
    <row r="581" spans="1:51" ht="14.25" thickBot="1">
      <c r="A581">
        <v>7</v>
      </c>
      <c r="B581" s="120">
        <f t="shared" si="251"/>
        <v>0</v>
      </c>
      <c r="C581" s="120" t="str">
        <f t="shared" si="252"/>
        <v/>
      </c>
      <c r="D581" s="137"/>
      <c r="E581" s="150" t="str">
        <f>工種!A63</f>
        <v>80105</v>
      </c>
      <c r="F581" s="119" t="str">
        <f>工種!B63</f>
        <v>保守／ｻﾎﾟｰﾄ：ｲﾝﾄﾗ資料更新</v>
      </c>
      <c r="G581" s="116" t="str">
        <f t="shared" ref="G581:G598" si="254">B581&amp;E581</f>
        <v>080105</v>
      </c>
      <c r="H581" s="88">
        <f t="shared" ref="H581:H582" si="255">SUM(J581:AY581)</f>
        <v>0</v>
      </c>
      <c r="I581" s="132"/>
      <c r="J581" s="88">
        <f>SUMIF(月間集計シート!$M$29:$M$48,$G581,月間集計シート!N$29:N$48)*J$2</f>
        <v>0</v>
      </c>
      <c r="K581" s="88">
        <f>SUMIF(月間集計シート!$M$29:$M$48,$G581,月間集計シート!O$29:O$48)*K$2</f>
        <v>0</v>
      </c>
      <c r="L581" s="88">
        <f>SUMIF(月間集計シート!$M$29:$M$48,$G581,月間集計シート!P$29:P$48)*L$2</f>
        <v>0</v>
      </c>
      <c r="M581" s="88">
        <f>SUMIF(月間集計シート!$M$29:$M$48,$G581,月間集計シート!Q$29:Q$48)*M$2</f>
        <v>0</v>
      </c>
      <c r="N581" s="88">
        <f>SUMIF(月間集計シート!$M$29:$M$48,$G581,月間集計シート!R$29:R$48)*N$2</f>
        <v>0</v>
      </c>
      <c r="O581" s="88">
        <f>SUMIF(月間集計シート!$M$29:$M$48,$G581,月間集計シート!S$29:S$48)*O$2</f>
        <v>0</v>
      </c>
      <c r="P581" s="88">
        <f>SUMIF(月間集計シート!$M$29:$M$48,$G581,月間集計シート!T$29:T$48)*P$2</f>
        <v>0</v>
      </c>
      <c r="Q581" s="88">
        <f>SUMIF(月間集計シート!$M$50:$M$69,$G581,月間集計シート!N$50:N$69)*Q$2</f>
        <v>0</v>
      </c>
      <c r="R581" s="88">
        <f>SUMIF(月間集計シート!$M$50:$M$69,$G581,月間集計シート!O$50:O$69)*R$2</f>
        <v>0</v>
      </c>
      <c r="S581" s="88">
        <f>SUMIF(月間集計シート!$M$50:$M$69,$G581,月間集計シート!P$50:P$69)*S$2</f>
        <v>0</v>
      </c>
      <c r="T581" s="88">
        <f>SUMIF(月間集計シート!$M$50:$M$69,$G581,月間集計シート!Q$50:Q$69)*T$2</f>
        <v>0</v>
      </c>
      <c r="U581" s="88">
        <f>SUMIF(月間集計シート!$M$50:$M$69,$G581,月間集計シート!R$50:R$69)*U$2</f>
        <v>0</v>
      </c>
      <c r="V581" s="88">
        <f>SUMIF(月間集計シート!$M$50:$M$69,$G581,月間集計シート!S$50:S$69)*V$2</f>
        <v>0</v>
      </c>
      <c r="W581" s="88">
        <f>SUMIF(月間集計シート!$M$50:$M$69,$G581,月間集計シート!T$50:T$69)*W$2</f>
        <v>0</v>
      </c>
      <c r="X581" s="88">
        <f>SUMIF(月間集計シート!$M$71:$M$90,$G581,月間集計シート!N$71:N$90)*X$2</f>
        <v>0</v>
      </c>
      <c r="Y581" s="88">
        <f>SUMIF(月間集計シート!$M$71:$M$90,$G581,月間集計シート!O$71:O$90)*Y$2</f>
        <v>0</v>
      </c>
      <c r="Z581" s="88">
        <f>SUMIF(月間集計シート!$M$71:$M$90,$G581,月間集計シート!P$71:P$90)*Z$2</f>
        <v>0</v>
      </c>
      <c r="AA581" s="88">
        <f>SUMIF(月間集計シート!$M$71:$M$90,$G581,月間集計シート!Q$71:Q$90)*AA$2</f>
        <v>0</v>
      </c>
      <c r="AB581" s="88">
        <f>SUMIF(月間集計シート!$M$71:$M$90,$G581,月間集計シート!R$71:R$90)*AB$2</f>
        <v>0</v>
      </c>
      <c r="AC581" s="88">
        <f>SUMIF(月間集計シート!$M$71:$M$90,$G581,月間集計シート!S$71:S$90)*AC$2</f>
        <v>0</v>
      </c>
      <c r="AD581" s="88">
        <f>SUMIF(月間集計シート!$M$71:$M$90,$G581,月間集計シート!T$71:T$90)*AD$2</f>
        <v>0</v>
      </c>
      <c r="AE581" s="88">
        <f>SUMIF(月間集計シート!$M$92:$M$111,$G581,月間集計シート!N$92:N$111)*AE$2</f>
        <v>0</v>
      </c>
      <c r="AF581" s="88">
        <f>SUMIF(月間集計シート!$M$92:$M$111,$G581,月間集計シート!O$92:O$111)*AF$2</f>
        <v>0</v>
      </c>
      <c r="AG581" s="88">
        <f>SUMIF(月間集計シート!$M$92:$M$111,$G581,月間集計シート!P$92:P$111)*AG$2</f>
        <v>0</v>
      </c>
      <c r="AH581" s="88">
        <f>SUMIF(月間集計シート!$M$92:$M$111,$G581,月間集計シート!Q$92:Q$111)*AH$2</f>
        <v>0</v>
      </c>
      <c r="AI581" s="88">
        <f>SUMIF(月間集計シート!$M$92:$M$111,$G581,月間集計シート!R$92:R$111)*AI$2</f>
        <v>0</v>
      </c>
      <c r="AJ581" s="88">
        <f>SUMIF(月間集計シート!$M$92:$M$111,$G581,月間集計シート!S$92:S$111)*AJ$2</f>
        <v>0</v>
      </c>
      <c r="AK581" s="88">
        <f>SUMIF(月間集計シート!$M$92:$M$111,$G581,月間集計シート!T$92:T$111)*AK$2</f>
        <v>0</v>
      </c>
      <c r="AL581" s="88">
        <f>SUMIF(月間集計シート!$M$113:$M$132,$G581,月間集計シート!N$113:N$132)*AL$2</f>
        <v>0</v>
      </c>
      <c r="AM581" s="88">
        <f>SUMIF(月間集計シート!$M$113:$M$132,$G581,月間集計シート!O$113:O$132)*AM$2</f>
        <v>0</v>
      </c>
      <c r="AN581" s="88">
        <f>SUMIF(月間集計シート!$M$113:$M$132,$G581,月間集計シート!P$113:P$132)*AN$2</f>
        <v>0</v>
      </c>
      <c r="AO581" s="88">
        <f>SUMIF(月間集計シート!$M$113:$M$132,$G581,月間集計シート!Q$113:Q$132)*AO$2</f>
        <v>0</v>
      </c>
      <c r="AP581" s="88">
        <f>SUMIF(月間集計シート!$M$113:$M$132,$G581,月間集計シート!R$113:R$132)*AP$2</f>
        <v>0</v>
      </c>
      <c r="AQ581" s="88">
        <f>SUMIF(月間集計シート!$M$113:$M$132,$G581,月間集計シート!S$113:S$132)*AQ$2</f>
        <v>0</v>
      </c>
      <c r="AR581" s="88">
        <f>SUMIF(月間集計シート!$M$113:$M$132,$G581,月間集計シート!T$113:T$132)*AR$2</f>
        <v>0</v>
      </c>
      <c r="AS581" s="88">
        <f>SUMIF(月間集計シート!$M$134:$M$153,$G581,月間集計シート!N$134:N$153)*AS$2</f>
        <v>0</v>
      </c>
      <c r="AT581" s="88">
        <f>SUMIF(月間集計シート!$M$134:$M$153,$G581,月間集計シート!O$134:O$153)*AT$2</f>
        <v>0</v>
      </c>
      <c r="AU581" s="88">
        <f>SUMIF(月間集計シート!$M$134:$M$153,$G581,月間集計シート!P$134:P$153)*AU$2</f>
        <v>0</v>
      </c>
      <c r="AV581" s="88">
        <f>SUMIF(月間集計シート!$M$134:$M$153,$G581,月間集計シート!Q$134:Q$153)*AV$2</f>
        <v>0</v>
      </c>
      <c r="AW581" s="88">
        <f>SUMIF(月間集計シート!$M$134:$M$153,$G581,月間集計シート!R$134:R$153)*AW$2</f>
        <v>0</v>
      </c>
      <c r="AX581" s="88">
        <f>SUMIF(月間集計シート!$M$134:$M$153,$G581,月間集計シート!S$134:S$153)*AX$2</f>
        <v>0</v>
      </c>
      <c r="AY581" s="88">
        <f>SUMIF(月間集計シート!$M$134:$M$153,$G581,月間集計シート!T$134:T$153)*AY$2</f>
        <v>0</v>
      </c>
    </row>
    <row r="582" spans="1:51" ht="14.25" thickBot="1">
      <c r="A582">
        <v>7</v>
      </c>
      <c r="B582" s="120">
        <f t="shared" si="251"/>
        <v>0</v>
      </c>
      <c r="C582" s="120" t="str">
        <f t="shared" si="252"/>
        <v/>
      </c>
      <c r="D582" s="137"/>
      <c r="E582" s="150" t="str">
        <f>工種!A64</f>
        <v>80106</v>
      </c>
      <c r="F582" s="119" t="str">
        <f>工種!B64</f>
        <v>保守／ｻﾎﾟｰﾄ：打合せ</v>
      </c>
      <c r="G582" s="116" t="str">
        <f t="shared" si="254"/>
        <v>080106</v>
      </c>
      <c r="H582" s="88">
        <f t="shared" si="255"/>
        <v>0</v>
      </c>
      <c r="I582" s="132"/>
      <c r="J582" s="88">
        <f>SUMIF(月間集計シート!$M$29:$M$48,$G582,月間集計シート!N$29:N$48)*J$2</f>
        <v>0</v>
      </c>
      <c r="K582" s="88">
        <f>SUMIF(月間集計シート!$M$29:$M$48,$G582,月間集計シート!O$29:O$48)*K$2</f>
        <v>0</v>
      </c>
      <c r="L582" s="88">
        <f>SUMIF(月間集計シート!$M$29:$M$48,$G582,月間集計シート!P$29:P$48)*L$2</f>
        <v>0</v>
      </c>
      <c r="M582" s="88">
        <f>SUMIF(月間集計シート!$M$29:$M$48,$G582,月間集計シート!Q$29:Q$48)*M$2</f>
        <v>0</v>
      </c>
      <c r="N582" s="88">
        <f>SUMIF(月間集計シート!$M$29:$M$48,$G582,月間集計シート!R$29:R$48)*N$2</f>
        <v>0</v>
      </c>
      <c r="O582" s="88">
        <f>SUMIF(月間集計シート!$M$29:$M$48,$G582,月間集計シート!S$29:S$48)*O$2</f>
        <v>0</v>
      </c>
      <c r="P582" s="88">
        <f>SUMIF(月間集計シート!$M$29:$M$48,$G582,月間集計シート!T$29:T$48)*P$2</f>
        <v>0</v>
      </c>
      <c r="Q582" s="88">
        <f>SUMIF(月間集計シート!$M$50:$M$69,$G582,月間集計シート!N$50:N$69)*Q$2</f>
        <v>0</v>
      </c>
      <c r="R582" s="88">
        <f>SUMIF(月間集計シート!$M$50:$M$69,$G582,月間集計シート!O$50:O$69)*R$2</f>
        <v>0</v>
      </c>
      <c r="S582" s="88">
        <f>SUMIF(月間集計シート!$M$50:$M$69,$G582,月間集計シート!P$50:P$69)*S$2</f>
        <v>0</v>
      </c>
      <c r="T582" s="88">
        <f>SUMIF(月間集計シート!$M$50:$M$69,$G582,月間集計シート!Q$50:Q$69)*T$2</f>
        <v>0</v>
      </c>
      <c r="U582" s="88">
        <f>SUMIF(月間集計シート!$M$50:$M$69,$G582,月間集計シート!R$50:R$69)*U$2</f>
        <v>0</v>
      </c>
      <c r="V582" s="88">
        <f>SUMIF(月間集計シート!$M$50:$M$69,$G582,月間集計シート!S$50:S$69)*V$2</f>
        <v>0</v>
      </c>
      <c r="W582" s="88">
        <f>SUMIF(月間集計シート!$M$50:$M$69,$G582,月間集計シート!T$50:T$69)*W$2</f>
        <v>0</v>
      </c>
      <c r="X582" s="88">
        <f>SUMIF(月間集計シート!$M$71:$M$90,$G582,月間集計シート!N$71:N$90)*X$2</f>
        <v>0</v>
      </c>
      <c r="Y582" s="88">
        <f>SUMIF(月間集計シート!$M$71:$M$90,$G582,月間集計シート!O$71:O$90)*Y$2</f>
        <v>0</v>
      </c>
      <c r="Z582" s="88">
        <f>SUMIF(月間集計シート!$M$71:$M$90,$G582,月間集計シート!P$71:P$90)*Z$2</f>
        <v>0</v>
      </c>
      <c r="AA582" s="88">
        <f>SUMIF(月間集計シート!$M$71:$M$90,$G582,月間集計シート!Q$71:Q$90)*AA$2</f>
        <v>0</v>
      </c>
      <c r="AB582" s="88">
        <f>SUMIF(月間集計シート!$M$71:$M$90,$G582,月間集計シート!R$71:R$90)*AB$2</f>
        <v>0</v>
      </c>
      <c r="AC582" s="88">
        <f>SUMIF(月間集計シート!$M$71:$M$90,$G582,月間集計シート!S$71:S$90)*AC$2</f>
        <v>0</v>
      </c>
      <c r="AD582" s="88">
        <f>SUMIF(月間集計シート!$M$71:$M$90,$G582,月間集計シート!T$71:T$90)*AD$2</f>
        <v>0</v>
      </c>
      <c r="AE582" s="88">
        <f>SUMIF(月間集計シート!$M$92:$M$111,$G582,月間集計シート!N$92:N$111)*AE$2</f>
        <v>0</v>
      </c>
      <c r="AF582" s="88">
        <f>SUMIF(月間集計シート!$M$92:$M$111,$G582,月間集計シート!O$92:O$111)*AF$2</f>
        <v>0</v>
      </c>
      <c r="AG582" s="88">
        <f>SUMIF(月間集計シート!$M$92:$M$111,$G582,月間集計シート!P$92:P$111)*AG$2</f>
        <v>0</v>
      </c>
      <c r="AH582" s="88">
        <f>SUMIF(月間集計シート!$M$92:$M$111,$G582,月間集計シート!Q$92:Q$111)*AH$2</f>
        <v>0</v>
      </c>
      <c r="AI582" s="88">
        <f>SUMIF(月間集計シート!$M$92:$M$111,$G582,月間集計シート!R$92:R$111)*AI$2</f>
        <v>0</v>
      </c>
      <c r="AJ582" s="88">
        <f>SUMIF(月間集計シート!$M$92:$M$111,$G582,月間集計シート!S$92:S$111)*AJ$2</f>
        <v>0</v>
      </c>
      <c r="AK582" s="88">
        <f>SUMIF(月間集計シート!$M$92:$M$111,$G582,月間集計シート!T$92:T$111)*AK$2</f>
        <v>0</v>
      </c>
      <c r="AL582" s="88">
        <f>SUMIF(月間集計シート!$M$113:$M$132,$G582,月間集計シート!N$113:N$132)*AL$2</f>
        <v>0</v>
      </c>
      <c r="AM582" s="88">
        <f>SUMIF(月間集計シート!$M$113:$M$132,$G582,月間集計シート!O$113:O$132)*AM$2</f>
        <v>0</v>
      </c>
      <c r="AN582" s="88">
        <f>SUMIF(月間集計シート!$M$113:$M$132,$G582,月間集計シート!P$113:P$132)*AN$2</f>
        <v>0</v>
      </c>
      <c r="AO582" s="88">
        <f>SUMIF(月間集計シート!$M$113:$M$132,$G582,月間集計シート!Q$113:Q$132)*AO$2</f>
        <v>0</v>
      </c>
      <c r="AP582" s="88">
        <f>SUMIF(月間集計シート!$M$113:$M$132,$G582,月間集計シート!R$113:R$132)*AP$2</f>
        <v>0</v>
      </c>
      <c r="AQ582" s="88">
        <f>SUMIF(月間集計シート!$M$113:$M$132,$G582,月間集計シート!S$113:S$132)*AQ$2</f>
        <v>0</v>
      </c>
      <c r="AR582" s="88">
        <f>SUMIF(月間集計シート!$M$113:$M$132,$G582,月間集計シート!T$113:T$132)*AR$2</f>
        <v>0</v>
      </c>
      <c r="AS582" s="88">
        <f>SUMIF(月間集計シート!$M$134:$M$153,$G582,月間集計シート!N$134:N$153)*AS$2</f>
        <v>0</v>
      </c>
      <c r="AT582" s="88">
        <f>SUMIF(月間集計シート!$M$134:$M$153,$G582,月間集計シート!O$134:O$153)*AT$2</f>
        <v>0</v>
      </c>
      <c r="AU582" s="88">
        <f>SUMIF(月間集計シート!$M$134:$M$153,$G582,月間集計シート!P$134:P$153)*AU$2</f>
        <v>0</v>
      </c>
      <c r="AV582" s="88">
        <f>SUMIF(月間集計シート!$M$134:$M$153,$G582,月間集計シート!Q$134:Q$153)*AV$2</f>
        <v>0</v>
      </c>
      <c r="AW582" s="88">
        <f>SUMIF(月間集計シート!$M$134:$M$153,$G582,月間集計シート!R$134:R$153)*AW$2</f>
        <v>0</v>
      </c>
      <c r="AX582" s="88">
        <f>SUMIF(月間集計シート!$M$134:$M$153,$G582,月間集計シート!S$134:S$153)*AX$2</f>
        <v>0</v>
      </c>
      <c r="AY582" s="88">
        <f>SUMIF(月間集計シート!$M$134:$M$153,$G582,月間集計シート!T$134:T$153)*AY$2</f>
        <v>0</v>
      </c>
    </row>
    <row r="583" spans="1:51" ht="14.25" thickBot="1">
      <c r="A583">
        <v>7</v>
      </c>
      <c r="B583" s="120">
        <f t="shared" si="251"/>
        <v>0</v>
      </c>
      <c r="C583" s="120" t="str">
        <f t="shared" si="252"/>
        <v/>
      </c>
      <c r="D583" s="137"/>
      <c r="E583" s="150" t="str">
        <f>工種!A65</f>
        <v>80107</v>
      </c>
      <c r="F583" s="119" t="str">
        <f>工種!B65</f>
        <v>保守／ｻﾎﾟｰﾄ：ﾚﾋﾞｭｰ</v>
      </c>
      <c r="G583" s="116" t="str">
        <f t="shared" si="254"/>
        <v>080107</v>
      </c>
      <c r="H583" s="88">
        <f t="shared" ref="H583:H598" si="256">SUM(J583:AY583)</f>
        <v>0</v>
      </c>
      <c r="I583" s="132"/>
      <c r="J583" s="88">
        <f>SUMIF(月間集計シート!$M$29:$M$48,$G583,月間集計シート!N$29:N$48)*J$2</f>
        <v>0</v>
      </c>
      <c r="K583" s="88">
        <f>SUMIF(月間集計シート!$M$29:$M$48,$G583,月間集計シート!O$29:O$48)*K$2</f>
        <v>0</v>
      </c>
      <c r="L583" s="88">
        <f>SUMIF(月間集計シート!$M$29:$M$48,$G583,月間集計シート!P$29:P$48)*L$2</f>
        <v>0</v>
      </c>
      <c r="M583" s="88">
        <f>SUMIF(月間集計シート!$M$29:$M$48,$G583,月間集計シート!Q$29:Q$48)*M$2</f>
        <v>0</v>
      </c>
      <c r="N583" s="88">
        <f>SUMIF(月間集計シート!$M$29:$M$48,$G583,月間集計シート!R$29:R$48)*N$2</f>
        <v>0</v>
      </c>
      <c r="O583" s="88">
        <f>SUMIF(月間集計シート!$M$29:$M$48,$G583,月間集計シート!S$29:S$48)*O$2</f>
        <v>0</v>
      </c>
      <c r="P583" s="88">
        <f>SUMIF(月間集計シート!$M$29:$M$48,$G583,月間集計シート!T$29:T$48)*P$2</f>
        <v>0</v>
      </c>
      <c r="Q583" s="88">
        <f>SUMIF(月間集計シート!$M$50:$M$69,$G583,月間集計シート!N$50:N$69)*Q$2</f>
        <v>0</v>
      </c>
      <c r="R583" s="88">
        <f>SUMIF(月間集計シート!$M$50:$M$69,$G583,月間集計シート!O$50:O$69)*R$2</f>
        <v>0</v>
      </c>
      <c r="S583" s="88">
        <f>SUMIF(月間集計シート!$M$50:$M$69,$G583,月間集計シート!P$50:P$69)*S$2</f>
        <v>0</v>
      </c>
      <c r="T583" s="88">
        <f>SUMIF(月間集計シート!$M$50:$M$69,$G583,月間集計シート!Q$50:Q$69)*T$2</f>
        <v>0</v>
      </c>
      <c r="U583" s="88">
        <f>SUMIF(月間集計シート!$M$50:$M$69,$G583,月間集計シート!R$50:R$69)*U$2</f>
        <v>0</v>
      </c>
      <c r="V583" s="88">
        <f>SUMIF(月間集計シート!$M$50:$M$69,$G583,月間集計シート!S$50:S$69)*V$2</f>
        <v>0</v>
      </c>
      <c r="W583" s="88">
        <f>SUMIF(月間集計シート!$M$50:$M$69,$G583,月間集計シート!T$50:T$69)*W$2</f>
        <v>0</v>
      </c>
      <c r="X583" s="88">
        <f>SUMIF(月間集計シート!$M$71:$M$90,$G583,月間集計シート!N$71:N$90)*X$2</f>
        <v>0</v>
      </c>
      <c r="Y583" s="88">
        <f>SUMIF(月間集計シート!$M$71:$M$90,$G583,月間集計シート!O$71:O$90)*Y$2</f>
        <v>0</v>
      </c>
      <c r="Z583" s="88">
        <f>SUMIF(月間集計シート!$M$71:$M$90,$G583,月間集計シート!P$71:P$90)*Z$2</f>
        <v>0</v>
      </c>
      <c r="AA583" s="88">
        <f>SUMIF(月間集計シート!$M$71:$M$90,$G583,月間集計シート!Q$71:Q$90)*AA$2</f>
        <v>0</v>
      </c>
      <c r="AB583" s="88">
        <f>SUMIF(月間集計シート!$M$71:$M$90,$G583,月間集計シート!R$71:R$90)*AB$2</f>
        <v>0</v>
      </c>
      <c r="AC583" s="88">
        <f>SUMIF(月間集計シート!$M$71:$M$90,$G583,月間集計シート!S$71:S$90)*AC$2</f>
        <v>0</v>
      </c>
      <c r="AD583" s="88">
        <f>SUMIF(月間集計シート!$M$71:$M$90,$G583,月間集計シート!T$71:T$90)*AD$2</f>
        <v>0</v>
      </c>
      <c r="AE583" s="88">
        <f>SUMIF(月間集計シート!$M$92:$M$111,$G583,月間集計シート!N$92:N$111)*AE$2</f>
        <v>0</v>
      </c>
      <c r="AF583" s="88">
        <f>SUMIF(月間集計シート!$M$92:$M$111,$G583,月間集計シート!O$92:O$111)*AF$2</f>
        <v>0</v>
      </c>
      <c r="AG583" s="88">
        <f>SUMIF(月間集計シート!$M$92:$M$111,$G583,月間集計シート!P$92:P$111)*AG$2</f>
        <v>0</v>
      </c>
      <c r="AH583" s="88">
        <f>SUMIF(月間集計シート!$M$92:$M$111,$G583,月間集計シート!Q$92:Q$111)*AH$2</f>
        <v>0</v>
      </c>
      <c r="AI583" s="88">
        <f>SUMIF(月間集計シート!$M$92:$M$111,$G583,月間集計シート!R$92:R$111)*AI$2</f>
        <v>0</v>
      </c>
      <c r="AJ583" s="88">
        <f>SUMIF(月間集計シート!$M$92:$M$111,$G583,月間集計シート!S$92:S$111)*AJ$2</f>
        <v>0</v>
      </c>
      <c r="AK583" s="88">
        <f>SUMIF(月間集計シート!$M$92:$M$111,$G583,月間集計シート!T$92:T$111)*AK$2</f>
        <v>0</v>
      </c>
      <c r="AL583" s="88">
        <f>SUMIF(月間集計シート!$M$113:$M$132,$G583,月間集計シート!N$113:N$132)*AL$2</f>
        <v>0</v>
      </c>
      <c r="AM583" s="88">
        <f>SUMIF(月間集計シート!$M$113:$M$132,$G583,月間集計シート!O$113:O$132)*AM$2</f>
        <v>0</v>
      </c>
      <c r="AN583" s="88">
        <f>SUMIF(月間集計シート!$M$113:$M$132,$G583,月間集計シート!P$113:P$132)*AN$2</f>
        <v>0</v>
      </c>
      <c r="AO583" s="88">
        <f>SUMIF(月間集計シート!$M$113:$M$132,$G583,月間集計シート!Q$113:Q$132)*AO$2</f>
        <v>0</v>
      </c>
      <c r="AP583" s="88">
        <f>SUMIF(月間集計シート!$M$113:$M$132,$G583,月間集計シート!R$113:R$132)*AP$2</f>
        <v>0</v>
      </c>
      <c r="AQ583" s="88">
        <f>SUMIF(月間集計シート!$M$113:$M$132,$G583,月間集計シート!S$113:S$132)*AQ$2</f>
        <v>0</v>
      </c>
      <c r="AR583" s="88">
        <f>SUMIF(月間集計シート!$M$113:$M$132,$G583,月間集計シート!T$113:T$132)*AR$2</f>
        <v>0</v>
      </c>
      <c r="AS583" s="88">
        <f>SUMIF(月間集計シート!$M$134:$M$153,$G583,月間集計シート!N$134:N$153)*AS$2</f>
        <v>0</v>
      </c>
      <c r="AT583" s="88">
        <f>SUMIF(月間集計シート!$M$134:$M$153,$G583,月間集計シート!O$134:O$153)*AT$2</f>
        <v>0</v>
      </c>
      <c r="AU583" s="88">
        <f>SUMIF(月間集計シート!$M$134:$M$153,$G583,月間集計シート!P$134:P$153)*AU$2</f>
        <v>0</v>
      </c>
      <c r="AV583" s="88">
        <f>SUMIF(月間集計シート!$M$134:$M$153,$G583,月間集計シート!Q$134:Q$153)*AV$2</f>
        <v>0</v>
      </c>
      <c r="AW583" s="88">
        <f>SUMIF(月間集計シート!$M$134:$M$153,$G583,月間集計シート!R$134:R$153)*AW$2</f>
        <v>0</v>
      </c>
      <c r="AX583" s="88">
        <f>SUMIF(月間集計シート!$M$134:$M$153,$G583,月間集計シート!S$134:S$153)*AX$2</f>
        <v>0</v>
      </c>
      <c r="AY583" s="88">
        <f>SUMIF(月間集計シート!$M$134:$M$153,$G583,月間集計シート!T$134:T$153)*AY$2</f>
        <v>0</v>
      </c>
    </row>
    <row r="584" spans="1:51" ht="14.25" thickBot="1">
      <c r="A584">
        <v>7</v>
      </c>
      <c r="B584" s="120">
        <f t="shared" si="251"/>
        <v>0</v>
      </c>
      <c r="C584" s="120" t="str">
        <f t="shared" si="252"/>
        <v/>
      </c>
      <c r="D584" s="137"/>
      <c r="E584" s="150" t="str">
        <f>工種!A66</f>
        <v>80199</v>
      </c>
      <c r="F584" s="119" t="str">
        <f>工種!B66</f>
        <v>保守／ｻﾎﾟｰﾄ：その他</v>
      </c>
      <c r="G584" s="116" t="str">
        <f t="shared" si="254"/>
        <v>080199</v>
      </c>
      <c r="H584" s="88">
        <f t="shared" si="256"/>
        <v>0</v>
      </c>
      <c r="I584" s="132"/>
      <c r="J584" s="88">
        <f>SUMIF(月間集計シート!$M$29:$M$48,$G584,月間集計シート!N$29:N$48)*J$2</f>
        <v>0</v>
      </c>
      <c r="K584" s="88">
        <f>SUMIF(月間集計シート!$M$29:$M$48,$G584,月間集計シート!O$29:O$48)*K$2</f>
        <v>0</v>
      </c>
      <c r="L584" s="88">
        <f>SUMIF(月間集計シート!$M$29:$M$48,$G584,月間集計シート!P$29:P$48)*L$2</f>
        <v>0</v>
      </c>
      <c r="M584" s="88">
        <f>SUMIF(月間集計シート!$M$29:$M$48,$G584,月間集計シート!Q$29:Q$48)*M$2</f>
        <v>0</v>
      </c>
      <c r="N584" s="88">
        <f>SUMIF(月間集計シート!$M$29:$M$48,$G584,月間集計シート!R$29:R$48)*N$2</f>
        <v>0</v>
      </c>
      <c r="O584" s="88">
        <f>SUMIF(月間集計シート!$M$29:$M$48,$G584,月間集計シート!S$29:S$48)*O$2</f>
        <v>0</v>
      </c>
      <c r="P584" s="88">
        <f>SUMIF(月間集計シート!$M$29:$M$48,$G584,月間集計シート!T$29:T$48)*P$2</f>
        <v>0</v>
      </c>
      <c r="Q584" s="88">
        <f>SUMIF(月間集計シート!$M$50:$M$69,$G584,月間集計シート!N$50:N$69)*Q$2</f>
        <v>0</v>
      </c>
      <c r="R584" s="88">
        <f>SUMIF(月間集計シート!$M$50:$M$69,$G584,月間集計シート!O$50:O$69)*R$2</f>
        <v>0</v>
      </c>
      <c r="S584" s="88">
        <f>SUMIF(月間集計シート!$M$50:$M$69,$G584,月間集計シート!P$50:P$69)*S$2</f>
        <v>0</v>
      </c>
      <c r="T584" s="88">
        <f>SUMIF(月間集計シート!$M$50:$M$69,$G584,月間集計シート!Q$50:Q$69)*T$2</f>
        <v>0</v>
      </c>
      <c r="U584" s="88">
        <f>SUMIF(月間集計シート!$M$50:$M$69,$G584,月間集計シート!R$50:R$69)*U$2</f>
        <v>0</v>
      </c>
      <c r="V584" s="88">
        <f>SUMIF(月間集計シート!$M$50:$M$69,$G584,月間集計シート!S$50:S$69)*V$2</f>
        <v>0</v>
      </c>
      <c r="W584" s="88">
        <f>SUMIF(月間集計シート!$M$50:$M$69,$G584,月間集計シート!T$50:T$69)*W$2</f>
        <v>0</v>
      </c>
      <c r="X584" s="88">
        <f>SUMIF(月間集計シート!$M$71:$M$90,$G584,月間集計シート!N$71:N$90)*X$2</f>
        <v>0</v>
      </c>
      <c r="Y584" s="88">
        <f>SUMIF(月間集計シート!$M$71:$M$90,$G584,月間集計シート!O$71:O$90)*Y$2</f>
        <v>0</v>
      </c>
      <c r="Z584" s="88">
        <f>SUMIF(月間集計シート!$M$71:$M$90,$G584,月間集計シート!P$71:P$90)*Z$2</f>
        <v>0</v>
      </c>
      <c r="AA584" s="88">
        <f>SUMIF(月間集計シート!$M$71:$M$90,$G584,月間集計シート!Q$71:Q$90)*AA$2</f>
        <v>0</v>
      </c>
      <c r="AB584" s="88">
        <f>SUMIF(月間集計シート!$M$71:$M$90,$G584,月間集計シート!R$71:R$90)*AB$2</f>
        <v>0</v>
      </c>
      <c r="AC584" s="88">
        <f>SUMIF(月間集計シート!$M$71:$M$90,$G584,月間集計シート!S$71:S$90)*AC$2</f>
        <v>0</v>
      </c>
      <c r="AD584" s="88">
        <f>SUMIF(月間集計シート!$M$71:$M$90,$G584,月間集計シート!T$71:T$90)*AD$2</f>
        <v>0</v>
      </c>
      <c r="AE584" s="88">
        <f>SUMIF(月間集計シート!$M$92:$M$111,$G584,月間集計シート!N$92:N$111)*AE$2</f>
        <v>0</v>
      </c>
      <c r="AF584" s="88">
        <f>SUMIF(月間集計シート!$M$92:$M$111,$G584,月間集計シート!O$92:O$111)*AF$2</f>
        <v>0</v>
      </c>
      <c r="AG584" s="88">
        <f>SUMIF(月間集計シート!$M$92:$M$111,$G584,月間集計シート!P$92:P$111)*AG$2</f>
        <v>0</v>
      </c>
      <c r="AH584" s="88">
        <f>SUMIF(月間集計シート!$M$92:$M$111,$G584,月間集計シート!Q$92:Q$111)*AH$2</f>
        <v>0</v>
      </c>
      <c r="AI584" s="88">
        <f>SUMIF(月間集計シート!$M$92:$M$111,$G584,月間集計シート!R$92:R$111)*AI$2</f>
        <v>0</v>
      </c>
      <c r="AJ584" s="88">
        <f>SUMIF(月間集計シート!$M$92:$M$111,$G584,月間集計シート!S$92:S$111)*AJ$2</f>
        <v>0</v>
      </c>
      <c r="AK584" s="88">
        <f>SUMIF(月間集計シート!$M$92:$M$111,$G584,月間集計シート!T$92:T$111)*AK$2</f>
        <v>0</v>
      </c>
      <c r="AL584" s="88">
        <f>SUMIF(月間集計シート!$M$113:$M$132,$G584,月間集計シート!N$113:N$132)*AL$2</f>
        <v>0</v>
      </c>
      <c r="AM584" s="88">
        <f>SUMIF(月間集計シート!$M$113:$M$132,$G584,月間集計シート!O$113:O$132)*AM$2</f>
        <v>0</v>
      </c>
      <c r="AN584" s="88">
        <f>SUMIF(月間集計シート!$M$113:$M$132,$G584,月間集計シート!P$113:P$132)*AN$2</f>
        <v>0</v>
      </c>
      <c r="AO584" s="88">
        <f>SUMIF(月間集計シート!$M$113:$M$132,$G584,月間集計シート!Q$113:Q$132)*AO$2</f>
        <v>0</v>
      </c>
      <c r="AP584" s="88">
        <f>SUMIF(月間集計シート!$M$113:$M$132,$G584,月間集計シート!R$113:R$132)*AP$2</f>
        <v>0</v>
      </c>
      <c r="AQ584" s="88">
        <f>SUMIF(月間集計シート!$M$113:$M$132,$G584,月間集計シート!S$113:S$132)*AQ$2</f>
        <v>0</v>
      </c>
      <c r="AR584" s="88">
        <f>SUMIF(月間集計シート!$M$113:$M$132,$G584,月間集計シート!T$113:T$132)*AR$2</f>
        <v>0</v>
      </c>
      <c r="AS584" s="88">
        <f>SUMIF(月間集計シート!$M$134:$M$153,$G584,月間集計シート!N$134:N$153)*AS$2</f>
        <v>0</v>
      </c>
      <c r="AT584" s="88">
        <f>SUMIF(月間集計シート!$M$134:$M$153,$G584,月間集計シート!O$134:O$153)*AT$2</f>
        <v>0</v>
      </c>
      <c r="AU584" s="88">
        <f>SUMIF(月間集計シート!$M$134:$M$153,$G584,月間集計シート!P$134:P$153)*AU$2</f>
        <v>0</v>
      </c>
      <c r="AV584" s="88">
        <f>SUMIF(月間集計シート!$M$134:$M$153,$G584,月間集計シート!Q$134:Q$153)*AV$2</f>
        <v>0</v>
      </c>
      <c r="AW584" s="88">
        <f>SUMIF(月間集計シート!$M$134:$M$153,$G584,月間集計シート!R$134:R$153)*AW$2</f>
        <v>0</v>
      </c>
      <c r="AX584" s="88">
        <f>SUMIF(月間集計シート!$M$134:$M$153,$G584,月間集計シート!S$134:S$153)*AX$2</f>
        <v>0</v>
      </c>
      <c r="AY584" s="88">
        <f>SUMIF(月間集計シート!$M$134:$M$153,$G584,月間集計シート!T$134:T$153)*AY$2</f>
        <v>0</v>
      </c>
    </row>
    <row r="585" spans="1:51" ht="14.25" thickBot="1">
      <c r="A585">
        <v>7</v>
      </c>
      <c r="B585" s="120">
        <f t="shared" ref="B585:C600" si="257">B584</f>
        <v>0</v>
      </c>
      <c r="C585" s="120" t="str">
        <f t="shared" si="257"/>
        <v/>
      </c>
      <c r="D585" s="137"/>
      <c r="E585" s="150" t="str">
        <f>工種!A67</f>
        <v>90101</v>
      </c>
      <c r="F585" s="119" t="str">
        <f>工種!B67</f>
        <v>管理業務：ﾌﾟﾛｼﾞｪｸﾄ管理</v>
      </c>
      <c r="G585" s="116" t="str">
        <f t="shared" si="254"/>
        <v>090101</v>
      </c>
      <c r="H585" s="88">
        <f t="shared" si="256"/>
        <v>0</v>
      </c>
      <c r="I585" s="132"/>
      <c r="J585" s="88">
        <f>SUMIF(月間集計シート!$M$29:$M$48,$G585,月間集計シート!N$29:N$48)*J$2</f>
        <v>0</v>
      </c>
      <c r="K585" s="88">
        <f>SUMIF(月間集計シート!$M$29:$M$48,$G585,月間集計シート!O$29:O$48)*K$2</f>
        <v>0</v>
      </c>
      <c r="L585" s="88">
        <f>SUMIF(月間集計シート!$M$29:$M$48,$G585,月間集計シート!P$29:P$48)*L$2</f>
        <v>0</v>
      </c>
      <c r="M585" s="88">
        <f>SUMIF(月間集計シート!$M$29:$M$48,$G585,月間集計シート!Q$29:Q$48)*M$2</f>
        <v>0</v>
      </c>
      <c r="N585" s="88">
        <f>SUMIF(月間集計シート!$M$29:$M$48,$G585,月間集計シート!R$29:R$48)*N$2</f>
        <v>0</v>
      </c>
      <c r="O585" s="88">
        <f>SUMIF(月間集計シート!$M$29:$M$48,$G585,月間集計シート!S$29:S$48)*O$2</f>
        <v>0</v>
      </c>
      <c r="P585" s="88">
        <f>SUMIF(月間集計シート!$M$29:$M$48,$G585,月間集計シート!T$29:T$48)*P$2</f>
        <v>0</v>
      </c>
      <c r="Q585" s="88">
        <f>SUMIF(月間集計シート!$M$50:$M$69,$G585,月間集計シート!N$50:N$69)*Q$2</f>
        <v>0</v>
      </c>
      <c r="R585" s="88">
        <f>SUMIF(月間集計シート!$M$50:$M$69,$G585,月間集計シート!O$50:O$69)*R$2</f>
        <v>0</v>
      </c>
      <c r="S585" s="88">
        <f>SUMIF(月間集計シート!$M$50:$M$69,$G585,月間集計シート!P$50:P$69)*S$2</f>
        <v>0</v>
      </c>
      <c r="T585" s="88">
        <f>SUMIF(月間集計シート!$M$50:$M$69,$G585,月間集計シート!Q$50:Q$69)*T$2</f>
        <v>0</v>
      </c>
      <c r="U585" s="88">
        <f>SUMIF(月間集計シート!$M$50:$M$69,$G585,月間集計シート!R$50:R$69)*U$2</f>
        <v>0</v>
      </c>
      <c r="V585" s="88">
        <f>SUMIF(月間集計シート!$M$50:$M$69,$G585,月間集計シート!S$50:S$69)*V$2</f>
        <v>0</v>
      </c>
      <c r="W585" s="88">
        <f>SUMIF(月間集計シート!$M$50:$M$69,$G585,月間集計シート!T$50:T$69)*W$2</f>
        <v>0</v>
      </c>
      <c r="X585" s="88">
        <f>SUMIF(月間集計シート!$M$71:$M$90,$G585,月間集計シート!N$71:N$90)*X$2</f>
        <v>0</v>
      </c>
      <c r="Y585" s="88">
        <f>SUMIF(月間集計シート!$M$71:$M$90,$G585,月間集計シート!O$71:O$90)*Y$2</f>
        <v>0</v>
      </c>
      <c r="Z585" s="88">
        <f>SUMIF(月間集計シート!$M$71:$M$90,$G585,月間集計シート!P$71:P$90)*Z$2</f>
        <v>0</v>
      </c>
      <c r="AA585" s="88">
        <f>SUMIF(月間集計シート!$M$71:$M$90,$G585,月間集計シート!Q$71:Q$90)*AA$2</f>
        <v>0</v>
      </c>
      <c r="AB585" s="88">
        <f>SUMIF(月間集計シート!$M$71:$M$90,$G585,月間集計シート!R$71:R$90)*AB$2</f>
        <v>0</v>
      </c>
      <c r="AC585" s="88">
        <f>SUMIF(月間集計シート!$M$71:$M$90,$G585,月間集計シート!S$71:S$90)*AC$2</f>
        <v>0</v>
      </c>
      <c r="AD585" s="88">
        <f>SUMIF(月間集計シート!$M$71:$M$90,$G585,月間集計シート!T$71:T$90)*AD$2</f>
        <v>0</v>
      </c>
      <c r="AE585" s="88">
        <f>SUMIF(月間集計シート!$M$92:$M$111,$G585,月間集計シート!N$92:N$111)*AE$2</f>
        <v>0</v>
      </c>
      <c r="AF585" s="88">
        <f>SUMIF(月間集計シート!$M$92:$M$111,$G585,月間集計シート!O$92:O$111)*AF$2</f>
        <v>0</v>
      </c>
      <c r="AG585" s="88">
        <f>SUMIF(月間集計シート!$M$92:$M$111,$G585,月間集計シート!P$92:P$111)*AG$2</f>
        <v>0</v>
      </c>
      <c r="AH585" s="88">
        <f>SUMIF(月間集計シート!$M$92:$M$111,$G585,月間集計シート!Q$92:Q$111)*AH$2</f>
        <v>0</v>
      </c>
      <c r="AI585" s="88">
        <f>SUMIF(月間集計シート!$M$92:$M$111,$G585,月間集計シート!R$92:R$111)*AI$2</f>
        <v>0</v>
      </c>
      <c r="AJ585" s="88">
        <f>SUMIF(月間集計シート!$M$92:$M$111,$G585,月間集計シート!S$92:S$111)*AJ$2</f>
        <v>0</v>
      </c>
      <c r="AK585" s="88">
        <f>SUMIF(月間集計シート!$M$92:$M$111,$G585,月間集計シート!T$92:T$111)*AK$2</f>
        <v>0</v>
      </c>
      <c r="AL585" s="88">
        <f>SUMIF(月間集計シート!$M$113:$M$132,$G585,月間集計シート!N$113:N$132)*AL$2</f>
        <v>0</v>
      </c>
      <c r="AM585" s="88">
        <f>SUMIF(月間集計シート!$M$113:$M$132,$G585,月間集計シート!O$113:O$132)*AM$2</f>
        <v>0</v>
      </c>
      <c r="AN585" s="88">
        <f>SUMIF(月間集計シート!$M$113:$M$132,$G585,月間集計シート!P$113:P$132)*AN$2</f>
        <v>0</v>
      </c>
      <c r="AO585" s="88">
        <f>SUMIF(月間集計シート!$M$113:$M$132,$G585,月間集計シート!Q$113:Q$132)*AO$2</f>
        <v>0</v>
      </c>
      <c r="AP585" s="88">
        <f>SUMIF(月間集計シート!$M$113:$M$132,$G585,月間集計シート!R$113:R$132)*AP$2</f>
        <v>0</v>
      </c>
      <c r="AQ585" s="88">
        <f>SUMIF(月間集計シート!$M$113:$M$132,$G585,月間集計シート!S$113:S$132)*AQ$2</f>
        <v>0</v>
      </c>
      <c r="AR585" s="88">
        <f>SUMIF(月間集計シート!$M$113:$M$132,$G585,月間集計シート!T$113:T$132)*AR$2</f>
        <v>0</v>
      </c>
      <c r="AS585" s="88">
        <f>SUMIF(月間集計シート!$M$134:$M$153,$G585,月間集計シート!N$134:N$153)*AS$2</f>
        <v>0</v>
      </c>
      <c r="AT585" s="88">
        <f>SUMIF(月間集計シート!$M$134:$M$153,$G585,月間集計シート!O$134:O$153)*AT$2</f>
        <v>0</v>
      </c>
      <c r="AU585" s="88">
        <f>SUMIF(月間集計シート!$M$134:$M$153,$G585,月間集計シート!P$134:P$153)*AU$2</f>
        <v>0</v>
      </c>
      <c r="AV585" s="88">
        <f>SUMIF(月間集計シート!$M$134:$M$153,$G585,月間集計シート!Q$134:Q$153)*AV$2</f>
        <v>0</v>
      </c>
      <c r="AW585" s="88">
        <f>SUMIF(月間集計シート!$M$134:$M$153,$G585,月間集計シート!R$134:R$153)*AW$2</f>
        <v>0</v>
      </c>
      <c r="AX585" s="88">
        <f>SUMIF(月間集計シート!$M$134:$M$153,$G585,月間集計シート!S$134:S$153)*AX$2</f>
        <v>0</v>
      </c>
      <c r="AY585" s="88">
        <f>SUMIF(月間集計シート!$M$134:$M$153,$G585,月間集計シート!T$134:T$153)*AY$2</f>
        <v>0</v>
      </c>
    </row>
    <row r="586" spans="1:51" ht="14.25" thickBot="1">
      <c r="A586">
        <v>7</v>
      </c>
      <c r="B586" s="120">
        <f t="shared" si="257"/>
        <v>0</v>
      </c>
      <c r="C586" s="120" t="str">
        <f t="shared" si="257"/>
        <v/>
      </c>
      <c r="D586" s="137"/>
      <c r="E586" s="150" t="str">
        <f>工種!A68</f>
        <v>90102</v>
      </c>
      <c r="F586" s="119" t="str">
        <f>工種!B68</f>
        <v>管理業務：開発環境管理</v>
      </c>
      <c r="G586" s="116" t="str">
        <f t="shared" si="254"/>
        <v>090102</v>
      </c>
      <c r="H586" s="88">
        <f t="shared" si="256"/>
        <v>0</v>
      </c>
      <c r="I586" s="132"/>
      <c r="J586" s="88">
        <f>SUMIF(月間集計シート!$M$29:$M$48,$G586,月間集計シート!N$29:N$48)*J$2</f>
        <v>0</v>
      </c>
      <c r="K586" s="88">
        <f>SUMIF(月間集計シート!$M$29:$M$48,$G586,月間集計シート!O$29:O$48)*K$2</f>
        <v>0</v>
      </c>
      <c r="L586" s="88">
        <f>SUMIF(月間集計シート!$M$29:$M$48,$G586,月間集計シート!P$29:P$48)*L$2</f>
        <v>0</v>
      </c>
      <c r="M586" s="88">
        <f>SUMIF(月間集計シート!$M$29:$M$48,$G586,月間集計シート!Q$29:Q$48)*M$2</f>
        <v>0</v>
      </c>
      <c r="N586" s="88">
        <f>SUMIF(月間集計シート!$M$29:$M$48,$G586,月間集計シート!R$29:R$48)*N$2</f>
        <v>0</v>
      </c>
      <c r="O586" s="88">
        <f>SUMIF(月間集計シート!$M$29:$M$48,$G586,月間集計シート!S$29:S$48)*O$2</f>
        <v>0</v>
      </c>
      <c r="P586" s="88">
        <f>SUMIF(月間集計シート!$M$29:$M$48,$G586,月間集計シート!T$29:T$48)*P$2</f>
        <v>0</v>
      </c>
      <c r="Q586" s="88">
        <f>SUMIF(月間集計シート!$M$50:$M$69,$G586,月間集計シート!N$50:N$69)*Q$2</f>
        <v>0</v>
      </c>
      <c r="R586" s="88">
        <f>SUMIF(月間集計シート!$M$50:$M$69,$G586,月間集計シート!O$50:O$69)*R$2</f>
        <v>0</v>
      </c>
      <c r="S586" s="88">
        <f>SUMIF(月間集計シート!$M$50:$M$69,$G586,月間集計シート!P$50:P$69)*S$2</f>
        <v>0</v>
      </c>
      <c r="T586" s="88">
        <f>SUMIF(月間集計シート!$M$50:$M$69,$G586,月間集計シート!Q$50:Q$69)*T$2</f>
        <v>0</v>
      </c>
      <c r="U586" s="88">
        <f>SUMIF(月間集計シート!$M$50:$M$69,$G586,月間集計シート!R$50:R$69)*U$2</f>
        <v>0</v>
      </c>
      <c r="V586" s="88">
        <f>SUMIF(月間集計シート!$M$50:$M$69,$G586,月間集計シート!S$50:S$69)*V$2</f>
        <v>0</v>
      </c>
      <c r="W586" s="88">
        <f>SUMIF(月間集計シート!$M$50:$M$69,$G586,月間集計シート!T$50:T$69)*W$2</f>
        <v>0</v>
      </c>
      <c r="X586" s="88">
        <f>SUMIF(月間集計シート!$M$71:$M$90,$G586,月間集計シート!N$71:N$90)*X$2</f>
        <v>0</v>
      </c>
      <c r="Y586" s="88">
        <f>SUMIF(月間集計シート!$M$71:$M$90,$G586,月間集計シート!O$71:O$90)*Y$2</f>
        <v>0</v>
      </c>
      <c r="Z586" s="88">
        <f>SUMIF(月間集計シート!$M$71:$M$90,$G586,月間集計シート!P$71:P$90)*Z$2</f>
        <v>0</v>
      </c>
      <c r="AA586" s="88">
        <f>SUMIF(月間集計シート!$M$71:$M$90,$G586,月間集計シート!Q$71:Q$90)*AA$2</f>
        <v>0</v>
      </c>
      <c r="AB586" s="88">
        <f>SUMIF(月間集計シート!$M$71:$M$90,$G586,月間集計シート!R$71:R$90)*AB$2</f>
        <v>0</v>
      </c>
      <c r="AC586" s="88">
        <f>SUMIF(月間集計シート!$M$71:$M$90,$G586,月間集計シート!S$71:S$90)*AC$2</f>
        <v>0</v>
      </c>
      <c r="AD586" s="88">
        <f>SUMIF(月間集計シート!$M$71:$M$90,$G586,月間集計シート!T$71:T$90)*AD$2</f>
        <v>0</v>
      </c>
      <c r="AE586" s="88">
        <f>SUMIF(月間集計シート!$M$92:$M$111,$G586,月間集計シート!N$92:N$111)*AE$2</f>
        <v>0</v>
      </c>
      <c r="AF586" s="88">
        <f>SUMIF(月間集計シート!$M$92:$M$111,$G586,月間集計シート!O$92:O$111)*AF$2</f>
        <v>0</v>
      </c>
      <c r="AG586" s="88">
        <f>SUMIF(月間集計シート!$M$92:$M$111,$G586,月間集計シート!P$92:P$111)*AG$2</f>
        <v>0</v>
      </c>
      <c r="AH586" s="88">
        <f>SUMIF(月間集計シート!$M$92:$M$111,$G586,月間集計シート!Q$92:Q$111)*AH$2</f>
        <v>0</v>
      </c>
      <c r="AI586" s="88">
        <f>SUMIF(月間集計シート!$M$92:$M$111,$G586,月間集計シート!R$92:R$111)*AI$2</f>
        <v>0</v>
      </c>
      <c r="AJ586" s="88">
        <f>SUMIF(月間集計シート!$M$92:$M$111,$G586,月間集計シート!S$92:S$111)*AJ$2</f>
        <v>0</v>
      </c>
      <c r="AK586" s="88">
        <f>SUMIF(月間集計シート!$M$92:$M$111,$G586,月間集計シート!T$92:T$111)*AK$2</f>
        <v>0</v>
      </c>
      <c r="AL586" s="88">
        <f>SUMIF(月間集計シート!$M$113:$M$132,$G586,月間集計シート!N$113:N$132)*AL$2</f>
        <v>0</v>
      </c>
      <c r="AM586" s="88">
        <f>SUMIF(月間集計シート!$M$113:$M$132,$G586,月間集計シート!O$113:O$132)*AM$2</f>
        <v>0</v>
      </c>
      <c r="AN586" s="88">
        <f>SUMIF(月間集計シート!$M$113:$M$132,$G586,月間集計シート!P$113:P$132)*AN$2</f>
        <v>0</v>
      </c>
      <c r="AO586" s="88">
        <f>SUMIF(月間集計シート!$M$113:$M$132,$G586,月間集計シート!Q$113:Q$132)*AO$2</f>
        <v>0</v>
      </c>
      <c r="AP586" s="88">
        <f>SUMIF(月間集計シート!$M$113:$M$132,$G586,月間集計シート!R$113:R$132)*AP$2</f>
        <v>0</v>
      </c>
      <c r="AQ586" s="88">
        <f>SUMIF(月間集計シート!$M$113:$M$132,$G586,月間集計シート!S$113:S$132)*AQ$2</f>
        <v>0</v>
      </c>
      <c r="AR586" s="88">
        <f>SUMIF(月間集計シート!$M$113:$M$132,$G586,月間集計シート!T$113:T$132)*AR$2</f>
        <v>0</v>
      </c>
      <c r="AS586" s="88">
        <f>SUMIF(月間集計シート!$M$134:$M$153,$G586,月間集計シート!N$134:N$153)*AS$2</f>
        <v>0</v>
      </c>
      <c r="AT586" s="88">
        <f>SUMIF(月間集計シート!$M$134:$M$153,$G586,月間集計シート!O$134:O$153)*AT$2</f>
        <v>0</v>
      </c>
      <c r="AU586" s="88">
        <f>SUMIF(月間集計シート!$M$134:$M$153,$G586,月間集計シート!P$134:P$153)*AU$2</f>
        <v>0</v>
      </c>
      <c r="AV586" s="88">
        <f>SUMIF(月間集計シート!$M$134:$M$153,$G586,月間集計シート!Q$134:Q$153)*AV$2</f>
        <v>0</v>
      </c>
      <c r="AW586" s="88">
        <f>SUMIF(月間集計シート!$M$134:$M$153,$G586,月間集計シート!R$134:R$153)*AW$2</f>
        <v>0</v>
      </c>
      <c r="AX586" s="88">
        <f>SUMIF(月間集計シート!$M$134:$M$153,$G586,月間集計シート!S$134:S$153)*AX$2</f>
        <v>0</v>
      </c>
      <c r="AY586" s="88">
        <f>SUMIF(月間集計シート!$M$134:$M$153,$G586,月間集計シート!T$134:T$153)*AY$2</f>
        <v>0</v>
      </c>
    </row>
    <row r="587" spans="1:51" ht="14.25" thickBot="1">
      <c r="A587">
        <v>7</v>
      </c>
      <c r="B587" s="120">
        <f t="shared" si="257"/>
        <v>0</v>
      </c>
      <c r="C587" s="120" t="str">
        <f t="shared" si="257"/>
        <v/>
      </c>
      <c r="D587" s="137"/>
      <c r="E587" s="150" t="str">
        <f>工種!A69</f>
        <v>90103</v>
      </c>
      <c r="F587" s="119" t="str">
        <f>工種!B69</f>
        <v>管理業務：標準化・開発業務改善作業</v>
      </c>
      <c r="G587" s="116" t="str">
        <f t="shared" si="254"/>
        <v>090103</v>
      </c>
      <c r="H587" s="88">
        <f t="shared" si="256"/>
        <v>0</v>
      </c>
      <c r="I587" s="132"/>
      <c r="J587" s="88">
        <f>SUMIF(月間集計シート!$M$29:$M$48,$G587,月間集計シート!N$29:N$48)*J$2</f>
        <v>0</v>
      </c>
      <c r="K587" s="88">
        <f>SUMIF(月間集計シート!$M$29:$M$48,$G587,月間集計シート!O$29:O$48)*K$2</f>
        <v>0</v>
      </c>
      <c r="L587" s="88">
        <f>SUMIF(月間集計シート!$M$29:$M$48,$G587,月間集計シート!P$29:P$48)*L$2</f>
        <v>0</v>
      </c>
      <c r="M587" s="88">
        <f>SUMIF(月間集計シート!$M$29:$M$48,$G587,月間集計シート!Q$29:Q$48)*M$2</f>
        <v>0</v>
      </c>
      <c r="N587" s="88">
        <f>SUMIF(月間集計シート!$M$29:$M$48,$G587,月間集計シート!R$29:R$48)*N$2</f>
        <v>0</v>
      </c>
      <c r="O587" s="88">
        <f>SUMIF(月間集計シート!$M$29:$M$48,$G587,月間集計シート!S$29:S$48)*O$2</f>
        <v>0</v>
      </c>
      <c r="P587" s="88">
        <f>SUMIF(月間集計シート!$M$29:$M$48,$G587,月間集計シート!T$29:T$48)*P$2</f>
        <v>0</v>
      </c>
      <c r="Q587" s="88">
        <f>SUMIF(月間集計シート!$M$50:$M$69,$G587,月間集計シート!N$50:N$69)*Q$2</f>
        <v>0</v>
      </c>
      <c r="R587" s="88">
        <f>SUMIF(月間集計シート!$M$50:$M$69,$G587,月間集計シート!O$50:O$69)*R$2</f>
        <v>0</v>
      </c>
      <c r="S587" s="88">
        <f>SUMIF(月間集計シート!$M$50:$M$69,$G587,月間集計シート!P$50:P$69)*S$2</f>
        <v>0</v>
      </c>
      <c r="T587" s="88">
        <f>SUMIF(月間集計シート!$M$50:$M$69,$G587,月間集計シート!Q$50:Q$69)*T$2</f>
        <v>0</v>
      </c>
      <c r="U587" s="88">
        <f>SUMIF(月間集計シート!$M$50:$M$69,$G587,月間集計シート!R$50:R$69)*U$2</f>
        <v>0</v>
      </c>
      <c r="V587" s="88">
        <f>SUMIF(月間集計シート!$M$50:$M$69,$G587,月間集計シート!S$50:S$69)*V$2</f>
        <v>0</v>
      </c>
      <c r="W587" s="88">
        <f>SUMIF(月間集計シート!$M$50:$M$69,$G587,月間集計シート!T$50:T$69)*W$2</f>
        <v>0</v>
      </c>
      <c r="X587" s="88">
        <f>SUMIF(月間集計シート!$M$71:$M$90,$G587,月間集計シート!N$71:N$90)*X$2</f>
        <v>0</v>
      </c>
      <c r="Y587" s="88">
        <f>SUMIF(月間集計シート!$M$71:$M$90,$G587,月間集計シート!O$71:O$90)*Y$2</f>
        <v>0</v>
      </c>
      <c r="Z587" s="88">
        <f>SUMIF(月間集計シート!$M$71:$M$90,$G587,月間集計シート!P$71:P$90)*Z$2</f>
        <v>0</v>
      </c>
      <c r="AA587" s="88">
        <f>SUMIF(月間集計シート!$M$71:$M$90,$G587,月間集計シート!Q$71:Q$90)*AA$2</f>
        <v>0</v>
      </c>
      <c r="AB587" s="88">
        <f>SUMIF(月間集計シート!$M$71:$M$90,$G587,月間集計シート!R$71:R$90)*AB$2</f>
        <v>0</v>
      </c>
      <c r="AC587" s="88">
        <f>SUMIF(月間集計シート!$M$71:$M$90,$G587,月間集計シート!S$71:S$90)*AC$2</f>
        <v>0</v>
      </c>
      <c r="AD587" s="88">
        <f>SUMIF(月間集計シート!$M$71:$M$90,$G587,月間集計シート!T$71:T$90)*AD$2</f>
        <v>0</v>
      </c>
      <c r="AE587" s="88">
        <f>SUMIF(月間集計シート!$M$92:$M$111,$G587,月間集計シート!N$92:N$111)*AE$2</f>
        <v>0</v>
      </c>
      <c r="AF587" s="88">
        <f>SUMIF(月間集計シート!$M$92:$M$111,$G587,月間集計シート!O$92:O$111)*AF$2</f>
        <v>0</v>
      </c>
      <c r="AG587" s="88">
        <f>SUMIF(月間集計シート!$M$92:$M$111,$G587,月間集計シート!P$92:P$111)*AG$2</f>
        <v>0</v>
      </c>
      <c r="AH587" s="88">
        <f>SUMIF(月間集計シート!$M$92:$M$111,$G587,月間集計シート!Q$92:Q$111)*AH$2</f>
        <v>0</v>
      </c>
      <c r="AI587" s="88">
        <f>SUMIF(月間集計シート!$M$92:$M$111,$G587,月間集計シート!R$92:R$111)*AI$2</f>
        <v>0</v>
      </c>
      <c r="AJ587" s="88">
        <f>SUMIF(月間集計シート!$M$92:$M$111,$G587,月間集計シート!S$92:S$111)*AJ$2</f>
        <v>0</v>
      </c>
      <c r="AK587" s="88">
        <f>SUMIF(月間集計シート!$M$92:$M$111,$G587,月間集計シート!T$92:T$111)*AK$2</f>
        <v>0</v>
      </c>
      <c r="AL587" s="88">
        <f>SUMIF(月間集計シート!$M$113:$M$132,$G587,月間集計シート!N$113:N$132)*AL$2</f>
        <v>0</v>
      </c>
      <c r="AM587" s="88">
        <f>SUMIF(月間集計シート!$M$113:$M$132,$G587,月間集計シート!O$113:O$132)*AM$2</f>
        <v>0</v>
      </c>
      <c r="AN587" s="88">
        <f>SUMIF(月間集計シート!$M$113:$M$132,$G587,月間集計シート!P$113:P$132)*AN$2</f>
        <v>0</v>
      </c>
      <c r="AO587" s="88">
        <f>SUMIF(月間集計シート!$M$113:$M$132,$G587,月間集計シート!Q$113:Q$132)*AO$2</f>
        <v>0</v>
      </c>
      <c r="AP587" s="88">
        <f>SUMIF(月間集計シート!$M$113:$M$132,$G587,月間集計シート!R$113:R$132)*AP$2</f>
        <v>0</v>
      </c>
      <c r="AQ587" s="88">
        <f>SUMIF(月間集計シート!$M$113:$M$132,$G587,月間集計シート!S$113:S$132)*AQ$2</f>
        <v>0</v>
      </c>
      <c r="AR587" s="88">
        <f>SUMIF(月間集計シート!$M$113:$M$132,$G587,月間集計シート!T$113:T$132)*AR$2</f>
        <v>0</v>
      </c>
      <c r="AS587" s="88">
        <f>SUMIF(月間集計シート!$M$134:$M$153,$G587,月間集計シート!N$134:N$153)*AS$2</f>
        <v>0</v>
      </c>
      <c r="AT587" s="88">
        <f>SUMIF(月間集計シート!$M$134:$M$153,$G587,月間集計シート!O$134:O$153)*AT$2</f>
        <v>0</v>
      </c>
      <c r="AU587" s="88">
        <f>SUMIF(月間集計シート!$M$134:$M$153,$G587,月間集計シート!P$134:P$153)*AU$2</f>
        <v>0</v>
      </c>
      <c r="AV587" s="88">
        <f>SUMIF(月間集計シート!$M$134:$M$153,$G587,月間集計シート!Q$134:Q$153)*AV$2</f>
        <v>0</v>
      </c>
      <c r="AW587" s="88">
        <f>SUMIF(月間集計シート!$M$134:$M$153,$G587,月間集計シート!R$134:R$153)*AW$2</f>
        <v>0</v>
      </c>
      <c r="AX587" s="88">
        <f>SUMIF(月間集計シート!$M$134:$M$153,$G587,月間集計シート!S$134:S$153)*AX$2</f>
        <v>0</v>
      </c>
      <c r="AY587" s="88">
        <f>SUMIF(月間集計シート!$M$134:$M$153,$G587,月間集計シート!T$134:T$153)*AY$2</f>
        <v>0</v>
      </c>
    </row>
    <row r="588" spans="1:51" ht="14.25" thickBot="1">
      <c r="A588">
        <v>7</v>
      </c>
      <c r="B588" s="120">
        <f t="shared" si="257"/>
        <v>0</v>
      </c>
      <c r="C588" s="120" t="str">
        <f t="shared" si="257"/>
        <v/>
      </c>
      <c r="D588" s="137"/>
      <c r="E588" s="150" t="str">
        <f>工種!A70</f>
        <v>90104</v>
      </c>
      <c r="F588" s="119" t="str">
        <f>工種!B70</f>
        <v>管理業務：開発業務の引継ぎ</v>
      </c>
      <c r="G588" s="116" t="str">
        <f t="shared" si="254"/>
        <v>090104</v>
      </c>
      <c r="H588" s="88">
        <f t="shared" si="256"/>
        <v>0</v>
      </c>
      <c r="I588" s="132"/>
      <c r="J588" s="88">
        <f>SUMIF(月間集計シート!$M$29:$M$48,$G588,月間集計シート!N$29:N$48)*J$2</f>
        <v>0</v>
      </c>
      <c r="K588" s="88">
        <f>SUMIF(月間集計シート!$M$29:$M$48,$G588,月間集計シート!O$29:O$48)*K$2</f>
        <v>0</v>
      </c>
      <c r="L588" s="88">
        <f>SUMIF(月間集計シート!$M$29:$M$48,$G588,月間集計シート!P$29:P$48)*L$2</f>
        <v>0</v>
      </c>
      <c r="M588" s="88">
        <f>SUMIF(月間集計シート!$M$29:$M$48,$G588,月間集計シート!Q$29:Q$48)*M$2</f>
        <v>0</v>
      </c>
      <c r="N588" s="88">
        <f>SUMIF(月間集計シート!$M$29:$M$48,$G588,月間集計シート!R$29:R$48)*N$2</f>
        <v>0</v>
      </c>
      <c r="O588" s="88">
        <f>SUMIF(月間集計シート!$M$29:$M$48,$G588,月間集計シート!S$29:S$48)*O$2</f>
        <v>0</v>
      </c>
      <c r="P588" s="88">
        <f>SUMIF(月間集計シート!$M$29:$M$48,$G588,月間集計シート!T$29:T$48)*P$2</f>
        <v>0</v>
      </c>
      <c r="Q588" s="88">
        <f>SUMIF(月間集計シート!$M$50:$M$69,$G588,月間集計シート!N$50:N$69)*Q$2</f>
        <v>0</v>
      </c>
      <c r="R588" s="88">
        <f>SUMIF(月間集計シート!$M$50:$M$69,$G588,月間集計シート!O$50:O$69)*R$2</f>
        <v>0</v>
      </c>
      <c r="S588" s="88">
        <f>SUMIF(月間集計シート!$M$50:$M$69,$G588,月間集計シート!P$50:P$69)*S$2</f>
        <v>0</v>
      </c>
      <c r="T588" s="88">
        <f>SUMIF(月間集計シート!$M$50:$M$69,$G588,月間集計シート!Q$50:Q$69)*T$2</f>
        <v>0</v>
      </c>
      <c r="U588" s="88">
        <f>SUMIF(月間集計シート!$M$50:$M$69,$G588,月間集計シート!R$50:R$69)*U$2</f>
        <v>0</v>
      </c>
      <c r="V588" s="88">
        <f>SUMIF(月間集計シート!$M$50:$M$69,$G588,月間集計シート!S$50:S$69)*V$2</f>
        <v>0</v>
      </c>
      <c r="W588" s="88">
        <f>SUMIF(月間集計シート!$M$50:$M$69,$G588,月間集計シート!T$50:T$69)*W$2</f>
        <v>0</v>
      </c>
      <c r="X588" s="88">
        <f>SUMIF(月間集計シート!$M$71:$M$90,$G588,月間集計シート!N$71:N$90)*X$2</f>
        <v>0</v>
      </c>
      <c r="Y588" s="88">
        <f>SUMIF(月間集計シート!$M$71:$M$90,$G588,月間集計シート!O$71:O$90)*Y$2</f>
        <v>0</v>
      </c>
      <c r="Z588" s="88">
        <f>SUMIF(月間集計シート!$M$71:$M$90,$G588,月間集計シート!P$71:P$90)*Z$2</f>
        <v>0</v>
      </c>
      <c r="AA588" s="88">
        <f>SUMIF(月間集計シート!$M$71:$M$90,$G588,月間集計シート!Q$71:Q$90)*AA$2</f>
        <v>0</v>
      </c>
      <c r="AB588" s="88">
        <f>SUMIF(月間集計シート!$M$71:$M$90,$G588,月間集計シート!R$71:R$90)*AB$2</f>
        <v>0</v>
      </c>
      <c r="AC588" s="88">
        <f>SUMIF(月間集計シート!$M$71:$M$90,$G588,月間集計シート!S$71:S$90)*AC$2</f>
        <v>0</v>
      </c>
      <c r="AD588" s="88">
        <f>SUMIF(月間集計シート!$M$71:$M$90,$G588,月間集計シート!T$71:T$90)*AD$2</f>
        <v>0</v>
      </c>
      <c r="AE588" s="88">
        <f>SUMIF(月間集計シート!$M$92:$M$111,$G588,月間集計シート!N$92:N$111)*AE$2</f>
        <v>0</v>
      </c>
      <c r="AF588" s="88">
        <f>SUMIF(月間集計シート!$M$92:$M$111,$G588,月間集計シート!O$92:O$111)*AF$2</f>
        <v>0</v>
      </c>
      <c r="AG588" s="88">
        <f>SUMIF(月間集計シート!$M$92:$M$111,$G588,月間集計シート!P$92:P$111)*AG$2</f>
        <v>0</v>
      </c>
      <c r="AH588" s="88">
        <f>SUMIF(月間集計シート!$M$92:$M$111,$G588,月間集計シート!Q$92:Q$111)*AH$2</f>
        <v>0</v>
      </c>
      <c r="AI588" s="88">
        <f>SUMIF(月間集計シート!$M$92:$M$111,$G588,月間集計シート!R$92:R$111)*AI$2</f>
        <v>0</v>
      </c>
      <c r="AJ588" s="88">
        <f>SUMIF(月間集計シート!$M$92:$M$111,$G588,月間集計シート!S$92:S$111)*AJ$2</f>
        <v>0</v>
      </c>
      <c r="AK588" s="88">
        <f>SUMIF(月間集計シート!$M$92:$M$111,$G588,月間集計シート!T$92:T$111)*AK$2</f>
        <v>0</v>
      </c>
      <c r="AL588" s="88">
        <f>SUMIF(月間集計シート!$M$113:$M$132,$G588,月間集計シート!N$113:N$132)*AL$2</f>
        <v>0</v>
      </c>
      <c r="AM588" s="88">
        <f>SUMIF(月間集計シート!$M$113:$M$132,$G588,月間集計シート!O$113:O$132)*AM$2</f>
        <v>0</v>
      </c>
      <c r="AN588" s="88">
        <f>SUMIF(月間集計シート!$M$113:$M$132,$G588,月間集計シート!P$113:P$132)*AN$2</f>
        <v>0</v>
      </c>
      <c r="AO588" s="88">
        <f>SUMIF(月間集計シート!$M$113:$M$132,$G588,月間集計シート!Q$113:Q$132)*AO$2</f>
        <v>0</v>
      </c>
      <c r="AP588" s="88">
        <f>SUMIF(月間集計シート!$M$113:$M$132,$G588,月間集計シート!R$113:R$132)*AP$2</f>
        <v>0</v>
      </c>
      <c r="AQ588" s="88">
        <f>SUMIF(月間集計シート!$M$113:$M$132,$G588,月間集計シート!S$113:S$132)*AQ$2</f>
        <v>0</v>
      </c>
      <c r="AR588" s="88">
        <f>SUMIF(月間集計シート!$M$113:$M$132,$G588,月間集計シート!T$113:T$132)*AR$2</f>
        <v>0</v>
      </c>
      <c r="AS588" s="88">
        <f>SUMIF(月間集計シート!$M$134:$M$153,$G588,月間集計シート!N$134:N$153)*AS$2</f>
        <v>0</v>
      </c>
      <c r="AT588" s="88">
        <f>SUMIF(月間集計シート!$M$134:$M$153,$G588,月間集計シート!O$134:O$153)*AT$2</f>
        <v>0</v>
      </c>
      <c r="AU588" s="88">
        <f>SUMIF(月間集計シート!$M$134:$M$153,$G588,月間集計シート!P$134:P$153)*AU$2</f>
        <v>0</v>
      </c>
      <c r="AV588" s="88">
        <f>SUMIF(月間集計シート!$M$134:$M$153,$G588,月間集計シート!Q$134:Q$153)*AV$2</f>
        <v>0</v>
      </c>
      <c r="AW588" s="88">
        <f>SUMIF(月間集計シート!$M$134:$M$153,$G588,月間集計シート!R$134:R$153)*AW$2</f>
        <v>0</v>
      </c>
      <c r="AX588" s="88">
        <f>SUMIF(月間集計シート!$M$134:$M$153,$G588,月間集計シート!S$134:S$153)*AX$2</f>
        <v>0</v>
      </c>
      <c r="AY588" s="88">
        <f>SUMIF(月間集計シート!$M$134:$M$153,$G588,月間集計シート!T$134:T$153)*AY$2</f>
        <v>0</v>
      </c>
    </row>
    <row r="589" spans="1:51" ht="14.25" thickBot="1">
      <c r="A589">
        <v>7</v>
      </c>
      <c r="B589" s="120">
        <f t="shared" si="257"/>
        <v>0</v>
      </c>
      <c r="C589" s="120" t="str">
        <f t="shared" si="257"/>
        <v/>
      </c>
      <c r="D589" s="137"/>
      <c r="E589" s="150" t="str">
        <f>工種!A71</f>
        <v>90105</v>
      </c>
      <c r="F589" s="119" t="str">
        <f>工種!B71</f>
        <v>管理業務：SRB管理</v>
      </c>
      <c r="G589" s="116" t="str">
        <f t="shared" si="254"/>
        <v>090105</v>
      </c>
      <c r="H589" s="88">
        <f t="shared" si="256"/>
        <v>0</v>
      </c>
      <c r="I589" s="132"/>
      <c r="J589" s="88">
        <f>SUMIF(月間集計シート!$M$29:$M$48,$G589,月間集計シート!N$29:N$48)*J$2</f>
        <v>0</v>
      </c>
      <c r="K589" s="88">
        <f>SUMIF(月間集計シート!$M$29:$M$48,$G589,月間集計シート!O$29:O$48)*K$2</f>
        <v>0</v>
      </c>
      <c r="L589" s="88">
        <f>SUMIF(月間集計シート!$M$29:$M$48,$G589,月間集計シート!P$29:P$48)*L$2</f>
        <v>0</v>
      </c>
      <c r="M589" s="88">
        <f>SUMIF(月間集計シート!$M$29:$M$48,$G589,月間集計シート!Q$29:Q$48)*M$2</f>
        <v>0</v>
      </c>
      <c r="N589" s="88">
        <f>SUMIF(月間集計シート!$M$29:$M$48,$G589,月間集計シート!R$29:R$48)*N$2</f>
        <v>0</v>
      </c>
      <c r="O589" s="88">
        <f>SUMIF(月間集計シート!$M$29:$M$48,$G589,月間集計シート!S$29:S$48)*O$2</f>
        <v>0</v>
      </c>
      <c r="P589" s="88">
        <f>SUMIF(月間集計シート!$M$29:$M$48,$G589,月間集計シート!T$29:T$48)*P$2</f>
        <v>0</v>
      </c>
      <c r="Q589" s="88">
        <f>SUMIF(月間集計シート!$M$50:$M$69,$G589,月間集計シート!N$50:N$69)*Q$2</f>
        <v>0</v>
      </c>
      <c r="R589" s="88">
        <f>SUMIF(月間集計シート!$M$50:$M$69,$G589,月間集計シート!O$50:O$69)*R$2</f>
        <v>0</v>
      </c>
      <c r="S589" s="88">
        <f>SUMIF(月間集計シート!$M$50:$M$69,$G589,月間集計シート!P$50:P$69)*S$2</f>
        <v>0</v>
      </c>
      <c r="T589" s="88">
        <f>SUMIF(月間集計シート!$M$50:$M$69,$G589,月間集計シート!Q$50:Q$69)*T$2</f>
        <v>0</v>
      </c>
      <c r="U589" s="88">
        <f>SUMIF(月間集計シート!$M$50:$M$69,$G589,月間集計シート!R$50:R$69)*U$2</f>
        <v>0</v>
      </c>
      <c r="V589" s="88">
        <f>SUMIF(月間集計シート!$M$50:$M$69,$G589,月間集計シート!S$50:S$69)*V$2</f>
        <v>0</v>
      </c>
      <c r="W589" s="88">
        <f>SUMIF(月間集計シート!$M$50:$M$69,$G589,月間集計シート!T$50:T$69)*W$2</f>
        <v>0</v>
      </c>
      <c r="X589" s="88">
        <f>SUMIF(月間集計シート!$M$71:$M$90,$G589,月間集計シート!N$71:N$90)*X$2</f>
        <v>0</v>
      </c>
      <c r="Y589" s="88">
        <f>SUMIF(月間集計シート!$M$71:$M$90,$G589,月間集計シート!O$71:O$90)*Y$2</f>
        <v>0</v>
      </c>
      <c r="Z589" s="88">
        <f>SUMIF(月間集計シート!$M$71:$M$90,$G589,月間集計シート!P$71:P$90)*Z$2</f>
        <v>0</v>
      </c>
      <c r="AA589" s="88">
        <f>SUMIF(月間集計シート!$M$71:$M$90,$G589,月間集計シート!Q$71:Q$90)*AA$2</f>
        <v>0</v>
      </c>
      <c r="AB589" s="88">
        <f>SUMIF(月間集計シート!$M$71:$M$90,$G589,月間集計シート!R$71:R$90)*AB$2</f>
        <v>0</v>
      </c>
      <c r="AC589" s="88">
        <f>SUMIF(月間集計シート!$M$71:$M$90,$G589,月間集計シート!S$71:S$90)*AC$2</f>
        <v>0</v>
      </c>
      <c r="AD589" s="88">
        <f>SUMIF(月間集計シート!$M$71:$M$90,$G589,月間集計シート!T$71:T$90)*AD$2</f>
        <v>0</v>
      </c>
      <c r="AE589" s="88">
        <f>SUMIF(月間集計シート!$M$92:$M$111,$G589,月間集計シート!N$92:N$111)*AE$2</f>
        <v>0</v>
      </c>
      <c r="AF589" s="88">
        <f>SUMIF(月間集計シート!$M$92:$M$111,$G589,月間集計シート!O$92:O$111)*AF$2</f>
        <v>0</v>
      </c>
      <c r="AG589" s="88">
        <f>SUMIF(月間集計シート!$M$92:$M$111,$G589,月間集計シート!P$92:P$111)*AG$2</f>
        <v>0</v>
      </c>
      <c r="AH589" s="88">
        <f>SUMIF(月間集計シート!$M$92:$M$111,$G589,月間集計シート!Q$92:Q$111)*AH$2</f>
        <v>0</v>
      </c>
      <c r="AI589" s="88">
        <f>SUMIF(月間集計シート!$M$92:$M$111,$G589,月間集計シート!R$92:R$111)*AI$2</f>
        <v>0</v>
      </c>
      <c r="AJ589" s="88">
        <f>SUMIF(月間集計シート!$M$92:$M$111,$G589,月間集計シート!S$92:S$111)*AJ$2</f>
        <v>0</v>
      </c>
      <c r="AK589" s="88">
        <f>SUMIF(月間集計シート!$M$92:$M$111,$G589,月間集計シート!T$92:T$111)*AK$2</f>
        <v>0</v>
      </c>
      <c r="AL589" s="88">
        <f>SUMIF(月間集計シート!$M$113:$M$132,$G589,月間集計シート!N$113:N$132)*AL$2</f>
        <v>0</v>
      </c>
      <c r="AM589" s="88">
        <f>SUMIF(月間集計シート!$M$113:$M$132,$G589,月間集計シート!O$113:O$132)*AM$2</f>
        <v>0</v>
      </c>
      <c r="AN589" s="88">
        <f>SUMIF(月間集計シート!$M$113:$M$132,$G589,月間集計シート!P$113:P$132)*AN$2</f>
        <v>0</v>
      </c>
      <c r="AO589" s="88">
        <f>SUMIF(月間集計シート!$M$113:$M$132,$G589,月間集計シート!Q$113:Q$132)*AO$2</f>
        <v>0</v>
      </c>
      <c r="AP589" s="88">
        <f>SUMIF(月間集計シート!$M$113:$M$132,$G589,月間集計シート!R$113:R$132)*AP$2</f>
        <v>0</v>
      </c>
      <c r="AQ589" s="88">
        <f>SUMIF(月間集計シート!$M$113:$M$132,$G589,月間集計シート!S$113:S$132)*AQ$2</f>
        <v>0</v>
      </c>
      <c r="AR589" s="88">
        <f>SUMIF(月間集計シート!$M$113:$M$132,$G589,月間集計シート!T$113:T$132)*AR$2</f>
        <v>0</v>
      </c>
      <c r="AS589" s="88">
        <f>SUMIF(月間集計シート!$M$134:$M$153,$G589,月間集計シート!N$134:N$153)*AS$2</f>
        <v>0</v>
      </c>
      <c r="AT589" s="88">
        <f>SUMIF(月間集計シート!$M$134:$M$153,$G589,月間集計シート!O$134:O$153)*AT$2</f>
        <v>0</v>
      </c>
      <c r="AU589" s="88">
        <f>SUMIF(月間集計シート!$M$134:$M$153,$G589,月間集計シート!P$134:P$153)*AU$2</f>
        <v>0</v>
      </c>
      <c r="AV589" s="88">
        <f>SUMIF(月間集計シート!$M$134:$M$153,$G589,月間集計シート!Q$134:Q$153)*AV$2</f>
        <v>0</v>
      </c>
      <c r="AW589" s="88">
        <f>SUMIF(月間集計シート!$M$134:$M$153,$G589,月間集計シート!R$134:R$153)*AW$2</f>
        <v>0</v>
      </c>
      <c r="AX589" s="88">
        <f>SUMIF(月間集計シート!$M$134:$M$153,$G589,月間集計シート!S$134:S$153)*AX$2</f>
        <v>0</v>
      </c>
      <c r="AY589" s="88">
        <f>SUMIF(月間集計シート!$M$134:$M$153,$G589,月間集計シート!T$134:T$153)*AY$2</f>
        <v>0</v>
      </c>
    </row>
    <row r="590" spans="1:51" ht="14.25" thickBot="1">
      <c r="A590">
        <v>7</v>
      </c>
      <c r="B590" s="120">
        <f t="shared" si="257"/>
        <v>0</v>
      </c>
      <c r="C590" s="120" t="str">
        <f t="shared" si="257"/>
        <v/>
      </c>
      <c r="D590" s="137"/>
      <c r="E590" s="150" t="str">
        <f>工種!A72</f>
        <v>90107</v>
      </c>
      <c r="F590" s="119" t="str">
        <f>工種!B72</f>
        <v>管理業務：開発事務作業</v>
      </c>
      <c r="G590" s="116" t="str">
        <f t="shared" si="254"/>
        <v>090107</v>
      </c>
      <c r="H590" s="88">
        <f t="shared" si="256"/>
        <v>0</v>
      </c>
      <c r="I590" s="132"/>
      <c r="J590" s="88">
        <f>SUMIF(月間集計シート!$M$29:$M$48,$G590,月間集計シート!N$29:N$48)*J$2</f>
        <v>0</v>
      </c>
      <c r="K590" s="88">
        <f>SUMIF(月間集計シート!$M$29:$M$48,$G590,月間集計シート!O$29:O$48)*K$2</f>
        <v>0</v>
      </c>
      <c r="L590" s="88">
        <f>SUMIF(月間集計シート!$M$29:$M$48,$G590,月間集計シート!P$29:P$48)*L$2</f>
        <v>0</v>
      </c>
      <c r="M590" s="88">
        <f>SUMIF(月間集計シート!$M$29:$M$48,$G590,月間集計シート!Q$29:Q$48)*M$2</f>
        <v>0</v>
      </c>
      <c r="N590" s="88">
        <f>SUMIF(月間集計シート!$M$29:$M$48,$G590,月間集計シート!R$29:R$48)*N$2</f>
        <v>0</v>
      </c>
      <c r="O590" s="88">
        <f>SUMIF(月間集計シート!$M$29:$M$48,$G590,月間集計シート!S$29:S$48)*O$2</f>
        <v>0</v>
      </c>
      <c r="P590" s="88">
        <f>SUMIF(月間集計シート!$M$29:$M$48,$G590,月間集計シート!T$29:T$48)*P$2</f>
        <v>0</v>
      </c>
      <c r="Q590" s="88">
        <f>SUMIF(月間集計シート!$M$50:$M$69,$G590,月間集計シート!N$50:N$69)*Q$2</f>
        <v>0</v>
      </c>
      <c r="R590" s="88">
        <f>SUMIF(月間集計シート!$M$50:$M$69,$G590,月間集計シート!O$50:O$69)*R$2</f>
        <v>0</v>
      </c>
      <c r="S590" s="88">
        <f>SUMIF(月間集計シート!$M$50:$M$69,$G590,月間集計シート!P$50:P$69)*S$2</f>
        <v>0</v>
      </c>
      <c r="T590" s="88">
        <f>SUMIF(月間集計シート!$M$50:$M$69,$G590,月間集計シート!Q$50:Q$69)*T$2</f>
        <v>0</v>
      </c>
      <c r="U590" s="88">
        <f>SUMIF(月間集計シート!$M$50:$M$69,$G590,月間集計シート!R$50:R$69)*U$2</f>
        <v>0</v>
      </c>
      <c r="V590" s="88">
        <f>SUMIF(月間集計シート!$M$50:$M$69,$G590,月間集計シート!S$50:S$69)*V$2</f>
        <v>0</v>
      </c>
      <c r="W590" s="88">
        <f>SUMIF(月間集計シート!$M$50:$M$69,$G590,月間集計シート!T$50:T$69)*W$2</f>
        <v>0</v>
      </c>
      <c r="X590" s="88">
        <f>SUMIF(月間集計シート!$M$71:$M$90,$G590,月間集計シート!N$71:N$90)*X$2</f>
        <v>0</v>
      </c>
      <c r="Y590" s="88">
        <f>SUMIF(月間集計シート!$M$71:$M$90,$G590,月間集計シート!O$71:O$90)*Y$2</f>
        <v>0</v>
      </c>
      <c r="Z590" s="88">
        <f>SUMIF(月間集計シート!$M$71:$M$90,$G590,月間集計シート!P$71:P$90)*Z$2</f>
        <v>0</v>
      </c>
      <c r="AA590" s="88">
        <f>SUMIF(月間集計シート!$M$71:$M$90,$G590,月間集計シート!Q$71:Q$90)*AA$2</f>
        <v>0</v>
      </c>
      <c r="AB590" s="88">
        <f>SUMIF(月間集計シート!$M$71:$M$90,$G590,月間集計シート!R$71:R$90)*AB$2</f>
        <v>0</v>
      </c>
      <c r="AC590" s="88">
        <f>SUMIF(月間集計シート!$M$71:$M$90,$G590,月間集計シート!S$71:S$90)*AC$2</f>
        <v>0</v>
      </c>
      <c r="AD590" s="88">
        <f>SUMIF(月間集計シート!$M$71:$M$90,$G590,月間集計シート!T$71:T$90)*AD$2</f>
        <v>0</v>
      </c>
      <c r="AE590" s="88">
        <f>SUMIF(月間集計シート!$M$92:$M$111,$G590,月間集計シート!N$92:N$111)*AE$2</f>
        <v>0</v>
      </c>
      <c r="AF590" s="88">
        <f>SUMIF(月間集計シート!$M$92:$M$111,$G590,月間集計シート!O$92:O$111)*AF$2</f>
        <v>0</v>
      </c>
      <c r="AG590" s="88">
        <f>SUMIF(月間集計シート!$M$92:$M$111,$G590,月間集計シート!P$92:P$111)*AG$2</f>
        <v>0</v>
      </c>
      <c r="AH590" s="88">
        <f>SUMIF(月間集計シート!$M$92:$M$111,$G590,月間集計シート!Q$92:Q$111)*AH$2</f>
        <v>0</v>
      </c>
      <c r="AI590" s="88">
        <f>SUMIF(月間集計シート!$M$92:$M$111,$G590,月間集計シート!R$92:R$111)*AI$2</f>
        <v>0</v>
      </c>
      <c r="AJ590" s="88">
        <f>SUMIF(月間集計シート!$M$92:$M$111,$G590,月間集計シート!S$92:S$111)*AJ$2</f>
        <v>0</v>
      </c>
      <c r="AK590" s="88">
        <f>SUMIF(月間集計シート!$M$92:$M$111,$G590,月間集計シート!T$92:T$111)*AK$2</f>
        <v>0</v>
      </c>
      <c r="AL590" s="88">
        <f>SUMIF(月間集計シート!$M$113:$M$132,$G590,月間集計シート!N$113:N$132)*AL$2</f>
        <v>0</v>
      </c>
      <c r="AM590" s="88">
        <f>SUMIF(月間集計シート!$M$113:$M$132,$G590,月間集計シート!O$113:O$132)*AM$2</f>
        <v>0</v>
      </c>
      <c r="AN590" s="88">
        <f>SUMIF(月間集計シート!$M$113:$M$132,$G590,月間集計シート!P$113:P$132)*AN$2</f>
        <v>0</v>
      </c>
      <c r="AO590" s="88">
        <f>SUMIF(月間集計シート!$M$113:$M$132,$G590,月間集計シート!Q$113:Q$132)*AO$2</f>
        <v>0</v>
      </c>
      <c r="AP590" s="88">
        <f>SUMIF(月間集計シート!$M$113:$M$132,$G590,月間集計シート!R$113:R$132)*AP$2</f>
        <v>0</v>
      </c>
      <c r="AQ590" s="88">
        <f>SUMIF(月間集計シート!$M$113:$M$132,$G590,月間集計シート!S$113:S$132)*AQ$2</f>
        <v>0</v>
      </c>
      <c r="AR590" s="88">
        <f>SUMIF(月間集計シート!$M$113:$M$132,$G590,月間集計シート!T$113:T$132)*AR$2</f>
        <v>0</v>
      </c>
      <c r="AS590" s="88">
        <f>SUMIF(月間集計シート!$M$134:$M$153,$G590,月間集計シート!N$134:N$153)*AS$2</f>
        <v>0</v>
      </c>
      <c r="AT590" s="88">
        <f>SUMIF(月間集計シート!$M$134:$M$153,$G590,月間集計シート!O$134:O$153)*AT$2</f>
        <v>0</v>
      </c>
      <c r="AU590" s="88">
        <f>SUMIF(月間集計シート!$M$134:$M$153,$G590,月間集計シート!P$134:P$153)*AU$2</f>
        <v>0</v>
      </c>
      <c r="AV590" s="88">
        <f>SUMIF(月間集計シート!$M$134:$M$153,$G590,月間集計シート!Q$134:Q$153)*AV$2</f>
        <v>0</v>
      </c>
      <c r="AW590" s="88">
        <f>SUMIF(月間集計シート!$M$134:$M$153,$G590,月間集計シート!R$134:R$153)*AW$2</f>
        <v>0</v>
      </c>
      <c r="AX590" s="88">
        <f>SUMIF(月間集計シート!$M$134:$M$153,$G590,月間集計シート!S$134:S$153)*AX$2</f>
        <v>0</v>
      </c>
      <c r="AY590" s="88">
        <f>SUMIF(月間集計シート!$M$134:$M$153,$G590,月間集計シート!T$134:T$153)*AY$2</f>
        <v>0</v>
      </c>
    </row>
    <row r="591" spans="1:51" ht="14.25" thickBot="1">
      <c r="A591">
        <v>7</v>
      </c>
      <c r="B591" s="120">
        <f t="shared" si="257"/>
        <v>0</v>
      </c>
      <c r="C591" s="120" t="str">
        <f t="shared" si="257"/>
        <v/>
      </c>
      <c r="D591" s="137"/>
      <c r="E591" s="150" t="str">
        <f>工種!A73</f>
        <v>90108</v>
      </c>
      <c r="F591" s="119" t="str">
        <f>工種!B73</f>
        <v>管理業務：外部不具合分析</v>
      </c>
      <c r="G591" s="116" t="str">
        <f t="shared" si="254"/>
        <v>090108</v>
      </c>
      <c r="H591" s="88">
        <f t="shared" si="256"/>
        <v>0</v>
      </c>
      <c r="I591" s="132"/>
      <c r="J591" s="88">
        <f>SUMIF(月間集計シート!$M$29:$M$48,$G591,月間集計シート!N$29:N$48)*J$2</f>
        <v>0</v>
      </c>
      <c r="K591" s="88">
        <f>SUMIF(月間集計シート!$M$29:$M$48,$G591,月間集計シート!O$29:O$48)*K$2</f>
        <v>0</v>
      </c>
      <c r="L591" s="88">
        <f>SUMIF(月間集計シート!$M$29:$M$48,$G591,月間集計シート!P$29:P$48)*L$2</f>
        <v>0</v>
      </c>
      <c r="M591" s="88">
        <f>SUMIF(月間集計シート!$M$29:$M$48,$G591,月間集計シート!Q$29:Q$48)*M$2</f>
        <v>0</v>
      </c>
      <c r="N591" s="88">
        <f>SUMIF(月間集計シート!$M$29:$M$48,$G591,月間集計シート!R$29:R$48)*N$2</f>
        <v>0</v>
      </c>
      <c r="O591" s="88">
        <f>SUMIF(月間集計シート!$M$29:$M$48,$G591,月間集計シート!S$29:S$48)*O$2</f>
        <v>0</v>
      </c>
      <c r="P591" s="88">
        <f>SUMIF(月間集計シート!$M$29:$M$48,$G591,月間集計シート!T$29:T$48)*P$2</f>
        <v>0</v>
      </c>
      <c r="Q591" s="88">
        <f>SUMIF(月間集計シート!$M$50:$M$69,$G591,月間集計シート!N$50:N$69)*Q$2</f>
        <v>0</v>
      </c>
      <c r="R591" s="88">
        <f>SUMIF(月間集計シート!$M$50:$M$69,$G591,月間集計シート!O$50:O$69)*R$2</f>
        <v>0</v>
      </c>
      <c r="S591" s="88">
        <f>SUMIF(月間集計シート!$M$50:$M$69,$G591,月間集計シート!P$50:P$69)*S$2</f>
        <v>0</v>
      </c>
      <c r="T591" s="88">
        <f>SUMIF(月間集計シート!$M$50:$M$69,$G591,月間集計シート!Q$50:Q$69)*T$2</f>
        <v>0</v>
      </c>
      <c r="U591" s="88">
        <f>SUMIF(月間集計シート!$M$50:$M$69,$G591,月間集計シート!R$50:R$69)*U$2</f>
        <v>0</v>
      </c>
      <c r="V591" s="88">
        <f>SUMIF(月間集計シート!$M$50:$M$69,$G591,月間集計シート!S$50:S$69)*V$2</f>
        <v>0</v>
      </c>
      <c r="W591" s="88">
        <f>SUMIF(月間集計シート!$M$50:$M$69,$G591,月間集計シート!T$50:T$69)*W$2</f>
        <v>0</v>
      </c>
      <c r="X591" s="88">
        <f>SUMIF(月間集計シート!$M$71:$M$90,$G591,月間集計シート!N$71:N$90)*X$2</f>
        <v>0</v>
      </c>
      <c r="Y591" s="88">
        <f>SUMIF(月間集計シート!$M$71:$M$90,$G591,月間集計シート!O$71:O$90)*Y$2</f>
        <v>0</v>
      </c>
      <c r="Z591" s="88">
        <f>SUMIF(月間集計シート!$M$71:$M$90,$G591,月間集計シート!P$71:P$90)*Z$2</f>
        <v>0</v>
      </c>
      <c r="AA591" s="88">
        <f>SUMIF(月間集計シート!$M$71:$M$90,$G591,月間集計シート!Q$71:Q$90)*AA$2</f>
        <v>0</v>
      </c>
      <c r="AB591" s="88">
        <f>SUMIF(月間集計シート!$M$71:$M$90,$G591,月間集計シート!R$71:R$90)*AB$2</f>
        <v>0</v>
      </c>
      <c r="AC591" s="88">
        <f>SUMIF(月間集計シート!$M$71:$M$90,$G591,月間集計シート!S$71:S$90)*AC$2</f>
        <v>0</v>
      </c>
      <c r="AD591" s="88">
        <f>SUMIF(月間集計シート!$M$71:$M$90,$G591,月間集計シート!T$71:T$90)*AD$2</f>
        <v>0</v>
      </c>
      <c r="AE591" s="88">
        <f>SUMIF(月間集計シート!$M$92:$M$111,$G591,月間集計シート!N$92:N$111)*AE$2</f>
        <v>0</v>
      </c>
      <c r="AF591" s="88">
        <f>SUMIF(月間集計シート!$M$92:$M$111,$G591,月間集計シート!O$92:O$111)*AF$2</f>
        <v>0</v>
      </c>
      <c r="AG591" s="88">
        <f>SUMIF(月間集計シート!$M$92:$M$111,$G591,月間集計シート!P$92:P$111)*AG$2</f>
        <v>0</v>
      </c>
      <c r="AH591" s="88">
        <f>SUMIF(月間集計シート!$M$92:$M$111,$G591,月間集計シート!Q$92:Q$111)*AH$2</f>
        <v>0</v>
      </c>
      <c r="AI591" s="88">
        <f>SUMIF(月間集計シート!$M$92:$M$111,$G591,月間集計シート!R$92:R$111)*AI$2</f>
        <v>0</v>
      </c>
      <c r="AJ591" s="88">
        <f>SUMIF(月間集計シート!$M$92:$M$111,$G591,月間集計シート!S$92:S$111)*AJ$2</f>
        <v>0</v>
      </c>
      <c r="AK591" s="88">
        <f>SUMIF(月間集計シート!$M$92:$M$111,$G591,月間集計シート!T$92:T$111)*AK$2</f>
        <v>0</v>
      </c>
      <c r="AL591" s="88">
        <f>SUMIF(月間集計シート!$M$113:$M$132,$G591,月間集計シート!N$113:N$132)*AL$2</f>
        <v>0</v>
      </c>
      <c r="AM591" s="88">
        <f>SUMIF(月間集計シート!$M$113:$M$132,$G591,月間集計シート!O$113:O$132)*AM$2</f>
        <v>0</v>
      </c>
      <c r="AN591" s="88">
        <f>SUMIF(月間集計シート!$M$113:$M$132,$G591,月間集計シート!P$113:P$132)*AN$2</f>
        <v>0</v>
      </c>
      <c r="AO591" s="88">
        <f>SUMIF(月間集計シート!$M$113:$M$132,$G591,月間集計シート!Q$113:Q$132)*AO$2</f>
        <v>0</v>
      </c>
      <c r="AP591" s="88">
        <f>SUMIF(月間集計シート!$M$113:$M$132,$G591,月間集計シート!R$113:R$132)*AP$2</f>
        <v>0</v>
      </c>
      <c r="AQ591" s="88">
        <f>SUMIF(月間集計シート!$M$113:$M$132,$G591,月間集計シート!S$113:S$132)*AQ$2</f>
        <v>0</v>
      </c>
      <c r="AR591" s="88">
        <f>SUMIF(月間集計シート!$M$113:$M$132,$G591,月間集計シート!T$113:T$132)*AR$2</f>
        <v>0</v>
      </c>
      <c r="AS591" s="88">
        <f>SUMIF(月間集計シート!$M$134:$M$153,$G591,月間集計シート!N$134:N$153)*AS$2</f>
        <v>0</v>
      </c>
      <c r="AT591" s="88">
        <f>SUMIF(月間集計シート!$M$134:$M$153,$G591,月間集計シート!O$134:O$153)*AT$2</f>
        <v>0</v>
      </c>
      <c r="AU591" s="88">
        <f>SUMIF(月間集計シート!$M$134:$M$153,$G591,月間集計シート!P$134:P$153)*AU$2</f>
        <v>0</v>
      </c>
      <c r="AV591" s="88">
        <f>SUMIF(月間集計シート!$M$134:$M$153,$G591,月間集計シート!Q$134:Q$153)*AV$2</f>
        <v>0</v>
      </c>
      <c r="AW591" s="88">
        <f>SUMIF(月間集計シート!$M$134:$M$153,$G591,月間集計シート!R$134:R$153)*AW$2</f>
        <v>0</v>
      </c>
      <c r="AX591" s="88">
        <f>SUMIF(月間集計シート!$M$134:$M$153,$G591,月間集計シート!S$134:S$153)*AX$2</f>
        <v>0</v>
      </c>
      <c r="AY591" s="88">
        <f>SUMIF(月間集計シート!$M$134:$M$153,$G591,月間集計シート!T$134:T$153)*AY$2</f>
        <v>0</v>
      </c>
    </row>
    <row r="592" spans="1:51" ht="14.25" thickBot="1">
      <c r="A592">
        <v>7</v>
      </c>
      <c r="B592" s="120">
        <f t="shared" si="257"/>
        <v>0</v>
      </c>
      <c r="C592" s="120" t="str">
        <f t="shared" si="257"/>
        <v/>
      </c>
      <c r="D592" s="137"/>
      <c r="E592" s="150" t="str">
        <f>工種!A74</f>
        <v>90110</v>
      </c>
      <c r="F592" s="119" t="str">
        <f>工種!B74</f>
        <v>管理業務：打合せ</v>
      </c>
      <c r="G592" s="116" t="str">
        <f t="shared" si="254"/>
        <v>090110</v>
      </c>
      <c r="H592" s="88">
        <f t="shared" si="256"/>
        <v>0</v>
      </c>
      <c r="I592" s="132"/>
      <c r="J592" s="88">
        <f>SUMIF(月間集計シート!$M$29:$M$48,$G592,月間集計シート!N$29:N$48)*J$2</f>
        <v>0</v>
      </c>
      <c r="K592" s="88">
        <f>SUMIF(月間集計シート!$M$29:$M$48,$G592,月間集計シート!O$29:O$48)*K$2</f>
        <v>0</v>
      </c>
      <c r="L592" s="88">
        <f>SUMIF(月間集計シート!$M$29:$M$48,$G592,月間集計シート!P$29:P$48)*L$2</f>
        <v>0</v>
      </c>
      <c r="M592" s="88">
        <f>SUMIF(月間集計シート!$M$29:$M$48,$G592,月間集計シート!Q$29:Q$48)*M$2</f>
        <v>0</v>
      </c>
      <c r="N592" s="88">
        <f>SUMIF(月間集計シート!$M$29:$M$48,$G592,月間集計シート!R$29:R$48)*N$2</f>
        <v>0</v>
      </c>
      <c r="O592" s="88">
        <f>SUMIF(月間集計シート!$M$29:$M$48,$G592,月間集計シート!S$29:S$48)*O$2</f>
        <v>0</v>
      </c>
      <c r="P592" s="88">
        <f>SUMIF(月間集計シート!$M$29:$M$48,$G592,月間集計シート!T$29:T$48)*P$2</f>
        <v>0</v>
      </c>
      <c r="Q592" s="88">
        <f>SUMIF(月間集計シート!$M$50:$M$69,$G592,月間集計シート!N$50:N$69)*Q$2</f>
        <v>0</v>
      </c>
      <c r="R592" s="88">
        <f>SUMIF(月間集計シート!$M$50:$M$69,$G592,月間集計シート!O$50:O$69)*R$2</f>
        <v>0</v>
      </c>
      <c r="S592" s="88">
        <f>SUMIF(月間集計シート!$M$50:$M$69,$G592,月間集計シート!P$50:P$69)*S$2</f>
        <v>0</v>
      </c>
      <c r="T592" s="88">
        <f>SUMIF(月間集計シート!$M$50:$M$69,$G592,月間集計シート!Q$50:Q$69)*T$2</f>
        <v>0</v>
      </c>
      <c r="U592" s="88">
        <f>SUMIF(月間集計シート!$M$50:$M$69,$G592,月間集計シート!R$50:R$69)*U$2</f>
        <v>0</v>
      </c>
      <c r="V592" s="88">
        <f>SUMIF(月間集計シート!$M$50:$M$69,$G592,月間集計シート!S$50:S$69)*V$2</f>
        <v>0</v>
      </c>
      <c r="W592" s="88">
        <f>SUMIF(月間集計シート!$M$50:$M$69,$G592,月間集計シート!T$50:T$69)*W$2</f>
        <v>0</v>
      </c>
      <c r="X592" s="88">
        <f>SUMIF(月間集計シート!$M$71:$M$90,$G592,月間集計シート!N$71:N$90)*X$2</f>
        <v>0</v>
      </c>
      <c r="Y592" s="88">
        <f>SUMIF(月間集計シート!$M$71:$M$90,$G592,月間集計シート!O$71:O$90)*Y$2</f>
        <v>0</v>
      </c>
      <c r="Z592" s="88">
        <f>SUMIF(月間集計シート!$M$71:$M$90,$G592,月間集計シート!P$71:P$90)*Z$2</f>
        <v>0</v>
      </c>
      <c r="AA592" s="88">
        <f>SUMIF(月間集計シート!$M$71:$M$90,$G592,月間集計シート!Q$71:Q$90)*AA$2</f>
        <v>0</v>
      </c>
      <c r="AB592" s="88">
        <f>SUMIF(月間集計シート!$M$71:$M$90,$G592,月間集計シート!R$71:R$90)*AB$2</f>
        <v>0</v>
      </c>
      <c r="AC592" s="88">
        <f>SUMIF(月間集計シート!$M$71:$M$90,$G592,月間集計シート!S$71:S$90)*AC$2</f>
        <v>0</v>
      </c>
      <c r="AD592" s="88">
        <f>SUMIF(月間集計シート!$M$71:$M$90,$G592,月間集計シート!T$71:T$90)*AD$2</f>
        <v>0</v>
      </c>
      <c r="AE592" s="88">
        <f>SUMIF(月間集計シート!$M$92:$M$111,$G592,月間集計シート!N$92:N$111)*AE$2</f>
        <v>0</v>
      </c>
      <c r="AF592" s="88">
        <f>SUMIF(月間集計シート!$M$92:$M$111,$G592,月間集計シート!O$92:O$111)*AF$2</f>
        <v>0</v>
      </c>
      <c r="AG592" s="88">
        <f>SUMIF(月間集計シート!$M$92:$M$111,$G592,月間集計シート!P$92:P$111)*AG$2</f>
        <v>0</v>
      </c>
      <c r="AH592" s="88">
        <f>SUMIF(月間集計シート!$M$92:$M$111,$G592,月間集計シート!Q$92:Q$111)*AH$2</f>
        <v>0</v>
      </c>
      <c r="AI592" s="88">
        <f>SUMIF(月間集計シート!$M$92:$M$111,$G592,月間集計シート!R$92:R$111)*AI$2</f>
        <v>0</v>
      </c>
      <c r="AJ592" s="88">
        <f>SUMIF(月間集計シート!$M$92:$M$111,$G592,月間集計シート!S$92:S$111)*AJ$2</f>
        <v>0</v>
      </c>
      <c r="AK592" s="88">
        <f>SUMIF(月間集計シート!$M$92:$M$111,$G592,月間集計シート!T$92:T$111)*AK$2</f>
        <v>0</v>
      </c>
      <c r="AL592" s="88">
        <f>SUMIF(月間集計シート!$M$113:$M$132,$G592,月間集計シート!N$113:N$132)*AL$2</f>
        <v>0</v>
      </c>
      <c r="AM592" s="88">
        <f>SUMIF(月間集計シート!$M$113:$M$132,$G592,月間集計シート!O$113:O$132)*AM$2</f>
        <v>0</v>
      </c>
      <c r="AN592" s="88">
        <f>SUMIF(月間集計シート!$M$113:$M$132,$G592,月間集計シート!P$113:P$132)*AN$2</f>
        <v>0</v>
      </c>
      <c r="AO592" s="88">
        <f>SUMIF(月間集計シート!$M$113:$M$132,$G592,月間集計シート!Q$113:Q$132)*AO$2</f>
        <v>0</v>
      </c>
      <c r="AP592" s="88">
        <f>SUMIF(月間集計シート!$M$113:$M$132,$G592,月間集計シート!R$113:R$132)*AP$2</f>
        <v>0</v>
      </c>
      <c r="AQ592" s="88">
        <f>SUMIF(月間集計シート!$M$113:$M$132,$G592,月間集計シート!S$113:S$132)*AQ$2</f>
        <v>0</v>
      </c>
      <c r="AR592" s="88">
        <f>SUMIF(月間集計シート!$M$113:$M$132,$G592,月間集計シート!T$113:T$132)*AR$2</f>
        <v>0</v>
      </c>
      <c r="AS592" s="88">
        <f>SUMIF(月間集計シート!$M$134:$M$153,$G592,月間集計シート!N$134:N$153)*AS$2</f>
        <v>0</v>
      </c>
      <c r="AT592" s="88">
        <f>SUMIF(月間集計シート!$M$134:$M$153,$G592,月間集計シート!O$134:O$153)*AT$2</f>
        <v>0</v>
      </c>
      <c r="AU592" s="88">
        <f>SUMIF(月間集計シート!$M$134:$M$153,$G592,月間集計シート!P$134:P$153)*AU$2</f>
        <v>0</v>
      </c>
      <c r="AV592" s="88">
        <f>SUMIF(月間集計シート!$M$134:$M$153,$G592,月間集計シート!Q$134:Q$153)*AV$2</f>
        <v>0</v>
      </c>
      <c r="AW592" s="88">
        <f>SUMIF(月間集計シート!$M$134:$M$153,$G592,月間集計シート!R$134:R$153)*AW$2</f>
        <v>0</v>
      </c>
      <c r="AX592" s="88">
        <f>SUMIF(月間集計シート!$M$134:$M$153,$G592,月間集計シート!S$134:S$153)*AX$2</f>
        <v>0</v>
      </c>
      <c r="AY592" s="88">
        <f>SUMIF(月間集計シート!$M$134:$M$153,$G592,月間集計シート!T$134:T$153)*AY$2</f>
        <v>0</v>
      </c>
    </row>
    <row r="593" spans="1:51" ht="14.25" thickBot="1">
      <c r="A593">
        <v>7</v>
      </c>
      <c r="B593" s="120">
        <f t="shared" si="257"/>
        <v>0</v>
      </c>
      <c r="C593" s="120" t="str">
        <f t="shared" si="257"/>
        <v/>
      </c>
      <c r="D593" s="137"/>
      <c r="E593" s="150" t="str">
        <f>工種!A75</f>
        <v>90111</v>
      </c>
      <c r="F593" s="119" t="str">
        <f>工種!B75</f>
        <v>管理業務：レビュー</v>
      </c>
      <c r="G593" s="116" t="str">
        <f t="shared" si="254"/>
        <v>090111</v>
      </c>
      <c r="H593" s="88">
        <f t="shared" si="256"/>
        <v>0</v>
      </c>
      <c r="I593" s="132"/>
      <c r="J593" s="88">
        <f>SUMIF(月間集計シート!$M$29:$M$48,$G593,月間集計シート!N$29:N$48)*J$2</f>
        <v>0</v>
      </c>
      <c r="K593" s="88">
        <f>SUMIF(月間集計シート!$M$29:$M$48,$G593,月間集計シート!O$29:O$48)*K$2</f>
        <v>0</v>
      </c>
      <c r="L593" s="88">
        <f>SUMIF(月間集計シート!$M$29:$M$48,$G593,月間集計シート!P$29:P$48)*L$2</f>
        <v>0</v>
      </c>
      <c r="M593" s="88">
        <f>SUMIF(月間集計シート!$M$29:$M$48,$G593,月間集計シート!Q$29:Q$48)*M$2</f>
        <v>0</v>
      </c>
      <c r="N593" s="88">
        <f>SUMIF(月間集計シート!$M$29:$M$48,$G593,月間集計シート!R$29:R$48)*N$2</f>
        <v>0</v>
      </c>
      <c r="O593" s="88">
        <f>SUMIF(月間集計シート!$M$29:$M$48,$G593,月間集計シート!S$29:S$48)*O$2</f>
        <v>0</v>
      </c>
      <c r="P593" s="88">
        <f>SUMIF(月間集計シート!$M$29:$M$48,$G593,月間集計シート!T$29:T$48)*P$2</f>
        <v>0</v>
      </c>
      <c r="Q593" s="88">
        <f>SUMIF(月間集計シート!$M$50:$M$69,$G593,月間集計シート!N$50:N$69)*Q$2</f>
        <v>0</v>
      </c>
      <c r="R593" s="88">
        <f>SUMIF(月間集計シート!$M$50:$M$69,$G593,月間集計シート!O$50:O$69)*R$2</f>
        <v>0</v>
      </c>
      <c r="S593" s="88">
        <f>SUMIF(月間集計シート!$M$50:$M$69,$G593,月間集計シート!P$50:P$69)*S$2</f>
        <v>0</v>
      </c>
      <c r="T593" s="88">
        <f>SUMIF(月間集計シート!$M$50:$M$69,$G593,月間集計シート!Q$50:Q$69)*T$2</f>
        <v>0</v>
      </c>
      <c r="U593" s="88">
        <f>SUMIF(月間集計シート!$M$50:$M$69,$G593,月間集計シート!R$50:R$69)*U$2</f>
        <v>0</v>
      </c>
      <c r="V593" s="88">
        <f>SUMIF(月間集計シート!$M$50:$M$69,$G593,月間集計シート!S$50:S$69)*V$2</f>
        <v>0</v>
      </c>
      <c r="W593" s="88">
        <f>SUMIF(月間集計シート!$M$50:$M$69,$G593,月間集計シート!T$50:T$69)*W$2</f>
        <v>0</v>
      </c>
      <c r="X593" s="88">
        <f>SUMIF(月間集計シート!$M$71:$M$90,$G593,月間集計シート!N$71:N$90)*X$2</f>
        <v>0</v>
      </c>
      <c r="Y593" s="88">
        <f>SUMIF(月間集計シート!$M$71:$M$90,$G593,月間集計シート!O$71:O$90)*Y$2</f>
        <v>0</v>
      </c>
      <c r="Z593" s="88">
        <f>SUMIF(月間集計シート!$M$71:$M$90,$G593,月間集計シート!P$71:P$90)*Z$2</f>
        <v>0</v>
      </c>
      <c r="AA593" s="88">
        <f>SUMIF(月間集計シート!$M$71:$M$90,$G593,月間集計シート!Q$71:Q$90)*AA$2</f>
        <v>0</v>
      </c>
      <c r="AB593" s="88">
        <f>SUMIF(月間集計シート!$M$71:$M$90,$G593,月間集計シート!R$71:R$90)*AB$2</f>
        <v>0</v>
      </c>
      <c r="AC593" s="88">
        <f>SUMIF(月間集計シート!$M$71:$M$90,$G593,月間集計シート!S$71:S$90)*AC$2</f>
        <v>0</v>
      </c>
      <c r="AD593" s="88">
        <f>SUMIF(月間集計シート!$M$71:$M$90,$G593,月間集計シート!T$71:T$90)*AD$2</f>
        <v>0</v>
      </c>
      <c r="AE593" s="88">
        <f>SUMIF(月間集計シート!$M$92:$M$111,$G593,月間集計シート!N$92:N$111)*AE$2</f>
        <v>0</v>
      </c>
      <c r="AF593" s="88">
        <f>SUMIF(月間集計シート!$M$92:$M$111,$G593,月間集計シート!O$92:O$111)*AF$2</f>
        <v>0</v>
      </c>
      <c r="AG593" s="88">
        <f>SUMIF(月間集計シート!$M$92:$M$111,$G593,月間集計シート!P$92:P$111)*AG$2</f>
        <v>0</v>
      </c>
      <c r="AH593" s="88">
        <f>SUMIF(月間集計シート!$M$92:$M$111,$G593,月間集計シート!Q$92:Q$111)*AH$2</f>
        <v>0</v>
      </c>
      <c r="AI593" s="88">
        <f>SUMIF(月間集計シート!$M$92:$M$111,$G593,月間集計シート!R$92:R$111)*AI$2</f>
        <v>0</v>
      </c>
      <c r="AJ593" s="88">
        <f>SUMIF(月間集計シート!$M$92:$M$111,$G593,月間集計シート!S$92:S$111)*AJ$2</f>
        <v>0</v>
      </c>
      <c r="AK593" s="88">
        <f>SUMIF(月間集計シート!$M$92:$M$111,$G593,月間集計シート!T$92:T$111)*AK$2</f>
        <v>0</v>
      </c>
      <c r="AL593" s="88">
        <f>SUMIF(月間集計シート!$M$113:$M$132,$G593,月間集計シート!N$113:N$132)*AL$2</f>
        <v>0</v>
      </c>
      <c r="AM593" s="88">
        <f>SUMIF(月間集計シート!$M$113:$M$132,$G593,月間集計シート!O$113:O$132)*AM$2</f>
        <v>0</v>
      </c>
      <c r="AN593" s="88">
        <f>SUMIF(月間集計シート!$M$113:$M$132,$G593,月間集計シート!P$113:P$132)*AN$2</f>
        <v>0</v>
      </c>
      <c r="AO593" s="88">
        <f>SUMIF(月間集計シート!$M$113:$M$132,$G593,月間集計シート!Q$113:Q$132)*AO$2</f>
        <v>0</v>
      </c>
      <c r="AP593" s="88">
        <f>SUMIF(月間集計シート!$M$113:$M$132,$G593,月間集計シート!R$113:R$132)*AP$2</f>
        <v>0</v>
      </c>
      <c r="AQ593" s="88">
        <f>SUMIF(月間集計シート!$M$113:$M$132,$G593,月間集計シート!S$113:S$132)*AQ$2</f>
        <v>0</v>
      </c>
      <c r="AR593" s="88">
        <f>SUMIF(月間集計シート!$M$113:$M$132,$G593,月間集計シート!T$113:T$132)*AR$2</f>
        <v>0</v>
      </c>
      <c r="AS593" s="88">
        <f>SUMIF(月間集計シート!$M$134:$M$153,$G593,月間集計シート!N$134:N$153)*AS$2</f>
        <v>0</v>
      </c>
      <c r="AT593" s="88">
        <f>SUMIF(月間集計シート!$M$134:$M$153,$G593,月間集計シート!O$134:O$153)*AT$2</f>
        <v>0</v>
      </c>
      <c r="AU593" s="88">
        <f>SUMIF(月間集計シート!$M$134:$M$153,$G593,月間集計シート!P$134:P$153)*AU$2</f>
        <v>0</v>
      </c>
      <c r="AV593" s="88">
        <f>SUMIF(月間集計シート!$M$134:$M$153,$G593,月間集計シート!Q$134:Q$153)*AV$2</f>
        <v>0</v>
      </c>
      <c r="AW593" s="88">
        <f>SUMIF(月間集計シート!$M$134:$M$153,$G593,月間集計シート!R$134:R$153)*AW$2</f>
        <v>0</v>
      </c>
      <c r="AX593" s="88">
        <f>SUMIF(月間集計シート!$M$134:$M$153,$G593,月間集計シート!S$134:S$153)*AX$2</f>
        <v>0</v>
      </c>
      <c r="AY593" s="88">
        <f>SUMIF(月間集計シート!$M$134:$M$153,$G593,月間集計シート!T$134:T$153)*AY$2</f>
        <v>0</v>
      </c>
    </row>
    <row r="594" spans="1:51" ht="14.25" thickBot="1">
      <c r="A594">
        <v>7</v>
      </c>
      <c r="B594" s="120">
        <f t="shared" si="257"/>
        <v>0</v>
      </c>
      <c r="C594" s="120" t="str">
        <f t="shared" si="257"/>
        <v/>
      </c>
      <c r="D594" s="137"/>
      <c r="E594" s="150" t="str">
        <f>工種!A76</f>
        <v>90199</v>
      </c>
      <c r="F594" s="119" t="str">
        <f>工種!B76</f>
        <v>管理業務：その他</v>
      </c>
      <c r="G594" s="116" t="str">
        <f t="shared" si="254"/>
        <v>090199</v>
      </c>
      <c r="H594" s="88">
        <f t="shared" si="256"/>
        <v>0</v>
      </c>
      <c r="I594" s="132"/>
      <c r="J594" s="88">
        <f>SUMIF(月間集計シート!$M$29:$M$48,$G594,月間集計シート!N$29:N$48)*J$2</f>
        <v>0</v>
      </c>
      <c r="K594" s="88">
        <f>SUMIF(月間集計シート!$M$29:$M$48,$G594,月間集計シート!O$29:O$48)*K$2</f>
        <v>0</v>
      </c>
      <c r="L594" s="88">
        <f>SUMIF(月間集計シート!$M$29:$M$48,$G594,月間集計シート!P$29:P$48)*L$2</f>
        <v>0</v>
      </c>
      <c r="M594" s="88">
        <f>SUMIF(月間集計シート!$M$29:$M$48,$G594,月間集計シート!Q$29:Q$48)*M$2</f>
        <v>0</v>
      </c>
      <c r="N594" s="88">
        <f>SUMIF(月間集計シート!$M$29:$M$48,$G594,月間集計シート!R$29:R$48)*N$2</f>
        <v>0</v>
      </c>
      <c r="O594" s="88">
        <f>SUMIF(月間集計シート!$M$29:$M$48,$G594,月間集計シート!S$29:S$48)*O$2</f>
        <v>0</v>
      </c>
      <c r="P594" s="88">
        <f>SUMIF(月間集計シート!$M$29:$M$48,$G594,月間集計シート!T$29:T$48)*P$2</f>
        <v>0</v>
      </c>
      <c r="Q594" s="88">
        <f>SUMIF(月間集計シート!$M$50:$M$69,$G594,月間集計シート!N$50:N$69)*Q$2</f>
        <v>0</v>
      </c>
      <c r="R594" s="88">
        <f>SUMIF(月間集計シート!$M$50:$M$69,$G594,月間集計シート!O$50:O$69)*R$2</f>
        <v>0</v>
      </c>
      <c r="S594" s="88">
        <f>SUMIF(月間集計シート!$M$50:$M$69,$G594,月間集計シート!P$50:P$69)*S$2</f>
        <v>0</v>
      </c>
      <c r="T594" s="88">
        <f>SUMIF(月間集計シート!$M$50:$M$69,$G594,月間集計シート!Q$50:Q$69)*T$2</f>
        <v>0</v>
      </c>
      <c r="U594" s="88">
        <f>SUMIF(月間集計シート!$M$50:$M$69,$G594,月間集計シート!R$50:R$69)*U$2</f>
        <v>0</v>
      </c>
      <c r="V594" s="88">
        <f>SUMIF(月間集計シート!$M$50:$M$69,$G594,月間集計シート!S$50:S$69)*V$2</f>
        <v>0</v>
      </c>
      <c r="W594" s="88">
        <f>SUMIF(月間集計シート!$M$50:$M$69,$G594,月間集計シート!T$50:T$69)*W$2</f>
        <v>0</v>
      </c>
      <c r="X594" s="88">
        <f>SUMIF(月間集計シート!$M$71:$M$90,$G594,月間集計シート!N$71:N$90)*X$2</f>
        <v>0</v>
      </c>
      <c r="Y594" s="88">
        <f>SUMIF(月間集計シート!$M$71:$M$90,$G594,月間集計シート!O$71:O$90)*Y$2</f>
        <v>0</v>
      </c>
      <c r="Z594" s="88">
        <f>SUMIF(月間集計シート!$M$71:$M$90,$G594,月間集計シート!P$71:P$90)*Z$2</f>
        <v>0</v>
      </c>
      <c r="AA594" s="88">
        <f>SUMIF(月間集計シート!$M$71:$M$90,$G594,月間集計シート!Q$71:Q$90)*AA$2</f>
        <v>0</v>
      </c>
      <c r="AB594" s="88">
        <f>SUMIF(月間集計シート!$M$71:$M$90,$G594,月間集計シート!R$71:R$90)*AB$2</f>
        <v>0</v>
      </c>
      <c r="AC594" s="88">
        <f>SUMIF(月間集計シート!$M$71:$M$90,$G594,月間集計シート!S$71:S$90)*AC$2</f>
        <v>0</v>
      </c>
      <c r="AD594" s="88">
        <f>SUMIF(月間集計シート!$M$71:$M$90,$G594,月間集計シート!T$71:T$90)*AD$2</f>
        <v>0</v>
      </c>
      <c r="AE594" s="88">
        <f>SUMIF(月間集計シート!$M$92:$M$111,$G594,月間集計シート!N$92:N$111)*AE$2</f>
        <v>0</v>
      </c>
      <c r="AF594" s="88">
        <f>SUMIF(月間集計シート!$M$92:$M$111,$G594,月間集計シート!O$92:O$111)*AF$2</f>
        <v>0</v>
      </c>
      <c r="AG594" s="88">
        <f>SUMIF(月間集計シート!$M$92:$M$111,$G594,月間集計シート!P$92:P$111)*AG$2</f>
        <v>0</v>
      </c>
      <c r="AH594" s="88">
        <f>SUMIF(月間集計シート!$M$92:$M$111,$G594,月間集計シート!Q$92:Q$111)*AH$2</f>
        <v>0</v>
      </c>
      <c r="AI594" s="88">
        <f>SUMIF(月間集計シート!$M$92:$M$111,$G594,月間集計シート!R$92:R$111)*AI$2</f>
        <v>0</v>
      </c>
      <c r="AJ594" s="88">
        <f>SUMIF(月間集計シート!$M$92:$M$111,$G594,月間集計シート!S$92:S$111)*AJ$2</f>
        <v>0</v>
      </c>
      <c r="AK594" s="88">
        <f>SUMIF(月間集計シート!$M$92:$M$111,$G594,月間集計シート!T$92:T$111)*AK$2</f>
        <v>0</v>
      </c>
      <c r="AL594" s="88">
        <f>SUMIF(月間集計シート!$M$113:$M$132,$G594,月間集計シート!N$113:N$132)*AL$2</f>
        <v>0</v>
      </c>
      <c r="AM594" s="88">
        <f>SUMIF(月間集計シート!$M$113:$M$132,$G594,月間集計シート!O$113:O$132)*AM$2</f>
        <v>0</v>
      </c>
      <c r="AN594" s="88">
        <f>SUMIF(月間集計シート!$M$113:$M$132,$G594,月間集計シート!P$113:P$132)*AN$2</f>
        <v>0</v>
      </c>
      <c r="AO594" s="88">
        <f>SUMIF(月間集計シート!$M$113:$M$132,$G594,月間集計シート!Q$113:Q$132)*AO$2</f>
        <v>0</v>
      </c>
      <c r="AP594" s="88">
        <f>SUMIF(月間集計シート!$M$113:$M$132,$G594,月間集計シート!R$113:R$132)*AP$2</f>
        <v>0</v>
      </c>
      <c r="AQ594" s="88">
        <f>SUMIF(月間集計シート!$M$113:$M$132,$G594,月間集計シート!S$113:S$132)*AQ$2</f>
        <v>0</v>
      </c>
      <c r="AR594" s="88">
        <f>SUMIF(月間集計シート!$M$113:$M$132,$G594,月間集計シート!T$113:T$132)*AR$2</f>
        <v>0</v>
      </c>
      <c r="AS594" s="88">
        <f>SUMIF(月間集計シート!$M$134:$M$153,$G594,月間集計シート!N$134:N$153)*AS$2</f>
        <v>0</v>
      </c>
      <c r="AT594" s="88">
        <f>SUMIF(月間集計シート!$M$134:$M$153,$G594,月間集計シート!O$134:O$153)*AT$2</f>
        <v>0</v>
      </c>
      <c r="AU594" s="88">
        <f>SUMIF(月間集計シート!$M$134:$M$153,$G594,月間集計シート!P$134:P$153)*AU$2</f>
        <v>0</v>
      </c>
      <c r="AV594" s="88">
        <f>SUMIF(月間集計シート!$M$134:$M$153,$G594,月間集計シート!Q$134:Q$153)*AV$2</f>
        <v>0</v>
      </c>
      <c r="AW594" s="88">
        <f>SUMIF(月間集計シート!$M$134:$M$153,$G594,月間集計シート!R$134:R$153)*AW$2</f>
        <v>0</v>
      </c>
      <c r="AX594" s="88">
        <f>SUMIF(月間集計シート!$M$134:$M$153,$G594,月間集計シート!S$134:S$153)*AX$2</f>
        <v>0</v>
      </c>
      <c r="AY594" s="88">
        <f>SUMIF(月間集計シート!$M$134:$M$153,$G594,月間集計シート!T$134:T$153)*AY$2</f>
        <v>0</v>
      </c>
    </row>
    <row r="595" spans="1:51" ht="14.25" thickBot="1">
      <c r="A595">
        <v>7</v>
      </c>
      <c r="B595" s="120">
        <f t="shared" si="257"/>
        <v>0</v>
      </c>
      <c r="C595" s="120" t="str">
        <f t="shared" si="257"/>
        <v/>
      </c>
      <c r="D595" s="137"/>
      <c r="E595" s="150">
        <f>工種!A77</f>
        <v>99102</v>
      </c>
      <c r="F595" s="119" t="str">
        <f>工種!B77</f>
        <v>間接業務：業務環境管理（PCｾｯﾄｱｯﾌﾟ等）</v>
      </c>
      <c r="G595" s="116" t="str">
        <f t="shared" si="254"/>
        <v>099102</v>
      </c>
      <c r="H595" s="88">
        <f t="shared" si="256"/>
        <v>0</v>
      </c>
      <c r="I595" s="132"/>
      <c r="J595" s="88">
        <f>SUMIF(月間集計シート!$M$29:$M$48,$G595,月間集計シート!N$29:N$48)*J$2</f>
        <v>0</v>
      </c>
      <c r="K595" s="88">
        <f>SUMIF(月間集計シート!$M$29:$M$48,$G595,月間集計シート!O$29:O$48)*K$2</f>
        <v>0</v>
      </c>
      <c r="L595" s="88">
        <f>SUMIF(月間集計シート!$M$29:$M$48,$G595,月間集計シート!P$29:P$48)*L$2</f>
        <v>0</v>
      </c>
      <c r="M595" s="88">
        <f>SUMIF(月間集計シート!$M$29:$M$48,$G595,月間集計シート!Q$29:Q$48)*M$2</f>
        <v>0</v>
      </c>
      <c r="N595" s="88">
        <f>SUMIF(月間集計シート!$M$29:$M$48,$G595,月間集計シート!R$29:R$48)*N$2</f>
        <v>0</v>
      </c>
      <c r="O595" s="88">
        <f>SUMIF(月間集計シート!$M$29:$M$48,$G595,月間集計シート!S$29:S$48)*O$2</f>
        <v>0</v>
      </c>
      <c r="P595" s="88">
        <f>SUMIF(月間集計シート!$M$29:$M$48,$G595,月間集計シート!T$29:T$48)*P$2</f>
        <v>0</v>
      </c>
      <c r="Q595" s="88">
        <f>SUMIF(月間集計シート!$M$50:$M$69,$G595,月間集計シート!N$50:N$69)*Q$2</f>
        <v>0</v>
      </c>
      <c r="R595" s="88">
        <f>SUMIF(月間集計シート!$M$50:$M$69,$G595,月間集計シート!O$50:O$69)*R$2</f>
        <v>0</v>
      </c>
      <c r="S595" s="88">
        <f>SUMIF(月間集計シート!$M$50:$M$69,$G595,月間集計シート!P$50:P$69)*S$2</f>
        <v>0</v>
      </c>
      <c r="T595" s="88">
        <f>SUMIF(月間集計シート!$M$50:$M$69,$G595,月間集計シート!Q$50:Q$69)*T$2</f>
        <v>0</v>
      </c>
      <c r="U595" s="88">
        <f>SUMIF(月間集計シート!$M$50:$M$69,$G595,月間集計シート!R$50:R$69)*U$2</f>
        <v>0</v>
      </c>
      <c r="V595" s="88">
        <f>SUMIF(月間集計シート!$M$50:$M$69,$G595,月間集計シート!S$50:S$69)*V$2</f>
        <v>0</v>
      </c>
      <c r="W595" s="88">
        <f>SUMIF(月間集計シート!$M$50:$M$69,$G595,月間集計シート!T$50:T$69)*W$2</f>
        <v>0</v>
      </c>
      <c r="X595" s="88">
        <f>SUMIF(月間集計シート!$M$71:$M$90,$G595,月間集計シート!N$71:N$90)*X$2</f>
        <v>0</v>
      </c>
      <c r="Y595" s="88">
        <f>SUMIF(月間集計シート!$M$71:$M$90,$G595,月間集計シート!O$71:O$90)*Y$2</f>
        <v>0</v>
      </c>
      <c r="Z595" s="88">
        <f>SUMIF(月間集計シート!$M$71:$M$90,$G595,月間集計シート!P$71:P$90)*Z$2</f>
        <v>0</v>
      </c>
      <c r="AA595" s="88">
        <f>SUMIF(月間集計シート!$M$71:$M$90,$G595,月間集計シート!Q$71:Q$90)*AA$2</f>
        <v>0</v>
      </c>
      <c r="AB595" s="88">
        <f>SUMIF(月間集計シート!$M$71:$M$90,$G595,月間集計シート!R$71:R$90)*AB$2</f>
        <v>0</v>
      </c>
      <c r="AC595" s="88">
        <f>SUMIF(月間集計シート!$M$71:$M$90,$G595,月間集計シート!S$71:S$90)*AC$2</f>
        <v>0</v>
      </c>
      <c r="AD595" s="88">
        <f>SUMIF(月間集計シート!$M$71:$M$90,$G595,月間集計シート!T$71:T$90)*AD$2</f>
        <v>0</v>
      </c>
      <c r="AE595" s="88">
        <f>SUMIF(月間集計シート!$M$92:$M$111,$G595,月間集計シート!N$92:N$111)*AE$2</f>
        <v>0</v>
      </c>
      <c r="AF595" s="88">
        <f>SUMIF(月間集計シート!$M$92:$M$111,$G595,月間集計シート!O$92:O$111)*AF$2</f>
        <v>0</v>
      </c>
      <c r="AG595" s="88">
        <f>SUMIF(月間集計シート!$M$92:$M$111,$G595,月間集計シート!P$92:P$111)*AG$2</f>
        <v>0</v>
      </c>
      <c r="AH595" s="88">
        <f>SUMIF(月間集計シート!$M$92:$M$111,$G595,月間集計シート!Q$92:Q$111)*AH$2</f>
        <v>0</v>
      </c>
      <c r="AI595" s="88">
        <f>SUMIF(月間集計シート!$M$92:$M$111,$G595,月間集計シート!R$92:R$111)*AI$2</f>
        <v>0</v>
      </c>
      <c r="AJ595" s="88">
        <f>SUMIF(月間集計シート!$M$92:$M$111,$G595,月間集計シート!S$92:S$111)*AJ$2</f>
        <v>0</v>
      </c>
      <c r="AK595" s="88">
        <f>SUMIF(月間集計シート!$M$92:$M$111,$G595,月間集計シート!T$92:T$111)*AK$2</f>
        <v>0</v>
      </c>
      <c r="AL595" s="88">
        <f>SUMIF(月間集計シート!$M$113:$M$132,$G595,月間集計シート!N$113:N$132)*AL$2</f>
        <v>0</v>
      </c>
      <c r="AM595" s="88">
        <f>SUMIF(月間集計シート!$M$113:$M$132,$G595,月間集計シート!O$113:O$132)*AM$2</f>
        <v>0</v>
      </c>
      <c r="AN595" s="88">
        <f>SUMIF(月間集計シート!$M$113:$M$132,$G595,月間集計シート!P$113:P$132)*AN$2</f>
        <v>0</v>
      </c>
      <c r="AO595" s="88">
        <f>SUMIF(月間集計シート!$M$113:$M$132,$G595,月間集計シート!Q$113:Q$132)*AO$2</f>
        <v>0</v>
      </c>
      <c r="AP595" s="88">
        <f>SUMIF(月間集計シート!$M$113:$M$132,$G595,月間集計シート!R$113:R$132)*AP$2</f>
        <v>0</v>
      </c>
      <c r="AQ595" s="88">
        <f>SUMIF(月間集計シート!$M$113:$M$132,$G595,月間集計シート!S$113:S$132)*AQ$2</f>
        <v>0</v>
      </c>
      <c r="AR595" s="88">
        <f>SUMIF(月間集計シート!$M$113:$M$132,$G595,月間集計シート!T$113:T$132)*AR$2</f>
        <v>0</v>
      </c>
      <c r="AS595" s="88">
        <f>SUMIF(月間集計シート!$M$134:$M$153,$G595,月間集計シート!N$134:N$153)*AS$2</f>
        <v>0</v>
      </c>
      <c r="AT595" s="88">
        <f>SUMIF(月間集計シート!$M$134:$M$153,$G595,月間集計シート!O$134:O$153)*AT$2</f>
        <v>0</v>
      </c>
      <c r="AU595" s="88">
        <f>SUMIF(月間集計シート!$M$134:$M$153,$G595,月間集計シート!P$134:P$153)*AU$2</f>
        <v>0</v>
      </c>
      <c r="AV595" s="88">
        <f>SUMIF(月間集計シート!$M$134:$M$153,$G595,月間集計シート!Q$134:Q$153)*AV$2</f>
        <v>0</v>
      </c>
      <c r="AW595" s="88">
        <f>SUMIF(月間集計シート!$M$134:$M$153,$G595,月間集計シート!R$134:R$153)*AW$2</f>
        <v>0</v>
      </c>
      <c r="AX595" s="88">
        <f>SUMIF(月間集計シート!$M$134:$M$153,$G595,月間集計シート!S$134:S$153)*AX$2</f>
        <v>0</v>
      </c>
      <c r="AY595" s="88">
        <f>SUMIF(月間集計シート!$M$134:$M$153,$G595,月間集計シート!T$134:T$153)*AY$2</f>
        <v>0</v>
      </c>
    </row>
    <row r="596" spans="1:51" ht="14.25" thickBot="1">
      <c r="A596">
        <v>7</v>
      </c>
      <c r="B596" s="120">
        <f t="shared" si="257"/>
        <v>0</v>
      </c>
      <c r="C596" s="120" t="str">
        <f t="shared" si="257"/>
        <v/>
      </c>
      <c r="D596" s="137"/>
      <c r="E596" s="150" t="str">
        <f>工種!A78</f>
        <v>99103</v>
      </c>
      <c r="F596" s="119" t="str">
        <f>工種!B78</f>
        <v>間接業務：標準化・業務改善作業（開発以外）</v>
      </c>
      <c r="G596" s="116" t="str">
        <f t="shared" si="254"/>
        <v>099103</v>
      </c>
      <c r="H596" s="88">
        <f t="shared" si="256"/>
        <v>0</v>
      </c>
      <c r="I596" s="132"/>
      <c r="J596" s="88">
        <f>SUMIF(月間集計シート!$M$29:$M$48,$G596,月間集計シート!N$29:N$48)*J$2</f>
        <v>0</v>
      </c>
      <c r="K596" s="88">
        <f>SUMIF(月間集計シート!$M$29:$M$48,$G596,月間集計シート!O$29:O$48)*K$2</f>
        <v>0</v>
      </c>
      <c r="L596" s="88">
        <f>SUMIF(月間集計シート!$M$29:$M$48,$G596,月間集計シート!P$29:P$48)*L$2</f>
        <v>0</v>
      </c>
      <c r="M596" s="88">
        <f>SUMIF(月間集計シート!$M$29:$M$48,$G596,月間集計シート!Q$29:Q$48)*M$2</f>
        <v>0</v>
      </c>
      <c r="N596" s="88">
        <f>SUMIF(月間集計シート!$M$29:$M$48,$G596,月間集計シート!R$29:R$48)*N$2</f>
        <v>0</v>
      </c>
      <c r="O596" s="88">
        <f>SUMIF(月間集計シート!$M$29:$M$48,$G596,月間集計シート!S$29:S$48)*O$2</f>
        <v>0</v>
      </c>
      <c r="P596" s="88">
        <f>SUMIF(月間集計シート!$M$29:$M$48,$G596,月間集計シート!T$29:T$48)*P$2</f>
        <v>0</v>
      </c>
      <c r="Q596" s="88">
        <f>SUMIF(月間集計シート!$M$50:$M$69,$G596,月間集計シート!N$50:N$69)*Q$2</f>
        <v>0</v>
      </c>
      <c r="R596" s="88">
        <f>SUMIF(月間集計シート!$M$50:$M$69,$G596,月間集計シート!O$50:O$69)*R$2</f>
        <v>0</v>
      </c>
      <c r="S596" s="88">
        <f>SUMIF(月間集計シート!$M$50:$M$69,$G596,月間集計シート!P$50:P$69)*S$2</f>
        <v>0</v>
      </c>
      <c r="T596" s="88">
        <f>SUMIF(月間集計シート!$M$50:$M$69,$G596,月間集計シート!Q$50:Q$69)*T$2</f>
        <v>0</v>
      </c>
      <c r="U596" s="88">
        <f>SUMIF(月間集計シート!$M$50:$M$69,$G596,月間集計シート!R$50:R$69)*U$2</f>
        <v>0</v>
      </c>
      <c r="V596" s="88">
        <f>SUMIF(月間集計シート!$M$50:$M$69,$G596,月間集計シート!S$50:S$69)*V$2</f>
        <v>0</v>
      </c>
      <c r="W596" s="88">
        <f>SUMIF(月間集計シート!$M$50:$M$69,$G596,月間集計シート!T$50:T$69)*W$2</f>
        <v>0</v>
      </c>
      <c r="X596" s="88">
        <f>SUMIF(月間集計シート!$M$71:$M$90,$G596,月間集計シート!N$71:N$90)*X$2</f>
        <v>0</v>
      </c>
      <c r="Y596" s="88">
        <f>SUMIF(月間集計シート!$M$71:$M$90,$G596,月間集計シート!O$71:O$90)*Y$2</f>
        <v>0</v>
      </c>
      <c r="Z596" s="88">
        <f>SUMIF(月間集計シート!$M$71:$M$90,$G596,月間集計シート!P$71:P$90)*Z$2</f>
        <v>0</v>
      </c>
      <c r="AA596" s="88">
        <f>SUMIF(月間集計シート!$M$71:$M$90,$G596,月間集計シート!Q$71:Q$90)*AA$2</f>
        <v>0</v>
      </c>
      <c r="AB596" s="88">
        <f>SUMIF(月間集計シート!$M$71:$M$90,$G596,月間集計シート!R$71:R$90)*AB$2</f>
        <v>0</v>
      </c>
      <c r="AC596" s="88">
        <f>SUMIF(月間集計シート!$M$71:$M$90,$G596,月間集計シート!S$71:S$90)*AC$2</f>
        <v>0</v>
      </c>
      <c r="AD596" s="88">
        <f>SUMIF(月間集計シート!$M$71:$M$90,$G596,月間集計シート!T$71:T$90)*AD$2</f>
        <v>0</v>
      </c>
      <c r="AE596" s="88">
        <f>SUMIF(月間集計シート!$M$92:$M$111,$G596,月間集計シート!N$92:N$111)*AE$2</f>
        <v>0</v>
      </c>
      <c r="AF596" s="88">
        <f>SUMIF(月間集計シート!$M$92:$M$111,$G596,月間集計シート!O$92:O$111)*AF$2</f>
        <v>0</v>
      </c>
      <c r="AG596" s="88">
        <f>SUMIF(月間集計シート!$M$92:$M$111,$G596,月間集計シート!P$92:P$111)*AG$2</f>
        <v>0</v>
      </c>
      <c r="AH596" s="88">
        <f>SUMIF(月間集計シート!$M$92:$M$111,$G596,月間集計シート!Q$92:Q$111)*AH$2</f>
        <v>0</v>
      </c>
      <c r="AI596" s="88">
        <f>SUMIF(月間集計シート!$M$92:$M$111,$G596,月間集計シート!R$92:R$111)*AI$2</f>
        <v>0</v>
      </c>
      <c r="AJ596" s="88">
        <f>SUMIF(月間集計シート!$M$92:$M$111,$G596,月間集計シート!S$92:S$111)*AJ$2</f>
        <v>0</v>
      </c>
      <c r="AK596" s="88">
        <f>SUMIF(月間集計シート!$M$92:$M$111,$G596,月間集計シート!T$92:T$111)*AK$2</f>
        <v>0</v>
      </c>
      <c r="AL596" s="88">
        <f>SUMIF(月間集計シート!$M$113:$M$132,$G596,月間集計シート!N$113:N$132)*AL$2</f>
        <v>0</v>
      </c>
      <c r="AM596" s="88">
        <f>SUMIF(月間集計シート!$M$113:$M$132,$G596,月間集計シート!O$113:O$132)*AM$2</f>
        <v>0</v>
      </c>
      <c r="AN596" s="88">
        <f>SUMIF(月間集計シート!$M$113:$M$132,$G596,月間集計シート!P$113:P$132)*AN$2</f>
        <v>0</v>
      </c>
      <c r="AO596" s="88">
        <f>SUMIF(月間集計シート!$M$113:$M$132,$G596,月間集計シート!Q$113:Q$132)*AO$2</f>
        <v>0</v>
      </c>
      <c r="AP596" s="88">
        <f>SUMIF(月間集計シート!$M$113:$M$132,$G596,月間集計シート!R$113:R$132)*AP$2</f>
        <v>0</v>
      </c>
      <c r="AQ596" s="88">
        <f>SUMIF(月間集計シート!$M$113:$M$132,$G596,月間集計シート!S$113:S$132)*AQ$2</f>
        <v>0</v>
      </c>
      <c r="AR596" s="88">
        <f>SUMIF(月間集計シート!$M$113:$M$132,$G596,月間集計シート!T$113:T$132)*AR$2</f>
        <v>0</v>
      </c>
      <c r="AS596" s="88">
        <f>SUMIF(月間集計シート!$M$134:$M$153,$G596,月間集計シート!N$134:N$153)*AS$2</f>
        <v>0</v>
      </c>
      <c r="AT596" s="88">
        <f>SUMIF(月間集計シート!$M$134:$M$153,$G596,月間集計シート!O$134:O$153)*AT$2</f>
        <v>0</v>
      </c>
      <c r="AU596" s="88">
        <f>SUMIF(月間集計シート!$M$134:$M$153,$G596,月間集計シート!P$134:P$153)*AU$2</f>
        <v>0</v>
      </c>
      <c r="AV596" s="88">
        <f>SUMIF(月間集計シート!$M$134:$M$153,$G596,月間集計シート!Q$134:Q$153)*AV$2</f>
        <v>0</v>
      </c>
      <c r="AW596" s="88">
        <f>SUMIF(月間集計シート!$M$134:$M$153,$G596,月間集計シート!R$134:R$153)*AW$2</f>
        <v>0</v>
      </c>
      <c r="AX596" s="88">
        <f>SUMIF(月間集計シート!$M$134:$M$153,$G596,月間集計シート!S$134:S$153)*AX$2</f>
        <v>0</v>
      </c>
      <c r="AY596" s="88">
        <f>SUMIF(月間集計シート!$M$134:$M$153,$G596,月間集計シート!T$134:T$153)*AY$2</f>
        <v>0</v>
      </c>
    </row>
    <row r="597" spans="1:51" ht="14.25" thickBot="1">
      <c r="A597">
        <v>7</v>
      </c>
      <c r="B597" s="120">
        <f t="shared" si="257"/>
        <v>0</v>
      </c>
      <c r="C597" s="120" t="str">
        <f t="shared" si="257"/>
        <v/>
      </c>
      <c r="D597" s="137"/>
      <c r="E597" s="150" t="str">
        <f>工種!A79</f>
        <v>99104</v>
      </c>
      <c r="F597" s="119" t="str">
        <f>工種!B79</f>
        <v>間接業務：業務の引継ぎ（開発以外）</v>
      </c>
      <c r="G597" s="116" t="str">
        <f t="shared" si="254"/>
        <v>099104</v>
      </c>
      <c r="H597" s="88">
        <f t="shared" si="256"/>
        <v>0</v>
      </c>
      <c r="I597" s="132"/>
      <c r="J597" s="88">
        <f>SUMIF(月間集計シート!$M$29:$M$48,$G597,月間集計シート!N$29:N$48)*J$2</f>
        <v>0</v>
      </c>
      <c r="K597" s="88">
        <f>SUMIF(月間集計シート!$M$29:$M$48,$G597,月間集計シート!O$29:O$48)*K$2</f>
        <v>0</v>
      </c>
      <c r="L597" s="88">
        <f>SUMIF(月間集計シート!$M$29:$M$48,$G597,月間集計シート!P$29:P$48)*L$2</f>
        <v>0</v>
      </c>
      <c r="M597" s="88">
        <f>SUMIF(月間集計シート!$M$29:$M$48,$G597,月間集計シート!Q$29:Q$48)*M$2</f>
        <v>0</v>
      </c>
      <c r="N597" s="88">
        <f>SUMIF(月間集計シート!$M$29:$M$48,$G597,月間集計シート!R$29:R$48)*N$2</f>
        <v>0</v>
      </c>
      <c r="O597" s="88">
        <f>SUMIF(月間集計シート!$M$29:$M$48,$G597,月間集計シート!S$29:S$48)*O$2</f>
        <v>0</v>
      </c>
      <c r="P597" s="88">
        <f>SUMIF(月間集計シート!$M$29:$M$48,$G597,月間集計シート!T$29:T$48)*P$2</f>
        <v>0</v>
      </c>
      <c r="Q597" s="88">
        <f>SUMIF(月間集計シート!$M$50:$M$69,$G597,月間集計シート!N$50:N$69)*Q$2</f>
        <v>0</v>
      </c>
      <c r="R597" s="88">
        <f>SUMIF(月間集計シート!$M$50:$M$69,$G597,月間集計シート!O$50:O$69)*R$2</f>
        <v>0</v>
      </c>
      <c r="S597" s="88">
        <f>SUMIF(月間集計シート!$M$50:$M$69,$G597,月間集計シート!P$50:P$69)*S$2</f>
        <v>0</v>
      </c>
      <c r="T597" s="88">
        <f>SUMIF(月間集計シート!$M$50:$M$69,$G597,月間集計シート!Q$50:Q$69)*T$2</f>
        <v>0</v>
      </c>
      <c r="U597" s="88">
        <f>SUMIF(月間集計シート!$M$50:$M$69,$G597,月間集計シート!R$50:R$69)*U$2</f>
        <v>0</v>
      </c>
      <c r="V597" s="88">
        <f>SUMIF(月間集計シート!$M$50:$M$69,$G597,月間集計シート!S$50:S$69)*V$2</f>
        <v>0</v>
      </c>
      <c r="W597" s="88">
        <f>SUMIF(月間集計シート!$M$50:$M$69,$G597,月間集計シート!T$50:T$69)*W$2</f>
        <v>0</v>
      </c>
      <c r="X597" s="88">
        <f>SUMIF(月間集計シート!$M$71:$M$90,$G597,月間集計シート!N$71:N$90)*X$2</f>
        <v>0</v>
      </c>
      <c r="Y597" s="88">
        <f>SUMIF(月間集計シート!$M$71:$M$90,$G597,月間集計シート!O$71:O$90)*Y$2</f>
        <v>0</v>
      </c>
      <c r="Z597" s="88">
        <f>SUMIF(月間集計シート!$M$71:$M$90,$G597,月間集計シート!P$71:P$90)*Z$2</f>
        <v>0</v>
      </c>
      <c r="AA597" s="88">
        <f>SUMIF(月間集計シート!$M$71:$M$90,$G597,月間集計シート!Q$71:Q$90)*AA$2</f>
        <v>0</v>
      </c>
      <c r="AB597" s="88">
        <f>SUMIF(月間集計シート!$M$71:$M$90,$G597,月間集計シート!R$71:R$90)*AB$2</f>
        <v>0</v>
      </c>
      <c r="AC597" s="88">
        <f>SUMIF(月間集計シート!$M$71:$M$90,$G597,月間集計シート!S$71:S$90)*AC$2</f>
        <v>0</v>
      </c>
      <c r="AD597" s="88">
        <f>SUMIF(月間集計シート!$M$71:$M$90,$G597,月間集計シート!T$71:T$90)*AD$2</f>
        <v>0</v>
      </c>
      <c r="AE597" s="88">
        <f>SUMIF(月間集計シート!$M$92:$M$111,$G597,月間集計シート!N$92:N$111)*AE$2</f>
        <v>0</v>
      </c>
      <c r="AF597" s="88">
        <f>SUMIF(月間集計シート!$M$92:$M$111,$G597,月間集計シート!O$92:O$111)*AF$2</f>
        <v>0</v>
      </c>
      <c r="AG597" s="88">
        <f>SUMIF(月間集計シート!$M$92:$M$111,$G597,月間集計シート!P$92:P$111)*AG$2</f>
        <v>0</v>
      </c>
      <c r="AH597" s="88">
        <f>SUMIF(月間集計シート!$M$92:$M$111,$G597,月間集計シート!Q$92:Q$111)*AH$2</f>
        <v>0</v>
      </c>
      <c r="AI597" s="88">
        <f>SUMIF(月間集計シート!$M$92:$M$111,$G597,月間集計シート!R$92:R$111)*AI$2</f>
        <v>0</v>
      </c>
      <c r="AJ597" s="88">
        <f>SUMIF(月間集計シート!$M$92:$M$111,$G597,月間集計シート!S$92:S$111)*AJ$2</f>
        <v>0</v>
      </c>
      <c r="AK597" s="88">
        <f>SUMIF(月間集計シート!$M$92:$M$111,$G597,月間集計シート!T$92:T$111)*AK$2</f>
        <v>0</v>
      </c>
      <c r="AL597" s="88">
        <f>SUMIF(月間集計シート!$M$113:$M$132,$G597,月間集計シート!N$113:N$132)*AL$2</f>
        <v>0</v>
      </c>
      <c r="AM597" s="88">
        <f>SUMIF(月間集計シート!$M$113:$M$132,$G597,月間集計シート!O$113:O$132)*AM$2</f>
        <v>0</v>
      </c>
      <c r="AN597" s="88">
        <f>SUMIF(月間集計シート!$M$113:$M$132,$G597,月間集計シート!P$113:P$132)*AN$2</f>
        <v>0</v>
      </c>
      <c r="AO597" s="88">
        <f>SUMIF(月間集計シート!$M$113:$M$132,$G597,月間集計シート!Q$113:Q$132)*AO$2</f>
        <v>0</v>
      </c>
      <c r="AP597" s="88">
        <f>SUMIF(月間集計シート!$M$113:$M$132,$G597,月間集計シート!R$113:R$132)*AP$2</f>
        <v>0</v>
      </c>
      <c r="AQ597" s="88">
        <f>SUMIF(月間集計シート!$M$113:$M$132,$G597,月間集計シート!S$113:S$132)*AQ$2</f>
        <v>0</v>
      </c>
      <c r="AR597" s="88">
        <f>SUMIF(月間集計シート!$M$113:$M$132,$G597,月間集計シート!T$113:T$132)*AR$2</f>
        <v>0</v>
      </c>
      <c r="AS597" s="88">
        <f>SUMIF(月間集計シート!$M$134:$M$153,$G597,月間集計シート!N$134:N$153)*AS$2</f>
        <v>0</v>
      </c>
      <c r="AT597" s="88">
        <f>SUMIF(月間集計シート!$M$134:$M$153,$G597,月間集計シート!O$134:O$153)*AT$2</f>
        <v>0</v>
      </c>
      <c r="AU597" s="88">
        <f>SUMIF(月間集計シート!$M$134:$M$153,$G597,月間集計シート!P$134:P$153)*AU$2</f>
        <v>0</v>
      </c>
      <c r="AV597" s="88">
        <f>SUMIF(月間集計シート!$M$134:$M$153,$G597,月間集計シート!Q$134:Q$153)*AV$2</f>
        <v>0</v>
      </c>
      <c r="AW597" s="88">
        <f>SUMIF(月間集計シート!$M$134:$M$153,$G597,月間集計シート!R$134:R$153)*AW$2</f>
        <v>0</v>
      </c>
      <c r="AX597" s="88">
        <f>SUMIF(月間集計シート!$M$134:$M$153,$G597,月間集計シート!S$134:S$153)*AX$2</f>
        <v>0</v>
      </c>
      <c r="AY597" s="88">
        <f>SUMIF(月間集計シート!$M$134:$M$153,$G597,月間集計シート!T$134:T$153)*AY$2</f>
        <v>0</v>
      </c>
    </row>
    <row r="598" spans="1:51" ht="14.25" thickBot="1">
      <c r="A598">
        <v>7</v>
      </c>
      <c r="B598" s="120">
        <f t="shared" si="257"/>
        <v>0</v>
      </c>
      <c r="C598" s="120" t="str">
        <f t="shared" si="257"/>
        <v/>
      </c>
      <c r="D598" s="137"/>
      <c r="E598" s="150" t="str">
        <f>工種!A80</f>
        <v>99106</v>
      </c>
      <c r="F598" s="119" t="str">
        <f>工種!B80</f>
        <v>間接業務：研修・学習</v>
      </c>
      <c r="G598" s="116" t="str">
        <f t="shared" si="254"/>
        <v>099106</v>
      </c>
      <c r="H598" s="88">
        <f t="shared" si="256"/>
        <v>0</v>
      </c>
      <c r="I598" s="132"/>
      <c r="J598" s="88">
        <f>SUMIF(月間集計シート!$M$29:$M$48,$G598,月間集計シート!N$29:N$48)*J$2</f>
        <v>0</v>
      </c>
      <c r="K598" s="88">
        <f>SUMIF(月間集計シート!$M$29:$M$48,$G598,月間集計シート!O$29:O$48)*K$2</f>
        <v>0</v>
      </c>
      <c r="L598" s="88">
        <f>SUMIF(月間集計シート!$M$29:$M$48,$G598,月間集計シート!P$29:P$48)*L$2</f>
        <v>0</v>
      </c>
      <c r="M598" s="88">
        <f>SUMIF(月間集計シート!$M$29:$M$48,$G598,月間集計シート!Q$29:Q$48)*M$2</f>
        <v>0</v>
      </c>
      <c r="N598" s="88">
        <f>SUMIF(月間集計シート!$M$29:$M$48,$G598,月間集計シート!R$29:R$48)*N$2</f>
        <v>0</v>
      </c>
      <c r="O598" s="88">
        <f>SUMIF(月間集計シート!$M$29:$M$48,$G598,月間集計シート!S$29:S$48)*O$2</f>
        <v>0</v>
      </c>
      <c r="P598" s="88">
        <f>SUMIF(月間集計シート!$M$29:$M$48,$G598,月間集計シート!T$29:T$48)*P$2</f>
        <v>0</v>
      </c>
      <c r="Q598" s="88">
        <f>SUMIF(月間集計シート!$M$50:$M$69,$G598,月間集計シート!N$50:N$69)*Q$2</f>
        <v>0</v>
      </c>
      <c r="R598" s="88">
        <f>SUMIF(月間集計シート!$M$50:$M$69,$G598,月間集計シート!O$50:O$69)*R$2</f>
        <v>0</v>
      </c>
      <c r="S598" s="88">
        <f>SUMIF(月間集計シート!$M$50:$M$69,$G598,月間集計シート!P$50:P$69)*S$2</f>
        <v>0</v>
      </c>
      <c r="T598" s="88">
        <f>SUMIF(月間集計シート!$M$50:$M$69,$G598,月間集計シート!Q$50:Q$69)*T$2</f>
        <v>0</v>
      </c>
      <c r="U598" s="88">
        <f>SUMIF(月間集計シート!$M$50:$M$69,$G598,月間集計シート!R$50:R$69)*U$2</f>
        <v>0</v>
      </c>
      <c r="V598" s="88">
        <f>SUMIF(月間集計シート!$M$50:$M$69,$G598,月間集計シート!S$50:S$69)*V$2</f>
        <v>0</v>
      </c>
      <c r="W598" s="88">
        <f>SUMIF(月間集計シート!$M$50:$M$69,$G598,月間集計シート!T$50:T$69)*W$2</f>
        <v>0</v>
      </c>
      <c r="X598" s="88">
        <f>SUMIF(月間集計シート!$M$71:$M$90,$G598,月間集計シート!N$71:N$90)*X$2</f>
        <v>0</v>
      </c>
      <c r="Y598" s="88">
        <f>SUMIF(月間集計シート!$M$71:$M$90,$G598,月間集計シート!O$71:O$90)*Y$2</f>
        <v>0</v>
      </c>
      <c r="Z598" s="88">
        <f>SUMIF(月間集計シート!$M$71:$M$90,$G598,月間集計シート!P$71:P$90)*Z$2</f>
        <v>0</v>
      </c>
      <c r="AA598" s="88">
        <f>SUMIF(月間集計シート!$M$71:$M$90,$G598,月間集計シート!Q$71:Q$90)*AA$2</f>
        <v>0</v>
      </c>
      <c r="AB598" s="88">
        <f>SUMIF(月間集計シート!$M$71:$M$90,$G598,月間集計シート!R$71:R$90)*AB$2</f>
        <v>0</v>
      </c>
      <c r="AC598" s="88">
        <f>SUMIF(月間集計シート!$M$71:$M$90,$G598,月間集計シート!S$71:S$90)*AC$2</f>
        <v>0</v>
      </c>
      <c r="AD598" s="88">
        <f>SUMIF(月間集計シート!$M$71:$M$90,$G598,月間集計シート!T$71:T$90)*AD$2</f>
        <v>0</v>
      </c>
      <c r="AE598" s="88">
        <f>SUMIF(月間集計シート!$M$92:$M$111,$G598,月間集計シート!N$92:N$111)*AE$2</f>
        <v>0</v>
      </c>
      <c r="AF598" s="88">
        <f>SUMIF(月間集計シート!$M$92:$M$111,$G598,月間集計シート!O$92:O$111)*AF$2</f>
        <v>0</v>
      </c>
      <c r="AG598" s="88">
        <f>SUMIF(月間集計シート!$M$92:$M$111,$G598,月間集計シート!P$92:P$111)*AG$2</f>
        <v>0</v>
      </c>
      <c r="AH598" s="88">
        <f>SUMIF(月間集計シート!$M$92:$M$111,$G598,月間集計シート!Q$92:Q$111)*AH$2</f>
        <v>0</v>
      </c>
      <c r="AI598" s="88">
        <f>SUMIF(月間集計シート!$M$92:$M$111,$G598,月間集計シート!R$92:R$111)*AI$2</f>
        <v>0</v>
      </c>
      <c r="AJ598" s="88">
        <f>SUMIF(月間集計シート!$M$92:$M$111,$G598,月間集計シート!S$92:S$111)*AJ$2</f>
        <v>0</v>
      </c>
      <c r="AK598" s="88">
        <f>SUMIF(月間集計シート!$M$92:$M$111,$G598,月間集計シート!T$92:T$111)*AK$2</f>
        <v>0</v>
      </c>
      <c r="AL598" s="88">
        <f>SUMIF(月間集計シート!$M$113:$M$132,$G598,月間集計シート!N$113:N$132)*AL$2</f>
        <v>0</v>
      </c>
      <c r="AM598" s="88">
        <f>SUMIF(月間集計シート!$M$113:$M$132,$G598,月間集計シート!O$113:O$132)*AM$2</f>
        <v>0</v>
      </c>
      <c r="AN598" s="88">
        <f>SUMIF(月間集計シート!$M$113:$M$132,$G598,月間集計シート!P$113:P$132)*AN$2</f>
        <v>0</v>
      </c>
      <c r="AO598" s="88">
        <f>SUMIF(月間集計シート!$M$113:$M$132,$G598,月間集計シート!Q$113:Q$132)*AO$2</f>
        <v>0</v>
      </c>
      <c r="AP598" s="88">
        <f>SUMIF(月間集計シート!$M$113:$M$132,$G598,月間集計シート!R$113:R$132)*AP$2</f>
        <v>0</v>
      </c>
      <c r="AQ598" s="88">
        <f>SUMIF(月間集計シート!$M$113:$M$132,$G598,月間集計シート!S$113:S$132)*AQ$2</f>
        <v>0</v>
      </c>
      <c r="AR598" s="88">
        <f>SUMIF(月間集計シート!$M$113:$M$132,$G598,月間集計シート!T$113:T$132)*AR$2</f>
        <v>0</v>
      </c>
      <c r="AS598" s="88">
        <f>SUMIF(月間集計シート!$M$134:$M$153,$G598,月間集計シート!N$134:N$153)*AS$2</f>
        <v>0</v>
      </c>
      <c r="AT598" s="88">
        <f>SUMIF(月間集計シート!$M$134:$M$153,$G598,月間集計シート!O$134:O$153)*AT$2</f>
        <v>0</v>
      </c>
      <c r="AU598" s="88">
        <f>SUMIF(月間集計シート!$M$134:$M$153,$G598,月間集計シート!P$134:P$153)*AU$2</f>
        <v>0</v>
      </c>
      <c r="AV598" s="88">
        <f>SUMIF(月間集計シート!$M$134:$M$153,$G598,月間集計シート!Q$134:Q$153)*AV$2</f>
        <v>0</v>
      </c>
      <c r="AW598" s="88">
        <f>SUMIF(月間集計シート!$M$134:$M$153,$G598,月間集計シート!R$134:R$153)*AW$2</f>
        <v>0</v>
      </c>
      <c r="AX598" s="88">
        <f>SUMIF(月間集計シート!$M$134:$M$153,$G598,月間集計シート!S$134:S$153)*AX$2</f>
        <v>0</v>
      </c>
      <c r="AY598" s="88">
        <f>SUMIF(月間集計シート!$M$134:$M$153,$G598,月間集計シート!T$134:T$153)*AY$2</f>
        <v>0</v>
      </c>
    </row>
    <row r="599" spans="1:51" ht="14.25" thickBot="1">
      <c r="A599">
        <v>7</v>
      </c>
      <c r="B599" s="120">
        <f t="shared" si="257"/>
        <v>0</v>
      </c>
      <c r="C599" s="120" t="str">
        <f t="shared" si="257"/>
        <v/>
      </c>
      <c r="D599" s="137"/>
      <c r="E599" s="150" t="str">
        <f>工種!A81</f>
        <v>99107</v>
      </c>
      <c r="F599" s="119" t="str">
        <f>工種!B81</f>
        <v>間接業務：事務作業（開発以外）</v>
      </c>
      <c r="G599" s="116" t="str">
        <f t="shared" ref="G599:G600" si="258">B599&amp;E599</f>
        <v>099107</v>
      </c>
      <c r="H599" s="88">
        <f t="shared" ref="H599:H600" si="259">SUM(J599:AY599)</f>
        <v>0</v>
      </c>
      <c r="I599" s="132"/>
      <c r="J599" s="88">
        <f>SUMIF(月間集計シート!$M$29:$M$48,$G599,月間集計シート!N$29:N$48)*J$2</f>
        <v>0</v>
      </c>
      <c r="K599" s="88">
        <f>SUMIF(月間集計シート!$M$29:$M$48,$G599,月間集計シート!O$29:O$48)*K$2</f>
        <v>0</v>
      </c>
      <c r="L599" s="88">
        <f>SUMIF(月間集計シート!$M$29:$M$48,$G599,月間集計シート!P$29:P$48)*L$2</f>
        <v>0</v>
      </c>
      <c r="M599" s="88">
        <f>SUMIF(月間集計シート!$M$29:$M$48,$G599,月間集計シート!Q$29:Q$48)*M$2</f>
        <v>0</v>
      </c>
      <c r="N599" s="88">
        <f>SUMIF(月間集計シート!$M$29:$M$48,$G599,月間集計シート!R$29:R$48)*N$2</f>
        <v>0</v>
      </c>
      <c r="O599" s="88">
        <f>SUMIF(月間集計シート!$M$29:$M$48,$G599,月間集計シート!S$29:S$48)*O$2</f>
        <v>0</v>
      </c>
      <c r="P599" s="88">
        <f>SUMIF(月間集計シート!$M$29:$M$48,$G599,月間集計シート!T$29:T$48)*P$2</f>
        <v>0</v>
      </c>
      <c r="Q599" s="88">
        <f>SUMIF(月間集計シート!$M$50:$M$69,$G599,月間集計シート!N$50:N$69)*Q$2</f>
        <v>0</v>
      </c>
      <c r="R599" s="88">
        <f>SUMIF(月間集計シート!$M$50:$M$69,$G599,月間集計シート!O$50:O$69)*R$2</f>
        <v>0</v>
      </c>
      <c r="S599" s="88">
        <f>SUMIF(月間集計シート!$M$50:$M$69,$G599,月間集計シート!P$50:P$69)*S$2</f>
        <v>0</v>
      </c>
      <c r="T599" s="88">
        <f>SUMIF(月間集計シート!$M$50:$M$69,$G599,月間集計シート!Q$50:Q$69)*T$2</f>
        <v>0</v>
      </c>
      <c r="U599" s="88">
        <f>SUMIF(月間集計シート!$M$50:$M$69,$G599,月間集計シート!R$50:R$69)*U$2</f>
        <v>0</v>
      </c>
      <c r="V599" s="88">
        <f>SUMIF(月間集計シート!$M$50:$M$69,$G599,月間集計シート!S$50:S$69)*V$2</f>
        <v>0</v>
      </c>
      <c r="W599" s="88">
        <f>SUMIF(月間集計シート!$M$50:$M$69,$G599,月間集計シート!T$50:T$69)*W$2</f>
        <v>0</v>
      </c>
      <c r="X599" s="88">
        <f>SUMIF(月間集計シート!$M$71:$M$90,$G599,月間集計シート!N$71:N$90)*X$2</f>
        <v>0</v>
      </c>
      <c r="Y599" s="88">
        <f>SUMIF(月間集計シート!$M$71:$M$90,$G599,月間集計シート!O$71:O$90)*Y$2</f>
        <v>0</v>
      </c>
      <c r="Z599" s="88">
        <f>SUMIF(月間集計シート!$M$71:$M$90,$G599,月間集計シート!P$71:P$90)*Z$2</f>
        <v>0</v>
      </c>
      <c r="AA599" s="88">
        <f>SUMIF(月間集計シート!$M$71:$M$90,$G599,月間集計シート!Q$71:Q$90)*AA$2</f>
        <v>0</v>
      </c>
      <c r="AB599" s="88">
        <f>SUMIF(月間集計シート!$M$71:$M$90,$G599,月間集計シート!R$71:R$90)*AB$2</f>
        <v>0</v>
      </c>
      <c r="AC599" s="88">
        <f>SUMIF(月間集計シート!$M$71:$M$90,$G599,月間集計シート!S$71:S$90)*AC$2</f>
        <v>0</v>
      </c>
      <c r="AD599" s="88">
        <f>SUMIF(月間集計シート!$M$71:$M$90,$G599,月間集計シート!T$71:T$90)*AD$2</f>
        <v>0</v>
      </c>
      <c r="AE599" s="88">
        <f>SUMIF(月間集計シート!$M$92:$M$111,$G599,月間集計シート!N$92:N$111)*AE$2</f>
        <v>0</v>
      </c>
      <c r="AF599" s="88">
        <f>SUMIF(月間集計シート!$M$92:$M$111,$G599,月間集計シート!O$92:O$111)*AF$2</f>
        <v>0</v>
      </c>
      <c r="AG599" s="88">
        <f>SUMIF(月間集計シート!$M$92:$M$111,$G599,月間集計シート!P$92:P$111)*AG$2</f>
        <v>0</v>
      </c>
      <c r="AH599" s="88">
        <f>SUMIF(月間集計シート!$M$92:$M$111,$G599,月間集計シート!Q$92:Q$111)*AH$2</f>
        <v>0</v>
      </c>
      <c r="AI599" s="88">
        <f>SUMIF(月間集計シート!$M$92:$M$111,$G599,月間集計シート!R$92:R$111)*AI$2</f>
        <v>0</v>
      </c>
      <c r="AJ599" s="88">
        <f>SUMIF(月間集計シート!$M$92:$M$111,$G599,月間集計シート!S$92:S$111)*AJ$2</f>
        <v>0</v>
      </c>
      <c r="AK599" s="88">
        <f>SUMIF(月間集計シート!$M$92:$M$111,$G599,月間集計シート!T$92:T$111)*AK$2</f>
        <v>0</v>
      </c>
      <c r="AL599" s="88">
        <f>SUMIF(月間集計シート!$M$113:$M$132,$G599,月間集計シート!N$113:N$132)*AL$2</f>
        <v>0</v>
      </c>
      <c r="AM599" s="88">
        <f>SUMIF(月間集計シート!$M$113:$M$132,$G599,月間集計シート!O$113:O$132)*AM$2</f>
        <v>0</v>
      </c>
      <c r="AN599" s="88">
        <f>SUMIF(月間集計シート!$M$113:$M$132,$G599,月間集計シート!P$113:P$132)*AN$2</f>
        <v>0</v>
      </c>
      <c r="AO599" s="88">
        <f>SUMIF(月間集計シート!$M$113:$M$132,$G599,月間集計シート!Q$113:Q$132)*AO$2</f>
        <v>0</v>
      </c>
      <c r="AP599" s="88">
        <f>SUMIF(月間集計シート!$M$113:$M$132,$G599,月間集計シート!R$113:R$132)*AP$2</f>
        <v>0</v>
      </c>
      <c r="AQ599" s="88">
        <f>SUMIF(月間集計シート!$M$113:$M$132,$G599,月間集計シート!S$113:S$132)*AQ$2</f>
        <v>0</v>
      </c>
      <c r="AR599" s="88">
        <f>SUMIF(月間集計シート!$M$113:$M$132,$G599,月間集計シート!T$113:T$132)*AR$2</f>
        <v>0</v>
      </c>
      <c r="AS599" s="88">
        <f>SUMIF(月間集計シート!$M$134:$M$153,$G599,月間集計シート!N$134:N$153)*AS$2</f>
        <v>0</v>
      </c>
      <c r="AT599" s="88">
        <f>SUMIF(月間集計シート!$M$134:$M$153,$G599,月間集計シート!O$134:O$153)*AT$2</f>
        <v>0</v>
      </c>
      <c r="AU599" s="88">
        <f>SUMIF(月間集計シート!$M$134:$M$153,$G599,月間集計シート!P$134:P$153)*AU$2</f>
        <v>0</v>
      </c>
      <c r="AV599" s="88">
        <f>SUMIF(月間集計シート!$M$134:$M$153,$G599,月間集計シート!Q$134:Q$153)*AV$2</f>
        <v>0</v>
      </c>
      <c r="AW599" s="88">
        <f>SUMIF(月間集計シート!$M$134:$M$153,$G599,月間集計シート!R$134:R$153)*AW$2</f>
        <v>0</v>
      </c>
      <c r="AX599" s="88">
        <f>SUMIF(月間集計シート!$M$134:$M$153,$G599,月間集計シート!S$134:S$153)*AX$2</f>
        <v>0</v>
      </c>
      <c r="AY599" s="88">
        <f>SUMIF(月間集計シート!$M$134:$M$153,$G599,月間集計シート!T$134:T$153)*AY$2</f>
        <v>0</v>
      </c>
    </row>
    <row r="600" spans="1:51" ht="14.25" thickBot="1">
      <c r="A600">
        <v>7</v>
      </c>
      <c r="B600" s="120">
        <f t="shared" si="257"/>
        <v>0</v>
      </c>
      <c r="C600" s="120" t="str">
        <f t="shared" si="257"/>
        <v/>
      </c>
      <c r="D600" s="137"/>
      <c r="E600" s="150" t="str">
        <f>工種!A82</f>
        <v>99110</v>
      </c>
      <c r="F600" s="119" t="str">
        <f>工種!B82</f>
        <v>間接業務：打合せ</v>
      </c>
      <c r="G600" s="116" t="str">
        <f t="shared" si="258"/>
        <v>099110</v>
      </c>
      <c r="H600" s="88">
        <f t="shared" si="259"/>
        <v>0</v>
      </c>
      <c r="I600" s="132"/>
      <c r="J600" s="88">
        <f>SUMIF(月間集計シート!$M$29:$M$48,$G600,月間集計シート!N$29:N$48)*J$2</f>
        <v>0</v>
      </c>
      <c r="K600" s="88">
        <f>SUMIF(月間集計シート!$M$29:$M$48,$G600,月間集計シート!O$29:O$48)*K$2</f>
        <v>0</v>
      </c>
      <c r="L600" s="88">
        <f>SUMIF(月間集計シート!$M$29:$M$48,$G600,月間集計シート!P$29:P$48)*L$2</f>
        <v>0</v>
      </c>
      <c r="M600" s="88">
        <f>SUMIF(月間集計シート!$M$29:$M$48,$G600,月間集計シート!Q$29:Q$48)*M$2</f>
        <v>0</v>
      </c>
      <c r="N600" s="88">
        <f>SUMIF(月間集計シート!$M$29:$M$48,$G600,月間集計シート!R$29:R$48)*N$2</f>
        <v>0</v>
      </c>
      <c r="O600" s="88">
        <f>SUMIF(月間集計シート!$M$29:$M$48,$G600,月間集計シート!S$29:S$48)*O$2</f>
        <v>0</v>
      </c>
      <c r="P600" s="88">
        <f>SUMIF(月間集計シート!$M$29:$M$48,$G600,月間集計シート!T$29:T$48)*P$2</f>
        <v>0</v>
      </c>
      <c r="Q600" s="88">
        <f>SUMIF(月間集計シート!$M$50:$M$69,$G600,月間集計シート!N$50:N$69)*Q$2</f>
        <v>0</v>
      </c>
      <c r="R600" s="88">
        <f>SUMIF(月間集計シート!$M$50:$M$69,$G600,月間集計シート!O$50:O$69)*R$2</f>
        <v>0</v>
      </c>
      <c r="S600" s="88">
        <f>SUMIF(月間集計シート!$M$50:$M$69,$G600,月間集計シート!P$50:P$69)*S$2</f>
        <v>0</v>
      </c>
      <c r="T600" s="88">
        <f>SUMIF(月間集計シート!$M$50:$M$69,$G600,月間集計シート!Q$50:Q$69)*T$2</f>
        <v>0</v>
      </c>
      <c r="U600" s="88">
        <f>SUMIF(月間集計シート!$M$50:$M$69,$G600,月間集計シート!R$50:R$69)*U$2</f>
        <v>0</v>
      </c>
      <c r="V600" s="88">
        <f>SUMIF(月間集計シート!$M$50:$M$69,$G600,月間集計シート!S$50:S$69)*V$2</f>
        <v>0</v>
      </c>
      <c r="W600" s="88">
        <f>SUMIF(月間集計シート!$M$50:$M$69,$G600,月間集計シート!T$50:T$69)*W$2</f>
        <v>0</v>
      </c>
      <c r="X600" s="88">
        <f>SUMIF(月間集計シート!$M$71:$M$90,$G600,月間集計シート!N$71:N$90)*X$2</f>
        <v>0</v>
      </c>
      <c r="Y600" s="88">
        <f>SUMIF(月間集計シート!$M$71:$M$90,$G600,月間集計シート!O$71:O$90)*Y$2</f>
        <v>0</v>
      </c>
      <c r="Z600" s="88">
        <f>SUMIF(月間集計シート!$M$71:$M$90,$G600,月間集計シート!P$71:P$90)*Z$2</f>
        <v>0</v>
      </c>
      <c r="AA600" s="88">
        <f>SUMIF(月間集計シート!$M$71:$M$90,$G600,月間集計シート!Q$71:Q$90)*AA$2</f>
        <v>0</v>
      </c>
      <c r="AB600" s="88">
        <f>SUMIF(月間集計シート!$M$71:$M$90,$G600,月間集計シート!R$71:R$90)*AB$2</f>
        <v>0</v>
      </c>
      <c r="AC600" s="88">
        <f>SUMIF(月間集計シート!$M$71:$M$90,$G600,月間集計シート!S$71:S$90)*AC$2</f>
        <v>0</v>
      </c>
      <c r="AD600" s="88">
        <f>SUMIF(月間集計シート!$M$71:$M$90,$G600,月間集計シート!T$71:T$90)*AD$2</f>
        <v>0</v>
      </c>
      <c r="AE600" s="88">
        <f>SUMIF(月間集計シート!$M$92:$M$111,$G600,月間集計シート!N$92:N$111)*AE$2</f>
        <v>0</v>
      </c>
      <c r="AF600" s="88">
        <f>SUMIF(月間集計シート!$M$92:$M$111,$G600,月間集計シート!O$92:O$111)*AF$2</f>
        <v>0</v>
      </c>
      <c r="AG600" s="88">
        <f>SUMIF(月間集計シート!$M$92:$M$111,$G600,月間集計シート!P$92:P$111)*AG$2</f>
        <v>0</v>
      </c>
      <c r="AH600" s="88">
        <f>SUMIF(月間集計シート!$M$92:$M$111,$G600,月間集計シート!Q$92:Q$111)*AH$2</f>
        <v>0</v>
      </c>
      <c r="AI600" s="88">
        <f>SUMIF(月間集計シート!$M$92:$M$111,$G600,月間集計シート!R$92:R$111)*AI$2</f>
        <v>0</v>
      </c>
      <c r="AJ600" s="88">
        <f>SUMIF(月間集計シート!$M$92:$M$111,$G600,月間集計シート!S$92:S$111)*AJ$2</f>
        <v>0</v>
      </c>
      <c r="AK600" s="88">
        <f>SUMIF(月間集計シート!$M$92:$M$111,$G600,月間集計シート!T$92:T$111)*AK$2</f>
        <v>0</v>
      </c>
      <c r="AL600" s="88">
        <f>SUMIF(月間集計シート!$M$113:$M$132,$G600,月間集計シート!N$113:N$132)*AL$2</f>
        <v>0</v>
      </c>
      <c r="AM600" s="88">
        <f>SUMIF(月間集計シート!$M$113:$M$132,$G600,月間集計シート!O$113:O$132)*AM$2</f>
        <v>0</v>
      </c>
      <c r="AN600" s="88">
        <f>SUMIF(月間集計シート!$M$113:$M$132,$G600,月間集計シート!P$113:P$132)*AN$2</f>
        <v>0</v>
      </c>
      <c r="AO600" s="88">
        <f>SUMIF(月間集計シート!$M$113:$M$132,$G600,月間集計シート!Q$113:Q$132)*AO$2</f>
        <v>0</v>
      </c>
      <c r="AP600" s="88">
        <f>SUMIF(月間集計シート!$M$113:$M$132,$G600,月間集計シート!R$113:R$132)*AP$2</f>
        <v>0</v>
      </c>
      <c r="AQ600" s="88">
        <f>SUMIF(月間集計シート!$M$113:$M$132,$G600,月間集計シート!S$113:S$132)*AQ$2</f>
        <v>0</v>
      </c>
      <c r="AR600" s="88">
        <f>SUMIF(月間集計シート!$M$113:$M$132,$G600,月間集計シート!T$113:T$132)*AR$2</f>
        <v>0</v>
      </c>
      <c r="AS600" s="88">
        <f>SUMIF(月間集計シート!$M$134:$M$153,$G600,月間集計シート!N$134:N$153)*AS$2</f>
        <v>0</v>
      </c>
      <c r="AT600" s="88">
        <f>SUMIF(月間集計シート!$M$134:$M$153,$G600,月間集計シート!O$134:O$153)*AT$2</f>
        <v>0</v>
      </c>
      <c r="AU600" s="88">
        <f>SUMIF(月間集計シート!$M$134:$M$153,$G600,月間集計シート!P$134:P$153)*AU$2</f>
        <v>0</v>
      </c>
      <c r="AV600" s="88">
        <f>SUMIF(月間集計シート!$M$134:$M$153,$G600,月間集計シート!Q$134:Q$153)*AV$2</f>
        <v>0</v>
      </c>
      <c r="AW600" s="88">
        <f>SUMIF(月間集計シート!$M$134:$M$153,$G600,月間集計シート!R$134:R$153)*AW$2</f>
        <v>0</v>
      </c>
      <c r="AX600" s="88">
        <f>SUMIF(月間集計シート!$M$134:$M$153,$G600,月間集計シート!S$134:S$153)*AX$2</f>
        <v>0</v>
      </c>
      <c r="AY600" s="88">
        <f>SUMIF(月間集計シート!$M$134:$M$153,$G600,月間集計シート!T$134:T$153)*AY$2</f>
        <v>0</v>
      </c>
    </row>
    <row r="601" spans="1:51" ht="14.25" thickBot="1">
      <c r="A601">
        <v>7</v>
      </c>
      <c r="B601" s="120">
        <f>B600</f>
        <v>0</v>
      </c>
      <c r="C601" s="120" t="str">
        <f>C600</f>
        <v/>
      </c>
      <c r="D601" s="137"/>
      <c r="E601" s="150" t="str">
        <f>工種!A83</f>
        <v>99199</v>
      </c>
      <c r="F601" s="119" t="str">
        <f>工種!B83</f>
        <v>間接業務：その他</v>
      </c>
      <c r="G601" s="116" t="str">
        <f t="shared" si="253"/>
        <v>099199</v>
      </c>
      <c r="H601" s="88">
        <f t="shared" si="247"/>
        <v>0</v>
      </c>
      <c r="I601" s="132"/>
      <c r="J601" s="88">
        <f>SUMIF(月間集計シート!$M$29:$M$48,$G601,月間集計シート!N$29:N$48)*J$2</f>
        <v>0</v>
      </c>
      <c r="K601" s="88">
        <f>SUMIF(月間集計シート!$M$29:$M$48,$G601,月間集計シート!O$29:O$48)*K$2</f>
        <v>0</v>
      </c>
      <c r="L601" s="88">
        <f>SUMIF(月間集計シート!$M$29:$M$48,$G601,月間集計シート!P$29:P$48)*L$2</f>
        <v>0</v>
      </c>
      <c r="M601" s="88">
        <f>SUMIF(月間集計シート!$M$29:$M$48,$G601,月間集計シート!Q$29:Q$48)*M$2</f>
        <v>0</v>
      </c>
      <c r="N601" s="88">
        <f>SUMIF(月間集計シート!$M$29:$M$48,$G601,月間集計シート!R$29:R$48)*N$2</f>
        <v>0</v>
      </c>
      <c r="O601" s="88">
        <f>SUMIF(月間集計シート!$M$29:$M$48,$G601,月間集計シート!S$29:S$48)*O$2</f>
        <v>0</v>
      </c>
      <c r="P601" s="88">
        <f>SUMIF(月間集計シート!$M$29:$M$48,$G601,月間集計シート!T$29:T$48)*P$2</f>
        <v>0</v>
      </c>
      <c r="Q601" s="88">
        <f>SUMIF(月間集計シート!$M$50:$M$69,$G601,月間集計シート!N$50:N$69)*Q$2</f>
        <v>0</v>
      </c>
      <c r="R601" s="88">
        <f>SUMIF(月間集計シート!$M$50:$M$69,$G601,月間集計シート!O$50:O$69)*R$2</f>
        <v>0</v>
      </c>
      <c r="S601" s="88">
        <f>SUMIF(月間集計シート!$M$50:$M$69,$G601,月間集計シート!P$50:P$69)*S$2</f>
        <v>0</v>
      </c>
      <c r="T601" s="88">
        <f>SUMIF(月間集計シート!$M$50:$M$69,$G601,月間集計シート!Q$50:Q$69)*T$2</f>
        <v>0</v>
      </c>
      <c r="U601" s="88">
        <f>SUMIF(月間集計シート!$M$50:$M$69,$G601,月間集計シート!R$50:R$69)*U$2</f>
        <v>0</v>
      </c>
      <c r="V601" s="88">
        <f>SUMIF(月間集計シート!$M$50:$M$69,$G601,月間集計シート!S$50:S$69)*V$2</f>
        <v>0</v>
      </c>
      <c r="W601" s="88">
        <f>SUMIF(月間集計シート!$M$50:$M$69,$G601,月間集計シート!T$50:T$69)*W$2</f>
        <v>0</v>
      </c>
      <c r="X601" s="88">
        <f>SUMIF(月間集計シート!$M$71:$M$90,$G601,月間集計シート!N$71:N$90)*X$2</f>
        <v>0</v>
      </c>
      <c r="Y601" s="88">
        <f>SUMIF(月間集計シート!$M$71:$M$90,$G601,月間集計シート!O$71:O$90)*Y$2</f>
        <v>0</v>
      </c>
      <c r="Z601" s="88">
        <f>SUMIF(月間集計シート!$M$71:$M$90,$G601,月間集計シート!P$71:P$90)*Z$2</f>
        <v>0</v>
      </c>
      <c r="AA601" s="88">
        <f>SUMIF(月間集計シート!$M$71:$M$90,$G601,月間集計シート!Q$71:Q$90)*AA$2</f>
        <v>0</v>
      </c>
      <c r="AB601" s="88">
        <f>SUMIF(月間集計シート!$M$71:$M$90,$G601,月間集計シート!R$71:R$90)*AB$2</f>
        <v>0</v>
      </c>
      <c r="AC601" s="88">
        <f>SUMIF(月間集計シート!$M$71:$M$90,$G601,月間集計シート!S$71:S$90)*AC$2</f>
        <v>0</v>
      </c>
      <c r="AD601" s="88">
        <f>SUMIF(月間集計シート!$M$71:$M$90,$G601,月間集計シート!T$71:T$90)*AD$2</f>
        <v>0</v>
      </c>
      <c r="AE601" s="88">
        <f>SUMIF(月間集計シート!$M$92:$M$111,$G601,月間集計シート!N$92:N$111)*AE$2</f>
        <v>0</v>
      </c>
      <c r="AF601" s="88">
        <f>SUMIF(月間集計シート!$M$92:$M$111,$G601,月間集計シート!O$92:O$111)*AF$2</f>
        <v>0</v>
      </c>
      <c r="AG601" s="88">
        <f>SUMIF(月間集計シート!$M$92:$M$111,$G601,月間集計シート!P$92:P$111)*AG$2</f>
        <v>0</v>
      </c>
      <c r="AH601" s="88">
        <f>SUMIF(月間集計シート!$M$92:$M$111,$G601,月間集計シート!Q$92:Q$111)*AH$2</f>
        <v>0</v>
      </c>
      <c r="AI601" s="88">
        <f>SUMIF(月間集計シート!$M$92:$M$111,$G601,月間集計シート!R$92:R$111)*AI$2</f>
        <v>0</v>
      </c>
      <c r="AJ601" s="88">
        <f>SUMIF(月間集計シート!$M$92:$M$111,$G601,月間集計シート!S$92:S$111)*AJ$2</f>
        <v>0</v>
      </c>
      <c r="AK601" s="88">
        <f>SUMIF(月間集計シート!$M$92:$M$111,$G601,月間集計シート!T$92:T$111)*AK$2</f>
        <v>0</v>
      </c>
      <c r="AL601" s="88">
        <f>SUMIF(月間集計シート!$M$113:$M$132,$G601,月間集計シート!N$113:N$132)*AL$2</f>
        <v>0</v>
      </c>
      <c r="AM601" s="88">
        <f>SUMIF(月間集計シート!$M$113:$M$132,$G601,月間集計シート!O$113:O$132)*AM$2</f>
        <v>0</v>
      </c>
      <c r="AN601" s="88">
        <f>SUMIF(月間集計シート!$M$113:$M$132,$G601,月間集計シート!P$113:P$132)*AN$2</f>
        <v>0</v>
      </c>
      <c r="AO601" s="88">
        <f>SUMIF(月間集計シート!$M$113:$M$132,$G601,月間集計シート!Q$113:Q$132)*AO$2</f>
        <v>0</v>
      </c>
      <c r="AP601" s="88">
        <f>SUMIF(月間集計シート!$M$113:$M$132,$G601,月間集計シート!R$113:R$132)*AP$2</f>
        <v>0</v>
      </c>
      <c r="AQ601" s="88">
        <f>SUMIF(月間集計シート!$M$113:$M$132,$G601,月間集計シート!S$113:S$132)*AQ$2</f>
        <v>0</v>
      </c>
      <c r="AR601" s="88">
        <f>SUMIF(月間集計シート!$M$113:$M$132,$G601,月間集計シート!T$113:T$132)*AR$2</f>
        <v>0</v>
      </c>
      <c r="AS601" s="88">
        <f>SUMIF(月間集計シート!$M$134:$M$153,$G601,月間集計シート!N$134:N$153)*AS$2</f>
        <v>0</v>
      </c>
      <c r="AT601" s="88">
        <f>SUMIF(月間集計シート!$M$134:$M$153,$G601,月間集計シート!O$134:O$153)*AT$2</f>
        <v>0</v>
      </c>
      <c r="AU601" s="88">
        <f>SUMIF(月間集計シート!$M$134:$M$153,$G601,月間集計シート!P$134:P$153)*AU$2</f>
        <v>0</v>
      </c>
      <c r="AV601" s="88">
        <f>SUMIF(月間集計シート!$M$134:$M$153,$G601,月間集計シート!Q$134:Q$153)*AV$2</f>
        <v>0</v>
      </c>
      <c r="AW601" s="88">
        <f>SUMIF(月間集計シート!$M$134:$M$153,$G601,月間集計シート!R$134:R$153)*AW$2</f>
        <v>0</v>
      </c>
      <c r="AX601" s="88">
        <f>SUMIF(月間集計シート!$M$134:$M$153,$G601,月間集計シート!S$134:S$153)*AX$2</f>
        <v>0</v>
      </c>
      <c r="AY601" s="88">
        <f>SUMIF(月間集計シート!$M$134:$M$153,$G601,月間集計シート!T$134:T$153)*AY$2</f>
        <v>0</v>
      </c>
    </row>
    <row r="602" spans="1:51">
      <c r="B602" s="120"/>
      <c r="C602" s="120"/>
      <c r="D602" s="127"/>
      <c r="E602" s="115"/>
      <c r="F602" s="119"/>
      <c r="G602" s="116"/>
      <c r="H602" s="88"/>
      <c r="I602" s="132"/>
      <c r="J602" s="88"/>
      <c r="K602" s="88"/>
      <c r="L602" s="88"/>
      <c r="M602" s="88"/>
      <c r="N602" s="88"/>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c r="AO602" s="88"/>
      <c r="AP602" s="88"/>
      <c r="AQ602" s="88"/>
      <c r="AR602" s="88"/>
      <c r="AS602" s="88"/>
      <c r="AT602" s="88"/>
      <c r="AU602" s="88"/>
      <c r="AV602" s="88"/>
      <c r="AW602" s="88"/>
      <c r="AX602" s="88"/>
      <c r="AY602" s="88"/>
    </row>
    <row r="603" spans="1:51" ht="14.25" thickBot="1">
      <c r="A603">
        <v>8</v>
      </c>
      <c r="B603">
        <f>月間集計シート!I11</f>
        <v>0</v>
      </c>
      <c r="C603" s="116" t="str">
        <f>月間集計シート!J11</f>
        <v/>
      </c>
      <c r="D603" s="147">
        <v>1</v>
      </c>
      <c r="E603" s="115" t="s">
        <v>451</v>
      </c>
      <c r="F603" s="119" t="s">
        <v>29</v>
      </c>
      <c r="G603" s="116"/>
      <c r="H603" s="88">
        <f t="shared" ref="H603:H686" si="260">SUM(J603:AY603)</f>
        <v>0</v>
      </c>
      <c r="I603" s="132"/>
      <c r="J603" s="88">
        <f>SUM(J605:J686)</f>
        <v>0</v>
      </c>
      <c r="K603" s="88">
        <f t="shared" ref="K603:AY603" si="261">SUM(K605:K686)</f>
        <v>0</v>
      </c>
      <c r="L603" s="88">
        <f t="shared" si="261"/>
        <v>0</v>
      </c>
      <c r="M603" s="88">
        <f t="shared" si="261"/>
        <v>0</v>
      </c>
      <c r="N603" s="88">
        <f t="shared" si="261"/>
        <v>0</v>
      </c>
      <c r="O603" s="88">
        <f t="shared" si="261"/>
        <v>0</v>
      </c>
      <c r="P603" s="88">
        <f t="shared" si="261"/>
        <v>0</v>
      </c>
      <c r="Q603" s="88">
        <f t="shared" si="261"/>
        <v>0</v>
      </c>
      <c r="R603" s="88">
        <f t="shared" si="261"/>
        <v>0</v>
      </c>
      <c r="S603" s="88">
        <f t="shared" si="261"/>
        <v>0</v>
      </c>
      <c r="T603" s="88">
        <f t="shared" si="261"/>
        <v>0</v>
      </c>
      <c r="U603" s="88">
        <f t="shared" si="261"/>
        <v>0</v>
      </c>
      <c r="V603" s="88">
        <f t="shared" si="261"/>
        <v>0</v>
      </c>
      <c r="W603" s="88">
        <f t="shared" si="261"/>
        <v>0</v>
      </c>
      <c r="X603" s="88">
        <f t="shared" si="261"/>
        <v>0</v>
      </c>
      <c r="Y603" s="88">
        <f t="shared" si="261"/>
        <v>0</v>
      </c>
      <c r="Z603" s="88">
        <f t="shared" si="261"/>
        <v>0</v>
      </c>
      <c r="AA603" s="88">
        <f t="shared" si="261"/>
        <v>0</v>
      </c>
      <c r="AB603" s="88">
        <f t="shared" si="261"/>
        <v>0</v>
      </c>
      <c r="AC603" s="88">
        <f t="shared" si="261"/>
        <v>0</v>
      </c>
      <c r="AD603" s="88">
        <f t="shared" si="261"/>
        <v>0</v>
      </c>
      <c r="AE603" s="88">
        <f t="shared" si="261"/>
        <v>0</v>
      </c>
      <c r="AF603" s="88">
        <f t="shared" si="261"/>
        <v>0</v>
      </c>
      <c r="AG603" s="88">
        <f t="shared" si="261"/>
        <v>0</v>
      </c>
      <c r="AH603" s="88">
        <f t="shared" si="261"/>
        <v>0</v>
      </c>
      <c r="AI603" s="88">
        <f t="shared" si="261"/>
        <v>0</v>
      </c>
      <c r="AJ603" s="88">
        <f t="shared" si="261"/>
        <v>0</v>
      </c>
      <c r="AK603" s="88">
        <f t="shared" si="261"/>
        <v>0</v>
      </c>
      <c r="AL603" s="88">
        <f t="shared" si="261"/>
        <v>0</v>
      </c>
      <c r="AM603" s="88">
        <f t="shared" si="261"/>
        <v>0</v>
      </c>
      <c r="AN603" s="88">
        <f t="shared" si="261"/>
        <v>0</v>
      </c>
      <c r="AO603" s="88">
        <f t="shared" si="261"/>
        <v>0</v>
      </c>
      <c r="AP603" s="88">
        <f t="shared" si="261"/>
        <v>0</v>
      </c>
      <c r="AQ603" s="88">
        <f t="shared" si="261"/>
        <v>0</v>
      </c>
      <c r="AR603" s="88">
        <f t="shared" si="261"/>
        <v>0</v>
      </c>
      <c r="AS603" s="88">
        <f t="shared" si="261"/>
        <v>0</v>
      </c>
      <c r="AT603" s="88">
        <f t="shared" si="261"/>
        <v>0</v>
      </c>
      <c r="AU603" s="88">
        <f t="shared" si="261"/>
        <v>0</v>
      </c>
      <c r="AV603" s="88">
        <f t="shared" si="261"/>
        <v>0</v>
      </c>
      <c r="AW603" s="88">
        <f t="shared" si="261"/>
        <v>0</v>
      </c>
      <c r="AX603" s="88">
        <f t="shared" si="261"/>
        <v>0</v>
      </c>
      <c r="AY603" s="88">
        <f t="shared" si="261"/>
        <v>0</v>
      </c>
    </row>
    <row r="604" spans="1:51" ht="14.25" customHeight="1" thickBot="1">
      <c r="A604">
        <v>8</v>
      </c>
      <c r="B604">
        <f>B603</f>
        <v>0</v>
      </c>
      <c r="C604" s="116" t="str">
        <f>C603</f>
        <v/>
      </c>
      <c r="D604" s="147">
        <v>1</v>
      </c>
      <c r="E604" s="115" t="s">
        <v>453</v>
      </c>
      <c r="F604" s="119" t="s">
        <v>454</v>
      </c>
      <c r="G604" s="116"/>
      <c r="H604" s="129">
        <f t="shared" ref="H604" si="262">SUM(J604:AY604)</f>
        <v>0</v>
      </c>
      <c r="I604" s="132"/>
      <c r="J604" s="88">
        <f>SUMIF($D605:$D686,1,J605:J686)</f>
        <v>0</v>
      </c>
      <c r="K604" s="88">
        <f t="shared" ref="K604" si="263">SUMIF($D605:$D686,1,K605:K686)</f>
        <v>0</v>
      </c>
      <c r="L604" s="88">
        <f t="shared" ref="L604" si="264">SUMIF($D605:$D686,1,L605:L686)</f>
        <v>0</v>
      </c>
      <c r="M604" s="88">
        <f t="shared" ref="M604" si="265">SUMIF($D605:$D686,1,M605:M686)</f>
        <v>0</v>
      </c>
      <c r="N604" s="88">
        <f t="shared" ref="N604" si="266">SUMIF($D605:$D686,1,N605:N686)</f>
        <v>0</v>
      </c>
      <c r="O604" s="88">
        <f t="shared" ref="O604" si="267">SUMIF($D605:$D686,1,O605:O686)</f>
        <v>0</v>
      </c>
      <c r="P604" s="88">
        <f t="shared" ref="P604" si="268">SUMIF($D605:$D686,1,P605:P686)</f>
        <v>0</v>
      </c>
      <c r="Q604" s="88">
        <f t="shared" ref="Q604" si="269">SUMIF($D605:$D686,1,Q605:Q686)</f>
        <v>0</v>
      </c>
      <c r="R604" s="88">
        <f t="shared" ref="R604" si="270">SUMIF($D605:$D686,1,R605:R686)</f>
        <v>0</v>
      </c>
      <c r="S604" s="88">
        <f t="shared" ref="S604" si="271">SUMIF($D605:$D686,1,S605:S686)</f>
        <v>0</v>
      </c>
      <c r="T604" s="88">
        <f t="shared" ref="T604" si="272">SUMIF($D605:$D686,1,T605:T686)</f>
        <v>0</v>
      </c>
      <c r="U604" s="88">
        <f t="shared" ref="U604" si="273">SUMIF($D605:$D686,1,U605:U686)</f>
        <v>0</v>
      </c>
      <c r="V604" s="88">
        <f t="shared" ref="V604" si="274">SUMIF($D605:$D686,1,V605:V686)</f>
        <v>0</v>
      </c>
      <c r="W604" s="88">
        <f t="shared" ref="W604" si="275">SUMIF($D605:$D686,1,W605:W686)</f>
        <v>0</v>
      </c>
      <c r="X604" s="88">
        <f t="shared" ref="X604" si="276">SUMIF($D605:$D686,1,X605:X686)</f>
        <v>0</v>
      </c>
      <c r="Y604" s="88">
        <f t="shared" ref="Y604" si="277">SUMIF($D605:$D686,1,Y605:Y686)</f>
        <v>0</v>
      </c>
      <c r="Z604" s="88">
        <f t="shared" ref="Z604" si="278">SUMIF($D605:$D686,1,Z605:Z686)</f>
        <v>0</v>
      </c>
      <c r="AA604" s="88">
        <f t="shared" ref="AA604" si="279">SUMIF($D605:$D686,1,AA605:AA686)</f>
        <v>0</v>
      </c>
      <c r="AB604" s="88">
        <f t="shared" ref="AB604" si="280">SUMIF($D605:$D686,1,AB605:AB686)</f>
        <v>0</v>
      </c>
      <c r="AC604" s="88">
        <f t="shared" ref="AC604" si="281">SUMIF($D605:$D686,1,AC605:AC686)</f>
        <v>0</v>
      </c>
      <c r="AD604" s="88">
        <f t="shared" ref="AD604" si="282">SUMIF($D605:$D686,1,AD605:AD686)</f>
        <v>0</v>
      </c>
      <c r="AE604" s="88">
        <f t="shared" ref="AE604" si="283">SUMIF($D605:$D686,1,AE605:AE686)</f>
        <v>0</v>
      </c>
      <c r="AF604" s="88">
        <f t="shared" ref="AF604" si="284">SUMIF($D605:$D686,1,AF605:AF686)</f>
        <v>0</v>
      </c>
      <c r="AG604" s="88">
        <f t="shared" ref="AG604" si="285">SUMIF($D605:$D686,1,AG605:AG686)</f>
        <v>0</v>
      </c>
      <c r="AH604" s="88">
        <f t="shared" ref="AH604" si="286">SUMIF($D605:$D686,1,AH605:AH686)</f>
        <v>0</v>
      </c>
      <c r="AI604" s="88">
        <f t="shared" ref="AI604" si="287">SUMIF($D605:$D686,1,AI605:AI686)</f>
        <v>0</v>
      </c>
      <c r="AJ604" s="88">
        <f t="shared" ref="AJ604" si="288">SUMIF($D605:$D686,1,AJ605:AJ686)</f>
        <v>0</v>
      </c>
      <c r="AK604" s="88">
        <f t="shared" ref="AK604" si="289">SUMIF($D605:$D686,1,AK605:AK686)</f>
        <v>0</v>
      </c>
      <c r="AL604" s="88">
        <f t="shared" ref="AL604" si="290">SUMIF($D605:$D686,1,AL605:AL686)</f>
        <v>0</v>
      </c>
      <c r="AM604" s="88">
        <f t="shared" ref="AM604" si="291">SUMIF($D605:$D686,1,AM605:AM686)</f>
        <v>0</v>
      </c>
      <c r="AN604" s="88">
        <f t="shared" ref="AN604" si="292">SUMIF($D605:$D686,1,AN605:AN686)</f>
        <v>0</v>
      </c>
      <c r="AO604" s="88">
        <f t="shared" ref="AO604" si="293">SUMIF($D605:$D686,1,AO605:AO686)</f>
        <v>0</v>
      </c>
      <c r="AP604" s="88">
        <f t="shared" ref="AP604" si="294">SUMIF($D605:$D686,1,AP605:AP686)</f>
        <v>0</v>
      </c>
      <c r="AQ604" s="88">
        <f t="shared" ref="AQ604" si="295">SUMIF($D605:$D686,1,AQ605:AQ686)</f>
        <v>0</v>
      </c>
      <c r="AR604" s="88">
        <f t="shared" ref="AR604" si="296">SUMIF($D605:$D686,1,AR605:AR686)</f>
        <v>0</v>
      </c>
      <c r="AS604" s="88">
        <f t="shared" ref="AS604" si="297">SUMIF($D605:$D686,1,AS605:AS686)</f>
        <v>0</v>
      </c>
      <c r="AT604" s="88">
        <f t="shared" ref="AT604" si="298">SUMIF($D605:$D686,1,AT605:AT686)</f>
        <v>0</v>
      </c>
      <c r="AU604" s="88">
        <f t="shared" ref="AU604" si="299">SUMIF($D605:$D686,1,AU605:AU686)</f>
        <v>0</v>
      </c>
      <c r="AV604" s="88">
        <f t="shared" ref="AV604" si="300">SUMIF($D605:$D686,1,AV605:AV686)</f>
        <v>0</v>
      </c>
      <c r="AW604" s="88">
        <f t="shared" ref="AW604" si="301">SUMIF($D605:$D686,1,AW605:AW686)</f>
        <v>0</v>
      </c>
      <c r="AX604" s="88">
        <f t="shared" ref="AX604" si="302">SUMIF($D605:$D686,1,AX605:AX686)</f>
        <v>0</v>
      </c>
      <c r="AY604" s="88">
        <f t="shared" ref="AY604" si="303">SUMIF($D605:$D686,1,AY605:AY686)</f>
        <v>0</v>
      </c>
    </row>
    <row r="605" spans="1:51" ht="14.25" thickBot="1">
      <c r="A605">
        <v>8</v>
      </c>
      <c r="B605" s="120">
        <f>B603</f>
        <v>0</v>
      </c>
      <c r="C605" s="120" t="str">
        <f>C603</f>
        <v/>
      </c>
      <c r="D605" s="137"/>
      <c r="E605" s="150" t="str">
        <f>工種!A2</f>
        <v>10102</v>
      </c>
      <c r="F605" s="119" t="str">
        <f>工種!B2</f>
        <v>SRS：調査・分析・開発計画の準備・実施作業</v>
      </c>
      <c r="G605" s="116" t="str">
        <f t="shared" si="253"/>
        <v>010102</v>
      </c>
      <c r="H605" s="88">
        <f t="shared" si="260"/>
        <v>0</v>
      </c>
      <c r="I605" s="132"/>
      <c r="J605" s="88">
        <f>SUMIF(月間集計シート!$M$29:$M$48,$G605,月間集計シート!N$29:N$48)*J$2</f>
        <v>0</v>
      </c>
      <c r="K605" s="88">
        <f>SUMIF(月間集計シート!$M$29:$M$48,$G605,月間集計シート!O$29:O$48)*K$2</f>
        <v>0</v>
      </c>
      <c r="L605" s="88">
        <f>SUMIF(月間集計シート!$M$29:$M$48,$G605,月間集計シート!P$29:P$48)*L$2</f>
        <v>0</v>
      </c>
      <c r="M605" s="88">
        <f>SUMIF(月間集計シート!$M$29:$M$48,$G605,月間集計シート!Q$29:Q$48)*M$2</f>
        <v>0</v>
      </c>
      <c r="N605" s="88">
        <f>SUMIF(月間集計シート!$M$29:$M$48,$G605,月間集計シート!R$29:R$48)*N$2</f>
        <v>0</v>
      </c>
      <c r="O605" s="88">
        <f>SUMIF(月間集計シート!$M$29:$M$48,$G605,月間集計シート!S$29:S$48)*O$2</f>
        <v>0</v>
      </c>
      <c r="P605" s="88">
        <f>SUMIF(月間集計シート!$M$29:$M$48,$G605,月間集計シート!T$29:T$48)*P$2</f>
        <v>0</v>
      </c>
      <c r="Q605" s="88">
        <f>SUMIF(月間集計シート!$M$50:$M$69,$G605,月間集計シート!N$50:N$69)*Q$2</f>
        <v>0</v>
      </c>
      <c r="R605" s="88">
        <f>SUMIF(月間集計シート!$M$50:$M$69,$G605,月間集計シート!O$50:O$69)*R$2</f>
        <v>0</v>
      </c>
      <c r="S605" s="88">
        <f>SUMIF(月間集計シート!$M$50:$M$69,$G605,月間集計シート!P$50:P$69)*S$2</f>
        <v>0</v>
      </c>
      <c r="T605" s="88">
        <f>SUMIF(月間集計シート!$M$50:$M$69,$G605,月間集計シート!Q$50:Q$69)*T$2</f>
        <v>0</v>
      </c>
      <c r="U605" s="88">
        <f>SUMIF(月間集計シート!$M$50:$M$69,$G605,月間集計シート!R$50:R$69)*U$2</f>
        <v>0</v>
      </c>
      <c r="V605" s="88">
        <f>SUMIF(月間集計シート!$M$50:$M$69,$G605,月間集計シート!S$50:S$69)*V$2</f>
        <v>0</v>
      </c>
      <c r="W605" s="88">
        <f>SUMIF(月間集計シート!$M$50:$M$69,$G605,月間集計シート!T$50:T$69)*W$2</f>
        <v>0</v>
      </c>
      <c r="X605" s="88">
        <f>SUMIF(月間集計シート!$M$71:$M$90,$G605,月間集計シート!N$71:N$90)*X$2</f>
        <v>0</v>
      </c>
      <c r="Y605" s="88">
        <f>SUMIF(月間集計シート!$M$71:$M$90,$G605,月間集計シート!O$71:O$90)*Y$2</f>
        <v>0</v>
      </c>
      <c r="Z605" s="88">
        <f>SUMIF(月間集計シート!$M$71:$M$90,$G605,月間集計シート!P$71:P$90)*Z$2</f>
        <v>0</v>
      </c>
      <c r="AA605" s="88">
        <f>SUMIF(月間集計シート!$M$71:$M$90,$G605,月間集計シート!Q$71:Q$90)*AA$2</f>
        <v>0</v>
      </c>
      <c r="AB605" s="88">
        <f>SUMIF(月間集計シート!$M$71:$M$90,$G605,月間集計シート!R$71:R$90)*AB$2</f>
        <v>0</v>
      </c>
      <c r="AC605" s="88">
        <f>SUMIF(月間集計シート!$M$71:$M$90,$G605,月間集計シート!S$71:S$90)*AC$2</f>
        <v>0</v>
      </c>
      <c r="AD605" s="88">
        <f>SUMIF(月間集計シート!$M$71:$M$90,$G605,月間集計シート!T$71:T$90)*AD$2</f>
        <v>0</v>
      </c>
      <c r="AE605" s="88">
        <f>SUMIF(月間集計シート!$M$92:$M$111,$G605,月間集計シート!N$92:N$111)*AE$2</f>
        <v>0</v>
      </c>
      <c r="AF605" s="88">
        <f>SUMIF(月間集計シート!$M$92:$M$111,$G605,月間集計シート!O$92:O$111)*AF$2</f>
        <v>0</v>
      </c>
      <c r="AG605" s="88">
        <f>SUMIF(月間集計シート!$M$92:$M$111,$G605,月間集計シート!P$92:P$111)*AG$2</f>
        <v>0</v>
      </c>
      <c r="AH605" s="88">
        <f>SUMIF(月間集計シート!$M$92:$M$111,$G605,月間集計シート!Q$92:Q$111)*AH$2</f>
        <v>0</v>
      </c>
      <c r="AI605" s="88">
        <f>SUMIF(月間集計シート!$M$92:$M$111,$G605,月間集計シート!R$92:R$111)*AI$2</f>
        <v>0</v>
      </c>
      <c r="AJ605" s="88">
        <f>SUMIF(月間集計シート!$M$92:$M$111,$G605,月間集計シート!S$92:S$111)*AJ$2</f>
        <v>0</v>
      </c>
      <c r="AK605" s="88">
        <f>SUMIF(月間集計シート!$M$92:$M$111,$G605,月間集計シート!T$92:T$111)*AK$2</f>
        <v>0</v>
      </c>
      <c r="AL605" s="88">
        <f>SUMIF(月間集計シート!$M$113:$M$132,$G605,月間集計シート!N$113:N$132)*AL$2</f>
        <v>0</v>
      </c>
      <c r="AM605" s="88">
        <f>SUMIF(月間集計シート!$M$113:$M$132,$G605,月間集計シート!O$113:O$132)*AM$2</f>
        <v>0</v>
      </c>
      <c r="AN605" s="88">
        <f>SUMIF(月間集計シート!$M$113:$M$132,$G605,月間集計シート!P$113:P$132)*AN$2</f>
        <v>0</v>
      </c>
      <c r="AO605" s="88">
        <f>SUMIF(月間集計シート!$M$113:$M$132,$G605,月間集計シート!Q$113:Q$132)*AO$2</f>
        <v>0</v>
      </c>
      <c r="AP605" s="88">
        <f>SUMIF(月間集計シート!$M$113:$M$132,$G605,月間集計シート!R$113:R$132)*AP$2</f>
        <v>0</v>
      </c>
      <c r="AQ605" s="88">
        <f>SUMIF(月間集計シート!$M$113:$M$132,$G605,月間集計シート!S$113:S$132)*AQ$2</f>
        <v>0</v>
      </c>
      <c r="AR605" s="88">
        <f>SUMIF(月間集計シート!$M$113:$M$132,$G605,月間集計シート!T$113:T$132)*AR$2</f>
        <v>0</v>
      </c>
      <c r="AS605" s="88">
        <f>SUMIF(月間集計シート!$M$134:$M$153,$G605,月間集計シート!N$134:N$153)*AS$2</f>
        <v>0</v>
      </c>
      <c r="AT605" s="88">
        <f>SUMIF(月間集計シート!$M$134:$M$153,$G605,月間集計シート!O$134:O$153)*AT$2</f>
        <v>0</v>
      </c>
      <c r="AU605" s="88">
        <f>SUMIF(月間集計シート!$M$134:$M$153,$G605,月間集計シート!P$134:P$153)*AU$2</f>
        <v>0</v>
      </c>
      <c r="AV605" s="88">
        <f>SUMIF(月間集計シート!$M$134:$M$153,$G605,月間集計シート!Q$134:Q$153)*AV$2</f>
        <v>0</v>
      </c>
      <c r="AW605" s="88">
        <f>SUMIF(月間集計シート!$M$134:$M$153,$G605,月間集計シート!R$134:R$153)*AW$2</f>
        <v>0</v>
      </c>
      <c r="AX605" s="88">
        <f>SUMIF(月間集計シート!$M$134:$M$153,$G605,月間集計シート!S$134:S$153)*AX$2</f>
        <v>0</v>
      </c>
      <c r="AY605" s="88">
        <f>SUMIF(月間集計シート!$M$134:$M$153,$G605,月間集計シート!T$134:T$153)*AY$2</f>
        <v>0</v>
      </c>
    </row>
    <row r="606" spans="1:51" ht="14.25" thickBot="1">
      <c r="A606">
        <v>8</v>
      </c>
      <c r="B606" s="120">
        <f t="shared" ref="B606:B669" si="304">B605</f>
        <v>0</v>
      </c>
      <c r="C606" s="120" t="str">
        <f t="shared" ref="C606:C669" si="305">C605</f>
        <v/>
      </c>
      <c r="D606" s="137"/>
      <c r="E606" s="150" t="str">
        <f>工種!A3</f>
        <v>10103</v>
      </c>
      <c r="F606" s="119" t="str">
        <f>工種!B3</f>
        <v>SRS：企画書・計画書・報告書等資料作成・修正</v>
      </c>
      <c r="G606" s="116" t="str">
        <f t="shared" si="253"/>
        <v>010103</v>
      </c>
      <c r="H606" s="88">
        <f t="shared" si="260"/>
        <v>0</v>
      </c>
      <c r="I606" s="132"/>
      <c r="J606" s="88">
        <f>SUMIF(月間集計シート!$M$29:$M$48,$G606,月間集計シート!N$29:N$48)*J$2</f>
        <v>0</v>
      </c>
      <c r="K606" s="88">
        <f>SUMIF(月間集計シート!$M$29:$M$48,$G606,月間集計シート!O$29:O$48)*K$2</f>
        <v>0</v>
      </c>
      <c r="L606" s="88">
        <f>SUMIF(月間集計シート!$M$29:$M$48,$G606,月間集計シート!P$29:P$48)*L$2</f>
        <v>0</v>
      </c>
      <c r="M606" s="88">
        <f>SUMIF(月間集計シート!$M$29:$M$48,$G606,月間集計シート!Q$29:Q$48)*M$2</f>
        <v>0</v>
      </c>
      <c r="N606" s="88">
        <f>SUMIF(月間集計シート!$M$29:$M$48,$G606,月間集計シート!R$29:R$48)*N$2</f>
        <v>0</v>
      </c>
      <c r="O606" s="88">
        <f>SUMIF(月間集計シート!$M$29:$M$48,$G606,月間集計シート!S$29:S$48)*O$2</f>
        <v>0</v>
      </c>
      <c r="P606" s="88">
        <f>SUMIF(月間集計シート!$M$29:$M$48,$G606,月間集計シート!T$29:T$48)*P$2</f>
        <v>0</v>
      </c>
      <c r="Q606" s="88">
        <f>SUMIF(月間集計シート!$M$50:$M$69,$G606,月間集計シート!N$50:N$69)*Q$2</f>
        <v>0</v>
      </c>
      <c r="R606" s="88">
        <f>SUMIF(月間集計シート!$M$50:$M$69,$G606,月間集計シート!O$50:O$69)*R$2</f>
        <v>0</v>
      </c>
      <c r="S606" s="88">
        <f>SUMIF(月間集計シート!$M$50:$M$69,$G606,月間集計シート!P$50:P$69)*S$2</f>
        <v>0</v>
      </c>
      <c r="T606" s="88">
        <f>SUMIF(月間集計シート!$M$50:$M$69,$G606,月間集計シート!Q$50:Q$69)*T$2</f>
        <v>0</v>
      </c>
      <c r="U606" s="88">
        <f>SUMIF(月間集計シート!$M$50:$M$69,$G606,月間集計シート!R$50:R$69)*U$2</f>
        <v>0</v>
      </c>
      <c r="V606" s="88">
        <f>SUMIF(月間集計シート!$M$50:$M$69,$G606,月間集計シート!S$50:S$69)*V$2</f>
        <v>0</v>
      </c>
      <c r="W606" s="88">
        <f>SUMIF(月間集計シート!$M$50:$M$69,$G606,月間集計シート!T$50:T$69)*W$2</f>
        <v>0</v>
      </c>
      <c r="X606" s="88">
        <f>SUMIF(月間集計シート!$M$71:$M$90,$G606,月間集計シート!N$71:N$90)*X$2</f>
        <v>0</v>
      </c>
      <c r="Y606" s="88">
        <f>SUMIF(月間集計シート!$M$71:$M$90,$G606,月間集計シート!O$71:O$90)*Y$2</f>
        <v>0</v>
      </c>
      <c r="Z606" s="88">
        <f>SUMIF(月間集計シート!$M$71:$M$90,$G606,月間集計シート!P$71:P$90)*Z$2</f>
        <v>0</v>
      </c>
      <c r="AA606" s="88">
        <f>SUMIF(月間集計シート!$M$71:$M$90,$G606,月間集計シート!Q$71:Q$90)*AA$2</f>
        <v>0</v>
      </c>
      <c r="AB606" s="88">
        <f>SUMIF(月間集計シート!$M$71:$M$90,$G606,月間集計シート!R$71:R$90)*AB$2</f>
        <v>0</v>
      </c>
      <c r="AC606" s="88">
        <f>SUMIF(月間集計シート!$M$71:$M$90,$G606,月間集計シート!S$71:S$90)*AC$2</f>
        <v>0</v>
      </c>
      <c r="AD606" s="88">
        <f>SUMIF(月間集計シート!$M$71:$M$90,$G606,月間集計シート!T$71:T$90)*AD$2</f>
        <v>0</v>
      </c>
      <c r="AE606" s="88">
        <f>SUMIF(月間集計シート!$M$92:$M$111,$G606,月間集計シート!N$92:N$111)*AE$2</f>
        <v>0</v>
      </c>
      <c r="AF606" s="88">
        <f>SUMIF(月間集計シート!$M$92:$M$111,$G606,月間集計シート!O$92:O$111)*AF$2</f>
        <v>0</v>
      </c>
      <c r="AG606" s="88">
        <f>SUMIF(月間集計シート!$M$92:$M$111,$G606,月間集計シート!P$92:P$111)*AG$2</f>
        <v>0</v>
      </c>
      <c r="AH606" s="88">
        <f>SUMIF(月間集計シート!$M$92:$M$111,$G606,月間集計シート!Q$92:Q$111)*AH$2</f>
        <v>0</v>
      </c>
      <c r="AI606" s="88">
        <f>SUMIF(月間集計シート!$M$92:$M$111,$G606,月間集計シート!R$92:R$111)*AI$2</f>
        <v>0</v>
      </c>
      <c r="AJ606" s="88">
        <f>SUMIF(月間集計シート!$M$92:$M$111,$G606,月間集計シート!S$92:S$111)*AJ$2</f>
        <v>0</v>
      </c>
      <c r="AK606" s="88">
        <f>SUMIF(月間集計シート!$M$92:$M$111,$G606,月間集計シート!T$92:T$111)*AK$2</f>
        <v>0</v>
      </c>
      <c r="AL606" s="88">
        <f>SUMIF(月間集計シート!$M$113:$M$132,$G606,月間集計シート!N$113:N$132)*AL$2</f>
        <v>0</v>
      </c>
      <c r="AM606" s="88">
        <f>SUMIF(月間集計シート!$M$113:$M$132,$G606,月間集計シート!O$113:O$132)*AM$2</f>
        <v>0</v>
      </c>
      <c r="AN606" s="88">
        <f>SUMIF(月間集計シート!$M$113:$M$132,$G606,月間集計シート!P$113:P$132)*AN$2</f>
        <v>0</v>
      </c>
      <c r="AO606" s="88">
        <f>SUMIF(月間集計シート!$M$113:$M$132,$G606,月間集計シート!Q$113:Q$132)*AO$2</f>
        <v>0</v>
      </c>
      <c r="AP606" s="88">
        <f>SUMIF(月間集計シート!$M$113:$M$132,$G606,月間集計シート!R$113:R$132)*AP$2</f>
        <v>0</v>
      </c>
      <c r="AQ606" s="88">
        <f>SUMIF(月間集計シート!$M$113:$M$132,$G606,月間集計シート!S$113:S$132)*AQ$2</f>
        <v>0</v>
      </c>
      <c r="AR606" s="88">
        <f>SUMIF(月間集計シート!$M$113:$M$132,$G606,月間集計シート!T$113:T$132)*AR$2</f>
        <v>0</v>
      </c>
      <c r="AS606" s="88">
        <f>SUMIF(月間集計シート!$M$134:$M$153,$G606,月間集計シート!N$134:N$153)*AS$2</f>
        <v>0</v>
      </c>
      <c r="AT606" s="88">
        <f>SUMIF(月間集計シート!$M$134:$M$153,$G606,月間集計シート!O$134:O$153)*AT$2</f>
        <v>0</v>
      </c>
      <c r="AU606" s="88">
        <f>SUMIF(月間集計シート!$M$134:$M$153,$G606,月間集計シート!P$134:P$153)*AU$2</f>
        <v>0</v>
      </c>
      <c r="AV606" s="88">
        <f>SUMIF(月間集計シート!$M$134:$M$153,$G606,月間集計シート!Q$134:Q$153)*AV$2</f>
        <v>0</v>
      </c>
      <c r="AW606" s="88">
        <f>SUMIF(月間集計シート!$M$134:$M$153,$G606,月間集計シート!R$134:R$153)*AW$2</f>
        <v>0</v>
      </c>
      <c r="AX606" s="88">
        <f>SUMIF(月間集計シート!$M$134:$M$153,$G606,月間集計シート!S$134:S$153)*AX$2</f>
        <v>0</v>
      </c>
      <c r="AY606" s="88">
        <f>SUMIF(月間集計シート!$M$134:$M$153,$G606,月間集計シート!T$134:T$153)*AY$2</f>
        <v>0</v>
      </c>
    </row>
    <row r="607" spans="1:51" ht="14.25" thickBot="1">
      <c r="A607">
        <v>8</v>
      </c>
      <c r="B607" s="120">
        <f t="shared" si="304"/>
        <v>0</v>
      </c>
      <c r="C607" s="120" t="str">
        <f t="shared" si="305"/>
        <v/>
      </c>
      <c r="D607" s="137"/>
      <c r="E607" s="150" t="str">
        <f>工種!A4</f>
        <v>10104</v>
      </c>
      <c r="F607" s="119" t="str">
        <f>工種!B4</f>
        <v>SRS：打合せ</v>
      </c>
      <c r="G607" s="116" t="str">
        <f t="shared" si="253"/>
        <v>010104</v>
      </c>
      <c r="H607" s="88">
        <f t="shared" si="260"/>
        <v>0</v>
      </c>
      <c r="I607" s="132"/>
      <c r="J607" s="88">
        <f>SUMIF(月間集計シート!$M$29:$M$48,$G607,月間集計シート!N$29:N$48)*J$2</f>
        <v>0</v>
      </c>
      <c r="K607" s="88">
        <f>SUMIF(月間集計シート!$M$29:$M$48,$G607,月間集計シート!O$29:O$48)*K$2</f>
        <v>0</v>
      </c>
      <c r="L607" s="88">
        <f>SUMIF(月間集計シート!$M$29:$M$48,$G607,月間集計シート!P$29:P$48)*L$2</f>
        <v>0</v>
      </c>
      <c r="M607" s="88">
        <f>SUMIF(月間集計シート!$M$29:$M$48,$G607,月間集計シート!Q$29:Q$48)*M$2</f>
        <v>0</v>
      </c>
      <c r="N607" s="88">
        <f>SUMIF(月間集計シート!$M$29:$M$48,$G607,月間集計シート!R$29:R$48)*N$2</f>
        <v>0</v>
      </c>
      <c r="O607" s="88">
        <f>SUMIF(月間集計シート!$M$29:$M$48,$G607,月間集計シート!S$29:S$48)*O$2</f>
        <v>0</v>
      </c>
      <c r="P607" s="88">
        <f>SUMIF(月間集計シート!$M$29:$M$48,$G607,月間集計シート!T$29:T$48)*P$2</f>
        <v>0</v>
      </c>
      <c r="Q607" s="88">
        <f>SUMIF(月間集計シート!$M$50:$M$69,$G607,月間集計シート!N$50:N$69)*Q$2</f>
        <v>0</v>
      </c>
      <c r="R607" s="88">
        <f>SUMIF(月間集計シート!$M$50:$M$69,$G607,月間集計シート!O$50:O$69)*R$2</f>
        <v>0</v>
      </c>
      <c r="S607" s="88">
        <f>SUMIF(月間集計シート!$M$50:$M$69,$G607,月間集計シート!P$50:P$69)*S$2</f>
        <v>0</v>
      </c>
      <c r="T607" s="88">
        <f>SUMIF(月間集計シート!$M$50:$M$69,$G607,月間集計シート!Q$50:Q$69)*T$2</f>
        <v>0</v>
      </c>
      <c r="U607" s="88">
        <f>SUMIF(月間集計シート!$M$50:$M$69,$G607,月間集計シート!R$50:R$69)*U$2</f>
        <v>0</v>
      </c>
      <c r="V607" s="88">
        <f>SUMIF(月間集計シート!$M$50:$M$69,$G607,月間集計シート!S$50:S$69)*V$2</f>
        <v>0</v>
      </c>
      <c r="W607" s="88">
        <f>SUMIF(月間集計シート!$M$50:$M$69,$G607,月間集計シート!T$50:T$69)*W$2</f>
        <v>0</v>
      </c>
      <c r="X607" s="88">
        <f>SUMIF(月間集計シート!$M$71:$M$90,$G607,月間集計シート!N$71:N$90)*X$2</f>
        <v>0</v>
      </c>
      <c r="Y607" s="88">
        <f>SUMIF(月間集計シート!$M$71:$M$90,$G607,月間集計シート!O$71:O$90)*Y$2</f>
        <v>0</v>
      </c>
      <c r="Z607" s="88">
        <f>SUMIF(月間集計シート!$M$71:$M$90,$G607,月間集計シート!P$71:P$90)*Z$2</f>
        <v>0</v>
      </c>
      <c r="AA607" s="88">
        <f>SUMIF(月間集計シート!$M$71:$M$90,$G607,月間集計シート!Q$71:Q$90)*AA$2</f>
        <v>0</v>
      </c>
      <c r="AB607" s="88">
        <f>SUMIF(月間集計シート!$M$71:$M$90,$G607,月間集計シート!R$71:R$90)*AB$2</f>
        <v>0</v>
      </c>
      <c r="AC607" s="88">
        <f>SUMIF(月間集計シート!$M$71:$M$90,$G607,月間集計シート!S$71:S$90)*AC$2</f>
        <v>0</v>
      </c>
      <c r="AD607" s="88">
        <f>SUMIF(月間集計シート!$M$71:$M$90,$G607,月間集計シート!T$71:T$90)*AD$2</f>
        <v>0</v>
      </c>
      <c r="AE607" s="88">
        <f>SUMIF(月間集計シート!$M$92:$M$111,$G607,月間集計シート!N$92:N$111)*AE$2</f>
        <v>0</v>
      </c>
      <c r="AF607" s="88">
        <f>SUMIF(月間集計シート!$M$92:$M$111,$G607,月間集計シート!O$92:O$111)*AF$2</f>
        <v>0</v>
      </c>
      <c r="AG607" s="88">
        <f>SUMIF(月間集計シート!$M$92:$M$111,$G607,月間集計シート!P$92:P$111)*AG$2</f>
        <v>0</v>
      </c>
      <c r="AH607" s="88">
        <f>SUMIF(月間集計シート!$M$92:$M$111,$G607,月間集計シート!Q$92:Q$111)*AH$2</f>
        <v>0</v>
      </c>
      <c r="AI607" s="88">
        <f>SUMIF(月間集計シート!$M$92:$M$111,$G607,月間集計シート!R$92:R$111)*AI$2</f>
        <v>0</v>
      </c>
      <c r="AJ607" s="88">
        <f>SUMIF(月間集計シート!$M$92:$M$111,$G607,月間集計シート!S$92:S$111)*AJ$2</f>
        <v>0</v>
      </c>
      <c r="AK607" s="88">
        <f>SUMIF(月間集計シート!$M$92:$M$111,$G607,月間集計シート!T$92:T$111)*AK$2</f>
        <v>0</v>
      </c>
      <c r="AL607" s="88">
        <f>SUMIF(月間集計シート!$M$113:$M$132,$G607,月間集計シート!N$113:N$132)*AL$2</f>
        <v>0</v>
      </c>
      <c r="AM607" s="88">
        <f>SUMIF(月間集計シート!$M$113:$M$132,$G607,月間集計シート!O$113:O$132)*AM$2</f>
        <v>0</v>
      </c>
      <c r="AN607" s="88">
        <f>SUMIF(月間集計シート!$M$113:$M$132,$G607,月間集計シート!P$113:P$132)*AN$2</f>
        <v>0</v>
      </c>
      <c r="AO607" s="88">
        <f>SUMIF(月間集計シート!$M$113:$M$132,$G607,月間集計シート!Q$113:Q$132)*AO$2</f>
        <v>0</v>
      </c>
      <c r="AP607" s="88">
        <f>SUMIF(月間集計シート!$M$113:$M$132,$G607,月間集計シート!R$113:R$132)*AP$2</f>
        <v>0</v>
      </c>
      <c r="AQ607" s="88">
        <f>SUMIF(月間集計シート!$M$113:$M$132,$G607,月間集計シート!S$113:S$132)*AQ$2</f>
        <v>0</v>
      </c>
      <c r="AR607" s="88">
        <f>SUMIF(月間集計シート!$M$113:$M$132,$G607,月間集計シート!T$113:T$132)*AR$2</f>
        <v>0</v>
      </c>
      <c r="AS607" s="88">
        <f>SUMIF(月間集計シート!$M$134:$M$153,$G607,月間集計シート!N$134:N$153)*AS$2</f>
        <v>0</v>
      </c>
      <c r="AT607" s="88">
        <f>SUMIF(月間集計シート!$M$134:$M$153,$G607,月間集計シート!O$134:O$153)*AT$2</f>
        <v>0</v>
      </c>
      <c r="AU607" s="88">
        <f>SUMIF(月間集計シート!$M$134:$M$153,$G607,月間集計シート!P$134:P$153)*AU$2</f>
        <v>0</v>
      </c>
      <c r="AV607" s="88">
        <f>SUMIF(月間集計シート!$M$134:$M$153,$G607,月間集計シート!Q$134:Q$153)*AV$2</f>
        <v>0</v>
      </c>
      <c r="AW607" s="88">
        <f>SUMIF(月間集計シート!$M$134:$M$153,$G607,月間集計シート!R$134:R$153)*AW$2</f>
        <v>0</v>
      </c>
      <c r="AX607" s="88">
        <f>SUMIF(月間集計シート!$M$134:$M$153,$G607,月間集計シート!S$134:S$153)*AX$2</f>
        <v>0</v>
      </c>
      <c r="AY607" s="88">
        <f>SUMIF(月間集計シート!$M$134:$M$153,$G607,月間集計シート!T$134:T$153)*AY$2</f>
        <v>0</v>
      </c>
    </row>
    <row r="608" spans="1:51" ht="14.25" thickBot="1">
      <c r="A608">
        <v>8</v>
      </c>
      <c r="B608" s="120">
        <f t="shared" si="304"/>
        <v>0</v>
      </c>
      <c r="C608" s="120" t="str">
        <f t="shared" si="305"/>
        <v/>
      </c>
      <c r="D608" s="137"/>
      <c r="E608" s="150" t="str">
        <f>工種!A5</f>
        <v>10105</v>
      </c>
      <c r="F608" s="119" t="str">
        <f>工種!B5</f>
        <v>SRS：レビュー</v>
      </c>
      <c r="G608" s="116" t="str">
        <f t="shared" si="253"/>
        <v>010105</v>
      </c>
      <c r="H608" s="88">
        <f t="shared" si="260"/>
        <v>0</v>
      </c>
      <c r="I608" s="132"/>
      <c r="J608" s="88">
        <f>SUMIF(月間集計シート!$M$29:$M$48,$G608,月間集計シート!N$29:N$48)*J$2</f>
        <v>0</v>
      </c>
      <c r="K608" s="88">
        <f>SUMIF(月間集計シート!$M$29:$M$48,$G608,月間集計シート!O$29:O$48)*K$2</f>
        <v>0</v>
      </c>
      <c r="L608" s="88">
        <f>SUMIF(月間集計シート!$M$29:$M$48,$G608,月間集計シート!P$29:P$48)*L$2</f>
        <v>0</v>
      </c>
      <c r="M608" s="88">
        <f>SUMIF(月間集計シート!$M$29:$M$48,$G608,月間集計シート!Q$29:Q$48)*M$2</f>
        <v>0</v>
      </c>
      <c r="N608" s="88">
        <f>SUMIF(月間集計シート!$M$29:$M$48,$G608,月間集計シート!R$29:R$48)*N$2</f>
        <v>0</v>
      </c>
      <c r="O608" s="88">
        <f>SUMIF(月間集計シート!$M$29:$M$48,$G608,月間集計シート!S$29:S$48)*O$2</f>
        <v>0</v>
      </c>
      <c r="P608" s="88">
        <f>SUMIF(月間集計シート!$M$29:$M$48,$G608,月間集計シート!T$29:T$48)*P$2</f>
        <v>0</v>
      </c>
      <c r="Q608" s="88">
        <f>SUMIF(月間集計シート!$M$50:$M$69,$G608,月間集計シート!N$50:N$69)*Q$2</f>
        <v>0</v>
      </c>
      <c r="R608" s="88">
        <f>SUMIF(月間集計シート!$M$50:$M$69,$G608,月間集計シート!O$50:O$69)*R$2</f>
        <v>0</v>
      </c>
      <c r="S608" s="88">
        <f>SUMIF(月間集計シート!$M$50:$M$69,$G608,月間集計シート!P$50:P$69)*S$2</f>
        <v>0</v>
      </c>
      <c r="T608" s="88">
        <f>SUMIF(月間集計シート!$M$50:$M$69,$G608,月間集計シート!Q$50:Q$69)*T$2</f>
        <v>0</v>
      </c>
      <c r="U608" s="88">
        <f>SUMIF(月間集計シート!$M$50:$M$69,$G608,月間集計シート!R$50:R$69)*U$2</f>
        <v>0</v>
      </c>
      <c r="V608" s="88">
        <f>SUMIF(月間集計シート!$M$50:$M$69,$G608,月間集計シート!S$50:S$69)*V$2</f>
        <v>0</v>
      </c>
      <c r="W608" s="88">
        <f>SUMIF(月間集計シート!$M$50:$M$69,$G608,月間集計シート!T$50:T$69)*W$2</f>
        <v>0</v>
      </c>
      <c r="X608" s="88">
        <f>SUMIF(月間集計シート!$M$71:$M$90,$G608,月間集計シート!N$71:N$90)*X$2</f>
        <v>0</v>
      </c>
      <c r="Y608" s="88">
        <f>SUMIF(月間集計シート!$M$71:$M$90,$G608,月間集計シート!O$71:O$90)*Y$2</f>
        <v>0</v>
      </c>
      <c r="Z608" s="88">
        <f>SUMIF(月間集計シート!$M$71:$M$90,$G608,月間集計シート!P$71:P$90)*Z$2</f>
        <v>0</v>
      </c>
      <c r="AA608" s="88">
        <f>SUMIF(月間集計シート!$M$71:$M$90,$G608,月間集計シート!Q$71:Q$90)*AA$2</f>
        <v>0</v>
      </c>
      <c r="AB608" s="88">
        <f>SUMIF(月間集計シート!$M$71:$M$90,$G608,月間集計シート!R$71:R$90)*AB$2</f>
        <v>0</v>
      </c>
      <c r="AC608" s="88">
        <f>SUMIF(月間集計シート!$M$71:$M$90,$G608,月間集計シート!S$71:S$90)*AC$2</f>
        <v>0</v>
      </c>
      <c r="AD608" s="88">
        <f>SUMIF(月間集計シート!$M$71:$M$90,$G608,月間集計シート!T$71:T$90)*AD$2</f>
        <v>0</v>
      </c>
      <c r="AE608" s="88">
        <f>SUMIF(月間集計シート!$M$92:$M$111,$G608,月間集計シート!N$92:N$111)*AE$2</f>
        <v>0</v>
      </c>
      <c r="AF608" s="88">
        <f>SUMIF(月間集計シート!$M$92:$M$111,$G608,月間集計シート!O$92:O$111)*AF$2</f>
        <v>0</v>
      </c>
      <c r="AG608" s="88">
        <f>SUMIF(月間集計シート!$M$92:$M$111,$G608,月間集計シート!P$92:P$111)*AG$2</f>
        <v>0</v>
      </c>
      <c r="AH608" s="88">
        <f>SUMIF(月間集計シート!$M$92:$M$111,$G608,月間集計シート!Q$92:Q$111)*AH$2</f>
        <v>0</v>
      </c>
      <c r="AI608" s="88">
        <f>SUMIF(月間集計シート!$M$92:$M$111,$G608,月間集計シート!R$92:R$111)*AI$2</f>
        <v>0</v>
      </c>
      <c r="AJ608" s="88">
        <f>SUMIF(月間集計シート!$M$92:$M$111,$G608,月間集計シート!S$92:S$111)*AJ$2</f>
        <v>0</v>
      </c>
      <c r="AK608" s="88">
        <f>SUMIF(月間集計シート!$M$92:$M$111,$G608,月間集計シート!T$92:T$111)*AK$2</f>
        <v>0</v>
      </c>
      <c r="AL608" s="88">
        <f>SUMIF(月間集計シート!$M$113:$M$132,$G608,月間集計シート!N$113:N$132)*AL$2</f>
        <v>0</v>
      </c>
      <c r="AM608" s="88">
        <f>SUMIF(月間集計シート!$M$113:$M$132,$G608,月間集計シート!O$113:O$132)*AM$2</f>
        <v>0</v>
      </c>
      <c r="AN608" s="88">
        <f>SUMIF(月間集計シート!$M$113:$M$132,$G608,月間集計シート!P$113:P$132)*AN$2</f>
        <v>0</v>
      </c>
      <c r="AO608" s="88">
        <f>SUMIF(月間集計シート!$M$113:$M$132,$G608,月間集計シート!Q$113:Q$132)*AO$2</f>
        <v>0</v>
      </c>
      <c r="AP608" s="88">
        <f>SUMIF(月間集計シート!$M$113:$M$132,$G608,月間集計シート!R$113:R$132)*AP$2</f>
        <v>0</v>
      </c>
      <c r="AQ608" s="88">
        <f>SUMIF(月間集計シート!$M$113:$M$132,$G608,月間集計シート!S$113:S$132)*AQ$2</f>
        <v>0</v>
      </c>
      <c r="AR608" s="88">
        <f>SUMIF(月間集計シート!$M$113:$M$132,$G608,月間集計シート!T$113:T$132)*AR$2</f>
        <v>0</v>
      </c>
      <c r="AS608" s="88">
        <f>SUMIF(月間集計シート!$M$134:$M$153,$G608,月間集計シート!N$134:N$153)*AS$2</f>
        <v>0</v>
      </c>
      <c r="AT608" s="88">
        <f>SUMIF(月間集計シート!$M$134:$M$153,$G608,月間集計シート!O$134:O$153)*AT$2</f>
        <v>0</v>
      </c>
      <c r="AU608" s="88">
        <f>SUMIF(月間集計シート!$M$134:$M$153,$G608,月間集計シート!P$134:P$153)*AU$2</f>
        <v>0</v>
      </c>
      <c r="AV608" s="88">
        <f>SUMIF(月間集計シート!$M$134:$M$153,$G608,月間集計シート!Q$134:Q$153)*AV$2</f>
        <v>0</v>
      </c>
      <c r="AW608" s="88">
        <f>SUMIF(月間集計シート!$M$134:$M$153,$G608,月間集計シート!R$134:R$153)*AW$2</f>
        <v>0</v>
      </c>
      <c r="AX608" s="88">
        <f>SUMIF(月間集計シート!$M$134:$M$153,$G608,月間集計シート!S$134:S$153)*AX$2</f>
        <v>0</v>
      </c>
      <c r="AY608" s="88">
        <f>SUMIF(月間集計シート!$M$134:$M$153,$G608,月間集計シート!T$134:T$153)*AY$2</f>
        <v>0</v>
      </c>
    </row>
    <row r="609" spans="1:51" ht="14.25" thickBot="1">
      <c r="A609">
        <v>8</v>
      </c>
      <c r="B609" s="120">
        <f t="shared" si="304"/>
        <v>0</v>
      </c>
      <c r="C609" s="120" t="str">
        <f t="shared" si="305"/>
        <v/>
      </c>
      <c r="D609" s="137"/>
      <c r="E609" s="150" t="str">
        <f>工種!A6</f>
        <v>10199</v>
      </c>
      <c r="F609" s="119" t="str">
        <f>工種!B6</f>
        <v>SRS：その他</v>
      </c>
      <c r="G609" s="116" t="str">
        <f t="shared" si="253"/>
        <v>010199</v>
      </c>
      <c r="H609" s="88">
        <f t="shared" si="260"/>
        <v>0</v>
      </c>
      <c r="I609" s="132"/>
      <c r="J609" s="88">
        <f>SUMIF(月間集計シート!$M$29:$M$48,$G609,月間集計シート!N$29:N$48)*J$2</f>
        <v>0</v>
      </c>
      <c r="K609" s="88">
        <f>SUMIF(月間集計シート!$M$29:$M$48,$G609,月間集計シート!O$29:O$48)*K$2</f>
        <v>0</v>
      </c>
      <c r="L609" s="88">
        <f>SUMIF(月間集計シート!$M$29:$M$48,$G609,月間集計シート!P$29:P$48)*L$2</f>
        <v>0</v>
      </c>
      <c r="M609" s="88">
        <f>SUMIF(月間集計シート!$M$29:$M$48,$G609,月間集計シート!Q$29:Q$48)*M$2</f>
        <v>0</v>
      </c>
      <c r="N609" s="88">
        <f>SUMIF(月間集計シート!$M$29:$M$48,$G609,月間集計シート!R$29:R$48)*N$2</f>
        <v>0</v>
      </c>
      <c r="O609" s="88">
        <f>SUMIF(月間集計シート!$M$29:$M$48,$G609,月間集計シート!S$29:S$48)*O$2</f>
        <v>0</v>
      </c>
      <c r="P609" s="88">
        <f>SUMIF(月間集計シート!$M$29:$M$48,$G609,月間集計シート!T$29:T$48)*P$2</f>
        <v>0</v>
      </c>
      <c r="Q609" s="88">
        <f>SUMIF(月間集計シート!$M$50:$M$69,$G609,月間集計シート!N$50:N$69)*Q$2</f>
        <v>0</v>
      </c>
      <c r="R609" s="88">
        <f>SUMIF(月間集計シート!$M$50:$M$69,$G609,月間集計シート!O$50:O$69)*R$2</f>
        <v>0</v>
      </c>
      <c r="S609" s="88">
        <f>SUMIF(月間集計シート!$M$50:$M$69,$G609,月間集計シート!P$50:P$69)*S$2</f>
        <v>0</v>
      </c>
      <c r="T609" s="88">
        <f>SUMIF(月間集計シート!$M$50:$M$69,$G609,月間集計シート!Q$50:Q$69)*T$2</f>
        <v>0</v>
      </c>
      <c r="U609" s="88">
        <f>SUMIF(月間集計シート!$M$50:$M$69,$G609,月間集計シート!R$50:R$69)*U$2</f>
        <v>0</v>
      </c>
      <c r="V609" s="88">
        <f>SUMIF(月間集計シート!$M$50:$M$69,$G609,月間集計シート!S$50:S$69)*V$2</f>
        <v>0</v>
      </c>
      <c r="W609" s="88">
        <f>SUMIF(月間集計シート!$M$50:$M$69,$G609,月間集計シート!T$50:T$69)*W$2</f>
        <v>0</v>
      </c>
      <c r="X609" s="88">
        <f>SUMIF(月間集計シート!$M$71:$M$90,$G609,月間集計シート!N$71:N$90)*X$2</f>
        <v>0</v>
      </c>
      <c r="Y609" s="88">
        <f>SUMIF(月間集計シート!$M$71:$M$90,$G609,月間集計シート!O$71:O$90)*Y$2</f>
        <v>0</v>
      </c>
      <c r="Z609" s="88">
        <f>SUMIF(月間集計シート!$M$71:$M$90,$G609,月間集計シート!P$71:P$90)*Z$2</f>
        <v>0</v>
      </c>
      <c r="AA609" s="88">
        <f>SUMIF(月間集計シート!$M$71:$M$90,$G609,月間集計シート!Q$71:Q$90)*AA$2</f>
        <v>0</v>
      </c>
      <c r="AB609" s="88">
        <f>SUMIF(月間集計シート!$M$71:$M$90,$G609,月間集計シート!R$71:R$90)*AB$2</f>
        <v>0</v>
      </c>
      <c r="AC609" s="88">
        <f>SUMIF(月間集計シート!$M$71:$M$90,$G609,月間集計シート!S$71:S$90)*AC$2</f>
        <v>0</v>
      </c>
      <c r="AD609" s="88">
        <f>SUMIF(月間集計シート!$M$71:$M$90,$G609,月間集計シート!T$71:T$90)*AD$2</f>
        <v>0</v>
      </c>
      <c r="AE609" s="88">
        <f>SUMIF(月間集計シート!$M$92:$M$111,$G609,月間集計シート!N$92:N$111)*AE$2</f>
        <v>0</v>
      </c>
      <c r="AF609" s="88">
        <f>SUMIF(月間集計シート!$M$92:$M$111,$G609,月間集計シート!O$92:O$111)*AF$2</f>
        <v>0</v>
      </c>
      <c r="AG609" s="88">
        <f>SUMIF(月間集計シート!$M$92:$M$111,$G609,月間集計シート!P$92:P$111)*AG$2</f>
        <v>0</v>
      </c>
      <c r="AH609" s="88">
        <f>SUMIF(月間集計シート!$M$92:$M$111,$G609,月間集計シート!Q$92:Q$111)*AH$2</f>
        <v>0</v>
      </c>
      <c r="AI609" s="88">
        <f>SUMIF(月間集計シート!$M$92:$M$111,$G609,月間集計シート!R$92:R$111)*AI$2</f>
        <v>0</v>
      </c>
      <c r="AJ609" s="88">
        <f>SUMIF(月間集計シート!$M$92:$M$111,$G609,月間集計シート!S$92:S$111)*AJ$2</f>
        <v>0</v>
      </c>
      <c r="AK609" s="88">
        <f>SUMIF(月間集計シート!$M$92:$M$111,$G609,月間集計シート!T$92:T$111)*AK$2</f>
        <v>0</v>
      </c>
      <c r="AL609" s="88">
        <f>SUMIF(月間集計シート!$M$113:$M$132,$G609,月間集計シート!N$113:N$132)*AL$2</f>
        <v>0</v>
      </c>
      <c r="AM609" s="88">
        <f>SUMIF(月間集計シート!$M$113:$M$132,$G609,月間集計シート!O$113:O$132)*AM$2</f>
        <v>0</v>
      </c>
      <c r="AN609" s="88">
        <f>SUMIF(月間集計シート!$M$113:$M$132,$G609,月間集計シート!P$113:P$132)*AN$2</f>
        <v>0</v>
      </c>
      <c r="AO609" s="88">
        <f>SUMIF(月間集計シート!$M$113:$M$132,$G609,月間集計シート!Q$113:Q$132)*AO$2</f>
        <v>0</v>
      </c>
      <c r="AP609" s="88">
        <f>SUMIF(月間集計シート!$M$113:$M$132,$G609,月間集計シート!R$113:R$132)*AP$2</f>
        <v>0</v>
      </c>
      <c r="AQ609" s="88">
        <f>SUMIF(月間集計シート!$M$113:$M$132,$G609,月間集計シート!S$113:S$132)*AQ$2</f>
        <v>0</v>
      </c>
      <c r="AR609" s="88">
        <f>SUMIF(月間集計シート!$M$113:$M$132,$G609,月間集計シート!T$113:T$132)*AR$2</f>
        <v>0</v>
      </c>
      <c r="AS609" s="88">
        <f>SUMIF(月間集計シート!$M$134:$M$153,$G609,月間集計シート!N$134:N$153)*AS$2</f>
        <v>0</v>
      </c>
      <c r="AT609" s="88">
        <f>SUMIF(月間集計シート!$M$134:$M$153,$G609,月間集計シート!O$134:O$153)*AT$2</f>
        <v>0</v>
      </c>
      <c r="AU609" s="88">
        <f>SUMIF(月間集計シート!$M$134:$M$153,$G609,月間集計シート!P$134:P$153)*AU$2</f>
        <v>0</v>
      </c>
      <c r="AV609" s="88">
        <f>SUMIF(月間集計シート!$M$134:$M$153,$G609,月間集計シート!Q$134:Q$153)*AV$2</f>
        <v>0</v>
      </c>
      <c r="AW609" s="88">
        <f>SUMIF(月間集計シート!$M$134:$M$153,$G609,月間集計シート!R$134:R$153)*AW$2</f>
        <v>0</v>
      </c>
      <c r="AX609" s="88">
        <f>SUMIF(月間集計シート!$M$134:$M$153,$G609,月間集計シート!S$134:S$153)*AX$2</f>
        <v>0</v>
      </c>
      <c r="AY609" s="88">
        <f>SUMIF(月間集計シート!$M$134:$M$153,$G609,月間集計シート!T$134:T$153)*AY$2</f>
        <v>0</v>
      </c>
    </row>
    <row r="610" spans="1:51" ht="14.25" thickBot="1">
      <c r="A610">
        <v>8</v>
      </c>
      <c r="B610" s="120">
        <f t="shared" si="304"/>
        <v>0</v>
      </c>
      <c r="C610" s="120" t="str">
        <f t="shared" si="305"/>
        <v/>
      </c>
      <c r="D610" s="137"/>
      <c r="E610" s="150" t="str">
        <f>工種!A7</f>
        <v>20101</v>
      </c>
      <c r="F610" s="119" t="str">
        <f>工種!B7</f>
        <v>設計：外部設計書作成</v>
      </c>
      <c r="G610" s="116" t="str">
        <f t="shared" si="253"/>
        <v>020101</v>
      </c>
      <c r="H610" s="88">
        <f t="shared" si="260"/>
        <v>0</v>
      </c>
      <c r="I610" s="132"/>
      <c r="J610" s="88">
        <f>SUMIF(月間集計シート!$M$29:$M$48,$G610,月間集計シート!N$29:N$48)*J$2</f>
        <v>0</v>
      </c>
      <c r="K610" s="88">
        <f>SUMIF(月間集計シート!$M$29:$M$48,$G610,月間集計シート!O$29:O$48)*K$2</f>
        <v>0</v>
      </c>
      <c r="L610" s="88">
        <f>SUMIF(月間集計シート!$M$29:$M$48,$G610,月間集計シート!P$29:P$48)*L$2</f>
        <v>0</v>
      </c>
      <c r="M610" s="88">
        <f>SUMIF(月間集計シート!$M$29:$M$48,$G610,月間集計シート!Q$29:Q$48)*M$2</f>
        <v>0</v>
      </c>
      <c r="N610" s="88">
        <f>SUMIF(月間集計シート!$M$29:$M$48,$G610,月間集計シート!R$29:R$48)*N$2</f>
        <v>0</v>
      </c>
      <c r="O610" s="88">
        <f>SUMIF(月間集計シート!$M$29:$M$48,$G610,月間集計シート!S$29:S$48)*O$2</f>
        <v>0</v>
      </c>
      <c r="P610" s="88">
        <f>SUMIF(月間集計シート!$M$29:$M$48,$G610,月間集計シート!T$29:T$48)*P$2</f>
        <v>0</v>
      </c>
      <c r="Q610" s="88">
        <f>SUMIF(月間集計シート!$M$50:$M$69,$G610,月間集計シート!N$50:N$69)*Q$2</f>
        <v>0</v>
      </c>
      <c r="R610" s="88">
        <f>SUMIF(月間集計シート!$M$50:$M$69,$G610,月間集計シート!O$50:O$69)*R$2</f>
        <v>0</v>
      </c>
      <c r="S610" s="88">
        <f>SUMIF(月間集計シート!$M$50:$M$69,$G610,月間集計シート!P$50:P$69)*S$2</f>
        <v>0</v>
      </c>
      <c r="T610" s="88">
        <f>SUMIF(月間集計シート!$M$50:$M$69,$G610,月間集計シート!Q$50:Q$69)*T$2</f>
        <v>0</v>
      </c>
      <c r="U610" s="88">
        <f>SUMIF(月間集計シート!$M$50:$M$69,$G610,月間集計シート!R$50:R$69)*U$2</f>
        <v>0</v>
      </c>
      <c r="V610" s="88">
        <f>SUMIF(月間集計シート!$M$50:$M$69,$G610,月間集計シート!S$50:S$69)*V$2</f>
        <v>0</v>
      </c>
      <c r="W610" s="88">
        <f>SUMIF(月間集計シート!$M$50:$M$69,$G610,月間集計シート!T$50:T$69)*W$2</f>
        <v>0</v>
      </c>
      <c r="X610" s="88">
        <f>SUMIF(月間集計シート!$M$71:$M$90,$G610,月間集計シート!N$71:N$90)*X$2</f>
        <v>0</v>
      </c>
      <c r="Y610" s="88">
        <f>SUMIF(月間集計シート!$M$71:$M$90,$G610,月間集計シート!O$71:O$90)*Y$2</f>
        <v>0</v>
      </c>
      <c r="Z610" s="88">
        <f>SUMIF(月間集計シート!$M$71:$M$90,$G610,月間集計シート!P$71:P$90)*Z$2</f>
        <v>0</v>
      </c>
      <c r="AA610" s="88">
        <f>SUMIF(月間集計シート!$M$71:$M$90,$G610,月間集計シート!Q$71:Q$90)*AA$2</f>
        <v>0</v>
      </c>
      <c r="AB610" s="88">
        <f>SUMIF(月間集計シート!$M$71:$M$90,$G610,月間集計シート!R$71:R$90)*AB$2</f>
        <v>0</v>
      </c>
      <c r="AC610" s="88">
        <f>SUMIF(月間集計シート!$M$71:$M$90,$G610,月間集計シート!S$71:S$90)*AC$2</f>
        <v>0</v>
      </c>
      <c r="AD610" s="88">
        <f>SUMIF(月間集計シート!$M$71:$M$90,$G610,月間集計シート!T$71:T$90)*AD$2</f>
        <v>0</v>
      </c>
      <c r="AE610" s="88">
        <f>SUMIF(月間集計シート!$M$92:$M$111,$G610,月間集計シート!N$92:N$111)*AE$2</f>
        <v>0</v>
      </c>
      <c r="AF610" s="88">
        <f>SUMIF(月間集計シート!$M$92:$M$111,$G610,月間集計シート!O$92:O$111)*AF$2</f>
        <v>0</v>
      </c>
      <c r="AG610" s="88">
        <f>SUMIF(月間集計シート!$M$92:$M$111,$G610,月間集計シート!P$92:P$111)*AG$2</f>
        <v>0</v>
      </c>
      <c r="AH610" s="88">
        <f>SUMIF(月間集計シート!$M$92:$M$111,$G610,月間集計シート!Q$92:Q$111)*AH$2</f>
        <v>0</v>
      </c>
      <c r="AI610" s="88">
        <f>SUMIF(月間集計シート!$M$92:$M$111,$G610,月間集計シート!R$92:R$111)*AI$2</f>
        <v>0</v>
      </c>
      <c r="AJ610" s="88">
        <f>SUMIF(月間集計シート!$M$92:$M$111,$G610,月間集計シート!S$92:S$111)*AJ$2</f>
        <v>0</v>
      </c>
      <c r="AK610" s="88">
        <f>SUMIF(月間集計シート!$M$92:$M$111,$G610,月間集計シート!T$92:T$111)*AK$2</f>
        <v>0</v>
      </c>
      <c r="AL610" s="88">
        <f>SUMIF(月間集計シート!$M$113:$M$132,$G610,月間集計シート!N$113:N$132)*AL$2</f>
        <v>0</v>
      </c>
      <c r="AM610" s="88">
        <f>SUMIF(月間集計シート!$M$113:$M$132,$G610,月間集計シート!O$113:O$132)*AM$2</f>
        <v>0</v>
      </c>
      <c r="AN610" s="88">
        <f>SUMIF(月間集計シート!$M$113:$M$132,$G610,月間集計シート!P$113:P$132)*AN$2</f>
        <v>0</v>
      </c>
      <c r="AO610" s="88">
        <f>SUMIF(月間集計シート!$M$113:$M$132,$G610,月間集計シート!Q$113:Q$132)*AO$2</f>
        <v>0</v>
      </c>
      <c r="AP610" s="88">
        <f>SUMIF(月間集計シート!$M$113:$M$132,$G610,月間集計シート!R$113:R$132)*AP$2</f>
        <v>0</v>
      </c>
      <c r="AQ610" s="88">
        <f>SUMIF(月間集計シート!$M$113:$M$132,$G610,月間集計シート!S$113:S$132)*AQ$2</f>
        <v>0</v>
      </c>
      <c r="AR610" s="88">
        <f>SUMIF(月間集計シート!$M$113:$M$132,$G610,月間集計シート!T$113:T$132)*AR$2</f>
        <v>0</v>
      </c>
      <c r="AS610" s="88">
        <f>SUMIF(月間集計シート!$M$134:$M$153,$G610,月間集計シート!N$134:N$153)*AS$2</f>
        <v>0</v>
      </c>
      <c r="AT610" s="88">
        <f>SUMIF(月間集計シート!$M$134:$M$153,$G610,月間集計シート!O$134:O$153)*AT$2</f>
        <v>0</v>
      </c>
      <c r="AU610" s="88">
        <f>SUMIF(月間集計シート!$M$134:$M$153,$G610,月間集計シート!P$134:P$153)*AU$2</f>
        <v>0</v>
      </c>
      <c r="AV610" s="88">
        <f>SUMIF(月間集計シート!$M$134:$M$153,$G610,月間集計シート!Q$134:Q$153)*AV$2</f>
        <v>0</v>
      </c>
      <c r="AW610" s="88">
        <f>SUMIF(月間集計シート!$M$134:$M$153,$G610,月間集計シート!R$134:R$153)*AW$2</f>
        <v>0</v>
      </c>
      <c r="AX610" s="88">
        <f>SUMIF(月間集計シート!$M$134:$M$153,$G610,月間集計シート!S$134:S$153)*AX$2</f>
        <v>0</v>
      </c>
      <c r="AY610" s="88">
        <f>SUMIF(月間集計シート!$M$134:$M$153,$G610,月間集計シート!T$134:T$153)*AY$2</f>
        <v>0</v>
      </c>
    </row>
    <row r="611" spans="1:51" ht="14.25" thickBot="1">
      <c r="A611">
        <v>8</v>
      </c>
      <c r="B611" s="120">
        <f t="shared" si="304"/>
        <v>0</v>
      </c>
      <c r="C611" s="120" t="str">
        <f t="shared" si="305"/>
        <v/>
      </c>
      <c r="D611" s="137"/>
      <c r="E611" s="150" t="str">
        <f>工種!A8</f>
        <v>20103</v>
      </c>
      <c r="F611" s="119" t="str">
        <f>工種!B8</f>
        <v>設計：打合せ</v>
      </c>
      <c r="G611" s="116" t="str">
        <f t="shared" si="253"/>
        <v>020103</v>
      </c>
      <c r="H611" s="88">
        <f t="shared" si="260"/>
        <v>0</v>
      </c>
      <c r="I611" s="132"/>
      <c r="J611" s="88">
        <f>SUMIF(月間集計シート!$M$29:$M$48,$G611,月間集計シート!N$29:N$48)*J$2</f>
        <v>0</v>
      </c>
      <c r="K611" s="88">
        <f>SUMIF(月間集計シート!$M$29:$M$48,$G611,月間集計シート!O$29:O$48)*K$2</f>
        <v>0</v>
      </c>
      <c r="L611" s="88">
        <f>SUMIF(月間集計シート!$M$29:$M$48,$G611,月間集計シート!P$29:P$48)*L$2</f>
        <v>0</v>
      </c>
      <c r="M611" s="88">
        <f>SUMIF(月間集計シート!$M$29:$M$48,$G611,月間集計シート!Q$29:Q$48)*M$2</f>
        <v>0</v>
      </c>
      <c r="N611" s="88">
        <f>SUMIF(月間集計シート!$M$29:$M$48,$G611,月間集計シート!R$29:R$48)*N$2</f>
        <v>0</v>
      </c>
      <c r="O611" s="88">
        <f>SUMIF(月間集計シート!$M$29:$M$48,$G611,月間集計シート!S$29:S$48)*O$2</f>
        <v>0</v>
      </c>
      <c r="P611" s="88">
        <f>SUMIF(月間集計シート!$M$29:$M$48,$G611,月間集計シート!T$29:T$48)*P$2</f>
        <v>0</v>
      </c>
      <c r="Q611" s="88">
        <f>SUMIF(月間集計シート!$M$50:$M$69,$G611,月間集計シート!N$50:N$69)*Q$2</f>
        <v>0</v>
      </c>
      <c r="R611" s="88">
        <f>SUMIF(月間集計シート!$M$50:$M$69,$G611,月間集計シート!O$50:O$69)*R$2</f>
        <v>0</v>
      </c>
      <c r="S611" s="88">
        <f>SUMIF(月間集計シート!$M$50:$M$69,$G611,月間集計シート!P$50:P$69)*S$2</f>
        <v>0</v>
      </c>
      <c r="T611" s="88">
        <f>SUMIF(月間集計シート!$M$50:$M$69,$G611,月間集計シート!Q$50:Q$69)*T$2</f>
        <v>0</v>
      </c>
      <c r="U611" s="88">
        <f>SUMIF(月間集計シート!$M$50:$M$69,$G611,月間集計シート!R$50:R$69)*U$2</f>
        <v>0</v>
      </c>
      <c r="V611" s="88">
        <f>SUMIF(月間集計シート!$M$50:$M$69,$G611,月間集計シート!S$50:S$69)*V$2</f>
        <v>0</v>
      </c>
      <c r="W611" s="88">
        <f>SUMIF(月間集計シート!$M$50:$M$69,$G611,月間集計シート!T$50:T$69)*W$2</f>
        <v>0</v>
      </c>
      <c r="X611" s="88">
        <f>SUMIF(月間集計シート!$M$71:$M$90,$G611,月間集計シート!N$71:N$90)*X$2</f>
        <v>0</v>
      </c>
      <c r="Y611" s="88">
        <f>SUMIF(月間集計シート!$M$71:$M$90,$G611,月間集計シート!O$71:O$90)*Y$2</f>
        <v>0</v>
      </c>
      <c r="Z611" s="88">
        <f>SUMIF(月間集計シート!$M$71:$M$90,$G611,月間集計シート!P$71:P$90)*Z$2</f>
        <v>0</v>
      </c>
      <c r="AA611" s="88">
        <f>SUMIF(月間集計シート!$M$71:$M$90,$G611,月間集計シート!Q$71:Q$90)*AA$2</f>
        <v>0</v>
      </c>
      <c r="AB611" s="88">
        <f>SUMIF(月間集計シート!$M$71:$M$90,$G611,月間集計シート!R$71:R$90)*AB$2</f>
        <v>0</v>
      </c>
      <c r="AC611" s="88">
        <f>SUMIF(月間集計シート!$M$71:$M$90,$G611,月間集計シート!S$71:S$90)*AC$2</f>
        <v>0</v>
      </c>
      <c r="AD611" s="88">
        <f>SUMIF(月間集計シート!$M$71:$M$90,$G611,月間集計シート!T$71:T$90)*AD$2</f>
        <v>0</v>
      </c>
      <c r="AE611" s="88">
        <f>SUMIF(月間集計シート!$M$92:$M$111,$G611,月間集計シート!N$92:N$111)*AE$2</f>
        <v>0</v>
      </c>
      <c r="AF611" s="88">
        <f>SUMIF(月間集計シート!$M$92:$M$111,$G611,月間集計シート!O$92:O$111)*AF$2</f>
        <v>0</v>
      </c>
      <c r="AG611" s="88">
        <f>SUMIF(月間集計シート!$M$92:$M$111,$G611,月間集計シート!P$92:P$111)*AG$2</f>
        <v>0</v>
      </c>
      <c r="AH611" s="88">
        <f>SUMIF(月間集計シート!$M$92:$M$111,$G611,月間集計シート!Q$92:Q$111)*AH$2</f>
        <v>0</v>
      </c>
      <c r="AI611" s="88">
        <f>SUMIF(月間集計シート!$M$92:$M$111,$G611,月間集計シート!R$92:R$111)*AI$2</f>
        <v>0</v>
      </c>
      <c r="AJ611" s="88">
        <f>SUMIF(月間集計シート!$M$92:$M$111,$G611,月間集計シート!S$92:S$111)*AJ$2</f>
        <v>0</v>
      </c>
      <c r="AK611" s="88">
        <f>SUMIF(月間集計シート!$M$92:$M$111,$G611,月間集計シート!T$92:T$111)*AK$2</f>
        <v>0</v>
      </c>
      <c r="AL611" s="88">
        <f>SUMIF(月間集計シート!$M$113:$M$132,$G611,月間集計シート!N$113:N$132)*AL$2</f>
        <v>0</v>
      </c>
      <c r="AM611" s="88">
        <f>SUMIF(月間集計シート!$M$113:$M$132,$G611,月間集計シート!O$113:O$132)*AM$2</f>
        <v>0</v>
      </c>
      <c r="AN611" s="88">
        <f>SUMIF(月間集計シート!$M$113:$M$132,$G611,月間集計シート!P$113:P$132)*AN$2</f>
        <v>0</v>
      </c>
      <c r="AO611" s="88">
        <f>SUMIF(月間集計シート!$M$113:$M$132,$G611,月間集計シート!Q$113:Q$132)*AO$2</f>
        <v>0</v>
      </c>
      <c r="AP611" s="88">
        <f>SUMIF(月間集計シート!$M$113:$M$132,$G611,月間集計シート!R$113:R$132)*AP$2</f>
        <v>0</v>
      </c>
      <c r="AQ611" s="88">
        <f>SUMIF(月間集計シート!$M$113:$M$132,$G611,月間集計シート!S$113:S$132)*AQ$2</f>
        <v>0</v>
      </c>
      <c r="AR611" s="88">
        <f>SUMIF(月間集計シート!$M$113:$M$132,$G611,月間集計シート!T$113:T$132)*AR$2</f>
        <v>0</v>
      </c>
      <c r="AS611" s="88">
        <f>SUMIF(月間集計シート!$M$134:$M$153,$G611,月間集計シート!N$134:N$153)*AS$2</f>
        <v>0</v>
      </c>
      <c r="AT611" s="88">
        <f>SUMIF(月間集計シート!$M$134:$M$153,$G611,月間集計シート!O$134:O$153)*AT$2</f>
        <v>0</v>
      </c>
      <c r="AU611" s="88">
        <f>SUMIF(月間集計シート!$M$134:$M$153,$G611,月間集計シート!P$134:P$153)*AU$2</f>
        <v>0</v>
      </c>
      <c r="AV611" s="88">
        <f>SUMIF(月間集計シート!$M$134:$M$153,$G611,月間集計シート!Q$134:Q$153)*AV$2</f>
        <v>0</v>
      </c>
      <c r="AW611" s="88">
        <f>SUMIF(月間集計シート!$M$134:$M$153,$G611,月間集計シート!R$134:R$153)*AW$2</f>
        <v>0</v>
      </c>
      <c r="AX611" s="88">
        <f>SUMIF(月間集計シート!$M$134:$M$153,$G611,月間集計シート!S$134:S$153)*AX$2</f>
        <v>0</v>
      </c>
      <c r="AY611" s="88">
        <f>SUMIF(月間集計シート!$M$134:$M$153,$G611,月間集計シート!T$134:T$153)*AY$2</f>
        <v>0</v>
      </c>
    </row>
    <row r="612" spans="1:51" ht="14.25" thickBot="1">
      <c r="A612">
        <v>8</v>
      </c>
      <c r="B612" s="120">
        <f t="shared" si="304"/>
        <v>0</v>
      </c>
      <c r="C612" s="120" t="str">
        <f t="shared" si="305"/>
        <v/>
      </c>
      <c r="D612" s="137"/>
      <c r="E612" s="150">
        <f>工種!A9</f>
        <v>20105</v>
      </c>
      <c r="F612" s="119" t="str">
        <f>工種!B9</f>
        <v>設計：原因調査・影響範囲分析・変更仕様作成</v>
      </c>
      <c r="G612" s="116" t="str">
        <f t="shared" si="253"/>
        <v>020105</v>
      </c>
      <c r="H612" s="88">
        <f t="shared" si="260"/>
        <v>0</v>
      </c>
      <c r="I612" s="132"/>
      <c r="J612" s="88">
        <f>SUMIF(月間集計シート!$M$29:$M$48,$G612,月間集計シート!N$29:N$48)*J$2</f>
        <v>0</v>
      </c>
      <c r="K612" s="88">
        <f>SUMIF(月間集計シート!$M$29:$M$48,$G612,月間集計シート!O$29:O$48)*K$2</f>
        <v>0</v>
      </c>
      <c r="L612" s="88">
        <f>SUMIF(月間集計シート!$M$29:$M$48,$G612,月間集計シート!P$29:P$48)*L$2</f>
        <v>0</v>
      </c>
      <c r="M612" s="88">
        <f>SUMIF(月間集計シート!$M$29:$M$48,$G612,月間集計シート!Q$29:Q$48)*M$2</f>
        <v>0</v>
      </c>
      <c r="N612" s="88">
        <f>SUMIF(月間集計シート!$M$29:$M$48,$G612,月間集計シート!R$29:R$48)*N$2</f>
        <v>0</v>
      </c>
      <c r="O612" s="88">
        <f>SUMIF(月間集計シート!$M$29:$M$48,$G612,月間集計シート!S$29:S$48)*O$2</f>
        <v>0</v>
      </c>
      <c r="P612" s="88">
        <f>SUMIF(月間集計シート!$M$29:$M$48,$G612,月間集計シート!T$29:T$48)*P$2</f>
        <v>0</v>
      </c>
      <c r="Q612" s="88">
        <f>SUMIF(月間集計シート!$M$50:$M$69,$G612,月間集計シート!N$50:N$69)*Q$2</f>
        <v>0</v>
      </c>
      <c r="R612" s="88">
        <f>SUMIF(月間集計シート!$M$50:$M$69,$G612,月間集計シート!O$50:O$69)*R$2</f>
        <v>0</v>
      </c>
      <c r="S612" s="88">
        <f>SUMIF(月間集計シート!$M$50:$M$69,$G612,月間集計シート!P$50:P$69)*S$2</f>
        <v>0</v>
      </c>
      <c r="T612" s="88">
        <f>SUMIF(月間集計シート!$M$50:$M$69,$G612,月間集計シート!Q$50:Q$69)*T$2</f>
        <v>0</v>
      </c>
      <c r="U612" s="88">
        <f>SUMIF(月間集計シート!$M$50:$M$69,$G612,月間集計シート!R$50:R$69)*U$2</f>
        <v>0</v>
      </c>
      <c r="V612" s="88">
        <f>SUMIF(月間集計シート!$M$50:$M$69,$G612,月間集計シート!S$50:S$69)*V$2</f>
        <v>0</v>
      </c>
      <c r="W612" s="88">
        <f>SUMIF(月間集計シート!$M$50:$M$69,$G612,月間集計シート!T$50:T$69)*W$2</f>
        <v>0</v>
      </c>
      <c r="X612" s="88">
        <f>SUMIF(月間集計シート!$M$71:$M$90,$G612,月間集計シート!N$71:N$90)*X$2</f>
        <v>0</v>
      </c>
      <c r="Y612" s="88">
        <f>SUMIF(月間集計シート!$M$71:$M$90,$G612,月間集計シート!O$71:O$90)*Y$2</f>
        <v>0</v>
      </c>
      <c r="Z612" s="88">
        <f>SUMIF(月間集計シート!$M$71:$M$90,$G612,月間集計シート!P$71:P$90)*Z$2</f>
        <v>0</v>
      </c>
      <c r="AA612" s="88">
        <f>SUMIF(月間集計シート!$M$71:$M$90,$G612,月間集計シート!Q$71:Q$90)*AA$2</f>
        <v>0</v>
      </c>
      <c r="AB612" s="88">
        <f>SUMIF(月間集計シート!$M$71:$M$90,$G612,月間集計シート!R$71:R$90)*AB$2</f>
        <v>0</v>
      </c>
      <c r="AC612" s="88">
        <f>SUMIF(月間集計シート!$M$71:$M$90,$G612,月間集計シート!S$71:S$90)*AC$2</f>
        <v>0</v>
      </c>
      <c r="AD612" s="88">
        <f>SUMIF(月間集計シート!$M$71:$M$90,$G612,月間集計シート!T$71:T$90)*AD$2</f>
        <v>0</v>
      </c>
      <c r="AE612" s="88">
        <f>SUMIF(月間集計シート!$M$92:$M$111,$G612,月間集計シート!N$92:N$111)*AE$2</f>
        <v>0</v>
      </c>
      <c r="AF612" s="88">
        <f>SUMIF(月間集計シート!$M$92:$M$111,$G612,月間集計シート!O$92:O$111)*AF$2</f>
        <v>0</v>
      </c>
      <c r="AG612" s="88">
        <f>SUMIF(月間集計シート!$M$92:$M$111,$G612,月間集計シート!P$92:P$111)*AG$2</f>
        <v>0</v>
      </c>
      <c r="AH612" s="88">
        <f>SUMIF(月間集計シート!$M$92:$M$111,$G612,月間集計シート!Q$92:Q$111)*AH$2</f>
        <v>0</v>
      </c>
      <c r="AI612" s="88">
        <f>SUMIF(月間集計シート!$M$92:$M$111,$G612,月間集計シート!R$92:R$111)*AI$2</f>
        <v>0</v>
      </c>
      <c r="AJ612" s="88">
        <f>SUMIF(月間集計シート!$M$92:$M$111,$G612,月間集計シート!S$92:S$111)*AJ$2</f>
        <v>0</v>
      </c>
      <c r="AK612" s="88">
        <f>SUMIF(月間集計シート!$M$92:$M$111,$G612,月間集計シート!T$92:T$111)*AK$2</f>
        <v>0</v>
      </c>
      <c r="AL612" s="88">
        <f>SUMIF(月間集計シート!$M$113:$M$132,$G612,月間集計シート!N$113:N$132)*AL$2</f>
        <v>0</v>
      </c>
      <c r="AM612" s="88">
        <f>SUMIF(月間集計シート!$M$113:$M$132,$G612,月間集計シート!O$113:O$132)*AM$2</f>
        <v>0</v>
      </c>
      <c r="AN612" s="88">
        <f>SUMIF(月間集計シート!$M$113:$M$132,$G612,月間集計シート!P$113:P$132)*AN$2</f>
        <v>0</v>
      </c>
      <c r="AO612" s="88">
        <f>SUMIF(月間集計シート!$M$113:$M$132,$G612,月間集計シート!Q$113:Q$132)*AO$2</f>
        <v>0</v>
      </c>
      <c r="AP612" s="88">
        <f>SUMIF(月間集計シート!$M$113:$M$132,$G612,月間集計シート!R$113:R$132)*AP$2</f>
        <v>0</v>
      </c>
      <c r="AQ612" s="88">
        <f>SUMIF(月間集計シート!$M$113:$M$132,$G612,月間集計シート!S$113:S$132)*AQ$2</f>
        <v>0</v>
      </c>
      <c r="AR612" s="88">
        <f>SUMIF(月間集計シート!$M$113:$M$132,$G612,月間集計シート!T$113:T$132)*AR$2</f>
        <v>0</v>
      </c>
      <c r="AS612" s="88">
        <f>SUMIF(月間集計シート!$M$134:$M$153,$G612,月間集計シート!N$134:N$153)*AS$2</f>
        <v>0</v>
      </c>
      <c r="AT612" s="88">
        <f>SUMIF(月間集計シート!$M$134:$M$153,$G612,月間集計シート!O$134:O$153)*AT$2</f>
        <v>0</v>
      </c>
      <c r="AU612" s="88">
        <f>SUMIF(月間集計シート!$M$134:$M$153,$G612,月間集計シート!P$134:P$153)*AU$2</f>
        <v>0</v>
      </c>
      <c r="AV612" s="88">
        <f>SUMIF(月間集計シート!$M$134:$M$153,$G612,月間集計シート!Q$134:Q$153)*AV$2</f>
        <v>0</v>
      </c>
      <c r="AW612" s="88">
        <f>SUMIF(月間集計シート!$M$134:$M$153,$G612,月間集計シート!R$134:R$153)*AW$2</f>
        <v>0</v>
      </c>
      <c r="AX612" s="88">
        <f>SUMIF(月間集計シート!$M$134:$M$153,$G612,月間集計シート!S$134:S$153)*AX$2</f>
        <v>0</v>
      </c>
      <c r="AY612" s="88">
        <f>SUMIF(月間集計シート!$M$134:$M$153,$G612,月間集計シート!T$134:T$153)*AY$2</f>
        <v>0</v>
      </c>
    </row>
    <row r="613" spans="1:51" ht="14.25" thickBot="1">
      <c r="A613">
        <v>8</v>
      </c>
      <c r="B613" s="120">
        <f t="shared" si="304"/>
        <v>0</v>
      </c>
      <c r="C613" s="120" t="str">
        <f t="shared" si="305"/>
        <v/>
      </c>
      <c r="D613" s="137"/>
      <c r="E613" s="150" t="str">
        <f>工種!A10</f>
        <v>20106</v>
      </c>
      <c r="F613" s="119" t="str">
        <f>工種!B10</f>
        <v>設計：設計書修正（手戻り分）</v>
      </c>
      <c r="G613" s="116" t="str">
        <f t="shared" ref="G613:G698" si="306">B613&amp;E613</f>
        <v>020106</v>
      </c>
      <c r="H613" s="88">
        <f t="shared" si="260"/>
        <v>0</v>
      </c>
      <c r="I613" s="132"/>
      <c r="J613" s="88">
        <f>SUMIF(月間集計シート!$M$29:$M$48,$G613,月間集計シート!N$29:N$48)*J$2</f>
        <v>0</v>
      </c>
      <c r="K613" s="88">
        <f>SUMIF(月間集計シート!$M$29:$M$48,$G613,月間集計シート!O$29:O$48)*K$2</f>
        <v>0</v>
      </c>
      <c r="L613" s="88">
        <f>SUMIF(月間集計シート!$M$29:$M$48,$G613,月間集計シート!P$29:P$48)*L$2</f>
        <v>0</v>
      </c>
      <c r="M613" s="88">
        <f>SUMIF(月間集計シート!$M$29:$M$48,$G613,月間集計シート!Q$29:Q$48)*M$2</f>
        <v>0</v>
      </c>
      <c r="N613" s="88">
        <f>SUMIF(月間集計シート!$M$29:$M$48,$G613,月間集計シート!R$29:R$48)*N$2</f>
        <v>0</v>
      </c>
      <c r="O613" s="88">
        <f>SUMIF(月間集計シート!$M$29:$M$48,$G613,月間集計シート!S$29:S$48)*O$2</f>
        <v>0</v>
      </c>
      <c r="P613" s="88">
        <f>SUMIF(月間集計シート!$M$29:$M$48,$G613,月間集計シート!T$29:T$48)*P$2</f>
        <v>0</v>
      </c>
      <c r="Q613" s="88">
        <f>SUMIF(月間集計シート!$M$50:$M$69,$G613,月間集計シート!N$50:N$69)*Q$2</f>
        <v>0</v>
      </c>
      <c r="R613" s="88">
        <f>SUMIF(月間集計シート!$M$50:$M$69,$G613,月間集計シート!O$50:O$69)*R$2</f>
        <v>0</v>
      </c>
      <c r="S613" s="88">
        <f>SUMIF(月間集計シート!$M$50:$M$69,$G613,月間集計シート!P$50:P$69)*S$2</f>
        <v>0</v>
      </c>
      <c r="T613" s="88">
        <f>SUMIF(月間集計シート!$M$50:$M$69,$G613,月間集計シート!Q$50:Q$69)*T$2</f>
        <v>0</v>
      </c>
      <c r="U613" s="88">
        <f>SUMIF(月間集計シート!$M$50:$M$69,$G613,月間集計シート!R$50:R$69)*U$2</f>
        <v>0</v>
      </c>
      <c r="V613" s="88">
        <f>SUMIF(月間集計シート!$M$50:$M$69,$G613,月間集計シート!S$50:S$69)*V$2</f>
        <v>0</v>
      </c>
      <c r="W613" s="88">
        <f>SUMIF(月間集計シート!$M$50:$M$69,$G613,月間集計シート!T$50:T$69)*W$2</f>
        <v>0</v>
      </c>
      <c r="X613" s="88">
        <f>SUMIF(月間集計シート!$M$71:$M$90,$G613,月間集計シート!N$71:N$90)*X$2</f>
        <v>0</v>
      </c>
      <c r="Y613" s="88">
        <f>SUMIF(月間集計シート!$M$71:$M$90,$G613,月間集計シート!O$71:O$90)*Y$2</f>
        <v>0</v>
      </c>
      <c r="Z613" s="88">
        <f>SUMIF(月間集計シート!$M$71:$M$90,$G613,月間集計シート!P$71:P$90)*Z$2</f>
        <v>0</v>
      </c>
      <c r="AA613" s="88">
        <f>SUMIF(月間集計シート!$M$71:$M$90,$G613,月間集計シート!Q$71:Q$90)*AA$2</f>
        <v>0</v>
      </c>
      <c r="AB613" s="88">
        <f>SUMIF(月間集計シート!$M$71:$M$90,$G613,月間集計シート!R$71:R$90)*AB$2</f>
        <v>0</v>
      </c>
      <c r="AC613" s="88">
        <f>SUMIF(月間集計シート!$M$71:$M$90,$G613,月間集計シート!S$71:S$90)*AC$2</f>
        <v>0</v>
      </c>
      <c r="AD613" s="88">
        <f>SUMIF(月間集計シート!$M$71:$M$90,$G613,月間集計シート!T$71:T$90)*AD$2</f>
        <v>0</v>
      </c>
      <c r="AE613" s="88">
        <f>SUMIF(月間集計シート!$M$92:$M$111,$G613,月間集計シート!N$92:N$111)*AE$2</f>
        <v>0</v>
      </c>
      <c r="AF613" s="88">
        <f>SUMIF(月間集計シート!$M$92:$M$111,$G613,月間集計シート!O$92:O$111)*AF$2</f>
        <v>0</v>
      </c>
      <c r="AG613" s="88">
        <f>SUMIF(月間集計シート!$M$92:$M$111,$G613,月間集計シート!P$92:P$111)*AG$2</f>
        <v>0</v>
      </c>
      <c r="AH613" s="88">
        <f>SUMIF(月間集計シート!$M$92:$M$111,$G613,月間集計シート!Q$92:Q$111)*AH$2</f>
        <v>0</v>
      </c>
      <c r="AI613" s="88">
        <f>SUMIF(月間集計シート!$M$92:$M$111,$G613,月間集計シート!R$92:R$111)*AI$2</f>
        <v>0</v>
      </c>
      <c r="AJ613" s="88">
        <f>SUMIF(月間集計シート!$M$92:$M$111,$G613,月間集計シート!S$92:S$111)*AJ$2</f>
        <v>0</v>
      </c>
      <c r="AK613" s="88">
        <f>SUMIF(月間集計シート!$M$92:$M$111,$G613,月間集計シート!T$92:T$111)*AK$2</f>
        <v>0</v>
      </c>
      <c r="AL613" s="88">
        <f>SUMIF(月間集計シート!$M$113:$M$132,$G613,月間集計シート!N$113:N$132)*AL$2</f>
        <v>0</v>
      </c>
      <c r="AM613" s="88">
        <f>SUMIF(月間集計シート!$M$113:$M$132,$G613,月間集計シート!O$113:O$132)*AM$2</f>
        <v>0</v>
      </c>
      <c r="AN613" s="88">
        <f>SUMIF(月間集計シート!$M$113:$M$132,$G613,月間集計シート!P$113:P$132)*AN$2</f>
        <v>0</v>
      </c>
      <c r="AO613" s="88">
        <f>SUMIF(月間集計シート!$M$113:$M$132,$G613,月間集計シート!Q$113:Q$132)*AO$2</f>
        <v>0</v>
      </c>
      <c r="AP613" s="88">
        <f>SUMIF(月間集計シート!$M$113:$M$132,$G613,月間集計シート!R$113:R$132)*AP$2</f>
        <v>0</v>
      </c>
      <c r="AQ613" s="88">
        <f>SUMIF(月間集計シート!$M$113:$M$132,$G613,月間集計シート!S$113:S$132)*AQ$2</f>
        <v>0</v>
      </c>
      <c r="AR613" s="88">
        <f>SUMIF(月間集計シート!$M$113:$M$132,$G613,月間集計シート!T$113:T$132)*AR$2</f>
        <v>0</v>
      </c>
      <c r="AS613" s="88">
        <f>SUMIF(月間集計シート!$M$134:$M$153,$G613,月間集計シート!N$134:N$153)*AS$2</f>
        <v>0</v>
      </c>
      <c r="AT613" s="88">
        <f>SUMIF(月間集計シート!$M$134:$M$153,$G613,月間集計シート!O$134:O$153)*AT$2</f>
        <v>0</v>
      </c>
      <c r="AU613" s="88">
        <f>SUMIF(月間集計シート!$M$134:$M$153,$G613,月間集計シート!P$134:P$153)*AU$2</f>
        <v>0</v>
      </c>
      <c r="AV613" s="88">
        <f>SUMIF(月間集計シート!$M$134:$M$153,$G613,月間集計シート!Q$134:Q$153)*AV$2</f>
        <v>0</v>
      </c>
      <c r="AW613" s="88">
        <f>SUMIF(月間集計シート!$M$134:$M$153,$G613,月間集計シート!R$134:R$153)*AW$2</f>
        <v>0</v>
      </c>
      <c r="AX613" s="88">
        <f>SUMIF(月間集計シート!$M$134:$M$153,$G613,月間集計シート!S$134:S$153)*AX$2</f>
        <v>0</v>
      </c>
      <c r="AY613" s="88">
        <f>SUMIF(月間集計シート!$M$134:$M$153,$G613,月間集計シート!T$134:T$153)*AY$2</f>
        <v>0</v>
      </c>
    </row>
    <row r="614" spans="1:51" ht="14.25" thickBot="1">
      <c r="A614">
        <v>8</v>
      </c>
      <c r="B614" s="120">
        <f t="shared" si="304"/>
        <v>0</v>
      </c>
      <c r="C614" s="120" t="str">
        <f t="shared" si="305"/>
        <v/>
      </c>
      <c r="D614" s="137"/>
      <c r="E614" s="150" t="str">
        <f>工種!A11</f>
        <v>20107</v>
      </c>
      <c r="F614" s="119" t="str">
        <f>工種!B11</f>
        <v>設計：その他の設計書作成</v>
      </c>
      <c r="G614" s="116" t="str">
        <f t="shared" si="306"/>
        <v>020107</v>
      </c>
      <c r="H614" s="88">
        <f t="shared" si="260"/>
        <v>0</v>
      </c>
      <c r="I614" s="132"/>
      <c r="J614" s="88">
        <f>SUMIF(月間集計シート!$M$29:$M$48,$G614,月間集計シート!N$29:N$48)*J$2</f>
        <v>0</v>
      </c>
      <c r="K614" s="88">
        <f>SUMIF(月間集計シート!$M$29:$M$48,$G614,月間集計シート!O$29:O$48)*K$2</f>
        <v>0</v>
      </c>
      <c r="L614" s="88">
        <f>SUMIF(月間集計シート!$M$29:$M$48,$G614,月間集計シート!P$29:P$48)*L$2</f>
        <v>0</v>
      </c>
      <c r="M614" s="88">
        <f>SUMIF(月間集計シート!$M$29:$M$48,$G614,月間集計シート!Q$29:Q$48)*M$2</f>
        <v>0</v>
      </c>
      <c r="N614" s="88">
        <f>SUMIF(月間集計シート!$M$29:$M$48,$G614,月間集計シート!R$29:R$48)*N$2</f>
        <v>0</v>
      </c>
      <c r="O614" s="88">
        <f>SUMIF(月間集計シート!$M$29:$M$48,$G614,月間集計シート!S$29:S$48)*O$2</f>
        <v>0</v>
      </c>
      <c r="P614" s="88">
        <f>SUMIF(月間集計シート!$M$29:$M$48,$G614,月間集計シート!T$29:T$48)*P$2</f>
        <v>0</v>
      </c>
      <c r="Q614" s="88">
        <f>SUMIF(月間集計シート!$M$50:$M$69,$G614,月間集計シート!N$50:N$69)*Q$2</f>
        <v>0</v>
      </c>
      <c r="R614" s="88">
        <f>SUMIF(月間集計シート!$M$50:$M$69,$G614,月間集計シート!O$50:O$69)*R$2</f>
        <v>0</v>
      </c>
      <c r="S614" s="88">
        <f>SUMIF(月間集計シート!$M$50:$M$69,$G614,月間集計シート!P$50:P$69)*S$2</f>
        <v>0</v>
      </c>
      <c r="T614" s="88">
        <f>SUMIF(月間集計シート!$M$50:$M$69,$G614,月間集計シート!Q$50:Q$69)*T$2</f>
        <v>0</v>
      </c>
      <c r="U614" s="88">
        <f>SUMIF(月間集計シート!$M$50:$M$69,$G614,月間集計シート!R$50:R$69)*U$2</f>
        <v>0</v>
      </c>
      <c r="V614" s="88">
        <f>SUMIF(月間集計シート!$M$50:$M$69,$G614,月間集計シート!S$50:S$69)*V$2</f>
        <v>0</v>
      </c>
      <c r="W614" s="88">
        <f>SUMIF(月間集計シート!$M$50:$M$69,$G614,月間集計シート!T$50:T$69)*W$2</f>
        <v>0</v>
      </c>
      <c r="X614" s="88">
        <f>SUMIF(月間集計シート!$M$71:$M$90,$G614,月間集計シート!N$71:N$90)*X$2</f>
        <v>0</v>
      </c>
      <c r="Y614" s="88">
        <f>SUMIF(月間集計シート!$M$71:$M$90,$G614,月間集計シート!O$71:O$90)*Y$2</f>
        <v>0</v>
      </c>
      <c r="Z614" s="88">
        <f>SUMIF(月間集計シート!$M$71:$M$90,$G614,月間集計シート!P$71:P$90)*Z$2</f>
        <v>0</v>
      </c>
      <c r="AA614" s="88">
        <f>SUMIF(月間集計シート!$M$71:$M$90,$G614,月間集計シート!Q$71:Q$90)*AA$2</f>
        <v>0</v>
      </c>
      <c r="AB614" s="88">
        <f>SUMIF(月間集計シート!$M$71:$M$90,$G614,月間集計シート!R$71:R$90)*AB$2</f>
        <v>0</v>
      </c>
      <c r="AC614" s="88">
        <f>SUMIF(月間集計シート!$M$71:$M$90,$G614,月間集計シート!S$71:S$90)*AC$2</f>
        <v>0</v>
      </c>
      <c r="AD614" s="88">
        <f>SUMIF(月間集計シート!$M$71:$M$90,$G614,月間集計シート!T$71:T$90)*AD$2</f>
        <v>0</v>
      </c>
      <c r="AE614" s="88">
        <f>SUMIF(月間集計シート!$M$92:$M$111,$G614,月間集計シート!N$92:N$111)*AE$2</f>
        <v>0</v>
      </c>
      <c r="AF614" s="88">
        <f>SUMIF(月間集計シート!$M$92:$M$111,$G614,月間集計シート!O$92:O$111)*AF$2</f>
        <v>0</v>
      </c>
      <c r="AG614" s="88">
        <f>SUMIF(月間集計シート!$M$92:$M$111,$G614,月間集計シート!P$92:P$111)*AG$2</f>
        <v>0</v>
      </c>
      <c r="AH614" s="88">
        <f>SUMIF(月間集計シート!$M$92:$M$111,$G614,月間集計シート!Q$92:Q$111)*AH$2</f>
        <v>0</v>
      </c>
      <c r="AI614" s="88">
        <f>SUMIF(月間集計シート!$M$92:$M$111,$G614,月間集計シート!R$92:R$111)*AI$2</f>
        <v>0</v>
      </c>
      <c r="AJ614" s="88">
        <f>SUMIF(月間集計シート!$M$92:$M$111,$G614,月間集計シート!S$92:S$111)*AJ$2</f>
        <v>0</v>
      </c>
      <c r="AK614" s="88">
        <f>SUMIF(月間集計シート!$M$92:$M$111,$G614,月間集計シート!T$92:T$111)*AK$2</f>
        <v>0</v>
      </c>
      <c r="AL614" s="88">
        <f>SUMIF(月間集計シート!$M$113:$M$132,$G614,月間集計シート!N$113:N$132)*AL$2</f>
        <v>0</v>
      </c>
      <c r="AM614" s="88">
        <f>SUMIF(月間集計シート!$M$113:$M$132,$G614,月間集計シート!O$113:O$132)*AM$2</f>
        <v>0</v>
      </c>
      <c r="AN614" s="88">
        <f>SUMIF(月間集計シート!$M$113:$M$132,$G614,月間集計シート!P$113:P$132)*AN$2</f>
        <v>0</v>
      </c>
      <c r="AO614" s="88">
        <f>SUMIF(月間集計シート!$M$113:$M$132,$G614,月間集計シート!Q$113:Q$132)*AO$2</f>
        <v>0</v>
      </c>
      <c r="AP614" s="88">
        <f>SUMIF(月間集計シート!$M$113:$M$132,$G614,月間集計シート!R$113:R$132)*AP$2</f>
        <v>0</v>
      </c>
      <c r="AQ614" s="88">
        <f>SUMIF(月間集計シート!$M$113:$M$132,$G614,月間集計シート!S$113:S$132)*AQ$2</f>
        <v>0</v>
      </c>
      <c r="AR614" s="88">
        <f>SUMIF(月間集計シート!$M$113:$M$132,$G614,月間集計シート!T$113:T$132)*AR$2</f>
        <v>0</v>
      </c>
      <c r="AS614" s="88">
        <f>SUMIF(月間集計シート!$M$134:$M$153,$G614,月間集計シート!N$134:N$153)*AS$2</f>
        <v>0</v>
      </c>
      <c r="AT614" s="88">
        <f>SUMIF(月間集計シート!$M$134:$M$153,$G614,月間集計シート!O$134:O$153)*AT$2</f>
        <v>0</v>
      </c>
      <c r="AU614" s="88">
        <f>SUMIF(月間集計シート!$M$134:$M$153,$G614,月間集計シート!P$134:P$153)*AU$2</f>
        <v>0</v>
      </c>
      <c r="AV614" s="88">
        <f>SUMIF(月間集計シート!$M$134:$M$153,$G614,月間集計シート!Q$134:Q$153)*AV$2</f>
        <v>0</v>
      </c>
      <c r="AW614" s="88">
        <f>SUMIF(月間集計シート!$M$134:$M$153,$G614,月間集計シート!R$134:R$153)*AW$2</f>
        <v>0</v>
      </c>
      <c r="AX614" s="88">
        <f>SUMIF(月間集計シート!$M$134:$M$153,$G614,月間集計シート!S$134:S$153)*AX$2</f>
        <v>0</v>
      </c>
      <c r="AY614" s="88">
        <f>SUMIF(月間集計シート!$M$134:$M$153,$G614,月間集計シート!T$134:T$153)*AY$2</f>
        <v>0</v>
      </c>
    </row>
    <row r="615" spans="1:51" ht="14.25" thickBot="1">
      <c r="A615">
        <v>8</v>
      </c>
      <c r="B615" s="120">
        <f t="shared" si="304"/>
        <v>0</v>
      </c>
      <c r="C615" s="120" t="str">
        <f t="shared" si="305"/>
        <v/>
      </c>
      <c r="D615" s="137"/>
      <c r="E615" s="150" t="str">
        <f>工種!A12</f>
        <v>20108</v>
      </c>
      <c r="F615" s="119" t="str">
        <f>工種!B12</f>
        <v>設計：レビュー</v>
      </c>
      <c r="G615" s="116" t="str">
        <f t="shared" si="306"/>
        <v>020108</v>
      </c>
      <c r="H615" s="88">
        <f t="shared" si="260"/>
        <v>0</v>
      </c>
      <c r="I615" s="132"/>
      <c r="J615" s="88">
        <f>SUMIF(月間集計シート!$M$29:$M$48,$G615,月間集計シート!N$29:N$48)*J$2</f>
        <v>0</v>
      </c>
      <c r="K615" s="88">
        <f>SUMIF(月間集計シート!$M$29:$M$48,$G615,月間集計シート!O$29:O$48)*K$2</f>
        <v>0</v>
      </c>
      <c r="L615" s="88">
        <f>SUMIF(月間集計シート!$M$29:$M$48,$G615,月間集計シート!P$29:P$48)*L$2</f>
        <v>0</v>
      </c>
      <c r="M615" s="88">
        <f>SUMIF(月間集計シート!$M$29:$M$48,$G615,月間集計シート!Q$29:Q$48)*M$2</f>
        <v>0</v>
      </c>
      <c r="N615" s="88">
        <f>SUMIF(月間集計シート!$M$29:$M$48,$G615,月間集計シート!R$29:R$48)*N$2</f>
        <v>0</v>
      </c>
      <c r="O615" s="88">
        <f>SUMIF(月間集計シート!$M$29:$M$48,$G615,月間集計シート!S$29:S$48)*O$2</f>
        <v>0</v>
      </c>
      <c r="P615" s="88">
        <f>SUMIF(月間集計シート!$M$29:$M$48,$G615,月間集計シート!T$29:T$48)*P$2</f>
        <v>0</v>
      </c>
      <c r="Q615" s="88">
        <f>SUMIF(月間集計シート!$M$50:$M$69,$G615,月間集計シート!N$50:N$69)*Q$2</f>
        <v>0</v>
      </c>
      <c r="R615" s="88">
        <f>SUMIF(月間集計シート!$M$50:$M$69,$G615,月間集計シート!O$50:O$69)*R$2</f>
        <v>0</v>
      </c>
      <c r="S615" s="88">
        <f>SUMIF(月間集計シート!$M$50:$M$69,$G615,月間集計シート!P$50:P$69)*S$2</f>
        <v>0</v>
      </c>
      <c r="T615" s="88">
        <f>SUMIF(月間集計シート!$M$50:$M$69,$G615,月間集計シート!Q$50:Q$69)*T$2</f>
        <v>0</v>
      </c>
      <c r="U615" s="88">
        <f>SUMIF(月間集計シート!$M$50:$M$69,$G615,月間集計シート!R$50:R$69)*U$2</f>
        <v>0</v>
      </c>
      <c r="V615" s="88">
        <f>SUMIF(月間集計シート!$M$50:$M$69,$G615,月間集計シート!S$50:S$69)*V$2</f>
        <v>0</v>
      </c>
      <c r="W615" s="88">
        <f>SUMIF(月間集計シート!$M$50:$M$69,$G615,月間集計シート!T$50:T$69)*W$2</f>
        <v>0</v>
      </c>
      <c r="X615" s="88">
        <f>SUMIF(月間集計シート!$M$71:$M$90,$G615,月間集計シート!N$71:N$90)*X$2</f>
        <v>0</v>
      </c>
      <c r="Y615" s="88">
        <f>SUMIF(月間集計シート!$M$71:$M$90,$G615,月間集計シート!O$71:O$90)*Y$2</f>
        <v>0</v>
      </c>
      <c r="Z615" s="88">
        <f>SUMIF(月間集計シート!$M$71:$M$90,$G615,月間集計シート!P$71:P$90)*Z$2</f>
        <v>0</v>
      </c>
      <c r="AA615" s="88">
        <f>SUMIF(月間集計シート!$M$71:$M$90,$G615,月間集計シート!Q$71:Q$90)*AA$2</f>
        <v>0</v>
      </c>
      <c r="AB615" s="88">
        <f>SUMIF(月間集計シート!$M$71:$M$90,$G615,月間集計シート!R$71:R$90)*AB$2</f>
        <v>0</v>
      </c>
      <c r="AC615" s="88">
        <f>SUMIF(月間集計シート!$M$71:$M$90,$G615,月間集計シート!S$71:S$90)*AC$2</f>
        <v>0</v>
      </c>
      <c r="AD615" s="88">
        <f>SUMIF(月間集計シート!$M$71:$M$90,$G615,月間集計シート!T$71:T$90)*AD$2</f>
        <v>0</v>
      </c>
      <c r="AE615" s="88">
        <f>SUMIF(月間集計シート!$M$92:$M$111,$G615,月間集計シート!N$92:N$111)*AE$2</f>
        <v>0</v>
      </c>
      <c r="AF615" s="88">
        <f>SUMIF(月間集計シート!$M$92:$M$111,$G615,月間集計シート!O$92:O$111)*AF$2</f>
        <v>0</v>
      </c>
      <c r="AG615" s="88">
        <f>SUMIF(月間集計シート!$M$92:$M$111,$G615,月間集計シート!P$92:P$111)*AG$2</f>
        <v>0</v>
      </c>
      <c r="AH615" s="88">
        <f>SUMIF(月間集計シート!$M$92:$M$111,$G615,月間集計シート!Q$92:Q$111)*AH$2</f>
        <v>0</v>
      </c>
      <c r="AI615" s="88">
        <f>SUMIF(月間集計シート!$M$92:$M$111,$G615,月間集計シート!R$92:R$111)*AI$2</f>
        <v>0</v>
      </c>
      <c r="AJ615" s="88">
        <f>SUMIF(月間集計シート!$M$92:$M$111,$G615,月間集計シート!S$92:S$111)*AJ$2</f>
        <v>0</v>
      </c>
      <c r="AK615" s="88">
        <f>SUMIF(月間集計シート!$M$92:$M$111,$G615,月間集計シート!T$92:T$111)*AK$2</f>
        <v>0</v>
      </c>
      <c r="AL615" s="88">
        <f>SUMIF(月間集計シート!$M$113:$M$132,$G615,月間集計シート!N$113:N$132)*AL$2</f>
        <v>0</v>
      </c>
      <c r="AM615" s="88">
        <f>SUMIF(月間集計シート!$M$113:$M$132,$G615,月間集計シート!O$113:O$132)*AM$2</f>
        <v>0</v>
      </c>
      <c r="AN615" s="88">
        <f>SUMIF(月間集計シート!$M$113:$M$132,$G615,月間集計シート!P$113:P$132)*AN$2</f>
        <v>0</v>
      </c>
      <c r="AO615" s="88">
        <f>SUMIF(月間集計シート!$M$113:$M$132,$G615,月間集計シート!Q$113:Q$132)*AO$2</f>
        <v>0</v>
      </c>
      <c r="AP615" s="88">
        <f>SUMIF(月間集計シート!$M$113:$M$132,$G615,月間集計シート!R$113:R$132)*AP$2</f>
        <v>0</v>
      </c>
      <c r="AQ615" s="88">
        <f>SUMIF(月間集計シート!$M$113:$M$132,$G615,月間集計シート!S$113:S$132)*AQ$2</f>
        <v>0</v>
      </c>
      <c r="AR615" s="88">
        <f>SUMIF(月間集計シート!$M$113:$M$132,$G615,月間集計シート!T$113:T$132)*AR$2</f>
        <v>0</v>
      </c>
      <c r="AS615" s="88">
        <f>SUMIF(月間集計シート!$M$134:$M$153,$G615,月間集計シート!N$134:N$153)*AS$2</f>
        <v>0</v>
      </c>
      <c r="AT615" s="88">
        <f>SUMIF(月間集計シート!$M$134:$M$153,$G615,月間集計シート!O$134:O$153)*AT$2</f>
        <v>0</v>
      </c>
      <c r="AU615" s="88">
        <f>SUMIF(月間集計シート!$M$134:$M$153,$G615,月間集計シート!P$134:P$153)*AU$2</f>
        <v>0</v>
      </c>
      <c r="AV615" s="88">
        <f>SUMIF(月間集計シート!$M$134:$M$153,$G615,月間集計シート!Q$134:Q$153)*AV$2</f>
        <v>0</v>
      </c>
      <c r="AW615" s="88">
        <f>SUMIF(月間集計シート!$M$134:$M$153,$G615,月間集計シート!R$134:R$153)*AW$2</f>
        <v>0</v>
      </c>
      <c r="AX615" s="88">
        <f>SUMIF(月間集計シート!$M$134:$M$153,$G615,月間集計シート!S$134:S$153)*AX$2</f>
        <v>0</v>
      </c>
      <c r="AY615" s="88">
        <f>SUMIF(月間集計シート!$M$134:$M$153,$G615,月間集計シート!T$134:T$153)*AY$2</f>
        <v>0</v>
      </c>
    </row>
    <row r="616" spans="1:51" ht="14.25" thickBot="1">
      <c r="A616">
        <v>8</v>
      </c>
      <c r="B616" s="120">
        <f t="shared" si="304"/>
        <v>0</v>
      </c>
      <c r="C616" s="120" t="str">
        <f t="shared" si="305"/>
        <v/>
      </c>
      <c r="D616" s="137"/>
      <c r="E616" s="150" t="str">
        <f>工種!A13</f>
        <v>20109</v>
      </c>
      <c r="F616" s="119" t="str">
        <f>工種!B13</f>
        <v>設計：QA対応</v>
      </c>
      <c r="G616" s="116" t="str">
        <f t="shared" si="306"/>
        <v>020109</v>
      </c>
      <c r="H616" s="88">
        <f t="shared" si="260"/>
        <v>0</v>
      </c>
      <c r="I616" s="132"/>
      <c r="J616" s="88">
        <f>SUMIF(月間集計シート!$M$29:$M$48,$G616,月間集計シート!N$29:N$48)*J$2</f>
        <v>0</v>
      </c>
      <c r="K616" s="88">
        <f>SUMIF(月間集計シート!$M$29:$M$48,$G616,月間集計シート!O$29:O$48)*K$2</f>
        <v>0</v>
      </c>
      <c r="L616" s="88">
        <f>SUMIF(月間集計シート!$M$29:$M$48,$G616,月間集計シート!P$29:P$48)*L$2</f>
        <v>0</v>
      </c>
      <c r="M616" s="88">
        <f>SUMIF(月間集計シート!$M$29:$M$48,$G616,月間集計シート!Q$29:Q$48)*M$2</f>
        <v>0</v>
      </c>
      <c r="N616" s="88">
        <f>SUMIF(月間集計シート!$M$29:$M$48,$G616,月間集計シート!R$29:R$48)*N$2</f>
        <v>0</v>
      </c>
      <c r="O616" s="88">
        <f>SUMIF(月間集計シート!$M$29:$M$48,$G616,月間集計シート!S$29:S$48)*O$2</f>
        <v>0</v>
      </c>
      <c r="P616" s="88">
        <f>SUMIF(月間集計シート!$M$29:$M$48,$G616,月間集計シート!T$29:T$48)*P$2</f>
        <v>0</v>
      </c>
      <c r="Q616" s="88">
        <f>SUMIF(月間集計シート!$M$50:$M$69,$G616,月間集計シート!N$50:N$69)*Q$2</f>
        <v>0</v>
      </c>
      <c r="R616" s="88">
        <f>SUMIF(月間集計シート!$M$50:$M$69,$G616,月間集計シート!O$50:O$69)*R$2</f>
        <v>0</v>
      </c>
      <c r="S616" s="88">
        <f>SUMIF(月間集計シート!$M$50:$M$69,$G616,月間集計シート!P$50:P$69)*S$2</f>
        <v>0</v>
      </c>
      <c r="T616" s="88">
        <f>SUMIF(月間集計シート!$M$50:$M$69,$G616,月間集計シート!Q$50:Q$69)*T$2</f>
        <v>0</v>
      </c>
      <c r="U616" s="88">
        <f>SUMIF(月間集計シート!$M$50:$M$69,$G616,月間集計シート!R$50:R$69)*U$2</f>
        <v>0</v>
      </c>
      <c r="V616" s="88">
        <f>SUMIF(月間集計シート!$M$50:$M$69,$G616,月間集計シート!S$50:S$69)*V$2</f>
        <v>0</v>
      </c>
      <c r="W616" s="88">
        <f>SUMIF(月間集計シート!$M$50:$M$69,$G616,月間集計シート!T$50:T$69)*W$2</f>
        <v>0</v>
      </c>
      <c r="X616" s="88">
        <f>SUMIF(月間集計シート!$M$71:$M$90,$G616,月間集計シート!N$71:N$90)*X$2</f>
        <v>0</v>
      </c>
      <c r="Y616" s="88">
        <f>SUMIF(月間集計シート!$M$71:$M$90,$G616,月間集計シート!O$71:O$90)*Y$2</f>
        <v>0</v>
      </c>
      <c r="Z616" s="88">
        <f>SUMIF(月間集計シート!$M$71:$M$90,$G616,月間集計シート!P$71:P$90)*Z$2</f>
        <v>0</v>
      </c>
      <c r="AA616" s="88">
        <f>SUMIF(月間集計シート!$M$71:$M$90,$G616,月間集計シート!Q$71:Q$90)*AA$2</f>
        <v>0</v>
      </c>
      <c r="AB616" s="88">
        <f>SUMIF(月間集計シート!$M$71:$M$90,$G616,月間集計シート!R$71:R$90)*AB$2</f>
        <v>0</v>
      </c>
      <c r="AC616" s="88">
        <f>SUMIF(月間集計シート!$M$71:$M$90,$G616,月間集計シート!S$71:S$90)*AC$2</f>
        <v>0</v>
      </c>
      <c r="AD616" s="88">
        <f>SUMIF(月間集計シート!$M$71:$M$90,$G616,月間集計シート!T$71:T$90)*AD$2</f>
        <v>0</v>
      </c>
      <c r="AE616" s="88">
        <f>SUMIF(月間集計シート!$M$92:$M$111,$G616,月間集計シート!N$92:N$111)*AE$2</f>
        <v>0</v>
      </c>
      <c r="AF616" s="88">
        <f>SUMIF(月間集計シート!$M$92:$M$111,$G616,月間集計シート!O$92:O$111)*AF$2</f>
        <v>0</v>
      </c>
      <c r="AG616" s="88">
        <f>SUMIF(月間集計シート!$M$92:$M$111,$G616,月間集計シート!P$92:P$111)*AG$2</f>
        <v>0</v>
      </c>
      <c r="AH616" s="88">
        <f>SUMIF(月間集計シート!$M$92:$M$111,$G616,月間集計シート!Q$92:Q$111)*AH$2</f>
        <v>0</v>
      </c>
      <c r="AI616" s="88">
        <f>SUMIF(月間集計シート!$M$92:$M$111,$G616,月間集計シート!R$92:R$111)*AI$2</f>
        <v>0</v>
      </c>
      <c r="AJ616" s="88">
        <f>SUMIF(月間集計シート!$M$92:$M$111,$G616,月間集計シート!S$92:S$111)*AJ$2</f>
        <v>0</v>
      </c>
      <c r="AK616" s="88">
        <f>SUMIF(月間集計シート!$M$92:$M$111,$G616,月間集計シート!T$92:T$111)*AK$2</f>
        <v>0</v>
      </c>
      <c r="AL616" s="88">
        <f>SUMIF(月間集計シート!$M$113:$M$132,$G616,月間集計シート!N$113:N$132)*AL$2</f>
        <v>0</v>
      </c>
      <c r="AM616" s="88">
        <f>SUMIF(月間集計シート!$M$113:$M$132,$G616,月間集計シート!O$113:O$132)*AM$2</f>
        <v>0</v>
      </c>
      <c r="AN616" s="88">
        <f>SUMIF(月間集計シート!$M$113:$M$132,$G616,月間集計シート!P$113:P$132)*AN$2</f>
        <v>0</v>
      </c>
      <c r="AO616" s="88">
        <f>SUMIF(月間集計シート!$M$113:$M$132,$G616,月間集計シート!Q$113:Q$132)*AO$2</f>
        <v>0</v>
      </c>
      <c r="AP616" s="88">
        <f>SUMIF(月間集計シート!$M$113:$M$132,$G616,月間集計シート!R$113:R$132)*AP$2</f>
        <v>0</v>
      </c>
      <c r="AQ616" s="88">
        <f>SUMIF(月間集計シート!$M$113:$M$132,$G616,月間集計シート!S$113:S$132)*AQ$2</f>
        <v>0</v>
      </c>
      <c r="AR616" s="88">
        <f>SUMIF(月間集計シート!$M$113:$M$132,$G616,月間集計シート!T$113:T$132)*AR$2</f>
        <v>0</v>
      </c>
      <c r="AS616" s="88">
        <f>SUMIF(月間集計シート!$M$134:$M$153,$G616,月間集計シート!N$134:N$153)*AS$2</f>
        <v>0</v>
      </c>
      <c r="AT616" s="88">
        <f>SUMIF(月間集計シート!$M$134:$M$153,$G616,月間集計シート!O$134:O$153)*AT$2</f>
        <v>0</v>
      </c>
      <c r="AU616" s="88">
        <f>SUMIF(月間集計シート!$M$134:$M$153,$G616,月間集計シート!P$134:P$153)*AU$2</f>
        <v>0</v>
      </c>
      <c r="AV616" s="88">
        <f>SUMIF(月間集計シート!$M$134:$M$153,$G616,月間集計シート!Q$134:Q$153)*AV$2</f>
        <v>0</v>
      </c>
      <c r="AW616" s="88">
        <f>SUMIF(月間集計シート!$M$134:$M$153,$G616,月間集計シート!R$134:R$153)*AW$2</f>
        <v>0</v>
      </c>
      <c r="AX616" s="88">
        <f>SUMIF(月間集計シート!$M$134:$M$153,$G616,月間集計シート!S$134:S$153)*AX$2</f>
        <v>0</v>
      </c>
      <c r="AY616" s="88">
        <f>SUMIF(月間集計シート!$M$134:$M$153,$G616,月間集計シート!T$134:T$153)*AY$2</f>
        <v>0</v>
      </c>
    </row>
    <row r="617" spans="1:51" ht="14.25" thickBot="1">
      <c r="A617">
        <v>8</v>
      </c>
      <c r="B617" s="120">
        <f t="shared" si="304"/>
        <v>0</v>
      </c>
      <c r="C617" s="120" t="str">
        <f t="shared" si="305"/>
        <v/>
      </c>
      <c r="D617" s="137"/>
      <c r="E617" s="150" t="str">
        <f>工種!A14</f>
        <v>20199</v>
      </c>
      <c r="F617" s="119" t="str">
        <f>工種!B14</f>
        <v>設計：その他</v>
      </c>
      <c r="G617" s="116" t="str">
        <f t="shared" si="306"/>
        <v>020199</v>
      </c>
      <c r="H617" s="88">
        <f t="shared" si="260"/>
        <v>0</v>
      </c>
      <c r="I617" s="132"/>
      <c r="J617" s="88">
        <f>SUMIF(月間集計シート!$M$29:$M$48,$G617,月間集計シート!N$29:N$48)*J$2</f>
        <v>0</v>
      </c>
      <c r="K617" s="88">
        <f>SUMIF(月間集計シート!$M$29:$M$48,$G617,月間集計シート!O$29:O$48)*K$2</f>
        <v>0</v>
      </c>
      <c r="L617" s="88">
        <f>SUMIF(月間集計シート!$M$29:$M$48,$G617,月間集計シート!P$29:P$48)*L$2</f>
        <v>0</v>
      </c>
      <c r="M617" s="88">
        <f>SUMIF(月間集計シート!$M$29:$M$48,$G617,月間集計シート!Q$29:Q$48)*M$2</f>
        <v>0</v>
      </c>
      <c r="N617" s="88">
        <f>SUMIF(月間集計シート!$M$29:$M$48,$G617,月間集計シート!R$29:R$48)*N$2</f>
        <v>0</v>
      </c>
      <c r="O617" s="88">
        <f>SUMIF(月間集計シート!$M$29:$M$48,$G617,月間集計シート!S$29:S$48)*O$2</f>
        <v>0</v>
      </c>
      <c r="P617" s="88">
        <f>SUMIF(月間集計シート!$M$29:$M$48,$G617,月間集計シート!T$29:T$48)*P$2</f>
        <v>0</v>
      </c>
      <c r="Q617" s="88">
        <f>SUMIF(月間集計シート!$M$50:$M$69,$G617,月間集計シート!N$50:N$69)*Q$2</f>
        <v>0</v>
      </c>
      <c r="R617" s="88">
        <f>SUMIF(月間集計シート!$M$50:$M$69,$G617,月間集計シート!O$50:O$69)*R$2</f>
        <v>0</v>
      </c>
      <c r="S617" s="88">
        <f>SUMIF(月間集計シート!$M$50:$M$69,$G617,月間集計シート!P$50:P$69)*S$2</f>
        <v>0</v>
      </c>
      <c r="T617" s="88">
        <f>SUMIF(月間集計シート!$M$50:$M$69,$G617,月間集計シート!Q$50:Q$69)*T$2</f>
        <v>0</v>
      </c>
      <c r="U617" s="88">
        <f>SUMIF(月間集計シート!$M$50:$M$69,$G617,月間集計シート!R$50:R$69)*U$2</f>
        <v>0</v>
      </c>
      <c r="V617" s="88">
        <f>SUMIF(月間集計シート!$M$50:$M$69,$G617,月間集計シート!S$50:S$69)*V$2</f>
        <v>0</v>
      </c>
      <c r="W617" s="88">
        <f>SUMIF(月間集計シート!$M$50:$M$69,$G617,月間集計シート!T$50:T$69)*W$2</f>
        <v>0</v>
      </c>
      <c r="X617" s="88">
        <f>SUMIF(月間集計シート!$M$71:$M$90,$G617,月間集計シート!N$71:N$90)*X$2</f>
        <v>0</v>
      </c>
      <c r="Y617" s="88">
        <f>SUMIF(月間集計シート!$M$71:$M$90,$G617,月間集計シート!O$71:O$90)*Y$2</f>
        <v>0</v>
      </c>
      <c r="Z617" s="88">
        <f>SUMIF(月間集計シート!$M$71:$M$90,$G617,月間集計シート!P$71:P$90)*Z$2</f>
        <v>0</v>
      </c>
      <c r="AA617" s="88">
        <f>SUMIF(月間集計シート!$M$71:$M$90,$G617,月間集計シート!Q$71:Q$90)*AA$2</f>
        <v>0</v>
      </c>
      <c r="AB617" s="88">
        <f>SUMIF(月間集計シート!$M$71:$M$90,$G617,月間集計シート!R$71:R$90)*AB$2</f>
        <v>0</v>
      </c>
      <c r="AC617" s="88">
        <f>SUMIF(月間集計シート!$M$71:$M$90,$G617,月間集計シート!S$71:S$90)*AC$2</f>
        <v>0</v>
      </c>
      <c r="AD617" s="88">
        <f>SUMIF(月間集計シート!$M$71:$M$90,$G617,月間集計シート!T$71:T$90)*AD$2</f>
        <v>0</v>
      </c>
      <c r="AE617" s="88">
        <f>SUMIF(月間集計シート!$M$92:$M$111,$G617,月間集計シート!N$92:N$111)*AE$2</f>
        <v>0</v>
      </c>
      <c r="AF617" s="88">
        <f>SUMIF(月間集計シート!$M$92:$M$111,$G617,月間集計シート!O$92:O$111)*AF$2</f>
        <v>0</v>
      </c>
      <c r="AG617" s="88">
        <f>SUMIF(月間集計シート!$M$92:$M$111,$G617,月間集計シート!P$92:P$111)*AG$2</f>
        <v>0</v>
      </c>
      <c r="AH617" s="88">
        <f>SUMIF(月間集計シート!$M$92:$M$111,$G617,月間集計シート!Q$92:Q$111)*AH$2</f>
        <v>0</v>
      </c>
      <c r="AI617" s="88">
        <f>SUMIF(月間集計シート!$M$92:$M$111,$G617,月間集計シート!R$92:R$111)*AI$2</f>
        <v>0</v>
      </c>
      <c r="AJ617" s="88">
        <f>SUMIF(月間集計シート!$M$92:$M$111,$G617,月間集計シート!S$92:S$111)*AJ$2</f>
        <v>0</v>
      </c>
      <c r="AK617" s="88">
        <f>SUMIF(月間集計シート!$M$92:$M$111,$G617,月間集計シート!T$92:T$111)*AK$2</f>
        <v>0</v>
      </c>
      <c r="AL617" s="88">
        <f>SUMIF(月間集計シート!$M$113:$M$132,$G617,月間集計シート!N$113:N$132)*AL$2</f>
        <v>0</v>
      </c>
      <c r="AM617" s="88">
        <f>SUMIF(月間集計シート!$M$113:$M$132,$G617,月間集計シート!O$113:O$132)*AM$2</f>
        <v>0</v>
      </c>
      <c r="AN617" s="88">
        <f>SUMIF(月間集計シート!$M$113:$M$132,$G617,月間集計シート!P$113:P$132)*AN$2</f>
        <v>0</v>
      </c>
      <c r="AO617" s="88">
        <f>SUMIF(月間集計シート!$M$113:$M$132,$G617,月間集計シート!Q$113:Q$132)*AO$2</f>
        <v>0</v>
      </c>
      <c r="AP617" s="88">
        <f>SUMIF(月間集計シート!$M$113:$M$132,$G617,月間集計シート!R$113:R$132)*AP$2</f>
        <v>0</v>
      </c>
      <c r="AQ617" s="88">
        <f>SUMIF(月間集計シート!$M$113:$M$132,$G617,月間集計シート!S$113:S$132)*AQ$2</f>
        <v>0</v>
      </c>
      <c r="AR617" s="88">
        <f>SUMIF(月間集計シート!$M$113:$M$132,$G617,月間集計シート!T$113:T$132)*AR$2</f>
        <v>0</v>
      </c>
      <c r="AS617" s="88">
        <f>SUMIF(月間集計シート!$M$134:$M$153,$G617,月間集計シート!N$134:N$153)*AS$2</f>
        <v>0</v>
      </c>
      <c r="AT617" s="88">
        <f>SUMIF(月間集計シート!$M$134:$M$153,$G617,月間集計シート!O$134:O$153)*AT$2</f>
        <v>0</v>
      </c>
      <c r="AU617" s="88">
        <f>SUMIF(月間集計シート!$M$134:$M$153,$G617,月間集計シート!P$134:P$153)*AU$2</f>
        <v>0</v>
      </c>
      <c r="AV617" s="88">
        <f>SUMIF(月間集計シート!$M$134:$M$153,$G617,月間集計シート!Q$134:Q$153)*AV$2</f>
        <v>0</v>
      </c>
      <c r="AW617" s="88">
        <f>SUMIF(月間集計シート!$M$134:$M$153,$G617,月間集計シート!R$134:R$153)*AW$2</f>
        <v>0</v>
      </c>
      <c r="AX617" s="88">
        <f>SUMIF(月間集計シート!$M$134:$M$153,$G617,月間集計シート!S$134:S$153)*AX$2</f>
        <v>0</v>
      </c>
      <c r="AY617" s="88">
        <f>SUMIF(月間集計シート!$M$134:$M$153,$G617,月間集計シート!T$134:T$153)*AY$2</f>
        <v>0</v>
      </c>
    </row>
    <row r="618" spans="1:51" ht="14.25" thickBot="1">
      <c r="A618">
        <v>8</v>
      </c>
      <c r="B618" s="120">
        <f t="shared" si="304"/>
        <v>0</v>
      </c>
      <c r="C618" s="120" t="str">
        <f t="shared" si="305"/>
        <v/>
      </c>
      <c r="D618" s="137"/>
      <c r="E618" s="150" t="str">
        <f>工種!A15</f>
        <v>30101</v>
      </c>
      <c r="F618" s="119" t="str">
        <f>工種!B15</f>
        <v>製造：内部設計書作成</v>
      </c>
      <c r="G618" s="116" t="str">
        <f t="shared" si="306"/>
        <v>030101</v>
      </c>
      <c r="H618" s="88">
        <f t="shared" si="260"/>
        <v>0</v>
      </c>
      <c r="I618" s="132"/>
      <c r="J618" s="88">
        <f>SUMIF(月間集計シート!$M$29:$M$48,$G618,月間集計シート!N$29:N$48)*J$2</f>
        <v>0</v>
      </c>
      <c r="K618" s="88">
        <f>SUMIF(月間集計シート!$M$29:$M$48,$G618,月間集計シート!O$29:O$48)*K$2</f>
        <v>0</v>
      </c>
      <c r="L618" s="88">
        <f>SUMIF(月間集計シート!$M$29:$M$48,$G618,月間集計シート!P$29:P$48)*L$2</f>
        <v>0</v>
      </c>
      <c r="M618" s="88">
        <f>SUMIF(月間集計シート!$M$29:$M$48,$G618,月間集計シート!Q$29:Q$48)*M$2</f>
        <v>0</v>
      </c>
      <c r="N618" s="88">
        <f>SUMIF(月間集計シート!$M$29:$M$48,$G618,月間集計シート!R$29:R$48)*N$2</f>
        <v>0</v>
      </c>
      <c r="O618" s="88">
        <f>SUMIF(月間集計シート!$M$29:$M$48,$G618,月間集計シート!S$29:S$48)*O$2</f>
        <v>0</v>
      </c>
      <c r="P618" s="88">
        <f>SUMIF(月間集計シート!$M$29:$M$48,$G618,月間集計シート!T$29:T$48)*P$2</f>
        <v>0</v>
      </c>
      <c r="Q618" s="88">
        <f>SUMIF(月間集計シート!$M$50:$M$69,$G618,月間集計シート!N$50:N$69)*Q$2</f>
        <v>0</v>
      </c>
      <c r="R618" s="88">
        <f>SUMIF(月間集計シート!$M$50:$M$69,$G618,月間集計シート!O$50:O$69)*R$2</f>
        <v>0</v>
      </c>
      <c r="S618" s="88">
        <f>SUMIF(月間集計シート!$M$50:$M$69,$G618,月間集計シート!P$50:P$69)*S$2</f>
        <v>0</v>
      </c>
      <c r="T618" s="88">
        <f>SUMIF(月間集計シート!$M$50:$M$69,$G618,月間集計シート!Q$50:Q$69)*T$2</f>
        <v>0</v>
      </c>
      <c r="U618" s="88">
        <f>SUMIF(月間集計シート!$M$50:$M$69,$G618,月間集計シート!R$50:R$69)*U$2</f>
        <v>0</v>
      </c>
      <c r="V618" s="88">
        <f>SUMIF(月間集計シート!$M$50:$M$69,$G618,月間集計シート!S$50:S$69)*V$2</f>
        <v>0</v>
      </c>
      <c r="W618" s="88">
        <f>SUMIF(月間集計シート!$M$50:$M$69,$G618,月間集計シート!T$50:T$69)*W$2</f>
        <v>0</v>
      </c>
      <c r="X618" s="88">
        <f>SUMIF(月間集計シート!$M$71:$M$90,$G618,月間集計シート!N$71:N$90)*X$2</f>
        <v>0</v>
      </c>
      <c r="Y618" s="88">
        <f>SUMIF(月間集計シート!$M$71:$M$90,$G618,月間集計シート!O$71:O$90)*Y$2</f>
        <v>0</v>
      </c>
      <c r="Z618" s="88">
        <f>SUMIF(月間集計シート!$M$71:$M$90,$G618,月間集計シート!P$71:P$90)*Z$2</f>
        <v>0</v>
      </c>
      <c r="AA618" s="88">
        <f>SUMIF(月間集計シート!$M$71:$M$90,$G618,月間集計シート!Q$71:Q$90)*AA$2</f>
        <v>0</v>
      </c>
      <c r="AB618" s="88">
        <f>SUMIF(月間集計シート!$M$71:$M$90,$G618,月間集計シート!R$71:R$90)*AB$2</f>
        <v>0</v>
      </c>
      <c r="AC618" s="88">
        <f>SUMIF(月間集計シート!$M$71:$M$90,$G618,月間集計シート!S$71:S$90)*AC$2</f>
        <v>0</v>
      </c>
      <c r="AD618" s="88">
        <f>SUMIF(月間集計シート!$M$71:$M$90,$G618,月間集計シート!T$71:T$90)*AD$2</f>
        <v>0</v>
      </c>
      <c r="AE618" s="88">
        <f>SUMIF(月間集計シート!$M$92:$M$111,$G618,月間集計シート!N$92:N$111)*AE$2</f>
        <v>0</v>
      </c>
      <c r="AF618" s="88">
        <f>SUMIF(月間集計シート!$M$92:$M$111,$G618,月間集計シート!O$92:O$111)*AF$2</f>
        <v>0</v>
      </c>
      <c r="AG618" s="88">
        <f>SUMIF(月間集計シート!$M$92:$M$111,$G618,月間集計シート!P$92:P$111)*AG$2</f>
        <v>0</v>
      </c>
      <c r="AH618" s="88">
        <f>SUMIF(月間集計シート!$M$92:$M$111,$G618,月間集計シート!Q$92:Q$111)*AH$2</f>
        <v>0</v>
      </c>
      <c r="AI618" s="88">
        <f>SUMIF(月間集計シート!$M$92:$M$111,$G618,月間集計シート!R$92:R$111)*AI$2</f>
        <v>0</v>
      </c>
      <c r="AJ618" s="88">
        <f>SUMIF(月間集計シート!$M$92:$M$111,$G618,月間集計シート!S$92:S$111)*AJ$2</f>
        <v>0</v>
      </c>
      <c r="AK618" s="88">
        <f>SUMIF(月間集計シート!$M$92:$M$111,$G618,月間集計シート!T$92:T$111)*AK$2</f>
        <v>0</v>
      </c>
      <c r="AL618" s="88">
        <f>SUMIF(月間集計シート!$M$113:$M$132,$G618,月間集計シート!N$113:N$132)*AL$2</f>
        <v>0</v>
      </c>
      <c r="AM618" s="88">
        <f>SUMIF(月間集計シート!$M$113:$M$132,$G618,月間集計シート!O$113:O$132)*AM$2</f>
        <v>0</v>
      </c>
      <c r="AN618" s="88">
        <f>SUMIF(月間集計シート!$M$113:$M$132,$G618,月間集計シート!P$113:P$132)*AN$2</f>
        <v>0</v>
      </c>
      <c r="AO618" s="88">
        <f>SUMIF(月間集計シート!$M$113:$M$132,$G618,月間集計シート!Q$113:Q$132)*AO$2</f>
        <v>0</v>
      </c>
      <c r="AP618" s="88">
        <f>SUMIF(月間集計シート!$M$113:$M$132,$G618,月間集計シート!R$113:R$132)*AP$2</f>
        <v>0</v>
      </c>
      <c r="AQ618" s="88">
        <f>SUMIF(月間集計シート!$M$113:$M$132,$G618,月間集計シート!S$113:S$132)*AQ$2</f>
        <v>0</v>
      </c>
      <c r="AR618" s="88">
        <f>SUMIF(月間集計シート!$M$113:$M$132,$G618,月間集計シート!T$113:T$132)*AR$2</f>
        <v>0</v>
      </c>
      <c r="AS618" s="88">
        <f>SUMIF(月間集計シート!$M$134:$M$153,$G618,月間集計シート!N$134:N$153)*AS$2</f>
        <v>0</v>
      </c>
      <c r="AT618" s="88">
        <f>SUMIF(月間集計シート!$M$134:$M$153,$G618,月間集計シート!O$134:O$153)*AT$2</f>
        <v>0</v>
      </c>
      <c r="AU618" s="88">
        <f>SUMIF(月間集計シート!$M$134:$M$153,$G618,月間集計シート!P$134:P$153)*AU$2</f>
        <v>0</v>
      </c>
      <c r="AV618" s="88">
        <f>SUMIF(月間集計シート!$M$134:$M$153,$G618,月間集計シート!Q$134:Q$153)*AV$2</f>
        <v>0</v>
      </c>
      <c r="AW618" s="88">
        <f>SUMIF(月間集計シート!$M$134:$M$153,$G618,月間集計シート!R$134:R$153)*AW$2</f>
        <v>0</v>
      </c>
      <c r="AX618" s="88">
        <f>SUMIF(月間集計シート!$M$134:$M$153,$G618,月間集計シート!S$134:S$153)*AX$2</f>
        <v>0</v>
      </c>
      <c r="AY618" s="88">
        <f>SUMIF(月間集計シート!$M$134:$M$153,$G618,月間集計シート!T$134:T$153)*AY$2</f>
        <v>0</v>
      </c>
    </row>
    <row r="619" spans="1:51" ht="14.25" thickBot="1">
      <c r="A619">
        <v>8</v>
      </c>
      <c r="B619" s="120">
        <f t="shared" si="304"/>
        <v>0</v>
      </c>
      <c r="C619" s="120" t="str">
        <f t="shared" si="305"/>
        <v/>
      </c>
      <c r="D619" s="137"/>
      <c r="E619" s="150" t="str">
        <f>工種!A16</f>
        <v>30102</v>
      </c>
      <c r="F619" s="119" t="str">
        <f>工種!B16</f>
        <v>製造：コーディング</v>
      </c>
      <c r="G619" s="116" t="str">
        <f t="shared" si="306"/>
        <v>030102</v>
      </c>
      <c r="H619" s="88">
        <f t="shared" si="260"/>
        <v>0</v>
      </c>
      <c r="I619" s="132"/>
      <c r="J619" s="88">
        <f>SUMIF(月間集計シート!$M$29:$M$48,$G619,月間集計シート!N$29:N$48)*J$2</f>
        <v>0</v>
      </c>
      <c r="K619" s="88">
        <f>SUMIF(月間集計シート!$M$29:$M$48,$G619,月間集計シート!O$29:O$48)*K$2</f>
        <v>0</v>
      </c>
      <c r="L619" s="88">
        <f>SUMIF(月間集計シート!$M$29:$M$48,$G619,月間集計シート!P$29:P$48)*L$2</f>
        <v>0</v>
      </c>
      <c r="M619" s="88">
        <f>SUMIF(月間集計シート!$M$29:$M$48,$G619,月間集計シート!Q$29:Q$48)*M$2</f>
        <v>0</v>
      </c>
      <c r="N619" s="88">
        <f>SUMIF(月間集計シート!$M$29:$M$48,$G619,月間集計シート!R$29:R$48)*N$2</f>
        <v>0</v>
      </c>
      <c r="O619" s="88">
        <f>SUMIF(月間集計シート!$M$29:$M$48,$G619,月間集計シート!S$29:S$48)*O$2</f>
        <v>0</v>
      </c>
      <c r="P619" s="88">
        <f>SUMIF(月間集計シート!$M$29:$M$48,$G619,月間集計シート!T$29:T$48)*P$2</f>
        <v>0</v>
      </c>
      <c r="Q619" s="88">
        <f>SUMIF(月間集計シート!$M$50:$M$69,$G619,月間集計シート!N$50:N$69)*Q$2</f>
        <v>0</v>
      </c>
      <c r="R619" s="88">
        <f>SUMIF(月間集計シート!$M$50:$M$69,$G619,月間集計シート!O$50:O$69)*R$2</f>
        <v>0</v>
      </c>
      <c r="S619" s="88">
        <f>SUMIF(月間集計シート!$M$50:$M$69,$G619,月間集計シート!P$50:P$69)*S$2</f>
        <v>0</v>
      </c>
      <c r="T619" s="88">
        <f>SUMIF(月間集計シート!$M$50:$M$69,$G619,月間集計シート!Q$50:Q$69)*T$2</f>
        <v>0</v>
      </c>
      <c r="U619" s="88">
        <f>SUMIF(月間集計シート!$M$50:$M$69,$G619,月間集計シート!R$50:R$69)*U$2</f>
        <v>0</v>
      </c>
      <c r="V619" s="88">
        <f>SUMIF(月間集計シート!$M$50:$M$69,$G619,月間集計シート!S$50:S$69)*V$2</f>
        <v>0</v>
      </c>
      <c r="W619" s="88">
        <f>SUMIF(月間集計シート!$M$50:$M$69,$G619,月間集計シート!T$50:T$69)*W$2</f>
        <v>0</v>
      </c>
      <c r="X619" s="88">
        <f>SUMIF(月間集計シート!$M$71:$M$90,$G619,月間集計シート!N$71:N$90)*X$2</f>
        <v>0</v>
      </c>
      <c r="Y619" s="88">
        <f>SUMIF(月間集計シート!$M$71:$M$90,$G619,月間集計シート!O$71:O$90)*Y$2</f>
        <v>0</v>
      </c>
      <c r="Z619" s="88">
        <f>SUMIF(月間集計シート!$M$71:$M$90,$G619,月間集計シート!P$71:P$90)*Z$2</f>
        <v>0</v>
      </c>
      <c r="AA619" s="88">
        <f>SUMIF(月間集計シート!$M$71:$M$90,$G619,月間集計シート!Q$71:Q$90)*AA$2</f>
        <v>0</v>
      </c>
      <c r="AB619" s="88">
        <f>SUMIF(月間集計シート!$M$71:$M$90,$G619,月間集計シート!R$71:R$90)*AB$2</f>
        <v>0</v>
      </c>
      <c r="AC619" s="88">
        <f>SUMIF(月間集計シート!$M$71:$M$90,$G619,月間集計シート!S$71:S$90)*AC$2</f>
        <v>0</v>
      </c>
      <c r="AD619" s="88">
        <f>SUMIF(月間集計シート!$M$71:$M$90,$G619,月間集計シート!T$71:T$90)*AD$2</f>
        <v>0</v>
      </c>
      <c r="AE619" s="88">
        <f>SUMIF(月間集計シート!$M$92:$M$111,$G619,月間集計シート!N$92:N$111)*AE$2</f>
        <v>0</v>
      </c>
      <c r="AF619" s="88">
        <f>SUMIF(月間集計シート!$M$92:$M$111,$G619,月間集計シート!O$92:O$111)*AF$2</f>
        <v>0</v>
      </c>
      <c r="AG619" s="88">
        <f>SUMIF(月間集計シート!$M$92:$M$111,$G619,月間集計シート!P$92:P$111)*AG$2</f>
        <v>0</v>
      </c>
      <c r="AH619" s="88">
        <f>SUMIF(月間集計シート!$M$92:$M$111,$G619,月間集計シート!Q$92:Q$111)*AH$2</f>
        <v>0</v>
      </c>
      <c r="AI619" s="88">
        <f>SUMIF(月間集計シート!$M$92:$M$111,$G619,月間集計シート!R$92:R$111)*AI$2</f>
        <v>0</v>
      </c>
      <c r="AJ619" s="88">
        <f>SUMIF(月間集計シート!$M$92:$M$111,$G619,月間集計シート!S$92:S$111)*AJ$2</f>
        <v>0</v>
      </c>
      <c r="AK619" s="88">
        <f>SUMIF(月間集計シート!$M$92:$M$111,$G619,月間集計シート!T$92:T$111)*AK$2</f>
        <v>0</v>
      </c>
      <c r="AL619" s="88">
        <f>SUMIF(月間集計シート!$M$113:$M$132,$G619,月間集計シート!N$113:N$132)*AL$2</f>
        <v>0</v>
      </c>
      <c r="AM619" s="88">
        <f>SUMIF(月間集計シート!$M$113:$M$132,$G619,月間集計シート!O$113:O$132)*AM$2</f>
        <v>0</v>
      </c>
      <c r="AN619" s="88">
        <f>SUMIF(月間集計シート!$M$113:$M$132,$G619,月間集計シート!P$113:P$132)*AN$2</f>
        <v>0</v>
      </c>
      <c r="AO619" s="88">
        <f>SUMIF(月間集計シート!$M$113:$M$132,$G619,月間集計シート!Q$113:Q$132)*AO$2</f>
        <v>0</v>
      </c>
      <c r="AP619" s="88">
        <f>SUMIF(月間集計シート!$M$113:$M$132,$G619,月間集計シート!R$113:R$132)*AP$2</f>
        <v>0</v>
      </c>
      <c r="AQ619" s="88">
        <f>SUMIF(月間集計シート!$M$113:$M$132,$G619,月間集計シート!S$113:S$132)*AQ$2</f>
        <v>0</v>
      </c>
      <c r="AR619" s="88">
        <f>SUMIF(月間集計シート!$M$113:$M$132,$G619,月間集計シート!T$113:T$132)*AR$2</f>
        <v>0</v>
      </c>
      <c r="AS619" s="88">
        <f>SUMIF(月間集計シート!$M$134:$M$153,$G619,月間集計シート!N$134:N$153)*AS$2</f>
        <v>0</v>
      </c>
      <c r="AT619" s="88">
        <f>SUMIF(月間集計シート!$M$134:$M$153,$G619,月間集計シート!O$134:O$153)*AT$2</f>
        <v>0</v>
      </c>
      <c r="AU619" s="88">
        <f>SUMIF(月間集計シート!$M$134:$M$153,$G619,月間集計シート!P$134:P$153)*AU$2</f>
        <v>0</v>
      </c>
      <c r="AV619" s="88">
        <f>SUMIF(月間集計シート!$M$134:$M$153,$G619,月間集計シート!Q$134:Q$153)*AV$2</f>
        <v>0</v>
      </c>
      <c r="AW619" s="88">
        <f>SUMIF(月間集計シート!$M$134:$M$153,$G619,月間集計シート!R$134:R$153)*AW$2</f>
        <v>0</v>
      </c>
      <c r="AX619" s="88">
        <f>SUMIF(月間集計シート!$M$134:$M$153,$G619,月間集計シート!S$134:S$153)*AX$2</f>
        <v>0</v>
      </c>
      <c r="AY619" s="88">
        <f>SUMIF(月間集計シート!$M$134:$M$153,$G619,月間集計シート!T$134:T$153)*AY$2</f>
        <v>0</v>
      </c>
    </row>
    <row r="620" spans="1:51" ht="14.25" thickBot="1">
      <c r="A620">
        <v>8</v>
      </c>
      <c r="B620" s="120">
        <f t="shared" si="304"/>
        <v>0</v>
      </c>
      <c r="C620" s="120" t="str">
        <f t="shared" si="305"/>
        <v/>
      </c>
      <c r="D620" s="137"/>
      <c r="E620" s="150" t="str">
        <f>工種!A17</f>
        <v>30103</v>
      </c>
      <c r="F620" s="119" t="str">
        <f>工種!B17</f>
        <v>製造：単体テスト設計書作成</v>
      </c>
      <c r="G620" s="116" t="str">
        <f t="shared" si="306"/>
        <v>030103</v>
      </c>
      <c r="H620" s="88">
        <f t="shared" si="260"/>
        <v>0</v>
      </c>
      <c r="I620" s="132"/>
      <c r="J620" s="88">
        <f>SUMIF(月間集計シート!$M$29:$M$48,$G620,月間集計シート!N$29:N$48)*J$2</f>
        <v>0</v>
      </c>
      <c r="K620" s="88">
        <f>SUMIF(月間集計シート!$M$29:$M$48,$G620,月間集計シート!O$29:O$48)*K$2</f>
        <v>0</v>
      </c>
      <c r="L620" s="88">
        <f>SUMIF(月間集計シート!$M$29:$M$48,$G620,月間集計シート!P$29:P$48)*L$2</f>
        <v>0</v>
      </c>
      <c r="M620" s="88">
        <f>SUMIF(月間集計シート!$M$29:$M$48,$G620,月間集計シート!Q$29:Q$48)*M$2</f>
        <v>0</v>
      </c>
      <c r="N620" s="88">
        <f>SUMIF(月間集計シート!$M$29:$M$48,$G620,月間集計シート!R$29:R$48)*N$2</f>
        <v>0</v>
      </c>
      <c r="O620" s="88">
        <f>SUMIF(月間集計シート!$M$29:$M$48,$G620,月間集計シート!S$29:S$48)*O$2</f>
        <v>0</v>
      </c>
      <c r="P620" s="88">
        <f>SUMIF(月間集計シート!$M$29:$M$48,$G620,月間集計シート!T$29:T$48)*P$2</f>
        <v>0</v>
      </c>
      <c r="Q620" s="88">
        <f>SUMIF(月間集計シート!$M$50:$M$69,$G620,月間集計シート!N$50:N$69)*Q$2</f>
        <v>0</v>
      </c>
      <c r="R620" s="88">
        <f>SUMIF(月間集計シート!$M$50:$M$69,$G620,月間集計シート!O$50:O$69)*R$2</f>
        <v>0</v>
      </c>
      <c r="S620" s="88">
        <f>SUMIF(月間集計シート!$M$50:$M$69,$G620,月間集計シート!P$50:P$69)*S$2</f>
        <v>0</v>
      </c>
      <c r="T620" s="88">
        <f>SUMIF(月間集計シート!$M$50:$M$69,$G620,月間集計シート!Q$50:Q$69)*T$2</f>
        <v>0</v>
      </c>
      <c r="U620" s="88">
        <f>SUMIF(月間集計シート!$M$50:$M$69,$G620,月間集計シート!R$50:R$69)*U$2</f>
        <v>0</v>
      </c>
      <c r="V620" s="88">
        <f>SUMIF(月間集計シート!$M$50:$M$69,$G620,月間集計シート!S$50:S$69)*V$2</f>
        <v>0</v>
      </c>
      <c r="W620" s="88">
        <f>SUMIF(月間集計シート!$M$50:$M$69,$G620,月間集計シート!T$50:T$69)*W$2</f>
        <v>0</v>
      </c>
      <c r="X620" s="88">
        <f>SUMIF(月間集計シート!$M$71:$M$90,$G620,月間集計シート!N$71:N$90)*X$2</f>
        <v>0</v>
      </c>
      <c r="Y620" s="88">
        <f>SUMIF(月間集計シート!$M$71:$M$90,$G620,月間集計シート!O$71:O$90)*Y$2</f>
        <v>0</v>
      </c>
      <c r="Z620" s="88">
        <f>SUMIF(月間集計シート!$M$71:$M$90,$G620,月間集計シート!P$71:P$90)*Z$2</f>
        <v>0</v>
      </c>
      <c r="AA620" s="88">
        <f>SUMIF(月間集計シート!$M$71:$M$90,$G620,月間集計シート!Q$71:Q$90)*AA$2</f>
        <v>0</v>
      </c>
      <c r="AB620" s="88">
        <f>SUMIF(月間集計シート!$M$71:$M$90,$G620,月間集計シート!R$71:R$90)*AB$2</f>
        <v>0</v>
      </c>
      <c r="AC620" s="88">
        <f>SUMIF(月間集計シート!$M$71:$M$90,$G620,月間集計シート!S$71:S$90)*AC$2</f>
        <v>0</v>
      </c>
      <c r="AD620" s="88">
        <f>SUMIF(月間集計シート!$M$71:$M$90,$G620,月間集計シート!T$71:T$90)*AD$2</f>
        <v>0</v>
      </c>
      <c r="AE620" s="88">
        <f>SUMIF(月間集計シート!$M$92:$M$111,$G620,月間集計シート!N$92:N$111)*AE$2</f>
        <v>0</v>
      </c>
      <c r="AF620" s="88">
        <f>SUMIF(月間集計シート!$M$92:$M$111,$G620,月間集計シート!O$92:O$111)*AF$2</f>
        <v>0</v>
      </c>
      <c r="AG620" s="88">
        <f>SUMIF(月間集計シート!$M$92:$M$111,$G620,月間集計シート!P$92:P$111)*AG$2</f>
        <v>0</v>
      </c>
      <c r="AH620" s="88">
        <f>SUMIF(月間集計シート!$M$92:$M$111,$G620,月間集計シート!Q$92:Q$111)*AH$2</f>
        <v>0</v>
      </c>
      <c r="AI620" s="88">
        <f>SUMIF(月間集計シート!$M$92:$M$111,$G620,月間集計シート!R$92:R$111)*AI$2</f>
        <v>0</v>
      </c>
      <c r="AJ620" s="88">
        <f>SUMIF(月間集計シート!$M$92:$M$111,$G620,月間集計シート!S$92:S$111)*AJ$2</f>
        <v>0</v>
      </c>
      <c r="AK620" s="88">
        <f>SUMIF(月間集計シート!$M$92:$M$111,$G620,月間集計シート!T$92:T$111)*AK$2</f>
        <v>0</v>
      </c>
      <c r="AL620" s="88">
        <f>SUMIF(月間集計シート!$M$113:$M$132,$G620,月間集計シート!N$113:N$132)*AL$2</f>
        <v>0</v>
      </c>
      <c r="AM620" s="88">
        <f>SUMIF(月間集計シート!$M$113:$M$132,$G620,月間集計シート!O$113:O$132)*AM$2</f>
        <v>0</v>
      </c>
      <c r="AN620" s="88">
        <f>SUMIF(月間集計シート!$M$113:$M$132,$G620,月間集計シート!P$113:P$132)*AN$2</f>
        <v>0</v>
      </c>
      <c r="AO620" s="88">
        <f>SUMIF(月間集計シート!$M$113:$M$132,$G620,月間集計シート!Q$113:Q$132)*AO$2</f>
        <v>0</v>
      </c>
      <c r="AP620" s="88">
        <f>SUMIF(月間集計シート!$M$113:$M$132,$G620,月間集計シート!R$113:R$132)*AP$2</f>
        <v>0</v>
      </c>
      <c r="AQ620" s="88">
        <f>SUMIF(月間集計シート!$M$113:$M$132,$G620,月間集計シート!S$113:S$132)*AQ$2</f>
        <v>0</v>
      </c>
      <c r="AR620" s="88">
        <f>SUMIF(月間集計シート!$M$113:$M$132,$G620,月間集計シート!T$113:T$132)*AR$2</f>
        <v>0</v>
      </c>
      <c r="AS620" s="88">
        <f>SUMIF(月間集計シート!$M$134:$M$153,$G620,月間集計シート!N$134:N$153)*AS$2</f>
        <v>0</v>
      </c>
      <c r="AT620" s="88">
        <f>SUMIF(月間集計シート!$M$134:$M$153,$G620,月間集計シート!O$134:O$153)*AT$2</f>
        <v>0</v>
      </c>
      <c r="AU620" s="88">
        <f>SUMIF(月間集計シート!$M$134:$M$153,$G620,月間集計シート!P$134:P$153)*AU$2</f>
        <v>0</v>
      </c>
      <c r="AV620" s="88">
        <f>SUMIF(月間集計シート!$M$134:$M$153,$G620,月間集計シート!Q$134:Q$153)*AV$2</f>
        <v>0</v>
      </c>
      <c r="AW620" s="88">
        <f>SUMIF(月間集計シート!$M$134:$M$153,$G620,月間集計シート!R$134:R$153)*AW$2</f>
        <v>0</v>
      </c>
      <c r="AX620" s="88">
        <f>SUMIF(月間集計シート!$M$134:$M$153,$G620,月間集計シート!S$134:S$153)*AX$2</f>
        <v>0</v>
      </c>
      <c r="AY620" s="88">
        <f>SUMIF(月間集計シート!$M$134:$M$153,$G620,月間集計シート!T$134:T$153)*AY$2</f>
        <v>0</v>
      </c>
    </row>
    <row r="621" spans="1:51" ht="14.25" thickBot="1">
      <c r="A621">
        <v>8</v>
      </c>
      <c r="B621" s="120">
        <f t="shared" si="304"/>
        <v>0</v>
      </c>
      <c r="C621" s="120" t="str">
        <f t="shared" si="305"/>
        <v/>
      </c>
      <c r="D621" s="137"/>
      <c r="E621" s="150" t="str">
        <f>工種!A18</f>
        <v>30104</v>
      </c>
      <c r="F621" s="119" t="str">
        <f>工種!B18</f>
        <v>製造：単体テスト実施</v>
      </c>
      <c r="G621" s="116" t="str">
        <f t="shared" si="306"/>
        <v>030104</v>
      </c>
      <c r="H621" s="88">
        <f t="shared" si="260"/>
        <v>0</v>
      </c>
      <c r="I621" s="132"/>
      <c r="J621" s="88">
        <f>SUMIF(月間集計シート!$M$29:$M$48,$G621,月間集計シート!N$29:N$48)*J$2</f>
        <v>0</v>
      </c>
      <c r="K621" s="88">
        <f>SUMIF(月間集計シート!$M$29:$M$48,$G621,月間集計シート!O$29:O$48)*K$2</f>
        <v>0</v>
      </c>
      <c r="L621" s="88">
        <f>SUMIF(月間集計シート!$M$29:$M$48,$G621,月間集計シート!P$29:P$48)*L$2</f>
        <v>0</v>
      </c>
      <c r="M621" s="88">
        <f>SUMIF(月間集計シート!$M$29:$M$48,$G621,月間集計シート!Q$29:Q$48)*M$2</f>
        <v>0</v>
      </c>
      <c r="N621" s="88">
        <f>SUMIF(月間集計シート!$M$29:$M$48,$G621,月間集計シート!R$29:R$48)*N$2</f>
        <v>0</v>
      </c>
      <c r="O621" s="88">
        <f>SUMIF(月間集計シート!$M$29:$M$48,$G621,月間集計シート!S$29:S$48)*O$2</f>
        <v>0</v>
      </c>
      <c r="P621" s="88">
        <f>SUMIF(月間集計シート!$M$29:$M$48,$G621,月間集計シート!T$29:T$48)*P$2</f>
        <v>0</v>
      </c>
      <c r="Q621" s="88">
        <f>SUMIF(月間集計シート!$M$50:$M$69,$G621,月間集計シート!N$50:N$69)*Q$2</f>
        <v>0</v>
      </c>
      <c r="R621" s="88">
        <f>SUMIF(月間集計シート!$M$50:$M$69,$G621,月間集計シート!O$50:O$69)*R$2</f>
        <v>0</v>
      </c>
      <c r="S621" s="88">
        <f>SUMIF(月間集計シート!$M$50:$M$69,$G621,月間集計シート!P$50:P$69)*S$2</f>
        <v>0</v>
      </c>
      <c r="T621" s="88">
        <f>SUMIF(月間集計シート!$M$50:$M$69,$G621,月間集計シート!Q$50:Q$69)*T$2</f>
        <v>0</v>
      </c>
      <c r="U621" s="88">
        <f>SUMIF(月間集計シート!$M$50:$M$69,$G621,月間集計シート!R$50:R$69)*U$2</f>
        <v>0</v>
      </c>
      <c r="V621" s="88">
        <f>SUMIF(月間集計シート!$M$50:$M$69,$G621,月間集計シート!S$50:S$69)*V$2</f>
        <v>0</v>
      </c>
      <c r="W621" s="88">
        <f>SUMIF(月間集計シート!$M$50:$M$69,$G621,月間集計シート!T$50:T$69)*W$2</f>
        <v>0</v>
      </c>
      <c r="X621" s="88">
        <f>SUMIF(月間集計シート!$M$71:$M$90,$G621,月間集計シート!N$71:N$90)*X$2</f>
        <v>0</v>
      </c>
      <c r="Y621" s="88">
        <f>SUMIF(月間集計シート!$M$71:$M$90,$G621,月間集計シート!O$71:O$90)*Y$2</f>
        <v>0</v>
      </c>
      <c r="Z621" s="88">
        <f>SUMIF(月間集計シート!$M$71:$M$90,$G621,月間集計シート!P$71:P$90)*Z$2</f>
        <v>0</v>
      </c>
      <c r="AA621" s="88">
        <f>SUMIF(月間集計シート!$M$71:$M$90,$G621,月間集計シート!Q$71:Q$90)*AA$2</f>
        <v>0</v>
      </c>
      <c r="AB621" s="88">
        <f>SUMIF(月間集計シート!$M$71:$M$90,$G621,月間集計シート!R$71:R$90)*AB$2</f>
        <v>0</v>
      </c>
      <c r="AC621" s="88">
        <f>SUMIF(月間集計シート!$M$71:$M$90,$G621,月間集計シート!S$71:S$90)*AC$2</f>
        <v>0</v>
      </c>
      <c r="AD621" s="88">
        <f>SUMIF(月間集計シート!$M$71:$M$90,$G621,月間集計シート!T$71:T$90)*AD$2</f>
        <v>0</v>
      </c>
      <c r="AE621" s="88">
        <f>SUMIF(月間集計シート!$M$92:$M$111,$G621,月間集計シート!N$92:N$111)*AE$2</f>
        <v>0</v>
      </c>
      <c r="AF621" s="88">
        <f>SUMIF(月間集計シート!$M$92:$M$111,$G621,月間集計シート!O$92:O$111)*AF$2</f>
        <v>0</v>
      </c>
      <c r="AG621" s="88">
        <f>SUMIF(月間集計シート!$M$92:$M$111,$G621,月間集計シート!P$92:P$111)*AG$2</f>
        <v>0</v>
      </c>
      <c r="AH621" s="88">
        <f>SUMIF(月間集計シート!$M$92:$M$111,$G621,月間集計シート!Q$92:Q$111)*AH$2</f>
        <v>0</v>
      </c>
      <c r="AI621" s="88">
        <f>SUMIF(月間集計シート!$M$92:$M$111,$G621,月間集計シート!R$92:R$111)*AI$2</f>
        <v>0</v>
      </c>
      <c r="AJ621" s="88">
        <f>SUMIF(月間集計シート!$M$92:$M$111,$G621,月間集計シート!S$92:S$111)*AJ$2</f>
        <v>0</v>
      </c>
      <c r="AK621" s="88">
        <f>SUMIF(月間集計シート!$M$92:$M$111,$G621,月間集計シート!T$92:T$111)*AK$2</f>
        <v>0</v>
      </c>
      <c r="AL621" s="88">
        <f>SUMIF(月間集計シート!$M$113:$M$132,$G621,月間集計シート!N$113:N$132)*AL$2</f>
        <v>0</v>
      </c>
      <c r="AM621" s="88">
        <f>SUMIF(月間集計シート!$M$113:$M$132,$G621,月間集計シート!O$113:O$132)*AM$2</f>
        <v>0</v>
      </c>
      <c r="AN621" s="88">
        <f>SUMIF(月間集計シート!$M$113:$M$132,$G621,月間集計シート!P$113:P$132)*AN$2</f>
        <v>0</v>
      </c>
      <c r="AO621" s="88">
        <f>SUMIF(月間集計シート!$M$113:$M$132,$G621,月間集計シート!Q$113:Q$132)*AO$2</f>
        <v>0</v>
      </c>
      <c r="AP621" s="88">
        <f>SUMIF(月間集計シート!$M$113:$M$132,$G621,月間集計シート!R$113:R$132)*AP$2</f>
        <v>0</v>
      </c>
      <c r="AQ621" s="88">
        <f>SUMIF(月間集計シート!$M$113:$M$132,$G621,月間集計シート!S$113:S$132)*AQ$2</f>
        <v>0</v>
      </c>
      <c r="AR621" s="88">
        <f>SUMIF(月間集計シート!$M$113:$M$132,$G621,月間集計シート!T$113:T$132)*AR$2</f>
        <v>0</v>
      </c>
      <c r="AS621" s="88">
        <f>SUMIF(月間集計シート!$M$134:$M$153,$G621,月間集計シート!N$134:N$153)*AS$2</f>
        <v>0</v>
      </c>
      <c r="AT621" s="88">
        <f>SUMIF(月間集計シート!$M$134:$M$153,$G621,月間集計シート!O$134:O$153)*AT$2</f>
        <v>0</v>
      </c>
      <c r="AU621" s="88">
        <f>SUMIF(月間集計シート!$M$134:$M$153,$G621,月間集計シート!P$134:P$153)*AU$2</f>
        <v>0</v>
      </c>
      <c r="AV621" s="88">
        <f>SUMIF(月間集計シート!$M$134:$M$153,$G621,月間集計シート!Q$134:Q$153)*AV$2</f>
        <v>0</v>
      </c>
      <c r="AW621" s="88">
        <f>SUMIF(月間集計シート!$M$134:$M$153,$G621,月間集計シート!R$134:R$153)*AW$2</f>
        <v>0</v>
      </c>
      <c r="AX621" s="88">
        <f>SUMIF(月間集計シート!$M$134:$M$153,$G621,月間集計シート!S$134:S$153)*AX$2</f>
        <v>0</v>
      </c>
      <c r="AY621" s="88">
        <f>SUMIF(月間集計シート!$M$134:$M$153,$G621,月間集計シート!T$134:T$153)*AY$2</f>
        <v>0</v>
      </c>
    </row>
    <row r="622" spans="1:51" ht="14.25" thickBot="1">
      <c r="A622">
        <v>8</v>
      </c>
      <c r="B622" s="120">
        <f t="shared" si="304"/>
        <v>0</v>
      </c>
      <c r="C622" s="120" t="str">
        <f t="shared" si="305"/>
        <v/>
      </c>
      <c r="D622" s="137"/>
      <c r="E622" s="150" t="str">
        <f>工種!A19</f>
        <v>30105</v>
      </c>
      <c r="F622" s="119" t="str">
        <f>工種!B19</f>
        <v>製造：打合せ</v>
      </c>
      <c r="G622" s="116" t="str">
        <f t="shared" si="306"/>
        <v>030105</v>
      </c>
      <c r="H622" s="88">
        <f t="shared" si="260"/>
        <v>0</v>
      </c>
      <c r="I622" s="132"/>
      <c r="J622" s="88">
        <f>SUMIF(月間集計シート!$M$29:$M$48,$G622,月間集計シート!N$29:N$48)*J$2</f>
        <v>0</v>
      </c>
      <c r="K622" s="88">
        <f>SUMIF(月間集計シート!$M$29:$M$48,$G622,月間集計シート!O$29:O$48)*K$2</f>
        <v>0</v>
      </c>
      <c r="L622" s="88">
        <f>SUMIF(月間集計シート!$M$29:$M$48,$G622,月間集計シート!P$29:P$48)*L$2</f>
        <v>0</v>
      </c>
      <c r="M622" s="88">
        <f>SUMIF(月間集計シート!$M$29:$M$48,$G622,月間集計シート!Q$29:Q$48)*M$2</f>
        <v>0</v>
      </c>
      <c r="N622" s="88">
        <f>SUMIF(月間集計シート!$M$29:$M$48,$G622,月間集計シート!R$29:R$48)*N$2</f>
        <v>0</v>
      </c>
      <c r="O622" s="88">
        <f>SUMIF(月間集計シート!$M$29:$M$48,$G622,月間集計シート!S$29:S$48)*O$2</f>
        <v>0</v>
      </c>
      <c r="P622" s="88">
        <f>SUMIF(月間集計シート!$M$29:$M$48,$G622,月間集計シート!T$29:T$48)*P$2</f>
        <v>0</v>
      </c>
      <c r="Q622" s="88">
        <f>SUMIF(月間集計シート!$M$50:$M$69,$G622,月間集計シート!N$50:N$69)*Q$2</f>
        <v>0</v>
      </c>
      <c r="R622" s="88">
        <f>SUMIF(月間集計シート!$M$50:$M$69,$G622,月間集計シート!O$50:O$69)*R$2</f>
        <v>0</v>
      </c>
      <c r="S622" s="88">
        <f>SUMIF(月間集計シート!$M$50:$M$69,$G622,月間集計シート!P$50:P$69)*S$2</f>
        <v>0</v>
      </c>
      <c r="T622" s="88">
        <f>SUMIF(月間集計シート!$M$50:$M$69,$G622,月間集計シート!Q$50:Q$69)*T$2</f>
        <v>0</v>
      </c>
      <c r="U622" s="88">
        <f>SUMIF(月間集計シート!$M$50:$M$69,$G622,月間集計シート!R$50:R$69)*U$2</f>
        <v>0</v>
      </c>
      <c r="V622" s="88">
        <f>SUMIF(月間集計シート!$M$50:$M$69,$G622,月間集計シート!S$50:S$69)*V$2</f>
        <v>0</v>
      </c>
      <c r="W622" s="88">
        <f>SUMIF(月間集計シート!$M$50:$M$69,$G622,月間集計シート!T$50:T$69)*W$2</f>
        <v>0</v>
      </c>
      <c r="X622" s="88">
        <f>SUMIF(月間集計シート!$M$71:$M$90,$G622,月間集計シート!N$71:N$90)*X$2</f>
        <v>0</v>
      </c>
      <c r="Y622" s="88">
        <f>SUMIF(月間集計シート!$M$71:$M$90,$G622,月間集計シート!O$71:O$90)*Y$2</f>
        <v>0</v>
      </c>
      <c r="Z622" s="88">
        <f>SUMIF(月間集計シート!$M$71:$M$90,$G622,月間集計シート!P$71:P$90)*Z$2</f>
        <v>0</v>
      </c>
      <c r="AA622" s="88">
        <f>SUMIF(月間集計シート!$M$71:$M$90,$G622,月間集計シート!Q$71:Q$90)*AA$2</f>
        <v>0</v>
      </c>
      <c r="AB622" s="88">
        <f>SUMIF(月間集計シート!$M$71:$M$90,$G622,月間集計シート!R$71:R$90)*AB$2</f>
        <v>0</v>
      </c>
      <c r="AC622" s="88">
        <f>SUMIF(月間集計シート!$M$71:$M$90,$G622,月間集計シート!S$71:S$90)*AC$2</f>
        <v>0</v>
      </c>
      <c r="AD622" s="88">
        <f>SUMIF(月間集計シート!$M$71:$M$90,$G622,月間集計シート!T$71:T$90)*AD$2</f>
        <v>0</v>
      </c>
      <c r="AE622" s="88">
        <f>SUMIF(月間集計シート!$M$92:$M$111,$G622,月間集計シート!N$92:N$111)*AE$2</f>
        <v>0</v>
      </c>
      <c r="AF622" s="88">
        <f>SUMIF(月間集計シート!$M$92:$M$111,$G622,月間集計シート!O$92:O$111)*AF$2</f>
        <v>0</v>
      </c>
      <c r="AG622" s="88">
        <f>SUMIF(月間集計シート!$M$92:$M$111,$G622,月間集計シート!P$92:P$111)*AG$2</f>
        <v>0</v>
      </c>
      <c r="AH622" s="88">
        <f>SUMIF(月間集計シート!$M$92:$M$111,$G622,月間集計シート!Q$92:Q$111)*AH$2</f>
        <v>0</v>
      </c>
      <c r="AI622" s="88">
        <f>SUMIF(月間集計シート!$M$92:$M$111,$G622,月間集計シート!R$92:R$111)*AI$2</f>
        <v>0</v>
      </c>
      <c r="AJ622" s="88">
        <f>SUMIF(月間集計シート!$M$92:$M$111,$G622,月間集計シート!S$92:S$111)*AJ$2</f>
        <v>0</v>
      </c>
      <c r="AK622" s="88">
        <f>SUMIF(月間集計シート!$M$92:$M$111,$G622,月間集計シート!T$92:T$111)*AK$2</f>
        <v>0</v>
      </c>
      <c r="AL622" s="88">
        <f>SUMIF(月間集計シート!$M$113:$M$132,$G622,月間集計シート!N$113:N$132)*AL$2</f>
        <v>0</v>
      </c>
      <c r="AM622" s="88">
        <f>SUMIF(月間集計シート!$M$113:$M$132,$G622,月間集計シート!O$113:O$132)*AM$2</f>
        <v>0</v>
      </c>
      <c r="AN622" s="88">
        <f>SUMIF(月間集計シート!$M$113:$M$132,$G622,月間集計シート!P$113:P$132)*AN$2</f>
        <v>0</v>
      </c>
      <c r="AO622" s="88">
        <f>SUMIF(月間集計シート!$M$113:$M$132,$G622,月間集計シート!Q$113:Q$132)*AO$2</f>
        <v>0</v>
      </c>
      <c r="AP622" s="88">
        <f>SUMIF(月間集計シート!$M$113:$M$132,$G622,月間集計シート!R$113:R$132)*AP$2</f>
        <v>0</v>
      </c>
      <c r="AQ622" s="88">
        <f>SUMIF(月間集計シート!$M$113:$M$132,$G622,月間集計シート!S$113:S$132)*AQ$2</f>
        <v>0</v>
      </c>
      <c r="AR622" s="88">
        <f>SUMIF(月間集計シート!$M$113:$M$132,$G622,月間集計シート!T$113:T$132)*AR$2</f>
        <v>0</v>
      </c>
      <c r="AS622" s="88">
        <f>SUMIF(月間集計シート!$M$134:$M$153,$G622,月間集計シート!N$134:N$153)*AS$2</f>
        <v>0</v>
      </c>
      <c r="AT622" s="88">
        <f>SUMIF(月間集計シート!$M$134:$M$153,$G622,月間集計シート!O$134:O$153)*AT$2</f>
        <v>0</v>
      </c>
      <c r="AU622" s="88">
        <f>SUMIF(月間集計シート!$M$134:$M$153,$G622,月間集計シート!P$134:P$153)*AU$2</f>
        <v>0</v>
      </c>
      <c r="AV622" s="88">
        <f>SUMIF(月間集計シート!$M$134:$M$153,$G622,月間集計シート!Q$134:Q$153)*AV$2</f>
        <v>0</v>
      </c>
      <c r="AW622" s="88">
        <f>SUMIF(月間集計シート!$M$134:$M$153,$G622,月間集計シート!R$134:R$153)*AW$2</f>
        <v>0</v>
      </c>
      <c r="AX622" s="88">
        <f>SUMIF(月間集計シート!$M$134:$M$153,$G622,月間集計シート!S$134:S$153)*AX$2</f>
        <v>0</v>
      </c>
      <c r="AY622" s="88">
        <f>SUMIF(月間集計シート!$M$134:$M$153,$G622,月間集計シート!T$134:T$153)*AY$2</f>
        <v>0</v>
      </c>
    </row>
    <row r="623" spans="1:51" ht="14.25" thickBot="1">
      <c r="A623">
        <v>8</v>
      </c>
      <c r="B623" s="120">
        <f t="shared" si="304"/>
        <v>0</v>
      </c>
      <c r="C623" s="120" t="str">
        <f t="shared" si="305"/>
        <v/>
      </c>
      <c r="D623" s="137"/>
      <c r="E623" s="150" t="str">
        <f>工種!A20</f>
        <v>30106</v>
      </c>
      <c r="F623" s="119" t="str">
        <f>工種!B20</f>
        <v>製造：PG修正（手戻り分）</v>
      </c>
      <c r="G623" s="116" t="str">
        <f t="shared" si="306"/>
        <v>030106</v>
      </c>
      <c r="H623" s="88">
        <f t="shared" si="260"/>
        <v>0</v>
      </c>
      <c r="I623" s="132"/>
      <c r="J623" s="88">
        <f>SUMIF(月間集計シート!$M$29:$M$48,$G623,月間集計シート!N$29:N$48)*J$2</f>
        <v>0</v>
      </c>
      <c r="K623" s="88">
        <f>SUMIF(月間集計シート!$M$29:$M$48,$G623,月間集計シート!O$29:O$48)*K$2</f>
        <v>0</v>
      </c>
      <c r="L623" s="88">
        <f>SUMIF(月間集計シート!$M$29:$M$48,$G623,月間集計シート!P$29:P$48)*L$2</f>
        <v>0</v>
      </c>
      <c r="M623" s="88">
        <f>SUMIF(月間集計シート!$M$29:$M$48,$G623,月間集計シート!Q$29:Q$48)*M$2</f>
        <v>0</v>
      </c>
      <c r="N623" s="88">
        <f>SUMIF(月間集計シート!$M$29:$M$48,$G623,月間集計シート!R$29:R$48)*N$2</f>
        <v>0</v>
      </c>
      <c r="O623" s="88">
        <f>SUMIF(月間集計シート!$M$29:$M$48,$G623,月間集計シート!S$29:S$48)*O$2</f>
        <v>0</v>
      </c>
      <c r="P623" s="88">
        <f>SUMIF(月間集計シート!$M$29:$M$48,$G623,月間集計シート!T$29:T$48)*P$2</f>
        <v>0</v>
      </c>
      <c r="Q623" s="88">
        <f>SUMIF(月間集計シート!$M$50:$M$69,$G623,月間集計シート!N$50:N$69)*Q$2</f>
        <v>0</v>
      </c>
      <c r="R623" s="88">
        <f>SUMIF(月間集計シート!$M$50:$M$69,$G623,月間集計シート!O$50:O$69)*R$2</f>
        <v>0</v>
      </c>
      <c r="S623" s="88">
        <f>SUMIF(月間集計シート!$M$50:$M$69,$G623,月間集計シート!P$50:P$69)*S$2</f>
        <v>0</v>
      </c>
      <c r="T623" s="88">
        <f>SUMIF(月間集計シート!$M$50:$M$69,$G623,月間集計シート!Q$50:Q$69)*T$2</f>
        <v>0</v>
      </c>
      <c r="U623" s="88">
        <f>SUMIF(月間集計シート!$M$50:$M$69,$G623,月間集計シート!R$50:R$69)*U$2</f>
        <v>0</v>
      </c>
      <c r="V623" s="88">
        <f>SUMIF(月間集計シート!$M$50:$M$69,$G623,月間集計シート!S$50:S$69)*V$2</f>
        <v>0</v>
      </c>
      <c r="W623" s="88">
        <f>SUMIF(月間集計シート!$M$50:$M$69,$G623,月間集計シート!T$50:T$69)*W$2</f>
        <v>0</v>
      </c>
      <c r="X623" s="88">
        <f>SUMIF(月間集計シート!$M$71:$M$90,$G623,月間集計シート!N$71:N$90)*X$2</f>
        <v>0</v>
      </c>
      <c r="Y623" s="88">
        <f>SUMIF(月間集計シート!$M$71:$M$90,$G623,月間集計シート!O$71:O$90)*Y$2</f>
        <v>0</v>
      </c>
      <c r="Z623" s="88">
        <f>SUMIF(月間集計シート!$M$71:$M$90,$G623,月間集計シート!P$71:P$90)*Z$2</f>
        <v>0</v>
      </c>
      <c r="AA623" s="88">
        <f>SUMIF(月間集計シート!$M$71:$M$90,$G623,月間集計シート!Q$71:Q$90)*AA$2</f>
        <v>0</v>
      </c>
      <c r="AB623" s="88">
        <f>SUMIF(月間集計シート!$M$71:$M$90,$G623,月間集計シート!R$71:R$90)*AB$2</f>
        <v>0</v>
      </c>
      <c r="AC623" s="88">
        <f>SUMIF(月間集計シート!$M$71:$M$90,$G623,月間集計シート!S$71:S$90)*AC$2</f>
        <v>0</v>
      </c>
      <c r="AD623" s="88">
        <f>SUMIF(月間集計シート!$M$71:$M$90,$G623,月間集計シート!T$71:T$90)*AD$2</f>
        <v>0</v>
      </c>
      <c r="AE623" s="88">
        <f>SUMIF(月間集計シート!$M$92:$M$111,$G623,月間集計シート!N$92:N$111)*AE$2</f>
        <v>0</v>
      </c>
      <c r="AF623" s="88">
        <f>SUMIF(月間集計シート!$M$92:$M$111,$G623,月間集計シート!O$92:O$111)*AF$2</f>
        <v>0</v>
      </c>
      <c r="AG623" s="88">
        <f>SUMIF(月間集計シート!$M$92:$M$111,$G623,月間集計シート!P$92:P$111)*AG$2</f>
        <v>0</v>
      </c>
      <c r="AH623" s="88">
        <f>SUMIF(月間集計シート!$M$92:$M$111,$G623,月間集計シート!Q$92:Q$111)*AH$2</f>
        <v>0</v>
      </c>
      <c r="AI623" s="88">
        <f>SUMIF(月間集計シート!$M$92:$M$111,$G623,月間集計シート!R$92:R$111)*AI$2</f>
        <v>0</v>
      </c>
      <c r="AJ623" s="88">
        <f>SUMIF(月間集計シート!$M$92:$M$111,$G623,月間集計シート!S$92:S$111)*AJ$2</f>
        <v>0</v>
      </c>
      <c r="AK623" s="88">
        <f>SUMIF(月間集計シート!$M$92:$M$111,$G623,月間集計シート!T$92:T$111)*AK$2</f>
        <v>0</v>
      </c>
      <c r="AL623" s="88">
        <f>SUMIF(月間集計シート!$M$113:$M$132,$G623,月間集計シート!N$113:N$132)*AL$2</f>
        <v>0</v>
      </c>
      <c r="AM623" s="88">
        <f>SUMIF(月間集計シート!$M$113:$M$132,$G623,月間集計シート!O$113:O$132)*AM$2</f>
        <v>0</v>
      </c>
      <c r="AN623" s="88">
        <f>SUMIF(月間集計シート!$M$113:$M$132,$G623,月間集計シート!P$113:P$132)*AN$2</f>
        <v>0</v>
      </c>
      <c r="AO623" s="88">
        <f>SUMIF(月間集計シート!$M$113:$M$132,$G623,月間集計シート!Q$113:Q$132)*AO$2</f>
        <v>0</v>
      </c>
      <c r="AP623" s="88">
        <f>SUMIF(月間集計シート!$M$113:$M$132,$G623,月間集計シート!R$113:R$132)*AP$2</f>
        <v>0</v>
      </c>
      <c r="AQ623" s="88">
        <f>SUMIF(月間集計シート!$M$113:$M$132,$G623,月間集計シート!S$113:S$132)*AQ$2</f>
        <v>0</v>
      </c>
      <c r="AR623" s="88">
        <f>SUMIF(月間集計シート!$M$113:$M$132,$G623,月間集計シート!T$113:T$132)*AR$2</f>
        <v>0</v>
      </c>
      <c r="AS623" s="88">
        <f>SUMIF(月間集計シート!$M$134:$M$153,$G623,月間集計シート!N$134:N$153)*AS$2</f>
        <v>0</v>
      </c>
      <c r="AT623" s="88">
        <f>SUMIF(月間集計シート!$M$134:$M$153,$G623,月間集計シート!O$134:O$153)*AT$2</f>
        <v>0</v>
      </c>
      <c r="AU623" s="88">
        <f>SUMIF(月間集計シート!$M$134:$M$153,$G623,月間集計シート!P$134:P$153)*AU$2</f>
        <v>0</v>
      </c>
      <c r="AV623" s="88">
        <f>SUMIF(月間集計シート!$M$134:$M$153,$G623,月間集計シート!Q$134:Q$153)*AV$2</f>
        <v>0</v>
      </c>
      <c r="AW623" s="88">
        <f>SUMIF(月間集計シート!$M$134:$M$153,$G623,月間集計シート!R$134:R$153)*AW$2</f>
        <v>0</v>
      </c>
      <c r="AX623" s="88">
        <f>SUMIF(月間集計シート!$M$134:$M$153,$G623,月間集計シート!S$134:S$153)*AX$2</f>
        <v>0</v>
      </c>
      <c r="AY623" s="88">
        <f>SUMIF(月間集計シート!$M$134:$M$153,$G623,月間集計シート!T$134:T$153)*AY$2</f>
        <v>0</v>
      </c>
    </row>
    <row r="624" spans="1:51" ht="14.25" thickBot="1">
      <c r="A624">
        <v>8</v>
      </c>
      <c r="B624" s="120">
        <f t="shared" si="304"/>
        <v>0</v>
      </c>
      <c r="C624" s="120" t="str">
        <f t="shared" si="305"/>
        <v/>
      </c>
      <c r="D624" s="137"/>
      <c r="E624" s="150" t="str">
        <f>工種!A21</f>
        <v>30109</v>
      </c>
      <c r="F624" s="119" t="str">
        <f>工種!B21</f>
        <v>製造：レビュー</v>
      </c>
      <c r="G624" s="116" t="str">
        <f t="shared" si="306"/>
        <v>030109</v>
      </c>
      <c r="H624" s="88">
        <f t="shared" si="260"/>
        <v>0</v>
      </c>
      <c r="I624" s="132"/>
      <c r="J624" s="88">
        <f>SUMIF(月間集計シート!$M$29:$M$48,$G624,月間集計シート!N$29:N$48)*J$2</f>
        <v>0</v>
      </c>
      <c r="K624" s="88">
        <f>SUMIF(月間集計シート!$M$29:$M$48,$G624,月間集計シート!O$29:O$48)*K$2</f>
        <v>0</v>
      </c>
      <c r="L624" s="88">
        <f>SUMIF(月間集計シート!$M$29:$M$48,$G624,月間集計シート!P$29:P$48)*L$2</f>
        <v>0</v>
      </c>
      <c r="M624" s="88">
        <f>SUMIF(月間集計シート!$M$29:$M$48,$G624,月間集計シート!Q$29:Q$48)*M$2</f>
        <v>0</v>
      </c>
      <c r="N624" s="88">
        <f>SUMIF(月間集計シート!$M$29:$M$48,$G624,月間集計シート!R$29:R$48)*N$2</f>
        <v>0</v>
      </c>
      <c r="O624" s="88">
        <f>SUMIF(月間集計シート!$M$29:$M$48,$G624,月間集計シート!S$29:S$48)*O$2</f>
        <v>0</v>
      </c>
      <c r="P624" s="88">
        <f>SUMIF(月間集計シート!$M$29:$M$48,$G624,月間集計シート!T$29:T$48)*P$2</f>
        <v>0</v>
      </c>
      <c r="Q624" s="88">
        <f>SUMIF(月間集計シート!$M$50:$M$69,$G624,月間集計シート!N$50:N$69)*Q$2</f>
        <v>0</v>
      </c>
      <c r="R624" s="88">
        <f>SUMIF(月間集計シート!$M$50:$M$69,$G624,月間集計シート!O$50:O$69)*R$2</f>
        <v>0</v>
      </c>
      <c r="S624" s="88">
        <f>SUMIF(月間集計シート!$M$50:$M$69,$G624,月間集計シート!P$50:P$69)*S$2</f>
        <v>0</v>
      </c>
      <c r="T624" s="88">
        <f>SUMIF(月間集計シート!$M$50:$M$69,$G624,月間集計シート!Q$50:Q$69)*T$2</f>
        <v>0</v>
      </c>
      <c r="U624" s="88">
        <f>SUMIF(月間集計シート!$M$50:$M$69,$G624,月間集計シート!R$50:R$69)*U$2</f>
        <v>0</v>
      </c>
      <c r="V624" s="88">
        <f>SUMIF(月間集計シート!$M$50:$M$69,$G624,月間集計シート!S$50:S$69)*V$2</f>
        <v>0</v>
      </c>
      <c r="W624" s="88">
        <f>SUMIF(月間集計シート!$M$50:$M$69,$G624,月間集計シート!T$50:T$69)*W$2</f>
        <v>0</v>
      </c>
      <c r="X624" s="88">
        <f>SUMIF(月間集計シート!$M$71:$M$90,$G624,月間集計シート!N$71:N$90)*X$2</f>
        <v>0</v>
      </c>
      <c r="Y624" s="88">
        <f>SUMIF(月間集計シート!$M$71:$M$90,$G624,月間集計シート!O$71:O$90)*Y$2</f>
        <v>0</v>
      </c>
      <c r="Z624" s="88">
        <f>SUMIF(月間集計シート!$M$71:$M$90,$G624,月間集計シート!P$71:P$90)*Z$2</f>
        <v>0</v>
      </c>
      <c r="AA624" s="88">
        <f>SUMIF(月間集計シート!$M$71:$M$90,$G624,月間集計シート!Q$71:Q$90)*AA$2</f>
        <v>0</v>
      </c>
      <c r="AB624" s="88">
        <f>SUMIF(月間集計シート!$M$71:$M$90,$G624,月間集計シート!R$71:R$90)*AB$2</f>
        <v>0</v>
      </c>
      <c r="AC624" s="88">
        <f>SUMIF(月間集計シート!$M$71:$M$90,$G624,月間集計シート!S$71:S$90)*AC$2</f>
        <v>0</v>
      </c>
      <c r="AD624" s="88">
        <f>SUMIF(月間集計シート!$M$71:$M$90,$G624,月間集計シート!T$71:T$90)*AD$2</f>
        <v>0</v>
      </c>
      <c r="AE624" s="88">
        <f>SUMIF(月間集計シート!$M$92:$M$111,$G624,月間集計シート!N$92:N$111)*AE$2</f>
        <v>0</v>
      </c>
      <c r="AF624" s="88">
        <f>SUMIF(月間集計シート!$M$92:$M$111,$G624,月間集計シート!O$92:O$111)*AF$2</f>
        <v>0</v>
      </c>
      <c r="AG624" s="88">
        <f>SUMIF(月間集計シート!$M$92:$M$111,$G624,月間集計シート!P$92:P$111)*AG$2</f>
        <v>0</v>
      </c>
      <c r="AH624" s="88">
        <f>SUMIF(月間集計シート!$M$92:$M$111,$G624,月間集計シート!Q$92:Q$111)*AH$2</f>
        <v>0</v>
      </c>
      <c r="AI624" s="88">
        <f>SUMIF(月間集計シート!$M$92:$M$111,$G624,月間集計シート!R$92:R$111)*AI$2</f>
        <v>0</v>
      </c>
      <c r="AJ624" s="88">
        <f>SUMIF(月間集計シート!$M$92:$M$111,$G624,月間集計シート!S$92:S$111)*AJ$2</f>
        <v>0</v>
      </c>
      <c r="AK624" s="88">
        <f>SUMIF(月間集計シート!$M$92:$M$111,$G624,月間集計シート!T$92:T$111)*AK$2</f>
        <v>0</v>
      </c>
      <c r="AL624" s="88">
        <f>SUMIF(月間集計シート!$M$113:$M$132,$G624,月間集計シート!N$113:N$132)*AL$2</f>
        <v>0</v>
      </c>
      <c r="AM624" s="88">
        <f>SUMIF(月間集計シート!$M$113:$M$132,$G624,月間集計シート!O$113:O$132)*AM$2</f>
        <v>0</v>
      </c>
      <c r="AN624" s="88">
        <f>SUMIF(月間集計シート!$M$113:$M$132,$G624,月間集計シート!P$113:P$132)*AN$2</f>
        <v>0</v>
      </c>
      <c r="AO624" s="88">
        <f>SUMIF(月間集計シート!$M$113:$M$132,$G624,月間集計シート!Q$113:Q$132)*AO$2</f>
        <v>0</v>
      </c>
      <c r="AP624" s="88">
        <f>SUMIF(月間集計シート!$M$113:$M$132,$G624,月間集計シート!R$113:R$132)*AP$2</f>
        <v>0</v>
      </c>
      <c r="AQ624" s="88">
        <f>SUMIF(月間集計シート!$M$113:$M$132,$G624,月間集計シート!S$113:S$132)*AQ$2</f>
        <v>0</v>
      </c>
      <c r="AR624" s="88">
        <f>SUMIF(月間集計シート!$M$113:$M$132,$G624,月間集計シート!T$113:T$132)*AR$2</f>
        <v>0</v>
      </c>
      <c r="AS624" s="88">
        <f>SUMIF(月間集計シート!$M$134:$M$153,$G624,月間集計シート!N$134:N$153)*AS$2</f>
        <v>0</v>
      </c>
      <c r="AT624" s="88">
        <f>SUMIF(月間集計シート!$M$134:$M$153,$G624,月間集計シート!O$134:O$153)*AT$2</f>
        <v>0</v>
      </c>
      <c r="AU624" s="88">
        <f>SUMIF(月間集計シート!$M$134:$M$153,$G624,月間集計シート!P$134:P$153)*AU$2</f>
        <v>0</v>
      </c>
      <c r="AV624" s="88">
        <f>SUMIF(月間集計シート!$M$134:$M$153,$G624,月間集計シート!Q$134:Q$153)*AV$2</f>
        <v>0</v>
      </c>
      <c r="AW624" s="88">
        <f>SUMIF(月間集計シート!$M$134:$M$153,$G624,月間集計シート!R$134:R$153)*AW$2</f>
        <v>0</v>
      </c>
      <c r="AX624" s="88">
        <f>SUMIF(月間集計シート!$M$134:$M$153,$G624,月間集計シート!S$134:S$153)*AX$2</f>
        <v>0</v>
      </c>
      <c r="AY624" s="88">
        <f>SUMIF(月間集計シート!$M$134:$M$153,$G624,月間集計シート!T$134:T$153)*AY$2</f>
        <v>0</v>
      </c>
    </row>
    <row r="625" spans="1:51" ht="14.25" thickBot="1">
      <c r="A625">
        <v>8</v>
      </c>
      <c r="B625" s="120">
        <f t="shared" si="304"/>
        <v>0</v>
      </c>
      <c r="C625" s="120" t="str">
        <f t="shared" si="305"/>
        <v/>
      </c>
      <c r="D625" s="137"/>
      <c r="E625" s="150" t="str">
        <f>工種!A22</f>
        <v>30199</v>
      </c>
      <c r="F625" s="119" t="str">
        <f>工種!B22</f>
        <v>製造：その他</v>
      </c>
      <c r="G625" s="116" t="str">
        <f t="shared" si="306"/>
        <v>030199</v>
      </c>
      <c r="H625" s="88">
        <f t="shared" si="260"/>
        <v>0</v>
      </c>
      <c r="I625" s="132"/>
      <c r="J625" s="88">
        <f>SUMIF(月間集計シート!$M$29:$M$48,$G625,月間集計シート!N$29:N$48)*J$2</f>
        <v>0</v>
      </c>
      <c r="K625" s="88">
        <f>SUMIF(月間集計シート!$M$29:$M$48,$G625,月間集計シート!O$29:O$48)*K$2</f>
        <v>0</v>
      </c>
      <c r="L625" s="88">
        <f>SUMIF(月間集計シート!$M$29:$M$48,$G625,月間集計シート!P$29:P$48)*L$2</f>
        <v>0</v>
      </c>
      <c r="M625" s="88">
        <f>SUMIF(月間集計シート!$M$29:$M$48,$G625,月間集計シート!Q$29:Q$48)*M$2</f>
        <v>0</v>
      </c>
      <c r="N625" s="88">
        <f>SUMIF(月間集計シート!$M$29:$M$48,$G625,月間集計シート!R$29:R$48)*N$2</f>
        <v>0</v>
      </c>
      <c r="O625" s="88">
        <f>SUMIF(月間集計シート!$M$29:$M$48,$G625,月間集計シート!S$29:S$48)*O$2</f>
        <v>0</v>
      </c>
      <c r="P625" s="88">
        <f>SUMIF(月間集計シート!$M$29:$M$48,$G625,月間集計シート!T$29:T$48)*P$2</f>
        <v>0</v>
      </c>
      <c r="Q625" s="88">
        <f>SUMIF(月間集計シート!$M$50:$M$69,$G625,月間集計シート!N$50:N$69)*Q$2</f>
        <v>0</v>
      </c>
      <c r="R625" s="88">
        <f>SUMIF(月間集計シート!$M$50:$M$69,$G625,月間集計シート!O$50:O$69)*R$2</f>
        <v>0</v>
      </c>
      <c r="S625" s="88">
        <f>SUMIF(月間集計シート!$M$50:$M$69,$G625,月間集計シート!P$50:P$69)*S$2</f>
        <v>0</v>
      </c>
      <c r="T625" s="88">
        <f>SUMIF(月間集計シート!$M$50:$M$69,$G625,月間集計シート!Q$50:Q$69)*T$2</f>
        <v>0</v>
      </c>
      <c r="U625" s="88">
        <f>SUMIF(月間集計シート!$M$50:$M$69,$G625,月間集計シート!R$50:R$69)*U$2</f>
        <v>0</v>
      </c>
      <c r="V625" s="88">
        <f>SUMIF(月間集計シート!$M$50:$M$69,$G625,月間集計シート!S$50:S$69)*V$2</f>
        <v>0</v>
      </c>
      <c r="W625" s="88">
        <f>SUMIF(月間集計シート!$M$50:$M$69,$G625,月間集計シート!T$50:T$69)*W$2</f>
        <v>0</v>
      </c>
      <c r="X625" s="88">
        <f>SUMIF(月間集計シート!$M$71:$M$90,$G625,月間集計シート!N$71:N$90)*X$2</f>
        <v>0</v>
      </c>
      <c r="Y625" s="88">
        <f>SUMIF(月間集計シート!$M$71:$M$90,$G625,月間集計シート!O$71:O$90)*Y$2</f>
        <v>0</v>
      </c>
      <c r="Z625" s="88">
        <f>SUMIF(月間集計シート!$M$71:$M$90,$G625,月間集計シート!P$71:P$90)*Z$2</f>
        <v>0</v>
      </c>
      <c r="AA625" s="88">
        <f>SUMIF(月間集計シート!$M$71:$M$90,$G625,月間集計シート!Q$71:Q$90)*AA$2</f>
        <v>0</v>
      </c>
      <c r="AB625" s="88">
        <f>SUMIF(月間集計シート!$M$71:$M$90,$G625,月間集計シート!R$71:R$90)*AB$2</f>
        <v>0</v>
      </c>
      <c r="AC625" s="88">
        <f>SUMIF(月間集計シート!$M$71:$M$90,$G625,月間集計シート!S$71:S$90)*AC$2</f>
        <v>0</v>
      </c>
      <c r="AD625" s="88">
        <f>SUMIF(月間集計シート!$M$71:$M$90,$G625,月間集計シート!T$71:T$90)*AD$2</f>
        <v>0</v>
      </c>
      <c r="AE625" s="88">
        <f>SUMIF(月間集計シート!$M$92:$M$111,$G625,月間集計シート!N$92:N$111)*AE$2</f>
        <v>0</v>
      </c>
      <c r="AF625" s="88">
        <f>SUMIF(月間集計シート!$M$92:$M$111,$G625,月間集計シート!O$92:O$111)*AF$2</f>
        <v>0</v>
      </c>
      <c r="AG625" s="88">
        <f>SUMIF(月間集計シート!$M$92:$M$111,$G625,月間集計シート!P$92:P$111)*AG$2</f>
        <v>0</v>
      </c>
      <c r="AH625" s="88">
        <f>SUMIF(月間集計シート!$M$92:$M$111,$G625,月間集計シート!Q$92:Q$111)*AH$2</f>
        <v>0</v>
      </c>
      <c r="AI625" s="88">
        <f>SUMIF(月間集計シート!$M$92:$M$111,$G625,月間集計シート!R$92:R$111)*AI$2</f>
        <v>0</v>
      </c>
      <c r="AJ625" s="88">
        <f>SUMIF(月間集計シート!$M$92:$M$111,$G625,月間集計シート!S$92:S$111)*AJ$2</f>
        <v>0</v>
      </c>
      <c r="AK625" s="88">
        <f>SUMIF(月間集計シート!$M$92:$M$111,$G625,月間集計シート!T$92:T$111)*AK$2</f>
        <v>0</v>
      </c>
      <c r="AL625" s="88">
        <f>SUMIF(月間集計シート!$M$113:$M$132,$G625,月間集計シート!N$113:N$132)*AL$2</f>
        <v>0</v>
      </c>
      <c r="AM625" s="88">
        <f>SUMIF(月間集計シート!$M$113:$M$132,$G625,月間集計シート!O$113:O$132)*AM$2</f>
        <v>0</v>
      </c>
      <c r="AN625" s="88">
        <f>SUMIF(月間集計シート!$M$113:$M$132,$G625,月間集計シート!P$113:P$132)*AN$2</f>
        <v>0</v>
      </c>
      <c r="AO625" s="88">
        <f>SUMIF(月間集計シート!$M$113:$M$132,$G625,月間集計シート!Q$113:Q$132)*AO$2</f>
        <v>0</v>
      </c>
      <c r="AP625" s="88">
        <f>SUMIF(月間集計シート!$M$113:$M$132,$G625,月間集計シート!R$113:R$132)*AP$2</f>
        <v>0</v>
      </c>
      <c r="AQ625" s="88">
        <f>SUMIF(月間集計シート!$M$113:$M$132,$G625,月間集計シート!S$113:S$132)*AQ$2</f>
        <v>0</v>
      </c>
      <c r="AR625" s="88">
        <f>SUMIF(月間集計シート!$M$113:$M$132,$G625,月間集計シート!T$113:T$132)*AR$2</f>
        <v>0</v>
      </c>
      <c r="AS625" s="88">
        <f>SUMIF(月間集計シート!$M$134:$M$153,$G625,月間集計シート!N$134:N$153)*AS$2</f>
        <v>0</v>
      </c>
      <c r="AT625" s="88">
        <f>SUMIF(月間集計シート!$M$134:$M$153,$G625,月間集計シート!O$134:O$153)*AT$2</f>
        <v>0</v>
      </c>
      <c r="AU625" s="88">
        <f>SUMIF(月間集計シート!$M$134:$M$153,$G625,月間集計シート!P$134:P$153)*AU$2</f>
        <v>0</v>
      </c>
      <c r="AV625" s="88">
        <f>SUMIF(月間集計シート!$M$134:$M$153,$G625,月間集計シート!Q$134:Q$153)*AV$2</f>
        <v>0</v>
      </c>
      <c r="AW625" s="88">
        <f>SUMIF(月間集計シート!$M$134:$M$153,$G625,月間集計シート!R$134:R$153)*AW$2</f>
        <v>0</v>
      </c>
      <c r="AX625" s="88">
        <f>SUMIF(月間集計シート!$M$134:$M$153,$G625,月間集計シート!S$134:S$153)*AX$2</f>
        <v>0</v>
      </c>
      <c r="AY625" s="88">
        <f>SUMIF(月間集計シート!$M$134:$M$153,$G625,月間集計シート!T$134:T$153)*AY$2</f>
        <v>0</v>
      </c>
    </row>
    <row r="626" spans="1:51" ht="14.25" thickBot="1">
      <c r="A626">
        <v>8</v>
      </c>
      <c r="B626" s="120">
        <f t="shared" si="304"/>
        <v>0</v>
      </c>
      <c r="C626" s="120" t="str">
        <f t="shared" si="305"/>
        <v/>
      </c>
      <c r="D626" s="137"/>
      <c r="E626" s="150" t="str">
        <f>工種!A23</f>
        <v>40101</v>
      </c>
      <c r="F626" s="119" t="str">
        <f>工種!B23</f>
        <v>テスト：結合テスト実施</v>
      </c>
      <c r="G626" s="116" t="str">
        <f t="shared" si="306"/>
        <v>040101</v>
      </c>
      <c r="H626" s="88">
        <f t="shared" si="260"/>
        <v>0</v>
      </c>
      <c r="I626" s="132"/>
      <c r="J626" s="88">
        <f>SUMIF(月間集計シート!$M$29:$M$48,$G626,月間集計シート!N$29:N$48)*J$2</f>
        <v>0</v>
      </c>
      <c r="K626" s="88">
        <f>SUMIF(月間集計シート!$M$29:$M$48,$G626,月間集計シート!O$29:O$48)*K$2</f>
        <v>0</v>
      </c>
      <c r="L626" s="88">
        <f>SUMIF(月間集計シート!$M$29:$M$48,$G626,月間集計シート!P$29:P$48)*L$2</f>
        <v>0</v>
      </c>
      <c r="M626" s="88">
        <f>SUMIF(月間集計シート!$M$29:$M$48,$G626,月間集計シート!Q$29:Q$48)*M$2</f>
        <v>0</v>
      </c>
      <c r="N626" s="88">
        <f>SUMIF(月間集計シート!$M$29:$M$48,$G626,月間集計シート!R$29:R$48)*N$2</f>
        <v>0</v>
      </c>
      <c r="O626" s="88">
        <f>SUMIF(月間集計シート!$M$29:$M$48,$G626,月間集計シート!S$29:S$48)*O$2</f>
        <v>0</v>
      </c>
      <c r="P626" s="88">
        <f>SUMIF(月間集計シート!$M$29:$M$48,$G626,月間集計シート!T$29:T$48)*P$2</f>
        <v>0</v>
      </c>
      <c r="Q626" s="88">
        <f>SUMIF(月間集計シート!$M$50:$M$69,$G626,月間集計シート!N$50:N$69)*Q$2</f>
        <v>0</v>
      </c>
      <c r="R626" s="88">
        <f>SUMIF(月間集計シート!$M$50:$M$69,$G626,月間集計シート!O$50:O$69)*R$2</f>
        <v>0</v>
      </c>
      <c r="S626" s="88">
        <f>SUMIF(月間集計シート!$M$50:$M$69,$G626,月間集計シート!P$50:P$69)*S$2</f>
        <v>0</v>
      </c>
      <c r="T626" s="88">
        <f>SUMIF(月間集計シート!$M$50:$M$69,$G626,月間集計シート!Q$50:Q$69)*T$2</f>
        <v>0</v>
      </c>
      <c r="U626" s="88">
        <f>SUMIF(月間集計シート!$M$50:$M$69,$G626,月間集計シート!R$50:R$69)*U$2</f>
        <v>0</v>
      </c>
      <c r="V626" s="88">
        <f>SUMIF(月間集計シート!$M$50:$M$69,$G626,月間集計シート!S$50:S$69)*V$2</f>
        <v>0</v>
      </c>
      <c r="W626" s="88">
        <f>SUMIF(月間集計シート!$M$50:$M$69,$G626,月間集計シート!T$50:T$69)*W$2</f>
        <v>0</v>
      </c>
      <c r="X626" s="88">
        <f>SUMIF(月間集計シート!$M$71:$M$90,$G626,月間集計シート!N$71:N$90)*X$2</f>
        <v>0</v>
      </c>
      <c r="Y626" s="88">
        <f>SUMIF(月間集計シート!$M$71:$M$90,$G626,月間集計シート!O$71:O$90)*Y$2</f>
        <v>0</v>
      </c>
      <c r="Z626" s="88">
        <f>SUMIF(月間集計シート!$M$71:$M$90,$G626,月間集計シート!P$71:P$90)*Z$2</f>
        <v>0</v>
      </c>
      <c r="AA626" s="88">
        <f>SUMIF(月間集計シート!$M$71:$M$90,$G626,月間集計シート!Q$71:Q$90)*AA$2</f>
        <v>0</v>
      </c>
      <c r="AB626" s="88">
        <f>SUMIF(月間集計シート!$M$71:$M$90,$G626,月間集計シート!R$71:R$90)*AB$2</f>
        <v>0</v>
      </c>
      <c r="AC626" s="88">
        <f>SUMIF(月間集計シート!$M$71:$M$90,$G626,月間集計シート!S$71:S$90)*AC$2</f>
        <v>0</v>
      </c>
      <c r="AD626" s="88">
        <f>SUMIF(月間集計シート!$M$71:$M$90,$G626,月間集計シート!T$71:T$90)*AD$2</f>
        <v>0</v>
      </c>
      <c r="AE626" s="88">
        <f>SUMIF(月間集計シート!$M$92:$M$111,$G626,月間集計シート!N$92:N$111)*AE$2</f>
        <v>0</v>
      </c>
      <c r="AF626" s="88">
        <f>SUMIF(月間集計シート!$M$92:$M$111,$G626,月間集計シート!O$92:O$111)*AF$2</f>
        <v>0</v>
      </c>
      <c r="AG626" s="88">
        <f>SUMIF(月間集計シート!$M$92:$M$111,$G626,月間集計シート!P$92:P$111)*AG$2</f>
        <v>0</v>
      </c>
      <c r="AH626" s="88">
        <f>SUMIF(月間集計シート!$M$92:$M$111,$G626,月間集計シート!Q$92:Q$111)*AH$2</f>
        <v>0</v>
      </c>
      <c r="AI626" s="88">
        <f>SUMIF(月間集計シート!$M$92:$M$111,$G626,月間集計シート!R$92:R$111)*AI$2</f>
        <v>0</v>
      </c>
      <c r="AJ626" s="88">
        <f>SUMIF(月間集計シート!$M$92:$M$111,$G626,月間集計シート!S$92:S$111)*AJ$2</f>
        <v>0</v>
      </c>
      <c r="AK626" s="88">
        <f>SUMIF(月間集計シート!$M$92:$M$111,$G626,月間集計シート!T$92:T$111)*AK$2</f>
        <v>0</v>
      </c>
      <c r="AL626" s="88">
        <f>SUMIF(月間集計シート!$M$113:$M$132,$G626,月間集計シート!N$113:N$132)*AL$2</f>
        <v>0</v>
      </c>
      <c r="AM626" s="88">
        <f>SUMIF(月間集計シート!$M$113:$M$132,$G626,月間集計シート!O$113:O$132)*AM$2</f>
        <v>0</v>
      </c>
      <c r="AN626" s="88">
        <f>SUMIF(月間集計シート!$M$113:$M$132,$G626,月間集計シート!P$113:P$132)*AN$2</f>
        <v>0</v>
      </c>
      <c r="AO626" s="88">
        <f>SUMIF(月間集計シート!$M$113:$M$132,$G626,月間集計シート!Q$113:Q$132)*AO$2</f>
        <v>0</v>
      </c>
      <c r="AP626" s="88">
        <f>SUMIF(月間集計シート!$M$113:$M$132,$G626,月間集計シート!R$113:R$132)*AP$2</f>
        <v>0</v>
      </c>
      <c r="AQ626" s="88">
        <f>SUMIF(月間集計シート!$M$113:$M$132,$G626,月間集計シート!S$113:S$132)*AQ$2</f>
        <v>0</v>
      </c>
      <c r="AR626" s="88">
        <f>SUMIF(月間集計シート!$M$113:$M$132,$G626,月間集計シート!T$113:T$132)*AR$2</f>
        <v>0</v>
      </c>
      <c r="AS626" s="88">
        <f>SUMIF(月間集計シート!$M$134:$M$153,$G626,月間集計シート!N$134:N$153)*AS$2</f>
        <v>0</v>
      </c>
      <c r="AT626" s="88">
        <f>SUMIF(月間集計シート!$M$134:$M$153,$G626,月間集計シート!O$134:O$153)*AT$2</f>
        <v>0</v>
      </c>
      <c r="AU626" s="88">
        <f>SUMIF(月間集計シート!$M$134:$M$153,$G626,月間集計シート!P$134:P$153)*AU$2</f>
        <v>0</v>
      </c>
      <c r="AV626" s="88">
        <f>SUMIF(月間集計シート!$M$134:$M$153,$G626,月間集計シート!Q$134:Q$153)*AV$2</f>
        <v>0</v>
      </c>
      <c r="AW626" s="88">
        <f>SUMIF(月間集計シート!$M$134:$M$153,$G626,月間集計シート!R$134:R$153)*AW$2</f>
        <v>0</v>
      </c>
      <c r="AX626" s="88">
        <f>SUMIF(月間集計シート!$M$134:$M$153,$G626,月間集計シート!S$134:S$153)*AX$2</f>
        <v>0</v>
      </c>
      <c r="AY626" s="88">
        <f>SUMIF(月間集計シート!$M$134:$M$153,$G626,月間集計シート!T$134:T$153)*AY$2</f>
        <v>0</v>
      </c>
    </row>
    <row r="627" spans="1:51" ht="14.25" thickBot="1">
      <c r="A627">
        <v>8</v>
      </c>
      <c r="B627" s="120">
        <f t="shared" si="304"/>
        <v>0</v>
      </c>
      <c r="C627" s="120" t="str">
        <f t="shared" si="305"/>
        <v/>
      </c>
      <c r="D627" s="137"/>
      <c r="E627" s="150" t="str">
        <f>工種!A24</f>
        <v>40102</v>
      </c>
      <c r="F627" s="119" t="str">
        <f>工種!B24</f>
        <v>テスト：システムテスト実施</v>
      </c>
      <c r="G627" s="116" t="str">
        <f t="shared" si="306"/>
        <v>040102</v>
      </c>
      <c r="H627" s="88">
        <f t="shared" si="260"/>
        <v>0</v>
      </c>
      <c r="I627" s="132"/>
      <c r="J627" s="88">
        <f>SUMIF(月間集計シート!$M$29:$M$48,$G627,月間集計シート!N$29:N$48)*J$2</f>
        <v>0</v>
      </c>
      <c r="K627" s="88">
        <f>SUMIF(月間集計シート!$M$29:$M$48,$G627,月間集計シート!O$29:O$48)*K$2</f>
        <v>0</v>
      </c>
      <c r="L627" s="88">
        <f>SUMIF(月間集計シート!$M$29:$M$48,$G627,月間集計シート!P$29:P$48)*L$2</f>
        <v>0</v>
      </c>
      <c r="M627" s="88">
        <f>SUMIF(月間集計シート!$M$29:$M$48,$G627,月間集計シート!Q$29:Q$48)*M$2</f>
        <v>0</v>
      </c>
      <c r="N627" s="88">
        <f>SUMIF(月間集計シート!$M$29:$M$48,$G627,月間集計シート!R$29:R$48)*N$2</f>
        <v>0</v>
      </c>
      <c r="O627" s="88">
        <f>SUMIF(月間集計シート!$M$29:$M$48,$G627,月間集計シート!S$29:S$48)*O$2</f>
        <v>0</v>
      </c>
      <c r="P627" s="88">
        <f>SUMIF(月間集計シート!$M$29:$M$48,$G627,月間集計シート!T$29:T$48)*P$2</f>
        <v>0</v>
      </c>
      <c r="Q627" s="88">
        <f>SUMIF(月間集計シート!$M$50:$M$69,$G627,月間集計シート!N$50:N$69)*Q$2</f>
        <v>0</v>
      </c>
      <c r="R627" s="88">
        <f>SUMIF(月間集計シート!$M$50:$M$69,$G627,月間集計シート!O$50:O$69)*R$2</f>
        <v>0</v>
      </c>
      <c r="S627" s="88">
        <f>SUMIF(月間集計シート!$M$50:$M$69,$G627,月間集計シート!P$50:P$69)*S$2</f>
        <v>0</v>
      </c>
      <c r="T627" s="88">
        <f>SUMIF(月間集計シート!$M$50:$M$69,$G627,月間集計シート!Q$50:Q$69)*T$2</f>
        <v>0</v>
      </c>
      <c r="U627" s="88">
        <f>SUMIF(月間集計シート!$M$50:$M$69,$G627,月間集計シート!R$50:R$69)*U$2</f>
        <v>0</v>
      </c>
      <c r="V627" s="88">
        <f>SUMIF(月間集計シート!$M$50:$M$69,$G627,月間集計シート!S$50:S$69)*V$2</f>
        <v>0</v>
      </c>
      <c r="W627" s="88">
        <f>SUMIF(月間集計シート!$M$50:$M$69,$G627,月間集計シート!T$50:T$69)*W$2</f>
        <v>0</v>
      </c>
      <c r="X627" s="88">
        <f>SUMIF(月間集計シート!$M$71:$M$90,$G627,月間集計シート!N$71:N$90)*X$2</f>
        <v>0</v>
      </c>
      <c r="Y627" s="88">
        <f>SUMIF(月間集計シート!$M$71:$M$90,$G627,月間集計シート!O$71:O$90)*Y$2</f>
        <v>0</v>
      </c>
      <c r="Z627" s="88">
        <f>SUMIF(月間集計シート!$M$71:$M$90,$G627,月間集計シート!P$71:P$90)*Z$2</f>
        <v>0</v>
      </c>
      <c r="AA627" s="88">
        <f>SUMIF(月間集計シート!$M$71:$M$90,$G627,月間集計シート!Q$71:Q$90)*AA$2</f>
        <v>0</v>
      </c>
      <c r="AB627" s="88">
        <f>SUMIF(月間集計シート!$M$71:$M$90,$G627,月間集計シート!R$71:R$90)*AB$2</f>
        <v>0</v>
      </c>
      <c r="AC627" s="88">
        <f>SUMIF(月間集計シート!$M$71:$M$90,$G627,月間集計シート!S$71:S$90)*AC$2</f>
        <v>0</v>
      </c>
      <c r="AD627" s="88">
        <f>SUMIF(月間集計シート!$M$71:$M$90,$G627,月間集計シート!T$71:T$90)*AD$2</f>
        <v>0</v>
      </c>
      <c r="AE627" s="88">
        <f>SUMIF(月間集計シート!$M$92:$M$111,$G627,月間集計シート!N$92:N$111)*AE$2</f>
        <v>0</v>
      </c>
      <c r="AF627" s="88">
        <f>SUMIF(月間集計シート!$M$92:$M$111,$G627,月間集計シート!O$92:O$111)*AF$2</f>
        <v>0</v>
      </c>
      <c r="AG627" s="88">
        <f>SUMIF(月間集計シート!$M$92:$M$111,$G627,月間集計シート!P$92:P$111)*AG$2</f>
        <v>0</v>
      </c>
      <c r="AH627" s="88">
        <f>SUMIF(月間集計シート!$M$92:$M$111,$G627,月間集計シート!Q$92:Q$111)*AH$2</f>
        <v>0</v>
      </c>
      <c r="AI627" s="88">
        <f>SUMIF(月間集計シート!$M$92:$M$111,$G627,月間集計シート!R$92:R$111)*AI$2</f>
        <v>0</v>
      </c>
      <c r="AJ627" s="88">
        <f>SUMIF(月間集計シート!$M$92:$M$111,$G627,月間集計シート!S$92:S$111)*AJ$2</f>
        <v>0</v>
      </c>
      <c r="AK627" s="88">
        <f>SUMIF(月間集計シート!$M$92:$M$111,$G627,月間集計シート!T$92:T$111)*AK$2</f>
        <v>0</v>
      </c>
      <c r="AL627" s="88">
        <f>SUMIF(月間集計シート!$M$113:$M$132,$G627,月間集計シート!N$113:N$132)*AL$2</f>
        <v>0</v>
      </c>
      <c r="AM627" s="88">
        <f>SUMIF(月間集計シート!$M$113:$M$132,$G627,月間集計シート!O$113:O$132)*AM$2</f>
        <v>0</v>
      </c>
      <c r="AN627" s="88">
        <f>SUMIF(月間集計シート!$M$113:$M$132,$G627,月間集計シート!P$113:P$132)*AN$2</f>
        <v>0</v>
      </c>
      <c r="AO627" s="88">
        <f>SUMIF(月間集計シート!$M$113:$M$132,$G627,月間集計シート!Q$113:Q$132)*AO$2</f>
        <v>0</v>
      </c>
      <c r="AP627" s="88">
        <f>SUMIF(月間集計シート!$M$113:$M$132,$G627,月間集計シート!R$113:R$132)*AP$2</f>
        <v>0</v>
      </c>
      <c r="AQ627" s="88">
        <f>SUMIF(月間集計シート!$M$113:$M$132,$G627,月間集計シート!S$113:S$132)*AQ$2</f>
        <v>0</v>
      </c>
      <c r="AR627" s="88">
        <f>SUMIF(月間集計シート!$M$113:$M$132,$G627,月間集計シート!T$113:T$132)*AR$2</f>
        <v>0</v>
      </c>
      <c r="AS627" s="88">
        <f>SUMIF(月間集計シート!$M$134:$M$153,$G627,月間集計シート!N$134:N$153)*AS$2</f>
        <v>0</v>
      </c>
      <c r="AT627" s="88">
        <f>SUMIF(月間集計シート!$M$134:$M$153,$G627,月間集計シート!O$134:O$153)*AT$2</f>
        <v>0</v>
      </c>
      <c r="AU627" s="88">
        <f>SUMIF(月間集計シート!$M$134:$M$153,$G627,月間集計シート!P$134:P$153)*AU$2</f>
        <v>0</v>
      </c>
      <c r="AV627" s="88">
        <f>SUMIF(月間集計シート!$M$134:$M$153,$G627,月間集計シート!Q$134:Q$153)*AV$2</f>
        <v>0</v>
      </c>
      <c r="AW627" s="88">
        <f>SUMIF(月間集計シート!$M$134:$M$153,$G627,月間集計シート!R$134:R$153)*AW$2</f>
        <v>0</v>
      </c>
      <c r="AX627" s="88">
        <f>SUMIF(月間集計シート!$M$134:$M$153,$G627,月間集計シート!S$134:S$153)*AX$2</f>
        <v>0</v>
      </c>
      <c r="AY627" s="88">
        <f>SUMIF(月間集計シート!$M$134:$M$153,$G627,月間集計シート!T$134:T$153)*AY$2</f>
        <v>0</v>
      </c>
    </row>
    <row r="628" spans="1:51" ht="14.25" thickBot="1">
      <c r="A628">
        <v>8</v>
      </c>
      <c r="B628" s="120">
        <f t="shared" si="304"/>
        <v>0</v>
      </c>
      <c r="C628" s="120" t="str">
        <f t="shared" si="305"/>
        <v/>
      </c>
      <c r="D628" s="137"/>
      <c r="E628" s="150" t="str">
        <f>工種!A25</f>
        <v>40103</v>
      </c>
      <c r="F628" s="119" t="str">
        <f>工種!B25</f>
        <v>テスト：テスト計画書作成</v>
      </c>
      <c r="G628" s="116" t="str">
        <f t="shared" si="306"/>
        <v>040103</v>
      </c>
      <c r="H628" s="88">
        <f t="shared" si="260"/>
        <v>0</v>
      </c>
      <c r="I628" s="132"/>
      <c r="J628" s="88">
        <f>SUMIF(月間集計シート!$M$29:$M$48,$G628,月間集計シート!N$29:N$48)*J$2</f>
        <v>0</v>
      </c>
      <c r="K628" s="88">
        <f>SUMIF(月間集計シート!$M$29:$M$48,$G628,月間集計シート!O$29:O$48)*K$2</f>
        <v>0</v>
      </c>
      <c r="L628" s="88">
        <f>SUMIF(月間集計シート!$M$29:$M$48,$G628,月間集計シート!P$29:P$48)*L$2</f>
        <v>0</v>
      </c>
      <c r="M628" s="88">
        <f>SUMIF(月間集計シート!$M$29:$M$48,$G628,月間集計シート!Q$29:Q$48)*M$2</f>
        <v>0</v>
      </c>
      <c r="N628" s="88">
        <f>SUMIF(月間集計シート!$M$29:$M$48,$G628,月間集計シート!R$29:R$48)*N$2</f>
        <v>0</v>
      </c>
      <c r="O628" s="88">
        <f>SUMIF(月間集計シート!$M$29:$M$48,$G628,月間集計シート!S$29:S$48)*O$2</f>
        <v>0</v>
      </c>
      <c r="P628" s="88">
        <f>SUMIF(月間集計シート!$M$29:$M$48,$G628,月間集計シート!T$29:T$48)*P$2</f>
        <v>0</v>
      </c>
      <c r="Q628" s="88">
        <f>SUMIF(月間集計シート!$M$50:$M$69,$G628,月間集計シート!N$50:N$69)*Q$2</f>
        <v>0</v>
      </c>
      <c r="R628" s="88">
        <f>SUMIF(月間集計シート!$M$50:$M$69,$G628,月間集計シート!O$50:O$69)*R$2</f>
        <v>0</v>
      </c>
      <c r="S628" s="88">
        <f>SUMIF(月間集計シート!$M$50:$M$69,$G628,月間集計シート!P$50:P$69)*S$2</f>
        <v>0</v>
      </c>
      <c r="T628" s="88">
        <f>SUMIF(月間集計シート!$M$50:$M$69,$G628,月間集計シート!Q$50:Q$69)*T$2</f>
        <v>0</v>
      </c>
      <c r="U628" s="88">
        <f>SUMIF(月間集計シート!$M$50:$M$69,$G628,月間集計シート!R$50:R$69)*U$2</f>
        <v>0</v>
      </c>
      <c r="V628" s="88">
        <f>SUMIF(月間集計シート!$M$50:$M$69,$G628,月間集計シート!S$50:S$69)*V$2</f>
        <v>0</v>
      </c>
      <c r="W628" s="88">
        <f>SUMIF(月間集計シート!$M$50:$M$69,$G628,月間集計シート!T$50:T$69)*W$2</f>
        <v>0</v>
      </c>
      <c r="X628" s="88">
        <f>SUMIF(月間集計シート!$M$71:$M$90,$G628,月間集計シート!N$71:N$90)*X$2</f>
        <v>0</v>
      </c>
      <c r="Y628" s="88">
        <f>SUMIF(月間集計シート!$M$71:$M$90,$G628,月間集計シート!O$71:O$90)*Y$2</f>
        <v>0</v>
      </c>
      <c r="Z628" s="88">
        <f>SUMIF(月間集計シート!$M$71:$M$90,$G628,月間集計シート!P$71:P$90)*Z$2</f>
        <v>0</v>
      </c>
      <c r="AA628" s="88">
        <f>SUMIF(月間集計シート!$M$71:$M$90,$G628,月間集計シート!Q$71:Q$90)*AA$2</f>
        <v>0</v>
      </c>
      <c r="AB628" s="88">
        <f>SUMIF(月間集計シート!$M$71:$M$90,$G628,月間集計シート!R$71:R$90)*AB$2</f>
        <v>0</v>
      </c>
      <c r="AC628" s="88">
        <f>SUMIF(月間集計シート!$M$71:$M$90,$G628,月間集計シート!S$71:S$90)*AC$2</f>
        <v>0</v>
      </c>
      <c r="AD628" s="88">
        <f>SUMIF(月間集計シート!$M$71:$M$90,$G628,月間集計シート!T$71:T$90)*AD$2</f>
        <v>0</v>
      </c>
      <c r="AE628" s="88">
        <f>SUMIF(月間集計シート!$M$92:$M$111,$G628,月間集計シート!N$92:N$111)*AE$2</f>
        <v>0</v>
      </c>
      <c r="AF628" s="88">
        <f>SUMIF(月間集計シート!$M$92:$M$111,$G628,月間集計シート!O$92:O$111)*AF$2</f>
        <v>0</v>
      </c>
      <c r="AG628" s="88">
        <f>SUMIF(月間集計シート!$M$92:$M$111,$G628,月間集計シート!P$92:P$111)*AG$2</f>
        <v>0</v>
      </c>
      <c r="AH628" s="88">
        <f>SUMIF(月間集計シート!$M$92:$M$111,$G628,月間集計シート!Q$92:Q$111)*AH$2</f>
        <v>0</v>
      </c>
      <c r="AI628" s="88">
        <f>SUMIF(月間集計シート!$M$92:$M$111,$G628,月間集計シート!R$92:R$111)*AI$2</f>
        <v>0</v>
      </c>
      <c r="AJ628" s="88">
        <f>SUMIF(月間集計シート!$M$92:$M$111,$G628,月間集計シート!S$92:S$111)*AJ$2</f>
        <v>0</v>
      </c>
      <c r="AK628" s="88">
        <f>SUMIF(月間集計シート!$M$92:$M$111,$G628,月間集計シート!T$92:T$111)*AK$2</f>
        <v>0</v>
      </c>
      <c r="AL628" s="88">
        <f>SUMIF(月間集計シート!$M$113:$M$132,$G628,月間集計シート!N$113:N$132)*AL$2</f>
        <v>0</v>
      </c>
      <c r="AM628" s="88">
        <f>SUMIF(月間集計シート!$M$113:$M$132,$G628,月間集計シート!O$113:O$132)*AM$2</f>
        <v>0</v>
      </c>
      <c r="AN628" s="88">
        <f>SUMIF(月間集計シート!$M$113:$M$132,$G628,月間集計シート!P$113:P$132)*AN$2</f>
        <v>0</v>
      </c>
      <c r="AO628" s="88">
        <f>SUMIF(月間集計シート!$M$113:$M$132,$G628,月間集計シート!Q$113:Q$132)*AO$2</f>
        <v>0</v>
      </c>
      <c r="AP628" s="88">
        <f>SUMIF(月間集計シート!$M$113:$M$132,$G628,月間集計シート!R$113:R$132)*AP$2</f>
        <v>0</v>
      </c>
      <c r="AQ628" s="88">
        <f>SUMIF(月間集計シート!$M$113:$M$132,$G628,月間集計シート!S$113:S$132)*AQ$2</f>
        <v>0</v>
      </c>
      <c r="AR628" s="88">
        <f>SUMIF(月間集計シート!$M$113:$M$132,$G628,月間集計シート!T$113:T$132)*AR$2</f>
        <v>0</v>
      </c>
      <c r="AS628" s="88">
        <f>SUMIF(月間集計シート!$M$134:$M$153,$G628,月間集計シート!N$134:N$153)*AS$2</f>
        <v>0</v>
      </c>
      <c r="AT628" s="88">
        <f>SUMIF(月間集計シート!$M$134:$M$153,$G628,月間集計シート!O$134:O$153)*AT$2</f>
        <v>0</v>
      </c>
      <c r="AU628" s="88">
        <f>SUMIF(月間集計シート!$M$134:$M$153,$G628,月間集計シート!P$134:P$153)*AU$2</f>
        <v>0</v>
      </c>
      <c r="AV628" s="88">
        <f>SUMIF(月間集計シート!$M$134:$M$153,$G628,月間集計シート!Q$134:Q$153)*AV$2</f>
        <v>0</v>
      </c>
      <c r="AW628" s="88">
        <f>SUMIF(月間集計シート!$M$134:$M$153,$G628,月間集計シート!R$134:R$153)*AW$2</f>
        <v>0</v>
      </c>
      <c r="AX628" s="88">
        <f>SUMIF(月間集計シート!$M$134:$M$153,$G628,月間集計シート!S$134:S$153)*AX$2</f>
        <v>0</v>
      </c>
      <c r="AY628" s="88">
        <f>SUMIF(月間集計シート!$M$134:$M$153,$G628,月間集計シート!T$134:T$153)*AY$2</f>
        <v>0</v>
      </c>
    </row>
    <row r="629" spans="1:51" ht="14.25" thickBot="1">
      <c r="A629">
        <v>8</v>
      </c>
      <c r="B629" s="120">
        <f t="shared" si="304"/>
        <v>0</v>
      </c>
      <c r="C629" s="120" t="str">
        <f t="shared" si="305"/>
        <v/>
      </c>
      <c r="D629" s="137"/>
      <c r="E629" s="150" t="str">
        <f>工種!A26</f>
        <v>40104</v>
      </c>
      <c r="F629" s="119" t="str">
        <f>工種!B26</f>
        <v>テスト：結合テスト設計書作成</v>
      </c>
      <c r="G629" s="116" t="str">
        <f t="shared" si="306"/>
        <v>040104</v>
      </c>
      <c r="H629" s="88">
        <f t="shared" si="260"/>
        <v>0</v>
      </c>
      <c r="I629" s="132"/>
      <c r="J629" s="88">
        <f>SUMIF(月間集計シート!$M$29:$M$48,$G629,月間集計シート!N$29:N$48)*J$2</f>
        <v>0</v>
      </c>
      <c r="K629" s="88">
        <f>SUMIF(月間集計シート!$M$29:$M$48,$G629,月間集計シート!O$29:O$48)*K$2</f>
        <v>0</v>
      </c>
      <c r="L629" s="88">
        <f>SUMIF(月間集計シート!$M$29:$M$48,$G629,月間集計シート!P$29:P$48)*L$2</f>
        <v>0</v>
      </c>
      <c r="M629" s="88">
        <f>SUMIF(月間集計シート!$M$29:$M$48,$G629,月間集計シート!Q$29:Q$48)*M$2</f>
        <v>0</v>
      </c>
      <c r="N629" s="88">
        <f>SUMIF(月間集計シート!$M$29:$M$48,$G629,月間集計シート!R$29:R$48)*N$2</f>
        <v>0</v>
      </c>
      <c r="O629" s="88">
        <f>SUMIF(月間集計シート!$M$29:$M$48,$G629,月間集計シート!S$29:S$48)*O$2</f>
        <v>0</v>
      </c>
      <c r="P629" s="88">
        <f>SUMIF(月間集計シート!$M$29:$M$48,$G629,月間集計シート!T$29:T$48)*P$2</f>
        <v>0</v>
      </c>
      <c r="Q629" s="88">
        <f>SUMIF(月間集計シート!$M$50:$M$69,$G629,月間集計シート!N$50:N$69)*Q$2</f>
        <v>0</v>
      </c>
      <c r="R629" s="88">
        <f>SUMIF(月間集計シート!$M$50:$M$69,$G629,月間集計シート!O$50:O$69)*R$2</f>
        <v>0</v>
      </c>
      <c r="S629" s="88">
        <f>SUMIF(月間集計シート!$M$50:$M$69,$G629,月間集計シート!P$50:P$69)*S$2</f>
        <v>0</v>
      </c>
      <c r="T629" s="88">
        <f>SUMIF(月間集計シート!$M$50:$M$69,$G629,月間集計シート!Q$50:Q$69)*T$2</f>
        <v>0</v>
      </c>
      <c r="U629" s="88">
        <f>SUMIF(月間集計シート!$M$50:$M$69,$G629,月間集計シート!R$50:R$69)*U$2</f>
        <v>0</v>
      </c>
      <c r="V629" s="88">
        <f>SUMIF(月間集計シート!$M$50:$M$69,$G629,月間集計シート!S$50:S$69)*V$2</f>
        <v>0</v>
      </c>
      <c r="W629" s="88">
        <f>SUMIF(月間集計シート!$M$50:$M$69,$G629,月間集計シート!T$50:T$69)*W$2</f>
        <v>0</v>
      </c>
      <c r="X629" s="88">
        <f>SUMIF(月間集計シート!$M$71:$M$90,$G629,月間集計シート!N$71:N$90)*X$2</f>
        <v>0</v>
      </c>
      <c r="Y629" s="88">
        <f>SUMIF(月間集計シート!$M$71:$M$90,$G629,月間集計シート!O$71:O$90)*Y$2</f>
        <v>0</v>
      </c>
      <c r="Z629" s="88">
        <f>SUMIF(月間集計シート!$M$71:$M$90,$G629,月間集計シート!P$71:P$90)*Z$2</f>
        <v>0</v>
      </c>
      <c r="AA629" s="88">
        <f>SUMIF(月間集計シート!$M$71:$M$90,$G629,月間集計シート!Q$71:Q$90)*AA$2</f>
        <v>0</v>
      </c>
      <c r="AB629" s="88">
        <f>SUMIF(月間集計シート!$M$71:$M$90,$G629,月間集計シート!R$71:R$90)*AB$2</f>
        <v>0</v>
      </c>
      <c r="AC629" s="88">
        <f>SUMIF(月間集計シート!$M$71:$M$90,$G629,月間集計シート!S$71:S$90)*AC$2</f>
        <v>0</v>
      </c>
      <c r="AD629" s="88">
        <f>SUMIF(月間集計シート!$M$71:$M$90,$G629,月間集計シート!T$71:T$90)*AD$2</f>
        <v>0</v>
      </c>
      <c r="AE629" s="88">
        <f>SUMIF(月間集計シート!$M$92:$M$111,$G629,月間集計シート!N$92:N$111)*AE$2</f>
        <v>0</v>
      </c>
      <c r="AF629" s="88">
        <f>SUMIF(月間集計シート!$M$92:$M$111,$G629,月間集計シート!O$92:O$111)*AF$2</f>
        <v>0</v>
      </c>
      <c r="AG629" s="88">
        <f>SUMIF(月間集計シート!$M$92:$M$111,$G629,月間集計シート!P$92:P$111)*AG$2</f>
        <v>0</v>
      </c>
      <c r="AH629" s="88">
        <f>SUMIF(月間集計シート!$M$92:$M$111,$G629,月間集計シート!Q$92:Q$111)*AH$2</f>
        <v>0</v>
      </c>
      <c r="AI629" s="88">
        <f>SUMIF(月間集計シート!$M$92:$M$111,$G629,月間集計シート!R$92:R$111)*AI$2</f>
        <v>0</v>
      </c>
      <c r="AJ629" s="88">
        <f>SUMIF(月間集計シート!$M$92:$M$111,$G629,月間集計シート!S$92:S$111)*AJ$2</f>
        <v>0</v>
      </c>
      <c r="AK629" s="88">
        <f>SUMIF(月間集計シート!$M$92:$M$111,$G629,月間集計シート!T$92:T$111)*AK$2</f>
        <v>0</v>
      </c>
      <c r="AL629" s="88">
        <f>SUMIF(月間集計シート!$M$113:$M$132,$G629,月間集計シート!N$113:N$132)*AL$2</f>
        <v>0</v>
      </c>
      <c r="AM629" s="88">
        <f>SUMIF(月間集計シート!$M$113:$M$132,$G629,月間集計シート!O$113:O$132)*AM$2</f>
        <v>0</v>
      </c>
      <c r="AN629" s="88">
        <f>SUMIF(月間集計シート!$M$113:$M$132,$G629,月間集計シート!P$113:P$132)*AN$2</f>
        <v>0</v>
      </c>
      <c r="AO629" s="88">
        <f>SUMIF(月間集計シート!$M$113:$M$132,$G629,月間集計シート!Q$113:Q$132)*AO$2</f>
        <v>0</v>
      </c>
      <c r="AP629" s="88">
        <f>SUMIF(月間集計シート!$M$113:$M$132,$G629,月間集計シート!R$113:R$132)*AP$2</f>
        <v>0</v>
      </c>
      <c r="AQ629" s="88">
        <f>SUMIF(月間集計シート!$M$113:$M$132,$G629,月間集計シート!S$113:S$132)*AQ$2</f>
        <v>0</v>
      </c>
      <c r="AR629" s="88">
        <f>SUMIF(月間集計シート!$M$113:$M$132,$G629,月間集計シート!T$113:T$132)*AR$2</f>
        <v>0</v>
      </c>
      <c r="AS629" s="88">
        <f>SUMIF(月間集計シート!$M$134:$M$153,$G629,月間集計シート!N$134:N$153)*AS$2</f>
        <v>0</v>
      </c>
      <c r="AT629" s="88">
        <f>SUMIF(月間集計シート!$M$134:$M$153,$G629,月間集計シート!O$134:O$153)*AT$2</f>
        <v>0</v>
      </c>
      <c r="AU629" s="88">
        <f>SUMIF(月間集計シート!$M$134:$M$153,$G629,月間集計シート!P$134:P$153)*AU$2</f>
        <v>0</v>
      </c>
      <c r="AV629" s="88">
        <f>SUMIF(月間集計シート!$M$134:$M$153,$G629,月間集計シート!Q$134:Q$153)*AV$2</f>
        <v>0</v>
      </c>
      <c r="AW629" s="88">
        <f>SUMIF(月間集計シート!$M$134:$M$153,$G629,月間集計シート!R$134:R$153)*AW$2</f>
        <v>0</v>
      </c>
      <c r="AX629" s="88">
        <f>SUMIF(月間集計シート!$M$134:$M$153,$G629,月間集計シート!S$134:S$153)*AX$2</f>
        <v>0</v>
      </c>
      <c r="AY629" s="88">
        <f>SUMIF(月間集計シート!$M$134:$M$153,$G629,月間集計シート!T$134:T$153)*AY$2</f>
        <v>0</v>
      </c>
    </row>
    <row r="630" spans="1:51" ht="14.25" thickBot="1">
      <c r="A630">
        <v>8</v>
      </c>
      <c r="B630" s="120">
        <f t="shared" si="304"/>
        <v>0</v>
      </c>
      <c r="C630" s="120" t="str">
        <f t="shared" si="305"/>
        <v/>
      </c>
      <c r="D630" s="137"/>
      <c r="E630" s="150" t="str">
        <f>工種!A27</f>
        <v>40105</v>
      </c>
      <c r="F630" s="119" t="str">
        <f>工種!B27</f>
        <v>テスト：システムテスト設計書作成</v>
      </c>
      <c r="G630" s="116" t="str">
        <f t="shared" si="306"/>
        <v>040105</v>
      </c>
      <c r="H630" s="88">
        <f t="shared" si="260"/>
        <v>0</v>
      </c>
      <c r="I630" s="132"/>
      <c r="J630" s="88">
        <f>SUMIF(月間集計シート!$M$29:$M$48,$G630,月間集計シート!N$29:N$48)*J$2</f>
        <v>0</v>
      </c>
      <c r="K630" s="88">
        <f>SUMIF(月間集計シート!$M$29:$M$48,$G630,月間集計シート!O$29:O$48)*K$2</f>
        <v>0</v>
      </c>
      <c r="L630" s="88">
        <f>SUMIF(月間集計シート!$M$29:$M$48,$G630,月間集計シート!P$29:P$48)*L$2</f>
        <v>0</v>
      </c>
      <c r="M630" s="88">
        <f>SUMIF(月間集計シート!$M$29:$M$48,$G630,月間集計シート!Q$29:Q$48)*M$2</f>
        <v>0</v>
      </c>
      <c r="N630" s="88">
        <f>SUMIF(月間集計シート!$M$29:$M$48,$G630,月間集計シート!R$29:R$48)*N$2</f>
        <v>0</v>
      </c>
      <c r="O630" s="88">
        <f>SUMIF(月間集計シート!$M$29:$M$48,$G630,月間集計シート!S$29:S$48)*O$2</f>
        <v>0</v>
      </c>
      <c r="P630" s="88">
        <f>SUMIF(月間集計シート!$M$29:$M$48,$G630,月間集計シート!T$29:T$48)*P$2</f>
        <v>0</v>
      </c>
      <c r="Q630" s="88">
        <f>SUMIF(月間集計シート!$M$50:$M$69,$G630,月間集計シート!N$50:N$69)*Q$2</f>
        <v>0</v>
      </c>
      <c r="R630" s="88">
        <f>SUMIF(月間集計シート!$M$50:$M$69,$G630,月間集計シート!O$50:O$69)*R$2</f>
        <v>0</v>
      </c>
      <c r="S630" s="88">
        <f>SUMIF(月間集計シート!$M$50:$M$69,$G630,月間集計シート!P$50:P$69)*S$2</f>
        <v>0</v>
      </c>
      <c r="T630" s="88">
        <f>SUMIF(月間集計シート!$M$50:$M$69,$G630,月間集計シート!Q$50:Q$69)*T$2</f>
        <v>0</v>
      </c>
      <c r="U630" s="88">
        <f>SUMIF(月間集計シート!$M$50:$M$69,$G630,月間集計シート!R$50:R$69)*U$2</f>
        <v>0</v>
      </c>
      <c r="V630" s="88">
        <f>SUMIF(月間集計シート!$M$50:$M$69,$G630,月間集計シート!S$50:S$69)*V$2</f>
        <v>0</v>
      </c>
      <c r="W630" s="88">
        <f>SUMIF(月間集計シート!$M$50:$M$69,$G630,月間集計シート!T$50:T$69)*W$2</f>
        <v>0</v>
      </c>
      <c r="X630" s="88">
        <f>SUMIF(月間集計シート!$M$71:$M$90,$G630,月間集計シート!N$71:N$90)*X$2</f>
        <v>0</v>
      </c>
      <c r="Y630" s="88">
        <f>SUMIF(月間集計シート!$M$71:$M$90,$G630,月間集計シート!O$71:O$90)*Y$2</f>
        <v>0</v>
      </c>
      <c r="Z630" s="88">
        <f>SUMIF(月間集計シート!$M$71:$M$90,$G630,月間集計シート!P$71:P$90)*Z$2</f>
        <v>0</v>
      </c>
      <c r="AA630" s="88">
        <f>SUMIF(月間集計シート!$M$71:$M$90,$G630,月間集計シート!Q$71:Q$90)*AA$2</f>
        <v>0</v>
      </c>
      <c r="AB630" s="88">
        <f>SUMIF(月間集計シート!$M$71:$M$90,$G630,月間集計シート!R$71:R$90)*AB$2</f>
        <v>0</v>
      </c>
      <c r="AC630" s="88">
        <f>SUMIF(月間集計シート!$M$71:$M$90,$G630,月間集計シート!S$71:S$90)*AC$2</f>
        <v>0</v>
      </c>
      <c r="AD630" s="88">
        <f>SUMIF(月間集計シート!$M$71:$M$90,$G630,月間集計シート!T$71:T$90)*AD$2</f>
        <v>0</v>
      </c>
      <c r="AE630" s="88">
        <f>SUMIF(月間集計シート!$M$92:$M$111,$G630,月間集計シート!N$92:N$111)*AE$2</f>
        <v>0</v>
      </c>
      <c r="AF630" s="88">
        <f>SUMIF(月間集計シート!$M$92:$M$111,$G630,月間集計シート!O$92:O$111)*AF$2</f>
        <v>0</v>
      </c>
      <c r="AG630" s="88">
        <f>SUMIF(月間集計シート!$M$92:$M$111,$G630,月間集計シート!P$92:P$111)*AG$2</f>
        <v>0</v>
      </c>
      <c r="AH630" s="88">
        <f>SUMIF(月間集計シート!$M$92:$M$111,$G630,月間集計シート!Q$92:Q$111)*AH$2</f>
        <v>0</v>
      </c>
      <c r="AI630" s="88">
        <f>SUMIF(月間集計シート!$M$92:$M$111,$G630,月間集計シート!R$92:R$111)*AI$2</f>
        <v>0</v>
      </c>
      <c r="AJ630" s="88">
        <f>SUMIF(月間集計シート!$M$92:$M$111,$G630,月間集計シート!S$92:S$111)*AJ$2</f>
        <v>0</v>
      </c>
      <c r="AK630" s="88">
        <f>SUMIF(月間集計シート!$M$92:$M$111,$G630,月間集計シート!T$92:T$111)*AK$2</f>
        <v>0</v>
      </c>
      <c r="AL630" s="88">
        <f>SUMIF(月間集計シート!$M$113:$M$132,$G630,月間集計シート!N$113:N$132)*AL$2</f>
        <v>0</v>
      </c>
      <c r="AM630" s="88">
        <f>SUMIF(月間集計シート!$M$113:$M$132,$G630,月間集計シート!O$113:O$132)*AM$2</f>
        <v>0</v>
      </c>
      <c r="AN630" s="88">
        <f>SUMIF(月間集計シート!$M$113:$M$132,$G630,月間集計シート!P$113:P$132)*AN$2</f>
        <v>0</v>
      </c>
      <c r="AO630" s="88">
        <f>SUMIF(月間集計シート!$M$113:$M$132,$G630,月間集計シート!Q$113:Q$132)*AO$2</f>
        <v>0</v>
      </c>
      <c r="AP630" s="88">
        <f>SUMIF(月間集計シート!$M$113:$M$132,$G630,月間集計シート!R$113:R$132)*AP$2</f>
        <v>0</v>
      </c>
      <c r="AQ630" s="88">
        <f>SUMIF(月間集計シート!$M$113:$M$132,$G630,月間集計シート!S$113:S$132)*AQ$2</f>
        <v>0</v>
      </c>
      <c r="AR630" s="88">
        <f>SUMIF(月間集計シート!$M$113:$M$132,$G630,月間集計シート!T$113:T$132)*AR$2</f>
        <v>0</v>
      </c>
      <c r="AS630" s="88">
        <f>SUMIF(月間集計シート!$M$134:$M$153,$G630,月間集計シート!N$134:N$153)*AS$2</f>
        <v>0</v>
      </c>
      <c r="AT630" s="88">
        <f>SUMIF(月間集計シート!$M$134:$M$153,$G630,月間集計シート!O$134:O$153)*AT$2</f>
        <v>0</v>
      </c>
      <c r="AU630" s="88">
        <f>SUMIF(月間集計シート!$M$134:$M$153,$G630,月間集計シート!P$134:P$153)*AU$2</f>
        <v>0</v>
      </c>
      <c r="AV630" s="88">
        <f>SUMIF(月間集計シート!$M$134:$M$153,$G630,月間集計シート!Q$134:Q$153)*AV$2</f>
        <v>0</v>
      </c>
      <c r="AW630" s="88">
        <f>SUMIF(月間集計シート!$M$134:$M$153,$G630,月間集計シート!R$134:R$153)*AW$2</f>
        <v>0</v>
      </c>
      <c r="AX630" s="88">
        <f>SUMIF(月間集計シート!$M$134:$M$153,$G630,月間集計シート!S$134:S$153)*AX$2</f>
        <v>0</v>
      </c>
      <c r="AY630" s="88">
        <f>SUMIF(月間集計シート!$M$134:$M$153,$G630,月間集計シート!T$134:T$153)*AY$2</f>
        <v>0</v>
      </c>
    </row>
    <row r="631" spans="1:51" ht="14.25" thickBot="1">
      <c r="A631">
        <v>8</v>
      </c>
      <c r="B631" s="120">
        <f t="shared" si="304"/>
        <v>0</v>
      </c>
      <c r="C631" s="120" t="str">
        <f t="shared" si="305"/>
        <v/>
      </c>
      <c r="D631" s="137"/>
      <c r="E631" s="150" t="str">
        <f>工種!A28</f>
        <v>40106</v>
      </c>
      <c r="F631" s="119" t="str">
        <f>工種!B28</f>
        <v>テスト：総合評価設計書作成</v>
      </c>
      <c r="G631" s="116" t="str">
        <f t="shared" si="306"/>
        <v>040106</v>
      </c>
      <c r="H631" s="88">
        <f t="shared" si="260"/>
        <v>0</v>
      </c>
      <c r="I631" s="132"/>
      <c r="J631" s="88">
        <f>SUMIF(月間集計シート!$M$29:$M$48,$G631,月間集計シート!N$29:N$48)*J$2</f>
        <v>0</v>
      </c>
      <c r="K631" s="88">
        <f>SUMIF(月間集計シート!$M$29:$M$48,$G631,月間集計シート!O$29:O$48)*K$2</f>
        <v>0</v>
      </c>
      <c r="L631" s="88">
        <f>SUMIF(月間集計シート!$M$29:$M$48,$G631,月間集計シート!P$29:P$48)*L$2</f>
        <v>0</v>
      </c>
      <c r="M631" s="88">
        <f>SUMIF(月間集計シート!$M$29:$M$48,$G631,月間集計シート!Q$29:Q$48)*M$2</f>
        <v>0</v>
      </c>
      <c r="N631" s="88">
        <f>SUMIF(月間集計シート!$M$29:$M$48,$G631,月間集計シート!R$29:R$48)*N$2</f>
        <v>0</v>
      </c>
      <c r="O631" s="88">
        <f>SUMIF(月間集計シート!$M$29:$M$48,$G631,月間集計シート!S$29:S$48)*O$2</f>
        <v>0</v>
      </c>
      <c r="P631" s="88">
        <f>SUMIF(月間集計シート!$M$29:$M$48,$G631,月間集計シート!T$29:T$48)*P$2</f>
        <v>0</v>
      </c>
      <c r="Q631" s="88">
        <f>SUMIF(月間集計シート!$M$50:$M$69,$G631,月間集計シート!N$50:N$69)*Q$2</f>
        <v>0</v>
      </c>
      <c r="R631" s="88">
        <f>SUMIF(月間集計シート!$M$50:$M$69,$G631,月間集計シート!O$50:O$69)*R$2</f>
        <v>0</v>
      </c>
      <c r="S631" s="88">
        <f>SUMIF(月間集計シート!$M$50:$M$69,$G631,月間集計シート!P$50:P$69)*S$2</f>
        <v>0</v>
      </c>
      <c r="T631" s="88">
        <f>SUMIF(月間集計シート!$M$50:$M$69,$G631,月間集計シート!Q$50:Q$69)*T$2</f>
        <v>0</v>
      </c>
      <c r="U631" s="88">
        <f>SUMIF(月間集計シート!$M$50:$M$69,$G631,月間集計シート!R$50:R$69)*U$2</f>
        <v>0</v>
      </c>
      <c r="V631" s="88">
        <f>SUMIF(月間集計シート!$M$50:$M$69,$G631,月間集計シート!S$50:S$69)*V$2</f>
        <v>0</v>
      </c>
      <c r="W631" s="88">
        <f>SUMIF(月間集計シート!$M$50:$M$69,$G631,月間集計シート!T$50:T$69)*W$2</f>
        <v>0</v>
      </c>
      <c r="X631" s="88">
        <f>SUMIF(月間集計シート!$M$71:$M$90,$G631,月間集計シート!N$71:N$90)*X$2</f>
        <v>0</v>
      </c>
      <c r="Y631" s="88">
        <f>SUMIF(月間集計シート!$M$71:$M$90,$G631,月間集計シート!O$71:O$90)*Y$2</f>
        <v>0</v>
      </c>
      <c r="Z631" s="88">
        <f>SUMIF(月間集計シート!$M$71:$M$90,$G631,月間集計シート!P$71:P$90)*Z$2</f>
        <v>0</v>
      </c>
      <c r="AA631" s="88">
        <f>SUMIF(月間集計シート!$M$71:$M$90,$G631,月間集計シート!Q$71:Q$90)*AA$2</f>
        <v>0</v>
      </c>
      <c r="AB631" s="88">
        <f>SUMIF(月間集計シート!$M$71:$M$90,$G631,月間集計シート!R$71:R$90)*AB$2</f>
        <v>0</v>
      </c>
      <c r="AC631" s="88">
        <f>SUMIF(月間集計シート!$M$71:$M$90,$G631,月間集計シート!S$71:S$90)*AC$2</f>
        <v>0</v>
      </c>
      <c r="AD631" s="88">
        <f>SUMIF(月間集計シート!$M$71:$M$90,$G631,月間集計シート!T$71:T$90)*AD$2</f>
        <v>0</v>
      </c>
      <c r="AE631" s="88">
        <f>SUMIF(月間集計シート!$M$92:$M$111,$G631,月間集計シート!N$92:N$111)*AE$2</f>
        <v>0</v>
      </c>
      <c r="AF631" s="88">
        <f>SUMIF(月間集計シート!$M$92:$M$111,$G631,月間集計シート!O$92:O$111)*AF$2</f>
        <v>0</v>
      </c>
      <c r="AG631" s="88">
        <f>SUMIF(月間集計シート!$M$92:$M$111,$G631,月間集計シート!P$92:P$111)*AG$2</f>
        <v>0</v>
      </c>
      <c r="AH631" s="88">
        <f>SUMIF(月間集計シート!$M$92:$M$111,$G631,月間集計シート!Q$92:Q$111)*AH$2</f>
        <v>0</v>
      </c>
      <c r="AI631" s="88">
        <f>SUMIF(月間集計シート!$M$92:$M$111,$G631,月間集計シート!R$92:R$111)*AI$2</f>
        <v>0</v>
      </c>
      <c r="AJ631" s="88">
        <f>SUMIF(月間集計シート!$M$92:$M$111,$G631,月間集計シート!S$92:S$111)*AJ$2</f>
        <v>0</v>
      </c>
      <c r="AK631" s="88">
        <f>SUMIF(月間集計シート!$M$92:$M$111,$G631,月間集計シート!T$92:T$111)*AK$2</f>
        <v>0</v>
      </c>
      <c r="AL631" s="88">
        <f>SUMIF(月間集計シート!$M$113:$M$132,$G631,月間集計シート!N$113:N$132)*AL$2</f>
        <v>0</v>
      </c>
      <c r="AM631" s="88">
        <f>SUMIF(月間集計シート!$M$113:$M$132,$G631,月間集計シート!O$113:O$132)*AM$2</f>
        <v>0</v>
      </c>
      <c r="AN631" s="88">
        <f>SUMIF(月間集計シート!$M$113:$M$132,$G631,月間集計シート!P$113:P$132)*AN$2</f>
        <v>0</v>
      </c>
      <c r="AO631" s="88">
        <f>SUMIF(月間集計シート!$M$113:$M$132,$G631,月間集計シート!Q$113:Q$132)*AO$2</f>
        <v>0</v>
      </c>
      <c r="AP631" s="88">
        <f>SUMIF(月間集計シート!$M$113:$M$132,$G631,月間集計シート!R$113:R$132)*AP$2</f>
        <v>0</v>
      </c>
      <c r="AQ631" s="88">
        <f>SUMIF(月間集計シート!$M$113:$M$132,$G631,月間集計シート!S$113:S$132)*AQ$2</f>
        <v>0</v>
      </c>
      <c r="AR631" s="88">
        <f>SUMIF(月間集計シート!$M$113:$M$132,$G631,月間集計シート!T$113:T$132)*AR$2</f>
        <v>0</v>
      </c>
      <c r="AS631" s="88">
        <f>SUMIF(月間集計シート!$M$134:$M$153,$G631,月間集計シート!N$134:N$153)*AS$2</f>
        <v>0</v>
      </c>
      <c r="AT631" s="88">
        <f>SUMIF(月間集計シート!$M$134:$M$153,$G631,月間集計シート!O$134:O$153)*AT$2</f>
        <v>0</v>
      </c>
      <c r="AU631" s="88">
        <f>SUMIF(月間集計シート!$M$134:$M$153,$G631,月間集計シート!P$134:P$153)*AU$2</f>
        <v>0</v>
      </c>
      <c r="AV631" s="88">
        <f>SUMIF(月間集計シート!$M$134:$M$153,$G631,月間集計シート!Q$134:Q$153)*AV$2</f>
        <v>0</v>
      </c>
      <c r="AW631" s="88">
        <f>SUMIF(月間集計シート!$M$134:$M$153,$G631,月間集計シート!R$134:R$153)*AW$2</f>
        <v>0</v>
      </c>
      <c r="AX631" s="88">
        <f>SUMIF(月間集計シート!$M$134:$M$153,$G631,月間集計シート!S$134:S$153)*AX$2</f>
        <v>0</v>
      </c>
      <c r="AY631" s="88">
        <f>SUMIF(月間集計シート!$M$134:$M$153,$G631,月間集計シート!T$134:T$153)*AY$2</f>
        <v>0</v>
      </c>
    </row>
    <row r="632" spans="1:51" ht="14.25" thickBot="1">
      <c r="A632">
        <v>8</v>
      </c>
      <c r="B632" s="120">
        <f t="shared" si="304"/>
        <v>0</v>
      </c>
      <c r="C632" s="120" t="str">
        <f t="shared" si="305"/>
        <v/>
      </c>
      <c r="D632" s="137"/>
      <c r="E632" s="150" t="str">
        <f>工種!A29</f>
        <v>40107</v>
      </c>
      <c r="F632" s="119" t="str">
        <f>工種!B29</f>
        <v>テスト：評価報告書作成</v>
      </c>
      <c r="G632" s="116" t="str">
        <f t="shared" si="306"/>
        <v>040107</v>
      </c>
      <c r="H632" s="88">
        <f t="shared" si="260"/>
        <v>0</v>
      </c>
      <c r="I632" s="132"/>
      <c r="J632" s="88">
        <f>SUMIF(月間集計シート!$M$29:$M$48,$G632,月間集計シート!N$29:N$48)*J$2</f>
        <v>0</v>
      </c>
      <c r="K632" s="88">
        <f>SUMIF(月間集計シート!$M$29:$M$48,$G632,月間集計シート!O$29:O$48)*K$2</f>
        <v>0</v>
      </c>
      <c r="L632" s="88">
        <f>SUMIF(月間集計シート!$M$29:$M$48,$G632,月間集計シート!P$29:P$48)*L$2</f>
        <v>0</v>
      </c>
      <c r="M632" s="88">
        <f>SUMIF(月間集計シート!$M$29:$M$48,$G632,月間集計シート!Q$29:Q$48)*M$2</f>
        <v>0</v>
      </c>
      <c r="N632" s="88">
        <f>SUMIF(月間集計シート!$M$29:$M$48,$G632,月間集計シート!R$29:R$48)*N$2</f>
        <v>0</v>
      </c>
      <c r="O632" s="88">
        <f>SUMIF(月間集計シート!$M$29:$M$48,$G632,月間集計シート!S$29:S$48)*O$2</f>
        <v>0</v>
      </c>
      <c r="P632" s="88">
        <f>SUMIF(月間集計シート!$M$29:$M$48,$G632,月間集計シート!T$29:T$48)*P$2</f>
        <v>0</v>
      </c>
      <c r="Q632" s="88">
        <f>SUMIF(月間集計シート!$M$50:$M$69,$G632,月間集計シート!N$50:N$69)*Q$2</f>
        <v>0</v>
      </c>
      <c r="R632" s="88">
        <f>SUMIF(月間集計シート!$M$50:$M$69,$G632,月間集計シート!O$50:O$69)*R$2</f>
        <v>0</v>
      </c>
      <c r="S632" s="88">
        <f>SUMIF(月間集計シート!$M$50:$M$69,$G632,月間集計シート!P$50:P$69)*S$2</f>
        <v>0</v>
      </c>
      <c r="T632" s="88">
        <f>SUMIF(月間集計シート!$M$50:$M$69,$G632,月間集計シート!Q$50:Q$69)*T$2</f>
        <v>0</v>
      </c>
      <c r="U632" s="88">
        <f>SUMIF(月間集計シート!$M$50:$M$69,$G632,月間集計シート!R$50:R$69)*U$2</f>
        <v>0</v>
      </c>
      <c r="V632" s="88">
        <f>SUMIF(月間集計シート!$M$50:$M$69,$G632,月間集計シート!S$50:S$69)*V$2</f>
        <v>0</v>
      </c>
      <c r="W632" s="88">
        <f>SUMIF(月間集計シート!$M$50:$M$69,$G632,月間集計シート!T$50:T$69)*W$2</f>
        <v>0</v>
      </c>
      <c r="X632" s="88">
        <f>SUMIF(月間集計シート!$M$71:$M$90,$G632,月間集計シート!N$71:N$90)*X$2</f>
        <v>0</v>
      </c>
      <c r="Y632" s="88">
        <f>SUMIF(月間集計シート!$M$71:$M$90,$G632,月間集計シート!O$71:O$90)*Y$2</f>
        <v>0</v>
      </c>
      <c r="Z632" s="88">
        <f>SUMIF(月間集計シート!$M$71:$M$90,$G632,月間集計シート!P$71:P$90)*Z$2</f>
        <v>0</v>
      </c>
      <c r="AA632" s="88">
        <f>SUMIF(月間集計シート!$M$71:$M$90,$G632,月間集計シート!Q$71:Q$90)*AA$2</f>
        <v>0</v>
      </c>
      <c r="AB632" s="88">
        <f>SUMIF(月間集計シート!$M$71:$M$90,$G632,月間集計シート!R$71:R$90)*AB$2</f>
        <v>0</v>
      </c>
      <c r="AC632" s="88">
        <f>SUMIF(月間集計シート!$M$71:$M$90,$G632,月間集計シート!S$71:S$90)*AC$2</f>
        <v>0</v>
      </c>
      <c r="AD632" s="88">
        <f>SUMIF(月間集計シート!$M$71:$M$90,$G632,月間集計シート!T$71:T$90)*AD$2</f>
        <v>0</v>
      </c>
      <c r="AE632" s="88">
        <f>SUMIF(月間集計シート!$M$92:$M$111,$G632,月間集計シート!N$92:N$111)*AE$2</f>
        <v>0</v>
      </c>
      <c r="AF632" s="88">
        <f>SUMIF(月間集計シート!$M$92:$M$111,$G632,月間集計シート!O$92:O$111)*AF$2</f>
        <v>0</v>
      </c>
      <c r="AG632" s="88">
        <f>SUMIF(月間集計シート!$M$92:$M$111,$G632,月間集計シート!P$92:P$111)*AG$2</f>
        <v>0</v>
      </c>
      <c r="AH632" s="88">
        <f>SUMIF(月間集計シート!$M$92:$M$111,$G632,月間集計シート!Q$92:Q$111)*AH$2</f>
        <v>0</v>
      </c>
      <c r="AI632" s="88">
        <f>SUMIF(月間集計シート!$M$92:$M$111,$G632,月間集計シート!R$92:R$111)*AI$2</f>
        <v>0</v>
      </c>
      <c r="AJ632" s="88">
        <f>SUMIF(月間集計シート!$M$92:$M$111,$G632,月間集計シート!S$92:S$111)*AJ$2</f>
        <v>0</v>
      </c>
      <c r="AK632" s="88">
        <f>SUMIF(月間集計シート!$M$92:$M$111,$G632,月間集計シート!T$92:T$111)*AK$2</f>
        <v>0</v>
      </c>
      <c r="AL632" s="88">
        <f>SUMIF(月間集計シート!$M$113:$M$132,$G632,月間集計シート!N$113:N$132)*AL$2</f>
        <v>0</v>
      </c>
      <c r="AM632" s="88">
        <f>SUMIF(月間集計シート!$M$113:$M$132,$G632,月間集計シート!O$113:O$132)*AM$2</f>
        <v>0</v>
      </c>
      <c r="AN632" s="88">
        <f>SUMIF(月間集計シート!$M$113:$M$132,$G632,月間集計シート!P$113:P$132)*AN$2</f>
        <v>0</v>
      </c>
      <c r="AO632" s="88">
        <f>SUMIF(月間集計シート!$M$113:$M$132,$G632,月間集計シート!Q$113:Q$132)*AO$2</f>
        <v>0</v>
      </c>
      <c r="AP632" s="88">
        <f>SUMIF(月間集計シート!$M$113:$M$132,$G632,月間集計シート!R$113:R$132)*AP$2</f>
        <v>0</v>
      </c>
      <c r="AQ632" s="88">
        <f>SUMIF(月間集計シート!$M$113:$M$132,$G632,月間集計シート!S$113:S$132)*AQ$2</f>
        <v>0</v>
      </c>
      <c r="AR632" s="88">
        <f>SUMIF(月間集計シート!$M$113:$M$132,$G632,月間集計シート!T$113:T$132)*AR$2</f>
        <v>0</v>
      </c>
      <c r="AS632" s="88">
        <f>SUMIF(月間集計シート!$M$134:$M$153,$G632,月間集計シート!N$134:N$153)*AS$2</f>
        <v>0</v>
      </c>
      <c r="AT632" s="88">
        <f>SUMIF(月間集計シート!$M$134:$M$153,$G632,月間集計シート!O$134:O$153)*AT$2</f>
        <v>0</v>
      </c>
      <c r="AU632" s="88">
        <f>SUMIF(月間集計シート!$M$134:$M$153,$G632,月間集計シート!P$134:P$153)*AU$2</f>
        <v>0</v>
      </c>
      <c r="AV632" s="88">
        <f>SUMIF(月間集計シート!$M$134:$M$153,$G632,月間集計シート!Q$134:Q$153)*AV$2</f>
        <v>0</v>
      </c>
      <c r="AW632" s="88">
        <f>SUMIF(月間集計シート!$M$134:$M$153,$G632,月間集計シート!R$134:R$153)*AW$2</f>
        <v>0</v>
      </c>
      <c r="AX632" s="88">
        <f>SUMIF(月間集計シート!$M$134:$M$153,$G632,月間集計シート!S$134:S$153)*AX$2</f>
        <v>0</v>
      </c>
      <c r="AY632" s="88">
        <f>SUMIF(月間集計シート!$M$134:$M$153,$G632,月間集計シート!T$134:T$153)*AY$2</f>
        <v>0</v>
      </c>
    </row>
    <row r="633" spans="1:51" ht="14.25" thickBot="1">
      <c r="A633">
        <v>8</v>
      </c>
      <c r="B633" s="120">
        <f t="shared" si="304"/>
        <v>0</v>
      </c>
      <c r="C633" s="120" t="str">
        <f t="shared" si="305"/>
        <v/>
      </c>
      <c r="D633" s="137"/>
      <c r="E633" s="150" t="str">
        <f>工種!A30</f>
        <v>40108</v>
      </c>
      <c r="F633" s="119" t="str">
        <f>工種!B30</f>
        <v>テスト：総合評価実施</v>
      </c>
      <c r="G633" s="116" t="str">
        <f t="shared" si="306"/>
        <v>040108</v>
      </c>
      <c r="H633" s="88">
        <f t="shared" si="260"/>
        <v>0</v>
      </c>
      <c r="I633" s="132"/>
      <c r="J633" s="88">
        <f>SUMIF(月間集計シート!$M$29:$M$48,$G633,月間集計シート!N$29:N$48)*J$2</f>
        <v>0</v>
      </c>
      <c r="K633" s="88">
        <f>SUMIF(月間集計シート!$M$29:$M$48,$G633,月間集計シート!O$29:O$48)*K$2</f>
        <v>0</v>
      </c>
      <c r="L633" s="88">
        <f>SUMIF(月間集計シート!$M$29:$M$48,$G633,月間集計シート!P$29:P$48)*L$2</f>
        <v>0</v>
      </c>
      <c r="M633" s="88">
        <f>SUMIF(月間集計シート!$M$29:$M$48,$G633,月間集計シート!Q$29:Q$48)*M$2</f>
        <v>0</v>
      </c>
      <c r="N633" s="88">
        <f>SUMIF(月間集計シート!$M$29:$M$48,$G633,月間集計シート!R$29:R$48)*N$2</f>
        <v>0</v>
      </c>
      <c r="O633" s="88">
        <f>SUMIF(月間集計シート!$M$29:$M$48,$G633,月間集計シート!S$29:S$48)*O$2</f>
        <v>0</v>
      </c>
      <c r="P633" s="88">
        <f>SUMIF(月間集計シート!$M$29:$M$48,$G633,月間集計シート!T$29:T$48)*P$2</f>
        <v>0</v>
      </c>
      <c r="Q633" s="88">
        <f>SUMIF(月間集計シート!$M$50:$M$69,$G633,月間集計シート!N$50:N$69)*Q$2</f>
        <v>0</v>
      </c>
      <c r="R633" s="88">
        <f>SUMIF(月間集計シート!$M$50:$M$69,$G633,月間集計シート!O$50:O$69)*R$2</f>
        <v>0</v>
      </c>
      <c r="S633" s="88">
        <f>SUMIF(月間集計シート!$M$50:$M$69,$G633,月間集計シート!P$50:P$69)*S$2</f>
        <v>0</v>
      </c>
      <c r="T633" s="88">
        <f>SUMIF(月間集計シート!$M$50:$M$69,$G633,月間集計シート!Q$50:Q$69)*T$2</f>
        <v>0</v>
      </c>
      <c r="U633" s="88">
        <f>SUMIF(月間集計シート!$M$50:$M$69,$G633,月間集計シート!R$50:R$69)*U$2</f>
        <v>0</v>
      </c>
      <c r="V633" s="88">
        <f>SUMIF(月間集計シート!$M$50:$M$69,$G633,月間集計シート!S$50:S$69)*V$2</f>
        <v>0</v>
      </c>
      <c r="W633" s="88">
        <f>SUMIF(月間集計シート!$M$50:$M$69,$G633,月間集計シート!T$50:T$69)*W$2</f>
        <v>0</v>
      </c>
      <c r="X633" s="88">
        <f>SUMIF(月間集計シート!$M$71:$M$90,$G633,月間集計シート!N$71:N$90)*X$2</f>
        <v>0</v>
      </c>
      <c r="Y633" s="88">
        <f>SUMIF(月間集計シート!$M$71:$M$90,$G633,月間集計シート!O$71:O$90)*Y$2</f>
        <v>0</v>
      </c>
      <c r="Z633" s="88">
        <f>SUMIF(月間集計シート!$M$71:$M$90,$G633,月間集計シート!P$71:P$90)*Z$2</f>
        <v>0</v>
      </c>
      <c r="AA633" s="88">
        <f>SUMIF(月間集計シート!$M$71:$M$90,$G633,月間集計シート!Q$71:Q$90)*AA$2</f>
        <v>0</v>
      </c>
      <c r="AB633" s="88">
        <f>SUMIF(月間集計シート!$M$71:$M$90,$G633,月間集計シート!R$71:R$90)*AB$2</f>
        <v>0</v>
      </c>
      <c r="AC633" s="88">
        <f>SUMIF(月間集計シート!$M$71:$M$90,$G633,月間集計シート!S$71:S$90)*AC$2</f>
        <v>0</v>
      </c>
      <c r="AD633" s="88">
        <f>SUMIF(月間集計シート!$M$71:$M$90,$G633,月間集計シート!T$71:T$90)*AD$2</f>
        <v>0</v>
      </c>
      <c r="AE633" s="88">
        <f>SUMIF(月間集計シート!$M$92:$M$111,$G633,月間集計シート!N$92:N$111)*AE$2</f>
        <v>0</v>
      </c>
      <c r="AF633" s="88">
        <f>SUMIF(月間集計シート!$M$92:$M$111,$G633,月間集計シート!O$92:O$111)*AF$2</f>
        <v>0</v>
      </c>
      <c r="AG633" s="88">
        <f>SUMIF(月間集計シート!$M$92:$M$111,$G633,月間集計シート!P$92:P$111)*AG$2</f>
        <v>0</v>
      </c>
      <c r="AH633" s="88">
        <f>SUMIF(月間集計シート!$M$92:$M$111,$G633,月間集計シート!Q$92:Q$111)*AH$2</f>
        <v>0</v>
      </c>
      <c r="AI633" s="88">
        <f>SUMIF(月間集計シート!$M$92:$M$111,$G633,月間集計シート!R$92:R$111)*AI$2</f>
        <v>0</v>
      </c>
      <c r="AJ633" s="88">
        <f>SUMIF(月間集計シート!$M$92:$M$111,$G633,月間集計シート!S$92:S$111)*AJ$2</f>
        <v>0</v>
      </c>
      <c r="AK633" s="88">
        <f>SUMIF(月間集計シート!$M$92:$M$111,$G633,月間集計シート!T$92:T$111)*AK$2</f>
        <v>0</v>
      </c>
      <c r="AL633" s="88">
        <f>SUMIF(月間集計シート!$M$113:$M$132,$G633,月間集計シート!N$113:N$132)*AL$2</f>
        <v>0</v>
      </c>
      <c r="AM633" s="88">
        <f>SUMIF(月間集計シート!$M$113:$M$132,$G633,月間集計シート!O$113:O$132)*AM$2</f>
        <v>0</v>
      </c>
      <c r="AN633" s="88">
        <f>SUMIF(月間集計シート!$M$113:$M$132,$G633,月間集計シート!P$113:P$132)*AN$2</f>
        <v>0</v>
      </c>
      <c r="AO633" s="88">
        <f>SUMIF(月間集計シート!$M$113:$M$132,$G633,月間集計シート!Q$113:Q$132)*AO$2</f>
        <v>0</v>
      </c>
      <c r="AP633" s="88">
        <f>SUMIF(月間集計シート!$M$113:$M$132,$G633,月間集計シート!R$113:R$132)*AP$2</f>
        <v>0</v>
      </c>
      <c r="AQ633" s="88">
        <f>SUMIF(月間集計シート!$M$113:$M$132,$G633,月間集計シート!S$113:S$132)*AQ$2</f>
        <v>0</v>
      </c>
      <c r="AR633" s="88">
        <f>SUMIF(月間集計シート!$M$113:$M$132,$G633,月間集計シート!T$113:T$132)*AR$2</f>
        <v>0</v>
      </c>
      <c r="AS633" s="88">
        <f>SUMIF(月間集計シート!$M$134:$M$153,$G633,月間集計シート!N$134:N$153)*AS$2</f>
        <v>0</v>
      </c>
      <c r="AT633" s="88">
        <f>SUMIF(月間集計シート!$M$134:$M$153,$G633,月間集計シート!O$134:O$153)*AT$2</f>
        <v>0</v>
      </c>
      <c r="AU633" s="88">
        <f>SUMIF(月間集計シート!$M$134:$M$153,$G633,月間集計シート!P$134:P$153)*AU$2</f>
        <v>0</v>
      </c>
      <c r="AV633" s="88">
        <f>SUMIF(月間集計シート!$M$134:$M$153,$G633,月間集計シート!Q$134:Q$153)*AV$2</f>
        <v>0</v>
      </c>
      <c r="AW633" s="88">
        <f>SUMIF(月間集計シート!$M$134:$M$153,$G633,月間集計シート!R$134:R$153)*AW$2</f>
        <v>0</v>
      </c>
      <c r="AX633" s="88">
        <f>SUMIF(月間集計シート!$M$134:$M$153,$G633,月間集計シート!S$134:S$153)*AX$2</f>
        <v>0</v>
      </c>
      <c r="AY633" s="88">
        <f>SUMIF(月間集計シート!$M$134:$M$153,$G633,月間集計シート!T$134:T$153)*AY$2</f>
        <v>0</v>
      </c>
    </row>
    <row r="634" spans="1:51" ht="14.25" thickBot="1">
      <c r="A634">
        <v>8</v>
      </c>
      <c r="B634" s="120">
        <f t="shared" si="304"/>
        <v>0</v>
      </c>
      <c r="C634" s="120" t="str">
        <f t="shared" si="305"/>
        <v/>
      </c>
      <c r="D634" s="137"/>
      <c r="E634" s="150" t="str">
        <f>工種!A31</f>
        <v>40109</v>
      </c>
      <c r="F634" s="119" t="str">
        <f>工種!B31</f>
        <v>テスト：打合せ</v>
      </c>
      <c r="G634" s="116" t="str">
        <f t="shared" si="306"/>
        <v>040109</v>
      </c>
      <c r="H634" s="88">
        <f t="shared" si="260"/>
        <v>0</v>
      </c>
      <c r="I634" s="132"/>
      <c r="J634" s="88">
        <f>SUMIF(月間集計シート!$M$29:$M$48,$G634,月間集計シート!N$29:N$48)*J$2</f>
        <v>0</v>
      </c>
      <c r="K634" s="88">
        <f>SUMIF(月間集計シート!$M$29:$M$48,$G634,月間集計シート!O$29:O$48)*K$2</f>
        <v>0</v>
      </c>
      <c r="L634" s="88">
        <f>SUMIF(月間集計シート!$M$29:$M$48,$G634,月間集計シート!P$29:P$48)*L$2</f>
        <v>0</v>
      </c>
      <c r="M634" s="88">
        <f>SUMIF(月間集計シート!$M$29:$M$48,$G634,月間集計シート!Q$29:Q$48)*M$2</f>
        <v>0</v>
      </c>
      <c r="N634" s="88">
        <f>SUMIF(月間集計シート!$M$29:$M$48,$G634,月間集計シート!R$29:R$48)*N$2</f>
        <v>0</v>
      </c>
      <c r="O634" s="88">
        <f>SUMIF(月間集計シート!$M$29:$M$48,$G634,月間集計シート!S$29:S$48)*O$2</f>
        <v>0</v>
      </c>
      <c r="P634" s="88">
        <f>SUMIF(月間集計シート!$M$29:$M$48,$G634,月間集計シート!T$29:T$48)*P$2</f>
        <v>0</v>
      </c>
      <c r="Q634" s="88">
        <f>SUMIF(月間集計シート!$M$50:$M$69,$G634,月間集計シート!N$50:N$69)*Q$2</f>
        <v>0</v>
      </c>
      <c r="R634" s="88">
        <f>SUMIF(月間集計シート!$M$50:$M$69,$G634,月間集計シート!O$50:O$69)*R$2</f>
        <v>0</v>
      </c>
      <c r="S634" s="88">
        <f>SUMIF(月間集計シート!$M$50:$M$69,$G634,月間集計シート!P$50:P$69)*S$2</f>
        <v>0</v>
      </c>
      <c r="T634" s="88">
        <f>SUMIF(月間集計シート!$M$50:$M$69,$G634,月間集計シート!Q$50:Q$69)*T$2</f>
        <v>0</v>
      </c>
      <c r="U634" s="88">
        <f>SUMIF(月間集計シート!$M$50:$M$69,$G634,月間集計シート!R$50:R$69)*U$2</f>
        <v>0</v>
      </c>
      <c r="V634" s="88">
        <f>SUMIF(月間集計シート!$M$50:$M$69,$G634,月間集計シート!S$50:S$69)*V$2</f>
        <v>0</v>
      </c>
      <c r="W634" s="88">
        <f>SUMIF(月間集計シート!$M$50:$M$69,$G634,月間集計シート!T$50:T$69)*W$2</f>
        <v>0</v>
      </c>
      <c r="X634" s="88">
        <f>SUMIF(月間集計シート!$M$71:$M$90,$G634,月間集計シート!N$71:N$90)*X$2</f>
        <v>0</v>
      </c>
      <c r="Y634" s="88">
        <f>SUMIF(月間集計シート!$M$71:$M$90,$G634,月間集計シート!O$71:O$90)*Y$2</f>
        <v>0</v>
      </c>
      <c r="Z634" s="88">
        <f>SUMIF(月間集計シート!$M$71:$M$90,$G634,月間集計シート!P$71:P$90)*Z$2</f>
        <v>0</v>
      </c>
      <c r="AA634" s="88">
        <f>SUMIF(月間集計シート!$M$71:$M$90,$G634,月間集計シート!Q$71:Q$90)*AA$2</f>
        <v>0</v>
      </c>
      <c r="AB634" s="88">
        <f>SUMIF(月間集計シート!$M$71:$M$90,$G634,月間集計シート!R$71:R$90)*AB$2</f>
        <v>0</v>
      </c>
      <c r="AC634" s="88">
        <f>SUMIF(月間集計シート!$M$71:$M$90,$G634,月間集計シート!S$71:S$90)*AC$2</f>
        <v>0</v>
      </c>
      <c r="AD634" s="88">
        <f>SUMIF(月間集計シート!$M$71:$M$90,$G634,月間集計シート!T$71:T$90)*AD$2</f>
        <v>0</v>
      </c>
      <c r="AE634" s="88">
        <f>SUMIF(月間集計シート!$M$92:$M$111,$G634,月間集計シート!N$92:N$111)*AE$2</f>
        <v>0</v>
      </c>
      <c r="AF634" s="88">
        <f>SUMIF(月間集計シート!$M$92:$M$111,$G634,月間集計シート!O$92:O$111)*AF$2</f>
        <v>0</v>
      </c>
      <c r="AG634" s="88">
        <f>SUMIF(月間集計シート!$M$92:$M$111,$G634,月間集計シート!P$92:P$111)*AG$2</f>
        <v>0</v>
      </c>
      <c r="AH634" s="88">
        <f>SUMIF(月間集計シート!$M$92:$M$111,$G634,月間集計シート!Q$92:Q$111)*AH$2</f>
        <v>0</v>
      </c>
      <c r="AI634" s="88">
        <f>SUMIF(月間集計シート!$M$92:$M$111,$G634,月間集計シート!R$92:R$111)*AI$2</f>
        <v>0</v>
      </c>
      <c r="AJ634" s="88">
        <f>SUMIF(月間集計シート!$M$92:$M$111,$G634,月間集計シート!S$92:S$111)*AJ$2</f>
        <v>0</v>
      </c>
      <c r="AK634" s="88">
        <f>SUMIF(月間集計シート!$M$92:$M$111,$G634,月間集計シート!T$92:T$111)*AK$2</f>
        <v>0</v>
      </c>
      <c r="AL634" s="88">
        <f>SUMIF(月間集計シート!$M$113:$M$132,$G634,月間集計シート!N$113:N$132)*AL$2</f>
        <v>0</v>
      </c>
      <c r="AM634" s="88">
        <f>SUMIF(月間集計シート!$M$113:$M$132,$G634,月間集計シート!O$113:O$132)*AM$2</f>
        <v>0</v>
      </c>
      <c r="AN634" s="88">
        <f>SUMIF(月間集計シート!$M$113:$M$132,$G634,月間集計シート!P$113:P$132)*AN$2</f>
        <v>0</v>
      </c>
      <c r="AO634" s="88">
        <f>SUMIF(月間集計シート!$M$113:$M$132,$G634,月間集計シート!Q$113:Q$132)*AO$2</f>
        <v>0</v>
      </c>
      <c r="AP634" s="88">
        <f>SUMIF(月間集計シート!$M$113:$M$132,$G634,月間集計シート!R$113:R$132)*AP$2</f>
        <v>0</v>
      </c>
      <c r="AQ634" s="88">
        <f>SUMIF(月間集計シート!$M$113:$M$132,$G634,月間集計シート!S$113:S$132)*AQ$2</f>
        <v>0</v>
      </c>
      <c r="AR634" s="88">
        <f>SUMIF(月間集計シート!$M$113:$M$132,$G634,月間集計シート!T$113:T$132)*AR$2</f>
        <v>0</v>
      </c>
      <c r="AS634" s="88">
        <f>SUMIF(月間集計シート!$M$134:$M$153,$G634,月間集計シート!N$134:N$153)*AS$2</f>
        <v>0</v>
      </c>
      <c r="AT634" s="88">
        <f>SUMIF(月間集計シート!$M$134:$M$153,$G634,月間集計シート!O$134:O$153)*AT$2</f>
        <v>0</v>
      </c>
      <c r="AU634" s="88">
        <f>SUMIF(月間集計シート!$M$134:$M$153,$G634,月間集計シート!P$134:P$153)*AU$2</f>
        <v>0</v>
      </c>
      <c r="AV634" s="88">
        <f>SUMIF(月間集計シート!$M$134:$M$153,$G634,月間集計シート!Q$134:Q$153)*AV$2</f>
        <v>0</v>
      </c>
      <c r="AW634" s="88">
        <f>SUMIF(月間集計シート!$M$134:$M$153,$G634,月間集計シート!R$134:R$153)*AW$2</f>
        <v>0</v>
      </c>
      <c r="AX634" s="88">
        <f>SUMIF(月間集計シート!$M$134:$M$153,$G634,月間集計シート!S$134:S$153)*AX$2</f>
        <v>0</v>
      </c>
      <c r="AY634" s="88">
        <f>SUMIF(月間集計シート!$M$134:$M$153,$G634,月間集計シート!T$134:T$153)*AY$2</f>
        <v>0</v>
      </c>
    </row>
    <row r="635" spans="1:51" ht="14.25" thickBot="1">
      <c r="A635">
        <v>8</v>
      </c>
      <c r="B635" s="120">
        <f t="shared" si="304"/>
        <v>0</v>
      </c>
      <c r="C635" s="120" t="str">
        <f t="shared" si="305"/>
        <v/>
      </c>
      <c r="D635" s="137"/>
      <c r="E635" s="150" t="str">
        <f>工種!A32</f>
        <v>40110</v>
      </c>
      <c r="F635" s="119" t="str">
        <f>工種!B32</f>
        <v>テスト：レビュー</v>
      </c>
      <c r="G635" s="116" t="str">
        <f t="shared" si="306"/>
        <v>040110</v>
      </c>
      <c r="H635" s="88">
        <f t="shared" si="260"/>
        <v>0</v>
      </c>
      <c r="I635" s="132"/>
      <c r="J635" s="88">
        <f>SUMIF(月間集計シート!$M$29:$M$48,$G635,月間集計シート!N$29:N$48)*J$2</f>
        <v>0</v>
      </c>
      <c r="K635" s="88">
        <f>SUMIF(月間集計シート!$M$29:$M$48,$G635,月間集計シート!O$29:O$48)*K$2</f>
        <v>0</v>
      </c>
      <c r="L635" s="88">
        <f>SUMIF(月間集計シート!$M$29:$M$48,$G635,月間集計シート!P$29:P$48)*L$2</f>
        <v>0</v>
      </c>
      <c r="M635" s="88">
        <f>SUMIF(月間集計シート!$M$29:$M$48,$G635,月間集計シート!Q$29:Q$48)*M$2</f>
        <v>0</v>
      </c>
      <c r="N635" s="88">
        <f>SUMIF(月間集計シート!$M$29:$M$48,$G635,月間集計シート!R$29:R$48)*N$2</f>
        <v>0</v>
      </c>
      <c r="O635" s="88">
        <f>SUMIF(月間集計シート!$M$29:$M$48,$G635,月間集計シート!S$29:S$48)*O$2</f>
        <v>0</v>
      </c>
      <c r="P635" s="88">
        <f>SUMIF(月間集計シート!$M$29:$M$48,$G635,月間集計シート!T$29:T$48)*P$2</f>
        <v>0</v>
      </c>
      <c r="Q635" s="88">
        <f>SUMIF(月間集計シート!$M$50:$M$69,$G635,月間集計シート!N$50:N$69)*Q$2</f>
        <v>0</v>
      </c>
      <c r="R635" s="88">
        <f>SUMIF(月間集計シート!$M$50:$M$69,$G635,月間集計シート!O$50:O$69)*R$2</f>
        <v>0</v>
      </c>
      <c r="S635" s="88">
        <f>SUMIF(月間集計シート!$M$50:$M$69,$G635,月間集計シート!P$50:P$69)*S$2</f>
        <v>0</v>
      </c>
      <c r="T635" s="88">
        <f>SUMIF(月間集計シート!$M$50:$M$69,$G635,月間集計シート!Q$50:Q$69)*T$2</f>
        <v>0</v>
      </c>
      <c r="U635" s="88">
        <f>SUMIF(月間集計シート!$M$50:$M$69,$G635,月間集計シート!R$50:R$69)*U$2</f>
        <v>0</v>
      </c>
      <c r="V635" s="88">
        <f>SUMIF(月間集計シート!$M$50:$M$69,$G635,月間集計シート!S$50:S$69)*V$2</f>
        <v>0</v>
      </c>
      <c r="W635" s="88">
        <f>SUMIF(月間集計シート!$M$50:$M$69,$G635,月間集計シート!T$50:T$69)*W$2</f>
        <v>0</v>
      </c>
      <c r="X635" s="88">
        <f>SUMIF(月間集計シート!$M$71:$M$90,$G635,月間集計シート!N$71:N$90)*X$2</f>
        <v>0</v>
      </c>
      <c r="Y635" s="88">
        <f>SUMIF(月間集計シート!$M$71:$M$90,$G635,月間集計シート!O$71:O$90)*Y$2</f>
        <v>0</v>
      </c>
      <c r="Z635" s="88">
        <f>SUMIF(月間集計シート!$M$71:$M$90,$G635,月間集計シート!P$71:P$90)*Z$2</f>
        <v>0</v>
      </c>
      <c r="AA635" s="88">
        <f>SUMIF(月間集計シート!$M$71:$M$90,$G635,月間集計シート!Q$71:Q$90)*AA$2</f>
        <v>0</v>
      </c>
      <c r="AB635" s="88">
        <f>SUMIF(月間集計シート!$M$71:$M$90,$G635,月間集計シート!R$71:R$90)*AB$2</f>
        <v>0</v>
      </c>
      <c r="AC635" s="88">
        <f>SUMIF(月間集計シート!$M$71:$M$90,$G635,月間集計シート!S$71:S$90)*AC$2</f>
        <v>0</v>
      </c>
      <c r="AD635" s="88">
        <f>SUMIF(月間集計シート!$M$71:$M$90,$G635,月間集計シート!T$71:T$90)*AD$2</f>
        <v>0</v>
      </c>
      <c r="AE635" s="88">
        <f>SUMIF(月間集計シート!$M$92:$M$111,$G635,月間集計シート!N$92:N$111)*AE$2</f>
        <v>0</v>
      </c>
      <c r="AF635" s="88">
        <f>SUMIF(月間集計シート!$M$92:$M$111,$G635,月間集計シート!O$92:O$111)*AF$2</f>
        <v>0</v>
      </c>
      <c r="AG635" s="88">
        <f>SUMIF(月間集計シート!$M$92:$M$111,$G635,月間集計シート!P$92:P$111)*AG$2</f>
        <v>0</v>
      </c>
      <c r="AH635" s="88">
        <f>SUMIF(月間集計シート!$M$92:$M$111,$G635,月間集計シート!Q$92:Q$111)*AH$2</f>
        <v>0</v>
      </c>
      <c r="AI635" s="88">
        <f>SUMIF(月間集計シート!$M$92:$M$111,$G635,月間集計シート!R$92:R$111)*AI$2</f>
        <v>0</v>
      </c>
      <c r="AJ635" s="88">
        <f>SUMIF(月間集計シート!$M$92:$M$111,$G635,月間集計シート!S$92:S$111)*AJ$2</f>
        <v>0</v>
      </c>
      <c r="AK635" s="88">
        <f>SUMIF(月間集計シート!$M$92:$M$111,$G635,月間集計シート!T$92:T$111)*AK$2</f>
        <v>0</v>
      </c>
      <c r="AL635" s="88">
        <f>SUMIF(月間集計シート!$M$113:$M$132,$G635,月間集計シート!N$113:N$132)*AL$2</f>
        <v>0</v>
      </c>
      <c r="AM635" s="88">
        <f>SUMIF(月間集計シート!$M$113:$M$132,$G635,月間集計シート!O$113:O$132)*AM$2</f>
        <v>0</v>
      </c>
      <c r="AN635" s="88">
        <f>SUMIF(月間集計シート!$M$113:$M$132,$G635,月間集計シート!P$113:P$132)*AN$2</f>
        <v>0</v>
      </c>
      <c r="AO635" s="88">
        <f>SUMIF(月間集計シート!$M$113:$M$132,$G635,月間集計シート!Q$113:Q$132)*AO$2</f>
        <v>0</v>
      </c>
      <c r="AP635" s="88">
        <f>SUMIF(月間集計シート!$M$113:$M$132,$G635,月間集計シート!R$113:R$132)*AP$2</f>
        <v>0</v>
      </c>
      <c r="AQ635" s="88">
        <f>SUMIF(月間集計シート!$M$113:$M$132,$G635,月間集計シート!S$113:S$132)*AQ$2</f>
        <v>0</v>
      </c>
      <c r="AR635" s="88">
        <f>SUMIF(月間集計シート!$M$113:$M$132,$G635,月間集計シート!T$113:T$132)*AR$2</f>
        <v>0</v>
      </c>
      <c r="AS635" s="88">
        <f>SUMIF(月間集計シート!$M$134:$M$153,$G635,月間集計シート!N$134:N$153)*AS$2</f>
        <v>0</v>
      </c>
      <c r="AT635" s="88">
        <f>SUMIF(月間集計シート!$M$134:$M$153,$G635,月間集計シート!O$134:O$153)*AT$2</f>
        <v>0</v>
      </c>
      <c r="AU635" s="88">
        <f>SUMIF(月間集計シート!$M$134:$M$153,$G635,月間集計シート!P$134:P$153)*AU$2</f>
        <v>0</v>
      </c>
      <c r="AV635" s="88">
        <f>SUMIF(月間集計シート!$M$134:$M$153,$G635,月間集計シート!Q$134:Q$153)*AV$2</f>
        <v>0</v>
      </c>
      <c r="AW635" s="88">
        <f>SUMIF(月間集計シート!$M$134:$M$153,$G635,月間集計シート!R$134:R$153)*AW$2</f>
        <v>0</v>
      </c>
      <c r="AX635" s="88">
        <f>SUMIF(月間集計シート!$M$134:$M$153,$G635,月間集計シート!S$134:S$153)*AX$2</f>
        <v>0</v>
      </c>
      <c r="AY635" s="88">
        <f>SUMIF(月間集計シート!$M$134:$M$153,$G635,月間集計シート!T$134:T$153)*AY$2</f>
        <v>0</v>
      </c>
    </row>
    <row r="636" spans="1:51" ht="14.25" thickBot="1">
      <c r="A636">
        <v>8</v>
      </c>
      <c r="B636" s="120">
        <f t="shared" si="304"/>
        <v>0</v>
      </c>
      <c r="C636" s="120" t="str">
        <f t="shared" si="305"/>
        <v/>
      </c>
      <c r="D636" s="137"/>
      <c r="E636" s="150" t="str">
        <f>工種!A33</f>
        <v>40111</v>
      </c>
      <c r="F636" s="119" t="str">
        <f>工種!B33</f>
        <v>テスト：PG修正（手戻り分）</v>
      </c>
      <c r="G636" s="116" t="str">
        <f t="shared" si="306"/>
        <v>040111</v>
      </c>
      <c r="H636" s="88">
        <f t="shared" si="260"/>
        <v>0</v>
      </c>
      <c r="I636" s="132"/>
      <c r="J636" s="88">
        <f>SUMIF(月間集計シート!$M$29:$M$48,$G636,月間集計シート!N$29:N$48)*J$2</f>
        <v>0</v>
      </c>
      <c r="K636" s="88">
        <f>SUMIF(月間集計シート!$M$29:$M$48,$G636,月間集計シート!O$29:O$48)*K$2</f>
        <v>0</v>
      </c>
      <c r="L636" s="88">
        <f>SUMIF(月間集計シート!$M$29:$M$48,$G636,月間集計シート!P$29:P$48)*L$2</f>
        <v>0</v>
      </c>
      <c r="M636" s="88">
        <f>SUMIF(月間集計シート!$M$29:$M$48,$G636,月間集計シート!Q$29:Q$48)*M$2</f>
        <v>0</v>
      </c>
      <c r="N636" s="88">
        <f>SUMIF(月間集計シート!$M$29:$M$48,$G636,月間集計シート!R$29:R$48)*N$2</f>
        <v>0</v>
      </c>
      <c r="O636" s="88">
        <f>SUMIF(月間集計シート!$M$29:$M$48,$G636,月間集計シート!S$29:S$48)*O$2</f>
        <v>0</v>
      </c>
      <c r="P636" s="88">
        <f>SUMIF(月間集計シート!$M$29:$M$48,$G636,月間集計シート!T$29:T$48)*P$2</f>
        <v>0</v>
      </c>
      <c r="Q636" s="88">
        <f>SUMIF(月間集計シート!$M$50:$M$69,$G636,月間集計シート!N$50:N$69)*Q$2</f>
        <v>0</v>
      </c>
      <c r="R636" s="88">
        <f>SUMIF(月間集計シート!$M$50:$M$69,$G636,月間集計シート!O$50:O$69)*R$2</f>
        <v>0</v>
      </c>
      <c r="S636" s="88">
        <f>SUMIF(月間集計シート!$M$50:$M$69,$G636,月間集計シート!P$50:P$69)*S$2</f>
        <v>0</v>
      </c>
      <c r="T636" s="88">
        <f>SUMIF(月間集計シート!$M$50:$M$69,$G636,月間集計シート!Q$50:Q$69)*T$2</f>
        <v>0</v>
      </c>
      <c r="U636" s="88">
        <f>SUMIF(月間集計シート!$M$50:$M$69,$G636,月間集計シート!R$50:R$69)*U$2</f>
        <v>0</v>
      </c>
      <c r="V636" s="88">
        <f>SUMIF(月間集計シート!$M$50:$M$69,$G636,月間集計シート!S$50:S$69)*V$2</f>
        <v>0</v>
      </c>
      <c r="W636" s="88">
        <f>SUMIF(月間集計シート!$M$50:$M$69,$G636,月間集計シート!T$50:T$69)*W$2</f>
        <v>0</v>
      </c>
      <c r="X636" s="88">
        <f>SUMIF(月間集計シート!$M$71:$M$90,$G636,月間集計シート!N$71:N$90)*X$2</f>
        <v>0</v>
      </c>
      <c r="Y636" s="88">
        <f>SUMIF(月間集計シート!$M$71:$M$90,$G636,月間集計シート!O$71:O$90)*Y$2</f>
        <v>0</v>
      </c>
      <c r="Z636" s="88">
        <f>SUMIF(月間集計シート!$M$71:$M$90,$G636,月間集計シート!P$71:P$90)*Z$2</f>
        <v>0</v>
      </c>
      <c r="AA636" s="88">
        <f>SUMIF(月間集計シート!$M$71:$M$90,$G636,月間集計シート!Q$71:Q$90)*AA$2</f>
        <v>0</v>
      </c>
      <c r="AB636" s="88">
        <f>SUMIF(月間集計シート!$M$71:$M$90,$G636,月間集計シート!R$71:R$90)*AB$2</f>
        <v>0</v>
      </c>
      <c r="AC636" s="88">
        <f>SUMIF(月間集計シート!$M$71:$M$90,$G636,月間集計シート!S$71:S$90)*AC$2</f>
        <v>0</v>
      </c>
      <c r="AD636" s="88">
        <f>SUMIF(月間集計シート!$M$71:$M$90,$G636,月間集計シート!T$71:T$90)*AD$2</f>
        <v>0</v>
      </c>
      <c r="AE636" s="88">
        <f>SUMIF(月間集計シート!$M$92:$M$111,$G636,月間集計シート!N$92:N$111)*AE$2</f>
        <v>0</v>
      </c>
      <c r="AF636" s="88">
        <f>SUMIF(月間集計シート!$M$92:$M$111,$G636,月間集計シート!O$92:O$111)*AF$2</f>
        <v>0</v>
      </c>
      <c r="AG636" s="88">
        <f>SUMIF(月間集計シート!$M$92:$M$111,$G636,月間集計シート!P$92:P$111)*AG$2</f>
        <v>0</v>
      </c>
      <c r="AH636" s="88">
        <f>SUMIF(月間集計シート!$M$92:$M$111,$G636,月間集計シート!Q$92:Q$111)*AH$2</f>
        <v>0</v>
      </c>
      <c r="AI636" s="88">
        <f>SUMIF(月間集計シート!$M$92:$M$111,$G636,月間集計シート!R$92:R$111)*AI$2</f>
        <v>0</v>
      </c>
      <c r="AJ636" s="88">
        <f>SUMIF(月間集計シート!$M$92:$M$111,$G636,月間集計シート!S$92:S$111)*AJ$2</f>
        <v>0</v>
      </c>
      <c r="AK636" s="88">
        <f>SUMIF(月間集計シート!$M$92:$M$111,$G636,月間集計シート!T$92:T$111)*AK$2</f>
        <v>0</v>
      </c>
      <c r="AL636" s="88">
        <f>SUMIF(月間集計シート!$M$113:$M$132,$G636,月間集計シート!N$113:N$132)*AL$2</f>
        <v>0</v>
      </c>
      <c r="AM636" s="88">
        <f>SUMIF(月間集計シート!$M$113:$M$132,$G636,月間集計シート!O$113:O$132)*AM$2</f>
        <v>0</v>
      </c>
      <c r="AN636" s="88">
        <f>SUMIF(月間集計シート!$M$113:$M$132,$G636,月間集計シート!P$113:P$132)*AN$2</f>
        <v>0</v>
      </c>
      <c r="AO636" s="88">
        <f>SUMIF(月間集計シート!$M$113:$M$132,$G636,月間集計シート!Q$113:Q$132)*AO$2</f>
        <v>0</v>
      </c>
      <c r="AP636" s="88">
        <f>SUMIF(月間集計シート!$M$113:$M$132,$G636,月間集計シート!R$113:R$132)*AP$2</f>
        <v>0</v>
      </c>
      <c r="AQ636" s="88">
        <f>SUMIF(月間集計シート!$M$113:$M$132,$G636,月間集計シート!S$113:S$132)*AQ$2</f>
        <v>0</v>
      </c>
      <c r="AR636" s="88">
        <f>SUMIF(月間集計シート!$M$113:$M$132,$G636,月間集計シート!T$113:T$132)*AR$2</f>
        <v>0</v>
      </c>
      <c r="AS636" s="88">
        <f>SUMIF(月間集計シート!$M$134:$M$153,$G636,月間集計シート!N$134:N$153)*AS$2</f>
        <v>0</v>
      </c>
      <c r="AT636" s="88">
        <f>SUMIF(月間集計シート!$M$134:$M$153,$G636,月間集計シート!O$134:O$153)*AT$2</f>
        <v>0</v>
      </c>
      <c r="AU636" s="88">
        <f>SUMIF(月間集計シート!$M$134:$M$153,$G636,月間集計シート!P$134:P$153)*AU$2</f>
        <v>0</v>
      </c>
      <c r="AV636" s="88">
        <f>SUMIF(月間集計シート!$M$134:$M$153,$G636,月間集計シート!Q$134:Q$153)*AV$2</f>
        <v>0</v>
      </c>
      <c r="AW636" s="88">
        <f>SUMIF(月間集計シート!$M$134:$M$153,$G636,月間集計シート!R$134:R$153)*AW$2</f>
        <v>0</v>
      </c>
      <c r="AX636" s="88">
        <f>SUMIF(月間集計シート!$M$134:$M$153,$G636,月間集計シート!S$134:S$153)*AX$2</f>
        <v>0</v>
      </c>
      <c r="AY636" s="88">
        <f>SUMIF(月間集計シート!$M$134:$M$153,$G636,月間集計シート!T$134:T$153)*AY$2</f>
        <v>0</v>
      </c>
    </row>
    <row r="637" spans="1:51" ht="14.25" thickBot="1">
      <c r="A637">
        <v>8</v>
      </c>
      <c r="B637" s="120">
        <f t="shared" si="304"/>
        <v>0</v>
      </c>
      <c r="C637" s="120" t="str">
        <f t="shared" si="305"/>
        <v/>
      </c>
      <c r="D637" s="137"/>
      <c r="E637" s="150" t="str">
        <f>工種!A34</f>
        <v>40112</v>
      </c>
      <c r="F637" s="119" t="str">
        <f>工種!B34</f>
        <v>テスト：再テスト（手戻り分）</v>
      </c>
      <c r="G637" s="116" t="str">
        <f t="shared" si="306"/>
        <v>040112</v>
      </c>
      <c r="H637" s="88">
        <f t="shared" si="260"/>
        <v>0</v>
      </c>
      <c r="I637" s="132"/>
      <c r="J637" s="88">
        <f>SUMIF(月間集計シート!$M$29:$M$48,$G637,月間集計シート!N$29:N$48)*J$2</f>
        <v>0</v>
      </c>
      <c r="K637" s="88">
        <f>SUMIF(月間集計シート!$M$29:$M$48,$G637,月間集計シート!O$29:O$48)*K$2</f>
        <v>0</v>
      </c>
      <c r="L637" s="88">
        <f>SUMIF(月間集計シート!$M$29:$M$48,$G637,月間集計シート!P$29:P$48)*L$2</f>
        <v>0</v>
      </c>
      <c r="M637" s="88">
        <f>SUMIF(月間集計シート!$M$29:$M$48,$G637,月間集計シート!Q$29:Q$48)*M$2</f>
        <v>0</v>
      </c>
      <c r="N637" s="88">
        <f>SUMIF(月間集計シート!$M$29:$M$48,$G637,月間集計シート!R$29:R$48)*N$2</f>
        <v>0</v>
      </c>
      <c r="O637" s="88">
        <f>SUMIF(月間集計シート!$M$29:$M$48,$G637,月間集計シート!S$29:S$48)*O$2</f>
        <v>0</v>
      </c>
      <c r="P637" s="88">
        <f>SUMIF(月間集計シート!$M$29:$M$48,$G637,月間集計シート!T$29:T$48)*P$2</f>
        <v>0</v>
      </c>
      <c r="Q637" s="88">
        <f>SUMIF(月間集計シート!$M$50:$M$69,$G637,月間集計シート!N$50:N$69)*Q$2</f>
        <v>0</v>
      </c>
      <c r="R637" s="88">
        <f>SUMIF(月間集計シート!$M$50:$M$69,$G637,月間集計シート!O$50:O$69)*R$2</f>
        <v>0</v>
      </c>
      <c r="S637" s="88">
        <f>SUMIF(月間集計シート!$M$50:$M$69,$G637,月間集計シート!P$50:P$69)*S$2</f>
        <v>0</v>
      </c>
      <c r="T637" s="88">
        <f>SUMIF(月間集計シート!$M$50:$M$69,$G637,月間集計シート!Q$50:Q$69)*T$2</f>
        <v>0</v>
      </c>
      <c r="U637" s="88">
        <f>SUMIF(月間集計シート!$M$50:$M$69,$G637,月間集計シート!R$50:R$69)*U$2</f>
        <v>0</v>
      </c>
      <c r="V637" s="88">
        <f>SUMIF(月間集計シート!$M$50:$M$69,$G637,月間集計シート!S$50:S$69)*V$2</f>
        <v>0</v>
      </c>
      <c r="W637" s="88">
        <f>SUMIF(月間集計シート!$M$50:$M$69,$G637,月間集計シート!T$50:T$69)*W$2</f>
        <v>0</v>
      </c>
      <c r="X637" s="88">
        <f>SUMIF(月間集計シート!$M$71:$M$90,$G637,月間集計シート!N$71:N$90)*X$2</f>
        <v>0</v>
      </c>
      <c r="Y637" s="88">
        <f>SUMIF(月間集計シート!$M$71:$M$90,$G637,月間集計シート!O$71:O$90)*Y$2</f>
        <v>0</v>
      </c>
      <c r="Z637" s="88">
        <f>SUMIF(月間集計シート!$M$71:$M$90,$G637,月間集計シート!P$71:P$90)*Z$2</f>
        <v>0</v>
      </c>
      <c r="AA637" s="88">
        <f>SUMIF(月間集計シート!$M$71:$M$90,$G637,月間集計シート!Q$71:Q$90)*AA$2</f>
        <v>0</v>
      </c>
      <c r="AB637" s="88">
        <f>SUMIF(月間集計シート!$M$71:$M$90,$G637,月間集計シート!R$71:R$90)*AB$2</f>
        <v>0</v>
      </c>
      <c r="AC637" s="88">
        <f>SUMIF(月間集計シート!$M$71:$M$90,$G637,月間集計シート!S$71:S$90)*AC$2</f>
        <v>0</v>
      </c>
      <c r="AD637" s="88">
        <f>SUMIF(月間集計シート!$M$71:$M$90,$G637,月間集計シート!T$71:T$90)*AD$2</f>
        <v>0</v>
      </c>
      <c r="AE637" s="88">
        <f>SUMIF(月間集計シート!$M$92:$M$111,$G637,月間集計シート!N$92:N$111)*AE$2</f>
        <v>0</v>
      </c>
      <c r="AF637" s="88">
        <f>SUMIF(月間集計シート!$M$92:$M$111,$G637,月間集計シート!O$92:O$111)*AF$2</f>
        <v>0</v>
      </c>
      <c r="AG637" s="88">
        <f>SUMIF(月間集計シート!$M$92:$M$111,$G637,月間集計シート!P$92:P$111)*AG$2</f>
        <v>0</v>
      </c>
      <c r="AH637" s="88">
        <f>SUMIF(月間集計シート!$M$92:$M$111,$G637,月間集計シート!Q$92:Q$111)*AH$2</f>
        <v>0</v>
      </c>
      <c r="AI637" s="88">
        <f>SUMIF(月間集計シート!$M$92:$M$111,$G637,月間集計シート!R$92:R$111)*AI$2</f>
        <v>0</v>
      </c>
      <c r="AJ637" s="88">
        <f>SUMIF(月間集計シート!$M$92:$M$111,$G637,月間集計シート!S$92:S$111)*AJ$2</f>
        <v>0</v>
      </c>
      <c r="AK637" s="88">
        <f>SUMIF(月間集計シート!$M$92:$M$111,$G637,月間集計シート!T$92:T$111)*AK$2</f>
        <v>0</v>
      </c>
      <c r="AL637" s="88">
        <f>SUMIF(月間集計シート!$M$113:$M$132,$G637,月間集計シート!N$113:N$132)*AL$2</f>
        <v>0</v>
      </c>
      <c r="AM637" s="88">
        <f>SUMIF(月間集計シート!$M$113:$M$132,$G637,月間集計シート!O$113:O$132)*AM$2</f>
        <v>0</v>
      </c>
      <c r="AN637" s="88">
        <f>SUMIF(月間集計シート!$M$113:$M$132,$G637,月間集計シート!P$113:P$132)*AN$2</f>
        <v>0</v>
      </c>
      <c r="AO637" s="88">
        <f>SUMIF(月間集計シート!$M$113:$M$132,$G637,月間集計シート!Q$113:Q$132)*AO$2</f>
        <v>0</v>
      </c>
      <c r="AP637" s="88">
        <f>SUMIF(月間集計シート!$M$113:$M$132,$G637,月間集計シート!R$113:R$132)*AP$2</f>
        <v>0</v>
      </c>
      <c r="AQ637" s="88">
        <f>SUMIF(月間集計シート!$M$113:$M$132,$G637,月間集計シート!S$113:S$132)*AQ$2</f>
        <v>0</v>
      </c>
      <c r="AR637" s="88">
        <f>SUMIF(月間集計シート!$M$113:$M$132,$G637,月間集計シート!T$113:T$132)*AR$2</f>
        <v>0</v>
      </c>
      <c r="AS637" s="88">
        <f>SUMIF(月間集計シート!$M$134:$M$153,$G637,月間集計シート!N$134:N$153)*AS$2</f>
        <v>0</v>
      </c>
      <c r="AT637" s="88">
        <f>SUMIF(月間集計シート!$M$134:$M$153,$G637,月間集計シート!O$134:O$153)*AT$2</f>
        <v>0</v>
      </c>
      <c r="AU637" s="88">
        <f>SUMIF(月間集計シート!$M$134:$M$153,$G637,月間集計シート!P$134:P$153)*AU$2</f>
        <v>0</v>
      </c>
      <c r="AV637" s="88">
        <f>SUMIF(月間集計シート!$M$134:$M$153,$G637,月間集計シート!Q$134:Q$153)*AV$2</f>
        <v>0</v>
      </c>
      <c r="AW637" s="88">
        <f>SUMIF(月間集計シート!$M$134:$M$153,$G637,月間集計シート!R$134:R$153)*AW$2</f>
        <v>0</v>
      </c>
      <c r="AX637" s="88">
        <f>SUMIF(月間集計シート!$M$134:$M$153,$G637,月間集計シート!S$134:S$153)*AX$2</f>
        <v>0</v>
      </c>
      <c r="AY637" s="88">
        <f>SUMIF(月間集計シート!$M$134:$M$153,$G637,月間集計シート!T$134:T$153)*AY$2</f>
        <v>0</v>
      </c>
    </row>
    <row r="638" spans="1:51" ht="14.25" thickBot="1">
      <c r="A638">
        <v>8</v>
      </c>
      <c r="B638" s="120">
        <f t="shared" si="304"/>
        <v>0</v>
      </c>
      <c r="C638" s="120" t="str">
        <f t="shared" si="305"/>
        <v/>
      </c>
      <c r="D638" s="137"/>
      <c r="E638" s="150" t="str">
        <f>工種!A35</f>
        <v>40113</v>
      </c>
      <c r="F638" s="119" t="str">
        <f>工種!B35</f>
        <v>テスト：QA対応</v>
      </c>
      <c r="G638" s="116" t="str">
        <f t="shared" si="306"/>
        <v>040113</v>
      </c>
      <c r="H638" s="88">
        <f t="shared" si="260"/>
        <v>0</v>
      </c>
      <c r="I638" s="132"/>
      <c r="J638" s="88">
        <f>SUMIF(月間集計シート!$M$29:$M$48,$G638,月間集計シート!N$29:N$48)*J$2</f>
        <v>0</v>
      </c>
      <c r="K638" s="88">
        <f>SUMIF(月間集計シート!$M$29:$M$48,$G638,月間集計シート!O$29:O$48)*K$2</f>
        <v>0</v>
      </c>
      <c r="L638" s="88">
        <f>SUMIF(月間集計シート!$M$29:$M$48,$G638,月間集計シート!P$29:P$48)*L$2</f>
        <v>0</v>
      </c>
      <c r="M638" s="88">
        <f>SUMIF(月間集計シート!$M$29:$M$48,$G638,月間集計シート!Q$29:Q$48)*M$2</f>
        <v>0</v>
      </c>
      <c r="N638" s="88">
        <f>SUMIF(月間集計シート!$M$29:$M$48,$G638,月間集計シート!R$29:R$48)*N$2</f>
        <v>0</v>
      </c>
      <c r="O638" s="88">
        <f>SUMIF(月間集計シート!$M$29:$M$48,$G638,月間集計シート!S$29:S$48)*O$2</f>
        <v>0</v>
      </c>
      <c r="P638" s="88">
        <f>SUMIF(月間集計シート!$M$29:$M$48,$G638,月間集計シート!T$29:T$48)*P$2</f>
        <v>0</v>
      </c>
      <c r="Q638" s="88">
        <f>SUMIF(月間集計シート!$M$50:$M$69,$G638,月間集計シート!N$50:N$69)*Q$2</f>
        <v>0</v>
      </c>
      <c r="R638" s="88">
        <f>SUMIF(月間集計シート!$M$50:$M$69,$G638,月間集計シート!O$50:O$69)*R$2</f>
        <v>0</v>
      </c>
      <c r="S638" s="88">
        <f>SUMIF(月間集計シート!$M$50:$M$69,$G638,月間集計シート!P$50:P$69)*S$2</f>
        <v>0</v>
      </c>
      <c r="T638" s="88">
        <f>SUMIF(月間集計シート!$M$50:$M$69,$G638,月間集計シート!Q$50:Q$69)*T$2</f>
        <v>0</v>
      </c>
      <c r="U638" s="88">
        <f>SUMIF(月間集計シート!$M$50:$M$69,$G638,月間集計シート!R$50:R$69)*U$2</f>
        <v>0</v>
      </c>
      <c r="V638" s="88">
        <f>SUMIF(月間集計シート!$M$50:$M$69,$G638,月間集計シート!S$50:S$69)*V$2</f>
        <v>0</v>
      </c>
      <c r="W638" s="88">
        <f>SUMIF(月間集計シート!$M$50:$M$69,$G638,月間集計シート!T$50:T$69)*W$2</f>
        <v>0</v>
      </c>
      <c r="X638" s="88">
        <f>SUMIF(月間集計シート!$M$71:$M$90,$G638,月間集計シート!N$71:N$90)*X$2</f>
        <v>0</v>
      </c>
      <c r="Y638" s="88">
        <f>SUMIF(月間集計シート!$M$71:$M$90,$G638,月間集計シート!O$71:O$90)*Y$2</f>
        <v>0</v>
      </c>
      <c r="Z638" s="88">
        <f>SUMIF(月間集計シート!$M$71:$M$90,$G638,月間集計シート!P$71:P$90)*Z$2</f>
        <v>0</v>
      </c>
      <c r="AA638" s="88">
        <f>SUMIF(月間集計シート!$M$71:$M$90,$G638,月間集計シート!Q$71:Q$90)*AA$2</f>
        <v>0</v>
      </c>
      <c r="AB638" s="88">
        <f>SUMIF(月間集計シート!$M$71:$M$90,$G638,月間集計シート!R$71:R$90)*AB$2</f>
        <v>0</v>
      </c>
      <c r="AC638" s="88">
        <f>SUMIF(月間集計シート!$M$71:$M$90,$G638,月間集計シート!S$71:S$90)*AC$2</f>
        <v>0</v>
      </c>
      <c r="AD638" s="88">
        <f>SUMIF(月間集計シート!$M$71:$M$90,$G638,月間集計シート!T$71:T$90)*AD$2</f>
        <v>0</v>
      </c>
      <c r="AE638" s="88">
        <f>SUMIF(月間集計シート!$M$92:$M$111,$G638,月間集計シート!N$92:N$111)*AE$2</f>
        <v>0</v>
      </c>
      <c r="AF638" s="88">
        <f>SUMIF(月間集計シート!$M$92:$M$111,$G638,月間集計シート!O$92:O$111)*AF$2</f>
        <v>0</v>
      </c>
      <c r="AG638" s="88">
        <f>SUMIF(月間集計シート!$M$92:$M$111,$G638,月間集計シート!P$92:P$111)*AG$2</f>
        <v>0</v>
      </c>
      <c r="AH638" s="88">
        <f>SUMIF(月間集計シート!$M$92:$M$111,$G638,月間集計シート!Q$92:Q$111)*AH$2</f>
        <v>0</v>
      </c>
      <c r="AI638" s="88">
        <f>SUMIF(月間集計シート!$M$92:$M$111,$G638,月間集計シート!R$92:R$111)*AI$2</f>
        <v>0</v>
      </c>
      <c r="AJ638" s="88">
        <f>SUMIF(月間集計シート!$M$92:$M$111,$G638,月間集計シート!S$92:S$111)*AJ$2</f>
        <v>0</v>
      </c>
      <c r="AK638" s="88">
        <f>SUMIF(月間集計シート!$M$92:$M$111,$G638,月間集計シート!T$92:T$111)*AK$2</f>
        <v>0</v>
      </c>
      <c r="AL638" s="88">
        <f>SUMIF(月間集計シート!$M$113:$M$132,$G638,月間集計シート!N$113:N$132)*AL$2</f>
        <v>0</v>
      </c>
      <c r="AM638" s="88">
        <f>SUMIF(月間集計シート!$M$113:$M$132,$G638,月間集計シート!O$113:O$132)*AM$2</f>
        <v>0</v>
      </c>
      <c r="AN638" s="88">
        <f>SUMIF(月間集計シート!$M$113:$M$132,$G638,月間集計シート!P$113:P$132)*AN$2</f>
        <v>0</v>
      </c>
      <c r="AO638" s="88">
        <f>SUMIF(月間集計シート!$M$113:$M$132,$G638,月間集計シート!Q$113:Q$132)*AO$2</f>
        <v>0</v>
      </c>
      <c r="AP638" s="88">
        <f>SUMIF(月間集計シート!$M$113:$M$132,$G638,月間集計シート!R$113:R$132)*AP$2</f>
        <v>0</v>
      </c>
      <c r="AQ638" s="88">
        <f>SUMIF(月間集計シート!$M$113:$M$132,$G638,月間集計シート!S$113:S$132)*AQ$2</f>
        <v>0</v>
      </c>
      <c r="AR638" s="88">
        <f>SUMIF(月間集計シート!$M$113:$M$132,$G638,月間集計シート!T$113:T$132)*AR$2</f>
        <v>0</v>
      </c>
      <c r="AS638" s="88">
        <f>SUMIF(月間集計シート!$M$134:$M$153,$G638,月間集計シート!N$134:N$153)*AS$2</f>
        <v>0</v>
      </c>
      <c r="AT638" s="88">
        <f>SUMIF(月間集計シート!$M$134:$M$153,$G638,月間集計シート!O$134:O$153)*AT$2</f>
        <v>0</v>
      </c>
      <c r="AU638" s="88">
        <f>SUMIF(月間集計シート!$M$134:$M$153,$G638,月間集計シート!P$134:P$153)*AU$2</f>
        <v>0</v>
      </c>
      <c r="AV638" s="88">
        <f>SUMIF(月間集計シート!$M$134:$M$153,$G638,月間集計シート!Q$134:Q$153)*AV$2</f>
        <v>0</v>
      </c>
      <c r="AW638" s="88">
        <f>SUMIF(月間集計シート!$M$134:$M$153,$G638,月間集計シート!R$134:R$153)*AW$2</f>
        <v>0</v>
      </c>
      <c r="AX638" s="88">
        <f>SUMIF(月間集計シート!$M$134:$M$153,$G638,月間集計シート!S$134:S$153)*AX$2</f>
        <v>0</v>
      </c>
      <c r="AY638" s="88">
        <f>SUMIF(月間集計シート!$M$134:$M$153,$G638,月間集計シート!T$134:T$153)*AY$2</f>
        <v>0</v>
      </c>
    </row>
    <row r="639" spans="1:51" ht="14.25" thickBot="1">
      <c r="A639">
        <v>8</v>
      </c>
      <c r="B639" s="120">
        <f t="shared" si="304"/>
        <v>0</v>
      </c>
      <c r="C639" s="120" t="str">
        <f t="shared" si="305"/>
        <v/>
      </c>
      <c r="D639" s="137"/>
      <c r="E639" s="150" t="str">
        <f>工種!A36</f>
        <v>40189</v>
      </c>
      <c r="F639" s="119" t="str">
        <f>工種!B36</f>
        <v>テスト：内部不具合分析</v>
      </c>
      <c r="G639" s="116" t="str">
        <f t="shared" si="306"/>
        <v>040189</v>
      </c>
      <c r="H639" s="88">
        <f t="shared" si="260"/>
        <v>0</v>
      </c>
      <c r="I639" s="132"/>
      <c r="J639" s="88">
        <f>SUMIF(月間集計シート!$M$29:$M$48,$G639,月間集計シート!N$29:N$48)*J$2</f>
        <v>0</v>
      </c>
      <c r="K639" s="88">
        <f>SUMIF(月間集計シート!$M$29:$M$48,$G639,月間集計シート!O$29:O$48)*K$2</f>
        <v>0</v>
      </c>
      <c r="L639" s="88">
        <f>SUMIF(月間集計シート!$M$29:$M$48,$G639,月間集計シート!P$29:P$48)*L$2</f>
        <v>0</v>
      </c>
      <c r="M639" s="88">
        <f>SUMIF(月間集計シート!$M$29:$M$48,$G639,月間集計シート!Q$29:Q$48)*M$2</f>
        <v>0</v>
      </c>
      <c r="N639" s="88">
        <f>SUMIF(月間集計シート!$M$29:$M$48,$G639,月間集計シート!R$29:R$48)*N$2</f>
        <v>0</v>
      </c>
      <c r="O639" s="88">
        <f>SUMIF(月間集計シート!$M$29:$M$48,$G639,月間集計シート!S$29:S$48)*O$2</f>
        <v>0</v>
      </c>
      <c r="P639" s="88">
        <f>SUMIF(月間集計シート!$M$29:$M$48,$G639,月間集計シート!T$29:T$48)*P$2</f>
        <v>0</v>
      </c>
      <c r="Q639" s="88">
        <f>SUMIF(月間集計シート!$M$50:$M$69,$G639,月間集計シート!N$50:N$69)*Q$2</f>
        <v>0</v>
      </c>
      <c r="R639" s="88">
        <f>SUMIF(月間集計シート!$M$50:$M$69,$G639,月間集計シート!O$50:O$69)*R$2</f>
        <v>0</v>
      </c>
      <c r="S639" s="88">
        <f>SUMIF(月間集計シート!$M$50:$M$69,$G639,月間集計シート!P$50:P$69)*S$2</f>
        <v>0</v>
      </c>
      <c r="T639" s="88">
        <f>SUMIF(月間集計シート!$M$50:$M$69,$G639,月間集計シート!Q$50:Q$69)*T$2</f>
        <v>0</v>
      </c>
      <c r="U639" s="88">
        <f>SUMIF(月間集計シート!$M$50:$M$69,$G639,月間集計シート!R$50:R$69)*U$2</f>
        <v>0</v>
      </c>
      <c r="V639" s="88">
        <f>SUMIF(月間集計シート!$M$50:$M$69,$G639,月間集計シート!S$50:S$69)*V$2</f>
        <v>0</v>
      </c>
      <c r="W639" s="88">
        <f>SUMIF(月間集計シート!$M$50:$M$69,$G639,月間集計シート!T$50:T$69)*W$2</f>
        <v>0</v>
      </c>
      <c r="X639" s="88">
        <f>SUMIF(月間集計シート!$M$71:$M$90,$G639,月間集計シート!N$71:N$90)*X$2</f>
        <v>0</v>
      </c>
      <c r="Y639" s="88">
        <f>SUMIF(月間集計シート!$M$71:$M$90,$G639,月間集計シート!O$71:O$90)*Y$2</f>
        <v>0</v>
      </c>
      <c r="Z639" s="88">
        <f>SUMIF(月間集計シート!$M$71:$M$90,$G639,月間集計シート!P$71:P$90)*Z$2</f>
        <v>0</v>
      </c>
      <c r="AA639" s="88">
        <f>SUMIF(月間集計シート!$M$71:$M$90,$G639,月間集計シート!Q$71:Q$90)*AA$2</f>
        <v>0</v>
      </c>
      <c r="AB639" s="88">
        <f>SUMIF(月間集計シート!$M$71:$M$90,$G639,月間集計シート!R$71:R$90)*AB$2</f>
        <v>0</v>
      </c>
      <c r="AC639" s="88">
        <f>SUMIF(月間集計シート!$M$71:$M$90,$G639,月間集計シート!S$71:S$90)*AC$2</f>
        <v>0</v>
      </c>
      <c r="AD639" s="88">
        <f>SUMIF(月間集計シート!$M$71:$M$90,$G639,月間集計シート!T$71:T$90)*AD$2</f>
        <v>0</v>
      </c>
      <c r="AE639" s="88">
        <f>SUMIF(月間集計シート!$M$92:$M$111,$G639,月間集計シート!N$92:N$111)*AE$2</f>
        <v>0</v>
      </c>
      <c r="AF639" s="88">
        <f>SUMIF(月間集計シート!$M$92:$M$111,$G639,月間集計シート!O$92:O$111)*AF$2</f>
        <v>0</v>
      </c>
      <c r="AG639" s="88">
        <f>SUMIF(月間集計シート!$M$92:$M$111,$G639,月間集計シート!P$92:P$111)*AG$2</f>
        <v>0</v>
      </c>
      <c r="AH639" s="88">
        <f>SUMIF(月間集計シート!$M$92:$M$111,$G639,月間集計シート!Q$92:Q$111)*AH$2</f>
        <v>0</v>
      </c>
      <c r="AI639" s="88">
        <f>SUMIF(月間集計シート!$M$92:$M$111,$G639,月間集計シート!R$92:R$111)*AI$2</f>
        <v>0</v>
      </c>
      <c r="AJ639" s="88">
        <f>SUMIF(月間集計シート!$M$92:$M$111,$G639,月間集計シート!S$92:S$111)*AJ$2</f>
        <v>0</v>
      </c>
      <c r="AK639" s="88">
        <f>SUMIF(月間集計シート!$M$92:$M$111,$G639,月間集計シート!T$92:T$111)*AK$2</f>
        <v>0</v>
      </c>
      <c r="AL639" s="88">
        <f>SUMIF(月間集計シート!$M$113:$M$132,$G639,月間集計シート!N$113:N$132)*AL$2</f>
        <v>0</v>
      </c>
      <c r="AM639" s="88">
        <f>SUMIF(月間集計シート!$M$113:$M$132,$G639,月間集計シート!O$113:O$132)*AM$2</f>
        <v>0</v>
      </c>
      <c r="AN639" s="88">
        <f>SUMIF(月間集計シート!$M$113:$M$132,$G639,月間集計シート!P$113:P$132)*AN$2</f>
        <v>0</v>
      </c>
      <c r="AO639" s="88">
        <f>SUMIF(月間集計シート!$M$113:$M$132,$G639,月間集計シート!Q$113:Q$132)*AO$2</f>
        <v>0</v>
      </c>
      <c r="AP639" s="88">
        <f>SUMIF(月間集計シート!$M$113:$M$132,$G639,月間集計シート!R$113:R$132)*AP$2</f>
        <v>0</v>
      </c>
      <c r="AQ639" s="88">
        <f>SUMIF(月間集計シート!$M$113:$M$132,$G639,月間集計シート!S$113:S$132)*AQ$2</f>
        <v>0</v>
      </c>
      <c r="AR639" s="88">
        <f>SUMIF(月間集計シート!$M$113:$M$132,$G639,月間集計シート!T$113:T$132)*AR$2</f>
        <v>0</v>
      </c>
      <c r="AS639" s="88">
        <f>SUMIF(月間集計シート!$M$134:$M$153,$G639,月間集計シート!N$134:N$153)*AS$2</f>
        <v>0</v>
      </c>
      <c r="AT639" s="88">
        <f>SUMIF(月間集計シート!$M$134:$M$153,$G639,月間集計シート!O$134:O$153)*AT$2</f>
        <v>0</v>
      </c>
      <c r="AU639" s="88">
        <f>SUMIF(月間集計シート!$M$134:$M$153,$G639,月間集計シート!P$134:P$153)*AU$2</f>
        <v>0</v>
      </c>
      <c r="AV639" s="88">
        <f>SUMIF(月間集計シート!$M$134:$M$153,$G639,月間集計シート!Q$134:Q$153)*AV$2</f>
        <v>0</v>
      </c>
      <c r="AW639" s="88">
        <f>SUMIF(月間集計シート!$M$134:$M$153,$G639,月間集計シート!R$134:R$153)*AW$2</f>
        <v>0</v>
      </c>
      <c r="AX639" s="88">
        <f>SUMIF(月間集計シート!$M$134:$M$153,$G639,月間集計シート!S$134:S$153)*AX$2</f>
        <v>0</v>
      </c>
      <c r="AY639" s="88">
        <f>SUMIF(月間集計シート!$M$134:$M$153,$G639,月間集計シート!T$134:T$153)*AY$2</f>
        <v>0</v>
      </c>
    </row>
    <row r="640" spans="1:51" ht="14.25" thickBot="1">
      <c r="A640">
        <v>8</v>
      </c>
      <c r="B640" s="120">
        <f t="shared" si="304"/>
        <v>0</v>
      </c>
      <c r="C640" s="120" t="str">
        <f t="shared" si="305"/>
        <v/>
      </c>
      <c r="D640" s="137"/>
      <c r="E640" s="150" t="str">
        <f>工種!A37</f>
        <v>40199</v>
      </c>
      <c r="F640" s="119" t="str">
        <f>工種!B37</f>
        <v>テスト：その他</v>
      </c>
      <c r="G640" s="116" t="str">
        <f t="shared" si="306"/>
        <v>040199</v>
      </c>
      <c r="H640" s="88">
        <f t="shared" si="260"/>
        <v>0</v>
      </c>
      <c r="I640" s="132"/>
      <c r="J640" s="88">
        <f>SUMIF(月間集計シート!$M$29:$M$48,$G640,月間集計シート!N$29:N$48)*J$2</f>
        <v>0</v>
      </c>
      <c r="K640" s="88">
        <f>SUMIF(月間集計シート!$M$29:$M$48,$G640,月間集計シート!O$29:O$48)*K$2</f>
        <v>0</v>
      </c>
      <c r="L640" s="88">
        <f>SUMIF(月間集計シート!$M$29:$M$48,$G640,月間集計シート!P$29:P$48)*L$2</f>
        <v>0</v>
      </c>
      <c r="M640" s="88">
        <f>SUMIF(月間集計シート!$M$29:$M$48,$G640,月間集計シート!Q$29:Q$48)*M$2</f>
        <v>0</v>
      </c>
      <c r="N640" s="88">
        <f>SUMIF(月間集計シート!$M$29:$M$48,$G640,月間集計シート!R$29:R$48)*N$2</f>
        <v>0</v>
      </c>
      <c r="O640" s="88">
        <f>SUMIF(月間集計シート!$M$29:$M$48,$G640,月間集計シート!S$29:S$48)*O$2</f>
        <v>0</v>
      </c>
      <c r="P640" s="88">
        <f>SUMIF(月間集計シート!$M$29:$M$48,$G640,月間集計シート!T$29:T$48)*P$2</f>
        <v>0</v>
      </c>
      <c r="Q640" s="88">
        <f>SUMIF(月間集計シート!$M$50:$M$69,$G640,月間集計シート!N$50:N$69)*Q$2</f>
        <v>0</v>
      </c>
      <c r="R640" s="88">
        <f>SUMIF(月間集計シート!$M$50:$M$69,$G640,月間集計シート!O$50:O$69)*R$2</f>
        <v>0</v>
      </c>
      <c r="S640" s="88">
        <f>SUMIF(月間集計シート!$M$50:$M$69,$G640,月間集計シート!P$50:P$69)*S$2</f>
        <v>0</v>
      </c>
      <c r="T640" s="88">
        <f>SUMIF(月間集計シート!$M$50:$M$69,$G640,月間集計シート!Q$50:Q$69)*T$2</f>
        <v>0</v>
      </c>
      <c r="U640" s="88">
        <f>SUMIF(月間集計シート!$M$50:$M$69,$G640,月間集計シート!R$50:R$69)*U$2</f>
        <v>0</v>
      </c>
      <c r="V640" s="88">
        <f>SUMIF(月間集計シート!$M$50:$M$69,$G640,月間集計シート!S$50:S$69)*V$2</f>
        <v>0</v>
      </c>
      <c r="W640" s="88">
        <f>SUMIF(月間集計シート!$M$50:$M$69,$G640,月間集計シート!T$50:T$69)*W$2</f>
        <v>0</v>
      </c>
      <c r="X640" s="88">
        <f>SUMIF(月間集計シート!$M$71:$M$90,$G640,月間集計シート!N$71:N$90)*X$2</f>
        <v>0</v>
      </c>
      <c r="Y640" s="88">
        <f>SUMIF(月間集計シート!$M$71:$M$90,$G640,月間集計シート!O$71:O$90)*Y$2</f>
        <v>0</v>
      </c>
      <c r="Z640" s="88">
        <f>SUMIF(月間集計シート!$M$71:$M$90,$G640,月間集計シート!P$71:P$90)*Z$2</f>
        <v>0</v>
      </c>
      <c r="AA640" s="88">
        <f>SUMIF(月間集計シート!$M$71:$M$90,$G640,月間集計シート!Q$71:Q$90)*AA$2</f>
        <v>0</v>
      </c>
      <c r="AB640" s="88">
        <f>SUMIF(月間集計シート!$M$71:$M$90,$G640,月間集計シート!R$71:R$90)*AB$2</f>
        <v>0</v>
      </c>
      <c r="AC640" s="88">
        <f>SUMIF(月間集計シート!$M$71:$M$90,$G640,月間集計シート!S$71:S$90)*AC$2</f>
        <v>0</v>
      </c>
      <c r="AD640" s="88">
        <f>SUMIF(月間集計シート!$M$71:$M$90,$G640,月間集計シート!T$71:T$90)*AD$2</f>
        <v>0</v>
      </c>
      <c r="AE640" s="88">
        <f>SUMIF(月間集計シート!$M$92:$M$111,$G640,月間集計シート!N$92:N$111)*AE$2</f>
        <v>0</v>
      </c>
      <c r="AF640" s="88">
        <f>SUMIF(月間集計シート!$M$92:$M$111,$G640,月間集計シート!O$92:O$111)*AF$2</f>
        <v>0</v>
      </c>
      <c r="AG640" s="88">
        <f>SUMIF(月間集計シート!$M$92:$M$111,$G640,月間集計シート!P$92:P$111)*AG$2</f>
        <v>0</v>
      </c>
      <c r="AH640" s="88">
        <f>SUMIF(月間集計シート!$M$92:$M$111,$G640,月間集計シート!Q$92:Q$111)*AH$2</f>
        <v>0</v>
      </c>
      <c r="AI640" s="88">
        <f>SUMIF(月間集計シート!$M$92:$M$111,$G640,月間集計シート!R$92:R$111)*AI$2</f>
        <v>0</v>
      </c>
      <c r="AJ640" s="88">
        <f>SUMIF(月間集計シート!$M$92:$M$111,$G640,月間集計シート!S$92:S$111)*AJ$2</f>
        <v>0</v>
      </c>
      <c r="AK640" s="88">
        <f>SUMIF(月間集計シート!$M$92:$M$111,$G640,月間集計シート!T$92:T$111)*AK$2</f>
        <v>0</v>
      </c>
      <c r="AL640" s="88">
        <f>SUMIF(月間集計シート!$M$113:$M$132,$G640,月間集計シート!N$113:N$132)*AL$2</f>
        <v>0</v>
      </c>
      <c r="AM640" s="88">
        <f>SUMIF(月間集計シート!$M$113:$M$132,$G640,月間集計シート!O$113:O$132)*AM$2</f>
        <v>0</v>
      </c>
      <c r="AN640" s="88">
        <f>SUMIF(月間集計シート!$M$113:$M$132,$G640,月間集計シート!P$113:P$132)*AN$2</f>
        <v>0</v>
      </c>
      <c r="AO640" s="88">
        <f>SUMIF(月間集計シート!$M$113:$M$132,$G640,月間集計シート!Q$113:Q$132)*AO$2</f>
        <v>0</v>
      </c>
      <c r="AP640" s="88">
        <f>SUMIF(月間集計シート!$M$113:$M$132,$G640,月間集計シート!R$113:R$132)*AP$2</f>
        <v>0</v>
      </c>
      <c r="AQ640" s="88">
        <f>SUMIF(月間集計シート!$M$113:$M$132,$G640,月間集計シート!S$113:S$132)*AQ$2</f>
        <v>0</v>
      </c>
      <c r="AR640" s="88">
        <f>SUMIF(月間集計シート!$M$113:$M$132,$G640,月間集計シート!T$113:T$132)*AR$2</f>
        <v>0</v>
      </c>
      <c r="AS640" s="88">
        <f>SUMIF(月間集計シート!$M$134:$M$153,$G640,月間集計シート!N$134:N$153)*AS$2</f>
        <v>0</v>
      </c>
      <c r="AT640" s="88">
        <f>SUMIF(月間集計シート!$M$134:$M$153,$G640,月間集計シート!O$134:O$153)*AT$2</f>
        <v>0</v>
      </c>
      <c r="AU640" s="88">
        <f>SUMIF(月間集計シート!$M$134:$M$153,$G640,月間集計シート!P$134:P$153)*AU$2</f>
        <v>0</v>
      </c>
      <c r="AV640" s="88">
        <f>SUMIF(月間集計シート!$M$134:$M$153,$G640,月間集計シート!Q$134:Q$153)*AV$2</f>
        <v>0</v>
      </c>
      <c r="AW640" s="88">
        <f>SUMIF(月間集計シート!$M$134:$M$153,$G640,月間集計シート!R$134:R$153)*AW$2</f>
        <v>0</v>
      </c>
      <c r="AX640" s="88">
        <f>SUMIF(月間集計シート!$M$134:$M$153,$G640,月間集計シート!S$134:S$153)*AX$2</f>
        <v>0</v>
      </c>
      <c r="AY640" s="88">
        <f>SUMIF(月間集計シート!$M$134:$M$153,$G640,月間集計シート!T$134:T$153)*AY$2</f>
        <v>0</v>
      </c>
    </row>
    <row r="641" spans="1:51" ht="14.25" thickBot="1">
      <c r="A641">
        <v>8</v>
      </c>
      <c r="B641" s="120">
        <f t="shared" si="304"/>
        <v>0</v>
      </c>
      <c r="C641" s="120" t="str">
        <f t="shared" si="305"/>
        <v/>
      </c>
      <c r="D641" s="137"/>
      <c r="E641" s="150" t="str">
        <f>工種!A38</f>
        <v>50101</v>
      </c>
      <c r="F641" s="119" t="str">
        <f>工種!B38</f>
        <v>ﾏﾆｭｱﾙ作成：原稿作成</v>
      </c>
      <c r="G641" s="116" t="str">
        <f t="shared" si="306"/>
        <v>050101</v>
      </c>
      <c r="H641" s="88">
        <f t="shared" si="260"/>
        <v>0</v>
      </c>
      <c r="I641" s="132"/>
      <c r="J641" s="88">
        <f>SUMIF(月間集計シート!$M$29:$M$48,$G641,月間集計シート!N$29:N$48)*J$2</f>
        <v>0</v>
      </c>
      <c r="K641" s="88">
        <f>SUMIF(月間集計シート!$M$29:$M$48,$G641,月間集計シート!O$29:O$48)*K$2</f>
        <v>0</v>
      </c>
      <c r="L641" s="88">
        <f>SUMIF(月間集計シート!$M$29:$M$48,$G641,月間集計シート!P$29:P$48)*L$2</f>
        <v>0</v>
      </c>
      <c r="M641" s="88">
        <f>SUMIF(月間集計シート!$M$29:$M$48,$G641,月間集計シート!Q$29:Q$48)*M$2</f>
        <v>0</v>
      </c>
      <c r="N641" s="88">
        <f>SUMIF(月間集計シート!$M$29:$M$48,$G641,月間集計シート!R$29:R$48)*N$2</f>
        <v>0</v>
      </c>
      <c r="O641" s="88">
        <f>SUMIF(月間集計シート!$M$29:$M$48,$G641,月間集計シート!S$29:S$48)*O$2</f>
        <v>0</v>
      </c>
      <c r="P641" s="88">
        <f>SUMIF(月間集計シート!$M$29:$M$48,$G641,月間集計シート!T$29:T$48)*P$2</f>
        <v>0</v>
      </c>
      <c r="Q641" s="88">
        <f>SUMIF(月間集計シート!$M$50:$M$69,$G641,月間集計シート!N$50:N$69)*Q$2</f>
        <v>0</v>
      </c>
      <c r="R641" s="88">
        <f>SUMIF(月間集計シート!$M$50:$M$69,$G641,月間集計シート!O$50:O$69)*R$2</f>
        <v>0</v>
      </c>
      <c r="S641" s="88">
        <f>SUMIF(月間集計シート!$M$50:$M$69,$G641,月間集計シート!P$50:P$69)*S$2</f>
        <v>0</v>
      </c>
      <c r="T641" s="88">
        <f>SUMIF(月間集計シート!$M$50:$M$69,$G641,月間集計シート!Q$50:Q$69)*T$2</f>
        <v>0</v>
      </c>
      <c r="U641" s="88">
        <f>SUMIF(月間集計シート!$M$50:$M$69,$G641,月間集計シート!R$50:R$69)*U$2</f>
        <v>0</v>
      </c>
      <c r="V641" s="88">
        <f>SUMIF(月間集計シート!$M$50:$M$69,$G641,月間集計シート!S$50:S$69)*V$2</f>
        <v>0</v>
      </c>
      <c r="W641" s="88">
        <f>SUMIF(月間集計シート!$M$50:$M$69,$G641,月間集計シート!T$50:T$69)*W$2</f>
        <v>0</v>
      </c>
      <c r="X641" s="88">
        <f>SUMIF(月間集計シート!$M$71:$M$90,$G641,月間集計シート!N$71:N$90)*X$2</f>
        <v>0</v>
      </c>
      <c r="Y641" s="88">
        <f>SUMIF(月間集計シート!$M$71:$M$90,$G641,月間集計シート!O$71:O$90)*Y$2</f>
        <v>0</v>
      </c>
      <c r="Z641" s="88">
        <f>SUMIF(月間集計シート!$M$71:$M$90,$G641,月間集計シート!P$71:P$90)*Z$2</f>
        <v>0</v>
      </c>
      <c r="AA641" s="88">
        <f>SUMIF(月間集計シート!$M$71:$M$90,$G641,月間集計シート!Q$71:Q$90)*AA$2</f>
        <v>0</v>
      </c>
      <c r="AB641" s="88">
        <f>SUMIF(月間集計シート!$M$71:$M$90,$G641,月間集計シート!R$71:R$90)*AB$2</f>
        <v>0</v>
      </c>
      <c r="AC641" s="88">
        <f>SUMIF(月間集計シート!$M$71:$M$90,$G641,月間集計シート!S$71:S$90)*AC$2</f>
        <v>0</v>
      </c>
      <c r="AD641" s="88">
        <f>SUMIF(月間集計シート!$M$71:$M$90,$G641,月間集計シート!T$71:T$90)*AD$2</f>
        <v>0</v>
      </c>
      <c r="AE641" s="88">
        <f>SUMIF(月間集計シート!$M$92:$M$111,$G641,月間集計シート!N$92:N$111)*AE$2</f>
        <v>0</v>
      </c>
      <c r="AF641" s="88">
        <f>SUMIF(月間集計シート!$M$92:$M$111,$G641,月間集計シート!O$92:O$111)*AF$2</f>
        <v>0</v>
      </c>
      <c r="AG641" s="88">
        <f>SUMIF(月間集計シート!$M$92:$M$111,$G641,月間集計シート!P$92:P$111)*AG$2</f>
        <v>0</v>
      </c>
      <c r="AH641" s="88">
        <f>SUMIF(月間集計シート!$M$92:$M$111,$G641,月間集計シート!Q$92:Q$111)*AH$2</f>
        <v>0</v>
      </c>
      <c r="AI641" s="88">
        <f>SUMIF(月間集計シート!$M$92:$M$111,$G641,月間集計シート!R$92:R$111)*AI$2</f>
        <v>0</v>
      </c>
      <c r="AJ641" s="88">
        <f>SUMIF(月間集計シート!$M$92:$M$111,$G641,月間集計シート!S$92:S$111)*AJ$2</f>
        <v>0</v>
      </c>
      <c r="AK641" s="88">
        <f>SUMIF(月間集計シート!$M$92:$M$111,$G641,月間集計シート!T$92:T$111)*AK$2</f>
        <v>0</v>
      </c>
      <c r="AL641" s="88">
        <f>SUMIF(月間集計シート!$M$113:$M$132,$G641,月間集計シート!N$113:N$132)*AL$2</f>
        <v>0</v>
      </c>
      <c r="AM641" s="88">
        <f>SUMIF(月間集計シート!$M$113:$M$132,$G641,月間集計シート!O$113:O$132)*AM$2</f>
        <v>0</v>
      </c>
      <c r="AN641" s="88">
        <f>SUMIF(月間集計シート!$M$113:$M$132,$G641,月間集計シート!P$113:P$132)*AN$2</f>
        <v>0</v>
      </c>
      <c r="AO641" s="88">
        <f>SUMIF(月間集計シート!$M$113:$M$132,$G641,月間集計シート!Q$113:Q$132)*AO$2</f>
        <v>0</v>
      </c>
      <c r="AP641" s="88">
        <f>SUMIF(月間集計シート!$M$113:$M$132,$G641,月間集計シート!R$113:R$132)*AP$2</f>
        <v>0</v>
      </c>
      <c r="AQ641" s="88">
        <f>SUMIF(月間集計シート!$M$113:$M$132,$G641,月間集計シート!S$113:S$132)*AQ$2</f>
        <v>0</v>
      </c>
      <c r="AR641" s="88">
        <f>SUMIF(月間集計シート!$M$113:$M$132,$G641,月間集計シート!T$113:T$132)*AR$2</f>
        <v>0</v>
      </c>
      <c r="AS641" s="88">
        <f>SUMIF(月間集計シート!$M$134:$M$153,$G641,月間集計シート!N$134:N$153)*AS$2</f>
        <v>0</v>
      </c>
      <c r="AT641" s="88">
        <f>SUMIF(月間集計シート!$M$134:$M$153,$G641,月間集計シート!O$134:O$153)*AT$2</f>
        <v>0</v>
      </c>
      <c r="AU641" s="88">
        <f>SUMIF(月間集計シート!$M$134:$M$153,$G641,月間集計シート!P$134:P$153)*AU$2</f>
        <v>0</v>
      </c>
      <c r="AV641" s="88">
        <f>SUMIF(月間集計シート!$M$134:$M$153,$G641,月間集計シート!Q$134:Q$153)*AV$2</f>
        <v>0</v>
      </c>
      <c r="AW641" s="88">
        <f>SUMIF(月間集計シート!$M$134:$M$153,$G641,月間集計シート!R$134:R$153)*AW$2</f>
        <v>0</v>
      </c>
      <c r="AX641" s="88">
        <f>SUMIF(月間集計シート!$M$134:$M$153,$G641,月間集計シート!S$134:S$153)*AX$2</f>
        <v>0</v>
      </c>
      <c r="AY641" s="88">
        <f>SUMIF(月間集計シート!$M$134:$M$153,$G641,月間集計シート!T$134:T$153)*AY$2</f>
        <v>0</v>
      </c>
    </row>
    <row r="642" spans="1:51" ht="14.25" thickBot="1">
      <c r="A642">
        <v>8</v>
      </c>
      <c r="B642" s="120">
        <f t="shared" si="304"/>
        <v>0</v>
      </c>
      <c r="C642" s="120" t="str">
        <f t="shared" si="305"/>
        <v/>
      </c>
      <c r="D642" s="137"/>
      <c r="E642" s="150" t="str">
        <f>工種!A39</f>
        <v>50105</v>
      </c>
      <c r="F642" s="119" t="str">
        <f>工種!B39</f>
        <v>ﾏﾆｭｱﾙ作成：打合せ</v>
      </c>
      <c r="G642" s="116" t="str">
        <f t="shared" si="306"/>
        <v>050105</v>
      </c>
      <c r="H642" s="88">
        <f t="shared" si="260"/>
        <v>0</v>
      </c>
      <c r="I642" s="132"/>
      <c r="J642" s="88">
        <f>SUMIF(月間集計シート!$M$29:$M$48,$G642,月間集計シート!N$29:N$48)*J$2</f>
        <v>0</v>
      </c>
      <c r="K642" s="88">
        <f>SUMIF(月間集計シート!$M$29:$M$48,$G642,月間集計シート!O$29:O$48)*K$2</f>
        <v>0</v>
      </c>
      <c r="L642" s="88">
        <f>SUMIF(月間集計シート!$M$29:$M$48,$G642,月間集計シート!P$29:P$48)*L$2</f>
        <v>0</v>
      </c>
      <c r="M642" s="88">
        <f>SUMIF(月間集計シート!$M$29:$M$48,$G642,月間集計シート!Q$29:Q$48)*M$2</f>
        <v>0</v>
      </c>
      <c r="N642" s="88">
        <f>SUMIF(月間集計シート!$M$29:$M$48,$G642,月間集計シート!R$29:R$48)*N$2</f>
        <v>0</v>
      </c>
      <c r="O642" s="88">
        <f>SUMIF(月間集計シート!$M$29:$M$48,$G642,月間集計シート!S$29:S$48)*O$2</f>
        <v>0</v>
      </c>
      <c r="P642" s="88">
        <f>SUMIF(月間集計シート!$M$29:$M$48,$G642,月間集計シート!T$29:T$48)*P$2</f>
        <v>0</v>
      </c>
      <c r="Q642" s="88">
        <f>SUMIF(月間集計シート!$M$50:$M$69,$G642,月間集計シート!N$50:N$69)*Q$2</f>
        <v>0</v>
      </c>
      <c r="R642" s="88">
        <f>SUMIF(月間集計シート!$M$50:$M$69,$G642,月間集計シート!O$50:O$69)*R$2</f>
        <v>0</v>
      </c>
      <c r="S642" s="88">
        <f>SUMIF(月間集計シート!$M$50:$M$69,$G642,月間集計シート!P$50:P$69)*S$2</f>
        <v>0</v>
      </c>
      <c r="T642" s="88">
        <f>SUMIF(月間集計シート!$M$50:$M$69,$G642,月間集計シート!Q$50:Q$69)*T$2</f>
        <v>0</v>
      </c>
      <c r="U642" s="88">
        <f>SUMIF(月間集計シート!$M$50:$M$69,$G642,月間集計シート!R$50:R$69)*U$2</f>
        <v>0</v>
      </c>
      <c r="V642" s="88">
        <f>SUMIF(月間集計シート!$M$50:$M$69,$G642,月間集計シート!S$50:S$69)*V$2</f>
        <v>0</v>
      </c>
      <c r="W642" s="88">
        <f>SUMIF(月間集計シート!$M$50:$M$69,$G642,月間集計シート!T$50:T$69)*W$2</f>
        <v>0</v>
      </c>
      <c r="X642" s="88">
        <f>SUMIF(月間集計シート!$M$71:$M$90,$G642,月間集計シート!N$71:N$90)*X$2</f>
        <v>0</v>
      </c>
      <c r="Y642" s="88">
        <f>SUMIF(月間集計シート!$M$71:$M$90,$G642,月間集計シート!O$71:O$90)*Y$2</f>
        <v>0</v>
      </c>
      <c r="Z642" s="88">
        <f>SUMIF(月間集計シート!$M$71:$M$90,$G642,月間集計シート!P$71:P$90)*Z$2</f>
        <v>0</v>
      </c>
      <c r="AA642" s="88">
        <f>SUMIF(月間集計シート!$M$71:$M$90,$G642,月間集計シート!Q$71:Q$90)*AA$2</f>
        <v>0</v>
      </c>
      <c r="AB642" s="88">
        <f>SUMIF(月間集計シート!$M$71:$M$90,$G642,月間集計シート!R$71:R$90)*AB$2</f>
        <v>0</v>
      </c>
      <c r="AC642" s="88">
        <f>SUMIF(月間集計シート!$M$71:$M$90,$G642,月間集計シート!S$71:S$90)*AC$2</f>
        <v>0</v>
      </c>
      <c r="AD642" s="88">
        <f>SUMIF(月間集計シート!$M$71:$M$90,$G642,月間集計シート!T$71:T$90)*AD$2</f>
        <v>0</v>
      </c>
      <c r="AE642" s="88">
        <f>SUMIF(月間集計シート!$M$92:$M$111,$G642,月間集計シート!N$92:N$111)*AE$2</f>
        <v>0</v>
      </c>
      <c r="AF642" s="88">
        <f>SUMIF(月間集計シート!$M$92:$M$111,$G642,月間集計シート!O$92:O$111)*AF$2</f>
        <v>0</v>
      </c>
      <c r="AG642" s="88">
        <f>SUMIF(月間集計シート!$M$92:$M$111,$G642,月間集計シート!P$92:P$111)*AG$2</f>
        <v>0</v>
      </c>
      <c r="AH642" s="88">
        <f>SUMIF(月間集計シート!$M$92:$M$111,$G642,月間集計シート!Q$92:Q$111)*AH$2</f>
        <v>0</v>
      </c>
      <c r="AI642" s="88">
        <f>SUMIF(月間集計シート!$M$92:$M$111,$G642,月間集計シート!R$92:R$111)*AI$2</f>
        <v>0</v>
      </c>
      <c r="AJ642" s="88">
        <f>SUMIF(月間集計シート!$M$92:$M$111,$G642,月間集計シート!S$92:S$111)*AJ$2</f>
        <v>0</v>
      </c>
      <c r="AK642" s="88">
        <f>SUMIF(月間集計シート!$M$92:$M$111,$G642,月間集計シート!T$92:T$111)*AK$2</f>
        <v>0</v>
      </c>
      <c r="AL642" s="88">
        <f>SUMIF(月間集計シート!$M$113:$M$132,$G642,月間集計シート!N$113:N$132)*AL$2</f>
        <v>0</v>
      </c>
      <c r="AM642" s="88">
        <f>SUMIF(月間集計シート!$M$113:$M$132,$G642,月間集計シート!O$113:O$132)*AM$2</f>
        <v>0</v>
      </c>
      <c r="AN642" s="88">
        <f>SUMIF(月間集計シート!$M$113:$M$132,$G642,月間集計シート!P$113:P$132)*AN$2</f>
        <v>0</v>
      </c>
      <c r="AO642" s="88">
        <f>SUMIF(月間集計シート!$M$113:$M$132,$G642,月間集計シート!Q$113:Q$132)*AO$2</f>
        <v>0</v>
      </c>
      <c r="AP642" s="88">
        <f>SUMIF(月間集計シート!$M$113:$M$132,$G642,月間集計シート!R$113:R$132)*AP$2</f>
        <v>0</v>
      </c>
      <c r="AQ642" s="88">
        <f>SUMIF(月間集計シート!$M$113:$M$132,$G642,月間集計シート!S$113:S$132)*AQ$2</f>
        <v>0</v>
      </c>
      <c r="AR642" s="88">
        <f>SUMIF(月間集計シート!$M$113:$M$132,$G642,月間集計シート!T$113:T$132)*AR$2</f>
        <v>0</v>
      </c>
      <c r="AS642" s="88">
        <f>SUMIF(月間集計シート!$M$134:$M$153,$G642,月間集計シート!N$134:N$153)*AS$2</f>
        <v>0</v>
      </c>
      <c r="AT642" s="88">
        <f>SUMIF(月間集計シート!$M$134:$M$153,$G642,月間集計シート!O$134:O$153)*AT$2</f>
        <v>0</v>
      </c>
      <c r="AU642" s="88">
        <f>SUMIF(月間集計シート!$M$134:$M$153,$G642,月間集計シート!P$134:P$153)*AU$2</f>
        <v>0</v>
      </c>
      <c r="AV642" s="88">
        <f>SUMIF(月間集計シート!$M$134:$M$153,$G642,月間集計シート!Q$134:Q$153)*AV$2</f>
        <v>0</v>
      </c>
      <c r="AW642" s="88">
        <f>SUMIF(月間集計シート!$M$134:$M$153,$G642,月間集計シート!R$134:R$153)*AW$2</f>
        <v>0</v>
      </c>
      <c r="AX642" s="88">
        <f>SUMIF(月間集計シート!$M$134:$M$153,$G642,月間集計シート!S$134:S$153)*AX$2</f>
        <v>0</v>
      </c>
      <c r="AY642" s="88">
        <f>SUMIF(月間集計シート!$M$134:$M$153,$G642,月間集計シート!T$134:T$153)*AY$2</f>
        <v>0</v>
      </c>
    </row>
    <row r="643" spans="1:51" ht="14.25" thickBot="1">
      <c r="A643">
        <v>8</v>
      </c>
      <c r="B643" s="120">
        <f t="shared" si="304"/>
        <v>0</v>
      </c>
      <c r="C643" s="120" t="str">
        <f t="shared" si="305"/>
        <v/>
      </c>
      <c r="D643" s="137"/>
      <c r="E643" s="150" t="str">
        <f>工種!A40</f>
        <v>50106</v>
      </c>
      <c r="F643" s="119" t="str">
        <f>工種!B40</f>
        <v>ﾏﾆｭｱﾙ作成：ﾚﾋﾞｭｰ</v>
      </c>
      <c r="G643" s="116" t="str">
        <f t="shared" si="306"/>
        <v>050106</v>
      </c>
      <c r="H643" s="88">
        <f t="shared" si="260"/>
        <v>0</v>
      </c>
      <c r="I643" s="132"/>
      <c r="J643" s="88">
        <f>SUMIF(月間集計シート!$M$29:$M$48,$G643,月間集計シート!N$29:N$48)*J$2</f>
        <v>0</v>
      </c>
      <c r="K643" s="88">
        <f>SUMIF(月間集計シート!$M$29:$M$48,$G643,月間集計シート!O$29:O$48)*K$2</f>
        <v>0</v>
      </c>
      <c r="L643" s="88">
        <f>SUMIF(月間集計シート!$M$29:$M$48,$G643,月間集計シート!P$29:P$48)*L$2</f>
        <v>0</v>
      </c>
      <c r="M643" s="88">
        <f>SUMIF(月間集計シート!$M$29:$M$48,$G643,月間集計シート!Q$29:Q$48)*M$2</f>
        <v>0</v>
      </c>
      <c r="N643" s="88">
        <f>SUMIF(月間集計シート!$M$29:$M$48,$G643,月間集計シート!R$29:R$48)*N$2</f>
        <v>0</v>
      </c>
      <c r="O643" s="88">
        <f>SUMIF(月間集計シート!$M$29:$M$48,$G643,月間集計シート!S$29:S$48)*O$2</f>
        <v>0</v>
      </c>
      <c r="P643" s="88">
        <f>SUMIF(月間集計シート!$M$29:$M$48,$G643,月間集計シート!T$29:T$48)*P$2</f>
        <v>0</v>
      </c>
      <c r="Q643" s="88">
        <f>SUMIF(月間集計シート!$M$50:$M$69,$G643,月間集計シート!N$50:N$69)*Q$2</f>
        <v>0</v>
      </c>
      <c r="R643" s="88">
        <f>SUMIF(月間集計シート!$M$50:$M$69,$G643,月間集計シート!O$50:O$69)*R$2</f>
        <v>0</v>
      </c>
      <c r="S643" s="88">
        <f>SUMIF(月間集計シート!$M$50:$M$69,$G643,月間集計シート!P$50:P$69)*S$2</f>
        <v>0</v>
      </c>
      <c r="T643" s="88">
        <f>SUMIF(月間集計シート!$M$50:$M$69,$G643,月間集計シート!Q$50:Q$69)*T$2</f>
        <v>0</v>
      </c>
      <c r="U643" s="88">
        <f>SUMIF(月間集計シート!$M$50:$M$69,$G643,月間集計シート!R$50:R$69)*U$2</f>
        <v>0</v>
      </c>
      <c r="V643" s="88">
        <f>SUMIF(月間集計シート!$M$50:$M$69,$G643,月間集計シート!S$50:S$69)*V$2</f>
        <v>0</v>
      </c>
      <c r="W643" s="88">
        <f>SUMIF(月間集計シート!$M$50:$M$69,$G643,月間集計シート!T$50:T$69)*W$2</f>
        <v>0</v>
      </c>
      <c r="X643" s="88">
        <f>SUMIF(月間集計シート!$M$71:$M$90,$G643,月間集計シート!N$71:N$90)*X$2</f>
        <v>0</v>
      </c>
      <c r="Y643" s="88">
        <f>SUMIF(月間集計シート!$M$71:$M$90,$G643,月間集計シート!O$71:O$90)*Y$2</f>
        <v>0</v>
      </c>
      <c r="Z643" s="88">
        <f>SUMIF(月間集計シート!$M$71:$M$90,$G643,月間集計シート!P$71:P$90)*Z$2</f>
        <v>0</v>
      </c>
      <c r="AA643" s="88">
        <f>SUMIF(月間集計シート!$M$71:$M$90,$G643,月間集計シート!Q$71:Q$90)*AA$2</f>
        <v>0</v>
      </c>
      <c r="AB643" s="88">
        <f>SUMIF(月間集計シート!$M$71:$M$90,$G643,月間集計シート!R$71:R$90)*AB$2</f>
        <v>0</v>
      </c>
      <c r="AC643" s="88">
        <f>SUMIF(月間集計シート!$M$71:$M$90,$G643,月間集計シート!S$71:S$90)*AC$2</f>
        <v>0</v>
      </c>
      <c r="AD643" s="88">
        <f>SUMIF(月間集計シート!$M$71:$M$90,$G643,月間集計シート!T$71:T$90)*AD$2</f>
        <v>0</v>
      </c>
      <c r="AE643" s="88">
        <f>SUMIF(月間集計シート!$M$92:$M$111,$G643,月間集計シート!N$92:N$111)*AE$2</f>
        <v>0</v>
      </c>
      <c r="AF643" s="88">
        <f>SUMIF(月間集計シート!$M$92:$M$111,$G643,月間集計シート!O$92:O$111)*AF$2</f>
        <v>0</v>
      </c>
      <c r="AG643" s="88">
        <f>SUMIF(月間集計シート!$M$92:$M$111,$G643,月間集計シート!P$92:P$111)*AG$2</f>
        <v>0</v>
      </c>
      <c r="AH643" s="88">
        <f>SUMIF(月間集計シート!$M$92:$M$111,$G643,月間集計シート!Q$92:Q$111)*AH$2</f>
        <v>0</v>
      </c>
      <c r="AI643" s="88">
        <f>SUMIF(月間集計シート!$M$92:$M$111,$G643,月間集計シート!R$92:R$111)*AI$2</f>
        <v>0</v>
      </c>
      <c r="AJ643" s="88">
        <f>SUMIF(月間集計シート!$M$92:$M$111,$G643,月間集計シート!S$92:S$111)*AJ$2</f>
        <v>0</v>
      </c>
      <c r="AK643" s="88">
        <f>SUMIF(月間集計シート!$M$92:$M$111,$G643,月間集計シート!T$92:T$111)*AK$2</f>
        <v>0</v>
      </c>
      <c r="AL643" s="88">
        <f>SUMIF(月間集計シート!$M$113:$M$132,$G643,月間集計シート!N$113:N$132)*AL$2</f>
        <v>0</v>
      </c>
      <c r="AM643" s="88">
        <f>SUMIF(月間集計シート!$M$113:$M$132,$G643,月間集計シート!O$113:O$132)*AM$2</f>
        <v>0</v>
      </c>
      <c r="AN643" s="88">
        <f>SUMIF(月間集計シート!$M$113:$M$132,$G643,月間集計シート!P$113:P$132)*AN$2</f>
        <v>0</v>
      </c>
      <c r="AO643" s="88">
        <f>SUMIF(月間集計シート!$M$113:$M$132,$G643,月間集計シート!Q$113:Q$132)*AO$2</f>
        <v>0</v>
      </c>
      <c r="AP643" s="88">
        <f>SUMIF(月間集計シート!$M$113:$M$132,$G643,月間集計シート!R$113:R$132)*AP$2</f>
        <v>0</v>
      </c>
      <c r="AQ643" s="88">
        <f>SUMIF(月間集計シート!$M$113:$M$132,$G643,月間集計シート!S$113:S$132)*AQ$2</f>
        <v>0</v>
      </c>
      <c r="AR643" s="88">
        <f>SUMIF(月間集計シート!$M$113:$M$132,$G643,月間集計シート!T$113:T$132)*AR$2</f>
        <v>0</v>
      </c>
      <c r="AS643" s="88">
        <f>SUMIF(月間集計シート!$M$134:$M$153,$G643,月間集計シート!N$134:N$153)*AS$2</f>
        <v>0</v>
      </c>
      <c r="AT643" s="88">
        <f>SUMIF(月間集計シート!$M$134:$M$153,$G643,月間集計シート!O$134:O$153)*AT$2</f>
        <v>0</v>
      </c>
      <c r="AU643" s="88">
        <f>SUMIF(月間集計シート!$M$134:$M$153,$G643,月間集計シート!P$134:P$153)*AU$2</f>
        <v>0</v>
      </c>
      <c r="AV643" s="88">
        <f>SUMIF(月間集計シート!$M$134:$M$153,$G643,月間集計シート!Q$134:Q$153)*AV$2</f>
        <v>0</v>
      </c>
      <c r="AW643" s="88">
        <f>SUMIF(月間集計シート!$M$134:$M$153,$G643,月間集計シート!R$134:R$153)*AW$2</f>
        <v>0</v>
      </c>
      <c r="AX643" s="88">
        <f>SUMIF(月間集計シート!$M$134:$M$153,$G643,月間集計シート!S$134:S$153)*AX$2</f>
        <v>0</v>
      </c>
      <c r="AY643" s="88">
        <f>SUMIF(月間集計シート!$M$134:$M$153,$G643,月間集計シート!T$134:T$153)*AY$2</f>
        <v>0</v>
      </c>
    </row>
    <row r="644" spans="1:51" ht="14.25" thickBot="1">
      <c r="A644">
        <v>8</v>
      </c>
      <c r="B644" s="120">
        <f t="shared" si="304"/>
        <v>0</v>
      </c>
      <c r="C644" s="120" t="str">
        <f t="shared" si="305"/>
        <v/>
      </c>
      <c r="D644" s="137"/>
      <c r="E644" s="150" t="str">
        <f>工種!A41</f>
        <v>50199</v>
      </c>
      <c r="F644" s="119" t="str">
        <f>工種!B41</f>
        <v>ﾏﾆｭｱﾙ作成：その他</v>
      </c>
      <c r="G644" s="116" t="str">
        <f t="shared" si="306"/>
        <v>050199</v>
      </c>
      <c r="H644" s="88">
        <f t="shared" si="260"/>
        <v>0</v>
      </c>
      <c r="I644" s="132"/>
      <c r="J644" s="88">
        <f>SUMIF(月間集計シート!$M$29:$M$48,$G644,月間集計シート!N$29:N$48)*J$2</f>
        <v>0</v>
      </c>
      <c r="K644" s="88">
        <f>SUMIF(月間集計シート!$M$29:$M$48,$G644,月間集計シート!O$29:O$48)*K$2</f>
        <v>0</v>
      </c>
      <c r="L644" s="88">
        <f>SUMIF(月間集計シート!$M$29:$M$48,$G644,月間集計シート!P$29:P$48)*L$2</f>
        <v>0</v>
      </c>
      <c r="M644" s="88">
        <f>SUMIF(月間集計シート!$M$29:$M$48,$G644,月間集計シート!Q$29:Q$48)*M$2</f>
        <v>0</v>
      </c>
      <c r="N644" s="88">
        <f>SUMIF(月間集計シート!$M$29:$M$48,$G644,月間集計シート!R$29:R$48)*N$2</f>
        <v>0</v>
      </c>
      <c r="O644" s="88">
        <f>SUMIF(月間集計シート!$M$29:$M$48,$G644,月間集計シート!S$29:S$48)*O$2</f>
        <v>0</v>
      </c>
      <c r="P644" s="88">
        <f>SUMIF(月間集計シート!$M$29:$M$48,$G644,月間集計シート!T$29:T$48)*P$2</f>
        <v>0</v>
      </c>
      <c r="Q644" s="88">
        <f>SUMIF(月間集計シート!$M$50:$M$69,$G644,月間集計シート!N$50:N$69)*Q$2</f>
        <v>0</v>
      </c>
      <c r="R644" s="88">
        <f>SUMIF(月間集計シート!$M$50:$M$69,$G644,月間集計シート!O$50:O$69)*R$2</f>
        <v>0</v>
      </c>
      <c r="S644" s="88">
        <f>SUMIF(月間集計シート!$M$50:$M$69,$G644,月間集計シート!P$50:P$69)*S$2</f>
        <v>0</v>
      </c>
      <c r="T644" s="88">
        <f>SUMIF(月間集計シート!$M$50:$M$69,$G644,月間集計シート!Q$50:Q$69)*T$2</f>
        <v>0</v>
      </c>
      <c r="U644" s="88">
        <f>SUMIF(月間集計シート!$M$50:$M$69,$G644,月間集計シート!R$50:R$69)*U$2</f>
        <v>0</v>
      </c>
      <c r="V644" s="88">
        <f>SUMIF(月間集計シート!$M$50:$M$69,$G644,月間集計シート!S$50:S$69)*V$2</f>
        <v>0</v>
      </c>
      <c r="W644" s="88">
        <f>SUMIF(月間集計シート!$M$50:$M$69,$G644,月間集計シート!T$50:T$69)*W$2</f>
        <v>0</v>
      </c>
      <c r="X644" s="88">
        <f>SUMIF(月間集計シート!$M$71:$M$90,$G644,月間集計シート!N$71:N$90)*X$2</f>
        <v>0</v>
      </c>
      <c r="Y644" s="88">
        <f>SUMIF(月間集計シート!$M$71:$M$90,$G644,月間集計シート!O$71:O$90)*Y$2</f>
        <v>0</v>
      </c>
      <c r="Z644" s="88">
        <f>SUMIF(月間集計シート!$M$71:$M$90,$G644,月間集計シート!P$71:P$90)*Z$2</f>
        <v>0</v>
      </c>
      <c r="AA644" s="88">
        <f>SUMIF(月間集計シート!$M$71:$M$90,$G644,月間集計シート!Q$71:Q$90)*AA$2</f>
        <v>0</v>
      </c>
      <c r="AB644" s="88">
        <f>SUMIF(月間集計シート!$M$71:$M$90,$G644,月間集計シート!R$71:R$90)*AB$2</f>
        <v>0</v>
      </c>
      <c r="AC644" s="88">
        <f>SUMIF(月間集計シート!$M$71:$M$90,$G644,月間集計シート!S$71:S$90)*AC$2</f>
        <v>0</v>
      </c>
      <c r="AD644" s="88">
        <f>SUMIF(月間集計シート!$M$71:$M$90,$G644,月間集計シート!T$71:T$90)*AD$2</f>
        <v>0</v>
      </c>
      <c r="AE644" s="88">
        <f>SUMIF(月間集計シート!$M$92:$M$111,$G644,月間集計シート!N$92:N$111)*AE$2</f>
        <v>0</v>
      </c>
      <c r="AF644" s="88">
        <f>SUMIF(月間集計シート!$M$92:$M$111,$G644,月間集計シート!O$92:O$111)*AF$2</f>
        <v>0</v>
      </c>
      <c r="AG644" s="88">
        <f>SUMIF(月間集計シート!$M$92:$M$111,$G644,月間集計シート!P$92:P$111)*AG$2</f>
        <v>0</v>
      </c>
      <c r="AH644" s="88">
        <f>SUMIF(月間集計シート!$M$92:$M$111,$G644,月間集計シート!Q$92:Q$111)*AH$2</f>
        <v>0</v>
      </c>
      <c r="AI644" s="88">
        <f>SUMIF(月間集計シート!$M$92:$M$111,$G644,月間集計シート!R$92:R$111)*AI$2</f>
        <v>0</v>
      </c>
      <c r="AJ644" s="88">
        <f>SUMIF(月間集計シート!$M$92:$M$111,$G644,月間集計シート!S$92:S$111)*AJ$2</f>
        <v>0</v>
      </c>
      <c r="AK644" s="88">
        <f>SUMIF(月間集計シート!$M$92:$M$111,$G644,月間集計シート!T$92:T$111)*AK$2</f>
        <v>0</v>
      </c>
      <c r="AL644" s="88">
        <f>SUMIF(月間集計シート!$M$113:$M$132,$G644,月間集計シート!N$113:N$132)*AL$2</f>
        <v>0</v>
      </c>
      <c r="AM644" s="88">
        <f>SUMIF(月間集計シート!$M$113:$M$132,$G644,月間集計シート!O$113:O$132)*AM$2</f>
        <v>0</v>
      </c>
      <c r="AN644" s="88">
        <f>SUMIF(月間集計シート!$M$113:$M$132,$G644,月間集計シート!P$113:P$132)*AN$2</f>
        <v>0</v>
      </c>
      <c r="AO644" s="88">
        <f>SUMIF(月間集計シート!$M$113:$M$132,$G644,月間集計シート!Q$113:Q$132)*AO$2</f>
        <v>0</v>
      </c>
      <c r="AP644" s="88">
        <f>SUMIF(月間集計シート!$M$113:$M$132,$G644,月間集計シート!R$113:R$132)*AP$2</f>
        <v>0</v>
      </c>
      <c r="AQ644" s="88">
        <f>SUMIF(月間集計シート!$M$113:$M$132,$G644,月間集計シート!S$113:S$132)*AQ$2</f>
        <v>0</v>
      </c>
      <c r="AR644" s="88">
        <f>SUMIF(月間集計シート!$M$113:$M$132,$G644,月間集計シート!T$113:T$132)*AR$2</f>
        <v>0</v>
      </c>
      <c r="AS644" s="88">
        <f>SUMIF(月間集計シート!$M$134:$M$153,$G644,月間集計シート!N$134:N$153)*AS$2</f>
        <v>0</v>
      </c>
      <c r="AT644" s="88">
        <f>SUMIF(月間集計シート!$M$134:$M$153,$G644,月間集計シート!O$134:O$153)*AT$2</f>
        <v>0</v>
      </c>
      <c r="AU644" s="88">
        <f>SUMIF(月間集計シート!$M$134:$M$153,$G644,月間集計シート!P$134:P$153)*AU$2</f>
        <v>0</v>
      </c>
      <c r="AV644" s="88">
        <f>SUMIF(月間集計シート!$M$134:$M$153,$G644,月間集計シート!Q$134:Q$153)*AV$2</f>
        <v>0</v>
      </c>
      <c r="AW644" s="88">
        <f>SUMIF(月間集計シート!$M$134:$M$153,$G644,月間集計シート!R$134:R$153)*AW$2</f>
        <v>0</v>
      </c>
      <c r="AX644" s="88">
        <f>SUMIF(月間集計シート!$M$134:$M$153,$G644,月間集計シート!S$134:S$153)*AX$2</f>
        <v>0</v>
      </c>
      <c r="AY644" s="88">
        <f>SUMIF(月間集計シート!$M$134:$M$153,$G644,月間集計シート!T$134:T$153)*AY$2</f>
        <v>0</v>
      </c>
    </row>
    <row r="645" spans="1:51" ht="14.25" thickBot="1">
      <c r="A645">
        <v>8</v>
      </c>
      <c r="B645" s="120">
        <f t="shared" si="304"/>
        <v>0</v>
      </c>
      <c r="C645" s="120" t="str">
        <f t="shared" si="305"/>
        <v/>
      </c>
      <c r="D645" s="137"/>
      <c r="E645" s="150" t="str">
        <f>工種!A42</f>
        <v>60101</v>
      </c>
      <c r="F645" s="119" t="str">
        <f>工種!B42</f>
        <v>ﾘﾘｰｽ：ﾘﾘｰｽ・ﾃﾞﾘﾊﾞﾘ作業</v>
      </c>
      <c r="G645" s="116" t="str">
        <f t="shared" si="306"/>
        <v>060101</v>
      </c>
      <c r="H645" s="88">
        <f t="shared" si="260"/>
        <v>0</v>
      </c>
      <c r="I645" s="132"/>
      <c r="J645" s="88">
        <f>SUMIF(月間集計シート!$M$29:$M$48,$G645,月間集計シート!N$29:N$48)*J$2</f>
        <v>0</v>
      </c>
      <c r="K645" s="88">
        <f>SUMIF(月間集計シート!$M$29:$M$48,$G645,月間集計シート!O$29:O$48)*K$2</f>
        <v>0</v>
      </c>
      <c r="L645" s="88">
        <f>SUMIF(月間集計シート!$M$29:$M$48,$G645,月間集計シート!P$29:P$48)*L$2</f>
        <v>0</v>
      </c>
      <c r="M645" s="88">
        <f>SUMIF(月間集計シート!$M$29:$M$48,$G645,月間集計シート!Q$29:Q$48)*M$2</f>
        <v>0</v>
      </c>
      <c r="N645" s="88">
        <f>SUMIF(月間集計シート!$M$29:$M$48,$G645,月間集計シート!R$29:R$48)*N$2</f>
        <v>0</v>
      </c>
      <c r="O645" s="88">
        <f>SUMIF(月間集計シート!$M$29:$M$48,$G645,月間集計シート!S$29:S$48)*O$2</f>
        <v>0</v>
      </c>
      <c r="P645" s="88">
        <f>SUMIF(月間集計シート!$M$29:$M$48,$G645,月間集計シート!T$29:T$48)*P$2</f>
        <v>0</v>
      </c>
      <c r="Q645" s="88">
        <f>SUMIF(月間集計シート!$M$50:$M$69,$G645,月間集計シート!N$50:N$69)*Q$2</f>
        <v>0</v>
      </c>
      <c r="R645" s="88">
        <f>SUMIF(月間集計シート!$M$50:$M$69,$G645,月間集計シート!O$50:O$69)*R$2</f>
        <v>0</v>
      </c>
      <c r="S645" s="88">
        <f>SUMIF(月間集計シート!$M$50:$M$69,$G645,月間集計シート!P$50:P$69)*S$2</f>
        <v>0</v>
      </c>
      <c r="T645" s="88">
        <f>SUMIF(月間集計シート!$M$50:$M$69,$G645,月間集計シート!Q$50:Q$69)*T$2</f>
        <v>0</v>
      </c>
      <c r="U645" s="88">
        <f>SUMIF(月間集計シート!$M$50:$M$69,$G645,月間集計シート!R$50:R$69)*U$2</f>
        <v>0</v>
      </c>
      <c r="V645" s="88">
        <f>SUMIF(月間集計シート!$M$50:$M$69,$G645,月間集計シート!S$50:S$69)*V$2</f>
        <v>0</v>
      </c>
      <c r="W645" s="88">
        <f>SUMIF(月間集計シート!$M$50:$M$69,$G645,月間集計シート!T$50:T$69)*W$2</f>
        <v>0</v>
      </c>
      <c r="X645" s="88">
        <f>SUMIF(月間集計シート!$M$71:$M$90,$G645,月間集計シート!N$71:N$90)*X$2</f>
        <v>0</v>
      </c>
      <c r="Y645" s="88">
        <f>SUMIF(月間集計シート!$M$71:$M$90,$G645,月間集計シート!O$71:O$90)*Y$2</f>
        <v>0</v>
      </c>
      <c r="Z645" s="88">
        <f>SUMIF(月間集計シート!$M$71:$M$90,$G645,月間集計シート!P$71:P$90)*Z$2</f>
        <v>0</v>
      </c>
      <c r="AA645" s="88">
        <f>SUMIF(月間集計シート!$M$71:$M$90,$G645,月間集計シート!Q$71:Q$90)*AA$2</f>
        <v>0</v>
      </c>
      <c r="AB645" s="88">
        <f>SUMIF(月間集計シート!$M$71:$M$90,$G645,月間集計シート!R$71:R$90)*AB$2</f>
        <v>0</v>
      </c>
      <c r="AC645" s="88">
        <f>SUMIF(月間集計シート!$M$71:$M$90,$G645,月間集計シート!S$71:S$90)*AC$2</f>
        <v>0</v>
      </c>
      <c r="AD645" s="88">
        <f>SUMIF(月間集計シート!$M$71:$M$90,$G645,月間集計シート!T$71:T$90)*AD$2</f>
        <v>0</v>
      </c>
      <c r="AE645" s="88">
        <f>SUMIF(月間集計シート!$M$92:$M$111,$G645,月間集計シート!N$92:N$111)*AE$2</f>
        <v>0</v>
      </c>
      <c r="AF645" s="88">
        <f>SUMIF(月間集計シート!$M$92:$M$111,$G645,月間集計シート!O$92:O$111)*AF$2</f>
        <v>0</v>
      </c>
      <c r="AG645" s="88">
        <f>SUMIF(月間集計シート!$M$92:$M$111,$G645,月間集計シート!P$92:P$111)*AG$2</f>
        <v>0</v>
      </c>
      <c r="AH645" s="88">
        <f>SUMIF(月間集計シート!$M$92:$M$111,$G645,月間集計シート!Q$92:Q$111)*AH$2</f>
        <v>0</v>
      </c>
      <c r="AI645" s="88">
        <f>SUMIF(月間集計シート!$M$92:$M$111,$G645,月間集計シート!R$92:R$111)*AI$2</f>
        <v>0</v>
      </c>
      <c r="AJ645" s="88">
        <f>SUMIF(月間集計シート!$M$92:$M$111,$G645,月間集計シート!S$92:S$111)*AJ$2</f>
        <v>0</v>
      </c>
      <c r="AK645" s="88">
        <f>SUMIF(月間集計シート!$M$92:$M$111,$G645,月間集計シート!T$92:T$111)*AK$2</f>
        <v>0</v>
      </c>
      <c r="AL645" s="88">
        <f>SUMIF(月間集計シート!$M$113:$M$132,$G645,月間集計シート!N$113:N$132)*AL$2</f>
        <v>0</v>
      </c>
      <c r="AM645" s="88">
        <f>SUMIF(月間集計シート!$M$113:$M$132,$G645,月間集計シート!O$113:O$132)*AM$2</f>
        <v>0</v>
      </c>
      <c r="AN645" s="88">
        <f>SUMIF(月間集計シート!$M$113:$M$132,$G645,月間集計シート!P$113:P$132)*AN$2</f>
        <v>0</v>
      </c>
      <c r="AO645" s="88">
        <f>SUMIF(月間集計シート!$M$113:$M$132,$G645,月間集計シート!Q$113:Q$132)*AO$2</f>
        <v>0</v>
      </c>
      <c r="AP645" s="88">
        <f>SUMIF(月間集計シート!$M$113:$M$132,$G645,月間集計シート!R$113:R$132)*AP$2</f>
        <v>0</v>
      </c>
      <c r="AQ645" s="88">
        <f>SUMIF(月間集計シート!$M$113:$M$132,$G645,月間集計シート!S$113:S$132)*AQ$2</f>
        <v>0</v>
      </c>
      <c r="AR645" s="88">
        <f>SUMIF(月間集計シート!$M$113:$M$132,$G645,月間集計シート!T$113:T$132)*AR$2</f>
        <v>0</v>
      </c>
      <c r="AS645" s="88">
        <f>SUMIF(月間集計シート!$M$134:$M$153,$G645,月間集計シート!N$134:N$153)*AS$2</f>
        <v>0</v>
      </c>
      <c r="AT645" s="88">
        <f>SUMIF(月間集計シート!$M$134:$M$153,$G645,月間集計シート!O$134:O$153)*AT$2</f>
        <v>0</v>
      </c>
      <c r="AU645" s="88">
        <f>SUMIF(月間集計シート!$M$134:$M$153,$G645,月間集計シート!P$134:P$153)*AU$2</f>
        <v>0</v>
      </c>
      <c r="AV645" s="88">
        <f>SUMIF(月間集計シート!$M$134:$M$153,$G645,月間集計シート!Q$134:Q$153)*AV$2</f>
        <v>0</v>
      </c>
      <c r="AW645" s="88">
        <f>SUMIF(月間集計シート!$M$134:$M$153,$G645,月間集計シート!R$134:R$153)*AW$2</f>
        <v>0</v>
      </c>
      <c r="AX645" s="88">
        <f>SUMIF(月間集計シート!$M$134:$M$153,$G645,月間集計シート!S$134:S$153)*AX$2</f>
        <v>0</v>
      </c>
      <c r="AY645" s="88">
        <f>SUMIF(月間集計シート!$M$134:$M$153,$G645,月間集計シート!T$134:T$153)*AY$2</f>
        <v>0</v>
      </c>
    </row>
    <row r="646" spans="1:51" ht="14.25" thickBot="1">
      <c r="A646">
        <v>8</v>
      </c>
      <c r="B646" s="120">
        <f t="shared" si="304"/>
        <v>0</v>
      </c>
      <c r="C646" s="120" t="str">
        <f t="shared" si="305"/>
        <v/>
      </c>
      <c r="D646" s="137"/>
      <c r="E646" s="150" t="str">
        <f>工種!A43</f>
        <v>60102</v>
      </c>
      <c r="F646" s="119" t="str">
        <f>工種!B43</f>
        <v>ﾘﾘｰｽ：ﾘﾘｰｽ関連業務</v>
      </c>
      <c r="G646" s="116" t="str">
        <f t="shared" si="306"/>
        <v>060102</v>
      </c>
      <c r="H646" s="88">
        <f t="shared" si="260"/>
        <v>0</v>
      </c>
      <c r="I646" s="132"/>
      <c r="J646" s="88">
        <f>SUMIF(月間集計シート!$M$29:$M$48,$G646,月間集計シート!N$29:N$48)*J$2</f>
        <v>0</v>
      </c>
      <c r="K646" s="88">
        <f>SUMIF(月間集計シート!$M$29:$M$48,$G646,月間集計シート!O$29:O$48)*K$2</f>
        <v>0</v>
      </c>
      <c r="L646" s="88">
        <f>SUMIF(月間集計シート!$M$29:$M$48,$G646,月間集計シート!P$29:P$48)*L$2</f>
        <v>0</v>
      </c>
      <c r="M646" s="88">
        <f>SUMIF(月間集計シート!$M$29:$M$48,$G646,月間集計シート!Q$29:Q$48)*M$2</f>
        <v>0</v>
      </c>
      <c r="N646" s="88">
        <f>SUMIF(月間集計シート!$M$29:$M$48,$G646,月間集計シート!R$29:R$48)*N$2</f>
        <v>0</v>
      </c>
      <c r="O646" s="88">
        <f>SUMIF(月間集計シート!$M$29:$M$48,$G646,月間集計シート!S$29:S$48)*O$2</f>
        <v>0</v>
      </c>
      <c r="P646" s="88">
        <f>SUMIF(月間集計シート!$M$29:$M$48,$G646,月間集計シート!T$29:T$48)*P$2</f>
        <v>0</v>
      </c>
      <c r="Q646" s="88">
        <f>SUMIF(月間集計シート!$M$50:$M$69,$G646,月間集計シート!N$50:N$69)*Q$2</f>
        <v>0</v>
      </c>
      <c r="R646" s="88">
        <f>SUMIF(月間集計シート!$M$50:$M$69,$G646,月間集計シート!O$50:O$69)*R$2</f>
        <v>0</v>
      </c>
      <c r="S646" s="88">
        <f>SUMIF(月間集計シート!$M$50:$M$69,$G646,月間集計シート!P$50:P$69)*S$2</f>
        <v>0</v>
      </c>
      <c r="T646" s="88">
        <f>SUMIF(月間集計シート!$M$50:$M$69,$G646,月間集計シート!Q$50:Q$69)*T$2</f>
        <v>0</v>
      </c>
      <c r="U646" s="88">
        <f>SUMIF(月間集計シート!$M$50:$M$69,$G646,月間集計シート!R$50:R$69)*U$2</f>
        <v>0</v>
      </c>
      <c r="V646" s="88">
        <f>SUMIF(月間集計シート!$M$50:$M$69,$G646,月間集計シート!S$50:S$69)*V$2</f>
        <v>0</v>
      </c>
      <c r="W646" s="88">
        <f>SUMIF(月間集計シート!$M$50:$M$69,$G646,月間集計シート!T$50:T$69)*W$2</f>
        <v>0</v>
      </c>
      <c r="X646" s="88">
        <f>SUMIF(月間集計シート!$M$71:$M$90,$G646,月間集計シート!N$71:N$90)*X$2</f>
        <v>0</v>
      </c>
      <c r="Y646" s="88">
        <f>SUMIF(月間集計シート!$M$71:$M$90,$G646,月間集計シート!O$71:O$90)*Y$2</f>
        <v>0</v>
      </c>
      <c r="Z646" s="88">
        <f>SUMIF(月間集計シート!$M$71:$M$90,$G646,月間集計シート!P$71:P$90)*Z$2</f>
        <v>0</v>
      </c>
      <c r="AA646" s="88">
        <f>SUMIF(月間集計シート!$M$71:$M$90,$G646,月間集計シート!Q$71:Q$90)*AA$2</f>
        <v>0</v>
      </c>
      <c r="AB646" s="88">
        <f>SUMIF(月間集計シート!$M$71:$M$90,$G646,月間集計シート!R$71:R$90)*AB$2</f>
        <v>0</v>
      </c>
      <c r="AC646" s="88">
        <f>SUMIF(月間集計シート!$M$71:$M$90,$G646,月間集計シート!S$71:S$90)*AC$2</f>
        <v>0</v>
      </c>
      <c r="AD646" s="88">
        <f>SUMIF(月間集計シート!$M$71:$M$90,$G646,月間集計シート!T$71:T$90)*AD$2</f>
        <v>0</v>
      </c>
      <c r="AE646" s="88">
        <f>SUMIF(月間集計シート!$M$92:$M$111,$G646,月間集計シート!N$92:N$111)*AE$2</f>
        <v>0</v>
      </c>
      <c r="AF646" s="88">
        <f>SUMIF(月間集計シート!$M$92:$M$111,$G646,月間集計シート!O$92:O$111)*AF$2</f>
        <v>0</v>
      </c>
      <c r="AG646" s="88">
        <f>SUMIF(月間集計シート!$M$92:$M$111,$G646,月間集計シート!P$92:P$111)*AG$2</f>
        <v>0</v>
      </c>
      <c r="AH646" s="88">
        <f>SUMIF(月間集計シート!$M$92:$M$111,$G646,月間集計シート!Q$92:Q$111)*AH$2</f>
        <v>0</v>
      </c>
      <c r="AI646" s="88">
        <f>SUMIF(月間集計シート!$M$92:$M$111,$G646,月間集計シート!R$92:R$111)*AI$2</f>
        <v>0</v>
      </c>
      <c r="AJ646" s="88">
        <f>SUMIF(月間集計シート!$M$92:$M$111,$G646,月間集計シート!S$92:S$111)*AJ$2</f>
        <v>0</v>
      </c>
      <c r="AK646" s="88">
        <f>SUMIF(月間集計シート!$M$92:$M$111,$G646,月間集計シート!T$92:T$111)*AK$2</f>
        <v>0</v>
      </c>
      <c r="AL646" s="88">
        <f>SUMIF(月間集計シート!$M$113:$M$132,$G646,月間集計シート!N$113:N$132)*AL$2</f>
        <v>0</v>
      </c>
      <c r="AM646" s="88">
        <f>SUMIF(月間集計シート!$M$113:$M$132,$G646,月間集計シート!O$113:O$132)*AM$2</f>
        <v>0</v>
      </c>
      <c r="AN646" s="88">
        <f>SUMIF(月間集計シート!$M$113:$M$132,$G646,月間集計シート!P$113:P$132)*AN$2</f>
        <v>0</v>
      </c>
      <c r="AO646" s="88">
        <f>SUMIF(月間集計シート!$M$113:$M$132,$G646,月間集計シート!Q$113:Q$132)*AO$2</f>
        <v>0</v>
      </c>
      <c r="AP646" s="88">
        <f>SUMIF(月間集計シート!$M$113:$M$132,$G646,月間集計シート!R$113:R$132)*AP$2</f>
        <v>0</v>
      </c>
      <c r="AQ646" s="88">
        <f>SUMIF(月間集計シート!$M$113:$M$132,$G646,月間集計シート!S$113:S$132)*AQ$2</f>
        <v>0</v>
      </c>
      <c r="AR646" s="88">
        <f>SUMIF(月間集計シート!$M$113:$M$132,$G646,月間集計シート!T$113:T$132)*AR$2</f>
        <v>0</v>
      </c>
      <c r="AS646" s="88">
        <f>SUMIF(月間集計シート!$M$134:$M$153,$G646,月間集計シート!N$134:N$153)*AS$2</f>
        <v>0</v>
      </c>
      <c r="AT646" s="88">
        <f>SUMIF(月間集計シート!$M$134:$M$153,$G646,月間集計シート!O$134:O$153)*AT$2</f>
        <v>0</v>
      </c>
      <c r="AU646" s="88">
        <f>SUMIF(月間集計シート!$M$134:$M$153,$G646,月間集計シート!P$134:P$153)*AU$2</f>
        <v>0</v>
      </c>
      <c r="AV646" s="88">
        <f>SUMIF(月間集計シート!$M$134:$M$153,$G646,月間集計シート!Q$134:Q$153)*AV$2</f>
        <v>0</v>
      </c>
      <c r="AW646" s="88">
        <f>SUMIF(月間集計シート!$M$134:$M$153,$G646,月間集計シート!R$134:R$153)*AW$2</f>
        <v>0</v>
      </c>
      <c r="AX646" s="88">
        <f>SUMIF(月間集計シート!$M$134:$M$153,$G646,月間集計シート!S$134:S$153)*AX$2</f>
        <v>0</v>
      </c>
      <c r="AY646" s="88">
        <f>SUMIF(月間集計シート!$M$134:$M$153,$G646,月間集計シート!T$134:T$153)*AY$2</f>
        <v>0</v>
      </c>
    </row>
    <row r="647" spans="1:51" ht="14.25" thickBot="1">
      <c r="A647">
        <v>8</v>
      </c>
      <c r="B647" s="120">
        <f t="shared" si="304"/>
        <v>0</v>
      </c>
      <c r="C647" s="120" t="str">
        <f t="shared" si="305"/>
        <v/>
      </c>
      <c r="D647" s="137"/>
      <c r="E647" s="150" t="str">
        <f>工種!A44</f>
        <v>60103</v>
      </c>
      <c r="F647" s="119" t="str">
        <f>工種!B44</f>
        <v>ﾘﾘｰｽ：ﾏﾆｭｱﾙPDF作成・修正</v>
      </c>
      <c r="G647" s="116" t="str">
        <f t="shared" si="306"/>
        <v>060103</v>
      </c>
      <c r="H647" s="88">
        <f t="shared" si="260"/>
        <v>0</v>
      </c>
      <c r="I647" s="132"/>
      <c r="J647" s="88">
        <f>SUMIF(月間集計シート!$M$29:$M$48,$G647,月間集計シート!N$29:N$48)*J$2</f>
        <v>0</v>
      </c>
      <c r="K647" s="88">
        <f>SUMIF(月間集計シート!$M$29:$M$48,$G647,月間集計シート!O$29:O$48)*K$2</f>
        <v>0</v>
      </c>
      <c r="L647" s="88">
        <f>SUMIF(月間集計シート!$M$29:$M$48,$G647,月間集計シート!P$29:P$48)*L$2</f>
        <v>0</v>
      </c>
      <c r="M647" s="88">
        <f>SUMIF(月間集計シート!$M$29:$M$48,$G647,月間集計シート!Q$29:Q$48)*M$2</f>
        <v>0</v>
      </c>
      <c r="N647" s="88">
        <f>SUMIF(月間集計シート!$M$29:$M$48,$G647,月間集計シート!R$29:R$48)*N$2</f>
        <v>0</v>
      </c>
      <c r="O647" s="88">
        <f>SUMIF(月間集計シート!$M$29:$M$48,$G647,月間集計シート!S$29:S$48)*O$2</f>
        <v>0</v>
      </c>
      <c r="P647" s="88">
        <f>SUMIF(月間集計シート!$M$29:$M$48,$G647,月間集計シート!T$29:T$48)*P$2</f>
        <v>0</v>
      </c>
      <c r="Q647" s="88">
        <f>SUMIF(月間集計シート!$M$50:$M$69,$G647,月間集計シート!N$50:N$69)*Q$2</f>
        <v>0</v>
      </c>
      <c r="R647" s="88">
        <f>SUMIF(月間集計シート!$M$50:$M$69,$G647,月間集計シート!O$50:O$69)*R$2</f>
        <v>0</v>
      </c>
      <c r="S647" s="88">
        <f>SUMIF(月間集計シート!$M$50:$M$69,$G647,月間集計シート!P$50:P$69)*S$2</f>
        <v>0</v>
      </c>
      <c r="T647" s="88">
        <f>SUMIF(月間集計シート!$M$50:$M$69,$G647,月間集計シート!Q$50:Q$69)*T$2</f>
        <v>0</v>
      </c>
      <c r="U647" s="88">
        <f>SUMIF(月間集計シート!$M$50:$M$69,$G647,月間集計シート!R$50:R$69)*U$2</f>
        <v>0</v>
      </c>
      <c r="V647" s="88">
        <f>SUMIF(月間集計シート!$M$50:$M$69,$G647,月間集計シート!S$50:S$69)*V$2</f>
        <v>0</v>
      </c>
      <c r="W647" s="88">
        <f>SUMIF(月間集計シート!$M$50:$M$69,$G647,月間集計シート!T$50:T$69)*W$2</f>
        <v>0</v>
      </c>
      <c r="X647" s="88">
        <f>SUMIF(月間集計シート!$M$71:$M$90,$G647,月間集計シート!N$71:N$90)*X$2</f>
        <v>0</v>
      </c>
      <c r="Y647" s="88">
        <f>SUMIF(月間集計シート!$M$71:$M$90,$G647,月間集計シート!O$71:O$90)*Y$2</f>
        <v>0</v>
      </c>
      <c r="Z647" s="88">
        <f>SUMIF(月間集計シート!$M$71:$M$90,$G647,月間集計シート!P$71:P$90)*Z$2</f>
        <v>0</v>
      </c>
      <c r="AA647" s="88">
        <f>SUMIF(月間集計シート!$M$71:$M$90,$G647,月間集計シート!Q$71:Q$90)*AA$2</f>
        <v>0</v>
      </c>
      <c r="AB647" s="88">
        <f>SUMIF(月間集計シート!$M$71:$M$90,$G647,月間集計シート!R$71:R$90)*AB$2</f>
        <v>0</v>
      </c>
      <c r="AC647" s="88">
        <f>SUMIF(月間集計シート!$M$71:$M$90,$G647,月間集計シート!S$71:S$90)*AC$2</f>
        <v>0</v>
      </c>
      <c r="AD647" s="88">
        <f>SUMIF(月間集計シート!$M$71:$M$90,$G647,月間集計シート!T$71:T$90)*AD$2</f>
        <v>0</v>
      </c>
      <c r="AE647" s="88">
        <f>SUMIF(月間集計シート!$M$92:$M$111,$G647,月間集計シート!N$92:N$111)*AE$2</f>
        <v>0</v>
      </c>
      <c r="AF647" s="88">
        <f>SUMIF(月間集計シート!$M$92:$M$111,$G647,月間集計シート!O$92:O$111)*AF$2</f>
        <v>0</v>
      </c>
      <c r="AG647" s="88">
        <f>SUMIF(月間集計シート!$M$92:$M$111,$G647,月間集計シート!P$92:P$111)*AG$2</f>
        <v>0</v>
      </c>
      <c r="AH647" s="88">
        <f>SUMIF(月間集計シート!$M$92:$M$111,$G647,月間集計シート!Q$92:Q$111)*AH$2</f>
        <v>0</v>
      </c>
      <c r="AI647" s="88">
        <f>SUMIF(月間集計シート!$M$92:$M$111,$G647,月間集計シート!R$92:R$111)*AI$2</f>
        <v>0</v>
      </c>
      <c r="AJ647" s="88">
        <f>SUMIF(月間集計シート!$M$92:$M$111,$G647,月間集計シート!S$92:S$111)*AJ$2</f>
        <v>0</v>
      </c>
      <c r="AK647" s="88">
        <f>SUMIF(月間集計シート!$M$92:$M$111,$G647,月間集計シート!T$92:T$111)*AK$2</f>
        <v>0</v>
      </c>
      <c r="AL647" s="88">
        <f>SUMIF(月間集計シート!$M$113:$M$132,$G647,月間集計シート!N$113:N$132)*AL$2</f>
        <v>0</v>
      </c>
      <c r="AM647" s="88">
        <f>SUMIF(月間集計シート!$M$113:$M$132,$G647,月間集計シート!O$113:O$132)*AM$2</f>
        <v>0</v>
      </c>
      <c r="AN647" s="88">
        <f>SUMIF(月間集計シート!$M$113:$M$132,$G647,月間集計シート!P$113:P$132)*AN$2</f>
        <v>0</v>
      </c>
      <c r="AO647" s="88">
        <f>SUMIF(月間集計シート!$M$113:$M$132,$G647,月間集計シート!Q$113:Q$132)*AO$2</f>
        <v>0</v>
      </c>
      <c r="AP647" s="88">
        <f>SUMIF(月間集計シート!$M$113:$M$132,$G647,月間集計シート!R$113:R$132)*AP$2</f>
        <v>0</v>
      </c>
      <c r="AQ647" s="88">
        <f>SUMIF(月間集計シート!$M$113:$M$132,$G647,月間集計シート!S$113:S$132)*AQ$2</f>
        <v>0</v>
      </c>
      <c r="AR647" s="88">
        <f>SUMIF(月間集計シート!$M$113:$M$132,$G647,月間集計シート!T$113:T$132)*AR$2</f>
        <v>0</v>
      </c>
      <c r="AS647" s="88">
        <f>SUMIF(月間集計シート!$M$134:$M$153,$G647,月間集計シート!N$134:N$153)*AS$2</f>
        <v>0</v>
      </c>
      <c r="AT647" s="88">
        <f>SUMIF(月間集計シート!$M$134:$M$153,$G647,月間集計シート!O$134:O$153)*AT$2</f>
        <v>0</v>
      </c>
      <c r="AU647" s="88">
        <f>SUMIF(月間集計シート!$M$134:$M$153,$G647,月間集計シート!P$134:P$153)*AU$2</f>
        <v>0</v>
      </c>
      <c r="AV647" s="88">
        <f>SUMIF(月間集計シート!$M$134:$M$153,$G647,月間集計シート!Q$134:Q$153)*AV$2</f>
        <v>0</v>
      </c>
      <c r="AW647" s="88">
        <f>SUMIF(月間集計シート!$M$134:$M$153,$G647,月間集計シート!R$134:R$153)*AW$2</f>
        <v>0</v>
      </c>
      <c r="AX647" s="88">
        <f>SUMIF(月間集計シート!$M$134:$M$153,$G647,月間集計シート!S$134:S$153)*AX$2</f>
        <v>0</v>
      </c>
      <c r="AY647" s="88">
        <f>SUMIF(月間集計シート!$M$134:$M$153,$G647,月間集計シート!T$134:T$153)*AY$2</f>
        <v>0</v>
      </c>
    </row>
    <row r="648" spans="1:51" ht="14.25" thickBot="1">
      <c r="A648">
        <v>8</v>
      </c>
      <c r="B648" s="120">
        <f t="shared" si="304"/>
        <v>0</v>
      </c>
      <c r="C648" s="120" t="str">
        <f t="shared" si="305"/>
        <v/>
      </c>
      <c r="D648" s="137"/>
      <c r="E648" s="150" t="str">
        <f>工種!A45</f>
        <v>60104</v>
      </c>
      <c r="F648" s="119" t="str">
        <f>工種!B45</f>
        <v>ﾘﾘｰｽ：ﾍﾙﾌﾟ作成・修正</v>
      </c>
      <c r="G648" s="116" t="str">
        <f t="shared" si="306"/>
        <v>060104</v>
      </c>
      <c r="H648" s="88">
        <f t="shared" si="260"/>
        <v>0</v>
      </c>
      <c r="I648" s="132"/>
      <c r="J648" s="88">
        <f>SUMIF(月間集計シート!$M$29:$M$48,$G648,月間集計シート!N$29:N$48)*J$2</f>
        <v>0</v>
      </c>
      <c r="K648" s="88">
        <f>SUMIF(月間集計シート!$M$29:$M$48,$G648,月間集計シート!O$29:O$48)*K$2</f>
        <v>0</v>
      </c>
      <c r="L648" s="88">
        <f>SUMIF(月間集計シート!$M$29:$M$48,$G648,月間集計シート!P$29:P$48)*L$2</f>
        <v>0</v>
      </c>
      <c r="M648" s="88">
        <f>SUMIF(月間集計シート!$M$29:$M$48,$G648,月間集計シート!Q$29:Q$48)*M$2</f>
        <v>0</v>
      </c>
      <c r="N648" s="88">
        <f>SUMIF(月間集計シート!$M$29:$M$48,$G648,月間集計シート!R$29:R$48)*N$2</f>
        <v>0</v>
      </c>
      <c r="O648" s="88">
        <f>SUMIF(月間集計シート!$M$29:$M$48,$G648,月間集計シート!S$29:S$48)*O$2</f>
        <v>0</v>
      </c>
      <c r="P648" s="88">
        <f>SUMIF(月間集計シート!$M$29:$M$48,$G648,月間集計シート!T$29:T$48)*P$2</f>
        <v>0</v>
      </c>
      <c r="Q648" s="88">
        <f>SUMIF(月間集計シート!$M$50:$M$69,$G648,月間集計シート!N$50:N$69)*Q$2</f>
        <v>0</v>
      </c>
      <c r="R648" s="88">
        <f>SUMIF(月間集計シート!$M$50:$M$69,$G648,月間集計シート!O$50:O$69)*R$2</f>
        <v>0</v>
      </c>
      <c r="S648" s="88">
        <f>SUMIF(月間集計シート!$M$50:$M$69,$G648,月間集計シート!P$50:P$69)*S$2</f>
        <v>0</v>
      </c>
      <c r="T648" s="88">
        <f>SUMIF(月間集計シート!$M$50:$M$69,$G648,月間集計シート!Q$50:Q$69)*T$2</f>
        <v>0</v>
      </c>
      <c r="U648" s="88">
        <f>SUMIF(月間集計シート!$M$50:$M$69,$G648,月間集計シート!R$50:R$69)*U$2</f>
        <v>0</v>
      </c>
      <c r="V648" s="88">
        <f>SUMIF(月間集計シート!$M$50:$M$69,$G648,月間集計シート!S$50:S$69)*V$2</f>
        <v>0</v>
      </c>
      <c r="W648" s="88">
        <f>SUMIF(月間集計シート!$M$50:$M$69,$G648,月間集計シート!T$50:T$69)*W$2</f>
        <v>0</v>
      </c>
      <c r="X648" s="88">
        <f>SUMIF(月間集計シート!$M$71:$M$90,$G648,月間集計シート!N$71:N$90)*X$2</f>
        <v>0</v>
      </c>
      <c r="Y648" s="88">
        <f>SUMIF(月間集計シート!$M$71:$M$90,$G648,月間集計シート!O$71:O$90)*Y$2</f>
        <v>0</v>
      </c>
      <c r="Z648" s="88">
        <f>SUMIF(月間集計シート!$M$71:$M$90,$G648,月間集計シート!P$71:P$90)*Z$2</f>
        <v>0</v>
      </c>
      <c r="AA648" s="88">
        <f>SUMIF(月間集計シート!$M$71:$M$90,$G648,月間集計シート!Q$71:Q$90)*AA$2</f>
        <v>0</v>
      </c>
      <c r="AB648" s="88">
        <f>SUMIF(月間集計シート!$M$71:$M$90,$G648,月間集計シート!R$71:R$90)*AB$2</f>
        <v>0</v>
      </c>
      <c r="AC648" s="88">
        <f>SUMIF(月間集計シート!$M$71:$M$90,$G648,月間集計シート!S$71:S$90)*AC$2</f>
        <v>0</v>
      </c>
      <c r="AD648" s="88">
        <f>SUMIF(月間集計シート!$M$71:$M$90,$G648,月間集計シート!T$71:T$90)*AD$2</f>
        <v>0</v>
      </c>
      <c r="AE648" s="88">
        <f>SUMIF(月間集計シート!$M$92:$M$111,$G648,月間集計シート!N$92:N$111)*AE$2</f>
        <v>0</v>
      </c>
      <c r="AF648" s="88">
        <f>SUMIF(月間集計シート!$M$92:$M$111,$G648,月間集計シート!O$92:O$111)*AF$2</f>
        <v>0</v>
      </c>
      <c r="AG648" s="88">
        <f>SUMIF(月間集計シート!$M$92:$M$111,$G648,月間集計シート!P$92:P$111)*AG$2</f>
        <v>0</v>
      </c>
      <c r="AH648" s="88">
        <f>SUMIF(月間集計シート!$M$92:$M$111,$G648,月間集計シート!Q$92:Q$111)*AH$2</f>
        <v>0</v>
      </c>
      <c r="AI648" s="88">
        <f>SUMIF(月間集計シート!$M$92:$M$111,$G648,月間集計シート!R$92:R$111)*AI$2</f>
        <v>0</v>
      </c>
      <c r="AJ648" s="88">
        <f>SUMIF(月間集計シート!$M$92:$M$111,$G648,月間集計シート!S$92:S$111)*AJ$2</f>
        <v>0</v>
      </c>
      <c r="AK648" s="88">
        <f>SUMIF(月間集計シート!$M$92:$M$111,$G648,月間集計シート!T$92:T$111)*AK$2</f>
        <v>0</v>
      </c>
      <c r="AL648" s="88">
        <f>SUMIF(月間集計シート!$M$113:$M$132,$G648,月間集計シート!N$113:N$132)*AL$2</f>
        <v>0</v>
      </c>
      <c r="AM648" s="88">
        <f>SUMIF(月間集計シート!$M$113:$M$132,$G648,月間集計シート!O$113:O$132)*AM$2</f>
        <v>0</v>
      </c>
      <c r="AN648" s="88">
        <f>SUMIF(月間集計シート!$M$113:$M$132,$G648,月間集計シート!P$113:P$132)*AN$2</f>
        <v>0</v>
      </c>
      <c r="AO648" s="88">
        <f>SUMIF(月間集計シート!$M$113:$M$132,$G648,月間集計シート!Q$113:Q$132)*AO$2</f>
        <v>0</v>
      </c>
      <c r="AP648" s="88">
        <f>SUMIF(月間集計シート!$M$113:$M$132,$G648,月間集計シート!R$113:R$132)*AP$2</f>
        <v>0</v>
      </c>
      <c r="AQ648" s="88">
        <f>SUMIF(月間集計シート!$M$113:$M$132,$G648,月間集計シート!S$113:S$132)*AQ$2</f>
        <v>0</v>
      </c>
      <c r="AR648" s="88">
        <f>SUMIF(月間集計シート!$M$113:$M$132,$G648,月間集計シート!T$113:T$132)*AR$2</f>
        <v>0</v>
      </c>
      <c r="AS648" s="88">
        <f>SUMIF(月間集計シート!$M$134:$M$153,$G648,月間集計シート!N$134:N$153)*AS$2</f>
        <v>0</v>
      </c>
      <c r="AT648" s="88">
        <f>SUMIF(月間集計シート!$M$134:$M$153,$G648,月間集計シート!O$134:O$153)*AT$2</f>
        <v>0</v>
      </c>
      <c r="AU648" s="88">
        <f>SUMIF(月間集計シート!$M$134:$M$153,$G648,月間集計シート!P$134:P$153)*AU$2</f>
        <v>0</v>
      </c>
      <c r="AV648" s="88">
        <f>SUMIF(月間集計シート!$M$134:$M$153,$G648,月間集計シート!Q$134:Q$153)*AV$2</f>
        <v>0</v>
      </c>
      <c r="AW648" s="88">
        <f>SUMIF(月間集計シート!$M$134:$M$153,$G648,月間集計シート!R$134:R$153)*AW$2</f>
        <v>0</v>
      </c>
      <c r="AX648" s="88">
        <f>SUMIF(月間集計シート!$M$134:$M$153,$G648,月間集計シート!S$134:S$153)*AX$2</f>
        <v>0</v>
      </c>
      <c r="AY648" s="88">
        <f>SUMIF(月間集計シート!$M$134:$M$153,$G648,月間集計シート!T$134:T$153)*AY$2</f>
        <v>0</v>
      </c>
    </row>
    <row r="649" spans="1:51" ht="14.25" thickBot="1">
      <c r="A649">
        <v>8</v>
      </c>
      <c r="B649" s="120">
        <f t="shared" si="304"/>
        <v>0</v>
      </c>
      <c r="C649" s="120" t="str">
        <f t="shared" si="305"/>
        <v/>
      </c>
      <c r="D649" s="137"/>
      <c r="E649" s="150" t="str">
        <f>工種!A46</f>
        <v>60105</v>
      </c>
      <c r="F649" s="119" t="str">
        <f>工種!B46</f>
        <v>ﾘﾘｰｽ：締め作業</v>
      </c>
      <c r="G649" s="116" t="str">
        <f t="shared" si="306"/>
        <v>060105</v>
      </c>
      <c r="H649" s="88">
        <f t="shared" si="260"/>
        <v>0</v>
      </c>
      <c r="I649" s="132"/>
      <c r="J649" s="88">
        <f>SUMIF(月間集計シート!$M$29:$M$48,$G649,月間集計シート!N$29:N$48)*J$2</f>
        <v>0</v>
      </c>
      <c r="K649" s="88">
        <f>SUMIF(月間集計シート!$M$29:$M$48,$G649,月間集計シート!O$29:O$48)*K$2</f>
        <v>0</v>
      </c>
      <c r="L649" s="88">
        <f>SUMIF(月間集計シート!$M$29:$M$48,$G649,月間集計シート!P$29:P$48)*L$2</f>
        <v>0</v>
      </c>
      <c r="M649" s="88">
        <f>SUMIF(月間集計シート!$M$29:$M$48,$G649,月間集計シート!Q$29:Q$48)*M$2</f>
        <v>0</v>
      </c>
      <c r="N649" s="88">
        <f>SUMIF(月間集計シート!$M$29:$M$48,$G649,月間集計シート!R$29:R$48)*N$2</f>
        <v>0</v>
      </c>
      <c r="O649" s="88">
        <f>SUMIF(月間集計シート!$M$29:$M$48,$G649,月間集計シート!S$29:S$48)*O$2</f>
        <v>0</v>
      </c>
      <c r="P649" s="88">
        <f>SUMIF(月間集計シート!$M$29:$M$48,$G649,月間集計シート!T$29:T$48)*P$2</f>
        <v>0</v>
      </c>
      <c r="Q649" s="88">
        <f>SUMIF(月間集計シート!$M$50:$M$69,$G649,月間集計シート!N$50:N$69)*Q$2</f>
        <v>0</v>
      </c>
      <c r="R649" s="88">
        <f>SUMIF(月間集計シート!$M$50:$M$69,$G649,月間集計シート!O$50:O$69)*R$2</f>
        <v>0</v>
      </c>
      <c r="S649" s="88">
        <f>SUMIF(月間集計シート!$M$50:$M$69,$G649,月間集計シート!P$50:P$69)*S$2</f>
        <v>0</v>
      </c>
      <c r="T649" s="88">
        <f>SUMIF(月間集計シート!$M$50:$M$69,$G649,月間集計シート!Q$50:Q$69)*T$2</f>
        <v>0</v>
      </c>
      <c r="U649" s="88">
        <f>SUMIF(月間集計シート!$M$50:$M$69,$G649,月間集計シート!R$50:R$69)*U$2</f>
        <v>0</v>
      </c>
      <c r="V649" s="88">
        <f>SUMIF(月間集計シート!$M$50:$M$69,$G649,月間集計シート!S$50:S$69)*V$2</f>
        <v>0</v>
      </c>
      <c r="W649" s="88">
        <f>SUMIF(月間集計シート!$M$50:$M$69,$G649,月間集計シート!T$50:T$69)*W$2</f>
        <v>0</v>
      </c>
      <c r="X649" s="88">
        <f>SUMIF(月間集計シート!$M$71:$M$90,$G649,月間集計シート!N$71:N$90)*X$2</f>
        <v>0</v>
      </c>
      <c r="Y649" s="88">
        <f>SUMIF(月間集計シート!$M$71:$M$90,$G649,月間集計シート!O$71:O$90)*Y$2</f>
        <v>0</v>
      </c>
      <c r="Z649" s="88">
        <f>SUMIF(月間集計シート!$M$71:$M$90,$G649,月間集計シート!P$71:P$90)*Z$2</f>
        <v>0</v>
      </c>
      <c r="AA649" s="88">
        <f>SUMIF(月間集計シート!$M$71:$M$90,$G649,月間集計シート!Q$71:Q$90)*AA$2</f>
        <v>0</v>
      </c>
      <c r="AB649" s="88">
        <f>SUMIF(月間集計シート!$M$71:$M$90,$G649,月間集計シート!R$71:R$90)*AB$2</f>
        <v>0</v>
      </c>
      <c r="AC649" s="88">
        <f>SUMIF(月間集計シート!$M$71:$M$90,$G649,月間集計シート!S$71:S$90)*AC$2</f>
        <v>0</v>
      </c>
      <c r="AD649" s="88">
        <f>SUMIF(月間集計シート!$M$71:$M$90,$G649,月間集計シート!T$71:T$90)*AD$2</f>
        <v>0</v>
      </c>
      <c r="AE649" s="88">
        <f>SUMIF(月間集計シート!$M$92:$M$111,$G649,月間集計シート!N$92:N$111)*AE$2</f>
        <v>0</v>
      </c>
      <c r="AF649" s="88">
        <f>SUMIF(月間集計シート!$M$92:$M$111,$G649,月間集計シート!O$92:O$111)*AF$2</f>
        <v>0</v>
      </c>
      <c r="AG649" s="88">
        <f>SUMIF(月間集計シート!$M$92:$M$111,$G649,月間集計シート!P$92:P$111)*AG$2</f>
        <v>0</v>
      </c>
      <c r="AH649" s="88">
        <f>SUMIF(月間集計シート!$M$92:$M$111,$G649,月間集計シート!Q$92:Q$111)*AH$2</f>
        <v>0</v>
      </c>
      <c r="AI649" s="88">
        <f>SUMIF(月間集計シート!$M$92:$M$111,$G649,月間集計シート!R$92:R$111)*AI$2</f>
        <v>0</v>
      </c>
      <c r="AJ649" s="88">
        <f>SUMIF(月間集計シート!$M$92:$M$111,$G649,月間集計シート!S$92:S$111)*AJ$2</f>
        <v>0</v>
      </c>
      <c r="AK649" s="88">
        <f>SUMIF(月間集計シート!$M$92:$M$111,$G649,月間集計シート!T$92:T$111)*AK$2</f>
        <v>0</v>
      </c>
      <c r="AL649" s="88">
        <f>SUMIF(月間集計シート!$M$113:$M$132,$G649,月間集計シート!N$113:N$132)*AL$2</f>
        <v>0</v>
      </c>
      <c r="AM649" s="88">
        <f>SUMIF(月間集計シート!$M$113:$M$132,$G649,月間集計シート!O$113:O$132)*AM$2</f>
        <v>0</v>
      </c>
      <c r="AN649" s="88">
        <f>SUMIF(月間集計シート!$M$113:$M$132,$G649,月間集計シート!P$113:P$132)*AN$2</f>
        <v>0</v>
      </c>
      <c r="AO649" s="88">
        <f>SUMIF(月間集計シート!$M$113:$M$132,$G649,月間集計シート!Q$113:Q$132)*AO$2</f>
        <v>0</v>
      </c>
      <c r="AP649" s="88">
        <f>SUMIF(月間集計シート!$M$113:$M$132,$G649,月間集計シート!R$113:R$132)*AP$2</f>
        <v>0</v>
      </c>
      <c r="AQ649" s="88">
        <f>SUMIF(月間集計シート!$M$113:$M$132,$G649,月間集計シート!S$113:S$132)*AQ$2</f>
        <v>0</v>
      </c>
      <c r="AR649" s="88">
        <f>SUMIF(月間集計シート!$M$113:$M$132,$G649,月間集計シート!T$113:T$132)*AR$2</f>
        <v>0</v>
      </c>
      <c r="AS649" s="88">
        <f>SUMIF(月間集計シート!$M$134:$M$153,$G649,月間集計シート!N$134:N$153)*AS$2</f>
        <v>0</v>
      </c>
      <c r="AT649" s="88">
        <f>SUMIF(月間集計シート!$M$134:$M$153,$G649,月間集計シート!O$134:O$153)*AT$2</f>
        <v>0</v>
      </c>
      <c r="AU649" s="88">
        <f>SUMIF(月間集計シート!$M$134:$M$153,$G649,月間集計シート!P$134:P$153)*AU$2</f>
        <v>0</v>
      </c>
      <c r="AV649" s="88">
        <f>SUMIF(月間集計シート!$M$134:$M$153,$G649,月間集計シート!Q$134:Q$153)*AV$2</f>
        <v>0</v>
      </c>
      <c r="AW649" s="88">
        <f>SUMIF(月間集計シート!$M$134:$M$153,$G649,月間集計シート!R$134:R$153)*AW$2</f>
        <v>0</v>
      </c>
      <c r="AX649" s="88">
        <f>SUMIF(月間集計シート!$M$134:$M$153,$G649,月間集計シート!S$134:S$153)*AX$2</f>
        <v>0</v>
      </c>
      <c r="AY649" s="88">
        <f>SUMIF(月間集計シート!$M$134:$M$153,$G649,月間集計シート!T$134:T$153)*AY$2</f>
        <v>0</v>
      </c>
    </row>
    <row r="650" spans="1:51" ht="14.25" thickBot="1">
      <c r="A650">
        <v>8</v>
      </c>
      <c r="B650" s="120">
        <f t="shared" si="304"/>
        <v>0</v>
      </c>
      <c r="C650" s="120" t="str">
        <f t="shared" si="305"/>
        <v/>
      </c>
      <c r="D650" s="137"/>
      <c r="E650" s="150" t="str">
        <f>工種!A47</f>
        <v>60107</v>
      </c>
      <c r="F650" s="119" t="str">
        <f>工種!B47</f>
        <v>ﾘﾘｰｽ：打合せ</v>
      </c>
      <c r="G650" s="116" t="str">
        <f t="shared" si="306"/>
        <v>060107</v>
      </c>
      <c r="H650" s="88">
        <f t="shared" si="260"/>
        <v>0</v>
      </c>
      <c r="I650" s="132"/>
      <c r="J650" s="88">
        <f>SUMIF(月間集計シート!$M$29:$M$48,$G650,月間集計シート!N$29:N$48)*J$2</f>
        <v>0</v>
      </c>
      <c r="K650" s="88">
        <f>SUMIF(月間集計シート!$M$29:$M$48,$G650,月間集計シート!O$29:O$48)*K$2</f>
        <v>0</v>
      </c>
      <c r="L650" s="88">
        <f>SUMIF(月間集計シート!$M$29:$M$48,$G650,月間集計シート!P$29:P$48)*L$2</f>
        <v>0</v>
      </c>
      <c r="M650" s="88">
        <f>SUMIF(月間集計シート!$M$29:$M$48,$G650,月間集計シート!Q$29:Q$48)*M$2</f>
        <v>0</v>
      </c>
      <c r="N650" s="88">
        <f>SUMIF(月間集計シート!$M$29:$M$48,$G650,月間集計シート!R$29:R$48)*N$2</f>
        <v>0</v>
      </c>
      <c r="O650" s="88">
        <f>SUMIF(月間集計シート!$M$29:$M$48,$G650,月間集計シート!S$29:S$48)*O$2</f>
        <v>0</v>
      </c>
      <c r="P650" s="88">
        <f>SUMIF(月間集計シート!$M$29:$M$48,$G650,月間集計シート!T$29:T$48)*P$2</f>
        <v>0</v>
      </c>
      <c r="Q650" s="88">
        <f>SUMIF(月間集計シート!$M$50:$M$69,$G650,月間集計シート!N$50:N$69)*Q$2</f>
        <v>0</v>
      </c>
      <c r="R650" s="88">
        <f>SUMIF(月間集計シート!$M$50:$M$69,$G650,月間集計シート!O$50:O$69)*R$2</f>
        <v>0</v>
      </c>
      <c r="S650" s="88">
        <f>SUMIF(月間集計シート!$M$50:$M$69,$G650,月間集計シート!P$50:P$69)*S$2</f>
        <v>0</v>
      </c>
      <c r="T650" s="88">
        <f>SUMIF(月間集計シート!$M$50:$M$69,$G650,月間集計シート!Q$50:Q$69)*T$2</f>
        <v>0</v>
      </c>
      <c r="U650" s="88">
        <f>SUMIF(月間集計シート!$M$50:$M$69,$G650,月間集計シート!R$50:R$69)*U$2</f>
        <v>0</v>
      </c>
      <c r="V650" s="88">
        <f>SUMIF(月間集計シート!$M$50:$M$69,$G650,月間集計シート!S$50:S$69)*V$2</f>
        <v>0</v>
      </c>
      <c r="W650" s="88">
        <f>SUMIF(月間集計シート!$M$50:$M$69,$G650,月間集計シート!T$50:T$69)*W$2</f>
        <v>0</v>
      </c>
      <c r="X650" s="88">
        <f>SUMIF(月間集計シート!$M$71:$M$90,$G650,月間集計シート!N$71:N$90)*X$2</f>
        <v>0</v>
      </c>
      <c r="Y650" s="88">
        <f>SUMIF(月間集計シート!$M$71:$M$90,$G650,月間集計シート!O$71:O$90)*Y$2</f>
        <v>0</v>
      </c>
      <c r="Z650" s="88">
        <f>SUMIF(月間集計シート!$M$71:$M$90,$G650,月間集計シート!P$71:P$90)*Z$2</f>
        <v>0</v>
      </c>
      <c r="AA650" s="88">
        <f>SUMIF(月間集計シート!$M$71:$M$90,$G650,月間集計シート!Q$71:Q$90)*AA$2</f>
        <v>0</v>
      </c>
      <c r="AB650" s="88">
        <f>SUMIF(月間集計シート!$M$71:$M$90,$G650,月間集計シート!R$71:R$90)*AB$2</f>
        <v>0</v>
      </c>
      <c r="AC650" s="88">
        <f>SUMIF(月間集計シート!$M$71:$M$90,$G650,月間集計シート!S$71:S$90)*AC$2</f>
        <v>0</v>
      </c>
      <c r="AD650" s="88">
        <f>SUMIF(月間集計シート!$M$71:$M$90,$G650,月間集計シート!T$71:T$90)*AD$2</f>
        <v>0</v>
      </c>
      <c r="AE650" s="88">
        <f>SUMIF(月間集計シート!$M$92:$M$111,$G650,月間集計シート!N$92:N$111)*AE$2</f>
        <v>0</v>
      </c>
      <c r="AF650" s="88">
        <f>SUMIF(月間集計シート!$M$92:$M$111,$G650,月間集計シート!O$92:O$111)*AF$2</f>
        <v>0</v>
      </c>
      <c r="AG650" s="88">
        <f>SUMIF(月間集計シート!$M$92:$M$111,$G650,月間集計シート!P$92:P$111)*AG$2</f>
        <v>0</v>
      </c>
      <c r="AH650" s="88">
        <f>SUMIF(月間集計シート!$M$92:$M$111,$G650,月間集計シート!Q$92:Q$111)*AH$2</f>
        <v>0</v>
      </c>
      <c r="AI650" s="88">
        <f>SUMIF(月間集計シート!$M$92:$M$111,$G650,月間集計シート!R$92:R$111)*AI$2</f>
        <v>0</v>
      </c>
      <c r="AJ650" s="88">
        <f>SUMIF(月間集計シート!$M$92:$M$111,$G650,月間集計シート!S$92:S$111)*AJ$2</f>
        <v>0</v>
      </c>
      <c r="AK650" s="88">
        <f>SUMIF(月間集計シート!$M$92:$M$111,$G650,月間集計シート!T$92:T$111)*AK$2</f>
        <v>0</v>
      </c>
      <c r="AL650" s="88">
        <f>SUMIF(月間集計シート!$M$113:$M$132,$G650,月間集計シート!N$113:N$132)*AL$2</f>
        <v>0</v>
      </c>
      <c r="AM650" s="88">
        <f>SUMIF(月間集計シート!$M$113:$M$132,$G650,月間集計シート!O$113:O$132)*AM$2</f>
        <v>0</v>
      </c>
      <c r="AN650" s="88">
        <f>SUMIF(月間集計シート!$M$113:$M$132,$G650,月間集計シート!P$113:P$132)*AN$2</f>
        <v>0</v>
      </c>
      <c r="AO650" s="88">
        <f>SUMIF(月間集計シート!$M$113:$M$132,$G650,月間集計シート!Q$113:Q$132)*AO$2</f>
        <v>0</v>
      </c>
      <c r="AP650" s="88">
        <f>SUMIF(月間集計シート!$M$113:$M$132,$G650,月間集計シート!R$113:R$132)*AP$2</f>
        <v>0</v>
      </c>
      <c r="AQ650" s="88">
        <f>SUMIF(月間集計シート!$M$113:$M$132,$G650,月間集計シート!S$113:S$132)*AQ$2</f>
        <v>0</v>
      </c>
      <c r="AR650" s="88">
        <f>SUMIF(月間集計シート!$M$113:$M$132,$G650,月間集計シート!T$113:T$132)*AR$2</f>
        <v>0</v>
      </c>
      <c r="AS650" s="88">
        <f>SUMIF(月間集計シート!$M$134:$M$153,$G650,月間集計シート!N$134:N$153)*AS$2</f>
        <v>0</v>
      </c>
      <c r="AT650" s="88">
        <f>SUMIF(月間集計シート!$M$134:$M$153,$G650,月間集計シート!O$134:O$153)*AT$2</f>
        <v>0</v>
      </c>
      <c r="AU650" s="88">
        <f>SUMIF(月間集計シート!$M$134:$M$153,$G650,月間集計シート!P$134:P$153)*AU$2</f>
        <v>0</v>
      </c>
      <c r="AV650" s="88">
        <f>SUMIF(月間集計シート!$M$134:$M$153,$G650,月間集計シート!Q$134:Q$153)*AV$2</f>
        <v>0</v>
      </c>
      <c r="AW650" s="88">
        <f>SUMIF(月間集計シート!$M$134:$M$153,$G650,月間集計シート!R$134:R$153)*AW$2</f>
        <v>0</v>
      </c>
      <c r="AX650" s="88">
        <f>SUMIF(月間集計シート!$M$134:$M$153,$G650,月間集計シート!S$134:S$153)*AX$2</f>
        <v>0</v>
      </c>
      <c r="AY650" s="88">
        <f>SUMIF(月間集計シート!$M$134:$M$153,$G650,月間集計シート!T$134:T$153)*AY$2</f>
        <v>0</v>
      </c>
    </row>
    <row r="651" spans="1:51" ht="14.25" thickBot="1">
      <c r="A651">
        <v>8</v>
      </c>
      <c r="B651" s="120">
        <f t="shared" si="304"/>
        <v>0</v>
      </c>
      <c r="C651" s="120" t="str">
        <f t="shared" si="305"/>
        <v/>
      </c>
      <c r="D651" s="137"/>
      <c r="E651" s="150" t="str">
        <f>工種!A48</f>
        <v>60108</v>
      </c>
      <c r="F651" s="119" t="str">
        <f>工種!B48</f>
        <v>ﾘﾘｰｽ：ﾚﾋﾞｭｰ</v>
      </c>
      <c r="G651" s="116" t="str">
        <f t="shared" si="306"/>
        <v>060108</v>
      </c>
      <c r="H651" s="88">
        <f t="shared" si="260"/>
        <v>0</v>
      </c>
      <c r="I651" s="132"/>
      <c r="J651" s="88">
        <f>SUMIF(月間集計シート!$M$29:$M$48,$G651,月間集計シート!N$29:N$48)*J$2</f>
        <v>0</v>
      </c>
      <c r="K651" s="88">
        <f>SUMIF(月間集計シート!$M$29:$M$48,$G651,月間集計シート!O$29:O$48)*K$2</f>
        <v>0</v>
      </c>
      <c r="L651" s="88">
        <f>SUMIF(月間集計シート!$M$29:$M$48,$G651,月間集計シート!P$29:P$48)*L$2</f>
        <v>0</v>
      </c>
      <c r="M651" s="88">
        <f>SUMIF(月間集計シート!$M$29:$M$48,$G651,月間集計シート!Q$29:Q$48)*M$2</f>
        <v>0</v>
      </c>
      <c r="N651" s="88">
        <f>SUMIF(月間集計シート!$M$29:$M$48,$G651,月間集計シート!R$29:R$48)*N$2</f>
        <v>0</v>
      </c>
      <c r="O651" s="88">
        <f>SUMIF(月間集計シート!$M$29:$M$48,$G651,月間集計シート!S$29:S$48)*O$2</f>
        <v>0</v>
      </c>
      <c r="P651" s="88">
        <f>SUMIF(月間集計シート!$M$29:$M$48,$G651,月間集計シート!T$29:T$48)*P$2</f>
        <v>0</v>
      </c>
      <c r="Q651" s="88">
        <f>SUMIF(月間集計シート!$M$50:$M$69,$G651,月間集計シート!N$50:N$69)*Q$2</f>
        <v>0</v>
      </c>
      <c r="R651" s="88">
        <f>SUMIF(月間集計シート!$M$50:$M$69,$G651,月間集計シート!O$50:O$69)*R$2</f>
        <v>0</v>
      </c>
      <c r="S651" s="88">
        <f>SUMIF(月間集計シート!$M$50:$M$69,$G651,月間集計シート!P$50:P$69)*S$2</f>
        <v>0</v>
      </c>
      <c r="T651" s="88">
        <f>SUMIF(月間集計シート!$M$50:$M$69,$G651,月間集計シート!Q$50:Q$69)*T$2</f>
        <v>0</v>
      </c>
      <c r="U651" s="88">
        <f>SUMIF(月間集計シート!$M$50:$M$69,$G651,月間集計シート!R$50:R$69)*U$2</f>
        <v>0</v>
      </c>
      <c r="V651" s="88">
        <f>SUMIF(月間集計シート!$M$50:$M$69,$G651,月間集計シート!S$50:S$69)*V$2</f>
        <v>0</v>
      </c>
      <c r="W651" s="88">
        <f>SUMIF(月間集計シート!$M$50:$M$69,$G651,月間集計シート!T$50:T$69)*W$2</f>
        <v>0</v>
      </c>
      <c r="X651" s="88">
        <f>SUMIF(月間集計シート!$M$71:$M$90,$G651,月間集計シート!N$71:N$90)*X$2</f>
        <v>0</v>
      </c>
      <c r="Y651" s="88">
        <f>SUMIF(月間集計シート!$M$71:$M$90,$G651,月間集計シート!O$71:O$90)*Y$2</f>
        <v>0</v>
      </c>
      <c r="Z651" s="88">
        <f>SUMIF(月間集計シート!$M$71:$M$90,$G651,月間集計シート!P$71:P$90)*Z$2</f>
        <v>0</v>
      </c>
      <c r="AA651" s="88">
        <f>SUMIF(月間集計シート!$M$71:$M$90,$G651,月間集計シート!Q$71:Q$90)*AA$2</f>
        <v>0</v>
      </c>
      <c r="AB651" s="88">
        <f>SUMIF(月間集計シート!$M$71:$M$90,$G651,月間集計シート!R$71:R$90)*AB$2</f>
        <v>0</v>
      </c>
      <c r="AC651" s="88">
        <f>SUMIF(月間集計シート!$M$71:$M$90,$G651,月間集計シート!S$71:S$90)*AC$2</f>
        <v>0</v>
      </c>
      <c r="AD651" s="88">
        <f>SUMIF(月間集計シート!$M$71:$M$90,$G651,月間集計シート!T$71:T$90)*AD$2</f>
        <v>0</v>
      </c>
      <c r="AE651" s="88">
        <f>SUMIF(月間集計シート!$M$92:$M$111,$G651,月間集計シート!N$92:N$111)*AE$2</f>
        <v>0</v>
      </c>
      <c r="AF651" s="88">
        <f>SUMIF(月間集計シート!$M$92:$M$111,$G651,月間集計シート!O$92:O$111)*AF$2</f>
        <v>0</v>
      </c>
      <c r="AG651" s="88">
        <f>SUMIF(月間集計シート!$M$92:$M$111,$G651,月間集計シート!P$92:P$111)*AG$2</f>
        <v>0</v>
      </c>
      <c r="AH651" s="88">
        <f>SUMIF(月間集計シート!$M$92:$M$111,$G651,月間集計シート!Q$92:Q$111)*AH$2</f>
        <v>0</v>
      </c>
      <c r="AI651" s="88">
        <f>SUMIF(月間集計シート!$M$92:$M$111,$G651,月間集計シート!R$92:R$111)*AI$2</f>
        <v>0</v>
      </c>
      <c r="AJ651" s="88">
        <f>SUMIF(月間集計シート!$M$92:$M$111,$G651,月間集計シート!S$92:S$111)*AJ$2</f>
        <v>0</v>
      </c>
      <c r="AK651" s="88">
        <f>SUMIF(月間集計シート!$M$92:$M$111,$G651,月間集計シート!T$92:T$111)*AK$2</f>
        <v>0</v>
      </c>
      <c r="AL651" s="88">
        <f>SUMIF(月間集計シート!$M$113:$M$132,$G651,月間集計シート!N$113:N$132)*AL$2</f>
        <v>0</v>
      </c>
      <c r="AM651" s="88">
        <f>SUMIF(月間集計シート!$M$113:$M$132,$G651,月間集計シート!O$113:O$132)*AM$2</f>
        <v>0</v>
      </c>
      <c r="AN651" s="88">
        <f>SUMIF(月間集計シート!$M$113:$M$132,$G651,月間集計シート!P$113:P$132)*AN$2</f>
        <v>0</v>
      </c>
      <c r="AO651" s="88">
        <f>SUMIF(月間集計シート!$M$113:$M$132,$G651,月間集計シート!Q$113:Q$132)*AO$2</f>
        <v>0</v>
      </c>
      <c r="AP651" s="88">
        <f>SUMIF(月間集計シート!$M$113:$M$132,$G651,月間集計シート!R$113:R$132)*AP$2</f>
        <v>0</v>
      </c>
      <c r="AQ651" s="88">
        <f>SUMIF(月間集計シート!$M$113:$M$132,$G651,月間集計シート!S$113:S$132)*AQ$2</f>
        <v>0</v>
      </c>
      <c r="AR651" s="88">
        <f>SUMIF(月間集計シート!$M$113:$M$132,$G651,月間集計シート!T$113:T$132)*AR$2</f>
        <v>0</v>
      </c>
      <c r="AS651" s="88">
        <f>SUMIF(月間集計シート!$M$134:$M$153,$G651,月間集計シート!N$134:N$153)*AS$2</f>
        <v>0</v>
      </c>
      <c r="AT651" s="88">
        <f>SUMIF(月間集計シート!$M$134:$M$153,$G651,月間集計シート!O$134:O$153)*AT$2</f>
        <v>0</v>
      </c>
      <c r="AU651" s="88">
        <f>SUMIF(月間集計シート!$M$134:$M$153,$G651,月間集計シート!P$134:P$153)*AU$2</f>
        <v>0</v>
      </c>
      <c r="AV651" s="88">
        <f>SUMIF(月間集計シート!$M$134:$M$153,$G651,月間集計シート!Q$134:Q$153)*AV$2</f>
        <v>0</v>
      </c>
      <c r="AW651" s="88">
        <f>SUMIF(月間集計シート!$M$134:$M$153,$G651,月間集計シート!R$134:R$153)*AW$2</f>
        <v>0</v>
      </c>
      <c r="AX651" s="88">
        <f>SUMIF(月間集計シート!$M$134:$M$153,$G651,月間集計シート!S$134:S$153)*AX$2</f>
        <v>0</v>
      </c>
      <c r="AY651" s="88">
        <f>SUMIF(月間集計シート!$M$134:$M$153,$G651,月間集計シート!T$134:T$153)*AY$2</f>
        <v>0</v>
      </c>
    </row>
    <row r="652" spans="1:51" ht="14.25" thickBot="1">
      <c r="A652">
        <v>8</v>
      </c>
      <c r="B652" s="120">
        <f t="shared" si="304"/>
        <v>0</v>
      </c>
      <c r="C652" s="120" t="str">
        <f t="shared" si="305"/>
        <v/>
      </c>
      <c r="D652" s="137"/>
      <c r="E652" s="150" t="str">
        <f>工種!A49</f>
        <v>60199</v>
      </c>
      <c r="F652" s="119" t="str">
        <f>工種!B49</f>
        <v>ﾘﾘｰｽ：その他</v>
      </c>
      <c r="G652" s="116" t="str">
        <f t="shared" si="306"/>
        <v>060199</v>
      </c>
      <c r="H652" s="88">
        <f t="shared" si="260"/>
        <v>0</v>
      </c>
      <c r="I652" s="132"/>
      <c r="J652" s="88">
        <f>SUMIF(月間集計シート!$M$29:$M$48,$G652,月間集計シート!N$29:N$48)*J$2</f>
        <v>0</v>
      </c>
      <c r="K652" s="88">
        <f>SUMIF(月間集計シート!$M$29:$M$48,$G652,月間集計シート!O$29:O$48)*K$2</f>
        <v>0</v>
      </c>
      <c r="L652" s="88">
        <f>SUMIF(月間集計シート!$M$29:$M$48,$G652,月間集計シート!P$29:P$48)*L$2</f>
        <v>0</v>
      </c>
      <c r="M652" s="88">
        <f>SUMIF(月間集計シート!$M$29:$M$48,$G652,月間集計シート!Q$29:Q$48)*M$2</f>
        <v>0</v>
      </c>
      <c r="N652" s="88">
        <f>SUMIF(月間集計シート!$M$29:$M$48,$G652,月間集計シート!R$29:R$48)*N$2</f>
        <v>0</v>
      </c>
      <c r="O652" s="88">
        <f>SUMIF(月間集計シート!$M$29:$M$48,$G652,月間集計シート!S$29:S$48)*O$2</f>
        <v>0</v>
      </c>
      <c r="P652" s="88">
        <f>SUMIF(月間集計シート!$M$29:$M$48,$G652,月間集計シート!T$29:T$48)*P$2</f>
        <v>0</v>
      </c>
      <c r="Q652" s="88">
        <f>SUMIF(月間集計シート!$M$50:$M$69,$G652,月間集計シート!N$50:N$69)*Q$2</f>
        <v>0</v>
      </c>
      <c r="R652" s="88">
        <f>SUMIF(月間集計シート!$M$50:$M$69,$G652,月間集計シート!O$50:O$69)*R$2</f>
        <v>0</v>
      </c>
      <c r="S652" s="88">
        <f>SUMIF(月間集計シート!$M$50:$M$69,$G652,月間集計シート!P$50:P$69)*S$2</f>
        <v>0</v>
      </c>
      <c r="T652" s="88">
        <f>SUMIF(月間集計シート!$M$50:$M$69,$G652,月間集計シート!Q$50:Q$69)*T$2</f>
        <v>0</v>
      </c>
      <c r="U652" s="88">
        <f>SUMIF(月間集計シート!$M$50:$M$69,$G652,月間集計シート!R$50:R$69)*U$2</f>
        <v>0</v>
      </c>
      <c r="V652" s="88">
        <f>SUMIF(月間集計シート!$M$50:$M$69,$G652,月間集計シート!S$50:S$69)*V$2</f>
        <v>0</v>
      </c>
      <c r="W652" s="88">
        <f>SUMIF(月間集計シート!$M$50:$M$69,$G652,月間集計シート!T$50:T$69)*W$2</f>
        <v>0</v>
      </c>
      <c r="X652" s="88">
        <f>SUMIF(月間集計シート!$M$71:$M$90,$G652,月間集計シート!N$71:N$90)*X$2</f>
        <v>0</v>
      </c>
      <c r="Y652" s="88">
        <f>SUMIF(月間集計シート!$M$71:$M$90,$G652,月間集計シート!O$71:O$90)*Y$2</f>
        <v>0</v>
      </c>
      <c r="Z652" s="88">
        <f>SUMIF(月間集計シート!$M$71:$M$90,$G652,月間集計シート!P$71:P$90)*Z$2</f>
        <v>0</v>
      </c>
      <c r="AA652" s="88">
        <f>SUMIF(月間集計シート!$M$71:$M$90,$G652,月間集計シート!Q$71:Q$90)*AA$2</f>
        <v>0</v>
      </c>
      <c r="AB652" s="88">
        <f>SUMIF(月間集計シート!$M$71:$M$90,$G652,月間集計シート!R$71:R$90)*AB$2</f>
        <v>0</v>
      </c>
      <c r="AC652" s="88">
        <f>SUMIF(月間集計シート!$M$71:$M$90,$G652,月間集計シート!S$71:S$90)*AC$2</f>
        <v>0</v>
      </c>
      <c r="AD652" s="88">
        <f>SUMIF(月間集計シート!$M$71:$M$90,$G652,月間集計シート!T$71:T$90)*AD$2</f>
        <v>0</v>
      </c>
      <c r="AE652" s="88">
        <f>SUMIF(月間集計シート!$M$92:$M$111,$G652,月間集計シート!N$92:N$111)*AE$2</f>
        <v>0</v>
      </c>
      <c r="AF652" s="88">
        <f>SUMIF(月間集計シート!$M$92:$M$111,$G652,月間集計シート!O$92:O$111)*AF$2</f>
        <v>0</v>
      </c>
      <c r="AG652" s="88">
        <f>SUMIF(月間集計シート!$M$92:$M$111,$G652,月間集計シート!P$92:P$111)*AG$2</f>
        <v>0</v>
      </c>
      <c r="AH652" s="88">
        <f>SUMIF(月間集計シート!$M$92:$M$111,$G652,月間集計シート!Q$92:Q$111)*AH$2</f>
        <v>0</v>
      </c>
      <c r="AI652" s="88">
        <f>SUMIF(月間集計シート!$M$92:$M$111,$G652,月間集計シート!R$92:R$111)*AI$2</f>
        <v>0</v>
      </c>
      <c r="AJ652" s="88">
        <f>SUMIF(月間集計シート!$M$92:$M$111,$G652,月間集計シート!S$92:S$111)*AJ$2</f>
        <v>0</v>
      </c>
      <c r="AK652" s="88">
        <f>SUMIF(月間集計シート!$M$92:$M$111,$G652,月間集計シート!T$92:T$111)*AK$2</f>
        <v>0</v>
      </c>
      <c r="AL652" s="88">
        <f>SUMIF(月間集計シート!$M$113:$M$132,$G652,月間集計シート!N$113:N$132)*AL$2</f>
        <v>0</v>
      </c>
      <c r="AM652" s="88">
        <f>SUMIF(月間集計シート!$M$113:$M$132,$G652,月間集計シート!O$113:O$132)*AM$2</f>
        <v>0</v>
      </c>
      <c r="AN652" s="88">
        <f>SUMIF(月間集計シート!$M$113:$M$132,$G652,月間集計シート!P$113:P$132)*AN$2</f>
        <v>0</v>
      </c>
      <c r="AO652" s="88">
        <f>SUMIF(月間集計シート!$M$113:$M$132,$G652,月間集計シート!Q$113:Q$132)*AO$2</f>
        <v>0</v>
      </c>
      <c r="AP652" s="88">
        <f>SUMIF(月間集計シート!$M$113:$M$132,$G652,月間集計シート!R$113:R$132)*AP$2</f>
        <v>0</v>
      </c>
      <c r="AQ652" s="88">
        <f>SUMIF(月間集計シート!$M$113:$M$132,$G652,月間集計シート!S$113:S$132)*AQ$2</f>
        <v>0</v>
      </c>
      <c r="AR652" s="88">
        <f>SUMIF(月間集計シート!$M$113:$M$132,$G652,月間集計シート!T$113:T$132)*AR$2</f>
        <v>0</v>
      </c>
      <c r="AS652" s="88">
        <f>SUMIF(月間集計シート!$M$134:$M$153,$G652,月間集計シート!N$134:N$153)*AS$2</f>
        <v>0</v>
      </c>
      <c r="AT652" s="88">
        <f>SUMIF(月間集計シート!$M$134:$M$153,$G652,月間集計シート!O$134:O$153)*AT$2</f>
        <v>0</v>
      </c>
      <c r="AU652" s="88">
        <f>SUMIF(月間集計シート!$M$134:$M$153,$G652,月間集計シート!P$134:P$153)*AU$2</f>
        <v>0</v>
      </c>
      <c r="AV652" s="88">
        <f>SUMIF(月間集計シート!$M$134:$M$153,$G652,月間集計シート!Q$134:Q$153)*AV$2</f>
        <v>0</v>
      </c>
      <c r="AW652" s="88">
        <f>SUMIF(月間集計シート!$M$134:$M$153,$G652,月間集計シート!R$134:R$153)*AW$2</f>
        <v>0</v>
      </c>
      <c r="AX652" s="88">
        <f>SUMIF(月間集計シート!$M$134:$M$153,$G652,月間集計シート!S$134:S$153)*AX$2</f>
        <v>0</v>
      </c>
      <c r="AY652" s="88">
        <f>SUMIF(月間集計シート!$M$134:$M$153,$G652,月間集計シート!T$134:T$153)*AY$2</f>
        <v>0</v>
      </c>
    </row>
    <row r="653" spans="1:51" ht="14.25" thickBot="1">
      <c r="A653">
        <v>8</v>
      </c>
      <c r="B653" s="120">
        <f t="shared" si="304"/>
        <v>0</v>
      </c>
      <c r="C653" s="120" t="str">
        <f t="shared" si="305"/>
        <v/>
      </c>
      <c r="D653" s="137"/>
      <c r="E653" s="150">
        <f>工種!A50</f>
        <v>70101</v>
      </c>
      <c r="F653" s="119" t="str">
        <f>工種!B50</f>
        <v>外部不具合修正：調査・設計</v>
      </c>
      <c r="G653" s="116" t="str">
        <f t="shared" si="306"/>
        <v>070101</v>
      </c>
      <c r="H653" s="88">
        <f t="shared" si="260"/>
        <v>0</v>
      </c>
      <c r="I653" s="132"/>
      <c r="J653" s="88">
        <f>SUMIF(月間集計シート!$M$29:$M$48,$G653,月間集計シート!N$29:N$48)*J$2</f>
        <v>0</v>
      </c>
      <c r="K653" s="88">
        <f>SUMIF(月間集計シート!$M$29:$M$48,$G653,月間集計シート!O$29:O$48)*K$2</f>
        <v>0</v>
      </c>
      <c r="L653" s="88">
        <f>SUMIF(月間集計シート!$M$29:$M$48,$G653,月間集計シート!P$29:P$48)*L$2</f>
        <v>0</v>
      </c>
      <c r="M653" s="88">
        <f>SUMIF(月間集計シート!$M$29:$M$48,$G653,月間集計シート!Q$29:Q$48)*M$2</f>
        <v>0</v>
      </c>
      <c r="N653" s="88">
        <f>SUMIF(月間集計シート!$M$29:$M$48,$G653,月間集計シート!R$29:R$48)*N$2</f>
        <v>0</v>
      </c>
      <c r="O653" s="88">
        <f>SUMIF(月間集計シート!$M$29:$M$48,$G653,月間集計シート!S$29:S$48)*O$2</f>
        <v>0</v>
      </c>
      <c r="P653" s="88">
        <f>SUMIF(月間集計シート!$M$29:$M$48,$G653,月間集計シート!T$29:T$48)*P$2</f>
        <v>0</v>
      </c>
      <c r="Q653" s="88">
        <f>SUMIF(月間集計シート!$M$50:$M$69,$G653,月間集計シート!N$50:N$69)*Q$2</f>
        <v>0</v>
      </c>
      <c r="R653" s="88">
        <f>SUMIF(月間集計シート!$M$50:$M$69,$G653,月間集計シート!O$50:O$69)*R$2</f>
        <v>0</v>
      </c>
      <c r="S653" s="88">
        <f>SUMIF(月間集計シート!$M$50:$M$69,$G653,月間集計シート!P$50:P$69)*S$2</f>
        <v>0</v>
      </c>
      <c r="T653" s="88">
        <f>SUMIF(月間集計シート!$M$50:$M$69,$G653,月間集計シート!Q$50:Q$69)*T$2</f>
        <v>0</v>
      </c>
      <c r="U653" s="88">
        <f>SUMIF(月間集計シート!$M$50:$M$69,$G653,月間集計シート!R$50:R$69)*U$2</f>
        <v>0</v>
      </c>
      <c r="V653" s="88">
        <f>SUMIF(月間集計シート!$M$50:$M$69,$G653,月間集計シート!S$50:S$69)*V$2</f>
        <v>0</v>
      </c>
      <c r="W653" s="88">
        <f>SUMIF(月間集計シート!$M$50:$M$69,$G653,月間集計シート!T$50:T$69)*W$2</f>
        <v>0</v>
      </c>
      <c r="X653" s="88">
        <f>SUMIF(月間集計シート!$M$71:$M$90,$G653,月間集計シート!N$71:N$90)*X$2</f>
        <v>0</v>
      </c>
      <c r="Y653" s="88">
        <f>SUMIF(月間集計シート!$M$71:$M$90,$G653,月間集計シート!O$71:O$90)*Y$2</f>
        <v>0</v>
      </c>
      <c r="Z653" s="88">
        <f>SUMIF(月間集計シート!$M$71:$M$90,$G653,月間集計シート!P$71:P$90)*Z$2</f>
        <v>0</v>
      </c>
      <c r="AA653" s="88">
        <f>SUMIF(月間集計シート!$M$71:$M$90,$G653,月間集計シート!Q$71:Q$90)*AA$2</f>
        <v>0</v>
      </c>
      <c r="AB653" s="88">
        <f>SUMIF(月間集計シート!$M$71:$M$90,$G653,月間集計シート!R$71:R$90)*AB$2</f>
        <v>0</v>
      </c>
      <c r="AC653" s="88">
        <f>SUMIF(月間集計シート!$M$71:$M$90,$G653,月間集計シート!S$71:S$90)*AC$2</f>
        <v>0</v>
      </c>
      <c r="AD653" s="88">
        <f>SUMIF(月間集計シート!$M$71:$M$90,$G653,月間集計シート!T$71:T$90)*AD$2</f>
        <v>0</v>
      </c>
      <c r="AE653" s="88">
        <f>SUMIF(月間集計シート!$M$92:$M$111,$G653,月間集計シート!N$92:N$111)*AE$2</f>
        <v>0</v>
      </c>
      <c r="AF653" s="88">
        <f>SUMIF(月間集計シート!$M$92:$M$111,$G653,月間集計シート!O$92:O$111)*AF$2</f>
        <v>0</v>
      </c>
      <c r="AG653" s="88">
        <f>SUMIF(月間集計シート!$M$92:$M$111,$G653,月間集計シート!P$92:P$111)*AG$2</f>
        <v>0</v>
      </c>
      <c r="AH653" s="88">
        <f>SUMIF(月間集計シート!$M$92:$M$111,$G653,月間集計シート!Q$92:Q$111)*AH$2</f>
        <v>0</v>
      </c>
      <c r="AI653" s="88">
        <f>SUMIF(月間集計シート!$M$92:$M$111,$G653,月間集計シート!R$92:R$111)*AI$2</f>
        <v>0</v>
      </c>
      <c r="AJ653" s="88">
        <f>SUMIF(月間集計シート!$M$92:$M$111,$G653,月間集計シート!S$92:S$111)*AJ$2</f>
        <v>0</v>
      </c>
      <c r="AK653" s="88">
        <f>SUMIF(月間集計シート!$M$92:$M$111,$G653,月間集計シート!T$92:T$111)*AK$2</f>
        <v>0</v>
      </c>
      <c r="AL653" s="88">
        <f>SUMIF(月間集計シート!$M$113:$M$132,$G653,月間集計シート!N$113:N$132)*AL$2</f>
        <v>0</v>
      </c>
      <c r="AM653" s="88">
        <f>SUMIF(月間集計シート!$M$113:$M$132,$G653,月間集計シート!O$113:O$132)*AM$2</f>
        <v>0</v>
      </c>
      <c r="AN653" s="88">
        <f>SUMIF(月間集計シート!$M$113:$M$132,$G653,月間集計シート!P$113:P$132)*AN$2</f>
        <v>0</v>
      </c>
      <c r="AO653" s="88">
        <f>SUMIF(月間集計シート!$M$113:$M$132,$G653,月間集計シート!Q$113:Q$132)*AO$2</f>
        <v>0</v>
      </c>
      <c r="AP653" s="88">
        <f>SUMIF(月間集計シート!$M$113:$M$132,$G653,月間集計シート!R$113:R$132)*AP$2</f>
        <v>0</v>
      </c>
      <c r="AQ653" s="88">
        <f>SUMIF(月間集計シート!$M$113:$M$132,$G653,月間集計シート!S$113:S$132)*AQ$2</f>
        <v>0</v>
      </c>
      <c r="AR653" s="88">
        <f>SUMIF(月間集計シート!$M$113:$M$132,$G653,月間集計シート!T$113:T$132)*AR$2</f>
        <v>0</v>
      </c>
      <c r="AS653" s="88">
        <f>SUMIF(月間集計シート!$M$134:$M$153,$G653,月間集計シート!N$134:N$153)*AS$2</f>
        <v>0</v>
      </c>
      <c r="AT653" s="88">
        <f>SUMIF(月間集計シート!$M$134:$M$153,$G653,月間集計シート!O$134:O$153)*AT$2</f>
        <v>0</v>
      </c>
      <c r="AU653" s="88">
        <f>SUMIF(月間集計シート!$M$134:$M$153,$G653,月間集計シート!P$134:P$153)*AU$2</f>
        <v>0</v>
      </c>
      <c r="AV653" s="88">
        <f>SUMIF(月間集計シート!$M$134:$M$153,$G653,月間集計シート!Q$134:Q$153)*AV$2</f>
        <v>0</v>
      </c>
      <c r="AW653" s="88">
        <f>SUMIF(月間集計シート!$M$134:$M$153,$G653,月間集計シート!R$134:R$153)*AW$2</f>
        <v>0</v>
      </c>
      <c r="AX653" s="88">
        <f>SUMIF(月間集計シート!$M$134:$M$153,$G653,月間集計シート!S$134:S$153)*AX$2</f>
        <v>0</v>
      </c>
      <c r="AY653" s="88">
        <f>SUMIF(月間集計シート!$M$134:$M$153,$G653,月間集計シート!T$134:T$153)*AY$2</f>
        <v>0</v>
      </c>
    </row>
    <row r="654" spans="1:51" ht="14.25" thickBot="1">
      <c r="A654">
        <v>8</v>
      </c>
      <c r="B654" s="120">
        <f t="shared" si="304"/>
        <v>0</v>
      </c>
      <c r="C654" s="120" t="str">
        <f t="shared" si="305"/>
        <v/>
      </c>
      <c r="D654" s="137"/>
      <c r="E654" s="150">
        <f>工種!A51</f>
        <v>70102</v>
      </c>
      <c r="F654" s="119" t="str">
        <f>工種!B51</f>
        <v>外部不具合修正：コーディング</v>
      </c>
      <c r="G654" s="116" t="str">
        <f t="shared" si="306"/>
        <v>070102</v>
      </c>
      <c r="H654" s="88">
        <f t="shared" si="260"/>
        <v>0</v>
      </c>
      <c r="I654" s="132"/>
      <c r="J654" s="88">
        <f>SUMIF(月間集計シート!$M$29:$M$48,$G654,月間集計シート!N$29:N$48)*J$2</f>
        <v>0</v>
      </c>
      <c r="K654" s="88">
        <f>SUMIF(月間集計シート!$M$29:$M$48,$G654,月間集計シート!O$29:O$48)*K$2</f>
        <v>0</v>
      </c>
      <c r="L654" s="88">
        <f>SUMIF(月間集計シート!$M$29:$M$48,$G654,月間集計シート!P$29:P$48)*L$2</f>
        <v>0</v>
      </c>
      <c r="M654" s="88">
        <f>SUMIF(月間集計シート!$M$29:$M$48,$G654,月間集計シート!Q$29:Q$48)*M$2</f>
        <v>0</v>
      </c>
      <c r="N654" s="88">
        <f>SUMIF(月間集計シート!$M$29:$M$48,$G654,月間集計シート!R$29:R$48)*N$2</f>
        <v>0</v>
      </c>
      <c r="O654" s="88">
        <f>SUMIF(月間集計シート!$M$29:$M$48,$G654,月間集計シート!S$29:S$48)*O$2</f>
        <v>0</v>
      </c>
      <c r="P654" s="88">
        <f>SUMIF(月間集計シート!$M$29:$M$48,$G654,月間集計シート!T$29:T$48)*P$2</f>
        <v>0</v>
      </c>
      <c r="Q654" s="88">
        <f>SUMIF(月間集計シート!$M$50:$M$69,$G654,月間集計シート!N$50:N$69)*Q$2</f>
        <v>0</v>
      </c>
      <c r="R654" s="88">
        <f>SUMIF(月間集計シート!$M$50:$M$69,$G654,月間集計シート!O$50:O$69)*R$2</f>
        <v>0</v>
      </c>
      <c r="S654" s="88">
        <f>SUMIF(月間集計シート!$M$50:$M$69,$G654,月間集計シート!P$50:P$69)*S$2</f>
        <v>0</v>
      </c>
      <c r="T654" s="88">
        <f>SUMIF(月間集計シート!$M$50:$M$69,$G654,月間集計シート!Q$50:Q$69)*T$2</f>
        <v>0</v>
      </c>
      <c r="U654" s="88">
        <f>SUMIF(月間集計シート!$M$50:$M$69,$G654,月間集計シート!R$50:R$69)*U$2</f>
        <v>0</v>
      </c>
      <c r="V654" s="88">
        <f>SUMIF(月間集計シート!$M$50:$M$69,$G654,月間集計シート!S$50:S$69)*V$2</f>
        <v>0</v>
      </c>
      <c r="W654" s="88">
        <f>SUMIF(月間集計シート!$M$50:$M$69,$G654,月間集計シート!T$50:T$69)*W$2</f>
        <v>0</v>
      </c>
      <c r="X654" s="88">
        <f>SUMIF(月間集計シート!$M$71:$M$90,$G654,月間集計シート!N$71:N$90)*X$2</f>
        <v>0</v>
      </c>
      <c r="Y654" s="88">
        <f>SUMIF(月間集計シート!$M$71:$M$90,$G654,月間集計シート!O$71:O$90)*Y$2</f>
        <v>0</v>
      </c>
      <c r="Z654" s="88">
        <f>SUMIF(月間集計シート!$M$71:$M$90,$G654,月間集計シート!P$71:P$90)*Z$2</f>
        <v>0</v>
      </c>
      <c r="AA654" s="88">
        <f>SUMIF(月間集計シート!$M$71:$M$90,$G654,月間集計シート!Q$71:Q$90)*AA$2</f>
        <v>0</v>
      </c>
      <c r="AB654" s="88">
        <f>SUMIF(月間集計シート!$M$71:$M$90,$G654,月間集計シート!R$71:R$90)*AB$2</f>
        <v>0</v>
      </c>
      <c r="AC654" s="88">
        <f>SUMIF(月間集計シート!$M$71:$M$90,$G654,月間集計シート!S$71:S$90)*AC$2</f>
        <v>0</v>
      </c>
      <c r="AD654" s="88">
        <f>SUMIF(月間集計シート!$M$71:$M$90,$G654,月間集計シート!T$71:T$90)*AD$2</f>
        <v>0</v>
      </c>
      <c r="AE654" s="88">
        <f>SUMIF(月間集計シート!$M$92:$M$111,$G654,月間集計シート!N$92:N$111)*AE$2</f>
        <v>0</v>
      </c>
      <c r="AF654" s="88">
        <f>SUMIF(月間集計シート!$M$92:$M$111,$G654,月間集計シート!O$92:O$111)*AF$2</f>
        <v>0</v>
      </c>
      <c r="AG654" s="88">
        <f>SUMIF(月間集計シート!$M$92:$M$111,$G654,月間集計シート!P$92:P$111)*AG$2</f>
        <v>0</v>
      </c>
      <c r="AH654" s="88">
        <f>SUMIF(月間集計シート!$M$92:$M$111,$G654,月間集計シート!Q$92:Q$111)*AH$2</f>
        <v>0</v>
      </c>
      <c r="AI654" s="88">
        <f>SUMIF(月間集計シート!$M$92:$M$111,$G654,月間集計シート!R$92:R$111)*AI$2</f>
        <v>0</v>
      </c>
      <c r="AJ654" s="88">
        <f>SUMIF(月間集計シート!$M$92:$M$111,$G654,月間集計シート!S$92:S$111)*AJ$2</f>
        <v>0</v>
      </c>
      <c r="AK654" s="88">
        <f>SUMIF(月間集計シート!$M$92:$M$111,$G654,月間集計シート!T$92:T$111)*AK$2</f>
        <v>0</v>
      </c>
      <c r="AL654" s="88">
        <f>SUMIF(月間集計シート!$M$113:$M$132,$G654,月間集計シート!N$113:N$132)*AL$2</f>
        <v>0</v>
      </c>
      <c r="AM654" s="88">
        <f>SUMIF(月間集計シート!$M$113:$M$132,$G654,月間集計シート!O$113:O$132)*AM$2</f>
        <v>0</v>
      </c>
      <c r="AN654" s="88">
        <f>SUMIF(月間集計シート!$M$113:$M$132,$G654,月間集計シート!P$113:P$132)*AN$2</f>
        <v>0</v>
      </c>
      <c r="AO654" s="88">
        <f>SUMIF(月間集計シート!$M$113:$M$132,$G654,月間集計シート!Q$113:Q$132)*AO$2</f>
        <v>0</v>
      </c>
      <c r="AP654" s="88">
        <f>SUMIF(月間集計シート!$M$113:$M$132,$G654,月間集計シート!R$113:R$132)*AP$2</f>
        <v>0</v>
      </c>
      <c r="AQ654" s="88">
        <f>SUMIF(月間集計シート!$M$113:$M$132,$G654,月間集計シート!S$113:S$132)*AQ$2</f>
        <v>0</v>
      </c>
      <c r="AR654" s="88">
        <f>SUMIF(月間集計シート!$M$113:$M$132,$G654,月間集計シート!T$113:T$132)*AR$2</f>
        <v>0</v>
      </c>
      <c r="AS654" s="88">
        <f>SUMIF(月間集計シート!$M$134:$M$153,$G654,月間集計シート!N$134:N$153)*AS$2</f>
        <v>0</v>
      </c>
      <c r="AT654" s="88">
        <f>SUMIF(月間集計シート!$M$134:$M$153,$G654,月間集計シート!O$134:O$153)*AT$2</f>
        <v>0</v>
      </c>
      <c r="AU654" s="88">
        <f>SUMIF(月間集計シート!$M$134:$M$153,$G654,月間集計シート!P$134:P$153)*AU$2</f>
        <v>0</v>
      </c>
      <c r="AV654" s="88">
        <f>SUMIF(月間集計シート!$M$134:$M$153,$G654,月間集計シート!Q$134:Q$153)*AV$2</f>
        <v>0</v>
      </c>
      <c r="AW654" s="88">
        <f>SUMIF(月間集計シート!$M$134:$M$153,$G654,月間集計シート!R$134:R$153)*AW$2</f>
        <v>0</v>
      </c>
      <c r="AX654" s="88">
        <f>SUMIF(月間集計シート!$M$134:$M$153,$G654,月間集計シート!S$134:S$153)*AX$2</f>
        <v>0</v>
      </c>
      <c r="AY654" s="88">
        <f>SUMIF(月間集計シート!$M$134:$M$153,$G654,月間集計シート!T$134:T$153)*AY$2</f>
        <v>0</v>
      </c>
    </row>
    <row r="655" spans="1:51" ht="14.25" thickBot="1">
      <c r="A655">
        <v>8</v>
      </c>
      <c r="B655" s="120">
        <f t="shared" si="304"/>
        <v>0</v>
      </c>
      <c r="C655" s="120" t="str">
        <f t="shared" si="305"/>
        <v/>
      </c>
      <c r="D655" s="137"/>
      <c r="E655" s="150">
        <f>工種!A52</f>
        <v>70103</v>
      </c>
      <c r="F655" s="119" t="str">
        <f>工種!B52</f>
        <v>外部不具合修正：テスト</v>
      </c>
      <c r="G655" s="116" t="str">
        <f t="shared" si="306"/>
        <v>070103</v>
      </c>
      <c r="H655" s="88">
        <f t="shared" si="260"/>
        <v>0</v>
      </c>
      <c r="I655" s="132"/>
      <c r="J655" s="88">
        <f>SUMIF(月間集計シート!$M$29:$M$48,$G655,月間集計シート!N$29:N$48)*J$2</f>
        <v>0</v>
      </c>
      <c r="K655" s="88">
        <f>SUMIF(月間集計シート!$M$29:$M$48,$G655,月間集計シート!O$29:O$48)*K$2</f>
        <v>0</v>
      </c>
      <c r="L655" s="88">
        <f>SUMIF(月間集計シート!$M$29:$M$48,$G655,月間集計シート!P$29:P$48)*L$2</f>
        <v>0</v>
      </c>
      <c r="M655" s="88">
        <f>SUMIF(月間集計シート!$M$29:$M$48,$G655,月間集計シート!Q$29:Q$48)*M$2</f>
        <v>0</v>
      </c>
      <c r="N655" s="88">
        <f>SUMIF(月間集計シート!$M$29:$M$48,$G655,月間集計シート!R$29:R$48)*N$2</f>
        <v>0</v>
      </c>
      <c r="O655" s="88">
        <f>SUMIF(月間集計シート!$M$29:$M$48,$G655,月間集計シート!S$29:S$48)*O$2</f>
        <v>0</v>
      </c>
      <c r="P655" s="88">
        <f>SUMIF(月間集計シート!$M$29:$M$48,$G655,月間集計シート!T$29:T$48)*P$2</f>
        <v>0</v>
      </c>
      <c r="Q655" s="88">
        <f>SUMIF(月間集計シート!$M$50:$M$69,$G655,月間集計シート!N$50:N$69)*Q$2</f>
        <v>0</v>
      </c>
      <c r="R655" s="88">
        <f>SUMIF(月間集計シート!$M$50:$M$69,$G655,月間集計シート!O$50:O$69)*R$2</f>
        <v>0</v>
      </c>
      <c r="S655" s="88">
        <f>SUMIF(月間集計シート!$M$50:$M$69,$G655,月間集計シート!P$50:P$69)*S$2</f>
        <v>0</v>
      </c>
      <c r="T655" s="88">
        <f>SUMIF(月間集計シート!$M$50:$M$69,$G655,月間集計シート!Q$50:Q$69)*T$2</f>
        <v>0</v>
      </c>
      <c r="U655" s="88">
        <f>SUMIF(月間集計シート!$M$50:$M$69,$G655,月間集計シート!R$50:R$69)*U$2</f>
        <v>0</v>
      </c>
      <c r="V655" s="88">
        <f>SUMIF(月間集計シート!$M$50:$M$69,$G655,月間集計シート!S$50:S$69)*V$2</f>
        <v>0</v>
      </c>
      <c r="W655" s="88">
        <f>SUMIF(月間集計シート!$M$50:$M$69,$G655,月間集計シート!T$50:T$69)*W$2</f>
        <v>0</v>
      </c>
      <c r="X655" s="88">
        <f>SUMIF(月間集計シート!$M$71:$M$90,$G655,月間集計シート!N$71:N$90)*X$2</f>
        <v>0</v>
      </c>
      <c r="Y655" s="88">
        <f>SUMIF(月間集計シート!$M$71:$M$90,$G655,月間集計シート!O$71:O$90)*Y$2</f>
        <v>0</v>
      </c>
      <c r="Z655" s="88">
        <f>SUMIF(月間集計シート!$M$71:$M$90,$G655,月間集計シート!P$71:P$90)*Z$2</f>
        <v>0</v>
      </c>
      <c r="AA655" s="88">
        <f>SUMIF(月間集計シート!$M$71:$M$90,$G655,月間集計シート!Q$71:Q$90)*AA$2</f>
        <v>0</v>
      </c>
      <c r="AB655" s="88">
        <f>SUMIF(月間集計シート!$M$71:$M$90,$G655,月間集計シート!R$71:R$90)*AB$2</f>
        <v>0</v>
      </c>
      <c r="AC655" s="88">
        <f>SUMIF(月間集計シート!$M$71:$M$90,$G655,月間集計シート!S$71:S$90)*AC$2</f>
        <v>0</v>
      </c>
      <c r="AD655" s="88">
        <f>SUMIF(月間集計シート!$M$71:$M$90,$G655,月間集計シート!T$71:T$90)*AD$2</f>
        <v>0</v>
      </c>
      <c r="AE655" s="88">
        <f>SUMIF(月間集計シート!$M$92:$M$111,$G655,月間集計シート!N$92:N$111)*AE$2</f>
        <v>0</v>
      </c>
      <c r="AF655" s="88">
        <f>SUMIF(月間集計シート!$M$92:$M$111,$G655,月間集計シート!O$92:O$111)*AF$2</f>
        <v>0</v>
      </c>
      <c r="AG655" s="88">
        <f>SUMIF(月間集計シート!$M$92:$M$111,$G655,月間集計シート!P$92:P$111)*AG$2</f>
        <v>0</v>
      </c>
      <c r="AH655" s="88">
        <f>SUMIF(月間集計シート!$M$92:$M$111,$G655,月間集計シート!Q$92:Q$111)*AH$2</f>
        <v>0</v>
      </c>
      <c r="AI655" s="88">
        <f>SUMIF(月間集計シート!$M$92:$M$111,$G655,月間集計シート!R$92:R$111)*AI$2</f>
        <v>0</v>
      </c>
      <c r="AJ655" s="88">
        <f>SUMIF(月間集計シート!$M$92:$M$111,$G655,月間集計シート!S$92:S$111)*AJ$2</f>
        <v>0</v>
      </c>
      <c r="AK655" s="88">
        <f>SUMIF(月間集計シート!$M$92:$M$111,$G655,月間集計シート!T$92:T$111)*AK$2</f>
        <v>0</v>
      </c>
      <c r="AL655" s="88">
        <f>SUMIF(月間集計シート!$M$113:$M$132,$G655,月間集計シート!N$113:N$132)*AL$2</f>
        <v>0</v>
      </c>
      <c r="AM655" s="88">
        <f>SUMIF(月間集計シート!$M$113:$M$132,$G655,月間集計シート!O$113:O$132)*AM$2</f>
        <v>0</v>
      </c>
      <c r="AN655" s="88">
        <f>SUMIF(月間集計シート!$M$113:$M$132,$G655,月間集計シート!P$113:P$132)*AN$2</f>
        <v>0</v>
      </c>
      <c r="AO655" s="88">
        <f>SUMIF(月間集計シート!$M$113:$M$132,$G655,月間集計シート!Q$113:Q$132)*AO$2</f>
        <v>0</v>
      </c>
      <c r="AP655" s="88">
        <f>SUMIF(月間集計シート!$M$113:$M$132,$G655,月間集計シート!R$113:R$132)*AP$2</f>
        <v>0</v>
      </c>
      <c r="AQ655" s="88">
        <f>SUMIF(月間集計シート!$M$113:$M$132,$G655,月間集計シート!S$113:S$132)*AQ$2</f>
        <v>0</v>
      </c>
      <c r="AR655" s="88">
        <f>SUMIF(月間集計シート!$M$113:$M$132,$G655,月間集計シート!T$113:T$132)*AR$2</f>
        <v>0</v>
      </c>
      <c r="AS655" s="88">
        <f>SUMIF(月間集計シート!$M$134:$M$153,$G655,月間集計シート!N$134:N$153)*AS$2</f>
        <v>0</v>
      </c>
      <c r="AT655" s="88">
        <f>SUMIF(月間集計シート!$M$134:$M$153,$G655,月間集計シート!O$134:O$153)*AT$2</f>
        <v>0</v>
      </c>
      <c r="AU655" s="88">
        <f>SUMIF(月間集計シート!$M$134:$M$153,$G655,月間集計シート!P$134:P$153)*AU$2</f>
        <v>0</v>
      </c>
      <c r="AV655" s="88">
        <f>SUMIF(月間集計シート!$M$134:$M$153,$G655,月間集計シート!Q$134:Q$153)*AV$2</f>
        <v>0</v>
      </c>
      <c r="AW655" s="88">
        <f>SUMIF(月間集計シート!$M$134:$M$153,$G655,月間集計シート!R$134:R$153)*AW$2</f>
        <v>0</v>
      </c>
      <c r="AX655" s="88">
        <f>SUMIF(月間集計シート!$M$134:$M$153,$G655,月間集計シート!S$134:S$153)*AX$2</f>
        <v>0</v>
      </c>
      <c r="AY655" s="88">
        <f>SUMIF(月間集計シート!$M$134:$M$153,$G655,月間集計シート!T$134:T$153)*AY$2</f>
        <v>0</v>
      </c>
    </row>
    <row r="656" spans="1:51" ht="14.25" thickBot="1">
      <c r="A656">
        <v>8</v>
      </c>
      <c r="B656" s="120">
        <f t="shared" si="304"/>
        <v>0</v>
      </c>
      <c r="C656" s="120" t="str">
        <f t="shared" si="305"/>
        <v/>
      </c>
      <c r="D656" s="137"/>
      <c r="E656" s="150">
        <f>工種!A53</f>
        <v>70104</v>
      </c>
      <c r="F656" s="119" t="str">
        <f>工種!B53</f>
        <v>外部不具合修正：不具合連絡作成</v>
      </c>
      <c r="G656" s="116" t="str">
        <f t="shared" si="306"/>
        <v>070104</v>
      </c>
      <c r="H656" s="88">
        <f t="shared" si="260"/>
        <v>0</v>
      </c>
      <c r="I656" s="132"/>
      <c r="J656" s="88">
        <f>SUMIF(月間集計シート!$M$29:$M$48,$G656,月間集計シート!N$29:N$48)*J$2</f>
        <v>0</v>
      </c>
      <c r="K656" s="88">
        <f>SUMIF(月間集計シート!$M$29:$M$48,$G656,月間集計シート!O$29:O$48)*K$2</f>
        <v>0</v>
      </c>
      <c r="L656" s="88">
        <f>SUMIF(月間集計シート!$M$29:$M$48,$G656,月間集計シート!P$29:P$48)*L$2</f>
        <v>0</v>
      </c>
      <c r="M656" s="88">
        <f>SUMIF(月間集計シート!$M$29:$M$48,$G656,月間集計シート!Q$29:Q$48)*M$2</f>
        <v>0</v>
      </c>
      <c r="N656" s="88">
        <f>SUMIF(月間集計シート!$M$29:$M$48,$G656,月間集計シート!R$29:R$48)*N$2</f>
        <v>0</v>
      </c>
      <c r="O656" s="88">
        <f>SUMIF(月間集計シート!$M$29:$M$48,$G656,月間集計シート!S$29:S$48)*O$2</f>
        <v>0</v>
      </c>
      <c r="P656" s="88">
        <f>SUMIF(月間集計シート!$M$29:$M$48,$G656,月間集計シート!T$29:T$48)*P$2</f>
        <v>0</v>
      </c>
      <c r="Q656" s="88">
        <f>SUMIF(月間集計シート!$M$50:$M$69,$G656,月間集計シート!N$50:N$69)*Q$2</f>
        <v>0</v>
      </c>
      <c r="R656" s="88">
        <f>SUMIF(月間集計シート!$M$50:$M$69,$G656,月間集計シート!O$50:O$69)*R$2</f>
        <v>0</v>
      </c>
      <c r="S656" s="88">
        <f>SUMIF(月間集計シート!$M$50:$M$69,$G656,月間集計シート!P$50:P$69)*S$2</f>
        <v>0</v>
      </c>
      <c r="T656" s="88">
        <f>SUMIF(月間集計シート!$M$50:$M$69,$G656,月間集計シート!Q$50:Q$69)*T$2</f>
        <v>0</v>
      </c>
      <c r="U656" s="88">
        <f>SUMIF(月間集計シート!$M$50:$M$69,$G656,月間集計シート!R$50:R$69)*U$2</f>
        <v>0</v>
      </c>
      <c r="V656" s="88">
        <f>SUMIF(月間集計シート!$M$50:$M$69,$G656,月間集計シート!S$50:S$69)*V$2</f>
        <v>0</v>
      </c>
      <c r="W656" s="88">
        <f>SUMIF(月間集計シート!$M$50:$M$69,$G656,月間集計シート!T$50:T$69)*W$2</f>
        <v>0</v>
      </c>
      <c r="X656" s="88">
        <f>SUMIF(月間集計シート!$M$71:$M$90,$G656,月間集計シート!N$71:N$90)*X$2</f>
        <v>0</v>
      </c>
      <c r="Y656" s="88">
        <f>SUMIF(月間集計シート!$M$71:$M$90,$G656,月間集計シート!O$71:O$90)*Y$2</f>
        <v>0</v>
      </c>
      <c r="Z656" s="88">
        <f>SUMIF(月間集計シート!$M$71:$M$90,$G656,月間集計シート!P$71:P$90)*Z$2</f>
        <v>0</v>
      </c>
      <c r="AA656" s="88">
        <f>SUMIF(月間集計シート!$M$71:$M$90,$G656,月間集計シート!Q$71:Q$90)*AA$2</f>
        <v>0</v>
      </c>
      <c r="AB656" s="88">
        <f>SUMIF(月間集計シート!$M$71:$M$90,$G656,月間集計シート!R$71:R$90)*AB$2</f>
        <v>0</v>
      </c>
      <c r="AC656" s="88">
        <f>SUMIF(月間集計シート!$M$71:$M$90,$G656,月間集計シート!S$71:S$90)*AC$2</f>
        <v>0</v>
      </c>
      <c r="AD656" s="88">
        <f>SUMIF(月間集計シート!$M$71:$M$90,$G656,月間集計シート!T$71:T$90)*AD$2</f>
        <v>0</v>
      </c>
      <c r="AE656" s="88">
        <f>SUMIF(月間集計シート!$M$92:$M$111,$G656,月間集計シート!N$92:N$111)*AE$2</f>
        <v>0</v>
      </c>
      <c r="AF656" s="88">
        <f>SUMIF(月間集計シート!$M$92:$M$111,$G656,月間集計シート!O$92:O$111)*AF$2</f>
        <v>0</v>
      </c>
      <c r="AG656" s="88">
        <f>SUMIF(月間集計シート!$M$92:$M$111,$G656,月間集計シート!P$92:P$111)*AG$2</f>
        <v>0</v>
      </c>
      <c r="AH656" s="88">
        <f>SUMIF(月間集計シート!$M$92:$M$111,$G656,月間集計シート!Q$92:Q$111)*AH$2</f>
        <v>0</v>
      </c>
      <c r="AI656" s="88">
        <f>SUMIF(月間集計シート!$M$92:$M$111,$G656,月間集計シート!R$92:R$111)*AI$2</f>
        <v>0</v>
      </c>
      <c r="AJ656" s="88">
        <f>SUMIF(月間集計シート!$M$92:$M$111,$G656,月間集計シート!S$92:S$111)*AJ$2</f>
        <v>0</v>
      </c>
      <c r="AK656" s="88">
        <f>SUMIF(月間集計シート!$M$92:$M$111,$G656,月間集計シート!T$92:T$111)*AK$2</f>
        <v>0</v>
      </c>
      <c r="AL656" s="88">
        <f>SUMIF(月間集計シート!$M$113:$M$132,$G656,月間集計シート!N$113:N$132)*AL$2</f>
        <v>0</v>
      </c>
      <c r="AM656" s="88">
        <f>SUMIF(月間集計シート!$M$113:$M$132,$G656,月間集計シート!O$113:O$132)*AM$2</f>
        <v>0</v>
      </c>
      <c r="AN656" s="88">
        <f>SUMIF(月間集計シート!$M$113:$M$132,$G656,月間集計シート!P$113:P$132)*AN$2</f>
        <v>0</v>
      </c>
      <c r="AO656" s="88">
        <f>SUMIF(月間集計シート!$M$113:$M$132,$G656,月間集計シート!Q$113:Q$132)*AO$2</f>
        <v>0</v>
      </c>
      <c r="AP656" s="88">
        <f>SUMIF(月間集計シート!$M$113:$M$132,$G656,月間集計シート!R$113:R$132)*AP$2</f>
        <v>0</v>
      </c>
      <c r="AQ656" s="88">
        <f>SUMIF(月間集計シート!$M$113:$M$132,$G656,月間集計シート!S$113:S$132)*AQ$2</f>
        <v>0</v>
      </c>
      <c r="AR656" s="88">
        <f>SUMIF(月間集計シート!$M$113:$M$132,$G656,月間集計シート!T$113:T$132)*AR$2</f>
        <v>0</v>
      </c>
      <c r="AS656" s="88">
        <f>SUMIF(月間集計シート!$M$134:$M$153,$G656,月間集計シート!N$134:N$153)*AS$2</f>
        <v>0</v>
      </c>
      <c r="AT656" s="88">
        <f>SUMIF(月間集計シート!$M$134:$M$153,$G656,月間集計シート!O$134:O$153)*AT$2</f>
        <v>0</v>
      </c>
      <c r="AU656" s="88">
        <f>SUMIF(月間集計シート!$M$134:$M$153,$G656,月間集計シート!P$134:P$153)*AU$2</f>
        <v>0</v>
      </c>
      <c r="AV656" s="88">
        <f>SUMIF(月間集計シート!$M$134:$M$153,$G656,月間集計シート!Q$134:Q$153)*AV$2</f>
        <v>0</v>
      </c>
      <c r="AW656" s="88">
        <f>SUMIF(月間集計シート!$M$134:$M$153,$G656,月間集計シート!R$134:R$153)*AW$2</f>
        <v>0</v>
      </c>
      <c r="AX656" s="88">
        <f>SUMIF(月間集計シート!$M$134:$M$153,$G656,月間集計シート!S$134:S$153)*AX$2</f>
        <v>0</v>
      </c>
      <c r="AY656" s="88">
        <f>SUMIF(月間集計シート!$M$134:$M$153,$G656,月間集計シート!T$134:T$153)*AY$2</f>
        <v>0</v>
      </c>
    </row>
    <row r="657" spans="1:51" ht="14.25" thickBot="1">
      <c r="A657">
        <v>8</v>
      </c>
      <c r="B657" s="120">
        <f t="shared" si="304"/>
        <v>0</v>
      </c>
      <c r="C657" s="120" t="str">
        <f t="shared" si="305"/>
        <v/>
      </c>
      <c r="D657" s="137"/>
      <c r="E657" s="150">
        <f>工種!A54</f>
        <v>70105</v>
      </c>
      <c r="F657" s="119" t="str">
        <f>工種!B54</f>
        <v>外部不具合修正：差分PGイントラ掲載</v>
      </c>
      <c r="G657" s="116" t="str">
        <f t="shared" si="306"/>
        <v>070105</v>
      </c>
      <c r="H657" s="88">
        <f t="shared" si="260"/>
        <v>0</v>
      </c>
      <c r="I657" s="132"/>
      <c r="J657" s="88">
        <f>SUMIF(月間集計シート!$M$29:$M$48,$G657,月間集計シート!N$29:N$48)*J$2</f>
        <v>0</v>
      </c>
      <c r="K657" s="88">
        <f>SUMIF(月間集計シート!$M$29:$M$48,$G657,月間集計シート!O$29:O$48)*K$2</f>
        <v>0</v>
      </c>
      <c r="L657" s="88">
        <f>SUMIF(月間集計シート!$M$29:$M$48,$G657,月間集計シート!P$29:P$48)*L$2</f>
        <v>0</v>
      </c>
      <c r="M657" s="88">
        <f>SUMIF(月間集計シート!$M$29:$M$48,$G657,月間集計シート!Q$29:Q$48)*M$2</f>
        <v>0</v>
      </c>
      <c r="N657" s="88">
        <f>SUMIF(月間集計シート!$M$29:$M$48,$G657,月間集計シート!R$29:R$48)*N$2</f>
        <v>0</v>
      </c>
      <c r="O657" s="88">
        <f>SUMIF(月間集計シート!$M$29:$M$48,$G657,月間集計シート!S$29:S$48)*O$2</f>
        <v>0</v>
      </c>
      <c r="P657" s="88">
        <f>SUMIF(月間集計シート!$M$29:$M$48,$G657,月間集計シート!T$29:T$48)*P$2</f>
        <v>0</v>
      </c>
      <c r="Q657" s="88">
        <f>SUMIF(月間集計シート!$M$50:$M$69,$G657,月間集計シート!N$50:N$69)*Q$2</f>
        <v>0</v>
      </c>
      <c r="R657" s="88">
        <f>SUMIF(月間集計シート!$M$50:$M$69,$G657,月間集計シート!O$50:O$69)*R$2</f>
        <v>0</v>
      </c>
      <c r="S657" s="88">
        <f>SUMIF(月間集計シート!$M$50:$M$69,$G657,月間集計シート!P$50:P$69)*S$2</f>
        <v>0</v>
      </c>
      <c r="T657" s="88">
        <f>SUMIF(月間集計シート!$M$50:$M$69,$G657,月間集計シート!Q$50:Q$69)*T$2</f>
        <v>0</v>
      </c>
      <c r="U657" s="88">
        <f>SUMIF(月間集計シート!$M$50:$M$69,$G657,月間集計シート!R$50:R$69)*U$2</f>
        <v>0</v>
      </c>
      <c r="V657" s="88">
        <f>SUMIF(月間集計シート!$M$50:$M$69,$G657,月間集計シート!S$50:S$69)*V$2</f>
        <v>0</v>
      </c>
      <c r="W657" s="88">
        <f>SUMIF(月間集計シート!$M$50:$M$69,$G657,月間集計シート!T$50:T$69)*W$2</f>
        <v>0</v>
      </c>
      <c r="X657" s="88">
        <f>SUMIF(月間集計シート!$M$71:$M$90,$G657,月間集計シート!N$71:N$90)*X$2</f>
        <v>0</v>
      </c>
      <c r="Y657" s="88">
        <f>SUMIF(月間集計シート!$M$71:$M$90,$G657,月間集計シート!O$71:O$90)*Y$2</f>
        <v>0</v>
      </c>
      <c r="Z657" s="88">
        <f>SUMIF(月間集計シート!$M$71:$M$90,$G657,月間集計シート!P$71:P$90)*Z$2</f>
        <v>0</v>
      </c>
      <c r="AA657" s="88">
        <f>SUMIF(月間集計シート!$M$71:$M$90,$G657,月間集計シート!Q$71:Q$90)*AA$2</f>
        <v>0</v>
      </c>
      <c r="AB657" s="88">
        <f>SUMIF(月間集計シート!$M$71:$M$90,$G657,月間集計シート!R$71:R$90)*AB$2</f>
        <v>0</v>
      </c>
      <c r="AC657" s="88">
        <f>SUMIF(月間集計シート!$M$71:$M$90,$G657,月間集計シート!S$71:S$90)*AC$2</f>
        <v>0</v>
      </c>
      <c r="AD657" s="88">
        <f>SUMIF(月間集計シート!$M$71:$M$90,$G657,月間集計シート!T$71:T$90)*AD$2</f>
        <v>0</v>
      </c>
      <c r="AE657" s="88">
        <f>SUMIF(月間集計シート!$M$92:$M$111,$G657,月間集計シート!N$92:N$111)*AE$2</f>
        <v>0</v>
      </c>
      <c r="AF657" s="88">
        <f>SUMIF(月間集計シート!$M$92:$M$111,$G657,月間集計シート!O$92:O$111)*AF$2</f>
        <v>0</v>
      </c>
      <c r="AG657" s="88">
        <f>SUMIF(月間集計シート!$M$92:$M$111,$G657,月間集計シート!P$92:P$111)*AG$2</f>
        <v>0</v>
      </c>
      <c r="AH657" s="88">
        <f>SUMIF(月間集計シート!$M$92:$M$111,$G657,月間集計シート!Q$92:Q$111)*AH$2</f>
        <v>0</v>
      </c>
      <c r="AI657" s="88">
        <f>SUMIF(月間集計シート!$M$92:$M$111,$G657,月間集計シート!R$92:R$111)*AI$2</f>
        <v>0</v>
      </c>
      <c r="AJ657" s="88">
        <f>SUMIF(月間集計シート!$M$92:$M$111,$G657,月間集計シート!S$92:S$111)*AJ$2</f>
        <v>0</v>
      </c>
      <c r="AK657" s="88">
        <f>SUMIF(月間集計シート!$M$92:$M$111,$G657,月間集計シート!T$92:T$111)*AK$2</f>
        <v>0</v>
      </c>
      <c r="AL657" s="88">
        <f>SUMIF(月間集計シート!$M$113:$M$132,$G657,月間集計シート!N$113:N$132)*AL$2</f>
        <v>0</v>
      </c>
      <c r="AM657" s="88">
        <f>SUMIF(月間集計シート!$M$113:$M$132,$G657,月間集計シート!O$113:O$132)*AM$2</f>
        <v>0</v>
      </c>
      <c r="AN657" s="88">
        <f>SUMIF(月間集計シート!$M$113:$M$132,$G657,月間集計シート!P$113:P$132)*AN$2</f>
        <v>0</v>
      </c>
      <c r="AO657" s="88">
        <f>SUMIF(月間集計シート!$M$113:$M$132,$G657,月間集計シート!Q$113:Q$132)*AO$2</f>
        <v>0</v>
      </c>
      <c r="AP657" s="88">
        <f>SUMIF(月間集計シート!$M$113:$M$132,$G657,月間集計シート!R$113:R$132)*AP$2</f>
        <v>0</v>
      </c>
      <c r="AQ657" s="88">
        <f>SUMIF(月間集計シート!$M$113:$M$132,$G657,月間集計シート!S$113:S$132)*AQ$2</f>
        <v>0</v>
      </c>
      <c r="AR657" s="88">
        <f>SUMIF(月間集計シート!$M$113:$M$132,$G657,月間集計シート!T$113:T$132)*AR$2</f>
        <v>0</v>
      </c>
      <c r="AS657" s="88">
        <f>SUMIF(月間集計シート!$M$134:$M$153,$G657,月間集計シート!N$134:N$153)*AS$2</f>
        <v>0</v>
      </c>
      <c r="AT657" s="88">
        <f>SUMIF(月間集計シート!$M$134:$M$153,$G657,月間集計シート!O$134:O$153)*AT$2</f>
        <v>0</v>
      </c>
      <c r="AU657" s="88">
        <f>SUMIF(月間集計シート!$M$134:$M$153,$G657,月間集計シート!P$134:P$153)*AU$2</f>
        <v>0</v>
      </c>
      <c r="AV657" s="88">
        <f>SUMIF(月間集計シート!$M$134:$M$153,$G657,月間集計シート!Q$134:Q$153)*AV$2</f>
        <v>0</v>
      </c>
      <c r="AW657" s="88">
        <f>SUMIF(月間集計シート!$M$134:$M$153,$G657,月間集計シート!R$134:R$153)*AW$2</f>
        <v>0</v>
      </c>
      <c r="AX657" s="88">
        <f>SUMIF(月間集計シート!$M$134:$M$153,$G657,月間集計シート!S$134:S$153)*AX$2</f>
        <v>0</v>
      </c>
      <c r="AY657" s="88">
        <f>SUMIF(月間集計シート!$M$134:$M$153,$G657,月間集計シート!T$134:T$153)*AY$2</f>
        <v>0</v>
      </c>
    </row>
    <row r="658" spans="1:51" ht="14.25" thickBot="1">
      <c r="A658">
        <v>8</v>
      </c>
      <c r="B658" s="120">
        <f t="shared" si="304"/>
        <v>0</v>
      </c>
      <c r="C658" s="120" t="str">
        <f t="shared" si="305"/>
        <v/>
      </c>
      <c r="D658" s="137"/>
      <c r="E658" s="150">
        <f>工種!A55</f>
        <v>70106</v>
      </c>
      <c r="F658" s="119" t="str">
        <f>工種!B55</f>
        <v>外部不具合修正：打合せ</v>
      </c>
      <c r="G658" s="116" t="str">
        <f t="shared" si="306"/>
        <v>070106</v>
      </c>
      <c r="H658" s="88">
        <f t="shared" si="260"/>
        <v>0</v>
      </c>
      <c r="I658" s="132"/>
      <c r="J658" s="88">
        <f>SUMIF(月間集計シート!$M$29:$M$48,$G658,月間集計シート!N$29:N$48)*J$2</f>
        <v>0</v>
      </c>
      <c r="K658" s="88">
        <f>SUMIF(月間集計シート!$M$29:$M$48,$G658,月間集計シート!O$29:O$48)*K$2</f>
        <v>0</v>
      </c>
      <c r="L658" s="88">
        <f>SUMIF(月間集計シート!$M$29:$M$48,$G658,月間集計シート!P$29:P$48)*L$2</f>
        <v>0</v>
      </c>
      <c r="M658" s="88">
        <f>SUMIF(月間集計シート!$M$29:$M$48,$G658,月間集計シート!Q$29:Q$48)*M$2</f>
        <v>0</v>
      </c>
      <c r="N658" s="88">
        <f>SUMIF(月間集計シート!$M$29:$M$48,$G658,月間集計シート!R$29:R$48)*N$2</f>
        <v>0</v>
      </c>
      <c r="O658" s="88">
        <f>SUMIF(月間集計シート!$M$29:$M$48,$G658,月間集計シート!S$29:S$48)*O$2</f>
        <v>0</v>
      </c>
      <c r="P658" s="88">
        <f>SUMIF(月間集計シート!$M$29:$M$48,$G658,月間集計シート!T$29:T$48)*P$2</f>
        <v>0</v>
      </c>
      <c r="Q658" s="88">
        <f>SUMIF(月間集計シート!$M$50:$M$69,$G658,月間集計シート!N$50:N$69)*Q$2</f>
        <v>0</v>
      </c>
      <c r="R658" s="88">
        <f>SUMIF(月間集計シート!$M$50:$M$69,$G658,月間集計シート!O$50:O$69)*R$2</f>
        <v>0</v>
      </c>
      <c r="S658" s="88">
        <f>SUMIF(月間集計シート!$M$50:$M$69,$G658,月間集計シート!P$50:P$69)*S$2</f>
        <v>0</v>
      </c>
      <c r="T658" s="88">
        <f>SUMIF(月間集計シート!$M$50:$M$69,$G658,月間集計シート!Q$50:Q$69)*T$2</f>
        <v>0</v>
      </c>
      <c r="U658" s="88">
        <f>SUMIF(月間集計シート!$M$50:$M$69,$G658,月間集計シート!R$50:R$69)*U$2</f>
        <v>0</v>
      </c>
      <c r="V658" s="88">
        <f>SUMIF(月間集計シート!$M$50:$M$69,$G658,月間集計シート!S$50:S$69)*V$2</f>
        <v>0</v>
      </c>
      <c r="W658" s="88">
        <f>SUMIF(月間集計シート!$M$50:$M$69,$G658,月間集計シート!T$50:T$69)*W$2</f>
        <v>0</v>
      </c>
      <c r="X658" s="88">
        <f>SUMIF(月間集計シート!$M$71:$M$90,$G658,月間集計シート!N$71:N$90)*X$2</f>
        <v>0</v>
      </c>
      <c r="Y658" s="88">
        <f>SUMIF(月間集計シート!$M$71:$M$90,$G658,月間集計シート!O$71:O$90)*Y$2</f>
        <v>0</v>
      </c>
      <c r="Z658" s="88">
        <f>SUMIF(月間集計シート!$M$71:$M$90,$G658,月間集計シート!P$71:P$90)*Z$2</f>
        <v>0</v>
      </c>
      <c r="AA658" s="88">
        <f>SUMIF(月間集計シート!$M$71:$M$90,$G658,月間集計シート!Q$71:Q$90)*AA$2</f>
        <v>0</v>
      </c>
      <c r="AB658" s="88">
        <f>SUMIF(月間集計シート!$M$71:$M$90,$G658,月間集計シート!R$71:R$90)*AB$2</f>
        <v>0</v>
      </c>
      <c r="AC658" s="88">
        <f>SUMIF(月間集計シート!$M$71:$M$90,$G658,月間集計シート!S$71:S$90)*AC$2</f>
        <v>0</v>
      </c>
      <c r="AD658" s="88">
        <f>SUMIF(月間集計シート!$M$71:$M$90,$G658,月間集計シート!T$71:T$90)*AD$2</f>
        <v>0</v>
      </c>
      <c r="AE658" s="88">
        <f>SUMIF(月間集計シート!$M$92:$M$111,$G658,月間集計シート!N$92:N$111)*AE$2</f>
        <v>0</v>
      </c>
      <c r="AF658" s="88">
        <f>SUMIF(月間集計シート!$M$92:$M$111,$G658,月間集計シート!O$92:O$111)*AF$2</f>
        <v>0</v>
      </c>
      <c r="AG658" s="88">
        <f>SUMIF(月間集計シート!$M$92:$M$111,$G658,月間集計シート!P$92:P$111)*AG$2</f>
        <v>0</v>
      </c>
      <c r="AH658" s="88">
        <f>SUMIF(月間集計シート!$M$92:$M$111,$G658,月間集計シート!Q$92:Q$111)*AH$2</f>
        <v>0</v>
      </c>
      <c r="AI658" s="88">
        <f>SUMIF(月間集計シート!$M$92:$M$111,$G658,月間集計シート!R$92:R$111)*AI$2</f>
        <v>0</v>
      </c>
      <c r="AJ658" s="88">
        <f>SUMIF(月間集計シート!$M$92:$M$111,$G658,月間集計シート!S$92:S$111)*AJ$2</f>
        <v>0</v>
      </c>
      <c r="AK658" s="88">
        <f>SUMIF(月間集計シート!$M$92:$M$111,$G658,月間集計シート!T$92:T$111)*AK$2</f>
        <v>0</v>
      </c>
      <c r="AL658" s="88">
        <f>SUMIF(月間集計シート!$M$113:$M$132,$G658,月間集計シート!N$113:N$132)*AL$2</f>
        <v>0</v>
      </c>
      <c r="AM658" s="88">
        <f>SUMIF(月間集計シート!$M$113:$M$132,$G658,月間集計シート!O$113:O$132)*AM$2</f>
        <v>0</v>
      </c>
      <c r="AN658" s="88">
        <f>SUMIF(月間集計シート!$M$113:$M$132,$G658,月間集計シート!P$113:P$132)*AN$2</f>
        <v>0</v>
      </c>
      <c r="AO658" s="88">
        <f>SUMIF(月間集計シート!$M$113:$M$132,$G658,月間集計シート!Q$113:Q$132)*AO$2</f>
        <v>0</v>
      </c>
      <c r="AP658" s="88">
        <f>SUMIF(月間集計シート!$M$113:$M$132,$G658,月間集計シート!R$113:R$132)*AP$2</f>
        <v>0</v>
      </c>
      <c r="AQ658" s="88">
        <f>SUMIF(月間集計シート!$M$113:$M$132,$G658,月間集計シート!S$113:S$132)*AQ$2</f>
        <v>0</v>
      </c>
      <c r="AR658" s="88">
        <f>SUMIF(月間集計シート!$M$113:$M$132,$G658,月間集計シート!T$113:T$132)*AR$2</f>
        <v>0</v>
      </c>
      <c r="AS658" s="88">
        <f>SUMIF(月間集計シート!$M$134:$M$153,$G658,月間集計シート!N$134:N$153)*AS$2</f>
        <v>0</v>
      </c>
      <c r="AT658" s="88">
        <f>SUMIF(月間集計シート!$M$134:$M$153,$G658,月間集計シート!O$134:O$153)*AT$2</f>
        <v>0</v>
      </c>
      <c r="AU658" s="88">
        <f>SUMIF(月間集計シート!$M$134:$M$153,$G658,月間集計シート!P$134:P$153)*AU$2</f>
        <v>0</v>
      </c>
      <c r="AV658" s="88">
        <f>SUMIF(月間集計シート!$M$134:$M$153,$G658,月間集計シート!Q$134:Q$153)*AV$2</f>
        <v>0</v>
      </c>
      <c r="AW658" s="88">
        <f>SUMIF(月間集計シート!$M$134:$M$153,$G658,月間集計シート!R$134:R$153)*AW$2</f>
        <v>0</v>
      </c>
      <c r="AX658" s="88">
        <f>SUMIF(月間集計シート!$M$134:$M$153,$G658,月間集計シート!S$134:S$153)*AX$2</f>
        <v>0</v>
      </c>
      <c r="AY658" s="88">
        <f>SUMIF(月間集計シート!$M$134:$M$153,$G658,月間集計シート!T$134:T$153)*AY$2</f>
        <v>0</v>
      </c>
    </row>
    <row r="659" spans="1:51" ht="14.25" thickBot="1">
      <c r="A659">
        <v>8</v>
      </c>
      <c r="B659" s="120">
        <f t="shared" si="304"/>
        <v>0</v>
      </c>
      <c r="C659" s="120" t="str">
        <f t="shared" si="305"/>
        <v/>
      </c>
      <c r="D659" s="137"/>
      <c r="E659" s="150">
        <f>工種!A56</f>
        <v>70109</v>
      </c>
      <c r="F659" s="119" t="str">
        <f>工種!B56</f>
        <v>外部不具合修正：レビュー</v>
      </c>
      <c r="G659" s="116" t="str">
        <f t="shared" si="306"/>
        <v>070109</v>
      </c>
      <c r="H659" s="88">
        <f t="shared" si="260"/>
        <v>0</v>
      </c>
      <c r="I659" s="132"/>
      <c r="J659" s="88">
        <f>SUMIF(月間集計シート!$M$29:$M$48,$G659,月間集計シート!N$29:N$48)*J$2</f>
        <v>0</v>
      </c>
      <c r="K659" s="88">
        <f>SUMIF(月間集計シート!$M$29:$M$48,$G659,月間集計シート!O$29:O$48)*K$2</f>
        <v>0</v>
      </c>
      <c r="L659" s="88">
        <f>SUMIF(月間集計シート!$M$29:$M$48,$G659,月間集計シート!P$29:P$48)*L$2</f>
        <v>0</v>
      </c>
      <c r="M659" s="88">
        <f>SUMIF(月間集計シート!$M$29:$M$48,$G659,月間集計シート!Q$29:Q$48)*M$2</f>
        <v>0</v>
      </c>
      <c r="N659" s="88">
        <f>SUMIF(月間集計シート!$M$29:$M$48,$G659,月間集計シート!R$29:R$48)*N$2</f>
        <v>0</v>
      </c>
      <c r="O659" s="88">
        <f>SUMIF(月間集計シート!$M$29:$M$48,$G659,月間集計シート!S$29:S$48)*O$2</f>
        <v>0</v>
      </c>
      <c r="P659" s="88">
        <f>SUMIF(月間集計シート!$M$29:$M$48,$G659,月間集計シート!T$29:T$48)*P$2</f>
        <v>0</v>
      </c>
      <c r="Q659" s="88">
        <f>SUMIF(月間集計シート!$M$50:$M$69,$G659,月間集計シート!N$50:N$69)*Q$2</f>
        <v>0</v>
      </c>
      <c r="R659" s="88">
        <f>SUMIF(月間集計シート!$M$50:$M$69,$G659,月間集計シート!O$50:O$69)*R$2</f>
        <v>0</v>
      </c>
      <c r="S659" s="88">
        <f>SUMIF(月間集計シート!$M$50:$M$69,$G659,月間集計シート!P$50:P$69)*S$2</f>
        <v>0</v>
      </c>
      <c r="T659" s="88">
        <f>SUMIF(月間集計シート!$M$50:$M$69,$G659,月間集計シート!Q$50:Q$69)*T$2</f>
        <v>0</v>
      </c>
      <c r="U659" s="88">
        <f>SUMIF(月間集計シート!$M$50:$M$69,$G659,月間集計シート!R$50:R$69)*U$2</f>
        <v>0</v>
      </c>
      <c r="V659" s="88">
        <f>SUMIF(月間集計シート!$M$50:$M$69,$G659,月間集計シート!S$50:S$69)*V$2</f>
        <v>0</v>
      </c>
      <c r="W659" s="88">
        <f>SUMIF(月間集計シート!$M$50:$M$69,$G659,月間集計シート!T$50:T$69)*W$2</f>
        <v>0</v>
      </c>
      <c r="X659" s="88">
        <f>SUMIF(月間集計シート!$M$71:$M$90,$G659,月間集計シート!N$71:N$90)*X$2</f>
        <v>0</v>
      </c>
      <c r="Y659" s="88">
        <f>SUMIF(月間集計シート!$M$71:$M$90,$G659,月間集計シート!O$71:O$90)*Y$2</f>
        <v>0</v>
      </c>
      <c r="Z659" s="88">
        <f>SUMIF(月間集計シート!$M$71:$M$90,$G659,月間集計シート!P$71:P$90)*Z$2</f>
        <v>0</v>
      </c>
      <c r="AA659" s="88">
        <f>SUMIF(月間集計シート!$M$71:$M$90,$G659,月間集計シート!Q$71:Q$90)*AA$2</f>
        <v>0</v>
      </c>
      <c r="AB659" s="88">
        <f>SUMIF(月間集計シート!$M$71:$M$90,$G659,月間集計シート!R$71:R$90)*AB$2</f>
        <v>0</v>
      </c>
      <c r="AC659" s="88">
        <f>SUMIF(月間集計シート!$M$71:$M$90,$G659,月間集計シート!S$71:S$90)*AC$2</f>
        <v>0</v>
      </c>
      <c r="AD659" s="88">
        <f>SUMIF(月間集計シート!$M$71:$M$90,$G659,月間集計シート!T$71:T$90)*AD$2</f>
        <v>0</v>
      </c>
      <c r="AE659" s="88">
        <f>SUMIF(月間集計シート!$M$92:$M$111,$G659,月間集計シート!N$92:N$111)*AE$2</f>
        <v>0</v>
      </c>
      <c r="AF659" s="88">
        <f>SUMIF(月間集計シート!$M$92:$M$111,$G659,月間集計シート!O$92:O$111)*AF$2</f>
        <v>0</v>
      </c>
      <c r="AG659" s="88">
        <f>SUMIF(月間集計シート!$M$92:$M$111,$G659,月間集計シート!P$92:P$111)*AG$2</f>
        <v>0</v>
      </c>
      <c r="AH659" s="88">
        <f>SUMIF(月間集計シート!$M$92:$M$111,$G659,月間集計シート!Q$92:Q$111)*AH$2</f>
        <v>0</v>
      </c>
      <c r="AI659" s="88">
        <f>SUMIF(月間集計シート!$M$92:$M$111,$G659,月間集計シート!R$92:R$111)*AI$2</f>
        <v>0</v>
      </c>
      <c r="AJ659" s="88">
        <f>SUMIF(月間集計シート!$M$92:$M$111,$G659,月間集計シート!S$92:S$111)*AJ$2</f>
        <v>0</v>
      </c>
      <c r="AK659" s="88">
        <f>SUMIF(月間集計シート!$M$92:$M$111,$G659,月間集計シート!T$92:T$111)*AK$2</f>
        <v>0</v>
      </c>
      <c r="AL659" s="88">
        <f>SUMIF(月間集計シート!$M$113:$M$132,$G659,月間集計シート!N$113:N$132)*AL$2</f>
        <v>0</v>
      </c>
      <c r="AM659" s="88">
        <f>SUMIF(月間集計シート!$M$113:$M$132,$G659,月間集計シート!O$113:O$132)*AM$2</f>
        <v>0</v>
      </c>
      <c r="AN659" s="88">
        <f>SUMIF(月間集計シート!$M$113:$M$132,$G659,月間集計シート!P$113:P$132)*AN$2</f>
        <v>0</v>
      </c>
      <c r="AO659" s="88">
        <f>SUMIF(月間集計シート!$M$113:$M$132,$G659,月間集計シート!Q$113:Q$132)*AO$2</f>
        <v>0</v>
      </c>
      <c r="AP659" s="88">
        <f>SUMIF(月間集計シート!$M$113:$M$132,$G659,月間集計シート!R$113:R$132)*AP$2</f>
        <v>0</v>
      </c>
      <c r="AQ659" s="88">
        <f>SUMIF(月間集計シート!$M$113:$M$132,$G659,月間集計シート!S$113:S$132)*AQ$2</f>
        <v>0</v>
      </c>
      <c r="AR659" s="88">
        <f>SUMIF(月間集計シート!$M$113:$M$132,$G659,月間集計シート!T$113:T$132)*AR$2</f>
        <v>0</v>
      </c>
      <c r="AS659" s="88">
        <f>SUMIF(月間集計シート!$M$134:$M$153,$G659,月間集計シート!N$134:N$153)*AS$2</f>
        <v>0</v>
      </c>
      <c r="AT659" s="88">
        <f>SUMIF(月間集計シート!$M$134:$M$153,$G659,月間集計シート!O$134:O$153)*AT$2</f>
        <v>0</v>
      </c>
      <c r="AU659" s="88">
        <f>SUMIF(月間集計シート!$M$134:$M$153,$G659,月間集計シート!P$134:P$153)*AU$2</f>
        <v>0</v>
      </c>
      <c r="AV659" s="88">
        <f>SUMIF(月間集計シート!$M$134:$M$153,$G659,月間集計シート!Q$134:Q$153)*AV$2</f>
        <v>0</v>
      </c>
      <c r="AW659" s="88">
        <f>SUMIF(月間集計シート!$M$134:$M$153,$G659,月間集計シート!R$134:R$153)*AW$2</f>
        <v>0</v>
      </c>
      <c r="AX659" s="88">
        <f>SUMIF(月間集計シート!$M$134:$M$153,$G659,月間集計シート!S$134:S$153)*AX$2</f>
        <v>0</v>
      </c>
      <c r="AY659" s="88">
        <f>SUMIF(月間集計シート!$M$134:$M$153,$G659,月間集計シート!T$134:T$153)*AY$2</f>
        <v>0</v>
      </c>
    </row>
    <row r="660" spans="1:51" ht="14.25" thickBot="1">
      <c r="A660">
        <v>8</v>
      </c>
      <c r="B660" s="120">
        <f t="shared" si="304"/>
        <v>0</v>
      </c>
      <c r="C660" s="120" t="str">
        <f t="shared" si="305"/>
        <v/>
      </c>
      <c r="D660" s="137"/>
      <c r="E660" s="150">
        <f>工種!A57</f>
        <v>70189</v>
      </c>
      <c r="F660" s="119" t="str">
        <f>工種!B57</f>
        <v>外部不具合修正：外部不具合分析</v>
      </c>
      <c r="G660" s="116" t="str">
        <f t="shared" si="306"/>
        <v>070189</v>
      </c>
      <c r="H660" s="88">
        <f t="shared" si="260"/>
        <v>0</v>
      </c>
      <c r="I660" s="132"/>
      <c r="J660" s="88">
        <f>SUMIF(月間集計シート!$M$29:$M$48,$G660,月間集計シート!N$29:N$48)*J$2</f>
        <v>0</v>
      </c>
      <c r="K660" s="88">
        <f>SUMIF(月間集計シート!$M$29:$M$48,$G660,月間集計シート!O$29:O$48)*K$2</f>
        <v>0</v>
      </c>
      <c r="L660" s="88">
        <f>SUMIF(月間集計シート!$M$29:$M$48,$G660,月間集計シート!P$29:P$48)*L$2</f>
        <v>0</v>
      </c>
      <c r="M660" s="88">
        <f>SUMIF(月間集計シート!$M$29:$M$48,$G660,月間集計シート!Q$29:Q$48)*M$2</f>
        <v>0</v>
      </c>
      <c r="N660" s="88">
        <f>SUMIF(月間集計シート!$M$29:$M$48,$G660,月間集計シート!R$29:R$48)*N$2</f>
        <v>0</v>
      </c>
      <c r="O660" s="88">
        <f>SUMIF(月間集計シート!$M$29:$M$48,$G660,月間集計シート!S$29:S$48)*O$2</f>
        <v>0</v>
      </c>
      <c r="P660" s="88">
        <f>SUMIF(月間集計シート!$M$29:$M$48,$G660,月間集計シート!T$29:T$48)*P$2</f>
        <v>0</v>
      </c>
      <c r="Q660" s="88">
        <f>SUMIF(月間集計シート!$M$50:$M$69,$G660,月間集計シート!N$50:N$69)*Q$2</f>
        <v>0</v>
      </c>
      <c r="R660" s="88">
        <f>SUMIF(月間集計シート!$M$50:$M$69,$G660,月間集計シート!O$50:O$69)*R$2</f>
        <v>0</v>
      </c>
      <c r="S660" s="88">
        <f>SUMIF(月間集計シート!$M$50:$M$69,$G660,月間集計シート!P$50:P$69)*S$2</f>
        <v>0</v>
      </c>
      <c r="T660" s="88">
        <f>SUMIF(月間集計シート!$M$50:$M$69,$G660,月間集計シート!Q$50:Q$69)*T$2</f>
        <v>0</v>
      </c>
      <c r="U660" s="88">
        <f>SUMIF(月間集計シート!$M$50:$M$69,$G660,月間集計シート!R$50:R$69)*U$2</f>
        <v>0</v>
      </c>
      <c r="V660" s="88">
        <f>SUMIF(月間集計シート!$M$50:$M$69,$G660,月間集計シート!S$50:S$69)*V$2</f>
        <v>0</v>
      </c>
      <c r="W660" s="88">
        <f>SUMIF(月間集計シート!$M$50:$M$69,$G660,月間集計シート!T$50:T$69)*W$2</f>
        <v>0</v>
      </c>
      <c r="X660" s="88">
        <f>SUMIF(月間集計シート!$M$71:$M$90,$G660,月間集計シート!N$71:N$90)*X$2</f>
        <v>0</v>
      </c>
      <c r="Y660" s="88">
        <f>SUMIF(月間集計シート!$M$71:$M$90,$G660,月間集計シート!O$71:O$90)*Y$2</f>
        <v>0</v>
      </c>
      <c r="Z660" s="88">
        <f>SUMIF(月間集計シート!$M$71:$M$90,$G660,月間集計シート!P$71:P$90)*Z$2</f>
        <v>0</v>
      </c>
      <c r="AA660" s="88">
        <f>SUMIF(月間集計シート!$M$71:$M$90,$G660,月間集計シート!Q$71:Q$90)*AA$2</f>
        <v>0</v>
      </c>
      <c r="AB660" s="88">
        <f>SUMIF(月間集計シート!$M$71:$M$90,$G660,月間集計シート!R$71:R$90)*AB$2</f>
        <v>0</v>
      </c>
      <c r="AC660" s="88">
        <f>SUMIF(月間集計シート!$M$71:$M$90,$G660,月間集計シート!S$71:S$90)*AC$2</f>
        <v>0</v>
      </c>
      <c r="AD660" s="88">
        <f>SUMIF(月間集計シート!$M$71:$M$90,$G660,月間集計シート!T$71:T$90)*AD$2</f>
        <v>0</v>
      </c>
      <c r="AE660" s="88">
        <f>SUMIF(月間集計シート!$M$92:$M$111,$G660,月間集計シート!N$92:N$111)*AE$2</f>
        <v>0</v>
      </c>
      <c r="AF660" s="88">
        <f>SUMIF(月間集計シート!$M$92:$M$111,$G660,月間集計シート!O$92:O$111)*AF$2</f>
        <v>0</v>
      </c>
      <c r="AG660" s="88">
        <f>SUMIF(月間集計シート!$M$92:$M$111,$G660,月間集計シート!P$92:P$111)*AG$2</f>
        <v>0</v>
      </c>
      <c r="AH660" s="88">
        <f>SUMIF(月間集計シート!$M$92:$M$111,$G660,月間集計シート!Q$92:Q$111)*AH$2</f>
        <v>0</v>
      </c>
      <c r="AI660" s="88">
        <f>SUMIF(月間集計シート!$M$92:$M$111,$G660,月間集計シート!R$92:R$111)*AI$2</f>
        <v>0</v>
      </c>
      <c r="AJ660" s="88">
        <f>SUMIF(月間集計シート!$M$92:$M$111,$G660,月間集計シート!S$92:S$111)*AJ$2</f>
        <v>0</v>
      </c>
      <c r="AK660" s="88">
        <f>SUMIF(月間集計シート!$M$92:$M$111,$G660,月間集計シート!T$92:T$111)*AK$2</f>
        <v>0</v>
      </c>
      <c r="AL660" s="88">
        <f>SUMIF(月間集計シート!$M$113:$M$132,$G660,月間集計シート!N$113:N$132)*AL$2</f>
        <v>0</v>
      </c>
      <c r="AM660" s="88">
        <f>SUMIF(月間集計シート!$M$113:$M$132,$G660,月間集計シート!O$113:O$132)*AM$2</f>
        <v>0</v>
      </c>
      <c r="AN660" s="88">
        <f>SUMIF(月間集計シート!$M$113:$M$132,$G660,月間集計シート!P$113:P$132)*AN$2</f>
        <v>0</v>
      </c>
      <c r="AO660" s="88">
        <f>SUMIF(月間集計シート!$M$113:$M$132,$G660,月間集計シート!Q$113:Q$132)*AO$2</f>
        <v>0</v>
      </c>
      <c r="AP660" s="88">
        <f>SUMIF(月間集計シート!$M$113:$M$132,$G660,月間集計シート!R$113:R$132)*AP$2</f>
        <v>0</v>
      </c>
      <c r="AQ660" s="88">
        <f>SUMIF(月間集計シート!$M$113:$M$132,$G660,月間集計シート!S$113:S$132)*AQ$2</f>
        <v>0</v>
      </c>
      <c r="AR660" s="88">
        <f>SUMIF(月間集計シート!$M$113:$M$132,$G660,月間集計シート!T$113:T$132)*AR$2</f>
        <v>0</v>
      </c>
      <c r="AS660" s="88">
        <f>SUMIF(月間集計シート!$M$134:$M$153,$G660,月間集計シート!N$134:N$153)*AS$2</f>
        <v>0</v>
      </c>
      <c r="AT660" s="88">
        <f>SUMIF(月間集計シート!$M$134:$M$153,$G660,月間集計シート!O$134:O$153)*AT$2</f>
        <v>0</v>
      </c>
      <c r="AU660" s="88">
        <f>SUMIF(月間集計シート!$M$134:$M$153,$G660,月間集計シート!P$134:P$153)*AU$2</f>
        <v>0</v>
      </c>
      <c r="AV660" s="88">
        <f>SUMIF(月間集計シート!$M$134:$M$153,$G660,月間集計シート!Q$134:Q$153)*AV$2</f>
        <v>0</v>
      </c>
      <c r="AW660" s="88">
        <f>SUMIF(月間集計シート!$M$134:$M$153,$G660,月間集計シート!R$134:R$153)*AW$2</f>
        <v>0</v>
      </c>
      <c r="AX660" s="88">
        <f>SUMIF(月間集計シート!$M$134:$M$153,$G660,月間集計シート!S$134:S$153)*AX$2</f>
        <v>0</v>
      </c>
      <c r="AY660" s="88">
        <f>SUMIF(月間集計シート!$M$134:$M$153,$G660,月間集計シート!T$134:T$153)*AY$2</f>
        <v>0</v>
      </c>
    </row>
    <row r="661" spans="1:51" ht="14.25" thickBot="1">
      <c r="A661">
        <v>8</v>
      </c>
      <c r="B661" s="120">
        <f t="shared" si="304"/>
        <v>0</v>
      </c>
      <c r="C661" s="120" t="str">
        <f t="shared" si="305"/>
        <v/>
      </c>
      <c r="D661" s="137"/>
      <c r="E661" s="150">
        <f>工種!A58</f>
        <v>70199</v>
      </c>
      <c r="F661" s="119" t="str">
        <f>工種!B58</f>
        <v>外部不具合修正：その他</v>
      </c>
      <c r="G661" s="116" t="str">
        <f t="shared" si="306"/>
        <v>070199</v>
      </c>
      <c r="H661" s="88">
        <f t="shared" si="260"/>
        <v>0</v>
      </c>
      <c r="I661" s="132"/>
      <c r="J661" s="88">
        <f>SUMIF(月間集計シート!$M$29:$M$48,$G661,月間集計シート!N$29:N$48)*J$2</f>
        <v>0</v>
      </c>
      <c r="K661" s="88">
        <f>SUMIF(月間集計シート!$M$29:$M$48,$G661,月間集計シート!O$29:O$48)*K$2</f>
        <v>0</v>
      </c>
      <c r="L661" s="88">
        <f>SUMIF(月間集計シート!$M$29:$M$48,$G661,月間集計シート!P$29:P$48)*L$2</f>
        <v>0</v>
      </c>
      <c r="M661" s="88">
        <f>SUMIF(月間集計シート!$M$29:$M$48,$G661,月間集計シート!Q$29:Q$48)*M$2</f>
        <v>0</v>
      </c>
      <c r="N661" s="88">
        <f>SUMIF(月間集計シート!$M$29:$M$48,$G661,月間集計シート!R$29:R$48)*N$2</f>
        <v>0</v>
      </c>
      <c r="O661" s="88">
        <f>SUMIF(月間集計シート!$M$29:$M$48,$G661,月間集計シート!S$29:S$48)*O$2</f>
        <v>0</v>
      </c>
      <c r="P661" s="88">
        <f>SUMIF(月間集計シート!$M$29:$M$48,$G661,月間集計シート!T$29:T$48)*P$2</f>
        <v>0</v>
      </c>
      <c r="Q661" s="88">
        <f>SUMIF(月間集計シート!$M$50:$M$69,$G661,月間集計シート!N$50:N$69)*Q$2</f>
        <v>0</v>
      </c>
      <c r="R661" s="88">
        <f>SUMIF(月間集計シート!$M$50:$M$69,$G661,月間集計シート!O$50:O$69)*R$2</f>
        <v>0</v>
      </c>
      <c r="S661" s="88">
        <f>SUMIF(月間集計シート!$M$50:$M$69,$G661,月間集計シート!P$50:P$69)*S$2</f>
        <v>0</v>
      </c>
      <c r="T661" s="88">
        <f>SUMIF(月間集計シート!$M$50:$M$69,$G661,月間集計シート!Q$50:Q$69)*T$2</f>
        <v>0</v>
      </c>
      <c r="U661" s="88">
        <f>SUMIF(月間集計シート!$M$50:$M$69,$G661,月間集計シート!R$50:R$69)*U$2</f>
        <v>0</v>
      </c>
      <c r="V661" s="88">
        <f>SUMIF(月間集計シート!$M$50:$M$69,$G661,月間集計シート!S$50:S$69)*V$2</f>
        <v>0</v>
      </c>
      <c r="W661" s="88">
        <f>SUMIF(月間集計シート!$M$50:$M$69,$G661,月間集計シート!T$50:T$69)*W$2</f>
        <v>0</v>
      </c>
      <c r="X661" s="88">
        <f>SUMIF(月間集計シート!$M$71:$M$90,$G661,月間集計シート!N$71:N$90)*X$2</f>
        <v>0</v>
      </c>
      <c r="Y661" s="88">
        <f>SUMIF(月間集計シート!$M$71:$M$90,$G661,月間集計シート!O$71:O$90)*Y$2</f>
        <v>0</v>
      </c>
      <c r="Z661" s="88">
        <f>SUMIF(月間集計シート!$M$71:$M$90,$G661,月間集計シート!P$71:P$90)*Z$2</f>
        <v>0</v>
      </c>
      <c r="AA661" s="88">
        <f>SUMIF(月間集計シート!$M$71:$M$90,$G661,月間集計シート!Q$71:Q$90)*AA$2</f>
        <v>0</v>
      </c>
      <c r="AB661" s="88">
        <f>SUMIF(月間集計シート!$M$71:$M$90,$G661,月間集計シート!R$71:R$90)*AB$2</f>
        <v>0</v>
      </c>
      <c r="AC661" s="88">
        <f>SUMIF(月間集計シート!$M$71:$M$90,$G661,月間集計シート!S$71:S$90)*AC$2</f>
        <v>0</v>
      </c>
      <c r="AD661" s="88">
        <f>SUMIF(月間集計シート!$M$71:$M$90,$G661,月間集計シート!T$71:T$90)*AD$2</f>
        <v>0</v>
      </c>
      <c r="AE661" s="88">
        <f>SUMIF(月間集計シート!$M$92:$M$111,$G661,月間集計シート!N$92:N$111)*AE$2</f>
        <v>0</v>
      </c>
      <c r="AF661" s="88">
        <f>SUMIF(月間集計シート!$M$92:$M$111,$G661,月間集計シート!O$92:O$111)*AF$2</f>
        <v>0</v>
      </c>
      <c r="AG661" s="88">
        <f>SUMIF(月間集計シート!$M$92:$M$111,$G661,月間集計シート!P$92:P$111)*AG$2</f>
        <v>0</v>
      </c>
      <c r="AH661" s="88">
        <f>SUMIF(月間集計シート!$M$92:$M$111,$G661,月間集計シート!Q$92:Q$111)*AH$2</f>
        <v>0</v>
      </c>
      <c r="AI661" s="88">
        <f>SUMIF(月間集計シート!$M$92:$M$111,$G661,月間集計シート!R$92:R$111)*AI$2</f>
        <v>0</v>
      </c>
      <c r="AJ661" s="88">
        <f>SUMIF(月間集計シート!$M$92:$M$111,$G661,月間集計シート!S$92:S$111)*AJ$2</f>
        <v>0</v>
      </c>
      <c r="AK661" s="88">
        <f>SUMIF(月間集計シート!$M$92:$M$111,$G661,月間集計シート!T$92:T$111)*AK$2</f>
        <v>0</v>
      </c>
      <c r="AL661" s="88">
        <f>SUMIF(月間集計シート!$M$113:$M$132,$G661,月間集計シート!N$113:N$132)*AL$2</f>
        <v>0</v>
      </c>
      <c r="AM661" s="88">
        <f>SUMIF(月間集計シート!$M$113:$M$132,$G661,月間集計シート!O$113:O$132)*AM$2</f>
        <v>0</v>
      </c>
      <c r="AN661" s="88">
        <f>SUMIF(月間集計シート!$M$113:$M$132,$G661,月間集計シート!P$113:P$132)*AN$2</f>
        <v>0</v>
      </c>
      <c r="AO661" s="88">
        <f>SUMIF(月間集計シート!$M$113:$M$132,$G661,月間集計シート!Q$113:Q$132)*AO$2</f>
        <v>0</v>
      </c>
      <c r="AP661" s="88">
        <f>SUMIF(月間集計シート!$M$113:$M$132,$G661,月間集計シート!R$113:R$132)*AP$2</f>
        <v>0</v>
      </c>
      <c r="AQ661" s="88">
        <f>SUMIF(月間集計シート!$M$113:$M$132,$G661,月間集計シート!S$113:S$132)*AQ$2</f>
        <v>0</v>
      </c>
      <c r="AR661" s="88">
        <f>SUMIF(月間集計シート!$M$113:$M$132,$G661,月間集計シート!T$113:T$132)*AR$2</f>
        <v>0</v>
      </c>
      <c r="AS661" s="88">
        <f>SUMIF(月間集計シート!$M$134:$M$153,$G661,月間集計シート!N$134:N$153)*AS$2</f>
        <v>0</v>
      </c>
      <c r="AT661" s="88">
        <f>SUMIF(月間集計シート!$M$134:$M$153,$G661,月間集計シート!O$134:O$153)*AT$2</f>
        <v>0</v>
      </c>
      <c r="AU661" s="88">
        <f>SUMIF(月間集計シート!$M$134:$M$153,$G661,月間集計シート!P$134:P$153)*AU$2</f>
        <v>0</v>
      </c>
      <c r="AV661" s="88">
        <f>SUMIF(月間集計シート!$M$134:$M$153,$G661,月間集計シート!Q$134:Q$153)*AV$2</f>
        <v>0</v>
      </c>
      <c r="AW661" s="88">
        <f>SUMIF(月間集計シート!$M$134:$M$153,$G661,月間集計シート!R$134:R$153)*AW$2</f>
        <v>0</v>
      </c>
      <c r="AX661" s="88">
        <f>SUMIF(月間集計シート!$M$134:$M$153,$G661,月間集計シート!S$134:S$153)*AX$2</f>
        <v>0</v>
      </c>
      <c r="AY661" s="88">
        <f>SUMIF(月間集計シート!$M$134:$M$153,$G661,月間集計シート!T$134:T$153)*AY$2</f>
        <v>0</v>
      </c>
    </row>
    <row r="662" spans="1:51" ht="14.25" thickBot="1">
      <c r="A662">
        <v>8</v>
      </c>
      <c r="B662" s="120">
        <f t="shared" si="304"/>
        <v>0</v>
      </c>
      <c r="C662" s="120" t="str">
        <f t="shared" si="305"/>
        <v/>
      </c>
      <c r="D662" s="137"/>
      <c r="E662" s="150" t="str">
        <f>工種!A59</f>
        <v>80101</v>
      </c>
      <c r="F662" s="119" t="str">
        <f>工種!B59</f>
        <v>保守／ｻﾎﾟｰﾄ：調査</v>
      </c>
      <c r="G662" s="116" t="str">
        <f t="shared" si="306"/>
        <v>080101</v>
      </c>
      <c r="H662" s="88">
        <f t="shared" si="260"/>
        <v>0</v>
      </c>
      <c r="I662" s="132"/>
      <c r="J662" s="88">
        <f>SUMIF(月間集計シート!$M$29:$M$48,$G662,月間集計シート!N$29:N$48)*J$2</f>
        <v>0</v>
      </c>
      <c r="K662" s="88">
        <f>SUMIF(月間集計シート!$M$29:$M$48,$G662,月間集計シート!O$29:O$48)*K$2</f>
        <v>0</v>
      </c>
      <c r="L662" s="88">
        <f>SUMIF(月間集計シート!$M$29:$M$48,$G662,月間集計シート!P$29:P$48)*L$2</f>
        <v>0</v>
      </c>
      <c r="M662" s="88">
        <f>SUMIF(月間集計シート!$M$29:$M$48,$G662,月間集計シート!Q$29:Q$48)*M$2</f>
        <v>0</v>
      </c>
      <c r="N662" s="88">
        <f>SUMIF(月間集計シート!$M$29:$M$48,$G662,月間集計シート!R$29:R$48)*N$2</f>
        <v>0</v>
      </c>
      <c r="O662" s="88">
        <f>SUMIF(月間集計シート!$M$29:$M$48,$G662,月間集計シート!S$29:S$48)*O$2</f>
        <v>0</v>
      </c>
      <c r="P662" s="88">
        <f>SUMIF(月間集計シート!$M$29:$M$48,$G662,月間集計シート!T$29:T$48)*P$2</f>
        <v>0</v>
      </c>
      <c r="Q662" s="88">
        <f>SUMIF(月間集計シート!$M$50:$M$69,$G662,月間集計シート!N$50:N$69)*Q$2</f>
        <v>0</v>
      </c>
      <c r="R662" s="88">
        <f>SUMIF(月間集計シート!$M$50:$M$69,$G662,月間集計シート!O$50:O$69)*R$2</f>
        <v>0</v>
      </c>
      <c r="S662" s="88">
        <f>SUMIF(月間集計シート!$M$50:$M$69,$G662,月間集計シート!P$50:P$69)*S$2</f>
        <v>0</v>
      </c>
      <c r="T662" s="88">
        <f>SUMIF(月間集計シート!$M$50:$M$69,$G662,月間集計シート!Q$50:Q$69)*T$2</f>
        <v>0</v>
      </c>
      <c r="U662" s="88">
        <f>SUMIF(月間集計シート!$M$50:$M$69,$G662,月間集計シート!R$50:R$69)*U$2</f>
        <v>0</v>
      </c>
      <c r="V662" s="88">
        <f>SUMIF(月間集計シート!$M$50:$M$69,$G662,月間集計シート!S$50:S$69)*V$2</f>
        <v>0</v>
      </c>
      <c r="W662" s="88">
        <f>SUMIF(月間集計シート!$M$50:$M$69,$G662,月間集計シート!T$50:T$69)*W$2</f>
        <v>0</v>
      </c>
      <c r="X662" s="88">
        <f>SUMIF(月間集計シート!$M$71:$M$90,$G662,月間集計シート!N$71:N$90)*X$2</f>
        <v>0</v>
      </c>
      <c r="Y662" s="88">
        <f>SUMIF(月間集計シート!$M$71:$M$90,$G662,月間集計シート!O$71:O$90)*Y$2</f>
        <v>0</v>
      </c>
      <c r="Z662" s="88">
        <f>SUMIF(月間集計シート!$M$71:$M$90,$G662,月間集計シート!P$71:P$90)*Z$2</f>
        <v>0</v>
      </c>
      <c r="AA662" s="88">
        <f>SUMIF(月間集計シート!$M$71:$M$90,$G662,月間集計シート!Q$71:Q$90)*AA$2</f>
        <v>0</v>
      </c>
      <c r="AB662" s="88">
        <f>SUMIF(月間集計シート!$M$71:$M$90,$G662,月間集計シート!R$71:R$90)*AB$2</f>
        <v>0</v>
      </c>
      <c r="AC662" s="88">
        <f>SUMIF(月間集計シート!$M$71:$M$90,$G662,月間集計シート!S$71:S$90)*AC$2</f>
        <v>0</v>
      </c>
      <c r="AD662" s="88">
        <f>SUMIF(月間集計シート!$M$71:$M$90,$G662,月間集計シート!T$71:T$90)*AD$2</f>
        <v>0</v>
      </c>
      <c r="AE662" s="88">
        <f>SUMIF(月間集計シート!$M$92:$M$111,$G662,月間集計シート!N$92:N$111)*AE$2</f>
        <v>0</v>
      </c>
      <c r="AF662" s="88">
        <f>SUMIF(月間集計シート!$M$92:$M$111,$G662,月間集計シート!O$92:O$111)*AF$2</f>
        <v>0</v>
      </c>
      <c r="AG662" s="88">
        <f>SUMIF(月間集計シート!$M$92:$M$111,$G662,月間集計シート!P$92:P$111)*AG$2</f>
        <v>0</v>
      </c>
      <c r="AH662" s="88">
        <f>SUMIF(月間集計シート!$M$92:$M$111,$G662,月間集計シート!Q$92:Q$111)*AH$2</f>
        <v>0</v>
      </c>
      <c r="AI662" s="88">
        <f>SUMIF(月間集計シート!$M$92:$M$111,$G662,月間集計シート!R$92:R$111)*AI$2</f>
        <v>0</v>
      </c>
      <c r="AJ662" s="88">
        <f>SUMIF(月間集計シート!$M$92:$M$111,$G662,月間集計シート!S$92:S$111)*AJ$2</f>
        <v>0</v>
      </c>
      <c r="AK662" s="88">
        <f>SUMIF(月間集計シート!$M$92:$M$111,$G662,月間集計シート!T$92:T$111)*AK$2</f>
        <v>0</v>
      </c>
      <c r="AL662" s="88">
        <f>SUMIF(月間集計シート!$M$113:$M$132,$G662,月間集計シート!N$113:N$132)*AL$2</f>
        <v>0</v>
      </c>
      <c r="AM662" s="88">
        <f>SUMIF(月間集計シート!$M$113:$M$132,$G662,月間集計シート!O$113:O$132)*AM$2</f>
        <v>0</v>
      </c>
      <c r="AN662" s="88">
        <f>SUMIF(月間集計シート!$M$113:$M$132,$G662,月間集計シート!P$113:P$132)*AN$2</f>
        <v>0</v>
      </c>
      <c r="AO662" s="88">
        <f>SUMIF(月間集計シート!$M$113:$M$132,$G662,月間集計シート!Q$113:Q$132)*AO$2</f>
        <v>0</v>
      </c>
      <c r="AP662" s="88">
        <f>SUMIF(月間集計シート!$M$113:$M$132,$G662,月間集計シート!R$113:R$132)*AP$2</f>
        <v>0</v>
      </c>
      <c r="AQ662" s="88">
        <f>SUMIF(月間集計シート!$M$113:$M$132,$G662,月間集計シート!S$113:S$132)*AQ$2</f>
        <v>0</v>
      </c>
      <c r="AR662" s="88">
        <f>SUMIF(月間集計シート!$M$113:$M$132,$G662,月間集計シート!T$113:T$132)*AR$2</f>
        <v>0</v>
      </c>
      <c r="AS662" s="88">
        <f>SUMIF(月間集計シート!$M$134:$M$153,$G662,月間集計シート!N$134:N$153)*AS$2</f>
        <v>0</v>
      </c>
      <c r="AT662" s="88">
        <f>SUMIF(月間集計シート!$M$134:$M$153,$G662,月間集計シート!O$134:O$153)*AT$2</f>
        <v>0</v>
      </c>
      <c r="AU662" s="88">
        <f>SUMIF(月間集計シート!$M$134:$M$153,$G662,月間集計シート!P$134:P$153)*AU$2</f>
        <v>0</v>
      </c>
      <c r="AV662" s="88">
        <f>SUMIF(月間集計シート!$M$134:$M$153,$G662,月間集計シート!Q$134:Q$153)*AV$2</f>
        <v>0</v>
      </c>
      <c r="AW662" s="88">
        <f>SUMIF(月間集計シート!$M$134:$M$153,$G662,月間集計シート!R$134:R$153)*AW$2</f>
        <v>0</v>
      </c>
      <c r="AX662" s="88">
        <f>SUMIF(月間集計シート!$M$134:$M$153,$G662,月間集計シート!S$134:S$153)*AX$2</f>
        <v>0</v>
      </c>
      <c r="AY662" s="88">
        <f>SUMIF(月間集計シート!$M$134:$M$153,$G662,月間集計シート!T$134:T$153)*AY$2</f>
        <v>0</v>
      </c>
    </row>
    <row r="663" spans="1:51" ht="14.25" thickBot="1">
      <c r="A663">
        <v>8</v>
      </c>
      <c r="B663" s="120">
        <f t="shared" si="304"/>
        <v>0</v>
      </c>
      <c r="C663" s="120" t="str">
        <f t="shared" si="305"/>
        <v/>
      </c>
      <c r="D663" s="137"/>
      <c r="E663" s="150" t="str">
        <f>工種!A60</f>
        <v>80102</v>
      </c>
      <c r="F663" s="119" t="str">
        <f>工種!B60</f>
        <v>保守／ｻﾎﾟｰﾄ：社内問い合わせ</v>
      </c>
      <c r="G663" s="116" t="str">
        <f t="shared" si="306"/>
        <v>080102</v>
      </c>
      <c r="H663" s="88">
        <f t="shared" si="260"/>
        <v>0</v>
      </c>
      <c r="I663" s="132"/>
      <c r="J663" s="88">
        <f>SUMIF(月間集計シート!$M$29:$M$48,$G663,月間集計シート!N$29:N$48)*J$2</f>
        <v>0</v>
      </c>
      <c r="K663" s="88">
        <f>SUMIF(月間集計シート!$M$29:$M$48,$G663,月間集計シート!O$29:O$48)*K$2</f>
        <v>0</v>
      </c>
      <c r="L663" s="88">
        <f>SUMIF(月間集計シート!$M$29:$M$48,$G663,月間集計シート!P$29:P$48)*L$2</f>
        <v>0</v>
      </c>
      <c r="M663" s="88">
        <f>SUMIF(月間集計シート!$M$29:$M$48,$G663,月間集計シート!Q$29:Q$48)*M$2</f>
        <v>0</v>
      </c>
      <c r="N663" s="88">
        <f>SUMIF(月間集計シート!$M$29:$M$48,$G663,月間集計シート!R$29:R$48)*N$2</f>
        <v>0</v>
      </c>
      <c r="O663" s="88">
        <f>SUMIF(月間集計シート!$M$29:$M$48,$G663,月間集計シート!S$29:S$48)*O$2</f>
        <v>0</v>
      </c>
      <c r="P663" s="88">
        <f>SUMIF(月間集計シート!$M$29:$M$48,$G663,月間集計シート!T$29:T$48)*P$2</f>
        <v>0</v>
      </c>
      <c r="Q663" s="88">
        <f>SUMIF(月間集計シート!$M$50:$M$69,$G663,月間集計シート!N$50:N$69)*Q$2</f>
        <v>0</v>
      </c>
      <c r="R663" s="88">
        <f>SUMIF(月間集計シート!$M$50:$M$69,$G663,月間集計シート!O$50:O$69)*R$2</f>
        <v>0</v>
      </c>
      <c r="S663" s="88">
        <f>SUMIF(月間集計シート!$M$50:$M$69,$G663,月間集計シート!P$50:P$69)*S$2</f>
        <v>0</v>
      </c>
      <c r="T663" s="88">
        <f>SUMIF(月間集計シート!$M$50:$M$69,$G663,月間集計シート!Q$50:Q$69)*T$2</f>
        <v>0</v>
      </c>
      <c r="U663" s="88">
        <f>SUMIF(月間集計シート!$M$50:$M$69,$G663,月間集計シート!R$50:R$69)*U$2</f>
        <v>0</v>
      </c>
      <c r="V663" s="88">
        <f>SUMIF(月間集計シート!$M$50:$M$69,$G663,月間集計シート!S$50:S$69)*V$2</f>
        <v>0</v>
      </c>
      <c r="W663" s="88">
        <f>SUMIF(月間集計シート!$M$50:$M$69,$G663,月間集計シート!T$50:T$69)*W$2</f>
        <v>0</v>
      </c>
      <c r="X663" s="88">
        <f>SUMIF(月間集計シート!$M$71:$M$90,$G663,月間集計シート!N$71:N$90)*X$2</f>
        <v>0</v>
      </c>
      <c r="Y663" s="88">
        <f>SUMIF(月間集計シート!$M$71:$M$90,$G663,月間集計シート!O$71:O$90)*Y$2</f>
        <v>0</v>
      </c>
      <c r="Z663" s="88">
        <f>SUMIF(月間集計シート!$M$71:$M$90,$G663,月間集計シート!P$71:P$90)*Z$2</f>
        <v>0</v>
      </c>
      <c r="AA663" s="88">
        <f>SUMIF(月間集計シート!$M$71:$M$90,$G663,月間集計シート!Q$71:Q$90)*AA$2</f>
        <v>0</v>
      </c>
      <c r="AB663" s="88">
        <f>SUMIF(月間集計シート!$M$71:$M$90,$G663,月間集計シート!R$71:R$90)*AB$2</f>
        <v>0</v>
      </c>
      <c r="AC663" s="88">
        <f>SUMIF(月間集計シート!$M$71:$M$90,$G663,月間集計シート!S$71:S$90)*AC$2</f>
        <v>0</v>
      </c>
      <c r="AD663" s="88">
        <f>SUMIF(月間集計シート!$M$71:$M$90,$G663,月間集計シート!T$71:T$90)*AD$2</f>
        <v>0</v>
      </c>
      <c r="AE663" s="88">
        <f>SUMIF(月間集計シート!$M$92:$M$111,$G663,月間集計シート!N$92:N$111)*AE$2</f>
        <v>0</v>
      </c>
      <c r="AF663" s="88">
        <f>SUMIF(月間集計シート!$M$92:$M$111,$G663,月間集計シート!O$92:O$111)*AF$2</f>
        <v>0</v>
      </c>
      <c r="AG663" s="88">
        <f>SUMIF(月間集計シート!$M$92:$M$111,$G663,月間集計シート!P$92:P$111)*AG$2</f>
        <v>0</v>
      </c>
      <c r="AH663" s="88">
        <f>SUMIF(月間集計シート!$M$92:$M$111,$G663,月間集計シート!Q$92:Q$111)*AH$2</f>
        <v>0</v>
      </c>
      <c r="AI663" s="88">
        <f>SUMIF(月間集計シート!$M$92:$M$111,$G663,月間集計シート!R$92:R$111)*AI$2</f>
        <v>0</v>
      </c>
      <c r="AJ663" s="88">
        <f>SUMIF(月間集計シート!$M$92:$M$111,$G663,月間集計シート!S$92:S$111)*AJ$2</f>
        <v>0</v>
      </c>
      <c r="AK663" s="88">
        <f>SUMIF(月間集計シート!$M$92:$M$111,$G663,月間集計シート!T$92:T$111)*AK$2</f>
        <v>0</v>
      </c>
      <c r="AL663" s="88">
        <f>SUMIF(月間集計シート!$M$113:$M$132,$G663,月間集計シート!N$113:N$132)*AL$2</f>
        <v>0</v>
      </c>
      <c r="AM663" s="88">
        <f>SUMIF(月間集計シート!$M$113:$M$132,$G663,月間集計シート!O$113:O$132)*AM$2</f>
        <v>0</v>
      </c>
      <c r="AN663" s="88">
        <f>SUMIF(月間集計シート!$M$113:$M$132,$G663,月間集計シート!P$113:P$132)*AN$2</f>
        <v>0</v>
      </c>
      <c r="AO663" s="88">
        <f>SUMIF(月間集計シート!$M$113:$M$132,$G663,月間集計シート!Q$113:Q$132)*AO$2</f>
        <v>0</v>
      </c>
      <c r="AP663" s="88">
        <f>SUMIF(月間集計シート!$M$113:$M$132,$G663,月間集計シート!R$113:R$132)*AP$2</f>
        <v>0</v>
      </c>
      <c r="AQ663" s="88">
        <f>SUMIF(月間集計シート!$M$113:$M$132,$G663,月間集計シート!S$113:S$132)*AQ$2</f>
        <v>0</v>
      </c>
      <c r="AR663" s="88">
        <f>SUMIF(月間集計シート!$M$113:$M$132,$G663,月間集計シート!T$113:T$132)*AR$2</f>
        <v>0</v>
      </c>
      <c r="AS663" s="88">
        <f>SUMIF(月間集計シート!$M$134:$M$153,$G663,月間集計シート!N$134:N$153)*AS$2</f>
        <v>0</v>
      </c>
      <c r="AT663" s="88">
        <f>SUMIF(月間集計シート!$M$134:$M$153,$G663,月間集計シート!O$134:O$153)*AT$2</f>
        <v>0</v>
      </c>
      <c r="AU663" s="88">
        <f>SUMIF(月間集計シート!$M$134:$M$153,$G663,月間集計シート!P$134:P$153)*AU$2</f>
        <v>0</v>
      </c>
      <c r="AV663" s="88">
        <f>SUMIF(月間集計シート!$M$134:$M$153,$G663,月間集計シート!Q$134:Q$153)*AV$2</f>
        <v>0</v>
      </c>
      <c r="AW663" s="88">
        <f>SUMIF(月間集計シート!$M$134:$M$153,$G663,月間集計シート!R$134:R$153)*AW$2</f>
        <v>0</v>
      </c>
      <c r="AX663" s="88">
        <f>SUMIF(月間集計シート!$M$134:$M$153,$G663,月間集計シート!S$134:S$153)*AX$2</f>
        <v>0</v>
      </c>
      <c r="AY663" s="88">
        <f>SUMIF(月間集計シート!$M$134:$M$153,$G663,月間集計シート!T$134:T$153)*AY$2</f>
        <v>0</v>
      </c>
    </row>
    <row r="664" spans="1:51" ht="14.25" thickBot="1">
      <c r="A664">
        <v>8</v>
      </c>
      <c r="B664" s="120">
        <f t="shared" si="304"/>
        <v>0</v>
      </c>
      <c r="C664" s="120" t="str">
        <f t="shared" si="305"/>
        <v/>
      </c>
      <c r="D664" s="137"/>
      <c r="E664" s="150" t="str">
        <f>工種!A61</f>
        <v>80103</v>
      </c>
      <c r="F664" s="119" t="str">
        <f>工種!B61</f>
        <v>保守／ｻﾎﾟｰﾄ：支社・他部門支援</v>
      </c>
      <c r="G664" s="116" t="str">
        <f t="shared" si="306"/>
        <v>080103</v>
      </c>
      <c r="H664" s="88">
        <f t="shared" si="260"/>
        <v>0</v>
      </c>
      <c r="I664" s="132"/>
      <c r="J664" s="88">
        <f>SUMIF(月間集計シート!$M$29:$M$48,$G664,月間集計シート!N$29:N$48)*J$2</f>
        <v>0</v>
      </c>
      <c r="K664" s="88">
        <f>SUMIF(月間集計シート!$M$29:$M$48,$G664,月間集計シート!O$29:O$48)*K$2</f>
        <v>0</v>
      </c>
      <c r="L664" s="88">
        <f>SUMIF(月間集計シート!$M$29:$M$48,$G664,月間集計シート!P$29:P$48)*L$2</f>
        <v>0</v>
      </c>
      <c r="M664" s="88">
        <f>SUMIF(月間集計シート!$M$29:$M$48,$G664,月間集計シート!Q$29:Q$48)*M$2</f>
        <v>0</v>
      </c>
      <c r="N664" s="88">
        <f>SUMIF(月間集計シート!$M$29:$M$48,$G664,月間集計シート!R$29:R$48)*N$2</f>
        <v>0</v>
      </c>
      <c r="O664" s="88">
        <f>SUMIF(月間集計シート!$M$29:$M$48,$G664,月間集計シート!S$29:S$48)*O$2</f>
        <v>0</v>
      </c>
      <c r="P664" s="88">
        <f>SUMIF(月間集計シート!$M$29:$M$48,$G664,月間集計シート!T$29:T$48)*P$2</f>
        <v>0</v>
      </c>
      <c r="Q664" s="88">
        <f>SUMIF(月間集計シート!$M$50:$M$69,$G664,月間集計シート!N$50:N$69)*Q$2</f>
        <v>0</v>
      </c>
      <c r="R664" s="88">
        <f>SUMIF(月間集計シート!$M$50:$M$69,$G664,月間集計シート!O$50:O$69)*R$2</f>
        <v>0</v>
      </c>
      <c r="S664" s="88">
        <f>SUMIF(月間集計シート!$M$50:$M$69,$G664,月間集計シート!P$50:P$69)*S$2</f>
        <v>0</v>
      </c>
      <c r="T664" s="88">
        <f>SUMIF(月間集計シート!$M$50:$M$69,$G664,月間集計シート!Q$50:Q$69)*T$2</f>
        <v>0</v>
      </c>
      <c r="U664" s="88">
        <f>SUMIF(月間集計シート!$M$50:$M$69,$G664,月間集計シート!R$50:R$69)*U$2</f>
        <v>0</v>
      </c>
      <c r="V664" s="88">
        <f>SUMIF(月間集計シート!$M$50:$M$69,$G664,月間集計シート!S$50:S$69)*V$2</f>
        <v>0</v>
      </c>
      <c r="W664" s="88">
        <f>SUMIF(月間集計シート!$M$50:$M$69,$G664,月間集計シート!T$50:T$69)*W$2</f>
        <v>0</v>
      </c>
      <c r="X664" s="88">
        <f>SUMIF(月間集計シート!$M$71:$M$90,$G664,月間集計シート!N$71:N$90)*X$2</f>
        <v>0</v>
      </c>
      <c r="Y664" s="88">
        <f>SUMIF(月間集計シート!$M$71:$M$90,$G664,月間集計シート!O$71:O$90)*Y$2</f>
        <v>0</v>
      </c>
      <c r="Z664" s="88">
        <f>SUMIF(月間集計シート!$M$71:$M$90,$G664,月間集計シート!P$71:P$90)*Z$2</f>
        <v>0</v>
      </c>
      <c r="AA664" s="88">
        <f>SUMIF(月間集計シート!$M$71:$M$90,$G664,月間集計シート!Q$71:Q$90)*AA$2</f>
        <v>0</v>
      </c>
      <c r="AB664" s="88">
        <f>SUMIF(月間集計シート!$M$71:$M$90,$G664,月間集計シート!R$71:R$90)*AB$2</f>
        <v>0</v>
      </c>
      <c r="AC664" s="88">
        <f>SUMIF(月間集計シート!$M$71:$M$90,$G664,月間集計シート!S$71:S$90)*AC$2</f>
        <v>0</v>
      </c>
      <c r="AD664" s="88">
        <f>SUMIF(月間集計シート!$M$71:$M$90,$G664,月間集計シート!T$71:T$90)*AD$2</f>
        <v>0</v>
      </c>
      <c r="AE664" s="88">
        <f>SUMIF(月間集計シート!$M$92:$M$111,$G664,月間集計シート!N$92:N$111)*AE$2</f>
        <v>0</v>
      </c>
      <c r="AF664" s="88">
        <f>SUMIF(月間集計シート!$M$92:$M$111,$G664,月間集計シート!O$92:O$111)*AF$2</f>
        <v>0</v>
      </c>
      <c r="AG664" s="88">
        <f>SUMIF(月間集計シート!$M$92:$M$111,$G664,月間集計シート!P$92:P$111)*AG$2</f>
        <v>0</v>
      </c>
      <c r="AH664" s="88">
        <f>SUMIF(月間集計シート!$M$92:$M$111,$G664,月間集計シート!Q$92:Q$111)*AH$2</f>
        <v>0</v>
      </c>
      <c r="AI664" s="88">
        <f>SUMIF(月間集計シート!$M$92:$M$111,$G664,月間集計シート!R$92:R$111)*AI$2</f>
        <v>0</v>
      </c>
      <c r="AJ664" s="88">
        <f>SUMIF(月間集計シート!$M$92:$M$111,$G664,月間集計シート!S$92:S$111)*AJ$2</f>
        <v>0</v>
      </c>
      <c r="AK664" s="88">
        <f>SUMIF(月間集計シート!$M$92:$M$111,$G664,月間集計シート!T$92:T$111)*AK$2</f>
        <v>0</v>
      </c>
      <c r="AL664" s="88">
        <f>SUMIF(月間集計シート!$M$113:$M$132,$G664,月間集計シート!N$113:N$132)*AL$2</f>
        <v>0</v>
      </c>
      <c r="AM664" s="88">
        <f>SUMIF(月間集計シート!$M$113:$M$132,$G664,月間集計シート!O$113:O$132)*AM$2</f>
        <v>0</v>
      </c>
      <c r="AN664" s="88">
        <f>SUMIF(月間集計シート!$M$113:$M$132,$G664,月間集計シート!P$113:P$132)*AN$2</f>
        <v>0</v>
      </c>
      <c r="AO664" s="88">
        <f>SUMIF(月間集計シート!$M$113:$M$132,$G664,月間集計シート!Q$113:Q$132)*AO$2</f>
        <v>0</v>
      </c>
      <c r="AP664" s="88">
        <f>SUMIF(月間集計シート!$M$113:$M$132,$G664,月間集計シート!R$113:R$132)*AP$2</f>
        <v>0</v>
      </c>
      <c r="AQ664" s="88">
        <f>SUMIF(月間集計シート!$M$113:$M$132,$G664,月間集計シート!S$113:S$132)*AQ$2</f>
        <v>0</v>
      </c>
      <c r="AR664" s="88">
        <f>SUMIF(月間集計シート!$M$113:$M$132,$G664,月間集計シート!T$113:T$132)*AR$2</f>
        <v>0</v>
      </c>
      <c r="AS664" s="88">
        <f>SUMIF(月間集計シート!$M$134:$M$153,$G664,月間集計シート!N$134:N$153)*AS$2</f>
        <v>0</v>
      </c>
      <c r="AT664" s="88">
        <f>SUMIF(月間集計シート!$M$134:$M$153,$G664,月間集計シート!O$134:O$153)*AT$2</f>
        <v>0</v>
      </c>
      <c r="AU664" s="88">
        <f>SUMIF(月間集計シート!$M$134:$M$153,$G664,月間集計シート!P$134:P$153)*AU$2</f>
        <v>0</v>
      </c>
      <c r="AV664" s="88">
        <f>SUMIF(月間集計シート!$M$134:$M$153,$G664,月間集計シート!Q$134:Q$153)*AV$2</f>
        <v>0</v>
      </c>
      <c r="AW664" s="88">
        <f>SUMIF(月間集計シート!$M$134:$M$153,$G664,月間集計シート!R$134:R$153)*AW$2</f>
        <v>0</v>
      </c>
      <c r="AX664" s="88">
        <f>SUMIF(月間集計シート!$M$134:$M$153,$G664,月間集計シート!S$134:S$153)*AX$2</f>
        <v>0</v>
      </c>
      <c r="AY664" s="88">
        <f>SUMIF(月間集計シート!$M$134:$M$153,$G664,月間集計シート!T$134:T$153)*AY$2</f>
        <v>0</v>
      </c>
    </row>
    <row r="665" spans="1:51" ht="14.25" thickBot="1">
      <c r="A665">
        <v>8</v>
      </c>
      <c r="B665" s="120">
        <f t="shared" si="304"/>
        <v>0</v>
      </c>
      <c r="C665" s="120" t="str">
        <f t="shared" si="305"/>
        <v/>
      </c>
      <c r="D665" s="137"/>
      <c r="E665" s="150" t="str">
        <f>工種!A62</f>
        <v>80104</v>
      </c>
      <c r="F665" s="119" t="str">
        <f>工種!B62</f>
        <v>保守／ｻﾎﾟｰﾄ：連絡文書作成・更新</v>
      </c>
      <c r="G665" s="116" t="str">
        <f t="shared" si="306"/>
        <v>080104</v>
      </c>
      <c r="H665" s="88">
        <f t="shared" si="260"/>
        <v>0</v>
      </c>
      <c r="I665" s="132"/>
      <c r="J665" s="88">
        <f>SUMIF(月間集計シート!$M$29:$M$48,$G665,月間集計シート!N$29:N$48)*J$2</f>
        <v>0</v>
      </c>
      <c r="K665" s="88">
        <f>SUMIF(月間集計シート!$M$29:$M$48,$G665,月間集計シート!O$29:O$48)*K$2</f>
        <v>0</v>
      </c>
      <c r="L665" s="88">
        <f>SUMIF(月間集計シート!$M$29:$M$48,$G665,月間集計シート!P$29:P$48)*L$2</f>
        <v>0</v>
      </c>
      <c r="M665" s="88">
        <f>SUMIF(月間集計シート!$M$29:$M$48,$G665,月間集計シート!Q$29:Q$48)*M$2</f>
        <v>0</v>
      </c>
      <c r="N665" s="88">
        <f>SUMIF(月間集計シート!$M$29:$M$48,$G665,月間集計シート!R$29:R$48)*N$2</f>
        <v>0</v>
      </c>
      <c r="O665" s="88">
        <f>SUMIF(月間集計シート!$M$29:$M$48,$G665,月間集計シート!S$29:S$48)*O$2</f>
        <v>0</v>
      </c>
      <c r="P665" s="88">
        <f>SUMIF(月間集計シート!$M$29:$M$48,$G665,月間集計シート!T$29:T$48)*P$2</f>
        <v>0</v>
      </c>
      <c r="Q665" s="88">
        <f>SUMIF(月間集計シート!$M$50:$M$69,$G665,月間集計シート!N$50:N$69)*Q$2</f>
        <v>0</v>
      </c>
      <c r="R665" s="88">
        <f>SUMIF(月間集計シート!$M$50:$M$69,$G665,月間集計シート!O$50:O$69)*R$2</f>
        <v>0</v>
      </c>
      <c r="S665" s="88">
        <f>SUMIF(月間集計シート!$M$50:$M$69,$G665,月間集計シート!P$50:P$69)*S$2</f>
        <v>0</v>
      </c>
      <c r="T665" s="88">
        <f>SUMIF(月間集計シート!$M$50:$M$69,$G665,月間集計シート!Q$50:Q$69)*T$2</f>
        <v>0</v>
      </c>
      <c r="U665" s="88">
        <f>SUMIF(月間集計シート!$M$50:$M$69,$G665,月間集計シート!R$50:R$69)*U$2</f>
        <v>0</v>
      </c>
      <c r="V665" s="88">
        <f>SUMIF(月間集計シート!$M$50:$M$69,$G665,月間集計シート!S$50:S$69)*V$2</f>
        <v>0</v>
      </c>
      <c r="W665" s="88">
        <f>SUMIF(月間集計シート!$M$50:$M$69,$G665,月間集計シート!T$50:T$69)*W$2</f>
        <v>0</v>
      </c>
      <c r="X665" s="88">
        <f>SUMIF(月間集計シート!$M$71:$M$90,$G665,月間集計シート!N$71:N$90)*X$2</f>
        <v>0</v>
      </c>
      <c r="Y665" s="88">
        <f>SUMIF(月間集計シート!$M$71:$M$90,$G665,月間集計シート!O$71:O$90)*Y$2</f>
        <v>0</v>
      </c>
      <c r="Z665" s="88">
        <f>SUMIF(月間集計シート!$M$71:$M$90,$G665,月間集計シート!P$71:P$90)*Z$2</f>
        <v>0</v>
      </c>
      <c r="AA665" s="88">
        <f>SUMIF(月間集計シート!$M$71:$M$90,$G665,月間集計シート!Q$71:Q$90)*AA$2</f>
        <v>0</v>
      </c>
      <c r="AB665" s="88">
        <f>SUMIF(月間集計シート!$M$71:$M$90,$G665,月間集計シート!R$71:R$90)*AB$2</f>
        <v>0</v>
      </c>
      <c r="AC665" s="88">
        <f>SUMIF(月間集計シート!$M$71:$M$90,$G665,月間集計シート!S$71:S$90)*AC$2</f>
        <v>0</v>
      </c>
      <c r="AD665" s="88">
        <f>SUMIF(月間集計シート!$M$71:$M$90,$G665,月間集計シート!T$71:T$90)*AD$2</f>
        <v>0</v>
      </c>
      <c r="AE665" s="88">
        <f>SUMIF(月間集計シート!$M$92:$M$111,$G665,月間集計シート!N$92:N$111)*AE$2</f>
        <v>0</v>
      </c>
      <c r="AF665" s="88">
        <f>SUMIF(月間集計シート!$M$92:$M$111,$G665,月間集計シート!O$92:O$111)*AF$2</f>
        <v>0</v>
      </c>
      <c r="AG665" s="88">
        <f>SUMIF(月間集計シート!$M$92:$M$111,$G665,月間集計シート!P$92:P$111)*AG$2</f>
        <v>0</v>
      </c>
      <c r="AH665" s="88">
        <f>SUMIF(月間集計シート!$M$92:$M$111,$G665,月間集計シート!Q$92:Q$111)*AH$2</f>
        <v>0</v>
      </c>
      <c r="AI665" s="88">
        <f>SUMIF(月間集計シート!$M$92:$M$111,$G665,月間集計シート!R$92:R$111)*AI$2</f>
        <v>0</v>
      </c>
      <c r="AJ665" s="88">
        <f>SUMIF(月間集計シート!$M$92:$M$111,$G665,月間集計シート!S$92:S$111)*AJ$2</f>
        <v>0</v>
      </c>
      <c r="AK665" s="88">
        <f>SUMIF(月間集計シート!$M$92:$M$111,$G665,月間集計シート!T$92:T$111)*AK$2</f>
        <v>0</v>
      </c>
      <c r="AL665" s="88">
        <f>SUMIF(月間集計シート!$M$113:$M$132,$G665,月間集計シート!N$113:N$132)*AL$2</f>
        <v>0</v>
      </c>
      <c r="AM665" s="88">
        <f>SUMIF(月間集計シート!$M$113:$M$132,$G665,月間集計シート!O$113:O$132)*AM$2</f>
        <v>0</v>
      </c>
      <c r="AN665" s="88">
        <f>SUMIF(月間集計シート!$M$113:$M$132,$G665,月間集計シート!P$113:P$132)*AN$2</f>
        <v>0</v>
      </c>
      <c r="AO665" s="88">
        <f>SUMIF(月間集計シート!$M$113:$M$132,$G665,月間集計シート!Q$113:Q$132)*AO$2</f>
        <v>0</v>
      </c>
      <c r="AP665" s="88">
        <f>SUMIF(月間集計シート!$M$113:$M$132,$G665,月間集計シート!R$113:R$132)*AP$2</f>
        <v>0</v>
      </c>
      <c r="AQ665" s="88">
        <f>SUMIF(月間集計シート!$M$113:$M$132,$G665,月間集計シート!S$113:S$132)*AQ$2</f>
        <v>0</v>
      </c>
      <c r="AR665" s="88">
        <f>SUMIF(月間集計シート!$M$113:$M$132,$G665,月間集計シート!T$113:T$132)*AR$2</f>
        <v>0</v>
      </c>
      <c r="AS665" s="88">
        <f>SUMIF(月間集計シート!$M$134:$M$153,$G665,月間集計シート!N$134:N$153)*AS$2</f>
        <v>0</v>
      </c>
      <c r="AT665" s="88">
        <f>SUMIF(月間集計シート!$M$134:$M$153,$G665,月間集計シート!O$134:O$153)*AT$2</f>
        <v>0</v>
      </c>
      <c r="AU665" s="88">
        <f>SUMIF(月間集計シート!$M$134:$M$153,$G665,月間集計シート!P$134:P$153)*AU$2</f>
        <v>0</v>
      </c>
      <c r="AV665" s="88">
        <f>SUMIF(月間集計シート!$M$134:$M$153,$G665,月間集計シート!Q$134:Q$153)*AV$2</f>
        <v>0</v>
      </c>
      <c r="AW665" s="88">
        <f>SUMIF(月間集計シート!$M$134:$M$153,$G665,月間集計シート!R$134:R$153)*AW$2</f>
        <v>0</v>
      </c>
      <c r="AX665" s="88">
        <f>SUMIF(月間集計シート!$M$134:$M$153,$G665,月間集計シート!S$134:S$153)*AX$2</f>
        <v>0</v>
      </c>
      <c r="AY665" s="88">
        <f>SUMIF(月間集計シート!$M$134:$M$153,$G665,月間集計シート!T$134:T$153)*AY$2</f>
        <v>0</v>
      </c>
    </row>
    <row r="666" spans="1:51" ht="14.25" thickBot="1">
      <c r="A666">
        <v>8</v>
      </c>
      <c r="B666" s="120">
        <f t="shared" si="304"/>
        <v>0</v>
      </c>
      <c r="C666" s="120" t="str">
        <f t="shared" si="305"/>
        <v/>
      </c>
      <c r="D666" s="137"/>
      <c r="E666" s="150" t="str">
        <f>工種!A63</f>
        <v>80105</v>
      </c>
      <c r="F666" s="119" t="str">
        <f>工種!B63</f>
        <v>保守／ｻﾎﾟｰﾄ：ｲﾝﾄﾗ資料更新</v>
      </c>
      <c r="G666" s="116" t="str">
        <f t="shared" ref="G666:G683" si="307">B666&amp;E666</f>
        <v>080105</v>
      </c>
      <c r="H666" s="88">
        <f t="shared" ref="H666:H667" si="308">SUM(J666:AY666)</f>
        <v>0</v>
      </c>
      <c r="I666" s="132"/>
      <c r="J666" s="88">
        <f>SUMIF(月間集計シート!$M$29:$M$48,$G666,月間集計シート!N$29:N$48)*J$2</f>
        <v>0</v>
      </c>
      <c r="K666" s="88">
        <f>SUMIF(月間集計シート!$M$29:$M$48,$G666,月間集計シート!O$29:O$48)*K$2</f>
        <v>0</v>
      </c>
      <c r="L666" s="88">
        <f>SUMIF(月間集計シート!$M$29:$M$48,$G666,月間集計シート!P$29:P$48)*L$2</f>
        <v>0</v>
      </c>
      <c r="M666" s="88">
        <f>SUMIF(月間集計シート!$M$29:$M$48,$G666,月間集計シート!Q$29:Q$48)*M$2</f>
        <v>0</v>
      </c>
      <c r="N666" s="88">
        <f>SUMIF(月間集計シート!$M$29:$M$48,$G666,月間集計シート!R$29:R$48)*N$2</f>
        <v>0</v>
      </c>
      <c r="O666" s="88">
        <f>SUMIF(月間集計シート!$M$29:$M$48,$G666,月間集計シート!S$29:S$48)*O$2</f>
        <v>0</v>
      </c>
      <c r="P666" s="88">
        <f>SUMIF(月間集計シート!$M$29:$M$48,$G666,月間集計シート!T$29:T$48)*P$2</f>
        <v>0</v>
      </c>
      <c r="Q666" s="88">
        <f>SUMIF(月間集計シート!$M$50:$M$69,$G666,月間集計シート!N$50:N$69)*Q$2</f>
        <v>0</v>
      </c>
      <c r="R666" s="88">
        <f>SUMIF(月間集計シート!$M$50:$M$69,$G666,月間集計シート!O$50:O$69)*R$2</f>
        <v>0</v>
      </c>
      <c r="S666" s="88">
        <f>SUMIF(月間集計シート!$M$50:$M$69,$G666,月間集計シート!P$50:P$69)*S$2</f>
        <v>0</v>
      </c>
      <c r="T666" s="88">
        <f>SUMIF(月間集計シート!$M$50:$M$69,$G666,月間集計シート!Q$50:Q$69)*T$2</f>
        <v>0</v>
      </c>
      <c r="U666" s="88">
        <f>SUMIF(月間集計シート!$M$50:$M$69,$G666,月間集計シート!R$50:R$69)*U$2</f>
        <v>0</v>
      </c>
      <c r="V666" s="88">
        <f>SUMIF(月間集計シート!$M$50:$M$69,$G666,月間集計シート!S$50:S$69)*V$2</f>
        <v>0</v>
      </c>
      <c r="W666" s="88">
        <f>SUMIF(月間集計シート!$M$50:$M$69,$G666,月間集計シート!T$50:T$69)*W$2</f>
        <v>0</v>
      </c>
      <c r="X666" s="88">
        <f>SUMIF(月間集計シート!$M$71:$M$90,$G666,月間集計シート!N$71:N$90)*X$2</f>
        <v>0</v>
      </c>
      <c r="Y666" s="88">
        <f>SUMIF(月間集計シート!$M$71:$M$90,$G666,月間集計シート!O$71:O$90)*Y$2</f>
        <v>0</v>
      </c>
      <c r="Z666" s="88">
        <f>SUMIF(月間集計シート!$M$71:$M$90,$G666,月間集計シート!P$71:P$90)*Z$2</f>
        <v>0</v>
      </c>
      <c r="AA666" s="88">
        <f>SUMIF(月間集計シート!$M$71:$M$90,$G666,月間集計シート!Q$71:Q$90)*AA$2</f>
        <v>0</v>
      </c>
      <c r="AB666" s="88">
        <f>SUMIF(月間集計シート!$M$71:$M$90,$G666,月間集計シート!R$71:R$90)*AB$2</f>
        <v>0</v>
      </c>
      <c r="AC666" s="88">
        <f>SUMIF(月間集計シート!$M$71:$M$90,$G666,月間集計シート!S$71:S$90)*AC$2</f>
        <v>0</v>
      </c>
      <c r="AD666" s="88">
        <f>SUMIF(月間集計シート!$M$71:$M$90,$G666,月間集計シート!T$71:T$90)*AD$2</f>
        <v>0</v>
      </c>
      <c r="AE666" s="88">
        <f>SUMIF(月間集計シート!$M$92:$M$111,$G666,月間集計シート!N$92:N$111)*AE$2</f>
        <v>0</v>
      </c>
      <c r="AF666" s="88">
        <f>SUMIF(月間集計シート!$M$92:$M$111,$G666,月間集計シート!O$92:O$111)*AF$2</f>
        <v>0</v>
      </c>
      <c r="AG666" s="88">
        <f>SUMIF(月間集計シート!$M$92:$M$111,$G666,月間集計シート!P$92:P$111)*AG$2</f>
        <v>0</v>
      </c>
      <c r="AH666" s="88">
        <f>SUMIF(月間集計シート!$M$92:$M$111,$G666,月間集計シート!Q$92:Q$111)*AH$2</f>
        <v>0</v>
      </c>
      <c r="AI666" s="88">
        <f>SUMIF(月間集計シート!$M$92:$M$111,$G666,月間集計シート!R$92:R$111)*AI$2</f>
        <v>0</v>
      </c>
      <c r="AJ666" s="88">
        <f>SUMIF(月間集計シート!$M$92:$M$111,$G666,月間集計シート!S$92:S$111)*AJ$2</f>
        <v>0</v>
      </c>
      <c r="AK666" s="88">
        <f>SUMIF(月間集計シート!$M$92:$M$111,$G666,月間集計シート!T$92:T$111)*AK$2</f>
        <v>0</v>
      </c>
      <c r="AL666" s="88">
        <f>SUMIF(月間集計シート!$M$113:$M$132,$G666,月間集計シート!N$113:N$132)*AL$2</f>
        <v>0</v>
      </c>
      <c r="AM666" s="88">
        <f>SUMIF(月間集計シート!$M$113:$M$132,$G666,月間集計シート!O$113:O$132)*AM$2</f>
        <v>0</v>
      </c>
      <c r="AN666" s="88">
        <f>SUMIF(月間集計シート!$M$113:$M$132,$G666,月間集計シート!P$113:P$132)*AN$2</f>
        <v>0</v>
      </c>
      <c r="AO666" s="88">
        <f>SUMIF(月間集計シート!$M$113:$M$132,$G666,月間集計シート!Q$113:Q$132)*AO$2</f>
        <v>0</v>
      </c>
      <c r="AP666" s="88">
        <f>SUMIF(月間集計シート!$M$113:$M$132,$G666,月間集計シート!R$113:R$132)*AP$2</f>
        <v>0</v>
      </c>
      <c r="AQ666" s="88">
        <f>SUMIF(月間集計シート!$M$113:$M$132,$G666,月間集計シート!S$113:S$132)*AQ$2</f>
        <v>0</v>
      </c>
      <c r="AR666" s="88">
        <f>SUMIF(月間集計シート!$M$113:$M$132,$G666,月間集計シート!T$113:T$132)*AR$2</f>
        <v>0</v>
      </c>
      <c r="AS666" s="88">
        <f>SUMIF(月間集計シート!$M$134:$M$153,$G666,月間集計シート!N$134:N$153)*AS$2</f>
        <v>0</v>
      </c>
      <c r="AT666" s="88">
        <f>SUMIF(月間集計シート!$M$134:$M$153,$G666,月間集計シート!O$134:O$153)*AT$2</f>
        <v>0</v>
      </c>
      <c r="AU666" s="88">
        <f>SUMIF(月間集計シート!$M$134:$M$153,$G666,月間集計シート!P$134:P$153)*AU$2</f>
        <v>0</v>
      </c>
      <c r="AV666" s="88">
        <f>SUMIF(月間集計シート!$M$134:$M$153,$G666,月間集計シート!Q$134:Q$153)*AV$2</f>
        <v>0</v>
      </c>
      <c r="AW666" s="88">
        <f>SUMIF(月間集計シート!$M$134:$M$153,$G666,月間集計シート!R$134:R$153)*AW$2</f>
        <v>0</v>
      </c>
      <c r="AX666" s="88">
        <f>SUMIF(月間集計シート!$M$134:$M$153,$G666,月間集計シート!S$134:S$153)*AX$2</f>
        <v>0</v>
      </c>
      <c r="AY666" s="88">
        <f>SUMIF(月間集計シート!$M$134:$M$153,$G666,月間集計シート!T$134:T$153)*AY$2</f>
        <v>0</v>
      </c>
    </row>
    <row r="667" spans="1:51" ht="14.25" thickBot="1">
      <c r="A667">
        <v>8</v>
      </c>
      <c r="B667" s="120">
        <f t="shared" si="304"/>
        <v>0</v>
      </c>
      <c r="C667" s="120" t="str">
        <f t="shared" si="305"/>
        <v/>
      </c>
      <c r="D667" s="137"/>
      <c r="E667" s="150" t="str">
        <f>工種!A64</f>
        <v>80106</v>
      </c>
      <c r="F667" s="119" t="str">
        <f>工種!B64</f>
        <v>保守／ｻﾎﾟｰﾄ：打合せ</v>
      </c>
      <c r="G667" s="116" t="str">
        <f t="shared" si="307"/>
        <v>080106</v>
      </c>
      <c r="H667" s="88">
        <f t="shared" si="308"/>
        <v>0</v>
      </c>
      <c r="I667" s="132"/>
      <c r="J667" s="88">
        <f>SUMIF(月間集計シート!$M$29:$M$48,$G667,月間集計シート!N$29:N$48)*J$2</f>
        <v>0</v>
      </c>
      <c r="K667" s="88">
        <f>SUMIF(月間集計シート!$M$29:$M$48,$G667,月間集計シート!O$29:O$48)*K$2</f>
        <v>0</v>
      </c>
      <c r="L667" s="88">
        <f>SUMIF(月間集計シート!$M$29:$M$48,$G667,月間集計シート!P$29:P$48)*L$2</f>
        <v>0</v>
      </c>
      <c r="M667" s="88">
        <f>SUMIF(月間集計シート!$M$29:$M$48,$G667,月間集計シート!Q$29:Q$48)*M$2</f>
        <v>0</v>
      </c>
      <c r="N667" s="88">
        <f>SUMIF(月間集計シート!$M$29:$M$48,$G667,月間集計シート!R$29:R$48)*N$2</f>
        <v>0</v>
      </c>
      <c r="O667" s="88">
        <f>SUMIF(月間集計シート!$M$29:$M$48,$G667,月間集計シート!S$29:S$48)*O$2</f>
        <v>0</v>
      </c>
      <c r="P667" s="88">
        <f>SUMIF(月間集計シート!$M$29:$M$48,$G667,月間集計シート!T$29:T$48)*P$2</f>
        <v>0</v>
      </c>
      <c r="Q667" s="88">
        <f>SUMIF(月間集計シート!$M$50:$M$69,$G667,月間集計シート!N$50:N$69)*Q$2</f>
        <v>0</v>
      </c>
      <c r="R667" s="88">
        <f>SUMIF(月間集計シート!$M$50:$M$69,$G667,月間集計シート!O$50:O$69)*R$2</f>
        <v>0</v>
      </c>
      <c r="S667" s="88">
        <f>SUMIF(月間集計シート!$M$50:$M$69,$G667,月間集計シート!P$50:P$69)*S$2</f>
        <v>0</v>
      </c>
      <c r="T667" s="88">
        <f>SUMIF(月間集計シート!$M$50:$M$69,$G667,月間集計シート!Q$50:Q$69)*T$2</f>
        <v>0</v>
      </c>
      <c r="U667" s="88">
        <f>SUMIF(月間集計シート!$M$50:$M$69,$G667,月間集計シート!R$50:R$69)*U$2</f>
        <v>0</v>
      </c>
      <c r="V667" s="88">
        <f>SUMIF(月間集計シート!$M$50:$M$69,$G667,月間集計シート!S$50:S$69)*V$2</f>
        <v>0</v>
      </c>
      <c r="W667" s="88">
        <f>SUMIF(月間集計シート!$M$50:$M$69,$G667,月間集計シート!T$50:T$69)*W$2</f>
        <v>0</v>
      </c>
      <c r="X667" s="88">
        <f>SUMIF(月間集計シート!$M$71:$M$90,$G667,月間集計シート!N$71:N$90)*X$2</f>
        <v>0</v>
      </c>
      <c r="Y667" s="88">
        <f>SUMIF(月間集計シート!$M$71:$M$90,$G667,月間集計シート!O$71:O$90)*Y$2</f>
        <v>0</v>
      </c>
      <c r="Z667" s="88">
        <f>SUMIF(月間集計シート!$M$71:$M$90,$G667,月間集計シート!P$71:P$90)*Z$2</f>
        <v>0</v>
      </c>
      <c r="AA667" s="88">
        <f>SUMIF(月間集計シート!$M$71:$M$90,$G667,月間集計シート!Q$71:Q$90)*AA$2</f>
        <v>0</v>
      </c>
      <c r="AB667" s="88">
        <f>SUMIF(月間集計シート!$M$71:$M$90,$G667,月間集計シート!R$71:R$90)*AB$2</f>
        <v>0</v>
      </c>
      <c r="AC667" s="88">
        <f>SUMIF(月間集計シート!$M$71:$M$90,$G667,月間集計シート!S$71:S$90)*AC$2</f>
        <v>0</v>
      </c>
      <c r="AD667" s="88">
        <f>SUMIF(月間集計シート!$M$71:$M$90,$G667,月間集計シート!T$71:T$90)*AD$2</f>
        <v>0</v>
      </c>
      <c r="AE667" s="88">
        <f>SUMIF(月間集計シート!$M$92:$M$111,$G667,月間集計シート!N$92:N$111)*AE$2</f>
        <v>0</v>
      </c>
      <c r="AF667" s="88">
        <f>SUMIF(月間集計シート!$M$92:$M$111,$G667,月間集計シート!O$92:O$111)*AF$2</f>
        <v>0</v>
      </c>
      <c r="AG667" s="88">
        <f>SUMIF(月間集計シート!$M$92:$M$111,$G667,月間集計シート!P$92:P$111)*AG$2</f>
        <v>0</v>
      </c>
      <c r="AH667" s="88">
        <f>SUMIF(月間集計シート!$M$92:$M$111,$G667,月間集計シート!Q$92:Q$111)*AH$2</f>
        <v>0</v>
      </c>
      <c r="AI667" s="88">
        <f>SUMIF(月間集計シート!$M$92:$M$111,$G667,月間集計シート!R$92:R$111)*AI$2</f>
        <v>0</v>
      </c>
      <c r="AJ667" s="88">
        <f>SUMIF(月間集計シート!$M$92:$M$111,$G667,月間集計シート!S$92:S$111)*AJ$2</f>
        <v>0</v>
      </c>
      <c r="AK667" s="88">
        <f>SUMIF(月間集計シート!$M$92:$M$111,$G667,月間集計シート!T$92:T$111)*AK$2</f>
        <v>0</v>
      </c>
      <c r="AL667" s="88">
        <f>SUMIF(月間集計シート!$M$113:$M$132,$G667,月間集計シート!N$113:N$132)*AL$2</f>
        <v>0</v>
      </c>
      <c r="AM667" s="88">
        <f>SUMIF(月間集計シート!$M$113:$M$132,$G667,月間集計シート!O$113:O$132)*AM$2</f>
        <v>0</v>
      </c>
      <c r="AN667" s="88">
        <f>SUMIF(月間集計シート!$M$113:$M$132,$G667,月間集計シート!P$113:P$132)*AN$2</f>
        <v>0</v>
      </c>
      <c r="AO667" s="88">
        <f>SUMIF(月間集計シート!$M$113:$M$132,$G667,月間集計シート!Q$113:Q$132)*AO$2</f>
        <v>0</v>
      </c>
      <c r="AP667" s="88">
        <f>SUMIF(月間集計シート!$M$113:$M$132,$G667,月間集計シート!R$113:R$132)*AP$2</f>
        <v>0</v>
      </c>
      <c r="AQ667" s="88">
        <f>SUMIF(月間集計シート!$M$113:$M$132,$G667,月間集計シート!S$113:S$132)*AQ$2</f>
        <v>0</v>
      </c>
      <c r="AR667" s="88">
        <f>SUMIF(月間集計シート!$M$113:$M$132,$G667,月間集計シート!T$113:T$132)*AR$2</f>
        <v>0</v>
      </c>
      <c r="AS667" s="88">
        <f>SUMIF(月間集計シート!$M$134:$M$153,$G667,月間集計シート!N$134:N$153)*AS$2</f>
        <v>0</v>
      </c>
      <c r="AT667" s="88">
        <f>SUMIF(月間集計シート!$M$134:$M$153,$G667,月間集計シート!O$134:O$153)*AT$2</f>
        <v>0</v>
      </c>
      <c r="AU667" s="88">
        <f>SUMIF(月間集計シート!$M$134:$M$153,$G667,月間集計シート!P$134:P$153)*AU$2</f>
        <v>0</v>
      </c>
      <c r="AV667" s="88">
        <f>SUMIF(月間集計シート!$M$134:$M$153,$G667,月間集計シート!Q$134:Q$153)*AV$2</f>
        <v>0</v>
      </c>
      <c r="AW667" s="88">
        <f>SUMIF(月間集計シート!$M$134:$M$153,$G667,月間集計シート!R$134:R$153)*AW$2</f>
        <v>0</v>
      </c>
      <c r="AX667" s="88">
        <f>SUMIF(月間集計シート!$M$134:$M$153,$G667,月間集計シート!S$134:S$153)*AX$2</f>
        <v>0</v>
      </c>
      <c r="AY667" s="88">
        <f>SUMIF(月間集計シート!$M$134:$M$153,$G667,月間集計シート!T$134:T$153)*AY$2</f>
        <v>0</v>
      </c>
    </row>
    <row r="668" spans="1:51" ht="14.25" thickBot="1">
      <c r="A668">
        <v>8</v>
      </c>
      <c r="B668" s="120">
        <f t="shared" si="304"/>
        <v>0</v>
      </c>
      <c r="C668" s="120" t="str">
        <f t="shared" si="305"/>
        <v/>
      </c>
      <c r="D668" s="137"/>
      <c r="E668" s="150" t="str">
        <f>工種!A65</f>
        <v>80107</v>
      </c>
      <c r="F668" s="119" t="str">
        <f>工種!B65</f>
        <v>保守／ｻﾎﾟｰﾄ：ﾚﾋﾞｭｰ</v>
      </c>
      <c r="G668" s="116" t="str">
        <f t="shared" si="307"/>
        <v>080107</v>
      </c>
      <c r="H668" s="88">
        <f t="shared" ref="H668:H683" si="309">SUM(J668:AY668)</f>
        <v>0</v>
      </c>
      <c r="I668" s="132"/>
      <c r="J668" s="88">
        <f>SUMIF(月間集計シート!$M$29:$M$48,$G668,月間集計シート!N$29:N$48)*J$2</f>
        <v>0</v>
      </c>
      <c r="K668" s="88">
        <f>SUMIF(月間集計シート!$M$29:$M$48,$G668,月間集計シート!O$29:O$48)*K$2</f>
        <v>0</v>
      </c>
      <c r="L668" s="88">
        <f>SUMIF(月間集計シート!$M$29:$M$48,$G668,月間集計シート!P$29:P$48)*L$2</f>
        <v>0</v>
      </c>
      <c r="M668" s="88">
        <f>SUMIF(月間集計シート!$M$29:$M$48,$G668,月間集計シート!Q$29:Q$48)*M$2</f>
        <v>0</v>
      </c>
      <c r="N668" s="88">
        <f>SUMIF(月間集計シート!$M$29:$M$48,$G668,月間集計シート!R$29:R$48)*N$2</f>
        <v>0</v>
      </c>
      <c r="O668" s="88">
        <f>SUMIF(月間集計シート!$M$29:$M$48,$G668,月間集計シート!S$29:S$48)*O$2</f>
        <v>0</v>
      </c>
      <c r="P668" s="88">
        <f>SUMIF(月間集計シート!$M$29:$M$48,$G668,月間集計シート!T$29:T$48)*P$2</f>
        <v>0</v>
      </c>
      <c r="Q668" s="88">
        <f>SUMIF(月間集計シート!$M$50:$M$69,$G668,月間集計シート!N$50:N$69)*Q$2</f>
        <v>0</v>
      </c>
      <c r="R668" s="88">
        <f>SUMIF(月間集計シート!$M$50:$M$69,$G668,月間集計シート!O$50:O$69)*R$2</f>
        <v>0</v>
      </c>
      <c r="S668" s="88">
        <f>SUMIF(月間集計シート!$M$50:$M$69,$G668,月間集計シート!P$50:P$69)*S$2</f>
        <v>0</v>
      </c>
      <c r="T668" s="88">
        <f>SUMIF(月間集計シート!$M$50:$M$69,$G668,月間集計シート!Q$50:Q$69)*T$2</f>
        <v>0</v>
      </c>
      <c r="U668" s="88">
        <f>SUMIF(月間集計シート!$M$50:$M$69,$G668,月間集計シート!R$50:R$69)*U$2</f>
        <v>0</v>
      </c>
      <c r="V668" s="88">
        <f>SUMIF(月間集計シート!$M$50:$M$69,$G668,月間集計シート!S$50:S$69)*V$2</f>
        <v>0</v>
      </c>
      <c r="W668" s="88">
        <f>SUMIF(月間集計シート!$M$50:$M$69,$G668,月間集計シート!T$50:T$69)*W$2</f>
        <v>0</v>
      </c>
      <c r="X668" s="88">
        <f>SUMIF(月間集計シート!$M$71:$M$90,$G668,月間集計シート!N$71:N$90)*X$2</f>
        <v>0</v>
      </c>
      <c r="Y668" s="88">
        <f>SUMIF(月間集計シート!$M$71:$M$90,$G668,月間集計シート!O$71:O$90)*Y$2</f>
        <v>0</v>
      </c>
      <c r="Z668" s="88">
        <f>SUMIF(月間集計シート!$M$71:$M$90,$G668,月間集計シート!P$71:P$90)*Z$2</f>
        <v>0</v>
      </c>
      <c r="AA668" s="88">
        <f>SUMIF(月間集計シート!$M$71:$M$90,$G668,月間集計シート!Q$71:Q$90)*AA$2</f>
        <v>0</v>
      </c>
      <c r="AB668" s="88">
        <f>SUMIF(月間集計シート!$M$71:$M$90,$G668,月間集計シート!R$71:R$90)*AB$2</f>
        <v>0</v>
      </c>
      <c r="AC668" s="88">
        <f>SUMIF(月間集計シート!$M$71:$M$90,$G668,月間集計シート!S$71:S$90)*AC$2</f>
        <v>0</v>
      </c>
      <c r="AD668" s="88">
        <f>SUMIF(月間集計シート!$M$71:$M$90,$G668,月間集計シート!T$71:T$90)*AD$2</f>
        <v>0</v>
      </c>
      <c r="AE668" s="88">
        <f>SUMIF(月間集計シート!$M$92:$M$111,$G668,月間集計シート!N$92:N$111)*AE$2</f>
        <v>0</v>
      </c>
      <c r="AF668" s="88">
        <f>SUMIF(月間集計シート!$M$92:$M$111,$G668,月間集計シート!O$92:O$111)*AF$2</f>
        <v>0</v>
      </c>
      <c r="AG668" s="88">
        <f>SUMIF(月間集計シート!$M$92:$M$111,$G668,月間集計シート!P$92:P$111)*AG$2</f>
        <v>0</v>
      </c>
      <c r="AH668" s="88">
        <f>SUMIF(月間集計シート!$M$92:$M$111,$G668,月間集計シート!Q$92:Q$111)*AH$2</f>
        <v>0</v>
      </c>
      <c r="AI668" s="88">
        <f>SUMIF(月間集計シート!$M$92:$M$111,$G668,月間集計シート!R$92:R$111)*AI$2</f>
        <v>0</v>
      </c>
      <c r="AJ668" s="88">
        <f>SUMIF(月間集計シート!$M$92:$M$111,$G668,月間集計シート!S$92:S$111)*AJ$2</f>
        <v>0</v>
      </c>
      <c r="AK668" s="88">
        <f>SUMIF(月間集計シート!$M$92:$M$111,$G668,月間集計シート!T$92:T$111)*AK$2</f>
        <v>0</v>
      </c>
      <c r="AL668" s="88">
        <f>SUMIF(月間集計シート!$M$113:$M$132,$G668,月間集計シート!N$113:N$132)*AL$2</f>
        <v>0</v>
      </c>
      <c r="AM668" s="88">
        <f>SUMIF(月間集計シート!$M$113:$M$132,$G668,月間集計シート!O$113:O$132)*AM$2</f>
        <v>0</v>
      </c>
      <c r="AN668" s="88">
        <f>SUMIF(月間集計シート!$M$113:$M$132,$G668,月間集計シート!P$113:P$132)*AN$2</f>
        <v>0</v>
      </c>
      <c r="AO668" s="88">
        <f>SUMIF(月間集計シート!$M$113:$M$132,$G668,月間集計シート!Q$113:Q$132)*AO$2</f>
        <v>0</v>
      </c>
      <c r="AP668" s="88">
        <f>SUMIF(月間集計シート!$M$113:$M$132,$G668,月間集計シート!R$113:R$132)*AP$2</f>
        <v>0</v>
      </c>
      <c r="AQ668" s="88">
        <f>SUMIF(月間集計シート!$M$113:$M$132,$G668,月間集計シート!S$113:S$132)*AQ$2</f>
        <v>0</v>
      </c>
      <c r="AR668" s="88">
        <f>SUMIF(月間集計シート!$M$113:$M$132,$G668,月間集計シート!T$113:T$132)*AR$2</f>
        <v>0</v>
      </c>
      <c r="AS668" s="88">
        <f>SUMIF(月間集計シート!$M$134:$M$153,$G668,月間集計シート!N$134:N$153)*AS$2</f>
        <v>0</v>
      </c>
      <c r="AT668" s="88">
        <f>SUMIF(月間集計シート!$M$134:$M$153,$G668,月間集計シート!O$134:O$153)*AT$2</f>
        <v>0</v>
      </c>
      <c r="AU668" s="88">
        <f>SUMIF(月間集計シート!$M$134:$M$153,$G668,月間集計シート!P$134:P$153)*AU$2</f>
        <v>0</v>
      </c>
      <c r="AV668" s="88">
        <f>SUMIF(月間集計シート!$M$134:$M$153,$G668,月間集計シート!Q$134:Q$153)*AV$2</f>
        <v>0</v>
      </c>
      <c r="AW668" s="88">
        <f>SUMIF(月間集計シート!$M$134:$M$153,$G668,月間集計シート!R$134:R$153)*AW$2</f>
        <v>0</v>
      </c>
      <c r="AX668" s="88">
        <f>SUMIF(月間集計シート!$M$134:$M$153,$G668,月間集計シート!S$134:S$153)*AX$2</f>
        <v>0</v>
      </c>
      <c r="AY668" s="88">
        <f>SUMIF(月間集計シート!$M$134:$M$153,$G668,月間集計シート!T$134:T$153)*AY$2</f>
        <v>0</v>
      </c>
    </row>
    <row r="669" spans="1:51" ht="14.25" thickBot="1">
      <c r="A669">
        <v>8</v>
      </c>
      <c r="B669" s="120">
        <f t="shared" si="304"/>
        <v>0</v>
      </c>
      <c r="C669" s="120" t="str">
        <f t="shared" si="305"/>
        <v/>
      </c>
      <c r="D669" s="137"/>
      <c r="E669" s="150" t="str">
        <f>工種!A66</f>
        <v>80199</v>
      </c>
      <c r="F669" s="119" t="str">
        <f>工種!B66</f>
        <v>保守／ｻﾎﾟｰﾄ：その他</v>
      </c>
      <c r="G669" s="116" t="str">
        <f t="shared" si="307"/>
        <v>080199</v>
      </c>
      <c r="H669" s="88">
        <f t="shared" si="309"/>
        <v>0</v>
      </c>
      <c r="I669" s="132"/>
      <c r="J669" s="88">
        <f>SUMIF(月間集計シート!$M$29:$M$48,$G669,月間集計シート!N$29:N$48)*J$2</f>
        <v>0</v>
      </c>
      <c r="K669" s="88">
        <f>SUMIF(月間集計シート!$M$29:$M$48,$G669,月間集計シート!O$29:O$48)*K$2</f>
        <v>0</v>
      </c>
      <c r="L669" s="88">
        <f>SUMIF(月間集計シート!$M$29:$M$48,$G669,月間集計シート!P$29:P$48)*L$2</f>
        <v>0</v>
      </c>
      <c r="M669" s="88">
        <f>SUMIF(月間集計シート!$M$29:$M$48,$G669,月間集計シート!Q$29:Q$48)*M$2</f>
        <v>0</v>
      </c>
      <c r="N669" s="88">
        <f>SUMIF(月間集計シート!$M$29:$M$48,$G669,月間集計シート!R$29:R$48)*N$2</f>
        <v>0</v>
      </c>
      <c r="O669" s="88">
        <f>SUMIF(月間集計シート!$M$29:$M$48,$G669,月間集計シート!S$29:S$48)*O$2</f>
        <v>0</v>
      </c>
      <c r="P669" s="88">
        <f>SUMIF(月間集計シート!$M$29:$M$48,$G669,月間集計シート!T$29:T$48)*P$2</f>
        <v>0</v>
      </c>
      <c r="Q669" s="88">
        <f>SUMIF(月間集計シート!$M$50:$M$69,$G669,月間集計シート!N$50:N$69)*Q$2</f>
        <v>0</v>
      </c>
      <c r="R669" s="88">
        <f>SUMIF(月間集計シート!$M$50:$M$69,$G669,月間集計シート!O$50:O$69)*R$2</f>
        <v>0</v>
      </c>
      <c r="S669" s="88">
        <f>SUMIF(月間集計シート!$M$50:$M$69,$G669,月間集計シート!P$50:P$69)*S$2</f>
        <v>0</v>
      </c>
      <c r="T669" s="88">
        <f>SUMIF(月間集計シート!$M$50:$M$69,$G669,月間集計シート!Q$50:Q$69)*T$2</f>
        <v>0</v>
      </c>
      <c r="U669" s="88">
        <f>SUMIF(月間集計シート!$M$50:$M$69,$G669,月間集計シート!R$50:R$69)*U$2</f>
        <v>0</v>
      </c>
      <c r="V669" s="88">
        <f>SUMIF(月間集計シート!$M$50:$M$69,$G669,月間集計シート!S$50:S$69)*V$2</f>
        <v>0</v>
      </c>
      <c r="W669" s="88">
        <f>SUMIF(月間集計シート!$M$50:$M$69,$G669,月間集計シート!T$50:T$69)*W$2</f>
        <v>0</v>
      </c>
      <c r="X669" s="88">
        <f>SUMIF(月間集計シート!$M$71:$M$90,$G669,月間集計シート!N$71:N$90)*X$2</f>
        <v>0</v>
      </c>
      <c r="Y669" s="88">
        <f>SUMIF(月間集計シート!$M$71:$M$90,$G669,月間集計シート!O$71:O$90)*Y$2</f>
        <v>0</v>
      </c>
      <c r="Z669" s="88">
        <f>SUMIF(月間集計シート!$M$71:$M$90,$G669,月間集計シート!P$71:P$90)*Z$2</f>
        <v>0</v>
      </c>
      <c r="AA669" s="88">
        <f>SUMIF(月間集計シート!$M$71:$M$90,$G669,月間集計シート!Q$71:Q$90)*AA$2</f>
        <v>0</v>
      </c>
      <c r="AB669" s="88">
        <f>SUMIF(月間集計シート!$M$71:$M$90,$G669,月間集計シート!R$71:R$90)*AB$2</f>
        <v>0</v>
      </c>
      <c r="AC669" s="88">
        <f>SUMIF(月間集計シート!$M$71:$M$90,$G669,月間集計シート!S$71:S$90)*AC$2</f>
        <v>0</v>
      </c>
      <c r="AD669" s="88">
        <f>SUMIF(月間集計シート!$M$71:$M$90,$G669,月間集計シート!T$71:T$90)*AD$2</f>
        <v>0</v>
      </c>
      <c r="AE669" s="88">
        <f>SUMIF(月間集計シート!$M$92:$M$111,$G669,月間集計シート!N$92:N$111)*AE$2</f>
        <v>0</v>
      </c>
      <c r="AF669" s="88">
        <f>SUMIF(月間集計シート!$M$92:$M$111,$G669,月間集計シート!O$92:O$111)*AF$2</f>
        <v>0</v>
      </c>
      <c r="AG669" s="88">
        <f>SUMIF(月間集計シート!$M$92:$M$111,$G669,月間集計シート!P$92:P$111)*AG$2</f>
        <v>0</v>
      </c>
      <c r="AH669" s="88">
        <f>SUMIF(月間集計シート!$M$92:$M$111,$G669,月間集計シート!Q$92:Q$111)*AH$2</f>
        <v>0</v>
      </c>
      <c r="AI669" s="88">
        <f>SUMIF(月間集計シート!$M$92:$M$111,$G669,月間集計シート!R$92:R$111)*AI$2</f>
        <v>0</v>
      </c>
      <c r="AJ669" s="88">
        <f>SUMIF(月間集計シート!$M$92:$M$111,$G669,月間集計シート!S$92:S$111)*AJ$2</f>
        <v>0</v>
      </c>
      <c r="AK669" s="88">
        <f>SUMIF(月間集計シート!$M$92:$M$111,$G669,月間集計シート!T$92:T$111)*AK$2</f>
        <v>0</v>
      </c>
      <c r="AL669" s="88">
        <f>SUMIF(月間集計シート!$M$113:$M$132,$G669,月間集計シート!N$113:N$132)*AL$2</f>
        <v>0</v>
      </c>
      <c r="AM669" s="88">
        <f>SUMIF(月間集計シート!$M$113:$M$132,$G669,月間集計シート!O$113:O$132)*AM$2</f>
        <v>0</v>
      </c>
      <c r="AN669" s="88">
        <f>SUMIF(月間集計シート!$M$113:$M$132,$G669,月間集計シート!P$113:P$132)*AN$2</f>
        <v>0</v>
      </c>
      <c r="AO669" s="88">
        <f>SUMIF(月間集計シート!$M$113:$M$132,$G669,月間集計シート!Q$113:Q$132)*AO$2</f>
        <v>0</v>
      </c>
      <c r="AP669" s="88">
        <f>SUMIF(月間集計シート!$M$113:$M$132,$G669,月間集計シート!R$113:R$132)*AP$2</f>
        <v>0</v>
      </c>
      <c r="AQ669" s="88">
        <f>SUMIF(月間集計シート!$M$113:$M$132,$G669,月間集計シート!S$113:S$132)*AQ$2</f>
        <v>0</v>
      </c>
      <c r="AR669" s="88">
        <f>SUMIF(月間集計シート!$M$113:$M$132,$G669,月間集計シート!T$113:T$132)*AR$2</f>
        <v>0</v>
      </c>
      <c r="AS669" s="88">
        <f>SUMIF(月間集計シート!$M$134:$M$153,$G669,月間集計シート!N$134:N$153)*AS$2</f>
        <v>0</v>
      </c>
      <c r="AT669" s="88">
        <f>SUMIF(月間集計シート!$M$134:$M$153,$G669,月間集計シート!O$134:O$153)*AT$2</f>
        <v>0</v>
      </c>
      <c r="AU669" s="88">
        <f>SUMIF(月間集計シート!$M$134:$M$153,$G669,月間集計シート!P$134:P$153)*AU$2</f>
        <v>0</v>
      </c>
      <c r="AV669" s="88">
        <f>SUMIF(月間集計シート!$M$134:$M$153,$G669,月間集計シート!Q$134:Q$153)*AV$2</f>
        <v>0</v>
      </c>
      <c r="AW669" s="88">
        <f>SUMIF(月間集計シート!$M$134:$M$153,$G669,月間集計シート!R$134:R$153)*AW$2</f>
        <v>0</v>
      </c>
      <c r="AX669" s="88">
        <f>SUMIF(月間集計シート!$M$134:$M$153,$G669,月間集計シート!S$134:S$153)*AX$2</f>
        <v>0</v>
      </c>
      <c r="AY669" s="88">
        <f>SUMIF(月間集計シート!$M$134:$M$153,$G669,月間集計シート!T$134:T$153)*AY$2</f>
        <v>0</v>
      </c>
    </row>
    <row r="670" spans="1:51" ht="14.25" thickBot="1">
      <c r="A670">
        <v>8</v>
      </c>
      <c r="B670" s="120">
        <f t="shared" ref="B670:C686" si="310">B669</f>
        <v>0</v>
      </c>
      <c r="C670" s="120" t="str">
        <f t="shared" si="310"/>
        <v/>
      </c>
      <c r="D670" s="137"/>
      <c r="E670" s="150" t="str">
        <f>工種!A67</f>
        <v>90101</v>
      </c>
      <c r="F670" s="119" t="str">
        <f>工種!B67</f>
        <v>管理業務：ﾌﾟﾛｼﾞｪｸﾄ管理</v>
      </c>
      <c r="G670" s="116" t="str">
        <f t="shared" si="307"/>
        <v>090101</v>
      </c>
      <c r="H670" s="88">
        <f t="shared" si="309"/>
        <v>0</v>
      </c>
      <c r="I670" s="132"/>
      <c r="J670" s="88">
        <f>SUMIF(月間集計シート!$M$29:$M$48,$G670,月間集計シート!N$29:N$48)*J$2</f>
        <v>0</v>
      </c>
      <c r="K670" s="88">
        <f>SUMIF(月間集計シート!$M$29:$M$48,$G670,月間集計シート!O$29:O$48)*K$2</f>
        <v>0</v>
      </c>
      <c r="L670" s="88">
        <f>SUMIF(月間集計シート!$M$29:$M$48,$G670,月間集計シート!P$29:P$48)*L$2</f>
        <v>0</v>
      </c>
      <c r="M670" s="88">
        <f>SUMIF(月間集計シート!$M$29:$M$48,$G670,月間集計シート!Q$29:Q$48)*M$2</f>
        <v>0</v>
      </c>
      <c r="N670" s="88">
        <f>SUMIF(月間集計シート!$M$29:$M$48,$G670,月間集計シート!R$29:R$48)*N$2</f>
        <v>0</v>
      </c>
      <c r="O670" s="88">
        <f>SUMIF(月間集計シート!$M$29:$M$48,$G670,月間集計シート!S$29:S$48)*O$2</f>
        <v>0</v>
      </c>
      <c r="P670" s="88">
        <f>SUMIF(月間集計シート!$M$29:$M$48,$G670,月間集計シート!T$29:T$48)*P$2</f>
        <v>0</v>
      </c>
      <c r="Q670" s="88">
        <f>SUMIF(月間集計シート!$M$50:$M$69,$G670,月間集計シート!N$50:N$69)*Q$2</f>
        <v>0</v>
      </c>
      <c r="R670" s="88">
        <f>SUMIF(月間集計シート!$M$50:$M$69,$G670,月間集計シート!O$50:O$69)*R$2</f>
        <v>0</v>
      </c>
      <c r="S670" s="88">
        <f>SUMIF(月間集計シート!$M$50:$M$69,$G670,月間集計シート!P$50:P$69)*S$2</f>
        <v>0</v>
      </c>
      <c r="T670" s="88">
        <f>SUMIF(月間集計シート!$M$50:$M$69,$G670,月間集計シート!Q$50:Q$69)*T$2</f>
        <v>0</v>
      </c>
      <c r="U670" s="88">
        <f>SUMIF(月間集計シート!$M$50:$M$69,$G670,月間集計シート!R$50:R$69)*U$2</f>
        <v>0</v>
      </c>
      <c r="V670" s="88">
        <f>SUMIF(月間集計シート!$M$50:$M$69,$G670,月間集計シート!S$50:S$69)*V$2</f>
        <v>0</v>
      </c>
      <c r="W670" s="88">
        <f>SUMIF(月間集計シート!$M$50:$M$69,$G670,月間集計シート!T$50:T$69)*W$2</f>
        <v>0</v>
      </c>
      <c r="X670" s="88">
        <f>SUMIF(月間集計シート!$M$71:$M$90,$G670,月間集計シート!N$71:N$90)*X$2</f>
        <v>0</v>
      </c>
      <c r="Y670" s="88">
        <f>SUMIF(月間集計シート!$M$71:$M$90,$G670,月間集計シート!O$71:O$90)*Y$2</f>
        <v>0</v>
      </c>
      <c r="Z670" s="88">
        <f>SUMIF(月間集計シート!$M$71:$M$90,$G670,月間集計シート!P$71:P$90)*Z$2</f>
        <v>0</v>
      </c>
      <c r="AA670" s="88">
        <f>SUMIF(月間集計シート!$M$71:$M$90,$G670,月間集計シート!Q$71:Q$90)*AA$2</f>
        <v>0</v>
      </c>
      <c r="AB670" s="88">
        <f>SUMIF(月間集計シート!$M$71:$M$90,$G670,月間集計シート!R$71:R$90)*AB$2</f>
        <v>0</v>
      </c>
      <c r="AC670" s="88">
        <f>SUMIF(月間集計シート!$M$71:$M$90,$G670,月間集計シート!S$71:S$90)*AC$2</f>
        <v>0</v>
      </c>
      <c r="AD670" s="88">
        <f>SUMIF(月間集計シート!$M$71:$M$90,$G670,月間集計シート!T$71:T$90)*AD$2</f>
        <v>0</v>
      </c>
      <c r="AE670" s="88">
        <f>SUMIF(月間集計シート!$M$92:$M$111,$G670,月間集計シート!N$92:N$111)*AE$2</f>
        <v>0</v>
      </c>
      <c r="AF670" s="88">
        <f>SUMIF(月間集計シート!$M$92:$M$111,$G670,月間集計シート!O$92:O$111)*AF$2</f>
        <v>0</v>
      </c>
      <c r="AG670" s="88">
        <f>SUMIF(月間集計シート!$M$92:$M$111,$G670,月間集計シート!P$92:P$111)*AG$2</f>
        <v>0</v>
      </c>
      <c r="AH670" s="88">
        <f>SUMIF(月間集計シート!$M$92:$M$111,$G670,月間集計シート!Q$92:Q$111)*AH$2</f>
        <v>0</v>
      </c>
      <c r="AI670" s="88">
        <f>SUMIF(月間集計シート!$M$92:$M$111,$G670,月間集計シート!R$92:R$111)*AI$2</f>
        <v>0</v>
      </c>
      <c r="AJ670" s="88">
        <f>SUMIF(月間集計シート!$M$92:$M$111,$G670,月間集計シート!S$92:S$111)*AJ$2</f>
        <v>0</v>
      </c>
      <c r="AK670" s="88">
        <f>SUMIF(月間集計シート!$M$92:$M$111,$G670,月間集計シート!T$92:T$111)*AK$2</f>
        <v>0</v>
      </c>
      <c r="AL670" s="88">
        <f>SUMIF(月間集計シート!$M$113:$M$132,$G670,月間集計シート!N$113:N$132)*AL$2</f>
        <v>0</v>
      </c>
      <c r="AM670" s="88">
        <f>SUMIF(月間集計シート!$M$113:$M$132,$G670,月間集計シート!O$113:O$132)*AM$2</f>
        <v>0</v>
      </c>
      <c r="AN670" s="88">
        <f>SUMIF(月間集計シート!$M$113:$M$132,$G670,月間集計シート!P$113:P$132)*AN$2</f>
        <v>0</v>
      </c>
      <c r="AO670" s="88">
        <f>SUMIF(月間集計シート!$M$113:$M$132,$G670,月間集計シート!Q$113:Q$132)*AO$2</f>
        <v>0</v>
      </c>
      <c r="AP670" s="88">
        <f>SUMIF(月間集計シート!$M$113:$M$132,$G670,月間集計シート!R$113:R$132)*AP$2</f>
        <v>0</v>
      </c>
      <c r="AQ670" s="88">
        <f>SUMIF(月間集計シート!$M$113:$M$132,$G670,月間集計シート!S$113:S$132)*AQ$2</f>
        <v>0</v>
      </c>
      <c r="AR670" s="88">
        <f>SUMIF(月間集計シート!$M$113:$M$132,$G670,月間集計シート!T$113:T$132)*AR$2</f>
        <v>0</v>
      </c>
      <c r="AS670" s="88">
        <f>SUMIF(月間集計シート!$M$134:$M$153,$G670,月間集計シート!N$134:N$153)*AS$2</f>
        <v>0</v>
      </c>
      <c r="AT670" s="88">
        <f>SUMIF(月間集計シート!$M$134:$M$153,$G670,月間集計シート!O$134:O$153)*AT$2</f>
        <v>0</v>
      </c>
      <c r="AU670" s="88">
        <f>SUMIF(月間集計シート!$M$134:$M$153,$G670,月間集計シート!P$134:P$153)*AU$2</f>
        <v>0</v>
      </c>
      <c r="AV670" s="88">
        <f>SUMIF(月間集計シート!$M$134:$M$153,$G670,月間集計シート!Q$134:Q$153)*AV$2</f>
        <v>0</v>
      </c>
      <c r="AW670" s="88">
        <f>SUMIF(月間集計シート!$M$134:$M$153,$G670,月間集計シート!R$134:R$153)*AW$2</f>
        <v>0</v>
      </c>
      <c r="AX670" s="88">
        <f>SUMIF(月間集計シート!$M$134:$M$153,$G670,月間集計シート!S$134:S$153)*AX$2</f>
        <v>0</v>
      </c>
      <c r="AY670" s="88">
        <f>SUMIF(月間集計シート!$M$134:$M$153,$G670,月間集計シート!T$134:T$153)*AY$2</f>
        <v>0</v>
      </c>
    </row>
    <row r="671" spans="1:51" ht="14.25" thickBot="1">
      <c r="A671">
        <v>8</v>
      </c>
      <c r="B671" s="120">
        <f t="shared" si="310"/>
        <v>0</v>
      </c>
      <c r="C671" s="120" t="str">
        <f t="shared" si="310"/>
        <v/>
      </c>
      <c r="D671" s="137"/>
      <c r="E671" s="150" t="str">
        <f>工種!A68</f>
        <v>90102</v>
      </c>
      <c r="F671" s="119" t="str">
        <f>工種!B68</f>
        <v>管理業務：開発環境管理</v>
      </c>
      <c r="G671" s="116" t="str">
        <f t="shared" si="307"/>
        <v>090102</v>
      </c>
      <c r="H671" s="88">
        <f t="shared" si="309"/>
        <v>0</v>
      </c>
      <c r="I671" s="132"/>
      <c r="J671" s="88">
        <f>SUMIF(月間集計シート!$M$29:$M$48,$G671,月間集計シート!N$29:N$48)*J$2</f>
        <v>0</v>
      </c>
      <c r="K671" s="88">
        <f>SUMIF(月間集計シート!$M$29:$M$48,$G671,月間集計シート!O$29:O$48)*K$2</f>
        <v>0</v>
      </c>
      <c r="L671" s="88">
        <f>SUMIF(月間集計シート!$M$29:$M$48,$G671,月間集計シート!P$29:P$48)*L$2</f>
        <v>0</v>
      </c>
      <c r="M671" s="88">
        <f>SUMIF(月間集計シート!$M$29:$M$48,$G671,月間集計シート!Q$29:Q$48)*M$2</f>
        <v>0</v>
      </c>
      <c r="N671" s="88">
        <f>SUMIF(月間集計シート!$M$29:$M$48,$G671,月間集計シート!R$29:R$48)*N$2</f>
        <v>0</v>
      </c>
      <c r="O671" s="88">
        <f>SUMIF(月間集計シート!$M$29:$M$48,$G671,月間集計シート!S$29:S$48)*O$2</f>
        <v>0</v>
      </c>
      <c r="P671" s="88">
        <f>SUMIF(月間集計シート!$M$29:$M$48,$G671,月間集計シート!T$29:T$48)*P$2</f>
        <v>0</v>
      </c>
      <c r="Q671" s="88">
        <f>SUMIF(月間集計シート!$M$50:$M$69,$G671,月間集計シート!N$50:N$69)*Q$2</f>
        <v>0</v>
      </c>
      <c r="R671" s="88">
        <f>SUMIF(月間集計シート!$M$50:$M$69,$G671,月間集計シート!O$50:O$69)*R$2</f>
        <v>0</v>
      </c>
      <c r="S671" s="88">
        <f>SUMIF(月間集計シート!$M$50:$M$69,$G671,月間集計シート!P$50:P$69)*S$2</f>
        <v>0</v>
      </c>
      <c r="T671" s="88">
        <f>SUMIF(月間集計シート!$M$50:$M$69,$G671,月間集計シート!Q$50:Q$69)*T$2</f>
        <v>0</v>
      </c>
      <c r="U671" s="88">
        <f>SUMIF(月間集計シート!$M$50:$M$69,$G671,月間集計シート!R$50:R$69)*U$2</f>
        <v>0</v>
      </c>
      <c r="V671" s="88">
        <f>SUMIF(月間集計シート!$M$50:$M$69,$G671,月間集計シート!S$50:S$69)*V$2</f>
        <v>0</v>
      </c>
      <c r="W671" s="88">
        <f>SUMIF(月間集計シート!$M$50:$M$69,$G671,月間集計シート!T$50:T$69)*W$2</f>
        <v>0</v>
      </c>
      <c r="X671" s="88">
        <f>SUMIF(月間集計シート!$M$71:$M$90,$G671,月間集計シート!N$71:N$90)*X$2</f>
        <v>0</v>
      </c>
      <c r="Y671" s="88">
        <f>SUMIF(月間集計シート!$M$71:$M$90,$G671,月間集計シート!O$71:O$90)*Y$2</f>
        <v>0</v>
      </c>
      <c r="Z671" s="88">
        <f>SUMIF(月間集計シート!$M$71:$M$90,$G671,月間集計シート!P$71:P$90)*Z$2</f>
        <v>0</v>
      </c>
      <c r="AA671" s="88">
        <f>SUMIF(月間集計シート!$M$71:$M$90,$G671,月間集計シート!Q$71:Q$90)*AA$2</f>
        <v>0</v>
      </c>
      <c r="AB671" s="88">
        <f>SUMIF(月間集計シート!$M$71:$M$90,$G671,月間集計シート!R$71:R$90)*AB$2</f>
        <v>0</v>
      </c>
      <c r="AC671" s="88">
        <f>SUMIF(月間集計シート!$M$71:$M$90,$G671,月間集計シート!S$71:S$90)*AC$2</f>
        <v>0</v>
      </c>
      <c r="AD671" s="88">
        <f>SUMIF(月間集計シート!$M$71:$M$90,$G671,月間集計シート!T$71:T$90)*AD$2</f>
        <v>0</v>
      </c>
      <c r="AE671" s="88">
        <f>SUMIF(月間集計シート!$M$92:$M$111,$G671,月間集計シート!N$92:N$111)*AE$2</f>
        <v>0</v>
      </c>
      <c r="AF671" s="88">
        <f>SUMIF(月間集計シート!$M$92:$M$111,$G671,月間集計シート!O$92:O$111)*AF$2</f>
        <v>0</v>
      </c>
      <c r="AG671" s="88">
        <f>SUMIF(月間集計シート!$M$92:$M$111,$G671,月間集計シート!P$92:P$111)*AG$2</f>
        <v>0</v>
      </c>
      <c r="AH671" s="88">
        <f>SUMIF(月間集計シート!$M$92:$M$111,$G671,月間集計シート!Q$92:Q$111)*AH$2</f>
        <v>0</v>
      </c>
      <c r="AI671" s="88">
        <f>SUMIF(月間集計シート!$M$92:$M$111,$G671,月間集計シート!R$92:R$111)*AI$2</f>
        <v>0</v>
      </c>
      <c r="AJ671" s="88">
        <f>SUMIF(月間集計シート!$M$92:$M$111,$G671,月間集計シート!S$92:S$111)*AJ$2</f>
        <v>0</v>
      </c>
      <c r="AK671" s="88">
        <f>SUMIF(月間集計シート!$M$92:$M$111,$G671,月間集計シート!T$92:T$111)*AK$2</f>
        <v>0</v>
      </c>
      <c r="AL671" s="88">
        <f>SUMIF(月間集計シート!$M$113:$M$132,$G671,月間集計シート!N$113:N$132)*AL$2</f>
        <v>0</v>
      </c>
      <c r="AM671" s="88">
        <f>SUMIF(月間集計シート!$M$113:$M$132,$G671,月間集計シート!O$113:O$132)*AM$2</f>
        <v>0</v>
      </c>
      <c r="AN671" s="88">
        <f>SUMIF(月間集計シート!$M$113:$M$132,$G671,月間集計シート!P$113:P$132)*AN$2</f>
        <v>0</v>
      </c>
      <c r="AO671" s="88">
        <f>SUMIF(月間集計シート!$M$113:$M$132,$G671,月間集計シート!Q$113:Q$132)*AO$2</f>
        <v>0</v>
      </c>
      <c r="AP671" s="88">
        <f>SUMIF(月間集計シート!$M$113:$M$132,$G671,月間集計シート!R$113:R$132)*AP$2</f>
        <v>0</v>
      </c>
      <c r="AQ671" s="88">
        <f>SUMIF(月間集計シート!$M$113:$M$132,$G671,月間集計シート!S$113:S$132)*AQ$2</f>
        <v>0</v>
      </c>
      <c r="AR671" s="88">
        <f>SUMIF(月間集計シート!$M$113:$M$132,$G671,月間集計シート!T$113:T$132)*AR$2</f>
        <v>0</v>
      </c>
      <c r="AS671" s="88">
        <f>SUMIF(月間集計シート!$M$134:$M$153,$G671,月間集計シート!N$134:N$153)*AS$2</f>
        <v>0</v>
      </c>
      <c r="AT671" s="88">
        <f>SUMIF(月間集計シート!$M$134:$M$153,$G671,月間集計シート!O$134:O$153)*AT$2</f>
        <v>0</v>
      </c>
      <c r="AU671" s="88">
        <f>SUMIF(月間集計シート!$M$134:$M$153,$G671,月間集計シート!P$134:P$153)*AU$2</f>
        <v>0</v>
      </c>
      <c r="AV671" s="88">
        <f>SUMIF(月間集計シート!$M$134:$M$153,$G671,月間集計シート!Q$134:Q$153)*AV$2</f>
        <v>0</v>
      </c>
      <c r="AW671" s="88">
        <f>SUMIF(月間集計シート!$M$134:$M$153,$G671,月間集計シート!R$134:R$153)*AW$2</f>
        <v>0</v>
      </c>
      <c r="AX671" s="88">
        <f>SUMIF(月間集計シート!$M$134:$M$153,$G671,月間集計シート!S$134:S$153)*AX$2</f>
        <v>0</v>
      </c>
      <c r="AY671" s="88">
        <f>SUMIF(月間集計シート!$M$134:$M$153,$G671,月間集計シート!T$134:T$153)*AY$2</f>
        <v>0</v>
      </c>
    </row>
    <row r="672" spans="1:51" ht="14.25" thickBot="1">
      <c r="A672">
        <v>8</v>
      </c>
      <c r="B672" s="120">
        <f t="shared" si="310"/>
        <v>0</v>
      </c>
      <c r="C672" s="120" t="str">
        <f t="shared" si="310"/>
        <v/>
      </c>
      <c r="D672" s="137"/>
      <c r="E672" s="150" t="str">
        <f>工種!A69</f>
        <v>90103</v>
      </c>
      <c r="F672" s="119" t="str">
        <f>工種!B69</f>
        <v>管理業務：標準化・開発業務改善作業</v>
      </c>
      <c r="G672" s="116" t="str">
        <f t="shared" si="307"/>
        <v>090103</v>
      </c>
      <c r="H672" s="88">
        <f t="shared" si="309"/>
        <v>0</v>
      </c>
      <c r="I672" s="132"/>
      <c r="J672" s="88">
        <f>SUMIF(月間集計シート!$M$29:$M$48,$G672,月間集計シート!N$29:N$48)*J$2</f>
        <v>0</v>
      </c>
      <c r="K672" s="88">
        <f>SUMIF(月間集計シート!$M$29:$M$48,$G672,月間集計シート!O$29:O$48)*K$2</f>
        <v>0</v>
      </c>
      <c r="L672" s="88">
        <f>SUMIF(月間集計シート!$M$29:$M$48,$G672,月間集計シート!P$29:P$48)*L$2</f>
        <v>0</v>
      </c>
      <c r="M672" s="88">
        <f>SUMIF(月間集計シート!$M$29:$M$48,$G672,月間集計シート!Q$29:Q$48)*M$2</f>
        <v>0</v>
      </c>
      <c r="N672" s="88">
        <f>SUMIF(月間集計シート!$M$29:$M$48,$G672,月間集計シート!R$29:R$48)*N$2</f>
        <v>0</v>
      </c>
      <c r="O672" s="88">
        <f>SUMIF(月間集計シート!$M$29:$M$48,$G672,月間集計シート!S$29:S$48)*O$2</f>
        <v>0</v>
      </c>
      <c r="P672" s="88">
        <f>SUMIF(月間集計シート!$M$29:$M$48,$G672,月間集計シート!T$29:T$48)*P$2</f>
        <v>0</v>
      </c>
      <c r="Q672" s="88">
        <f>SUMIF(月間集計シート!$M$50:$M$69,$G672,月間集計シート!N$50:N$69)*Q$2</f>
        <v>0</v>
      </c>
      <c r="R672" s="88">
        <f>SUMIF(月間集計シート!$M$50:$M$69,$G672,月間集計シート!O$50:O$69)*R$2</f>
        <v>0</v>
      </c>
      <c r="S672" s="88">
        <f>SUMIF(月間集計シート!$M$50:$M$69,$G672,月間集計シート!P$50:P$69)*S$2</f>
        <v>0</v>
      </c>
      <c r="T672" s="88">
        <f>SUMIF(月間集計シート!$M$50:$M$69,$G672,月間集計シート!Q$50:Q$69)*T$2</f>
        <v>0</v>
      </c>
      <c r="U672" s="88">
        <f>SUMIF(月間集計シート!$M$50:$M$69,$G672,月間集計シート!R$50:R$69)*U$2</f>
        <v>0</v>
      </c>
      <c r="V672" s="88">
        <f>SUMIF(月間集計シート!$M$50:$M$69,$G672,月間集計シート!S$50:S$69)*V$2</f>
        <v>0</v>
      </c>
      <c r="W672" s="88">
        <f>SUMIF(月間集計シート!$M$50:$M$69,$G672,月間集計シート!T$50:T$69)*W$2</f>
        <v>0</v>
      </c>
      <c r="X672" s="88">
        <f>SUMIF(月間集計シート!$M$71:$M$90,$G672,月間集計シート!N$71:N$90)*X$2</f>
        <v>0</v>
      </c>
      <c r="Y672" s="88">
        <f>SUMIF(月間集計シート!$M$71:$M$90,$G672,月間集計シート!O$71:O$90)*Y$2</f>
        <v>0</v>
      </c>
      <c r="Z672" s="88">
        <f>SUMIF(月間集計シート!$M$71:$M$90,$G672,月間集計シート!P$71:P$90)*Z$2</f>
        <v>0</v>
      </c>
      <c r="AA672" s="88">
        <f>SUMIF(月間集計シート!$M$71:$M$90,$G672,月間集計シート!Q$71:Q$90)*AA$2</f>
        <v>0</v>
      </c>
      <c r="AB672" s="88">
        <f>SUMIF(月間集計シート!$M$71:$M$90,$G672,月間集計シート!R$71:R$90)*AB$2</f>
        <v>0</v>
      </c>
      <c r="AC672" s="88">
        <f>SUMIF(月間集計シート!$M$71:$M$90,$G672,月間集計シート!S$71:S$90)*AC$2</f>
        <v>0</v>
      </c>
      <c r="AD672" s="88">
        <f>SUMIF(月間集計シート!$M$71:$M$90,$G672,月間集計シート!T$71:T$90)*AD$2</f>
        <v>0</v>
      </c>
      <c r="AE672" s="88">
        <f>SUMIF(月間集計シート!$M$92:$M$111,$G672,月間集計シート!N$92:N$111)*AE$2</f>
        <v>0</v>
      </c>
      <c r="AF672" s="88">
        <f>SUMIF(月間集計シート!$M$92:$M$111,$G672,月間集計シート!O$92:O$111)*AF$2</f>
        <v>0</v>
      </c>
      <c r="AG672" s="88">
        <f>SUMIF(月間集計シート!$M$92:$M$111,$G672,月間集計シート!P$92:P$111)*AG$2</f>
        <v>0</v>
      </c>
      <c r="AH672" s="88">
        <f>SUMIF(月間集計シート!$M$92:$M$111,$G672,月間集計シート!Q$92:Q$111)*AH$2</f>
        <v>0</v>
      </c>
      <c r="AI672" s="88">
        <f>SUMIF(月間集計シート!$M$92:$M$111,$G672,月間集計シート!R$92:R$111)*AI$2</f>
        <v>0</v>
      </c>
      <c r="AJ672" s="88">
        <f>SUMIF(月間集計シート!$M$92:$M$111,$G672,月間集計シート!S$92:S$111)*AJ$2</f>
        <v>0</v>
      </c>
      <c r="AK672" s="88">
        <f>SUMIF(月間集計シート!$M$92:$M$111,$G672,月間集計シート!T$92:T$111)*AK$2</f>
        <v>0</v>
      </c>
      <c r="AL672" s="88">
        <f>SUMIF(月間集計シート!$M$113:$M$132,$G672,月間集計シート!N$113:N$132)*AL$2</f>
        <v>0</v>
      </c>
      <c r="AM672" s="88">
        <f>SUMIF(月間集計シート!$M$113:$M$132,$G672,月間集計シート!O$113:O$132)*AM$2</f>
        <v>0</v>
      </c>
      <c r="AN672" s="88">
        <f>SUMIF(月間集計シート!$M$113:$M$132,$G672,月間集計シート!P$113:P$132)*AN$2</f>
        <v>0</v>
      </c>
      <c r="AO672" s="88">
        <f>SUMIF(月間集計シート!$M$113:$M$132,$G672,月間集計シート!Q$113:Q$132)*AO$2</f>
        <v>0</v>
      </c>
      <c r="AP672" s="88">
        <f>SUMIF(月間集計シート!$M$113:$M$132,$G672,月間集計シート!R$113:R$132)*AP$2</f>
        <v>0</v>
      </c>
      <c r="AQ672" s="88">
        <f>SUMIF(月間集計シート!$M$113:$M$132,$G672,月間集計シート!S$113:S$132)*AQ$2</f>
        <v>0</v>
      </c>
      <c r="AR672" s="88">
        <f>SUMIF(月間集計シート!$M$113:$M$132,$G672,月間集計シート!T$113:T$132)*AR$2</f>
        <v>0</v>
      </c>
      <c r="AS672" s="88">
        <f>SUMIF(月間集計シート!$M$134:$M$153,$G672,月間集計シート!N$134:N$153)*AS$2</f>
        <v>0</v>
      </c>
      <c r="AT672" s="88">
        <f>SUMIF(月間集計シート!$M$134:$M$153,$G672,月間集計シート!O$134:O$153)*AT$2</f>
        <v>0</v>
      </c>
      <c r="AU672" s="88">
        <f>SUMIF(月間集計シート!$M$134:$M$153,$G672,月間集計シート!P$134:P$153)*AU$2</f>
        <v>0</v>
      </c>
      <c r="AV672" s="88">
        <f>SUMIF(月間集計シート!$M$134:$M$153,$G672,月間集計シート!Q$134:Q$153)*AV$2</f>
        <v>0</v>
      </c>
      <c r="AW672" s="88">
        <f>SUMIF(月間集計シート!$M$134:$M$153,$G672,月間集計シート!R$134:R$153)*AW$2</f>
        <v>0</v>
      </c>
      <c r="AX672" s="88">
        <f>SUMIF(月間集計シート!$M$134:$M$153,$G672,月間集計シート!S$134:S$153)*AX$2</f>
        <v>0</v>
      </c>
      <c r="AY672" s="88">
        <f>SUMIF(月間集計シート!$M$134:$M$153,$G672,月間集計シート!T$134:T$153)*AY$2</f>
        <v>0</v>
      </c>
    </row>
    <row r="673" spans="1:51" ht="14.25" thickBot="1">
      <c r="A673">
        <v>8</v>
      </c>
      <c r="B673" s="120">
        <f t="shared" si="310"/>
        <v>0</v>
      </c>
      <c r="C673" s="120" t="str">
        <f t="shared" si="310"/>
        <v/>
      </c>
      <c r="D673" s="137"/>
      <c r="E673" s="150" t="str">
        <f>工種!A70</f>
        <v>90104</v>
      </c>
      <c r="F673" s="119" t="str">
        <f>工種!B70</f>
        <v>管理業務：開発業務の引継ぎ</v>
      </c>
      <c r="G673" s="116" t="str">
        <f t="shared" si="307"/>
        <v>090104</v>
      </c>
      <c r="H673" s="88">
        <f t="shared" si="309"/>
        <v>0</v>
      </c>
      <c r="I673" s="132"/>
      <c r="J673" s="88">
        <f>SUMIF(月間集計シート!$M$29:$M$48,$G673,月間集計シート!N$29:N$48)*J$2</f>
        <v>0</v>
      </c>
      <c r="K673" s="88">
        <f>SUMIF(月間集計シート!$M$29:$M$48,$G673,月間集計シート!O$29:O$48)*K$2</f>
        <v>0</v>
      </c>
      <c r="L673" s="88">
        <f>SUMIF(月間集計シート!$M$29:$M$48,$G673,月間集計シート!P$29:P$48)*L$2</f>
        <v>0</v>
      </c>
      <c r="M673" s="88">
        <f>SUMIF(月間集計シート!$M$29:$M$48,$G673,月間集計シート!Q$29:Q$48)*M$2</f>
        <v>0</v>
      </c>
      <c r="N673" s="88">
        <f>SUMIF(月間集計シート!$M$29:$M$48,$G673,月間集計シート!R$29:R$48)*N$2</f>
        <v>0</v>
      </c>
      <c r="O673" s="88">
        <f>SUMIF(月間集計シート!$M$29:$M$48,$G673,月間集計シート!S$29:S$48)*O$2</f>
        <v>0</v>
      </c>
      <c r="P673" s="88">
        <f>SUMIF(月間集計シート!$M$29:$M$48,$G673,月間集計シート!T$29:T$48)*P$2</f>
        <v>0</v>
      </c>
      <c r="Q673" s="88">
        <f>SUMIF(月間集計シート!$M$50:$M$69,$G673,月間集計シート!N$50:N$69)*Q$2</f>
        <v>0</v>
      </c>
      <c r="R673" s="88">
        <f>SUMIF(月間集計シート!$M$50:$M$69,$G673,月間集計シート!O$50:O$69)*R$2</f>
        <v>0</v>
      </c>
      <c r="S673" s="88">
        <f>SUMIF(月間集計シート!$M$50:$M$69,$G673,月間集計シート!P$50:P$69)*S$2</f>
        <v>0</v>
      </c>
      <c r="T673" s="88">
        <f>SUMIF(月間集計シート!$M$50:$M$69,$G673,月間集計シート!Q$50:Q$69)*T$2</f>
        <v>0</v>
      </c>
      <c r="U673" s="88">
        <f>SUMIF(月間集計シート!$M$50:$M$69,$G673,月間集計シート!R$50:R$69)*U$2</f>
        <v>0</v>
      </c>
      <c r="V673" s="88">
        <f>SUMIF(月間集計シート!$M$50:$M$69,$G673,月間集計シート!S$50:S$69)*V$2</f>
        <v>0</v>
      </c>
      <c r="W673" s="88">
        <f>SUMIF(月間集計シート!$M$50:$M$69,$G673,月間集計シート!T$50:T$69)*W$2</f>
        <v>0</v>
      </c>
      <c r="X673" s="88">
        <f>SUMIF(月間集計シート!$M$71:$M$90,$G673,月間集計シート!N$71:N$90)*X$2</f>
        <v>0</v>
      </c>
      <c r="Y673" s="88">
        <f>SUMIF(月間集計シート!$M$71:$M$90,$G673,月間集計シート!O$71:O$90)*Y$2</f>
        <v>0</v>
      </c>
      <c r="Z673" s="88">
        <f>SUMIF(月間集計シート!$M$71:$M$90,$G673,月間集計シート!P$71:P$90)*Z$2</f>
        <v>0</v>
      </c>
      <c r="AA673" s="88">
        <f>SUMIF(月間集計シート!$M$71:$M$90,$G673,月間集計シート!Q$71:Q$90)*AA$2</f>
        <v>0</v>
      </c>
      <c r="AB673" s="88">
        <f>SUMIF(月間集計シート!$M$71:$M$90,$G673,月間集計シート!R$71:R$90)*AB$2</f>
        <v>0</v>
      </c>
      <c r="AC673" s="88">
        <f>SUMIF(月間集計シート!$M$71:$M$90,$G673,月間集計シート!S$71:S$90)*AC$2</f>
        <v>0</v>
      </c>
      <c r="AD673" s="88">
        <f>SUMIF(月間集計シート!$M$71:$M$90,$G673,月間集計シート!T$71:T$90)*AD$2</f>
        <v>0</v>
      </c>
      <c r="AE673" s="88">
        <f>SUMIF(月間集計シート!$M$92:$M$111,$G673,月間集計シート!N$92:N$111)*AE$2</f>
        <v>0</v>
      </c>
      <c r="AF673" s="88">
        <f>SUMIF(月間集計シート!$M$92:$M$111,$G673,月間集計シート!O$92:O$111)*AF$2</f>
        <v>0</v>
      </c>
      <c r="AG673" s="88">
        <f>SUMIF(月間集計シート!$M$92:$M$111,$G673,月間集計シート!P$92:P$111)*AG$2</f>
        <v>0</v>
      </c>
      <c r="AH673" s="88">
        <f>SUMIF(月間集計シート!$M$92:$M$111,$G673,月間集計シート!Q$92:Q$111)*AH$2</f>
        <v>0</v>
      </c>
      <c r="AI673" s="88">
        <f>SUMIF(月間集計シート!$M$92:$M$111,$G673,月間集計シート!R$92:R$111)*AI$2</f>
        <v>0</v>
      </c>
      <c r="AJ673" s="88">
        <f>SUMIF(月間集計シート!$M$92:$M$111,$G673,月間集計シート!S$92:S$111)*AJ$2</f>
        <v>0</v>
      </c>
      <c r="AK673" s="88">
        <f>SUMIF(月間集計シート!$M$92:$M$111,$G673,月間集計シート!T$92:T$111)*AK$2</f>
        <v>0</v>
      </c>
      <c r="AL673" s="88">
        <f>SUMIF(月間集計シート!$M$113:$M$132,$G673,月間集計シート!N$113:N$132)*AL$2</f>
        <v>0</v>
      </c>
      <c r="AM673" s="88">
        <f>SUMIF(月間集計シート!$M$113:$M$132,$G673,月間集計シート!O$113:O$132)*AM$2</f>
        <v>0</v>
      </c>
      <c r="AN673" s="88">
        <f>SUMIF(月間集計シート!$M$113:$M$132,$G673,月間集計シート!P$113:P$132)*AN$2</f>
        <v>0</v>
      </c>
      <c r="AO673" s="88">
        <f>SUMIF(月間集計シート!$M$113:$M$132,$G673,月間集計シート!Q$113:Q$132)*AO$2</f>
        <v>0</v>
      </c>
      <c r="AP673" s="88">
        <f>SUMIF(月間集計シート!$M$113:$M$132,$G673,月間集計シート!R$113:R$132)*AP$2</f>
        <v>0</v>
      </c>
      <c r="AQ673" s="88">
        <f>SUMIF(月間集計シート!$M$113:$M$132,$G673,月間集計シート!S$113:S$132)*AQ$2</f>
        <v>0</v>
      </c>
      <c r="AR673" s="88">
        <f>SUMIF(月間集計シート!$M$113:$M$132,$G673,月間集計シート!T$113:T$132)*AR$2</f>
        <v>0</v>
      </c>
      <c r="AS673" s="88">
        <f>SUMIF(月間集計シート!$M$134:$M$153,$G673,月間集計シート!N$134:N$153)*AS$2</f>
        <v>0</v>
      </c>
      <c r="AT673" s="88">
        <f>SUMIF(月間集計シート!$M$134:$M$153,$G673,月間集計シート!O$134:O$153)*AT$2</f>
        <v>0</v>
      </c>
      <c r="AU673" s="88">
        <f>SUMIF(月間集計シート!$M$134:$M$153,$G673,月間集計シート!P$134:P$153)*AU$2</f>
        <v>0</v>
      </c>
      <c r="AV673" s="88">
        <f>SUMIF(月間集計シート!$M$134:$M$153,$G673,月間集計シート!Q$134:Q$153)*AV$2</f>
        <v>0</v>
      </c>
      <c r="AW673" s="88">
        <f>SUMIF(月間集計シート!$M$134:$M$153,$G673,月間集計シート!R$134:R$153)*AW$2</f>
        <v>0</v>
      </c>
      <c r="AX673" s="88">
        <f>SUMIF(月間集計シート!$M$134:$M$153,$G673,月間集計シート!S$134:S$153)*AX$2</f>
        <v>0</v>
      </c>
      <c r="AY673" s="88">
        <f>SUMIF(月間集計シート!$M$134:$M$153,$G673,月間集計シート!T$134:T$153)*AY$2</f>
        <v>0</v>
      </c>
    </row>
    <row r="674" spans="1:51" ht="14.25" thickBot="1">
      <c r="A674">
        <v>8</v>
      </c>
      <c r="B674" s="120">
        <f t="shared" si="310"/>
        <v>0</v>
      </c>
      <c r="C674" s="120" t="str">
        <f t="shared" si="310"/>
        <v/>
      </c>
      <c r="D674" s="137"/>
      <c r="E674" s="150" t="str">
        <f>工種!A71</f>
        <v>90105</v>
      </c>
      <c r="F674" s="119" t="str">
        <f>工種!B71</f>
        <v>管理業務：SRB管理</v>
      </c>
      <c r="G674" s="116" t="str">
        <f t="shared" si="307"/>
        <v>090105</v>
      </c>
      <c r="H674" s="88">
        <f t="shared" si="309"/>
        <v>0</v>
      </c>
      <c r="I674" s="132"/>
      <c r="J674" s="88">
        <f>SUMIF(月間集計シート!$M$29:$M$48,$G674,月間集計シート!N$29:N$48)*J$2</f>
        <v>0</v>
      </c>
      <c r="K674" s="88">
        <f>SUMIF(月間集計シート!$M$29:$M$48,$G674,月間集計シート!O$29:O$48)*K$2</f>
        <v>0</v>
      </c>
      <c r="L674" s="88">
        <f>SUMIF(月間集計シート!$M$29:$M$48,$G674,月間集計シート!P$29:P$48)*L$2</f>
        <v>0</v>
      </c>
      <c r="M674" s="88">
        <f>SUMIF(月間集計シート!$M$29:$M$48,$G674,月間集計シート!Q$29:Q$48)*M$2</f>
        <v>0</v>
      </c>
      <c r="N674" s="88">
        <f>SUMIF(月間集計シート!$M$29:$M$48,$G674,月間集計シート!R$29:R$48)*N$2</f>
        <v>0</v>
      </c>
      <c r="O674" s="88">
        <f>SUMIF(月間集計シート!$M$29:$M$48,$G674,月間集計シート!S$29:S$48)*O$2</f>
        <v>0</v>
      </c>
      <c r="P674" s="88">
        <f>SUMIF(月間集計シート!$M$29:$M$48,$G674,月間集計シート!T$29:T$48)*P$2</f>
        <v>0</v>
      </c>
      <c r="Q674" s="88">
        <f>SUMIF(月間集計シート!$M$50:$M$69,$G674,月間集計シート!N$50:N$69)*Q$2</f>
        <v>0</v>
      </c>
      <c r="R674" s="88">
        <f>SUMIF(月間集計シート!$M$50:$M$69,$G674,月間集計シート!O$50:O$69)*R$2</f>
        <v>0</v>
      </c>
      <c r="S674" s="88">
        <f>SUMIF(月間集計シート!$M$50:$M$69,$G674,月間集計シート!P$50:P$69)*S$2</f>
        <v>0</v>
      </c>
      <c r="T674" s="88">
        <f>SUMIF(月間集計シート!$M$50:$M$69,$G674,月間集計シート!Q$50:Q$69)*T$2</f>
        <v>0</v>
      </c>
      <c r="U674" s="88">
        <f>SUMIF(月間集計シート!$M$50:$M$69,$G674,月間集計シート!R$50:R$69)*U$2</f>
        <v>0</v>
      </c>
      <c r="V674" s="88">
        <f>SUMIF(月間集計シート!$M$50:$M$69,$G674,月間集計シート!S$50:S$69)*V$2</f>
        <v>0</v>
      </c>
      <c r="W674" s="88">
        <f>SUMIF(月間集計シート!$M$50:$M$69,$G674,月間集計シート!T$50:T$69)*W$2</f>
        <v>0</v>
      </c>
      <c r="X674" s="88">
        <f>SUMIF(月間集計シート!$M$71:$M$90,$G674,月間集計シート!N$71:N$90)*X$2</f>
        <v>0</v>
      </c>
      <c r="Y674" s="88">
        <f>SUMIF(月間集計シート!$M$71:$M$90,$G674,月間集計シート!O$71:O$90)*Y$2</f>
        <v>0</v>
      </c>
      <c r="Z674" s="88">
        <f>SUMIF(月間集計シート!$M$71:$M$90,$G674,月間集計シート!P$71:P$90)*Z$2</f>
        <v>0</v>
      </c>
      <c r="AA674" s="88">
        <f>SUMIF(月間集計シート!$M$71:$M$90,$G674,月間集計シート!Q$71:Q$90)*AA$2</f>
        <v>0</v>
      </c>
      <c r="AB674" s="88">
        <f>SUMIF(月間集計シート!$M$71:$M$90,$G674,月間集計シート!R$71:R$90)*AB$2</f>
        <v>0</v>
      </c>
      <c r="AC674" s="88">
        <f>SUMIF(月間集計シート!$M$71:$M$90,$G674,月間集計シート!S$71:S$90)*AC$2</f>
        <v>0</v>
      </c>
      <c r="AD674" s="88">
        <f>SUMIF(月間集計シート!$M$71:$M$90,$G674,月間集計シート!T$71:T$90)*AD$2</f>
        <v>0</v>
      </c>
      <c r="AE674" s="88">
        <f>SUMIF(月間集計シート!$M$92:$M$111,$G674,月間集計シート!N$92:N$111)*AE$2</f>
        <v>0</v>
      </c>
      <c r="AF674" s="88">
        <f>SUMIF(月間集計シート!$M$92:$M$111,$G674,月間集計シート!O$92:O$111)*AF$2</f>
        <v>0</v>
      </c>
      <c r="AG674" s="88">
        <f>SUMIF(月間集計シート!$M$92:$M$111,$G674,月間集計シート!P$92:P$111)*AG$2</f>
        <v>0</v>
      </c>
      <c r="AH674" s="88">
        <f>SUMIF(月間集計シート!$M$92:$M$111,$G674,月間集計シート!Q$92:Q$111)*AH$2</f>
        <v>0</v>
      </c>
      <c r="AI674" s="88">
        <f>SUMIF(月間集計シート!$M$92:$M$111,$G674,月間集計シート!R$92:R$111)*AI$2</f>
        <v>0</v>
      </c>
      <c r="AJ674" s="88">
        <f>SUMIF(月間集計シート!$M$92:$M$111,$G674,月間集計シート!S$92:S$111)*AJ$2</f>
        <v>0</v>
      </c>
      <c r="AK674" s="88">
        <f>SUMIF(月間集計シート!$M$92:$M$111,$G674,月間集計シート!T$92:T$111)*AK$2</f>
        <v>0</v>
      </c>
      <c r="AL674" s="88">
        <f>SUMIF(月間集計シート!$M$113:$M$132,$G674,月間集計シート!N$113:N$132)*AL$2</f>
        <v>0</v>
      </c>
      <c r="AM674" s="88">
        <f>SUMIF(月間集計シート!$M$113:$M$132,$G674,月間集計シート!O$113:O$132)*AM$2</f>
        <v>0</v>
      </c>
      <c r="AN674" s="88">
        <f>SUMIF(月間集計シート!$M$113:$M$132,$G674,月間集計シート!P$113:P$132)*AN$2</f>
        <v>0</v>
      </c>
      <c r="AO674" s="88">
        <f>SUMIF(月間集計シート!$M$113:$M$132,$G674,月間集計シート!Q$113:Q$132)*AO$2</f>
        <v>0</v>
      </c>
      <c r="AP674" s="88">
        <f>SUMIF(月間集計シート!$M$113:$M$132,$G674,月間集計シート!R$113:R$132)*AP$2</f>
        <v>0</v>
      </c>
      <c r="AQ674" s="88">
        <f>SUMIF(月間集計シート!$M$113:$M$132,$G674,月間集計シート!S$113:S$132)*AQ$2</f>
        <v>0</v>
      </c>
      <c r="AR674" s="88">
        <f>SUMIF(月間集計シート!$M$113:$M$132,$G674,月間集計シート!T$113:T$132)*AR$2</f>
        <v>0</v>
      </c>
      <c r="AS674" s="88">
        <f>SUMIF(月間集計シート!$M$134:$M$153,$G674,月間集計シート!N$134:N$153)*AS$2</f>
        <v>0</v>
      </c>
      <c r="AT674" s="88">
        <f>SUMIF(月間集計シート!$M$134:$M$153,$G674,月間集計シート!O$134:O$153)*AT$2</f>
        <v>0</v>
      </c>
      <c r="AU674" s="88">
        <f>SUMIF(月間集計シート!$M$134:$M$153,$G674,月間集計シート!P$134:P$153)*AU$2</f>
        <v>0</v>
      </c>
      <c r="AV674" s="88">
        <f>SUMIF(月間集計シート!$M$134:$M$153,$G674,月間集計シート!Q$134:Q$153)*AV$2</f>
        <v>0</v>
      </c>
      <c r="AW674" s="88">
        <f>SUMIF(月間集計シート!$M$134:$M$153,$G674,月間集計シート!R$134:R$153)*AW$2</f>
        <v>0</v>
      </c>
      <c r="AX674" s="88">
        <f>SUMIF(月間集計シート!$M$134:$M$153,$G674,月間集計シート!S$134:S$153)*AX$2</f>
        <v>0</v>
      </c>
      <c r="AY674" s="88">
        <f>SUMIF(月間集計シート!$M$134:$M$153,$G674,月間集計シート!T$134:T$153)*AY$2</f>
        <v>0</v>
      </c>
    </row>
    <row r="675" spans="1:51" ht="14.25" thickBot="1">
      <c r="A675">
        <v>8</v>
      </c>
      <c r="B675" s="120">
        <f t="shared" si="310"/>
        <v>0</v>
      </c>
      <c r="C675" s="120" t="str">
        <f t="shared" si="310"/>
        <v/>
      </c>
      <c r="D675" s="137"/>
      <c r="E675" s="150" t="str">
        <f>工種!A72</f>
        <v>90107</v>
      </c>
      <c r="F675" s="119" t="str">
        <f>工種!B72</f>
        <v>管理業務：開発事務作業</v>
      </c>
      <c r="G675" s="116" t="str">
        <f t="shared" si="307"/>
        <v>090107</v>
      </c>
      <c r="H675" s="88">
        <f t="shared" si="309"/>
        <v>0</v>
      </c>
      <c r="I675" s="132"/>
      <c r="J675" s="88">
        <f>SUMIF(月間集計シート!$M$29:$M$48,$G675,月間集計シート!N$29:N$48)*J$2</f>
        <v>0</v>
      </c>
      <c r="K675" s="88">
        <f>SUMIF(月間集計シート!$M$29:$M$48,$G675,月間集計シート!O$29:O$48)*K$2</f>
        <v>0</v>
      </c>
      <c r="L675" s="88">
        <f>SUMIF(月間集計シート!$M$29:$M$48,$G675,月間集計シート!P$29:P$48)*L$2</f>
        <v>0</v>
      </c>
      <c r="M675" s="88">
        <f>SUMIF(月間集計シート!$M$29:$M$48,$G675,月間集計シート!Q$29:Q$48)*M$2</f>
        <v>0</v>
      </c>
      <c r="N675" s="88">
        <f>SUMIF(月間集計シート!$M$29:$M$48,$G675,月間集計シート!R$29:R$48)*N$2</f>
        <v>0</v>
      </c>
      <c r="O675" s="88">
        <f>SUMIF(月間集計シート!$M$29:$M$48,$G675,月間集計シート!S$29:S$48)*O$2</f>
        <v>0</v>
      </c>
      <c r="P675" s="88">
        <f>SUMIF(月間集計シート!$M$29:$M$48,$G675,月間集計シート!T$29:T$48)*P$2</f>
        <v>0</v>
      </c>
      <c r="Q675" s="88">
        <f>SUMIF(月間集計シート!$M$50:$M$69,$G675,月間集計シート!N$50:N$69)*Q$2</f>
        <v>0</v>
      </c>
      <c r="R675" s="88">
        <f>SUMIF(月間集計シート!$M$50:$M$69,$G675,月間集計シート!O$50:O$69)*R$2</f>
        <v>0</v>
      </c>
      <c r="S675" s="88">
        <f>SUMIF(月間集計シート!$M$50:$M$69,$G675,月間集計シート!P$50:P$69)*S$2</f>
        <v>0</v>
      </c>
      <c r="T675" s="88">
        <f>SUMIF(月間集計シート!$M$50:$M$69,$G675,月間集計シート!Q$50:Q$69)*T$2</f>
        <v>0</v>
      </c>
      <c r="U675" s="88">
        <f>SUMIF(月間集計シート!$M$50:$M$69,$G675,月間集計シート!R$50:R$69)*U$2</f>
        <v>0</v>
      </c>
      <c r="V675" s="88">
        <f>SUMIF(月間集計シート!$M$50:$M$69,$G675,月間集計シート!S$50:S$69)*V$2</f>
        <v>0</v>
      </c>
      <c r="W675" s="88">
        <f>SUMIF(月間集計シート!$M$50:$M$69,$G675,月間集計シート!T$50:T$69)*W$2</f>
        <v>0</v>
      </c>
      <c r="X675" s="88">
        <f>SUMIF(月間集計シート!$M$71:$M$90,$G675,月間集計シート!N$71:N$90)*X$2</f>
        <v>0</v>
      </c>
      <c r="Y675" s="88">
        <f>SUMIF(月間集計シート!$M$71:$M$90,$G675,月間集計シート!O$71:O$90)*Y$2</f>
        <v>0</v>
      </c>
      <c r="Z675" s="88">
        <f>SUMIF(月間集計シート!$M$71:$M$90,$G675,月間集計シート!P$71:P$90)*Z$2</f>
        <v>0</v>
      </c>
      <c r="AA675" s="88">
        <f>SUMIF(月間集計シート!$M$71:$M$90,$G675,月間集計シート!Q$71:Q$90)*AA$2</f>
        <v>0</v>
      </c>
      <c r="AB675" s="88">
        <f>SUMIF(月間集計シート!$M$71:$M$90,$G675,月間集計シート!R$71:R$90)*AB$2</f>
        <v>0</v>
      </c>
      <c r="AC675" s="88">
        <f>SUMIF(月間集計シート!$M$71:$M$90,$G675,月間集計シート!S$71:S$90)*AC$2</f>
        <v>0</v>
      </c>
      <c r="AD675" s="88">
        <f>SUMIF(月間集計シート!$M$71:$M$90,$G675,月間集計シート!T$71:T$90)*AD$2</f>
        <v>0</v>
      </c>
      <c r="AE675" s="88">
        <f>SUMIF(月間集計シート!$M$92:$M$111,$G675,月間集計シート!N$92:N$111)*AE$2</f>
        <v>0</v>
      </c>
      <c r="AF675" s="88">
        <f>SUMIF(月間集計シート!$M$92:$M$111,$G675,月間集計シート!O$92:O$111)*AF$2</f>
        <v>0</v>
      </c>
      <c r="AG675" s="88">
        <f>SUMIF(月間集計シート!$M$92:$M$111,$G675,月間集計シート!P$92:P$111)*AG$2</f>
        <v>0</v>
      </c>
      <c r="AH675" s="88">
        <f>SUMIF(月間集計シート!$M$92:$M$111,$G675,月間集計シート!Q$92:Q$111)*AH$2</f>
        <v>0</v>
      </c>
      <c r="AI675" s="88">
        <f>SUMIF(月間集計シート!$M$92:$M$111,$G675,月間集計シート!R$92:R$111)*AI$2</f>
        <v>0</v>
      </c>
      <c r="AJ675" s="88">
        <f>SUMIF(月間集計シート!$M$92:$M$111,$G675,月間集計シート!S$92:S$111)*AJ$2</f>
        <v>0</v>
      </c>
      <c r="AK675" s="88">
        <f>SUMIF(月間集計シート!$M$92:$M$111,$G675,月間集計シート!T$92:T$111)*AK$2</f>
        <v>0</v>
      </c>
      <c r="AL675" s="88">
        <f>SUMIF(月間集計シート!$M$113:$M$132,$G675,月間集計シート!N$113:N$132)*AL$2</f>
        <v>0</v>
      </c>
      <c r="AM675" s="88">
        <f>SUMIF(月間集計シート!$M$113:$M$132,$G675,月間集計シート!O$113:O$132)*AM$2</f>
        <v>0</v>
      </c>
      <c r="AN675" s="88">
        <f>SUMIF(月間集計シート!$M$113:$M$132,$G675,月間集計シート!P$113:P$132)*AN$2</f>
        <v>0</v>
      </c>
      <c r="AO675" s="88">
        <f>SUMIF(月間集計シート!$M$113:$M$132,$G675,月間集計シート!Q$113:Q$132)*AO$2</f>
        <v>0</v>
      </c>
      <c r="AP675" s="88">
        <f>SUMIF(月間集計シート!$M$113:$M$132,$G675,月間集計シート!R$113:R$132)*AP$2</f>
        <v>0</v>
      </c>
      <c r="AQ675" s="88">
        <f>SUMIF(月間集計シート!$M$113:$M$132,$G675,月間集計シート!S$113:S$132)*AQ$2</f>
        <v>0</v>
      </c>
      <c r="AR675" s="88">
        <f>SUMIF(月間集計シート!$M$113:$M$132,$G675,月間集計シート!T$113:T$132)*AR$2</f>
        <v>0</v>
      </c>
      <c r="AS675" s="88">
        <f>SUMIF(月間集計シート!$M$134:$M$153,$G675,月間集計シート!N$134:N$153)*AS$2</f>
        <v>0</v>
      </c>
      <c r="AT675" s="88">
        <f>SUMIF(月間集計シート!$M$134:$M$153,$G675,月間集計シート!O$134:O$153)*AT$2</f>
        <v>0</v>
      </c>
      <c r="AU675" s="88">
        <f>SUMIF(月間集計シート!$M$134:$M$153,$G675,月間集計シート!P$134:P$153)*AU$2</f>
        <v>0</v>
      </c>
      <c r="AV675" s="88">
        <f>SUMIF(月間集計シート!$M$134:$M$153,$G675,月間集計シート!Q$134:Q$153)*AV$2</f>
        <v>0</v>
      </c>
      <c r="AW675" s="88">
        <f>SUMIF(月間集計シート!$M$134:$M$153,$G675,月間集計シート!R$134:R$153)*AW$2</f>
        <v>0</v>
      </c>
      <c r="AX675" s="88">
        <f>SUMIF(月間集計シート!$M$134:$M$153,$G675,月間集計シート!S$134:S$153)*AX$2</f>
        <v>0</v>
      </c>
      <c r="AY675" s="88">
        <f>SUMIF(月間集計シート!$M$134:$M$153,$G675,月間集計シート!T$134:T$153)*AY$2</f>
        <v>0</v>
      </c>
    </row>
    <row r="676" spans="1:51" ht="14.25" thickBot="1">
      <c r="A676">
        <v>8</v>
      </c>
      <c r="B676" s="120">
        <f t="shared" si="310"/>
        <v>0</v>
      </c>
      <c r="C676" s="120" t="str">
        <f t="shared" si="310"/>
        <v/>
      </c>
      <c r="D676" s="137"/>
      <c r="E676" s="150" t="str">
        <f>工種!A73</f>
        <v>90108</v>
      </c>
      <c r="F676" s="119" t="str">
        <f>工種!B73</f>
        <v>管理業務：外部不具合分析</v>
      </c>
      <c r="G676" s="116" t="str">
        <f t="shared" si="307"/>
        <v>090108</v>
      </c>
      <c r="H676" s="88">
        <f t="shared" si="309"/>
        <v>0</v>
      </c>
      <c r="I676" s="132"/>
      <c r="J676" s="88">
        <f>SUMIF(月間集計シート!$M$29:$M$48,$G676,月間集計シート!N$29:N$48)*J$2</f>
        <v>0</v>
      </c>
      <c r="K676" s="88">
        <f>SUMIF(月間集計シート!$M$29:$M$48,$G676,月間集計シート!O$29:O$48)*K$2</f>
        <v>0</v>
      </c>
      <c r="L676" s="88">
        <f>SUMIF(月間集計シート!$M$29:$M$48,$G676,月間集計シート!P$29:P$48)*L$2</f>
        <v>0</v>
      </c>
      <c r="M676" s="88">
        <f>SUMIF(月間集計シート!$M$29:$M$48,$G676,月間集計シート!Q$29:Q$48)*M$2</f>
        <v>0</v>
      </c>
      <c r="N676" s="88">
        <f>SUMIF(月間集計シート!$M$29:$M$48,$G676,月間集計シート!R$29:R$48)*N$2</f>
        <v>0</v>
      </c>
      <c r="O676" s="88">
        <f>SUMIF(月間集計シート!$M$29:$M$48,$G676,月間集計シート!S$29:S$48)*O$2</f>
        <v>0</v>
      </c>
      <c r="P676" s="88">
        <f>SUMIF(月間集計シート!$M$29:$M$48,$G676,月間集計シート!T$29:T$48)*P$2</f>
        <v>0</v>
      </c>
      <c r="Q676" s="88">
        <f>SUMIF(月間集計シート!$M$50:$M$69,$G676,月間集計シート!N$50:N$69)*Q$2</f>
        <v>0</v>
      </c>
      <c r="R676" s="88">
        <f>SUMIF(月間集計シート!$M$50:$M$69,$G676,月間集計シート!O$50:O$69)*R$2</f>
        <v>0</v>
      </c>
      <c r="S676" s="88">
        <f>SUMIF(月間集計シート!$M$50:$M$69,$G676,月間集計シート!P$50:P$69)*S$2</f>
        <v>0</v>
      </c>
      <c r="T676" s="88">
        <f>SUMIF(月間集計シート!$M$50:$M$69,$G676,月間集計シート!Q$50:Q$69)*T$2</f>
        <v>0</v>
      </c>
      <c r="U676" s="88">
        <f>SUMIF(月間集計シート!$M$50:$M$69,$G676,月間集計シート!R$50:R$69)*U$2</f>
        <v>0</v>
      </c>
      <c r="V676" s="88">
        <f>SUMIF(月間集計シート!$M$50:$M$69,$G676,月間集計シート!S$50:S$69)*V$2</f>
        <v>0</v>
      </c>
      <c r="W676" s="88">
        <f>SUMIF(月間集計シート!$M$50:$M$69,$G676,月間集計シート!T$50:T$69)*W$2</f>
        <v>0</v>
      </c>
      <c r="X676" s="88">
        <f>SUMIF(月間集計シート!$M$71:$M$90,$G676,月間集計シート!N$71:N$90)*X$2</f>
        <v>0</v>
      </c>
      <c r="Y676" s="88">
        <f>SUMIF(月間集計シート!$M$71:$M$90,$G676,月間集計シート!O$71:O$90)*Y$2</f>
        <v>0</v>
      </c>
      <c r="Z676" s="88">
        <f>SUMIF(月間集計シート!$M$71:$M$90,$G676,月間集計シート!P$71:P$90)*Z$2</f>
        <v>0</v>
      </c>
      <c r="AA676" s="88">
        <f>SUMIF(月間集計シート!$M$71:$M$90,$G676,月間集計シート!Q$71:Q$90)*AA$2</f>
        <v>0</v>
      </c>
      <c r="AB676" s="88">
        <f>SUMIF(月間集計シート!$M$71:$M$90,$G676,月間集計シート!R$71:R$90)*AB$2</f>
        <v>0</v>
      </c>
      <c r="AC676" s="88">
        <f>SUMIF(月間集計シート!$M$71:$M$90,$G676,月間集計シート!S$71:S$90)*AC$2</f>
        <v>0</v>
      </c>
      <c r="AD676" s="88">
        <f>SUMIF(月間集計シート!$M$71:$M$90,$G676,月間集計シート!T$71:T$90)*AD$2</f>
        <v>0</v>
      </c>
      <c r="AE676" s="88">
        <f>SUMIF(月間集計シート!$M$92:$M$111,$G676,月間集計シート!N$92:N$111)*AE$2</f>
        <v>0</v>
      </c>
      <c r="AF676" s="88">
        <f>SUMIF(月間集計シート!$M$92:$M$111,$G676,月間集計シート!O$92:O$111)*AF$2</f>
        <v>0</v>
      </c>
      <c r="AG676" s="88">
        <f>SUMIF(月間集計シート!$M$92:$M$111,$G676,月間集計シート!P$92:P$111)*AG$2</f>
        <v>0</v>
      </c>
      <c r="AH676" s="88">
        <f>SUMIF(月間集計シート!$M$92:$M$111,$G676,月間集計シート!Q$92:Q$111)*AH$2</f>
        <v>0</v>
      </c>
      <c r="AI676" s="88">
        <f>SUMIF(月間集計シート!$M$92:$M$111,$G676,月間集計シート!R$92:R$111)*AI$2</f>
        <v>0</v>
      </c>
      <c r="AJ676" s="88">
        <f>SUMIF(月間集計シート!$M$92:$M$111,$G676,月間集計シート!S$92:S$111)*AJ$2</f>
        <v>0</v>
      </c>
      <c r="AK676" s="88">
        <f>SUMIF(月間集計シート!$M$92:$M$111,$G676,月間集計シート!T$92:T$111)*AK$2</f>
        <v>0</v>
      </c>
      <c r="AL676" s="88">
        <f>SUMIF(月間集計シート!$M$113:$M$132,$G676,月間集計シート!N$113:N$132)*AL$2</f>
        <v>0</v>
      </c>
      <c r="AM676" s="88">
        <f>SUMIF(月間集計シート!$M$113:$M$132,$G676,月間集計シート!O$113:O$132)*AM$2</f>
        <v>0</v>
      </c>
      <c r="AN676" s="88">
        <f>SUMIF(月間集計シート!$M$113:$M$132,$G676,月間集計シート!P$113:P$132)*AN$2</f>
        <v>0</v>
      </c>
      <c r="AO676" s="88">
        <f>SUMIF(月間集計シート!$M$113:$M$132,$G676,月間集計シート!Q$113:Q$132)*AO$2</f>
        <v>0</v>
      </c>
      <c r="AP676" s="88">
        <f>SUMIF(月間集計シート!$M$113:$M$132,$G676,月間集計シート!R$113:R$132)*AP$2</f>
        <v>0</v>
      </c>
      <c r="AQ676" s="88">
        <f>SUMIF(月間集計シート!$M$113:$M$132,$G676,月間集計シート!S$113:S$132)*AQ$2</f>
        <v>0</v>
      </c>
      <c r="AR676" s="88">
        <f>SUMIF(月間集計シート!$M$113:$M$132,$G676,月間集計シート!T$113:T$132)*AR$2</f>
        <v>0</v>
      </c>
      <c r="AS676" s="88">
        <f>SUMIF(月間集計シート!$M$134:$M$153,$G676,月間集計シート!N$134:N$153)*AS$2</f>
        <v>0</v>
      </c>
      <c r="AT676" s="88">
        <f>SUMIF(月間集計シート!$M$134:$M$153,$G676,月間集計シート!O$134:O$153)*AT$2</f>
        <v>0</v>
      </c>
      <c r="AU676" s="88">
        <f>SUMIF(月間集計シート!$M$134:$M$153,$G676,月間集計シート!P$134:P$153)*AU$2</f>
        <v>0</v>
      </c>
      <c r="AV676" s="88">
        <f>SUMIF(月間集計シート!$M$134:$M$153,$G676,月間集計シート!Q$134:Q$153)*AV$2</f>
        <v>0</v>
      </c>
      <c r="AW676" s="88">
        <f>SUMIF(月間集計シート!$M$134:$M$153,$G676,月間集計シート!R$134:R$153)*AW$2</f>
        <v>0</v>
      </c>
      <c r="AX676" s="88">
        <f>SUMIF(月間集計シート!$M$134:$M$153,$G676,月間集計シート!S$134:S$153)*AX$2</f>
        <v>0</v>
      </c>
      <c r="AY676" s="88">
        <f>SUMIF(月間集計シート!$M$134:$M$153,$G676,月間集計シート!T$134:T$153)*AY$2</f>
        <v>0</v>
      </c>
    </row>
    <row r="677" spans="1:51" ht="14.25" thickBot="1">
      <c r="A677">
        <v>8</v>
      </c>
      <c r="B677" s="120">
        <f t="shared" si="310"/>
        <v>0</v>
      </c>
      <c r="C677" s="120" t="str">
        <f t="shared" si="310"/>
        <v/>
      </c>
      <c r="D677" s="137"/>
      <c r="E677" s="150" t="str">
        <f>工種!A74</f>
        <v>90110</v>
      </c>
      <c r="F677" s="119" t="str">
        <f>工種!B74</f>
        <v>管理業務：打合せ</v>
      </c>
      <c r="G677" s="116" t="str">
        <f t="shared" si="307"/>
        <v>090110</v>
      </c>
      <c r="H677" s="88">
        <f t="shared" si="309"/>
        <v>0</v>
      </c>
      <c r="I677" s="132"/>
      <c r="J677" s="88">
        <f>SUMIF(月間集計シート!$M$29:$M$48,$G677,月間集計シート!N$29:N$48)*J$2</f>
        <v>0</v>
      </c>
      <c r="K677" s="88">
        <f>SUMIF(月間集計シート!$M$29:$M$48,$G677,月間集計シート!O$29:O$48)*K$2</f>
        <v>0</v>
      </c>
      <c r="L677" s="88">
        <f>SUMIF(月間集計シート!$M$29:$M$48,$G677,月間集計シート!P$29:P$48)*L$2</f>
        <v>0</v>
      </c>
      <c r="M677" s="88">
        <f>SUMIF(月間集計シート!$M$29:$M$48,$G677,月間集計シート!Q$29:Q$48)*M$2</f>
        <v>0</v>
      </c>
      <c r="N677" s="88">
        <f>SUMIF(月間集計シート!$M$29:$M$48,$G677,月間集計シート!R$29:R$48)*N$2</f>
        <v>0</v>
      </c>
      <c r="O677" s="88">
        <f>SUMIF(月間集計シート!$M$29:$M$48,$G677,月間集計シート!S$29:S$48)*O$2</f>
        <v>0</v>
      </c>
      <c r="P677" s="88">
        <f>SUMIF(月間集計シート!$M$29:$M$48,$G677,月間集計シート!T$29:T$48)*P$2</f>
        <v>0</v>
      </c>
      <c r="Q677" s="88">
        <f>SUMIF(月間集計シート!$M$50:$M$69,$G677,月間集計シート!N$50:N$69)*Q$2</f>
        <v>0</v>
      </c>
      <c r="R677" s="88">
        <f>SUMIF(月間集計シート!$M$50:$M$69,$G677,月間集計シート!O$50:O$69)*R$2</f>
        <v>0</v>
      </c>
      <c r="S677" s="88">
        <f>SUMIF(月間集計シート!$M$50:$M$69,$G677,月間集計シート!P$50:P$69)*S$2</f>
        <v>0</v>
      </c>
      <c r="T677" s="88">
        <f>SUMIF(月間集計シート!$M$50:$M$69,$G677,月間集計シート!Q$50:Q$69)*T$2</f>
        <v>0</v>
      </c>
      <c r="U677" s="88">
        <f>SUMIF(月間集計シート!$M$50:$M$69,$G677,月間集計シート!R$50:R$69)*U$2</f>
        <v>0</v>
      </c>
      <c r="V677" s="88">
        <f>SUMIF(月間集計シート!$M$50:$M$69,$G677,月間集計シート!S$50:S$69)*V$2</f>
        <v>0</v>
      </c>
      <c r="W677" s="88">
        <f>SUMIF(月間集計シート!$M$50:$M$69,$G677,月間集計シート!T$50:T$69)*W$2</f>
        <v>0</v>
      </c>
      <c r="X677" s="88">
        <f>SUMIF(月間集計シート!$M$71:$M$90,$G677,月間集計シート!N$71:N$90)*X$2</f>
        <v>0</v>
      </c>
      <c r="Y677" s="88">
        <f>SUMIF(月間集計シート!$M$71:$M$90,$G677,月間集計シート!O$71:O$90)*Y$2</f>
        <v>0</v>
      </c>
      <c r="Z677" s="88">
        <f>SUMIF(月間集計シート!$M$71:$M$90,$G677,月間集計シート!P$71:P$90)*Z$2</f>
        <v>0</v>
      </c>
      <c r="AA677" s="88">
        <f>SUMIF(月間集計シート!$M$71:$M$90,$G677,月間集計シート!Q$71:Q$90)*AA$2</f>
        <v>0</v>
      </c>
      <c r="AB677" s="88">
        <f>SUMIF(月間集計シート!$M$71:$M$90,$G677,月間集計シート!R$71:R$90)*AB$2</f>
        <v>0</v>
      </c>
      <c r="AC677" s="88">
        <f>SUMIF(月間集計シート!$M$71:$M$90,$G677,月間集計シート!S$71:S$90)*AC$2</f>
        <v>0</v>
      </c>
      <c r="AD677" s="88">
        <f>SUMIF(月間集計シート!$M$71:$M$90,$G677,月間集計シート!T$71:T$90)*AD$2</f>
        <v>0</v>
      </c>
      <c r="AE677" s="88">
        <f>SUMIF(月間集計シート!$M$92:$M$111,$G677,月間集計シート!N$92:N$111)*AE$2</f>
        <v>0</v>
      </c>
      <c r="AF677" s="88">
        <f>SUMIF(月間集計シート!$M$92:$M$111,$G677,月間集計シート!O$92:O$111)*AF$2</f>
        <v>0</v>
      </c>
      <c r="AG677" s="88">
        <f>SUMIF(月間集計シート!$M$92:$M$111,$G677,月間集計シート!P$92:P$111)*AG$2</f>
        <v>0</v>
      </c>
      <c r="AH677" s="88">
        <f>SUMIF(月間集計シート!$M$92:$M$111,$G677,月間集計シート!Q$92:Q$111)*AH$2</f>
        <v>0</v>
      </c>
      <c r="AI677" s="88">
        <f>SUMIF(月間集計シート!$M$92:$M$111,$G677,月間集計シート!R$92:R$111)*AI$2</f>
        <v>0</v>
      </c>
      <c r="AJ677" s="88">
        <f>SUMIF(月間集計シート!$M$92:$M$111,$G677,月間集計シート!S$92:S$111)*AJ$2</f>
        <v>0</v>
      </c>
      <c r="AK677" s="88">
        <f>SUMIF(月間集計シート!$M$92:$M$111,$G677,月間集計シート!T$92:T$111)*AK$2</f>
        <v>0</v>
      </c>
      <c r="AL677" s="88">
        <f>SUMIF(月間集計シート!$M$113:$M$132,$G677,月間集計シート!N$113:N$132)*AL$2</f>
        <v>0</v>
      </c>
      <c r="AM677" s="88">
        <f>SUMIF(月間集計シート!$M$113:$M$132,$G677,月間集計シート!O$113:O$132)*AM$2</f>
        <v>0</v>
      </c>
      <c r="AN677" s="88">
        <f>SUMIF(月間集計シート!$M$113:$M$132,$G677,月間集計シート!P$113:P$132)*AN$2</f>
        <v>0</v>
      </c>
      <c r="AO677" s="88">
        <f>SUMIF(月間集計シート!$M$113:$M$132,$G677,月間集計シート!Q$113:Q$132)*AO$2</f>
        <v>0</v>
      </c>
      <c r="AP677" s="88">
        <f>SUMIF(月間集計シート!$M$113:$M$132,$G677,月間集計シート!R$113:R$132)*AP$2</f>
        <v>0</v>
      </c>
      <c r="AQ677" s="88">
        <f>SUMIF(月間集計シート!$M$113:$M$132,$G677,月間集計シート!S$113:S$132)*AQ$2</f>
        <v>0</v>
      </c>
      <c r="AR677" s="88">
        <f>SUMIF(月間集計シート!$M$113:$M$132,$G677,月間集計シート!T$113:T$132)*AR$2</f>
        <v>0</v>
      </c>
      <c r="AS677" s="88">
        <f>SUMIF(月間集計シート!$M$134:$M$153,$G677,月間集計シート!N$134:N$153)*AS$2</f>
        <v>0</v>
      </c>
      <c r="AT677" s="88">
        <f>SUMIF(月間集計シート!$M$134:$M$153,$G677,月間集計シート!O$134:O$153)*AT$2</f>
        <v>0</v>
      </c>
      <c r="AU677" s="88">
        <f>SUMIF(月間集計シート!$M$134:$M$153,$G677,月間集計シート!P$134:P$153)*AU$2</f>
        <v>0</v>
      </c>
      <c r="AV677" s="88">
        <f>SUMIF(月間集計シート!$M$134:$M$153,$G677,月間集計シート!Q$134:Q$153)*AV$2</f>
        <v>0</v>
      </c>
      <c r="AW677" s="88">
        <f>SUMIF(月間集計シート!$M$134:$M$153,$G677,月間集計シート!R$134:R$153)*AW$2</f>
        <v>0</v>
      </c>
      <c r="AX677" s="88">
        <f>SUMIF(月間集計シート!$M$134:$M$153,$G677,月間集計シート!S$134:S$153)*AX$2</f>
        <v>0</v>
      </c>
      <c r="AY677" s="88">
        <f>SUMIF(月間集計シート!$M$134:$M$153,$G677,月間集計シート!T$134:T$153)*AY$2</f>
        <v>0</v>
      </c>
    </row>
    <row r="678" spans="1:51" ht="14.25" thickBot="1">
      <c r="A678">
        <v>8</v>
      </c>
      <c r="B678" s="120">
        <f t="shared" si="310"/>
        <v>0</v>
      </c>
      <c r="C678" s="120" t="str">
        <f t="shared" si="310"/>
        <v/>
      </c>
      <c r="D678" s="137"/>
      <c r="E678" s="150" t="str">
        <f>工種!A75</f>
        <v>90111</v>
      </c>
      <c r="F678" s="119" t="str">
        <f>工種!B75</f>
        <v>管理業務：レビュー</v>
      </c>
      <c r="G678" s="116" t="str">
        <f t="shared" si="307"/>
        <v>090111</v>
      </c>
      <c r="H678" s="88">
        <f t="shared" si="309"/>
        <v>0</v>
      </c>
      <c r="I678" s="132"/>
      <c r="J678" s="88">
        <f>SUMIF(月間集計シート!$M$29:$M$48,$G678,月間集計シート!N$29:N$48)*J$2</f>
        <v>0</v>
      </c>
      <c r="K678" s="88">
        <f>SUMIF(月間集計シート!$M$29:$M$48,$G678,月間集計シート!O$29:O$48)*K$2</f>
        <v>0</v>
      </c>
      <c r="L678" s="88">
        <f>SUMIF(月間集計シート!$M$29:$M$48,$G678,月間集計シート!P$29:P$48)*L$2</f>
        <v>0</v>
      </c>
      <c r="M678" s="88">
        <f>SUMIF(月間集計シート!$M$29:$M$48,$G678,月間集計シート!Q$29:Q$48)*M$2</f>
        <v>0</v>
      </c>
      <c r="N678" s="88">
        <f>SUMIF(月間集計シート!$M$29:$M$48,$G678,月間集計シート!R$29:R$48)*N$2</f>
        <v>0</v>
      </c>
      <c r="O678" s="88">
        <f>SUMIF(月間集計シート!$M$29:$M$48,$G678,月間集計シート!S$29:S$48)*O$2</f>
        <v>0</v>
      </c>
      <c r="P678" s="88">
        <f>SUMIF(月間集計シート!$M$29:$M$48,$G678,月間集計シート!T$29:T$48)*P$2</f>
        <v>0</v>
      </c>
      <c r="Q678" s="88">
        <f>SUMIF(月間集計シート!$M$50:$M$69,$G678,月間集計シート!N$50:N$69)*Q$2</f>
        <v>0</v>
      </c>
      <c r="R678" s="88">
        <f>SUMIF(月間集計シート!$M$50:$M$69,$G678,月間集計シート!O$50:O$69)*R$2</f>
        <v>0</v>
      </c>
      <c r="S678" s="88">
        <f>SUMIF(月間集計シート!$M$50:$M$69,$G678,月間集計シート!P$50:P$69)*S$2</f>
        <v>0</v>
      </c>
      <c r="T678" s="88">
        <f>SUMIF(月間集計シート!$M$50:$M$69,$G678,月間集計シート!Q$50:Q$69)*T$2</f>
        <v>0</v>
      </c>
      <c r="U678" s="88">
        <f>SUMIF(月間集計シート!$M$50:$M$69,$G678,月間集計シート!R$50:R$69)*U$2</f>
        <v>0</v>
      </c>
      <c r="V678" s="88">
        <f>SUMIF(月間集計シート!$M$50:$M$69,$G678,月間集計シート!S$50:S$69)*V$2</f>
        <v>0</v>
      </c>
      <c r="W678" s="88">
        <f>SUMIF(月間集計シート!$M$50:$M$69,$G678,月間集計シート!T$50:T$69)*W$2</f>
        <v>0</v>
      </c>
      <c r="X678" s="88">
        <f>SUMIF(月間集計シート!$M$71:$M$90,$G678,月間集計シート!N$71:N$90)*X$2</f>
        <v>0</v>
      </c>
      <c r="Y678" s="88">
        <f>SUMIF(月間集計シート!$M$71:$M$90,$G678,月間集計シート!O$71:O$90)*Y$2</f>
        <v>0</v>
      </c>
      <c r="Z678" s="88">
        <f>SUMIF(月間集計シート!$M$71:$M$90,$G678,月間集計シート!P$71:P$90)*Z$2</f>
        <v>0</v>
      </c>
      <c r="AA678" s="88">
        <f>SUMIF(月間集計シート!$M$71:$M$90,$G678,月間集計シート!Q$71:Q$90)*AA$2</f>
        <v>0</v>
      </c>
      <c r="AB678" s="88">
        <f>SUMIF(月間集計シート!$M$71:$M$90,$G678,月間集計シート!R$71:R$90)*AB$2</f>
        <v>0</v>
      </c>
      <c r="AC678" s="88">
        <f>SUMIF(月間集計シート!$M$71:$M$90,$G678,月間集計シート!S$71:S$90)*AC$2</f>
        <v>0</v>
      </c>
      <c r="AD678" s="88">
        <f>SUMIF(月間集計シート!$M$71:$M$90,$G678,月間集計シート!T$71:T$90)*AD$2</f>
        <v>0</v>
      </c>
      <c r="AE678" s="88">
        <f>SUMIF(月間集計シート!$M$92:$M$111,$G678,月間集計シート!N$92:N$111)*AE$2</f>
        <v>0</v>
      </c>
      <c r="AF678" s="88">
        <f>SUMIF(月間集計シート!$M$92:$M$111,$G678,月間集計シート!O$92:O$111)*AF$2</f>
        <v>0</v>
      </c>
      <c r="AG678" s="88">
        <f>SUMIF(月間集計シート!$M$92:$M$111,$G678,月間集計シート!P$92:P$111)*AG$2</f>
        <v>0</v>
      </c>
      <c r="AH678" s="88">
        <f>SUMIF(月間集計シート!$M$92:$M$111,$G678,月間集計シート!Q$92:Q$111)*AH$2</f>
        <v>0</v>
      </c>
      <c r="AI678" s="88">
        <f>SUMIF(月間集計シート!$M$92:$M$111,$G678,月間集計シート!R$92:R$111)*AI$2</f>
        <v>0</v>
      </c>
      <c r="AJ678" s="88">
        <f>SUMIF(月間集計シート!$M$92:$M$111,$G678,月間集計シート!S$92:S$111)*AJ$2</f>
        <v>0</v>
      </c>
      <c r="AK678" s="88">
        <f>SUMIF(月間集計シート!$M$92:$M$111,$G678,月間集計シート!T$92:T$111)*AK$2</f>
        <v>0</v>
      </c>
      <c r="AL678" s="88">
        <f>SUMIF(月間集計シート!$M$113:$M$132,$G678,月間集計シート!N$113:N$132)*AL$2</f>
        <v>0</v>
      </c>
      <c r="AM678" s="88">
        <f>SUMIF(月間集計シート!$M$113:$M$132,$G678,月間集計シート!O$113:O$132)*AM$2</f>
        <v>0</v>
      </c>
      <c r="AN678" s="88">
        <f>SUMIF(月間集計シート!$M$113:$M$132,$G678,月間集計シート!P$113:P$132)*AN$2</f>
        <v>0</v>
      </c>
      <c r="AO678" s="88">
        <f>SUMIF(月間集計シート!$M$113:$M$132,$G678,月間集計シート!Q$113:Q$132)*AO$2</f>
        <v>0</v>
      </c>
      <c r="AP678" s="88">
        <f>SUMIF(月間集計シート!$M$113:$M$132,$G678,月間集計シート!R$113:R$132)*AP$2</f>
        <v>0</v>
      </c>
      <c r="AQ678" s="88">
        <f>SUMIF(月間集計シート!$M$113:$M$132,$G678,月間集計シート!S$113:S$132)*AQ$2</f>
        <v>0</v>
      </c>
      <c r="AR678" s="88">
        <f>SUMIF(月間集計シート!$M$113:$M$132,$G678,月間集計シート!T$113:T$132)*AR$2</f>
        <v>0</v>
      </c>
      <c r="AS678" s="88">
        <f>SUMIF(月間集計シート!$M$134:$M$153,$G678,月間集計シート!N$134:N$153)*AS$2</f>
        <v>0</v>
      </c>
      <c r="AT678" s="88">
        <f>SUMIF(月間集計シート!$M$134:$M$153,$G678,月間集計シート!O$134:O$153)*AT$2</f>
        <v>0</v>
      </c>
      <c r="AU678" s="88">
        <f>SUMIF(月間集計シート!$M$134:$M$153,$G678,月間集計シート!P$134:P$153)*AU$2</f>
        <v>0</v>
      </c>
      <c r="AV678" s="88">
        <f>SUMIF(月間集計シート!$M$134:$M$153,$G678,月間集計シート!Q$134:Q$153)*AV$2</f>
        <v>0</v>
      </c>
      <c r="AW678" s="88">
        <f>SUMIF(月間集計シート!$M$134:$M$153,$G678,月間集計シート!R$134:R$153)*AW$2</f>
        <v>0</v>
      </c>
      <c r="AX678" s="88">
        <f>SUMIF(月間集計シート!$M$134:$M$153,$G678,月間集計シート!S$134:S$153)*AX$2</f>
        <v>0</v>
      </c>
      <c r="AY678" s="88">
        <f>SUMIF(月間集計シート!$M$134:$M$153,$G678,月間集計シート!T$134:T$153)*AY$2</f>
        <v>0</v>
      </c>
    </row>
    <row r="679" spans="1:51" ht="14.25" thickBot="1">
      <c r="A679">
        <v>8</v>
      </c>
      <c r="B679" s="120">
        <f t="shared" si="310"/>
        <v>0</v>
      </c>
      <c r="C679" s="120" t="str">
        <f t="shared" si="310"/>
        <v/>
      </c>
      <c r="D679" s="137"/>
      <c r="E679" s="150" t="str">
        <f>工種!A76</f>
        <v>90199</v>
      </c>
      <c r="F679" s="119" t="str">
        <f>工種!B76</f>
        <v>管理業務：その他</v>
      </c>
      <c r="G679" s="116" t="str">
        <f t="shared" si="307"/>
        <v>090199</v>
      </c>
      <c r="H679" s="88">
        <f t="shared" si="309"/>
        <v>0</v>
      </c>
      <c r="I679" s="132"/>
      <c r="J679" s="88">
        <f>SUMIF(月間集計シート!$M$29:$M$48,$G679,月間集計シート!N$29:N$48)*J$2</f>
        <v>0</v>
      </c>
      <c r="K679" s="88">
        <f>SUMIF(月間集計シート!$M$29:$M$48,$G679,月間集計シート!O$29:O$48)*K$2</f>
        <v>0</v>
      </c>
      <c r="L679" s="88">
        <f>SUMIF(月間集計シート!$M$29:$M$48,$G679,月間集計シート!P$29:P$48)*L$2</f>
        <v>0</v>
      </c>
      <c r="M679" s="88">
        <f>SUMIF(月間集計シート!$M$29:$M$48,$G679,月間集計シート!Q$29:Q$48)*M$2</f>
        <v>0</v>
      </c>
      <c r="N679" s="88">
        <f>SUMIF(月間集計シート!$M$29:$M$48,$G679,月間集計シート!R$29:R$48)*N$2</f>
        <v>0</v>
      </c>
      <c r="O679" s="88">
        <f>SUMIF(月間集計シート!$M$29:$M$48,$G679,月間集計シート!S$29:S$48)*O$2</f>
        <v>0</v>
      </c>
      <c r="P679" s="88">
        <f>SUMIF(月間集計シート!$M$29:$M$48,$G679,月間集計シート!T$29:T$48)*P$2</f>
        <v>0</v>
      </c>
      <c r="Q679" s="88">
        <f>SUMIF(月間集計シート!$M$50:$M$69,$G679,月間集計シート!N$50:N$69)*Q$2</f>
        <v>0</v>
      </c>
      <c r="R679" s="88">
        <f>SUMIF(月間集計シート!$M$50:$M$69,$G679,月間集計シート!O$50:O$69)*R$2</f>
        <v>0</v>
      </c>
      <c r="S679" s="88">
        <f>SUMIF(月間集計シート!$M$50:$M$69,$G679,月間集計シート!P$50:P$69)*S$2</f>
        <v>0</v>
      </c>
      <c r="T679" s="88">
        <f>SUMIF(月間集計シート!$M$50:$M$69,$G679,月間集計シート!Q$50:Q$69)*T$2</f>
        <v>0</v>
      </c>
      <c r="U679" s="88">
        <f>SUMIF(月間集計シート!$M$50:$M$69,$G679,月間集計シート!R$50:R$69)*U$2</f>
        <v>0</v>
      </c>
      <c r="V679" s="88">
        <f>SUMIF(月間集計シート!$M$50:$M$69,$G679,月間集計シート!S$50:S$69)*V$2</f>
        <v>0</v>
      </c>
      <c r="W679" s="88">
        <f>SUMIF(月間集計シート!$M$50:$M$69,$G679,月間集計シート!T$50:T$69)*W$2</f>
        <v>0</v>
      </c>
      <c r="X679" s="88">
        <f>SUMIF(月間集計シート!$M$71:$M$90,$G679,月間集計シート!N$71:N$90)*X$2</f>
        <v>0</v>
      </c>
      <c r="Y679" s="88">
        <f>SUMIF(月間集計シート!$M$71:$M$90,$G679,月間集計シート!O$71:O$90)*Y$2</f>
        <v>0</v>
      </c>
      <c r="Z679" s="88">
        <f>SUMIF(月間集計シート!$M$71:$M$90,$G679,月間集計シート!P$71:P$90)*Z$2</f>
        <v>0</v>
      </c>
      <c r="AA679" s="88">
        <f>SUMIF(月間集計シート!$M$71:$M$90,$G679,月間集計シート!Q$71:Q$90)*AA$2</f>
        <v>0</v>
      </c>
      <c r="AB679" s="88">
        <f>SUMIF(月間集計シート!$M$71:$M$90,$G679,月間集計シート!R$71:R$90)*AB$2</f>
        <v>0</v>
      </c>
      <c r="AC679" s="88">
        <f>SUMIF(月間集計シート!$M$71:$M$90,$G679,月間集計シート!S$71:S$90)*AC$2</f>
        <v>0</v>
      </c>
      <c r="AD679" s="88">
        <f>SUMIF(月間集計シート!$M$71:$M$90,$G679,月間集計シート!T$71:T$90)*AD$2</f>
        <v>0</v>
      </c>
      <c r="AE679" s="88">
        <f>SUMIF(月間集計シート!$M$92:$M$111,$G679,月間集計シート!N$92:N$111)*AE$2</f>
        <v>0</v>
      </c>
      <c r="AF679" s="88">
        <f>SUMIF(月間集計シート!$M$92:$M$111,$G679,月間集計シート!O$92:O$111)*AF$2</f>
        <v>0</v>
      </c>
      <c r="AG679" s="88">
        <f>SUMIF(月間集計シート!$M$92:$M$111,$G679,月間集計シート!P$92:P$111)*AG$2</f>
        <v>0</v>
      </c>
      <c r="AH679" s="88">
        <f>SUMIF(月間集計シート!$M$92:$M$111,$G679,月間集計シート!Q$92:Q$111)*AH$2</f>
        <v>0</v>
      </c>
      <c r="AI679" s="88">
        <f>SUMIF(月間集計シート!$M$92:$M$111,$G679,月間集計シート!R$92:R$111)*AI$2</f>
        <v>0</v>
      </c>
      <c r="AJ679" s="88">
        <f>SUMIF(月間集計シート!$M$92:$M$111,$G679,月間集計シート!S$92:S$111)*AJ$2</f>
        <v>0</v>
      </c>
      <c r="AK679" s="88">
        <f>SUMIF(月間集計シート!$M$92:$M$111,$G679,月間集計シート!T$92:T$111)*AK$2</f>
        <v>0</v>
      </c>
      <c r="AL679" s="88">
        <f>SUMIF(月間集計シート!$M$113:$M$132,$G679,月間集計シート!N$113:N$132)*AL$2</f>
        <v>0</v>
      </c>
      <c r="AM679" s="88">
        <f>SUMIF(月間集計シート!$M$113:$M$132,$G679,月間集計シート!O$113:O$132)*AM$2</f>
        <v>0</v>
      </c>
      <c r="AN679" s="88">
        <f>SUMIF(月間集計シート!$M$113:$M$132,$G679,月間集計シート!P$113:P$132)*AN$2</f>
        <v>0</v>
      </c>
      <c r="AO679" s="88">
        <f>SUMIF(月間集計シート!$M$113:$M$132,$G679,月間集計シート!Q$113:Q$132)*AO$2</f>
        <v>0</v>
      </c>
      <c r="AP679" s="88">
        <f>SUMIF(月間集計シート!$M$113:$M$132,$G679,月間集計シート!R$113:R$132)*AP$2</f>
        <v>0</v>
      </c>
      <c r="AQ679" s="88">
        <f>SUMIF(月間集計シート!$M$113:$M$132,$G679,月間集計シート!S$113:S$132)*AQ$2</f>
        <v>0</v>
      </c>
      <c r="AR679" s="88">
        <f>SUMIF(月間集計シート!$M$113:$M$132,$G679,月間集計シート!T$113:T$132)*AR$2</f>
        <v>0</v>
      </c>
      <c r="AS679" s="88">
        <f>SUMIF(月間集計シート!$M$134:$M$153,$G679,月間集計シート!N$134:N$153)*AS$2</f>
        <v>0</v>
      </c>
      <c r="AT679" s="88">
        <f>SUMIF(月間集計シート!$M$134:$M$153,$G679,月間集計シート!O$134:O$153)*AT$2</f>
        <v>0</v>
      </c>
      <c r="AU679" s="88">
        <f>SUMIF(月間集計シート!$M$134:$M$153,$G679,月間集計シート!P$134:P$153)*AU$2</f>
        <v>0</v>
      </c>
      <c r="AV679" s="88">
        <f>SUMIF(月間集計シート!$M$134:$M$153,$G679,月間集計シート!Q$134:Q$153)*AV$2</f>
        <v>0</v>
      </c>
      <c r="AW679" s="88">
        <f>SUMIF(月間集計シート!$M$134:$M$153,$G679,月間集計シート!R$134:R$153)*AW$2</f>
        <v>0</v>
      </c>
      <c r="AX679" s="88">
        <f>SUMIF(月間集計シート!$M$134:$M$153,$G679,月間集計シート!S$134:S$153)*AX$2</f>
        <v>0</v>
      </c>
      <c r="AY679" s="88">
        <f>SUMIF(月間集計シート!$M$134:$M$153,$G679,月間集計シート!T$134:T$153)*AY$2</f>
        <v>0</v>
      </c>
    </row>
    <row r="680" spans="1:51" ht="14.25" thickBot="1">
      <c r="A680">
        <v>8</v>
      </c>
      <c r="B680" s="120">
        <f t="shared" si="310"/>
        <v>0</v>
      </c>
      <c r="C680" s="120" t="str">
        <f t="shared" si="310"/>
        <v/>
      </c>
      <c r="D680" s="137"/>
      <c r="E680" s="150">
        <f>工種!A77</f>
        <v>99102</v>
      </c>
      <c r="F680" s="119" t="str">
        <f>工種!B77</f>
        <v>間接業務：業務環境管理（PCｾｯﾄｱｯﾌﾟ等）</v>
      </c>
      <c r="G680" s="116" t="str">
        <f t="shared" si="307"/>
        <v>099102</v>
      </c>
      <c r="H680" s="88">
        <f t="shared" si="309"/>
        <v>0</v>
      </c>
      <c r="I680" s="132"/>
      <c r="J680" s="88">
        <f>SUMIF(月間集計シート!$M$29:$M$48,$G680,月間集計シート!N$29:N$48)*J$2</f>
        <v>0</v>
      </c>
      <c r="K680" s="88">
        <f>SUMIF(月間集計シート!$M$29:$M$48,$G680,月間集計シート!O$29:O$48)*K$2</f>
        <v>0</v>
      </c>
      <c r="L680" s="88">
        <f>SUMIF(月間集計シート!$M$29:$M$48,$G680,月間集計シート!P$29:P$48)*L$2</f>
        <v>0</v>
      </c>
      <c r="M680" s="88">
        <f>SUMIF(月間集計シート!$M$29:$M$48,$G680,月間集計シート!Q$29:Q$48)*M$2</f>
        <v>0</v>
      </c>
      <c r="N680" s="88">
        <f>SUMIF(月間集計シート!$M$29:$M$48,$G680,月間集計シート!R$29:R$48)*N$2</f>
        <v>0</v>
      </c>
      <c r="O680" s="88">
        <f>SUMIF(月間集計シート!$M$29:$M$48,$G680,月間集計シート!S$29:S$48)*O$2</f>
        <v>0</v>
      </c>
      <c r="P680" s="88">
        <f>SUMIF(月間集計シート!$M$29:$M$48,$G680,月間集計シート!T$29:T$48)*P$2</f>
        <v>0</v>
      </c>
      <c r="Q680" s="88">
        <f>SUMIF(月間集計シート!$M$50:$M$69,$G680,月間集計シート!N$50:N$69)*Q$2</f>
        <v>0</v>
      </c>
      <c r="R680" s="88">
        <f>SUMIF(月間集計シート!$M$50:$M$69,$G680,月間集計シート!O$50:O$69)*R$2</f>
        <v>0</v>
      </c>
      <c r="S680" s="88">
        <f>SUMIF(月間集計シート!$M$50:$M$69,$G680,月間集計シート!P$50:P$69)*S$2</f>
        <v>0</v>
      </c>
      <c r="T680" s="88">
        <f>SUMIF(月間集計シート!$M$50:$M$69,$G680,月間集計シート!Q$50:Q$69)*T$2</f>
        <v>0</v>
      </c>
      <c r="U680" s="88">
        <f>SUMIF(月間集計シート!$M$50:$M$69,$G680,月間集計シート!R$50:R$69)*U$2</f>
        <v>0</v>
      </c>
      <c r="V680" s="88">
        <f>SUMIF(月間集計シート!$M$50:$M$69,$G680,月間集計シート!S$50:S$69)*V$2</f>
        <v>0</v>
      </c>
      <c r="W680" s="88">
        <f>SUMIF(月間集計シート!$M$50:$M$69,$G680,月間集計シート!T$50:T$69)*W$2</f>
        <v>0</v>
      </c>
      <c r="X680" s="88">
        <f>SUMIF(月間集計シート!$M$71:$M$90,$G680,月間集計シート!N$71:N$90)*X$2</f>
        <v>0</v>
      </c>
      <c r="Y680" s="88">
        <f>SUMIF(月間集計シート!$M$71:$M$90,$G680,月間集計シート!O$71:O$90)*Y$2</f>
        <v>0</v>
      </c>
      <c r="Z680" s="88">
        <f>SUMIF(月間集計シート!$M$71:$M$90,$G680,月間集計シート!P$71:P$90)*Z$2</f>
        <v>0</v>
      </c>
      <c r="AA680" s="88">
        <f>SUMIF(月間集計シート!$M$71:$M$90,$G680,月間集計シート!Q$71:Q$90)*AA$2</f>
        <v>0</v>
      </c>
      <c r="AB680" s="88">
        <f>SUMIF(月間集計シート!$M$71:$M$90,$G680,月間集計シート!R$71:R$90)*AB$2</f>
        <v>0</v>
      </c>
      <c r="AC680" s="88">
        <f>SUMIF(月間集計シート!$M$71:$M$90,$G680,月間集計シート!S$71:S$90)*AC$2</f>
        <v>0</v>
      </c>
      <c r="AD680" s="88">
        <f>SUMIF(月間集計シート!$M$71:$M$90,$G680,月間集計シート!T$71:T$90)*AD$2</f>
        <v>0</v>
      </c>
      <c r="AE680" s="88">
        <f>SUMIF(月間集計シート!$M$92:$M$111,$G680,月間集計シート!N$92:N$111)*AE$2</f>
        <v>0</v>
      </c>
      <c r="AF680" s="88">
        <f>SUMIF(月間集計シート!$M$92:$M$111,$G680,月間集計シート!O$92:O$111)*AF$2</f>
        <v>0</v>
      </c>
      <c r="AG680" s="88">
        <f>SUMIF(月間集計シート!$M$92:$M$111,$G680,月間集計シート!P$92:P$111)*AG$2</f>
        <v>0</v>
      </c>
      <c r="AH680" s="88">
        <f>SUMIF(月間集計シート!$M$92:$M$111,$G680,月間集計シート!Q$92:Q$111)*AH$2</f>
        <v>0</v>
      </c>
      <c r="AI680" s="88">
        <f>SUMIF(月間集計シート!$M$92:$M$111,$G680,月間集計シート!R$92:R$111)*AI$2</f>
        <v>0</v>
      </c>
      <c r="AJ680" s="88">
        <f>SUMIF(月間集計シート!$M$92:$M$111,$G680,月間集計シート!S$92:S$111)*AJ$2</f>
        <v>0</v>
      </c>
      <c r="AK680" s="88">
        <f>SUMIF(月間集計シート!$M$92:$M$111,$G680,月間集計シート!T$92:T$111)*AK$2</f>
        <v>0</v>
      </c>
      <c r="AL680" s="88">
        <f>SUMIF(月間集計シート!$M$113:$M$132,$G680,月間集計シート!N$113:N$132)*AL$2</f>
        <v>0</v>
      </c>
      <c r="AM680" s="88">
        <f>SUMIF(月間集計シート!$M$113:$M$132,$G680,月間集計シート!O$113:O$132)*AM$2</f>
        <v>0</v>
      </c>
      <c r="AN680" s="88">
        <f>SUMIF(月間集計シート!$M$113:$M$132,$G680,月間集計シート!P$113:P$132)*AN$2</f>
        <v>0</v>
      </c>
      <c r="AO680" s="88">
        <f>SUMIF(月間集計シート!$M$113:$M$132,$G680,月間集計シート!Q$113:Q$132)*AO$2</f>
        <v>0</v>
      </c>
      <c r="AP680" s="88">
        <f>SUMIF(月間集計シート!$M$113:$M$132,$G680,月間集計シート!R$113:R$132)*AP$2</f>
        <v>0</v>
      </c>
      <c r="AQ680" s="88">
        <f>SUMIF(月間集計シート!$M$113:$M$132,$G680,月間集計シート!S$113:S$132)*AQ$2</f>
        <v>0</v>
      </c>
      <c r="AR680" s="88">
        <f>SUMIF(月間集計シート!$M$113:$M$132,$G680,月間集計シート!T$113:T$132)*AR$2</f>
        <v>0</v>
      </c>
      <c r="AS680" s="88">
        <f>SUMIF(月間集計シート!$M$134:$M$153,$G680,月間集計シート!N$134:N$153)*AS$2</f>
        <v>0</v>
      </c>
      <c r="AT680" s="88">
        <f>SUMIF(月間集計シート!$M$134:$M$153,$G680,月間集計シート!O$134:O$153)*AT$2</f>
        <v>0</v>
      </c>
      <c r="AU680" s="88">
        <f>SUMIF(月間集計シート!$M$134:$M$153,$G680,月間集計シート!P$134:P$153)*AU$2</f>
        <v>0</v>
      </c>
      <c r="AV680" s="88">
        <f>SUMIF(月間集計シート!$M$134:$M$153,$G680,月間集計シート!Q$134:Q$153)*AV$2</f>
        <v>0</v>
      </c>
      <c r="AW680" s="88">
        <f>SUMIF(月間集計シート!$M$134:$M$153,$G680,月間集計シート!R$134:R$153)*AW$2</f>
        <v>0</v>
      </c>
      <c r="AX680" s="88">
        <f>SUMIF(月間集計シート!$M$134:$M$153,$G680,月間集計シート!S$134:S$153)*AX$2</f>
        <v>0</v>
      </c>
      <c r="AY680" s="88">
        <f>SUMIF(月間集計シート!$M$134:$M$153,$G680,月間集計シート!T$134:T$153)*AY$2</f>
        <v>0</v>
      </c>
    </row>
    <row r="681" spans="1:51" ht="14.25" thickBot="1">
      <c r="A681">
        <v>8</v>
      </c>
      <c r="B681" s="120">
        <f t="shared" si="310"/>
        <v>0</v>
      </c>
      <c r="C681" s="120" t="str">
        <f t="shared" si="310"/>
        <v/>
      </c>
      <c r="D681" s="137"/>
      <c r="E681" s="150" t="str">
        <f>工種!A78</f>
        <v>99103</v>
      </c>
      <c r="F681" s="119" t="str">
        <f>工種!B78</f>
        <v>間接業務：標準化・業務改善作業（開発以外）</v>
      </c>
      <c r="G681" s="116" t="str">
        <f t="shared" si="307"/>
        <v>099103</v>
      </c>
      <c r="H681" s="88">
        <f t="shared" si="309"/>
        <v>0</v>
      </c>
      <c r="I681" s="132"/>
      <c r="J681" s="88">
        <f>SUMIF(月間集計シート!$M$29:$M$48,$G681,月間集計シート!N$29:N$48)*J$2</f>
        <v>0</v>
      </c>
      <c r="K681" s="88">
        <f>SUMIF(月間集計シート!$M$29:$M$48,$G681,月間集計シート!O$29:O$48)*K$2</f>
        <v>0</v>
      </c>
      <c r="L681" s="88">
        <f>SUMIF(月間集計シート!$M$29:$M$48,$G681,月間集計シート!P$29:P$48)*L$2</f>
        <v>0</v>
      </c>
      <c r="M681" s="88">
        <f>SUMIF(月間集計シート!$M$29:$M$48,$G681,月間集計シート!Q$29:Q$48)*M$2</f>
        <v>0</v>
      </c>
      <c r="N681" s="88">
        <f>SUMIF(月間集計シート!$M$29:$M$48,$G681,月間集計シート!R$29:R$48)*N$2</f>
        <v>0</v>
      </c>
      <c r="O681" s="88">
        <f>SUMIF(月間集計シート!$M$29:$M$48,$G681,月間集計シート!S$29:S$48)*O$2</f>
        <v>0</v>
      </c>
      <c r="P681" s="88">
        <f>SUMIF(月間集計シート!$M$29:$M$48,$G681,月間集計シート!T$29:T$48)*P$2</f>
        <v>0</v>
      </c>
      <c r="Q681" s="88">
        <f>SUMIF(月間集計シート!$M$50:$M$69,$G681,月間集計シート!N$50:N$69)*Q$2</f>
        <v>0</v>
      </c>
      <c r="R681" s="88">
        <f>SUMIF(月間集計シート!$M$50:$M$69,$G681,月間集計シート!O$50:O$69)*R$2</f>
        <v>0</v>
      </c>
      <c r="S681" s="88">
        <f>SUMIF(月間集計シート!$M$50:$M$69,$G681,月間集計シート!P$50:P$69)*S$2</f>
        <v>0</v>
      </c>
      <c r="T681" s="88">
        <f>SUMIF(月間集計シート!$M$50:$M$69,$G681,月間集計シート!Q$50:Q$69)*T$2</f>
        <v>0</v>
      </c>
      <c r="U681" s="88">
        <f>SUMIF(月間集計シート!$M$50:$M$69,$G681,月間集計シート!R$50:R$69)*U$2</f>
        <v>0</v>
      </c>
      <c r="V681" s="88">
        <f>SUMIF(月間集計シート!$M$50:$M$69,$G681,月間集計シート!S$50:S$69)*V$2</f>
        <v>0</v>
      </c>
      <c r="W681" s="88">
        <f>SUMIF(月間集計シート!$M$50:$M$69,$G681,月間集計シート!T$50:T$69)*W$2</f>
        <v>0</v>
      </c>
      <c r="X681" s="88">
        <f>SUMIF(月間集計シート!$M$71:$M$90,$G681,月間集計シート!N$71:N$90)*X$2</f>
        <v>0</v>
      </c>
      <c r="Y681" s="88">
        <f>SUMIF(月間集計シート!$M$71:$M$90,$G681,月間集計シート!O$71:O$90)*Y$2</f>
        <v>0</v>
      </c>
      <c r="Z681" s="88">
        <f>SUMIF(月間集計シート!$M$71:$M$90,$G681,月間集計シート!P$71:P$90)*Z$2</f>
        <v>0</v>
      </c>
      <c r="AA681" s="88">
        <f>SUMIF(月間集計シート!$M$71:$M$90,$G681,月間集計シート!Q$71:Q$90)*AA$2</f>
        <v>0</v>
      </c>
      <c r="AB681" s="88">
        <f>SUMIF(月間集計シート!$M$71:$M$90,$G681,月間集計シート!R$71:R$90)*AB$2</f>
        <v>0</v>
      </c>
      <c r="AC681" s="88">
        <f>SUMIF(月間集計シート!$M$71:$M$90,$G681,月間集計シート!S$71:S$90)*AC$2</f>
        <v>0</v>
      </c>
      <c r="AD681" s="88">
        <f>SUMIF(月間集計シート!$M$71:$M$90,$G681,月間集計シート!T$71:T$90)*AD$2</f>
        <v>0</v>
      </c>
      <c r="AE681" s="88">
        <f>SUMIF(月間集計シート!$M$92:$M$111,$G681,月間集計シート!N$92:N$111)*AE$2</f>
        <v>0</v>
      </c>
      <c r="AF681" s="88">
        <f>SUMIF(月間集計シート!$M$92:$M$111,$G681,月間集計シート!O$92:O$111)*AF$2</f>
        <v>0</v>
      </c>
      <c r="AG681" s="88">
        <f>SUMIF(月間集計シート!$M$92:$M$111,$G681,月間集計シート!P$92:P$111)*AG$2</f>
        <v>0</v>
      </c>
      <c r="AH681" s="88">
        <f>SUMIF(月間集計シート!$M$92:$M$111,$G681,月間集計シート!Q$92:Q$111)*AH$2</f>
        <v>0</v>
      </c>
      <c r="AI681" s="88">
        <f>SUMIF(月間集計シート!$M$92:$M$111,$G681,月間集計シート!R$92:R$111)*AI$2</f>
        <v>0</v>
      </c>
      <c r="AJ681" s="88">
        <f>SUMIF(月間集計シート!$M$92:$M$111,$G681,月間集計シート!S$92:S$111)*AJ$2</f>
        <v>0</v>
      </c>
      <c r="AK681" s="88">
        <f>SUMIF(月間集計シート!$M$92:$M$111,$G681,月間集計シート!T$92:T$111)*AK$2</f>
        <v>0</v>
      </c>
      <c r="AL681" s="88">
        <f>SUMIF(月間集計シート!$M$113:$M$132,$G681,月間集計シート!N$113:N$132)*AL$2</f>
        <v>0</v>
      </c>
      <c r="AM681" s="88">
        <f>SUMIF(月間集計シート!$M$113:$M$132,$G681,月間集計シート!O$113:O$132)*AM$2</f>
        <v>0</v>
      </c>
      <c r="AN681" s="88">
        <f>SUMIF(月間集計シート!$M$113:$M$132,$G681,月間集計シート!P$113:P$132)*AN$2</f>
        <v>0</v>
      </c>
      <c r="AO681" s="88">
        <f>SUMIF(月間集計シート!$M$113:$M$132,$G681,月間集計シート!Q$113:Q$132)*AO$2</f>
        <v>0</v>
      </c>
      <c r="AP681" s="88">
        <f>SUMIF(月間集計シート!$M$113:$M$132,$G681,月間集計シート!R$113:R$132)*AP$2</f>
        <v>0</v>
      </c>
      <c r="AQ681" s="88">
        <f>SUMIF(月間集計シート!$M$113:$M$132,$G681,月間集計シート!S$113:S$132)*AQ$2</f>
        <v>0</v>
      </c>
      <c r="AR681" s="88">
        <f>SUMIF(月間集計シート!$M$113:$M$132,$G681,月間集計シート!T$113:T$132)*AR$2</f>
        <v>0</v>
      </c>
      <c r="AS681" s="88">
        <f>SUMIF(月間集計シート!$M$134:$M$153,$G681,月間集計シート!N$134:N$153)*AS$2</f>
        <v>0</v>
      </c>
      <c r="AT681" s="88">
        <f>SUMIF(月間集計シート!$M$134:$M$153,$G681,月間集計シート!O$134:O$153)*AT$2</f>
        <v>0</v>
      </c>
      <c r="AU681" s="88">
        <f>SUMIF(月間集計シート!$M$134:$M$153,$G681,月間集計シート!P$134:P$153)*AU$2</f>
        <v>0</v>
      </c>
      <c r="AV681" s="88">
        <f>SUMIF(月間集計シート!$M$134:$M$153,$G681,月間集計シート!Q$134:Q$153)*AV$2</f>
        <v>0</v>
      </c>
      <c r="AW681" s="88">
        <f>SUMIF(月間集計シート!$M$134:$M$153,$G681,月間集計シート!R$134:R$153)*AW$2</f>
        <v>0</v>
      </c>
      <c r="AX681" s="88">
        <f>SUMIF(月間集計シート!$M$134:$M$153,$G681,月間集計シート!S$134:S$153)*AX$2</f>
        <v>0</v>
      </c>
      <c r="AY681" s="88">
        <f>SUMIF(月間集計シート!$M$134:$M$153,$G681,月間集計シート!T$134:T$153)*AY$2</f>
        <v>0</v>
      </c>
    </row>
    <row r="682" spans="1:51" ht="14.25" thickBot="1">
      <c r="A682">
        <v>8</v>
      </c>
      <c r="B682" s="120">
        <f t="shared" si="310"/>
        <v>0</v>
      </c>
      <c r="C682" s="120" t="str">
        <f t="shared" si="310"/>
        <v/>
      </c>
      <c r="D682" s="137"/>
      <c r="E682" s="150" t="str">
        <f>工種!A79</f>
        <v>99104</v>
      </c>
      <c r="F682" s="119" t="str">
        <f>工種!B79</f>
        <v>間接業務：業務の引継ぎ（開発以外）</v>
      </c>
      <c r="G682" s="116" t="str">
        <f t="shared" si="307"/>
        <v>099104</v>
      </c>
      <c r="H682" s="88">
        <f t="shared" si="309"/>
        <v>0</v>
      </c>
      <c r="I682" s="132"/>
      <c r="J682" s="88">
        <f>SUMIF(月間集計シート!$M$29:$M$48,$G682,月間集計シート!N$29:N$48)*J$2</f>
        <v>0</v>
      </c>
      <c r="K682" s="88">
        <f>SUMIF(月間集計シート!$M$29:$M$48,$G682,月間集計シート!O$29:O$48)*K$2</f>
        <v>0</v>
      </c>
      <c r="L682" s="88">
        <f>SUMIF(月間集計シート!$M$29:$M$48,$G682,月間集計シート!P$29:P$48)*L$2</f>
        <v>0</v>
      </c>
      <c r="M682" s="88">
        <f>SUMIF(月間集計シート!$M$29:$M$48,$G682,月間集計シート!Q$29:Q$48)*M$2</f>
        <v>0</v>
      </c>
      <c r="N682" s="88">
        <f>SUMIF(月間集計シート!$M$29:$M$48,$G682,月間集計シート!R$29:R$48)*N$2</f>
        <v>0</v>
      </c>
      <c r="O682" s="88">
        <f>SUMIF(月間集計シート!$M$29:$M$48,$G682,月間集計シート!S$29:S$48)*O$2</f>
        <v>0</v>
      </c>
      <c r="P682" s="88">
        <f>SUMIF(月間集計シート!$M$29:$M$48,$G682,月間集計シート!T$29:T$48)*P$2</f>
        <v>0</v>
      </c>
      <c r="Q682" s="88">
        <f>SUMIF(月間集計シート!$M$50:$M$69,$G682,月間集計シート!N$50:N$69)*Q$2</f>
        <v>0</v>
      </c>
      <c r="R682" s="88">
        <f>SUMIF(月間集計シート!$M$50:$M$69,$G682,月間集計シート!O$50:O$69)*R$2</f>
        <v>0</v>
      </c>
      <c r="S682" s="88">
        <f>SUMIF(月間集計シート!$M$50:$M$69,$G682,月間集計シート!P$50:P$69)*S$2</f>
        <v>0</v>
      </c>
      <c r="T682" s="88">
        <f>SUMIF(月間集計シート!$M$50:$M$69,$G682,月間集計シート!Q$50:Q$69)*T$2</f>
        <v>0</v>
      </c>
      <c r="U682" s="88">
        <f>SUMIF(月間集計シート!$M$50:$M$69,$G682,月間集計シート!R$50:R$69)*U$2</f>
        <v>0</v>
      </c>
      <c r="V682" s="88">
        <f>SUMIF(月間集計シート!$M$50:$M$69,$G682,月間集計シート!S$50:S$69)*V$2</f>
        <v>0</v>
      </c>
      <c r="W682" s="88">
        <f>SUMIF(月間集計シート!$M$50:$M$69,$G682,月間集計シート!T$50:T$69)*W$2</f>
        <v>0</v>
      </c>
      <c r="X682" s="88">
        <f>SUMIF(月間集計シート!$M$71:$M$90,$G682,月間集計シート!N$71:N$90)*X$2</f>
        <v>0</v>
      </c>
      <c r="Y682" s="88">
        <f>SUMIF(月間集計シート!$M$71:$M$90,$G682,月間集計シート!O$71:O$90)*Y$2</f>
        <v>0</v>
      </c>
      <c r="Z682" s="88">
        <f>SUMIF(月間集計シート!$M$71:$M$90,$G682,月間集計シート!P$71:P$90)*Z$2</f>
        <v>0</v>
      </c>
      <c r="AA682" s="88">
        <f>SUMIF(月間集計シート!$M$71:$M$90,$G682,月間集計シート!Q$71:Q$90)*AA$2</f>
        <v>0</v>
      </c>
      <c r="AB682" s="88">
        <f>SUMIF(月間集計シート!$M$71:$M$90,$G682,月間集計シート!R$71:R$90)*AB$2</f>
        <v>0</v>
      </c>
      <c r="AC682" s="88">
        <f>SUMIF(月間集計シート!$M$71:$M$90,$G682,月間集計シート!S$71:S$90)*AC$2</f>
        <v>0</v>
      </c>
      <c r="AD682" s="88">
        <f>SUMIF(月間集計シート!$M$71:$M$90,$G682,月間集計シート!T$71:T$90)*AD$2</f>
        <v>0</v>
      </c>
      <c r="AE682" s="88">
        <f>SUMIF(月間集計シート!$M$92:$M$111,$G682,月間集計シート!N$92:N$111)*AE$2</f>
        <v>0</v>
      </c>
      <c r="AF682" s="88">
        <f>SUMIF(月間集計シート!$M$92:$M$111,$G682,月間集計シート!O$92:O$111)*AF$2</f>
        <v>0</v>
      </c>
      <c r="AG682" s="88">
        <f>SUMIF(月間集計シート!$M$92:$M$111,$G682,月間集計シート!P$92:P$111)*AG$2</f>
        <v>0</v>
      </c>
      <c r="AH682" s="88">
        <f>SUMIF(月間集計シート!$M$92:$M$111,$G682,月間集計シート!Q$92:Q$111)*AH$2</f>
        <v>0</v>
      </c>
      <c r="AI682" s="88">
        <f>SUMIF(月間集計シート!$M$92:$M$111,$G682,月間集計シート!R$92:R$111)*AI$2</f>
        <v>0</v>
      </c>
      <c r="AJ682" s="88">
        <f>SUMIF(月間集計シート!$M$92:$M$111,$G682,月間集計シート!S$92:S$111)*AJ$2</f>
        <v>0</v>
      </c>
      <c r="AK682" s="88">
        <f>SUMIF(月間集計シート!$M$92:$M$111,$G682,月間集計シート!T$92:T$111)*AK$2</f>
        <v>0</v>
      </c>
      <c r="AL682" s="88">
        <f>SUMIF(月間集計シート!$M$113:$M$132,$G682,月間集計シート!N$113:N$132)*AL$2</f>
        <v>0</v>
      </c>
      <c r="AM682" s="88">
        <f>SUMIF(月間集計シート!$M$113:$M$132,$G682,月間集計シート!O$113:O$132)*AM$2</f>
        <v>0</v>
      </c>
      <c r="AN682" s="88">
        <f>SUMIF(月間集計シート!$M$113:$M$132,$G682,月間集計シート!P$113:P$132)*AN$2</f>
        <v>0</v>
      </c>
      <c r="AO682" s="88">
        <f>SUMIF(月間集計シート!$M$113:$M$132,$G682,月間集計シート!Q$113:Q$132)*AO$2</f>
        <v>0</v>
      </c>
      <c r="AP682" s="88">
        <f>SUMIF(月間集計シート!$M$113:$M$132,$G682,月間集計シート!R$113:R$132)*AP$2</f>
        <v>0</v>
      </c>
      <c r="AQ682" s="88">
        <f>SUMIF(月間集計シート!$M$113:$M$132,$G682,月間集計シート!S$113:S$132)*AQ$2</f>
        <v>0</v>
      </c>
      <c r="AR682" s="88">
        <f>SUMIF(月間集計シート!$M$113:$M$132,$G682,月間集計シート!T$113:T$132)*AR$2</f>
        <v>0</v>
      </c>
      <c r="AS682" s="88">
        <f>SUMIF(月間集計シート!$M$134:$M$153,$G682,月間集計シート!N$134:N$153)*AS$2</f>
        <v>0</v>
      </c>
      <c r="AT682" s="88">
        <f>SUMIF(月間集計シート!$M$134:$M$153,$G682,月間集計シート!O$134:O$153)*AT$2</f>
        <v>0</v>
      </c>
      <c r="AU682" s="88">
        <f>SUMIF(月間集計シート!$M$134:$M$153,$G682,月間集計シート!P$134:P$153)*AU$2</f>
        <v>0</v>
      </c>
      <c r="AV682" s="88">
        <f>SUMIF(月間集計シート!$M$134:$M$153,$G682,月間集計シート!Q$134:Q$153)*AV$2</f>
        <v>0</v>
      </c>
      <c r="AW682" s="88">
        <f>SUMIF(月間集計シート!$M$134:$M$153,$G682,月間集計シート!R$134:R$153)*AW$2</f>
        <v>0</v>
      </c>
      <c r="AX682" s="88">
        <f>SUMIF(月間集計シート!$M$134:$M$153,$G682,月間集計シート!S$134:S$153)*AX$2</f>
        <v>0</v>
      </c>
      <c r="AY682" s="88">
        <f>SUMIF(月間集計シート!$M$134:$M$153,$G682,月間集計シート!T$134:T$153)*AY$2</f>
        <v>0</v>
      </c>
    </row>
    <row r="683" spans="1:51" ht="14.25" thickBot="1">
      <c r="A683">
        <v>8</v>
      </c>
      <c r="B683" s="120">
        <f t="shared" si="310"/>
        <v>0</v>
      </c>
      <c r="C683" s="120" t="str">
        <f t="shared" si="310"/>
        <v/>
      </c>
      <c r="D683" s="137"/>
      <c r="E683" s="150" t="str">
        <f>工種!A80</f>
        <v>99106</v>
      </c>
      <c r="F683" s="119" t="str">
        <f>工種!B80</f>
        <v>間接業務：研修・学習</v>
      </c>
      <c r="G683" s="116" t="str">
        <f t="shared" si="307"/>
        <v>099106</v>
      </c>
      <c r="H683" s="88">
        <f t="shared" si="309"/>
        <v>0</v>
      </c>
      <c r="I683" s="132"/>
      <c r="J683" s="88">
        <f>SUMIF(月間集計シート!$M$29:$M$48,$G683,月間集計シート!N$29:N$48)*J$2</f>
        <v>0</v>
      </c>
      <c r="K683" s="88">
        <f>SUMIF(月間集計シート!$M$29:$M$48,$G683,月間集計シート!O$29:O$48)*K$2</f>
        <v>0</v>
      </c>
      <c r="L683" s="88">
        <f>SUMIF(月間集計シート!$M$29:$M$48,$G683,月間集計シート!P$29:P$48)*L$2</f>
        <v>0</v>
      </c>
      <c r="M683" s="88">
        <f>SUMIF(月間集計シート!$M$29:$M$48,$G683,月間集計シート!Q$29:Q$48)*M$2</f>
        <v>0</v>
      </c>
      <c r="N683" s="88">
        <f>SUMIF(月間集計シート!$M$29:$M$48,$G683,月間集計シート!R$29:R$48)*N$2</f>
        <v>0</v>
      </c>
      <c r="O683" s="88">
        <f>SUMIF(月間集計シート!$M$29:$M$48,$G683,月間集計シート!S$29:S$48)*O$2</f>
        <v>0</v>
      </c>
      <c r="P683" s="88">
        <f>SUMIF(月間集計シート!$M$29:$M$48,$G683,月間集計シート!T$29:T$48)*P$2</f>
        <v>0</v>
      </c>
      <c r="Q683" s="88">
        <f>SUMIF(月間集計シート!$M$50:$M$69,$G683,月間集計シート!N$50:N$69)*Q$2</f>
        <v>0</v>
      </c>
      <c r="R683" s="88">
        <f>SUMIF(月間集計シート!$M$50:$M$69,$G683,月間集計シート!O$50:O$69)*R$2</f>
        <v>0</v>
      </c>
      <c r="S683" s="88">
        <f>SUMIF(月間集計シート!$M$50:$M$69,$G683,月間集計シート!P$50:P$69)*S$2</f>
        <v>0</v>
      </c>
      <c r="T683" s="88">
        <f>SUMIF(月間集計シート!$M$50:$M$69,$G683,月間集計シート!Q$50:Q$69)*T$2</f>
        <v>0</v>
      </c>
      <c r="U683" s="88">
        <f>SUMIF(月間集計シート!$M$50:$M$69,$G683,月間集計シート!R$50:R$69)*U$2</f>
        <v>0</v>
      </c>
      <c r="V683" s="88">
        <f>SUMIF(月間集計シート!$M$50:$M$69,$G683,月間集計シート!S$50:S$69)*V$2</f>
        <v>0</v>
      </c>
      <c r="W683" s="88">
        <f>SUMIF(月間集計シート!$M$50:$M$69,$G683,月間集計シート!T$50:T$69)*W$2</f>
        <v>0</v>
      </c>
      <c r="X683" s="88">
        <f>SUMIF(月間集計シート!$M$71:$M$90,$G683,月間集計シート!N$71:N$90)*X$2</f>
        <v>0</v>
      </c>
      <c r="Y683" s="88">
        <f>SUMIF(月間集計シート!$M$71:$M$90,$G683,月間集計シート!O$71:O$90)*Y$2</f>
        <v>0</v>
      </c>
      <c r="Z683" s="88">
        <f>SUMIF(月間集計シート!$M$71:$M$90,$G683,月間集計シート!P$71:P$90)*Z$2</f>
        <v>0</v>
      </c>
      <c r="AA683" s="88">
        <f>SUMIF(月間集計シート!$M$71:$M$90,$G683,月間集計シート!Q$71:Q$90)*AA$2</f>
        <v>0</v>
      </c>
      <c r="AB683" s="88">
        <f>SUMIF(月間集計シート!$M$71:$M$90,$G683,月間集計シート!R$71:R$90)*AB$2</f>
        <v>0</v>
      </c>
      <c r="AC683" s="88">
        <f>SUMIF(月間集計シート!$M$71:$M$90,$G683,月間集計シート!S$71:S$90)*AC$2</f>
        <v>0</v>
      </c>
      <c r="AD683" s="88">
        <f>SUMIF(月間集計シート!$M$71:$M$90,$G683,月間集計シート!T$71:T$90)*AD$2</f>
        <v>0</v>
      </c>
      <c r="AE683" s="88">
        <f>SUMIF(月間集計シート!$M$92:$M$111,$G683,月間集計シート!N$92:N$111)*AE$2</f>
        <v>0</v>
      </c>
      <c r="AF683" s="88">
        <f>SUMIF(月間集計シート!$M$92:$M$111,$G683,月間集計シート!O$92:O$111)*AF$2</f>
        <v>0</v>
      </c>
      <c r="AG683" s="88">
        <f>SUMIF(月間集計シート!$M$92:$M$111,$G683,月間集計シート!P$92:P$111)*AG$2</f>
        <v>0</v>
      </c>
      <c r="AH683" s="88">
        <f>SUMIF(月間集計シート!$M$92:$M$111,$G683,月間集計シート!Q$92:Q$111)*AH$2</f>
        <v>0</v>
      </c>
      <c r="AI683" s="88">
        <f>SUMIF(月間集計シート!$M$92:$M$111,$G683,月間集計シート!R$92:R$111)*AI$2</f>
        <v>0</v>
      </c>
      <c r="AJ683" s="88">
        <f>SUMIF(月間集計シート!$M$92:$M$111,$G683,月間集計シート!S$92:S$111)*AJ$2</f>
        <v>0</v>
      </c>
      <c r="AK683" s="88">
        <f>SUMIF(月間集計シート!$M$92:$M$111,$G683,月間集計シート!T$92:T$111)*AK$2</f>
        <v>0</v>
      </c>
      <c r="AL683" s="88">
        <f>SUMIF(月間集計シート!$M$113:$M$132,$G683,月間集計シート!N$113:N$132)*AL$2</f>
        <v>0</v>
      </c>
      <c r="AM683" s="88">
        <f>SUMIF(月間集計シート!$M$113:$M$132,$G683,月間集計シート!O$113:O$132)*AM$2</f>
        <v>0</v>
      </c>
      <c r="AN683" s="88">
        <f>SUMIF(月間集計シート!$M$113:$M$132,$G683,月間集計シート!P$113:P$132)*AN$2</f>
        <v>0</v>
      </c>
      <c r="AO683" s="88">
        <f>SUMIF(月間集計シート!$M$113:$M$132,$G683,月間集計シート!Q$113:Q$132)*AO$2</f>
        <v>0</v>
      </c>
      <c r="AP683" s="88">
        <f>SUMIF(月間集計シート!$M$113:$M$132,$G683,月間集計シート!R$113:R$132)*AP$2</f>
        <v>0</v>
      </c>
      <c r="AQ683" s="88">
        <f>SUMIF(月間集計シート!$M$113:$M$132,$G683,月間集計シート!S$113:S$132)*AQ$2</f>
        <v>0</v>
      </c>
      <c r="AR683" s="88">
        <f>SUMIF(月間集計シート!$M$113:$M$132,$G683,月間集計シート!T$113:T$132)*AR$2</f>
        <v>0</v>
      </c>
      <c r="AS683" s="88">
        <f>SUMIF(月間集計シート!$M$134:$M$153,$G683,月間集計シート!N$134:N$153)*AS$2</f>
        <v>0</v>
      </c>
      <c r="AT683" s="88">
        <f>SUMIF(月間集計シート!$M$134:$M$153,$G683,月間集計シート!O$134:O$153)*AT$2</f>
        <v>0</v>
      </c>
      <c r="AU683" s="88">
        <f>SUMIF(月間集計シート!$M$134:$M$153,$G683,月間集計シート!P$134:P$153)*AU$2</f>
        <v>0</v>
      </c>
      <c r="AV683" s="88">
        <f>SUMIF(月間集計シート!$M$134:$M$153,$G683,月間集計シート!Q$134:Q$153)*AV$2</f>
        <v>0</v>
      </c>
      <c r="AW683" s="88">
        <f>SUMIF(月間集計シート!$M$134:$M$153,$G683,月間集計シート!R$134:R$153)*AW$2</f>
        <v>0</v>
      </c>
      <c r="AX683" s="88">
        <f>SUMIF(月間集計シート!$M$134:$M$153,$G683,月間集計シート!S$134:S$153)*AX$2</f>
        <v>0</v>
      </c>
      <c r="AY683" s="88">
        <f>SUMIF(月間集計シート!$M$134:$M$153,$G683,月間集計シート!T$134:T$153)*AY$2</f>
        <v>0</v>
      </c>
    </row>
    <row r="684" spans="1:51" ht="14.25" thickBot="1">
      <c r="A684">
        <v>8</v>
      </c>
      <c r="B684" s="120">
        <f t="shared" si="310"/>
        <v>0</v>
      </c>
      <c r="C684" s="120" t="str">
        <f t="shared" si="310"/>
        <v/>
      </c>
      <c r="D684" s="137"/>
      <c r="E684" s="150" t="str">
        <f>工種!A81</f>
        <v>99107</v>
      </c>
      <c r="F684" s="119" t="str">
        <f>工種!B81</f>
        <v>間接業務：事務作業（開発以外）</v>
      </c>
      <c r="G684" s="116" t="str">
        <f t="shared" ref="G684:G685" si="311">B684&amp;E684</f>
        <v>099107</v>
      </c>
      <c r="H684" s="88">
        <f t="shared" ref="H684:H685" si="312">SUM(J684:AY684)</f>
        <v>0</v>
      </c>
      <c r="I684" s="132"/>
      <c r="J684" s="88">
        <f>SUMIF(月間集計シート!$M$29:$M$48,$G684,月間集計シート!N$29:N$48)*J$2</f>
        <v>0</v>
      </c>
      <c r="K684" s="88">
        <f>SUMIF(月間集計シート!$M$29:$M$48,$G684,月間集計シート!O$29:O$48)*K$2</f>
        <v>0</v>
      </c>
      <c r="L684" s="88">
        <f>SUMIF(月間集計シート!$M$29:$M$48,$G684,月間集計シート!P$29:P$48)*L$2</f>
        <v>0</v>
      </c>
      <c r="M684" s="88">
        <f>SUMIF(月間集計シート!$M$29:$M$48,$G684,月間集計シート!Q$29:Q$48)*M$2</f>
        <v>0</v>
      </c>
      <c r="N684" s="88">
        <f>SUMIF(月間集計シート!$M$29:$M$48,$G684,月間集計シート!R$29:R$48)*N$2</f>
        <v>0</v>
      </c>
      <c r="O684" s="88">
        <f>SUMIF(月間集計シート!$M$29:$M$48,$G684,月間集計シート!S$29:S$48)*O$2</f>
        <v>0</v>
      </c>
      <c r="P684" s="88">
        <f>SUMIF(月間集計シート!$M$29:$M$48,$G684,月間集計シート!T$29:T$48)*P$2</f>
        <v>0</v>
      </c>
      <c r="Q684" s="88">
        <f>SUMIF(月間集計シート!$M$50:$M$69,$G684,月間集計シート!N$50:N$69)*Q$2</f>
        <v>0</v>
      </c>
      <c r="R684" s="88">
        <f>SUMIF(月間集計シート!$M$50:$M$69,$G684,月間集計シート!O$50:O$69)*R$2</f>
        <v>0</v>
      </c>
      <c r="S684" s="88">
        <f>SUMIF(月間集計シート!$M$50:$M$69,$G684,月間集計シート!P$50:P$69)*S$2</f>
        <v>0</v>
      </c>
      <c r="T684" s="88">
        <f>SUMIF(月間集計シート!$M$50:$M$69,$G684,月間集計シート!Q$50:Q$69)*T$2</f>
        <v>0</v>
      </c>
      <c r="U684" s="88">
        <f>SUMIF(月間集計シート!$M$50:$M$69,$G684,月間集計シート!R$50:R$69)*U$2</f>
        <v>0</v>
      </c>
      <c r="V684" s="88">
        <f>SUMIF(月間集計シート!$M$50:$M$69,$G684,月間集計シート!S$50:S$69)*V$2</f>
        <v>0</v>
      </c>
      <c r="W684" s="88">
        <f>SUMIF(月間集計シート!$M$50:$M$69,$G684,月間集計シート!T$50:T$69)*W$2</f>
        <v>0</v>
      </c>
      <c r="X684" s="88">
        <f>SUMIF(月間集計シート!$M$71:$M$90,$G684,月間集計シート!N$71:N$90)*X$2</f>
        <v>0</v>
      </c>
      <c r="Y684" s="88">
        <f>SUMIF(月間集計シート!$M$71:$M$90,$G684,月間集計シート!O$71:O$90)*Y$2</f>
        <v>0</v>
      </c>
      <c r="Z684" s="88">
        <f>SUMIF(月間集計シート!$M$71:$M$90,$G684,月間集計シート!P$71:P$90)*Z$2</f>
        <v>0</v>
      </c>
      <c r="AA684" s="88">
        <f>SUMIF(月間集計シート!$M$71:$M$90,$G684,月間集計シート!Q$71:Q$90)*AA$2</f>
        <v>0</v>
      </c>
      <c r="AB684" s="88">
        <f>SUMIF(月間集計シート!$M$71:$M$90,$G684,月間集計シート!R$71:R$90)*AB$2</f>
        <v>0</v>
      </c>
      <c r="AC684" s="88">
        <f>SUMIF(月間集計シート!$M$71:$M$90,$G684,月間集計シート!S$71:S$90)*AC$2</f>
        <v>0</v>
      </c>
      <c r="AD684" s="88">
        <f>SUMIF(月間集計シート!$M$71:$M$90,$G684,月間集計シート!T$71:T$90)*AD$2</f>
        <v>0</v>
      </c>
      <c r="AE684" s="88">
        <f>SUMIF(月間集計シート!$M$92:$M$111,$G684,月間集計シート!N$92:N$111)*AE$2</f>
        <v>0</v>
      </c>
      <c r="AF684" s="88">
        <f>SUMIF(月間集計シート!$M$92:$M$111,$G684,月間集計シート!O$92:O$111)*AF$2</f>
        <v>0</v>
      </c>
      <c r="AG684" s="88">
        <f>SUMIF(月間集計シート!$M$92:$M$111,$G684,月間集計シート!P$92:P$111)*AG$2</f>
        <v>0</v>
      </c>
      <c r="AH684" s="88">
        <f>SUMIF(月間集計シート!$M$92:$M$111,$G684,月間集計シート!Q$92:Q$111)*AH$2</f>
        <v>0</v>
      </c>
      <c r="AI684" s="88">
        <f>SUMIF(月間集計シート!$M$92:$M$111,$G684,月間集計シート!R$92:R$111)*AI$2</f>
        <v>0</v>
      </c>
      <c r="AJ684" s="88">
        <f>SUMIF(月間集計シート!$M$92:$M$111,$G684,月間集計シート!S$92:S$111)*AJ$2</f>
        <v>0</v>
      </c>
      <c r="AK684" s="88">
        <f>SUMIF(月間集計シート!$M$92:$M$111,$G684,月間集計シート!T$92:T$111)*AK$2</f>
        <v>0</v>
      </c>
      <c r="AL684" s="88">
        <f>SUMIF(月間集計シート!$M$113:$M$132,$G684,月間集計シート!N$113:N$132)*AL$2</f>
        <v>0</v>
      </c>
      <c r="AM684" s="88">
        <f>SUMIF(月間集計シート!$M$113:$M$132,$G684,月間集計シート!O$113:O$132)*AM$2</f>
        <v>0</v>
      </c>
      <c r="AN684" s="88">
        <f>SUMIF(月間集計シート!$M$113:$M$132,$G684,月間集計シート!P$113:P$132)*AN$2</f>
        <v>0</v>
      </c>
      <c r="AO684" s="88">
        <f>SUMIF(月間集計シート!$M$113:$M$132,$G684,月間集計シート!Q$113:Q$132)*AO$2</f>
        <v>0</v>
      </c>
      <c r="AP684" s="88">
        <f>SUMIF(月間集計シート!$M$113:$M$132,$G684,月間集計シート!R$113:R$132)*AP$2</f>
        <v>0</v>
      </c>
      <c r="AQ684" s="88">
        <f>SUMIF(月間集計シート!$M$113:$M$132,$G684,月間集計シート!S$113:S$132)*AQ$2</f>
        <v>0</v>
      </c>
      <c r="AR684" s="88">
        <f>SUMIF(月間集計シート!$M$113:$M$132,$G684,月間集計シート!T$113:T$132)*AR$2</f>
        <v>0</v>
      </c>
      <c r="AS684" s="88">
        <f>SUMIF(月間集計シート!$M$134:$M$153,$G684,月間集計シート!N$134:N$153)*AS$2</f>
        <v>0</v>
      </c>
      <c r="AT684" s="88">
        <f>SUMIF(月間集計シート!$M$134:$M$153,$G684,月間集計シート!O$134:O$153)*AT$2</f>
        <v>0</v>
      </c>
      <c r="AU684" s="88">
        <f>SUMIF(月間集計シート!$M$134:$M$153,$G684,月間集計シート!P$134:P$153)*AU$2</f>
        <v>0</v>
      </c>
      <c r="AV684" s="88">
        <f>SUMIF(月間集計シート!$M$134:$M$153,$G684,月間集計シート!Q$134:Q$153)*AV$2</f>
        <v>0</v>
      </c>
      <c r="AW684" s="88">
        <f>SUMIF(月間集計シート!$M$134:$M$153,$G684,月間集計シート!R$134:R$153)*AW$2</f>
        <v>0</v>
      </c>
      <c r="AX684" s="88">
        <f>SUMIF(月間集計シート!$M$134:$M$153,$G684,月間集計シート!S$134:S$153)*AX$2</f>
        <v>0</v>
      </c>
      <c r="AY684" s="88">
        <f>SUMIF(月間集計シート!$M$134:$M$153,$G684,月間集計シート!T$134:T$153)*AY$2</f>
        <v>0</v>
      </c>
    </row>
    <row r="685" spans="1:51" ht="14.25" thickBot="1">
      <c r="A685">
        <v>8</v>
      </c>
      <c r="B685" s="120">
        <f t="shared" si="310"/>
        <v>0</v>
      </c>
      <c r="C685" s="120" t="str">
        <f t="shared" si="310"/>
        <v/>
      </c>
      <c r="D685" s="137"/>
      <c r="E685" s="150" t="str">
        <f>工種!A82</f>
        <v>99110</v>
      </c>
      <c r="F685" s="119" t="str">
        <f>工種!B82</f>
        <v>間接業務：打合せ</v>
      </c>
      <c r="G685" s="116" t="str">
        <f t="shared" si="311"/>
        <v>099110</v>
      </c>
      <c r="H685" s="88">
        <f t="shared" si="312"/>
        <v>0</v>
      </c>
      <c r="I685" s="132"/>
      <c r="J685" s="88">
        <f>SUMIF(月間集計シート!$M$29:$M$48,$G685,月間集計シート!N$29:N$48)*J$2</f>
        <v>0</v>
      </c>
      <c r="K685" s="88">
        <f>SUMIF(月間集計シート!$M$29:$M$48,$G685,月間集計シート!O$29:O$48)*K$2</f>
        <v>0</v>
      </c>
      <c r="L685" s="88">
        <f>SUMIF(月間集計シート!$M$29:$M$48,$G685,月間集計シート!P$29:P$48)*L$2</f>
        <v>0</v>
      </c>
      <c r="M685" s="88">
        <f>SUMIF(月間集計シート!$M$29:$M$48,$G685,月間集計シート!Q$29:Q$48)*M$2</f>
        <v>0</v>
      </c>
      <c r="N685" s="88">
        <f>SUMIF(月間集計シート!$M$29:$M$48,$G685,月間集計シート!R$29:R$48)*N$2</f>
        <v>0</v>
      </c>
      <c r="O685" s="88">
        <f>SUMIF(月間集計シート!$M$29:$M$48,$G685,月間集計シート!S$29:S$48)*O$2</f>
        <v>0</v>
      </c>
      <c r="P685" s="88">
        <f>SUMIF(月間集計シート!$M$29:$M$48,$G685,月間集計シート!T$29:T$48)*P$2</f>
        <v>0</v>
      </c>
      <c r="Q685" s="88">
        <f>SUMIF(月間集計シート!$M$50:$M$69,$G685,月間集計シート!N$50:N$69)*Q$2</f>
        <v>0</v>
      </c>
      <c r="R685" s="88">
        <f>SUMIF(月間集計シート!$M$50:$M$69,$G685,月間集計シート!O$50:O$69)*R$2</f>
        <v>0</v>
      </c>
      <c r="S685" s="88">
        <f>SUMIF(月間集計シート!$M$50:$M$69,$G685,月間集計シート!P$50:P$69)*S$2</f>
        <v>0</v>
      </c>
      <c r="T685" s="88">
        <f>SUMIF(月間集計シート!$M$50:$M$69,$G685,月間集計シート!Q$50:Q$69)*T$2</f>
        <v>0</v>
      </c>
      <c r="U685" s="88">
        <f>SUMIF(月間集計シート!$M$50:$M$69,$G685,月間集計シート!R$50:R$69)*U$2</f>
        <v>0</v>
      </c>
      <c r="V685" s="88">
        <f>SUMIF(月間集計シート!$M$50:$M$69,$G685,月間集計シート!S$50:S$69)*V$2</f>
        <v>0</v>
      </c>
      <c r="W685" s="88">
        <f>SUMIF(月間集計シート!$M$50:$M$69,$G685,月間集計シート!T$50:T$69)*W$2</f>
        <v>0</v>
      </c>
      <c r="X685" s="88">
        <f>SUMIF(月間集計シート!$M$71:$M$90,$G685,月間集計シート!N$71:N$90)*X$2</f>
        <v>0</v>
      </c>
      <c r="Y685" s="88">
        <f>SUMIF(月間集計シート!$M$71:$M$90,$G685,月間集計シート!O$71:O$90)*Y$2</f>
        <v>0</v>
      </c>
      <c r="Z685" s="88">
        <f>SUMIF(月間集計シート!$M$71:$M$90,$G685,月間集計シート!P$71:P$90)*Z$2</f>
        <v>0</v>
      </c>
      <c r="AA685" s="88">
        <f>SUMIF(月間集計シート!$M$71:$M$90,$G685,月間集計シート!Q$71:Q$90)*AA$2</f>
        <v>0</v>
      </c>
      <c r="AB685" s="88">
        <f>SUMIF(月間集計シート!$M$71:$M$90,$G685,月間集計シート!R$71:R$90)*AB$2</f>
        <v>0</v>
      </c>
      <c r="AC685" s="88">
        <f>SUMIF(月間集計シート!$M$71:$M$90,$G685,月間集計シート!S$71:S$90)*AC$2</f>
        <v>0</v>
      </c>
      <c r="AD685" s="88">
        <f>SUMIF(月間集計シート!$M$71:$M$90,$G685,月間集計シート!T$71:T$90)*AD$2</f>
        <v>0</v>
      </c>
      <c r="AE685" s="88">
        <f>SUMIF(月間集計シート!$M$92:$M$111,$G685,月間集計シート!N$92:N$111)*AE$2</f>
        <v>0</v>
      </c>
      <c r="AF685" s="88">
        <f>SUMIF(月間集計シート!$M$92:$M$111,$G685,月間集計シート!O$92:O$111)*AF$2</f>
        <v>0</v>
      </c>
      <c r="AG685" s="88">
        <f>SUMIF(月間集計シート!$M$92:$M$111,$G685,月間集計シート!P$92:P$111)*AG$2</f>
        <v>0</v>
      </c>
      <c r="AH685" s="88">
        <f>SUMIF(月間集計シート!$M$92:$M$111,$G685,月間集計シート!Q$92:Q$111)*AH$2</f>
        <v>0</v>
      </c>
      <c r="AI685" s="88">
        <f>SUMIF(月間集計シート!$M$92:$M$111,$G685,月間集計シート!R$92:R$111)*AI$2</f>
        <v>0</v>
      </c>
      <c r="AJ685" s="88">
        <f>SUMIF(月間集計シート!$M$92:$M$111,$G685,月間集計シート!S$92:S$111)*AJ$2</f>
        <v>0</v>
      </c>
      <c r="AK685" s="88">
        <f>SUMIF(月間集計シート!$M$92:$M$111,$G685,月間集計シート!T$92:T$111)*AK$2</f>
        <v>0</v>
      </c>
      <c r="AL685" s="88">
        <f>SUMIF(月間集計シート!$M$113:$M$132,$G685,月間集計シート!N$113:N$132)*AL$2</f>
        <v>0</v>
      </c>
      <c r="AM685" s="88">
        <f>SUMIF(月間集計シート!$M$113:$M$132,$G685,月間集計シート!O$113:O$132)*AM$2</f>
        <v>0</v>
      </c>
      <c r="AN685" s="88">
        <f>SUMIF(月間集計シート!$M$113:$M$132,$G685,月間集計シート!P$113:P$132)*AN$2</f>
        <v>0</v>
      </c>
      <c r="AO685" s="88">
        <f>SUMIF(月間集計シート!$M$113:$M$132,$G685,月間集計シート!Q$113:Q$132)*AO$2</f>
        <v>0</v>
      </c>
      <c r="AP685" s="88">
        <f>SUMIF(月間集計シート!$M$113:$M$132,$G685,月間集計シート!R$113:R$132)*AP$2</f>
        <v>0</v>
      </c>
      <c r="AQ685" s="88">
        <f>SUMIF(月間集計シート!$M$113:$M$132,$G685,月間集計シート!S$113:S$132)*AQ$2</f>
        <v>0</v>
      </c>
      <c r="AR685" s="88">
        <f>SUMIF(月間集計シート!$M$113:$M$132,$G685,月間集計シート!T$113:T$132)*AR$2</f>
        <v>0</v>
      </c>
      <c r="AS685" s="88">
        <f>SUMIF(月間集計シート!$M$134:$M$153,$G685,月間集計シート!N$134:N$153)*AS$2</f>
        <v>0</v>
      </c>
      <c r="AT685" s="88">
        <f>SUMIF(月間集計シート!$M$134:$M$153,$G685,月間集計シート!O$134:O$153)*AT$2</f>
        <v>0</v>
      </c>
      <c r="AU685" s="88">
        <f>SUMIF(月間集計シート!$M$134:$M$153,$G685,月間集計シート!P$134:P$153)*AU$2</f>
        <v>0</v>
      </c>
      <c r="AV685" s="88">
        <f>SUMIF(月間集計シート!$M$134:$M$153,$G685,月間集計シート!Q$134:Q$153)*AV$2</f>
        <v>0</v>
      </c>
      <c r="AW685" s="88">
        <f>SUMIF(月間集計シート!$M$134:$M$153,$G685,月間集計シート!R$134:R$153)*AW$2</f>
        <v>0</v>
      </c>
      <c r="AX685" s="88">
        <f>SUMIF(月間集計シート!$M$134:$M$153,$G685,月間集計シート!S$134:S$153)*AX$2</f>
        <v>0</v>
      </c>
      <c r="AY685" s="88">
        <f>SUMIF(月間集計シート!$M$134:$M$153,$G685,月間集計シート!T$134:T$153)*AY$2</f>
        <v>0</v>
      </c>
    </row>
    <row r="686" spans="1:51" ht="14.25" thickBot="1">
      <c r="A686">
        <v>8</v>
      </c>
      <c r="B686" s="120">
        <f t="shared" si="310"/>
        <v>0</v>
      </c>
      <c r="C686" s="120" t="str">
        <f t="shared" ref="C686" si="313">C685</f>
        <v/>
      </c>
      <c r="D686" s="137"/>
      <c r="E686" s="150" t="str">
        <f>工種!A83</f>
        <v>99199</v>
      </c>
      <c r="F686" s="119" t="str">
        <f>工種!B83</f>
        <v>間接業務：その他</v>
      </c>
      <c r="G686" s="116" t="str">
        <f t="shared" si="306"/>
        <v>099199</v>
      </c>
      <c r="H686" s="88">
        <f t="shared" si="260"/>
        <v>0</v>
      </c>
      <c r="I686" s="132"/>
      <c r="J686" s="88">
        <f>SUMIF(月間集計シート!$M$29:$M$48,$G686,月間集計シート!N$29:N$48)*J$2</f>
        <v>0</v>
      </c>
      <c r="K686" s="88">
        <f>SUMIF(月間集計シート!$M$29:$M$48,$G686,月間集計シート!O$29:O$48)*K$2</f>
        <v>0</v>
      </c>
      <c r="L686" s="88">
        <f>SUMIF(月間集計シート!$M$29:$M$48,$G686,月間集計シート!P$29:P$48)*L$2</f>
        <v>0</v>
      </c>
      <c r="M686" s="88">
        <f>SUMIF(月間集計シート!$M$29:$M$48,$G686,月間集計シート!Q$29:Q$48)*M$2</f>
        <v>0</v>
      </c>
      <c r="N686" s="88">
        <f>SUMIF(月間集計シート!$M$29:$M$48,$G686,月間集計シート!R$29:R$48)*N$2</f>
        <v>0</v>
      </c>
      <c r="O686" s="88">
        <f>SUMIF(月間集計シート!$M$29:$M$48,$G686,月間集計シート!S$29:S$48)*O$2</f>
        <v>0</v>
      </c>
      <c r="P686" s="88">
        <f>SUMIF(月間集計シート!$M$29:$M$48,$G686,月間集計シート!T$29:T$48)*P$2</f>
        <v>0</v>
      </c>
      <c r="Q686" s="88">
        <f>SUMIF(月間集計シート!$M$50:$M$69,$G686,月間集計シート!N$50:N$69)*Q$2</f>
        <v>0</v>
      </c>
      <c r="R686" s="88">
        <f>SUMIF(月間集計シート!$M$50:$M$69,$G686,月間集計シート!O$50:O$69)*R$2</f>
        <v>0</v>
      </c>
      <c r="S686" s="88">
        <f>SUMIF(月間集計シート!$M$50:$M$69,$G686,月間集計シート!P$50:P$69)*S$2</f>
        <v>0</v>
      </c>
      <c r="T686" s="88">
        <f>SUMIF(月間集計シート!$M$50:$M$69,$G686,月間集計シート!Q$50:Q$69)*T$2</f>
        <v>0</v>
      </c>
      <c r="U686" s="88">
        <f>SUMIF(月間集計シート!$M$50:$M$69,$G686,月間集計シート!R$50:R$69)*U$2</f>
        <v>0</v>
      </c>
      <c r="V686" s="88">
        <f>SUMIF(月間集計シート!$M$50:$M$69,$G686,月間集計シート!S$50:S$69)*V$2</f>
        <v>0</v>
      </c>
      <c r="W686" s="88">
        <f>SUMIF(月間集計シート!$M$50:$M$69,$G686,月間集計シート!T$50:T$69)*W$2</f>
        <v>0</v>
      </c>
      <c r="X686" s="88">
        <f>SUMIF(月間集計シート!$M$71:$M$90,$G686,月間集計シート!N$71:N$90)*X$2</f>
        <v>0</v>
      </c>
      <c r="Y686" s="88">
        <f>SUMIF(月間集計シート!$M$71:$M$90,$G686,月間集計シート!O$71:O$90)*Y$2</f>
        <v>0</v>
      </c>
      <c r="Z686" s="88">
        <f>SUMIF(月間集計シート!$M$71:$M$90,$G686,月間集計シート!P$71:P$90)*Z$2</f>
        <v>0</v>
      </c>
      <c r="AA686" s="88">
        <f>SUMIF(月間集計シート!$M$71:$M$90,$G686,月間集計シート!Q$71:Q$90)*AA$2</f>
        <v>0</v>
      </c>
      <c r="AB686" s="88">
        <f>SUMIF(月間集計シート!$M$71:$M$90,$G686,月間集計シート!R$71:R$90)*AB$2</f>
        <v>0</v>
      </c>
      <c r="AC686" s="88">
        <f>SUMIF(月間集計シート!$M$71:$M$90,$G686,月間集計シート!S$71:S$90)*AC$2</f>
        <v>0</v>
      </c>
      <c r="AD686" s="88">
        <f>SUMIF(月間集計シート!$M$71:$M$90,$G686,月間集計シート!T$71:T$90)*AD$2</f>
        <v>0</v>
      </c>
      <c r="AE686" s="88">
        <f>SUMIF(月間集計シート!$M$92:$M$111,$G686,月間集計シート!N$92:N$111)*AE$2</f>
        <v>0</v>
      </c>
      <c r="AF686" s="88">
        <f>SUMIF(月間集計シート!$M$92:$M$111,$G686,月間集計シート!O$92:O$111)*AF$2</f>
        <v>0</v>
      </c>
      <c r="AG686" s="88">
        <f>SUMIF(月間集計シート!$M$92:$M$111,$G686,月間集計シート!P$92:P$111)*AG$2</f>
        <v>0</v>
      </c>
      <c r="AH686" s="88">
        <f>SUMIF(月間集計シート!$M$92:$M$111,$G686,月間集計シート!Q$92:Q$111)*AH$2</f>
        <v>0</v>
      </c>
      <c r="AI686" s="88">
        <f>SUMIF(月間集計シート!$M$92:$M$111,$G686,月間集計シート!R$92:R$111)*AI$2</f>
        <v>0</v>
      </c>
      <c r="AJ686" s="88">
        <f>SUMIF(月間集計シート!$M$92:$M$111,$G686,月間集計シート!S$92:S$111)*AJ$2</f>
        <v>0</v>
      </c>
      <c r="AK686" s="88">
        <f>SUMIF(月間集計シート!$M$92:$M$111,$G686,月間集計シート!T$92:T$111)*AK$2</f>
        <v>0</v>
      </c>
      <c r="AL686" s="88">
        <f>SUMIF(月間集計シート!$M$113:$M$132,$G686,月間集計シート!N$113:N$132)*AL$2</f>
        <v>0</v>
      </c>
      <c r="AM686" s="88">
        <f>SUMIF(月間集計シート!$M$113:$M$132,$G686,月間集計シート!O$113:O$132)*AM$2</f>
        <v>0</v>
      </c>
      <c r="AN686" s="88">
        <f>SUMIF(月間集計シート!$M$113:$M$132,$G686,月間集計シート!P$113:P$132)*AN$2</f>
        <v>0</v>
      </c>
      <c r="AO686" s="88">
        <f>SUMIF(月間集計シート!$M$113:$M$132,$G686,月間集計シート!Q$113:Q$132)*AO$2</f>
        <v>0</v>
      </c>
      <c r="AP686" s="88">
        <f>SUMIF(月間集計シート!$M$113:$M$132,$G686,月間集計シート!R$113:R$132)*AP$2</f>
        <v>0</v>
      </c>
      <c r="AQ686" s="88">
        <f>SUMIF(月間集計シート!$M$113:$M$132,$G686,月間集計シート!S$113:S$132)*AQ$2</f>
        <v>0</v>
      </c>
      <c r="AR686" s="88">
        <f>SUMIF(月間集計シート!$M$113:$M$132,$G686,月間集計シート!T$113:T$132)*AR$2</f>
        <v>0</v>
      </c>
      <c r="AS686" s="88">
        <f>SUMIF(月間集計シート!$M$134:$M$153,$G686,月間集計シート!N$134:N$153)*AS$2</f>
        <v>0</v>
      </c>
      <c r="AT686" s="88">
        <f>SUMIF(月間集計シート!$M$134:$M$153,$G686,月間集計シート!O$134:O$153)*AT$2</f>
        <v>0</v>
      </c>
      <c r="AU686" s="88">
        <f>SUMIF(月間集計シート!$M$134:$M$153,$G686,月間集計シート!P$134:P$153)*AU$2</f>
        <v>0</v>
      </c>
      <c r="AV686" s="88">
        <f>SUMIF(月間集計シート!$M$134:$M$153,$G686,月間集計シート!Q$134:Q$153)*AV$2</f>
        <v>0</v>
      </c>
      <c r="AW686" s="88">
        <f>SUMIF(月間集計シート!$M$134:$M$153,$G686,月間集計シート!R$134:R$153)*AW$2</f>
        <v>0</v>
      </c>
      <c r="AX686" s="88">
        <f>SUMIF(月間集計シート!$M$134:$M$153,$G686,月間集計シート!S$134:S$153)*AX$2</f>
        <v>0</v>
      </c>
      <c r="AY686" s="88">
        <f>SUMIF(月間集計シート!$M$134:$M$153,$G686,月間集計シート!T$134:T$153)*AY$2</f>
        <v>0</v>
      </c>
    </row>
    <row r="687" spans="1:51">
      <c r="B687" s="120"/>
      <c r="C687" s="120"/>
      <c r="D687" s="127"/>
      <c r="E687" s="115"/>
      <c r="F687" s="119"/>
      <c r="G687" s="116"/>
      <c r="H687" s="88"/>
      <c r="I687" s="132"/>
      <c r="J687" s="88"/>
      <c r="K687" s="88"/>
      <c r="L687" s="88"/>
      <c r="M687" s="88"/>
      <c r="N687" s="88"/>
      <c r="O687" s="88"/>
      <c r="P687" s="88"/>
      <c r="Q687" s="88"/>
      <c r="R687" s="88"/>
      <c r="S687" s="88"/>
      <c r="T687" s="88"/>
      <c r="U687" s="88"/>
      <c r="V687" s="88"/>
      <c r="W687" s="88"/>
      <c r="X687" s="88"/>
      <c r="Y687" s="88"/>
      <c r="Z687" s="88"/>
      <c r="AA687" s="88"/>
      <c r="AB687" s="88"/>
      <c r="AC687" s="88"/>
      <c r="AD687" s="88"/>
      <c r="AE687" s="88"/>
      <c r="AF687" s="88"/>
      <c r="AG687" s="88"/>
      <c r="AH687" s="88"/>
      <c r="AI687" s="88"/>
      <c r="AJ687" s="88"/>
      <c r="AK687" s="88"/>
      <c r="AL687" s="88"/>
      <c r="AM687" s="88"/>
      <c r="AN687" s="88"/>
      <c r="AO687" s="88"/>
      <c r="AP687" s="88"/>
      <c r="AQ687" s="88"/>
      <c r="AR687" s="88"/>
      <c r="AS687" s="88"/>
      <c r="AT687" s="88"/>
      <c r="AU687" s="88"/>
      <c r="AV687" s="88"/>
      <c r="AW687" s="88"/>
      <c r="AX687" s="88"/>
      <c r="AY687" s="88"/>
    </row>
    <row r="688" spans="1:51" ht="14.25" thickBot="1">
      <c r="A688">
        <v>9</v>
      </c>
      <c r="B688">
        <f>月間集計シート!I12</f>
        <v>0</v>
      </c>
      <c r="C688" s="116" t="str">
        <f>月間集計シート!J12</f>
        <v/>
      </c>
      <c r="D688" s="147">
        <v>1</v>
      </c>
      <c r="E688" s="115" t="s">
        <v>451</v>
      </c>
      <c r="F688" s="119" t="s">
        <v>29</v>
      </c>
      <c r="G688" s="116"/>
      <c r="H688" s="88">
        <f t="shared" ref="H688:H771" si="314">SUM(J688:AY688)</f>
        <v>0</v>
      </c>
      <c r="I688" s="132"/>
      <c r="J688" s="88">
        <f>SUM(J690:J771)</f>
        <v>0</v>
      </c>
      <c r="K688" s="88">
        <f t="shared" ref="K688:AY688" si="315">SUM(K690:K771)</f>
        <v>0</v>
      </c>
      <c r="L688" s="88">
        <f t="shared" si="315"/>
        <v>0</v>
      </c>
      <c r="M688" s="88">
        <f t="shared" si="315"/>
        <v>0</v>
      </c>
      <c r="N688" s="88">
        <f t="shared" si="315"/>
        <v>0</v>
      </c>
      <c r="O688" s="88">
        <f t="shared" si="315"/>
        <v>0</v>
      </c>
      <c r="P688" s="88">
        <f t="shared" si="315"/>
        <v>0</v>
      </c>
      <c r="Q688" s="88">
        <f t="shared" si="315"/>
        <v>0</v>
      </c>
      <c r="R688" s="88">
        <f t="shared" si="315"/>
        <v>0</v>
      </c>
      <c r="S688" s="88">
        <f t="shared" si="315"/>
        <v>0</v>
      </c>
      <c r="T688" s="88">
        <f t="shared" si="315"/>
        <v>0</v>
      </c>
      <c r="U688" s="88">
        <f t="shared" si="315"/>
        <v>0</v>
      </c>
      <c r="V688" s="88">
        <f t="shared" si="315"/>
        <v>0</v>
      </c>
      <c r="W688" s="88">
        <f t="shared" si="315"/>
        <v>0</v>
      </c>
      <c r="X688" s="88">
        <f t="shared" si="315"/>
        <v>0</v>
      </c>
      <c r="Y688" s="88">
        <f t="shared" si="315"/>
        <v>0</v>
      </c>
      <c r="Z688" s="88">
        <f t="shared" si="315"/>
        <v>0</v>
      </c>
      <c r="AA688" s="88">
        <f t="shared" si="315"/>
        <v>0</v>
      </c>
      <c r="AB688" s="88">
        <f t="shared" si="315"/>
        <v>0</v>
      </c>
      <c r="AC688" s="88">
        <f t="shared" si="315"/>
        <v>0</v>
      </c>
      <c r="AD688" s="88">
        <f t="shared" si="315"/>
        <v>0</v>
      </c>
      <c r="AE688" s="88">
        <f t="shared" si="315"/>
        <v>0</v>
      </c>
      <c r="AF688" s="88">
        <f t="shared" si="315"/>
        <v>0</v>
      </c>
      <c r="AG688" s="88">
        <f t="shared" si="315"/>
        <v>0</v>
      </c>
      <c r="AH688" s="88">
        <f t="shared" si="315"/>
        <v>0</v>
      </c>
      <c r="AI688" s="88">
        <f t="shared" si="315"/>
        <v>0</v>
      </c>
      <c r="AJ688" s="88">
        <f t="shared" si="315"/>
        <v>0</v>
      </c>
      <c r="AK688" s="88">
        <f t="shared" si="315"/>
        <v>0</v>
      </c>
      <c r="AL688" s="88">
        <f t="shared" si="315"/>
        <v>0</v>
      </c>
      <c r="AM688" s="88">
        <f t="shared" si="315"/>
        <v>0</v>
      </c>
      <c r="AN688" s="88">
        <f t="shared" si="315"/>
        <v>0</v>
      </c>
      <c r="AO688" s="88">
        <f t="shared" si="315"/>
        <v>0</v>
      </c>
      <c r="AP688" s="88">
        <f t="shared" si="315"/>
        <v>0</v>
      </c>
      <c r="AQ688" s="88">
        <f t="shared" si="315"/>
        <v>0</v>
      </c>
      <c r="AR688" s="88">
        <f t="shared" si="315"/>
        <v>0</v>
      </c>
      <c r="AS688" s="88">
        <f t="shared" si="315"/>
        <v>0</v>
      </c>
      <c r="AT688" s="88">
        <f t="shared" si="315"/>
        <v>0</v>
      </c>
      <c r="AU688" s="88">
        <f t="shared" si="315"/>
        <v>0</v>
      </c>
      <c r="AV688" s="88">
        <f t="shared" si="315"/>
        <v>0</v>
      </c>
      <c r="AW688" s="88">
        <f t="shared" si="315"/>
        <v>0</v>
      </c>
      <c r="AX688" s="88">
        <f t="shared" si="315"/>
        <v>0</v>
      </c>
      <c r="AY688" s="88">
        <f t="shared" si="315"/>
        <v>0</v>
      </c>
    </row>
    <row r="689" spans="1:51" ht="14.25" customHeight="1" thickBot="1">
      <c r="A689">
        <v>9</v>
      </c>
      <c r="B689">
        <f>B688</f>
        <v>0</v>
      </c>
      <c r="C689" s="116" t="str">
        <f>C688</f>
        <v/>
      </c>
      <c r="D689" s="147">
        <v>1</v>
      </c>
      <c r="E689" s="115" t="s">
        <v>453</v>
      </c>
      <c r="F689" s="119" t="s">
        <v>454</v>
      </c>
      <c r="G689" s="116"/>
      <c r="H689" s="129">
        <f t="shared" ref="H689" si="316">SUM(J689:AY689)</f>
        <v>0</v>
      </c>
      <c r="I689" s="132"/>
      <c r="J689" s="88">
        <f>SUMIF($D690:$D771,1,J690:J771)</f>
        <v>0</v>
      </c>
      <c r="K689" s="88">
        <f t="shared" ref="K689" si="317">SUMIF($D690:$D771,1,K690:K771)</f>
        <v>0</v>
      </c>
      <c r="L689" s="88">
        <f t="shared" ref="L689" si="318">SUMIF($D690:$D771,1,L690:L771)</f>
        <v>0</v>
      </c>
      <c r="M689" s="88">
        <f t="shared" ref="M689" si="319">SUMIF($D690:$D771,1,M690:M771)</f>
        <v>0</v>
      </c>
      <c r="N689" s="88">
        <f t="shared" ref="N689" si="320">SUMIF($D690:$D771,1,N690:N771)</f>
        <v>0</v>
      </c>
      <c r="O689" s="88">
        <f t="shared" ref="O689" si="321">SUMIF($D690:$D771,1,O690:O771)</f>
        <v>0</v>
      </c>
      <c r="P689" s="88">
        <f t="shared" ref="P689" si="322">SUMIF($D690:$D771,1,P690:P771)</f>
        <v>0</v>
      </c>
      <c r="Q689" s="88">
        <f t="shared" ref="Q689" si="323">SUMIF($D690:$D771,1,Q690:Q771)</f>
        <v>0</v>
      </c>
      <c r="R689" s="88">
        <f t="shared" ref="R689" si="324">SUMIF($D690:$D771,1,R690:R771)</f>
        <v>0</v>
      </c>
      <c r="S689" s="88">
        <f t="shared" ref="S689" si="325">SUMIF($D690:$D771,1,S690:S771)</f>
        <v>0</v>
      </c>
      <c r="T689" s="88">
        <f t="shared" ref="T689" si="326">SUMIF($D690:$D771,1,T690:T771)</f>
        <v>0</v>
      </c>
      <c r="U689" s="88">
        <f t="shared" ref="U689" si="327">SUMIF($D690:$D771,1,U690:U771)</f>
        <v>0</v>
      </c>
      <c r="V689" s="88">
        <f t="shared" ref="V689" si="328">SUMIF($D690:$D771,1,V690:V771)</f>
        <v>0</v>
      </c>
      <c r="W689" s="88">
        <f t="shared" ref="W689" si="329">SUMIF($D690:$D771,1,W690:W771)</f>
        <v>0</v>
      </c>
      <c r="X689" s="88">
        <f t="shared" ref="X689" si="330">SUMIF($D690:$D771,1,X690:X771)</f>
        <v>0</v>
      </c>
      <c r="Y689" s="88">
        <f t="shared" ref="Y689" si="331">SUMIF($D690:$D771,1,Y690:Y771)</f>
        <v>0</v>
      </c>
      <c r="Z689" s="88">
        <f t="shared" ref="Z689" si="332">SUMIF($D690:$D771,1,Z690:Z771)</f>
        <v>0</v>
      </c>
      <c r="AA689" s="88">
        <f t="shared" ref="AA689" si="333">SUMIF($D690:$D771,1,AA690:AA771)</f>
        <v>0</v>
      </c>
      <c r="AB689" s="88">
        <f t="shared" ref="AB689" si="334">SUMIF($D690:$D771,1,AB690:AB771)</f>
        <v>0</v>
      </c>
      <c r="AC689" s="88">
        <f t="shared" ref="AC689" si="335">SUMIF($D690:$D771,1,AC690:AC771)</f>
        <v>0</v>
      </c>
      <c r="AD689" s="88">
        <f t="shared" ref="AD689" si="336">SUMIF($D690:$D771,1,AD690:AD771)</f>
        <v>0</v>
      </c>
      <c r="AE689" s="88">
        <f t="shared" ref="AE689" si="337">SUMIF($D690:$D771,1,AE690:AE771)</f>
        <v>0</v>
      </c>
      <c r="AF689" s="88">
        <f t="shared" ref="AF689" si="338">SUMIF($D690:$D771,1,AF690:AF771)</f>
        <v>0</v>
      </c>
      <c r="AG689" s="88">
        <f t="shared" ref="AG689" si="339">SUMIF($D690:$D771,1,AG690:AG771)</f>
        <v>0</v>
      </c>
      <c r="AH689" s="88">
        <f t="shared" ref="AH689" si="340">SUMIF($D690:$D771,1,AH690:AH771)</f>
        <v>0</v>
      </c>
      <c r="AI689" s="88">
        <f t="shared" ref="AI689" si="341">SUMIF($D690:$D771,1,AI690:AI771)</f>
        <v>0</v>
      </c>
      <c r="AJ689" s="88">
        <f t="shared" ref="AJ689" si="342">SUMIF($D690:$D771,1,AJ690:AJ771)</f>
        <v>0</v>
      </c>
      <c r="AK689" s="88">
        <f t="shared" ref="AK689" si="343">SUMIF($D690:$D771,1,AK690:AK771)</f>
        <v>0</v>
      </c>
      <c r="AL689" s="88">
        <f t="shared" ref="AL689" si="344">SUMIF($D690:$D771,1,AL690:AL771)</f>
        <v>0</v>
      </c>
      <c r="AM689" s="88">
        <f t="shared" ref="AM689" si="345">SUMIF($D690:$D771,1,AM690:AM771)</f>
        <v>0</v>
      </c>
      <c r="AN689" s="88">
        <f t="shared" ref="AN689" si="346">SUMIF($D690:$D771,1,AN690:AN771)</f>
        <v>0</v>
      </c>
      <c r="AO689" s="88">
        <f t="shared" ref="AO689" si="347">SUMIF($D690:$D771,1,AO690:AO771)</f>
        <v>0</v>
      </c>
      <c r="AP689" s="88">
        <f t="shared" ref="AP689" si="348">SUMIF($D690:$D771,1,AP690:AP771)</f>
        <v>0</v>
      </c>
      <c r="AQ689" s="88">
        <f t="shared" ref="AQ689" si="349">SUMIF($D690:$D771,1,AQ690:AQ771)</f>
        <v>0</v>
      </c>
      <c r="AR689" s="88">
        <f t="shared" ref="AR689" si="350">SUMIF($D690:$D771,1,AR690:AR771)</f>
        <v>0</v>
      </c>
      <c r="AS689" s="88">
        <f t="shared" ref="AS689" si="351">SUMIF($D690:$D771,1,AS690:AS771)</f>
        <v>0</v>
      </c>
      <c r="AT689" s="88">
        <f t="shared" ref="AT689" si="352">SUMIF($D690:$D771,1,AT690:AT771)</f>
        <v>0</v>
      </c>
      <c r="AU689" s="88">
        <f t="shared" ref="AU689" si="353">SUMIF($D690:$D771,1,AU690:AU771)</f>
        <v>0</v>
      </c>
      <c r="AV689" s="88">
        <f t="shared" ref="AV689" si="354">SUMIF($D690:$D771,1,AV690:AV771)</f>
        <v>0</v>
      </c>
      <c r="AW689" s="88">
        <f t="shared" ref="AW689" si="355">SUMIF($D690:$D771,1,AW690:AW771)</f>
        <v>0</v>
      </c>
      <c r="AX689" s="88">
        <f t="shared" ref="AX689" si="356">SUMIF($D690:$D771,1,AX690:AX771)</f>
        <v>0</v>
      </c>
      <c r="AY689" s="88">
        <f t="shared" ref="AY689" si="357">SUMIF($D690:$D771,1,AY690:AY771)</f>
        <v>0</v>
      </c>
    </row>
    <row r="690" spans="1:51" ht="14.25" thickBot="1">
      <c r="A690">
        <v>9</v>
      </c>
      <c r="B690" s="120">
        <f>B688</f>
        <v>0</v>
      </c>
      <c r="C690" s="120" t="str">
        <f>C688</f>
        <v/>
      </c>
      <c r="D690" s="137"/>
      <c r="E690" s="150" t="str">
        <f>工種!A2</f>
        <v>10102</v>
      </c>
      <c r="F690" s="119" t="str">
        <f>工種!B2</f>
        <v>SRS：調査・分析・開発計画の準備・実施作業</v>
      </c>
      <c r="G690" s="116" t="str">
        <f t="shared" si="306"/>
        <v>010102</v>
      </c>
      <c r="H690" s="88">
        <f t="shared" si="314"/>
        <v>0</v>
      </c>
      <c r="I690" s="132"/>
      <c r="J690" s="88">
        <f>SUMIF(月間集計シート!$M$29:$M$48,$G690,月間集計シート!N$29:N$48)*J$2</f>
        <v>0</v>
      </c>
      <c r="K690" s="88">
        <f>SUMIF(月間集計シート!$M$29:$M$48,$G690,月間集計シート!O$29:O$48)*K$2</f>
        <v>0</v>
      </c>
      <c r="L690" s="88">
        <f>SUMIF(月間集計シート!$M$29:$M$48,$G690,月間集計シート!P$29:P$48)*L$2</f>
        <v>0</v>
      </c>
      <c r="M690" s="88">
        <f>SUMIF(月間集計シート!$M$29:$M$48,$G690,月間集計シート!Q$29:Q$48)*M$2</f>
        <v>0</v>
      </c>
      <c r="N690" s="88">
        <f>SUMIF(月間集計シート!$M$29:$M$48,$G690,月間集計シート!R$29:R$48)*N$2</f>
        <v>0</v>
      </c>
      <c r="O690" s="88">
        <f>SUMIF(月間集計シート!$M$29:$M$48,$G690,月間集計シート!S$29:S$48)*O$2</f>
        <v>0</v>
      </c>
      <c r="P690" s="88">
        <f>SUMIF(月間集計シート!$M$29:$M$48,$G690,月間集計シート!T$29:T$48)*P$2</f>
        <v>0</v>
      </c>
      <c r="Q690" s="88">
        <f>SUMIF(月間集計シート!$M$50:$M$69,$G690,月間集計シート!N$50:N$69)*Q$2</f>
        <v>0</v>
      </c>
      <c r="R690" s="88">
        <f>SUMIF(月間集計シート!$M$50:$M$69,$G690,月間集計シート!O$50:O$69)*R$2</f>
        <v>0</v>
      </c>
      <c r="S690" s="88">
        <f>SUMIF(月間集計シート!$M$50:$M$69,$G690,月間集計シート!P$50:P$69)*S$2</f>
        <v>0</v>
      </c>
      <c r="T690" s="88">
        <f>SUMIF(月間集計シート!$M$50:$M$69,$G690,月間集計シート!Q$50:Q$69)*T$2</f>
        <v>0</v>
      </c>
      <c r="U690" s="88">
        <f>SUMIF(月間集計シート!$M$50:$M$69,$G690,月間集計シート!R$50:R$69)*U$2</f>
        <v>0</v>
      </c>
      <c r="V690" s="88">
        <f>SUMIF(月間集計シート!$M$50:$M$69,$G690,月間集計シート!S$50:S$69)*V$2</f>
        <v>0</v>
      </c>
      <c r="W690" s="88">
        <f>SUMIF(月間集計シート!$M$50:$M$69,$G690,月間集計シート!T$50:T$69)*W$2</f>
        <v>0</v>
      </c>
      <c r="X690" s="88">
        <f>SUMIF(月間集計シート!$M$71:$M$90,$G690,月間集計シート!N$71:N$90)*X$2</f>
        <v>0</v>
      </c>
      <c r="Y690" s="88">
        <f>SUMIF(月間集計シート!$M$71:$M$90,$G690,月間集計シート!O$71:O$90)*Y$2</f>
        <v>0</v>
      </c>
      <c r="Z690" s="88">
        <f>SUMIF(月間集計シート!$M$71:$M$90,$G690,月間集計シート!P$71:P$90)*Z$2</f>
        <v>0</v>
      </c>
      <c r="AA690" s="88">
        <f>SUMIF(月間集計シート!$M$71:$M$90,$G690,月間集計シート!Q$71:Q$90)*AA$2</f>
        <v>0</v>
      </c>
      <c r="AB690" s="88">
        <f>SUMIF(月間集計シート!$M$71:$M$90,$G690,月間集計シート!R$71:R$90)*AB$2</f>
        <v>0</v>
      </c>
      <c r="AC690" s="88">
        <f>SUMIF(月間集計シート!$M$71:$M$90,$G690,月間集計シート!S$71:S$90)*AC$2</f>
        <v>0</v>
      </c>
      <c r="AD690" s="88">
        <f>SUMIF(月間集計シート!$M$71:$M$90,$G690,月間集計シート!T$71:T$90)*AD$2</f>
        <v>0</v>
      </c>
      <c r="AE690" s="88">
        <f>SUMIF(月間集計シート!$M$92:$M$111,$G690,月間集計シート!N$92:N$111)*AE$2</f>
        <v>0</v>
      </c>
      <c r="AF690" s="88">
        <f>SUMIF(月間集計シート!$M$92:$M$111,$G690,月間集計シート!O$92:O$111)*AF$2</f>
        <v>0</v>
      </c>
      <c r="AG690" s="88">
        <f>SUMIF(月間集計シート!$M$92:$M$111,$G690,月間集計シート!P$92:P$111)*AG$2</f>
        <v>0</v>
      </c>
      <c r="AH690" s="88">
        <f>SUMIF(月間集計シート!$M$92:$M$111,$G690,月間集計シート!Q$92:Q$111)*AH$2</f>
        <v>0</v>
      </c>
      <c r="AI690" s="88">
        <f>SUMIF(月間集計シート!$M$92:$M$111,$G690,月間集計シート!R$92:R$111)*AI$2</f>
        <v>0</v>
      </c>
      <c r="AJ690" s="88">
        <f>SUMIF(月間集計シート!$M$92:$M$111,$G690,月間集計シート!S$92:S$111)*AJ$2</f>
        <v>0</v>
      </c>
      <c r="AK690" s="88">
        <f>SUMIF(月間集計シート!$M$92:$M$111,$G690,月間集計シート!T$92:T$111)*AK$2</f>
        <v>0</v>
      </c>
      <c r="AL690" s="88">
        <f>SUMIF(月間集計シート!$M$113:$M$132,$G690,月間集計シート!N$113:N$132)*AL$2</f>
        <v>0</v>
      </c>
      <c r="AM690" s="88">
        <f>SUMIF(月間集計シート!$M$113:$M$132,$G690,月間集計シート!O$113:O$132)*AM$2</f>
        <v>0</v>
      </c>
      <c r="AN690" s="88">
        <f>SUMIF(月間集計シート!$M$113:$M$132,$G690,月間集計シート!P$113:P$132)*AN$2</f>
        <v>0</v>
      </c>
      <c r="AO690" s="88">
        <f>SUMIF(月間集計シート!$M$113:$M$132,$G690,月間集計シート!Q$113:Q$132)*AO$2</f>
        <v>0</v>
      </c>
      <c r="AP690" s="88">
        <f>SUMIF(月間集計シート!$M$113:$M$132,$G690,月間集計シート!R$113:R$132)*AP$2</f>
        <v>0</v>
      </c>
      <c r="AQ690" s="88">
        <f>SUMIF(月間集計シート!$M$113:$M$132,$G690,月間集計シート!S$113:S$132)*AQ$2</f>
        <v>0</v>
      </c>
      <c r="AR690" s="88">
        <f>SUMIF(月間集計シート!$M$113:$M$132,$G690,月間集計シート!T$113:T$132)*AR$2</f>
        <v>0</v>
      </c>
      <c r="AS690" s="88">
        <f>SUMIF(月間集計シート!$M$134:$M$153,$G690,月間集計シート!N$134:N$153)*AS$2</f>
        <v>0</v>
      </c>
      <c r="AT690" s="88">
        <f>SUMIF(月間集計シート!$M$134:$M$153,$G690,月間集計シート!O$134:O$153)*AT$2</f>
        <v>0</v>
      </c>
      <c r="AU690" s="88">
        <f>SUMIF(月間集計シート!$M$134:$M$153,$G690,月間集計シート!P$134:P$153)*AU$2</f>
        <v>0</v>
      </c>
      <c r="AV690" s="88">
        <f>SUMIF(月間集計シート!$M$134:$M$153,$G690,月間集計シート!Q$134:Q$153)*AV$2</f>
        <v>0</v>
      </c>
      <c r="AW690" s="88">
        <f>SUMIF(月間集計シート!$M$134:$M$153,$G690,月間集計シート!R$134:R$153)*AW$2</f>
        <v>0</v>
      </c>
      <c r="AX690" s="88">
        <f>SUMIF(月間集計シート!$M$134:$M$153,$G690,月間集計シート!S$134:S$153)*AX$2</f>
        <v>0</v>
      </c>
      <c r="AY690" s="88">
        <f>SUMIF(月間集計シート!$M$134:$M$153,$G690,月間集計シート!T$134:T$153)*AY$2</f>
        <v>0</v>
      </c>
    </row>
    <row r="691" spans="1:51" ht="14.25" thickBot="1">
      <c r="A691">
        <v>9</v>
      </c>
      <c r="B691" s="120">
        <f t="shared" ref="B691:B754" si="358">B690</f>
        <v>0</v>
      </c>
      <c r="C691" s="120" t="str">
        <f t="shared" ref="C691:C754" si="359">C690</f>
        <v/>
      </c>
      <c r="D691" s="137"/>
      <c r="E691" s="150" t="str">
        <f>工種!A3</f>
        <v>10103</v>
      </c>
      <c r="F691" s="119" t="str">
        <f>工種!B3</f>
        <v>SRS：企画書・計画書・報告書等資料作成・修正</v>
      </c>
      <c r="G691" s="116" t="str">
        <f t="shared" si="306"/>
        <v>010103</v>
      </c>
      <c r="H691" s="88">
        <f t="shared" si="314"/>
        <v>0</v>
      </c>
      <c r="I691" s="132"/>
      <c r="J691" s="88">
        <f>SUMIF(月間集計シート!$M$29:$M$48,$G691,月間集計シート!N$29:N$48)*J$2</f>
        <v>0</v>
      </c>
      <c r="K691" s="88">
        <f>SUMIF(月間集計シート!$M$29:$M$48,$G691,月間集計シート!O$29:O$48)*K$2</f>
        <v>0</v>
      </c>
      <c r="L691" s="88">
        <f>SUMIF(月間集計シート!$M$29:$M$48,$G691,月間集計シート!P$29:P$48)*L$2</f>
        <v>0</v>
      </c>
      <c r="M691" s="88">
        <f>SUMIF(月間集計シート!$M$29:$M$48,$G691,月間集計シート!Q$29:Q$48)*M$2</f>
        <v>0</v>
      </c>
      <c r="N691" s="88">
        <f>SUMIF(月間集計シート!$M$29:$M$48,$G691,月間集計シート!R$29:R$48)*N$2</f>
        <v>0</v>
      </c>
      <c r="O691" s="88">
        <f>SUMIF(月間集計シート!$M$29:$M$48,$G691,月間集計シート!S$29:S$48)*O$2</f>
        <v>0</v>
      </c>
      <c r="P691" s="88">
        <f>SUMIF(月間集計シート!$M$29:$M$48,$G691,月間集計シート!T$29:T$48)*P$2</f>
        <v>0</v>
      </c>
      <c r="Q691" s="88">
        <f>SUMIF(月間集計シート!$M$50:$M$69,$G691,月間集計シート!N$50:N$69)*Q$2</f>
        <v>0</v>
      </c>
      <c r="R691" s="88">
        <f>SUMIF(月間集計シート!$M$50:$M$69,$G691,月間集計シート!O$50:O$69)*R$2</f>
        <v>0</v>
      </c>
      <c r="S691" s="88">
        <f>SUMIF(月間集計シート!$M$50:$M$69,$G691,月間集計シート!P$50:P$69)*S$2</f>
        <v>0</v>
      </c>
      <c r="T691" s="88">
        <f>SUMIF(月間集計シート!$M$50:$M$69,$G691,月間集計シート!Q$50:Q$69)*T$2</f>
        <v>0</v>
      </c>
      <c r="U691" s="88">
        <f>SUMIF(月間集計シート!$M$50:$M$69,$G691,月間集計シート!R$50:R$69)*U$2</f>
        <v>0</v>
      </c>
      <c r="V691" s="88">
        <f>SUMIF(月間集計シート!$M$50:$M$69,$G691,月間集計シート!S$50:S$69)*V$2</f>
        <v>0</v>
      </c>
      <c r="W691" s="88">
        <f>SUMIF(月間集計シート!$M$50:$M$69,$G691,月間集計シート!T$50:T$69)*W$2</f>
        <v>0</v>
      </c>
      <c r="X691" s="88">
        <f>SUMIF(月間集計シート!$M$71:$M$90,$G691,月間集計シート!N$71:N$90)*X$2</f>
        <v>0</v>
      </c>
      <c r="Y691" s="88">
        <f>SUMIF(月間集計シート!$M$71:$M$90,$G691,月間集計シート!O$71:O$90)*Y$2</f>
        <v>0</v>
      </c>
      <c r="Z691" s="88">
        <f>SUMIF(月間集計シート!$M$71:$M$90,$G691,月間集計シート!P$71:P$90)*Z$2</f>
        <v>0</v>
      </c>
      <c r="AA691" s="88">
        <f>SUMIF(月間集計シート!$M$71:$M$90,$G691,月間集計シート!Q$71:Q$90)*AA$2</f>
        <v>0</v>
      </c>
      <c r="AB691" s="88">
        <f>SUMIF(月間集計シート!$M$71:$M$90,$G691,月間集計シート!R$71:R$90)*AB$2</f>
        <v>0</v>
      </c>
      <c r="AC691" s="88">
        <f>SUMIF(月間集計シート!$M$71:$M$90,$G691,月間集計シート!S$71:S$90)*AC$2</f>
        <v>0</v>
      </c>
      <c r="AD691" s="88">
        <f>SUMIF(月間集計シート!$M$71:$M$90,$G691,月間集計シート!T$71:T$90)*AD$2</f>
        <v>0</v>
      </c>
      <c r="AE691" s="88">
        <f>SUMIF(月間集計シート!$M$92:$M$111,$G691,月間集計シート!N$92:N$111)*AE$2</f>
        <v>0</v>
      </c>
      <c r="AF691" s="88">
        <f>SUMIF(月間集計シート!$M$92:$M$111,$G691,月間集計シート!O$92:O$111)*AF$2</f>
        <v>0</v>
      </c>
      <c r="AG691" s="88">
        <f>SUMIF(月間集計シート!$M$92:$M$111,$G691,月間集計シート!P$92:P$111)*AG$2</f>
        <v>0</v>
      </c>
      <c r="AH691" s="88">
        <f>SUMIF(月間集計シート!$M$92:$M$111,$G691,月間集計シート!Q$92:Q$111)*AH$2</f>
        <v>0</v>
      </c>
      <c r="AI691" s="88">
        <f>SUMIF(月間集計シート!$M$92:$M$111,$G691,月間集計シート!R$92:R$111)*AI$2</f>
        <v>0</v>
      </c>
      <c r="AJ691" s="88">
        <f>SUMIF(月間集計シート!$M$92:$M$111,$G691,月間集計シート!S$92:S$111)*AJ$2</f>
        <v>0</v>
      </c>
      <c r="AK691" s="88">
        <f>SUMIF(月間集計シート!$M$92:$M$111,$G691,月間集計シート!T$92:T$111)*AK$2</f>
        <v>0</v>
      </c>
      <c r="AL691" s="88">
        <f>SUMIF(月間集計シート!$M$113:$M$132,$G691,月間集計シート!N$113:N$132)*AL$2</f>
        <v>0</v>
      </c>
      <c r="AM691" s="88">
        <f>SUMIF(月間集計シート!$M$113:$M$132,$G691,月間集計シート!O$113:O$132)*AM$2</f>
        <v>0</v>
      </c>
      <c r="AN691" s="88">
        <f>SUMIF(月間集計シート!$M$113:$M$132,$G691,月間集計シート!P$113:P$132)*AN$2</f>
        <v>0</v>
      </c>
      <c r="AO691" s="88">
        <f>SUMIF(月間集計シート!$M$113:$M$132,$G691,月間集計シート!Q$113:Q$132)*AO$2</f>
        <v>0</v>
      </c>
      <c r="AP691" s="88">
        <f>SUMIF(月間集計シート!$M$113:$M$132,$G691,月間集計シート!R$113:R$132)*AP$2</f>
        <v>0</v>
      </c>
      <c r="AQ691" s="88">
        <f>SUMIF(月間集計シート!$M$113:$M$132,$G691,月間集計シート!S$113:S$132)*AQ$2</f>
        <v>0</v>
      </c>
      <c r="AR691" s="88">
        <f>SUMIF(月間集計シート!$M$113:$M$132,$G691,月間集計シート!T$113:T$132)*AR$2</f>
        <v>0</v>
      </c>
      <c r="AS691" s="88">
        <f>SUMIF(月間集計シート!$M$134:$M$153,$G691,月間集計シート!N$134:N$153)*AS$2</f>
        <v>0</v>
      </c>
      <c r="AT691" s="88">
        <f>SUMIF(月間集計シート!$M$134:$M$153,$G691,月間集計シート!O$134:O$153)*AT$2</f>
        <v>0</v>
      </c>
      <c r="AU691" s="88">
        <f>SUMIF(月間集計シート!$M$134:$M$153,$G691,月間集計シート!P$134:P$153)*AU$2</f>
        <v>0</v>
      </c>
      <c r="AV691" s="88">
        <f>SUMIF(月間集計シート!$M$134:$M$153,$G691,月間集計シート!Q$134:Q$153)*AV$2</f>
        <v>0</v>
      </c>
      <c r="AW691" s="88">
        <f>SUMIF(月間集計シート!$M$134:$M$153,$G691,月間集計シート!R$134:R$153)*AW$2</f>
        <v>0</v>
      </c>
      <c r="AX691" s="88">
        <f>SUMIF(月間集計シート!$M$134:$M$153,$G691,月間集計シート!S$134:S$153)*AX$2</f>
        <v>0</v>
      </c>
      <c r="AY691" s="88">
        <f>SUMIF(月間集計シート!$M$134:$M$153,$G691,月間集計シート!T$134:T$153)*AY$2</f>
        <v>0</v>
      </c>
    </row>
    <row r="692" spans="1:51" ht="14.25" thickBot="1">
      <c r="A692">
        <v>9</v>
      </c>
      <c r="B692" s="120">
        <f t="shared" si="358"/>
        <v>0</v>
      </c>
      <c r="C692" s="120" t="str">
        <f t="shared" si="359"/>
        <v/>
      </c>
      <c r="D692" s="137"/>
      <c r="E692" s="150" t="str">
        <f>工種!A4</f>
        <v>10104</v>
      </c>
      <c r="F692" s="119" t="str">
        <f>工種!B4</f>
        <v>SRS：打合せ</v>
      </c>
      <c r="G692" s="116" t="str">
        <f t="shared" si="306"/>
        <v>010104</v>
      </c>
      <c r="H692" s="88">
        <f t="shared" si="314"/>
        <v>0</v>
      </c>
      <c r="I692" s="132"/>
      <c r="J692" s="88">
        <f>SUMIF(月間集計シート!$M$29:$M$48,$G692,月間集計シート!N$29:N$48)*J$2</f>
        <v>0</v>
      </c>
      <c r="K692" s="88">
        <f>SUMIF(月間集計シート!$M$29:$M$48,$G692,月間集計シート!O$29:O$48)*K$2</f>
        <v>0</v>
      </c>
      <c r="L692" s="88">
        <f>SUMIF(月間集計シート!$M$29:$M$48,$G692,月間集計シート!P$29:P$48)*L$2</f>
        <v>0</v>
      </c>
      <c r="M692" s="88">
        <f>SUMIF(月間集計シート!$M$29:$M$48,$G692,月間集計シート!Q$29:Q$48)*M$2</f>
        <v>0</v>
      </c>
      <c r="N692" s="88">
        <f>SUMIF(月間集計シート!$M$29:$M$48,$G692,月間集計シート!R$29:R$48)*N$2</f>
        <v>0</v>
      </c>
      <c r="O692" s="88">
        <f>SUMIF(月間集計シート!$M$29:$M$48,$G692,月間集計シート!S$29:S$48)*O$2</f>
        <v>0</v>
      </c>
      <c r="P692" s="88">
        <f>SUMIF(月間集計シート!$M$29:$M$48,$G692,月間集計シート!T$29:T$48)*P$2</f>
        <v>0</v>
      </c>
      <c r="Q692" s="88">
        <f>SUMIF(月間集計シート!$M$50:$M$69,$G692,月間集計シート!N$50:N$69)*Q$2</f>
        <v>0</v>
      </c>
      <c r="R692" s="88">
        <f>SUMIF(月間集計シート!$M$50:$M$69,$G692,月間集計シート!O$50:O$69)*R$2</f>
        <v>0</v>
      </c>
      <c r="S692" s="88">
        <f>SUMIF(月間集計シート!$M$50:$M$69,$G692,月間集計シート!P$50:P$69)*S$2</f>
        <v>0</v>
      </c>
      <c r="T692" s="88">
        <f>SUMIF(月間集計シート!$M$50:$M$69,$G692,月間集計シート!Q$50:Q$69)*T$2</f>
        <v>0</v>
      </c>
      <c r="U692" s="88">
        <f>SUMIF(月間集計シート!$M$50:$M$69,$G692,月間集計シート!R$50:R$69)*U$2</f>
        <v>0</v>
      </c>
      <c r="V692" s="88">
        <f>SUMIF(月間集計シート!$M$50:$M$69,$G692,月間集計シート!S$50:S$69)*V$2</f>
        <v>0</v>
      </c>
      <c r="W692" s="88">
        <f>SUMIF(月間集計シート!$M$50:$M$69,$G692,月間集計シート!T$50:T$69)*W$2</f>
        <v>0</v>
      </c>
      <c r="X692" s="88">
        <f>SUMIF(月間集計シート!$M$71:$M$90,$G692,月間集計シート!N$71:N$90)*X$2</f>
        <v>0</v>
      </c>
      <c r="Y692" s="88">
        <f>SUMIF(月間集計シート!$M$71:$M$90,$G692,月間集計シート!O$71:O$90)*Y$2</f>
        <v>0</v>
      </c>
      <c r="Z692" s="88">
        <f>SUMIF(月間集計シート!$M$71:$M$90,$G692,月間集計シート!P$71:P$90)*Z$2</f>
        <v>0</v>
      </c>
      <c r="AA692" s="88">
        <f>SUMIF(月間集計シート!$M$71:$M$90,$G692,月間集計シート!Q$71:Q$90)*AA$2</f>
        <v>0</v>
      </c>
      <c r="AB692" s="88">
        <f>SUMIF(月間集計シート!$M$71:$M$90,$G692,月間集計シート!R$71:R$90)*AB$2</f>
        <v>0</v>
      </c>
      <c r="AC692" s="88">
        <f>SUMIF(月間集計シート!$M$71:$M$90,$G692,月間集計シート!S$71:S$90)*AC$2</f>
        <v>0</v>
      </c>
      <c r="AD692" s="88">
        <f>SUMIF(月間集計シート!$M$71:$M$90,$G692,月間集計シート!T$71:T$90)*AD$2</f>
        <v>0</v>
      </c>
      <c r="AE692" s="88">
        <f>SUMIF(月間集計シート!$M$92:$M$111,$G692,月間集計シート!N$92:N$111)*AE$2</f>
        <v>0</v>
      </c>
      <c r="AF692" s="88">
        <f>SUMIF(月間集計シート!$M$92:$M$111,$G692,月間集計シート!O$92:O$111)*AF$2</f>
        <v>0</v>
      </c>
      <c r="AG692" s="88">
        <f>SUMIF(月間集計シート!$M$92:$M$111,$G692,月間集計シート!P$92:P$111)*AG$2</f>
        <v>0</v>
      </c>
      <c r="AH692" s="88">
        <f>SUMIF(月間集計シート!$M$92:$M$111,$G692,月間集計シート!Q$92:Q$111)*AH$2</f>
        <v>0</v>
      </c>
      <c r="AI692" s="88">
        <f>SUMIF(月間集計シート!$M$92:$M$111,$G692,月間集計シート!R$92:R$111)*AI$2</f>
        <v>0</v>
      </c>
      <c r="AJ692" s="88">
        <f>SUMIF(月間集計シート!$M$92:$M$111,$G692,月間集計シート!S$92:S$111)*AJ$2</f>
        <v>0</v>
      </c>
      <c r="AK692" s="88">
        <f>SUMIF(月間集計シート!$M$92:$M$111,$G692,月間集計シート!T$92:T$111)*AK$2</f>
        <v>0</v>
      </c>
      <c r="AL692" s="88">
        <f>SUMIF(月間集計シート!$M$113:$M$132,$G692,月間集計シート!N$113:N$132)*AL$2</f>
        <v>0</v>
      </c>
      <c r="AM692" s="88">
        <f>SUMIF(月間集計シート!$M$113:$M$132,$G692,月間集計シート!O$113:O$132)*AM$2</f>
        <v>0</v>
      </c>
      <c r="AN692" s="88">
        <f>SUMIF(月間集計シート!$M$113:$M$132,$G692,月間集計シート!P$113:P$132)*AN$2</f>
        <v>0</v>
      </c>
      <c r="AO692" s="88">
        <f>SUMIF(月間集計シート!$M$113:$M$132,$G692,月間集計シート!Q$113:Q$132)*AO$2</f>
        <v>0</v>
      </c>
      <c r="AP692" s="88">
        <f>SUMIF(月間集計シート!$M$113:$M$132,$G692,月間集計シート!R$113:R$132)*AP$2</f>
        <v>0</v>
      </c>
      <c r="AQ692" s="88">
        <f>SUMIF(月間集計シート!$M$113:$M$132,$G692,月間集計シート!S$113:S$132)*AQ$2</f>
        <v>0</v>
      </c>
      <c r="AR692" s="88">
        <f>SUMIF(月間集計シート!$M$113:$M$132,$G692,月間集計シート!T$113:T$132)*AR$2</f>
        <v>0</v>
      </c>
      <c r="AS692" s="88">
        <f>SUMIF(月間集計シート!$M$134:$M$153,$G692,月間集計シート!N$134:N$153)*AS$2</f>
        <v>0</v>
      </c>
      <c r="AT692" s="88">
        <f>SUMIF(月間集計シート!$M$134:$M$153,$G692,月間集計シート!O$134:O$153)*AT$2</f>
        <v>0</v>
      </c>
      <c r="AU692" s="88">
        <f>SUMIF(月間集計シート!$M$134:$M$153,$G692,月間集計シート!P$134:P$153)*AU$2</f>
        <v>0</v>
      </c>
      <c r="AV692" s="88">
        <f>SUMIF(月間集計シート!$M$134:$M$153,$G692,月間集計シート!Q$134:Q$153)*AV$2</f>
        <v>0</v>
      </c>
      <c r="AW692" s="88">
        <f>SUMIF(月間集計シート!$M$134:$M$153,$G692,月間集計シート!R$134:R$153)*AW$2</f>
        <v>0</v>
      </c>
      <c r="AX692" s="88">
        <f>SUMIF(月間集計シート!$M$134:$M$153,$G692,月間集計シート!S$134:S$153)*AX$2</f>
        <v>0</v>
      </c>
      <c r="AY692" s="88">
        <f>SUMIF(月間集計シート!$M$134:$M$153,$G692,月間集計シート!T$134:T$153)*AY$2</f>
        <v>0</v>
      </c>
    </row>
    <row r="693" spans="1:51" ht="14.25" thickBot="1">
      <c r="A693">
        <v>9</v>
      </c>
      <c r="B693" s="120">
        <f t="shared" si="358"/>
        <v>0</v>
      </c>
      <c r="C693" s="120" t="str">
        <f t="shared" si="359"/>
        <v/>
      </c>
      <c r="D693" s="137"/>
      <c r="E693" s="150" t="str">
        <f>工種!A5</f>
        <v>10105</v>
      </c>
      <c r="F693" s="119" t="str">
        <f>工種!B5</f>
        <v>SRS：レビュー</v>
      </c>
      <c r="G693" s="116" t="str">
        <f t="shared" si="306"/>
        <v>010105</v>
      </c>
      <c r="H693" s="88">
        <f t="shared" si="314"/>
        <v>0</v>
      </c>
      <c r="I693" s="132"/>
      <c r="J693" s="88">
        <f>SUMIF(月間集計シート!$M$29:$M$48,$G693,月間集計シート!N$29:N$48)*J$2</f>
        <v>0</v>
      </c>
      <c r="K693" s="88">
        <f>SUMIF(月間集計シート!$M$29:$M$48,$G693,月間集計シート!O$29:O$48)*K$2</f>
        <v>0</v>
      </c>
      <c r="L693" s="88">
        <f>SUMIF(月間集計シート!$M$29:$M$48,$G693,月間集計シート!P$29:P$48)*L$2</f>
        <v>0</v>
      </c>
      <c r="M693" s="88">
        <f>SUMIF(月間集計シート!$M$29:$M$48,$G693,月間集計シート!Q$29:Q$48)*M$2</f>
        <v>0</v>
      </c>
      <c r="N693" s="88">
        <f>SUMIF(月間集計シート!$M$29:$M$48,$G693,月間集計シート!R$29:R$48)*N$2</f>
        <v>0</v>
      </c>
      <c r="O693" s="88">
        <f>SUMIF(月間集計シート!$M$29:$M$48,$G693,月間集計シート!S$29:S$48)*O$2</f>
        <v>0</v>
      </c>
      <c r="P693" s="88">
        <f>SUMIF(月間集計シート!$M$29:$M$48,$G693,月間集計シート!T$29:T$48)*P$2</f>
        <v>0</v>
      </c>
      <c r="Q693" s="88">
        <f>SUMIF(月間集計シート!$M$50:$M$69,$G693,月間集計シート!N$50:N$69)*Q$2</f>
        <v>0</v>
      </c>
      <c r="R693" s="88">
        <f>SUMIF(月間集計シート!$M$50:$M$69,$G693,月間集計シート!O$50:O$69)*R$2</f>
        <v>0</v>
      </c>
      <c r="S693" s="88">
        <f>SUMIF(月間集計シート!$M$50:$M$69,$G693,月間集計シート!P$50:P$69)*S$2</f>
        <v>0</v>
      </c>
      <c r="T693" s="88">
        <f>SUMIF(月間集計シート!$M$50:$M$69,$G693,月間集計シート!Q$50:Q$69)*T$2</f>
        <v>0</v>
      </c>
      <c r="U693" s="88">
        <f>SUMIF(月間集計シート!$M$50:$M$69,$G693,月間集計シート!R$50:R$69)*U$2</f>
        <v>0</v>
      </c>
      <c r="V693" s="88">
        <f>SUMIF(月間集計シート!$M$50:$M$69,$G693,月間集計シート!S$50:S$69)*V$2</f>
        <v>0</v>
      </c>
      <c r="W693" s="88">
        <f>SUMIF(月間集計シート!$M$50:$M$69,$G693,月間集計シート!T$50:T$69)*W$2</f>
        <v>0</v>
      </c>
      <c r="X693" s="88">
        <f>SUMIF(月間集計シート!$M$71:$M$90,$G693,月間集計シート!N$71:N$90)*X$2</f>
        <v>0</v>
      </c>
      <c r="Y693" s="88">
        <f>SUMIF(月間集計シート!$M$71:$M$90,$G693,月間集計シート!O$71:O$90)*Y$2</f>
        <v>0</v>
      </c>
      <c r="Z693" s="88">
        <f>SUMIF(月間集計シート!$M$71:$M$90,$G693,月間集計シート!P$71:P$90)*Z$2</f>
        <v>0</v>
      </c>
      <c r="AA693" s="88">
        <f>SUMIF(月間集計シート!$M$71:$M$90,$G693,月間集計シート!Q$71:Q$90)*AA$2</f>
        <v>0</v>
      </c>
      <c r="AB693" s="88">
        <f>SUMIF(月間集計シート!$M$71:$M$90,$G693,月間集計シート!R$71:R$90)*AB$2</f>
        <v>0</v>
      </c>
      <c r="AC693" s="88">
        <f>SUMIF(月間集計シート!$M$71:$M$90,$G693,月間集計シート!S$71:S$90)*AC$2</f>
        <v>0</v>
      </c>
      <c r="AD693" s="88">
        <f>SUMIF(月間集計シート!$M$71:$M$90,$G693,月間集計シート!T$71:T$90)*AD$2</f>
        <v>0</v>
      </c>
      <c r="AE693" s="88">
        <f>SUMIF(月間集計シート!$M$92:$M$111,$G693,月間集計シート!N$92:N$111)*AE$2</f>
        <v>0</v>
      </c>
      <c r="AF693" s="88">
        <f>SUMIF(月間集計シート!$M$92:$M$111,$G693,月間集計シート!O$92:O$111)*AF$2</f>
        <v>0</v>
      </c>
      <c r="AG693" s="88">
        <f>SUMIF(月間集計シート!$M$92:$M$111,$G693,月間集計シート!P$92:P$111)*AG$2</f>
        <v>0</v>
      </c>
      <c r="AH693" s="88">
        <f>SUMIF(月間集計シート!$M$92:$M$111,$G693,月間集計シート!Q$92:Q$111)*AH$2</f>
        <v>0</v>
      </c>
      <c r="AI693" s="88">
        <f>SUMIF(月間集計シート!$M$92:$M$111,$G693,月間集計シート!R$92:R$111)*AI$2</f>
        <v>0</v>
      </c>
      <c r="AJ693" s="88">
        <f>SUMIF(月間集計シート!$M$92:$M$111,$G693,月間集計シート!S$92:S$111)*AJ$2</f>
        <v>0</v>
      </c>
      <c r="AK693" s="88">
        <f>SUMIF(月間集計シート!$M$92:$M$111,$G693,月間集計シート!T$92:T$111)*AK$2</f>
        <v>0</v>
      </c>
      <c r="AL693" s="88">
        <f>SUMIF(月間集計シート!$M$113:$M$132,$G693,月間集計シート!N$113:N$132)*AL$2</f>
        <v>0</v>
      </c>
      <c r="AM693" s="88">
        <f>SUMIF(月間集計シート!$M$113:$M$132,$G693,月間集計シート!O$113:O$132)*AM$2</f>
        <v>0</v>
      </c>
      <c r="AN693" s="88">
        <f>SUMIF(月間集計シート!$M$113:$M$132,$G693,月間集計シート!P$113:P$132)*AN$2</f>
        <v>0</v>
      </c>
      <c r="AO693" s="88">
        <f>SUMIF(月間集計シート!$M$113:$M$132,$G693,月間集計シート!Q$113:Q$132)*AO$2</f>
        <v>0</v>
      </c>
      <c r="AP693" s="88">
        <f>SUMIF(月間集計シート!$M$113:$M$132,$G693,月間集計シート!R$113:R$132)*AP$2</f>
        <v>0</v>
      </c>
      <c r="AQ693" s="88">
        <f>SUMIF(月間集計シート!$M$113:$M$132,$G693,月間集計シート!S$113:S$132)*AQ$2</f>
        <v>0</v>
      </c>
      <c r="AR693" s="88">
        <f>SUMIF(月間集計シート!$M$113:$M$132,$G693,月間集計シート!T$113:T$132)*AR$2</f>
        <v>0</v>
      </c>
      <c r="AS693" s="88">
        <f>SUMIF(月間集計シート!$M$134:$M$153,$G693,月間集計シート!N$134:N$153)*AS$2</f>
        <v>0</v>
      </c>
      <c r="AT693" s="88">
        <f>SUMIF(月間集計シート!$M$134:$M$153,$G693,月間集計シート!O$134:O$153)*AT$2</f>
        <v>0</v>
      </c>
      <c r="AU693" s="88">
        <f>SUMIF(月間集計シート!$M$134:$M$153,$G693,月間集計シート!P$134:P$153)*AU$2</f>
        <v>0</v>
      </c>
      <c r="AV693" s="88">
        <f>SUMIF(月間集計シート!$M$134:$M$153,$G693,月間集計シート!Q$134:Q$153)*AV$2</f>
        <v>0</v>
      </c>
      <c r="AW693" s="88">
        <f>SUMIF(月間集計シート!$M$134:$M$153,$G693,月間集計シート!R$134:R$153)*AW$2</f>
        <v>0</v>
      </c>
      <c r="AX693" s="88">
        <f>SUMIF(月間集計シート!$M$134:$M$153,$G693,月間集計シート!S$134:S$153)*AX$2</f>
        <v>0</v>
      </c>
      <c r="AY693" s="88">
        <f>SUMIF(月間集計シート!$M$134:$M$153,$G693,月間集計シート!T$134:T$153)*AY$2</f>
        <v>0</v>
      </c>
    </row>
    <row r="694" spans="1:51" ht="14.25" thickBot="1">
      <c r="A694">
        <v>9</v>
      </c>
      <c r="B694" s="120">
        <f t="shared" si="358"/>
        <v>0</v>
      </c>
      <c r="C694" s="120" t="str">
        <f t="shared" si="359"/>
        <v/>
      </c>
      <c r="D694" s="137"/>
      <c r="E694" s="150" t="str">
        <f>工種!A6</f>
        <v>10199</v>
      </c>
      <c r="F694" s="119" t="str">
        <f>工種!B6</f>
        <v>SRS：その他</v>
      </c>
      <c r="G694" s="116" t="str">
        <f t="shared" si="306"/>
        <v>010199</v>
      </c>
      <c r="H694" s="88">
        <f t="shared" si="314"/>
        <v>0</v>
      </c>
      <c r="I694" s="132"/>
      <c r="J694" s="88">
        <f>SUMIF(月間集計シート!$M$29:$M$48,$G694,月間集計シート!N$29:N$48)*J$2</f>
        <v>0</v>
      </c>
      <c r="K694" s="88">
        <f>SUMIF(月間集計シート!$M$29:$M$48,$G694,月間集計シート!O$29:O$48)*K$2</f>
        <v>0</v>
      </c>
      <c r="L694" s="88">
        <f>SUMIF(月間集計シート!$M$29:$M$48,$G694,月間集計シート!P$29:P$48)*L$2</f>
        <v>0</v>
      </c>
      <c r="M694" s="88">
        <f>SUMIF(月間集計シート!$M$29:$M$48,$G694,月間集計シート!Q$29:Q$48)*M$2</f>
        <v>0</v>
      </c>
      <c r="N694" s="88">
        <f>SUMIF(月間集計シート!$M$29:$M$48,$G694,月間集計シート!R$29:R$48)*N$2</f>
        <v>0</v>
      </c>
      <c r="O694" s="88">
        <f>SUMIF(月間集計シート!$M$29:$M$48,$G694,月間集計シート!S$29:S$48)*O$2</f>
        <v>0</v>
      </c>
      <c r="P694" s="88">
        <f>SUMIF(月間集計シート!$M$29:$M$48,$G694,月間集計シート!T$29:T$48)*P$2</f>
        <v>0</v>
      </c>
      <c r="Q694" s="88">
        <f>SUMIF(月間集計シート!$M$50:$M$69,$G694,月間集計シート!N$50:N$69)*Q$2</f>
        <v>0</v>
      </c>
      <c r="R694" s="88">
        <f>SUMIF(月間集計シート!$M$50:$M$69,$G694,月間集計シート!O$50:O$69)*R$2</f>
        <v>0</v>
      </c>
      <c r="S694" s="88">
        <f>SUMIF(月間集計シート!$M$50:$M$69,$G694,月間集計シート!P$50:P$69)*S$2</f>
        <v>0</v>
      </c>
      <c r="T694" s="88">
        <f>SUMIF(月間集計シート!$M$50:$M$69,$G694,月間集計シート!Q$50:Q$69)*T$2</f>
        <v>0</v>
      </c>
      <c r="U694" s="88">
        <f>SUMIF(月間集計シート!$M$50:$M$69,$G694,月間集計シート!R$50:R$69)*U$2</f>
        <v>0</v>
      </c>
      <c r="V694" s="88">
        <f>SUMIF(月間集計シート!$M$50:$M$69,$G694,月間集計シート!S$50:S$69)*V$2</f>
        <v>0</v>
      </c>
      <c r="W694" s="88">
        <f>SUMIF(月間集計シート!$M$50:$M$69,$G694,月間集計シート!T$50:T$69)*W$2</f>
        <v>0</v>
      </c>
      <c r="X694" s="88">
        <f>SUMIF(月間集計シート!$M$71:$M$90,$G694,月間集計シート!N$71:N$90)*X$2</f>
        <v>0</v>
      </c>
      <c r="Y694" s="88">
        <f>SUMIF(月間集計シート!$M$71:$M$90,$G694,月間集計シート!O$71:O$90)*Y$2</f>
        <v>0</v>
      </c>
      <c r="Z694" s="88">
        <f>SUMIF(月間集計シート!$M$71:$M$90,$G694,月間集計シート!P$71:P$90)*Z$2</f>
        <v>0</v>
      </c>
      <c r="AA694" s="88">
        <f>SUMIF(月間集計シート!$M$71:$M$90,$G694,月間集計シート!Q$71:Q$90)*AA$2</f>
        <v>0</v>
      </c>
      <c r="AB694" s="88">
        <f>SUMIF(月間集計シート!$M$71:$M$90,$G694,月間集計シート!R$71:R$90)*AB$2</f>
        <v>0</v>
      </c>
      <c r="AC694" s="88">
        <f>SUMIF(月間集計シート!$M$71:$M$90,$G694,月間集計シート!S$71:S$90)*AC$2</f>
        <v>0</v>
      </c>
      <c r="AD694" s="88">
        <f>SUMIF(月間集計シート!$M$71:$M$90,$G694,月間集計シート!T$71:T$90)*AD$2</f>
        <v>0</v>
      </c>
      <c r="AE694" s="88">
        <f>SUMIF(月間集計シート!$M$92:$M$111,$G694,月間集計シート!N$92:N$111)*AE$2</f>
        <v>0</v>
      </c>
      <c r="AF694" s="88">
        <f>SUMIF(月間集計シート!$M$92:$M$111,$G694,月間集計シート!O$92:O$111)*AF$2</f>
        <v>0</v>
      </c>
      <c r="AG694" s="88">
        <f>SUMIF(月間集計シート!$M$92:$M$111,$G694,月間集計シート!P$92:P$111)*AG$2</f>
        <v>0</v>
      </c>
      <c r="AH694" s="88">
        <f>SUMIF(月間集計シート!$M$92:$M$111,$G694,月間集計シート!Q$92:Q$111)*AH$2</f>
        <v>0</v>
      </c>
      <c r="AI694" s="88">
        <f>SUMIF(月間集計シート!$M$92:$M$111,$G694,月間集計シート!R$92:R$111)*AI$2</f>
        <v>0</v>
      </c>
      <c r="AJ694" s="88">
        <f>SUMIF(月間集計シート!$M$92:$M$111,$G694,月間集計シート!S$92:S$111)*AJ$2</f>
        <v>0</v>
      </c>
      <c r="AK694" s="88">
        <f>SUMIF(月間集計シート!$M$92:$M$111,$G694,月間集計シート!T$92:T$111)*AK$2</f>
        <v>0</v>
      </c>
      <c r="AL694" s="88">
        <f>SUMIF(月間集計シート!$M$113:$M$132,$G694,月間集計シート!N$113:N$132)*AL$2</f>
        <v>0</v>
      </c>
      <c r="AM694" s="88">
        <f>SUMIF(月間集計シート!$M$113:$M$132,$G694,月間集計シート!O$113:O$132)*AM$2</f>
        <v>0</v>
      </c>
      <c r="AN694" s="88">
        <f>SUMIF(月間集計シート!$M$113:$M$132,$G694,月間集計シート!P$113:P$132)*AN$2</f>
        <v>0</v>
      </c>
      <c r="AO694" s="88">
        <f>SUMIF(月間集計シート!$M$113:$M$132,$G694,月間集計シート!Q$113:Q$132)*AO$2</f>
        <v>0</v>
      </c>
      <c r="AP694" s="88">
        <f>SUMIF(月間集計シート!$M$113:$M$132,$G694,月間集計シート!R$113:R$132)*AP$2</f>
        <v>0</v>
      </c>
      <c r="AQ694" s="88">
        <f>SUMIF(月間集計シート!$M$113:$M$132,$G694,月間集計シート!S$113:S$132)*AQ$2</f>
        <v>0</v>
      </c>
      <c r="AR694" s="88">
        <f>SUMIF(月間集計シート!$M$113:$M$132,$G694,月間集計シート!T$113:T$132)*AR$2</f>
        <v>0</v>
      </c>
      <c r="AS694" s="88">
        <f>SUMIF(月間集計シート!$M$134:$M$153,$G694,月間集計シート!N$134:N$153)*AS$2</f>
        <v>0</v>
      </c>
      <c r="AT694" s="88">
        <f>SUMIF(月間集計シート!$M$134:$M$153,$G694,月間集計シート!O$134:O$153)*AT$2</f>
        <v>0</v>
      </c>
      <c r="AU694" s="88">
        <f>SUMIF(月間集計シート!$M$134:$M$153,$G694,月間集計シート!P$134:P$153)*AU$2</f>
        <v>0</v>
      </c>
      <c r="AV694" s="88">
        <f>SUMIF(月間集計シート!$M$134:$M$153,$G694,月間集計シート!Q$134:Q$153)*AV$2</f>
        <v>0</v>
      </c>
      <c r="AW694" s="88">
        <f>SUMIF(月間集計シート!$M$134:$M$153,$G694,月間集計シート!R$134:R$153)*AW$2</f>
        <v>0</v>
      </c>
      <c r="AX694" s="88">
        <f>SUMIF(月間集計シート!$M$134:$M$153,$G694,月間集計シート!S$134:S$153)*AX$2</f>
        <v>0</v>
      </c>
      <c r="AY694" s="88">
        <f>SUMIF(月間集計シート!$M$134:$M$153,$G694,月間集計シート!T$134:T$153)*AY$2</f>
        <v>0</v>
      </c>
    </row>
    <row r="695" spans="1:51" ht="14.25" thickBot="1">
      <c r="A695">
        <v>9</v>
      </c>
      <c r="B695" s="120">
        <f t="shared" si="358"/>
        <v>0</v>
      </c>
      <c r="C695" s="120" t="str">
        <f t="shared" si="359"/>
        <v/>
      </c>
      <c r="D695" s="137"/>
      <c r="E695" s="150" t="str">
        <f>工種!A7</f>
        <v>20101</v>
      </c>
      <c r="F695" s="119" t="str">
        <f>工種!B7</f>
        <v>設計：外部設計書作成</v>
      </c>
      <c r="G695" s="116" t="str">
        <f t="shared" si="306"/>
        <v>020101</v>
      </c>
      <c r="H695" s="88">
        <f t="shared" si="314"/>
        <v>0</v>
      </c>
      <c r="I695" s="132"/>
      <c r="J695" s="88">
        <f>SUMIF(月間集計シート!$M$29:$M$48,$G695,月間集計シート!N$29:N$48)*J$2</f>
        <v>0</v>
      </c>
      <c r="K695" s="88">
        <f>SUMIF(月間集計シート!$M$29:$M$48,$G695,月間集計シート!O$29:O$48)*K$2</f>
        <v>0</v>
      </c>
      <c r="L695" s="88">
        <f>SUMIF(月間集計シート!$M$29:$M$48,$G695,月間集計シート!P$29:P$48)*L$2</f>
        <v>0</v>
      </c>
      <c r="M695" s="88">
        <f>SUMIF(月間集計シート!$M$29:$M$48,$G695,月間集計シート!Q$29:Q$48)*M$2</f>
        <v>0</v>
      </c>
      <c r="N695" s="88">
        <f>SUMIF(月間集計シート!$M$29:$M$48,$G695,月間集計シート!R$29:R$48)*N$2</f>
        <v>0</v>
      </c>
      <c r="O695" s="88">
        <f>SUMIF(月間集計シート!$M$29:$M$48,$G695,月間集計シート!S$29:S$48)*O$2</f>
        <v>0</v>
      </c>
      <c r="P695" s="88">
        <f>SUMIF(月間集計シート!$M$29:$M$48,$G695,月間集計シート!T$29:T$48)*P$2</f>
        <v>0</v>
      </c>
      <c r="Q695" s="88">
        <f>SUMIF(月間集計シート!$M$50:$M$69,$G695,月間集計シート!N$50:N$69)*Q$2</f>
        <v>0</v>
      </c>
      <c r="R695" s="88">
        <f>SUMIF(月間集計シート!$M$50:$M$69,$G695,月間集計シート!O$50:O$69)*R$2</f>
        <v>0</v>
      </c>
      <c r="S695" s="88">
        <f>SUMIF(月間集計シート!$M$50:$M$69,$G695,月間集計シート!P$50:P$69)*S$2</f>
        <v>0</v>
      </c>
      <c r="T695" s="88">
        <f>SUMIF(月間集計シート!$M$50:$M$69,$G695,月間集計シート!Q$50:Q$69)*T$2</f>
        <v>0</v>
      </c>
      <c r="U695" s="88">
        <f>SUMIF(月間集計シート!$M$50:$M$69,$G695,月間集計シート!R$50:R$69)*U$2</f>
        <v>0</v>
      </c>
      <c r="V695" s="88">
        <f>SUMIF(月間集計シート!$M$50:$M$69,$G695,月間集計シート!S$50:S$69)*V$2</f>
        <v>0</v>
      </c>
      <c r="W695" s="88">
        <f>SUMIF(月間集計シート!$M$50:$M$69,$G695,月間集計シート!T$50:T$69)*W$2</f>
        <v>0</v>
      </c>
      <c r="X695" s="88">
        <f>SUMIF(月間集計シート!$M$71:$M$90,$G695,月間集計シート!N$71:N$90)*X$2</f>
        <v>0</v>
      </c>
      <c r="Y695" s="88">
        <f>SUMIF(月間集計シート!$M$71:$M$90,$G695,月間集計シート!O$71:O$90)*Y$2</f>
        <v>0</v>
      </c>
      <c r="Z695" s="88">
        <f>SUMIF(月間集計シート!$M$71:$M$90,$G695,月間集計シート!P$71:P$90)*Z$2</f>
        <v>0</v>
      </c>
      <c r="AA695" s="88">
        <f>SUMIF(月間集計シート!$M$71:$M$90,$G695,月間集計シート!Q$71:Q$90)*AA$2</f>
        <v>0</v>
      </c>
      <c r="AB695" s="88">
        <f>SUMIF(月間集計シート!$M$71:$M$90,$G695,月間集計シート!R$71:R$90)*AB$2</f>
        <v>0</v>
      </c>
      <c r="AC695" s="88">
        <f>SUMIF(月間集計シート!$M$71:$M$90,$G695,月間集計シート!S$71:S$90)*AC$2</f>
        <v>0</v>
      </c>
      <c r="AD695" s="88">
        <f>SUMIF(月間集計シート!$M$71:$M$90,$G695,月間集計シート!T$71:T$90)*AD$2</f>
        <v>0</v>
      </c>
      <c r="AE695" s="88">
        <f>SUMIF(月間集計シート!$M$92:$M$111,$G695,月間集計シート!N$92:N$111)*AE$2</f>
        <v>0</v>
      </c>
      <c r="AF695" s="88">
        <f>SUMIF(月間集計シート!$M$92:$M$111,$G695,月間集計シート!O$92:O$111)*AF$2</f>
        <v>0</v>
      </c>
      <c r="AG695" s="88">
        <f>SUMIF(月間集計シート!$M$92:$M$111,$G695,月間集計シート!P$92:P$111)*AG$2</f>
        <v>0</v>
      </c>
      <c r="AH695" s="88">
        <f>SUMIF(月間集計シート!$M$92:$M$111,$G695,月間集計シート!Q$92:Q$111)*AH$2</f>
        <v>0</v>
      </c>
      <c r="AI695" s="88">
        <f>SUMIF(月間集計シート!$M$92:$M$111,$G695,月間集計シート!R$92:R$111)*AI$2</f>
        <v>0</v>
      </c>
      <c r="AJ695" s="88">
        <f>SUMIF(月間集計シート!$M$92:$M$111,$G695,月間集計シート!S$92:S$111)*AJ$2</f>
        <v>0</v>
      </c>
      <c r="AK695" s="88">
        <f>SUMIF(月間集計シート!$M$92:$M$111,$G695,月間集計シート!T$92:T$111)*AK$2</f>
        <v>0</v>
      </c>
      <c r="AL695" s="88">
        <f>SUMIF(月間集計シート!$M$113:$M$132,$G695,月間集計シート!N$113:N$132)*AL$2</f>
        <v>0</v>
      </c>
      <c r="AM695" s="88">
        <f>SUMIF(月間集計シート!$M$113:$M$132,$G695,月間集計シート!O$113:O$132)*AM$2</f>
        <v>0</v>
      </c>
      <c r="AN695" s="88">
        <f>SUMIF(月間集計シート!$M$113:$M$132,$G695,月間集計シート!P$113:P$132)*AN$2</f>
        <v>0</v>
      </c>
      <c r="AO695" s="88">
        <f>SUMIF(月間集計シート!$M$113:$M$132,$G695,月間集計シート!Q$113:Q$132)*AO$2</f>
        <v>0</v>
      </c>
      <c r="AP695" s="88">
        <f>SUMIF(月間集計シート!$M$113:$M$132,$G695,月間集計シート!R$113:R$132)*AP$2</f>
        <v>0</v>
      </c>
      <c r="AQ695" s="88">
        <f>SUMIF(月間集計シート!$M$113:$M$132,$G695,月間集計シート!S$113:S$132)*AQ$2</f>
        <v>0</v>
      </c>
      <c r="AR695" s="88">
        <f>SUMIF(月間集計シート!$M$113:$M$132,$G695,月間集計シート!T$113:T$132)*AR$2</f>
        <v>0</v>
      </c>
      <c r="AS695" s="88">
        <f>SUMIF(月間集計シート!$M$134:$M$153,$G695,月間集計シート!N$134:N$153)*AS$2</f>
        <v>0</v>
      </c>
      <c r="AT695" s="88">
        <f>SUMIF(月間集計シート!$M$134:$M$153,$G695,月間集計シート!O$134:O$153)*AT$2</f>
        <v>0</v>
      </c>
      <c r="AU695" s="88">
        <f>SUMIF(月間集計シート!$M$134:$M$153,$G695,月間集計シート!P$134:P$153)*AU$2</f>
        <v>0</v>
      </c>
      <c r="AV695" s="88">
        <f>SUMIF(月間集計シート!$M$134:$M$153,$G695,月間集計シート!Q$134:Q$153)*AV$2</f>
        <v>0</v>
      </c>
      <c r="AW695" s="88">
        <f>SUMIF(月間集計シート!$M$134:$M$153,$G695,月間集計シート!R$134:R$153)*AW$2</f>
        <v>0</v>
      </c>
      <c r="AX695" s="88">
        <f>SUMIF(月間集計シート!$M$134:$M$153,$G695,月間集計シート!S$134:S$153)*AX$2</f>
        <v>0</v>
      </c>
      <c r="AY695" s="88">
        <f>SUMIF(月間集計シート!$M$134:$M$153,$G695,月間集計シート!T$134:T$153)*AY$2</f>
        <v>0</v>
      </c>
    </row>
    <row r="696" spans="1:51" ht="14.25" thickBot="1">
      <c r="A696">
        <v>9</v>
      </c>
      <c r="B696" s="120">
        <f t="shared" si="358"/>
        <v>0</v>
      </c>
      <c r="C696" s="120" t="str">
        <f t="shared" si="359"/>
        <v/>
      </c>
      <c r="D696" s="137"/>
      <c r="E696" s="150" t="str">
        <f>工種!A8</f>
        <v>20103</v>
      </c>
      <c r="F696" s="119" t="str">
        <f>工種!B8</f>
        <v>設計：打合せ</v>
      </c>
      <c r="G696" s="116" t="str">
        <f t="shared" si="306"/>
        <v>020103</v>
      </c>
      <c r="H696" s="88">
        <f t="shared" si="314"/>
        <v>0</v>
      </c>
      <c r="I696" s="132"/>
      <c r="J696" s="88">
        <f>SUMIF(月間集計シート!$M$29:$M$48,$G696,月間集計シート!N$29:N$48)*J$2</f>
        <v>0</v>
      </c>
      <c r="K696" s="88">
        <f>SUMIF(月間集計シート!$M$29:$M$48,$G696,月間集計シート!O$29:O$48)*K$2</f>
        <v>0</v>
      </c>
      <c r="L696" s="88">
        <f>SUMIF(月間集計シート!$M$29:$M$48,$G696,月間集計シート!P$29:P$48)*L$2</f>
        <v>0</v>
      </c>
      <c r="M696" s="88">
        <f>SUMIF(月間集計シート!$M$29:$M$48,$G696,月間集計シート!Q$29:Q$48)*M$2</f>
        <v>0</v>
      </c>
      <c r="N696" s="88">
        <f>SUMIF(月間集計シート!$M$29:$M$48,$G696,月間集計シート!R$29:R$48)*N$2</f>
        <v>0</v>
      </c>
      <c r="O696" s="88">
        <f>SUMIF(月間集計シート!$M$29:$M$48,$G696,月間集計シート!S$29:S$48)*O$2</f>
        <v>0</v>
      </c>
      <c r="P696" s="88">
        <f>SUMIF(月間集計シート!$M$29:$M$48,$G696,月間集計シート!T$29:T$48)*P$2</f>
        <v>0</v>
      </c>
      <c r="Q696" s="88">
        <f>SUMIF(月間集計シート!$M$50:$M$69,$G696,月間集計シート!N$50:N$69)*Q$2</f>
        <v>0</v>
      </c>
      <c r="R696" s="88">
        <f>SUMIF(月間集計シート!$M$50:$M$69,$G696,月間集計シート!O$50:O$69)*R$2</f>
        <v>0</v>
      </c>
      <c r="S696" s="88">
        <f>SUMIF(月間集計シート!$M$50:$M$69,$G696,月間集計シート!P$50:P$69)*S$2</f>
        <v>0</v>
      </c>
      <c r="T696" s="88">
        <f>SUMIF(月間集計シート!$M$50:$M$69,$G696,月間集計シート!Q$50:Q$69)*T$2</f>
        <v>0</v>
      </c>
      <c r="U696" s="88">
        <f>SUMIF(月間集計シート!$M$50:$M$69,$G696,月間集計シート!R$50:R$69)*U$2</f>
        <v>0</v>
      </c>
      <c r="V696" s="88">
        <f>SUMIF(月間集計シート!$M$50:$M$69,$G696,月間集計シート!S$50:S$69)*V$2</f>
        <v>0</v>
      </c>
      <c r="W696" s="88">
        <f>SUMIF(月間集計シート!$M$50:$M$69,$G696,月間集計シート!T$50:T$69)*W$2</f>
        <v>0</v>
      </c>
      <c r="X696" s="88">
        <f>SUMIF(月間集計シート!$M$71:$M$90,$G696,月間集計シート!N$71:N$90)*X$2</f>
        <v>0</v>
      </c>
      <c r="Y696" s="88">
        <f>SUMIF(月間集計シート!$M$71:$M$90,$G696,月間集計シート!O$71:O$90)*Y$2</f>
        <v>0</v>
      </c>
      <c r="Z696" s="88">
        <f>SUMIF(月間集計シート!$M$71:$M$90,$G696,月間集計シート!P$71:P$90)*Z$2</f>
        <v>0</v>
      </c>
      <c r="AA696" s="88">
        <f>SUMIF(月間集計シート!$M$71:$M$90,$G696,月間集計シート!Q$71:Q$90)*AA$2</f>
        <v>0</v>
      </c>
      <c r="AB696" s="88">
        <f>SUMIF(月間集計シート!$M$71:$M$90,$G696,月間集計シート!R$71:R$90)*AB$2</f>
        <v>0</v>
      </c>
      <c r="AC696" s="88">
        <f>SUMIF(月間集計シート!$M$71:$M$90,$G696,月間集計シート!S$71:S$90)*AC$2</f>
        <v>0</v>
      </c>
      <c r="AD696" s="88">
        <f>SUMIF(月間集計シート!$M$71:$M$90,$G696,月間集計シート!T$71:T$90)*AD$2</f>
        <v>0</v>
      </c>
      <c r="AE696" s="88">
        <f>SUMIF(月間集計シート!$M$92:$M$111,$G696,月間集計シート!N$92:N$111)*AE$2</f>
        <v>0</v>
      </c>
      <c r="AF696" s="88">
        <f>SUMIF(月間集計シート!$M$92:$M$111,$G696,月間集計シート!O$92:O$111)*AF$2</f>
        <v>0</v>
      </c>
      <c r="AG696" s="88">
        <f>SUMIF(月間集計シート!$M$92:$M$111,$G696,月間集計シート!P$92:P$111)*AG$2</f>
        <v>0</v>
      </c>
      <c r="AH696" s="88">
        <f>SUMIF(月間集計シート!$M$92:$M$111,$G696,月間集計シート!Q$92:Q$111)*AH$2</f>
        <v>0</v>
      </c>
      <c r="AI696" s="88">
        <f>SUMIF(月間集計シート!$M$92:$M$111,$G696,月間集計シート!R$92:R$111)*AI$2</f>
        <v>0</v>
      </c>
      <c r="AJ696" s="88">
        <f>SUMIF(月間集計シート!$M$92:$M$111,$G696,月間集計シート!S$92:S$111)*AJ$2</f>
        <v>0</v>
      </c>
      <c r="AK696" s="88">
        <f>SUMIF(月間集計シート!$M$92:$M$111,$G696,月間集計シート!T$92:T$111)*AK$2</f>
        <v>0</v>
      </c>
      <c r="AL696" s="88">
        <f>SUMIF(月間集計シート!$M$113:$M$132,$G696,月間集計シート!N$113:N$132)*AL$2</f>
        <v>0</v>
      </c>
      <c r="AM696" s="88">
        <f>SUMIF(月間集計シート!$M$113:$M$132,$G696,月間集計シート!O$113:O$132)*AM$2</f>
        <v>0</v>
      </c>
      <c r="AN696" s="88">
        <f>SUMIF(月間集計シート!$M$113:$M$132,$G696,月間集計シート!P$113:P$132)*AN$2</f>
        <v>0</v>
      </c>
      <c r="AO696" s="88">
        <f>SUMIF(月間集計シート!$M$113:$M$132,$G696,月間集計シート!Q$113:Q$132)*AO$2</f>
        <v>0</v>
      </c>
      <c r="AP696" s="88">
        <f>SUMIF(月間集計シート!$M$113:$M$132,$G696,月間集計シート!R$113:R$132)*AP$2</f>
        <v>0</v>
      </c>
      <c r="AQ696" s="88">
        <f>SUMIF(月間集計シート!$M$113:$M$132,$G696,月間集計シート!S$113:S$132)*AQ$2</f>
        <v>0</v>
      </c>
      <c r="AR696" s="88">
        <f>SUMIF(月間集計シート!$M$113:$M$132,$G696,月間集計シート!T$113:T$132)*AR$2</f>
        <v>0</v>
      </c>
      <c r="AS696" s="88">
        <f>SUMIF(月間集計シート!$M$134:$M$153,$G696,月間集計シート!N$134:N$153)*AS$2</f>
        <v>0</v>
      </c>
      <c r="AT696" s="88">
        <f>SUMIF(月間集計シート!$M$134:$M$153,$G696,月間集計シート!O$134:O$153)*AT$2</f>
        <v>0</v>
      </c>
      <c r="AU696" s="88">
        <f>SUMIF(月間集計シート!$M$134:$M$153,$G696,月間集計シート!P$134:P$153)*AU$2</f>
        <v>0</v>
      </c>
      <c r="AV696" s="88">
        <f>SUMIF(月間集計シート!$M$134:$M$153,$G696,月間集計シート!Q$134:Q$153)*AV$2</f>
        <v>0</v>
      </c>
      <c r="AW696" s="88">
        <f>SUMIF(月間集計シート!$M$134:$M$153,$G696,月間集計シート!R$134:R$153)*AW$2</f>
        <v>0</v>
      </c>
      <c r="AX696" s="88">
        <f>SUMIF(月間集計シート!$M$134:$M$153,$G696,月間集計シート!S$134:S$153)*AX$2</f>
        <v>0</v>
      </c>
      <c r="AY696" s="88">
        <f>SUMIF(月間集計シート!$M$134:$M$153,$G696,月間集計シート!T$134:T$153)*AY$2</f>
        <v>0</v>
      </c>
    </row>
    <row r="697" spans="1:51" ht="14.25" thickBot="1">
      <c r="A697">
        <v>9</v>
      </c>
      <c r="B697" s="120">
        <f t="shared" si="358"/>
        <v>0</v>
      </c>
      <c r="C697" s="120" t="str">
        <f t="shared" si="359"/>
        <v/>
      </c>
      <c r="D697" s="137"/>
      <c r="E697" s="150">
        <f>工種!A9</f>
        <v>20105</v>
      </c>
      <c r="F697" s="119" t="str">
        <f>工種!B9</f>
        <v>設計：原因調査・影響範囲分析・変更仕様作成</v>
      </c>
      <c r="G697" s="116" t="str">
        <f t="shared" si="306"/>
        <v>020105</v>
      </c>
      <c r="H697" s="88">
        <f t="shared" si="314"/>
        <v>0</v>
      </c>
      <c r="I697" s="132"/>
      <c r="J697" s="88">
        <f>SUMIF(月間集計シート!$M$29:$M$48,$G697,月間集計シート!N$29:N$48)*J$2</f>
        <v>0</v>
      </c>
      <c r="K697" s="88">
        <f>SUMIF(月間集計シート!$M$29:$M$48,$G697,月間集計シート!O$29:O$48)*K$2</f>
        <v>0</v>
      </c>
      <c r="L697" s="88">
        <f>SUMIF(月間集計シート!$M$29:$M$48,$G697,月間集計シート!P$29:P$48)*L$2</f>
        <v>0</v>
      </c>
      <c r="M697" s="88">
        <f>SUMIF(月間集計シート!$M$29:$M$48,$G697,月間集計シート!Q$29:Q$48)*M$2</f>
        <v>0</v>
      </c>
      <c r="N697" s="88">
        <f>SUMIF(月間集計シート!$M$29:$M$48,$G697,月間集計シート!R$29:R$48)*N$2</f>
        <v>0</v>
      </c>
      <c r="O697" s="88">
        <f>SUMIF(月間集計シート!$M$29:$M$48,$G697,月間集計シート!S$29:S$48)*O$2</f>
        <v>0</v>
      </c>
      <c r="P697" s="88">
        <f>SUMIF(月間集計シート!$M$29:$M$48,$G697,月間集計シート!T$29:T$48)*P$2</f>
        <v>0</v>
      </c>
      <c r="Q697" s="88">
        <f>SUMIF(月間集計シート!$M$50:$M$69,$G697,月間集計シート!N$50:N$69)*Q$2</f>
        <v>0</v>
      </c>
      <c r="R697" s="88">
        <f>SUMIF(月間集計シート!$M$50:$M$69,$G697,月間集計シート!O$50:O$69)*R$2</f>
        <v>0</v>
      </c>
      <c r="S697" s="88">
        <f>SUMIF(月間集計シート!$M$50:$M$69,$G697,月間集計シート!P$50:P$69)*S$2</f>
        <v>0</v>
      </c>
      <c r="T697" s="88">
        <f>SUMIF(月間集計シート!$M$50:$M$69,$G697,月間集計シート!Q$50:Q$69)*T$2</f>
        <v>0</v>
      </c>
      <c r="U697" s="88">
        <f>SUMIF(月間集計シート!$M$50:$M$69,$G697,月間集計シート!R$50:R$69)*U$2</f>
        <v>0</v>
      </c>
      <c r="V697" s="88">
        <f>SUMIF(月間集計シート!$M$50:$M$69,$G697,月間集計シート!S$50:S$69)*V$2</f>
        <v>0</v>
      </c>
      <c r="W697" s="88">
        <f>SUMIF(月間集計シート!$M$50:$M$69,$G697,月間集計シート!T$50:T$69)*W$2</f>
        <v>0</v>
      </c>
      <c r="X697" s="88">
        <f>SUMIF(月間集計シート!$M$71:$M$90,$G697,月間集計シート!N$71:N$90)*X$2</f>
        <v>0</v>
      </c>
      <c r="Y697" s="88">
        <f>SUMIF(月間集計シート!$M$71:$M$90,$G697,月間集計シート!O$71:O$90)*Y$2</f>
        <v>0</v>
      </c>
      <c r="Z697" s="88">
        <f>SUMIF(月間集計シート!$M$71:$M$90,$G697,月間集計シート!P$71:P$90)*Z$2</f>
        <v>0</v>
      </c>
      <c r="AA697" s="88">
        <f>SUMIF(月間集計シート!$M$71:$M$90,$G697,月間集計シート!Q$71:Q$90)*AA$2</f>
        <v>0</v>
      </c>
      <c r="AB697" s="88">
        <f>SUMIF(月間集計シート!$M$71:$M$90,$G697,月間集計シート!R$71:R$90)*AB$2</f>
        <v>0</v>
      </c>
      <c r="AC697" s="88">
        <f>SUMIF(月間集計シート!$M$71:$M$90,$G697,月間集計シート!S$71:S$90)*AC$2</f>
        <v>0</v>
      </c>
      <c r="AD697" s="88">
        <f>SUMIF(月間集計シート!$M$71:$M$90,$G697,月間集計シート!T$71:T$90)*AD$2</f>
        <v>0</v>
      </c>
      <c r="AE697" s="88">
        <f>SUMIF(月間集計シート!$M$92:$M$111,$G697,月間集計シート!N$92:N$111)*AE$2</f>
        <v>0</v>
      </c>
      <c r="AF697" s="88">
        <f>SUMIF(月間集計シート!$M$92:$M$111,$G697,月間集計シート!O$92:O$111)*AF$2</f>
        <v>0</v>
      </c>
      <c r="AG697" s="88">
        <f>SUMIF(月間集計シート!$M$92:$M$111,$G697,月間集計シート!P$92:P$111)*AG$2</f>
        <v>0</v>
      </c>
      <c r="AH697" s="88">
        <f>SUMIF(月間集計シート!$M$92:$M$111,$G697,月間集計シート!Q$92:Q$111)*AH$2</f>
        <v>0</v>
      </c>
      <c r="AI697" s="88">
        <f>SUMIF(月間集計シート!$M$92:$M$111,$G697,月間集計シート!R$92:R$111)*AI$2</f>
        <v>0</v>
      </c>
      <c r="AJ697" s="88">
        <f>SUMIF(月間集計シート!$M$92:$M$111,$G697,月間集計シート!S$92:S$111)*AJ$2</f>
        <v>0</v>
      </c>
      <c r="AK697" s="88">
        <f>SUMIF(月間集計シート!$M$92:$M$111,$G697,月間集計シート!T$92:T$111)*AK$2</f>
        <v>0</v>
      </c>
      <c r="AL697" s="88">
        <f>SUMIF(月間集計シート!$M$113:$M$132,$G697,月間集計シート!N$113:N$132)*AL$2</f>
        <v>0</v>
      </c>
      <c r="AM697" s="88">
        <f>SUMIF(月間集計シート!$M$113:$M$132,$G697,月間集計シート!O$113:O$132)*AM$2</f>
        <v>0</v>
      </c>
      <c r="AN697" s="88">
        <f>SUMIF(月間集計シート!$M$113:$M$132,$G697,月間集計シート!P$113:P$132)*AN$2</f>
        <v>0</v>
      </c>
      <c r="AO697" s="88">
        <f>SUMIF(月間集計シート!$M$113:$M$132,$G697,月間集計シート!Q$113:Q$132)*AO$2</f>
        <v>0</v>
      </c>
      <c r="AP697" s="88">
        <f>SUMIF(月間集計シート!$M$113:$M$132,$G697,月間集計シート!R$113:R$132)*AP$2</f>
        <v>0</v>
      </c>
      <c r="AQ697" s="88">
        <f>SUMIF(月間集計シート!$M$113:$M$132,$G697,月間集計シート!S$113:S$132)*AQ$2</f>
        <v>0</v>
      </c>
      <c r="AR697" s="88">
        <f>SUMIF(月間集計シート!$M$113:$M$132,$G697,月間集計シート!T$113:T$132)*AR$2</f>
        <v>0</v>
      </c>
      <c r="AS697" s="88">
        <f>SUMIF(月間集計シート!$M$134:$M$153,$G697,月間集計シート!N$134:N$153)*AS$2</f>
        <v>0</v>
      </c>
      <c r="AT697" s="88">
        <f>SUMIF(月間集計シート!$M$134:$M$153,$G697,月間集計シート!O$134:O$153)*AT$2</f>
        <v>0</v>
      </c>
      <c r="AU697" s="88">
        <f>SUMIF(月間集計シート!$M$134:$M$153,$G697,月間集計シート!P$134:P$153)*AU$2</f>
        <v>0</v>
      </c>
      <c r="AV697" s="88">
        <f>SUMIF(月間集計シート!$M$134:$M$153,$G697,月間集計シート!Q$134:Q$153)*AV$2</f>
        <v>0</v>
      </c>
      <c r="AW697" s="88">
        <f>SUMIF(月間集計シート!$M$134:$M$153,$G697,月間集計シート!R$134:R$153)*AW$2</f>
        <v>0</v>
      </c>
      <c r="AX697" s="88">
        <f>SUMIF(月間集計シート!$M$134:$M$153,$G697,月間集計シート!S$134:S$153)*AX$2</f>
        <v>0</v>
      </c>
      <c r="AY697" s="88">
        <f>SUMIF(月間集計シート!$M$134:$M$153,$G697,月間集計シート!T$134:T$153)*AY$2</f>
        <v>0</v>
      </c>
    </row>
    <row r="698" spans="1:51" ht="14.25" thickBot="1">
      <c r="A698">
        <v>9</v>
      </c>
      <c r="B698" s="120">
        <f t="shared" si="358"/>
        <v>0</v>
      </c>
      <c r="C698" s="120" t="str">
        <f t="shared" si="359"/>
        <v/>
      </c>
      <c r="D698" s="137"/>
      <c r="E698" s="150" t="str">
        <f>工種!A10</f>
        <v>20106</v>
      </c>
      <c r="F698" s="119" t="str">
        <f>工種!B10</f>
        <v>設計：設計書修正（手戻り分）</v>
      </c>
      <c r="G698" s="116" t="str">
        <f t="shared" si="306"/>
        <v>020106</v>
      </c>
      <c r="H698" s="88">
        <f t="shared" si="314"/>
        <v>0</v>
      </c>
      <c r="I698" s="132"/>
      <c r="J698" s="88">
        <f>SUMIF(月間集計シート!$M$29:$M$48,$G698,月間集計シート!N$29:N$48)*J$2</f>
        <v>0</v>
      </c>
      <c r="K698" s="88">
        <f>SUMIF(月間集計シート!$M$29:$M$48,$G698,月間集計シート!O$29:O$48)*K$2</f>
        <v>0</v>
      </c>
      <c r="L698" s="88">
        <f>SUMIF(月間集計シート!$M$29:$M$48,$G698,月間集計シート!P$29:P$48)*L$2</f>
        <v>0</v>
      </c>
      <c r="M698" s="88">
        <f>SUMIF(月間集計シート!$M$29:$M$48,$G698,月間集計シート!Q$29:Q$48)*M$2</f>
        <v>0</v>
      </c>
      <c r="N698" s="88">
        <f>SUMIF(月間集計シート!$M$29:$M$48,$G698,月間集計シート!R$29:R$48)*N$2</f>
        <v>0</v>
      </c>
      <c r="O698" s="88">
        <f>SUMIF(月間集計シート!$M$29:$M$48,$G698,月間集計シート!S$29:S$48)*O$2</f>
        <v>0</v>
      </c>
      <c r="P698" s="88">
        <f>SUMIF(月間集計シート!$M$29:$M$48,$G698,月間集計シート!T$29:T$48)*P$2</f>
        <v>0</v>
      </c>
      <c r="Q698" s="88">
        <f>SUMIF(月間集計シート!$M$50:$M$69,$G698,月間集計シート!N$50:N$69)*Q$2</f>
        <v>0</v>
      </c>
      <c r="R698" s="88">
        <f>SUMIF(月間集計シート!$M$50:$M$69,$G698,月間集計シート!O$50:O$69)*R$2</f>
        <v>0</v>
      </c>
      <c r="S698" s="88">
        <f>SUMIF(月間集計シート!$M$50:$M$69,$G698,月間集計シート!P$50:P$69)*S$2</f>
        <v>0</v>
      </c>
      <c r="T698" s="88">
        <f>SUMIF(月間集計シート!$M$50:$M$69,$G698,月間集計シート!Q$50:Q$69)*T$2</f>
        <v>0</v>
      </c>
      <c r="U698" s="88">
        <f>SUMIF(月間集計シート!$M$50:$M$69,$G698,月間集計シート!R$50:R$69)*U$2</f>
        <v>0</v>
      </c>
      <c r="V698" s="88">
        <f>SUMIF(月間集計シート!$M$50:$M$69,$G698,月間集計シート!S$50:S$69)*V$2</f>
        <v>0</v>
      </c>
      <c r="W698" s="88">
        <f>SUMIF(月間集計シート!$M$50:$M$69,$G698,月間集計シート!T$50:T$69)*W$2</f>
        <v>0</v>
      </c>
      <c r="X698" s="88">
        <f>SUMIF(月間集計シート!$M$71:$M$90,$G698,月間集計シート!N$71:N$90)*X$2</f>
        <v>0</v>
      </c>
      <c r="Y698" s="88">
        <f>SUMIF(月間集計シート!$M$71:$M$90,$G698,月間集計シート!O$71:O$90)*Y$2</f>
        <v>0</v>
      </c>
      <c r="Z698" s="88">
        <f>SUMIF(月間集計シート!$M$71:$M$90,$G698,月間集計シート!P$71:P$90)*Z$2</f>
        <v>0</v>
      </c>
      <c r="AA698" s="88">
        <f>SUMIF(月間集計シート!$M$71:$M$90,$G698,月間集計シート!Q$71:Q$90)*AA$2</f>
        <v>0</v>
      </c>
      <c r="AB698" s="88">
        <f>SUMIF(月間集計シート!$M$71:$M$90,$G698,月間集計シート!R$71:R$90)*AB$2</f>
        <v>0</v>
      </c>
      <c r="AC698" s="88">
        <f>SUMIF(月間集計シート!$M$71:$M$90,$G698,月間集計シート!S$71:S$90)*AC$2</f>
        <v>0</v>
      </c>
      <c r="AD698" s="88">
        <f>SUMIF(月間集計シート!$M$71:$M$90,$G698,月間集計シート!T$71:T$90)*AD$2</f>
        <v>0</v>
      </c>
      <c r="AE698" s="88">
        <f>SUMIF(月間集計シート!$M$92:$M$111,$G698,月間集計シート!N$92:N$111)*AE$2</f>
        <v>0</v>
      </c>
      <c r="AF698" s="88">
        <f>SUMIF(月間集計シート!$M$92:$M$111,$G698,月間集計シート!O$92:O$111)*AF$2</f>
        <v>0</v>
      </c>
      <c r="AG698" s="88">
        <f>SUMIF(月間集計シート!$M$92:$M$111,$G698,月間集計シート!P$92:P$111)*AG$2</f>
        <v>0</v>
      </c>
      <c r="AH698" s="88">
        <f>SUMIF(月間集計シート!$M$92:$M$111,$G698,月間集計シート!Q$92:Q$111)*AH$2</f>
        <v>0</v>
      </c>
      <c r="AI698" s="88">
        <f>SUMIF(月間集計シート!$M$92:$M$111,$G698,月間集計シート!R$92:R$111)*AI$2</f>
        <v>0</v>
      </c>
      <c r="AJ698" s="88">
        <f>SUMIF(月間集計シート!$M$92:$M$111,$G698,月間集計シート!S$92:S$111)*AJ$2</f>
        <v>0</v>
      </c>
      <c r="AK698" s="88">
        <f>SUMIF(月間集計シート!$M$92:$M$111,$G698,月間集計シート!T$92:T$111)*AK$2</f>
        <v>0</v>
      </c>
      <c r="AL698" s="88">
        <f>SUMIF(月間集計シート!$M$113:$M$132,$G698,月間集計シート!N$113:N$132)*AL$2</f>
        <v>0</v>
      </c>
      <c r="AM698" s="88">
        <f>SUMIF(月間集計シート!$M$113:$M$132,$G698,月間集計シート!O$113:O$132)*AM$2</f>
        <v>0</v>
      </c>
      <c r="AN698" s="88">
        <f>SUMIF(月間集計シート!$M$113:$M$132,$G698,月間集計シート!P$113:P$132)*AN$2</f>
        <v>0</v>
      </c>
      <c r="AO698" s="88">
        <f>SUMIF(月間集計シート!$M$113:$M$132,$G698,月間集計シート!Q$113:Q$132)*AO$2</f>
        <v>0</v>
      </c>
      <c r="AP698" s="88">
        <f>SUMIF(月間集計シート!$M$113:$M$132,$G698,月間集計シート!R$113:R$132)*AP$2</f>
        <v>0</v>
      </c>
      <c r="AQ698" s="88">
        <f>SUMIF(月間集計シート!$M$113:$M$132,$G698,月間集計シート!S$113:S$132)*AQ$2</f>
        <v>0</v>
      </c>
      <c r="AR698" s="88">
        <f>SUMIF(月間集計シート!$M$113:$M$132,$G698,月間集計シート!T$113:T$132)*AR$2</f>
        <v>0</v>
      </c>
      <c r="AS698" s="88">
        <f>SUMIF(月間集計シート!$M$134:$M$153,$G698,月間集計シート!N$134:N$153)*AS$2</f>
        <v>0</v>
      </c>
      <c r="AT698" s="88">
        <f>SUMIF(月間集計シート!$M$134:$M$153,$G698,月間集計シート!O$134:O$153)*AT$2</f>
        <v>0</v>
      </c>
      <c r="AU698" s="88">
        <f>SUMIF(月間集計シート!$M$134:$M$153,$G698,月間集計シート!P$134:P$153)*AU$2</f>
        <v>0</v>
      </c>
      <c r="AV698" s="88">
        <f>SUMIF(月間集計シート!$M$134:$M$153,$G698,月間集計シート!Q$134:Q$153)*AV$2</f>
        <v>0</v>
      </c>
      <c r="AW698" s="88">
        <f>SUMIF(月間集計シート!$M$134:$M$153,$G698,月間集計シート!R$134:R$153)*AW$2</f>
        <v>0</v>
      </c>
      <c r="AX698" s="88">
        <f>SUMIF(月間集計シート!$M$134:$M$153,$G698,月間集計シート!S$134:S$153)*AX$2</f>
        <v>0</v>
      </c>
      <c r="AY698" s="88">
        <f>SUMIF(月間集計シート!$M$134:$M$153,$G698,月間集計シート!T$134:T$153)*AY$2</f>
        <v>0</v>
      </c>
    </row>
    <row r="699" spans="1:51" ht="14.25" thickBot="1">
      <c r="A699">
        <v>9</v>
      </c>
      <c r="B699" s="120">
        <f t="shared" si="358"/>
        <v>0</v>
      </c>
      <c r="C699" s="120" t="str">
        <f t="shared" si="359"/>
        <v/>
      </c>
      <c r="D699" s="137"/>
      <c r="E699" s="150" t="str">
        <f>工種!A11</f>
        <v>20107</v>
      </c>
      <c r="F699" s="119" t="str">
        <f>工種!B11</f>
        <v>設計：その他の設計書作成</v>
      </c>
      <c r="G699" s="116" t="str">
        <f t="shared" ref="G699:G784" si="360">B699&amp;E699</f>
        <v>020107</v>
      </c>
      <c r="H699" s="88">
        <f t="shared" si="314"/>
        <v>0</v>
      </c>
      <c r="I699" s="132"/>
      <c r="J699" s="88">
        <f>SUMIF(月間集計シート!$M$29:$M$48,$G699,月間集計シート!N$29:N$48)*J$2</f>
        <v>0</v>
      </c>
      <c r="K699" s="88">
        <f>SUMIF(月間集計シート!$M$29:$M$48,$G699,月間集計シート!O$29:O$48)*K$2</f>
        <v>0</v>
      </c>
      <c r="L699" s="88">
        <f>SUMIF(月間集計シート!$M$29:$M$48,$G699,月間集計シート!P$29:P$48)*L$2</f>
        <v>0</v>
      </c>
      <c r="M699" s="88">
        <f>SUMIF(月間集計シート!$M$29:$M$48,$G699,月間集計シート!Q$29:Q$48)*M$2</f>
        <v>0</v>
      </c>
      <c r="N699" s="88">
        <f>SUMIF(月間集計シート!$M$29:$M$48,$G699,月間集計シート!R$29:R$48)*N$2</f>
        <v>0</v>
      </c>
      <c r="O699" s="88">
        <f>SUMIF(月間集計シート!$M$29:$M$48,$G699,月間集計シート!S$29:S$48)*O$2</f>
        <v>0</v>
      </c>
      <c r="P699" s="88">
        <f>SUMIF(月間集計シート!$M$29:$M$48,$G699,月間集計シート!T$29:T$48)*P$2</f>
        <v>0</v>
      </c>
      <c r="Q699" s="88">
        <f>SUMIF(月間集計シート!$M$50:$M$69,$G699,月間集計シート!N$50:N$69)*Q$2</f>
        <v>0</v>
      </c>
      <c r="R699" s="88">
        <f>SUMIF(月間集計シート!$M$50:$M$69,$G699,月間集計シート!O$50:O$69)*R$2</f>
        <v>0</v>
      </c>
      <c r="S699" s="88">
        <f>SUMIF(月間集計シート!$M$50:$M$69,$G699,月間集計シート!P$50:P$69)*S$2</f>
        <v>0</v>
      </c>
      <c r="T699" s="88">
        <f>SUMIF(月間集計シート!$M$50:$M$69,$G699,月間集計シート!Q$50:Q$69)*T$2</f>
        <v>0</v>
      </c>
      <c r="U699" s="88">
        <f>SUMIF(月間集計シート!$M$50:$M$69,$G699,月間集計シート!R$50:R$69)*U$2</f>
        <v>0</v>
      </c>
      <c r="V699" s="88">
        <f>SUMIF(月間集計シート!$M$50:$M$69,$G699,月間集計シート!S$50:S$69)*V$2</f>
        <v>0</v>
      </c>
      <c r="W699" s="88">
        <f>SUMIF(月間集計シート!$M$50:$M$69,$G699,月間集計シート!T$50:T$69)*W$2</f>
        <v>0</v>
      </c>
      <c r="X699" s="88">
        <f>SUMIF(月間集計シート!$M$71:$M$90,$G699,月間集計シート!N$71:N$90)*X$2</f>
        <v>0</v>
      </c>
      <c r="Y699" s="88">
        <f>SUMIF(月間集計シート!$M$71:$M$90,$G699,月間集計シート!O$71:O$90)*Y$2</f>
        <v>0</v>
      </c>
      <c r="Z699" s="88">
        <f>SUMIF(月間集計シート!$M$71:$M$90,$G699,月間集計シート!P$71:P$90)*Z$2</f>
        <v>0</v>
      </c>
      <c r="AA699" s="88">
        <f>SUMIF(月間集計シート!$M$71:$M$90,$G699,月間集計シート!Q$71:Q$90)*AA$2</f>
        <v>0</v>
      </c>
      <c r="AB699" s="88">
        <f>SUMIF(月間集計シート!$M$71:$M$90,$G699,月間集計シート!R$71:R$90)*AB$2</f>
        <v>0</v>
      </c>
      <c r="AC699" s="88">
        <f>SUMIF(月間集計シート!$M$71:$M$90,$G699,月間集計シート!S$71:S$90)*AC$2</f>
        <v>0</v>
      </c>
      <c r="AD699" s="88">
        <f>SUMIF(月間集計シート!$M$71:$M$90,$G699,月間集計シート!T$71:T$90)*AD$2</f>
        <v>0</v>
      </c>
      <c r="AE699" s="88">
        <f>SUMIF(月間集計シート!$M$92:$M$111,$G699,月間集計シート!N$92:N$111)*AE$2</f>
        <v>0</v>
      </c>
      <c r="AF699" s="88">
        <f>SUMIF(月間集計シート!$M$92:$M$111,$G699,月間集計シート!O$92:O$111)*AF$2</f>
        <v>0</v>
      </c>
      <c r="AG699" s="88">
        <f>SUMIF(月間集計シート!$M$92:$M$111,$G699,月間集計シート!P$92:P$111)*AG$2</f>
        <v>0</v>
      </c>
      <c r="AH699" s="88">
        <f>SUMIF(月間集計シート!$M$92:$M$111,$G699,月間集計シート!Q$92:Q$111)*AH$2</f>
        <v>0</v>
      </c>
      <c r="AI699" s="88">
        <f>SUMIF(月間集計シート!$M$92:$M$111,$G699,月間集計シート!R$92:R$111)*AI$2</f>
        <v>0</v>
      </c>
      <c r="AJ699" s="88">
        <f>SUMIF(月間集計シート!$M$92:$M$111,$G699,月間集計シート!S$92:S$111)*AJ$2</f>
        <v>0</v>
      </c>
      <c r="AK699" s="88">
        <f>SUMIF(月間集計シート!$M$92:$M$111,$G699,月間集計シート!T$92:T$111)*AK$2</f>
        <v>0</v>
      </c>
      <c r="AL699" s="88">
        <f>SUMIF(月間集計シート!$M$113:$M$132,$G699,月間集計シート!N$113:N$132)*AL$2</f>
        <v>0</v>
      </c>
      <c r="AM699" s="88">
        <f>SUMIF(月間集計シート!$M$113:$M$132,$G699,月間集計シート!O$113:O$132)*AM$2</f>
        <v>0</v>
      </c>
      <c r="AN699" s="88">
        <f>SUMIF(月間集計シート!$M$113:$M$132,$G699,月間集計シート!P$113:P$132)*AN$2</f>
        <v>0</v>
      </c>
      <c r="AO699" s="88">
        <f>SUMIF(月間集計シート!$M$113:$M$132,$G699,月間集計シート!Q$113:Q$132)*AO$2</f>
        <v>0</v>
      </c>
      <c r="AP699" s="88">
        <f>SUMIF(月間集計シート!$M$113:$M$132,$G699,月間集計シート!R$113:R$132)*AP$2</f>
        <v>0</v>
      </c>
      <c r="AQ699" s="88">
        <f>SUMIF(月間集計シート!$M$113:$M$132,$G699,月間集計シート!S$113:S$132)*AQ$2</f>
        <v>0</v>
      </c>
      <c r="AR699" s="88">
        <f>SUMIF(月間集計シート!$M$113:$M$132,$G699,月間集計シート!T$113:T$132)*AR$2</f>
        <v>0</v>
      </c>
      <c r="AS699" s="88">
        <f>SUMIF(月間集計シート!$M$134:$M$153,$G699,月間集計シート!N$134:N$153)*AS$2</f>
        <v>0</v>
      </c>
      <c r="AT699" s="88">
        <f>SUMIF(月間集計シート!$M$134:$M$153,$G699,月間集計シート!O$134:O$153)*AT$2</f>
        <v>0</v>
      </c>
      <c r="AU699" s="88">
        <f>SUMIF(月間集計シート!$M$134:$M$153,$G699,月間集計シート!P$134:P$153)*AU$2</f>
        <v>0</v>
      </c>
      <c r="AV699" s="88">
        <f>SUMIF(月間集計シート!$M$134:$M$153,$G699,月間集計シート!Q$134:Q$153)*AV$2</f>
        <v>0</v>
      </c>
      <c r="AW699" s="88">
        <f>SUMIF(月間集計シート!$M$134:$M$153,$G699,月間集計シート!R$134:R$153)*AW$2</f>
        <v>0</v>
      </c>
      <c r="AX699" s="88">
        <f>SUMIF(月間集計シート!$M$134:$M$153,$G699,月間集計シート!S$134:S$153)*AX$2</f>
        <v>0</v>
      </c>
      <c r="AY699" s="88">
        <f>SUMIF(月間集計シート!$M$134:$M$153,$G699,月間集計シート!T$134:T$153)*AY$2</f>
        <v>0</v>
      </c>
    </row>
    <row r="700" spans="1:51" ht="14.25" thickBot="1">
      <c r="A700">
        <v>9</v>
      </c>
      <c r="B700" s="120">
        <f t="shared" si="358"/>
        <v>0</v>
      </c>
      <c r="C700" s="120" t="str">
        <f t="shared" si="359"/>
        <v/>
      </c>
      <c r="D700" s="137"/>
      <c r="E700" s="150" t="str">
        <f>工種!A12</f>
        <v>20108</v>
      </c>
      <c r="F700" s="119" t="str">
        <f>工種!B12</f>
        <v>設計：レビュー</v>
      </c>
      <c r="G700" s="116" t="str">
        <f t="shared" si="360"/>
        <v>020108</v>
      </c>
      <c r="H700" s="88">
        <f t="shared" si="314"/>
        <v>0</v>
      </c>
      <c r="I700" s="132"/>
      <c r="J700" s="88">
        <f>SUMIF(月間集計シート!$M$29:$M$48,$G700,月間集計シート!N$29:N$48)*J$2</f>
        <v>0</v>
      </c>
      <c r="K700" s="88">
        <f>SUMIF(月間集計シート!$M$29:$M$48,$G700,月間集計シート!O$29:O$48)*K$2</f>
        <v>0</v>
      </c>
      <c r="L700" s="88">
        <f>SUMIF(月間集計シート!$M$29:$M$48,$G700,月間集計シート!P$29:P$48)*L$2</f>
        <v>0</v>
      </c>
      <c r="M700" s="88">
        <f>SUMIF(月間集計シート!$M$29:$M$48,$G700,月間集計シート!Q$29:Q$48)*M$2</f>
        <v>0</v>
      </c>
      <c r="N700" s="88">
        <f>SUMIF(月間集計シート!$M$29:$M$48,$G700,月間集計シート!R$29:R$48)*N$2</f>
        <v>0</v>
      </c>
      <c r="O700" s="88">
        <f>SUMIF(月間集計シート!$M$29:$M$48,$G700,月間集計シート!S$29:S$48)*O$2</f>
        <v>0</v>
      </c>
      <c r="P700" s="88">
        <f>SUMIF(月間集計シート!$M$29:$M$48,$G700,月間集計シート!T$29:T$48)*P$2</f>
        <v>0</v>
      </c>
      <c r="Q700" s="88">
        <f>SUMIF(月間集計シート!$M$50:$M$69,$G700,月間集計シート!N$50:N$69)*Q$2</f>
        <v>0</v>
      </c>
      <c r="R700" s="88">
        <f>SUMIF(月間集計シート!$M$50:$M$69,$G700,月間集計シート!O$50:O$69)*R$2</f>
        <v>0</v>
      </c>
      <c r="S700" s="88">
        <f>SUMIF(月間集計シート!$M$50:$M$69,$G700,月間集計シート!P$50:P$69)*S$2</f>
        <v>0</v>
      </c>
      <c r="T700" s="88">
        <f>SUMIF(月間集計シート!$M$50:$M$69,$G700,月間集計シート!Q$50:Q$69)*T$2</f>
        <v>0</v>
      </c>
      <c r="U700" s="88">
        <f>SUMIF(月間集計シート!$M$50:$M$69,$G700,月間集計シート!R$50:R$69)*U$2</f>
        <v>0</v>
      </c>
      <c r="V700" s="88">
        <f>SUMIF(月間集計シート!$M$50:$M$69,$G700,月間集計シート!S$50:S$69)*V$2</f>
        <v>0</v>
      </c>
      <c r="W700" s="88">
        <f>SUMIF(月間集計シート!$M$50:$M$69,$G700,月間集計シート!T$50:T$69)*W$2</f>
        <v>0</v>
      </c>
      <c r="X700" s="88">
        <f>SUMIF(月間集計シート!$M$71:$M$90,$G700,月間集計シート!N$71:N$90)*X$2</f>
        <v>0</v>
      </c>
      <c r="Y700" s="88">
        <f>SUMIF(月間集計シート!$M$71:$M$90,$G700,月間集計シート!O$71:O$90)*Y$2</f>
        <v>0</v>
      </c>
      <c r="Z700" s="88">
        <f>SUMIF(月間集計シート!$M$71:$M$90,$G700,月間集計シート!P$71:P$90)*Z$2</f>
        <v>0</v>
      </c>
      <c r="AA700" s="88">
        <f>SUMIF(月間集計シート!$M$71:$M$90,$G700,月間集計シート!Q$71:Q$90)*AA$2</f>
        <v>0</v>
      </c>
      <c r="AB700" s="88">
        <f>SUMIF(月間集計シート!$M$71:$M$90,$G700,月間集計シート!R$71:R$90)*AB$2</f>
        <v>0</v>
      </c>
      <c r="AC700" s="88">
        <f>SUMIF(月間集計シート!$M$71:$M$90,$G700,月間集計シート!S$71:S$90)*AC$2</f>
        <v>0</v>
      </c>
      <c r="AD700" s="88">
        <f>SUMIF(月間集計シート!$M$71:$M$90,$G700,月間集計シート!T$71:T$90)*AD$2</f>
        <v>0</v>
      </c>
      <c r="AE700" s="88">
        <f>SUMIF(月間集計シート!$M$92:$M$111,$G700,月間集計シート!N$92:N$111)*AE$2</f>
        <v>0</v>
      </c>
      <c r="AF700" s="88">
        <f>SUMIF(月間集計シート!$M$92:$M$111,$G700,月間集計シート!O$92:O$111)*AF$2</f>
        <v>0</v>
      </c>
      <c r="AG700" s="88">
        <f>SUMIF(月間集計シート!$M$92:$M$111,$G700,月間集計シート!P$92:P$111)*AG$2</f>
        <v>0</v>
      </c>
      <c r="AH700" s="88">
        <f>SUMIF(月間集計シート!$M$92:$M$111,$G700,月間集計シート!Q$92:Q$111)*AH$2</f>
        <v>0</v>
      </c>
      <c r="AI700" s="88">
        <f>SUMIF(月間集計シート!$M$92:$M$111,$G700,月間集計シート!R$92:R$111)*AI$2</f>
        <v>0</v>
      </c>
      <c r="AJ700" s="88">
        <f>SUMIF(月間集計シート!$M$92:$M$111,$G700,月間集計シート!S$92:S$111)*AJ$2</f>
        <v>0</v>
      </c>
      <c r="AK700" s="88">
        <f>SUMIF(月間集計シート!$M$92:$M$111,$G700,月間集計シート!T$92:T$111)*AK$2</f>
        <v>0</v>
      </c>
      <c r="AL700" s="88">
        <f>SUMIF(月間集計シート!$M$113:$M$132,$G700,月間集計シート!N$113:N$132)*AL$2</f>
        <v>0</v>
      </c>
      <c r="AM700" s="88">
        <f>SUMIF(月間集計シート!$M$113:$M$132,$G700,月間集計シート!O$113:O$132)*AM$2</f>
        <v>0</v>
      </c>
      <c r="AN700" s="88">
        <f>SUMIF(月間集計シート!$M$113:$M$132,$G700,月間集計シート!P$113:P$132)*AN$2</f>
        <v>0</v>
      </c>
      <c r="AO700" s="88">
        <f>SUMIF(月間集計シート!$M$113:$M$132,$G700,月間集計シート!Q$113:Q$132)*AO$2</f>
        <v>0</v>
      </c>
      <c r="AP700" s="88">
        <f>SUMIF(月間集計シート!$M$113:$M$132,$G700,月間集計シート!R$113:R$132)*AP$2</f>
        <v>0</v>
      </c>
      <c r="AQ700" s="88">
        <f>SUMIF(月間集計シート!$M$113:$M$132,$G700,月間集計シート!S$113:S$132)*AQ$2</f>
        <v>0</v>
      </c>
      <c r="AR700" s="88">
        <f>SUMIF(月間集計シート!$M$113:$M$132,$G700,月間集計シート!T$113:T$132)*AR$2</f>
        <v>0</v>
      </c>
      <c r="AS700" s="88">
        <f>SUMIF(月間集計シート!$M$134:$M$153,$G700,月間集計シート!N$134:N$153)*AS$2</f>
        <v>0</v>
      </c>
      <c r="AT700" s="88">
        <f>SUMIF(月間集計シート!$M$134:$M$153,$G700,月間集計シート!O$134:O$153)*AT$2</f>
        <v>0</v>
      </c>
      <c r="AU700" s="88">
        <f>SUMIF(月間集計シート!$M$134:$M$153,$G700,月間集計シート!P$134:P$153)*AU$2</f>
        <v>0</v>
      </c>
      <c r="AV700" s="88">
        <f>SUMIF(月間集計シート!$M$134:$M$153,$G700,月間集計シート!Q$134:Q$153)*AV$2</f>
        <v>0</v>
      </c>
      <c r="AW700" s="88">
        <f>SUMIF(月間集計シート!$M$134:$M$153,$G700,月間集計シート!R$134:R$153)*AW$2</f>
        <v>0</v>
      </c>
      <c r="AX700" s="88">
        <f>SUMIF(月間集計シート!$M$134:$M$153,$G700,月間集計シート!S$134:S$153)*AX$2</f>
        <v>0</v>
      </c>
      <c r="AY700" s="88">
        <f>SUMIF(月間集計シート!$M$134:$M$153,$G700,月間集計シート!T$134:T$153)*AY$2</f>
        <v>0</v>
      </c>
    </row>
    <row r="701" spans="1:51" ht="14.25" thickBot="1">
      <c r="A701">
        <v>9</v>
      </c>
      <c r="B701" s="120">
        <f t="shared" si="358"/>
        <v>0</v>
      </c>
      <c r="C701" s="120" t="str">
        <f t="shared" si="359"/>
        <v/>
      </c>
      <c r="D701" s="137"/>
      <c r="E701" s="150" t="str">
        <f>工種!A13</f>
        <v>20109</v>
      </c>
      <c r="F701" s="119" t="str">
        <f>工種!B13</f>
        <v>設計：QA対応</v>
      </c>
      <c r="G701" s="116" t="str">
        <f t="shared" si="360"/>
        <v>020109</v>
      </c>
      <c r="H701" s="88">
        <f t="shared" si="314"/>
        <v>0</v>
      </c>
      <c r="I701" s="132"/>
      <c r="J701" s="88">
        <f>SUMIF(月間集計シート!$M$29:$M$48,$G701,月間集計シート!N$29:N$48)*J$2</f>
        <v>0</v>
      </c>
      <c r="K701" s="88">
        <f>SUMIF(月間集計シート!$M$29:$M$48,$G701,月間集計シート!O$29:O$48)*K$2</f>
        <v>0</v>
      </c>
      <c r="L701" s="88">
        <f>SUMIF(月間集計シート!$M$29:$M$48,$G701,月間集計シート!P$29:P$48)*L$2</f>
        <v>0</v>
      </c>
      <c r="M701" s="88">
        <f>SUMIF(月間集計シート!$M$29:$M$48,$G701,月間集計シート!Q$29:Q$48)*M$2</f>
        <v>0</v>
      </c>
      <c r="N701" s="88">
        <f>SUMIF(月間集計シート!$M$29:$M$48,$G701,月間集計シート!R$29:R$48)*N$2</f>
        <v>0</v>
      </c>
      <c r="O701" s="88">
        <f>SUMIF(月間集計シート!$M$29:$M$48,$G701,月間集計シート!S$29:S$48)*O$2</f>
        <v>0</v>
      </c>
      <c r="P701" s="88">
        <f>SUMIF(月間集計シート!$M$29:$M$48,$G701,月間集計シート!T$29:T$48)*P$2</f>
        <v>0</v>
      </c>
      <c r="Q701" s="88">
        <f>SUMIF(月間集計シート!$M$50:$M$69,$G701,月間集計シート!N$50:N$69)*Q$2</f>
        <v>0</v>
      </c>
      <c r="R701" s="88">
        <f>SUMIF(月間集計シート!$M$50:$M$69,$G701,月間集計シート!O$50:O$69)*R$2</f>
        <v>0</v>
      </c>
      <c r="S701" s="88">
        <f>SUMIF(月間集計シート!$M$50:$M$69,$G701,月間集計シート!P$50:P$69)*S$2</f>
        <v>0</v>
      </c>
      <c r="T701" s="88">
        <f>SUMIF(月間集計シート!$M$50:$M$69,$G701,月間集計シート!Q$50:Q$69)*T$2</f>
        <v>0</v>
      </c>
      <c r="U701" s="88">
        <f>SUMIF(月間集計シート!$M$50:$M$69,$G701,月間集計シート!R$50:R$69)*U$2</f>
        <v>0</v>
      </c>
      <c r="V701" s="88">
        <f>SUMIF(月間集計シート!$M$50:$M$69,$G701,月間集計シート!S$50:S$69)*V$2</f>
        <v>0</v>
      </c>
      <c r="W701" s="88">
        <f>SUMIF(月間集計シート!$M$50:$M$69,$G701,月間集計シート!T$50:T$69)*W$2</f>
        <v>0</v>
      </c>
      <c r="X701" s="88">
        <f>SUMIF(月間集計シート!$M$71:$M$90,$G701,月間集計シート!N$71:N$90)*X$2</f>
        <v>0</v>
      </c>
      <c r="Y701" s="88">
        <f>SUMIF(月間集計シート!$M$71:$M$90,$G701,月間集計シート!O$71:O$90)*Y$2</f>
        <v>0</v>
      </c>
      <c r="Z701" s="88">
        <f>SUMIF(月間集計シート!$M$71:$M$90,$G701,月間集計シート!P$71:P$90)*Z$2</f>
        <v>0</v>
      </c>
      <c r="AA701" s="88">
        <f>SUMIF(月間集計シート!$M$71:$M$90,$G701,月間集計シート!Q$71:Q$90)*AA$2</f>
        <v>0</v>
      </c>
      <c r="AB701" s="88">
        <f>SUMIF(月間集計シート!$M$71:$M$90,$G701,月間集計シート!R$71:R$90)*AB$2</f>
        <v>0</v>
      </c>
      <c r="AC701" s="88">
        <f>SUMIF(月間集計シート!$M$71:$M$90,$G701,月間集計シート!S$71:S$90)*AC$2</f>
        <v>0</v>
      </c>
      <c r="AD701" s="88">
        <f>SUMIF(月間集計シート!$M$71:$M$90,$G701,月間集計シート!T$71:T$90)*AD$2</f>
        <v>0</v>
      </c>
      <c r="AE701" s="88">
        <f>SUMIF(月間集計シート!$M$92:$M$111,$G701,月間集計シート!N$92:N$111)*AE$2</f>
        <v>0</v>
      </c>
      <c r="AF701" s="88">
        <f>SUMIF(月間集計シート!$M$92:$M$111,$G701,月間集計シート!O$92:O$111)*AF$2</f>
        <v>0</v>
      </c>
      <c r="AG701" s="88">
        <f>SUMIF(月間集計シート!$M$92:$M$111,$G701,月間集計シート!P$92:P$111)*AG$2</f>
        <v>0</v>
      </c>
      <c r="AH701" s="88">
        <f>SUMIF(月間集計シート!$M$92:$M$111,$G701,月間集計シート!Q$92:Q$111)*AH$2</f>
        <v>0</v>
      </c>
      <c r="AI701" s="88">
        <f>SUMIF(月間集計シート!$M$92:$M$111,$G701,月間集計シート!R$92:R$111)*AI$2</f>
        <v>0</v>
      </c>
      <c r="AJ701" s="88">
        <f>SUMIF(月間集計シート!$M$92:$M$111,$G701,月間集計シート!S$92:S$111)*AJ$2</f>
        <v>0</v>
      </c>
      <c r="AK701" s="88">
        <f>SUMIF(月間集計シート!$M$92:$M$111,$G701,月間集計シート!T$92:T$111)*AK$2</f>
        <v>0</v>
      </c>
      <c r="AL701" s="88">
        <f>SUMIF(月間集計シート!$M$113:$M$132,$G701,月間集計シート!N$113:N$132)*AL$2</f>
        <v>0</v>
      </c>
      <c r="AM701" s="88">
        <f>SUMIF(月間集計シート!$M$113:$M$132,$G701,月間集計シート!O$113:O$132)*AM$2</f>
        <v>0</v>
      </c>
      <c r="AN701" s="88">
        <f>SUMIF(月間集計シート!$M$113:$M$132,$G701,月間集計シート!P$113:P$132)*AN$2</f>
        <v>0</v>
      </c>
      <c r="AO701" s="88">
        <f>SUMIF(月間集計シート!$M$113:$M$132,$G701,月間集計シート!Q$113:Q$132)*AO$2</f>
        <v>0</v>
      </c>
      <c r="AP701" s="88">
        <f>SUMIF(月間集計シート!$M$113:$M$132,$G701,月間集計シート!R$113:R$132)*AP$2</f>
        <v>0</v>
      </c>
      <c r="AQ701" s="88">
        <f>SUMIF(月間集計シート!$M$113:$M$132,$G701,月間集計シート!S$113:S$132)*AQ$2</f>
        <v>0</v>
      </c>
      <c r="AR701" s="88">
        <f>SUMIF(月間集計シート!$M$113:$M$132,$G701,月間集計シート!T$113:T$132)*AR$2</f>
        <v>0</v>
      </c>
      <c r="AS701" s="88">
        <f>SUMIF(月間集計シート!$M$134:$M$153,$G701,月間集計シート!N$134:N$153)*AS$2</f>
        <v>0</v>
      </c>
      <c r="AT701" s="88">
        <f>SUMIF(月間集計シート!$M$134:$M$153,$G701,月間集計シート!O$134:O$153)*AT$2</f>
        <v>0</v>
      </c>
      <c r="AU701" s="88">
        <f>SUMIF(月間集計シート!$M$134:$M$153,$G701,月間集計シート!P$134:P$153)*AU$2</f>
        <v>0</v>
      </c>
      <c r="AV701" s="88">
        <f>SUMIF(月間集計シート!$M$134:$M$153,$G701,月間集計シート!Q$134:Q$153)*AV$2</f>
        <v>0</v>
      </c>
      <c r="AW701" s="88">
        <f>SUMIF(月間集計シート!$M$134:$M$153,$G701,月間集計シート!R$134:R$153)*AW$2</f>
        <v>0</v>
      </c>
      <c r="AX701" s="88">
        <f>SUMIF(月間集計シート!$M$134:$M$153,$G701,月間集計シート!S$134:S$153)*AX$2</f>
        <v>0</v>
      </c>
      <c r="AY701" s="88">
        <f>SUMIF(月間集計シート!$M$134:$M$153,$G701,月間集計シート!T$134:T$153)*AY$2</f>
        <v>0</v>
      </c>
    </row>
    <row r="702" spans="1:51" ht="14.25" thickBot="1">
      <c r="A702">
        <v>9</v>
      </c>
      <c r="B702" s="120">
        <f t="shared" si="358"/>
        <v>0</v>
      </c>
      <c r="C702" s="120" t="str">
        <f t="shared" si="359"/>
        <v/>
      </c>
      <c r="D702" s="137"/>
      <c r="E702" s="150" t="str">
        <f>工種!A14</f>
        <v>20199</v>
      </c>
      <c r="F702" s="119" t="str">
        <f>工種!B14</f>
        <v>設計：その他</v>
      </c>
      <c r="G702" s="116" t="str">
        <f t="shared" si="360"/>
        <v>020199</v>
      </c>
      <c r="H702" s="88">
        <f t="shared" si="314"/>
        <v>0</v>
      </c>
      <c r="I702" s="132"/>
      <c r="J702" s="88">
        <f>SUMIF(月間集計シート!$M$29:$M$48,$G702,月間集計シート!N$29:N$48)*J$2</f>
        <v>0</v>
      </c>
      <c r="K702" s="88">
        <f>SUMIF(月間集計シート!$M$29:$M$48,$G702,月間集計シート!O$29:O$48)*K$2</f>
        <v>0</v>
      </c>
      <c r="L702" s="88">
        <f>SUMIF(月間集計シート!$M$29:$M$48,$G702,月間集計シート!P$29:P$48)*L$2</f>
        <v>0</v>
      </c>
      <c r="M702" s="88">
        <f>SUMIF(月間集計シート!$M$29:$M$48,$G702,月間集計シート!Q$29:Q$48)*M$2</f>
        <v>0</v>
      </c>
      <c r="N702" s="88">
        <f>SUMIF(月間集計シート!$M$29:$M$48,$G702,月間集計シート!R$29:R$48)*N$2</f>
        <v>0</v>
      </c>
      <c r="O702" s="88">
        <f>SUMIF(月間集計シート!$M$29:$M$48,$G702,月間集計シート!S$29:S$48)*O$2</f>
        <v>0</v>
      </c>
      <c r="P702" s="88">
        <f>SUMIF(月間集計シート!$M$29:$M$48,$G702,月間集計シート!T$29:T$48)*P$2</f>
        <v>0</v>
      </c>
      <c r="Q702" s="88">
        <f>SUMIF(月間集計シート!$M$50:$M$69,$G702,月間集計シート!N$50:N$69)*Q$2</f>
        <v>0</v>
      </c>
      <c r="R702" s="88">
        <f>SUMIF(月間集計シート!$M$50:$M$69,$G702,月間集計シート!O$50:O$69)*R$2</f>
        <v>0</v>
      </c>
      <c r="S702" s="88">
        <f>SUMIF(月間集計シート!$M$50:$M$69,$G702,月間集計シート!P$50:P$69)*S$2</f>
        <v>0</v>
      </c>
      <c r="T702" s="88">
        <f>SUMIF(月間集計シート!$M$50:$M$69,$G702,月間集計シート!Q$50:Q$69)*T$2</f>
        <v>0</v>
      </c>
      <c r="U702" s="88">
        <f>SUMIF(月間集計シート!$M$50:$M$69,$G702,月間集計シート!R$50:R$69)*U$2</f>
        <v>0</v>
      </c>
      <c r="V702" s="88">
        <f>SUMIF(月間集計シート!$M$50:$M$69,$G702,月間集計シート!S$50:S$69)*V$2</f>
        <v>0</v>
      </c>
      <c r="W702" s="88">
        <f>SUMIF(月間集計シート!$M$50:$M$69,$G702,月間集計シート!T$50:T$69)*W$2</f>
        <v>0</v>
      </c>
      <c r="X702" s="88">
        <f>SUMIF(月間集計シート!$M$71:$M$90,$G702,月間集計シート!N$71:N$90)*X$2</f>
        <v>0</v>
      </c>
      <c r="Y702" s="88">
        <f>SUMIF(月間集計シート!$M$71:$M$90,$G702,月間集計シート!O$71:O$90)*Y$2</f>
        <v>0</v>
      </c>
      <c r="Z702" s="88">
        <f>SUMIF(月間集計シート!$M$71:$M$90,$G702,月間集計シート!P$71:P$90)*Z$2</f>
        <v>0</v>
      </c>
      <c r="AA702" s="88">
        <f>SUMIF(月間集計シート!$M$71:$M$90,$G702,月間集計シート!Q$71:Q$90)*AA$2</f>
        <v>0</v>
      </c>
      <c r="AB702" s="88">
        <f>SUMIF(月間集計シート!$M$71:$M$90,$G702,月間集計シート!R$71:R$90)*AB$2</f>
        <v>0</v>
      </c>
      <c r="AC702" s="88">
        <f>SUMIF(月間集計シート!$M$71:$M$90,$G702,月間集計シート!S$71:S$90)*AC$2</f>
        <v>0</v>
      </c>
      <c r="AD702" s="88">
        <f>SUMIF(月間集計シート!$M$71:$M$90,$G702,月間集計シート!T$71:T$90)*AD$2</f>
        <v>0</v>
      </c>
      <c r="AE702" s="88">
        <f>SUMIF(月間集計シート!$M$92:$M$111,$G702,月間集計シート!N$92:N$111)*AE$2</f>
        <v>0</v>
      </c>
      <c r="AF702" s="88">
        <f>SUMIF(月間集計シート!$M$92:$M$111,$G702,月間集計シート!O$92:O$111)*AF$2</f>
        <v>0</v>
      </c>
      <c r="AG702" s="88">
        <f>SUMIF(月間集計シート!$M$92:$M$111,$G702,月間集計シート!P$92:P$111)*AG$2</f>
        <v>0</v>
      </c>
      <c r="AH702" s="88">
        <f>SUMIF(月間集計シート!$M$92:$M$111,$G702,月間集計シート!Q$92:Q$111)*AH$2</f>
        <v>0</v>
      </c>
      <c r="AI702" s="88">
        <f>SUMIF(月間集計シート!$M$92:$M$111,$G702,月間集計シート!R$92:R$111)*AI$2</f>
        <v>0</v>
      </c>
      <c r="AJ702" s="88">
        <f>SUMIF(月間集計シート!$M$92:$M$111,$G702,月間集計シート!S$92:S$111)*AJ$2</f>
        <v>0</v>
      </c>
      <c r="AK702" s="88">
        <f>SUMIF(月間集計シート!$M$92:$M$111,$G702,月間集計シート!T$92:T$111)*AK$2</f>
        <v>0</v>
      </c>
      <c r="AL702" s="88">
        <f>SUMIF(月間集計シート!$M$113:$M$132,$G702,月間集計シート!N$113:N$132)*AL$2</f>
        <v>0</v>
      </c>
      <c r="AM702" s="88">
        <f>SUMIF(月間集計シート!$M$113:$M$132,$G702,月間集計シート!O$113:O$132)*AM$2</f>
        <v>0</v>
      </c>
      <c r="AN702" s="88">
        <f>SUMIF(月間集計シート!$M$113:$M$132,$G702,月間集計シート!P$113:P$132)*AN$2</f>
        <v>0</v>
      </c>
      <c r="AO702" s="88">
        <f>SUMIF(月間集計シート!$M$113:$M$132,$G702,月間集計シート!Q$113:Q$132)*AO$2</f>
        <v>0</v>
      </c>
      <c r="AP702" s="88">
        <f>SUMIF(月間集計シート!$M$113:$M$132,$G702,月間集計シート!R$113:R$132)*AP$2</f>
        <v>0</v>
      </c>
      <c r="AQ702" s="88">
        <f>SUMIF(月間集計シート!$M$113:$M$132,$G702,月間集計シート!S$113:S$132)*AQ$2</f>
        <v>0</v>
      </c>
      <c r="AR702" s="88">
        <f>SUMIF(月間集計シート!$M$113:$M$132,$G702,月間集計シート!T$113:T$132)*AR$2</f>
        <v>0</v>
      </c>
      <c r="AS702" s="88">
        <f>SUMIF(月間集計シート!$M$134:$M$153,$G702,月間集計シート!N$134:N$153)*AS$2</f>
        <v>0</v>
      </c>
      <c r="AT702" s="88">
        <f>SUMIF(月間集計シート!$M$134:$M$153,$G702,月間集計シート!O$134:O$153)*AT$2</f>
        <v>0</v>
      </c>
      <c r="AU702" s="88">
        <f>SUMIF(月間集計シート!$M$134:$M$153,$G702,月間集計シート!P$134:P$153)*AU$2</f>
        <v>0</v>
      </c>
      <c r="AV702" s="88">
        <f>SUMIF(月間集計シート!$M$134:$M$153,$G702,月間集計シート!Q$134:Q$153)*AV$2</f>
        <v>0</v>
      </c>
      <c r="AW702" s="88">
        <f>SUMIF(月間集計シート!$M$134:$M$153,$G702,月間集計シート!R$134:R$153)*AW$2</f>
        <v>0</v>
      </c>
      <c r="AX702" s="88">
        <f>SUMIF(月間集計シート!$M$134:$M$153,$G702,月間集計シート!S$134:S$153)*AX$2</f>
        <v>0</v>
      </c>
      <c r="AY702" s="88">
        <f>SUMIF(月間集計シート!$M$134:$M$153,$G702,月間集計シート!T$134:T$153)*AY$2</f>
        <v>0</v>
      </c>
    </row>
    <row r="703" spans="1:51" ht="14.25" thickBot="1">
      <c r="A703">
        <v>9</v>
      </c>
      <c r="B703" s="120">
        <f t="shared" si="358"/>
        <v>0</v>
      </c>
      <c r="C703" s="120" t="str">
        <f t="shared" si="359"/>
        <v/>
      </c>
      <c r="D703" s="137"/>
      <c r="E703" s="150" t="str">
        <f>工種!A15</f>
        <v>30101</v>
      </c>
      <c r="F703" s="119" t="str">
        <f>工種!B15</f>
        <v>製造：内部設計書作成</v>
      </c>
      <c r="G703" s="116" t="str">
        <f t="shared" si="360"/>
        <v>030101</v>
      </c>
      <c r="H703" s="88">
        <f t="shared" si="314"/>
        <v>0</v>
      </c>
      <c r="I703" s="132"/>
      <c r="J703" s="88">
        <f>SUMIF(月間集計シート!$M$29:$M$48,$G703,月間集計シート!N$29:N$48)*J$2</f>
        <v>0</v>
      </c>
      <c r="K703" s="88">
        <f>SUMIF(月間集計シート!$M$29:$M$48,$G703,月間集計シート!O$29:O$48)*K$2</f>
        <v>0</v>
      </c>
      <c r="L703" s="88">
        <f>SUMIF(月間集計シート!$M$29:$M$48,$G703,月間集計シート!P$29:P$48)*L$2</f>
        <v>0</v>
      </c>
      <c r="M703" s="88">
        <f>SUMIF(月間集計シート!$M$29:$M$48,$G703,月間集計シート!Q$29:Q$48)*M$2</f>
        <v>0</v>
      </c>
      <c r="N703" s="88">
        <f>SUMIF(月間集計シート!$M$29:$M$48,$G703,月間集計シート!R$29:R$48)*N$2</f>
        <v>0</v>
      </c>
      <c r="O703" s="88">
        <f>SUMIF(月間集計シート!$M$29:$M$48,$G703,月間集計シート!S$29:S$48)*O$2</f>
        <v>0</v>
      </c>
      <c r="P703" s="88">
        <f>SUMIF(月間集計シート!$M$29:$M$48,$G703,月間集計シート!T$29:T$48)*P$2</f>
        <v>0</v>
      </c>
      <c r="Q703" s="88">
        <f>SUMIF(月間集計シート!$M$50:$M$69,$G703,月間集計シート!N$50:N$69)*Q$2</f>
        <v>0</v>
      </c>
      <c r="R703" s="88">
        <f>SUMIF(月間集計シート!$M$50:$M$69,$G703,月間集計シート!O$50:O$69)*R$2</f>
        <v>0</v>
      </c>
      <c r="S703" s="88">
        <f>SUMIF(月間集計シート!$M$50:$M$69,$G703,月間集計シート!P$50:P$69)*S$2</f>
        <v>0</v>
      </c>
      <c r="T703" s="88">
        <f>SUMIF(月間集計シート!$M$50:$M$69,$G703,月間集計シート!Q$50:Q$69)*T$2</f>
        <v>0</v>
      </c>
      <c r="U703" s="88">
        <f>SUMIF(月間集計シート!$M$50:$M$69,$G703,月間集計シート!R$50:R$69)*U$2</f>
        <v>0</v>
      </c>
      <c r="V703" s="88">
        <f>SUMIF(月間集計シート!$M$50:$M$69,$G703,月間集計シート!S$50:S$69)*V$2</f>
        <v>0</v>
      </c>
      <c r="W703" s="88">
        <f>SUMIF(月間集計シート!$M$50:$M$69,$G703,月間集計シート!T$50:T$69)*W$2</f>
        <v>0</v>
      </c>
      <c r="X703" s="88">
        <f>SUMIF(月間集計シート!$M$71:$M$90,$G703,月間集計シート!N$71:N$90)*X$2</f>
        <v>0</v>
      </c>
      <c r="Y703" s="88">
        <f>SUMIF(月間集計シート!$M$71:$M$90,$G703,月間集計シート!O$71:O$90)*Y$2</f>
        <v>0</v>
      </c>
      <c r="Z703" s="88">
        <f>SUMIF(月間集計シート!$M$71:$M$90,$G703,月間集計シート!P$71:P$90)*Z$2</f>
        <v>0</v>
      </c>
      <c r="AA703" s="88">
        <f>SUMIF(月間集計シート!$M$71:$M$90,$G703,月間集計シート!Q$71:Q$90)*AA$2</f>
        <v>0</v>
      </c>
      <c r="AB703" s="88">
        <f>SUMIF(月間集計シート!$M$71:$M$90,$G703,月間集計シート!R$71:R$90)*AB$2</f>
        <v>0</v>
      </c>
      <c r="AC703" s="88">
        <f>SUMIF(月間集計シート!$M$71:$M$90,$G703,月間集計シート!S$71:S$90)*AC$2</f>
        <v>0</v>
      </c>
      <c r="AD703" s="88">
        <f>SUMIF(月間集計シート!$M$71:$M$90,$G703,月間集計シート!T$71:T$90)*AD$2</f>
        <v>0</v>
      </c>
      <c r="AE703" s="88">
        <f>SUMIF(月間集計シート!$M$92:$M$111,$G703,月間集計シート!N$92:N$111)*AE$2</f>
        <v>0</v>
      </c>
      <c r="AF703" s="88">
        <f>SUMIF(月間集計シート!$M$92:$M$111,$G703,月間集計シート!O$92:O$111)*AF$2</f>
        <v>0</v>
      </c>
      <c r="AG703" s="88">
        <f>SUMIF(月間集計シート!$M$92:$M$111,$G703,月間集計シート!P$92:P$111)*AG$2</f>
        <v>0</v>
      </c>
      <c r="AH703" s="88">
        <f>SUMIF(月間集計シート!$M$92:$M$111,$G703,月間集計シート!Q$92:Q$111)*AH$2</f>
        <v>0</v>
      </c>
      <c r="AI703" s="88">
        <f>SUMIF(月間集計シート!$M$92:$M$111,$G703,月間集計シート!R$92:R$111)*AI$2</f>
        <v>0</v>
      </c>
      <c r="AJ703" s="88">
        <f>SUMIF(月間集計シート!$M$92:$M$111,$G703,月間集計シート!S$92:S$111)*AJ$2</f>
        <v>0</v>
      </c>
      <c r="AK703" s="88">
        <f>SUMIF(月間集計シート!$M$92:$M$111,$G703,月間集計シート!T$92:T$111)*AK$2</f>
        <v>0</v>
      </c>
      <c r="AL703" s="88">
        <f>SUMIF(月間集計シート!$M$113:$M$132,$G703,月間集計シート!N$113:N$132)*AL$2</f>
        <v>0</v>
      </c>
      <c r="AM703" s="88">
        <f>SUMIF(月間集計シート!$M$113:$M$132,$G703,月間集計シート!O$113:O$132)*AM$2</f>
        <v>0</v>
      </c>
      <c r="AN703" s="88">
        <f>SUMIF(月間集計シート!$M$113:$M$132,$G703,月間集計シート!P$113:P$132)*AN$2</f>
        <v>0</v>
      </c>
      <c r="AO703" s="88">
        <f>SUMIF(月間集計シート!$M$113:$M$132,$G703,月間集計シート!Q$113:Q$132)*AO$2</f>
        <v>0</v>
      </c>
      <c r="AP703" s="88">
        <f>SUMIF(月間集計シート!$M$113:$M$132,$G703,月間集計シート!R$113:R$132)*AP$2</f>
        <v>0</v>
      </c>
      <c r="AQ703" s="88">
        <f>SUMIF(月間集計シート!$M$113:$M$132,$G703,月間集計シート!S$113:S$132)*AQ$2</f>
        <v>0</v>
      </c>
      <c r="AR703" s="88">
        <f>SUMIF(月間集計シート!$M$113:$M$132,$G703,月間集計シート!T$113:T$132)*AR$2</f>
        <v>0</v>
      </c>
      <c r="AS703" s="88">
        <f>SUMIF(月間集計シート!$M$134:$M$153,$G703,月間集計シート!N$134:N$153)*AS$2</f>
        <v>0</v>
      </c>
      <c r="AT703" s="88">
        <f>SUMIF(月間集計シート!$M$134:$M$153,$G703,月間集計シート!O$134:O$153)*AT$2</f>
        <v>0</v>
      </c>
      <c r="AU703" s="88">
        <f>SUMIF(月間集計シート!$M$134:$M$153,$G703,月間集計シート!P$134:P$153)*AU$2</f>
        <v>0</v>
      </c>
      <c r="AV703" s="88">
        <f>SUMIF(月間集計シート!$M$134:$M$153,$G703,月間集計シート!Q$134:Q$153)*AV$2</f>
        <v>0</v>
      </c>
      <c r="AW703" s="88">
        <f>SUMIF(月間集計シート!$M$134:$M$153,$G703,月間集計シート!R$134:R$153)*AW$2</f>
        <v>0</v>
      </c>
      <c r="AX703" s="88">
        <f>SUMIF(月間集計シート!$M$134:$M$153,$G703,月間集計シート!S$134:S$153)*AX$2</f>
        <v>0</v>
      </c>
      <c r="AY703" s="88">
        <f>SUMIF(月間集計シート!$M$134:$M$153,$G703,月間集計シート!T$134:T$153)*AY$2</f>
        <v>0</v>
      </c>
    </row>
    <row r="704" spans="1:51" ht="14.25" thickBot="1">
      <c r="A704">
        <v>9</v>
      </c>
      <c r="B704" s="120">
        <f t="shared" si="358"/>
        <v>0</v>
      </c>
      <c r="C704" s="120" t="str">
        <f t="shared" si="359"/>
        <v/>
      </c>
      <c r="D704" s="137"/>
      <c r="E704" s="150" t="str">
        <f>工種!A16</f>
        <v>30102</v>
      </c>
      <c r="F704" s="119" t="str">
        <f>工種!B16</f>
        <v>製造：コーディング</v>
      </c>
      <c r="G704" s="116" t="str">
        <f t="shared" si="360"/>
        <v>030102</v>
      </c>
      <c r="H704" s="88">
        <f t="shared" si="314"/>
        <v>0</v>
      </c>
      <c r="I704" s="132"/>
      <c r="J704" s="88">
        <f>SUMIF(月間集計シート!$M$29:$M$48,$G704,月間集計シート!N$29:N$48)*J$2</f>
        <v>0</v>
      </c>
      <c r="K704" s="88">
        <f>SUMIF(月間集計シート!$M$29:$M$48,$G704,月間集計シート!O$29:O$48)*K$2</f>
        <v>0</v>
      </c>
      <c r="L704" s="88">
        <f>SUMIF(月間集計シート!$M$29:$M$48,$G704,月間集計シート!P$29:P$48)*L$2</f>
        <v>0</v>
      </c>
      <c r="M704" s="88">
        <f>SUMIF(月間集計シート!$M$29:$M$48,$G704,月間集計シート!Q$29:Q$48)*M$2</f>
        <v>0</v>
      </c>
      <c r="N704" s="88">
        <f>SUMIF(月間集計シート!$M$29:$M$48,$G704,月間集計シート!R$29:R$48)*N$2</f>
        <v>0</v>
      </c>
      <c r="O704" s="88">
        <f>SUMIF(月間集計シート!$M$29:$M$48,$G704,月間集計シート!S$29:S$48)*O$2</f>
        <v>0</v>
      </c>
      <c r="P704" s="88">
        <f>SUMIF(月間集計シート!$M$29:$M$48,$G704,月間集計シート!T$29:T$48)*P$2</f>
        <v>0</v>
      </c>
      <c r="Q704" s="88">
        <f>SUMIF(月間集計シート!$M$50:$M$69,$G704,月間集計シート!N$50:N$69)*Q$2</f>
        <v>0</v>
      </c>
      <c r="R704" s="88">
        <f>SUMIF(月間集計シート!$M$50:$M$69,$G704,月間集計シート!O$50:O$69)*R$2</f>
        <v>0</v>
      </c>
      <c r="S704" s="88">
        <f>SUMIF(月間集計シート!$M$50:$M$69,$G704,月間集計シート!P$50:P$69)*S$2</f>
        <v>0</v>
      </c>
      <c r="T704" s="88">
        <f>SUMIF(月間集計シート!$M$50:$M$69,$G704,月間集計シート!Q$50:Q$69)*T$2</f>
        <v>0</v>
      </c>
      <c r="U704" s="88">
        <f>SUMIF(月間集計シート!$M$50:$M$69,$G704,月間集計シート!R$50:R$69)*U$2</f>
        <v>0</v>
      </c>
      <c r="V704" s="88">
        <f>SUMIF(月間集計シート!$M$50:$M$69,$G704,月間集計シート!S$50:S$69)*V$2</f>
        <v>0</v>
      </c>
      <c r="W704" s="88">
        <f>SUMIF(月間集計シート!$M$50:$M$69,$G704,月間集計シート!T$50:T$69)*W$2</f>
        <v>0</v>
      </c>
      <c r="X704" s="88">
        <f>SUMIF(月間集計シート!$M$71:$M$90,$G704,月間集計シート!N$71:N$90)*X$2</f>
        <v>0</v>
      </c>
      <c r="Y704" s="88">
        <f>SUMIF(月間集計シート!$M$71:$M$90,$G704,月間集計シート!O$71:O$90)*Y$2</f>
        <v>0</v>
      </c>
      <c r="Z704" s="88">
        <f>SUMIF(月間集計シート!$M$71:$M$90,$G704,月間集計シート!P$71:P$90)*Z$2</f>
        <v>0</v>
      </c>
      <c r="AA704" s="88">
        <f>SUMIF(月間集計シート!$M$71:$M$90,$G704,月間集計シート!Q$71:Q$90)*AA$2</f>
        <v>0</v>
      </c>
      <c r="AB704" s="88">
        <f>SUMIF(月間集計シート!$M$71:$M$90,$G704,月間集計シート!R$71:R$90)*AB$2</f>
        <v>0</v>
      </c>
      <c r="AC704" s="88">
        <f>SUMIF(月間集計シート!$M$71:$M$90,$G704,月間集計シート!S$71:S$90)*AC$2</f>
        <v>0</v>
      </c>
      <c r="AD704" s="88">
        <f>SUMIF(月間集計シート!$M$71:$M$90,$G704,月間集計シート!T$71:T$90)*AD$2</f>
        <v>0</v>
      </c>
      <c r="AE704" s="88">
        <f>SUMIF(月間集計シート!$M$92:$M$111,$G704,月間集計シート!N$92:N$111)*AE$2</f>
        <v>0</v>
      </c>
      <c r="AF704" s="88">
        <f>SUMIF(月間集計シート!$M$92:$M$111,$G704,月間集計シート!O$92:O$111)*AF$2</f>
        <v>0</v>
      </c>
      <c r="AG704" s="88">
        <f>SUMIF(月間集計シート!$M$92:$M$111,$G704,月間集計シート!P$92:P$111)*AG$2</f>
        <v>0</v>
      </c>
      <c r="AH704" s="88">
        <f>SUMIF(月間集計シート!$M$92:$M$111,$G704,月間集計シート!Q$92:Q$111)*AH$2</f>
        <v>0</v>
      </c>
      <c r="AI704" s="88">
        <f>SUMIF(月間集計シート!$M$92:$M$111,$G704,月間集計シート!R$92:R$111)*AI$2</f>
        <v>0</v>
      </c>
      <c r="AJ704" s="88">
        <f>SUMIF(月間集計シート!$M$92:$M$111,$G704,月間集計シート!S$92:S$111)*AJ$2</f>
        <v>0</v>
      </c>
      <c r="AK704" s="88">
        <f>SUMIF(月間集計シート!$M$92:$M$111,$G704,月間集計シート!T$92:T$111)*AK$2</f>
        <v>0</v>
      </c>
      <c r="AL704" s="88">
        <f>SUMIF(月間集計シート!$M$113:$M$132,$G704,月間集計シート!N$113:N$132)*AL$2</f>
        <v>0</v>
      </c>
      <c r="AM704" s="88">
        <f>SUMIF(月間集計シート!$M$113:$M$132,$G704,月間集計シート!O$113:O$132)*AM$2</f>
        <v>0</v>
      </c>
      <c r="AN704" s="88">
        <f>SUMIF(月間集計シート!$M$113:$M$132,$G704,月間集計シート!P$113:P$132)*AN$2</f>
        <v>0</v>
      </c>
      <c r="AO704" s="88">
        <f>SUMIF(月間集計シート!$M$113:$M$132,$G704,月間集計シート!Q$113:Q$132)*AO$2</f>
        <v>0</v>
      </c>
      <c r="AP704" s="88">
        <f>SUMIF(月間集計シート!$M$113:$M$132,$G704,月間集計シート!R$113:R$132)*AP$2</f>
        <v>0</v>
      </c>
      <c r="AQ704" s="88">
        <f>SUMIF(月間集計シート!$M$113:$M$132,$G704,月間集計シート!S$113:S$132)*AQ$2</f>
        <v>0</v>
      </c>
      <c r="AR704" s="88">
        <f>SUMIF(月間集計シート!$M$113:$M$132,$G704,月間集計シート!T$113:T$132)*AR$2</f>
        <v>0</v>
      </c>
      <c r="AS704" s="88">
        <f>SUMIF(月間集計シート!$M$134:$M$153,$G704,月間集計シート!N$134:N$153)*AS$2</f>
        <v>0</v>
      </c>
      <c r="AT704" s="88">
        <f>SUMIF(月間集計シート!$M$134:$M$153,$G704,月間集計シート!O$134:O$153)*AT$2</f>
        <v>0</v>
      </c>
      <c r="AU704" s="88">
        <f>SUMIF(月間集計シート!$M$134:$M$153,$G704,月間集計シート!P$134:P$153)*AU$2</f>
        <v>0</v>
      </c>
      <c r="AV704" s="88">
        <f>SUMIF(月間集計シート!$M$134:$M$153,$G704,月間集計シート!Q$134:Q$153)*AV$2</f>
        <v>0</v>
      </c>
      <c r="AW704" s="88">
        <f>SUMIF(月間集計シート!$M$134:$M$153,$G704,月間集計シート!R$134:R$153)*AW$2</f>
        <v>0</v>
      </c>
      <c r="AX704" s="88">
        <f>SUMIF(月間集計シート!$M$134:$M$153,$G704,月間集計シート!S$134:S$153)*AX$2</f>
        <v>0</v>
      </c>
      <c r="AY704" s="88">
        <f>SUMIF(月間集計シート!$M$134:$M$153,$G704,月間集計シート!T$134:T$153)*AY$2</f>
        <v>0</v>
      </c>
    </row>
    <row r="705" spans="1:51" ht="14.25" thickBot="1">
      <c r="A705">
        <v>9</v>
      </c>
      <c r="B705" s="120">
        <f t="shared" si="358"/>
        <v>0</v>
      </c>
      <c r="C705" s="120" t="str">
        <f t="shared" si="359"/>
        <v/>
      </c>
      <c r="D705" s="137"/>
      <c r="E705" s="150" t="str">
        <f>工種!A17</f>
        <v>30103</v>
      </c>
      <c r="F705" s="119" t="str">
        <f>工種!B17</f>
        <v>製造：単体テスト設計書作成</v>
      </c>
      <c r="G705" s="116" t="str">
        <f t="shared" si="360"/>
        <v>030103</v>
      </c>
      <c r="H705" s="88">
        <f t="shared" si="314"/>
        <v>0</v>
      </c>
      <c r="I705" s="132"/>
      <c r="J705" s="88">
        <f>SUMIF(月間集計シート!$M$29:$M$48,$G705,月間集計シート!N$29:N$48)*J$2</f>
        <v>0</v>
      </c>
      <c r="K705" s="88">
        <f>SUMIF(月間集計シート!$M$29:$M$48,$G705,月間集計シート!O$29:O$48)*K$2</f>
        <v>0</v>
      </c>
      <c r="L705" s="88">
        <f>SUMIF(月間集計シート!$M$29:$M$48,$G705,月間集計シート!P$29:P$48)*L$2</f>
        <v>0</v>
      </c>
      <c r="M705" s="88">
        <f>SUMIF(月間集計シート!$M$29:$M$48,$G705,月間集計シート!Q$29:Q$48)*M$2</f>
        <v>0</v>
      </c>
      <c r="N705" s="88">
        <f>SUMIF(月間集計シート!$M$29:$M$48,$G705,月間集計シート!R$29:R$48)*N$2</f>
        <v>0</v>
      </c>
      <c r="O705" s="88">
        <f>SUMIF(月間集計シート!$M$29:$M$48,$G705,月間集計シート!S$29:S$48)*O$2</f>
        <v>0</v>
      </c>
      <c r="P705" s="88">
        <f>SUMIF(月間集計シート!$M$29:$M$48,$G705,月間集計シート!T$29:T$48)*P$2</f>
        <v>0</v>
      </c>
      <c r="Q705" s="88">
        <f>SUMIF(月間集計シート!$M$50:$M$69,$G705,月間集計シート!N$50:N$69)*Q$2</f>
        <v>0</v>
      </c>
      <c r="R705" s="88">
        <f>SUMIF(月間集計シート!$M$50:$M$69,$G705,月間集計シート!O$50:O$69)*R$2</f>
        <v>0</v>
      </c>
      <c r="S705" s="88">
        <f>SUMIF(月間集計シート!$M$50:$M$69,$G705,月間集計シート!P$50:P$69)*S$2</f>
        <v>0</v>
      </c>
      <c r="T705" s="88">
        <f>SUMIF(月間集計シート!$M$50:$M$69,$G705,月間集計シート!Q$50:Q$69)*T$2</f>
        <v>0</v>
      </c>
      <c r="U705" s="88">
        <f>SUMIF(月間集計シート!$M$50:$M$69,$G705,月間集計シート!R$50:R$69)*U$2</f>
        <v>0</v>
      </c>
      <c r="V705" s="88">
        <f>SUMIF(月間集計シート!$M$50:$M$69,$G705,月間集計シート!S$50:S$69)*V$2</f>
        <v>0</v>
      </c>
      <c r="W705" s="88">
        <f>SUMIF(月間集計シート!$M$50:$M$69,$G705,月間集計シート!T$50:T$69)*W$2</f>
        <v>0</v>
      </c>
      <c r="X705" s="88">
        <f>SUMIF(月間集計シート!$M$71:$M$90,$G705,月間集計シート!N$71:N$90)*X$2</f>
        <v>0</v>
      </c>
      <c r="Y705" s="88">
        <f>SUMIF(月間集計シート!$M$71:$M$90,$G705,月間集計シート!O$71:O$90)*Y$2</f>
        <v>0</v>
      </c>
      <c r="Z705" s="88">
        <f>SUMIF(月間集計シート!$M$71:$M$90,$G705,月間集計シート!P$71:P$90)*Z$2</f>
        <v>0</v>
      </c>
      <c r="AA705" s="88">
        <f>SUMIF(月間集計シート!$M$71:$M$90,$G705,月間集計シート!Q$71:Q$90)*AA$2</f>
        <v>0</v>
      </c>
      <c r="AB705" s="88">
        <f>SUMIF(月間集計シート!$M$71:$M$90,$G705,月間集計シート!R$71:R$90)*AB$2</f>
        <v>0</v>
      </c>
      <c r="AC705" s="88">
        <f>SUMIF(月間集計シート!$M$71:$M$90,$G705,月間集計シート!S$71:S$90)*AC$2</f>
        <v>0</v>
      </c>
      <c r="AD705" s="88">
        <f>SUMIF(月間集計シート!$M$71:$M$90,$G705,月間集計シート!T$71:T$90)*AD$2</f>
        <v>0</v>
      </c>
      <c r="AE705" s="88">
        <f>SUMIF(月間集計シート!$M$92:$M$111,$G705,月間集計シート!N$92:N$111)*AE$2</f>
        <v>0</v>
      </c>
      <c r="AF705" s="88">
        <f>SUMIF(月間集計シート!$M$92:$M$111,$G705,月間集計シート!O$92:O$111)*AF$2</f>
        <v>0</v>
      </c>
      <c r="AG705" s="88">
        <f>SUMIF(月間集計シート!$M$92:$M$111,$G705,月間集計シート!P$92:P$111)*AG$2</f>
        <v>0</v>
      </c>
      <c r="AH705" s="88">
        <f>SUMIF(月間集計シート!$M$92:$M$111,$G705,月間集計シート!Q$92:Q$111)*AH$2</f>
        <v>0</v>
      </c>
      <c r="AI705" s="88">
        <f>SUMIF(月間集計シート!$M$92:$M$111,$G705,月間集計シート!R$92:R$111)*AI$2</f>
        <v>0</v>
      </c>
      <c r="AJ705" s="88">
        <f>SUMIF(月間集計シート!$M$92:$M$111,$G705,月間集計シート!S$92:S$111)*AJ$2</f>
        <v>0</v>
      </c>
      <c r="AK705" s="88">
        <f>SUMIF(月間集計シート!$M$92:$M$111,$G705,月間集計シート!T$92:T$111)*AK$2</f>
        <v>0</v>
      </c>
      <c r="AL705" s="88">
        <f>SUMIF(月間集計シート!$M$113:$M$132,$G705,月間集計シート!N$113:N$132)*AL$2</f>
        <v>0</v>
      </c>
      <c r="AM705" s="88">
        <f>SUMIF(月間集計シート!$M$113:$M$132,$G705,月間集計シート!O$113:O$132)*AM$2</f>
        <v>0</v>
      </c>
      <c r="AN705" s="88">
        <f>SUMIF(月間集計シート!$M$113:$M$132,$G705,月間集計シート!P$113:P$132)*AN$2</f>
        <v>0</v>
      </c>
      <c r="AO705" s="88">
        <f>SUMIF(月間集計シート!$M$113:$M$132,$G705,月間集計シート!Q$113:Q$132)*AO$2</f>
        <v>0</v>
      </c>
      <c r="AP705" s="88">
        <f>SUMIF(月間集計シート!$M$113:$M$132,$G705,月間集計シート!R$113:R$132)*AP$2</f>
        <v>0</v>
      </c>
      <c r="AQ705" s="88">
        <f>SUMIF(月間集計シート!$M$113:$M$132,$G705,月間集計シート!S$113:S$132)*AQ$2</f>
        <v>0</v>
      </c>
      <c r="AR705" s="88">
        <f>SUMIF(月間集計シート!$M$113:$M$132,$G705,月間集計シート!T$113:T$132)*AR$2</f>
        <v>0</v>
      </c>
      <c r="AS705" s="88">
        <f>SUMIF(月間集計シート!$M$134:$M$153,$G705,月間集計シート!N$134:N$153)*AS$2</f>
        <v>0</v>
      </c>
      <c r="AT705" s="88">
        <f>SUMIF(月間集計シート!$M$134:$M$153,$G705,月間集計シート!O$134:O$153)*AT$2</f>
        <v>0</v>
      </c>
      <c r="AU705" s="88">
        <f>SUMIF(月間集計シート!$M$134:$M$153,$G705,月間集計シート!P$134:P$153)*AU$2</f>
        <v>0</v>
      </c>
      <c r="AV705" s="88">
        <f>SUMIF(月間集計シート!$M$134:$M$153,$G705,月間集計シート!Q$134:Q$153)*AV$2</f>
        <v>0</v>
      </c>
      <c r="AW705" s="88">
        <f>SUMIF(月間集計シート!$M$134:$M$153,$G705,月間集計シート!R$134:R$153)*AW$2</f>
        <v>0</v>
      </c>
      <c r="AX705" s="88">
        <f>SUMIF(月間集計シート!$M$134:$M$153,$G705,月間集計シート!S$134:S$153)*AX$2</f>
        <v>0</v>
      </c>
      <c r="AY705" s="88">
        <f>SUMIF(月間集計シート!$M$134:$M$153,$G705,月間集計シート!T$134:T$153)*AY$2</f>
        <v>0</v>
      </c>
    </row>
    <row r="706" spans="1:51" ht="14.25" thickBot="1">
      <c r="A706">
        <v>9</v>
      </c>
      <c r="B706" s="120">
        <f t="shared" si="358"/>
        <v>0</v>
      </c>
      <c r="C706" s="120" t="str">
        <f t="shared" si="359"/>
        <v/>
      </c>
      <c r="D706" s="137"/>
      <c r="E706" s="150" t="str">
        <f>工種!A18</f>
        <v>30104</v>
      </c>
      <c r="F706" s="119" t="str">
        <f>工種!B18</f>
        <v>製造：単体テスト実施</v>
      </c>
      <c r="G706" s="116" t="str">
        <f t="shared" si="360"/>
        <v>030104</v>
      </c>
      <c r="H706" s="88">
        <f t="shared" si="314"/>
        <v>0</v>
      </c>
      <c r="I706" s="132"/>
      <c r="J706" s="88">
        <f>SUMIF(月間集計シート!$M$29:$M$48,$G706,月間集計シート!N$29:N$48)*J$2</f>
        <v>0</v>
      </c>
      <c r="K706" s="88">
        <f>SUMIF(月間集計シート!$M$29:$M$48,$G706,月間集計シート!O$29:O$48)*K$2</f>
        <v>0</v>
      </c>
      <c r="L706" s="88">
        <f>SUMIF(月間集計シート!$M$29:$M$48,$G706,月間集計シート!P$29:P$48)*L$2</f>
        <v>0</v>
      </c>
      <c r="M706" s="88">
        <f>SUMIF(月間集計シート!$M$29:$M$48,$G706,月間集計シート!Q$29:Q$48)*M$2</f>
        <v>0</v>
      </c>
      <c r="N706" s="88">
        <f>SUMIF(月間集計シート!$M$29:$M$48,$G706,月間集計シート!R$29:R$48)*N$2</f>
        <v>0</v>
      </c>
      <c r="O706" s="88">
        <f>SUMIF(月間集計シート!$M$29:$M$48,$G706,月間集計シート!S$29:S$48)*O$2</f>
        <v>0</v>
      </c>
      <c r="P706" s="88">
        <f>SUMIF(月間集計シート!$M$29:$M$48,$G706,月間集計シート!T$29:T$48)*P$2</f>
        <v>0</v>
      </c>
      <c r="Q706" s="88">
        <f>SUMIF(月間集計シート!$M$50:$M$69,$G706,月間集計シート!N$50:N$69)*Q$2</f>
        <v>0</v>
      </c>
      <c r="R706" s="88">
        <f>SUMIF(月間集計シート!$M$50:$M$69,$G706,月間集計シート!O$50:O$69)*R$2</f>
        <v>0</v>
      </c>
      <c r="S706" s="88">
        <f>SUMIF(月間集計シート!$M$50:$M$69,$G706,月間集計シート!P$50:P$69)*S$2</f>
        <v>0</v>
      </c>
      <c r="T706" s="88">
        <f>SUMIF(月間集計シート!$M$50:$M$69,$G706,月間集計シート!Q$50:Q$69)*T$2</f>
        <v>0</v>
      </c>
      <c r="U706" s="88">
        <f>SUMIF(月間集計シート!$M$50:$M$69,$G706,月間集計シート!R$50:R$69)*U$2</f>
        <v>0</v>
      </c>
      <c r="V706" s="88">
        <f>SUMIF(月間集計シート!$M$50:$M$69,$G706,月間集計シート!S$50:S$69)*V$2</f>
        <v>0</v>
      </c>
      <c r="W706" s="88">
        <f>SUMIF(月間集計シート!$M$50:$M$69,$G706,月間集計シート!T$50:T$69)*W$2</f>
        <v>0</v>
      </c>
      <c r="X706" s="88">
        <f>SUMIF(月間集計シート!$M$71:$M$90,$G706,月間集計シート!N$71:N$90)*X$2</f>
        <v>0</v>
      </c>
      <c r="Y706" s="88">
        <f>SUMIF(月間集計シート!$M$71:$M$90,$G706,月間集計シート!O$71:O$90)*Y$2</f>
        <v>0</v>
      </c>
      <c r="Z706" s="88">
        <f>SUMIF(月間集計シート!$M$71:$M$90,$G706,月間集計シート!P$71:P$90)*Z$2</f>
        <v>0</v>
      </c>
      <c r="AA706" s="88">
        <f>SUMIF(月間集計シート!$M$71:$M$90,$G706,月間集計シート!Q$71:Q$90)*AA$2</f>
        <v>0</v>
      </c>
      <c r="AB706" s="88">
        <f>SUMIF(月間集計シート!$M$71:$M$90,$G706,月間集計シート!R$71:R$90)*AB$2</f>
        <v>0</v>
      </c>
      <c r="AC706" s="88">
        <f>SUMIF(月間集計シート!$M$71:$M$90,$G706,月間集計シート!S$71:S$90)*AC$2</f>
        <v>0</v>
      </c>
      <c r="AD706" s="88">
        <f>SUMIF(月間集計シート!$M$71:$M$90,$G706,月間集計シート!T$71:T$90)*AD$2</f>
        <v>0</v>
      </c>
      <c r="AE706" s="88">
        <f>SUMIF(月間集計シート!$M$92:$M$111,$G706,月間集計シート!N$92:N$111)*AE$2</f>
        <v>0</v>
      </c>
      <c r="AF706" s="88">
        <f>SUMIF(月間集計シート!$M$92:$M$111,$G706,月間集計シート!O$92:O$111)*AF$2</f>
        <v>0</v>
      </c>
      <c r="AG706" s="88">
        <f>SUMIF(月間集計シート!$M$92:$M$111,$G706,月間集計シート!P$92:P$111)*AG$2</f>
        <v>0</v>
      </c>
      <c r="AH706" s="88">
        <f>SUMIF(月間集計シート!$M$92:$M$111,$G706,月間集計シート!Q$92:Q$111)*AH$2</f>
        <v>0</v>
      </c>
      <c r="AI706" s="88">
        <f>SUMIF(月間集計シート!$M$92:$M$111,$G706,月間集計シート!R$92:R$111)*AI$2</f>
        <v>0</v>
      </c>
      <c r="AJ706" s="88">
        <f>SUMIF(月間集計シート!$M$92:$M$111,$G706,月間集計シート!S$92:S$111)*AJ$2</f>
        <v>0</v>
      </c>
      <c r="AK706" s="88">
        <f>SUMIF(月間集計シート!$M$92:$M$111,$G706,月間集計シート!T$92:T$111)*AK$2</f>
        <v>0</v>
      </c>
      <c r="AL706" s="88">
        <f>SUMIF(月間集計シート!$M$113:$M$132,$G706,月間集計シート!N$113:N$132)*AL$2</f>
        <v>0</v>
      </c>
      <c r="AM706" s="88">
        <f>SUMIF(月間集計シート!$M$113:$M$132,$G706,月間集計シート!O$113:O$132)*AM$2</f>
        <v>0</v>
      </c>
      <c r="AN706" s="88">
        <f>SUMIF(月間集計シート!$M$113:$M$132,$G706,月間集計シート!P$113:P$132)*AN$2</f>
        <v>0</v>
      </c>
      <c r="AO706" s="88">
        <f>SUMIF(月間集計シート!$M$113:$M$132,$G706,月間集計シート!Q$113:Q$132)*AO$2</f>
        <v>0</v>
      </c>
      <c r="AP706" s="88">
        <f>SUMIF(月間集計シート!$M$113:$M$132,$G706,月間集計シート!R$113:R$132)*AP$2</f>
        <v>0</v>
      </c>
      <c r="AQ706" s="88">
        <f>SUMIF(月間集計シート!$M$113:$M$132,$G706,月間集計シート!S$113:S$132)*AQ$2</f>
        <v>0</v>
      </c>
      <c r="AR706" s="88">
        <f>SUMIF(月間集計シート!$M$113:$M$132,$G706,月間集計シート!T$113:T$132)*AR$2</f>
        <v>0</v>
      </c>
      <c r="AS706" s="88">
        <f>SUMIF(月間集計シート!$M$134:$M$153,$G706,月間集計シート!N$134:N$153)*AS$2</f>
        <v>0</v>
      </c>
      <c r="AT706" s="88">
        <f>SUMIF(月間集計シート!$M$134:$M$153,$G706,月間集計シート!O$134:O$153)*AT$2</f>
        <v>0</v>
      </c>
      <c r="AU706" s="88">
        <f>SUMIF(月間集計シート!$M$134:$M$153,$G706,月間集計シート!P$134:P$153)*AU$2</f>
        <v>0</v>
      </c>
      <c r="AV706" s="88">
        <f>SUMIF(月間集計シート!$M$134:$M$153,$G706,月間集計シート!Q$134:Q$153)*AV$2</f>
        <v>0</v>
      </c>
      <c r="AW706" s="88">
        <f>SUMIF(月間集計シート!$M$134:$M$153,$G706,月間集計シート!R$134:R$153)*AW$2</f>
        <v>0</v>
      </c>
      <c r="AX706" s="88">
        <f>SUMIF(月間集計シート!$M$134:$M$153,$G706,月間集計シート!S$134:S$153)*AX$2</f>
        <v>0</v>
      </c>
      <c r="AY706" s="88">
        <f>SUMIF(月間集計シート!$M$134:$M$153,$G706,月間集計シート!T$134:T$153)*AY$2</f>
        <v>0</v>
      </c>
    </row>
    <row r="707" spans="1:51" ht="14.25" thickBot="1">
      <c r="A707">
        <v>9</v>
      </c>
      <c r="B707" s="120">
        <f t="shared" si="358"/>
        <v>0</v>
      </c>
      <c r="C707" s="120" t="str">
        <f t="shared" si="359"/>
        <v/>
      </c>
      <c r="D707" s="137"/>
      <c r="E707" s="150" t="str">
        <f>工種!A19</f>
        <v>30105</v>
      </c>
      <c r="F707" s="119" t="str">
        <f>工種!B19</f>
        <v>製造：打合せ</v>
      </c>
      <c r="G707" s="116" t="str">
        <f t="shared" si="360"/>
        <v>030105</v>
      </c>
      <c r="H707" s="88">
        <f t="shared" si="314"/>
        <v>0</v>
      </c>
      <c r="I707" s="132"/>
      <c r="J707" s="88">
        <f>SUMIF(月間集計シート!$M$29:$M$48,$G707,月間集計シート!N$29:N$48)*J$2</f>
        <v>0</v>
      </c>
      <c r="K707" s="88">
        <f>SUMIF(月間集計シート!$M$29:$M$48,$G707,月間集計シート!O$29:O$48)*K$2</f>
        <v>0</v>
      </c>
      <c r="L707" s="88">
        <f>SUMIF(月間集計シート!$M$29:$M$48,$G707,月間集計シート!P$29:P$48)*L$2</f>
        <v>0</v>
      </c>
      <c r="M707" s="88">
        <f>SUMIF(月間集計シート!$M$29:$M$48,$G707,月間集計シート!Q$29:Q$48)*M$2</f>
        <v>0</v>
      </c>
      <c r="N707" s="88">
        <f>SUMIF(月間集計シート!$M$29:$M$48,$G707,月間集計シート!R$29:R$48)*N$2</f>
        <v>0</v>
      </c>
      <c r="O707" s="88">
        <f>SUMIF(月間集計シート!$M$29:$M$48,$G707,月間集計シート!S$29:S$48)*O$2</f>
        <v>0</v>
      </c>
      <c r="P707" s="88">
        <f>SUMIF(月間集計シート!$M$29:$M$48,$G707,月間集計シート!T$29:T$48)*P$2</f>
        <v>0</v>
      </c>
      <c r="Q707" s="88">
        <f>SUMIF(月間集計シート!$M$50:$M$69,$G707,月間集計シート!N$50:N$69)*Q$2</f>
        <v>0</v>
      </c>
      <c r="R707" s="88">
        <f>SUMIF(月間集計シート!$M$50:$M$69,$G707,月間集計シート!O$50:O$69)*R$2</f>
        <v>0</v>
      </c>
      <c r="S707" s="88">
        <f>SUMIF(月間集計シート!$M$50:$M$69,$G707,月間集計シート!P$50:P$69)*S$2</f>
        <v>0</v>
      </c>
      <c r="T707" s="88">
        <f>SUMIF(月間集計シート!$M$50:$M$69,$G707,月間集計シート!Q$50:Q$69)*T$2</f>
        <v>0</v>
      </c>
      <c r="U707" s="88">
        <f>SUMIF(月間集計シート!$M$50:$M$69,$G707,月間集計シート!R$50:R$69)*U$2</f>
        <v>0</v>
      </c>
      <c r="V707" s="88">
        <f>SUMIF(月間集計シート!$M$50:$M$69,$G707,月間集計シート!S$50:S$69)*V$2</f>
        <v>0</v>
      </c>
      <c r="W707" s="88">
        <f>SUMIF(月間集計シート!$M$50:$M$69,$G707,月間集計シート!T$50:T$69)*W$2</f>
        <v>0</v>
      </c>
      <c r="X707" s="88">
        <f>SUMIF(月間集計シート!$M$71:$M$90,$G707,月間集計シート!N$71:N$90)*X$2</f>
        <v>0</v>
      </c>
      <c r="Y707" s="88">
        <f>SUMIF(月間集計シート!$M$71:$M$90,$G707,月間集計シート!O$71:O$90)*Y$2</f>
        <v>0</v>
      </c>
      <c r="Z707" s="88">
        <f>SUMIF(月間集計シート!$M$71:$M$90,$G707,月間集計シート!P$71:P$90)*Z$2</f>
        <v>0</v>
      </c>
      <c r="AA707" s="88">
        <f>SUMIF(月間集計シート!$M$71:$M$90,$G707,月間集計シート!Q$71:Q$90)*AA$2</f>
        <v>0</v>
      </c>
      <c r="AB707" s="88">
        <f>SUMIF(月間集計シート!$M$71:$M$90,$G707,月間集計シート!R$71:R$90)*AB$2</f>
        <v>0</v>
      </c>
      <c r="AC707" s="88">
        <f>SUMIF(月間集計シート!$M$71:$M$90,$G707,月間集計シート!S$71:S$90)*AC$2</f>
        <v>0</v>
      </c>
      <c r="AD707" s="88">
        <f>SUMIF(月間集計シート!$M$71:$M$90,$G707,月間集計シート!T$71:T$90)*AD$2</f>
        <v>0</v>
      </c>
      <c r="AE707" s="88">
        <f>SUMIF(月間集計シート!$M$92:$M$111,$G707,月間集計シート!N$92:N$111)*AE$2</f>
        <v>0</v>
      </c>
      <c r="AF707" s="88">
        <f>SUMIF(月間集計シート!$M$92:$M$111,$G707,月間集計シート!O$92:O$111)*AF$2</f>
        <v>0</v>
      </c>
      <c r="AG707" s="88">
        <f>SUMIF(月間集計シート!$M$92:$M$111,$G707,月間集計シート!P$92:P$111)*AG$2</f>
        <v>0</v>
      </c>
      <c r="AH707" s="88">
        <f>SUMIF(月間集計シート!$M$92:$M$111,$G707,月間集計シート!Q$92:Q$111)*AH$2</f>
        <v>0</v>
      </c>
      <c r="AI707" s="88">
        <f>SUMIF(月間集計シート!$M$92:$M$111,$G707,月間集計シート!R$92:R$111)*AI$2</f>
        <v>0</v>
      </c>
      <c r="AJ707" s="88">
        <f>SUMIF(月間集計シート!$M$92:$M$111,$G707,月間集計シート!S$92:S$111)*AJ$2</f>
        <v>0</v>
      </c>
      <c r="AK707" s="88">
        <f>SUMIF(月間集計シート!$M$92:$M$111,$G707,月間集計シート!T$92:T$111)*AK$2</f>
        <v>0</v>
      </c>
      <c r="AL707" s="88">
        <f>SUMIF(月間集計シート!$M$113:$M$132,$G707,月間集計シート!N$113:N$132)*AL$2</f>
        <v>0</v>
      </c>
      <c r="AM707" s="88">
        <f>SUMIF(月間集計シート!$M$113:$M$132,$G707,月間集計シート!O$113:O$132)*AM$2</f>
        <v>0</v>
      </c>
      <c r="AN707" s="88">
        <f>SUMIF(月間集計シート!$M$113:$M$132,$G707,月間集計シート!P$113:P$132)*AN$2</f>
        <v>0</v>
      </c>
      <c r="AO707" s="88">
        <f>SUMIF(月間集計シート!$M$113:$M$132,$G707,月間集計シート!Q$113:Q$132)*AO$2</f>
        <v>0</v>
      </c>
      <c r="AP707" s="88">
        <f>SUMIF(月間集計シート!$M$113:$M$132,$G707,月間集計シート!R$113:R$132)*AP$2</f>
        <v>0</v>
      </c>
      <c r="AQ707" s="88">
        <f>SUMIF(月間集計シート!$M$113:$M$132,$G707,月間集計シート!S$113:S$132)*AQ$2</f>
        <v>0</v>
      </c>
      <c r="AR707" s="88">
        <f>SUMIF(月間集計シート!$M$113:$M$132,$G707,月間集計シート!T$113:T$132)*AR$2</f>
        <v>0</v>
      </c>
      <c r="AS707" s="88">
        <f>SUMIF(月間集計シート!$M$134:$M$153,$G707,月間集計シート!N$134:N$153)*AS$2</f>
        <v>0</v>
      </c>
      <c r="AT707" s="88">
        <f>SUMIF(月間集計シート!$M$134:$M$153,$G707,月間集計シート!O$134:O$153)*AT$2</f>
        <v>0</v>
      </c>
      <c r="AU707" s="88">
        <f>SUMIF(月間集計シート!$M$134:$M$153,$G707,月間集計シート!P$134:P$153)*AU$2</f>
        <v>0</v>
      </c>
      <c r="AV707" s="88">
        <f>SUMIF(月間集計シート!$M$134:$M$153,$G707,月間集計シート!Q$134:Q$153)*AV$2</f>
        <v>0</v>
      </c>
      <c r="AW707" s="88">
        <f>SUMIF(月間集計シート!$M$134:$M$153,$G707,月間集計シート!R$134:R$153)*AW$2</f>
        <v>0</v>
      </c>
      <c r="AX707" s="88">
        <f>SUMIF(月間集計シート!$M$134:$M$153,$G707,月間集計シート!S$134:S$153)*AX$2</f>
        <v>0</v>
      </c>
      <c r="AY707" s="88">
        <f>SUMIF(月間集計シート!$M$134:$M$153,$G707,月間集計シート!T$134:T$153)*AY$2</f>
        <v>0</v>
      </c>
    </row>
    <row r="708" spans="1:51" ht="14.25" thickBot="1">
      <c r="A708">
        <v>9</v>
      </c>
      <c r="B708" s="120">
        <f t="shared" si="358"/>
        <v>0</v>
      </c>
      <c r="C708" s="120" t="str">
        <f t="shared" si="359"/>
        <v/>
      </c>
      <c r="D708" s="137"/>
      <c r="E708" s="150" t="str">
        <f>工種!A20</f>
        <v>30106</v>
      </c>
      <c r="F708" s="119" t="str">
        <f>工種!B20</f>
        <v>製造：PG修正（手戻り分）</v>
      </c>
      <c r="G708" s="116" t="str">
        <f t="shared" si="360"/>
        <v>030106</v>
      </c>
      <c r="H708" s="88">
        <f t="shared" si="314"/>
        <v>0</v>
      </c>
      <c r="I708" s="132"/>
      <c r="J708" s="88">
        <f>SUMIF(月間集計シート!$M$29:$M$48,$G708,月間集計シート!N$29:N$48)*J$2</f>
        <v>0</v>
      </c>
      <c r="K708" s="88">
        <f>SUMIF(月間集計シート!$M$29:$M$48,$G708,月間集計シート!O$29:O$48)*K$2</f>
        <v>0</v>
      </c>
      <c r="L708" s="88">
        <f>SUMIF(月間集計シート!$M$29:$M$48,$G708,月間集計シート!P$29:P$48)*L$2</f>
        <v>0</v>
      </c>
      <c r="M708" s="88">
        <f>SUMIF(月間集計シート!$M$29:$M$48,$G708,月間集計シート!Q$29:Q$48)*M$2</f>
        <v>0</v>
      </c>
      <c r="N708" s="88">
        <f>SUMIF(月間集計シート!$M$29:$M$48,$G708,月間集計シート!R$29:R$48)*N$2</f>
        <v>0</v>
      </c>
      <c r="O708" s="88">
        <f>SUMIF(月間集計シート!$M$29:$M$48,$G708,月間集計シート!S$29:S$48)*O$2</f>
        <v>0</v>
      </c>
      <c r="P708" s="88">
        <f>SUMIF(月間集計シート!$M$29:$M$48,$G708,月間集計シート!T$29:T$48)*P$2</f>
        <v>0</v>
      </c>
      <c r="Q708" s="88">
        <f>SUMIF(月間集計シート!$M$50:$M$69,$G708,月間集計シート!N$50:N$69)*Q$2</f>
        <v>0</v>
      </c>
      <c r="R708" s="88">
        <f>SUMIF(月間集計シート!$M$50:$M$69,$G708,月間集計シート!O$50:O$69)*R$2</f>
        <v>0</v>
      </c>
      <c r="S708" s="88">
        <f>SUMIF(月間集計シート!$M$50:$M$69,$G708,月間集計シート!P$50:P$69)*S$2</f>
        <v>0</v>
      </c>
      <c r="T708" s="88">
        <f>SUMIF(月間集計シート!$M$50:$M$69,$G708,月間集計シート!Q$50:Q$69)*T$2</f>
        <v>0</v>
      </c>
      <c r="U708" s="88">
        <f>SUMIF(月間集計シート!$M$50:$M$69,$G708,月間集計シート!R$50:R$69)*U$2</f>
        <v>0</v>
      </c>
      <c r="V708" s="88">
        <f>SUMIF(月間集計シート!$M$50:$M$69,$G708,月間集計シート!S$50:S$69)*V$2</f>
        <v>0</v>
      </c>
      <c r="W708" s="88">
        <f>SUMIF(月間集計シート!$M$50:$M$69,$G708,月間集計シート!T$50:T$69)*W$2</f>
        <v>0</v>
      </c>
      <c r="X708" s="88">
        <f>SUMIF(月間集計シート!$M$71:$M$90,$G708,月間集計シート!N$71:N$90)*X$2</f>
        <v>0</v>
      </c>
      <c r="Y708" s="88">
        <f>SUMIF(月間集計シート!$M$71:$M$90,$G708,月間集計シート!O$71:O$90)*Y$2</f>
        <v>0</v>
      </c>
      <c r="Z708" s="88">
        <f>SUMIF(月間集計シート!$M$71:$M$90,$G708,月間集計シート!P$71:P$90)*Z$2</f>
        <v>0</v>
      </c>
      <c r="AA708" s="88">
        <f>SUMIF(月間集計シート!$M$71:$M$90,$G708,月間集計シート!Q$71:Q$90)*AA$2</f>
        <v>0</v>
      </c>
      <c r="AB708" s="88">
        <f>SUMIF(月間集計シート!$M$71:$M$90,$G708,月間集計シート!R$71:R$90)*AB$2</f>
        <v>0</v>
      </c>
      <c r="AC708" s="88">
        <f>SUMIF(月間集計シート!$M$71:$M$90,$G708,月間集計シート!S$71:S$90)*AC$2</f>
        <v>0</v>
      </c>
      <c r="AD708" s="88">
        <f>SUMIF(月間集計シート!$M$71:$M$90,$G708,月間集計シート!T$71:T$90)*AD$2</f>
        <v>0</v>
      </c>
      <c r="AE708" s="88">
        <f>SUMIF(月間集計シート!$M$92:$M$111,$G708,月間集計シート!N$92:N$111)*AE$2</f>
        <v>0</v>
      </c>
      <c r="AF708" s="88">
        <f>SUMIF(月間集計シート!$M$92:$M$111,$G708,月間集計シート!O$92:O$111)*AF$2</f>
        <v>0</v>
      </c>
      <c r="AG708" s="88">
        <f>SUMIF(月間集計シート!$M$92:$M$111,$G708,月間集計シート!P$92:P$111)*AG$2</f>
        <v>0</v>
      </c>
      <c r="AH708" s="88">
        <f>SUMIF(月間集計シート!$M$92:$M$111,$G708,月間集計シート!Q$92:Q$111)*AH$2</f>
        <v>0</v>
      </c>
      <c r="AI708" s="88">
        <f>SUMIF(月間集計シート!$M$92:$M$111,$G708,月間集計シート!R$92:R$111)*AI$2</f>
        <v>0</v>
      </c>
      <c r="AJ708" s="88">
        <f>SUMIF(月間集計シート!$M$92:$M$111,$G708,月間集計シート!S$92:S$111)*AJ$2</f>
        <v>0</v>
      </c>
      <c r="AK708" s="88">
        <f>SUMIF(月間集計シート!$M$92:$M$111,$G708,月間集計シート!T$92:T$111)*AK$2</f>
        <v>0</v>
      </c>
      <c r="AL708" s="88">
        <f>SUMIF(月間集計シート!$M$113:$M$132,$G708,月間集計シート!N$113:N$132)*AL$2</f>
        <v>0</v>
      </c>
      <c r="AM708" s="88">
        <f>SUMIF(月間集計シート!$M$113:$M$132,$G708,月間集計シート!O$113:O$132)*AM$2</f>
        <v>0</v>
      </c>
      <c r="AN708" s="88">
        <f>SUMIF(月間集計シート!$M$113:$M$132,$G708,月間集計シート!P$113:P$132)*AN$2</f>
        <v>0</v>
      </c>
      <c r="AO708" s="88">
        <f>SUMIF(月間集計シート!$M$113:$M$132,$G708,月間集計シート!Q$113:Q$132)*AO$2</f>
        <v>0</v>
      </c>
      <c r="AP708" s="88">
        <f>SUMIF(月間集計シート!$M$113:$M$132,$G708,月間集計シート!R$113:R$132)*AP$2</f>
        <v>0</v>
      </c>
      <c r="AQ708" s="88">
        <f>SUMIF(月間集計シート!$M$113:$M$132,$G708,月間集計シート!S$113:S$132)*AQ$2</f>
        <v>0</v>
      </c>
      <c r="AR708" s="88">
        <f>SUMIF(月間集計シート!$M$113:$M$132,$G708,月間集計シート!T$113:T$132)*AR$2</f>
        <v>0</v>
      </c>
      <c r="AS708" s="88">
        <f>SUMIF(月間集計シート!$M$134:$M$153,$G708,月間集計シート!N$134:N$153)*AS$2</f>
        <v>0</v>
      </c>
      <c r="AT708" s="88">
        <f>SUMIF(月間集計シート!$M$134:$M$153,$G708,月間集計シート!O$134:O$153)*AT$2</f>
        <v>0</v>
      </c>
      <c r="AU708" s="88">
        <f>SUMIF(月間集計シート!$M$134:$M$153,$G708,月間集計シート!P$134:P$153)*AU$2</f>
        <v>0</v>
      </c>
      <c r="AV708" s="88">
        <f>SUMIF(月間集計シート!$M$134:$M$153,$G708,月間集計シート!Q$134:Q$153)*AV$2</f>
        <v>0</v>
      </c>
      <c r="AW708" s="88">
        <f>SUMIF(月間集計シート!$M$134:$M$153,$G708,月間集計シート!R$134:R$153)*AW$2</f>
        <v>0</v>
      </c>
      <c r="AX708" s="88">
        <f>SUMIF(月間集計シート!$M$134:$M$153,$G708,月間集計シート!S$134:S$153)*AX$2</f>
        <v>0</v>
      </c>
      <c r="AY708" s="88">
        <f>SUMIF(月間集計シート!$M$134:$M$153,$G708,月間集計シート!T$134:T$153)*AY$2</f>
        <v>0</v>
      </c>
    </row>
    <row r="709" spans="1:51" ht="14.25" thickBot="1">
      <c r="A709">
        <v>9</v>
      </c>
      <c r="B709" s="120">
        <f t="shared" si="358"/>
        <v>0</v>
      </c>
      <c r="C709" s="120" t="str">
        <f t="shared" si="359"/>
        <v/>
      </c>
      <c r="D709" s="137"/>
      <c r="E709" s="150" t="str">
        <f>工種!A21</f>
        <v>30109</v>
      </c>
      <c r="F709" s="119" t="str">
        <f>工種!B21</f>
        <v>製造：レビュー</v>
      </c>
      <c r="G709" s="116" t="str">
        <f t="shared" si="360"/>
        <v>030109</v>
      </c>
      <c r="H709" s="88">
        <f t="shared" si="314"/>
        <v>0</v>
      </c>
      <c r="I709" s="132"/>
      <c r="J709" s="88">
        <f>SUMIF(月間集計シート!$M$29:$M$48,$G709,月間集計シート!N$29:N$48)*J$2</f>
        <v>0</v>
      </c>
      <c r="K709" s="88">
        <f>SUMIF(月間集計シート!$M$29:$M$48,$G709,月間集計シート!O$29:O$48)*K$2</f>
        <v>0</v>
      </c>
      <c r="L709" s="88">
        <f>SUMIF(月間集計シート!$M$29:$M$48,$G709,月間集計シート!P$29:P$48)*L$2</f>
        <v>0</v>
      </c>
      <c r="M709" s="88">
        <f>SUMIF(月間集計シート!$M$29:$M$48,$G709,月間集計シート!Q$29:Q$48)*M$2</f>
        <v>0</v>
      </c>
      <c r="N709" s="88">
        <f>SUMIF(月間集計シート!$M$29:$M$48,$G709,月間集計シート!R$29:R$48)*N$2</f>
        <v>0</v>
      </c>
      <c r="O709" s="88">
        <f>SUMIF(月間集計シート!$M$29:$M$48,$G709,月間集計シート!S$29:S$48)*O$2</f>
        <v>0</v>
      </c>
      <c r="P709" s="88">
        <f>SUMIF(月間集計シート!$M$29:$M$48,$G709,月間集計シート!T$29:T$48)*P$2</f>
        <v>0</v>
      </c>
      <c r="Q709" s="88">
        <f>SUMIF(月間集計シート!$M$50:$M$69,$G709,月間集計シート!N$50:N$69)*Q$2</f>
        <v>0</v>
      </c>
      <c r="R709" s="88">
        <f>SUMIF(月間集計シート!$M$50:$M$69,$G709,月間集計シート!O$50:O$69)*R$2</f>
        <v>0</v>
      </c>
      <c r="S709" s="88">
        <f>SUMIF(月間集計シート!$M$50:$M$69,$G709,月間集計シート!P$50:P$69)*S$2</f>
        <v>0</v>
      </c>
      <c r="T709" s="88">
        <f>SUMIF(月間集計シート!$M$50:$M$69,$G709,月間集計シート!Q$50:Q$69)*T$2</f>
        <v>0</v>
      </c>
      <c r="U709" s="88">
        <f>SUMIF(月間集計シート!$M$50:$M$69,$G709,月間集計シート!R$50:R$69)*U$2</f>
        <v>0</v>
      </c>
      <c r="V709" s="88">
        <f>SUMIF(月間集計シート!$M$50:$M$69,$G709,月間集計シート!S$50:S$69)*V$2</f>
        <v>0</v>
      </c>
      <c r="W709" s="88">
        <f>SUMIF(月間集計シート!$M$50:$M$69,$G709,月間集計シート!T$50:T$69)*W$2</f>
        <v>0</v>
      </c>
      <c r="X709" s="88">
        <f>SUMIF(月間集計シート!$M$71:$M$90,$G709,月間集計シート!N$71:N$90)*X$2</f>
        <v>0</v>
      </c>
      <c r="Y709" s="88">
        <f>SUMIF(月間集計シート!$M$71:$M$90,$G709,月間集計シート!O$71:O$90)*Y$2</f>
        <v>0</v>
      </c>
      <c r="Z709" s="88">
        <f>SUMIF(月間集計シート!$M$71:$M$90,$G709,月間集計シート!P$71:P$90)*Z$2</f>
        <v>0</v>
      </c>
      <c r="AA709" s="88">
        <f>SUMIF(月間集計シート!$M$71:$M$90,$G709,月間集計シート!Q$71:Q$90)*AA$2</f>
        <v>0</v>
      </c>
      <c r="AB709" s="88">
        <f>SUMIF(月間集計シート!$M$71:$M$90,$G709,月間集計シート!R$71:R$90)*AB$2</f>
        <v>0</v>
      </c>
      <c r="AC709" s="88">
        <f>SUMIF(月間集計シート!$M$71:$M$90,$G709,月間集計シート!S$71:S$90)*AC$2</f>
        <v>0</v>
      </c>
      <c r="AD709" s="88">
        <f>SUMIF(月間集計シート!$M$71:$M$90,$G709,月間集計シート!T$71:T$90)*AD$2</f>
        <v>0</v>
      </c>
      <c r="AE709" s="88">
        <f>SUMIF(月間集計シート!$M$92:$M$111,$G709,月間集計シート!N$92:N$111)*AE$2</f>
        <v>0</v>
      </c>
      <c r="AF709" s="88">
        <f>SUMIF(月間集計シート!$M$92:$M$111,$G709,月間集計シート!O$92:O$111)*AF$2</f>
        <v>0</v>
      </c>
      <c r="AG709" s="88">
        <f>SUMIF(月間集計シート!$M$92:$M$111,$G709,月間集計シート!P$92:P$111)*AG$2</f>
        <v>0</v>
      </c>
      <c r="AH709" s="88">
        <f>SUMIF(月間集計シート!$M$92:$M$111,$G709,月間集計シート!Q$92:Q$111)*AH$2</f>
        <v>0</v>
      </c>
      <c r="AI709" s="88">
        <f>SUMIF(月間集計シート!$M$92:$M$111,$G709,月間集計シート!R$92:R$111)*AI$2</f>
        <v>0</v>
      </c>
      <c r="AJ709" s="88">
        <f>SUMIF(月間集計シート!$M$92:$M$111,$G709,月間集計シート!S$92:S$111)*AJ$2</f>
        <v>0</v>
      </c>
      <c r="AK709" s="88">
        <f>SUMIF(月間集計シート!$M$92:$M$111,$G709,月間集計シート!T$92:T$111)*AK$2</f>
        <v>0</v>
      </c>
      <c r="AL709" s="88">
        <f>SUMIF(月間集計シート!$M$113:$M$132,$G709,月間集計シート!N$113:N$132)*AL$2</f>
        <v>0</v>
      </c>
      <c r="AM709" s="88">
        <f>SUMIF(月間集計シート!$M$113:$M$132,$G709,月間集計シート!O$113:O$132)*AM$2</f>
        <v>0</v>
      </c>
      <c r="AN709" s="88">
        <f>SUMIF(月間集計シート!$M$113:$M$132,$G709,月間集計シート!P$113:P$132)*AN$2</f>
        <v>0</v>
      </c>
      <c r="AO709" s="88">
        <f>SUMIF(月間集計シート!$M$113:$M$132,$G709,月間集計シート!Q$113:Q$132)*AO$2</f>
        <v>0</v>
      </c>
      <c r="AP709" s="88">
        <f>SUMIF(月間集計シート!$M$113:$M$132,$G709,月間集計シート!R$113:R$132)*AP$2</f>
        <v>0</v>
      </c>
      <c r="AQ709" s="88">
        <f>SUMIF(月間集計シート!$M$113:$M$132,$G709,月間集計シート!S$113:S$132)*AQ$2</f>
        <v>0</v>
      </c>
      <c r="AR709" s="88">
        <f>SUMIF(月間集計シート!$M$113:$M$132,$G709,月間集計シート!T$113:T$132)*AR$2</f>
        <v>0</v>
      </c>
      <c r="AS709" s="88">
        <f>SUMIF(月間集計シート!$M$134:$M$153,$G709,月間集計シート!N$134:N$153)*AS$2</f>
        <v>0</v>
      </c>
      <c r="AT709" s="88">
        <f>SUMIF(月間集計シート!$M$134:$M$153,$G709,月間集計シート!O$134:O$153)*AT$2</f>
        <v>0</v>
      </c>
      <c r="AU709" s="88">
        <f>SUMIF(月間集計シート!$M$134:$M$153,$G709,月間集計シート!P$134:P$153)*AU$2</f>
        <v>0</v>
      </c>
      <c r="AV709" s="88">
        <f>SUMIF(月間集計シート!$M$134:$M$153,$G709,月間集計シート!Q$134:Q$153)*AV$2</f>
        <v>0</v>
      </c>
      <c r="AW709" s="88">
        <f>SUMIF(月間集計シート!$M$134:$M$153,$G709,月間集計シート!R$134:R$153)*AW$2</f>
        <v>0</v>
      </c>
      <c r="AX709" s="88">
        <f>SUMIF(月間集計シート!$M$134:$M$153,$G709,月間集計シート!S$134:S$153)*AX$2</f>
        <v>0</v>
      </c>
      <c r="AY709" s="88">
        <f>SUMIF(月間集計シート!$M$134:$M$153,$G709,月間集計シート!T$134:T$153)*AY$2</f>
        <v>0</v>
      </c>
    </row>
    <row r="710" spans="1:51" ht="14.25" thickBot="1">
      <c r="A710">
        <v>9</v>
      </c>
      <c r="B710" s="120">
        <f t="shared" si="358"/>
        <v>0</v>
      </c>
      <c r="C710" s="120" t="str">
        <f t="shared" si="359"/>
        <v/>
      </c>
      <c r="D710" s="137"/>
      <c r="E710" s="150" t="str">
        <f>工種!A22</f>
        <v>30199</v>
      </c>
      <c r="F710" s="119" t="str">
        <f>工種!B22</f>
        <v>製造：その他</v>
      </c>
      <c r="G710" s="116" t="str">
        <f t="shared" si="360"/>
        <v>030199</v>
      </c>
      <c r="H710" s="88">
        <f t="shared" si="314"/>
        <v>0</v>
      </c>
      <c r="I710" s="132"/>
      <c r="J710" s="88">
        <f>SUMIF(月間集計シート!$M$29:$M$48,$G710,月間集計シート!N$29:N$48)*J$2</f>
        <v>0</v>
      </c>
      <c r="K710" s="88">
        <f>SUMIF(月間集計シート!$M$29:$M$48,$G710,月間集計シート!O$29:O$48)*K$2</f>
        <v>0</v>
      </c>
      <c r="L710" s="88">
        <f>SUMIF(月間集計シート!$M$29:$M$48,$G710,月間集計シート!P$29:P$48)*L$2</f>
        <v>0</v>
      </c>
      <c r="M710" s="88">
        <f>SUMIF(月間集計シート!$M$29:$M$48,$G710,月間集計シート!Q$29:Q$48)*M$2</f>
        <v>0</v>
      </c>
      <c r="N710" s="88">
        <f>SUMIF(月間集計シート!$M$29:$M$48,$G710,月間集計シート!R$29:R$48)*N$2</f>
        <v>0</v>
      </c>
      <c r="O710" s="88">
        <f>SUMIF(月間集計シート!$M$29:$M$48,$G710,月間集計シート!S$29:S$48)*O$2</f>
        <v>0</v>
      </c>
      <c r="P710" s="88">
        <f>SUMIF(月間集計シート!$M$29:$M$48,$G710,月間集計シート!T$29:T$48)*P$2</f>
        <v>0</v>
      </c>
      <c r="Q710" s="88">
        <f>SUMIF(月間集計シート!$M$50:$M$69,$G710,月間集計シート!N$50:N$69)*Q$2</f>
        <v>0</v>
      </c>
      <c r="R710" s="88">
        <f>SUMIF(月間集計シート!$M$50:$M$69,$G710,月間集計シート!O$50:O$69)*R$2</f>
        <v>0</v>
      </c>
      <c r="S710" s="88">
        <f>SUMIF(月間集計シート!$M$50:$M$69,$G710,月間集計シート!P$50:P$69)*S$2</f>
        <v>0</v>
      </c>
      <c r="T710" s="88">
        <f>SUMIF(月間集計シート!$M$50:$M$69,$G710,月間集計シート!Q$50:Q$69)*T$2</f>
        <v>0</v>
      </c>
      <c r="U710" s="88">
        <f>SUMIF(月間集計シート!$M$50:$M$69,$G710,月間集計シート!R$50:R$69)*U$2</f>
        <v>0</v>
      </c>
      <c r="V710" s="88">
        <f>SUMIF(月間集計シート!$M$50:$M$69,$G710,月間集計シート!S$50:S$69)*V$2</f>
        <v>0</v>
      </c>
      <c r="W710" s="88">
        <f>SUMIF(月間集計シート!$M$50:$M$69,$G710,月間集計シート!T$50:T$69)*W$2</f>
        <v>0</v>
      </c>
      <c r="X710" s="88">
        <f>SUMIF(月間集計シート!$M$71:$M$90,$G710,月間集計シート!N$71:N$90)*X$2</f>
        <v>0</v>
      </c>
      <c r="Y710" s="88">
        <f>SUMIF(月間集計シート!$M$71:$M$90,$G710,月間集計シート!O$71:O$90)*Y$2</f>
        <v>0</v>
      </c>
      <c r="Z710" s="88">
        <f>SUMIF(月間集計シート!$M$71:$M$90,$G710,月間集計シート!P$71:P$90)*Z$2</f>
        <v>0</v>
      </c>
      <c r="AA710" s="88">
        <f>SUMIF(月間集計シート!$M$71:$M$90,$G710,月間集計シート!Q$71:Q$90)*AA$2</f>
        <v>0</v>
      </c>
      <c r="AB710" s="88">
        <f>SUMIF(月間集計シート!$M$71:$M$90,$G710,月間集計シート!R$71:R$90)*AB$2</f>
        <v>0</v>
      </c>
      <c r="AC710" s="88">
        <f>SUMIF(月間集計シート!$M$71:$M$90,$G710,月間集計シート!S$71:S$90)*AC$2</f>
        <v>0</v>
      </c>
      <c r="AD710" s="88">
        <f>SUMIF(月間集計シート!$M$71:$M$90,$G710,月間集計シート!T$71:T$90)*AD$2</f>
        <v>0</v>
      </c>
      <c r="AE710" s="88">
        <f>SUMIF(月間集計シート!$M$92:$M$111,$G710,月間集計シート!N$92:N$111)*AE$2</f>
        <v>0</v>
      </c>
      <c r="AF710" s="88">
        <f>SUMIF(月間集計シート!$M$92:$M$111,$G710,月間集計シート!O$92:O$111)*AF$2</f>
        <v>0</v>
      </c>
      <c r="AG710" s="88">
        <f>SUMIF(月間集計シート!$M$92:$M$111,$G710,月間集計シート!P$92:P$111)*AG$2</f>
        <v>0</v>
      </c>
      <c r="AH710" s="88">
        <f>SUMIF(月間集計シート!$M$92:$M$111,$G710,月間集計シート!Q$92:Q$111)*AH$2</f>
        <v>0</v>
      </c>
      <c r="AI710" s="88">
        <f>SUMIF(月間集計シート!$M$92:$M$111,$G710,月間集計シート!R$92:R$111)*AI$2</f>
        <v>0</v>
      </c>
      <c r="AJ710" s="88">
        <f>SUMIF(月間集計シート!$M$92:$M$111,$G710,月間集計シート!S$92:S$111)*AJ$2</f>
        <v>0</v>
      </c>
      <c r="AK710" s="88">
        <f>SUMIF(月間集計シート!$M$92:$M$111,$G710,月間集計シート!T$92:T$111)*AK$2</f>
        <v>0</v>
      </c>
      <c r="AL710" s="88">
        <f>SUMIF(月間集計シート!$M$113:$M$132,$G710,月間集計シート!N$113:N$132)*AL$2</f>
        <v>0</v>
      </c>
      <c r="AM710" s="88">
        <f>SUMIF(月間集計シート!$M$113:$M$132,$G710,月間集計シート!O$113:O$132)*AM$2</f>
        <v>0</v>
      </c>
      <c r="AN710" s="88">
        <f>SUMIF(月間集計シート!$M$113:$M$132,$G710,月間集計シート!P$113:P$132)*AN$2</f>
        <v>0</v>
      </c>
      <c r="AO710" s="88">
        <f>SUMIF(月間集計シート!$M$113:$M$132,$G710,月間集計シート!Q$113:Q$132)*AO$2</f>
        <v>0</v>
      </c>
      <c r="AP710" s="88">
        <f>SUMIF(月間集計シート!$M$113:$M$132,$G710,月間集計シート!R$113:R$132)*AP$2</f>
        <v>0</v>
      </c>
      <c r="AQ710" s="88">
        <f>SUMIF(月間集計シート!$M$113:$M$132,$G710,月間集計シート!S$113:S$132)*AQ$2</f>
        <v>0</v>
      </c>
      <c r="AR710" s="88">
        <f>SUMIF(月間集計シート!$M$113:$M$132,$G710,月間集計シート!T$113:T$132)*AR$2</f>
        <v>0</v>
      </c>
      <c r="AS710" s="88">
        <f>SUMIF(月間集計シート!$M$134:$M$153,$G710,月間集計シート!N$134:N$153)*AS$2</f>
        <v>0</v>
      </c>
      <c r="AT710" s="88">
        <f>SUMIF(月間集計シート!$M$134:$M$153,$G710,月間集計シート!O$134:O$153)*AT$2</f>
        <v>0</v>
      </c>
      <c r="AU710" s="88">
        <f>SUMIF(月間集計シート!$M$134:$M$153,$G710,月間集計シート!P$134:P$153)*AU$2</f>
        <v>0</v>
      </c>
      <c r="AV710" s="88">
        <f>SUMIF(月間集計シート!$M$134:$M$153,$G710,月間集計シート!Q$134:Q$153)*AV$2</f>
        <v>0</v>
      </c>
      <c r="AW710" s="88">
        <f>SUMIF(月間集計シート!$M$134:$M$153,$G710,月間集計シート!R$134:R$153)*AW$2</f>
        <v>0</v>
      </c>
      <c r="AX710" s="88">
        <f>SUMIF(月間集計シート!$M$134:$M$153,$G710,月間集計シート!S$134:S$153)*AX$2</f>
        <v>0</v>
      </c>
      <c r="AY710" s="88">
        <f>SUMIF(月間集計シート!$M$134:$M$153,$G710,月間集計シート!T$134:T$153)*AY$2</f>
        <v>0</v>
      </c>
    </row>
    <row r="711" spans="1:51" ht="14.25" thickBot="1">
      <c r="A711">
        <v>9</v>
      </c>
      <c r="B711" s="120">
        <f t="shared" si="358"/>
        <v>0</v>
      </c>
      <c r="C711" s="120" t="str">
        <f t="shared" si="359"/>
        <v/>
      </c>
      <c r="D711" s="137"/>
      <c r="E711" s="150" t="str">
        <f>工種!A23</f>
        <v>40101</v>
      </c>
      <c r="F711" s="119" t="str">
        <f>工種!B23</f>
        <v>テスト：結合テスト実施</v>
      </c>
      <c r="G711" s="116" t="str">
        <f t="shared" si="360"/>
        <v>040101</v>
      </c>
      <c r="H711" s="88">
        <f t="shared" si="314"/>
        <v>0</v>
      </c>
      <c r="I711" s="132"/>
      <c r="J711" s="88">
        <f>SUMIF(月間集計シート!$M$29:$M$48,$G711,月間集計シート!N$29:N$48)*J$2</f>
        <v>0</v>
      </c>
      <c r="K711" s="88">
        <f>SUMIF(月間集計シート!$M$29:$M$48,$G711,月間集計シート!O$29:O$48)*K$2</f>
        <v>0</v>
      </c>
      <c r="L711" s="88">
        <f>SUMIF(月間集計シート!$M$29:$M$48,$G711,月間集計シート!P$29:P$48)*L$2</f>
        <v>0</v>
      </c>
      <c r="M711" s="88">
        <f>SUMIF(月間集計シート!$M$29:$M$48,$G711,月間集計シート!Q$29:Q$48)*M$2</f>
        <v>0</v>
      </c>
      <c r="N711" s="88">
        <f>SUMIF(月間集計シート!$M$29:$M$48,$G711,月間集計シート!R$29:R$48)*N$2</f>
        <v>0</v>
      </c>
      <c r="O711" s="88">
        <f>SUMIF(月間集計シート!$M$29:$M$48,$G711,月間集計シート!S$29:S$48)*O$2</f>
        <v>0</v>
      </c>
      <c r="P711" s="88">
        <f>SUMIF(月間集計シート!$M$29:$M$48,$G711,月間集計シート!T$29:T$48)*P$2</f>
        <v>0</v>
      </c>
      <c r="Q711" s="88">
        <f>SUMIF(月間集計シート!$M$50:$M$69,$G711,月間集計シート!N$50:N$69)*Q$2</f>
        <v>0</v>
      </c>
      <c r="R711" s="88">
        <f>SUMIF(月間集計シート!$M$50:$M$69,$G711,月間集計シート!O$50:O$69)*R$2</f>
        <v>0</v>
      </c>
      <c r="S711" s="88">
        <f>SUMIF(月間集計シート!$M$50:$M$69,$G711,月間集計シート!P$50:P$69)*S$2</f>
        <v>0</v>
      </c>
      <c r="T711" s="88">
        <f>SUMIF(月間集計シート!$M$50:$M$69,$G711,月間集計シート!Q$50:Q$69)*T$2</f>
        <v>0</v>
      </c>
      <c r="U711" s="88">
        <f>SUMIF(月間集計シート!$M$50:$M$69,$G711,月間集計シート!R$50:R$69)*U$2</f>
        <v>0</v>
      </c>
      <c r="V711" s="88">
        <f>SUMIF(月間集計シート!$M$50:$M$69,$G711,月間集計シート!S$50:S$69)*V$2</f>
        <v>0</v>
      </c>
      <c r="W711" s="88">
        <f>SUMIF(月間集計シート!$M$50:$M$69,$G711,月間集計シート!T$50:T$69)*W$2</f>
        <v>0</v>
      </c>
      <c r="X711" s="88">
        <f>SUMIF(月間集計シート!$M$71:$M$90,$G711,月間集計シート!N$71:N$90)*X$2</f>
        <v>0</v>
      </c>
      <c r="Y711" s="88">
        <f>SUMIF(月間集計シート!$M$71:$M$90,$G711,月間集計シート!O$71:O$90)*Y$2</f>
        <v>0</v>
      </c>
      <c r="Z711" s="88">
        <f>SUMIF(月間集計シート!$M$71:$M$90,$G711,月間集計シート!P$71:P$90)*Z$2</f>
        <v>0</v>
      </c>
      <c r="AA711" s="88">
        <f>SUMIF(月間集計シート!$M$71:$M$90,$G711,月間集計シート!Q$71:Q$90)*AA$2</f>
        <v>0</v>
      </c>
      <c r="AB711" s="88">
        <f>SUMIF(月間集計シート!$M$71:$M$90,$G711,月間集計シート!R$71:R$90)*AB$2</f>
        <v>0</v>
      </c>
      <c r="AC711" s="88">
        <f>SUMIF(月間集計シート!$M$71:$M$90,$G711,月間集計シート!S$71:S$90)*AC$2</f>
        <v>0</v>
      </c>
      <c r="AD711" s="88">
        <f>SUMIF(月間集計シート!$M$71:$M$90,$G711,月間集計シート!T$71:T$90)*AD$2</f>
        <v>0</v>
      </c>
      <c r="AE711" s="88">
        <f>SUMIF(月間集計シート!$M$92:$M$111,$G711,月間集計シート!N$92:N$111)*AE$2</f>
        <v>0</v>
      </c>
      <c r="AF711" s="88">
        <f>SUMIF(月間集計シート!$M$92:$M$111,$G711,月間集計シート!O$92:O$111)*AF$2</f>
        <v>0</v>
      </c>
      <c r="AG711" s="88">
        <f>SUMIF(月間集計シート!$M$92:$M$111,$G711,月間集計シート!P$92:P$111)*AG$2</f>
        <v>0</v>
      </c>
      <c r="AH711" s="88">
        <f>SUMIF(月間集計シート!$M$92:$M$111,$G711,月間集計シート!Q$92:Q$111)*AH$2</f>
        <v>0</v>
      </c>
      <c r="AI711" s="88">
        <f>SUMIF(月間集計シート!$M$92:$M$111,$G711,月間集計シート!R$92:R$111)*AI$2</f>
        <v>0</v>
      </c>
      <c r="AJ711" s="88">
        <f>SUMIF(月間集計シート!$M$92:$M$111,$G711,月間集計シート!S$92:S$111)*AJ$2</f>
        <v>0</v>
      </c>
      <c r="AK711" s="88">
        <f>SUMIF(月間集計シート!$M$92:$M$111,$G711,月間集計シート!T$92:T$111)*AK$2</f>
        <v>0</v>
      </c>
      <c r="AL711" s="88">
        <f>SUMIF(月間集計シート!$M$113:$M$132,$G711,月間集計シート!N$113:N$132)*AL$2</f>
        <v>0</v>
      </c>
      <c r="AM711" s="88">
        <f>SUMIF(月間集計シート!$M$113:$M$132,$G711,月間集計シート!O$113:O$132)*AM$2</f>
        <v>0</v>
      </c>
      <c r="AN711" s="88">
        <f>SUMIF(月間集計シート!$M$113:$M$132,$G711,月間集計シート!P$113:P$132)*AN$2</f>
        <v>0</v>
      </c>
      <c r="AO711" s="88">
        <f>SUMIF(月間集計シート!$M$113:$M$132,$G711,月間集計シート!Q$113:Q$132)*AO$2</f>
        <v>0</v>
      </c>
      <c r="AP711" s="88">
        <f>SUMIF(月間集計シート!$M$113:$M$132,$G711,月間集計シート!R$113:R$132)*AP$2</f>
        <v>0</v>
      </c>
      <c r="AQ711" s="88">
        <f>SUMIF(月間集計シート!$M$113:$M$132,$G711,月間集計シート!S$113:S$132)*AQ$2</f>
        <v>0</v>
      </c>
      <c r="AR711" s="88">
        <f>SUMIF(月間集計シート!$M$113:$M$132,$G711,月間集計シート!T$113:T$132)*AR$2</f>
        <v>0</v>
      </c>
      <c r="AS711" s="88">
        <f>SUMIF(月間集計シート!$M$134:$M$153,$G711,月間集計シート!N$134:N$153)*AS$2</f>
        <v>0</v>
      </c>
      <c r="AT711" s="88">
        <f>SUMIF(月間集計シート!$M$134:$M$153,$G711,月間集計シート!O$134:O$153)*AT$2</f>
        <v>0</v>
      </c>
      <c r="AU711" s="88">
        <f>SUMIF(月間集計シート!$M$134:$M$153,$G711,月間集計シート!P$134:P$153)*AU$2</f>
        <v>0</v>
      </c>
      <c r="AV711" s="88">
        <f>SUMIF(月間集計シート!$M$134:$M$153,$G711,月間集計シート!Q$134:Q$153)*AV$2</f>
        <v>0</v>
      </c>
      <c r="AW711" s="88">
        <f>SUMIF(月間集計シート!$M$134:$M$153,$G711,月間集計シート!R$134:R$153)*AW$2</f>
        <v>0</v>
      </c>
      <c r="AX711" s="88">
        <f>SUMIF(月間集計シート!$M$134:$M$153,$G711,月間集計シート!S$134:S$153)*AX$2</f>
        <v>0</v>
      </c>
      <c r="AY711" s="88">
        <f>SUMIF(月間集計シート!$M$134:$M$153,$G711,月間集計シート!T$134:T$153)*AY$2</f>
        <v>0</v>
      </c>
    </row>
    <row r="712" spans="1:51" ht="14.25" thickBot="1">
      <c r="A712">
        <v>9</v>
      </c>
      <c r="B712" s="120">
        <f t="shared" si="358"/>
        <v>0</v>
      </c>
      <c r="C712" s="120" t="str">
        <f t="shared" si="359"/>
        <v/>
      </c>
      <c r="D712" s="137"/>
      <c r="E712" s="150" t="str">
        <f>工種!A24</f>
        <v>40102</v>
      </c>
      <c r="F712" s="119" t="str">
        <f>工種!B24</f>
        <v>テスト：システムテスト実施</v>
      </c>
      <c r="G712" s="116" t="str">
        <f t="shared" si="360"/>
        <v>040102</v>
      </c>
      <c r="H712" s="88">
        <f t="shared" si="314"/>
        <v>0</v>
      </c>
      <c r="I712" s="132"/>
      <c r="J712" s="88">
        <f>SUMIF(月間集計シート!$M$29:$M$48,$G712,月間集計シート!N$29:N$48)*J$2</f>
        <v>0</v>
      </c>
      <c r="K712" s="88">
        <f>SUMIF(月間集計シート!$M$29:$M$48,$G712,月間集計シート!O$29:O$48)*K$2</f>
        <v>0</v>
      </c>
      <c r="L712" s="88">
        <f>SUMIF(月間集計シート!$M$29:$M$48,$G712,月間集計シート!P$29:P$48)*L$2</f>
        <v>0</v>
      </c>
      <c r="M712" s="88">
        <f>SUMIF(月間集計シート!$M$29:$M$48,$G712,月間集計シート!Q$29:Q$48)*M$2</f>
        <v>0</v>
      </c>
      <c r="N712" s="88">
        <f>SUMIF(月間集計シート!$M$29:$M$48,$G712,月間集計シート!R$29:R$48)*N$2</f>
        <v>0</v>
      </c>
      <c r="O712" s="88">
        <f>SUMIF(月間集計シート!$M$29:$M$48,$G712,月間集計シート!S$29:S$48)*O$2</f>
        <v>0</v>
      </c>
      <c r="P712" s="88">
        <f>SUMIF(月間集計シート!$M$29:$M$48,$G712,月間集計シート!T$29:T$48)*P$2</f>
        <v>0</v>
      </c>
      <c r="Q712" s="88">
        <f>SUMIF(月間集計シート!$M$50:$M$69,$G712,月間集計シート!N$50:N$69)*Q$2</f>
        <v>0</v>
      </c>
      <c r="R712" s="88">
        <f>SUMIF(月間集計シート!$M$50:$M$69,$G712,月間集計シート!O$50:O$69)*R$2</f>
        <v>0</v>
      </c>
      <c r="S712" s="88">
        <f>SUMIF(月間集計シート!$M$50:$M$69,$G712,月間集計シート!P$50:P$69)*S$2</f>
        <v>0</v>
      </c>
      <c r="T712" s="88">
        <f>SUMIF(月間集計シート!$M$50:$M$69,$G712,月間集計シート!Q$50:Q$69)*T$2</f>
        <v>0</v>
      </c>
      <c r="U712" s="88">
        <f>SUMIF(月間集計シート!$M$50:$M$69,$G712,月間集計シート!R$50:R$69)*U$2</f>
        <v>0</v>
      </c>
      <c r="V712" s="88">
        <f>SUMIF(月間集計シート!$M$50:$M$69,$G712,月間集計シート!S$50:S$69)*V$2</f>
        <v>0</v>
      </c>
      <c r="W712" s="88">
        <f>SUMIF(月間集計シート!$M$50:$M$69,$G712,月間集計シート!T$50:T$69)*W$2</f>
        <v>0</v>
      </c>
      <c r="X712" s="88">
        <f>SUMIF(月間集計シート!$M$71:$M$90,$G712,月間集計シート!N$71:N$90)*X$2</f>
        <v>0</v>
      </c>
      <c r="Y712" s="88">
        <f>SUMIF(月間集計シート!$M$71:$M$90,$G712,月間集計シート!O$71:O$90)*Y$2</f>
        <v>0</v>
      </c>
      <c r="Z712" s="88">
        <f>SUMIF(月間集計シート!$M$71:$M$90,$G712,月間集計シート!P$71:P$90)*Z$2</f>
        <v>0</v>
      </c>
      <c r="AA712" s="88">
        <f>SUMIF(月間集計シート!$M$71:$M$90,$G712,月間集計シート!Q$71:Q$90)*AA$2</f>
        <v>0</v>
      </c>
      <c r="AB712" s="88">
        <f>SUMIF(月間集計シート!$M$71:$M$90,$G712,月間集計シート!R$71:R$90)*AB$2</f>
        <v>0</v>
      </c>
      <c r="AC712" s="88">
        <f>SUMIF(月間集計シート!$M$71:$M$90,$G712,月間集計シート!S$71:S$90)*AC$2</f>
        <v>0</v>
      </c>
      <c r="AD712" s="88">
        <f>SUMIF(月間集計シート!$M$71:$M$90,$G712,月間集計シート!T$71:T$90)*AD$2</f>
        <v>0</v>
      </c>
      <c r="AE712" s="88">
        <f>SUMIF(月間集計シート!$M$92:$M$111,$G712,月間集計シート!N$92:N$111)*AE$2</f>
        <v>0</v>
      </c>
      <c r="AF712" s="88">
        <f>SUMIF(月間集計シート!$M$92:$M$111,$G712,月間集計シート!O$92:O$111)*AF$2</f>
        <v>0</v>
      </c>
      <c r="AG712" s="88">
        <f>SUMIF(月間集計シート!$M$92:$M$111,$G712,月間集計シート!P$92:P$111)*AG$2</f>
        <v>0</v>
      </c>
      <c r="AH712" s="88">
        <f>SUMIF(月間集計シート!$M$92:$M$111,$G712,月間集計シート!Q$92:Q$111)*AH$2</f>
        <v>0</v>
      </c>
      <c r="AI712" s="88">
        <f>SUMIF(月間集計シート!$M$92:$M$111,$G712,月間集計シート!R$92:R$111)*AI$2</f>
        <v>0</v>
      </c>
      <c r="AJ712" s="88">
        <f>SUMIF(月間集計シート!$M$92:$M$111,$G712,月間集計シート!S$92:S$111)*AJ$2</f>
        <v>0</v>
      </c>
      <c r="AK712" s="88">
        <f>SUMIF(月間集計シート!$M$92:$M$111,$G712,月間集計シート!T$92:T$111)*AK$2</f>
        <v>0</v>
      </c>
      <c r="AL712" s="88">
        <f>SUMIF(月間集計シート!$M$113:$M$132,$G712,月間集計シート!N$113:N$132)*AL$2</f>
        <v>0</v>
      </c>
      <c r="AM712" s="88">
        <f>SUMIF(月間集計シート!$M$113:$M$132,$G712,月間集計シート!O$113:O$132)*AM$2</f>
        <v>0</v>
      </c>
      <c r="AN712" s="88">
        <f>SUMIF(月間集計シート!$M$113:$M$132,$G712,月間集計シート!P$113:P$132)*AN$2</f>
        <v>0</v>
      </c>
      <c r="AO712" s="88">
        <f>SUMIF(月間集計シート!$M$113:$M$132,$G712,月間集計シート!Q$113:Q$132)*AO$2</f>
        <v>0</v>
      </c>
      <c r="AP712" s="88">
        <f>SUMIF(月間集計シート!$M$113:$M$132,$G712,月間集計シート!R$113:R$132)*AP$2</f>
        <v>0</v>
      </c>
      <c r="AQ712" s="88">
        <f>SUMIF(月間集計シート!$M$113:$M$132,$G712,月間集計シート!S$113:S$132)*AQ$2</f>
        <v>0</v>
      </c>
      <c r="AR712" s="88">
        <f>SUMIF(月間集計シート!$M$113:$M$132,$G712,月間集計シート!T$113:T$132)*AR$2</f>
        <v>0</v>
      </c>
      <c r="AS712" s="88">
        <f>SUMIF(月間集計シート!$M$134:$M$153,$G712,月間集計シート!N$134:N$153)*AS$2</f>
        <v>0</v>
      </c>
      <c r="AT712" s="88">
        <f>SUMIF(月間集計シート!$M$134:$M$153,$G712,月間集計シート!O$134:O$153)*AT$2</f>
        <v>0</v>
      </c>
      <c r="AU712" s="88">
        <f>SUMIF(月間集計シート!$M$134:$M$153,$G712,月間集計シート!P$134:P$153)*AU$2</f>
        <v>0</v>
      </c>
      <c r="AV712" s="88">
        <f>SUMIF(月間集計シート!$M$134:$M$153,$G712,月間集計シート!Q$134:Q$153)*AV$2</f>
        <v>0</v>
      </c>
      <c r="AW712" s="88">
        <f>SUMIF(月間集計シート!$M$134:$M$153,$G712,月間集計シート!R$134:R$153)*AW$2</f>
        <v>0</v>
      </c>
      <c r="AX712" s="88">
        <f>SUMIF(月間集計シート!$M$134:$M$153,$G712,月間集計シート!S$134:S$153)*AX$2</f>
        <v>0</v>
      </c>
      <c r="AY712" s="88">
        <f>SUMIF(月間集計シート!$M$134:$M$153,$G712,月間集計シート!T$134:T$153)*AY$2</f>
        <v>0</v>
      </c>
    </row>
    <row r="713" spans="1:51" ht="14.25" thickBot="1">
      <c r="A713">
        <v>9</v>
      </c>
      <c r="B713" s="120">
        <f t="shared" si="358"/>
        <v>0</v>
      </c>
      <c r="C713" s="120" t="str">
        <f t="shared" si="359"/>
        <v/>
      </c>
      <c r="D713" s="137"/>
      <c r="E713" s="150" t="str">
        <f>工種!A25</f>
        <v>40103</v>
      </c>
      <c r="F713" s="119" t="str">
        <f>工種!B25</f>
        <v>テスト：テスト計画書作成</v>
      </c>
      <c r="G713" s="116" t="str">
        <f t="shared" si="360"/>
        <v>040103</v>
      </c>
      <c r="H713" s="88">
        <f t="shared" si="314"/>
        <v>0</v>
      </c>
      <c r="I713" s="132"/>
      <c r="J713" s="88">
        <f>SUMIF(月間集計シート!$M$29:$M$48,$G713,月間集計シート!N$29:N$48)*J$2</f>
        <v>0</v>
      </c>
      <c r="K713" s="88">
        <f>SUMIF(月間集計シート!$M$29:$M$48,$G713,月間集計シート!O$29:O$48)*K$2</f>
        <v>0</v>
      </c>
      <c r="L713" s="88">
        <f>SUMIF(月間集計シート!$M$29:$M$48,$G713,月間集計シート!P$29:P$48)*L$2</f>
        <v>0</v>
      </c>
      <c r="M713" s="88">
        <f>SUMIF(月間集計シート!$M$29:$M$48,$G713,月間集計シート!Q$29:Q$48)*M$2</f>
        <v>0</v>
      </c>
      <c r="N713" s="88">
        <f>SUMIF(月間集計シート!$M$29:$M$48,$G713,月間集計シート!R$29:R$48)*N$2</f>
        <v>0</v>
      </c>
      <c r="O713" s="88">
        <f>SUMIF(月間集計シート!$M$29:$M$48,$G713,月間集計シート!S$29:S$48)*O$2</f>
        <v>0</v>
      </c>
      <c r="P713" s="88">
        <f>SUMIF(月間集計シート!$M$29:$M$48,$G713,月間集計シート!T$29:T$48)*P$2</f>
        <v>0</v>
      </c>
      <c r="Q713" s="88">
        <f>SUMIF(月間集計シート!$M$50:$M$69,$G713,月間集計シート!N$50:N$69)*Q$2</f>
        <v>0</v>
      </c>
      <c r="R713" s="88">
        <f>SUMIF(月間集計シート!$M$50:$M$69,$G713,月間集計シート!O$50:O$69)*R$2</f>
        <v>0</v>
      </c>
      <c r="S713" s="88">
        <f>SUMIF(月間集計シート!$M$50:$M$69,$G713,月間集計シート!P$50:P$69)*S$2</f>
        <v>0</v>
      </c>
      <c r="T713" s="88">
        <f>SUMIF(月間集計シート!$M$50:$M$69,$G713,月間集計シート!Q$50:Q$69)*T$2</f>
        <v>0</v>
      </c>
      <c r="U713" s="88">
        <f>SUMIF(月間集計シート!$M$50:$M$69,$G713,月間集計シート!R$50:R$69)*U$2</f>
        <v>0</v>
      </c>
      <c r="V713" s="88">
        <f>SUMIF(月間集計シート!$M$50:$M$69,$G713,月間集計シート!S$50:S$69)*V$2</f>
        <v>0</v>
      </c>
      <c r="W713" s="88">
        <f>SUMIF(月間集計シート!$M$50:$M$69,$G713,月間集計シート!T$50:T$69)*W$2</f>
        <v>0</v>
      </c>
      <c r="X713" s="88">
        <f>SUMIF(月間集計シート!$M$71:$M$90,$G713,月間集計シート!N$71:N$90)*X$2</f>
        <v>0</v>
      </c>
      <c r="Y713" s="88">
        <f>SUMIF(月間集計シート!$M$71:$M$90,$G713,月間集計シート!O$71:O$90)*Y$2</f>
        <v>0</v>
      </c>
      <c r="Z713" s="88">
        <f>SUMIF(月間集計シート!$M$71:$M$90,$G713,月間集計シート!P$71:P$90)*Z$2</f>
        <v>0</v>
      </c>
      <c r="AA713" s="88">
        <f>SUMIF(月間集計シート!$M$71:$M$90,$G713,月間集計シート!Q$71:Q$90)*AA$2</f>
        <v>0</v>
      </c>
      <c r="AB713" s="88">
        <f>SUMIF(月間集計シート!$M$71:$M$90,$G713,月間集計シート!R$71:R$90)*AB$2</f>
        <v>0</v>
      </c>
      <c r="AC713" s="88">
        <f>SUMIF(月間集計シート!$M$71:$M$90,$G713,月間集計シート!S$71:S$90)*AC$2</f>
        <v>0</v>
      </c>
      <c r="AD713" s="88">
        <f>SUMIF(月間集計シート!$M$71:$M$90,$G713,月間集計シート!T$71:T$90)*AD$2</f>
        <v>0</v>
      </c>
      <c r="AE713" s="88">
        <f>SUMIF(月間集計シート!$M$92:$M$111,$G713,月間集計シート!N$92:N$111)*AE$2</f>
        <v>0</v>
      </c>
      <c r="AF713" s="88">
        <f>SUMIF(月間集計シート!$M$92:$M$111,$G713,月間集計シート!O$92:O$111)*AF$2</f>
        <v>0</v>
      </c>
      <c r="AG713" s="88">
        <f>SUMIF(月間集計シート!$M$92:$M$111,$G713,月間集計シート!P$92:P$111)*AG$2</f>
        <v>0</v>
      </c>
      <c r="AH713" s="88">
        <f>SUMIF(月間集計シート!$M$92:$M$111,$G713,月間集計シート!Q$92:Q$111)*AH$2</f>
        <v>0</v>
      </c>
      <c r="AI713" s="88">
        <f>SUMIF(月間集計シート!$M$92:$M$111,$G713,月間集計シート!R$92:R$111)*AI$2</f>
        <v>0</v>
      </c>
      <c r="AJ713" s="88">
        <f>SUMIF(月間集計シート!$M$92:$M$111,$G713,月間集計シート!S$92:S$111)*AJ$2</f>
        <v>0</v>
      </c>
      <c r="AK713" s="88">
        <f>SUMIF(月間集計シート!$M$92:$M$111,$G713,月間集計シート!T$92:T$111)*AK$2</f>
        <v>0</v>
      </c>
      <c r="AL713" s="88">
        <f>SUMIF(月間集計シート!$M$113:$M$132,$G713,月間集計シート!N$113:N$132)*AL$2</f>
        <v>0</v>
      </c>
      <c r="AM713" s="88">
        <f>SUMIF(月間集計シート!$M$113:$M$132,$G713,月間集計シート!O$113:O$132)*AM$2</f>
        <v>0</v>
      </c>
      <c r="AN713" s="88">
        <f>SUMIF(月間集計シート!$M$113:$M$132,$G713,月間集計シート!P$113:P$132)*AN$2</f>
        <v>0</v>
      </c>
      <c r="AO713" s="88">
        <f>SUMIF(月間集計シート!$M$113:$M$132,$G713,月間集計シート!Q$113:Q$132)*AO$2</f>
        <v>0</v>
      </c>
      <c r="AP713" s="88">
        <f>SUMIF(月間集計シート!$M$113:$M$132,$G713,月間集計シート!R$113:R$132)*AP$2</f>
        <v>0</v>
      </c>
      <c r="AQ713" s="88">
        <f>SUMIF(月間集計シート!$M$113:$M$132,$G713,月間集計シート!S$113:S$132)*AQ$2</f>
        <v>0</v>
      </c>
      <c r="AR713" s="88">
        <f>SUMIF(月間集計シート!$M$113:$M$132,$G713,月間集計シート!T$113:T$132)*AR$2</f>
        <v>0</v>
      </c>
      <c r="AS713" s="88">
        <f>SUMIF(月間集計シート!$M$134:$M$153,$G713,月間集計シート!N$134:N$153)*AS$2</f>
        <v>0</v>
      </c>
      <c r="AT713" s="88">
        <f>SUMIF(月間集計シート!$M$134:$M$153,$G713,月間集計シート!O$134:O$153)*AT$2</f>
        <v>0</v>
      </c>
      <c r="AU713" s="88">
        <f>SUMIF(月間集計シート!$M$134:$M$153,$G713,月間集計シート!P$134:P$153)*AU$2</f>
        <v>0</v>
      </c>
      <c r="AV713" s="88">
        <f>SUMIF(月間集計シート!$M$134:$M$153,$G713,月間集計シート!Q$134:Q$153)*AV$2</f>
        <v>0</v>
      </c>
      <c r="AW713" s="88">
        <f>SUMIF(月間集計シート!$M$134:$M$153,$G713,月間集計シート!R$134:R$153)*AW$2</f>
        <v>0</v>
      </c>
      <c r="AX713" s="88">
        <f>SUMIF(月間集計シート!$M$134:$M$153,$G713,月間集計シート!S$134:S$153)*AX$2</f>
        <v>0</v>
      </c>
      <c r="AY713" s="88">
        <f>SUMIF(月間集計シート!$M$134:$M$153,$G713,月間集計シート!T$134:T$153)*AY$2</f>
        <v>0</v>
      </c>
    </row>
    <row r="714" spans="1:51" ht="14.25" thickBot="1">
      <c r="A714">
        <v>9</v>
      </c>
      <c r="B714" s="120">
        <f t="shared" si="358"/>
        <v>0</v>
      </c>
      <c r="C714" s="120" t="str">
        <f t="shared" si="359"/>
        <v/>
      </c>
      <c r="D714" s="137"/>
      <c r="E714" s="150" t="str">
        <f>工種!A26</f>
        <v>40104</v>
      </c>
      <c r="F714" s="119" t="str">
        <f>工種!B26</f>
        <v>テスト：結合テスト設計書作成</v>
      </c>
      <c r="G714" s="116" t="str">
        <f t="shared" si="360"/>
        <v>040104</v>
      </c>
      <c r="H714" s="88">
        <f t="shared" si="314"/>
        <v>0</v>
      </c>
      <c r="I714" s="132"/>
      <c r="J714" s="88">
        <f>SUMIF(月間集計シート!$M$29:$M$48,$G714,月間集計シート!N$29:N$48)*J$2</f>
        <v>0</v>
      </c>
      <c r="K714" s="88">
        <f>SUMIF(月間集計シート!$M$29:$M$48,$G714,月間集計シート!O$29:O$48)*K$2</f>
        <v>0</v>
      </c>
      <c r="L714" s="88">
        <f>SUMIF(月間集計シート!$M$29:$M$48,$G714,月間集計シート!P$29:P$48)*L$2</f>
        <v>0</v>
      </c>
      <c r="M714" s="88">
        <f>SUMIF(月間集計シート!$M$29:$M$48,$G714,月間集計シート!Q$29:Q$48)*M$2</f>
        <v>0</v>
      </c>
      <c r="N714" s="88">
        <f>SUMIF(月間集計シート!$M$29:$M$48,$G714,月間集計シート!R$29:R$48)*N$2</f>
        <v>0</v>
      </c>
      <c r="O714" s="88">
        <f>SUMIF(月間集計シート!$M$29:$M$48,$G714,月間集計シート!S$29:S$48)*O$2</f>
        <v>0</v>
      </c>
      <c r="P714" s="88">
        <f>SUMIF(月間集計シート!$M$29:$M$48,$G714,月間集計シート!T$29:T$48)*P$2</f>
        <v>0</v>
      </c>
      <c r="Q714" s="88">
        <f>SUMIF(月間集計シート!$M$50:$M$69,$G714,月間集計シート!N$50:N$69)*Q$2</f>
        <v>0</v>
      </c>
      <c r="R714" s="88">
        <f>SUMIF(月間集計シート!$M$50:$M$69,$G714,月間集計シート!O$50:O$69)*R$2</f>
        <v>0</v>
      </c>
      <c r="S714" s="88">
        <f>SUMIF(月間集計シート!$M$50:$M$69,$G714,月間集計シート!P$50:P$69)*S$2</f>
        <v>0</v>
      </c>
      <c r="T714" s="88">
        <f>SUMIF(月間集計シート!$M$50:$M$69,$G714,月間集計シート!Q$50:Q$69)*T$2</f>
        <v>0</v>
      </c>
      <c r="U714" s="88">
        <f>SUMIF(月間集計シート!$M$50:$M$69,$G714,月間集計シート!R$50:R$69)*U$2</f>
        <v>0</v>
      </c>
      <c r="V714" s="88">
        <f>SUMIF(月間集計シート!$M$50:$M$69,$G714,月間集計シート!S$50:S$69)*V$2</f>
        <v>0</v>
      </c>
      <c r="W714" s="88">
        <f>SUMIF(月間集計シート!$M$50:$M$69,$G714,月間集計シート!T$50:T$69)*W$2</f>
        <v>0</v>
      </c>
      <c r="X714" s="88">
        <f>SUMIF(月間集計シート!$M$71:$M$90,$G714,月間集計シート!N$71:N$90)*X$2</f>
        <v>0</v>
      </c>
      <c r="Y714" s="88">
        <f>SUMIF(月間集計シート!$M$71:$M$90,$G714,月間集計シート!O$71:O$90)*Y$2</f>
        <v>0</v>
      </c>
      <c r="Z714" s="88">
        <f>SUMIF(月間集計シート!$M$71:$M$90,$G714,月間集計シート!P$71:P$90)*Z$2</f>
        <v>0</v>
      </c>
      <c r="AA714" s="88">
        <f>SUMIF(月間集計シート!$M$71:$M$90,$G714,月間集計シート!Q$71:Q$90)*AA$2</f>
        <v>0</v>
      </c>
      <c r="AB714" s="88">
        <f>SUMIF(月間集計シート!$M$71:$M$90,$G714,月間集計シート!R$71:R$90)*AB$2</f>
        <v>0</v>
      </c>
      <c r="AC714" s="88">
        <f>SUMIF(月間集計シート!$M$71:$M$90,$G714,月間集計シート!S$71:S$90)*AC$2</f>
        <v>0</v>
      </c>
      <c r="AD714" s="88">
        <f>SUMIF(月間集計シート!$M$71:$M$90,$G714,月間集計シート!T$71:T$90)*AD$2</f>
        <v>0</v>
      </c>
      <c r="AE714" s="88">
        <f>SUMIF(月間集計シート!$M$92:$M$111,$G714,月間集計シート!N$92:N$111)*AE$2</f>
        <v>0</v>
      </c>
      <c r="AF714" s="88">
        <f>SUMIF(月間集計シート!$M$92:$M$111,$G714,月間集計シート!O$92:O$111)*AF$2</f>
        <v>0</v>
      </c>
      <c r="AG714" s="88">
        <f>SUMIF(月間集計シート!$M$92:$M$111,$G714,月間集計シート!P$92:P$111)*AG$2</f>
        <v>0</v>
      </c>
      <c r="AH714" s="88">
        <f>SUMIF(月間集計シート!$M$92:$M$111,$G714,月間集計シート!Q$92:Q$111)*AH$2</f>
        <v>0</v>
      </c>
      <c r="AI714" s="88">
        <f>SUMIF(月間集計シート!$M$92:$M$111,$G714,月間集計シート!R$92:R$111)*AI$2</f>
        <v>0</v>
      </c>
      <c r="AJ714" s="88">
        <f>SUMIF(月間集計シート!$M$92:$M$111,$G714,月間集計シート!S$92:S$111)*AJ$2</f>
        <v>0</v>
      </c>
      <c r="AK714" s="88">
        <f>SUMIF(月間集計シート!$M$92:$M$111,$G714,月間集計シート!T$92:T$111)*AK$2</f>
        <v>0</v>
      </c>
      <c r="AL714" s="88">
        <f>SUMIF(月間集計シート!$M$113:$M$132,$G714,月間集計シート!N$113:N$132)*AL$2</f>
        <v>0</v>
      </c>
      <c r="AM714" s="88">
        <f>SUMIF(月間集計シート!$M$113:$M$132,$G714,月間集計シート!O$113:O$132)*AM$2</f>
        <v>0</v>
      </c>
      <c r="AN714" s="88">
        <f>SUMIF(月間集計シート!$M$113:$M$132,$G714,月間集計シート!P$113:P$132)*AN$2</f>
        <v>0</v>
      </c>
      <c r="AO714" s="88">
        <f>SUMIF(月間集計シート!$M$113:$M$132,$G714,月間集計シート!Q$113:Q$132)*AO$2</f>
        <v>0</v>
      </c>
      <c r="AP714" s="88">
        <f>SUMIF(月間集計シート!$M$113:$M$132,$G714,月間集計シート!R$113:R$132)*AP$2</f>
        <v>0</v>
      </c>
      <c r="AQ714" s="88">
        <f>SUMIF(月間集計シート!$M$113:$M$132,$G714,月間集計シート!S$113:S$132)*AQ$2</f>
        <v>0</v>
      </c>
      <c r="AR714" s="88">
        <f>SUMIF(月間集計シート!$M$113:$M$132,$G714,月間集計シート!T$113:T$132)*AR$2</f>
        <v>0</v>
      </c>
      <c r="AS714" s="88">
        <f>SUMIF(月間集計シート!$M$134:$M$153,$G714,月間集計シート!N$134:N$153)*AS$2</f>
        <v>0</v>
      </c>
      <c r="AT714" s="88">
        <f>SUMIF(月間集計シート!$M$134:$M$153,$G714,月間集計シート!O$134:O$153)*AT$2</f>
        <v>0</v>
      </c>
      <c r="AU714" s="88">
        <f>SUMIF(月間集計シート!$M$134:$M$153,$G714,月間集計シート!P$134:P$153)*AU$2</f>
        <v>0</v>
      </c>
      <c r="AV714" s="88">
        <f>SUMIF(月間集計シート!$M$134:$M$153,$G714,月間集計シート!Q$134:Q$153)*AV$2</f>
        <v>0</v>
      </c>
      <c r="AW714" s="88">
        <f>SUMIF(月間集計シート!$M$134:$M$153,$G714,月間集計シート!R$134:R$153)*AW$2</f>
        <v>0</v>
      </c>
      <c r="AX714" s="88">
        <f>SUMIF(月間集計シート!$M$134:$M$153,$G714,月間集計シート!S$134:S$153)*AX$2</f>
        <v>0</v>
      </c>
      <c r="AY714" s="88">
        <f>SUMIF(月間集計シート!$M$134:$M$153,$G714,月間集計シート!T$134:T$153)*AY$2</f>
        <v>0</v>
      </c>
    </row>
    <row r="715" spans="1:51" ht="14.25" thickBot="1">
      <c r="A715">
        <v>9</v>
      </c>
      <c r="B715" s="120">
        <f t="shared" si="358"/>
        <v>0</v>
      </c>
      <c r="C715" s="120" t="str">
        <f t="shared" si="359"/>
        <v/>
      </c>
      <c r="D715" s="137"/>
      <c r="E715" s="150" t="str">
        <f>工種!A27</f>
        <v>40105</v>
      </c>
      <c r="F715" s="119" t="str">
        <f>工種!B27</f>
        <v>テスト：システムテスト設計書作成</v>
      </c>
      <c r="G715" s="116" t="str">
        <f t="shared" si="360"/>
        <v>040105</v>
      </c>
      <c r="H715" s="88">
        <f t="shared" si="314"/>
        <v>0</v>
      </c>
      <c r="I715" s="132"/>
      <c r="J715" s="88">
        <f>SUMIF(月間集計シート!$M$29:$M$48,$G715,月間集計シート!N$29:N$48)*J$2</f>
        <v>0</v>
      </c>
      <c r="K715" s="88">
        <f>SUMIF(月間集計シート!$M$29:$M$48,$G715,月間集計シート!O$29:O$48)*K$2</f>
        <v>0</v>
      </c>
      <c r="L715" s="88">
        <f>SUMIF(月間集計シート!$M$29:$M$48,$G715,月間集計シート!P$29:P$48)*L$2</f>
        <v>0</v>
      </c>
      <c r="M715" s="88">
        <f>SUMIF(月間集計シート!$M$29:$M$48,$G715,月間集計シート!Q$29:Q$48)*M$2</f>
        <v>0</v>
      </c>
      <c r="N715" s="88">
        <f>SUMIF(月間集計シート!$M$29:$M$48,$G715,月間集計シート!R$29:R$48)*N$2</f>
        <v>0</v>
      </c>
      <c r="O715" s="88">
        <f>SUMIF(月間集計シート!$M$29:$M$48,$G715,月間集計シート!S$29:S$48)*O$2</f>
        <v>0</v>
      </c>
      <c r="P715" s="88">
        <f>SUMIF(月間集計シート!$M$29:$M$48,$G715,月間集計シート!T$29:T$48)*P$2</f>
        <v>0</v>
      </c>
      <c r="Q715" s="88">
        <f>SUMIF(月間集計シート!$M$50:$M$69,$G715,月間集計シート!N$50:N$69)*Q$2</f>
        <v>0</v>
      </c>
      <c r="R715" s="88">
        <f>SUMIF(月間集計シート!$M$50:$M$69,$G715,月間集計シート!O$50:O$69)*R$2</f>
        <v>0</v>
      </c>
      <c r="S715" s="88">
        <f>SUMIF(月間集計シート!$M$50:$M$69,$G715,月間集計シート!P$50:P$69)*S$2</f>
        <v>0</v>
      </c>
      <c r="T715" s="88">
        <f>SUMIF(月間集計シート!$M$50:$M$69,$G715,月間集計シート!Q$50:Q$69)*T$2</f>
        <v>0</v>
      </c>
      <c r="U715" s="88">
        <f>SUMIF(月間集計シート!$M$50:$M$69,$G715,月間集計シート!R$50:R$69)*U$2</f>
        <v>0</v>
      </c>
      <c r="V715" s="88">
        <f>SUMIF(月間集計シート!$M$50:$M$69,$G715,月間集計シート!S$50:S$69)*V$2</f>
        <v>0</v>
      </c>
      <c r="W715" s="88">
        <f>SUMIF(月間集計シート!$M$50:$M$69,$G715,月間集計シート!T$50:T$69)*W$2</f>
        <v>0</v>
      </c>
      <c r="X715" s="88">
        <f>SUMIF(月間集計シート!$M$71:$M$90,$G715,月間集計シート!N$71:N$90)*X$2</f>
        <v>0</v>
      </c>
      <c r="Y715" s="88">
        <f>SUMIF(月間集計シート!$M$71:$M$90,$G715,月間集計シート!O$71:O$90)*Y$2</f>
        <v>0</v>
      </c>
      <c r="Z715" s="88">
        <f>SUMIF(月間集計シート!$M$71:$M$90,$G715,月間集計シート!P$71:P$90)*Z$2</f>
        <v>0</v>
      </c>
      <c r="AA715" s="88">
        <f>SUMIF(月間集計シート!$M$71:$M$90,$G715,月間集計シート!Q$71:Q$90)*AA$2</f>
        <v>0</v>
      </c>
      <c r="AB715" s="88">
        <f>SUMIF(月間集計シート!$M$71:$M$90,$G715,月間集計シート!R$71:R$90)*AB$2</f>
        <v>0</v>
      </c>
      <c r="AC715" s="88">
        <f>SUMIF(月間集計シート!$M$71:$M$90,$G715,月間集計シート!S$71:S$90)*AC$2</f>
        <v>0</v>
      </c>
      <c r="AD715" s="88">
        <f>SUMIF(月間集計シート!$M$71:$M$90,$G715,月間集計シート!T$71:T$90)*AD$2</f>
        <v>0</v>
      </c>
      <c r="AE715" s="88">
        <f>SUMIF(月間集計シート!$M$92:$M$111,$G715,月間集計シート!N$92:N$111)*AE$2</f>
        <v>0</v>
      </c>
      <c r="AF715" s="88">
        <f>SUMIF(月間集計シート!$M$92:$M$111,$G715,月間集計シート!O$92:O$111)*AF$2</f>
        <v>0</v>
      </c>
      <c r="AG715" s="88">
        <f>SUMIF(月間集計シート!$M$92:$M$111,$G715,月間集計シート!P$92:P$111)*AG$2</f>
        <v>0</v>
      </c>
      <c r="AH715" s="88">
        <f>SUMIF(月間集計シート!$M$92:$M$111,$G715,月間集計シート!Q$92:Q$111)*AH$2</f>
        <v>0</v>
      </c>
      <c r="AI715" s="88">
        <f>SUMIF(月間集計シート!$M$92:$M$111,$G715,月間集計シート!R$92:R$111)*AI$2</f>
        <v>0</v>
      </c>
      <c r="AJ715" s="88">
        <f>SUMIF(月間集計シート!$M$92:$M$111,$G715,月間集計シート!S$92:S$111)*AJ$2</f>
        <v>0</v>
      </c>
      <c r="AK715" s="88">
        <f>SUMIF(月間集計シート!$M$92:$M$111,$G715,月間集計シート!T$92:T$111)*AK$2</f>
        <v>0</v>
      </c>
      <c r="AL715" s="88">
        <f>SUMIF(月間集計シート!$M$113:$M$132,$G715,月間集計シート!N$113:N$132)*AL$2</f>
        <v>0</v>
      </c>
      <c r="AM715" s="88">
        <f>SUMIF(月間集計シート!$M$113:$M$132,$G715,月間集計シート!O$113:O$132)*AM$2</f>
        <v>0</v>
      </c>
      <c r="AN715" s="88">
        <f>SUMIF(月間集計シート!$M$113:$M$132,$G715,月間集計シート!P$113:P$132)*AN$2</f>
        <v>0</v>
      </c>
      <c r="AO715" s="88">
        <f>SUMIF(月間集計シート!$M$113:$M$132,$G715,月間集計シート!Q$113:Q$132)*AO$2</f>
        <v>0</v>
      </c>
      <c r="AP715" s="88">
        <f>SUMIF(月間集計シート!$M$113:$M$132,$G715,月間集計シート!R$113:R$132)*AP$2</f>
        <v>0</v>
      </c>
      <c r="AQ715" s="88">
        <f>SUMIF(月間集計シート!$M$113:$M$132,$G715,月間集計シート!S$113:S$132)*AQ$2</f>
        <v>0</v>
      </c>
      <c r="AR715" s="88">
        <f>SUMIF(月間集計シート!$M$113:$M$132,$G715,月間集計シート!T$113:T$132)*AR$2</f>
        <v>0</v>
      </c>
      <c r="AS715" s="88">
        <f>SUMIF(月間集計シート!$M$134:$M$153,$G715,月間集計シート!N$134:N$153)*AS$2</f>
        <v>0</v>
      </c>
      <c r="AT715" s="88">
        <f>SUMIF(月間集計シート!$M$134:$M$153,$G715,月間集計シート!O$134:O$153)*AT$2</f>
        <v>0</v>
      </c>
      <c r="AU715" s="88">
        <f>SUMIF(月間集計シート!$M$134:$M$153,$G715,月間集計シート!P$134:P$153)*AU$2</f>
        <v>0</v>
      </c>
      <c r="AV715" s="88">
        <f>SUMIF(月間集計シート!$M$134:$M$153,$G715,月間集計シート!Q$134:Q$153)*AV$2</f>
        <v>0</v>
      </c>
      <c r="AW715" s="88">
        <f>SUMIF(月間集計シート!$M$134:$M$153,$G715,月間集計シート!R$134:R$153)*AW$2</f>
        <v>0</v>
      </c>
      <c r="AX715" s="88">
        <f>SUMIF(月間集計シート!$M$134:$M$153,$G715,月間集計シート!S$134:S$153)*AX$2</f>
        <v>0</v>
      </c>
      <c r="AY715" s="88">
        <f>SUMIF(月間集計シート!$M$134:$M$153,$G715,月間集計シート!T$134:T$153)*AY$2</f>
        <v>0</v>
      </c>
    </row>
    <row r="716" spans="1:51" ht="14.25" thickBot="1">
      <c r="A716">
        <v>9</v>
      </c>
      <c r="B716" s="120">
        <f t="shared" si="358"/>
        <v>0</v>
      </c>
      <c r="C716" s="120" t="str">
        <f t="shared" si="359"/>
        <v/>
      </c>
      <c r="D716" s="137"/>
      <c r="E716" s="150" t="str">
        <f>工種!A28</f>
        <v>40106</v>
      </c>
      <c r="F716" s="119" t="str">
        <f>工種!B28</f>
        <v>テスト：総合評価設計書作成</v>
      </c>
      <c r="G716" s="116" t="str">
        <f t="shared" si="360"/>
        <v>040106</v>
      </c>
      <c r="H716" s="88">
        <f t="shared" si="314"/>
        <v>0</v>
      </c>
      <c r="I716" s="132"/>
      <c r="J716" s="88">
        <f>SUMIF(月間集計シート!$M$29:$M$48,$G716,月間集計シート!N$29:N$48)*J$2</f>
        <v>0</v>
      </c>
      <c r="K716" s="88">
        <f>SUMIF(月間集計シート!$M$29:$M$48,$G716,月間集計シート!O$29:O$48)*K$2</f>
        <v>0</v>
      </c>
      <c r="L716" s="88">
        <f>SUMIF(月間集計シート!$M$29:$M$48,$G716,月間集計シート!P$29:P$48)*L$2</f>
        <v>0</v>
      </c>
      <c r="M716" s="88">
        <f>SUMIF(月間集計シート!$M$29:$M$48,$G716,月間集計シート!Q$29:Q$48)*M$2</f>
        <v>0</v>
      </c>
      <c r="N716" s="88">
        <f>SUMIF(月間集計シート!$M$29:$M$48,$G716,月間集計シート!R$29:R$48)*N$2</f>
        <v>0</v>
      </c>
      <c r="O716" s="88">
        <f>SUMIF(月間集計シート!$M$29:$M$48,$G716,月間集計シート!S$29:S$48)*O$2</f>
        <v>0</v>
      </c>
      <c r="P716" s="88">
        <f>SUMIF(月間集計シート!$M$29:$M$48,$G716,月間集計シート!T$29:T$48)*P$2</f>
        <v>0</v>
      </c>
      <c r="Q716" s="88">
        <f>SUMIF(月間集計シート!$M$50:$M$69,$G716,月間集計シート!N$50:N$69)*Q$2</f>
        <v>0</v>
      </c>
      <c r="R716" s="88">
        <f>SUMIF(月間集計シート!$M$50:$M$69,$G716,月間集計シート!O$50:O$69)*R$2</f>
        <v>0</v>
      </c>
      <c r="S716" s="88">
        <f>SUMIF(月間集計シート!$M$50:$M$69,$G716,月間集計シート!P$50:P$69)*S$2</f>
        <v>0</v>
      </c>
      <c r="T716" s="88">
        <f>SUMIF(月間集計シート!$M$50:$M$69,$G716,月間集計シート!Q$50:Q$69)*T$2</f>
        <v>0</v>
      </c>
      <c r="U716" s="88">
        <f>SUMIF(月間集計シート!$M$50:$M$69,$G716,月間集計シート!R$50:R$69)*U$2</f>
        <v>0</v>
      </c>
      <c r="V716" s="88">
        <f>SUMIF(月間集計シート!$M$50:$M$69,$G716,月間集計シート!S$50:S$69)*V$2</f>
        <v>0</v>
      </c>
      <c r="W716" s="88">
        <f>SUMIF(月間集計シート!$M$50:$M$69,$G716,月間集計シート!T$50:T$69)*W$2</f>
        <v>0</v>
      </c>
      <c r="X716" s="88">
        <f>SUMIF(月間集計シート!$M$71:$M$90,$G716,月間集計シート!N$71:N$90)*X$2</f>
        <v>0</v>
      </c>
      <c r="Y716" s="88">
        <f>SUMIF(月間集計シート!$M$71:$M$90,$G716,月間集計シート!O$71:O$90)*Y$2</f>
        <v>0</v>
      </c>
      <c r="Z716" s="88">
        <f>SUMIF(月間集計シート!$M$71:$M$90,$G716,月間集計シート!P$71:P$90)*Z$2</f>
        <v>0</v>
      </c>
      <c r="AA716" s="88">
        <f>SUMIF(月間集計シート!$M$71:$M$90,$G716,月間集計シート!Q$71:Q$90)*AA$2</f>
        <v>0</v>
      </c>
      <c r="AB716" s="88">
        <f>SUMIF(月間集計シート!$M$71:$M$90,$G716,月間集計シート!R$71:R$90)*AB$2</f>
        <v>0</v>
      </c>
      <c r="AC716" s="88">
        <f>SUMIF(月間集計シート!$M$71:$M$90,$G716,月間集計シート!S$71:S$90)*AC$2</f>
        <v>0</v>
      </c>
      <c r="AD716" s="88">
        <f>SUMIF(月間集計シート!$M$71:$M$90,$G716,月間集計シート!T$71:T$90)*AD$2</f>
        <v>0</v>
      </c>
      <c r="AE716" s="88">
        <f>SUMIF(月間集計シート!$M$92:$M$111,$G716,月間集計シート!N$92:N$111)*AE$2</f>
        <v>0</v>
      </c>
      <c r="AF716" s="88">
        <f>SUMIF(月間集計シート!$M$92:$M$111,$G716,月間集計シート!O$92:O$111)*AF$2</f>
        <v>0</v>
      </c>
      <c r="AG716" s="88">
        <f>SUMIF(月間集計シート!$M$92:$M$111,$G716,月間集計シート!P$92:P$111)*AG$2</f>
        <v>0</v>
      </c>
      <c r="AH716" s="88">
        <f>SUMIF(月間集計シート!$M$92:$M$111,$G716,月間集計シート!Q$92:Q$111)*AH$2</f>
        <v>0</v>
      </c>
      <c r="AI716" s="88">
        <f>SUMIF(月間集計シート!$M$92:$M$111,$G716,月間集計シート!R$92:R$111)*AI$2</f>
        <v>0</v>
      </c>
      <c r="AJ716" s="88">
        <f>SUMIF(月間集計シート!$M$92:$M$111,$G716,月間集計シート!S$92:S$111)*AJ$2</f>
        <v>0</v>
      </c>
      <c r="AK716" s="88">
        <f>SUMIF(月間集計シート!$M$92:$M$111,$G716,月間集計シート!T$92:T$111)*AK$2</f>
        <v>0</v>
      </c>
      <c r="AL716" s="88">
        <f>SUMIF(月間集計シート!$M$113:$M$132,$G716,月間集計シート!N$113:N$132)*AL$2</f>
        <v>0</v>
      </c>
      <c r="AM716" s="88">
        <f>SUMIF(月間集計シート!$M$113:$M$132,$G716,月間集計シート!O$113:O$132)*AM$2</f>
        <v>0</v>
      </c>
      <c r="AN716" s="88">
        <f>SUMIF(月間集計シート!$M$113:$M$132,$G716,月間集計シート!P$113:P$132)*AN$2</f>
        <v>0</v>
      </c>
      <c r="AO716" s="88">
        <f>SUMIF(月間集計シート!$M$113:$M$132,$G716,月間集計シート!Q$113:Q$132)*AO$2</f>
        <v>0</v>
      </c>
      <c r="AP716" s="88">
        <f>SUMIF(月間集計シート!$M$113:$M$132,$G716,月間集計シート!R$113:R$132)*AP$2</f>
        <v>0</v>
      </c>
      <c r="AQ716" s="88">
        <f>SUMIF(月間集計シート!$M$113:$M$132,$G716,月間集計シート!S$113:S$132)*AQ$2</f>
        <v>0</v>
      </c>
      <c r="AR716" s="88">
        <f>SUMIF(月間集計シート!$M$113:$M$132,$G716,月間集計シート!T$113:T$132)*AR$2</f>
        <v>0</v>
      </c>
      <c r="AS716" s="88">
        <f>SUMIF(月間集計シート!$M$134:$M$153,$G716,月間集計シート!N$134:N$153)*AS$2</f>
        <v>0</v>
      </c>
      <c r="AT716" s="88">
        <f>SUMIF(月間集計シート!$M$134:$M$153,$G716,月間集計シート!O$134:O$153)*AT$2</f>
        <v>0</v>
      </c>
      <c r="AU716" s="88">
        <f>SUMIF(月間集計シート!$M$134:$M$153,$G716,月間集計シート!P$134:P$153)*AU$2</f>
        <v>0</v>
      </c>
      <c r="AV716" s="88">
        <f>SUMIF(月間集計シート!$M$134:$M$153,$G716,月間集計シート!Q$134:Q$153)*AV$2</f>
        <v>0</v>
      </c>
      <c r="AW716" s="88">
        <f>SUMIF(月間集計シート!$M$134:$M$153,$G716,月間集計シート!R$134:R$153)*AW$2</f>
        <v>0</v>
      </c>
      <c r="AX716" s="88">
        <f>SUMIF(月間集計シート!$M$134:$M$153,$G716,月間集計シート!S$134:S$153)*AX$2</f>
        <v>0</v>
      </c>
      <c r="AY716" s="88">
        <f>SUMIF(月間集計シート!$M$134:$M$153,$G716,月間集計シート!T$134:T$153)*AY$2</f>
        <v>0</v>
      </c>
    </row>
    <row r="717" spans="1:51" ht="14.25" thickBot="1">
      <c r="A717">
        <v>9</v>
      </c>
      <c r="B717" s="120">
        <f t="shared" si="358"/>
        <v>0</v>
      </c>
      <c r="C717" s="120" t="str">
        <f t="shared" si="359"/>
        <v/>
      </c>
      <c r="D717" s="137"/>
      <c r="E717" s="150" t="str">
        <f>工種!A29</f>
        <v>40107</v>
      </c>
      <c r="F717" s="119" t="str">
        <f>工種!B29</f>
        <v>テスト：評価報告書作成</v>
      </c>
      <c r="G717" s="116" t="str">
        <f t="shared" si="360"/>
        <v>040107</v>
      </c>
      <c r="H717" s="88">
        <f t="shared" si="314"/>
        <v>0</v>
      </c>
      <c r="I717" s="132"/>
      <c r="J717" s="88">
        <f>SUMIF(月間集計シート!$M$29:$M$48,$G717,月間集計シート!N$29:N$48)*J$2</f>
        <v>0</v>
      </c>
      <c r="K717" s="88">
        <f>SUMIF(月間集計シート!$M$29:$M$48,$G717,月間集計シート!O$29:O$48)*K$2</f>
        <v>0</v>
      </c>
      <c r="L717" s="88">
        <f>SUMIF(月間集計シート!$M$29:$M$48,$G717,月間集計シート!P$29:P$48)*L$2</f>
        <v>0</v>
      </c>
      <c r="M717" s="88">
        <f>SUMIF(月間集計シート!$M$29:$M$48,$G717,月間集計シート!Q$29:Q$48)*M$2</f>
        <v>0</v>
      </c>
      <c r="N717" s="88">
        <f>SUMIF(月間集計シート!$M$29:$M$48,$G717,月間集計シート!R$29:R$48)*N$2</f>
        <v>0</v>
      </c>
      <c r="O717" s="88">
        <f>SUMIF(月間集計シート!$M$29:$M$48,$G717,月間集計シート!S$29:S$48)*O$2</f>
        <v>0</v>
      </c>
      <c r="P717" s="88">
        <f>SUMIF(月間集計シート!$M$29:$M$48,$G717,月間集計シート!T$29:T$48)*P$2</f>
        <v>0</v>
      </c>
      <c r="Q717" s="88">
        <f>SUMIF(月間集計シート!$M$50:$M$69,$G717,月間集計シート!N$50:N$69)*Q$2</f>
        <v>0</v>
      </c>
      <c r="R717" s="88">
        <f>SUMIF(月間集計シート!$M$50:$M$69,$G717,月間集計シート!O$50:O$69)*R$2</f>
        <v>0</v>
      </c>
      <c r="S717" s="88">
        <f>SUMIF(月間集計シート!$M$50:$M$69,$G717,月間集計シート!P$50:P$69)*S$2</f>
        <v>0</v>
      </c>
      <c r="T717" s="88">
        <f>SUMIF(月間集計シート!$M$50:$M$69,$G717,月間集計シート!Q$50:Q$69)*T$2</f>
        <v>0</v>
      </c>
      <c r="U717" s="88">
        <f>SUMIF(月間集計シート!$M$50:$M$69,$G717,月間集計シート!R$50:R$69)*U$2</f>
        <v>0</v>
      </c>
      <c r="V717" s="88">
        <f>SUMIF(月間集計シート!$M$50:$M$69,$G717,月間集計シート!S$50:S$69)*V$2</f>
        <v>0</v>
      </c>
      <c r="W717" s="88">
        <f>SUMIF(月間集計シート!$M$50:$M$69,$G717,月間集計シート!T$50:T$69)*W$2</f>
        <v>0</v>
      </c>
      <c r="X717" s="88">
        <f>SUMIF(月間集計シート!$M$71:$M$90,$G717,月間集計シート!N$71:N$90)*X$2</f>
        <v>0</v>
      </c>
      <c r="Y717" s="88">
        <f>SUMIF(月間集計シート!$M$71:$M$90,$G717,月間集計シート!O$71:O$90)*Y$2</f>
        <v>0</v>
      </c>
      <c r="Z717" s="88">
        <f>SUMIF(月間集計シート!$M$71:$M$90,$G717,月間集計シート!P$71:P$90)*Z$2</f>
        <v>0</v>
      </c>
      <c r="AA717" s="88">
        <f>SUMIF(月間集計シート!$M$71:$M$90,$G717,月間集計シート!Q$71:Q$90)*AA$2</f>
        <v>0</v>
      </c>
      <c r="AB717" s="88">
        <f>SUMIF(月間集計シート!$M$71:$M$90,$G717,月間集計シート!R$71:R$90)*AB$2</f>
        <v>0</v>
      </c>
      <c r="AC717" s="88">
        <f>SUMIF(月間集計シート!$M$71:$M$90,$G717,月間集計シート!S$71:S$90)*AC$2</f>
        <v>0</v>
      </c>
      <c r="AD717" s="88">
        <f>SUMIF(月間集計シート!$M$71:$M$90,$G717,月間集計シート!T$71:T$90)*AD$2</f>
        <v>0</v>
      </c>
      <c r="AE717" s="88">
        <f>SUMIF(月間集計シート!$M$92:$M$111,$G717,月間集計シート!N$92:N$111)*AE$2</f>
        <v>0</v>
      </c>
      <c r="AF717" s="88">
        <f>SUMIF(月間集計シート!$M$92:$M$111,$G717,月間集計シート!O$92:O$111)*AF$2</f>
        <v>0</v>
      </c>
      <c r="AG717" s="88">
        <f>SUMIF(月間集計シート!$M$92:$M$111,$G717,月間集計シート!P$92:P$111)*AG$2</f>
        <v>0</v>
      </c>
      <c r="AH717" s="88">
        <f>SUMIF(月間集計シート!$M$92:$M$111,$G717,月間集計シート!Q$92:Q$111)*AH$2</f>
        <v>0</v>
      </c>
      <c r="AI717" s="88">
        <f>SUMIF(月間集計シート!$M$92:$M$111,$G717,月間集計シート!R$92:R$111)*AI$2</f>
        <v>0</v>
      </c>
      <c r="AJ717" s="88">
        <f>SUMIF(月間集計シート!$M$92:$M$111,$G717,月間集計シート!S$92:S$111)*AJ$2</f>
        <v>0</v>
      </c>
      <c r="AK717" s="88">
        <f>SUMIF(月間集計シート!$M$92:$M$111,$G717,月間集計シート!T$92:T$111)*AK$2</f>
        <v>0</v>
      </c>
      <c r="AL717" s="88">
        <f>SUMIF(月間集計シート!$M$113:$M$132,$G717,月間集計シート!N$113:N$132)*AL$2</f>
        <v>0</v>
      </c>
      <c r="AM717" s="88">
        <f>SUMIF(月間集計シート!$M$113:$M$132,$G717,月間集計シート!O$113:O$132)*AM$2</f>
        <v>0</v>
      </c>
      <c r="AN717" s="88">
        <f>SUMIF(月間集計シート!$M$113:$M$132,$G717,月間集計シート!P$113:P$132)*AN$2</f>
        <v>0</v>
      </c>
      <c r="AO717" s="88">
        <f>SUMIF(月間集計シート!$M$113:$M$132,$G717,月間集計シート!Q$113:Q$132)*AO$2</f>
        <v>0</v>
      </c>
      <c r="AP717" s="88">
        <f>SUMIF(月間集計シート!$M$113:$M$132,$G717,月間集計シート!R$113:R$132)*AP$2</f>
        <v>0</v>
      </c>
      <c r="AQ717" s="88">
        <f>SUMIF(月間集計シート!$M$113:$M$132,$G717,月間集計シート!S$113:S$132)*AQ$2</f>
        <v>0</v>
      </c>
      <c r="AR717" s="88">
        <f>SUMIF(月間集計シート!$M$113:$M$132,$G717,月間集計シート!T$113:T$132)*AR$2</f>
        <v>0</v>
      </c>
      <c r="AS717" s="88">
        <f>SUMIF(月間集計シート!$M$134:$M$153,$G717,月間集計シート!N$134:N$153)*AS$2</f>
        <v>0</v>
      </c>
      <c r="AT717" s="88">
        <f>SUMIF(月間集計シート!$M$134:$M$153,$G717,月間集計シート!O$134:O$153)*AT$2</f>
        <v>0</v>
      </c>
      <c r="AU717" s="88">
        <f>SUMIF(月間集計シート!$M$134:$M$153,$G717,月間集計シート!P$134:P$153)*AU$2</f>
        <v>0</v>
      </c>
      <c r="AV717" s="88">
        <f>SUMIF(月間集計シート!$M$134:$M$153,$G717,月間集計シート!Q$134:Q$153)*AV$2</f>
        <v>0</v>
      </c>
      <c r="AW717" s="88">
        <f>SUMIF(月間集計シート!$M$134:$M$153,$G717,月間集計シート!R$134:R$153)*AW$2</f>
        <v>0</v>
      </c>
      <c r="AX717" s="88">
        <f>SUMIF(月間集計シート!$M$134:$M$153,$G717,月間集計シート!S$134:S$153)*AX$2</f>
        <v>0</v>
      </c>
      <c r="AY717" s="88">
        <f>SUMIF(月間集計シート!$M$134:$M$153,$G717,月間集計シート!T$134:T$153)*AY$2</f>
        <v>0</v>
      </c>
    </row>
    <row r="718" spans="1:51" ht="14.25" thickBot="1">
      <c r="A718">
        <v>9</v>
      </c>
      <c r="B718" s="120">
        <f t="shared" si="358"/>
        <v>0</v>
      </c>
      <c r="C718" s="120" t="str">
        <f t="shared" si="359"/>
        <v/>
      </c>
      <c r="D718" s="137"/>
      <c r="E718" s="150" t="str">
        <f>工種!A30</f>
        <v>40108</v>
      </c>
      <c r="F718" s="119" t="str">
        <f>工種!B30</f>
        <v>テスト：総合評価実施</v>
      </c>
      <c r="G718" s="116" t="str">
        <f t="shared" si="360"/>
        <v>040108</v>
      </c>
      <c r="H718" s="88">
        <f t="shared" si="314"/>
        <v>0</v>
      </c>
      <c r="I718" s="132"/>
      <c r="J718" s="88">
        <f>SUMIF(月間集計シート!$M$29:$M$48,$G718,月間集計シート!N$29:N$48)*J$2</f>
        <v>0</v>
      </c>
      <c r="K718" s="88">
        <f>SUMIF(月間集計シート!$M$29:$M$48,$G718,月間集計シート!O$29:O$48)*K$2</f>
        <v>0</v>
      </c>
      <c r="L718" s="88">
        <f>SUMIF(月間集計シート!$M$29:$M$48,$G718,月間集計シート!P$29:P$48)*L$2</f>
        <v>0</v>
      </c>
      <c r="M718" s="88">
        <f>SUMIF(月間集計シート!$M$29:$M$48,$G718,月間集計シート!Q$29:Q$48)*M$2</f>
        <v>0</v>
      </c>
      <c r="N718" s="88">
        <f>SUMIF(月間集計シート!$M$29:$M$48,$G718,月間集計シート!R$29:R$48)*N$2</f>
        <v>0</v>
      </c>
      <c r="O718" s="88">
        <f>SUMIF(月間集計シート!$M$29:$M$48,$G718,月間集計シート!S$29:S$48)*O$2</f>
        <v>0</v>
      </c>
      <c r="P718" s="88">
        <f>SUMIF(月間集計シート!$M$29:$M$48,$G718,月間集計シート!T$29:T$48)*P$2</f>
        <v>0</v>
      </c>
      <c r="Q718" s="88">
        <f>SUMIF(月間集計シート!$M$50:$M$69,$G718,月間集計シート!N$50:N$69)*Q$2</f>
        <v>0</v>
      </c>
      <c r="R718" s="88">
        <f>SUMIF(月間集計シート!$M$50:$M$69,$G718,月間集計シート!O$50:O$69)*R$2</f>
        <v>0</v>
      </c>
      <c r="S718" s="88">
        <f>SUMIF(月間集計シート!$M$50:$M$69,$G718,月間集計シート!P$50:P$69)*S$2</f>
        <v>0</v>
      </c>
      <c r="T718" s="88">
        <f>SUMIF(月間集計シート!$M$50:$M$69,$G718,月間集計シート!Q$50:Q$69)*T$2</f>
        <v>0</v>
      </c>
      <c r="U718" s="88">
        <f>SUMIF(月間集計シート!$M$50:$M$69,$G718,月間集計シート!R$50:R$69)*U$2</f>
        <v>0</v>
      </c>
      <c r="V718" s="88">
        <f>SUMIF(月間集計シート!$M$50:$M$69,$G718,月間集計シート!S$50:S$69)*V$2</f>
        <v>0</v>
      </c>
      <c r="W718" s="88">
        <f>SUMIF(月間集計シート!$M$50:$M$69,$G718,月間集計シート!T$50:T$69)*W$2</f>
        <v>0</v>
      </c>
      <c r="X718" s="88">
        <f>SUMIF(月間集計シート!$M$71:$M$90,$G718,月間集計シート!N$71:N$90)*X$2</f>
        <v>0</v>
      </c>
      <c r="Y718" s="88">
        <f>SUMIF(月間集計シート!$M$71:$M$90,$G718,月間集計シート!O$71:O$90)*Y$2</f>
        <v>0</v>
      </c>
      <c r="Z718" s="88">
        <f>SUMIF(月間集計シート!$M$71:$M$90,$G718,月間集計シート!P$71:P$90)*Z$2</f>
        <v>0</v>
      </c>
      <c r="AA718" s="88">
        <f>SUMIF(月間集計シート!$M$71:$M$90,$G718,月間集計シート!Q$71:Q$90)*AA$2</f>
        <v>0</v>
      </c>
      <c r="AB718" s="88">
        <f>SUMIF(月間集計シート!$M$71:$M$90,$G718,月間集計シート!R$71:R$90)*AB$2</f>
        <v>0</v>
      </c>
      <c r="AC718" s="88">
        <f>SUMIF(月間集計シート!$M$71:$M$90,$G718,月間集計シート!S$71:S$90)*AC$2</f>
        <v>0</v>
      </c>
      <c r="AD718" s="88">
        <f>SUMIF(月間集計シート!$M$71:$M$90,$G718,月間集計シート!T$71:T$90)*AD$2</f>
        <v>0</v>
      </c>
      <c r="AE718" s="88">
        <f>SUMIF(月間集計シート!$M$92:$M$111,$G718,月間集計シート!N$92:N$111)*AE$2</f>
        <v>0</v>
      </c>
      <c r="AF718" s="88">
        <f>SUMIF(月間集計シート!$M$92:$M$111,$G718,月間集計シート!O$92:O$111)*AF$2</f>
        <v>0</v>
      </c>
      <c r="AG718" s="88">
        <f>SUMIF(月間集計シート!$M$92:$M$111,$G718,月間集計シート!P$92:P$111)*AG$2</f>
        <v>0</v>
      </c>
      <c r="AH718" s="88">
        <f>SUMIF(月間集計シート!$M$92:$M$111,$G718,月間集計シート!Q$92:Q$111)*AH$2</f>
        <v>0</v>
      </c>
      <c r="AI718" s="88">
        <f>SUMIF(月間集計シート!$M$92:$M$111,$G718,月間集計シート!R$92:R$111)*AI$2</f>
        <v>0</v>
      </c>
      <c r="AJ718" s="88">
        <f>SUMIF(月間集計シート!$M$92:$M$111,$G718,月間集計シート!S$92:S$111)*AJ$2</f>
        <v>0</v>
      </c>
      <c r="AK718" s="88">
        <f>SUMIF(月間集計シート!$M$92:$M$111,$G718,月間集計シート!T$92:T$111)*AK$2</f>
        <v>0</v>
      </c>
      <c r="AL718" s="88">
        <f>SUMIF(月間集計シート!$M$113:$M$132,$G718,月間集計シート!N$113:N$132)*AL$2</f>
        <v>0</v>
      </c>
      <c r="AM718" s="88">
        <f>SUMIF(月間集計シート!$M$113:$M$132,$G718,月間集計シート!O$113:O$132)*AM$2</f>
        <v>0</v>
      </c>
      <c r="AN718" s="88">
        <f>SUMIF(月間集計シート!$M$113:$M$132,$G718,月間集計シート!P$113:P$132)*AN$2</f>
        <v>0</v>
      </c>
      <c r="AO718" s="88">
        <f>SUMIF(月間集計シート!$M$113:$M$132,$G718,月間集計シート!Q$113:Q$132)*AO$2</f>
        <v>0</v>
      </c>
      <c r="AP718" s="88">
        <f>SUMIF(月間集計シート!$M$113:$M$132,$G718,月間集計シート!R$113:R$132)*AP$2</f>
        <v>0</v>
      </c>
      <c r="AQ718" s="88">
        <f>SUMIF(月間集計シート!$M$113:$M$132,$G718,月間集計シート!S$113:S$132)*AQ$2</f>
        <v>0</v>
      </c>
      <c r="AR718" s="88">
        <f>SUMIF(月間集計シート!$M$113:$M$132,$G718,月間集計シート!T$113:T$132)*AR$2</f>
        <v>0</v>
      </c>
      <c r="AS718" s="88">
        <f>SUMIF(月間集計シート!$M$134:$M$153,$G718,月間集計シート!N$134:N$153)*AS$2</f>
        <v>0</v>
      </c>
      <c r="AT718" s="88">
        <f>SUMIF(月間集計シート!$M$134:$M$153,$G718,月間集計シート!O$134:O$153)*AT$2</f>
        <v>0</v>
      </c>
      <c r="AU718" s="88">
        <f>SUMIF(月間集計シート!$M$134:$M$153,$G718,月間集計シート!P$134:P$153)*AU$2</f>
        <v>0</v>
      </c>
      <c r="AV718" s="88">
        <f>SUMIF(月間集計シート!$M$134:$M$153,$G718,月間集計シート!Q$134:Q$153)*AV$2</f>
        <v>0</v>
      </c>
      <c r="AW718" s="88">
        <f>SUMIF(月間集計シート!$M$134:$M$153,$G718,月間集計シート!R$134:R$153)*AW$2</f>
        <v>0</v>
      </c>
      <c r="AX718" s="88">
        <f>SUMIF(月間集計シート!$M$134:$M$153,$G718,月間集計シート!S$134:S$153)*AX$2</f>
        <v>0</v>
      </c>
      <c r="AY718" s="88">
        <f>SUMIF(月間集計シート!$M$134:$M$153,$G718,月間集計シート!T$134:T$153)*AY$2</f>
        <v>0</v>
      </c>
    </row>
    <row r="719" spans="1:51" ht="14.25" thickBot="1">
      <c r="A719">
        <v>9</v>
      </c>
      <c r="B719" s="120">
        <f t="shared" si="358"/>
        <v>0</v>
      </c>
      <c r="C719" s="120" t="str">
        <f t="shared" si="359"/>
        <v/>
      </c>
      <c r="D719" s="137"/>
      <c r="E719" s="150" t="str">
        <f>工種!A31</f>
        <v>40109</v>
      </c>
      <c r="F719" s="119" t="str">
        <f>工種!B31</f>
        <v>テスト：打合せ</v>
      </c>
      <c r="G719" s="116" t="str">
        <f t="shared" si="360"/>
        <v>040109</v>
      </c>
      <c r="H719" s="88">
        <f t="shared" si="314"/>
        <v>0</v>
      </c>
      <c r="I719" s="132"/>
      <c r="J719" s="88">
        <f>SUMIF(月間集計シート!$M$29:$M$48,$G719,月間集計シート!N$29:N$48)*J$2</f>
        <v>0</v>
      </c>
      <c r="K719" s="88">
        <f>SUMIF(月間集計シート!$M$29:$M$48,$G719,月間集計シート!O$29:O$48)*K$2</f>
        <v>0</v>
      </c>
      <c r="L719" s="88">
        <f>SUMIF(月間集計シート!$M$29:$M$48,$G719,月間集計シート!P$29:P$48)*L$2</f>
        <v>0</v>
      </c>
      <c r="M719" s="88">
        <f>SUMIF(月間集計シート!$M$29:$M$48,$G719,月間集計シート!Q$29:Q$48)*M$2</f>
        <v>0</v>
      </c>
      <c r="N719" s="88">
        <f>SUMIF(月間集計シート!$M$29:$M$48,$G719,月間集計シート!R$29:R$48)*N$2</f>
        <v>0</v>
      </c>
      <c r="O719" s="88">
        <f>SUMIF(月間集計シート!$M$29:$M$48,$G719,月間集計シート!S$29:S$48)*O$2</f>
        <v>0</v>
      </c>
      <c r="P719" s="88">
        <f>SUMIF(月間集計シート!$M$29:$M$48,$G719,月間集計シート!T$29:T$48)*P$2</f>
        <v>0</v>
      </c>
      <c r="Q719" s="88">
        <f>SUMIF(月間集計シート!$M$50:$M$69,$G719,月間集計シート!N$50:N$69)*Q$2</f>
        <v>0</v>
      </c>
      <c r="R719" s="88">
        <f>SUMIF(月間集計シート!$M$50:$M$69,$G719,月間集計シート!O$50:O$69)*R$2</f>
        <v>0</v>
      </c>
      <c r="S719" s="88">
        <f>SUMIF(月間集計シート!$M$50:$M$69,$G719,月間集計シート!P$50:P$69)*S$2</f>
        <v>0</v>
      </c>
      <c r="T719" s="88">
        <f>SUMIF(月間集計シート!$M$50:$M$69,$G719,月間集計シート!Q$50:Q$69)*T$2</f>
        <v>0</v>
      </c>
      <c r="U719" s="88">
        <f>SUMIF(月間集計シート!$M$50:$M$69,$G719,月間集計シート!R$50:R$69)*U$2</f>
        <v>0</v>
      </c>
      <c r="V719" s="88">
        <f>SUMIF(月間集計シート!$M$50:$M$69,$G719,月間集計シート!S$50:S$69)*V$2</f>
        <v>0</v>
      </c>
      <c r="W719" s="88">
        <f>SUMIF(月間集計シート!$M$50:$M$69,$G719,月間集計シート!T$50:T$69)*W$2</f>
        <v>0</v>
      </c>
      <c r="X719" s="88">
        <f>SUMIF(月間集計シート!$M$71:$M$90,$G719,月間集計シート!N$71:N$90)*X$2</f>
        <v>0</v>
      </c>
      <c r="Y719" s="88">
        <f>SUMIF(月間集計シート!$M$71:$M$90,$G719,月間集計シート!O$71:O$90)*Y$2</f>
        <v>0</v>
      </c>
      <c r="Z719" s="88">
        <f>SUMIF(月間集計シート!$M$71:$M$90,$G719,月間集計シート!P$71:P$90)*Z$2</f>
        <v>0</v>
      </c>
      <c r="AA719" s="88">
        <f>SUMIF(月間集計シート!$M$71:$M$90,$G719,月間集計シート!Q$71:Q$90)*AA$2</f>
        <v>0</v>
      </c>
      <c r="AB719" s="88">
        <f>SUMIF(月間集計シート!$M$71:$M$90,$G719,月間集計シート!R$71:R$90)*AB$2</f>
        <v>0</v>
      </c>
      <c r="AC719" s="88">
        <f>SUMIF(月間集計シート!$M$71:$M$90,$G719,月間集計シート!S$71:S$90)*AC$2</f>
        <v>0</v>
      </c>
      <c r="AD719" s="88">
        <f>SUMIF(月間集計シート!$M$71:$M$90,$G719,月間集計シート!T$71:T$90)*AD$2</f>
        <v>0</v>
      </c>
      <c r="AE719" s="88">
        <f>SUMIF(月間集計シート!$M$92:$M$111,$G719,月間集計シート!N$92:N$111)*AE$2</f>
        <v>0</v>
      </c>
      <c r="AF719" s="88">
        <f>SUMIF(月間集計シート!$M$92:$M$111,$G719,月間集計シート!O$92:O$111)*AF$2</f>
        <v>0</v>
      </c>
      <c r="AG719" s="88">
        <f>SUMIF(月間集計シート!$M$92:$M$111,$G719,月間集計シート!P$92:P$111)*AG$2</f>
        <v>0</v>
      </c>
      <c r="AH719" s="88">
        <f>SUMIF(月間集計シート!$M$92:$M$111,$G719,月間集計シート!Q$92:Q$111)*AH$2</f>
        <v>0</v>
      </c>
      <c r="AI719" s="88">
        <f>SUMIF(月間集計シート!$M$92:$M$111,$G719,月間集計シート!R$92:R$111)*AI$2</f>
        <v>0</v>
      </c>
      <c r="AJ719" s="88">
        <f>SUMIF(月間集計シート!$M$92:$M$111,$G719,月間集計シート!S$92:S$111)*AJ$2</f>
        <v>0</v>
      </c>
      <c r="AK719" s="88">
        <f>SUMIF(月間集計シート!$M$92:$M$111,$G719,月間集計シート!T$92:T$111)*AK$2</f>
        <v>0</v>
      </c>
      <c r="AL719" s="88">
        <f>SUMIF(月間集計シート!$M$113:$M$132,$G719,月間集計シート!N$113:N$132)*AL$2</f>
        <v>0</v>
      </c>
      <c r="AM719" s="88">
        <f>SUMIF(月間集計シート!$M$113:$M$132,$G719,月間集計シート!O$113:O$132)*AM$2</f>
        <v>0</v>
      </c>
      <c r="AN719" s="88">
        <f>SUMIF(月間集計シート!$M$113:$M$132,$G719,月間集計シート!P$113:P$132)*AN$2</f>
        <v>0</v>
      </c>
      <c r="AO719" s="88">
        <f>SUMIF(月間集計シート!$M$113:$M$132,$G719,月間集計シート!Q$113:Q$132)*AO$2</f>
        <v>0</v>
      </c>
      <c r="AP719" s="88">
        <f>SUMIF(月間集計シート!$M$113:$M$132,$G719,月間集計シート!R$113:R$132)*AP$2</f>
        <v>0</v>
      </c>
      <c r="AQ719" s="88">
        <f>SUMIF(月間集計シート!$M$113:$M$132,$G719,月間集計シート!S$113:S$132)*AQ$2</f>
        <v>0</v>
      </c>
      <c r="AR719" s="88">
        <f>SUMIF(月間集計シート!$M$113:$M$132,$G719,月間集計シート!T$113:T$132)*AR$2</f>
        <v>0</v>
      </c>
      <c r="AS719" s="88">
        <f>SUMIF(月間集計シート!$M$134:$M$153,$G719,月間集計シート!N$134:N$153)*AS$2</f>
        <v>0</v>
      </c>
      <c r="AT719" s="88">
        <f>SUMIF(月間集計シート!$M$134:$M$153,$G719,月間集計シート!O$134:O$153)*AT$2</f>
        <v>0</v>
      </c>
      <c r="AU719" s="88">
        <f>SUMIF(月間集計シート!$M$134:$M$153,$G719,月間集計シート!P$134:P$153)*AU$2</f>
        <v>0</v>
      </c>
      <c r="AV719" s="88">
        <f>SUMIF(月間集計シート!$M$134:$M$153,$G719,月間集計シート!Q$134:Q$153)*AV$2</f>
        <v>0</v>
      </c>
      <c r="AW719" s="88">
        <f>SUMIF(月間集計シート!$M$134:$M$153,$G719,月間集計シート!R$134:R$153)*AW$2</f>
        <v>0</v>
      </c>
      <c r="AX719" s="88">
        <f>SUMIF(月間集計シート!$M$134:$M$153,$G719,月間集計シート!S$134:S$153)*AX$2</f>
        <v>0</v>
      </c>
      <c r="AY719" s="88">
        <f>SUMIF(月間集計シート!$M$134:$M$153,$G719,月間集計シート!T$134:T$153)*AY$2</f>
        <v>0</v>
      </c>
    </row>
    <row r="720" spans="1:51" ht="14.25" thickBot="1">
      <c r="A720">
        <v>9</v>
      </c>
      <c r="B720" s="120">
        <f t="shared" si="358"/>
        <v>0</v>
      </c>
      <c r="C720" s="120" t="str">
        <f t="shared" si="359"/>
        <v/>
      </c>
      <c r="D720" s="137"/>
      <c r="E720" s="150" t="str">
        <f>工種!A32</f>
        <v>40110</v>
      </c>
      <c r="F720" s="119" t="str">
        <f>工種!B32</f>
        <v>テスト：レビュー</v>
      </c>
      <c r="G720" s="116" t="str">
        <f t="shared" si="360"/>
        <v>040110</v>
      </c>
      <c r="H720" s="88">
        <f t="shared" si="314"/>
        <v>0</v>
      </c>
      <c r="I720" s="132"/>
      <c r="J720" s="88">
        <f>SUMIF(月間集計シート!$M$29:$M$48,$G720,月間集計シート!N$29:N$48)*J$2</f>
        <v>0</v>
      </c>
      <c r="K720" s="88">
        <f>SUMIF(月間集計シート!$M$29:$M$48,$G720,月間集計シート!O$29:O$48)*K$2</f>
        <v>0</v>
      </c>
      <c r="L720" s="88">
        <f>SUMIF(月間集計シート!$M$29:$M$48,$G720,月間集計シート!P$29:P$48)*L$2</f>
        <v>0</v>
      </c>
      <c r="M720" s="88">
        <f>SUMIF(月間集計シート!$M$29:$M$48,$G720,月間集計シート!Q$29:Q$48)*M$2</f>
        <v>0</v>
      </c>
      <c r="N720" s="88">
        <f>SUMIF(月間集計シート!$M$29:$M$48,$G720,月間集計シート!R$29:R$48)*N$2</f>
        <v>0</v>
      </c>
      <c r="O720" s="88">
        <f>SUMIF(月間集計シート!$M$29:$M$48,$G720,月間集計シート!S$29:S$48)*O$2</f>
        <v>0</v>
      </c>
      <c r="P720" s="88">
        <f>SUMIF(月間集計シート!$M$29:$M$48,$G720,月間集計シート!T$29:T$48)*P$2</f>
        <v>0</v>
      </c>
      <c r="Q720" s="88">
        <f>SUMIF(月間集計シート!$M$50:$M$69,$G720,月間集計シート!N$50:N$69)*Q$2</f>
        <v>0</v>
      </c>
      <c r="R720" s="88">
        <f>SUMIF(月間集計シート!$M$50:$M$69,$G720,月間集計シート!O$50:O$69)*R$2</f>
        <v>0</v>
      </c>
      <c r="S720" s="88">
        <f>SUMIF(月間集計シート!$M$50:$M$69,$G720,月間集計シート!P$50:P$69)*S$2</f>
        <v>0</v>
      </c>
      <c r="T720" s="88">
        <f>SUMIF(月間集計シート!$M$50:$M$69,$G720,月間集計シート!Q$50:Q$69)*T$2</f>
        <v>0</v>
      </c>
      <c r="U720" s="88">
        <f>SUMIF(月間集計シート!$M$50:$M$69,$G720,月間集計シート!R$50:R$69)*U$2</f>
        <v>0</v>
      </c>
      <c r="V720" s="88">
        <f>SUMIF(月間集計シート!$M$50:$M$69,$G720,月間集計シート!S$50:S$69)*V$2</f>
        <v>0</v>
      </c>
      <c r="W720" s="88">
        <f>SUMIF(月間集計シート!$M$50:$M$69,$G720,月間集計シート!T$50:T$69)*W$2</f>
        <v>0</v>
      </c>
      <c r="X720" s="88">
        <f>SUMIF(月間集計シート!$M$71:$M$90,$G720,月間集計シート!N$71:N$90)*X$2</f>
        <v>0</v>
      </c>
      <c r="Y720" s="88">
        <f>SUMIF(月間集計シート!$M$71:$M$90,$G720,月間集計シート!O$71:O$90)*Y$2</f>
        <v>0</v>
      </c>
      <c r="Z720" s="88">
        <f>SUMIF(月間集計シート!$M$71:$M$90,$G720,月間集計シート!P$71:P$90)*Z$2</f>
        <v>0</v>
      </c>
      <c r="AA720" s="88">
        <f>SUMIF(月間集計シート!$M$71:$M$90,$G720,月間集計シート!Q$71:Q$90)*AA$2</f>
        <v>0</v>
      </c>
      <c r="AB720" s="88">
        <f>SUMIF(月間集計シート!$M$71:$M$90,$G720,月間集計シート!R$71:R$90)*AB$2</f>
        <v>0</v>
      </c>
      <c r="AC720" s="88">
        <f>SUMIF(月間集計シート!$M$71:$M$90,$G720,月間集計シート!S$71:S$90)*AC$2</f>
        <v>0</v>
      </c>
      <c r="AD720" s="88">
        <f>SUMIF(月間集計シート!$M$71:$M$90,$G720,月間集計シート!T$71:T$90)*AD$2</f>
        <v>0</v>
      </c>
      <c r="AE720" s="88">
        <f>SUMIF(月間集計シート!$M$92:$M$111,$G720,月間集計シート!N$92:N$111)*AE$2</f>
        <v>0</v>
      </c>
      <c r="AF720" s="88">
        <f>SUMIF(月間集計シート!$M$92:$M$111,$G720,月間集計シート!O$92:O$111)*AF$2</f>
        <v>0</v>
      </c>
      <c r="AG720" s="88">
        <f>SUMIF(月間集計シート!$M$92:$M$111,$G720,月間集計シート!P$92:P$111)*AG$2</f>
        <v>0</v>
      </c>
      <c r="AH720" s="88">
        <f>SUMIF(月間集計シート!$M$92:$M$111,$G720,月間集計シート!Q$92:Q$111)*AH$2</f>
        <v>0</v>
      </c>
      <c r="AI720" s="88">
        <f>SUMIF(月間集計シート!$M$92:$M$111,$G720,月間集計シート!R$92:R$111)*AI$2</f>
        <v>0</v>
      </c>
      <c r="AJ720" s="88">
        <f>SUMIF(月間集計シート!$M$92:$M$111,$G720,月間集計シート!S$92:S$111)*AJ$2</f>
        <v>0</v>
      </c>
      <c r="AK720" s="88">
        <f>SUMIF(月間集計シート!$M$92:$M$111,$G720,月間集計シート!T$92:T$111)*AK$2</f>
        <v>0</v>
      </c>
      <c r="AL720" s="88">
        <f>SUMIF(月間集計シート!$M$113:$M$132,$G720,月間集計シート!N$113:N$132)*AL$2</f>
        <v>0</v>
      </c>
      <c r="AM720" s="88">
        <f>SUMIF(月間集計シート!$M$113:$M$132,$G720,月間集計シート!O$113:O$132)*AM$2</f>
        <v>0</v>
      </c>
      <c r="AN720" s="88">
        <f>SUMIF(月間集計シート!$M$113:$M$132,$G720,月間集計シート!P$113:P$132)*AN$2</f>
        <v>0</v>
      </c>
      <c r="AO720" s="88">
        <f>SUMIF(月間集計シート!$M$113:$M$132,$G720,月間集計シート!Q$113:Q$132)*AO$2</f>
        <v>0</v>
      </c>
      <c r="AP720" s="88">
        <f>SUMIF(月間集計シート!$M$113:$M$132,$G720,月間集計シート!R$113:R$132)*AP$2</f>
        <v>0</v>
      </c>
      <c r="AQ720" s="88">
        <f>SUMIF(月間集計シート!$M$113:$M$132,$G720,月間集計シート!S$113:S$132)*AQ$2</f>
        <v>0</v>
      </c>
      <c r="AR720" s="88">
        <f>SUMIF(月間集計シート!$M$113:$M$132,$G720,月間集計シート!T$113:T$132)*AR$2</f>
        <v>0</v>
      </c>
      <c r="AS720" s="88">
        <f>SUMIF(月間集計シート!$M$134:$M$153,$G720,月間集計シート!N$134:N$153)*AS$2</f>
        <v>0</v>
      </c>
      <c r="AT720" s="88">
        <f>SUMIF(月間集計シート!$M$134:$M$153,$G720,月間集計シート!O$134:O$153)*AT$2</f>
        <v>0</v>
      </c>
      <c r="AU720" s="88">
        <f>SUMIF(月間集計シート!$M$134:$M$153,$G720,月間集計シート!P$134:P$153)*AU$2</f>
        <v>0</v>
      </c>
      <c r="AV720" s="88">
        <f>SUMIF(月間集計シート!$M$134:$M$153,$G720,月間集計シート!Q$134:Q$153)*AV$2</f>
        <v>0</v>
      </c>
      <c r="AW720" s="88">
        <f>SUMIF(月間集計シート!$M$134:$M$153,$G720,月間集計シート!R$134:R$153)*AW$2</f>
        <v>0</v>
      </c>
      <c r="AX720" s="88">
        <f>SUMIF(月間集計シート!$M$134:$M$153,$G720,月間集計シート!S$134:S$153)*AX$2</f>
        <v>0</v>
      </c>
      <c r="AY720" s="88">
        <f>SUMIF(月間集計シート!$M$134:$M$153,$G720,月間集計シート!T$134:T$153)*AY$2</f>
        <v>0</v>
      </c>
    </row>
    <row r="721" spans="1:51" ht="14.25" thickBot="1">
      <c r="A721">
        <v>9</v>
      </c>
      <c r="B721" s="120">
        <f t="shared" si="358"/>
        <v>0</v>
      </c>
      <c r="C721" s="120" t="str">
        <f t="shared" si="359"/>
        <v/>
      </c>
      <c r="D721" s="137"/>
      <c r="E721" s="150" t="str">
        <f>工種!A33</f>
        <v>40111</v>
      </c>
      <c r="F721" s="119" t="str">
        <f>工種!B33</f>
        <v>テスト：PG修正（手戻り分）</v>
      </c>
      <c r="G721" s="116" t="str">
        <f t="shared" si="360"/>
        <v>040111</v>
      </c>
      <c r="H721" s="88">
        <f t="shared" si="314"/>
        <v>0</v>
      </c>
      <c r="I721" s="132"/>
      <c r="J721" s="88">
        <f>SUMIF(月間集計シート!$M$29:$M$48,$G721,月間集計シート!N$29:N$48)*J$2</f>
        <v>0</v>
      </c>
      <c r="K721" s="88">
        <f>SUMIF(月間集計シート!$M$29:$M$48,$G721,月間集計シート!O$29:O$48)*K$2</f>
        <v>0</v>
      </c>
      <c r="L721" s="88">
        <f>SUMIF(月間集計シート!$M$29:$M$48,$G721,月間集計シート!P$29:P$48)*L$2</f>
        <v>0</v>
      </c>
      <c r="M721" s="88">
        <f>SUMIF(月間集計シート!$M$29:$M$48,$G721,月間集計シート!Q$29:Q$48)*M$2</f>
        <v>0</v>
      </c>
      <c r="N721" s="88">
        <f>SUMIF(月間集計シート!$M$29:$M$48,$G721,月間集計シート!R$29:R$48)*N$2</f>
        <v>0</v>
      </c>
      <c r="O721" s="88">
        <f>SUMIF(月間集計シート!$M$29:$M$48,$G721,月間集計シート!S$29:S$48)*O$2</f>
        <v>0</v>
      </c>
      <c r="P721" s="88">
        <f>SUMIF(月間集計シート!$M$29:$M$48,$G721,月間集計シート!T$29:T$48)*P$2</f>
        <v>0</v>
      </c>
      <c r="Q721" s="88">
        <f>SUMIF(月間集計シート!$M$50:$M$69,$G721,月間集計シート!N$50:N$69)*Q$2</f>
        <v>0</v>
      </c>
      <c r="R721" s="88">
        <f>SUMIF(月間集計シート!$M$50:$M$69,$G721,月間集計シート!O$50:O$69)*R$2</f>
        <v>0</v>
      </c>
      <c r="S721" s="88">
        <f>SUMIF(月間集計シート!$M$50:$M$69,$G721,月間集計シート!P$50:P$69)*S$2</f>
        <v>0</v>
      </c>
      <c r="T721" s="88">
        <f>SUMIF(月間集計シート!$M$50:$M$69,$G721,月間集計シート!Q$50:Q$69)*T$2</f>
        <v>0</v>
      </c>
      <c r="U721" s="88">
        <f>SUMIF(月間集計シート!$M$50:$M$69,$G721,月間集計シート!R$50:R$69)*U$2</f>
        <v>0</v>
      </c>
      <c r="V721" s="88">
        <f>SUMIF(月間集計シート!$M$50:$M$69,$G721,月間集計シート!S$50:S$69)*V$2</f>
        <v>0</v>
      </c>
      <c r="W721" s="88">
        <f>SUMIF(月間集計シート!$M$50:$M$69,$G721,月間集計シート!T$50:T$69)*W$2</f>
        <v>0</v>
      </c>
      <c r="X721" s="88">
        <f>SUMIF(月間集計シート!$M$71:$M$90,$G721,月間集計シート!N$71:N$90)*X$2</f>
        <v>0</v>
      </c>
      <c r="Y721" s="88">
        <f>SUMIF(月間集計シート!$M$71:$M$90,$G721,月間集計シート!O$71:O$90)*Y$2</f>
        <v>0</v>
      </c>
      <c r="Z721" s="88">
        <f>SUMIF(月間集計シート!$M$71:$M$90,$G721,月間集計シート!P$71:P$90)*Z$2</f>
        <v>0</v>
      </c>
      <c r="AA721" s="88">
        <f>SUMIF(月間集計シート!$M$71:$M$90,$G721,月間集計シート!Q$71:Q$90)*AA$2</f>
        <v>0</v>
      </c>
      <c r="AB721" s="88">
        <f>SUMIF(月間集計シート!$M$71:$M$90,$G721,月間集計シート!R$71:R$90)*AB$2</f>
        <v>0</v>
      </c>
      <c r="AC721" s="88">
        <f>SUMIF(月間集計シート!$M$71:$M$90,$G721,月間集計シート!S$71:S$90)*AC$2</f>
        <v>0</v>
      </c>
      <c r="AD721" s="88">
        <f>SUMIF(月間集計シート!$M$71:$M$90,$G721,月間集計シート!T$71:T$90)*AD$2</f>
        <v>0</v>
      </c>
      <c r="AE721" s="88">
        <f>SUMIF(月間集計シート!$M$92:$M$111,$G721,月間集計シート!N$92:N$111)*AE$2</f>
        <v>0</v>
      </c>
      <c r="AF721" s="88">
        <f>SUMIF(月間集計シート!$M$92:$M$111,$G721,月間集計シート!O$92:O$111)*AF$2</f>
        <v>0</v>
      </c>
      <c r="AG721" s="88">
        <f>SUMIF(月間集計シート!$M$92:$M$111,$G721,月間集計シート!P$92:P$111)*AG$2</f>
        <v>0</v>
      </c>
      <c r="AH721" s="88">
        <f>SUMIF(月間集計シート!$M$92:$M$111,$G721,月間集計シート!Q$92:Q$111)*AH$2</f>
        <v>0</v>
      </c>
      <c r="AI721" s="88">
        <f>SUMIF(月間集計シート!$M$92:$M$111,$G721,月間集計シート!R$92:R$111)*AI$2</f>
        <v>0</v>
      </c>
      <c r="AJ721" s="88">
        <f>SUMIF(月間集計シート!$M$92:$M$111,$G721,月間集計シート!S$92:S$111)*AJ$2</f>
        <v>0</v>
      </c>
      <c r="AK721" s="88">
        <f>SUMIF(月間集計シート!$M$92:$M$111,$G721,月間集計シート!T$92:T$111)*AK$2</f>
        <v>0</v>
      </c>
      <c r="AL721" s="88">
        <f>SUMIF(月間集計シート!$M$113:$M$132,$G721,月間集計シート!N$113:N$132)*AL$2</f>
        <v>0</v>
      </c>
      <c r="AM721" s="88">
        <f>SUMIF(月間集計シート!$M$113:$M$132,$G721,月間集計シート!O$113:O$132)*AM$2</f>
        <v>0</v>
      </c>
      <c r="AN721" s="88">
        <f>SUMIF(月間集計シート!$M$113:$M$132,$G721,月間集計シート!P$113:P$132)*AN$2</f>
        <v>0</v>
      </c>
      <c r="AO721" s="88">
        <f>SUMIF(月間集計シート!$M$113:$M$132,$G721,月間集計シート!Q$113:Q$132)*AO$2</f>
        <v>0</v>
      </c>
      <c r="AP721" s="88">
        <f>SUMIF(月間集計シート!$M$113:$M$132,$G721,月間集計シート!R$113:R$132)*AP$2</f>
        <v>0</v>
      </c>
      <c r="AQ721" s="88">
        <f>SUMIF(月間集計シート!$M$113:$M$132,$G721,月間集計シート!S$113:S$132)*AQ$2</f>
        <v>0</v>
      </c>
      <c r="AR721" s="88">
        <f>SUMIF(月間集計シート!$M$113:$M$132,$G721,月間集計シート!T$113:T$132)*AR$2</f>
        <v>0</v>
      </c>
      <c r="AS721" s="88">
        <f>SUMIF(月間集計シート!$M$134:$M$153,$G721,月間集計シート!N$134:N$153)*AS$2</f>
        <v>0</v>
      </c>
      <c r="AT721" s="88">
        <f>SUMIF(月間集計シート!$M$134:$M$153,$G721,月間集計シート!O$134:O$153)*AT$2</f>
        <v>0</v>
      </c>
      <c r="AU721" s="88">
        <f>SUMIF(月間集計シート!$M$134:$M$153,$G721,月間集計シート!P$134:P$153)*AU$2</f>
        <v>0</v>
      </c>
      <c r="AV721" s="88">
        <f>SUMIF(月間集計シート!$M$134:$M$153,$G721,月間集計シート!Q$134:Q$153)*AV$2</f>
        <v>0</v>
      </c>
      <c r="AW721" s="88">
        <f>SUMIF(月間集計シート!$M$134:$M$153,$G721,月間集計シート!R$134:R$153)*AW$2</f>
        <v>0</v>
      </c>
      <c r="AX721" s="88">
        <f>SUMIF(月間集計シート!$M$134:$M$153,$G721,月間集計シート!S$134:S$153)*AX$2</f>
        <v>0</v>
      </c>
      <c r="AY721" s="88">
        <f>SUMIF(月間集計シート!$M$134:$M$153,$G721,月間集計シート!T$134:T$153)*AY$2</f>
        <v>0</v>
      </c>
    </row>
    <row r="722" spans="1:51" ht="14.25" thickBot="1">
      <c r="A722">
        <v>9</v>
      </c>
      <c r="B722" s="120">
        <f t="shared" si="358"/>
        <v>0</v>
      </c>
      <c r="C722" s="120" t="str">
        <f t="shared" si="359"/>
        <v/>
      </c>
      <c r="D722" s="137"/>
      <c r="E722" s="150" t="str">
        <f>工種!A34</f>
        <v>40112</v>
      </c>
      <c r="F722" s="119" t="str">
        <f>工種!B34</f>
        <v>テスト：再テスト（手戻り分）</v>
      </c>
      <c r="G722" s="116" t="str">
        <f t="shared" si="360"/>
        <v>040112</v>
      </c>
      <c r="H722" s="88">
        <f t="shared" si="314"/>
        <v>0</v>
      </c>
      <c r="I722" s="132"/>
      <c r="J722" s="88">
        <f>SUMIF(月間集計シート!$M$29:$M$48,$G722,月間集計シート!N$29:N$48)*J$2</f>
        <v>0</v>
      </c>
      <c r="K722" s="88">
        <f>SUMIF(月間集計シート!$M$29:$M$48,$G722,月間集計シート!O$29:O$48)*K$2</f>
        <v>0</v>
      </c>
      <c r="L722" s="88">
        <f>SUMIF(月間集計シート!$M$29:$M$48,$G722,月間集計シート!P$29:P$48)*L$2</f>
        <v>0</v>
      </c>
      <c r="M722" s="88">
        <f>SUMIF(月間集計シート!$M$29:$M$48,$G722,月間集計シート!Q$29:Q$48)*M$2</f>
        <v>0</v>
      </c>
      <c r="N722" s="88">
        <f>SUMIF(月間集計シート!$M$29:$M$48,$G722,月間集計シート!R$29:R$48)*N$2</f>
        <v>0</v>
      </c>
      <c r="O722" s="88">
        <f>SUMIF(月間集計シート!$M$29:$M$48,$G722,月間集計シート!S$29:S$48)*O$2</f>
        <v>0</v>
      </c>
      <c r="P722" s="88">
        <f>SUMIF(月間集計シート!$M$29:$M$48,$G722,月間集計シート!T$29:T$48)*P$2</f>
        <v>0</v>
      </c>
      <c r="Q722" s="88">
        <f>SUMIF(月間集計シート!$M$50:$M$69,$G722,月間集計シート!N$50:N$69)*Q$2</f>
        <v>0</v>
      </c>
      <c r="R722" s="88">
        <f>SUMIF(月間集計シート!$M$50:$M$69,$G722,月間集計シート!O$50:O$69)*R$2</f>
        <v>0</v>
      </c>
      <c r="S722" s="88">
        <f>SUMIF(月間集計シート!$M$50:$M$69,$G722,月間集計シート!P$50:P$69)*S$2</f>
        <v>0</v>
      </c>
      <c r="T722" s="88">
        <f>SUMIF(月間集計シート!$M$50:$M$69,$G722,月間集計シート!Q$50:Q$69)*T$2</f>
        <v>0</v>
      </c>
      <c r="U722" s="88">
        <f>SUMIF(月間集計シート!$M$50:$M$69,$G722,月間集計シート!R$50:R$69)*U$2</f>
        <v>0</v>
      </c>
      <c r="V722" s="88">
        <f>SUMIF(月間集計シート!$M$50:$M$69,$G722,月間集計シート!S$50:S$69)*V$2</f>
        <v>0</v>
      </c>
      <c r="W722" s="88">
        <f>SUMIF(月間集計シート!$M$50:$M$69,$G722,月間集計シート!T$50:T$69)*W$2</f>
        <v>0</v>
      </c>
      <c r="X722" s="88">
        <f>SUMIF(月間集計シート!$M$71:$M$90,$G722,月間集計シート!N$71:N$90)*X$2</f>
        <v>0</v>
      </c>
      <c r="Y722" s="88">
        <f>SUMIF(月間集計シート!$M$71:$M$90,$G722,月間集計シート!O$71:O$90)*Y$2</f>
        <v>0</v>
      </c>
      <c r="Z722" s="88">
        <f>SUMIF(月間集計シート!$M$71:$M$90,$G722,月間集計シート!P$71:P$90)*Z$2</f>
        <v>0</v>
      </c>
      <c r="AA722" s="88">
        <f>SUMIF(月間集計シート!$M$71:$M$90,$G722,月間集計シート!Q$71:Q$90)*AA$2</f>
        <v>0</v>
      </c>
      <c r="AB722" s="88">
        <f>SUMIF(月間集計シート!$M$71:$M$90,$G722,月間集計シート!R$71:R$90)*AB$2</f>
        <v>0</v>
      </c>
      <c r="AC722" s="88">
        <f>SUMIF(月間集計シート!$M$71:$M$90,$G722,月間集計シート!S$71:S$90)*AC$2</f>
        <v>0</v>
      </c>
      <c r="AD722" s="88">
        <f>SUMIF(月間集計シート!$M$71:$M$90,$G722,月間集計シート!T$71:T$90)*AD$2</f>
        <v>0</v>
      </c>
      <c r="AE722" s="88">
        <f>SUMIF(月間集計シート!$M$92:$M$111,$G722,月間集計シート!N$92:N$111)*AE$2</f>
        <v>0</v>
      </c>
      <c r="AF722" s="88">
        <f>SUMIF(月間集計シート!$M$92:$M$111,$G722,月間集計シート!O$92:O$111)*AF$2</f>
        <v>0</v>
      </c>
      <c r="AG722" s="88">
        <f>SUMIF(月間集計シート!$M$92:$M$111,$G722,月間集計シート!P$92:P$111)*AG$2</f>
        <v>0</v>
      </c>
      <c r="AH722" s="88">
        <f>SUMIF(月間集計シート!$M$92:$M$111,$G722,月間集計シート!Q$92:Q$111)*AH$2</f>
        <v>0</v>
      </c>
      <c r="AI722" s="88">
        <f>SUMIF(月間集計シート!$M$92:$M$111,$G722,月間集計シート!R$92:R$111)*AI$2</f>
        <v>0</v>
      </c>
      <c r="AJ722" s="88">
        <f>SUMIF(月間集計シート!$M$92:$M$111,$G722,月間集計シート!S$92:S$111)*AJ$2</f>
        <v>0</v>
      </c>
      <c r="AK722" s="88">
        <f>SUMIF(月間集計シート!$M$92:$M$111,$G722,月間集計シート!T$92:T$111)*AK$2</f>
        <v>0</v>
      </c>
      <c r="AL722" s="88">
        <f>SUMIF(月間集計シート!$M$113:$M$132,$G722,月間集計シート!N$113:N$132)*AL$2</f>
        <v>0</v>
      </c>
      <c r="AM722" s="88">
        <f>SUMIF(月間集計シート!$M$113:$M$132,$G722,月間集計シート!O$113:O$132)*AM$2</f>
        <v>0</v>
      </c>
      <c r="AN722" s="88">
        <f>SUMIF(月間集計シート!$M$113:$M$132,$G722,月間集計シート!P$113:P$132)*AN$2</f>
        <v>0</v>
      </c>
      <c r="AO722" s="88">
        <f>SUMIF(月間集計シート!$M$113:$M$132,$G722,月間集計シート!Q$113:Q$132)*AO$2</f>
        <v>0</v>
      </c>
      <c r="AP722" s="88">
        <f>SUMIF(月間集計シート!$M$113:$M$132,$G722,月間集計シート!R$113:R$132)*AP$2</f>
        <v>0</v>
      </c>
      <c r="AQ722" s="88">
        <f>SUMIF(月間集計シート!$M$113:$M$132,$G722,月間集計シート!S$113:S$132)*AQ$2</f>
        <v>0</v>
      </c>
      <c r="AR722" s="88">
        <f>SUMIF(月間集計シート!$M$113:$M$132,$G722,月間集計シート!T$113:T$132)*AR$2</f>
        <v>0</v>
      </c>
      <c r="AS722" s="88">
        <f>SUMIF(月間集計シート!$M$134:$M$153,$G722,月間集計シート!N$134:N$153)*AS$2</f>
        <v>0</v>
      </c>
      <c r="AT722" s="88">
        <f>SUMIF(月間集計シート!$M$134:$M$153,$G722,月間集計シート!O$134:O$153)*AT$2</f>
        <v>0</v>
      </c>
      <c r="AU722" s="88">
        <f>SUMIF(月間集計シート!$M$134:$M$153,$G722,月間集計シート!P$134:P$153)*AU$2</f>
        <v>0</v>
      </c>
      <c r="AV722" s="88">
        <f>SUMIF(月間集計シート!$M$134:$M$153,$G722,月間集計シート!Q$134:Q$153)*AV$2</f>
        <v>0</v>
      </c>
      <c r="AW722" s="88">
        <f>SUMIF(月間集計シート!$M$134:$M$153,$G722,月間集計シート!R$134:R$153)*AW$2</f>
        <v>0</v>
      </c>
      <c r="AX722" s="88">
        <f>SUMIF(月間集計シート!$M$134:$M$153,$G722,月間集計シート!S$134:S$153)*AX$2</f>
        <v>0</v>
      </c>
      <c r="AY722" s="88">
        <f>SUMIF(月間集計シート!$M$134:$M$153,$G722,月間集計シート!T$134:T$153)*AY$2</f>
        <v>0</v>
      </c>
    </row>
    <row r="723" spans="1:51" ht="14.25" thickBot="1">
      <c r="A723">
        <v>9</v>
      </c>
      <c r="B723" s="120">
        <f t="shared" si="358"/>
        <v>0</v>
      </c>
      <c r="C723" s="120" t="str">
        <f t="shared" si="359"/>
        <v/>
      </c>
      <c r="D723" s="137"/>
      <c r="E723" s="150" t="str">
        <f>工種!A35</f>
        <v>40113</v>
      </c>
      <c r="F723" s="119" t="str">
        <f>工種!B35</f>
        <v>テスト：QA対応</v>
      </c>
      <c r="G723" s="116" t="str">
        <f t="shared" si="360"/>
        <v>040113</v>
      </c>
      <c r="H723" s="88">
        <f t="shared" si="314"/>
        <v>0</v>
      </c>
      <c r="I723" s="132"/>
      <c r="J723" s="88">
        <f>SUMIF(月間集計シート!$M$29:$M$48,$G723,月間集計シート!N$29:N$48)*J$2</f>
        <v>0</v>
      </c>
      <c r="K723" s="88">
        <f>SUMIF(月間集計シート!$M$29:$M$48,$G723,月間集計シート!O$29:O$48)*K$2</f>
        <v>0</v>
      </c>
      <c r="L723" s="88">
        <f>SUMIF(月間集計シート!$M$29:$M$48,$G723,月間集計シート!P$29:P$48)*L$2</f>
        <v>0</v>
      </c>
      <c r="M723" s="88">
        <f>SUMIF(月間集計シート!$M$29:$M$48,$G723,月間集計シート!Q$29:Q$48)*M$2</f>
        <v>0</v>
      </c>
      <c r="N723" s="88">
        <f>SUMIF(月間集計シート!$M$29:$M$48,$G723,月間集計シート!R$29:R$48)*N$2</f>
        <v>0</v>
      </c>
      <c r="O723" s="88">
        <f>SUMIF(月間集計シート!$M$29:$M$48,$G723,月間集計シート!S$29:S$48)*O$2</f>
        <v>0</v>
      </c>
      <c r="P723" s="88">
        <f>SUMIF(月間集計シート!$M$29:$M$48,$G723,月間集計シート!T$29:T$48)*P$2</f>
        <v>0</v>
      </c>
      <c r="Q723" s="88">
        <f>SUMIF(月間集計シート!$M$50:$M$69,$G723,月間集計シート!N$50:N$69)*Q$2</f>
        <v>0</v>
      </c>
      <c r="R723" s="88">
        <f>SUMIF(月間集計シート!$M$50:$M$69,$G723,月間集計シート!O$50:O$69)*R$2</f>
        <v>0</v>
      </c>
      <c r="S723" s="88">
        <f>SUMIF(月間集計シート!$M$50:$M$69,$G723,月間集計シート!P$50:P$69)*S$2</f>
        <v>0</v>
      </c>
      <c r="T723" s="88">
        <f>SUMIF(月間集計シート!$M$50:$M$69,$G723,月間集計シート!Q$50:Q$69)*T$2</f>
        <v>0</v>
      </c>
      <c r="U723" s="88">
        <f>SUMIF(月間集計シート!$M$50:$M$69,$G723,月間集計シート!R$50:R$69)*U$2</f>
        <v>0</v>
      </c>
      <c r="V723" s="88">
        <f>SUMIF(月間集計シート!$M$50:$M$69,$G723,月間集計シート!S$50:S$69)*V$2</f>
        <v>0</v>
      </c>
      <c r="W723" s="88">
        <f>SUMIF(月間集計シート!$M$50:$M$69,$G723,月間集計シート!T$50:T$69)*W$2</f>
        <v>0</v>
      </c>
      <c r="X723" s="88">
        <f>SUMIF(月間集計シート!$M$71:$M$90,$G723,月間集計シート!N$71:N$90)*X$2</f>
        <v>0</v>
      </c>
      <c r="Y723" s="88">
        <f>SUMIF(月間集計シート!$M$71:$M$90,$G723,月間集計シート!O$71:O$90)*Y$2</f>
        <v>0</v>
      </c>
      <c r="Z723" s="88">
        <f>SUMIF(月間集計シート!$M$71:$M$90,$G723,月間集計シート!P$71:P$90)*Z$2</f>
        <v>0</v>
      </c>
      <c r="AA723" s="88">
        <f>SUMIF(月間集計シート!$M$71:$M$90,$G723,月間集計シート!Q$71:Q$90)*AA$2</f>
        <v>0</v>
      </c>
      <c r="AB723" s="88">
        <f>SUMIF(月間集計シート!$M$71:$M$90,$G723,月間集計シート!R$71:R$90)*AB$2</f>
        <v>0</v>
      </c>
      <c r="AC723" s="88">
        <f>SUMIF(月間集計シート!$M$71:$M$90,$G723,月間集計シート!S$71:S$90)*AC$2</f>
        <v>0</v>
      </c>
      <c r="AD723" s="88">
        <f>SUMIF(月間集計シート!$M$71:$M$90,$G723,月間集計シート!T$71:T$90)*AD$2</f>
        <v>0</v>
      </c>
      <c r="AE723" s="88">
        <f>SUMIF(月間集計シート!$M$92:$M$111,$G723,月間集計シート!N$92:N$111)*AE$2</f>
        <v>0</v>
      </c>
      <c r="AF723" s="88">
        <f>SUMIF(月間集計シート!$M$92:$M$111,$G723,月間集計シート!O$92:O$111)*AF$2</f>
        <v>0</v>
      </c>
      <c r="AG723" s="88">
        <f>SUMIF(月間集計シート!$M$92:$M$111,$G723,月間集計シート!P$92:P$111)*AG$2</f>
        <v>0</v>
      </c>
      <c r="AH723" s="88">
        <f>SUMIF(月間集計シート!$M$92:$M$111,$G723,月間集計シート!Q$92:Q$111)*AH$2</f>
        <v>0</v>
      </c>
      <c r="AI723" s="88">
        <f>SUMIF(月間集計シート!$M$92:$M$111,$G723,月間集計シート!R$92:R$111)*AI$2</f>
        <v>0</v>
      </c>
      <c r="AJ723" s="88">
        <f>SUMIF(月間集計シート!$M$92:$M$111,$G723,月間集計シート!S$92:S$111)*AJ$2</f>
        <v>0</v>
      </c>
      <c r="AK723" s="88">
        <f>SUMIF(月間集計シート!$M$92:$M$111,$G723,月間集計シート!T$92:T$111)*AK$2</f>
        <v>0</v>
      </c>
      <c r="AL723" s="88">
        <f>SUMIF(月間集計シート!$M$113:$M$132,$G723,月間集計シート!N$113:N$132)*AL$2</f>
        <v>0</v>
      </c>
      <c r="AM723" s="88">
        <f>SUMIF(月間集計シート!$M$113:$M$132,$G723,月間集計シート!O$113:O$132)*AM$2</f>
        <v>0</v>
      </c>
      <c r="AN723" s="88">
        <f>SUMIF(月間集計シート!$M$113:$M$132,$G723,月間集計シート!P$113:P$132)*AN$2</f>
        <v>0</v>
      </c>
      <c r="AO723" s="88">
        <f>SUMIF(月間集計シート!$M$113:$M$132,$G723,月間集計シート!Q$113:Q$132)*AO$2</f>
        <v>0</v>
      </c>
      <c r="AP723" s="88">
        <f>SUMIF(月間集計シート!$M$113:$M$132,$G723,月間集計シート!R$113:R$132)*AP$2</f>
        <v>0</v>
      </c>
      <c r="AQ723" s="88">
        <f>SUMIF(月間集計シート!$M$113:$M$132,$G723,月間集計シート!S$113:S$132)*AQ$2</f>
        <v>0</v>
      </c>
      <c r="AR723" s="88">
        <f>SUMIF(月間集計シート!$M$113:$M$132,$G723,月間集計シート!T$113:T$132)*AR$2</f>
        <v>0</v>
      </c>
      <c r="AS723" s="88">
        <f>SUMIF(月間集計シート!$M$134:$M$153,$G723,月間集計シート!N$134:N$153)*AS$2</f>
        <v>0</v>
      </c>
      <c r="AT723" s="88">
        <f>SUMIF(月間集計シート!$M$134:$M$153,$G723,月間集計シート!O$134:O$153)*AT$2</f>
        <v>0</v>
      </c>
      <c r="AU723" s="88">
        <f>SUMIF(月間集計シート!$M$134:$M$153,$G723,月間集計シート!P$134:P$153)*AU$2</f>
        <v>0</v>
      </c>
      <c r="AV723" s="88">
        <f>SUMIF(月間集計シート!$M$134:$M$153,$G723,月間集計シート!Q$134:Q$153)*AV$2</f>
        <v>0</v>
      </c>
      <c r="AW723" s="88">
        <f>SUMIF(月間集計シート!$M$134:$M$153,$G723,月間集計シート!R$134:R$153)*AW$2</f>
        <v>0</v>
      </c>
      <c r="AX723" s="88">
        <f>SUMIF(月間集計シート!$M$134:$M$153,$G723,月間集計シート!S$134:S$153)*AX$2</f>
        <v>0</v>
      </c>
      <c r="AY723" s="88">
        <f>SUMIF(月間集計シート!$M$134:$M$153,$G723,月間集計シート!T$134:T$153)*AY$2</f>
        <v>0</v>
      </c>
    </row>
    <row r="724" spans="1:51" ht="14.25" thickBot="1">
      <c r="A724">
        <v>9</v>
      </c>
      <c r="B724" s="120">
        <f t="shared" si="358"/>
        <v>0</v>
      </c>
      <c r="C724" s="120" t="str">
        <f t="shared" si="359"/>
        <v/>
      </c>
      <c r="D724" s="137"/>
      <c r="E724" s="150" t="str">
        <f>工種!A36</f>
        <v>40189</v>
      </c>
      <c r="F724" s="119" t="str">
        <f>工種!B36</f>
        <v>テスト：内部不具合分析</v>
      </c>
      <c r="G724" s="116" t="str">
        <f t="shared" si="360"/>
        <v>040189</v>
      </c>
      <c r="H724" s="88">
        <f t="shared" si="314"/>
        <v>0</v>
      </c>
      <c r="I724" s="132"/>
      <c r="J724" s="88">
        <f>SUMIF(月間集計シート!$M$29:$M$48,$G724,月間集計シート!N$29:N$48)*J$2</f>
        <v>0</v>
      </c>
      <c r="K724" s="88">
        <f>SUMIF(月間集計シート!$M$29:$M$48,$G724,月間集計シート!O$29:O$48)*K$2</f>
        <v>0</v>
      </c>
      <c r="L724" s="88">
        <f>SUMIF(月間集計シート!$M$29:$M$48,$G724,月間集計シート!P$29:P$48)*L$2</f>
        <v>0</v>
      </c>
      <c r="M724" s="88">
        <f>SUMIF(月間集計シート!$M$29:$M$48,$G724,月間集計シート!Q$29:Q$48)*M$2</f>
        <v>0</v>
      </c>
      <c r="N724" s="88">
        <f>SUMIF(月間集計シート!$M$29:$M$48,$G724,月間集計シート!R$29:R$48)*N$2</f>
        <v>0</v>
      </c>
      <c r="O724" s="88">
        <f>SUMIF(月間集計シート!$M$29:$M$48,$G724,月間集計シート!S$29:S$48)*O$2</f>
        <v>0</v>
      </c>
      <c r="P724" s="88">
        <f>SUMIF(月間集計シート!$M$29:$M$48,$G724,月間集計シート!T$29:T$48)*P$2</f>
        <v>0</v>
      </c>
      <c r="Q724" s="88">
        <f>SUMIF(月間集計シート!$M$50:$M$69,$G724,月間集計シート!N$50:N$69)*Q$2</f>
        <v>0</v>
      </c>
      <c r="R724" s="88">
        <f>SUMIF(月間集計シート!$M$50:$M$69,$G724,月間集計シート!O$50:O$69)*R$2</f>
        <v>0</v>
      </c>
      <c r="S724" s="88">
        <f>SUMIF(月間集計シート!$M$50:$M$69,$G724,月間集計シート!P$50:P$69)*S$2</f>
        <v>0</v>
      </c>
      <c r="T724" s="88">
        <f>SUMIF(月間集計シート!$M$50:$M$69,$G724,月間集計シート!Q$50:Q$69)*T$2</f>
        <v>0</v>
      </c>
      <c r="U724" s="88">
        <f>SUMIF(月間集計シート!$M$50:$M$69,$G724,月間集計シート!R$50:R$69)*U$2</f>
        <v>0</v>
      </c>
      <c r="V724" s="88">
        <f>SUMIF(月間集計シート!$M$50:$M$69,$G724,月間集計シート!S$50:S$69)*V$2</f>
        <v>0</v>
      </c>
      <c r="W724" s="88">
        <f>SUMIF(月間集計シート!$M$50:$M$69,$G724,月間集計シート!T$50:T$69)*W$2</f>
        <v>0</v>
      </c>
      <c r="X724" s="88">
        <f>SUMIF(月間集計シート!$M$71:$M$90,$G724,月間集計シート!N$71:N$90)*X$2</f>
        <v>0</v>
      </c>
      <c r="Y724" s="88">
        <f>SUMIF(月間集計シート!$M$71:$M$90,$G724,月間集計シート!O$71:O$90)*Y$2</f>
        <v>0</v>
      </c>
      <c r="Z724" s="88">
        <f>SUMIF(月間集計シート!$M$71:$M$90,$G724,月間集計シート!P$71:P$90)*Z$2</f>
        <v>0</v>
      </c>
      <c r="AA724" s="88">
        <f>SUMIF(月間集計シート!$M$71:$M$90,$G724,月間集計シート!Q$71:Q$90)*AA$2</f>
        <v>0</v>
      </c>
      <c r="AB724" s="88">
        <f>SUMIF(月間集計シート!$M$71:$M$90,$G724,月間集計シート!R$71:R$90)*AB$2</f>
        <v>0</v>
      </c>
      <c r="AC724" s="88">
        <f>SUMIF(月間集計シート!$M$71:$M$90,$G724,月間集計シート!S$71:S$90)*AC$2</f>
        <v>0</v>
      </c>
      <c r="AD724" s="88">
        <f>SUMIF(月間集計シート!$M$71:$M$90,$G724,月間集計シート!T$71:T$90)*AD$2</f>
        <v>0</v>
      </c>
      <c r="AE724" s="88">
        <f>SUMIF(月間集計シート!$M$92:$M$111,$G724,月間集計シート!N$92:N$111)*AE$2</f>
        <v>0</v>
      </c>
      <c r="AF724" s="88">
        <f>SUMIF(月間集計シート!$M$92:$M$111,$G724,月間集計シート!O$92:O$111)*AF$2</f>
        <v>0</v>
      </c>
      <c r="AG724" s="88">
        <f>SUMIF(月間集計シート!$M$92:$M$111,$G724,月間集計シート!P$92:P$111)*AG$2</f>
        <v>0</v>
      </c>
      <c r="AH724" s="88">
        <f>SUMIF(月間集計シート!$M$92:$M$111,$G724,月間集計シート!Q$92:Q$111)*AH$2</f>
        <v>0</v>
      </c>
      <c r="AI724" s="88">
        <f>SUMIF(月間集計シート!$M$92:$M$111,$G724,月間集計シート!R$92:R$111)*AI$2</f>
        <v>0</v>
      </c>
      <c r="AJ724" s="88">
        <f>SUMIF(月間集計シート!$M$92:$M$111,$G724,月間集計シート!S$92:S$111)*AJ$2</f>
        <v>0</v>
      </c>
      <c r="AK724" s="88">
        <f>SUMIF(月間集計シート!$M$92:$M$111,$G724,月間集計シート!T$92:T$111)*AK$2</f>
        <v>0</v>
      </c>
      <c r="AL724" s="88">
        <f>SUMIF(月間集計シート!$M$113:$M$132,$G724,月間集計シート!N$113:N$132)*AL$2</f>
        <v>0</v>
      </c>
      <c r="AM724" s="88">
        <f>SUMIF(月間集計シート!$M$113:$M$132,$G724,月間集計シート!O$113:O$132)*AM$2</f>
        <v>0</v>
      </c>
      <c r="AN724" s="88">
        <f>SUMIF(月間集計シート!$M$113:$M$132,$G724,月間集計シート!P$113:P$132)*AN$2</f>
        <v>0</v>
      </c>
      <c r="AO724" s="88">
        <f>SUMIF(月間集計シート!$M$113:$M$132,$G724,月間集計シート!Q$113:Q$132)*AO$2</f>
        <v>0</v>
      </c>
      <c r="AP724" s="88">
        <f>SUMIF(月間集計シート!$M$113:$M$132,$G724,月間集計シート!R$113:R$132)*AP$2</f>
        <v>0</v>
      </c>
      <c r="AQ724" s="88">
        <f>SUMIF(月間集計シート!$M$113:$M$132,$G724,月間集計シート!S$113:S$132)*AQ$2</f>
        <v>0</v>
      </c>
      <c r="AR724" s="88">
        <f>SUMIF(月間集計シート!$M$113:$M$132,$G724,月間集計シート!T$113:T$132)*AR$2</f>
        <v>0</v>
      </c>
      <c r="AS724" s="88">
        <f>SUMIF(月間集計シート!$M$134:$M$153,$G724,月間集計シート!N$134:N$153)*AS$2</f>
        <v>0</v>
      </c>
      <c r="AT724" s="88">
        <f>SUMIF(月間集計シート!$M$134:$M$153,$G724,月間集計シート!O$134:O$153)*AT$2</f>
        <v>0</v>
      </c>
      <c r="AU724" s="88">
        <f>SUMIF(月間集計シート!$M$134:$M$153,$G724,月間集計シート!P$134:P$153)*AU$2</f>
        <v>0</v>
      </c>
      <c r="AV724" s="88">
        <f>SUMIF(月間集計シート!$M$134:$M$153,$G724,月間集計シート!Q$134:Q$153)*AV$2</f>
        <v>0</v>
      </c>
      <c r="AW724" s="88">
        <f>SUMIF(月間集計シート!$M$134:$M$153,$G724,月間集計シート!R$134:R$153)*AW$2</f>
        <v>0</v>
      </c>
      <c r="AX724" s="88">
        <f>SUMIF(月間集計シート!$M$134:$M$153,$G724,月間集計シート!S$134:S$153)*AX$2</f>
        <v>0</v>
      </c>
      <c r="AY724" s="88">
        <f>SUMIF(月間集計シート!$M$134:$M$153,$G724,月間集計シート!T$134:T$153)*AY$2</f>
        <v>0</v>
      </c>
    </row>
    <row r="725" spans="1:51" ht="14.25" thickBot="1">
      <c r="A725">
        <v>9</v>
      </c>
      <c r="B725" s="120">
        <f t="shared" si="358"/>
        <v>0</v>
      </c>
      <c r="C725" s="120" t="str">
        <f t="shared" si="359"/>
        <v/>
      </c>
      <c r="D725" s="137"/>
      <c r="E725" s="150" t="str">
        <f>工種!A37</f>
        <v>40199</v>
      </c>
      <c r="F725" s="119" t="str">
        <f>工種!B37</f>
        <v>テスト：その他</v>
      </c>
      <c r="G725" s="116" t="str">
        <f t="shared" si="360"/>
        <v>040199</v>
      </c>
      <c r="H725" s="88">
        <f t="shared" si="314"/>
        <v>0</v>
      </c>
      <c r="I725" s="132"/>
      <c r="J725" s="88">
        <f>SUMIF(月間集計シート!$M$29:$M$48,$G725,月間集計シート!N$29:N$48)*J$2</f>
        <v>0</v>
      </c>
      <c r="K725" s="88">
        <f>SUMIF(月間集計シート!$M$29:$M$48,$G725,月間集計シート!O$29:O$48)*K$2</f>
        <v>0</v>
      </c>
      <c r="L725" s="88">
        <f>SUMIF(月間集計シート!$M$29:$M$48,$G725,月間集計シート!P$29:P$48)*L$2</f>
        <v>0</v>
      </c>
      <c r="M725" s="88">
        <f>SUMIF(月間集計シート!$M$29:$M$48,$G725,月間集計シート!Q$29:Q$48)*M$2</f>
        <v>0</v>
      </c>
      <c r="N725" s="88">
        <f>SUMIF(月間集計シート!$M$29:$M$48,$G725,月間集計シート!R$29:R$48)*N$2</f>
        <v>0</v>
      </c>
      <c r="O725" s="88">
        <f>SUMIF(月間集計シート!$M$29:$M$48,$G725,月間集計シート!S$29:S$48)*O$2</f>
        <v>0</v>
      </c>
      <c r="P725" s="88">
        <f>SUMIF(月間集計シート!$M$29:$M$48,$G725,月間集計シート!T$29:T$48)*P$2</f>
        <v>0</v>
      </c>
      <c r="Q725" s="88">
        <f>SUMIF(月間集計シート!$M$50:$M$69,$G725,月間集計シート!N$50:N$69)*Q$2</f>
        <v>0</v>
      </c>
      <c r="R725" s="88">
        <f>SUMIF(月間集計シート!$M$50:$M$69,$G725,月間集計シート!O$50:O$69)*R$2</f>
        <v>0</v>
      </c>
      <c r="S725" s="88">
        <f>SUMIF(月間集計シート!$M$50:$M$69,$G725,月間集計シート!P$50:P$69)*S$2</f>
        <v>0</v>
      </c>
      <c r="T725" s="88">
        <f>SUMIF(月間集計シート!$M$50:$M$69,$G725,月間集計シート!Q$50:Q$69)*T$2</f>
        <v>0</v>
      </c>
      <c r="U725" s="88">
        <f>SUMIF(月間集計シート!$M$50:$M$69,$G725,月間集計シート!R$50:R$69)*U$2</f>
        <v>0</v>
      </c>
      <c r="V725" s="88">
        <f>SUMIF(月間集計シート!$M$50:$M$69,$G725,月間集計シート!S$50:S$69)*V$2</f>
        <v>0</v>
      </c>
      <c r="W725" s="88">
        <f>SUMIF(月間集計シート!$M$50:$M$69,$G725,月間集計シート!T$50:T$69)*W$2</f>
        <v>0</v>
      </c>
      <c r="X725" s="88">
        <f>SUMIF(月間集計シート!$M$71:$M$90,$G725,月間集計シート!N$71:N$90)*X$2</f>
        <v>0</v>
      </c>
      <c r="Y725" s="88">
        <f>SUMIF(月間集計シート!$M$71:$M$90,$G725,月間集計シート!O$71:O$90)*Y$2</f>
        <v>0</v>
      </c>
      <c r="Z725" s="88">
        <f>SUMIF(月間集計シート!$M$71:$M$90,$G725,月間集計シート!P$71:P$90)*Z$2</f>
        <v>0</v>
      </c>
      <c r="AA725" s="88">
        <f>SUMIF(月間集計シート!$M$71:$M$90,$G725,月間集計シート!Q$71:Q$90)*AA$2</f>
        <v>0</v>
      </c>
      <c r="AB725" s="88">
        <f>SUMIF(月間集計シート!$M$71:$M$90,$G725,月間集計シート!R$71:R$90)*AB$2</f>
        <v>0</v>
      </c>
      <c r="AC725" s="88">
        <f>SUMIF(月間集計シート!$M$71:$M$90,$G725,月間集計シート!S$71:S$90)*AC$2</f>
        <v>0</v>
      </c>
      <c r="AD725" s="88">
        <f>SUMIF(月間集計シート!$M$71:$M$90,$G725,月間集計シート!T$71:T$90)*AD$2</f>
        <v>0</v>
      </c>
      <c r="AE725" s="88">
        <f>SUMIF(月間集計シート!$M$92:$M$111,$G725,月間集計シート!N$92:N$111)*AE$2</f>
        <v>0</v>
      </c>
      <c r="AF725" s="88">
        <f>SUMIF(月間集計シート!$M$92:$M$111,$G725,月間集計シート!O$92:O$111)*AF$2</f>
        <v>0</v>
      </c>
      <c r="AG725" s="88">
        <f>SUMIF(月間集計シート!$M$92:$M$111,$G725,月間集計シート!P$92:P$111)*AG$2</f>
        <v>0</v>
      </c>
      <c r="AH725" s="88">
        <f>SUMIF(月間集計シート!$M$92:$M$111,$G725,月間集計シート!Q$92:Q$111)*AH$2</f>
        <v>0</v>
      </c>
      <c r="AI725" s="88">
        <f>SUMIF(月間集計シート!$M$92:$M$111,$G725,月間集計シート!R$92:R$111)*AI$2</f>
        <v>0</v>
      </c>
      <c r="AJ725" s="88">
        <f>SUMIF(月間集計シート!$M$92:$M$111,$G725,月間集計シート!S$92:S$111)*AJ$2</f>
        <v>0</v>
      </c>
      <c r="AK725" s="88">
        <f>SUMIF(月間集計シート!$M$92:$M$111,$G725,月間集計シート!T$92:T$111)*AK$2</f>
        <v>0</v>
      </c>
      <c r="AL725" s="88">
        <f>SUMIF(月間集計シート!$M$113:$M$132,$G725,月間集計シート!N$113:N$132)*AL$2</f>
        <v>0</v>
      </c>
      <c r="AM725" s="88">
        <f>SUMIF(月間集計シート!$M$113:$M$132,$G725,月間集計シート!O$113:O$132)*AM$2</f>
        <v>0</v>
      </c>
      <c r="AN725" s="88">
        <f>SUMIF(月間集計シート!$M$113:$M$132,$G725,月間集計シート!P$113:P$132)*AN$2</f>
        <v>0</v>
      </c>
      <c r="AO725" s="88">
        <f>SUMIF(月間集計シート!$M$113:$M$132,$G725,月間集計シート!Q$113:Q$132)*AO$2</f>
        <v>0</v>
      </c>
      <c r="AP725" s="88">
        <f>SUMIF(月間集計シート!$M$113:$M$132,$G725,月間集計シート!R$113:R$132)*AP$2</f>
        <v>0</v>
      </c>
      <c r="AQ725" s="88">
        <f>SUMIF(月間集計シート!$M$113:$M$132,$G725,月間集計シート!S$113:S$132)*AQ$2</f>
        <v>0</v>
      </c>
      <c r="AR725" s="88">
        <f>SUMIF(月間集計シート!$M$113:$M$132,$G725,月間集計シート!T$113:T$132)*AR$2</f>
        <v>0</v>
      </c>
      <c r="AS725" s="88">
        <f>SUMIF(月間集計シート!$M$134:$M$153,$G725,月間集計シート!N$134:N$153)*AS$2</f>
        <v>0</v>
      </c>
      <c r="AT725" s="88">
        <f>SUMIF(月間集計シート!$M$134:$M$153,$G725,月間集計シート!O$134:O$153)*AT$2</f>
        <v>0</v>
      </c>
      <c r="AU725" s="88">
        <f>SUMIF(月間集計シート!$M$134:$M$153,$G725,月間集計シート!P$134:P$153)*AU$2</f>
        <v>0</v>
      </c>
      <c r="AV725" s="88">
        <f>SUMIF(月間集計シート!$M$134:$M$153,$G725,月間集計シート!Q$134:Q$153)*AV$2</f>
        <v>0</v>
      </c>
      <c r="AW725" s="88">
        <f>SUMIF(月間集計シート!$M$134:$M$153,$G725,月間集計シート!R$134:R$153)*AW$2</f>
        <v>0</v>
      </c>
      <c r="AX725" s="88">
        <f>SUMIF(月間集計シート!$M$134:$M$153,$G725,月間集計シート!S$134:S$153)*AX$2</f>
        <v>0</v>
      </c>
      <c r="AY725" s="88">
        <f>SUMIF(月間集計シート!$M$134:$M$153,$G725,月間集計シート!T$134:T$153)*AY$2</f>
        <v>0</v>
      </c>
    </row>
    <row r="726" spans="1:51" ht="14.25" thickBot="1">
      <c r="A726">
        <v>9</v>
      </c>
      <c r="B726" s="120">
        <f t="shared" si="358"/>
        <v>0</v>
      </c>
      <c r="C726" s="120" t="str">
        <f t="shared" si="359"/>
        <v/>
      </c>
      <c r="D726" s="137"/>
      <c r="E726" s="150" t="str">
        <f>工種!A38</f>
        <v>50101</v>
      </c>
      <c r="F726" s="119" t="str">
        <f>工種!B38</f>
        <v>ﾏﾆｭｱﾙ作成：原稿作成</v>
      </c>
      <c r="G726" s="116" t="str">
        <f t="shared" si="360"/>
        <v>050101</v>
      </c>
      <c r="H726" s="88">
        <f t="shared" si="314"/>
        <v>0</v>
      </c>
      <c r="I726" s="132"/>
      <c r="J726" s="88">
        <f>SUMIF(月間集計シート!$M$29:$M$48,$G726,月間集計シート!N$29:N$48)*J$2</f>
        <v>0</v>
      </c>
      <c r="K726" s="88">
        <f>SUMIF(月間集計シート!$M$29:$M$48,$G726,月間集計シート!O$29:O$48)*K$2</f>
        <v>0</v>
      </c>
      <c r="L726" s="88">
        <f>SUMIF(月間集計シート!$M$29:$M$48,$G726,月間集計シート!P$29:P$48)*L$2</f>
        <v>0</v>
      </c>
      <c r="M726" s="88">
        <f>SUMIF(月間集計シート!$M$29:$M$48,$G726,月間集計シート!Q$29:Q$48)*M$2</f>
        <v>0</v>
      </c>
      <c r="N726" s="88">
        <f>SUMIF(月間集計シート!$M$29:$M$48,$G726,月間集計シート!R$29:R$48)*N$2</f>
        <v>0</v>
      </c>
      <c r="O726" s="88">
        <f>SUMIF(月間集計シート!$M$29:$M$48,$G726,月間集計シート!S$29:S$48)*O$2</f>
        <v>0</v>
      </c>
      <c r="P726" s="88">
        <f>SUMIF(月間集計シート!$M$29:$M$48,$G726,月間集計シート!T$29:T$48)*P$2</f>
        <v>0</v>
      </c>
      <c r="Q726" s="88">
        <f>SUMIF(月間集計シート!$M$50:$M$69,$G726,月間集計シート!N$50:N$69)*Q$2</f>
        <v>0</v>
      </c>
      <c r="R726" s="88">
        <f>SUMIF(月間集計シート!$M$50:$M$69,$G726,月間集計シート!O$50:O$69)*R$2</f>
        <v>0</v>
      </c>
      <c r="S726" s="88">
        <f>SUMIF(月間集計シート!$M$50:$M$69,$G726,月間集計シート!P$50:P$69)*S$2</f>
        <v>0</v>
      </c>
      <c r="T726" s="88">
        <f>SUMIF(月間集計シート!$M$50:$M$69,$G726,月間集計シート!Q$50:Q$69)*T$2</f>
        <v>0</v>
      </c>
      <c r="U726" s="88">
        <f>SUMIF(月間集計シート!$M$50:$M$69,$G726,月間集計シート!R$50:R$69)*U$2</f>
        <v>0</v>
      </c>
      <c r="V726" s="88">
        <f>SUMIF(月間集計シート!$M$50:$M$69,$G726,月間集計シート!S$50:S$69)*V$2</f>
        <v>0</v>
      </c>
      <c r="W726" s="88">
        <f>SUMIF(月間集計シート!$M$50:$M$69,$G726,月間集計シート!T$50:T$69)*W$2</f>
        <v>0</v>
      </c>
      <c r="X726" s="88">
        <f>SUMIF(月間集計シート!$M$71:$M$90,$G726,月間集計シート!N$71:N$90)*X$2</f>
        <v>0</v>
      </c>
      <c r="Y726" s="88">
        <f>SUMIF(月間集計シート!$M$71:$M$90,$G726,月間集計シート!O$71:O$90)*Y$2</f>
        <v>0</v>
      </c>
      <c r="Z726" s="88">
        <f>SUMIF(月間集計シート!$M$71:$M$90,$G726,月間集計シート!P$71:P$90)*Z$2</f>
        <v>0</v>
      </c>
      <c r="AA726" s="88">
        <f>SUMIF(月間集計シート!$M$71:$M$90,$G726,月間集計シート!Q$71:Q$90)*AA$2</f>
        <v>0</v>
      </c>
      <c r="AB726" s="88">
        <f>SUMIF(月間集計シート!$M$71:$M$90,$G726,月間集計シート!R$71:R$90)*AB$2</f>
        <v>0</v>
      </c>
      <c r="AC726" s="88">
        <f>SUMIF(月間集計シート!$M$71:$M$90,$G726,月間集計シート!S$71:S$90)*AC$2</f>
        <v>0</v>
      </c>
      <c r="AD726" s="88">
        <f>SUMIF(月間集計シート!$M$71:$M$90,$G726,月間集計シート!T$71:T$90)*AD$2</f>
        <v>0</v>
      </c>
      <c r="AE726" s="88">
        <f>SUMIF(月間集計シート!$M$92:$M$111,$G726,月間集計シート!N$92:N$111)*AE$2</f>
        <v>0</v>
      </c>
      <c r="AF726" s="88">
        <f>SUMIF(月間集計シート!$M$92:$M$111,$G726,月間集計シート!O$92:O$111)*AF$2</f>
        <v>0</v>
      </c>
      <c r="AG726" s="88">
        <f>SUMIF(月間集計シート!$M$92:$M$111,$G726,月間集計シート!P$92:P$111)*AG$2</f>
        <v>0</v>
      </c>
      <c r="AH726" s="88">
        <f>SUMIF(月間集計シート!$M$92:$M$111,$G726,月間集計シート!Q$92:Q$111)*AH$2</f>
        <v>0</v>
      </c>
      <c r="AI726" s="88">
        <f>SUMIF(月間集計シート!$M$92:$M$111,$G726,月間集計シート!R$92:R$111)*AI$2</f>
        <v>0</v>
      </c>
      <c r="AJ726" s="88">
        <f>SUMIF(月間集計シート!$M$92:$M$111,$G726,月間集計シート!S$92:S$111)*AJ$2</f>
        <v>0</v>
      </c>
      <c r="AK726" s="88">
        <f>SUMIF(月間集計シート!$M$92:$M$111,$G726,月間集計シート!T$92:T$111)*AK$2</f>
        <v>0</v>
      </c>
      <c r="AL726" s="88">
        <f>SUMIF(月間集計シート!$M$113:$M$132,$G726,月間集計シート!N$113:N$132)*AL$2</f>
        <v>0</v>
      </c>
      <c r="AM726" s="88">
        <f>SUMIF(月間集計シート!$M$113:$M$132,$G726,月間集計シート!O$113:O$132)*AM$2</f>
        <v>0</v>
      </c>
      <c r="AN726" s="88">
        <f>SUMIF(月間集計シート!$M$113:$M$132,$G726,月間集計シート!P$113:P$132)*AN$2</f>
        <v>0</v>
      </c>
      <c r="AO726" s="88">
        <f>SUMIF(月間集計シート!$M$113:$M$132,$G726,月間集計シート!Q$113:Q$132)*AO$2</f>
        <v>0</v>
      </c>
      <c r="AP726" s="88">
        <f>SUMIF(月間集計シート!$M$113:$M$132,$G726,月間集計シート!R$113:R$132)*AP$2</f>
        <v>0</v>
      </c>
      <c r="AQ726" s="88">
        <f>SUMIF(月間集計シート!$M$113:$M$132,$G726,月間集計シート!S$113:S$132)*AQ$2</f>
        <v>0</v>
      </c>
      <c r="AR726" s="88">
        <f>SUMIF(月間集計シート!$M$113:$M$132,$G726,月間集計シート!T$113:T$132)*AR$2</f>
        <v>0</v>
      </c>
      <c r="AS726" s="88">
        <f>SUMIF(月間集計シート!$M$134:$M$153,$G726,月間集計シート!N$134:N$153)*AS$2</f>
        <v>0</v>
      </c>
      <c r="AT726" s="88">
        <f>SUMIF(月間集計シート!$M$134:$M$153,$G726,月間集計シート!O$134:O$153)*AT$2</f>
        <v>0</v>
      </c>
      <c r="AU726" s="88">
        <f>SUMIF(月間集計シート!$M$134:$M$153,$G726,月間集計シート!P$134:P$153)*AU$2</f>
        <v>0</v>
      </c>
      <c r="AV726" s="88">
        <f>SUMIF(月間集計シート!$M$134:$M$153,$G726,月間集計シート!Q$134:Q$153)*AV$2</f>
        <v>0</v>
      </c>
      <c r="AW726" s="88">
        <f>SUMIF(月間集計シート!$M$134:$M$153,$G726,月間集計シート!R$134:R$153)*AW$2</f>
        <v>0</v>
      </c>
      <c r="AX726" s="88">
        <f>SUMIF(月間集計シート!$M$134:$M$153,$G726,月間集計シート!S$134:S$153)*AX$2</f>
        <v>0</v>
      </c>
      <c r="AY726" s="88">
        <f>SUMIF(月間集計シート!$M$134:$M$153,$G726,月間集計シート!T$134:T$153)*AY$2</f>
        <v>0</v>
      </c>
    </row>
    <row r="727" spans="1:51" ht="14.25" thickBot="1">
      <c r="A727">
        <v>9</v>
      </c>
      <c r="B727" s="120">
        <f t="shared" si="358"/>
        <v>0</v>
      </c>
      <c r="C727" s="120" t="str">
        <f t="shared" si="359"/>
        <v/>
      </c>
      <c r="D727" s="137"/>
      <c r="E727" s="150" t="str">
        <f>工種!A39</f>
        <v>50105</v>
      </c>
      <c r="F727" s="119" t="str">
        <f>工種!B39</f>
        <v>ﾏﾆｭｱﾙ作成：打合せ</v>
      </c>
      <c r="G727" s="116" t="str">
        <f t="shared" si="360"/>
        <v>050105</v>
      </c>
      <c r="H727" s="88">
        <f t="shared" si="314"/>
        <v>0</v>
      </c>
      <c r="I727" s="132"/>
      <c r="J727" s="88">
        <f>SUMIF(月間集計シート!$M$29:$M$48,$G727,月間集計シート!N$29:N$48)*J$2</f>
        <v>0</v>
      </c>
      <c r="K727" s="88">
        <f>SUMIF(月間集計シート!$M$29:$M$48,$G727,月間集計シート!O$29:O$48)*K$2</f>
        <v>0</v>
      </c>
      <c r="L727" s="88">
        <f>SUMIF(月間集計シート!$M$29:$M$48,$G727,月間集計シート!P$29:P$48)*L$2</f>
        <v>0</v>
      </c>
      <c r="M727" s="88">
        <f>SUMIF(月間集計シート!$M$29:$M$48,$G727,月間集計シート!Q$29:Q$48)*M$2</f>
        <v>0</v>
      </c>
      <c r="N727" s="88">
        <f>SUMIF(月間集計シート!$M$29:$M$48,$G727,月間集計シート!R$29:R$48)*N$2</f>
        <v>0</v>
      </c>
      <c r="O727" s="88">
        <f>SUMIF(月間集計シート!$M$29:$M$48,$G727,月間集計シート!S$29:S$48)*O$2</f>
        <v>0</v>
      </c>
      <c r="P727" s="88">
        <f>SUMIF(月間集計シート!$M$29:$M$48,$G727,月間集計シート!T$29:T$48)*P$2</f>
        <v>0</v>
      </c>
      <c r="Q727" s="88">
        <f>SUMIF(月間集計シート!$M$50:$M$69,$G727,月間集計シート!N$50:N$69)*Q$2</f>
        <v>0</v>
      </c>
      <c r="R727" s="88">
        <f>SUMIF(月間集計シート!$M$50:$M$69,$G727,月間集計シート!O$50:O$69)*R$2</f>
        <v>0</v>
      </c>
      <c r="S727" s="88">
        <f>SUMIF(月間集計シート!$M$50:$M$69,$G727,月間集計シート!P$50:P$69)*S$2</f>
        <v>0</v>
      </c>
      <c r="T727" s="88">
        <f>SUMIF(月間集計シート!$M$50:$M$69,$G727,月間集計シート!Q$50:Q$69)*T$2</f>
        <v>0</v>
      </c>
      <c r="U727" s="88">
        <f>SUMIF(月間集計シート!$M$50:$M$69,$G727,月間集計シート!R$50:R$69)*U$2</f>
        <v>0</v>
      </c>
      <c r="V727" s="88">
        <f>SUMIF(月間集計シート!$M$50:$M$69,$G727,月間集計シート!S$50:S$69)*V$2</f>
        <v>0</v>
      </c>
      <c r="W727" s="88">
        <f>SUMIF(月間集計シート!$M$50:$M$69,$G727,月間集計シート!T$50:T$69)*W$2</f>
        <v>0</v>
      </c>
      <c r="X727" s="88">
        <f>SUMIF(月間集計シート!$M$71:$M$90,$G727,月間集計シート!N$71:N$90)*X$2</f>
        <v>0</v>
      </c>
      <c r="Y727" s="88">
        <f>SUMIF(月間集計シート!$M$71:$M$90,$G727,月間集計シート!O$71:O$90)*Y$2</f>
        <v>0</v>
      </c>
      <c r="Z727" s="88">
        <f>SUMIF(月間集計シート!$M$71:$M$90,$G727,月間集計シート!P$71:P$90)*Z$2</f>
        <v>0</v>
      </c>
      <c r="AA727" s="88">
        <f>SUMIF(月間集計シート!$M$71:$M$90,$G727,月間集計シート!Q$71:Q$90)*AA$2</f>
        <v>0</v>
      </c>
      <c r="AB727" s="88">
        <f>SUMIF(月間集計シート!$M$71:$M$90,$G727,月間集計シート!R$71:R$90)*AB$2</f>
        <v>0</v>
      </c>
      <c r="AC727" s="88">
        <f>SUMIF(月間集計シート!$M$71:$M$90,$G727,月間集計シート!S$71:S$90)*AC$2</f>
        <v>0</v>
      </c>
      <c r="AD727" s="88">
        <f>SUMIF(月間集計シート!$M$71:$M$90,$G727,月間集計シート!T$71:T$90)*AD$2</f>
        <v>0</v>
      </c>
      <c r="AE727" s="88">
        <f>SUMIF(月間集計シート!$M$92:$M$111,$G727,月間集計シート!N$92:N$111)*AE$2</f>
        <v>0</v>
      </c>
      <c r="AF727" s="88">
        <f>SUMIF(月間集計シート!$M$92:$M$111,$G727,月間集計シート!O$92:O$111)*AF$2</f>
        <v>0</v>
      </c>
      <c r="AG727" s="88">
        <f>SUMIF(月間集計シート!$M$92:$M$111,$G727,月間集計シート!P$92:P$111)*AG$2</f>
        <v>0</v>
      </c>
      <c r="AH727" s="88">
        <f>SUMIF(月間集計シート!$M$92:$M$111,$G727,月間集計シート!Q$92:Q$111)*AH$2</f>
        <v>0</v>
      </c>
      <c r="AI727" s="88">
        <f>SUMIF(月間集計シート!$M$92:$M$111,$G727,月間集計シート!R$92:R$111)*AI$2</f>
        <v>0</v>
      </c>
      <c r="AJ727" s="88">
        <f>SUMIF(月間集計シート!$M$92:$M$111,$G727,月間集計シート!S$92:S$111)*AJ$2</f>
        <v>0</v>
      </c>
      <c r="AK727" s="88">
        <f>SUMIF(月間集計シート!$M$92:$M$111,$G727,月間集計シート!T$92:T$111)*AK$2</f>
        <v>0</v>
      </c>
      <c r="AL727" s="88">
        <f>SUMIF(月間集計シート!$M$113:$M$132,$G727,月間集計シート!N$113:N$132)*AL$2</f>
        <v>0</v>
      </c>
      <c r="AM727" s="88">
        <f>SUMIF(月間集計シート!$M$113:$M$132,$G727,月間集計シート!O$113:O$132)*AM$2</f>
        <v>0</v>
      </c>
      <c r="AN727" s="88">
        <f>SUMIF(月間集計シート!$M$113:$M$132,$G727,月間集計シート!P$113:P$132)*AN$2</f>
        <v>0</v>
      </c>
      <c r="AO727" s="88">
        <f>SUMIF(月間集計シート!$M$113:$M$132,$G727,月間集計シート!Q$113:Q$132)*AO$2</f>
        <v>0</v>
      </c>
      <c r="AP727" s="88">
        <f>SUMIF(月間集計シート!$M$113:$M$132,$G727,月間集計シート!R$113:R$132)*AP$2</f>
        <v>0</v>
      </c>
      <c r="AQ727" s="88">
        <f>SUMIF(月間集計シート!$M$113:$M$132,$G727,月間集計シート!S$113:S$132)*AQ$2</f>
        <v>0</v>
      </c>
      <c r="AR727" s="88">
        <f>SUMIF(月間集計シート!$M$113:$M$132,$G727,月間集計シート!T$113:T$132)*AR$2</f>
        <v>0</v>
      </c>
      <c r="AS727" s="88">
        <f>SUMIF(月間集計シート!$M$134:$M$153,$G727,月間集計シート!N$134:N$153)*AS$2</f>
        <v>0</v>
      </c>
      <c r="AT727" s="88">
        <f>SUMIF(月間集計シート!$M$134:$M$153,$G727,月間集計シート!O$134:O$153)*AT$2</f>
        <v>0</v>
      </c>
      <c r="AU727" s="88">
        <f>SUMIF(月間集計シート!$M$134:$M$153,$G727,月間集計シート!P$134:P$153)*AU$2</f>
        <v>0</v>
      </c>
      <c r="AV727" s="88">
        <f>SUMIF(月間集計シート!$M$134:$M$153,$G727,月間集計シート!Q$134:Q$153)*AV$2</f>
        <v>0</v>
      </c>
      <c r="AW727" s="88">
        <f>SUMIF(月間集計シート!$M$134:$M$153,$G727,月間集計シート!R$134:R$153)*AW$2</f>
        <v>0</v>
      </c>
      <c r="AX727" s="88">
        <f>SUMIF(月間集計シート!$M$134:$M$153,$G727,月間集計シート!S$134:S$153)*AX$2</f>
        <v>0</v>
      </c>
      <c r="AY727" s="88">
        <f>SUMIF(月間集計シート!$M$134:$M$153,$G727,月間集計シート!T$134:T$153)*AY$2</f>
        <v>0</v>
      </c>
    </row>
    <row r="728" spans="1:51" ht="14.25" thickBot="1">
      <c r="A728">
        <v>9</v>
      </c>
      <c r="B728" s="120">
        <f t="shared" si="358"/>
        <v>0</v>
      </c>
      <c r="C728" s="120" t="str">
        <f t="shared" si="359"/>
        <v/>
      </c>
      <c r="D728" s="137"/>
      <c r="E728" s="150" t="str">
        <f>工種!A40</f>
        <v>50106</v>
      </c>
      <c r="F728" s="119" t="str">
        <f>工種!B40</f>
        <v>ﾏﾆｭｱﾙ作成：ﾚﾋﾞｭｰ</v>
      </c>
      <c r="G728" s="116" t="str">
        <f t="shared" si="360"/>
        <v>050106</v>
      </c>
      <c r="H728" s="88">
        <f t="shared" si="314"/>
        <v>0</v>
      </c>
      <c r="I728" s="132"/>
      <c r="J728" s="88">
        <f>SUMIF(月間集計シート!$M$29:$M$48,$G728,月間集計シート!N$29:N$48)*J$2</f>
        <v>0</v>
      </c>
      <c r="K728" s="88">
        <f>SUMIF(月間集計シート!$M$29:$M$48,$G728,月間集計シート!O$29:O$48)*K$2</f>
        <v>0</v>
      </c>
      <c r="L728" s="88">
        <f>SUMIF(月間集計シート!$M$29:$M$48,$G728,月間集計シート!P$29:P$48)*L$2</f>
        <v>0</v>
      </c>
      <c r="M728" s="88">
        <f>SUMIF(月間集計シート!$M$29:$M$48,$G728,月間集計シート!Q$29:Q$48)*M$2</f>
        <v>0</v>
      </c>
      <c r="N728" s="88">
        <f>SUMIF(月間集計シート!$M$29:$M$48,$G728,月間集計シート!R$29:R$48)*N$2</f>
        <v>0</v>
      </c>
      <c r="O728" s="88">
        <f>SUMIF(月間集計シート!$M$29:$M$48,$G728,月間集計シート!S$29:S$48)*O$2</f>
        <v>0</v>
      </c>
      <c r="P728" s="88">
        <f>SUMIF(月間集計シート!$M$29:$M$48,$G728,月間集計シート!T$29:T$48)*P$2</f>
        <v>0</v>
      </c>
      <c r="Q728" s="88">
        <f>SUMIF(月間集計シート!$M$50:$M$69,$G728,月間集計シート!N$50:N$69)*Q$2</f>
        <v>0</v>
      </c>
      <c r="R728" s="88">
        <f>SUMIF(月間集計シート!$M$50:$M$69,$G728,月間集計シート!O$50:O$69)*R$2</f>
        <v>0</v>
      </c>
      <c r="S728" s="88">
        <f>SUMIF(月間集計シート!$M$50:$M$69,$G728,月間集計シート!P$50:P$69)*S$2</f>
        <v>0</v>
      </c>
      <c r="T728" s="88">
        <f>SUMIF(月間集計シート!$M$50:$M$69,$G728,月間集計シート!Q$50:Q$69)*T$2</f>
        <v>0</v>
      </c>
      <c r="U728" s="88">
        <f>SUMIF(月間集計シート!$M$50:$M$69,$G728,月間集計シート!R$50:R$69)*U$2</f>
        <v>0</v>
      </c>
      <c r="V728" s="88">
        <f>SUMIF(月間集計シート!$M$50:$M$69,$G728,月間集計シート!S$50:S$69)*V$2</f>
        <v>0</v>
      </c>
      <c r="W728" s="88">
        <f>SUMIF(月間集計シート!$M$50:$M$69,$G728,月間集計シート!T$50:T$69)*W$2</f>
        <v>0</v>
      </c>
      <c r="X728" s="88">
        <f>SUMIF(月間集計シート!$M$71:$M$90,$G728,月間集計シート!N$71:N$90)*X$2</f>
        <v>0</v>
      </c>
      <c r="Y728" s="88">
        <f>SUMIF(月間集計シート!$M$71:$M$90,$G728,月間集計シート!O$71:O$90)*Y$2</f>
        <v>0</v>
      </c>
      <c r="Z728" s="88">
        <f>SUMIF(月間集計シート!$M$71:$M$90,$G728,月間集計シート!P$71:P$90)*Z$2</f>
        <v>0</v>
      </c>
      <c r="AA728" s="88">
        <f>SUMIF(月間集計シート!$M$71:$M$90,$G728,月間集計シート!Q$71:Q$90)*AA$2</f>
        <v>0</v>
      </c>
      <c r="AB728" s="88">
        <f>SUMIF(月間集計シート!$M$71:$M$90,$G728,月間集計シート!R$71:R$90)*AB$2</f>
        <v>0</v>
      </c>
      <c r="AC728" s="88">
        <f>SUMIF(月間集計シート!$M$71:$M$90,$G728,月間集計シート!S$71:S$90)*AC$2</f>
        <v>0</v>
      </c>
      <c r="AD728" s="88">
        <f>SUMIF(月間集計シート!$M$71:$M$90,$G728,月間集計シート!T$71:T$90)*AD$2</f>
        <v>0</v>
      </c>
      <c r="AE728" s="88">
        <f>SUMIF(月間集計シート!$M$92:$M$111,$G728,月間集計シート!N$92:N$111)*AE$2</f>
        <v>0</v>
      </c>
      <c r="AF728" s="88">
        <f>SUMIF(月間集計シート!$M$92:$M$111,$G728,月間集計シート!O$92:O$111)*AF$2</f>
        <v>0</v>
      </c>
      <c r="AG728" s="88">
        <f>SUMIF(月間集計シート!$M$92:$M$111,$G728,月間集計シート!P$92:P$111)*AG$2</f>
        <v>0</v>
      </c>
      <c r="AH728" s="88">
        <f>SUMIF(月間集計シート!$M$92:$M$111,$G728,月間集計シート!Q$92:Q$111)*AH$2</f>
        <v>0</v>
      </c>
      <c r="AI728" s="88">
        <f>SUMIF(月間集計シート!$M$92:$M$111,$G728,月間集計シート!R$92:R$111)*AI$2</f>
        <v>0</v>
      </c>
      <c r="AJ728" s="88">
        <f>SUMIF(月間集計シート!$M$92:$M$111,$G728,月間集計シート!S$92:S$111)*AJ$2</f>
        <v>0</v>
      </c>
      <c r="AK728" s="88">
        <f>SUMIF(月間集計シート!$M$92:$M$111,$G728,月間集計シート!T$92:T$111)*AK$2</f>
        <v>0</v>
      </c>
      <c r="AL728" s="88">
        <f>SUMIF(月間集計シート!$M$113:$M$132,$G728,月間集計シート!N$113:N$132)*AL$2</f>
        <v>0</v>
      </c>
      <c r="AM728" s="88">
        <f>SUMIF(月間集計シート!$M$113:$M$132,$G728,月間集計シート!O$113:O$132)*AM$2</f>
        <v>0</v>
      </c>
      <c r="AN728" s="88">
        <f>SUMIF(月間集計シート!$M$113:$M$132,$G728,月間集計シート!P$113:P$132)*AN$2</f>
        <v>0</v>
      </c>
      <c r="AO728" s="88">
        <f>SUMIF(月間集計シート!$M$113:$M$132,$G728,月間集計シート!Q$113:Q$132)*AO$2</f>
        <v>0</v>
      </c>
      <c r="AP728" s="88">
        <f>SUMIF(月間集計シート!$M$113:$M$132,$G728,月間集計シート!R$113:R$132)*AP$2</f>
        <v>0</v>
      </c>
      <c r="AQ728" s="88">
        <f>SUMIF(月間集計シート!$M$113:$M$132,$G728,月間集計シート!S$113:S$132)*AQ$2</f>
        <v>0</v>
      </c>
      <c r="AR728" s="88">
        <f>SUMIF(月間集計シート!$M$113:$M$132,$G728,月間集計シート!T$113:T$132)*AR$2</f>
        <v>0</v>
      </c>
      <c r="AS728" s="88">
        <f>SUMIF(月間集計シート!$M$134:$M$153,$G728,月間集計シート!N$134:N$153)*AS$2</f>
        <v>0</v>
      </c>
      <c r="AT728" s="88">
        <f>SUMIF(月間集計シート!$M$134:$M$153,$G728,月間集計シート!O$134:O$153)*AT$2</f>
        <v>0</v>
      </c>
      <c r="AU728" s="88">
        <f>SUMIF(月間集計シート!$M$134:$M$153,$G728,月間集計シート!P$134:P$153)*AU$2</f>
        <v>0</v>
      </c>
      <c r="AV728" s="88">
        <f>SUMIF(月間集計シート!$M$134:$M$153,$G728,月間集計シート!Q$134:Q$153)*AV$2</f>
        <v>0</v>
      </c>
      <c r="AW728" s="88">
        <f>SUMIF(月間集計シート!$M$134:$M$153,$G728,月間集計シート!R$134:R$153)*AW$2</f>
        <v>0</v>
      </c>
      <c r="AX728" s="88">
        <f>SUMIF(月間集計シート!$M$134:$M$153,$G728,月間集計シート!S$134:S$153)*AX$2</f>
        <v>0</v>
      </c>
      <c r="AY728" s="88">
        <f>SUMIF(月間集計シート!$M$134:$M$153,$G728,月間集計シート!T$134:T$153)*AY$2</f>
        <v>0</v>
      </c>
    </row>
    <row r="729" spans="1:51" ht="14.25" thickBot="1">
      <c r="A729">
        <v>9</v>
      </c>
      <c r="B729" s="120">
        <f t="shared" si="358"/>
        <v>0</v>
      </c>
      <c r="C729" s="120" t="str">
        <f t="shared" si="359"/>
        <v/>
      </c>
      <c r="D729" s="137"/>
      <c r="E729" s="150" t="str">
        <f>工種!A41</f>
        <v>50199</v>
      </c>
      <c r="F729" s="119" t="str">
        <f>工種!B41</f>
        <v>ﾏﾆｭｱﾙ作成：その他</v>
      </c>
      <c r="G729" s="116" t="str">
        <f t="shared" si="360"/>
        <v>050199</v>
      </c>
      <c r="H729" s="88">
        <f t="shared" si="314"/>
        <v>0</v>
      </c>
      <c r="I729" s="132"/>
      <c r="J729" s="88">
        <f>SUMIF(月間集計シート!$M$29:$M$48,$G729,月間集計シート!N$29:N$48)*J$2</f>
        <v>0</v>
      </c>
      <c r="K729" s="88">
        <f>SUMIF(月間集計シート!$M$29:$M$48,$G729,月間集計シート!O$29:O$48)*K$2</f>
        <v>0</v>
      </c>
      <c r="L729" s="88">
        <f>SUMIF(月間集計シート!$M$29:$M$48,$G729,月間集計シート!P$29:P$48)*L$2</f>
        <v>0</v>
      </c>
      <c r="M729" s="88">
        <f>SUMIF(月間集計シート!$M$29:$M$48,$G729,月間集計シート!Q$29:Q$48)*M$2</f>
        <v>0</v>
      </c>
      <c r="N729" s="88">
        <f>SUMIF(月間集計シート!$M$29:$M$48,$G729,月間集計シート!R$29:R$48)*N$2</f>
        <v>0</v>
      </c>
      <c r="O729" s="88">
        <f>SUMIF(月間集計シート!$M$29:$M$48,$G729,月間集計シート!S$29:S$48)*O$2</f>
        <v>0</v>
      </c>
      <c r="P729" s="88">
        <f>SUMIF(月間集計シート!$M$29:$M$48,$G729,月間集計シート!T$29:T$48)*P$2</f>
        <v>0</v>
      </c>
      <c r="Q729" s="88">
        <f>SUMIF(月間集計シート!$M$50:$M$69,$G729,月間集計シート!N$50:N$69)*Q$2</f>
        <v>0</v>
      </c>
      <c r="R729" s="88">
        <f>SUMIF(月間集計シート!$M$50:$M$69,$G729,月間集計シート!O$50:O$69)*R$2</f>
        <v>0</v>
      </c>
      <c r="S729" s="88">
        <f>SUMIF(月間集計シート!$M$50:$M$69,$G729,月間集計シート!P$50:P$69)*S$2</f>
        <v>0</v>
      </c>
      <c r="T729" s="88">
        <f>SUMIF(月間集計シート!$M$50:$M$69,$G729,月間集計シート!Q$50:Q$69)*T$2</f>
        <v>0</v>
      </c>
      <c r="U729" s="88">
        <f>SUMIF(月間集計シート!$M$50:$M$69,$G729,月間集計シート!R$50:R$69)*U$2</f>
        <v>0</v>
      </c>
      <c r="V729" s="88">
        <f>SUMIF(月間集計シート!$M$50:$M$69,$G729,月間集計シート!S$50:S$69)*V$2</f>
        <v>0</v>
      </c>
      <c r="W729" s="88">
        <f>SUMIF(月間集計シート!$M$50:$M$69,$G729,月間集計シート!T$50:T$69)*W$2</f>
        <v>0</v>
      </c>
      <c r="X729" s="88">
        <f>SUMIF(月間集計シート!$M$71:$M$90,$G729,月間集計シート!N$71:N$90)*X$2</f>
        <v>0</v>
      </c>
      <c r="Y729" s="88">
        <f>SUMIF(月間集計シート!$M$71:$M$90,$G729,月間集計シート!O$71:O$90)*Y$2</f>
        <v>0</v>
      </c>
      <c r="Z729" s="88">
        <f>SUMIF(月間集計シート!$M$71:$M$90,$G729,月間集計シート!P$71:P$90)*Z$2</f>
        <v>0</v>
      </c>
      <c r="AA729" s="88">
        <f>SUMIF(月間集計シート!$M$71:$M$90,$G729,月間集計シート!Q$71:Q$90)*AA$2</f>
        <v>0</v>
      </c>
      <c r="AB729" s="88">
        <f>SUMIF(月間集計シート!$M$71:$M$90,$G729,月間集計シート!R$71:R$90)*AB$2</f>
        <v>0</v>
      </c>
      <c r="AC729" s="88">
        <f>SUMIF(月間集計シート!$M$71:$M$90,$G729,月間集計シート!S$71:S$90)*AC$2</f>
        <v>0</v>
      </c>
      <c r="AD729" s="88">
        <f>SUMIF(月間集計シート!$M$71:$M$90,$G729,月間集計シート!T$71:T$90)*AD$2</f>
        <v>0</v>
      </c>
      <c r="AE729" s="88">
        <f>SUMIF(月間集計シート!$M$92:$M$111,$G729,月間集計シート!N$92:N$111)*AE$2</f>
        <v>0</v>
      </c>
      <c r="AF729" s="88">
        <f>SUMIF(月間集計シート!$M$92:$M$111,$G729,月間集計シート!O$92:O$111)*AF$2</f>
        <v>0</v>
      </c>
      <c r="AG729" s="88">
        <f>SUMIF(月間集計シート!$M$92:$M$111,$G729,月間集計シート!P$92:P$111)*AG$2</f>
        <v>0</v>
      </c>
      <c r="AH729" s="88">
        <f>SUMIF(月間集計シート!$M$92:$M$111,$G729,月間集計シート!Q$92:Q$111)*AH$2</f>
        <v>0</v>
      </c>
      <c r="AI729" s="88">
        <f>SUMIF(月間集計シート!$M$92:$M$111,$G729,月間集計シート!R$92:R$111)*AI$2</f>
        <v>0</v>
      </c>
      <c r="AJ729" s="88">
        <f>SUMIF(月間集計シート!$M$92:$M$111,$G729,月間集計シート!S$92:S$111)*AJ$2</f>
        <v>0</v>
      </c>
      <c r="AK729" s="88">
        <f>SUMIF(月間集計シート!$M$92:$M$111,$G729,月間集計シート!T$92:T$111)*AK$2</f>
        <v>0</v>
      </c>
      <c r="AL729" s="88">
        <f>SUMIF(月間集計シート!$M$113:$M$132,$G729,月間集計シート!N$113:N$132)*AL$2</f>
        <v>0</v>
      </c>
      <c r="AM729" s="88">
        <f>SUMIF(月間集計シート!$M$113:$M$132,$G729,月間集計シート!O$113:O$132)*AM$2</f>
        <v>0</v>
      </c>
      <c r="AN729" s="88">
        <f>SUMIF(月間集計シート!$M$113:$M$132,$G729,月間集計シート!P$113:P$132)*AN$2</f>
        <v>0</v>
      </c>
      <c r="AO729" s="88">
        <f>SUMIF(月間集計シート!$M$113:$M$132,$G729,月間集計シート!Q$113:Q$132)*AO$2</f>
        <v>0</v>
      </c>
      <c r="AP729" s="88">
        <f>SUMIF(月間集計シート!$M$113:$M$132,$G729,月間集計シート!R$113:R$132)*AP$2</f>
        <v>0</v>
      </c>
      <c r="AQ729" s="88">
        <f>SUMIF(月間集計シート!$M$113:$M$132,$G729,月間集計シート!S$113:S$132)*AQ$2</f>
        <v>0</v>
      </c>
      <c r="AR729" s="88">
        <f>SUMIF(月間集計シート!$M$113:$M$132,$G729,月間集計シート!T$113:T$132)*AR$2</f>
        <v>0</v>
      </c>
      <c r="AS729" s="88">
        <f>SUMIF(月間集計シート!$M$134:$M$153,$G729,月間集計シート!N$134:N$153)*AS$2</f>
        <v>0</v>
      </c>
      <c r="AT729" s="88">
        <f>SUMIF(月間集計シート!$M$134:$M$153,$G729,月間集計シート!O$134:O$153)*AT$2</f>
        <v>0</v>
      </c>
      <c r="AU729" s="88">
        <f>SUMIF(月間集計シート!$M$134:$M$153,$G729,月間集計シート!P$134:P$153)*AU$2</f>
        <v>0</v>
      </c>
      <c r="AV729" s="88">
        <f>SUMIF(月間集計シート!$M$134:$M$153,$G729,月間集計シート!Q$134:Q$153)*AV$2</f>
        <v>0</v>
      </c>
      <c r="AW729" s="88">
        <f>SUMIF(月間集計シート!$M$134:$M$153,$G729,月間集計シート!R$134:R$153)*AW$2</f>
        <v>0</v>
      </c>
      <c r="AX729" s="88">
        <f>SUMIF(月間集計シート!$M$134:$M$153,$G729,月間集計シート!S$134:S$153)*AX$2</f>
        <v>0</v>
      </c>
      <c r="AY729" s="88">
        <f>SUMIF(月間集計シート!$M$134:$M$153,$G729,月間集計シート!T$134:T$153)*AY$2</f>
        <v>0</v>
      </c>
    </row>
    <row r="730" spans="1:51" ht="14.25" thickBot="1">
      <c r="A730">
        <v>9</v>
      </c>
      <c r="B730" s="120">
        <f t="shared" si="358"/>
        <v>0</v>
      </c>
      <c r="C730" s="120" t="str">
        <f t="shared" si="359"/>
        <v/>
      </c>
      <c r="D730" s="137"/>
      <c r="E730" s="150" t="str">
        <f>工種!A42</f>
        <v>60101</v>
      </c>
      <c r="F730" s="119" t="str">
        <f>工種!B42</f>
        <v>ﾘﾘｰｽ：ﾘﾘｰｽ・ﾃﾞﾘﾊﾞﾘ作業</v>
      </c>
      <c r="G730" s="116" t="str">
        <f t="shared" si="360"/>
        <v>060101</v>
      </c>
      <c r="H730" s="88">
        <f t="shared" si="314"/>
        <v>0</v>
      </c>
      <c r="I730" s="132"/>
      <c r="J730" s="88">
        <f>SUMIF(月間集計シート!$M$29:$M$48,$G730,月間集計シート!N$29:N$48)*J$2</f>
        <v>0</v>
      </c>
      <c r="K730" s="88">
        <f>SUMIF(月間集計シート!$M$29:$M$48,$G730,月間集計シート!O$29:O$48)*K$2</f>
        <v>0</v>
      </c>
      <c r="L730" s="88">
        <f>SUMIF(月間集計シート!$M$29:$M$48,$G730,月間集計シート!P$29:P$48)*L$2</f>
        <v>0</v>
      </c>
      <c r="M730" s="88">
        <f>SUMIF(月間集計シート!$M$29:$M$48,$G730,月間集計シート!Q$29:Q$48)*M$2</f>
        <v>0</v>
      </c>
      <c r="N730" s="88">
        <f>SUMIF(月間集計シート!$M$29:$M$48,$G730,月間集計シート!R$29:R$48)*N$2</f>
        <v>0</v>
      </c>
      <c r="O730" s="88">
        <f>SUMIF(月間集計シート!$M$29:$M$48,$G730,月間集計シート!S$29:S$48)*O$2</f>
        <v>0</v>
      </c>
      <c r="P730" s="88">
        <f>SUMIF(月間集計シート!$M$29:$M$48,$G730,月間集計シート!T$29:T$48)*P$2</f>
        <v>0</v>
      </c>
      <c r="Q730" s="88">
        <f>SUMIF(月間集計シート!$M$50:$M$69,$G730,月間集計シート!N$50:N$69)*Q$2</f>
        <v>0</v>
      </c>
      <c r="R730" s="88">
        <f>SUMIF(月間集計シート!$M$50:$M$69,$G730,月間集計シート!O$50:O$69)*R$2</f>
        <v>0</v>
      </c>
      <c r="S730" s="88">
        <f>SUMIF(月間集計シート!$M$50:$M$69,$G730,月間集計シート!P$50:P$69)*S$2</f>
        <v>0</v>
      </c>
      <c r="T730" s="88">
        <f>SUMIF(月間集計シート!$M$50:$M$69,$G730,月間集計シート!Q$50:Q$69)*T$2</f>
        <v>0</v>
      </c>
      <c r="U730" s="88">
        <f>SUMIF(月間集計シート!$M$50:$M$69,$G730,月間集計シート!R$50:R$69)*U$2</f>
        <v>0</v>
      </c>
      <c r="V730" s="88">
        <f>SUMIF(月間集計シート!$M$50:$M$69,$G730,月間集計シート!S$50:S$69)*V$2</f>
        <v>0</v>
      </c>
      <c r="W730" s="88">
        <f>SUMIF(月間集計シート!$M$50:$M$69,$G730,月間集計シート!T$50:T$69)*W$2</f>
        <v>0</v>
      </c>
      <c r="X730" s="88">
        <f>SUMIF(月間集計シート!$M$71:$M$90,$G730,月間集計シート!N$71:N$90)*X$2</f>
        <v>0</v>
      </c>
      <c r="Y730" s="88">
        <f>SUMIF(月間集計シート!$M$71:$M$90,$G730,月間集計シート!O$71:O$90)*Y$2</f>
        <v>0</v>
      </c>
      <c r="Z730" s="88">
        <f>SUMIF(月間集計シート!$M$71:$M$90,$G730,月間集計シート!P$71:P$90)*Z$2</f>
        <v>0</v>
      </c>
      <c r="AA730" s="88">
        <f>SUMIF(月間集計シート!$M$71:$M$90,$G730,月間集計シート!Q$71:Q$90)*AA$2</f>
        <v>0</v>
      </c>
      <c r="AB730" s="88">
        <f>SUMIF(月間集計シート!$M$71:$M$90,$G730,月間集計シート!R$71:R$90)*AB$2</f>
        <v>0</v>
      </c>
      <c r="AC730" s="88">
        <f>SUMIF(月間集計シート!$M$71:$M$90,$G730,月間集計シート!S$71:S$90)*AC$2</f>
        <v>0</v>
      </c>
      <c r="AD730" s="88">
        <f>SUMIF(月間集計シート!$M$71:$M$90,$G730,月間集計シート!T$71:T$90)*AD$2</f>
        <v>0</v>
      </c>
      <c r="AE730" s="88">
        <f>SUMIF(月間集計シート!$M$92:$M$111,$G730,月間集計シート!N$92:N$111)*AE$2</f>
        <v>0</v>
      </c>
      <c r="AF730" s="88">
        <f>SUMIF(月間集計シート!$M$92:$M$111,$G730,月間集計シート!O$92:O$111)*AF$2</f>
        <v>0</v>
      </c>
      <c r="AG730" s="88">
        <f>SUMIF(月間集計シート!$M$92:$M$111,$G730,月間集計シート!P$92:P$111)*AG$2</f>
        <v>0</v>
      </c>
      <c r="AH730" s="88">
        <f>SUMIF(月間集計シート!$M$92:$M$111,$G730,月間集計シート!Q$92:Q$111)*AH$2</f>
        <v>0</v>
      </c>
      <c r="AI730" s="88">
        <f>SUMIF(月間集計シート!$M$92:$M$111,$G730,月間集計シート!R$92:R$111)*AI$2</f>
        <v>0</v>
      </c>
      <c r="AJ730" s="88">
        <f>SUMIF(月間集計シート!$M$92:$M$111,$G730,月間集計シート!S$92:S$111)*AJ$2</f>
        <v>0</v>
      </c>
      <c r="AK730" s="88">
        <f>SUMIF(月間集計シート!$M$92:$M$111,$G730,月間集計シート!T$92:T$111)*AK$2</f>
        <v>0</v>
      </c>
      <c r="AL730" s="88">
        <f>SUMIF(月間集計シート!$M$113:$M$132,$G730,月間集計シート!N$113:N$132)*AL$2</f>
        <v>0</v>
      </c>
      <c r="AM730" s="88">
        <f>SUMIF(月間集計シート!$M$113:$M$132,$G730,月間集計シート!O$113:O$132)*AM$2</f>
        <v>0</v>
      </c>
      <c r="AN730" s="88">
        <f>SUMIF(月間集計シート!$M$113:$M$132,$G730,月間集計シート!P$113:P$132)*AN$2</f>
        <v>0</v>
      </c>
      <c r="AO730" s="88">
        <f>SUMIF(月間集計シート!$M$113:$M$132,$G730,月間集計シート!Q$113:Q$132)*AO$2</f>
        <v>0</v>
      </c>
      <c r="AP730" s="88">
        <f>SUMIF(月間集計シート!$M$113:$M$132,$G730,月間集計シート!R$113:R$132)*AP$2</f>
        <v>0</v>
      </c>
      <c r="AQ730" s="88">
        <f>SUMIF(月間集計シート!$M$113:$M$132,$G730,月間集計シート!S$113:S$132)*AQ$2</f>
        <v>0</v>
      </c>
      <c r="AR730" s="88">
        <f>SUMIF(月間集計シート!$M$113:$M$132,$G730,月間集計シート!T$113:T$132)*AR$2</f>
        <v>0</v>
      </c>
      <c r="AS730" s="88">
        <f>SUMIF(月間集計シート!$M$134:$M$153,$G730,月間集計シート!N$134:N$153)*AS$2</f>
        <v>0</v>
      </c>
      <c r="AT730" s="88">
        <f>SUMIF(月間集計シート!$M$134:$M$153,$G730,月間集計シート!O$134:O$153)*AT$2</f>
        <v>0</v>
      </c>
      <c r="AU730" s="88">
        <f>SUMIF(月間集計シート!$M$134:$M$153,$G730,月間集計シート!P$134:P$153)*AU$2</f>
        <v>0</v>
      </c>
      <c r="AV730" s="88">
        <f>SUMIF(月間集計シート!$M$134:$M$153,$G730,月間集計シート!Q$134:Q$153)*AV$2</f>
        <v>0</v>
      </c>
      <c r="AW730" s="88">
        <f>SUMIF(月間集計シート!$M$134:$M$153,$G730,月間集計シート!R$134:R$153)*AW$2</f>
        <v>0</v>
      </c>
      <c r="AX730" s="88">
        <f>SUMIF(月間集計シート!$M$134:$M$153,$G730,月間集計シート!S$134:S$153)*AX$2</f>
        <v>0</v>
      </c>
      <c r="AY730" s="88">
        <f>SUMIF(月間集計シート!$M$134:$M$153,$G730,月間集計シート!T$134:T$153)*AY$2</f>
        <v>0</v>
      </c>
    </row>
    <row r="731" spans="1:51" ht="14.25" thickBot="1">
      <c r="A731">
        <v>9</v>
      </c>
      <c r="B731" s="120">
        <f t="shared" si="358"/>
        <v>0</v>
      </c>
      <c r="C731" s="120" t="str">
        <f t="shared" si="359"/>
        <v/>
      </c>
      <c r="D731" s="137"/>
      <c r="E731" s="150" t="str">
        <f>工種!A43</f>
        <v>60102</v>
      </c>
      <c r="F731" s="119" t="str">
        <f>工種!B43</f>
        <v>ﾘﾘｰｽ：ﾘﾘｰｽ関連業務</v>
      </c>
      <c r="G731" s="116" t="str">
        <f t="shared" si="360"/>
        <v>060102</v>
      </c>
      <c r="H731" s="88">
        <f t="shared" si="314"/>
        <v>0</v>
      </c>
      <c r="I731" s="132"/>
      <c r="J731" s="88">
        <f>SUMIF(月間集計シート!$M$29:$M$48,$G731,月間集計シート!N$29:N$48)*J$2</f>
        <v>0</v>
      </c>
      <c r="K731" s="88">
        <f>SUMIF(月間集計シート!$M$29:$M$48,$G731,月間集計シート!O$29:O$48)*K$2</f>
        <v>0</v>
      </c>
      <c r="L731" s="88">
        <f>SUMIF(月間集計シート!$M$29:$M$48,$G731,月間集計シート!P$29:P$48)*L$2</f>
        <v>0</v>
      </c>
      <c r="M731" s="88">
        <f>SUMIF(月間集計シート!$M$29:$M$48,$G731,月間集計シート!Q$29:Q$48)*M$2</f>
        <v>0</v>
      </c>
      <c r="N731" s="88">
        <f>SUMIF(月間集計シート!$M$29:$M$48,$G731,月間集計シート!R$29:R$48)*N$2</f>
        <v>0</v>
      </c>
      <c r="O731" s="88">
        <f>SUMIF(月間集計シート!$M$29:$M$48,$G731,月間集計シート!S$29:S$48)*O$2</f>
        <v>0</v>
      </c>
      <c r="P731" s="88">
        <f>SUMIF(月間集計シート!$M$29:$M$48,$G731,月間集計シート!T$29:T$48)*P$2</f>
        <v>0</v>
      </c>
      <c r="Q731" s="88">
        <f>SUMIF(月間集計シート!$M$50:$M$69,$G731,月間集計シート!N$50:N$69)*Q$2</f>
        <v>0</v>
      </c>
      <c r="R731" s="88">
        <f>SUMIF(月間集計シート!$M$50:$M$69,$G731,月間集計シート!O$50:O$69)*R$2</f>
        <v>0</v>
      </c>
      <c r="S731" s="88">
        <f>SUMIF(月間集計シート!$M$50:$M$69,$G731,月間集計シート!P$50:P$69)*S$2</f>
        <v>0</v>
      </c>
      <c r="T731" s="88">
        <f>SUMIF(月間集計シート!$M$50:$M$69,$G731,月間集計シート!Q$50:Q$69)*T$2</f>
        <v>0</v>
      </c>
      <c r="U731" s="88">
        <f>SUMIF(月間集計シート!$M$50:$M$69,$G731,月間集計シート!R$50:R$69)*U$2</f>
        <v>0</v>
      </c>
      <c r="V731" s="88">
        <f>SUMIF(月間集計シート!$M$50:$M$69,$G731,月間集計シート!S$50:S$69)*V$2</f>
        <v>0</v>
      </c>
      <c r="W731" s="88">
        <f>SUMIF(月間集計シート!$M$50:$M$69,$G731,月間集計シート!T$50:T$69)*W$2</f>
        <v>0</v>
      </c>
      <c r="X731" s="88">
        <f>SUMIF(月間集計シート!$M$71:$M$90,$G731,月間集計シート!N$71:N$90)*X$2</f>
        <v>0</v>
      </c>
      <c r="Y731" s="88">
        <f>SUMIF(月間集計シート!$M$71:$M$90,$G731,月間集計シート!O$71:O$90)*Y$2</f>
        <v>0</v>
      </c>
      <c r="Z731" s="88">
        <f>SUMIF(月間集計シート!$M$71:$M$90,$G731,月間集計シート!P$71:P$90)*Z$2</f>
        <v>0</v>
      </c>
      <c r="AA731" s="88">
        <f>SUMIF(月間集計シート!$M$71:$M$90,$G731,月間集計シート!Q$71:Q$90)*AA$2</f>
        <v>0</v>
      </c>
      <c r="AB731" s="88">
        <f>SUMIF(月間集計シート!$M$71:$M$90,$G731,月間集計シート!R$71:R$90)*AB$2</f>
        <v>0</v>
      </c>
      <c r="AC731" s="88">
        <f>SUMIF(月間集計シート!$M$71:$M$90,$G731,月間集計シート!S$71:S$90)*AC$2</f>
        <v>0</v>
      </c>
      <c r="AD731" s="88">
        <f>SUMIF(月間集計シート!$M$71:$M$90,$G731,月間集計シート!T$71:T$90)*AD$2</f>
        <v>0</v>
      </c>
      <c r="AE731" s="88">
        <f>SUMIF(月間集計シート!$M$92:$M$111,$G731,月間集計シート!N$92:N$111)*AE$2</f>
        <v>0</v>
      </c>
      <c r="AF731" s="88">
        <f>SUMIF(月間集計シート!$M$92:$M$111,$G731,月間集計シート!O$92:O$111)*AF$2</f>
        <v>0</v>
      </c>
      <c r="AG731" s="88">
        <f>SUMIF(月間集計シート!$M$92:$M$111,$G731,月間集計シート!P$92:P$111)*AG$2</f>
        <v>0</v>
      </c>
      <c r="AH731" s="88">
        <f>SUMIF(月間集計シート!$M$92:$M$111,$G731,月間集計シート!Q$92:Q$111)*AH$2</f>
        <v>0</v>
      </c>
      <c r="AI731" s="88">
        <f>SUMIF(月間集計シート!$M$92:$M$111,$G731,月間集計シート!R$92:R$111)*AI$2</f>
        <v>0</v>
      </c>
      <c r="AJ731" s="88">
        <f>SUMIF(月間集計シート!$M$92:$M$111,$G731,月間集計シート!S$92:S$111)*AJ$2</f>
        <v>0</v>
      </c>
      <c r="AK731" s="88">
        <f>SUMIF(月間集計シート!$M$92:$M$111,$G731,月間集計シート!T$92:T$111)*AK$2</f>
        <v>0</v>
      </c>
      <c r="AL731" s="88">
        <f>SUMIF(月間集計シート!$M$113:$M$132,$G731,月間集計シート!N$113:N$132)*AL$2</f>
        <v>0</v>
      </c>
      <c r="AM731" s="88">
        <f>SUMIF(月間集計シート!$M$113:$M$132,$G731,月間集計シート!O$113:O$132)*AM$2</f>
        <v>0</v>
      </c>
      <c r="AN731" s="88">
        <f>SUMIF(月間集計シート!$M$113:$M$132,$G731,月間集計シート!P$113:P$132)*AN$2</f>
        <v>0</v>
      </c>
      <c r="AO731" s="88">
        <f>SUMIF(月間集計シート!$M$113:$M$132,$G731,月間集計シート!Q$113:Q$132)*AO$2</f>
        <v>0</v>
      </c>
      <c r="AP731" s="88">
        <f>SUMIF(月間集計シート!$M$113:$M$132,$G731,月間集計シート!R$113:R$132)*AP$2</f>
        <v>0</v>
      </c>
      <c r="AQ731" s="88">
        <f>SUMIF(月間集計シート!$M$113:$M$132,$G731,月間集計シート!S$113:S$132)*AQ$2</f>
        <v>0</v>
      </c>
      <c r="AR731" s="88">
        <f>SUMIF(月間集計シート!$M$113:$M$132,$G731,月間集計シート!T$113:T$132)*AR$2</f>
        <v>0</v>
      </c>
      <c r="AS731" s="88">
        <f>SUMIF(月間集計シート!$M$134:$M$153,$G731,月間集計シート!N$134:N$153)*AS$2</f>
        <v>0</v>
      </c>
      <c r="AT731" s="88">
        <f>SUMIF(月間集計シート!$M$134:$M$153,$G731,月間集計シート!O$134:O$153)*AT$2</f>
        <v>0</v>
      </c>
      <c r="AU731" s="88">
        <f>SUMIF(月間集計シート!$M$134:$M$153,$G731,月間集計シート!P$134:P$153)*AU$2</f>
        <v>0</v>
      </c>
      <c r="AV731" s="88">
        <f>SUMIF(月間集計シート!$M$134:$M$153,$G731,月間集計シート!Q$134:Q$153)*AV$2</f>
        <v>0</v>
      </c>
      <c r="AW731" s="88">
        <f>SUMIF(月間集計シート!$M$134:$M$153,$G731,月間集計シート!R$134:R$153)*AW$2</f>
        <v>0</v>
      </c>
      <c r="AX731" s="88">
        <f>SUMIF(月間集計シート!$M$134:$M$153,$G731,月間集計シート!S$134:S$153)*AX$2</f>
        <v>0</v>
      </c>
      <c r="AY731" s="88">
        <f>SUMIF(月間集計シート!$M$134:$M$153,$G731,月間集計シート!T$134:T$153)*AY$2</f>
        <v>0</v>
      </c>
    </row>
    <row r="732" spans="1:51" ht="14.25" thickBot="1">
      <c r="A732">
        <v>9</v>
      </c>
      <c r="B732" s="120">
        <f t="shared" si="358"/>
        <v>0</v>
      </c>
      <c r="C732" s="120" t="str">
        <f t="shared" si="359"/>
        <v/>
      </c>
      <c r="D732" s="137"/>
      <c r="E732" s="150" t="str">
        <f>工種!A44</f>
        <v>60103</v>
      </c>
      <c r="F732" s="119" t="str">
        <f>工種!B44</f>
        <v>ﾘﾘｰｽ：ﾏﾆｭｱﾙPDF作成・修正</v>
      </c>
      <c r="G732" s="116" t="str">
        <f t="shared" si="360"/>
        <v>060103</v>
      </c>
      <c r="H732" s="88">
        <f t="shared" si="314"/>
        <v>0</v>
      </c>
      <c r="I732" s="132"/>
      <c r="J732" s="88">
        <f>SUMIF(月間集計シート!$M$29:$M$48,$G732,月間集計シート!N$29:N$48)*J$2</f>
        <v>0</v>
      </c>
      <c r="K732" s="88">
        <f>SUMIF(月間集計シート!$M$29:$M$48,$G732,月間集計シート!O$29:O$48)*K$2</f>
        <v>0</v>
      </c>
      <c r="L732" s="88">
        <f>SUMIF(月間集計シート!$M$29:$M$48,$G732,月間集計シート!P$29:P$48)*L$2</f>
        <v>0</v>
      </c>
      <c r="M732" s="88">
        <f>SUMIF(月間集計シート!$M$29:$M$48,$G732,月間集計シート!Q$29:Q$48)*M$2</f>
        <v>0</v>
      </c>
      <c r="N732" s="88">
        <f>SUMIF(月間集計シート!$M$29:$M$48,$G732,月間集計シート!R$29:R$48)*N$2</f>
        <v>0</v>
      </c>
      <c r="O732" s="88">
        <f>SUMIF(月間集計シート!$M$29:$M$48,$G732,月間集計シート!S$29:S$48)*O$2</f>
        <v>0</v>
      </c>
      <c r="P732" s="88">
        <f>SUMIF(月間集計シート!$M$29:$M$48,$G732,月間集計シート!T$29:T$48)*P$2</f>
        <v>0</v>
      </c>
      <c r="Q732" s="88">
        <f>SUMIF(月間集計シート!$M$50:$M$69,$G732,月間集計シート!N$50:N$69)*Q$2</f>
        <v>0</v>
      </c>
      <c r="R732" s="88">
        <f>SUMIF(月間集計シート!$M$50:$M$69,$G732,月間集計シート!O$50:O$69)*R$2</f>
        <v>0</v>
      </c>
      <c r="S732" s="88">
        <f>SUMIF(月間集計シート!$M$50:$M$69,$G732,月間集計シート!P$50:P$69)*S$2</f>
        <v>0</v>
      </c>
      <c r="T732" s="88">
        <f>SUMIF(月間集計シート!$M$50:$M$69,$G732,月間集計シート!Q$50:Q$69)*T$2</f>
        <v>0</v>
      </c>
      <c r="U732" s="88">
        <f>SUMIF(月間集計シート!$M$50:$M$69,$G732,月間集計シート!R$50:R$69)*U$2</f>
        <v>0</v>
      </c>
      <c r="V732" s="88">
        <f>SUMIF(月間集計シート!$M$50:$M$69,$G732,月間集計シート!S$50:S$69)*V$2</f>
        <v>0</v>
      </c>
      <c r="W732" s="88">
        <f>SUMIF(月間集計シート!$M$50:$M$69,$G732,月間集計シート!T$50:T$69)*W$2</f>
        <v>0</v>
      </c>
      <c r="X732" s="88">
        <f>SUMIF(月間集計シート!$M$71:$M$90,$G732,月間集計シート!N$71:N$90)*X$2</f>
        <v>0</v>
      </c>
      <c r="Y732" s="88">
        <f>SUMIF(月間集計シート!$M$71:$M$90,$G732,月間集計シート!O$71:O$90)*Y$2</f>
        <v>0</v>
      </c>
      <c r="Z732" s="88">
        <f>SUMIF(月間集計シート!$M$71:$M$90,$G732,月間集計シート!P$71:P$90)*Z$2</f>
        <v>0</v>
      </c>
      <c r="AA732" s="88">
        <f>SUMIF(月間集計シート!$M$71:$M$90,$G732,月間集計シート!Q$71:Q$90)*AA$2</f>
        <v>0</v>
      </c>
      <c r="AB732" s="88">
        <f>SUMIF(月間集計シート!$M$71:$M$90,$G732,月間集計シート!R$71:R$90)*AB$2</f>
        <v>0</v>
      </c>
      <c r="AC732" s="88">
        <f>SUMIF(月間集計シート!$M$71:$M$90,$G732,月間集計シート!S$71:S$90)*AC$2</f>
        <v>0</v>
      </c>
      <c r="AD732" s="88">
        <f>SUMIF(月間集計シート!$M$71:$M$90,$G732,月間集計シート!T$71:T$90)*AD$2</f>
        <v>0</v>
      </c>
      <c r="AE732" s="88">
        <f>SUMIF(月間集計シート!$M$92:$M$111,$G732,月間集計シート!N$92:N$111)*AE$2</f>
        <v>0</v>
      </c>
      <c r="AF732" s="88">
        <f>SUMIF(月間集計シート!$M$92:$M$111,$G732,月間集計シート!O$92:O$111)*AF$2</f>
        <v>0</v>
      </c>
      <c r="AG732" s="88">
        <f>SUMIF(月間集計シート!$M$92:$M$111,$G732,月間集計シート!P$92:P$111)*AG$2</f>
        <v>0</v>
      </c>
      <c r="AH732" s="88">
        <f>SUMIF(月間集計シート!$M$92:$M$111,$G732,月間集計シート!Q$92:Q$111)*AH$2</f>
        <v>0</v>
      </c>
      <c r="AI732" s="88">
        <f>SUMIF(月間集計シート!$M$92:$M$111,$G732,月間集計シート!R$92:R$111)*AI$2</f>
        <v>0</v>
      </c>
      <c r="AJ732" s="88">
        <f>SUMIF(月間集計シート!$M$92:$M$111,$G732,月間集計シート!S$92:S$111)*AJ$2</f>
        <v>0</v>
      </c>
      <c r="AK732" s="88">
        <f>SUMIF(月間集計シート!$M$92:$M$111,$G732,月間集計シート!T$92:T$111)*AK$2</f>
        <v>0</v>
      </c>
      <c r="AL732" s="88">
        <f>SUMIF(月間集計シート!$M$113:$M$132,$G732,月間集計シート!N$113:N$132)*AL$2</f>
        <v>0</v>
      </c>
      <c r="AM732" s="88">
        <f>SUMIF(月間集計シート!$M$113:$M$132,$G732,月間集計シート!O$113:O$132)*AM$2</f>
        <v>0</v>
      </c>
      <c r="AN732" s="88">
        <f>SUMIF(月間集計シート!$M$113:$M$132,$G732,月間集計シート!P$113:P$132)*AN$2</f>
        <v>0</v>
      </c>
      <c r="AO732" s="88">
        <f>SUMIF(月間集計シート!$M$113:$M$132,$G732,月間集計シート!Q$113:Q$132)*AO$2</f>
        <v>0</v>
      </c>
      <c r="AP732" s="88">
        <f>SUMIF(月間集計シート!$M$113:$M$132,$G732,月間集計シート!R$113:R$132)*AP$2</f>
        <v>0</v>
      </c>
      <c r="AQ732" s="88">
        <f>SUMIF(月間集計シート!$M$113:$M$132,$G732,月間集計シート!S$113:S$132)*AQ$2</f>
        <v>0</v>
      </c>
      <c r="AR732" s="88">
        <f>SUMIF(月間集計シート!$M$113:$M$132,$G732,月間集計シート!T$113:T$132)*AR$2</f>
        <v>0</v>
      </c>
      <c r="AS732" s="88">
        <f>SUMIF(月間集計シート!$M$134:$M$153,$G732,月間集計シート!N$134:N$153)*AS$2</f>
        <v>0</v>
      </c>
      <c r="AT732" s="88">
        <f>SUMIF(月間集計シート!$M$134:$M$153,$G732,月間集計シート!O$134:O$153)*AT$2</f>
        <v>0</v>
      </c>
      <c r="AU732" s="88">
        <f>SUMIF(月間集計シート!$M$134:$M$153,$G732,月間集計シート!P$134:P$153)*AU$2</f>
        <v>0</v>
      </c>
      <c r="AV732" s="88">
        <f>SUMIF(月間集計シート!$M$134:$M$153,$G732,月間集計シート!Q$134:Q$153)*AV$2</f>
        <v>0</v>
      </c>
      <c r="AW732" s="88">
        <f>SUMIF(月間集計シート!$M$134:$M$153,$G732,月間集計シート!R$134:R$153)*AW$2</f>
        <v>0</v>
      </c>
      <c r="AX732" s="88">
        <f>SUMIF(月間集計シート!$M$134:$M$153,$G732,月間集計シート!S$134:S$153)*AX$2</f>
        <v>0</v>
      </c>
      <c r="AY732" s="88">
        <f>SUMIF(月間集計シート!$M$134:$M$153,$G732,月間集計シート!T$134:T$153)*AY$2</f>
        <v>0</v>
      </c>
    </row>
    <row r="733" spans="1:51" ht="14.25" thickBot="1">
      <c r="A733">
        <v>9</v>
      </c>
      <c r="B733" s="120">
        <f t="shared" si="358"/>
        <v>0</v>
      </c>
      <c r="C733" s="120" t="str">
        <f t="shared" si="359"/>
        <v/>
      </c>
      <c r="D733" s="137"/>
      <c r="E733" s="150" t="str">
        <f>工種!A45</f>
        <v>60104</v>
      </c>
      <c r="F733" s="119" t="str">
        <f>工種!B45</f>
        <v>ﾘﾘｰｽ：ﾍﾙﾌﾟ作成・修正</v>
      </c>
      <c r="G733" s="116" t="str">
        <f t="shared" si="360"/>
        <v>060104</v>
      </c>
      <c r="H733" s="88">
        <f t="shared" si="314"/>
        <v>0</v>
      </c>
      <c r="I733" s="132"/>
      <c r="J733" s="88">
        <f>SUMIF(月間集計シート!$M$29:$M$48,$G733,月間集計シート!N$29:N$48)*J$2</f>
        <v>0</v>
      </c>
      <c r="K733" s="88">
        <f>SUMIF(月間集計シート!$M$29:$M$48,$G733,月間集計シート!O$29:O$48)*K$2</f>
        <v>0</v>
      </c>
      <c r="L733" s="88">
        <f>SUMIF(月間集計シート!$M$29:$M$48,$G733,月間集計シート!P$29:P$48)*L$2</f>
        <v>0</v>
      </c>
      <c r="M733" s="88">
        <f>SUMIF(月間集計シート!$M$29:$M$48,$G733,月間集計シート!Q$29:Q$48)*M$2</f>
        <v>0</v>
      </c>
      <c r="N733" s="88">
        <f>SUMIF(月間集計シート!$M$29:$M$48,$G733,月間集計シート!R$29:R$48)*N$2</f>
        <v>0</v>
      </c>
      <c r="O733" s="88">
        <f>SUMIF(月間集計シート!$M$29:$M$48,$G733,月間集計シート!S$29:S$48)*O$2</f>
        <v>0</v>
      </c>
      <c r="P733" s="88">
        <f>SUMIF(月間集計シート!$M$29:$M$48,$G733,月間集計シート!T$29:T$48)*P$2</f>
        <v>0</v>
      </c>
      <c r="Q733" s="88">
        <f>SUMIF(月間集計シート!$M$50:$M$69,$G733,月間集計シート!N$50:N$69)*Q$2</f>
        <v>0</v>
      </c>
      <c r="R733" s="88">
        <f>SUMIF(月間集計シート!$M$50:$M$69,$G733,月間集計シート!O$50:O$69)*R$2</f>
        <v>0</v>
      </c>
      <c r="S733" s="88">
        <f>SUMIF(月間集計シート!$M$50:$M$69,$G733,月間集計シート!P$50:P$69)*S$2</f>
        <v>0</v>
      </c>
      <c r="T733" s="88">
        <f>SUMIF(月間集計シート!$M$50:$M$69,$G733,月間集計シート!Q$50:Q$69)*T$2</f>
        <v>0</v>
      </c>
      <c r="U733" s="88">
        <f>SUMIF(月間集計シート!$M$50:$M$69,$G733,月間集計シート!R$50:R$69)*U$2</f>
        <v>0</v>
      </c>
      <c r="V733" s="88">
        <f>SUMIF(月間集計シート!$M$50:$M$69,$G733,月間集計シート!S$50:S$69)*V$2</f>
        <v>0</v>
      </c>
      <c r="W733" s="88">
        <f>SUMIF(月間集計シート!$M$50:$M$69,$G733,月間集計シート!T$50:T$69)*W$2</f>
        <v>0</v>
      </c>
      <c r="X733" s="88">
        <f>SUMIF(月間集計シート!$M$71:$M$90,$G733,月間集計シート!N$71:N$90)*X$2</f>
        <v>0</v>
      </c>
      <c r="Y733" s="88">
        <f>SUMIF(月間集計シート!$M$71:$M$90,$G733,月間集計シート!O$71:O$90)*Y$2</f>
        <v>0</v>
      </c>
      <c r="Z733" s="88">
        <f>SUMIF(月間集計シート!$M$71:$M$90,$G733,月間集計シート!P$71:P$90)*Z$2</f>
        <v>0</v>
      </c>
      <c r="AA733" s="88">
        <f>SUMIF(月間集計シート!$M$71:$M$90,$G733,月間集計シート!Q$71:Q$90)*AA$2</f>
        <v>0</v>
      </c>
      <c r="AB733" s="88">
        <f>SUMIF(月間集計シート!$M$71:$M$90,$G733,月間集計シート!R$71:R$90)*AB$2</f>
        <v>0</v>
      </c>
      <c r="AC733" s="88">
        <f>SUMIF(月間集計シート!$M$71:$M$90,$G733,月間集計シート!S$71:S$90)*AC$2</f>
        <v>0</v>
      </c>
      <c r="AD733" s="88">
        <f>SUMIF(月間集計シート!$M$71:$M$90,$G733,月間集計シート!T$71:T$90)*AD$2</f>
        <v>0</v>
      </c>
      <c r="AE733" s="88">
        <f>SUMIF(月間集計シート!$M$92:$M$111,$G733,月間集計シート!N$92:N$111)*AE$2</f>
        <v>0</v>
      </c>
      <c r="AF733" s="88">
        <f>SUMIF(月間集計シート!$M$92:$M$111,$G733,月間集計シート!O$92:O$111)*AF$2</f>
        <v>0</v>
      </c>
      <c r="AG733" s="88">
        <f>SUMIF(月間集計シート!$M$92:$M$111,$G733,月間集計シート!P$92:P$111)*AG$2</f>
        <v>0</v>
      </c>
      <c r="AH733" s="88">
        <f>SUMIF(月間集計シート!$M$92:$M$111,$G733,月間集計シート!Q$92:Q$111)*AH$2</f>
        <v>0</v>
      </c>
      <c r="AI733" s="88">
        <f>SUMIF(月間集計シート!$M$92:$M$111,$G733,月間集計シート!R$92:R$111)*AI$2</f>
        <v>0</v>
      </c>
      <c r="AJ733" s="88">
        <f>SUMIF(月間集計シート!$M$92:$M$111,$G733,月間集計シート!S$92:S$111)*AJ$2</f>
        <v>0</v>
      </c>
      <c r="AK733" s="88">
        <f>SUMIF(月間集計シート!$M$92:$M$111,$G733,月間集計シート!T$92:T$111)*AK$2</f>
        <v>0</v>
      </c>
      <c r="AL733" s="88">
        <f>SUMIF(月間集計シート!$M$113:$M$132,$G733,月間集計シート!N$113:N$132)*AL$2</f>
        <v>0</v>
      </c>
      <c r="AM733" s="88">
        <f>SUMIF(月間集計シート!$M$113:$M$132,$G733,月間集計シート!O$113:O$132)*AM$2</f>
        <v>0</v>
      </c>
      <c r="AN733" s="88">
        <f>SUMIF(月間集計シート!$M$113:$M$132,$G733,月間集計シート!P$113:P$132)*AN$2</f>
        <v>0</v>
      </c>
      <c r="AO733" s="88">
        <f>SUMIF(月間集計シート!$M$113:$M$132,$G733,月間集計シート!Q$113:Q$132)*AO$2</f>
        <v>0</v>
      </c>
      <c r="AP733" s="88">
        <f>SUMIF(月間集計シート!$M$113:$M$132,$G733,月間集計シート!R$113:R$132)*AP$2</f>
        <v>0</v>
      </c>
      <c r="AQ733" s="88">
        <f>SUMIF(月間集計シート!$M$113:$M$132,$G733,月間集計シート!S$113:S$132)*AQ$2</f>
        <v>0</v>
      </c>
      <c r="AR733" s="88">
        <f>SUMIF(月間集計シート!$M$113:$M$132,$G733,月間集計シート!T$113:T$132)*AR$2</f>
        <v>0</v>
      </c>
      <c r="AS733" s="88">
        <f>SUMIF(月間集計シート!$M$134:$M$153,$G733,月間集計シート!N$134:N$153)*AS$2</f>
        <v>0</v>
      </c>
      <c r="AT733" s="88">
        <f>SUMIF(月間集計シート!$M$134:$M$153,$G733,月間集計シート!O$134:O$153)*AT$2</f>
        <v>0</v>
      </c>
      <c r="AU733" s="88">
        <f>SUMIF(月間集計シート!$M$134:$M$153,$G733,月間集計シート!P$134:P$153)*AU$2</f>
        <v>0</v>
      </c>
      <c r="AV733" s="88">
        <f>SUMIF(月間集計シート!$M$134:$M$153,$G733,月間集計シート!Q$134:Q$153)*AV$2</f>
        <v>0</v>
      </c>
      <c r="AW733" s="88">
        <f>SUMIF(月間集計シート!$M$134:$M$153,$G733,月間集計シート!R$134:R$153)*AW$2</f>
        <v>0</v>
      </c>
      <c r="AX733" s="88">
        <f>SUMIF(月間集計シート!$M$134:$M$153,$G733,月間集計シート!S$134:S$153)*AX$2</f>
        <v>0</v>
      </c>
      <c r="AY733" s="88">
        <f>SUMIF(月間集計シート!$M$134:$M$153,$G733,月間集計シート!T$134:T$153)*AY$2</f>
        <v>0</v>
      </c>
    </row>
    <row r="734" spans="1:51" ht="14.25" thickBot="1">
      <c r="A734">
        <v>9</v>
      </c>
      <c r="B734" s="120">
        <f t="shared" si="358"/>
        <v>0</v>
      </c>
      <c r="C734" s="120" t="str">
        <f t="shared" si="359"/>
        <v/>
      </c>
      <c r="D734" s="137"/>
      <c r="E734" s="150" t="str">
        <f>工種!A46</f>
        <v>60105</v>
      </c>
      <c r="F734" s="119" t="str">
        <f>工種!B46</f>
        <v>ﾘﾘｰｽ：締め作業</v>
      </c>
      <c r="G734" s="116" t="str">
        <f t="shared" si="360"/>
        <v>060105</v>
      </c>
      <c r="H734" s="88">
        <f t="shared" si="314"/>
        <v>0</v>
      </c>
      <c r="I734" s="132"/>
      <c r="J734" s="88">
        <f>SUMIF(月間集計シート!$M$29:$M$48,$G734,月間集計シート!N$29:N$48)*J$2</f>
        <v>0</v>
      </c>
      <c r="K734" s="88">
        <f>SUMIF(月間集計シート!$M$29:$M$48,$G734,月間集計シート!O$29:O$48)*K$2</f>
        <v>0</v>
      </c>
      <c r="L734" s="88">
        <f>SUMIF(月間集計シート!$M$29:$M$48,$G734,月間集計シート!P$29:P$48)*L$2</f>
        <v>0</v>
      </c>
      <c r="M734" s="88">
        <f>SUMIF(月間集計シート!$M$29:$M$48,$G734,月間集計シート!Q$29:Q$48)*M$2</f>
        <v>0</v>
      </c>
      <c r="N734" s="88">
        <f>SUMIF(月間集計シート!$M$29:$M$48,$G734,月間集計シート!R$29:R$48)*N$2</f>
        <v>0</v>
      </c>
      <c r="O734" s="88">
        <f>SUMIF(月間集計シート!$M$29:$M$48,$G734,月間集計シート!S$29:S$48)*O$2</f>
        <v>0</v>
      </c>
      <c r="P734" s="88">
        <f>SUMIF(月間集計シート!$M$29:$M$48,$G734,月間集計シート!T$29:T$48)*P$2</f>
        <v>0</v>
      </c>
      <c r="Q734" s="88">
        <f>SUMIF(月間集計シート!$M$50:$M$69,$G734,月間集計シート!N$50:N$69)*Q$2</f>
        <v>0</v>
      </c>
      <c r="R734" s="88">
        <f>SUMIF(月間集計シート!$M$50:$M$69,$G734,月間集計シート!O$50:O$69)*R$2</f>
        <v>0</v>
      </c>
      <c r="S734" s="88">
        <f>SUMIF(月間集計シート!$M$50:$M$69,$G734,月間集計シート!P$50:P$69)*S$2</f>
        <v>0</v>
      </c>
      <c r="T734" s="88">
        <f>SUMIF(月間集計シート!$M$50:$M$69,$G734,月間集計シート!Q$50:Q$69)*T$2</f>
        <v>0</v>
      </c>
      <c r="U734" s="88">
        <f>SUMIF(月間集計シート!$M$50:$M$69,$G734,月間集計シート!R$50:R$69)*U$2</f>
        <v>0</v>
      </c>
      <c r="V734" s="88">
        <f>SUMIF(月間集計シート!$M$50:$M$69,$G734,月間集計シート!S$50:S$69)*V$2</f>
        <v>0</v>
      </c>
      <c r="W734" s="88">
        <f>SUMIF(月間集計シート!$M$50:$M$69,$G734,月間集計シート!T$50:T$69)*W$2</f>
        <v>0</v>
      </c>
      <c r="X734" s="88">
        <f>SUMIF(月間集計シート!$M$71:$M$90,$G734,月間集計シート!N$71:N$90)*X$2</f>
        <v>0</v>
      </c>
      <c r="Y734" s="88">
        <f>SUMIF(月間集計シート!$M$71:$M$90,$G734,月間集計シート!O$71:O$90)*Y$2</f>
        <v>0</v>
      </c>
      <c r="Z734" s="88">
        <f>SUMIF(月間集計シート!$M$71:$M$90,$G734,月間集計シート!P$71:P$90)*Z$2</f>
        <v>0</v>
      </c>
      <c r="AA734" s="88">
        <f>SUMIF(月間集計シート!$M$71:$M$90,$G734,月間集計シート!Q$71:Q$90)*AA$2</f>
        <v>0</v>
      </c>
      <c r="AB734" s="88">
        <f>SUMIF(月間集計シート!$M$71:$M$90,$G734,月間集計シート!R$71:R$90)*AB$2</f>
        <v>0</v>
      </c>
      <c r="AC734" s="88">
        <f>SUMIF(月間集計シート!$M$71:$M$90,$G734,月間集計シート!S$71:S$90)*AC$2</f>
        <v>0</v>
      </c>
      <c r="AD734" s="88">
        <f>SUMIF(月間集計シート!$M$71:$M$90,$G734,月間集計シート!T$71:T$90)*AD$2</f>
        <v>0</v>
      </c>
      <c r="AE734" s="88">
        <f>SUMIF(月間集計シート!$M$92:$M$111,$G734,月間集計シート!N$92:N$111)*AE$2</f>
        <v>0</v>
      </c>
      <c r="AF734" s="88">
        <f>SUMIF(月間集計シート!$M$92:$M$111,$G734,月間集計シート!O$92:O$111)*AF$2</f>
        <v>0</v>
      </c>
      <c r="AG734" s="88">
        <f>SUMIF(月間集計シート!$M$92:$M$111,$G734,月間集計シート!P$92:P$111)*AG$2</f>
        <v>0</v>
      </c>
      <c r="AH734" s="88">
        <f>SUMIF(月間集計シート!$M$92:$M$111,$G734,月間集計シート!Q$92:Q$111)*AH$2</f>
        <v>0</v>
      </c>
      <c r="AI734" s="88">
        <f>SUMIF(月間集計シート!$M$92:$M$111,$G734,月間集計シート!R$92:R$111)*AI$2</f>
        <v>0</v>
      </c>
      <c r="AJ734" s="88">
        <f>SUMIF(月間集計シート!$M$92:$M$111,$G734,月間集計シート!S$92:S$111)*AJ$2</f>
        <v>0</v>
      </c>
      <c r="AK734" s="88">
        <f>SUMIF(月間集計シート!$M$92:$M$111,$G734,月間集計シート!T$92:T$111)*AK$2</f>
        <v>0</v>
      </c>
      <c r="AL734" s="88">
        <f>SUMIF(月間集計シート!$M$113:$M$132,$G734,月間集計シート!N$113:N$132)*AL$2</f>
        <v>0</v>
      </c>
      <c r="AM734" s="88">
        <f>SUMIF(月間集計シート!$M$113:$M$132,$G734,月間集計シート!O$113:O$132)*AM$2</f>
        <v>0</v>
      </c>
      <c r="AN734" s="88">
        <f>SUMIF(月間集計シート!$M$113:$M$132,$G734,月間集計シート!P$113:P$132)*AN$2</f>
        <v>0</v>
      </c>
      <c r="AO734" s="88">
        <f>SUMIF(月間集計シート!$M$113:$M$132,$G734,月間集計シート!Q$113:Q$132)*AO$2</f>
        <v>0</v>
      </c>
      <c r="AP734" s="88">
        <f>SUMIF(月間集計シート!$M$113:$M$132,$G734,月間集計シート!R$113:R$132)*AP$2</f>
        <v>0</v>
      </c>
      <c r="AQ734" s="88">
        <f>SUMIF(月間集計シート!$M$113:$M$132,$G734,月間集計シート!S$113:S$132)*AQ$2</f>
        <v>0</v>
      </c>
      <c r="AR734" s="88">
        <f>SUMIF(月間集計シート!$M$113:$M$132,$G734,月間集計シート!T$113:T$132)*AR$2</f>
        <v>0</v>
      </c>
      <c r="AS734" s="88">
        <f>SUMIF(月間集計シート!$M$134:$M$153,$G734,月間集計シート!N$134:N$153)*AS$2</f>
        <v>0</v>
      </c>
      <c r="AT734" s="88">
        <f>SUMIF(月間集計シート!$M$134:$M$153,$G734,月間集計シート!O$134:O$153)*AT$2</f>
        <v>0</v>
      </c>
      <c r="AU734" s="88">
        <f>SUMIF(月間集計シート!$M$134:$M$153,$G734,月間集計シート!P$134:P$153)*AU$2</f>
        <v>0</v>
      </c>
      <c r="AV734" s="88">
        <f>SUMIF(月間集計シート!$M$134:$M$153,$G734,月間集計シート!Q$134:Q$153)*AV$2</f>
        <v>0</v>
      </c>
      <c r="AW734" s="88">
        <f>SUMIF(月間集計シート!$M$134:$M$153,$G734,月間集計シート!R$134:R$153)*AW$2</f>
        <v>0</v>
      </c>
      <c r="AX734" s="88">
        <f>SUMIF(月間集計シート!$M$134:$M$153,$G734,月間集計シート!S$134:S$153)*AX$2</f>
        <v>0</v>
      </c>
      <c r="AY734" s="88">
        <f>SUMIF(月間集計シート!$M$134:$M$153,$G734,月間集計シート!T$134:T$153)*AY$2</f>
        <v>0</v>
      </c>
    </row>
    <row r="735" spans="1:51" ht="14.25" thickBot="1">
      <c r="A735">
        <v>9</v>
      </c>
      <c r="B735" s="120">
        <f t="shared" si="358"/>
        <v>0</v>
      </c>
      <c r="C735" s="120" t="str">
        <f t="shared" si="359"/>
        <v/>
      </c>
      <c r="D735" s="137"/>
      <c r="E735" s="150" t="str">
        <f>工種!A47</f>
        <v>60107</v>
      </c>
      <c r="F735" s="119" t="str">
        <f>工種!B47</f>
        <v>ﾘﾘｰｽ：打合せ</v>
      </c>
      <c r="G735" s="116" t="str">
        <f t="shared" si="360"/>
        <v>060107</v>
      </c>
      <c r="H735" s="88">
        <f t="shared" si="314"/>
        <v>0</v>
      </c>
      <c r="I735" s="132"/>
      <c r="J735" s="88">
        <f>SUMIF(月間集計シート!$M$29:$M$48,$G735,月間集計シート!N$29:N$48)*J$2</f>
        <v>0</v>
      </c>
      <c r="K735" s="88">
        <f>SUMIF(月間集計シート!$M$29:$M$48,$G735,月間集計シート!O$29:O$48)*K$2</f>
        <v>0</v>
      </c>
      <c r="L735" s="88">
        <f>SUMIF(月間集計シート!$M$29:$M$48,$G735,月間集計シート!P$29:P$48)*L$2</f>
        <v>0</v>
      </c>
      <c r="M735" s="88">
        <f>SUMIF(月間集計シート!$M$29:$M$48,$G735,月間集計シート!Q$29:Q$48)*M$2</f>
        <v>0</v>
      </c>
      <c r="N735" s="88">
        <f>SUMIF(月間集計シート!$M$29:$M$48,$G735,月間集計シート!R$29:R$48)*N$2</f>
        <v>0</v>
      </c>
      <c r="O735" s="88">
        <f>SUMIF(月間集計シート!$M$29:$M$48,$G735,月間集計シート!S$29:S$48)*O$2</f>
        <v>0</v>
      </c>
      <c r="P735" s="88">
        <f>SUMIF(月間集計シート!$M$29:$M$48,$G735,月間集計シート!T$29:T$48)*P$2</f>
        <v>0</v>
      </c>
      <c r="Q735" s="88">
        <f>SUMIF(月間集計シート!$M$50:$M$69,$G735,月間集計シート!N$50:N$69)*Q$2</f>
        <v>0</v>
      </c>
      <c r="R735" s="88">
        <f>SUMIF(月間集計シート!$M$50:$M$69,$G735,月間集計シート!O$50:O$69)*R$2</f>
        <v>0</v>
      </c>
      <c r="S735" s="88">
        <f>SUMIF(月間集計シート!$M$50:$M$69,$G735,月間集計シート!P$50:P$69)*S$2</f>
        <v>0</v>
      </c>
      <c r="T735" s="88">
        <f>SUMIF(月間集計シート!$M$50:$M$69,$G735,月間集計シート!Q$50:Q$69)*T$2</f>
        <v>0</v>
      </c>
      <c r="U735" s="88">
        <f>SUMIF(月間集計シート!$M$50:$M$69,$G735,月間集計シート!R$50:R$69)*U$2</f>
        <v>0</v>
      </c>
      <c r="V735" s="88">
        <f>SUMIF(月間集計シート!$M$50:$M$69,$G735,月間集計シート!S$50:S$69)*V$2</f>
        <v>0</v>
      </c>
      <c r="W735" s="88">
        <f>SUMIF(月間集計シート!$M$50:$M$69,$G735,月間集計シート!T$50:T$69)*W$2</f>
        <v>0</v>
      </c>
      <c r="X735" s="88">
        <f>SUMIF(月間集計シート!$M$71:$M$90,$G735,月間集計シート!N$71:N$90)*X$2</f>
        <v>0</v>
      </c>
      <c r="Y735" s="88">
        <f>SUMIF(月間集計シート!$M$71:$M$90,$G735,月間集計シート!O$71:O$90)*Y$2</f>
        <v>0</v>
      </c>
      <c r="Z735" s="88">
        <f>SUMIF(月間集計シート!$M$71:$M$90,$G735,月間集計シート!P$71:P$90)*Z$2</f>
        <v>0</v>
      </c>
      <c r="AA735" s="88">
        <f>SUMIF(月間集計シート!$M$71:$M$90,$G735,月間集計シート!Q$71:Q$90)*AA$2</f>
        <v>0</v>
      </c>
      <c r="AB735" s="88">
        <f>SUMIF(月間集計シート!$M$71:$M$90,$G735,月間集計シート!R$71:R$90)*AB$2</f>
        <v>0</v>
      </c>
      <c r="AC735" s="88">
        <f>SUMIF(月間集計シート!$M$71:$M$90,$G735,月間集計シート!S$71:S$90)*AC$2</f>
        <v>0</v>
      </c>
      <c r="AD735" s="88">
        <f>SUMIF(月間集計シート!$M$71:$M$90,$G735,月間集計シート!T$71:T$90)*AD$2</f>
        <v>0</v>
      </c>
      <c r="AE735" s="88">
        <f>SUMIF(月間集計シート!$M$92:$M$111,$G735,月間集計シート!N$92:N$111)*AE$2</f>
        <v>0</v>
      </c>
      <c r="AF735" s="88">
        <f>SUMIF(月間集計シート!$M$92:$M$111,$G735,月間集計シート!O$92:O$111)*AF$2</f>
        <v>0</v>
      </c>
      <c r="AG735" s="88">
        <f>SUMIF(月間集計シート!$M$92:$M$111,$G735,月間集計シート!P$92:P$111)*AG$2</f>
        <v>0</v>
      </c>
      <c r="AH735" s="88">
        <f>SUMIF(月間集計シート!$M$92:$M$111,$G735,月間集計シート!Q$92:Q$111)*AH$2</f>
        <v>0</v>
      </c>
      <c r="AI735" s="88">
        <f>SUMIF(月間集計シート!$M$92:$M$111,$G735,月間集計シート!R$92:R$111)*AI$2</f>
        <v>0</v>
      </c>
      <c r="AJ735" s="88">
        <f>SUMIF(月間集計シート!$M$92:$M$111,$G735,月間集計シート!S$92:S$111)*AJ$2</f>
        <v>0</v>
      </c>
      <c r="AK735" s="88">
        <f>SUMIF(月間集計シート!$M$92:$M$111,$G735,月間集計シート!T$92:T$111)*AK$2</f>
        <v>0</v>
      </c>
      <c r="AL735" s="88">
        <f>SUMIF(月間集計シート!$M$113:$M$132,$G735,月間集計シート!N$113:N$132)*AL$2</f>
        <v>0</v>
      </c>
      <c r="AM735" s="88">
        <f>SUMIF(月間集計シート!$M$113:$M$132,$G735,月間集計シート!O$113:O$132)*AM$2</f>
        <v>0</v>
      </c>
      <c r="AN735" s="88">
        <f>SUMIF(月間集計シート!$M$113:$M$132,$G735,月間集計シート!P$113:P$132)*AN$2</f>
        <v>0</v>
      </c>
      <c r="AO735" s="88">
        <f>SUMIF(月間集計シート!$M$113:$M$132,$G735,月間集計シート!Q$113:Q$132)*AO$2</f>
        <v>0</v>
      </c>
      <c r="AP735" s="88">
        <f>SUMIF(月間集計シート!$M$113:$M$132,$G735,月間集計シート!R$113:R$132)*AP$2</f>
        <v>0</v>
      </c>
      <c r="AQ735" s="88">
        <f>SUMIF(月間集計シート!$M$113:$M$132,$G735,月間集計シート!S$113:S$132)*AQ$2</f>
        <v>0</v>
      </c>
      <c r="AR735" s="88">
        <f>SUMIF(月間集計シート!$M$113:$M$132,$G735,月間集計シート!T$113:T$132)*AR$2</f>
        <v>0</v>
      </c>
      <c r="AS735" s="88">
        <f>SUMIF(月間集計シート!$M$134:$M$153,$G735,月間集計シート!N$134:N$153)*AS$2</f>
        <v>0</v>
      </c>
      <c r="AT735" s="88">
        <f>SUMIF(月間集計シート!$M$134:$M$153,$G735,月間集計シート!O$134:O$153)*AT$2</f>
        <v>0</v>
      </c>
      <c r="AU735" s="88">
        <f>SUMIF(月間集計シート!$M$134:$M$153,$G735,月間集計シート!P$134:P$153)*AU$2</f>
        <v>0</v>
      </c>
      <c r="AV735" s="88">
        <f>SUMIF(月間集計シート!$M$134:$M$153,$G735,月間集計シート!Q$134:Q$153)*AV$2</f>
        <v>0</v>
      </c>
      <c r="AW735" s="88">
        <f>SUMIF(月間集計シート!$M$134:$M$153,$G735,月間集計シート!R$134:R$153)*AW$2</f>
        <v>0</v>
      </c>
      <c r="AX735" s="88">
        <f>SUMIF(月間集計シート!$M$134:$M$153,$G735,月間集計シート!S$134:S$153)*AX$2</f>
        <v>0</v>
      </c>
      <c r="AY735" s="88">
        <f>SUMIF(月間集計シート!$M$134:$M$153,$G735,月間集計シート!T$134:T$153)*AY$2</f>
        <v>0</v>
      </c>
    </row>
    <row r="736" spans="1:51" ht="14.25" thickBot="1">
      <c r="A736">
        <v>9</v>
      </c>
      <c r="B736" s="120">
        <f t="shared" si="358"/>
        <v>0</v>
      </c>
      <c r="C736" s="120" t="str">
        <f t="shared" si="359"/>
        <v/>
      </c>
      <c r="D736" s="137"/>
      <c r="E736" s="150" t="str">
        <f>工種!A48</f>
        <v>60108</v>
      </c>
      <c r="F736" s="119" t="str">
        <f>工種!B48</f>
        <v>ﾘﾘｰｽ：ﾚﾋﾞｭｰ</v>
      </c>
      <c r="G736" s="116" t="str">
        <f t="shared" si="360"/>
        <v>060108</v>
      </c>
      <c r="H736" s="88">
        <f t="shared" si="314"/>
        <v>0</v>
      </c>
      <c r="I736" s="132"/>
      <c r="J736" s="88">
        <f>SUMIF(月間集計シート!$M$29:$M$48,$G736,月間集計シート!N$29:N$48)*J$2</f>
        <v>0</v>
      </c>
      <c r="K736" s="88">
        <f>SUMIF(月間集計シート!$M$29:$M$48,$G736,月間集計シート!O$29:O$48)*K$2</f>
        <v>0</v>
      </c>
      <c r="L736" s="88">
        <f>SUMIF(月間集計シート!$M$29:$M$48,$G736,月間集計シート!P$29:P$48)*L$2</f>
        <v>0</v>
      </c>
      <c r="M736" s="88">
        <f>SUMIF(月間集計シート!$M$29:$M$48,$G736,月間集計シート!Q$29:Q$48)*M$2</f>
        <v>0</v>
      </c>
      <c r="N736" s="88">
        <f>SUMIF(月間集計シート!$M$29:$M$48,$G736,月間集計シート!R$29:R$48)*N$2</f>
        <v>0</v>
      </c>
      <c r="O736" s="88">
        <f>SUMIF(月間集計シート!$M$29:$M$48,$G736,月間集計シート!S$29:S$48)*O$2</f>
        <v>0</v>
      </c>
      <c r="P736" s="88">
        <f>SUMIF(月間集計シート!$M$29:$M$48,$G736,月間集計シート!T$29:T$48)*P$2</f>
        <v>0</v>
      </c>
      <c r="Q736" s="88">
        <f>SUMIF(月間集計シート!$M$50:$M$69,$G736,月間集計シート!N$50:N$69)*Q$2</f>
        <v>0</v>
      </c>
      <c r="R736" s="88">
        <f>SUMIF(月間集計シート!$M$50:$M$69,$G736,月間集計シート!O$50:O$69)*R$2</f>
        <v>0</v>
      </c>
      <c r="S736" s="88">
        <f>SUMIF(月間集計シート!$M$50:$M$69,$G736,月間集計シート!P$50:P$69)*S$2</f>
        <v>0</v>
      </c>
      <c r="T736" s="88">
        <f>SUMIF(月間集計シート!$M$50:$M$69,$G736,月間集計シート!Q$50:Q$69)*T$2</f>
        <v>0</v>
      </c>
      <c r="U736" s="88">
        <f>SUMIF(月間集計シート!$M$50:$M$69,$G736,月間集計シート!R$50:R$69)*U$2</f>
        <v>0</v>
      </c>
      <c r="V736" s="88">
        <f>SUMIF(月間集計シート!$M$50:$M$69,$G736,月間集計シート!S$50:S$69)*V$2</f>
        <v>0</v>
      </c>
      <c r="W736" s="88">
        <f>SUMIF(月間集計シート!$M$50:$M$69,$G736,月間集計シート!T$50:T$69)*W$2</f>
        <v>0</v>
      </c>
      <c r="X736" s="88">
        <f>SUMIF(月間集計シート!$M$71:$M$90,$G736,月間集計シート!N$71:N$90)*X$2</f>
        <v>0</v>
      </c>
      <c r="Y736" s="88">
        <f>SUMIF(月間集計シート!$M$71:$M$90,$G736,月間集計シート!O$71:O$90)*Y$2</f>
        <v>0</v>
      </c>
      <c r="Z736" s="88">
        <f>SUMIF(月間集計シート!$M$71:$M$90,$G736,月間集計シート!P$71:P$90)*Z$2</f>
        <v>0</v>
      </c>
      <c r="AA736" s="88">
        <f>SUMIF(月間集計シート!$M$71:$M$90,$G736,月間集計シート!Q$71:Q$90)*AA$2</f>
        <v>0</v>
      </c>
      <c r="AB736" s="88">
        <f>SUMIF(月間集計シート!$M$71:$M$90,$G736,月間集計シート!R$71:R$90)*AB$2</f>
        <v>0</v>
      </c>
      <c r="AC736" s="88">
        <f>SUMIF(月間集計シート!$M$71:$M$90,$G736,月間集計シート!S$71:S$90)*AC$2</f>
        <v>0</v>
      </c>
      <c r="AD736" s="88">
        <f>SUMIF(月間集計シート!$M$71:$M$90,$G736,月間集計シート!T$71:T$90)*AD$2</f>
        <v>0</v>
      </c>
      <c r="AE736" s="88">
        <f>SUMIF(月間集計シート!$M$92:$M$111,$G736,月間集計シート!N$92:N$111)*AE$2</f>
        <v>0</v>
      </c>
      <c r="AF736" s="88">
        <f>SUMIF(月間集計シート!$M$92:$M$111,$G736,月間集計シート!O$92:O$111)*AF$2</f>
        <v>0</v>
      </c>
      <c r="AG736" s="88">
        <f>SUMIF(月間集計シート!$M$92:$M$111,$G736,月間集計シート!P$92:P$111)*AG$2</f>
        <v>0</v>
      </c>
      <c r="AH736" s="88">
        <f>SUMIF(月間集計シート!$M$92:$M$111,$G736,月間集計シート!Q$92:Q$111)*AH$2</f>
        <v>0</v>
      </c>
      <c r="AI736" s="88">
        <f>SUMIF(月間集計シート!$M$92:$M$111,$G736,月間集計シート!R$92:R$111)*AI$2</f>
        <v>0</v>
      </c>
      <c r="AJ736" s="88">
        <f>SUMIF(月間集計シート!$M$92:$M$111,$G736,月間集計シート!S$92:S$111)*AJ$2</f>
        <v>0</v>
      </c>
      <c r="AK736" s="88">
        <f>SUMIF(月間集計シート!$M$92:$M$111,$G736,月間集計シート!T$92:T$111)*AK$2</f>
        <v>0</v>
      </c>
      <c r="AL736" s="88">
        <f>SUMIF(月間集計シート!$M$113:$M$132,$G736,月間集計シート!N$113:N$132)*AL$2</f>
        <v>0</v>
      </c>
      <c r="AM736" s="88">
        <f>SUMIF(月間集計シート!$M$113:$M$132,$G736,月間集計シート!O$113:O$132)*AM$2</f>
        <v>0</v>
      </c>
      <c r="AN736" s="88">
        <f>SUMIF(月間集計シート!$M$113:$M$132,$G736,月間集計シート!P$113:P$132)*AN$2</f>
        <v>0</v>
      </c>
      <c r="AO736" s="88">
        <f>SUMIF(月間集計シート!$M$113:$M$132,$G736,月間集計シート!Q$113:Q$132)*AO$2</f>
        <v>0</v>
      </c>
      <c r="AP736" s="88">
        <f>SUMIF(月間集計シート!$M$113:$M$132,$G736,月間集計シート!R$113:R$132)*AP$2</f>
        <v>0</v>
      </c>
      <c r="AQ736" s="88">
        <f>SUMIF(月間集計シート!$M$113:$M$132,$G736,月間集計シート!S$113:S$132)*AQ$2</f>
        <v>0</v>
      </c>
      <c r="AR736" s="88">
        <f>SUMIF(月間集計シート!$M$113:$M$132,$G736,月間集計シート!T$113:T$132)*AR$2</f>
        <v>0</v>
      </c>
      <c r="AS736" s="88">
        <f>SUMIF(月間集計シート!$M$134:$M$153,$G736,月間集計シート!N$134:N$153)*AS$2</f>
        <v>0</v>
      </c>
      <c r="AT736" s="88">
        <f>SUMIF(月間集計シート!$M$134:$M$153,$G736,月間集計シート!O$134:O$153)*AT$2</f>
        <v>0</v>
      </c>
      <c r="AU736" s="88">
        <f>SUMIF(月間集計シート!$M$134:$M$153,$G736,月間集計シート!P$134:P$153)*AU$2</f>
        <v>0</v>
      </c>
      <c r="AV736" s="88">
        <f>SUMIF(月間集計シート!$M$134:$M$153,$G736,月間集計シート!Q$134:Q$153)*AV$2</f>
        <v>0</v>
      </c>
      <c r="AW736" s="88">
        <f>SUMIF(月間集計シート!$M$134:$M$153,$G736,月間集計シート!R$134:R$153)*AW$2</f>
        <v>0</v>
      </c>
      <c r="AX736" s="88">
        <f>SUMIF(月間集計シート!$M$134:$M$153,$G736,月間集計シート!S$134:S$153)*AX$2</f>
        <v>0</v>
      </c>
      <c r="AY736" s="88">
        <f>SUMIF(月間集計シート!$M$134:$M$153,$G736,月間集計シート!T$134:T$153)*AY$2</f>
        <v>0</v>
      </c>
    </row>
    <row r="737" spans="1:51" ht="14.25" thickBot="1">
      <c r="A737">
        <v>9</v>
      </c>
      <c r="B737" s="120">
        <f t="shared" si="358"/>
        <v>0</v>
      </c>
      <c r="C737" s="120" t="str">
        <f t="shared" si="359"/>
        <v/>
      </c>
      <c r="D737" s="137"/>
      <c r="E737" s="150" t="str">
        <f>工種!A49</f>
        <v>60199</v>
      </c>
      <c r="F737" s="119" t="str">
        <f>工種!B49</f>
        <v>ﾘﾘｰｽ：その他</v>
      </c>
      <c r="G737" s="116" t="str">
        <f t="shared" si="360"/>
        <v>060199</v>
      </c>
      <c r="H737" s="88">
        <f t="shared" si="314"/>
        <v>0</v>
      </c>
      <c r="I737" s="132"/>
      <c r="J737" s="88">
        <f>SUMIF(月間集計シート!$M$29:$M$48,$G737,月間集計シート!N$29:N$48)*J$2</f>
        <v>0</v>
      </c>
      <c r="K737" s="88">
        <f>SUMIF(月間集計シート!$M$29:$M$48,$G737,月間集計シート!O$29:O$48)*K$2</f>
        <v>0</v>
      </c>
      <c r="L737" s="88">
        <f>SUMIF(月間集計シート!$M$29:$M$48,$G737,月間集計シート!P$29:P$48)*L$2</f>
        <v>0</v>
      </c>
      <c r="M737" s="88">
        <f>SUMIF(月間集計シート!$M$29:$M$48,$G737,月間集計シート!Q$29:Q$48)*M$2</f>
        <v>0</v>
      </c>
      <c r="N737" s="88">
        <f>SUMIF(月間集計シート!$M$29:$M$48,$G737,月間集計シート!R$29:R$48)*N$2</f>
        <v>0</v>
      </c>
      <c r="O737" s="88">
        <f>SUMIF(月間集計シート!$M$29:$M$48,$G737,月間集計シート!S$29:S$48)*O$2</f>
        <v>0</v>
      </c>
      <c r="P737" s="88">
        <f>SUMIF(月間集計シート!$M$29:$M$48,$G737,月間集計シート!T$29:T$48)*P$2</f>
        <v>0</v>
      </c>
      <c r="Q737" s="88">
        <f>SUMIF(月間集計シート!$M$50:$M$69,$G737,月間集計シート!N$50:N$69)*Q$2</f>
        <v>0</v>
      </c>
      <c r="R737" s="88">
        <f>SUMIF(月間集計シート!$M$50:$M$69,$G737,月間集計シート!O$50:O$69)*R$2</f>
        <v>0</v>
      </c>
      <c r="S737" s="88">
        <f>SUMIF(月間集計シート!$M$50:$M$69,$G737,月間集計シート!P$50:P$69)*S$2</f>
        <v>0</v>
      </c>
      <c r="T737" s="88">
        <f>SUMIF(月間集計シート!$M$50:$M$69,$G737,月間集計シート!Q$50:Q$69)*T$2</f>
        <v>0</v>
      </c>
      <c r="U737" s="88">
        <f>SUMIF(月間集計シート!$M$50:$M$69,$G737,月間集計シート!R$50:R$69)*U$2</f>
        <v>0</v>
      </c>
      <c r="V737" s="88">
        <f>SUMIF(月間集計シート!$M$50:$M$69,$G737,月間集計シート!S$50:S$69)*V$2</f>
        <v>0</v>
      </c>
      <c r="W737" s="88">
        <f>SUMIF(月間集計シート!$M$50:$M$69,$G737,月間集計シート!T$50:T$69)*W$2</f>
        <v>0</v>
      </c>
      <c r="X737" s="88">
        <f>SUMIF(月間集計シート!$M$71:$M$90,$G737,月間集計シート!N$71:N$90)*X$2</f>
        <v>0</v>
      </c>
      <c r="Y737" s="88">
        <f>SUMIF(月間集計シート!$M$71:$M$90,$G737,月間集計シート!O$71:O$90)*Y$2</f>
        <v>0</v>
      </c>
      <c r="Z737" s="88">
        <f>SUMIF(月間集計シート!$M$71:$M$90,$G737,月間集計シート!P$71:P$90)*Z$2</f>
        <v>0</v>
      </c>
      <c r="AA737" s="88">
        <f>SUMIF(月間集計シート!$M$71:$M$90,$G737,月間集計シート!Q$71:Q$90)*AA$2</f>
        <v>0</v>
      </c>
      <c r="AB737" s="88">
        <f>SUMIF(月間集計シート!$M$71:$M$90,$G737,月間集計シート!R$71:R$90)*AB$2</f>
        <v>0</v>
      </c>
      <c r="AC737" s="88">
        <f>SUMIF(月間集計シート!$M$71:$M$90,$G737,月間集計シート!S$71:S$90)*AC$2</f>
        <v>0</v>
      </c>
      <c r="AD737" s="88">
        <f>SUMIF(月間集計シート!$M$71:$M$90,$G737,月間集計シート!T$71:T$90)*AD$2</f>
        <v>0</v>
      </c>
      <c r="AE737" s="88">
        <f>SUMIF(月間集計シート!$M$92:$M$111,$G737,月間集計シート!N$92:N$111)*AE$2</f>
        <v>0</v>
      </c>
      <c r="AF737" s="88">
        <f>SUMIF(月間集計シート!$M$92:$M$111,$G737,月間集計シート!O$92:O$111)*AF$2</f>
        <v>0</v>
      </c>
      <c r="AG737" s="88">
        <f>SUMIF(月間集計シート!$M$92:$M$111,$G737,月間集計シート!P$92:P$111)*AG$2</f>
        <v>0</v>
      </c>
      <c r="AH737" s="88">
        <f>SUMIF(月間集計シート!$M$92:$M$111,$G737,月間集計シート!Q$92:Q$111)*AH$2</f>
        <v>0</v>
      </c>
      <c r="AI737" s="88">
        <f>SUMIF(月間集計シート!$M$92:$M$111,$G737,月間集計シート!R$92:R$111)*AI$2</f>
        <v>0</v>
      </c>
      <c r="AJ737" s="88">
        <f>SUMIF(月間集計シート!$M$92:$M$111,$G737,月間集計シート!S$92:S$111)*AJ$2</f>
        <v>0</v>
      </c>
      <c r="AK737" s="88">
        <f>SUMIF(月間集計シート!$M$92:$M$111,$G737,月間集計シート!T$92:T$111)*AK$2</f>
        <v>0</v>
      </c>
      <c r="AL737" s="88">
        <f>SUMIF(月間集計シート!$M$113:$M$132,$G737,月間集計シート!N$113:N$132)*AL$2</f>
        <v>0</v>
      </c>
      <c r="AM737" s="88">
        <f>SUMIF(月間集計シート!$M$113:$M$132,$G737,月間集計シート!O$113:O$132)*AM$2</f>
        <v>0</v>
      </c>
      <c r="AN737" s="88">
        <f>SUMIF(月間集計シート!$M$113:$M$132,$G737,月間集計シート!P$113:P$132)*AN$2</f>
        <v>0</v>
      </c>
      <c r="AO737" s="88">
        <f>SUMIF(月間集計シート!$M$113:$M$132,$G737,月間集計シート!Q$113:Q$132)*AO$2</f>
        <v>0</v>
      </c>
      <c r="AP737" s="88">
        <f>SUMIF(月間集計シート!$M$113:$M$132,$G737,月間集計シート!R$113:R$132)*AP$2</f>
        <v>0</v>
      </c>
      <c r="AQ737" s="88">
        <f>SUMIF(月間集計シート!$M$113:$M$132,$G737,月間集計シート!S$113:S$132)*AQ$2</f>
        <v>0</v>
      </c>
      <c r="AR737" s="88">
        <f>SUMIF(月間集計シート!$M$113:$M$132,$G737,月間集計シート!T$113:T$132)*AR$2</f>
        <v>0</v>
      </c>
      <c r="AS737" s="88">
        <f>SUMIF(月間集計シート!$M$134:$M$153,$G737,月間集計シート!N$134:N$153)*AS$2</f>
        <v>0</v>
      </c>
      <c r="AT737" s="88">
        <f>SUMIF(月間集計シート!$M$134:$M$153,$G737,月間集計シート!O$134:O$153)*AT$2</f>
        <v>0</v>
      </c>
      <c r="AU737" s="88">
        <f>SUMIF(月間集計シート!$M$134:$M$153,$G737,月間集計シート!P$134:P$153)*AU$2</f>
        <v>0</v>
      </c>
      <c r="AV737" s="88">
        <f>SUMIF(月間集計シート!$M$134:$M$153,$G737,月間集計シート!Q$134:Q$153)*AV$2</f>
        <v>0</v>
      </c>
      <c r="AW737" s="88">
        <f>SUMIF(月間集計シート!$M$134:$M$153,$G737,月間集計シート!R$134:R$153)*AW$2</f>
        <v>0</v>
      </c>
      <c r="AX737" s="88">
        <f>SUMIF(月間集計シート!$M$134:$M$153,$G737,月間集計シート!S$134:S$153)*AX$2</f>
        <v>0</v>
      </c>
      <c r="AY737" s="88">
        <f>SUMIF(月間集計シート!$M$134:$M$153,$G737,月間集計シート!T$134:T$153)*AY$2</f>
        <v>0</v>
      </c>
    </row>
    <row r="738" spans="1:51" ht="14.25" thickBot="1">
      <c r="A738">
        <v>9</v>
      </c>
      <c r="B738" s="120">
        <f t="shared" si="358"/>
        <v>0</v>
      </c>
      <c r="C738" s="120" t="str">
        <f t="shared" si="359"/>
        <v/>
      </c>
      <c r="D738" s="137"/>
      <c r="E738" s="150">
        <f>工種!A50</f>
        <v>70101</v>
      </c>
      <c r="F738" s="119" t="str">
        <f>工種!B50</f>
        <v>外部不具合修正：調査・設計</v>
      </c>
      <c r="G738" s="116" t="str">
        <f t="shared" si="360"/>
        <v>070101</v>
      </c>
      <c r="H738" s="88">
        <f t="shared" si="314"/>
        <v>0</v>
      </c>
      <c r="I738" s="132"/>
      <c r="J738" s="88">
        <f>SUMIF(月間集計シート!$M$29:$M$48,$G738,月間集計シート!N$29:N$48)*J$2</f>
        <v>0</v>
      </c>
      <c r="K738" s="88">
        <f>SUMIF(月間集計シート!$M$29:$M$48,$G738,月間集計シート!O$29:O$48)*K$2</f>
        <v>0</v>
      </c>
      <c r="L738" s="88">
        <f>SUMIF(月間集計シート!$M$29:$M$48,$G738,月間集計シート!P$29:P$48)*L$2</f>
        <v>0</v>
      </c>
      <c r="M738" s="88">
        <f>SUMIF(月間集計シート!$M$29:$M$48,$G738,月間集計シート!Q$29:Q$48)*M$2</f>
        <v>0</v>
      </c>
      <c r="N738" s="88">
        <f>SUMIF(月間集計シート!$M$29:$M$48,$G738,月間集計シート!R$29:R$48)*N$2</f>
        <v>0</v>
      </c>
      <c r="O738" s="88">
        <f>SUMIF(月間集計シート!$M$29:$M$48,$G738,月間集計シート!S$29:S$48)*O$2</f>
        <v>0</v>
      </c>
      <c r="P738" s="88">
        <f>SUMIF(月間集計シート!$M$29:$M$48,$G738,月間集計シート!T$29:T$48)*P$2</f>
        <v>0</v>
      </c>
      <c r="Q738" s="88">
        <f>SUMIF(月間集計シート!$M$50:$M$69,$G738,月間集計シート!N$50:N$69)*Q$2</f>
        <v>0</v>
      </c>
      <c r="R738" s="88">
        <f>SUMIF(月間集計シート!$M$50:$M$69,$G738,月間集計シート!O$50:O$69)*R$2</f>
        <v>0</v>
      </c>
      <c r="S738" s="88">
        <f>SUMIF(月間集計シート!$M$50:$M$69,$G738,月間集計シート!P$50:P$69)*S$2</f>
        <v>0</v>
      </c>
      <c r="T738" s="88">
        <f>SUMIF(月間集計シート!$M$50:$M$69,$G738,月間集計シート!Q$50:Q$69)*T$2</f>
        <v>0</v>
      </c>
      <c r="U738" s="88">
        <f>SUMIF(月間集計シート!$M$50:$M$69,$G738,月間集計シート!R$50:R$69)*U$2</f>
        <v>0</v>
      </c>
      <c r="V738" s="88">
        <f>SUMIF(月間集計シート!$M$50:$M$69,$G738,月間集計シート!S$50:S$69)*V$2</f>
        <v>0</v>
      </c>
      <c r="W738" s="88">
        <f>SUMIF(月間集計シート!$M$50:$M$69,$G738,月間集計シート!T$50:T$69)*W$2</f>
        <v>0</v>
      </c>
      <c r="X738" s="88">
        <f>SUMIF(月間集計シート!$M$71:$M$90,$G738,月間集計シート!N$71:N$90)*X$2</f>
        <v>0</v>
      </c>
      <c r="Y738" s="88">
        <f>SUMIF(月間集計シート!$M$71:$M$90,$G738,月間集計シート!O$71:O$90)*Y$2</f>
        <v>0</v>
      </c>
      <c r="Z738" s="88">
        <f>SUMIF(月間集計シート!$M$71:$M$90,$G738,月間集計シート!P$71:P$90)*Z$2</f>
        <v>0</v>
      </c>
      <c r="AA738" s="88">
        <f>SUMIF(月間集計シート!$M$71:$M$90,$G738,月間集計シート!Q$71:Q$90)*AA$2</f>
        <v>0</v>
      </c>
      <c r="AB738" s="88">
        <f>SUMIF(月間集計シート!$M$71:$M$90,$G738,月間集計シート!R$71:R$90)*AB$2</f>
        <v>0</v>
      </c>
      <c r="AC738" s="88">
        <f>SUMIF(月間集計シート!$M$71:$M$90,$G738,月間集計シート!S$71:S$90)*AC$2</f>
        <v>0</v>
      </c>
      <c r="AD738" s="88">
        <f>SUMIF(月間集計シート!$M$71:$M$90,$G738,月間集計シート!T$71:T$90)*AD$2</f>
        <v>0</v>
      </c>
      <c r="AE738" s="88">
        <f>SUMIF(月間集計シート!$M$92:$M$111,$G738,月間集計シート!N$92:N$111)*AE$2</f>
        <v>0</v>
      </c>
      <c r="AF738" s="88">
        <f>SUMIF(月間集計シート!$M$92:$M$111,$G738,月間集計シート!O$92:O$111)*AF$2</f>
        <v>0</v>
      </c>
      <c r="AG738" s="88">
        <f>SUMIF(月間集計シート!$M$92:$M$111,$G738,月間集計シート!P$92:P$111)*AG$2</f>
        <v>0</v>
      </c>
      <c r="AH738" s="88">
        <f>SUMIF(月間集計シート!$M$92:$M$111,$G738,月間集計シート!Q$92:Q$111)*AH$2</f>
        <v>0</v>
      </c>
      <c r="AI738" s="88">
        <f>SUMIF(月間集計シート!$M$92:$M$111,$G738,月間集計シート!R$92:R$111)*AI$2</f>
        <v>0</v>
      </c>
      <c r="AJ738" s="88">
        <f>SUMIF(月間集計シート!$M$92:$M$111,$G738,月間集計シート!S$92:S$111)*AJ$2</f>
        <v>0</v>
      </c>
      <c r="AK738" s="88">
        <f>SUMIF(月間集計シート!$M$92:$M$111,$G738,月間集計シート!T$92:T$111)*AK$2</f>
        <v>0</v>
      </c>
      <c r="AL738" s="88">
        <f>SUMIF(月間集計シート!$M$113:$M$132,$G738,月間集計シート!N$113:N$132)*AL$2</f>
        <v>0</v>
      </c>
      <c r="AM738" s="88">
        <f>SUMIF(月間集計シート!$M$113:$M$132,$G738,月間集計シート!O$113:O$132)*AM$2</f>
        <v>0</v>
      </c>
      <c r="AN738" s="88">
        <f>SUMIF(月間集計シート!$M$113:$M$132,$G738,月間集計シート!P$113:P$132)*AN$2</f>
        <v>0</v>
      </c>
      <c r="AO738" s="88">
        <f>SUMIF(月間集計シート!$M$113:$M$132,$G738,月間集計シート!Q$113:Q$132)*AO$2</f>
        <v>0</v>
      </c>
      <c r="AP738" s="88">
        <f>SUMIF(月間集計シート!$M$113:$M$132,$G738,月間集計シート!R$113:R$132)*AP$2</f>
        <v>0</v>
      </c>
      <c r="AQ738" s="88">
        <f>SUMIF(月間集計シート!$M$113:$M$132,$G738,月間集計シート!S$113:S$132)*AQ$2</f>
        <v>0</v>
      </c>
      <c r="AR738" s="88">
        <f>SUMIF(月間集計シート!$M$113:$M$132,$G738,月間集計シート!T$113:T$132)*AR$2</f>
        <v>0</v>
      </c>
      <c r="AS738" s="88">
        <f>SUMIF(月間集計シート!$M$134:$M$153,$G738,月間集計シート!N$134:N$153)*AS$2</f>
        <v>0</v>
      </c>
      <c r="AT738" s="88">
        <f>SUMIF(月間集計シート!$M$134:$M$153,$G738,月間集計シート!O$134:O$153)*AT$2</f>
        <v>0</v>
      </c>
      <c r="AU738" s="88">
        <f>SUMIF(月間集計シート!$M$134:$M$153,$G738,月間集計シート!P$134:P$153)*AU$2</f>
        <v>0</v>
      </c>
      <c r="AV738" s="88">
        <f>SUMIF(月間集計シート!$M$134:$M$153,$G738,月間集計シート!Q$134:Q$153)*AV$2</f>
        <v>0</v>
      </c>
      <c r="AW738" s="88">
        <f>SUMIF(月間集計シート!$M$134:$M$153,$G738,月間集計シート!R$134:R$153)*AW$2</f>
        <v>0</v>
      </c>
      <c r="AX738" s="88">
        <f>SUMIF(月間集計シート!$M$134:$M$153,$G738,月間集計シート!S$134:S$153)*AX$2</f>
        <v>0</v>
      </c>
      <c r="AY738" s="88">
        <f>SUMIF(月間集計シート!$M$134:$M$153,$G738,月間集計シート!T$134:T$153)*AY$2</f>
        <v>0</v>
      </c>
    </row>
    <row r="739" spans="1:51" ht="14.25" thickBot="1">
      <c r="A739">
        <v>9</v>
      </c>
      <c r="B739" s="120">
        <f t="shared" si="358"/>
        <v>0</v>
      </c>
      <c r="C739" s="120" t="str">
        <f t="shared" si="359"/>
        <v/>
      </c>
      <c r="D739" s="137"/>
      <c r="E739" s="150">
        <f>工種!A51</f>
        <v>70102</v>
      </c>
      <c r="F739" s="119" t="str">
        <f>工種!B51</f>
        <v>外部不具合修正：コーディング</v>
      </c>
      <c r="G739" s="116" t="str">
        <f t="shared" si="360"/>
        <v>070102</v>
      </c>
      <c r="H739" s="88">
        <f t="shared" si="314"/>
        <v>0</v>
      </c>
      <c r="I739" s="132"/>
      <c r="J739" s="88">
        <f>SUMIF(月間集計シート!$M$29:$M$48,$G739,月間集計シート!N$29:N$48)*J$2</f>
        <v>0</v>
      </c>
      <c r="K739" s="88">
        <f>SUMIF(月間集計シート!$M$29:$M$48,$G739,月間集計シート!O$29:O$48)*K$2</f>
        <v>0</v>
      </c>
      <c r="L739" s="88">
        <f>SUMIF(月間集計シート!$M$29:$M$48,$G739,月間集計シート!P$29:P$48)*L$2</f>
        <v>0</v>
      </c>
      <c r="M739" s="88">
        <f>SUMIF(月間集計シート!$M$29:$M$48,$G739,月間集計シート!Q$29:Q$48)*M$2</f>
        <v>0</v>
      </c>
      <c r="N739" s="88">
        <f>SUMIF(月間集計シート!$M$29:$M$48,$G739,月間集計シート!R$29:R$48)*N$2</f>
        <v>0</v>
      </c>
      <c r="O739" s="88">
        <f>SUMIF(月間集計シート!$M$29:$M$48,$G739,月間集計シート!S$29:S$48)*O$2</f>
        <v>0</v>
      </c>
      <c r="P739" s="88">
        <f>SUMIF(月間集計シート!$M$29:$M$48,$G739,月間集計シート!T$29:T$48)*P$2</f>
        <v>0</v>
      </c>
      <c r="Q739" s="88">
        <f>SUMIF(月間集計シート!$M$50:$M$69,$G739,月間集計シート!N$50:N$69)*Q$2</f>
        <v>0</v>
      </c>
      <c r="R739" s="88">
        <f>SUMIF(月間集計シート!$M$50:$M$69,$G739,月間集計シート!O$50:O$69)*R$2</f>
        <v>0</v>
      </c>
      <c r="S739" s="88">
        <f>SUMIF(月間集計シート!$M$50:$M$69,$G739,月間集計シート!P$50:P$69)*S$2</f>
        <v>0</v>
      </c>
      <c r="T739" s="88">
        <f>SUMIF(月間集計シート!$M$50:$M$69,$G739,月間集計シート!Q$50:Q$69)*T$2</f>
        <v>0</v>
      </c>
      <c r="U739" s="88">
        <f>SUMIF(月間集計シート!$M$50:$M$69,$G739,月間集計シート!R$50:R$69)*U$2</f>
        <v>0</v>
      </c>
      <c r="V739" s="88">
        <f>SUMIF(月間集計シート!$M$50:$M$69,$G739,月間集計シート!S$50:S$69)*V$2</f>
        <v>0</v>
      </c>
      <c r="W739" s="88">
        <f>SUMIF(月間集計シート!$M$50:$M$69,$G739,月間集計シート!T$50:T$69)*W$2</f>
        <v>0</v>
      </c>
      <c r="X739" s="88">
        <f>SUMIF(月間集計シート!$M$71:$M$90,$G739,月間集計シート!N$71:N$90)*X$2</f>
        <v>0</v>
      </c>
      <c r="Y739" s="88">
        <f>SUMIF(月間集計シート!$M$71:$M$90,$G739,月間集計シート!O$71:O$90)*Y$2</f>
        <v>0</v>
      </c>
      <c r="Z739" s="88">
        <f>SUMIF(月間集計シート!$M$71:$M$90,$G739,月間集計シート!P$71:P$90)*Z$2</f>
        <v>0</v>
      </c>
      <c r="AA739" s="88">
        <f>SUMIF(月間集計シート!$M$71:$M$90,$G739,月間集計シート!Q$71:Q$90)*AA$2</f>
        <v>0</v>
      </c>
      <c r="AB739" s="88">
        <f>SUMIF(月間集計シート!$M$71:$M$90,$G739,月間集計シート!R$71:R$90)*AB$2</f>
        <v>0</v>
      </c>
      <c r="AC739" s="88">
        <f>SUMIF(月間集計シート!$M$71:$M$90,$G739,月間集計シート!S$71:S$90)*AC$2</f>
        <v>0</v>
      </c>
      <c r="AD739" s="88">
        <f>SUMIF(月間集計シート!$M$71:$M$90,$G739,月間集計シート!T$71:T$90)*AD$2</f>
        <v>0</v>
      </c>
      <c r="AE739" s="88">
        <f>SUMIF(月間集計シート!$M$92:$M$111,$G739,月間集計シート!N$92:N$111)*AE$2</f>
        <v>0</v>
      </c>
      <c r="AF739" s="88">
        <f>SUMIF(月間集計シート!$M$92:$M$111,$G739,月間集計シート!O$92:O$111)*AF$2</f>
        <v>0</v>
      </c>
      <c r="AG739" s="88">
        <f>SUMIF(月間集計シート!$M$92:$M$111,$G739,月間集計シート!P$92:P$111)*AG$2</f>
        <v>0</v>
      </c>
      <c r="AH739" s="88">
        <f>SUMIF(月間集計シート!$M$92:$M$111,$G739,月間集計シート!Q$92:Q$111)*AH$2</f>
        <v>0</v>
      </c>
      <c r="AI739" s="88">
        <f>SUMIF(月間集計シート!$M$92:$M$111,$G739,月間集計シート!R$92:R$111)*AI$2</f>
        <v>0</v>
      </c>
      <c r="AJ739" s="88">
        <f>SUMIF(月間集計シート!$M$92:$M$111,$G739,月間集計シート!S$92:S$111)*AJ$2</f>
        <v>0</v>
      </c>
      <c r="AK739" s="88">
        <f>SUMIF(月間集計シート!$M$92:$M$111,$G739,月間集計シート!T$92:T$111)*AK$2</f>
        <v>0</v>
      </c>
      <c r="AL739" s="88">
        <f>SUMIF(月間集計シート!$M$113:$M$132,$G739,月間集計シート!N$113:N$132)*AL$2</f>
        <v>0</v>
      </c>
      <c r="AM739" s="88">
        <f>SUMIF(月間集計シート!$M$113:$M$132,$G739,月間集計シート!O$113:O$132)*AM$2</f>
        <v>0</v>
      </c>
      <c r="AN739" s="88">
        <f>SUMIF(月間集計シート!$M$113:$M$132,$G739,月間集計シート!P$113:P$132)*AN$2</f>
        <v>0</v>
      </c>
      <c r="AO739" s="88">
        <f>SUMIF(月間集計シート!$M$113:$M$132,$G739,月間集計シート!Q$113:Q$132)*AO$2</f>
        <v>0</v>
      </c>
      <c r="AP739" s="88">
        <f>SUMIF(月間集計シート!$M$113:$M$132,$G739,月間集計シート!R$113:R$132)*AP$2</f>
        <v>0</v>
      </c>
      <c r="AQ739" s="88">
        <f>SUMIF(月間集計シート!$M$113:$M$132,$G739,月間集計シート!S$113:S$132)*AQ$2</f>
        <v>0</v>
      </c>
      <c r="AR739" s="88">
        <f>SUMIF(月間集計シート!$M$113:$M$132,$G739,月間集計シート!T$113:T$132)*AR$2</f>
        <v>0</v>
      </c>
      <c r="AS739" s="88">
        <f>SUMIF(月間集計シート!$M$134:$M$153,$G739,月間集計シート!N$134:N$153)*AS$2</f>
        <v>0</v>
      </c>
      <c r="AT739" s="88">
        <f>SUMIF(月間集計シート!$M$134:$M$153,$G739,月間集計シート!O$134:O$153)*AT$2</f>
        <v>0</v>
      </c>
      <c r="AU739" s="88">
        <f>SUMIF(月間集計シート!$M$134:$M$153,$G739,月間集計シート!P$134:P$153)*AU$2</f>
        <v>0</v>
      </c>
      <c r="AV739" s="88">
        <f>SUMIF(月間集計シート!$M$134:$M$153,$G739,月間集計シート!Q$134:Q$153)*AV$2</f>
        <v>0</v>
      </c>
      <c r="AW739" s="88">
        <f>SUMIF(月間集計シート!$M$134:$M$153,$G739,月間集計シート!R$134:R$153)*AW$2</f>
        <v>0</v>
      </c>
      <c r="AX739" s="88">
        <f>SUMIF(月間集計シート!$M$134:$M$153,$G739,月間集計シート!S$134:S$153)*AX$2</f>
        <v>0</v>
      </c>
      <c r="AY739" s="88">
        <f>SUMIF(月間集計シート!$M$134:$M$153,$G739,月間集計シート!T$134:T$153)*AY$2</f>
        <v>0</v>
      </c>
    </row>
    <row r="740" spans="1:51" ht="14.25" thickBot="1">
      <c r="A740">
        <v>9</v>
      </c>
      <c r="B740" s="120">
        <f t="shared" si="358"/>
        <v>0</v>
      </c>
      <c r="C740" s="120" t="str">
        <f t="shared" si="359"/>
        <v/>
      </c>
      <c r="D740" s="137"/>
      <c r="E740" s="150">
        <f>工種!A52</f>
        <v>70103</v>
      </c>
      <c r="F740" s="119" t="str">
        <f>工種!B52</f>
        <v>外部不具合修正：テスト</v>
      </c>
      <c r="G740" s="116" t="str">
        <f t="shared" si="360"/>
        <v>070103</v>
      </c>
      <c r="H740" s="88">
        <f t="shared" si="314"/>
        <v>0</v>
      </c>
      <c r="I740" s="132"/>
      <c r="J740" s="88">
        <f>SUMIF(月間集計シート!$M$29:$M$48,$G740,月間集計シート!N$29:N$48)*J$2</f>
        <v>0</v>
      </c>
      <c r="K740" s="88">
        <f>SUMIF(月間集計シート!$M$29:$M$48,$G740,月間集計シート!O$29:O$48)*K$2</f>
        <v>0</v>
      </c>
      <c r="L740" s="88">
        <f>SUMIF(月間集計シート!$M$29:$M$48,$G740,月間集計シート!P$29:P$48)*L$2</f>
        <v>0</v>
      </c>
      <c r="M740" s="88">
        <f>SUMIF(月間集計シート!$M$29:$M$48,$G740,月間集計シート!Q$29:Q$48)*M$2</f>
        <v>0</v>
      </c>
      <c r="N740" s="88">
        <f>SUMIF(月間集計シート!$M$29:$M$48,$G740,月間集計シート!R$29:R$48)*N$2</f>
        <v>0</v>
      </c>
      <c r="O740" s="88">
        <f>SUMIF(月間集計シート!$M$29:$M$48,$G740,月間集計シート!S$29:S$48)*O$2</f>
        <v>0</v>
      </c>
      <c r="P740" s="88">
        <f>SUMIF(月間集計シート!$M$29:$M$48,$G740,月間集計シート!T$29:T$48)*P$2</f>
        <v>0</v>
      </c>
      <c r="Q740" s="88">
        <f>SUMIF(月間集計シート!$M$50:$M$69,$G740,月間集計シート!N$50:N$69)*Q$2</f>
        <v>0</v>
      </c>
      <c r="R740" s="88">
        <f>SUMIF(月間集計シート!$M$50:$M$69,$G740,月間集計シート!O$50:O$69)*R$2</f>
        <v>0</v>
      </c>
      <c r="S740" s="88">
        <f>SUMIF(月間集計シート!$M$50:$M$69,$G740,月間集計シート!P$50:P$69)*S$2</f>
        <v>0</v>
      </c>
      <c r="T740" s="88">
        <f>SUMIF(月間集計シート!$M$50:$M$69,$G740,月間集計シート!Q$50:Q$69)*T$2</f>
        <v>0</v>
      </c>
      <c r="U740" s="88">
        <f>SUMIF(月間集計シート!$M$50:$M$69,$G740,月間集計シート!R$50:R$69)*U$2</f>
        <v>0</v>
      </c>
      <c r="V740" s="88">
        <f>SUMIF(月間集計シート!$M$50:$M$69,$G740,月間集計シート!S$50:S$69)*V$2</f>
        <v>0</v>
      </c>
      <c r="W740" s="88">
        <f>SUMIF(月間集計シート!$M$50:$M$69,$G740,月間集計シート!T$50:T$69)*W$2</f>
        <v>0</v>
      </c>
      <c r="X740" s="88">
        <f>SUMIF(月間集計シート!$M$71:$M$90,$G740,月間集計シート!N$71:N$90)*X$2</f>
        <v>0</v>
      </c>
      <c r="Y740" s="88">
        <f>SUMIF(月間集計シート!$M$71:$M$90,$G740,月間集計シート!O$71:O$90)*Y$2</f>
        <v>0</v>
      </c>
      <c r="Z740" s="88">
        <f>SUMIF(月間集計シート!$M$71:$M$90,$G740,月間集計シート!P$71:P$90)*Z$2</f>
        <v>0</v>
      </c>
      <c r="AA740" s="88">
        <f>SUMIF(月間集計シート!$M$71:$M$90,$G740,月間集計シート!Q$71:Q$90)*AA$2</f>
        <v>0</v>
      </c>
      <c r="AB740" s="88">
        <f>SUMIF(月間集計シート!$M$71:$M$90,$G740,月間集計シート!R$71:R$90)*AB$2</f>
        <v>0</v>
      </c>
      <c r="AC740" s="88">
        <f>SUMIF(月間集計シート!$M$71:$M$90,$G740,月間集計シート!S$71:S$90)*AC$2</f>
        <v>0</v>
      </c>
      <c r="AD740" s="88">
        <f>SUMIF(月間集計シート!$M$71:$M$90,$G740,月間集計シート!T$71:T$90)*AD$2</f>
        <v>0</v>
      </c>
      <c r="AE740" s="88">
        <f>SUMIF(月間集計シート!$M$92:$M$111,$G740,月間集計シート!N$92:N$111)*AE$2</f>
        <v>0</v>
      </c>
      <c r="AF740" s="88">
        <f>SUMIF(月間集計シート!$M$92:$M$111,$G740,月間集計シート!O$92:O$111)*AF$2</f>
        <v>0</v>
      </c>
      <c r="AG740" s="88">
        <f>SUMIF(月間集計シート!$M$92:$M$111,$G740,月間集計シート!P$92:P$111)*AG$2</f>
        <v>0</v>
      </c>
      <c r="AH740" s="88">
        <f>SUMIF(月間集計シート!$M$92:$M$111,$G740,月間集計シート!Q$92:Q$111)*AH$2</f>
        <v>0</v>
      </c>
      <c r="AI740" s="88">
        <f>SUMIF(月間集計シート!$M$92:$M$111,$G740,月間集計シート!R$92:R$111)*AI$2</f>
        <v>0</v>
      </c>
      <c r="AJ740" s="88">
        <f>SUMIF(月間集計シート!$M$92:$M$111,$G740,月間集計シート!S$92:S$111)*AJ$2</f>
        <v>0</v>
      </c>
      <c r="AK740" s="88">
        <f>SUMIF(月間集計シート!$M$92:$M$111,$G740,月間集計シート!T$92:T$111)*AK$2</f>
        <v>0</v>
      </c>
      <c r="AL740" s="88">
        <f>SUMIF(月間集計シート!$M$113:$M$132,$G740,月間集計シート!N$113:N$132)*AL$2</f>
        <v>0</v>
      </c>
      <c r="AM740" s="88">
        <f>SUMIF(月間集計シート!$M$113:$M$132,$G740,月間集計シート!O$113:O$132)*AM$2</f>
        <v>0</v>
      </c>
      <c r="AN740" s="88">
        <f>SUMIF(月間集計シート!$M$113:$M$132,$G740,月間集計シート!P$113:P$132)*AN$2</f>
        <v>0</v>
      </c>
      <c r="AO740" s="88">
        <f>SUMIF(月間集計シート!$M$113:$M$132,$G740,月間集計シート!Q$113:Q$132)*AO$2</f>
        <v>0</v>
      </c>
      <c r="AP740" s="88">
        <f>SUMIF(月間集計シート!$M$113:$M$132,$G740,月間集計シート!R$113:R$132)*AP$2</f>
        <v>0</v>
      </c>
      <c r="AQ740" s="88">
        <f>SUMIF(月間集計シート!$M$113:$M$132,$G740,月間集計シート!S$113:S$132)*AQ$2</f>
        <v>0</v>
      </c>
      <c r="AR740" s="88">
        <f>SUMIF(月間集計シート!$M$113:$M$132,$G740,月間集計シート!T$113:T$132)*AR$2</f>
        <v>0</v>
      </c>
      <c r="AS740" s="88">
        <f>SUMIF(月間集計シート!$M$134:$M$153,$G740,月間集計シート!N$134:N$153)*AS$2</f>
        <v>0</v>
      </c>
      <c r="AT740" s="88">
        <f>SUMIF(月間集計シート!$M$134:$M$153,$G740,月間集計シート!O$134:O$153)*AT$2</f>
        <v>0</v>
      </c>
      <c r="AU740" s="88">
        <f>SUMIF(月間集計シート!$M$134:$M$153,$G740,月間集計シート!P$134:P$153)*AU$2</f>
        <v>0</v>
      </c>
      <c r="AV740" s="88">
        <f>SUMIF(月間集計シート!$M$134:$M$153,$G740,月間集計シート!Q$134:Q$153)*AV$2</f>
        <v>0</v>
      </c>
      <c r="AW740" s="88">
        <f>SUMIF(月間集計シート!$M$134:$M$153,$G740,月間集計シート!R$134:R$153)*AW$2</f>
        <v>0</v>
      </c>
      <c r="AX740" s="88">
        <f>SUMIF(月間集計シート!$M$134:$M$153,$G740,月間集計シート!S$134:S$153)*AX$2</f>
        <v>0</v>
      </c>
      <c r="AY740" s="88">
        <f>SUMIF(月間集計シート!$M$134:$M$153,$G740,月間集計シート!T$134:T$153)*AY$2</f>
        <v>0</v>
      </c>
    </row>
    <row r="741" spans="1:51" ht="14.25" thickBot="1">
      <c r="A741">
        <v>9</v>
      </c>
      <c r="B741" s="120">
        <f t="shared" si="358"/>
        <v>0</v>
      </c>
      <c r="C741" s="120" t="str">
        <f t="shared" si="359"/>
        <v/>
      </c>
      <c r="D741" s="137"/>
      <c r="E741" s="150">
        <f>工種!A53</f>
        <v>70104</v>
      </c>
      <c r="F741" s="119" t="str">
        <f>工種!B53</f>
        <v>外部不具合修正：不具合連絡作成</v>
      </c>
      <c r="G741" s="116" t="str">
        <f t="shared" si="360"/>
        <v>070104</v>
      </c>
      <c r="H741" s="88">
        <f t="shared" si="314"/>
        <v>0</v>
      </c>
      <c r="I741" s="132"/>
      <c r="J741" s="88">
        <f>SUMIF(月間集計シート!$M$29:$M$48,$G741,月間集計シート!N$29:N$48)*J$2</f>
        <v>0</v>
      </c>
      <c r="K741" s="88">
        <f>SUMIF(月間集計シート!$M$29:$M$48,$G741,月間集計シート!O$29:O$48)*K$2</f>
        <v>0</v>
      </c>
      <c r="L741" s="88">
        <f>SUMIF(月間集計シート!$M$29:$M$48,$G741,月間集計シート!P$29:P$48)*L$2</f>
        <v>0</v>
      </c>
      <c r="M741" s="88">
        <f>SUMIF(月間集計シート!$M$29:$M$48,$G741,月間集計シート!Q$29:Q$48)*M$2</f>
        <v>0</v>
      </c>
      <c r="N741" s="88">
        <f>SUMIF(月間集計シート!$M$29:$M$48,$G741,月間集計シート!R$29:R$48)*N$2</f>
        <v>0</v>
      </c>
      <c r="O741" s="88">
        <f>SUMIF(月間集計シート!$M$29:$M$48,$G741,月間集計シート!S$29:S$48)*O$2</f>
        <v>0</v>
      </c>
      <c r="P741" s="88">
        <f>SUMIF(月間集計シート!$M$29:$M$48,$G741,月間集計シート!T$29:T$48)*P$2</f>
        <v>0</v>
      </c>
      <c r="Q741" s="88">
        <f>SUMIF(月間集計シート!$M$50:$M$69,$G741,月間集計シート!N$50:N$69)*Q$2</f>
        <v>0</v>
      </c>
      <c r="R741" s="88">
        <f>SUMIF(月間集計シート!$M$50:$M$69,$G741,月間集計シート!O$50:O$69)*R$2</f>
        <v>0</v>
      </c>
      <c r="S741" s="88">
        <f>SUMIF(月間集計シート!$M$50:$M$69,$G741,月間集計シート!P$50:P$69)*S$2</f>
        <v>0</v>
      </c>
      <c r="T741" s="88">
        <f>SUMIF(月間集計シート!$M$50:$M$69,$G741,月間集計シート!Q$50:Q$69)*T$2</f>
        <v>0</v>
      </c>
      <c r="U741" s="88">
        <f>SUMIF(月間集計シート!$M$50:$M$69,$G741,月間集計シート!R$50:R$69)*U$2</f>
        <v>0</v>
      </c>
      <c r="V741" s="88">
        <f>SUMIF(月間集計シート!$M$50:$M$69,$G741,月間集計シート!S$50:S$69)*V$2</f>
        <v>0</v>
      </c>
      <c r="W741" s="88">
        <f>SUMIF(月間集計シート!$M$50:$M$69,$G741,月間集計シート!T$50:T$69)*W$2</f>
        <v>0</v>
      </c>
      <c r="X741" s="88">
        <f>SUMIF(月間集計シート!$M$71:$M$90,$G741,月間集計シート!N$71:N$90)*X$2</f>
        <v>0</v>
      </c>
      <c r="Y741" s="88">
        <f>SUMIF(月間集計シート!$M$71:$M$90,$G741,月間集計シート!O$71:O$90)*Y$2</f>
        <v>0</v>
      </c>
      <c r="Z741" s="88">
        <f>SUMIF(月間集計シート!$M$71:$M$90,$G741,月間集計シート!P$71:P$90)*Z$2</f>
        <v>0</v>
      </c>
      <c r="AA741" s="88">
        <f>SUMIF(月間集計シート!$M$71:$M$90,$G741,月間集計シート!Q$71:Q$90)*AA$2</f>
        <v>0</v>
      </c>
      <c r="AB741" s="88">
        <f>SUMIF(月間集計シート!$M$71:$M$90,$G741,月間集計シート!R$71:R$90)*AB$2</f>
        <v>0</v>
      </c>
      <c r="AC741" s="88">
        <f>SUMIF(月間集計シート!$M$71:$M$90,$G741,月間集計シート!S$71:S$90)*AC$2</f>
        <v>0</v>
      </c>
      <c r="AD741" s="88">
        <f>SUMIF(月間集計シート!$M$71:$M$90,$G741,月間集計シート!T$71:T$90)*AD$2</f>
        <v>0</v>
      </c>
      <c r="AE741" s="88">
        <f>SUMIF(月間集計シート!$M$92:$M$111,$G741,月間集計シート!N$92:N$111)*AE$2</f>
        <v>0</v>
      </c>
      <c r="AF741" s="88">
        <f>SUMIF(月間集計シート!$M$92:$M$111,$G741,月間集計シート!O$92:O$111)*AF$2</f>
        <v>0</v>
      </c>
      <c r="AG741" s="88">
        <f>SUMIF(月間集計シート!$M$92:$M$111,$G741,月間集計シート!P$92:P$111)*AG$2</f>
        <v>0</v>
      </c>
      <c r="AH741" s="88">
        <f>SUMIF(月間集計シート!$M$92:$M$111,$G741,月間集計シート!Q$92:Q$111)*AH$2</f>
        <v>0</v>
      </c>
      <c r="AI741" s="88">
        <f>SUMIF(月間集計シート!$M$92:$M$111,$G741,月間集計シート!R$92:R$111)*AI$2</f>
        <v>0</v>
      </c>
      <c r="AJ741" s="88">
        <f>SUMIF(月間集計シート!$M$92:$M$111,$G741,月間集計シート!S$92:S$111)*AJ$2</f>
        <v>0</v>
      </c>
      <c r="AK741" s="88">
        <f>SUMIF(月間集計シート!$M$92:$M$111,$G741,月間集計シート!T$92:T$111)*AK$2</f>
        <v>0</v>
      </c>
      <c r="AL741" s="88">
        <f>SUMIF(月間集計シート!$M$113:$M$132,$G741,月間集計シート!N$113:N$132)*AL$2</f>
        <v>0</v>
      </c>
      <c r="AM741" s="88">
        <f>SUMIF(月間集計シート!$M$113:$M$132,$G741,月間集計シート!O$113:O$132)*AM$2</f>
        <v>0</v>
      </c>
      <c r="AN741" s="88">
        <f>SUMIF(月間集計シート!$M$113:$M$132,$G741,月間集計シート!P$113:P$132)*AN$2</f>
        <v>0</v>
      </c>
      <c r="AO741" s="88">
        <f>SUMIF(月間集計シート!$M$113:$M$132,$G741,月間集計シート!Q$113:Q$132)*AO$2</f>
        <v>0</v>
      </c>
      <c r="AP741" s="88">
        <f>SUMIF(月間集計シート!$M$113:$M$132,$G741,月間集計シート!R$113:R$132)*AP$2</f>
        <v>0</v>
      </c>
      <c r="AQ741" s="88">
        <f>SUMIF(月間集計シート!$M$113:$M$132,$G741,月間集計シート!S$113:S$132)*AQ$2</f>
        <v>0</v>
      </c>
      <c r="AR741" s="88">
        <f>SUMIF(月間集計シート!$M$113:$M$132,$G741,月間集計シート!T$113:T$132)*AR$2</f>
        <v>0</v>
      </c>
      <c r="AS741" s="88">
        <f>SUMIF(月間集計シート!$M$134:$M$153,$G741,月間集計シート!N$134:N$153)*AS$2</f>
        <v>0</v>
      </c>
      <c r="AT741" s="88">
        <f>SUMIF(月間集計シート!$M$134:$M$153,$G741,月間集計シート!O$134:O$153)*AT$2</f>
        <v>0</v>
      </c>
      <c r="AU741" s="88">
        <f>SUMIF(月間集計シート!$M$134:$M$153,$G741,月間集計シート!P$134:P$153)*AU$2</f>
        <v>0</v>
      </c>
      <c r="AV741" s="88">
        <f>SUMIF(月間集計シート!$M$134:$M$153,$G741,月間集計シート!Q$134:Q$153)*AV$2</f>
        <v>0</v>
      </c>
      <c r="AW741" s="88">
        <f>SUMIF(月間集計シート!$M$134:$M$153,$G741,月間集計シート!R$134:R$153)*AW$2</f>
        <v>0</v>
      </c>
      <c r="AX741" s="88">
        <f>SUMIF(月間集計シート!$M$134:$M$153,$G741,月間集計シート!S$134:S$153)*AX$2</f>
        <v>0</v>
      </c>
      <c r="AY741" s="88">
        <f>SUMIF(月間集計シート!$M$134:$M$153,$G741,月間集計シート!T$134:T$153)*AY$2</f>
        <v>0</v>
      </c>
    </row>
    <row r="742" spans="1:51" ht="14.25" thickBot="1">
      <c r="A742">
        <v>9</v>
      </c>
      <c r="B742" s="120">
        <f t="shared" si="358"/>
        <v>0</v>
      </c>
      <c r="C742" s="120" t="str">
        <f t="shared" si="359"/>
        <v/>
      </c>
      <c r="D742" s="137"/>
      <c r="E742" s="150">
        <f>工種!A54</f>
        <v>70105</v>
      </c>
      <c r="F742" s="119" t="str">
        <f>工種!B54</f>
        <v>外部不具合修正：差分PGイントラ掲載</v>
      </c>
      <c r="G742" s="116" t="str">
        <f t="shared" si="360"/>
        <v>070105</v>
      </c>
      <c r="H742" s="88">
        <f t="shared" si="314"/>
        <v>0</v>
      </c>
      <c r="I742" s="132"/>
      <c r="J742" s="88">
        <f>SUMIF(月間集計シート!$M$29:$M$48,$G742,月間集計シート!N$29:N$48)*J$2</f>
        <v>0</v>
      </c>
      <c r="K742" s="88">
        <f>SUMIF(月間集計シート!$M$29:$M$48,$G742,月間集計シート!O$29:O$48)*K$2</f>
        <v>0</v>
      </c>
      <c r="L742" s="88">
        <f>SUMIF(月間集計シート!$M$29:$M$48,$G742,月間集計シート!P$29:P$48)*L$2</f>
        <v>0</v>
      </c>
      <c r="M742" s="88">
        <f>SUMIF(月間集計シート!$M$29:$M$48,$G742,月間集計シート!Q$29:Q$48)*M$2</f>
        <v>0</v>
      </c>
      <c r="N742" s="88">
        <f>SUMIF(月間集計シート!$M$29:$M$48,$G742,月間集計シート!R$29:R$48)*N$2</f>
        <v>0</v>
      </c>
      <c r="O742" s="88">
        <f>SUMIF(月間集計シート!$M$29:$M$48,$G742,月間集計シート!S$29:S$48)*O$2</f>
        <v>0</v>
      </c>
      <c r="P742" s="88">
        <f>SUMIF(月間集計シート!$M$29:$M$48,$G742,月間集計シート!T$29:T$48)*P$2</f>
        <v>0</v>
      </c>
      <c r="Q742" s="88">
        <f>SUMIF(月間集計シート!$M$50:$M$69,$G742,月間集計シート!N$50:N$69)*Q$2</f>
        <v>0</v>
      </c>
      <c r="R742" s="88">
        <f>SUMIF(月間集計シート!$M$50:$M$69,$G742,月間集計シート!O$50:O$69)*R$2</f>
        <v>0</v>
      </c>
      <c r="S742" s="88">
        <f>SUMIF(月間集計シート!$M$50:$M$69,$G742,月間集計シート!P$50:P$69)*S$2</f>
        <v>0</v>
      </c>
      <c r="T742" s="88">
        <f>SUMIF(月間集計シート!$M$50:$M$69,$G742,月間集計シート!Q$50:Q$69)*T$2</f>
        <v>0</v>
      </c>
      <c r="U742" s="88">
        <f>SUMIF(月間集計シート!$M$50:$M$69,$G742,月間集計シート!R$50:R$69)*U$2</f>
        <v>0</v>
      </c>
      <c r="V742" s="88">
        <f>SUMIF(月間集計シート!$M$50:$M$69,$G742,月間集計シート!S$50:S$69)*V$2</f>
        <v>0</v>
      </c>
      <c r="W742" s="88">
        <f>SUMIF(月間集計シート!$M$50:$M$69,$G742,月間集計シート!T$50:T$69)*W$2</f>
        <v>0</v>
      </c>
      <c r="X742" s="88">
        <f>SUMIF(月間集計シート!$M$71:$M$90,$G742,月間集計シート!N$71:N$90)*X$2</f>
        <v>0</v>
      </c>
      <c r="Y742" s="88">
        <f>SUMIF(月間集計シート!$M$71:$M$90,$G742,月間集計シート!O$71:O$90)*Y$2</f>
        <v>0</v>
      </c>
      <c r="Z742" s="88">
        <f>SUMIF(月間集計シート!$M$71:$M$90,$G742,月間集計シート!P$71:P$90)*Z$2</f>
        <v>0</v>
      </c>
      <c r="AA742" s="88">
        <f>SUMIF(月間集計シート!$M$71:$M$90,$G742,月間集計シート!Q$71:Q$90)*AA$2</f>
        <v>0</v>
      </c>
      <c r="AB742" s="88">
        <f>SUMIF(月間集計シート!$M$71:$M$90,$G742,月間集計シート!R$71:R$90)*AB$2</f>
        <v>0</v>
      </c>
      <c r="AC742" s="88">
        <f>SUMIF(月間集計シート!$M$71:$M$90,$G742,月間集計シート!S$71:S$90)*AC$2</f>
        <v>0</v>
      </c>
      <c r="AD742" s="88">
        <f>SUMIF(月間集計シート!$M$71:$M$90,$G742,月間集計シート!T$71:T$90)*AD$2</f>
        <v>0</v>
      </c>
      <c r="AE742" s="88">
        <f>SUMIF(月間集計シート!$M$92:$M$111,$G742,月間集計シート!N$92:N$111)*AE$2</f>
        <v>0</v>
      </c>
      <c r="AF742" s="88">
        <f>SUMIF(月間集計シート!$M$92:$M$111,$G742,月間集計シート!O$92:O$111)*AF$2</f>
        <v>0</v>
      </c>
      <c r="AG742" s="88">
        <f>SUMIF(月間集計シート!$M$92:$M$111,$G742,月間集計シート!P$92:P$111)*AG$2</f>
        <v>0</v>
      </c>
      <c r="AH742" s="88">
        <f>SUMIF(月間集計シート!$M$92:$M$111,$G742,月間集計シート!Q$92:Q$111)*AH$2</f>
        <v>0</v>
      </c>
      <c r="AI742" s="88">
        <f>SUMIF(月間集計シート!$M$92:$M$111,$G742,月間集計シート!R$92:R$111)*AI$2</f>
        <v>0</v>
      </c>
      <c r="AJ742" s="88">
        <f>SUMIF(月間集計シート!$M$92:$M$111,$G742,月間集計シート!S$92:S$111)*AJ$2</f>
        <v>0</v>
      </c>
      <c r="AK742" s="88">
        <f>SUMIF(月間集計シート!$M$92:$M$111,$G742,月間集計シート!T$92:T$111)*AK$2</f>
        <v>0</v>
      </c>
      <c r="AL742" s="88">
        <f>SUMIF(月間集計シート!$M$113:$M$132,$G742,月間集計シート!N$113:N$132)*AL$2</f>
        <v>0</v>
      </c>
      <c r="AM742" s="88">
        <f>SUMIF(月間集計シート!$M$113:$M$132,$G742,月間集計シート!O$113:O$132)*AM$2</f>
        <v>0</v>
      </c>
      <c r="AN742" s="88">
        <f>SUMIF(月間集計シート!$M$113:$M$132,$G742,月間集計シート!P$113:P$132)*AN$2</f>
        <v>0</v>
      </c>
      <c r="AO742" s="88">
        <f>SUMIF(月間集計シート!$M$113:$M$132,$G742,月間集計シート!Q$113:Q$132)*AO$2</f>
        <v>0</v>
      </c>
      <c r="AP742" s="88">
        <f>SUMIF(月間集計シート!$M$113:$M$132,$G742,月間集計シート!R$113:R$132)*AP$2</f>
        <v>0</v>
      </c>
      <c r="AQ742" s="88">
        <f>SUMIF(月間集計シート!$M$113:$M$132,$G742,月間集計シート!S$113:S$132)*AQ$2</f>
        <v>0</v>
      </c>
      <c r="AR742" s="88">
        <f>SUMIF(月間集計シート!$M$113:$M$132,$G742,月間集計シート!T$113:T$132)*AR$2</f>
        <v>0</v>
      </c>
      <c r="AS742" s="88">
        <f>SUMIF(月間集計シート!$M$134:$M$153,$G742,月間集計シート!N$134:N$153)*AS$2</f>
        <v>0</v>
      </c>
      <c r="AT742" s="88">
        <f>SUMIF(月間集計シート!$M$134:$M$153,$G742,月間集計シート!O$134:O$153)*AT$2</f>
        <v>0</v>
      </c>
      <c r="AU742" s="88">
        <f>SUMIF(月間集計シート!$M$134:$M$153,$G742,月間集計シート!P$134:P$153)*AU$2</f>
        <v>0</v>
      </c>
      <c r="AV742" s="88">
        <f>SUMIF(月間集計シート!$M$134:$M$153,$G742,月間集計シート!Q$134:Q$153)*AV$2</f>
        <v>0</v>
      </c>
      <c r="AW742" s="88">
        <f>SUMIF(月間集計シート!$M$134:$M$153,$G742,月間集計シート!R$134:R$153)*AW$2</f>
        <v>0</v>
      </c>
      <c r="AX742" s="88">
        <f>SUMIF(月間集計シート!$M$134:$M$153,$G742,月間集計シート!S$134:S$153)*AX$2</f>
        <v>0</v>
      </c>
      <c r="AY742" s="88">
        <f>SUMIF(月間集計シート!$M$134:$M$153,$G742,月間集計シート!T$134:T$153)*AY$2</f>
        <v>0</v>
      </c>
    </row>
    <row r="743" spans="1:51" ht="14.25" thickBot="1">
      <c r="A743">
        <v>9</v>
      </c>
      <c r="B743" s="120">
        <f t="shared" si="358"/>
        <v>0</v>
      </c>
      <c r="C743" s="120" t="str">
        <f t="shared" si="359"/>
        <v/>
      </c>
      <c r="D743" s="137"/>
      <c r="E743" s="150">
        <f>工種!A55</f>
        <v>70106</v>
      </c>
      <c r="F743" s="119" t="str">
        <f>工種!B55</f>
        <v>外部不具合修正：打合せ</v>
      </c>
      <c r="G743" s="116" t="str">
        <f t="shared" si="360"/>
        <v>070106</v>
      </c>
      <c r="H743" s="88">
        <f t="shared" si="314"/>
        <v>0</v>
      </c>
      <c r="I743" s="132"/>
      <c r="J743" s="88">
        <f>SUMIF(月間集計シート!$M$29:$M$48,$G743,月間集計シート!N$29:N$48)*J$2</f>
        <v>0</v>
      </c>
      <c r="K743" s="88">
        <f>SUMIF(月間集計シート!$M$29:$M$48,$G743,月間集計シート!O$29:O$48)*K$2</f>
        <v>0</v>
      </c>
      <c r="L743" s="88">
        <f>SUMIF(月間集計シート!$M$29:$M$48,$G743,月間集計シート!P$29:P$48)*L$2</f>
        <v>0</v>
      </c>
      <c r="M743" s="88">
        <f>SUMIF(月間集計シート!$M$29:$M$48,$G743,月間集計シート!Q$29:Q$48)*M$2</f>
        <v>0</v>
      </c>
      <c r="N743" s="88">
        <f>SUMIF(月間集計シート!$M$29:$M$48,$G743,月間集計シート!R$29:R$48)*N$2</f>
        <v>0</v>
      </c>
      <c r="O743" s="88">
        <f>SUMIF(月間集計シート!$M$29:$M$48,$G743,月間集計シート!S$29:S$48)*O$2</f>
        <v>0</v>
      </c>
      <c r="P743" s="88">
        <f>SUMIF(月間集計シート!$M$29:$M$48,$G743,月間集計シート!T$29:T$48)*P$2</f>
        <v>0</v>
      </c>
      <c r="Q743" s="88">
        <f>SUMIF(月間集計シート!$M$50:$M$69,$G743,月間集計シート!N$50:N$69)*Q$2</f>
        <v>0</v>
      </c>
      <c r="R743" s="88">
        <f>SUMIF(月間集計シート!$M$50:$M$69,$G743,月間集計シート!O$50:O$69)*R$2</f>
        <v>0</v>
      </c>
      <c r="S743" s="88">
        <f>SUMIF(月間集計シート!$M$50:$M$69,$G743,月間集計シート!P$50:P$69)*S$2</f>
        <v>0</v>
      </c>
      <c r="T743" s="88">
        <f>SUMIF(月間集計シート!$M$50:$M$69,$G743,月間集計シート!Q$50:Q$69)*T$2</f>
        <v>0</v>
      </c>
      <c r="U743" s="88">
        <f>SUMIF(月間集計シート!$M$50:$M$69,$G743,月間集計シート!R$50:R$69)*U$2</f>
        <v>0</v>
      </c>
      <c r="V743" s="88">
        <f>SUMIF(月間集計シート!$M$50:$M$69,$G743,月間集計シート!S$50:S$69)*V$2</f>
        <v>0</v>
      </c>
      <c r="W743" s="88">
        <f>SUMIF(月間集計シート!$M$50:$M$69,$G743,月間集計シート!T$50:T$69)*W$2</f>
        <v>0</v>
      </c>
      <c r="X743" s="88">
        <f>SUMIF(月間集計シート!$M$71:$M$90,$G743,月間集計シート!N$71:N$90)*X$2</f>
        <v>0</v>
      </c>
      <c r="Y743" s="88">
        <f>SUMIF(月間集計シート!$M$71:$M$90,$G743,月間集計シート!O$71:O$90)*Y$2</f>
        <v>0</v>
      </c>
      <c r="Z743" s="88">
        <f>SUMIF(月間集計シート!$M$71:$M$90,$G743,月間集計シート!P$71:P$90)*Z$2</f>
        <v>0</v>
      </c>
      <c r="AA743" s="88">
        <f>SUMIF(月間集計シート!$M$71:$M$90,$G743,月間集計シート!Q$71:Q$90)*AA$2</f>
        <v>0</v>
      </c>
      <c r="AB743" s="88">
        <f>SUMIF(月間集計シート!$M$71:$M$90,$G743,月間集計シート!R$71:R$90)*AB$2</f>
        <v>0</v>
      </c>
      <c r="AC743" s="88">
        <f>SUMIF(月間集計シート!$M$71:$M$90,$G743,月間集計シート!S$71:S$90)*AC$2</f>
        <v>0</v>
      </c>
      <c r="AD743" s="88">
        <f>SUMIF(月間集計シート!$M$71:$M$90,$G743,月間集計シート!T$71:T$90)*AD$2</f>
        <v>0</v>
      </c>
      <c r="AE743" s="88">
        <f>SUMIF(月間集計シート!$M$92:$M$111,$G743,月間集計シート!N$92:N$111)*AE$2</f>
        <v>0</v>
      </c>
      <c r="AF743" s="88">
        <f>SUMIF(月間集計シート!$M$92:$M$111,$G743,月間集計シート!O$92:O$111)*AF$2</f>
        <v>0</v>
      </c>
      <c r="AG743" s="88">
        <f>SUMIF(月間集計シート!$M$92:$M$111,$G743,月間集計シート!P$92:P$111)*AG$2</f>
        <v>0</v>
      </c>
      <c r="AH743" s="88">
        <f>SUMIF(月間集計シート!$M$92:$M$111,$G743,月間集計シート!Q$92:Q$111)*AH$2</f>
        <v>0</v>
      </c>
      <c r="AI743" s="88">
        <f>SUMIF(月間集計シート!$M$92:$M$111,$G743,月間集計シート!R$92:R$111)*AI$2</f>
        <v>0</v>
      </c>
      <c r="AJ743" s="88">
        <f>SUMIF(月間集計シート!$M$92:$M$111,$G743,月間集計シート!S$92:S$111)*AJ$2</f>
        <v>0</v>
      </c>
      <c r="AK743" s="88">
        <f>SUMIF(月間集計シート!$M$92:$M$111,$G743,月間集計シート!T$92:T$111)*AK$2</f>
        <v>0</v>
      </c>
      <c r="AL743" s="88">
        <f>SUMIF(月間集計シート!$M$113:$M$132,$G743,月間集計シート!N$113:N$132)*AL$2</f>
        <v>0</v>
      </c>
      <c r="AM743" s="88">
        <f>SUMIF(月間集計シート!$M$113:$M$132,$G743,月間集計シート!O$113:O$132)*AM$2</f>
        <v>0</v>
      </c>
      <c r="AN743" s="88">
        <f>SUMIF(月間集計シート!$M$113:$M$132,$G743,月間集計シート!P$113:P$132)*AN$2</f>
        <v>0</v>
      </c>
      <c r="AO743" s="88">
        <f>SUMIF(月間集計シート!$M$113:$M$132,$G743,月間集計シート!Q$113:Q$132)*AO$2</f>
        <v>0</v>
      </c>
      <c r="AP743" s="88">
        <f>SUMIF(月間集計シート!$M$113:$M$132,$G743,月間集計シート!R$113:R$132)*AP$2</f>
        <v>0</v>
      </c>
      <c r="AQ743" s="88">
        <f>SUMIF(月間集計シート!$M$113:$M$132,$G743,月間集計シート!S$113:S$132)*AQ$2</f>
        <v>0</v>
      </c>
      <c r="AR743" s="88">
        <f>SUMIF(月間集計シート!$M$113:$M$132,$G743,月間集計シート!T$113:T$132)*AR$2</f>
        <v>0</v>
      </c>
      <c r="AS743" s="88">
        <f>SUMIF(月間集計シート!$M$134:$M$153,$G743,月間集計シート!N$134:N$153)*AS$2</f>
        <v>0</v>
      </c>
      <c r="AT743" s="88">
        <f>SUMIF(月間集計シート!$M$134:$M$153,$G743,月間集計シート!O$134:O$153)*AT$2</f>
        <v>0</v>
      </c>
      <c r="AU743" s="88">
        <f>SUMIF(月間集計シート!$M$134:$M$153,$G743,月間集計シート!P$134:P$153)*AU$2</f>
        <v>0</v>
      </c>
      <c r="AV743" s="88">
        <f>SUMIF(月間集計シート!$M$134:$M$153,$G743,月間集計シート!Q$134:Q$153)*AV$2</f>
        <v>0</v>
      </c>
      <c r="AW743" s="88">
        <f>SUMIF(月間集計シート!$M$134:$M$153,$G743,月間集計シート!R$134:R$153)*AW$2</f>
        <v>0</v>
      </c>
      <c r="AX743" s="88">
        <f>SUMIF(月間集計シート!$M$134:$M$153,$G743,月間集計シート!S$134:S$153)*AX$2</f>
        <v>0</v>
      </c>
      <c r="AY743" s="88">
        <f>SUMIF(月間集計シート!$M$134:$M$153,$G743,月間集計シート!T$134:T$153)*AY$2</f>
        <v>0</v>
      </c>
    </row>
    <row r="744" spans="1:51" ht="14.25" thickBot="1">
      <c r="A744">
        <v>9</v>
      </c>
      <c r="B744" s="120">
        <f t="shared" si="358"/>
        <v>0</v>
      </c>
      <c r="C744" s="120" t="str">
        <f t="shared" si="359"/>
        <v/>
      </c>
      <c r="D744" s="137"/>
      <c r="E744" s="150">
        <f>工種!A56</f>
        <v>70109</v>
      </c>
      <c r="F744" s="119" t="str">
        <f>工種!B56</f>
        <v>外部不具合修正：レビュー</v>
      </c>
      <c r="G744" s="116" t="str">
        <f t="shared" si="360"/>
        <v>070109</v>
      </c>
      <c r="H744" s="88">
        <f t="shared" si="314"/>
        <v>0</v>
      </c>
      <c r="I744" s="132"/>
      <c r="J744" s="88">
        <f>SUMIF(月間集計シート!$M$29:$M$48,$G744,月間集計シート!N$29:N$48)*J$2</f>
        <v>0</v>
      </c>
      <c r="K744" s="88">
        <f>SUMIF(月間集計シート!$M$29:$M$48,$G744,月間集計シート!O$29:O$48)*K$2</f>
        <v>0</v>
      </c>
      <c r="L744" s="88">
        <f>SUMIF(月間集計シート!$M$29:$M$48,$G744,月間集計シート!P$29:P$48)*L$2</f>
        <v>0</v>
      </c>
      <c r="M744" s="88">
        <f>SUMIF(月間集計シート!$M$29:$M$48,$G744,月間集計シート!Q$29:Q$48)*M$2</f>
        <v>0</v>
      </c>
      <c r="N744" s="88">
        <f>SUMIF(月間集計シート!$M$29:$M$48,$G744,月間集計シート!R$29:R$48)*N$2</f>
        <v>0</v>
      </c>
      <c r="O744" s="88">
        <f>SUMIF(月間集計シート!$M$29:$M$48,$G744,月間集計シート!S$29:S$48)*O$2</f>
        <v>0</v>
      </c>
      <c r="P744" s="88">
        <f>SUMIF(月間集計シート!$M$29:$M$48,$G744,月間集計シート!T$29:T$48)*P$2</f>
        <v>0</v>
      </c>
      <c r="Q744" s="88">
        <f>SUMIF(月間集計シート!$M$50:$M$69,$G744,月間集計シート!N$50:N$69)*Q$2</f>
        <v>0</v>
      </c>
      <c r="R744" s="88">
        <f>SUMIF(月間集計シート!$M$50:$M$69,$G744,月間集計シート!O$50:O$69)*R$2</f>
        <v>0</v>
      </c>
      <c r="S744" s="88">
        <f>SUMIF(月間集計シート!$M$50:$M$69,$G744,月間集計シート!P$50:P$69)*S$2</f>
        <v>0</v>
      </c>
      <c r="T744" s="88">
        <f>SUMIF(月間集計シート!$M$50:$M$69,$G744,月間集計シート!Q$50:Q$69)*T$2</f>
        <v>0</v>
      </c>
      <c r="U744" s="88">
        <f>SUMIF(月間集計シート!$M$50:$M$69,$G744,月間集計シート!R$50:R$69)*U$2</f>
        <v>0</v>
      </c>
      <c r="V744" s="88">
        <f>SUMIF(月間集計シート!$M$50:$M$69,$G744,月間集計シート!S$50:S$69)*V$2</f>
        <v>0</v>
      </c>
      <c r="W744" s="88">
        <f>SUMIF(月間集計シート!$M$50:$M$69,$G744,月間集計シート!T$50:T$69)*W$2</f>
        <v>0</v>
      </c>
      <c r="X744" s="88">
        <f>SUMIF(月間集計シート!$M$71:$M$90,$G744,月間集計シート!N$71:N$90)*X$2</f>
        <v>0</v>
      </c>
      <c r="Y744" s="88">
        <f>SUMIF(月間集計シート!$M$71:$M$90,$G744,月間集計シート!O$71:O$90)*Y$2</f>
        <v>0</v>
      </c>
      <c r="Z744" s="88">
        <f>SUMIF(月間集計シート!$M$71:$M$90,$G744,月間集計シート!P$71:P$90)*Z$2</f>
        <v>0</v>
      </c>
      <c r="AA744" s="88">
        <f>SUMIF(月間集計シート!$M$71:$M$90,$G744,月間集計シート!Q$71:Q$90)*AA$2</f>
        <v>0</v>
      </c>
      <c r="AB744" s="88">
        <f>SUMIF(月間集計シート!$M$71:$M$90,$G744,月間集計シート!R$71:R$90)*AB$2</f>
        <v>0</v>
      </c>
      <c r="AC744" s="88">
        <f>SUMIF(月間集計シート!$M$71:$M$90,$G744,月間集計シート!S$71:S$90)*AC$2</f>
        <v>0</v>
      </c>
      <c r="AD744" s="88">
        <f>SUMIF(月間集計シート!$M$71:$M$90,$G744,月間集計シート!T$71:T$90)*AD$2</f>
        <v>0</v>
      </c>
      <c r="AE744" s="88">
        <f>SUMIF(月間集計シート!$M$92:$M$111,$G744,月間集計シート!N$92:N$111)*AE$2</f>
        <v>0</v>
      </c>
      <c r="AF744" s="88">
        <f>SUMIF(月間集計シート!$M$92:$M$111,$G744,月間集計シート!O$92:O$111)*AF$2</f>
        <v>0</v>
      </c>
      <c r="AG744" s="88">
        <f>SUMIF(月間集計シート!$M$92:$M$111,$G744,月間集計シート!P$92:P$111)*AG$2</f>
        <v>0</v>
      </c>
      <c r="AH744" s="88">
        <f>SUMIF(月間集計シート!$M$92:$M$111,$G744,月間集計シート!Q$92:Q$111)*AH$2</f>
        <v>0</v>
      </c>
      <c r="AI744" s="88">
        <f>SUMIF(月間集計シート!$M$92:$M$111,$G744,月間集計シート!R$92:R$111)*AI$2</f>
        <v>0</v>
      </c>
      <c r="AJ744" s="88">
        <f>SUMIF(月間集計シート!$M$92:$M$111,$G744,月間集計シート!S$92:S$111)*AJ$2</f>
        <v>0</v>
      </c>
      <c r="AK744" s="88">
        <f>SUMIF(月間集計シート!$M$92:$M$111,$G744,月間集計シート!T$92:T$111)*AK$2</f>
        <v>0</v>
      </c>
      <c r="AL744" s="88">
        <f>SUMIF(月間集計シート!$M$113:$M$132,$G744,月間集計シート!N$113:N$132)*AL$2</f>
        <v>0</v>
      </c>
      <c r="AM744" s="88">
        <f>SUMIF(月間集計シート!$M$113:$M$132,$G744,月間集計シート!O$113:O$132)*AM$2</f>
        <v>0</v>
      </c>
      <c r="AN744" s="88">
        <f>SUMIF(月間集計シート!$M$113:$M$132,$G744,月間集計シート!P$113:P$132)*AN$2</f>
        <v>0</v>
      </c>
      <c r="AO744" s="88">
        <f>SUMIF(月間集計シート!$M$113:$M$132,$G744,月間集計シート!Q$113:Q$132)*AO$2</f>
        <v>0</v>
      </c>
      <c r="AP744" s="88">
        <f>SUMIF(月間集計シート!$M$113:$M$132,$G744,月間集計シート!R$113:R$132)*AP$2</f>
        <v>0</v>
      </c>
      <c r="AQ744" s="88">
        <f>SUMIF(月間集計シート!$M$113:$M$132,$G744,月間集計シート!S$113:S$132)*AQ$2</f>
        <v>0</v>
      </c>
      <c r="AR744" s="88">
        <f>SUMIF(月間集計シート!$M$113:$M$132,$G744,月間集計シート!T$113:T$132)*AR$2</f>
        <v>0</v>
      </c>
      <c r="AS744" s="88">
        <f>SUMIF(月間集計シート!$M$134:$M$153,$G744,月間集計シート!N$134:N$153)*AS$2</f>
        <v>0</v>
      </c>
      <c r="AT744" s="88">
        <f>SUMIF(月間集計シート!$M$134:$M$153,$G744,月間集計シート!O$134:O$153)*AT$2</f>
        <v>0</v>
      </c>
      <c r="AU744" s="88">
        <f>SUMIF(月間集計シート!$M$134:$M$153,$G744,月間集計シート!P$134:P$153)*AU$2</f>
        <v>0</v>
      </c>
      <c r="AV744" s="88">
        <f>SUMIF(月間集計シート!$M$134:$M$153,$G744,月間集計シート!Q$134:Q$153)*AV$2</f>
        <v>0</v>
      </c>
      <c r="AW744" s="88">
        <f>SUMIF(月間集計シート!$M$134:$M$153,$G744,月間集計シート!R$134:R$153)*AW$2</f>
        <v>0</v>
      </c>
      <c r="AX744" s="88">
        <f>SUMIF(月間集計シート!$M$134:$M$153,$G744,月間集計シート!S$134:S$153)*AX$2</f>
        <v>0</v>
      </c>
      <c r="AY744" s="88">
        <f>SUMIF(月間集計シート!$M$134:$M$153,$G744,月間集計シート!T$134:T$153)*AY$2</f>
        <v>0</v>
      </c>
    </row>
    <row r="745" spans="1:51" ht="14.25" thickBot="1">
      <c r="A745">
        <v>9</v>
      </c>
      <c r="B745" s="120">
        <f t="shared" si="358"/>
        <v>0</v>
      </c>
      <c r="C745" s="120" t="str">
        <f t="shared" si="359"/>
        <v/>
      </c>
      <c r="D745" s="137"/>
      <c r="E745" s="150">
        <f>工種!A57</f>
        <v>70189</v>
      </c>
      <c r="F745" s="119" t="str">
        <f>工種!B57</f>
        <v>外部不具合修正：外部不具合分析</v>
      </c>
      <c r="G745" s="116" t="str">
        <f t="shared" si="360"/>
        <v>070189</v>
      </c>
      <c r="H745" s="88">
        <f t="shared" si="314"/>
        <v>0</v>
      </c>
      <c r="I745" s="132"/>
      <c r="J745" s="88">
        <f>SUMIF(月間集計シート!$M$29:$M$48,$G745,月間集計シート!N$29:N$48)*J$2</f>
        <v>0</v>
      </c>
      <c r="K745" s="88">
        <f>SUMIF(月間集計シート!$M$29:$M$48,$G745,月間集計シート!O$29:O$48)*K$2</f>
        <v>0</v>
      </c>
      <c r="L745" s="88">
        <f>SUMIF(月間集計シート!$M$29:$M$48,$G745,月間集計シート!P$29:P$48)*L$2</f>
        <v>0</v>
      </c>
      <c r="M745" s="88">
        <f>SUMIF(月間集計シート!$M$29:$M$48,$G745,月間集計シート!Q$29:Q$48)*M$2</f>
        <v>0</v>
      </c>
      <c r="N745" s="88">
        <f>SUMIF(月間集計シート!$M$29:$M$48,$G745,月間集計シート!R$29:R$48)*N$2</f>
        <v>0</v>
      </c>
      <c r="O745" s="88">
        <f>SUMIF(月間集計シート!$M$29:$M$48,$G745,月間集計シート!S$29:S$48)*O$2</f>
        <v>0</v>
      </c>
      <c r="P745" s="88">
        <f>SUMIF(月間集計シート!$M$29:$M$48,$G745,月間集計シート!T$29:T$48)*P$2</f>
        <v>0</v>
      </c>
      <c r="Q745" s="88">
        <f>SUMIF(月間集計シート!$M$50:$M$69,$G745,月間集計シート!N$50:N$69)*Q$2</f>
        <v>0</v>
      </c>
      <c r="R745" s="88">
        <f>SUMIF(月間集計シート!$M$50:$M$69,$G745,月間集計シート!O$50:O$69)*R$2</f>
        <v>0</v>
      </c>
      <c r="S745" s="88">
        <f>SUMIF(月間集計シート!$M$50:$M$69,$G745,月間集計シート!P$50:P$69)*S$2</f>
        <v>0</v>
      </c>
      <c r="T745" s="88">
        <f>SUMIF(月間集計シート!$M$50:$M$69,$G745,月間集計シート!Q$50:Q$69)*T$2</f>
        <v>0</v>
      </c>
      <c r="U745" s="88">
        <f>SUMIF(月間集計シート!$M$50:$M$69,$G745,月間集計シート!R$50:R$69)*U$2</f>
        <v>0</v>
      </c>
      <c r="V745" s="88">
        <f>SUMIF(月間集計シート!$M$50:$M$69,$G745,月間集計シート!S$50:S$69)*V$2</f>
        <v>0</v>
      </c>
      <c r="W745" s="88">
        <f>SUMIF(月間集計シート!$M$50:$M$69,$G745,月間集計シート!T$50:T$69)*W$2</f>
        <v>0</v>
      </c>
      <c r="X745" s="88">
        <f>SUMIF(月間集計シート!$M$71:$M$90,$G745,月間集計シート!N$71:N$90)*X$2</f>
        <v>0</v>
      </c>
      <c r="Y745" s="88">
        <f>SUMIF(月間集計シート!$M$71:$M$90,$G745,月間集計シート!O$71:O$90)*Y$2</f>
        <v>0</v>
      </c>
      <c r="Z745" s="88">
        <f>SUMIF(月間集計シート!$M$71:$M$90,$G745,月間集計シート!P$71:P$90)*Z$2</f>
        <v>0</v>
      </c>
      <c r="AA745" s="88">
        <f>SUMIF(月間集計シート!$M$71:$M$90,$G745,月間集計シート!Q$71:Q$90)*AA$2</f>
        <v>0</v>
      </c>
      <c r="AB745" s="88">
        <f>SUMIF(月間集計シート!$M$71:$M$90,$G745,月間集計シート!R$71:R$90)*AB$2</f>
        <v>0</v>
      </c>
      <c r="AC745" s="88">
        <f>SUMIF(月間集計シート!$M$71:$M$90,$G745,月間集計シート!S$71:S$90)*AC$2</f>
        <v>0</v>
      </c>
      <c r="AD745" s="88">
        <f>SUMIF(月間集計シート!$M$71:$M$90,$G745,月間集計シート!T$71:T$90)*AD$2</f>
        <v>0</v>
      </c>
      <c r="AE745" s="88">
        <f>SUMIF(月間集計シート!$M$92:$M$111,$G745,月間集計シート!N$92:N$111)*AE$2</f>
        <v>0</v>
      </c>
      <c r="AF745" s="88">
        <f>SUMIF(月間集計シート!$M$92:$M$111,$G745,月間集計シート!O$92:O$111)*AF$2</f>
        <v>0</v>
      </c>
      <c r="AG745" s="88">
        <f>SUMIF(月間集計シート!$M$92:$M$111,$G745,月間集計シート!P$92:P$111)*AG$2</f>
        <v>0</v>
      </c>
      <c r="AH745" s="88">
        <f>SUMIF(月間集計シート!$M$92:$M$111,$G745,月間集計シート!Q$92:Q$111)*AH$2</f>
        <v>0</v>
      </c>
      <c r="AI745" s="88">
        <f>SUMIF(月間集計シート!$M$92:$M$111,$G745,月間集計シート!R$92:R$111)*AI$2</f>
        <v>0</v>
      </c>
      <c r="AJ745" s="88">
        <f>SUMIF(月間集計シート!$M$92:$M$111,$G745,月間集計シート!S$92:S$111)*AJ$2</f>
        <v>0</v>
      </c>
      <c r="AK745" s="88">
        <f>SUMIF(月間集計シート!$M$92:$M$111,$G745,月間集計シート!T$92:T$111)*AK$2</f>
        <v>0</v>
      </c>
      <c r="AL745" s="88">
        <f>SUMIF(月間集計シート!$M$113:$M$132,$G745,月間集計シート!N$113:N$132)*AL$2</f>
        <v>0</v>
      </c>
      <c r="AM745" s="88">
        <f>SUMIF(月間集計シート!$M$113:$M$132,$G745,月間集計シート!O$113:O$132)*AM$2</f>
        <v>0</v>
      </c>
      <c r="AN745" s="88">
        <f>SUMIF(月間集計シート!$M$113:$M$132,$G745,月間集計シート!P$113:P$132)*AN$2</f>
        <v>0</v>
      </c>
      <c r="AO745" s="88">
        <f>SUMIF(月間集計シート!$M$113:$M$132,$G745,月間集計シート!Q$113:Q$132)*AO$2</f>
        <v>0</v>
      </c>
      <c r="AP745" s="88">
        <f>SUMIF(月間集計シート!$M$113:$M$132,$G745,月間集計シート!R$113:R$132)*AP$2</f>
        <v>0</v>
      </c>
      <c r="AQ745" s="88">
        <f>SUMIF(月間集計シート!$M$113:$M$132,$G745,月間集計シート!S$113:S$132)*AQ$2</f>
        <v>0</v>
      </c>
      <c r="AR745" s="88">
        <f>SUMIF(月間集計シート!$M$113:$M$132,$G745,月間集計シート!T$113:T$132)*AR$2</f>
        <v>0</v>
      </c>
      <c r="AS745" s="88">
        <f>SUMIF(月間集計シート!$M$134:$M$153,$G745,月間集計シート!N$134:N$153)*AS$2</f>
        <v>0</v>
      </c>
      <c r="AT745" s="88">
        <f>SUMIF(月間集計シート!$M$134:$M$153,$G745,月間集計シート!O$134:O$153)*AT$2</f>
        <v>0</v>
      </c>
      <c r="AU745" s="88">
        <f>SUMIF(月間集計シート!$M$134:$M$153,$G745,月間集計シート!P$134:P$153)*AU$2</f>
        <v>0</v>
      </c>
      <c r="AV745" s="88">
        <f>SUMIF(月間集計シート!$M$134:$M$153,$G745,月間集計シート!Q$134:Q$153)*AV$2</f>
        <v>0</v>
      </c>
      <c r="AW745" s="88">
        <f>SUMIF(月間集計シート!$M$134:$M$153,$G745,月間集計シート!R$134:R$153)*AW$2</f>
        <v>0</v>
      </c>
      <c r="AX745" s="88">
        <f>SUMIF(月間集計シート!$M$134:$M$153,$G745,月間集計シート!S$134:S$153)*AX$2</f>
        <v>0</v>
      </c>
      <c r="AY745" s="88">
        <f>SUMIF(月間集計シート!$M$134:$M$153,$G745,月間集計シート!T$134:T$153)*AY$2</f>
        <v>0</v>
      </c>
    </row>
    <row r="746" spans="1:51" ht="14.25" thickBot="1">
      <c r="A746">
        <v>9</v>
      </c>
      <c r="B746" s="120">
        <f t="shared" si="358"/>
        <v>0</v>
      </c>
      <c r="C746" s="120" t="str">
        <f t="shared" si="359"/>
        <v/>
      </c>
      <c r="D746" s="137"/>
      <c r="E746" s="150">
        <f>工種!A58</f>
        <v>70199</v>
      </c>
      <c r="F746" s="119" t="str">
        <f>工種!B58</f>
        <v>外部不具合修正：その他</v>
      </c>
      <c r="G746" s="116" t="str">
        <f t="shared" si="360"/>
        <v>070199</v>
      </c>
      <c r="H746" s="88">
        <f t="shared" si="314"/>
        <v>0</v>
      </c>
      <c r="I746" s="132"/>
      <c r="J746" s="88">
        <f>SUMIF(月間集計シート!$M$29:$M$48,$G746,月間集計シート!N$29:N$48)*J$2</f>
        <v>0</v>
      </c>
      <c r="K746" s="88">
        <f>SUMIF(月間集計シート!$M$29:$M$48,$G746,月間集計シート!O$29:O$48)*K$2</f>
        <v>0</v>
      </c>
      <c r="L746" s="88">
        <f>SUMIF(月間集計シート!$M$29:$M$48,$G746,月間集計シート!P$29:P$48)*L$2</f>
        <v>0</v>
      </c>
      <c r="M746" s="88">
        <f>SUMIF(月間集計シート!$M$29:$M$48,$G746,月間集計シート!Q$29:Q$48)*M$2</f>
        <v>0</v>
      </c>
      <c r="N746" s="88">
        <f>SUMIF(月間集計シート!$M$29:$M$48,$G746,月間集計シート!R$29:R$48)*N$2</f>
        <v>0</v>
      </c>
      <c r="O746" s="88">
        <f>SUMIF(月間集計シート!$M$29:$M$48,$G746,月間集計シート!S$29:S$48)*O$2</f>
        <v>0</v>
      </c>
      <c r="P746" s="88">
        <f>SUMIF(月間集計シート!$M$29:$M$48,$G746,月間集計シート!T$29:T$48)*P$2</f>
        <v>0</v>
      </c>
      <c r="Q746" s="88">
        <f>SUMIF(月間集計シート!$M$50:$M$69,$G746,月間集計シート!N$50:N$69)*Q$2</f>
        <v>0</v>
      </c>
      <c r="R746" s="88">
        <f>SUMIF(月間集計シート!$M$50:$M$69,$G746,月間集計シート!O$50:O$69)*R$2</f>
        <v>0</v>
      </c>
      <c r="S746" s="88">
        <f>SUMIF(月間集計シート!$M$50:$M$69,$G746,月間集計シート!P$50:P$69)*S$2</f>
        <v>0</v>
      </c>
      <c r="T746" s="88">
        <f>SUMIF(月間集計シート!$M$50:$M$69,$G746,月間集計シート!Q$50:Q$69)*T$2</f>
        <v>0</v>
      </c>
      <c r="U746" s="88">
        <f>SUMIF(月間集計シート!$M$50:$M$69,$G746,月間集計シート!R$50:R$69)*U$2</f>
        <v>0</v>
      </c>
      <c r="V746" s="88">
        <f>SUMIF(月間集計シート!$M$50:$M$69,$G746,月間集計シート!S$50:S$69)*V$2</f>
        <v>0</v>
      </c>
      <c r="W746" s="88">
        <f>SUMIF(月間集計シート!$M$50:$M$69,$G746,月間集計シート!T$50:T$69)*W$2</f>
        <v>0</v>
      </c>
      <c r="X746" s="88">
        <f>SUMIF(月間集計シート!$M$71:$M$90,$G746,月間集計シート!N$71:N$90)*X$2</f>
        <v>0</v>
      </c>
      <c r="Y746" s="88">
        <f>SUMIF(月間集計シート!$M$71:$M$90,$G746,月間集計シート!O$71:O$90)*Y$2</f>
        <v>0</v>
      </c>
      <c r="Z746" s="88">
        <f>SUMIF(月間集計シート!$M$71:$M$90,$G746,月間集計シート!P$71:P$90)*Z$2</f>
        <v>0</v>
      </c>
      <c r="AA746" s="88">
        <f>SUMIF(月間集計シート!$M$71:$M$90,$G746,月間集計シート!Q$71:Q$90)*AA$2</f>
        <v>0</v>
      </c>
      <c r="AB746" s="88">
        <f>SUMIF(月間集計シート!$M$71:$M$90,$G746,月間集計シート!R$71:R$90)*AB$2</f>
        <v>0</v>
      </c>
      <c r="AC746" s="88">
        <f>SUMIF(月間集計シート!$M$71:$M$90,$G746,月間集計シート!S$71:S$90)*AC$2</f>
        <v>0</v>
      </c>
      <c r="AD746" s="88">
        <f>SUMIF(月間集計シート!$M$71:$M$90,$G746,月間集計シート!T$71:T$90)*AD$2</f>
        <v>0</v>
      </c>
      <c r="AE746" s="88">
        <f>SUMIF(月間集計シート!$M$92:$M$111,$G746,月間集計シート!N$92:N$111)*AE$2</f>
        <v>0</v>
      </c>
      <c r="AF746" s="88">
        <f>SUMIF(月間集計シート!$M$92:$M$111,$G746,月間集計シート!O$92:O$111)*AF$2</f>
        <v>0</v>
      </c>
      <c r="AG746" s="88">
        <f>SUMIF(月間集計シート!$M$92:$M$111,$G746,月間集計シート!P$92:P$111)*AG$2</f>
        <v>0</v>
      </c>
      <c r="AH746" s="88">
        <f>SUMIF(月間集計シート!$M$92:$M$111,$G746,月間集計シート!Q$92:Q$111)*AH$2</f>
        <v>0</v>
      </c>
      <c r="AI746" s="88">
        <f>SUMIF(月間集計シート!$M$92:$M$111,$G746,月間集計シート!R$92:R$111)*AI$2</f>
        <v>0</v>
      </c>
      <c r="AJ746" s="88">
        <f>SUMIF(月間集計シート!$M$92:$M$111,$G746,月間集計シート!S$92:S$111)*AJ$2</f>
        <v>0</v>
      </c>
      <c r="AK746" s="88">
        <f>SUMIF(月間集計シート!$M$92:$M$111,$G746,月間集計シート!T$92:T$111)*AK$2</f>
        <v>0</v>
      </c>
      <c r="AL746" s="88">
        <f>SUMIF(月間集計シート!$M$113:$M$132,$G746,月間集計シート!N$113:N$132)*AL$2</f>
        <v>0</v>
      </c>
      <c r="AM746" s="88">
        <f>SUMIF(月間集計シート!$M$113:$M$132,$G746,月間集計シート!O$113:O$132)*AM$2</f>
        <v>0</v>
      </c>
      <c r="AN746" s="88">
        <f>SUMIF(月間集計シート!$M$113:$M$132,$G746,月間集計シート!P$113:P$132)*AN$2</f>
        <v>0</v>
      </c>
      <c r="AO746" s="88">
        <f>SUMIF(月間集計シート!$M$113:$M$132,$G746,月間集計シート!Q$113:Q$132)*AO$2</f>
        <v>0</v>
      </c>
      <c r="AP746" s="88">
        <f>SUMIF(月間集計シート!$M$113:$M$132,$G746,月間集計シート!R$113:R$132)*AP$2</f>
        <v>0</v>
      </c>
      <c r="AQ746" s="88">
        <f>SUMIF(月間集計シート!$M$113:$M$132,$G746,月間集計シート!S$113:S$132)*AQ$2</f>
        <v>0</v>
      </c>
      <c r="AR746" s="88">
        <f>SUMIF(月間集計シート!$M$113:$M$132,$G746,月間集計シート!T$113:T$132)*AR$2</f>
        <v>0</v>
      </c>
      <c r="AS746" s="88">
        <f>SUMIF(月間集計シート!$M$134:$M$153,$G746,月間集計シート!N$134:N$153)*AS$2</f>
        <v>0</v>
      </c>
      <c r="AT746" s="88">
        <f>SUMIF(月間集計シート!$M$134:$M$153,$G746,月間集計シート!O$134:O$153)*AT$2</f>
        <v>0</v>
      </c>
      <c r="AU746" s="88">
        <f>SUMIF(月間集計シート!$M$134:$M$153,$G746,月間集計シート!P$134:P$153)*AU$2</f>
        <v>0</v>
      </c>
      <c r="AV746" s="88">
        <f>SUMIF(月間集計シート!$M$134:$M$153,$G746,月間集計シート!Q$134:Q$153)*AV$2</f>
        <v>0</v>
      </c>
      <c r="AW746" s="88">
        <f>SUMIF(月間集計シート!$M$134:$M$153,$G746,月間集計シート!R$134:R$153)*AW$2</f>
        <v>0</v>
      </c>
      <c r="AX746" s="88">
        <f>SUMIF(月間集計シート!$M$134:$M$153,$G746,月間集計シート!S$134:S$153)*AX$2</f>
        <v>0</v>
      </c>
      <c r="AY746" s="88">
        <f>SUMIF(月間集計シート!$M$134:$M$153,$G746,月間集計シート!T$134:T$153)*AY$2</f>
        <v>0</v>
      </c>
    </row>
    <row r="747" spans="1:51" ht="14.25" thickBot="1">
      <c r="A747">
        <v>9</v>
      </c>
      <c r="B747" s="120">
        <f t="shared" si="358"/>
        <v>0</v>
      </c>
      <c r="C747" s="120" t="str">
        <f t="shared" si="359"/>
        <v/>
      </c>
      <c r="D747" s="137"/>
      <c r="E747" s="150" t="str">
        <f>工種!A59</f>
        <v>80101</v>
      </c>
      <c r="F747" s="119" t="str">
        <f>工種!B59</f>
        <v>保守／ｻﾎﾟｰﾄ：調査</v>
      </c>
      <c r="G747" s="116" t="str">
        <f t="shared" si="360"/>
        <v>080101</v>
      </c>
      <c r="H747" s="88">
        <f t="shared" si="314"/>
        <v>0</v>
      </c>
      <c r="I747" s="132"/>
      <c r="J747" s="88">
        <f>SUMIF(月間集計シート!$M$29:$M$48,$G747,月間集計シート!N$29:N$48)*J$2</f>
        <v>0</v>
      </c>
      <c r="K747" s="88">
        <f>SUMIF(月間集計シート!$M$29:$M$48,$G747,月間集計シート!O$29:O$48)*K$2</f>
        <v>0</v>
      </c>
      <c r="L747" s="88">
        <f>SUMIF(月間集計シート!$M$29:$M$48,$G747,月間集計シート!P$29:P$48)*L$2</f>
        <v>0</v>
      </c>
      <c r="M747" s="88">
        <f>SUMIF(月間集計シート!$M$29:$M$48,$G747,月間集計シート!Q$29:Q$48)*M$2</f>
        <v>0</v>
      </c>
      <c r="N747" s="88">
        <f>SUMIF(月間集計シート!$M$29:$M$48,$G747,月間集計シート!R$29:R$48)*N$2</f>
        <v>0</v>
      </c>
      <c r="O747" s="88">
        <f>SUMIF(月間集計シート!$M$29:$M$48,$G747,月間集計シート!S$29:S$48)*O$2</f>
        <v>0</v>
      </c>
      <c r="P747" s="88">
        <f>SUMIF(月間集計シート!$M$29:$M$48,$G747,月間集計シート!T$29:T$48)*P$2</f>
        <v>0</v>
      </c>
      <c r="Q747" s="88">
        <f>SUMIF(月間集計シート!$M$50:$M$69,$G747,月間集計シート!N$50:N$69)*Q$2</f>
        <v>0</v>
      </c>
      <c r="R747" s="88">
        <f>SUMIF(月間集計シート!$M$50:$M$69,$G747,月間集計シート!O$50:O$69)*R$2</f>
        <v>0</v>
      </c>
      <c r="S747" s="88">
        <f>SUMIF(月間集計シート!$M$50:$M$69,$G747,月間集計シート!P$50:P$69)*S$2</f>
        <v>0</v>
      </c>
      <c r="T747" s="88">
        <f>SUMIF(月間集計シート!$M$50:$M$69,$G747,月間集計シート!Q$50:Q$69)*T$2</f>
        <v>0</v>
      </c>
      <c r="U747" s="88">
        <f>SUMIF(月間集計シート!$M$50:$M$69,$G747,月間集計シート!R$50:R$69)*U$2</f>
        <v>0</v>
      </c>
      <c r="V747" s="88">
        <f>SUMIF(月間集計シート!$M$50:$M$69,$G747,月間集計シート!S$50:S$69)*V$2</f>
        <v>0</v>
      </c>
      <c r="W747" s="88">
        <f>SUMIF(月間集計シート!$M$50:$M$69,$G747,月間集計シート!T$50:T$69)*W$2</f>
        <v>0</v>
      </c>
      <c r="X747" s="88">
        <f>SUMIF(月間集計シート!$M$71:$M$90,$G747,月間集計シート!N$71:N$90)*X$2</f>
        <v>0</v>
      </c>
      <c r="Y747" s="88">
        <f>SUMIF(月間集計シート!$M$71:$M$90,$G747,月間集計シート!O$71:O$90)*Y$2</f>
        <v>0</v>
      </c>
      <c r="Z747" s="88">
        <f>SUMIF(月間集計シート!$M$71:$M$90,$G747,月間集計シート!P$71:P$90)*Z$2</f>
        <v>0</v>
      </c>
      <c r="AA747" s="88">
        <f>SUMIF(月間集計シート!$M$71:$M$90,$G747,月間集計シート!Q$71:Q$90)*AA$2</f>
        <v>0</v>
      </c>
      <c r="AB747" s="88">
        <f>SUMIF(月間集計シート!$M$71:$M$90,$G747,月間集計シート!R$71:R$90)*AB$2</f>
        <v>0</v>
      </c>
      <c r="AC747" s="88">
        <f>SUMIF(月間集計シート!$M$71:$M$90,$G747,月間集計シート!S$71:S$90)*AC$2</f>
        <v>0</v>
      </c>
      <c r="AD747" s="88">
        <f>SUMIF(月間集計シート!$M$71:$M$90,$G747,月間集計シート!T$71:T$90)*AD$2</f>
        <v>0</v>
      </c>
      <c r="AE747" s="88">
        <f>SUMIF(月間集計シート!$M$92:$M$111,$G747,月間集計シート!N$92:N$111)*AE$2</f>
        <v>0</v>
      </c>
      <c r="AF747" s="88">
        <f>SUMIF(月間集計シート!$M$92:$M$111,$G747,月間集計シート!O$92:O$111)*AF$2</f>
        <v>0</v>
      </c>
      <c r="AG747" s="88">
        <f>SUMIF(月間集計シート!$M$92:$M$111,$G747,月間集計シート!P$92:P$111)*AG$2</f>
        <v>0</v>
      </c>
      <c r="AH747" s="88">
        <f>SUMIF(月間集計シート!$M$92:$M$111,$G747,月間集計シート!Q$92:Q$111)*AH$2</f>
        <v>0</v>
      </c>
      <c r="AI747" s="88">
        <f>SUMIF(月間集計シート!$M$92:$M$111,$G747,月間集計シート!R$92:R$111)*AI$2</f>
        <v>0</v>
      </c>
      <c r="AJ747" s="88">
        <f>SUMIF(月間集計シート!$M$92:$M$111,$G747,月間集計シート!S$92:S$111)*AJ$2</f>
        <v>0</v>
      </c>
      <c r="AK747" s="88">
        <f>SUMIF(月間集計シート!$M$92:$M$111,$G747,月間集計シート!T$92:T$111)*AK$2</f>
        <v>0</v>
      </c>
      <c r="AL747" s="88">
        <f>SUMIF(月間集計シート!$M$113:$M$132,$G747,月間集計シート!N$113:N$132)*AL$2</f>
        <v>0</v>
      </c>
      <c r="AM747" s="88">
        <f>SUMIF(月間集計シート!$M$113:$M$132,$G747,月間集計シート!O$113:O$132)*AM$2</f>
        <v>0</v>
      </c>
      <c r="AN747" s="88">
        <f>SUMIF(月間集計シート!$M$113:$M$132,$G747,月間集計シート!P$113:P$132)*AN$2</f>
        <v>0</v>
      </c>
      <c r="AO747" s="88">
        <f>SUMIF(月間集計シート!$M$113:$M$132,$G747,月間集計シート!Q$113:Q$132)*AO$2</f>
        <v>0</v>
      </c>
      <c r="AP747" s="88">
        <f>SUMIF(月間集計シート!$M$113:$M$132,$G747,月間集計シート!R$113:R$132)*AP$2</f>
        <v>0</v>
      </c>
      <c r="AQ747" s="88">
        <f>SUMIF(月間集計シート!$M$113:$M$132,$G747,月間集計シート!S$113:S$132)*AQ$2</f>
        <v>0</v>
      </c>
      <c r="AR747" s="88">
        <f>SUMIF(月間集計シート!$M$113:$M$132,$G747,月間集計シート!T$113:T$132)*AR$2</f>
        <v>0</v>
      </c>
      <c r="AS747" s="88">
        <f>SUMIF(月間集計シート!$M$134:$M$153,$G747,月間集計シート!N$134:N$153)*AS$2</f>
        <v>0</v>
      </c>
      <c r="AT747" s="88">
        <f>SUMIF(月間集計シート!$M$134:$M$153,$G747,月間集計シート!O$134:O$153)*AT$2</f>
        <v>0</v>
      </c>
      <c r="AU747" s="88">
        <f>SUMIF(月間集計シート!$M$134:$M$153,$G747,月間集計シート!P$134:P$153)*AU$2</f>
        <v>0</v>
      </c>
      <c r="AV747" s="88">
        <f>SUMIF(月間集計シート!$M$134:$M$153,$G747,月間集計シート!Q$134:Q$153)*AV$2</f>
        <v>0</v>
      </c>
      <c r="AW747" s="88">
        <f>SUMIF(月間集計シート!$M$134:$M$153,$G747,月間集計シート!R$134:R$153)*AW$2</f>
        <v>0</v>
      </c>
      <c r="AX747" s="88">
        <f>SUMIF(月間集計シート!$M$134:$M$153,$G747,月間集計シート!S$134:S$153)*AX$2</f>
        <v>0</v>
      </c>
      <c r="AY747" s="88">
        <f>SUMIF(月間集計シート!$M$134:$M$153,$G747,月間集計シート!T$134:T$153)*AY$2</f>
        <v>0</v>
      </c>
    </row>
    <row r="748" spans="1:51" ht="14.25" thickBot="1">
      <c r="A748">
        <v>9</v>
      </c>
      <c r="B748" s="120">
        <f t="shared" si="358"/>
        <v>0</v>
      </c>
      <c r="C748" s="120" t="str">
        <f t="shared" si="359"/>
        <v/>
      </c>
      <c r="D748" s="137"/>
      <c r="E748" s="150" t="str">
        <f>工種!A60</f>
        <v>80102</v>
      </c>
      <c r="F748" s="119" t="str">
        <f>工種!B60</f>
        <v>保守／ｻﾎﾟｰﾄ：社内問い合わせ</v>
      </c>
      <c r="G748" s="116" t="str">
        <f t="shared" si="360"/>
        <v>080102</v>
      </c>
      <c r="H748" s="88">
        <f t="shared" si="314"/>
        <v>0</v>
      </c>
      <c r="I748" s="132"/>
      <c r="J748" s="88">
        <f>SUMIF(月間集計シート!$M$29:$M$48,$G748,月間集計シート!N$29:N$48)*J$2</f>
        <v>0</v>
      </c>
      <c r="K748" s="88">
        <f>SUMIF(月間集計シート!$M$29:$M$48,$G748,月間集計シート!O$29:O$48)*K$2</f>
        <v>0</v>
      </c>
      <c r="L748" s="88">
        <f>SUMIF(月間集計シート!$M$29:$M$48,$G748,月間集計シート!P$29:P$48)*L$2</f>
        <v>0</v>
      </c>
      <c r="M748" s="88">
        <f>SUMIF(月間集計シート!$M$29:$M$48,$G748,月間集計シート!Q$29:Q$48)*M$2</f>
        <v>0</v>
      </c>
      <c r="N748" s="88">
        <f>SUMIF(月間集計シート!$M$29:$M$48,$G748,月間集計シート!R$29:R$48)*N$2</f>
        <v>0</v>
      </c>
      <c r="O748" s="88">
        <f>SUMIF(月間集計シート!$M$29:$M$48,$G748,月間集計シート!S$29:S$48)*O$2</f>
        <v>0</v>
      </c>
      <c r="P748" s="88">
        <f>SUMIF(月間集計シート!$M$29:$M$48,$G748,月間集計シート!T$29:T$48)*P$2</f>
        <v>0</v>
      </c>
      <c r="Q748" s="88">
        <f>SUMIF(月間集計シート!$M$50:$M$69,$G748,月間集計シート!N$50:N$69)*Q$2</f>
        <v>0</v>
      </c>
      <c r="R748" s="88">
        <f>SUMIF(月間集計シート!$M$50:$M$69,$G748,月間集計シート!O$50:O$69)*R$2</f>
        <v>0</v>
      </c>
      <c r="S748" s="88">
        <f>SUMIF(月間集計シート!$M$50:$M$69,$G748,月間集計シート!P$50:P$69)*S$2</f>
        <v>0</v>
      </c>
      <c r="T748" s="88">
        <f>SUMIF(月間集計シート!$M$50:$M$69,$G748,月間集計シート!Q$50:Q$69)*T$2</f>
        <v>0</v>
      </c>
      <c r="U748" s="88">
        <f>SUMIF(月間集計シート!$M$50:$M$69,$G748,月間集計シート!R$50:R$69)*U$2</f>
        <v>0</v>
      </c>
      <c r="V748" s="88">
        <f>SUMIF(月間集計シート!$M$50:$M$69,$G748,月間集計シート!S$50:S$69)*V$2</f>
        <v>0</v>
      </c>
      <c r="W748" s="88">
        <f>SUMIF(月間集計シート!$M$50:$M$69,$G748,月間集計シート!T$50:T$69)*W$2</f>
        <v>0</v>
      </c>
      <c r="X748" s="88">
        <f>SUMIF(月間集計シート!$M$71:$M$90,$G748,月間集計シート!N$71:N$90)*X$2</f>
        <v>0</v>
      </c>
      <c r="Y748" s="88">
        <f>SUMIF(月間集計シート!$M$71:$M$90,$G748,月間集計シート!O$71:O$90)*Y$2</f>
        <v>0</v>
      </c>
      <c r="Z748" s="88">
        <f>SUMIF(月間集計シート!$M$71:$M$90,$G748,月間集計シート!P$71:P$90)*Z$2</f>
        <v>0</v>
      </c>
      <c r="AA748" s="88">
        <f>SUMIF(月間集計シート!$M$71:$M$90,$G748,月間集計シート!Q$71:Q$90)*AA$2</f>
        <v>0</v>
      </c>
      <c r="AB748" s="88">
        <f>SUMIF(月間集計シート!$M$71:$M$90,$G748,月間集計シート!R$71:R$90)*AB$2</f>
        <v>0</v>
      </c>
      <c r="AC748" s="88">
        <f>SUMIF(月間集計シート!$M$71:$M$90,$G748,月間集計シート!S$71:S$90)*AC$2</f>
        <v>0</v>
      </c>
      <c r="AD748" s="88">
        <f>SUMIF(月間集計シート!$M$71:$M$90,$G748,月間集計シート!T$71:T$90)*AD$2</f>
        <v>0</v>
      </c>
      <c r="AE748" s="88">
        <f>SUMIF(月間集計シート!$M$92:$M$111,$G748,月間集計シート!N$92:N$111)*AE$2</f>
        <v>0</v>
      </c>
      <c r="AF748" s="88">
        <f>SUMIF(月間集計シート!$M$92:$M$111,$G748,月間集計シート!O$92:O$111)*AF$2</f>
        <v>0</v>
      </c>
      <c r="AG748" s="88">
        <f>SUMIF(月間集計シート!$M$92:$M$111,$G748,月間集計シート!P$92:P$111)*AG$2</f>
        <v>0</v>
      </c>
      <c r="AH748" s="88">
        <f>SUMIF(月間集計シート!$M$92:$M$111,$G748,月間集計シート!Q$92:Q$111)*AH$2</f>
        <v>0</v>
      </c>
      <c r="AI748" s="88">
        <f>SUMIF(月間集計シート!$M$92:$M$111,$G748,月間集計シート!R$92:R$111)*AI$2</f>
        <v>0</v>
      </c>
      <c r="AJ748" s="88">
        <f>SUMIF(月間集計シート!$M$92:$M$111,$G748,月間集計シート!S$92:S$111)*AJ$2</f>
        <v>0</v>
      </c>
      <c r="AK748" s="88">
        <f>SUMIF(月間集計シート!$M$92:$M$111,$G748,月間集計シート!T$92:T$111)*AK$2</f>
        <v>0</v>
      </c>
      <c r="AL748" s="88">
        <f>SUMIF(月間集計シート!$M$113:$M$132,$G748,月間集計シート!N$113:N$132)*AL$2</f>
        <v>0</v>
      </c>
      <c r="AM748" s="88">
        <f>SUMIF(月間集計シート!$M$113:$M$132,$G748,月間集計シート!O$113:O$132)*AM$2</f>
        <v>0</v>
      </c>
      <c r="AN748" s="88">
        <f>SUMIF(月間集計シート!$M$113:$M$132,$G748,月間集計シート!P$113:P$132)*AN$2</f>
        <v>0</v>
      </c>
      <c r="AO748" s="88">
        <f>SUMIF(月間集計シート!$M$113:$M$132,$G748,月間集計シート!Q$113:Q$132)*AO$2</f>
        <v>0</v>
      </c>
      <c r="AP748" s="88">
        <f>SUMIF(月間集計シート!$M$113:$M$132,$G748,月間集計シート!R$113:R$132)*AP$2</f>
        <v>0</v>
      </c>
      <c r="AQ748" s="88">
        <f>SUMIF(月間集計シート!$M$113:$M$132,$G748,月間集計シート!S$113:S$132)*AQ$2</f>
        <v>0</v>
      </c>
      <c r="AR748" s="88">
        <f>SUMIF(月間集計シート!$M$113:$M$132,$G748,月間集計シート!T$113:T$132)*AR$2</f>
        <v>0</v>
      </c>
      <c r="AS748" s="88">
        <f>SUMIF(月間集計シート!$M$134:$M$153,$G748,月間集計シート!N$134:N$153)*AS$2</f>
        <v>0</v>
      </c>
      <c r="AT748" s="88">
        <f>SUMIF(月間集計シート!$M$134:$M$153,$G748,月間集計シート!O$134:O$153)*AT$2</f>
        <v>0</v>
      </c>
      <c r="AU748" s="88">
        <f>SUMIF(月間集計シート!$M$134:$M$153,$G748,月間集計シート!P$134:P$153)*AU$2</f>
        <v>0</v>
      </c>
      <c r="AV748" s="88">
        <f>SUMIF(月間集計シート!$M$134:$M$153,$G748,月間集計シート!Q$134:Q$153)*AV$2</f>
        <v>0</v>
      </c>
      <c r="AW748" s="88">
        <f>SUMIF(月間集計シート!$M$134:$M$153,$G748,月間集計シート!R$134:R$153)*AW$2</f>
        <v>0</v>
      </c>
      <c r="AX748" s="88">
        <f>SUMIF(月間集計シート!$M$134:$M$153,$G748,月間集計シート!S$134:S$153)*AX$2</f>
        <v>0</v>
      </c>
      <c r="AY748" s="88">
        <f>SUMIF(月間集計シート!$M$134:$M$153,$G748,月間集計シート!T$134:T$153)*AY$2</f>
        <v>0</v>
      </c>
    </row>
    <row r="749" spans="1:51" ht="14.25" thickBot="1">
      <c r="A749">
        <v>9</v>
      </c>
      <c r="B749" s="120">
        <f t="shared" si="358"/>
        <v>0</v>
      </c>
      <c r="C749" s="120" t="str">
        <f t="shared" si="359"/>
        <v/>
      </c>
      <c r="D749" s="137"/>
      <c r="E749" s="150" t="str">
        <f>工種!A61</f>
        <v>80103</v>
      </c>
      <c r="F749" s="119" t="str">
        <f>工種!B61</f>
        <v>保守／ｻﾎﾟｰﾄ：支社・他部門支援</v>
      </c>
      <c r="G749" s="116" t="str">
        <f t="shared" si="360"/>
        <v>080103</v>
      </c>
      <c r="H749" s="88">
        <f t="shared" si="314"/>
        <v>0</v>
      </c>
      <c r="I749" s="132"/>
      <c r="J749" s="88">
        <f>SUMIF(月間集計シート!$M$29:$M$48,$G749,月間集計シート!N$29:N$48)*J$2</f>
        <v>0</v>
      </c>
      <c r="K749" s="88">
        <f>SUMIF(月間集計シート!$M$29:$M$48,$G749,月間集計シート!O$29:O$48)*K$2</f>
        <v>0</v>
      </c>
      <c r="L749" s="88">
        <f>SUMIF(月間集計シート!$M$29:$M$48,$G749,月間集計シート!P$29:P$48)*L$2</f>
        <v>0</v>
      </c>
      <c r="M749" s="88">
        <f>SUMIF(月間集計シート!$M$29:$M$48,$G749,月間集計シート!Q$29:Q$48)*M$2</f>
        <v>0</v>
      </c>
      <c r="N749" s="88">
        <f>SUMIF(月間集計シート!$M$29:$M$48,$G749,月間集計シート!R$29:R$48)*N$2</f>
        <v>0</v>
      </c>
      <c r="O749" s="88">
        <f>SUMIF(月間集計シート!$M$29:$M$48,$G749,月間集計シート!S$29:S$48)*O$2</f>
        <v>0</v>
      </c>
      <c r="P749" s="88">
        <f>SUMIF(月間集計シート!$M$29:$M$48,$G749,月間集計シート!T$29:T$48)*P$2</f>
        <v>0</v>
      </c>
      <c r="Q749" s="88">
        <f>SUMIF(月間集計シート!$M$50:$M$69,$G749,月間集計シート!N$50:N$69)*Q$2</f>
        <v>0</v>
      </c>
      <c r="R749" s="88">
        <f>SUMIF(月間集計シート!$M$50:$M$69,$G749,月間集計シート!O$50:O$69)*R$2</f>
        <v>0</v>
      </c>
      <c r="S749" s="88">
        <f>SUMIF(月間集計シート!$M$50:$M$69,$G749,月間集計シート!P$50:P$69)*S$2</f>
        <v>0</v>
      </c>
      <c r="T749" s="88">
        <f>SUMIF(月間集計シート!$M$50:$M$69,$G749,月間集計シート!Q$50:Q$69)*T$2</f>
        <v>0</v>
      </c>
      <c r="U749" s="88">
        <f>SUMIF(月間集計シート!$M$50:$M$69,$G749,月間集計シート!R$50:R$69)*U$2</f>
        <v>0</v>
      </c>
      <c r="V749" s="88">
        <f>SUMIF(月間集計シート!$M$50:$M$69,$G749,月間集計シート!S$50:S$69)*V$2</f>
        <v>0</v>
      </c>
      <c r="W749" s="88">
        <f>SUMIF(月間集計シート!$M$50:$M$69,$G749,月間集計シート!T$50:T$69)*W$2</f>
        <v>0</v>
      </c>
      <c r="X749" s="88">
        <f>SUMIF(月間集計シート!$M$71:$M$90,$G749,月間集計シート!N$71:N$90)*X$2</f>
        <v>0</v>
      </c>
      <c r="Y749" s="88">
        <f>SUMIF(月間集計シート!$M$71:$M$90,$G749,月間集計シート!O$71:O$90)*Y$2</f>
        <v>0</v>
      </c>
      <c r="Z749" s="88">
        <f>SUMIF(月間集計シート!$M$71:$M$90,$G749,月間集計シート!P$71:P$90)*Z$2</f>
        <v>0</v>
      </c>
      <c r="AA749" s="88">
        <f>SUMIF(月間集計シート!$M$71:$M$90,$G749,月間集計シート!Q$71:Q$90)*AA$2</f>
        <v>0</v>
      </c>
      <c r="AB749" s="88">
        <f>SUMIF(月間集計シート!$M$71:$M$90,$G749,月間集計シート!R$71:R$90)*AB$2</f>
        <v>0</v>
      </c>
      <c r="AC749" s="88">
        <f>SUMIF(月間集計シート!$M$71:$M$90,$G749,月間集計シート!S$71:S$90)*AC$2</f>
        <v>0</v>
      </c>
      <c r="AD749" s="88">
        <f>SUMIF(月間集計シート!$M$71:$M$90,$G749,月間集計シート!T$71:T$90)*AD$2</f>
        <v>0</v>
      </c>
      <c r="AE749" s="88">
        <f>SUMIF(月間集計シート!$M$92:$M$111,$G749,月間集計シート!N$92:N$111)*AE$2</f>
        <v>0</v>
      </c>
      <c r="AF749" s="88">
        <f>SUMIF(月間集計シート!$M$92:$M$111,$G749,月間集計シート!O$92:O$111)*AF$2</f>
        <v>0</v>
      </c>
      <c r="AG749" s="88">
        <f>SUMIF(月間集計シート!$M$92:$M$111,$G749,月間集計シート!P$92:P$111)*AG$2</f>
        <v>0</v>
      </c>
      <c r="AH749" s="88">
        <f>SUMIF(月間集計シート!$M$92:$M$111,$G749,月間集計シート!Q$92:Q$111)*AH$2</f>
        <v>0</v>
      </c>
      <c r="AI749" s="88">
        <f>SUMIF(月間集計シート!$M$92:$M$111,$G749,月間集計シート!R$92:R$111)*AI$2</f>
        <v>0</v>
      </c>
      <c r="AJ749" s="88">
        <f>SUMIF(月間集計シート!$M$92:$M$111,$G749,月間集計シート!S$92:S$111)*AJ$2</f>
        <v>0</v>
      </c>
      <c r="AK749" s="88">
        <f>SUMIF(月間集計シート!$M$92:$M$111,$G749,月間集計シート!T$92:T$111)*AK$2</f>
        <v>0</v>
      </c>
      <c r="AL749" s="88">
        <f>SUMIF(月間集計シート!$M$113:$M$132,$G749,月間集計シート!N$113:N$132)*AL$2</f>
        <v>0</v>
      </c>
      <c r="AM749" s="88">
        <f>SUMIF(月間集計シート!$M$113:$M$132,$G749,月間集計シート!O$113:O$132)*AM$2</f>
        <v>0</v>
      </c>
      <c r="AN749" s="88">
        <f>SUMIF(月間集計シート!$M$113:$M$132,$G749,月間集計シート!P$113:P$132)*AN$2</f>
        <v>0</v>
      </c>
      <c r="AO749" s="88">
        <f>SUMIF(月間集計シート!$M$113:$M$132,$G749,月間集計シート!Q$113:Q$132)*AO$2</f>
        <v>0</v>
      </c>
      <c r="AP749" s="88">
        <f>SUMIF(月間集計シート!$M$113:$M$132,$G749,月間集計シート!R$113:R$132)*AP$2</f>
        <v>0</v>
      </c>
      <c r="AQ749" s="88">
        <f>SUMIF(月間集計シート!$M$113:$M$132,$G749,月間集計シート!S$113:S$132)*AQ$2</f>
        <v>0</v>
      </c>
      <c r="AR749" s="88">
        <f>SUMIF(月間集計シート!$M$113:$M$132,$G749,月間集計シート!T$113:T$132)*AR$2</f>
        <v>0</v>
      </c>
      <c r="AS749" s="88">
        <f>SUMIF(月間集計シート!$M$134:$M$153,$G749,月間集計シート!N$134:N$153)*AS$2</f>
        <v>0</v>
      </c>
      <c r="AT749" s="88">
        <f>SUMIF(月間集計シート!$M$134:$M$153,$G749,月間集計シート!O$134:O$153)*AT$2</f>
        <v>0</v>
      </c>
      <c r="AU749" s="88">
        <f>SUMIF(月間集計シート!$M$134:$M$153,$G749,月間集計シート!P$134:P$153)*AU$2</f>
        <v>0</v>
      </c>
      <c r="AV749" s="88">
        <f>SUMIF(月間集計シート!$M$134:$M$153,$G749,月間集計シート!Q$134:Q$153)*AV$2</f>
        <v>0</v>
      </c>
      <c r="AW749" s="88">
        <f>SUMIF(月間集計シート!$M$134:$M$153,$G749,月間集計シート!R$134:R$153)*AW$2</f>
        <v>0</v>
      </c>
      <c r="AX749" s="88">
        <f>SUMIF(月間集計シート!$M$134:$M$153,$G749,月間集計シート!S$134:S$153)*AX$2</f>
        <v>0</v>
      </c>
      <c r="AY749" s="88">
        <f>SUMIF(月間集計シート!$M$134:$M$153,$G749,月間集計シート!T$134:T$153)*AY$2</f>
        <v>0</v>
      </c>
    </row>
    <row r="750" spans="1:51" ht="14.25" thickBot="1">
      <c r="A750">
        <v>9</v>
      </c>
      <c r="B750" s="120">
        <f t="shared" si="358"/>
        <v>0</v>
      </c>
      <c r="C750" s="120" t="str">
        <f t="shared" si="359"/>
        <v/>
      </c>
      <c r="D750" s="137"/>
      <c r="E750" s="150" t="str">
        <f>工種!A62</f>
        <v>80104</v>
      </c>
      <c r="F750" s="119" t="str">
        <f>工種!B62</f>
        <v>保守／ｻﾎﾟｰﾄ：連絡文書作成・更新</v>
      </c>
      <c r="G750" s="116" t="str">
        <f t="shared" si="360"/>
        <v>080104</v>
      </c>
      <c r="H750" s="88">
        <f t="shared" si="314"/>
        <v>0</v>
      </c>
      <c r="I750" s="132"/>
      <c r="J750" s="88">
        <f>SUMIF(月間集計シート!$M$29:$M$48,$G750,月間集計シート!N$29:N$48)*J$2</f>
        <v>0</v>
      </c>
      <c r="K750" s="88">
        <f>SUMIF(月間集計シート!$M$29:$M$48,$G750,月間集計シート!O$29:O$48)*K$2</f>
        <v>0</v>
      </c>
      <c r="L750" s="88">
        <f>SUMIF(月間集計シート!$M$29:$M$48,$G750,月間集計シート!P$29:P$48)*L$2</f>
        <v>0</v>
      </c>
      <c r="M750" s="88">
        <f>SUMIF(月間集計シート!$M$29:$M$48,$G750,月間集計シート!Q$29:Q$48)*M$2</f>
        <v>0</v>
      </c>
      <c r="N750" s="88">
        <f>SUMIF(月間集計シート!$M$29:$M$48,$G750,月間集計シート!R$29:R$48)*N$2</f>
        <v>0</v>
      </c>
      <c r="O750" s="88">
        <f>SUMIF(月間集計シート!$M$29:$M$48,$G750,月間集計シート!S$29:S$48)*O$2</f>
        <v>0</v>
      </c>
      <c r="P750" s="88">
        <f>SUMIF(月間集計シート!$M$29:$M$48,$G750,月間集計シート!T$29:T$48)*P$2</f>
        <v>0</v>
      </c>
      <c r="Q750" s="88">
        <f>SUMIF(月間集計シート!$M$50:$M$69,$G750,月間集計シート!N$50:N$69)*Q$2</f>
        <v>0</v>
      </c>
      <c r="R750" s="88">
        <f>SUMIF(月間集計シート!$M$50:$M$69,$G750,月間集計シート!O$50:O$69)*R$2</f>
        <v>0</v>
      </c>
      <c r="S750" s="88">
        <f>SUMIF(月間集計シート!$M$50:$M$69,$G750,月間集計シート!P$50:P$69)*S$2</f>
        <v>0</v>
      </c>
      <c r="T750" s="88">
        <f>SUMIF(月間集計シート!$M$50:$M$69,$G750,月間集計シート!Q$50:Q$69)*T$2</f>
        <v>0</v>
      </c>
      <c r="U750" s="88">
        <f>SUMIF(月間集計シート!$M$50:$M$69,$G750,月間集計シート!R$50:R$69)*U$2</f>
        <v>0</v>
      </c>
      <c r="V750" s="88">
        <f>SUMIF(月間集計シート!$M$50:$M$69,$G750,月間集計シート!S$50:S$69)*V$2</f>
        <v>0</v>
      </c>
      <c r="W750" s="88">
        <f>SUMIF(月間集計シート!$M$50:$M$69,$G750,月間集計シート!T$50:T$69)*W$2</f>
        <v>0</v>
      </c>
      <c r="X750" s="88">
        <f>SUMIF(月間集計シート!$M$71:$M$90,$G750,月間集計シート!N$71:N$90)*X$2</f>
        <v>0</v>
      </c>
      <c r="Y750" s="88">
        <f>SUMIF(月間集計シート!$M$71:$M$90,$G750,月間集計シート!O$71:O$90)*Y$2</f>
        <v>0</v>
      </c>
      <c r="Z750" s="88">
        <f>SUMIF(月間集計シート!$M$71:$M$90,$G750,月間集計シート!P$71:P$90)*Z$2</f>
        <v>0</v>
      </c>
      <c r="AA750" s="88">
        <f>SUMIF(月間集計シート!$M$71:$M$90,$G750,月間集計シート!Q$71:Q$90)*AA$2</f>
        <v>0</v>
      </c>
      <c r="AB750" s="88">
        <f>SUMIF(月間集計シート!$M$71:$M$90,$G750,月間集計シート!R$71:R$90)*AB$2</f>
        <v>0</v>
      </c>
      <c r="AC750" s="88">
        <f>SUMIF(月間集計シート!$M$71:$M$90,$G750,月間集計シート!S$71:S$90)*AC$2</f>
        <v>0</v>
      </c>
      <c r="AD750" s="88">
        <f>SUMIF(月間集計シート!$M$71:$M$90,$G750,月間集計シート!T$71:T$90)*AD$2</f>
        <v>0</v>
      </c>
      <c r="AE750" s="88">
        <f>SUMIF(月間集計シート!$M$92:$M$111,$G750,月間集計シート!N$92:N$111)*AE$2</f>
        <v>0</v>
      </c>
      <c r="AF750" s="88">
        <f>SUMIF(月間集計シート!$M$92:$M$111,$G750,月間集計シート!O$92:O$111)*AF$2</f>
        <v>0</v>
      </c>
      <c r="AG750" s="88">
        <f>SUMIF(月間集計シート!$M$92:$M$111,$G750,月間集計シート!P$92:P$111)*AG$2</f>
        <v>0</v>
      </c>
      <c r="AH750" s="88">
        <f>SUMIF(月間集計シート!$M$92:$M$111,$G750,月間集計シート!Q$92:Q$111)*AH$2</f>
        <v>0</v>
      </c>
      <c r="AI750" s="88">
        <f>SUMIF(月間集計シート!$M$92:$M$111,$G750,月間集計シート!R$92:R$111)*AI$2</f>
        <v>0</v>
      </c>
      <c r="AJ750" s="88">
        <f>SUMIF(月間集計シート!$M$92:$M$111,$G750,月間集計シート!S$92:S$111)*AJ$2</f>
        <v>0</v>
      </c>
      <c r="AK750" s="88">
        <f>SUMIF(月間集計シート!$M$92:$M$111,$G750,月間集計シート!T$92:T$111)*AK$2</f>
        <v>0</v>
      </c>
      <c r="AL750" s="88">
        <f>SUMIF(月間集計シート!$M$113:$M$132,$G750,月間集計シート!N$113:N$132)*AL$2</f>
        <v>0</v>
      </c>
      <c r="AM750" s="88">
        <f>SUMIF(月間集計シート!$M$113:$M$132,$G750,月間集計シート!O$113:O$132)*AM$2</f>
        <v>0</v>
      </c>
      <c r="AN750" s="88">
        <f>SUMIF(月間集計シート!$M$113:$M$132,$G750,月間集計シート!P$113:P$132)*AN$2</f>
        <v>0</v>
      </c>
      <c r="AO750" s="88">
        <f>SUMIF(月間集計シート!$M$113:$M$132,$G750,月間集計シート!Q$113:Q$132)*AO$2</f>
        <v>0</v>
      </c>
      <c r="AP750" s="88">
        <f>SUMIF(月間集計シート!$M$113:$M$132,$G750,月間集計シート!R$113:R$132)*AP$2</f>
        <v>0</v>
      </c>
      <c r="AQ750" s="88">
        <f>SUMIF(月間集計シート!$M$113:$M$132,$G750,月間集計シート!S$113:S$132)*AQ$2</f>
        <v>0</v>
      </c>
      <c r="AR750" s="88">
        <f>SUMIF(月間集計シート!$M$113:$M$132,$G750,月間集計シート!T$113:T$132)*AR$2</f>
        <v>0</v>
      </c>
      <c r="AS750" s="88">
        <f>SUMIF(月間集計シート!$M$134:$M$153,$G750,月間集計シート!N$134:N$153)*AS$2</f>
        <v>0</v>
      </c>
      <c r="AT750" s="88">
        <f>SUMIF(月間集計シート!$M$134:$M$153,$G750,月間集計シート!O$134:O$153)*AT$2</f>
        <v>0</v>
      </c>
      <c r="AU750" s="88">
        <f>SUMIF(月間集計シート!$M$134:$M$153,$G750,月間集計シート!P$134:P$153)*AU$2</f>
        <v>0</v>
      </c>
      <c r="AV750" s="88">
        <f>SUMIF(月間集計シート!$M$134:$M$153,$G750,月間集計シート!Q$134:Q$153)*AV$2</f>
        <v>0</v>
      </c>
      <c r="AW750" s="88">
        <f>SUMIF(月間集計シート!$M$134:$M$153,$G750,月間集計シート!R$134:R$153)*AW$2</f>
        <v>0</v>
      </c>
      <c r="AX750" s="88">
        <f>SUMIF(月間集計シート!$M$134:$M$153,$G750,月間集計シート!S$134:S$153)*AX$2</f>
        <v>0</v>
      </c>
      <c r="AY750" s="88">
        <f>SUMIF(月間集計シート!$M$134:$M$153,$G750,月間集計シート!T$134:T$153)*AY$2</f>
        <v>0</v>
      </c>
    </row>
    <row r="751" spans="1:51" ht="14.25" thickBot="1">
      <c r="A751">
        <v>9</v>
      </c>
      <c r="B751" s="120">
        <f t="shared" si="358"/>
        <v>0</v>
      </c>
      <c r="C751" s="120" t="str">
        <f t="shared" si="359"/>
        <v/>
      </c>
      <c r="D751" s="137"/>
      <c r="E751" s="150" t="str">
        <f>工種!A63</f>
        <v>80105</v>
      </c>
      <c r="F751" s="119" t="str">
        <f>工種!B63</f>
        <v>保守／ｻﾎﾟｰﾄ：ｲﾝﾄﾗ資料更新</v>
      </c>
      <c r="G751" s="116" t="str">
        <f t="shared" ref="G751:G768" si="361">B751&amp;E751</f>
        <v>080105</v>
      </c>
      <c r="H751" s="88">
        <f t="shared" ref="H751:H752" si="362">SUM(J751:AY751)</f>
        <v>0</v>
      </c>
      <c r="I751" s="132"/>
      <c r="J751" s="88">
        <f>SUMIF(月間集計シート!$M$29:$M$48,$G751,月間集計シート!N$29:N$48)*J$2</f>
        <v>0</v>
      </c>
      <c r="K751" s="88">
        <f>SUMIF(月間集計シート!$M$29:$M$48,$G751,月間集計シート!O$29:O$48)*K$2</f>
        <v>0</v>
      </c>
      <c r="L751" s="88">
        <f>SUMIF(月間集計シート!$M$29:$M$48,$G751,月間集計シート!P$29:P$48)*L$2</f>
        <v>0</v>
      </c>
      <c r="M751" s="88">
        <f>SUMIF(月間集計シート!$M$29:$M$48,$G751,月間集計シート!Q$29:Q$48)*M$2</f>
        <v>0</v>
      </c>
      <c r="N751" s="88">
        <f>SUMIF(月間集計シート!$M$29:$M$48,$G751,月間集計シート!R$29:R$48)*N$2</f>
        <v>0</v>
      </c>
      <c r="O751" s="88">
        <f>SUMIF(月間集計シート!$M$29:$M$48,$G751,月間集計シート!S$29:S$48)*O$2</f>
        <v>0</v>
      </c>
      <c r="P751" s="88">
        <f>SUMIF(月間集計シート!$M$29:$M$48,$G751,月間集計シート!T$29:T$48)*P$2</f>
        <v>0</v>
      </c>
      <c r="Q751" s="88">
        <f>SUMIF(月間集計シート!$M$50:$M$69,$G751,月間集計シート!N$50:N$69)*Q$2</f>
        <v>0</v>
      </c>
      <c r="R751" s="88">
        <f>SUMIF(月間集計シート!$M$50:$M$69,$G751,月間集計シート!O$50:O$69)*R$2</f>
        <v>0</v>
      </c>
      <c r="S751" s="88">
        <f>SUMIF(月間集計シート!$M$50:$M$69,$G751,月間集計シート!P$50:P$69)*S$2</f>
        <v>0</v>
      </c>
      <c r="T751" s="88">
        <f>SUMIF(月間集計シート!$M$50:$M$69,$G751,月間集計シート!Q$50:Q$69)*T$2</f>
        <v>0</v>
      </c>
      <c r="U751" s="88">
        <f>SUMIF(月間集計シート!$M$50:$M$69,$G751,月間集計シート!R$50:R$69)*U$2</f>
        <v>0</v>
      </c>
      <c r="V751" s="88">
        <f>SUMIF(月間集計シート!$M$50:$M$69,$G751,月間集計シート!S$50:S$69)*V$2</f>
        <v>0</v>
      </c>
      <c r="W751" s="88">
        <f>SUMIF(月間集計シート!$M$50:$M$69,$G751,月間集計シート!T$50:T$69)*W$2</f>
        <v>0</v>
      </c>
      <c r="X751" s="88">
        <f>SUMIF(月間集計シート!$M$71:$M$90,$G751,月間集計シート!N$71:N$90)*X$2</f>
        <v>0</v>
      </c>
      <c r="Y751" s="88">
        <f>SUMIF(月間集計シート!$M$71:$M$90,$G751,月間集計シート!O$71:O$90)*Y$2</f>
        <v>0</v>
      </c>
      <c r="Z751" s="88">
        <f>SUMIF(月間集計シート!$M$71:$M$90,$G751,月間集計シート!P$71:P$90)*Z$2</f>
        <v>0</v>
      </c>
      <c r="AA751" s="88">
        <f>SUMIF(月間集計シート!$M$71:$M$90,$G751,月間集計シート!Q$71:Q$90)*AA$2</f>
        <v>0</v>
      </c>
      <c r="AB751" s="88">
        <f>SUMIF(月間集計シート!$M$71:$M$90,$G751,月間集計シート!R$71:R$90)*AB$2</f>
        <v>0</v>
      </c>
      <c r="AC751" s="88">
        <f>SUMIF(月間集計シート!$M$71:$M$90,$G751,月間集計シート!S$71:S$90)*AC$2</f>
        <v>0</v>
      </c>
      <c r="AD751" s="88">
        <f>SUMIF(月間集計シート!$M$71:$M$90,$G751,月間集計シート!T$71:T$90)*AD$2</f>
        <v>0</v>
      </c>
      <c r="AE751" s="88">
        <f>SUMIF(月間集計シート!$M$92:$M$111,$G751,月間集計シート!N$92:N$111)*AE$2</f>
        <v>0</v>
      </c>
      <c r="AF751" s="88">
        <f>SUMIF(月間集計シート!$M$92:$M$111,$G751,月間集計シート!O$92:O$111)*AF$2</f>
        <v>0</v>
      </c>
      <c r="AG751" s="88">
        <f>SUMIF(月間集計シート!$M$92:$M$111,$G751,月間集計シート!P$92:P$111)*AG$2</f>
        <v>0</v>
      </c>
      <c r="AH751" s="88">
        <f>SUMIF(月間集計シート!$M$92:$M$111,$G751,月間集計シート!Q$92:Q$111)*AH$2</f>
        <v>0</v>
      </c>
      <c r="AI751" s="88">
        <f>SUMIF(月間集計シート!$M$92:$M$111,$G751,月間集計シート!R$92:R$111)*AI$2</f>
        <v>0</v>
      </c>
      <c r="AJ751" s="88">
        <f>SUMIF(月間集計シート!$M$92:$M$111,$G751,月間集計シート!S$92:S$111)*AJ$2</f>
        <v>0</v>
      </c>
      <c r="AK751" s="88">
        <f>SUMIF(月間集計シート!$M$92:$M$111,$G751,月間集計シート!T$92:T$111)*AK$2</f>
        <v>0</v>
      </c>
      <c r="AL751" s="88">
        <f>SUMIF(月間集計シート!$M$113:$M$132,$G751,月間集計シート!N$113:N$132)*AL$2</f>
        <v>0</v>
      </c>
      <c r="AM751" s="88">
        <f>SUMIF(月間集計シート!$M$113:$M$132,$G751,月間集計シート!O$113:O$132)*AM$2</f>
        <v>0</v>
      </c>
      <c r="AN751" s="88">
        <f>SUMIF(月間集計シート!$M$113:$M$132,$G751,月間集計シート!P$113:P$132)*AN$2</f>
        <v>0</v>
      </c>
      <c r="AO751" s="88">
        <f>SUMIF(月間集計シート!$M$113:$M$132,$G751,月間集計シート!Q$113:Q$132)*AO$2</f>
        <v>0</v>
      </c>
      <c r="AP751" s="88">
        <f>SUMIF(月間集計シート!$M$113:$M$132,$G751,月間集計シート!R$113:R$132)*AP$2</f>
        <v>0</v>
      </c>
      <c r="AQ751" s="88">
        <f>SUMIF(月間集計シート!$M$113:$M$132,$G751,月間集計シート!S$113:S$132)*AQ$2</f>
        <v>0</v>
      </c>
      <c r="AR751" s="88">
        <f>SUMIF(月間集計シート!$M$113:$M$132,$G751,月間集計シート!T$113:T$132)*AR$2</f>
        <v>0</v>
      </c>
      <c r="AS751" s="88">
        <f>SUMIF(月間集計シート!$M$134:$M$153,$G751,月間集計シート!N$134:N$153)*AS$2</f>
        <v>0</v>
      </c>
      <c r="AT751" s="88">
        <f>SUMIF(月間集計シート!$M$134:$M$153,$G751,月間集計シート!O$134:O$153)*AT$2</f>
        <v>0</v>
      </c>
      <c r="AU751" s="88">
        <f>SUMIF(月間集計シート!$M$134:$M$153,$G751,月間集計シート!P$134:P$153)*AU$2</f>
        <v>0</v>
      </c>
      <c r="AV751" s="88">
        <f>SUMIF(月間集計シート!$M$134:$M$153,$G751,月間集計シート!Q$134:Q$153)*AV$2</f>
        <v>0</v>
      </c>
      <c r="AW751" s="88">
        <f>SUMIF(月間集計シート!$M$134:$M$153,$G751,月間集計シート!R$134:R$153)*AW$2</f>
        <v>0</v>
      </c>
      <c r="AX751" s="88">
        <f>SUMIF(月間集計シート!$M$134:$M$153,$G751,月間集計シート!S$134:S$153)*AX$2</f>
        <v>0</v>
      </c>
      <c r="AY751" s="88">
        <f>SUMIF(月間集計シート!$M$134:$M$153,$G751,月間集計シート!T$134:T$153)*AY$2</f>
        <v>0</v>
      </c>
    </row>
    <row r="752" spans="1:51" ht="14.25" thickBot="1">
      <c r="A752">
        <v>9</v>
      </c>
      <c r="B752" s="120">
        <f t="shared" si="358"/>
        <v>0</v>
      </c>
      <c r="C752" s="120" t="str">
        <f t="shared" si="359"/>
        <v/>
      </c>
      <c r="D752" s="137"/>
      <c r="E752" s="150" t="str">
        <f>工種!A64</f>
        <v>80106</v>
      </c>
      <c r="F752" s="119" t="str">
        <f>工種!B64</f>
        <v>保守／ｻﾎﾟｰﾄ：打合せ</v>
      </c>
      <c r="G752" s="116" t="str">
        <f t="shared" si="361"/>
        <v>080106</v>
      </c>
      <c r="H752" s="88">
        <f t="shared" si="362"/>
        <v>0</v>
      </c>
      <c r="I752" s="132"/>
      <c r="J752" s="88">
        <f>SUMIF(月間集計シート!$M$29:$M$48,$G752,月間集計シート!N$29:N$48)*J$2</f>
        <v>0</v>
      </c>
      <c r="K752" s="88">
        <f>SUMIF(月間集計シート!$M$29:$M$48,$G752,月間集計シート!O$29:O$48)*K$2</f>
        <v>0</v>
      </c>
      <c r="L752" s="88">
        <f>SUMIF(月間集計シート!$M$29:$M$48,$G752,月間集計シート!P$29:P$48)*L$2</f>
        <v>0</v>
      </c>
      <c r="M752" s="88">
        <f>SUMIF(月間集計シート!$M$29:$M$48,$G752,月間集計シート!Q$29:Q$48)*M$2</f>
        <v>0</v>
      </c>
      <c r="N752" s="88">
        <f>SUMIF(月間集計シート!$M$29:$M$48,$G752,月間集計シート!R$29:R$48)*N$2</f>
        <v>0</v>
      </c>
      <c r="O752" s="88">
        <f>SUMIF(月間集計シート!$M$29:$M$48,$G752,月間集計シート!S$29:S$48)*O$2</f>
        <v>0</v>
      </c>
      <c r="P752" s="88">
        <f>SUMIF(月間集計シート!$M$29:$M$48,$G752,月間集計シート!T$29:T$48)*P$2</f>
        <v>0</v>
      </c>
      <c r="Q752" s="88">
        <f>SUMIF(月間集計シート!$M$50:$M$69,$G752,月間集計シート!N$50:N$69)*Q$2</f>
        <v>0</v>
      </c>
      <c r="R752" s="88">
        <f>SUMIF(月間集計シート!$M$50:$M$69,$G752,月間集計シート!O$50:O$69)*R$2</f>
        <v>0</v>
      </c>
      <c r="S752" s="88">
        <f>SUMIF(月間集計シート!$M$50:$M$69,$G752,月間集計シート!P$50:P$69)*S$2</f>
        <v>0</v>
      </c>
      <c r="T752" s="88">
        <f>SUMIF(月間集計シート!$M$50:$M$69,$G752,月間集計シート!Q$50:Q$69)*T$2</f>
        <v>0</v>
      </c>
      <c r="U752" s="88">
        <f>SUMIF(月間集計シート!$M$50:$M$69,$G752,月間集計シート!R$50:R$69)*U$2</f>
        <v>0</v>
      </c>
      <c r="V752" s="88">
        <f>SUMIF(月間集計シート!$M$50:$M$69,$G752,月間集計シート!S$50:S$69)*V$2</f>
        <v>0</v>
      </c>
      <c r="W752" s="88">
        <f>SUMIF(月間集計シート!$M$50:$M$69,$G752,月間集計シート!T$50:T$69)*W$2</f>
        <v>0</v>
      </c>
      <c r="X752" s="88">
        <f>SUMIF(月間集計シート!$M$71:$M$90,$G752,月間集計シート!N$71:N$90)*X$2</f>
        <v>0</v>
      </c>
      <c r="Y752" s="88">
        <f>SUMIF(月間集計シート!$M$71:$M$90,$G752,月間集計シート!O$71:O$90)*Y$2</f>
        <v>0</v>
      </c>
      <c r="Z752" s="88">
        <f>SUMIF(月間集計シート!$M$71:$M$90,$G752,月間集計シート!P$71:P$90)*Z$2</f>
        <v>0</v>
      </c>
      <c r="AA752" s="88">
        <f>SUMIF(月間集計シート!$M$71:$M$90,$G752,月間集計シート!Q$71:Q$90)*AA$2</f>
        <v>0</v>
      </c>
      <c r="AB752" s="88">
        <f>SUMIF(月間集計シート!$M$71:$M$90,$G752,月間集計シート!R$71:R$90)*AB$2</f>
        <v>0</v>
      </c>
      <c r="AC752" s="88">
        <f>SUMIF(月間集計シート!$M$71:$M$90,$G752,月間集計シート!S$71:S$90)*AC$2</f>
        <v>0</v>
      </c>
      <c r="AD752" s="88">
        <f>SUMIF(月間集計シート!$M$71:$M$90,$G752,月間集計シート!T$71:T$90)*AD$2</f>
        <v>0</v>
      </c>
      <c r="AE752" s="88">
        <f>SUMIF(月間集計シート!$M$92:$M$111,$G752,月間集計シート!N$92:N$111)*AE$2</f>
        <v>0</v>
      </c>
      <c r="AF752" s="88">
        <f>SUMIF(月間集計シート!$M$92:$M$111,$G752,月間集計シート!O$92:O$111)*AF$2</f>
        <v>0</v>
      </c>
      <c r="AG752" s="88">
        <f>SUMIF(月間集計シート!$M$92:$M$111,$G752,月間集計シート!P$92:P$111)*AG$2</f>
        <v>0</v>
      </c>
      <c r="AH752" s="88">
        <f>SUMIF(月間集計シート!$M$92:$M$111,$G752,月間集計シート!Q$92:Q$111)*AH$2</f>
        <v>0</v>
      </c>
      <c r="AI752" s="88">
        <f>SUMIF(月間集計シート!$M$92:$M$111,$G752,月間集計シート!R$92:R$111)*AI$2</f>
        <v>0</v>
      </c>
      <c r="AJ752" s="88">
        <f>SUMIF(月間集計シート!$M$92:$M$111,$G752,月間集計シート!S$92:S$111)*AJ$2</f>
        <v>0</v>
      </c>
      <c r="AK752" s="88">
        <f>SUMIF(月間集計シート!$M$92:$M$111,$G752,月間集計シート!T$92:T$111)*AK$2</f>
        <v>0</v>
      </c>
      <c r="AL752" s="88">
        <f>SUMIF(月間集計シート!$M$113:$M$132,$G752,月間集計シート!N$113:N$132)*AL$2</f>
        <v>0</v>
      </c>
      <c r="AM752" s="88">
        <f>SUMIF(月間集計シート!$M$113:$M$132,$G752,月間集計シート!O$113:O$132)*AM$2</f>
        <v>0</v>
      </c>
      <c r="AN752" s="88">
        <f>SUMIF(月間集計シート!$M$113:$M$132,$G752,月間集計シート!P$113:P$132)*AN$2</f>
        <v>0</v>
      </c>
      <c r="AO752" s="88">
        <f>SUMIF(月間集計シート!$M$113:$M$132,$G752,月間集計シート!Q$113:Q$132)*AO$2</f>
        <v>0</v>
      </c>
      <c r="AP752" s="88">
        <f>SUMIF(月間集計シート!$M$113:$M$132,$G752,月間集計シート!R$113:R$132)*AP$2</f>
        <v>0</v>
      </c>
      <c r="AQ752" s="88">
        <f>SUMIF(月間集計シート!$M$113:$M$132,$G752,月間集計シート!S$113:S$132)*AQ$2</f>
        <v>0</v>
      </c>
      <c r="AR752" s="88">
        <f>SUMIF(月間集計シート!$M$113:$M$132,$G752,月間集計シート!T$113:T$132)*AR$2</f>
        <v>0</v>
      </c>
      <c r="AS752" s="88">
        <f>SUMIF(月間集計シート!$M$134:$M$153,$G752,月間集計シート!N$134:N$153)*AS$2</f>
        <v>0</v>
      </c>
      <c r="AT752" s="88">
        <f>SUMIF(月間集計シート!$M$134:$M$153,$G752,月間集計シート!O$134:O$153)*AT$2</f>
        <v>0</v>
      </c>
      <c r="AU752" s="88">
        <f>SUMIF(月間集計シート!$M$134:$M$153,$G752,月間集計シート!P$134:P$153)*AU$2</f>
        <v>0</v>
      </c>
      <c r="AV752" s="88">
        <f>SUMIF(月間集計シート!$M$134:$M$153,$G752,月間集計シート!Q$134:Q$153)*AV$2</f>
        <v>0</v>
      </c>
      <c r="AW752" s="88">
        <f>SUMIF(月間集計シート!$M$134:$M$153,$G752,月間集計シート!R$134:R$153)*AW$2</f>
        <v>0</v>
      </c>
      <c r="AX752" s="88">
        <f>SUMIF(月間集計シート!$M$134:$M$153,$G752,月間集計シート!S$134:S$153)*AX$2</f>
        <v>0</v>
      </c>
      <c r="AY752" s="88">
        <f>SUMIF(月間集計シート!$M$134:$M$153,$G752,月間集計シート!T$134:T$153)*AY$2</f>
        <v>0</v>
      </c>
    </row>
    <row r="753" spans="1:51" ht="14.25" thickBot="1">
      <c r="A753">
        <v>9</v>
      </c>
      <c r="B753" s="120">
        <f t="shared" si="358"/>
        <v>0</v>
      </c>
      <c r="C753" s="120" t="str">
        <f t="shared" si="359"/>
        <v/>
      </c>
      <c r="D753" s="137"/>
      <c r="E753" s="150" t="str">
        <f>工種!A65</f>
        <v>80107</v>
      </c>
      <c r="F753" s="119" t="str">
        <f>工種!B65</f>
        <v>保守／ｻﾎﾟｰﾄ：ﾚﾋﾞｭｰ</v>
      </c>
      <c r="G753" s="116" t="str">
        <f t="shared" si="361"/>
        <v>080107</v>
      </c>
      <c r="H753" s="88">
        <f t="shared" ref="H753:H768" si="363">SUM(J753:AY753)</f>
        <v>0</v>
      </c>
      <c r="I753" s="132"/>
      <c r="J753" s="88">
        <f>SUMIF(月間集計シート!$M$29:$M$48,$G753,月間集計シート!N$29:N$48)*J$2</f>
        <v>0</v>
      </c>
      <c r="K753" s="88">
        <f>SUMIF(月間集計シート!$M$29:$M$48,$G753,月間集計シート!O$29:O$48)*K$2</f>
        <v>0</v>
      </c>
      <c r="L753" s="88">
        <f>SUMIF(月間集計シート!$M$29:$M$48,$G753,月間集計シート!P$29:P$48)*L$2</f>
        <v>0</v>
      </c>
      <c r="M753" s="88">
        <f>SUMIF(月間集計シート!$M$29:$M$48,$G753,月間集計シート!Q$29:Q$48)*M$2</f>
        <v>0</v>
      </c>
      <c r="N753" s="88">
        <f>SUMIF(月間集計シート!$M$29:$M$48,$G753,月間集計シート!R$29:R$48)*N$2</f>
        <v>0</v>
      </c>
      <c r="O753" s="88">
        <f>SUMIF(月間集計シート!$M$29:$M$48,$G753,月間集計シート!S$29:S$48)*O$2</f>
        <v>0</v>
      </c>
      <c r="P753" s="88">
        <f>SUMIF(月間集計シート!$M$29:$M$48,$G753,月間集計シート!T$29:T$48)*P$2</f>
        <v>0</v>
      </c>
      <c r="Q753" s="88">
        <f>SUMIF(月間集計シート!$M$50:$M$69,$G753,月間集計シート!N$50:N$69)*Q$2</f>
        <v>0</v>
      </c>
      <c r="R753" s="88">
        <f>SUMIF(月間集計シート!$M$50:$M$69,$G753,月間集計シート!O$50:O$69)*R$2</f>
        <v>0</v>
      </c>
      <c r="S753" s="88">
        <f>SUMIF(月間集計シート!$M$50:$M$69,$G753,月間集計シート!P$50:P$69)*S$2</f>
        <v>0</v>
      </c>
      <c r="T753" s="88">
        <f>SUMIF(月間集計シート!$M$50:$M$69,$G753,月間集計シート!Q$50:Q$69)*T$2</f>
        <v>0</v>
      </c>
      <c r="U753" s="88">
        <f>SUMIF(月間集計シート!$M$50:$M$69,$G753,月間集計シート!R$50:R$69)*U$2</f>
        <v>0</v>
      </c>
      <c r="V753" s="88">
        <f>SUMIF(月間集計シート!$M$50:$M$69,$G753,月間集計シート!S$50:S$69)*V$2</f>
        <v>0</v>
      </c>
      <c r="W753" s="88">
        <f>SUMIF(月間集計シート!$M$50:$M$69,$G753,月間集計シート!T$50:T$69)*W$2</f>
        <v>0</v>
      </c>
      <c r="X753" s="88">
        <f>SUMIF(月間集計シート!$M$71:$M$90,$G753,月間集計シート!N$71:N$90)*X$2</f>
        <v>0</v>
      </c>
      <c r="Y753" s="88">
        <f>SUMIF(月間集計シート!$M$71:$M$90,$G753,月間集計シート!O$71:O$90)*Y$2</f>
        <v>0</v>
      </c>
      <c r="Z753" s="88">
        <f>SUMIF(月間集計シート!$M$71:$M$90,$G753,月間集計シート!P$71:P$90)*Z$2</f>
        <v>0</v>
      </c>
      <c r="AA753" s="88">
        <f>SUMIF(月間集計シート!$M$71:$M$90,$G753,月間集計シート!Q$71:Q$90)*AA$2</f>
        <v>0</v>
      </c>
      <c r="AB753" s="88">
        <f>SUMIF(月間集計シート!$M$71:$M$90,$G753,月間集計シート!R$71:R$90)*AB$2</f>
        <v>0</v>
      </c>
      <c r="AC753" s="88">
        <f>SUMIF(月間集計シート!$M$71:$M$90,$G753,月間集計シート!S$71:S$90)*AC$2</f>
        <v>0</v>
      </c>
      <c r="AD753" s="88">
        <f>SUMIF(月間集計シート!$M$71:$M$90,$G753,月間集計シート!T$71:T$90)*AD$2</f>
        <v>0</v>
      </c>
      <c r="AE753" s="88">
        <f>SUMIF(月間集計シート!$M$92:$M$111,$G753,月間集計シート!N$92:N$111)*AE$2</f>
        <v>0</v>
      </c>
      <c r="AF753" s="88">
        <f>SUMIF(月間集計シート!$M$92:$M$111,$G753,月間集計シート!O$92:O$111)*AF$2</f>
        <v>0</v>
      </c>
      <c r="AG753" s="88">
        <f>SUMIF(月間集計シート!$M$92:$M$111,$G753,月間集計シート!P$92:P$111)*AG$2</f>
        <v>0</v>
      </c>
      <c r="AH753" s="88">
        <f>SUMIF(月間集計シート!$M$92:$M$111,$G753,月間集計シート!Q$92:Q$111)*AH$2</f>
        <v>0</v>
      </c>
      <c r="AI753" s="88">
        <f>SUMIF(月間集計シート!$M$92:$M$111,$G753,月間集計シート!R$92:R$111)*AI$2</f>
        <v>0</v>
      </c>
      <c r="AJ753" s="88">
        <f>SUMIF(月間集計シート!$M$92:$M$111,$G753,月間集計シート!S$92:S$111)*AJ$2</f>
        <v>0</v>
      </c>
      <c r="AK753" s="88">
        <f>SUMIF(月間集計シート!$M$92:$M$111,$G753,月間集計シート!T$92:T$111)*AK$2</f>
        <v>0</v>
      </c>
      <c r="AL753" s="88">
        <f>SUMIF(月間集計シート!$M$113:$M$132,$G753,月間集計シート!N$113:N$132)*AL$2</f>
        <v>0</v>
      </c>
      <c r="AM753" s="88">
        <f>SUMIF(月間集計シート!$M$113:$M$132,$G753,月間集計シート!O$113:O$132)*AM$2</f>
        <v>0</v>
      </c>
      <c r="AN753" s="88">
        <f>SUMIF(月間集計シート!$M$113:$M$132,$G753,月間集計シート!P$113:P$132)*AN$2</f>
        <v>0</v>
      </c>
      <c r="AO753" s="88">
        <f>SUMIF(月間集計シート!$M$113:$M$132,$G753,月間集計シート!Q$113:Q$132)*AO$2</f>
        <v>0</v>
      </c>
      <c r="AP753" s="88">
        <f>SUMIF(月間集計シート!$M$113:$M$132,$G753,月間集計シート!R$113:R$132)*AP$2</f>
        <v>0</v>
      </c>
      <c r="AQ753" s="88">
        <f>SUMIF(月間集計シート!$M$113:$M$132,$G753,月間集計シート!S$113:S$132)*AQ$2</f>
        <v>0</v>
      </c>
      <c r="AR753" s="88">
        <f>SUMIF(月間集計シート!$M$113:$M$132,$G753,月間集計シート!T$113:T$132)*AR$2</f>
        <v>0</v>
      </c>
      <c r="AS753" s="88">
        <f>SUMIF(月間集計シート!$M$134:$M$153,$G753,月間集計シート!N$134:N$153)*AS$2</f>
        <v>0</v>
      </c>
      <c r="AT753" s="88">
        <f>SUMIF(月間集計シート!$M$134:$M$153,$G753,月間集計シート!O$134:O$153)*AT$2</f>
        <v>0</v>
      </c>
      <c r="AU753" s="88">
        <f>SUMIF(月間集計シート!$M$134:$M$153,$G753,月間集計シート!P$134:P$153)*AU$2</f>
        <v>0</v>
      </c>
      <c r="AV753" s="88">
        <f>SUMIF(月間集計シート!$M$134:$M$153,$G753,月間集計シート!Q$134:Q$153)*AV$2</f>
        <v>0</v>
      </c>
      <c r="AW753" s="88">
        <f>SUMIF(月間集計シート!$M$134:$M$153,$G753,月間集計シート!R$134:R$153)*AW$2</f>
        <v>0</v>
      </c>
      <c r="AX753" s="88">
        <f>SUMIF(月間集計シート!$M$134:$M$153,$G753,月間集計シート!S$134:S$153)*AX$2</f>
        <v>0</v>
      </c>
      <c r="AY753" s="88">
        <f>SUMIF(月間集計シート!$M$134:$M$153,$G753,月間集計シート!T$134:T$153)*AY$2</f>
        <v>0</v>
      </c>
    </row>
    <row r="754" spans="1:51" ht="14.25" thickBot="1">
      <c r="A754">
        <v>9</v>
      </c>
      <c r="B754" s="120">
        <f t="shared" si="358"/>
        <v>0</v>
      </c>
      <c r="C754" s="120" t="str">
        <f t="shared" si="359"/>
        <v/>
      </c>
      <c r="D754" s="137"/>
      <c r="E754" s="150" t="str">
        <f>工種!A66</f>
        <v>80199</v>
      </c>
      <c r="F754" s="119" t="str">
        <f>工種!B66</f>
        <v>保守／ｻﾎﾟｰﾄ：その他</v>
      </c>
      <c r="G754" s="116" t="str">
        <f t="shared" si="361"/>
        <v>080199</v>
      </c>
      <c r="H754" s="88">
        <f t="shared" si="363"/>
        <v>0</v>
      </c>
      <c r="I754" s="132"/>
      <c r="J754" s="88">
        <f>SUMIF(月間集計シート!$M$29:$M$48,$G754,月間集計シート!N$29:N$48)*J$2</f>
        <v>0</v>
      </c>
      <c r="K754" s="88">
        <f>SUMIF(月間集計シート!$M$29:$M$48,$G754,月間集計シート!O$29:O$48)*K$2</f>
        <v>0</v>
      </c>
      <c r="L754" s="88">
        <f>SUMIF(月間集計シート!$M$29:$M$48,$G754,月間集計シート!P$29:P$48)*L$2</f>
        <v>0</v>
      </c>
      <c r="M754" s="88">
        <f>SUMIF(月間集計シート!$M$29:$M$48,$G754,月間集計シート!Q$29:Q$48)*M$2</f>
        <v>0</v>
      </c>
      <c r="N754" s="88">
        <f>SUMIF(月間集計シート!$M$29:$M$48,$G754,月間集計シート!R$29:R$48)*N$2</f>
        <v>0</v>
      </c>
      <c r="O754" s="88">
        <f>SUMIF(月間集計シート!$M$29:$M$48,$G754,月間集計シート!S$29:S$48)*O$2</f>
        <v>0</v>
      </c>
      <c r="P754" s="88">
        <f>SUMIF(月間集計シート!$M$29:$M$48,$G754,月間集計シート!T$29:T$48)*P$2</f>
        <v>0</v>
      </c>
      <c r="Q754" s="88">
        <f>SUMIF(月間集計シート!$M$50:$M$69,$G754,月間集計シート!N$50:N$69)*Q$2</f>
        <v>0</v>
      </c>
      <c r="R754" s="88">
        <f>SUMIF(月間集計シート!$M$50:$M$69,$G754,月間集計シート!O$50:O$69)*R$2</f>
        <v>0</v>
      </c>
      <c r="S754" s="88">
        <f>SUMIF(月間集計シート!$M$50:$M$69,$G754,月間集計シート!P$50:P$69)*S$2</f>
        <v>0</v>
      </c>
      <c r="T754" s="88">
        <f>SUMIF(月間集計シート!$M$50:$M$69,$G754,月間集計シート!Q$50:Q$69)*T$2</f>
        <v>0</v>
      </c>
      <c r="U754" s="88">
        <f>SUMIF(月間集計シート!$M$50:$M$69,$G754,月間集計シート!R$50:R$69)*U$2</f>
        <v>0</v>
      </c>
      <c r="V754" s="88">
        <f>SUMIF(月間集計シート!$M$50:$M$69,$G754,月間集計シート!S$50:S$69)*V$2</f>
        <v>0</v>
      </c>
      <c r="W754" s="88">
        <f>SUMIF(月間集計シート!$M$50:$M$69,$G754,月間集計シート!T$50:T$69)*W$2</f>
        <v>0</v>
      </c>
      <c r="X754" s="88">
        <f>SUMIF(月間集計シート!$M$71:$M$90,$G754,月間集計シート!N$71:N$90)*X$2</f>
        <v>0</v>
      </c>
      <c r="Y754" s="88">
        <f>SUMIF(月間集計シート!$M$71:$M$90,$G754,月間集計シート!O$71:O$90)*Y$2</f>
        <v>0</v>
      </c>
      <c r="Z754" s="88">
        <f>SUMIF(月間集計シート!$M$71:$M$90,$G754,月間集計シート!P$71:P$90)*Z$2</f>
        <v>0</v>
      </c>
      <c r="AA754" s="88">
        <f>SUMIF(月間集計シート!$M$71:$M$90,$G754,月間集計シート!Q$71:Q$90)*AA$2</f>
        <v>0</v>
      </c>
      <c r="AB754" s="88">
        <f>SUMIF(月間集計シート!$M$71:$M$90,$G754,月間集計シート!R$71:R$90)*AB$2</f>
        <v>0</v>
      </c>
      <c r="AC754" s="88">
        <f>SUMIF(月間集計シート!$M$71:$M$90,$G754,月間集計シート!S$71:S$90)*AC$2</f>
        <v>0</v>
      </c>
      <c r="AD754" s="88">
        <f>SUMIF(月間集計シート!$M$71:$M$90,$G754,月間集計シート!T$71:T$90)*AD$2</f>
        <v>0</v>
      </c>
      <c r="AE754" s="88">
        <f>SUMIF(月間集計シート!$M$92:$M$111,$G754,月間集計シート!N$92:N$111)*AE$2</f>
        <v>0</v>
      </c>
      <c r="AF754" s="88">
        <f>SUMIF(月間集計シート!$M$92:$M$111,$G754,月間集計シート!O$92:O$111)*AF$2</f>
        <v>0</v>
      </c>
      <c r="AG754" s="88">
        <f>SUMIF(月間集計シート!$M$92:$M$111,$G754,月間集計シート!P$92:P$111)*AG$2</f>
        <v>0</v>
      </c>
      <c r="AH754" s="88">
        <f>SUMIF(月間集計シート!$M$92:$M$111,$G754,月間集計シート!Q$92:Q$111)*AH$2</f>
        <v>0</v>
      </c>
      <c r="AI754" s="88">
        <f>SUMIF(月間集計シート!$M$92:$M$111,$G754,月間集計シート!R$92:R$111)*AI$2</f>
        <v>0</v>
      </c>
      <c r="AJ754" s="88">
        <f>SUMIF(月間集計シート!$M$92:$M$111,$G754,月間集計シート!S$92:S$111)*AJ$2</f>
        <v>0</v>
      </c>
      <c r="AK754" s="88">
        <f>SUMIF(月間集計シート!$M$92:$M$111,$G754,月間集計シート!T$92:T$111)*AK$2</f>
        <v>0</v>
      </c>
      <c r="AL754" s="88">
        <f>SUMIF(月間集計シート!$M$113:$M$132,$G754,月間集計シート!N$113:N$132)*AL$2</f>
        <v>0</v>
      </c>
      <c r="AM754" s="88">
        <f>SUMIF(月間集計シート!$M$113:$M$132,$G754,月間集計シート!O$113:O$132)*AM$2</f>
        <v>0</v>
      </c>
      <c r="AN754" s="88">
        <f>SUMIF(月間集計シート!$M$113:$M$132,$G754,月間集計シート!P$113:P$132)*AN$2</f>
        <v>0</v>
      </c>
      <c r="AO754" s="88">
        <f>SUMIF(月間集計シート!$M$113:$M$132,$G754,月間集計シート!Q$113:Q$132)*AO$2</f>
        <v>0</v>
      </c>
      <c r="AP754" s="88">
        <f>SUMIF(月間集計シート!$M$113:$M$132,$G754,月間集計シート!R$113:R$132)*AP$2</f>
        <v>0</v>
      </c>
      <c r="AQ754" s="88">
        <f>SUMIF(月間集計シート!$M$113:$M$132,$G754,月間集計シート!S$113:S$132)*AQ$2</f>
        <v>0</v>
      </c>
      <c r="AR754" s="88">
        <f>SUMIF(月間集計シート!$M$113:$M$132,$G754,月間集計シート!T$113:T$132)*AR$2</f>
        <v>0</v>
      </c>
      <c r="AS754" s="88">
        <f>SUMIF(月間集計シート!$M$134:$M$153,$G754,月間集計シート!N$134:N$153)*AS$2</f>
        <v>0</v>
      </c>
      <c r="AT754" s="88">
        <f>SUMIF(月間集計シート!$M$134:$M$153,$G754,月間集計シート!O$134:O$153)*AT$2</f>
        <v>0</v>
      </c>
      <c r="AU754" s="88">
        <f>SUMIF(月間集計シート!$M$134:$M$153,$G754,月間集計シート!P$134:P$153)*AU$2</f>
        <v>0</v>
      </c>
      <c r="AV754" s="88">
        <f>SUMIF(月間集計シート!$M$134:$M$153,$G754,月間集計シート!Q$134:Q$153)*AV$2</f>
        <v>0</v>
      </c>
      <c r="AW754" s="88">
        <f>SUMIF(月間集計シート!$M$134:$M$153,$G754,月間集計シート!R$134:R$153)*AW$2</f>
        <v>0</v>
      </c>
      <c r="AX754" s="88">
        <f>SUMIF(月間集計シート!$M$134:$M$153,$G754,月間集計シート!S$134:S$153)*AX$2</f>
        <v>0</v>
      </c>
      <c r="AY754" s="88">
        <f>SUMIF(月間集計シート!$M$134:$M$153,$G754,月間集計シート!T$134:T$153)*AY$2</f>
        <v>0</v>
      </c>
    </row>
    <row r="755" spans="1:51" ht="14.25" thickBot="1">
      <c r="A755">
        <v>9</v>
      </c>
      <c r="B755" s="120">
        <f t="shared" ref="B755:C771" si="364">B754</f>
        <v>0</v>
      </c>
      <c r="C755" s="120" t="str">
        <f t="shared" si="364"/>
        <v/>
      </c>
      <c r="D755" s="137"/>
      <c r="E755" s="150" t="str">
        <f>工種!A67</f>
        <v>90101</v>
      </c>
      <c r="F755" s="119" t="str">
        <f>工種!B67</f>
        <v>管理業務：ﾌﾟﾛｼﾞｪｸﾄ管理</v>
      </c>
      <c r="G755" s="116" t="str">
        <f t="shared" si="361"/>
        <v>090101</v>
      </c>
      <c r="H755" s="88">
        <f t="shared" si="363"/>
        <v>0</v>
      </c>
      <c r="I755" s="132"/>
      <c r="J755" s="88">
        <f>SUMIF(月間集計シート!$M$29:$M$48,$G755,月間集計シート!N$29:N$48)*J$2</f>
        <v>0</v>
      </c>
      <c r="K755" s="88">
        <f>SUMIF(月間集計シート!$M$29:$M$48,$G755,月間集計シート!O$29:O$48)*K$2</f>
        <v>0</v>
      </c>
      <c r="L755" s="88">
        <f>SUMIF(月間集計シート!$M$29:$M$48,$G755,月間集計シート!P$29:P$48)*L$2</f>
        <v>0</v>
      </c>
      <c r="M755" s="88">
        <f>SUMIF(月間集計シート!$M$29:$M$48,$G755,月間集計シート!Q$29:Q$48)*M$2</f>
        <v>0</v>
      </c>
      <c r="N755" s="88">
        <f>SUMIF(月間集計シート!$M$29:$M$48,$G755,月間集計シート!R$29:R$48)*N$2</f>
        <v>0</v>
      </c>
      <c r="O755" s="88">
        <f>SUMIF(月間集計シート!$M$29:$M$48,$G755,月間集計シート!S$29:S$48)*O$2</f>
        <v>0</v>
      </c>
      <c r="P755" s="88">
        <f>SUMIF(月間集計シート!$M$29:$M$48,$G755,月間集計シート!T$29:T$48)*P$2</f>
        <v>0</v>
      </c>
      <c r="Q755" s="88">
        <f>SUMIF(月間集計シート!$M$50:$M$69,$G755,月間集計シート!N$50:N$69)*Q$2</f>
        <v>0</v>
      </c>
      <c r="R755" s="88">
        <f>SUMIF(月間集計シート!$M$50:$M$69,$G755,月間集計シート!O$50:O$69)*R$2</f>
        <v>0</v>
      </c>
      <c r="S755" s="88">
        <f>SUMIF(月間集計シート!$M$50:$M$69,$G755,月間集計シート!P$50:P$69)*S$2</f>
        <v>0</v>
      </c>
      <c r="T755" s="88">
        <f>SUMIF(月間集計シート!$M$50:$M$69,$G755,月間集計シート!Q$50:Q$69)*T$2</f>
        <v>0</v>
      </c>
      <c r="U755" s="88">
        <f>SUMIF(月間集計シート!$M$50:$M$69,$G755,月間集計シート!R$50:R$69)*U$2</f>
        <v>0</v>
      </c>
      <c r="V755" s="88">
        <f>SUMIF(月間集計シート!$M$50:$M$69,$G755,月間集計シート!S$50:S$69)*V$2</f>
        <v>0</v>
      </c>
      <c r="W755" s="88">
        <f>SUMIF(月間集計シート!$M$50:$M$69,$G755,月間集計シート!T$50:T$69)*W$2</f>
        <v>0</v>
      </c>
      <c r="X755" s="88">
        <f>SUMIF(月間集計シート!$M$71:$M$90,$G755,月間集計シート!N$71:N$90)*X$2</f>
        <v>0</v>
      </c>
      <c r="Y755" s="88">
        <f>SUMIF(月間集計シート!$M$71:$M$90,$G755,月間集計シート!O$71:O$90)*Y$2</f>
        <v>0</v>
      </c>
      <c r="Z755" s="88">
        <f>SUMIF(月間集計シート!$M$71:$M$90,$G755,月間集計シート!P$71:P$90)*Z$2</f>
        <v>0</v>
      </c>
      <c r="AA755" s="88">
        <f>SUMIF(月間集計シート!$M$71:$M$90,$G755,月間集計シート!Q$71:Q$90)*AA$2</f>
        <v>0</v>
      </c>
      <c r="AB755" s="88">
        <f>SUMIF(月間集計シート!$M$71:$M$90,$G755,月間集計シート!R$71:R$90)*AB$2</f>
        <v>0</v>
      </c>
      <c r="AC755" s="88">
        <f>SUMIF(月間集計シート!$M$71:$M$90,$G755,月間集計シート!S$71:S$90)*AC$2</f>
        <v>0</v>
      </c>
      <c r="AD755" s="88">
        <f>SUMIF(月間集計シート!$M$71:$M$90,$G755,月間集計シート!T$71:T$90)*AD$2</f>
        <v>0</v>
      </c>
      <c r="AE755" s="88">
        <f>SUMIF(月間集計シート!$M$92:$M$111,$G755,月間集計シート!N$92:N$111)*AE$2</f>
        <v>0</v>
      </c>
      <c r="AF755" s="88">
        <f>SUMIF(月間集計シート!$M$92:$M$111,$G755,月間集計シート!O$92:O$111)*AF$2</f>
        <v>0</v>
      </c>
      <c r="AG755" s="88">
        <f>SUMIF(月間集計シート!$M$92:$M$111,$G755,月間集計シート!P$92:P$111)*AG$2</f>
        <v>0</v>
      </c>
      <c r="AH755" s="88">
        <f>SUMIF(月間集計シート!$M$92:$M$111,$G755,月間集計シート!Q$92:Q$111)*AH$2</f>
        <v>0</v>
      </c>
      <c r="AI755" s="88">
        <f>SUMIF(月間集計シート!$M$92:$M$111,$G755,月間集計シート!R$92:R$111)*AI$2</f>
        <v>0</v>
      </c>
      <c r="AJ755" s="88">
        <f>SUMIF(月間集計シート!$M$92:$M$111,$G755,月間集計シート!S$92:S$111)*AJ$2</f>
        <v>0</v>
      </c>
      <c r="AK755" s="88">
        <f>SUMIF(月間集計シート!$M$92:$M$111,$G755,月間集計シート!T$92:T$111)*AK$2</f>
        <v>0</v>
      </c>
      <c r="AL755" s="88">
        <f>SUMIF(月間集計シート!$M$113:$M$132,$G755,月間集計シート!N$113:N$132)*AL$2</f>
        <v>0</v>
      </c>
      <c r="AM755" s="88">
        <f>SUMIF(月間集計シート!$M$113:$M$132,$G755,月間集計シート!O$113:O$132)*AM$2</f>
        <v>0</v>
      </c>
      <c r="AN755" s="88">
        <f>SUMIF(月間集計シート!$M$113:$M$132,$G755,月間集計シート!P$113:P$132)*AN$2</f>
        <v>0</v>
      </c>
      <c r="AO755" s="88">
        <f>SUMIF(月間集計シート!$M$113:$M$132,$G755,月間集計シート!Q$113:Q$132)*AO$2</f>
        <v>0</v>
      </c>
      <c r="AP755" s="88">
        <f>SUMIF(月間集計シート!$M$113:$M$132,$G755,月間集計シート!R$113:R$132)*AP$2</f>
        <v>0</v>
      </c>
      <c r="AQ755" s="88">
        <f>SUMIF(月間集計シート!$M$113:$M$132,$G755,月間集計シート!S$113:S$132)*AQ$2</f>
        <v>0</v>
      </c>
      <c r="AR755" s="88">
        <f>SUMIF(月間集計シート!$M$113:$M$132,$G755,月間集計シート!T$113:T$132)*AR$2</f>
        <v>0</v>
      </c>
      <c r="AS755" s="88">
        <f>SUMIF(月間集計シート!$M$134:$M$153,$G755,月間集計シート!N$134:N$153)*AS$2</f>
        <v>0</v>
      </c>
      <c r="AT755" s="88">
        <f>SUMIF(月間集計シート!$M$134:$M$153,$G755,月間集計シート!O$134:O$153)*AT$2</f>
        <v>0</v>
      </c>
      <c r="AU755" s="88">
        <f>SUMIF(月間集計シート!$M$134:$M$153,$G755,月間集計シート!P$134:P$153)*AU$2</f>
        <v>0</v>
      </c>
      <c r="AV755" s="88">
        <f>SUMIF(月間集計シート!$M$134:$M$153,$G755,月間集計シート!Q$134:Q$153)*AV$2</f>
        <v>0</v>
      </c>
      <c r="AW755" s="88">
        <f>SUMIF(月間集計シート!$M$134:$M$153,$G755,月間集計シート!R$134:R$153)*AW$2</f>
        <v>0</v>
      </c>
      <c r="AX755" s="88">
        <f>SUMIF(月間集計シート!$M$134:$M$153,$G755,月間集計シート!S$134:S$153)*AX$2</f>
        <v>0</v>
      </c>
      <c r="AY755" s="88">
        <f>SUMIF(月間集計シート!$M$134:$M$153,$G755,月間集計シート!T$134:T$153)*AY$2</f>
        <v>0</v>
      </c>
    </row>
    <row r="756" spans="1:51" ht="14.25" thickBot="1">
      <c r="A756">
        <v>9</v>
      </c>
      <c r="B756" s="120">
        <f t="shared" si="364"/>
        <v>0</v>
      </c>
      <c r="C756" s="120" t="str">
        <f t="shared" si="364"/>
        <v/>
      </c>
      <c r="D756" s="137"/>
      <c r="E756" s="150" t="str">
        <f>工種!A68</f>
        <v>90102</v>
      </c>
      <c r="F756" s="119" t="str">
        <f>工種!B68</f>
        <v>管理業務：開発環境管理</v>
      </c>
      <c r="G756" s="116" t="str">
        <f t="shared" si="361"/>
        <v>090102</v>
      </c>
      <c r="H756" s="88">
        <f t="shared" si="363"/>
        <v>0</v>
      </c>
      <c r="I756" s="132"/>
      <c r="J756" s="88">
        <f>SUMIF(月間集計シート!$M$29:$M$48,$G756,月間集計シート!N$29:N$48)*J$2</f>
        <v>0</v>
      </c>
      <c r="K756" s="88">
        <f>SUMIF(月間集計シート!$M$29:$M$48,$G756,月間集計シート!O$29:O$48)*K$2</f>
        <v>0</v>
      </c>
      <c r="L756" s="88">
        <f>SUMIF(月間集計シート!$M$29:$M$48,$G756,月間集計シート!P$29:P$48)*L$2</f>
        <v>0</v>
      </c>
      <c r="M756" s="88">
        <f>SUMIF(月間集計シート!$M$29:$M$48,$G756,月間集計シート!Q$29:Q$48)*M$2</f>
        <v>0</v>
      </c>
      <c r="N756" s="88">
        <f>SUMIF(月間集計シート!$M$29:$M$48,$G756,月間集計シート!R$29:R$48)*N$2</f>
        <v>0</v>
      </c>
      <c r="O756" s="88">
        <f>SUMIF(月間集計シート!$M$29:$M$48,$G756,月間集計シート!S$29:S$48)*O$2</f>
        <v>0</v>
      </c>
      <c r="P756" s="88">
        <f>SUMIF(月間集計シート!$M$29:$M$48,$G756,月間集計シート!T$29:T$48)*P$2</f>
        <v>0</v>
      </c>
      <c r="Q756" s="88">
        <f>SUMIF(月間集計シート!$M$50:$M$69,$G756,月間集計シート!N$50:N$69)*Q$2</f>
        <v>0</v>
      </c>
      <c r="R756" s="88">
        <f>SUMIF(月間集計シート!$M$50:$M$69,$G756,月間集計シート!O$50:O$69)*R$2</f>
        <v>0</v>
      </c>
      <c r="S756" s="88">
        <f>SUMIF(月間集計シート!$M$50:$M$69,$G756,月間集計シート!P$50:P$69)*S$2</f>
        <v>0</v>
      </c>
      <c r="T756" s="88">
        <f>SUMIF(月間集計シート!$M$50:$M$69,$G756,月間集計シート!Q$50:Q$69)*T$2</f>
        <v>0</v>
      </c>
      <c r="U756" s="88">
        <f>SUMIF(月間集計シート!$M$50:$M$69,$G756,月間集計シート!R$50:R$69)*U$2</f>
        <v>0</v>
      </c>
      <c r="V756" s="88">
        <f>SUMIF(月間集計シート!$M$50:$M$69,$G756,月間集計シート!S$50:S$69)*V$2</f>
        <v>0</v>
      </c>
      <c r="W756" s="88">
        <f>SUMIF(月間集計シート!$M$50:$M$69,$G756,月間集計シート!T$50:T$69)*W$2</f>
        <v>0</v>
      </c>
      <c r="X756" s="88">
        <f>SUMIF(月間集計シート!$M$71:$M$90,$G756,月間集計シート!N$71:N$90)*X$2</f>
        <v>0</v>
      </c>
      <c r="Y756" s="88">
        <f>SUMIF(月間集計シート!$M$71:$M$90,$G756,月間集計シート!O$71:O$90)*Y$2</f>
        <v>0</v>
      </c>
      <c r="Z756" s="88">
        <f>SUMIF(月間集計シート!$M$71:$M$90,$G756,月間集計シート!P$71:P$90)*Z$2</f>
        <v>0</v>
      </c>
      <c r="AA756" s="88">
        <f>SUMIF(月間集計シート!$M$71:$M$90,$G756,月間集計シート!Q$71:Q$90)*AA$2</f>
        <v>0</v>
      </c>
      <c r="AB756" s="88">
        <f>SUMIF(月間集計シート!$M$71:$M$90,$G756,月間集計シート!R$71:R$90)*AB$2</f>
        <v>0</v>
      </c>
      <c r="AC756" s="88">
        <f>SUMIF(月間集計シート!$M$71:$M$90,$G756,月間集計シート!S$71:S$90)*AC$2</f>
        <v>0</v>
      </c>
      <c r="AD756" s="88">
        <f>SUMIF(月間集計シート!$M$71:$M$90,$G756,月間集計シート!T$71:T$90)*AD$2</f>
        <v>0</v>
      </c>
      <c r="AE756" s="88">
        <f>SUMIF(月間集計シート!$M$92:$M$111,$G756,月間集計シート!N$92:N$111)*AE$2</f>
        <v>0</v>
      </c>
      <c r="AF756" s="88">
        <f>SUMIF(月間集計シート!$M$92:$M$111,$G756,月間集計シート!O$92:O$111)*AF$2</f>
        <v>0</v>
      </c>
      <c r="AG756" s="88">
        <f>SUMIF(月間集計シート!$M$92:$M$111,$G756,月間集計シート!P$92:P$111)*AG$2</f>
        <v>0</v>
      </c>
      <c r="AH756" s="88">
        <f>SUMIF(月間集計シート!$M$92:$M$111,$G756,月間集計シート!Q$92:Q$111)*AH$2</f>
        <v>0</v>
      </c>
      <c r="AI756" s="88">
        <f>SUMIF(月間集計シート!$M$92:$M$111,$G756,月間集計シート!R$92:R$111)*AI$2</f>
        <v>0</v>
      </c>
      <c r="AJ756" s="88">
        <f>SUMIF(月間集計シート!$M$92:$M$111,$G756,月間集計シート!S$92:S$111)*AJ$2</f>
        <v>0</v>
      </c>
      <c r="AK756" s="88">
        <f>SUMIF(月間集計シート!$M$92:$M$111,$G756,月間集計シート!T$92:T$111)*AK$2</f>
        <v>0</v>
      </c>
      <c r="AL756" s="88">
        <f>SUMIF(月間集計シート!$M$113:$M$132,$G756,月間集計シート!N$113:N$132)*AL$2</f>
        <v>0</v>
      </c>
      <c r="AM756" s="88">
        <f>SUMIF(月間集計シート!$M$113:$M$132,$G756,月間集計シート!O$113:O$132)*AM$2</f>
        <v>0</v>
      </c>
      <c r="AN756" s="88">
        <f>SUMIF(月間集計シート!$M$113:$M$132,$G756,月間集計シート!P$113:P$132)*AN$2</f>
        <v>0</v>
      </c>
      <c r="AO756" s="88">
        <f>SUMIF(月間集計シート!$M$113:$M$132,$G756,月間集計シート!Q$113:Q$132)*AO$2</f>
        <v>0</v>
      </c>
      <c r="AP756" s="88">
        <f>SUMIF(月間集計シート!$M$113:$M$132,$G756,月間集計シート!R$113:R$132)*AP$2</f>
        <v>0</v>
      </c>
      <c r="AQ756" s="88">
        <f>SUMIF(月間集計シート!$M$113:$M$132,$G756,月間集計シート!S$113:S$132)*AQ$2</f>
        <v>0</v>
      </c>
      <c r="AR756" s="88">
        <f>SUMIF(月間集計シート!$M$113:$M$132,$G756,月間集計シート!T$113:T$132)*AR$2</f>
        <v>0</v>
      </c>
      <c r="AS756" s="88">
        <f>SUMIF(月間集計シート!$M$134:$M$153,$G756,月間集計シート!N$134:N$153)*AS$2</f>
        <v>0</v>
      </c>
      <c r="AT756" s="88">
        <f>SUMIF(月間集計シート!$M$134:$M$153,$G756,月間集計シート!O$134:O$153)*AT$2</f>
        <v>0</v>
      </c>
      <c r="AU756" s="88">
        <f>SUMIF(月間集計シート!$M$134:$M$153,$G756,月間集計シート!P$134:P$153)*AU$2</f>
        <v>0</v>
      </c>
      <c r="AV756" s="88">
        <f>SUMIF(月間集計シート!$M$134:$M$153,$G756,月間集計シート!Q$134:Q$153)*AV$2</f>
        <v>0</v>
      </c>
      <c r="AW756" s="88">
        <f>SUMIF(月間集計シート!$M$134:$M$153,$G756,月間集計シート!R$134:R$153)*AW$2</f>
        <v>0</v>
      </c>
      <c r="AX756" s="88">
        <f>SUMIF(月間集計シート!$M$134:$M$153,$G756,月間集計シート!S$134:S$153)*AX$2</f>
        <v>0</v>
      </c>
      <c r="AY756" s="88">
        <f>SUMIF(月間集計シート!$M$134:$M$153,$G756,月間集計シート!T$134:T$153)*AY$2</f>
        <v>0</v>
      </c>
    </row>
    <row r="757" spans="1:51" ht="14.25" thickBot="1">
      <c r="A757">
        <v>9</v>
      </c>
      <c r="B757" s="120">
        <f t="shared" si="364"/>
        <v>0</v>
      </c>
      <c r="C757" s="120" t="str">
        <f t="shared" si="364"/>
        <v/>
      </c>
      <c r="D757" s="137"/>
      <c r="E757" s="150" t="str">
        <f>工種!A69</f>
        <v>90103</v>
      </c>
      <c r="F757" s="119" t="str">
        <f>工種!B69</f>
        <v>管理業務：標準化・開発業務改善作業</v>
      </c>
      <c r="G757" s="116" t="str">
        <f t="shared" si="361"/>
        <v>090103</v>
      </c>
      <c r="H757" s="88">
        <f t="shared" si="363"/>
        <v>0</v>
      </c>
      <c r="I757" s="132"/>
      <c r="J757" s="88">
        <f>SUMIF(月間集計シート!$M$29:$M$48,$G757,月間集計シート!N$29:N$48)*J$2</f>
        <v>0</v>
      </c>
      <c r="K757" s="88">
        <f>SUMIF(月間集計シート!$M$29:$M$48,$G757,月間集計シート!O$29:O$48)*K$2</f>
        <v>0</v>
      </c>
      <c r="L757" s="88">
        <f>SUMIF(月間集計シート!$M$29:$M$48,$G757,月間集計シート!P$29:P$48)*L$2</f>
        <v>0</v>
      </c>
      <c r="M757" s="88">
        <f>SUMIF(月間集計シート!$M$29:$M$48,$G757,月間集計シート!Q$29:Q$48)*M$2</f>
        <v>0</v>
      </c>
      <c r="N757" s="88">
        <f>SUMIF(月間集計シート!$M$29:$M$48,$G757,月間集計シート!R$29:R$48)*N$2</f>
        <v>0</v>
      </c>
      <c r="O757" s="88">
        <f>SUMIF(月間集計シート!$M$29:$M$48,$G757,月間集計シート!S$29:S$48)*O$2</f>
        <v>0</v>
      </c>
      <c r="P757" s="88">
        <f>SUMIF(月間集計シート!$M$29:$M$48,$G757,月間集計シート!T$29:T$48)*P$2</f>
        <v>0</v>
      </c>
      <c r="Q757" s="88">
        <f>SUMIF(月間集計シート!$M$50:$M$69,$G757,月間集計シート!N$50:N$69)*Q$2</f>
        <v>0</v>
      </c>
      <c r="R757" s="88">
        <f>SUMIF(月間集計シート!$M$50:$M$69,$G757,月間集計シート!O$50:O$69)*R$2</f>
        <v>0</v>
      </c>
      <c r="S757" s="88">
        <f>SUMIF(月間集計シート!$M$50:$M$69,$G757,月間集計シート!P$50:P$69)*S$2</f>
        <v>0</v>
      </c>
      <c r="T757" s="88">
        <f>SUMIF(月間集計シート!$M$50:$M$69,$G757,月間集計シート!Q$50:Q$69)*T$2</f>
        <v>0</v>
      </c>
      <c r="U757" s="88">
        <f>SUMIF(月間集計シート!$M$50:$M$69,$G757,月間集計シート!R$50:R$69)*U$2</f>
        <v>0</v>
      </c>
      <c r="V757" s="88">
        <f>SUMIF(月間集計シート!$M$50:$M$69,$G757,月間集計シート!S$50:S$69)*V$2</f>
        <v>0</v>
      </c>
      <c r="W757" s="88">
        <f>SUMIF(月間集計シート!$M$50:$M$69,$G757,月間集計シート!T$50:T$69)*W$2</f>
        <v>0</v>
      </c>
      <c r="X757" s="88">
        <f>SUMIF(月間集計シート!$M$71:$M$90,$G757,月間集計シート!N$71:N$90)*X$2</f>
        <v>0</v>
      </c>
      <c r="Y757" s="88">
        <f>SUMIF(月間集計シート!$M$71:$M$90,$G757,月間集計シート!O$71:O$90)*Y$2</f>
        <v>0</v>
      </c>
      <c r="Z757" s="88">
        <f>SUMIF(月間集計シート!$M$71:$M$90,$G757,月間集計シート!P$71:P$90)*Z$2</f>
        <v>0</v>
      </c>
      <c r="AA757" s="88">
        <f>SUMIF(月間集計シート!$M$71:$M$90,$G757,月間集計シート!Q$71:Q$90)*AA$2</f>
        <v>0</v>
      </c>
      <c r="AB757" s="88">
        <f>SUMIF(月間集計シート!$M$71:$M$90,$G757,月間集計シート!R$71:R$90)*AB$2</f>
        <v>0</v>
      </c>
      <c r="AC757" s="88">
        <f>SUMIF(月間集計シート!$M$71:$M$90,$G757,月間集計シート!S$71:S$90)*AC$2</f>
        <v>0</v>
      </c>
      <c r="AD757" s="88">
        <f>SUMIF(月間集計シート!$M$71:$M$90,$G757,月間集計シート!T$71:T$90)*AD$2</f>
        <v>0</v>
      </c>
      <c r="AE757" s="88">
        <f>SUMIF(月間集計シート!$M$92:$M$111,$G757,月間集計シート!N$92:N$111)*AE$2</f>
        <v>0</v>
      </c>
      <c r="AF757" s="88">
        <f>SUMIF(月間集計シート!$M$92:$M$111,$G757,月間集計シート!O$92:O$111)*AF$2</f>
        <v>0</v>
      </c>
      <c r="AG757" s="88">
        <f>SUMIF(月間集計シート!$M$92:$M$111,$G757,月間集計シート!P$92:P$111)*AG$2</f>
        <v>0</v>
      </c>
      <c r="AH757" s="88">
        <f>SUMIF(月間集計シート!$M$92:$M$111,$G757,月間集計シート!Q$92:Q$111)*AH$2</f>
        <v>0</v>
      </c>
      <c r="AI757" s="88">
        <f>SUMIF(月間集計シート!$M$92:$M$111,$G757,月間集計シート!R$92:R$111)*AI$2</f>
        <v>0</v>
      </c>
      <c r="AJ757" s="88">
        <f>SUMIF(月間集計シート!$M$92:$M$111,$G757,月間集計シート!S$92:S$111)*AJ$2</f>
        <v>0</v>
      </c>
      <c r="AK757" s="88">
        <f>SUMIF(月間集計シート!$M$92:$M$111,$G757,月間集計シート!T$92:T$111)*AK$2</f>
        <v>0</v>
      </c>
      <c r="AL757" s="88">
        <f>SUMIF(月間集計シート!$M$113:$M$132,$G757,月間集計シート!N$113:N$132)*AL$2</f>
        <v>0</v>
      </c>
      <c r="AM757" s="88">
        <f>SUMIF(月間集計シート!$M$113:$M$132,$G757,月間集計シート!O$113:O$132)*AM$2</f>
        <v>0</v>
      </c>
      <c r="AN757" s="88">
        <f>SUMIF(月間集計シート!$M$113:$M$132,$G757,月間集計シート!P$113:P$132)*AN$2</f>
        <v>0</v>
      </c>
      <c r="AO757" s="88">
        <f>SUMIF(月間集計シート!$M$113:$M$132,$G757,月間集計シート!Q$113:Q$132)*AO$2</f>
        <v>0</v>
      </c>
      <c r="AP757" s="88">
        <f>SUMIF(月間集計シート!$M$113:$M$132,$G757,月間集計シート!R$113:R$132)*AP$2</f>
        <v>0</v>
      </c>
      <c r="AQ757" s="88">
        <f>SUMIF(月間集計シート!$M$113:$M$132,$G757,月間集計シート!S$113:S$132)*AQ$2</f>
        <v>0</v>
      </c>
      <c r="AR757" s="88">
        <f>SUMIF(月間集計シート!$M$113:$M$132,$G757,月間集計シート!T$113:T$132)*AR$2</f>
        <v>0</v>
      </c>
      <c r="AS757" s="88">
        <f>SUMIF(月間集計シート!$M$134:$M$153,$G757,月間集計シート!N$134:N$153)*AS$2</f>
        <v>0</v>
      </c>
      <c r="AT757" s="88">
        <f>SUMIF(月間集計シート!$M$134:$M$153,$G757,月間集計シート!O$134:O$153)*AT$2</f>
        <v>0</v>
      </c>
      <c r="AU757" s="88">
        <f>SUMIF(月間集計シート!$M$134:$M$153,$G757,月間集計シート!P$134:P$153)*AU$2</f>
        <v>0</v>
      </c>
      <c r="AV757" s="88">
        <f>SUMIF(月間集計シート!$M$134:$M$153,$G757,月間集計シート!Q$134:Q$153)*AV$2</f>
        <v>0</v>
      </c>
      <c r="AW757" s="88">
        <f>SUMIF(月間集計シート!$M$134:$M$153,$G757,月間集計シート!R$134:R$153)*AW$2</f>
        <v>0</v>
      </c>
      <c r="AX757" s="88">
        <f>SUMIF(月間集計シート!$M$134:$M$153,$G757,月間集計シート!S$134:S$153)*AX$2</f>
        <v>0</v>
      </c>
      <c r="AY757" s="88">
        <f>SUMIF(月間集計シート!$M$134:$M$153,$G757,月間集計シート!T$134:T$153)*AY$2</f>
        <v>0</v>
      </c>
    </row>
    <row r="758" spans="1:51" ht="14.25" thickBot="1">
      <c r="A758">
        <v>9</v>
      </c>
      <c r="B758" s="120">
        <f t="shared" si="364"/>
        <v>0</v>
      </c>
      <c r="C758" s="120" t="str">
        <f t="shared" si="364"/>
        <v/>
      </c>
      <c r="D758" s="137"/>
      <c r="E758" s="150" t="str">
        <f>工種!A70</f>
        <v>90104</v>
      </c>
      <c r="F758" s="119" t="str">
        <f>工種!B70</f>
        <v>管理業務：開発業務の引継ぎ</v>
      </c>
      <c r="G758" s="116" t="str">
        <f t="shared" si="361"/>
        <v>090104</v>
      </c>
      <c r="H758" s="88">
        <f t="shared" si="363"/>
        <v>0</v>
      </c>
      <c r="I758" s="132"/>
      <c r="J758" s="88">
        <f>SUMIF(月間集計シート!$M$29:$M$48,$G758,月間集計シート!N$29:N$48)*J$2</f>
        <v>0</v>
      </c>
      <c r="K758" s="88">
        <f>SUMIF(月間集計シート!$M$29:$M$48,$G758,月間集計シート!O$29:O$48)*K$2</f>
        <v>0</v>
      </c>
      <c r="L758" s="88">
        <f>SUMIF(月間集計シート!$M$29:$M$48,$G758,月間集計シート!P$29:P$48)*L$2</f>
        <v>0</v>
      </c>
      <c r="M758" s="88">
        <f>SUMIF(月間集計シート!$M$29:$M$48,$G758,月間集計シート!Q$29:Q$48)*M$2</f>
        <v>0</v>
      </c>
      <c r="N758" s="88">
        <f>SUMIF(月間集計シート!$M$29:$M$48,$G758,月間集計シート!R$29:R$48)*N$2</f>
        <v>0</v>
      </c>
      <c r="O758" s="88">
        <f>SUMIF(月間集計シート!$M$29:$M$48,$G758,月間集計シート!S$29:S$48)*O$2</f>
        <v>0</v>
      </c>
      <c r="P758" s="88">
        <f>SUMIF(月間集計シート!$M$29:$M$48,$G758,月間集計シート!T$29:T$48)*P$2</f>
        <v>0</v>
      </c>
      <c r="Q758" s="88">
        <f>SUMIF(月間集計シート!$M$50:$M$69,$G758,月間集計シート!N$50:N$69)*Q$2</f>
        <v>0</v>
      </c>
      <c r="R758" s="88">
        <f>SUMIF(月間集計シート!$M$50:$M$69,$G758,月間集計シート!O$50:O$69)*R$2</f>
        <v>0</v>
      </c>
      <c r="S758" s="88">
        <f>SUMIF(月間集計シート!$M$50:$M$69,$G758,月間集計シート!P$50:P$69)*S$2</f>
        <v>0</v>
      </c>
      <c r="T758" s="88">
        <f>SUMIF(月間集計シート!$M$50:$M$69,$G758,月間集計シート!Q$50:Q$69)*T$2</f>
        <v>0</v>
      </c>
      <c r="U758" s="88">
        <f>SUMIF(月間集計シート!$M$50:$M$69,$G758,月間集計シート!R$50:R$69)*U$2</f>
        <v>0</v>
      </c>
      <c r="V758" s="88">
        <f>SUMIF(月間集計シート!$M$50:$M$69,$G758,月間集計シート!S$50:S$69)*V$2</f>
        <v>0</v>
      </c>
      <c r="W758" s="88">
        <f>SUMIF(月間集計シート!$M$50:$M$69,$G758,月間集計シート!T$50:T$69)*W$2</f>
        <v>0</v>
      </c>
      <c r="X758" s="88">
        <f>SUMIF(月間集計シート!$M$71:$M$90,$G758,月間集計シート!N$71:N$90)*X$2</f>
        <v>0</v>
      </c>
      <c r="Y758" s="88">
        <f>SUMIF(月間集計シート!$M$71:$M$90,$G758,月間集計シート!O$71:O$90)*Y$2</f>
        <v>0</v>
      </c>
      <c r="Z758" s="88">
        <f>SUMIF(月間集計シート!$M$71:$M$90,$G758,月間集計シート!P$71:P$90)*Z$2</f>
        <v>0</v>
      </c>
      <c r="AA758" s="88">
        <f>SUMIF(月間集計シート!$M$71:$M$90,$G758,月間集計シート!Q$71:Q$90)*AA$2</f>
        <v>0</v>
      </c>
      <c r="AB758" s="88">
        <f>SUMIF(月間集計シート!$M$71:$M$90,$G758,月間集計シート!R$71:R$90)*AB$2</f>
        <v>0</v>
      </c>
      <c r="AC758" s="88">
        <f>SUMIF(月間集計シート!$M$71:$M$90,$G758,月間集計シート!S$71:S$90)*AC$2</f>
        <v>0</v>
      </c>
      <c r="AD758" s="88">
        <f>SUMIF(月間集計シート!$M$71:$M$90,$G758,月間集計シート!T$71:T$90)*AD$2</f>
        <v>0</v>
      </c>
      <c r="AE758" s="88">
        <f>SUMIF(月間集計シート!$M$92:$M$111,$G758,月間集計シート!N$92:N$111)*AE$2</f>
        <v>0</v>
      </c>
      <c r="AF758" s="88">
        <f>SUMIF(月間集計シート!$M$92:$M$111,$G758,月間集計シート!O$92:O$111)*AF$2</f>
        <v>0</v>
      </c>
      <c r="AG758" s="88">
        <f>SUMIF(月間集計シート!$M$92:$M$111,$G758,月間集計シート!P$92:P$111)*AG$2</f>
        <v>0</v>
      </c>
      <c r="AH758" s="88">
        <f>SUMIF(月間集計シート!$M$92:$M$111,$G758,月間集計シート!Q$92:Q$111)*AH$2</f>
        <v>0</v>
      </c>
      <c r="AI758" s="88">
        <f>SUMIF(月間集計シート!$M$92:$M$111,$G758,月間集計シート!R$92:R$111)*AI$2</f>
        <v>0</v>
      </c>
      <c r="AJ758" s="88">
        <f>SUMIF(月間集計シート!$M$92:$M$111,$G758,月間集計シート!S$92:S$111)*AJ$2</f>
        <v>0</v>
      </c>
      <c r="AK758" s="88">
        <f>SUMIF(月間集計シート!$M$92:$M$111,$G758,月間集計シート!T$92:T$111)*AK$2</f>
        <v>0</v>
      </c>
      <c r="AL758" s="88">
        <f>SUMIF(月間集計シート!$M$113:$M$132,$G758,月間集計シート!N$113:N$132)*AL$2</f>
        <v>0</v>
      </c>
      <c r="AM758" s="88">
        <f>SUMIF(月間集計シート!$M$113:$M$132,$G758,月間集計シート!O$113:O$132)*AM$2</f>
        <v>0</v>
      </c>
      <c r="AN758" s="88">
        <f>SUMIF(月間集計シート!$M$113:$M$132,$G758,月間集計シート!P$113:P$132)*AN$2</f>
        <v>0</v>
      </c>
      <c r="AO758" s="88">
        <f>SUMIF(月間集計シート!$M$113:$M$132,$G758,月間集計シート!Q$113:Q$132)*AO$2</f>
        <v>0</v>
      </c>
      <c r="AP758" s="88">
        <f>SUMIF(月間集計シート!$M$113:$M$132,$G758,月間集計シート!R$113:R$132)*AP$2</f>
        <v>0</v>
      </c>
      <c r="AQ758" s="88">
        <f>SUMIF(月間集計シート!$M$113:$M$132,$G758,月間集計シート!S$113:S$132)*AQ$2</f>
        <v>0</v>
      </c>
      <c r="AR758" s="88">
        <f>SUMIF(月間集計シート!$M$113:$M$132,$G758,月間集計シート!T$113:T$132)*AR$2</f>
        <v>0</v>
      </c>
      <c r="AS758" s="88">
        <f>SUMIF(月間集計シート!$M$134:$M$153,$G758,月間集計シート!N$134:N$153)*AS$2</f>
        <v>0</v>
      </c>
      <c r="AT758" s="88">
        <f>SUMIF(月間集計シート!$M$134:$M$153,$G758,月間集計シート!O$134:O$153)*AT$2</f>
        <v>0</v>
      </c>
      <c r="AU758" s="88">
        <f>SUMIF(月間集計シート!$M$134:$M$153,$G758,月間集計シート!P$134:P$153)*AU$2</f>
        <v>0</v>
      </c>
      <c r="AV758" s="88">
        <f>SUMIF(月間集計シート!$M$134:$M$153,$G758,月間集計シート!Q$134:Q$153)*AV$2</f>
        <v>0</v>
      </c>
      <c r="AW758" s="88">
        <f>SUMIF(月間集計シート!$M$134:$M$153,$G758,月間集計シート!R$134:R$153)*AW$2</f>
        <v>0</v>
      </c>
      <c r="AX758" s="88">
        <f>SUMIF(月間集計シート!$M$134:$M$153,$G758,月間集計シート!S$134:S$153)*AX$2</f>
        <v>0</v>
      </c>
      <c r="AY758" s="88">
        <f>SUMIF(月間集計シート!$M$134:$M$153,$G758,月間集計シート!T$134:T$153)*AY$2</f>
        <v>0</v>
      </c>
    </row>
    <row r="759" spans="1:51" ht="14.25" thickBot="1">
      <c r="A759">
        <v>9</v>
      </c>
      <c r="B759" s="120">
        <f t="shared" si="364"/>
        <v>0</v>
      </c>
      <c r="C759" s="120" t="str">
        <f t="shared" si="364"/>
        <v/>
      </c>
      <c r="D759" s="137"/>
      <c r="E759" s="150" t="str">
        <f>工種!A71</f>
        <v>90105</v>
      </c>
      <c r="F759" s="119" t="str">
        <f>工種!B71</f>
        <v>管理業務：SRB管理</v>
      </c>
      <c r="G759" s="116" t="str">
        <f t="shared" si="361"/>
        <v>090105</v>
      </c>
      <c r="H759" s="88">
        <f t="shared" si="363"/>
        <v>0</v>
      </c>
      <c r="I759" s="132"/>
      <c r="J759" s="88">
        <f>SUMIF(月間集計シート!$M$29:$M$48,$G759,月間集計シート!N$29:N$48)*J$2</f>
        <v>0</v>
      </c>
      <c r="K759" s="88">
        <f>SUMIF(月間集計シート!$M$29:$M$48,$G759,月間集計シート!O$29:O$48)*K$2</f>
        <v>0</v>
      </c>
      <c r="L759" s="88">
        <f>SUMIF(月間集計シート!$M$29:$M$48,$G759,月間集計シート!P$29:P$48)*L$2</f>
        <v>0</v>
      </c>
      <c r="M759" s="88">
        <f>SUMIF(月間集計シート!$M$29:$M$48,$G759,月間集計シート!Q$29:Q$48)*M$2</f>
        <v>0</v>
      </c>
      <c r="N759" s="88">
        <f>SUMIF(月間集計シート!$M$29:$M$48,$G759,月間集計シート!R$29:R$48)*N$2</f>
        <v>0</v>
      </c>
      <c r="O759" s="88">
        <f>SUMIF(月間集計シート!$M$29:$M$48,$G759,月間集計シート!S$29:S$48)*O$2</f>
        <v>0</v>
      </c>
      <c r="P759" s="88">
        <f>SUMIF(月間集計シート!$M$29:$M$48,$G759,月間集計シート!T$29:T$48)*P$2</f>
        <v>0</v>
      </c>
      <c r="Q759" s="88">
        <f>SUMIF(月間集計シート!$M$50:$M$69,$G759,月間集計シート!N$50:N$69)*Q$2</f>
        <v>0</v>
      </c>
      <c r="R759" s="88">
        <f>SUMIF(月間集計シート!$M$50:$M$69,$G759,月間集計シート!O$50:O$69)*R$2</f>
        <v>0</v>
      </c>
      <c r="S759" s="88">
        <f>SUMIF(月間集計シート!$M$50:$M$69,$G759,月間集計シート!P$50:P$69)*S$2</f>
        <v>0</v>
      </c>
      <c r="T759" s="88">
        <f>SUMIF(月間集計シート!$M$50:$M$69,$G759,月間集計シート!Q$50:Q$69)*T$2</f>
        <v>0</v>
      </c>
      <c r="U759" s="88">
        <f>SUMIF(月間集計シート!$M$50:$M$69,$G759,月間集計シート!R$50:R$69)*U$2</f>
        <v>0</v>
      </c>
      <c r="V759" s="88">
        <f>SUMIF(月間集計シート!$M$50:$M$69,$G759,月間集計シート!S$50:S$69)*V$2</f>
        <v>0</v>
      </c>
      <c r="W759" s="88">
        <f>SUMIF(月間集計シート!$M$50:$M$69,$G759,月間集計シート!T$50:T$69)*W$2</f>
        <v>0</v>
      </c>
      <c r="X759" s="88">
        <f>SUMIF(月間集計シート!$M$71:$M$90,$G759,月間集計シート!N$71:N$90)*X$2</f>
        <v>0</v>
      </c>
      <c r="Y759" s="88">
        <f>SUMIF(月間集計シート!$M$71:$M$90,$G759,月間集計シート!O$71:O$90)*Y$2</f>
        <v>0</v>
      </c>
      <c r="Z759" s="88">
        <f>SUMIF(月間集計シート!$M$71:$M$90,$G759,月間集計シート!P$71:P$90)*Z$2</f>
        <v>0</v>
      </c>
      <c r="AA759" s="88">
        <f>SUMIF(月間集計シート!$M$71:$M$90,$G759,月間集計シート!Q$71:Q$90)*AA$2</f>
        <v>0</v>
      </c>
      <c r="AB759" s="88">
        <f>SUMIF(月間集計シート!$M$71:$M$90,$G759,月間集計シート!R$71:R$90)*AB$2</f>
        <v>0</v>
      </c>
      <c r="AC759" s="88">
        <f>SUMIF(月間集計シート!$M$71:$M$90,$G759,月間集計シート!S$71:S$90)*AC$2</f>
        <v>0</v>
      </c>
      <c r="AD759" s="88">
        <f>SUMIF(月間集計シート!$M$71:$M$90,$G759,月間集計シート!T$71:T$90)*AD$2</f>
        <v>0</v>
      </c>
      <c r="AE759" s="88">
        <f>SUMIF(月間集計シート!$M$92:$M$111,$G759,月間集計シート!N$92:N$111)*AE$2</f>
        <v>0</v>
      </c>
      <c r="AF759" s="88">
        <f>SUMIF(月間集計シート!$M$92:$M$111,$G759,月間集計シート!O$92:O$111)*AF$2</f>
        <v>0</v>
      </c>
      <c r="AG759" s="88">
        <f>SUMIF(月間集計シート!$M$92:$M$111,$G759,月間集計シート!P$92:P$111)*AG$2</f>
        <v>0</v>
      </c>
      <c r="AH759" s="88">
        <f>SUMIF(月間集計シート!$M$92:$M$111,$G759,月間集計シート!Q$92:Q$111)*AH$2</f>
        <v>0</v>
      </c>
      <c r="AI759" s="88">
        <f>SUMIF(月間集計シート!$M$92:$M$111,$G759,月間集計シート!R$92:R$111)*AI$2</f>
        <v>0</v>
      </c>
      <c r="AJ759" s="88">
        <f>SUMIF(月間集計シート!$M$92:$M$111,$G759,月間集計シート!S$92:S$111)*AJ$2</f>
        <v>0</v>
      </c>
      <c r="AK759" s="88">
        <f>SUMIF(月間集計シート!$M$92:$M$111,$G759,月間集計シート!T$92:T$111)*AK$2</f>
        <v>0</v>
      </c>
      <c r="AL759" s="88">
        <f>SUMIF(月間集計シート!$M$113:$M$132,$G759,月間集計シート!N$113:N$132)*AL$2</f>
        <v>0</v>
      </c>
      <c r="AM759" s="88">
        <f>SUMIF(月間集計シート!$M$113:$M$132,$G759,月間集計シート!O$113:O$132)*AM$2</f>
        <v>0</v>
      </c>
      <c r="AN759" s="88">
        <f>SUMIF(月間集計シート!$M$113:$M$132,$G759,月間集計シート!P$113:P$132)*AN$2</f>
        <v>0</v>
      </c>
      <c r="AO759" s="88">
        <f>SUMIF(月間集計シート!$M$113:$M$132,$G759,月間集計シート!Q$113:Q$132)*AO$2</f>
        <v>0</v>
      </c>
      <c r="AP759" s="88">
        <f>SUMIF(月間集計シート!$M$113:$M$132,$G759,月間集計シート!R$113:R$132)*AP$2</f>
        <v>0</v>
      </c>
      <c r="AQ759" s="88">
        <f>SUMIF(月間集計シート!$M$113:$M$132,$G759,月間集計シート!S$113:S$132)*AQ$2</f>
        <v>0</v>
      </c>
      <c r="AR759" s="88">
        <f>SUMIF(月間集計シート!$M$113:$M$132,$G759,月間集計シート!T$113:T$132)*AR$2</f>
        <v>0</v>
      </c>
      <c r="AS759" s="88">
        <f>SUMIF(月間集計シート!$M$134:$M$153,$G759,月間集計シート!N$134:N$153)*AS$2</f>
        <v>0</v>
      </c>
      <c r="AT759" s="88">
        <f>SUMIF(月間集計シート!$M$134:$M$153,$G759,月間集計シート!O$134:O$153)*AT$2</f>
        <v>0</v>
      </c>
      <c r="AU759" s="88">
        <f>SUMIF(月間集計シート!$M$134:$M$153,$G759,月間集計シート!P$134:P$153)*AU$2</f>
        <v>0</v>
      </c>
      <c r="AV759" s="88">
        <f>SUMIF(月間集計シート!$M$134:$M$153,$G759,月間集計シート!Q$134:Q$153)*AV$2</f>
        <v>0</v>
      </c>
      <c r="AW759" s="88">
        <f>SUMIF(月間集計シート!$M$134:$M$153,$G759,月間集計シート!R$134:R$153)*AW$2</f>
        <v>0</v>
      </c>
      <c r="AX759" s="88">
        <f>SUMIF(月間集計シート!$M$134:$M$153,$G759,月間集計シート!S$134:S$153)*AX$2</f>
        <v>0</v>
      </c>
      <c r="AY759" s="88">
        <f>SUMIF(月間集計シート!$M$134:$M$153,$G759,月間集計シート!T$134:T$153)*AY$2</f>
        <v>0</v>
      </c>
    </row>
    <row r="760" spans="1:51" ht="14.25" thickBot="1">
      <c r="A760">
        <v>9</v>
      </c>
      <c r="B760" s="120">
        <f t="shared" si="364"/>
        <v>0</v>
      </c>
      <c r="C760" s="120" t="str">
        <f t="shared" si="364"/>
        <v/>
      </c>
      <c r="D760" s="137"/>
      <c r="E760" s="150" t="str">
        <f>工種!A72</f>
        <v>90107</v>
      </c>
      <c r="F760" s="119" t="str">
        <f>工種!B72</f>
        <v>管理業務：開発事務作業</v>
      </c>
      <c r="G760" s="116" t="str">
        <f t="shared" si="361"/>
        <v>090107</v>
      </c>
      <c r="H760" s="88">
        <f t="shared" si="363"/>
        <v>0</v>
      </c>
      <c r="I760" s="132"/>
      <c r="J760" s="88">
        <f>SUMIF(月間集計シート!$M$29:$M$48,$G760,月間集計シート!N$29:N$48)*J$2</f>
        <v>0</v>
      </c>
      <c r="K760" s="88">
        <f>SUMIF(月間集計シート!$M$29:$M$48,$G760,月間集計シート!O$29:O$48)*K$2</f>
        <v>0</v>
      </c>
      <c r="L760" s="88">
        <f>SUMIF(月間集計シート!$M$29:$M$48,$G760,月間集計シート!P$29:P$48)*L$2</f>
        <v>0</v>
      </c>
      <c r="M760" s="88">
        <f>SUMIF(月間集計シート!$M$29:$M$48,$G760,月間集計シート!Q$29:Q$48)*M$2</f>
        <v>0</v>
      </c>
      <c r="N760" s="88">
        <f>SUMIF(月間集計シート!$M$29:$M$48,$G760,月間集計シート!R$29:R$48)*N$2</f>
        <v>0</v>
      </c>
      <c r="O760" s="88">
        <f>SUMIF(月間集計シート!$M$29:$M$48,$G760,月間集計シート!S$29:S$48)*O$2</f>
        <v>0</v>
      </c>
      <c r="P760" s="88">
        <f>SUMIF(月間集計シート!$M$29:$M$48,$G760,月間集計シート!T$29:T$48)*P$2</f>
        <v>0</v>
      </c>
      <c r="Q760" s="88">
        <f>SUMIF(月間集計シート!$M$50:$M$69,$G760,月間集計シート!N$50:N$69)*Q$2</f>
        <v>0</v>
      </c>
      <c r="R760" s="88">
        <f>SUMIF(月間集計シート!$M$50:$M$69,$G760,月間集計シート!O$50:O$69)*R$2</f>
        <v>0</v>
      </c>
      <c r="S760" s="88">
        <f>SUMIF(月間集計シート!$M$50:$M$69,$G760,月間集計シート!P$50:P$69)*S$2</f>
        <v>0</v>
      </c>
      <c r="T760" s="88">
        <f>SUMIF(月間集計シート!$M$50:$M$69,$G760,月間集計シート!Q$50:Q$69)*T$2</f>
        <v>0</v>
      </c>
      <c r="U760" s="88">
        <f>SUMIF(月間集計シート!$M$50:$M$69,$G760,月間集計シート!R$50:R$69)*U$2</f>
        <v>0</v>
      </c>
      <c r="V760" s="88">
        <f>SUMIF(月間集計シート!$M$50:$M$69,$G760,月間集計シート!S$50:S$69)*V$2</f>
        <v>0</v>
      </c>
      <c r="W760" s="88">
        <f>SUMIF(月間集計シート!$M$50:$M$69,$G760,月間集計シート!T$50:T$69)*W$2</f>
        <v>0</v>
      </c>
      <c r="X760" s="88">
        <f>SUMIF(月間集計シート!$M$71:$M$90,$G760,月間集計シート!N$71:N$90)*X$2</f>
        <v>0</v>
      </c>
      <c r="Y760" s="88">
        <f>SUMIF(月間集計シート!$M$71:$M$90,$G760,月間集計シート!O$71:O$90)*Y$2</f>
        <v>0</v>
      </c>
      <c r="Z760" s="88">
        <f>SUMIF(月間集計シート!$M$71:$M$90,$G760,月間集計シート!P$71:P$90)*Z$2</f>
        <v>0</v>
      </c>
      <c r="AA760" s="88">
        <f>SUMIF(月間集計シート!$M$71:$M$90,$G760,月間集計シート!Q$71:Q$90)*AA$2</f>
        <v>0</v>
      </c>
      <c r="AB760" s="88">
        <f>SUMIF(月間集計シート!$M$71:$M$90,$G760,月間集計シート!R$71:R$90)*AB$2</f>
        <v>0</v>
      </c>
      <c r="AC760" s="88">
        <f>SUMIF(月間集計シート!$M$71:$M$90,$G760,月間集計シート!S$71:S$90)*AC$2</f>
        <v>0</v>
      </c>
      <c r="AD760" s="88">
        <f>SUMIF(月間集計シート!$M$71:$M$90,$G760,月間集計シート!T$71:T$90)*AD$2</f>
        <v>0</v>
      </c>
      <c r="AE760" s="88">
        <f>SUMIF(月間集計シート!$M$92:$M$111,$G760,月間集計シート!N$92:N$111)*AE$2</f>
        <v>0</v>
      </c>
      <c r="AF760" s="88">
        <f>SUMIF(月間集計シート!$M$92:$M$111,$G760,月間集計シート!O$92:O$111)*AF$2</f>
        <v>0</v>
      </c>
      <c r="AG760" s="88">
        <f>SUMIF(月間集計シート!$M$92:$M$111,$G760,月間集計シート!P$92:P$111)*AG$2</f>
        <v>0</v>
      </c>
      <c r="AH760" s="88">
        <f>SUMIF(月間集計シート!$M$92:$M$111,$G760,月間集計シート!Q$92:Q$111)*AH$2</f>
        <v>0</v>
      </c>
      <c r="AI760" s="88">
        <f>SUMIF(月間集計シート!$M$92:$M$111,$G760,月間集計シート!R$92:R$111)*AI$2</f>
        <v>0</v>
      </c>
      <c r="AJ760" s="88">
        <f>SUMIF(月間集計シート!$M$92:$M$111,$G760,月間集計シート!S$92:S$111)*AJ$2</f>
        <v>0</v>
      </c>
      <c r="AK760" s="88">
        <f>SUMIF(月間集計シート!$M$92:$M$111,$G760,月間集計シート!T$92:T$111)*AK$2</f>
        <v>0</v>
      </c>
      <c r="AL760" s="88">
        <f>SUMIF(月間集計シート!$M$113:$M$132,$G760,月間集計シート!N$113:N$132)*AL$2</f>
        <v>0</v>
      </c>
      <c r="AM760" s="88">
        <f>SUMIF(月間集計シート!$M$113:$M$132,$G760,月間集計シート!O$113:O$132)*AM$2</f>
        <v>0</v>
      </c>
      <c r="AN760" s="88">
        <f>SUMIF(月間集計シート!$M$113:$M$132,$G760,月間集計シート!P$113:P$132)*AN$2</f>
        <v>0</v>
      </c>
      <c r="AO760" s="88">
        <f>SUMIF(月間集計シート!$M$113:$M$132,$G760,月間集計シート!Q$113:Q$132)*AO$2</f>
        <v>0</v>
      </c>
      <c r="AP760" s="88">
        <f>SUMIF(月間集計シート!$M$113:$M$132,$G760,月間集計シート!R$113:R$132)*AP$2</f>
        <v>0</v>
      </c>
      <c r="AQ760" s="88">
        <f>SUMIF(月間集計シート!$M$113:$M$132,$G760,月間集計シート!S$113:S$132)*AQ$2</f>
        <v>0</v>
      </c>
      <c r="AR760" s="88">
        <f>SUMIF(月間集計シート!$M$113:$M$132,$G760,月間集計シート!T$113:T$132)*AR$2</f>
        <v>0</v>
      </c>
      <c r="AS760" s="88">
        <f>SUMIF(月間集計シート!$M$134:$M$153,$G760,月間集計シート!N$134:N$153)*AS$2</f>
        <v>0</v>
      </c>
      <c r="AT760" s="88">
        <f>SUMIF(月間集計シート!$M$134:$M$153,$G760,月間集計シート!O$134:O$153)*AT$2</f>
        <v>0</v>
      </c>
      <c r="AU760" s="88">
        <f>SUMIF(月間集計シート!$M$134:$M$153,$G760,月間集計シート!P$134:P$153)*AU$2</f>
        <v>0</v>
      </c>
      <c r="AV760" s="88">
        <f>SUMIF(月間集計シート!$M$134:$M$153,$G760,月間集計シート!Q$134:Q$153)*AV$2</f>
        <v>0</v>
      </c>
      <c r="AW760" s="88">
        <f>SUMIF(月間集計シート!$M$134:$M$153,$G760,月間集計シート!R$134:R$153)*AW$2</f>
        <v>0</v>
      </c>
      <c r="AX760" s="88">
        <f>SUMIF(月間集計シート!$M$134:$M$153,$G760,月間集計シート!S$134:S$153)*AX$2</f>
        <v>0</v>
      </c>
      <c r="AY760" s="88">
        <f>SUMIF(月間集計シート!$M$134:$M$153,$G760,月間集計シート!T$134:T$153)*AY$2</f>
        <v>0</v>
      </c>
    </row>
    <row r="761" spans="1:51" ht="14.25" thickBot="1">
      <c r="A761">
        <v>9</v>
      </c>
      <c r="B761" s="120">
        <f t="shared" si="364"/>
        <v>0</v>
      </c>
      <c r="C761" s="120" t="str">
        <f t="shared" si="364"/>
        <v/>
      </c>
      <c r="D761" s="137"/>
      <c r="E761" s="150" t="str">
        <f>工種!A73</f>
        <v>90108</v>
      </c>
      <c r="F761" s="119" t="str">
        <f>工種!B73</f>
        <v>管理業務：外部不具合分析</v>
      </c>
      <c r="G761" s="116" t="str">
        <f t="shared" si="361"/>
        <v>090108</v>
      </c>
      <c r="H761" s="88">
        <f t="shared" si="363"/>
        <v>0</v>
      </c>
      <c r="I761" s="132"/>
      <c r="J761" s="88">
        <f>SUMIF(月間集計シート!$M$29:$M$48,$G761,月間集計シート!N$29:N$48)*J$2</f>
        <v>0</v>
      </c>
      <c r="K761" s="88">
        <f>SUMIF(月間集計シート!$M$29:$M$48,$G761,月間集計シート!O$29:O$48)*K$2</f>
        <v>0</v>
      </c>
      <c r="L761" s="88">
        <f>SUMIF(月間集計シート!$M$29:$M$48,$G761,月間集計シート!P$29:P$48)*L$2</f>
        <v>0</v>
      </c>
      <c r="M761" s="88">
        <f>SUMIF(月間集計シート!$M$29:$M$48,$G761,月間集計シート!Q$29:Q$48)*M$2</f>
        <v>0</v>
      </c>
      <c r="N761" s="88">
        <f>SUMIF(月間集計シート!$M$29:$M$48,$G761,月間集計シート!R$29:R$48)*N$2</f>
        <v>0</v>
      </c>
      <c r="O761" s="88">
        <f>SUMIF(月間集計シート!$M$29:$M$48,$G761,月間集計シート!S$29:S$48)*O$2</f>
        <v>0</v>
      </c>
      <c r="P761" s="88">
        <f>SUMIF(月間集計シート!$M$29:$M$48,$G761,月間集計シート!T$29:T$48)*P$2</f>
        <v>0</v>
      </c>
      <c r="Q761" s="88">
        <f>SUMIF(月間集計シート!$M$50:$M$69,$G761,月間集計シート!N$50:N$69)*Q$2</f>
        <v>0</v>
      </c>
      <c r="R761" s="88">
        <f>SUMIF(月間集計シート!$M$50:$M$69,$G761,月間集計シート!O$50:O$69)*R$2</f>
        <v>0</v>
      </c>
      <c r="S761" s="88">
        <f>SUMIF(月間集計シート!$M$50:$M$69,$G761,月間集計シート!P$50:P$69)*S$2</f>
        <v>0</v>
      </c>
      <c r="T761" s="88">
        <f>SUMIF(月間集計シート!$M$50:$M$69,$G761,月間集計シート!Q$50:Q$69)*T$2</f>
        <v>0</v>
      </c>
      <c r="U761" s="88">
        <f>SUMIF(月間集計シート!$M$50:$M$69,$G761,月間集計シート!R$50:R$69)*U$2</f>
        <v>0</v>
      </c>
      <c r="V761" s="88">
        <f>SUMIF(月間集計シート!$M$50:$M$69,$G761,月間集計シート!S$50:S$69)*V$2</f>
        <v>0</v>
      </c>
      <c r="W761" s="88">
        <f>SUMIF(月間集計シート!$M$50:$M$69,$G761,月間集計シート!T$50:T$69)*W$2</f>
        <v>0</v>
      </c>
      <c r="X761" s="88">
        <f>SUMIF(月間集計シート!$M$71:$M$90,$G761,月間集計シート!N$71:N$90)*X$2</f>
        <v>0</v>
      </c>
      <c r="Y761" s="88">
        <f>SUMIF(月間集計シート!$M$71:$M$90,$G761,月間集計シート!O$71:O$90)*Y$2</f>
        <v>0</v>
      </c>
      <c r="Z761" s="88">
        <f>SUMIF(月間集計シート!$M$71:$M$90,$G761,月間集計シート!P$71:P$90)*Z$2</f>
        <v>0</v>
      </c>
      <c r="AA761" s="88">
        <f>SUMIF(月間集計シート!$M$71:$M$90,$G761,月間集計シート!Q$71:Q$90)*AA$2</f>
        <v>0</v>
      </c>
      <c r="AB761" s="88">
        <f>SUMIF(月間集計シート!$M$71:$M$90,$G761,月間集計シート!R$71:R$90)*AB$2</f>
        <v>0</v>
      </c>
      <c r="AC761" s="88">
        <f>SUMIF(月間集計シート!$M$71:$M$90,$G761,月間集計シート!S$71:S$90)*AC$2</f>
        <v>0</v>
      </c>
      <c r="AD761" s="88">
        <f>SUMIF(月間集計シート!$M$71:$M$90,$G761,月間集計シート!T$71:T$90)*AD$2</f>
        <v>0</v>
      </c>
      <c r="AE761" s="88">
        <f>SUMIF(月間集計シート!$M$92:$M$111,$G761,月間集計シート!N$92:N$111)*AE$2</f>
        <v>0</v>
      </c>
      <c r="AF761" s="88">
        <f>SUMIF(月間集計シート!$M$92:$M$111,$G761,月間集計シート!O$92:O$111)*AF$2</f>
        <v>0</v>
      </c>
      <c r="AG761" s="88">
        <f>SUMIF(月間集計シート!$M$92:$M$111,$G761,月間集計シート!P$92:P$111)*AG$2</f>
        <v>0</v>
      </c>
      <c r="AH761" s="88">
        <f>SUMIF(月間集計シート!$M$92:$M$111,$G761,月間集計シート!Q$92:Q$111)*AH$2</f>
        <v>0</v>
      </c>
      <c r="AI761" s="88">
        <f>SUMIF(月間集計シート!$M$92:$M$111,$G761,月間集計シート!R$92:R$111)*AI$2</f>
        <v>0</v>
      </c>
      <c r="AJ761" s="88">
        <f>SUMIF(月間集計シート!$M$92:$M$111,$G761,月間集計シート!S$92:S$111)*AJ$2</f>
        <v>0</v>
      </c>
      <c r="AK761" s="88">
        <f>SUMIF(月間集計シート!$M$92:$M$111,$G761,月間集計シート!T$92:T$111)*AK$2</f>
        <v>0</v>
      </c>
      <c r="AL761" s="88">
        <f>SUMIF(月間集計シート!$M$113:$M$132,$G761,月間集計シート!N$113:N$132)*AL$2</f>
        <v>0</v>
      </c>
      <c r="AM761" s="88">
        <f>SUMIF(月間集計シート!$M$113:$M$132,$G761,月間集計シート!O$113:O$132)*AM$2</f>
        <v>0</v>
      </c>
      <c r="AN761" s="88">
        <f>SUMIF(月間集計シート!$M$113:$M$132,$G761,月間集計シート!P$113:P$132)*AN$2</f>
        <v>0</v>
      </c>
      <c r="AO761" s="88">
        <f>SUMIF(月間集計シート!$M$113:$M$132,$G761,月間集計シート!Q$113:Q$132)*AO$2</f>
        <v>0</v>
      </c>
      <c r="AP761" s="88">
        <f>SUMIF(月間集計シート!$M$113:$M$132,$G761,月間集計シート!R$113:R$132)*AP$2</f>
        <v>0</v>
      </c>
      <c r="AQ761" s="88">
        <f>SUMIF(月間集計シート!$M$113:$M$132,$G761,月間集計シート!S$113:S$132)*AQ$2</f>
        <v>0</v>
      </c>
      <c r="AR761" s="88">
        <f>SUMIF(月間集計シート!$M$113:$M$132,$G761,月間集計シート!T$113:T$132)*AR$2</f>
        <v>0</v>
      </c>
      <c r="AS761" s="88">
        <f>SUMIF(月間集計シート!$M$134:$M$153,$G761,月間集計シート!N$134:N$153)*AS$2</f>
        <v>0</v>
      </c>
      <c r="AT761" s="88">
        <f>SUMIF(月間集計シート!$M$134:$M$153,$G761,月間集計シート!O$134:O$153)*AT$2</f>
        <v>0</v>
      </c>
      <c r="AU761" s="88">
        <f>SUMIF(月間集計シート!$M$134:$M$153,$G761,月間集計シート!P$134:P$153)*AU$2</f>
        <v>0</v>
      </c>
      <c r="AV761" s="88">
        <f>SUMIF(月間集計シート!$M$134:$M$153,$G761,月間集計シート!Q$134:Q$153)*AV$2</f>
        <v>0</v>
      </c>
      <c r="AW761" s="88">
        <f>SUMIF(月間集計シート!$M$134:$M$153,$G761,月間集計シート!R$134:R$153)*AW$2</f>
        <v>0</v>
      </c>
      <c r="AX761" s="88">
        <f>SUMIF(月間集計シート!$M$134:$M$153,$G761,月間集計シート!S$134:S$153)*AX$2</f>
        <v>0</v>
      </c>
      <c r="AY761" s="88">
        <f>SUMIF(月間集計シート!$M$134:$M$153,$G761,月間集計シート!T$134:T$153)*AY$2</f>
        <v>0</v>
      </c>
    </row>
    <row r="762" spans="1:51" ht="14.25" thickBot="1">
      <c r="A762">
        <v>9</v>
      </c>
      <c r="B762" s="120">
        <f t="shared" si="364"/>
        <v>0</v>
      </c>
      <c r="C762" s="120" t="str">
        <f t="shared" si="364"/>
        <v/>
      </c>
      <c r="D762" s="137"/>
      <c r="E762" s="150" t="str">
        <f>工種!A74</f>
        <v>90110</v>
      </c>
      <c r="F762" s="119" t="str">
        <f>工種!B74</f>
        <v>管理業務：打合せ</v>
      </c>
      <c r="G762" s="116" t="str">
        <f t="shared" si="361"/>
        <v>090110</v>
      </c>
      <c r="H762" s="88">
        <f t="shared" si="363"/>
        <v>0</v>
      </c>
      <c r="I762" s="132"/>
      <c r="J762" s="88">
        <f>SUMIF(月間集計シート!$M$29:$M$48,$G762,月間集計シート!N$29:N$48)*J$2</f>
        <v>0</v>
      </c>
      <c r="K762" s="88">
        <f>SUMIF(月間集計シート!$M$29:$M$48,$G762,月間集計シート!O$29:O$48)*K$2</f>
        <v>0</v>
      </c>
      <c r="L762" s="88">
        <f>SUMIF(月間集計シート!$M$29:$M$48,$G762,月間集計シート!P$29:P$48)*L$2</f>
        <v>0</v>
      </c>
      <c r="M762" s="88">
        <f>SUMIF(月間集計シート!$M$29:$M$48,$G762,月間集計シート!Q$29:Q$48)*M$2</f>
        <v>0</v>
      </c>
      <c r="N762" s="88">
        <f>SUMIF(月間集計シート!$M$29:$M$48,$G762,月間集計シート!R$29:R$48)*N$2</f>
        <v>0</v>
      </c>
      <c r="O762" s="88">
        <f>SUMIF(月間集計シート!$M$29:$M$48,$G762,月間集計シート!S$29:S$48)*O$2</f>
        <v>0</v>
      </c>
      <c r="P762" s="88">
        <f>SUMIF(月間集計シート!$M$29:$M$48,$G762,月間集計シート!T$29:T$48)*P$2</f>
        <v>0</v>
      </c>
      <c r="Q762" s="88">
        <f>SUMIF(月間集計シート!$M$50:$M$69,$G762,月間集計シート!N$50:N$69)*Q$2</f>
        <v>0</v>
      </c>
      <c r="R762" s="88">
        <f>SUMIF(月間集計シート!$M$50:$M$69,$G762,月間集計シート!O$50:O$69)*R$2</f>
        <v>0</v>
      </c>
      <c r="S762" s="88">
        <f>SUMIF(月間集計シート!$M$50:$M$69,$G762,月間集計シート!P$50:P$69)*S$2</f>
        <v>0</v>
      </c>
      <c r="T762" s="88">
        <f>SUMIF(月間集計シート!$M$50:$M$69,$G762,月間集計シート!Q$50:Q$69)*T$2</f>
        <v>0</v>
      </c>
      <c r="U762" s="88">
        <f>SUMIF(月間集計シート!$M$50:$M$69,$G762,月間集計シート!R$50:R$69)*U$2</f>
        <v>0</v>
      </c>
      <c r="V762" s="88">
        <f>SUMIF(月間集計シート!$M$50:$M$69,$G762,月間集計シート!S$50:S$69)*V$2</f>
        <v>0</v>
      </c>
      <c r="W762" s="88">
        <f>SUMIF(月間集計シート!$M$50:$M$69,$G762,月間集計シート!T$50:T$69)*W$2</f>
        <v>0</v>
      </c>
      <c r="X762" s="88">
        <f>SUMIF(月間集計シート!$M$71:$M$90,$G762,月間集計シート!N$71:N$90)*X$2</f>
        <v>0</v>
      </c>
      <c r="Y762" s="88">
        <f>SUMIF(月間集計シート!$M$71:$M$90,$G762,月間集計シート!O$71:O$90)*Y$2</f>
        <v>0</v>
      </c>
      <c r="Z762" s="88">
        <f>SUMIF(月間集計シート!$M$71:$M$90,$G762,月間集計シート!P$71:P$90)*Z$2</f>
        <v>0</v>
      </c>
      <c r="AA762" s="88">
        <f>SUMIF(月間集計シート!$M$71:$M$90,$G762,月間集計シート!Q$71:Q$90)*AA$2</f>
        <v>0</v>
      </c>
      <c r="AB762" s="88">
        <f>SUMIF(月間集計シート!$M$71:$M$90,$G762,月間集計シート!R$71:R$90)*AB$2</f>
        <v>0</v>
      </c>
      <c r="AC762" s="88">
        <f>SUMIF(月間集計シート!$M$71:$M$90,$G762,月間集計シート!S$71:S$90)*AC$2</f>
        <v>0</v>
      </c>
      <c r="AD762" s="88">
        <f>SUMIF(月間集計シート!$M$71:$M$90,$G762,月間集計シート!T$71:T$90)*AD$2</f>
        <v>0</v>
      </c>
      <c r="AE762" s="88">
        <f>SUMIF(月間集計シート!$M$92:$M$111,$G762,月間集計シート!N$92:N$111)*AE$2</f>
        <v>0</v>
      </c>
      <c r="AF762" s="88">
        <f>SUMIF(月間集計シート!$M$92:$M$111,$G762,月間集計シート!O$92:O$111)*AF$2</f>
        <v>0</v>
      </c>
      <c r="AG762" s="88">
        <f>SUMIF(月間集計シート!$M$92:$M$111,$G762,月間集計シート!P$92:P$111)*AG$2</f>
        <v>0</v>
      </c>
      <c r="AH762" s="88">
        <f>SUMIF(月間集計シート!$M$92:$M$111,$G762,月間集計シート!Q$92:Q$111)*AH$2</f>
        <v>0</v>
      </c>
      <c r="AI762" s="88">
        <f>SUMIF(月間集計シート!$M$92:$M$111,$G762,月間集計シート!R$92:R$111)*AI$2</f>
        <v>0</v>
      </c>
      <c r="AJ762" s="88">
        <f>SUMIF(月間集計シート!$M$92:$M$111,$G762,月間集計シート!S$92:S$111)*AJ$2</f>
        <v>0</v>
      </c>
      <c r="AK762" s="88">
        <f>SUMIF(月間集計シート!$M$92:$M$111,$G762,月間集計シート!T$92:T$111)*AK$2</f>
        <v>0</v>
      </c>
      <c r="AL762" s="88">
        <f>SUMIF(月間集計シート!$M$113:$M$132,$G762,月間集計シート!N$113:N$132)*AL$2</f>
        <v>0</v>
      </c>
      <c r="AM762" s="88">
        <f>SUMIF(月間集計シート!$M$113:$M$132,$G762,月間集計シート!O$113:O$132)*AM$2</f>
        <v>0</v>
      </c>
      <c r="AN762" s="88">
        <f>SUMIF(月間集計シート!$M$113:$M$132,$G762,月間集計シート!P$113:P$132)*AN$2</f>
        <v>0</v>
      </c>
      <c r="AO762" s="88">
        <f>SUMIF(月間集計シート!$M$113:$M$132,$G762,月間集計シート!Q$113:Q$132)*AO$2</f>
        <v>0</v>
      </c>
      <c r="AP762" s="88">
        <f>SUMIF(月間集計シート!$M$113:$M$132,$G762,月間集計シート!R$113:R$132)*AP$2</f>
        <v>0</v>
      </c>
      <c r="AQ762" s="88">
        <f>SUMIF(月間集計シート!$M$113:$M$132,$G762,月間集計シート!S$113:S$132)*AQ$2</f>
        <v>0</v>
      </c>
      <c r="AR762" s="88">
        <f>SUMIF(月間集計シート!$M$113:$M$132,$G762,月間集計シート!T$113:T$132)*AR$2</f>
        <v>0</v>
      </c>
      <c r="AS762" s="88">
        <f>SUMIF(月間集計シート!$M$134:$M$153,$G762,月間集計シート!N$134:N$153)*AS$2</f>
        <v>0</v>
      </c>
      <c r="AT762" s="88">
        <f>SUMIF(月間集計シート!$M$134:$M$153,$G762,月間集計シート!O$134:O$153)*AT$2</f>
        <v>0</v>
      </c>
      <c r="AU762" s="88">
        <f>SUMIF(月間集計シート!$M$134:$M$153,$G762,月間集計シート!P$134:P$153)*AU$2</f>
        <v>0</v>
      </c>
      <c r="AV762" s="88">
        <f>SUMIF(月間集計シート!$M$134:$M$153,$G762,月間集計シート!Q$134:Q$153)*AV$2</f>
        <v>0</v>
      </c>
      <c r="AW762" s="88">
        <f>SUMIF(月間集計シート!$M$134:$M$153,$G762,月間集計シート!R$134:R$153)*AW$2</f>
        <v>0</v>
      </c>
      <c r="AX762" s="88">
        <f>SUMIF(月間集計シート!$M$134:$M$153,$G762,月間集計シート!S$134:S$153)*AX$2</f>
        <v>0</v>
      </c>
      <c r="AY762" s="88">
        <f>SUMIF(月間集計シート!$M$134:$M$153,$G762,月間集計シート!T$134:T$153)*AY$2</f>
        <v>0</v>
      </c>
    </row>
    <row r="763" spans="1:51" ht="14.25" thickBot="1">
      <c r="A763">
        <v>9</v>
      </c>
      <c r="B763" s="120">
        <f t="shared" si="364"/>
        <v>0</v>
      </c>
      <c r="C763" s="120" t="str">
        <f t="shared" si="364"/>
        <v/>
      </c>
      <c r="D763" s="137"/>
      <c r="E763" s="150" t="str">
        <f>工種!A75</f>
        <v>90111</v>
      </c>
      <c r="F763" s="119" t="str">
        <f>工種!B75</f>
        <v>管理業務：レビュー</v>
      </c>
      <c r="G763" s="116" t="str">
        <f t="shared" si="361"/>
        <v>090111</v>
      </c>
      <c r="H763" s="88">
        <f t="shared" si="363"/>
        <v>0</v>
      </c>
      <c r="I763" s="132"/>
      <c r="J763" s="88">
        <f>SUMIF(月間集計シート!$M$29:$M$48,$G763,月間集計シート!N$29:N$48)*J$2</f>
        <v>0</v>
      </c>
      <c r="K763" s="88">
        <f>SUMIF(月間集計シート!$M$29:$M$48,$G763,月間集計シート!O$29:O$48)*K$2</f>
        <v>0</v>
      </c>
      <c r="L763" s="88">
        <f>SUMIF(月間集計シート!$M$29:$M$48,$G763,月間集計シート!P$29:P$48)*L$2</f>
        <v>0</v>
      </c>
      <c r="M763" s="88">
        <f>SUMIF(月間集計シート!$M$29:$M$48,$G763,月間集計シート!Q$29:Q$48)*M$2</f>
        <v>0</v>
      </c>
      <c r="N763" s="88">
        <f>SUMIF(月間集計シート!$M$29:$M$48,$G763,月間集計シート!R$29:R$48)*N$2</f>
        <v>0</v>
      </c>
      <c r="O763" s="88">
        <f>SUMIF(月間集計シート!$M$29:$M$48,$G763,月間集計シート!S$29:S$48)*O$2</f>
        <v>0</v>
      </c>
      <c r="P763" s="88">
        <f>SUMIF(月間集計シート!$M$29:$M$48,$G763,月間集計シート!T$29:T$48)*P$2</f>
        <v>0</v>
      </c>
      <c r="Q763" s="88">
        <f>SUMIF(月間集計シート!$M$50:$M$69,$G763,月間集計シート!N$50:N$69)*Q$2</f>
        <v>0</v>
      </c>
      <c r="R763" s="88">
        <f>SUMIF(月間集計シート!$M$50:$M$69,$G763,月間集計シート!O$50:O$69)*R$2</f>
        <v>0</v>
      </c>
      <c r="S763" s="88">
        <f>SUMIF(月間集計シート!$M$50:$M$69,$G763,月間集計シート!P$50:P$69)*S$2</f>
        <v>0</v>
      </c>
      <c r="T763" s="88">
        <f>SUMIF(月間集計シート!$M$50:$M$69,$G763,月間集計シート!Q$50:Q$69)*T$2</f>
        <v>0</v>
      </c>
      <c r="U763" s="88">
        <f>SUMIF(月間集計シート!$M$50:$M$69,$G763,月間集計シート!R$50:R$69)*U$2</f>
        <v>0</v>
      </c>
      <c r="V763" s="88">
        <f>SUMIF(月間集計シート!$M$50:$M$69,$G763,月間集計シート!S$50:S$69)*V$2</f>
        <v>0</v>
      </c>
      <c r="W763" s="88">
        <f>SUMIF(月間集計シート!$M$50:$M$69,$G763,月間集計シート!T$50:T$69)*W$2</f>
        <v>0</v>
      </c>
      <c r="X763" s="88">
        <f>SUMIF(月間集計シート!$M$71:$M$90,$G763,月間集計シート!N$71:N$90)*X$2</f>
        <v>0</v>
      </c>
      <c r="Y763" s="88">
        <f>SUMIF(月間集計シート!$M$71:$M$90,$G763,月間集計シート!O$71:O$90)*Y$2</f>
        <v>0</v>
      </c>
      <c r="Z763" s="88">
        <f>SUMIF(月間集計シート!$M$71:$M$90,$G763,月間集計シート!P$71:P$90)*Z$2</f>
        <v>0</v>
      </c>
      <c r="AA763" s="88">
        <f>SUMIF(月間集計シート!$M$71:$M$90,$G763,月間集計シート!Q$71:Q$90)*AA$2</f>
        <v>0</v>
      </c>
      <c r="AB763" s="88">
        <f>SUMIF(月間集計シート!$M$71:$M$90,$G763,月間集計シート!R$71:R$90)*AB$2</f>
        <v>0</v>
      </c>
      <c r="AC763" s="88">
        <f>SUMIF(月間集計シート!$M$71:$M$90,$G763,月間集計シート!S$71:S$90)*AC$2</f>
        <v>0</v>
      </c>
      <c r="AD763" s="88">
        <f>SUMIF(月間集計シート!$M$71:$M$90,$G763,月間集計シート!T$71:T$90)*AD$2</f>
        <v>0</v>
      </c>
      <c r="AE763" s="88">
        <f>SUMIF(月間集計シート!$M$92:$M$111,$G763,月間集計シート!N$92:N$111)*AE$2</f>
        <v>0</v>
      </c>
      <c r="AF763" s="88">
        <f>SUMIF(月間集計シート!$M$92:$M$111,$G763,月間集計シート!O$92:O$111)*AF$2</f>
        <v>0</v>
      </c>
      <c r="AG763" s="88">
        <f>SUMIF(月間集計シート!$M$92:$M$111,$G763,月間集計シート!P$92:P$111)*AG$2</f>
        <v>0</v>
      </c>
      <c r="AH763" s="88">
        <f>SUMIF(月間集計シート!$M$92:$M$111,$G763,月間集計シート!Q$92:Q$111)*AH$2</f>
        <v>0</v>
      </c>
      <c r="AI763" s="88">
        <f>SUMIF(月間集計シート!$M$92:$M$111,$G763,月間集計シート!R$92:R$111)*AI$2</f>
        <v>0</v>
      </c>
      <c r="AJ763" s="88">
        <f>SUMIF(月間集計シート!$M$92:$M$111,$G763,月間集計シート!S$92:S$111)*AJ$2</f>
        <v>0</v>
      </c>
      <c r="AK763" s="88">
        <f>SUMIF(月間集計シート!$M$92:$M$111,$G763,月間集計シート!T$92:T$111)*AK$2</f>
        <v>0</v>
      </c>
      <c r="AL763" s="88">
        <f>SUMIF(月間集計シート!$M$113:$M$132,$G763,月間集計シート!N$113:N$132)*AL$2</f>
        <v>0</v>
      </c>
      <c r="AM763" s="88">
        <f>SUMIF(月間集計シート!$M$113:$M$132,$G763,月間集計シート!O$113:O$132)*AM$2</f>
        <v>0</v>
      </c>
      <c r="AN763" s="88">
        <f>SUMIF(月間集計シート!$M$113:$M$132,$G763,月間集計シート!P$113:P$132)*AN$2</f>
        <v>0</v>
      </c>
      <c r="AO763" s="88">
        <f>SUMIF(月間集計シート!$M$113:$M$132,$G763,月間集計シート!Q$113:Q$132)*AO$2</f>
        <v>0</v>
      </c>
      <c r="AP763" s="88">
        <f>SUMIF(月間集計シート!$M$113:$M$132,$G763,月間集計シート!R$113:R$132)*AP$2</f>
        <v>0</v>
      </c>
      <c r="AQ763" s="88">
        <f>SUMIF(月間集計シート!$M$113:$M$132,$G763,月間集計シート!S$113:S$132)*AQ$2</f>
        <v>0</v>
      </c>
      <c r="AR763" s="88">
        <f>SUMIF(月間集計シート!$M$113:$M$132,$G763,月間集計シート!T$113:T$132)*AR$2</f>
        <v>0</v>
      </c>
      <c r="AS763" s="88">
        <f>SUMIF(月間集計シート!$M$134:$M$153,$G763,月間集計シート!N$134:N$153)*AS$2</f>
        <v>0</v>
      </c>
      <c r="AT763" s="88">
        <f>SUMIF(月間集計シート!$M$134:$M$153,$G763,月間集計シート!O$134:O$153)*AT$2</f>
        <v>0</v>
      </c>
      <c r="AU763" s="88">
        <f>SUMIF(月間集計シート!$M$134:$M$153,$G763,月間集計シート!P$134:P$153)*AU$2</f>
        <v>0</v>
      </c>
      <c r="AV763" s="88">
        <f>SUMIF(月間集計シート!$M$134:$M$153,$G763,月間集計シート!Q$134:Q$153)*AV$2</f>
        <v>0</v>
      </c>
      <c r="AW763" s="88">
        <f>SUMIF(月間集計シート!$M$134:$M$153,$G763,月間集計シート!R$134:R$153)*AW$2</f>
        <v>0</v>
      </c>
      <c r="AX763" s="88">
        <f>SUMIF(月間集計シート!$M$134:$M$153,$G763,月間集計シート!S$134:S$153)*AX$2</f>
        <v>0</v>
      </c>
      <c r="AY763" s="88">
        <f>SUMIF(月間集計シート!$M$134:$M$153,$G763,月間集計シート!T$134:T$153)*AY$2</f>
        <v>0</v>
      </c>
    </row>
    <row r="764" spans="1:51" ht="14.25" thickBot="1">
      <c r="A764">
        <v>9</v>
      </c>
      <c r="B764" s="120">
        <f t="shared" si="364"/>
        <v>0</v>
      </c>
      <c r="C764" s="120" t="str">
        <f t="shared" si="364"/>
        <v/>
      </c>
      <c r="D764" s="137"/>
      <c r="E764" s="150" t="str">
        <f>工種!A76</f>
        <v>90199</v>
      </c>
      <c r="F764" s="119" t="str">
        <f>工種!B76</f>
        <v>管理業務：その他</v>
      </c>
      <c r="G764" s="116" t="str">
        <f t="shared" si="361"/>
        <v>090199</v>
      </c>
      <c r="H764" s="88">
        <f t="shared" si="363"/>
        <v>0</v>
      </c>
      <c r="I764" s="132"/>
      <c r="J764" s="88">
        <f>SUMIF(月間集計シート!$M$29:$M$48,$G764,月間集計シート!N$29:N$48)*J$2</f>
        <v>0</v>
      </c>
      <c r="K764" s="88">
        <f>SUMIF(月間集計シート!$M$29:$M$48,$G764,月間集計シート!O$29:O$48)*K$2</f>
        <v>0</v>
      </c>
      <c r="L764" s="88">
        <f>SUMIF(月間集計シート!$M$29:$M$48,$G764,月間集計シート!P$29:P$48)*L$2</f>
        <v>0</v>
      </c>
      <c r="M764" s="88">
        <f>SUMIF(月間集計シート!$M$29:$M$48,$G764,月間集計シート!Q$29:Q$48)*M$2</f>
        <v>0</v>
      </c>
      <c r="N764" s="88">
        <f>SUMIF(月間集計シート!$M$29:$M$48,$G764,月間集計シート!R$29:R$48)*N$2</f>
        <v>0</v>
      </c>
      <c r="O764" s="88">
        <f>SUMIF(月間集計シート!$M$29:$M$48,$G764,月間集計シート!S$29:S$48)*O$2</f>
        <v>0</v>
      </c>
      <c r="P764" s="88">
        <f>SUMIF(月間集計シート!$M$29:$M$48,$G764,月間集計シート!T$29:T$48)*P$2</f>
        <v>0</v>
      </c>
      <c r="Q764" s="88">
        <f>SUMIF(月間集計シート!$M$50:$M$69,$G764,月間集計シート!N$50:N$69)*Q$2</f>
        <v>0</v>
      </c>
      <c r="R764" s="88">
        <f>SUMIF(月間集計シート!$M$50:$M$69,$G764,月間集計シート!O$50:O$69)*R$2</f>
        <v>0</v>
      </c>
      <c r="S764" s="88">
        <f>SUMIF(月間集計シート!$M$50:$M$69,$G764,月間集計シート!P$50:P$69)*S$2</f>
        <v>0</v>
      </c>
      <c r="T764" s="88">
        <f>SUMIF(月間集計シート!$M$50:$M$69,$G764,月間集計シート!Q$50:Q$69)*T$2</f>
        <v>0</v>
      </c>
      <c r="U764" s="88">
        <f>SUMIF(月間集計シート!$M$50:$M$69,$G764,月間集計シート!R$50:R$69)*U$2</f>
        <v>0</v>
      </c>
      <c r="V764" s="88">
        <f>SUMIF(月間集計シート!$M$50:$M$69,$G764,月間集計シート!S$50:S$69)*V$2</f>
        <v>0</v>
      </c>
      <c r="W764" s="88">
        <f>SUMIF(月間集計シート!$M$50:$M$69,$G764,月間集計シート!T$50:T$69)*W$2</f>
        <v>0</v>
      </c>
      <c r="X764" s="88">
        <f>SUMIF(月間集計シート!$M$71:$M$90,$G764,月間集計シート!N$71:N$90)*X$2</f>
        <v>0</v>
      </c>
      <c r="Y764" s="88">
        <f>SUMIF(月間集計シート!$M$71:$M$90,$G764,月間集計シート!O$71:O$90)*Y$2</f>
        <v>0</v>
      </c>
      <c r="Z764" s="88">
        <f>SUMIF(月間集計シート!$M$71:$M$90,$G764,月間集計シート!P$71:P$90)*Z$2</f>
        <v>0</v>
      </c>
      <c r="AA764" s="88">
        <f>SUMIF(月間集計シート!$M$71:$M$90,$G764,月間集計シート!Q$71:Q$90)*AA$2</f>
        <v>0</v>
      </c>
      <c r="AB764" s="88">
        <f>SUMIF(月間集計シート!$M$71:$M$90,$G764,月間集計シート!R$71:R$90)*AB$2</f>
        <v>0</v>
      </c>
      <c r="AC764" s="88">
        <f>SUMIF(月間集計シート!$M$71:$M$90,$G764,月間集計シート!S$71:S$90)*AC$2</f>
        <v>0</v>
      </c>
      <c r="AD764" s="88">
        <f>SUMIF(月間集計シート!$M$71:$M$90,$G764,月間集計シート!T$71:T$90)*AD$2</f>
        <v>0</v>
      </c>
      <c r="AE764" s="88">
        <f>SUMIF(月間集計シート!$M$92:$M$111,$G764,月間集計シート!N$92:N$111)*AE$2</f>
        <v>0</v>
      </c>
      <c r="AF764" s="88">
        <f>SUMIF(月間集計シート!$M$92:$M$111,$G764,月間集計シート!O$92:O$111)*AF$2</f>
        <v>0</v>
      </c>
      <c r="AG764" s="88">
        <f>SUMIF(月間集計シート!$M$92:$M$111,$G764,月間集計シート!P$92:P$111)*AG$2</f>
        <v>0</v>
      </c>
      <c r="AH764" s="88">
        <f>SUMIF(月間集計シート!$M$92:$M$111,$G764,月間集計シート!Q$92:Q$111)*AH$2</f>
        <v>0</v>
      </c>
      <c r="AI764" s="88">
        <f>SUMIF(月間集計シート!$M$92:$M$111,$G764,月間集計シート!R$92:R$111)*AI$2</f>
        <v>0</v>
      </c>
      <c r="AJ764" s="88">
        <f>SUMIF(月間集計シート!$M$92:$M$111,$G764,月間集計シート!S$92:S$111)*AJ$2</f>
        <v>0</v>
      </c>
      <c r="AK764" s="88">
        <f>SUMIF(月間集計シート!$M$92:$M$111,$G764,月間集計シート!T$92:T$111)*AK$2</f>
        <v>0</v>
      </c>
      <c r="AL764" s="88">
        <f>SUMIF(月間集計シート!$M$113:$M$132,$G764,月間集計シート!N$113:N$132)*AL$2</f>
        <v>0</v>
      </c>
      <c r="AM764" s="88">
        <f>SUMIF(月間集計シート!$M$113:$M$132,$G764,月間集計シート!O$113:O$132)*AM$2</f>
        <v>0</v>
      </c>
      <c r="AN764" s="88">
        <f>SUMIF(月間集計シート!$M$113:$M$132,$G764,月間集計シート!P$113:P$132)*AN$2</f>
        <v>0</v>
      </c>
      <c r="AO764" s="88">
        <f>SUMIF(月間集計シート!$M$113:$M$132,$G764,月間集計シート!Q$113:Q$132)*AO$2</f>
        <v>0</v>
      </c>
      <c r="AP764" s="88">
        <f>SUMIF(月間集計シート!$M$113:$M$132,$G764,月間集計シート!R$113:R$132)*AP$2</f>
        <v>0</v>
      </c>
      <c r="AQ764" s="88">
        <f>SUMIF(月間集計シート!$M$113:$M$132,$G764,月間集計シート!S$113:S$132)*AQ$2</f>
        <v>0</v>
      </c>
      <c r="AR764" s="88">
        <f>SUMIF(月間集計シート!$M$113:$M$132,$G764,月間集計シート!T$113:T$132)*AR$2</f>
        <v>0</v>
      </c>
      <c r="AS764" s="88">
        <f>SUMIF(月間集計シート!$M$134:$M$153,$G764,月間集計シート!N$134:N$153)*AS$2</f>
        <v>0</v>
      </c>
      <c r="AT764" s="88">
        <f>SUMIF(月間集計シート!$M$134:$M$153,$G764,月間集計シート!O$134:O$153)*AT$2</f>
        <v>0</v>
      </c>
      <c r="AU764" s="88">
        <f>SUMIF(月間集計シート!$M$134:$M$153,$G764,月間集計シート!P$134:P$153)*AU$2</f>
        <v>0</v>
      </c>
      <c r="AV764" s="88">
        <f>SUMIF(月間集計シート!$M$134:$M$153,$G764,月間集計シート!Q$134:Q$153)*AV$2</f>
        <v>0</v>
      </c>
      <c r="AW764" s="88">
        <f>SUMIF(月間集計シート!$M$134:$M$153,$G764,月間集計シート!R$134:R$153)*AW$2</f>
        <v>0</v>
      </c>
      <c r="AX764" s="88">
        <f>SUMIF(月間集計シート!$M$134:$M$153,$G764,月間集計シート!S$134:S$153)*AX$2</f>
        <v>0</v>
      </c>
      <c r="AY764" s="88">
        <f>SUMIF(月間集計シート!$M$134:$M$153,$G764,月間集計シート!T$134:T$153)*AY$2</f>
        <v>0</v>
      </c>
    </row>
    <row r="765" spans="1:51" ht="14.25" thickBot="1">
      <c r="A765">
        <v>9</v>
      </c>
      <c r="B765" s="120">
        <f t="shared" si="364"/>
        <v>0</v>
      </c>
      <c r="C765" s="120" t="str">
        <f t="shared" si="364"/>
        <v/>
      </c>
      <c r="D765" s="137"/>
      <c r="E765" s="150">
        <f>工種!A77</f>
        <v>99102</v>
      </c>
      <c r="F765" s="119" t="str">
        <f>工種!B77</f>
        <v>間接業務：業務環境管理（PCｾｯﾄｱｯﾌﾟ等）</v>
      </c>
      <c r="G765" s="116" t="str">
        <f t="shared" si="361"/>
        <v>099102</v>
      </c>
      <c r="H765" s="88">
        <f t="shared" si="363"/>
        <v>0</v>
      </c>
      <c r="I765" s="132"/>
      <c r="J765" s="88">
        <f>SUMIF(月間集計シート!$M$29:$M$48,$G765,月間集計シート!N$29:N$48)*J$2</f>
        <v>0</v>
      </c>
      <c r="K765" s="88">
        <f>SUMIF(月間集計シート!$M$29:$M$48,$G765,月間集計シート!O$29:O$48)*K$2</f>
        <v>0</v>
      </c>
      <c r="L765" s="88">
        <f>SUMIF(月間集計シート!$M$29:$M$48,$G765,月間集計シート!P$29:P$48)*L$2</f>
        <v>0</v>
      </c>
      <c r="M765" s="88">
        <f>SUMIF(月間集計シート!$M$29:$M$48,$G765,月間集計シート!Q$29:Q$48)*M$2</f>
        <v>0</v>
      </c>
      <c r="N765" s="88">
        <f>SUMIF(月間集計シート!$M$29:$M$48,$G765,月間集計シート!R$29:R$48)*N$2</f>
        <v>0</v>
      </c>
      <c r="O765" s="88">
        <f>SUMIF(月間集計シート!$M$29:$M$48,$G765,月間集計シート!S$29:S$48)*O$2</f>
        <v>0</v>
      </c>
      <c r="P765" s="88">
        <f>SUMIF(月間集計シート!$M$29:$M$48,$G765,月間集計シート!T$29:T$48)*P$2</f>
        <v>0</v>
      </c>
      <c r="Q765" s="88">
        <f>SUMIF(月間集計シート!$M$50:$M$69,$G765,月間集計シート!N$50:N$69)*Q$2</f>
        <v>0</v>
      </c>
      <c r="R765" s="88">
        <f>SUMIF(月間集計シート!$M$50:$M$69,$G765,月間集計シート!O$50:O$69)*R$2</f>
        <v>0</v>
      </c>
      <c r="S765" s="88">
        <f>SUMIF(月間集計シート!$M$50:$M$69,$G765,月間集計シート!P$50:P$69)*S$2</f>
        <v>0</v>
      </c>
      <c r="T765" s="88">
        <f>SUMIF(月間集計シート!$M$50:$M$69,$G765,月間集計シート!Q$50:Q$69)*T$2</f>
        <v>0</v>
      </c>
      <c r="U765" s="88">
        <f>SUMIF(月間集計シート!$M$50:$M$69,$G765,月間集計シート!R$50:R$69)*U$2</f>
        <v>0</v>
      </c>
      <c r="V765" s="88">
        <f>SUMIF(月間集計シート!$M$50:$M$69,$G765,月間集計シート!S$50:S$69)*V$2</f>
        <v>0</v>
      </c>
      <c r="W765" s="88">
        <f>SUMIF(月間集計シート!$M$50:$M$69,$G765,月間集計シート!T$50:T$69)*W$2</f>
        <v>0</v>
      </c>
      <c r="X765" s="88">
        <f>SUMIF(月間集計シート!$M$71:$M$90,$G765,月間集計シート!N$71:N$90)*X$2</f>
        <v>0</v>
      </c>
      <c r="Y765" s="88">
        <f>SUMIF(月間集計シート!$M$71:$M$90,$G765,月間集計シート!O$71:O$90)*Y$2</f>
        <v>0</v>
      </c>
      <c r="Z765" s="88">
        <f>SUMIF(月間集計シート!$M$71:$M$90,$G765,月間集計シート!P$71:P$90)*Z$2</f>
        <v>0</v>
      </c>
      <c r="AA765" s="88">
        <f>SUMIF(月間集計シート!$M$71:$M$90,$G765,月間集計シート!Q$71:Q$90)*AA$2</f>
        <v>0</v>
      </c>
      <c r="AB765" s="88">
        <f>SUMIF(月間集計シート!$M$71:$M$90,$G765,月間集計シート!R$71:R$90)*AB$2</f>
        <v>0</v>
      </c>
      <c r="AC765" s="88">
        <f>SUMIF(月間集計シート!$M$71:$M$90,$G765,月間集計シート!S$71:S$90)*AC$2</f>
        <v>0</v>
      </c>
      <c r="AD765" s="88">
        <f>SUMIF(月間集計シート!$M$71:$M$90,$G765,月間集計シート!T$71:T$90)*AD$2</f>
        <v>0</v>
      </c>
      <c r="AE765" s="88">
        <f>SUMIF(月間集計シート!$M$92:$M$111,$G765,月間集計シート!N$92:N$111)*AE$2</f>
        <v>0</v>
      </c>
      <c r="AF765" s="88">
        <f>SUMIF(月間集計シート!$M$92:$M$111,$G765,月間集計シート!O$92:O$111)*AF$2</f>
        <v>0</v>
      </c>
      <c r="AG765" s="88">
        <f>SUMIF(月間集計シート!$M$92:$M$111,$G765,月間集計シート!P$92:P$111)*AG$2</f>
        <v>0</v>
      </c>
      <c r="AH765" s="88">
        <f>SUMIF(月間集計シート!$M$92:$M$111,$G765,月間集計シート!Q$92:Q$111)*AH$2</f>
        <v>0</v>
      </c>
      <c r="AI765" s="88">
        <f>SUMIF(月間集計シート!$M$92:$M$111,$G765,月間集計シート!R$92:R$111)*AI$2</f>
        <v>0</v>
      </c>
      <c r="AJ765" s="88">
        <f>SUMIF(月間集計シート!$M$92:$M$111,$G765,月間集計シート!S$92:S$111)*AJ$2</f>
        <v>0</v>
      </c>
      <c r="AK765" s="88">
        <f>SUMIF(月間集計シート!$M$92:$M$111,$G765,月間集計シート!T$92:T$111)*AK$2</f>
        <v>0</v>
      </c>
      <c r="AL765" s="88">
        <f>SUMIF(月間集計シート!$M$113:$M$132,$G765,月間集計シート!N$113:N$132)*AL$2</f>
        <v>0</v>
      </c>
      <c r="AM765" s="88">
        <f>SUMIF(月間集計シート!$M$113:$M$132,$G765,月間集計シート!O$113:O$132)*AM$2</f>
        <v>0</v>
      </c>
      <c r="AN765" s="88">
        <f>SUMIF(月間集計シート!$M$113:$M$132,$G765,月間集計シート!P$113:P$132)*AN$2</f>
        <v>0</v>
      </c>
      <c r="AO765" s="88">
        <f>SUMIF(月間集計シート!$M$113:$M$132,$G765,月間集計シート!Q$113:Q$132)*AO$2</f>
        <v>0</v>
      </c>
      <c r="AP765" s="88">
        <f>SUMIF(月間集計シート!$M$113:$M$132,$G765,月間集計シート!R$113:R$132)*AP$2</f>
        <v>0</v>
      </c>
      <c r="AQ765" s="88">
        <f>SUMIF(月間集計シート!$M$113:$M$132,$G765,月間集計シート!S$113:S$132)*AQ$2</f>
        <v>0</v>
      </c>
      <c r="AR765" s="88">
        <f>SUMIF(月間集計シート!$M$113:$M$132,$G765,月間集計シート!T$113:T$132)*AR$2</f>
        <v>0</v>
      </c>
      <c r="AS765" s="88">
        <f>SUMIF(月間集計シート!$M$134:$M$153,$G765,月間集計シート!N$134:N$153)*AS$2</f>
        <v>0</v>
      </c>
      <c r="AT765" s="88">
        <f>SUMIF(月間集計シート!$M$134:$M$153,$G765,月間集計シート!O$134:O$153)*AT$2</f>
        <v>0</v>
      </c>
      <c r="AU765" s="88">
        <f>SUMIF(月間集計シート!$M$134:$M$153,$G765,月間集計シート!P$134:P$153)*AU$2</f>
        <v>0</v>
      </c>
      <c r="AV765" s="88">
        <f>SUMIF(月間集計シート!$M$134:$M$153,$G765,月間集計シート!Q$134:Q$153)*AV$2</f>
        <v>0</v>
      </c>
      <c r="AW765" s="88">
        <f>SUMIF(月間集計シート!$M$134:$M$153,$G765,月間集計シート!R$134:R$153)*AW$2</f>
        <v>0</v>
      </c>
      <c r="AX765" s="88">
        <f>SUMIF(月間集計シート!$M$134:$M$153,$G765,月間集計シート!S$134:S$153)*AX$2</f>
        <v>0</v>
      </c>
      <c r="AY765" s="88">
        <f>SUMIF(月間集計シート!$M$134:$M$153,$G765,月間集計シート!T$134:T$153)*AY$2</f>
        <v>0</v>
      </c>
    </row>
    <row r="766" spans="1:51" ht="14.25" thickBot="1">
      <c r="A766">
        <v>9</v>
      </c>
      <c r="B766" s="120">
        <f t="shared" si="364"/>
        <v>0</v>
      </c>
      <c r="C766" s="120" t="str">
        <f t="shared" si="364"/>
        <v/>
      </c>
      <c r="D766" s="137"/>
      <c r="E766" s="150" t="str">
        <f>工種!A78</f>
        <v>99103</v>
      </c>
      <c r="F766" s="119" t="str">
        <f>工種!B78</f>
        <v>間接業務：標準化・業務改善作業（開発以外）</v>
      </c>
      <c r="G766" s="116" t="str">
        <f t="shared" si="361"/>
        <v>099103</v>
      </c>
      <c r="H766" s="88">
        <f t="shared" si="363"/>
        <v>0</v>
      </c>
      <c r="I766" s="132"/>
      <c r="J766" s="88">
        <f>SUMIF(月間集計シート!$M$29:$M$48,$G766,月間集計シート!N$29:N$48)*J$2</f>
        <v>0</v>
      </c>
      <c r="K766" s="88">
        <f>SUMIF(月間集計シート!$M$29:$M$48,$G766,月間集計シート!O$29:O$48)*K$2</f>
        <v>0</v>
      </c>
      <c r="L766" s="88">
        <f>SUMIF(月間集計シート!$M$29:$M$48,$G766,月間集計シート!P$29:P$48)*L$2</f>
        <v>0</v>
      </c>
      <c r="M766" s="88">
        <f>SUMIF(月間集計シート!$M$29:$M$48,$G766,月間集計シート!Q$29:Q$48)*M$2</f>
        <v>0</v>
      </c>
      <c r="N766" s="88">
        <f>SUMIF(月間集計シート!$M$29:$M$48,$G766,月間集計シート!R$29:R$48)*N$2</f>
        <v>0</v>
      </c>
      <c r="O766" s="88">
        <f>SUMIF(月間集計シート!$M$29:$M$48,$G766,月間集計シート!S$29:S$48)*O$2</f>
        <v>0</v>
      </c>
      <c r="P766" s="88">
        <f>SUMIF(月間集計シート!$M$29:$M$48,$G766,月間集計シート!T$29:T$48)*P$2</f>
        <v>0</v>
      </c>
      <c r="Q766" s="88">
        <f>SUMIF(月間集計シート!$M$50:$M$69,$G766,月間集計シート!N$50:N$69)*Q$2</f>
        <v>0</v>
      </c>
      <c r="R766" s="88">
        <f>SUMIF(月間集計シート!$M$50:$M$69,$G766,月間集計シート!O$50:O$69)*R$2</f>
        <v>0</v>
      </c>
      <c r="S766" s="88">
        <f>SUMIF(月間集計シート!$M$50:$M$69,$G766,月間集計シート!P$50:P$69)*S$2</f>
        <v>0</v>
      </c>
      <c r="T766" s="88">
        <f>SUMIF(月間集計シート!$M$50:$M$69,$G766,月間集計シート!Q$50:Q$69)*T$2</f>
        <v>0</v>
      </c>
      <c r="U766" s="88">
        <f>SUMIF(月間集計シート!$M$50:$M$69,$G766,月間集計シート!R$50:R$69)*U$2</f>
        <v>0</v>
      </c>
      <c r="V766" s="88">
        <f>SUMIF(月間集計シート!$M$50:$M$69,$G766,月間集計シート!S$50:S$69)*V$2</f>
        <v>0</v>
      </c>
      <c r="W766" s="88">
        <f>SUMIF(月間集計シート!$M$50:$M$69,$G766,月間集計シート!T$50:T$69)*W$2</f>
        <v>0</v>
      </c>
      <c r="X766" s="88">
        <f>SUMIF(月間集計シート!$M$71:$M$90,$G766,月間集計シート!N$71:N$90)*X$2</f>
        <v>0</v>
      </c>
      <c r="Y766" s="88">
        <f>SUMIF(月間集計シート!$M$71:$M$90,$G766,月間集計シート!O$71:O$90)*Y$2</f>
        <v>0</v>
      </c>
      <c r="Z766" s="88">
        <f>SUMIF(月間集計シート!$M$71:$M$90,$G766,月間集計シート!P$71:P$90)*Z$2</f>
        <v>0</v>
      </c>
      <c r="AA766" s="88">
        <f>SUMIF(月間集計シート!$M$71:$M$90,$G766,月間集計シート!Q$71:Q$90)*AA$2</f>
        <v>0</v>
      </c>
      <c r="AB766" s="88">
        <f>SUMIF(月間集計シート!$M$71:$M$90,$G766,月間集計シート!R$71:R$90)*AB$2</f>
        <v>0</v>
      </c>
      <c r="AC766" s="88">
        <f>SUMIF(月間集計シート!$M$71:$M$90,$G766,月間集計シート!S$71:S$90)*AC$2</f>
        <v>0</v>
      </c>
      <c r="AD766" s="88">
        <f>SUMIF(月間集計シート!$M$71:$M$90,$G766,月間集計シート!T$71:T$90)*AD$2</f>
        <v>0</v>
      </c>
      <c r="AE766" s="88">
        <f>SUMIF(月間集計シート!$M$92:$M$111,$G766,月間集計シート!N$92:N$111)*AE$2</f>
        <v>0</v>
      </c>
      <c r="AF766" s="88">
        <f>SUMIF(月間集計シート!$M$92:$M$111,$G766,月間集計シート!O$92:O$111)*AF$2</f>
        <v>0</v>
      </c>
      <c r="AG766" s="88">
        <f>SUMIF(月間集計シート!$M$92:$M$111,$G766,月間集計シート!P$92:P$111)*AG$2</f>
        <v>0</v>
      </c>
      <c r="AH766" s="88">
        <f>SUMIF(月間集計シート!$M$92:$M$111,$G766,月間集計シート!Q$92:Q$111)*AH$2</f>
        <v>0</v>
      </c>
      <c r="AI766" s="88">
        <f>SUMIF(月間集計シート!$M$92:$M$111,$G766,月間集計シート!R$92:R$111)*AI$2</f>
        <v>0</v>
      </c>
      <c r="AJ766" s="88">
        <f>SUMIF(月間集計シート!$M$92:$M$111,$G766,月間集計シート!S$92:S$111)*AJ$2</f>
        <v>0</v>
      </c>
      <c r="AK766" s="88">
        <f>SUMIF(月間集計シート!$M$92:$M$111,$G766,月間集計シート!T$92:T$111)*AK$2</f>
        <v>0</v>
      </c>
      <c r="AL766" s="88">
        <f>SUMIF(月間集計シート!$M$113:$M$132,$G766,月間集計シート!N$113:N$132)*AL$2</f>
        <v>0</v>
      </c>
      <c r="AM766" s="88">
        <f>SUMIF(月間集計シート!$M$113:$M$132,$G766,月間集計シート!O$113:O$132)*AM$2</f>
        <v>0</v>
      </c>
      <c r="AN766" s="88">
        <f>SUMIF(月間集計シート!$M$113:$M$132,$G766,月間集計シート!P$113:P$132)*AN$2</f>
        <v>0</v>
      </c>
      <c r="AO766" s="88">
        <f>SUMIF(月間集計シート!$M$113:$M$132,$G766,月間集計シート!Q$113:Q$132)*AO$2</f>
        <v>0</v>
      </c>
      <c r="AP766" s="88">
        <f>SUMIF(月間集計シート!$M$113:$M$132,$G766,月間集計シート!R$113:R$132)*AP$2</f>
        <v>0</v>
      </c>
      <c r="AQ766" s="88">
        <f>SUMIF(月間集計シート!$M$113:$M$132,$G766,月間集計シート!S$113:S$132)*AQ$2</f>
        <v>0</v>
      </c>
      <c r="AR766" s="88">
        <f>SUMIF(月間集計シート!$M$113:$M$132,$G766,月間集計シート!T$113:T$132)*AR$2</f>
        <v>0</v>
      </c>
      <c r="AS766" s="88">
        <f>SUMIF(月間集計シート!$M$134:$M$153,$G766,月間集計シート!N$134:N$153)*AS$2</f>
        <v>0</v>
      </c>
      <c r="AT766" s="88">
        <f>SUMIF(月間集計シート!$M$134:$M$153,$G766,月間集計シート!O$134:O$153)*AT$2</f>
        <v>0</v>
      </c>
      <c r="AU766" s="88">
        <f>SUMIF(月間集計シート!$M$134:$M$153,$G766,月間集計シート!P$134:P$153)*AU$2</f>
        <v>0</v>
      </c>
      <c r="AV766" s="88">
        <f>SUMIF(月間集計シート!$M$134:$M$153,$G766,月間集計シート!Q$134:Q$153)*AV$2</f>
        <v>0</v>
      </c>
      <c r="AW766" s="88">
        <f>SUMIF(月間集計シート!$M$134:$M$153,$G766,月間集計シート!R$134:R$153)*AW$2</f>
        <v>0</v>
      </c>
      <c r="AX766" s="88">
        <f>SUMIF(月間集計シート!$M$134:$M$153,$G766,月間集計シート!S$134:S$153)*AX$2</f>
        <v>0</v>
      </c>
      <c r="AY766" s="88">
        <f>SUMIF(月間集計シート!$M$134:$M$153,$G766,月間集計シート!T$134:T$153)*AY$2</f>
        <v>0</v>
      </c>
    </row>
    <row r="767" spans="1:51" ht="14.25" thickBot="1">
      <c r="A767">
        <v>9</v>
      </c>
      <c r="B767" s="120">
        <f t="shared" si="364"/>
        <v>0</v>
      </c>
      <c r="C767" s="120" t="str">
        <f t="shared" si="364"/>
        <v/>
      </c>
      <c r="D767" s="137"/>
      <c r="E767" s="150" t="str">
        <f>工種!A79</f>
        <v>99104</v>
      </c>
      <c r="F767" s="119" t="str">
        <f>工種!B79</f>
        <v>間接業務：業務の引継ぎ（開発以外）</v>
      </c>
      <c r="G767" s="116" t="str">
        <f t="shared" si="361"/>
        <v>099104</v>
      </c>
      <c r="H767" s="88">
        <f t="shared" si="363"/>
        <v>0</v>
      </c>
      <c r="I767" s="132"/>
      <c r="J767" s="88">
        <f>SUMIF(月間集計シート!$M$29:$M$48,$G767,月間集計シート!N$29:N$48)*J$2</f>
        <v>0</v>
      </c>
      <c r="K767" s="88">
        <f>SUMIF(月間集計シート!$M$29:$M$48,$G767,月間集計シート!O$29:O$48)*K$2</f>
        <v>0</v>
      </c>
      <c r="L767" s="88">
        <f>SUMIF(月間集計シート!$M$29:$M$48,$G767,月間集計シート!P$29:P$48)*L$2</f>
        <v>0</v>
      </c>
      <c r="M767" s="88">
        <f>SUMIF(月間集計シート!$M$29:$M$48,$G767,月間集計シート!Q$29:Q$48)*M$2</f>
        <v>0</v>
      </c>
      <c r="N767" s="88">
        <f>SUMIF(月間集計シート!$M$29:$M$48,$G767,月間集計シート!R$29:R$48)*N$2</f>
        <v>0</v>
      </c>
      <c r="O767" s="88">
        <f>SUMIF(月間集計シート!$M$29:$M$48,$G767,月間集計シート!S$29:S$48)*O$2</f>
        <v>0</v>
      </c>
      <c r="P767" s="88">
        <f>SUMIF(月間集計シート!$M$29:$M$48,$G767,月間集計シート!T$29:T$48)*P$2</f>
        <v>0</v>
      </c>
      <c r="Q767" s="88">
        <f>SUMIF(月間集計シート!$M$50:$M$69,$G767,月間集計シート!N$50:N$69)*Q$2</f>
        <v>0</v>
      </c>
      <c r="R767" s="88">
        <f>SUMIF(月間集計シート!$M$50:$M$69,$G767,月間集計シート!O$50:O$69)*R$2</f>
        <v>0</v>
      </c>
      <c r="S767" s="88">
        <f>SUMIF(月間集計シート!$M$50:$M$69,$G767,月間集計シート!P$50:P$69)*S$2</f>
        <v>0</v>
      </c>
      <c r="T767" s="88">
        <f>SUMIF(月間集計シート!$M$50:$M$69,$G767,月間集計シート!Q$50:Q$69)*T$2</f>
        <v>0</v>
      </c>
      <c r="U767" s="88">
        <f>SUMIF(月間集計シート!$M$50:$M$69,$G767,月間集計シート!R$50:R$69)*U$2</f>
        <v>0</v>
      </c>
      <c r="V767" s="88">
        <f>SUMIF(月間集計シート!$M$50:$M$69,$G767,月間集計シート!S$50:S$69)*V$2</f>
        <v>0</v>
      </c>
      <c r="W767" s="88">
        <f>SUMIF(月間集計シート!$M$50:$M$69,$G767,月間集計シート!T$50:T$69)*W$2</f>
        <v>0</v>
      </c>
      <c r="X767" s="88">
        <f>SUMIF(月間集計シート!$M$71:$M$90,$G767,月間集計シート!N$71:N$90)*X$2</f>
        <v>0</v>
      </c>
      <c r="Y767" s="88">
        <f>SUMIF(月間集計シート!$M$71:$M$90,$G767,月間集計シート!O$71:O$90)*Y$2</f>
        <v>0</v>
      </c>
      <c r="Z767" s="88">
        <f>SUMIF(月間集計シート!$M$71:$M$90,$G767,月間集計シート!P$71:P$90)*Z$2</f>
        <v>0</v>
      </c>
      <c r="AA767" s="88">
        <f>SUMIF(月間集計シート!$M$71:$M$90,$G767,月間集計シート!Q$71:Q$90)*AA$2</f>
        <v>0</v>
      </c>
      <c r="AB767" s="88">
        <f>SUMIF(月間集計シート!$M$71:$M$90,$G767,月間集計シート!R$71:R$90)*AB$2</f>
        <v>0</v>
      </c>
      <c r="AC767" s="88">
        <f>SUMIF(月間集計シート!$M$71:$M$90,$G767,月間集計シート!S$71:S$90)*AC$2</f>
        <v>0</v>
      </c>
      <c r="AD767" s="88">
        <f>SUMIF(月間集計シート!$M$71:$M$90,$G767,月間集計シート!T$71:T$90)*AD$2</f>
        <v>0</v>
      </c>
      <c r="AE767" s="88">
        <f>SUMIF(月間集計シート!$M$92:$M$111,$G767,月間集計シート!N$92:N$111)*AE$2</f>
        <v>0</v>
      </c>
      <c r="AF767" s="88">
        <f>SUMIF(月間集計シート!$M$92:$M$111,$G767,月間集計シート!O$92:O$111)*AF$2</f>
        <v>0</v>
      </c>
      <c r="AG767" s="88">
        <f>SUMIF(月間集計シート!$M$92:$M$111,$G767,月間集計シート!P$92:P$111)*AG$2</f>
        <v>0</v>
      </c>
      <c r="AH767" s="88">
        <f>SUMIF(月間集計シート!$M$92:$M$111,$G767,月間集計シート!Q$92:Q$111)*AH$2</f>
        <v>0</v>
      </c>
      <c r="AI767" s="88">
        <f>SUMIF(月間集計シート!$M$92:$M$111,$G767,月間集計シート!R$92:R$111)*AI$2</f>
        <v>0</v>
      </c>
      <c r="AJ767" s="88">
        <f>SUMIF(月間集計シート!$M$92:$M$111,$G767,月間集計シート!S$92:S$111)*AJ$2</f>
        <v>0</v>
      </c>
      <c r="AK767" s="88">
        <f>SUMIF(月間集計シート!$M$92:$M$111,$G767,月間集計シート!T$92:T$111)*AK$2</f>
        <v>0</v>
      </c>
      <c r="AL767" s="88">
        <f>SUMIF(月間集計シート!$M$113:$M$132,$G767,月間集計シート!N$113:N$132)*AL$2</f>
        <v>0</v>
      </c>
      <c r="AM767" s="88">
        <f>SUMIF(月間集計シート!$M$113:$M$132,$G767,月間集計シート!O$113:O$132)*AM$2</f>
        <v>0</v>
      </c>
      <c r="AN767" s="88">
        <f>SUMIF(月間集計シート!$M$113:$M$132,$G767,月間集計シート!P$113:P$132)*AN$2</f>
        <v>0</v>
      </c>
      <c r="AO767" s="88">
        <f>SUMIF(月間集計シート!$M$113:$M$132,$G767,月間集計シート!Q$113:Q$132)*AO$2</f>
        <v>0</v>
      </c>
      <c r="AP767" s="88">
        <f>SUMIF(月間集計シート!$M$113:$M$132,$G767,月間集計シート!R$113:R$132)*AP$2</f>
        <v>0</v>
      </c>
      <c r="AQ767" s="88">
        <f>SUMIF(月間集計シート!$M$113:$M$132,$G767,月間集計シート!S$113:S$132)*AQ$2</f>
        <v>0</v>
      </c>
      <c r="AR767" s="88">
        <f>SUMIF(月間集計シート!$M$113:$M$132,$G767,月間集計シート!T$113:T$132)*AR$2</f>
        <v>0</v>
      </c>
      <c r="AS767" s="88">
        <f>SUMIF(月間集計シート!$M$134:$M$153,$G767,月間集計シート!N$134:N$153)*AS$2</f>
        <v>0</v>
      </c>
      <c r="AT767" s="88">
        <f>SUMIF(月間集計シート!$M$134:$M$153,$G767,月間集計シート!O$134:O$153)*AT$2</f>
        <v>0</v>
      </c>
      <c r="AU767" s="88">
        <f>SUMIF(月間集計シート!$M$134:$M$153,$G767,月間集計シート!P$134:P$153)*AU$2</f>
        <v>0</v>
      </c>
      <c r="AV767" s="88">
        <f>SUMIF(月間集計シート!$M$134:$M$153,$G767,月間集計シート!Q$134:Q$153)*AV$2</f>
        <v>0</v>
      </c>
      <c r="AW767" s="88">
        <f>SUMIF(月間集計シート!$M$134:$M$153,$G767,月間集計シート!R$134:R$153)*AW$2</f>
        <v>0</v>
      </c>
      <c r="AX767" s="88">
        <f>SUMIF(月間集計シート!$M$134:$M$153,$G767,月間集計シート!S$134:S$153)*AX$2</f>
        <v>0</v>
      </c>
      <c r="AY767" s="88">
        <f>SUMIF(月間集計シート!$M$134:$M$153,$G767,月間集計シート!T$134:T$153)*AY$2</f>
        <v>0</v>
      </c>
    </row>
    <row r="768" spans="1:51" ht="14.25" thickBot="1">
      <c r="A768">
        <v>9</v>
      </c>
      <c r="B768" s="120">
        <f t="shared" si="364"/>
        <v>0</v>
      </c>
      <c r="C768" s="120" t="str">
        <f t="shared" si="364"/>
        <v/>
      </c>
      <c r="D768" s="137"/>
      <c r="E768" s="150" t="str">
        <f>工種!A80</f>
        <v>99106</v>
      </c>
      <c r="F768" s="119" t="str">
        <f>工種!B80</f>
        <v>間接業務：研修・学習</v>
      </c>
      <c r="G768" s="116" t="str">
        <f t="shared" si="361"/>
        <v>099106</v>
      </c>
      <c r="H768" s="88">
        <f t="shared" si="363"/>
        <v>0</v>
      </c>
      <c r="I768" s="132"/>
      <c r="J768" s="88">
        <f>SUMIF(月間集計シート!$M$29:$M$48,$G768,月間集計シート!N$29:N$48)*J$2</f>
        <v>0</v>
      </c>
      <c r="K768" s="88">
        <f>SUMIF(月間集計シート!$M$29:$M$48,$G768,月間集計シート!O$29:O$48)*K$2</f>
        <v>0</v>
      </c>
      <c r="L768" s="88">
        <f>SUMIF(月間集計シート!$M$29:$M$48,$G768,月間集計シート!P$29:P$48)*L$2</f>
        <v>0</v>
      </c>
      <c r="M768" s="88">
        <f>SUMIF(月間集計シート!$M$29:$M$48,$G768,月間集計シート!Q$29:Q$48)*M$2</f>
        <v>0</v>
      </c>
      <c r="N768" s="88">
        <f>SUMIF(月間集計シート!$M$29:$M$48,$G768,月間集計シート!R$29:R$48)*N$2</f>
        <v>0</v>
      </c>
      <c r="O768" s="88">
        <f>SUMIF(月間集計シート!$M$29:$M$48,$G768,月間集計シート!S$29:S$48)*O$2</f>
        <v>0</v>
      </c>
      <c r="P768" s="88">
        <f>SUMIF(月間集計シート!$M$29:$M$48,$G768,月間集計シート!T$29:T$48)*P$2</f>
        <v>0</v>
      </c>
      <c r="Q768" s="88">
        <f>SUMIF(月間集計シート!$M$50:$M$69,$G768,月間集計シート!N$50:N$69)*Q$2</f>
        <v>0</v>
      </c>
      <c r="R768" s="88">
        <f>SUMIF(月間集計シート!$M$50:$M$69,$G768,月間集計シート!O$50:O$69)*R$2</f>
        <v>0</v>
      </c>
      <c r="S768" s="88">
        <f>SUMIF(月間集計シート!$M$50:$M$69,$G768,月間集計シート!P$50:P$69)*S$2</f>
        <v>0</v>
      </c>
      <c r="T768" s="88">
        <f>SUMIF(月間集計シート!$M$50:$M$69,$G768,月間集計シート!Q$50:Q$69)*T$2</f>
        <v>0</v>
      </c>
      <c r="U768" s="88">
        <f>SUMIF(月間集計シート!$M$50:$M$69,$G768,月間集計シート!R$50:R$69)*U$2</f>
        <v>0</v>
      </c>
      <c r="V768" s="88">
        <f>SUMIF(月間集計シート!$M$50:$M$69,$G768,月間集計シート!S$50:S$69)*V$2</f>
        <v>0</v>
      </c>
      <c r="W768" s="88">
        <f>SUMIF(月間集計シート!$M$50:$M$69,$G768,月間集計シート!T$50:T$69)*W$2</f>
        <v>0</v>
      </c>
      <c r="X768" s="88">
        <f>SUMIF(月間集計シート!$M$71:$M$90,$G768,月間集計シート!N$71:N$90)*X$2</f>
        <v>0</v>
      </c>
      <c r="Y768" s="88">
        <f>SUMIF(月間集計シート!$M$71:$M$90,$G768,月間集計シート!O$71:O$90)*Y$2</f>
        <v>0</v>
      </c>
      <c r="Z768" s="88">
        <f>SUMIF(月間集計シート!$M$71:$M$90,$G768,月間集計シート!P$71:P$90)*Z$2</f>
        <v>0</v>
      </c>
      <c r="AA768" s="88">
        <f>SUMIF(月間集計シート!$M$71:$M$90,$G768,月間集計シート!Q$71:Q$90)*AA$2</f>
        <v>0</v>
      </c>
      <c r="AB768" s="88">
        <f>SUMIF(月間集計シート!$M$71:$M$90,$G768,月間集計シート!R$71:R$90)*AB$2</f>
        <v>0</v>
      </c>
      <c r="AC768" s="88">
        <f>SUMIF(月間集計シート!$M$71:$M$90,$G768,月間集計シート!S$71:S$90)*AC$2</f>
        <v>0</v>
      </c>
      <c r="AD768" s="88">
        <f>SUMIF(月間集計シート!$M$71:$M$90,$G768,月間集計シート!T$71:T$90)*AD$2</f>
        <v>0</v>
      </c>
      <c r="AE768" s="88">
        <f>SUMIF(月間集計シート!$M$92:$M$111,$G768,月間集計シート!N$92:N$111)*AE$2</f>
        <v>0</v>
      </c>
      <c r="AF768" s="88">
        <f>SUMIF(月間集計シート!$M$92:$M$111,$G768,月間集計シート!O$92:O$111)*AF$2</f>
        <v>0</v>
      </c>
      <c r="AG768" s="88">
        <f>SUMIF(月間集計シート!$M$92:$M$111,$G768,月間集計シート!P$92:P$111)*AG$2</f>
        <v>0</v>
      </c>
      <c r="AH768" s="88">
        <f>SUMIF(月間集計シート!$M$92:$M$111,$G768,月間集計シート!Q$92:Q$111)*AH$2</f>
        <v>0</v>
      </c>
      <c r="AI768" s="88">
        <f>SUMIF(月間集計シート!$M$92:$M$111,$G768,月間集計シート!R$92:R$111)*AI$2</f>
        <v>0</v>
      </c>
      <c r="AJ768" s="88">
        <f>SUMIF(月間集計シート!$M$92:$M$111,$G768,月間集計シート!S$92:S$111)*AJ$2</f>
        <v>0</v>
      </c>
      <c r="AK768" s="88">
        <f>SUMIF(月間集計シート!$M$92:$M$111,$G768,月間集計シート!T$92:T$111)*AK$2</f>
        <v>0</v>
      </c>
      <c r="AL768" s="88">
        <f>SUMIF(月間集計シート!$M$113:$M$132,$G768,月間集計シート!N$113:N$132)*AL$2</f>
        <v>0</v>
      </c>
      <c r="AM768" s="88">
        <f>SUMIF(月間集計シート!$M$113:$M$132,$G768,月間集計シート!O$113:O$132)*AM$2</f>
        <v>0</v>
      </c>
      <c r="AN768" s="88">
        <f>SUMIF(月間集計シート!$M$113:$M$132,$G768,月間集計シート!P$113:P$132)*AN$2</f>
        <v>0</v>
      </c>
      <c r="AO768" s="88">
        <f>SUMIF(月間集計シート!$M$113:$M$132,$G768,月間集計シート!Q$113:Q$132)*AO$2</f>
        <v>0</v>
      </c>
      <c r="AP768" s="88">
        <f>SUMIF(月間集計シート!$M$113:$M$132,$G768,月間集計シート!R$113:R$132)*AP$2</f>
        <v>0</v>
      </c>
      <c r="AQ768" s="88">
        <f>SUMIF(月間集計シート!$M$113:$M$132,$G768,月間集計シート!S$113:S$132)*AQ$2</f>
        <v>0</v>
      </c>
      <c r="AR768" s="88">
        <f>SUMIF(月間集計シート!$M$113:$M$132,$G768,月間集計シート!T$113:T$132)*AR$2</f>
        <v>0</v>
      </c>
      <c r="AS768" s="88">
        <f>SUMIF(月間集計シート!$M$134:$M$153,$G768,月間集計シート!N$134:N$153)*AS$2</f>
        <v>0</v>
      </c>
      <c r="AT768" s="88">
        <f>SUMIF(月間集計シート!$M$134:$M$153,$G768,月間集計シート!O$134:O$153)*AT$2</f>
        <v>0</v>
      </c>
      <c r="AU768" s="88">
        <f>SUMIF(月間集計シート!$M$134:$M$153,$G768,月間集計シート!P$134:P$153)*AU$2</f>
        <v>0</v>
      </c>
      <c r="AV768" s="88">
        <f>SUMIF(月間集計シート!$M$134:$M$153,$G768,月間集計シート!Q$134:Q$153)*AV$2</f>
        <v>0</v>
      </c>
      <c r="AW768" s="88">
        <f>SUMIF(月間集計シート!$M$134:$M$153,$G768,月間集計シート!R$134:R$153)*AW$2</f>
        <v>0</v>
      </c>
      <c r="AX768" s="88">
        <f>SUMIF(月間集計シート!$M$134:$M$153,$G768,月間集計シート!S$134:S$153)*AX$2</f>
        <v>0</v>
      </c>
      <c r="AY768" s="88">
        <f>SUMIF(月間集計シート!$M$134:$M$153,$G768,月間集計シート!T$134:T$153)*AY$2</f>
        <v>0</v>
      </c>
    </row>
    <row r="769" spans="1:51" ht="14.25" thickBot="1">
      <c r="A769">
        <v>9</v>
      </c>
      <c r="B769" s="120">
        <f t="shared" si="364"/>
        <v>0</v>
      </c>
      <c r="C769" s="120" t="str">
        <f t="shared" si="364"/>
        <v/>
      </c>
      <c r="D769" s="137"/>
      <c r="E769" s="150" t="str">
        <f>工種!A81</f>
        <v>99107</v>
      </c>
      <c r="F769" s="119" t="str">
        <f>工種!B81</f>
        <v>間接業務：事務作業（開発以外）</v>
      </c>
      <c r="G769" s="116" t="str">
        <f t="shared" ref="G769:G770" si="365">B769&amp;E769</f>
        <v>099107</v>
      </c>
      <c r="H769" s="88">
        <f t="shared" ref="H769:H770" si="366">SUM(J769:AY769)</f>
        <v>0</v>
      </c>
      <c r="I769" s="132"/>
      <c r="J769" s="88">
        <f>SUMIF(月間集計シート!$M$29:$M$48,$G769,月間集計シート!N$29:N$48)*J$2</f>
        <v>0</v>
      </c>
      <c r="K769" s="88">
        <f>SUMIF(月間集計シート!$M$29:$M$48,$G769,月間集計シート!O$29:O$48)*K$2</f>
        <v>0</v>
      </c>
      <c r="L769" s="88">
        <f>SUMIF(月間集計シート!$M$29:$M$48,$G769,月間集計シート!P$29:P$48)*L$2</f>
        <v>0</v>
      </c>
      <c r="M769" s="88">
        <f>SUMIF(月間集計シート!$M$29:$M$48,$G769,月間集計シート!Q$29:Q$48)*M$2</f>
        <v>0</v>
      </c>
      <c r="N769" s="88">
        <f>SUMIF(月間集計シート!$M$29:$M$48,$G769,月間集計シート!R$29:R$48)*N$2</f>
        <v>0</v>
      </c>
      <c r="O769" s="88">
        <f>SUMIF(月間集計シート!$M$29:$M$48,$G769,月間集計シート!S$29:S$48)*O$2</f>
        <v>0</v>
      </c>
      <c r="P769" s="88">
        <f>SUMIF(月間集計シート!$M$29:$M$48,$G769,月間集計シート!T$29:T$48)*P$2</f>
        <v>0</v>
      </c>
      <c r="Q769" s="88">
        <f>SUMIF(月間集計シート!$M$50:$M$69,$G769,月間集計シート!N$50:N$69)*Q$2</f>
        <v>0</v>
      </c>
      <c r="R769" s="88">
        <f>SUMIF(月間集計シート!$M$50:$M$69,$G769,月間集計シート!O$50:O$69)*R$2</f>
        <v>0</v>
      </c>
      <c r="S769" s="88">
        <f>SUMIF(月間集計シート!$M$50:$M$69,$G769,月間集計シート!P$50:P$69)*S$2</f>
        <v>0</v>
      </c>
      <c r="T769" s="88">
        <f>SUMIF(月間集計シート!$M$50:$M$69,$G769,月間集計シート!Q$50:Q$69)*T$2</f>
        <v>0</v>
      </c>
      <c r="U769" s="88">
        <f>SUMIF(月間集計シート!$M$50:$M$69,$G769,月間集計シート!R$50:R$69)*U$2</f>
        <v>0</v>
      </c>
      <c r="V769" s="88">
        <f>SUMIF(月間集計シート!$M$50:$M$69,$G769,月間集計シート!S$50:S$69)*V$2</f>
        <v>0</v>
      </c>
      <c r="W769" s="88">
        <f>SUMIF(月間集計シート!$M$50:$M$69,$G769,月間集計シート!T$50:T$69)*W$2</f>
        <v>0</v>
      </c>
      <c r="X769" s="88">
        <f>SUMIF(月間集計シート!$M$71:$M$90,$G769,月間集計シート!N$71:N$90)*X$2</f>
        <v>0</v>
      </c>
      <c r="Y769" s="88">
        <f>SUMIF(月間集計シート!$M$71:$M$90,$G769,月間集計シート!O$71:O$90)*Y$2</f>
        <v>0</v>
      </c>
      <c r="Z769" s="88">
        <f>SUMIF(月間集計シート!$M$71:$M$90,$G769,月間集計シート!P$71:P$90)*Z$2</f>
        <v>0</v>
      </c>
      <c r="AA769" s="88">
        <f>SUMIF(月間集計シート!$M$71:$M$90,$G769,月間集計シート!Q$71:Q$90)*AA$2</f>
        <v>0</v>
      </c>
      <c r="AB769" s="88">
        <f>SUMIF(月間集計シート!$M$71:$M$90,$G769,月間集計シート!R$71:R$90)*AB$2</f>
        <v>0</v>
      </c>
      <c r="AC769" s="88">
        <f>SUMIF(月間集計シート!$M$71:$M$90,$G769,月間集計シート!S$71:S$90)*AC$2</f>
        <v>0</v>
      </c>
      <c r="AD769" s="88">
        <f>SUMIF(月間集計シート!$M$71:$M$90,$G769,月間集計シート!T$71:T$90)*AD$2</f>
        <v>0</v>
      </c>
      <c r="AE769" s="88">
        <f>SUMIF(月間集計シート!$M$92:$M$111,$G769,月間集計シート!N$92:N$111)*AE$2</f>
        <v>0</v>
      </c>
      <c r="AF769" s="88">
        <f>SUMIF(月間集計シート!$M$92:$M$111,$G769,月間集計シート!O$92:O$111)*AF$2</f>
        <v>0</v>
      </c>
      <c r="AG769" s="88">
        <f>SUMIF(月間集計シート!$M$92:$M$111,$G769,月間集計シート!P$92:P$111)*AG$2</f>
        <v>0</v>
      </c>
      <c r="AH769" s="88">
        <f>SUMIF(月間集計シート!$M$92:$M$111,$G769,月間集計シート!Q$92:Q$111)*AH$2</f>
        <v>0</v>
      </c>
      <c r="AI769" s="88">
        <f>SUMIF(月間集計シート!$M$92:$M$111,$G769,月間集計シート!R$92:R$111)*AI$2</f>
        <v>0</v>
      </c>
      <c r="AJ769" s="88">
        <f>SUMIF(月間集計シート!$M$92:$M$111,$G769,月間集計シート!S$92:S$111)*AJ$2</f>
        <v>0</v>
      </c>
      <c r="AK769" s="88">
        <f>SUMIF(月間集計シート!$M$92:$M$111,$G769,月間集計シート!T$92:T$111)*AK$2</f>
        <v>0</v>
      </c>
      <c r="AL769" s="88">
        <f>SUMIF(月間集計シート!$M$113:$M$132,$G769,月間集計シート!N$113:N$132)*AL$2</f>
        <v>0</v>
      </c>
      <c r="AM769" s="88">
        <f>SUMIF(月間集計シート!$M$113:$M$132,$G769,月間集計シート!O$113:O$132)*AM$2</f>
        <v>0</v>
      </c>
      <c r="AN769" s="88">
        <f>SUMIF(月間集計シート!$M$113:$M$132,$G769,月間集計シート!P$113:P$132)*AN$2</f>
        <v>0</v>
      </c>
      <c r="AO769" s="88">
        <f>SUMIF(月間集計シート!$M$113:$M$132,$G769,月間集計シート!Q$113:Q$132)*AO$2</f>
        <v>0</v>
      </c>
      <c r="AP769" s="88">
        <f>SUMIF(月間集計シート!$M$113:$M$132,$G769,月間集計シート!R$113:R$132)*AP$2</f>
        <v>0</v>
      </c>
      <c r="AQ769" s="88">
        <f>SUMIF(月間集計シート!$M$113:$M$132,$G769,月間集計シート!S$113:S$132)*AQ$2</f>
        <v>0</v>
      </c>
      <c r="AR769" s="88">
        <f>SUMIF(月間集計シート!$M$113:$M$132,$G769,月間集計シート!T$113:T$132)*AR$2</f>
        <v>0</v>
      </c>
      <c r="AS769" s="88">
        <f>SUMIF(月間集計シート!$M$134:$M$153,$G769,月間集計シート!N$134:N$153)*AS$2</f>
        <v>0</v>
      </c>
      <c r="AT769" s="88">
        <f>SUMIF(月間集計シート!$M$134:$M$153,$G769,月間集計シート!O$134:O$153)*AT$2</f>
        <v>0</v>
      </c>
      <c r="AU769" s="88">
        <f>SUMIF(月間集計シート!$M$134:$M$153,$G769,月間集計シート!P$134:P$153)*AU$2</f>
        <v>0</v>
      </c>
      <c r="AV769" s="88">
        <f>SUMIF(月間集計シート!$M$134:$M$153,$G769,月間集計シート!Q$134:Q$153)*AV$2</f>
        <v>0</v>
      </c>
      <c r="AW769" s="88">
        <f>SUMIF(月間集計シート!$M$134:$M$153,$G769,月間集計シート!R$134:R$153)*AW$2</f>
        <v>0</v>
      </c>
      <c r="AX769" s="88">
        <f>SUMIF(月間集計シート!$M$134:$M$153,$G769,月間集計シート!S$134:S$153)*AX$2</f>
        <v>0</v>
      </c>
      <c r="AY769" s="88">
        <f>SUMIF(月間集計シート!$M$134:$M$153,$G769,月間集計シート!T$134:T$153)*AY$2</f>
        <v>0</v>
      </c>
    </row>
    <row r="770" spans="1:51" ht="14.25" thickBot="1">
      <c r="A770">
        <v>9</v>
      </c>
      <c r="B770" s="120">
        <f t="shared" si="364"/>
        <v>0</v>
      </c>
      <c r="C770" s="120" t="str">
        <f t="shared" si="364"/>
        <v/>
      </c>
      <c r="D770" s="137"/>
      <c r="E770" s="150" t="str">
        <f>工種!A82</f>
        <v>99110</v>
      </c>
      <c r="F770" s="119" t="str">
        <f>工種!B82</f>
        <v>間接業務：打合せ</v>
      </c>
      <c r="G770" s="116" t="str">
        <f t="shared" si="365"/>
        <v>099110</v>
      </c>
      <c r="H770" s="88">
        <f t="shared" si="366"/>
        <v>0</v>
      </c>
      <c r="I770" s="132"/>
      <c r="J770" s="88">
        <f>SUMIF(月間集計シート!$M$29:$M$48,$G770,月間集計シート!N$29:N$48)*J$2</f>
        <v>0</v>
      </c>
      <c r="K770" s="88">
        <f>SUMIF(月間集計シート!$M$29:$M$48,$G770,月間集計シート!O$29:O$48)*K$2</f>
        <v>0</v>
      </c>
      <c r="L770" s="88">
        <f>SUMIF(月間集計シート!$M$29:$M$48,$G770,月間集計シート!P$29:P$48)*L$2</f>
        <v>0</v>
      </c>
      <c r="M770" s="88">
        <f>SUMIF(月間集計シート!$M$29:$M$48,$G770,月間集計シート!Q$29:Q$48)*M$2</f>
        <v>0</v>
      </c>
      <c r="N770" s="88">
        <f>SUMIF(月間集計シート!$M$29:$M$48,$G770,月間集計シート!R$29:R$48)*N$2</f>
        <v>0</v>
      </c>
      <c r="O770" s="88">
        <f>SUMIF(月間集計シート!$M$29:$M$48,$G770,月間集計シート!S$29:S$48)*O$2</f>
        <v>0</v>
      </c>
      <c r="P770" s="88">
        <f>SUMIF(月間集計シート!$M$29:$M$48,$G770,月間集計シート!T$29:T$48)*P$2</f>
        <v>0</v>
      </c>
      <c r="Q770" s="88">
        <f>SUMIF(月間集計シート!$M$50:$M$69,$G770,月間集計シート!N$50:N$69)*Q$2</f>
        <v>0</v>
      </c>
      <c r="R770" s="88">
        <f>SUMIF(月間集計シート!$M$50:$M$69,$G770,月間集計シート!O$50:O$69)*R$2</f>
        <v>0</v>
      </c>
      <c r="S770" s="88">
        <f>SUMIF(月間集計シート!$M$50:$M$69,$G770,月間集計シート!P$50:P$69)*S$2</f>
        <v>0</v>
      </c>
      <c r="T770" s="88">
        <f>SUMIF(月間集計シート!$M$50:$M$69,$G770,月間集計シート!Q$50:Q$69)*T$2</f>
        <v>0</v>
      </c>
      <c r="U770" s="88">
        <f>SUMIF(月間集計シート!$M$50:$M$69,$G770,月間集計シート!R$50:R$69)*U$2</f>
        <v>0</v>
      </c>
      <c r="V770" s="88">
        <f>SUMIF(月間集計シート!$M$50:$M$69,$G770,月間集計シート!S$50:S$69)*V$2</f>
        <v>0</v>
      </c>
      <c r="W770" s="88">
        <f>SUMIF(月間集計シート!$M$50:$M$69,$G770,月間集計シート!T$50:T$69)*W$2</f>
        <v>0</v>
      </c>
      <c r="X770" s="88">
        <f>SUMIF(月間集計シート!$M$71:$M$90,$G770,月間集計シート!N$71:N$90)*X$2</f>
        <v>0</v>
      </c>
      <c r="Y770" s="88">
        <f>SUMIF(月間集計シート!$M$71:$M$90,$G770,月間集計シート!O$71:O$90)*Y$2</f>
        <v>0</v>
      </c>
      <c r="Z770" s="88">
        <f>SUMIF(月間集計シート!$M$71:$M$90,$G770,月間集計シート!P$71:P$90)*Z$2</f>
        <v>0</v>
      </c>
      <c r="AA770" s="88">
        <f>SUMIF(月間集計シート!$M$71:$M$90,$G770,月間集計シート!Q$71:Q$90)*AA$2</f>
        <v>0</v>
      </c>
      <c r="AB770" s="88">
        <f>SUMIF(月間集計シート!$M$71:$M$90,$G770,月間集計シート!R$71:R$90)*AB$2</f>
        <v>0</v>
      </c>
      <c r="AC770" s="88">
        <f>SUMIF(月間集計シート!$M$71:$M$90,$G770,月間集計シート!S$71:S$90)*AC$2</f>
        <v>0</v>
      </c>
      <c r="AD770" s="88">
        <f>SUMIF(月間集計シート!$M$71:$M$90,$G770,月間集計シート!T$71:T$90)*AD$2</f>
        <v>0</v>
      </c>
      <c r="AE770" s="88">
        <f>SUMIF(月間集計シート!$M$92:$M$111,$G770,月間集計シート!N$92:N$111)*AE$2</f>
        <v>0</v>
      </c>
      <c r="AF770" s="88">
        <f>SUMIF(月間集計シート!$M$92:$M$111,$G770,月間集計シート!O$92:O$111)*AF$2</f>
        <v>0</v>
      </c>
      <c r="AG770" s="88">
        <f>SUMIF(月間集計シート!$M$92:$M$111,$G770,月間集計シート!P$92:P$111)*AG$2</f>
        <v>0</v>
      </c>
      <c r="AH770" s="88">
        <f>SUMIF(月間集計シート!$M$92:$M$111,$G770,月間集計シート!Q$92:Q$111)*AH$2</f>
        <v>0</v>
      </c>
      <c r="AI770" s="88">
        <f>SUMIF(月間集計シート!$M$92:$M$111,$G770,月間集計シート!R$92:R$111)*AI$2</f>
        <v>0</v>
      </c>
      <c r="AJ770" s="88">
        <f>SUMIF(月間集計シート!$M$92:$M$111,$G770,月間集計シート!S$92:S$111)*AJ$2</f>
        <v>0</v>
      </c>
      <c r="AK770" s="88">
        <f>SUMIF(月間集計シート!$M$92:$M$111,$G770,月間集計シート!T$92:T$111)*AK$2</f>
        <v>0</v>
      </c>
      <c r="AL770" s="88">
        <f>SUMIF(月間集計シート!$M$113:$M$132,$G770,月間集計シート!N$113:N$132)*AL$2</f>
        <v>0</v>
      </c>
      <c r="AM770" s="88">
        <f>SUMIF(月間集計シート!$M$113:$M$132,$G770,月間集計シート!O$113:O$132)*AM$2</f>
        <v>0</v>
      </c>
      <c r="AN770" s="88">
        <f>SUMIF(月間集計シート!$M$113:$M$132,$G770,月間集計シート!P$113:P$132)*AN$2</f>
        <v>0</v>
      </c>
      <c r="AO770" s="88">
        <f>SUMIF(月間集計シート!$M$113:$M$132,$G770,月間集計シート!Q$113:Q$132)*AO$2</f>
        <v>0</v>
      </c>
      <c r="AP770" s="88">
        <f>SUMIF(月間集計シート!$M$113:$M$132,$G770,月間集計シート!R$113:R$132)*AP$2</f>
        <v>0</v>
      </c>
      <c r="AQ770" s="88">
        <f>SUMIF(月間集計シート!$M$113:$M$132,$G770,月間集計シート!S$113:S$132)*AQ$2</f>
        <v>0</v>
      </c>
      <c r="AR770" s="88">
        <f>SUMIF(月間集計シート!$M$113:$M$132,$G770,月間集計シート!T$113:T$132)*AR$2</f>
        <v>0</v>
      </c>
      <c r="AS770" s="88">
        <f>SUMIF(月間集計シート!$M$134:$M$153,$G770,月間集計シート!N$134:N$153)*AS$2</f>
        <v>0</v>
      </c>
      <c r="AT770" s="88">
        <f>SUMIF(月間集計シート!$M$134:$M$153,$G770,月間集計シート!O$134:O$153)*AT$2</f>
        <v>0</v>
      </c>
      <c r="AU770" s="88">
        <f>SUMIF(月間集計シート!$M$134:$M$153,$G770,月間集計シート!P$134:P$153)*AU$2</f>
        <v>0</v>
      </c>
      <c r="AV770" s="88">
        <f>SUMIF(月間集計シート!$M$134:$M$153,$G770,月間集計シート!Q$134:Q$153)*AV$2</f>
        <v>0</v>
      </c>
      <c r="AW770" s="88">
        <f>SUMIF(月間集計シート!$M$134:$M$153,$G770,月間集計シート!R$134:R$153)*AW$2</f>
        <v>0</v>
      </c>
      <c r="AX770" s="88">
        <f>SUMIF(月間集計シート!$M$134:$M$153,$G770,月間集計シート!S$134:S$153)*AX$2</f>
        <v>0</v>
      </c>
      <c r="AY770" s="88">
        <f>SUMIF(月間集計シート!$M$134:$M$153,$G770,月間集計シート!T$134:T$153)*AY$2</f>
        <v>0</v>
      </c>
    </row>
    <row r="771" spans="1:51" ht="14.25" thickBot="1">
      <c r="A771">
        <v>9</v>
      </c>
      <c r="B771" s="120">
        <f t="shared" si="364"/>
        <v>0</v>
      </c>
      <c r="C771" s="120" t="str">
        <f t="shared" si="364"/>
        <v/>
      </c>
      <c r="D771" s="137"/>
      <c r="E771" s="150" t="str">
        <f>工種!A83</f>
        <v>99199</v>
      </c>
      <c r="F771" s="119" t="str">
        <f>工種!B83</f>
        <v>間接業務：その他</v>
      </c>
      <c r="G771" s="116" t="str">
        <f t="shared" si="360"/>
        <v>099199</v>
      </c>
      <c r="H771" s="88">
        <f t="shared" si="314"/>
        <v>0</v>
      </c>
      <c r="I771" s="132"/>
      <c r="J771" s="88">
        <f>SUMIF(月間集計シート!$M$29:$M$48,$G771,月間集計シート!N$29:N$48)*J$2</f>
        <v>0</v>
      </c>
      <c r="K771" s="88">
        <f>SUMIF(月間集計シート!$M$29:$M$48,$G771,月間集計シート!O$29:O$48)*K$2</f>
        <v>0</v>
      </c>
      <c r="L771" s="88">
        <f>SUMIF(月間集計シート!$M$29:$M$48,$G771,月間集計シート!P$29:P$48)*L$2</f>
        <v>0</v>
      </c>
      <c r="M771" s="88">
        <f>SUMIF(月間集計シート!$M$29:$M$48,$G771,月間集計シート!Q$29:Q$48)*M$2</f>
        <v>0</v>
      </c>
      <c r="N771" s="88">
        <f>SUMIF(月間集計シート!$M$29:$M$48,$G771,月間集計シート!R$29:R$48)*N$2</f>
        <v>0</v>
      </c>
      <c r="O771" s="88">
        <f>SUMIF(月間集計シート!$M$29:$M$48,$G771,月間集計シート!S$29:S$48)*O$2</f>
        <v>0</v>
      </c>
      <c r="P771" s="88">
        <f>SUMIF(月間集計シート!$M$29:$M$48,$G771,月間集計シート!T$29:T$48)*P$2</f>
        <v>0</v>
      </c>
      <c r="Q771" s="88">
        <f>SUMIF(月間集計シート!$M$50:$M$69,$G771,月間集計シート!N$50:N$69)*Q$2</f>
        <v>0</v>
      </c>
      <c r="R771" s="88">
        <f>SUMIF(月間集計シート!$M$50:$M$69,$G771,月間集計シート!O$50:O$69)*R$2</f>
        <v>0</v>
      </c>
      <c r="S771" s="88">
        <f>SUMIF(月間集計シート!$M$50:$M$69,$G771,月間集計シート!P$50:P$69)*S$2</f>
        <v>0</v>
      </c>
      <c r="T771" s="88">
        <f>SUMIF(月間集計シート!$M$50:$M$69,$G771,月間集計シート!Q$50:Q$69)*T$2</f>
        <v>0</v>
      </c>
      <c r="U771" s="88">
        <f>SUMIF(月間集計シート!$M$50:$M$69,$G771,月間集計シート!R$50:R$69)*U$2</f>
        <v>0</v>
      </c>
      <c r="V771" s="88">
        <f>SUMIF(月間集計シート!$M$50:$M$69,$G771,月間集計シート!S$50:S$69)*V$2</f>
        <v>0</v>
      </c>
      <c r="W771" s="88">
        <f>SUMIF(月間集計シート!$M$50:$M$69,$G771,月間集計シート!T$50:T$69)*W$2</f>
        <v>0</v>
      </c>
      <c r="X771" s="88">
        <f>SUMIF(月間集計シート!$M$71:$M$90,$G771,月間集計シート!N$71:N$90)*X$2</f>
        <v>0</v>
      </c>
      <c r="Y771" s="88">
        <f>SUMIF(月間集計シート!$M$71:$M$90,$G771,月間集計シート!O$71:O$90)*Y$2</f>
        <v>0</v>
      </c>
      <c r="Z771" s="88">
        <f>SUMIF(月間集計シート!$M$71:$M$90,$G771,月間集計シート!P$71:P$90)*Z$2</f>
        <v>0</v>
      </c>
      <c r="AA771" s="88">
        <f>SUMIF(月間集計シート!$M$71:$M$90,$G771,月間集計シート!Q$71:Q$90)*AA$2</f>
        <v>0</v>
      </c>
      <c r="AB771" s="88">
        <f>SUMIF(月間集計シート!$M$71:$M$90,$G771,月間集計シート!R$71:R$90)*AB$2</f>
        <v>0</v>
      </c>
      <c r="AC771" s="88">
        <f>SUMIF(月間集計シート!$M$71:$M$90,$G771,月間集計シート!S$71:S$90)*AC$2</f>
        <v>0</v>
      </c>
      <c r="AD771" s="88">
        <f>SUMIF(月間集計シート!$M$71:$M$90,$G771,月間集計シート!T$71:T$90)*AD$2</f>
        <v>0</v>
      </c>
      <c r="AE771" s="88">
        <f>SUMIF(月間集計シート!$M$92:$M$111,$G771,月間集計シート!N$92:N$111)*AE$2</f>
        <v>0</v>
      </c>
      <c r="AF771" s="88">
        <f>SUMIF(月間集計シート!$M$92:$M$111,$G771,月間集計シート!O$92:O$111)*AF$2</f>
        <v>0</v>
      </c>
      <c r="AG771" s="88">
        <f>SUMIF(月間集計シート!$M$92:$M$111,$G771,月間集計シート!P$92:P$111)*AG$2</f>
        <v>0</v>
      </c>
      <c r="AH771" s="88">
        <f>SUMIF(月間集計シート!$M$92:$M$111,$G771,月間集計シート!Q$92:Q$111)*AH$2</f>
        <v>0</v>
      </c>
      <c r="AI771" s="88">
        <f>SUMIF(月間集計シート!$M$92:$M$111,$G771,月間集計シート!R$92:R$111)*AI$2</f>
        <v>0</v>
      </c>
      <c r="AJ771" s="88">
        <f>SUMIF(月間集計シート!$M$92:$M$111,$G771,月間集計シート!S$92:S$111)*AJ$2</f>
        <v>0</v>
      </c>
      <c r="AK771" s="88">
        <f>SUMIF(月間集計シート!$M$92:$M$111,$G771,月間集計シート!T$92:T$111)*AK$2</f>
        <v>0</v>
      </c>
      <c r="AL771" s="88">
        <f>SUMIF(月間集計シート!$M$113:$M$132,$G771,月間集計シート!N$113:N$132)*AL$2</f>
        <v>0</v>
      </c>
      <c r="AM771" s="88">
        <f>SUMIF(月間集計シート!$M$113:$M$132,$G771,月間集計シート!O$113:O$132)*AM$2</f>
        <v>0</v>
      </c>
      <c r="AN771" s="88">
        <f>SUMIF(月間集計シート!$M$113:$M$132,$G771,月間集計シート!P$113:P$132)*AN$2</f>
        <v>0</v>
      </c>
      <c r="AO771" s="88">
        <f>SUMIF(月間集計シート!$M$113:$M$132,$G771,月間集計シート!Q$113:Q$132)*AO$2</f>
        <v>0</v>
      </c>
      <c r="AP771" s="88">
        <f>SUMIF(月間集計シート!$M$113:$M$132,$G771,月間集計シート!R$113:R$132)*AP$2</f>
        <v>0</v>
      </c>
      <c r="AQ771" s="88">
        <f>SUMIF(月間集計シート!$M$113:$M$132,$G771,月間集計シート!S$113:S$132)*AQ$2</f>
        <v>0</v>
      </c>
      <c r="AR771" s="88">
        <f>SUMIF(月間集計シート!$M$113:$M$132,$G771,月間集計シート!T$113:T$132)*AR$2</f>
        <v>0</v>
      </c>
      <c r="AS771" s="88">
        <f>SUMIF(月間集計シート!$M$134:$M$153,$G771,月間集計シート!N$134:N$153)*AS$2</f>
        <v>0</v>
      </c>
      <c r="AT771" s="88">
        <f>SUMIF(月間集計シート!$M$134:$M$153,$G771,月間集計シート!O$134:O$153)*AT$2</f>
        <v>0</v>
      </c>
      <c r="AU771" s="88">
        <f>SUMIF(月間集計シート!$M$134:$M$153,$G771,月間集計シート!P$134:P$153)*AU$2</f>
        <v>0</v>
      </c>
      <c r="AV771" s="88">
        <f>SUMIF(月間集計シート!$M$134:$M$153,$G771,月間集計シート!Q$134:Q$153)*AV$2</f>
        <v>0</v>
      </c>
      <c r="AW771" s="88">
        <f>SUMIF(月間集計シート!$M$134:$M$153,$G771,月間集計シート!R$134:R$153)*AW$2</f>
        <v>0</v>
      </c>
      <c r="AX771" s="88">
        <f>SUMIF(月間集計シート!$M$134:$M$153,$G771,月間集計シート!S$134:S$153)*AX$2</f>
        <v>0</v>
      </c>
      <c r="AY771" s="88">
        <f>SUMIF(月間集計シート!$M$134:$M$153,$G771,月間集計シート!T$134:T$153)*AY$2</f>
        <v>0</v>
      </c>
    </row>
    <row r="772" spans="1:51">
      <c r="B772" s="120"/>
      <c r="C772" s="120"/>
      <c r="D772" s="127"/>
      <c r="E772" s="115"/>
      <c r="F772" s="119"/>
      <c r="G772" s="116"/>
      <c r="H772" s="88"/>
      <c r="I772" s="132"/>
      <c r="J772" s="88"/>
      <c r="K772" s="88"/>
      <c r="L772" s="88"/>
      <c r="M772" s="88"/>
      <c r="N772" s="88"/>
      <c r="O772" s="88"/>
      <c r="P772" s="88"/>
      <c r="Q772" s="88"/>
      <c r="R772" s="88"/>
      <c r="S772" s="88"/>
      <c r="T772" s="88"/>
      <c r="U772" s="88"/>
      <c r="V772" s="88"/>
      <c r="W772" s="88"/>
      <c r="X772" s="88"/>
      <c r="Y772" s="88"/>
      <c r="Z772" s="88"/>
      <c r="AA772" s="88"/>
      <c r="AB772" s="88"/>
      <c r="AC772" s="88"/>
      <c r="AD772" s="88"/>
      <c r="AE772" s="88"/>
      <c r="AF772" s="88"/>
      <c r="AG772" s="88"/>
      <c r="AH772" s="88"/>
      <c r="AI772" s="88"/>
      <c r="AJ772" s="88"/>
      <c r="AK772" s="88"/>
      <c r="AL772" s="88"/>
      <c r="AM772" s="88"/>
      <c r="AN772" s="88"/>
      <c r="AO772" s="88"/>
      <c r="AP772" s="88"/>
      <c r="AQ772" s="88"/>
      <c r="AR772" s="88"/>
      <c r="AS772" s="88"/>
      <c r="AT772" s="88"/>
      <c r="AU772" s="88"/>
      <c r="AV772" s="88"/>
      <c r="AW772" s="88"/>
      <c r="AX772" s="88"/>
      <c r="AY772" s="88"/>
    </row>
    <row r="773" spans="1:51" ht="14.25" thickBot="1">
      <c r="A773">
        <v>10</v>
      </c>
      <c r="B773">
        <f>月間集計シート!I13</f>
        <v>0</v>
      </c>
      <c r="C773" s="116" t="str">
        <f>月間集計シート!J13</f>
        <v/>
      </c>
      <c r="D773" s="147">
        <v>1</v>
      </c>
      <c r="E773" s="115" t="s">
        <v>451</v>
      </c>
      <c r="F773" s="119" t="s">
        <v>29</v>
      </c>
      <c r="G773" s="116"/>
      <c r="H773" s="88">
        <f t="shared" ref="H773:H856" si="367">SUM(J773:AY773)</f>
        <v>0</v>
      </c>
      <c r="I773" s="132"/>
      <c r="J773" s="88">
        <f>SUM(J775:J856)</f>
        <v>0</v>
      </c>
      <c r="K773" s="88">
        <f t="shared" ref="K773:AY773" si="368">SUM(K775:K856)</f>
        <v>0</v>
      </c>
      <c r="L773" s="88">
        <f t="shared" si="368"/>
        <v>0</v>
      </c>
      <c r="M773" s="88">
        <f t="shared" si="368"/>
        <v>0</v>
      </c>
      <c r="N773" s="88">
        <f t="shared" si="368"/>
        <v>0</v>
      </c>
      <c r="O773" s="88">
        <f t="shared" si="368"/>
        <v>0</v>
      </c>
      <c r="P773" s="88">
        <f t="shared" si="368"/>
        <v>0</v>
      </c>
      <c r="Q773" s="88">
        <f t="shared" si="368"/>
        <v>0</v>
      </c>
      <c r="R773" s="88">
        <f t="shared" si="368"/>
        <v>0</v>
      </c>
      <c r="S773" s="88">
        <f t="shared" si="368"/>
        <v>0</v>
      </c>
      <c r="T773" s="88">
        <f t="shared" si="368"/>
        <v>0</v>
      </c>
      <c r="U773" s="88">
        <f t="shared" si="368"/>
        <v>0</v>
      </c>
      <c r="V773" s="88">
        <f t="shared" si="368"/>
        <v>0</v>
      </c>
      <c r="W773" s="88">
        <f t="shared" si="368"/>
        <v>0</v>
      </c>
      <c r="X773" s="88">
        <f t="shared" si="368"/>
        <v>0</v>
      </c>
      <c r="Y773" s="88">
        <f t="shared" si="368"/>
        <v>0</v>
      </c>
      <c r="Z773" s="88">
        <f t="shared" si="368"/>
        <v>0</v>
      </c>
      <c r="AA773" s="88">
        <f t="shared" si="368"/>
        <v>0</v>
      </c>
      <c r="AB773" s="88">
        <f t="shared" si="368"/>
        <v>0</v>
      </c>
      <c r="AC773" s="88">
        <f t="shared" si="368"/>
        <v>0</v>
      </c>
      <c r="AD773" s="88">
        <f t="shared" si="368"/>
        <v>0</v>
      </c>
      <c r="AE773" s="88">
        <f t="shared" si="368"/>
        <v>0</v>
      </c>
      <c r="AF773" s="88">
        <f t="shared" si="368"/>
        <v>0</v>
      </c>
      <c r="AG773" s="88">
        <f t="shared" si="368"/>
        <v>0</v>
      </c>
      <c r="AH773" s="88">
        <f t="shared" si="368"/>
        <v>0</v>
      </c>
      <c r="AI773" s="88">
        <f t="shared" si="368"/>
        <v>0</v>
      </c>
      <c r="AJ773" s="88">
        <f t="shared" si="368"/>
        <v>0</v>
      </c>
      <c r="AK773" s="88">
        <f t="shared" si="368"/>
        <v>0</v>
      </c>
      <c r="AL773" s="88">
        <f t="shared" si="368"/>
        <v>0</v>
      </c>
      <c r="AM773" s="88">
        <f t="shared" si="368"/>
        <v>0</v>
      </c>
      <c r="AN773" s="88">
        <f t="shared" si="368"/>
        <v>0</v>
      </c>
      <c r="AO773" s="88">
        <f t="shared" si="368"/>
        <v>0</v>
      </c>
      <c r="AP773" s="88">
        <f t="shared" si="368"/>
        <v>0</v>
      </c>
      <c r="AQ773" s="88">
        <f t="shared" si="368"/>
        <v>0</v>
      </c>
      <c r="AR773" s="88">
        <f t="shared" si="368"/>
        <v>0</v>
      </c>
      <c r="AS773" s="88">
        <f t="shared" si="368"/>
        <v>0</v>
      </c>
      <c r="AT773" s="88">
        <f t="shared" si="368"/>
        <v>0</v>
      </c>
      <c r="AU773" s="88">
        <f t="shared" si="368"/>
        <v>0</v>
      </c>
      <c r="AV773" s="88">
        <f t="shared" si="368"/>
        <v>0</v>
      </c>
      <c r="AW773" s="88">
        <f t="shared" si="368"/>
        <v>0</v>
      </c>
      <c r="AX773" s="88">
        <f t="shared" si="368"/>
        <v>0</v>
      </c>
      <c r="AY773" s="88">
        <f t="shared" si="368"/>
        <v>0</v>
      </c>
    </row>
    <row r="774" spans="1:51" ht="14.25" customHeight="1" thickBot="1">
      <c r="A774">
        <v>10</v>
      </c>
      <c r="B774">
        <f>B773</f>
        <v>0</v>
      </c>
      <c r="C774" s="116" t="str">
        <f>C773</f>
        <v/>
      </c>
      <c r="D774" s="147">
        <v>1</v>
      </c>
      <c r="E774" s="115" t="s">
        <v>453</v>
      </c>
      <c r="F774" s="119" t="s">
        <v>454</v>
      </c>
      <c r="G774" s="116"/>
      <c r="H774" s="129">
        <f t="shared" ref="H774" si="369">SUM(J774:AY774)</f>
        <v>0</v>
      </c>
      <c r="I774" s="132"/>
      <c r="J774" s="88">
        <f>SUMIF($D775:$D856,1,J775:J856)</f>
        <v>0</v>
      </c>
      <c r="K774" s="88">
        <f t="shared" ref="K774" si="370">SUMIF($D775:$D856,1,K775:K856)</f>
        <v>0</v>
      </c>
      <c r="L774" s="88">
        <f t="shared" ref="L774" si="371">SUMIF($D775:$D856,1,L775:L856)</f>
        <v>0</v>
      </c>
      <c r="M774" s="88">
        <f t="shared" ref="M774" si="372">SUMIF($D775:$D856,1,M775:M856)</f>
        <v>0</v>
      </c>
      <c r="N774" s="88">
        <f t="shared" ref="N774" si="373">SUMIF($D775:$D856,1,N775:N856)</f>
        <v>0</v>
      </c>
      <c r="O774" s="88">
        <f t="shared" ref="O774" si="374">SUMIF($D775:$D856,1,O775:O856)</f>
        <v>0</v>
      </c>
      <c r="P774" s="88">
        <f t="shared" ref="P774" si="375">SUMIF($D775:$D856,1,P775:P856)</f>
        <v>0</v>
      </c>
      <c r="Q774" s="88">
        <f t="shared" ref="Q774" si="376">SUMIF($D775:$D856,1,Q775:Q856)</f>
        <v>0</v>
      </c>
      <c r="R774" s="88">
        <f t="shared" ref="R774" si="377">SUMIF($D775:$D856,1,R775:R856)</f>
        <v>0</v>
      </c>
      <c r="S774" s="88">
        <f t="shared" ref="S774" si="378">SUMIF($D775:$D856,1,S775:S856)</f>
        <v>0</v>
      </c>
      <c r="T774" s="88">
        <f t="shared" ref="T774" si="379">SUMIF($D775:$D856,1,T775:T856)</f>
        <v>0</v>
      </c>
      <c r="U774" s="88">
        <f t="shared" ref="U774" si="380">SUMIF($D775:$D856,1,U775:U856)</f>
        <v>0</v>
      </c>
      <c r="V774" s="88">
        <f t="shared" ref="V774" si="381">SUMIF($D775:$D856,1,V775:V856)</f>
        <v>0</v>
      </c>
      <c r="W774" s="88">
        <f t="shared" ref="W774" si="382">SUMIF($D775:$D856,1,W775:W856)</f>
        <v>0</v>
      </c>
      <c r="X774" s="88">
        <f t="shared" ref="X774" si="383">SUMIF($D775:$D856,1,X775:X856)</f>
        <v>0</v>
      </c>
      <c r="Y774" s="88">
        <f t="shared" ref="Y774" si="384">SUMIF($D775:$D856,1,Y775:Y856)</f>
        <v>0</v>
      </c>
      <c r="Z774" s="88">
        <f t="shared" ref="Z774" si="385">SUMIF($D775:$D856,1,Z775:Z856)</f>
        <v>0</v>
      </c>
      <c r="AA774" s="88">
        <f t="shared" ref="AA774" si="386">SUMIF($D775:$D856,1,AA775:AA856)</f>
        <v>0</v>
      </c>
      <c r="AB774" s="88">
        <f t="shared" ref="AB774" si="387">SUMIF($D775:$D856,1,AB775:AB856)</f>
        <v>0</v>
      </c>
      <c r="AC774" s="88">
        <f t="shared" ref="AC774" si="388">SUMIF($D775:$D856,1,AC775:AC856)</f>
        <v>0</v>
      </c>
      <c r="AD774" s="88">
        <f t="shared" ref="AD774" si="389">SUMIF($D775:$D856,1,AD775:AD856)</f>
        <v>0</v>
      </c>
      <c r="AE774" s="88">
        <f t="shared" ref="AE774" si="390">SUMIF($D775:$D856,1,AE775:AE856)</f>
        <v>0</v>
      </c>
      <c r="AF774" s="88">
        <f t="shared" ref="AF774" si="391">SUMIF($D775:$D856,1,AF775:AF856)</f>
        <v>0</v>
      </c>
      <c r="AG774" s="88">
        <f t="shared" ref="AG774" si="392">SUMIF($D775:$D856,1,AG775:AG856)</f>
        <v>0</v>
      </c>
      <c r="AH774" s="88">
        <f t="shared" ref="AH774" si="393">SUMIF($D775:$D856,1,AH775:AH856)</f>
        <v>0</v>
      </c>
      <c r="AI774" s="88">
        <f t="shared" ref="AI774" si="394">SUMIF($D775:$D856,1,AI775:AI856)</f>
        <v>0</v>
      </c>
      <c r="AJ774" s="88">
        <f t="shared" ref="AJ774" si="395">SUMIF($D775:$D856,1,AJ775:AJ856)</f>
        <v>0</v>
      </c>
      <c r="AK774" s="88">
        <f t="shared" ref="AK774" si="396">SUMIF($D775:$D856,1,AK775:AK856)</f>
        <v>0</v>
      </c>
      <c r="AL774" s="88">
        <f t="shared" ref="AL774" si="397">SUMIF($D775:$D856,1,AL775:AL856)</f>
        <v>0</v>
      </c>
      <c r="AM774" s="88">
        <f t="shared" ref="AM774" si="398">SUMIF($D775:$D856,1,AM775:AM856)</f>
        <v>0</v>
      </c>
      <c r="AN774" s="88">
        <f t="shared" ref="AN774" si="399">SUMIF($D775:$D856,1,AN775:AN856)</f>
        <v>0</v>
      </c>
      <c r="AO774" s="88">
        <f t="shared" ref="AO774" si="400">SUMIF($D775:$D856,1,AO775:AO856)</f>
        <v>0</v>
      </c>
      <c r="AP774" s="88">
        <f t="shared" ref="AP774" si="401">SUMIF($D775:$D856,1,AP775:AP856)</f>
        <v>0</v>
      </c>
      <c r="AQ774" s="88">
        <f t="shared" ref="AQ774" si="402">SUMIF($D775:$D856,1,AQ775:AQ856)</f>
        <v>0</v>
      </c>
      <c r="AR774" s="88">
        <f t="shared" ref="AR774" si="403">SUMIF($D775:$D856,1,AR775:AR856)</f>
        <v>0</v>
      </c>
      <c r="AS774" s="88">
        <f t="shared" ref="AS774" si="404">SUMIF($D775:$D856,1,AS775:AS856)</f>
        <v>0</v>
      </c>
      <c r="AT774" s="88">
        <f t="shared" ref="AT774" si="405">SUMIF($D775:$D856,1,AT775:AT856)</f>
        <v>0</v>
      </c>
      <c r="AU774" s="88">
        <f t="shared" ref="AU774" si="406">SUMIF($D775:$D856,1,AU775:AU856)</f>
        <v>0</v>
      </c>
      <c r="AV774" s="88">
        <f t="shared" ref="AV774" si="407">SUMIF($D775:$D856,1,AV775:AV856)</f>
        <v>0</v>
      </c>
      <c r="AW774" s="88">
        <f t="shared" ref="AW774" si="408">SUMIF($D775:$D856,1,AW775:AW856)</f>
        <v>0</v>
      </c>
      <c r="AX774" s="88">
        <f t="shared" ref="AX774" si="409">SUMIF($D775:$D856,1,AX775:AX856)</f>
        <v>0</v>
      </c>
      <c r="AY774" s="88">
        <f t="shared" ref="AY774" si="410">SUMIF($D775:$D856,1,AY775:AY856)</f>
        <v>0</v>
      </c>
    </row>
    <row r="775" spans="1:51" ht="14.25" thickBot="1">
      <c r="A775">
        <v>10</v>
      </c>
      <c r="B775" s="120">
        <f>B773</f>
        <v>0</v>
      </c>
      <c r="C775" s="120" t="str">
        <f>C773</f>
        <v/>
      </c>
      <c r="D775" s="137"/>
      <c r="E775" s="150" t="str">
        <f>工種!A2</f>
        <v>10102</v>
      </c>
      <c r="F775" s="119" t="str">
        <f>工種!B2</f>
        <v>SRS：調査・分析・開発計画の準備・実施作業</v>
      </c>
      <c r="G775" s="116" t="str">
        <f t="shared" si="360"/>
        <v>010102</v>
      </c>
      <c r="H775" s="88">
        <f t="shared" si="367"/>
        <v>0</v>
      </c>
      <c r="I775" s="132"/>
      <c r="J775" s="88">
        <f>SUMIF(月間集計シート!$M$29:$M$48,$G775,月間集計シート!N$29:N$48)*J$2</f>
        <v>0</v>
      </c>
      <c r="K775" s="88">
        <f>SUMIF(月間集計シート!$M$29:$M$48,$G775,月間集計シート!O$29:O$48)*K$2</f>
        <v>0</v>
      </c>
      <c r="L775" s="88">
        <f>SUMIF(月間集計シート!$M$29:$M$48,$G775,月間集計シート!P$29:P$48)*L$2</f>
        <v>0</v>
      </c>
      <c r="M775" s="88">
        <f>SUMIF(月間集計シート!$M$29:$M$48,$G775,月間集計シート!Q$29:Q$48)*M$2</f>
        <v>0</v>
      </c>
      <c r="N775" s="88">
        <f>SUMIF(月間集計シート!$M$29:$M$48,$G775,月間集計シート!R$29:R$48)*N$2</f>
        <v>0</v>
      </c>
      <c r="O775" s="88">
        <f>SUMIF(月間集計シート!$M$29:$M$48,$G775,月間集計シート!S$29:S$48)*O$2</f>
        <v>0</v>
      </c>
      <c r="P775" s="88">
        <f>SUMIF(月間集計シート!$M$29:$M$48,$G775,月間集計シート!T$29:T$48)*P$2</f>
        <v>0</v>
      </c>
      <c r="Q775" s="88">
        <f>SUMIF(月間集計シート!$M$50:$M$69,$G775,月間集計シート!N$50:N$69)*Q$2</f>
        <v>0</v>
      </c>
      <c r="R775" s="88">
        <f>SUMIF(月間集計シート!$M$50:$M$69,$G775,月間集計シート!O$50:O$69)*R$2</f>
        <v>0</v>
      </c>
      <c r="S775" s="88">
        <f>SUMIF(月間集計シート!$M$50:$M$69,$G775,月間集計シート!P$50:P$69)*S$2</f>
        <v>0</v>
      </c>
      <c r="T775" s="88">
        <f>SUMIF(月間集計シート!$M$50:$M$69,$G775,月間集計シート!Q$50:Q$69)*T$2</f>
        <v>0</v>
      </c>
      <c r="U775" s="88">
        <f>SUMIF(月間集計シート!$M$50:$M$69,$G775,月間集計シート!R$50:R$69)*U$2</f>
        <v>0</v>
      </c>
      <c r="V775" s="88">
        <f>SUMIF(月間集計シート!$M$50:$M$69,$G775,月間集計シート!S$50:S$69)*V$2</f>
        <v>0</v>
      </c>
      <c r="W775" s="88">
        <f>SUMIF(月間集計シート!$M$50:$M$69,$G775,月間集計シート!T$50:T$69)*W$2</f>
        <v>0</v>
      </c>
      <c r="X775" s="88">
        <f>SUMIF(月間集計シート!$M$71:$M$90,$G775,月間集計シート!N$71:N$90)*X$2</f>
        <v>0</v>
      </c>
      <c r="Y775" s="88">
        <f>SUMIF(月間集計シート!$M$71:$M$90,$G775,月間集計シート!O$71:O$90)*Y$2</f>
        <v>0</v>
      </c>
      <c r="Z775" s="88">
        <f>SUMIF(月間集計シート!$M$71:$M$90,$G775,月間集計シート!P$71:P$90)*Z$2</f>
        <v>0</v>
      </c>
      <c r="AA775" s="88">
        <f>SUMIF(月間集計シート!$M$71:$M$90,$G775,月間集計シート!Q$71:Q$90)*AA$2</f>
        <v>0</v>
      </c>
      <c r="AB775" s="88">
        <f>SUMIF(月間集計シート!$M$71:$M$90,$G775,月間集計シート!R$71:R$90)*AB$2</f>
        <v>0</v>
      </c>
      <c r="AC775" s="88">
        <f>SUMIF(月間集計シート!$M$71:$M$90,$G775,月間集計シート!S$71:S$90)*AC$2</f>
        <v>0</v>
      </c>
      <c r="AD775" s="88">
        <f>SUMIF(月間集計シート!$M$71:$M$90,$G775,月間集計シート!T$71:T$90)*AD$2</f>
        <v>0</v>
      </c>
      <c r="AE775" s="88">
        <f>SUMIF(月間集計シート!$M$92:$M$111,$G775,月間集計シート!N$92:N$111)*AE$2</f>
        <v>0</v>
      </c>
      <c r="AF775" s="88">
        <f>SUMIF(月間集計シート!$M$92:$M$111,$G775,月間集計シート!O$92:O$111)*AF$2</f>
        <v>0</v>
      </c>
      <c r="AG775" s="88">
        <f>SUMIF(月間集計シート!$M$92:$M$111,$G775,月間集計シート!P$92:P$111)*AG$2</f>
        <v>0</v>
      </c>
      <c r="AH775" s="88">
        <f>SUMIF(月間集計シート!$M$92:$M$111,$G775,月間集計シート!Q$92:Q$111)*AH$2</f>
        <v>0</v>
      </c>
      <c r="AI775" s="88">
        <f>SUMIF(月間集計シート!$M$92:$M$111,$G775,月間集計シート!R$92:R$111)*AI$2</f>
        <v>0</v>
      </c>
      <c r="AJ775" s="88">
        <f>SUMIF(月間集計シート!$M$92:$M$111,$G775,月間集計シート!S$92:S$111)*AJ$2</f>
        <v>0</v>
      </c>
      <c r="AK775" s="88">
        <f>SUMIF(月間集計シート!$M$92:$M$111,$G775,月間集計シート!T$92:T$111)*AK$2</f>
        <v>0</v>
      </c>
      <c r="AL775" s="88">
        <f>SUMIF(月間集計シート!$M$113:$M$132,$G775,月間集計シート!N$113:N$132)*AL$2</f>
        <v>0</v>
      </c>
      <c r="AM775" s="88">
        <f>SUMIF(月間集計シート!$M$113:$M$132,$G775,月間集計シート!O$113:O$132)*AM$2</f>
        <v>0</v>
      </c>
      <c r="AN775" s="88">
        <f>SUMIF(月間集計シート!$M$113:$M$132,$G775,月間集計シート!P$113:P$132)*AN$2</f>
        <v>0</v>
      </c>
      <c r="AO775" s="88">
        <f>SUMIF(月間集計シート!$M$113:$M$132,$G775,月間集計シート!Q$113:Q$132)*AO$2</f>
        <v>0</v>
      </c>
      <c r="AP775" s="88">
        <f>SUMIF(月間集計シート!$M$113:$M$132,$G775,月間集計シート!R$113:R$132)*AP$2</f>
        <v>0</v>
      </c>
      <c r="AQ775" s="88">
        <f>SUMIF(月間集計シート!$M$113:$M$132,$G775,月間集計シート!S$113:S$132)*AQ$2</f>
        <v>0</v>
      </c>
      <c r="AR775" s="88">
        <f>SUMIF(月間集計シート!$M$113:$M$132,$G775,月間集計シート!T$113:T$132)*AR$2</f>
        <v>0</v>
      </c>
      <c r="AS775" s="88">
        <f>SUMIF(月間集計シート!$M$134:$M$153,$G775,月間集計シート!N$134:N$153)*AS$2</f>
        <v>0</v>
      </c>
      <c r="AT775" s="88">
        <f>SUMIF(月間集計シート!$M$134:$M$153,$G775,月間集計シート!O$134:O$153)*AT$2</f>
        <v>0</v>
      </c>
      <c r="AU775" s="88">
        <f>SUMIF(月間集計シート!$M$134:$M$153,$G775,月間集計シート!P$134:P$153)*AU$2</f>
        <v>0</v>
      </c>
      <c r="AV775" s="88">
        <f>SUMIF(月間集計シート!$M$134:$M$153,$G775,月間集計シート!Q$134:Q$153)*AV$2</f>
        <v>0</v>
      </c>
      <c r="AW775" s="88">
        <f>SUMIF(月間集計シート!$M$134:$M$153,$G775,月間集計シート!R$134:R$153)*AW$2</f>
        <v>0</v>
      </c>
      <c r="AX775" s="88">
        <f>SUMIF(月間集計シート!$M$134:$M$153,$G775,月間集計シート!S$134:S$153)*AX$2</f>
        <v>0</v>
      </c>
      <c r="AY775" s="88">
        <f>SUMIF(月間集計シート!$M$134:$M$153,$G775,月間集計シート!T$134:T$153)*AY$2</f>
        <v>0</v>
      </c>
    </row>
    <row r="776" spans="1:51" ht="14.25" thickBot="1">
      <c r="A776">
        <v>10</v>
      </c>
      <c r="B776" s="120">
        <f t="shared" ref="B776:B839" si="411">B775</f>
        <v>0</v>
      </c>
      <c r="C776" s="120" t="str">
        <f t="shared" ref="C776:C839" si="412">C775</f>
        <v/>
      </c>
      <c r="D776" s="137"/>
      <c r="E776" s="150" t="str">
        <f>工種!A3</f>
        <v>10103</v>
      </c>
      <c r="F776" s="119" t="str">
        <f>工種!B3</f>
        <v>SRS：企画書・計画書・報告書等資料作成・修正</v>
      </c>
      <c r="G776" s="116" t="str">
        <f t="shared" si="360"/>
        <v>010103</v>
      </c>
      <c r="H776" s="88">
        <f t="shared" si="367"/>
        <v>0</v>
      </c>
      <c r="I776" s="132"/>
      <c r="J776" s="88">
        <f>SUMIF(月間集計シート!$M$29:$M$48,$G776,月間集計シート!N$29:N$48)*J$2</f>
        <v>0</v>
      </c>
      <c r="K776" s="88">
        <f>SUMIF(月間集計シート!$M$29:$M$48,$G776,月間集計シート!O$29:O$48)*K$2</f>
        <v>0</v>
      </c>
      <c r="L776" s="88">
        <f>SUMIF(月間集計シート!$M$29:$M$48,$G776,月間集計シート!P$29:P$48)*L$2</f>
        <v>0</v>
      </c>
      <c r="M776" s="88">
        <f>SUMIF(月間集計シート!$M$29:$M$48,$G776,月間集計シート!Q$29:Q$48)*M$2</f>
        <v>0</v>
      </c>
      <c r="N776" s="88">
        <f>SUMIF(月間集計シート!$M$29:$M$48,$G776,月間集計シート!R$29:R$48)*N$2</f>
        <v>0</v>
      </c>
      <c r="O776" s="88">
        <f>SUMIF(月間集計シート!$M$29:$M$48,$G776,月間集計シート!S$29:S$48)*O$2</f>
        <v>0</v>
      </c>
      <c r="P776" s="88">
        <f>SUMIF(月間集計シート!$M$29:$M$48,$G776,月間集計シート!T$29:T$48)*P$2</f>
        <v>0</v>
      </c>
      <c r="Q776" s="88">
        <f>SUMIF(月間集計シート!$M$50:$M$69,$G776,月間集計シート!N$50:N$69)*Q$2</f>
        <v>0</v>
      </c>
      <c r="R776" s="88">
        <f>SUMIF(月間集計シート!$M$50:$M$69,$G776,月間集計シート!O$50:O$69)*R$2</f>
        <v>0</v>
      </c>
      <c r="S776" s="88">
        <f>SUMIF(月間集計シート!$M$50:$M$69,$G776,月間集計シート!P$50:P$69)*S$2</f>
        <v>0</v>
      </c>
      <c r="T776" s="88">
        <f>SUMIF(月間集計シート!$M$50:$M$69,$G776,月間集計シート!Q$50:Q$69)*T$2</f>
        <v>0</v>
      </c>
      <c r="U776" s="88">
        <f>SUMIF(月間集計シート!$M$50:$M$69,$G776,月間集計シート!R$50:R$69)*U$2</f>
        <v>0</v>
      </c>
      <c r="V776" s="88">
        <f>SUMIF(月間集計シート!$M$50:$M$69,$G776,月間集計シート!S$50:S$69)*V$2</f>
        <v>0</v>
      </c>
      <c r="W776" s="88">
        <f>SUMIF(月間集計シート!$M$50:$M$69,$G776,月間集計シート!T$50:T$69)*W$2</f>
        <v>0</v>
      </c>
      <c r="X776" s="88">
        <f>SUMIF(月間集計シート!$M$71:$M$90,$G776,月間集計シート!N$71:N$90)*X$2</f>
        <v>0</v>
      </c>
      <c r="Y776" s="88">
        <f>SUMIF(月間集計シート!$M$71:$M$90,$G776,月間集計シート!O$71:O$90)*Y$2</f>
        <v>0</v>
      </c>
      <c r="Z776" s="88">
        <f>SUMIF(月間集計シート!$M$71:$M$90,$G776,月間集計シート!P$71:P$90)*Z$2</f>
        <v>0</v>
      </c>
      <c r="AA776" s="88">
        <f>SUMIF(月間集計シート!$M$71:$M$90,$G776,月間集計シート!Q$71:Q$90)*AA$2</f>
        <v>0</v>
      </c>
      <c r="AB776" s="88">
        <f>SUMIF(月間集計シート!$M$71:$M$90,$G776,月間集計シート!R$71:R$90)*AB$2</f>
        <v>0</v>
      </c>
      <c r="AC776" s="88">
        <f>SUMIF(月間集計シート!$M$71:$M$90,$G776,月間集計シート!S$71:S$90)*AC$2</f>
        <v>0</v>
      </c>
      <c r="AD776" s="88">
        <f>SUMIF(月間集計シート!$M$71:$M$90,$G776,月間集計シート!T$71:T$90)*AD$2</f>
        <v>0</v>
      </c>
      <c r="AE776" s="88">
        <f>SUMIF(月間集計シート!$M$92:$M$111,$G776,月間集計シート!N$92:N$111)*AE$2</f>
        <v>0</v>
      </c>
      <c r="AF776" s="88">
        <f>SUMIF(月間集計シート!$M$92:$M$111,$G776,月間集計シート!O$92:O$111)*AF$2</f>
        <v>0</v>
      </c>
      <c r="AG776" s="88">
        <f>SUMIF(月間集計シート!$M$92:$M$111,$G776,月間集計シート!P$92:P$111)*AG$2</f>
        <v>0</v>
      </c>
      <c r="AH776" s="88">
        <f>SUMIF(月間集計シート!$M$92:$M$111,$G776,月間集計シート!Q$92:Q$111)*AH$2</f>
        <v>0</v>
      </c>
      <c r="AI776" s="88">
        <f>SUMIF(月間集計シート!$M$92:$M$111,$G776,月間集計シート!R$92:R$111)*AI$2</f>
        <v>0</v>
      </c>
      <c r="AJ776" s="88">
        <f>SUMIF(月間集計シート!$M$92:$M$111,$G776,月間集計シート!S$92:S$111)*AJ$2</f>
        <v>0</v>
      </c>
      <c r="AK776" s="88">
        <f>SUMIF(月間集計シート!$M$92:$M$111,$G776,月間集計シート!T$92:T$111)*AK$2</f>
        <v>0</v>
      </c>
      <c r="AL776" s="88">
        <f>SUMIF(月間集計シート!$M$113:$M$132,$G776,月間集計シート!N$113:N$132)*AL$2</f>
        <v>0</v>
      </c>
      <c r="AM776" s="88">
        <f>SUMIF(月間集計シート!$M$113:$M$132,$G776,月間集計シート!O$113:O$132)*AM$2</f>
        <v>0</v>
      </c>
      <c r="AN776" s="88">
        <f>SUMIF(月間集計シート!$M$113:$M$132,$G776,月間集計シート!P$113:P$132)*AN$2</f>
        <v>0</v>
      </c>
      <c r="AO776" s="88">
        <f>SUMIF(月間集計シート!$M$113:$M$132,$G776,月間集計シート!Q$113:Q$132)*AO$2</f>
        <v>0</v>
      </c>
      <c r="AP776" s="88">
        <f>SUMIF(月間集計シート!$M$113:$M$132,$G776,月間集計シート!R$113:R$132)*AP$2</f>
        <v>0</v>
      </c>
      <c r="AQ776" s="88">
        <f>SUMIF(月間集計シート!$M$113:$M$132,$G776,月間集計シート!S$113:S$132)*AQ$2</f>
        <v>0</v>
      </c>
      <c r="AR776" s="88">
        <f>SUMIF(月間集計シート!$M$113:$M$132,$G776,月間集計シート!T$113:T$132)*AR$2</f>
        <v>0</v>
      </c>
      <c r="AS776" s="88">
        <f>SUMIF(月間集計シート!$M$134:$M$153,$G776,月間集計シート!N$134:N$153)*AS$2</f>
        <v>0</v>
      </c>
      <c r="AT776" s="88">
        <f>SUMIF(月間集計シート!$M$134:$M$153,$G776,月間集計シート!O$134:O$153)*AT$2</f>
        <v>0</v>
      </c>
      <c r="AU776" s="88">
        <f>SUMIF(月間集計シート!$M$134:$M$153,$G776,月間集計シート!P$134:P$153)*AU$2</f>
        <v>0</v>
      </c>
      <c r="AV776" s="88">
        <f>SUMIF(月間集計シート!$M$134:$M$153,$G776,月間集計シート!Q$134:Q$153)*AV$2</f>
        <v>0</v>
      </c>
      <c r="AW776" s="88">
        <f>SUMIF(月間集計シート!$M$134:$M$153,$G776,月間集計シート!R$134:R$153)*AW$2</f>
        <v>0</v>
      </c>
      <c r="AX776" s="88">
        <f>SUMIF(月間集計シート!$M$134:$M$153,$G776,月間集計シート!S$134:S$153)*AX$2</f>
        <v>0</v>
      </c>
      <c r="AY776" s="88">
        <f>SUMIF(月間集計シート!$M$134:$M$153,$G776,月間集計シート!T$134:T$153)*AY$2</f>
        <v>0</v>
      </c>
    </row>
    <row r="777" spans="1:51" ht="14.25" thickBot="1">
      <c r="A777">
        <v>10</v>
      </c>
      <c r="B777" s="120">
        <f t="shared" si="411"/>
        <v>0</v>
      </c>
      <c r="C777" s="120" t="str">
        <f t="shared" si="412"/>
        <v/>
      </c>
      <c r="D777" s="137"/>
      <c r="E777" s="150" t="str">
        <f>工種!A4</f>
        <v>10104</v>
      </c>
      <c r="F777" s="119" t="str">
        <f>工種!B4</f>
        <v>SRS：打合せ</v>
      </c>
      <c r="G777" s="116" t="str">
        <f t="shared" si="360"/>
        <v>010104</v>
      </c>
      <c r="H777" s="88">
        <f t="shared" si="367"/>
        <v>0</v>
      </c>
      <c r="I777" s="132"/>
      <c r="J777" s="88">
        <f>SUMIF(月間集計シート!$M$29:$M$48,$G777,月間集計シート!N$29:N$48)*J$2</f>
        <v>0</v>
      </c>
      <c r="K777" s="88">
        <f>SUMIF(月間集計シート!$M$29:$M$48,$G777,月間集計シート!O$29:O$48)*K$2</f>
        <v>0</v>
      </c>
      <c r="L777" s="88">
        <f>SUMIF(月間集計シート!$M$29:$M$48,$G777,月間集計シート!P$29:P$48)*L$2</f>
        <v>0</v>
      </c>
      <c r="M777" s="88">
        <f>SUMIF(月間集計シート!$M$29:$M$48,$G777,月間集計シート!Q$29:Q$48)*M$2</f>
        <v>0</v>
      </c>
      <c r="N777" s="88">
        <f>SUMIF(月間集計シート!$M$29:$M$48,$G777,月間集計シート!R$29:R$48)*N$2</f>
        <v>0</v>
      </c>
      <c r="O777" s="88">
        <f>SUMIF(月間集計シート!$M$29:$M$48,$G777,月間集計シート!S$29:S$48)*O$2</f>
        <v>0</v>
      </c>
      <c r="P777" s="88">
        <f>SUMIF(月間集計シート!$M$29:$M$48,$G777,月間集計シート!T$29:T$48)*P$2</f>
        <v>0</v>
      </c>
      <c r="Q777" s="88">
        <f>SUMIF(月間集計シート!$M$50:$M$69,$G777,月間集計シート!N$50:N$69)*Q$2</f>
        <v>0</v>
      </c>
      <c r="R777" s="88">
        <f>SUMIF(月間集計シート!$M$50:$M$69,$G777,月間集計シート!O$50:O$69)*R$2</f>
        <v>0</v>
      </c>
      <c r="S777" s="88">
        <f>SUMIF(月間集計シート!$M$50:$M$69,$G777,月間集計シート!P$50:P$69)*S$2</f>
        <v>0</v>
      </c>
      <c r="T777" s="88">
        <f>SUMIF(月間集計シート!$M$50:$M$69,$G777,月間集計シート!Q$50:Q$69)*T$2</f>
        <v>0</v>
      </c>
      <c r="U777" s="88">
        <f>SUMIF(月間集計シート!$M$50:$M$69,$G777,月間集計シート!R$50:R$69)*U$2</f>
        <v>0</v>
      </c>
      <c r="V777" s="88">
        <f>SUMIF(月間集計シート!$M$50:$M$69,$G777,月間集計シート!S$50:S$69)*V$2</f>
        <v>0</v>
      </c>
      <c r="W777" s="88">
        <f>SUMIF(月間集計シート!$M$50:$M$69,$G777,月間集計シート!T$50:T$69)*W$2</f>
        <v>0</v>
      </c>
      <c r="X777" s="88">
        <f>SUMIF(月間集計シート!$M$71:$M$90,$G777,月間集計シート!N$71:N$90)*X$2</f>
        <v>0</v>
      </c>
      <c r="Y777" s="88">
        <f>SUMIF(月間集計シート!$M$71:$M$90,$G777,月間集計シート!O$71:O$90)*Y$2</f>
        <v>0</v>
      </c>
      <c r="Z777" s="88">
        <f>SUMIF(月間集計シート!$M$71:$M$90,$G777,月間集計シート!P$71:P$90)*Z$2</f>
        <v>0</v>
      </c>
      <c r="AA777" s="88">
        <f>SUMIF(月間集計シート!$M$71:$M$90,$G777,月間集計シート!Q$71:Q$90)*AA$2</f>
        <v>0</v>
      </c>
      <c r="AB777" s="88">
        <f>SUMIF(月間集計シート!$M$71:$M$90,$G777,月間集計シート!R$71:R$90)*AB$2</f>
        <v>0</v>
      </c>
      <c r="AC777" s="88">
        <f>SUMIF(月間集計シート!$M$71:$M$90,$G777,月間集計シート!S$71:S$90)*AC$2</f>
        <v>0</v>
      </c>
      <c r="AD777" s="88">
        <f>SUMIF(月間集計シート!$M$71:$M$90,$G777,月間集計シート!T$71:T$90)*AD$2</f>
        <v>0</v>
      </c>
      <c r="AE777" s="88">
        <f>SUMIF(月間集計シート!$M$92:$M$111,$G777,月間集計シート!N$92:N$111)*AE$2</f>
        <v>0</v>
      </c>
      <c r="AF777" s="88">
        <f>SUMIF(月間集計シート!$M$92:$M$111,$G777,月間集計シート!O$92:O$111)*AF$2</f>
        <v>0</v>
      </c>
      <c r="AG777" s="88">
        <f>SUMIF(月間集計シート!$M$92:$M$111,$G777,月間集計シート!P$92:P$111)*AG$2</f>
        <v>0</v>
      </c>
      <c r="AH777" s="88">
        <f>SUMIF(月間集計シート!$M$92:$M$111,$G777,月間集計シート!Q$92:Q$111)*AH$2</f>
        <v>0</v>
      </c>
      <c r="AI777" s="88">
        <f>SUMIF(月間集計シート!$M$92:$M$111,$G777,月間集計シート!R$92:R$111)*AI$2</f>
        <v>0</v>
      </c>
      <c r="AJ777" s="88">
        <f>SUMIF(月間集計シート!$M$92:$M$111,$G777,月間集計シート!S$92:S$111)*AJ$2</f>
        <v>0</v>
      </c>
      <c r="AK777" s="88">
        <f>SUMIF(月間集計シート!$M$92:$M$111,$G777,月間集計シート!T$92:T$111)*AK$2</f>
        <v>0</v>
      </c>
      <c r="AL777" s="88">
        <f>SUMIF(月間集計シート!$M$113:$M$132,$G777,月間集計シート!N$113:N$132)*AL$2</f>
        <v>0</v>
      </c>
      <c r="AM777" s="88">
        <f>SUMIF(月間集計シート!$M$113:$M$132,$G777,月間集計シート!O$113:O$132)*AM$2</f>
        <v>0</v>
      </c>
      <c r="AN777" s="88">
        <f>SUMIF(月間集計シート!$M$113:$M$132,$G777,月間集計シート!P$113:P$132)*AN$2</f>
        <v>0</v>
      </c>
      <c r="AO777" s="88">
        <f>SUMIF(月間集計シート!$M$113:$M$132,$G777,月間集計シート!Q$113:Q$132)*AO$2</f>
        <v>0</v>
      </c>
      <c r="AP777" s="88">
        <f>SUMIF(月間集計シート!$M$113:$M$132,$G777,月間集計シート!R$113:R$132)*AP$2</f>
        <v>0</v>
      </c>
      <c r="AQ777" s="88">
        <f>SUMIF(月間集計シート!$M$113:$M$132,$G777,月間集計シート!S$113:S$132)*AQ$2</f>
        <v>0</v>
      </c>
      <c r="AR777" s="88">
        <f>SUMIF(月間集計シート!$M$113:$M$132,$G777,月間集計シート!T$113:T$132)*AR$2</f>
        <v>0</v>
      </c>
      <c r="AS777" s="88">
        <f>SUMIF(月間集計シート!$M$134:$M$153,$G777,月間集計シート!N$134:N$153)*AS$2</f>
        <v>0</v>
      </c>
      <c r="AT777" s="88">
        <f>SUMIF(月間集計シート!$M$134:$M$153,$G777,月間集計シート!O$134:O$153)*AT$2</f>
        <v>0</v>
      </c>
      <c r="AU777" s="88">
        <f>SUMIF(月間集計シート!$M$134:$M$153,$G777,月間集計シート!P$134:P$153)*AU$2</f>
        <v>0</v>
      </c>
      <c r="AV777" s="88">
        <f>SUMIF(月間集計シート!$M$134:$M$153,$G777,月間集計シート!Q$134:Q$153)*AV$2</f>
        <v>0</v>
      </c>
      <c r="AW777" s="88">
        <f>SUMIF(月間集計シート!$M$134:$M$153,$G777,月間集計シート!R$134:R$153)*AW$2</f>
        <v>0</v>
      </c>
      <c r="AX777" s="88">
        <f>SUMIF(月間集計シート!$M$134:$M$153,$G777,月間集計シート!S$134:S$153)*AX$2</f>
        <v>0</v>
      </c>
      <c r="AY777" s="88">
        <f>SUMIF(月間集計シート!$M$134:$M$153,$G777,月間集計シート!T$134:T$153)*AY$2</f>
        <v>0</v>
      </c>
    </row>
    <row r="778" spans="1:51" ht="14.25" thickBot="1">
      <c r="A778">
        <v>10</v>
      </c>
      <c r="B778" s="120">
        <f t="shared" si="411"/>
        <v>0</v>
      </c>
      <c r="C778" s="120" t="str">
        <f t="shared" si="412"/>
        <v/>
      </c>
      <c r="D778" s="137"/>
      <c r="E778" s="150" t="str">
        <f>工種!A5</f>
        <v>10105</v>
      </c>
      <c r="F778" s="119" t="str">
        <f>工種!B5</f>
        <v>SRS：レビュー</v>
      </c>
      <c r="G778" s="116" t="str">
        <f t="shared" si="360"/>
        <v>010105</v>
      </c>
      <c r="H778" s="88">
        <f t="shared" si="367"/>
        <v>0</v>
      </c>
      <c r="I778" s="132"/>
      <c r="J778" s="88">
        <f>SUMIF(月間集計シート!$M$29:$M$48,$G778,月間集計シート!N$29:N$48)*J$2</f>
        <v>0</v>
      </c>
      <c r="K778" s="88">
        <f>SUMIF(月間集計シート!$M$29:$M$48,$G778,月間集計シート!O$29:O$48)*K$2</f>
        <v>0</v>
      </c>
      <c r="L778" s="88">
        <f>SUMIF(月間集計シート!$M$29:$M$48,$G778,月間集計シート!P$29:P$48)*L$2</f>
        <v>0</v>
      </c>
      <c r="M778" s="88">
        <f>SUMIF(月間集計シート!$M$29:$M$48,$G778,月間集計シート!Q$29:Q$48)*M$2</f>
        <v>0</v>
      </c>
      <c r="N778" s="88">
        <f>SUMIF(月間集計シート!$M$29:$M$48,$G778,月間集計シート!R$29:R$48)*N$2</f>
        <v>0</v>
      </c>
      <c r="O778" s="88">
        <f>SUMIF(月間集計シート!$M$29:$M$48,$G778,月間集計シート!S$29:S$48)*O$2</f>
        <v>0</v>
      </c>
      <c r="P778" s="88">
        <f>SUMIF(月間集計シート!$M$29:$M$48,$G778,月間集計シート!T$29:T$48)*P$2</f>
        <v>0</v>
      </c>
      <c r="Q778" s="88">
        <f>SUMIF(月間集計シート!$M$50:$M$69,$G778,月間集計シート!N$50:N$69)*Q$2</f>
        <v>0</v>
      </c>
      <c r="R778" s="88">
        <f>SUMIF(月間集計シート!$M$50:$M$69,$G778,月間集計シート!O$50:O$69)*R$2</f>
        <v>0</v>
      </c>
      <c r="S778" s="88">
        <f>SUMIF(月間集計シート!$M$50:$M$69,$G778,月間集計シート!P$50:P$69)*S$2</f>
        <v>0</v>
      </c>
      <c r="T778" s="88">
        <f>SUMIF(月間集計シート!$M$50:$M$69,$G778,月間集計シート!Q$50:Q$69)*T$2</f>
        <v>0</v>
      </c>
      <c r="U778" s="88">
        <f>SUMIF(月間集計シート!$M$50:$M$69,$G778,月間集計シート!R$50:R$69)*U$2</f>
        <v>0</v>
      </c>
      <c r="V778" s="88">
        <f>SUMIF(月間集計シート!$M$50:$M$69,$G778,月間集計シート!S$50:S$69)*V$2</f>
        <v>0</v>
      </c>
      <c r="W778" s="88">
        <f>SUMIF(月間集計シート!$M$50:$M$69,$G778,月間集計シート!T$50:T$69)*W$2</f>
        <v>0</v>
      </c>
      <c r="X778" s="88">
        <f>SUMIF(月間集計シート!$M$71:$M$90,$G778,月間集計シート!N$71:N$90)*X$2</f>
        <v>0</v>
      </c>
      <c r="Y778" s="88">
        <f>SUMIF(月間集計シート!$M$71:$M$90,$G778,月間集計シート!O$71:O$90)*Y$2</f>
        <v>0</v>
      </c>
      <c r="Z778" s="88">
        <f>SUMIF(月間集計シート!$M$71:$M$90,$G778,月間集計シート!P$71:P$90)*Z$2</f>
        <v>0</v>
      </c>
      <c r="AA778" s="88">
        <f>SUMIF(月間集計シート!$M$71:$M$90,$G778,月間集計シート!Q$71:Q$90)*AA$2</f>
        <v>0</v>
      </c>
      <c r="AB778" s="88">
        <f>SUMIF(月間集計シート!$M$71:$M$90,$G778,月間集計シート!R$71:R$90)*AB$2</f>
        <v>0</v>
      </c>
      <c r="AC778" s="88">
        <f>SUMIF(月間集計シート!$M$71:$M$90,$G778,月間集計シート!S$71:S$90)*AC$2</f>
        <v>0</v>
      </c>
      <c r="AD778" s="88">
        <f>SUMIF(月間集計シート!$M$71:$M$90,$G778,月間集計シート!T$71:T$90)*AD$2</f>
        <v>0</v>
      </c>
      <c r="AE778" s="88">
        <f>SUMIF(月間集計シート!$M$92:$M$111,$G778,月間集計シート!N$92:N$111)*AE$2</f>
        <v>0</v>
      </c>
      <c r="AF778" s="88">
        <f>SUMIF(月間集計シート!$M$92:$M$111,$G778,月間集計シート!O$92:O$111)*AF$2</f>
        <v>0</v>
      </c>
      <c r="AG778" s="88">
        <f>SUMIF(月間集計シート!$M$92:$M$111,$G778,月間集計シート!P$92:P$111)*AG$2</f>
        <v>0</v>
      </c>
      <c r="AH778" s="88">
        <f>SUMIF(月間集計シート!$M$92:$M$111,$G778,月間集計シート!Q$92:Q$111)*AH$2</f>
        <v>0</v>
      </c>
      <c r="AI778" s="88">
        <f>SUMIF(月間集計シート!$M$92:$M$111,$G778,月間集計シート!R$92:R$111)*AI$2</f>
        <v>0</v>
      </c>
      <c r="AJ778" s="88">
        <f>SUMIF(月間集計シート!$M$92:$M$111,$G778,月間集計シート!S$92:S$111)*AJ$2</f>
        <v>0</v>
      </c>
      <c r="AK778" s="88">
        <f>SUMIF(月間集計シート!$M$92:$M$111,$G778,月間集計シート!T$92:T$111)*AK$2</f>
        <v>0</v>
      </c>
      <c r="AL778" s="88">
        <f>SUMIF(月間集計シート!$M$113:$M$132,$G778,月間集計シート!N$113:N$132)*AL$2</f>
        <v>0</v>
      </c>
      <c r="AM778" s="88">
        <f>SUMIF(月間集計シート!$M$113:$M$132,$G778,月間集計シート!O$113:O$132)*AM$2</f>
        <v>0</v>
      </c>
      <c r="AN778" s="88">
        <f>SUMIF(月間集計シート!$M$113:$M$132,$G778,月間集計シート!P$113:P$132)*AN$2</f>
        <v>0</v>
      </c>
      <c r="AO778" s="88">
        <f>SUMIF(月間集計シート!$M$113:$M$132,$G778,月間集計シート!Q$113:Q$132)*AO$2</f>
        <v>0</v>
      </c>
      <c r="AP778" s="88">
        <f>SUMIF(月間集計シート!$M$113:$M$132,$G778,月間集計シート!R$113:R$132)*AP$2</f>
        <v>0</v>
      </c>
      <c r="AQ778" s="88">
        <f>SUMIF(月間集計シート!$M$113:$M$132,$G778,月間集計シート!S$113:S$132)*AQ$2</f>
        <v>0</v>
      </c>
      <c r="AR778" s="88">
        <f>SUMIF(月間集計シート!$M$113:$M$132,$G778,月間集計シート!T$113:T$132)*AR$2</f>
        <v>0</v>
      </c>
      <c r="AS778" s="88">
        <f>SUMIF(月間集計シート!$M$134:$M$153,$G778,月間集計シート!N$134:N$153)*AS$2</f>
        <v>0</v>
      </c>
      <c r="AT778" s="88">
        <f>SUMIF(月間集計シート!$M$134:$M$153,$G778,月間集計シート!O$134:O$153)*AT$2</f>
        <v>0</v>
      </c>
      <c r="AU778" s="88">
        <f>SUMIF(月間集計シート!$M$134:$M$153,$G778,月間集計シート!P$134:P$153)*AU$2</f>
        <v>0</v>
      </c>
      <c r="AV778" s="88">
        <f>SUMIF(月間集計シート!$M$134:$M$153,$G778,月間集計シート!Q$134:Q$153)*AV$2</f>
        <v>0</v>
      </c>
      <c r="AW778" s="88">
        <f>SUMIF(月間集計シート!$M$134:$M$153,$G778,月間集計シート!R$134:R$153)*AW$2</f>
        <v>0</v>
      </c>
      <c r="AX778" s="88">
        <f>SUMIF(月間集計シート!$M$134:$M$153,$G778,月間集計シート!S$134:S$153)*AX$2</f>
        <v>0</v>
      </c>
      <c r="AY778" s="88">
        <f>SUMIF(月間集計シート!$M$134:$M$153,$G778,月間集計シート!T$134:T$153)*AY$2</f>
        <v>0</v>
      </c>
    </row>
    <row r="779" spans="1:51" ht="14.25" thickBot="1">
      <c r="A779">
        <v>10</v>
      </c>
      <c r="B779" s="120">
        <f t="shared" si="411"/>
        <v>0</v>
      </c>
      <c r="C779" s="120" t="str">
        <f t="shared" si="412"/>
        <v/>
      </c>
      <c r="D779" s="137"/>
      <c r="E779" s="150" t="str">
        <f>工種!A6</f>
        <v>10199</v>
      </c>
      <c r="F779" s="119" t="str">
        <f>工種!B6</f>
        <v>SRS：その他</v>
      </c>
      <c r="G779" s="116" t="str">
        <f t="shared" si="360"/>
        <v>010199</v>
      </c>
      <c r="H779" s="88">
        <f t="shared" si="367"/>
        <v>0</v>
      </c>
      <c r="I779" s="132"/>
      <c r="J779" s="88">
        <f>SUMIF(月間集計シート!$M$29:$M$48,$G779,月間集計シート!N$29:N$48)*J$2</f>
        <v>0</v>
      </c>
      <c r="K779" s="88">
        <f>SUMIF(月間集計シート!$M$29:$M$48,$G779,月間集計シート!O$29:O$48)*K$2</f>
        <v>0</v>
      </c>
      <c r="L779" s="88">
        <f>SUMIF(月間集計シート!$M$29:$M$48,$G779,月間集計シート!P$29:P$48)*L$2</f>
        <v>0</v>
      </c>
      <c r="M779" s="88">
        <f>SUMIF(月間集計シート!$M$29:$M$48,$G779,月間集計シート!Q$29:Q$48)*M$2</f>
        <v>0</v>
      </c>
      <c r="N779" s="88">
        <f>SUMIF(月間集計シート!$M$29:$M$48,$G779,月間集計シート!R$29:R$48)*N$2</f>
        <v>0</v>
      </c>
      <c r="O779" s="88">
        <f>SUMIF(月間集計シート!$M$29:$M$48,$G779,月間集計シート!S$29:S$48)*O$2</f>
        <v>0</v>
      </c>
      <c r="P779" s="88">
        <f>SUMIF(月間集計シート!$M$29:$M$48,$G779,月間集計シート!T$29:T$48)*P$2</f>
        <v>0</v>
      </c>
      <c r="Q779" s="88">
        <f>SUMIF(月間集計シート!$M$50:$M$69,$G779,月間集計シート!N$50:N$69)*Q$2</f>
        <v>0</v>
      </c>
      <c r="R779" s="88">
        <f>SUMIF(月間集計シート!$M$50:$M$69,$G779,月間集計シート!O$50:O$69)*R$2</f>
        <v>0</v>
      </c>
      <c r="S779" s="88">
        <f>SUMIF(月間集計シート!$M$50:$M$69,$G779,月間集計シート!P$50:P$69)*S$2</f>
        <v>0</v>
      </c>
      <c r="T779" s="88">
        <f>SUMIF(月間集計シート!$M$50:$M$69,$G779,月間集計シート!Q$50:Q$69)*T$2</f>
        <v>0</v>
      </c>
      <c r="U779" s="88">
        <f>SUMIF(月間集計シート!$M$50:$M$69,$G779,月間集計シート!R$50:R$69)*U$2</f>
        <v>0</v>
      </c>
      <c r="V779" s="88">
        <f>SUMIF(月間集計シート!$M$50:$M$69,$G779,月間集計シート!S$50:S$69)*V$2</f>
        <v>0</v>
      </c>
      <c r="W779" s="88">
        <f>SUMIF(月間集計シート!$M$50:$M$69,$G779,月間集計シート!T$50:T$69)*W$2</f>
        <v>0</v>
      </c>
      <c r="X779" s="88">
        <f>SUMIF(月間集計シート!$M$71:$M$90,$G779,月間集計シート!N$71:N$90)*X$2</f>
        <v>0</v>
      </c>
      <c r="Y779" s="88">
        <f>SUMIF(月間集計シート!$M$71:$M$90,$G779,月間集計シート!O$71:O$90)*Y$2</f>
        <v>0</v>
      </c>
      <c r="Z779" s="88">
        <f>SUMIF(月間集計シート!$M$71:$M$90,$G779,月間集計シート!P$71:P$90)*Z$2</f>
        <v>0</v>
      </c>
      <c r="AA779" s="88">
        <f>SUMIF(月間集計シート!$M$71:$M$90,$G779,月間集計シート!Q$71:Q$90)*AA$2</f>
        <v>0</v>
      </c>
      <c r="AB779" s="88">
        <f>SUMIF(月間集計シート!$M$71:$M$90,$G779,月間集計シート!R$71:R$90)*AB$2</f>
        <v>0</v>
      </c>
      <c r="AC779" s="88">
        <f>SUMIF(月間集計シート!$M$71:$M$90,$G779,月間集計シート!S$71:S$90)*AC$2</f>
        <v>0</v>
      </c>
      <c r="AD779" s="88">
        <f>SUMIF(月間集計シート!$M$71:$M$90,$G779,月間集計シート!T$71:T$90)*AD$2</f>
        <v>0</v>
      </c>
      <c r="AE779" s="88">
        <f>SUMIF(月間集計シート!$M$92:$M$111,$G779,月間集計シート!N$92:N$111)*AE$2</f>
        <v>0</v>
      </c>
      <c r="AF779" s="88">
        <f>SUMIF(月間集計シート!$M$92:$M$111,$G779,月間集計シート!O$92:O$111)*AF$2</f>
        <v>0</v>
      </c>
      <c r="AG779" s="88">
        <f>SUMIF(月間集計シート!$M$92:$M$111,$G779,月間集計シート!P$92:P$111)*AG$2</f>
        <v>0</v>
      </c>
      <c r="AH779" s="88">
        <f>SUMIF(月間集計シート!$M$92:$M$111,$G779,月間集計シート!Q$92:Q$111)*AH$2</f>
        <v>0</v>
      </c>
      <c r="AI779" s="88">
        <f>SUMIF(月間集計シート!$M$92:$M$111,$G779,月間集計シート!R$92:R$111)*AI$2</f>
        <v>0</v>
      </c>
      <c r="AJ779" s="88">
        <f>SUMIF(月間集計シート!$M$92:$M$111,$G779,月間集計シート!S$92:S$111)*AJ$2</f>
        <v>0</v>
      </c>
      <c r="AK779" s="88">
        <f>SUMIF(月間集計シート!$M$92:$M$111,$G779,月間集計シート!T$92:T$111)*AK$2</f>
        <v>0</v>
      </c>
      <c r="AL779" s="88">
        <f>SUMIF(月間集計シート!$M$113:$M$132,$G779,月間集計シート!N$113:N$132)*AL$2</f>
        <v>0</v>
      </c>
      <c r="AM779" s="88">
        <f>SUMIF(月間集計シート!$M$113:$M$132,$G779,月間集計シート!O$113:O$132)*AM$2</f>
        <v>0</v>
      </c>
      <c r="AN779" s="88">
        <f>SUMIF(月間集計シート!$M$113:$M$132,$G779,月間集計シート!P$113:P$132)*AN$2</f>
        <v>0</v>
      </c>
      <c r="AO779" s="88">
        <f>SUMIF(月間集計シート!$M$113:$M$132,$G779,月間集計シート!Q$113:Q$132)*AO$2</f>
        <v>0</v>
      </c>
      <c r="AP779" s="88">
        <f>SUMIF(月間集計シート!$M$113:$M$132,$G779,月間集計シート!R$113:R$132)*AP$2</f>
        <v>0</v>
      </c>
      <c r="AQ779" s="88">
        <f>SUMIF(月間集計シート!$M$113:$M$132,$G779,月間集計シート!S$113:S$132)*AQ$2</f>
        <v>0</v>
      </c>
      <c r="AR779" s="88">
        <f>SUMIF(月間集計シート!$M$113:$M$132,$G779,月間集計シート!T$113:T$132)*AR$2</f>
        <v>0</v>
      </c>
      <c r="AS779" s="88">
        <f>SUMIF(月間集計シート!$M$134:$M$153,$G779,月間集計シート!N$134:N$153)*AS$2</f>
        <v>0</v>
      </c>
      <c r="AT779" s="88">
        <f>SUMIF(月間集計シート!$M$134:$M$153,$G779,月間集計シート!O$134:O$153)*AT$2</f>
        <v>0</v>
      </c>
      <c r="AU779" s="88">
        <f>SUMIF(月間集計シート!$M$134:$M$153,$G779,月間集計シート!P$134:P$153)*AU$2</f>
        <v>0</v>
      </c>
      <c r="AV779" s="88">
        <f>SUMIF(月間集計シート!$M$134:$M$153,$G779,月間集計シート!Q$134:Q$153)*AV$2</f>
        <v>0</v>
      </c>
      <c r="AW779" s="88">
        <f>SUMIF(月間集計シート!$M$134:$M$153,$G779,月間集計シート!R$134:R$153)*AW$2</f>
        <v>0</v>
      </c>
      <c r="AX779" s="88">
        <f>SUMIF(月間集計シート!$M$134:$M$153,$G779,月間集計シート!S$134:S$153)*AX$2</f>
        <v>0</v>
      </c>
      <c r="AY779" s="88">
        <f>SUMIF(月間集計シート!$M$134:$M$153,$G779,月間集計シート!T$134:T$153)*AY$2</f>
        <v>0</v>
      </c>
    </row>
    <row r="780" spans="1:51" ht="14.25" thickBot="1">
      <c r="A780">
        <v>10</v>
      </c>
      <c r="B780" s="120">
        <f t="shared" si="411"/>
        <v>0</v>
      </c>
      <c r="C780" s="120" t="str">
        <f t="shared" si="412"/>
        <v/>
      </c>
      <c r="D780" s="137"/>
      <c r="E780" s="150" t="str">
        <f>工種!A7</f>
        <v>20101</v>
      </c>
      <c r="F780" s="119" t="str">
        <f>工種!B7</f>
        <v>設計：外部設計書作成</v>
      </c>
      <c r="G780" s="116" t="str">
        <f t="shared" si="360"/>
        <v>020101</v>
      </c>
      <c r="H780" s="88">
        <f t="shared" si="367"/>
        <v>0</v>
      </c>
      <c r="I780" s="132"/>
      <c r="J780" s="88">
        <f>SUMIF(月間集計シート!$M$29:$M$48,$G780,月間集計シート!N$29:N$48)*J$2</f>
        <v>0</v>
      </c>
      <c r="K780" s="88">
        <f>SUMIF(月間集計シート!$M$29:$M$48,$G780,月間集計シート!O$29:O$48)*K$2</f>
        <v>0</v>
      </c>
      <c r="L780" s="88">
        <f>SUMIF(月間集計シート!$M$29:$M$48,$G780,月間集計シート!P$29:P$48)*L$2</f>
        <v>0</v>
      </c>
      <c r="M780" s="88">
        <f>SUMIF(月間集計シート!$M$29:$M$48,$G780,月間集計シート!Q$29:Q$48)*M$2</f>
        <v>0</v>
      </c>
      <c r="N780" s="88">
        <f>SUMIF(月間集計シート!$M$29:$M$48,$G780,月間集計シート!R$29:R$48)*N$2</f>
        <v>0</v>
      </c>
      <c r="O780" s="88">
        <f>SUMIF(月間集計シート!$M$29:$M$48,$G780,月間集計シート!S$29:S$48)*O$2</f>
        <v>0</v>
      </c>
      <c r="P780" s="88">
        <f>SUMIF(月間集計シート!$M$29:$M$48,$G780,月間集計シート!T$29:T$48)*P$2</f>
        <v>0</v>
      </c>
      <c r="Q780" s="88">
        <f>SUMIF(月間集計シート!$M$50:$M$69,$G780,月間集計シート!N$50:N$69)*Q$2</f>
        <v>0</v>
      </c>
      <c r="R780" s="88">
        <f>SUMIF(月間集計シート!$M$50:$M$69,$G780,月間集計シート!O$50:O$69)*R$2</f>
        <v>0</v>
      </c>
      <c r="S780" s="88">
        <f>SUMIF(月間集計シート!$M$50:$M$69,$G780,月間集計シート!P$50:P$69)*S$2</f>
        <v>0</v>
      </c>
      <c r="T780" s="88">
        <f>SUMIF(月間集計シート!$M$50:$M$69,$G780,月間集計シート!Q$50:Q$69)*T$2</f>
        <v>0</v>
      </c>
      <c r="U780" s="88">
        <f>SUMIF(月間集計シート!$M$50:$M$69,$G780,月間集計シート!R$50:R$69)*U$2</f>
        <v>0</v>
      </c>
      <c r="V780" s="88">
        <f>SUMIF(月間集計シート!$M$50:$M$69,$G780,月間集計シート!S$50:S$69)*V$2</f>
        <v>0</v>
      </c>
      <c r="W780" s="88">
        <f>SUMIF(月間集計シート!$M$50:$M$69,$G780,月間集計シート!T$50:T$69)*W$2</f>
        <v>0</v>
      </c>
      <c r="X780" s="88">
        <f>SUMIF(月間集計シート!$M$71:$M$90,$G780,月間集計シート!N$71:N$90)*X$2</f>
        <v>0</v>
      </c>
      <c r="Y780" s="88">
        <f>SUMIF(月間集計シート!$M$71:$M$90,$G780,月間集計シート!O$71:O$90)*Y$2</f>
        <v>0</v>
      </c>
      <c r="Z780" s="88">
        <f>SUMIF(月間集計シート!$M$71:$M$90,$G780,月間集計シート!P$71:P$90)*Z$2</f>
        <v>0</v>
      </c>
      <c r="AA780" s="88">
        <f>SUMIF(月間集計シート!$M$71:$M$90,$G780,月間集計シート!Q$71:Q$90)*AA$2</f>
        <v>0</v>
      </c>
      <c r="AB780" s="88">
        <f>SUMIF(月間集計シート!$M$71:$M$90,$G780,月間集計シート!R$71:R$90)*AB$2</f>
        <v>0</v>
      </c>
      <c r="AC780" s="88">
        <f>SUMIF(月間集計シート!$M$71:$M$90,$G780,月間集計シート!S$71:S$90)*AC$2</f>
        <v>0</v>
      </c>
      <c r="AD780" s="88">
        <f>SUMIF(月間集計シート!$M$71:$M$90,$G780,月間集計シート!T$71:T$90)*AD$2</f>
        <v>0</v>
      </c>
      <c r="AE780" s="88">
        <f>SUMIF(月間集計シート!$M$92:$M$111,$G780,月間集計シート!N$92:N$111)*AE$2</f>
        <v>0</v>
      </c>
      <c r="AF780" s="88">
        <f>SUMIF(月間集計シート!$M$92:$M$111,$G780,月間集計シート!O$92:O$111)*AF$2</f>
        <v>0</v>
      </c>
      <c r="AG780" s="88">
        <f>SUMIF(月間集計シート!$M$92:$M$111,$G780,月間集計シート!P$92:P$111)*AG$2</f>
        <v>0</v>
      </c>
      <c r="AH780" s="88">
        <f>SUMIF(月間集計シート!$M$92:$M$111,$G780,月間集計シート!Q$92:Q$111)*AH$2</f>
        <v>0</v>
      </c>
      <c r="AI780" s="88">
        <f>SUMIF(月間集計シート!$M$92:$M$111,$G780,月間集計シート!R$92:R$111)*AI$2</f>
        <v>0</v>
      </c>
      <c r="AJ780" s="88">
        <f>SUMIF(月間集計シート!$M$92:$M$111,$G780,月間集計シート!S$92:S$111)*AJ$2</f>
        <v>0</v>
      </c>
      <c r="AK780" s="88">
        <f>SUMIF(月間集計シート!$M$92:$M$111,$G780,月間集計シート!T$92:T$111)*AK$2</f>
        <v>0</v>
      </c>
      <c r="AL780" s="88">
        <f>SUMIF(月間集計シート!$M$113:$M$132,$G780,月間集計シート!N$113:N$132)*AL$2</f>
        <v>0</v>
      </c>
      <c r="AM780" s="88">
        <f>SUMIF(月間集計シート!$M$113:$M$132,$G780,月間集計シート!O$113:O$132)*AM$2</f>
        <v>0</v>
      </c>
      <c r="AN780" s="88">
        <f>SUMIF(月間集計シート!$M$113:$M$132,$G780,月間集計シート!P$113:P$132)*AN$2</f>
        <v>0</v>
      </c>
      <c r="AO780" s="88">
        <f>SUMIF(月間集計シート!$M$113:$M$132,$G780,月間集計シート!Q$113:Q$132)*AO$2</f>
        <v>0</v>
      </c>
      <c r="AP780" s="88">
        <f>SUMIF(月間集計シート!$M$113:$M$132,$G780,月間集計シート!R$113:R$132)*AP$2</f>
        <v>0</v>
      </c>
      <c r="AQ780" s="88">
        <f>SUMIF(月間集計シート!$M$113:$M$132,$G780,月間集計シート!S$113:S$132)*AQ$2</f>
        <v>0</v>
      </c>
      <c r="AR780" s="88">
        <f>SUMIF(月間集計シート!$M$113:$M$132,$G780,月間集計シート!T$113:T$132)*AR$2</f>
        <v>0</v>
      </c>
      <c r="AS780" s="88">
        <f>SUMIF(月間集計シート!$M$134:$M$153,$G780,月間集計シート!N$134:N$153)*AS$2</f>
        <v>0</v>
      </c>
      <c r="AT780" s="88">
        <f>SUMIF(月間集計シート!$M$134:$M$153,$G780,月間集計シート!O$134:O$153)*AT$2</f>
        <v>0</v>
      </c>
      <c r="AU780" s="88">
        <f>SUMIF(月間集計シート!$M$134:$M$153,$G780,月間集計シート!P$134:P$153)*AU$2</f>
        <v>0</v>
      </c>
      <c r="AV780" s="88">
        <f>SUMIF(月間集計シート!$M$134:$M$153,$G780,月間集計シート!Q$134:Q$153)*AV$2</f>
        <v>0</v>
      </c>
      <c r="AW780" s="88">
        <f>SUMIF(月間集計シート!$M$134:$M$153,$G780,月間集計シート!R$134:R$153)*AW$2</f>
        <v>0</v>
      </c>
      <c r="AX780" s="88">
        <f>SUMIF(月間集計シート!$M$134:$M$153,$G780,月間集計シート!S$134:S$153)*AX$2</f>
        <v>0</v>
      </c>
      <c r="AY780" s="88">
        <f>SUMIF(月間集計シート!$M$134:$M$153,$G780,月間集計シート!T$134:T$153)*AY$2</f>
        <v>0</v>
      </c>
    </row>
    <row r="781" spans="1:51" ht="14.25" thickBot="1">
      <c r="A781">
        <v>10</v>
      </c>
      <c r="B781" s="120">
        <f t="shared" si="411"/>
        <v>0</v>
      </c>
      <c r="C781" s="120" t="str">
        <f t="shared" si="412"/>
        <v/>
      </c>
      <c r="D781" s="137"/>
      <c r="E781" s="150" t="str">
        <f>工種!A8</f>
        <v>20103</v>
      </c>
      <c r="F781" s="119" t="str">
        <f>工種!B8</f>
        <v>設計：打合せ</v>
      </c>
      <c r="G781" s="116" t="str">
        <f t="shared" si="360"/>
        <v>020103</v>
      </c>
      <c r="H781" s="88">
        <f t="shared" si="367"/>
        <v>0</v>
      </c>
      <c r="I781" s="132"/>
      <c r="J781" s="88">
        <f>SUMIF(月間集計シート!$M$29:$M$48,$G781,月間集計シート!N$29:N$48)*J$2</f>
        <v>0</v>
      </c>
      <c r="K781" s="88">
        <f>SUMIF(月間集計シート!$M$29:$M$48,$G781,月間集計シート!O$29:O$48)*K$2</f>
        <v>0</v>
      </c>
      <c r="L781" s="88">
        <f>SUMIF(月間集計シート!$M$29:$M$48,$G781,月間集計シート!P$29:P$48)*L$2</f>
        <v>0</v>
      </c>
      <c r="M781" s="88">
        <f>SUMIF(月間集計シート!$M$29:$M$48,$G781,月間集計シート!Q$29:Q$48)*M$2</f>
        <v>0</v>
      </c>
      <c r="N781" s="88">
        <f>SUMIF(月間集計シート!$M$29:$M$48,$G781,月間集計シート!R$29:R$48)*N$2</f>
        <v>0</v>
      </c>
      <c r="O781" s="88">
        <f>SUMIF(月間集計シート!$M$29:$M$48,$G781,月間集計シート!S$29:S$48)*O$2</f>
        <v>0</v>
      </c>
      <c r="P781" s="88">
        <f>SUMIF(月間集計シート!$M$29:$M$48,$G781,月間集計シート!T$29:T$48)*P$2</f>
        <v>0</v>
      </c>
      <c r="Q781" s="88">
        <f>SUMIF(月間集計シート!$M$50:$M$69,$G781,月間集計シート!N$50:N$69)*Q$2</f>
        <v>0</v>
      </c>
      <c r="R781" s="88">
        <f>SUMIF(月間集計シート!$M$50:$M$69,$G781,月間集計シート!O$50:O$69)*R$2</f>
        <v>0</v>
      </c>
      <c r="S781" s="88">
        <f>SUMIF(月間集計シート!$M$50:$M$69,$G781,月間集計シート!P$50:P$69)*S$2</f>
        <v>0</v>
      </c>
      <c r="T781" s="88">
        <f>SUMIF(月間集計シート!$M$50:$M$69,$G781,月間集計シート!Q$50:Q$69)*T$2</f>
        <v>0</v>
      </c>
      <c r="U781" s="88">
        <f>SUMIF(月間集計シート!$M$50:$M$69,$G781,月間集計シート!R$50:R$69)*U$2</f>
        <v>0</v>
      </c>
      <c r="V781" s="88">
        <f>SUMIF(月間集計シート!$M$50:$M$69,$G781,月間集計シート!S$50:S$69)*V$2</f>
        <v>0</v>
      </c>
      <c r="W781" s="88">
        <f>SUMIF(月間集計シート!$M$50:$M$69,$G781,月間集計シート!T$50:T$69)*W$2</f>
        <v>0</v>
      </c>
      <c r="X781" s="88">
        <f>SUMIF(月間集計シート!$M$71:$M$90,$G781,月間集計シート!N$71:N$90)*X$2</f>
        <v>0</v>
      </c>
      <c r="Y781" s="88">
        <f>SUMIF(月間集計シート!$M$71:$M$90,$G781,月間集計シート!O$71:O$90)*Y$2</f>
        <v>0</v>
      </c>
      <c r="Z781" s="88">
        <f>SUMIF(月間集計シート!$M$71:$M$90,$G781,月間集計シート!P$71:P$90)*Z$2</f>
        <v>0</v>
      </c>
      <c r="AA781" s="88">
        <f>SUMIF(月間集計シート!$M$71:$M$90,$G781,月間集計シート!Q$71:Q$90)*AA$2</f>
        <v>0</v>
      </c>
      <c r="AB781" s="88">
        <f>SUMIF(月間集計シート!$M$71:$M$90,$G781,月間集計シート!R$71:R$90)*AB$2</f>
        <v>0</v>
      </c>
      <c r="AC781" s="88">
        <f>SUMIF(月間集計シート!$M$71:$M$90,$G781,月間集計シート!S$71:S$90)*AC$2</f>
        <v>0</v>
      </c>
      <c r="AD781" s="88">
        <f>SUMIF(月間集計シート!$M$71:$M$90,$G781,月間集計シート!T$71:T$90)*AD$2</f>
        <v>0</v>
      </c>
      <c r="AE781" s="88">
        <f>SUMIF(月間集計シート!$M$92:$M$111,$G781,月間集計シート!N$92:N$111)*AE$2</f>
        <v>0</v>
      </c>
      <c r="AF781" s="88">
        <f>SUMIF(月間集計シート!$M$92:$M$111,$G781,月間集計シート!O$92:O$111)*AF$2</f>
        <v>0</v>
      </c>
      <c r="AG781" s="88">
        <f>SUMIF(月間集計シート!$M$92:$M$111,$G781,月間集計シート!P$92:P$111)*AG$2</f>
        <v>0</v>
      </c>
      <c r="AH781" s="88">
        <f>SUMIF(月間集計シート!$M$92:$M$111,$G781,月間集計シート!Q$92:Q$111)*AH$2</f>
        <v>0</v>
      </c>
      <c r="AI781" s="88">
        <f>SUMIF(月間集計シート!$M$92:$M$111,$G781,月間集計シート!R$92:R$111)*AI$2</f>
        <v>0</v>
      </c>
      <c r="AJ781" s="88">
        <f>SUMIF(月間集計シート!$M$92:$M$111,$G781,月間集計シート!S$92:S$111)*AJ$2</f>
        <v>0</v>
      </c>
      <c r="AK781" s="88">
        <f>SUMIF(月間集計シート!$M$92:$M$111,$G781,月間集計シート!T$92:T$111)*AK$2</f>
        <v>0</v>
      </c>
      <c r="AL781" s="88">
        <f>SUMIF(月間集計シート!$M$113:$M$132,$G781,月間集計シート!N$113:N$132)*AL$2</f>
        <v>0</v>
      </c>
      <c r="AM781" s="88">
        <f>SUMIF(月間集計シート!$M$113:$M$132,$G781,月間集計シート!O$113:O$132)*AM$2</f>
        <v>0</v>
      </c>
      <c r="AN781" s="88">
        <f>SUMIF(月間集計シート!$M$113:$M$132,$G781,月間集計シート!P$113:P$132)*AN$2</f>
        <v>0</v>
      </c>
      <c r="AO781" s="88">
        <f>SUMIF(月間集計シート!$M$113:$M$132,$G781,月間集計シート!Q$113:Q$132)*AO$2</f>
        <v>0</v>
      </c>
      <c r="AP781" s="88">
        <f>SUMIF(月間集計シート!$M$113:$M$132,$G781,月間集計シート!R$113:R$132)*AP$2</f>
        <v>0</v>
      </c>
      <c r="AQ781" s="88">
        <f>SUMIF(月間集計シート!$M$113:$M$132,$G781,月間集計シート!S$113:S$132)*AQ$2</f>
        <v>0</v>
      </c>
      <c r="AR781" s="88">
        <f>SUMIF(月間集計シート!$M$113:$M$132,$G781,月間集計シート!T$113:T$132)*AR$2</f>
        <v>0</v>
      </c>
      <c r="AS781" s="88">
        <f>SUMIF(月間集計シート!$M$134:$M$153,$G781,月間集計シート!N$134:N$153)*AS$2</f>
        <v>0</v>
      </c>
      <c r="AT781" s="88">
        <f>SUMIF(月間集計シート!$M$134:$M$153,$G781,月間集計シート!O$134:O$153)*AT$2</f>
        <v>0</v>
      </c>
      <c r="AU781" s="88">
        <f>SUMIF(月間集計シート!$M$134:$M$153,$G781,月間集計シート!P$134:P$153)*AU$2</f>
        <v>0</v>
      </c>
      <c r="AV781" s="88">
        <f>SUMIF(月間集計シート!$M$134:$M$153,$G781,月間集計シート!Q$134:Q$153)*AV$2</f>
        <v>0</v>
      </c>
      <c r="AW781" s="88">
        <f>SUMIF(月間集計シート!$M$134:$M$153,$G781,月間集計シート!R$134:R$153)*AW$2</f>
        <v>0</v>
      </c>
      <c r="AX781" s="88">
        <f>SUMIF(月間集計シート!$M$134:$M$153,$G781,月間集計シート!S$134:S$153)*AX$2</f>
        <v>0</v>
      </c>
      <c r="AY781" s="88">
        <f>SUMIF(月間集計シート!$M$134:$M$153,$G781,月間集計シート!T$134:T$153)*AY$2</f>
        <v>0</v>
      </c>
    </row>
    <row r="782" spans="1:51" ht="14.25" thickBot="1">
      <c r="A782">
        <v>10</v>
      </c>
      <c r="B782" s="120">
        <f t="shared" si="411"/>
        <v>0</v>
      </c>
      <c r="C782" s="120" t="str">
        <f t="shared" si="412"/>
        <v/>
      </c>
      <c r="D782" s="137"/>
      <c r="E782" s="150">
        <f>工種!A9</f>
        <v>20105</v>
      </c>
      <c r="F782" s="119" t="str">
        <f>工種!B9</f>
        <v>設計：原因調査・影響範囲分析・変更仕様作成</v>
      </c>
      <c r="G782" s="116" t="str">
        <f t="shared" si="360"/>
        <v>020105</v>
      </c>
      <c r="H782" s="88">
        <f t="shared" si="367"/>
        <v>0</v>
      </c>
      <c r="I782" s="132"/>
      <c r="J782" s="88">
        <f>SUMIF(月間集計シート!$M$29:$M$48,$G782,月間集計シート!N$29:N$48)*J$2</f>
        <v>0</v>
      </c>
      <c r="K782" s="88">
        <f>SUMIF(月間集計シート!$M$29:$M$48,$G782,月間集計シート!O$29:O$48)*K$2</f>
        <v>0</v>
      </c>
      <c r="L782" s="88">
        <f>SUMIF(月間集計シート!$M$29:$M$48,$G782,月間集計シート!P$29:P$48)*L$2</f>
        <v>0</v>
      </c>
      <c r="M782" s="88">
        <f>SUMIF(月間集計シート!$M$29:$M$48,$G782,月間集計シート!Q$29:Q$48)*M$2</f>
        <v>0</v>
      </c>
      <c r="N782" s="88">
        <f>SUMIF(月間集計シート!$M$29:$M$48,$G782,月間集計シート!R$29:R$48)*N$2</f>
        <v>0</v>
      </c>
      <c r="O782" s="88">
        <f>SUMIF(月間集計シート!$M$29:$M$48,$G782,月間集計シート!S$29:S$48)*O$2</f>
        <v>0</v>
      </c>
      <c r="P782" s="88">
        <f>SUMIF(月間集計シート!$M$29:$M$48,$G782,月間集計シート!T$29:T$48)*P$2</f>
        <v>0</v>
      </c>
      <c r="Q782" s="88">
        <f>SUMIF(月間集計シート!$M$50:$M$69,$G782,月間集計シート!N$50:N$69)*Q$2</f>
        <v>0</v>
      </c>
      <c r="R782" s="88">
        <f>SUMIF(月間集計シート!$M$50:$M$69,$G782,月間集計シート!O$50:O$69)*R$2</f>
        <v>0</v>
      </c>
      <c r="S782" s="88">
        <f>SUMIF(月間集計シート!$M$50:$M$69,$G782,月間集計シート!P$50:P$69)*S$2</f>
        <v>0</v>
      </c>
      <c r="T782" s="88">
        <f>SUMIF(月間集計シート!$M$50:$M$69,$G782,月間集計シート!Q$50:Q$69)*T$2</f>
        <v>0</v>
      </c>
      <c r="U782" s="88">
        <f>SUMIF(月間集計シート!$M$50:$M$69,$G782,月間集計シート!R$50:R$69)*U$2</f>
        <v>0</v>
      </c>
      <c r="V782" s="88">
        <f>SUMIF(月間集計シート!$M$50:$M$69,$G782,月間集計シート!S$50:S$69)*V$2</f>
        <v>0</v>
      </c>
      <c r="W782" s="88">
        <f>SUMIF(月間集計シート!$M$50:$M$69,$G782,月間集計シート!T$50:T$69)*W$2</f>
        <v>0</v>
      </c>
      <c r="X782" s="88">
        <f>SUMIF(月間集計シート!$M$71:$M$90,$G782,月間集計シート!N$71:N$90)*X$2</f>
        <v>0</v>
      </c>
      <c r="Y782" s="88">
        <f>SUMIF(月間集計シート!$M$71:$M$90,$G782,月間集計シート!O$71:O$90)*Y$2</f>
        <v>0</v>
      </c>
      <c r="Z782" s="88">
        <f>SUMIF(月間集計シート!$M$71:$M$90,$G782,月間集計シート!P$71:P$90)*Z$2</f>
        <v>0</v>
      </c>
      <c r="AA782" s="88">
        <f>SUMIF(月間集計シート!$M$71:$M$90,$G782,月間集計シート!Q$71:Q$90)*AA$2</f>
        <v>0</v>
      </c>
      <c r="AB782" s="88">
        <f>SUMIF(月間集計シート!$M$71:$M$90,$G782,月間集計シート!R$71:R$90)*AB$2</f>
        <v>0</v>
      </c>
      <c r="AC782" s="88">
        <f>SUMIF(月間集計シート!$M$71:$M$90,$G782,月間集計シート!S$71:S$90)*AC$2</f>
        <v>0</v>
      </c>
      <c r="AD782" s="88">
        <f>SUMIF(月間集計シート!$M$71:$M$90,$G782,月間集計シート!T$71:T$90)*AD$2</f>
        <v>0</v>
      </c>
      <c r="AE782" s="88">
        <f>SUMIF(月間集計シート!$M$92:$M$111,$G782,月間集計シート!N$92:N$111)*AE$2</f>
        <v>0</v>
      </c>
      <c r="AF782" s="88">
        <f>SUMIF(月間集計シート!$M$92:$M$111,$G782,月間集計シート!O$92:O$111)*AF$2</f>
        <v>0</v>
      </c>
      <c r="AG782" s="88">
        <f>SUMIF(月間集計シート!$M$92:$M$111,$G782,月間集計シート!P$92:P$111)*AG$2</f>
        <v>0</v>
      </c>
      <c r="AH782" s="88">
        <f>SUMIF(月間集計シート!$M$92:$M$111,$G782,月間集計シート!Q$92:Q$111)*AH$2</f>
        <v>0</v>
      </c>
      <c r="AI782" s="88">
        <f>SUMIF(月間集計シート!$M$92:$M$111,$G782,月間集計シート!R$92:R$111)*AI$2</f>
        <v>0</v>
      </c>
      <c r="AJ782" s="88">
        <f>SUMIF(月間集計シート!$M$92:$M$111,$G782,月間集計シート!S$92:S$111)*AJ$2</f>
        <v>0</v>
      </c>
      <c r="AK782" s="88">
        <f>SUMIF(月間集計シート!$M$92:$M$111,$G782,月間集計シート!T$92:T$111)*AK$2</f>
        <v>0</v>
      </c>
      <c r="AL782" s="88">
        <f>SUMIF(月間集計シート!$M$113:$M$132,$G782,月間集計シート!N$113:N$132)*AL$2</f>
        <v>0</v>
      </c>
      <c r="AM782" s="88">
        <f>SUMIF(月間集計シート!$M$113:$M$132,$G782,月間集計シート!O$113:O$132)*AM$2</f>
        <v>0</v>
      </c>
      <c r="AN782" s="88">
        <f>SUMIF(月間集計シート!$M$113:$M$132,$G782,月間集計シート!P$113:P$132)*AN$2</f>
        <v>0</v>
      </c>
      <c r="AO782" s="88">
        <f>SUMIF(月間集計シート!$M$113:$M$132,$G782,月間集計シート!Q$113:Q$132)*AO$2</f>
        <v>0</v>
      </c>
      <c r="AP782" s="88">
        <f>SUMIF(月間集計シート!$M$113:$M$132,$G782,月間集計シート!R$113:R$132)*AP$2</f>
        <v>0</v>
      </c>
      <c r="AQ782" s="88">
        <f>SUMIF(月間集計シート!$M$113:$M$132,$G782,月間集計シート!S$113:S$132)*AQ$2</f>
        <v>0</v>
      </c>
      <c r="AR782" s="88">
        <f>SUMIF(月間集計シート!$M$113:$M$132,$G782,月間集計シート!T$113:T$132)*AR$2</f>
        <v>0</v>
      </c>
      <c r="AS782" s="88">
        <f>SUMIF(月間集計シート!$M$134:$M$153,$G782,月間集計シート!N$134:N$153)*AS$2</f>
        <v>0</v>
      </c>
      <c r="AT782" s="88">
        <f>SUMIF(月間集計シート!$M$134:$M$153,$G782,月間集計シート!O$134:O$153)*AT$2</f>
        <v>0</v>
      </c>
      <c r="AU782" s="88">
        <f>SUMIF(月間集計シート!$M$134:$M$153,$G782,月間集計シート!P$134:P$153)*AU$2</f>
        <v>0</v>
      </c>
      <c r="AV782" s="88">
        <f>SUMIF(月間集計シート!$M$134:$M$153,$G782,月間集計シート!Q$134:Q$153)*AV$2</f>
        <v>0</v>
      </c>
      <c r="AW782" s="88">
        <f>SUMIF(月間集計シート!$M$134:$M$153,$G782,月間集計シート!R$134:R$153)*AW$2</f>
        <v>0</v>
      </c>
      <c r="AX782" s="88">
        <f>SUMIF(月間集計シート!$M$134:$M$153,$G782,月間集計シート!S$134:S$153)*AX$2</f>
        <v>0</v>
      </c>
      <c r="AY782" s="88">
        <f>SUMIF(月間集計シート!$M$134:$M$153,$G782,月間集計シート!T$134:T$153)*AY$2</f>
        <v>0</v>
      </c>
    </row>
    <row r="783" spans="1:51" ht="14.25" thickBot="1">
      <c r="A783">
        <v>10</v>
      </c>
      <c r="B783" s="120">
        <f t="shared" si="411"/>
        <v>0</v>
      </c>
      <c r="C783" s="120" t="str">
        <f t="shared" si="412"/>
        <v/>
      </c>
      <c r="D783" s="137"/>
      <c r="E783" s="150" t="str">
        <f>工種!A10</f>
        <v>20106</v>
      </c>
      <c r="F783" s="119" t="str">
        <f>工種!B10</f>
        <v>設計：設計書修正（手戻り分）</v>
      </c>
      <c r="G783" s="116" t="str">
        <f t="shared" si="360"/>
        <v>020106</v>
      </c>
      <c r="H783" s="88">
        <f t="shared" si="367"/>
        <v>0</v>
      </c>
      <c r="I783" s="132"/>
      <c r="J783" s="88">
        <f>SUMIF(月間集計シート!$M$29:$M$48,$G783,月間集計シート!N$29:N$48)*J$2</f>
        <v>0</v>
      </c>
      <c r="K783" s="88">
        <f>SUMIF(月間集計シート!$M$29:$M$48,$G783,月間集計シート!O$29:O$48)*K$2</f>
        <v>0</v>
      </c>
      <c r="L783" s="88">
        <f>SUMIF(月間集計シート!$M$29:$M$48,$G783,月間集計シート!P$29:P$48)*L$2</f>
        <v>0</v>
      </c>
      <c r="M783" s="88">
        <f>SUMIF(月間集計シート!$M$29:$M$48,$G783,月間集計シート!Q$29:Q$48)*M$2</f>
        <v>0</v>
      </c>
      <c r="N783" s="88">
        <f>SUMIF(月間集計シート!$M$29:$M$48,$G783,月間集計シート!R$29:R$48)*N$2</f>
        <v>0</v>
      </c>
      <c r="O783" s="88">
        <f>SUMIF(月間集計シート!$M$29:$M$48,$G783,月間集計シート!S$29:S$48)*O$2</f>
        <v>0</v>
      </c>
      <c r="P783" s="88">
        <f>SUMIF(月間集計シート!$M$29:$M$48,$G783,月間集計シート!T$29:T$48)*P$2</f>
        <v>0</v>
      </c>
      <c r="Q783" s="88">
        <f>SUMIF(月間集計シート!$M$50:$M$69,$G783,月間集計シート!N$50:N$69)*Q$2</f>
        <v>0</v>
      </c>
      <c r="R783" s="88">
        <f>SUMIF(月間集計シート!$M$50:$M$69,$G783,月間集計シート!O$50:O$69)*R$2</f>
        <v>0</v>
      </c>
      <c r="S783" s="88">
        <f>SUMIF(月間集計シート!$M$50:$M$69,$G783,月間集計シート!P$50:P$69)*S$2</f>
        <v>0</v>
      </c>
      <c r="T783" s="88">
        <f>SUMIF(月間集計シート!$M$50:$M$69,$G783,月間集計シート!Q$50:Q$69)*T$2</f>
        <v>0</v>
      </c>
      <c r="U783" s="88">
        <f>SUMIF(月間集計シート!$M$50:$M$69,$G783,月間集計シート!R$50:R$69)*U$2</f>
        <v>0</v>
      </c>
      <c r="V783" s="88">
        <f>SUMIF(月間集計シート!$M$50:$M$69,$G783,月間集計シート!S$50:S$69)*V$2</f>
        <v>0</v>
      </c>
      <c r="W783" s="88">
        <f>SUMIF(月間集計シート!$M$50:$M$69,$G783,月間集計シート!T$50:T$69)*W$2</f>
        <v>0</v>
      </c>
      <c r="X783" s="88">
        <f>SUMIF(月間集計シート!$M$71:$M$90,$G783,月間集計シート!N$71:N$90)*X$2</f>
        <v>0</v>
      </c>
      <c r="Y783" s="88">
        <f>SUMIF(月間集計シート!$M$71:$M$90,$G783,月間集計シート!O$71:O$90)*Y$2</f>
        <v>0</v>
      </c>
      <c r="Z783" s="88">
        <f>SUMIF(月間集計シート!$M$71:$M$90,$G783,月間集計シート!P$71:P$90)*Z$2</f>
        <v>0</v>
      </c>
      <c r="AA783" s="88">
        <f>SUMIF(月間集計シート!$M$71:$M$90,$G783,月間集計シート!Q$71:Q$90)*AA$2</f>
        <v>0</v>
      </c>
      <c r="AB783" s="88">
        <f>SUMIF(月間集計シート!$M$71:$M$90,$G783,月間集計シート!R$71:R$90)*AB$2</f>
        <v>0</v>
      </c>
      <c r="AC783" s="88">
        <f>SUMIF(月間集計シート!$M$71:$M$90,$G783,月間集計シート!S$71:S$90)*AC$2</f>
        <v>0</v>
      </c>
      <c r="AD783" s="88">
        <f>SUMIF(月間集計シート!$M$71:$M$90,$G783,月間集計シート!T$71:T$90)*AD$2</f>
        <v>0</v>
      </c>
      <c r="AE783" s="88">
        <f>SUMIF(月間集計シート!$M$92:$M$111,$G783,月間集計シート!N$92:N$111)*AE$2</f>
        <v>0</v>
      </c>
      <c r="AF783" s="88">
        <f>SUMIF(月間集計シート!$M$92:$M$111,$G783,月間集計シート!O$92:O$111)*AF$2</f>
        <v>0</v>
      </c>
      <c r="AG783" s="88">
        <f>SUMIF(月間集計シート!$M$92:$M$111,$G783,月間集計シート!P$92:P$111)*AG$2</f>
        <v>0</v>
      </c>
      <c r="AH783" s="88">
        <f>SUMIF(月間集計シート!$M$92:$M$111,$G783,月間集計シート!Q$92:Q$111)*AH$2</f>
        <v>0</v>
      </c>
      <c r="AI783" s="88">
        <f>SUMIF(月間集計シート!$M$92:$M$111,$G783,月間集計シート!R$92:R$111)*AI$2</f>
        <v>0</v>
      </c>
      <c r="AJ783" s="88">
        <f>SUMIF(月間集計シート!$M$92:$M$111,$G783,月間集計シート!S$92:S$111)*AJ$2</f>
        <v>0</v>
      </c>
      <c r="AK783" s="88">
        <f>SUMIF(月間集計シート!$M$92:$M$111,$G783,月間集計シート!T$92:T$111)*AK$2</f>
        <v>0</v>
      </c>
      <c r="AL783" s="88">
        <f>SUMIF(月間集計シート!$M$113:$M$132,$G783,月間集計シート!N$113:N$132)*AL$2</f>
        <v>0</v>
      </c>
      <c r="AM783" s="88">
        <f>SUMIF(月間集計シート!$M$113:$M$132,$G783,月間集計シート!O$113:O$132)*AM$2</f>
        <v>0</v>
      </c>
      <c r="AN783" s="88">
        <f>SUMIF(月間集計シート!$M$113:$M$132,$G783,月間集計シート!P$113:P$132)*AN$2</f>
        <v>0</v>
      </c>
      <c r="AO783" s="88">
        <f>SUMIF(月間集計シート!$M$113:$M$132,$G783,月間集計シート!Q$113:Q$132)*AO$2</f>
        <v>0</v>
      </c>
      <c r="AP783" s="88">
        <f>SUMIF(月間集計シート!$M$113:$M$132,$G783,月間集計シート!R$113:R$132)*AP$2</f>
        <v>0</v>
      </c>
      <c r="AQ783" s="88">
        <f>SUMIF(月間集計シート!$M$113:$M$132,$G783,月間集計シート!S$113:S$132)*AQ$2</f>
        <v>0</v>
      </c>
      <c r="AR783" s="88">
        <f>SUMIF(月間集計シート!$M$113:$M$132,$G783,月間集計シート!T$113:T$132)*AR$2</f>
        <v>0</v>
      </c>
      <c r="AS783" s="88">
        <f>SUMIF(月間集計シート!$M$134:$M$153,$G783,月間集計シート!N$134:N$153)*AS$2</f>
        <v>0</v>
      </c>
      <c r="AT783" s="88">
        <f>SUMIF(月間集計シート!$M$134:$M$153,$G783,月間集計シート!O$134:O$153)*AT$2</f>
        <v>0</v>
      </c>
      <c r="AU783" s="88">
        <f>SUMIF(月間集計シート!$M$134:$M$153,$G783,月間集計シート!P$134:P$153)*AU$2</f>
        <v>0</v>
      </c>
      <c r="AV783" s="88">
        <f>SUMIF(月間集計シート!$M$134:$M$153,$G783,月間集計シート!Q$134:Q$153)*AV$2</f>
        <v>0</v>
      </c>
      <c r="AW783" s="88">
        <f>SUMIF(月間集計シート!$M$134:$M$153,$G783,月間集計シート!R$134:R$153)*AW$2</f>
        <v>0</v>
      </c>
      <c r="AX783" s="88">
        <f>SUMIF(月間集計シート!$M$134:$M$153,$G783,月間集計シート!S$134:S$153)*AX$2</f>
        <v>0</v>
      </c>
      <c r="AY783" s="88">
        <f>SUMIF(月間集計シート!$M$134:$M$153,$G783,月間集計シート!T$134:T$153)*AY$2</f>
        <v>0</v>
      </c>
    </row>
    <row r="784" spans="1:51" ht="14.25" thickBot="1">
      <c r="A784">
        <v>10</v>
      </c>
      <c r="B784" s="120">
        <f t="shared" si="411"/>
        <v>0</v>
      </c>
      <c r="C784" s="120" t="str">
        <f t="shared" si="412"/>
        <v/>
      </c>
      <c r="D784" s="137"/>
      <c r="E784" s="150" t="str">
        <f>工種!A11</f>
        <v>20107</v>
      </c>
      <c r="F784" s="119" t="str">
        <f>工種!B11</f>
        <v>設計：その他の設計書作成</v>
      </c>
      <c r="G784" s="116" t="str">
        <f t="shared" si="360"/>
        <v>020107</v>
      </c>
      <c r="H784" s="88">
        <f t="shared" si="367"/>
        <v>0</v>
      </c>
      <c r="I784" s="132"/>
      <c r="J784" s="88">
        <f>SUMIF(月間集計シート!$M$29:$M$48,$G784,月間集計シート!N$29:N$48)*J$2</f>
        <v>0</v>
      </c>
      <c r="K784" s="88">
        <f>SUMIF(月間集計シート!$M$29:$M$48,$G784,月間集計シート!O$29:O$48)*K$2</f>
        <v>0</v>
      </c>
      <c r="L784" s="88">
        <f>SUMIF(月間集計シート!$M$29:$M$48,$G784,月間集計シート!P$29:P$48)*L$2</f>
        <v>0</v>
      </c>
      <c r="M784" s="88">
        <f>SUMIF(月間集計シート!$M$29:$M$48,$G784,月間集計シート!Q$29:Q$48)*M$2</f>
        <v>0</v>
      </c>
      <c r="N784" s="88">
        <f>SUMIF(月間集計シート!$M$29:$M$48,$G784,月間集計シート!R$29:R$48)*N$2</f>
        <v>0</v>
      </c>
      <c r="O784" s="88">
        <f>SUMIF(月間集計シート!$M$29:$M$48,$G784,月間集計シート!S$29:S$48)*O$2</f>
        <v>0</v>
      </c>
      <c r="P784" s="88">
        <f>SUMIF(月間集計シート!$M$29:$M$48,$G784,月間集計シート!T$29:T$48)*P$2</f>
        <v>0</v>
      </c>
      <c r="Q784" s="88">
        <f>SUMIF(月間集計シート!$M$50:$M$69,$G784,月間集計シート!N$50:N$69)*Q$2</f>
        <v>0</v>
      </c>
      <c r="R784" s="88">
        <f>SUMIF(月間集計シート!$M$50:$M$69,$G784,月間集計シート!O$50:O$69)*R$2</f>
        <v>0</v>
      </c>
      <c r="S784" s="88">
        <f>SUMIF(月間集計シート!$M$50:$M$69,$G784,月間集計シート!P$50:P$69)*S$2</f>
        <v>0</v>
      </c>
      <c r="T784" s="88">
        <f>SUMIF(月間集計シート!$M$50:$M$69,$G784,月間集計シート!Q$50:Q$69)*T$2</f>
        <v>0</v>
      </c>
      <c r="U784" s="88">
        <f>SUMIF(月間集計シート!$M$50:$M$69,$G784,月間集計シート!R$50:R$69)*U$2</f>
        <v>0</v>
      </c>
      <c r="V784" s="88">
        <f>SUMIF(月間集計シート!$M$50:$M$69,$G784,月間集計シート!S$50:S$69)*V$2</f>
        <v>0</v>
      </c>
      <c r="W784" s="88">
        <f>SUMIF(月間集計シート!$M$50:$M$69,$G784,月間集計シート!T$50:T$69)*W$2</f>
        <v>0</v>
      </c>
      <c r="X784" s="88">
        <f>SUMIF(月間集計シート!$M$71:$M$90,$G784,月間集計シート!N$71:N$90)*X$2</f>
        <v>0</v>
      </c>
      <c r="Y784" s="88">
        <f>SUMIF(月間集計シート!$M$71:$M$90,$G784,月間集計シート!O$71:O$90)*Y$2</f>
        <v>0</v>
      </c>
      <c r="Z784" s="88">
        <f>SUMIF(月間集計シート!$M$71:$M$90,$G784,月間集計シート!P$71:P$90)*Z$2</f>
        <v>0</v>
      </c>
      <c r="AA784" s="88">
        <f>SUMIF(月間集計シート!$M$71:$M$90,$G784,月間集計シート!Q$71:Q$90)*AA$2</f>
        <v>0</v>
      </c>
      <c r="AB784" s="88">
        <f>SUMIF(月間集計シート!$M$71:$M$90,$G784,月間集計シート!R$71:R$90)*AB$2</f>
        <v>0</v>
      </c>
      <c r="AC784" s="88">
        <f>SUMIF(月間集計シート!$M$71:$M$90,$G784,月間集計シート!S$71:S$90)*AC$2</f>
        <v>0</v>
      </c>
      <c r="AD784" s="88">
        <f>SUMIF(月間集計シート!$M$71:$M$90,$G784,月間集計シート!T$71:T$90)*AD$2</f>
        <v>0</v>
      </c>
      <c r="AE784" s="88">
        <f>SUMIF(月間集計シート!$M$92:$M$111,$G784,月間集計シート!N$92:N$111)*AE$2</f>
        <v>0</v>
      </c>
      <c r="AF784" s="88">
        <f>SUMIF(月間集計シート!$M$92:$M$111,$G784,月間集計シート!O$92:O$111)*AF$2</f>
        <v>0</v>
      </c>
      <c r="AG784" s="88">
        <f>SUMIF(月間集計シート!$M$92:$M$111,$G784,月間集計シート!P$92:P$111)*AG$2</f>
        <v>0</v>
      </c>
      <c r="AH784" s="88">
        <f>SUMIF(月間集計シート!$M$92:$M$111,$G784,月間集計シート!Q$92:Q$111)*AH$2</f>
        <v>0</v>
      </c>
      <c r="AI784" s="88">
        <f>SUMIF(月間集計シート!$M$92:$M$111,$G784,月間集計シート!R$92:R$111)*AI$2</f>
        <v>0</v>
      </c>
      <c r="AJ784" s="88">
        <f>SUMIF(月間集計シート!$M$92:$M$111,$G784,月間集計シート!S$92:S$111)*AJ$2</f>
        <v>0</v>
      </c>
      <c r="AK784" s="88">
        <f>SUMIF(月間集計シート!$M$92:$M$111,$G784,月間集計シート!T$92:T$111)*AK$2</f>
        <v>0</v>
      </c>
      <c r="AL784" s="88">
        <f>SUMIF(月間集計シート!$M$113:$M$132,$G784,月間集計シート!N$113:N$132)*AL$2</f>
        <v>0</v>
      </c>
      <c r="AM784" s="88">
        <f>SUMIF(月間集計シート!$M$113:$M$132,$G784,月間集計シート!O$113:O$132)*AM$2</f>
        <v>0</v>
      </c>
      <c r="AN784" s="88">
        <f>SUMIF(月間集計シート!$M$113:$M$132,$G784,月間集計シート!P$113:P$132)*AN$2</f>
        <v>0</v>
      </c>
      <c r="AO784" s="88">
        <f>SUMIF(月間集計シート!$M$113:$M$132,$G784,月間集計シート!Q$113:Q$132)*AO$2</f>
        <v>0</v>
      </c>
      <c r="AP784" s="88">
        <f>SUMIF(月間集計シート!$M$113:$M$132,$G784,月間集計シート!R$113:R$132)*AP$2</f>
        <v>0</v>
      </c>
      <c r="AQ784" s="88">
        <f>SUMIF(月間集計シート!$M$113:$M$132,$G784,月間集計シート!S$113:S$132)*AQ$2</f>
        <v>0</v>
      </c>
      <c r="AR784" s="88">
        <f>SUMIF(月間集計シート!$M$113:$M$132,$G784,月間集計シート!T$113:T$132)*AR$2</f>
        <v>0</v>
      </c>
      <c r="AS784" s="88">
        <f>SUMIF(月間集計シート!$M$134:$M$153,$G784,月間集計シート!N$134:N$153)*AS$2</f>
        <v>0</v>
      </c>
      <c r="AT784" s="88">
        <f>SUMIF(月間集計シート!$M$134:$M$153,$G784,月間集計シート!O$134:O$153)*AT$2</f>
        <v>0</v>
      </c>
      <c r="AU784" s="88">
        <f>SUMIF(月間集計シート!$M$134:$M$153,$G784,月間集計シート!P$134:P$153)*AU$2</f>
        <v>0</v>
      </c>
      <c r="AV784" s="88">
        <f>SUMIF(月間集計シート!$M$134:$M$153,$G784,月間集計シート!Q$134:Q$153)*AV$2</f>
        <v>0</v>
      </c>
      <c r="AW784" s="88">
        <f>SUMIF(月間集計シート!$M$134:$M$153,$G784,月間集計シート!R$134:R$153)*AW$2</f>
        <v>0</v>
      </c>
      <c r="AX784" s="88">
        <f>SUMIF(月間集計シート!$M$134:$M$153,$G784,月間集計シート!S$134:S$153)*AX$2</f>
        <v>0</v>
      </c>
      <c r="AY784" s="88">
        <f>SUMIF(月間集計シート!$M$134:$M$153,$G784,月間集計シート!T$134:T$153)*AY$2</f>
        <v>0</v>
      </c>
    </row>
    <row r="785" spans="1:51" ht="14.25" thickBot="1">
      <c r="A785">
        <v>10</v>
      </c>
      <c r="B785" s="120">
        <f t="shared" si="411"/>
        <v>0</v>
      </c>
      <c r="C785" s="120" t="str">
        <f t="shared" si="412"/>
        <v/>
      </c>
      <c r="D785" s="137"/>
      <c r="E785" s="150" t="str">
        <f>工種!A12</f>
        <v>20108</v>
      </c>
      <c r="F785" s="119" t="str">
        <f>工種!B12</f>
        <v>設計：レビュー</v>
      </c>
      <c r="G785" s="116" t="str">
        <f t="shared" ref="G785:G870" si="413">B785&amp;E785</f>
        <v>020108</v>
      </c>
      <c r="H785" s="88">
        <f t="shared" si="367"/>
        <v>0</v>
      </c>
      <c r="I785" s="132"/>
      <c r="J785" s="88">
        <f>SUMIF(月間集計シート!$M$29:$M$48,$G785,月間集計シート!N$29:N$48)*J$2</f>
        <v>0</v>
      </c>
      <c r="K785" s="88">
        <f>SUMIF(月間集計シート!$M$29:$M$48,$G785,月間集計シート!O$29:O$48)*K$2</f>
        <v>0</v>
      </c>
      <c r="L785" s="88">
        <f>SUMIF(月間集計シート!$M$29:$M$48,$G785,月間集計シート!P$29:P$48)*L$2</f>
        <v>0</v>
      </c>
      <c r="M785" s="88">
        <f>SUMIF(月間集計シート!$M$29:$M$48,$G785,月間集計シート!Q$29:Q$48)*M$2</f>
        <v>0</v>
      </c>
      <c r="N785" s="88">
        <f>SUMIF(月間集計シート!$M$29:$M$48,$G785,月間集計シート!R$29:R$48)*N$2</f>
        <v>0</v>
      </c>
      <c r="O785" s="88">
        <f>SUMIF(月間集計シート!$M$29:$M$48,$G785,月間集計シート!S$29:S$48)*O$2</f>
        <v>0</v>
      </c>
      <c r="P785" s="88">
        <f>SUMIF(月間集計シート!$M$29:$M$48,$G785,月間集計シート!T$29:T$48)*P$2</f>
        <v>0</v>
      </c>
      <c r="Q785" s="88">
        <f>SUMIF(月間集計シート!$M$50:$M$69,$G785,月間集計シート!N$50:N$69)*Q$2</f>
        <v>0</v>
      </c>
      <c r="R785" s="88">
        <f>SUMIF(月間集計シート!$M$50:$M$69,$G785,月間集計シート!O$50:O$69)*R$2</f>
        <v>0</v>
      </c>
      <c r="S785" s="88">
        <f>SUMIF(月間集計シート!$M$50:$M$69,$G785,月間集計シート!P$50:P$69)*S$2</f>
        <v>0</v>
      </c>
      <c r="T785" s="88">
        <f>SUMIF(月間集計シート!$M$50:$M$69,$G785,月間集計シート!Q$50:Q$69)*T$2</f>
        <v>0</v>
      </c>
      <c r="U785" s="88">
        <f>SUMIF(月間集計シート!$M$50:$M$69,$G785,月間集計シート!R$50:R$69)*U$2</f>
        <v>0</v>
      </c>
      <c r="V785" s="88">
        <f>SUMIF(月間集計シート!$M$50:$M$69,$G785,月間集計シート!S$50:S$69)*V$2</f>
        <v>0</v>
      </c>
      <c r="W785" s="88">
        <f>SUMIF(月間集計シート!$M$50:$M$69,$G785,月間集計シート!T$50:T$69)*W$2</f>
        <v>0</v>
      </c>
      <c r="X785" s="88">
        <f>SUMIF(月間集計シート!$M$71:$M$90,$G785,月間集計シート!N$71:N$90)*X$2</f>
        <v>0</v>
      </c>
      <c r="Y785" s="88">
        <f>SUMIF(月間集計シート!$M$71:$M$90,$G785,月間集計シート!O$71:O$90)*Y$2</f>
        <v>0</v>
      </c>
      <c r="Z785" s="88">
        <f>SUMIF(月間集計シート!$M$71:$M$90,$G785,月間集計シート!P$71:P$90)*Z$2</f>
        <v>0</v>
      </c>
      <c r="AA785" s="88">
        <f>SUMIF(月間集計シート!$M$71:$M$90,$G785,月間集計シート!Q$71:Q$90)*AA$2</f>
        <v>0</v>
      </c>
      <c r="AB785" s="88">
        <f>SUMIF(月間集計シート!$M$71:$M$90,$G785,月間集計シート!R$71:R$90)*AB$2</f>
        <v>0</v>
      </c>
      <c r="AC785" s="88">
        <f>SUMIF(月間集計シート!$M$71:$M$90,$G785,月間集計シート!S$71:S$90)*AC$2</f>
        <v>0</v>
      </c>
      <c r="AD785" s="88">
        <f>SUMIF(月間集計シート!$M$71:$M$90,$G785,月間集計シート!T$71:T$90)*AD$2</f>
        <v>0</v>
      </c>
      <c r="AE785" s="88">
        <f>SUMIF(月間集計シート!$M$92:$M$111,$G785,月間集計シート!N$92:N$111)*AE$2</f>
        <v>0</v>
      </c>
      <c r="AF785" s="88">
        <f>SUMIF(月間集計シート!$M$92:$M$111,$G785,月間集計シート!O$92:O$111)*AF$2</f>
        <v>0</v>
      </c>
      <c r="AG785" s="88">
        <f>SUMIF(月間集計シート!$M$92:$M$111,$G785,月間集計シート!P$92:P$111)*AG$2</f>
        <v>0</v>
      </c>
      <c r="AH785" s="88">
        <f>SUMIF(月間集計シート!$M$92:$M$111,$G785,月間集計シート!Q$92:Q$111)*AH$2</f>
        <v>0</v>
      </c>
      <c r="AI785" s="88">
        <f>SUMIF(月間集計シート!$M$92:$M$111,$G785,月間集計シート!R$92:R$111)*AI$2</f>
        <v>0</v>
      </c>
      <c r="AJ785" s="88">
        <f>SUMIF(月間集計シート!$M$92:$M$111,$G785,月間集計シート!S$92:S$111)*AJ$2</f>
        <v>0</v>
      </c>
      <c r="AK785" s="88">
        <f>SUMIF(月間集計シート!$M$92:$M$111,$G785,月間集計シート!T$92:T$111)*AK$2</f>
        <v>0</v>
      </c>
      <c r="AL785" s="88">
        <f>SUMIF(月間集計シート!$M$113:$M$132,$G785,月間集計シート!N$113:N$132)*AL$2</f>
        <v>0</v>
      </c>
      <c r="AM785" s="88">
        <f>SUMIF(月間集計シート!$M$113:$M$132,$G785,月間集計シート!O$113:O$132)*AM$2</f>
        <v>0</v>
      </c>
      <c r="AN785" s="88">
        <f>SUMIF(月間集計シート!$M$113:$M$132,$G785,月間集計シート!P$113:P$132)*AN$2</f>
        <v>0</v>
      </c>
      <c r="AO785" s="88">
        <f>SUMIF(月間集計シート!$M$113:$M$132,$G785,月間集計シート!Q$113:Q$132)*AO$2</f>
        <v>0</v>
      </c>
      <c r="AP785" s="88">
        <f>SUMIF(月間集計シート!$M$113:$M$132,$G785,月間集計シート!R$113:R$132)*AP$2</f>
        <v>0</v>
      </c>
      <c r="AQ785" s="88">
        <f>SUMIF(月間集計シート!$M$113:$M$132,$G785,月間集計シート!S$113:S$132)*AQ$2</f>
        <v>0</v>
      </c>
      <c r="AR785" s="88">
        <f>SUMIF(月間集計シート!$M$113:$M$132,$G785,月間集計シート!T$113:T$132)*AR$2</f>
        <v>0</v>
      </c>
      <c r="AS785" s="88">
        <f>SUMIF(月間集計シート!$M$134:$M$153,$G785,月間集計シート!N$134:N$153)*AS$2</f>
        <v>0</v>
      </c>
      <c r="AT785" s="88">
        <f>SUMIF(月間集計シート!$M$134:$M$153,$G785,月間集計シート!O$134:O$153)*AT$2</f>
        <v>0</v>
      </c>
      <c r="AU785" s="88">
        <f>SUMIF(月間集計シート!$M$134:$M$153,$G785,月間集計シート!P$134:P$153)*AU$2</f>
        <v>0</v>
      </c>
      <c r="AV785" s="88">
        <f>SUMIF(月間集計シート!$M$134:$M$153,$G785,月間集計シート!Q$134:Q$153)*AV$2</f>
        <v>0</v>
      </c>
      <c r="AW785" s="88">
        <f>SUMIF(月間集計シート!$M$134:$M$153,$G785,月間集計シート!R$134:R$153)*AW$2</f>
        <v>0</v>
      </c>
      <c r="AX785" s="88">
        <f>SUMIF(月間集計シート!$M$134:$M$153,$G785,月間集計シート!S$134:S$153)*AX$2</f>
        <v>0</v>
      </c>
      <c r="AY785" s="88">
        <f>SUMIF(月間集計シート!$M$134:$M$153,$G785,月間集計シート!T$134:T$153)*AY$2</f>
        <v>0</v>
      </c>
    </row>
    <row r="786" spans="1:51" ht="14.25" thickBot="1">
      <c r="A786">
        <v>10</v>
      </c>
      <c r="B786" s="120">
        <f t="shared" si="411"/>
        <v>0</v>
      </c>
      <c r="C786" s="120" t="str">
        <f t="shared" si="412"/>
        <v/>
      </c>
      <c r="D786" s="137"/>
      <c r="E786" s="150" t="str">
        <f>工種!A13</f>
        <v>20109</v>
      </c>
      <c r="F786" s="119" t="str">
        <f>工種!B13</f>
        <v>設計：QA対応</v>
      </c>
      <c r="G786" s="116" t="str">
        <f t="shared" si="413"/>
        <v>020109</v>
      </c>
      <c r="H786" s="88">
        <f t="shared" si="367"/>
        <v>0</v>
      </c>
      <c r="I786" s="132"/>
      <c r="J786" s="88">
        <f>SUMIF(月間集計シート!$M$29:$M$48,$G786,月間集計シート!N$29:N$48)*J$2</f>
        <v>0</v>
      </c>
      <c r="K786" s="88">
        <f>SUMIF(月間集計シート!$M$29:$M$48,$G786,月間集計シート!O$29:O$48)*K$2</f>
        <v>0</v>
      </c>
      <c r="L786" s="88">
        <f>SUMIF(月間集計シート!$M$29:$M$48,$G786,月間集計シート!P$29:P$48)*L$2</f>
        <v>0</v>
      </c>
      <c r="M786" s="88">
        <f>SUMIF(月間集計シート!$M$29:$M$48,$G786,月間集計シート!Q$29:Q$48)*M$2</f>
        <v>0</v>
      </c>
      <c r="N786" s="88">
        <f>SUMIF(月間集計シート!$M$29:$M$48,$G786,月間集計シート!R$29:R$48)*N$2</f>
        <v>0</v>
      </c>
      <c r="O786" s="88">
        <f>SUMIF(月間集計シート!$M$29:$M$48,$G786,月間集計シート!S$29:S$48)*O$2</f>
        <v>0</v>
      </c>
      <c r="P786" s="88">
        <f>SUMIF(月間集計シート!$M$29:$M$48,$G786,月間集計シート!T$29:T$48)*P$2</f>
        <v>0</v>
      </c>
      <c r="Q786" s="88">
        <f>SUMIF(月間集計シート!$M$50:$M$69,$G786,月間集計シート!N$50:N$69)*Q$2</f>
        <v>0</v>
      </c>
      <c r="R786" s="88">
        <f>SUMIF(月間集計シート!$M$50:$M$69,$G786,月間集計シート!O$50:O$69)*R$2</f>
        <v>0</v>
      </c>
      <c r="S786" s="88">
        <f>SUMIF(月間集計シート!$M$50:$M$69,$G786,月間集計シート!P$50:P$69)*S$2</f>
        <v>0</v>
      </c>
      <c r="T786" s="88">
        <f>SUMIF(月間集計シート!$M$50:$M$69,$G786,月間集計シート!Q$50:Q$69)*T$2</f>
        <v>0</v>
      </c>
      <c r="U786" s="88">
        <f>SUMIF(月間集計シート!$M$50:$M$69,$G786,月間集計シート!R$50:R$69)*U$2</f>
        <v>0</v>
      </c>
      <c r="V786" s="88">
        <f>SUMIF(月間集計シート!$M$50:$M$69,$G786,月間集計シート!S$50:S$69)*V$2</f>
        <v>0</v>
      </c>
      <c r="W786" s="88">
        <f>SUMIF(月間集計シート!$M$50:$M$69,$G786,月間集計シート!T$50:T$69)*W$2</f>
        <v>0</v>
      </c>
      <c r="X786" s="88">
        <f>SUMIF(月間集計シート!$M$71:$M$90,$G786,月間集計シート!N$71:N$90)*X$2</f>
        <v>0</v>
      </c>
      <c r="Y786" s="88">
        <f>SUMIF(月間集計シート!$M$71:$M$90,$G786,月間集計シート!O$71:O$90)*Y$2</f>
        <v>0</v>
      </c>
      <c r="Z786" s="88">
        <f>SUMIF(月間集計シート!$M$71:$M$90,$G786,月間集計シート!P$71:P$90)*Z$2</f>
        <v>0</v>
      </c>
      <c r="AA786" s="88">
        <f>SUMIF(月間集計シート!$M$71:$M$90,$G786,月間集計シート!Q$71:Q$90)*AA$2</f>
        <v>0</v>
      </c>
      <c r="AB786" s="88">
        <f>SUMIF(月間集計シート!$M$71:$M$90,$G786,月間集計シート!R$71:R$90)*AB$2</f>
        <v>0</v>
      </c>
      <c r="AC786" s="88">
        <f>SUMIF(月間集計シート!$M$71:$M$90,$G786,月間集計シート!S$71:S$90)*AC$2</f>
        <v>0</v>
      </c>
      <c r="AD786" s="88">
        <f>SUMIF(月間集計シート!$M$71:$M$90,$G786,月間集計シート!T$71:T$90)*AD$2</f>
        <v>0</v>
      </c>
      <c r="AE786" s="88">
        <f>SUMIF(月間集計シート!$M$92:$M$111,$G786,月間集計シート!N$92:N$111)*AE$2</f>
        <v>0</v>
      </c>
      <c r="AF786" s="88">
        <f>SUMIF(月間集計シート!$M$92:$M$111,$G786,月間集計シート!O$92:O$111)*AF$2</f>
        <v>0</v>
      </c>
      <c r="AG786" s="88">
        <f>SUMIF(月間集計シート!$M$92:$M$111,$G786,月間集計シート!P$92:P$111)*AG$2</f>
        <v>0</v>
      </c>
      <c r="AH786" s="88">
        <f>SUMIF(月間集計シート!$M$92:$M$111,$G786,月間集計シート!Q$92:Q$111)*AH$2</f>
        <v>0</v>
      </c>
      <c r="AI786" s="88">
        <f>SUMIF(月間集計シート!$M$92:$M$111,$G786,月間集計シート!R$92:R$111)*AI$2</f>
        <v>0</v>
      </c>
      <c r="AJ786" s="88">
        <f>SUMIF(月間集計シート!$M$92:$M$111,$G786,月間集計シート!S$92:S$111)*AJ$2</f>
        <v>0</v>
      </c>
      <c r="AK786" s="88">
        <f>SUMIF(月間集計シート!$M$92:$M$111,$G786,月間集計シート!T$92:T$111)*AK$2</f>
        <v>0</v>
      </c>
      <c r="AL786" s="88">
        <f>SUMIF(月間集計シート!$M$113:$M$132,$G786,月間集計シート!N$113:N$132)*AL$2</f>
        <v>0</v>
      </c>
      <c r="AM786" s="88">
        <f>SUMIF(月間集計シート!$M$113:$M$132,$G786,月間集計シート!O$113:O$132)*AM$2</f>
        <v>0</v>
      </c>
      <c r="AN786" s="88">
        <f>SUMIF(月間集計シート!$M$113:$M$132,$G786,月間集計シート!P$113:P$132)*AN$2</f>
        <v>0</v>
      </c>
      <c r="AO786" s="88">
        <f>SUMIF(月間集計シート!$M$113:$M$132,$G786,月間集計シート!Q$113:Q$132)*AO$2</f>
        <v>0</v>
      </c>
      <c r="AP786" s="88">
        <f>SUMIF(月間集計シート!$M$113:$M$132,$G786,月間集計シート!R$113:R$132)*AP$2</f>
        <v>0</v>
      </c>
      <c r="AQ786" s="88">
        <f>SUMIF(月間集計シート!$M$113:$M$132,$G786,月間集計シート!S$113:S$132)*AQ$2</f>
        <v>0</v>
      </c>
      <c r="AR786" s="88">
        <f>SUMIF(月間集計シート!$M$113:$M$132,$G786,月間集計シート!T$113:T$132)*AR$2</f>
        <v>0</v>
      </c>
      <c r="AS786" s="88">
        <f>SUMIF(月間集計シート!$M$134:$M$153,$G786,月間集計シート!N$134:N$153)*AS$2</f>
        <v>0</v>
      </c>
      <c r="AT786" s="88">
        <f>SUMIF(月間集計シート!$M$134:$M$153,$G786,月間集計シート!O$134:O$153)*AT$2</f>
        <v>0</v>
      </c>
      <c r="AU786" s="88">
        <f>SUMIF(月間集計シート!$M$134:$M$153,$G786,月間集計シート!P$134:P$153)*AU$2</f>
        <v>0</v>
      </c>
      <c r="AV786" s="88">
        <f>SUMIF(月間集計シート!$M$134:$M$153,$G786,月間集計シート!Q$134:Q$153)*AV$2</f>
        <v>0</v>
      </c>
      <c r="AW786" s="88">
        <f>SUMIF(月間集計シート!$M$134:$M$153,$G786,月間集計シート!R$134:R$153)*AW$2</f>
        <v>0</v>
      </c>
      <c r="AX786" s="88">
        <f>SUMIF(月間集計シート!$M$134:$M$153,$G786,月間集計シート!S$134:S$153)*AX$2</f>
        <v>0</v>
      </c>
      <c r="AY786" s="88">
        <f>SUMIF(月間集計シート!$M$134:$M$153,$G786,月間集計シート!T$134:T$153)*AY$2</f>
        <v>0</v>
      </c>
    </row>
    <row r="787" spans="1:51" ht="14.25" thickBot="1">
      <c r="A787">
        <v>10</v>
      </c>
      <c r="B787" s="120">
        <f t="shared" si="411"/>
        <v>0</v>
      </c>
      <c r="C787" s="120" t="str">
        <f t="shared" si="412"/>
        <v/>
      </c>
      <c r="D787" s="137"/>
      <c r="E787" s="150" t="str">
        <f>工種!A14</f>
        <v>20199</v>
      </c>
      <c r="F787" s="119" t="str">
        <f>工種!B14</f>
        <v>設計：その他</v>
      </c>
      <c r="G787" s="116" t="str">
        <f t="shared" si="413"/>
        <v>020199</v>
      </c>
      <c r="H787" s="88">
        <f t="shared" si="367"/>
        <v>0</v>
      </c>
      <c r="I787" s="132"/>
      <c r="J787" s="88">
        <f>SUMIF(月間集計シート!$M$29:$M$48,$G787,月間集計シート!N$29:N$48)*J$2</f>
        <v>0</v>
      </c>
      <c r="K787" s="88">
        <f>SUMIF(月間集計シート!$M$29:$M$48,$G787,月間集計シート!O$29:O$48)*K$2</f>
        <v>0</v>
      </c>
      <c r="L787" s="88">
        <f>SUMIF(月間集計シート!$M$29:$M$48,$G787,月間集計シート!P$29:P$48)*L$2</f>
        <v>0</v>
      </c>
      <c r="M787" s="88">
        <f>SUMIF(月間集計シート!$M$29:$M$48,$G787,月間集計シート!Q$29:Q$48)*M$2</f>
        <v>0</v>
      </c>
      <c r="N787" s="88">
        <f>SUMIF(月間集計シート!$M$29:$M$48,$G787,月間集計シート!R$29:R$48)*N$2</f>
        <v>0</v>
      </c>
      <c r="O787" s="88">
        <f>SUMIF(月間集計シート!$M$29:$M$48,$G787,月間集計シート!S$29:S$48)*O$2</f>
        <v>0</v>
      </c>
      <c r="P787" s="88">
        <f>SUMIF(月間集計シート!$M$29:$M$48,$G787,月間集計シート!T$29:T$48)*P$2</f>
        <v>0</v>
      </c>
      <c r="Q787" s="88">
        <f>SUMIF(月間集計シート!$M$50:$M$69,$G787,月間集計シート!N$50:N$69)*Q$2</f>
        <v>0</v>
      </c>
      <c r="R787" s="88">
        <f>SUMIF(月間集計シート!$M$50:$M$69,$G787,月間集計シート!O$50:O$69)*R$2</f>
        <v>0</v>
      </c>
      <c r="S787" s="88">
        <f>SUMIF(月間集計シート!$M$50:$M$69,$G787,月間集計シート!P$50:P$69)*S$2</f>
        <v>0</v>
      </c>
      <c r="T787" s="88">
        <f>SUMIF(月間集計シート!$M$50:$M$69,$G787,月間集計シート!Q$50:Q$69)*T$2</f>
        <v>0</v>
      </c>
      <c r="U787" s="88">
        <f>SUMIF(月間集計シート!$M$50:$M$69,$G787,月間集計シート!R$50:R$69)*U$2</f>
        <v>0</v>
      </c>
      <c r="V787" s="88">
        <f>SUMIF(月間集計シート!$M$50:$M$69,$G787,月間集計シート!S$50:S$69)*V$2</f>
        <v>0</v>
      </c>
      <c r="W787" s="88">
        <f>SUMIF(月間集計シート!$M$50:$M$69,$G787,月間集計シート!T$50:T$69)*W$2</f>
        <v>0</v>
      </c>
      <c r="X787" s="88">
        <f>SUMIF(月間集計シート!$M$71:$M$90,$G787,月間集計シート!N$71:N$90)*X$2</f>
        <v>0</v>
      </c>
      <c r="Y787" s="88">
        <f>SUMIF(月間集計シート!$M$71:$M$90,$G787,月間集計シート!O$71:O$90)*Y$2</f>
        <v>0</v>
      </c>
      <c r="Z787" s="88">
        <f>SUMIF(月間集計シート!$M$71:$M$90,$G787,月間集計シート!P$71:P$90)*Z$2</f>
        <v>0</v>
      </c>
      <c r="AA787" s="88">
        <f>SUMIF(月間集計シート!$M$71:$M$90,$G787,月間集計シート!Q$71:Q$90)*AA$2</f>
        <v>0</v>
      </c>
      <c r="AB787" s="88">
        <f>SUMIF(月間集計シート!$M$71:$M$90,$G787,月間集計シート!R$71:R$90)*AB$2</f>
        <v>0</v>
      </c>
      <c r="AC787" s="88">
        <f>SUMIF(月間集計シート!$M$71:$M$90,$G787,月間集計シート!S$71:S$90)*AC$2</f>
        <v>0</v>
      </c>
      <c r="AD787" s="88">
        <f>SUMIF(月間集計シート!$M$71:$M$90,$G787,月間集計シート!T$71:T$90)*AD$2</f>
        <v>0</v>
      </c>
      <c r="AE787" s="88">
        <f>SUMIF(月間集計シート!$M$92:$M$111,$G787,月間集計シート!N$92:N$111)*AE$2</f>
        <v>0</v>
      </c>
      <c r="AF787" s="88">
        <f>SUMIF(月間集計シート!$M$92:$M$111,$G787,月間集計シート!O$92:O$111)*AF$2</f>
        <v>0</v>
      </c>
      <c r="AG787" s="88">
        <f>SUMIF(月間集計シート!$M$92:$M$111,$G787,月間集計シート!P$92:P$111)*AG$2</f>
        <v>0</v>
      </c>
      <c r="AH787" s="88">
        <f>SUMIF(月間集計シート!$M$92:$M$111,$G787,月間集計シート!Q$92:Q$111)*AH$2</f>
        <v>0</v>
      </c>
      <c r="AI787" s="88">
        <f>SUMIF(月間集計シート!$M$92:$M$111,$G787,月間集計シート!R$92:R$111)*AI$2</f>
        <v>0</v>
      </c>
      <c r="AJ787" s="88">
        <f>SUMIF(月間集計シート!$M$92:$M$111,$G787,月間集計シート!S$92:S$111)*AJ$2</f>
        <v>0</v>
      </c>
      <c r="AK787" s="88">
        <f>SUMIF(月間集計シート!$M$92:$M$111,$G787,月間集計シート!T$92:T$111)*AK$2</f>
        <v>0</v>
      </c>
      <c r="AL787" s="88">
        <f>SUMIF(月間集計シート!$M$113:$M$132,$G787,月間集計シート!N$113:N$132)*AL$2</f>
        <v>0</v>
      </c>
      <c r="AM787" s="88">
        <f>SUMIF(月間集計シート!$M$113:$M$132,$G787,月間集計シート!O$113:O$132)*AM$2</f>
        <v>0</v>
      </c>
      <c r="AN787" s="88">
        <f>SUMIF(月間集計シート!$M$113:$M$132,$G787,月間集計シート!P$113:P$132)*AN$2</f>
        <v>0</v>
      </c>
      <c r="AO787" s="88">
        <f>SUMIF(月間集計シート!$M$113:$M$132,$G787,月間集計シート!Q$113:Q$132)*AO$2</f>
        <v>0</v>
      </c>
      <c r="AP787" s="88">
        <f>SUMIF(月間集計シート!$M$113:$M$132,$G787,月間集計シート!R$113:R$132)*AP$2</f>
        <v>0</v>
      </c>
      <c r="AQ787" s="88">
        <f>SUMIF(月間集計シート!$M$113:$M$132,$G787,月間集計シート!S$113:S$132)*AQ$2</f>
        <v>0</v>
      </c>
      <c r="AR787" s="88">
        <f>SUMIF(月間集計シート!$M$113:$M$132,$G787,月間集計シート!T$113:T$132)*AR$2</f>
        <v>0</v>
      </c>
      <c r="AS787" s="88">
        <f>SUMIF(月間集計シート!$M$134:$M$153,$G787,月間集計シート!N$134:N$153)*AS$2</f>
        <v>0</v>
      </c>
      <c r="AT787" s="88">
        <f>SUMIF(月間集計シート!$M$134:$M$153,$G787,月間集計シート!O$134:O$153)*AT$2</f>
        <v>0</v>
      </c>
      <c r="AU787" s="88">
        <f>SUMIF(月間集計シート!$M$134:$M$153,$G787,月間集計シート!P$134:P$153)*AU$2</f>
        <v>0</v>
      </c>
      <c r="AV787" s="88">
        <f>SUMIF(月間集計シート!$M$134:$M$153,$G787,月間集計シート!Q$134:Q$153)*AV$2</f>
        <v>0</v>
      </c>
      <c r="AW787" s="88">
        <f>SUMIF(月間集計シート!$M$134:$M$153,$G787,月間集計シート!R$134:R$153)*AW$2</f>
        <v>0</v>
      </c>
      <c r="AX787" s="88">
        <f>SUMIF(月間集計シート!$M$134:$M$153,$G787,月間集計シート!S$134:S$153)*AX$2</f>
        <v>0</v>
      </c>
      <c r="AY787" s="88">
        <f>SUMIF(月間集計シート!$M$134:$M$153,$G787,月間集計シート!T$134:T$153)*AY$2</f>
        <v>0</v>
      </c>
    </row>
    <row r="788" spans="1:51" ht="14.25" thickBot="1">
      <c r="A788">
        <v>10</v>
      </c>
      <c r="B788" s="120">
        <f t="shared" si="411"/>
        <v>0</v>
      </c>
      <c r="C788" s="120" t="str">
        <f t="shared" si="412"/>
        <v/>
      </c>
      <c r="D788" s="137"/>
      <c r="E788" s="150" t="str">
        <f>工種!A15</f>
        <v>30101</v>
      </c>
      <c r="F788" s="119" t="str">
        <f>工種!B15</f>
        <v>製造：内部設計書作成</v>
      </c>
      <c r="G788" s="116" t="str">
        <f t="shared" si="413"/>
        <v>030101</v>
      </c>
      <c r="H788" s="88">
        <f t="shared" si="367"/>
        <v>0</v>
      </c>
      <c r="I788" s="132"/>
      <c r="J788" s="88">
        <f>SUMIF(月間集計シート!$M$29:$M$48,$G788,月間集計シート!N$29:N$48)*J$2</f>
        <v>0</v>
      </c>
      <c r="K788" s="88">
        <f>SUMIF(月間集計シート!$M$29:$M$48,$G788,月間集計シート!O$29:O$48)*K$2</f>
        <v>0</v>
      </c>
      <c r="L788" s="88">
        <f>SUMIF(月間集計シート!$M$29:$M$48,$G788,月間集計シート!P$29:P$48)*L$2</f>
        <v>0</v>
      </c>
      <c r="M788" s="88">
        <f>SUMIF(月間集計シート!$M$29:$M$48,$G788,月間集計シート!Q$29:Q$48)*M$2</f>
        <v>0</v>
      </c>
      <c r="N788" s="88">
        <f>SUMIF(月間集計シート!$M$29:$M$48,$G788,月間集計シート!R$29:R$48)*N$2</f>
        <v>0</v>
      </c>
      <c r="O788" s="88">
        <f>SUMIF(月間集計シート!$M$29:$M$48,$G788,月間集計シート!S$29:S$48)*O$2</f>
        <v>0</v>
      </c>
      <c r="P788" s="88">
        <f>SUMIF(月間集計シート!$M$29:$M$48,$G788,月間集計シート!T$29:T$48)*P$2</f>
        <v>0</v>
      </c>
      <c r="Q788" s="88">
        <f>SUMIF(月間集計シート!$M$50:$M$69,$G788,月間集計シート!N$50:N$69)*Q$2</f>
        <v>0</v>
      </c>
      <c r="R788" s="88">
        <f>SUMIF(月間集計シート!$M$50:$M$69,$G788,月間集計シート!O$50:O$69)*R$2</f>
        <v>0</v>
      </c>
      <c r="S788" s="88">
        <f>SUMIF(月間集計シート!$M$50:$M$69,$G788,月間集計シート!P$50:P$69)*S$2</f>
        <v>0</v>
      </c>
      <c r="T788" s="88">
        <f>SUMIF(月間集計シート!$M$50:$M$69,$G788,月間集計シート!Q$50:Q$69)*T$2</f>
        <v>0</v>
      </c>
      <c r="U788" s="88">
        <f>SUMIF(月間集計シート!$M$50:$M$69,$G788,月間集計シート!R$50:R$69)*U$2</f>
        <v>0</v>
      </c>
      <c r="V788" s="88">
        <f>SUMIF(月間集計シート!$M$50:$M$69,$G788,月間集計シート!S$50:S$69)*V$2</f>
        <v>0</v>
      </c>
      <c r="W788" s="88">
        <f>SUMIF(月間集計シート!$M$50:$M$69,$G788,月間集計シート!T$50:T$69)*W$2</f>
        <v>0</v>
      </c>
      <c r="X788" s="88">
        <f>SUMIF(月間集計シート!$M$71:$M$90,$G788,月間集計シート!N$71:N$90)*X$2</f>
        <v>0</v>
      </c>
      <c r="Y788" s="88">
        <f>SUMIF(月間集計シート!$M$71:$M$90,$G788,月間集計シート!O$71:O$90)*Y$2</f>
        <v>0</v>
      </c>
      <c r="Z788" s="88">
        <f>SUMIF(月間集計シート!$M$71:$M$90,$G788,月間集計シート!P$71:P$90)*Z$2</f>
        <v>0</v>
      </c>
      <c r="AA788" s="88">
        <f>SUMIF(月間集計シート!$M$71:$M$90,$G788,月間集計シート!Q$71:Q$90)*AA$2</f>
        <v>0</v>
      </c>
      <c r="AB788" s="88">
        <f>SUMIF(月間集計シート!$M$71:$M$90,$G788,月間集計シート!R$71:R$90)*AB$2</f>
        <v>0</v>
      </c>
      <c r="AC788" s="88">
        <f>SUMIF(月間集計シート!$M$71:$M$90,$G788,月間集計シート!S$71:S$90)*AC$2</f>
        <v>0</v>
      </c>
      <c r="AD788" s="88">
        <f>SUMIF(月間集計シート!$M$71:$M$90,$G788,月間集計シート!T$71:T$90)*AD$2</f>
        <v>0</v>
      </c>
      <c r="AE788" s="88">
        <f>SUMIF(月間集計シート!$M$92:$M$111,$G788,月間集計シート!N$92:N$111)*AE$2</f>
        <v>0</v>
      </c>
      <c r="AF788" s="88">
        <f>SUMIF(月間集計シート!$M$92:$M$111,$G788,月間集計シート!O$92:O$111)*AF$2</f>
        <v>0</v>
      </c>
      <c r="AG788" s="88">
        <f>SUMIF(月間集計シート!$M$92:$M$111,$G788,月間集計シート!P$92:P$111)*AG$2</f>
        <v>0</v>
      </c>
      <c r="AH788" s="88">
        <f>SUMIF(月間集計シート!$M$92:$M$111,$G788,月間集計シート!Q$92:Q$111)*AH$2</f>
        <v>0</v>
      </c>
      <c r="AI788" s="88">
        <f>SUMIF(月間集計シート!$M$92:$M$111,$G788,月間集計シート!R$92:R$111)*AI$2</f>
        <v>0</v>
      </c>
      <c r="AJ788" s="88">
        <f>SUMIF(月間集計シート!$M$92:$M$111,$G788,月間集計シート!S$92:S$111)*AJ$2</f>
        <v>0</v>
      </c>
      <c r="AK788" s="88">
        <f>SUMIF(月間集計シート!$M$92:$M$111,$G788,月間集計シート!T$92:T$111)*AK$2</f>
        <v>0</v>
      </c>
      <c r="AL788" s="88">
        <f>SUMIF(月間集計シート!$M$113:$M$132,$G788,月間集計シート!N$113:N$132)*AL$2</f>
        <v>0</v>
      </c>
      <c r="AM788" s="88">
        <f>SUMIF(月間集計シート!$M$113:$M$132,$G788,月間集計シート!O$113:O$132)*AM$2</f>
        <v>0</v>
      </c>
      <c r="AN788" s="88">
        <f>SUMIF(月間集計シート!$M$113:$M$132,$G788,月間集計シート!P$113:P$132)*AN$2</f>
        <v>0</v>
      </c>
      <c r="AO788" s="88">
        <f>SUMIF(月間集計シート!$M$113:$M$132,$G788,月間集計シート!Q$113:Q$132)*AO$2</f>
        <v>0</v>
      </c>
      <c r="AP788" s="88">
        <f>SUMIF(月間集計シート!$M$113:$M$132,$G788,月間集計シート!R$113:R$132)*AP$2</f>
        <v>0</v>
      </c>
      <c r="AQ788" s="88">
        <f>SUMIF(月間集計シート!$M$113:$M$132,$G788,月間集計シート!S$113:S$132)*AQ$2</f>
        <v>0</v>
      </c>
      <c r="AR788" s="88">
        <f>SUMIF(月間集計シート!$M$113:$M$132,$G788,月間集計シート!T$113:T$132)*AR$2</f>
        <v>0</v>
      </c>
      <c r="AS788" s="88">
        <f>SUMIF(月間集計シート!$M$134:$M$153,$G788,月間集計シート!N$134:N$153)*AS$2</f>
        <v>0</v>
      </c>
      <c r="AT788" s="88">
        <f>SUMIF(月間集計シート!$M$134:$M$153,$G788,月間集計シート!O$134:O$153)*AT$2</f>
        <v>0</v>
      </c>
      <c r="AU788" s="88">
        <f>SUMIF(月間集計シート!$M$134:$M$153,$G788,月間集計シート!P$134:P$153)*AU$2</f>
        <v>0</v>
      </c>
      <c r="AV788" s="88">
        <f>SUMIF(月間集計シート!$M$134:$M$153,$G788,月間集計シート!Q$134:Q$153)*AV$2</f>
        <v>0</v>
      </c>
      <c r="AW788" s="88">
        <f>SUMIF(月間集計シート!$M$134:$M$153,$G788,月間集計シート!R$134:R$153)*AW$2</f>
        <v>0</v>
      </c>
      <c r="AX788" s="88">
        <f>SUMIF(月間集計シート!$M$134:$M$153,$G788,月間集計シート!S$134:S$153)*AX$2</f>
        <v>0</v>
      </c>
      <c r="AY788" s="88">
        <f>SUMIF(月間集計シート!$M$134:$M$153,$G788,月間集計シート!T$134:T$153)*AY$2</f>
        <v>0</v>
      </c>
    </row>
    <row r="789" spans="1:51" ht="14.25" thickBot="1">
      <c r="A789">
        <v>10</v>
      </c>
      <c r="B789" s="120">
        <f t="shared" si="411"/>
        <v>0</v>
      </c>
      <c r="C789" s="120" t="str">
        <f t="shared" si="412"/>
        <v/>
      </c>
      <c r="D789" s="137"/>
      <c r="E789" s="150" t="str">
        <f>工種!A16</f>
        <v>30102</v>
      </c>
      <c r="F789" s="119" t="str">
        <f>工種!B16</f>
        <v>製造：コーディング</v>
      </c>
      <c r="G789" s="116" t="str">
        <f t="shared" si="413"/>
        <v>030102</v>
      </c>
      <c r="H789" s="88">
        <f t="shared" si="367"/>
        <v>0</v>
      </c>
      <c r="I789" s="132"/>
      <c r="J789" s="88">
        <f>SUMIF(月間集計シート!$M$29:$M$48,$G789,月間集計シート!N$29:N$48)*J$2</f>
        <v>0</v>
      </c>
      <c r="K789" s="88">
        <f>SUMIF(月間集計シート!$M$29:$M$48,$G789,月間集計シート!O$29:O$48)*K$2</f>
        <v>0</v>
      </c>
      <c r="L789" s="88">
        <f>SUMIF(月間集計シート!$M$29:$M$48,$G789,月間集計シート!P$29:P$48)*L$2</f>
        <v>0</v>
      </c>
      <c r="M789" s="88">
        <f>SUMIF(月間集計シート!$M$29:$M$48,$G789,月間集計シート!Q$29:Q$48)*M$2</f>
        <v>0</v>
      </c>
      <c r="N789" s="88">
        <f>SUMIF(月間集計シート!$M$29:$M$48,$G789,月間集計シート!R$29:R$48)*N$2</f>
        <v>0</v>
      </c>
      <c r="O789" s="88">
        <f>SUMIF(月間集計シート!$M$29:$M$48,$G789,月間集計シート!S$29:S$48)*O$2</f>
        <v>0</v>
      </c>
      <c r="P789" s="88">
        <f>SUMIF(月間集計シート!$M$29:$M$48,$G789,月間集計シート!T$29:T$48)*P$2</f>
        <v>0</v>
      </c>
      <c r="Q789" s="88">
        <f>SUMIF(月間集計シート!$M$50:$M$69,$G789,月間集計シート!N$50:N$69)*Q$2</f>
        <v>0</v>
      </c>
      <c r="R789" s="88">
        <f>SUMIF(月間集計シート!$M$50:$M$69,$G789,月間集計シート!O$50:O$69)*R$2</f>
        <v>0</v>
      </c>
      <c r="S789" s="88">
        <f>SUMIF(月間集計シート!$M$50:$M$69,$G789,月間集計シート!P$50:P$69)*S$2</f>
        <v>0</v>
      </c>
      <c r="T789" s="88">
        <f>SUMIF(月間集計シート!$M$50:$M$69,$G789,月間集計シート!Q$50:Q$69)*T$2</f>
        <v>0</v>
      </c>
      <c r="U789" s="88">
        <f>SUMIF(月間集計シート!$M$50:$M$69,$G789,月間集計シート!R$50:R$69)*U$2</f>
        <v>0</v>
      </c>
      <c r="V789" s="88">
        <f>SUMIF(月間集計シート!$M$50:$M$69,$G789,月間集計シート!S$50:S$69)*V$2</f>
        <v>0</v>
      </c>
      <c r="W789" s="88">
        <f>SUMIF(月間集計シート!$M$50:$M$69,$G789,月間集計シート!T$50:T$69)*W$2</f>
        <v>0</v>
      </c>
      <c r="X789" s="88">
        <f>SUMIF(月間集計シート!$M$71:$M$90,$G789,月間集計シート!N$71:N$90)*X$2</f>
        <v>0</v>
      </c>
      <c r="Y789" s="88">
        <f>SUMIF(月間集計シート!$M$71:$M$90,$G789,月間集計シート!O$71:O$90)*Y$2</f>
        <v>0</v>
      </c>
      <c r="Z789" s="88">
        <f>SUMIF(月間集計シート!$M$71:$M$90,$G789,月間集計シート!P$71:P$90)*Z$2</f>
        <v>0</v>
      </c>
      <c r="AA789" s="88">
        <f>SUMIF(月間集計シート!$M$71:$M$90,$G789,月間集計シート!Q$71:Q$90)*AA$2</f>
        <v>0</v>
      </c>
      <c r="AB789" s="88">
        <f>SUMIF(月間集計シート!$M$71:$M$90,$G789,月間集計シート!R$71:R$90)*AB$2</f>
        <v>0</v>
      </c>
      <c r="AC789" s="88">
        <f>SUMIF(月間集計シート!$M$71:$M$90,$G789,月間集計シート!S$71:S$90)*AC$2</f>
        <v>0</v>
      </c>
      <c r="AD789" s="88">
        <f>SUMIF(月間集計シート!$M$71:$M$90,$G789,月間集計シート!T$71:T$90)*AD$2</f>
        <v>0</v>
      </c>
      <c r="AE789" s="88">
        <f>SUMIF(月間集計シート!$M$92:$M$111,$G789,月間集計シート!N$92:N$111)*AE$2</f>
        <v>0</v>
      </c>
      <c r="AF789" s="88">
        <f>SUMIF(月間集計シート!$M$92:$M$111,$G789,月間集計シート!O$92:O$111)*AF$2</f>
        <v>0</v>
      </c>
      <c r="AG789" s="88">
        <f>SUMIF(月間集計シート!$M$92:$M$111,$G789,月間集計シート!P$92:P$111)*AG$2</f>
        <v>0</v>
      </c>
      <c r="AH789" s="88">
        <f>SUMIF(月間集計シート!$M$92:$M$111,$G789,月間集計シート!Q$92:Q$111)*AH$2</f>
        <v>0</v>
      </c>
      <c r="AI789" s="88">
        <f>SUMIF(月間集計シート!$M$92:$M$111,$G789,月間集計シート!R$92:R$111)*AI$2</f>
        <v>0</v>
      </c>
      <c r="AJ789" s="88">
        <f>SUMIF(月間集計シート!$M$92:$M$111,$G789,月間集計シート!S$92:S$111)*AJ$2</f>
        <v>0</v>
      </c>
      <c r="AK789" s="88">
        <f>SUMIF(月間集計シート!$M$92:$M$111,$G789,月間集計シート!T$92:T$111)*AK$2</f>
        <v>0</v>
      </c>
      <c r="AL789" s="88">
        <f>SUMIF(月間集計シート!$M$113:$M$132,$G789,月間集計シート!N$113:N$132)*AL$2</f>
        <v>0</v>
      </c>
      <c r="AM789" s="88">
        <f>SUMIF(月間集計シート!$M$113:$M$132,$G789,月間集計シート!O$113:O$132)*AM$2</f>
        <v>0</v>
      </c>
      <c r="AN789" s="88">
        <f>SUMIF(月間集計シート!$M$113:$M$132,$G789,月間集計シート!P$113:P$132)*AN$2</f>
        <v>0</v>
      </c>
      <c r="AO789" s="88">
        <f>SUMIF(月間集計シート!$M$113:$M$132,$G789,月間集計シート!Q$113:Q$132)*AO$2</f>
        <v>0</v>
      </c>
      <c r="AP789" s="88">
        <f>SUMIF(月間集計シート!$M$113:$M$132,$G789,月間集計シート!R$113:R$132)*AP$2</f>
        <v>0</v>
      </c>
      <c r="AQ789" s="88">
        <f>SUMIF(月間集計シート!$M$113:$M$132,$G789,月間集計シート!S$113:S$132)*AQ$2</f>
        <v>0</v>
      </c>
      <c r="AR789" s="88">
        <f>SUMIF(月間集計シート!$M$113:$M$132,$G789,月間集計シート!T$113:T$132)*AR$2</f>
        <v>0</v>
      </c>
      <c r="AS789" s="88">
        <f>SUMIF(月間集計シート!$M$134:$M$153,$G789,月間集計シート!N$134:N$153)*AS$2</f>
        <v>0</v>
      </c>
      <c r="AT789" s="88">
        <f>SUMIF(月間集計シート!$M$134:$M$153,$G789,月間集計シート!O$134:O$153)*AT$2</f>
        <v>0</v>
      </c>
      <c r="AU789" s="88">
        <f>SUMIF(月間集計シート!$M$134:$M$153,$G789,月間集計シート!P$134:P$153)*AU$2</f>
        <v>0</v>
      </c>
      <c r="AV789" s="88">
        <f>SUMIF(月間集計シート!$M$134:$M$153,$G789,月間集計シート!Q$134:Q$153)*AV$2</f>
        <v>0</v>
      </c>
      <c r="AW789" s="88">
        <f>SUMIF(月間集計シート!$M$134:$M$153,$G789,月間集計シート!R$134:R$153)*AW$2</f>
        <v>0</v>
      </c>
      <c r="AX789" s="88">
        <f>SUMIF(月間集計シート!$M$134:$M$153,$G789,月間集計シート!S$134:S$153)*AX$2</f>
        <v>0</v>
      </c>
      <c r="AY789" s="88">
        <f>SUMIF(月間集計シート!$M$134:$M$153,$G789,月間集計シート!T$134:T$153)*AY$2</f>
        <v>0</v>
      </c>
    </row>
    <row r="790" spans="1:51" ht="14.25" thickBot="1">
      <c r="A790">
        <v>10</v>
      </c>
      <c r="B790" s="120">
        <f t="shared" si="411"/>
        <v>0</v>
      </c>
      <c r="C790" s="120" t="str">
        <f t="shared" si="412"/>
        <v/>
      </c>
      <c r="D790" s="137"/>
      <c r="E790" s="150" t="str">
        <f>工種!A17</f>
        <v>30103</v>
      </c>
      <c r="F790" s="119" t="str">
        <f>工種!B17</f>
        <v>製造：単体テスト設計書作成</v>
      </c>
      <c r="G790" s="116" t="str">
        <f t="shared" si="413"/>
        <v>030103</v>
      </c>
      <c r="H790" s="88">
        <f t="shared" si="367"/>
        <v>0</v>
      </c>
      <c r="I790" s="132"/>
      <c r="J790" s="88">
        <f>SUMIF(月間集計シート!$M$29:$M$48,$G790,月間集計シート!N$29:N$48)*J$2</f>
        <v>0</v>
      </c>
      <c r="K790" s="88">
        <f>SUMIF(月間集計シート!$M$29:$M$48,$G790,月間集計シート!O$29:O$48)*K$2</f>
        <v>0</v>
      </c>
      <c r="L790" s="88">
        <f>SUMIF(月間集計シート!$M$29:$M$48,$G790,月間集計シート!P$29:P$48)*L$2</f>
        <v>0</v>
      </c>
      <c r="M790" s="88">
        <f>SUMIF(月間集計シート!$M$29:$M$48,$G790,月間集計シート!Q$29:Q$48)*M$2</f>
        <v>0</v>
      </c>
      <c r="N790" s="88">
        <f>SUMIF(月間集計シート!$M$29:$M$48,$G790,月間集計シート!R$29:R$48)*N$2</f>
        <v>0</v>
      </c>
      <c r="O790" s="88">
        <f>SUMIF(月間集計シート!$M$29:$M$48,$G790,月間集計シート!S$29:S$48)*O$2</f>
        <v>0</v>
      </c>
      <c r="P790" s="88">
        <f>SUMIF(月間集計シート!$M$29:$M$48,$G790,月間集計シート!T$29:T$48)*P$2</f>
        <v>0</v>
      </c>
      <c r="Q790" s="88">
        <f>SUMIF(月間集計シート!$M$50:$M$69,$G790,月間集計シート!N$50:N$69)*Q$2</f>
        <v>0</v>
      </c>
      <c r="R790" s="88">
        <f>SUMIF(月間集計シート!$M$50:$M$69,$G790,月間集計シート!O$50:O$69)*R$2</f>
        <v>0</v>
      </c>
      <c r="S790" s="88">
        <f>SUMIF(月間集計シート!$M$50:$M$69,$G790,月間集計シート!P$50:P$69)*S$2</f>
        <v>0</v>
      </c>
      <c r="T790" s="88">
        <f>SUMIF(月間集計シート!$M$50:$M$69,$G790,月間集計シート!Q$50:Q$69)*T$2</f>
        <v>0</v>
      </c>
      <c r="U790" s="88">
        <f>SUMIF(月間集計シート!$M$50:$M$69,$G790,月間集計シート!R$50:R$69)*U$2</f>
        <v>0</v>
      </c>
      <c r="V790" s="88">
        <f>SUMIF(月間集計シート!$M$50:$M$69,$G790,月間集計シート!S$50:S$69)*V$2</f>
        <v>0</v>
      </c>
      <c r="W790" s="88">
        <f>SUMIF(月間集計シート!$M$50:$M$69,$G790,月間集計シート!T$50:T$69)*W$2</f>
        <v>0</v>
      </c>
      <c r="X790" s="88">
        <f>SUMIF(月間集計シート!$M$71:$M$90,$G790,月間集計シート!N$71:N$90)*X$2</f>
        <v>0</v>
      </c>
      <c r="Y790" s="88">
        <f>SUMIF(月間集計シート!$M$71:$M$90,$G790,月間集計シート!O$71:O$90)*Y$2</f>
        <v>0</v>
      </c>
      <c r="Z790" s="88">
        <f>SUMIF(月間集計シート!$M$71:$M$90,$G790,月間集計シート!P$71:P$90)*Z$2</f>
        <v>0</v>
      </c>
      <c r="AA790" s="88">
        <f>SUMIF(月間集計シート!$M$71:$M$90,$G790,月間集計シート!Q$71:Q$90)*AA$2</f>
        <v>0</v>
      </c>
      <c r="AB790" s="88">
        <f>SUMIF(月間集計シート!$M$71:$M$90,$G790,月間集計シート!R$71:R$90)*AB$2</f>
        <v>0</v>
      </c>
      <c r="AC790" s="88">
        <f>SUMIF(月間集計シート!$M$71:$M$90,$G790,月間集計シート!S$71:S$90)*AC$2</f>
        <v>0</v>
      </c>
      <c r="AD790" s="88">
        <f>SUMIF(月間集計シート!$M$71:$M$90,$G790,月間集計シート!T$71:T$90)*AD$2</f>
        <v>0</v>
      </c>
      <c r="AE790" s="88">
        <f>SUMIF(月間集計シート!$M$92:$M$111,$G790,月間集計シート!N$92:N$111)*AE$2</f>
        <v>0</v>
      </c>
      <c r="AF790" s="88">
        <f>SUMIF(月間集計シート!$M$92:$M$111,$G790,月間集計シート!O$92:O$111)*AF$2</f>
        <v>0</v>
      </c>
      <c r="AG790" s="88">
        <f>SUMIF(月間集計シート!$M$92:$M$111,$G790,月間集計シート!P$92:P$111)*AG$2</f>
        <v>0</v>
      </c>
      <c r="AH790" s="88">
        <f>SUMIF(月間集計シート!$M$92:$M$111,$G790,月間集計シート!Q$92:Q$111)*AH$2</f>
        <v>0</v>
      </c>
      <c r="AI790" s="88">
        <f>SUMIF(月間集計シート!$M$92:$M$111,$G790,月間集計シート!R$92:R$111)*AI$2</f>
        <v>0</v>
      </c>
      <c r="AJ790" s="88">
        <f>SUMIF(月間集計シート!$M$92:$M$111,$G790,月間集計シート!S$92:S$111)*AJ$2</f>
        <v>0</v>
      </c>
      <c r="AK790" s="88">
        <f>SUMIF(月間集計シート!$M$92:$M$111,$G790,月間集計シート!T$92:T$111)*AK$2</f>
        <v>0</v>
      </c>
      <c r="AL790" s="88">
        <f>SUMIF(月間集計シート!$M$113:$M$132,$G790,月間集計シート!N$113:N$132)*AL$2</f>
        <v>0</v>
      </c>
      <c r="AM790" s="88">
        <f>SUMIF(月間集計シート!$M$113:$M$132,$G790,月間集計シート!O$113:O$132)*AM$2</f>
        <v>0</v>
      </c>
      <c r="AN790" s="88">
        <f>SUMIF(月間集計シート!$M$113:$M$132,$G790,月間集計シート!P$113:P$132)*AN$2</f>
        <v>0</v>
      </c>
      <c r="AO790" s="88">
        <f>SUMIF(月間集計シート!$M$113:$M$132,$G790,月間集計シート!Q$113:Q$132)*AO$2</f>
        <v>0</v>
      </c>
      <c r="AP790" s="88">
        <f>SUMIF(月間集計シート!$M$113:$M$132,$G790,月間集計シート!R$113:R$132)*AP$2</f>
        <v>0</v>
      </c>
      <c r="AQ790" s="88">
        <f>SUMIF(月間集計シート!$M$113:$M$132,$G790,月間集計シート!S$113:S$132)*AQ$2</f>
        <v>0</v>
      </c>
      <c r="AR790" s="88">
        <f>SUMIF(月間集計シート!$M$113:$M$132,$G790,月間集計シート!T$113:T$132)*AR$2</f>
        <v>0</v>
      </c>
      <c r="AS790" s="88">
        <f>SUMIF(月間集計シート!$M$134:$M$153,$G790,月間集計シート!N$134:N$153)*AS$2</f>
        <v>0</v>
      </c>
      <c r="AT790" s="88">
        <f>SUMIF(月間集計シート!$M$134:$M$153,$G790,月間集計シート!O$134:O$153)*AT$2</f>
        <v>0</v>
      </c>
      <c r="AU790" s="88">
        <f>SUMIF(月間集計シート!$M$134:$M$153,$G790,月間集計シート!P$134:P$153)*AU$2</f>
        <v>0</v>
      </c>
      <c r="AV790" s="88">
        <f>SUMIF(月間集計シート!$M$134:$M$153,$G790,月間集計シート!Q$134:Q$153)*AV$2</f>
        <v>0</v>
      </c>
      <c r="AW790" s="88">
        <f>SUMIF(月間集計シート!$M$134:$M$153,$G790,月間集計シート!R$134:R$153)*AW$2</f>
        <v>0</v>
      </c>
      <c r="AX790" s="88">
        <f>SUMIF(月間集計シート!$M$134:$M$153,$G790,月間集計シート!S$134:S$153)*AX$2</f>
        <v>0</v>
      </c>
      <c r="AY790" s="88">
        <f>SUMIF(月間集計シート!$M$134:$M$153,$G790,月間集計シート!T$134:T$153)*AY$2</f>
        <v>0</v>
      </c>
    </row>
    <row r="791" spans="1:51" ht="14.25" thickBot="1">
      <c r="A791">
        <v>10</v>
      </c>
      <c r="B791" s="120">
        <f t="shared" si="411"/>
        <v>0</v>
      </c>
      <c r="C791" s="120" t="str">
        <f t="shared" si="412"/>
        <v/>
      </c>
      <c r="D791" s="137"/>
      <c r="E791" s="150" t="str">
        <f>工種!A18</f>
        <v>30104</v>
      </c>
      <c r="F791" s="119" t="str">
        <f>工種!B18</f>
        <v>製造：単体テスト実施</v>
      </c>
      <c r="G791" s="116" t="str">
        <f t="shared" si="413"/>
        <v>030104</v>
      </c>
      <c r="H791" s="88">
        <f t="shared" si="367"/>
        <v>0</v>
      </c>
      <c r="I791" s="132"/>
      <c r="J791" s="88">
        <f>SUMIF(月間集計シート!$M$29:$M$48,$G791,月間集計シート!N$29:N$48)*J$2</f>
        <v>0</v>
      </c>
      <c r="K791" s="88">
        <f>SUMIF(月間集計シート!$M$29:$M$48,$G791,月間集計シート!O$29:O$48)*K$2</f>
        <v>0</v>
      </c>
      <c r="L791" s="88">
        <f>SUMIF(月間集計シート!$M$29:$M$48,$G791,月間集計シート!P$29:P$48)*L$2</f>
        <v>0</v>
      </c>
      <c r="M791" s="88">
        <f>SUMIF(月間集計シート!$M$29:$M$48,$G791,月間集計シート!Q$29:Q$48)*M$2</f>
        <v>0</v>
      </c>
      <c r="N791" s="88">
        <f>SUMIF(月間集計シート!$M$29:$M$48,$G791,月間集計シート!R$29:R$48)*N$2</f>
        <v>0</v>
      </c>
      <c r="O791" s="88">
        <f>SUMIF(月間集計シート!$M$29:$M$48,$G791,月間集計シート!S$29:S$48)*O$2</f>
        <v>0</v>
      </c>
      <c r="P791" s="88">
        <f>SUMIF(月間集計シート!$M$29:$M$48,$G791,月間集計シート!T$29:T$48)*P$2</f>
        <v>0</v>
      </c>
      <c r="Q791" s="88">
        <f>SUMIF(月間集計シート!$M$50:$M$69,$G791,月間集計シート!N$50:N$69)*Q$2</f>
        <v>0</v>
      </c>
      <c r="R791" s="88">
        <f>SUMIF(月間集計シート!$M$50:$M$69,$G791,月間集計シート!O$50:O$69)*R$2</f>
        <v>0</v>
      </c>
      <c r="S791" s="88">
        <f>SUMIF(月間集計シート!$M$50:$M$69,$G791,月間集計シート!P$50:P$69)*S$2</f>
        <v>0</v>
      </c>
      <c r="T791" s="88">
        <f>SUMIF(月間集計シート!$M$50:$M$69,$G791,月間集計シート!Q$50:Q$69)*T$2</f>
        <v>0</v>
      </c>
      <c r="U791" s="88">
        <f>SUMIF(月間集計シート!$M$50:$M$69,$G791,月間集計シート!R$50:R$69)*U$2</f>
        <v>0</v>
      </c>
      <c r="V791" s="88">
        <f>SUMIF(月間集計シート!$M$50:$M$69,$G791,月間集計シート!S$50:S$69)*V$2</f>
        <v>0</v>
      </c>
      <c r="W791" s="88">
        <f>SUMIF(月間集計シート!$M$50:$M$69,$G791,月間集計シート!T$50:T$69)*W$2</f>
        <v>0</v>
      </c>
      <c r="X791" s="88">
        <f>SUMIF(月間集計シート!$M$71:$M$90,$G791,月間集計シート!N$71:N$90)*X$2</f>
        <v>0</v>
      </c>
      <c r="Y791" s="88">
        <f>SUMIF(月間集計シート!$M$71:$M$90,$G791,月間集計シート!O$71:O$90)*Y$2</f>
        <v>0</v>
      </c>
      <c r="Z791" s="88">
        <f>SUMIF(月間集計シート!$M$71:$M$90,$G791,月間集計シート!P$71:P$90)*Z$2</f>
        <v>0</v>
      </c>
      <c r="AA791" s="88">
        <f>SUMIF(月間集計シート!$M$71:$M$90,$G791,月間集計シート!Q$71:Q$90)*AA$2</f>
        <v>0</v>
      </c>
      <c r="AB791" s="88">
        <f>SUMIF(月間集計シート!$M$71:$M$90,$G791,月間集計シート!R$71:R$90)*AB$2</f>
        <v>0</v>
      </c>
      <c r="AC791" s="88">
        <f>SUMIF(月間集計シート!$M$71:$M$90,$G791,月間集計シート!S$71:S$90)*AC$2</f>
        <v>0</v>
      </c>
      <c r="AD791" s="88">
        <f>SUMIF(月間集計シート!$M$71:$M$90,$G791,月間集計シート!T$71:T$90)*AD$2</f>
        <v>0</v>
      </c>
      <c r="AE791" s="88">
        <f>SUMIF(月間集計シート!$M$92:$M$111,$G791,月間集計シート!N$92:N$111)*AE$2</f>
        <v>0</v>
      </c>
      <c r="AF791" s="88">
        <f>SUMIF(月間集計シート!$M$92:$M$111,$G791,月間集計シート!O$92:O$111)*AF$2</f>
        <v>0</v>
      </c>
      <c r="AG791" s="88">
        <f>SUMIF(月間集計シート!$M$92:$M$111,$G791,月間集計シート!P$92:P$111)*AG$2</f>
        <v>0</v>
      </c>
      <c r="AH791" s="88">
        <f>SUMIF(月間集計シート!$M$92:$M$111,$G791,月間集計シート!Q$92:Q$111)*AH$2</f>
        <v>0</v>
      </c>
      <c r="AI791" s="88">
        <f>SUMIF(月間集計シート!$M$92:$M$111,$G791,月間集計シート!R$92:R$111)*AI$2</f>
        <v>0</v>
      </c>
      <c r="AJ791" s="88">
        <f>SUMIF(月間集計シート!$M$92:$M$111,$G791,月間集計シート!S$92:S$111)*AJ$2</f>
        <v>0</v>
      </c>
      <c r="AK791" s="88">
        <f>SUMIF(月間集計シート!$M$92:$M$111,$G791,月間集計シート!T$92:T$111)*AK$2</f>
        <v>0</v>
      </c>
      <c r="AL791" s="88">
        <f>SUMIF(月間集計シート!$M$113:$M$132,$G791,月間集計シート!N$113:N$132)*AL$2</f>
        <v>0</v>
      </c>
      <c r="AM791" s="88">
        <f>SUMIF(月間集計シート!$M$113:$M$132,$G791,月間集計シート!O$113:O$132)*AM$2</f>
        <v>0</v>
      </c>
      <c r="AN791" s="88">
        <f>SUMIF(月間集計シート!$M$113:$M$132,$G791,月間集計シート!P$113:P$132)*AN$2</f>
        <v>0</v>
      </c>
      <c r="AO791" s="88">
        <f>SUMIF(月間集計シート!$M$113:$M$132,$G791,月間集計シート!Q$113:Q$132)*AO$2</f>
        <v>0</v>
      </c>
      <c r="AP791" s="88">
        <f>SUMIF(月間集計シート!$M$113:$M$132,$G791,月間集計シート!R$113:R$132)*AP$2</f>
        <v>0</v>
      </c>
      <c r="AQ791" s="88">
        <f>SUMIF(月間集計シート!$M$113:$M$132,$G791,月間集計シート!S$113:S$132)*AQ$2</f>
        <v>0</v>
      </c>
      <c r="AR791" s="88">
        <f>SUMIF(月間集計シート!$M$113:$M$132,$G791,月間集計シート!T$113:T$132)*AR$2</f>
        <v>0</v>
      </c>
      <c r="AS791" s="88">
        <f>SUMIF(月間集計シート!$M$134:$M$153,$G791,月間集計シート!N$134:N$153)*AS$2</f>
        <v>0</v>
      </c>
      <c r="AT791" s="88">
        <f>SUMIF(月間集計シート!$M$134:$M$153,$G791,月間集計シート!O$134:O$153)*AT$2</f>
        <v>0</v>
      </c>
      <c r="AU791" s="88">
        <f>SUMIF(月間集計シート!$M$134:$M$153,$G791,月間集計シート!P$134:P$153)*AU$2</f>
        <v>0</v>
      </c>
      <c r="AV791" s="88">
        <f>SUMIF(月間集計シート!$M$134:$M$153,$G791,月間集計シート!Q$134:Q$153)*AV$2</f>
        <v>0</v>
      </c>
      <c r="AW791" s="88">
        <f>SUMIF(月間集計シート!$M$134:$M$153,$G791,月間集計シート!R$134:R$153)*AW$2</f>
        <v>0</v>
      </c>
      <c r="AX791" s="88">
        <f>SUMIF(月間集計シート!$M$134:$M$153,$G791,月間集計シート!S$134:S$153)*AX$2</f>
        <v>0</v>
      </c>
      <c r="AY791" s="88">
        <f>SUMIF(月間集計シート!$M$134:$M$153,$G791,月間集計シート!T$134:T$153)*AY$2</f>
        <v>0</v>
      </c>
    </row>
    <row r="792" spans="1:51" ht="14.25" thickBot="1">
      <c r="A792">
        <v>10</v>
      </c>
      <c r="B792" s="120">
        <f t="shared" si="411"/>
        <v>0</v>
      </c>
      <c r="C792" s="120" t="str">
        <f t="shared" si="412"/>
        <v/>
      </c>
      <c r="D792" s="137"/>
      <c r="E792" s="150" t="str">
        <f>工種!A19</f>
        <v>30105</v>
      </c>
      <c r="F792" s="119" t="str">
        <f>工種!B19</f>
        <v>製造：打合せ</v>
      </c>
      <c r="G792" s="116" t="str">
        <f t="shared" si="413"/>
        <v>030105</v>
      </c>
      <c r="H792" s="88">
        <f t="shared" si="367"/>
        <v>0</v>
      </c>
      <c r="I792" s="132"/>
      <c r="J792" s="88">
        <f>SUMIF(月間集計シート!$M$29:$M$48,$G792,月間集計シート!N$29:N$48)*J$2</f>
        <v>0</v>
      </c>
      <c r="K792" s="88">
        <f>SUMIF(月間集計シート!$M$29:$M$48,$G792,月間集計シート!O$29:O$48)*K$2</f>
        <v>0</v>
      </c>
      <c r="L792" s="88">
        <f>SUMIF(月間集計シート!$M$29:$M$48,$G792,月間集計シート!P$29:P$48)*L$2</f>
        <v>0</v>
      </c>
      <c r="M792" s="88">
        <f>SUMIF(月間集計シート!$M$29:$M$48,$G792,月間集計シート!Q$29:Q$48)*M$2</f>
        <v>0</v>
      </c>
      <c r="N792" s="88">
        <f>SUMIF(月間集計シート!$M$29:$M$48,$G792,月間集計シート!R$29:R$48)*N$2</f>
        <v>0</v>
      </c>
      <c r="O792" s="88">
        <f>SUMIF(月間集計シート!$M$29:$M$48,$G792,月間集計シート!S$29:S$48)*O$2</f>
        <v>0</v>
      </c>
      <c r="P792" s="88">
        <f>SUMIF(月間集計シート!$M$29:$M$48,$G792,月間集計シート!T$29:T$48)*P$2</f>
        <v>0</v>
      </c>
      <c r="Q792" s="88">
        <f>SUMIF(月間集計シート!$M$50:$M$69,$G792,月間集計シート!N$50:N$69)*Q$2</f>
        <v>0</v>
      </c>
      <c r="R792" s="88">
        <f>SUMIF(月間集計シート!$M$50:$M$69,$G792,月間集計シート!O$50:O$69)*R$2</f>
        <v>0</v>
      </c>
      <c r="S792" s="88">
        <f>SUMIF(月間集計シート!$M$50:$M$69,$G792,月間集計シート!P$50:P$69)*S$2</f>
        <v>0</v>
      </c>
      <c r="T792" s="88">
        <f>SUMIF(月間集計シート!$M$50:$M$69,$G792,月間集計シート!Q$50:Q$69)*T$2</f>
        <v>0</v>
      </c>
      <c r="U792" s="88">
        <f>SUMIF(月間集計シート!$M$50:$M$69,$G792,月間集計シート!R$50:R$69)*U$2</f>
        <v>0</v>
      </c>
      <c r="V792" s="88">
        <f>SUMIF(月間集計シート!$M$50:$M$69,$G792,月間集計シート!S$50:S$69)*V$2</f>
        <v>0</v>
      </c>
      <c r="W792" s="88">
        <f>SUMIF(月間集計シート!$M$50:$M$69,$G792,月間集計シート!T$50:T$69)*W$2</f>
        <v>0</v>
      </c>
      <c r="X792" s="88">
        <f>SUMIF(月間集計シート!$M$71:$M$90,$G792,月間集計シート!N$71:N$90)*X$2</f>
        <v>0</v>
      </c>
      <c r="Y792" s="88">
        <f>SUMIF(月間集計シート!$M$71:$M$90,$G792,月間集計シート!O$71:O$90)*Y$2</f>
        <v>0</v>
      </c>
      <c r="Z792" s="88">
        <f>SUMIF(月間集計シート!$M$71:$M$90,$G792,月間集計シート!P$71:P$90)*Z$2</f>
        <v>0</v>
      </c>
      <c r="AA792" s="88">
        <f>SUMIF(月間集計シート!$M$71:$M$90,$G792,月間集計シート!Q$71:Q$90)*AA$2</f>
        <v>0</v>
      </c>
      <c r="AB792" s="88">
        <f>SUMIF(月間集計シート!$M$71:$M$90,$G792,月間集計シート!R$71:R$90)*AB$2</f>
        <v>0</v>
      </c>
      <c r="AC792" s="88">
        <f>SUMIF(月間集計シート!$M$71:$M$90,$G792,月間集計シート!S$71:S$90)*AC$2</f>
        <v>0</v>
      </c>
      <c r="AD792" s="88">
        <f>SUMIF(月間集計シート!$M$71:$M$90,$G792,月間集計シート!T$71:T$90)*AD$2</f>
        <v>0</v>
      </c>
      <c r="AE792" s="88">
        <f>SUMIF(月間集計シート!$M$92:$M$111,$G792,月間集計シート!N$92:N$111)*AE$2</f>
        <v>0</v>
      </c>
      <c r="AF792" s="88">
        <f>SUMIF(月間集計シート!$M$92:$M$111,$G792,月間集計シート!O$92:O$111)*AF$2</f>
        <v>0</v>
      </c>
      <c r="AG792" s="88">
        <f>SUMIF(月間集計シート!$M$92:$M$111,$G792,月間集計シート!P$92:P$111)*AG$2</f>
        <v>0</v>
      </c>
      <c r="AH792" s="88">
        <f>SUMIF(月間集計シート!$M$92:$M$111,$G792,月間集計シート!Q$92:Q$111)*AH$2</f>
        <v>0</v>
      </c>
      <c r="AI792" s="88">
        <f>SUMIF(月間集計シート!$M$92:$M$111,$G792,月間集計シート!R$92:R$111)*AI$2</f>
        <v>0</v>
      </c>
      <c r="AJ792" s="88">
        <f>SUMIF(月間集計シート!$M$92:$M$111,$G792,月間集計シート!S$92:S$111)*AJ$2</f>
        <v>0</v>
      </c>
      <c r="AK792" s="88">
        <f>SUMIF(月間集計シート!$M$92:$M$111,$G792,月間集計シート!T$92:T$111)*AK$2</f>
        <v>0</v>
      </c>
      <c r="AL792" s="88">
        <f>SUMIF(月間集計シート!$M$113:$M$132,$G792,月間集計シート!N$113:N$132)*AL$2</f>
        <v>0</v>
      </c>
      <c r="AM792" s="88">
        <f>SUMIF(月間集計シート!$M$113:$M$132,$G792,月間集計シート!O$113:O$132)*AM$2</f>
        <v>0</v>
      </c>
      <c r="AN792" s="88">
        <f>SUMIF(月間集計シート!$M$113:$M$132,$G792,月間集計シート!P$113:P$132)*AN$2</f>
        <v>0</v>
      </c>
      <c r="AO792" s="88">
        <f>SUMIF(月間集計シート!$M$113:$M$132,$G792,月間集計シート!Q$113:Q$132)*AO$2</f>
        <v>0</v>
      </c>
      <c r="AP792" s="88">
        <f>SUMIF(月間集計シート!$M$113:$M$132,$G792,月間集計シート!R$113:R$132)*AP$2</f>
        <v>0</v>
      </c>
      <c r="AQ792" s="88">
        <f>SUMIF(月間集計シート!$M$113:$M$132,$G792,月間集計シート!S$113:S$132)*AQ$2</f>
        <v>0</v>
      </c>
      <c r="AR792" s="88">
        <f>SUMIF(月間集計シート!$M$113:$M$132,$G792,月間集計シート!T$113:T$132)*AR$2</f>
        <v>0</v>
      </c>
      <c r="AS792" s="88">
        <f>SUMIF(月間集計シート!$M$134:$M$153,$G792,月間集計シート!N$134:N$153)*AS$2</f>
        <v>0</v>
      </c>
      <c r="AT792" s="88">
        <f>SUMIF(月間集計シート!$M$134:$M$153,$G792,月間集計シート!O$134:O$153)*AT$2</f>
        <v>0</v>
      </c>
      <c r="AU792" s="88">
        <f>SUMIF(月間集計シート!$M$134:$M$153,$G792,月間集計シート!P$134:P$153)*AU$2</f>
        <v>0</v>
      </c>
      <c r="AV792" s="88">
        <f>SUMIF(月間集計シート!$M$134:$M$153,$G792,月間集計シート!Q$134:Q$153)*AV$2</f>
        <v>0</v>
      </c>
      <c r="AW792" s="88">
        <f>SUMIF(月間集計シート!$M$134:$M$153,$G792,月間集計シート!R$134:R$153)*AW$2</f>
        <v>0</v>
      </c>
      <c r="AX792" s="88">
        <f>SUMIF(月間集計シート!$M$134:$M$153,$G792,月間集計シート!S$134:S$153)*AX$2</f>
        <v>0</v>
      </c>
      <c r="AY792" s="88">
        <f>SUMIF(月間集計シート!$M$134:$M$153,$G792,月間集計シート!T$134:T$153)*AY$2</f>
        <v>0</v>
      </c>
    </row>
    <row r="793" spans="1:51" ht="14.25" thickBot="1">
      <c r="A793">
        <v>10</v>
      </c>
      <c r="B793" s="120">
        <f t="shared" si="411"/>
        <v>0</v>
      </c>
      <c r="C793" s="120" t="str">
        <f t="shared" si="412"/>
        <v/>
      </c>
      <c r="D793" s="137"/>
      <c r="E793" s="150" t="str">
        <f>工種!A20</f>
        <v>30106</v>
      </c>
      <c r="F793" s="119" t="str">
        <f>工種!B20</f>
        <v>製造：PG修正（手戻り分）</v>
      </c>
      <c r="G793" s="116" t="str">
        <f t="shared" si="413"/>
        <v>030106</v>
      </c>
      <c r="H793" s="88">
        <f t="shared" si="367"/>
        <v>0</v>
      </c>
      <c r="I793" s="132"/>
      <c r="J793" s="88">
        <f>SUMIF(月間集計シート!$M$29:$M$48,$G793,月間集計シート!N$29:N$48)*J$2</f>
        <v>0</v>
      </c>
      <c r="K793" s="88">
        <f>SUMIF(月間集計シート!$M$29:$M$48,$G793,月間集計シート!O$29:O$48)*K$2</f>
        <v>0</v>
      </c>
      <c r="L793" s="88">
        <f>SUMIF(月間集計シート!$M$29:$M$48,$G793,月間集計シート!P$29:P$48)*L$2</f>
        <v>0</v>
      </c>
      <c r="M793" s="88">
        <f>SUMIF(月間集計シート!$M$29:$M$48,$G793,月間集計シート!Q$29:Q$48)*M$2</f>
        <v>0</v>
      </c>
      <c r="N793" s="88">
        <f>SUMIF(月間集計シート!$M$29:$M$48,$G793,月間集計シート!R$29:R$48)*N$2</f>
        <v>0</v>
      </c>
      <c r="O793" s="88">
        <f>SUMIF(月間集計シート!$M$29:$M$48,$G793,月間集計シート!S$29:S$48)*O$2</f>
        <v>0</v>
      </c>
      <c r="P793" s="88">
        <f>SUMIF(月間集計シート!$M$29:$M$48,$G793,月間集計シート!T$29:T$48)*P$2</f>
        <v>0</v>
      </c>
      <c r="Q793" s="88">
        <f>SUMIF(月間集計シート!$M$50:$M$69,$G793,月間集計シート!N$50:N$69)*Q$2</f>
        <v>0</v>
      </c>
      <c r="R793" s="88">
        <f>SUMIF(月間集計シート!$M$50:$M$69,$G793,月間集計シート!O$50:O$69)*R$2</f>
        <v>0</v>
      </c>
      <c r="S793" s="88">
        <f>SUMIF(月間集計シート!$M$50:$M$69,$G793,月間集計シート!P$50:P$69)*S$2</f>
        <v>0</v>
      </c>
      <c r="T793" s="88">
        <f>SUMIF(月間集計シート!$M$50:$M$69,$G793,月間集計シート!Q$50:Q$69)*T$2</f>
        <v>0</v>
      </c>
      <c r="U793" s="88">
        <f>SUMIF(月間集計シート!$M$50:$M$69,$G793,月間集計シート!R$50:R$69)*U$2</f>
        <v>0</v>
      </c>
      <c r="V793" s="88">
        <f>SUMIF(月間集計シート!$M$50:$M$69,$G793,月間集計シート!S$50:S$69)*V$2</f>
        <v>0</v>
      </c>
      <c r="W793" s="88">
        <f>SUMIF(月間集計シート!$M$50:$M$69,$G793,月間集計シート!T$50:T$69)*W$2</f>
        <v>0</v>
      </c>
      <c r="X793" s="88">
        <f>SUMIF(月間集計シート!$M$71:$M$90,$G793,月間集計シート!N$71:N$90)*X$2</f>
        <v>0</v>
      </c>
      <c r="Y793" s="88">
        <f>SUMIF(月間集計シート!$M$71:$M$90,$G793,月間集計シート!O$71:O$90)*Y$2</f>
        <v>0</v>
      </c>
      <c r="Z793" s="88">
        <f>SUMIF(月間集計シート!$M$71:$M$90,$G793,月間集計シート!P$71:P$90)*Z$2</f>
        <v>0</v>
      </c>
      <c r="AA793" s="88">
        <f>SUMIF(月間集計シート!$M$71:$M$90,$G793,月間集計シート!Q$71:Q$90)*AA$2</f>
        <v>0</v>
      </c>
      <c r="AB793" s="88">
        <f>SUMIF(月間集計シート!$M$71:$M$90,$G793,月間集計シート!R$71:R$90)*AB$2</f>
        <v>0</v>
      </c>
      <c r="AC793" s="88">
        <f>SUMIF(月間集計シート!$M$71:$M$90,$G793,月間集計シート!S$71:S$90)*AC$2</f>
        <v>0</v>
      </c>
      <c r="AD793" s="88">
        <f>SUMIF(月間集計シート!$M$71:$M$90,$G793,月間集計シート!T$71:T$90)*AD$2</f>
        <v>0</v>
      </c>
      <c r="AE793" s="88">
        <f>SUMIF(月間集計シート!$M$92:$M$111,$G793,月間集計シート!N$92:N$111)*AE$2</f>
        <v>0</v>
      </c>
      <c r="AF793" s="88">
        <f>SUMIF(月間集計シート!$M$92:$M$111,$G793,月間集計シート!O$92:O$111)*AF$2</f>
        <v>0</v>
      </c>
      <c r="AG793" s="88">
        <f>SUMIF(月間集計シート!$M$92:$M$111,$G793,月間集計シート!P$92:P$111)*AG$2</f>
        <v>0</v>
      </c>
      <c r="AH793" s="88">
        <f>SUMIF(月間集計シート!$M$92:$M$111,$G793,月間集計シート!Q$92:Q$111)*AH$2</f>
        <v>0</v>
      </c>
      <c r="AI793" s="88">
        <f>SUMIF(月間集計シート!$M$92:$M$111,$G793,月間集計シート!R$92:R$111)*AI$2</f>
        <v>0</v>
      </c>
      <c r="AJ793" s="88">
        <f>SUMIF(月間集計シート!$M$92:$M$111,$G793,月間集計シート!S$92:S$111)*AJ$2</f>
        <v>0</v>
      </c>
      <c r="AK793" s="88">
        <f>SUMIF(月間集計シート!$M$92:$M$111,$G793,月間集計シート!T$92:T$111)*AK$2</f>
        <v>0</v>
      </c>
      <c r="AL793" s="88">
        <f>SUMIF(月間集計シート!$M$113:$M$132,$G793,月間集計シート!N$113:N$132)*AL$2</f>
        <v>0</v>
      </c>
      <c r="AM793" s="88">
        <f>SUMIF(月間集計シート!$M$113:$M$132,$G793,月間集計シート!O$113:O$132)*AM$2</f>
        <v>0</v>
      </c>
      <c r="AN793" s="88">
        <f>SUMIF(月間集計シート!$M$113:$M$132,$G793,月間集計シート!P$113:P$132)*AN$2</f>
        <v>0</v>
      </c>
      <c r="AO793" s="88">
        <f>SUMIF(月間集計シート!$M$113:$M$132,$G793,月間集計シート!Q$113:Q$132)*AO$2</f>
        <v>0</v>
      </c>
      <c r="AP793" s="88">
        <f>SUMIF(月間集計シート!$M$113:$M$132,$G793,月間集計シート!R$113:R$132)*AP$2</f>
        <v>0</v>
      </c>
      <c r="AQ793" s="88">
        <f>SUMIF(月間集計シート!$M$113:$M$132,$G793,月間集計シート!S$113:S$132)*AQ$2</f>
        <v>0</v>
      </c>
      <c r="AR793" s="88">
        <f>SUMIF(月間集計シート!$M$113:$M$132,$G793,月間集計シート!T$113:T$132)*AR$2</f>
        <v>0</v>
      </c>
      <c r="AS793" s="88">
        <f>SUMIF(月間集計シート!$M$134:$M$153,$G793,月間集計シート!N$134:N$153)*AS$2</f>
        <v>0</v>
      </c>
      <c r="AT793" s="88">
        <f>SUMIF(月間集計シート!$M$134:$M$153,$G793,月間集計シート!O$134:O$153)*AT$2</f>
        <v>0</v>
      </c>
      <c r="AU793" s="88">
        <f>SUMIF(月間集計シート!$M$134:$M$153,$G793,月間集計シート!P$134:P$153)*AU$2</f>
        <v>0</v>
      </c>
      <c r="AV793" s="88">
        <f>SUMIF(月間集計シート!$M$134:$M$153,$G793,月間集計シート!Q$134:Q$153)*AV$2</f>
        <v>0</v>
      </c>
      <c r="AW793" s="88">
        <f>SUMIF(月間集計シート!$M$134:$M$153,$G793,月間集計シート!R$134:R$153)*AW$2</f>
        <v>0</v>
      </c>
      <c r="AX793" s="88">
        <f>SUMIF(月間集計シート!$M$134:$M$153,$G793,月間集計シート!S$134:S$153)*AX$2</f>
        <v>0</v>
      </c>
      <c r="AY793" s="88">
        <f>SUMIF(月間集計シート!$M$134:$M$153,$G793,月間集計シート!T$134:T$153)*AY$2</f>
        <v>0</v>
      </c>
    </row>
    <row r="794" spans="1:51" ht="14.25" thickBot="1">
      <c r="A794">
        <v>10</v>
      </c>
      <c r="B794" s="120">
        <f t="shared" si="411"/>
        <v>0</v>
      </c>
      <c r="C794" s="120" t="str">
        <f t="shared" si="412"/>
        <v/>
      </c>
      <c r="D794" s="137"/>
      <c r="E794" s="150" t="str">
        <f>工種!A21</f>
        <v>30109</v>
      </c>
      <c r="F794" s="119" t="str">
        <f>工種!B21</f>
        <v>製造：レビュー</v>
      </c>
      <c r="G794" s="116" t="str">
        <f t="shared" si="413"/>
        <v>030109</v>
      </c>
      <c r="H794" s="88">
        <f t="shared" si="367"/>
        <v>0</v>
      </c>
      <c r="I794" s="132"/>
      <c r="J794" s="88">
        <f>SUMIF(月間集計シート!$M$29:$M$48,$G794,月間集計シート!N$29:N$48)*J$2</f>
        <v>0</v>
      </c>
      <c r="K794" s="88">
        <f>SUMIF(月間集計シート!$M$29:$M$48,$G794,月間集計シート!O$29:O$48)*K$2</f>
        <v>0</v>
      </c>
      <c r="L794" s="88">
        <f>SUMIF(月間集計シート!$M$29:$M$48,$G794,月間集計シート!P$29:P$48)*L$2</f>
        <v>0</v>
      </c>
      <c r="M794" s="88">
        <f>SUMIF(月間集計シート!$M$29:$M$48,$G794,月間集計シート!Q$29:Q$48)*M$2</f>
        <v>0</v>
      </c>
      <c r="N794" s="88">
        <f>SUMIF(月間集計シート!$M$29:$M$48,$G794,月間集計シート!R$29:R$48)*N$2</f>
        <v>0</v>
      </c>
      <c r="O794" s="88">
        <f>SUMIF(月間集計シート!$M$29:$M$48,$G794,月間集計シート!S$29:S$48)*O$2</f>
        <v>0</v>
      </c>
      <c r="P794" s="88">
        <f>SUMIF(月間集計シート!$M$29:$M$48,$G794,月間集計シート!T$29:T$48)*P$2</f>
        <v>0</v>
      </c>
      <c r="Q794" s="88">
        <f>SUMIF(月間集計シート!$M$50:$M$69,$G794,月間集計シート!N$50:N$69)*Q$2</f>
        <v>0</v>
      </c>
      <c r="R794" s="88">
        <f>SUMIF(月間集計シート!$M$50:$M$69,$G794,月間集計シート!O$50:O$69)*R$2</f>
        <v>0</v>
      </c>
      <c r="S794" s="88">
        <f>SUMIF(月間集計シート!$M$50:$M$69,$G794,月間集計シート!P$50:P$69)*S$2</f>
        <v>0</v>
      </c>
      <c r="T794" s="88">
        <f>SUMIF(月間集計シート!$M$50:$M$69,$G794,月間集計シート!Q$50:Q$69)*T$2</f>
        <v>0</v>
      </c>
      <c r="U794" s="88">
        <f>SUMIF(月間集計シート!$M$50:$M$69,$G794,月間集計シート!R$50:R$69)*U$2</f>
        <v>0</v>
      </c>
      <c r="V794" s="88">
        <f>SUMIF(月間集計シート!$M$50:$M$69,$G794,月間集計シート!S$50:S$69)*V$2</f>
        <v>0</v>
      </c>
      <c r="W794" s="88">
        <f>SUMIF(月間集計シート!$M$50:$M$69,$G794,月間集計シート!T$50:T$69)*W$2</f>
        <v>0</v>
      </c>
      <c r="X794" s="88">
        <f>SUMIF(月間集計シート!$M$71:$M$90,$G794,月間集計シート!N$71:N$90)*X$2</f>
        <v>0</v>
      </c>
      <c r="Y794" s="88">
        <f>SUMIF(月間集計シート!$M$71:$M$90,$G794,月間集計シート!O$71:O$90)*Y$2</f>
        <v>0</v>
      </c>
      <c r="Z794" s="88">
        <f>SUMIF(月間集計シート!$M$71:$M$90,$G794,月間集計シート!P$71:P$90)*Z$2</f>
        <v>0</v>
      </c>
      <c r="AA794" s="88">
        <f>SUMIF(月間集計シート!$M$71:$M$90,$G794,月間集計シート!Q$71:Q$90)*AA$2</f>
        <v>0</v>
      </c>
      <c r="AB794" s="88">
        <f>SUMIF(月間集計シート!$M$71:$M$90,$G794,月間集計シート!R$71:R$90)*AB$2</f>
        <v>0</v>
      </c>
      <c r="AC794" s="88">
        <f>SUMIF(月間集計シート!$M$71:$M$90,$G794,月間集計シート!S$71:S$90)*AC$2</f>
        <v>0</v>
      </c>
      <c r="AD794" s="88">
        <f>SUMIF(月間集計シート!$M$71:$M$90,$G794,月間集計シート!T$71:T$90)*AD$2</f>
        <v>0</v>
      </c>
      <c r="AE794" s="88">
        <f>SUMIF(月間集計シート!$M$92:$M$111,$G794,月間集計シート!N$92:N$111)*AE$2</f>
        <v>0</v>
      </c>
      <c r="AF794" s="88">
        <f>SUMIF(月間集計シート!$M$92:$M$111,$G794,月間集計シート!O$92:O$111)*AF$2</f>
        <v>0</v>
      </c>
      <c r="AG794" s="88">
        <f>SUMIF(月間集計シート!$M$92:$M$111,$G794,月間集計シート!P$92:P$111)*AG$2</f>
        <v>0</v>
      </c>
      <c r="AH794" s="88">
        <f>SUMIF(月間集計シート!$M$92:$M$111,$G794,月間集計シート!Q$92:Q$111)*AH$2</f>
        <v>0</v>
      </c>
      <c r="AI794" s="88">
        <f>SUMIF(月間集計シート!$M$92:$M$111,$G794,月間集計シート!R$92:R$111)*AI$2</f>
        <v>0</v>
      </c>
      <c r="AJ794" s="88">
        <f>SUMIF(月間集計シート!$M$92:$M$111,$G794,月間集計シート!S$92:S$111)*AJ$2</f>
        <v>0</v>
      </c>
      <c r="AK794" s="88">
        <f>SUMIF(月間集計シート!$M$92:$M$111,$G794,月間集計シート!T$92:T$111)*AK$2</f>
        <v>0</v>
      </c>
      <c r="AL794" s="88">
        <f>SUMIF(月間集計シート!$M$113:$M$132,$G794,月間集計シート!N$113:N$132)*AL$2</f>
        <v>0</v>
      </c>
      <c r="AM794" s="88">
        <f>SUMIF(月間集計シート!$M$113:$M$132,$G794,月間集計シート!O$113:O$132)*AM$2</f>
        <v>0</v>
      </c>
      <c r="AN794" s="88">
        <f>SUMIF(月間集計シート!$M$113:$M$132,$G794,月間集計シート!P$113:P$132)*AN$2</f>
        <v>0</v>
      </c>
      <c r="AO794" s="88">
        <f>SUMIF(月間集計シート!$M$113:$M$132,$G794,月間集計シート!Q$113:Q$132)*AO$2</f>
        <v>0</v>
      </c>
      <c r="AP794" s="88">
        <f>SUMIF(月間集計シート!$M$113:$M$132,$G794,月間集計シート!R$113:R$132)*AP$2</f>
        <v>0</v>
      </c>
      <c r="AQ794" s="88">
        <f>SUMIF(月間集計シート!$M$113:$M$132,$G794,月間集計シート!S$113:S$132)*AQ$2</f>
        <v>0</v>
      </c>
      <c r="AR794" s="88">
        <f>SUMIF(月間集計シート!$M$113:$M$132,$G794,月間集計シート!T$113:T$132)*AR$2</f>
        <v>0</v>
      </c>
      <c r="AS794" s="88">
        <f>SUMIF(月間集計シート!$M$134:$M$153,$G794,月間集計シート!N$134:N$153)*AS$2</f>
        <v>0</v>
      </c>
      <c r="AT794" s="88">
        <f>SUMIF(月間集計シート!$M$134:$M$153,$G794,月間集計シート!O$134:O$153)*AT$2</f>
        <v>0</v>
      </c>
      <c r="AU794" s="88">
        <f>SUMIF(月間集計シート!$M$134:$M$153,$G794,月間集計シート!P$134:P$153)*AU$2</f>
        <v>0</v>
      </c>
      <c r="AV794" s="88">
        <f>SUMIF(月間集計シート!$M$134:$M$153,$G794,月間集計シート!Q$134:Q$153)*AV$2</f>
        <v>0</v>
      </c>
      <c r="AW794" s="88">
        <f>SUMIF(月間集計シート!$M$134:$M$153,$G794,月間集計シート!R$134:R$153)*AW$2</f>
        <v>0</v>
      </c>
      <c r="AX794" s="88">
        <f>SUMIF(月間集計シート!$M$134:$M$153,$G794,月間集計シート!S$134:S$153)*AX$2</f>
        <v>0</v>
      </c>
      <c r="AY794" s="88">
        <f>SUMIF(月間集計シート!$M$134:$M$153,$G794,月間集計シート!T$134:T$153)*AY$2</f>
        <v>0</v>
      </c>
    </row>
    <row r="795" spans="1:51" ht="14.25" thickBot="1">
      <c r="A795">
        <v>10</v>
      </c>
      <c r="B795" s="120">
        <f t="shared" si="411"/>
        <v>0</v>
      </c>
      <c r="C795" s="120" t="str">
        <f t="shared" si="412"/>
        <v/>
      </c>
      <c r="D795" s="137"/>
      <c r="E795" s="150" t="str">
        <f>工種!A22</f>
        <v>30199</v>
      </c>
      <c r="F795" s="119" t="str">
        <f>工種!B22</f>
        <v>製造：その他</v>
      </c>
      <c r="G795" s="116" t="str">
        <f t="shared" si="413"/>
        <v>030199</v>
      </c>
      <c r="H795" s="88">
        <f t="shared" si="367"/>
        <v>0</v>
      </c>
      <c r="I795" s="132"/>
      <c r="J795" s="88">
        <f>SUMIF(月間集計シート!$M$29:$M$48,$G795,月間集計シート!N$29:N$48)*J$2</f>
        <v>0</v>
      </c>
      <c r="K795" s="88">
        <f>SUMIF(月間集計シート!$M$29:$M$48,$G795,月間集計シート!O$29:O$48)*K$2</f>
        <v>0</v>
      </c>
      <c r="L795" s="88">
        <f>SUMIF(月間集計シート!$M$29:$M$48,$G795,月間集計シート!P$29:P$48)*L$2</f>
        <v>0</v>
      </c>
      <c r="M795" s="88">
        <f>SUMIF(月間集計シート!$M$29:$M$48,$G795,月間集計シート!Q$29:Q$48)*M$2</f>
        <v>0</v>
      </c>
      <c r="N795" s="88">
        <f>SUMIF(月間集計シート!$M$29:$M$48,$G795,月間集計シート!R$29:R$48)*N$2</f>
        <v>0</v>
      </c>
      <c r="O795" s="88">
        <f>SUMIF(月間集計シート!$M$29:$M$48,$G795,月間集計シート!S$29:S$48)*O$2</f>
        <v>0</v>
      </c>
      <c r="P795" s="88">
        <f>SUMIF(月間集計シート!$M$29:$M$48,$G795,月間集計シート!T$29:T$48)*P$2</f>
        <v>0</v>
      </c>
      <c r="Q795" s="88">
        <f>SUMIF(月間集計シート!$M$50:$M$69,$G795,月間集計シート!N$50:N$69)*Q$2</f>
        <v>0</v>
      </c>
      <c r="R795" s="88">
        <f>SUMIF(月間集計シート!$M$50:$M$69,$G795,月間集計シート!O$50:O$69)*R$2</f>
        <v>0</v>
      </c>
      <c r="S795" s="88">
        <f>SUMIF(月間集計シート!$M$50:$M$69,$G795,月間集計シート!P$50:P$69)*S$2</f>
        <v>0</v>
      </c>
      <c r="T795" s="88">
        <f>SUMIF(月間集計シート!$M$50:$M$69,$G795,月間集計シート!Q$50:Q$69)*T$2</f>
        <v>0</v>
      </c>
      <c r="U795" s="88">
        <f>SUMIF(月間集計シート!$M$50:$M$69,$G795,月間集計シート!R$50:R$69)*U$2</f>
        <v>0</v>
      </c>
      <c r="V795" s="88">
        <f>SUMIF(月間集計シート!$M$50:$M$69,$G795,月間集計シート!S$50:S$69)*V$2</f>
        <v>0</v>
      </c>
      <c r="W795" s="88">
        <f>SUMIF(月間集計シート!$M$50:$M$69,$G795,月間集計シート!T$50:T$69)*W$2</f>
        <v>0</v>
      </c>
      <c r="X795" s="88">
        <f>SUMIF(月間集計シート!$M$71:$M$90,$G795,月間集計シート!N$71:N$90)*X$2</f>
        <v>0</v>
      </c>
      <c r="Y795" s="88">
        <f>SUMIF(月間集計シート!$M$71:$M$90,$G795,月間集計シート!O$71:O$90)*Y$2</f>
        <v>0</v>
      </c>
      <c r="Z795" s="88">
        <f>SUMIF(月間集計シート!$M$71:$M$90,$G795,月間集計シート!P$71:P$90)*Z$2</f>
        <v>0</v>
      </c>
      <c r="AA795" s="88">
        <f>SUMIF(月間集計シート!$M$71:$M$90,$G795,月間集計シート!Q$71:Q$90)*AA$2</f>
        <v>0</v>
      </c>
      <c r="AB795" s="88">
        <f>SUMIF(月間集計シート!$M$71:$M$90,$G795,月間集計シート!R$71:R$90)*AB$2</f>
        <v>0</v>
      </c>
      <c r="AC795" s="88">
        <f>SUMIF(月間集計シート!$M$71:$M$90,$G795,月間集計シート!S$71:S$90)*AC$2</f>
        <v>0</v>
      </c>
      <c r="AD795" s="88">
        <f>SUMIF(月間集計シート!$M$71:$M$90,$G795,月間集計シート!T$71:T$90)*AD$2</f>
        <v>0</v>
      </c>
      <c r="AE795" s="88">
        <f>SUMIF(月間集計シート!$M$92:$M$111,$G795,月間集計シート!N$92:N$111)*AE$2</f>
        <v>0</v>
      </c>
      <c r="AF795" s="88">
        <f>SUMIF(月間集計シート!$M$92:$M$111,$G795,月間集計シート!O$92:O$111)*AF$2</f>
        <v>0</v>
      </c>
      <c r="AG795" s="88">
        <f>SUMIF(月間集計シート!$M$92:$M$111,$G795,月間集計シート!P$92:P$111)*AG$2</f>
        <v>0</v>
      </c>
      <c r="AH795" s="88">
        <f>SUMIF(月間集計シート!$M$92:$M$111,$G795,月間集計シート!Q$92:Q$111)*AH$2</f>
        <v>0</v>
      </c>
      <c r="AI795" s="88">
        <f>SUMIF(月間集計シート!$M$92:$M$111,$G795,月間集計シート!R$92:R$111)*AI$2</f>
        <v>0</v>
      </c>
      <c r="AJ795" s="88">
        <f>SUMIF(月間集計シート!$M$92:$M$111,$G795,月間集計シート!S$92:S$111)*AJ$2</f>
        <v>0</v>
      </c>
      <c r="AK795" s="88">
        <f>SUMIF(月間集計シート!$M$92:$M$111,$G795,月間集計シート!T$92:T$111)*AK$2</f>
        <v>0</v>
      </c>
      <c r="AL795" s="88">
        <f>SUMIF(月間集計シート!$M$113:$M$132,$G795,月間集計シート!N$113:N$132)*AL$2</f>
        <v>0</v>
      </c>
      <c r="AM795" s="88">
        <f>SUMIF(月間集計シート!$M$113:$M$132,$G795,月間集計シート!O$113:O$132)*AM$2</f>
        <v>0</v>
      </c>
      <c r="AN795" s="88">
        <f>SUMIF(月間集計シート!$M$113:$M$132,$G795,月間集計シート!P$113:P$132)*AN$2</f>
        <v>0</v>
      </c>
      <c r="AO795" s="88">
        <f>SUMIF(月間集計シート!$M$113:$M$132,$G795,月間集計シート!Q$113:Q$132)*AO$2</f>
        <v>0</v>
      </c>
      <c r="AP795" s="88">
        <f>SUMIF(月間集計シート!$M$113:$M$132,$G795,月間集計シート!R$113:R$132)*AP$2</f>
        <v>0</v>
      </c>
      <c r="AQ795" s="88">
        <f>SUMIF(月間集計シート!$M$113:$M$132,$G795,月間集計シート!S$113:S$132)*AQ$2</f>
        <v>0</v>
      </c>
      <c r="AR795" s="88">
        <f>SUMIF(月間集計シート!$M$113:$M$132,$G795,月間集計シート!T$113:T$132)*AR$2</f>
        <v>0</v>
      </c>
      <c r="AS795" s="88">
        <f>SUMIF(月間集計シート!$M$134:$M$153,$G795,月間集計シート!N$134:N$153)*AS$2</f>
        <v>0</v>
      </c>
      <c r="AT795" s="88">
        <f>SUMIF(月間集計シート!$M$134:$M$153,$G795,月間集計シート!O$134:O$153)*AT$2</f>
        <v>0</v>
      </c>
      <c r="AU795" s="88">
        <f>SUMIF(月間集計シート!$M$134:$M$153,$G795,月間集計シート!P$134:P$153)*AU$2</f>
        <v>0</v>
      </c>
      <c r="AV795" s="88">
        <f>SUMIF(月間集計シート!$M$134:$M$153,$G795,月間集計シート!Q$134:Q$153)*AV$2</f>
        <v>0</v>
      </c>
      <c r="AW795" s="88">
        <f>SUMIF(月間集計シート!$M$134:$M$153,$G795,月間集計シート!R$134:R$153)*AW$2</f>
        <v>0</v>
      </c>
      <c r="AX795" s="88">
        <f>SUMIF(月間集計シート!$M$134:$M$153,$G795,月間集計シート!S$134:S$153)*AX$2</f>
        <v>0</v>
      </c>
      <c r="AY795" s="88">
        <f>SUMIF(月間集計シート!$M$134:$M$153,$G795,月間集計シート!T$134:T$153)*AY$2</f>
        <v>0</v>
      </c>
    </row>
    <row r="796" spans="1:51" ht="14.25" thickBot="1">
      <c r="A796">
        <v>10</v>
      </c>
      <c r="B796" s="120">
        <f t="shared" si="411"/>
        <v>0</v>
      </c>
      <c r="C796" s="120" t="str">
        <f t="shared" si="412"/>
        <v/>
      </c>
      <c r="D796" s="137"/>
      <c r="E796" s="150" t="str">
        <f>工種!A23</f>
        <v>40101</v>
      </c>
      <c r="F796" s="119" t="str">
        <f>工種!B23</f>
        <v>テスト：結合テスト実施</v>
      </c>
      <c r="G796" s="116" t="str">
        <f t="shared" si="413"/>
        <v>040101</v>
      </c>
      <c r="H796" s="88">
        <f t="shared" si="367"/>
        <v>0</v>
      </c>
      <c r="I796" s="132"/>
      <c r="J796" s="88">
        <f>SUMIF(月間集計シート!$M$29:$M$48,$G796,月間集計シート!N$29:N$48)*J$2</f>
        <v>0</v>
      </c>
      <c r="K796" s="88">
        <f>SUMIF(月間集計シート!$M$29:$M$48,$G796,月間集計シート!O$29:O$48)*K$2</f>
        <v>0</v>
      </c>
      <c r="L796" s="88">
        <f>SUMIF(月間集計シート!$M$29:$M$48,$G796,月間集計シート!P$29:P$48)*L$2</f>
        <v>0</v>
      </c>
      <c r="M796" s="88">
        <f>SUMIF(月間集計シート!$M$29:$M$48,$G796,月間集計シート!Q$29:Q$48)*M$2</f>
        <v>0</v>
      </c>
      <c r="N796" s="88">
        <f>SUMIF(月間集計シート!$M$29:$M$48,$G796,月間集計シート!R$29:R$48)*N$2</f>
        <v>0</v>
      </c>
      <c r="O796" s="88">
        <f>SUMIF(月間集計シート!$M$29:$M$48,$G796,月間集計シート!S$29:S$48)*O$2</f>
        <v>0</v>
      </c>
      <c r="P796" s="88">
        <f>SUMIF(月間集計シート!$M$29:$M$48,$G796,月間集計シート!T$29:T$48)*P$2</f>
        <v>0</v>
      </c>
      <c r="Q796" s="88">
        <f>SUMIF(月間集計シート!$M$50:$M$69,$G796,月間集計シート!N$50:N$69)*Q$2</f>
        <v>0</v>
      </c>
      <c r="R796" s="88">
        <f>SUMIF(月間集計シート!$M$50:$M$69,$G796,月間集計シート!O$50:O$69)*R$2</f>
        <v>0</v>
      </c>
      <c r="S796" s="88">
        <f>SUMIF(月間集計シート!$M$50:$M$69,$G796,月間集計シート!P$50:P$69)*S$2</f>
        <v>0</v>
      </c>
      <c r="T796" s="88">
        <f>SUMIF(月間集計シート!$M$50:$M$69,$G796,月間集計シート!Q$50:Q$69)*T$2</f>
        <v>0</v>
      </c>
      <c r="U796" s="88">
        <f>SUMIF(月間集計シート!$M$50:$M$69,$G796,月間集計シート!R$50:R$69)*U$2</f>
        <v>0</v>
      </c>
      <c r="V796" s="88">
        <f>SUMIF(月間集計シート!$M$50:$M$69,$G796,月間集計シート!S$50:S$69)*V$2</f>
        <v>0</v>
      </c>
      <c r="W796" s="88">
        <f>SUMIF(月間集計シート!$M$50:$M$69,$G796,月間集計シート!T$50:T$69)*W$2</f>
        <v>0</v>
      </c>
      <c r="X796" s="88">
        <f>SUMIF(月間集計シート!$M$71:$M$90,$G796,月間集計シート!N$71:N$90)*X$2</f>
        <v>0</v>
      </c>
      <c r="Y796" s="88">
        <f>SUMIF(月間集計シート!$M$71:$M$90,$G796,月間集計シート!O$71:O$90)*Y$2</f>
        <v>0</v>
      </c>
      <c r="Z796" s="88">
        <f>SUMIF(月間集計シート!$M$71:$M$90,$G796,月間集計シート!P$71:P$90)*Z$2</f>
        <v>0</v>
      </c>
      <c r="AA796" s="88">
        <f>SUMIF(月間集計シート!$M$71:$M$90,$G796,月間集計シート!Q$71:Q$90)*AA$2</f>
        <v>0</v>
      </c>
      <c r="AB796" s="88">
        <f>SUMIF(月間集計シート!$M$71:$M$90,$G796,月間集計シート!R$71:R$90)*AB$2</f>
        <v>0</v>
      </c>
      <c r="AC796" s="88">
        <f>SUMIF(月間集計シート!$M$71:$M$90,$G796,月間集計シート!S$71:S$90)*AC$2</f>
        <v>0</v>
      </c>
      <c r="AD796" s="88">
        <f>SUMIF(月間集計シート!$M$71:$M$90,$G796,月間集計シート!T$71:T$90)*AD$2</f>
        <v>0</v>
      </c>
      <c r="AE796" s="88">
        <f>SUMIF(月間集計シート!$M$92:$M$111,$G796,月間集計シート!N$92:N$111)*AE$2</f>
        <v>0</v>
      </c>
      <c r="AF796" s="88">
        <f>SUMIF(月間集計シート!$M$92:$M$111,$G796,月間集計シート!O$92:O$111)*AF$2</f>
        <v>0</v>
      </c>
      <c r="AG796" s="88">
        <f>SUMIF(月間集計シート!$M$92:$M$111,$G796,月間集計シート!P$92:P$111)*AG$2</f>
        <v>0</v>
      </c>
      <c r="AH796" s="88">
        <f>SUMIF(月間集計シート!$M$92:$M$111,$G796,月間集計シート!Q$92:Q$111)*AH$2</f>
        <v>0</v>
      </c>
      <c r="AI796" s="88">
        <f>SUMIF(月間集計シート!$M$92:$M$111,$G796,月間集計シート!R$92:R$111)*AI$2</f>
        <v>0</v>
      </c>
      <c r="AJ796" s="88">
        <f>SUMIF(月間集計シート!$M$92:$M$111,$G796,月間集計シート!S$92:S$111)*AJ$2</f>
        <v>0</v>
      </c>
      <c r="AK796" s="88">
        <f>SUMIF(月間集計シート!$M$92:$M$111,$G796,月間集計シート!T$92:T$111)*AK$2</f>
        <v>0</v>
      </c>
      <c r="AL796" s="88">
        <f>SUMIF(月間集計シート!$M$113:$M$132,$G796,月間集計シート!N$113:N$132)*AL$2</f>
        <v>0</v>
      </c>
      <c r="AM796" s="88">
        <f>SUMIF(月間集計シート!$M$113:$M$132,$G796,月間集計シート!O$113:O$132)*AM$2</f>
        <v>0</v>
      </c>
      <c r="AN796" s="88">
        <f>SUMIF(月間集計シート!$M$113:$M$132,$G796,月間集計シート!P$113:P$132)*AN$2</f>
        <v>0</v>
      </c>
      <c r="AO796" s="88">
        <f>SUMIF(月間集計シート!$M$113:$M$132,$G796,月間集計シート!Q$113:Q$132)*AO$2</f>
        <v>0</v>
      </c>
      <c r="AP796" s="88">
        <f>SUMIF(月間集計シート!$M$113:$M$132,$G796,月間集計シート!R$113:R$132)*AP$2</f>
        <v>0</v>
      </c>
      <c r="AQ796" s="88">
        <f>SUMIF(月間集計シート!$M$113:$M$132,$G796,月間集計シート!S$113:S$132)*AQ$2</f>
        <v>0</v>
      </c>
      <c r="AR796" s="88">
        <f>SUMIF(月間集計シート!$M$113:$M$132,$G796,月間集計シート!T$113:T$132)*AR$2</f>
        <v>0</v>
      </c>
      <c r="AS796" s="88">
        <f>SUMIF(月間集計シート!$M$134:$M$153,$G796,月間集計シート!N$134:N$153)*AS$2</f>
        <v>0</v>
      </c>
      <c r="AT796" s="88">
        <f>SUMIF(月間集計シート!$M$134:$M$153,$G796,月間集計シート!O$134:O$153)*AT$2</f>
        <v>0</v>
      </c>
      <c r="AU796" s="88">
        <f>SUMIF(月間集計シート!$M$134:$M$153,$G796,月間集計シート!P$134:P$153)*AU$2</f>
        <v>0</v>
      </c>
      <c r="AV796" s="88">
        <f>SUMIF(月間集計シート!$M$134:$M$153,$G796,月間集計シート!Q$134:Q$153)*AV$2</f>
        <v>0</v>
      </c>
      <c r="AW796" s="88">
        <f>SUMIF(月間集計シート!$M$134:$M$153,$G796,月間集計シート!R$134:R$153)*AW$2</f>
        <v>0</v>
      </c>
      <c r="AX796" s="88">
        <f>SUMIF(月間集計シート!$M$134:$M$153,$G796,月間集計シート!S$134:S$153)*AX$2</f>
        <v>0</v>
      </c>
      <c r="AY796" s="88">
        <f>SUMIF(月間集計シート!$M$134:$M$153,$G796,月間集計シート!T$134:T$153)*AY$2</f>
        <v>0</v>
      </c>
    </row>
    <row r="797" spans="1:51" ht="14.25" thickBot="1">
      <c r="A797">
        <v>10</v>
      </c>
      <c r="B797" s="120">
        <f t="shared" si="411"/>
        <v>0</v>
      </c>
      <c r="C797" s="120" t="str">
        <f t="shared" si="412"/>
        <v/>
      </c>
      <c r="D797" s="137"/>
      <c r="E797" s="150" t="str">
        <f>工種!A24</f>
        <v>40102</v>
      </c>
      <c r="F797" s="119" t="str">
        <f>工種!B24</f>
        <v>テスト：システムテスト実施</v>
      </c>
      <c r="G797" s="116" t="str">
        <f t="shared" si="413"/>
        <v>040102</v>
      </c>
      <c r="H797" s="88">
        <f t="shared" si="367"/>
        <v>0</v>
      </c>
      <c r="I797" s="132"/>
      <c r="J797" s="88">
        <f>SUMIF(月間集計シート!$M$29:$M$48,$G797,月間集計シート!N$29:N$48)*J$2</f>
        <v>0</v>
      </c>
      <c r="K797" s="88">
        <f>SUMIF(月間集計シート!$M$29:$M$48,$G797,月間集計シート!O$29:O$48)*K$2</f>
        <v>0</v>
      </c>
      <c r="L797" s="88">
        <f>SUMIF(月間集計シート!$M$29:$M$48,$G797,月間集計シート!P$29:P$48)*L$2</f>
        <v>0</v>
      </c>
      <c r="M797" s="88">
        <f>SUMIF(月間集計シート!$M$29:$M$48,$G797,月間集計シート!Q$29:Q$48)*M$2</f>
        <v>0</v>
      </c>
      <c r="N797" s="88">
        <f>SUMIF(月間集計シート!$M$29:$M$48,$G797,月間集計シート!R$29:R$48)*N$2</f>
        <v>0</v>
      </c>
      <c r="O797" s="88">
        <f>SUMIF(月間集計シート!$M$29:$M$48,$G797,月間集計シート!S$29:S$48)*O$2</f>
        <v>0</v>
      </c>
      <c r="P797" s="88">
        <f>SUMIF(月間集計シート!$M$29:$M$48,$G797,月間集計シート!T$29:T$48)*P$2</f>
        <v>0</v>
      </c>
      <c r="Q797" s="88">
        <f>SUMIF(月間集計シート!$M$50:$M$69,$G797,月間集計シート!N$50:N$69)*Q$2</f>
        <v>0</v>
      </c>
      <c r="R797" s="88">
        <f>SUMIF(月間集計シート!$M$50:$M$69,$G797,月間集計シート!O$50:O$69)*R$2</f>
        <v>0</v>
      </c>
      <c r="S797" s="88">
        <f>SUMIF(月間集計シート!$M$50:$M$69,$G797,月間集計シート!P$50:P$69)*S$2</f>
        <v>0</v>
      </c>
      <c r="T797" s="88">
        <f>SUMIF(月間集計シート!$M$50:$M$69,$G797,月間集計シート!Q$50:Q$69)*T$2</f>
        <v>0</v>
      </c>
      <c r="U797" s="88">
        <f>SUMIF(月間集計シート!$M$50:$M$69,$G797,月間集計シート!R$50:R$69)*U$2</f>
        <v>0</v>
      </c>
      <c r="V797" s="88">
        <f>SUMIF(月間集計シート!$M$50:$M$69,$G797,月間集計シート!S$50:S$69)*V$2</f>
        <v>0</v>
      </c>
      <c r="W797" s="88">
        <f>SUMIF(月間集計シート!$M$50:$M$69,$G797,月間集計シート!T$50:T$69)*W$2</f>
        <v>0</v>
      </c>
      <c r="X797" s="88">
        <f>SUMIF(月間集計シート!$M$71:$M$90,$G797,月間集計シート!N$71:N$90)*X$2</f>
        <v>0</v>
      </c>
      <c r="Y797" s="88">
        <f>SUMIF(月間集計シート!$M$71:$M$90,$G797,月間集計シート!O$71:O$90)*Y$2</f>
        <v>0</v>
      </c>
      <c r="Z797" s="88">
        <f>SUMIF(月間集計シート!$M$71:$M$90,$G797,月間集計シート!P$71:P$90)*Z$2</f>
        <v>0</v>
      </c>
      <c r="AA797" s="88">
        <f>SUMIF(月間集計シート!$M$71:$M$90,$G797,月間集計シート!Q$71:Q$90)*AA$2</f>
        <v>0</v>
      </c>
      <c r="AB797" s="88">
        <f>SUMIF(月間集計シート!$M$71:$M$90,$G797,月間集計シート!R$71:R$90)*AB$2</f>
        <v>0</v>
      </c>
      <c r="AC797" s="88">
        <f>SUMIF(月間集計シート!$M$71:$M$90,$G797,月間集計シート!S$71:S$90)*AC$2</f>
        <v>0</v>
      </c>
      <c r="AD797" s="88">
        <f>SUMIF(月間集計シート!$M$71:$M$90,$G797,月間集計シート!T$71:T$90)*AD$2</f>
        <v>0</v>
      </c>
      <c r="AE797" s="88">
        <f>SUMIF(月間集計シート!$M$92:$M$111,$G797,月間集計シート!N$92:N$111)*AE$2</f>
        <v>0</v>
      </c>
      <c r="AF797" s="88">
        <f>SUMIF(月間集計シート!$M$92:$M$111,$G797,月間集計シート!O$92:O$111)*AF$2</f>
        <v>0</v>
      </c>
      <c r="AG797" s="88">
        <f>SUMIF(月間集計シート!$M$92:$M$111,$G797,月間集計シート!P$92:P$111)*AG$2</f>
        <v>0</v>
      </c>
      <c r="AH797" s="88">
        <f>SUMIF(月間集計シート!$M$92:$M$111,$G797,月間集計シート!Q$92:Q$111)*AH$2</f>
        <v>0</v>
      </c>
      <c r="AI797" s="88">
        <f>SUMIF(月間集計シート!$M$92:$M$111,$G797,月間集計シート!R$92:R$111)*AI$2</f>
        <v>0</v>
      </c>
      <c r="AJ797" s="88">
        <f>SUMIF(月間集計シート!$M$92:$M$111,$G797,月間集計シート!S$92:S$111)*AJ$2</f>
        <v>0</v>
      </c>
      <c r="AK797" s="88">
        <f>SUMIF(月間集計シート!$M$92:$M$111,$G797,月間集計シート!T$92:T$111)*AK$2</f>
        <v>0</v>
      </c>
      <c r="AL797" s="88">
        <f>SUMIF(月間集計シート!$M$113:$M$132,$G797,月間集計シート!N$113:N$132)*AL$2</f>
        <v>0</v>
      </c>
      <c r="AM797" s="88">
        <f>SUMIF(月間集計シート!$M$113:$M$132,$G797,月間集計シート!O$113:O$132)*AM$2</f>
        <v>0</v>
      </c>
      <c r="AN797" s="88">
        <f>SUMIF(月間集計シート!$M$113:$M$132,$G797,月間集計シート!P$113:P$132)*AN$2</f>
        <v>0</v>
      </c>
      <c r="AO797" s="88">
        <f>SUMIF(月間集計シート!$M$113:$M$132,$G797,月間集計シート!Q$113:Q$132)*AO$2</f>
        <v>0</v>
      </c>
      <c r="AP797" s="88">
        <f>SUMIF(月間集計シート!$M$113:$M$132,$G797,月間集計シート!R$113:R$132)*AP$2</f>
        <v>0</v>
      </c>
      <c r="AQ797" s="88">
        <f>SUMIF(月間集計シート!$M$113:$M$132,$G797,月間集計シート!S$113:S$132)*AQ$2</f>
        <v>0</v>
      </c>
      <c r="AR797" s="88">
        <f>SUMIF(月間集計シート!$M$113:$M$132,$G797,月間集計シート!T$113:T$132)*AR$2</f>
        <v>0</v>
      </c>
      <c r="AS797" s="88">
        <f>SUMIF(月間集計シート!$M$134:$M$153,$G797,月間集計シート!N$134:N$153)*AS$2</f>
        <v>0</v>
      </c>
      <c r="AT797" s="88">
        <f>SUMIF(月間集計シート!$M$134:$M$153,$G797,月間集計シート!O$134:O$153)*AT$2</f>
        <v>0</v>
      </c>
      <c r="AU797" s="88">
        <f>SUMIF(月間集計シート!$M$134:$M$153,$G797,月間集計シート!P$134:P$153)*AU$2</f>
        <v>0</v>
      </c>
      <c r="AV797" s="88">
        <f>SUMIF(月間集計シート!$M$134:$M$153,$G797,月間集計シート!Q$134:Q$153)*AV$2</f>
        <v>0</v>
      </c>
      <c r="AW797" s="88">
        <f>SUMIF(月間集計シート!$M$134:$M$153,$G797,月間集計シート!R$134:R$153)*AW$2</f>
        <v>0</v>
      </c>
      <c r="AX797" s="88">
        <f>SUMIF(月間集計シート!$M$134:$M$153,$G797,月間集計シート!S$134:S$153)*AX$2</f>
        <v>0</v>
      </c>
      <c r="AY797" s="88">
        <f>SUMIF(月間集計シート!$M$134:$M$153,$G797,月間集計シート!T$134:T$153)*AY$2</f>
        <v>0</v>
      </c>
    </row>
    <row r="798" spans="1:51" ht="14.25" thickBot="1">
      <c r="A798">
        <v>10</v>
      </c>
      <c r="B798" s="120">
        <f t="shared" si="411"/>
        <v>0</v>
      </c>
      <c r="C798" s="120" t="str">
        <f t="shared" si="412"/>
        <v/>
      </c>
      <c r="D798" s="137"/>
      <c r="E798" s="150" t="str">
        <f>工種!A25</f>
        <v>40103</v>
      </c>
      <c r="F798" s="119" t="str">
        <f>工種!B25</f>
        <v>テスト：テスト計画書作成</v>
      </c>
      <c r="G798" s="116" t="str">
        <f t="shared" si="413"/>
        <v>040103</v>
      </c>
      <c r="H798" s="88">
        <f t="shared" si="367"/>
        <v>0</v>
      </c>
      <c r="I798" s="132"/>
      <c r="J798" s="88">
        <f>SUMIF(月間集計シート!$M$29:$M$48,$G798,月間集計シート!N$29:N$48)*J$2</f>
        <v>0</v>
      </c>
      <c r="K798" s="88">
        <f>SUMIF(月間集計シート!$M$29:$M$48,$G798,月間集計シート!O$29:O$48)*K$2</f>
        <v>0</v>
      </c>
      <c r="L798" s="88">
        <f>SUMIF(月間集計シート!$M$29:$M$48,$G798,月間集計シート!P$29:P$48)*L$2</f>
        <v>0</v>
      </c>
      <c r="M798" s="88">
        <f>SUMIF(月間集計シート!$M$29:$M$48,$G798,月間集計シート!Q$29:Q$48)*M$2</f>
        <v>0</v>
      </c>
      <c r="N798" s="88">
        <f>SUMIF(月間集計シート!$M$29:$M$48,$G798,月間集計シート!R$29:R$48)*N$2</f>
        <v>0</v>
      </c>
      <c r="O798" s="88">
        <f>SUMIF(月間集計シート!$M$29:$M$48,$G798,月間集計シート!S$29:S$48)*O$2</f>
        <v>0</v>
      </c>
      <c r="P798" s="88">
        <f>SUMIF(月間集計シート!$M$29:$M$48,$G798,月間集計シート!T$29:T$48)*P$2</f>
        <v>0</v>
      </c>
      <c r="Q798" s="88">
        <f>SUMIF(月間集計シート!$M$50:$M$69,$G798,月間集計シート!N$50:N$69)*Q$2</f>
        <v>0</v>
      </c>
      <c r="R798" s="88">
        <f>SUMIF(月間集計シート!$M$50:$M$69,$G798,月間集計シート!O$50:O$69)*R$2</f>
        <v>0</v>
      </c>
      <c r="S798" s="88">
        <f>SUMIF(月間集計シート!$M$50:$M$69,$G798,月間集計シート!P$50:P$69)*S$2</f>
        <v>0</v>
      </c>
      <c r="T798" s="88">
        <f>SUMIF(月間集計シート!$M$50:$M$69,$G798,月間集計シート!Q$50:Q$69)*T$2</f>
        <v>0</v>
      </c>
      <c r="U798" s="88">
        <f>SUMIF(月間集計シート!$M$50:$M$69,$G798,月間集計シート!R$50:R$69)*U$2</f>
        <v>0</v>
      </c>
      <c r="V798" s="88">
        <f>SUMIF(月間集計シート!$M$50:$M$69,$G798,月間集計シート!S$50:S$69)*V$2</f>
        <v>0</v>
      </c>
      <c r="W798" s="88">
        <f>SUMIF(月間集計シート!$M$50:$M$69,$G798,月間集計シート!T$50:T$69)*W$2</f>
        <v>0</v>
      </c>
      <c r="X798" s="88">
        <f>SUMIF(月間集計シート!$M$71:$M$90,$G798,月間集計シート!N$71:N$90)*X$2</f>
        <v>0</v>
      </c>
      <c r="Y798" s="88">
        <f>SUMIF(月間集計シート!$M$71:$M$90,$G798,月間集計シート!O$71:O$90)*Y$2</f>
        <v>0</v>
      </c>
      <c r="Z798" s="88">
        <f>SUMIF(月間集計シート!$M$71:$M$90,$G798,月間集計シート!P$71:P$90)*Z$2</f>
        <v>0</v>
      </c>
      <c r="AA798" s="88">
        <f>SUMIF(月間集計シート!$M$71:$M$90,$G798,月間集計シート!Q$71:Q$90)*AA$2</f>
        <v>0</v>
      </c>
      <c r="AB798" s="88">
        <f>SUMIF(月間集計シート!$M$71:$M$90,$G798,月間集計シート!R$71:R$90)*AB$2</f>
        <v>0</v>
      </c>
      <c r="AC798" s="88">
        <f>SUMIF(月間集計シート!$M$71:$M$90,$G798,月間集計シート!S$71:S$90)*AC$2</f>
        <v>0</v>
      </c>
      <c r="AD798" s="88">
        <f>SUMIF(月間集計シート!$M$71:$M$90,$G798,月間集計シート!T$71:T$90)*AD$2</f>
        <v>0</v>
      </c>
      <c r="AE798" s="88">
        <f>SUMIF(月間集計シート!$M$92:$M$111,$G798,月間集計シート!N$92:N$111)*AE$2</f>
        <v>0</v>
      </c>
      <c r="AF798" s="88">
        <f>SUMIF(月間集計シート!$M$92:$M$111,$G798,月間集計シート!O$92:O$111)*AF$2</f>
        <v>0</v>
      </c>
      <c r="AG798" s="88">
        <f>SUMIF(月間集計シート!$M$92:$M$111,$G798,月間集計シート!P$92:P$111)*AG$2</f>
        <v>0</v>
      </c>
      <c r="AH798" s="88">
        <f>SUMIF(月間集計シート!$M$92:$M$111,$G798,月間集計シート!Q$92:Q$111)*AH$2</f>
        <v>0</v>
      </c>
      <c r="AI798" s="88">
        <f>SUMIF(月間集計シート!$M$92:$M$111,$G798,月間集計シート!R$92:R$111)*AI$2</f>
        <v>0</v>
      </c>
      <c r="AJ798" s="88">
        <f>SUMIF(月間集計シート!$M$92:$M$111,$G798,月間集計シート!S$92:S$111)*AJ$2</f>
        <v>0</v>
      </c>
      <c r="AK798" s="88">
        <f>SUMIF(月間集計シート!$M$92:$M$111,$G798,月間集計シート!T$92:T$111)*AK$2</f>
        <v>0</v>
      </c>
      <c r="AL798" s="88">
        <f>SUMIF(月間集計シート!$M$113:$M$132,$G798,月間集計シート!N$113:N$132)*AL$2</f>
        <v>0</v>
      </c>
      <c r="AM798" s="88">
        <f>SUMIF(月間集計シート!$M$113:$M$132,$G798,月間集計シート!O$113:O$132)*AM$2</f>
        <v>0</v>
      </c>
      <c r="AN798" s="88">
        <f>SUMIF(月間集計シート!$M$113:$M$132,$G798,月間集計シート!P$113:P$132)*AN$2</f>
        <v>0</v>
      </c>
      <c r="AO798" s="88">
        <f>SUMIF(月間集計シート!$M$113:$M$132,$G798,月間集計シート!Q$113:Q$132)*AO$2</f>
        <v>0</v>
      </c>
      <c r="AP798" s="88">
        <f>SUMIF(月間集計シート!$M$113:$M$132,$G798,月間集計シート!R$113:R$132)*AP$2</f>
        <v>0</v>
      </c>
      <c r="AQ798" s="88">
        <f>SUMIF(月間集計シート!$M$113:$M$132,$G798,月間集計シート!S$113:S$132)*AQ$2</f>
        <v>0</v>
      </c>
      <c r="AR798" s="88">
        <f>SUMIF(月間集計シート!$M$113:$M$132,$G798,月間集計シート!T$113:T$132)*AR$2</f>
        <v>0</v>
      </c>
      <c r="AS798" s="88">
        <f>SUMIF(月間集計シート!$M$134:$M$153,$G798,月間集計シート!N$134:N$153)*AS$2</f>
        <v>0</v>
      </c>
      <c r="AT798" s="88">
        <f>SUMIF(月間集計シート!$M$134:$M$153,$G798,月間集計シート!O$134:O$153)*AT$2</f>
        <v>0</v>
      </c>
      <c r="AU798" s="88">
        <f>SUMIF(月間集計シート!$M$134:$M$153,$G798,月間集計シート!P$134:P$153)*AU$2</f>
        <v>0</v>
      </c>
      <c r="AV798" s="88">
        <f>SUMIF(月間集計シート!$M$134:$M$153,$G798,月間集計シート!Q$134:Q$153)*AV$2</f>
        <v>0</v>
      </c>
      <c r="AW798" s="88">
        <f>SUMIF(月間集計シート!$M$134:$M$153,$G798,月間集計シート!R$134:R$153)*AW$2</f>
        <v>0</v>
      </c>
      <c r="AX798" s="88">
        <f>SUMIF(月間集計シート!$M$134:$M$153,$G798,月間集計シート!S$134:S$153)*AX$2</f>
        <v>0</v>
      </c>
      <c r="AY798" s="88">
        <f>SUMIF(月間集計シート!$M$134:$M$153,$G798,月間集計シート!T$134:T$153)*AY$2</f>
        <v>0</v>
      </c>
    </row>
    <row r="799" spans="1:51" ht="14.25" thickBot="1">
      <c r="A799">
        <v>10</v>
      </c>
      <c r="B799" s="120">
        <f t="shared" si="411"/>
        <v>0</v>
      </c>
      <c r="C799" s="120" t="str">
        <f t="shared" si="412"/>
        <v/>
      </c>
      <c r="D799" s="137"/>
      <c r="E799" s="150" t="str">
        <f>工種!A26</f>
        <v>40104</v>
      </c>
      <c r="F799" s="119" t="str">
        <f>工種!B26</f>
        <v>テスト：結合テスト設計書作成</v>
      </c>
      <c r="G799" s="116" t="str">
        <f t="shared" si="413"/>
        <v>040104</v>
      </c>
      <c r="H799" s="88">
        <f t="shared" si="367"/>
        <v>0</v>
      </c>
      <c r="I799" s="132"/>
      <c r="J799" s="88">
        <f>SUMIF(月間集計シート!$M$29:$M$48,$G799,月間集計シート!N$29:N$48)*J$2</f>
        <v>0</v>
      </c>
      <c r="K799" s="88">
        <f>SUMIF(月間集計シート!$M$29:$M$48,$G799,月間集計シート!O$29:O$48)*K$2</f>
        <v>0</v>
      </c>
      <c r="L799" s="88">
        <f>SUMIF(月間集計シート!$M$29:$M$48,$G799,月間集計シート!P$29:P$48)*L$2</f>
        <v>0</v>
      </c>
      <c r="M799" s="88">
        <f>SUMIF(月間集計シート!$M$29:$M$48,$G799,月間集計シート!Q$29:Q$48)*M$2</f>
        <v>0</v>
      </c>
      <c r="N799" s="88">
        <f>SUMIF(月間集計シート!$M$29:$M$48,$G799,月間集計シート!R$29:R$48)*N$2</f>
        <v>0</v>
      </c>
      <c r="O799" s="88">
        <f>SUMIF(月間集計シート!$M$29:$M$48,$G799,月間集計シート!S$29:S$48)*O$2</f>
        <v>0</v>
      </c>
      <c r="P799" s="88">
        <f>SUMIF(月間集計シート!$M$29:$M$48,$G799,月間集計シート!T$29:T$48)*P$2</f>
        <v>0</v>
      </c>
      <c r="Q799" s="88">
        <f>SUMIF(月間集計シート!$M$50:$M$69,$G799,月間集計シート!N$50:N$69)*Q$2</f>
        <v>0</v>
      </c>
      <c r="R799" s="88">
        <f>SUMIF(月間集計シート!$M$50:$M$69,$G799,月間集計シート!O$50:O$69)*R$2</f>
        <v>0</v>
      </c>
      <c r="S799" s="88">
        <f>SUMIF(月間集計シート!$M$50:$M$69,$G799,月間集計シート!P$50:P$69)*S$2</f>
        <v>0</v>
      </c>
      <c r="T799" s="88">
        <f>SUMIF(月間集計シート!$M$50:$M$69,$G799,月間集計シート!Q$50:Q$69)*T$2</f>
        <v>0</v>
      </c>
      <c r="U799" s="88">
        <f>SUMIF(月間集計シート!$M$50:$M$69,$G799,月間集計シート!R$50:R$69)*U$2</f>
        <v>0</v>
      </c>
      <c r="V799" s="88">
        <f>SUMIF(月間集計シート!$M$50:$M$69,$G799,月間集計シート!S$50:S$69)*V$2</f>
        <v>0</v>
      </c>
      <c r="W799" s="88">
        <f>SUMIF(月間集計シート!$M$50:$M$69,$G799,月間集計シート!T$50:T$69)*W$2</f>
        <v>0</v>
      </c>
      <c r="X799" s="88">
        <f>SUMIF(月間集計シート!$M$71:$M$90,$G799,月間集計シート!N$71:N$90)*X$2</f>
        <v>0</v>
      </c>
      <c r="Y799" s="88">
        <f>SUMIF(月間集計シート!$M$71:$M$90,$G799,月間集計シート!O$71:O$90)*Y$2</f>
        <v>0</v>
      </c>
      <c r="Z799" s="88">
        <f>SUMIF(月間集計シート!$M$71:$M$90,$G799,月間集計シート!P$71:P$90)*Z$2</f>
        <v>0</v>
      </c>
      <c r="AA799" s="88">
        <f>SUMIF(月間集計シート!$M$71:$M$90,$G799,月間集計シート!Q$71:Q$90)*AA$2</f>
        <v>0</v>
      </c>
      <c r="AB799" s="88">
        <f>SUMIF(月間集計シート!$M$71:$M$90,$G799,月間集計シート!R$71:R$90)*AB$2</f>
        <v>0</v>
      </c>
      <c r="AC799" s="88">
        <f>SUMIF(月間集計シート!$M$71:$M$90,$G799,月間集計シート!S$71:S$90)*AC$2</f>
        <v>0</v>
      </c>
      <c r="AD799" s="88">
        <f>SUMIF(月間集計シート!$M$71:$M$90,$G799,月間集計シート!T$71:T$90)*AD$2</f>
        <v>0</v>
      </c>
      <c r="AE799" s="88">
        <f>SUMIF(月間集計シート!$M$92:$M$111,$G799,月間集計シート!N$92:N$111)*AE$2</f>
        <v>0</v>
      </c>
      <c r="AF799" s="88">
        <f>SUMIF(月間集計シート!$M$92:$M$111,$G799,月間集計シート!O$92:O$111)*AF$2</f>
        <v>0</v>
      </c>
      <c r="AG799" s="88">
        <f>SUMIF(月間集計シート!$M$92:$M$111,$G799,月間集計シート!P$92:P$111)*AG$2</f>
        <v>0</v>
      </c>
      <c r="AH799" s="88">
        <f>SUMIF(月間集計シート!$M$92:$M$111,$G799,月間集計シート!Q$92:Q$111)*AH$2</f>
        <v>0</v>
      </c>
      <c r="AI799" s="88">
        <f>SUMIF(月間集計シート!$M$92:$M$111,$G799,月間集計シート!R$92:R$111)*AI$2</f>
        <v>0</v>
      </c>
      <c r="AJ799" s="88">
        <f>SUMIF(月間集計シート!$M$92:$M$111,$G799,月間集計シート!S$92:S$111)*AJ$2</f>
        <v>0</v>
      </c>
      <c r="AK799" s="88">
        <f>SUMIF(月間集計シート!$M$92:$M$111,$G799,月間集計シート!T$92:T$111)*AK$2</f>
        <v>0</v>
      </c>
      <c r="AL799" s="88">
        <f>SUMIF(月間集計シート!$M$113:$M$132,$G799,月間集計シート!N$113:N$132)*AL$2</f>
        <v>0</v>
      </c>
      <c r="AM799" s="88">
        <f>SUMIF(月間集計シート!$M$113:$M$132,$G799,月間集計シート!O$113:O$132)*AM$2</f>
        <v>0</v>
      </c>
      <c r="AN799" s="88">
        <f>SUMIF(月間集計シート!$M$113:$M$132,$G799,月間集計シート!P$113:P$132)*AN$2</f>
        <v>0</v>
      </c>
      <c r="AO799" s="88">
        <f>SUMIF(月間集計シート!$M$113:$M$132,$G799,月間集計シート!Q$113:Q$132)*AO$2</f>
        <v>0</v>
      </c>
      <c r="AP799" s="88">
        <f>SUMIF(月間集計シート!$M$113:$M$132,$G799,月間集計シート!R$113:R$132)*AP$2</f>
        <v>0</v>
      </c>
      <c r="AQ799" s="88">
        <f>SUMIF(月間集計シート!$M$113:$M$132,$G799,月間集計シート!S$113:S$132)*AQ$2</f>
        <v>0</v>
      </c>
      <c r="AR799" s="88">
        <f>SUMIF(月間集計シート!$M$113:$M$132,$G799,月間集計シート!T$113:T$132)*AR$2</f>
        <v>0</v>
      </c>
      <c r="AS799" s="88">
        <f>SUMIF(月間集計シート!$M$134:$M$153,$G799,月間集計シート!N$134:N$153)*AS$2</f>
        <v>0</v>
      </c>
      <c r="AT799" s="88">
        <f>SUMIF(月間集計シート!$M$134:$M$153,$G799,月間集計シート!O$134:O$153)*AT$2</f>
        <v>0</v>
      </c>
      <c r="AU799" s="88">
        <f>SUMIF(月間集計シート!$M$134:$M$153,$G799,月間集計シート!P$134:P$153)*AU$2</f>
        <v>0</v>
      </c>
      <c r="AV799" s="88">
        <f>SUMIF(月間集計シート!$M$134:$M$153,$G799,月間集計シート!Q$134:Q$153)*AV$2</f>
        <v>0</v>
      </c>
      <c r="AW799" s="88">
        <f>SUMIF(月間集計シート!$M$134:$M$153,$G799,月間集計シート!R$134:R$153)*AW$2</f>
        <v>0</v>
      </c>
      <c r="AX799" s="88">
        <f>SUMIF(月間集計シート!$M$134:$M$153,$G799,月間集計シート!S$134:S$153)*AX$2</f>
        <v>0</v>
      </c>
      <c r="AY799" s="88">
        <f>SUMIF(月間集計シート!$M$134:$M$153,$G799,月間集計シート!T$134:T$153)*AY$2</f>
        <v>0</v>
      </c>
    </row>
    <row r="800" spans="1:51" ht="14.25" thickBot="1">
      <c r="A800">
        <v>10</v>
      </c>
      <c r="B800" s="120">
        <f t="shared" si="411"/>
        <v>0</v>
      </c>
      <c r="C800" s="120" t="str">
        <f t="shared" si="412"/>
        <v/>
      </c>
      <c r="D800" s="137"/>
      <c r="E800" s="150" t="str">
        <f>工種!A27</f>
        <v>40105</v>
      </c>
      <c r="F800" s="119" t="str">
        <f>工種!B27</f>
        <v>テスト：システムテスト設計書作成</v>
      </c>
      <c r="G800" s="116" t="str">
        <f t="shared" si="413"/>
        <v>040105</v>
      </c>
      <c r="H800" s="88">
        <f t="shared" si="367"/>
        <v>0</v>
      </c>
      <c r="I800" s="132"/>
      <c r="J800" s="88">
        <f>SUMIF(月間集計シート!$M$29:$M$48,$G800,月間集計シート!N$29:N$48)*J$2</f>
        <v>0</v>
      </c>
      <c r="K800" s="88">
        <f>SUMIF(月間集計シート!$M$29:$M$48,$G800,月間集計シート!O$29:O$48)*K$2</f>
        <v>0</v>
      </c>
      <c r="L800" s="88">
        <f>SUMIF(月間集計シート!$M$29:$M$48,$G800,月間集計シート!P$29:P$48)*L$2</f>
        <v>0</v>
      </c>
      <c r="M800" s="88">
        <f>SUMIF(月間集計シート!$M$29:$M$48,$G800,月間集計シート!Q$29:Q$48)*M$2</f>
        <v>0</v>
      </c>
      <c r="N800" s="88">
        <f>SUMIF(月間集計シート!$M$29:$M$48,$G800,月間集計シート!R$29:R$48)*N$2</f>
        <v>0</v>
      </c>
      <c r="O800" s="88">
        <f>SUMIF(月間集計シート!$M$29:$M$48,$G800,月間集計シート!S$29:S$48)*O$2</f>
        <v>0</v>
      </c>
      <c r="P800" s="88">
        <f>SUMIF(月間集計シート!$M$29:$M$48,$G800,月間集計シート!T$29:T$48)*P$2</f>
        <v>0</v>
      </c>
      <c r="Q800" s="88">
        <f>SUMIF(月間集計シート!$M$50:$M$69,$G800,月間集計シート!N$50:N$69)*Q$2</f>
        <v>0</v>
      </c>
      <c r="R800" s="88">
        <f>SUMIF(月間集計シート!$M$50:$M$69,$G800,月間集計シート!O$50:O$69)*R$2</f>
        <v>0</v>
      </c>
      <c r="S800" s="88">
        <f>SUMIF(月間集計シート!$M$50:$M$69,$G800,月間集計シート!P$50:P$69)*S$2</f>
        <v>0</v>
      </c>
      <c r="T800" s="88">
        <f>SUMIF(月間集計シート!$M$50:$M$69,$G800,月間集計シート!Q$50:Q$69)*T$2</f>
        <v>0</v>
      </c>
      <c r="U800" s="88">
        <f>SUMIF(月間集計シート!$M$50:$M$69,$G800,月間集計シート!R$50:R$69)*U$2</f>
        <v>0</v>
      </c>
      <c r="V800" s="88">
        <f>SUMIF(月間集計シート!$M$50:$M$69,$G800,月間集計シート!S$50:S$69)*V$2</f>
        <v>0</v>
      </c>
      <c r="W800" s="88">
        <f>SUMIF(月間集計シート!$M$50:$M$69,$G800,月間集計シート!T$50:T$69)*W$2</f>
        <v>0</v>
      </c>
      <c r="X800" s="88">
        <f>SUMIF(月間集計シート!$M$71:$M$90,$G800,月間集計シート!N$71:N$90)*X$2</f>
        <v>0</v>
      </c>
      <c r="Y800" s="88">
        <f>SUMIF(月間集計シート!$M$71:$M$90,$G800,月間集計シート!O$71:O$90)*Y$2</f>
        <v>0</v>
      </c>
      <c r="Z800" s="88">
        <f>SUMIF(月間集計シート!$M$71:$M$90,$G800,月間集計シート!P$71:P$90)*Z$2</f>
        <v>0</v>
      </c>
      <c r="AA800" s="88">
        <f>SUMIF(月間集計シート!$M$71:$M$90,$G800,月間集計シート!Q$71:Q$90)*AA$2</f>
        <v>0</v>
      </c>
      <c r="AB800" s="88">
        <f>SUMIF(月間集計シート!$M$71:$M$90,$G800,月間集計シート!R$71:R$90)*AB$2</f>
        <v>0</v>
      </c>
      <c r="AC800" s="88">
        <f>SUMIF(月間集計シート!$M$71:$M$90,$G800,月間集計シート!S$71:S$90)*AC$2</f>
        <v>0</v>
      </c>
      <c r="AD800" s="88">
        <f>SUMIF(月間集計シート!$M$71:$M$90,$G800,月間集計シート!T$71:T$90)*AD$2</f>
        <v>0</v>
      </c>
      <c r="AE800" s="88">
        <f>SUMIF(月間集計シート!$M$92:$M$111,$G800,月間集計シート!N$92:N$111)*AE$2</f>
        <v>0</v>
      </c>
      <c r="AF800" s="88">
        <f>SUMIF(月間集計シート!$M$92:$M$111,$G800,月間集計シート!O$92:O$111)*AF$2</f>
        <v>0</v>
      </c>
      <c r="AG800" s="88">
        <f>SUMIF(月間集計シート!$M$92:$M$111,$G800,月間集計シート!P$92:P$111)*AG$2</f>
        <v>0</v>
      </c>
      <c r="AH800" s="88">
        <f>SUMIF(月間集計シート!$M$92:$M$111,$G800,月間集計シート!Q$92:Q$111)*AH$2</f>
        <v>0</v>
      </c>
      <c r="AI800" s="88">
        <f>SUMIF(月間集計シート!$M$92:$M$111,$G800,月間集計シート!R$92:R$111)*AI$2</f>
        <v>0</v>
      </c>
      <c r="AJ800" s="88">
        <f>SUMIF(月間集計シート!$M$92:$M$111,$G800,月間集計シート!S$92:S$111)*AJ$2</f>
        <v>0</v>
      </c>
      <c r="AK800" s="88">
        <f>SUMIF(月間集計シート!$M$92:$M$111,$G800,月間集計シート!T$92:T$111)*AK$2</f>
        <v>0</v>
      </c>
      <c r="AL800" s="88">
        <f>SUMIF(月間集計シート!$M$113:$M$132,$G800,月間集計シート!N$113:N$132)*AL$2</f>
        <v>0</v>
      </c>
      <c r="AM800" s="88">
        <f>SUMIF(月間集計シート!$M$113:$M$132,$G800,月間集計シート!O$113:O$132)*AM$2</f>
        <v>0</v>
      </c>
      <c r="AN800" s="88">
        <f>SUMIF(月間集計シート!$M$113:$M$132,$G800,月間集計シート!P$113:P$132)*AN$2</f>
        <v>0</v>
      </c>
      <c r="AO800" s="88">
        <f>SUMIF(月間集計シート!$M$113:$M$132,$G800,月間集計シート!Q$113:Q$132)*AO$2</f>
        <v>0</v>
      </c>
      <c r="AP800" s="88">
        <f>SUMIF(月間集計シート!$M$113:$M$132,$G800,月間集計シート!R$113:R$132)*AP$2</f>
        <v>0</v>
      </c>
      <c r="AQ800" s="88">
        <f>SUMIF(月間集計シート!$M$113:$M$132,$G800,月間集計シート!S$113:S$132)*AQ$2</f>
        <v>0</v>
      </c>
      <c r="AR800" s="88">
        <f>SUMIF(月間集計シート!$M$113:$M$132,$G800,月間集計シート!T$113:T$132)*AR$2</f>
        <v>0</v>
      </c>
      <c r="AS800" s="88">
        <f>SUMIF(月間集計シート!$M$134:$M$153,$G800,月間集計シート!N$134:N$153)*AS$2</f>
        <v>0</v>
      </c>
      <c r="AT800" s="88">
        <f>SUMIF(月間集計シート!$M$134:$M$153,$G800,月間集計シート!O$134:O$153)*AT$2</f>
        <v>0</v>
      </c>
      <c r="AU800" s="88">
        <f>SUMIF(月間集計シート!$M$134:$M$153,$G800,月間集計シート!P$134:P$153)*AU$2</f>
        <v>0</v>
      </c>
      <c r="AV800" s="88">
        <f>SUMIF(月間集計シート!$M$134:$M$153,$G800,月間集計シート!Q$134:Q$153)*AV$2</f>
        <v>0</v>
      </c>
      <c r="AW800" s="88">
        <f>SUMIF(月間集計シート!$M$134:$M$153,$G800,月間集計シート!R$134:R$153)*AW$2</f>
        <v>0</v>
      </c>
      <c r="AX800" s="88">
        <f>SUMIF(月間集計シート!$M$134:$M$153,$G800,月間集計シート!S$134:S$153)*AX$2</f>
        <v>0</v>
      </c>
      <c r="AY800" s="88">
        <f>SUMIF(月間集計シート!$M$134:$M$153,$G800,月間集計シート!T$134:T$153)*AY$2</f>
        <v>0</v>
      </c>
    </row>
    <row r="801" spans="1:51" ht="14.25" thickBot="1">
      <c r="A801">
        <v>10</v>
      </c>
      <c r="B801" s="120">
        <f t="shared" si="411"/>
        <v>0</v>
      </c>
      <c r="C801" s="120" t="str">
        <f t="shared" si="412"/>
        <v/>
      </c>
      <c r="D801" s="137"/>
      <c r="E801" s="150" t="str">
        <f>工種!A28</f>
        <v>40106</v>
      </c>
      <c r="F801" s="119" t="str">
        <f>工種!B28</f>
        <v>テスト：総合評価設計書作成</v>
      </c>
      <c r="G801" s="116" t="str">
        <f t="shared" si="413"/>
        <v>040106</v>
      </c>
      <c r="H801" s="88">
        <f t="shared" si="367"/>
        <v>0</v>
      </c>
      <c r="I801" s="132"/>
      <c r="J801" s="88">
        <f>SUMIF(月間集計シート!$M$29:$M$48,$G801,月間集計シート!N$29:N$48)*J$2</f>
        <v>0</v>
      </c>
      <c r="K801" s="88">
        <f>SUMIF(月間集計シート!$M$29:$M$48,$G801,月間集計シート!O$29:O$48)*K$2</f>
        <v>0</v>
      </c>
      <c r="L801" s="88">
        <f>SUMIF(月間集計シート!$M$29:$M$48,$G801,月間集計シート!P$29:P$48)*L$2</f>
        <v>0</v>
      </c>
      <c r="M801" s="88">
        <f>SUMIF(月間集計シート!$M$29:$M$48,$G801,月間集計シート!Q$29:Q$48)*M$2</f>
        <v>0</v>
      </c>
      <c r="N801" s="88">
        <f>SUMIF(月間集計シート!$M$29:$M$48,$G801,月間集計シート!R$29:R$48)*N$2</f>
        <v>0</v>
      </c>
      <c r="O801" s="88">
        <f>SUMIF(月間集計シート!$M$29:$M$48,$G801,月間集計シート!S$29:S$48)*O$2</f>
        <v>0</v>
      </c>
      <c r="P801" s="88">
        <f>SUMIF(月間集計シート!$M$29:$M$48,$G801,月間集計シート!T$29:T$48)*P$2</f>
        <v>0</v>
      </c>
      <c r="Q801" s="88">
        <f>SUMIF(月間集計シート!$M$50:$M$69,$G801,月間集計シート!N$50:N$69)*Q$2</f>
        <v>0</v>
      </c>
      <c r="R801" s="88">
        <f>SUMIF(月間集計シート!$M$50:$M$69,$G801,月間集計シート!O$50:O$69)*R$2</f>
        <v>0</v>
      </c>
      <c r="S801" s="88">
        <f>SUMIF(月間集計シート!$M$50:$M$69,$G801,月間集計シート!P$50:P$69)*S$2</f>
        <v>0</v>
      </c>
      <c r="T801" s="88">
        <f>SUMIF(月間集計シート!$M$50:$M$69,$G801,月間集計シート!Q$50:Q$69)*T$2</f>
        <v>0</v>
      </c>
      <c r="U801" s="88">
        <f>SUMIF(月間集計シート!$M$50:$M$69,$G801,月間集計シート!R$50:R$69)*U$2</f>
        <v>0</v>
      </c>
      <c r="V801" s="88">
        <f>SUMIF(月間集計シート!$M$50:$M$69,$G801,月間集計シート!S$50:S$69)*V$2</f>
        <v>0</v>
      </c>
      <c r="W801" s="88">
        <f>SUMIF(月間集計シート!$M$50:$M$69,$G801,月間集計シート!T$50:T$69)*W$2</f>
        <v>0</v>
      </c>
      <c r="X801" s="88">
        <f>SUMIF(月間集計シート!$M$71:$M$90,$G801,月間集計シート!N$71:N$90)*X$2</f>
        <v>0</v>
      </c>
      <c r="Y801" s="88">
        <f>SUMIF(月間集計シート!$M$71:$M$90,$G801,月間集計シート!O$71:O$90)*Y$2</f>
        <v>0</v>
      </c>
      <c r="Z801" s="88">
        <f>SUMIF(月間集計シート!$M$71:$M$90,$G801,月間集計シート!P$71:P$90)*Z$2</f>
        <v>0</v>
      </c>
      <c r="AA801" s="88">
        <f>SUMIF(月間集計シート!$M$71:$M$90,$G801,月間集計シート!Q$71:Q$90)*AA$2</f>
        <v>0</v>
      </c>
      <c r="AB801" s="88">
        <f>SUMIF(月間集計シート!$M$71:$M$90,$G801,月間集計シート!R$71:R$90)*AB$2</f>
        <v>0</v>
      </c>
      <c r="AC801" s="88">
        <f>SUMIF(月間集計シート!$M$71:$M$90,$G801,月間集計シート!S$71:S$90)*AC$2</f>
        <v>0</v>
      </c>
      <c r="AD801" s="88">
        <f>SUMIF(月間集計シート!$M$71:$M$90,$G801,月間集計シート!T$71:T$90)*AD$2</f>
        <v>0</v>
      </c>
      <c r="AE801" s="88">
        <f>SUMIF(月間集計シート!$M$92:$M$111,$G801,月間集計シート!N$92:N$111)*AE$2</f>
        <v>0</v>
      </c>
      <c r="AF801" s="88">
        <f>SUMIF(月間集計シート!$M$92:$M$111,$G801,月間集計シート!O$92:O$111)*AF$2</f>
        <v>0</v>
      </c>
      <c r="AG801" s="88">
        <f>SUMIF(月間集計シート!$M$92:$M$111,$G801,月間集計シート!P$92:P$111)*AG$2</f>
        <v>0</v>
      </c>
      <c r="AH801" s="88">
        <f>SUMIF(月間集計シート!$M$92:$M$111,$G801,月間集計シート!Q$92:Q$111)*AH$2</f>
        <v>0</v>
      </c>
      <c r="AI801" s="88">
        <f>SUMIF(月間集計シート!$M$92:$M$111,$G801,月間集計シート!R$92:R$111)*AI$2</f>
        <v>0</v>
      </c>
      <c r="AJ801" s="88">
        <f>SUMIF(月間集計シート!$M$92:$M$111,$G801,月間集計シート!S$92:S$111)*AJ$2</f>
        <v>0</v>
      </c>
      <c r="AK801" s="88">
        <f>SUMIF(月間集計シート!$M$92:$M$111,$G801,月間集計シート!T$92:T$111)*AK$2</f>
        <v>0</v>
      </c>
      <c r="AL801" s="88">
        <f>SUMIF(月間集計シート!$M$113:$M$132,$G801,月間集計シート!N$113:N$132)*AL$2</f>
        <v>0</v>
      </c>
      <c r="AM801" s="88">
        <f>SUMIF(月間集計シート!$M$113:$M$132,$G801,月間集計シート!O$113:O$132)*AM$2</f>
        <v>0</v>
      </c>
      <c r="AN801" s="88">
        <f>SUMIF(月間集計シート!$M$113:$M$132,$G801,月間集計シート!P$113:P$132)*AN$2</f>
        <v>0</v>
      </c>
      <c r="AO801" s="88">
        <f>SUMIF(月間集計シート!$M$113:$M$132,$G801,月間集計シート!Q$113:Q$132)*AO$2</f>
        <v>0</v>
      </c>
      <c r="AP801" s="88">
        <f>SUMIF(月間集計シート!$M$113:$M$132,$G801,月間集計シート!R$113:R$132)*AP$2</f>
        <v>0</v>
      </c>
      <c r="AQ801" s="88">
        <f>SUMIF(月間集計シート!$M$113:$M$132,$G801,月間集計シート!S$113:S$132)*AQ$2</f>
        <v>0</v>
      </c>
      <c r="AR801" s="88">
        <f>SUMIF(月間集計シート!$M$113:$M$132,$G801,月間集計シート!T$113:T$132)*AR$2</f>
        <v>0</v>
      </c>
      <c r="AS801" s="88">
        <f>SUMIF(月間集計シート!$M$134:$M$153,$G801,月間集計シート!N$134:N$153)*AS$2</f>
        <v>0</v>
      </c>
      <c r="AT801" s="88">
        <f>SUMIF(月間集計シート!$M$134:$M$153,$G801,月間集計シート!O$134:O$153)*AT$2</f>
        <v>0</v>
      </c>
      <c r="AU801" s="88">
        <f>SUMIF(月間集計シート!$M$134:$M$153,$G801,月間集計シート!P$134:P$153)*AU$2</f>
        <v>0</v>
      </c>
      <c r="AV801" s="88">
        <f>SUMIF(月間集計シート!$M$134:$M$153,$G801,月間集計シート!Q$134:Q$153)*AV$2</f>
        <v>0</v>
      </c>
      <c r="AW801" s="88">
        <f>SUMIF(月間集計シート!$M$134:$M$153,$G801,月間集計シート!R$134:R$153)*AW$2</f>
        <v>0</v>
      </c>
      <c r="AX801" s="88">
        <f>SUMIF(月間集計シート!$M$134:$M$153,$G801,月間集計シート!S$134:S$153)*AX$2</f>
        <v>0</v>
      </c>
      <c r="AY801" s="88">
        <f>SUMIF(月間集計シート!$M$134:$M$153,$G801,月間集計シート!T$134:T$153)*AY$2</f>
        <v>0</v>
      </c>
    </row>
    <row r="802" spans="1:51" ht="14.25" thickBot="1">
      <c r="A802">
        <v>10</v>
      </c>
      <c r="B802" s="120">
        <f t="shared" si="411"/>
        <v>0</v>
      </c>
      <c r="C802" s="120" t="str">
        <f t="shared" si="412"/>
        <v/>
      </c>
      <c r="D802" s="137"/>
      <c r="E802" s="150" t="str">
        <f>工種!A29</f>
        <v>40107</v>
      </c>
      <c r="F802" s="119" t="str">
        <f>工種!B29</f>
        <v>テスト：評価報告書作成</v>
      </c>
      <c r="G802" s="116" t="str">
        <f t="shared" si="413"/>
        <v>040107</v>
      </c>
      <c r="H802" s="88">
        <f t="shared" si="367"/>
        <v>0</v>
      </c>
      <c r="I802" s="132"/>
      <c r="J802" s="88">
        <f>SUMIF(月間集計シート!$M$29:$M$48,$G802,月間集計シート!N$29:N$48)*J$2</f>
        <v>0</v>
      </c>
      <c r="K802" s="88">
        <f>SUMIF(月間集計シート!$M$29:$M$48,$G802,月間集計シート!O$29:O$48)*K$2</f>
        <v>0</v>
      </c>
      <c r="L802" s="88">
        <f>SUMIF(月間集計シート!$M$29:$M$48,$G802,月間集計シート!P$29:P$48)*L$2</f>
        <v>0</v>
      </c>
      <c r="M802" s="88">
        <f>SUMIF(月間集計シート!$M$29:$M$48,$G802,月間集計シート!Q$29:Q$48)*M$2</f>
        <v>0</v>
      </c>
      <c r="N802" s="88">
        <f>SUMIF(月間集計シート!$M$29:$M$48,$G802,月間集計シート!R$29:R$48)*N$2</f>
        <v>0</v>
      </c>
      <c r="O802" s="88">
        <f>SUMIF(月間集計シート!$M$29:$M$48,$G802,月間集計シート!S$29:S$48)*O$2</f>
        <v>0</v>
      </c>
      <c r="P802" s="88">
        <f>SUMIF(月間集計シート!$M$29:$M$48,$G802,月間集計シート!T$29:T$48)*P$2</f>
        <v>0</v>
      </c>
      <c r="Q802" s="88">
        <f>SUMIF(月間集計シート!$M$50:$M$69,$G802,月間集計シート!N$50:N$69)*Q$2</f>
        <v>0</v>
      </c>
      <c r="R802" s="88">
        <f>SUMIF(月間集計シート!$M$50:$M$69,$G802,月間集計シート!O$50:O$69)*R$2</f>
        <v>0</v>
      </c>
      <c r="S802" s="88">
        <f>SUMIF(月間集計シート!$M$50:$M$69,$G802,月間集計シート!P$50:P$69)*S$2</f>
        <v>0</v>
      </c>
      <c r="T802" s="88">
        <f>SUMIF(月間集計シート!$M$50:$M$69,$G802,月間集計シート!Q$50:Q$69)*T$2</f>
        <v>0</v>
      </c>
      <c r="U802" s="88">
        <f>SUMIF(月間集計シート!$M$50:$M$69,$G802,月間集計シート!R$50:R$69)*U$2</f>
        <v>0</v>
      </c>
      <c r="V802" s="88">
        <f>SUMIF(月間集計シート!$M$50:$M$69,$G802,月間集計シート!S$50:S$69)*V$2</f>
        <v>0</v>
      </c>
      <c r="W802" s="88">
        <f>SUMIF(月間集計シート!$M$50:$M$69,$G802,月間集計シート!T$50:T$69)*W$2</f>
        <v>0</v>
      </c>
      <c r="X802" s="88">
        <f>SUMIF(月間集計シート!$M$71:$M$90,$G802,月間集計シート!N$71:N$90)*X$2</f>
        <v>0</v>
      </c>
      <c r="Y802" s="88">
        <f>SUMIF(月間集計シート!$M$71:$M$90,$G802,月間集計シート!O$71:O$90)*Y$2</f>
        <v>0</v>
      </c>
      <c r="Z802" s="88">
        <f>SUMIF(月間集計シート!$M$71:$M$90,$G802,月間集計シート!P$71:P$90)*Z$2</f>
        <v>0</v>
      </c>
      <c r="AA802" s="88">
        <f>SUMIF(月間集計シート!$M$71:$M$90,$G802,月間集計シート!Q$71:Q$90)*AA$2</f>
        <v>0</v>
      </c>
      <c r="AB802" s="88">
        <f>SUMIF(月間集計シート!$M$71:$M$90,$G802,月間集計シート!R$71:R$90)*AB$2</f>
        <v>0</v>
      </c>
      <c r="AC802" s="88">
        <f>SUMIF(月間集計シート!$M$71:$M$90,$G802,月間集計シート!S$71:S$90)*AC$2</f>
        <v>0</v>
      </c>
      <c r="AD802" s="88">
        <f>SUMIF(月間集計シート!$M$71:$M$90,$G802,月間集計シート!T$71:T$90)*AD$2</f>
        <v>0</v>
      </c>
      <c r="AE802" s="88">
        <f>SUMIF(月間集計シート!$M$92:$M$111,$G802,月間集計シート!N$92:N$111)*AE$2</f>
        <v>0</v>
      </c>
      <c r="AF802" s="88">
        <f>SUMIF(月間集計シート!$M$92:$M$111,$G802,月間集計シート!O$92:O$111)*AF$2</f>
        <v>0</v>
      </c>
      <c r="AG802" s="88">
        <f>SUMIF(月間集計シート!$M$92:$M$111,$G802,月間集計シート!P$92:P$111)*AG$2</f>
        <v>0</v>
      </c>
      <c r="AH802" s="88">
        <f>SUMIF(月間集計シート!$M$92:$M$111,$G802,月間集計シート!Q$92:Q$111)*AH$2</f>
        <v>0</v>
      </c>
      <c r="AI802" s="88">
        <f>SUMIF(月間集計シート!$M$92:$M$111,$G802,月間集計シート!R$92:R$111)*AI$2</f>
        <v>0</v>
      </c>
      <c r="AJ802" s="88">
        <f>SUMIF(月間集計シート!$M$92:$M$111,$G802,月間集計シート!S$92:S$111)*AJ$2</f>
        <v>0</v>
      </c>
      <c r="AK802" s="88">
        <f>SUMIF(月間集計シート!$M$92:$M$111,$G802,月間集計シート!T$92:T$111)*AK$2</f>
        <v>0</v>
      </c>
      <c r="AL802" s="88">
        <f>SUMIF(月間集計シート!$M$113:$M$132,$G802,月間集計シート!N$113:N$132)*AL$2</f>
        <v>0</v>
      </c>
      <c r="AM802" s="88">
        <f>SUMIF(月間集計シート!$M$113:$M$132,$G802,月間集計シート!O$113:O$132)*AM$2</f>
        <v>0</v>
      </c>
      <c r="AN802" s="88">
        <f>SUMIF(月間集計シート!$M$113:$M$132,$G802,月間集計シート!P$113:P$132)*AN$2</f>
        <v>0</v>
      </c>
      <c r="AO802" s="88">
        <f>SUMIF(月間集計シート!$M$113:$M$132,$G802,月間集計シート!Q$113:Q$132)*AO$2</f>
        <v>0</v>
      </c>
      <c r="AP802" s="88">
        <f>SUMIF(月間集計シート!$M$113:$M$132,$G802,月間集計シート!R$113:R$132)*AP$2</f>
        <v>0</v>
      </c>
      <c r="AQ802" s="88">
        <f>SUMIF(月間集計シート!$M$113:$M$132,$G802,月間集計シート!S$113:S$132)*AQ$2</f>
        <v>0</v>
      </c>
      <c r="AR802" s="88">
        <f>SUMIF(月間集計シート!$M$113:$M$132,$G802,月間集計シート!T$113:T$132)*AR$2</f>
        <v>0</v>
      </c>
      <c r="AS802" s="88">
        <f>SUMIF(月間集計シート!$M$134:$M$153,$G802,月間集計シート!N$134:N$153)*AS$2</f>
        <v>0</v>
      </c>
      <c r="AT802" s="88">
        <f>SUMIF(月間集計シート!$M$134:$M$153,$G802,月間集計シート!O$134:O$153)*AT$2</f>
        <v>0</v>
      </c>
      <c r="AU802" s="88">
        <f>SUMIF(月間集計シート!$M$134:$M$153,$G802,月間集計シート!P$134:P$153)*AU$2</f>
        <v>0</v>
      </c>
      <c r="AV802" s="88">
        <f>SUMIF(月間集計シート!$M$134:$M$153,$G802,月間集計シート!Q$134:Q$153)*AV$2</f>
        <v>0</v>
      </c>
      <c r="AW802" s="88">
        <f>SUMIF(月間集計シート!$M$134:$M$153,$G802,月間集計シート!R$134:R$153)*AW$2</f>
        <v>0</v>
      </c>
      <c r="AX802" s="88">
        <f>SUMIF(月間集計シート!$M$134:$M$153,$G802,月間集計シート!S$134:S$153)*AX$2</f>
        <v>0</v>
      </c>
      <c r="AY802" s="88">
        <f>SUMIF(月間集計シート!$M$134:$M$153,$G802,月間集計シート!T$134:T$153)*AY$2</f>
        <v>0</v>
      </c>
    </row>
    <row r="803" spans="1:51" ht="14.25" thickBot="1">
      <c r="A803">
        <v>10</v>
      </c>
      <c r="B803" s="120">
        <f t="shared" si="411"/>
        <v>0</v>
      </c>
      <c r="C803" s="120" t="str">
        <f t="shared" si="412"/>
        <v/>
      </c>
      <c r="D803" s="137"/>
      <c r="E803" s="150" t="str">
        <f>工種!A30</f>
        <v>40108</v>
      </c>
      <c r="F803" s="119" t="str">
        <f>工種!B30</f>
        <v>テスト：総合評価実施</v>
      </c>
      <c r="G803" s="116" t="str">
        <f t="shared" si="413"/>
        <v>040108</v>
      </c>
      <c r="H803" s="88">
        <f t="shared" si="367"/>
        <v>0</v>
      </c>
      <c r="I803" s="132"/>
      <c r="J803" s="88">
        <f>SUMIF(月間集計シート!$M$29:$M$48,$G803,月間集計シート!N$29:N$48)*J$2</f>
        <v>0</v>
      </c>
      <c r="K803" s="88">
        <f>SUMIF(月間集計シート!$M$29:$M$48,$G803,月間集計シート!O$29:O$48)*K$2</f>
        <v>0</v>
      </c>
      <c r="L803" s="88">
        <f>SUMIF(月間集計シート!$M$29:$M$48,$G803,月間集計シート!P$29:P$48)*L$2</f>
        <v>0</v>
      </c>
      <c r="M803" s="88">
        <f>SUMIF(月間集計シート!$M$29:$M$48,$G803,月間集計シート!Q$29:Q$48)*M$2</f>
        <v>0</v>
      </c>
      <c r="N803" s="88">
        <f>SUMIF(月間集計シート!$M$29:$M$48,$G803,月間集計シート!R$29:R$48)*N$2</f>
        <v>0</v>
      </c>
      <c r="O803" s="88">
        <f>SUMIF(月間集計シート!$M$29:$M$48,$G803,月間集計シート!S$29:S$48)*O$2</f>
        <v>0</v>
      </c>
      <c r="P803" s="88">
        <f>SUMIF(月間集計シート!$M$29:$M$48,$G803,月間集計シート!T$29:T$48)*P$2</f>
        <v>0</v>
      </c>
      <c r="Q803" s="88">
        <f>SUMIF(月間集計シート!$M$50:$M$69,$G803,月間集計シート!N$50:N$69)*Q$2</f>
        <v>0</v>
      </c>
      <c r="R803" s="88">
        <f>SUMIF(月間集計シート!$M$50:$M$69,$G803,月間集計シート!O$50:O$69)*R$2</f>
        <v>0</v>
      </c>
      <c r="S803" s="88">
        <f>SUMIF(月間集計シート!$M$50:$M$69,$G803,月間集計シート!P$50:P$69)*S$2</f>
        <v>0</v>
      </c>
      <c r="T803" s="88">
        <f>SUMIF(月間集計シート!$M$50:$M$69,$G803,月間集計シート!Q$50:Q$69)*T$2</f>
        <v>0</v>
      </c>
      <c r="U803" s="88">
        <f>SUMIF(月間集計シート!$M$50:$M$69,$G803,月間集計シート!R$50:R$69)*U$2</f>
        <v>0</v>
      </c>
      <c r="V803" s="88">
        <f>SUMIF(月間集計シート!$M$50:$M$69,$G803,月間集計シート!S$50:S$69)*V$2</f>
        <v>0</v>
      </c>
      <c r="W803" s="88">
        <f>SUMIF(月間集計シート!$M$50:$M$69,$G803,月間集計シート!T$50:T$69)*W$2</f>
        <v>0</v>
      </c>
      <c r="X803" s="88">
        <f>SUMIF(月間集計シート!$M$71:$M$90,$G803,月間集計シート!N$71:N$90)*X$2</f>
        <v>0</v>
      </c>
      <c r="Y803" s="88">
        <f>SUMIF(月間集計シート!$M$71:$M$90,$G803,月間集計シート!O$71:O$90)*Y$2</f>
        <v>0</v>
      </c>
      <c r="Z803" s="88">
        <f>SUMIF(月間集計シート!$M$71:$M$90,$G803,月間集計シート!P$71:P$90)*Z$2</f>
        <v>0</v>
      </c>
      <c r="AA803" s="88">
        <f>SUMIF(月間集計シート!$M$71:$M$90,$G803,月間集計シート!Q$71:Q$90)*AA$2</f>
        <v>0</v>
      </c>
      <c r="AB803" s="88">
        <f>SUMIF(月間集計シート!$M$71:$M$90,$G803,月間集計シート!R$71:R$90)*AB$2</f>
        <v>0</v>
      </c>
      <c r="AC803" s="88">
        <f>SUMIF(月間集計シート!$M$71:$M$90,$G803,月間集計シート!S$71:S$90)*AC$2</f>
        <v>0</v>
      </c>
      <c r="AD803" s="88">
        <f>SUMIF(月間集計シート!$M$71:$M$90,$G803,月間集計シート!T$71:T$90)*AD$2</f>
        <v>0</v>
      </c>
      <c r="AE803" s="88">
        <f>SUMIF(月間集計シート!$M$92:$M$111,$G803,月間集計シート!N$92:N$111)*AE$2</f>
        <v>0</v>
      </c>
      <c r="AF803" s="88">
        <f>SUMIF(月間集計シート!$M$92:$M$111,$G803,月間集計シート!O$92:O$111)*AF$2</f>
        <v>0</v>
      </c>
      <c r="AG803" s="88">
        <f>SUMIF(月間集計シート!$M$92:$M$111,$G803,月間集計シート!P$92:P$111)*AG$2</f>
        <v>0</v>
      </c>
      <c r="AH803" s="88">
        <f>SUMIF(月間集計シート!$M$92:$M$111,$G803,月間集計シート!Q$92:Q$111)*AH$2</f>
        <v>0</v>
      </c>
      <c r="AI803" s="88">
        <f>SUMIF(月間集計シート!$M$92:$M$111,$G803,月間集計シート!R$92:R$111)*AI$2</f>
        <v>0</v>
      </c>
      <c r="AJ803" s="88">
        <f>SUMIF(月間集計シート!$M$92:$M$111,$G803,月間集計シート!S$92:S$111)*AJ$2</f>
        <v>0</v>
      </c>
      <c r="AK803" s="88">
        <f>SUMIF(月間集計シート!$M$92:$M$111,$G803,月間集計シート!T$92:T$111)*AK$2</f>
        <v>0</v>
      </c>
      <c r="AL803" s="88">
        <f>SUMIF(月間集計シート!$M$113:$M$132,$G803,月間集計シート!N$113:N$132)*AL$2</f>
        <v>0</v>
      </c>
      <c r="AM803" s="88">
        <f>SUMIF(月間集計シート!$M$113:$M$132,$G803,月間集計シート!O$113:O$132)*AM$2</f>
        <v>0</v>
      </c>
      <c r="AN803" s="88">
        <f>SUMIF(月間集計シート!$M$113:$M$132,$G803,月間集計シート!P$113:P$132)*AN$2</f>
        <v>0</v>
      </c>
      <c r="AO803" s="88">
        <f>SUMIF(月間集計シート!$M$113:$M$132,$G803,月間集計シート!Q$113:Q$132)*AO$2</f>
        <v>0</v>
      </c>
      <c r="AP803" s="88">
        <f>SUMIF(月間集計シート!$M$113:$M$132,$G803,月間集計シート!R$113:R$132)*AP$2</f>
        <v>0</v>
      </c>
      <c r="AQ803" s="88">
        <f>SUMIF(月間集計シート!$M$113:$M$132,$G803,月間集計シート!S$113:S$132)*AQ$2</f>
        <v>0</v>
      </c>
      <c r="AR803" s="88">
        <f>SUMIF(月間集計シート!$M$113:$M$132,$G803,月間集計シート!T$113:T$132)*AR$2</f>
        <v>0</v>
      </c>
      <c r="AS803" s="88">
        <f>SUMIF(月間集計シート!$M$134:$M$153,$G803,月間集計シート!N$134:N$153)*AS$2</f>
        <v>0</v>
      </c>
      <c r="AT803" s="88">
        <f>SUMIF(月間集計シート!$M$134:$M$153,$G803,月間集計シート!O$134:O$153)*AT$2</f>
        <v>0</v>
      </c>
      <c r="AU803" s="88">
        <f>SUMIF(月間集計シート!$M$134:$M$153,$G803,月間集計シート!P$134:P$153)*AU$2</f>
        <v>0</v>
      </c>
      <c r="AV803" s="88">
        <f>SUMIF(月間集計シート!$M$134:$M$153,$G803,月間集計シート!Q$134:Q$153)*AV$2</f>
        <v>0</v>
      </c>
      <c r="AW803" s="88">
        <f>SUMIF(月間集計シート!$M$134:$M$153,$G803,月間集計シート!R$134:R$153)*AW$2</f>
        <v>0</v>
      </c>
      <c r="AX803" s="88">
        <f>SUMIF(月間集計シート!$M$134:$M$153,$G803,月間集計シート!S$134:S$153)*AX$2</f>
        <v>0</v>
      </c>
      <c r="AY803" s="88">
        <f>SUMIF(月間集計シート!$M$134:$M$153,$G803,月間集計シート!T$134:T$153)*AY$2</f>
        <v>0</v>
      </c>
    </row>
    <row r="804" spans="1:51" ht="14.25" thickBot="1">
      <c r="A804">
        <v>10</v>
      </c>
      <c r="B804" s="120">
        <f t="shared" si="411"/>
        <v>0</v>
      </c>
      <c r="C804" s="120" t="str">
        <f t="shared" si="412"/>
        <v/>
      </c>
      <c r="D804" s="137"/>
      <c r="E804" s="150" t="str">
        <f>工種!A31</f>
        <v>40109</v>
      </c>
      <c r="F804" s="119" t="str">
        <f>工種!B31</f>
        <v>テスト：打合せ</v>
      </c>
      <c r="G804" s="116" t="str">
        <f t="shared" si="413"/>
        <v>040109</v>
      </c>
      <c r="H804" s="88">
        <f t="shared" si="367"/>
        <v>0</v>
      </c>
      <c r="I804" s="132"/>
      <c r="J804" s="88">
        <f>SUMIF(月間集計シート!$M$29:$M$48,$G804,月間集計シート!N$29:N$48)*J$2</f>
        <v>0</v>
      </c>
      <c r="K804" s="88">
        <f>SUMIF(月間集計シート!$M$29:$M$48,$G804,月間集計シート!O$29:O$48)*K$2</f>
        <v>0</v>
      </c>
      <c r="L804" s="88">
        <f>SUMIF(月間集計シート!$M$29:$M$48,$G804,月間集計シート!P$29:P$48)*L$2</f>
        <v>0</v>
      </c>
      <c r="M804" s="88">
        <f>SUMIF(月間集計シート!$M$29:$M$48,$G804,月間集計シート!Q$29:Q$48)*M$2</f>
        <v>0</v>
      </c>
      <c r="N804" s="88">
        <f>SUMIF(月間集計シート!$M$29:$M$48,$G804,月間集計シート!R$29:R$48)*N$2</f>
        <v>0</v>
      </c>
      <c r="O804" s="88">
        <f>SUMIF(月間集計シート!$M$29:$M$48,$G804,月間集計シート!S$29:S$48)*O$2</f>
        <v>0</v>
      </c>
      <c r="P804" s="88">
        <f>SUMIF(月間集計シート!$M$29:$M$48,$G804,月間集計シート!T$29:T$48)*P$2</f>
        <v>0</v>
      </c>
      <c r="Q804" s="88">
        <f>SUMIF(月間集計シート!$M$50:$M$69,$G804,月間集計シート!N$50:N$69)*Q$2</f>
        <v>0</v>
      </c>
      <c r="R804" s="88">
        <f>SUMIF(月間集計シート!$M$50:$M$69,$G804,月間集計シート!O$50:O$69)*R$2</f>
        <v>0</v>
      </c>
      <c r="S804" s="88">
        <f>SUMIF(月間集計シート!$M$50:$M$69,$G804,月間集計シート!P$50:P$69)*S$2</f>
        <v>0</v>
      </c>
      <c r="T804" s="88">
        <f>SUMIF(月間集計シート!$M$50:$M$69,$G804,月間集計シート!Q$50:Q$69)*T$2</f>
        <v>0</v>
      </c>
      <c r="U804" s="88">
        <f>SUMIF(月間集計シート!$M$50:$M$69,$G804,月間集計シート!R$50:R$69)*U$2</f>
        <v>0</v>
      </c>
      <c r="V804" s="88">
        <f>SUMIF(月間集計シート!$M$50:$M$69,$G804,月間集計シート!S$50:S$69)*V$2</f>
        <v>0</v>
      </c>
      <c r="W804" s="88">
        <f>SUMIF(月間集計シート!$M$50:$M$69,$G804,月間集計シート!T$50:T$69)*W$2</f>
        <v>0</v>
      </c>
      <c r="X804" s="88">
        <f>SUMIF(月間集計シート!$M$71:$M$90,$G804,月間集計シート!N$71:N$90)*X$2</f>
        <v>0</v>
      </c>
      <c r="Y804" s="88">
        <f>SUMIF(月間集計シート!$M$71:$M$90,$G804,月間集計シート!O$71:O$90)*Y$2</f>
        <v>0</v>
      </c>
      <c r="Z804" s="88">
        <f>SUMIF(月間集計シート!$M$71:$M$90,$G804,月間集計シート!P$71:P$90)*Z$2</f>
        <v>0</v>
      </c>
      <c r="AA804" s="88">
        <f>SUMIF(月間集計シート!$M$71:$M$90,$G804,月間集計シート!Q$71:Q$90)*AA$2</f>
        <v>0</v>
      </c>
      <c r="AB804" s="88">
        <f>SUMIF(月間集計シート!$M$71:$M$90,$G804,月間集計シート!R$71:R$90)*AB$2</f>
        <v>0</v>
      </c>
      <c r="AC804" s="88">
        <f>SUMIF(月間集計シート!$M$71:$M$90,$G804,月間集計シート!S$71:S$90)*AC$2</f>
        <v>0</v>
      </c>
      <c r="AD804" s="88">
        <f>SUMIF(月間集計シート!$M$71:$M$90,$G804,月間集計シート!T$71:T$90)*AD$2</f>
        <v>0</v>
      </c>
      <c r="AE804" s="88">
        <f>SUMIF(月間集計シート!$M$92:$M$111,$G804,月間集計シート!N$92:N$111)*AE$2</f>
        <v>0</v>
      </c>
      <c r="AF804" s="88">
        <f>SUMIF(月間集計シート!$M$92:$M$111,$G804,月間集計シート!O$92:O$111)*AF$2</f>
        <v>0</v>
      </c>
      <c r="AG804" s="88">
        <f>SUMIF(月間集計シート!$M$92:$M$111,$G804,月間集計シート!P$92:P$111)*AG$2</f>
        <v>0</v>
      </c>
      <c r="AH804" s="88">
        <f>SUMIF(月間集計シート!$M$92:$M$111,$G804,月間集計シート!Q$92:Q$111)*AH$2</f>
        <v>0</v>
      </c>
      <c r="AI804" s="88">
        <f>SUMIF(月間集計シート!$M$92:$M$111,$G804,月間集計シート!R$92:R$111)*AI$2</f>
        <v>0</v>
      </c>
      <c r="AJ804" s="88">
        <f>SUMIF(月間集計シート!$M$92:$M$111,$G804,月間集計シート!S$92:S$111)*AJ$2</f>
        <v>0</v>
      </c>
      <c r="AK804" s="88">
        <f>SUMIF(月間集計シート!$M$92:$M$111,$G804,月間集計シート!T$92:T$111)*AK$2</f>
        <v>0</v>
      </c>
      <c r="AL804" s="88">
        <f>SUMIF(月間集計シート!$M$113:$M$132,$G804,月間集計シート!N$113:N$132)*AL$2</f>
        <v>0</v>
      </c>
      <c r="AM804" s="88">
        <f>SUMIF(月間集計シート!$M$113:$M$132,$G804,月間集計シート!O$113:O$132)*AM$2</f>
        <v>0</v>
      </c>
      <c r="AN804" s="88">
        <f>SUMIF(月間集計シート!$M$113:$M$132,$G804,月間集計シート!P$113:P$132)*AN$2</f>
        <v>0</v>
      </c>
      <c r="AO804" s="88">
        <f>SUMIF(月間集計シート!$M$113:$M$132,$G804,月間集計シート!Q$113:Q$132)*AO$2</f>
        <v>0</v>
      </c>
      <c r="AP804" s="88">
        <f>SUMIF(月間集計シート!$M$113:$M$132,$G804,月間集計シート!R$113:R$132)*AP$2</f>
        <v>0</v>
      </c>
      <c r="AQ804" s="88">
        <f>SUMIF(月間集計シート!$M$113:$M$132,$G804,月間集計シート!S$113:S$132)*AQ$2</f>
        <v>0</v>
      </c>
      <c r="AR804" s="88">
        <f>SUMIF(月間集計シート!$M$113:$M$132,$G804,月間集計シート!T$113:T$132)*AR$2</f>
        <v>0</v>
      </c>
      <c r="AS804" s="88">
        <f>SUMIF(月間集計シート!$M$134:$M$153,$G804,月間集計シート!N$134:N$153)*AS$2</f>
        <v>0</v>
      </c>
      <c r="AT804" s="88">
        <f>SUMIF(月間集計シート!$M$134:$M$153,$G804,月間集計シート!O$134:O$153)*AT$2</f>
        <v>0</v>
      </c>
      <c r="AU804" s="88">
        <f>SUMIF(月間集計シート!$M$134:$M$153,$G804,月間集計シート!P$134:P$153)*AU$2</f>
        <v>0</v>
      </c>
      <c r="AV804" s="88">
        <f>SUMIF(月間集計シート!$M$134:$M$153,$G804,月間集計シート!Q$134:Q$153)*AV$2</f>
        <v>0</v>
      </c>
      <c r="AW804" s="88">
        <f>SUMIF(月間集計シート!$M$134:$M$153,$G804,月間集計シート!R$134:R$153)*AW$2</f>
        <v>0</v>
      </c>
      <c r="AX804" s="88">
        <f>SUMIF(月間集計シート!$M$134:$M$153,$G804,月間集計シート!S$134:S$153)*AX$2</f>
        <v>0</v>
      </c>
      <c r="AY804" s="88">
        <f>SUMIF(月間集計シート!$M$134:$M$153,$G804,月間集計シート!T$134:T$153)*AY$2</f>
        <v>0</v>
      </c>
    </row>
    <row r="805" spans="1:51" ht="14.25" thickBot="1">
      <c r="A805">
        <v>10</v>
      </c>
      <c r="B805" s="120">
        <f t="shared" si="411"/>
        <v>0</v>
      </c>
      <c r="C805" s="120" t="str">
        <f t="shared" si="412"/>
        <v/>
      </c>
      <c r="D805" s="137"/>
      <c r="E805" s="150" t="str">
        <f>工種!A32</f>
        <v>40110</v>
      </c>
      <c r="F805" s="119" t="str">
        <f>工種!B32</f>
        <v>テスト：レビュー</v>
      </c>
      <c r="G805" s="116" t="str">
        <f t="shared" si="413"/>
        <v>040110</v>
      </c>
      <c r="H805" s="88">
        <f t="shared" si="367"/>
        <v>0</v>
      </c>
      <c r="I805" s="132"/>
      <c r="J805" s="88">
        <f>SUMIF(月間集計シート!$M$29:$M$48,$G805,月間集計シート!N$29:N$48)*J$2</f>
        <v>0</v>
      </c>
      <c r="K805" s="88">
        <f>SUMIF(月間集計シート!$M$29:$M$48,$G805,月間集計シート!O$29:O$48)*K$2</f>
        <v>0</v>
      </c>
      <c r="L805" s="88">
        <f>SUMIF(月間集計シート!$M$29:$M$48,$G805,月間集計シート!P$29:P$48)*L$2</f>
        <v>0</v>
      </c>
      <c r="M805" s="88">
        <f>SUMIF(月間集計シート!$M$29:$M$48,$G805,月間集計シート!Q$29:Q$48)*M$2</f>
        <v>0</v>
      </c>
      <c r="N805" s="88">
        <f>SUMIF(月間集計シート!$M$29:$M$48,$G805,月間集計シート!R$29:R$48)*N$2</f>
        <v>0</v>
      </c>
      <c r="O805" s="88">
        <f>SUMIF(月間集計シート!$M$29:$M$48,$G805,月間集計シート!S$29:S$48)*O$2</f>
        <v>0</v>
      </c>
      <c r="P805" s="88">
        <f>SUMIF(月間集計シート!$M$29:$M$48,$G805,月間集計シート!T$29:T$48)*P$2</f>
        <v>0</v>
      </c>
      <c r="Q805" s="88">
        <f>SUMIF(月間集計シート!$M$50:$M$69,$G805,月間集計シート!N$50:N$69)*Q$2</f>
        <v>0</v>
      </c>
      <c r="R805" s="88">
        <f>SUMIF(月間集計シート!$M$50:$M$69,$G805,月間集計シート!O$50:O$69)*R$2</f>
        <v>0</v>
      </c>
      <c r="S805" s="88">
        <f>SUMIF(月間集計シート!$M$50:$M$69,$G805,月間集計シート!P$50:P$69)*S$2</f>
        <v>0</v>
      </c>
      <c r="T805" s="88">
        <f>SUMIF(月間集計シート!$M$50:$M$69,$G805,月間集計シート!Q$50:Q$69)*T$2</f>
        <v>0</v>
      </c>
      <c r="U805" s="88">
        <f>SUMIF(月間集計シート!$M$50:$M$69,$G805,月間集計シート!R$50:R$69)*U$2</f>
        <v>0</v>
      </c>
      <c r="V805" s="88">
        <f>SUMIF(月間集計シート!$M$50:$M$69,$G805,月間集計シート!S$50:S$69)*V$2</f>
        <v>0</v>
      </c>
      <c r="W805" s="88">
        <f>SUMIF(月間集計シート!$M$50:$M$69,$G805,月間集計シート!T$50:T$69)*W$2</f>
        <v>0</v>
      </c>
      <c r="X805" s="88">
        <f>SUMIF(月間集計シート!$M$71:$M$90,$G805,月間集計シート!N$71:N$90)*X$2</f>
        <v>0</v>
      </c>
      <c r="Y805" s="88">
        <f>SUMIF(月間集計シート!$M$71:$M$90,$G805,月間集計シート!O$71:O$90)*Y$2</f>
        <v>0</v>
      </c>
      <c r="Z805" s="88">
        <f>SUMIF(月間集計シート!$M$71:$M$90,$G805,月間集計シート!P$71:P$90)*Z$2</f>
        <v>0</v>
      </c>
      <c r="AA805" s="88">
        <f>SUMIF(月間集計シート!$M$71:$M$90,$G805,月間集計シート!Q$71:Q$90)*AA$2</f>
        <v>0</v>
      </c>
      <c r="AB805" s="88">
        <f>SUMIF(月間集計シート!$M$71:$M$90,$G805,月間集計シート!R$71:R$90)*AB$2</f>
        <v>0</v>
      </c>
      <c r="AC805" s="88">
        <f>SUMIF(月間集計シート!$M$71:$M$90,$G805,月間集計シート!S$71:S$90)*AC$2</f>
        <v>0</v>
      </c>
      <c r="AD805" s="88">
        <f>SUMIF(月間集計シート!$M$71:$M$90,$G805,月間集計シート!T$71:T$90)*AD$2</f>
        <v>0</v>
      </c>
      <c r="AE805" s="88">
        <f>SUMIF(月間集計シート!$M$92:$M$111,$G805,月間集計シート!N$92:N$111)*AE$2</f>
        <v>0</v>
      </c>
      <c r="AF805" s="88">
        <f>SUMIF(月間集計シート!$M$92:$M$111,$G805,月間集計シート!O$92:O$111)*AF$2</f>
        <v>0</v>
      </c>
      <c r="AG805" s="88">
        <f>SUMIF(月間集計シート!$M$92:$M$111,$G805,月間集計シート!P$92:P$111)*AG$2</f>
        <v>0</v>
      </c>
      <c r="AH805" s="88">
        <f>SUMIF(月間集計シート!$M$92:$M$111,$G805,月間集計シート!Q$92:Q$111)*AH$2</f>
        <v>0</v>
      </c>
      <c r="AI805" s="88">
        <f>SUMIF(月間集計シート!$M$92:$M$111,$G805,月間集計シート!R$92:R$111)*AI$2</f>
        <v>0</v>
      </c>
      <c r="AJ805" s="88">
        <f>SUMIF(月間集計シート!$M$92:$M$111,$G805,月間集計シート!S$92:S$111)*AJ$2</f>
        <v>0</v>
      </c>
      <c r="AK805" s="88">
        <f>SUMIF(月間集計シート!$M$92:$M$111,$G805,月間集計シート!T$92:T$111)*AK$2</f>
        <v>0</v>
      </c>
      <c r="AL805" s="88">
        <f>SUMIF(月間集計シート!$M$113:$M$132,$G805,月間集計シート!N$113:N$132)*AL$2</f>
        <v>0</v>
      </c>
      <c r="AM805" s="88">
        <f>SUMIF(月間集計シート!$M$113:$M$132,$G805,月間集計シート!O$113:O$132)*AM$2</f>
        <v>0</v>
      </c>
      <c r="AN805" s="88">
        <f>SUMIF(月間集計シート!$M$113:$M$132,$G805,月間集計シート!P$113:P$132)*AN$2</f>
        <v>0</v>
      </c>
      <c r="AO805" s="88">
        <f>SUMIF(月間集計シート!$M$113:$M$132,$G805,月間集計シート!Q$113:Q$132)*AO$2</f>
        <v>0</v>
      </c>
      <c r="AP805" s="88">
        <f>SUMIF(月間集計シート!$M$113:$M$132,$G805,月間集計シート!R$113:R$132)*AP$2</f>
        <v>0</v>
      </c>
      <c r="AQ805" s="88">
        <f>SUMIF(月間集計シート!$M$113:$M$132,$G805,月間集計シート!S$113:S$132)*AQ$2</f>
        <v>0</v>
      </c>
      <c r="AR805" s="88">
        <f>SUMIF(月間集計シート!$M$113:$M$132,$G805,月間集計シート!T$113:T$132)*AR$2</f>
        <v>0</v>
      </c>
      <c r="AS805" s="88">
        <f>SUMIF(月間集計シート!$M$134:$M$153,$G805,月間集計シート!N$134:N$153)*AS$2</f>
        <v>0</v>
      </c>
      <c r="AT805" s="88">
        <f>SUMIF(月間集計シート!$M$134:$M$153,$G805,月間集計シート!O$134:O$153)*AT$2</f>
        <v>0</v>
      </c>
      <c r="AU805" s="88">
        <f>SUMIF(月間集計シート!$M$134:$M$153,$G805,月間集計シート!P$134:P$153)*AU$2</f>
        <v>0</v>
      </c>
      <c r="AV805" s="88">
        <f>SUMIF(月間集計シート!$M$134:$M$153,$G805,月間集計シート!Q$134:Q$153)*AV$2</f>
        <v>0</v>
      </c>
      <c r="AW805" s="88">
        <f>SUMIF(月間集計シート!$M$134:$M$153,$G805,月間集計シート!R$134:R$153)*AW$2</f>
        <v>0</v>
      </c>
      <c r="AX805" s="88">
        <f>SUMIF(月間集計シート!$M$134:$M$153,$G805,月間集計シート!S$134:S$153)*AX$2</f>
        <v>0</v>
      </c>
      <c r="AY805" s="88">
        <f>SUMIF(月間集計シート!$M$134:$M$153,$G805,月間集計シート!T$134:T$153)*AY$2</f>
        <v>0</v>
      </c>
    </row>
    <row r="806" spans="1:51" ht="14.25" thickBot="1">
      <c r="A806">
        <v>10</v>
      </c>
      <c r="B806" s="120">
        <f t="shared" si="411"/>
        <v>0</v>
      </c>
      <c r="C806" s="120" t="str">
        <f t="shared" si="412"/>
        <v/>
      </c>
      <c r="D806" s="137"/>
      <c r="E806" s="150" t="str">
        <f>工種!A33</f>
        <v>40111</v>
      </c>
      <c r="F806" s="119" t="str">
        <f>工種!B33</f>
        <v>テスト：PG修正（手戻り分）</v>
      </c>
      <c r="G806" s="116" t="str">
        <f t="shared" si="413"/>
        <v>040111</v>
      </c>
      <c r="H806" s="88">
        <f t="shared" si="367"/>
        <v>0</v>
      </c>
      <c r="I806" s="132"/>
      <c r="J806" s="88">
        <f>SUMIF(月間集計シート!$M$29:$M$48,$G806,月間集計シート!N$29:N$48)*J$2</f>
        <v>0</v>
      </c>
      <c r="K806" s="88">
        <f>SUMIF(月間集計シート!$M$29:$M$48,$G806,月間集計シート!O$29:O$48)*K$2</f>
        <v>0</v>
      </c>
      <c r="L806" s="88">
        <f>SUMIF(月間集計シート!$M$29:$M$48,$G806,月間集計シート!P$29:P$48)*L$2</f>
        <v>0</v>
      </c>
      <c r="M806" s="88">
        <f>SUMIF(月間集計シート!$M$29:$M$48,$G806,月間集計シート!Q$29:Q$48)*M$2</f>
        <v>0</v>
      </c>
      <c r="N806" s="88">
        <f>SUMIF(月間集計シート!$M$29:$M$48,$G806,月間集計シート!R$29:R$48)*N$2</f>
        <v>0</v>
      </c>
      <c r="O806" s="88">
        <f>SUMIF(月間集計シート!$M$29:$M$48,$G806,月間集計シート!S$29:S$48)*O$2</f>
        <v>0</v>
      </c>
      <c r="P806" s="88">
        <f>SUMIF(月間集計シート!$M$29:$M$48,$G806,月間集計シート!T$29:T$48)*P$2</f>
        <v>0</v>
      </c>
      <c r="Q806" s="88">
        <f>SUMIF(月間集計シート!$M$50:$M$69,$G806,月間集計シート!N$50:N$69)*Q$2</f>
        <v>0</v>
      </c>
      <c r="R806" s="88">
        <f>SUMIF(月間集計シート!$M$50:$M$69,$G806,月間集計シート!O$50:O$69)*R$2</f>
        <v>0</v>
      </c>
      <c r="S806" s="88">
        <f>SUMIF(月間集計シート!$M$50:$M$69,$G806,月間集計シート!P$50:P$69)*S$2</f>
        <v>0</v>
      </c>
      <c r="T806" s="88">
        <f>SUMIF(月間集計シート!$M$50:$M$69,$G806,月間集計シート!Q$50:Q$69)*T$2</f>
        <v>0</v>
      </c>
      <c r="U806" s="88">
        <f>SUMIF(月間集計シート!$M$50:$M$69,$G806,月間集計シート!R$50:R$69)*U$2</f>
        <v>0</v>
      </c>
      <c r="V806" s="88">
        <f>SUMIF(月間集計シート!$M$50:$M$69,$G806,月間集計シート!S$50:S$69)*V$2</f>
        <v>0</v>
      </c>
      <c r="W806" s="88">
        <f>SUMIF(月間集計シート!$M$50:$M$69,$G806,月間集計シート!T$50:T$69)*W$2</f>
        <v>0</v>
      </c>
      <c r="X806" s="88">
        <f>SUMIF(月間集計シート!$M$71:$M$90,$G806,月間集計シート!N$71:N$90)*X$2</f>
        <v>0</v>
      </c>
      <c r="Y806" s="88">
        <f>SUMIF(月間集計シート!$M$71:$M$90,$G806,月間集計シート!O$71:O$90)*Y$2</f>
        <v>0</v>
      </c>
      <c r="Z806" s="88">
        <f>SUMIF(月間集計シート!$M$71:$M$90,$G806,月間集計シート!P$71:P$90)*Z$2</f>
        <v>0</v>
      </c>
      <c r="AA806" s="88">
        <f>SUMIF(月間集計シート!$M$71:$M$90,$G806,月間集計シート!Q$71:Q$90)*AA$2</f>
        <v>0</v>
      </c>
      <c r="AB806" s="88">
        <f>SUMIF(月間集計シート!$M$71:$M$90,$G806,月間集計シート!R$71:R$90)*AB$2</f>
        <v>0</v>
      </c>
      <c r="AC806" s="88">
        <f>SUMIF(月間集計シート!$M$71:$M$90,$G806,月間集計シート!S$71:S$90)*AC$2</f>
        <v>0</v>
      </c>
      <c r="AD806" s="88">
        <f>SUMIF(月間集計シート!$M$71:$M$90,$G806,月間集計シート!T$71:T$90)*AD$2</f>
        <v>0</v>
      </c>
      <c r="AE806" s="88">
        <f>SUMIF(月間集計シート!$M$92:$M$111,$G806,月間集計シート!N$92:N$111)*AE$2</f>
        <v>0</v>
      </c>
      <c r="AF806" s="88">
        <f>SUMIF(月間集計シート!$M$92:$M$111,$G806,月間集計シート!O$92:O$111)*AF$2</f>
        <v>0</v>
      </c>
      <c r="AG806" s="88">
        <f>SUMIF(月間集計シート!$M$92:$M$111,$G806,月間集計シート!P$92:P$111)*AG$2</f>
        <v>0</v>
      </c>
      <c r="AH806" s="88">
        <f>SUMIF(月間集計シート!$M$92:$M$111,$G806,月間集計シート!Q$92:Q$111)*AH$2</f>
        <v>0</v>
      </c>
      <c r="AI806" s="88">
        <f>SUMIF(月間集計シート!$M$92:$M$111,$G806,月間集計シート!R$92:R$111)*AI$2</f>
        <v>0</v>
      </c>
      <c r="AJ806" s="88">
        <f>SUMIF(月間集計シート!$M$92:$M$111,$G806,月間集計シート!S$92:S$111)*AJ$2</f>
        <v>0</v>
      </c>
      <c r="AK806" s="88">
        <f>SUMIF(月間集計シート!$M$92:$M$111,$G806,月間集計シート!T$92:T$111)*AK$2</f>
        <v>0</v>
      </c>
      <c r="AL806" s="88">
        <f>SUMIF(月間集計シート!$M$113:$M$132,$G806,月間集計シート!N$113:N$132)*AL$2</f>
        <v>0</v>
      </c>
      <c r="AM806" s="88">
        <f>SUMIF(月間集計シート!$M$113:$M$132,$G806,月間集計シート!O$113:O$132)*AM$2</f>
        <v>0</v>
      </c>
      <c r="AN806" s="88">
        <f>SUMIF(月間集計シート!$M$113:$M$132,$G806,月間集計シート!P$113:P$132)*AN$2</f>
        <v>0</v>
      </c>
      <c r="AO806" s="88">
        <f>SUMIF(月間集計シート!$M$113:$M$132,$G806,月間集計シート!Q$113:Q$132)*AO$2</f>
        <v>0</v>
      </c>
      <c r="AP806" s="88">
        <f>SUMIF(月間集計シート!$M$113:$M$132,$G806,月間集計シート!R$113:R$132)*AP$2</f>
        <v>0</v>
      </c>
      <c r="AQ806" s="88">
        <f>SUMIF(月間集計シート!$M$113:$M$132,$G806,月間集計シート!S$113:S$132)*AQ$2</f>
        <v>0</v>
      </c>
      <c r="AR806" s="88">
        <f>SUMIF(月間集計シート!$M$113:$M$132,$G806,月間集計シート!T$113:T$132)*AR$2</f>
        <v>0</v>
      </c>
      <c r="AS806" s="88">
        <f>SUMIF(月間集計シート!$M$134:$M$153,$G806,月間集計シート!N$134:N$153)*AS$2</f>
        <v>0</v>
      </c>
      <c r="AT806" s="88">
        <f>SUMIF(月間集計シート!$M$134:$M$153,$G806,月間集計シート!O$134:O$153)*AT$2</f>
        <v>0</v>
      </c>
      <c r="AU806" s="88">
        <f>SUMIF(月間集計シート!$M$134:$M$153,$G806,月間集計シート!P$134:P$153)*AU$2</f>
        <v>0</v>
      </c>
      <c r="AV806" s="88">
        <f>SUMIF(月間集計シート!$M$134:$M$153,$G806,月間集計シート!Q$134:Q$153)*AV$2</f>
        <v>0</v>
      </c>
      <c r="AW806" s="88">
        <f>SUMIF(月間集計シート!$M$134:$M$153,$G806,月間集計シート!R$134:R$153)*AW$2</f>
        <v>0</v>
      </c>
      <c r="AX806" s="88">
        <f>SUMIF(月間集計シート!$M$134:$M$153,$G806,月間集計シート!S$134:S$153)*AX$2</f>
        <v>0</v>
      </c>
      <c r="AY806" s="88">
        <f>SUMIF(月間集計シート!$M$134:$M$153,$G806,月間集計シート!T$134:T$153)*AY$2</f>
        <v>0</v>
      </c>
    </row>
    <row r="807" spans="1:51" ht="14.25" thickBot="1">
      <c r="A807">
        <v>10</v>
      </c>
      <c r="B807" s="120">
        <f t="shared" si="411"/>
        <v>0</v>
      </c>
      <c r="C807" s="120" t="str">
        <f t="shared" si="412"/>
        <v/>
      </c>
      <c r="D807" s="137"/>
      <c r="E807" s="150" t="str">
        <f>工種!A34</f>
        <v>40112</v>
      </c>
      <c r="F807" s="119" t="str">
        <f>工種!B34</f>
        <v>テスト：再テスト（手戻り分）</v>
      </c>
      <c r="G807" s="116" t="str">
        <f t="shared" si="413"/>
        <v>040112</v>
      </c>
      <c r="H807" s="88">
        <f t="shared" si="367"/>
        <v>0</v>
      </c>
      <c r="I807" s="132"/>
      <c r="J807" s="88">
        <f>SUMIF(月間集計シート!$M$29:$M$48,$G807,月間集計シート!N$29:N$48)*J$2</f>
        <v>0</v>
      </c>
      <c r="K807" s="88">
        <f>SUMIF(月間集計シート!$M$29:$M$48,$G807,月間集計シート!O$29:O$48)*K$2</f>
        <v>0</v>
      </c>
      <c r="L807" s="88">
        <f>SUMIF(月間集計シート!$M$29:$M$48,$G807,月間集計シート!P$29:P$48)*L$2</f>
        <v>0</v>
      </c>
      <c r="M807" s="88">
        <f>SUMIF(月間集計シート!$M$29:$M$48,$G807,月間集計シート!Q$29:Q$48)*M$2</f>
        <v>0</v>
      </c>
      <c r="N807" s="88">
        <f>SUMIF(月間集計シート!$M$29:$M$48,$G807,月間集計シート!R$29:R$48)*N$2</f>
        <v>0</v>
      </c>
      <c r="O807" s="88">
        <f>SUMIF(月間集計シート!$M$29:$M$48,$G807,月間集計シート!S$29:S$48)*O$2</f>
        <v>0</v>
      </c>
      <c r="P807" s="88">
        <f>SUMIF(月間集計シート!$M$29:$M$48,$G807,月間集計シート!T$29:T$48)*P$2</f>
        <v>0</v>
      </c>
      <c r="Q807" s="88">
        <f>SUMIF(月間集計シート!$M$50:$M$69,$G807,月間集計シート!N$50:N$69)*Q$2</f>
        <v>0</v>
      </c>
      <c r="R807" s="88">
        <f>SUMIF(月間集計シート!$M$50:$M$69,$G807,月間集計シート!O$50:O$69)*R$2</f>
        <v>0</v>
      </c>
      <c r="S807" s="88">
        <f>SUMIF(月間集計シート!$M$50:$M$69,$G807,月間集計シート!P$50:P$69)*S$2</f>
        <v>0</v>
      </c>
      <c r="T807" s="88">
        <f>SUMIF(月間集計シート!$M$50:$M$69,$G807,月間集計シート!Q$50:Q$69)*T$2</f>
        <v>0</v>
      </c>
      <c r="U807" s="88">
        <f>SUMIF(月間集計シート!$M$50:$M$69,$G807,月間集計シート!R$50:R$69)*U$2</f>
        <v>0</v>
      </c>
      <c r="V807" s="88">
        <f>SUMIF(月間集計シート!$M$50:$M$69,$G807,月間集計シート!S$50:S$69)*V$2</f>
        <v>0</v>
      </c>
      <c r="W807" s="88">
        <f>SUMIF(月間集計シート!$M$50:$M$69,$G807,月間集計シート!T$50:T$69)*W$2</f>
        <v>0</v>
      </c>
      <c r="X807" s="88">
        <f>SUMIF(月間集計シート!$M$71:$M$90,$G807,月間集計シート!N$71:N$90)*X$2</f>
        <v>0</v>
      </c>
      <c r="Y807" s="88">
        <f>SUMIF(月間集計シート!$M$71:$M$90,$G807,月間集計シート!O$71:O$90)*Y$2</f>
        <v>0</v>
      </c>
      <c r="Z807" s="88">
        <f>SUMIF(月間集計シート!$M$71:$M$90,$G807,月間集計シート!P$71:P$90)*Z$2</f>
        <v>0</v>
      </c>
      <c r="AA807" s="88">
        <f>SUMIF(月間集計シート!$M$71:$M$90,$G807,月間集計シート!Q$71:Q$90)*AA$2</f>
        <v>0</v>
      </c>
      <c r="AB807" s="88">
        <f>SUMIF(月間集計シート!$M$71:$M$90,$G807,月間集計シート!R$71:R$90)*AB$2</f>
        <v>0</v>
      </c>
      <c r="AC807" s="88">
        <f>SUMIF(月間集計シート!$M$71:$M$90,$G807,月間集計シート!S$71:S$90)*AC$2</f>
        <v>0</v>
      </c>
      <c r="AD807" s="88">
        <f>SUMIF(月間集計シート!$M$71:$M$90,$G807,月間集計シート!T$71:T$90)*AD$2</f>
        <v>0</v>
      </c>
      <c r="AE807" s="88">
        <f>SUMIF(月間集計シート!$M$92:$M$111,$G807,月間集計シート!N$92:N$111)*AE$2</f>
        <v>0</v>
      </c>
      <c r="AF807" s="88">
        <f>SUMIF(月間集計シート!$M$92:$M$111,$G807,月間集計シート!O$92:O$111)*AF$2</f>
        <v>0</v>
      </c>
      <c r="AG807" s="88">
        <f>SUMIF(月間集計シート!$M$92:$M$111,$G807,月間集計シート!P$92:P$111)*AG$2</f>
        <v>0</v>
      </c>
      <c r="AH807" s="88">
        <f>SUMIF(月間集計シート!$M$92:$M$111,$G807,月間集計シート!Q$92:Q$111)*AH$2</f>
        <v>0</v>
      </c>
      <c r="AI807" s="88">
        <f>SUMIF(月間集計シート!$M$92:$M$111,$G807,月間集計シート!R$92:R$111)*AI$2</f>
        <v>0</v>
      </c>
      <c r="AJ807" s="88">
        <f>SUMIF(月間集計シート!$M$92:$M$111,$G807,月間集計シート!S$92:S$111)*AJ$2</f>
        <v>0</v>
      </c>
      <c r="AK807" s="88">
        <f>SUMIF(月間集計シート!$M$92:$M$111,$G807,月間集計シート!T$92:T$111)*AK$2</f>
        <v>0</v>
      </c>
      <c r="AL807" s="88">
        <f>SUMIF(月間集計シート!$M$113:$M$132,$G807,月間集計シート!N$113:N$132)*AL$2</f>
        <v>0</v>
      </c>
      <c r="AM807" s="88">
        <f>SUMIF(月間集計シート!$M$113:$M$132,$G807,月間集計シート!O$113:O$132)*AM$2</f>
        <v>0</v>
      </c>
      <c r="AN807" s="88">
        <f>SUMIF(月間集計シート!$M$113:$M$132,$G807,月間集計シート!P$113:P$132)*AN$2</f>
        <v>0</v>
      </c>
      <c r="AO807" s="88">
        <f>SUMIF(月間集計シート!$M$113:$M$132,$G807,月間集計シート!Q$113:Q$132)*AO$2</f>
        <v>0</v>
      </c>
      <c r="AP807" s="88">
        <f>SUMIF(月間集計シート!$M$113:$M$132,$G807,月間集計シート!R$113:R$132)*AP$2</f>
        <v>0</v>
      </c>
      <c r="AQ807" s="88">
        <f>SUMIF(月間集計シート!$M$113:$M$132,$G807,月間集計シート!S$113:S$132)*AQ$2</f>
        <v>0</v>
      </c>
      <c r="AR807" s="88">
        <f>SUMIF(月間集計シート!$M$113:$M$132,$G807,月間集計シート!T$113:T$132)*AR$2</f>
        <v>0</v>
      </c>
      <c r="AS807" s="88">
        <f>SUMIF(月間集計シート!$M$134:$M$153,$G807,月間集計シート!N$134:N$153)*AS$2</f>
        <v>0</v>
      </c>
      <c r="AT807" s="88">
        <f>SUMIF(月間集計シート!$M$134:$M$153,$G807,月間集計シート!O$134:O$153)*AT$2</f>
        <v>0</v>
      </c>
      <c r="AU807" s="88">
        <f>SUMIF(月間集計シート!$M$134:$M$153,$G807,月間集計シート!P$134:P$153)*AU$2</f>
        <v>0</v>
      </c>
      <c r="AV807" s="88">
        <f>SUMIF(月間集計シート!$M$134:$M$153,$G807,月間集計シート!Q$134:Q$153)*AV$2</f>
        <v>0</v>
      </c>
      <c r="AW807" s="88">
        <f>SUMIF(月間集計シート!$M$134:$M$153,$G807,月間集計シート!R$134:R$153)*AW$2</f>
        <v>0</v>
      </c>
      <c r="AX807" s="88">
        <f>SUMIF(月間集計シート!$M$134:$M$153,$G807,月間集計シート!S$134:S$153)*AX$2</f>
        <v>0</v>
      </c>
      <c r="AY807" s="88">
        <f>SUMIF(月間集計シート!$M$134:$M$153,$G807,月間集計シート!T$134:T$153)*AY$2</f>
        <v>0</v>
      </c>
    </row>
    <row r="808" spans="1:51" ht="14.25" thickBot="1">
      <c r="A808">
        <v>10</v>
      </c>
      <c r="B808" s="120">
        <f t="shared" si="411"/>
        <v>0</v>
      </c>
      <c r="C808" s="120" t="str">
        <f t="shared" si="412"/>
        <v/>
      </c>
      <c r="D808" s="137"/>
      <c r="E808" s="150" t="str">
        <f>工種!A35</f>
        <v>40113</v>
      </c>
      <c r="F808" s="119" t="str">
        <f>工種!B35</f>
        <v>テスト：QA対応</v>
      </c>
      <c r="G808" s="116" t="str">
        <f t="shared" si="413"/>
        <v>040113</v>
      </c>
      <c r="H808" s="88">
        <f t="shared" si="367"/>
        <v>0</v>
      </c>
      <c r="I808" s="132"/>
      <c r="J808" s="88">
        <f>SUMIF(月間集計シート!$M$29:$M$48,$G808,月間集計シート!N$29:N$48)*J$2</f>
        <v>0</v>
      </c>
      <c r="K808" s="88">
        <f>SUMIF(月間集計シート!$M$29:$M$48,$G808,月間集計シート!O$29:O$48)*K$2</f>
        <v>0</v>
      </c>
      <c r="L808" s="88">
        <f>SUMIF(月間集計シート!$M$29:$M$48,$G808,月間集計シート!P$29:P$48)*L$2</f>
        <v>0</v>
      </c>
      <c r="M808" s="88">
        <f>SUMIF(月間集計シート!$M$29:$M$48,$G808,月間集計シート!Q$29:Q$48)*M$2</f>
        <v>0</v>
      </c>
      <c r="N808" s="88">
        <f>SUMIF(月間集計シート!$M$29:$M$48,$G808,月間集計シート!R$29:R$48)*N$2</f>
        <v>0</v>
      </c>
      <c r="O808" s="88">
        <f>SUMIF(月間集計シート!$M$29:$M$48,$G808,月間集計シート!S$29:S$48)*O$2</f>
        <v>0</v>
      </c>
      <c r="P808" s="88">
        <f>SUMIF(月間集計シート!$M$29:$M$48,$G808,月間集計シート!T$29:T$48)*P$2</f>
        <v>0</v>
      </c>
      <c r="Q808" s="88">
        <f>SUMIF(月間集計シート!$M$50:$M$69,$G808,月間集計シート!N$50:N$69)*Q$2</f>
        <v>0</v>
      </c>
      <c r="R808" s="88">
        <f>SUMIF(月間集計シート!$M$50:$M$69,$G808,月間集計シート!O$50:O$69)*R$2</f>
        <v>0</v>
      </c>
      <c r="S808" s="88">
        <f>SUMIF(月間集計シート!$M$50:$M$69,$G808,月間集計シート!P$50:P$69)*S$2</f>
        <v>0</v>
      </c>
      <c r="T808" s="88">
        <f>SUMIF(月間集計シート!$M$50:$M$69,$G808,月間集計シート!Q$50:Q$69)*T$2</f>
        <v>0</v>
      </c>
      <c r="U808" s="88">
        <f>SUMIF(月間集計シート!$M$50:$M$69,$G808,月間集計シート!R$50:R$69)*U$2</f>
        <v>0</v>
      </c>
      <c r="V808" s="88">
        <f>SUMIF(月間集計シート!$M$50:$M$69,$G808,月間集計シート!S$50:S$69)*V$2</f>
        <v>0</v>
      </c>
      <c r="W808" s="88">
        <f>SUMIF(月間集計シート!$M$50:$M$69,$G808,月間集計シート!T$50:T$69)*W$2</f>
        <v>0</v>
      </c>
      <c r="X808" s="88">
        <f>SUMIF(月間集計シート!$M$71:$M$90,$G808,月間集計シート!N$71:N$90)*X$2</f>
        <v>0</v>
      </c>
      <c r="Y808" s="88">
        <f>SUMIF(月間集計シート!$M$71:$M$90,$G808,月間集計シート!O$71:O$90)*Y$2</f>
        <v>0</v>
      </c>
      <c r="Z808" s="88">
        <f>SUMIF(月間集計シート!$M$71:$M$90,$G808,月間集計シート!P$71:P$90)*Z$2</f>
        <v>0</v>
      </c>
      <c r="AA808" s="88">
        <f>SUMIF(月間集計シート!$M$71:$M$90,$G808,月間集計シート!Q$71:Q$90)*AA$2</f>
        <v>0</v>
      </c>
      <c r="AB808" s="88">
        <f>SUMIF(月間集計シート!$M$71:$M$90,$G808,月間集計シート!R$71:R$90)*AB$2</f>
        <v>0</v>
      </c>
      <c r="AC808" s="88">
        <f>SUMIF(月間集計シート!$M$71:$M$90,$G808,月間集計シート!S$71:S$90)*AC$2</f>
        <v>0</v>
      </c>
      <c r="AD808" s="88">
        <f>SUMIF(月間集計シート!$M$71:$M$90,$G808,月間集計シート!T$71:T$90)*AD$2</f>
        <v>0</v>
      </c>
      <c r="AE808" s="88">
        <f>SUMIF(月間集計シート!$M$92:$M$111,$G808,月間集計シート!N$92:N$111)*AE$2</f>
        <v>0</v>
      </c>
      <c r="AF808" s="88">
        <f>SUMIF(月間集計シート!$M$92:$M$111,$G808,月間集計シート!O$92:O$111)*AF$2</f>
        <v>0</v>
      </c>
      <c r="AG808" s="88">
        <f>SUMIF(月間集計シート!$M$92:$M$111,$G808,月間集計シート!P$92:P$111)*AG$2</f>
        <v>0</v>
      </c>
      <c r="AH808" s="88">
        <f>SUMIF(月間集計シート!$M$92:$M$111,$G808,月間集計シート!Q$92:Q$111)*AH$2</f>
        <v>0</v>
      </c>
      <c r="AI808" s="88">
        <f>SUMIF(月間集計シート!$M$92:$M$111,$G808,月間集計シート!R$92:R$111)*AI$2</f>
        <v>0</v>
      </c>
      <c r="AJ808" s="88">
        <f>SUMIF(月間集計シート!$M$92:$M$111,$G808,月間集計シート!S$92:S$111)*AJ$2</f>
        <v>0</v>
      </c>
      <c r="AK808" s="88">
        <f>SUMIF(月間集計シート!$M$92:$M$111,$G808,月間集計シート!T$92:T$111)*AK$2</f>
        <v>0</v>
      </c>
      <c r="AL808" s="88">
        <f>SUMIF(月間集計シート!$M$113:$M$132,$G808,月間集計シート!N$113:N$132)*AL$2</f>
        <v>0</v>
      </c>
      <c r="AM808" s="88">
        <f>SUMIF(月間集計シート!$M$113:$M$132,$G808,月間集計シート!O$113:O$132)*AM$2</f>
        <v>0</v>
      </c>
      <c r="AN808" s="88">
        <f>SUMIF(月間集計シート!$M$113:$M$132,$G808,月間集計シート!P$113:P$132)*AN$2</f>
        <v>0</v>
      </c>
      <c r="AO808" s="88">
        <f>SUMIF(月間集計シート!$M$113:$M$132,$G808,月間集計シート!Q$113:Q$132)*AO$2</f>
        <v>0</v>
      </c>
      <c r="AP808" s="88">
        <f>SUMIF(月間集計シート!$M$113:$M$132,$G808,月間集計シート!R$113:R$132)*AP$2</f>
        <v>0</v>
      </c>
      <c r="AQ808" s="88">
        <f>SUMIF(月間集計シート!$M$113:$M$132,$G808,月間集計シート!S$113:S$132)*AQ$2</f>
        <v>0</v>
      </c>
      <c r="AR808" s="88">
        <f>SUMIF(月間集計シート!$M$113:$M$132,$G808,月間集計シート!T$113:T$132)*AR$2</f>
        <v>0</v>
      </c>
      <c r="AS808" s="88">
        <f>SUMIF(月間集計シート!$M$134:$M$153,$G808,月間集計シート!N$134:N$153)*AS$2</f>
        <v>0</v>
      </c>
      <c r="AT808" s="88">
        <f>SUMIF(月間集計シート!$M$134:$M$153,$G808,月間集計シート!O$134:O$153)*AT$2</f>
        <v>0</v>
      </c>
      <c r="AU808" s="88">
        <f>SUMIF(月間集計シート!$M$134:$M$153,$G808,月間集計シート!P$134:P$153)*AU$2</f>
        <v>0</v>
      </c>
      <c r="AV808" s="88">
        <f>SUMIF(月間集計シート!$M$134:$M$153,$G808,月間集計シート!Q$134:Q$153)*AV$2</f>
        <v>0</v>
      </c>
      <c r="AW808" s="88">
        <f>SUMIF(月間集計シート!$M$134:$M$153,$G808,月間集計シート!R$134:R$153)*AW$2</f>
        <v>0</v>
      </c>
      <c r="AX808" s="88">
        <f>SUMIF(月間集計シート!$M$134:$M$153,$G808,月間集計シート!S$134:S$153)*AX$2</f>
        <v>0</v>
      </c>
      <c r="AY808" s="88">
        <f>SUMIF(月間集計シート!$M$134:$M$153,$G808,月間集計シート!T$134:T$153)*AY$2</f>
        <v>0</v>
      </c>
    </row>
    <row r="809" spans="1:51" ht="14.25" thickBot="1">
      <c r="A809">
        <v>10</v>
      </c>
      <c r="B809" s="120">
        <f t="shared" si="411"/>
        <v>0</v>
      </c>
      <c r="C809" s="120" t="str">
        <f t="shared" si="412"/>
        <v/>
      </c>
      <c r="D809" s="137"/>
      <c r="E809" s="150" t="str">
        <f>工種!A36</f>
        <v>40189</v>
      </c>
      <c r="F809" s="119" t="str">
        <f>工種!B36</f>
        <v>テスト：内部不具合分析</v>
      </c>
      <c r="G809" s="116" t="str">
        <f t="shared" si="413"/>
        <v>040189</v>
      </c>
      <c r="H809" s="88">
        <f t="shared" si="367"/>
        <v>0</v>
      </c>
      <c r="I809" s="132"/>
      <c r="J809" s="88">
        <f>SUMIF(月間集計シート!$M$29:$M$48,$G809,月間集計シート!N$29:N$48)*J$2</f>
        <v>0</v>
      </c>
      <c r="K809" s="88">
        <f>SUMIF(月間集計シート!$M$29:$M$48,$G809,月間集計シート!O$29:O$48)*K$2</f>
        <v>0</v>
      </c>
      <c r="L809" s="88">
        <f>SUMIF(月間集計シート!$M$29:$M$48,$G809,月間集計シート!P$29:P$48)*L$2</f>
        <v>0</v>
      </c>
      <c r="M809" s="88">
        <f>SUMIF(月間集計シート!$M$29:$M$48,$G809,月間集計シート!Q$29:Q$48)*M$2</f>
        <v>0</v>
      </c>
      <c r="N809" s="88">
        <f>SUMIF(月間集計シート!$M$29:$M$48,$G809,月間集計シート!R$29:R$48)*N$2</f>
        <v>0</v>
      </c>
      <c r="O809" s="88">
        <f>SUMIF(月間集計シート!$M$29:$M$48,$G809,月間集計シート!S$29:S$48)*O$2</f>
        <v>0</v>
      </c>
      <c r="P809" s="88">
        <f>SUMIF(月間集計シート!$M$29:$M$48,$G809,月間集計シート!T$29:T$48)*P$2</f>
        <v>0</v>
      </c>
      <c r="Q809" s="88">
        <f>SUMIF(月間集計シート!$M$50:$M$69,$G809,月間集計シート!N$50:N$69)*Q$2</f>
        <v>0</v>
      </c>
      <c r="R809" s="88">
        <f>SUMIF(月間集計シート!$M$50:$M$69,$G809,月間集計シート!O$50:O$69)*R$2</f>
        <v>0</v>
      </c>
      <c r="S809" s="88">
        <f>SUMIF(月間集計シート!$M$50:$M$69,$G809,月間集計シート!P$50:P$69)*S$2</f>
        <v>0</v>
      </c>
      <c r="T809" s="88">
        <f>SUMIF(月間集計シート!$M$50:$M$69,$G809,月間集計シート!Q$50:Q$69)*T$2</f>
        <v>0</v>
      </c>
      <c r="U809" s="88">
        <f>SUMIF(月間集計シート!$M$50:$M$69,$G809,月間集計シート!R$50:R$69)*U$2</f>
        <v>0</v>
      </c>
      <c r="V809" s="88">
        <f>SUMIF(月間集計シート!$M$50:$M$69,$G809,月間集計シート!S$50:S$69)*V$2</f>
        <v>0</v>
      </c>
      <c r="W809" s="88">
        <f>SUMIF(月間集計シート!$M$50:$M$69,$G809,月間集計シート!T$50:T$69)*W$2</f>
        <v>0</v>
      </c>
      <c r="X809" s="88">
        <f>SUMIF(月間集計シート!$M$71:$M$90,$G809,月間集計シート!N$71:N$90)*X$2</f>
        <v>0</v>
      </c>
      <c r="Y809" s="88">
        <f>SUMIF(月間集計シート!$M$71:$M$90,$G809,月間集計シート!O$71:O$90)*Y$2</f>
        <v>0</v>
      </c>
      <c r="Z809" s="88">
        <f>SUMIF(月間集計シート!$M$71:$M$90,$G809,月間集計シート!P$71:P$90)*Z$2</f>
        <v>0</v>
      </c>
      <c r="AA809" s="88">
        <f>SUMIF(月間集計シート!$M$71:$M$90,$G809,月間集計シート!Q$71:Q$90)*AA$2</f>
        <v>0</v>
      </c>
      <c r="AB809" s="88">
        <f>SUMIF(月間集計シート!$M$71:$M$90,$G809,月間集計シート!R$71:R$90)*AB$2</f>
        <v>0</v>
      </c>
      <c r="AC809" s="88">
        <f>SUMIF(月間集計シート!$M$71:$M$90,$G809,月間集計シート!S$71:S$90)*AC$2</f>
        <v>0</v>
      </c>
      <c r="AD809" s="88">
        <f>SUMIF(月間集計シート!$M$71:$M$90,$G809,月間集計シート!T$71:T$90)*AD$2</f>
        <v>0</v>
      </c>
      <c r="AE809" s="88">
        <f>SUMIF(月間集計シート!$M$92:$M$111,$G809,月間集計シート!N$92:N$111)*AE$2</f>
        <v>0</v>
      </c>
      <c r="AF809" s="88">
        <f>SUMIF(月間集計シート!$M$92:$M$111,$G809,月間集計シート!O$92:O$111)*AF$2</f>
        <v>0</v>
      </c>
      <c r="AG809" s="88">
        <f>SUMIF(月間集計シート!$M$92:$M$111,$G809,月間集計シート!P$92:P$111)*AG$2</f>
        <v>0</v>
      </c>
      <c r="AH809" s="88">
        <f>SUMIF(月間集計シート!$M$92:$M$111,$G809,月間集計シート!Q$92:Q$111)*AH$2</f>
        <v>0</v>
      </c>
      <c r="AI809" s="88">
        <f>SUMIF(月間集計シート!$M$92:$M$111,$G809,月間集計シート!R$92:R$111)*AI$2</f>
        <v>0</v>
      </c>
      <c r="AJ809" s="88">
        <f>SUMIF(月間集計シート!$M$92:$M$111,$G809,月間集計シート!S$92:S$111)*AJ$2</f>
        <v>0</v>
      </c>
      <c r="AK809" s="88">
        <f>SUMIF(月間集計シート!$M$92:$M$111,$G809,月間集計シート!T$92:T$111)*AK$2</f>
        <v>0</v>
      </c>
      <c r="AL809" s="88">
        <f>SUMIF(月間集計シート!$M$113:$M$132,$G809,月間集計シート!N$113:N$132)*AL$2</f>
        <v>0</v>
      </c>
      <c r="AM809" s="88">
        <f>SUMIF(月間集計シート!$M$113:$M$132,$G809,月間集計シート!O$113:O$132)*AM$2</f>
        <v>0</v>
      </c>
      <c r="AN809" s="88">
        <f>SUMIF(月間集計シート!$M$113:$M$132,$G809,月間集計シート!P$113:P$132)*AN$2</f>
        <v>0</v>
      </c>
      <c r="AO809" s="88">
        <f>SUMIF(月間集計シート!$M$113:$M$132,$G809,月間集計シート!Q$113:Q$132)*AO$2</f>
        <v>0</v>
      </c>
      <c r="AP809" s="88">
        <f>SUMIF(月間集計シート!$M$113:$M$132,$G809,月間集計シート!R$113:R$132)*AP$2</f>
        <v>0</v>
      </c>
      <c r="AQ809" s="88">
        <f>SUMIF(月間集計シート!$M$113:$M$132,$G809,月間集計シート!S$113:S$132)*AQ$2</f>
        <v>0</v>
      </c>
      <c r="AR809" s="88">
        <f>SUMIF(月間集計シート!$M$113:$M$132,$G809,月間集計シート!T$113:T$132)*AR$2</f>
        <v>0</v>
      </c>
      <c r="AS809" s="88">
        <f>SUMIF(月間集計シート!$M$134:$M$153,$G809,月間集計シート!N$134:N$153)*AS$2</f>
        <v>0</v>
      </c>
      <c r="AT809" s="88">
        <f>SUMIF(月間集計シート!$M$134:$M$153,$G809,月間集計シート!O$134:O$153)*AT$2</f>
        <v>0</v>
      </c>
      <c r="AU809" s="88">
        <f>SUMIF(月間集計シート!$M$134:$M$153,$G809,月間集計シート!P$134:P$153)*AU$2</f>
        <v>0</v>
      </c>
      <c r="AV809" s="88">
        <f>SUMIF(月間集計シート!$M$134:$M$153,$G809,月間集計シート!Q$134:Q$153)*AV$2</f>
        <v>0</v>
      </c>
      <c r="AW809" s="88">
        <f>SUMIF(月間集計シート!$M$134:$M$153,$G809,月間集計シート!R$134:R$153)*AW$2</f>
        <v>0</v>
      </c>
      <c r="AX809" s="88">
        <f>SUMIF(月間集計シート!$M$134:$M$153,$G809,月間集計シート!S$134:S$153)*AX$2</f>
        <v>0</v>
      </c>
      <c r="AY809" s="88">
        <f>SUMIF(月間集計シート!$M$134:$M$153,$G809,月間集計シート!T$134:T$153)*AY$2</f>
        <v>0</v>
      </c>
    </row>
    <row r="810" spans="1:51" ht="14.25" thickBot="1">
      <c r="A810">
        <v>10</v>
      </c>
      <c r="B810" s="120">
        <f t="shared" si="411"/>
        <v>0</v>
      </c>
      <c r="C810" s="120" t="str">
        <f t="shared" si="412"/>
        <v/>
      </c>
      <c r="D810" s="137"/>
      <c r="E810" s="150" t="str">
        <f>工種!A37</f>
        <v>40199</v>
      </c>
      <c r="F810" s="119" t="str">
        <f>工種!B37</f>
        <v>テスト：その他</v>
      </c>
      <c r="G810" s="116" t="str">
        <f t="shared" si="413"/>
        <v>040199</v>
      </c>
      <c r="H810" s="88">
        <f t="shared" si="367"/>
        <v>0</v>
      </c>
      <c r="I810" s="132"/>
      <c r="J810" s="88">
        <f>SUMIF(月間集計シート!$M$29:$M$48,$G810,月間集計シート!N$29:N$48)*J$2</f>
        <v>0</v>
      </c>
      <c r="K810" s="88">
        <f>SUMIF(月間集計シート!$M$29:$M$48,$G810,月間集計シート!O$29:O$48)*K$2</f>
        <v>0</v>
      </c>
      <c r="L810" s="88">
        <f>SUMIF(月間集計シート!$M$29:$M$48,$G810,月間集計シート!P$29:P$48)*L$2</f>
        <v>0</v>
      </c>
      <c r="M810" s="88">
        <f>SUMIF(月間集計シート!$M$29:$M$48,$G810,月間集計シート!Q$29:Q$48)*M$2</f>
        <v>0</v>
      </c>
      <c r="N810" s="88">
        <f>SUMIF(月間集計シート!$M$29:$M$48,$G810,月間集計シート!R$29:R$48)*N$2</f>
        <v>0</v>
      </c>
      <c r="O810" s="88">
        <f>SUMIF(月間集計シート!$M$29:$M$48,$G810,月間集計シート!S$29:S$48)*O$2</f>
        <v>0</v>
      </c>
      <c r="P810" s="88">
        <f>SUMIF(月間集計シート!$M$29:$M$48,$G810,月間集計シート!T$29:T$48)*P$2</f>
        <v>0</v>
      </c>
      <c r="Q810" s="88">
        <f>SUMIF(月間集計シート!$M$50:$M$69,$G810,月間集計シート!N$50:N$69)*Q$2</f>
        <v>0</v>
      </c>
      <c r="R810" s="88">
        <f>SUMIF(月間集計シート!$M$50:$M$69,$G810,月間集計シート!O$50:O$69)*R$2</f>
        <v>0</v>
      </c>
      <c r="S810" s="88">
        <f>SUMIF(月間集計シート!$M$50:$M$69,$G810,月間集計シート!P$50:P$69)*S$2</f>
        <v>0</v>
      </c>
      <c r="T810" s="88">
        <f>SUMIF(月間集計シート!$M$50:$M$69,$G810,月間集計シート!Q$50:Q$69)*T$2</f>
        <v>0</v>
      </c>
      <c r="U810" s="88">
        <f>SUMIF(月間集計シート!$M$50:$M$69,$G810,月間集計シート!R$50:R$69)*U$2</f>
        <v>0</v>
      </c>
      <c r="V810" s="88">
        <f>SUMIF(月間集計シート!$M$50:$M$69,$G810,月間集計シート!S$50:S$69)*V$2</f>
        <v>0</v>
      </c>
      <c r="W810" s="88">
        <f>SUMIF(月間集計シート!$M$50:$M$69,$G810,月間集計シート!T$50:T$69)*W$2</f>
        <v>0</v>
      </c>
      <c r="X810" s="88">
        <f>SUMIF(月間集計シート!$M$71:$M$90,$G810,月間集計シート!N$71:N$90)*X$2</f>
        <v>0</v>
      </c>
      <c r="Y810" s="88">
        <f>SUMIF(月間集計シート!$M$71:$M$90,$G810,月間集計シート!O$71:O$90)*Y$2</f>
        <v>0</v>
      </c>
      <c r="Z810" s="88">
        <f>SUMIF(月間集計シート!$M$71:$M$90,$G810,月間集計シート!P$71:P$90)*Z$2</f>
        <v>0</v>
      </c>
      <c r="AA810" s="88">
        <f>SUMIF(月間集計シート!$M$71:$M$90,$G810,月間集計シート!Q$71:Q$90)*AA$2</f>
        <v>0</v>
      </c>
      <c r="AB810" s="88">
        <f>SUMIF(月間集計シート!$M$71:$M$90,$G810,月間集計シート!R$71:R$90)*AB$2</f>
        <v>0</v>
      </c>
      <c r="AC810" s="88">
        <f>SUMIF(月間集計シート!$M$71:$M$90,$G810,月間集計シート!S$71:S$90)*AC$2</f>
        <v>0</v>
      </c>
      <c r="AD810" s="88">
        <f>SUMIF(月間集計シート!$M$71:$M$90,$G810,月間集計シート!T$71:T$90)*AD$2</f>
        <v>0</v>
      </c>
      <c r="AE810" s="88">
        <f>SUMIF(月間集計シート!$M$92:$M$111,$G810,月間集計シート!N$92:N$111)*AE$2</f>
        <v>0</v>
      </c>
      <c r="AF810" s="88">
        <f>SUMIF(月間集計シート!$M$92:$M$111,$G810,月間集計シート!O$92:O$111)*AF$2</f>
        <v>0</v>
      </c>
      <c r="AG810" s="88">
        <f>SUMIF(月間集計シート!$M$92:$M$111,$G810,月間集計シート!P$92:P$111)*AG$2</f>
        <v>0</v>
      </c>
      <c r="AH810" s="88">
        <f>SUMIF(月間集計シート!$M$92:$M$111,$G810,月間集計シート!Q$92:Q$111)*AH$2</f>
        <v>0</v>
      </c>
      <c r="AI810" s="88">
        <f>SUMIF(月間集計シート!$M$92:$M$111,$G810,月間集計シート!R$92:R$111)*AI$2</f>
        <v>0</v>
      </c>
      <c r="AJ810" s="88">
        <f>SUMIF(月間集計シート!$M$92:$M$111,$G810,月間集計シート!S$92:S$111)*AJ$2</f>
        <v>0</v>
      </c>
      <c r="AK810" s="88">
        <f>SUMIF(月間集計シート!$M$92:$M$111,$G810,月間集計シート!T$92:T$111)*AK$2</f>
        <v>0</v>
      </c>
      <c r="AL810" s="88">
        <f>SUMIF(月間集計シート!$M$113:$M$132,$G810,月間集計シート!N$113:N$132)*AL$2</f>
        <v>0</v>
      </c>
      <c r="AM810" s="88">
        <f>SUMIF(月間集計シート!$M$113:$M$132,$G810,月間集計シート!O$113:O$132)*AM$2</f>
        <v>0</v>
      </c>
      <c r="AN810" s="88">
        <f>SUMIF(月間集計シート!$M$113:$M$132,$G810,月間集計シート!P$113:P$132)*AN$2</f>
        <v>0</v>
      </c>
      <c r="AO810" s="88">
        <f>SUMIF(月間集計シート!$M$113:$M$132,$G810,月間集計シート!Q$113:Q$132)*AO$2</f>
        <v>0</v>
      </c>
      <c r="AP810" s="88">
        <f>SUMIF(月間集計シート!$M$113:$M$132,$G810,月間集計シート!R$113:R$132)*AP$2</f>
        <v>0</v>
      </c>
      <c r="AQ810" s="88">
        <f>SUMIF(月間集計シート!$M$113:$M$132,$G810,月間集計シート!S$113:S$132)*AQ$2</f>
        <v>0</v>
      </c>
      <c r="AR810" s="88">
        <f>SUMIF(月間集計シート!$M$113:$M$132,$G810,月間集計シート!T$113:T$132)*AR$2</f>
        <v>0</v>
      </c>
      <c r="AS810" s="88">
        <f>SUMIF(月間集計シート!$M$134:$M$153,$G810,月間集計シート!N$134:N$153)*AS$2</f>
        <v>0</v>
      </c>
      <c r="AT810" s="88">
        <f>SUMIF(月間集計シート!$M$134:$M$153,$G810,月間集計シート!O$134:O$153)*AT$2</f>
        <v>0</v>
      </c>
      <c r="AU810" s="88">
        <f>SUMIF(月間集計シート!$M$134:$M$153,$G810,月間集計シート!P$134:P$153)*AU$2</f>
        <v>0</v>
      </c>
      <c r="AV810" s="88">
        <f>SUMIF(月間集計シート!$M$134:$M$153,$G810,月間集計シート!Q$134:Q$153)*AV$2</f>
        <v>0</v>
      </c>
      <c r="AW810" s="88">
        <f>SUMIF(月間集計シート!$M$134:$M$153,$G810,月間集計シート!R$134:R$153)*AW$2</f>
        <v>0</v>
      </c>
      <c r="AX810" s="88">
        <f>SUMIF(月間集計シート!$M$134:$M$153,$G810,月間集計シート!S$134:S$153)*AX$2</f>
        <v>0</v>
      </c>
      <c r="AY810" s="88">
        <f>SUMIF(月間集計シート!$M$134:$M$153,$G810,月間集計シート!T$134:T$153)*AY$2</f>
        <v>0</v>
      </c>
    </row>
    <row r="811" spans="1:51" ht="14.25" thickBot="1">
      <c r="A811">
        <v>10</v>
      </c>
      <c r="B811" s="120">
        <f t="shared" si="411"/>
        <v>0</v>
      </c>
      <c r="C811" s="120" t="str">
        <f t="shared" si="412"/>
        <v/>
      </c>
      <c r="D811" s="137"/>
      <c r="E811" s="150" t="str">
        <f>工種!A38</f>
        <v>50101</v>
      </c>
      <c r="F811" s="119" t="str">
        <f>工種!B38</f>
        <v>ﾏﾆｭｱﾙ作成：原稿作成</v>
      </c>
      <c r="G811" s="116" t="str">
        <f t="shared" si="413"/>
        <v>050101</v>
      </c>
      <c r="H811" s="88">
        <f t="shared" si="367"/>
        <v>0</v>
      </c>
      <c r="I811" s="132"/>
      <c r="J811" s="88">
        <f>SUMIF(月間集計シート!$M$29:$M$48,$G811,月間集計シート!N$29:N$48)*J$2</f>
        <v>0</v>
      </c>
      <c r="K811" s="88">
        <f>SUMIF(月間集計シート!$M$29:$M$48,$G811,月間集計シート!O$29:O$48)*K$2</f>
        <v>0</v>
      </c>
      <c r="L811" s="88">
        <f>SUMIF(月間集計シート!$M$29:$M$48,$G811,月間集計シート!P$29:P$48)*L$2</f>
        <v>0</v>
      </c>
      <c r="M811" s="88">
        <f>SUMIF(月間集計シート!$M$29:$M$48,$G811,月間集計シート!Q$29:Q$48)*M$2</f>
        <v>0</v>
      </c>
      <c r="N811" s="88">
        <f>SUMIF(月間集計シート!$M$29:$M$48,$G811,月間集計シート!R$29:R$48)*N$2</f>
        <v>0</v>
      </c>
      <c r="O811" s="88">
        <f>SUMIF(月間集計シート!$M$29:$M$48,$G811,月間集計シート!S$29:S$48)*O$2</f>
        <v>0</v>
      </c>
      <c r="P811" s="88">
        <f>SUMIF(月間集計シート!$M$29:$M$48,$G811,月間集計シート!T$29:T$48)*P$2</f>
        <v>0</v>
      </c>
      <c r="Q811" s="88">
        <f>SUMIF(月間集計シート!$M$50:$M$69,$G811,月間集計シート!N$50:N$69)*Q$2</f>
        <v>0</v>
      </c>
      <c r="R811" s="88">
        <f>SUMIF(月間集計シート!$M$50:$M$69,$G811,月間集計シート!O$50:O$69)*R$2</f>
        <v>0</v>
      </c>
      <c r="S811" s="88">
        <f>SUMIF(月間集計シート!$M$50:$M$69,$G811,月間集計シート!P$50:P$69)*S$2</f>
        <v>0</v>
      </c>
      <c r="T811" s="88">
        <f>SUMIF(月間集計シート!$M$50:$M$69,$G811,月間集計シート!Q$50:Q$69)*T$2</f>
        <v>0</v>
      </c>
      <c r="U811" s="88">
        <f>SUMIF(月間集計シート!$M$50:$M$69,$G811,月間集計シート!R$50:R$69)*U$2</f>
        <v>0</v>
      </c>
      <c r="V811" s="88">
        <f>SUMIF(月間集計シート!$M$50:$M$69,$G811,月間集計シート!S$50:S$69)*V$2</f>
        <v>0</v>
      </c>
      <c r="W811" s="88">
        <f>SUMIF(月間集計シート!$M$50:$M$69,$G811,月間集計シート!T$50:T$69)*W$2</f>
        <v>0</v>
      </c>
      <c r="X811" s="88">
        <f>SUMIF(月間集計シート!$M$71:$M$90,$G811,月間集計シート!N$71:N$90)*X$2</f>
        <v>0</v>
      </c>
      <c r="Y811" s="88">
        <f>SUMIF(月間集計シート!$M$71:$M$90,$G811,月間集計シート!O$71:O$90)*Y$2</f>
        <v>0</v>
      </c>
      <c r="Z811" s="88">
        <f>SUMIF(月間集計シート!$M$71:$M$90,$G811,月間集計シート!P$71:P$90)*Z$2</f>
        <v>0</v>
      </c>
      <c r="AA811" s="88">
        <f>SUMIF(月間集計シート!$M$71:$M$90,$G811,月間集計シート!Q$71:Q$90)*AA$2</f>
        <v>0</v>
      </c>
      <c r="AB811" s="88">
        <f>SUMIF(月間集計シート!$M$71:$M$90,$G811,月間集計シート!R$71:R$90)*AB$2</f>
        <v>0</v>
      </c>
      <c r="AC811" s="88">
        <f>SUMIF(月間集計シート!$M$71:$M$90,$G811,月間集計シート!S$71:S$90)*AC$2</f>
        <v>0</v>
      </c>
      <c r="AD811" s="88">
        <f>SUMIF(月間集計シート!$M$71:$M$90,$G811,月間集計シート!T$71:T$90)*AD$2</f>
        <v>0</v>
      </c>
      <c r="AE811" s="88">
        <f>SUMIF(月間集計シート!$M$92:$M$111,$G811,月間集計シート!N$92:N$111)*AE$2</f>
        <v>0</v>
      </c>
      <c r="AF811" s="88">
        <f>SUMIF(月間集計シート!$M$92:$M$111,$G811,月間集計シート!O$92:O$111)*AF$2</f>
        <v>0</v>
      </c>
      <c r="AG811" s="88">
        <f>SUMIF(月間集計シート!$M$92:$M$111,$G811,月間集計シート!P$92:P$111)*AG$2</f>
        <v>0</v>
      </c>
      <c r="AH811" s="88">
        <f>SUMIF(月間集計シート!$M$92:$M$111,$G811,月間集計シート!Q$92:Q$111)*AH$2</f>
        <v>0</v>
      </c>
      <c r="AI811" s="88">
        <f>SUMIF(月間集計シート!$M$92:$M$111,$G811,月間集計シート!R$92:R$111)*AI$2</f>
        <v>0</v>
      </c>
      <c r="AJ811" s="88">
        <f>SUMIF(月間集計シート!$M$92:$M$111,$G811,月間集計シート!S$92:S$111)*AJ$2</f>
        <v>0</v>
      </c>
      <c r="AK811" s="88">
        <f>SUMIF(月間集計シート!$M$92:$M$111,$G811,月間集計シート!T$92:T$111)*AK$2</f>
        <v>0</v>
      </c>
      <c r="AL811" s="88">
        <f>SUMIF(月間集計シート!$M$113:$M$132,$G811,月間集計シート!N$113:N$132)*AL$2</f>
        <v>0</v>
      </c>
      <c r="AM811" s="88">
        <f>SUMIF(月間集計シート!$M$113:$M$132,$G811,月間集計シート!O$113:O$132)*AM$2</f>
        <v>0</v>
      </c>
      <c r="AN811" s="88">
        <f>SUMIF(月間集計シート!$M$113:$M$132,$G811,月間集計シート!P$113:P$132)*AN$2</f>
        <v>0</v>
      </c>
      <c r="AO811" s="88">
        <f>SUMIF(月間集計シート!$M$113:$M$132,$G811,月間集計シート!Q$113:Q$132)*AO$2</f>
        <v>0</v>
      </c>
      <c r="AP811" s="88">
        <f>SUMIF(月間集計シート!$M$113:$M$132,$G811,月間集計シート!R$113:R$132)*AP$2</f>
        <v>0</v>
      </c>
      <c r="AQ811" s="88">
        <f>SUMIF(月間集計シート!$M$113:$M$132,$G811,月間集計シート!S$113:S$132)*AQ$2</f>
        <v>0</v>
      </c>
      <c r="AR811" s="88">
        <f>SUMIF(月間集計シート!$M$113:$M$132,$G811,月間集計シート!T$113:T$132)*AR$2</f>
        <v>0</v>
      </c>
      <c r="AS811" s="88">
        <f>SUMIF(月間集計シート!$M$134:$M$153,$G811,月間集計シート!N$134:N$153)*AS$2</f>
        <v>0</v>
      </c>
      <c r="AT811" s="88">
        <f>SUMIF(月間集計シート!$M$134:$M$153,$G811,月間集計シート!O$134:O$153)*AT$2</f>
        <v>0</v>
      </c>
      <c r="AU811" s="88">
        <f>SUMIF(月間集計シート!$M$134:$M$153,$G811,月間集計シート!P$134:P$153)*AU$2</f>
        <v>0</v>
      </c>
      <c r="AV811" s="88">
        <f>SUMIF(月間集計シート!$M$134:$M$153,$G811,月間集計シート!Q$134:Q$153)*AV$2</f>
        <v>0</v>
      </c>
      <c r="AW811" s="88">
        <f>SUMIF(月間集計シート!$M$134:$M$153,$G811,月間集計シート!R$134:R$153)*AW$2</f>
        <v>0</v>
      </c>
      <c r="AX811" s="88">
        <f>SUMIF(月間集計シート!$M$134:$M$153,$G811,月間集計シート!S$134:S$153)*AX$2</f>
        <v>0</v>
      </c>
      <c r="AY811" s="88">
        <f>SUMIF(月間集計シート!$M$134:$M$153,$G811,月間集計シート!T$134:T$153)*AY$2</f>
        <v>0</v>
      </c>
    </row>
    <row r="812" spans="1:51" ht="14.25" thickBot="1">
      <c r="A812">
        <v>10</v>
      </c>
      <c r="B812" s="120">
        <f t="shared" si="411"/>
        <v>0</v>
      </c>
      <c r="C812" s="120" t="str">
        <f t="shared" si="412"/>
        <v/>
      </c>
      <c r="D812" s="137"/>
      <c r="E812" s="150" t="str">
        <f>工種!A39</f>
        <v>50105</v>
      </c>
      <c r="F812" s="119" t="str">
        <f>工種!B39</f>
        <v>ﾏﾆｭｱﾙ作成：打合せ</v>
      </c>
      <c r="G812" s="116" t="str">
        <f t="shared" si="413"/>
        <v>050105</v>
      </c>
      <c r="H812" s="88">
        <f t="shared" si="367"/>
        <v>0</v>
      </c>
      <c r="I812" s="132"/>
      <c r="J812" s="88">
        <f>SUMIF(月間集計シート!$M$29:$M$48,$G812,月間集計シート!N$29:N$48)*J$2</f>
        <v>0</v>
      </c>
      <c r="K812" s="88">
        <f>SUMIF(月間集計シート!$M$29:$M$48,$G812,月間集計シート!O$29:O$48)*K$2</f>
        <v>0</v>
      </c>
      <c r="L812" s="88">
        <f>SUMIF(月間集計シート!$M$29:$M$48,$G812,月間集計シート!P$29:P$48)*L$2</f>
        <v>0</v>
      </c>
      <c r="M812" s="88">
        <f>SUMIF(月間集計シート!$M$29:$M$48,$G812,月間集計シート!Q$29:Q$48)*M$2</f>
        <v>0</v>
      </c>
      <c r="N812" s="88">
        <f>SUMIF(月間集計シート!$M$29:$M$48,$G812,月間集計シート!R$29:R$48)*N$2</f>
        <v>0</v>
      </c>
      <c r="O812" s="88">
        <f>SUMIF(月間集計シート!$M$29:$M$48,$G812,月間集計シート!S$29:S$48)*O$2</f>
        <v>0</v>
      </c>
      <c r="P812" s="88">
        <f>SUMIF(月間集計シート!$M$29:$M$48,$G812,月間集計シート!T$29:T$48)*P$2</f>
        <v>0</v>
      </c>
      <c r="Q812" s="88">
        <f>SUMIF(月間集計シート!$M$50:$M$69,$G812,月間集計シート!N$50:N$69)*Q$2</f>
        <v>0</v>
      </c>
      <c r="R812" s="88">
        <f>SUMIF(月間集計シート!$M$50:$M$69,$G812,月間集計シート!O$50:O$69)*R$2</f>
        <v>0</v>
      </c>
      <c r="S812" s="88">
        <f>SUMIF(月間集計シート!$M$50:$M$69,$G812,月間集計シート!P$50:P$69)*S$2</f>
        <v>0</v>
      </c>
      <c r="T812" s="88">
        <f>SUMIF(月間集計シート!$M$50:$M$69,$G812,月間集計シート!Q$50:Q$69)*T$2</f>
        <v>0</v>
      </c>
      <c r="U812" s="88">
        <f>SUMIF(月間集計シート!$M$50:$M$69,$G812,月間集計シート!R$50:R$69)*U$2</f>
        <v>0</v>
      </c>
      <c r="V812" s="88">
        <f>SUMIF(月間集計シート!$M$50:$M$69,$G812,月間集計シート!S$50:S$69)*V$2</f>
        <v>0</v>
      </c>
      <c r="W812" s="88">
        <f>SUMIF(月間集計シート!$M$50:$M$69,$G812,月間集計シート!T$50:T$69)*W$2</f>
        <v>0</v>
      </c>
      <c r="X812" s="88">
        <f>SUMIF(月間集計シート!$M$71:$M$90,$G812,月間集計シート!N$71:N$90)*X$2</f>
        <v>0</v>
      </c>
      <c r="Y812" s="88">
        <f>SUMIF(月間集計シート!$M$71:$M$90,$G812,月間集計シート!O$71:O$90)*Y$2</f>
        <v>0</v>
      </c>
      <c r="Z812" s="88">
        <f>SUMIF(月間集計シート!$M$71:$M$90,$G812,月間集計シート!P$71:P$90)*Z$2</f>
        <v>0</v>
      </c>
      <c r="AA812" s="88">
        <f>SUMIF(月間集計シート!$M$71:$M$90,$G812,月間集計シート!Q$71:Q$90)*AA$2</f>
        <v>0</v>
      </c>
      <c r="AB812" s="88">
        <f>SUMIF(月間集計シート!$M$71:$M$90,$G812,月間集計シート!R$71:R$90)*AB$2</f>
        <v>0</v>
      </c>
      <c r="AC812" s="88">
        <f>SUMIF(月間集計シート!$M$71:$M$90,$G812,月間集計シート!S$71:S$90)*AC$2</f>
        <v>0</v>
      </c>
      <c r="AD812" s="88">
        <f>SUMIF(月間集計シート!$M$71:$M$90,$G812,月間集計シート!T$71:T$90)*AD$2</f>
        <v>0</v>
      </c>
      <c r="AE812" s="88">
        <f>SUMIF(月間集計シート!$M$92:$M$111,$G812,月間集計シート!N$92:N$111)*AE$2</f>
        <v>0</v>
      </c>
      <c r="AF812" s="88">
        <f>SUMIF(月間集計シート!$M$92:$M$111,$G812,月間集計シート!O$92:O$111)*AF$2</f>
        <v>0</v>
      </c>
      <c r="AG812" s="88">
        <f>SUMIF(月間集計シート!$M$92:$M$111,$G812,月間集計シート!P$92:P$111)*AG$2</f>
        <v>0</v>
      </c>
      <c r="AH812" s="88">
        <f>SUMIF(月間集計シート!$M$92:$M$111,$G812,月間集計シート!Q$92:Q$111)*AH$2</f>
        <v>0</v>
      </c>
      <c r="AI812" s="88">
        <f>SUMIF(月間集計シート!$M$92:$M$111,$G812,月間集計シート!R$92:R$111)*AI$2</f>
        <v>0</v>
      </c>
      <c r="AJ812" s="88">
        <f>SUMIF(月間集計シート!$M$92:$M$111,$G812,月間集計シート!S$92:S$111)*AJ$2</f>
        <v>0</v>
      </c>
      <c r="AK812" s="88">
        <f>SUMIF(月間集計シート!$M$92:$M$111,$G812,月間集計シート!T$92:T$111)*AK$2</f>
        <v>0</v>
      </c>
      <c r="AL812" s="88">
        <f>SUMIF(月間集計シート!$M$113:$M$132,$G812,月間集計シート!N$113:N$132)*AL$2</f>
        <v>0</v>
      </c>
      <c r="AM812" s="88">
        <f>SUMIF(月間集計シート!$M$113:$M$132,$G812,月間集計シート!O$113:O$132)*AM$2</f>
        <v>0</v>
      </c>
      <c r="AN812" s="88">
        <f>SUMIF(月間集計シート!$M$113:$M$132,$G812,月間集計シート!P$113:P$132)*AN$2</f>
        <v>0</v>
      </c>
      <c r="AO812" s="88">
        <f>SUMIF(月間集計シート!$M$113:$M$132,$G812,月間集計シート!Q$113:Q$132)*AO$2</f>
        <v>0</v>
      </c>
      <c r="AP812" s="88">
        <f>SUMIF(月間集計シート!$M$113:$M$132,$G812,月間集計シート!R$113:R$132)*AP$2</f>
        <v>0</v>
      </c>
      <c r="AQ812" s="88">
        <f>SUMIF(月間集計シート!$M$113:$M$132,$G812,月間集計シート!S$113:S$132)*AQ$2</f>
        <v>0</v>
      </c>
      <c r="AR812" s="88">
        <f>SUMIF(月間集計シート!$M$113:$M$132,$G812,月間集計シート!T$113:T$132)*AR$2</f>
        <v>0</v>
      </c>
      <c r="AS812" s="88">
        <f>SUMIF(月間集計シート!$M$134:$M$153,$G812,月間集計シート!N$134:N$153)*AS$2</f>
        <v>0</v>
      </c>
      <c r="AT812" s="88">
        <f>SUMIF(月間集計シート!$M$134:$M$153,$G812,月間集計シート!O$134:O$153)*AT$2</f>
        <v>0</v>
      </c>
      <c r="AU812" s="88">
        <f>SUMIF(月間集計シート!$M$134:$M$153,$G812,月間集計シート!P$134:P$153)*AU$2</f>
        <v>0</v>
      </c>
      <c r="AV812" s="88">
        <f>SUMIF(月間集計シート!$M$134:$M$153,$G812,月間集計シート!Q$134:Q$153)*AV$2</f>
        <v>0</v>
      </c>
      <c r="AW812" s="88">
        <f>SUMIF(月間集計シート!$M$134:$M$153,$G812,月間集計シート!R$134:R$153)*AW$2</f>
        <v>0</v>
      </c>
      <c r="AX812" s="88">
        <f>SUMIF(月間集計シート!$M$134:$M$153,$G812,月間集計シート!S$134:S$153)*AX$2</f>
        <v>0</v>
      </c>
      <c r="AY812" s="88">
        <f>SUMIF(月間集計シート!$M$134:$M$153,$G812,月間集計シート!T$134:T$153)*AY$2</f>
        <v>0</v>
      </c>
    </row>
    <row r="813" spans="1:51" ht="14.25" thickBot="1">
      <c r="A813">
        <v>10</v>
      </c>
      <c r="B813" s="120">
        <f t="shared" si="411"/>
        <v>0</v>
      </c>
      <c r="C813" s="120" t="str">
        <f t="shared" si="412"/>
        <v/>
      </c>
      <c r="D813" s="137"/>
      <c r="E813" s="150" t="str">
        <f>工種!A40</f>
        <v>50106</v>
      </c>
      <c r="F813" s="119" t="str">
        <f>工種!B40</f>
        <v>ﾏﾆｭｱﾙ作成：ﾚﾋﾞｭｰ</v>
      </c>
      <c r="G813" s="116" t="str">
        <f t="shared" si="413"/>
        <v>050106</v>
      </c>
      <c r="H813" s="88">
        <f t="shared" si="367"/>
        <v>0</v>
      </c>
      <c r="I813" s="132"/>
      <c r="J813" s="88">
        <f>SUMIF(月間集計シート!$M$29:$M$48,$G813,月間集計シート!N$29:N$48)*J$2</f>
        <v>0</v>
      </c>
      <c r="K813" s="88">
        <f>SUMIF(月間集計シート!$M$29:$M$48,$G813,月間集計シート!O$29:O$48)*K$2</f>
        <v>0</v>
      </c>
      <c r="L813" s="88">
        <f>SUMIF(月間集計シート!$M$29:$M$48,$G813,月間集計シート!P$29:P$48)*L$2</f>
        <v>0</v>
      </c>
      <c r="M813" s="88">
        <f>SUMIF(月間集計シート!$M$29:$M$48,$G813,月間集計シート!Q$29:Q$48)*M$2</f>
        <v>0</v>
      </c>
      <c r="N813" s="88">
        <f>SUMIF(月間集計シート!$M$29:$M$48,$G813,月間集計シート!R$29:R$48)*N$2</f>
        <v>0</v>
      </c>
      <c r="O813" s="88">
        <f>SUMIF(月間集計シート!$M$29:$M$48,$G813,月間集計シート!S$29:S$48)*O$2</f>
        <v>0</v>
      </c>
      <c r="P813" s="88">
        <f>SUMIF(月間集計シート!$M$29:$M$48,$G813,月間集計シート!T$29:T$48)*P$2</f>
        <v>0</v>
      </c>
      <c r="Q813" s="88">
        <f>SUMIF(月間集計シート!$M$50:$M$69,$G813,月間集計シート!N$50:N$69)*Q$2</f>
        <v>0</v>
      </c>
      <c r="R813" s="88">
        <f>SUMIF(月間集計シート!$M$50:$M$69,$G813,月間集計シート!O$50:O$69)*R$2</f>
        <v>0</v>
      </c>
      <c r="S813" s="88">
        <f>SUMIF(月間集計シート!$M$50:$M$69,$G813,月間集計シート!P$50:P$69)*S$2</f>
        <v>0</v>
      </c>
      <c r="T813" s="88">
        <f>SUMIF(月間集計シート!$M$50:$M$69,$G813,月間集計シート!Q$50:Q$69)*T$2</f>
        <v>0</v>
      </c>
      <c r="U813" s="88">
        <f>SUMIF(月間集計シート!$M$50:$M$69,$G813,月間集計シート!R$50:R$69)*U$2</f>
        <v>0</v>
      </c>
      <c r="V813" s="88">
        <f>SUMIF(月間集計シート!$M$50:$M$69,$G813,月間集計シート!S$50:S$69)*V$2</f>
        <v>0</v>
      </c>
      <c r="W813" s="88">
        <f>SUMIF(月間集計シート!$M$50:$M$69,$G813,月間集計シート!T$50:T$69)*W$2</f>
        <v>0</v>
      </c>
      <c r="X813" s="88">
        <f>SUMIF(月間集計シート!$M$71:$M$90,$G813,月間集計シート!N$71:N$90)*X$2</f>
        <v>0</v>
      </c>
      <c r="Y813" s="88">
        <f>SUMIF(月間集計シート!$M$71:$M$90,$G813,月間集計シート!O$71:O$90)*Y$2</f>
        <v>0</v>
      </c>
      <c r="Z813" s="88">
        <f>SUMIF(月間集計シート!$M$71:$M$90,$G813,月間集計シート!P$71:P$90)*Z$2</f>
        <v>0</v>
      </c>
      <c r="AA813" s="88">
        <f>SUMIF(月間集計シート!$M$71:$M$90,$G813,月間集計シート!Q$71:Q$90)*AA$2</f>
        <v>0</v>
      </c>
      <c r="AB813" s="88">
        <f>SUMIF(月間集計シート!$M$71:$M$90,$G813,月間集計シート!R$71:R$90)*AB$2</f>
        <v>0</v>
      </c>
      <c r="AC813" s="88">
        <f>SUMIF(月間集計シート!$M$71:$M$90,$G813,月間集計シート!S$71:S$90)*AC$2</f>
        <v>0</v>
      </c>
      <c r="AD813" s="88">
        <f>SUMIF(月間集計シート!$M$71:$M$90,$G813,月間集計シート!T$71:T$90)*AD$2</f>
        <v>0</v>
      </c>
      <c r="AE813" s="88">
        <f>SUMIF(月間集計シート!$M$92:$M$111,$G813,月間集計シート!N$92:N$111)*AE$2</f>
        <v>0</v>
      </c>
      <c r="AF813" s="88">
        <f>SUMIF(月間集計シート!$M$92:$M$111,$G813,月間集計シート!O$92:O$111)*AF$2</f>
        <v>0</v>
      </c>
      <c r="AG813" s="88">
        <f>SUMIF(月間集計シート!$M$92:$M$111,$G813,月間集計シート!P$92:P$111)*AG$2</f>
        <v>0</v>
      </c>
      <c r="AH813" s="88">
        <f>SUMIF(月間集計シート!$M$92:$M$111,$G813,月間集計シート!Q$92:Q$111)*AH$2</f>
        <v>0</v>
      </c>
      <c r="AI813" s="88">
        <f>SUMIF(月間集計シート!$M$92:$M$111,$G813,月間集計シート!R$92:R$111)*AI$2</f>
        <v>0</v>
      </c>
      <c r="AJ813" s="88">
        <f>SUMIF(月間集計シート!$M$92:$M$111,$G813,月間集計シート!S$92:S$111)*AJ$2</f>
        <v>0</v>
      </c>
      <c r="AK813" s="88">
        <f>SUMIF(月間集計シート!$M$92:$M$111,$G813,月間集計シート!T$92:T$111)*AK$2</f>
        <v>0</v>
      </c>
      <c r="AL813" s="88">
        <f>SUMIF(月間集計シート!$M$113:$M$132,$G813,月間集計シート!N$113:N$132)*AL$2</f>
        <v>0</v>
      </c>
      <c r="AM813" s="88">
        <f>SUMIF(月間集計シート!$M$113:$M$132,$G813,月間集計シート!O$113:O$132)*AM$2</f>
        <v>0</v>
      </c>
      <c r="AN813" s="88">
        <f>SUMIF(月間集計シート!$M$113:$M$132,$G813,月間集計シート!P$113:P$132)*AN$2</f>
        <v>0</v>
      </c>
      <c r="AO813" s="88">
        <f>SUMIF(月間集計シート!$M$113:$M$132,$G813,月間集計シート!Q$113:Q$132)*AO$2</f>
        <v>0</v>
      </c>
      <c r="AP813" s="88">
        <f>SUMIF(月間集計シート!$M$113:$M$132,$G813,月間集計シート!R$113:R$132)*AP$2</f>
        <v>0</v>
      </c>
      <c r="AQ813" s="88">
        <f>SUMIF(月間集計シート!$M$113:$M$132,$G813,月間集計シート!S$113:S$132)*AQ$2</f>
        <v>0</v>
      </c>
      <c r="AR813" s="88">
        <f>SUMIF(月間集計シート!$M$113:$M$132,$G813,月間集計シート!T$113:T$132)*AR$2</f>
        <v>0</v>
      </c>
      <c r="AS813" s="88">
        <f>SUMIF(月間集計シート!$M$134:$M$153,$G813,月間集計シート!N$134:N$153)*AS$2</f>
        <v>0</v>
      </c>
      <c r="AT813" s="88">
        <f>SUMIF(月間集計シート!$M$134:$M$153,$G813,月間集計シート!O$134:O$153)*AT$2</f>
        <v>0</v>
      </c>
      <c r="AU813" s="88">
        <f>SUMIF(月間集計シート!$M$134:$M$153,$G813,月間集計シート!P$134:P$153)*AU$2</f>
        <v>0</v>
      </c>
      <c r="AV813" s="88">
        <f>SUMIF(月間集計シート!$M$134:$M$153,$G813,月間集計シート!Q$134:Q$153)*AV$2</f>
        <v>0</v>
      </c>
      <c r="AW813" s="88">
        <f>SUMIF(月間集計シート!$M$134:$M$153,$G813,月間集計シート!R$134:R$153)*AW$2</f>
        <v>0</v>
      </c>
      <c r="AX813" s="88">
        <f>SUMIF(月間集計シート!$M$134:$M$153,$G813,月間集計シート!S$134:S$153)*AX$2</f>
        <v>0</v>
      </c>
      <c r="AY813" s="88">
        <f>SUMIF(月間集計シート!$M$134:$M$153,$G813,月間集計シート!T$134:T$153)*AY$2</f>
        <v>0</v>
      </c>
    </row>
    <row r="814" spans="1:51" ht="14.25" thickBot="1">
      <c r="A814">
        <v>10</v>
      </c>
      <c r="B814" s="120">
        <f t="shared" si="411"/>
        <v>0</v>
      </c>
      <c r="C814" s="120" t="str">
        <f t="shared" si="412"/>
        <v/>
      </c>
      <c r="D814" s="137"/>
      <c r="E814" s="150" t="str">
        <f>工種!A41</f>
        <v>50199</v>
      </c>
      <c r="F814" s="119" t="str">
        <f>工種!B41</f>
        <v>ﾏﾆｭｱﾙ作成：その他</v>
      </c>
      <c r="G814" s="116" t="str">
        <f t="shared" si="413"/>
        <v>050199</v>
      </c>
      <c r="H814" s="88">
        <f t="shared" si="367"/>
        <v>0</v>
      </c>
      <c r="I814" s="132"/>
      <c r="J814" s="88">
        <f>SUMIF(月間集計シート!$M$29:$M$48,$G814,月間集計シート!N$29:N$48)*J$2</f>
        <v>0</v>
      </c>
      <c r="K814" s="88">
        <f>SUMIF(月間集計シート!$M$29:$M$48,$G814,月間集計シート!O$29:O$48)*K$2</f>
        <v>0</v>
      </c>
      <c r="L814" s="88">
        <f>SUMIF(月間集計シート!$M$29:$M$48,$G814,月間集計シート!P$29:P$48)*L$2</f>
        <v>0</v>
      </c>
      <c r="M814" s="88">
        <f>SUMIF(月間集計シート!$M$29:$M$48,$G814,月間集計シート!Q$29:Q$48)*M$2</f>
        <v>0</v>
      </c>
      <c r="N814" s="88">
        <f>SUMIF(月間集計シート!$M$29:$M$48,$G814,月間集計シート!R$29:R$48)*N$2</f>
        <v>0</v>
      </c>
      <c r="O814" s="88">
        <f>SUMIF(月間集計シート!$M$29:$M$48,$G814,月間集計シート!S$29:S$48)*O$2</f>
        <v>0</v>
      </c>
      <c r="P814" s="88">
        <f>SUMIF(月間集計シート!$M$29:$M$48,$G814,月間集計シート!T$29:T$48)*P$2</f>
        <v>0</v>
      </c>
      <c r="Q814" s="88">
        <f>SUMIF(月間集計シート!$M$50:$M$69,$G814,月間集計シート!N$50:N$69)*Q$2</f>
        <v>0</v>
      </c>
      <c r="R814" s="88">
        <f>SUMIF(月間集計シート!$M$50:$M$69,$G814,月間集計シート!O$50:O$69)*R$2</f>
        <v>0</v>
      </c>
      <c r="S814" s="88">
        <f>SUMIF(月間集計シート!$M$50:$M$69,$G814,月間集計シート!P$50:P$69)*S$2</f>
        <v>0</v>
      </c>
      <c r="T814" s="88">
        <f>SUMIF(月間集計シート!$M$50:$M$69,$G814,月間集計シート!Q$50:Q$69)*T$2</f>
        <v>0</v>
      </c>
      <c r="U814" s="88">
        <f>SUMIF(月間集計シート!$M$50:$M$69,$G814,月間集計シート!R$50:R$69)*U$2</f>
        <v>0</v>
      </c>
      <c r="V814" s="88">
        <f>SUMIF(月間集計シート!$M$50:$M$69,$G814,月間集計シート!S$50:S$69)*V$2</f>
        <v>0</v>
      </c>
      <c r="W814" s="88">
        <f>SUMIF(月間集計シート!$M$50:$M$69,$G814,月間集計シート!T$50:T$69)*W$2</f>
        <v>0</v>
      </c>
      <c r="X814" s="88">
        <f>SUMIF(月間集計シート!$M$71:$M$90,$G814,月間集計シート!N$71:N$90)*X$2</f>
        <v>0</v>
      </c>
      <c r="Y814" s="88">
        <f>SUMIF(月間集計シート!$M$71:$M$90,$G814,月間集計シート!O$71:O$90)*Y$2</f>
        <v>0</v>
      </c>
      <c r="Z814" s="88">
        <f>SUMIF(月間集計シート!$M$71:$M$90,$G814,月間集計シート!P$71:P$90)*Z$2</f>
        <v>0</v>
      </c>
      <c r="AA814" s="88">
        <f>SUMIF(月間集計シート!$M$71:$M$90,$G814,月間集計シート!Q$71:Q$90)*AA$2</f>
        <v>0</v>
      </c>
      <c r="AB814" s="88">
        <f>SUMIF(月間集計シート!$M$71:$M$90,$G814,月間集計シート!R$71:R$90)*AB$2</f>
        <v>0</v>
      </c>
      <c r="AC814" s="88">
        <f>SUMIF(月間集計シート!$M$71:$M$90,$G814,月間集計シート!S$71:S$90)*AC$2</f>
        <v>0</v>
      </c>
      <c r="AD814" s="88">
        <f>SUMIF(月間集計シート!$M$71:$M$90,$G814,月間集計シート!T$71:T$90)*AD$2</f>
        <v>0</v>
      </c>
      <c r="AE814" s="88">
        <f>SUMIF(月間集計シート!$M$92:$M$111,$G814,月間集計シート!N$92:N$111)*AE$2</f>
        <v>0</v>
      </c>
      <c r="AF814" s="88">
        <f>SUMIF(月間集計シート!$M$92:$M$111,$G814,月間集計シート!O$92:O$111)*AF$2</f>
        <v>0</v>
      </c>
      <c r="AG814" s="88">
        <f>SUMIF(月間集計シート!$M$92:$M$111,$G814,月間集計シート!P$92:P$111)*AG$2</f>
        <v>0</v>
      </c>
      <c r="AH814" s="88">
        <f>SUMIF(月間集計シート!$M$92:$M$111,$G814,月間集計シート!Q$92:Q$111)*AH$2</f>
        <v>0</v>
      </c>
      <c r="AI814" s="88">
        <f>SUMIF(月間集計シート!$M$92:$M$111,$G814,月間集計シート!R$92:R$111)*AI$2</f>
        <v>0</v>
      </c>
      <c r="AJ814" s="88">
        <f>SUMIF(月間集計シート!$M$92:$M$111,$G814,月間集計シート!S$92:S$111)*AJ$2</f>
        <v>0</v>
      </c>
      <c r="AK814" s="88">
        <f>SUMIF(月間集計シート!$M$92:$M$111,$G814,月間集計シート!T$92:T$111)*AK$2</f>
        <v>0</v>
      </c>
      <c r="AL814" s="88">
        <f>SUMIF(月間集計シート!$M$113:$M$132,$G814,月間集計シート!N$113:N$132)*AL$2</f>
        <v>0</v>
      </c>
      <c r="AM814" s="88">
        <f>SUMIF(月間集計シート!$M$113:$M$132,$G814,月間集計シート!O$113:O$132)*AM$2</f>
        <v>0</v>
      </c>
      <c r="AN814" s="88">
        <f>SUMIF(月間集計シート!$M$113:$M$132,$G814,月間集計シート!P$113:P$132)*AN$2</f>
        <v>0</v>
      </c>
      <c r="AO814" s="88">
        <f>SUMIF(月間集計シート!$M$113:$M$132,$G814,月間集計シート!Q$113:Q$132)*AO$2</f>
        <v>0</v>
      </c>
      <c r="AP814" s="88">
        <f>SUMIF(月間集計シート!$M$113:$M$132,$G814,月間集計シート!R$113:R$132)*AP$2</f>
        <v>0</v>
      </c>
      <c r="AQ814" s="88">
        <f>SUMIF(月間集計シート!$M$113:$M$132,$G814,月間集計シート!S$113:S$132)*AQ$2</f>
        <v>0</v>
      </c>
      <c r="AR814" s="88">
        <f>SUMIF(月間集計シート!$M$113:$M$132,$G814,月間集計シート!T$113:T$132)*AR$2</f>
        <v>0</v>
      </c>
      <c r="AS814" s="88">
        <f>SUMIF(月間集計シート!$M$134:$M$153,$G814,月間集計シート!N$134:N$153)*AS$2</f>
        <v>0</v>
      </c>
      <c r="AT814" s="88">
        <f>SUMIF(月間集計シート!$M$134:$M$153,$G814,月間集計シート!O$134:O$153)*AT$2</f>
        <v>0</v>
      </c>
      <c r="AU814" s="88">
        <f>SUMIF(月間集計シート!$M$134:$M$153,$G814,月間集計シート!P$134:P$153)*AU$2</f>
        <v>0</v>
      </c>
      <c r="AV814" s="88">
        <f>SUMIF(月間集計シート!$M$134:$M$153,$G814,月間集計シート!Q$134:Q$153)*AV$2</f>
        <v>0</v>
      </c>
      <c r="AW814" s="88">
        <f>SUMIF(月間集計シート!$M$134:$M$153,$G814,月間集計シート!R$134:R$153)*AW$2</f>
        <v>0</v>
      </c>
      <c r="AX814" s="88">
        <f>SUMIF(月間集計シート!$M$134:$M$153,$G814,月間集計シート!S$134:S$153)*AX$2</f>
        <v>0</v>
      </c>
      <c r="AY814" s="88">
        <f>SUMIF(月間集計シート!$M$134:$M$153,$G814,月間集計シート!T$134:T$153)*AY$2</f>
        <v>0</v>
      </c>
    </row>
    <row r="815" spans="1:51" ht="14.25" thickBot="1">
      <c r="A815">
        <v>10</v>
      </c>
      <c r="B815" s="120">
        <f t="shared" si="411"/>
        <v>0</v>
      </c>
      <c r="C815" s="120" t="str">
        <f t="shared" si="412"/>
        <v/>
      </c>
      <c r="D815" s="137"/>
      <c r="E815" s="150" t="str">
        <f>工種!A42</f>
        <v>60101</v>
      </c>
      <c r="F815" s="119" t="str">
        <f>工種!B42</f>
        <v>ﾘﾘｰｽ：ﾘﾘｰｽ・ﾃﾞﾘﾊﾞﾘ作業</v>
      </c>
      <c r="G815" s="116" t="str">
        <f t="shared" si="413"/>
        <v>060101</v>
      </c>
      <c r="H815" s="88">
        <f t="shared" si="367"/>
        <v>0</v>
      </c>
      <c r="I815" s="132"/>
      <c r="J815" s="88">
        <f>SUMIF(月間集計シート!$M$29:$M$48,$G815,月間集計シート!N$29:N$48)*J$2</f>
        <v>0</v>
      </c>
      <c r="K815" s="88">
        <f>SUMIF(月間集計シート!$M$29:$M$48,$G815,月間集計シート!O$29:O$48)*K$2</f>
        <v>0</v>
      </c>
      <c r="L815" s="88">
        <f>SUMIF(月間集計シート!$M$29:$M$48,$G815,月間集計シート!P$29:P$48)*L$2</f>
        <v>0</v>
      </c>
      <c r="M815" s="88">
        <f>SUMIF(月間集計シート!$M$29:$M$48,$G815,月間集計シート!Q$29:Q$48)*M$2</f>
        <v>0</v>
      </c>
      <c r="N815" s="88">
        <f>SUMIF(月間集計シート!$M$29:$M$48,$G815,月間集計シート!R$29:R$48)*N$2</f>
        <v>0</v>
      </c>
      <c r="O815" s="88">
        <f>SUMIF(月間集計シート!$M$29:$M$48,$G815,月間集計シート!S$29:S$48)*O$2</f>
        <v>0</v>
      </c>
      <c r="P815" s="88">
        <f>SUMIF(月間集計シート!$M$29:$M$48,$G815,月間集計シート!T$29:T$48)*P$2</f>
        <v>0</v>
      </c>
      <c r="Q815" s="88">
        <f>SUMIF(月間集計シート!$M$50:$M$69,$G815,月間集計シート!N$50:N$69)*Q$2</f>
        <v>0</v>
      </c>
      <c r="R815" s="88">
        <f>SUMIF(月間集計シート!$M$50:$M$69,$G815,月間集計シート!O$50:O$69)*R$2</f>
        <v>0</v>
      </c>
      <c r="S815" s="88">
        <f>SUMIF(月間集計シート!$M$50:$M$69,$G815,月間集計シート!P$50:P$69)*S$2</f>
        <v>0</v>
      </c>
      <c r="T815" s="88">
        <f>SUMIF(月間集計シート!$M$50:$M$69,$G815,月間集計シート!Q$50:Q$69)*T$2</f>
        <v>0</v>
      </c>
      <c r="U815" s="88">
        <f>SUMIF(月間集計シート!$M$50:$M$69,$G815,月間集計シート!R$50:R$69)*U$2</f>
        <v>0</v>
      </c>
      <c r="V815" s="88">
        <f>SUMIF(月間集計シート!$M$50:$M$69,$G815,月間集計シート!S$50:S$69)*V$2</f>
        <v>0</v>
      </c>
      <c r="W815" s="88">
        <f>SUMIF(月間集計シート!$M$50:$M$69,$G815,月間集計シート!T$50:T$69)*W$2</f>
        <v>0</v>
      </c>
      <c r="X815" s="88">
        <f>SUMIF(月間集計シート!$M$71:$M$90,$G815,月間集計シート!N$71:N$90)*X$2</f>
        <v>0</v>
      </c>
      <c r="Y815" s="88">
        <f>SUMIF(月間集計シート!$M$71:$M$90,$G815,月間集計シート!O$71:O$90)*Y$2</f>
        <v>0</v>
      </c>
      <c r="Z815" s="88">
        <f>SUMIF(月間集計シート!$M$71:$M$90,$G815,月間集計シート!P$71:P$90)*Z$2</f>
        <v>0</v>
      </c>
      <c r="AA815" s="88">
        <f>SUMIF(月間集計シート!$M$71:$M$90,$G815,月間集計シート!Q$71:Q$90)*AA$2</f>
        <v>0</v>
      </c>
      <c r="AB815" s="88">
        <f>SUMIF(月間集計シート!$M$71:$M$90,$G815,月間集計シート!R$71:R$90)*AB$2</f>
        <v>0</v>
      </c>
      <c r="AC815" s="88">
        <f>SUMIF(月間集計シート!$M$71:$M$90,$G815,月間集計シート!S$71:S$90)*AC$2</f>
        <v>0</v>
      </c>
      <c r="AD815" s="88">
        <f>SUMIF(月間集計シート!$M$71:$M$90,$G815,月間集計シート!T$71:T$90)*AD$2</f>
        <v>0</v>
      </c>
      <c r="AE815" s="88">
        <f>SUMIF(月間集計シート!$M$92:$M$111,$G815,月間集計シート!N$92:N$111)*AE$2</f>
        <v>0</v>
      </c>
      <c r="AF815" s="88">
        <f>SUMIF(月間集計シート!$M$92:$M$111,$G815,月間集計シート!O$92:O$111)*AF$2</f>
        <v>0</v>
      </c>
      <c r="AG815" s="88">
        <f>SUMIF(月間集計シート!$M$92:$M$111,$G815,月間集計シート!P$92:P$111)*AG$2</f>
        <v>0</v>
      </c>
      <c r="AH815" s="88">
        <f>SUMIF(月間集計シート!$M$92:$M$111,$G815,月間集計シート!Q$92:Q$111)*AH$2</f>
        <v>0</v>
      </c>
      <c r="AI815" s="88">
        <f>SUMIF(月間集計シート!$M$92:$M$111,$G815,月間集計シート!R$92:R$111)*AI$2</f>
        <v>0</v>
      </c>
      <c r="AJ815" s="88">
        <f>SUMIF(月間集計シート!$M$92:$M$111,$G815,月間集計シート!S$92:S$111)*AJ$2</f>
        <v>0</v>
      </c>
      <c r="AK815" s="88">
        <f>SUMIF(月間集計シート!$M$92:$M$111,$G815,月間集計シート!T$92:T$111)*AK$2</f>
        <v>0</v>
      </c>
      <c r="AL815" s="88">
        <f>SUMIF(月間集計シート!$M$113:$M$132,$G815,月間集計シート!N$113:N$132)*AL$2</f>
        <v>0</v>
      </c>
      <c r="AM815" s="88">
        <f>SUMIF(月間集計シート!$M$113:$M$132,$G815,月間集計シート!O$113:O$132)*AM$2</f>
        <v>0</v>
      </c>
      <c r="AN815" s="88">
        <f>SUMIF(月間集計シート!$M$113:$M$132,$G815,月間集計シート!P$113:P$132)*AN$2</f>
        <v>0</v>
      </c>
      <c r="AO815" s="88">
        <f>SUMIF(月間集計シート!$M$113:$M$132,$G815,月間集計シート!Q$113:Q$132)*AO$2</f>
        <v>0</v>
      </c>
      <c r="AP815" s="88">
        <f>SUMIF(月間集計シート!$M$113:$M$132,$G815,月間集計シート!R$113:R$132)*AP$2</f>
        <v>0</v>
      </c>
      <c r="AQ815" s="88">
        <f>SUMIF(月間集計シート!$M$113:$M$132,$G815,月間集計シート!S$113:S$132)*AQ$2</f>
        <v>0</v>
      </c>
      <c r="AR815" s="88">
        <f>SUMIF(月間集計シート!$M$113:$M$132,$G815,月間集計シート!T$113:T$132)*AR$2</f>
        <v>0</v>
      </c>
      <c r="AS815" s="88">
        <f>SUMIF(月間集計シート!$M$134:$M$153,$G815,月間集計シート!N$134:N$153)*AS$2</f>
        <v>0</v>
      </c>
      <c r="AT815" s="88">
        <f>SUMIF(月間集計シート!$M$134:$M$153,$G815,月間集計シート!O$134:O$153)*AT$2</f>
        <v>0</v>
      </c>
      <c r="AU815" s="88">
        <f>SUMIF(月間集計シート!$M$134:$M$153,$G815,月間集計シート!P$134:P$153)*AU$2</f>
        <v>0</v>
      </c>
      <c r="AV815" s="88">
        <f>SUMIF(月間集計シート!$M$134:$M$153,$G815,月間集計シート!Q$134:Q$153)*AV$2</f>
        <v>0</v>
      </c>
      <c r="AW815" s="88">
        <f>SUMIF(月間集計シート!$M$134:$M$153,$G815,月間集計シート!R$134:R$153)*AW$2</f>
        <v>0</v>
      </c>
      <c r="AX815" s="88">
        <f>SUMIF(月間集計シート!$M$134:$M$153,$G815,月間集計シート!S$134:S$153)*AX$2</f>
        <v>0</v>
      </c>
      <c r="AY815" s="88">
        <f>SUMIF(月間集計シート!$M$134:$M$153,$G815,月間集計シート!T$134:T$153)*AY$2</f>
        <v>0</v>
      </c>
    </row>
    <row r="816" spans="1:51" ht="14.25" thickBot="1">
      <c r="A816">
        <v>10</v>
      </c>
      <c r="B816" s="120">
        <f t="shared" si="411"/>
        <v>0</v>
      </c>
      <c r="C816" s="120" t="str">
        <f t="shared" si="412"/>
        <v/>
      </c>
      <c r="D816" s="137"/>
      <c r="E816" s="150" t="str">
        <f>工種!A43</f>
        <v>60102</v>
      </c>
      <c r="F816" s="119" t="str">
        <f>工種!B43</f>
        <v>ﾘﾘｰｽ：ﾘﾘｰｽ関連業務</v>
      </c>
      <c r="G816" s="116" t="str">
        <f t="shared" si="413"/>
        <v>060102</v>
      </c>
      <c r="H816" s="88">
        <f t="shared" si="367"/>
        <v>0</v>
      </c>
      <c r="I816" s="132"/>
      <c r="J816" s="88">
        <f>SUMIF(月間集計シート!$M$29:$M$48,$G816,月間集計シート!N$29:N$48)*J$2</f>
        <v>0</v>
      </c>
      <c r="K816" s="88">
        <f>SUMIF(月間集計シート!$M$29:$M$48,$G816,月間集計シート!O$29:O$48)*K$2</f>
        <v>0</v>
      </c>
      <c r="L816" s="88">
        <f>SUMIF(月間集計シート!$M$29:$M$48,$G816,月間集計シート!P$29:P$48)*L$2</f>
        <v>0</v>
      </c>
      <c r="M816" s="88">
        <f>SUMIF(月間集計シート!$M$29:$M$48,$G816,月間集計シート!Q$29:Q$48)*M$2</f>
        <v>0</v>
      </c>
      <c r="N816" s="88">
        <f>SUMIF(月間集計シート!$M$29:$M$48,$G816,月間集計シート!R$29:R$48)*N$2</f>
        <v>0</v>
      </c>
      <c r="O816" s="88">
        <f>SUMIF(月間集計シート!$M$29:$M$48,$G816,月間集計シート!S$29:S$48)*O$2</f>
        <v>0</v>
      </c>
      <c r="P816" s="88">
        <f>SUMIF(月間集計シート!$M$29:$M$48,$G816,月間集計シート!T$29:T$48)*P$2</f>
        <v>0</v>
      </c>
      <c r="Q816" s="88">
        <f>SUMIF(月間集計シート!$M$50:$M$69,$G816,月間集計シート!N$50:N$69)*Q$2</f>
        <v>0</v>
      </c>
      <c r="R816" s="88">
        <f>SUMIF(月間集計シート!$M$50:$M$69,$G816,月間集計シート!O$50:O$69)*R$2</f>
        <v>0</v>
      </c>
      <c r="S816" s="88">
        <f>SUMIF(月間集計シート!$M$50:$M$69,$G816,月間集計シート!P$50:P$69)*S$2</f>
        <v>0</v>
      </c>
      <c r="T816" s="88">
        <f>SUMIF(月間集計シート!$M$50:$M$69,$G816,月間集計シート!Q$50:Q$69)*T$2</f>
        <v>0</v>
      </c>
      <c r="U816" s="88">
        <f>SUMIF(月間集計シート!$M$50:$M$69,$G816,月間集計シート!R$50:R$69)*U$2</f>
        <v>0</v>
      </c>
      <c r="V816" s="88">
        <f>SUMIF(月間集計シート!$M$50:$M$69,$G816,月間集計シート!S$50:S$69)*V$2</f>
        <v>0</v>
      </c>
      <c r="W816" s="88">
        <f>SUMIF(月間集計シート!$M$50:$M$69,$G816,月間集計シート!T$50:T$69)*W$2</f>
        <v>0</v>
      </c>
      <c r="X816" s="88">
        <f>SUMIF(月間集計シート!$M$71:$M$90,$G816,月間集計シート!N$71:N$90)*X$2</f>
        <v>0</v>
      </c>
      <c r="Y816" s="88">
        <f>SUMIF(月間集計シート!$M$71:$M$90,$G816,月間集計シート!O$71:O$90)*Y$2</f>
        <v>0</v>
      </c>
      <c r="Z816" s="88">
        <f>SUMIF(月間集計シート!$M$71:$M$90,$G816,月間集計シート!P$71:P$90)*Z$2</f>
        <v>0</v>
      </c>
      <c r="AA816" s="88">
        <f>SUMIF(月間集計シート!$M$71:$M$90,$G816,月間集計シート!Q$71:Q$90)*AA$2</f>
        <v>0</v>
      </c>
      <c r="AB816" s="88">
        <f>SUMIF(月間集計シート!$M$71:$M$90,$G816,月間集計シート!R$71:R$90)*AB$2</f>
        <v>0</v>
      </c>
      <c r="AC816" s="88">
        <f>SUMIF(月間集計シート!$M$71:$M$90,$G816,月間集計シート!S$71:S$90)*AC$2</f>
        <v>0</v>
      </c>
      <c r="AD816" s="88">
        <f>SUMIF(月間集計シート!$M$71:$M$90,$G816,月間集計シート!T$71:T$90)*AD$2</f>
        <v>0</v>
      </c>
      <c r="AE816" s="88">
        <f>SUMIF(月間集計シート!$M$92:$M$111,$G816,月間集計シート!N$92:N$111)*AE$2</f>
        <v>0</v>
      </c>
      <c r="AF816" s="88">
        <f>SUMIF(月間集計シート!$M$92:$M$111,$G816,月間集計シート!O$92:O$111)*AF$2</f>
        <v>0</v>
      </c>
      <c r="AG816" s="88">
        <f>SUMIF(月間集計シート!$M$92:$M$111,$G816,月間集計シート!P$92:P$111)*AG$2</f>
        <v>0</v>
      </c>
      <c r="AH816" s="88">
        <f>SUMIF(月間集計シート!$M$92:$M$111,$G816,月間集計シート!Q$92:Q$111)*AH$2</f>
        <v>0</v>
      </c>
      <c r="AI816" s="88">
        <f>SUMIF(月間集計シート!$M$92:$M$111,$G816,月間集計シート!R$92:R$111)*AI$2</f>
        <v>0</v>
      </c>
      <c r="AJ816" s="88">
        <f>SUMIF(月間集計シート!$M$92:$M$111,$G816,月間集計シート!S$92:S$111)*AJ$2</f>
        <v>0</v>
      </c>
      <c r="AK816" s="88">
        <f>SUMIF(月間集計シート!$M$92:$M$111,$G816,月間集計シート!T$92:T$111)*AK$2</f>
        <v>0</v>
      </c>
      <c r="AL816" s="88">
        <f>SUMIF(月間集計シート!$M$113:$M$132,$G816,月間集計シート!N$113:N$132)*AL$2</f>
        <v>0</v>
      </c>
      <c r="AM816" s="88">
        <f>SUMIF(月間集計シート!$M$113:$M$132,$G816,月間集計シート!O$113:O$132)*AM$2</f>
        <v>0</v>
      </c>
      <c r="AN816" s="88">
        <f>SUMIF(月間集計シート!$M$113:$M$132,$G816,月間集計シート!P$113:P$132)*AN$2</f>
        <v>0</v>
      </c>
      <c r="AO816" s="88">
        <f>SUMIF(月間集計シート!$M$113:$M$132,$G816,月間集計シート!Q$113:Q$132)*AO$2</f>
        <v>0</v>
      </c>
      <c r="AP816" s="88">
        <f>SUMIF(月間集計シート!$M$113:$M$132,$G816,月間集計シート!R$113:R$132)*AP$2</f>
        <v>0</v>
      </c>
      <c r="AQ816" s="88">
        <f>SUMIF(月間集計シート!$M$113:$M$132,$G816,月間集計シート!S$113:S$132)*AQ$2</f>
        <v>0</v>
      </c>
      <c r="AR816" s="88">
        <f>SUMIF(月間集計シート!$M$113:$M$132,$G816,月間集計シート!T$113:T$132)*AR$2</f>
        <v>0</v>
      </c>
      <c r="AS816" s="88">
        <f>SUMIF(月間集計シート!$M$134:$M$153,$G816,月間集計シート!N$134:N$153)*AS$2</f>
        <v>0</v>
      </c>
      <c r="AT816" s="88">
        <f>SUMIF(月間集計シート!$M$134:$M$153,$G816,月間集計シート!O$134:O$153)*AT$2</f>
        <v>0</v>
      </c>
      <c r="AU816" s="88">
        <f>SUMIF(月間集計シート!$M$134:$M$153,$G816,月間集計シート!P$134:P$153)*AU$2</f>
        <v>0</v>
      </c>
      <c r="AV816" s="88">
        <f>SUMIF(月間集計シート!$M$134:$M$153,$G816,月間集計シート!Q$134:Q$153)*AV$2</f>
        <v>0</v>
      </c>
      <c r="AW816" s="88">
        <f>SUMIF(月間集計シート!$M$134:$M$153,$G816,月間集計シート!R$134:R$153)*AW$2</f>
        <v>0</v>
      </c>
      <c r="AX816" s="88">
        <f>SUMIF(月間集計シート!$M$134:$M$153,$G816,月間集計シート!S$134:S$153)*AX$2</f>
        <v>0</v>
      </c>
      <c r="AY816" s="88">
        <f>SUMIF(月間集計シート!$M$134:$M$153,$G816,月間集計シート!T$134:T$153)*AY$2</f>
        <v>0</v>
      </c>
    </row>
    <row r="817" spans="1:51" ht="14.25" thickBot="1">
      <c r="A817">
        <v>10</v>
      </c>
      <c r="B817" s="120">
        <f t="shared" si="411"/>
        <v>0</v>
      </c>
      <c r="C817" s="120" t="str">
        <f t="shared" si="412"/>
        <v/>
      </c>
      <c r="D817" s="137"/>
      <c r="E817" s="150" t="str">
        <f>工種!A44</f>
        <v>60103</v>
      </c>
      <c r="F817" s="119" t="str">
        <f>工種!B44</f>
        <v>ﾘﾘｰｽ：ﾏﾆｭｱﾙPDF作成・修正</v>
      </c>
      <c r="G817" s="116" t="str">
        <f t="shared" si="413"/>
        <v>060103</v>
      </c>
      <c r="H817" s="88">
        <f t="shared" si="367"/>
        <v>0</v>
      </c>
      <c r="I817" s="132"/>
      <c r="J817" s="88">
        <f>SUMIF(月間集計シート!$M$29:$M$48,$G817,月間集計シート!N$29:N$48)*J$2</f>
        <v>0</v>
      </c>
      <c r="K817" s="88">
        <f>SUMIF(月間集計シート!$M$29:$M$48,$G817,月間集計シート!O$29:O$48)*K$2</f>
        <v>0</v>
      </c>
      <c r="L817" s="88">
        <f>SUMIF(月間集計シート!$M$29:$M$48,$G817,月間集計シート!P$29:P$48)*L$2</f>
        <v>0</v>
      </c>
      <c r="M817" s="88">
        <f>SUMIF(月間集計シート!$M$29:$M$48,$G817,月間集計シート!Q$29:Q$48)*M$2</f>
        <v>0</v>
      </c>
      <c r="N817" s="88">
        <f>SUMIF(月間集計シート!$M$29:$M$48,$G817,月間集計シート!R$29:R$48)*N$2</f>
        <v>0</v>
      </c>
      <c r="O817" s="88">
        <f>SUMIF(月間集計シート!$M$29:$M$48,$G817,月間集計シート!S$29:S$48)*O$2</f>
        <v>0</v>
      </c>
      <c r="P817" s="88">
        <f>SUMIF(月間集計シート!$M$29:$M$48,$G817,月間集計シート!T$29:T$48)*P$2</f>
        <v>0</v>
      </c>
      <c r="Q817" s="88">
        <f>SUMIF(月間集計シート!$M$50:$M$69,$G817,月間集計シート!N$50:N$69)*Q$2</f>
        <v>0</v>
      </c>
      <c r="R817" s="88">
        <f>SUMIF(月間集計シート!$M$50:$M$69,$G817,月間集計シート!O$50:O$69)*R$2</f>
        <v>0</v>
      </c>
      <c r="S817" s="88">
        <f>SUMIF(月間集計シート!$M$50:$M$69,$G817,月間集計シート!P$50:P$69)*S$2</f>
        <v>0</v>
      </c>
      <c r="T817" s="88">
        <f>SUMIF(月間集計シート!$M$50:$M$69,$G817,月間集計シート!Q$50:Q$69)*T$2</f>
        <v>0</v>
      </c>
      <c r="U817" s="88">
        <f>SUMIF(月間集計シート!$M$50:$M$69,$G817,月間集計シート!R$50:R$69)*U$2</f>
        <v>0</v>
      </c>
      <c r="V817" s="88">
        <f>SUMIF(月間集計シート!$M$50:$M$69,$G817,月間集計シート!S$50:S$69)*V$2</f>
        <v>0</v>
      </c>
      <c r="W817" s="88">
        <f>SUMIF(月間集計シート!$M$50:$M$69,$G817,月間集計シート!T$50:T$69)*W$2</f>
        <v>0</v>
      </c>
      <c r="X817" s="88">
        <f>SUMIF(月間集計シート!$M$71:$M$90,$G817,月間集計シート!N$71:N$90)*X$2</f>
        <v>0</v>
      </c>
      <c r="Y817" s="88">
        <f>SUMIF(月間集計シート!$M$71:$M$90,$G817,月間集計シート!O$71:O$90)*Y$2</f>
        <v>0</v>
      </c>
      <c r="Z817" s="88">
        <f>SUMIF(月間集計シート!$M$71:$M$90,$G817,月間集計シート!P$71:P$90)*Z$2</f>
        <v>0</v>
      </c>
      <c r="AA817" s="88">
        <f>SUMIF(月間集計シート!$M$71:$M$90,$G817,月間集計シート!Q$71:Q$90)*AA$2</f>
        <v>0</v>
      </c>
      <c r="AB817" s="88">
        <f>SUMIF(月間集計シート!$M$71:$M$90,$G817,月間集計シート!R$71:R$90)*AB$2</f>
        <v>0</v>
      </c>
      <c r="AC817" s="88">
        <f>SUMIF(月間集計シート!$M$71:$M$90,$G817,月間集計シート!S$71:S$90)*AC$2</f>
        <v>0</v>
      </c>
      <c r="AD817" s="88">
        <f>SUMIF(月間集計シート!$M$71:$M$90,$G817,月間集計シート!T$71:T$90)*AD$2</f>
        <v>0</v>
      </c>
      <c r="AE817" s="88">
        <f>SUMIF(月間集計シート!$M$92:$M$111,$G817,月間集計シート!N$92:N$111)*AE$2</f>
        <v>0</v>
      </c>
      <c r="AF817" s="88">
        <f>SUMIF(月間集計シート!$M$92:$M$111,$G817,月間集計シート!O$92:O$111)*AF$2</f>
        <v>0</v>
      </c>
      <c r="AG817" s="88">
        <f>SUMIF(月間集計シート!$M$92:$M$111,$G817,月間集計シート!P$92:P$111)*AG$2</f>
        <v>0</v>
      </c>
      <c r="AH817" s="88">
        <f>SUMIF(月間集計シート!$M$92:$M$111,$G817,月間集計シート!Q$92:Q$111)*AH$2</f>
        <v>0</v>
      </c>
      <c r="AI817" s="88">
        <f>SUMIF(月間集計シート!$M$92:$M$111,$G817,月間集計シート!R$92:R$111)*AI$2</f>
        <v>0</v>
      </c>
      <c r="AJ817" s="88">
        <f>SUMIF(月間集計シート!$M$92:$M$111,$G817,月間集計シート!S$92:S$111)*AJ$2</f>
        <v>0</v>
      </c>
      <c r="AK817" s="88">
        <f>SUMIF(月間集計シート!$M$92:$M$111,$G817,月間集計シート!T$92:T$111)*AK$2</f>
        <v>0</v>
      </c>
      <c r="AL817" s="88">
        <f>SUMIF(月間集計シート!$M$113:$M$132,$G817,月間集計シート!N$113:N$132)*AL$2</f>
        <v>0</v>
      </c>
      <c r="AM817" s="88">
        <f>SUMIF(月間集計シート!$M$113:$M$132,$G817,月間集計シート!O$113:O$132)*AM$2</f>
        <v>0</v>
      </c>
      <c r="AN817" s="88">
        <f>SUMIF(月間集計シート!$M$113:$M$132,$G817,月間集計シート!P$113:P$132)*AN$2</f>
        <v>0</v>
      </c>
      <c r="AO817" s="88">
        <f>SUMIF(月間集計シート!$M$113:$M$132,$G817,月間集計シート!Q$113:Q$132)*AO$2</f>
        <v>0</v>
      </c>
      <c r="AP817" s="88">
        <f>SUMIF(月間集計シート!$M$113:$M$132,$G817,月間集計シート!R$113:R$132)*AP$2</f>
        <v>0</v>
      </c>
      <c r="AQ817" s="88">
        <f>SUMIF(月間集計シート!$M$113:$M$132,$G817,月間集計シート!S$113:S$132)*AQ$2</f>
        <v>0</v>
      </c>
      <c r="AR817" s="88">
        <f>SUMIF(月間集計シート!$M$113:$M$132,$G817,月間集計シート!T$113:T$132)*AR$2</f>
        <v>0</v>
      </c>
      <c r="AS817" s="88">
        <f>SUMIF(月間集計シート!$M$134:$M$153,$G817,月間集計シート!N$134:N$153)*AS$2</f>
        <v>0</v>
      </c>
      <c r="AT817" s="88">
        <f>SUMIF(月間集計シート!$M$134:$M$153,$G817,月間集計シート!O$134:O$153)*AT$2</f>
        <v>0</v>
      </c>
      <c r="AU817" s="88">
        <f>SUMIF(月間集計シート!$M$134:$M$153,$G817,月間集計シート!P$134:P$153)*AU$2</f>
        <v>0</v>
      </c>
      <c r="AV817" s="88">
        <f>SUMIF(月間集計シート!$M$134:$M$153,$G817,月間集計シート!Q$134:Q$153)*AV$2</f>
        <v>0</v>
      </c>
      <c r="AW817" s="88">
        <f>SUMIF(月間集計シート!$M$134:$M$153,$G817,月間集計シート!R$134:R$153)*AW$2</f>
        <v>0</v>
      </c>
      <c r="AX817" s="88">
        <f>SUMIF(月間集計シート!$M$134:$M$153,$G817,月間集計シート!S$134:S$153)*AX$2</f>
        <v>0</v>
      </c>
      <c r="AY817" s="88">
        <f>SUMIF(月間集計シート!$M$134:$M$153,$G817,月間集計シート!T$134:T$153)*AY$2</f>
        <v>0</v>
      </c>
    </row>
    <row r="818" spans="1:51" ht="14.25" thickBot="1">
      <c r="A818">
        <v>10</v>
      </c>
      <c r="B818" s="120">
        <f t="shared" si="411"/>
        <v>0</v>
      </c>
      <c r="C818" s="120" t="str">
        <f t="shared" si="412"/>
        <v/>
      </c>
      <c r="D818" s="137"/>
      <c r="E818" s="150" t="str">
        <f>工種!A45</f>
        <v>60104</v>
      </c>
      <c r="F818" s="119" t="str">
        <f>工種!B45</f>
        <v>ﾘﾘｰｽ：ﾍﾙﾌﾟ作成・修正</v>
      </c>
      <c r="G818" s="116" t="str">
        <f t="shared" si="413"/>
        <v>060104</v>
      </c>
      <c r="H818" s="88">
        <f t="shared" si="367"/>
        <v>0</v>
      </c>
      <c r="I818" s="132"/>
      <c r="J818" s="88">
        <f>SUMIF(月間集計シート!$M$29:$M$48,$G818,月間集計シート!N$29:N$48)*J$2</f>
        <v>0</v>
      </c>
      <c r="K818" s="88">
        <f>SUMIF(月間集計シート!$M$29:$M$48,$G818,月間集計シート!O$29:O$48)*K$2</f>
        <v>0</v>
      </c>
      <c r="L818" s="88">
        <f>SUMIF(月間集計シート!$M$29:$M$48,$G818,月間集計シート!P$29:P$48)*L$2</f>
        <v>0</v>
      </c>
      <c r="M818" s="88">
        <f>SUMIF(月間集計シート!$M$29:$M$48,$G818,月間集計シート!Q$29:Q$48)*M$2</f>
        <v>0</v>
      </c>
      <c r="N818" s="88">
        <f>SUMIF(月間集計シート!$M$29:$M$48,$G818,月間集計シート!R$29:R$48)*N$2</f>
        <v>0</v>
      </c>
      <c r="O818" s="88">
        <f>SUMIF(月間集計シート!$M$29:$M$48,$G818,月間集計シート!S$29:S$48)*O$2</f>
        <v>0</v>
      </c>
      <c r="P818" s="88">
        <f>SUMIF(月間集計シート!$M$29:$M$48,$G818,月間集計シート!T$29:T$48)*P$2</f>
        <v>0</v>
      </c>
      <c r="Q818" s="88">
        <f>SUMIF(月間集計シート!$M$50:$M$69,$G818,月間集計シート!N$50:N$69)*Q$2</f>
        <v>0</v>
      </c>
      <c r="R818" s="88">
        <f>SUMIF(月間集計シート!$M$50:$M$69,$G818,月間集計シート!O$50:O$69)*R$2</f>
        <v>0</v>
      </c>
      <c r="S818" s="88">
        <f>SUMIF(月間集計シート!$M$50:$M$69,$G818,月間集計シート!P$50:P$69)*S$2</f>
        <v>0</v>
      </c>
      <c r="T818" s="88">
        <f>SUMIF(月間集計シート!$M$50:$M$69,$G818,月間集計シート!Q$50:Q$69)*T$2</f>
        <v>0</v>
      </c>
      <c r="U818" s="88">
        <f>SUMIF(月間集計シート!$M$50:$M$69,$G818,月間集計シート!R$50:R$69)*U$2</f>
        <v>0</v>
      </c>
      <c r="V818" s="88">
        <f>SUMIF(月間集計シート!$M$50:$M$69,$G818,月間集計シート!S$50:S$69)*V$2</f>
        <v>0</v>
      </c>
      <c r="W818" s="88">
        <f>SUMIF(月間集計シート!$M$50:$M$69,$G818,月間集計シート!T$50:T$69)*W$2</f>
        <v>0</v>
      </c>
      <c r="X818" s="88">
        <f>SUMIF(月間集計シート!$M$71:$M$90,$G818,月間集計シート!N$71:N$90)*X$2</f>
        <v>0</v>
      </c>
      <c r="Y818" s="88">
        <f>SUMIF(月間集計シート!$M$71:$M$90,$G818,月間集計シート!O$71:O$90)*Y$2</f>
        <v>0</v>
      </c>
      <c r="Z818" s="88">
        <f>SUMIF(月間集計シート!$M$71:$M$90,$G818,月間集計シート!P$71:P$90)*Z$2</f>
        <v>0</v>
      </c>
      <c r="AA818" s="88">
        <f>SUMIF(月間集計シート!$M$71:$M$90,$G818,月間集計シート!Q$71:Q$90)*AA$2</f>
        <v>0</v>
      </c>
      <c r="AB818" s="88">
        <f>SUMIF(月間集計シート!$M$71:$M$90,$G818,月間集計シート!R$71:R$90)*AB$2</f>
        <v>0</v>
      </c>
      <c r="AC818" s="88">
        <f>SUMIF(月間集計シート!$M$71:$M$90,$G818,月間集計シート!S$71:S$90)*AC$2</f>
        <v>0</v>
      </c>
      <c r="AD818" s="88">
        <f>SUMIF(月間集計シート!$M$71:$M$90,$G818,月間集計シート!T$71:T$90)*AD$2</f>
        <v>0</v>
      </c>
      <c r="AE818" s="88">
        <f>SUMIF(月間集計シート!$M$92:$M$111,$G818,月間集計シート!N$92:N$111)*AE$2</f>
        <v>0</v>
      </c>
      <c r="AF818" s="88">
        <f>SUMIF(月間集計シート!$M$92:$M$111,$G818,月間集計シート!O$92:O$111)*AF$2</f>
        <v>0</v>
      </c>
      <c r="AG818" s="88">
        <f>SUMIF(月間集計シート!$M$92:$M$111,$G818,月間集計シート!P$92:P$111)*AG$2</f>
        <v>0</v>
      </c>
      <c r="AH818" s="88">
        <f>SUMIF(月間集計シート!$M$92:$M$111,$G818,月間集計シート!Q$92:Q$111)*AH$2</f>
        <v>0</v>
      </c>
      <c r="AI818" s="88">
        <f>SUMIF(月間集計シート!$M$92:$M$111,$G818,月間集計シート!R$92:R$111)*AI$2</f>
        <v>0</v>
      </c>
      <c r="AJ818" s="88">
        <f>SUMIF(月間集計シート!$M$92:$M$111,$G818,月間集計シート!S$92:S$111)*AJ$2</f>
        <v>0</v>
      </c>
      <c r="AK818" s="88">
        <f>SUMIF(月間集計シート!$M$92:$M$111,$G818,月間集計シート!T$92:T$111)*AK$2</f>
        <v>0</v>
      </c>
      <c r="AL818" s="88">
        <f>SUMIF(月間集計シート!$M$113:$M$132,$G818,月間集計シート!N$113:N$132)*AL$2</f>
        <v>0</v>
      </c>
      <c r="AM818" s="88">
        <f>SUMIF(月間集計シート!$M$113:$M$132,$G818,月間集計シート!O$113:O$132)*AM$2</f>
        <v>0</v>
      </c>
      <c r="AN818" s="88">
        <f>SUMIF(月間集計シート!$M$113:$M$132,$G818,月間集計シート!P$113:P$132)*AN$2</f>
        <v>0</v>
      </c>
      <c r="AO818" s="88">
        <f>SUMIF(月間集計シート!$M$113:$M$132,$G818,月間集計シート!Q$113:Q$132)*AO$2</f>
        <v>0</v>
      </c>
      <c r="AP818" s="88">
        <f>SUMIF(月間集計シート!$M$113:$M$132,$G818,月間集計シート!R$113:R$132)*AP$2</f>
        <v>0</v>
      </c>
      <c r="AQ818" s="88">
        <f>SUMIF(月間集計シート!$M$113:$M$132,$G818,月間集計シート!S$113:S$132)*AQ$2</f>
        <v>0</v>
      </c>
      <c r="AR818" s="88">
        <f>SUMIF(月間集計シート!$M$113:$M$132,$G818,月間集計シート!T$113:T$132)*AR$2</f>
        <v>0</v>
      </c>
      <c r="AS818" s="88">
        <f>SUMIF(月間集計シート!$M$134:$M$153,$G818,月間集計シート!N$134:N$153)*AS$2</f>
        <v>0</v>
      </c>
      <c r="AT818" s="88">
        <f>SUMIF(月間集計シート!$M$134:$M$153,$G818,月間集計シート!O$134:O$153)*AT$2</f>
        <v>0</v>
      </c>
      <c r="AU818" s="88">
        <f>SUMIF(月間集計シート!$M$134:$M$153,$G818,月間集計シート!P$134:P$153)*AU$2</f>
        <v>0</v>
      </c>
      <c r="AV818" s="88">
        <f>SUMIF(月間集計シート!$M$134:$M$153,$G818,月間集計シート!Q$134:Q$153)*AV$2</f>
        <v>0</v>
      </c>
      <c r="AW818" s="88">
        <f>SUMIF(月間集計シート!$M$134:$M$153,$G818,月間集計シート!R$134:R$153)*AW$2</f>
        <v>0</v>
      </c>
      <c r="AX818" s="88">
        <f>SUMIF(月間集計シート!$M$134:$M$153,$G818,月間集計シート!S$134:S$153)*AX$2</f>
        <v>0</v>
      </c>
      <c r="AY818" s="88">
        <f>SUMIF(月間集計シート!$M$134:$M$153,$G818,月間集計シート!T$134:T$153)*AY$2</f>
        <v>0</v>
      </c>
    </row>
    <row r="819" spans="1:51" ht="14.25" thickBot="1">
      <c r="A819">
        <v>10</v>
      </c>
      <c r="B819" s="120">
        <f t="shared" si="411"/>
        <v>0</v>
      </c>
      <c r="C819" s="120" t="str">
        <f t="shared" si="412"/>
        <v/>
      </c>
      <c r="D819" s="137"/>
      <c r="E819" s="150" t="str">
        <f>工種!A46</f>
        <v>60105</v>
      </c>
      <c r="F819" s="119" t="str">
        <f>工種!B46</f>
        <v>ﾘﾘｰｽ：締め作業</v>
      </c>
      <c r="G819" s="116" t="str">
        <f t="shared" si="413"/>
        <v>060105</v>
      </c>
      <c r="H819" s="88">
        <f t="shared" si="367"/>
        <v>0</v>
      </c>
      <c r="I819" s="132"/>
      <c r="J819" s="88">
        <f>SUMIF(月間集計シート!$M$29:$M$48,$G819,月間集計シート!N$29:N$48)*J$2</f>
        <v>0</v>
      </c>
      <c r="K819" s="88">
        <f>SUMIF(月間集計シート!$M$29:$M$48,$G819,月間集計シート!O$29:O$48)*K$2</f>
        <v>0</v>
      </c>
      <c r="L819" s="88">
        <f>SUMIF(月間集計シート!$M$29:$M$48,$G819,月間集計シート!P$29:P$48)*L$2</f>
        <v>0</v>
      </c>
      <c r="M819" s="88">
        <f>SUMIF(月間集計シート!$M$29:$M$48,$G819,月間集計シート!Q$29:Q$48)*M$2</f>
        <v>0</v>
      </c>
      <c r="N819" s="88">
        <f>SUMIF(月間集計シート!$M$29:$M$48,$G819,月間集計シート!R$29:R$48)*N$2</f>
        <v>0</v>
      </c>
      <c r="O819" s="88">
        <f>SUMIF(月間集計シート!$M$29:$M$48,$G819,月間集計シート!S$29:S$48)*O$2</f>
        <v>0</v>
      </c>
      <c r="P819" s="88">
        <f>SUMIF(月間集計シート!$M$29:$M$48,$G819,月間集計シート!T$29:T$48)*P$2</f>
        <v>0</v>
      </c>
      <c r="Q819" s="88">
        <f>SUMIF(月間集計シート!$M$50:$M$69,$G819,月間集計シート!N$50:N$69)*Q$2</f>
        <v>0</v>
      </c>
      <c r="R819" s="88">
        <f>SUMIF(月間集計シート!$M$50:$M$69,$G819,月間集計シート!O$50:O$69)*R$2</f>
        <v>0</v>
      </c>
      <c r="S819" s="88">
        <f>SUMIF(月間集計シート!$M$50:$M$69,$G819,月間集計シート!P$50:P$69)*S$2</f>
        <v>0</v>
      </c>
      <c r="T819" s="88">
        <f>SUMIF(月間集計シート!$M$50:$M$69,$G819,月間集計シート!Q$50:Q$69)*T$2</f>
        <v>0</v>
      </c>
      <c r="U819" s="88">
        <f>SUMIF(月間集計シート!$M$50:$M$69,$G819,月間集計シート!R$50:R$69)*U$2</f>
        <v>0</v>
      </c>
      <c r="V819" s="88">
        <f>SUMIF(月間集計シート!$M$50:$M$69,$G819,月間集計シート!S$50:S$69)*V$2</f>
        <v>0</v>
      </c>
      <c r="W819" s="88">
        <f>SUMIF(月間集計シート!$M$50:$M$69,$G819,月間集計シート!T$50:T$69)*W$2</f>
        <v>0</v>
      </c>
      <c r="X819" s="88">
        <f>SUMIF(月間集計シート!$M$71:$M$90,$G819,月間集計シート!N$71:N$90)*X$2</f>
        <v>0</v>
      </c>
      <c r="Y819" s="88">
        <f>SUMIF(月間集計シート!$M$71:$M$90,$G819,月間集計シート!O$71:O$90)*Y$2</f>
        <v>0</v>
      </c>
      <c r="Z819" s="88">
        <f>SUMIF(月間集計シート!$M$71:$M$90,$G819,月間集計シート!P$71:P$90)*Z$2</f>
        <v>0</v>
      </c>
      <c r="AA819" s="88">
        <f>SUMIF(月間集計シート!$M$71:$M$90,$G819,月間集計シート!Q$71:Q$90)*AA$2</f>
        <v>0</v>
      </c>
      <c r="AB819" s="88">
        <f>SUMIF(月間集計シート!$M$71:$M$90,$G819,月間集計シート!R$71:R$90)*AB$2</f>
        <v>0</v>
      </c>
      <c r="AC819" s="88">
        <f>SUMIF(月間集計シート!$M$71:$M$90,$G819,月間集計シート!S$71:S$90)*AC$2</f>
        <v>0</v>
      </c>
      <c r="AD819" s="88">
        <f>SUMIF(月間集計シート!$M$71:$M$90,$G819,月間集計シート!T$71:T$90)*AD$2</f>
        <v>0</v>
      </c>
      <c r="AE819" s="88">
        <f>SUMIF(月間集計シート!$M$92:$M$111,$G819,月間集計シート!N$92:N$111)*AE$2</f>
        <v>0</v>
      </c>
      <c r="AF819" s="88">
        <f>SUMIF(月間集計シート!$M$92:$M$111,$G819,月間集計シート!O$92:O$111)*AF$2</f>
        <v>0</v>
      </c>
      <c r="AG819" s="88">
        <f>SUMIF(月間集計シート!$M$92:$M$111,$G819,月間集計シート!P$92:P$111)*AG$2</f>
        <v>0</v>
      </c>
      <c r="AH819" s="88">
        <f>SUMIF(月間集計シート!$M$92:$M$111,$G819,月間集計シート!Q$92:Q$111)*AH$2</f>
        <v>0</v>
      </c>
      <c r="AI819" s="88">
        <f>SUMIF(月間集計シート!$M$92:$M$111,$G819,月間集計シート!R$92:R$111)*AI$2</f>
        <v>0</v>
      </c>
      <c r="AJ819" s="88">
        <f>SUMIF(月間集計シート!$M$92:$M$111,$G819,月間集計シート!S$92:S$111)*AJ$2</f>
        <v>0</v>
      </c>
      <c r="AK819" s="88">
        <f>SUMIF(月間集計シート!$M$92:$M$111,$G819,月間集計シート!T$92:T$111)*AK$2</f>
        <v>0</v>
      </c>
      <c r="AL819" s="88">
        <f>SUMIF(月間集計シート!$M$113:$M$132,$G819,月間集計シート!N$113:N$132)*AL$2</f>
        <v>0</v>
      </c>
      <c r="AM819" s="88">
        <f>SUMIF(月間集計シート!$M$113:$M$132,$G819,月間集計シート!O$113:O$132)*AM$2</f>
        <v>0</v>
      </c>
      <c r="AN819" s="88">
        <f>SUMIF(月間集計シート!$M$113:$M$132,$G819,月間集計シート!P$113:P$132)*AN$2</f>
        <v>0</v>
      </c>
      <c r="AO819" s="88">
        <f>SUMIF(月間集計シート!$M$113:$M$132,$G819,月間集計シート!Q$113:Q$132)*AO$2</f>
        <v>0</v>
      </c>
      <c r="AP819" s="88">
        <f>SUMIF(月間集計シート!$M$113:$M$132,$G819,月間集計シート!R$113:R$132)*AP$2</f>
        <v>0</v>
      </c>
      <c r="AQ819" s="88">
        <f>SUMIF(月間集計シート!$M$113:$M$132,$G819,月間集計シート!S$113:S$132)*AQ$2</f>
        <v>0</v>
      </c>
      <c r="AR819" s="88">
        <f>SUMIF(月間集計シート!$M$113:$M$132,$G819,月間集計シート!T$113:T$132)*AR$2</f>
        <v>0</v>
      </c>
      <c r="AS819" s="88">
        <f>SUMIF(月間集計シート!$M$134:$M$153,$G819,月間集計シート!N$134:N$153)*AS$2</f>
        <v>0</v>
      </c>
      <c r="AT819" s="88">
        <f>SUMIF(月間集計シート!$M$134:$M$153,$G819,月間集計シート!O$134:O$153)*AT$2</f>
        <v>0</v>
      </c>
      <c r="AU819" s="88">
        <f>SUMIF(月間集計シート!$M$134:$M$153,$G819,月間集計シート!P$134:P$153)*AU$2</f>
        <v>0</v>
      </c>
      <c r="AV819" s="88">
        <f>SUMIF(月間集計シート!$M$134:$M$153,$G819,月間集計シート!Q$134:Q$153)*AV$2</f>
        <v>0</v>
      </c>
      <c r="AW819" s="88">
        <f>SUMIF(月間集計シート!$M$134:$M$153,$G819,月間集計シート!R$134:R$153)*AW$2</f>
        <v>0</v>
      </c>
      <c r="AX819" s="88">
        <f>SUMIF(月間集計シート!$M$134:$M$153,$G819,月間集計シート!S$134:S$153)*AX$2</f>
        <v>0</v>
      </c>
      <c r="AY819" s="88">
        <f>SUMIF(月間集計シート!$M$134:$M$153,$G819,月間集計シート!T$134:T$153)*AY$2</f>
        <v>0</v>
      </c>
    </row>
    <row r="820" spans="1:51" ht="14.25" thickBot="1">
      <c r="A820">
        <v>10</v>
      </c>
      <c r="B820" s="120">
        <f t="shared" si="411"/>
        <v>0</v>
      </c>
      <c r="C820" s="120" t="str">
        <f t="shared" si="412"/>
        <v/>
      </c>
      <c r="D820" s="137"/>
      <c r="E820" s="150" t="str">
        <f>工種!A47</f>
        <v>60107</v>
      </c>
      <c r="F820" s="119" t="str">
        <f>工種!B47</f>
        <v>ﾘﾘｰｽ：打合せ</v>
      </c>
      <c r="G820" s="116" t="str">
        <f t="shared" si="413"/>
        <v>060107</v>
      </c>
      <c r="H820" s="88">
        <f t="shared" si="367"/>
        <v>0</v>
      </c>
      <c r="I820" s="132"/>
      <c r="J820" s="88">
        <f>SUMIF(月間集計シート!$M$29:$M$48,$G820,月間集計シート!N$29:N$48)*J$2</f>
        <v>0</v>
      </c>
      <c r="K820" s="88">
        <f>SUMIF(月間集計シート!$M$29:$M$48,$G820,月間集計シート!O$29:O$48)*K$2</f>
        <v>0</v>
      </c>
      <c r="L820" s="88">
        <f>SUMIF(月間集計シート!$M$29:$M$48,$G820,月間集計シート!P$29:P$48)*L$2</f>
        <v>0</v>
      </c>
      <c r="M820" s="88">
        <f>SUMIF(月間集計シート!$M$29:$M$48,$G820,月間集計シート!Q$29:Q$48)*M$2</f>
        <v>0</v>
      </c>
      <c r="N820" s="88">
        <f>SUMIF(月間集計シート!$M$29:$M$48,$G820,月間集計シート!R$29:R$48)*N$2</f>
        <v>0</v>
      </c>
      <c r="O820" s="88">
        <f>SUMIF(月間集計シート!$M$29:$M$48,$G820,月間集計シート!S$29:S$48)*O$2</f>
        <v>0</v>
      </c>
      <c r="P820" s="88">
        <f>SUMIF(月間集計シート!$M$29:$M$48,$G820,月間集計シート!T$29:T$48)*P$2</f>
        <v>0</v>
      </c>
      <c r="Q820" s="88">
        <f>SUMIF(月間集計シート!$M$50:$M$69,$G820,月間集計シート!N$50:N$69)*Q$2</f>
        <v>0</v>
      </c>
      <c r="R820" s="88">
        <f>SUMIF(月間集計シート!$M$50:$M$69,$G820,月間集計シート!O$50:O$69)*R$2</f>
        <v>0</v>
      </c>
      <c r="S820" s="88">
        <f>SUMIF(月間集計シート!$M$50:$M$69,$G820,月間集計シート!P$50:P$69)*S$2</f>
        <v>0</v>
      </c>
      <c r="T820" s="88">
        <f>SUMIF(月間集計シート!$M$50:$M$69,$G820,月間集計シート!Q$50:Q$69)*T$2</f>
        <v>0</v>
      </c>
      <c r="U820" s="88">
        <f>SUMIF(月間集計シート!$M$50:$M$69,$G820,月間集計シート!R$50:R$69)*U$2</f>
        <v>0</v>
      </c>
      <c r="V820" s="88">
        <f>SUMIF(月間集計シート!$M$50:$M$69,$G820,月間集計シート!S$50:S$69)*V$2</f>
        <v>0</v>
      </c>
      <c r="W820" s="88">
        <f>SUMIF(月間集計シート!$M$50:$M$69,$G820,月間集計シート!T$50:T$69)*W$2</f>
        <v>0</v>
      </c>
      <c r="X820" s="88">
        <f>SUMIF(月間集計シート!$M$71:$M$90,$G820,月間集計シート!N$71:N$90)*X$2</f>
        <v>0</v>
      </c>
      <c r="Y820" s="88">
        <f>SUMIF(月間集計シート!$M$71:$M$90,$G820,月間集計シート!O$71:O$90)*Y$2</f>
        <v>0</v>
      </c>
      <c r="Z820" s="88">
        <f>SUMIF(月間集計シート!$M$71:$M$90,$G820,月間集計シート!P$71:P$90)*Z$2</f>
        <v>0</v>
      </c>
      <c r="AA820" s="88">
        <f>SUMIF(月間集計シート!$M$71:$M$90,$G820,月間集計シート!Q$71:Q$90)*AA$2</f>
        <v>0</v>
      </c>
      <c r="AB820" s="88">
        <f>SUMIF(月間集計シート!$M$71:$M$90,$G820,月間集計シート!R$71:R$90)*AB$2</f>
        <v>0</v>
      </c>
      <c r="AC820" s="88">
        <f>SUMIF(月間集計シート!$M$71:$M$90,$G820,月間集計シート!S$71:S$90)*AC$2</f>
        <v>0</v>
      </c>
      <c r="AD820" s="88">
        <f>SUMIF(月間集計シート!$M$71:$M$90,$G820,月間集計シート!T$71:T$90)*AD$2</f>
        <v>0</v>
      </c>
      <c r="AE820" s="88">
        <f>SUMIF(月間集計シート!$M$92:$M$111,$G820,月間集計シート!N$92:N$111)*AE$2</f>
        <v>0</v>
      </c>
      <c r="AF820" s="88">
        <f>SUMIF(月間集計シート!$M$92:$M$111,$G820,月間集計シート!O$92:O$111)*AF$2</f>
        <v>0</v>
      </c>
      <c r="AG820" s="88">
        <f>SUMIF(月間集計シート!$M$92:$M$111,$G820,月間集計シート!P$92:P$111)*AG$2</f>
        <v>0</v>
      </c>
      <c r="AH820" s="88">
        <f>SUMIF(月間集計シート!$M$92:$M$111,$G820,月間集計シート!Q$92:Q$111)*AH$2</f>
        <v>0</v>
      </c>
      <c r="AI820" s="88">
        <f>SUMIF(月間集計シート!$M$92:$M$111,$G820,月間集計シート!R$92:R$111)*AI$2</f>
        <v>0</v>
      </c>
      <c r="AJ820" s="88">
        <f>SUMIF(月間集計シート!$M$92:$M$111,$G820,月間集計シート!S$92:S$111)*AJ$2</f>
        <v>0</v>
      </c>
      <c r="AK820" s="88">
        <f>SUMIF(月間集計シート!$M$92:$M$111,$G820,月間集計シート!T$92:T$111)*AK$2</f>
        <v>0</v>
      </c>
      <c r="AL820" s="88">
        <f>SUMIF(月間集計シート!$M$113:$M$132,$G820,月間集計シート!N$113:N$132)*AL$2</f>
        <v>0</v>
      </c>
      <c r="AM820" s="88">
        <f>SUMIF(月間集計シート!$M$113:$M$132,$G820,月間集計シート!O$113:O$132)*AM$2</f>
        <v>0</v>
      </c>
      <c r="AN820" s="88">
        <f>SUMIF(月間集計シート!$M$113:$M$132,$G820,月間集計シート!P$113:P$132)*AN$2</f>
        <v>0</v>
      </c>
      <c r="AO820" s="88">
        <f>SUMIF(月間集計シート!$M$113:$M$132,$G820,月間集計シート!Q$113:Q$132)*AO$2</f>
        <v>0</v>
      </c>
      <c r="AP820" s="88">
        <f>SUMIF(月間集計シート!$M$113:$M$132,$G820,月間集計シート!R$113:R$132)*AP$2</f>
        <v>0</v>
      </c>
      <c r="AQ820" s="88">
        <f>SUMIF(月間集計シート!$M$113:$M$132,$G820,月間集計シート!S$113:S$132)*AQ$2</f>
        <v>0</v>
      </c>
      <c r="AR820" s="88">
        <f>SUMIF(月間集計シート!$M$113:$M$132,$G820,月間集計シート!T$113:T$132)*AR$2</f>
        <v>0</v>
      </c>
      <c r="AS820" s="88">
        <f>SUMIF(月間集計シート!$M$134:$M$153,$G820,月間集計シート!N$134:N$153)*AS$2</f>
        <v>0</v>
      </c>
      <c r="AT820" s="88">
        <f>SUMIF(月間集計シート!$M$134:$M$153,$G820,月間集計シート!O$134:O$153)*AT$2</f>
        <v>0</v>
      </c>
      <c r="AU820" s="88">
        <f>SUMIF(月間集計シート!$M$134:$M$153,$G820,月間集計シート!P$134:P$153)*AU$2</f>
        <v>0</v>
      </c>
      <c r="AV820" s="88">
        <f>SUMIF(月間集計シート!$M$134:$M$153,$G820,月間集計シート!Q$134:Q$153)*AV$2</f>
        <v>0</v>
      </c>
      <c r="AW820" s="88">
        <f>SUMIF(月間集計シート!$M$134:$M$153,$G820,月間集計シート!R$134:R$153)*AW$2</f>
        <v>0</v>
      </c>
      <c r="AX820" s="88">
        <f>SUMIF(月間集計シート!$M$134:$M$153,$G820,月間集計シート!S$134:S$153)*AX$2</f>
        <v>0</v>
      </c>
      <c r="AY820" s="88">
        <f>SUMIF(月間集計シート!$M$134:$M$153,$G820,月間集計シート!T$134:T$153)*AY$2</f>
        <v>0</v>
      </c>
    </row>
    <row r="821" spans="1:51" ht="14.25" thickBot="1">
      <c r="A821">
        <v>10</v>
      </c>
      <c r="B821" s="120">
        <f t="shared" si="411"/>
        <v>0</v>
      </c>
      <c r="C821" s="120" t="str">
        <f t="shared" si="412"/>
        <v/>
      </c>
      <c r="D821" s="137"/>
      <c r="E821" s="150" t="str">
        <f>工種!A48</f>
        <v>60108</v>
      </c>
      <c r="F821" s="119" t="str">
        <f>工種!B48</f>
        <v>ﾘﾘｰｽ：ﾚﾋﾞｭｰ</v>
      </c>
      <c r="G821" s="116" t="str">
        <f t="shared" si="413"/>
        <v>060108</v>
      </c>
      <c r="H821" s="88">
        <f t="shared" si="367"/>
        <v>0</v>
      </c>
      <c r="I821" s="132"/>
      <c r="J821" s="88">
        <f>SUMIF(月間集計シート!$M$29:$M$48,$G821,月間集計シート!N$29:N$48)*J$2</f>
        <v>0</v>
      </c>
      <c r="K821" s="88">
        <f>SUMIF(月間集計シート!$M$29:$M$48,$G821,月間集計シート!O$29:O$48)*K$2</f>
        <v>0</v>
      </c>
      <c r="L821" s="88">
        <f>SUMIF(月間集計シート!$M$29:$M$48,$G821,月間集計シート!P$29:P$48)*L$2</f>
        <v>0</v>
      </c>
      <c r="M821" s="88">
        <f>SUMIF(月間集計シート!$M$29:$M$48,$G821,月間集計シート!Q$29:Q$48)*M$2</f>
        <v>0</v>
      </c>
      <c r="N821" s="88">
        <f>SUMIF(月間集計シート!$M$29:$M$48,$G821,月間集計シート!R$29:R$48)*N$2</f>
        <v>0</v>
      </c>
      <c r="O821" s="88">
        <f>SUMIF(月間集計シート!$M$29:$M$48,$G821,月間集計シート!S$29:S$48)*O$2</f>
        <v>0</v>
      </c>
      <c r="P821" s="88">
        <f>SUMIF(月間集計シート!$M$29:$M$48,$G821,月間集計シート!T$29:T$48)*P$2</f>
        <v>0</v>
      </c>
      <c r="Q821" s="88">
        <f>SUMIF(月間集計シート!$M$50:$M$69,$G821,月間集計シート!N$50:N$69)*Q$2</f>
        <v>0</v>
      </c>
      <c r="R821" s="88">
        <f>SUMIF(月間集計シート!$M$50:$M$69,$G821,月間集計シート!O$50:O$69)*R$2</f>
        <v>0</v>
      </c>
      <c r="S821" s="88">
        <f>SUMIF(月間集計シート!$M$50:$M$69,$G821,月間集計シート!P$50:P$69)*S$2</f>
        <v>0</v>
      </c>
      <c r="T821" s="88">
        <f>SUMIF(月間集計シート!$M$50:$M$69,$G821,月間集計シート!Q$50:Q$69)*T$2</f>
        <v>0</v>
      </c>
      <c r="U821" s="88">
        <f>SUMIF(月間集計シート!$M$50:$M$69,$G821,月間集計シート!R$50:R$69)*U$2</f>
        <v>0</v>
      </c>
      <c r="V821" s="88">
        <f>SUMIF(月間集計シート!$M$50:$M$69,$G821,月間集計シート!S$50:S$69)*V$2</f>
        <v>0</v>
      </c>
      <c r="W821" s="88">
        <f>SUMIF(月間集計シート!$M$50:$M$69,$G821,月間集計シート!T$50:T$69)*W$2</f>
        <v>0</v>
      </c>
      <c r="X821" s="88">
        <f>SUMIF(月間集計シート!$M$71:$M$90,$G821,月間集計シート!N$71:N$90)*X$2</f>
        <v>0</v>
      </c>
      <c r="Y821" s="88">
        <f>SUMIF(月間集計シート!$M$71:$M$90,$G821,月間集計シート!O$71:O$90)*Y$2</f>
        <v>0</v>
      </c>
      <c r="Z821" s="88">
        <f>SUMIF(月間集計シート!$M$71:$M$90,$G821,月間集計シート!P$71:P$90)*Z$2</f>
        <v>0</v>
      </c>
      <c r="AA821" s="88">
        <f>SUMIF(月間集計シート!$M$71:$M$90,$G821,月間集計シート!Q$71:Q$90)*AA$2</f>
        <v>0</v>
      </c>
      <c r="AB821" s="88">
        <f>SUMIF(月間集計シート!$M$71:$M$90,$G821,月間集計シート!R$71:R$90)*AB$2</f>
        <v>0</v>
      </c>
      <c r="AC821" s="88">
        <f>SUMIF(月間集計シート!$M$71:$M$90,$G821,月間集計シート!S$71:S$90)*AC$2</f>
        <v>0</v>
      </c>
      <c r="AD821" s="88">
        <f>SUMIF(月間集計シート!$M$71:$M$90,$G821,月間集計シート!T$71:T$90)*AD$2</f>
        <v>0</v>
      </c>
      <c r="AE821" s="88">
        <f>SUMIF(月間集計シート!$M$92:$M$111,$G821,月間集計シート!N$92:N$111)*AE$2</f>
        <v>0</v>
      </c>
      <c r="AF821" s="88">
        <f>SUMIF(月間集計シート!$M$92:$M$111,$G821,月間集計シート!O$92:O$111)*AF$2</f>
        <v>0</v>
      </c>
      <c r="AG821" s="88">
        <f>SUMIF(月間集計シート!$M$92:$M$111,$G821,月間集計シート!P$92:P$111)*AG$2</f>
        <v>0</v>
      </c>
      <c r="AH821" s="88">
        <f>SUMIF(月間集計シート!$M$92:$M$111,$G821,月間集計シート!Q$92:Q$111)*AH$2</f>
        <v>0</v>
      </c>
      <c r="AI821" s="88">
        <f>SUMIF(月間集計シート!$M$92:$M$111,$G821,月間集計シート!R$92:R$111)*AI$2</f>
        <v>0</v>
      </c>
      <c r="AJ821" s="88">
        <f>SUMIF(月間集計シート!$M$92:$M$111,$G821,月間集計シート!S$92:S$111)*AJ$2</f>
        <v>0</v>
      </c>
      <c r="AK821" s="88">
        <f>SUMIF(月間集計シート!$M$92:$M$111,$G821,月間集計シート!T$92:T$111)*AK$2</f>
        <v>0</v>
      </c>
      <c r="AL821" s="88">
        <f>SUMIF(月間集計シート!$M$113:$M$132,$G821,月間集計シート!N$113:N$132)*AL$2</f>
        <v>0</v>
      </c>
      <c r="AM821" s="88">
        <f>SUMIF(月間集計シート!$M$113:$M$132,$G821,月間集計シート!O$113:O$132)*AM$2</f>
        <v>0</v>
      </c>
      <c r="AN821" s="88">
        <f>SUMIF(月間集計シート!$M$113:$M$132,$G821,月間集計シート!P$113:P$132)*AN$2</f>
        <v>0</v>
      </c>
      <c r="AO821" s="88">
        <f>SUMIF(月間集計シート!$M$113:$M$132,$G821,月間集計シート!Q$113:Q$132)*AO$2</f>
        <v>0</v>
      </c>
      <c r="AP821" s="88">
        <f>SUMIF(月間集計シート!$M$113:$M$132,$G821,月間集計シート!R$113:R$132)*AP$2</f>
        <v>0</v>
      </c>
      <c r="AQ821" s="88">
        <f>SUMIF(月間集計シート!$M$113:$M$132,$G821,月間集計シート!S$113:S$132)*AQ$2</f>
        <v>0</v>
      </c>
      <c r="AR821" s="88">
        <f>SUMIF(月間集計シート!$M$113:$M$132,$G821,月間集計シート!T$113:T$132)*AR$2</f>
        <v>0</v>
      </c>
      <c r="AS821" s="88">
        <f>SUMIF(月間集計シート!$M$134:$M$153,$G821,月間集計シート!N$134:N$153)*AS$2</f>
        <v>0</v>
      </c>
      <c r="AT821" s="88">
        <f>SUMIF(月間集計シート!$M$134:$M$153,$G821,月間集計シート!O$134:O$153)*AT$2</f>
        <v>0</v>
      </c>
      <c r="AU821" s="88">
        <f>SUMIF(月間集計シート!$M$134:$M$153,$G821,月間集計シート!P$134:P$153)*AU$2</f>
        <v>0</v>
      </c>
      <c r="AV821" s="88">
        <f>SUMIF(月間集計シート!$M$134:$M$153,$G821,月間集計シート!Q$134:Q$153)*AV$2</f>
        <v>0</v>
      </c>
      <c r="AW821" s="88">
        <f>SUMIF(月間集計シート!$M$134:$M$153,$G821,月間集計シート!R$134:R$153)*AW$2</f>
        <v>0</v>
      </c>
      <c r="AX821" s="88">
        <f>SUMIF(月間集計シート!$M$134:$M$153,$G821,月間集計シート!S$134:S$153)*AX$2</f>
        <v>0</v>
      </c>
      <c r="AY821" s="88">
        <f>SUMIF(月間集計シート!$M$134:$M$153,$G821,月間集計シート!T$134:T$153)*AY$2</f>
        <v>0</v>
      </c>
    </row>
    <row r="822" spans="1:51" ht="14.25" thickBot="1">
      <c r="A822">
        <v>10</v>
      </c>
      <c r="B822" s="120">
        <f t="shared" si="411"/>
        <v>0</v>
      </c>
      <c r="C822" s="120" t="str">
        <f t="shared" si="412"/>
        <v/>
      </c>
      <c r="D822" s="137"/>
      <c r="E822" s="150" t="str">
        <f>工種!A49</f>
        <v>60199</v>
      </c>
      <c r="F822" s="119" t="str">
        <f>工種!B49</f>
        <v>ﾘﾘｰｽ：その他</v>
      </c>
      <c r="G822" s="116" t="str">
        <f t="shared" si="413"/>
        <v>060199</v>
      </c>
      <c r="H822" s="88">
        <f t="shared" si="367"/>
        <v>0</v>
      </c>
      <c r="I822" s="132"/>
      <c r="J822" s="88">
        <f>SUMIF(月間集計シート!$M$29:$M$48,$G822,月間集計シート!N$29:N$48)*J$2</f>
        <v>0</v>
      </c>
      <c r="K822" s="88">
        <f>SUMIF(月間集計シート!$M$29:$M$48,$G822,月間集計シート!O$29:O$48)*K$2</f>
        <v>0</v>
      </c>
      <c r="L822" s="88">
        <f>SUMIF(月間集計シート!$M$29:$M$48,$G822,月間集計シート!P$29:P$48)*L$2</f>
        <v>0</v>
      </c>
      <c r="M822" s="88">
        <f>SUMIF(月間集計シート!$M$29:$M$48,$G822,月間集計シート!Q$29:Q$48)*M$2</f>
        <v>0</v>
      </c>
      <c r="N822" s="88">
        <f>SUMIF(月間集計シート!$M$29:$M$48,$G822,月間集計シート!R$29:R$48)*N$2</f>
        <v>0</v>
      </c>
      <c r="O822" s="88">
        <f>SUMIF(月間集計シート!$M$29:$M$48,$G822,月間集計シート!S$29:S$48)*O$2</f>
        <v>0</v>
      </c>
      <c r="P822" s="88">
        <f>SUMIF(月間集計シート!$M$29:$M$48,$G822,月間集計シート!T$29:T$48)*P$2</f>
        <v>0</v>
      </c>
      <c r="Q822" s="88">
        <f>SUMIF(月間集計シート!$M$50:$M$69,$G822,月間集計シート!N$50:N$69)*Q$2</f>
        <v>0</v>
      </c>
      <c r="R822" s="88">
        <f>SUMIF(月間集計シート!$M$50:$M$69,$G822,月間集計シート!O$50:O$69)*R$2</f>
        <v>0</v>
      </c>
      <c r="S822" s="88">
        <f>SUMIF(月間集計シート!$M$50:$M$69,$G822,月間集計シート!P$50:P$69)*S$2</f>
        <v>0</v>
      </c>
      <c r="T822" s="88">
        <f>SUMIF(月間集計シート!$M$50:$M$69,$G822,月間集計シート!Q$50:Q$69)*T$2</f>
        <v>0</v>
      </c>
      <c r="U822" s="88">
        <f>SUMIF(月間集計シート!$M$50:$M$69,$G822,月間集計シート!R$50:R$69)*U$2</f>
        <v>0</v>
      </c>
      <c r="V822" s="88">
        <f>SUMIF(月間集計シート!$M$50:$M$69,$G822,月間集計シート!S$50:S$69)*V$2</f>
        <v>0</v>
      </c>
      <c r="W822" s="88">
        <f>SUMIF(月間集計シート!$M$50:$M$69,$G822,月間集計シート!T$50:T$69)*W$2</f>
        <v>0</v>
      </c>
      <c r="X822" s="88">
        <f>SUMIF(月間集計シート!$M$71:$M$90,$G822,月間集計シート!N$71:N$90)*X$2</f>
        <v>0</v>
      </c>
      <c r="Y822" s="88">
        <f>SUMIF(月間集計シート!$M$71:$M$90,$G822,月間集計シート!O$71:O$90)*Y$2</f>
        <v>0</v>
      </c>
      <c r="Z822" s="88">
        <f>SUMIF(月間集計シート!$M$71:$M$90,$G822,月間集計シート!P$71:P$90)*Z$2</f>
        <v>0</v>
      </c>
      <c r="AA822" s="88">
        <f>SUMIF(月間集計シート!$M$71:$M$90,$G822,月間集計シート!Q$71:Q$90)*AA$2</f>
        <v>0</v>
      </c>
      <c r="AB822" s="88">
        <f>SUMIF(月間集計シート!$M$71:$M$90,$G822,月間集計シート!R$71:R$90)*AB$2</f>
        <v>0</v>
      </c>
      <c r="AC822" s="88">
        <f>SUMIF(月間集計シート!$M$71:$M$90,$G822,月間集計シート!S$71:S$90)*AC$2</f>
        <v>0</v>
      </c>
      <c r="AD822" s="88">
        <f>SUMIF(月間集計シート!$M$71:$M$90,$G822,月間集計シート!T$71:T$90)*AD$2</f>
        <v>0</v>
      </c>
      <c r="AE822" s="88">
        <f>SUMIF(月間集計シート!$M$92:$M$111,$G822,月間集計シート!N$92:N$111)*AE$2</f>
        <v>0</v>
      </c>
      <c r="AF822" s="88">
        <f>SUMIF(月間集計シート!$M$92:$M$111,$G822,月間集計シート!O$92:O$111)*AF$2</f>
        <v>0</v>
      </c>
      <c r="AG822" s="88">
        <f>SUMIF(月間集計シート!$M$92:$M$111,$G822,月間集計シート!P$92:P$111)*AG$2</f>
        <v>0</v>
      </c>
      <c r="AH822" s="88">
        <f>SUMIF(月間集計シート!$M$92:$M$111,$G822,月間集計シート!Q$92:Q$111)*AH$2</f>
        <v>0</v>
      </c>
      <c r="AI822" s="88">
        <f>SUMIF(月間集計シート!$M$92:$M$111,$G822,月間集計シート!R$92:R$111)*AI$2</f>
        <v>0</v>
      </c>
      <c r="AJ822" s="88">
        <f>SUMIF(月間集計シート!$M$92:$M$111,$G822,月間集計シート!S$92:S$111)*AJ$2</f>
        <v>0</v>
      </c>
      <c r="AK822" s="88">
        <f>SUMIF(月間集計シート!$M$92:$M$111,$G822,月間集計シート!T$92:T$111)*AK$2</f>
        <v>0</v>
      </c>
      <c r="AL822" s="88">
        <f>SUMIF(月間集計シート!$M$113:$M$132,$G822,月間集計シート!N$113:N$132)*AL$2</f>
        <v>0</v>
      </c>
      <c r="AM822" s="88">
        <f>SUMIF(月間集計シート!$M$113:$M$132,$G822,月間集計シート!O$113:O$132)*AM$2</f>
        <v>0</v>
      </c>
      <c r="AN822" s="88">
        <f>SUMIF(月間集計シート!$M$113:$M$132,$G822,月間集計シート!P$113:P$132)*AN$2</f>
        <v>0</v>
      </c>
      <c r="AO822" s="88">
        <f>SUMIF(月間集計シート!$M$113:$M$132,$G822,月間集計シート!Q$113:Q$132)*AO$2</f>
        <v>0</v>
      </c>
      <c r="AP822" s="88">
        <f>SUMIF(月間集計シート!$M$113:$M$132,$G822,月間集計シート!R$113:R$132)*AP$2</f>
        <v>0</v>
      </c>
      <c r="AQ822" s="88">
        <f>SUMIF(月間集計シート!$M$113:$M$132,$G822,月間集計シート!S$113:S$132)*AQ$2</f>
        <v>0</v>
      </c>
      <c r="AR822" s="88">
        <f>SUMIF(月間集計シート!$M$113:$M$132,$G822,月間集計シート!T$113:T$132)*AR$2</f>
        <v>0</v>
      </c>
      <c r="AS822" s="88">
        <f>SUMIF(月間集計シート!$M$134:$M$153,$G822,月間集計シート!N$134:N$153)*AS$2</f>
        <v>0</v>
      </c>
      <c r="AT822" s="88">
        <f>SUMIF(月間集計シート!$M$134:$M$153,$G822,月間集計シート!O$134:O$153)*AT$2</f>
        <v>0</v>
      </c>
      <c r="AU822" s="88">
        <f>SUMIF(月間集計シート!$M$134:$M$153,$G822,月間集計シート!P$134:P$153)*AU$2</f>
        <v>0</v>
      </c>
      <c r="AV822" s="88">
        <f>SUMIF(月間集計シート!$M$134:$M$153,$G822,月間集計シート!Q$134:Q$153)*AV$2</f>
        <v>0</v>
      </c>
      <c r="AW822" s="88">
        <f>SUMIF(月間集計シート!$M$134:$M$153,$G822,月間集計シート!R$134:R$153)*AW$2</f>
        <v>0</v>
      </c>
      <c r="AX822" s="88">
        <f>SUMIF(月間集計シート!$M$134:$M$153,$G822,月間集計シート!S$134:S$153)*AX$2</f>
        <v>0</v>
      </c>
      <c r="AY822" s="88">
        <f>SUMIF(月間集計シート!$M$134:$M$153,$G822,月間集計シート!T$134:T$153)*AY$2</f>
        <v>0</v>
      </c>
    </row>
    <row r="823" spans="1:51" ht="14.25" thickBot="1">
      <c r="A823">
        <v>10</v>
      </c>
      <c r="B823" s="120">
        <f t="shared" si="411"/>
        <v>0</v>
      </c>
      <c r="C823" s="120" t="str">
        <f t="shared" si="412"/>
        <v/>
      </c>
      <c r="D823" s="137"/>
      <c r="E823" s="150">
        <f>工種!A50</f>
        <v>70101</v>
      </c>
      <c r="F823" s="119" t="str">
        <f>工種!B50</f>
        <v>外部不具合修正：調査・設計</v>
      </c>
      <c r="G823" s="116" t="str">
        <f t="shared" si="413"/>
        <v>070101</v>
      </c>
      <c r="H823" s="88">
        <f t="shared" si="367"/>
        <v>0</v>
      </c>
      <c r="I823" s="132"/>
      <c r="J823" s="88">
        <f>SUMIF(月間集計シート!$M$29:$M$48,$G823,月間集計シート!N$29:N$48)*J$2</f>
        <v>0</v>
      </c>
      <c r="K823" s="88">
        <f>SUMIF(月間集計シート!$M$29:$M$48,$G823,月間集計シート!O$29:O$48)*K$2</f>
        <v>0</v>
      </c>
      <c r="L823" s="88">
        <f>SUMIF(月間集計シート!$M$29:$M$48,$G823,月間集計シート!P$29:P$48)*L$2</f>
        <v>0</v>
      </c>
      <c r="M823" s="88">
        <f>SUMIF(月間集計シート!$M$29:$M$48,$G823,月間集計シート!Q$29:Q$48)*M$2</f>
        <v>0</v>
      </c>
      <c r="N823" s="88">
        <f>SUMIF(月間集計シート!$M$29:$M$48,$G823,月間集計シート!R$29:R$48)*N$2</f>
        <v>0</v>
      </c>
      <c r="O823" s="88">
        <f>SUMIF(月間集計シート!$M$29:$M$48,$G823,月間集計シート!S$29:S$48)*O$2</f>
        <v>0</v>
      </c>
      <c r="P823" s="88">
        <f>SUMIF(月間集計シート!$M$29:$M$48,$G823,月間集計シート!T$29:T$48)*P$2</f>
        <v>0</v>
      </c>
      <c r="Q823" s="88">
        <f>SUMIF(月間集計シート!$M$50:$M$69,$G823,月間集計シート!N$50:N$69)*Q$2</f>
        <v>0</v>
      </c>
      <c r="R823" s="88">
        <f>SUMIF(月間集計シート!$M$50:$M$69,$G823,月間集計シート!O$50:O$69)*R$2</f>
        <v>0</v>
      </c>
      <c r="S823" s="88">
        <f>SUMIF(月間集計シート!$M$50:$M$69,$G823,月間集計シート!P$50:P$69)*S$2</f>
        <v>0</v>
      </c>
      <c r="T823" s="88">
        <f>SUMIF(月間集計シート!$M$50:$M$69,$G823,月間集計シート!Q$50:Q$69)*T$2</f>
        <v>0</v>
      </c>
      <c r="U823" s="88">
        <f>SUMIF(月間集計シート!$M$50:$M$69,$G823,月間集計シート!R$50:R$69)*U$2</f>
        <v>0</v>
      </c>
      <c r="V823" s="88">
        <f>SUMIF(月間集計シート!$M$50:$M$69,$G823,月間集計シート!S$50:S$69)*V$2</f>
        <v>0</v>
      </c>
      <c r="W823" s="88">
        <f>SUMIF(月間集計シート!$M$50:$M$69,$G823,月間集計シート!T$50:T$69)*W$2</f>
        <v>0</v>
      </c>
      <c r="X823" s="88">
        <f>SUMIF(月間集計シート!$M$71:$M$90,$G823,月間集計シート!N$71:N$90)*X$2</f>
        <v>0</v>
      </c>
      <c r="Y823" s="88">
        <f>SUMIF(月間集計シート!$M$71:$M$90,$G823,月間集計シート!O$71:O$90)*Y$2</f>
        <v>0</v>
      </c>
      <c r="Z823" s="88">
        <f>SUMIF(月間集計シート!$M$71:$M$90,$G823,月間集計シート!P$71:P$90)*Z$2</f>
        <v>0</v>
      </c>
      <c r="AA823" s="88">
        <f>SUMIF(月間集計シート!$M$71:$M$90,$G823,月間集計シート!Q$71:Q$90)*AA$2</f>
        <v>0</v>
      </c>
      <c r="AB823" s="88">
        <f>SUMIF(月間集計シート!$M$71:$M$90,$G823,月間集計シート!R$71:R$90)*AB$2</f>
        <v>0</v>
      </c>
      <c r="AC823" s="88">
        <f>SUMIF(月間集計シート!$M$71:$M$90,$G823,月間集計シート!S$71:S$90)*AC$2</f>
        <v>0</v>
      </c>
      <c r="AD823" s="88">
        <f>SUMIF(月間集計シート!$M$71:$M$90,$G823,月間集計シート!T$71:T$90)*AD$2</f>
        <v>0</v>
      </c>
      <c r="AE823" s="88">
        <f>SUMIF(月間集計シート!$M$92:$M$111,$G823,月間集計シート!N$92:N$111)*AE$2</f>
        <v>0</v>
      </c>
      <c r="AF823" s="88">
        <f>SUMIF(月間集計シート!$M$92:$M$111,$G823,月間集計シート!O$92:O$111)*AF$2</f>
        <v>0</v>
      </c>
      <c r="AG823" s="88">
        <f>SUMIF(月間集計シート!$M$92:$M$111,$G823,月間集計シート!P$92:P$111)*AG$2</f>
        <v>0</v>
      </c>
      <c r="AH823" s="88">
        <f>SUMIF(月間集計シート!$M$92:$M$111,$G823,月間集計シート!Q$92:Q$111)*AH$2</f>
        <v>0</v>
      </c>
      <c r="AI823" s="88">
        <f>SUMIF(月間集計シート!$M$92:$M$111,$G823,月間集計シート!R$92:R$111)*AI$2</f>
        <v>0</v>
      </c>
      <c r="AJ823" s="88">
        <f>SUMIF(月間集計シート!$M$92:$M$111,$G823,月間集計シート!S$92:S$111)*AJ$2</f>
        <v>0</v>
      </c>
      <c r="AK823" s="88">
        <f>SUMIF(月間集計シート!$M$92:$M$111,$G823,月間集計シート!T$92:T$111)*AK$2</f>
        <v>0</v>
      </c>
      <c r="AL823" s="88">
        <f>SUMIF(月間集計シート!$M$113:$M$132,$G823,月間集計シート!N$113:N$132)*AL$2</f>
        <v>0</v>
      </c>
      <c r="AM823" s="88">
        <f>SUMIF(月間集計シート!$M$113:$M$132,$G823,月間集計シート!O$113:O$132)*AM$2</f>
        <v>0</v>
      </c>
      <c r="AN823" s="88">
        <f>SUMIF(月間集計シート!$M$113:$M$132,$G823,月間集計シート!P$113:P$132)*AN$2</f>
        <v>0</v>
      </c>
      <c r="AO823" s="88">
        <f>SUMIF(月間集計シート!$M$113:$M$132,$G823,月間集計シート!Q$113:Q$132)*AO$2</f>
        <v>0</v>
      </c>
      <c r="AP823" s="88">
        <f>SUMIF(月間集計シート!$M$113:$M$132,$G823,月間集計シート!R$113:R$132)*AP$2</f>
        <v>0</v>
      </c>
      <c r="AQ823" s="88">
        <f>SUMIF(月間集計シート!$M$113:$M$132,$G823,月間集計シート!S$113:S$132)*AQ$2</f>
        <v>0</v>
      </c>
      <c r="AR823" s="88">
        <f>SUMIF(月間集計シート!$M$113:$M$132,$G823,月間集計シート!T$113:T$132)*AR$2</f>
        <v>0</v>
      </c>
      <c r="AS823" s="88">
        <f>SUMIF(月間集計シート!$M$134:$M$153,$G823,月間集計シート!N$134:N$153)*AS$2</f>
        <v>0</v>
      </c>
      <c r="AT823" s="88">
        <f>SUMIF(月間集計シート!$M$134:$M$153,$G823,月間集計シート!O$134:O$153)*AT$2</f>
        <v>0</v>
      </c>
      <c r="AU823" s="88">
        <f>SUMIF(月間集計シート!$M$134:$M$153,$G823,月間集計シート!P$134:P$153)*AU$2</f>
        <v>0</v>
      </c>
      <c r="AV823" s="88">
        <f>SUMIF(月間集計シート!$M$134:$M$153,$G823,月間集計シート!Q$134:Q$153)*AV$2</f>
        <v>0</v>
      </c>
      <c r="AW823" s="88">
        <f>SUMIF(月間集計シート!$M$134:$M$153,$G823,月間集計シート!R$134:R$153)*AW$2</f>
        <v>0</v>
      </c>
      <c r="AX823" s="88">
        <f>SUMIF(月間集計シート!$M$134:$M$153,$G823,月間集計シート!S$134:S$153)*AX$2</f>
        <v>0</v>
      </c>
      <c r="AY823" s="88">
        <f>SUMIF(月間集計シート!$M$134:$M$153,$G823,月間集計シート!T$134:T$153)*AY$2</f>
        <v>0</v>
      </c>
    </row>
    <row r="824" spans="1:51" ht="14.25" thickBot="1">
      <c r="A824">
        <v>10</v>
      </c>
      <c r="B824" s="120">
        <f t="shared" si="411"/>
        <v>0</v>
      </c>
      <c r="C824" s="120" t="str">
        <f t="shared" si="412"/>
        <v/>
      </c>
      <c r="D824" s="137"/>
      <c r="E824" s="150">
        <f>工種!A51</f>
        <v>70102</v>
      </c>
      <c r="F824" s="119" t="str">
        <f>工種!B51</f>
        <v>外部不具合修正：コーディング</v>
      </c>
      <c r="G824" s="116" t="str">
        <f t="shared" si="413"/>
        <v>070102</v>
      </c>
      <c r="H824" s="88">
        <f t="shared" si="367"/>
        <v>0</v>
      </c>
      <c r="I824" s="132"/>
      <c r="J824" s="88">
        <f>SUMIF(月間集計シート!$M$29:$M$48,$G824,月間集計シート!N$29:N$48)*J$2</f>
        <v>0</v>
      </c>
      <c r="K824" s="88">
        <f>SUMIF(月間集計シート!$M$29:$M$48,$G824,月間集計シート!O$29:O$48)*K$2</f>
        <v>0</v>
      </c>
      <c r="L824" s="88">
        <f>SUMIF(月間集計シート!$M$29:$M$48,$G824,月間集計シート!P$29:P$48)*L$2</f>
        <v>0</v>
      </c>
      <c r="M824" s="88">
        <f>SUMIF(月間集計シート!$M$29:$M$48,$G824,月間集計シート!Q$29:Q$48)*M$2</f>
        <v>0</v>
      </c>
      <c r="N824" s="88">
        <f>SUMIF(月間集計シート!$M$29:$M$48,$G824,月間集計シート!R$29:R$48)*N$2</f>
        <v>0</v>
      </c>
      <c r="O824" s="88">
        <f>SUMIF(月間集計シート!$M$29:$M$48,$G824,月間集計シート!S$29:S$48)*O$2</f>
        <v>0</v>
      </c>
      <c r="P824" s="88">
        <f>SUMIF(月間集計シート!$M$29:$M$48,$G824,月間集計シート!T$29:T$48)*P$2</f>
        <v>0</v>
      </c>
      <c r="Q824" s="88">
        <f>SUMIF(月間集計シート!$M$50:$M$69,$G824,月間集計シート!N$50:N$69)*Q$2</f>
        <v>0</v>
      </c>
      <c r="R824" s="88">
        <f>SUMIF(月間集計シート!$M$50:$M$69,$G824,月間集計シート!O$50:O$69)*R$2</f>
        <v>0</v>
      </c>
      <c r="S824" s="88">
        <f>SUMIF(月間集計シート!$M$50:$M$69,$G824,月間集計シート!P$50:P$69)*S$2</f>
        <v>0</v>
      </c>
      <c r="T824" s="88">
        <f>SUMIF(月間集計シート!$M$50:$M$69,$G824,月間集計シート!Q$50:Q$69)*T$2</f>
        <v>0</v>
      </c>
      <c r="U824" s="88">
        <f>SUMIF(月間集計シート!$M$50:$M$69,$G824,月間集計シート!R$50:R$69)*U$2</f>
        <v>0</v>
      </c>
      <c r="V824" s="88">
        <f>SUMIF(月間集計シート!$M$50:$M$69,$G824,月間集計シート!S$50:S$69)*V$2</f>
        <v>0</v>
      </c>
      <c r="W824" s="88">
        <f>SUMIF(月間集計シート!$M$50:$M$69,$G824,月間集計シート!T$50:T$69)*W$2</f>
        <v>0</v>
      </c>
      <c r="X824" s="88">
        <f>SUMIF(月間集計シート!$M$71:$M$90,$G824,月間集計シート!N$71:N$90)*X$2</f>
        <v>0</v>
      </c>
      <c r="Y824" s="88">
        <f>SUMIF(月間集計シート!$M$71:$M$90,$G824,月間集計シート!O$71:O$90)*Y$2</f>
        <v>0</v>
      </c>
      <c r="Z824" s="88">
        <f>SUMIF(月間集計シート!$M$71:$M$90,$G824,月間集計シート!P$71:P$90)*Z$2</f>
        <v>0</v>
      </c>
      <c r="AA824" s="88">
        <f>SUMIF(月間集計シート!$M$71:$M$90,$G824,月間集計シート!Q$71:Q$90)*AA$2</f>
        <v>0</v>
      </c>
      <c r="AB824" s="88">
        <f>SUMIF(月間集計シート!$M$71:$M$90,$G824,月間集計シート!R$71:R$90)*AB$2</f>
        <v>0</v>
      </c>
      <c r="AC824" s="88">
        <f>SUMIF(月間集計シート!$M$71:$M$90,$G824,月間集計シート!S$71:S$90)*AC$2</f>
        <v>0</v>
      </c>
      <c r="AD824" s="88">
        <f>SUMIF(月間集計シート!$M$71:$M$90,$G824,月間集計シート!T$71:T$90)*AD$2</f>
        <v>0</v>
      </c>
      <c r="AE824" s="88">
        <f>SUMIF(月間集計シート!$M$92:$M$111,$G824,月間集計シート!N$92:N$111)*AE$2</f>
        <v>0</v>
      </c>
      <c r="AF824" s="88">
        <f>SUMIF(月間集計シート!$M$92:$M$111,$G824,月間集計シート!O$92:O$111)*AF$2</f>
        <v>0</v>
      </c>
      <c r="AG824" s="88">
        <f>SUMIF(月間集計シート!$M$92:$M$111,$G824,月間集計シート!P$92:P$111)*AG$2</f>
        <v>0</v>
      </c>
      <c r="AH824" s="88">
        <f>SUMIF(月間集計シート!$M$92:$M$111,$G824,月間集計シート!Q$92:Q$111)*AH$2</f>
        <v>0</v>
      </c>
      <c r="AI824" s="88">
        <f>SUMIF(月間集計シート!$M$92:$M$111,$G824,月間集計シート!R$92:R$111)*AI$2</f>
        <v>0</v>
      </c>
      <c r="AJ824" s="88">
        <f>SUMIF(月間集計シート!$M$92:$M$111,$G824,月間集計シート!S$92:S$111)*AJ$2</f>
        <v>0</v>
      </c>
      <c r="AK824" s="88">
        <f>SUMIF(月間集計シート!$M$92:$M$111,$G824,月間集計シート!T$92:T$111)*AK$2</f>
        <v>0</v>
      </c>
      <c r="AL824" s="88">
        <f>SUMIF(月間集計シート!$M$113:$M$132,$G824,月間集計シート!N$113:N$132)*AL$2</f>
        <v>0</v>
      </c>
      <c r="AM824" s="88">
        <f>SUMIF(月間集計シート!$M$113:$M$132,$G824,月間集計シート!O$113:O$132)*AM$2</f>
        <v>0</v>
      </c>
      <c r="AN824" s="88">
        <f>SUMIF(月間集計シート!$M$113:$M$132,$G824,月間集計シート!P$113:P$132)*AN$2</f>
        <v>0</v>
      </c>
      <c r="AO824" s="88">
        <f>SUMIF(月間集計シート!$M$113:$M$132,$G824,月間集計シート!Q$113:Q$132)*AO$2</f>
        <v>0</v>
      </c>
      <c r="AP824" s="88">
        <f>SUMIF(月間集計シート!$M$113:$M$132,$G824,月間集計シート!R$113:R$132)*AP$2</f>
        <v>0</v>
      </c>
      <c r="AQ824" s="88">
        <f>SUMIF(月間集計シート!$M$113:$M$132,$G824,月間集計シート!S$113:S$132)*AQ$2</f>
        <v>0</v>
      </c>
      <c r="AR824" s="88">
        <f>SUMIF(月間集計シート!$M$113:$M$132,$G824,月間集計シート!T$113:T$132)*AR$2</f>
        <v>0</v>
      </c>
      <c r="AS824" s="88">
        <f>SUMIF(月間集計シート!$M$134:$M$153,$G824,月間集計シート!N$134:N$153)*AS$2</f>
        <v>0</v>
      </c>
      <c r="AT824" s="88">
        <f>SUMIF(月間集計シート!$M$134:$M$153,$G824,月間集計シート!O$134:O$153)*AT$2</f>
        <v>0</v>
      </c>
      <c r="AU824" s="88">
        <f>SUMIF(月間集計シート!$M$134:$M$153,$G824,月間集計シート!P$134:P$153)*AU$2</f>
        <v>0</v>
      </c>
      <c r="AV824" s="88">
        <f>SUMIF(月間集計シート!$M$134:$M$153,$G824,月間集計シート!Q$134:Q$153)*AV$2</f>
        <v>0</v>
      </c>
      <c r="AW824" s="88">
        <f>SUMIF(月間集計シート!$M$134:$M$153,$G824,月間集計シート!R$134:R$153)*AW$2</f>
        <v>0</v>
      </c>
      <c r="AX824" s="88">
        <f>SUMIF(月間集計シート!$M$134:$M$153,$G824,月間集計シート!S$134:S$153)*AX$2</f>
        <v>0</v>
      </c>
      <c r="AY824" s="88">
        <f>SUMIF(月間集計シート!$M$134:$M$153,$G824,月間集計シート!T$134:T$153)*AY$2</f>
        <v>0</v>
      </c>
    </row>
    <row r="825" spans="1:51" ht="14.25" thickBot="1">
      <c r="A825">
        <v>10</v>
      </c>
      <c r="B825" s="120">
        <f t="shared" si="411"/>
        <v>0</v>
      </c>
      <c r="C825" s="120" t="str">
        <f t="shared" si="412"/>
        <v/>
      </c>
      <c r="D825" s="137"/>
      <c r="E825" s="150">
        <f>工種!A52</f>
        <v>70103</v>
      </c>
      <c r="F825" s="119" t="str">
        <f>工種!B52</f>
        <v>外部不具合修正：テスト</v>
      </c>
      <c r="G825" s="116" t="str">
        <f t="shared" si="413"/>
        <v>070103</v>
      </c>
      <c r="H825" s="88">
        <f t="shared" si="367"/>
        <v>0</v>
      </c>
      <c r="I825" s="132"/>
      <c r="J825" s="88">
        <f>SUMIF(月間集計シート!$M$29:$M$48,$G825,月間集計シート!N$29:N$48)*J$2</f>
        <v>0</v>
      </c>
      <c r="K825" s="88">
        <f>SUMIF(月間集計シート!$M$29:$M$48,$G825,月間集計シート!O$29:O$48)*K$2</f>
        <v>0</v>
      </c>
      <c r="L825" s="88">
        <f>SUMIF(月間集計シート!$M$29:$M$48,$G825,月間集計シート!P$29:P$48)*L$2</f>
        <v>0</v>
      </c>
      <c r="M825" s="88">
        <f>SUMIF(月間集計シート!$M$29:$M$48,$G825,月間集計シート!Q$29:Q$48)*M$2</f>
        <v>0</v>
      </c>
      <c r="N825" s="88">
        <f>SUMIF(月間集計シート!$M$29:$M$48,$G825,月間集計シート!R$29:R$48)*N$2</f>
        <v>0</v>
      </c>
      <c r="O825" s="88">
        <f>SUMIF(月間集計シート!$M$29:$M$48,$G825,月間集計シート!S$29:S$48)*O$2</f>
        <v>0</v>
      </c>
      <c r="P825" s="88">
        <f>SUMIF(月間集計シート!$M$29:$M$48,$G825,月間集計シート!T$29:T$48)*P$2</f>
        <v>0</v>
      </c>
      <c r="Q825" s="88">
        <f>SUMIF(月間集計シート!$M$50:$M$69,$G825,月間集計シート!N$50:N$69)*Q$2</f>
        <v>0</v>
      </c>
      <c r="R825" s="88">
        <f>SUMIF(月間集計シート!$M$50:$M$69,$G825,月間集計シート!O$50:O$69)*R$2</f>
        <v>0</v>
      </c>
      <c r="S825" s="88">
        <f>SUMIF(月間集計シート!$M$50:$M$69,$G825,月間集計シート!P$50:P$69)*S$2</f>
        <v>0</v>
      </c>
      <c r="T825" s="88">
        <f>SUMIF(月間集計シート!$M$50:$M$69,$G825,月間集計シート!Q$50:Q$69)*T$2</f>
        <v>0</v>
      </c>
      <c r="U825" s="88">
        <f>SUMIF(月間集計シート!$M$50:$M$69,$G825,月間集計シート!R$50:R$69)*U$2</f>
        <v>0</v>
      </c>
      <c r="V825" s="88">
        <f>SUMIF(月間集計シート!$M$50:$M$69,$G825,月間集計シート!S$50:S$69)*V$2</f>
        <v>0</v>
      </c>
      <c r="W825" s="88">
        <f>SUMIF(月間集計シート!$M$50:$M$69,$G825,月間集計シート!T$50:T$69)*W$2</f>
        <v>0</v>
      </c>
      <c r="X825" s="88">
        <f>SUMIF(月間集計シート!$M$71:$M$90,$G825,月間集計シート!N$71:N$90)*X$2</f>
        <v>0</v>
      </c>
      <c r="Y825" s="88">
        <f>SUMIF(月間集計シート!$M$71:$M$90,$G825,月間集計シート!O$71:O$90)*Y$2</f>
        <v>0</v>
      </c>
      <c r="Z825" s="88">
        <f>SUMIF(月間集計シート!$M$71:$M$90,$G825,月間集計シート!P$71:P$90)*Z$2</f>
        <v>0</v>
      </c>
      <c r="AA825" s="88">
        <f>SUMIF(月間集計シート!$M$71:$M$90,$G825,月間集計シート!Q$71:Q$90)*AA$2</f>
        <v>0</v>
      </c>
      <c r="AB825" s="88">
        <f>SUMIF(月間集計シート!$M$71:$M$90,$G825,月間集計シート!R$71:R$90)*AB$2</f>
        <v>0</v>
      </c>
      <c r="AC825" s="88">
        <f>SUMIF(月間集計シート!$M$71:$M$90,$G825,月間集計シート!S$71:S$90)*AC$2</f>
        <v>0</v>
      </c>
      <c r="AD825" s="88">
        <f>SUMIF(月間集計シート!$M$71:$M$90,$G825,月間集計シート!T$71:T$90)*AD$2</f>
        <v>0</v>
      </c>
      <c r="AE825" s="88">
        <f>SUMIF(月間集計シート!$M$92:$M$111,$G825,月間集計シート!N$92:N$111)*AE$2</f>
        <v>0</v>
      </c>
      <c r="AF825" s="88">
        <f>SUMIF(月間集計シート!$M$92:$M$111,$G825,月間集計シート!O$92:O$111)*AF$2</f>
        <v>0</v>
      </c>
      <c r="AG825" s="88">
        <f>SUMIF(月間集計シート!$M$92:$M$111,$G825,月間集計シート!P$92:P$111)*AG$2</f>
        <v>0</v>
      </c>
      <c r="AH825" s="88">
        <f>SUMIF(月間集計シート!$M$92:$M$111,$G825,月間集計シート!Q$92:Q$111)*AH$2</f>
        <v>0</v>
      </c>
      <c r="AI825" s="88">
        <f>SUMIF(月間集計シート!$M$92:$M$111,$G825,月間集計シート!R$92:R$111)*AI$2</f>
        <v>0</v>
      </c>
      <c r="AJ825" s="88">
        <f>SUMIF(月間集計シート!$M$92:$M$111,$G825,月間集計シート!S$92:S$111)*AJ$2</f>
        <v>0</v>
      </c>
      <c r="AK825" s="88">
        <f>SUMIF(月間集計シート!$M$92:$M$111,$G825,月間集計シート!T$92:T$111)*AK$2</f>
        <v>0</v>
      </c>
      <c r="AL825" s="88">
        <f>SUMIF(月間集計シート!$M$113:$M$132,$G825,月間集計シート!N$113:N$132)*AL$2</f>
        <v>0</v>
      </c>
      <c r="AM825" s="88">
        <f>SUMIF(月間集計シート!$M$113:$M$132,$G825,月間集計シート!O$113:O$132)*AM$2</f>
        <v>0</v>
      </c>
      <c r="AN825" s="88">
        <f>SUMIF(月間集計シート!$M$113:$M$132,$G825,月間集計シート!P$113:P$132)*AN$2</f>
        <v>0</v>
      </c>
      <c r="AO825" s="88">
        <f>SUMIF(月間集計シート!$M$113:$M$132,$G825,月間集計シート!Q$113:Q$132)*AO$2</f>
        <v>0</v>
      </c>
      <c r="AP825" s="88">
        <f>SUMIF(月間集計シート!$M$113:$M$132,$G825,月間集計シート!R$113:R$132)*AP$2</f>
        <v>0</v>
      </c>
      <c r="AQ825" s="88">
        <f>SUMIF(月間集計シート!$M$113:$M$132,$G825,月間集計シート!S$113:S$132)*AQ$2</f>
        <v>0</v>
      </c>
      <c r="AR825" s="88">
        <f>SUMIF(月間集計シート!$M$113:$M$132,$G825,月間集計シート!T$113:T$132)*AR$2</f>
        <v>0</v>
      </c>
      <c r="AS825" s="88">
        <f>SUMIF(月間集計シート!$M$134:$M$153,$G825,月間集計シート!N$134:N$153)*AS$2</f>
        <v>0</v>
      </c>
      <c r="AT825" s="88">
        <f>SUMIF(月間集計シート!$M$134:$M$153,$G825,月間集計シート!O$134:O$153)*AT$2</f>
        <v>0</v>
      </c>
      <c r="AU825" s="88">
        <f>SUMIF(月間集計シート!$M$134:$M$153,$G825,月間集計シート!P$134:P$153)*AU$2</f>
        <v>0</v>
      </c>
      <c r="AV825" s="88">
        <f>SUMIF(月間集計シート!$M$134:$M$153,$G825,月間集計シート!Q$134:Q$153)*AV$2</f>
        <v>0</v>
      </c>
      <c r="AW825" s="88">
        <f>SUMIF(月間集計シート!$M$134:$M$153,$G825,月間集計シート!R$134:R$153)*AW$2</f>
        <v>0</v>
      </c>
      <c r="AX825" s="88">
        <f>SUMIF(月間集計シート!$M$134:$M$153,$G825,月間集計シート!S$134:S$153)*AX$2</f>
        <v>0</v>
      </c>
      <c r="AY825" s="88">
        <f>SUMIF(月間集計シート!$M$134:$M$153,$G825,月間集計シート!T$134:T$153)*AY$2</f>
        <v>0</v>
      </c>
    </row>
    <row r="826" spans="1:51" ht="14.25" thickBot="1">
      <c r="A826">
        <v>10</v>
      </c>
      <c r="B826" s="120">
        <f t="shared" si="411"/>
        <v>0</v>
      </c>
      <c r="C826" s="120" t="str">
        <f t="shared" si="412"/>
        <v/>
      </c>
      <c r="D826" s="137"/>
      <c r="E826" s="150">
        <f>工種!A53</f>
        <v>70104</v>
      </c>
      <c r="F826" s="119" t="str">
        <f>工種!B53</f>
        <v>外部不具合修正：不具合連絡作成</v>
      </c>
      <c r="G826" s="116" t="str">
        <f t="shared" si="413"/>
        <v>070104</v>
      </c>
      <c r="H826" s="88">
        <f t="shared" si="367"/>
        <v>0</v>
      </c>
      <c r="I826" s="132"/>
      <c r="J826" s="88">
        <f>SUMIF(月間集計シート!$M$29:$M$48,$G826,月間集計シート!N$29:N$48)*J$2</f>
        <v>0</v>
      </c>
      <c r="K826" s="88">
        <f>SUMIF(月間集計シート!$M$29:$M$48,$G826,月間集計シート!O$29:O$48)*K$2</f>
        <v>0</v>
      </c>
      <c r="L826" s="88">
        <f>SUMIF(月間集計シート!$M$29:$M$48,$G826,月間集計シート!P$29:P$48)*L$2</f>
        <v>0</v>
      </c>
      <c r="M826" s="88">
        <f>SUMIF(月間集計シート!$M$29:$M$48,$G826,月間集計シート!Q$29:Q$48)*M$2</f>
        <v>0</v>
      </c>
      <c r="N826" s="88">
        <f>SUMIF(月間集計シート!$M$29:$M$48,$G826,月間集計シート!R$29:R$48)*N$2</f>
        <v>0</v>
      </c>
      <c r="O826" s="88">
        <f>SUMIF(月間集計シート!$M$29:$M$48,$G826,月間集計シート!S$29:S$48)*O$2</f>
        <v>0</v>
      </c>
      <c r="P826" s="88">
        <f>SUMIF(月間集計シート!$M$29:$M$48,$G826,月間集計シート!T$29:T$48)*P$2</f>
        <v>0</v>
      </c>
      <c r="Q826" s="88">
        <f>SUMIF(月間集計シート!$M$50:$M$69,$G826,月間集計シート!N$50:N$69)*Q$2</f>
        <v>0</v>
      </c>
      <c r="R826" s="88">
        <f>SUMIF(月間集計シート!$M$50:$M$69,$G826,月間集計シート!O$50:O$69)*R$2</f>
        <v>0</v>
      </c>
      <c r="S826" s="88">
        <f>SUMIF(月間集計シート!$M$50:$M$69,$G826,月間集計シート!P$50:P$69)*S$2</f>
        <v>0</v>
      </c>
      <c r="T826" s="88">
        <f>SUMIF(月間集計シート!$M$50:$M$69,$G826,月間集計シート!Q$50:Q$69)*T$2</f>
        <v>0</v>
      </c>
      <c r="U826" s="88">
        <f>SUMIF(月間集計シート!$M$50:$M$69,$G826,月間集計シート!R$50:R$69)*U$2</f>
        <v>0</v>
      </c>
      <c r="V826" s="88">
        <f>SUMIF(月間集計シート!$M$50:$M$69,$G826,月間集計シート!S$50:S$69)*V$2</f>
        <v>0</v>
      </c>
      <c r="W826" s="88">
        <f>SUMIF(月間集計シート!$M$50:$M$69,$G826,月間集計シート!T$50:T$69)*W$2</f>
        <v>0</v>
      </c>
      <c r="X826" s="88">
        <f>SUMIF(月間集計シート!$M$71:$M$90,$G826,月間集計シート!N$71:N$90)*X$2</f>
        <v>0</v>
      </c>
      <c r="Y826" s="88">
        <f>SUMIF(月間集計シート!$M$71:$M$90,$G826,月間集計シート!O$71:O$90)*Y$2</f>
        <v>0</v>
      </c>
      <c r="Z826" s="88">
        <f>SUMIF(月間集計シート!$M$71:$M$90,$G826,月間集計シート!P$71:P$90)*Z$2</f>
        <v>0</v>
      </c>
      <c r="AA826" s="88">
        <f>SUMIF(月間集計シート!$M$71:$M$90,$G826,月間集計シート!Q$71:Q$90)*AA$2</f>
        <v>0</v>
      </c>
      <c r="AB826" s="88">
        <f>SUMIF(月間集計シート!$M$71:$M$90,$G826,月間集計シート!R$71:R$90)*AB$2</f>
        <v>0</v>
      </c>
      <c r="AC826" s="88">
        <f>SUMIF(月間集計シート!$M$71:$M$90,$G826,月間集計シート!S$71:S$90)*AC$2</f>
        <v>0</v>
      </c>
      <c r="AD826" s="88">
        <f>SUMIF(月間集計シート!$M$71:$M$90,$G826,月間集計シート!T$71:T$90)*AD$2</f>
        <v>0</v>
      </c>
      <c r="AE826" s="88">
        <f>SUMIF(月間集計シート!$M$92:$M$111,$G826,月間集計シート!N$92:N$111)*AE$2</f>
        <v>0</v>
      </c>
      <c r="AF826" s="88">
        <f>SUMIF(月間集計シート!$M$92:$M$111,$G826,月間集計シート!O$92:O$111)*AF$2</f>
        <v>0</v>
      </c>
      <c r="AG826" s="88">
        <f>SUMIF(月間集計シート!$M$92:$M$111,$G826,月間集計シート!P$92:P$111)*AG$2</f>
        <v>0</v>
      </c>
      <c r="AH826" s="88">
        <f>SUMIF(月間集計シート!$M$92:$M$111,$G826,月間集計シート!Q$92:Q$111)*AH$2</f>
        <v>0</v>
      </c>
      <c r="AI826" s="88">
        <f>SUMIF(月間集計シート!$M$92:$M$111,$G826,月間集計シート!R$92:R$111)*AI$2</f>
        <v>0</v>
      </c>
      <c r="AJ826" s="88">
        <f>SUMIF(月間集計シート!$M$92:$M$111,$G826,月間集計シート!S$92:S$111)*AJ$2</f>
        <v>0</v>
      </c>
      <c r="AK826" s="88">
        <f>SUMIF(月間集計シート!$M$92:$M$111,$G826,月間集計シート!T$92:T$111)*AK$2</f>
        <v>0</v>
      </c>
      <c r="AL826" s="88">
        <f>SUMIF(月間集計シート!$M$113:$M$132,$G826,月間集計シート!N$113:N$132)*AL$2</f>
        <v>0</v>
      </c>
      <c r="AM826" s="88">
        <f>SUMIF(月間集計シート!$M$113:$M$132,$G826,月間集計シート!O$113:O$132)*AM$2</f>
        <v>0</v>
      </c>
      <c r="AN826" s="88">
        <f>SUMIF(月間集計シート!$M$113:$M$132,$G826,月間集計シート!P$113:P$132)*AN$2</f>
        <v>0</v>
      </c>
      <c r="AO826" s="88">
        <f>SUMIF(月間集計シート!$M$113:$M$132,$G826,月間集計シート!Q$113:Q$132)*AO$2</f>
        <v>0</v>
      </c>
      <c r="AP826" s="88">
        <f>SUMIF(月間集計シート!$M$113:$M$132,$G826,月間集計シート!R$113:R$132)*AP$2</f>
        <v>0</v>
      </c>
      <c r="AQ826" s="88">
        <f>SUMIF(月間集計シート!$M$113:$M$132,$G826,月間集計シート!S$113:S$132)*AQ$2</f>
        <v>0</v>
      </c>
      <c r="AR826" s="88">
        <f>SUMIF(月間集計シート!$M$113:$M$132,$G826,月間集計シート!T$113:T$132)*AR$2</f>
        <v>0</v>
      </c>
      <c r="AS826" s="88">
        <f>SUMIF(月間集計シート!$M$134:$M$153,$G826,月間集計シート!N$134:N$153)*AS$2</f>
        <v>0</v>
      </c>
      <c r="AT826" s="88">
        <f>SUMIF(月間集計シート!$M$134:$M$153,$G826,月間集計シート!O$134:O$153)*AT$2</f>
        <v>0</v>
      </c>
      <c r="AU826" s="88">
        <f>SUMIF(月間集計シート!$M$134:$M$153,$G826,月間集計シート!P$134:P$153)*AU$2</f>
        <v>0</v>
      </c>
      <c r="AV826" s="88">
        <f>SUMIF(月間集計シート!$M$134:$M$153,$G826,月間集計シート!Q$134:Q$153)*AV$2</f>
        <v>0</v>
      </c>
      <c r="AW826" s="88">
        <f>SUMIF(月間集計シート!$M$134:$M$153,$G826,月間集計シート!R$134:R$153)*AW$2</f>
        <v>0</v>
      </c>
      <c r="AX826" s="88">
        <f>SUMIF(月間集計シート!$M$134:$M$153,$G826,月間集計シート!S$134:S$153)*AX$2</f>
        <v>0</v>
      </c>
      <c r="AY826" s="88">
        <f>SUMIF(月間集計シート!$M$134:$M$153,$G826,月間集計シート!T$134:T$153)*AY$2</f>
        <v>0</v>
      </c>
    </row>
    <row r="827" spans="1:51" ht="14.25" thickBot="1">
      <c r="A827">
        <v>10</v>
      </c>
      <c r="B827" s="120">
        <f t="shared" si="411"/>
        <v>0</v>
      </c>
      <c r="C827" s="120" t="str">
        <f t="shared" si="412"/>
        <v/>
      </c>
      <c r="D827" s="137"/>
      <c r="E827" s="150">
        <f>工種!A54</f>
        <v>70105</v>
      </c>
      <c r="F827" s="119" t="str">
        <f>工種!B54</f>
        <v>外部不具合修正：差分PGイントラ掲載</v>
      </c>
      <c r="G827" s="116" t="str">
        <f t="shared" si="413"/>
        <v>070105</v>
      </c>
      <c r="H827" s="88">
        <f t="shared" si="367"/>
        <v>0</v>
      </c>
      <c r="I827" s="132"/>
      <c r="J827" s="88">
        <f>SUMIF(月間集計シート!$M$29:$M$48,$G827,月間集計シート!N$29:N$48)*J$2</f>
        <v>0</v>
      </c>
      <c r="K827" s="88">
        <f>SUMIF(月間集計シート!$M$29:$M$48,$G827,月間集計シート!O$29:O$48)*K$2</f>
        <v>0</v>
      </c>
      <c r="L827" s="88">
        <f>SUMIF(月間集計シート!$M$29:$M$48,$G827,月間集計シート!P$29:P$48)*L$2</f>
        <v>0</v>
      </c>
      <c r="M827" s="88">
        <f>SUMIF(月間集計シート!$M$29:$M$48,$G827,月間集計シート!Q$29:Q$48)*M$2</f>
        <v>0</v>
      </c>
      <c r="N827" s="88">
        <f>SUMIF(月間集計シート!$M$29:$M$48,$G827,月間集計シート!R$29:R$48)*N$2</f>
        <v>0</v>
      </c>
      <c r="O827" s="88">
        <f>SUMIF(月間集計シート!$M$29:$M$48,$G827,月間集計シート!S$29:S$48)*O$2</f>
        <v>0</v>
      </c>
      <c r="P827" s="88">
        <f>SUMIF(月間集計シート!$M$29:$M$48,$G827,月間集計シート!T$29:T$48)*P$2</f>
        <v>0</v>
      </c>
      <c r="Q827" s="88">
        <f>SUMIF(月間集計シート!$M$50:$M$69,$G827,月間集計シート!N$50:N$69)*Q$2</f>
        <v>0</v>
      </c>
      <c r="R827" s="88">
        <f>SUMIF(月間集計シート!$M$50:$M$69,$G827,月間集計シート!O$50:O$69)*R$2</f>
        <v>0</v>
      </c>
      <c r="S827" s="88">
        <f>SUMIF(月間集計シート!$M$50:$M$69,$G827,月間集計シート!P$50:P$69)*S$2</f>
        <v>0</v>
      </c>
      <c r="T827" s="88">
        <f>SUMIF(月間集計シート!$M$50:$M$69,$G827,月間集計シート!Q$50:Q$69)*T$2</f>
        <v>0</v>
      </c>
      <c r="U827" s="88">
        <f>SUMIF(月間集計シート!$M$50:$M$69,$G827,月間集計シート!R$50:R$69)*U$2</f>
        <v>0</v>
      </c>
      <c r="V827" s="88">
        <f>SUMIF(月間集計シート!$M$50:$M$69,$G827,月間集計シート!S$50:S$69)*V$2</f>
        <v>0</v>
      </c>
      <c r="W827" s="88">
        <f>SUMIF(月間集計シート!$M$50:$M$69,$G827,月間集計シート!T$50:T$69)*W$2</f>
        <v>0</v>
      </c>
      <c r="X827" s="88">
        <f>SUMIF(月間集計シート!$M$71:$M$90,$G827,月間集計シート!N$71:N$90)*X$2</f>
        <v>0</v>
      </c>
      <c r="Y827" s="88">
        <f>SUMIF(月間集計シート!$M$71:$M$90,$G827,月間集計シート!O$71:O$90)*Y$2</f>
        <v>0</v>
      </c>
      <c r="Z827" s="88">
        <f>SUMIF(月間集計シート!$M$71:$M$90,$G827,月間集計シート!P$71:P$90)*Z$2</f>
        <v>0</v>
      </c>
      <c r="AA827" s="88">
        <f>SUMIF(月間集計シート!$M$71:$M$90,$G827,月間集計シート!Q$71:Q$90)*AA$2</f>
        <v>0</v>
      </c>
      <c r="AB827" s="88">
        <f>SUMIF(月間集計シート!$M$71:$M$90,$G827,月間集計シート!R$71:R$90)*AB$2</f>
        <v>0</v>
      </c>
      <c r="AC827" s="88">
        <f>SUMIF(月間集計シート!$M$71:$M$90,$G827,月間集計シート!S$71:S$90)*AC$2</f>
        <v>0</v>
      </c>
      <c r="AD827" s="88">
        <f>SUMIF(月間集計シート!$M$71:$M$90,$G827,月間集計シート!T$71:T$90)*AD$2</f>
        <v>0</v>
      </c>
      <c r="AE827" s="88">
        <f>SUMIF(月間集計シート!$M$92:$M$111,$G827,月間集計シート!N$92:N$111)*AE$2</f>
        <v>0</v>
      </c>
      <c r="AF827" s="88">
        <f>SUMIF(月間集計シート!$M$92:$M$111,$G827,月間集計シート!O$92:O$111)*AF$2</f>
        <v>0</v>
      </c>
      <c r="AG827" s="88">
        <f>SUMIF(月間集計シート!$M$92:$M$111,$G827,月間集計シート!P$92:P$111)*AG$2</f>
        <v>0</v>
      </c>
      <c r="AH827" s="88">
        <f>SUMIF(月間集計シート!$M$92:$M$111,$G827,月間集計シート!Q$92:Q$111)*AH$2</f>
        <v>0</v>
      </c>
      <c r="AI827" s="88">
        <f>SUMIF(月間集計シート!$M$92:$M$111,$G827,月間集計シート!R$92:R$111)*AI$2</f>
        <v>0</v>
      </c>
      <c r="AJ827" s="88">
        <f>SUMIF(月間集計シート!$M$92:$M$111,$G827,月間集計シート!S$92:S$111)*AJ$2</f>
        <v>0</v>
      </c>
      <c r="AK827" s="88">
        <f>SUMIF(月間集計シート!$M$92:$M$111,$G827,月間集計シート!T$92:T$111)*AK$2</f>
        <v>0</v>
      </c>
      <c r="AL827" s="88">
        <f>SUMIF(月間集計シート!$M$113:$M$132,$G827,月間集計シート!N$113:N$132)*AL$2</f>
        <v>0</v>
      </c>
      <c r="AM827" s="88">
        <f>SUMIF(月間集計シート!$M$113:$M$132,$G827,月間集計シート!O$113:O$132)*AM$2</f>
        <v>0</v>
      </c>
      <c r="AN827" s="88">
        <f>SUMIF(月間集計シート!$M$113:$M$132,$G827,月間集計シート!P$113:P$132)*AN$2</f>
        <v>0</v>
      </c>
      <c r="AO827" s="88">
        <f>SUMIF(月間集計シート!$M$113:$M$132,$G827,月間集計シート!Q$113:Q$132)*AO$2</f>
        <v>0</v>
      </c>
      <c r="AP827" s="88">
        <f>SUMIF(月間集計シート!$M$113:$M$132,$G827,月間集計シート!R$113:R$132)*AP$2</f>
        <v>0</v>
      </c>
      <c r="AQ827" s="88">
        <f>SUMIF(月間集計シート!$M$113:$M$132,$G827,月間集計シート!S$113:S$132)*AQ$2</f>
        <v>0</v>
      </c>
      <c r="AR827" s="88">
        <f>SUMIF(月間集計シート!$M$113:$M$132,$G827,月間集計シート!T$113:T$132)*AR$2</f>
        <v>0</v>
      </c>
      <c r="AS827" s="88">
        <f>SUMIF(月間集計シート!$M$134:$M$153,$G827,月間集計シート!N$134:N$153)*AS$2</f>
        <v>0</v>
      </c>
      <c r="AT827" s="88">
        <f>SUMIF(月間集計シート!$M$134:$M$153,$G827,月間集計シート!O$134:O$153)*AT$2</f>
        <v>0</v>
      </c>
      <c r="AU827" s="88">
        <f>SUMIF(月間集計シート!$M$134:$M$153,$G827,月間集計シート!P$134:P$153)*AU$2</f>
        <v>0</v>
      </c>
      <c r="AV827" s="88">
        <f>SUMIF(月間集計シート!$M$134:$M$153,$G827,月間集計シート!Q$134:Q$153)*AV$2</f>
        <v>0</v>
      </c>
      <c r="AW827" s="88">
        <f>SUMIF(月間集計シート!$M$134:$M$153,$G827,月間集計シート!R$134:R$153)*AW$2</f>
        <v>0</v>
      </c>
      <c r="AX827" s="88">
        <f>SUMIF(月間集計シート!$M$134:$M$153,$G827,月間集計シート!S$134:S$153)*AX$2</f>
        <v>0</v>
      </c>
      <c r="AY827" s="88">
        <f>SUMIF(月間集計シート!$M$134:$M$153,$G827,月間集計シート!T$134:T$153)*AY$2</f>
        <v>0</v>
      </c>
    </row>
    <row r="828" spans="1:51" ht="14.25" thickBot="1">
      <c r="A828">
        <v>10</v>
      </c>
      <c r="B828" s="120">
        <f t="shared" si="411"/>
        <v>0</v>
      </c>
      <c r="C828" s="120" t="str">
        <f t="shared" si="412"/>
        <v/>
      </c>
      <c r="D828" s="137"/>
      <c r="E828" s="150">
        <f>工種!A55</f>
        <v>70106</v>
      </c>
      <c r="F828" s="119" t="str">
        <f>工種!B55</f>
        <v>外部不具合修正：打合せ</v>
      </c>
      <c r="G828" s="116" t="str">
        <f t="shared" si="413"/>
        <v>070106</v>
      </c>
      <c r="H828" s="88">
        <f t="shared" si="367"/>
        <v>0</v>
      </c>
      <c r="I828" s="132"/>
      <c r="J828" s="88">
        <f>SUMIF(月間集計シート!$M$29:$M$48,$G828,月間集計シート!N$29:N$48)*J$2</f>
        <v>0</v>
      </c>
      <c r="K828" s="88">
        <f>SUMIF(月間集計シート!$M$29:$M$48,$G828,月間集計シート!O$29:O$48)*K$2</f>
        <v>0</v>
      </c>
      <c r="L828" s="88">
        <f>SUMIF(月間集計シート!$M$29:$M$48,$G828,月間集計シート!P$29:P$48)*L$2</f>
        <v>0</v>
      </c>
      <c r="M828" s="88">
        <f>SUMIF(月間集計シート!$M$29:$M$48,$G828,月間集計シート!Q$29:Q$48)*M$2</f>
        <v>0</v>
      </c>
      <c r="N828" s="88">
        <f>SUMIF(月間集計シート!$M$29:$M$48,$G828,月間集計シート!R$29:R$48)*N$2</f>
        <v>0</v>
      </c>
      <c r="O828" s="88">
        <f>SUMIF(月間集計シート!$M$29:$M$48,$G828,月間集計シート!S$29:S$48)*O$2</f>
        <v>0</v>
      </c>
      <c r="P828" s="88">
        <f>SUMIF(月間集計シート!$M$29:$M$48,$G828,月間集計シート!T$29:T$48)*P$2</f>
        <v>0</v>
      </c>
      <c r="Q828" s="88">
        <f>SUMIF(月間集計シート!$M$50:$M$69,$G828,月間集計シート!N$50:N$69)*Q$2</f>
        <v>0</v>
      </c>
      <c r="R828" s="88">
        <f>SUMIF(月間集計シート!$M$50:$M$69,$G828,月間集計シート!O$50:O$69)*R$2</f>
        <v>0</v>
      </c>
      <c r="S828" s="88">
        <f>SUMIF(月間集計シート!$M$50:$M$69,$G828,月間集計シート!P$50:P$69)*S$2</f>
        <v>0</v>
      </c>
      <c r="T828" s="88">
        <f>SUMIF(月間集計シート!$M$50:$M$69,$G828,月間集計シート!Q$50:Q$69)*T$2</f>
        <v>0</v>
      </c>
      <c r="U828" s="88">
        <f>SUMIF(月間集計シート!$M$50:$M$69,$G828,月間集計シート!R$50:R$69)*U$2</f>
        <v>0</v>
      </c>
      <c r="V828" s="88">
        <f>SUMIF(月間集計シート!$M$50:$M$69,$G828,月間集計シート!S$50:S$69)*V$2</f>
        <v>0</v>
      </c>
      <c r="W828" s="88">
        <f>SUMIF(月間集計シート!$M$50:$M$69,$G828,月間集計シート!T$50:T$69)*W$2</f>
        <v>0</v>
      </c>
      <c r="X828" s="88">
        <f>SUMIF(月間集計シート!$M$71:$M$90,$G828,月間集計シート!N$71:N$90)*X$2</f>
        <v>0</v>
      </c>
      <c r="Y828" s="88">
        <f>SUMIF(月間集計シート!$M$71:$M$90,$G828,月間集計シート!O$71:O$90)*Y$2</f>
        <v>0</v>
      </c>
      <c r="Z828" s="88">
        <f>SUMIF(月間集計シート!$M$71:$M$90,$G828,月間集計シート!P$71:P$90)*Z$2</f>
        <v>0</v>
      </c>
      <c r="AA828" s="88">
        <f>SUMIF(月間集計シート!$M$71:$M$90,$G828,月間集計シート!Q$71:Q$90)*AA$2</f>
        <v>0</v>
      </c>
      <c r="AB828" s="88">
        <f>SUMIF(月間集計シート!$M$71:$M$90,$G828,月間集計シート!R$71:R$90)*AB$2</f>
        <v>0</v>
      </c>
      <c r="AC828" s="88">
        <f>SUMIF(月間集計シート!$M$71:$M$90,$G828,月間集計シート!S$71:S$90)*AC$2</f>
        <v>0</v>
      </c>
      <c r="AD828" s="88">
        <f>SUMIF(月間集計シート!$M$71:$M$90,$G828,月間集計シート!T$71:T$90)*AD$2</f>
        <v>0</v>
      </c>
      <c r="AE828" s="88">
        <f>SUMIF(月間集計シート!$M$92:$M$111,$G828,月間集計シート!N$92:N$111)*AE$2</f>
        <v>0</v>
      </c>
      <c r="AF828" s="88">
        <f>SUMIF(月間集計シート!$M$92:$M$111,$G828,月間集計シート!O$92:O$111)*AF$2</f>
        <v>0</v>
      </c>
      <c r="AG828" s="88">
        <f>SUMIF(月間集計シート!$M$92:$M$111,$G828,月間集計シート!P$92:P$111)*AG$2</f>
        <v>0</v>
      </c>
      <c r="AH828" s="88">
        <f>SUMIF(月間集計シート!$M$92:$M$111,$G828,月間集計シート!Q$92:Q$111)*AH$2</f>
        <v>0</v>
      </c>
      <c r="AI828" s="88">
        <f>SUMIF(月間集計シート!$M$92:$M$111,$G828,月間集計シート!R$92:R$111)*AI$2</f>
        <v>0</v>
      </c>
      <c r="AJ828" s="88">
        <f>SUMIF(月間集計シート!$M$92:$M$111,$G828,月間集計シート!S$92:S$111)*AJ$2</f>
        <v>0</v>
      </c>
      <c r="AK828" s="88">
        <f>SUMIF(月間集計シート!$M$92:$M$111,$G828,月間集計シート!T$92:T$111)*AK$2</f>
        <v>0</v>
      </c>
      <c r="AL828" s="88">
        <f>SUMIF(月間集計シート!$M$113:$M$132,$G828,月間集計シート!N$113:N$132)*AL$2</f>
        <v>0</v>
      </c>
      <c r="AM828" s="88">
        <f>SUMIF(月間集計シート!$M$113:$M$132,$G828,月間集計シート!O$113:O$132)*AM$2</f>
        <v>0</v>
      </c>
      <c r="AN828" s="88">
        <f>SUMIF(月間集計シート!$M$113:$M$132,$G828,月間集計シート!P$113:P$132)*AN$2</f>
        <v>0</v>
      </c>
      <c r="AO828" s="88">
        <f>SUMIF(月間集計シート!$M$113:$M$132,$G828,月間集計シート!Q$113:Q$132)*AO$2</f>
        <v>0</v>
      </c>
      <c r="AP828" s="88">
        <f>SUMIF(月間集計シート!$M$113:$M$132,$G828,月間集計シート!R$113:R$132)*AP$2</f>
        <v>0</v>
      </c>
      <c r="AQ828" s="88">
        <f>SUMIF(月間集計シート!$M$113:$M$132,$G828,月間集計シート!S$113:S$132)*AQ$2</f>
        <v>0</v>
      </c>
      <c r="AR828" s="88">
        <f>SUMIF(月間集計シート!$M$113:$M$132,$G828,月間集計シート!T$113:T$132)*AR$2</f>
        <v>0</v>
      </c>
      <c r="AS828" s="88">
        <f>SUMIF(月間集計シート!$M$134:$M$153,$G828,月間集計シート!N$134:N$153)*AS$2</f>
        <v>0</v>
      </c>
      <c r="AT828" s="88">
        <f>SUMIF(月間集計シート!$M$134:$M$153,$G828,月間集計シート!O$134:O$153)*AT$2</f>
        <v>0</v>
      </c>
      <c r="AU828" s="88">
        <f>SUMIF(月間集計シート!$M$134:$M$153,$G828,月間集計シート!P$134:P$153)*AU$2</f>
        <v>0</v>
      </c>
      <c r="AV828" s="88">
        <f>SUMIF(月間集計シート!$M$134:$M$153,$G828,月間集計シート!Q$134:Q$153)*AV$2</f>
        <v>0</v>
      </c>
      <c r="AW828" s="88">
        <f>SUMIF(月間集計シート!$M$134:$M$153,$G828,月間集計シート!R$134:R$153)*AW$2</f>
        <v>0</v>
      </c>
      <c r="AX828" s="88">
        <f>SUMIF(月間集計シート!$M$134:$M$153,$G828,月間集計シート!S$134:S$153)*AX$2</f>
        <v>0</v>
      </c>
      <c r="AY828" s="88">
        <f>SUMIF(月間集計シート!$M$134:$M$153,$G828,月間集計シート!T$134:T$153)*AY$2</f>
        <v>0</v>
      </c>
    </row>
    <row r="829" spans="1:51" ht="14.25" thickBot="1">
      <c r="A829">
        <v>10</v>
      </c>
      <c r="B829" s="120">
        <f t="shared" si="411"/>
        <v>0</v>
      </c>
      <c r="C829" s="120" t="str">
        <f t="shared" si="412"/>
        <v/>
      </c>
      <c r="D829" s="137"/>
      <c r="E829" s="150">
        <f>工種!A56</f>
        <v>70109</v>
      </c>
      <c r="F829" s="119" t="str">
        <f>工種!B56</f>
        <v>外部不具合修正：レビュー</v>
      </c>
      <c r="G829" s="116" t="str">
        <f t="shared" si="413"/>
        <v>070109</v>
      </c>
      <c r="H829" s="88">
        <f t="shared" si="367"/>
        <v>0</v>
      </c>
      <c r="I829" s="132"/>
      <c r="J829" s="88">
        <f>SUMIF(月間集計シート!$M$29:$M$48,$G829,月間集計シート!N$29:N$48)*J$2</f>
        <v>0</v>
      </c>
      <c r="K829" s="88">
        <f>SUMIF(月間集計シート!$M$29:$M$48,$G829,月間集計シート!O$29:O$48)*K$2</f>
        <v>0</v>
      </c>
      <c r="L829" s="88">
        <f>SUMIF(月間集計シート!$M$29:$M$48,$G829,月間集計シート!P$29:P$48)*L$2</f>
        <v>0</v>
      </c>
      <c r="M829" s="88">
        <f>SUMIF(月間集計シート!$M$29:$M$48,$G829,月間集計シート!Q$29:Q$48)*M$2</f>
        <v>0</v>
      </c>
      <c r="N829" s="88">
        <f>SUMIF(月間集計シート!$M$29:$M$48,$G829,月間集計シート!R$29:R$48)*N$2</f>
        <v>0</v>
      </c>
      <c r="O829" s="88">
        <f>SUMIF(月間集計シート!$M$29:$M$48,$G829,月間集計シート!S$29:S$48)*O$2</f>
        <v>0</v>
      </c>
      <c r="P829" s="88">
        <f>SUMIF(月間集計シート!$M$29:$M$48,$G829,月間集計シート!T$29:T$48)*P$2</f>
        <v>0</v>
      </c>
      <c r="Q829" s="88">
        <f>SUMIF(月間集計シート!$M$50:$M$69,$G829,月間集計シート!N$50:N$69)*Q$2</f>
        <v>0</v>
      </c>
      <c r="R829" s="88">
        <f>SUMIF(月間集計シート!$M$50:$M$69,$G829,月間集計シート!O$50:O$69)*R$2</f>
        <v>0</v>
      </c>
      <c r="S829" s="88">
        <f>SUMIF(月間集計シート!$M$50:$M$69,$G829,月間集計シート!P$50:P$69)*S$2</f>
        <v>0</v>
      </c>
      <c r="T829" s="88">
        <f>SUMIF(月間集計シート!$M$50:$M$69,$G829,月間集計シート!Q$50:Q$69)*T$2</f>
        <v>0</v>
      </c>
      <c r="U829" s="88">
        <f>SUMIF(月間集計シート!$M$50:$M$69,$G829,月間集計シート!R$50:R$69)*U$2</f>
        <v>0</v>
      </c>
      <c r="V829" s="88">
        <f>SUMIF(月間集計シート!$M$50:$M$69,$G829,月間集計シート!S$50:S$69)*V$2</f>
        <v>0</v>
      </c>
      <c r="W829" s="88">
        <f>SUMIF(月間集計シート!$M$50:$M$69,$G829,月間集計シート!T$50:T$69)*W$2</f>
        <v>0</v>
      </c>
      <c r="X829" s="88">
        <f>SUMIF(月間集計シート!$M$71:$M$90,$G829,月間集計シート!N$71:N$90)*X$2</f>
        <v>0</v>
      </c>
      <c r="Y829" s="88">
        <f>SUMIF(月間集計シート!$M$71:$M$90,$G829,月間集計シート!O$71:O$90)*Y$2</f>
        <v>0</v>
      </c>
      <c r="Z829" s="88">
        <f>SUMIF(月間集計シート!$M$71:$M$90,$G829,月間集計シート!P$71:P$90)*Z$2</f>
        <v>0</v>
      </c>
      <c r="AA829" s="88">
        <f>SUMIF(月間集計シート!$M$71:$M$90,$G829,月間集計シート!Q$71:Q$90)*AA$2</f>
        <v>0</v>
      </c>
      <c r="AB829" s="88">
        <f>SUMIF(月間集計シート!$M$71:$M$90,$G829,月間集計シート!R$71:R$90)*AB$2</f>
        <v>0</v>
      </c>
      <c r="AC829" s="88">
        <f>SUMIF(月間集計シート!$M$71:$M$90,$G829,月間集計シート!S$71:S$90)*AC$2</f>
        <v>0</v>
      </c>
      <c r="AD829" s="88">
        <f>SUMIF(月間集計シート!$M$71:$M$90,$G829,月間集計シート!T$71:T$90)*AD$2</f>
        <v>0</v>
      </c>
      <c r="AE829" s="88">
        <f>SUMIF(月間集計シート!$M$92:$M$111,$G829,月間集計シート!N$92:N$111)*AE$2</f>
        <v>0</v>
      </c>
      <c r="AF829" s="88">
        <f>SUMIF(月間集計シート!$M$92:$M$111,$G829,月間集計シート!O$92:O$111)*AF$2</f>
        <v>0</v>
      </c>
      <c r="AG829" s="88">
        <f>SUMIF(月間集計シート!$M$92:$M$111,$G829,月間集計シート!P$92:P$111)*AG$2</f>
        <v>0</v>
      </c>
      <c r="AH829" s="88">
        <f>SUMIF(月間集計シート!$M$92:$M$111,$G829,月間集計シート!Q$92:Q$111)*AH$2</f>
        <v>0</v>
      </c>
      <c r="AI829" s="88">
        <f>SUMIF(月間集計シート!$M$92:$M$111,$G829,月間集計シート!R$92:R$111)*AI$2</f>
        <v>0</v>
      </c>
      <c r="AJ829" s="88">
        <f>SUMIF(月間集計シート!$M$92:$M$111,$G829,月間集計シート!S$92:S$111)*AJ$2</f>
        <v>0</v>
      </c>
      <c r="AK829" s="88">
        <f>SUMIF(月間集計シート!$M$92:$M$111,$G829,月間集計シート!T$92:T$111)*AK$2</f>
        <v>0</v>
      </c>
      <c r="AL829" s="88">
        <f>SUMIF(月間集計シート!$M$113:$M$132,$G829,月間集計シート!N$113:N$132)*AL$2</f>
        <v>0</v>
      </c>
      <c r="AM829" s="88">
        <f>SUMIF(月間集計シート!$M$113:$M$132,$G829,月間集計シート!O$113:O$132)*AM$2</f>
        <v>0</v>
      </c>
      <c r="AN829" s="88">
        <f>SUMIF(月間集計シート!$M$113:$M$132,$G829,月間集計シート!P$113:P$132)*AN$2</f>
        <v>0</v>
      </c>
      <c r="AO829" s="88">
        <f>SUMIF(月間集計シート!$M$113:$M$132,$G829,月間集計シート!Q$113:Q$132)*AO$2</f>
        <v>0</v>
      </c>
      <c r="AP829" s="88">
        <f>SUMIF(月間集計シート!$M$113:$M$132,$G829,月間集計シート!R$113:R$132)*AP$2</f>
        <v>0</v>
      </c>
      <c r="AQ829" s="88">
        <f>SUMIF(月間集計シート!$M$113:$M$132,$G829,月間集計シート!S$113:S$132)*AQ$2</f>
        <v>0</v>
      </c>
      <c r="AR829" s="88">
        <f>SUMIF(月間集計シート!$M$113:$M$132,$G829,月間集計シート!T$113:T$132)*AR$2</f>
        <v>0</v>
      </c>
      <c r="AS829" s="88">
        <f>SUMIF(月間集計シート!$M$134:$M$153,$G829,月間集計シート!N$134:N$153)*AS$2</f>
        <v>0</v>
      </c>
      <c r="AT829" s="88">
        <f>SUMIF(月間集計シート!$M$134:$M$153,$G829,月間集計シート!O$134:O$153)*AT$2</f>
        <v>0</v>
      </c>
      <c r="AU829" s="88">
        <f>SUMIF(月間集計シート!$M$134:$M$153,$G829,月間集計シート!P$134:P$153)*AU$2</f>
        <v>0</v>
      </c>
      <c r="AV829" s="88">
        <f>SUMIF(月間集計シート!$M$134:$M$153,$G829,月間集計シート!Q$134:Q$153)*AV$2</f>
        <v>0</v>
      </c>
      <c r="AW829" s="88">
        <f>SUMIF(月間集計シート!$M$134:$M$153,$G829,月間集計シート!R$134:R$153)*AW$2</f>
        <v>0</v>
      </c>
      <c r="AX829" s="88">
        <f>SUMIF(月間集計シート!$M$134:$M$153,$G829,月間集計シート!S$134:S$153)*AX$2</f>
        <v>0</v>
      </c>
      <c r="AY829" s="88">
        <f>SUMIF(月間集計シート!$M$134:$M$153,$G829,月間集計シート!T$134:T$153)*AY$2</f>
        <v>0</v>
      </c>
    </row>
    <row r="830" spans="1:51" ht="14.25" thickBot="1">
      <c r="A830">
        <v>10</v>
      </c>
      <c r="B830" s="120">
        <f t="shared" si="411"/>
        <v>0</v>
      </c>
      <c r="C830" s="120" t="str">
        <f t="shared" si="412"/>
        <v/>
      </c>
      <c r="D830" s="137"/>
      <c r="E830" s="150">
        <f>工種!A57</f>
        <v>70189</v>
      </c>
      <c r="F830" s="119" t="str">
        <f>工種!B57</f>
        <v>外部不具合修正：外部不具合分析</v>
      </c>
      <c r="G830" s="116" t="str">
        <f t="shared" si="413"/>
        <v>070189</v>
      </c>
      <c r="H830" s="88">
        <f t="shared" si="367"/>
        <v>0</v>
      </c>
      <c r="I830" s="132"/>
      <c r="J830" s="88">
        <f>SUMIF(月間集計シート!$M$29:$M$48,$G830,月間集計シート!N$29:N$48)*J$2</f>
        <v>0</v>
      </c>
      <c r="K830" s="88">
        <f>SUMIF(月間集計シート!$M$29:$M$48,$G830,月間集計シート!O$29:O$48)*K$2</f>
        <v>0</v>
      </c>
      <c r="L830" s="88">
        <f>SUMIF(月間集計シート!$M$29:$M$48,$G830,月間集計シート!P$29:P$48)*L$2</f>
        <v>0</v>
      </c>
      <c r="M830" s="88">
        <f>SUMIF(月間集計シート!$M$29:$M$48,$G830,月間集計シート!Q$29:Q$48)*M$2</f>
        <v>0</v>
      </c>
      <c r="N830" s="88">
        <f>SUMIF(月間集計シート!$M$29:$M$48,$G830,月間集計シート!R$29:R$48)*N$2</f>
        <v>0</v>
      </c>
      <c r="O830" s="88">
        <f>SUMIF(月間集計シート!$M$29:$M$48,$G830,月間集計シート!S$29:S$48)*O$2</f>
        <v>0</v>
      </c>
      <c r="P830" s="88">
        <f>SUMIF(月間集計シート!$M$29:$M$48,$G830,月間集計シート!T$29:T$48)*P$2</f>
        <v>0</v>
      </c>
      <c r="Q830" s="88">
        <f>SUMIF(月間集計シート!$M$50:$M$69,$G830,月間集計シート!N$50:N$69)*Q$2</f>
        <v>0</v>
      </c>
      <c r="R830" s="88">
        <f>SUMIF(月間集計シート!$M$50:$M$69,$G830,月間集計シート!O$50:O$69)*R$2</f>
        <v>0</v>
      </c>
      <c r="S830" s="88">
        <f>SUMIF(月間集計シート!$M$50:$M$69,$G830,月間集計シート!P$50:P$69)*S$2</f>
        <v>0</v>
      </c>
      <c r="T830" s="88">
        <f>SUMIF(月間集計シート!$M$50:$M$69,$G830,月間集計シート!Q$50:Q$69)*T$2</f>
        <v>0</v>
      </c>
      <c r="U830" s="88">
        <f>SUMIF(月間集計シート!$M$50:$M$69,$G830,月間集計シート!R$50:R$69)*U$2</f>
        <v>0</v>
      </c>
      <c r="V830" s="88">
        <f>SUMIF(月間集計シート!$M$50:$M$69,$G830,月間集計シート!S$50:S$69)*V$2</f>
        <v>0</v>
      </c>
      <c r="W830" s="88">
        <f>SUMIF(月間集計シート!$M$50:$M$69,$G830,月間集計シート!T$50:T$69)*W$2</f>
        <v>0</v>
      </c>
      <c r="X830" s="88">
        <f>SUMIF(月間集計シート!$M$71:$M$90,$G830,月間集計シート!N$71:N$90)*X$2</f>
        <v>0</v>
      </c>
      <c r="Y830" s="88">
        <f>SUMIF(月間集計シート!$M$71:$M$90,$G830,月間集計シート!O$71:O$90)*Y$2</f>
        <v>0</v>
      </c>
      <c r="Z830" s="88">
        <f>SUMIF(月間集計シート!$M$71:$M$90,$G830,月間集計シート!P$71:P$90)*Z$2</f>
        <v>0</v>
      </c>
      <c r="AA830" s="88">
        <f>SUMIF(月間集計シート!$M$71:$M$90,$G830,月間集計シート!Q$71:Q$90)*AA$2</f>
        <v>0</v>
      </c>
      <c r="AB830" s="88">
        <f>SUMIF(月間集計シート!$M$71:$M$90,$G830,月間集計シート!R$71:R$90)*AB$2</f>
        <v>0</v>
      </c>
      <c r="AC830" s="88">
        <f>SUMIF(月間集計シート!$M$71:$M$90,$G830,月間集計シート!S$71:S$90)*AC$2</f>
        <v>0</v>
      </c>
      <c r="AD830" s="88">
        <f>SUMIF(月間集計シート!$M$71:$M$90,$G830,月間集計シート!T$71:T$90)*AD$2</f>
        <v>0</v>
      </c>
      <c r="AE830" s="88">
        <f>SUMIF(月間集計シート!$M$92:$M$111,$G830,月間集計シート!N$92:N$111)*AE$2</f>
        <v>0</v>
      </c>
      <c r="AF830" s="88">
        <f>SUMIF(月間集計シート!$M$92:$M$111,$G830,月間集計シート!O$92:O$111)*AF$2</f>
        <v>0</v>
      </c>
      <c r="AG830" s="88">
        <f>SUMIF(月間集計シート!$M$92:$M$111,$G830,月間集計シート!P$92:P$111)*AG$2</f>
        <v>0</v>
      </c>
      <c r="AH830" s="88">
        <f>SUMIF(月間集計シート!$M$92:$M$111,$G830,月間集計シート!Q$92:Q$111)*AH$2</f>
        <v>0</v>
      </c>
      <c r="AI830" s="88">
        <f>SUMIF(月間集計シート!$M$92:$M$111,$G830,月間集計シート!R$92:R$111)*AI$2</f>
        <v>0</v>
      </c>
      <c r="AJ830" s="88">
        <f>SUMIF(月間集計シート!$M$92:$M$111,$G830,月間集計シート!S$92:S$111)*AJ$2</f>
        <v>0</v>
      </c>
      <c r="AK830" s="88">
        <f>SUMIF(月間集計シート!$M$92:$M$111,$G830,月間集計シート!T$92:T$111)*AK$2</f>
        <v>0</v>
      </c>
      <c r="AL830" s="88">
        <f>SUMIF(月間集計シート!$M$113:$M$132,$G830,月間集計シート!N$113:N$132)*AL$2</f>
        <v>0</v>
      </c>
      <c r="AM830" s="88">
        <f>SUMIF(月間集計シート!$M$113:$M$132,$G830,月間集計シート!O$113:O$132)*AM$2</f>
        <v>0</v>
      </c>
      <c r="AN830" s="88">
        <f>SUMIF(月間集計シート!$M$113:$M$132,$G830,月間集計シート!P$113:P$132)*AN$2</f>
        <v>0</v>
      </c>
      <c r="AO830" s="88">
        <f>SUMIF(月間集計シート!$M$113:$M$132,$G830,月間集計シート!Q$113:Q$132)*AO$2</f>
        <v>0</v>
      </c>
      <c r="AP830" s="88">
        <f>SUMIF(月間集計シート!$M$113:$M$132,$G830,月間集計シート!R$113:R$132)*AP$2</f>
        <v>0</v>
      </c>
      <c r="AQ830" s="88">
        <f>SUMIF(月間集計シート!$M$113:$M$132,$G830,月間集計シート!S$113:S$132)*AQ$2</f>
        <v>0</v>
      </c>
      <c r="AR830" s="88">
        <f>SUMIF(月間集計シート!$M$113:$M$132,$G830,月間集計シート!T$113:T$132)*AR$2</f>
        <v>0</v>
      </c>
      <c r="AS830" s="88">
        <f>SUMIF(月間集計シート!$M$134:$M$153,$G830,月間集計シート!N$134:N$153)*AS$2</f>
        <v>0</v>
      </c>
      <c r="AT830" s="88">
        <f>SUMIF(月間集計シート!$M$134:$M$153,$G830,月間集計シート!O$134:O$153)*AT$2</f>
        <v>0</v>
      </c>
      <c r="AU830" s="88">
        <f>SUMIF(月間集計シート!$M$134:$M$153,$G830,月間集計シート!P$134:P$153)*AU$2</f>
        <v>0</v>
      </c>
      <c r="AV830" s="88">
        <f>SUMIF(月間集計シート!$M$134:$M$153,$G830,月間集計シート!Q$134:Q$153)*AV$2</f>
        <v>0</v>
      </c>
      <c r="AW830" s="88">
        <f>SUMIF(月間集計シート!$M$134:$M$153,$G830,月間集計シート!R$134:R$153)*AW$2</f>
        <v>0</v>
      </c>
      <c r="AX830" s="88">
        <f>SUMIF(月間集計シート!$M$134:$M$153,$G830,月間集計シート!S$134:S$153)*AX$2</f>
        <v>0</v>
      </c>
      <c r="AY830" s="88">
        <f>SUMIF(月間集計シート!$M$134:$M$153,$G830,月間集計シート!T$134:T$153)*AY$2</f>
        <v>0</v>
      </c>
    </row>
    <row r="831" spans="1:51" ht="14.25" thickBot="1">
      <c r="A831">
        <v>10</v>
      </c>
      <c r="B831" s="120">
        <f t="shared" si="411"/>
        <v>0</v>
      </c>
      <c r="C831" s="120" t="str">
        <f t="shared" si="412"/>
        <v/>
      </c>
      <c r="D831" s="137"/>
      <c r="E831" s="150">
        <f>工種!A58</f>
        <v>70199</v>
      </c>
      <c r="F831" s="119" t="str">
        <f>工種!B58</f>
        <v>外部不具合修正：その他</v>
      </c>
      <c r="G831" s="116" t="str">
        <f t="shared" si="413"/>
        <v>070199</v>
      </c>
      <c r="H831" s="88">
        <f t="shared" si="367"/>
        <v>0</v>
      </c>
      <c r="I831" s="132"/>
      <c r="J831" s="88">
        <f>SUMIF(月間集計シート!$M$29:$M$48,$G831,月間集計シート!N$29:N$48)*J$2</f>
        <v>0</v>
      </c>
      <c r="K831" s="88">
        <f>SUMIF(月間集計シート!$M$29:$M$48,$G831,月間集計シート!O$29:O$48)*K$2</f>
        <v>0</v>
      </c>
      <c r="L831" s="88">
        <f>SUMIF(月間集計シート!$M$29:$M$48,$G831,月間集計シート!P$29:P$48)*L$2</f>
        <v>0</v>
      </c>
      <c r="M831" s="88">
        <f>SUMIF(月間集計シート!$M$29:$M$48,$G831,月間集計シート!Q$29:Q$48)*M$2</f>
        <v>0</v>
      </c>
      <c r="N831" s="88">
        <f>SUMIF(月間集計シート!$M$29:$M$48,$G831,月間集計シート!R$29:R$48)*N$2</f>
        <v>0</v>
      </c>
      <c r="O831" s="88">
        <f>SUMIF(月間集計シート!$M$29:$M$48,$G831,月間集計シート!S$29:S$48)*O$2</f>
        <v>0</v>
      </c>
      <c r="P831" s="88">
        <f>SUMIF(月間集計シート!$M$29:$M$48,$G831,月間集計シート!T$29:T$48)*P$2</f>
        <v>0</v>
      </c>
      <c r="Q831" s="88">
        <f>SUMIF(月間集計シート!$M$50:$M$69,$G831,月間集計シート!N$50:N$69)*Q$2</f>
        <v>0</v>
      </c>
      <c r="R831" s="88">
        <f>SUMIF(月間集計シート!$M$50:$M$69,$G831,月間集計シート!O$50:O$69)*R$2</f>
        <v>0</v>
      </c>
      <c r="S831" s="88">
        <f>SUMIF(月間集計シート!$M$50:$M$69,$G831,月間集計シート!P$50:P$69)*S$2</f>
        <v>0</v>
      </c>
      <c r="T831" s="88">
        <f>SUMIF(月間集計シート!$M$50:$M$69,$G831,月間集計シート!Q$50:Q$69)*T$2</f>
        <v>0</v>
      </c>
      <c r="U831" s="88">
        <f>SUMIF(月間集計シート!$M$50:$M$69,$G831,月間集計シート!R$50:R$69)*U$2</f>
        <v>0</v>
      </c>
      <c r="V831" s="88">
        <f>SUMIF(月間集計シート!$M$50:$M$69,$G831,月間集計シート!S$50:S$69)*V$2</f>
        <v>0</v>
      </c>
      <c r="W831" s="88">
        <f>SUMIF(月間集計シート!$M$50:$M$69,$G831,月間集計シート!T$50:T$69)*W$2</f>
        <v>0</v>
      </c>
      <c r="X831" s="88">
        <f>SUMIF(月間集計シート!$M$71:$M$90,$G831,月間集計シート!N$71:N$90)*X$2</f>
        <v>0</v>
      </c>
      <c r="Y831" s="88">
        <f>SUMIF(月間集計シート!$M$71:$M$90,$G831,月間集計シート!O$71:O$90)*Y$2</f>
        <v>0</v>
      </c>
      <c r="Z831" s="88">
        <f>SUMIF(月間集計シート!$M$71:$M$90,$G831,月間集計シート!P$71:P$90)*Z$2</f>
        <v>0</v>
      </c>
      <c r="AA831" s="88">
        <f>SUMIF(月間集計シート!$M$71:$M$90,$G831,月間集計シート!Q$71:Q$90)*AA$2</f>
        <v>0</v>
      </c>
      <c r="AB831" s="88">
        <f>SUMIF(月間集計シート!$M$71:$M$90,$G831,月間集計シート!R$71:R$90)*AB$2</f>
        <v>0</v>
      </c>
      <c r="AC831" s="88">
        <f>SUMIF(月間集計シート!$M$71:$M$90,$G831,月間集計シート!S$71:S$90)*AC$2</f>
        <v>0</v>
      </c>
      <c r="AD831" s="88">
        <f>SUMIF(月間集計シート!$M$71:$M$90,$G831,月間集計シート!T$71:T$90)*AD$2</f>
        <v>0</v>
      </c>
      <c r="AE831" s="88">
        <f>SUMIF(月間集計シート!$M$92:$M$111,$G831,月間集計シート!N$92:N$111)*AE$2</f>
        <v>0</v>
      </c>
      <c r="AF831" s="88">
        <f>SUMIF(月間集計シート!$M$92:$M$111,$G831,月間集計シート!O$92:O$111)*AF$2</f>
        <v>0</v>
      </c>
      <c r="AG831" s="88">
        <f>SUMIF(月間集計シート!$M$92:$M$111,$G831,月間集計シート!P$92:P$111)*AG$2</f>
        <v>0</v>
      </c>
      <c r="AH831" s="88">
        <f>SUMIF(月間集計シート!$M$92:$M$111,$G831,月間集計シート!Q$92:Q$111)*AH$2</f>
        <v>0</v>
      </c>
      <c r="AI831" s="88">
        <f>SUMIF(月間集計シート!$M$92:$M$111,$G831,月間集計シート!R$92:R$111)*AI$2</f>
        <v>0</v>
      </c>
      <c r="AJ831" s="88">
        <f>SUMIF(月間集計シート!$M$92:$M$111,$G831,月間集計シート!S$92:S$111)*AJ$2</f>
        <v>0</v>
      </c>
      <c r="AK831" s="88">
        <f>SUMIF(月間集計シート!$M$92:$M$111,$G831,月間集計シート!T$92:T$111)*AK$2</f>
        <v>0</v>
      </c>
      <c r="AL831" s="88">
        <f>SUMIF(月間集計シート!$M$113:$M$132,$G831,月間集計シート!N$113:N$132)*AL$2</f>
        <v>0</v>
      </c>
      <c r="AM831" s="88">
        <f>SUMIF(月間集計シート!$M$113:$M$132,$G831,月間集計シート!O$113:O$132)*AM$2</f>
        <v>0</v>
      </c>
      <c r="AN831" s="88">
        <f>SUMIF(月間集計シート!$M$113:$M$132,$G831,月間集計シート!P$113:P$132)*AN$2</f>
        <v>0</v>
      </c>
      <c r="AO831" s="88">
        <f>SUMIF(月間集計シート!$M$113:$M$132,$G831,月間集計シート!Q$113:Q$132)*AO$2</f>
        <v>0</v>
      </c>
      <c r="AP831" s="88">
        <f>SUMIF(月間集計シート!$M$113:$M$132,$G831,月間集計シート!R$113:R$132)*AP$2</f>
        <v>0</v>
      </c>
      <c r="AQ831" s="88">
        <f>SUMIF(月間集計シート!$M$113:$M$132,$G831,月間集計シート!S$113:S$132)*AQ$2</f>
        <v>0</v>
      </c>
      <c r="AR831" s="88">
        <f>SUMIF(月間集計シート!$M$113:$M$132,$G831,月間集計シート!T$113:T$132)*AR$2</f>
        <v>0</v>
      </c>
      <c r="AS831" s="88">
        <f>SUMIF(月間集計シート!$M$134:$M$153,$G831,月間集計シート!N$134:N$153)*AS$2</f>
        <v>0</v>
      </c>
      <c r="AT831" s="88">
        <f>SUMIF(月間集計シート!$M$134:$M$153,$G831,月間集計シート!O$134:O$153)*AT$2</f>
        <v>0</v>
      </c>
      <c r="AU831" s="88">
        <f>SUMIF(月間集計シート!$M$134:$M$153,$G831,月間集計シート!P$134:P$153)*AU$2</f>
        <v>0</v>
      </c>
      <c r="AV831" s="88">
        <f>SUMIF(月間集計シート!$M$134:$M$153,$G831,月間集計シート!Q$134:Q$153)*AV$2</f>
        <v>0</v>
      </c>
      <c r="AW831" s="88">
        <f>SUMIF(月間集計シート!$M$134:$M$153,$G831,月間集計シート!R$134:R$153)*AW$2</f>
        <v>0</v>
      </c>
      <c r="AX831" s="88">
        <f>SUMIF(月間集計シート!$M$134:$M$153,$G831,月間集計シート!S$134:S$153)*AX$2</f>
        <v>0</v>
      </c>
      <c r="AY831" s="88">
        <f>SUMIF(月間集計シート!$M$134:$M$153,$G831,月間集計シート!T$134:T$153)*AY$2</f>
        <v>0</v>
      </c>
    </row>
    <row r="832" spans="1:51" ht="14.25" thickBot="1">
      <c r="A832">
        <v>10</v>
      </c>
      <c r="B832" s="120">
        <f t="shared" si="411"/>
        <v>0</v>
      </c>
      <c r="C832" s="120" t="str">
        <f t="shared" si="412"/>
        <v/>
      </c>
      <c r="D832" s="137"/>
      <c r="E832" s="150" t="str">
        <f>工種!A59</f>
        <v>80101</v>
      </c>
      <c r="F832" s="119" t="str">
        <f>工種!B59</f>
        <v>保守／ｻﾎﾟｰﾄ：調査</v>
      </c>
      <c r="G832" s="116" t="str">
        <f t="shared" si="413"/>
        <v>080101</v>
      </c>
      <c r="H832" s="88">
        <f t="shared" si="367"/>
        <v>0</v>
      </c>
      <c r="I832" s="132"/>
      <c r="J832" s="88">
        <f>SUMIF(月間集計シート!$M$29:$M$48,$G832,月間集計シート!N$29:N$48)*J$2</f>
        <v>0</v>
      </c>
      <c r="K832" s="88">
        <f>SUMIF(月間集計シート!$M$29:$M$48,$G832,月間集計シート!O$29:O$48)*K$2</f>
        <v>0</v>
      </c>
      <c r="L832" s="88">
        <f>SUMIF(月間集計シート!$M$29:$M$48,$G832,月間集計シート!P$29:P$48)*L$2</f>
        <v>0</v>
      </c>
      <c r="M832" s="88">
        <f>SUMIF(月間集計シート!$M$29:$M$48,$G832,月間集計シート!Q$29:Q$48)*M$2</f>
        <v>0</v>
      </c>
      <c r="N832" s="88">
        <f>SUMIF(月間集計シート!$M$29:$M$48,$G832,月間集計シート!R$29:R$48)*N$2</f>
        <v>0</v>
      </c>
      <c r="O832" s="88">
        <f>SUMIF(月間集計シート!$M$29:$M$48,$G832,月間集計シート!S$29:S$48)*O$2</f>
        <v>0</v>
      </c>
      <c r="P832" s="88">
        <f>SUMIF(月間集計シート!$M$29:$M$48,$G832,月間集計シート!T$29:T$48)*P$2</f>
        <v>0</v>
      </c>
      <c r="Q832" s="88">
        <f>SUMIF(月間集計シート!$M$50:$M$69,$G832,月間集計シート!N$50:N$69)*Q$2</f>
        <v>0</v>
      </c>
      <c r="R832" s="88">
        <f>SUMIF(月間集計シート!$M$50:$M$69,$G832,月間集計シート!O$50:O$69)*R$2</f>
        <v>0</v>
      </c>
      <c r="S832" s="88">
        <f>SUMIF(月間集計シート!$M$50:$M$69,$G832,月間集計シート!P$50:P$69)*S$2</f>
        <v>0</v>
      </c>
      <c r="T832" s="88">
        <f>SUMIF(月間集計シート!$M$50:$M$69,$G832,月間集計シート!Q$50:Q$69)*T$2</f>
        <v>0</v>
      </c>
      <c r="U832" s="88">
        <f>SUMIF(月間集計シート!$M$50:$M$69,$G832,月間集計シート!R$50:R$69)*U$2</f>
        <v>0</v>
      </c>
      <c r="V832" s="88">
        <f>SUMIF(月間集計シート!$M$50:$M$69,$G832,月間集計シート!S$50:S$69)*V$2</f>
        <v>0</v>
      </c>
      <c r="W832" s="88">
        <f>SUMIF(月間集計シート!$M$50:$M$69,$G832,月間集計シート!T$50:T$69)*W$2</f>
        <v>0</v>
      </c>
      <c r="X832" s="88">
        <f>SUMIF(月間集計シート!$M$71:$M$90,$G832,月間集計シート!N$71:N$90)*X$2</f>
        <v>0</v>
      </c>
      <c r="Y832" s="88">
        <f>SUMIF(月間集計シート!$M$71:$M$90,$G832,月間集計シート!O$71:O$90)*Y$2</f>
        <v>0</v>
      </c>
      <c r="Z832" s="88">
        <f>SUMIF(月間集計シート!$M$71:$M$90,$G832,月間集計シート!P$71:P$90)*Z$2</f>
        <v>0</v>
      </c>
      <c r="AA832" s="88">
        <f>SUMIF(月間集計シート!$M$71:$M$90,$G832,月間集計シート!Q$71:Q$90)*AA$2</f>
        <v>0</v>
      </c>
      <c r="AB832" s="88">
        <f>SUMIF(月間集計シート!$M$71:$M$90,$G832,月間集計シート!R$71:R$90)*AB$2</f>
        <v>0</v>
      </c>
      <c r="AC832" s="88">
        <f>SUMIF(月間集計シート!$M$71:$M$90,$G832,月間集計シート!S$71:S$90)*AC$2</f>
        <v>0</v>
      </c>
      <c r="AD832" s="88">
        <f>SUMIF(月間集計シート!$M$71:$M$90,$G832,月間集計シート!T$71:T$90)*AD$2</f>
        <v>0</v>
      </c>
      <c r="AE832" s="88">
        <f>SUMIF(月間集計シート!$M$92:$M$111,$G832,月間集計シート!N$92:N$111)*AE$2</f>
        <v>0</v>
      </c>
      <c r="AF832" s="88">
        <f>SUMIF(月間集計シート!$M$92:$M$111,$G832,月間集計シート!O$92:O$111)*AF$2</f>
        <v>0</v>
      </c>
      <c r="AG832" s="88">
        <f>SUMIF(月間集計シート!$M$92:$M$111,$G832,月間集計シート!P$92:P$111)*AG$2</f>
        <v>0</v>
      </c>
      <c r="AH832" s="88">
        <f>SUMIF(月間集計シート!$M$92:$M$111,$G832,月間集計シート!Q$92:Q$111)*AH$2</f>
        <v>0</v>
      </c>
      <c r="AI832" s="88">
        <f>SUMIF(月間集計シート!$M$92:$M$111,$G832,月間集計シート!R$92:R$111)*AI$2</f>
        <v>0</v>
      </c>
      <c r="AJ832" s="88">
        <f>SUMIF(月間集計シート!$M$92:$M$111,$G832,月間集計シート!S$92:S$111)*AJ$2</f>
        <v>0</v>
      </c>
      <c r="AK832" s="88">
        <f>SUMIF(月間集計シート!$M$92:$M$111,$G832,月間集計シート!T$92:T$111)*AK$2</f>
        <v>0</v>
      </c>
      <c r="AL832" s="88">
        <f>SUMIF(月間集計シート!$M$113:$M$132,$G832,月間集計シート!N$113:N$132)*AL$2</f>
        <v>0</v>
      </c>
      <c r="AM832" s="88">
        <f>SUMIF(月間集計シート!$M$113:$M$132,$G832,月間集計シート!O$113:O$132)*AM$2</f>
        <v>0</v>
      </c>
      <c r="AN832" s="88">
        <f>SUMIF(月間集計シート!$M$113:$M$132,$G832,月間集計シート!P$113:P$132)*AN$2</f>
        <v>0</v>
      </c>
      <c r="AO832" s="88">
        <f>SUMIF(月間集計シート!$M$113:$M$132,$G832,月間集計シート!Q$113:Q$132)*AO$2</f>
        <v>0</v>
      </c>
      <c r="AP832" s="88">
        <f>SUMIF(月間集計シート!$M$113:$M$132,$G832,月間集計シート!R$113:R$132)*AP$2</f>
        <v>0</v>
      </c>
      <c r="AQ832" s="88">
        <f>SUMIF(月間集計シート!$M$113:$M$132,$G832,月間集計シート!S$113:S$132)*AQ$2</f>
        <v>0</v>
      </c>
      <c r="AR832" s="88">
        <f>SUMIF(月間集計シート!$M$113:$M$132,$G832,月間集計シート!T$113:T$132)*AR$2</f>
        <v>0</v>
      </c>
      <c r="AS832" s="88">
        <f>SUMIF(月間集計シート!$M$134:$M$153,$G832,月間集計シート!N$134:N$153)*AS$2</f>
        <v>0</v>
      </c>
      <c r="AT832" s="88">
        <f>SUMIF(月間集計シート!$M$134:$M$153,$G832,月間集計シート!O$134:O$153)*AT$2</f>
        <v>0</v>
      </c>
      <c r="AU832" s="88">
        <f>SUMIF(月間集計シート!$M$134:$M$153,$G832,月間集計シート!P$134:P$153)*AU$2</f>
        <v>0</v>
      </c>
      <c r="AV832" s="88">
        <f>SUMIF(月間集計シート!$M$134:$M$153,$G832,月間集計シート!Q$134:Q$153)*AV$2</f>
        <v>0</v>
      </c>
      <c r="AW832" s="88">
        <f>SUMIF(月間集計シート!$M$134:$M$153,$G832,月間集計シート!R$134:R$153)*AW$2</f>
        <v>0</v>
      </c>
      <c r="AX832" s="88">
        <f>SUMIF(月間集計シート!$M$134:$M$153,$G832,月間集計シート!S$134:S$153)*AX$2</f>
        <v>0</v>
      </c>
      <c r="AY832" s="88">
        <f>SUMIF(月間集計シート!$M$134:$M$153,$G832,月間集計シート!T$134:T$153)*AY$2</f>
        <v>0</v>
      </c>
    </row>
    <row r="833" spans="1:51" ht="14.25" thickBot="1">
      <c r="A833">
        <v>10</v>
      </c>
      <c r="B833" s="120">
        <f t="shared" si="411"/>
        <v>0</v>
      </c>
      <c r="C833" s="120" t="str">
        <f t="shared" si="412"/>
        <v/>
      </c>
      <c r="D833" s="137"/>
      <c r="E833" s="150" t="str">
        <f>工種!A60</f>
        <v>80102</v>
      </c>
      <c r="F833" s="119" t="str">
        <f>工種!B60</f>
        <v>保守／ｻﾎﾟｰﾄ：社内問い合わせ</v>
      </c>
      <c r="G833" s="116" t="str">
        <f t="shared" si="413"/>
        <v>080102</v>
      </c>
      <c r="H833" s="88">
        <f t="shared" si="367"/>
        <v>0</v>
      </c>
      <c r="I833" s="132"/>
      <c r="J833" s="88">
        <f>SUMIF(月間集計シート!$M$29:$M$48,$G833,月間集計シート!N$29:N$48)*J$2</f>
        <v>0</v>
      </c>
      <c r="K833" s="88">
        <f>SUMIF(月間集計シート!$M$29:$M$48,$G833,月間集計シート!O$29:O$48)*K$2</f>
        <v>0</v>
      </c>
      <c r="L833" s="88">
        <f>SUMIF(月間集計シート!$M$29:$M$48,$G833,月間集計シート!P$29:P$48)*L$2</f>
        <v>0</v>
      </c>
      <c r="M833" s="88">
        <f>SUMIF(月間集計シート!$M$29:$M$48,$G833,月間集計シート!Q$29:Q$48)*M$2</f>
        <v>0</v>
      </c>
      <c r="N833" s="88">
        <f>SUMIF(月間集計シート!$M$29:$M$48,$G833,月間集計シート!R$29:R$48)*N$2</f>
        <v>0</v>
      </c>
      <c r="O833" s="88">
        <f>SUMIF(月間集計シート!$M$29:$M$48,$G833,月間集計シート!S$29:S$48)*O$2</f>
        <v>0</v>
      </c>
      <c r="P833" s="88">
        <f>SUMIF(月間集計シート!$M$29:$M$48,$G833,月間集計シート!T$29:T$48)*P$2</f>
        <v>0</v>
      </c>
      <c r="Q833" s="88">
        <f>SUMIF(月間集計シート!$M$50:$M$69,$G833,月間集計シート!N$50:N$69)*Q$2</f>
        <v>0</v>
      </c>
      <c r="R833" s="88">
        <f>SUMIF(月間集計シート!$M$50:$M$69,$G833,月間集計シート!O$50:O$69)*R$2</f>
        <v>0</v>
      </c>
      <c r="S833" s="88">
        <f>SUMIF(月間集計シート!$M$50:$M$69,$G833,月間集計シート!P$50:P$69)*S$2</f>
        <v>0</v>
      </c>
      <c r="T833" s="88">
        <f>SUMIF(月間集計シート!$M$50:$M$69,$G833,月間集計シート!Q$50:Q$69)*T$2</f>
        <v>0</v>
      </c>
      <c r="U833" s="88">
        <f>SUMIF(月間集計シート!$M$50:$M$69,$G833,月間集計シート!R$50:R$69)*U$2</f>
        <v>0</v>
      </c>
      <c r="V833" s="88">
        <f>SUMIF(月間集計シート!$M$50:$M$69,$G833,月間集計シート!S$50:S$69)*V$2</f>
        <v>0</v>
      </c>
      <c r="W833" s="88">
        <f>SUMIF(月間集計シート!$M$50:$M$69,$G833,月間集計シート!T$50:T$69)*W$2</f>
        <v>0</v>
      </c>
      <c r="X833" s="88">
        <f>SUMIF(月間集計シート!$M$71:$M$90,$G833,月間集計シート!N$71:N$90)*X$2</f>
        <v>0</v>
      </c>
      <c r="Y833" s="88">
        <f>SUMIF(月間集計シート!$M$71:$M$90,$G833,月間集計シート!O$71:O$90)*Y$2</f>
        <v>0</v>
      </c>
      <c r="Z833" s="88">
        <f>SUMIF(月間集計シート!$M$71:$M$90,$G833,月間集計シート!P$71:P$90)*Z$2</f>
        <v>0</v>
      </c>
      <c r="AA833" s="88">
        <f>SUMIF(月間集計シート!$M$71:$M$90,$G833,月間集計シート!Q$71:Q$90)*AA$2</f>
        <v>0</v>
      </c>
      <c r="AB833" s="88">
        <f>SUMIF(月間集計シート!$M$71:$M$90,$G833,月間集計シート!R$71:R$90)*AB$2</f>
        <v>0</v>
      </c>
      <c r="AC833" s="88">
        <f>SUMIF(月間集計シート!$M$71:$M$90,$G833,月間集計シート!S$71:S$90)*AC$2</f>
        <v>0</v>
      </c>
      <c r="AD833" s="88">
        <f>SUMIF(月間集計シート!$M$71:$M$90,$G833,月間集計シート!T$71:T$90)*AD$2</f>
        <v>0</v>
      </c>
      <c r="AE833" s="88">
        <f>SUMIF(月間集計シート!$M$92:$M$111,$G833,月間集計シート!N$92:N$111)*AE$2</f>
        <v>0</v>
      </c>
      <c r="AF833" s="88">
        <f>SUMIF(月間集計シート!$M$92:$M$111,$G833,月間集計シート!O$92:O$111)*AF$2</f>
        <v>0</v>
      </c>
      <c r="AG833" s="88">
        <f>SUMIF(月間集計シート!$M$92:$M$111,$G833,月間集計シート!P$92:P$111)*AG$2</f>
        <v>0</v>
      </c>
      <c r="AH833" s="88">
        <f>SUMIF(月間集計シート!$M$92:$M$111,$G833,月間集計シート!Q$92:Q$111)*AH$2</f>
        <v>0</v>
      </c>
      <c r="AI833" s="88">
        <f>SUMIF(月間集計シート!$M$92:$M$111,$G833,月間集計シート!R$92:R$111)*AI$2</f>
        <v>0</v>
      </c>
      <c r="AJ833" s="88">
        <f>SUMIF(月間集計シート!$M$92:$M$111,$G833,月間集計シート!S$92:S$111)*AJ$2</f>
        <v>0</v>
      </c>
      <c r="AK833" s="88">
        <f>SUMIF(月間集計シート!$M$92:$M$111,$G833,月間集計シート!T$92:T$111)*AK$2</f>
        <v>0</v>
      </c>
      <c r="AL833" s="88">
        <f>SUMIF(月間集計シート!$M$113:$M$132,$G833,月間集計シート!N$113:N$132)*AL$2</f>
        <v>0</v>
      </c>
      <c r="AM833" s="88">
        <f>SUMIF(月間集計シート!$M$113:$M$132,$G833,月間集計シート!O$113:O$132)*AM$2</f>
        <v>0</v>
      </c>
      <c r="AN833" s="88">
        <f>SUMIF(月間集計シート!$M$113:$M$132,$G833,月間集計シート!P$113:P$132)*AN$2</f>
        <v>0</v>
      </c>
      <c r="AO833" s="88">
        <f>SUMIF(月間集計シート!$M$113:$M$132,$G833,月間集計シート!Q$113:Q$132)*AO$2</f>
        <v>0</v>
      </c>
      <c r="AP833" s="88">
        <f>SUMIF(月間集計シート!$M$113:$M$132,$G833,月間集計シート!R$113:R$132)*AP$2</f>
        <v>0</v>
      </c>
      <c r="AQ833" s="88">
        <f>SUMIF(月間集計シート!$M$113:$M$132,$G833,月間集計シート!S$113:S$132)*AQ$2</f>
        <v>0</v>
      </c>
      <c r="AR833" s="88">
        <f>SUMIF(月間集計シート!$M$113:$M$132,$G833,月間集計シート!T$113:T$132)*AR$2</f>
        <v>0</v>
      </c>
      <c r="AS833" s="88">
        <f>SUMIF(月間集計シート!$M$134:$M$153,$G833,月間集計シート!N$134:N$153)*AS$2</f>
        <v>0</v>
      </c>
      <c r="AT833" s="88">
        <f>SUMIF(月間集計シート!$M$134:$M$153,$G833,月間集計シート!O$134:O$153)*AT$2</f>
        <v>0</v>
      </c>
      <c r="AU833" s="88">
        <f>SUMIF(月間集計シート!$M$134:$M$153,$G833,月間集計シート!P$134:P$153)*AU$2</f>
        <v>0</v>
      </c>
      <c r="AV833" s="88">
        <f>SUMIF(月間集計シート!$M$134:$M$153,$G833,月間集計シート!Q$134:Q$153)*AV$2</f>
        <v>0</v>
      </c>
      <c r="AW833" s="88">
        <f>SUMIF(月間集計シート!$M$134:$M$153,$G833,月間集計シート!R$134:R$153)*AW$2</f>
        <v>0</v>
      </c>
      <c r="AX833" s="88">
        <f>SUMIF(月間集計シート!$M$134:$M$153,$G833,月間集計シート!S$134:S$153)*AX$2</f>
        <v>0</v>
      </c>
      <c r="AY833" s="88">
        <f>SUMIF(月間集計シート!$M$134:$M$153,$G833,月間集計シート!T$134:T$153)*AY$2</f>
        <v>0</v>
      </c>
    </row>
    <row r="834" spans="1:51" ht="14.25" thickBot="1">
      <c r="A834">
        <v>10</v>
      </c>
      <c r="B834" s="120">
        <f t="shared" si="411"/>
        <v>0</v>
      </c>
      <c r="C834" s="120" t="str">
        <f t="shared" si="412"/>
        <v/>
      </c>
      <c r="D834" s="137"/>
      <c r="E834" s="150" t="str">
        <f>工種!A61</f>
        <v>80103</v>
      </c>
      <c r="F834" s="119" t="str">
        <f>工種!B61</f>
        <v>保守／ｻﾎﾟｰﾄ：支社・他部門支援</v>
      </c>
      <c r="G834" s="116" t="str">
        <f t="shared" si="413"/>
        <v>080103</v>
      </c>
      <c r="H834" s="88">
        <f t="shared" si="367"/>
        <v>0</v>
      </c>
      <c r="I834" s="132"/>
      <c r="J834" s="88">
        <f>SUMIF(月間集計シート!$M$29:$M$48,$G834,月間集計シート!N$29:N$48)*J$2</f>
        <v>0</v>
      </c>
      <c r="K834" s="88">
        <f>SUMIF(月間集計シート!$M$29:$M$48,$G834,月間集計シート!O$29:O$48)*K$2</f>
        <v>0</v>
      </c>
      <c r="L834" s="88">
        <f>SUMIF(月間集計シート!$M$29:$M$48,$G834,月間集計シート!P$29:P$48)*L$2</f>
        <v>0</v>
      </c>
      <c r="M834" s="88">
        <f>SUMIF(月間集計シート!$M$29:$M$48,$G834,月間集計シート!Q$29:Q$48)*M$2</f>
        <v>0</v>
      </c>
      <c r="N834" s="88">
        <f>SUMIF(月間集計シート!$M$29:$M$48,$G834,月間集計シート!R$29:R$48)*N$2</f>
        <v>0</v>
      </c>
      <c r="O834" s="88">
        <f>SUMIF(月間集計シート!$M$29:$M$48,$G834,月間集計シート!S$29:S$48)*O$2</f>
        <v>0</v>
      </c>
      <c r="P834" s="88">
        <f>SUMIF(月間集計シート!$M$29:$M$48,$G834,月間集計シート!T$29:T$48)*P$2</f>
        <v>0</v>
      </c>
      <c r="Q834" s="88">
        <f>SUMIF(月間集計シート!$M$50:$M$69,$G834,月間集計シート!N$50:N$69)*Q$2</f>
        <v>0</v>
      </c>
      <c r="R834" s="88">
        <f>SUMIF(月間集計シート!$M$50:$M$69,$G834,月間集計シート!O$50:O$69)*R$2</f>
        <v>0</v>
      </c>
      <c r="S834" s="88">
        <f>SUMIF(月間集計シート!$M$50:$M$69,$G834,月間集計シート!P$50:P$69)*S$2</f>
        <v>0</v>
      </c>
      <c r="T834" s="88">
        <f>SUMIF(月間集計シート!$M$50:$M$69,$G834,月間集計シート!Q$50:Q$69)*T$2</f>
        <v>0</v>
      </c>
      <c r="U834" s="88">
        <f>SUMIF(月間集計シート!$M$50:$M$69,$G834,月間集計シート!R$50:R$69)*U$2</f>
        <v>0</v>
      </c>
      <c r="V834" s="88">
        <f>SUMIF(月間集計シート!$M$50:$M$69,$G834,月間集計シート!S$50:S$69)*V$2</f>
        <v>0</v>
      </c>
      <c r="W834" s="88">
        <f>SUMIF(月間集計シート!$M$50:$M$69,$G834,月間集計シート!T$50:T$69)*W$2</f>
        <v>0</v>
      </c>
      <c r="X834" s="88">
        <f>SUMIF(月間集計シート!$M$71:$M$90,$G834,月間集計シート!N$71:N$90)*X$2</f>
        <v>0</v>
      </c>
      <c r="Y834" s="88">
        <f>SUMIF(月間集計シート!$M$71:$M$90,$G834,月間集計シート!O$71:O$90)*Y$2</f>
        <v>0</v>
      </c>
      <c r="Z834" s="88">
        <f>SUMIF(月間集計シート!$M$71:$M$90,$G834,月間集計シート!P$71:P$90)*Z$2</f>
        <v>0</v>
      </c>
      <c r="AA834" s="88">
        <f>SUMIF(月間集計シート!$M$71:$M$90,$G834,月間集計シート!Q$71:Q$90)*AA$2</f>
        <v>0</v>
      </c>
      <c r="AB834" s="88">
        <f>SUMIF(月間集計シート!$M$71:$M$90,$G834,月間集計シート!R$71:R$90)*AB$2</f>
        <v>0</v>
      </c>
      <c r="AC834" s="88">
        <f>SUMIF(月間集計シート!$M$71:$M$90,$G834,月間集計シート!S$71:S$90)*AC$2</f>
        <v>0</v>
      </c>
      <c r="AD834" s="88">
        <f>SUMIF(月間集計シート!$M$71:$M$90,$G834,月間集計シート!T$71:T$90)*AD$2</f>
        <v>0</v>
      </c>
      <c r="AE834" s="88">
        <f>SUMIF(月間集計シート!$M$92:$M$111,$G834,月間集計シート!N$92:N$111)*AE$2</f>
        <v>0</v>
      </c>
      <c r="AF834" s="88">
        <f>SUMIF(月間集計シート!$M$92:$M$111,$G834,月間集計シート!O$92:O$111)*AF$2</f>
        <v>0</v>
      </c>
      <c r="AG834" s="88">
        <f>SUMIF(月間集計シート!$M$92:$M$111,$G834,月間集計シート!P$92:P$111)*AG$2</f>
        <v>0</v>
      </c>
      <c r="AH834" s="88">
        <f>SUMIF(月間集計シート!$M$92:$M$111,$G834,月間集計シート!Q$92:Q$111)*AH$2</f>
        <v>0</v>
      </c>
      <c r="AI834" s="88">
        <f>SUMIF(月間集計シート!$M$92:$M$111,$G834,月間集計シート!R$92:R$111)*AI$2</f>
        <v>0</v>
      </c>
      <c r="AJ834" s="88">
        <f>SUMIF(月間集計シート!$M$92:$M$111,$G834,月間集計シート!S$92:S$111)*AJ$2</f>
        <v>0</v>
      </c>
      <c r="AK834" s="88">
        <f>SUMIF(月間集計シート!$M$92:$M$111,$G834,月間集計シート!T$92:T$111)*AK$2</f>
        <v>0</v>
      </c>
      <c r="AL834" s="88">
        <f>SUMIF(月間集計シート!$M$113:$M$132,$G834,月間集計シート!N$113:N$132)*AL$2</f>
        <v>0</v>
      </c>
      <c r="AM834" s="88">
        <f>SUMIF(月間集計シート!$M$113:$M$132,$G834,月間集計シート!O$113:O$132)*AM$2</f>
        <v>0</v>
      </c>
      <c r="AN834" s="88">
        <f>SUMIF(月間集計シート!$M$113:$M$132,$G834,月間集計シート!P$113:P$132)*AN$2</f>
        <v>0</v>
      </c>
      <c r="AO834" s="88">
        <f>SUMIF(月間集計シート!$M$113:$M$132,$G834,月間集計シート!Q$113:Q$132)*AO$2</f>
        <v>0</v>
      </c>
      <c r="AP834" s="88">
        <f>SUMIF(月間集計シート!$M$113:$M$132,$G834,月間集計シート!R$113:R$132)*AP$2</f>
        <v>0</v>
      </c>
      <c r="AQ834" s="88">
        <f>SUMIF(月間集計シート!$M$113:$M$132,$G834,月間集計シート!S$113:S$132)*AQ$2</f>
        <v>0</v>
      </c>
      <c r="AR834" s="88">
        <f>SUMIF(月間集計シート!$M$113:$M$132,$G834,月間集計シート!T$113:T$132)*AR$2</f>
        <v>0</v>
      </c>
      <c r="AS834" s="88">
        <f>SUMIF(月間集計シート!$M$134:$M$153,$G834,月間集計シート!N$134:N$153)*AS$2</f>
        <v>0</v>
      </c>
      <c r="AT834" s="88">
        <f>SUMIF(月間集計シート!$M$134:$M$153,$G834,月間集計シート!O$134:O$153)*AT$2</f>
        <v>0</v>
      </c>
      <c r="AU834" s="88">
        <f>SUMIF(月間集計シート!$M$134:$M$153,$G834,月間集計シート!P$134:P$153)*AU$2</f>
        <v>0</v>
      </c>
      <c r="AV834" s="88">
        <f>SUMIF(月間集計シート!$M$134:$M$153,$G834,月間集計シート!Q$134:Q$153)*AV$2</f>
        <v>0</v>
      </c>
      <c r="AW834" s="88">
        <f>SUMIF(月間集計シート!$M$134:$M$153,$G834,月間集計シート!R$134:R$153)*AW$2</f>
        <v>0</v>
      </c>
      <c r="AX834" s="88">
        <f>SUMIF(月間集計シート!$M$134:$M$153,$G834,月間集計シート!S$134:S$153)*AX$2</f>
        <v>0</v>
      </c>
      <c r="AY834" s="88">
        <f>SUMIF(月間集計シート!$M$134:$M$153,$G834,月間集計シート!T$134:T$153)*AY$2</f>
        <v>0</v>
      </c>
    </row>
    <row r="835" spans="1:51" ht="14.25" thickBot="1">
      <c r="A835">
        <v>10</v>
      </c>
      <c r="B835" s="120">
        <f t="shared" si="411"/>
        <v>0</v>
      </c>
      <c r="C835" s="120" t="str">
        <f t="shared" si="412"/>
        <v/>
      </c>
      <c r="D835" s="137"/>
      <c r="E835" s="150" t="str">
        <f>工種!A62</f>
        <v>80104</v>
      </c>
      <c r="F835" s="119" t="str">
        <f>工種!B62</f>
        <v>保守／ｻﾎﾟｰﾄ：連絡文書作成・更新</v>
      </c>
      <c r="G835" s="116" t="str">
        <f t="shared" si="413"/>
        <v>080104</v>
      </c>
      <c r="H835" s="88">
        <f t="shared" si="367"/>
        <v>0</v>
      </c>
      <c r="I835" s="132"/>
      <c r="J835" s="88">
        <f>SUMIF(月間集計シート!$M$29:$M$48,$G835,月間集計シート!N$29:N$48)*J$2</f>
        <v>0</v>
      </c>
      <c r="K835" s="88">
        <f>SUMIF(月間集計シート!$M$29:$M$48,$G835,月間集計シート!O$29:O$48)*K$2</f>
        <v>0</v>
      </c>
      <c r="L835" s="88">
        <f>SUMIF(月間集計シート!$M$29:$M$48,$G835,月間集計シート!P$29:P$48)*L$2</f>
        <v>0</v>
      </c>
      <c r="M835" s="88">
        <f>SUMIF(月間集計シート!$M$29:$M$48,$G835,月間集計シート!Q$29:Q$48)*M$2</f>
        <v>0</v>
      </c>
      <c r="N835" s="88">
        <f>SUMIF(月間集計シート!$M$29:$M$48,$G835,月間集計シート!R$29:R$48)*N$2</f>
        <v>0</v>
      </c>
      <c r="O835" s="88">
        <f>SUMIF(月間集計シート!$M$29:$M$48,$G835,月間集計シート!S$29:S$48)*O$2</f>
        <v>0</v>
      </c>
      <c r="P835" s="88">
        <f>SUMIF(月間集計シート!$M$29:$M$48,$G835,月間集計シート!T$29:T$48)*P$2</f>
        <v>0</v>
      </c>
      <c r="Q835" s="88">
        <f>SUMIF(月間集計シート!$M$50:$M$69,$G835,月間集計シート!N$50:N$69)*Q$2</f>
        <v>0</v>
      </c>
      <c r="R835" s="88">
        <f>SUMIF(月間集計シート!$M$50:$M$69,$G835,月間集計シート!O$50:O$69)*R$2</f>
        <v>0</v>
      </c>
      <c r="S835" s="88">
        <f>SUMIF(月間集計シート!$M$50:$M$69,$G835,月間集計シート!P$50:P$69)*S$2</f>
        <v>0</v>
      </c>
      <c r="T835" s="88">
        <f>SUMIF(月間集計シート!$M$50:$M$69,$G835,月間集計シート!Q$50:Q$69)*T$2</f>
        <v>0</v>
      </c>
      <c r="U835" s="88">
        <f>SUMIF(月間集計シート!$M$50:$M$69,$G835,月間集計シート!R$50:R$69)*U$2</f>
        <v>0</v>
      </c>
      <c r="V835" s="88">
        <f>SUMIF(月間集計シート!$M$50:$M$69,$G835,月間集計シート!S$50:S$69)*V$2</f>
        <v>0</v>
      </c>
      <c r="W835" s="88">
        <f>SUMIF(月間集計シート!$M$50:$M$69,$G835,月間集計シート!T$50:T$69)*W$2</f>
        <v>0</v>
      </c>
      <c r="X835" s="88">
        <f>SUMIF(月間集計シート!$M$71:$M$90,$G835,月間集計シート!N$71:N$90)*X$2</f>
        <v>0</v>
      </c>
      <c r="Y835" s="88">
        <f>SUMIF(月間集計シート!$M$71:$M$90,$G835,月間集計シート!O$71:O$90)*Y$2</f>
        <v>0</v>
      </c>
      <c r="Z835" s="88">
        <f>SUMIF(月間集計シート!$M$71:$M$90,$G835,月間集計シート!P$71:P$90)*Z$2</f>
        <v>0</v>
      </c>
      <c r="AA835" s="88">
        <f>SUMIF(月間集計シート!$M$71:$M$90,$G835,月間集計シート!Q$71:Q$90)*AA$2</f>
        <v>0</v>
      </c>
      <c r="AB835" s="88">
        <f>SUMIF(月間集計シート!$M$71:$M$90,$G835,月間集計シート!R$71:R$90)*AB$2</f>
        <v>0</v>
      </c>
      <c r="AC835" s="88">
        <f>SUMIF(月間集計シート!$M$71:$M$90,$G835,月間集計シート!S$71:S$90)*AC$2</f>
        <v>0</v>
      </c>
      <c r="AD835" s="88">
        <f>SUMIF(月間集計シート!$M$71:$M$90,$G835,月間集計シート!T$71:T$90)*AD$2</f>
        <v>0</v>
      </c>
      <c r="AE835" s="88">
        <f>SUMIF(月間集計シート!$M$92:$M$111,$G835,月間集計シート!N$92:N$111)*AE$2</f>
        <v>0</v>
      </c>
      <c r="AF835" s="88">
        <f>SUMIF(月間集計シート!$M$92:$M$111,$G835,月間集計シート!O$92:O$111)*AF$2</f>
        <v>0</v>
      </c>
      <c r="AG835" s="88">
        <f>SUMIF(月間集計シート!$M$92:$M$111,$G835,月間集計シート!P$92:P$111)*AG$2</f>
        <v>0</v>
      </c>
      <c r="AH835" s="88">
        <f>SUMIF(月間集計シート!$M$92:$M$111,$G835,月間集計シート!Q$92:Q$111)*AH$2</f>
        <v>0</v>
      </c>
      <c r="AI835" s="88">
        <f>SUMIF(月間集計シート!$M$92:$M$111,$G835,月間集計シート!R$92:R$111)*AI$2</f>
        <v>0</v>
      </c>
      <c r="AJ835" s="88">
        <f>SUMIF(月間集計シート!$M$92:$M$111,$G835,月間集計シート!S$92:S$111)*AJ$2</f>
        <v>0</v>
      </c>
      <c r="AK835" s="88">
        <f>SUMIF(月間集計シート!$M$92:$M$111,$G835,月間集計シート!T$92:T$111)*AK$2</f>
        <v>0</v>
      </c>
      <c r="AL835" s="88">
        <f>SUMIF(月間集計シート!$M$113:$M$132,$G835,月間集計シート!N$113:N$132)*AL$2</f>
        <v>0</v>
      </c>
      <c r="AM835" s="88">
        <f>SUMIF(月間集計シート!$M$113:$M$132,$G835,月間集計シート!O$113:O$132)*AM$2</f>
        <v>0</v>
      </c>
      <c r="AN835" s="88">
        <f>SUMIF(月間集計シート!$M$113:$M$132,$G835,月間集計シート!P$113:P$132)*AN$2</f>
        <v>0</v>
      </c>
      <c r="AO835" s="88">
        <f>SUMIF(月間集計シート!$M$113:$M$132,$G835,月間集計シート!Q$113:Q$132)*AO$2</f>
        <v>0</v>
      </c>
      <c r="AP835" s="88">
        <f>SUMIF(月間集計シート!$M$113:$M$132,$G835,月間集計シート!R$113:R$132)*AP$2</f>
        <v>0</v>
      </c>
      <c r="AQ835" s="88">
        <f>SUMIF(月間集計シート!$M$113:$M$132,$G835,月間集計シート!S$113:S$132)*AQ$2</f>
        <v>0</v>
      </c>
      <c r="AR835" s="88">
        <f>SUMIF(月間集計シート!$M$113:$M$132,$G835,月間集計シート!T$113:T$132)*AR$2</f>
        <v>0</v>
      </c>
      <c r="AS835" s="88">
        <f>SUMIF(月間集計シート!$M$134:$M$153,$G835,月間集計シート!N$134:N$153)*AS$2</f>
        <v>0</v>
      </c>
      <c r="AT835" s="88">
        <f>SUMIF(月間集計シート!$M$134:$M$153,$G835,月間集計シート!O$134:O$153)*AT$2</f>
        <v>0</v>
      </c>
      <c r="AU835" s="88">
        <f>SUMIF(月間集計シート!$M$134:$M$153,$G835,月間集計シート!P$134:P$153)*AU$2</f>
        <v>0</v>
      </c>
      <c r="AV835" s="88">
        <f>SUMIF(月間集計シート!$M$134:$M$153,$G835,月間集計シート!Q$134:Q$153)*AV$2</f>
        <v>0</v>
      </c>
      <c r="AW835" s="88">
        <f>SUMIF(月間集計シート!$M$134:$M$153,$G835,月間集計シート!R$134:R$153)*AW$2</f>
        <v>0</v>
      </c>
      <c r="AX835" s="88">
        <f>SUMIF(月間集計シート!$M$134:$M$153,$G835,月間集計シート!S$134:S$153)*AX$2</f>
        <v>0</v>
      </c>
      <c r="AY835" s="88">
        <f>SUMIF(月間集計シート!$M$134:$M$153,$G835,月間集計シート!T$134:T$153)*AY$2</f>
        <v>0</v>
      </c>
    </row>
    <row r="836" spans="1:51" ht="14.25" thickBot="1">
      <c r="A836">
        <v>10</v>
      </c>
      <c r="B836" s="120">
        <f t="shared" si="411"/>
        <v>0</v>
      </c>
      <c r="C836" s="120" t="str">
        <f t="shared" si="412"/>
        <v/>
      </c>
      <c r="D836" s="137"/>
      <c r="E836" s="150" t="str">
        <f>工種!A63</f>
        <v>80105</v>
      </c>
      <c r="F836" s="119" t="str">
        <f>工種!B63</f>
        <v>保守／ｻﾎﾟｰﾄ：ｲﾝﾄﾗ資料更新</v>
      </c>
      <c r="G836" s="116" t="str">
        <f t="shared" ref="G836:G853" si="414">B836&amp;E836</f>
        <v>080105</v>
      </c>
      <c r="H836" s="88">
        <f t="shared" ref="H836:H837" si="415">SUM(J836:AY836)</f>
        <v>0</v>
      </c>
      <c r="I836" s="132"/>
      <c r="J836" s="88">
        <f>SUMIF(月間集計シート!$M$29:$M$48,$G836,月間集計シート!N$29:N$48)*J$2</f>
        <v>0</v>
      </c>
      <c r="K836" s="88">
        <f>SUMIF(月間集計シート!$M$29:$M$48,$G836,月間集計シート!O$29:O$48)*K$2</f>
        <v>0</v>
      </c>
      <c r="L836" s="88">
        <f>SUMIF(月間集計シート!$M$29:$M$48,$G836,月間集計シート!P$29:P$48)*L$2</f>
        <v>0</v>
      </c>
      <c r="M836" s="88">
        <f>SUMIF(月間集計シート!$M$29:$M$48,$G836,月間集計シート!Q$29:Q$48)*M$2</f>
        <v>0</v>
      </c>
      <c r="N836" s="88">
        <f>SUMIF(月間集計シート!$M$29:$M$48,$G836,月間集計シート!R$29:R$48)*N$2</f>
        <v>0</v>
      </c>
      <c r="O836" s="88">
        <f>SUMIF(月間集計シート!$M$29:$M$48,$G836,月間集計シート!S$29:S$48)*O$2</f>
        <v>0</v>
      </c>
      <c r="P836" s="88">
        <f>SUMIF(月間集計シート!$M$29:$M$48,$G836,月間集計シート!T$29:T$48)*P$2</f>
        <v>0</v>
      </c>
      <c r="Q836" s="88">
        <f>SUMIF(月間集計シート!$M$50:$M$69,$G836,月間集計シート!N$50:N$69)*Q$2</f>
        <v>0</v>
      </c>
      <c r="R836" s="88">
        <f>SUMIF(月間集計シート!$M$50:$M$69,$G836,月間集計シート!O$50:O$69)*R$2</f>
        <v>0</v>
      </c>
      <c r="S836" s="88">
        <f>SUMIF(月間集計シート!$M$50:$M$69,$G836,月間集計シート!P$50:P$69)*S$2</f>
        <v>0</v>
      </c>
      <c r="T836" s="88">
        <f>SUMIF(月間集計シート!$M$50:$M$69,$G836,月間集計シート!Q$50:Q$69)*T$2</f>
        <v>0</v>
      </c>
      <c r="U836" s="88">
        <f>SUMIF(月間集計シート!$M$50:$M$69,$G836,月間集計シート!R$50:R$69)*U$2</f>
        <v>0</v>
      </c>
      <c r="V836" s="88">
        <f>SUMIF(月間集計シート!$M$50:$M$69,$G836,月間集計シート!S$50:S$69)*V$2</f>
        <v>0</v>
      </c>
      <c r="W836" s="88">
        <f>SUMIF(月間集計シート!$M$50:$M$69,$G836,月間集計シート!T$50:T$69)*W$2</f>
        <v>0</v>
      </c>
      <c r="X836" s="88">
        <f>SUMIF(月間集計シート!$M$71:$M$90,$G836,月間集計シート!N$71:N$90)*X$2</f>
        <v>0</v>
      </c>
      <c r="Y836" s="88">
        <f>SUMIF(月間集計シート!$M$71:$M$90,$G836,月間集計シート!O$71:O$90)*Y$2</f>
        <v>0</v>
      </c>
      <c r="Z836" s="88">
        <f>SUMIF(月間集計シート!$M$71:$M$90,$G836,月間集計シート!P$71:P$90)*Z$2</f>
        <v>0</v>
      </c>
      <c r="AA836" s="88">
        <f>SUMIF(月間集計シート!$M$71:$M$90,$G836,月間集計シート!Q$71:Q$90)*AA$2</f>
        <v>0</v>
      </c>
      <c r="AB836" s="88">
        <f>SUMIF(月間集計シート!$M$71:$M$90,$G836,月間集計シート!R$71:R$90)*AB$2</f>
        <v>0</v>
      </c>
      <c r="AC836" s="88">
        <f>SUMIF(月間集計シート!$M$71:$M$90,$G836,月間集計シート!S$71:S$90)*AC$2</f>
        <v>0</v>
      </c>
      <c r="AD836" s="88">
        <f>SUMIF(月間集計シート!$M$71:$M$90,$G836,月間集計シート!T$71:T$90)*AD$2</f>
        <v>0</v>
      </c>
      <c r="AE836" s="88">
        <f>SUMIF(月間集計シート!$M$92:$M$111,$G836,月間集計シート!N$92:N$111)*AE$2</f>
        <v>0</v>
      </c>
      <c r="AF836" s="88">
        <f>SUMIF(月間集計シート!$M$92:$M$111,$G836,月間集計シート!O$92:O$111)*AF$2</f>
        <v>0</v>
      </c>
      <c r="AG836" s="88">
        <f>SUMIF(月間集計シート!$M$92:$M$111,$G836,月間集計シート!P$92:P$111)*AG$2</f>
        <v>0</v>
      </c>
      <c r="AH836" s="88">
        <f>SUMIF(月間集計シート!$M$92:$M$111,$G836,月間集計シート!Q$92:Q$111)*AH$2</f>
        <v>0</v>
      </c>
      <c r="AI836" s="88">
        <f>SUMIF(月間集計シート!$M$92:$M$111,$G836,月間集計シート!R$92:R$111)*AI$2</f>
        <v>0</v>
      </c>
      <c r="AJ836" s="88">
        <f>SUMIF(月間集計シート!$M$92:$M$111,$G836,月間集計シート!S$92:S$111)*AJ$2</f>
        <v>0</v>
      </c>
      <c r="AK836" s="88">
        <f>SUMIF(月間集計シート!$M$92:$M$111,$G836,月間集計シート!T$92:T$111)*AK$2</f>
        <v>0</v>
      </c>
      <c r="AL836" s="88">
        <f>SUMIF(月間集計シート!$M$113:$M$132,$G836,月間集計シート!N$113:N$132)*AL$2</f>
        <v>0</v>
      </c>
      <c r="AM836" s="88">
        <f>SUMIF(月間集計シート!$M$113:$M$132,$G836,月間集計シート!O$113:O$132)*AM$2</f>
        <v>0</v>
      </c>
      <c r="AN836" s="88">
        <f>SUMIF(月間集計シート!$M$113:$M$132,$G836,月間集計シート!P$113:P$132)*AN$2</f>
        <v>0</v>
      </c>
      <c r="AO836" s="88">
        <f>SUMIF(月間集計シート!$M$113:$M$132,$G836,月間集計シート!Q$113:Q$132)*AO$2</f>
        <v>0</v>
      </c>
      <c r="AP836" s="88">
        <f>SUMIF(月間集計シート!$M$113:$M$132,$G836,月間集計シート!R$113:R$132)*AP$2</f>
        <v>0</v>
      </c>
      <c r="AQ836" s="88">
        <f>SUMIF(月間集計シート!$M$113:$M$132,$G836,月間集計シート!S$113:S$132)*AQ$2</f>
        <v>0</v>
      </c>
      <c r="AR836" s="88">
        <f>SUMIF(月間集計シート!$M$113:$M$132,$G836,月間集計シート!T$113:T$132)*AR$2</f>
        <v>0</v>
      </c>
      <c r="AS836" s="88">
        <f>SUMIF(月間集計シート!$M$134:$M$153,$G836,月間集計シート!N$134:N$153)*AS$2</f>
        <v>0</v>
      </c>
      <c r="AT836" s="88">
        <f>SUMIF(月間集計シート!$M$134:$M$153,$G836,月間集計シート!O$134:O$153)*AT$2</f>
        <v>0</v>
      </c>
      <c r="AU836" s="88">
        <f>SUMIF(月間集計シート!$M$134:$M$153,$G836,月間集計シート!P$134:P$153)*AU$2</f>
        <v>0</v>
      </c>
      <c r="AV836" s="88">
        <f>SUMIF(月間集計シート!$M$134:$M$153,$G836,月間集計シート!Q$134:Q$153)*AV$2</f>
        <v>0</v>
      </c>
      <c r="AW836" s="88">
        <f>SUMIF(月間集計シート!$M$134:$M$153,$G836,月間集計シート!R$134:R$153)*AW$2</f>
        <v>0</v>
      </c>
      <c r="AX836" s="88">
        <f>SUMIF(月間集計シート!$M$134:$M$153,$G836,月間集計シート!S$134:S$153)*AX$2</f>
        <v>0</v>
      </c>
      <c r="AY836" s="88">
        <f>SUMIF(月間集計シート!$M$134:$M$153,$G836,月間集計シート!T$134:T$153)*AY$2</f>
        <v>0</v>
      </c>
    </row>
    <row r="837" spans="1:51" ht="14.25" thickBot="1">
      <c r="A837">
        <v>10</v>
      </c>
      <c r="B837" s="120">
        <f t="shared" si="411"/>
        <v>0</v>
      </c>
      <c r="C837" s="120" t="str">
        <f t="shared" si="412"/>
        <v/>
      </c>
      <c r="D837" s="137"/>
      <c r="E837" s="150" t="str">
        <f>工種!A64</f>
        <v>80106</v>
      </c>
      <c r="F837" s="119" t="str">
        <f>工種!B64</f>
        <v>保守／ｻﾎﾟｰﾄ：打合せ</v>
      </c>
      <c r="G837" s="116" t="str">
        <f t="shared" si="414"/>
        <v>080106</v>
      </c>
      <c r="H837" s="88">
        <f t="shared" si="415"/>
        <v>0</v>
      </c>
      <c r="I837" s="132"/>
      <c r="J837" s="88">
        <f>SUMIF(月間集計シート!$M$29:$M$48,$G837,月間集計シート!N$29:N$48)*J$2</f>
        <v>0</v>
      </c>
      <c r="K837" s="88">
        <f>SUMIF(月間集計シート!$M$29:$M$48,$G837,月間集計シート!O$29:O$48)*K$2</f>
        <v>0</v>
      </c>
      <c r="L837" s="88">
        <f>SUMIF(月間集計シート!$M$29:$M$48,$G837,月間集計シート!P$29:P$48)*L$2</f>
        <v>0</v>
      </c>
      <c r="M837" s="88">
        <f>SUMIF(月間集計シート!$M$29:$M$48,$G837,月間集計シート!Q$29:Q$48)*M$2</f>
        <v>0</v>
      </c>
      <c r="N837" s="88">
        <f>SUMIF(月間集計シート!$M$29:$M$48,$G837,月間集計シート!R$29:R$48)*N$2</f>
        <v>0</v>
      </c>
      <c r="O837" s="88">
        <f>SUMIF(月間集計シート!$M$29:$M$48,$G837,月間集計シート!S$29:S$48)*O$2</f>
        <v>0</v>
      </c>
      <c r="P837" s="88">
        <f>SUMIF(月間集計シート!$M$29:$M$48,$G837,月間集計シート!T$29:T$48)*P$2</f>
        <v>0</v>
      </c>
      <c r="Q837" s="88">
        <f>SUMIF(月間集計シート!$M$50:$M$69,$G837,月間集計シート!N$50:N$69)*Q$2</f>
        <v>0</v>
      </c>
      <c r="R837" s="88">
        <f>SUMIF(月間集計シート!$M$50:$M$69,$G837,月間集計シート!O$50:O$69)*R$2</f>
        <v>0</v>
      </c>
      <c r="S837" s="88">
        <f>SUMIF(月間集計シート!$M$50:$M$69,$G837,月間集計シート!P$50:P$69)*S$2</f>
        <v>0</v>
      </c>
      <c r="T837" s="88">
        <f>SUMIF(月間集計シート!$M$50:$M$69,$G837,月間集計シート!Q$50:Q$69)*T$2</f>
        <v>0</v>
      </c>
      <c r="U837" s="88">
        <f>SUMIF(月間集計シート!$M$50:$M$69,$G837,月間集計シート!R$50:R$69)*U$2</f>
        <v>0</v>
      </c>
      <c r="V837" s="88">
        <f>SUMIF(月間集計シート!$M$50:$M$69,$G837,月間集計シート!S$50:S$69)*V$2</f>
        <v>0</v>
      </c>
      <c r="W837" s="88">
        <f>SUMIF(月間集計シート!$M$50:$M$69,$G837,月間集計シート!T$50:T$69)*W$2</f>
        <v>0</v>
      </c>
      <c r="X837" s="88">
        <f>SUMIF(月間集計シート!$M$71:$M$90,$G837,月間集計シート!N$71:N$90)*X$2</f>
        <v>0</v>
      </c>
      <c r="Y837" s="88">
        <f>SUMIF(月間集計シート!$M$71:$M$90,$G837,月間集計シート!O$71:O$90)*Y$2</f>
        <v>0</v>
      </c>
      <c r="Z837" s="88">
        <f>SUMIF(月間集計シート!$M$71:$M$90,$G837,月間集計シート!P$71:P$90)*Z$2</f>
        <v>0</v>
      </c>
      <c r="AA837" s="88">
        <f>SUMIF(月間集計シート!$M$71:$M$90,$G837,月間集計シート!Q$71:Q$90)*AA$2</f>
        <v>0</v>
      </c>
      <c r="AB837" s="88">
        <f>SUMIF(月間集計シート!$M$71:$M$90,$G837,月間集計シート!R$71:R$90)*AB$2</f>
        <v>0</v>
      </c>
      <c r="AC837" s="88">
        <f>SUMIF(月間集計シート!$M$71:$M$90,$G837,月間集計シート!S$71:S$90)*AC$2</f>
        <v>0</v>
      </c>
      <c r="AD837" s="88">
        <f>SUMIF(月間集計シート!$M$71:$M$90,$G837,月間集計シート!T$71:T$90)*AD$2</f>
        <v>0</v>
      </c>
      <c r="AE837" s="88">
        <f>SUMIF(月間集計シート!$M$92:$M$111,$G837,月間集計シート!N$92:N$111)*AE$2</f>
        <v>0</v>
      </c>
      <c r="AF837" s="88">
        <f>SUMIF(月間集計シート!$M$92:$M$111,$G837,月間集計シート!O$92:O$111)*AF$2</f>
        <v>0</v>
      </c>
      <c r="AG837" s="88">
        <f>SUMIF(月間集計シート!$M$92:$M$111,$G837,月間集計シート!P$92:P$111)*AG$2</f>
        <v>0</v>
      </c>
      <c r="AH837" s="88">
        <f>SUMIF(月間集計シート!$M$92:$M$111,$G837,月間集計シート!Q$92:Q$111)*AH$2</f>
        <v>0</v>
      </c>
      <c r="AI837" s="88">
        <f>SUMIF(月間集計シート!$M$92:$M$111,$G837,月間集計シート!R$92:R$111)*AI$2</f>
        <v>0</v>
      </c>
      <c r="AJ837" s="88">
        <f>SUMIF(月間集計シート!$M$92:$M$111,$G837,月間集計シート!S$92:S$111)*AJ$2</f>
        <v>0</v>
      </c>
      <c r="AK837" s="88">
        <f>SUMIF(月間集計シート!$M$92:$M$111,$G837,月間集計シート!T$92:T$111)*AK$2</f>
        <v>0</v>
      </c>
      <c r="AL837" s="88">
        <f>SUMIF(月間集計シート!$M$113:$M$132,$G837,月間集計シート!N$113:N$132)*AL$2</f>
        <v>0</v>
      </c>
      <c r="AM837" s="88">
        <f>SUMIF(月間集計シート!$M$113:$M$132,$G837,月間集計シート!O$113:O$132)*AM$2</f>
        <v>0</v>
      </c>
      <c r="AN837" s="88">
        <f>SUMIF(月間集計シート!$M$113:$M$132,$G837,月間集計シート!P$113:P$132)*AN$2</f>
        <v>0</v>
      </c>
      <c r="AO837" s="88">
        <f>SUMIF(月間集計シート!$M$113:$M$132,$G837,月間集計シート!Q$113:Q$132)*AO$2</f>
        <v>0</v>
      </c>
      <c r="AP837" s="88">
        <f>SUMIF(月間集計シート!$M$113:$M$132,$G837,月間集計シート!R$113:R$132)*AP$2</f>
        <v>0</v>
      </c>
      <c r="AQ837" s="88">
        <f>SUMIF(月間集計シート!$M$113:$M$132,$G837,月間集計シート!S$113:S$132)*AQ$2</f>
        <v>0</v>
      </c>
      <c r="AR837" s="88">
        <f>SUMIF(月間集計シート!$M$113:$M$132,$G837,月間集計シート!T$113:T$132)*AR$2</f>
        <v>0</v>
      </c>
      <c r="AS837" s="88">
        <f>SUMIF(月間集計シート!$M$134:$M$153,$G837,月間集計シート!N$134:N$153)*AS$2</f>
        <v>0</v>
      </c>
      <c r="AT837" s="88">
        <f>SUMIF(月間集計シート!$M$134:$M$153,$G837,月間集計シート!O$134:O$153)*AT$2</f>
        <v>0</v>
      </c>
      <c r="AU837" s="88">
        <f>SUMIF(月間集計シート!$M$134:$M$153,$G837,月間集計シート!P$134:P$153)*AU$2</f>
        <v>0</v>
      </c>
      <c r="AV837" s="88">
        <f>SUMIF(月間集計シート!$M$134:$M$153,$G837,月間集計シート!Q$134:Q$153)*AV$2</f>
        <v>0</v>
      </c>
      <c r="AW837" s="88">
        <f>SUMIF(月間集計シート!$M$134:$M$153,$G837,月間集計シート!R$134:R$153)*AW$2</f>
        <v>0</v>
      </c>
      <c r="AX837" s="88">
        <f>SUMIF(月間集計シート!$M$134:$M$153,$G837,月間集計シート!S$134:S$153)*AX$2</f>
        <v>0</v>
      </c>
      <c r="AY837" s="88">
        <f>SUMIF(月間集計シート!$M$134:$M$153,$G837,月間集計シート!T$134:T$153)*AY$2</f>
        <v>0</v>
      </c>
    </row>
    <row r="838" spans="1:51" ht="14.25" thickBot="1">
      <c r="A838">
        <v>10</v>
      </c>
      <c r="B838" s="120">
        <f t="shared" si="411"/>
        <v>0</v>
      </c>
      <c r="C838" s="120" t="str">
        <f t="shared" si="412"/>
        <v/>
      </c>
      <c r="D838" s="137"/>
      <c r="E838" s="150" t="str">
        <f>工種!A65</f>
        <v>80107</v>
      </c>
      <c r="F838" s="119" t="str">
        <f>工種!B65</f>
        <v>保守／ｻﾎﾟｰﾄ：ﾚﾋﾞｭｰ</v>
      </c>
      <c r="G838" s="116" t="str">
        <f t="shared" si="414"/>
        <v>080107</v>
      </c>
      <c r="H838" s="88">
        <f t="shared" ref="H838:H853" si="416">SUM(J838:AY838)</f>
        <v>0</v>
      </c>
      <c r="I838" s="132"/>
      <c r="J838" s="88">
        <f>SUMIF(月間集計シート!$M$29:$M$48,$G838,月間集計シート!N$29:N$48)*J$2</f>
        <v>0</v>
      </c>
      <c r="K838" s="88">
        <f>SUMIF(月間集計シート!$M$29:$M$48,$G838,月間集計シート!O$29:O$48)*K$2</f>
        <v>0</v>
      </c>
      <c r="L838" s="88">
        <f>SUMIF(月間集計シート!$M$29:$M$48,$G838,月間集計シート!P$29:P$48)*L$2</f>
        <v>0</v>
      </c>
      <c r="M838" s="88">
        <f>SUMIF(月間集計シート!$M$29:$M$48,$G838,月間集計シート!Q$29:Q$48)*M$2</f>
        <v>0</v>
      </c>
      <c r="N838" s="88">
        <f>SUMIF(月間集計シート!$M$29:$M$48,$G838,月間集計シート!R$29:R$48)*N$2</f>
        <v>0</v>
      </c>
      <c r="O838" s="88">
        <f>SUMIF(月間集計シート!$M$29:$M$48,$G838,月間集計シート!S$29:S$48)*O$2</f>
        <v>0</v>
      </c>
      <c r="P838" s="88">
        <f>SUMIF(月間集計シート!$M$29:$M$48,$G838,月間集計シート!T$29:T$48)*P$2</f>
        <v>0</v>
      </c>
      <c r="Q838" s="88">
        <f>SUMIF(月間集計シート!$M$50:$M$69,$G838,月間集計シート!N$50:N$69)*Q$2</f>
        <v>0</v>
      </c>
      <c r="R838" s="88">
        <f>SUMIF(月間集計シート!$M$50:$M$69,$G838,月間集計シート!O$50:O$69)*R$2</f>
        <v>0</v>
      </c>
      <c r="S838" s="88">
        <f>SUMIF(月間集計シート!$M$50:$M$69,$G838,月間集計シート!P$50:P$69)*S$2</f>
        <v>0</v>
      </c>
      <c r="T838" s="88">
        <f>SUMIF(月間集計シート!$M$50:$M$69,$G838,月間集計シート!Q$50:Q$69)*T$2</f>
        <v>0</v>
      </c>
      <c r="U838" s="88">
        <f>SUMIF(月間集計シート!$M$50:$M$69,$G838,月間集計シート!R$50:R$69)*U$2</f>
        <v>0</v>
      </c>
      <c r="V838" s="88">
        <f>SUMIF(月間集計シート!$M$50:$M$69,$G838,月間集計シート!S$50:S$69)*V$2</f>
        <v>0</v>
      </c>
      <c r="W838" s="88">
        <f>SUMIF(月間集計シート!$M$50:$M$69,$G838,月間集計シート!T$50:T$69)*W$2</f>
        <v>0</v>
      </c>
      <c r="X838" s="88">
        <f>SUMIF(月間集計シート!$M$71:$M$90,$G838,月間集計シート!N$71:N$90)*X$2</f>
        <v>0</v>
      </c>
      <c r="Y838" s="88">
        <f>SUMIF(月間集計シート!$M$71:$M$90,$G838,月間集計シート!O$71:O$90)*Y$2</f>
        <v>0</v>
      </c>
      <c r="Z838" s="88">
        <f>SUMIF(月間集計シート!$M$71:$M$90,$G838,月間集計シート!P$71:P$90)*Z$2</f>
        <v>0</v>
      </c>
      <c r="AA838" s="88">
        <f>SUMIF(月間集計シート!$M$71:$M$90,$G838,月間集計シート!Q$71:Q$90)*AA$2</f>
        <v>0</v>
      </c>
      <c r="AB838" s="88">
        <f>SUMIF(月間集計シート!$M$71:$M$90,$G838,月間集計シート!R$71:R$90)*AB$2</f>
        <v>0</v>
      </c>
      <c r="AC838" s="88">
        <f>SUMIF(月間集計シート!$M$71:$M$90,$G838,月間集計シート!S$71:S$90)*AC$2</f>
        <v>0</v>
      </c>
      <c r="AD838" s="88">
        <f>SUMIF(月間集計シート!$M$71:$M$90,$G838,月間集計シート!T$71:T$90)*AD$2</f>
        <v>0</v>
      </c>
      <c r="AE838" s="88">
        <f>SUMIF(月間集計シート!$M$92:$M$111,$G838,月間集計シート!N$92:N$111)*AE$2</f>
        <v>0</v>
      </c>
      <c r="AF838" s="88">
        <f>SUMIF(月間集計シート!$M$92:$M$111,$G838,月間集計シート!O$92:O$111)*AF$2</f>
        <v>0</v>
      </c>
      <c r="AG838" s="88">
        <f>SUMIF(月間集計シート!$M$92:$M$111,$G838,月間集計シート!P$92:P$111)*AG$2</f>
        <v>0</v>
      </c>
      <c r="AH838" s="88">
        <f>SUMIF(月間集計シート!$M$92:$M$111,$G838,月間集計シート!Q$92:Q$111)*AH$2</f>
        <v>0</v>
      </c>
      <c r="AI838" s="88">
        <f>SUMIF(月間集計シート!$M$92:$M$111,$G838,月間集計シート!R$92:R$111)*AI$2</f>
        <v>0</v>
      </c>
      <c r="AJ838" s="88">
        <f>SUMIF(月間集計シート!$M$92:$M$111,$G838,月間集計シート!S$92:S$111)*AJ$2</f>
        <v>0</v>
      </c>
      <c r="AK838" s="88">
        <f>SUMIF(月間集計シート!$M$92:$M$111,$G838,月間集計シート!T$92:T$111)*AK$2</f>
        <v>0</v>
      </c>
      <c r="AL838" s="88">
        <f>SUMIF(月間集計シート!$M$113:$M$132,$G838,月間集計シート!N$113:N$132)*AL$2</f>
        <v>0</v>
      </c>
      <c r="AM838" s="88">
        <f>SUMIF(月間集計シート!$M$113:$M$132,$G838,月間集計シート!O$113:O$132)*AM$2</f>
        <v>0</v>
      </c>
      <c r="AN838" s="88">
        <f>SUMIF(月間集計シート!$M$113:$M$132,$G838,月間集計シート!P$113:P$132)*AN$2</f>
        <v>0</v>
      </c>
      <c r="AO838" s="88">
        <f>SUMIF(月間集計シート!$M$113:$M$132,$G838,月間集計シート!Q$113:Q$132)*AO$2</f>
        <v>0</v>
      </c>
      <c r="AP838" s="88">
        <f>SUMIF(月間集計シート!$M$113:$M$132,$G838,月間集計シート!R$113:R$132)*AP$2</f>
        <v>0</v>
      </c>
      <c r="AQ838" s="88">
        <f>SUMIF(月間集計シート!$M$113:$M$132,$G838,月間集計シート!S$113:S$132)*AQ$2</f>
        <v>0</v>
      </c>
      <c r="AR838" s="88">
        <f>SUMIF(月間集計シート!$M$113:$M$132,$G838,月間集計シート!T$113:T$132)*AR$2</f>
        <v>0</v>
      </c>
      <c r="AS838" s="88">
        <f>SUMIF(月間集計シート!$M$134:$M$153,$G838,月間集計シート!N$134:N$153)*AS$2</f>
        <v>0</v>
      </c>
      <c r="AT838" s="88">
        <f>SUMIF(月間集計シート!$M$134:$M$153,$G838,月間集計シート!O$134:O$153)*AT$2</f>
        <v>0</v>
      </c>
      <c r="AU838" s="88">
        <f>SUMIF(月間集計シート!$M$134:$M$153,$G838,月間集計シート!P$134:P$153)*AU$2</f>
        <v>0</v>
      </c>
      <c r="AV838" s="88">
        <f>SUMIF(月間集計シート!$M$134:$M$153,$G838,月間集計シート!Q$134:Q$153)*AV$2</f>
        <v>0</v>
      </c>
      <c r="AW838" s="88">
        <f>SUMIF(月間集計シート!$M$134:$M$153,$G838,月間集計シート!R$134:R$153)*AW$2</f>
        <v>0</v>
      </c>
      <c r="AX838" s="88">
        <f>SUMIF(月間集計シート!$M$134:$M$153,$G838,月間集計シート!S$134:S$153)*AX$2</f>
        <v>0</v>
      </c>
      <c r="AY838" s="88">
        <f>SUMIF(月間集計シート!$M$134:$M$153,$G838,月間集計シート!T$134:T$153)*AY$2</f>
        <v>0</v>
      </c>
    </row>
    <row r="839" spans="1:51" ht="14.25" thickBot="1">
      <c r="A839">
        <v>10</v>
      </c>
      <c r="B839" s="120">
        <f t="shared" si="411"/>
        <v>0</v>
      </c>
      <c r="C839" s="120" t="str">
        <f t="shared" si="412"/>
        <v/>
      </c>
      <c r="D839" s="137"/>
      <c r="E839" s="150" t="str">
        <f>工種!A66</f>
        <v>80199</v>
      </c>
      <c r="F839" s="119" t="str">
        <f>工種!B66</f>
        <v>保守／ｻﾎﾟｰﾄ：その他</v>
      </c>
      <c r="G839" s="116" t="str">
        <f t="shared" si="414"/>
        <v>080199</v>
      </c>
      <c r="H839" s="88">
        <f t="shared" si="416"/>
        <v>0</v>
      </c>
      <c r="I839" s="132"/>
      <c r="J839" s="88">
        <f>SUMIF(月間集計シート!$M$29:$M$48,$G839,月間集計シート!N$29:N$48)*J$2</f>
        <v>0</v>
      </c>
      <c r="K839" s="88">
        <f>SUMIF(月間集計シート!$M$29:$M$48,$G839,月間集計シート!O$29:O$48)*K$2</f>
        <v>0</v>
      </c>
      <c r="L839" s="88">
        <f>SUMIF(月間集計シート!$M$29:$M$48,$G839,月間集計シート!P$29:P$48)*L$2</f>
        <v>0</v>
      </c>
      <c r="M839" s="88">
        <f>SUMIF(月間集計シート!$M$29:$M$48,$G839,月間集計シート!Q$29:Q$48)*M$2</f>
        <v>0</v>
      </c>
      <c r="N839" s="88">
        <f>SUMIF(月間集計シート!$M$29:$M$48,$G839,月間集計シート!R$29:R$48)*N$2</f>
        <v>0</v>
      </c>
      <c r="O839" s="88">
        <f>SUMIF(月間集計シート!$M$29:$M$48,$G839,月間集計シート!S$29:S$48)*O$2</f>
        <v>0</v>
      </c>
      <c r="P839" s="88">
        <f>SUMIF(月間集計シート!$M$29:$M$48,$G839,月間集計シート!T$29:T$48)*P$2</f>
        <v>0</v>
      </c>
      <c r="Q839" s="88">
        <f>SUMIF(月間集計シート!$M$50:$M$69,$G839,月間集計シート!N$50:N$69)*Q$2</f>
        <v>0</v>
      </c>
      <c r="R839" s="88">
        <f>SUMIF(月間集計シート!$M$50:$M$69,$G839,月間集計シート!O$50:O$69)*R$2</f>
        <v>0</v>
      </c>
      <c r="S839" s="88">
        <f>SUMIF(月間集計シート!$M$50:$M$69,$G839,月間集計シート!P$50:P$69)*S$2</f>
        <v>0</v>
      </c>
      <c r="T839" s="88">
        <f>SUMIF(月間集計シート!$M$50:$M$69,$G839,月間集計シート!Q$50:Q$69)*T$2</f>
        <v>0</v>
      </c>
      <c r="U839" s="88">
        <f>SUMIF(月間集計シート!$M$50:$M$69,$G839,月間集計シート!R$50:R$69)*U$2</f>
        <v>0</v>
      </c>
      <c r="V839" s="88">
        <f>SUMIF(月間集計シート!$M$50:$M$69,$G839,月間集計シート!S$50:S$69)*V$2</f>
        <v>0</v>
      </c>
      <c r="W839" s="88">
        <f>SUMIF(月間集計シート!$M$50:$M$69,$G839,月間集計シート!T$50:T$69)*W$2</f>
        <v>0</v>
      </c>
      <c r="X839" s="88">
        <f>SUMIF(月間集計シート!$M$71:$M$90,$G839,月間集計シート!N$71:N$90)*X$2</f>
        <v>0</v>
      </c>
      <c r="Y839" s="88">
        <f>SUMIF(月間集計シート!$M$71:$M$90,$G839,月間集計シート!O$71:O$90)*Y$2</f>
        <v>0</v>
      </c>
      <c r="Z839" s="88">
        <f>SUMIF(月間集計シート!$M$71:$M$90,$G839,月間集計シート!P$71:P$90)*Z$2</f>
        <v>0</v>
      </c>
      <c r="AA839" s="88">
        <f>SUMIF(月間集計シート!$M$71:$M$90,$G839,月間集計シート!Q$71:Q$90)*AA$2</f>
        <v>0</v>
      </c>
      <c r="AB839" s="88">
        <f>SUMIF(月間集計シート!$M$71:$M$90,$G839,月間集計シート!R$71:R$90)*AB$2</f>
        <v>0</v>
      </c>
      <c r="AC839" s="88">
        <f>SUMIF(月間集計シート!$M$71:$M$90,$G839,月間集計シート!S$71:S$90)*AC$2</f>
        <v>0</v>
      </c>
      <c r="AD839" s="88">
        <f>SUMIF(月間集計シート!$M$71:$M$90,$G839,月間集計シート!T$71:T$90)*AD$2</f>
        <v>0</v>
      </c>
      <c r="AE839" s="88">
        <f>SUMIF(月間集計シート!$M$92:$M$111,$G839,月間集計シート!N$92:N$111)*AE$2</f>
        <v>0</v>
      </c>
      <c r="AF839" s="88">
        <f>SUMIF(月間集計シート!$M$92:$M$111,$G839,月間集計シート!O$92:O$111)*AF$2</f>
        <v>0</v>
      </c>
      <c r="AG839" s="88">
        <f>SUMIF(月間集計シート!$M$92:$M$111,$G839,月間集計シート!P$92:P$111)*AG$2</f>
        <v>0</v>
      </c>
      <c r="AH839" s="88">
        <f>SUMIF(月間集計シート!$M$92:$M$111,$G839,月間集計シート!Q$92:Q$111)*AH$2</f>
        <v>0</v>
      </c>
      <c r="AI839" s="88">
        <f>SUMIF(月間集計シート!$M$92:$M$111,$G839,月間集計シート!R$92:R$111)*AI$2</f>
        <v>0</v>
      </c>
      <c r="AJ839" s="88">
        <f>SUMIF(月間集計シート!$M$92:$M$111,$G839,月間集計シート!S$92:S$111)*AJ$2</f>
        <v>0</v>
      </c>
      <c r="AK839" s="88">
        <f>SUMIF(月間集計シート!$M$92:$M$111,$G839,月間集計シート!T$92:T$111)*AK$2</f>
        <v>0</v>
      </c>
      <c r="AL839" s="88">
        <f>SUMIF(月間集計シート!$M$113:$M$132,$G839,月間集計シート!N$113:N$132)*AL$2</f>
        <v>0</v>
      </c>
      <c r="AM839" s="88">
        <f>SUMIF(月間集計シート!$M$113:$M$132,$G839,月間集計シート!O$113:O$132)*AM$2</f>
        <v>0</v>
      </c>
      <c r="AN839" s="88">
        <f>SUMIF(月間集計シート!$M$113:$M$132,$G839,月間集計シート!P$113:P$132)*AN$2</f>
        <v>0</v>
      </c>
      <c r="AO839" s="88">
        <f>SUMIF(月間集計シート!$M$113:$M$132,$G839,月間集計シート!Q$113:Q$132)*AO$2</f>
        <v>0</v>
      </c>
      <c r="AP839" s="88">
        <f>SUMIF(月間集計シート!$M$113:$M$132,$G839,月間集計シート!R$113:R$132)*AP$2</f>
        <v>0</v>
      </c>
      <c r="AQ839" s="88">
        <f>SUMIF(月間集計シート!$M$113:$M$132,$G839,月間集計シート!S$113:S$132)*AQ$2</f>
        <v>0</v>
      </c>
      <c r="AR839" s="88">
        <f>SUMIF(月間集計シート!$M$113:$M$132,$G839,月間集計シート!T$113:T$132)*AR$2</f>
        <v>0</v>
      </c>
      <c r="AS839" s="88">
        <f>SUMIF(月間集計シート!$M$134:$M$153,$G839,月間集計シート!N$134:N$153)*AS$2</f>
        <v>0</v>
      </c>
      <c r="AT839" s="88">
        <f>SUMIF(月間集計シート!$M$134:$M$153,$G839,月間集計シート!O$134:O$153)*AT$2</f>
        <v>0</v>
      </c>
      <c r="AU839" s="88">
        <f>SUMIF(月間集計シート!$M$134:$M$153,$G839,月間集計シート!P$134:P$153)*AU$2</f>
        <v>0</v>
      </c>
      <c r="AV839" s="88">
        <f>SUMIF(月間集計シート!$M$134:$M$153,$G839,月間集計シート!Q$134:Q$153)*AV$2</f>
        <v>0</v>
      </c>
      <c r="AW839" s="88">
        <f>SUMIF(月間集計シート!$M$134:$M$153,$G839,月間集計シート!R$134:R$153)*AW$2</f>
        <v>0</v>
      </c>
      <c r="AX839" s="88">
        <f>SUMIF(月間集計シート!$M$134:$M$153,$G839,月間集計シート!S$134:S$153)*AX$2</f>
        <v>0</v>
      </c>
      <c r="AY839" s="88">
        <f>SUMIF(月間集計シート!$M$134:$M$153,$G839,月間集計シート!T$134:T$153)*AY$2</f>
        <v>0</v>
      </c>
    </row>
    <row r="840" spans="1:51" ht="14.25" thickBot="1">
      <c r="A840">
        <v>10</v>
      </c>
      <c r="B840" s="120">
        <f t="shared" ref="B840:C856" si="417">B839</f>
        <v>0</v>
      </c>
      <c r="C840" s="120" t="str">
        <f t="shared" si="417"/>
        <v/>
      </c>
      <c r="D840" s="137"/>
      <c r="E840" s="150" t="str">
        <f>工種!A67</f>
        <v>90101</v>
      </c>
      <c r="F840" s="119" t="str">
        <f>工種!B67</f>
        <v>管理業務：ﾌﾟﾛｼﾞｪｸﾄ管理</v>
      </c>
      <c r="G840" s="116" t="str">
        <f t="shared" si="414"/>
        <v>090101</v>
      </c>
      <c r="H840" s="88">
        <f t="shared" si="416"/>
        <v>0</v>
      </c>
      <c r="I840" s="132"/>
      <c r="J840" s="88">
        <f>SUMIF(月間集計シート!$M$29:$M$48,$G840,月間集計シート!N$29:N$48)*J$2</f>
        <v>0</v>
      </c>
      <c r="K840" s="88">
        <f>SUMIF(月間集計シート!$M$29:$M$48,$G840,月間集計シート!O$29:O$48)*K$2</f>
        <v>0</v>
      </c>
      <c r="L840" s="88">
        <f>SUMIF(月間集計シート!$M$29:$M$48,$G840,月間集計シート!P$29:P$48)*L$2</f>
        <v>0</v>
      </c>
      <c r="M840" s="88">
        <f>SUMIF(月間集計シート!$M$29:$M$48,$G840,月間集計シート!Q$29:Q$48)*M$2</f>
        <v>0</v>
      </c>
      <c r="N840" s="88">
        <f>SUMIF(月間集計シート!$M$29:$M$48,$G840,月間集計シート!R$29:R$48)*N$2</f>
        <v>0</v>
      </c>
      <c r="O840" s="88">
        <f>SUMIF(月間集計シート!$M$29:$M$48,$G840,月間集計シート!S$29:S$48)*O$2</f>
        <v>0</v>
      </c>
      <c r="P840" s="88">
        <f>SUMIF(月間集計シート!$M$29:$M$48,$G840,月間集計シート!T$29:T$48)*P$2</f>
        <v>0</v>
      </c>
      <c r="Q840" s="88">
        <f>SUMIF(月間集計シート!$M$50:$M$69,$G840,月間集計シート!N$50:N$69)*Q$2</f>
        <v>0</v>
      </c>
      <c r="R840" s="88">
        <f>SUMIF(月間集計シート!$M$50:$M$69,$G840,月間集計シート!O$50:O$69)*R$2</f>
        <v>0</v>
      </c>
      <c r="S840" s="88">
        <f>SUMIF(月間集計シート!$M$50:$M$69,$G840,月間集計シート!P$50:P$69)*S$2</f>
        <v>0</v>
      </c>
      <c r="T840" s="88">
        <f>SUMIF(月間集計シート!$M$50:$M$69,$G840,月間集計シート!Q$50:Q$69)*T$2</f>
        <v>0</v>
      </c>
      <c r="U840" s="88">
        <f>SUMIF(月間集計シート!$M$50:$M$69,$G840,月間集計シート!R$50:R$69)*U$2</f>
        <v>0</v>
      </c>
      <c r="V840" s="88">
        <f>SUMIF(月間集計シート!$M$50:$M$69,$G840,月間集計シート!S$50:S$69)*V$2</f>
        <v>0</v>
      </c>
      <c r="W840" s="88">
        <f>SUMIF(月間集計シート!$M$50:$M$69,$G840,月間集計シート!T$50:T$69)*W$2</f>
        <v>0</v>
      </c>
      <c r="X840" s="88">
        <f>SUMIF(月間集計シート!$M$71:$M$90,$G840,月間集計シート!N$71:N$90)*X$2</f>
        <v>0</v>
      </c>
      <c r="Y840" s="88">
        <f>SUMIF(月間集計シート!$M$71:$M$90,$G840,月間集計シート!O$71:O$90)*Y$2</f>
        <v>0</v>
      </c>
      <c r="Z840" s="88">
        <f>SUMIF(月間集計シート!$M$71:$M$90,$G840,月間集計シート!P$71:P$90)*Z$2</f>
        <v>0</v>
      </c>
      <c r="AA840" s="88">
        <f>SUMIF(月間集計シート!$M$71:$M$90,$G840,月間集計シート!Q$71:Q$90)*AA$2</f>
        <v>0</v>
      </c>
      <c r="AB840" s="88">
        <f>SUMIF(月間集計シート!$M$71:$M$90,$G840,月間集計シート!R$71:R$90)*AB$2</f>
        <v>0</v>
      </c>
      <c r="AC840" s="88">
        <f>SUMIF(月間集計シート!$M$71:$M$90,$G840,月間集計シート!S$71:S$90)*AC$2</f>
        <v>0</v>
      </c>
      <c r="AD840" s="88">
        <f>SUMIF(月間集計シート!$M$71:$M$90,$G840,月間集計シート!T$71:T$90)*AD$2</f>
        <v>0</v>
      </c>
      <c r="AE840" s="88">
        <f>SUMIF(月間集計シート!$M$92:$M$111,$G840,月間集計シート!N$92:N$111)*AE$2</f>
        <v>0</v>
      </c>
      <c r="AF840" s="88">
        <f>SUMIF(月間集計シート!$M$92:$M$111,$G840,月間集計シート!O$92:O$111)*AF$2</f>
        <v>0</v>
      </c>
      <c r="AG840" s="88">
        <f>SUMIF(月間集計シート!$M$92:$M$111,$G840,月間集計シート!P$92:P$111)*AG$2</f>
        <v>0</v>
      </c>
      <c r="AH840" s="88">
        <f>SUMIF(月間集計シート!$M$92:$M$111,$G840,月間集計シート!Q$92:Q$111)*AH$2</f>
        <v>0</v>
      </c>
      <c r="AI840" s="88">
        <f>SUMIF(月間集計シート!$M$92:$M$111,$G840,月間集計シート!R$92:R$111)*AI$2</f>
        <v>0</v>
      </c>
      <c r="AJ840" s="88">
        <f>SUMIF(月間集計シート!$M$92:$M$111,$G840,月間集計シート!S$92:S$111)*AJ$2</f>
        <v>0</v>
      </c>
      <c r="AK840" s="88">
        <f>SUMIF(月間集計シート!$M$92:$M$111,$G840,月間集計シート!T$92:T$111)*AK$2</f>
        <v>0</v>
      </c>
      <c r="AL840" s="88">
        <f>SUMIF(月間集計シート!$M$113:$M$132,$G840,月間集計シート!N$113:N$132)*AL$2</f>
        <v>0</v>
      </c>
      <c r="AM840" s="88">
        <f>SUMIF(月間集計シート!$M$113:$M$132,$G840,月間集計シート!O$113:O$132)*AM$2</f>
        <v>0</v>
      </c>
      <c r="AN840" s="88">
        <f>SUMIF(月間集計シート!$M$113:$M$132,$G840,月間集計シート!P$113:P$132)*AN$2</f>
        <v>0</v>
      </c>
      <c r="AO840" s="88">
        <f>SUMIF(月間集計シート!$M$113:$M$132,$G840,月間集計シート!Q$113:Q$132)*AO$2</f>
        <v>0</v>
      </c>
      <c r="AP840" s="88">
        <f>SUMIF(月間集計シート!$M$113:$M$132,$G840,月間集計シート!R$113:R$132)*AP$2</f>
        <v>0</v>
      </c>
      <c r="AQ840" s="88">
        <f>SUMIF(月間集計シート!$M$113:$M$132,$G840,月間集計シート!S$113:S$132)*AQ$2</f>
        <v>0</v>
      </c>
      <c r="AR840" s="88">
        <f>SUMIF(月間集計シート!$M$113:$M$132,$G840,月間集計シート!T$113:T$132)*AR$2</f>
        <v>0</v>
      </c>
      <c r="AS840" s="88">
        <f>SUMIF(月間集計シート!$M$134:$M$153,$G840,月間集計シート!N$134:N$153)*AS$2</f>
        <v>0</v>
      </c>
      <c r="AT840" s="88">
        <f>SUMIF(月間集計シート!$M$134:$M$153,$G840,月間集計シート!O$134:O$153)*AT$2</f>
        <v>0</v>
      </c>
      <c r="AU840" s="88">
        <f>SUMIF(月間集計シート!$M$134:$M$153,$G840,月間集計シート!P$134:P$153)*AU$2</f>
        <v>0</v>
      </c>
      <c r="AV840" s="88">
        <f>SUMIF(月間集計シート!$M$134:$M$153,$G840,月間集計シート!Q$134:Q$153)*AV$2</f>
        <v>0</v>
      </c>
      <c r="AW840" s="88">
        <f>SUMIF(月間集計シート!$M$134:$M$153,$G840,月間集計シート!R$134:R$153)*AW$2</f>
        <v>0</v>
      </c>
      <c r="AX840" s="88">
        <f>SUMIF(月間集計シート!$M$134:$M$153,$G840,月間集計シート!S$134:S$153)*AX$2</f>
        <v>0</v>
      </c>
      <c r="AY840" s="88">
        <f>SUMIF(月間集計シート!$M$134:$M$153,$G840,月間集計シート!T$134:T$153)*AY$2</f>
        <v>0</v>
      </c>
    </row>
    <row r="841" spans="1:51" ht="14.25" thickBot="1">
      <c r="A841">
        <v>10</v>
      </c>
      <c r="B841" s="120">
        <f t="shared" si="417"/>
        <v>0</v>
      </c>
      <c r="C841" s="120" t="str">
        <f t="shared" si="417"/>
        <v/>
      </c>
      <c r="D841" s="137"/>
      <c r="E841" s="150" t="str">
        <f>工種!A68</f>
        <v>90102</v>
      </c>
      <c r="F841" s="119" t="str">
        <f>工種!B68</f>
        <v>管理業務：開発環境管理</v>
      </c>
      <c r="G841" s="116" t="str">
        <f t="shared" si="414"/>
        <v>090102</v>
      </c>
      <c r="H841" s="88">
        <f t="shared" si="416"/>
        <v>0</v>
      </c>
      <c r="I841" s="132"/>
      <c r="J841" s="88">
        <f>SUMIF(月間集計シート!$M$29:$M$48,$G841,月間集計シート!N$29:N$48)*J$2</f>
        <v>0</v>
      </c>
      <c r="K841" s="88">
        <f>SUMIF(月間集計シート!$M$29:$M$48,$G841,月間集計シート!O$29:O$48)*K$2</f>
        <v>0</v>
      </c>
      <c r="L841" s="88">
        <f>SUMIF(月間集計シート!$M$29:$M$48,$G841,月間集計シート!P$29:P$48)*L$2</f>
        <v>0</v>
      </c>
      <c r="M841" s="88">
        <f>SUMIF(月間集計シート!$M$29:$M$48,$G841,月間集計シート!Q$29:Q$48)*M$2</f>
        <v>0</v>
      </c>
      <c r="N841" s="88">
        <f>SUMIF(月間集計シート!$M$29:$M$48,$G841,月間集計シート!R$29:R$48)*N$2</f>
        <v>0</v>
      </c>
      <c r="O841" s="88">
        <f>SUMIF(月間集計シート!$M$29:$M$48,$G841,月間集計シート!S$29:S$48)*O$2</f>
        <v>0</v>
      </c>
      <c r="P841" s="88">
        <f>SUMIF(月間集計シート!$M$29:$M$48,$G841,月間集計シート!T$29:T$48)*P$2</f>
        <v>0</v>
      </c>
      <c r="Q841" s="88">
        <f>SUMIF(月間集計シート!$M$50:$M$69,$G841,月間集計シート!N$50:N$69)*Q$2</f>
        <v>0</v>
      </c>
      <c r="R841" s="88">
        <f>SUMIF(月間集計シート!$M$50:$M$69,$G841,月間集計シート!O$50:O$69)*R$2</f>
        <v>0</v>
      </c>
      <c r="S841" s="88">
        <f>SUMIF(月間集計シート!$M$50:$M$69,$G841,月間集計シート!P$50:P$69)*S$2</f>
        <v>0</v>
      </c>
      <c r="T841" s="88">
        <f>SUMIF(月間集計シート!$M$50:$M$69,$G841,月間集計シート!Q$50:Q$69)*T$2</f>
        <v>0</v>
      </c>
      <c r="U841" s="88">
        <f>SUMIF(月間集計シート!$M$50:$M$69,$G841,月間集計シート!R$50:R$69)*U$2</f>
        <v>0</v>
      </c>
      <c r="V841" s="88">
        <f>SUMIF(月間集計シート!$M$50:$M$69,$G841,月間集計シート!S$50:S$69)*V$2</f>
        <v>0</v>
      </c>
      <c r="W841" s="88">
        <f>SUMIF(月間集計シート!$M$50:$M$69,$G841,月間集計シート!T$50:T$69)*W$2</f>
        <v>0</v>
      </c>
      <c r="X841" s="88">
        <f>SUMIF(月間集計シート!$M$71:$M$90,$G841,月間集計シート!N$71:N$90)*X$2</f>
        <v>0</v>
      </c>
      <c r="Y841" s="88">
        <f>SUMIF(月間集計シート!$M$71:$M$90,$G841,月間集計シート!O$71:O$90)*Y$2</f>
        <v>0</v>
      </c>
      <c r="Z841" s="88">
        <f>SUMIF(月間集計シート!$M$71:$M$90,$G841,月間集計シート!P$71:P$90)*Z$2</f>
        <v>0</v>
      </c>
      <c r="AA841" s="88">
        <f>SUMIF(月間集計シート!$M$71:$M$90,$G841,月間集計シート!Q$71:Q$90)*AA$2</f>
        <v>0</v>
      </c>
      <c r="AB841" s="88">
        <f>SUMIF(月間集計シート!$M$71:$M$90,$G841,月間集計シート!R$71:R$90)*AB$2</f>
        <v>0</v>
      </c>
      <c r="AC841" s="88">
        <f>SUMIF(月間集計シート!$M$71:$M$90,$G841,月間集計シート!S$71:S$90)*AC$2</f>
        <v>0</v>
      </c>
      <c r="AD841" s="88">
        <f>SUMIF(月間集計シート!$M$71:$M$90,$G841,月間集計シート!T$71:T$90)*AD$2</f>
        <v>0</v>
      </c>
      <c r="AE841" s="88">
        <f>SUMIF(月間集計シート!$M$92:$M$111,$G841,月間集計シート!N$92:N$111)*AE$2</f>
        <v>0</v>
      </c>
      <c r="AF841" s="88">
        <f>SUMIF(月間集計シート!$M$92:$M$111,$G841,月間集計シート!O$92:O$111)*AF$2</f>
        <v>0</v>
      </c>
      <c r="AG841" s="88">
        <f>SUMIF(月間集計シート!$M$92:$M$111,$G841,月間集計シート!P$92:P$111)*AG$2</f>
        <v>0</v>
      </c>
      <c r="AH841" s="88">
        <f>SUMIF(月間集計シート!$M$92:$M$111,$G841,月間集計シート!Q$92:Q$111)*AH$2</f>
        <v>0</v>
      </c>
      <c r="AI841" s="88">
        <f>SUMIF(月間集計シート!$M$92:$M$111,$G841,月間集計シート!R$92:R$111)*AI$2</f>
        <v>0</v>
      </c>
      <c r="AJ841" s="88">
        <f>SUMIF(月間集計シート!$M$92:$M$111,$G841,月間集計シート!S$92:S$111)*AJ$2</f>
        <v>0</v>
      </c>
      <c r="AK841" s="88">
        <f>SUMIF(月間集計シート!$M$92:$M$111,$G841,月間集計シート!T$92:T$111)*AK$2</f>
        <v>0</v>
      </c>
      <c r="AL841" s="88">
        <f>SUMIF(月間集計シート!$M$113:$M$132,$G841,月間集計シート!N$113:N$132)*AL$2</f>
        <v>0</v>
      </c>
      <c r="AM841" s="88">
        <f>SUMIF(月間集計シート!$M$113:$M$132,$G841,月間集計シート!O$113:O$132)*AM$2</f>
        <v>0</v>
      </c>
      <c r="AN841" s="88">
        <f>SUMIF(月間集計シート!$M$113:$M$132,$G841,月間集計シート!P$113:P$132)*AN$2</f>
        <v>0</v>
      </c>
      <c r="AO841" s="88">
        <f>SUMIF(月間集計シート!$M$113:$M$132,$G841,月間集計シート!Q$113:Q$132)*AO$2</f>
        <v>0</v>
      </c>
      <c r="AP841" s="88">
        <f>SUMIF(月間集計シート!$M$113:$M$132,$G841,月間集計シート!R$113:R$132)*AP$2</f>
        <v>0</v>
      </c>
      <c r="AQ841" s="88">
        <f>SUMIF(月間集計シート!$M$113:$M$132,$G841,月間集計シート!S$113:S$132)*AQ$2</f>
        <v>0</v>
      </c>
      <c r="AR841" s="88">
        <f>SUMIF(月間集計シート!$M$113:$M$132,$G841,月間集計シート!T$113:T$132)*AR$2</f>
        <v>0</v>
      </c>
      <c r="AS841" s="88">
        <f>SUMIF(月間集計シート!$M$134:$M$153,$G841,月間集計シート!N$134:N$153)*AS$2</f>
        <v>0</v>
      </c>
      <c r="AT841" s="88">
        <f>SUMIF(月間集計シート!$M$134:$M$153,$G841,月間集計シート!O$134:O$153)*AT$2</f>
        <v>0</v>
      </c>
      <c r="AU841" s="88">
        <f>SUMIF(月間集計シート!$M$134:$M$153,$G841,月間集計シート!P$134:P$153)*AU$2</f>
        <v>0</v>
      </c>
      <c r="AV841" s="88">
        <f>SUMIF(月間集計シート!$M$134:$M$153,$G841,月間集計シート!Q$134:Q$153)*AV$2</f>
        <v>0</v>
      </c>
      <c r="AW841" s="88">
        <f>SUMIF(月間集計シート!$M$134:$M$153,$G841,月間集計シート!R$134:R$153)*AW$2</f>
        <v>0</v>
      </c>
      <c r="AX841" s="88">
        <f>SUMIF(月間集計シート!$M$134:$M$153,$G841,月間集計シート!S$134:S$153)*AX$2</f>
        <v>0</v>
      </c>
      <c r="AY841" s="88">
        <f>SUMIF(月間集計シート!$M$134:$M$153,$G841,月間集計シート!T$134:T$153)*AY$2</f>
        <v>0</v>
      </c>
    </row>
    <row r="842" spans="1:51" ht="14.25" thickBot="1">
      <c r="A842">
        <v>10</v>
      </c>
      <c r="B842" s="120">
        <f t="shared" si="417"/>
        <v>0</v>
      </c>
      <c r="C842" s="120" t="str">
        <f t="shared" si="417"/>
        <v/>
      </c>
      <c r="D842" s="137"/>
      <c r="E842" s="150" t="str">
        <f>工種!A69</f>
        <v>90103</v>
      </c>
      <c r="F842" s="119" t="str">
        <f>工種!B69</f>
        <v>管理業務：標準化・開発業務改善作業</v>
      </c>
      <c r="G842" s="116" t="str">
        <f t="shared" si="414"/>
        <v>090103</v>
      </c>
      <c r="H842" s="88">
        <f t="shared" si="416"/>
        <v>0</v>
      </c>
      <c r="I842" s="132"/>
      <c r="J842" s="88">
        <f>SUMIF(月間集計シート!$M$29:$M$48,$G842,月間集計シート!N$29:N$48)*J$2</f>
        <v>0</v>
      </c>
      <c r="K842" s="88">
        <f>SUMIF(月間集計シート!$M$29:$M$48,$G842,月間集計シート!O$29:O$48)*K$2</f>
        <v>0</v>
      </c>
      <c r="L842" s="88">
        <f>SUMIF(月間集計シート!$M$29:$M$48,$G842,月間集計シート!P$29:P$48)*L$2</f>
        <v>0</v>
      </c>
      <c r="M842" s="88">
        <f>SUMIF(月間集計シート!$M$29:$M$48,$G842,月間集計シート!Q$29:Q$48)*M$2</f>
        <v>0</v>
      </c>
      <c r="N842" s="88">
        <f>SUMIF(月間集計シート!$M$29:$M$48,$G842,月間集計シート!R$29:R$48)*N$2</f>
        <v>0</v>
      </c>
      <c r="O842" s="88">
        <f>SUMIF(月間集計シート!$M$29:$M$48,$G842,月間集計シート!S$29:S$48)*O$2</f>
        <v>0</v>
      </c>
      <c r="P842" s="88">
        <f>SUMIF(月間集計シート!$M$29:$M$48,$G842,月間集計シート!T$29:T$48)*P$2</f>
        <v>0</v>
      </c>
      <c r="Q842" s="88">
        <f>SUMIF(月間集計シート!$M$50:$M$69,$G842,月間集計シート!N$50:N$69)*Q$2</f>
        <v>0</v>
      </c>
      <c r="R842" s="88">
        <f>SUMIF(月間集計シート!$M$50:$M$69,$G842,月間集計シート!O$50:O$69)*R$2</f>
        <v>0</v>
      </c>
      <c r="S842" s="88">
        <f>SUMIF(月間集計シート!$M$50:$M$69,$G842,月間集計シート!P$50:P$69)*S$2</f>
        <v>0</v>
      </c>
      <c r="T842" s="88">
        <f>SUMIF(月間集計シート!$M$50:$M$69,$G842,月間集計シート!Q$50:Q$69)*T$2</f>
        <v>0</v>
      </c>
      <c r="U842" s="88">
        <f>SUMIF(月間集計シート!$M$50:$M$69,$G842,月間集計シート!R$50:R$69)*U$2</f>
        <v>0</v>
      </c>
      <c r="V842" s="88">
        <f>SUMIF(月間集計シート!$M$50:$M$69,$G842,月間集計シート!S$50:S$69)*V$2</f>
        <v>0</v>
      </c>
      <c r="W842" s="88">
        <f>SUMIF(月間集計シート!$M$50:$M$69,$G842,月間集計シート!T$50:T$69)*W$2</f>
        <v>0</v>
      </c>
      <c r="X842" s="88">
        <f>SUMIF(月間集計シート!$M$71:$M$90,$G842,月間集計シート!N$71:N$90)*X$2</f>
        <v>0</v>
      </c>
      <c r="Y842" s="88">
        <f>SUMIF(月間集計シート!$M$71:$M$90,$G842,月間集計シート!O$71:O$90)*Y$2</f>
        <v>0</v>
      </c>
      <c r="Z842" s="88">
        <f>SUMIF(月間集計シート!$M$71:$M$90,$G842,月間集計シート!P$71:P$90)*Z$2</f>
        <v>0</v>
      </c>
      <c r="AA842" s="88">
        <f>SUMIF(月間集計シート!$M$71:$M$90,$G842,月間集計シート!Q$71:Q$90)*AA$2</f>
        <v>0</v>
      </c>
      <c r="AB842" s="88">
        <f>SUMIF(月間集計シート!$M$71:$M$90,$G842,月間集計シート!R$71:R$90)*AB$2</f>
        <v>0</v>
      </c>
      <c r="AC842" s="88">
        <f>SUMIF(月間集計シート!$M$71:$M$90,$G842,月間集計シート!S$71:S$90)*AC$2</f>
        <v>0</v>
      </c>
      <c r="AD842" s="88">
        <f>SUMIF(月間集計シート!$M$71:$M$90,$G842,月間集計シート!T$71:T$90)*AD$2</f>
        <v>0</v>
      </c>
      <c r="AE842" s="88">
        <f>SUMIF(月間集計シート!$M$92:$M$111,$G842,月間集計シート!N$92:N$111)*AE$2</f>
        <v>0</v>
      </c>
      <c r="AF842" s="88">
        <f>SUMIF(月間集計シート!$M$92:$M$111,$G842,月間集計シート!O$92:O$111)*AF$2</f>
        <v>0</v>
      </c>
      <c r="AG842" s="88">
        <f>SUMIF(月間集計シート!$M$92:$M$111,$G842,月間集計シート!P$92:P$111)*AG$2</f>
        <v>0</v>
      </c>
      <c r="AH842" s="88">
        <f>SUMIF(月間集計シート!$M$92:$M$111,$G842,月間集計シート!Q$92:Q$111)*AH$2</f>
        <v>0</v>
      </c>
      <c r="AI842" s="88">
        <f>SUMIF(月間集計シート!$M$92:$M$111,$G842,月間集計シート!R$92:R$111)*AI$2</f>
        <v>0</v>
      </c>
      <c r="AJ842" s="88">
        <f>SUMIF(月間集計シート!$M$92:$M$111,$G842,月間集計シート!S$92:S$111)*AJ$2</f>
        <v>0</v>
      </c>
      <c r="AK842" s="88">
        <f>SUMIF(月間集計シート!$M$92:$M$111,$G842,月間集計シート!T$92:T$111)*AK$2</f>
        <v>0</v>
      </c>
      <c r="AL842" s="88">
        <f>SUMIF(月間集計シート!$M$113:$M$132,$G842,月間集計シート!N$113:N$132)*AL$2</f>
        <v>0</v>
      </c>
      <c r="AM842" s="88">
        <f>SUMIF(月間集計シート!$M$113:$M$132,$G842,月間集計シート!O$113:O$132)*AM$2</f>
        <v>0</v>
      </c>
      <c r="AN842" s="88">
        <f>SUMIF(月間集計シート!$M$113:$M$132,$G842,月間集計シート!P$113:P$132)*AN$2</f>
        <v>0</v>
      </c>
      <c r="AO842" s="88">
        <f>SUMIF(月間集計シート!$M$113:$M$132,$G842,月間集計シート!Q$113:Q$132)*AO$2</f>
        <v>0</v>
      </c>
      <c r="AP842" s="88">
        <f>SUMIF(月間集計シート!$M$113:$M$132,$G842,月間集計シート!R$113:R$132)*AP$2</f>
        <v>0</v>
      </c>
      <c r="AQ842" s="88">
        <f>SUMIF(月間集計シート!$M$113:$M$132,$G842,月間集計シート!S$113:S$132)*AQ$2</f>
        <v>0</v>
      </c>
      <c r="AR842" s="88">
        <f>SUMIF(月間集計シート!$M$113:$M$132,$G842,月間集計シート!T$113:T$132)*AR$2</f>
        <v>0</v>
      </c>
      <c r="AS842" s="88">
        <f>SUMIF(月間集計シート!$M$134:$M$153,$G842,月間集計シート!N$134:N$153)*AS$2</f>
        <v>0</v>
      </c>
      <c r="AT842" s="88">
        <f>SUMIF(月間集計シート!$M$134:$M$153,$G842,月間集計シート!O$134:O$153)*AT$2</f>
        <v>0</v>
      </c>
      <c r="AU842" s="88">
        <f>SUMIF(月間集計シート!$M$134:$M$153,$G842,月間集計シート!P$134:P$153)*AU$2</f>
        <v>0</v>
      </c>
      <c r="AV842" s="88">
        <f>SUMIF(月間集計シート!$M$134:$M$153,$G842,月間集計シート!Q$134:Q$153)*AV$2</f>
        <v>0</v>
      </c>
      <c r="AW842" s="88">
        <f>SUMIF(月間集計シート!$M$134:$M$153,$G842,月間集計シート!R$134:R$153)*AW$2</f>
        <v>0</v>
      </c>
      <c r="AX842" s="88">
        <f>SUMIF(月間集計シート!$M$134:$M$153,$G842,月間集計シート!S$134:S$153)*AX$2</f>
        <v>0</v>
      </c>
      <c r="AY842" s="88">
        <f>SUMIF(月間集計シート!$M$134:$M$153,$G842,月間集計シート!T$134:T$153)*AY$2</f>
        <v>0</v>
      </c>
    </row>
    <row r="843" spans="1:51" ht="14.25" thickBot="1">
      <c r="A843">
        <v>10</v>
      </c>
      <c r="B843" s="120">
        <f t="shared" si="417"/>
        <v>0</v>
      </c>
      <c r="C843" s="120" t="str">
        <f t="shared" si="417"/>
        <v/>
      </c>
      <c r="D843" s="137"/>
      <c r="E843" s="150" t="str">
        <f>工種!A70</f>
        <v>90104</v>
      </c>
      <c r="F843" s="119" t="str">
        <f>工種!B70</f>
        <v>管理業務：開発業務の引継ぎ</v>
      </c>
      <c r="G843" s="116" t="str">
        <f t="shared" si="414"/>
        <v>090104</v>
      </c>
      <c r="H843" s="88">
        <f t="shared" si="416"/>
        <v>0</v>
      </c>
      <c r="I843" s="132"/>
      <c r="J843" s="88">
        <f>SUMIF(月間集計シート!$M$29:$M$48,$G843,月間集計シート!N$29:N$48)*J$2</f>
        <v>0</v>
      </c>
      <c r="K843" s="88">
        <f>SUMIF(月間集計シート!$M$29:$M$48,$G843,月間集計シート!O$29:O$48)*K$2</f>
        <v>0</v>
      </c>
      <c r="L843" s="88">
        <f>SUMIF(月間集計シート!$M$29:$M$48,$G843,月間集計シート!P$29:P$48)*L$2</f>
        <v>0</v>
      </c>
      <c r="M843" s="88">
        <f>SUMIF(月間集計シート!$M$29:$M$48,$G843,月間集計シート!Q$29:Q$48)*M$2</f>
        <v>0</v>
      </c>
      <c r="N843" s="88">
        <f>SUMIF(月間集計シート!$M$29:$M$48,$G843,月間集計シート!R$29:R$48)*N$2</f>
        <v>0</v>
      </c>
      <c r="O843" s="88">
        <f>SUMIF(月間集計シート!$M$29:$M$48,$G843,月間集計シート!S$29:S$48)*O$2</f>
        <v>0</v>
      </c>
      <c r="P843" s="88">
        <f>SUMIF(月間集計シート!$M$29:$M$48,$G843,月間集計シート!T$29:T$48)*P$2</f>
        <v>0</v>
      </c>
      <c r="Q843" s="88">
        <f>SUMIF(月間集計シート!$M$50:$M$69,$G843,月間集計シート!N$50:N$69)*Q$2</f>
        <v>0</v>
      </c>
      <c r="R843" s="88">
        <f>SUMIF(月間集計シート!$M$50:$M$69,$G843,月間集計シート!O$50:O$69)*R$2</f>
        <v>0</v>
      </c>
      <c r="S843" s="88">
        <f>SUMIF(月間集計シート!$M$50:$M$69,$G843,月間集計シート!P$50:P$69)*S$2</f>
        <v>0</v>
      </c>
      <c r="T843" s="88">
        <f>SUMIF(月間集計シート!$M$50:$M$69,$G843,月間集計シート!Q$50:Q$69)*T$2</f>
        <v>0</v>
      </c>
      <c r="U843" s="88">
        <f>SUMIF(月間集計シート!$M$50:$M$69,$G843,月間集計シート!R$50:R$69)*U$2</f>
        <v>0</v>
      </c>
      <c r="V843" s="88">
        <f>SUMIF(月間集計シート!$M$50:$M$69,$G843,月間集計シート!S$50:S$69)*V$2</f>
        <v>0</v>
      </c>
      <c r="W843" s="88">
        <f>SUMIF(月間集計シート!$M$50:$M$69,$G843,月間集計シート!T$50:T$69)*W$2</f>
        <v>0</v>
      </c>
      <c r="X843" s="88">
        <f>SUMIF(月間集計シート!$M$71:$M$90,$G843,月間集計シート!N$71:N$90)*X$2</f>
        <v>0</v>
      </c>
      <c r="Y843" s="88">
        <f>SUMIF(月間集計シート!$M$71:$M$90,$G843,月間集計シート!O$71:O$90)*Y$2</f>
        <v>0</v>
      </c>
      <c r="Z843" s="88">
        <f>SUMIF(月間集計シート!$M$71:$M$90,$G843,月間集計シート!P$71:P$90)*Z$2</f>
        <v>0</v>
      </c>
      <c r="AA843" s="88">
        <f>SUMIF(月間集計シート!$M$71:$M$90,$G843,月間集計シート!Q$71:Q$90)*AA$2</f>
        <v>0</v>
      </c>
      <c r="AB843" s="88">
        <f>SUMIF(月間集計シート!$M$71:$M$90,$G843,月間集計シート!R$71:R$90)*AB$2</f>
        <v>0</v>
      </c>
      <c r="AC843" s="88">
        <f>SUMIF(月間集計シート!$M$71:$M$90,$G843,月間集計シート!S$71:S$90)*AC$2</f>
        <v>0</v>
      </c>
      <c r="AD843" s="88">
        <f>SUMIF(月間集計シート!$M$71:$M$90,$G843,月間集計シート!T$71:T$90)*AD$2</f>
        <v>0</v>
      </c>
      <c r="AE843" s="88">
        <f>SUMIF(月間集計シート!$M$92:$M$111,$G843,月間集計シート!N$92:N$111)*AE$2</f>
        <v>0</v>
      </c>
      <c r="AF843" s="88">
        <f>SUMIF(月間集計シート!$M$92:$M$111,$G843,月間集計シート!O$92:O$111)*AF$2</f>
        <v>0</v>
      </c>
      <c r="AG843" s="88">
        <f>SUMIF(月間集計シート!$M$92:$M$111,$G843,月間集計シート!P$92:P$111)*AG$2</f>
        <v>0</v>
      </c>
      <c r="AH843" s="88">
        <f>SUMIF(月間集計シート!$M$92:$M$111,$G843,月間集計シート!Q$92:Q$111)*AH$2</f>
        <v>0</v>
      </c>
      <c r="AI843" s="88">
        <f>SUMIF(月間集計シート!$M$92:$M$111,$G843,月間集計シート!R$92:R$111)*AI$2</f>
        <v>0</v>
      </c>
      <c r="AJ843" s="88">
        <f>SUMIF(月間集計シート!$M$92:$M$111,$G843,月間集計シート!S$92:S$111)*AJ$2</f>
        <v>0</v>
      </c>
      <c r="AK843" s="88">
        <f>SUMIF(月間集計シート!$M$92:$M$111,$G843,月間集計シート!T$92:T$111)*AK$2</f>
        <v>0</v>
      </c>
      <c r="AL843" s="88">
        <f>SUMIF(月間集計シート!$M$113:$M$132,$G843,月間集計シート!N$113:N$132)*AL$2</f>
        <v>0</v>
      </c>
      <c r="AM843" s="88">
        <f>SUMIF(月間集計シート!$M$113:$M$132,$G843,月間集計シート!O$113:O$132)*AM$2</f>
        <v>0</v>
      </c>
      <c r="AN843" s="88">
        <f>SUMIF(月間集計シート!$M$113:$M$132,$G843,月間集計シート!P$113:P$132)*AN$2</f>
        <v>0</v>
      </c>
      <c r="AO843" s="88">
        <f>SUMIF(月間集計シート!$M$113:$M$132,$G843,月間集計シート!Q$113:Q$132)*AO$2</f>
        <v>0</v>
      </c>
      <c r="AP843" s="88">
        <f>SUMIF(月間集計シート!$M$113:$M$132,$G843,月間集計シート!R$113:R$132)*AP$2</f>
        <v>0</v>
      </c>
      <c r="AQ843" s="88">
        <f>SUMIF(月間集計シート!$M$113:$M$132,$G843,月間集計シート!S$113:S$132)*AQ$2</f>
        <v>0</v>
      </c>
      <c r="AR843" s="88">
        <f>SUMIF(月間集計シート!$M$113:$M$132,$G843,月間集計シート!T$113:T$132)*AR$2</f>
        <v>0</v>
      </c>
      <c r="AS843" s="88">
        <f>SUMIF(月間集計シート!$M$134:$M$153,$G843,月間集計シート!N$134:N$153)*AS$2</f>
        <v>0</v>
      </c>
      <c r="AT843" s="88">
        <f>SUMIF(月間集計シート!$M$134:$M$153,$G843,月間集計シート!O$134:O$153)*AT$2</f>
        <v>0</v>
      </c>
      <c r="AU843" s="88">
        <f>SUMIF(月間集計シート!$M$134:$M$153,$G843,月間集計シート!P$134:P$153)*AU$2</f>
        <v>0</v>
      </c>
      <c r="AV843" s="88">
        <f>SUMIF(月間集計シート!$M$134:$M$153,$G843,月間集計シート!Q$134:Q$153)*AV$2</f>
        <v>0</v>
      </c>
      <c r="AW843" s="88">
        <f>SUMIF(月間集計シート!$M$134:$M$153,$G843,月間集計シート!R$134:R$153)*AW$2</f>
        <v>0</v>
      </c>
      <c r="AX843" s="88">
        <f>SUMIF(月間集計シート!$M$134:$M$153,$G843,月間集計シート!S$134:S$153)*AX$2</f>
        <v>0</v>
      </c>
      <c r="AY843" s="88">
        <f>SUMIF(月間集計シート!$M$134:$M$153,$G843,月間集計シート!T$134:T$153)*AY$2</f>
        <v>0</v>
      </c>
    </row>
    <row r="844" spans="1:51" ht="14.25" thickBot="1">
      <c r="A844">
        <v>10</v>
      </c>
      <c r="B844" s="120">
        <f t="shared" si="417"/>
        <v>0</v>
      </c>
      <c r="C844" s="120" t="str">
        <f t="shared" si="417"/>
        <v/>
      </c>
      <c r="D844" s="137"/>
      <c r="E844" s="150" t="str">
        <f>工種!A71</f>
        <v>90105</v>
      </c>
      <c r="F844" s="119" t="str">
        <f>工種!B71</f>
        <v>管理業務：SRB管理</v>
      </c>
      <c r="G844" s="116" t="str">
        <f t="shared" si="414"/>
        <v>090105</v>
      </c>
      <c r="H844" s="88">
        <f t="shared" si="416"/>
        <v>0</v>
      </c>
      <c r="I844" s="132"/>
      <c r="J844" s="88">
        <f>SUMIF(月間集計シート!$M$29:$M$48,$G844,月間集計シート!N$29:N$48)*J$2</f>
        <v>0</v>
      </c>
      <c r="K844" s="88">
        <f>SUMIF(月間集計シート!$M$29:$M$48,$G844,月間集計シート!O$29:O$48)*K$2</f>
        <v>0</v>
      </c>
      <c r="L844" s="88">
        <f>SUMIF(月間集計シート!$M$29:$M$48,$G844,月間集計シート!P$29:P$48)*L$2</f>
        <v>0</v>
      </c>
      <c r="M844" s="88">
        <f>SUMIF(月間集計シート!$M$29:$M$48,$G844,月間集計シート!Q$29:Q$48)*M$2</f>
        <v>0</v>
      </c>
      <c r="N844" s="88">
        <f>SUMIF(月間集計シート!$M$29:$M$48,$G844,月間集計シート!R$29:R$48)*N$2</f>
        <v>0</v>
      </c>
      <c r="O844" s="88">
        <f>SUMIF(月間集計シート!$M$29:$M$48,$G844,月間集計シート!S$29:S$48)*O$2</f>
        <v>0</v>
      </c>
      <c r="P844" s="88">
        <f>SUMIF(月間集計シート!$M$29:$M$48,$G844,月間集計シート!T$29:T$48)*P$2</f>
        <v>0</v>
      </c>
      <c r="Q844" s="88">
        <f>SUMIF(月間集計シート!$M$50:$M$69,$G844,月間集計シート!N$50:N$69)*Q$2</f>
        <v>0</v>
      </c>
      <c r="R844" s="88">
        <f>SUMIF(月間集計シート!$M$50:$M$69,$G844,月間集計シート!O$50:O$69)*R$2</f>
        <v>0</v>
      </c>
      <c r="S844" s="88">
        <f>SUMIF(月間集計シート!$M$50:$M$69,$G844,月間集計シート!P$50:P$69)*S$2</f>
        <v>0</v>
      </c>
      <c r="T844" s="88">
        <f>SUMIF(月間集計シート!$M$50:$M$69,$G844,月間集計シート!Q$50:Q$69)*T$2</f>
        <v>0</v>
      </c>
      <c r="U844" s="88">
        <f>SUMIF(月間集計シート!$M$50:$M$69,$G844,月間集計シート!R$50:R$69)*U$2</f>
        <v>0</v>
      </c>
      <c r="V844" s="88">
        <f>SUMIF(月間集計シート!$M$50:$M$69,$G844,月間集計シート!S$50:S$69)*V$2</f>
        <v>0</v>
      </c>
      <c r="W844" s="88">
        <f>SUMIF(月間集計シート!$M$50:$M$69,$G844,月間集計シート!T$50:T$69)*W$2</f>
        <v>0</v>
      </c>
      <c r="X844" s="88">
        <f>SUMIF(月間集計シート!$M$71:$M$90,$G844,月間集計シート!N$71:N$90)*X$2</f>
        <v>0</v>
      </c>
      <c r="Y844" s="88">
        <f>SUMIF(月間集計シート!$M$71:$M$90,$G844,月間集計シート!O$71:O$90)*Y$2</f>
        <v>0</v>
      </c>
      <c r="Z844" s="88">
        <f>SUMIF(月間集計シート!$M$71:$M$90,$G844,月間集計シート!P$71:P$90)*Z$2</f>
        <v>0</v>
      </c>
      <c r="AA844" s="88">
        <f>SUMIF(月間集計シート!$M$71:$M$90,$G844,月間集計シート!Q$71:Q$90)*AA$2</f>
        <v>0</v>
      </c>
      <c r="AB844" s="88">
        <f>SUMIF(月間集計シート!$M$71:$M$90,$G844,月間集計シート!R$71:R$90)*AB$2</f>
        <v>0</v>
      </c>
      <c r="AC844" s="88">
        <f>SUMIF(月間集計シート!$M$71:$M$90,$G844,月間集計シート!S$71:S$90)*AC$2</f>
        <v>0</v>
      </c>
      <c r="AD844" s="88">
        <f>SUMIF(月間集計シート!$M$71:$M$90,$G844,月間集計シート!T$71:T$90)*AD$2</f>
        <v>0</v>
      </c>
      <c r="AE844" s="88">
        <f>SUMIF(月間集計シート!$M$92:$M$111,$G844,月間集計シート!N$92:N$111)*AE$2</f>
        <v>0</v>
      </c>
      <c r="AF844" s="88">
        <f>SUMIF(月間集計シート!$M$92:$M$111,$G844,月間集計シート!O$92:O$111)*AF$2</f>
        <v>0</v>
      </c>
      <c r="AG844" s="88">
        <f>SUMIF(月間集計シート!$M$92:$M$111,$G844,月間集計シート!P$92:P$111)*AG$2</f>
        <v>0</v>
      </c>
      <c r="AH844" s="88">
        <f>SUMIF(月間集計シート!$M$92:$M$111,$G844,月間集計シート!Q$92:Q$111)*AH$2</f>
        <v>0</v>
      </c>
      <c r="AI844" s="88">
        <f>SUMIF(月間集計シート!$M$92:$M$111,$G844,月間集計シート!R$92:R$111)*AI$2</f>
        <v>0</v>
      </c>
      <c r="AJ844" s="88">
        <f>SUMIF(月間集計シート!$M$92:$M$111,$G844,月間集計シート!S$92:S$111)*AJ$2</f>
        <v>0</v>
      </c>
      <c r="AK844" s="88">
        <f>SUMIF(月間集計シート!$M$92:$M$111,$G844,月間集計シート!T$92:T$111)*AK$2</f>
        <v>0</v>
      </c>
      <c r="AL844" s="88">
        <f>SUMIF(月間集計シート!$M$113:$M$132,$G844,月間集計シート!N$113:N$132)*AL$2</f>
        <v>0</v>
      </c>
      <c r="AM844" s="88">
        <f>SUMIF(月間集計シート!$M$113:$M$132,$G844,月間集計シート!O$113:O$132)*AM$2</f>
        <v>0</v>
      </c>
      <c r="AN844" s="88">
        <f>SUMIF(月間集計シート!$M$113:$M$132,$G844,月間集計シート!P$113:P$132)*AN$2</f>
        <v>0</v>
      </c>
      <c r="AO844" s="88">
        <f>SUMIF(月間集計シート!$M$113:$M$132,$G844,月間集計シート!Q$113:Q$132)*AO$2</f>
        <v>0</v>
      </c>
      <c r="AP844" s="88">
        <f>SUMIF(月間集計シート!$M$113:$M$132,$G844,月間集計シート!R$113:R$132)*AP$2</f>
        <v>0</v>
      </c>
      <c r="AQ844" s="88">
        <f>SUMIF(月間集計シート!$M$113:$M$132,$G844,月間集計シート!S$113:S$132)*AQ$2</f>
        <v>0</v>
      </c>
      <c r="AR844" s="88">
        <f>SUMIF(月間集計シート!$M$113:$M$132,$G844,月間集計シート!T$113:T$132)*AR$2</f>
        <v>0</v>
      </c>
      <c r="AS844" s="88">
        <f>SUMIF(月間集計シート!$M$134:$M$153,$G844,月間集計シート!N$134:N$153)*AS$2</f>
        <v>0</v>
      </c>
      <c r="AT844" s="88">
        <f>SUMIF(月間集計シート!$M$134:$M$153,$G844,月間集計シート!O$134:O$153)*AT$2</f>
        <v>0</v>
      </c>
      <c r="AU844" s="88">
        <f>SUMIF(月間集計シート!$M$134:$M$153,$G844,月間集計シート!P$134:P$153)*AU$2</f>
        <v>0</v>
      </c>
      <c r="AV844" s="88">
        <f>SUMIF(月間集計シート!$M$134:$M$153,$G844,月間集計シート!Q$134:Q$153)*AV$2</f>
        <v>0</v>
      </c>
      <c r="AW844" s="88">
        <f>SUMIF(月間集計シート!$M$134:$M$153,$G844,月間集計シート!R$134:R$153)*AW$2</f>
        <v>0</v>
      </c>
      <c r="AX844" s="88">
        <f>SUMIF(月間集計シート!$M$134:$M$153,$G844,月間集計シート!S$134:S$153)*AX$2</f>
        <v>0</v>
      </c>
      <c r="AY844" s="88">
        <f>SUMIF(月間集計シート!$M$134:$M$153,$G844,月間集計シート!T$134:T$153)*AY$2</f>
        <v>0</v>
      </c>
    </row>
    <row r="845" spans="1:51" ht="14.25" thickBot="1">
      <c r="A845">
        <v>10</v>
      </c>
      <c r="B845" s="120">
        <f t="shared" si="417"/>
        <v>0</v>
      </c>
      <c r="C845" s="120" t="str">
        <f t="shared" si="417"/>
        <v/>
      </c>
      <c r="D845" s="137"/>
      <c r="E845" s="150" t="str">
        <f>工種!A72</f>
        <v>90107</v>
      </c>
      <c r="F845" s="119" t="str">
        <f>工種!B72</f>
        <v>管理業務：開発事務作業</v>
      </c>
      <c r="G845" s="116" t="str">
        <f t="shared" si="414"/>
        <v>090107</v>
      </c>
      <c r="H845" s="88">
        <f t="shared" si="416"/>
        <v>0</v>
      </c>
      <c r="I845" s="132"/>
      <c r="J845" s="88">
        <f>SUMIF(月間集計シート!$M$29:$M$48,$G845,月間集計シート!N$29:N$48)*J$2</f>
        <v>0</v>
      </c>
      <c r="K845" s="88">
        <f>SUMIF(月間集計シート!$M$29:$M$48,$G845,月間集計シート!O$29:O$48)*K$2</f>
        <v>0</v>
      </c>
      <c r="L845" s="88">
        <f>SUMIF(月間集計シート!$M$29:$M$48,$G845,月間集計シート!P$29:P$48)*L$2</f>
        <v>0</v>
      </c>
      <c r="M845" s="88">
        <f>SUMIF(月間集計シート!$M$29:$M$48,$G845,月間集計シート!Q$29:Q$48)*M$2</f>
        <v>0</v>
      </c>
      <c r="N845" s="88">
        <f>SUMIF(月間集計シート!$M$29:$M$48,$G845,月間集計シート!R$29:R$48)*N$2</f>
        <v>0</v>
      </c>
      <c r="O845" s="88">
        <f>SUMIF(月間集計シート!$M$29:$M$48,$G845,月間集計シート!S$29:S$48)*O$2</f>
        <v>0</v>
      </c>
      <c r="P845" s="88">
        <f>SUMIF(月間集計シート!$M$29:$M$48,$G845,月間集計シート!T$29:T$48)*P$2</f>
        <v>0</v>
      </c>
      <c r="Q845" s="88">
        <f>SUMIF(月間集計シート!$M$50:$M$69,$G845,月間集計シート!N$50:N$69)*Q$2</f>
        <v>0</v>
      </c>
      <c r="R845" s="88">
        <f>SUMIF(月間集計シート!$M$50:$M$69,$G845,月間集計シート!O$50:O$69)*R$2</f>
        <v>0</v>
      </c>
      <c r="S845" s="88">
        <f>SUMIF(月間集計シート!$M$50:$M$69,$G845,月間集計シート!P$50:P$69)*S$2</f>
        <v>0</v>
      </c>
      <c r="T845" s="88">
        <f>SUMIF(月間集計シート!$M$50:$M$69,$G845,月間集計シート!Q$50:Q$69)*T$2</f>
        <v>0</v>
      </c>
      <c r="U845" s="88">
        <f>SUMIF(月間集計シート!$M$50:$M$69,$G845,月間集計シート!R$50:R$69)*U$2</f>
        <v>0</v>
      </c>
      <c r="V845" s="88">
        <f>SUMIF(月間集計シート!$M$50:$M$69,$G845,月間集計シート!S$50:S$69)*V$2</f>
        <v>0</v>
      </c>
      <c r="W845" s="88">
        <f>SUMIF(月間集計シート!$M$50:$M$69,$G845,月間集計シート!T$50:T$69)*W$2</f>
        <v>0</v>
      </c>
      <c r="X845" s="88">
        <f>SUMIF(月間集計シート!$M$71:$M$90,$G845,月間集計シート!N$71:N$90)*X$2</f>
        <v>0</v>
      </c>
      <c r="Y845" s="88">
        <f>SUMIF(月間集計シート!$M$71:$M$90,$G845,月間集計シート!O$71:O$90)*Y$2</f>
        <v>0</v>
      </c>
      <c r="Z845" s="88">
        <f>SUMIF(月間集計シート!$M$71:$M$90,$G845,月間集計シート!P$71:P$90)*Z$2</f>
        <v>0</v>
      </c>
      <c r="AA845" s="88">
        <f>SUMIF(月間集計シート!$M$71:$M$90,$G845,月間集計シート!Q$71:Q$90)*AA$2</f>
        <v>0</v>
      </c>
      <c r="AB845" s="88">
        <f>SUMIF(月間集計シート!$M$71:$M$90,$G845,月間集計シート!R$71:R$90)*AB$2</f>
        <v>0</v>
      </c>
      <c r="AC845" s="88">
        <f>SUMIF(月間集計シート!$M$71:$M$90,$G845,月間集計シート!S$71:S$90)*AC$2</f>
        <v>0</v>
      </c>
      <c r="AD845" s="88">
        <f>SUMIF(月間集計シート!$M$71:$M$90,$G845,月間集計シート!T$71:T$90)*AD$2</f>
        <v>0</v>
      </c>
      <c r="AE845" s="88">
        <f>SUMIF(月間集計シート!$M$92:$M$111,$G845,月間集計シート!N$92:N$111)*AE$2</f>
        <v>0</v>
      </c>
      <c r="AF845" s="88">
        <f>SUMIF(月間集計シート!$M$92:$M$111,$G845,月間集計シート!O$92:O$111)*AF$2</f>
        <v>0</v>
      </c>
      <c r="AG845" s="88">
        <f>SUMIF(月間集計シート!$M$92:$M$111,$G845,月間集計シート!P$92:P$111)*AG$2</f>
        <v>0</v>
      </c>
      <c r="AH845" s="88">
        <f>SUMIF(月間集計シート!$M$92:$M$111,$G845,月間集計シート!Q$92:Q$111)*AH$2</f>
        <v>0</v>
      </c>
      <c r="AI845" s="88">
        <f>SUMIF(月間集計シート!$M$92:$M$111,$G845,月間集計シート!R$92:R$111)*AI$2</f>
        <v>0</v>
      </c>
      <c r="AJ845" s="88">
        <f>SUMIF(月間集計シート!$M$92:$M$111,$G845,月間集計シート!S$92:S$111)*AJ$2</f>
        <v>0</v>
      </c>
      <c r="AK845" s="88">
        <f>SUMIF(月間集計シート!$M$92:$M$111,$G845,月間集計シート!T$92:T$111)*AK$2</f>
        <v>0</v>
      </c>
      <c r="AL845" s="88">
        <f>SUMIF(月間集計シート!$M$113:$M$132,$G845,月間集計シート!N$113:N$132)*AL$2</f>
        <v>0</v>
      </c>
      <c r="AM845" s="88">
        <f>SUMIF(月間集計シート!$M$113:$M$132,$G845,月間集計シート!O$113:O$132)*AM$2</f>
        <v>0</v>
      </c>
      <c r="AN845" s="88">
        <f>SUMIF(月間集計シート!$M$113:$M$132,$G845,月間集計シート!P$113:P$132)*AN$2</f>
        <v>0</v>
      </c>
      <c r="AO845" s="88">
        <f>SUMIF(月間集計シート!$M$113:$M$132,$G845,月間集計シート!Q$113:Q$132)*AO$2</f>
        <v>0</v>
      </c>
      <c r="AP845" s="88">
        <f>SUMIF(月間集計シート!$M$113:$M$132,$G845,月間集計シート!R$113:R$132)*AP$2</f>
        <v>0</v>
      </c>
      <c r="AQ845" s="88">
        <f>SUMIF(月間集計シート!$M$113:$M$132,$G845,月間集計シート!S$113:S$132)*AQ$2</f>
        <v>0</v>
      </c>
      <c r="AR845" s="88">
        <f>SUMIF(月間集計シート!$M$113:$M$132,$G845,月間集計シート!T$113:T$132)*AR$2</f>
        <v>0</v>
      </c>
      <c r="AS845" s="88">
        <f>SUMIF(月間集計シート!$M$134:$M$153,$G845,月間集計シート!N$134:N$153)*AS$2</f>
        <v>0</v>
      </c>
      <c r="AT845" s="88">
        <f>SUMIF(月間集計シート!$M$134:$M$153,$G845,月間集計シート!O$134:O$153)*AT$2</f>
        <v>0</v>
      </c>
      <c r="AU845" s="88">
        <f>SUMIF(月間集計シート!$M$134:$M$153,$G845,月間集計シート!P$134:P$153)*AU$2</f>
        <v>0</v>
      </c>
      <c r="AV845" s="88">
        <f>SUMIF(月間集計シート!$M$134:$M$153,$G845,月間集計シート!Q$134:Q$153)*AV$2</f>
        <v>0</v>
      </c>
      <c r="AW845" s="88">
        <f>SUMIF(月間集計シート!$M$134:$M$153,$G845,月間集計シート!R$134:R$153)*AW$2</f>
        <v>0</v>
      </c>
      <c r="AX845" s="88">
        <f>SUMIF(月間集計シート!$M$134:$M$153,$G845,月間集計シート!S$134:S$153)*AX$2</f>
        <v>0</v>
      </c>
      <c r="AY845" s="88">
        <f>SUMIF(月間集計シート!$M$134:$M$153,$G845,月間集計シート!T$134:T$153)*AY$2</f>
        <v>0</v>
      </c>
    </row>
    <row r="846" spans="1:51" ht="14.25" thickBot="1">
      <c r="A846">
        <v>10</v>
      </c>
      <c r="B846" s="120">
        <f t="shared" si="417"/>
        <v>0</v>
      </c>
      <c r="C846" s="120" t="str">
        <f t="shared" si="417"/>
        <v/>
      </c>
      <c r="D846" s="137"/>
      <c r="E846" s="150" t="str">
        <f>工種!A73</f>
        <v>90108</v>
      </c>
      <c r="F846" s="119" t="str">
        <f>工種!B73</f>
        <v>管理業務：外部不具合分析</v>
      </c>
      <c r="G846" s="116" t="str">
        <f t="shared" si="414"/>
        <v>090108</v>
      </c>
      <c r="H846" s="88">
        <f t="shared" si="416"/>
        <v>0</v>
      </c>
      <c r="I846" s="132"/>
      <c r="J846" s="88">
        <f>SUMIF(月間集計シート!$M$29:$M$48,$G846,月間集計シート!N$29:N$48)*J$2</f>
        <v>0</v>
      </c>
      <c r="K846" s="88">
        <f>SUMIF(月間集計シート!$M$29:$M$48,$G846,月間集計シート!O$29:O$48)*K$2</f>
        <v>0</v>
      </c>
      <c r="L846" s="88">
        <f>SUMIF(月間集計シート!$M$29:$M$48,$G846,月間集計シート!P$29:P$48)*L$2</f>
        <v>0</v>
      </c>
      <c r="M846" s="88">
        <f>SUMIF(月間集計シート!$M$29:$M$48,$G846,月間集計シート!Q$29:Q$48)*M$2</f>
        <v>0</v>
      </c>
      <c r="N846" s="88">
        <f>SUMIF(月間集計シート!$M$29:$M$48,$G846,月間集計シート!R$29:R$48)*N$2</f>
        <v>0</v>
      </c>
      <c r="O846" s="88">
        <f>SUMIF(月間集計シート!$M$29:$M$48,$G846,月間集計シート!S$29:S$48)*O$2</f>
        <v>0</v>
      </c>
      <c r="P846" s="88">
        <f>SUMIF(月間集計シート!$M$29:$M$48,$G846,月間集計シート!T$29:T$48)*P$2</f>
        <v>0</v>
      </c>
      <c r="Q846" s="88">
        <f>SUMIF(月間集計シート!$M$50:$M$69,$G846,月間集計シート!N$50:N$69)*Q$2</f>
        <v>0</v>
      </c>
      <c r="R846" s="88">
        <f>SUMIF(月間集計シート!$M$50:$M$69,$G846,月間集計シート!O$50:O$69)*R$2</f>
        <v>0</v>
      </c>
      <c r="S846" s="88">
        <f>SUMIF(月間集計シート!$M$50:$M$69,$G846,月間集計シート!P$50:P$69)*S$2</f>
        <v>0</v>
      </c>
      <c r="T846" s="88">
        <f>SUMIF(月間集計シート!$M$50:$M$69,$G846,月間集計シート!Q$50:Q$69)*T$2</f>
        <v>0</v>
      </c>
      <c r="U846" s="88">
        <f>SUMIF(月間集計シート!$M$50:$M$69,$G846,月間集計シート!R$50:R$69)*U$2</f>
        <v>0</v>
      </c>
      <c r="V846" s="88">
        <f>SUMIF(月間集計シート!$M$50:$M$69,$G846,月間集計シート!S$50:S$69)*V$2</f>
        <v>0</v>
      </c>
      <c r="W846" s="88">
        <f>SUMIF(月間集計シート!$M$50:$M$69,$G846,月間集計シート!T$50:T$69)*W$2</f>
        <v>0</v>
      </c>
      <c r="X846" s="88">
        <f>SUMIF(月間集計シート!$M$71:$M$90,$G846,月間集計シート!N$71:N$90)*X$2</f>
        <v>0</v>
      </c>
      <c r="Y846" s="88">
        <f>SUMIF(月間集計シート!$M$71:$M$90,$G846,月間集計シート!O$71:O$90)*Y$2</f>
        <v>0</v>
      </c>
      <c r="Z846" s="88">
        <f>SUMIF(月間集計シート!$M$71:$M$90,$G846,月間集計シート!P$71:P$90)*Z$2</f>
        <v>0</v>
      </c>
      <c r="AA846" s="88">
        <f>SUMIF(月間集計シート!$M$71:$M$90,$G846,月間集計シート!Q$71:Q$90)*AA$2</f>
        <v>0</v>
      </c>
      <c r="AB846" s="88">
        <f>SUMIF(月間集計シート!$M$71:$M$90,$G846,月間集計シート!R$71:R$90)*AB$2</f>
        <v>0</v>
      </c>
      <c r="AC846" s="88">
        <f>SUMIF(月間集計シート!$M$71:$M$90,$G846,月間集計シート!S$71:S$90)*AC$2</f>
        <v>0</v>
      </c>
      <c r="AD846" s="88">
        <f>SUMIF(月間集計シート!$M$71:$M$90,$G846,月間集計シート!T$71:T$90)*AD$2</f>
        <v>0</v>
      </c>
      <c r="AE846" s="88">
        <f>SUMIF(月間集計シート!$M$92:$M$111,$G846,月間集計シート!N$92:N$111)*AE$2</f>
        <v>0</v>
      </c>
      <c r="AF846" s="88">
        <f>SUMIF(月間集計シート!$M$92:$M$111,$G846,月間集計シート!O$92:O$111)*AF$2</f>
        <v>0</v>
      </c>
      <c r="AG846" s="88">
        <f>SUMIF(月間集計シート!$M$92:$M$111,$G846,月間集計シート!P$92:P$111)*AG$2</f>
        <v>0</v>
      </c>
      <c r="AH846" s="88">
        <f>SUMIF(月間集計シート!$M$92:$M$111,$G846,月間集計シート!Q$92:Q$111)*AH$2</f>
        <v>0</v>
      </c>
      <c r="AI846" s="88">
        <f>SUMIF(月間集計シート!$M$92:$M$111,$G846,月間集計シート!R$92:R$111)*AI$2</f>
        <v>0</v>
      </c>
      <c r="AJ846" s="88">
        <f>SUMIF(月間集計シート!$M$92:$M$111,$G846,月間集計シート!S$92:S$111)*AJ$2</f>
        <v>0</v>
      </c>
      <c r="AK846" s="88">
        <f>SUMIF(月間集計シート!$M$92:$M$111,$G846,月間集計シート!T$92:T$111)*AK$2</f>
        <v>0</v>
      </c>
      <c r="AL846" s="88">
        <f>SUMIF(月間集計シート!$M$113:$M$132,$G846,月間集計シート!N$113:N$132)*AL$2</f>
        <v>0</v>
      </c>
      <c r="AM846" s="88">
        <f>SUMIF(月間集計シート!$M$113:$M$132,$G846,月間集計シート!O$113:O$132)*AM$2</f>
        <v>0</v>
      </c>
      <c r="AN846" s="88">
        <f>SUMIF(月間集計シート!$M$113:$M$132,$G846,月間集計シート!P$113:P$132)*AN$2</f>
        <v>0</v>
      </c>
      <c r="AO846" s="88">
        <f>SUMIF(月間集計シート!$M$113:$M$132,$G846,月間集計シート!Q$113:Q$132)*AO$2</f>
        <v>0</v>
      </c>
      <c r="AP846" s="88">
        <f>SUMIF(月間集計シート!$M$113:$M$132,$G846,月間集計シート!R$113:R$132)*AP$2</f>
        <v>0</v>
      </c>
      <c r="AQ846" s="88">
        <f>SUMIF(月間集計シート!$M$113:$M$132,$G846,月間集計シート!S$113:S$132)*AQ$2</f>
        <v>0</v>
      </c>
      <c r="AR846" s="88">
        <f>SUMIF(月間集計シート!$M$113:$M$132,$G846,月間集計シート!T$113:T$132)*AR$2</f>
        <v>0</v>
      </c>
      <c r="AS846" s="88">
        <f>SUMIF(月間集計シート!$M$134:$M$153,$G846,月間集計シート!N$134:N$153)*AS$2</f>
        <v>0</v>
      </c>
      <c r="AT846" s="88">
        <f>SUMIF(月間集計シート!$M$134:$M$153,$G846,月間集計シート!O$134:O$153)*AT$2</f>
        <v>0</v>
      </c>
      <c r="AU846" s="88">
        <f>SUMIF(月間集計シート!$M$134:$M$153,$G846,月間集計シート!P$134:P$153)*AU$2</f>
        <v>0</v>
      </c>
      <c r="AV846" s="88">
        <f>SUMIF(月間集計シート!$M$134:$M$153,$G846,月間集計シート!Q$134:Q$153)*AV$2</f>
        <v>0</v>
      </c>
      <c r="AW846" s="88">
        <f>SUMIF(月間集計シート!$M$134:$M$153,$G846,月間集計シート!R$134:R$153)*AW$2</f>
        <v>0</v>
      </c>
      <c r="AX846" s="88">
        <f>SUMIF(月間集計シート!$M$134:$M$153,$G846,月間集計シート!S$134:S$153)*AX$2</f>
        <v>0</v>
      </c>
      <c r="AY846" s="88">
        <f>SUMIF(月間集計シート!$M$134:$M$153,$G846,月間集計シート!T$134:T$153)*AY$2</f>
        <v>0</v>
      </c>
    </row>
    <row r="847" spans="1:51" ht="14.25" thickBot="1">
      <c r="A847">
        <v>10</v>
      </c>
      <c r="B847" s="120">
        <f t="shared" si="417"/>
        <v>0</v>
      </c>
      <c r="C847" s="120" t="str">
        <f t="shared" si="417"/>
        <v/>
      </c>
      <c r="D847" s="137"/>
      <c r="E847" s="150" t="str">
        <f>工種!A74</f>
        <v>90110</v>
      </c>
      <c r="F847" s="119" t="str">
        <f>工種!B74</f>
        <v>管理業務：打合せ</v>
      </c>
      <c r="G847" s="116" t="str">
        <f t="shared" si="414"/>
        <v>090110</v>
      </c>
      <c r="H847" s="88">
        <f t="shared" si="416"/>
        <v>0</v>
      </c>
      <c r="I847" s="132"/>
      <c r="J847" s="88">
        <f>SUMIF(月間集計シート!$M$29:$M$48,$G847,月間集計シート!N$29:N$48)*J$2</f>
        <v>0</v>
      </c>
      <c r="K847" s="88">
        <f>SUMIF(月間集計シート!$M$29:$M$48,$G847,月間集計シート!O$29:O$48)*K$2</f>
        <v>0</v>
      </c>
      <c r="L847" s="88">
        <f>SUMIF(月間集計シート!$M$29:$M$48,$G847,月間集計シート!P$29:P$48)*L$2</f>
        <v>0</v>
      </c>
      <c r="M847" s="88">
        <f>SUMIF(月間集計シート!$M$29:$M$48,$G847,月間集計シート!Q$29:Q$48)*M$2</f>
        <v>0</v>
      </c>
      <c r="N847" s="88">
        <f>SUMIF(月間集計シート!$M$29:$M$48,$G847,月間集計シート!R$29:R$48)*N$2</f>
        <v>0</v>
      </c>
      <c r="O847" s="88">
        <f>SUMIF(月間集計シート!$M$29:$M$48,$G847,月間集計シート!S$29:S$48)*O$2</f>
        <v>0</v>
      </c>
      <c r="P847" s="88">
        <f>SUMIF(月間集計シート!$M$29:$M$48,$G847,月間集計シート!T$29:T$48)*P$2</f>
        <v>0</v>
      </c>
      <c r="Q847" s="88">
        <f>SUMIF(月間集計シート!$M$50:$M$69,$G847,月間集計シート!N$50:N$69)*Q$2</f>
        <v>0</v>
      </c>
      <c r="R847" s="88">
        <f>SUMIF(月間集計シート!$M$50:$M$69,$G847,月間集計シート!O$50:O$69)*R$2</f>
        <v>0</v>
      </c>
      <c r="S847" s="88">
        <f>SUMIF(月間集計シート!$M$50:$M$69,$G847,月間集計シート!P$50:P$69)*S$2</f>
        <v>0</v>
      </c>
      <c r="T847" s="88">
        <f>SUMIF(月間集計シート!$M$50:$M$69,$G847,月間集計シート!Q$50:Q$69)*T$2</f>
        <v>0</v>
      </c>
      <c r="U847" s="88">
        <f>SUMIF(月間集計シート!$M$50:$M$69,$G847,月間集計シート!R$50:R$69)*U$2</f>
        <v>0</v>
      </c>
      <c r="V847" s="88">
        <f>SUMIF(月間集計シート!$M$50:$M$69,$G847,月間集計シート!S$50:S$69)*V$2</f>
        <v>0</v>
      </c>
      <c r="W847" s="88">
        <f>SUMIF(月間集計シート!$M$50:$M$69,$G847,月間集計シート!T$50:T$69)*W$2</f>
        <v>0</v>
      </c>
      <c r="X847" s="88">
        <f>SUMIF(月間集計シート!$M$71:$M$90,$G847,月間集計シート!N$71:N$90)*X$2</f>
        <v>0</v>
      </c>
      <c r="Y847" s="88">
        <f>SUMIF(月間集計シート!$M$71:$M$90,$G847,月間集計シート!O$71:O$90)*Y$2</f>
        <v>0</v>
      </c>
      <c r="Z847" s="88">
        <f>SUMIF(月間集計シート!$M$71:$M$90,$G847,月間集計シート!P$71:P$90)*Z$2</f>
        <v>0</v>
      </c>
      <c r="AA847" s="88">
        <f>SUMIF(月間集計シート!$M$71:$M$90,$G847,月間集計シート!Q$71:Q$90)*AA$2</f>
        <v>0</v>
      </c>
      <c r="AB847" s="88">
        <f>SUMIF(月間集計シート!$M$71:$M$90,$G847,月間集計シート!R$71:R$90)*AB$2</f>
        <v>0</v>
      </c>
      <c r="AC847" s="88">
        <f>SUMIF(月間集計シート!$M$71:$M$90,$G847,月間集計シート!S$71:S$90)*AC$2</f>
        <v>0</v>
      </c>
      <c r="AD847" s="88">
        <f>SUMIF(月間集計シート!$M$71:$M$90,$G847,月間集計シート!T$71:T$90)*AD$2</f>
        <v>0</v>
      </c>
      <c r="AE847" s="88">
        <f>SUMIF(月間集計シート!$M$92:$M$111,$G847,月間集計シート!N$92:N$111)*AE$2</f>
        <v>0</v>
      </c>
      <c r="AF847" s="88">
        <f>SUMIF(月間集計シート!$M$92:$M$111,$G847,月間集計シート!O$92:O$111)*AF$2</f>
        <v>0</v>
      </c>
      <c r="AG847" s="88">
        <f>SUMIF(月間集計シート!$M$92:$M$111,$G847,月間集計シート!P$92:P$111)*AG$2</f>
        <v>0</v>
      </c>
      <c r="AH847" s="88">
        <f>SUMIF(月間集計シート!$M$92:$M$111,$G847,月間集計シート!Q$92:Q$111)*AH$2</f>
        <v>0</v>
      </c>
      <c r="AI847" s="88">
        <f>SUMIF(月間集計シート!$M$92:$M$111,$G847,月間集計シート!R$92:R$111)*AI$2</f>
        <v>0</v>
      </c>
      <c r="AJ847" s="88">
        <f>SUMIF(月間集計シート!$M$92:$M$111,$G847,月間集計シート!S$92:S$111)*AJ$2</f>
        <v>0</v>
      </c>
      <c r="AK847" s="88">
        <f>SUMIF(月間集計シート!$M$92:$M$111,$G847,月間集計シート!T$92:T$111)*AK$2</f>
        <v>0</v>
      </c>
      <c r="AL847" s="88">
        <f>SUMIF(月間集計シート!$M$113:$M$132,$G847,月間集計シート!N$113:N$132)*AL$2</f>
        <v>0</v>
      </c>
      <c r="AM847" s="88">
        <f>SUMIF(月間集計シート!$M$113:$M$132,$G847,月間集計シート!O$113:O$132)*AM$2</f>
        <v>0</v>
      </c>
      <c r="AN847" s="88">
        <f>SUMIF(月間集計シート!$M$113:$M$132,$G847,月間集計シート!P$113:P$132)*AN$2</f>
        <v>0</v>
      </c>
      <c r="AO847" s="88">
        <f>SUMIF(月間集計シート!$M$113:$M$132,$G847,月間集計シート!Q$113:Q$132)*AO$2</f>
        <v>0</v>
      </c>
      <c r="AP847" s="88">
        <f>SUMIF(月間集計シート!$M$113:$M$132,$G847,月間集計シート!R$113:R$132)*AP$2</f>
        <v>0</v>
      </c>
      <c r="AQ847" s="88">
        <f>SUMIF(月間集計シート!$M$113:$M$132,$G847,月間集計シート!S$113:S$132)*AQ$2</f>
        <v>0</v>
      </c>
      <c r="AR847" s="88">
        <f>SUMIF(月間集計シート!$M$113:$M$132,$G847,月間集計シート!T$113:T$132)*AR$2</f>
        <v>0</v>
      </c>
      <c r="AS847" s="88">
        <f>SUMIF(月間集計シート!$M$134:$M$153,$G847,月間集計シート!N$134:N$153)*AS$2</f>
        <v>0</v>
      </c>
      <c r="AT847" s="88">
        <f>SUMIF(月間集計シート!$M$134:$M$153,$G847,月間集計シート!O$134:O$153)*AT$2</f>
        <v>0</v>
      </c>
      <c r="AU847" s="88">
        <f>SUMIF(月間集計シート!$M$134:$M$153,$G847,月間集計シート!P$134:P$153)*AU$2</f>
        <v>0</v>
      </c>
      <c r="AV847" s="88">
        <f>SUMIF(月間集計シート!$M$134:$M$153,$G847,月間集計シート!Q$134:Q$153)*AV$2</f>
        <v>0</v>
      </c>
      <c r="AW847" s="88">
        <f>SUMIF(月間集計シート!$M$134:$M$153,$G847,月間集計シート!R$134:R$153)*AW$2</f>
        <v>0</v>
      </c>
      <c r="AX847" s="88">
        <f>SUMIF(月間集計シート!$M$134:$M$153,$G847,月間集計シート!S$134:S$153)*AX$2</f>
        <v>0</v>
      </c>
      <c r="AY847" s="88">
        <f>SUMIF(月間集計シート!$M$134:$M$153,$G847,月間集計シート!T$134:T$153)*AY$2</f>
        <v>0</v>
      </c>
    </row>
    <row r="848" spans="1:51" ht="14.25" thickBot="1">
      <c r="A848">
        <v>10</v>
      </c>
      <c r="B848" s="120">
        <f t="shared" si="417"/>
        <v>0</v>
      </c>
      <c r="C848" s="120" t="str">
        <f t="shared" si="417"/>
        <v/>
      </c>
      <c r="D848" s="137"/>
      <c r="E848" s="150" t="str">
        <f>工種!A75</f>
        <v>90111</v>
      </c>
      <c r="F848" s="119" t="str">
        <f>工種!B75</f>
        <v>管理業務：レビュー</v>
      </c>
      <c r="G848" s="116" t="str">
        <f t="shared" si="414"/>
        <v>090111</v>
      </c>
      <c r="H848" s="88">
        <f t="shared" si="416"/>
        <v>0</v>
      </c>
      <c r="I848" s="132"/>
      <c r="J848" s="88">
        <f>SUMIF(月間集計シート!$M$29:$M$48,$G848,月間集計シート!N$29:N$48)*J$2</f>
        <v>0</v>
      </c>
      <c r="K848" s="88">
        <f>SUMIF(月間集計シート!$M$29:$M$48,$G848,月間集計シート!O$29:O$48)*K$2</f>
        <v>0</v>
      </c>
      <c r="L848" s="88">
        <f>SUMIF(月間集計シート!$M$29:$M$48,$G848,月間集計シート!P$29:P$48)*L$2</f>
        <v>0</v>
      </c>
      <c r="M848" s="88">
        <f>SUMIF(月間集計シート!$M$29:$M$48,$G848,月間集計シート!Q$29:Q$48)*M$2</f>
        <v>0</v>
      </c>
      <c r="N848" s="88">
        <f>SUMIF(月間集計シート!$M$29:$M$48,$G848,月間集計シート!R$29:R$48)*N$2</f>
        <v>0</v>
      </c>
      <c r="O848" s="88">
        <f>SUMIF(月間集計シート!$M$29:$M$48,$G848,月間集計シート!S$29:S$48)*O$2</f>
        <v>0</v>
      </c>
      <c r="P848" s="88">
        <f>SUMIF(月間集計シート!$M$29:$M$48,$G848,月間集計シート!T$29:T$48)*P$2</f>
        <v>0</v>
      </c>
      <c r="Q848" s="88">
        <f>SUMIF(月間集計シート!$M$50:$M$69,$G848,月間集計シート!N$50:N$69)*Q$2</f>
        <v>0</v>
      </c>
      <c r="R848" s="88">
        <f>SUMIF(月間集計シート!$M$50:$M$69,$G848,月間集計シート!O$50:O$69)*R$2</f>
        <v>0</v>
      </c>
      <c r="S848" s="88">
        <f>SUMIF(月間集計シート!$M$50:$M$69,$G848,月間集計シート!P$50:P$69)*S$2</f>
        <v>0</v>
      </c>
      <c r="T848" s="88">
        <f>SUMIF(月間集計シート!$M$50:$M$69,$G848,月間集計シート!Q$50:Q$69)*T$2</f>
        <v>0</v>
      </c>
      <c r="U848" s="88">
        <f>SUMIF(月間集計シート!$M$50:$M$69,$G848,月間集計シート!R$50:R$69)*U$2</f>
        <v>0</v>
      </c>
      <c r="V848" s="88">
        <f>SUMIF(月間集計シート!$M$50:$M$69,$G848,月間集計シート!S$50:S$69)*V$2</f>
        <v>0</v>
      </c>
      <c r="W848" s="88">
        <f>SUMIF(月間集計シート!$M$50:$M$69,$G848,月間集計シート!T$50:T$69)*W$2</f>
        <v>0</v>
      </c>
      <c r="X848" s="88">
        <f>SUMIF(月間集計シート!$M$71:$M$90,$G848,月間集計シート!N$71:N$90)*X$2</f>
        <v>0</v>
      </c>
      <c r="Y848" s="88">
        <f>SUMIF(月間集計シート!$M$71:$M$90,$G848,月間集計シート!O$71:O$90)*Y$2</f>
        <v>0</v>
      </c>
      <c r="Z848" s="88">
        <f>SUMIF(月間集計シート!$M$71:$M$90,$G848,月間集計シート!P$71:P$90)*Z$2</f>
        <v>0</v>
      </c>
      <c r="AA848" s="88">
        <f>SUMIF(月間集計シート!$M$71:$M$90,$G848,月間集計シート!Q$71:Q$90)*AA$2</f>
        <v>0</v>
      </c>
      <c r="AB848" s="88">
        <f>SUMIF(月間集計シート!$M$71:$M$90,$G848,月間集計シート!R$71:R$90)*AB$2</f>
        <v>0</v>
      </c>
      <c r="AC848" s="88">
        <f>SUMIF(月間集計シート!$M$71:$M$90,$G848,月間集計シート!S$71:S$90)*AC$2</f>
        <v>0</v>
      </c>
      <c r="AD848" s="88">
        <f>SUMIF(月間集計シート!$M$71:$M$90,$G848,月間集計シート!T$71:T$90)*AD$2</f>
        <v>0</v>
      </c>
      <c r="AE848" s="88">
        <f>SUMIF(月間集計シート!$M$92:$M$111,$G848,月間集計シート!N$92:N$111)*AE$2</f>
        <v>0</v>
      </c>
      <c r="AF848" s="88">
        <f>SUMIF(月間集計シート!$M$92:$M$111,$G848,月間集計シート!O$92:O$111)*AF$2</f>
        <v>0</v>
      </c>
      <c r="AG848" s="88">
        <f>SUMIF(月間集計シート!$M$92:$M$111,$G848,月間集計シート!P$92:P$111)*AG$2</f>
        <v>0</v>
      </c>
      <c r="AH848" s="88">
        <f>SUMIF(月間集計シート!$M$92:$M$111,$G848,月間集計シート!Q$92:Q$111)*AH$2</f>
        <v>0</v>
      </c>
      <c r="AI848" s="88">
        <f>SUMIF(月間集計シート!$M$92:$M$111,$G848,月間集計シート!R$92:R$111)*AI$2</f>
        <v>0</v>
      </c>
      <c r="AJ848" s="88">
        <f>SUMIF(月間集計シート!$M$92:$M$111,$G848,月間集計シート!S$92:S$111)*AJ$2</f>
        <v>0</v>
      </c>
      <c r="AK848" s="88">
        <f>SUMIF(月間集計シート!$M$92:$M$111,$G848,月間集計シート!T$92:T$111)*AK$2</f>
        <v>0</v>
      </c>
      <c r="AL848" s="88">
        <f>SUMIF(月間集計シート!$M$113:$M$132,$G848,月間集計シート!N$113:N$132)*AL$2</f>
        <v>0</v>
      </c>
      <c r="AM848" s="88">
        <f>SUMIF(月間集計シート!$M$113:$M$132,$G848,月間集計シート!O$113:O$132)*AM$2</f>
        <v>0</v>
      </c>
      <c r="AN848" s="88">
        <f>SUMIF(月間集計シート!$M$113:$M$132,$G848,月間集計シート!P$113:P$132)*AN$2</f>
        <v>0</v>
      </c>
      <c r="AO848" s="88">
        <f>SUMIF(月間集計シート!$M$113:$M$132,$G848,月間集計シート!Q$113:Q$132)*AO$2</f>
        <v>0</v>
      </c>
      <c r="AP848" s="88">
        <f>SUMIF(月間集計シート!$M$113:$M$132,$G848,月間集計シート!R$113:R$132)*AP$2</f>
        <v>0</v>
      </c>
      <c r="AQ848" s="88">
        <f>SUMIF(月間集計シート!$M$113:$M$132,$G848,月間集計シート!S$113:S$132)*AQ$2</f>
        <v>0</v>
      </c>
      <c r="AR848" s="88">
        <f>SUMIF(月間集計シート!$M$113:$M$132,$G848,月間集計シート!T$113:T$132)*AR$2</f>
        <v>0</v>
      </c>
      <c r="AS848" s="88">
        <f>SUMIF(月間集計シート!$M$134:$M$153,$G848,月間集計シート!N$134:N$153)*AS$2</f>
        <v>0</v>
      </c>
      <c r="AT848" s="88">
        <f>SUMIF(月間集計シート!$M$134:$M$153,$G848,月間集計シート!O$134:O$153)*AT$2</f>
        <v>0</v>
      </c>
      <c r="AU848" s="88">
        <f>SUMIF(月間集計シート!$M$134:$M$153,$G848,月間集計シート!P$134:P$153)*AU$2</f>
        <v>0</v>
      </c>
      <c r="AV848" s="88">
        <f>SUMIF(月間集計シート!$M$134:$M$153,$G848,月間集計シート!Q$134:Q$153)*AV$2</f>
        <v>0</v>
      </c>
      <c r="AW848" s="88">
        <f>SUMIF(月間集計シート!$M$134:$M$153,$G848,月間集計シート!R$134:R$153)*AW$2</f>
        <v>0</v>
      </c>
      <c r="AX848" s="88">
        <f>SUMIF(月間集計シート!$M$134:$M$153,$G848,月間集計シート!S$134:S$153)*AX$2</f>
        <v>0</v>
      </c>
      <c r="AY848" s="88">
        <f>SUMIF(月間集計シート!$M$134:$M$153,$G848,月間集計シート!T$134:T$153)*AY$2</f>
        <v>0</v>
      </c>
    </row>
    <row r="849" spans="1:51" ht="14.25" thickBot="1">
      <c r="A849">
        <v>10</v>
      </c>
      <c r="B849" s="120">
        <f t="shared" si="417"/>
        <v>0</v>
      </c>
      <c r="C849" s="120" t="str">
        <f t="shared" si="417"/>
        <v/>
      </c>
      <c r="D849" s="137"/>
      <c r="E849" s="150" t="str">
        <f>工種!A76</f>
        <v>90199</v>
      </c>
      <c r="F849" s="119" t="str">
        <f>工種!B76</f>
        <v>管理業務：その他</v>
      </c>
      <c r="G849" s="116" t="str">
        <f t="shared" si="414"/>
        <v>090199</v>
      </c>
      <c r="H849" s="88">
        <f t="shared" si="416"/>
        <v>0</v>
      </c>
      <c r="I849" s="132"/>
      <c r="J849" s="88">
        <f>SUMIF(月間集計シート!$M$29:$M$48,$G849,月間集計シート!N$29:N$48)*J$2</f>
        <v>0</v>
      </c>
      <c r="K849" s="88">
        <f>SUMIF(月間集計シート!$M$29:$M$48,$G849,月間集計シート!O$29:O$48)*K$2</f>
        <v>0</v>
      </c>
      <c r="L849" s="88">
        <f>SUMIF(月間集計シート!$M$29:$M$48,$G849,月間集計シート!P$29:P$48)*L$2</f>
        <v>0</v>
      </c>
      <c r="M849" s="88">
        <f>SUMIF(月間集計シート!$M$29:$M$48,$G849,月間集計シート!Q$29:Q$48)*M$2</f>
        <v>0</v>
      </c>
      <c r="N849" s="88">
        <f>SUMIF(月間集計シート!$M$29:$M$48,$G849,月間集計シート!R$29:R$48)*N$2</f>
        <v>0</v>
      </c>
      <c r="O849" s="88">
        <f>SUMIF(月間集計シート!$M$29:$M$48,$G849,月間集計シート!S$29:S$48)*O$2</f>
        <v>0</v>
      </c>
      <c r="P849" s="88">
        <f>SUMIF(月間集計シート!$M$29:$M$48,$G849,月間集計シート!T$29:T$48)*P$2</f>
        <v>0</v>
      </c>
      <c r="Q849" s="88">
        <f>SUMIF(月間集計シート!$M$50:$M$69,$G849,月間集計シート!N$50:N$69)*Q$2</f>
        <v>0</v>
      </c>
      <c r="R849" s="88">
        <f>SUMIF(月間集計シート!$M$50:$M$69,$G849,月間集計シート!O$50:O$69)*R$2</f>
        <v>0</v>
      </c>
      <c r="S849" s="88">
        <f>SUMIF(月間集計シート!$M$50:$M$69,$G849,月間集計シート!P$50:P$69)*S$2</f>
        <v>0</v>
      </c>
      <c r="T849" s="88">
        <f>SUMIF(月間集計シート!$M$50:$M$69,$G849,月間集計シート!Q$50:Q$69)*T$2</f>
        <v>0</v>
      </c>
      <c r="U849" s="88">
        <f>SUMIF(月間集計シート!$M$50:$M$69,$G849,月間集計シート!R$50:R$69)*U$2</f>
        <v>0</v>
      </c>
      <c r="V849" s="88">
        <f>SUMIF(月間集計シート!$M$50:$M$69,$G849,月間集計シート!S$50:S$69)*V$2</f>
        <v>0</v>
      </c>
      <c r="W849" s="88">
        <f>SUMIF(月間集計シート!$M$50:$M$69,$G849,月間集計シート!T$50:T$69)*W$2</f>
        <v>0</v>
      </c>
      <c r="X849" s="88">
        <f>SUMIF(月間集計シート!$M$71:$M$90,$G849,月間集計シート!N$71:N$90)*X$2</f>
        <v>0</v>
      </c>
      <c r="Y849" s="88">
        <f>SUMIF(月間集計シート!$M$71:$M$90,$G849,月間集計シート!O$71:O$90)*Y$2</f>
        <v>0</v>
      </c>
      <c r="Z849" s="88">
        <f>SUMIF(月間集計シート!$M$71:$M$90,$G849,月間集計シート!P$71:P$90)*Z$2</f>
        <v>0</v>
      </c>
      <c r="AA849" s="88">
        <f>SUMIF(月間集計シート!$M$71:$M$90,$G849,月間集計シート!Q$71:Q$90)*AA$2</f>
        <v>0</v>
      </c>
      <c r="AB849" s="88">
        <f>SUMIF(月間集計シート!$M$71:$M$90,$G849,月間集計シート!R$71:R$90)*AB$2</f>
        <v>0</v>
      </c>
      <c r="AC849" s="88">
        <f>SUMIF(月間集計シート!$M$71:$M$90,$G849,月間集計シート!S$71:S$90)*AC$2</f>
        <v>0</v>
      </c>
      <c r="AD849" s="88">
        <f>SUMIF(月間集計シート!$M$71:$M$90,$G849,月間集計シート!T$71:T$90)*AD$2</f>
        <v>0</v>
      </c>
      <c r="AE849" s="88">
        <f>SUMIF(月間集計シート!$M$92:$M$111,$G849,月間集計シート!N$92:N$111)*AE$2</f>
        <v>0</v>
      </c>
      <c r="AF849" s="88">
        <f>SUMIF(月間集計シート!$M$92:$M$111,$G849,月間集計シート!O$92:O$111)*AF$2</f>
        <v>0</v>
      </c>
      <c r="AG849" s="88">
        <f>SUMIF(月間集計シート!$M$92:$M$111,$G849,月間集計シート!P$92:P$111)*AG$2</f>
        <v>0</v>
      </c>
      <c r="AH849" s="88">
        <f>SUMIF(月間集計シート!$M$92:$M$111,$G849,月間集計シート!Q$92:Q$111)*AH$2</f>
        <v>0</v>
      </c>
      <c r="AI849" s="88">
        <f>SUMIF(月間集計シート!$M$92:$M$111,$G849,月間集計シート!R$92:R$111)*AI$2</f>
        <v>0</v>
      </c>
      <c r="AJ849" s="88">
        <f>SUMIF(月間集計シート!$M$92:$M$111,$G849,月間集計シート!S$92:S$111)*AJ$2</f>
        <v>0</v>
      </c>
      <c r="AK849" s="88">
        <f>SUMIF(月間集計シート!$M$92:$M$111,$G849,月間集計シート!T$92:T$111)*AK$2</f>
        <v>0</v>
      </c>
      <c r="AL849" s="88">
        <f>SUMIF(月間集計シート!$M$113:$M$132,$G849,月間集計シート!N$113:N$132)*AL$2</f>
        <v>0</v>
      </c>
      <c r="AM849" s="88">
        <f>SUMIF(月間集計シート!$M$113:$M$132,$G849,月間集計シート!O$113:O$132)*AM$2</f>
        <v>0</v>
      </c>
      <c r="AN849" s="88">
        <f>SUMIF(月間集計シート!$M$113:$M$132,$G849,月間集計シート!P$113:P$132)*AN$2</f>
        <v>0</v>
      </c>
      <c r="AO849" s="88">
        <f>SUMIF(月間集計シート!$M$113:$M$132,$G849,月間集計シート!Q$113:Q$132)*AO$2</f>
        <v>0</v>
      </c>
      <c r="AP849" s="88">
        <f>SUMIF(月間集計シート!$M$113:$M$132,$G849,月間集計シート!R$113:R$132)*AP$2</f>
        <v>0</v>
      </c>
      <c r="AQ849" s="88">
        <f>SUMIF(月間集計シート!$M$113:$M$132,$G849,月間集計シート!S$113:S$132)*AQ$2</f>
        <v>0</v>
      </c>
      <c r="AR849" s="88">
        <f>SUMIF(月間集計シート!$M$113:$M$132,$G849,月間集計シート!T$113:T$132)*AR$2</f>
        <v>0</v>
      </c>
      <c r="AS849" s="88">
        <f>SUMIF(月間集計シート!$M$134:$M$153,$G849,月間集計シート!N$134:N$153)*AS$2</f>
        <v>0</v>
      </c>
      <c r="AT849" s="88">
        <f>SUMIF(月間集計シート!$M$134:$M$153,$G849,月間集計シート!O$134:O$153)*AT$2</f>
        <v>0</v>
      </c>
      <c r="AU849" s="88">
        <f>SUMIF(月間集計シート!$M$134:$M$153,$G849,月間集計シート!P$134:P$153)*AU$2</f>
        <v>0</v>
      </c>
      <c r="AV849" s="88">
        <f>SUMIF(月間集計シート!$M$134:$M$153,$G849,月間集計シート!Q$134:Q$153)*AV$2</f>
        <v>0</v>
      </c>
      <c r="AW849" s="88">
        <f>SUMIF(月間集計シート!$M$134:$M$153,$G849,月間集計シート!R$134:R$153)*AW$2</f>
        <v>0</v>
      </c>
      <c r="AX849" s="88">
        <f>SUMIF(月間集計シート!$M$134:$M$153,$G849,月間集計シート!S$134:S$153)*AX$2</f>
        <v>0</v>
      </c>
      <c r="AY849" s="88">
        <f>SUMIF(月間集計シート!$M$134:$M$153,$G849,月間集計シート!T$134:T$153)*AY$2</f>
        <v>0</v>
      </c>
    </row>
    <row r="850" spans="1:51" ht="14.25" thickBot="1">
      <c r="A850">
        <v>10</v>
      </c>
      <c r="B850" s="120">
        <f t="shared" si="417"/>
        <v>0</v>
      </c>
      <c r="C850" s="120" t="str">
        <f t="shared" si="417"/>
        <v/>
      </c>
      <c r="D850" s="137"/>
      <c r="E850" s="150">
        <f>工種!A77</f>
        <v>99102</v>
      </c>
      <c r="F850" s="119" t="str">
        <f>工種!B77</f>
        <v>間接業務：業務環境管理（PCｾｯﾄｱｯﾌﾟ等）</v>
      </c>
      <c r="G850" s="116" t="str">
        <f t="shared" si="414"/>
        <v>099102</v>
      </c>
      <c r="H850" s="88">
        <f t="shared" si="416"/>
        <v>0</v>
      </c>
      <c r="I850" s="132"/>
      <c r="J850" s="88">
        <f>SUMIF(月間集計シート!$M$29:$M$48,$G850,月間集計シート!N$29:N$48)*J$2</f>
        <v>0</v>
      </c>
      <c r="K850" s="88">
        <f>SUMIF(月間集計シート!$M$29:$M$48,$G850,月間集計シート!O$29:O$48)*K$2</f>
        <v>0</v>
      </c>
      <c r="L850" s="88">
        <f>SUMIF(月間集計シート!$M$29:$M$48,$G850,月間集計シート!P$29:P$48)*L$2</f>
        <v>0</v>
      </c>
      <c r="M850" s="88">
        <f>SUMIF(月間集計シート!$M$29:$M$48,$G850,月間集計シート!Q$29:Q$48)*M$2</f>
        <v>0</v>
      </c>
      <c r="N850" s="88">
        <f>SUMIF(月間集計シート!$M$29:$M$48,$G850,月間集計シート!R$29:R$48)*N$2</f>
        <v>0</v>
      </c>
      <c r="O850" s="88">
        <f>SUMIF(月間集計シート!$M$29:$M$48,$G850,月間集計シート!S$29:S$48)*O$2</f>
        <v>0</v>
      </c>
      <c r="P850" s="88">
        <f>SUMIF(月間集計シート!$M$29:$M$48,$G850,月間集計シート!T$29:T$48)*P$2</f>
        <v>0</v>
      </c>
      <c r="Q850" s="88">
        <f>SUMIF(月間集計シート!$M$50:$M$69,$G850,月間集計シート!N$50:N$69)*Q$2</f>
        <v>0</v>
      </c>
      <c r="R850" s="88">
        <f>SUMIF(月間集計シート!$M$50:$M$69,$G850,月間集計シート!O$50:O$69)*R$2</f>
        <v>0</v>
      </c>
      <c r="S850" s="88">
        <f>SUMIF(月間集計シート!$M$50:$M$69,$G850,月間集計シート!P$50:P$69)*S$2</f>
        <v>0</v>
      </c>
      <c r="T850" s="88">
        <f>SUMIF(月間集計シート!$M$50:$M$69,$G850,月間集計シート!Q$50:Q$69)*T$2</f>
        <v>0</v>
      </c>
      <c r="U850" s="88">
        <f>SUMIF(月間集計シート!$M$50:$M$69,$G850,月間集計シート!R$50:R$69)*U$2</f>
        <v>0</v>
      </c>
      <c r="V850" s="88">
        <f>SUMIF(月間集計シート!$M$50:$M$69,$G850,月間集計シート!S$50:S$69)*V$2</f>
        <v>0</v>
      </c>
      <c r="W850" s="88">
        <f>SUMIF(月間集計シート!$M$50:$M$69,$G850,月間集計シート!T$50:T$69)*W$2</f>
        <v>0</v>
      </c>
      <c r="X850" s="88">
        <f>SUMIF(月間集計シート!$M$71:$M$90,$G850,月間集計シート!N$71:N$90)*X$2</f>
        <v>0</v>
      </c>
      <c r="Y850" s="88">
        <f>SUMIF(月間集計シート!$M$71:$M$90,$G850,月間集計シート!O$71:O$90)*Y$2</f>
        <v>0</v>
      </c>
      <c r="Z850" s="88">
        <f>SUMIF(月間集計シート!$M$71:$M$90,$G850,月間集計シート!P$71:P$90)*Z$2</f>
        <v>0</v>
      </c>
      <c r="AA850" s="88">
        <f>SUMIF(月間集計シート!$M$71:$M$90,$G850,月間集計シート!Q$71:Q$90)*AA$2</f>
        <v>0</v>
      </c>
      <c r="AB850" s="88">
        <f>SUMIF(月間集計シート!$M$71:$M$90,$G850,月間集計シート!R$71:R$90)*AB$2</f>
        <v>0</v>
      </c>
      <c r="AC850" s="88">
        <f>SUMIF(月間集計シート!$M$71:$M$90,$G850,月間集計シート!S$71:S$90)*AC$2</f>
        <v>0</v>
      </c>
      <c r="AD850" s="88">
        <f>SUMIF(月間集計シート!$M$71:$M$90,$G850,月間集計シート!T$71:T$90)*AD$2</f>
        <v>0</v>
      </c>
      <c r="AE850" s="88">
        <f>SUMIF(月間集計シート!$M$92:$M$111,$G850,月間集計シート!N$92:N$111)*AE$2</f>
        <v>0</v>
      </c>
      <c r="AF850" s="88">
        <f>SUMIF(月間集計シート!$M$92:$M$111,$G850,月間集計シート!O$92:O$111)*AF$2</f>
        <v>0</v>
      </c>
      <c r="AG850" s="88">
        <f>SUMIF(月間集計シート!$M$92:$M$111,$G850,月間集計シート!P$92:P$111)*AG$2</f>
        <v>0</v>
      </c>
      <c r="AH850" s="88">
        <f>SUMIF(月間集計シート!$M$92:$M$111,$G850,月間集計シート!Q$92:Q$111)*AH$2</f>
        <v>0</v>
      </c>
      <c r="AI850" s="88">
        <f>SUMIF(月間集計シート!$M$92:$M$111,$G850,月間集計シート!R$92:R$111)*AI$2</f>
        <v>0</v>
      </c>
      <c r="AJ850" s="88">
        <f>SUMIF(月間集計シート!$M$92:$M$111,$G850,月間集計シート!S$92:S$111)*AJ$2</f>
        <v>0</v>
      </c>
      <c r="AK850" s="88">
        <f>SUMIF(月間集計シート!$M$92:$M$111,$G850,月間集計シート!T$92:T$111)*AK$2</f>
        <v>0</v>
      </c>
      <c r="AL850" s="88">
        <f>SUMIF(月間集計シート!$M$113:$M$132,$G850,月間集計シート!N$113:N$132)*AL$2</f>
        <v>0</v>
      </c>
      <c r="AM850" s="88">
        <f>SUMIF(月間集計シート!$M$113:$M$132,$G850,月間集計シート!O$113:O$132)*AM$2</f>
        <v>0</v>
      </c>
      <c r="AN850" s="88">
        <f>SUMIF(月間集計シート!$M$113:$M$132,$G850,月間集計シート!P$113:P$132)*AN$2</f>
        <v>0</v>
      </c>
      <c r="AO850" s="88">
        <f>SUMIF(月間集計シート!$M$113:$M$132,$G850,月間集計シート!Q$113:Q$132)*AO$2</f>
        <v>0</v>
      </c>
      <c r="AP850" s="88">
        <f>SUMIF(月間集計シート!$M$113:$M$132,$G850,月間集計シート!R$113:R$132)*AP$2</f>
        <v>0</v>
      </c>
      <c r="AQ850" s="88">
        <f>SUMIF(月間集計シート!$M$113:$M$132,$G850,月間集計シート!S$113:S$132)*AQ$2</f>
        <v>0</v>
      </c>
      <c r="AR850" s="88">
        <f>SUMIF(月間集計シート!$M$113:$M$132,$G850,月間集計シート!T$113:T$132)*AR$2</f>
        <v>0</v>
      </c>
      <c r="AS850" s="88">
        <f>SUMIF(月間集計シート!$M$134:$M$153,$G850,月間集計シート!N$134:N$153)*AS$2</f>
        <v>0</v>
      </c>
      <c r="AT850" s="88">
        <f>SUMIF(月間集計シート!$M$134:$M$153,$G850,月間集計シート!O$134:O$153)*AT$2</f>
        <v>0</v>
      </c>
      <c r="AU850" s="88">
        <f>SUMIF(月間集計シート!$M$134:$M$153,$G850,月間集計シート!P$134:P$153)*AU$2</f>
        <v>0</v>
      </c>
      <c r="AV850" s="88">
        <f>SUMIF(月間集計シート!$M$134:$M$153,$G850,月間集計シート!Q$134:Q$153)*AV$2</f>
        <v>0</v>
      </c>
      <c r="AW850" s="88">
        <f>SUMIF(月間集計シート!$M$134:$M$153,$G850,月間集計シート!R$134:R$153)*AW$2</f>
        <v>0</v>
      </c>
      <c r="AX850" s="88">
        <f>SUMIF(月間集計シート!$M$134:$M$153,$G850,月間集計シート!S$134:S$153)*AX$2</f>
        <v>0</v>
      </c>
      <c r="AY850" s="88">
        <f>SUMIF(月間集計シート!$M$134:$M$153,$G850,月間集計シート!T$134:T$153)*AY$2</f>
        <v>0</v>
      </c>
    </row>
    <row r="851" spans="1:51" ht="14.25" thickBot="1">
      <c r="A851">
        <v>10</v>
      </c>
      <c r="B851" s="120">
        <f t="shared" si="417"/>
        <v>0</v>
      </c>
      <c r="C851" s="120" t="str">
        <f t="shared" si="417"/>
        <v/>
      </c>
      <c r="D851" s="137"/>
      <c r="E851" s="150" t="str">
        <f>工種!A78</f>
        <v>99103</v>
      </c>
      <c r="F851" s="119" t="str">
        <f>工種!B78</f>
        <v>間接業務：標準化・業務改善作業（開発以外）</v>
      </c>
      <c r="G851" s="116" t="str">
        <f t="shared" si="414"/>
        <v>099103</v>
      </c>
      <c r="H851" s="88">
        <f t="shared" si="416"/>
        <v>0</v>
      </c>
      <c r="I851" s="132"/>
      <c r="J851" s="88">
        <f>SUMIF(月間集計シート!$M$29:$M$48,$G851,月間集計シート!N$29:N$48)*J$2</f>
        <v>0</v>
      </c>
      <c r="K851" s="88">
        <f>SUMIF(月間集計シート!$M$29:$M$48,$G851,月間集計シート!O$29:O$48)*K$2</f>
        <v>0</v>
      </c>
      <c r="L851" s="88">
        <f>SUMIF(月間集計シート!$M$29:$M$48,$G851,月間集計シート!P$29:P$48)*L$2</f>
        <v>0</v>
      </c>
      <c r="M851" s="88">
        <f>SUMIF(月間集計シート!$M$29:$M$48,$G851,月間集計シート!Q$29:Q$48)*M$2</f>
        <v>0</v>
      </c>
      <c r="N851" s="88">
        <f>SUMIF(月間集計シート!$M$29:$M$48,$G851,月間集計シート!R$29:R$48)*N$2</f>
        <v>0</v>
      </c>
      <c r="O851" s="88">
        <f>SUMIF(月間集計シート!$M$29:$M$48,$G851,月間集計シート!S$29:S$48)*O$2</f>
        <v>0</v>
      </c>
      <c r="P851" s="88">
        <f>SUMIF(月間集計シート!$M$29:$M$48,$G851,月間集計シート!T$29:T$48)*P$2</f>
        <v>0</v>
      </c>
      <c r="Q851" s="88">
        <f>SUMIF(月間集計シート!$M$50:$M$69,$G851,月間集計シート!N$50:N$69)*Q$2</f>
        <v>0</v>
      </c>
      <c r="R851" s="88">
        <f>SUMIF(月間集計シート!$M$50:$M$69,$G851,月間集計シート!O$50:O$69)*R$2</f>
        <v>0</v>
      </c>
      <c r="S851" s="88">
        <f>SUMIF(月間集計シート!$M$50:$M$69,$G851,月間集計シート!P$50:P$69)*S$2</f>
        <v>0</v>
      </c>
      <c r="T851" s="88">
        <f>SUMIF(月間集計シート!$M$50:$M$69,$G851,月間集計シート!Q$50:Q$69)*T$2</f>
        <v>0</v>
      </c>
      <c r="U851" s="88">
        <f>SUMIF(月間集計シート!$M$50:$M$69,$G851,月間集計シート!R$50:R$69)*U$2</f>
        <v>0</v>
      </c>
      <c r="V851" s="88">
        <f>SUMIF(月間集計シート!$M$50:$M$69,$G851,月間集計シート!S$50:S$69)*V$2</f>
        <v>0</v>
      </c>
      <c r="W851" s="88">
        <f>SUMIF(月間集計シート!$M$50:$M$69,$G851,月間集計シート!T$50:T$69)*W$2</f>
        <v>0</v>
      </c>
      <c r="X851" s="88">
        <f>SUMIF(月間集計シート!$M$71:$M$90,$G851,月間集計シート!N$71:N$90)*X$2</f>
        <v>0</v>
      </c>
      <c r="Y851" s="88">
        <f>SUMIF(月間集計シート!$M$71:$M$90,$G851,月間集計シート!O$71:O$90)*Y$2</f>
        <v>0</v>
      </c>
      <c r="Z851" s="88">
        <f>SUMIF(月間集計シート!$M$71:$M$90,$G851,月間集計シート!P$71:P$90)*Z$2</f>
        <v>0</v>
      </c>
      <c r="AA851" s="88">
        <f>SUMIF(月間集計シート!$M$71:$M$90,$G851,月間集計シート!Q$71:Q$90)*AA$2</f>
        <v>0</v>
      </c>
      <c r="AB851" s="88">
        <f>SUMIF(月間集計シート!$M$71:$M$90,$G851,月間集計シート!R$71:R$90)*AB$2</f>
        <v>0</v>
      </c>
      <c r="AC851" s="88">
        <f>SUMIF(月間集計シート!$M$71:$M$90,$G851,月間集計シート!S$71:S$90)*AC$2</f>
        <v>0</v>
      </c>
      <c r="AD851" s="88">
        <f>SUMIF(月間集計シート!$M$71:$M$90,$G851,月間集計シート!T$71:T$90)*AD$2</f>
        <v>0</v>
      </c>
      <c r="AE851" s="88">
        <f>SUMIF(月間集計シート!$M$92:$M$111,$G851,月間集計シート!N$92:N$111)*AE$2</f>
        <v>0</v>
      </c>
      <c r="AF851" s="88">
        <f>SUMIF(月間集計シート!$M$92:$M$111,$G851,月間集計シート!O$92:O$111)*AF$2</f>
        <v>0</v>
      </c>
      <c r="AG851" s="88">
        <f>SUMIF(月間集計シート!$M$92:$M$111,$G851,月間集計シート!P$92:P$111)*AG$2</f>
        <v>0</v>
      </c>
      <c r="AH851" s="88">
        <f>SUMIF(月間集計シート!$M$92:$M$111,$G851,月間集計シート!Q$92:Q$111)*AH$2</f>
        <v>0</v>
      </c>
      <c r="AI851" s="88">
        <f>SUMIF(月間集計シート!$M$92:$M$111,$G851,月間集計シート!R$92:R$111)*AI$2</f>
        <v>0</v>
      </c>
      <c r="AJ851" s="88">
        <f>SUMIF(月間集計シート!$M$92:$M$111,$G851,月間集計シート!S$92:S$111)*AJ$2</f>
        <v>0</v>
      </c>
      <c r="AK851" s="88">
        <f>SUMIF(月間集計シート!$M$92:$M$111,$G851,月間集計シート!T$92:T$111)*AK$2</f>
        <v>0</v>
      </c>
      <c r="AL851" s="88">
        <f>SUMIF(月間集計シート!$M$113:$M$132,$G851,月間集計シート!N$113:N$132)*AL$2</f>
        <v>0</v>
      </c>
      <c r="AM851" s="88">
        <f>SUMIF(月間集計シート!$M$113:$M$132,$G851,月間集計シート!O$113:O$132)*AM$2</f>
        <v>0</v>
      </c>
      <c r="AN851" s="88">
        <f>SUMIF(月間集計シート!$M$113:$M$132,$G851,月間集計シート!P$113:P$132)*AN$2</f>
        <v>0</v>
      </c>
      <c r="AO851" s="88">
        <f>SUMIF(月間集計シート!$M$113:$M$132,$G851,月間集計シート!Q$113:Q$132)*AO$2</f>
        <v>0</v>
      </c>
      <c r="AP851" s="88">
        <f>SUMIF(月間集計シート!$M$113:$M$132,$G851,月間集計シート!R$113:R$132)*AP$2</f>
        <v>0</v>
      </c>
      <c r="AQ851" s="88">
        <f>SUMIF(月間集計シート!$M$113:$M$132,$G851,月間集計シート!S$113:S$132)*AQ$2</f>
        <v>0</v>
      </c>
      <c r="AR851" s="88">
        <f>SUMIF(月間集計シート!$M$113:$M$132,$G851,月間集計シート!T$113:T$132)*AR$2</f>
        <v>0</v>
      </c>
      <c r="AS851" s="88">
        <f>SUMIF(月間集計シート!$M$134:$M$153,$G851,月間集計シート!N$134:N$153)*AS$2</f>
        <v>0</v>
      </c>
      <c r="AT851" s="88">
        <f>SUMIF(月間集計シート!$M$134:$M$153,$G851,月間集計シート!O$134:O$153)*AT$2</f>
        <v>0</v>
      </c>
      <c r="AU851" s="88">
        <f>SUMIF(月間集計シート!$M$134:$M$153,$G851,月間集計シート!P$134:P$153)*AU$2</f>
        <v>0</v>
      </c>
      <c r="AV851" s="88">
        <f>SUMIF(月間集計シート!$M$134:$M$153,$G851,月間集計シート!Q$134:Q$153)*AV$2</f>
        <v>0</v>
      </c>
      <c r="AW851" s="88">
        <f>SUMIF(月間集計シート!$M$134:$M$153,$G851,月間集計シート!R$134:R$153)*AW$2</f>
        <v>0</v>
      </c>
      <c r="AX851" s="88">
        <f>SUMIF(月間集計シート!$M$134:$M$153,$G851,月間集計シート!S$134:S$153)*AX$2</f>
        <v>0</v>
      </c>
      <c r="AY851" s="88">
        <f>SUMIF(月間集計シート!$M$134:$M$153,$G851,月間集計シート!T$134:T$153)*AY$2</f>
        <v>0</v>
      </c>
    </row>
    <row r="852" spans="1:51" ht="14.25" thickBot="1">
      <c r="A852">
        <v>10</v>
      </c>
      <c r="B852" s="120">
        <f t="shared" si="417"/>
        <v>0</v>
      </c>
      <c r="C852" s="120" t="str">
        <f t="shared" si="417"/>
        <v/>
      </c>
      <c r="D852" s="137"/>
      <c r="E852" s="150" t="str">
        <f>工種!A79</f>
        <v>99104</v>
      </c>
      <c r="F852" s="119" t="str">
        <f>工種!B79</f>
        <v>間接業務：業務の引継ぎ（開発以外）</v>
      </c>
      <c r="G852" s="116" t="str">
        <f t="shared" si="414"/>
        <v>099104</v>
      </c>
      <c r="H852" s="88">
        <f t="shared" si="416"/>
        <v>0</v>
      </c>
      <c r="I852" s="132"/>
      <c r="J852" s="88">
        <f>SUMIF(月間集計シート!$M$29:$M$48,$G852,月間集計シート!N$29:N$48)*J$2</f>
        <v>0</v>
      </c>
      <c r="K852" s="88">
        <f>SUMIF(月間集計シート!$M$29:$M$48,$G852,月間集計シート!O$29:O$48)*K$2</f>
        <v>0</v>
      </c>
      <c r="L852" s="88">
        <f>SUMIF(月間集計シート!$M$29:$M$48,$G852,月間集計シート!P$29:P$48)*L$2</f>
        <v>0</v>
      </c>
      <c r="M852" s="88">
        <f>SUMIF(月間集計シート!$M$29:$M$48,$G852,月間集計シート!Q$29:Q$48)*M$2</f>
        <v>0</v>
      </c>
      <c r="N852" s="88">
        <f>SUMIF(月間集計シート!$M$29:$M$48,$G852,月間集計シート!R$29:R$48)*N$2</f>
        <v>0</v>
      </c>
      <c r="O852" s="88">
        <f>SUMIF(月間集計シート!$M$29:$M$48,$G852,月間集計シート!S$29:S$48)*O$2</f>
        <v>0</v>
      </c>
      <c r="P852" s="88">
        <f>SUMIF(月間集計シート!$M$29:$M$48,$G852,月間集計シート!T$29:T$48)*P$2</f>
        <v>0</v>
      </c>
      <c r="Q852" s="88">
        <f>SUMIF(月間集計シート!$M$50:$M$69,$G852,月間集計シート!N$50:N$69)*Q$2</f>
        <v>0</v>
      </c>
      <c r="R852" s="88">
        <f>SUMIF(月間集計シート!$M$50:$M$69,$G852,月間集計シート!O$50:O$69)*R$2</f>
        <v>0</v>
      </c>
      <c r="S852" s="88">
        <f>SUMIF(月間集計シート!$M$50:$M$69,$G852,月間集計シート!P$50:P$69)*S$2</f>
        <v>0</v>
      </c>
      <c r="T852" s="88">
        <f>SUMIF(月間集計シート!$M$50:$M$69,$G852,月間集計シート!Q$50:Q$69)*T$2</f>
        <v>0</v>
      </c>
      <c r="U852" s="88">
        <f>SUMIF(月間集計シート!$M$50:$M$69,$G852,月間集計シート!R$50:R$69)*U$2</f>
        <v>0</v>
      </c>
      <c r="V852" s="88">
        <f>SUMIF(月間集計シート!$M$50:$M$69,$G852,月間集計シート!S$50:S$69)*V$2</f>
        <v>0</v>
      </c>
      <c r="W852" s="88">
        <f>SUMIF(月間集計シート!$M$50:$M$69,$G852,月間集計シート!T$50:T$69)*W$2</f>
        <v>0</v>
      </c>
      <c r="X852" s="88">
        <f>SUMIF(月間集計シート!$M$71:$M$90,$G852,月間集計シート!N$71:N$90)*X$2</f>
        <v>0</v>
      </c>
      <c r="Y852" s="88">
        <f>SUMIF(月間集計シート!$M$71:$M$90,$G852,月間集計シート!O$71:O$90)*Y$2</f>
        <v>0</v>
      </c>
      <c r="Z852" s="88">
        <f>SUMIF(月間集計シート!$M$71:$M$90,$G852,月間集計シート!P$71:P$90)*Z$2</f>
        <v>0</v>
      </c>
      <c r="AA852" s="88">
        <f>SUMIF(月間集計シート!$M$71:$M$90,$G852,月間集計シート!Q$71:Q$90)*AA$2</f>
        <v>0</v>
      </c>
      <c r="AB852" s="88">
        <f>SUMIF(月間集計シート!$M$71:$M$90,$G852,月間集計シート!R$71:R$90)*AB$2</f>
        <v>0</v>
      </c>
      <c r="AC852" s="88">
        <f>SUMIF(月間集計シート!$M$71:$M$90,$G852,月間集計シート!S$71:S$90)*AC$2</f>
        <v>0</v>
      </c>
      <c r="AD852" s="88">
        <f>SUMIF(月間集計シート!$M$71:$M$90,$G852,月間集計シート!T$71:T$90)*AD$2</f>
        <v>0</v>
      </c>
      <c r="AE852" s="88">
        <f>SUMIF(月間集計シート!$M$92:$M$111,$G852,月間集計シート!N$92:N$111)*AE$2</f>
        <v>0</v>
      </c>
      <c r="AF852" s="88">
        <f>SUMIF(月間集計シート!$M$92:$M$111,$G852,月間集計シート!O$92:O$111)*AF$2</f>
        <v>0</v>
      </c>
      <c r="AG852" s="88">
        <f>SUMIF(月間集計シート!$M$92:$M$111,$G852,月間集計シート!P$92:P$111)*AG$2</f>
        <v>0</v>
      </c>
      <c r="AH852" s="88">
        <f>SUMIF(月間集計シート!$M$92:$M$111,$G852,月間集計シート!Q$92:Q$111)*AH$2</f>
        <v>0</v>
      </c>
      <c r="AI852" s="88">
        <f>SUMIF(月間集計シート!$M$92:$M$111,$G852,月間集計シート!R$92:R$111)*AI$2</f>
        <v>0</v>
      </c>
      <c r="AJ852" s="88">
        <f>SUMIF(月間集計シート!$M$92:$M$111,$G852,月間集計シート!S$92:S$111)*AJ$2</f>
        <v>0</v>
      </c>
      <c r="AK852" s="88">
        <f>SUMIF(月間集計シート!$M$92:$M$111,$G852,月間集計シート!T$92:T$111)*AK$2</f>
        <v>0</v>
      </c>
      <c r="AL852" s="88">
        <f>SUMIF(月間集計シート!$M$113:$M$132,$G852,月間集計シート!N$113:N$132)*AL$2</f>
        <v>0</v>
      </c>
      <c r="AM852" s="88">
        <f>SUMIF(月間集計シート!$M$113:$M$132,$G852,月間集計シート!O$113:O$132)*AM$2</f>
        <v>0</v>
      </c>
      <c r="AN852" s="88">
        <f>SUMIF(月間集計シート!$M$113:$M$132,$G852,月間集計シート!P$113:P$132)*AN$2</f>
        <v>0</v>
      </c>
      <c r="AO852" s="88">
        <f>SUMIF(月間集計シート!$M$113:$M$132,$G852,月間集計シート!Q$113:Q$132)*AO$2</f>
        <v>0</v>
      </c>
      <c r="AP852" s="88">
        <f>SUMIF(月間集計シート!$M$113:$M$132,$G852,月間集計シート!R$113:R$132)*AP$2</f>
        <v>0</v>
      </c>
      <c r="AQ852" s="88">
        <f>SUMIF(月間集計シート!$M$113:$M$132,$G852,月間集計シート!S$113:S$132)*AQ$2</f>
        <v>0</v>
      </c>
      <c r="AR852" s="88">
        <f>SUMIF(月間集計シート!$M$113:$M$132,$G852,月間集計シート!T$113:T$132)*AR$2</f>
        <v>0</v>
      </c>
      <c r="AS852" s="88">
        <f>SUMIF(月間集計シート!$M$134:$M$153,$G852,月間集計シート!N$134:N$153)*AS$2</f>
        <v>0</v>
      </c>
      <c r="AT852" s="88">
        <f>SUMIF(月間集計シート!$M$134:$M$153,$G852,月間集計シート!O$134:O$153)*AT$2</f>
        <v>0</v>
      </c>
      <c r="AU852" s="88">
        <f>SUMIF(月間集計シート!$M$134:$M$153,$G852,月間集計シート!P$134:P$153)*AU$2</f>
        <v>0</v>
      </c>
      <c r="AV852" s="88">
        <f>SUMIF(月間集計シート!$M$134:$M$153,$G852,月間集計シート!Q$134:Q$153)*AV$2</f>
        <v>0</v>
      </c>
      <c r="AW852" s="88">
        <f>SUMIF(月間集計シート!$M$134:$M$153,$G852,月間集計シート!R$134:R$153)*AW$2</f>
        <v>0</v>
      </c>
      <c r="AX852" s="88">
        <f>SUMIF(月間集計シート!$M$134:$M$153,$G852,月間集計シート!S$134:S$153)*AX$2</f>
        <v>0</v>
      </c>
      <c r="AY852" s="88">
        <f>SUMIF(月間集計シート!$M$134:$M$153,$G852,月間集計シート!T$134:T$153)*AY$2</f>
        <v>0</v>
      </c>
    </row>
    <row r="853" spans="1:51" ht="14.25" thickBot="1">
      <c r="A853">
        <v>10</v>
      </c>
      <c r="B853" s="120">
        <f t="shared" si="417"/>
        <v>0</v>
      </c>
      <c r="C853" s="120" t="str">
        <f t="shared" si="417"/>
        <v/>
      </c>
      <c r="D853" s="137"/>
      <c r="E853" s="150" t="str">
        <f>工種!A80</f>
        <v>99106</v>
      </c>
      <c r="F853" s="119" t="str">
        <f>工種!B80</f>
        <v>間接業務：研修・学習</v>
      </c>
      <c r="G853" s="116" t="str">
        <f t="shared" si="414"/>
        <v>099106</v>
      </c>
      <c r="H853" s="88">
        <f t="shared" si="416"/>
        <v>0</v>
      </c>
      <c r="I853" s="132"/>
      <c r="J853" s="88">
        <f>SUMIF(月間集計シート!$M$29:$M$48,$G853,月間集計シート!N$29:N$48)*J$2</f>
        <v>0</v>
      </c>
      <c r="K853" s="88">
        <f>SUMIF(月間集計シート!$M$29:$M$48,$G853,月間集計シート!O$29:O$48)*K$2</f>
        <v>0</v>
      </c>
      <c r="L853" s="88">
        <f>SUMIF(月間集計シート!$M$29:$M$48,$G853,月間集計シート!P$29:P$48)*L$2</f>
        <v>0</v>
      </c>
      <c r="M853" s="88">
        <f>SUMIF(月間集計シート!$M$29:$M$48,$G853,月間集計シート!Q$29:Q$48)*M$2</f>
        <v>0</v>
      </c>
      <c r="N853" s="88">
        <f>SUMIF(月間集計シート!$M$29:$M$48,$G853,月間集計シート!R$29:R$48)*N$2</f>
        <v>0</v>
      </c>
      <c r="O853" s="88">
        <f>SUMIF(月間集計シート!$M$29:$M$48,$G853,月間集計シート!S$29:S$48)*O$2</f>
        <v>0</v>
      </c>
      <c r="P853" s="88">
        <f>SUMIF(月間集計シート!$M$29:$M$48,$G853,月間集計シート!T$29:T$48)*P$2</f>
        <v>0</v>
      </c>
      <c r="Q853" s="88">
        <f>SUMIF(月間集計シート!$M$50:$M$69,$G853,月間集計シート!N$50:N$69)*Q$2</f>
        <v>0</v>
      </c>
      <c r="R853" s="88">
        <f>SUMIF(月間集計シート!$M$50:$M$69,$G853,月間集計シート!O$50:O$69)*R$2</f>
        <v>0</v>
      </c>
      <c r="S853" s="88">
        <f>SUMIF(月間集計シート!$M$50:$M$69,$G853,月間集計シート!P$50:P$69)*S$2</f>
        <v>0</v>
      </c>
      <c r="T853" s="88">
        <f>SUMIF(月間集計シート!$M$50:$M$69,$G853,月間集計シート!Q$50:Q$69)*T$2</f>
        <v>0</v>
      </c>
      <c r="U853" s="88">
        <f>SUMIF(月間集計シート!$M$50:$M$69,$G853,月間集計シート!R$50:R$69)*U$2</f>
        <v>0</v>
      </c>
      <c r="V853" s="88">
        <f>SUMIF(月間集計シート!$M$50:$M$69,$G853,月間集計シート!S$50:S$69)*V$2</f>
        <v>0</v>
      </c>
      <c r="W853" s="88">
        <f>SUMIF(月間集計シート!$M$50:$M$69,$G853,月間集計シート!T$50:T$69)*W$2</f>
        <v>0</v>
      </c>
      <c r="X853" s="88">
        <f>SUMIF(月間集計シート!$M$71:$M$90,$G853,月間集計シート!N$71:N$90)*X$2</f>
        <v>0</v>
      </c>
      <c r="Y853" s="88">
        <f>SUMIF(月間集計シート!$M$71:$M$90,$G853,月間集計シート!O$71:O$90)*Y$2</f>
        <v>0</v>
      </c>
      <c r="Z853" s="88">
        <f>SUMIF(月間集計シート!$M$71:$M$90,$G853,月間集計シート!P$71:P$90)*Z$2</f>
        <v>0</v>
      </c>
      <c r="AA853" s="88">
        <f>SUMIF(月間集計シート!$M$71:$M$90,$G853,月間集計シート!Q$71:Q$90)*AA$2</f>
        <v>0</v>
      </c>
      <c r="AB853" s="88">
        <f>SUMIF(月間集計シート!$M$71:$M$90,$G853,月間集計シート!R$71:R$90)*AB$2</f>
        <v>0</v>
      </c>
      <c r="AC853" s="88">
        <f>SUMIF(月間集計シート!$M$71:$M$90,$G853,月間集計シート!S$71:S$90)*AC$2</f>
        <v>0</v>
      </c>
      <c r="AD853" s="88">
        <f>SUMIF(月間集計シート!$M$71:$M$90,$G853,月間集計シート!T$71:T$90)*AD$2</f>
        <v>0</v>
      </c>
      <c r="AE853" s="88">
        <f>SUMIF(月間集計シート!$M$92:$M$111,$G853,月間集計シート!N$92:N$111)*AE$2</f>
        <v>0</v>
      </c>
      <c r="AF853" s="88">
        <f>SUMIF(月間集計シート!$M$92:$M$111,$G853,月間集計シート!O$92:O$111)*AF$2</f>
        <v>0</v>
      </c>
      <c r="AG853" s="88">
        <f>SUMIF(月間集計シート!$M$92:$M$111,$G853,月間集計シート!P$92:P$111)*AG$2</f>
        <v>0</v>
      </c>
      <c r="AH853" s="88">
        <f>SUMIF(月間集計シート!$M$92:$M$111,$G853,月間集計シート!Q$92:Q$111)*AH$2</f>
        <v>0</v>
      </c>
      <c r="AI853" s="88">
        <f>SUMIF(月間集計シート!$M$92:$M$111,$G853,月間集計シート!R$92:R$111)*AI$2</f>
        <v>0</v>
      </c>
      <c r="AJ853" s="88">
        <f>SUMIF(月間集計シート!$M$92:$M$111,$G853,月間集計シート!S$92:S$111)*AJ$2</f>
        <v>0</v>
      </c>
      <c r="AK853" s="88">
        <f>SUMIF(月間集計シート!$M$92:$M$111,$G853,月間集計シート!T$92:T$111)*AK$2</f>
        <v>0</v>
      </c>
      <c r="AL853" s="88">
        <f>SUMIF(月間集計シート!$M$113:$M$132,$G853,月間集計シート!N$113:N$132)*AL$2</f>
        <v>0</v>
      </c>
      <c r="AM853" s="88">
        <f>SUMIF(月間集計シート!$M$113:$M$132,$G853,月間集計シート!O$113:O$132)*AM$2</f>
        <v>0</v>
      </c>
      <c r="AN853" s="88">
        <f>SUMIF(月間集計シート!$M$113:$M$132,$G853,月間集計シート!P$113:P$132)*AN$2</f>
        <v>0</v>
      </c>
      <c r="AO853" s="88">
        <f>SUMIF(月間集計シート!$M$113:$M$132,$G853,月間集計シート!Q$113:Q$132)*AO$2</f>
        <v>0</v>
      </c>
      <c r="AP853" s="88">
        <f>SUMIF(月間集計シート!$M$113:$M$132,$G853,月間集計シート!R$113:R$132)*AP$2</f>
        <v>0</v>
      </c>
      <c r="AQ853" s="88">
        <f>SUMIF(月間集計シート!$M$113:$M$132,$G853,月間集計シート!S$113:S$132)*AQ$2</f>
        <v>0</v>
      </c>
      <c r="AR853" s="88">
        <f>SUMIF(月間集計シート!$M$113:$M$132,$G853,月間集計シート!T$113:T$132)*AR$2</f>
        <v>0</v>
      </c>
      <c r="AS853" s="88">
        <f>SUMIF(月間集計シート!$M$134:$M$153,$G853,月間集計シート!N$134:N$153)*AS$2</f>
        <v>0</v>
      </c>
      <c r="AT853" s="88">
        <f>SUMIF(月間集計シート!$M$134:$M$153,$G853,月間集計シート!O$134:O$153)*AT$2</f>
        <v>0</v>
      </c>
      <c r="AU853" s="88">
        <f>SUMIF(月間集計シート!$M$134:$M$153,$G853,月間集計シート!P$134:P$153)*AU$2</f>
        <v>0</v>
      </c>
      <c r="AV853" s="88">
        <f>SUMIF(月間集計シート!$M$134:$M$153,$G853,月間集計シート!Q$134:Q$153)*AV$2</f>
        <v>0</v>
      </c>
      <c r="AW853" s="88">
        <f>SUMIF(月間集計シート!$M$134:$M$153,$G853,月間集計シート!R$134:R$153)*AW$2</f>
        <v>0</v>
      </c>
      <c r="AX853" s="88">
        <f>SUMIF(月間集計シート!$M$134:$M$153,$G853,月間集計シート!S$134:S$153)*AX$2</f>
        <v>0</v>
      </c>
      <c r="AY853" s="88">
        <f>SUMIF(月間集計シート!$M$134:$M$153,$G853,月間集計シート!T$134:T$153)*AY$2</f>
        <v>0</v>
      </c>
    </row>
    <row r="854" spans="1:51" ht="14.25" thickBot="1">
      <c r="A854">
        <v>10</v>
      </c>
      <c r="B854" s="120">
        <f t="shared" si="417"/>
        <v>0</v>
      </c>
      <c r="C854" s="120" t="str">
        <f t="shared" si="417"/>
        <v/>
      </c>
      <c r="D854" s="137"/>
      <c r="E854" s="150" t="str">
        <f>工種!A81</f>
        <v>99107</v>
      </c>
      <c r="F854" s="119" t="str">
        <f>工種!B81</f>
        <v>間接業務：事務作業（開発以外）</v>
      </c>
      <c r="G854" s="116" t="str">
        <f t="shared" ref="G854:G855" si="418">B854&amp;E854</f>
        <v>099107</v>
      </c>
      <c r="H854" s="88">
        <f t="shared" ref="H854:H855" si="419">SUM(J854:AY854)</f>
        <v>0</v>
      </c>
      <c r="I854" s="132"/>
      <c r="J854" s="88">
        <f>SUMIF(月間集計シート!$M$29:$M$48,$G854,月間集計シート!N$29:N$48)*J$2</f>
        <v>0</v>
      </c>
      <c r="K854" s="88">
        <f>SUMIF(月間集計シート!$M$29:$M$48,$G854,月間集計シート!O$29:O$48)*K$2</f>
        <v>0</v>
      </c>
      <c r="L854" s="88">
        <f>SUMIF(月間集計シート!$M$29:$M$48,$G854,月間集計シート!P$29:P$48)*L$2</f>
        <v>0</v>
      </c>
      <c r="M854" s="88">
        <f>SUMIF(月間集計シート!$M$29:$M$48,$G854,月間集計シート!Q$29:Q$48)*M$2</f>
        <v>0</v>
      </c>
      <c r="N854" s="88">
        <f>SUMIF(月間集計シート!$M$29:$M$48,$G854,月間集計シート!R$29:R$48)*N$2</f>
        <v>0</v>
      </c>
      <c r="O854" s="88">
        <f>SUMIF(月間集計シート!$M$29:$M$48,$G854,月間集計シート!S$29:S$48)*O$2</f>
        <v>0</v>
      </c>
      <c r="P854" s="88">
        <f>SUMIF(月間集計シート!$M$29:$M$48,$G854,月間集計シート!T$29:T$48)*P$2</f>
        <v>0</v>
      </c>
      <c r="Q854" s="88">
        <f>SUMIF(月間集計シート!$M$50:$M$69,$G854,月間集計シート!N$50:N$69)*Q$2</f>
        <v>0</v>
      </c>
      <c r="R854" s="88">
        <f>SUMIF(月間集計シート!$M$50:$M$69,$G854,月間集計シート!O$50:O$69)*R$2</f>
        <v>0</v>
      </c>
      <c r="S854" s="88">
        <f>SUMIF(月間集計シート!$M$50:$M$69,$G854,月間集計シート!P$50:P$69)*S$2</f>
        <v>0</v>
      </c>
      <c r="T854" s="88">
        <f>SUMIF(月間集計シート!$M$50:$M$69,$G854,月間集計シート!Q$50:Q$69)*T$2</f>
        <v>0</v>
      </c>
      <c r="U854" s="88">
        <f>SUMIF(月間集計シート!$M$50:$M$69,$G854,月間集計シート!R$50:R$69)*U$2</f>
        <v>0</v>
      </c>
      <c r="V854" s="88">
        <f>SUMIF(月間集計シート!$M$50:$M$69,$G854,月間集計シート!S$50:S$69)*V$2</f>
        <v>0</v>
      </c>
      <c r="W854" s="88">
        <f>SUMIF(月間集計シート!$M$50:$M$69,$G854,月間集計シート!T$50:T$69)*W$2</f>
        <v>0</v>
      </c>
      <c r="X854" s="88">
        <f>SUMIF(月間集計シート!$M$71:$M$90,$G854,月間集計シート!N$71:N$90)*X$2</f>
        <v>0</v>
      </c>
      <c r="Y854" s="88">
        <f>SUMIF(月間集計シート!$M$71:$M$90,$G854,月間集計シート!O$71:O$90)*Y$2</f>
        <v>0</v>
      </c>
      <c r="Z854" s="88">
        <f>SUMIF(月間集計シート!$M$71:$M$90,$G854,月間集計シート!P$71:P$90)*Z$2</f>
        <v>0</v>
      </c>
      <c r="AA854" s="88">
        <f>SUMIF(月間集計シート!$M$71:$M$90,$G854,月間集計シート!Q$71:Q$90)*AA$2</f>
        <v>0</v>
      </c>
      <c r="AB854" s="88">
        <f>SUMIF(月間集計シート!$M$71:$M$90,$G854,月間集計シート!R$71:R$90)*AB$2</f>
        <v>0</v>
      </c>
      <c r="AC854" s="88">
        <f>SUMIF(月間集計シート!$M$71:$M$90,$G854,月間集計シート!S$71:S$90)*AC$2</f>
        <v>0</v>
      </c>
      <c r="AD854" s="88">
        <f>SUMIF(月間集計シート!$M$71:$M$90,$G854,月間集計シート!T$71:T$90)*AD$2</f>
        <v>0</v>
      </c>
      <c r="AE854" s="88">
        <f>SUMIF(月間集計シート!$M$92:$M$111,$G854,月間集計シート!N$92:N$111)*AE$2</f>
        <v>0</v>
      </c>
      <c r="AF854" s="88">
        <f>SUMIF(月間集計シート!$M$92:$M$111,$G854,月間集計シート!O$92:O$111)*AF$2</f>
        <v>0</v>
      </c>
      <c r="AG854" s="88">
        <f>SUMIF(月間集計シート!$M$92:$M$111,$G854,月間集計シート!P$92:P$111)*AG$2</f>
        <v>0</v>
      </c>
      <c r="AH854" s="88">
        <f>SUMIF(月間集計シート!$M$92:$M$111,$G854,月間集計シート!Q$92:Q$111)*AH$2</f>
        <v>0</v>
      </c>
      <c r="AI854" s="88">
        <f>SUMIF(月間集計シート!$M$92:$M$111,$G854,月間集計シート!R$92:R$111)*AI$2</f>
        <v>0</v>
      </c>
      <c r="AJ854" s="88">
        <f>SUMIF(月間集計シート!$M$92:$M$111,$G854,月間集計シート!S$92:S$111)*AJ$2</f>
        <v>0</v>
      </c>
      <c r="AK854" s="88">
        <f>SUMIF(月間集計シート!$M$92:$M$111,$G854,月間集計シート!T$92:T$111)*AK$2</f>
        <v>0</v>
      </c>
      <c r="AL854" s="88">
        <f>SUMIF(月間集計シート!$M$113:$M$132,$G854,月間集計シート!N$113:N$132)*AL$2</f>
        <v>0</v>
      </c>
      <c r="AM854" s="88">
        <f>SUMIF(月間集計シート!$M$113:$M$132,$G854,月間集計シート!O$113:O$132)*AM$2</f>
        <v>0</v>
      </c>
      <c r="AN854" s="88">
        <f>SUMIF(月間集計シート!$M$113:$M$132,$G854,月間集計シート!P$113:P$132)*AN$2</f>
        <v>0</v>
      </c>
      <c r="AO854" s="88">
        <f>SUMIF(月間集計シート!$M$113:$M$132,$G854,月間集計シート!Q$113:Q$132)*AO$2</f>
        <v>0</v>
      </c>
      <c r="AP854" s="88">
        <f>SUMIF(月間集計シート!$M$113:$M$132,$G854,月間集計シート!R$113:R$132)*AP$2</f>
        <v>0</v>
      </c>
      <c r="AQ854" s="88">
        <f>SUMIF(月間集計シート!$M$113:$M$132,$G854,月間集計シート!S$113:S$132)*AQ$2</f>
        <v>0</v>
      </c>
      <c r="AR854" s="88">
        <f>SUMIF(月間集計シート!$M$113:$M$132,$G854,月間集計シート!T$113:T$132)*AR$2</f>
        <v>0</v>
      </c>
      <c r="AS854" s="88">
        <f>SUMIF(月間集計シート!$M$134:$M$153,$G854,月間集計シート!N$134:N$153)*AS$2</f>
        <v>0</v>
      </c>
      <c r="AT854" s="88">
        <f>SUMIF(月間集計シート!$M$134:$M$153,$G854,月間集計シート!O$134:O$153)*AT$2</f>
        <v>0</v>
      </c>
      <c r="AU854" s="88">
        <f>SUMIF(月間集計シート!$M$134:$M$153,$G854,月間集計シート!P$134:P$153)*AU$2</f>
        <v>0</v>
      </c>
      <c r="AV854" s="88">
        <f>SUMIF(月間集計シート!$M$134:$M$153,$G854,月間集計シート!Q$134:Q$153)*AV$2</f>
        <v>0</v>
      </c>
      <c r="AW854" s="88">
        <f>SUMIF(月間集計シート!$M$134:$M$153,$G854,月間集計シート!R$134:R$153)*AW$2</f>
        <v>0</v>
      </c>
      <c r="AX854" s="88">
        <f>SUMIF(月間集計シート!$M$134:$M$153,$G854,月間集計シート!S$134:S$153)*AX$2</f>
        <v>0</v>
      </c>
      <c r="AY854" s="88">
        <f>SUMIF(月間集計シート!$M$134:$M$153,$G854,月間集計シート!T$134:T$153)*AY$2</f>
        <v>0</v>
      </c>
    </row>
    <row r="855" spans="1:51" ht="14.25" thickBot="1">
      <c r="A855">
        <v>10</v>
      </c>
      <c r="B855" s="120">
        <f t="shared" si="417"/>
        <v>0</v>
      </c>
      <c r="C855" s="120" t="str">
        <f t="shared" si="417"/>
        <v/>
      </c>
      <c r="D855" s="137"/>
      <c r="E855" s="150" t="str">
        <f>工種!A82</f>
        <v>99110</v>
      </c>
      <c r="F855" s="119" t="str">
        <f>工種!B82</f>
        <v>間接業務：打合せ</v>
      </c>
      <c r="G855" s="116" t="str">
        <f t="shared" si="418"/>
        <v>099110</v>
      </c>
      <c r="H855" s="88">
        <f t="shared" si="419"/>
        <v>0</v>
      </c>
      <c r="I855" s="132"/>
      <c r="J855" s="88">
        <f>SUMIF(月間集計シート!$M$29:$M$48,$G855,月間集計シート!N$29:N$48)*J$2</f>
        <v>0</v>
      </c>
      <c r="K855" s="88">
        <f>SUMIF(月間集計シート!$M$29:$M$48,$G855,月間集計シート!O$29:O$48)*K$2</f>
        <v>0</v>
      </c>
      <c r="L855" s="88">
        <f>SUMIF(月間集計シート!$M$29:$M$48,$G855,月間集計シート!P$29:P$48)*L$2</f>
        <v>0</v>
      </c>
      <c r="M855" s="88">
        <f>SUMIF(月間集計シート!$M$29:$M$48,$G855,月間集計シート!Q$29:Q$48)*M$2</f>
        <v>0</v>
      </c>
      <c r="N855" s="88">
        <f>SUMIF(月間集計シート!$M$29:$M$48,$G855,月間集計シート!R$29:R$48)*N$2</f>
        <v>0</v>
      </c>
      <c r="O855" s="88">
        <f>SUMIF(月間集計シート!$M$29:$M$48,$G855,月間集計シート!S$29:S$48)*O$2</f>
        <v>0</v>
      </c>
      <c r="P855" s="88">
        <f>SUMIF(月間集計シート!$M$29:$M$48,$G855,月間集計シート!T$29:T$48)*P$2</f>
        <v>0</v>
      </c>
      <c r="Q855" s="88">
        <f>SUMIF(月間集計シート!$M$50:$M$69,$G855,月間集計シート!N$50:N$69)*Q$2</f>
        <v>0</v>
      </c>
      <c r="R855" s="88">
        <f>SUMIF(月間集計シート!$M$50:$M$69,$G855,月間集計シート!O$50:O$69)*R$2</f>
        <v>0</v>
      </c>
      <c r="S855" s="88">
        <f>SUMIF(月間集計シート!$M$50:$M$69,$G855,月間集計シート!P$50:P$69)*S$2</f>
        <v>0</v>
      </c>
      <c r="T855" s="88">
        <f>SUMIF(月間集計シート!$M$50:$M$69,$G855,月間集計シート!Q$50:Q$69)*T$2</f>
        <v>0</v>
      </c>
      <c r="U855" s="88">
        <f>SUMIF(月間集計シート!$M$50:$M$69,$G855,月間集計シート!R$50:R$69)*U$2</f>
        <v>0</v>
      </c>
      <c r="V855" s="88">
        <f>SUMIF(月間集計シート!$M$50:$M$69,$G855,月間集計シート!S$50:S$69)*V$2</f>
        <v>0</v>
      </c>
      <c r="W855" s="88">
        <f>SUMIF(月間集計シート!$M$50:$M$69,$G855,月間集計シート!T$50:T$69)*W$2</f>
        <v>0</v>
      </c>
      <c r="X855" s="88">
        <f>SUMIF(月間集計シート!$M$71:$M$90,$G855,月間集計シート!N$71:N$90)*X$2</f>
        <v>0</v>
      </c>
      <c r="Y855" s="88">
        <f>SUMIF(月間集計シート!$M$71:$M$90,$G855,月間集計シート!O$71:O$90)*Y$2</f>
        <v>0</v>
      </c>
      <c r="Z855" s="88">
        <f>SUMIF(月間集計シート!$M$71:$M$90,$G855,月間集計シート!P$71:P$90)*Z$2</f>
        <v>0</v>
      </c>
      <c r="AA855" s="88">
        <f>SUMIF(月間集計シート!$M$71:$M$90,$G855,月間集計シート!Q$71:Q$90)*AA$2</f>
        <v>0</v>
      </c>
      <c r="AB855" s="88">
        <f>SUMIF(月間集計シート!$M$71:$M$90,$G855,月間集計シート!R$71:R$90)*AB$2</f>
        <v>0</v>
      </c>
      <c r="AC855" s="88">
        <f>SUMIF(月間集計シート!$M$71:$M$90,$G855,月間集計シート!S$71:S$90)*AC$2</f>
        <v>0</v>
      </c>
      <c r="AD855" s="88">
        <f>SUMIF(月間集計シート!$M$71:$M$90,$G855,月間集計シート!T$71:T$90)*AD$2</f>
        <v>0</v>
      </c>
      <c r="AE855" s="88">
        <f>SUMIF(月間集計シート!$M$92:$M$111,$G855,月間集計シート!N$92:N$111)*AE$2</f>
        <v>0</v>
      </c>
      <c r="AF855" s="88">
        <f>SUMIF(月間集計シート!$M$92:$M$111,$G855,月間集計シート!O$92:O$111)*AF$2</f>
        <v>0</v>
      </c>
      <c r="AG855" s="88">
        <f>SUMIF(月間集計シート!$M$92:$M$111,$G855,月間集計シート!P$92:P$111)*AG$2</f>
        <v>0</v>
      </c>
      <c r="AH855" s="88">
        <f>SUMIF(月間集計シート!$M$92:$M$111,$G855,月間集計シート!Q$92:Q$111)*AH$2</f>
        <v>0</v>
      </c>
      <c r="AI855" s="88">
        <f>SUMIF(月間集計シート!$M$92:$M$111,$G855,月間集計シート!R$92:R$111)*AI$2</f>
        <v>0</v>
      </c>
      <c r="AJ855" s="88">
        <f>SUMIF(月間集計シート!$M$92:$M$111,$G855,月間集計シート!S$92:S$111)*AJ$2</f>
        <v>0</v>
      </c>
      <c r="AK855" s="88">
        <f>SUMIF(月間集計シート!$M$92:$M$111,$G855,月間集計シート!T$92:T$111)*AK$2</f>
        <v>0</v>
      </c>
      <c r="AL855" s="88">
        <f>SUMIF(月間集計シート!$M$113:$M$132,$G855,月間集計シート!N$113:N$132)*AL$2</f>
        <v>0</v>
      </c>
      <c r="AM855" s="88">
        <f>SUMIF(月間集計シート!$M$113:$M$132,$G855,月間集計シート!O$113:O$132)*AM$2</f>
        <v>0</v>
      </c>
      <c r="AN855" s="88">
        <f>SUMIF(月間集計シート!$M$113:$M$132,$G855,月間集計シート!P$113:P$132)*AN$2</f>
        <v>0</v>
      </c>
      <c r="AO855" s="88">
        <f>SUMIF(月間集計シート!$M$113:$M$132,$G855,月間集計シート!Q$113:Q$132)*AO$2</f>
        <v>0</v>
      </c>
      <c r="AP855" s="88">
        <f>SUMIF(月間集計シート!$M$113:$M$132,$G855,月間集計シート!R$113:R$132)*AP$2</f>
        <v>0</v>
      </c>
      <c r="AQ855" s="88">
        <f>SUMIF(月間集計シート!$M$113:$M$132,$G855,月間集計シート!S$113:S$132)*AQ$2</f>
        <v>0</v>
      </c>
      <c r="AR855" s="88">
        <f>SUMIF(月間集計シート!$M$113:$M$132,$G855,月間集計シート!T$113:T$132)*AR$2</f>
        <v>0</v>
      </c>
      <c r="AS855" s="88">
        <f>SUMIF(月間集計シート!$M$134:$M$153,$G855,月間集計シート!N$134:N$153)*AS$2</f>
        <v>0</v>
      </c>
      <c r="AT855" s="88">
        <f>SUMIF(月間集計シート!$M$134:$M$153,$G855,月間集計シート!O$134:O$153)*AT$2</f>
        <v>0</v>
      </c>
      <c r="AU855" s="88">
        <f>SUMIF(月間集計シート!$M$134:$M$153,$G855,月間集計シート!P$134:P$153)*AU$2</f>
        <v>0</v>
      </c>
      <c r="AV855" s="88">
        <f>SUMIF(月間集計シート!$M$134:$M$153,$G855,月間集計シート!Q$134:Q$153)*AV$2</f>
        <v>0</v>
      </c>
      <c r="AW855" s="88">
        <f>SUMIF(月間集計シート!$M$134:$M$153,$G855,月間集計シート!R$134:R$153)*AW$2</f>
        <v>0</v>
      </c>
      <c r="AX855" s="88">
        <f>SUMIF(月間集計シート!$M$134:$M$153,$G855,月間集計シート!S$134:S$153)*AX$2</f>
        <v>0</v>
      </c>
      <c r="AY855" s="88">
        <f>SUMIF(月間集計シート!$M$134:$M$153,$G855,月間集計シート!T$134:T$153)*AY$2</f>
        <v>0</v>
      </c>
    </row>
    <row r="856" spans="1:51" ht="14.25" thickBot="1">
      <c r="A856">
        <v>10</v>
      </c>
      <c r="B856" s="120">
        <f t="shared" si="417"/>
        <v>0</v>
      </c>
      <c r="C856" s="120" t="str">
        <f t="shared" si="417"/>
        <v/>
      </c>
      <c r="D856" s="137"/>
      <c r="E856" s="150" t="str">
        <f>工種!A83</f>
        <v>99199</v>
      </c>
      <c r="F856" s="119" t="str">
        <f>工種!B83</f>
        <v>間接業務：その他</v>
      </c>
      <c r="G856" s="116" t="str">
        <f t="shared" si="413"/>
        <v>099199</v>
      </c>
      <c r="H856" s="88">
        <f t="shared" si="367"/>
        <v>0</v>
      </c>
      <c r="I856" s="132"/>
      <c r="J856" s="88">
        <f>SUMIF(月間集計シート!$M$29:$M$48,$G856,月間集計シート!N$29:N$48)*J$2</f>
        <v>0</v>
      </c>
      <c r="K856" s="88">
        <f>SUMIF(月間集計シート!$M$29:$M$48,$G856,月間集計シート!O$29:O$48)*K$2</f>
        <v>0</v>
      </c>
      <c r="L856" s="88">
        <f>SUMIF(月間集計シート!$M$29:$M$48,$G856,月間集計シート!P$29:P$48)*L$2</f>
        <v>0</v>
      </c>
      <c r="M856" s="88">
        <f>SUMIF(月間集計シート!$M$29:$M$48,$G856,月間集計シート!Q$29:Q$48)*M$2</f>
        <v>0</v>
      </c>
      <c r="N856" s="88">
        <f>SUMIF(月間集計シート!$M$29:$M$48,$G856,月間集計シート!R$29:R$48)*N$2</f>
        <v>0</v>
      </c>
      <c r="O856" s="88">
        <f>SUMIF(月間集計シート!$M$29:$M$48,$G856,月間集計シート!S$29:S$48)*O$2</f>
        <v>0</v>
      </c>
      <c r="P856" s="88">
        <f>SUMIF(月間集計シート!$M$29:$M$48,$G856,月間集計シート!T$29:T$48)*P$2</f>
        <v>0</v>
      </c>
      <c r="Q856" s="88">
        <f>SUMIF(月間集計シート!$M$50:$M$69,$G856,月間集計シート!N$50:N$69)*Q$2</f>
        <v>0</v>
      </c>
      <c r="R856" s="88">
        <f>SUMIF(月間集計シート!$M$50:$M$69,$G856,月間集計シート!O$50:O$69)*R$2</f>
        <v>0</v>
      </c>
      <c r="S856" s="88">
        <f>SUMIF(月間集計シート!$M$50:$M$69,$G856,月間集計シート!P$50:P$69)*S$2</f>
        <v>0</v>
      </c>
      <c r="T856" s="88">
        <f>SUMIF(月間集計シート!$M$50:$M$69,$G856,月間集計シート!Q$50:Q$69)*T$2</f>
        <v>0</v>
      </c>
      <c r="U856" s="88">
        <f>SUMIF(月間集計シート!$M$50:$M$69,$G856,月間集計シート!R$50:R$69)*U$2</f>
        <v>0</v>
      </c>
      <c r="V856" s="88">
        <f>SUMIF(月間集計シート!$M$50:$M$69,$G856,月間集計シート!S$50:S$69)*V$2</f>
        <v>0</v>
      </c>
      <c r="W856" s="88">
        <f>SUMIF(月間集計シート!$M$50:$M$69,$G856,月間集計シート!T$50:T$69)*W$2</f>
        <v>0</v>
      </c>
      <c r="X856" s="88">
        <f>SUMIF(月間集計シート!$M$71:$M$90,$G856,月間集計シート!N$71:N$90)*X$2</f>
        <v>0</v>
      </c>
      <c r="Y856" s="88">
        <f>SUMIF(月間集計シート!$M$71:$M$90,$G856,月間集計シート!O$71:O$90)*Y$2</f>
        <v>0</v>
      </c>
      <c r="Z856" s="88">
        <f>SUMIF(月間集計シート!$M$71:$M$90,$G856,月間集計シート!P$71:P$90)*Z$2</f>
        <v>0</v>
      </c>
      <c r="AA856" s="88">
        <f>SUMIF(月間集計シート!$M$71:$M$90,$G856,月間集計シート!Q$71:Q$90)*AA$2</f>
        <v>0</v>
      </c>
      <c r="AB856" s="88">
        <f>SUMIF(月間集計シート!$M$71:$M$90,$G856,月間集計シート!R$71:R$90)*AB$2</f>
        <v>0</v>
      </c>
      <c r="AC856" s="88">
        <f>SUMIF(月間集計シート!$M$71:$M$90,$G856,月間集計シート!S$71:S$90)*AC$2</f>
        <v>0</v>
      </c>
      <c r="AD856" s="88">
        <f>SUMIF(月間集計シート!$M$71:$M$90,$G856,月間集計シート!T$71:T$90)*AD$2</f>
        <v>0</v>
      </c>
      <c r="AE856" s="88">
        <f>SUMIF(月間集計シート!$M$92:$M$111,$G856,月間集計シート!N$92:N$111)*AE$2</f>
        <v>0</v>
      </c>
      <c r="AF856" s="88">
        <f>SUMIF(月間集計シート!$M$92:$M$111,$G856,月間集計シート!O$92:O$111)*AF$2</f>
        <v>0</v>
      </c>
      <c r="AG856" s="88">
        <f>SUMIF(月間集計シート!$M$92:$M$111,$G856,月間集計シート!P$92:P$111)*AG$2</f>
        <v>0</v>
      </c>
      <c r="AH856" s="88">
        <f>SUMIF(月間集計シート!$M$92:$M$111,$G856,月間集計シート!Q$92:Q$111)*AH$2</f>
        <v>0</v>
      </c>
      <c r="AI856" s="88">
        <f>SUMIF(月間集計シート!$M$92:$M$111,$G856,月間集計シート!R$92:R$111)*AI$2</f>
        <v>0</v>
      </c>
      <c r="AJ856" s="88">
        <f>SUMIF(月間集計シート!$M$92:$M$111,$G856,月間集計シート!S$92:S$111)*AJ$2</f>
        <v>0</v>
      </c>
      <c r="AK856" s="88">
        <f>SUMIF(月間集計シート!$M$92:$M$111,$G856,月間集計シート!T$92:T$111)*AK$2</f>
        <v>0</v>
      </c>
      <c r="AL856" s="88">
        <f>SUMIF(月間集計シート!$M$113:$M$132,$G856,月間集計シート!N$113:N$132)*AL$2</f>
        <v>0</v>
      </c>
      <c r="AM856" s="88">
        <f>SUMIF(月間集計シート!$M$113:$M$132,$G856,月間集計シート!O$113:O$132)*AM$2</f>
        <v>0</v>
      </c>
      <c r="AN856" s="88">
        <f>SUMIF(月間集計シート!$M$113:$M$132,$G856,月間集計シート!P$113:P$132)*AN$2</f>
        <v>0</v>
      </c>
      <c r="AO856" s="88">
        <f>SUMIF(月間集計シート!$M$113:$M$132,$G856,月間集計シート!Q$113:Q$132)*AO$2</f>
        <v>0</v>
      </c>
      <c r="AP856" s="88">
        <f>SUMIF(月間集計シート!$M$113:$M$132,$G856,月間集計シート!R$113:R$132)*AP$2</f>
        <v>0</v>
      </c>
      <c r="AQ856" s="88">
        <f>SUMIF(月間集計シート!$M$113:$M$132,$G856,月間集計シート!S$113:S$132)*AQ$2</f>
        <v>0</v>
      </c>
      <c r="AR856" s="88">
        <f>SUMIF(月間集計シート!$M$113:$M$132,$G856,月間集計シート!T$113:T$132)*AR$2</f>
        <v>0</v>
      </c>
      <c r="AS856" s="88">
        <f>SUMIF(月間集計シート!$M$134:$M$153,$G856,月間集計シート!N$134:N$153)*AS$2</f>
        <v>0</v>
      </c>
      <c r="AT856" s="88">
        <f>SUMIF(月間集計シート!$M$134:$M$153,$G856,月間集計シート!O$134:O$153)*AT$2</f>
        <v>0</v>
      </c>
      <c r="AU856" s="88">
        <f>SUMIF(月間集計シート!$M$134:$M$153,$G856,月間集計シート!P$134:P$153)*AU$2</f>
        <v>0</v>
      </c>
      <c r="AV856" s="88">
        <f>SUMIF(月間集計シート!$M$134:$M$153,$G856,月間集計シート!Q$134:Q$153)*AV$2</f>
        <v>0</v>
      </c>
      <c r="AW856" s="88">
        <f>SUMIF(月間集計シート!$M$134:$M$153,$G856,月間集計シート!R$134:R$153)*AW$2</f>
        <v>0</v>
      </c>
      <c r="AX856" s="88">
        <f>SUMIF(月間集計シート!$M$134:$M$153,$G856,月間集計シート!S$134:S$153)*AX$2</f>
        <v>0</v>
      </c>
      <c r="AY856" s="88">
        <f>SUMIF(月間集計シート!$M$134:$M$153,$G856,月間集計シート!T$134:T$153)*AY$2</f>
        <v>0</v>
      </c>
    </row>
    <row r="857" spans="1:51">
      <c r="B857" s="120"/>
      <c r="C857" s="120"/>
      <c r="D857" s="127"/>
      <c r="E857" s="115"/>
      <c r="F857" s="119"/>
      <c r="G857" s="116"/>
      <c r="H857" s="88"/>
      <c r="I857" s="132"/>
      <c r="J857" s="88"/>
      <c r="K857" s="88"/>
      <c r="L857" s="88"/>
      <c r="M857" s="88"/>
      <c r="N857" s="88"/>
      <c r="O857" s="88"/>
      <c r="P857" s="88"/>
      <c r="Q857" s="88"/>
      <c r="R857" s="88"/>
      <c r="S857" s="88"/>
      <c r="T857" s="88"/>
      <c r="U857" s="88"/>
      <c r="V857" s="88"/>
      <c r="W857" s="88"/>
      <c r="X857" s="88"/>
      <c r="Y857" s="88"/>
      <c r="Z857" s="88"/>
      <c r="AA857" s="88"/>
      <c r="AB857" s="88"/>
      <c r="AC857" s="88"/>
      <c r="AD857" s="88"/>
      <c r="AE857" s="88"/>
      <c r="AF857" s="88"/>
      <c r="AG857" s="88"/>
      <c r="AH857" s="88"/>
      <c r="AI857" s="88"/>
      <c r="AJ857" s="88"/>
      <c r="AK857" s="88"/>
      <c r="AL857" s="88"/>
      <c r="AM857" s="88"/>
      <c r="AN857" s="88"/>
      <c r="AO857" s="88"/>
      <c r="AP857" s="88"/>
      <c r="AQ857" s="88"/>
      <c r="AR857" s="88"/>
      <c r="AS857" s="88"/>
      <c r="AT857" s="88"/>
      <c r="AU857" s="88"/>
      <c r="AV857" s="88"/>
      <c r="AW857" s="88"/>
      <c r="AX857" s="88"/>
      <c r="AY857" s="88"/>
    </row>
    <row r="858" spans="1:51" ht="14.25" thickBot="1">
      <c r="A858">
        <v>11</v>
      </c>
      <c r="B858">
        <f>月間集計シート!I14</f>
        <v>0</v>
      </c>
      <c r="C858" s="116" t="str">
        <f>月間集計シート!J14</f>
        <v/>
      </c>
      <c r="D858" s="147">
        <v>1</v>
      </c>
      <c r="E858" s="115" t="s">
        <v>451</v>
      </c>
      <c r="F858" s="119" t="s">
        <v>29</v>
      </c>
      <c r="G858" s="116"/>
      <c r="H858" s="88">
        <f t="shared" ref="H858:H943" si="420">SUM(J858:AY858)</f>
        <v>0</v>
      </c>
      <c r="I858" s="132"/>
      <c r="J858" s="88">
        <f>SUM(J860:J941)</f>
        <v>0</v>
      </c>
      <c r="K858" s="88">
        <f t="shared" ref="K858:AY858" si="421">SUM(K860:K941)</f>
        <v>0</v>
      </c>
      <c r="L858" s="88">
        <f t="shared" si="421"/>
        <v>0</v>
      </c>
      <c r="M858" s="88">
        <f t="shared" si="421"/>
        <v>0</v>
      </c>
      <c r="N858" s="88">
        <f t="shared" si="421"/>
        <v>0</v>
      </c>
      <c r="O858" s="88">
        <f t="shared" si="421"/>
        <v>0</v>
      </c>
      <c r="P858" s="88">
        <f t="shared" si="421"/>
        <v>0</v>
      </c>
      <c r="Q858" s="88">
        <f t="shared" si="421"/>
        <v>0</v>
      </c>
      <c r="R858" s="88">
        <f t="shared" si="421"/>
        <v>0</v>
      </c>
      <c r="S858" s="88">
        <f t="shared" si="421"/>
        <v>0</v>
      </c>
      <c r="T858" s="88">
        <f t="shared" si="421"/>
        <v>0</v>
      </c>
      <c r="U858" s="88">
        <f t="shared" si="421"/>
        <v>0</v>
      </c>
      <c r="V858" s="88">
        <f t="shared" si="421"/>
        <v>0</v>
      </c>
      <c r="W858" s="88">
        <f t="shared" si="421"/>
        <v>0</v>
      </c>
      <c r="X858" s="88">
        <f t="shared" si="421"/>
        <v>0</v>
      </c>
      <c r="Y858" s="88">
        <f t="shared" si="421"/>
        <v>0</v>
      </c>
      <c r="Z858" s="88">
        <f t="shared" si="421"/>
        <v>0</v>
      </c>
      <c r="AA858" s="88">
        <f t="shared" si="421"/>
        <v>0</v>
      </c>
      <c r="AB858" s="88">
        <f t="shared" si="421"/>
        <v>0</v>
      </c>
      <c r="AC858" s="88">
        <f t="shared" si="421"/>
        <v>0</v>
      </c>
      <c r="AD858" s="88">
        <f t="shared" si="421"/>
        <v>0</v>
      </c>
      <c r="AE858" s="88">
        <f t="shared" si="421"/>
        <v>0</v>
      </c>
      <c r="AF858" s="88">
        <f t="shared" si="421"/>
        <v>0</v>
      </c>
      <c r="AG858" s="88">
        <f t="shared" si="421"/>
        <v>0</v>
      </c>
      <c r="AH858" s="88">
        <f t="shared" si="421"/>
        <v>0</v>
      </c>
      <c r="AI858" s="88">
        <f t="shared" si="421"/>
        <v>0</v>
      </c>
      <c r="AJ858" s="88">
        <f t="shared" si="421"/>
        <v>0</v>
      </c>
      <c r="AK858" s="88">
        <f t="shared" si="421"/>
        <v>0</v>
      </c>
      <c r="AL858" s="88">
        <f t="shared" si="421"/>
        <v>0</v>
      </c>
      <c r="AM858" s="88">
        <f t="shared" si="421"/>
        <v>0</v>
      </c>
      <c r="AN858" s="88">
        <f t="shared" si="421"/>
        <v>0</v>
      </c>
      <c r="AO858" s="88">
        <f t="shared" si="421"/>
        <v>0</v>
      </c>
      <c r="AP858" s="88">
        <f t="shared" si="421"/>
        <v>0</v>
      </c>
      <c r="AQ858" s="88">
        <f t="shared" si="421"/>
        <v>0</v>
      </c>
      <c r="AR858" s="88">
        <f t="shared" si="421"/>
        <v>0</v>
      </c>
      <c r="AS858" s="88">
        <f t="shared" si="421"/>
        <v>0</v>
      </c>
      <c r="AT858" s="88">
        <f t="shared" si="421"/>
        <v>0</v>
      </c>
      <c r="AU858" s="88">
        <f t="shared" si="421"/>
        <v>0</v>
      </c>
      <c r="AV858" s="88">
        <f t="shared" si="421"/>
        <v>0</v>
      </c>
      <c r="AW858" s="88">
        <f t="shared" si="421"/>
        <v>0</v>
      </c>
      <c r="AX858" s="88">
        <f t="shared" si="421"/>
        <v>0</v>
      </c>
      <c r="AY858" s="88">
        <f t="shared" si="421"/>
        <v>0</v>
      </c>
    </row>
    <row r="859" spans="1:51" ht="14.25" customHeight="1" thickBot="1">
      <c r="A859">
        <v>11</v>
      </c>
      <c r="B859">
        <f>B858</f>
        <v>0</v>
      </c>
      <c r="C859" s="116" t="str">
        <f>C858</f>
        <v/>
      </c>
      <c r="D859" s="147">
        <v>1</v>
      </c>
      <c r="E859" s="115" t="s">
        <v>453</v>
      </c>
      <c r="F859" s="119" t="s">
        <v>454</v>
      </c>
      <c r="G859" s="116"/>
      <c r="H859" s="129">
        <f t="shared" ref="H859" si="422">SUM(J859:AY859)</f>
        <v>0</v>
      </c>
      <c r="I859" s="132"/>
      <c r="J859" s="88">
        <f>SUMIF($D860:$D941,1,J860:J941)</f>
        <v>0</v>
      </c>
      <c r="K859" s="88">
        <f t="shared" ref="K859" si="423">SUMIF($D860:$D941,1,K860:K941)</f>
        <v>0</v>
      </c>
      <c r="L859" s="88">
        <f t="shared" ref="L859" si="424">SUMIF($D860:$D941,1,L860:L941)</f>
        <v>0</v>
      </c>
      <c r="M859" s="88">
        <f t="shared" ref="M859" si="425">SUMIF($D860:$D941,1,M860:M941)</f>
        <v>0</v>
      </c>
      <c r="N859" s="88">
        <f t="shared" ref="N859" si="426">SUMIF($D860:$D941,1,N860:N941)</f>
        <v>0</v>
      </c>
      <c r="O859" s="88">
        <f t="shared" ref="O859" si="427">SUMIF($D860:$D941,1,O860:O941)</f>
        <v>0</v>
      </c>
      <c r="P859" s="88">
        <f t="shared" ref="P859" si="428">SUMIF($D860:$D941,1,P860:P941)</f>
        <v>0</v>
      </c>
      <c r="Q859" s="88">
        <f t="shared" ref="Q859" si="429">SUMIF($D860:$D941,1,Q860:Q941)</f>
        <v>0</v>
      </c>
      <c r="R859" s="88">
        <f t="shared" ref="R859" si="430">SUMIF($D860:$D941,1,R860:R941)</f>
        <v>0</v>
      </c>
      <c r="S859" s="88">
        <f t="shared" ref="S859" si="431">SUMIF($D860:$D941,1,S860:S941)</f>
        <v>0</v>
      </c>
      <c r="T859" s="88">
        <f t="shared" ref="T859" si="432">SUMIF($D860:$D941,1,T860:T941)</f>
        <v>0</v>
      </c>
      <c r="U859" s="88">
        <f t="shared" ref="U859" si="433">SUMIF($D860:$D941,1,U860:U941)</f>
        <v>0</v>
      </c>
      <c r="V859" s="88">
        <f t="shared" ref="V859" si="434">SUMIF($D860:$D941,1,V860:V941)</f>
        <v>0</v>
      </c>
      <c r="W859" s="88">
        <f t="shared" ref="W859" si="435">SUMIF($D860:$D941,1,W860:W941)</f>
        <v>0</v>
      </c>
      <c r="X859" s="88">
        <f t="shared" ref="X859" si="436">SUMIF($D860:$D941,1,X860:X941)</f>
        <v>0</v>
      </c>
      <c r="Y859" s="88">
        <f t="shared" ref="Y859" si="437">SUMIF($D860:$D941,1,Y860:Y941)</f>
        <v>0</v>
      </c>
      <c r="Z859" s="88">
        <f t="shared" ref="Z859" si="438">SUMIF($D860:$D941,1,Z860:Z941)</f>
        <v>0</v>
      </c>
      <c r="AA859" s="88">
        <f t="shared" ref="AA859" si="439">SUMIF($D860:$D941,1,AA860:AA941)</f>
        <v>0</v>
      </c>
      <c r="AB859" s="88">
        <f t="shared" ref="AB859" si="440">SUMIF($D860:$D941,1,AB860:AB941)</f>
        <v>0</v>
      </c>
      <c r="AC859" s="88">
        <f t="shared" ref="AC859" si="441">SUMIF($D860:$D941,1,AC860:AC941)</f>
        <v>0</v>
      </c>
      <c r="AD859" s="88">
        <f t="shared" ref="AD859" si="442">SUMIF($D860:$D941,1,AD860:AD941)</f>
        <v>0</v>
      </c>
      <c r="AE859" s="88">
        <f t="shared" ref="AE859" si="443">SUMIF($D860:$D941,1,AE860:AE941)</f>
        <v>0</v>
      </c>
      <c r="AF859" s="88">
        <f t="shared" ref="AF859" si="444">SUMIF($D860:$D941,1,AF860:AF941)</f>
        <v>0</v>
      </c>
      <c r="AG859" s="88">
        <f t="shared" ref="AG859" si="445">SUMIF($D860:$D941,1,AG860:AG941)</f>
        <v>0</v>
      </c>
      <c r="AH859" s="88">
        <f t="shared" ref="AH859" si="446">SUMIF($D860:$D941,1,AH860:AH941)</f>
        <v>0</v>
      </c>
      <c r="AI859" s="88">
        <f t="shared" ref="AI859" si="447">SUMIF($D860:$D941,1,AI860:AI941)</f>
        <v>0</v>
      </c>
      <c r="AJ859" s="88">
        <f t="shared" ref="AJ859" si="448">SUMIF($D860:$D941,1,AJ860:AJ941)</f>
        <v>0</v>
      </c>
      <c r="AK859" s="88">
        <f t="shared" ref="AK859" si="449">SUMIF($D860:$D941,1,AK860:AK941)</f>
        <v>0</v>
      </c>
      <c r="AL859" s="88">
        <f t="shared" ref="AL859" si="450">SUMIF($D860:$D941,1,AL860:AL941)</f>
        <v>0</v>
      </c>
      <c r="AM859" s="88">
        <f t="shared" ref="AM859" si="451">SUMIF($D860:$D941,1,AM860:AM941)</f>
        <v>0</v>
      </c>
      <c r="AN859" s="88">
        <f t="shared" ref="AN859" si="452">SUMIF($D860:$D941,1,AN860:AN941)</f>
        <v>0</v>
      </c>
      <c r="AO859" s="88">
        <f t="shared" ref="AO859" si="453">SUMIF($D860:$D941,1,AO860:AO941)</f>
        <v>0</v>
      </c>
      <c r="AP859" s="88">
        <f t="shared" ref="AP859" si="454">SUMIF($D860:$D941,1,AP860:AP941)</f>
        <v>0</v>
      </c>
      <c r="AQ859" s="88">
        <f t="shared" ref="AQ859" si="455">SUMIF($D860:$D941,1,AQ860:AQ941)</f>
        <v>0</v>
      </c>
      <c r="AR859" s="88">
        <f t="shared" ref="AR859" si="456">SUMIF($D860:$D941,1,AR860:AR941)</f>
        <v>0</v>
      </c>
      <c r="AS859" s="88">
        <f t="shared" ref="AS859" si="457">SUMIF($D860:$D941,1,AS860:AS941)</f>
        <v>0</v>
      </c>
      <c r="AT859" s="88">
        <f t="shared" ref="AT859" si="458">SUMIF($D860:$D941,1,AT860:AT941)</f>
        <v>0</v>
      </c>
      <c r="AU859" s="88">
        <f t="shared" ref="AU859" si="459">SUMIF($D860:$D941,1,AU860:AU941)</f>
        <v>0</v>
      </c>
      <c r="AV859" s="88">
        <f t="shared" ref="AV859" si="460">SUMIF($D860:$D941,1,AV860:AV941)</f>
        <v>0</v>
      </c>
      <c r="AW859" s="88">
        <f t="shared" ref="AW859" si="461">SUMIF($D860:$D941,1,AW860:AW941)</f>
        <v>0</v>
      </c>
      <c r="AX859" s="88">
        <f t="shared" ref="AX859" si="462">SUMIF($D860:$D941,1,AX860:AX941)</f>
        <v>0</v>
      </c>
      <c r="AY859" s="88">
        <f t="shared" ref="AY859" si="463">SUMIF($D860:$D941,1,AY860:AY941)</f>
        <v>0</v>
      </c>
    </row>
    <row r="860" spans="1:51" ht="14.25" thickBot="1">
      <c r="A860">
        <v>11</v>
      </c>
      <c r="B860" s="120">
        <f>B858</f>
        <v>0</v>
      </c>
      <c r="C860" s="120" t="str">
        <f>C858</f>
        <v/>
      </c>
      <c r="D860" s="137"/>
      <c r="E860" s="150" t="str">
        <f>工種!A2</f>
        <v>10102</v>
      </c>
      <c r="F860" s="119" t="str">
        <f>工種!B2</f>
        <v>SRS：調査・分析・開発計画の準備・実施作業</v>
      </c>
      <c r="G860" s="116" t="str">
        <f t="shared" si="413"/>
        <v>010102</v>
      </c>
      <c r="H860" s="88">
        <f t="shared" si="420"/>
        <v>0</v>
      </c>
      <c r="I860" s="132"/>
      <c r="J860" s="88">
        <f>SUMIF(月間集計シート!$M$29:$M$48,$G860,月間集計シート!N$29:N$48)*J$2</f>
        <v>0</v>
      </c>
      <c r="K860" s="88">
        <f>SUMIF(月間集計シート!$M$29:$M$48,$G860,月間集計シート!O$29:O$48)*K$2</f>
        <v>0</v>
      </c>
      <c r="L860" s="88">
        <f>SUMIF(月間集計シート!$M$29:$M$48,$G860,月間集計シート!P$29:P$48)*L$2</f>
        <v>0</v>
      </c>
      <c r="M860" s="88">
        <f>SUMIF(月間集計シート!$M$29:$M$48,$G860,月間集計シート!Q$29:Q$48)*M$2</f>
        <v>0</v>
      </c>
      <c r="N860" s="88">
        <f>SUMIF(月間集計シート!$M$29:$M$48,$G860,月間集計シート!R$29:R$48)*N$2</f>
        <v>0</v>
      </c>
      <c r="O860" s="88">
        <f>SUMIF(月間集計シート!$M$29:$M$48,$G860,月間集計シート!S$29:S$48)*O$2</f>
        <v>0</v>
      </c>
      <c r="P860" s="88">
        <f>SUMIF(月間集計シート!$M$29:$M$48,$G860,月間集計シート!T$29:T$48)*P$2</f>
        <v>0</v>
      </c>
      <c r="Q860" s="88">
        <f>SUMIF(月間集計シート!$M$50:$M$69,$G860,月間集計シート!N$50:N$69)*Q$2</f>
        <v>0</v>
      </c>
      <c r="R860" s="88">
        <f>SUMIF(月間集計シート!$M$50:$M$69,$G860,月間集計シート!O$50:O$69)*R$2</f>
        <v>0</v>
      </c>
      <c r="S860" s="88">
        <f>SUMIF(月間集計シート!$M$50:$M$69,$G860,月間集計シート!P$50:P$69)*S$2</f>
        <v>0</v>
      </c>
      <c r="T860" s="88">
        <f>SUMIF(月間集計シート!$M$50:$M$69,$G860,月間集計シート!Q$50:Q$69)*T$2</f>
        <v>0</v>
      </c>
      <c r="U860" s="88">
        <f>SUMIF(月間集計シート!$M$50:$M$69,$G860,月間集計シート!R$50:R$69)*U$2</f>
        <v>0</v>
      </c>
      <c r="V860" s="88">
        <f>SUMIF(月間集計シート!$M$50:$M$69,$G860,月間集計シート!S$50:S$69)*V$2</f>
        <v>0</v>
      </c>
      <c r="W860" s="88">
        <f>SUMIF(月間集計シート!$M$50:$M$69,$G860,月間集計シート!T$50:T$69)*W$2</f>
        <v>0</v>
      </c>
      <c r="X860" s="88">
        <f>SUMIF(月間集計シート!$M$71:$M$90,$G860,月間集計シート!N$71:N$90)*X$2</f>
        <v>0</v>
      </c>
      <c r="Y860" s="88">
        <f>SUMIF(月間集計シート!$M$71:$M$90,$G860,月間集計シート!O$71:O$90)*Y$2</f>
        <v>0</v>
      </c>
      <c r="Z860" s="88">
        <f>SUMIF(月間集計シート!$M$71:$M$90,$G860,月間集計シート!P$71:P$90)*Z$2</f>
        <v>0</v>
      </c>
      <c r="AA860" s="88">
        <f>SUMIF(月間集計シート!$M$71:$M$90,$G860,月間集計シート!Q$71:Q$90)*AA$2</f>
        <v>0</v>
      </c>
      <c r="AB860" s="88">
        <f>SUMIF(月間集計シート!$M$71:$M$90,$G860,月間集計シート!R$71:R$90)*AB$2</f>
        <v>0</v>
      </c>
      <c r="AC860" s="88">
        <f>SUMIF(月間集計シート!$M$71:$M$90,$G860,月間集計シート!S$71:S$90)*AC$2</f>
        <v>0</v>
      </c>
      <c r="AD860" s="88">
        <f>SUMIF(月間集計シート!$M$71:$M$90,$G860,月間集計シート!T$71:T$90)*AD$2</f>
        <v>0</v>
      </c>
      <c r="AE860" s="88">
        <f>SUMIF(月間集計シート!$M$92:$M$111,$G860,月間集計シート!N$92:N$111)*AE$2</f>
        <v>0</v>
      </c>
      <c r="AF860" s="88">
        <f>SUMIF(月間集計シート!$M$92:$M$111,$G860,月間集計シート!O$92:O$111)*AF$2</f>
        <v>0</v>
      </c>
      <c r="AG860" s="88">
        <f>SUMIF(月間集計シート!$M$92:$M$111,$G860,月間集計シート!P$92:P$111)*AG$2</f>
        <v>0</v>
      </c>
      <c r="AH860" s="88">
        <f>SUMIF(月間集計シート!$M$92:$M$111,$G860,月間集計シート!Q$92:Q$111)*AH$2</f>
        <v>0</v>
      </c>
      <c r="AI860" s="88">
        <f>SUMIF(月間集計シート!$M$92:$M$111,$G860,月間集計シート!R$92:R$111)*AI$2</f>
        <v>0</v>
      </c>
      <c r="AJ860" s="88">
        <f>SUMIF(月間集計シート!$M$92:$M$111,$G860,月間集計シート!S$92:S$111)*AJ$2</f>
        <v>0</v>
      </c>
      <c r="AK860" s="88">
        <f>SUMIF(月間集計シート!$M$92:$M$111,$G860,月間集計シート!T$92:T$111)*AK$2</f>
        <v>0</v>
      </c>
      <c r="AL860" s="88">
        <f>SUMIF(月間集計シート!$M$113:$M$132,$G860,月間集計シート!N$113:N$132)*AL$2</f>
        <v>0</v>
      </c>
      <c r="AM860" s="88">
        <f>SUMIF(月間集計シート!$M$113:$M$132,$G860,月間集計シート!O$113:O$132)*AM$2</f>
        <v>0</v>
      </c>
      <c r="AN860" s="88">
        <f>SUMIF(月間集計シート!$M$113:$M$132,$G860,月間集計シート!P$113:P$132)*AN$2</f>
        <v>0</v>
      </c>
      <c r="AO860" s="88">
        <f>SUMIF(月間集計シート!$M$113:$M$132,$G860,月間集計シート!Q$113:Q$132)*AO$2</f>
        <v>0</v>
      </c>
      <c r="AP860" s="88">
        <f>SUMIF(月間集計シート!$M$113:$M$132,$G860,月間集計シート!R$113:R$132)*AP$2</f>
        <v>0</v>
      </c>
      <c r="AQ860" s="88">
        <f>SUMIF(月間集計シート!$M$113:$M$132,$G860,月間集計シート!S$113:S$132)*AQ$2</f>
        <v>0</v>
      </c>
      <c r="AR860" s="88">
        <f>SUMIF(月間集計シート!$M$113:$M$132,$G860,月間集計シート!T$113:T$132)*AR$2</f>
        <v>0</v>
      </c>
      <c r="AS860" s="88">
        <f>SUMIF(月間集計シート!$M$134:$M$153,$G860,月間集計シート!N$134:N$153)*AS$2</f>
        <v>0</v>
      </c>
      <c r="AT860" s="88">
        <f>SUMIF(月間集計シート!$M$134:$M$153,$G860,月間集計シート!O$134:O$153)*AT$2</f>
        <v>0</v>
      </c>
      <c r="AU860" s="88">
        <f>SUMIF(月間集計シート!$M$134:$M$153,$G860,月間集計シート!P$134:P$153)*AU$2</f>
        <v>0</v>
      </c>
      <c r="AV860" s="88">
        <f>SUMIF(月間集計シート!$M$134:$M$153,$G860,月間集計シート!Q$134:Q$153)*AV$2</f>
        <v>0</v>
      </c>
      <c r="AW860" s="88">
        <f>SUMIF(月間集計シート!$M$134:$M$153,$G860,月間集計シート!R$134:R$153)*AW$2</f>
        <v>0</v>
      </c>
      <c r="AX860" s="88">
        <f>SUMIF(月間集計シート!$M$134:$M$153,$G860,月間集計シート!S$134:S$153)*AX$2</f>
        <v>0</v>
      </c>
      <c r="AY860" s="88">
        <f>SUMIF(月間集計シート!$M$134:$M$153,$G860,月間集計シート!T$134:T$153)*AY$2</f>
        <v>0</v>
      </c>
    </row>
    <row r="861" spans="1:51" ht="14.25" thickBot="1">
      <c r="A861">
        <v>11</v>
      </c>
      <c r="B861" s="120">
        <f t="shared" ref="B861:B924" si="464">B860</f>
        <v>0</v>
      </c>
      <c r="C861" s="120" t="str">
        <f t="shared" ref="C861:C924" si="465">C860</f>
        <v/>
      </c>
      <c r="D861" s="137"/>
      <c r="E861" s="150" t="str">
        <f>工種!A3</f>
        <v>10103</v>
      </c>
      <c r="F861" s="119" t="str">
        <f>工種!B3</f>
        <v>SRS：企画書・計画書・報告書等資料作成・修正</v>
      </c>
      <c r="G861" s="116" t="str">
        <f t="shared" si="413"/>
        <v>010103</v>
      </c>
      <c r="H861" s="88">
        <f t="shared" si="420"/>
        <v>0</v>
      </c>
      <c r="I861" s="132"/>
      <c r="J861" s="88">
        <f>SUMIF(月間集計シート!$M$29:$M$48,$G861,月間集計シート!N$29:N$48)*J$2</f>
        <v>0</v>
      </c>
      <c r="K861" s="88">
        <f>SUMIF(月間集計シート!$M$29:$M$48,$G861,月間集計シート!O$29:O$48)*K$2</f>
        <v>0</v>
      </c>
      <c r="L861" s="88">
        <f>SUMIF(月間集計シート!$M$29:$M$48,$G861,月間集計シート!P$29:P$48)*L$2</f>
        <v>0</v>
      </c>
      <c r="M861" s="88">
        <f>SUMIF(月間集計シート!$M$29:$M$48,$G861,月間集計シート!Q$29:Q$48)*M$2</f>
        <v>0</v>
      </c>
      <c r="N861" s="88">
        <f>SUMIF(月間集計シート!$M$29:$M$48,$G861,月間集計シート!R$29:R$48)*N$2</f>
        <v>0</v>
      </c>
      <c r="O861" s="88">
        <f>SUMIF(月間集計シート!$M$29:$M$48,$G861,月間集計シート!S$29:S$48)*O$2</f>
        <v>0</v>
      </c>
      <c r="P861" s="88">
        <f>SUMIF(月間集計シート!$M$29:$M$48,$G861,月間集計シート!T$29:T$48)*P$2</f>
        <v>0</v>
      </c>
      <c r="Q861" s="88">
        <f>SUMIF(月間集計シート!$M$50:$M$69,$G861,月間集計シート!N$50:N$69)*Q$2</f>
        <v>0</v>
      </c>
      <c r="R861" s="88">
        <f>SUMIF(月間集計シート!$M$50:$M$69,$G861,月間集計シート!O$50:O$69)*R$2</f>
        <v>0</v>
      </c>
      <c r="S861" s="88">
        <f>SUMIF(月間集計シート!$M$50:$M$69,$G861,月間集計シート!P$50:P$69)*S$2</f>
        <v>0</v>
      </c>
      <c r="T861" s="88">
        <f>SUMIF(月間集計シート!$M$50:$M$69,$G861,月間集計シート!Q$50:Q$69)*T$2</f>
        <v>0</v>
      </c>
      <c r="U861" s="88">
        <f>SUMIF(月間集計シート!$M$50:$M$69,$G861,月間集計シート!R$50:R$69)*U$2</f>
        <v>0</v>
      </c>
      <c r="V861" s="88">
        <f>SUMIF(月間集計シート!$M$50:$M$69,$G861,月間集計シート!S$50:S$69)*V$2</f>
        <v>0</v>
      </c>
      <c r="W861" s="88">
        <f>SUMIF(月間集計シート!$M$50:$M$69,$G861,月間集計シート!T$50:T$69)*W$2</f>
        <v>0</v>
      </c>
      <c r="X861" s="88">
        <f>SUMIF(月間集計シート!$M$71:$M$90,$G861,月間集計シート!N$71:N$90)*X$2</f>
        <v>0</v>
      </c>
      <c r="Y861" s="88">
        <f>SUMIF(月間集計シート!$M$71:$M$90,$G861,月間集計シート!O$71:O$90)*Y$2</f>
        <v>0</v>
      </c>
      <c r="Z861" s="88">
        <f>SUMIF(月間集計シート!$M$71:$M$90,$G861,月間集計シート!P$71:P$90)*Z$2</f>
        <v>0</v>
      </c>
      <c r="AA861" s="88">
        <f>SUMIF(月間集計シート!$M$71:$M$90,$G861,月間集計シート!Q$71:Q$90)*AA$2</f>
        <v>0</v>
      </c>
      <c r="AB861" s="88">
        <f>SUMIF(月間集計シート!$M$71:$M$90,$G861,月間集計シート!R$71:R$90)*AB$2</f>
        <v>0</v>
      </c>
      <c r="AC861" s="88">
        <f>SUMIF(月間集計シート!$M$71:$M$90,$G861,月間集計シート!S$71:S$90)*AC$2</f>
        <v>0</v>
      </c>
      <c r="AD861" s="88">
        <f>SUMIF(月間集計シート!$M$71:$M$90,$G861,月間集計シート!T$71:T$90)*AD$2</f>
        <v>0</v>
      </c>
      <c r="AE861" s="88">
        <f>SUMIF(月間集計シート!$M$92:$M$111,$G861,月間集計シート!N$92:N$111)*AE$2</f>
        <v>0</v>
      </c>
      <c r="AF861" s="88">
        <f>SUMIF(月間集計シート!$M$92:$M$111,$G861,月間集計シート!O$92:O$111)*AF$2</f>
        <v>0</v>
      </c>
      <c r="AG861" s="88">
        <f>SUMIF(月間集計シート!$M$92:$M$111,$G861,月間集計シート!P$92:P$111)*AG$2</f>
        <v>0</v>
      </c>
      <c r="AH861" s="88">
        <f>SUMIF(月間集計シート!$M$92:$M$111,$G861,月間集計シート!Q$92:Q$111)*AH$2</f>
        <v>0</v>
      </c>
      <c r="AI861" s="88">
        <f>SUMIF(月間集計シート!$M$92:$M$111,$G861,月間集計シート!R$92:R$111)*AI$2</f>
        <v>0</v>
      </c>
      <c r="AJ861" s="88">
        <f>SUMIF(月間集計シート!$M$92:$M$111,$G861,月間集計シート!S$92:S$111)*AJ$2</f>
        <v>0</v>
      </c>
      <c r="AK861" s="88">
        <f>SUMIF(月間集計シート!$M$92:$M$111,$G861,月間集計シート!T$92:T$111)*AK$2</f>
        <v>0</v>
      </c>
      <c r="AL861" s="88">
        <f>SUMIF(月間集計シート!$M$113:$M$132,$G861,月間集計シート!N$113:N$132)*AL$2</f>
        <v>0</v>
      </c>
      <c r="AM861" s="88">
        <f>SUMIF(月間集計シート!$M$113:$M$132,$G861,月間集計シート!O$113:O$132)*AM$2</f>
        <v>0</v>
      </c>
      <c r="AN861" s="88">
        <f>SUMIF(月間集計シート!$M$113:$M$132,$G861,月間集計シート!P$113:P$132)*AN$2</f>
        <v>0</v>
      </c>
      <c r="AO861" s="88">
        <f>SUMIF(月間集計シート!$M$113:$M$132,$G861,月間集計シート!Q$113:Q$132)*AO$2</f>
        <v>0</v>
      </c>
      <c r="AP861" s="88">
        <f>SUMIF(月間集計シート!$M$113:$M$132,$G861,月間集計シート!R$113:R$132)*AP$2</f>
        <v>0</v>
      </c>
      <c r="AQ861" s="88">
        <f>SUMIF(月間集計シート!$M$113:$M$132,$G861,月間集計シート!S$113:S$132)*AQ$2</f>
        <v>0</v>
      </c>
      <c r="AR861" s="88">
        <f>SUMIF(月間集計シート!$M$113:$M$132,$G861,月間集計シート!T$113:T$132)*AR$2</f>
        <v>0</v>
      </c>
      <c r="AS861" s="88">
        <f>SUMIF(月間集計シート!$M$134:$M$153,$G861,月間集計シート!N$134:N$153)*AS$2</f>
        <v>0</v>
      </c>
      <c r="AT861" s="88">
        <f>SUMIF(月間集計シート!$M$134:$M$153,$G861,月間集計シート!O$134:O$153)*AT$2</f>
        <v>0</v>
      </c>
      <c r="AU861" s="88">
        <f>SUMIF(月間集計シート!$M$134:$M$153,$G861,月間集計シート!P$134:P$153)*AU$2</f>
        <v>0</v>
      </c>
      <c r="AV861" s="88">
        <f>SUMIF(月間集計シート!$M$134:$M$153,$G861,月間集計シート!Q$134:Q$153)*AV$2</f>
        <v>0</v>
      </c>
      <c r="AW861" s="88">
        <f>SUMIF(月間集計シート!$M$134:$M$153,$G861,月間集計シート!R$134:R$153)*AW$2</f>
        <v>0</v>
      </c>
      <c r="AX861" s="88">
        <f>SUMIF(月間集計シート!$M$134:$M$153,$G861,月間集計シート!S$134:S$153)*AX$2</f>
        <v>0</v>
      </c>
      <c r="AY861" s="88">
        <f>SUMIF(月間集計シート!$M$134:$M$153,$G861,月間集計シート!T$134:T$153)*AY$2</f>
        <v>0</v>
      </c>
    </row>
    <row r="862" spans="1:51" ht="14.25" thickBot="1">
      <c r="A862">
        <v>11</v>
      </c>
      <c r="B862" s="120">
        <f t="shared" si="464"/>
        <v>0</v>
      </c>
      <c r="C862" s="120" t="str">
        <f t="shared" si="465"/>
        <v/>
      </c>
      <c r="D862" s="137"/>
      <c r="E862" s="150" t="str">
        <f>工種!A4</f>
        <v>10104</v>
      </c>
      <c r="F862" s="119" t="str">
        <f>工種!B4</f>
        <v>SRS：打合せ</v>
      </c>
      <c r="G862" s="116" t="str">
        <f t="shared" si="413"/>
        <v>010104</v>
      </c>
      <c r="H862" s="88">
        <f t="shared" si="420"/>
        <v>0</v>
      </c>
      <c r="I862" s="132"/>
      <c r="J862" s="88">
        <f>SUMIF(月間集計シート!$M$29:$M$48,$G862,月間集計シート!N$29:N$48)*J$2</f>
        <v>0</v>
      </c>
      <c r="K862" s="88">
        <f>SUMIF(月間集計シート!$M$29:$M$48,$G862,月間集計シート!O$29:O$48)*K$2</f>
        <v>0</v>
      </c>
      <c r="L862" s="88">
        <f>SUMIF(月間集計シート!$M$29:$M$48,$G862,月間集計シート!P$29:P$48)*L$2</f>
        <v>0</v>
      </c>
      <c r="M862" s="88">
        <f>SUMIF(月間集計シート!$M$29:$M$48,$G862,月間集計シート!Q$29:Q$48)*M$2</f>
        <v>0</v>
      </c>
      <c r="N862" s="88">
        <f>SUMIF(月間集計シート!$M$29:$M$48,$G862,月間集計シート!R$29:R$48)*N$2</f>
        <v>0</v>
      </c>
      <c r="O862" s="88">
        <f>SUMIF(月間集計シート!$M$29:$M$48,$G862,月間集計シート!S$29:S$48)*O$2</f>
        <v>0</v>
      </c>
      <c r="P862" s="88">
        <f>SUMIF(月間集計シート!$M$29:$M$48,$G862,月間集計シート!T$29:T$48)*P$2</f>
        <v>0</v>
      </c>
      <c r="Q862" s="88">
        <f>SUMIF(月間集計シート!$M$50:$M$69,$G862,月間集計シート!N$50:N$69)*Q$2</f>
        <v>0</v>
      </c>
      <c r="R862" s="88">
        <f>SUMIF(月間集計シート!$M$50:$M$69,$G862,月間集計シート!O$50:O$69)*R$2</f>
        <v>0</v>
      </c>
      <c r="S862" s="88">
        <f>SUMIF(月間集計シート!$M$50:$M$69,$G862,月間集計シート!P$50:P$69)*S$2</f>
        <v>0</v>
      </c>
      <c r="T862" s="88">
        <f>SUMIF(月間集計シート!$M$50:$M$69,$G862,月間集計シート!Q$50:Q$69)*T$2</f>
        <v>0</v>
      </c>
      <c r="U862" s="88">
        <f>SUMIF(月間集計シート!$M$50:$M$69,$G862,月間集計シート!R$50:R$69)*U$2</f>
        <v>0</v>
      </c>
      <c r="V862" s="88">
        <f>SUMIF(月間集計シート!$M$50:$M$69,$G862,月間集計シート!S$50:S$69)*V$2</f>
        <v>0</v>
      </c>
      <c r="W862" s="88">
        <f>SUMIF(月間集計シート!$M$50:$M$69,$G862,月間集計シート!T$50:T$69)*W$2</f>
        <v>0</v>
      </c>
      <c r="X862" s="88">
        <f>SUMIF(月間集計シート!$M$71:$M$90,$G862,月間集計シート!N$71:N$90)*X$2</f>
        <v>0</v>
      </c>
      <c r="Y862" s="88">
        <f>SUMIF(月間集計シート!$M$71:$M$90,$G862,月間集計シート!O$71:O$90)*Y$2</f>
        <v>0</v>
      </c>
      <c r="Z862" s="88">
        <f>SUMIF(月間集計シート!$M$71:$M$90,$G862,月間集計シート!P$71:P$90)*Z$2</f>
        <v>0</v>
      </c>
      <c r="AA862" s="88">
        <f>SUMIF(月間集計シート!$M$71:$M$90,$G862,月間集計シート!Q$71:Q$90)*AA$2</f>
        <v>0</v>
      </c>
      <c r="AB862" s="88">
        <f>SUMIF(月間集計シート!$M$71:$M$90,$G862,月間集計シート!R$71:R$90)*AB$2</f>
        <v>0</v>
      </c>
      <c r="AC862" s="88">
        <f>SUMIF(月間集計シート!$M$71:$M$90,$G862,月間集計シート!S$71:S$90)*AC$2</f>
        <v>0</v>
      </c>
      <c r="AD862" s="88">
        <f>SUMIF(月間集計シート!$M$71:$M$90,$G862,月間集計シート!T$71:T$90)*AD$2</f>
        <v>0</v>
      </c>
      <c r="AE862" s="88">
        <f>SUMIF(月間集計シート!$M$92:$M$111,$G862,月間集計シート!N$92:N$111)*AE$2</f>
        <v>0</v>
      </c>
      <c r="AF862" s="88">
        <f>SUMIF(月間集計シート!$M$92:$M$111,$G862,月間集計シート!O$92:O$111)*AF$2</f>
        <v>0</v>
      </c>
      <c r="AG862" s="88">
        <f>SUMIF(月間集計シート!$M$92:$M$111,$G862,月間集計シート!P$92:P$111)*AG$2</f>
        <v>0</v>
      </c>
      <c r="AH862" s="88">
        <f>SUMIF(月間集計シート!$M$92:$M$111,$G862,月間集計シート!Q$92:Q$111)*AH$2</f>
        <v>0</v>
      </c>
      <c r="AI862" s="88">
        <f>SUMIF(月間集計シート!$M$92:$M$111,$G862,月間集計シート!R$92:R$111)*AI$2</f>
        <v>0</v>
      </c>
      <c r="AJ862" s="88">
        <f>SUMIF(月間集計シート!$M$92:$M$111,$G862,月間集計シート!S$92:S$111)*AJ$2</f>
        <v>0</v>
      </c>
      <c r="AK862" s="88">
        <f>SUMIF(月間集計シート!$M$92:$M$111,$G862,月間集計シート!T$92:T$111)*AK$2</f>
        <v>0</v>
      </c>
      <c r="AL862" s="88">
        <f>SUMIF(月間集計シート!$M$113:$M$132,$G862,月間集計シート!N$113:N$132)*AL$2</f>
        <v>0</v>
      </c>
      <c r="AM862" s="88">
        <f>SUMIF(月間集計シート!$M$113:$M$132,$G862,月間集計シート!O$113:O$132)*AM$2</f>
        <v>0</v>
      </c>
      <c r="AN862" s="88">
        <f>SUMIF(月間集計シート!$M$113:$M$132,$G862,月間集計シート!P$113:P$132)*AN$2</f>
        <v>0</v>
      </c>
      <c r="AO862" s="88">
        <f>SUMIF(月間集計シート!$M$113:$M$132,$G862,月間集計シート!Q$113:Q$132)*AO$2</f>
        <v>0</v>
      </c>
      <c r="AP862" s="88">
        <f>SUMIF(月間集計シート!$M$113:$M$132,$G862,月間集計シート!R$113:R$132)*AP$2</f>
        <v>0</v>
      </c>
      <c r="AQ862" s="88">
        <f>SUMIF(月間集計シート!$M$113:$M$132,$G862,月間集計シート!S$113:S$132)*AQ$2</f>
        <v>0</v>
      </c>
      <c r="AR862" s="88">
        <f>SUMIF(月間集計シート!$M$113:$M$132,$G862,月間集計シート!T$113:T$132)*AR$2</f>
        <v>0</v>
      </c>
      <c r="AS862" s="88">
        <f>SUMIF(月間集計シート!$M$134:$M$153,$G862,月間集計シート!N$134:N$153)*AS$2</f>
        <v>0</v>
      </c>
      <c r="AT862" s="88">
        <f>SUMIF(月間集計シート!$M$134:$M$153,$G862,月間集計シート!O$134:O$153)*AT$2</f>
        <v>0</v>
      </c>
      <c r="AU862" s="88">
        <f>SUMIF(月間集計シート!$M$134:$M$153,$G862,月間集計シート!P$134:P$153)*AU$2</f>
        <v>0</v>
      </c>
      <c r="AV862" s="88">
        <f>SUMIF(月間集計シート!$M$134:$M$153,$G862,月間集計シート!Q$134:Q$153)*AV$2</f>
        <v>0</v>
      </c>
      <c r="AW862" s="88">
        <f>SUMIF(月間集計シート!$M$134:$M$153,$G862,月間集計シート!R$134:R$153)*AW$2</f>
        <v>0</v>
      </c>
      <c r="AX862" s="88">
        <f>SUMIF(月間集計シート!$M$134:$M$153,$G862,月間集計シート!S$134:S$153)*AX$2</f>
        <v>0</v>
      </c>
      <c r="AY862" s="88">
        <f>SUMIF(月間集計シート!$M$134:$M$153,$G862,月間集計シート!T$134:T$153)*AY$2</f>
        <v>0</v>
      </c>
    </row>
    <row r="863" spans="1:51" ht="14.25" thickBot="1">
      <c r="A863">
        <v>11</v>
      </c>
      <c r="B863" s="120">
        <f t="shared" si="464"/>
        <v>0</v>
      </c>
      <c r="C863" s="120" t="str">
        <f t="shared" si="465"/>
        <v/>
      </c>
      <c r="D863" s="137"/>
      <c r="E863" s="150" t="str">
        <f>工種!A5</f>
        <v>10105</v>
      </c>
      <c r="F863" s="119" t="str">
        <f>工種!B5</f>
        <v>SRS：レビュー</v>
      </c>
      <c r="G863" s="116" t="str">
        <f t="shared" si="413"/>
        <v>010105</v>
      </c>
      <c r="H863" s="88">
        <f t="shared" si="420"/>
        <v>0</v>
      </c>
      <c r="I863" s="132"/>
      <c r="J863" s="88">
        <f>SUMIF(月間集計シート!$M$29:$M$48,$G863,月間集計シート!N$29:N$48)*J$2</f>
        <v>0</v>
      </c>
      <c r="K863" s="88">
        <f>SUMIF(月間集計シート!$M$29:$M$48,$G863,月間集計シート!O$29:O$48)*K$2</f>
        <v>0</v>
      </c>
      <c r="L863" s="88">
        <f>SUMIF(月間集計シート!$M$29:$M$48,$G863,月間集計シート!P$29:P$48)*L$2</f>
        <v>0</v>
      </c>
      <c r="M863" s="88">
        <f>SUMIF(月間集計シート!$M$29:$M$48,$G863,月間集計シート!Q$29:Q$48)*M$2</f>
        <v>0</v>
      </c>
      <c r="N863" s="88">
        <f>SUMIF(月間集計シート!$M$29:$M$48,$G863,月間集計シート!R$29:R$48)*N$2</f>
        <v>0</v>
      </c>
      <c r="O863" s="88">
        <f>SUMIF(月間集計シート!$M$29:$M$48,$G863,月間集計シート!S$29:S$48)*O$2</f>
        <v>0</v>
      </c>
      <c r="P863" s="88">
        <f>SUMIF(月間集計シート!$M$29:$M$48,$G863,月間集計シート!T$29:T$48)*P$2</f>
        <v>0</v>
      </c>
      <c r="Q863" s="88">
        <f>SUMIF(月間集計シート!$M$50:$M$69,$G863,月間集計シート!N$50:N$69)*Q$2</f>
        <v>0</v>
      </c>
      <c r="R863" s="88">
        <f>SUMIF(月間集計シート!$M$50:$M$69,$G863,月間集計シート!O$50:O$69)*R$2</f>
        <v>0</v>
      </c>
      <c r="S863" s="88">
        <f>SUMIF(月間集計シート!$M$50:$M$69,$G863,月間集計シート!P$50:P$69)*S$2</f>
        <v>0</v>
      </c>
      <c r="T863" s="88">
        <f>SUMIF(月間集計シート!$M$50:$M$69,$G863,月間集計シート!Q$50:Q$69)*T$2</f>
        <v>0</v>
      </c>
      <c r="U863" s="88">
        <f>SUMIF(月間集計シート!$M$50:$M$69,$G863,月間集計シート!R$50:R$69)*U$2</f>
        <v>0</v>
      </c>
      <c r="V863" s="88">
        <f>SUMIF(月間集計シート!$M$50:$M$69,$G863,月間集計シート!S$50:S$69)*V$2</f>
        <v>0</v>
      </c>
      <c r="W863" s="88">
        <f>SUMIF(月間集計シート!$M$50:$M$69,$G863,月間集計シート!T$50:T$69)*W$2</f>
        <v>0</v>
      </c>
      <c r="X863" s="88">
        <f>SUMIF(月間集計シート!$M$71:$M$90,$G863,月間集計シート!N$71:N$90)*X$2</f>
        <v>0</v>
      </c>
      <c r="Y863" s="88">
        <f>SUMIF(月間集計シート!$M$71:$M$90,$G863,月間集計シート!O$71:O$90)*Y$2</f>
        <v>0</v>
      </c>
      <c r="Z863" s="88">
        <f>SUMIF(月間集計シート!$M$71:$M$90,$G863,月間集計シート!P$71:P$90)*Z$2</f>
        <v>0</v>
      </c>
      <c r="AA863" s="88">
        <f>SUMIF(月間集計シート!$M$71:$M$90,$G863,月間集計シート!Q$71:Q$90)*AA$2</f>
        <v>0</v>
      </c>
      <c r="AB863" s="88">
        <f>SUMIF(月間集計シート!$M$71:$M$90,$G863,月間集計シート!R$71:R$90)*AB$2</f>
        <v>0</v>
      </c>
      <c r="AC863" s="88">
        <f>SUMIF(月間集計シート!$M$71:$M$90,$G863,月間集計シート!S$71:S$90)*AC$2</f>
        <v>0</v>
      </c>
      <c r="AD863" s="88">
        <f>SUMIF(月間集計シート!$M$71:$M$90,$G863,月間集計シート!T$71:T$90)*AD$2</f>
        <v>0</v>
      </c>
      <c r="AE863" s="88">
        <f>SUMIF(月間集計シート!$M$92:$M$111,$G863,月間集計シート!N$92:N$111)*AE$2</f>
        <v>0</v>
      </c>
      <c r="AF863" s="88">
        <f>SUMIF(月間集計シート!$M$92:$M$111,$G863,月間集計シート!O$92:O$111)*AF$2</f>
        <v>0</v>
      </c>
      <c r="AG863" s="88">
        <f>SUMIF(月間集計シート!$M$92:$M$111,$G863,月間集計シート!P$92:P$111)*AG$2</f>
        <v>0</v>
      </c>
      <c r="AH863" s="88">
        <f>SUMIF(月間集計シート!$M$92:$M$111,$G863,月間集計シート!Q$92:Q$111)*AH$2</f>
        <v>0</v>
      </c>
      <c r="AI863" s="88">
        <f>SUMIF(月間集計シート!$M$92:$M$111,$G863,月間集計シート!R$92:R$111)*AI$2</f>
        <v>0</v>
      </c>
      <c r="AJ863" s="88">
        <f>SUMIF(月間集計シート!$M$92:$M$111,$G863,月間集計シート!S$92:S$111)*AJ$2</f>
        <v>0</v>
      </c>
      <c r="AK863" s="88">
        <f>SUMIF(月間集計シート!$M$92:$M$111,$G863,月間集計シート!T$92:T$111)*AK$2</f>
        <v>0</v>
      </c>
      <c r="AL863" s="88">
        <f>SUMIF(月間集計シート!$M$113:$M$132,$G863,月間集計シート!N$113:N$132)*AL$2</f>
        <v>0</v>
      </c>
      <c r="AM863" s="88">
        <f>SUMIF(月間集計シート!$M$113:$M$132,$G863,月間集計シート!O$113:O$132)*AM$2</f>
        <v>0</v>
      </c>
      <c r="AN863" s="88">
        <f>SUMIF(月間集計シート!$M$113:$M$132,$G863,月間集計シート!P$113:P$132)*AN$2</f>
        <v>0</v>
      </c>
      <c r="AO863" s="88">
        <f>SUMIF(月間集計シート!$M$113:$M$132,$G863,月間集計シート!Q$113:Q$132)*AO$2</f>
        <v>0</v>
      </c>
      <c r="AP863" s="88">
        <f>SUMIF(月間集計シート!$M$113:$M$132,$G863,月間集計シート!R$113:R$132)*AP$2</f>
        <v>0</v>
      </c>
      <c r="AQ863" s="88">
        <f>SUMIF(月間集計シート!$M$113:$M$132,$G863,月間集計シート!S$113:S$132)*AQ$2</f>
        <v>0</v>
      </c>
      <c r="AR863" s="88">
        <f>SUMIF(月間集計シート!$M$113:$M$132,$G863,月間集計シート!T$113:T$132)*AR$2</f>
        <v>0</v>
      </c>
      <c r="AS863" s="88">
        <f>SUMIF(月間集計シート!$M$134:$M$153,$G863,月間集計シート!N$134:N$153)*AS$2</f>
        <v>0</v>
      </c>
      <c r="AT863" s="88">
        <f>SUMIF(月間集計シート!$M$134:$M$153,$G863,月間集計シート!O$134:O$153)*AT$2</f>
        <v>0</v>
      </c>
      <c r="AU863" s="88">
        <f>SUMIF(月間集計シート!$M$134:$M$153,$G863,月間集計シート!P$134:P$153)*AU$2</f>
        <v>0</v>
      </c>
      <c r="AV863" s="88">
        <f>SUMIF(月間集計シート!$M$134:$M$153,$G863,月間集計シート!Q$134:Q$153)*AV$2</f>
        <v>0</v>
      </c>
      <c r="AW863" s="88">
        <f>SUMIF(月間集計シート!$M$134:$M$153,$G863,月間集計シート!R$134:R$153)*AW$2</f>
        <v>0</v>
      </c>
      <c r="AX863" s="88">
        <f>SUMIF(月間集計シート!$M$134:$M$153,$G863,月間集計シート!S$134:S$153)*AX$2</f>
        <v>0</v>
      </c>
      <c r="AY863" s="88">
        <f>SUMIF(月間集計シート!$M$134:$M$153,$G863,月間集計シート!T$134:T$153)*AY$2</f>
        <v>0</v>
      </c>
    </row>
    <row r="864" spans="1:51" ht="14.25" thickBot="1">
      <c r="A864">
        <v>11</v>
      </c>
      <c r="B864" s="120">
        <f t="shared" si="464"/>
        <v>0</v>
      </c>
      <c r="C864" s="120" t="str">
        <f t="shared" si="465"/>
        <v/>
      </c>
      <c r="D864" s="137"/>
      <c r="E864" s="150" t="str">
        <f>工種!A6</f>
        <v>10199</v>
      </c>
      <c r="F864" s="119" t="str">
        <f>工種!B6</f>
        <v>SRS：その他</v>
      </c>
      <c r="G864" s="116" t="str">
        <f t="shared" si="413"/>
        <v>010199</v>
      </c>
      <c r="H864" s="88">
        <f t="shared" si="420"/>
        <v>0</v>
      </c>
      <c r="I864" s="132"/>
      <c r="J864" s="88">
        <f>SUMIF(月間集計シート!$M$29:$M$48,$G864,月間集計シート!N$29:N$48)*J$2</f>
        <v>0</v>
      </c>
      <c r="K864" s="88">
        <f>SUMIF(月間集計シート!$M$29:$M$48,$G864,月間集計シート!O$29:O$48)*K$2</f>
        <v>0</v>
      </c>
      <c r="L864" s="88">
        <f>SUMIF(月間集計シート!$M$29:$M$48,$G864,月間集計シート!P$29:P$48)*L$2</f>
        <v>0</v>
      </c>
      <c r="M864" s="88">
        <f>SUMIF(月間集計シート!$M$29:$M$48,$G864,月間集計シート!Q$29:Q$48)*M$2</f>
        <v>0</v>
      </c>
      <c r="N864" s="88">
        <f>SUMIF(月間集計シート!$M$29:$M$48,$G864,月間集計シート!R$29:R$48)*N$2</f>
        <v>0</v>
      </c>
      <c r="O864" s="88">
        <f>SUMIF(月間集計シート!$M$29:$M$48,$G864,月間集計シート!S$29:S$48)*O$2</f>
        <v>0</v>
      </c>
      <c r="P864" s="88">
        <f>SUMIF(月間集計シート!$M$29:$M$48,$G864,月間集計シート!T$29:T$48)*P$2</f>
        <v>0</v>
      </c>
      <c r="Q864" s="88">
        <f>SUMIF(月間集計シート!$M$50:$M$69,$G864,月間集計シート!N$50:N$69)*Q$2</f>
        <v>0</v>
      </c>
      <c r="R864" s="88">
        <f>SUMIF(月間集計シート!$M$50:$M$69,$G864,月間集計シート!O$50:O$69)*R$2</f>
        <v>0</v>
      </c>
      <c r="S864" s="88">
        <f>SUMIF(月間集計シート!$M$50:$M$69,$G864,月間集計シート!P$50:P$69)*S$2</f>
        <v>0</v>
      </c>
      <c r="T864" s="88">
        <f>SUMIF(月間集計シート!$M$50:$M$69,$G864,月間集計シート!Q$50:Q$69)*T$2</f>
        <v>0</v>
      </c>
      <c r="U864" s="88">
        <f>SUMIF(月間集計シート!$M$50:$M$69,$G864,月間集計シート!R$50:R$69)*U$2</f>
        <v>0</v>
      </c>
      <c r="V864" s="88">
        <f>SUMIF(月間集計シート!$M$50:$M$69,$G864,月間集計シート!S$50:S$69)*V$2</f>
        <v>0</v>
      </c>
      <c r="W864" s="88">
        <f>SUMIF(月間集計シート!$M$50:$M$69,$G864,月間集計シート!T$50:T$69)*W$2</f>
        <v>0</v>
      </c>
      <c r="X864" s="88">
        <f>SUMIF(月間集計シート!$M$71:$M$90,$G864,月間集計シート!N$71:N$90)*X$2</f>
        <v>0</v>
      </c>
      <c r="Y864" s="88">
        <f>SUMIF(月間集計シート!$M$71:$M$90,$G864,月間集計シート!O$71:O$90)*Y$2</f>
        <v>0</v>
      </c>
      <c r="Z864" s="88">
        <f>SUMIF(月間集計シート!$M$71:$M$90,$G864,月間集計シート!P$71:P$90)*Z$2</f>
        <v>0</v>
      </c>
      <c r="AA864" s="88">
        <f>SUMIF(月間集計シート!$M$71:$M$90,$G864,月間集計シート!Q$71:Q$90)*AA$2</f>
        <v>0</v>
      </c>
      <c r="AB864" s="88">
        <f>SUMIF(月間集計シート!$M$71:$M$90,$G864,月間集計シート!R$71:R$90)*AB$2</f>
        <v>0</v>
      </c>
      <c r="AC864" s="88">
        <f>SUMIF(月間集計シート!$M$71:$M$90,$G864,月間集計シート!S$71:S$90)*AC$2</f>
        <v>0</v>
      </c>
      <c r="AD864" s="88">
        <f>SUMIF(月間集計シート!$M$71:$M$90,$G864,月間集計シート!T$71:T$90)*AD$2</f>
        <v>0</v>
      </c>
      <c r="AE864" s="88">
        <f>SUMIF(月間集計シート!$M$92:$M$111,$G864,月間集計シート!N$92:N$111)*AE$2</f>
        <v>0</v>
      </c>
      <c r="AF864" s="88">
        <f>SUMIF(月間集計シート!$M$92:$M$111,$G864,月間集計シート!O$92:O$111)*AF$2</f>
        <v>0</v>
      </c>
      <c r="AG864" s="88">
        <f>SUMIF(月間集計シート!$M$92:$M$111,$G864,月間集計シート!P$92:P$111)*AG$2</f>
        <v>0</v>
      </c>
      <c r="AH864" s="88">
        <f>SUMIF(月間集計シート!$M$92:$M$111,$G864,月間集計シート!Q$92:Q$111)*AH$2</f>
        <v>0</v>
      </c>
      <c r="AI864" s="88">
        <f>SUMIF(月間集計シート!$M$92:$M$111,$G864,月間集計シート!R$92:R$111)*AI$2</f>
        <v>0</v>
      </c>
      <c r="AJ864" s="88">
        <f>SUMIF(月間集計シート!$M$92:$M$111,$G864,月間集計シート!S$92:S$111)*AJ$2</f>
        <v>0</v>
      </c>
      <c r="AK864" s="88">
        <f>SUMIF(月間集計シート!$M$92:$M$111,$G864,月間集計シート!T$92:T$111)*AK$2</f>
        <v>0</v>
      </c>
      <c r="AL864" s="88">
        <f>SUMIF(月間集計シート!$M$113:$M$132,$G864,月間集計シート!N$113:N$132)*AL$2</f>
        <v>0</v>
      </c>
      <c r="AM864" s="88">
        <f>SUMIF(月間集計シート!$M$113:$M$132,$G864,月間集計シート!O$113:O$132)*AM$2</f>
        <v>0</v>
      </c>
      <c r="AN864" s="88">
        <f>SUMIF(月間集計シート!$M$113:$M$132,$G864,月間集計シート!P$113:P$132)*AN$2</f>
        <v>0</v>
      </c>
      <c r="AO864" s="88">
        <f>SUMIF(月間集計シート!$M$113:$M$132,$G864,月間集計シート!Q$113:Q$132)*AO$2</f>
        <v>0</v>
      </c>
      <c r="AP864" s="88">
        <f>SUMIF(月間集計シート!$M$113:$M$132,$G864,月間集計シート!R$113:R$132)*AP$2</f>
        <v>0</v>
      </c>
      <c r="AQ864" s="88">
        <f>SUMIF(月間集計シート!$M$113:$M$132,$G864,月間集計シート!S$113:S$132)*AQ$2</f>
        <v>0</v>
      </c>
      <c r="AR864" s="88">
        <f>SUMIF(月間集計シート!$M$113:$M$132,$G864,月間集計シート!T$113:T$132)*AR$2</f>
        <v>0</v>
      </c>
      <c r="AS864" s="88">
        <f>SUMIF(月間集計シート!$M$134:$M$153,$G864,月間集計シート!N$134:N$153)*AS$2</f>
        <v>0</v>
      </c>
      <c r="AT864" s="88">
        <f>SUMIF(月間集計シート!$M$134:$M$153,$G864,月間集計シート!O$134:O$153)*AT$2</f>
        <v>0</v>
      </c>
      <c r="AU864" s="88">
        <f>SUMIF(月間集計シート!$M$134:$M$153,$G864,月間集計シート!P$134:P$153)*AU$2</f>
        <v>0</v>
      </c>
      <c r="AV864" s="88">
        <f>SUMIF(月間集計シート!$M$134:$M$153,$G864,月間集計シート!Q$134:Q$153)*AV$2</f>
        <v>0</v>
      </c>
      <c r="AW864" s="88">
        <f>SUMIF(月間集計シート!$M$134:$M$153,$G864,月間集計シート!R$134:R$153)*AW$2</f>
        <v>0</v>
      </c>
      <c r="AX864" s="88">
        <f>SUMIF(月間集計シート!$M$134:$M$153,$G864,月間集計シート!S$134:S$153)*AX$2</f>
        <v>0</v>
      </c>
      <c r="AY864" s="88">
        <f>SUMIF(月間集計シート!$M$134:$M$153,$G864,月間集計シート!T$134:T$153)*AY$2</f>
        <v>0</v>
      </c>
    </row>
    <row r="865" spans="1:51" ht="14.25" thickBot="1">
      <c r="A865">
        <v>11</v>
      </c>
      <c r="B865" s="120">
        <f t="shared" si="464"/>
        <v>0</v>
      </c>
      <c r="C865" s="120" t="str">
        <f t="shared" si="465"/>
        <v/>
      </c>
      <c r="D865" s="137"/>
      <c r="E865" s="150" t="str">
        <f>工種!A7</f>
        <v>20101</v>
      </c>
      <c r="F865" s="119" t="str">
        <f>工種!B7</f>
        <v>設計：外部設計書作成</v>
      </c>
      <c r="G865" s="116" t="str">
        <f t="shared" si="413"/>
        <v>020101</v>
      </c>
      <c r="H865" s="88">
        <f t="shared" si="420"/>
        <v>0</v>
      </c>
      <c r="I865" s="132"/>
      <c r="J865" s="88">
        <f>SUMIF(月間集計シート!$M$29:$M$48,$G865,月間集計シート!N$29:N$48)*J$2</f>
        <v>0</v>
      </c>
      <c r="K865" s="88">
        <f>SUMIF(月間集計シート!$M$29:$M$48,$G865,月間集計シート!O$29:O$48)*K$2</f>
        <v>0</v>
      </c>
      <c r="L865" s="88">
        <f>SUMIF(月間集計シート!$M$29:$M$48,$G865,月間集計シート!P$29:P$48)*L$2</f>
        <v>0</v>
      </c>
      <c r="M865" s="88">
        <f>SUMIF(月間集計シート!$M$29:$M$48,$G865,月間集計シート!Q$29:Q$48)*M$2</f>
        <v>0</v>
      </c>
      <c r="N865" s="88">
        <f>SUMIF(月間集計シート!$M$29:$M$48,$G865,月間集計シート!R$29:R$48)*N$2</f>
        <v>0</v>
      </c>
      <c r="O865" s="88">
        <f>SUMIF(月間集計シート!$M$29:$M$48,$G865,月間集計シート!S$29:S$48)*O$2</f>
        <v>0</v>
      </c>
      <c r="P865" s="88">
        <f>SUMIF(月間集計シート!$M$29:$M$48,$G865,月間集計シート!T$29:T$48)*P$2</f>
        <v>0</v>
      </c>
      <c r="Q865" s="88">
        <f>SUMIF(月間集計シート!$M$50:$M$69,$G865,月間集計シート!N$50:N$69)*Q$2</f>
        <v>0</v>
      </c>
      <c r="R865" s="88">
        <f>SUMIF(月間集計シート!$M$50:$M$69,$G865,月間集計シート!O$50:O$69)*R$2</f>
        <v>0</v>
      </c>
      <c r="S865" s="88">
        <f>SUMIF(月間集計シート!$M$50:$M$69,$G865,月間集計シート!P$50:P$69)*S$2</f>
        <v>0</v>
      </c>
      <c r="T865" s="88">
        <f>SUMIF(月間集計シート!$M$50:$M$69,$G865,月間集計シート!Q$50:Q$69)*T$2</f>
        <v>0</v>
      </c>
      <c r="U865" s="88">
        <f>SUMIF(月間集計シート!$M$50:$M$69,$G865,月間集計シート!R$50:R$69)*U$2</f>
        <v>0</v>
      </c>
      <c r="V865" s="88">
        <f>SUMIF(月間集計シート!$M$50:$M$69,$G865,月間集計シート!S$50:S$69)*V$2</f>
        <v>0</v>
      </c>
      <c r="W865" s="88">
        <f>SUMIF(月間集計シート!$M$50:$M$69,$G865,月間集計シート!T$50:T$69)*W$2</f>
        <v>0</v>
      </c>
      <c r="X865" s="88">
        <f>SUMIF(月間集計シート!$M$71:$M$90,$G865,月間集計シート!N$71:N$90)*X$2</f>
        <v>0</v>
      </c>
      <c r="Y865" s="88">
        <f>SUMIF(月間集計シート!$M$71:$M$90,$G865,月間集計シート!O$71:O$90)*Y$2</f>
        <v>0</v>
      </c>
      <c r="Z865" s="88">
        <f>SUMIF(月間集計シート!$M$71:$M$90,$G865,月間集計シート!P$71:P$90)*Z$2</f>
        <v>0</v>
      </c>
      <c r="AA865" s="88">
        <f>SUMIF(月間集計シート!$M$71:$M$90,$G865,月間集計シート!Q$71:Q$90)*AA$2</f>
        <v>0</v>
      </c>
      <c r="AB865" s="88">
        <f>SUMIF(月間集計シート!$M$71:$M$90,$G865,月間集計シート!R$71:R$90)*AB$2</f>
        <v>0</v>
      </c>
      <c r="AC865" s="88">
        <f>SUMIF(月間集計シート!$M$71:$M$90,$G865,月間集計シート!S$71:S$90)*AC$2</f>
        <v>0</v>
      </c>
      <c r="AD865" s="88">
        <f>SUMIF(月間集計シート!$M$71:$M$90,$G865,月間集計シート!T$71:T$90)*AD$2</f>
        <v>0</v>
      </c>
      <c r="AE865" s="88">
        <f>SUMIF(月間集計シート!$M$92:$M$111,$G865,月間集計シート!N$92:N$111)*AE$2</f>
        <v>0</v>
      </c>
      <c r="AF865" s="88">
        <f>SUMIF(月間集計シート!$M$92:$M$111,$G865,月間集計シート!O$92:O$111)*AF$2</f>
        <v>0</v>
      </c>
      <c r="AG865" s="88">
        <f>SUMIF(月間集計シート!$M$92:$M$111,$G865,月間集計シート!P$92:P$111)*AG$2</f>
        <v>0</v>
      </c>
      <c r="AH865" s="88">
        <f>SUMIF(月間集計シート!$M$92:$M$111,$G865,月間集計シート!Q$92:Q$111)*AH$2</f>
        <v>0</v>
      </c>
      <c r="AI865" s="88">
        <f>SUMIF(月間集計シート!$M$92:$M$111,$G865,月間集計シート!R$92:R$111)*AI$2</f>
        <v>0</v>
      </c>
      <c r="AJ865" s="88">
        <f>SUMIF(月間集計シート!$M$92:$M$111,$G865,月間集計シート!S$92:S$111)*AJ$2</f>
        <v>0</v>
      </c>
      <c r="AK865" s="88">
        <f>SUMIF(月間集計シート!$M$92:$M$111,$G865,月間集計シート!T$92:T$111)*AK$2</f>
        <v>0</v>
      </c>
      <c r="AL865" s="88">
        <f>SUMIF(月間集計シート!$M$113:$M$132,$G865,月間集計シート!N$113:N$132)*AL$2</f>
        <v>0</v>
      </c>
      <c r="AM865" s="88">
        <f>SUMIF(月間集計シート!$M$113:$M$132,$G865,月間集計シート!O$113:O$132)*AM$2</f>
        <v>0</v>
      </c>
      <c r="AN865" s="88">
        <f>SUMIF(月間集計シート!$M$113:$M$132,$G865,月間集計シート!P$113:P$132)*AN$2</f>
        <v>0</v>
      </c>
      <c r="AO865" s="88">
        <f>SUMIF(月間集計シート!$M$113:$M$132,$G865,月間集計シート!Q$113:Q$132)*AO$2</f>
        <v>0</v>
      </c>
      <c r="AP865" s="88">
        <f>SUMIF(月間集計シート!$M$113:$M$132,$G865,月間集計シート!R$113:R$132)*AP$2</f>
        <v>0</v>
      </c>
      <c r="AQ865" s="88">
        <f>SUMIF(月間集計シート!$M$113:$M$132,$G865,月間集計シート!S$113:S$132)*AQ$2</f>
        <v>0</v>
      </c>
      <c r="AR865" s="88">
        <f>SUMIF(月間集計シート!$M$113:$M$132,$G865,月間集計シート!T$113:T$132)*AR$2</f>
        <v>0</v>
      </c>
      <c r="AS865" s="88">
        <f>SUMIF(月間集計シート!$M$134:$M$153,$G865,月間集計シート!N$134:N$153)*AS$2</f>
        <v>0</v>
      </c>
      <c r="AT865" s="88">
        <f>SUMIF(月間集計シート!$M$134:$M$153,$G865,月間集計シート!O$134:O$153)*AT$2</f>
        <v>0</v>
      </c>
      <c r="AU865" s="88">
        <f>SUMIF(月間集計シート!$M$134:$M$153,$G865,月間集計シート!P$134:P$153)*AU$2</f>
        <v>0</v>
      </c>
      <c r="AV865" s="88">
        <f>SUMIF(月間集計シート!$M$134:$M$153,$G865,月間集計シート!Q$134:Q$153)*AV$2</f>
        <v>0</v>
      </c>
      <c r="AW865" s="88">
        <f>SUMIF(月間集計シート!$M$134:$M$153,$G865,月間集計シート!R$134:R$153)*AW$2</f>
        <v>0</v>
      </c>
      <c r="AX865" s="88">
        <f>SUMIF(月間集計シート!$M$134:$M$153,$G865,月間集計シート!S$134:S$153)*AX$2</f>
        <v>0</v>
      </c>
      <c r="AY865" s="88">
        <f>SUMIF(月間集計シート!$M$134:$M$153,$G865,月間集計シート!T$134:T$153)*AY$2</f>
        <v>0</v>
      </c>
    </row>
    <row r="866" spans="1:51" ht="14.25" thickBot="1">
      <c r="A866">
        <v>11</v>
      </c>
      <c r="B866" s="120">
        <f t="shared" si="464"/>
        <v>0</v>
      </c>
      <c r="C866" s="120" t="str">
        <f t="shared" si="465"/>
        <v/>
      </c>
      <c r="D866" s="137"/>
      <c r="E866" s="150" t="str">
        <f>工種!A8</f>
        <v>20103</v>
      </c>
      <c r="F866" s="119" t="str">
        <f>工種!B8</f>
        <v>設計：打合せ</v>
      </c>
      <c r="G866" s="116" t="str">
        <f t="shared" si="413"/>
        <v>020103</v>
      </c>
      <c r="H866" s="88">
        <f t="shared" si="420"/>
        <v>0</v>
      </c>
      <c r="I866" s="132"/>
      <c r="J866" s="88">
        <f>SUMIF(月間集計シート!$M$29:$M$48,$G866,月間集計シート!N$29:N$48)*J$2</f>
        <v>0</v>
      </c>
      <c r="K866" s="88">
        <f>SUMIF(月間集計シート!$M$29:$M$48,$G866,月間集計シート!O$29:O$48)*K$2</f>
        <v>0</v>
      </c>
      <c r="L866" s="88">
        <f>SUMIF(月間集計シート!$M$29:$M$48,$G866,月間集計シート!P$29:P$48)*L$2</f>
        <v>0</v>
      </c>
      <c r="M866" s="88">
        <f>SUMIF(月間集計シート!$M$29:$M$48,$G866,月間集計シート!Q$29:Q$48)*M$2</f>
        <v>0</v>
      </c>
      <c r="N866" s="88">
        <f>SUMIF(月間集計シート!$M$29:$M$48,$G866,月間集計シート!R$29:R$48)*N$2</f>
        <v>0</v>
      </c>
      <c r="O866" s="88">
        <f>SUMIF(月間集計シート!$M$29:$M$48,$G866,月間集計シート!S$29:S$48)*O$2</f>
        <v>0</v>
      </c>
      <c r="P866" s="88">
        <f>SUMIF(月間集計シート!$M$29:$M$48,$G866,月間集計シート!T$29:T$48)*P$2</f>
        <v>0</v>
      </c>
      <c r="Q866" s="88">
        <f>SUMIF(月間集計シート!$M$50:$M$69,$G866,月間集計シート!N$50:N$69)*Q$2</f>
        <v>0</v>
      </c>
      <c r="R866" s="88">
        <f>SUMIF(月間集計シート!$M$50:$M$69,$G866,月間集計シート!O$50:O$69)*R$2</f>
        <v>0</v>
      </c>
      <c r="S866" s="88">
        <f>SUMIF(月間集計シート!$M$50:$M$69,$G866,月間集計シート!P$50:P$69)*S$2</f>
        <v>0</v>
      </c>
      <c r="T866" s="88">
        <f>SUMIF(月間集計シート!$M$50:$M$69,$G866,月間集計シート!Q$50:Q$69)*T$2</f>
        <v>0</v>
      </c>
      <c r="U866" s="88">
        <f>SUMIF(月間集計シート!$M$50:$M$69,$G866,月間集計シート!R$50:R$69)*U$2</f>
        <v>0</v>
      </c>
      <c r="V866" s="88">
        <f>SUMIF(月間集計シート!$M$50:$M$69,$G866,月間集計シート!S$50:S$69)*V$2</f>
        <v>0</v>
      </c>
      <c r="W866" s="88">
        <f>SUMIF(月間集計シート!$M$50:$M$69,$G866,月間集計シート!T$50:T$69)*W$2</f>
        <v>0</v>
      </c>
      <c r="X866" s="88">
        <f>SUMIF(月間集計シート!$M$71:$M$90,$G866,月間集計シート!N$71:N$90)*X$2</f>
        <v>0</v>
      </c>
      <c r="Y866" s="88">
        <f>SUMIF(月間集計シート!$M$71:$M$90,$G866,月間集計シート!O$71:O$90)*Y$2</f>
        <v>0</v>
      </c>
      <c r="Z866" s="88">
        <f>SUMIF(月間集計シート!$M$71:$M$90,$G866,月間集計シート!P$71:P$90)*Z$2</f>
        <v>0</v>
      </c>
      <c r="AA866" s="88">
        <f>SUMIF(月間集計シート!$M$71:$M$90,$G866,月間集計シート!Q$71:Q$90)*AA$2</f>
        <v>0</v>
      </c>
      <c r="AB866" s="88">
        <f>SUMIF(月間集計シート!$M$71:$M$90,$G866,月間集計シート!R$71:R$90)*AB$2</f>
        <v>0</v>
      </c>
      <c r="AC866" s="88">
        <f>SUMIF(月間集計シート!$M$71:$M$90,$G866,月間集計シート!S$71:S$90)*AC$2</f>
        <v>0</v>
      </c>
      <c r="AD866" s="88">
        <f>SUMIF(月間集計シート!$M$71:$M$90,$G866,月間集計シート!T$71:T$90)*AD$2</f>
        <v>0</v>
      </c>
      <c r="AE866" s="88">
        <f>SUMIF(月間集計シート!$M$92:$M$111,$G866,月間集計シート!N$92:N$111)*AE$2</f>
        <v>0</v>
      </c>
      <c r="AF866" s="88">
        <f>SUMIF(月間集計シート!$M$92:$M$111,$G866,月間集計シート!O$92:O$111)*AF$2</f>
        <v>0</v>
      </c>
      <c r="AG866" s="88">
        <f>SUMIF(月間集計シート!$M$92:$M$111,$G866,月間集計シート!P$92:P$111)*AG$2</f>
        <v>0</v>
      </c>
      <c r="AH866" s="88">
        <f>SUMIF(月間集計シート!$M$92:$M$111,$G866,月間集計シート!Q$92:Q$111)*AH$2</f>
        <v>0</v>
      </c>
      <c r="AI866" s="88">
        <f>SUMIF(月間集計シート!$M$92:$M$111,$G866,月間集計シート!R$92:R$111)*AI$2</f>
        <v>0</v>
      </c>
      <c r="AJ866" s="88">
        <f>SUMIF(月間集計シート!$M$92:$M$111,$G866,月間集計シート!S$92:S$111)*AJ$2</f>
        <v>0</v>
      </c>
      <c r="AK866" s="88">
        <f>SUMIF(月間集計シート!$M$92:$M$111,$G866,月間集計シート!T$92:T$111)*AK$2</f>
        <v>0</v>
      </c>
      <c r="AL866" s="88">
        <f>SUMIF(月間集計シート!$M$113:$M$132,$G866,月間集計シート!N$113:N$132)*AL$2</f>
        <v>0</v>
      </c>
      <c r="AM866" s="88">
        <f>SUMIF(月間集計シート!$M$113:$M$132,$G866,月間集計シート!O$113:O$132)*AM$2</f>
        <v>0</v>
      </c>
      <c r="AN866" s="88">
        <f>SUMIF(月間集計シート!$M$113:$M$132,$G866,月間集計シート!P$113:P$132)*AN$2</f>
        <v>0</v>
      </c>
      <c r="AO866" s="88">
        <f>SUMIF(月間集計シート!$M$113:$M$132,$G866,月間集計シート!Q$113:Q$132)*AO$2</f>
        <v>0</v>
      </c>
      <c r="AP866" s="88">
        <f>SUMIF(月間集計シート!$M$113:$M$132,$G866,月間集計シート!R$113:R$132)*AP$2</f>
        <v>0</v>
      </c>
      <c r="AQ866" s="88">
        <f>SUMIF(月間集計シート!$M$113:$M$132,$G866,月間集計シート!S$113:S$132)*AQ$2</f>
        <v>0</v>
      </c>
      <c r="AR866" s="88">
        <f>SUMIF(月間集計シート!$M$113:$M$132,$G866,月間集計シート!T$113:T$132)*AR$2</f>
        <v>0</v>
      </c>
      <c r="AS866" s="88">
        <f>SUMIF(月間集計シート!$M$134:$M$153,$G866,月間集計シート!N$134:N$153)*AS$2</f>
        <v>0</v>
      </c>
      <c r="AT866" s="88">
        <f>SUMIF(月間集計シート!$M$134:$M$153,$G866,月間集計シート!O$134:O$153)*AT$2</f>
        <v>0</v>
      </c>
      <c r="AU866" s="88">
        <f>SUMIF(月間集計シート!$M$134:$M$153,$G866,月間集計シート!P$134:P$153)*AU$2</f>
        <v>0</v>
      </c>
      <c r="AV866" s="88">
        <f>SUMIF(月間集計シート!$M$134:$M$153,$G866,月間集計シート!Q$134:Q$153)*AV$2</f>
        <v>0</v>
      </c>
      <c r="AW866" s="88">
        <f>SUMIF(月間集計シート!$M$134:$M$153,$G866,月間集計シート!R$134:R$153)*AW$2</f>
        <v>0</v>
      </c>
      <c r="AX866" s="88">
        <f>SUMIF(月間集計シート!$M$134:$M$153,$G866,月間集計シート!S$134:S$153)*AX$2</f>
        <v>0</v>
      </c>
      <c r="AY866" s="88">
        <f>SUMIF(月間集計シート!$M$134:$M$153,$G866,月間集計シート!T$134:T$153)*AY$2</f>
        <v>0</v>
      </c>
    </row>
    <row r="867" spans="1:51" ht="14.25" thickBot="1">
      <c r="A867">
        <v>11</v>
      </c>
      <c r="B867" s="120">
        <f t="shared" si="464"/>
        <v>0</v>
      </c>
      <c r="C867" s="120" t="str">
        <f t="shared" si="465"/>
        <v/>
      </c>
      <c r="D867" s="137"/>
      <c r="E867" s="150">
        <f>工種!A9</f>
        <v>20105</v>
      </c>
      <c r="F867" s="119" t="str">
        <f>工種!B9</f>
        <v>設計：原因調査・影響範囲分析・変更仕様作成</v>
      </c>
      <c r="G867" s="116" t="str">
        <f t="shared" si="413"/>
        <v>020105</v>
      </c>
      <c r="H867" s="88">
        <f t="shared" si="420"/>
        <v>0</v>
      </c>
      <c r="I867" s="132"/>
      <c r="J867" s="88">
        <f>SUMIF(月間集計シート!$M$29:$M$48,$G867,月間集計シート!N$29:N$48)*J$2</f>
        <v>0</v>
      </c>
      <c r="K867" s="88">
        <f>SUMIF(月間集計シート!$M$29:$M$48,$G867,月間集計シート!O$29:O$48)*K$2</f>
        <v>0</v>
      </c>
      <c r="L867" s="88">
        <f>SUMIF(月間集計シート!$M$29:$M$48,$G867,月間集計シート!P$29:P$48)*L$2</f>
        <v>0</v>
      </c>
      <c r="M867" s="88">
        <f>SUMIF(月間集計シート!$M$29:$M$48,$G867,月間集計シート!Q$29:Q$48)*M$2</f>
        <v>0</v>
      </c>
      <c r="N867" s="88">
        <f>SUMIF(月間集計シート!$M$29:$M$48,$G867,月間集計シート!R$29:R$48)*N$2</f>
        <v>0</v>
      </c>
      <c r="O867" s="88">
        <f>SUMIF(月間集計シート!$M$29:$M$48,$G867,月間集計シート!S$29:S$48)*O$2</f>
        <v>0</v>
      </c>
      <c r="P867" s="88">
        <f>SUMIF(月間集計シート!$M$29:$M$48,$G867,月間集計シート!T$29:T$48)*P$2</f>
        <v>0</v>
      </c>
      <c r="Q867" s="88">
        <f>SUMIF(月間集計シート!$M$50:$M$69,$G867,月間集計シート!N$50:N$69)*Q$2</f>
        <v>0</v>
      </c>
      <c r="R867" s="88">
        <f>SUMIF(月間集計シート!$M$50:$M$69,$G867,月間集計シート!O$50:O$69)*R$2</f>
        <v>0</v>
      </c>
      <c r="S867" s="88">
        <f>SUMIF(月間集計シート!$M$50:$M$69,$G867,月間集計シート!P$50:P$69)*S$2</f>
        <v>0</v>
      </c>
      <c r="T867" s="88">
        <f>SUMIF(月間集計シート!$M$50:$M$69,$G867,月間集計シート!Q$50:Q$69)*T$2</f>
        <v>0</v>
      </c>
      <c r="U867" s="88">
        <f>SUMIF(月間集計シート!$M$50:$M$69,$G867,月間集計シート!R$50:R$69)*U$2</f>
        <v>0</v>
      </c>
      <c r="V867" s="88">
        <f>SUMIF(月間集計シート!$M$50:$M$69,$G867,月間集計シート!S$50:S$69)*V$2</f>
        <v>0</v>
      </c>
      <c r="W867" s="88">
        <f>SUMIF(月間集計シート!$M$50:$M$69,$G867,月間集計シート!T$50:T$69)*W$2</f>
        <v>0</v>
      </c>
      <c r="X867" s="88">
        <f>SUMIF(月間集計シート!$M$71:$M$90,$G867,月間集計シート!N$71:N$90)*X$2</f>
        <v>0</v>
      </c>
      <c r="Y867" s="88">
        <f>SUMIF(月間集計シート!$M$71:$M$90,$G867,月間集計シート!O$71:O$90)*Y$2</f>
        <v>0</v>
      </c>
      <c r="Z867" s="88">
        <f>SUMIF(月間集計シート!$M$71:$M$90,$G867,月間集計シート!P$71:P$90)*Z$2</f>
        <v>0</v>
      </c>
      <c r="AA867" s="88">
        <f>SUMIF(月間集計シート!$M$71:$M$90,$G867,月間集計シート!Q$71:Q$90)*AA$2</f>
        <v>0</v>
      </c>
      <c r="AB867" s="88">
        <f>SUMIF(月間集計シート!$M$71:$M$90,$G867,月間集計シート!R$71:R$90)*AB$2</f>
        <v>0</v>
      </c>
      <c r="AC867" s="88">
        <f>SUMIF(月間集計シート!$M$71:$M$90,$G867,月間集計シート!S$71:S$90)*AC$2</f>
        <v>0</v>
      </c>
      <c r="AD867" s="88">
        <f>SUMIF(月間集計シート!$M$71:$M$90,$G867,月間集計シート!T$71:T$90)*AD$2</f>
        <v>0</v>
      </c>
      <c r="AE867" s="88">
        <f>SUMIF(月間集計シート!$M$92:$M$111,$G867,月間集計シート!N$92:N$111)*AE$2</f>
        <v>0</v>
      </c>
      <c r="AF867" s="88">
        <f>SUMIF(月間集計シート!$M$92:$M$111,$G867,月間集計シート!O$92:O$111)*AF$2</f>
        <v>0</v>
      </c>
      <c r="AG867" s="88">
        <f>SUMIF(月間集計シート!$M$92:$M$111,$G867,月間集計シート!P$92:P$111)*AG$2</f>
        <v>0</v>
      </c>
      <c r="AH867" s="88">
        <f>SUMIF(月間集計シート!$M$92:$M$111,$G867,月間集計シート!Q$92:Q$111)*AH$2</f>
        <v>0</v>
      </c>
      <c r="AI867" s="88">
        <f>SUMIF(月間集計シート!$M$92:$M$111,$G867,月間集計シート!R$92:R$111)*AI$2</f>
        <v>0</v>
      </c>
      <c r="AJ867" s="88">
        <f>SUMIF(月間集計シート!$M$92:$M$111,$G867,月間集計シート!S$92:S$111)*AJ$2</f>
        <v>0</v>
      </c>
      <c r="AK867" s="88">
        <f>SUMIF(月間集計シート!$M$92:$M$111,$G867,月間集計シート!T$92:T$111)*AK$2</f>
        <v>0</v>
      </c>
      <c r="AL867" s="88">
        <f>SUMIF(月間集計シート!$M$113:$M$132,$G867,月間集計シート!N$113:N$132)*AL$2</f>
        <v>0</v>
      </c>
      <c r="AM867" s="88">
        <f>SUMIF(月間集計シート!$M$113:$M$132,$G867,月間集計シート!O$113:O$132)*AM$2</f>
        <v>0</v>
      </c>
      <c r="AN867" s="88">
        <f>SUMIF(月間集計シート!$M$113:$M$132,$G867,月間集計シート!P$113:P$132)*AN$2</f>
        <v>0</v>
      </c>
      <c r="AO867" s="88">
        <f>SUMIF(月間集計シート!$M$113:$M$132,$G867,月間集計シート!Q$113:Q$132)*AO$2</f>
        <v>0</v>
      </c>
      <c r="AP867" s="88">
        <f>SUMIF(月間集計シート!$M$113:$M$132,$G867,月間集計シート!R$113:R$132)*AP$2</f>
        <v>0</v>
      </c>
      <c r="AQ867" s="88">
        <f>SUMIF(月間集計シート!$M$113:$M$132,$G867,月間集計シート!S$113:S$132)*AQ$2</f>
        <v>0</v>
      </c>
      <c r="AR867" s="88">
        <f>SUMIF(月間集計シート!$M$113:$M$132,$G867,月間集計シート!T$113:T$132)*AR$2</f>
        <v>0</v>
      </c>
      <c r="AS867" s="88">
        <f>SUMIF(月間集計シート!$M$134:$M$153,$G867,月間集計シート!N$134:N$153)*AS$2</f>
        <v>0</v>
      </c>
      <c r="AT867" s="88">
        <f>SUMIF(月間集計シート!$M$134:$M$153,$G867,月間集計シート!O$134:O$153)*AT$2</f>
        <v>0</v>
      </c>
      <c r="AU867" s="88">
        <f>SUMIF(月間集計シート!$M$134:$M$153,$G867,月間集計シート!P$134:P$153)*AU$2</f>
        <v>0</v>
      </c>
      <c r="AV867" s="88">
        <f>SUMIF(月間集計シート!$M$134:$M$153,$G867,月間集計シート!Q$134:Q$153)*AV$2</f>
        <v>0</v>
      </c>
      <c r="AW867" s="88">
        <f>SUMIF(月間集計シート!$M$134:$M$153,$G867,月間集計シート!R$134:R$153)*AW$2</f>
        <v>0</v>
      </c>
      <c r="AX867" s="88">
        <f>SUMIF(月間集計シート!$M$134:$M$153,$G867,月間集計シート!S$134:S$153)*AX$2</f>
        <v>0</v>
      </c>
      <c r="AY867" s="88">
        <f>SUMIF(月間集計シート!$M$134:$M$153,$G867,月間集計シート!T$134:T$153)*AY$2</f>
        <v>0</v>
      </c>
    </row>
    <row r="868" spans="1:51" ht="14.25" thickBot="1">
      <c r="A868">
        <v>11</v>
      </c>
      <c r="B868" s="120">
        <f t="shared" si="464"/>
        <v>0</v>
      </c>
      <c r="C868" s="120" t="str">
        <f t="shared" si="465"/>
        <v/>
      </c>
      <c r="D868" s="137"/>
      <c r="E868" s="150" t="str">
        <f>工種!A10</f>
        <v>20106</v>
      </c>
      <c r="F868" s="119" t="str">
        <f>工種!B10</f>
        <v>設計：設計書修正（手戻り分）</v>
      </c>
      <c r="G868" s="116" t="str">
        <f t="shared" si="413"/>
        <v>020106</v>
      </c>
      <c r="H868" s="88">
        <f t="shared" si="420"/>
        <v>0</v>
      </c>
      <c r="I868" s="132"/>
      <c r="J868" s="88">
        <f>SUMIF(月間集計シート!$M$29:$M$48,$G868,月間集計シート!N$29:N$48)*J$2</f>
        <v>0</v>
      </c>
      <c r="K868" s="88">
        <f>SUMIF(月間集計シート!$M$29:$M$48,$G868,月間集計シート!O$29:O$48)*K$2</f>
        <v>0</v>
      </c>
      <c r="L868" s="88">
        <f>SUMIF(月間集計シート!$M$29:$M$48,$G868,月間集計シート!P$29:P$48)*L$2</f>
        <v>0</v>
      </c>
      <c r="M868" s="88">
        <f>SUMIF(月間集計シート!$M$29:$M$48,$G868,月間集計シート!Q$29:Q$48)*M$2</f>
        <v>0</v>
      </c>
      <c r="N868" s="88">
        <f>SUMIF(月間集計シート!$M$29:$M$48,$G868,月間集計シート!R$29:R$48)*N$2</f>
        <v>0</v>
      </c>
      <c r="O868" s="88">
        <f>SUMIF(月間集計シート!$M$29:$M$48,$G868,月間集計シート!S$29:S$48)*O$2</f>
        <v>0</v>
      </c>
      <c r="P868" s="88">
        <f>SUMIF(月間集計シート!$M$29:$M$48,$G868,月間集計シート!T$29:T$48)*P$2</f>
        <v>0</v>
      </c>
      <c r="Q868" s="88">
        <f>SUMIF(月間集計シート!$M$50:$M$69,$G868,月間集計シート!N$50:N$69)*Q$2</f>
        <v>0</v>
      </c>
      <c r="R868" s="88">
        <f>SUMIF(月間集計シート!$M$50:$M$69,$G868,月間集計シート!O$50:O$69)*R$2</f>
        <v>0</v>
      </c>
      <c r="S868" s="88">
        <f>SUMIF(月間集計シート!$M$50:$M$69,$G868,月間集計シート!P$50:P$69)*S$2</f>
        <v>0</v>
      </c>
      <c r="T868" s="88">
        <f>SUMIF(月間集計シート!$M$50:$M$69,$G868,月間集計シート!Q$50:Q$69)*T$2</f>
        <v>0</v>
      </c>
      <c r="U868" s="88">
        <f>SUMIF(月間集計シート!$M$50:$M$69,$G868,月間集計シート!R$50:R$69)*U$2</f>
        <v>0</v>
      </c>
      <c r="V868" s="88">
        <f>SUMIF(月間集計シート!$M$50:$M$69,$G868,月間集計シート!S$50:S$69)*V$2</f>
        <v>0</v>
      </c>
      <c r="W868" s="88">
        <f>SUMIF(月間集計シート!$M$50:$M$69,$G868,月間集計シート!T$50:T$69)*W$2</f>
        <v>0</v>
      </c>
      <c r="X868" s="88">
        <f>SUMIF(月間集計シート!$M$71:$M$90,$G868,月間集計シート!N$71:N$90)*X$2</f>
        <v>0</v>
      </c>
      <c r="Y868" s="88">
        <f>SUMIF(月間集計シート!$M$71:$M$90,$G868,月間集計シート!O$71:O$90)*Y$2</f>
        <v>0</v>
      </c>
      <c r="Z868" s="88">
        <f>SUMIF(月間集計シート!$M$71:$M$90,$G868,月間集計シート!P$71:P$90)*Z$2</f>
        <v>0</v>
      </c>
      <c r="AA868" s="88">
        <f>SUMIF(月間集計シート!$M$71:$M$90,$G868,月間集計シート!Q$71:Q$90)*AA$2</f>
        <v>0</v>
      </c>
      <c r="AB868" s="88">
        <f>SUMIF(月間集計シート!$M$71:$M$90,$G868,月間集計シート!R$71:R$90)*AB$2</f>
        <v>0</v>
      </c>
      <c r="AC868" s="88">
        <f>SUMIF(月間集計シート!$M$71:$M$90,$G868,月間集計シート!S$71:S$90)*AC$2</f>
        <v>0</v>
      </c>
      <c r="AD868" s="88">
        <f>SUMIF(月間集計シート!$M$71:$M$90,$G868,月間集計シート!T$71:T$90)*AD$2</f>
        <v>0</v>
      </c>
      <c r="AE868" s="88">
        <f>SUMIF(月間集計シート!$M$92:$M$111,$G868,月間集計シート!N$92:N$111)*AE$2</f>
        <v>0</v>
      </c>
      <c r="AF868" s="88">
        <f>SUMIF(月間集計シート!$M$92:$M$111,$G868,月間集計シート!O$92:O$111)*AF$2</f>
        <v>0</v>
      </c>
      <c r="AG868" s="88">
        <f>SUMIF(月間集計シート!$M$92:$M$111,$G868,月間集計シート!P$92:P$111)*AG$2</f>
        <v>0</v>
      </c>
      <c r="AH868" s="88">
        <f>SUMIF(月間集計シート!$M$92:$M$111,$G868,月間集計シート!Q$92:Q$111)*AH$2</f>
        <v>0</v>
      </c>
      <c r="AI868" s="88">
        <f>SUMIF(月間集計シート!$M$92:$M$111,$G868,月間集計シート!R$92:R$111)*AI$2</f>
        <v>0</v>
      </c>
      <c r="AJ868" s="88">
        <f>SUMIF(月間集計シート!$M$92:$M$111,$G868,月間集計シート!S$92:S$111)*AJ$2</f>
        <v>0</v>
      </c>
      <c r="AK868" s="88">
        <f>SUMIF(月間集計シート!$M$92:$M$111,$G868,月間集計シート!T$92:T$111)*AK$2</f>
        <v>0</v>
      </c>
      <c r="AL868" s="88">
        <f>SUMIF(月間集計シート!$M$113:$M$132,$G868,月間集計シート!N$113:N$132)*AL$2</f>
        <v>0</v>
      </c>
      <c r="AM868" s="88">
        <f>SUMIF(月間集計シート!$M$113:$M$132,$G868,月間集計シート!O$113:O$132)*AM$2</f>
        <v>0</v>
      </c>
      <c r="AN868" s="88">
        <f>SUMIF(月間集計シート!$M$113:$M$132,$G868,月間集計シート!P$113:P$132)*AN$2</f>
        <v>0</v>
      </c>
      <c r="AO868" s="88">
        <f>SUMIF(月間集計シート!$M$113:$M$132,$G868,月間集計シート!Q$113:Q$132)*AO$2</f>
        <v>0</v>
      </c>
      <c r="AP868" s="88">
        <f>SUMIF(月間集計シート!$M$113:$M$132,$G868,月間集計シート!R$113:R$132)*AP$2</f>
        <v>0</v>
      </c>
      <c r="AQ868" s="88">
        <f>SUMIF(月間集計シート!$M$113:$M$132,$G868,月間集計シート!S$113:S$132)*AQ$2</f>
        <v>0</v>
      </c>
      <c r="AR868" s="88">
        <f>SUMIF(月間集計シート!$M$113:$M$132,$G868,月間集計シート!T$113:T$132)*AR$2</f>
        <v>0</v>
      </c>
      <c r="AS868" s="88">
        <f>SUMIF(月間集計シート!$M$134:$M$153,$G868,月間集計シート!N$134:N$153)*AS$2</f>
        <v>0</v>
      </c>
      <c r="AT868" s="88">
        <f>SUMIF(月間集計シート!$M$134:$M$153,$G868,月間集計シート!O$134:O$153)*AT$2</f>
        <v>0</v>
      </c>
      <c r="AU868" s="88">
        <f>SUMIF(月間集計シート!$M$134:$M$153,$G868,月間集計シート!P$134:P$153)*AU$2</f>
        <v>0</v>
      </c>
      <c r="AV868" s="88">
        <f>SUMIF(月間集計シート!$M$134:$M$153,$G868,月間集計シート!Q$134:Q$153)*AV$2</f>
        <v>0</v>
      </c>
      <c r="AW868" s="88">
        <f>SUMIF(月間集計シート!$M$134:$M$153,$G868,月間集計シート!R$134:R$153)*AW$2</f>
        <v>0</v>
      </c>
      <c r="AX868" s="88">
        <f>SUMIF(月間集計シート!$M$134:$M$153,$G868,月間集計シート!S$134:S$153)*AX$2</f>
        <v>0</v>
      </c>
      <c r="AY868" s="88">
        <f>SUMIF(月間集計シート!$M$134:$M$153,$G868,月間集計シート!T$134:T$153)*AY$2</f>
        <v>0</v>
      </c>
    </row>
    <row r="869" spans="1:51" ht="14.25" thickBot="1">
      <c r="A869">
        <v>11</v>
      </c>
      <c r="B869" s="120">
        <f t="shared" si="464"/>
        <v>0</v>
      </c>
      <c r="C869" s="120" t="str">
        <f t="shared" si="465"/>
        <v/>
      </c>
      <c r="D869" s="137"/>
      <c r="E869" s="150" t="str">
        <f>工種!A11</f>
        <v>20107</v>
      </c>
      <c r="F869" s="119" t="str">
        <f>工種!B11</f>
        <v>設計：その他の設計書作成</v>
      </c>
      <c r="G869" s="116" t="str">
        <f t="shared" si="413"/>
        <v>020107</v>
      </c>
      <c r="H869" s="88">
        <f t="shared" si="420"/>
        <v>0</v>
      </c>
      <c r="I869" s="132"/>
      <c r="J869" s="88">
        <f>SUMIF(月間集計シート!$M$29:$M$48,$G869,月間集計シート!N$29:N$48)*J$2</f>
        <v>0</v>
      </c>
      <c r="K869" s="88">
        <f>SUMIF(月間集計シート!$M$29:$M$48,$G869,月間集計シート!O$29:O$48)*K$2</f>
        <v>0</v>
      </c>
      <c r="L869" s="88">
        <f>SUMIF(月間集計シート!$M$29:$M$48,$G869,月間集計シート!P$29:P$48)*L$2</f>
        <v>0</v>
      </c>
      <c r="M869" s="88">
        <f>SUMIF(月間集計シート!$M$29:$M$48,$G869,月間集計シート!Q$29:Q$48)*M$2</f>
        <v>0</v>
      </c>
      <c r="N869" s="88">
        <f>SUMIF(月間集計シート!$M$29:$M$48,$G869,月間集計シート!R$29:R$48)*N$2</f>
        <v>0</v>
      </c>
      <c r="O869" s="88">
        <f>SUMIF(月間集計シート!$M$29:$M$48,$G869,月間集計シート!S$29:S$48)*O$2</f>
        <v>0</v>
      </c>
      <c r="P869" s="88">
        <f>SUMIF(月間集計シート!$M$29:$M$48,$G869,月間集計シート!T$29:T$48)*P$2</f>
        <v>0</v>
      </c>
      <c r="Q869" s="88">
        <f>SUMIF(月間集計シート!$M$50:$M$69,$G869,月間集計シート!N$50:N$69)*Q$2</f>
        <v>0</v>
      </c>
      <c r="R869" s="88">
        <f>SUMIF(月間集計シート!$M$50:$M$69,$G869,月間集計シート!O$50:O$69)*R$2</f>
        <v>0</v>
      </c>
      <c r="S869" s="88">
        <f>SUMIF(月間集計シート!$M$50:$M$69,$G869,月間集計シート!P$50:P$69)*S$2</f>
        <v>0</v>
      </c>
      <c r="T869" s="88">
        <f>SUMIF(月間集計シート!$M$50:$M$69,$G869,月間集計シート!Q$50:Q$69)*T$2</f>
        <v>0</v>
      </c>
      <c r="U869" s="88">
        <f>SUMIF(月間集計シート!$M$50:$M$69,$G869,月間集計シート!R$50:R$69)*U$2</f>
        <v>0</v>
      </c>
      <c r="V869" s="88">
        <f>SUMIF(月間集計シート!$M$50:$M$69,$G869,月間集計シート!S$50:S$69)*V$2</f>
        <v>0</v>
      </c>
      <c r="W869" s="88">
        <f>SUMIF(月間集計シート!$M$50:$M$69,$G869,月間集計シート!T$50:T$69)*W$2</f>
        <v>0</v>
      </c>
      <c r="X869" s="88">
        <f>SUMIF(月間集計シート!$M$71:$M$90,$G869,月間集計シート!N$71:N$90)*X$2</f>
        <v>0</v>
      </c>
      <c r="Y869" s="88">
        <f>SUMIF(月間集計シート!$M$71:$M$90,$G869,月間集計シート!O$71:O$90)*Y$2</f>
        <v>0</v>
      </c>
      <c r="Z869" s="88">
        <f>SUMIF(月間集計シート!$M$71:$M$90,$G869,月間集計シート!P$71:P$90)*Z$2</f>
        <v>0</v>
      </c>
      <c r="AA869" s="88">
        <f>SUMIF(月間集計シート!$M$71:$M$90,$G869,月間集計シート!Q$71:Q$90)*AA$2</f>
        <v>0</v>
      </c>
      <c r="AB869" s="88">
        <f>SUMIF(月間集計シート!$M$71:$M$90,$G869,月間集計シート!R$71:R$90)*AB$2</f>
        <v>0</v>
      </c>
      <c r="AC869" s="88">
        <f>SUMIF(月間集計シート!$M$71:$M$90,$G869,月間集計シート!S$71:S$90)*AC$2</f>
        <v>0</v>
      </c>
      <c r="AD869" s="88">
        <f>SUMIF(月間集計シート!$M$71:$M$90,$G869,月間集計シート!T$71:T$90)*AD$2</f>
        <v>0</v>
      </c>
      <c r="AE869" s="88">
        <f>SUMIF(月間集計シート!$M$92:$M$111,$G869,月間集計シート!N$92:N$111)*AE$2</f>
        <v>0</v>
      </c>
      <c r="AF869" s="88">
        <f>SUMIF(月間集計シート!$M$92:$M$111,$G869,月間集計シート!O$92:O$111)*AF$2</f>
        <v>0</v>
      </c>
      <c r="AG869" s="88">
        <f>SUMIF(月間集計シート!$M$92:$M$111,$G869,月間集計シート!P$92:P$111)*AG$2</f>
        <v>0</v>
      </c>
      <c r="AH869" s="88">
        <f>SUMIF(月間集計シート!$M$92:$M$111,$G869,月間集計シート!Q$92:Q$111)*AH$2</f>
        <v>0</v>
      </c>
      <c r="AI869" s="88">
        <f>SUMIF(月間集計シート!$M$92:$M$111,$G869,月間集計シート!R$92:R$111)*AI$2</f>
        <v>0</v>
      </c>
      <c r="AJ869" s="88">
        <f>SUMIF(月間集計シート!$M$92:$M$111,$G869,月間集計シート!S$92:S$111)*AJ$2</f>
        <v>0</v>
      </c>
      <c r="AK869" s="88">
        <f>SUMIF(月間集計シート!$M$92:$M$111,$G869,月間集計シート!T$92:T$111)*AK$2</f>
        <v>0</v>
      </c>
      <c r="AL869" s="88">
        <f>SUMIF(月間集計シート!$M$113:$M$132,$G869,月間集計シート!N$113:N$132)*AL$2</f>
        <v>0</v>
      </c>
      <c r="AM869" s="88">
        <f>SUMIF(月間集計シート!$M$113:$M$132,$G869,月間集計シート!O$113:O$132)*AM$2</f>
        <v>0</v>
      </c>
      <c r="AN869" s="88">
        <f>SUMIF(月間集計シート!$M$113:$M$132,$G869,月間集計シート!P$113:P$132)*AN$2</f>
        <v>0</v>
      </c>
      <c r="AO869" s="88">
        <f>SUMIF(月間集計シート!$M$113:$M$132,$G869,月間集計シート!Q$113:Q$132)*AO$2</f>
        <v>0</v>
      </c>
      <c r="AP869" s="88">
        <f>SUMIF(月間集計シート!$M$113:$M$132,$G869,月間集計シート!R$113:R$132)*AP$2</f>
        <v>0</v>
      </c>
      <c r="AQ869" s="88">
        <f>SUMIF(月間集計シート!$M$113:$M$132,$G869,月間集計シート!S$113:S$132)*AQ$2</f>
        <v>0</v>
      </c>
      <c r="AR869" s="88">
        <f>SUMIF(月間集計シート!$M$113:$M$132,$G869,月間集計シート!T$113:T$132)*AR$2</f>
        <v>0</v>
      </c>
      <c r="AS869" s="88">
        <f>SUMIF(月間集計シート!$M$134:$M$153,$G869,月間集計シート!N$134:N$153)*AS$2</f>
        <v>0</v>
      </c>
      <c r="AT869" s="88">
        <f>SUMIF(月間集計シート!$M$134:$M$153,$G869,月間集計シート!O$134:O$153)*AT$2</f>
        <v>0</v>
      </c>
      <c r="AU869" s="88">
        <f>SUMIF(月間集計シート!$M$134:$M$153,$G869,月間集計シート!P$134:P$153)*AU$2</f>
        <v>0</v>
      </c>
      <c r="AV869" s="88">
        <f>SUMIF(月間集計シート!$M$134:$M$153,$G869,月間集計シート!Q$134:Q$153)*AV$2</f>
        <v>0</v>
      </c>
      <c r="AW869" s="88">
        <f>SUMIF(月間集計シート!$M$134:$M$153,$G869,月間集計シート!R$134:R$153)*AW$2</f>
        <v>0</v>
      </c>
      <c r="AX869" s="88">
        <f>SUMIF(月間集計シート!$M$134:$M$153,$G869,月間集計シート!S$134:S$153)*AX$2</f>
        <v>0</v>
      </c>
      <c r="AY869" s="88">
        <f>SUMIF(月間集計シート!$M$134:$M$153,$G869,月間集計シート!T$134:T$153)*AY$2</f>
        <v>0</v>
      </c>
    </row>
    <row r="870" spans="1:51" ht="14.25" thickBot="1">
      <c r="A870">
        <v>11</v>
      </c>
      <c r="B870" s="120">
        <f t="shared" si="464"/>
        <v>0</v>
      </c>
      <c r="C870" s="120" t="str">
        <f t="shared" si="465"/>
        <v/>
      </c>
      <c r="D870" s="137"/>
      <c r="E870" s="150" t="str">
        <f>工種!A12</f>
        <v>20108</v>
      </c>
      <c r="F870" s="119" t="str">
        <f>工種!B12</f>
        <v>設計：レビュー</v>
      </c>
      <c r="G870" s="116" t="str">
        <f t="shared" si="413"/>
        <v>020108</v>
      </c>
      <c r="H870" s="88">
        <f t="shared" si="420"/>
        <v>0</v>
      </c>
      <c r="I870" s="132"/>
      <c r="J870" s="88">
        <f>SUMIF(月間集計シート!$M$29:$M$48,$G870,月間集計シート!N$29:N$48)*J$2</f>
        <v>0</v>
      </c>
      <c r="K870" s="88">
        <f>SUMIF(月間集計シート!$M$29:$M$48,$G870,月間集計シート!O$29:O$48)*K$2</f>
        <v>0</v>
      </c>
      <c r="L870" s="88">
        <f>SUMIF(月間集計シート!$M$29:$M$48,$G870,月間集計シート!P$29:P$48)*L$2</f>
        <v>0</v>
      </c>
      <c r="M870" s="88">
        <f>SUMIF(月間集計シート!$M$29:$M$48,$G870,月間集計シート!Q$29:Q$48)*M$2</f>
        <v>0</v>
      </c>
      <c r="N870" s="88">
        <f>SUMIF(月間集計シート!$M$29:$M$48,$G870,月間集計シート!R$29:R$48)*N$2</f>
        <v>0</v>
      </c>
      <c r="O870" s="88">
        <f>SUMIF(月間集計シート!$M$29:$M$48,$G870,月間集計シート!S$29:S$48)*O$2</f>
        <v>0</v>
      </c>
      <c r="P870" s="88">
        <f>SUMIF(月間集計シート!$M$29:$M$48,$G870,月間集計シート!T$29:T$48)*P$2</f>
        <v>0</v>
      </c>
      <c r="Q870" s="88">
        <f>SUMIF(月間集計シート!$M$50:$M$69,$G870,月間集計シート!N$50:N$69)*Q$2</f>
        <v>0</v>
      </c>
      <c r="R870" s="88">
        <f>SUMIF(月間集計シート!$M$50:$M$69,$G870,月間集計シート!O$50:O$69)*R$2</f>
        <v>0</v>
      </c>
      <c r="S870" s="88">
        <f>SUMIF(月間集計シート!$M$50:$M$69,$G870,月間集計シート!P$50:P$69)*S$2</f>
        <v>0</v>
      </c>
      <c r="T870" s="88">
        <f>SUMIF(月間集計シート!$M$50:$M$69,$G870,月間集計シート!Q$50:Q$69)*T$2</f>
        <v>0</v>
      </c>
      <c r="U870" s="88">
        <f>SUMIF(月間集計シート!$M$50:$M$69,$G870,月間集計シート!R$50:R$69)*U$2</f>
        <v>0</v>
      </c>
      <c r="V870" s="88">
        <f>SUMIF(月間集計シート!$M$50:$M$69,$G870,月間集計シート!S$50:S$69)*V$2</f>
        <v>0</v>
      </c>
      <c r="W870" s="88">
        <f>SUMIF(月間集計シート!$M$50:$M$69,$G870,月間集計シート!T$50:T$69)*W$2</f>
        <v>0</v>
      </c>
      <c r="X870" s="88">
        <f>SUMIF(月間集計シート!$M$71:$M$90,$G870,月間集計シート!N$71:N$90)*X$2</f>
        <v>0</v>
      </c>
      <c r="Y870" s="88">
        <f>SUMIF(月間集計シート!$M$71:$M$90,$G870,月間集計シート!O$71:O$90)*Y$2</f>
        <v>0</v>
      </c>
      <c r="Z870" s="88">
        <f>SUMIF(月間集計シート!$M$71:$M$90,$G870,月間集計シート!P$71:P$90)*Z$2</f>
        <v>0</v>
      </c>
      <c r="AA870" s="88">
        <f>SUMIF(月間集計シート!$M$71:$M$90,$G870,月間集計シート!Q$71:Q$90)*AA$2</f>
        <v>0</v>
      </c>
      <c r="AB870" s="88">
        <f>SUMIF(月間集計シート!$M$71:$M$90,$G870,月間集計シート!R$71:R$90)*AB$2</f>
        <v>0</v>
      </c>
      <c r="AC870" s="88">
        <f>SUMIF(月間集計シート!$M$71:$M$90,$G870,月間集計シート!S$71:S$90)*AC$2</f>
        <v>0</v>
      </c>
      <c r="AD870" s="88">
        <f>SUMIF(月間集計シート!$M$71:$M$90,$G870,月間集計シート!T$71:T$90)*AD$2</f>
        <v>0</v>
      </c>
      <c r="AE870" s="88">
        <f>SUMIF(月間集計シート!$M$92:$M$111,$G870,月間集計シート!N$92:N$111)*AE$2</f>
        <v>0</v>
      </c>
      <c r="AF870" s="88">
        <f>SUMIF(月間集計シート!$M$92:$M$111,$G870,月間集計シート!O$92:O$111)*AF$2</f>
        <v>0</v>
      </c>
      <c r="AG870" s="88">
        <f>SUMIF(月間集計シート!$M$92:$M$111,$G870,月間集計シート!P$92:P$111)*AG$2</f>
        <v>0</v>
      </c>
      <c r="AH870" s="88">
        <f>SUMIF(月間集計シート!$M$92:$M$111,$G870,月間集計シート!Q$92:Q$111)*AH$2</f>
        <v>0</v>
      </c>
      <c r="AI870" s="88">
        <f>SUMIF(月間集計シート!$M$92:$M$111,$G870,月間集計シート!R$92:R$111)*AI$2</f>
        <v>0</v>
      </c>
      <c r="AJ870" s="88">
        <f>SUMIF(月間集計シート!$M$92:$M$111,$G870,月間集計シート!S$92:S$111)*AJ$2</f>
        <v>0</v>
      </c>
      <c r="AK870" s="88">
        <f>SUMIF(月間集計シート!$M$92:$M$111,$G870,月間集計シート!T$92:T$111)*AK$2</f>
        <v>0</v>
      </c>
      <c r="AL870" s="88">
        <f>SUMIF(月間集計シート!$M$113:$M$132,$G870,月間集計シート!N$113:N$132)*AL$2</f>
        <v>0</v>
      </c>
      <c r="AM870" s="88">
        <f>SUMIF(月間集計シート!$M$113:$M$132,$G870,月間集計シート!O$113:O$132)*AM$2</f>
        <v>0</v>
      </c>
      <c r="AN870" s="88">
        <f>SUMIF(月間集計シート!$M$113:$M$132,$G870,月間集計シート!P$113:P$132)*AN$2</f>
        <v>0</v>
      </c>
      <c r="AO870" s="88">
        <f>SUMIF(月間集計シート!$M$113:$M$132,$G870,月間集計シート!Q$113:Q$132)*AO$2</f>
        <v>0</v>
      </c>
      <c r="AP870" s="88">
        <f>SUMIF(月間集計シート!$M$113:$M$132,$G870,月間集計シート!R$113:R$132)*AP$2</f>
        <v>0</v>
      </c>
      <c r="AQ870" s="88">
        <f>SUMIF(月間集計シート!$M$113:$M$132,$G870,月間集計シート!S$113:S$132)*AQ$2</f>
        <v>0</v>
      </c>
      <c r="AR870" s="88">
        <f>SUMIF(月間集計シート!$M$113:$M$132,$G870,月間集計シート!T$113:T$132)*AR$2</f>
        <v>0</v>
      </c>
      <c r="AS870" s="88">
        <f>SUMIF(月間集計シート!$M$134:$M$153,$G870,月間集計シート!N$134:N$153)*AS$2</f>
        <v>0</v>
      </c>
      <c r="AT870" s="88">
        <f>SUMIF(月間集計シート!$M$134:$M$153,$G870,月間集計シート!O$134:O$153)*AT$2</f>
        <v>0</v>
      </c>
      <c r="AU870" s="88">
        <f>SUMIF(月間集計シート!$M$134:$M$153,$G870,月間集計シート!P$134:P$153)*AU$2</f>
        <v>0</v>
      </c>
      <c r="AV870" s="88">
        <f>SUMIF(月間集計シート!$M$134:$M$153,$G870,月間集計シート!Q$134:Q$153)*AV$2</f>
        <v>0</v>
      </c>
      <c r="AW870" s="88">
        <f>SUMIF(月間集計シート!$M$134:$M$153,$G870,月間集計シート!R$134:R$153)*AW$2</f>
        <v>0</v>
      </c>
      <c r="AX870" s="88">
        <f>SUMIF(月間集計シート!$M$134:$M$153,$G870,月間集計シート!S$134:S$153)*AX$2</f>
        <v>0</v>
      </c>
      <c r="AY870" s="88">
        <f>SUMIF(月間集計シート!$M$134:$M$153,$G870,月間集計シート!T$134:T$153)*AY$2</f>
        <v>0</v>
      </c>
    </row>
    <row r="871" spans="1:51" ht="14.25" thickBot="1">
      <c r="A871">
        <v>11</v>
      </c>
      <c r="B871" s="120">
        <f t="shared" si="464"/>
        <v>0</v>
      </c>
      <c r="C871" s="120" t="str">
        <f t="shared" si="465"/>
        <v/>
      </c>
      <c r="D871" s="137"/>
      <c r="E871" s="150" t="str">
        <f>工種!A13</f>
        <v>20109</v>
      </c>
      <c r="F871" s="119" t="str">
        <f>工種!B13</f>
        <v>設計：QA対応</v>
      </c>
      <c r="G871" s="116" t="str">
        <f t="shared" ref="G871:G956" si="466">B871&amp;E871</f>
        <v>020109</v>
      </c>
      <c r="H871" s="88">
        <f t="shared" si="420"/>
        <v>0</v>
      </c>
      <c r="I871" s="132"/>
      <c r="J871" s="88">
        <f>SUMIF(月間集計シート!$M$29:$M$48,$G871,月間集計シート!N$29:N$48)*J$2</f>
        <v>0</v>
      </c>
      <c r="K871" s="88">
        <f>SUMIF(月間集計シート!$M$29:$M$48,$G871,月間集計シート!O$29:O$48)*K$2</f>
        <v>0</v>
      </c>
      <c r="L871" s="88">
        <f>SUMIF(月間集計シート!$M$29:$M$48,$G871,月間集計シート!P$29:P$48)*L$2</f>
        <v>0</v>
      </c>
      <c r="M871" s="88">
        <f>SUMIF(月間集計シート!$M$29:$M$48,$G871,月間集計シート!Q$29:Q$48)*M$2</f>
        <v>0</v>
      </c>
      <c r="N871" s="88">
        <f>SUMIF(月間集計シート!$M$29:$M$48,$G871,月間集計シート!R$29:R$48)*N$2</f>
        <v>0</v>
      </c>
      <c r="O871" s="88">
        <f>SUMIF(月間集計シート!$M$29:$M$48,$G871,月間集計シート!S$29:S$48)*O$2</f>
        <v>0</v>
      </c>
      <c r="P871" s="88">
        <f>SUMIF(月間集計シート!$M$29:$M$48,$G871,月間集計シート!T$29:T$48)*P$2</f>
        <v>0</v>
      </c>
      <c r="Q871" s="88">
        <f>SUMIF(月間集計シート!$M$50:$M$69,$G871,月間集計シート!N$50:N$69)*Q$2</f>
        <v>0</v>
      </c>
      <c r="R871" s="88">
        <f>SUMIF(月間集計シート!$M$50:$M$69,$G871,月間集計シート!O$50:O$69)*R$2</f>
        <v>0</v>
      </c>
      <c r="S871" s="88">
        <f>SUMIF(月間集計シート!$M$50:$M$69,$G871,月間集計シート!P$50:P$69)*S$2</f>
        <v>0</v>
      </c>
      <c r="T871" s="88">
        <f>SUMIF(月間集計シート!$M$50:$M$69,$G871,月間集計シート!Q$50:Q$69)*T$2</f>
        <v>0</v>
      </c>
      <c r="U871" s="88">
        <f>SUMIF(月間集計シート!$M$50:$M$69,$G871,月間集計シート!R$50:R$69)*U$2</f>
        <v>0</v>
      </c>
      <c r="V871" s="88">
        <f>SUMIF(月間集計シート!$M$50:$M$69,$G871,月間集計シート!S$50:S$69)*V$2</f>
        <v>0</v>
      </c>
      <c r="W871" s="88">
        <f>SUMIF(月間集計シート!$M$50:$M$69,$G871,月間集計シート!T$50:T$69)*W$2</f>
        <v>0</v>
      </c>
      <c r="X871" s="88">
        <f>SUMIF(月間集計シート!$M$71:$M$90,$G871,月間集計シート!N$71:N$90)*X$2</f>
        <v>0</v>
      </c>
      <c r="Y871" s="88">
        <f>SUMIF(月間集計シート!$M$71:$M$90,$G871,月間集計シート!O$71:O$90)*Y$2</f>
        <v>0</v>
      </c>
      <c r="Z871" s="88">
        <f>SUMIF(月間集計シート!$M$71:$M$90,$G871,月間集計シート!P$71:P$90)*Z$2</f>
        <v>0</v>
      </c>
      <c r="AA871" s="88">
        <f>SUMIF(月間集計シート!$M$71:$M$90,$G871,月間集計シート!Q$71:Q$90)*AA$2</f>
        <v>0</v>
      </c>
      <c r="AB871" s="88">
        <f>SUMIF(月間集計シート!$M$71:$M$90,$G871,月間集計シート!R$71:R$90)*AB$2</f>
        <v>0</v>
      </c>
      <c r="AC871" s="88">
        <f>SUMIF(月間集計シート!$M$71:$M$90,$G871,月間集計シート!S$71:S$90)*AC$2</f>
        <v>0</v>
      </c>
      <c r="AD871" s="88">
        <f>SUMIF(月間集計シート!$M$71:$M$90,$G871,月間集計シート!T$71:T$90)*AD$2</f>
        <v>0</v>
      </c>
      <c r="AE871" s="88">
        <f>SUMIF(月間集計シート!$M$92:$M$111,$G871,月間集計シート!N$92:N$111)*AE$2</f>
        <v>0</v>
      </c>
      <c r="AF871" s="88">
        <f>SUMIF(月間集計シート!$M$92:$M$111,$G871,月間集計シート!O$92:O$111)*AF$2</f>
        <v>0</v>
      </c>
      <c r="AG871" s="88">
        <f>SUMIF(月間集計シート!$M$92:$M$111,$G871,月間集計シート!P$92:P$111)*AG$2</f>
        <v>0</v>
      </c>
      <c r="AH871" s="88">
        <f>SUMIF(月間集計シート!$M$92:$M$111,$G871,月間集計シート!Q$92:Q$111)*AH$2</f>
        <v>0</v>
      </c>
      <c r="AI871" s="88">
        <f>SUMIF(月間集計シート!$M$92:$M$111,$G871,月間集計シート!R$92:R$111)*AI$2</f>
        <v>0</v>
      </c>
      <c r="AJ871" s="88">
        <f>SUMIF(月間集計シート!$M$92:$M$111,$G871,月間集計シート!S$92:S$111)*AJ$2</f>
        <v>0</v>
      </c>
      <c r="AK871" s="88">
        <f>SUMIF(月間集計シート!$M$92:$M$111,$G871,月間集計シート!T$92:T$111)*AK$2</f>
        <v>0</v>
      </c>
      <c r="AL871" s="88">
        <f>SUMIF(月間集計シート!$M$113:$M$132,$G871,月間集計シート!N$113:N$132)*AL$2</f>
        <v>0</v>
      </c>
      <c r="AM871" s="88">
        <f>SUMIF(月間集計シート!$M$113:$M$132,$G871,月間集計シート!O$113:O$132)*AM$2</f>
        <v>0</v>
      </c>
      <c r="AN871" s="88">
        <f>SUMIF(月間集計シート!$M$113:$M$132,$G871,月間集計シート!P$113:P$132)*AN$2</f>
        <v>0</v>
      </c>
      <c r="AO871" s="88">
        <f>SUMIF(月間集計シート!$M$113:$M$132,$G871,月間集計シート!Q$113:Q$132)*AO$2</f>
        <v>0</v>
      </c>
      <c r="AP871" s="88">
        <f>SUMIF(月間集計シート!$M$113:$M$132,$G871,月間集計シート!R$113:R$132)*AP$2</f>
        <v>0</v>
      </c>
      <c r="AQ871" s="88">
        <f>SUMIF(月間集計シート!$M$113:$M$132,$G871,月間集計シート!S$113:S$132)*AQ$2</f>
        <v>0</v>
      </c>
      <c r="AR871" s="88">
        <f>SUMIF(月間集計シート!$M$113:$M$132,$G871,月間集計シート!T$113:T$132)*AR$2</f>
        <v>0</v>
      </c>
      <c r="AS871" s="88">
        <f>SUMIF(月間集計シート!$M$134:$M$153,$G871,月間集計シート!N$134:N$153)*AS$2</f>
        <v>0</v>
      </c>
      <c r="AT871" s="88">
        <f>SUMIF(月間集計シート!$M$134:$M$153,$G871,月間集計シート!O$134:O$153)*AT$2</f>
        <v>0</v>
      </c>
      <c r="AU871" s="88">
        <f>SUMIF(月間集計シート!$M$134:$M$153,$G871,月間集計シート!P$134:P$153)*AU$2</f>
        <v>0</v>
      </c>
      <c r="AV871" s="88">
        <f>SUMIF(月間集計シート!$M$134:$M$153,$G871,月間集計シート!Q$134:Q$153)*AV$2</f>
        <v>0</v>
      </c>
      <c r="AW871" s="88">
        <f>SUMIF(月間集計シート!$M$134:$M$153,$G871,月間集計シート!R$134:R$153)*AW$2</f>
        <v>0</v>
      </c>
      <c r="AX871" s="88">
        <f>SUMIF(月間集計シート!$M$134:$M$153,$G871,月間集計シート!S$134:S$153)*AX$2</f>
        <v>0</v>
      </c>
      <c r="AY871" s="88">
        <f>SUMIF(月間集計シート!$M$134:$M$153,$G871,月間集計シート!T$134:T$153)*AY$2</f>
        <v>0</v>
      </c>
    </row>
    <row r="872" spans="1:51" ht="14.25" thickBot="1">
      <c r="A872">
        <v>11</v>
      </c>
      <c r="B872" s="120">
        <f t="shared" si="464"/>
        <v>0</v>
      </c>
      <c r="C872" s="120" t="str">
        <f t="shared" si="465"/>
        <v/>
      </c>
      <c r="D872" s="137"/>
      <c r="E872" s="150" t="str">
        <f>工種!A14</f>
        <v>20199</v>
      </c>
      <c r="F872" s="119" t="str">
        <f>工種!B14</f>
        <v>設計：その他</v>
      </c>
      <c r="G872" s="116" t="str">
        <f t="shared" si="466"/>
        <v>020199</v>
      </c>
      <c r="H872" s="88">
        <f t="shared" si="420"/>
        <v>0</v>
      </c>
      <c r="I872" s="132"/>
      <c r="J872" s="88">
        <f>SUMIF(月間集計シート!$M$29:$M$48,$G872,月間集計シート!N$29:N$48)*J$2</f>
        <v>0</v>
      </c>
      <c r="K872" s="88">
        <f>SUMIF(月間集計シート!$M$29:$M$48,$G872,月間集計シート!O$29:O$48)*K$2</f>
        <v>0</v>
      </c>
      <c r="L872" s="88">
        <f>SUMIF(月間集計シート!$M$29:$M$48,$G872,月間集計シート!P$29:P$48)*L$2</f>
        <v>0</v>
      </c>
      <c r="M872" s="88">
        <f>SUMIF(月間集計シート!$M$29:$M$48,$G872,月間集計シート!Q$29:Q$48)*M$2</f>
        <v>0</v>
      </c>
      <c r="N872" s="88">
        <f>SUMIF(月間集計シート!$M$29:$M$48,$G872,月間集計シート!R$29:R$48)*N$2</f>
        <v>0</v>
      </c>
      <c r="O872" s="88">
        <f>SUMIF(月間集計シート!$M$29:$M$48,$G872,月間集計シート!S$29:S$48)*O$2</f>
        <v>0</v>
      </c>
      <c r="P872" s="88">
        <f>SUMIF(月間集計シート!$M$29:$M$48,$G872,月間集計シート!T$29:T$48)*P$2</f>
        <v>0</v>
      </c>
      <c r="Q872" s="88">
        <f>SUMIF(月間集計シート!$M$50:$M$69,$G872,月間集計シート!N$50:N$69)*Q$2</f>
        <v>0</v>
      </c>
      <c r="R872" s="88">
        <f>SUMIF(月間集計シート!$M$50:$M$69,$G872,月間集計シート!O$50:O$69)*R$2</f>
        <v>0</v>
      </c>
      <c r="S872" s="88">
        <f>SUMIF(月間集計シート!$M$50:$M$69,$G872,月間集計シート!P$50:P$69)*S$2</f>
        <v>0</v>
      </c>
      <c r="T872" s="88">
        <f>SUMIF(月間集計シート!$M$50:$M$69,$G872,月間集計シート!Q$50:Q$69)*T$2</f>
        <v>0</v>
      </c>
      <c r="U872" s="88">
        <f>SUMIF(月間集計シート!$M$50:$M$69,$G872,月間集計シート!R$50:R$69)*U$2</f>
        <v>0</v>
      </c>
      <c r="V872" s="88">
        <f>SUMIF(月間集計シート!$M$50:$M$69,$G872,月間集計シート!S$50:S$69)*V$2</f>
        <v>0</v>
      </c>
      <c r="W872" s="88">
        <f>SUMIF(月間集計シート!$M$50:$M$69,$G872,月間集計シート!T$50:T$69)*W$2</f>
        <v>0</v>
      </c>
      <c r="X872" s="88">
        <f>SUMIF(月間集計シート!$M$71:$M$90,$G872,月間集計シート!N$71:N$90)*X$2</f>
        <v>0</v>
      </c>
      <c r="Y872" s="88">
        <f>SUMIF(月間集計シート!$M$71:$M$90,$G872,月間集計シート!O$71:O$90)*Y$2</f>
        <v>0</v>
      </c>
      <c r="Z872" s="88">
        <f>SUMIF(月間集計シート!$M$71:$M$90,$G872,月間集計シート!P$71:P$90)*Z$2</f>
        <v>0</v>
      </c>
      <c r="AA872" s="88">
        <f>SUMIF(月間集計シート!$M$71:$M$90,$G872,月間集計シート!Q$71:Q$90)*AA$2</f>
        <v>0</v>
      </c>
      <c r="AB872" s="88">
        <f>SUMIF(月間集計シート!$M$71:$M$90,$G872,月間集計シート!R$71:R$90)*AB$2</f>
        <v>0</v>
      </c>
      <c r="AC872" s="88">
        <f>SUMIF(月間集計シート!$M$71:$M$90,$G872,月間集計シート!S$71:S$90)*AC$2</f>
        <v>0</v>
      </c>
      <c r="AD872" s="88">
        <f>SUMIF(月間集計シート!$M$71:$M$90,$G872,月間集計シート!T$71:T$90)*AD$2</f>
        <v>0</v>
      </c>
      <c r="AE872" s="88">
        <f>SUMIF(月間集計シート!$M$92:$M$111,$G872,月間集計シート!N$92:N$111)*AE$2</f>
        <v>0</v>
      </c>
      <c r="AF872" s="88">
        <f>SUMIF(月間集計シート!$M$92:$M$111,$G872,月間集計シート!O$92:O$111)*AF$2</f>
        <v>0</v>
      </c>
      <c r="AG872" s="88">
        <f>SUMIF(月間集計シート!$M$92:$M$111,$G872,月間集計シート!P$92:P$111)*AG$2</f>
        <v>0</v>
      </c>
      <c r="AH872" s="88">
        <f>SUMIF(月間集計シート!$M$92:$M$111,$G872,月間集計シート!Q$92:Q$111)*AH$2</f>
        <v>0</v>
      </c>
      <c r="AI872" s="88">
        <f>SUMIF(月間集計シート!$M$92:$M$111,$G872,月間集計シート!R$92:R$111)*AI$2</f>
        <v>0</v>
      </c>
      <c r="AJ872" s="88">
        <f>SUMIF(月間集計シート!$M$92:$M$111,$G872,月間集計シート!S$92:S$111)*AJ$2</f>
        <v>0</v>
      </c>
      <c r="AK872" s="88">
        <f>SUMIF(月間集計シート!$M$92:$M$111,$G872,月間集計シート!T$92:T$111)*AK$2</f>
        <v>0</v>
      </c>
      <c r="AL872" s="88">
        <f>SUMIF(月間集計シート!$M$113:$M$132,$G872,月間集計シート!N$113:N$132)*AL$2</f>
        <v>0</v>
      </c>
      <c r="AM872" s="88">
        <f>SUMIF(月間集計シート!$M$113:$M$132,$G872,月間集計シート!O$113:O$132)*AM$2</f>
        <v>0</v>
      </c>
      <c r="AN872" s="88">
        <f>SUMIF(月間集計シート!$M$113:$M$132,$G872,月間集計シート!P$113:P$132)*AN$2</f>
        <v>0</v>
      </c>
      <c r="AO872" s="88">
        <f>SUMIF(月間集計シート!$M$113:$M$132,$G872,月間集計シート!Q$113:Q$132)*AO$2</f>
        <v>0</v>
      </c>
      <c r="AP872" s="88">
        <f>SUMIF(月間集計シート!$M$113:$M$132,$G872,月間集計シート!R$113:R$132)*AP$2</f>
        <v>0</v>
      </c>
      <c r="AQ872" s="88">
        <f>SUMIF(月間集計シート!$M$113:$M$132,$G872,月間集計シート!S$113:S$132)*AQ$2</f>
        <v>0</v>
      </c>
      <c r="AR872" s="88">
        <f>SUMIF(月間集計シート!$M$113:$M$132,$G872,月間集計シート!T$113:T$132)*AR$2</f>
        <v>0</v>
      </c>
      <c r="AS872" s="88">
        <f>SUMIF(月間集計シート!$M$134:$M$153,$G872,月間集計シート!N$134:N$153)*AS$2</f>
        <v>0</v>
      </c>
      <c r="AT872" s="88">
        <f>SUMIF(月間集計シート!$M$134:$M$153,$G872,月間集計シート!O$134:O$153)*AT$2</f>
        <v>0</v>
      </c>
      <c r="AU872" s="88">
        <f>SUMIF(月間集計シート!$M$134:$M$153,$G872,月間集計シート!P$134:P$153)*AU$2</f>
        <v>0</v>
      </c>
      <c r="AV872" s="88">
        <f>SUMIF(月間集計シート!$M$134:$M$153,$G872,月間集計シート!Q$134:Q$153)*AV$2</f>
        <v>0</v>
      </c>
      <c r="AW872" s="88">
        <f>SUMIF(月間集計シート!$M$134:$M$153,$G872,月間集計シート!R$134:R$153)*AW$2</f>
        <v>0</v>
      </c>
      <c r="AX872" s="88">
        <f>SUMIF(月間集計シート!$M$134:$M$153,$G872,月間集計シート!S$134:S$153)*AX$2</f>
        <v>0</v>
      </c>
      <c r="AY872" s="88">
        <f>SUMIF(月間集計シート!$M$134:$M$153,$G872,月間集計シート!T$134:T$153)*AY$2</f>
        <v>0</v>
      </c>
    </row>
    <row r="873" spans="1:51" ht="14.25" thickBot="1">
      <c r="A873">
        <v>11</v>
      </c>
      <c r="B873" s="120">
        <f t="shared" si="464"/>
        <v>0</v>
      </c>
      <c r="C873" s="120" t="str">
        <f t="shared" si="465"/>
        <v/>
      </c>
      <c r="D873" s="137"/>
      <c r="E873" s="150" t="str">
        <f>工種!A15</f>
        <v>30101</v>
      </c>
      <c r="F873" s="119" t="str">
        <f>工種!B15</f>
        <v>製造：内部設計書作成</v>
      </c>
      <c r="G873" s="116" t="str">
        <f t="shared" si="466"/>
        <v>030101</v>
      </c>
      <c r="H873" s="88">
        <f t="shared" si="420"/>
        <v>0</v>
      </c>
      <c r="I873" s="132"/>
      <c r="J873" s="88">
        <f>SUMIF(月間集計シート!$M$29:$M$48,$G873,月間集計シート!N$29:N$48)*J$2</f>
        <v>0</v>
      </c>
      <c r="K873" s="88">
        <f>SUMIF(月間集計シート!$M$29:$M$48,$G873,月間集計シート!O$29:O$48)*K$2</f>
        <v>0</v>
      </c>
      <c r="L873" s="88">
        <f>SUMIF(月間集計シート!$M$29:$M$48,$G873,月間集計シート!P$29:P$48)*L$2</f>
        <v>0</v>
      </c>
      <c r="M873" s="88">
        <f>SUMIF(月間集計シート!$M$29:$M$48,$G873,月間集計シート!Q$29:Q$48)*M$2</f>
        <v>0</v>
      </c>
      <c r="N873" s="88">
        <f>SUMIF(月間集計シート!$M$29:$M$48,$G873,月間集計シート!R$29:R$48)*N$2</f>
        <v>0</v>
      </c>
      <c r="O873" s="88">
        <f>SUMIF(月間集計シート!$M$29:$M$48,$G873,月間集計シート!S$29:S$48)*O$2</f>
        <v>0</v>
      </c>
      <c r="P873" s="88">
        <f>SUMIF(月間集計シート!$M$29:$M$48,$G873,月間集計シート!T$29:T$48)*P$2</f>
        <v>0</v>
      </c>
      <c r="Q873" s="88">
        <f>SUMIF(月間集計シート!$M$50:$M$69,$G873,月間集計シート!N$50:N$69)*Q$2</f>
        <v>0</v>
      </c>
      <c r="R873" s="88">
        <f>SUMIF(月間集計シート!$M$50:$M$69,$G873,月間集計シート!O$50:O$69)*R$2</f>
        <v>0</v>
      </c>
      <c r="S873" s="88">
        <f>SUMIF(月間集計シート!$M$50:$M$69,$G873,月間集計シート!P$50:P$69)*S$2</f>
        <v>0</v>
      </c>
      <c r="T873" s="88">
        <f>SUMIF(月間集計シート!$M$50:$M$69,$G873,月間集計シート!Q$50:Q$69)*T$2</f>
        <v>0</v>
      </c>
      <c r="U873" s="88">
        <f>SUMIF(月間集計シート!$M$50:$M$69,$G873,月間集計シート!R$50:R$69)*U$2</f>
        <v>0</v>
      </c>
      <c r="V873" s="88">
        <f>SUMIF(月間集計シート!$M$50:$M$69,$G873,月間集計シート!S$50:S$69)*V$2</f>
        <v>0</v>
      </c>
      <c r="W873" s="88">
        <f>SUMIF(月間集計シート!$M$50:$M$69,$G873,月間集計シート!T$50:T$69)*W$2</f>
        <v>0</v>
      </c>
      <c r="X873" s="88">
        <f>SUMIF(月間集計シート!$M$71:$M$90,$G873,月間集計シート!N$71:N$90)*X$2</f>
        <v>0</v>
      </c>
      <c r="Y873" s="88">
        <f>SUMIF(月間集計シート!$M$71:$M$90,$G873,月間集計シート!O$71:O$90)*Y$2</f>
        <v>0</v>
      </c>
      <c r="Z873" s="88">
        <f>SUMIF(月間集計シート!$M$71:$M$90,$G873,月間集計シート!P$71:P$90)*Z$2</f>
        <v>0</v>
      </c>
      <c r="AA873" s="88">
        <f>SUMIF(月間集計シート!$M$71:$M$90,$G873,月間集計シート!Q$71:Q$90)*AA$2</f>
        <v>0</v>
      </c>
      <c r="AB873" s="88">
        <f>SUMIF(月間集計シート!$M$71:$M$90,$G873,月間集計シート!R$71:R$90)*AB$2</f>
        <v>0</v>
      </c>
      <c r="AC873" s="88">
        <f>SUMIF(月間集計シート!$M$71:$M$90,$G873,月間集計シート!S$71:S$90)*AC$2</f>
        <v>0</v>
      </c>
      <c r="AD873" s="88">
        <f>SUMIF(月間集計シート!$M$71:$M$90,$G873,月間集計シート!T$71:T$90)*AD$2</f>
        <v>0</v>
      </c>
      <c r="AE873" s="88">
        <f>SUMIF(月間集計シート!$M$92:$M$111,$G873,月間集計シート!N$92:N$111)*AE$2</f>
        <v>0</v>
      </c>
      <c r="AF873" s="88">
        <f>SUMIF(月間集計シート!$M$92:$M$111,$G873,月間集計シート!O$92:O$111)*AF$2</f>
        <v>0</v>
      </c>
      <c r="AG873" s="88">
        <f>SUMIF(月間集計シート!$M$92:$M$111,$G873,月間集計シート!P$92:P$111)*AG$2</f>
        <v>0</v>
      </c>
      <c r="AH873" s="88">
        <f>SUMIF(月間集計シート!$M$92:$M$111,$G873,月間集計シート!Q$92:Q$111)*AH$2</f>
        <v>0</v>
      </c>
      <c r="AI873" s="88">
        <f>SUMIF(月間集計シート!$M$92:$M$111,$G873,月間集計シート!R$92:R$111)*AI$2</f>
        <v>0</v>
      </c>
      <c r="AJ873" s="88">
        <f>SUMIF(月間集計シート!$M$92:$M$111,$G873,月間集計シート!S$92:S$111)*AJ$2</f>
        <v>0</v>
      </c>
      <c r="AK873" s="88">
        <f>SUMIF(月間集計シート!$M$92:$M$111,$G873,月間集計シート!T$92:T$111)*AK$2</f>
        <v>0</v>
      </c>
      <c r="AL873" s="88">
        <f>SUMIF(月間集計シート!$M$113:$M$132,$G873,月間集計シート!N$113:N$132)*AL$2</f>
        <v>0</v>
      </c>
      <c r="AM873" s="88">
        <f>SUMIF(月間集計シート!$M$113:$M$132,$G873,月間集計シート!O$113:O$132)*AM$2</f>
        <v>0</v>
      </c>
      <c r="AN873" s="88">
        <f>SUMIF(月間集計シート!$M$113:$M$132,$G873,月間集計シート!P$113:P$132)*AN$2</f>
        <v>0</v>
      </c>
      <c r="AO873" s="88">
        <f>SUMIF(月間集計シート!$M$113:$M$132,$G873,月間集計シート!Q$113:Q$132)*AO$2</f>
        <v>0</v>
      </c>
      <c r="AP873" s="88">
        <f>SUMIF(月間集計シート!$M$113:$M$132,$G873,月間集計シート!R$113:R$132)*AP$2</f>
        <v>0</v>
      </c>
      <c r="AQ873" s="88">
        <f>SUMIF(月間集計シート!$M$113:$M$132,$G873,月間集計シート!S$113:S$132)*AQ$2</f>
        <v>0</v>
      </c>
      <c r="AR873" s="88">
        <f>SUMIF(月間集計シート!$M$113:$M$132,$G873,月間集計シート!T$113:T$132)*AR$2</f>
        <v>0</v>
      </c>
      <c r="AS873" s="88">
        <f>SUMIF(月間集計シート!$M$134:$M$153,$G873,月間集計シート!N$134:N$153)*AS$2</f>
        <v>0</v>
      </c>
      <c r="AT873" s="88">
        <f>SUMIF(月間集計シート!$M$134:$M$153,$G873,月間集計シート!O$134:O$153)*AT$2</f>
        <v>0</v>
      </c>
      <c r="AU873" s="88">
        <f>SUMIF(月間集計シート!$M$134:$M$153,$G873,月間集計シート!P$134:P$153)*AU$2</f>
        <v>0</v>
      </c>
      <c r="AV873" s="88">
        <f>SUMIF(月間集計シート!$M$134:$M$153,$G873,月間集計シート!Q$134:Q$153)*AV$2</f>
        <v>0</v>
      </c>
      <c r="AW873" s="88">
        <f>SUMIF(月間集計シート!$M$134:$M$153,$G873,月間集計シート!R$134:R$153)*AW$2</f>
        <v>0</v>
      </c>
      <c r="AX873" s="88">
        <f>SUMIF(月間集計シート!$M$134:$M$153,$G873,月間集計シート!S$134:S$153)*AX$2</f>
        <v>0</v>
      </c>
      <c r="AY873" s="88">
        <f>SUMIF(月間集計シート!$M$134:$M$153,$G873,月間集計シート!T$134:T$153)*AY$2</f>
        <v>0</v>
      </c>
    </row>
    <row r="874" spans="1:51" ht="14.25" thickBot="1">
      <c r="A874">
        <v>11</v>
      </c>
      <c r="B874" s="120">
        <f t="shared" si="464"/>
        <v>0</v>
      </c>
      <c r="C874" s="120" t="str">
        <f t="shared" si="465"/>
        <v/>
      </c>
      <c r="D874" s="137"/>
      <c r="E874" s="150" t="str">
        <f>工種!A16</f>
        <v>30102</v>
      </c>
      <c r="F874" s="119" t="str">
        <f>工種!B16</f>
        <v>製造：コーディング</v>
      </c>
      <c r="G874" s="116" t="str">
        <f t="shared" si="466"/>
        <v>030102</v>
      </c>
      <c r="H874" s="88">
        <f t="shared" si="420"/>
        <v>0</v>
      </c>
      <c r="I874" s="132"/>
      <c r="J874" s="88">
        <f>SUMIF(月間集計シート!$M$29:$M$48,$G874,月間集計シート!N$29:N$48)*J$2</f>
        <v>0</v>
      </c>
      <c r="K874" s="88">
        <f>SUMIF(月間集計シート!$M$29:$M$48,$G874,月間集計シート!O$29:O$48)*K$2</f>
        <v>0</v>
      </c>
      <c r="L874" s="88">
        <f>SUMIF(月間集計シート!$M$29:$M$48,$G874,月間集計シート!P$29:P$48)*L$2</f>
        <v>0</v>
      </c>
      <c r="M874" s="88">
        <f>SUMIF(月間集計シート!$M$29:$M$48,$G874,月間集計シート!Q$29:Q$48)*M$2</f>
        <v>0</v>
      </c>
      <c r="N874" s="88">
        <f>SUMIF(月間集計シート!$M$29:$M$48,$G874,月間集計シート!R$29:R$48)*N$2</f>
        <v>0</v>
      </c>
      <c r="O874" s="88">
        <f>SUMIF(月間集計シート!$M$29:$M$48,$G874,月間集計シート!S$29:S$48)*O$2</f>
        <v>0</v>
      </c>
      <c r="P874" s="88">
        <f>SUMIF(月間集計シート!$M$29:$M$48,$G874,月間集計シート!T$29:T$48)*P$2</f>
        <v>0</v>
      </c>
      <c r="Q874" s="88">
        <f>SUMIF(月間集計シート!$M$50:$M$69,$G874,月間集計シート!N$50:N$69)*Q$2</f>
        <v>0</v>
      </c>
      <c r="R874" s="88">
        <f>SUMIF(月間集計シート!$M$50:$M$69,$G874,月間集計シート!O$50:O$69)*R$2</f>
        <v>0</v>
      </c>
      <c r="S874" s="88">
        <f>SUMIF(月間集計シート!$M$50:$M$69,$G874,月間集計シート!P$50:P$69)*S$2</f>
        <v>0</v>
      </c>
      <c r="T874" s="88">
        <f>SUMIF(月間集計シート!$M$50:$M$69,$G874,月間集計シート!Q$50:Q$69)*T$2</f>
        <v>0</v>
      </c>
      <c r="U874" s="88">
        <f>SUMIF(月間集計シート!$M$50:$M$69,$G874,月間集計シート!R$50:R$69)*U$2</f>
        <v>0</v>
      </c>
      <c r="V874" s="88">
        <f>SUMIF(月間集計シート!$M$50:$M$69,$G874,月間集計シート!S$50:S$69)*V$2</f>
        <v>0</v>
      </c>
      <c r="W874" s="88">
        <f>SUMIF(月間集計シート!$M$50:$M$69,$G874,月間集計シート!T$50:T$69)*W$2</f>
        <v>0</v>
      </c>
      <c r="X874" s="88">
        <f>SUMIF(月間集計シート!$M$71:$M$90,$G874,月間集計シート!N$71:N$90)*X$2</f>
        <v>0</v>
      </c>
      <c r="Y874" s="88">
        <f>SUMIF(月間集計シート!$M$71:$M$90,$G874,月間集計シート!O$71:O$90)*Y$2</f>
        <v>0</v>
      </c>
      <c r="Z874" s="88">
        <f>SUMIF(月間集計シート!$M$71:$M$90,$G874,月間集計シート!P$71:P$90)*Z$2</f>
        <v>0</v>
      </c>
      <c r="AA874" s="88">
        <f>SUMIF(月間集計シート!$M$71:$M$90,$G874,月間集計シート!Q$71:Q$90)*AA$2</f>
        <v>0</v>
      </c>
      <c r="AB874" s="88">
        <f>SUMIF(月間集計シート!$M$71:$M$90,$G874,月間集計シート!R$71:R$90)*AB$2</f>
        <v>0</v>
      </c>
      <c r="AC874" s="88">
        <f>SUMIF(月間集計シート!$M$71:$M$90,$G874,月間集計シート!S$71:S$90)*AC$2</f>
        <v>0</v>
      </c>
      <c r="AD874" s="88">
        <f>SUMIF(月間集計シート!$M$71:$M$90,$G874,月間集計シート!T$71:T$90)*AD$2</f>
        <v>0</v>
      </c>
      <c r="AE874" s="88">
        <f>SUMIF(月間集計シート!$M$92:$M$111,$G874,月間集計シート!N$92:N$111)*AE$2</f>
        <v>0</v>
      </c>
      <c r="AF874" s="88">
        <f>SUMIF(月間集計シート!$M$92:$M$111,$G874,月間集計シート!O$92:O$111)*AF$2</f>
        <v>0</v>
      </c>
      <c r="AG874" s="88">
        <f>SUMIF(月間集計シート!$M$92:$M$111,$G874,月間集計シート!P$92:P$111)*AG$2</f>
        <v>0</v>
      </c>
      <c r="AH874" s="88">
        <f>SUMIF(月間集計シート!$M$92:$M$111,$G874,月間集計シート!Q$92:Q$111)*AH$2</f>
        <v>0</v>
      </c>
      <c r="AI874" s="88">
        <f>SUMIF(月間集計シート!$M$92:$M$111,$G874,月間集計シート!R$92:R$111)*AI$2</f>
        <v>0</v>
      </c>
      <c r="AJ874" s="88">
        <f>SUMIF(月間集計シート!$M$92:$M$111,$G874,月間集計シート!S$92:S$111)*AJ$2</f>
        <v>0</v>
      </c>
      <c r="AK874" s="88">
        <f>SUMIF(月間集計シート!$M$92:$M$111,$G874,月間集計シート!T$92:T$111)*AK$2</f>
        <v>0</v>
      </c>
      <c r="AL874" s="88">
        <f>SUMIF(月間集計シート!$M$113:$M$132,$G874,月間集計シート!N$113:N$132)*AL$2</f>
        <v>0</v>
      </c>
      <c r="AM874" s="88">
        <f>SUMIF(月間集計シート!$M$113:$M$132,$G874,月間集計シート!O$113:O$132)*AM$2</f>
        <v>0</v>
      </c>
      <c r="AN874" s="88">
        <f>SUMIF(月間集計シート!$M$113:$M$132,$G874,月間集計シート!P$113:P$132)*AN$2</f>
        <v>0</v>
      </c>
      <c r="AO874" s="88">
        <f>SUMIF(月間集計シート!$M$113:$M$132,$G874,月間集計シート!Q$113:Q$132)*AO$2</f>
        <v>0</v>
      </c>
      <c r="AP874" s="88">
        <f>SUMIF(月間集計シート!$M$113:$M$132,$G874,月間集計シート!R$113:R$132)*AP$2</f>
        <v>0</v>
      </c>
      <c r="AQ874" s="88">
        <f>SUMIF(月間集計シート!$M$113:$M$132,$G874,月間集計シート!S$113:S$132)*AQ$2</f>
        <v>0</v>
      </c>
      <c r="AR874" s="88">
        <f>SUMIF(月間集計シート!$M$113:$M$132,$G874,月間集計シート!T$113:T$132)*AR$2</f>
        <v>0</v>
      </c>
      <c r="AS874" s="88">
        <f>SUMIF(月間集計シート!$M$134:$M$153,$G874,月間集計シート!N$134:N$153)*AS$2</f>
        <v>0</v>
      </c>
      <c r="AT874" s="88">
        <f>SUMIF(月間集計シート!$M$134:$M$153,$G874,月間集計シート!O$134:O$153)*AT$2</f>
        <v>0</v>
      </c>
      <c r="AU874" s="88">
        <f>SUMIF(月間集計シート!$M$134:$M$153,$G874,月間集計シート!P$134:P$153)*AU$2</f>
        <v>0</v>
      </c>
      <c r="AV874" s="88">
        <f>SUMIF(月間集計シート!$M$134:$M$153,$G874,月間集計シート!Q$134:Q$153)*AV$2</f>
        <v>0</v>
      </c>
      <c r="AW874" s="88">
        <f>SUMIF(月間集計シート!$M$134:$M$153,$G874,月間集計シート!R$134:R$153)*AW$2</f>
        <v>0</v>
      </c>
      <c r="AX874" s="88">
        <f>SUMIF(月間集計シート!$M$134:$M$153,$G874,月間集計シート!S$134:S$153)*AX$2</f>
        <v>0</v>
      </c>
      <c r="AY874" s="88">
        <f>SUMIF(月間集計シート!$M$134:$M$153,$G874,月間集計シート!T$134:T$153)*AY$2</f>
        <v>0</v>
      </c>
    </row>
    <row r="875" spans="1:51" ht="14.25" thickBot="1">
      <c r="A875">
        <v>11</v>
      </c>
      <c r="B875" s="120">
        <f t="shared" si="464"/>
        <v>0</v>
      </c>
      <c r="C875" s="120" t="str">
        <f t="shared" si="465"/>
        <v/>
      </c>
      <c r="D875" s="137"/>
      <c r="E875" s="150" t="str">
        <f>工種!A17</f>
        <v>30103</v>
      </c>
      <c r="F875" s="119" t="str">
        <f>工種!B17</f>
        <v>製造：単体テスト設計書作成</v>
      </c>
      <c r="G875" s="116" t="str">
        <f t="shared" si="466"/>
        <v>030103</v>
      </c>
      <c r="H875" s="88">
        <f t="shared" si="420"/>
        <v>0</v>
      </c>
      <c r="I875" s="132"/>
      <c r="J875" s="88">
        <f>SUMIF(月間集計シート!$M$29:$M$48,$G875,月間集計シート!N$29:N$48)*J$2</f>
        <v>0</v>
      </c>
      <c r="K875" s="88">
        <f>SUMIF(月間集計シート!$M$29:$M$48,$G875,月間集計シート!O$29:O$48)*K$2</f>
        <v>0</v>
      </c>
      <c r="L875" s="88">
        <f>SUMIF(月間集計シート!$M$29:$M$48,$G875,月間集計シート!P$29:P$48)*L$2</f>
        <v>0</v>
      </c>
      <c r="M875" s="88">
        <f>SUMIF(月間集計シート!$M$29:$M$48,$G875,月間集計シート!Q$29:Q$48)*M$2</f>
        <v>0</v>
      </c>
      <c r="N875" s="88">
        <f>SUMIF(月間集計シート!$M$29:$M$48,$G875,月間集計シート!R$29:R$48)*N$2</f>
        <v>0</v>
      </c>
      <c r="O875" s="88">
        <f>SUMIF(月間集計シート!$M$29:$M$48,$G875,月間集計シート!S$29:S$48)*O$2</f>
        <v>0</v>
      </c>
      <c r="P875" s="88">
        <f>SUMIF(月間集計シート!$M$29:$M$48,$G875,月間集計シート!T$29:T$48)*P$2</f>
        <v>0</v>
      </c>
      <c r="Q875" s="88">
        <f>SUMIF(月間集計シート!$M$50:$M$69,$G875,月間集計シート!N$50:N$69)*Q$2</f>
        <v>0</v>
      </c>
      <c r="R875" s="88">
        <f>SUMIF(月間集計シート!$M$50:$M$69,$G875,月間集計シート!O$50:O$69)*R$2</f>
        <v>0</v>
      </c>
      <c r="S875" s="88">
        <f>SUMIF(月間集計シート!$M$50:$M$69,$G875,月間集計シート!P$50:P$69)*S$2</f>
        <v>0</v>
      </c>
      <c r="T875" s="88">
        <f>SUMIF(月間集計シート!$M$50:$M$69,$G875,月間集計シート!Q$50:Q$69)*T$2</f>
        <v>0</v>
      </c>
      <c r="U875" s="88">
        <f>SUMIF(月間集計シート!$M$50:$M$69,$G875,月間集計シート!R$50:R$69)*U$2</f>
        <v>0</v>
      </c>
      <c r="V875" s="88">
        <f>SUMIF(月間集計シート!$M$50:$M$69,$G875,月間集計シート!S$50:S$69)*V$2</f>
        <v>0</v>
      </c>
      <c r="W875" s="88">
        <f>SUMIF(月間集計シート!$M$50:$M$69,$G875,月間集計シート!T$50:T$69)*W$2</f>
        <v>0</v>
      </c>
      <c r="X875" s="88">
        <f>SUMIF(月間集計シート!$M$71:$M$90,$G875,月間集計シート!N$71:N$90)*X$2</f>
        <v>0</v>
      </c>
      <c r="Y875" s="88">
        <f>SUMIF(月間集計シート!$M$71:$M$90,$G875,月間集計シート!O$71:O$90)*Y$2</f>
        <v>0</v>
      </c>
      <c r="Z875" s="88">
        <f>SUMIF(月間集計シート!$M$71:$M$90,$G875,月間集計シート!P$71:P$90)*Z$2</f>
        <v>0</v>
      </c>
      <c r="AA875" s="88">
        <f>SUMIF(月間集計シート!$M$71:$M$90,$G875,月間集計シート!Q$71:Q$90)*AA$2</f>
        <v>0</v>
      </c>
      <c r="AB875" s="88">
        <f>SUMIF(月間集計シート!$M$71:$M$90,$G875,月間集計シート!R$71:R$90)*AB$2</f>
        <v>0</v>
      </c>
      <c r="AC875" s="88">
        <f>SUMIF(月間集計シート!$M$71:$M$90,$G875,月間集計シート!S$71:S$90)*AC$2</f>
        <v>0</v>
      </c>
      <c r="AD875" s="88">
        <f>SUMIF(月間集計シート!$M$71:$M$90,$G875,月間集計シート!T$71:T$90)*AD$2</f>
        <v>0</v>
      </c>
      <c r="AE875" s="88">
        <f>SUMIF(月間集計シート!$M$92:$M$111,$G875,月間集計シート!N$92:N$111)*AE$2</f>
        <v>0</v>
      </c>
      <c r="AF875" s="88">
        <f>SUMIF(月間集計シート!$M$92:$M$111,$G875,月間集計シート!O$92:O$111)*AF$2</f>
        <v>0</v>
      </c>
      <c r="AG875" s="88">
        <f>SUMIF(月間集計シート!$M$92:$M$111,$G875,月間集計シート!P$92:P$111)*AG$2</f>
        <v>0</v>
      </c>
      <c r="AH875" s="88">
        <f>SUMIF(月間集計シート!$M$92:$M$111,$G875,月間集計シート!Q$92:Q$111)*AH$2</f>
        <v>0</v>
      </c>
      <c r="AI875" s="88">
        <f>SUMIF(月間集計シート!$M$92:$M$111,$G875,月間集計シート!R$92:R$111)*AI$2</f>
        <v>0</v>
      </c>
      <c r="AJ875" s="88">
        <f>SUMIF(月間集計シート!$M$92:$M$111,$G875,月間集計シート!S$92:S$111)*AJ$2</f>
        <v>0</v>
      </c>
      <c r="AK875" s="88">
        <f>SUMIF(月間集計シート!$M$92:$M$111,$G875,月間集計シート!T$92:T$111)*AK$2</f>
        <v>0</v>
      </c>
      <c r="AL875" s="88">
        <f>SUMIF(月間集計シート!$M$113:$M$132,$G875,月間集計シート!N$113:N$132)*AL$2</f>
        <v>0</v>
      </c>
      <c r="AM875" s="88">
        <f>SUMIF(月間集計シート!$M$113:$M$132,$G875,月間集計シート!O$113:O$132)*AM$2</f>
        <v>0</v>
      </c>
      <c r="AN875" s="88">
        <f>SUMIF(月間集計シート!$M$113:$M$132,$G875,月間集計シート!P$113:P$132)*AN$2</f>
        <v>0</v>
      </c>
      <c r="AO875" s="88">
        <f>SUMIF(月間集計シート!$M$113:$M$132,$G875,月間集計シート!Q$113:Q$132)*AO$2</f>
        <v>0</v>
      </c>
      <c r="AP875" s="88">
        <f>SUMIF(月間集計シート!$M$113:$M$132,$G875,月間集計シート!R$113:R$132)*AP$2</f>
        <v>0</v>
      </c>
      <c r="AQ875" s="88">
        <f>SUMIF(月間集計シート!$M$113:$M$132,$G875,月間集計シート!S$113:S$132)*AQ$2</f>
        <v>0</v>
      </c>
      <c r="AR875" s="88">
        <f>SUMIF(月間集計シート!$M$113:$M$132,$G875,月間集計シート!T$113:T$132)*AR$2</f>
        <v>0</v>
      </c>
      <c r="AS875" s="88">
        <f>SUMIF(月間集計シート!$M$134:$M$153,$G875,月間集計シート!N$134:N$153)*AS$2</f>
        <v>0</v>
      </c>
      <c r="AT875" s="88">
        <f>SUMIF(月間集計シート!$M$134:$M$153,$G875,月間集計シート!O$134:O$153)*AT$2</f>
        <v>0</v>
      </c>
      <c r="AU875" s="88">
        <f>SUMIF(月間集計シート!$M$134:$M$153,$G875,月間集計シート!P$134:P$153)*AU$2</f>
        <v>0</v>
      </c>
      <c r="AV875" s="88">
        <f>SUMIF(月間集計シート!$M$134:$M$153,$G875,月間集計シート!Q$134:Q$153)*AV$2</f>
        <v>0</v>
      </c>
      <c r="AW875" s="88">
        <f>SUMIF(月間集計シート!$M$134:$M$153,$G875,月間集計シート!R$134:R$153)*AW$2</f>
        <v>0</v>
      </c>
      <c r="AX875" s="88">
        <f>SUMIF(月間集計シート!$M$134:$M$153,$G875,月間集計シート!S$134:S$153)*AX$2</f>
        <v>0</v>
      </c>
      <c r="AY875" s="88">
        <f>SUMIF(月間集計シート!$M$134:$M$153,$G875,月間集計シート!T$134:T$153)*AY$2</f>
        <v>0</v>
      </c>
    </row>
    <row r="876" spans="1:51" ht="14.25" thickBot="1">
      <c r="A876">
        <v>11</v>
      </c>
      <c r="B876" s="120">
        <f t="shared" si="464"/>
        <v>0</v>
      </c>
      <c r="C876" s="120" t="str">
        <f t="shared" si="465"/>
        <v/>
      </c>
      <c r="D876" s="137"/>
      <c r="E876" s="150" t="str">
        <f>工種!A18</f>
        <v>30104</v>
      </c>
      <c r="F876" s="119" t="str">
        <f>工種!B18</f>
        <v>製造：単体テスト実施</v>
      </c>
      <c r="G876" s="116" t="str">
        <f t="shared" si="466"/>
        <v>030104</v>
      </c>
      <c r="H876" s="88">
        <f t="shared" si="420"/>
        <v>0</v>
      </c>
      <c r="I876" s="132"/>
      <c r="J876" s="88">
        <f>SUMIF(月間集計シート!$M$29:$M$48,$G876,月間集計シート!N$29:N$48)*J$2</f>
        <v>0</v>
      </c>
      <c r="K876" s="88">
        <f>SUMIF(月間集計シート!$M$29:$M$48,$G876,月間集計シート!O$29:O$48)*K$2</f>
        <v>0</v>
      </c>
      <c r="L876" s="88">
        <f>SUMIF(月間集計シート!$M$29:$M$48,$G876,月間集計シート!P$29:P$48)*L$2</f>
        <v>0</v>
      </c>
      <c r="M876" s="88">
        <f>SUMIF(月間集計シート!$M$29:$M$48,$G876,月間集計シート!Q$29:Q$48)*M$2</f>
        <v>0</v>
      </c>
      <c r="N876" s="88">
        <f>SUMIF(月間集計シート!$M$29:$M$48,$G876,月間集計シート!R$29:R$48)*N$2</f>
        <v>0</v>
      </c>
      <c r="O876" s="88">
        <f>SUMIF(月間集計シート!$M$29:$M$48,$G876,月間集計シート!S$29:S$48)*O$2</f>
        <v>0</v>
      </c>
      <c r="P876" s="88">
        <f>SUMIF(月間集計シート!$M$29:$M$48,$G876,月間集計シート!T$29:T$48)*P$2</f>
        <v>0</v>
      </c>
      <c r="Q876" s="88">
        <f>SUMIF(月間集計シート!$M$50:$M$69,$G876,月間集計シート!N$50:N$69)*Q$2</f>
        <v>0</v>
      </c>
      <c r="R876" s="88">
        <f>SUMIF(月間集計シート!$M$50:$M$69,$G876,月間集計シート!O$50:O$69)*R$2</f>
        <v>0</v>
      </c>
      <c r="S876" s="88">
        <f>SUMIF(月間集計シート!$M$50:$M$69,$G876,月間集計シート!P$50:P$69)*S$2</f>
        <v>0</v>
      </c>
      <c r="T876" s="88">
        <f>SUMIF(月間集計シート!$M$50:$M$69,$G876,月間集計シート!Q$50:Q$69)*T$2</f>
        <v>0</v>
      </c>
      <c r="U876" s="88">
        <f>SUMIF(月間集計シート!$M$50:$M$69,$G876,月間集計シート!R$50:R$69)*U$2</f>
        <v>0</v>
      </c>
      <c r="V876" s="88">
        <f>SUMIF(月間集計シート!$M$50:$M$69,$G876,月間集計シート!S$50:S$69)*V$2</f>
        <v>0</v>
      </c>
      <c r="W876" s="88">
        <f>SUMIF(月間集計シート!$M$50:$M$69,$G876,月間集計シート!T$50:T$69)*W$2</f>
        <v>0</v>
      </c>
      <c r="X876" s="88">
        <f>SUMIF(月間集計シート!$M$71:$M$90,$G876,月間集計シート!N$71:N$90)*X$2</f>
        <v>0</v>
      </c>
      <c r="Y876" s="88">
        <f>SUMIF(月間集計シート!$M$71:$M$90,$G876,月間集計シート!O$71:O$90)*Y$2</f>
        <v>0</v>
      </c>
      <c r="Z876" s="88">
        <f>SUMIF(月間集計シート!$M$71:$M$90,$G876,月間集計シート!P$71:P$90)*Z$2</f>
        <v>0</v>
      </c>
      <c r="AA876" s="88">
        <f>SUMIF(月間集計シート!$M$71:$M$90,$G876,月間集計シート!Q$71:Q$90)*AA$2</f>
        <v>0</v>
      </c>
      <c r="AB876" s="88">
        <f>SUMIF(月間集計シート!$M$71:$M$90,$G876,月間集計シート!R$71:R$90)*AB$2</f>
        <v>0</v>
      </c>
      <c r="AC876" s="88">
        <f>SUMIF(月間集計シート!$M$71:$M$90,$G876,月間集計シート!S$71:S$90)*AC$2</f>
        <v>0</v>
      </c>
      <c r="AD876" s="88">
        <f>SUMIF(月間集計シート!$M$71:$M$90,$G876,月間集計シート!T$71:T$90)*AD$2</f>
        <v>0</v>
      </c>
      <c r="AE876" s="88">
        <f>SUMIF(月間集計シート!$M$92:$M$111,$G876,月間集計シート!N$92:N$111)*AE$2</f>
        <v>0</v>
      </c>
      <c r="AF876" s="88">
        <f>SUMIF(月間集計シート!$M$92:$M$111,$G876,月間集計シート!O$92:O$111)*AF$2</f>
        <v>0</v>
      </c>
      <c r="AG876" s="88">
        <f>SUMIF(月間集計シート!$M$92:$M$111,$G876,月間集計シート!P$92:P$111)*AG$2</f>
        <v>0</v>
      </c>
      <c r="AH876" s="88">
        <f>SUMIF(月間集計シート!$M$92:$M$111,$G876,月間集計シート!Q$92:Q$111)*AH$2</f>
        <v>0</v>
      </c>
      <c r="AI876" s="88">
        <f>SUMIF(月間集計シート!$M$92:$M$111,$G876,月間集計シート!R$92:R$111)*AI$2</f>
        <v>0</v>
      </c>
      <c r="AJ876" s="88">
        <f>SUMIF(月間集計シート!$M$92:$M$111,$G876,月間集計シート!S$92:S$111)*AJ$2</f>
        <v>0</v>
      </c>
      <c r="AK876" s="88">
        <f>SUMIF(月間集計シート!$M$92:$M$111,$G876,月間集計シート!T$92:T$111)*AK$2</f>
        <v>0</v>
      </c>
      <c r="AL876" s="88">
        <f>SUMIF(月間集計シート!$M$113:$M$132,$G876,月間集計シート!N$113:N$132)*AL$2</f>
        <v>0</v>
      </c>
      <c r="AM876" s="88">
        <f>SUMIF(月間集計シート!$M$113:$M$132,$G876,月間集計シート!O$113:O$132)*AM$2</f>
        <v>0</v>
      </c>
      <c r="AN876" s="88">
        <f>SUMIF(月間集計シート!$M$113:$M$132,$G876,月間集計シート!P$113:P$132)*AN$2</f>
        <v>0</v>
      </c>
      <c r="AO876" s="88">
        <f>SUMIF(月間集計シート!$M$113:$M$132,$G876,月間集計シート!Q$113:Q$132)*AO$2</f>
        <v>0</v>
      </c>
      <c r="AP876" s="88">
        <f>SUMIF(月間集計シート!$M$113:$M$132,$G876,月間集計シート!R$113:R$132)*AP$2</f>
        <v>0</v>
      </c>
      <c r="AQ876" s="88">
        <f>SUMIF(月間集計シート!$M$113:$M$132,$G876,月間集計シート!S$113:S$132)*AQ$2</f>
        <v>0</v>
      </c>
      <c r="AR876" s="88">
        <f>SUMIF(月間集計シート!$M$113:$M$132,$G876,月間集計シート!T$113:T$132)*AR$2</f>
        <v>0</v>
      </c>
      <c r="AS876" s="88">
        <f>SUMIF(月間集計シート!$M$134:$M$153,$G876,月間集計シート!N$134:N$153)*AS$2</f>
        <v>0</v>
      </c>
      <c r="AT876" s="88">
        <f>SUMIF(月間集計シート!$M$134:$M$153,$G876,月間集計シート!O$134:O$153)*AT$2</f>
        <v>0</v>
      </c>
      <c r="AU876" s="88">
        <f>SUMIF(月間集計シート!$M$134:$M$153,$G876,月間集計シート!P$134:P$153)*AU$2</f>
        <v>0</v>
      </c>
      <c r="AV876" s="88">
        <f>SUMIF(月間集計シート!$M$134:$M$153,$G876,月間集計シート!Q$134:Q$153)*AV$2</f>
        <v>0</v>
      </c>
      <c r="AW876" s="88">
        <f>SUMIF(月間集計シート!$M$134:$M$153,$G876,月間集計シート!R$134:R$153)*AW$2</f>
        <v>0</v>
      </c>
      <c r="AX876" s="88">
        <f>SUMIF(月間集計シート!$M$134:$M$153,$G876,月間集計シート!S$134:S$153)*AX$2</f>
        <v>0</v>
      </c>
      <c r="AY876" s="88">
        <f>SUMIF(月間集計シート!$M$134:$M$153,$G876,月間集計シート!T$134:T$153)*AY$2</f>
        <v>0</v>
      </c>
    </row>
    <row r="877" spans="1:51" ht="14.25" thickBot="1">
      <c r="A877">
        <v>11</v>
      </c>
      <c r="B877" s="120">
        <f t="shared" si="464"/>
        <v>0</v>
      </c>
      <c r="C877" s="120" t="str">
        <f t="shared" si="465"/>
        <v/>
      </c>
      <c r="D877" s="137"/>
      <c r="E877" s="150" t="str">
        <f>工種!A19</f>
        <v>30105</v>
      </c>
      <c r="F877" s="119" t="str">
        <f>工種!B19</f>
        <v>製造：打合せ</v>
      </c>
      <c r="G877" s="116" t="str">
        <f t="shared" si="466"/>
        <v>030105</v>
      </c>
      <c r="H877" s="88">
        <f t="shared" si="420"/>
        <v>0</v>
      </c>
      <c r="I877" s="132"/>
      <c r="J877" s="88">
        <f>SUMIF(月間集計シート!$M$29:$M$48,$G877,月間集計シート!N$29:N$48)*J$2</f>
        <v>0</v>
      </c>
      <c r="K877" s="88">
        <f>SUMIF(月間集計シート!$M$29:$M$48,$G877,月間集計シート!O$29:O$48)*K$2</f>
        <v>0</v>
      </c>
      <c r="L877" s="88">
        <f>SUMIF(月間集計シート!$M$29:$M$48,$G877,月間集計シート!P$29:P$48)*L$2</f>
        <v>0</v>
      </c>
      <c r="M877" s="88">
        <f>SUMIF(月間集計シート!$M$29:$M$48,$G877,月間集計シート!Q$29:Q$48)*M$2</f>
        <v>0</v>
      </c>
      <c r="N877" s="88">
        <f>SUMIF(月間集計シート!$M$29:$M$48,$G877,月間集計シート!R$29:R$48)*N$2</f>
        <v>0</v>
      </c>
      <c r="O877" s="88">
        <f>SUMIF(月間集計シート!$M$29:$M$48,$G877,月間集計シート!S$29:S$48)*O$2</f>
        <v>0</v>
      </c>
      <c r="P877" s="88">
        <f>SUMIF(月間集計シート!$M$29:$M$48,$G877,月間集計シート!T$29:T$48)*P$2</f>
        <v>0</v>
      </c>
      <c r="Q877" s="88">
        <f>SUMIF(月間集計シート!$M$50:$M$69,$G877,月間集計シート!N$50:N$69)*Q$2</f>
        <v>0</v>
      </c>
      <c r="R877" s="88">
        <f>SUMIF(月間集計シート!$M$50:$M$69,$G877,月間集計シート!O$50:O$69)*R$2</f>
        <v>0</v>
      </c>
      <c r="S877" s="88">
        <f>SUMIF(月間集計シート!$M$50:$M$69,$G877,月間集計シート!P$50:P$69)*S$2</f>
        <v>0</v>
      </c>
      <c r="T877" s="88">
        <f>SUMIF(月間集計シート!$M$50:$M$69,$G877,月間集計シート!Q$50:Q$69)*T$2</f>
        <v>0</v>
      </c>
      <c r="U877" s="88">
        <f>SUMIF(月間集計シート!$M$50:$M$69,$G877,月間集計シート!R$50:R$69)*U$2</f>
        <v>0</v>
      </c>
      <c r="V877" s="88">
        <f>SUMIF(月間集計シート!$M$50:$M$69,$G877,月間集計シート!S$50:S$69)*V$2</f>
        <v>0</v>
      </c>
      <c r="W877" s="88">
        <f>SUMIF(月間集計シート!$M$50:$M$69,$G877,月間集計シート!T$50:T$69)*W$2</f>
        <v>0</v>
      </c>
      <c r="X877" s="88">
        <f>SUMIF(月間集計シート!$M$71:$M$90,$G877,月間集計シート!N$71:N$90)*X$2</f>
        <v>0</v>
      </c>
      <c r="Y877" s="88">
        <f>SUMIF(月間集計シート!$M$71:$M$90,$G877,月間集計シート!O$71:O$90)*Y$2</f>
        <v>0</v>
      </c>
      <c r="Z877" s="88">
        <f>SUMIF(月間集計シート!$M$71:$M$90,$G877,月間集計シート!P$71:P$90)*Z$2</f>
        <v>0</v>
      </c>
      <c r="AA877" s="88">
        <f>SUMIF(月間集計シート!$M$71:$M$90,$G877,月間集計シート!Q$71:Q$90)*AA$2</f>
        <v>0</v>
      </c>
      <c r="AB877" s="88">
        <f>SUMIF(月間集計シート!$M$71:$M$90,$G877,月間集計シート!R$71:R$90)*AB$2</f>
        <v>0</v>
      </c>
      <c r="AC877" s="88">
        <f>SUMIF(月間集計シート!$M$71:$M$90,$G877,月間集計シート!S$71:S$90)*AC$2</f>
        <v>0</v>
      </c>
      <c r="AD877" s="88">
        <f>SUMIF(月間集計シート!$M$71:$M$90,$G877,月間集計シート!T$71:T$90)*AD$2</f>
        <v>0</v>
      </c>
      <c r="AE877" s="88">
        <f>SUMIF(月間集計シート!$M$92:$M$111,$G877,月間集計シート!N$92:N$111)*AE$2</f>
        <v>0</v>
      </c>
      <c r="AF877" s="88">
        <f>SUMIF(月間集計シート!$M$92:$M$111,$G877,月間集計シート!O$92:O$111)*AF$2</f>
        <v>0</v>
      </c>
      <c r="AG877" s="88">
        <f>SUMIF(月間集計シート!$M$92:$M$111,$G877,月間集計シート!P$92:P$111)*AG$2</f>
        <v>0</v>
      </c>
      <c r="AH877" s="88">
        <f>SUMIF(月間集計シート!$M$92:$M$111,$G877,月間集計シート!Q$92:Q$111)*AH$2</f>
        <v>0</v>
      </c>
      <c r="AI877" s="88">
        <f>SUMIF(月間集計シート!$M$92:$M$111,$G877,月間集計シート!R$92:R$111)*AI$2</f>
        <v>0</v>
      </c>
      <c r="AJ877" s="88">
        <f>SUMIF(月間集計シート!$M$92:$M$111,$G877,月間集計シート!S$92:S$111)*AJ$2</f>
        <v>0</v>
      </c>
      <c r="AK877" s="88">
        <f>SUMIF(月間集計シート!$M$92:$M$111,$G877,月間集計シート!T$92:T$111)*AK$2</f>
        <v>0</v>
      </c>
      <c r="AL877" s="88">
        <f>SUMIF(月間集計シート!$M$113:$M$132,$G877,月間集計シート!N$113:N$132)*AL$2</f>
        <v>0</v>
      </c>
      <c r="AM877" s="88">
        <f>SUMIF(月間集計シート!$M$113:$M$132,$G877,月間集計シート!O$113:O$132)*AM$2</f>
        <v>0</v>
      </c>
      <c r="AN877" s="88">
        <f>SUMIF(月間集計シート!$M$113:$M$132,$G877,月間集計シート!P$113:P$132)*AN$2</f>
        <v>0</v>
      </c>
      <c r="AO877" s="88">
        <f>SUMIF(月間集計シート!$M$113:$M$132,$G877,月間集計シート!Q$113:Q$132)*AO$2</f>
        <v>0</v>
      </c>
      <c r="AP877" s="88">
        <f>SUMIF(月間集計シート!$M$113:$M$132,$G877,月間集計シート!R$113:R$132)*AP$2</f>
        <v>0</v>
      </c>
      <c r="AQ877" s="88">
        <f>SUMIF(月間集計シート!$M$113:$M$132,$G877,月間集計シート!S$113:S$132)*AQ$2</f>
        <v>0</v>
      </c>
      <c r="AR877" s="88">
        <f>SUMIF(月間集計シート!$M$113:$M$132,$G877,月間集計シート!T$113:T$132)*AR$2</f>
        <v>0</v>
      </c>
      <c r="AS877" s="88">
        <f>SUMIF(月間集計シート!$M$134:$M$153,$G877,月間集計シート!N$134:N$153)*AS$2</f>
        <v>0</v>
      </c>
      <c r="AT877" s="88">
        <f>SUMIF(月間集計シート!$M$134:$M$153,$G877,月間集計シート!O$134:O$153)*AT$2</f>
        <v>0</v>
      </c>
      <c r="AU877" s="88">
        <f>SUMIF(月間集計シート!$M$134:$M$153,$G877,月間集計シート!P$134:P$153)*AU$2</f>
        <v>0</v>
      </c>
      <c r="AV877" s="88">
        <f>SUMIF(月間集計シート!$M$134:$M$153,$G877,月間集計シート!Q$134:Q$153)*AV$2</f>
        <v>0</v>
      </c>
      <c r="AW877" s="88">
        <f>SUMIF(月間集計シート!$M$134:$M$153,$G877,月間集計シート!R$134:R$153)*AW$2</f>
        <v>0</v>
      </c>
      <c r="AX877" s="88">
        <f>SUMIF(月間集計シート!$M$134:$M$153,$G877,月間集計シート!S$134:S$153)*AX$2</f>
        <v>0</v>
      </c>
      <c r="AY877" s="88">
        <f>SUMIF(月間集計シート!$M$134:$M$153,$G877,月間集計シート!T$134:T$153)*AY$2</f>
        <v>0</v>
      </c>
    </row>
    <row r="878" spans="1:51" ht="14.25" thickBot="1">
      <c r="A878">
        <v>11</v>
      </c>
      <c r="B878" s="120">
        <f t="shared" si="464"/>
        <v>0</v>
      </c>
      <c r="C878" s="120" t="str">
        <f t="shared" si="465"/>
        <v/>
      </c>
      <c r="D878" s="137"/>
      <c r="E878" s="150" t="str">
        <f>工種!A20</f>
        <v>30106</v>
      </c>
      <c r="F878" s="119" t="str">
        <f>工種!B20</f>
        <v>製造：PG修正（手戻り分）</v>
      </c>
      <c r="G878" s="116" t="str">
        <f t="shared" si="466"/>
        <v>030106</v>
      </c>
      <c r="H878" s="88">
        <f t="shared" si="420"/>
        <v>0</v>
      </c>
      <c r="I878" s="132"/>
      <c r="J878" s="88">
        <f>SUMIF(月間集計シート!$M$29:$M$48,$G878,月間集計シート!N$29:N$48)*J$2</f>
        <v>0</v>
      </c>
      <c r="K878" s="88">
        <f>SUMIF(月間集計シート!$M$29:$M$48,$G878,月間集計シート!O$29:O$48)*K$2</f>
        <v>0</v>
      </c>
      <c r="L878" s="88">
        <f>SUMIF(月間集計シート!$M$29:$M$48,$G878,月間集計シート!P$29:P$48)*L$2</f>
        <v>0</v>
      </c>
      <c r="M878" s="88">
        <f>SUMIF(月間集計シート!$M$29:$M$48,$G878,月間集計シート!Q$29:Q$48)*M$2</f>
        <v>0</v>
      </c>
      <c r="N878" s="88">
        <f>SUMIF(月間集計シート!$M$29:$M$48,$G878,月間集計シート!R$29:R$48)*N$2</f>
        <v>0</v>
      </c>
      <c r="O878" s="88">
        <f>SUMIF(月間集計シート!$M$29:$M$48,$G878,月間集計シート!S$29:S$48)*O$2</f>
        <v>0</v>
      </c>
      <c r="P878" s="88">
        <f>SUMIF(月間集計シート!$M$29:$M$48,$G878,月間集計シート!T$29:T$48)*P$2</f>
        <v>0</v>
      </c>
      <c r="Q878" s="88">
        <f>SUMIF(月間集計シート!$M$50:$M$69,$G878,月間集計シート!N$50:N$69)*Q$2</f>
        <v>0</v>
      </c>
      <c r="R878" s="88">
        <f>SUMIF(月間集計シート!$M$50:$M$69,$G878,月間集計シート!O$50:O$69)*R$2</f>
        <v>0</v>
      </c>
      <c r="S878" s="88">
        <f>SUMIF(月間集計シート!$M$50:$M$69,$G878,月間集計シート!P$50:P$69)*S$2</f>
        <v>0</v>
      </c>
      <c r="T878" s="88">
        <f>SUMIF(月間集計シート!$M$50:$M$69,$G878,月間集計シート!Q$50:Q$69)*T$2</f>
        <v>0</v>
      </c>
      <c r="U878" s="88">
        <f>SUMIF(月間集計シート!$M$50:$M$69,$G878,月間集計シート!R$50:R$69)*U$2</f>
        <v>0</v>
      </c>
      <c r="V878" s="88">
        <f>SUMIF(月間集計シート!$M$50:$M$69,$G878,月間集計シート!S$50:S$69)*V$2</f>
        <v>0</v>
      </c>
      <c r="W878" s="88">
        <f>SUMIF(月間集計シート!$M$50:$M$69,$G878,月間集計シート!T$50:T$69)*W$2</f>
        <v>0</v>
      </c>
      <c r="X878" s="88">
        <f>SUMIF(月間集計シート!$M$71:$M$90,$G878,月間集計シート!N$71:N$90)*X$2</f>
        <v>0</v>
      </c>
      <c r="Y878" s="88">
        <f>SUMIF(月間集計シート!$M$71:$M$90,$G878,月間集計シート!O$71:O$90)*Y$2</f>
        <v>0</v>
      </c>
      <c r="Z878" s="88">
        <f>SUMIF(月間集計シート!$M$71:$M$90,$G878,月間集計シート!P$71:P$90)*Z$2</f>
        <v>0</v>
      </c>
      <c r="AA878" s="88">
        <f>SUMIF(月間集計シート!$M$71:$M$90,$G878,月間集計シート!Q$71:Q$90)*AA$2</f>
        <v>0</v>
      </c>
      <c r="AB878" s="88">
        <f>SUMIF(月間集計シート!$M$71:$M$90,$G878,月間集計シート!R$71:R$90)*AB$2</f>
        <v>0</v>
      </c>
      <c r="AC878" s="88">
        <f>SUMIF(月間集計シート!$M$71:$M$90,$G878,月間集計シート!S$71:S$90)*AC$2</f>
        <v>0</v>
      </c>
      <c r="AD878" s="88">
        <f>SUMIF(月間集計シート!$M$71:$M$90,$G878,月間集計シート!T$71:T$90)*AD$2</f>
        <v>0</v>
      </c>
      <c r="AE878" s="88">
        <f>SUMIF(月間集計シート!$M$92:$M$111,$G878,月間集計シート!N$92:N$111)*AE$2</f>
        <v>0</v>
      </c>
      <c r="AF878" s="88">
        <f>SUMIF(月間集計シート!$M$92:$M$111,$G878,月間集計シート!O$92:O$111)*AF$2</f>
        <v>0</v>
      </c>
      <c r="AG878" s="88">
        <f>SUMIF(月間集計シート!$M$92:$M$111,$G878,月間集計シート!P$92:P$111)*AG$2</f>
        <v>0</v>
      </c>
      <c r="AH878" s="88">
        <f>SUMIF(月間集計シート!$M$92:$M$111,$G878,月間集計シート!Q$92:Q$111)*AH$2</f>
        <v>0</v>
      </c>
      <c r="AI878" s="88">
        <f>SUMIF(月間集計シート!$M$92:$M$111,$G878,月間集計シート!R$92:R$111)*AI$2</f>
        <v>0</v>
      </c>
      <c r="AJ878" s="88">
        <f>SUMIF(月間集計シート!$M$92:$M$111,$G878,月間集計シート!S$92:S$111)*AJ$2</f>
        <v>0</v>
      </c>
      <c r="AK878" s="88">
        <f>SUMIF(月間集計シート!$M$92:$M$111,$G878,月間集計シート!T$92:T$111)*AK$2</f>
        <v>0</v>
      </c>
      <c r="AL878" s="88">
        <f>SUMIF(月間集計シート!$M$113:$M$132,$G878,月間集計シート!N$113:N$132)*AL$2</f>
        <v>0</v>
      </c>
      <c r="AM878" s="88">
        <f>SUMIF(月間集計シート!$M$113:$M$132,$G878,月間集計シート!O$113:O$132)*AM$2</f>
        <v>0</v>
      </c>
      <c r="AN878" s="88">
        <f>SUMIF(月間集計シート!$M$113:$M$132,$G878,月間集計シート!P$113:P$132)*AN$2</f>
        <v>0</v>
      </c>
      <c r="AO878" s="88">
        <f>SUMIF(月間集計シート!$M$113:$M$132,$G878,月間集計シート!Q$113:Q$132)*AO$2</f>
        <v>0</v>
      </c>
      <c r="AP878" s="88">
        <f>SUMIF(月間集計シート!$M$113:$M$132,$G878,月間集計シート!R$113:R$132)*AP$2</f>
        <v>0</v>
      </c>
      <c r="AQ878" s="88">
        <f>SUMIF(月間集計シート!$M$113:$M$132,$G878,月間集計シート!S$113:S$132)*AQ$2</f>
        <v>0</v>
      </c>
      <c r="AR878" s="88">
        <f>SUMIF(月間集計シート!$M$113:$M$132,$G878,月間集計シート!T$113:T$132)*AR$2</f>
        <v>0</v>
      </c>
      <c r="AS878" s="88">
        <f>SUMIF(月間集計シート!$M$134:$M$153,$G878,月間集計シート!N$134:N$153)*AS$2</f>
        <v>0</v>
      </c>
      <c r="AT878" s="88">
        <f>SUMIF(月間集計シート!$M$134:$M$153,$G878,月間集計シート!O$134:O$153)*AT$2</f>
        <v>0</v>
      </c>
      <c r="AU878" s="88">
        <f>SUMIF(月間集計シート!$M$134:$M$153,$G878,月間集計シート!P$134:P$153)*AU$2</f>
        <v>0</v>
      </c>
      <c r="AV878" s="88">
        <f>SUMIF(月間集計シート!$M$134:$M$153,$G878,月間集計シート!Q$134:Q$153)*AV$2</f>
        <v>0</v>
      </c>
      <c r="AW878" s="88">
        <f>SUMIF(月間集計シート!$M$134:$M$153,$G878,月間集計シート!R$134:R$153)*AW$2</f>
        <v>0</v>
      </c>
      <c r="AX878" s="88">
        <f>SUMIF(月間集計シート!$M$134:$M$153,$G878,月間集計シート!S$134:S$153)*AX$2</f>
        <v>0</v>
      </c>
      <c r="AY878" s="88">
        <f>SUMIF(月間集計シート!$M$134:$M$153,$G878,月間集計シート!T$134:T$153)*AY$2</f>
        <v>0</v>
      </c>
    </row>
    <row r="879" spans="1:51" ht="14.25" thickBot="1">
      <c r="A879">
        <v>11</v>
      </c>
      <c r="B879" s="120">
        <f t="shared" si="464"/>
        <v>0</v>
      </c>
      <c r="C879" s="120" t="str">
        <f t="shared" si="465"/>
        <v/>
      </c>
      <c r="D879" s="137"/>
      <c r="E879" s="150" t="str">
        <f>工種!A21</f>
        <v>30109</v>
      </c>
      <c r="F879" s="119" t="str">
        <f>工種!B21</f>
        <v>製造：レビュー</v>
      </c>
      <c r="G879" s="116" t="str">
        <f t="shared" si="466"/>
        <v>030109</v>
      </c>
      <c r="H879" s="88">
        <f t="shared" si="420"/>
        <v>0</v>
      </c>
      <c r="I879" s="132"/>
      <c r="J879" s="88">
        <f>SUMIF(月間集計シート!$M$29:$M$48,$G879,月間集計シート!N$29:N$48)*J$2</f>
        <v>0</v>
      </c>
      <c r="K879" s="88">
        <f>SUMIF(月間集計シート!$M$29:$M$48,$G879,月間集計シート!O$29:O$48)*K$2</f>
        <v>0</v>
      </c>
      <c r="L879" s="88">
        <f>SUMIF(月間集計シート!$M$29:$M$48,$G879,月間集計シート!P$29:P$48)*L$2</f>
        <v>0</v>
      </c>
      <c r="M879" s="88">
        <f>SUMIF(月間集計シート!$M$29:$M$48,$G879,月間集計シート!Q$29:Q$48)*M$2</f>
        <v>0</v>
      </c>
      <c r="N879" s="88">
        <f>SUMIF(月間集計シート!$M$29:$M$48,$G879,月間集計シート!R$29:R$48)*N$2</f>
        <v>0</v>
      </c>
      <c r="O879" s="88">
        <f>SUMIF(月間集計シート!$M$29:$M$48,$G879,月間集計シート!S$29:S$48)*O$2</f>
        <v>0</v>
      </c>
      <c r="P879" s="88">
        <f>SUMIF(月間集計シート!$M$29:$M$48,$G879,月間集計シート!T$29:T$48)*P$2</f>
        <v>0</v>
      </c>
      <c r="Q879" s="88">
        <f>SUMIF(月間集計シート!$M$50:$M$69,$G879,月間集計シート!N$50:N$69)*Q$2</f>
        <v>0</v>
      </c>
      <c r="R879" s="88">
        <f>SUMIF(月間集計シート!$M$50:$M$69,$G879,月間集計シート!O$50:O$69)*R$2</f>
        <v>0</v>
      </c>
      <c r="S879" s="88">
        <f>SUMIF(月間集計シート!$M$50:$M$69,$G879,月間集計シート!P$50:P$69)*S$2</f>
        <v>0</v>
      </c>
      <c r="T879" s="88">
        <f>SUMIF(月間集計シート!$M$50:$M$69,$G879,月間集計シート!Q$50:Q$69)*T$2</f>
        <v>0</v>
      </c>
      <c r="U879" s="88">
        <f>SUMIF(月間集計シート!$M$50:$M$69,$G879,月間集計シート!R$50:R$69)*U$2</f>
        <v>0</v>
      </c>
      <c r="V879" s="88">
        <f>SUMIF(月間集計シート!$M$50:$M$69,$G879,月間集計シート!S$50:S$69)*V$2</f>
        <v>0</v>
      </c>
      <c r="W879" s="88">
        <f>SUMIF(月間集計シート!$M$50:$M$69,$G879,月間集計シート!T$50:T$69)*W$2</f>
        <v>0</v>
      </c>
      <c r="X879" s="88">
        <f>SUMIF(月間集計シート!$M$71:$M$90,$G879,月間集計シート!N$71:N$90)*X$2</f>
        <v>0</v>
      </c>
      <c r="Y879" s="88">
        <f>SUMIF(月間集計シート!$M$71:$M$90,$G879,月間集計シート!O$71:O$90)*Y$2</f>
        <v>0</v>
      </c>
      <c r="Z879" s="88">
        <f>SUMIF(月間集計シート!$M$71:$M$90,$G879,月間集計シート!P$71:P$90)*Z$2</f>
        <v>0</v>
      </c>
      <c r="AA879" s="88">
        <f>SUMIF(月間集計シート!$M$71:$M$90,$G879,月間集計シート!Q$71:Q$90)*AA$2</f>
        <v>0</v>
      </c>
      <c r="AB879" s="88">
        <f>SUMIF(月間集計シート!$M$71:$M$90,$G879,月間集計シート!R$71:R$90)*AB$2</f>
        <v>0</v>
      </c>
      <c r="AC879" s="88">
        <f>SUMIF(月間集計シート!$M$71:$M$90,$G879,月間集計シート!S$71:S$90)*AC$2</f>
        <v>0</v>
      </c>
      <c r="AD879" s="88">
        <f>SUMIF(月間集計シート!$M$71:$M$90,$G879,月間集計シート!T$71:T$90)*AD$2</f>
        <v>0</v>
      </c>
      <c r="AE879" s="88">
        <f>SUMIF(月間集計シート!$M$92:$M$111,$G879,月間集計シート!N$92:N$111)*AE$2</f>
        <v>0</v>
      </c>
      <c r="AF879" s="88">
        <f>SUMIF(月間集計シート!$M$92:$M$111,$G879,月間集計シート!O$92:O$111)*AF$2</f>
        <v>0</v>
      </c>
      <c r="AG879" s="88">
        <f>SUMIF(月間集計シート!$M$92:$M$111,$G879,月間集計シート!P$92:P$111)*AG$2</f>
        <v>0</v>
      </c>
      <c r="AH879" s="88">
        <f>SUMIF(月間集計シート!$M$92:$M$111,$G879,月間集計シート!Q$92:Q$111)*AH$2</f>
        <v>0</v>
      </c>
      <c r="AI879" s="88">
        <f>SUMIF(月間集計シート!$M$92:$M$111,$G879,月間集計シート!R$92:R$111)*AI$2</f>
        <v>0</v>
      </c>
      <c r="AJ879" s="88">
        <f>SUMIF(月間集計シート!$M$92:$M$111,$G879,月間集計シート!S$92:S$111)*AJ$2</f>
        <v>0</v>
      </c>
      <c r="AK879" s="88">
        <f>SUMIF(月間集計シート!$M$92:$M$111,$G879,月間集計シート!T$92:T$111)*AK$2</f>
        <v>0</v>
      </c>
      <c r="AL879" s="88">
        <f>SUMIF(月間集計シート!$M$113:$M$132,$G879,月間集計シート!N$113:N$132)*AL$2</f>
        <v>0</v>
      </c>
      <c r="AM879" s="88">
        <f>SUMIF(月間集計シート!$M$113:$M$132,$G879,月間集計シート!O$113:O$132)*AM$2</f>
        <v>0</v>
      </c>
      <c r="AN879" s="88">
        <f>SUMIF(月間集計シート!$M$113:$M$132,$G879,月間集計シート!P$113:P$132)*AN$2</f>
        <v>0</v>
      </c>
      <c r="AO879" s="88">
        <f>SUMIF(月間集計シート!$M$113:$M$132,$G879,月間集計シート!Q$113:Q$132)*AO$2</f>
        <v>0</v>
      </c>
      <c r="AP879" s="88">
        <f>SUMIF(月間集計シート!$M$113:$M$132,$G879,月間集計シート!R$113:R$132)*AP$2</f>
        <v>0</v>
      </c>
      <c r="AQ879" s="88">
        <f>SUMIF(月間集計シート!$M$113:$M$132,$G879,月間集計シート!S$113:S$132)*AQ$2</f>
        <v>0</v>
      </c>
      <c r="AR879" s="88">
        <f>SUMIF(月間集計シート!$M$113:$M$132,$G879,月間集計シート!T$113:T$132)*AR$2</f>
        <v>0</v>
      </c>
      <c r="AS879" s="88">
        <f>SUMIF(月間集計シート!$M$134:$M$153,$G879,月間集計シート!N$134:N$153)*AS$2</f>
        <v>0</v>
      </c>
      <c r="AT879" s="88">
        <f>SUMIF(月間集計シート!$M$134:$M$153,$G879,月間集計シート!O$134:O$153)*AT$2</f>
        <v>0</v>
      </c>
      <c r="AU879" s="88">
        <f>SUMIF(月間集計シート!$M$134:$M$153,$G879,月間集計シート!P$134:P$153)*AU$2</f>
        <v>0</v>
      </c>
      <c r="AV879" s="88">
        <f>SUMIF(月間集計シート!$M$134:$M$153,$G879,月間集計シート!Q$134:Q$153)*AV$2</f>
        <v>0</v>
      </c>
      <c r="AW879" s="88">
        <f>SUMIF(月間集計シート!$M$134:$M$153,$G879,月間集計シート!R$134:R$153)*AW$2</f>
        <v>0</v>
      </c>
      <c r="AX879" s="88">
        <f>SUMIF(月間集計シート!$M$134:$M$153,$G879,月間集計シート!S$134:S$153)*AX$2</f>
        <v>0</v>
      </c>
      <c r="AY879" s="88">
        <f>SUMIF(月間集計シート!$M$134:$M$153,$G879,月間集計シート!T$134:T$153)*AY$2</f>
        <v>0</v>
      </c>
    </row>
    <row r="880" spans="1:51" ht="14.25" thickBot="1">
      <c r="A880">
        <v>11</v>
      </c>
      <c r="B880" s="120">
        <f t="shared" si="464"/>
        <v>0</v>
      </c>
      <c r="C880" s="120" t="str">
        <f t="shared" si="465"/>
        <v/>
      </c>
      <c r="D880" s="137"/>
      <c r="E880" s="150" t="str">
        <f>工種!A22</f>
        <v>30199</v>
      </c>
      <c r="F880" s="119" t="str">
        <f>工種!B22</f>
        <v>製造：その他</v>
      </c>
      <c r="G880" s="116" t="str">
        <f t="shared" si="466"/>
        <v>030199</v>
      </c>
      <c r="H880" s="88">
        <f t="shared" si="420"/>
        <v>0</v>
      </c>
      <c r="I880" s="132"/>
      <c r="J880" s="88">
        <f>SUMIF(月間集計シート!$M$29:$M$48,$G880,月間集計シート!N$29:N$48)*J$2</f>
        <v>0</v>
      </c>
      <c r="K880" s="88">
        <f>SUMIF(月間集計シート!$M$29:$M$48,$G880,月間集計シート!O$29:O$48)*K$2</f>
        <v>0</v>
      </c>
      <c r="L880" s="88">
        <f>SUMIF(月間集計シート!$M$29:$M$48,$G880,月間集計シート!P$29:P$48)*L$2</f>
        <v>0</v>
      </c>
      <c r="M880" s="88">
        <f>SUMIF(月間集計シート!$M$29:$M$48,$G880,月間集計シート!Q$29:Q$48)*M$2</f>
        <v>0</v>
      </c>
      <c r="N880" s="88">
        <f>SUMIF(月間集計シート!$M$29:$M$48,$G880,月間集計シート!R$29:R$48)*N$2</f>
        <v>0</v>
      </c>
      <c r="O880" s="88">
        <f>SUMIF(月間集計シート!$M$29:$M$48,$G880,月間集計シート!S$29:S$48)*O$2</f>
        <v>0</v>
      </c>
      <c r="P880" s="88">
        <f>SUMIF(月間集計シート!$M$29:$M$48,$G880,月間集計シート!T$29:T$48)*P$2</f>
        <v>0</v>
      </c>
      <c r="Q880" s="88">
        <f>SUMIF(月間集計シート!$M$50:$M$69,$G880,月間集計シート!N$50:N$69)*Q$2</f>
        <v>0</v>
      </c>
      <c r="R880" s="88">
        <f>SUMIF(月間集計シート!$M$50:$M$69,$G880,月間集計シート!O$50:O$69)*R$2</f>
        <v>0</v>
      </c>
      <c r="S880" s="88">
        <f>SUMIF(月間集計シート!$M$50:$M$69,$G880,月間集計シート!P$50:P$69)*S$2</f>
        <v>0</v>
      </c>
      <c r="T880" s="88">
        <f>SUMIF(月間集計シート!$M$50:$M$69,$G880,月間集計シート!Q$50:Q$69)*T$2</f>
        <v>0</v>
      </c>
      <c r="U880" s="88">
        <f>SUMIF(月間集計シート!$M$50:$M$69,$G880,月間集計シート!R$50:R$69)*U$2</f>
        <v>0</v>
      </c>
      <c r="V880" s="88">
        <f>SUMIF(月間集計シート!$M$50:$M$69,$G880,月間集計シート!S$50:S$69)*V$2</f>
        <v>0</v>
      </c>
      <c r="W880" s="88">
        <f>SUMIF(月間集計シート!$M$50:$M$69,$G880,月間集計シート!T$50:T$69)*W$2</f>
        <v>0</v>
      </c>
      <c r="X880" s="88">
        <f>SUMIF(月間集計シート!$M$71:$M$90,$G880,月間集計シート!N$71:N$90)*X$2</f>
        <v>0</v>
      </c>
      <c r="Y880" s="88">
        <f>SUMIF(月間集計シート!$M$71:$M$90,$G880,月間集計シート!O$71:O$90)*Y$2</f>
        <v>0</v>
      </c>
      <c r="Z880" s="88">
        <f>SUMIF(月間集計シート!$M$71:$M$90,$G880,月間集計シート!P$71:P$90)*Z$2</f>
        <v>0</v>
      </c>
      <c r="AA880" s="88">
        <f>SUMIF(月間集計シート!$M$71:$M$90,$G880,月間集計シート!Q$71:Q$90)*AA$2</f>
        <v>0</v>
      </c>
      <c r="AB880" s="88">
        <f>SUMIF(月間集計シート!$M$71:$M$90,$G880,月間集計シート!R$71:R$90)*AB$2</f>
        <v>0</v>
      </c>
      <c r="AC880" s="88">
        <f>SUMIF(月間集計シート!$M$71:$M$90,$G880,月間集計シート!S$71:S$90)*AC$2</f>
        <v>0</v>
      </c>
      <c r="AD880" s="88">
        <f>SUMIF(月間集計シート!$M$71:$M$90,$G880,月間集計シート!T$71:T$90)*AD$2</f>
        <v>0</v>
      </c>
      <c r="AE880" s="88">
        <f>SUMIF(月間集計シート!$M$92:$M$111,$G880,月間集計シート!N$92:N$111)*AE$2</f>
        <v>0</v>
      </c>
      <c r="AF880" s="88">
        <f>SUMIF(月間集計シート!$M$92:$M$111,$G880,月間集計シート!O$92:O$111)*AF$2</f>
        <v>0</v>
      </c>
      <c r="AG880" s="88">
        <f>SUMIF(月間集計シート!$M$92:$M$111,$G880,月間集計シート!P$92:P$111)*AG$2</f>
        <v>0</v>
      </c>
      <c r="AH880" s="88">
        <f>SUMIF(月間集計シート!$M$92:$M$111,$G880,月間集計シート!Q$92:Q$111)*AH$2</f>
        <v>0</v>
      </c>
      <c r="AI880" s="88">
        <f>SUMIF(月間集計シート!$M$92:$M$111,$G880,月間集計シート!R$92:R$111)*AI$2</f>
        <v>0</v>
      </c>
      <c r="AJ880" s="88">
        <f>SUMIF(月間集計シート!$M$92:$M$111,$G880,月間集計シート!S$92:S$111)*AJ$2</f>
        <v>0</v>
      </c>
      <c r="AK880" s="88">
        <f>SUMIF(月間集計シート!$M$92:$M$111,$G880,月間集計シート!T$92:T$111)*AK$2</f>
        <v>0</v>
      </c>
      <c r="AL880" s="88">
        <f>SUMIF(月間集計シート!$M$113:$M$132,$G880,月間集計シート!N$113:N$132)*AL$2</f>
        <v>0</v>
      </c>
      <c r="AM880" s="88">
        <f>SUMIF(月間集計シート!$M$113:$M$132,$G880,月間集計シート!O$113:O$132)*AM$2</f>
        <v>0</v>
      </c>
      <c r="AN880" s="88">
        <f>SUMIF(月間集計シート!$M$113:$M$132,$G880,月間集計シート!P$113:P$132)*AN$2</f>
        <v>0</v>
      </c>
      <c r="AO880" s="88">
        <f>SUMIF(月間集計シート!$M$113:$M$132,$G880,月間集計シート!Q$113:Q$132)*AO$2</f>
        <v>0</v>
      </c>
      <c r="AP880" s="88">
        <f>SUMIF(月間集計シート!$M$113:$M$132,$G880,月間集計シート!R$113:R$132)*AP$2</f>
        <v>0</v>
      </c>
      <c r="AQ880" s="88">
        <f>SUMIF(月間集計シート!$M$113:$M$132,$G880,月間集計シート!S$113:S$132)*AQ$2</f>
        <v>0</v>
      </c>
      <c r="AR880" s="88">
        <f>SUMIF(月間集計シート!$M$113:$M$132,$G880,月間集計シート!T$113:T$132)*AR$2</f>
        <v>0</v>
      </c>
      <c r="AS880" s="88">
        <f>SUMIF(月間集計シート!$M$134:$M$153,$G880,月間集計シート!N$134:N$153)*AS$2</f>
        <v>0</v>
      </c>
      <c r="AT880" s="88">
        <f>SUMIF(月間集計シート!$M$134:$M$153,$G880,月間集計シート!O$134:O$153)*AT$2</f>
        <v>0</v>
      </c>
      <c r="AU880" s="88">
        <f>SUMIF(月間集計シート!$M$134:$M$153,$G880,月間集計シート!P$134:P$153)*AU$2</f>
        <v>0</v>
      </c>
      <c r="AV880" s="88">
        <f>SUMIF(月間集計シート!$M$134:$M$153,$G880,月間集計シート!Q$134:Q$153)*AV$2</f>
        <v>0</v>
      </c>
      <c r="AW880" s="88">
        <f>SUMIF(月間集計シート!$M$134:$M$153,$G880,月間集計シート!R$134:R$153)*AW$2</f>
        <v>0</v>
      </c>
      <c r="AX880" s="88">
        <f>SUMIF(月間集計シート!$M$134:$M$153,$G880,月間集計シート!S$134:S$153)*AX$2</f>
        <v>0</v>
      </c>
      <c r="AY880" s="88">
        <f>SUMIF(月間集計シート!$M$134:$M$153,$G880,月間集計シート!T$134:T$153)*AY$2</f>
        <v>0</v>
      </c>
    </row>
    <row r="881" spans="1:51" ht="14.25" thickBot="1">
      <c r="A881">
        <v>11</v>
      </c>
      <c r="B881" s="120">
        <f t="shared" si="464"/>
        <v>0</v>
      </c>
      <c r="C881" s="120" t="str">
        <f t="shared" si="465"/>
        <v/>
      </c>
      <c r="D881" s="137"/>
      <c r="E881" s="150" t="str">
        <f>工種!A23</f>
        <v>40101</v>
      </c>
      <c r="F881" s="119" t="str">
        <f>工種!B23</f>
        <v>テスト：結合テスト実施</v>
      </c>
      <c r="G881" s="116" t="str">
        <f t="shared" si="466"/>
        <v>040101</v>
      </c>
      <c r="H881" s="88">
        <f t="shared" si="420"/>
        <v>0</v>
      </c>
      <c r="I881" s="132"/>
      <c r="J881" s="88">
        <f>SUMIF(月間集計シート!$M$29:$M$48,$G881,月間集計シート!N$29:N$48)*J$2</f>
        <v>0</v>
      </c>
      <c r="K881" s="88">
        <f>SUMIF(月間集計シート!$M$29:$M$48,$G881,月間集計シート!O$29:O$48)*K$2</f>
        <v>0</v>
      </c>
      <c r="L881" s="88">
        <f>SUMIF(月間集計シート!$M$29:$M$48,$G881,月間集計シート!P$29:P$48)*L$2</f>
        <v>0</v>
      </c>
      <c r="M881" s="88">
        <f>SUMIF(月間集計シート!$M$29:$M$48,$G881,月間集計シート!Q$29:Q$48)*M$2</f>
        <v>0</v>
      </c>
      <c r="N881" s="88">
        <f>SUMIF(月間集計シート!$M$29:$M$48,$G881,月間集計シート!R$29:R$48)*N$2</f>
        <v>0</v>
      </c>
      <c r="O881" s="88">
        <f>SUMIF(月間集計シート!$M$29:$M$48,$G881,月間集計シート!S$29:S$48)*O$2</f>
        <v>0</v>
      </c>
      <c r="P881" s="88">
        <f>SUMIF(月間集計シート!$M$29:$M$48,$G881,月間集計シート!T$29:T$48)*P$2</f>
        <v>0</v>
      </c>
      <c r="Q881" s="88">
        <f>SUMIF(月間集計シート!$M$50:$M$69,$G881,月間集計シート!N$50:N$69)*Q$2</f>
        <v>0</v>
      </c>
      <c r="R881" s="88">
        <f>SUMIF(月間集計シート!$M$50:$M$69,$G881,月間集計シート!O$50:O$69)*R$2</f>
        <v>0</v>
      </c>
      <c r="S881" s="88">
        <f>SUMIF(月間集計シート!$M$50:$M$69,$G881,月間集計シート!P$50:P$69)*S$2</f>
        <v>0</v>
      </c>
      <c r="T881" s="88">
        <f>SUMIF(月間集計シート!$M$50:$M$69,$G881,月間集計シート!Q$50:Q$69)*T$2</f>
        <v>0</v>
      </c>
      <c r="U881" s="88">
        <f>SUMIF(月間集計シート!$M$50:$M$69,$G881,月間集計シート!R$50:R$69)*U$2</f>
        <v>0</v>
      </c>
      <c r="V881" s="88">
        <f>SUMIF(月間集計シート!$M$50:$M$69,$G881,月間集計シート!S$50:S$69)*V$2</f>
        <v>0</v>
      </c>
      <c r="W881" s="88">
        <f>SUMIF(月間集計シート!$M$50:$M$69,$G881,月間集計シート!T$50:T$69)*W$2</f>
        <v>0</v>
      </c>
      <c r="X881" s="88">
        <f>SUMIF(月間集計シート!$M$71:$M$90,$G881,月間集計シート!N$71:N$90)*X$2</f>
        <v>0</v>
      </c>
      <c r="Y881" s="88">
        <f>SUMIF(月間集計シート!$M$71:$M$90,$G881,月間集計シート!O$71:O$90)*Y$2</f>
        <v>0</v>
      </c>
      <c r="Z881" s="88">
        <f>SUMIF(月間集計シート!$M$71:$M$90,$G881,月間集計シート!P$71:P$90)*Z$2</f>
        <v>0</v>
      </c>
      <c r="AA881" s="88">
        <f>SUMIF(月間集計シート!$M$71:$M$90,$G881,月間集計シート!Q$71:Q$90)*AA$2</f>
        <v>0</v>
      </c>
      <c r="AB881" s="88">
        <f>SUMIF(月間集計シート!$M$71:$M$90,$G881,月間集計シート!R$71:R$90)*AB$2</f>
        <v>0</v>
      </c>
      <c r="AC881" s="88">
        <f>SUMIF(月間集計シート!$M$71:$M$90,$G881,月間集計シート!S$71:S$90)*AC$2</f>
        <v>0</v>
      </c>
      <c r="AD881" s="88">
        <f>SUMIF(月間集計シート!$M$71:$M$90,$G881,月間集計シート!T$71:T$90)*AD$2</f>
        <v>0</v>
      </c>
      <c r="AE881" s="88">
        <f>SUMIF(月間集計シート!$M$92:$M$111,$G881,月間集計シート!N$92:N$111)*AE$2</f>
        <v>0</v>
      </c>
      <c r="AF881" s="88">
        <f>SUMIF(月間集計シート!$M$92:$M$111,$G881,月間集計シート!O$92:O$111)*AF$2</f>
        <v>0</v>
      </c>
      <c r="AG881" s="88">
        <f>SUMIF(月間集計シート!$M$92:$M$111,$G881,月間集計シート!P$92:P$111)*AG$2</f>
        <v>0</v>
      </c>
      <c r="AH881" s="88">
        <f>SUMIF(月間集計シート!$M$92:$M$111,$G881,月間集計シート!Q$92:Q$111)*AH$2</f>
        <v>0</v>
      </c>
      <c r="AI881" s="88">
        <f>SUMIF(月間集計シート!$M$92:$M$111,$G881,月間集計シート!R$92:R$111)*AI$2</f>
        <v>0</v>
      </c>
      <c r="AJ881" s="88">
        <f>SUMIF(月間集計シート!$M$92:$M$111,$G881,月間集計シート!S$92:S$111)*AJ$2</f>
        <v>0</v>
      </c>
      <c r="AK881" s="88">
        <f>SUMIF(月間集計シート!$M$92:$M$111,$G881,月間集計シート!T$92:T$111)*AK$2</f>
        <v>0</v>
      </c>
      <c r="AL881" s="88">
        <f>SUMIF(月間集計シート!$M$113:$M$132,$G881,月間集計シート!N$113:N$132)*AL$2</f>
        <v>0</v>
      </c>
      <c r="AM881" s="88">
        <f>SUMIF(月間集計シート!$M$113:$M$132,$G881,月間集計シート!O$113:O$132)*AM$2</f>
        <v>0</v>
      </c>
      <c r="AN881" s="88">
        <f>SUMIF(月間集計シート!$M$113:$M$132,$G881,月間集計シート!P$113:P$132)*AN$2</f>
        <v>0</v>
      </c>
      <c r="AO881" s="88">
        <f>SUMIF(月間集計シート!$M$113:$M$132,$G881,月間集計シート!Q$113:Q$132)*AO$2</f>
        <v>0</v>
      </c>
      <c r="AP881" s="88">
        <f>SUMIF(月間集計シート!$M$113:$M$132,$G881,月間集計シート!R$113:R$132)*AP$2</f>
        <v>0</v>
      </c>
      <c r="AQ881" s="88">
        <f>SUMIF(月間集計シート!$M$113:$M$132,$G881,月間集計シート!S$113:S$132)*AQ$2</f>
        <v>0</v>
      </c>
      <c r="AR881" s="88">
        <f>SUMIF(月間集計シート!$M$113:$M$132,$G881,月間集計シート!T$113:T$132)*AR$2</f>
        <v>0</v>
      </c>
      <c r="AS881" s="88">
        <f>SUMIF(月間集計シート!$M$134:$M$153,$G881,月間集計シート!N$134:N$153)*AS$2</f>
        <v>0</v>
      </c>
      <c r="AT881" s="88">
        <f>SUMIF(月間集計シート!$M$134:$M$153,$G881,月間集計シート!O$134:O$153)*AT$2</f>
        <v>0</v>
      </c>
      <c r="AU881" s="88">
        <f>SUMIF(月間集計シート!$M$134:$M$153,$G881,月間集計シート!P$134:P$153)*AU$2</f>
        <v>0</v>
      </c>
      <c r="AV881" s="88">
        <f>SUMIF(月間集計シート!$M$134:$M$153,$G881,月間集計シート!Q$134:Q$153)*AV$2</f>
        <v>0</v>
      </c>
      <c r="AW881" s="88">
        <f>SUMIF(月間集計シート!$M$134:$M$153,$G881,月間集計シート!R$134:R$153)*AW$2</f>
        <v>0</v>
      </c>
      <c r="AX881" s="88">
        <f>SUMIF(月間集計シート!$M$134:$M$153,$G881,月間集計シート!S$134:S$153)*AX$2</f>
        <v>0</v>
      </c>
      <c r="AY881" s="88">
        <f>SUMIF(月間集計シート!$M$134:$M$153,$G881,月間集計シート!T$134:T$153)*AY$2</f>
        <v>0</v>
      </c>
    </row>
    <row r="882" spans="1:51" ht="14.25" thickBot="1">
      <c r="A882">
        <v>11</v>
      </c>
      <c r="B882" s="120">
        <f t="shared" si="464"/>
        <v>0</v>
      </c>
      <c r="C882" s="120" t="str">
        <f t="shared" si="465"/>
        <v/>
      </c>
      <c r="D882" s="137"/>
      <c r="E882" s="150" t="str">
        <f>工種!A24</f>
        <v>40102</v>
      </c>
      <c r="F882" s="119" t="str">
        <f>工種!B24</f>
        <v>テスト：システムテスト実施</v>
      </c>
      <c r="G882" s="116" t="str">
        <f t="shared" si="466"/>
        <v>040102</v>
      </c>
      <c r="H882" s="88">
        <f t="shared" si="420"/>
        <v>0</v>
      </c>
      <c r="I882" s="132"/>
      <c r="J882" s="88">
        <f>SUMIF(月間集計シート!$M$29:$M$48,$G882,月間集計シート!N$29:N$48)*J$2</f>
        <v>0</v>
      </c>
      <c r="K882" s="88">
        <f>SUMIF(月間集計シート!$M$29:$M$48,$G882,月間集計シート!O$29:O$48)*K$2</f>
        <v>0</v>
      </c>
      <c r="L882" s="88">
        <f>SUMIF(月間集計シート!$M$29:$M$48,$G882,月間集計シート!P$29:P$48)*L$2</f>
        <v>0</v>
      </c>
      <c r="M882" s="88">
        <f>SUMIF(月間集計シート!$M$29:$M$48,$G882,月間集計シート!Q$29:Q$48)*M$2</f>
        <v>0</v>
      </c>
      <c r="N882" s="88">
        <f>SUMIF(月間集計シート!$M$29:$M$48,$G882,月間集計シート!R$29:R$48)*N$2</f>
        <v>0</v>
      </c>
      <c r="O882" s="88">
        <f>SUMIF(月間集計シート!$M$29:$M$48,$G882,月間集計シート!S$29:S$48)*O$2</f>
        <v>0</v>
      </c>
      <c r="P882" s="88">
        <f>SUMIF(月間集計シート!$M$29:$M$48,$G882,月間集計シート!T$29:T$48)*P$2</f>
        <v>0</v>
      </c>
      <c r="Q882" s="88">
        <f>SUMIF(月間集計シート!$M$50:$M$69,$G882,月間集計シート!N$50:N$69)*Q$2</f>
        <v>0</v>
      </c>
      <c r="R882" s="88">
        <f>SUMIF(月間集計シート!$M$50:$M$69,$G882,月間集計シート!O$50:O$69)*R$2</f>
        <v>0</v>
      </c>
      <c r="S882" s="88">
        <f>SUMIF(月間集計シート!$M$50:$M$69,$G882,月間集計シート!P$50:P$69)*S$2</f>
        <v>0</v>
      </c>
      <c r="T882" s="88">
        <f>SUMIF(月間集計シート!$M$50:$M$69,$G882,月間集計シート!Q$50:Q$69)*T$2</f>
        <v>0</v>
      </c>
      <c r="U882" s="88">
        <f>SUMIF(月間集計シート!$M$50:$M$69,$G882,月間集計シート!R$50:R$69)*U$2</f>
        <v>0</v>
      </c>
      <c r="V882" s="88">
        <f>SUMIF(月間集計シート!$M$50:$M$69,$G882,月間集計シート!S$50:S$69)*V$2</f>
        <v>0</v>
      </c>
      <c r="W882" s="88">
        <f>SUMIF(月間集計シート!$M$50:$M$69,$G882,月間集計シート!T$50:T$69)*W$2</f>
        <v>0</v>
      </c>
      <c r="X882" s="88">
        <f>SUMIF(月間集計シート!$M$71:$M$90,$G882,月間集計シート!N$71:N$90)*X$2</f>
        <v>0</v>
      </c>
      <c r="Y882" s="88">
        <f>SUMIF(月間集計シート!$M$71:$M$90,$G882,月間集計シート!O$71:O$90)*Y$2</f>
        <v>0</v>
      </c>
      <c r="Z882" s="88">
        <f>SUMIF(月間集計シート!$M$71:$M$90,$G882,月間集計シート!P$71:P$90)*Z$2</f>
        <v>0</v>
      </c>
      <c r="AA882" s="88">
        <f>SUMIF(月間集計シート!$M$71:$M$90,$G882,月間集計シート!Q$71:Q$90)*AA$2</f>
        <v>0</v>
      </c>
      <c r="AB882" s="88">
        <f>SUMIF(月間集計シート!$M$71:$M$90,$G882,月間集計シート!R$71:R$90)*AB$2</f>
        <v>0</v>
      </c>
      <c r="AC882" s="88">
        <f>SUMIF(月間集計シート!$M$71:$M$90,$G882,月間集計シート!S$71:S$90)*AC$2</f>
        <v>0</v>
      </c>
      <c r="AD882" s="88">
        <f>SUMIF(月間集計シート!$M$71:$M$90,$G882,月間集計シート!T$71:T$90)*AD$2</f>
        <v>0</v>
      </c>
      <c r="AE882" s="88">
        <f>SUMIF(月間集計シート!$M$92:$M$111,$G882,月間集計シート!N$92:N$111)*AE$2</f>
        <v>0</v>
      </c>
      <c r="AF882" s="88">
        <f>SUMIF(月間集計シート!$M$92:$M$111,$G882,月間集計シート!O$92:O$111)*AF$2</f>
        <v>0</v>
      </c>
      <c r="AG882" s="88">
        <f>SUMIF(月間集計シート!$M$92:$M$111,$G882,月間集計シート!P$92:P$111)*AG$2</f>
        <v>0</v>
      </c>
      <c r="AH882" s="88">
        <f>SUMIF(月間集計シート!$M$92:$M$111,$G882,月間集計シート!Q$92:Q$111)*AH$2</f>
        <v>0</v>
      </c>
      <c r="AI882" s="88">
        <f>SUMIF(月間集計シート!$M$92:$M$111,$G882,月間集計シート!R$92:R$111)*AI$2</f>
        <v>0</v>
      </c>
      <c r="AJ882" s="88">
        <f>SUMIF(月間集計シート!$M$92:$M$111,$G882,月間集計シート!S$92:S$111)*AJ$2</f>
        <v>0</v>
      </c>
      <c r="AK882" s="88">
        <f>SUMIF(月間集計シート!$M$92:$M$111,$G882,月間集計シート!T$92:T$111)*AK$2</f>
        <v>0</v>
      </c>
      <c r="AL882" s="88">
        <f>SUMIF(月間集計シート!$M$113:$M$132,$G882,月間集計シート!N$113:N$132)*AL$2</f>
        <v>0</v>
      </c>
      <c r="AM882" s="88">
        <f>SUMIF(月間集計シート!$M$113:$M$132,$G882,月間集計シート!O$113:O$132)*AM$2</f>
        <v>0</v>
      </c>
      <c r="AN882" s="88">
        <f>SUMIF(月間集計シート!$M$113:$M$132,$G882,月間集計シート!P$113:P$132)*AN$2</f>
        <v>0</v>
      </c>
      <c r="AO882" s="88">
        <f>SUMIF(月間集計シート!$M$113:$M$132,$G882,月間集計シート!Q$113:Q$132)*AO$2</f>
        <v>0</v>
      </c>
      <c r="AP882" s="88">
        <f>SUMIF(月間集計シート!$M$113:$M$132,$G882,月間集計シート!R$113:R$132)*AP$2</f>
        <v>0</v>
      </c>
      <c r="AQ882" s="88">
        <f>SUMIF(月間集計シート!$M$113:$M$132,$G882,月間集計シート!S$113:S$132)*AQ$2</f>
        <v>0</v>
      </c>
      <c r="AR882" s="88">
        <f>SUMIF(月間集計シート!$M$113:$M$132,$G882,月間集計シート!T$113:T$132)*AR$2</f>
        <v>0</v>
      </c>
      <c r="AS882" s="88">
        <f>SUMIF(月間集計シート!$M$134:$M$153,$G882,月間集計シート!N$134:N$153)*AS$2</f>
        <v>0</v>
      </c>
      <c r="AT882" s="88">
        <f>SUMIF(月間集計シート!$M$134:$M$153,$G882,月間集計シート!O$134:O$153)*AT$2</f>
        <v>0</v>
      </c>
      <c r="AU882" s="88">
        <f>SUMIF(月間集計シート!$M$134:$M$153,$G882,月間集計シート!P$134:P$153)*AU$2</f>
        <v>0</v>
      </c>
      <c r="AV882" s="88">
        <f>SUMIF(月間集計シート!$M$134:$M$153,$G882,月間集計シート!Q$134:Q$153)*AV$2</f>
        <v>0</v>
      </c>
      <c r="AW882" s="88">
        <f>SUMIF(月間集計シート!$M$134:$M$153,$G882,月間集計シート!R$134:R$153)*AW$2</f>
        <v>0</v>
      </c>
      <c r="AX882" s="88">
        <f>SUMIF(月間集計シート!$M$134:$M$153,$G882,月間集計シート!S$134:S$153)*AX$2</f>
        <v>0</v>
      </c>
      <c r="AY882" s="88">
        <f>SUMIF(月間集計シート!$M$134:$M$153,$G882,月間集計シート!T$134:T$153)*AY$2</f>
        <v>0</v>
      </c>
    </row>
    <row r="883" spans="1:51" ht="14.25" thickBot="1">
      <c r="A883">
        <v>11</v>
      </c>
      <c r="B883" s="120">
        <f t="shared" si="464"/>
        <v>0</v>
      </c>
      <c r="C883" s="120" t="str">
        <f t="shared" si="465"/>
        <v/>
      </c>
      <c r="D883" s="137"/>
      <c r="E883" s="150" t="str">
        <f>工種!A25</f>
        <v>40103</v>
      </c>
      <c r="F883" s="119" t="str">
        <f>工種!B25</f>
        <v>テスト：テスト計画書作成</v>
      </c>
      <c r="G883" s="116" t="str">
        <f t="shared" si="466"/>
        <v>040103</v>
      </c>
      <c r="H883" s="88">
        <f t="shared" si="420"/>
        <v>0</v>
      </c>
      <c r="I883" s="132"/>
      <c r="J883" s="88">
        <f>SUMIF(月間集計シート!$M$29:$M$48,$G883,月間集計シート!N$29:N$48)*J$2</f>
        <v>0</v>
      </c>
      <c r="K883" s="88">
        <f>SUMIF(月間集計シート!$M$29:$M$48,$G883,月間集計シート!O$29:O$48)*K$2</f>
        <v>0</v>
      </c>
      <c r="L883" s="88">
        <f>SUMIF(月間集計シート!$M$29:$M$48,$G883,月間集計シート!P$29:P$48)*L$2</f>
        <v>0</v>
      </c>
      <c r="M883" s="88">
        <f>SUMIF(月間集計シート!$M$29:$M$48,$G883,月間集計シート!Q$29:Q$48)*M$2</f>
        <v>0</v>
      </c>
      <c r="N883" s="88">
        <f>SUMIF(月間集計シート!$M$29:$M$48,$G883,月間集計シート!R$29:R$48)*N$2</f>
        <v>0</v>
      </c>
      <c r="O883" s="88">
        <f>SUMIF(月間集計シート!$M$29:$M$48,$G883,月間集計シート!S$29:S$48)*O$2</f>
        <v>0</v>
      </c>
      <c r="P883" s="88">
        <f>SUMIF(月間集計シート!$M$29:$M$48,$G883,月間集計シート!T$29:T$48)*P$2</f>
        <v>0</v>
      </c>
      <c r="Q883" s="88">
        <f>SUMIF(月間集計シート!$M$50:$M$69,$G883,月間集計シート!N$50:N$69)*Q$2</f>
        <v>0</v>
      </c>
      <c r="R883" s="88">
        <f>SUMIF(月間集計シート!$M$50:$M$69,$G883,月間集計シート!O$50:O$69)*R$2</f>
        <v>0</v>
      </c>
      <c r="S883" s="88">
        <f>SUMIF(月間集計シート!$M$50:$M$69,$G883,月間集計シート!P$50:P$69)*S$2</f>
        <v>0</v>
      </c>
      <c r="T883" s="88">
        <f>SUMIF(月間集計シート!$M$50:$M$69,$G883,月間集計シート!Q$50:Q$69)*T$2</f>
        <v>0</v>
      </c>
      <c r="U883" s="88">
        <f>SUMIF(月間集計シート!$M$50:$M$69,$G883,月間集計シート!R$50:R$69)*U$2</f>
        <v>0</v>
      </c>
      <c r="V883" s="88">
        <f>SUMIF(月間集計シート!$M$50:$M$69,$G883,月間集計シート!S$50:S$69)*V$2</f>
        <v>0</v>
      </c>
      <c r="W883" s="88">
        <f>SUMIF(月間集計シート!$M$50:$M$69,$G883,月間集計シート!T$50:T$69)*W$2</f>
        <v>0</v>
      </c>
      <c r="X883" s="88">
        <f>SUMIF(月間集計シート!$M$71:$M$90,$G883,月間集計シート!N$71:N$90)*X$2</f>
        <v>0</v>
      </c>
      <c r="Y883" s="88">
        <f>SUMIF(月間集計シート!$M$71:$M$90,$G883,月間集計シート!O$71:O$90)*Y$2</f>
        <v>0</v>
      </c>
      <c r="Z883" s="88">
        <f>SUMIF(月間集計シート!$M$71:$M$90,$G883,月間集計シート!P$71:P$90)*Z$2</f>
        <v>0</v>
      </c>
      <c r="AA883" s="88">
        <f>SUMIF(月間集計シート!$M$71:$M$90,$G883,月間集計シート!Q$71:Q$90)*AA$2</f>
        <v>0</v>
      </c>
      <c r="AB883" s="88">
        <f>SUMIF(月間集計シート!$M$71:$M$90,$G883,月間集計シート!R$71:R$90)*AB$2</f>
        <v>0</v>
      </c>
      <c r="AC883" s="88">
        <f>SUMIF(月間集計シート!$M$71:$M$90,$G883,月間集計シート!S$71:S$90)*AC$2</f>
        <v>0</v>
      </c>
      <c r="AD883" s="88">
        <f>SUMIF(月間集計シート!$M$71:$M$90,$G883,月間集計シート!T$71:T$90)*AD$2</f>
        <v>0</v>
      </c>
      <c r="AE883" s="88">
        <f>SUMIF(月間集計シート!$M$92:$M$111,$G883,月間集計シート!N$92:N$111)*AE$2</f>
        <v>0</v>
      </c>
      <c r="AF883" s="88">
        <f>SUMIF(月間集計シート!$M$92:$M$111,$G883,月間集計シート!O$92:O$111)*AF$2</f>
        <v>0</v>
      </c>
      <c r="AG883" s="88">
        <f>SUMIF(月間集計シート!$M$92:$M$111,$G883,月間集計シート!P$92:P$111)*AG$2</f>
        <v>0</v>
      </c>
      <c r="AH883" s="88">
        <f>SUMIF(月間集計シート!$M$92:$M$111,$G883,月間集計シート!Q$92:Q$111)*AH$2</f>
        <v>0</v>
      </c>
      <c r="AI883" s="88">
        <f>SUMIF(月間集計シート!$M$92:$M$111,$G883,月間集計シート!R$92:R$111)*AI$2</f>
        <v>0</v>
      </c>
      <c r="AJ883" s="88">
        <f>SUMIF(月間集計シート!$M$92:$M$111,$G883,月間集計シート!S$92:S$111)*AJ$2</f>
        <v>0</v>
      </c>
      <c r="AK883" s="88">
        <f>SUMIF(月間集計シート!$M$92:$M$111,$G883,月間集計シート!T$92:T$111)*AK$2</f>
        <v>0</v>
      </c>
      <c r="AL883" s="88">
        <f>SUMIF(月間集計シート!$M$113:$M$132,$G883,月間集計シート!N$113:N$132)*AL$2</f>
        <v>0</v>
      </c>
      <c r="AM883" s="88">
        <f>SUMIF(月間集計シート!$M$113:$M$132,$G883,月間集計シート!O$113:O$132)*AM$2</f>
        <v>0</v>
      </c>
      <c r="AN883" s="88">
        <f>SUMIF(月間集計シート!$M$113:$M$132,$G883,月間集計シート!P$113:P$132)*AN$2</f>
        <v>0</v>
      </c>
      <c r="AO883" s="88">
        <f>SUMIF(月間集計シート!$M$113:$M$132,$G883,月間集計シート!Q$113:Q$132)*AO$2</f>
        <v>0</v>
      </c>
      <c r="AP883" s="88">
        <f>SUMIF(月間集計シート!$M$113:$M$132,$G883,月間集計シート!R$113:R$132)*AP$2</f>
        <v>0</v>
      </c>
      <c r="AQ883" s="88">
        <f>SUMIF(月間集計シート!$M$113:$M$132,$G883,月間集計シート!S$113:S$132)*AQ$2</f>
        <v>0</v>
      </c>
      <c r="AR883" s="88">
        <f>SUMIF(月間集計シート!$M$113:$M$132,$G883,月間集計シート!T$113:T$132)*AR$2</f>
        <v>0</v>
      </c>
      <c r="AS883" s="88">
        <f>SUMIF(月間集計シート!$M$134:$M$153,$G883,月間集計シート!N$134:N$153)*AS$2</f>
        <v>0</v>
      </c>
      <c r="AT883" s="88">
        <f>SUMIF(月間集計シート!$M$134:$M$153,$G883,月間集計シート!O$134:O$153)*AT$2</f>
        <v>0</v>
      </c>
      <c r="AU883" s="88">
        <f>SUMIF(月間集計シート!$M$134:$M$153,$G883,月間集計シート!P$134:P$153)*AU$2</f>
        <v>0</v>
      </c>
      <c r="AV883" s="88">
        <f>SUMIF(月間集計シート!$M$134:$M$153,$G883,月間集計シート!Q$134:Q$153)*AV$2</f>
        <v>0</v>
      </c>
      <c r="AW883" s="88">
        <f>SUMIF(月間集計シート!$M$134:$M$153,$G883,月間集計シート!R$134:R$153)*AW$2</f>
        <v>0</v>
      </c>
      <c r="AX883" s="88">
        <f>SUMIF(月間集計シート!$M$134:$M$153,$G883,月間集計シート!S$134:S$153)*AX$2</f>
        <v>0</v>
      </c>
      <c r="AY883" s="88">
        <f>SUMIF(月間集計シート!$M$134:$M$153,$G883,月間集計シート!T$134:T$153)*AY$2</f>
        <v>0</v>
      </c>
    </row>
    <row r="884" spans="1:51" ht="14.25" thickBot="1">
      <c r="A884">
        <v>11</v>
      </c>
      <c r="B884" s="120">
        <f t="shared" si="464"/>
        <v>0</v>
      </c>
      <c r="C884" s="120" t="str">
        <f t="shared" si="465"/>
        <v/>
      </c>
      <c r="D884" s="137"/>
      <c r="E884" s="150" t="str">
        <f>工種!A26</f>
        <v>40104</v>
      </c>
      <c r="F884" s="119" t="str">
        <f>工種!B26</f>
        <v>テスト：結合テスト設計書作成</v>
      </c>
      <c r="G884" s="116" t="str">
        <f t="shared" si="466"/>
        <v>040104</v>
      </c>
      <c r="H884" s="88">
        <f t="shared" si="420"/>
        <v>0</v>
      </c>
      <c r="I884" s="132"/>
      <c r="J884" s="88">
        <f>SUMIF(月間集計シート!$M$29:$M$48,$G884,月間集計シート!N$29:N$48)*J$2</f>
        <v>0</v>
      </c>
      <c r="K884" s="88">
        <f>SUMIF(月間集計シート!$M$29:$M$48,$G884,月間集計シート!O$29:O$48)*K$2</f>
        <v>0</v>
      </c>
      <c r="L884" s="88">
        <f>SUMIF(月間集計シート!$M$29:$M$48,$G884,月間集計シート!P$29:P$48)*L$2</f>
        <v>0</v>
      </c>
      <c r="M884" s="88">
        <f>SUMIF(月間集計シート!$M$29:$M$48,$G884,月間集計シート!Q$29:Q$48)*M$2</f>
        <v>0</v>
      </c>
      <c r="N884" s="88">
        <f>SUMIF(月間集計シート!$M$29:$M$48,$G884,月間集計シート!R$29:R$48)*N$2</f>
        <v>0</v>
      </c>
      <c r="O884" s="88">
        <f>SUMIF(月間集計シート!$M$29:$M$48,$G884,月間集計シート!S$29:S$48)*O$2</f>
        <v>0</v>
      </c>
      <c r="P884" s="88">
        <f>SUMIF(月間集計シート!$M$29:$M$48,$G884,月間集計シート!T$29:T$48)*P$2</f>
        <v>0</v>
      </c>
      <c r="Q884" s="88">
        <f>SUMIF(月間集計シート!$M$50:$M$69,$G884,月間集計シート!N$50:N$69)*Q$2</f>
        <v>0</v>
      </c>
      <c r="R884" s="88">
        <f>SUMIF(月間集計シート!$M$50:$M$69,$G884,月間集計シート!O$50:O$69)*R$2</f>
        <v>0</v>
      </c>
      <c r="S884" s="88">
        <f>SUMIF(月間集計シート!$M$50:$M$69,$G884,月間集計シート!P$50:P$69)*S$2</f>
        <v>0</v>
      </c>
      <c r="T884" s="88">
        <f>SUMIF(月間集計シート!$M$50:$M$69,$G884,月間集計シート!Q$50:Q$69)*T$2</f>
        <v>0</v>
      </c>
      <c r="U884" s="88">
        <f>SUMIF(月間集計シート!$M$50:$M$69,$G884,月間集計シート!R$50:R$69)*U$2</f>
        <v>0</v>
      </c>
      <c r="V884" s="88">
        <f>SUMIF(月間集計シート!$M$50:$M$69,$G884,月間集計シート!S$50:S$69)*V$2</f>
        <v>0</v>
      </c>
      <c r="W884" s="88">
        <f>SUMIF(月間集計シート!$M$50:$M$69,$G884,月間集計シート!T$50:T$69)*W$2</f>
        <v>0</v>
      </c>
      <c r="X884" s="88">
        <f>SUMIF(月間集計シート!$M$71:$M$90,$G884,月間集計シート!N$71:N$90)*X$2</f>
        <v>0</v>
      </c>
      <c r="Y884" s="88">
        <f>SUMIF(月間集計シート!$M$71:$M$90,$G884,月間集計シート!O$71:O$90)*Y$2</f>
        <v>0</v>
      </c>
      <c r="Z884" s="88">
        <f>SUMIF(月間集計シート!$M$71:$M$90,$G884,月間集計シート!P$71:P$90)*Z$2</f>
        <v>0</v>
      </c>
      <c r="AA884" s="88">
        <f>SUMIF(月間集計シート!$M$71:$M$90,$G884,月間集計シート!Q$71:Q$90)*AA$2</f>
        <v>0</v>
      </c>
      <c r="AB884" s="88">
        <f>SUMIF(月間集計シート!$M$71:$M$90,$G884,月間集計シート!R$71:R$90)*AB$2</f>
        <v>0</v>
      </c>
      <c r="AC884" s="88">
        <f>SUMIF(月間集計シート!$M$71:$M$90,$G884,月間集計シート!S$71:S$90)*AC$2</f>
        <v>0</v>
      </c>
      <c r="AD884" s="88">
        <f>SUMIF(月間集計シート!$M$71:$M$90,$G884,月間集計シート!T$71:T$90)*AD$2</f>
        <v>0</v>
      </c>
      <c r="AE884" s="88">
        <f>SUMIF(月間集計シート!$M$92:$M$111,$G884,月間集計シート!N$92:N$111)*AE$2</f>
        <v>0</v>
      </c>
      <c r="AF884" s="88">
        <f>SUMIF(月間集計シート!$M$92:$M$111,$G884,月間集計シート!O$92:O$111)*AF$2</f>
        <v>0</v>
      </c>
      <c r="AG884" s="88">
        <f>SUMIF(月間集計シート!$M$92:$M$111,$G884,月間集計シート!P$92:P$111)*AG$2</f>
        <v>0</v>
      </c>
      <c r="AH884" s="88">
        <f>SUMIF(月間集計シート!$M$92:$M$111,$G884,月間集計シート!Q$92:Q$111)*AH$2</f>
        <v>0</v>
      </c>
      <c r="AI884" s="88">
        <f>SUMIF(月間集計シート!$M$92:$M$111,$G884,月間集計シート!R$92:R$111)*AI$2</f>
        <v>0</v>
      </c>
      <c r="AJ884" s="88">
        <f>SUMIF(月間集計シート!$M$92:$M$111,$G884,月間集計シート!S$92:S$111)*AJ$2</f>
        <v>0</v>
      </c>
      <c r="AK884" s="88">
        <f>SUMIF(月間集計シート!$M$92:$M$111,$G884,月間集計シート!T$92:T$111)*AK$2</f>
        <v>0</v>
      </c>
      <c r="AL884" s="88">
        <f>SUMIF(月間集計シート!$M$113:$M$132,$G884,月間集計シート!N$113:N$132)*AL$2</f>
        <v>0</v>
      </c>
      <c r="AM884" s="88">
        <f>SUMIF(月間集計シート!$M$113:$M$132,$G884,月間集計シート!O$113:O$132)*AM$2</f>
        <v>0</v>
      </c>
      <c r="AN884" s="88">
        <f>SUMIF(月間集計シート!$M$113:$M$132,$G884,月間集計シート!P$113:P$132)*AN$2</f>
        <v>0</v>
      </c>
      <c r="AO884" s="88">
        <f>SUMIF(月間集計シート!$M$113:$M$132,$G884,月間集計シート!Q$113:Q$132)*AO$2</f>
        <v>0</v>
      </c>
      <c r="AP884" s="88">
        <f>SUMIF(月間集計シート!$M$113:$M$132,$G884,月間集計シート!R$113:R$132)*AP$2</f>
        <v>0</v>
      </c>
      <c r="AQ884" s="88">
        <f>SUMIF(月間集計シート!$M$113:$M$132,$G884,月間集計シート!S$113:S$132)*AQ$2</f>
        <v>0</v>
      </c>
      <c r="AR884" s="88">
        <f>SUMIF(月間集計シート!$M$113:$M$132,$G884,月間集計シート!T$113:T$132)*AR$2</f>
        <v>0</v>
      </c>
      <c r="AS884" s="88">
        <f>SUMIF(月間集計シート!$M$134:$M$153,$G884,月間集計シート!N$134:N$153)*AS$2</f>
        <v>0</v>
      </c>
      <c r="AT884" s="88">
        <f>SUMIF(月間集計シート!$M$134:$M$153,$G884,月間集計シート!O$134:O$153)*AT$2</f>
        <v>0</v>
      </c>
      <c r="AU884" s="88">
        <f>SUMIF(月間集計シート!$M$134:$M$153,$G884,月間集計シート!P$134:P$153)*AU$2</f>
        <v>0</v>
      </c>
      <c r="AV884" s="88">
        <f>SUMIF(月間集計シート!$M$134:$M$153,$G884,月間集計シート!Q$134:Q$153)*AV$2</f>
        <v>0</v>
      </c>
      <c r="AW884" s="88">
        <f>SUMIF(月間集計シート!$M$134:$M$153,$G884,月間集計シート!R$134:R$153)*AW$2</f>
        <v>0</v>
      </c>
      <c r="AX884" s="88">
        <f>SUMIF(月間集計シート!$M$134:$M$153,$G884,月間集計シート!S$134:S$153)*AX$2</f>
        <v>0</v>
      </c>
      <c r="AY884" s="88">
        <f>SUMIF(月間集計シート!$M$134:$M$153,$G884,月間集計シート!T$134:T$153)*AY$2</f>
        <v>0</v>
      </c>
    </row>
    <row r="885" spans="1:51" ht="14.25" thickBot="1">
      <c r="A885">
        <v>11</v>
      </c>
      <c r="B885" s="120">
        <f t="shared" si="464"/>
        <v>0</v>
      </c>
      <c r="C885" s="120" t="str">
        <f t="shared" si="465"/>
        <v/>
      </c>
      <c r="D885" s="137"/>
      <c r="E885" s="150" t="str">
        <f>工種!A27</f>
        <v>40105</v>
      </c>
      <c r="F885" s="119" t="str">
        <f>工種!B27</f>
        <v>テスト：システムテスト設計書作成</v>
      </c>
      <c r="G885" s="116" t="str">
        <f t="shared" si="466"/>
        <v>040105</v>
      </c>
      <c r="H885" s="88">
        <f t="shared" si="420"/>
        <v>0</v>
      </c>
      <c r="I885" s="132"/>
      <c r="J885" s="88">
        <f>SUMIF(月間集計シート!$M$29:$M$48,$G885,月間集計シート!N$29:N$48)*J$2</f>
        <v>0</v>
      </c>
      <c r="K885" s="88">
        <f>SUMIF(月間集計シート!$M$29:$M$48,$G885,月間集計シート!O$29:O$48)*K$2</f>
        <v>0</v>
      </c>
      <c r="L885" s="88">
        <f>SUMIF(月間集計シート!$M$29:$M$48,$G885,月間集計シート!P$29:P$48)*L$2</f>
        <v>0</v>
      </c>
      <c r="M885" s="88">
        <f>SUMIF(月間集計シート!$M$29:$M$48,$G885,月間集計シート!Q$29:Q$48)*M$2</f>
        <v>0</v>
      </c>
      <c r="N885" s="88">
        <f>SUMIF(月間集計シート!$M$29:$M$48,$G885,月間集計シート!R$29:R$48)*N$2</f>
        <v>0</v>
      </c>
      <c r="O885" s="88">
        <f>SUMIF(月間集計シート!$M$29:$M$48,$G885,月間集計シート!S$29:S$48)*O$2</f>
        <v>0</v>
      </c>
      <c r="P885" s="88">
        <f>SUMIF(月間集計シート!$M$29:$M$48,$G885,月間集計シート!T$29:T$48)*P$2</f>
        <v>0</v>
      </c>
      <c r="Q885" s="88">
        <f>SUMIF(月間集計シート!$M$50:$M$69,$G885,月間集計シート!N$50:N$69)*Q$2</f>
        <v>0</v>
      </c>
      <c r="R885" s="88">
        <f>SUMIF(月間集計シート!$M$50:$M$69,$G885,月間集計シート!O$50:O$69)*R$2</f>
        <v>0</v>
      </c>
      <c r="S885" s="88">
        <f>SUMIF(月間集計シート!$M$50:$M$69,$G885,月間集計シート!P$50:P$69)*S$2</f>
        <v>0</v>
      </c>
      <c r="T885" s="88">
        <f>SUMIF(月間集計シート!$M$50:$M$69,$G885,月間集計シート!Q$50:Q$69)*T$2</f>
        <v>0</v>
      </c>
      <c r="U885" s="88">
        <f>SUMIF(月間集計シート!$M$50:$M$69,$G885,月間集計シート!R$50:R$69)*U$2</f>
        <v>0</v>
      </c>
      <c r="V885" s="88">
        <f>SUMIF(月間集計シート!$M$50:$M$69,$G885,月間集計シート!S$50:S$69)*V$2</f>
        <v>0</v>
      </c>
      <c r="W885" s="88">
        <f>SUMIF(月間集計シート!$M$50:$M$69,$G885,月間集計シート!T$50:T$69)*W$2</f>
        <v>0</v>
      </c>
      <c r="X885" s="88">
        <f>SUMIF(月間集計シート!$M$71:$M$90,$G885,月間集計シート!N$71:N$90)*X$2</f>
        <v>0</v>
      </c>
      <c r="Y885" s="88">
        <f>SUMIF(月間集計シート!$M$71:$M$90,$G885,月間集計シート!O$71:O$90)*Y$2</f>
        <v>0</v>
      </c>
      <c r="Z885" s="88">
        <f>SUMIF(月間集計シート!$M$71:$M$90,$G885,月間集計シート!P$71:P$90)*Z$2</f>
        <v>0</v>
      </c>
      <c r="AA885" s="88">
        <f>SUMIF(月間集計シート!$M$71:$M$90,$G885,月間集計シート!Q$71:Q$90)*AA$2</f>
        <v>0</v>
      </c>
      <c r="AB885" s="88">
        <f>SUMIF(月間集計シート!$M$71:$M$90,$G885,月間集計シート!R$71:R$90)*AB$2</f>
        <v>0</v>
      </c>
      <c r="AC885" s="88">
        <f>SUMIF(月間集計シート!$M$71:$M$90,$G885,月間集計シート!S$71:S$90)*AC$2</f>
        <v>0</v>
      </c>
      <c r="AD885" s="88">
        <f>SUMIF(月間集計シート!$M$71:$M$90,$G885,月間集計シート!T$71:T$90)*AD$2</f>
        <v>0</v>
      </c>
      <c r="AE885" s="88">
        <f>SUMIF(月間集計シート!$M$92:$M$111,$G885,月間集計シート!N$92:N$111)*AE$2</f>
        <v>0</v>
      </c>
      <c r="AF885" s="88">
        <f>SUMIF(月間集計シート!$M$92:$M$111,$G885,月間集計シート!O$92:O$111)*AF$2</f>
        <v>0</v>
      </c>
      <c r="AG885" s="88">
        <f>SUMIF(月間集計シート!$M$92:$M$111,$G885,月間集計シート!P$92:P$111)*AG$2</f>
        <v>0</v>
      </c>
      <c r="AH885" s="88">
        <f>SUMIF(月間集計シート!$M$92:$M$111,$G885,月間集計シート!Q$92:Q$111)*AH$2</f>
        <v>0</v>
      </c>
      <c r="AI885" s="88">
        <f>SUMIF(月間集計シート!$M$92:$M$111,$G885,月間集計シート!R$92:R$111)*AI$2</f>
        <v>0</v>
      </c>
      <c r="AJ885" s="88">
        <f>SUMIF(月間集計シート!$M$92:$M$111,$G885,月間集計シート!S$92:S$111)*AJ$2</f>
        <v>0</v>
      </c>
      <c r="AK885" s="88">
        <f>SUMIF(月間集計シート!$M$92:$M$111,$G885,月間集計シート!T$92:T$111)*AK$2</f>
        <v>0</v>
      </c>
      <c r="AL885" s="88">
        <f>SUMIF(月間集計シート!$M$113:$M$132,$G885,月間集計シート!N$113:N$132)*AL$2</f>
        <v>0</v>
      </c>
      <c r="AM885" s="88">
        <f>SUMIF(月間集計シート!$M$113:$M$132,$G885,月間集計シート!O$113:O$132)*AM$2</f>
        <v>0</v>
      </c>
      <c r="AN885" s="88">
        <f>SUMIF(月間集計シート!$M$113:$M$132,$G885,月間集計シート!P$113:P$132)*AN$2</f>
        <v>0</v>
      </c>
      <c r="AO885" s="88">
        <f>SUMIF(月間集計シート!$M$113:$M$132,$G885,月間集計シート!Q$113:Q$132)*AO$2</f>
        <v>0</v>
      </c>
      <c r="AP885" s="88">
        <f>SUMIF(月間集計シート!$M$113:$M$132,$G885,月間集計シート!R$113:R$132)*AP$2</f>
        <v>0</v>
      </c>
      <c r="AQ885" s="88">
        <f>SUMIF(月間集計シート!$M$113:$M$132,$G885,月間集計シート!S$113:S$132)*AQ$2</f>
        <v>0</v>
      </c>
      <c r="AR885" s="88">
        <f>SUMIF(月間集計シート!$M$113:$M$132,$G885,月間集計シート!T$113:T$132)*AR$2</f>
        <v>0</v>
      </c>
      <c r="AS885" s="88">
        <f>SUMIF(月間集計シート!$M$134:$M$153,$G885,月間集計シート!N$134:N$153)*AS$2</f>
        <v>0</v>
      </c>
      <c r="AT885" s="88">
        <f>SUMIF(月間集計シート!$M$134:$M$153,$G885,月間集計シート!O$134:O$153)*AT$2</f>
        <v>0</v>
      </c>
      <c r="AU885" s="88">
        <f>SUMIF(月間集計シート!$M$134:$M$153,$G885,月間集計シート!P$134:P$153)*AU$2</f>
        <v>0</v>
      </c>
      <c r="AV885" s="88">
        <f>SUMIF(月間集計シート!$M$134:$M$153,$G885,月間集計シート!Q$134:Q$153)*AV$2</f>
        <v>0</v>
      </c>
      <c r="AW885" s="88">
        <f>SUMIF(月間集計シート!$M$134:$M$153,$G885,月間集計シート!R$134:R$153)*AW$2</f>
        <v>0</v>
      </c>
      <c r="AX885" s="88">
        <f>SUMIF(月間集計シート!$M$134:$M$153,$G885,月間集計シート!S$134:S$153)*AX$2</f>
        <v>0</v>
      </c>
      <c r="AY885" s="88">
        <f>SUMIF(月間集計シート!$M$134:$M$153,$G885,月間集計シート!T$134:T$153)*AY$2</f>
        <v>0</v>
      </c>
    </row>
    <row r="886" spans="1:51" ht="14.25" thickBot="1">
      <c r="A886">
        <v>11</v>
      </c>
      <c r="B886" s="120">
        <f t="shared" si="464"/>
        <v>0</v>
      </c>
      <c r="C886" s="120" t="str">
        <f t="shared" si="465"/>
        <v/>
      </c>
      <c r="D886" s="137"/>
      <c r="E886" s="150" t="str">
        <f>工種!A28</f>
        <v>40106</v>
      </c>
      <c r="F886" s="119" t="str">
        <f>工種!B28</f>
        <v>テスト：総合評価設計書作成</v>
      </c>
      <c r="G886" s="116" t="str">
        <f t="shared" si="466"/>
        <v>040106</v>
      </c>
      <c r="H886" s="88">
        <f t="shared" si="420"/>
        <v>0</v>
      </c>
      <c r="I886" s="132"/>
      <c r="J886" s="88">
        <f>SUMIF(月間集計シート!$M$29:$M$48,$G886,月間集計シート!N$29:N$48)*J$2</f>
        <v>0</v>
      </c>
      <c r="K886" s="88">
        <f>SUMIF(月間集計シート!$M$29:$M$48,$G886,月間集計シート!O$29:O$48)*K$2</f>
        <v>0</v>
      </c>
      <c r="L886" s="88">
        <f>SUMIF(月間集計シート!$M$29:$M$48,$G886,月間集計シート!P$29:P$48)*L$2</f>
        <v>0</v>
      </c>
      <c r="M886" s="88">
        <f>SUMIF(月間集計シート!$M$29:$M$48,$G886,月間集計シート!Q$29:Q$48)*M$2</f>
        <v>0</v>
      </c>
      <c r="N886" s="88">
        <f>SUMIF(月間集計シート!$M$29:$M$48,$G886,月間集計シート!R$29:R$48)*N$2</f>
        <v>0</v>
      </c>
      <c r="O886" s="88">
        <f>SUMIF(月間集計シート!$M$29:$M$48,$G886,月間集計シート!S$29:S$48)*O$2</f>
        <v>0</v>
      </c>
      <c r="P886" s="88">
        <f>SUMIF(月間集計シート!$M$29:$M$48,$G886,月間集計シート!T$29:T$48)*P$2</f>
        <v>0</v>
      </c>
      <c r="Q886" s="88">
        <f>SUMIF(月間集計シート!$M$50:$M$69,$G886,月間集計シート!N$50:N$69)*Q$2</f>
        <v>0</v>
      </c>
      <c r="R886" s="88">
        <f>SUMIF(月間集計シート!$M$50:$M$69,$G886,月間集計シート!O$50:O$69)*R$2</f>
        <v>0</v>
      </c>
      <c r="S886" s="88">
        <f>SUMIF(月間集計シート!$M$50:$M$69,$G886,月間集計シート!P$50:P$69)*S$2</f>
        <v>0</v>
      </c>
      <c r="T886" s="88">
        <f>SUMIF(月間集計シート!$M$50:$M$69,$G886,月間集計シート!Q$50:Q$69)*T$2</f>
        <v>0</v>
      </c>
      <c r="U886" s="88">
        <f>SUMIF(月間集計シート!$M$50:$M$69,$G886,月間集計シート!R$50:R$69)*U$2</f>
        <v>0</v>
      </c>
      <c r="V886" s="88">
        <f>SUMIF(月間集計シート!$M$50:$M$69,$G886,月間集計シート!S$50:S$69)*V$2</f>
        <v>0</v>
      </c>
      <c r="W886" s="88">
        <f>SUMIF(月間集計シート!$M$50:$M$69,$G886,月間集計シート!T$50:T$69)*W$2</f>
        <v>0</v>
      </c>
      <c r="X886" s="88">
        <f>SUMIF(月間集計シート!$M$71:$M$90,$G886,月間集計シート!N$71:N$90)*X$2</f>
        <v>0</v>
      </c>
      <c r="Y886" s="88">
        <f>SUMIF(月間集計シート!$M$71:$M$90,$G886,月間集計シート!O$71:O$90)*Y$2</f>
        <v>0</v>
      </c>
      <c r="Z886" s="88">
        <f>SUMIF(月間集計シート!$M$71:$M$90,$G886,月間集計シート!P$71:P$90)*Z$2</f>
        <v>0</v>
      </c>
      <c r="AA886" s="88">
        <f>SUMIF(月間集計シート!$M$71:$M$90,$G886,月間集計シート!Q$71:Q$90)*AA$2</f>
        <v>0</v>
      </c>
      <c r="AB886" s="88">
        <f>SUMIF(月間集計シート!$M$71:$M$90,$G886,月間集計シート!R$71:R$90)*AB$2</f>
        <v>0</v>
      </c>
      <c r="AC886" s="88">
        <f>SUMIF(月間集計シート!$M$71:$M$90,$G886,月間集計シート!S$71:S$90)*AC$2</f>
        <v>0</v>
      </c>
      <c r="AD886" s="88">
        <f>SUMIF(月間集計シート!$M$71:$M$90,$G886,月間集計シート!T$71:T$90)*AD$2</f>
        <v>0</v>
      </c>
      <c r="AE886" s="88">
        <f>SUMIF(月間集計シート!$M$92:$M$111,$G886,月間集計シート!N$92:N$111)*AE$2</f>
        <v>0</v>
      </c>
      <c r="AF886" s="88">
        <f>SUMIF(月間集計シート!$M$92:$M$111,$G886,月間集計シート!O$92:O$111)*AF$2</f>
        <v>0</v>
      </c>
      <c r="AG886" s="88">
        <f>SUMIF(月間集計シート!$M$92:$M$111,$G886,月間集計シート!P$92:P$111)*AG$2</f>
        <v>0</v>
      </c>
      <c r="AH886" s="88">
        <f>SUMIF(月間集計シート!$M$92:$M$111,$G886,月間集計シート!Q$92:Q$111)*AH$2</f>
        <v>0</v>
      </c>
      <c r="AI886" s="88">
        <f>SUMIF(月間集計シート!$M$92:$M$111,$G886,月間集計シート!R$92:R$111)*AI$2</f>
        <v>0</v>
      </c>
      <c r="AJ886" s="88">
        <f>SUMIF(月間集計シート!$M$92:$M$111,$G886,月間集計シート!S$92:S$111)*AJ$2</f>
        <v>0</v>
      </c>
      <c r="AK886" s="88">
        <f>SUMIF(月間集計シート!$M$92:$M$111,$G886,月間集計シート!T$92:T$111)*AK$2</f>
        <v>0</v>
      </c>
      <c r="AL886" s="88">
        <f>SUMIF(月間集計シート!$M$113:$M$132,$G886,月間集計シート!N$113:N$132)*AL$2</f>
        <v>0</v>
      </c>
      <c r="AM886" s="88">
        <f>SUMIF(月間集計シート!$M$113:$M$132,$G886,月間集計シート!O$113:O$132)*AM$2</f>
        <v>0</v>
      </c>
      <c r="AN886" s="88">
        <f>SUMIF(月間集計シート!$M$113:$M$132,$G886,月間集計シート!P$113:P$132)*AN$2</f>
        <v>0</v>
      </c>
      <c r="AO886" s="88">
        <f>SUMIF(月間集計シート!$M$113:$M$132,$G886,月間集計シート!Q$113:Q$132)*AO$2</f>
        <v>0</v>
      </c>
      <c r="AP886" s="88">
        <f>SUMIF(月間集計シート!$M$113:$M$132,$G886,月間集計シート!R$113:R$132)*AP$2</f>
        <v>0</v>
      </c>
      <c r="AQ886" s="88">
        <f>SUMIF(月間集計シート!$M$113:$M$132,$G886,月間集計シート!S$113:S$132)*AQ$2</f>
        <v>0</v>
      </c>
      <c r="AR886" s="88">
        <f>SUMIF(月間集計シート!$M$113:$M$132,$G886,月間集計シート!T$113:T$132)*AR$2</f>
        <v>0</v>
      </c>
      <c r="AS886" s="88">
        <f>SUMIF(月間集計シート!$M$134:$M$153,$G886,月間集計シート!N$134:N$153)*AS$2</f>
        <v>0</v>
      </c>
      <c r="AT886" s="88">
        <f>SUMIF(月間集計シート!$M$134:$M$153,$G886,月間集計シート!O$134:O$153)*AT$2</f>
        <v>0</v>
      </c>
      <c r="AU886" s="88">
        <f>SUMIF(月間集計シート!$M$134:$M$153,$G886,月間集計シート!P$134:P$153)*AU$2</f>
        <v>0</v>
      </c>
      <c r="AV886" s="88">
        <f>SUMIF(月間集計シート!$M$134:$M$153,$G886,月間集計シート!Q$134:Q$153)*AV$2</f>
        <v>0</v>
      </c>
      <c r="AW886" s="88">
        <f>SUMIF(月間集計シート!$M$134:$M$153,$G886,月間集計シート!R$134:R$153)*AW$2</f>
        <v>0</v>
      </c>
      <c r="AX886" s="88">
        <f>SUMIF(月間集計シート!$M$134:$M$153,$G886,月間集計シート!S$134:S$153)*AX$2</f>
        <v>0</v>
      </c>
      <c r="AY886" s="88">
        <f>SUMIF(月間集計シート!$M$134:$M$153,$G886,月間集計シート!T$134:T$153)*AY$2</f>
        <v>0</v>
      </c>
    </row>
    <row r="887" spans="1:51" ht="14.25" thickBot="1">
      <c r="A887">
        <v>11</v>
      </c>
      <c r="B887" s="120">
        <f t="shared" si="464"/>
        <v>0</v>
      </c>
      <c r="C887" s="120" t="str">
        <f t="shared" si="465"/>
        <v/>
      </c>
      <c r="D887" s="137"/>
      <c r="E887" s="150" t="str">
        <f>工種!A29</f>
        <v>40107</v>
      </c>
      <c r="F887" s="119" t="str">
        <f>工種!B29</f>
        <v>テスト：評価報告書作成</v>
      </c>
      <c r="G887" s="116" t="str">
        <f t="shared" si="466"/>
        <v>040107</v>
      </c>
      <c r="H887" s="88">
        <f t="shared" si="420"/>
        <v>0</v>
      </c>
      <c r="I887" s="132"/>
      <c r="J887" s="88">
        <f>SUMIF(月間集計シート!$M$29:$M$48,$G887,月間集計シート!N$29:N$48)*J$2</f>
        <v>0</v>
      </c>
      <c r="K887" s="88">
        <f>SUMIF(月間集計シート!$M$29:$M$48,$G887,月間集計シート!O$29:O$48)*K$2</f>
        <v>0</v>
      </c>
      <c r="L887" s="88">
        <f>SUMIF(月間集計シート!$M$29:$M$48,$G887,月間集計シート!P$29:P$48)*L$2</f>
        <v>0</v>
      </c>
      <c r="M887" s="88">
        <f>SUMIF(月間集計シート!$M$29:$M$48,$G887,月間集計シート!Q$29:Q$48)*M$2</f>
        <v>0</v>
      </c>
      <c r="N887" s="88">
        <f>SUMIF(月間集計シート!$M$29:$M$48,$G887,月間集計シート!R$29:R$48)*N$2</f>
        <v>0</v>
      </c>
      <c r="O887" s="88">
        <f>SUMIF(月間集計シート!$M$29:$M$48,$G887,月間集計シート!S$29:S$48)*O$2</f>
        <v>0</v>
      </c>
      <c r="P887" s="88">
        <f>SUMIF(月間集計シート!$M$29:$M$48,$G887,月間集計シート!T$29:T$48)*P$2</f>
        <v>0</v>
      </c>
      <c r="Q887" s="88">
        <f>SUMIF(月間集計シート!$M$50:$M$69,$G887,月間集計シート!N$50:N$69)*Q$2</f>
        <v>0</v>
      </c>
      <c r="R887" s="88">
        <f>SUMIF(月間集計シート!$M$50:$M$69,$G887,月間集計シート!O$50:O$69)*R$2</f>
        <v>0</v>
      </c>
      <c r="S887" s="88">
        <f>SUMIF(月間集計シート!$M$50:$M$69,$G887,月間集計シート!P$50:P$69)*S$2</f>
        <v>0</v>
      </c>
      <c r="T887" s="88">
        <f>SUMIF(月間集計シート!$M$50:$M$69,$G887,月間集計シート!Q$50:Q$69)*T$2</f>
        <v>0</v>
      </c>
      <c r="U887" s="88">
        <f>SUMIF(月間集計シート!$M$50:$M$69,$G887,月間集計シート!R$50:R$69)*U$2</f>
        <v>0</v>
      </c>
      <c r="V887" s="88">
        <f>SUMIF(月間集計シート!$M$50:$M$69,$G887,月間集計シート!S$50:S$69)*V$2</f>
        <v>0</v>
      </c>
      <c r="W887" s="88">
        <f>SUMIF(月間集計シート!$M$50:$M$69,$G887,月間集計シート!T$50:T$69)*W$2</f>
        <v>0</v>
      </c>
      <c r="X887" s="88">
        <f>SUMIF(月間集計シート!$M$71:$M$90,$G887,月間集計シート!N$71:N$90)*X$2</f>
        <v>0</v>
      </c>
      <c r="Y887" s="88">
        <f>SUMIF(月間集計シート!$M$71:$M$90,$G887,月間集計シート!O$71:O$90)*Y$2</f>
        <v>0</v>
      </c>
      <c r="Z887" s="88">
        <f>SUMIF(月間集計シート!$M$71:$M$90,$G887,月間集計シート!P$71:P$90)*Z$2</f>
        <v>0</v>
      </c>
      <c r="AA887" s="88">
        <f>SUMIF(月間集計シート!$M$71:$M$90,$G887,月間集計シート!Q$71:Q$90)*AA$2</f>
        <v>0</v>
      </c>
      <c r="AB887" s="88">
        <f>SUMIF(月間集計シート!$M$71:$M$90,$G887,月間集計シート!R$71:R$90)*AB$2</f>
        <v>0</v>
      </c>
      <c r="AC887" s="88">
        <f>SUMIF(月間集計シート!$M$71:$M$90,$G887,月間集計シート!S$71:S$90)*AC$2</f>
        <v>0</v>
      </c>
      <c r="AD887" s="88">
        <f>SUMIF(月間集計シート!$M$71:$M$90,$G887,月間集計シート!T$71:T$90)*AD$2</f>
        <v>0</v>
      </c>
      <c r="AE887" s="88">
        <f>SUMIF(月間集計シート!$M$92:$M$111,$G887,月間集計シート!N$92:N$111)*AE$2</f>
        <v>0</v>
      </c>
      <c r="AF887" s="88">
        <f>SUMIF(月間集計シート!$M$92:$M$111,$G887,月間集計シート!O$92:O$111)*AF$2</f>
        <v>0</v>
      </c>
      <c r="AG887" s="88">
        <f>SUMIF(月間集計シート!$M$92:$M$111,$G887,月間集計シート!P$92:P$111)*AG$2</f>
        <v>0</v>
      </c>
      <c r="AH887" s="88">
        <f>SUMIF(月間集計シート!$M$92:$M$111,$G887,月間集計シート!Q$92:Q$111)*AH$2</f>
        <v>0</v>
      </c>
      <c r="AI887" s="88">
        <f>SUMIF(月間集計シート!$M$92:$M$111,$G887,月間集計シート!R$92:R$111)*AI$2</f>
        <v>0</v>
      </c>
      <c r="AJ887" s="88">
        <f>SUMIF(月間集計シート!$M$92:$M$111,$G887,月間集計シート!S$92:S$111)*AJ$2</f>
        <v>0</v>
      </c>
      <c r="AK887" s="88">
        <f>SUMIF(月間集計シート!$M$92:$M$111,$G887,月間集計シート!T$92:T$111)*AK$2</f>
        <v>0</v>
      </c>
      <c r="AL887" s="88">
        <f>SUMIF(月間集計シート!$M$113:$M$132,$G887,月間集計シート!N$113:N$132)*AL$2</f>
        <v>0</v>
      </c>
      <c r="AM887" s="88">
        <f>SUMIF(月間集計シート!$M$113:$M$132,$G887,月間集計シート!O$113:O$132)*AM$2</f>
        <v>0</v>
      </c>
      <c r="AN887" s="88">
        <f>SUMIF(月間集計シート!$M$113:$M$132,$G887,月間集計シート!P$113:P$132)*AN$2</f>
        <v>0</v>
      </c>
      <c r="AO887" s="88">
        <f>SUMIF(月間集計シート!$M$113:$M$132,$G887,月間集計シート!Q$113:Q$132)*AO$2</f>
        <v>0</v>
      </c>
      <c r="AP887" s="88">
        <f>SUMIF(月間集計シート!$M$113:$M$132,$G887,月間集計シート!R$113:R$132)*AP$2</f>
        <v>0</v>
      </c>
      <c r="AQ887" s="88">
        <f>SUMIF(月間集計シート!$M$113:$M$132,$G887,月間集計シート!S$113:S$132)*AQ$2</f>
        <v>0</v>
      </c>
      <c r="AR887" s="88">
        <f>SUMIF(月間集計シート!$M$113:$M$132,$G887,月間集計シート!T$113:T$132)*AR$2</f>
        <v>0</v>
      </c>
      <c r="AS887" s="88">
        <f>SUMIF(月間集計シート!$M$134:$M$153,$G887,月間集計シート!N$134:N$153)*AS$2</f>
        <v>0</v>
      </c>
      <c r="AT887" s="88">
        <f>SUMIF(月間集計シート!$M$134:$M$153,$G887,月間集計シート!O$134:O$153)*AT$2</f>
        <v>0</v>
      </c>
      <c r="AU887" s="88">
        <f>SUMIF(月間集計シート!$M$134:$M$153,$G887,月間集計シート!P$134:P$153)*AU$2</f>
        <v>0</v>
      </c>
      <c r="AV887" s="88">
        <f>SUMIF(月間集計シート!$M$134:$M$153,$G887,月間集計シート!Q$134:Q$153)*AV$2</f>
        <v>0</v>
      </c>
      <c r="AW887" s="88">
        <f>SUMIF(月間集計シート!$M$134:$M$153,$G887,月間集計シート!R$134:R$153)*AW$2</f>
        <v>0</v>
      </c>
      <c r="AX887" s="88">
        <f>SUMIF(月間集計シート!$M$134:$M$153,$G887,月間集計シート!S$134:S$153)*AX$2</f>
        <v>0</v>
      </c>
      <c r="AY887" s="88">
        <f>SUMIF(月間集計シート!$M$134:$M$153,$G887,月間集計シート!T$134:T$153)*AY$2</f>
        <v>0</v>
      </c>
    </row>
    <row r="888" spans="1:51" ht="14.25" thickBot="1">
      <c r="A888">
        <v>11</v>
      </c>
      <c r="B888" s="120">
        <f t="shared" si="464"/>
        <v>0</v>
      </c>
      <c r="C888" s="120" t="str">
        <f t="shared" si="465"/>
        <v/>
      </c>
      <c r="D888" s="137"/>
      <c r="E888" s="150" t="str">
        <f>工種!A30</f>
        <v>40108</v>
      </c>
      <c r="F888" s="119" t="str">
        <f>工種!B30</f>
        <v>テスト：総合評価実施</v>
      </c>
      <c r="G888" s="116" t="str">
        <f t="shared" si="466"/>
        <v>040108</v>
      </c>
      <c r="H888" s="88">
        <f t="shared" si="420"/>
        <v>0</v>
      </c>
      <c r="I888" s="132"/>
      <c r="J888" s="88">
        <f>SUMIF(月間集計シート!$M$29:$M$48,$G888,月間集計シート!N$29:N$48)*J$2</f>
        <v>0</v>
      </c>
      <c r="K888" s="88">
        <f>SUMIF(月間集計シート!$M$29:$M$48,$G888,月間集計シート!O$29:O$48)*K$2</f>
        <v>0</v>
      </c>
      <c r="L888" s="88">
        <f>SUMIF(月間集計シート!$M$29:$M$48,$G888,月間集計シート!P$29:P$48)*L$2</f>
        <v>0</v>
      </c>
      <c r="M888" s="88">
        <f>SUMIF(月間集計シート!$M$29:$M$48,$G888,月間集計シート!Q$29:Q$48)*M$2</f>
        <v>0</v>
      </c>
      <c r="N888" s="88">
        <f>SUMIF(月間集計シート!$M$29:$M$48,$G888,月間集計シート!R$29:R$48)*N$2</f>
        <v>0</v>
      </c>
      <c r="O888" s="88">
        <f>SUMIF(月間集計シート!$M$29:$M$48,$G888,月間集計シート!S$29:S$48)*O$2</f>
        <v>0</v>
      </c>
      <c r="P888" s="88">
        <f>SUMIF(月間集計シート!$M$29:$M$48,$G888,月間集計シート!T$29:T$48)*P$2</f>
        <v>0</v>
      </c>
      <c r="Q888" s="88">
        <f>SUMIF(月間集計シート!$M$50:$M$69,$G888,月間集計シート!N$50:N$69)*Q$2</f>
        <v>0</v>
      </c>
      <c r="R888" s="88">
        <f>SUMIF(月間集計シート!$M$50:$M$69,$G888,月間集計シート!O$50:O$69)*R$2</f>
        <v>0</v>
      </c>
      <c r="S888" s="88">
        <f>SUMIF(月間集計シート!$M$50:$M$69,$G888,月間集計シート!P$50:P$69)*S$2</f>
        <v>0</v>
      </c>
      <c r="T888" s="88">
        <f>SUMIF(月間集計シート!$M$50:$M$69,$G888,月間集計シート!Q$50:Q$69)*T$2</f>
        <v>0</v>
      </c>
      <c r="U888" s="88">
        <f>SUMIF(月間集計シート!$M$50:$M$69,$G888,月間集計シート!R$50:R$69)*U$2</f>
        <v>0</v>
      </c>
      <c r="V888" s="88">
        <f>SUMIF(月間集計シート!$M$50:$M$69,$G888,月間集計シート!S$50:S$69)*V$2</f>
        <v>0</v>
      </c>
      <c r="W888" s="88">
        <f>SUMIF(月間集計シート!$M$50:$M$69,$G888,月間集計シート!T$50:T$69)*W$2</f>
        <v>0</v>
      </c>
      <c r="X888" s="88">
        <f>SUMIF(月間集計シート!$M$71:$M$90,$G888,月間集計シート!N$71:N$90)*X$2</f>
        <v>0</v>
      </c>
      <c r="Y888" s="88">
        <f>SUMIF(月間集計シート!$M$71:$M$90,$G888,月間集計シート!O$71:O$90)*Y$2</f>
        <v>0</v>
      </c>
      <c r="Z888" s="88">
        <f>SUMIF(月間集計シート!$M$71:$M$90,$G888,月間集計シート!P$71:P$90)*Z$2</f>
        <v>0</v>
      </c>
      <c r="AA888" s="88">
        <f>SUMIF(月間集計シート!$M$71:$M$90,$G888,月間集計シート!Q$71:Q$90)*AA$2</f>
        <v>0</v>
      </c>
      <c r="AB888" s="88">
        <f>SUMIF(月間集計シート!$M$71:$M$90,$G888,月間集計シート!R$71:R$90)*AB$2</f>
        <v>0</v>
      </c>
      <c r="AC888" s="88">
        <f>SUMIF(月間集計シート!$M$71:$M$90,$G888,月間集計シート!S$71:S$90)*AC$2</f>
        <v>0</v>
      </c>
      <c r="AD888" s="88">
        <f>SUMIF(月間集計シート!$M$71:$M$90,$G888,月間集計シート!T$71:T$90)*AD$2</f>
        <v>0</v>
      </c>
      <c r="AE888" s="88">
        <f>SUMIF(月間集計シート!$M$92:$M$111,$G888,月間集計シート!N$92:N$111)*AE$2</f>
        <v>0</v>
      </c>
      <c r="AF888" s="88">
        <f>SUMIF(月間集計シート!$M$92:$M$111,$G888,月間集計シート!O$92:O$111)*AF$2</f>
        <v>0</v>
      </c>
      <c r="AG888" s="88">
        <f>SUMIF(月間集計シート!$M$92:$M$111,$G888,月間集計シート!P$92:P$111)*AG$2</f>
        <v>0</v>
      </c>
      <c r="AH888" s="88">
        <f>SUMIF(月間集計シート!$M$92:$M$111,$G888,月間集計シート!Q$92:Q$111)*AH$2</f>
        <v>0</v>
      </c>
      <c r="AI888" s="88">
        <f>SUMIF(月間集計シート!$M$92:$M$111,$G888,月間集計シート!R$92:R$111)*AI$2</f>
        <v>0</v>
      </c>
      <c r="AJ888" s="88">
        <f>SUMIF(月間集計シート!$M$92:$M$111,$G888,月間集計シート!S$92:S$111)*AJ$2</f>
        <v>0</v>
      </c>
      <c r="AK888" s="88">
        <f>SUMIF(月間集計シート!$M$92:$M$111,$G888,月間集計シート!T$92:T$111)*AK$2</f>
        <v>0</v>
      </c>
      <c r="AL888" s="88">
        <f>SUMIF(月間集計シート!$M$113:$M$132,$G888,月間集計シート!N$113:N$132)*AL$2</f>
        <v>0</v>
      </c>
      <c r="AM888" s="88">
        <f>SUMIF(月間集計シート!$M$113:$M$132,$G888,月間集計シート!O$113:O$132)*AM$2</f>
        <v>0</v>
      </c>
      <c r="AN888" s="88">
        <f>SUMIF(月間集計シート!$M$113:$M$132,$G888,月間集計シート!P$113:P$132)*AN$2</f>
        <v>0</v>
      </c>
      <c r="AO888" s="88">
        <f>SUMIF(月間集計シート!$M$113:$M$132,$G888,月間集計シート!Q$113:Q$132)*AO$2</f>
        <v>0</v>
      </c>
      <c r="AP888" s="88">
        <f>SUMIF(月間集計シート!$M$113:$M$132,$G888,月間集計シート!R$113:R$132)*AP$2</f>
        <v>0</v>
      </c>
      <c r="AQ888" s="88">
        <f>SUMIF(月間集計シート!$M$113:$M$132,$G888,月間集計シート!S$113:S$132)*AQ$2</f>
        <v>0</v>
      </c>
      <c r="AR888" s="88">
        <f>SUMIF(月間集計シート!$M$113:$M$132,$G888,月間集計シート!T$113:T$132)*AR$2</f>
        <v>0</v>
      </c>
      <c r="AS888" s="88">
        <f>SUMIF(月間集計シート!$M$134:$M$153,$G888,月間集計シート!N$134:N$153)*AS$2</f>
        <v>0</v>
      </c>
      <c r="AT888" s="88">
        <f>SUMIF(月間集計シート!$M$134:$M$153,$G888,月間集計シート!O$134:O$153)*AT$2</f>
        <v>0</v>
      </c>
      <c r="AU888" s="88">
        <f>SUMIF(月間集計シート!$M$134:$M$153,$G888,月間集計シート!P$134:P$153)*AU$2</f>
        <v>0</v>
      </c>
      <c r="AV888" s="88">
        <f>SUMIF(月間集計シート!$M$134:$M$153,$G888,月間集計シート!Q$134:Q$153)*AV$2</f>
        <v>0</v>
      </c>
      <c r="AW888" s="88">
        <f>SUMIF(月間集計シート!$M$134:$M$153,$G888,月間集計シート!R$134:R$153)*AW$2</f>
        <v>0</v>
      </c>
      <c r="AX888" s="88">
        <f>SUMIF(月間集計シート!$M$134:$M$153,$G888,月間集計シート!S$134:S$153)*AX$2</f>
        <v>0</v>
      </c>
      <c r="AY888" s="88">
        <f>SUMIF(月間集計シート!$M$134:$M$153,$G888,月間集計シート!T$134:T$153)*AY$2</f>
        <v>0</v>
      </c>
    </row>
    <row r="889" spans="1:51" ht="14.25" thickBot="1">
      <c r="A889">
        <v>11</v>
      </c>
      <c r="B889" s="120">
        <f t="shared" si="464"/>
        <v>0</v>
      </c>
      <c r="C889" s="120" t="str">
        <f t="shared" si="465"/>
        <v/>
      </c>
      <c r="D889" s="137"/>
      <c r="E889" s="150" t="str">
        <f>工種!A31</f>
        <v>40109</v>
      </c>
      <c r="F889" s="119" t="str">
        <f>工種!B31</f>
        <v>テスト：打合せ</v>
      </c>
      <c r="G889" s="116" t="str">
        <f t="shared" si="466"/>
        <v>040109</v>
      </c>
      <c r="H889" s="88">
        <f t="shared" si="420"/>
        <v>0</v>
      </c>
      <c r="I889" s="132"/>
      <c r="J889" s="88">
        <f>SUMIF(月間集計シート!$M$29:$M$48,$G889,月間集計シート!N$29:N$48)*J$2</f>
        <v>0</v>
      </c>
      <c r="K889" s="88">
        <f>SUMIF(月間集計シート!$M$29:$M$48,$G889,月間集計シート!O$29:O$48)*K$2</f>
        <v>0</v>
      </c>
      <c r="L889" s="88">
        <f>SUMIF(月間集計シート!$M$29:$M$48,$G889,月間集計シート!P$29:P$48)*L$2</f>
        <v>0</v>
      </c>
      <c r="M889" s="88">
        <f>SUMIF(月間集計シート!$M$29:$M$48,$G889,月間集計シート!Q$29:Q$48)*M$2</f>
        <v>0</v>
      </c>
      <c r="N889" s="88">
        <f>SUMIF(月間集計シート!$M$29:$M$48,$G889,月間集計シート!R$29:R$48)*N$2</f>
        <v>0</v>
      </c>
      <c r="O889" s="88">
        <f>SUMIF(月間集計シート!$M$29:$M$48,$G889,月間集計シート!S$29:S$48)*O$2</f>
        <v>0</v>
      </c>
      <c r="P889" s="88">
        <f>SUMIF(月間集計シート!$M$29:$M$48,$G889,月間集計シート!T$29:T$48)*P$2</f>
        <v>0</v>
      </c>
      <c r="Q889" s="88">
        <f>SUMIF(月間集計シート!$M$50:$M$69,$G889,月間集計シート!N$50:N$69)*Q$2</f>
        <v>0</v>
      </c>
      <c r="R889" s="88">
        <f>SUMIF(月間集計シート!$M$50:$M$69,$G889,月間集計シート!O$50:O$69)*R$2</f>
        <v>0</v>
      </c>
      <c r="S889" s="88">
        <f>SUMIF(月間集計シート!$M$50:$M$69,$G889,月間集計シート!P$50:P$69)*S$2</f>
        <v>0</v>
      </c>
      <c r="T889" s="88">
        <f>SUMIF(月間集計シート!$M$50:$M$69,$G889,月間集計シート!Q$50:Q$69)*T$2</f>
        <v>0</v>
      </c>
      <c r="U889" s="88">
        <f>SUMIF(月間集計シート!$M$50:$M$69,$G889,月間集計シート!R$50:R$69)*U$2</f>
        <v>0</v>
      </c>
      <c r="V889" s="88">
        <f>SUMIF(月間集計シート!$M$50:$M$69,$G889,月間集計シート!S$50:S$69)*V$2</f>
        <v>0</v>
      </c>
      <c r="W889" s="88">
        <f>SUMIF(月間集計シート!$M$50:$M$69,$G889,月間集計シート!T$50:T$69)*W$2</f>
        <v>0</v>
      </c>
      <c r="X889" s="88">
        <f>SUMIF(月間集計シート!$M$71:$M$90,$G889,月間集計シート!N$71:N$90)*X$2</f>
        <v>0</v>
      </c>
      <c r="Y889" s="88">
        <f>SUMIF(月間集計シート!$M$71:$M$90,$G889,月間集計シート!O$71:O$90)*Y$2</f>
        <v>0</v>
      </c>
      <c r="Z889" s="88">
        <f>SUMIF(月間集計シート!$M$71:$M$90,$G889,月間集計シート!P$71:P$90)*Z$2</f>
        <v>0</v>
      </c>
      <c r="AA889" s="88">
        <f>SUMIF(月間集計シート!$M$71:$M$90,$G889,月間集計シート!Q$71:Q$90)*AA$2</f>
        <v>0</v>
      </c>
      <c r="AB889" s="88">
        <f>SUMIF(月間集計シート!$M$71:$M$90,$G889,月間集計シート!R$71:R$90)*AB$2</f>
        <v>0</v>
      </c>
      <c r="AC889" s="88">
        <f>SUMIF(月間集計シート!$M$71:$M$90,$G889,月間集計シート!S$71:S$90)*AC$2</f>
        <v>0</v>
      </c>
      <c r="AD889" s="88">
        <f>SUMIF(月間集計シート!$M$71:$M$90,$G889,月間集計シート!T$71:T$90)*AD$2</f>
        <v>0</v>
      </c>
      <c r="AE889" s="88">
        <f>SUMIF(月間集計シート!$M$92:$M$111,$G889,月間集計シート!N$92:N$111)*AE$2</f>
        <v>0</v>
      </c>
      <c r="AF889" s="88">
        <f>SUMIF(月間集計シート!$M$92:$M$111,$G889,月間集計シート!O$92:O$111)*AF$2</f>
        <v>0</v>
      </c>
      <c r="AG889" s="88">
        <f>SUMIF(月間集計シート!$M$92:$M$111,$G889,月間集計シート!P$92:P$111)*AG$2</f>
        <v>0</v>
      </c>
      <c r="AH889" s="88">
        <f>SUMIF(月間集計シート!$M$92:$M$111,$G889,月間集計シート!Q$92:Q$111)*AH$2</f>
        <v>0</v>
      </c>
      <c r="AI889" s="88">
        <f>SUMIF(月間集計シート!$M$92:$M$111,$G889,月間集計シート!R$92:R$111)*AI$2</f>
        <v>0</v>
      </c>
      <c r="AJ889" s="88">
        <f>SUMIF(月間集計シート!$M$92:$M$111,$G889,月間集計シート!S$92:S$111)*AJ$2</f>
        <v>0</v>
      </c>
      <c r="AK889" s="88">
        <f>SUMIF(月間集計シート!$M$92:$M$111,$G889,月間集計シート!T$92:T$111)*AK$2</f>
        <v>0</v>
      </c>
      <c r="AL889" s="88">
        <f>SUMIF(月間集計シート!$M$113:$M$132,$G889,月間集計シート!N$113:N$132)*AL$2</f>
        <v>0</v>
      </c>
      <c r="AM889" s="88">
        <f>SUMIF(月間集計シート!$M$113:$M$132,$G889,月間集計シート!O$113:O$132)*AM$2</f>
        <v>0</v>
      </c>
      <c r="AN889" s="88">
        <f>SUMIF(月間集計シート!$M$113:$M$132,$G889,月間集計シート!P$113:P$132)*AN$2</f>
        <v>0</v>
      </c>
      <c r="AO889" s="88">
        <f>SUMIF(月間集計シート!$M$113:$M$132,$G889,月間集計シート!Q$113:Q$132)*AO$2</f>
        <v>0</v>
      </c>
      <c r="AP889" s="88">
        <f>SUMIF(月間集計シート!$M$113:$M$132,$G889,月間集計シート!R$113:R$132)*AP$2</f>
        <v>0</v>
      </c>
      <c r="AQ889" s="88">
        <f>SUMIF(月間集計シート!$M$113:$M$132,$G889,月間集計シート!S$113:S$132)*AQ$2</f>
        <v>0</v>
      </c>
      <c r="AR889" s="88">
        <f>SUMIF(月間集計シート!$M$113:$M$132,$G889,月間集計シート!T$113:T$132)*AR$2</f>
        <v>0</v>
      </c>
      <c r="AS889" s="88">
        <f>SUMIF(月間集計シート!$M$134:$M$153,$G889,月間集計シート!N$134:N$153)*AS$2</f>
        <v>0</v>
      </c>
      <c r="AT889" s="88">
        <f>SUMIF(月間集計シート!$M$134:$M$153,$G889,月間集計シート!O$134:O$153)*AT$2</f>
        <v>0</v>
      </c>
      <c r="AU889" s="88">
        <f>SUMIF(月間集計シート!$M$134:$M$153,$G889,月間集計シート!P$134:P$153)*AU$2</f>
        <v>0</v>
      </c>
      <c r="AV889" s="88">
        <f>SUMIF(月間集計シート!$M$134:$M$153,$G889,月間集計シート!Q$134:Q$153)*AV$2</f>
        <v>0</v>
      </c>
      <c r="AW889" s="88">
        <f>SUMIF(月間集計シート!$M$134:$M$153,$G889,月間集計シート!R$134:R$153)*AW$2</f>
        <v>0</v>
      </c>
      <c r="AX889" s="88">
        <f>SUMIF(月間集計シート!$M$134:$M$153,$G889,月間集計シート!S$134:S$153)*AX$2</f>
        <v>0</v>
      </c>
      <c r="AY889" s="88">
        <f>SUMIF(月間集計シート!$M$134:$M$153,$G889,月間集計シート!T$134:T$153)*AY$2</f>
        <v>0</v>
      </c>
    </row>
    <row r="890" spans="1:51" ht="14.25" thickBot="1">
      <c r="A890">
        <v>11</v>
      </c>
      <c r="B890" s="120">
        <f t="shared" si="464"/>
        <v>0</v>
      </c>
      <c r="C890" s="120" t="str">
        <f t="shared" si="465"/>
        <v/>
      </c>
      <c r="D890" s="137"/>
      <c r="E890" s="150" t="str">
        <f>工種!A32</f>
        <v>40110</v>
      </c>
      <c r="F890" s="119" t="str">
        <f>工種!B32</f>
        <v>テスト：レビュー</v>
      </c>
      <c r="G890" s="116" t="str">
        <f t="shared" si="466"/>
        <v>040110</v>
      </c>
      <c r="H890" s="88">
        <f t="shared" si="420"/>
        <v>0</v>
      </c>
      <c r="I890" s="132"/>
      <c r="J890" s="88">
        <f>SUMIF(月間集計シート!$M$29:$M$48,$G890,月間集計シート!N$29:N$48)*J$2</f>
        <v>0</v>
      </c>
      <c r="K890" s="88">
        <f>SUMIF(月間集計シート!$M$29:$M$48,$G890,月間集計シート!O$29:O$48)*K$2</f>
        <v>0</v>
      </c>
      <c r="L890" s="88">
        <f>SUMIF(月間集計シート!$M$29:$M$48,$G890,月間集計シート!P$29:P$48)*L$2</f>
        <v>0</v>
      </c>
      <c r="M890" s="88">
        <f>SUMIF(月間集計シート!$M$29:$M$48,$G890,月間集計シート!Q$29:Q$48)*M$2</f>
        <v>0</v>
      </c>
      <c r="N890" s="88">
        <f>SUMIF(月間集計シート!$M$29:$M$48,$G890,月間集計シート!R$29:R$48)*N$2</f>
        <v>0</v>
      </c>
      <c r="O890" s="88">
        <f>SUMIF(月間集計シート!$M$29:$M$48,$G890,月間集計シート!S$29:S$48)*O$2</f>
        <v>0</v>
      </c>
      <c r="P890" s="88">
        <f>SUMIF(月間集計シート!$M$29:$M$48,$G890,月間集計シート!T$29:T$48)*P$2</f>
        <v>0</v>
      </c>
      <c r="Q890" s="88">
        <f>SUMIF(月間集計シート!$M$50:$M$69,$G890,月間集計シート!N$50:N$69)*Q$2</f>
        <v>0</v>
      </c>
      <c r="R890" s="88">
        <f>SUMIF(月間集計シート!$M$50:$M$69,$G890,月間集計シート!O$50:O$69)*R$2</f>
        <v>0</v>
      </c>
      <c r="S890" s="88">
        <f>SUMIF(月間集計シート!$M$50:$M$69,$G890,月間集計シート!P$50:P$69)*S$2</f>
        <v>0</v>
      </c>
      <c r="T890" s="88">
        <f>SUMIF(月間集計シート!$M$50:$M$69,$G890,月間集計シート!Q$50:Q$69)*T$2</f>
        <v>0</v>
      </c>
      <c r="U890" s="88">
        <f>SUMIF(月間集計シート!$M$50:$M$69,$G890,月間集計シート!R$50:R$69)*U$2</f>
        <v>0</v>
      </c>
      <c r="V890" s="88">
        <f>SUMIF(月間集計シート!$M$50:$M$69,$G890,月間集計シート!S$50:S$69)*V$2</f>
        <v>0</v>
      </c>
      <c r="W890" s="88">
        <f>SUMIF(月間集計シート!$M$50:$M$69,$G890,月間集計シート!T$50:T$69)*W$2</f>
        <v>0</v>
      </c>
      <c r="X890" s="88">
        <f>SUMIF(月間集計シート!$M$71:$M$90,$G890,月間集計シート!N$71:N$90)*X$2</f>
        <v>0</v>
      </c>
      <c r="Y890" s="88">
        <f>SUMIF(月間集計シート!$M$71:$M$90,$G890,月間集計シート!O$71:O$90)*Y$2</f>
        <v>0</v>
      </c>
      <c r="Z890" s="88">
        <f>SUMIF(月間集計シート!$M$71:$M$90,$G890,月間集計シート!P$71:P$90)*Z$2</f>
        <v>0</v>
      </c>
      <c r="AA890" s="88">
        <f>SUMIF(月間集計シート!$M$71:$M$90,$G890,月間集計シート!Q$71:Q$90)*AA$2</f>
        <v>0</v>
      </c>
      <c r="AB890" s="88">
        <f>SUMIF(月間集計シート!$M$71:$M$90,$G890,月間集計シート!R$71:R$90)*AB$2</f>
        <v>0</v>
      </c>
      <c r="AC890" s="88">
        <f>SUMIF(月間集計シート!$M$71:$M$90,$G890,月間集計シート!S$71:S$90)*AC$2</f>
        <v>0</v>
      </c>
      <c r="AD890" s="88">
        <f>SUMIF(月間集計シート!$M$71:$M$90,$G890,月間集計シート!T$71:T$90)*AD$2</f>
        <v>0</v>
      </c>
      <c r="AE890" s="88">
        <f>SUMIF(月間集計シート!$M$92:$M$111,$G890,月間集計シート!N$92:N$111)*AE$2</f>
        <v>0</v>
      </c>
      <c r="AF890" s="88">
        <f>SUMIF(月間集計シート!$M$92:$M$111,$G890,月間集計シート!O$92:O$111)*AF$2</f>
        <v>0</v>
      </c>
      <c r="AG890" s="88">
        <f>SUMIF(月間集計シート!$M$92:$M$111,$G890,月間集計シート!P$92:P$111)*AG$2</f>
        <v>0</v>
      </c>
      <c r="AH890" s="88">
        <f>SUMIF(月間集計シート!$M$92:$M$111,$G890,月間集計シート!Q$92:Q$111)*AH$2</f>
        <v>0</v>
      </c>
      <c r="AI890" s="88">
        <f>SUMIF(月間集計シート!$M$92:$M$111,$G890,月間集計シート!R$92:R$111)*AI$2</f>
        <v>0</v>
      </c>
      <c r="AJ890" s="88">
        <f>SUMIF(月間集計シート!$M$92:$M$111,$G890,月間集計シート!S$92:S$111)*AJ$2</f>
        <v>0</v>
      </c>
      <c r="AK890" s="88">
        <f>SUMIF(月間集計シート!$M$92:$M$111,$G890,月間集計シート!T$92:T$111)*AK$2</f>
        <v>0</v>
      </c>
      <c r="AL890" s="88">
        <f>SUMIF(月間集計シート!$M$113:$M$132,$G890,月間集計シート!N$113:N$132)*AL$2</f>
        <v>0</v>
      </c>
      <c r="AM890" s="88">
        <f>SUMIF(月間集計シート!$M$113:$M$132,$G890,月間集計シート!O$113:O$132)*AM$2</f>
        <v>0</v>
      </c>
      <c r="AN890" s="88">
        <f>SUMIF(月間集計シート!$M$113:$M$132,$G890,月間集計シート!P$113:P$132)*AN$2</f>
        <v>0</v>
      </c>
      <c r="AO890" s="88">
        <f>SUMIF(月間集計シート!$M$113:$M$132,$G890,月間集計シート!Q$113:Q$132)*AO$2</f>
        <v>0</v>
      </c>
      <c r="AP890" s="88">
        <f>SUMIF(月間集計シート!$M$113:$M$132,$G890,月間集計シート!R$113:R$132)*AP$2</f>
        <v>0</v>
      </c>
      <c r="AQ890" s="88">
        <f>SUMIF(月間集計シート!$M$113:$M$132,$G890,月間集計シート!S$113:S$132)*AQ$2</f>
        <v>0</v>
      </c>
      <c r="AR890" s="88">
        <f>SUMIF(月間集計シート!$M$113:$M$132,$G890,月間集計シート!T$113:T$132)*AR$2</f>
        <v>0</v>
      </c>
      <c r="AS890" s="88">
        <f>SUMIF(月間集計シート!$M$134:$M$153,$G890,月間集計シート!N$134:N$153)*AS$2</f>
        <v>0</v>
      </c>
      <c r="AT890" s="88">
        <f>SUMIF(月間集計シート!$M$134:$M$153,$G890,月間集計シート!O$134:O$153)*AT$2</f>
        <v>0</v>
      </c>
      <c r="AU890" s="88">
        <f>SUMIF(月間集計シート!$M$134:$M$153,$G890,月間集計シート!P$134:P$153)*AU$2</f>
        <v>0</v>
      </c>
      <c r="AV890" s="88">
        <f>SUMIF(月間集計シート!$M$134:$M$153,$G890,月間集計シート!Q$134:Q$153)*AV$2</f>
        <v>0</v>
      </c>
      <c r="AW890" s="88">
        <f>SUMIF(月間集計シート!$M$134:$M$153,$G890,月間集計シート!R$134:R$153)*AW$2</f>
        <v>0</v>
      </c>
      <c r="AX890" s="88">
        <f>SUMIF(月間集計シート!$M$134:$M$153,$G890,月間集計シート!S$134:S$153)*AX$2</f>
        <v>0</v>
      </c>
      <c r="AY890" s="88">
        <f>SUMIF(月間集計シート!$M$134:$M$153,$G890,月間集計シート!T$134:T$153)*AY$2</f>
        <v>0</v>
      </c>
    </row>
    <row r="891" spans="1:51" ht="14.25" thickBot="1">
      <c r="A891">
        <v>11</v>
      </c>
      <c r="B891" s="120">
        <f t="shared" si="464"/>
        <v>0</v>
      </c>
      <c r="C891" s="120" t="str">
        <f t="shared" si="465"/>
        <v/>
      </c>
      <c r="D891" s="137"/>
      <c r="E891" s="150" t="str">
        <f>工種!A33</f>
        <v>40111</v>
      </c>
      <c r="F891" s="119" t="str">
        <f>工種!B33</f>
        <v>テスト：PG修正（手戻り分）</v>
      </c>
      <c r="G891" s="116" t="str">
        <f t="shared" si="466"/>
        <v>040111</v>
      </c>
      <c r="H891" s="88">
        <f t="shared" si="420"/>
        <v>0</v>
      </c>
      <c r="I891" s="132"/>
      <c r="J891" s="88">
        <f>SUMIF(月間集計シート!$M$29:$M$48,$G891,月間集計シート!N$29:N$48)*J$2</f>
        <v>0</v>
      </c>
      <c r="K891" s="88">
        <f>SUMIF(月間集計シート!$M$29:$M$48,$G891,月間集計シート!O$29:O$48)*K$2</f>
        <v>0</v>
      </c>
      <c r="L891" s="88">
        <f>SUMIF(月間集計シート!$M$29:$M$48,$G891,月間集計シート!P$29:P$48)*L$2</f>
        <v>0</v>
      </c>
      <c r="M891" s="88">
        <f>SUMIF(月間集計シート!$M$29:$M$48,$G891,月間集計シート!Q$29:Q$48)*M$2</f>
        <v>0</v>
      </c>
      <c r="N891" s="88">
        <f>SUMIF(月間集計シート!$M$29:$M$48,$G891,月間集計シート!R$29:R$48)*N$2</f>
        <v>0</v>
      </c>
      <c r="O891" s="88">
        <f>SUMIF(月間集計シート!$M$29:$M$48,$G891,月間集計シート!S$29:S$48)*O$2</f>
        <v>0</v>
      </c>
      <c r="P891" s="88">
        <f>SUMIF(月間集計シート!$M$29:$M$48,$G891,月間集計シート!T$29:T$48)*P$2</f>
        <v>0</v>
      </c>
      <c r="Q891" s="88">
        <f>SUMIF(月間集計シート!$M$50:$M$69,$G891,月間集計シート!N$50:N$69)*Q$2</f>
        <v>0</v>
      </c>
      <c r="R891" s="88">
        <f>SUMIF(月間集計シート!$M$50:$M$69,$G891,月間集計シート!O$50:O$69)*R$2</f>
        <v>0</v>
      </c>
      <c r="S891" s="88">
        <f>SUMIF(月間集計シート!$M$50:$M$69,$G891,月間集計シート!P$50:P$69)*S$2</f>
        <v>0</v>
      </c>
      <c r="T891" s="88">
        <f>SUMIF(月間集計シート!$M$50:$M$69,$G891,月間集計シート!Q$50:Q$69)*T$2</f>
        <v>0</v>
      </c>
      <c r="U891" s="88">
        <f>SUMIF(月間集計シート!$M$50:$M$69,$G891,月間集計シート!R$50:R$69)*U$2</f>
        <v>0</v>
      </c>
      <c r="V891" s="88">
        <f>SUMIF(月間集計シート!$M$50:$M$69,$G891,月間集計シート!S$50:S$69)*V$2</f>
        <v>0</v>
      </c>
      <c r="W891" s="88">
        <f>SUMIF(月間集計シート!$M$50:$M$69,$G891,月間集計シート!T$50:T$69)*W$2</f>
        <v>0</v>
      </c>
      <c r="X891" s="88">
        <f>SUMIF(月間集計シート!$M$71:$M$90,$G891,月間集計シート!N$71:N$90)*X$2</f>
        <v>0</v>
      </c>
      <c r="Y891" s="88">
        <f>SUMIF(月間集計シート!$M$71:$M$90,$G891,月間集計シート!O$71:O$90)*Y$2</f>
        <v>0</v>
      </c>
      <c r="Z891" s="88">
        <f>SUMIF(月間集計シート!$M$71:$M$90,$G891,月間集計シート!P$71:P$90)*Z$2</f>
        <v>0</v>
      </c>
      <c r="AA891" s="88">
        <f>SUMIF(月間集計シート!$M$71:$M$90,$G891,月間集計シート!Q$71:Q$90)*AA$2</f>
        <v>0</v>
      </c>
      <c r="AB891" s="88">
        <f>SUMIF(月間集計シート!$M$71:$M$90,$G891,月間集計シート!R$71:R$90)*AB$2</f>
        <v>0</v>
      </c>
      <c r="AC891" s="88">
        <f>SUMIF(月間集計シート!$M$71:$M$90,$G891,月間集計シート!S$71:S$90)*AC$2</f>
        <v>0</v>
      </c>
      <c r="AD891" s="88">
        <f>SUMIF(月間集計シート!$M$71:$M$90,$G891,月間集計シート!T$71:T$90)*AD$2</f>
        <v>0</v>
      </c>
      <c r="AE891" s="88">
        <f>SUMIF(月間集計シート!$M$92:$M$111,$G891,月間集計シート!N$92:N$111)*AE$2</f>
        <v>0</v>
      </c>
      <c r="AF891" s="88">
        <f>SUMIF(月間集計シート!$M$92:$M$111,$G891,月間集計シート!O$92:O$111)*AF$2</f>
        <v>0</v>
      </c>
      <c r="AG891" s="88">
        <f>SUMIF(月間集計シート!$M$92:$M$111,$G891,月間集計シート!P$92:P$111)*AG$2</f>
        <v>0</v>
      </c>
      <c r="AH891" s="88">
        <f>SUMIF(月間集計シート!$M$92:$M$111,$G891,月間集計シート!Q$92:Q$111)*AH$2</f>
        <v>0</v>
      </c>
      <c r="AI891" s="88">
        <f>SUMIF(月間集計シート!$M$92:$M$111,$G891,月間集計シート!R$92:R$111)*AI$2</f>
        <v>0</v>
      </c>
      <c r="AJ891" s="88">
        <f>SUMIF(月間集計シート!$M$92:$M$111,$G891,月間集計シート!S$92:S$111)*AJ$2</f>
        <v>0</v>
      </c>
      <c r="AK891" s="88">
        <f>SUMIF(月間集計シート!$M$92:$M$111,$G891,月間集計シート!T$92:T$111)*AK$2</f>
        <v>0</v>
      </c>
      <c r="AL891" s="88">
        <f>SUMIF(月間集計シート!$M$113:$M$132,$G891,月間集計シート!N$113:N$132)*AL$2</f>
        <v>0</v>
      </c>
      <c r="AM891" s="88">
        <f>SUMIF(月間集計シート!$M$113:$M$132,$G891,月間集計シート!O$113:O$132)*AM$2</f>
        <v>0</v>
      </c>
      <c r="AN891" s="88">
        <f>SUMIF(月間集計シート!$M$113:$M$132,$G891,月間集計シート!P$113:P$132)*AN$2</f>
        <v>0</v>
      </c>
      <c r="AO891" s="88">
        <f>SUMIF(月間集計シート!$M$113:$M$132,$G891,月間集計シート!Q$113:Q$132)*AO$2</f>
        <v>0</v>
      </c>
      <c r="AP891" s="88">
        <f>SUMIF(月間集計シート!$M$113:$M$132,$G891,月間集計シート!R$113:R$132)*AP$2</f>
        <v>0</v>
      </c>
      <c r="AQ891" s="88">
        <f>SUMIF(月間集計シート!$M$113:$M$132,$G891,月間集計シート!S$113:S$132)*AQ$2</f>
        <v>0</v>
      </c>
      <c r="AR891" s="88">
        <f>SUMIF(月間集計シート!$M$113:$M$132,$G891,月間集計シート!T$113:T$132)*AR$2</f>
        <v>0</v>
      </c>
      <c r="AS891" s="88">
        <f>SUMIF(月間集計シート!$M$134:$M$153,$G891,月間集計シート!N$134:N$153)*AS$2</f>
        <v>0</v>
      </c>
      <c r="AT891" s="88">
        <f>SUMIF(月間集計シート!$M$134:$M$153,$G891,月間集計シート!O$134:O$153)*AT$2</f>
        <v>0</v>
      </c>
      <c r="AU891" s="88">
        <f>SUMIF(月間集計シート!$M$134:$M$153,$G891,月間集計シート!P$134:P$153)*AU$2</f>
        <v>0</v>
      </c>
      <c r="AV891" s="88">
        <f>SUMIF(月間集計シート!$M$134:$M$153,$G891,月間集計シート!Q$134:Q$153)*AV$2</f>
        <v>0</v>
      </c>
      <c r="AW891" s="88">
        <f>SUMIF(月間集計シート!$M$134:$M$153,$G891,月間集計シート!R$134:R$153)*AW$2</f>
        <v>0</v>
      </c>
      <c r="AX891" s="88">
        <f>SUMIF(月間集計シート!$M$134:$M$153,$G891,月間集計シート!S$134:S$153)*AX$2</f>
        <v>0</v>
      </c>
      <c r="AY891" s="88">
        <f>SUMIF(月間集計シート!$M$134:$M$153,$G891,月間集計シート!T$134:T$153)*AY$2</f>
        <v>0</v>
      </c>
    </row>
    <row r="892" spans="1:51" ht="14.25" thickBot="1">
      <c r="A892">
        <v>11</v>
      </c>
      <c r="B892" s="120">
        <f t="shared" si="464"/>
        <v>0</v>
      </c>
      <c r="C892" s="120" t="str">
        <f t="shared" si="465"/>
        <v/>
      </c>
      <c r="D892" s="137"/>
      <c r="E892" s="150" t="str">
        <f>工種!A34</f>
        <v>40112</v>
      </c>
      <c r="F892" s="119" t="str">
        <f>工種!B34</f>
        <v>テスト：再テスト（手戻り分）</v>
      </c>
      <c r="G892" s="116" t="str">
        <f t="shared" si="466"/>
        <v>040112</v>
      </c>
      <c r="H892" s="88">
        <f t="shared" si="420"/>
        <v>0</v>
      </c>
      <c r="I892" s="132"/>
      <c r="J892" s="88">
        <f>SUMIF(月間集計シート!$M$29:$M$48,$G892,月間集計シート!N$29:N$48)*J$2</f>
        <v>0</v>
      </c>
      <c r="K892" s="88">
        <f>SUMIF(月間集計シート!$M$29:$M$48,$G892,月間集計シート!O$29:O$48)*K$2</f>
        <v>0</v>
      </c>
      <c r="L892" s="88">
        <f>SUMIF(月間集計シート!$M$29:$M$48,$G892,月間集計シート!P$29:P$48)*L$2</f>
        <v>0</v>
      </c>
      <c r="M892" s="88">
        <f>SUMIF(月間集計シート!$M$29:$M$48,$G892,月間集計シート!Q$29:Q$48)*M$2</f>
        <v>0</v>
      </c>
      <c r="N892" s="88">
        <f>SUMIF(月間集計シート!$M$29:$M$48,$G892,月間集計シート!R$29:R$48)*N$2</f>
        <v>0</v>
      </c>
      <c r="O892" s="88">
        <f>SUMIF(月間集計シート!$M$29:$M$48,$G892,月間集計シート!S$29:S$48)*O$2</f>
        <v>0</v>
      </c>
      <c r="P892" s="88">
        <f>SUMIF(月間集計シート!$M$29:$M$48,$G892,月間集計シート!T$29:T$48)*P$2</f>
        <v>0</v>
      </c>
      <c r="Q892" s="88">
        <f>SUMIF(月間集計シート!$M$50:$M$69,$G892,月間集計シート!N$50:N$69)*Q$2</f>
        <v>0</v>
      </c>
      <c r="R892" s="88">
        <f>SUMIF(月間集計シート!$M$50:$M$69,$G892,月間集計シート!O$50:O$69)*R$2</f>
        <v>0</v>
      </c>
      <c r="S892" s="88">
        <f>SUMIF(月間集計シート!$M$50:$M$69,$G892,月間集計シート!P$50:P$69)*S$2</f>
        <v>0</v>
      </c>
      <c r="T892" s="88">
        <f>SUMIF(月間集計シート!$M$50:$M$69,$G892,月間集計シート!Q$50:Q$69)*T$2</f>
        <v>0</v>
      </c>
      <c r="U892" s="88">
        <f>SUMIF(月間集計シート!$M$50:$M$69,$G892,月間集計シート!R$50:R$69)*U$2</f>
        <v>0</v>
      </c>
      <c r="V892" s="88">
        <f>SUMIF(月間集計シート!$M$50:$M$69,$G892,月間集計シート!S$50:S$69)*V$2</f>
        <v>0</v>
      </c>
      <c r="W892" s="88">
        <f>SUMIF(月間集計シート!$M$50:$M$69,$G892,月間集計シート!T$50:T$69)*W$2</f>
        <v>0</v>
      </c>
      <c r="X892" s="88">
        <f>SUMIF(月間集計シート!$M$71:$M$90,$G892,月間集計シート!N$71:N$90)*X$2</f>
        <v>0</v>
      </c>
      <c r="Y892" s="88">
        <f>SUMIF(月間集計シート!$M$71:$M$90,$G892,月間集計シート!O$71:O$90)*Y$2</f>
        <v>0</v>
      </c>
      <c r="Z892" s="88">
        <f>SUMIF(月間集計シート!$M$71:$M$90,$G892,月間集計シート!P$71:P$90)*Z$2</f>
        <v>0</v>
      </c>
      <c r="AA892" s="88">
        <f>SUMIF(月間集計シート!$M$71:$M$90,$G892,月間集計シート!Q$71:Q$90)*AA$2</f>
        <v>0</v>
      </c>
      <c r="AB892" s="88">
        <f>SUMIF(月間集計シート!$M$71:$M$90,$G892,月間集計シート!R$71:R$90)*AB$2</f>
        <v>0</v>
      </c>
      <c r="AC892" s="88">
        <f>SUMIF(月間集計シート!$M$71:$M$90,$G892,月間集計シート!S$71:S$90)*AC$2</f>
        <v>0</v>
      </c>
      <c r="AD892" s="88">
        <f>SUMIF(月間集計シート!$M$71:$M$90,$G892,月間集計シート!T$71:T$90)*AD$2</f>
        <v>0</v>
      </c>
      <c r="AE892" s="88">
        <f>SUMIF(月間集計シート!$M$92:$M$111,$G892,月間集計シート!N$92:N$111)*AE$2</f>
        <v>0</v>
      </c>
      <c r="AF892" s="88">
        <f>SUMIF(月間集計シート!$M$92:$M$111,$G892,月間集計シート!O$92:O$111)*AF$2</f>
        <v>0</v>
      </c>
      <c r="AG892" s="88">
        <f>SUMIF(月間集計シート!$M$92:$M$111,$G892,月間集計シート!P$92:P$111)*AG$2</f>
        <v>0</v>
      </c>
      <c r="AH892" s="88">
        <f>SUMIF(月間集計シート!$M$92:$M$111,$G892,月間集計シート!Q$92:Q$111)*AH$2</f>
        <v>0</v>
      </c>
      <c r="AI892" s="88">
        <f>SUMIF(月間集計シート!$M$92:$M$111,$G892,月間集計シート!R$92:R$111)*AI$2</f>
        <v>0</v>
      </c>
      <c r="AJ892" s="88">
        <f>SUMIF(月間集計シート!$M$92:$M$111,$G892,月間集計シート!S$92:S$111)*AJ$2</f>
        <v>0</v>
      </c>
      <c r="AK892" s="88">
        <f>SUMIF(月間集計シート!$M$92:$M$111,$G892,月間集計シート!T$92:T$111)*AK$2</f>
        <v>0</v>
      </c>
      <c r="AL892" s="88">
        <f>SUMIF(月間集計シート!$M$113:$M$132,$G892,月間集計シート!N$113:N$132)*AL$2</f>
        <v>0</v>
      </c>
      <c r="AM892" s="88">
        <f>SUMIF(月間集計シート!$M$113:$M$132,$G892,月間集計シート!O$113:O$132)*AM$2</f>
        <v>0</v>
      </c>
      <c r="AN892" s="88">
        <f>SUMIF(月間集計シート!$M$113:$M$132,$G892,月間集計シート!P$113:P$132)*AN$2</f>
        <v>0</v>
      </c>
      <c r="AO892" s="88">
        <f>SUMIF(月間集計シート!$M$113:$M$132,$G892,月間集計シート!Q$113:Q$132)*AO$2</f>
        <v>0</v>
      </c>
      <c r="AP892" s="88">
        <f>SUMIF(月間集計シート!$M$113:$M$132,$G892,月間集計シート!R$113:R$132)*AP$2</f>
        <v>0</v>
      </c>
      <c r="AQ892" s="88">
        <f>SUMIF(月間集計シート!$M$113:$M$132,$G892,月間集計シート!S$113:S$132)*AQ$2</f>
        <v>0</v>
      </c>
      <c r="AR892" s="88">
        <f>SUMIF(月間集計シート!$M$113:$M$132,$G892,月間集計シート!T$113:T$132)*AR$2</f>
        <v>0</v>
      </c>
      <c r="AS892" s="88">
        <f>SUMIF(月間集計シート!$M$134:$M$153,$G892,月間集計シート!N$134:N$153)*AS$2</f>
        <v>0</v>
      </c>
      <c r="AT892" s="88">
        <f>SUMIF(月間集計シート!$M$134:$M$153,$G892,月間集計シート!O$134:O$153)*AT$2</f>
        <v>0</v>
      </c>
      <c r="AU892" s="88">
        <f>SUMIF(月間集計シート!$M$134:$M$153,$G892,月間集計シート!P$134:P$153)*AU$2</f>
        <v>0</v>
      </c>
      <c r="AV892" s="88">
        <f>SUMIF(月間集計シート!$M$134:$M$153,$G892,月間集計シート!Q$134:Q$153)*AV$2</f>
        <v>0</v>
      </c>
      <c r="AW892" s="88">
        <f>SUMIF(月間集計シート!$M$134:$M$153,$G892,月間集計シート!R$134:R$153)*AW$2</f>
        <v>0</v>
      </c>
      <c r="AX892" s="88">
        <f>SUMIF(月間集計シート!$M$134:$M$153,$G892,月間集計シート!S$134:S$153)*AX$2</f>
        <v>0</v>
      </c>
      <c r="AY892" s="88">
        <f>SUMIF(月間集計シート!$M$134:$M$153,$G892,月間集計シート!T$134:T$153)*AY$2</f>
        <v>0</v>
      </c>
    </row>
    <row r="893" spans="1:51" ht="14.25" thickBot="1">
      <c r="A893">
        <v>11</v>
      </c>
      <c r="B893" s="120">
        <f t="shared" si="464"/>
        <v>0</v>
      </c>
      <c r="C893" s="120" t="str">
        <f t="shared" si="465"/>
        <v/>
      </c>
      <c r="D893" s="137"/>
      <c r="E893" s="150" t="str">
        <f>工種!A35</f>
        <v>40113</v>
      </c>
      <c r="F893" s="119" t="str">
        <f>工種!B35</f>
        <v>テスト：QA対応</v>
      </c>
      <c r="G893" s="116" t="str">
        <f t="shared" si="466"/>
        <v>040113</v>
      </c>
      <c r="H893" s="88">
        <f t="shared" si="420"/>
        <v>0</v>
      </c>
      <c r="I893" s="132"/>
      <c r="J893" s="88">
        <f>SUMIF(月間集計シート!$M$29:$M$48,$G893,月間集計シート!N$29:N$48)*J$2</f>
        <v>0</v>
      </c>
      <c r="K893" s="88">
        <f>SUMIF(月間集計シート!$M$29:$M$48,$G893,月間集計シート!O$29:O$48)*K$2</f>
        <v>0</v>
      </c>
      <c r="L893" s="88">
        <f>SUMIF(月間集計シート!$M$29:$M$48,$G893,月間集計シート!P$29:P$48)*L$2</f>
        <v>0</v>
      </c>
      <c r="M893" s="88">
        <f>SUMIF(月間集計シート!$M$29:$M$48,$G893,月間集計シート!Q$29:Q$48)*M$2</f>
        <v>0</v>
      </c>
      <c r="N893" s="88">
        <f>SUMIF(月間集計シート!$M$29:$M$48,$G893,月間集計シート!R$29:R$48)*N$2</f>
        <v>0</v>
      </c>
      <c r="O893" s="88">
        <f>SUMIF(月間集計シート!$M$29:$M$48,$G893,月間集計シート!S$29:S$48)*O$2</f>
        <v>0</v>
      </c>
      <c r="P893" s="88">
        <f>SUMIF(月間集計シート!$M$29:$M$48,$G893,月間集計シート!T$29:T$48)*P$2</f>
        <v>0</v>
      </c>
      <c r="Q893" s="88">
        <f>SUMIF(月間集計シート!$M$50:$M$69,$G893,月間集計シート!N$50:N$69)*Q$2</f>
        <v>0</v>
      </c>
      <c r="R893" s="88">
        <f>SUMIF(月間集計シート!$M$50:$M$69,$G893,月間集計シート!O$50:O$69)*R$2</f>
        <v>0</v>
      </c>
      <c r="S893" s="88">
        <f>SUMIF(月間集計シート!$M$50:$M$69,$G893,月間集計シート!P$50:P$69)*S$2</f>
        <v>0</v>
      </c>
      <c r="T893" s="88">
        <f>SUMIF(月間集計シート!$M$50:$M$69,$G893,月間集計シート!Q$50:Q$69)*T$2</f>
        <v>0</v>
      </c>
      <c r="U893" s="88">
        <f>SUMIF(月間集計シート!$M$50:$M$69,$G893,月間集計シート!R$50:R$69)*U$2</f>
        <v>0</v>
      </c>
      <c r="V893" s="88">
        <f>SUMIF(月間集計シート!$M$50:$M$69,$G893,月間集計シート!S$50:S$69)*V$2</f>
        <v>0</v>
      </c>
      <c r="W893" s="88">
        <f>SUMIF(月間集計シート!$M$50:$M$69,$G893,月間集計シート!T$50:T$69)*W$2</f>
        <v>0</v>
      </c>
      <c r="X893" s="88">
        <f>SUMIF(月間集計シート!$M$71:$M$90,$G893,月間集計シート!N$71:N$90)*X$2</f>
        <v>0</v>
      </c>
      <c r="Y893" s="88">
        <f>SUMIF(月間集計シート!$M$71:$M$90,$G893,月間集計シート!O$71:O$90)*Y$2</f>
        <v>0</v>
      </c>
      <c r="Z893" s="88">
        <f>SUMIF(月間集計シート!$M$71:$M$90,$G893,月間集計シート!P$71:P$90)*Z$2</f>
        <v>0</v>
      </c>
      <c r="AA893" s="88">
        <f>SUMIF(月間集計シート!$M$71:$M$90,$G893,月間集計シート!Q$71:Q$90)*AA$2</f>
        <v>0</v>
      </c>
      <c r="AB893" s="88">
        <f>SUMIF(月間集計シート!$M$71:$M$90,$G893,月間集計シート!R$71:R$90)*AB$2</f>
        <v>0</v>
      </c>
      <c r="AC893" s="88">
        <f>SUMIF(月間集計シート!$M$71:$M$90,$G893,月間集計シート!S$71:S$90)*AC$2</f>
        <v>0</v>
      </c>
      <c r="AD893" s="88">
        <f>SUMIF(月間集計シート!$M$71:$M$90,$G893,月間集計シート!T$71:T$90)*AD$2</f>
        <v>0</v>
      </c>
      <c r="AE893" s="88">
        <f>SUMIF(月間集計シート!$M$92:$M$111,$G893,月間集計シート!N$92:N$111)*AE$2</f>
        <v>0</v>
      </c>
      <c r="AF893" s="88">
        <f>SUMIF(月間集計シート!$M$92:$M$111,$G893,月間集計シート!O$92:O$111)*AF$2</f>
        <v>0</v>
      </c>
      <c r="AG893" s="88">
        <f>SUMIF(月間集計シート!$M$92:$M$111,$G893,月間集計シート!P$92:P$111)*AG$2</f>
        <v>0</v>
      </c>
      <c r="AH893" s="88">
        <f>SUMIF(月間集計シート!$M$92:$M$111,$G893,月間集計シート!Q$92:Q$111)*AH$2</f>
        <v>0</v>
      </c>
      <c r="AI893" s="88">
        <f>SUMIF(月間集計シート!$M$92:$M$111,$G893,月間集計シート!R$92:R$111)*AI$2</f>
        <v>0</v>
      </c>
      <c r="AJ893" s="88">
        <f>SUMIF(月間集計シート!$M$92:$M$111,$G893,月間集計シート!S$92:S$111)*AJ$2</f>
        <v>0</v>
      </c>
      <c r="AK893" s="88">
        <f>SUMIF(月間集計シート!$M$92:$M$111,$G893,月間集計シート!T$92:T$111)*AK$2</f>
        <v>0</v>
      </c>
      <c r="AL893" s="88">
        <f>SUMIF(月間集計シート!$M$113:$M$132,$G893,月間集計シート!N$113:N$132)*AL$2</f>
        <v>0</v>
      </c>
      <c r="AM893" s="88">
        <f>SUMIF(月間集計シート!$M$113:$M$132,$G893,月間集計シート!O$113:O$132)*AM$2</f>
        <v>0</v>
      </c>
      <c r="AN893" s="88">
        <f>SUMIF(月間集計シート!$M$113:$M$132,$G893,月間集計シート!P$113:P$132)*AN$2</f>
        <v>0</v>
      </c>
      <c r="AO893" s="88">
        <f>SUMIF(月間集計シート!$M$113:$M$132,$G893,月間集計シート!Q$113:Q$132)*AO$2</f>
        <v>0</v>
      </c>
      <c r="AP893" s="88">
        <f>SUMIF(月間集計シート!$M$113:$M$132,$G893,月間集計シート!R$113:R$132)*AP$2</f>
        <v>0</v>
      </c>
      <c r="AQ893" s="88">
        <f>SUMIF(月間集計シート!$M$113:$M$132,$G893,月間集計シート!S$113:S$132)*AQ$2</f>
        <v>0</v>
      </c>
      <c r="AR893" s="88">
        <f>SUMIF(月間集計シート!$M$113:$M$132,$G893,月間集計シート!T$113:T$132)*AR$2</f>
        <v>0</v>
      </c>
      <c r="AS893" s="88">
        <f>SUMIF(月間集計シート!$M$134:$M$153,$G893,月間集計シート!N$134:N$153)*AS$2</f>
        <v>0</v>
      </c>
      <c r="AT893" s="88">
        <f>SUMIF(月間集計シート!$M$134:$M$153,$G893,月間集計シート!O$134:O$153)*AT$2</f>
        <v>0</v>
      </c>
      <c r="AU893" s="88">
        <f>SUMIF(月間集計シート!$M$134:$M$153,$G893,月間集計シート!P$134:P$153)*AU$2</f>
        <v>0</v>
      </c>
      <c r="AV893" s="88">
        <f>SUMIF(月間集計シート!$M$134:$M$153,$G893,月間集計シート!Q$134:Q$153)*AV$2</f>
        <v>0</v>
      </c>
      <c r="AW893" s="88">
        <f>SUMIF(月間集計シート!$M$134:$M$153,$G893,月間集計シート!R$134:R$153)*AW$2</f>
        <v>0</v>
      </c>
      <c r="AX893" s="88">
        <f>SUMIF(月間集計シート!$M$134:$M$153,$G893,月間集計シート!S$134:S$153)*AX$2</f>
        <v>0</v>
      </c>
      <c r="AY893" s="88">
        <f>SUMIF(月間集計シート!$M$134:$M$153,$G893,月間集計シート!T$134:T$153)*AY$2</f>
        <v>0</v>
      </c>
    </row>
    <row r="894" spans="1:51" ht="14.25" thickBot="1">
      <c r="A894">
        <v>11</v>
      </c>
      <c r="B894" s="120">
        <f t="shared" si="464"/>
        <v>0</v>
      </c>
      <c r="C894" s="120" t="str">
        <f t="shared" si="465"/>
        <v/>
      </c>
      <c r="D894" s="137"/>
      <c r="E894" s="150" t="str">
        <f>工種!A36</f>
        <v>40189</v>
      </c>
      <c r="F894" s="119" t="str">
        <f>工種!B36</f>
        <v>テスト：内部不具合分析</v>
      </c>
      <c r="G894" s="116" t="str">
        <f t="shared" si="466"/>
        <v>040189</v>
      </c>
      <c r="H894" s="88">
        <f t="shared" si="420"/>
        <v>0</v>
      </c>
      <c r="I894" s="132"/>
      <c r="J894" s="88">
        <f>SUMIF(月間集計シート!$M$29:$M$48,$G894,月間集計シート!N$29:N$48)*J$2</f>
        <v>0</v>
      </c>
      <c r="K894" s="88">
        <f>SUMIF(月間集計シート!$M$29:$M$48,$G894,月間集計シート!O$29:O$48)*K$2</f>
        <v>0</v>
      </c>
      <c r="L894" s="88">
        <f>SUMIF(月間集計シート!$M$29:$M$48,$G894,月間集計シート!P$29:P$48)*L$2</f>
        <v>0</v>
      </c>
      <c r="M894" s="88">
        <f>SUMIF(月間集計シート!$M$29:$M$48,$G894,月間集計シート!Q$29:Q$48)*M$2</f>
        <v>0</v>
      </c>
      <c r="N894" s="88">
        <f>SUMIF(月間集計シート!$M$29:$M$48,$G894,月間集計シート!R$29:R$48)*N$2</f>
        <v>0</v>
      </c>
      <c r="O894" s="88">
        <f>SUMIF(月間集計シート!$M$29:$M$48,$G894,月間集計シート!S$29:S$48)*O$2</f>
        <v>0</v>
      </c>
      <c r="P894" s="88">
        <f>SUMIF(月間集計シート!$M$29:$M$48,$G894,月間集計シート!T$29:T$48)*P$2</f>
        <v>0</v>
      </c>
      <c r="Q894" s="88">
        <f>SUMIF(月間集計シート!$M$50:$M$69,$G894,月間集計シート!N$50:N$69)*Q$2</f>
        <v>0</v>
      </c>
      <c r="R894" s="88">
        <f>SUMIF(月間集計シート!$M$50:$M$69,$G894,月間集計シート!O$50:O$69)*R$2</f>
        <v>0</v>
      </c>
      <c r="S894" s="88">
        <f>SUMIF(月間集計シート!$M$50:$M$69,$G894,月間集計シート!P$50:P$69)*S$2</f>
        <v>0</v>
      </c>
      <c r="T894" s="88">
        <f>SUMIF(月間集計シート!$M$50:$M$69,$G894,月間集計シート!Q$50:Q$69)*T$2</f>
        <v>0</v>
      </c>
      <c r="U894" s="88">
        <f>SUMIF(月間集計シート!$M$50:$M$69,$G894,月間集計シート!R$50:R$69)*U$2</f>
        <v>0</v>
      </c>
      <c r="V894" s="88">
        <f>SUMIF(月間集計シート!$M$50:$M$69,$G894,月間集計シート!S$50:S$69)*V$2</f>
        <v>0</v>
      </c>
      <c r="W894" s="88">
        <f>SUMIF(月間集計シート!$M$50:$M$69,$G894,月間集計シート!T$50:T$69)*W$2</f>
        <v>0</v>
      </c>
      <c r="X894" s="88">
        <f>SUMIF(月間集計シート!$M$71:$M$90,$G894,月間集計シート!N$71:N$90)*X$2</f>
        <v>0</v>
      </c>
      <c r="Y894" s="88">
        <f>SUMIF(月間集計シート!$M$71:$M$90,$G894,月間集計シート!O$71:O$90)*Y$2</f>
        <v>0</v>
      </c>
      <c r="Z894" s="88">
        <f>SUMIF(月間集計シート!$M$71:$M$90,$G894,月間集計シート!P$71:P$90)*Z$2</f>
        <v>0</v>
      </c>
      <c r="AA894" s="88">
        <f>SUMIF(月間集計シート!$M$71:$M$90,$G894,月間集計シート!Q$71:Q$90)*AA$2</f>
        <v>0</v>
      </c>
      <c r="AB894" s="88">
        <f>SUMIF(月間集計シート!$M$71:$M$90,$G894,月間集計シート!R$71:R$90)*AB$2</f>
        <v>0</v>
      </c>
      <c r="AC894" s="88">
        <f>SUMIF(月間集計シート!$M$71:$M$90,$G894,月間集計シート!S$71:S$90)*AC$2</f>
        <v>0</v>
      </c>
      <c r="AD894" s="88">
        <f>SUMIF(月間集計シート!$M$71:$M$90,$G894,月間集計シート!T$71:T$90)*AD$2</f>
        <v>0</v>
      </c>
      <c r="AE894" s="88">
        <f>SUMIF(月間集計シート!$M$92:$M$111,$G894,月間集計シート!N$92:N$111)*AE$2</f>
        <v>0</v>
      </c>
      <c r="AF894" s="88">
        <f>SUMIF(月間集計シート!$M$92:$M$111,$G894,月間集計シート!O$92:O$111)*AF$2</f>
        <v>0</v>
      </c>
      <c r="AG894" s="88">
        <f>SUMIF(月間集計シート!$M$92:$M$111,$G894,月間集計シート!P$92:P$111)*AG$2</f>
        <v>0</v>
      </c>
      <c r="AH894" s="88">
        <f>SUMIF(月間集計シート!$M$92:$M$111,$G894,月間集計シート!Q$92:Q$111)*AH$2</f>
        <v>0</v>
      </c>
      <c r="AI894" s="88">
        <f>SUMIF(月間集計シート!$M$92:$M$111,$G894,月間集計シート!R$92:R$111)*AI$2</f>
        <v>0</v>
      </c>
      <c r="AJ894" s="88">
        <f>SUMIF(月間集計シート!$M$92:$M$111,$G894,月間集計シート!S$92:S$111)*AJ$2</f>
        <v>0</v>
      </c>
      <c r="AK894" s="88">
        <f>SUMIF(月間集計シート!$M$92:$M$111,$G894,月間集計シート!T$92:T$111)*AK$2</f>
        <v>0</v>
      </c>
      <c r="AL894" s="88">
        <f>SUMIF(月間集計シート!$M$113:$M$132,$G894,月間集計シート!N$113:N$132)*AL$2</f>
        <v>0</v>
      </c>
      <c r="AM894" s="88">
        <f>SUMIF(月間集計シート!$M$113:$M$132,$G894,月間集計シート!O$113:O$132)*AM$2</f>
        <v>0</v>
      </c>
      <c r="AN894" s="88">
        <f>SUMIF(月間集計シート!$M$113:$M$132,$G894,月間集計シート!P$113:P$132)*AN$2</f>
        <v>0</v>
      </c>
      <c r="AO894" s="88">
        <f>SUMIF(月間集計シート!$M$113:$M$132,$G894,月間集計シート!Q$113:Q$132)*AO$2</f>
        <v>0</v>
      </c>
      <c r="AP894" s="88">
        <f>SUMIF(月間集計シート!$M$113:$M$132,$G894,月間集計シート!R$113:R$132)*AP$2</f>
        <v>0</v>
      </c>
      <c r="AQ894" s="88">
        <f>SUMIF(月間集計シート!$M$113:$M$132,$G894,月間集計シート!S$113:S$132)*AQ$2</f>
        <v>0</v>
      </c>
      <c r="AR894" s="88">
        <f>SUMIF(月間集計シート!$M$113:$M$132,$G894,月間集計シート!T$113:T$132)*AR$2</f>
        <v>0</v>
      </c>
      <c r="AS894" s="88">
        <f>SUMIF(月間集計シート!$M$134:$M$153,$G894,月間集計シート!N$134:N$153)*AS$2</f>
        <v>0</v>
      </c>
      <c r="AT894" s="88">
        <f>SUMIF(月間集計シート!$M$134:$M$153,$G894,月間集計シート!O$134:O$153)*AT$2</f>
        <v>0</v>
      </c>
      <c r="AU894" s="88">
        <f>SUMIF(月間集計シート!$M$134:$M$153,$G894,月間集計シート!P$134:P$153)*AU$2</f>
        <v>0</v>
      </c>
      <c r="AV894" s="88">
        <f>SUMIF(月間集計シート!$M$134:$M$153,$G894,月間集計シート!Q$134:Q$153)*AV$2</f>
        <v>0</v>
      </c>
      <c r="AW894" s="88">
        <f>SUMIF(月間集計シート!$M$134:$M$153,$G894,月間集計シート!R$134:R$153)*AW$2</f>
        <v>0</v>
      </c>
      <c r="AX894" s="88">
        <f>SUMIF(月間集計シート!$M$134:$M$153,$G894,月間集計シート!S$134:S$153)*AX$2</f>
        <v>0</v>
      </c>
      <c r="AY894" s="88">
        <f>SUMIF(月間集計シート!$M$134:$M$153,$G894,月間集計シート!T$134:T$153)*AY$2</f>
        <v>0</v>
      </c>
    </row>
    <row r="895" spans="1:51" ht="14.25" thickBot="1">
      <c r="A895">
        <v>11</v>
      </c>
      <c r="B895" s="120">
        <f t="shared" si="464"/>
        <v>0</v>
      </c>
      <c r="C895" s="120" t="str">
        <f t="shared" si="465"/>
        <v/>
      </c>
      <c r="D895" s="137"/>
      <c r="E895" s="150" t="str">
        <f>工種!A37</f>
        <v>40199</v>
      </c>
      <c r="F895" s="119" t="str">
        <f>工種!B37</f>
        <v>テスト：その他</v>
      </c>
      <c r="G895" s="116" t="str">
        <f t="shared" si="466"/>
        <v>040199</v>
      </c>
      <c r="H895" s="88">
        <f t="shared" si="420"/>
        <v>0</v>
      </c>
      <c r="I895" s="132"/>
      <c r="J895" s="88">
        <f>SUMIF(月間集計シート!$M$29:$M$48,$G895,月間集計シート!N$29:N$48)*J$2</f>
        <v>0</v>
      </c>
      <c r="K895" s="88">
        <f>SUMIF(月間集計シート!$M$29:$M$48,$G895,月間集計シート!O$29:O$48)*K$2</f>
        <v>0</v>
      </c>
      <c r="L895" s="88">
        <f>SUMIF(月間集計シート!$M$29:$M$48,$G895,月間集計シート!P$29:P$48)*L$2</f>
        <v>0</v>
      </c>
      <c r="M895" s="88">
        <f>SUMIF(月間集計シート!$M$29:$M$48,$G895,月間集計シート!Q$29:Q$48)*M$2</f>
        <v>0</v>
      </c>
      <c r="N895" s="88">
        <f>SUMIF(月間集計シート!$M$29:$M$48,$G895,月間集計シート!R$29:R$48)*N$2</f>
        <v>0</v>
      </c>
      <c r="O895" s="88">
        <f>SUMIF(月間集計シート!$M$29:$M$48,$G895,月間集計シート!S$29:S$48)*O$2</f>
        <v>0</v>
      </c>
      <c r="P895" s="88">
        <f>SUMIF(月間集計シート!$M$29:$M$48,$G895,月間集計シート!T$29:T$48)*P$2</f>
        <v>0</v>
      </c>
      <c r="Q895" s="88">
        <f>SUMIF(月間集計シート!$M$50:$M$69,$G895,月間集計シート!N$50:N$69)*Q$2</f>
        <v>0</v>
      </c>
      <c r="R895" s="88">
        <f>SUMIF(月間集計シート!$M$50:$M$69,$G895,月間集計シート!O$50:O$69)*R$2</f>
        <v>0</v>
      </c>
      <c r="S895" s="88">
        <f>SUMIF(月間集計シート!$M$50:$M$69,$G895,月間集計シート!P$50:P$69)*S$2</f>
        <v>0</v>
      </c>
      <c r="T895" s="88">
        <f>SUMIF(月間集計シート!$M$50:$M$69,$G895,月間集計シート!Q$50:Q$69)*T$2</f>
        <v>0</v>
      </c>
      <c r="U895" s="88">
        <f>SUMIF(月間集計シート!$M$50:$M$69,$G895,月間集計シート!R$50:R$69)*U$2</f>
        <v>0</v>
      </c>
      <c r="V895" s="88">
        <f>SUMIF(月間集計シート!$M$50:$M$69,$G895,月間集計シート!S$50:S$69)*V$2</f>
        <v>0</v>
      </c>
      <c r="W895" s="88">
        <f>SUMIF(月間集計シート!$M$50:$M$69,$G895,月間集計シート!T$50:T$69)*W$2</f>
        <v>0</v>
      </c>
      <c r="X895" s="88">
        <f>SUMIF(月間集計シート!$M$71:$M$90,$G895,月間集計シート!N$71:N$90)*X$2</f>
        <v>0</v>
      </c>
      <c r="Y895" s="88">
        <f>SUMIF(月間集計シート!$M$71:$M$90,$G895,月間集計シート!O$71:O$90)*Y$2</f>
        <v>0</v>
      </c>
      <c r="Z895" s="88">
        <f>SUMIF(月間集計シート!$M$71:$M$90,$G895,月間集計シート!P$71:P$90)*Z$2</f>
        <v>0</v>
      </c>
      <c r="AA895" s="88">
        <f>SUMIF(月間集計シート!$M$71:$M$90,$G895,月間集計シート!Q$71:Q$90)*AA$2</f>
        <v>0</v>
      </c>
      <c r="AB895" s="88">
        <f>SUMIF(月間集計シート!$M$71:$M$90,$G895,月間集計シート!R$71:R$90)*AB$2</f>
        <v>0</v>
      </c>
      <c r="AC895" s="88">
        <f>SUMIF(月間集計シート!$M$71:$M$90,$G895,月間集計シート!S$71:S$90)*AC$2</f>
        <v>0</v>
      </c>
      <c r="AD895" s="88">
        <f>SUMIF(月間集計シート!$M$71:$M$90,$G895,月間集計シート!T$71:T$90)*AD$2</f>
        <v>0</v>
      </c>
      <c r="AE895" s="88">
        <f>SUMIF(月間集計シート!$M$92:$M$111,$G895,月間集計シート!N$92:N$111)*AE$2</f>
        <v>0</v>
      </c>
      <c r="AF895" s="88">
        <f>SUMIF(月間集計シート!$M$92:$M$111,$G895,月間集計シート!O$92:O$111)*AF$2</f>
        <v>0</v>
      </c>
      <c r="AG895" s="88">
        <f>SUMIF(月間集計シート!$M$92:$M$111,$G895,月間集計シート!P$92:P$111)*AG$2</f>
        <v>0</v>
      </c>
      <c r="AH895" s="88">
        <f>SUMIF(月間集計シート!$M$92:$M$111,$G895,月間集計シート!Q$92:Q$111)*AH$2</f>
        <v>0</v>
      </c>
      <c r="AI895" s="88">
        <f>SUMIF(月間集計シート!$M$92:$M$111,$G895,月間集計シート!R$92:R$111)*AI$2</f>
        <v>0</v>
      </c>
      <c r="AJ895" s="88">
        <f>SUMIF(月間集計シート!$M$92:$M$111,$G895,月間集計シート!S$92:S$111)*AJ$2</f>
        <v>0</v>
      </c>
      <c r="AK895" s="88">
        <f>SUMIF(月間集計シート!$M$92:$M$111,$G895,月間集計シート!T$92:T$111)*AK$2</f>
        <v>0</v>
      </c>
      <c r="AL895" s="88">
        <f>SUMIF(月間集計シート!$M$113:$M$132,$G895,月間集計シート!N$113:N$132)*AL$2</f>
        <v>0</v>
      </c>
      <c r="AM895" s="88">
        <f>SUMIF(月間集計シート!$M$113:$M$132,$G895,月間集計シート!O$113:O$132)*AM$2</f>
        <v>0</v>
      </c>
      <c r="AN895" s="88">
        <f>SUMIF(月間集計シート!$M$113:$M$132,$G895,月間集計シート!P$113:P$132)*AN$2</f>
        <v>0</v>
      </c>
      <c r="AO895" s="88">
        <f>SUMIF(月間集計シート!$M$113:$M$132,$G895,月間集計シート!Q$113:Q$132)*AO$2</f>
        <v>0</v>
      </c>
      <c r="AP895" s="88">
        <f>SUMIF(月間集計シート!$M$113:$M$132,$G895,月間集計シート!R$113:R$132)*AP$2</f>
        <v>0</v>
      </c>
      <c r="AQ895" s="88">
        <f>SUMIF(月間集計シート!$M$113:$M$132,$G895,月間集計シート!S$113:S$132)*AQ$2</f>
        <v>0</v>
      </c>
      <c r="AR895" s="88">
        <f>SUMIF(月間集計シート!$M$113:$M$132,$G895,月間集計シート!T$113:T$132)*AR$2</f>
        <v>0</v>
      </c>
      <c r="AS895" s="88">
        <f>SUMIF(月間集計シート!$M$134:$M$153,$G895,月間集計シート!N$134:N$153)*AS$2</f>
        <v>0</v>
      </c>
      <c r="AT895" s="88">
        <f>SUMIF(月間集計シート!$M$134:$M$153,$G895,月間集計シート!O$134:O$153)*AT$2</f>
        <v>0</v>
      </c>
      <c r="AU895" s="88">
        <f>SUMIF(月間集計シート!$M$134:$M$153,$G895,月間集計シート!P$134:P$153)*AU$2</f>
        <v>0</v>
      </c>
      <c r="AV895" s="88">
        <f>SUMIF(月間集計シート!$M$134:$M$153,$G895,月間集計シート!Q$134:Q$153)*AV$2</f>
        <v>0</v>
      </c>
      <c r="AW895" s="88">
        <f>SUMIF(月間集計シート!$M$134:$M$153,$G895,月間集計シート!R$134:R$153)*AW$2</f>
        <v>0</v>
      </c>
      <c r="AX895" s="88">
        <f>SUMIF(月間集計シート!$M$134:$M$153,$G895,月間集計シート!S$134:S$153)*AX$2</f>
        <v>0</v>
      </c>
      <c r="AY895" s="88">
        <f>SUMIF(月間集計シート!$M$134:$M$153,$G895,月間集計シート!T$134:T$153)*AY$2</f>
        <v>0</v>
      </c>
    </row>
    <row r="896" spans="1:51" ht="14.25" thickBot="1">
      <c r="A896">
        <v>11</v>
      </c>
      <c r="B896" s="120">
        <f t="shared" si="464"/>
        <v>0</v>
      </c>
      <c r="C896" s="120" t="str">
        <f t="shared" si="465"/>
        <v/>
      </c>
      <c r="D896" s="137"/>
      <c r="E896" s="150" t="str">
        <f>工種!A38</f>
        <v>50101</v>
      </c>
      <c r="F896" s="119" t="str">
        <f>工種!B38</f>
        <v>ﾏﾆｭｱﾙ作成：原稿作成</v>
      </c>
      <c r="G896" s="116" t="str">
        <f t="shared" si="466"/>
        <v>050101</v>
      </c>
      <c r="H896" s="88">
        <f t="shared" si="420"/>
        <v>0</v>
      </c>
      <c r="I896" s="132"/>
      <c r="J896" s="88">
        <f>SUMIF(月間集計シート!$M$29:$M$48,$G896,月間集計シート!N$29:N$48)*J$2</f>
        <v>0</v>
      </c>
      <c r="K896" s="88">
        <f>SUMIF(月間集計シート!$M$29:$M$48,$G896,月間集計シート!O$29:O$48)*K$2</f>
        <v>0</v>
      </c>
      <c r="L896" s="88">
        <f>SUMIF(月間集計シート!$M$29:$M$48,$G896,月間集計シート!P$29:P$48)*L$2</f>
        <v>0</v>
      </c>
      <c r="M896" s="88">
        <f>SUMIF(月間集計シート!$M$29:$M$48,$G896,月間集計シート!Q$29:Q$48)*M$2</f>
        <v>0</v>
      </c>
      <c r="N896" s="88">
        <f>SUMIF(月間集計シート!$M$29:$M$48,$G896,月間集計シート!R$29:R$48)*N$2</f>
        <v>0</v>
      </c>
      <c r="O896" s="88">
        <f>SUMIF(月間集計シート!$M$29:$M$48,$G896,月間集計シート!S$29:S$48)*O$2</f>
        <v>0</v>
      </c>
      <c r="P896" s="88">
        <f>SUMIF(月間集計シート!$M$29:$M$48,$G896,月間集計シート!T$29:T$48)*P$2</f>
        <v>0</v>
      </c>
      <c r="Q896" s="88">
        <f>SUMIF(月間集計シート!$M$50:$M$69,$G896,月間集計シート!N$50:N$69)*Q$2</f>
        <v>0</v>
      </c>
      <c r="R896" s="88">
        <f>SUMIF(月間集計シート!$M$50:$M$69,$G896,月間集計シート!O$50:O$69)*R$2</f>
        <v>0</v>
      </c>
      <c r="S896" s="88">
        <f>SUMIF(月間集計シート!$M$50:$M$69,$G896,月間集計シート!P$50:P$69)*S$2</f>
        <v>0</v>
      </c>
      <c r="T896" s="88">
        <f>SUMIF(月間集計シート!$M$50:$M$69,$G896,月間集計シート!Q$50:Q$69)*T$2</f>
        <v>0</v>
      </c>
      <c r="U896" s="88">
        <f>SUMIF(月間集計シート!$M$50:$M$69,$G896,月間集計シート!R$50:R$69)*U$2</f>
        <v>0</v>
      </c>
      <c r="V896" s="88">
        <f>SUMIF(月間集計シート!$M$50:$M$69,$G896,月間集計シート!S$50:S$69)*V$2</f>
        <v>0</v>
      </c>
      <c r="W896" s="88">
        <f>SUMIF(月間集計シート!$M$50:$M$69,$G896,月間集計シート!T$50:T$69)*W$2</f>
        <v>0</v>
      </c>
      <c r="X896" s="88">
        <f>SUMIF(月間集計シート!$M$71:$M$90,$G896,月間集計シート!N$71:N$90)*X$2</f>
        <v>0</v>
      </c>
      <c r="Y896" s="88">
        <f>SUMIF(月間集計シート!$M$71:$M$90,$G896,月間集計シート!O$71:O$90)*Y$2</f>
        <v>0</v>
      </c>
      <c r="Z896" s="88">
        <f>SUMIF(月間集計シート!$M$71:$M$90,$G896,月間集計シート!P$71:P$90)*Z$2</f>
        <v>0</v>
      </c>
      <c r="AA896" s="88">
        <f>SUMIF(月間集計シート!$M$71:$M$90,$G896,月間集計シート!Q$71:Q$90)*AA$2</f>
        <v>0</v>
      </c>
      <c r="AB896" s="88">
        <f>SUMIF(月間集計シート!$M$71:$M$90,$G896,月間集計シート!R$71:R$90)*AB$2</f>
        <v>0</v>
      </c>
      <c r="AC896" s="88">
        <f>SUMIF(月間集計シート!$M$71:$M$90,$G896,月間集計シート!S$71:S$90)*AC$2</f>
        <v>0</v>
      </c>
      <c r="AD896" s="88">
        <f>SUMIF(月間集計シート!$M$71:$M$90,$G896,月間集計シート!T$71:T$90)*AD$2</f>
        <v>0</v>
      </c>
      <c r="AE896" s="88">
        <f>SUMIF(月間集計シート!$M$92:$M$111,$G896,月間集計シート!N$92:N$111)*AE$2</f>
        <v>0</v>
      </c>
      <c r="AF896" s="88">
        <f>SUMIF(月間集計シート!$M$92:$M$111,$G896,月間集計シート!O$92:O$111)*AF$2</f>
        <v>0</v>
      </c>
      <c r="AG896" s="88">
        <f>SUMIF(月間集計シート!$M$92:$M$111,$G896,月間集計シート!P$92:P$111)*AG$2</f>
        <v>0</v>
      </c>
      <c r="AH896" s="88">
        <f>SUMIF(月間集計シート!$M$92:$M$111,$G896,月間集計シート!Q$92:Q$111)*AH$2</f>
        <v>0</v>
      </c>
      <c r="AI896" s="88">
        <f>SUMIF(月間集計シート!$M$92:$M$111,$G896,月間集計シート!R$92:R$111)*AI$2</f>
        <v>0</v>
      </c>
      <c r="AJ896" s="88">
        <f>SUMIF(月間集計シート!$M$92:$M$111,$G896,月間集計シート!S$92:S$111)*AJ$2</f>
        <v>0</v>
      </c>
      <c r="AK896" s="88">
        <f>SUMIF(月間集計シート!$M$92:$M$111,$G896,月間集計シート!T$92:T$111)*AK$2</f>
        <v>0</v>
      </c>
      <c r="AL896" s="88">
        <f>SUMIF(月間集計シート!$M$113:$M$132,$G896,月間集計シート!N$113:N$132)*AL$2</f>
        <v>0</v>
      </c>
      <c r="AM896" s="88">
        <f>SUMIF(月間集計シート!$M$113:$M$132,$G896,月間集計シート!O$113:O$132)*AM$2</f>
        <v>0</v>
      </c>
      <c r="AN896" s="88">
        <f>SUMIF(月間集計シート!$M$113:$M$132,$G896,月間集計シート!P$113:P$132)*AN$2</f>
        <v>0</v>
      </c>
      <c r="AO896" s="88">
        <f>SUMIF(月間集計シート!$M$113:$M$132,$G896,月間集計シート!Q$113:Q$132)*AO$2</f>
        <v>0</v>
      </c>
      <c r="AP896" s="88">
        <f>SUMIF(月間集計シート!$M$113:$M$132,$G896,月間集計シート!R$113:R$132)*AP$2</f>
        <v>0</v>
      </c>
      <c r="AQ896" s="88">
        <f>SUMIF(月間集計シート!$M$113:$M$132,$G896,月間集計シート!S$113:S$132)*AQ$2</f>
        <v>0</v>
      </c>
      <c r="AR896" s="88">
        <f>SUMIF(月間集計シート!$M$113:$M$132,$G896,月間集計シート!T$113:T$132)*AR$2</f>
        <v>0</v>
      </c>
      <c r="AS896" s="88">
        <f>SUMIF(月間集計シート!$M$134:$M$153,$G896,月間集計シート!N$134:N$153)*AS$2</f>
        <v>0</v>
      </c>
      <c r="AT896" s="88">
        <f>SUMIF(月間集計シート!$M$134:$M$153,$G896,月間集計シート!O$134:O$153)*AT$2</f>
        <v>0</v>
      </c>
      <c r="AU896" s="88">
        <f>SUMIF(月間集計シート!$M$134:$M$153,$G896,月間集計シート!P$134:P$153)*AU$2</f>
        <v>0</v>
      </c>
      <c r="AV896" s="88">
        <f>SUMIF(月間集計シート!$M$134:$M$153,$G896,月間集計シート!Q$134:Q$153)*AV$2</f>
        <v>0</v>
      </c>
      <c r="AW896" s="88">
        <f>SUMIF(月間集計シート!$M$134:$M$153,$G896,月間集計シート!R$134:R$153)*AW$2</f>
        <v>0</v>
      </c>
      <c r="AX896" s="88">
        <f>SUMIF(月間集計シート!$M$134:$M$153,$G896,月間集計シート!S$134:S$153)*AX$2</f>
        <v>0</v>
      </c>
      <c r="AY896" s="88">
        <f>SUMIF(月間集計シート!$M$134:$M$153,$G896,月間集計シート!T$134:T$153)*AY$2</f>
        <v>0</v>
      </c>
    </row>
    <row r="897" spans="1:51" ht="14.25" thickBot="1">
      <c r="A897">
        <v>11</v>
      </c>
      <c r="B897" s="120">
        <f t="shared" si="464"/>
        <v>0</v>
      </c>
      <c r="C897" s="120" t="str">
        <f t="shared" si="465"/>
        <v/>
      </c>
      <c r="D897" s="137"/>
      <c r="E897" s="150" t="str">
        <f>工種!A39</f>
        <v>50105</v>
      </c>
      <c r="F897" s="119" t="str">
        <f>工種!B39</f>
        <v>ﾏﾆｭｱﾙ作成：打合せ</v>
      </c>
      <c r="G897" s="116" t="str">
        <f t="shared" si="466"/>
        <v>050105</v>
      </c>
      <c r="H897" s="88">
        <f t="shared" si="420"/>
        <v>0</v>
      </c>
      <c r="I897" s="132"/>
      <c r="J897" s="88">
        <f>SUMIF(月間集計シート!$M$29:$M$48,$G897,月間集計シート!N$29:N$48)*J$2</f>
        <v>0</v>
      </c>
      <c r="K897" s="88">
        <f>SUMIF(月間集計シート!$M$29:$M$48,$G897,月間集計シート!O$29:O$48)*K$2</f>
        <v>0</v>
      </c>
      <c r="L897" s="88">
        <f>SUMIF(月間集計シート!$M$29:$M$48,$G897,月間集計シート!P$29:P$48)*L$2</f>
        <v>0</v>
      </c>
      <c r="M897" s="88">
        <f>SUMIF(月間集計シート!$M$29:$M$48,$G897,月間集計シート!Q$29:Q$48)*M$2</f>
        <v>0</v>
      </c>
      <c r="N897" s="88">
        <f>SUMIF(月間集計シート!$M$29:$M$48,$G897,月間集計シート!R$29:R$48)*N$2</f>
        <v>0</v>
      </c>
      <c r="O897" s="88">
        <f>SUMIF(月間集計シート!$M$29:$M$48,$G897,月間集計シート!S$29:S$48)*O$2</f>
        <v>0</v>
      </c>
      <c r="P897" s="88">
        <f>SUMIF(月間集計シート!$M$29:$M$48,$G897,月間集計シート!T$29:T$48)*P$2</f>
        <v>0</v>
      </c>
      <c r="Q897" s="88">
        <f>SUMIF(月間集計シート!$M$50:$M$69,$G897,月間集計シート!N$50:N$69)*Q$2</f>
        <v>0</v>
      </c>
      <c r="R897" s="88">
        <f>SUMIF(月間集計シート!$M$50:$M$69,$G897,月間集計シート!O$50:O$69)*R$2</f>
        <v>0</v>
      </c>
      <c r="S897" s="88">
        <f>SUMIF(月間集計シート!$M$50:$M$69,$G897,月間集計シート!P$50:P$69)*S$2</f>
        <v>0</v>
      </c>
      <c r="T897" s="88">
        <f>SUMIF(月間集計シート!$M$50:$M$69,$G897,月間集計シート!Q$50:Q$69)*T$2</f>
        <v>0</v>
      </c>
      <c r="U897" s="88">
        <f>SUMIF(月間集計シート!$M$50:$M$69,$G897,月間集計シート!R$50:R$69)*U$2</f>
        <v>0</v>
      </c>
      <c r="V897" s="88">
        <f>SUMIF(月間集計シート!$M$50:$M$69,$G897,月間集計シート!S$50:S$69)*V$2</f>
        <v>0</v>
      </c>
      <c r="W897" s="88">
        <f>SUMIF(月間集計シート!$M$50:$M$69,$G897,月間集計シート!T$50:T$69)*W$2</f>
        <v>0</v>
      </c>
      <c r="X897" s="88">
        <f>SUMIF(月間集計シート!$M$71:$M$90,$G897,月間集計シート!N$71:N$90)*X$2</f>
        <v>0</v>
      </c>
      <c r="Y897" s="88">
        <f>SUMIF(月間集計シート!$M$71:$M$90,$G897,月間集計シート!O$71:O$90)*Y$2</f>
        <v>0</v>
      </c>
      <c r="Z897" s="88">
        <f>SUMIF(月間集計シート!$M$71:$M$90,$G897,月間集計シート!P$71:P$90)*Z$2</f>
        <v>0</v>
      </c>
      <c r="AA897" s="88">
        <f>SUMIF(月間集計シート!$M$71:$M$90,$G897,月間集計シート!Q$71:Q$90)*AA$2</f>
        <v>0</v>
      </c>
      <c r="AB897" s="88">
        <f>SUMIF(月間集計シート!$M$71:$M$90,$G897,月間集計シート!R$71:R$90)*AB$2</f>
        <v>0</v>
      </c>
      <c r="AC897" s="88">
        <f>SUMIF(月間集計シート!$M$71:$M$90,$G897,月間集計シート!S$71:S$90)*AC$2</f>
        <v>0</v>
      </c>
      <c r="AD897" s="88">
        <f>SUMIF(月間集計シート!$M$71:$M$90,$G897,月間集計シート!T$71:T$90)*AD$2</f>
        <v>0</v>
      </c>
      <c r="AE897" s="88">
        <f>SUMIF(月間集計シート!$M$92:$M$111,$G897,月間集計シート!N$92:N$111)*AE$2</f>
        <v>0</v>
      </c>
      <c r="AF897" s="88">
        <f>SUMIF(月間集計シート!$M$92:$M$111,$G897,月間集計シート!O$92:O$111)*AF$2</f>
        <v>0</v>
      </c>
      <c r="AG897" s="88">
        <f>SUMIF(月間集計シート!$M$92:$M$111,$G897,月間集計シート!P$92:P$111)*AG$2</f>
        <v>0</v>
      </c>
      <c r="AH897" s="88">
        <f>SUMIF(月間集計シート!$M$92:$M$111,$G897,月間集計シート!Q$92:Q$111)*AH$2</f>
        <v>0</v>
      </c>
      <c r="AI897" s="88">
        <f>SUMIF(月間集計シート!$M$92:$M$111,$G897,月間集計シート!R$92:R$111)*AI$2</f>
        <v>0</v>
      </c>
      <c r="AJ897" s="88">
        <f>SUMIF(月間集計シート!$M$92:$M$111,$G897,月間集計シート!S$92:S$111)*AJ$2</f>
        <v>0</v>
      </c>
      <c r="AK897" s="88">
        <f>SUMIF(月間集計シート!$M$92:$M$111,$G897,月間集計シート!T$92:T$111)*AK$2</f>
        <v>0</v>
      </c>
      <c r="AL897" s="88">
        <f>SUMIF(月間集計シート!$M$113:$M$132,$G897,月間集計シート!N$113:N$132)*AL$2</f>
        <v>0</v>
      </c>
      <c r="AM897" s="88">
        <f>SUMIF(月間集計シート!$M$113:$M$132,$G897,月間集計シート!O$113:O$132)*AM$2</f>
        <v>0</v>
      </c>
      <c r="AN897" s="88">
        <f>SUMIF(月間集計シート!$M$113:$M$132,$G897,月間集計シート!P$113:P$132)*AN$2</f>
        <v>0</v>
      </c>
      <c r="AO897" s="88">
        <f>SUMIF(月間集計シート!$M$113:$M$132,$G897,月間集計シート!Q$113:Q$132)*AO$2</f>
        <v>0</v>
      </c>
      <c r="AP897" s="88">
        <f>SUMIF(月間集計シート!$M$113:$M$132,$G897,月間集計シート!R$113:R$132)*AP$2</f>
        <v>0</v>
      </c>
      <c r="AQ897" s="88">
        <f>SUMIF(月間集計シート!$M$113:$M$132,$G897,月間集計シート!S$113:S$132)*AQ$2</f>
        <v>0</v>
      </c>
      <c r="AR897" s="88">
        <f>SUMIF(月間集計シート!$M$113:$M$132,$G897,月間集計シート!T$113:T$132)*AR$2</f>
        <v>0</v>
      </c>
      <c r="AS897" s="88">
        <f>SUMIF(月間集計シート!$M$134:$M$153,$G897,月間集計シート!N$134:N$153)*AS$2</f>
        <v>0</v>
      </c>
      <c r="AT897" s="88">
        <f>SUMIF(月間集計シート!$M$134:$M$153,$G897,月間集計シート!O$134:O$153)*AT$2</f>
        <v>0</v>
      </c>
      <c r="AU897" s="88">
        <f>SUMIF(月間集計シート!$M$134:$M$153,$G897,月間集計シート!P$134:P$153)*AU$2</f>
        <v>0</v>
      </c>
      <c r="AV897" s="88">
        <f>SUMIF(月間集計シート!$M$134:$M$153,$G897,月間集計シート!Q$134:Q$153)*AV$2</f>
        <v>0</v>
      </c>
      <c r="AW897" s="88">
        <f>SUMIF(月間集計シート!$M$134:$M$153,$G897,月間集計シート!R$134:R$153)*AW$2</f>
        <v>0</v>
      </c>
      <c r="AX897" s="88">
        <f>SUMIF(月間集計シート!$M$134:$M$153,$G897,月間集計シート!S$134:S$153)*AX$2</f>
        <v>0</v>
      </c>
      <c r="AY897" s="88">
        <f>SUMIF(月間集計シート!$M$134:$M$153,$G897,月間集計シート!T$134:T$153)*AY$2</f>
        <v>0</v>
      </c>
    </row>
    <row r="898" spans="1:51" ht="14.25" thickBot="1">
      <c r="A898">
        <v>11</v>
      </c>
      <c r="B898" s="120">
        <f t="shared" si="464"/>
        <v>0</v>
      </c>
      <c r="C898" s="120" t="str">
        <f t="shared" si="465"/>
        <v/>
      </c>
      <c r="D898" s="137"/>
      <c r="E898" s="150" t="str">
        <f>工種!A40</f>
        <v>50106</v>
      </c>
      <c r="F898" s="119" t="str">
        <f>工種!B40</f>
        <v>ﾏﾆｭｱﾙ作成：ﾚﾋﾞｭｰ</v>
      </c>
      <c r="G898" s="116" t="str">
        <f t="shared" si="466"/>
        <v>050106</v>
      </c>
      <c r="H898" s="88">
        <f t="shared" si="420"/>
        <v>0</v>
      </c>
      <c r="I898" s="132"/>
      <c r="J898" s="88">
        <f>SUMIF(月間集計シート!$M$29:$M$48,$G898,月間集計シート!N$29:N$48)*J$2</f>
        <v>0</v>
      </c>
      <c r="K898" s="88">
        <f>SUMIF(月間集計シート!$M$29:$M$48,$G898,月間集計シート!O$29:O$48)*K$2</f>
        <v>0</v>
      </c>
      <c r="L898" s="88">
        <f>SUMIF(月間集計シート!$M$29:$M$48,$G898,月間集計シート!P$29:P$48)*L$2</f>
        <v>0</v>
      </c>
      <c r="M898" s="88">
        <f>SUMIF(月間集計シート!$M$29:$M$48,$G898,月間集計シート!Q$29:Q$48)*M$2</f>
        <v>0</v>
      </c>
      <c r="N898" s="88">
        <f>SUMIF(月間集計シート!$M$29:$M$48,$G898,月間集計シート!R$29:R$48)*N$2</f>
        <v>0</v>
      </c>
      <c r="O898" s="88">
        <f>SUMIF(月間集計シート!$M$29:$M$48,$G898,月間集計シート!S$29:S$48)*O$2</f>
        <v>0</v>
      </c>
      <c r="P898" s="88">
        <f>SUMIF(月間集計シート!$M$29:$M$48,$G898,月間集計シート!T$29:T$48)*P$2</f>
        <v>0</v>
      </c>
      <c r="Q898" s="88">
        <f>SUMIF(月間集計シート!$M$50:$M$69,$G898,月間集計シート!N$50:N$69)*Q$2</f>
        <v>0</v>
      </c>
      <c r="R898" s="88">
        <f>SUMIF(月間集計シート!$M$50:$M$69,$G898,月間集計シート!O$50:O$69)*R$2</f>
        <v>0</v>
      </c>
      <c r="S898" s="88">
        <f>SUMIF(月間集計シート!$M$50:$M$69,$G898,月間集計シート!P$50:P$69)*S$2</f>
        <v>0</v>
      </c>
      <c r="T898" s="88">
        <f>SUMIF(月間集計シート!$M$50:$M$69,$G898,月間集計シート!Q$50:Q$69)*T$2</f>
        <v>0</v>
      </c>
      <c r="U898" s="88">
        <f>SUMIF(月間集計シート!$M$50:$M$69,$G898,月間集計シート!R$50:R$69)*U$2</f>
        <v>0</v>
      </c>
      <c r="V898" s="88">
        <f>SUMIF(月間集計シート!$M$50:$M$69,$G898,月間集計シート!S$50:S$69)*V$2</f>
        <v>0</v>
      </c>
      <c r="W898" s="88">
        <f>SUMIF(月間集計シート!$M$50:$M$69,$G898,月間集計シート!T$50:T$69)*W$2</f>
        <v>0</v>
      </c>
      <c r="X898" s="88">
        <f>SUMIF(月間集計シート!$M$71:$M$90,$G898,月間集計シート!N$71:N$90)*X$2</f>
        <v>0</v>
      </c>
      <c r="Y898" s="88">
        <f>SUMIF(月間集計シート!$M$71:$M$90,$G898,月間集計シート!O$71:O$90)*Y$2</f>
        <v>0</v>
      </c>
      <c r="Z898" s="88">
        <f>SUMIF(月間集計シート!$M$71:$M$90,$G898,月間集計シート!P$71:P$90)*Z$2</f>
        <v>0</v>
      </c>
      <c r="AA898" s="88">
        <f>SUMIF(月間集計シート!$M$71:$M$90,$G898,月間集計シート!Q$71:Q$90)*AA$2</f>
        <v>0</v>
      </c>
      <c r="AB898" s="88">
        <f>SUMIF(月間集計シート!$M$71:$M$90,$G898,月間集計シート!R$71:R$90)*AB$2</f>
        <v>0</v>
      </c>
      <c r="AC898" s="88">
        <f>SUMIF(月間集計シート!$M$71:$M$90,$G898,月間集計シート!S$71:S$90)*AC$2</f>
        <v>0</v>
      </c>
      <c r="AD898" s="88">
        <f>SUMIF(月間集計シート!$M$71:$M$90,$G898,月間集計シート!T$71:T$90)*AD$2</f>
        <v>0</v>
      </c>
      <c r="AE898" s="88">
        <f>SUMIF(月間集計シート!$M$92:$M$111,$G898,月間集計シート!N$92:N$111)*AE$2</f>
        <v>0</v>
      </c>
      <c r="AF898" s="88">
        <f>SUMIF(月間集計シート!$M$92:$M$111,$G898,月間集計シート!O$92:O$111)*AF$2</f>
        <v>0</v>
      </c>
      <c r="AG898" s="88">
        <f>SUMIF(月間集計シート!$M$92:$M$111,$G898,月間集計シート!P$92:P$111)*AG$2</f>
        <v>0</v>
      </c>
      <c r="AH898" s="88">
        <f>SUMIF(月間集計シート!$M$92:$M$111,$G898,月間集計シート!Q$92:Q$111)*AH$2</f>
        <v>0</v>
      </c>
      <c r="AI898" s="88">
        <f>SUMIF(月間集計シート!$M$92:$M$111,$G898,月間集計シート!R$92:R$111)*AI$2</f>
        <v>0</v>
      </c>
      <c r="AJ898" s="88">
        <f>SUMIF(月間集計シート!$M$92:$M$111,$G898,月間集計シート!S$92:S$111)*AJ$2</f>
        <v>0</v>
      </c>
      <c r="AK898" s="88">
        <f>SUMIF(月間集計シート!$M$92:$M$111,$G898,月間集計シート!T$92:T$111)*AK$2</f>
        <v>0</v>
      </c>
      <c r="AL898" s="88">
        <f>SUMIF(月間集計シート!$M$113:$M$132,$G898,月間集計シート!N$113:N$132)*AL$2</f>
        <v>0</v>
      </c>
      <c r="AM898" s="88">
        <f>SUMIF(月間集計シート!$M$113:$M$132,$G898,月間集計シート!O$113:O$132)*AM$2</f>
        <v>0</v>
      </c>
      <c r="AN898" s="88">
        <f>SUMIF(月間集計シート!$M$113:$M$132,$G898,月間集計シート!P$113:P$132)*AN$2</f>
        <v>0</v>
      </c>
      <c r="AO898" s="88">
        <f>SUMIF(月間集計シート!$M$113:$M$132,$G898,月間集計シート!Q$113:Q$132)*AO$2</f>
        <v>0</v>
      </c>
      <c r="AP898" s="88">
        <f>SUMIF(月間集計シート!$M$113:$M$132,$G898,月間集計シート!R$113:R$132)*AP$2</f>
        <v>0</v>
      </c>
      <c r="AQ898" s="88">
        <f>SUMIF(月間集計シート!$M$113:$M$132,$G898,月間集計シート!S$113:S$132)*AQ$2</f>
        <v>0</v>
      </c>
      <c r="AR898" s="88">
        <f>SUMIF(月間集計シート!$M$113:$M$132,$G898,月間集計シート!T$113:T$132)*AR$2</f>
        <v>0</v>
      </c>
      <c r="AS898" s="88">
        <f>SUMIF(月間集計シート!$M$134:$M$153,$G898,月間集計シート!N$134:N$153)*AS$2</f>
        <v>0</v>
      </c>
      <c r="AT898" s="88">
        <f>SUMIF(月間集計シート!$M$134:$M$153,$G898,月間集計シート!O$134:O$153)*AT$2</f>
        <v>0</v>
      </c>
      <c r="AU898" s="88">
        <f>SUMIF(月間集計シート!$M$134:$M$153,$G898,月間集計シート!P$134:P$153)*AU$2</f>
        <v>0</v>
      </c>
      <c r="AV898" s="88">
        <f>SUMIF(月間集計シート!$M$134:$M$153,$G898,月間集計シート!Q$134:Q$153)*AV$2</f>
        <v>0</v>
      </c>
      <c r="AW898" s="88">
        <f>SUMIF(月間集計シート!$M$134:$M$153,$G898,月間集計シート!R$134:R$153)*AW$2</f>
        <v>0</v>
      </c>
      <c r="AX898" s="88">
        <f>SUMIF(月間集計シート!$M$134:$M$153,$G898,月間集計シート!S$134:S$153)*AX$2</f>
        <v>0</v>
      </c>
      <c r="AY898" s="88">
        <f>SUMIF(月間集計シート!$M$134:$M$153,$G898,月間集計シート!T$134:T$153)*AY$2</f>
        <v>0</v>
      </c>
    </row>
    <row r="899" spans="1:51" ht="14.25" thickBot="1">
      <c r="A899">
        <v>11</v>
      </c>
      <c r="B899" s="120">
        <f t="shared" si="464"/>
        <v>0</v>
      </c>
      <c r="C899" s="120" t="str">
        <f t="shared" si="465"/>
        <v/>
      </c>
      <c r="D899" s="137"/>
      <c r="E899" s="150" t="str">
        <f>工種!A41</f>
        <v>50199</v>
      </c>
      <c r="F899" s="119" t="str">
        <f>工種!B41</f>
        <v>ﾏﾆｭｱﾙ作成：その他</v>
      </c>
      <c r="G899" s="116" t="str">
        <f t="shared" si="466"/>
        <v>050199</v>
      </c>
      <c r="H899" s="88">
        <f t="shared" si="420"/>
        <v>0</v>
      </c>
      <c r="I899" s="132"/>
      <c r="J899" s="88">
        <f>SUMIF(月間集計シート!$M$29:$M$48,$G899,月間集計シート!N$29:N$48)*J$2</f>
        <v>0</v>
      </c>
      <c r="K899" s="88">
        <f>SUMIF(月間集計シート!$M$29:$M$48,$G899,月間集計シート!O$29:O$48)*K$2</f>
        <v>0</v>
      </c>
      <c r="L899" s="88">
        <f>SUMIF(月間集計シート!$M$29:$M$48,$G899,月間集計シート!P$29:P$48)*L$2</f>
        <v>0</v>
      </c>
      <c r="M899" s="88">
        <f>SUMIF(月間集計シート!$M$29:$M$48,$G899,月間集計シート!Q$29:Q$48)*M$2</f>
        <v>0</v>
      </c>
      <c r="N899" s="88">
        <f>SUMIF(月間集計シート!$M$29:$M$48,$G899,月間集計シート!R$29:R$48)*N$2</f>
        <v>0</v>
      </c>
      <c r="O899" s="88">
        <f>SUMIF(月間集計シート!$M$29:$M$48,$G899,月間集計シート!S$29:S$48)*O$2</f>
        <v>0</v>
      </c>
      <c r="P899" s="88">
        <f>SUMIF(月間集計シート!$M$29:$M$48,$G899,月間集計シート!T$29:T$48)*P$2</f>
        <v>0</v>
      </c>
      <c r="Q899" s="88">
        <f>SUMIF(月間集計シート!$M$50:$M$69,$G899,月間集計シート!N$50:N$69)*Q$2</f>
        <v>0</v>
      </c>
      <c r="R899" s="88">
        <f>SUMIF(月間集計シート!$M$50:$M$69,$G899,月間集計シート!O$50:O$69)*R$2</f>
        <v>0</v>
      </c>
      <c r="S899" s="88">
        <f>SUMIF(月間集計シート!$M$50:$M$69,$G899,月間集計シート!P$50:P$69)*S$2</f>
        <v>0</v>
      </c>
      <c r="T899" s="88">
        <f>SUMIF(月間集計シート!$M$50:$M$69,$G899,月間集計シート!Q$50:Q$69)*T$2</f>
        <v>0</v>
      </c>
      <c r="U899" s="88">
        <f>SUMIF(月間集計シート!$M$50:$M$69,$G899,月間集計シート!R$50:R$69)*U$2</f>
        <v>0</v>
      </c>
      <c r="V899" s="88">
        <f>SUMIF(月間集計シート!$M$50:$M$69,$G899,月間集計シート!S$50:S$69)*V$2</f>
        <v>0</v>
      </c>
      <c r="W899" s="88">
        <f>SUMIF(月間集計シート!$M$50:$M$69,$G899,月間集計シート!T$50:T$69)*W$2</f>
        <v>0</v>
      </c>
      <c r="X899" s="88">
        <f>SUMIF(月間集計シート!$M$71:$M$90,$G899,月間集計シート!N$71:N$90)*X$2</f>
        <v>0</v>
      </c>
      <c r="Y899" s="88">
        <f>SUMIF(月間集計シート!$M$71:$M$90,$G899,月間集計シート!O$71:O$90)*Y$2</f>
        <v>0</v>
      </c>
      <c r="Z899" s="88">
        <f>SUMIF(月間集計シート!$M$71:$M$90,$G899,月間集計シート!P$71:P$90)*Z$2</f>
        <v>0</v>
      </c>
      <c r="AA899" s="88">
        <f>SUMIF(月間集計シート!$M$71:$M$90,$G899,月間集計シート!Q$71:Q$90)*AA$2</f>
        <v>0</v>
      </c>
      <c r="AB899" s="88">
        <f>SUMIF(月間集計シート!$M$71:$M$90,$G899,月間集計シート!R$71:R$90)*AB$2</f>
        <v>0</v>
      </c>
      <c r="AC899" s="88">
        <f>SUMIF(月間集計シート!$M$71:$M$90,$G899,月間集計シート!S$71:S$90)*AC$2</f>
        <v>0</v>
      </c>
      <c r="AD899" s="88">
        <f>SUMIF(月間集計シート!$M$71:$M$90,$G899,月間集計シート!T$71:T$90)*AD$2</f>
        <v>0</v>
      </c>
      <c r="AE899" s="88">
        <f>SUMIF(月間集計シート!$M$92:$M$111,$G899,月間集計シート!N$92:N$111)*AE$2</f>
        <v>0</v>
      </c>
      <c r="AF899" s="88">
        <f>SUMIF(月間集計シート!$M$92:$M$111,$G899,月間集計シート!O$92:O$111)*AF$2</f>
        <v>0</v>
      </c>
      <c r="AG899" s="88">
        <f>SUMIF(月間集計シート!$M$92:$M$111,$G899,月間集計シート!P$92:P$111)*AG$2</f>
        <v>0</v>
      </c>
      <c r="AH899" s="88">
        <f>SUMIF(月間集計シート!$M$92:$M$111,$G899,月間集計シート!Q$92:Q$111)*AH$2</f>
        <v>0</v>
      </c>
      <c r="AI899" s="88">
        <f>SUMIF(月間集計シート!$M$92:$M$111,$G899,月間集計シート!R$92:R$111)*AI$2</f>
        <v>0</v>
      </c>
      <c r="AJ899" s="88">
        <f>SUMIF(月間集計シート!$M$92:$M$111,$G899,月間集計シート!S$92:S$111)*AJ$2</f>
        <v>0</v>
      </c>
      <c r="AK899" s="88">
        <f>SUMIF(月間集計シート!$M$92:$M$111,$G899,月間集計シート!T$92:T$111)*AK$2</f>
        <v>0</v>
      </c>
      <c r="AL899" s="88">
        <f>SUMIF(月間集計シート!$M$113:$M$132,$G899,月間集計シート!N$113:N$132)*AL$2</f>
        <v>0</v>
      </c>
      <c r="AM899" s="88">
        <f>SUMIF(月間集計シート!$M$113:$M$132,$G899,月間集計シート!O$113:O$132)*AM$2</f>
        <v>0</v>
      </c>
      <c r="AN899" s="88">
        <f>SUMIF(月間集計シート!$M$113:$M$132,$G899,月間集計シート!P$113:P$132)*AN$2</f>
        <v>0</v>
      </c>
      <c r="AO899" s="88">
        <f>SUMIF(月間集計シート!$M$113:$M$132,$G899,月間集計シート!Q$113:Q$132)*AO$2</f>
        <v>0</v>
      </c>
      <c r="AP899" s="88">
        <f>SUMIF(月間集計シート!$M$113:$M$132,$G899,月間集計シート!R$113:R$132)*AP$2</f>
        <v>0</v>
      </c>
      <c r="AQ899" s="88">
        <f>SUMIF(月間集計シート!$M$113:$M$132,$G899,月間集計シート!S$113:S$132)*AQ$2</f>
        <v>0</v>
      </c>
      <c r="AR899" s="88">
        <f>SUMIF(月間集計シート!$M$113:$M$132,$G899,月間集計シート!T$113:T$132)*AR$2</f>
        <v>0</v>
      </c>
      <c r="AS899" s="88">
        <f>SUMIF(月間集計シート!$M$134:$M$153,$G899,月間集計シート!N$134:N$153)*AS$2</f>
        <v>0</v>
      </c>
      <c r="AT899" s="88">
        <f>SUMIF(月間集計シート!$M$134:$M$153,$G899,月間集計シート!O$134:O$153)*AT$2</f>
        <v>0</v>
      </c>
      <c r="AU899" s="88">
        <f>SUMIF(月間集計シート!$M$134:$M$153,$G899,月間集計シート!P$134:P$153)*AU$2</f>
        <v>0</v>
      </c>
      <c r="AV899" s="88">
        <f>SUMIF(月間集計シート!$M$134:$M$153,$G899,月間集計シート!Q$134:Q$153)*AV$2</f>
        <v>0</v>
      </c>
      <c r="AW899" s="88">
        <f>SUMIF(月間集計シート!$M$134:$M$153,$G899,月間集計シート!R$134:R$153)*AW$2</f>
        <v>0</v>
      </c>
      <c r="AX899" s="88">
        <f>SUMIF(月間集計シート!$M$134:$M$153,$G899,月間集計シート!S$134:S$153)*AX$2</f>
        <v>0</v>
      </c>
      <c r="AY899" s="88">
        <f>SUMIF(月間集計シート!$M$134:$M$153,$G899,月間集計シート!T$134:T$153)*AY$2</f>
        <v>0</v>
      </c>
    </row>
    <row r="900" spans="1:51" ht="14.25" thickBot="1">
      <c r="A900">
        <v>11</v>
      </c>
      <c r="B900" s="120">
        <f t="shared" si="464"/>
        <v>0</v>
      </c>
      <c r="C900" s="120" t="str">
        <f t="shared" si="465"/>
        <v/>
      </c>
      <c r="D900" s="137"/>
      <c r="E900" s="150" t="str">
        <f>工種!A42</f>
        <v>60101</v>
      </c>
      <c r="F900" s="119" t="str">
        <f>工種!B42</f>
        <v>ﾘﾘｰｽ：ﾘﾘｰｽ・ﾃﾞﾘﾊﾞﾘ作業</v>
      </c>
      <c r="G900" s="116" t="str">
        <f t="shared" si="466"/>
        <v>060101</v>
      </c>
      <c r="H900" s="88">
        <f t="shared" si="420"/>
        <v>0</v>
      </c>
      <c r="I900" s="132"/>
      <c r="J900" s="88">
        <f>SUMIF(月間集計シート!$M$29:$M$48,$G900,月間集計シート!N$29:N$48)*J$2</f>
        <v>0</v>
      </c>
      <c r="K900" s="88">
        <f>SUMIF(月間集計シート!$M$29:$M$48,$G900,月間集計シート!O$29:O$48)*K$2</f>
        <v>0</v>
      </c>
      <c r="L900" s="88">
        <f>SUMIF(月間集計シート!$M$29:$M$48,$G900,月間集計シート!P$29:P$48)*L$2</f>
        <v>0</v>
      </c>
      <c r="M900" s="88">
        <f>SUMIF(月間集計シート!$M$29:$M$48,$G900,月間集計シート!Q$29:Q$48)*M$2</f>
        <v>0</v>
      </c>
      <c r="N900" s="88">
        <f>SUMIF(月間集計シート!$M$29:$M$48,$G900,月間集計シート!R$29:R$48)*N$2</f>
        <v>0</v>
      </c>
      <c r="O900" s="88">
        <f>SUMIF(月間集計シート!$M$29:$M$48,$G900,月間集計シート!S$29:S$48)*O$2</f>
        <v>0</v>
      </c>
      <c r="P900" s="88">
        <f>SUMIF(月間集計シート!$M$29:$M$48,$G900,月間集計シート!T$29:T$48)*P$2</f>
        <v>0</v>
      </c>
      <c r="Q900" s="88">
        <f>SUMIF(月間集計シート!$M$50:$M$69,$G900,月間集計シート!N$50:N$69)*Q$2</f>
        <v>0</v>
      </c>
      <c r="R900" s="88">
        <f>SUMIF(月間集計シート!$M$50:$M$69,$G900,月間集計シート!O$50:O$69)*R$2</f>
        <v>0</v>
      </c>
      <c r="S900" s="88">
        <f>SUMIF(月間集計シート!$M$50:$M$69,$G900,月間集計シート!P$50:P$69)*S$2</f>
        <v>0</v>
      </c>
      <c r="T900" s="88">
        <f>SUMIF(月間集計シート!$M$50:$M$69,$G900,月間集計シート!Q$50:Q$69)*T$2</f>
        <v>0</v>
      </c>
      <c r="U900" s="88">
        <f>SUMIF(月間集計シート!$M$50:$M$69,$G900,月間集計シート!R$50:R$69)*U$2</f>
        <v>0</v>
      </c>
      <c r="V900" s="88">
        <f>SUMIF(月間集計シート!$M$50:$M$69,$G900,月間集計シート!S$50:S$69)*V$2</f>
        <v>0</v>
      </c>
      <c r="W900" s="88">
        <f>SUMIF(月間集計シート!$M$50:$M$69,$G900,月間集計シート!T$50:T$69)*W$2</f>
        <v>0</v>
      </c>
      <c r="X900" s="88">
        <f>SUMIF(月間集計シート!$M$71:$M$90,$G900,月間集計シート!N$71:N$90)*X$2</f>
        <v>0</v>
      </c>
      <c r="Y900" s="88">
        <f>SUMIF(月間集計シート!$M$71:$M$90,$G900,月間集計シート!O$71:O$90)*Y$2</f>
        <v>0</v>
      </c>
      <c r="Z900" s="88">
        <f>SUMIF(月間集計シート!$M$71:$M$90,$G900,月間集計シート!P$71:P$90)*Z$2</f>
        <v>0</v>
      </c>
      <c r="AA900" s="88">
        <f>SUMIF(月間集計シート!$M$71:$M$90,$G900,月間集計シート!Q$71:Q$90)*AA$2</f>
        <v>0</v>
      </c>
      <c r="AB900" s="88">
        <f>SUMIF(月間集計シート!$M$71:$M$90,$G900,月間集計シート!R$71:R$90)*AB$2</f>
        <v>0</v>
      </c>
      <c r="AC900" s="88">
        <f>SUMIF(月間集計シート!$M$71:$M$90,$G900,月間集計シート!S$71:S$90)*AC$2</f>
        <v>0</v>
      </c>
      <c r="AD900" s="88">
        <f>SUMIF(月間集計シート!$M$71:$M$90,$G900,月間集計シート!T$71:T$90)*AD$2</f>
        <v>0</v>
      </c>
      <c r="AE900" s="88">
        <f>SUMIF(月間集計シート!$M$92:$M$111,$G900,月間集計シート!N$92:N$111)*AE$2</f>
        <v>0</v>
      </c>
      <c r="AF900" s="88">
        <f>SUMIF(月間集計シート!$M$92:$M$111,$G900,月間集計シート!O$92:O$111)*AF$2</f>
        <v>0</v>
      </c>
      <c r="AG900" s="88">
        <f>SUMIF(月間集計シート!$M$92:$M$111,$G900,月間集計シート!P$92:P$111)*AG$2</f>
        <v>0</v>
      </c>
      <c r="AH900" s="88">
        <f>SUMIF(月間集計シート!$M$92:$M$111,$G900,月間集計シート!Q$92:Q$111)*AH$2</f>
        <v>0</v>
      </c>
      <c r="AI900" s="88">
        <f>SUMIF(月間集計シート!$M$92:$M$111,$G900,月間集計シート!R$92:R$111)*AI$2</f>
        <v>0</v>
      </c>
      <c r="AJ900" s="88">
        <f>SUMIF(月間集計シート!$M$92:$M$111,$G900,月間集計シート!S$92:S$111)*AJ$2</f>
        <v>0</v>
      </c>
      <c r="AK900" s="88">
        <f>SUMIF(月間集計シート!$M$92:$M$111,$G900,月間集計シート!T$92:T$111)*AK$2</f>
        <v>0</v>
      </c>
      <c r="AL900" s="88">
        <f>SUMIF(月間集計シート!$M$113:$M$132,$G900,月間集計シート!N$113:N$132)*AL$2</f>
        <v>0</v>
      </c>
      <c r="AM900" s="88">
        <f>SUMIF(月間集計シート!$M$113:$M$132,$G900,月間集計シート!O$113:O$132)*AM$2</f>
        <v>0</v>
      </c>
      <c r="AN900" s="88">
        <f>SUMIF(月間集計シート!$M$113:$M$132,$G900,月間集計シート!P$113:P$132)*AN$2</f>
        <v>0</v>
      </c>
      <c r="AO900" s="88">
        <f>SUMIF(月間集計シート!$M$113:$M$132,$G900,月間集計シート!Q$113:Q$132)*AO$2</f>
        <v>0</v>
      </c>
      <c r="AP900" s="88">
        <f>SUMIF(月間集計シート!$M$113:$M$132,$G900,月間集計シート!R$113:R$132)*AP$2</f>
        <v>0</v>
      </c>
      <c r="AQ900" s="88">
        <f>SUMIF(月間集計シート!$M$113:$M$132,$G900,月間集計シート!S$113:S$132)*AQ$2</f>
        <v>0</v>
      </c>
      <c r="AR900" s="88">
        <f>SUMIF(月間集計シート!$M$113:$M$132,$G900,月間集計シート!T$113:T$132)*AR$2</f>
        <v>0</v>
      </c>
      <c r="AS900" s="88">
        <f>SUMIF(月間集計シート!$M$134:$M$153,$G900,月間集計シート!N$134:N$153)*AS$2</f>
        <v>0</v>
      </c>
      <c r="AT900" s="88">
        <f>SUMIF(月間集計シート!$M$134:$M$153,$G900,月間集計シート!O$134:O$153)*AT$2</f>
        <v>0</v>
      </c>
      <c r="AU900" s="88">
        <f>SUMIF(月間集計シート!$M$134:$M$153,$G900,月間集計シート!P$134:P$153)*AU$2</f>
        <v>0</v>
      </c>
      <c r="AV900" s="88">
        <f>SUMIF(月間集計シート!$M$134:$M$153,$G900,月間集計シート!Q$134:Q$153)*AV$2</f>
        <v>0</v>
      </c>
      <c r="AW900" s="88">
        <f>SUMIF(月間集計シート!$M$134:$M$153,$G900,月間集計シート!R$134:R$153)*AW$2</f>
        <v>0</v>
      </c>
      <c r="AX900" s="88">
        <f>SUMIF(月間集計シート!$M$134:$M$153,$G900,月間集計シート!S$134:S$153)*AX$2</f>
        <v>0</v>
      </c>
      <c r="AY900" s="88">
        <f>SUMIF(月間集計シート!$M$134:$M$153,$G900,月間集計シート!T$134:T$153)*AY$2</f>
        <v>0</v>
      </c>
    </row>
    <row r="901" spans="1:51" ht="14.25" thickBot="1">
      <c r="A901">
        <v>11</v>
      </c>
      <c r="B901" s="120">
        <f t="shared" si="464"/>
        <v>0</v>
      </c>
      <c r="C901" s="120" t="str">
        <f t="shared" si="465"/>
        <v/>
      </c>
      <c r="D901" s="137"/>
      <c r="E901" s="150" t="str">
        <f>工種!A43</f>
        <v>60102</v>
      </c>
      <c r="F901" s="119" t="str">
        <f>工種!B43</f>
        <v>ﾘﾘｰｽ：ﾘﾘｰｽ関連業務</v>
      </c>
      <c r="G901" s="116" t="str">
        <f t="shared" si="466"/>
        <v>060102</v>
      </c>
      <c r="H901" s="88">
        <f t="shared" si="420"/>
        <v>0</v>
      </c>
      <c r="I901" s="132"/>
      <c r="J901" s="88">
        <f>SUMIF(月間集計シート!$M$29:$M$48,$G901,月間集計シート!N$29:N$48)*J$2</f>
        <v>0</v>
      </c>
      <c r="K901" s="88">
        <f>SUMIF(月間集計シート!$M$29:$M$48,$G901,月間集計シート!O$29:O$48)*K$2</f>
        <v>0</v>
      </c>
      <c r="L901" s="88">
        <f>SUMIF(月間集計シート!$M$29:$M$48,$G901,月間集計シート!P$29:P$48)*L$2</f>
        <v>0</v>
      </c>
      <c r="M901" s="88">
        <f>SUMIF(月間集計シート!$M$29:$M$48,$G901,月間集計シート!Q$29:Q$48)*M$2</f>
        <v>0</v>
      </c>
      <c r="N901" s="88">
        <f>SUMIF(月間集計シート!$M$29:$M$48,$G901,月間集計シート!R$29:R$48)*N$2</f>
        <v>0</v>
      </c>
      <c r="O901" s="88">
        <f>SUMIF(月間集計シート!$M$29:$M$48,$G901,月間集計シート!S$29:S$48)*O$2</f>
        <v>0</v>
      </c>
      <c r="P901" s="88">
        <f>SUMIF(月間集計シート!$M$29:$M$48,$G901,月間集計シート!T$29:T$48)*P$2</f>
        <v>0</v>
      </c>
      <c r="Q901" s="88">
        <f>SUMIF(月間集計シート!$M$50:$M$69,$G901,月間集計シート!N$50:N$69)*Q$2</f>
        <v>0</v>
      </c>
      <c r="R901" s="88">
        <f>SUMIF(月間集計シート!$M$50:$M$69,$G901,月間集計シート!O$50:O$69)*R$2</f>
        <v>0</v>
      </c>
      <c r="S901" s="88">
        <f>SUMIF(月間集計シート!$M$50:$M$69,$G901,月間集計シート!P$50:P$69)*S$2</f>
        <v>0</v>
      </c>
      <c r="T901" s="88">
        <f>SUMIF(月間集計シート!$M$50:$M$69,$G901,月間集計シート!Q$50:Q$69)*T$2</f>
        <v>0</v>
      </c>
      <c r="U901" s="88">
        <f>SUMIF(月間集計シート!$M$50:$M$69,$G901,月間集計シート!R$50:R$69)*U$2</f>
        <v>0</v>
      </c>
      <c r="V901" s="88">
        <f>SUMIF(月間集計シート!$M$50:$M$69,$G901,月間集計シート!S$50:S$69)*V$2</f>
        <v>0</v>
      </c>
      <c r="W901" s="88">
        <f>SUMIF(月間集計シート!$M$50:$M$69,$G901,月間集計シート!T$50:T$69)*W$2</f>
        <v>0</v>
      </c>
      <c r="X901" s="88">
        <f>SUMIF(月間集計シート!$M$71:$M$90,$G901,月間集計シート!N$71:N$90)*X$2</f>
        <v>0</v>
      </c>
      <c r="Y901" s="88">
        <f>SUMIF(月間集計シート!$M$71:$M$90,$G901,月間集計シート!O$71:O$90)*Y$2</f>
        <v>0</v>
      </c>
      <c r="Z901" s="88">
        <f>SUMIF(月間集計シート!$M$71:$M$90,$G901,月間集計シート!P$71:P$90)*Z$2</f>
        <v>0</v>
      </c>
      <c r="AA901" s="88">
        <f>SUMIF(月間集計シート!$M$71:$M$90,$G901,月間集計シート!Q$71:Q$90)*AA$2</f>
        <v>0</v>
      </c>
      <c r="AB901" s="88">
        <f>SUMIF(月間集計シート!$M$71:$M$90,$G901,月間集計シート!R$71:R$90)*AB$2</f>
        <v>0</v>
      </c>
      <c r="AC901" s="88">
        <f>SUMIF(月間集計シート!$M$71:$M$90,$G901,月間集計シート!S$71:S$90)*AC$2</f>
        <v>0</v>
      </c>
      <c r="AD901" s="88">
        <f>SUMIF(月間集計シート!$M$71:$M$90,$G901,月間集計シート!T$71:T$90)*AD$2</f>
        <v>0</v>
      </c>
      <c r="AE901" s="88">
        <f>SUMIF(月間集計シート!$M$92:$M$111,$G901,月間集計シート!N$92:N$111)*AE$2</f>
        <v>0</v>
      </c>
      <c r="AF901" s="88">
        <f>SUMIF(月間集計シート!$M$92:$M$111,$G901,月間集計シート!O$92:O$111)*AF$2</f>
        <v>0</v>
      </c>
      <c r="AG901" s="88">
        <f>SUMIF(月間集計シート!$M$92:$M$111,$G901,月間集計シート!P$92:P$111)*AG$2</f>
        <v>0</v>
      </c>
      <c r="AH901" s="88">
        <f>SUMIF(月間集計シート!$M$92:$M$111,$G901,月間集計シート!Q$92:Q$111)*AH$2</f>
        <v>0</v>
      </c>
      <c r="AI901" s="88">
        <f>SUMIF(月間集計シート!$M$92:$M$111,$G901,月間集計シート!R$92:R$111)*AI$2</f>
        <v>0</v>
      </c>
      <c r="AJ901" s="88">
        <f>SUMIF(月間集計シート!$M$92:$M$111,$G901,月間集計シート!S$92:S$111)*AJ$2</f>
        <v>0</v>
      </c>
      <c r="AK901" s="88">
        <f>SUMIF(月間集計シート!$M$92:$M$111,$G901,月間集計シート!T$92:T$111)*AK$2</f>
        <v>0</v>
      </c>
      <c r="AL901" s="88">
        <f>SUMIF(月間集計シート!$M$113:$M$132,$G901,月間集計シート!N$113:N$132)*AL$2</f>
        <v>0</v>
      </c>
      <c r="AM901" s="88">
        <f>SUMIF(月間集計シート!$M$113:$M$132,$G901,月間集計シート!O$113:O$132)*AM$2</f>
        <v>0</v>
      </c>
      <c r="AN901" s="88">
        <f>SUMIF(月間集計シート!$M$113:$M$132,$G901,月間集計シート!P$113:P$132)*AN$2</f>
        <v>0</v>
      </c>
      <c r="AO901" s="88">
        <f>SUMIF(月間集計シート!$M$113:$M$132,$G901,月間集計シート!Q$113:Q$132)*AO$2</f>
        <v>0</v>
      </c>
      <c r="AP901" s="88">
        <f>SUMIF(月間集計シート!$M$113:$M$132,$G901,月間集計シート!R$113:R$132)*AP$2</f>
        <v>0</v>
      </c>
      <c r="AQ901" s="88">
        <f>SUMIF(月間集計シート!$M$113:$M$132,$G901,月間集計シート!S$113:S$132)*AQ$2</f>
        <v>0</v>
      </c>
      <c r="AR901" s="88">
        <f>SUMIF(月間集計シート!$M$113:$M$132,$G901,月間集計シート!T$113:T$132)*AR$2</f>
        <v>0</v>
      </c>
      <c r="AS901" s="88">
        <f>SUMIF(月間集計シート!$M$134:$M$153,$G901,月間集計シート!N$134:N$153)*AS$2</f>
        <v>0</v>
      </c>
      <c r="AT901" s="88">
        <f>SUMIF(月間集計シート!$M$134:$M$153,$G901,月間集計シート!O$134:O$153)*AT$2</f>
        <v>0</v>
      </c>
      <c r="AU901" s="88">
        <f>SUMIF(月間集計シート!$M$134:$M$153,$G901,月間集計シート!P$134:P$153)*AU$2</f>
        <v>0</v>
      </c>
      <c r="AV901" s="88">
        <f>SUMIF(月間集計シート!$M$134:$M$153,$G901,月間集計シート!Q$134:Q$153)*AV$2</f>
        <v>0</v>
      </c>
      <c r="AW901" s="88">
        <f>SUMIF(月間集計シート!$M$134:$M$153,$G901,月間集計シート!R$134:R$153)*AW$2</f>
        <v>0</v>
      </c>
      <c r="AX901" s="88">
        <f>SUMIF(月間集計シート!$M$134:$M$153,$G901,月間集計シート!S$134:S$153)*AX$2</f>
        <v>0</v>
      </c>
      <c r="AY901" s="88">
        <f>SUMIF(月間集計シート!$M$134:$M$153,$G901,月間集計シート!T$134:T$153)*AY$2</f>
        <v>0</v>
      </c>
    </row>
    <row r="902" spans="1:51" ht="14.25" thickBot="1">
      <c r="A902">
        <v>11</v>
      </c>
      <c r="B902" s="120">
        <f t="shared" si="464"/>
        <v>0</v>
      </c>
      <c r="C902" s="120" t="str">
        <f t="shared" si="465"/>
        <v/>
      </c>
      <c r="D902" s="137"/>
      <c r="E902" s="150" t="str">
        <f>工種!A44</f>
        <v>60103</v>
      </c>
      <c r="F902" s="119" t="str">
        <f>工種!B44</f>
        <v>ﾘﾘｰｽ：ﾏﾆｭｱﾙPDF作成・修正</v>
      </c>
      <c r="G902" s="116" t="str">
        <f t="shared" si="466"/>
        <v>060103</v>
      </c>
      <c r="H902" s="88">
        <f t="shared" si="420"/>
        <v>0</v>
      </c>
      <c r="I902" s="132"/>
      <c r="J902" s="88">
        <f>SUMIF(月間集計シート!$M$29:$M$48,$G902,月間集計シート!N$29:N$48)*J$2</f>
        <v>0</v>
      </c>
      <c r="K902" s="88">
        <f>SUMIF(月間集計シート!$M$29:$M$48,$G902,月間集計シート!O$29:O$48)*K$2</f>
        <v>0</v>
      </c>
      <c r="L902" s="88">
        <f>SUMIF(月間集計シート!$M$29:$M$48,$G902,月間集計シート!P$29:P$48)*L$2</f>
        <v>0</v>
      </c>
      <c r="M902" s="88">
        <f>SUMIF(月間集計シート!$M$29:$M$48,$G902,月間集計シート!Q$29:Q$48)*M$2</f>
        <v>0</v>
      </c>
      <c r="N902" s="88">
        <f>SUMIF(月間集計シート!$M$29:$M$48,$G902,月間集計シート!R$29:R$48)*N$2</f>
        <v>0</v>
      </c>
      <c r="O902" s="88">
        <f>SUMIF(月間集計シート!$M$29:$M$48,$G902,月間集計シート!S$29:S$48)*O$2</f>
        <v>0</v>
      </c>
      <c r="P902" s="88">
        <f>SUMIF(月間集計シート!$M$29:$M$48,$G902,月間集計シート!T$29:T$48)*P$2</f>
        <v>0</v>
      </c>
      <c r="Q902" s="88">
        <f>SUMIF(月間集計シート!$M$50:$M$69,$G902,月間集計シート!N$50:N$69)*Q$2</f>
        <v>0</v>
      </c>
      <c r="R902" s="88">
        <f>SUMIF(月間集計シート!$M$50:$M$69,$G902,月間集計シート!O$50:O$69)*R$2</f>
        <v>0</v>
      </c>
      <c r="S902" s="88">
        <f>SUMIF(月間集計シート!$M$50:$M$69,$G902,月間集計シート!P$50:P$69)*S$2</f>
        <v>0</v>
      </c>
      <c r="T902" s="88">
        <f>SUMIF(月間集計シート!$M$50:$M$69,$G902,月間集計シート!Q$50:Q$69)*T$2</f>
        <v>0</v>
      </c>
      <c r="U902" s="88">
        <f>SUMIF(月間集計シート!$M$50:$M$69,$G902,月間集計シート!R$50:R$69)*U$2</f>
        <v>0</v>
      </c>
      <c r="V902" s="88">
        <f>SUMIF(月間集計シート!$M$50:$M$69,$G902,月間集計シート!S$50:S$69)*V$2</f>
        <v>0</v>
      </c>
      <c r="W902" s="88">
        <f>SUMIF(月間集計シート!$M$50:$M$69,$G902,月間集計シート!T$50:T$69)*W$2</f>
        <v>0</v>
      </c>
      <c r="X902" s="88">
        <f>SUMIF(月間集計シート!$M$71:$M$90,$G902,月間集計シート!N$71:N$90)*X$2</f>
        <v>0</v>
      </c>
      <c r="Y902" s="88">
        <f>SUMIF(月間集計シート!$M$71:$M$90,$G902,月間集計シート!O$71:O$90)*Y$2</f>
        <v>0</v>
      </c>
      <c r="Z902" s="88">
        <f>SUMIF(月間集計シート!$M$71:$M$90,$G902,月間集計シート!P$71:P$90)*Z$2</f>
        <v>0</v>
      </c>
      <c r="AA902" s="88">
        <f>SUMIF(月間集計シート!$M$71:$M$90,$G902,月間集計シート!Q$71:Q$90)*AA$2</f>
        <v>0</v>
      </c>
      <c r="AB902" s="88">
        <f>SUMIF(月間集計シート!$M$71:$M$90,$G902,月間集計シート!R$71:R$90)*AB$2</f>
        <v>0</v>
      </c>
      <c r="AC902" s="88">
        <f>SUMIF(月間集計シート!$M$71:$M$90,$G902,月間集計シート!S$71:S$90)*AC$2</f>
        <v>0</v>
      </c>
      <c r="AD902" s="88">
        <f>SUMIF(月間集計シート!$M$71:$M$90,$G902,月間集計シート!T$71:T$90)*AD$2</f>
        <v>0</v>
      </c>
      <c r="AE902" s="88">
        <f>SUMIF(月間集計シート!$M$92:$M$111,$G902,月間集計シート!N$92:N$111)*AE$2</f>
        <v>0</v>
      </c>
      <c r="AF902" s="88">
        <f>SUMIF(月間集計シート!$M$92:$M$111,$G902,月間集計シート!O$92:O$111)*AF$2</f>
        <v>0</v>
      </c>
      <c r="AG902" s="88">
        <f>SUMIF(月間集計シート!$M$92:$M$111,$G902,月間集計シート!P$92:P$111)*AG$2</f>
        <v>0</v>
      </c>
      <c r="AH902" s="88">
        <f>SUMIF(月間集計シート!$M$92:$M$111,$G902,月間集計シート!Q$92:Q$111)*AH$2</f>
        <v>0</v>
      </c>
      <c r="AI902" s="88">
        <f>SUMIF(月間集計シート!$M$92:$M$111,$G902,月間集計シート!R$92:R$111)*AI$2</f>
        <v>0</v>
      </c>
      <c r="AJ902" s="88">
        <f>SUMIF(月間集計シート!$M$92:$M$111,$G902,月間集計シート!S$92:S$111)*AJ$2</f>
        <v>0</v>
      </c>
      <c r="AK902" s="88">
        <f>SUMIF(月間集計シート!$M$92:$M$111,$G902,月間集計シート!T$92:T$111)*AK$2</f>
        <v>0</v>
      </c>
      <c r="AL902" s="88">
        <f>SUMIF(月間集計シート!$M$113:$M$132,$G902,月間集計シート!N$113:N$132)*AL$2</f>
        <v>0</v>
      </c>
      <c r="AM902" s="88">
        <f>SUMIF(月間集計シート!$M$113:$M$132,$G902,月間集計シート!O$113:O$132)*AM$2</f>
        <v>0</v>
      </c>
      <c r="AN902" s="88">
        <f>SUMIF(月間集計シート!$M$113:$M$132,$G902,月間集計シート!P$113:P$132)*AN$2</f>
        <v>0</v>
      </c>
      <c r="AO902" s="88">
        <f>SUMIF(月間集計シート!$M$113:$M$132,$G902,月間集計シート!Q$113:Q$132)*AO$2</f>
        <v>0</v>
      </c>
      <c r="AP902" s="88">
        <f>SUMIF(月間集計シート!$M$113:$M$132,$G902,月間集計シート!R$113:R$132)*AP$2</f>
        <v>0</v>
      </c>
      <c r="AQ902" s="88">
        <f>SUMIF(月間集計シート!$M$113:$M$132,$G902,月間集計シート!S$113:S$132)*AQ$2</f>
        <v>0</v>
      </c>
      <c r="AR902" s="88">
        <f>SUMIF(月間集計シート!$M$113:$M$132,$G902,月間集計シート!T$113:T$132)*AR$2</f>
        <v>0</v>
      </c>
      <c r="AS902" s="88">
        <f>SUMIF(月間集計シート!$M$134:$M$153,$G902,月間集計シート!N$134:N$153)*AS$2</f>
        <v>0</v>
      </c>
      <c r="AT902" s="88">
        <f>SUMIF(月間集計シート!$M$134:$M$153,$G902,月間集計シート!O$134:O$153)*AT$2</f>
        <v>0</v>
      </c>
      <c r="AU902" s="88">
        <f>SUMIF(月間集計シート!$M$134:$M$153,$G902,月間集計シート!P$134:P$153)*AU$2</f>
        <v>0</v>
      </c>
      <c r="AV902" s="88">
        <f>SUMIF(月間集計シート!$M$134:$M$153,$G902,月間集計シート!Q$134:Q$153)*AV$2</f>
        <v>0</v>
      </c>
      <c r="AW902" s="88">
        <f>SUMIF(月間集計シート!$M$134:$M$153,$G902,月間集計シート!R$134:R$153)*AW$2</f>
        <v>0</v>
      </c>
      <c r="AX902" s="88">
        <f>SUMIF(月間集計シート!$M$134:$M$153,$G902,月間集計シート!S$134:S$153)*AX$2</f>
        <v>0</v>
      </c>
      <c r="AY902" s="88">
        <f>SUMIF(月間集計シート!$M$134:$M$153,$G902,月間集計シート!T$134:T$153)*AY$2</f>
        <v>0</v>
      </c>
    </row>
    <row r="903" spans="1:51" ht="14.25" thickBot="1">
      <c r="A903">
        <v>11</v>
      </c>
      <c r="B903" s="120">
        <f t="shared" si="464"/>
        <v>0</v>
      </c>
      <c r="C903" s="120" t="str">
        <f t="shared" si="465"/>
        <v/>
      </c>
      <c r="D903" s="137"/>
      <c r="E903" s="150" t="str">
        <f>工種!A45</f>
        <v>60104</v>
      </c>
      <c r="F903" s="119" t="str">
        <f>工種!B45</f>
        <v>ﾘﾘｰｽ：ﾍﾙﾌﾟ作成・修正</v>
      </c>
      <c r="G903" s="116" t="str">
        <f t="shared" si="466"/>
        <v>060104</v>
      </c>
      <c r="H903" s="88">
        <f t="shared" si="420"/>
        <v>0</v>
      </c>
      <c r="I903" s="132"/>
      <c r="J903" s="88">
        <f>SUMIF(月間集計シート!$M$29:$M$48,$G903,月間集計シート!N$29:N$48)*J$2</f>
        <v>0</v>
      </c>
      <c r="K903" s="88">
        <f>SUMIF(月間集計シート!$M$29:$M$48,$G903,月間集計シート!O$29:O$48)*K$2</f>
        <v>0</v>
      </c>
      <c r="L903" s="88">
        <f>SUMIF(月間集計シート!$M$29:$M$48,$G903,月間集計シート!P$29:P$48)*L$2</f>
        <v>0</v>
      </c>
      <c r="M903" s="88">
        <f>SUMIF(月間集計シート!$M$29:$M$48,$G903,月間集計シート!Q$29:Q$48)*M$2</f>
        <v>0</v>
      </c>
      <c r="N903" s="88">
        <f>SUMIF(月間集計シート!$M$29:$M$48,$G903,月間集計シート!R$29:R$48)*N$2</f>
        <v>0</v>
      </c>
      <c r="O903" s="88">
        <f>SUMIF(月間集計シート!$M$29:$M$48,$G903,月間集計シート!S$29:S$48)*O$2</f>
        <v>0</v>
      </c>
      <c r="P903" s="88">
        <f>SUMIF(月間集計シート!$M$29:$M$48,$G903,月間集計シート!T$29:T$48)*P$2</f>
        <v>0</v>
      </c>
      <c r="Q903" s="88">
        <f>SUMIF(月間集計シート!$M$50:$M$69,$G903,月間集計シート!N$50:N$69)*Q$2</f>
        <v>0</v>
      </c>
      <c r="R903" s="88">
        <f>SUMIF(月間集計シート!$M$50:$M$69,$G903,月間集計シート!O$50:O$69)*R$2</f>
        <v>0</v>
      </c>
      <c r="S903" s="88">
        <f>SUMIF(月間集計シート!$M$50:$M$69,$G903,月間集計シート!P$50:P$69)*S$2</f>
        <v>0</v>
      </c>
      <c r="T903" s="88">
        <f>SUMIF(月間集計シート!$M$50:$M$69,$G903,月間集計シート!Q$50:Q$69)*T$2</f>
        <v>0</v>
      </c>
      <c r="U903" s="88">
        <f>SUMIF(月間集計シート!$M$50:$M$69,$G903,月間集計シート!R$50:R$69)*U$2</f>
        <v>0</v>
      </c>
      <c r="V903" s="88">
        <f>SUMIF(月間集計シート!$M$50:$M$69,$G903,月間集計シート!S$50:S$69)*V$2</f>
        <v>0</v>
      </c>
      <c r="W903" s="88">
        <f>SUMIF(月間集計シート!$M$50:$M$69,$G903,月間集計シート!T$50:T$69)*W$2</f>
        <v>0</v>
      </c>
      <c r="X903" s="88">
        <f>SUMIF(月間集計シート!$M$71:$M$90,$G903,月間集計シート!N$71:N$90)*X$2</f>
        <v>0</v>
      </c>
      <c r="Y903" s="88">
        <f>SUMIF(月間集計シート!$M$71:$M$90,$G903,月間集計シート!O$71:O$90)*Y$2</f>
        <v>0</v>
      </c>
      <c r="Z903" s="88">
        <f>SUMIF(月間集計シート!$M$71:$M$90,$G903,月間集計シート!P$71:P$90)*Z$2</f>
        <v>0</v>
      </c>
      <c r="AA903" s="88">
        <f>SUMIF(月間集計シート!$M$71:$M$90,$G903,月間集計シート!Q$71:Q$90)*AA$2</f>
        <v>0</v>
      </c>
      <c r="AB903" s="88">
        <f>SUMIF(月間集計シート!$M$71:$M$90,$G903,月間集計シート!R$71:R$90)*AB$2</f>
        <v>0</v>
      </c>
      <c r="AC903" s="88">
        <f>SUMIF(月間集計シート!$M$71:$M$90,$G903,月間集計シート!S$71:S$90)*AC$2</f>
        <v>0</v>
      </c>
      <c r="AD903" s="88">
        <f>SUMIF(月間集計シート!$M$71:$M$90,$G903,月間集計シート!T$71:T$90)*AD$2</f>
        <v>0</v>
      </c>
      <c r="AE903" s="88">
        <f>SUMIF(月間集計シート!$M$92:$M$111,$G903,月間集計シート!N$92:N$111)*AE$2</f>
        <v>0</v>
      </c>
      <c r="AF903" s="88">
        <f>SUMIF(月間集計シート!$M$92:$M$111,$G903,月間集計シート!O$92:O$111)*AF$2</f>
        <v>0</v>
      </c>
      <c r="AG903" s="88">
        <f>SUMIF(月間集計シート!$M$92:$M$111,$G903,月間集計シート!P$92:P$111)*AG$2</f>
        <v>0</v>
      </c>
      <c r="AH903" s="88">
        <f>SUMIF(月間集計シート!$M$92:$M$111,$G903,月間集計シート!Q$92:Q$111)*AH$2</f>
        <v>0</v>
      </c>
      <c r="AI903" s="88">
        <f>SUMIF(月間集計シート!$M$92:$M$111,$G903,月間集計シート!R$92:R$111)*AI$2</f>
        <v>0</v>
      </c>
      <c r="AJ903" s="88">
        <f>SUMIF(月間集計シート!$M$92:$M$111,$G903,月間集計シート!S$92:S$111)*AJ$2</f>
        <v>0</v>
      </c>
      <c r="AK903" s="88">
        <f>SUMIF(月間集計シート!$M$92:$M$111,$G903,月間集計シート!T$92:T$111)*AK$2</f>
        <v>0</v>
      </c>
      <c r="AL903" s="88">
        <f>SUMIF(月間集計シート!$M$113:$M$132,$G903,月間集計シート!N$113:N$132)*AL$2</f>
        <v>0</v>
      </c>
      <c r="AM903" s="88">
        <f>SUMIF(月間集計シート!$M$113:$M$132,$G903,月間集計シート!O$113:O$132)*AM$2</f>
        <v>0</v>
      </c>
      <c r="AN903" s="88">
        <f>SUMIF(月間集計シート!$M$113:$M$132,$G903,月間集計シート!P$113:P$132)*AN$2</f>
        <v>0</v>
      </c>
      <c r="AO903" s="88">
        <f>SUMIF(月間集計シート!$M$113:$M$132,$G903,月間集計シート!Q$113:Q$132)*AO$2</f>
        <v>0</v>
      </c>
      <c r="AP903" s="88">
        <f>SUMIF(月間集計シート!$M$113:$M$132,$G903,月間集計シート!R$113:R$132)*AP$2</f>
        <v>0</v>
      </c>
      <c r="AQ903" s="88">
        <f>SUMIF(月間集計シート!$M$113:$M$132,$G903,月間集計シート!S$113:S$132)*AQ$2</f>
        <v>0</v>
      </c>
      <c r="AR903" s="88">
        <f>SUMIF(月間集計シート!$M$113:$M$132,$G903,月間集計シート!T$113:T$132)*AR$2</f>
        <v>0</v>
      </c>
      <c r="AS903" s="88">
        <f>SUMIF(月間集計シート!$M$134:$M$153,$G903,月間集計シート!N$134:N$153)*AS$2</f>
        <v>0</v>
      </c>
      <c r="AT903" s="88">
        <f>SUMIF(月間集計シート!$M$134:$M$153,$G903,月間集計シート!O$134:O$153)*AT$2</f>
        <v>0</v>
      </c>
      <c r="AU903" s="88">
        <f>SUMIF(月間集計シート!$M$134:$M$153,$G903,月間集計シート!P$134:P$153)*AU$2</f>
        <v>0</v>
      </c>
      <c r="AV903" s="88">
        <f>SUMIF(月間集計シート!$M$134:$M$153,$G903,月間集計シート!Q$134:Q$153)*AV$2</f>
        <v>0</v>
      </c>
      <c r="AW903" s="88">
        <f>SUMIF(月間集計シート!$M$134:$M$153,$G903,月間集計シート!R$134:R$153)*AW$2</f>
        <v>0</v>
      </c>
      <c r="AX903" s="88">
        <f>SUMIF(月間集計シート!$M$134:$M$153,$G903,月間集計シート!S$134:S$153)*AX$2</f>
        <v>0</v>
      </c>
      <c r="AY903" s="88">
        <f>SUMIF(月間集計シート!$M$134:$M$153,$G903,月間集計シート!T$134:T$153)*AY$2</f>
        <v>0</v>
      </c>
    </row>
    <row r="904" spans="1:51" ht="14.25" thickBot="1">
      <c r="A904">
        <v>11</v>
      </c>
      <c r="B904" s="120">
        <f t="shared" si="464"/>
        <v>0</v>
      </c>
      <c r="C904" s="120" t="str">
        <f t="shared" si="465"/>
        <v/>
      </c>
      <c r="D904" s="137"/>
      <c r="E904" s="150" t="str">
        <f>工種!A46</f>
        <v>60105</v>
      </c>
      <c r="F904" s="119" t="str">
        <f>工種!B46</f>
        <v>ﾘﾘｰｽ：締め作業</v>
      </c>
      <c r="G904" s="116" t="str">
        <f t="shared" si="466"/>
        <v>060105</v>
      </c>
      <c r="H904" s="88">
        <f t="shared" si="420"/>
        <v>0</v>
      </c>
      <c r="I904" s="132"/>
      <c r="J904" s="88">
        <f>SUMIF(月間集計シート!$M$29:$M$48,$G904,月間集計シート!N$29:N$48)*J$2</f>
        <v>0</v>
      </c>
      <c r="K904" s="88">
        <f>SUMIF(月間集計シート!$M$29:$M$48,$G904,月間集計シート!O$29:O$48)*K$2</f>
        <v>0</v>
      </c>
      <c r="L904" s="88">
        <f>SUMIF(月間集計シート!$M$29:$M$48,$G904,月間集計シート!P$29:P$48)*L$2</f>
        <v>0</v>
      </c>
      <c r="M904" s="88">
        <f>SUMIF(月間集計シート!$M$29:$M$48,$G904,月間集計シート!Q$29:Q$48)*M$2</f>
        <v>0</v>
      </c>
      <c r="N904" s="88">
        <f>SUMIF(月間集計シート!$M$29:$M$48,$G904,月間集計シート!R$29:R$48)*N$2</f>
        <v>0</v>
      </c>
      <c r="O904" s="88">
        <f>SUMIF(月間集計シート!$M$29:$M$48,$G904,月間集計シート!S$29:S$48)*O$2</f>
        <v>0</v>
      </c>
      <c r="P904" s="88">
        <f>SUMIF(月間集計シート!$M$29:$M$48,$G904,月間集計シート!T$29:T$48)*P$2</f>
        <v>0</v>
      </c>
      <c r="Q904" s="88">
        <f>SUMIF(月間集計シート!$M$50:$M$69,$G904,月間集計シート!N$50:N$69)*Q$2</f>
        <v>0</v>
      </c>
      <c r="R904" s="88">
        <f>SUMIF(月間集計シート!$M$50:$M$69,$G904,月間集計シート!O$50:O$69)*R$2</f>
        <v>0</v>
      </c>
      <c r="S904" s="88">
        <f>SUMIF(月間集計シート!$M$50:$M$69,$G904,月間集計シート!P$50:P$69)*S$2</f>
        <v>0</v>
      </c>
      <c r="T904" s="88">
        <f>SUMIF(月間集計シート!$M$50:$M$69,$G904,月間集計シート!Q$50:Q$69)*T$2</f>
        <v>0</v>
      </c>
      <c r="U904" s="88">
        <f>SUMIF(月間集計シート!$M$50:$M$69,$G904,月間集計シート!R$50:R$69)*U$2</f>
        <v>0</v>
      </c>
      <c r="V904" s="88">
        <f>SUMIF(月間集計シート!$M$50:$M$69,$G904,月間集計シート!S$50:S$69)*V$2</f>
        <v>0</v>
      </c>
      <c r="W904" s="88">
        <f>SUMIF(月間集計シート!$M$50:$M$69,$G904,月間集計シート!T$50:T$69)*W$2</f>
        <v>0</v>
      </c>
      <c r="X904" s="88">
        <f>SUMIF(月間集計シート!$M$71:$M$90,$G904,月間集計シート!N$71:N$90)*X$2</f>
        <v>0</v>
      </c>
      <c r="Y904" s="88">
        <f>SUMIF(月間集計シート!$M$71:$M$90,$G904,月間集計シート!O$71:O$90)*Y$2</f>
        <v>0</v>
      </c>
      <c r="Z904" s="88">
        <f>SUMIF(月間集計シート!$M$71:$M$90,$G904,月間集計シート!P$71:P$90)*Z$2</f>
        <v>0</v>
      </c>
      <c r="AA904" s="88">
        <f>SUMIF(月間集計シート!$M$71:$M$90,$G904,月間集計シート!Q$71:Q$90)*AA$2</f>
        <v>0</v>
      </c>
      <c r="AB904" s="88">
        <f>SUMIF(月間集計シート!$M$71:$M$90,$G904,月間集計シート!R$71:R$90)*AB$2</f>
        <v>0</v>
      </c>
      <c r="AC904" s="88">
        <f>SUMIF(月間集計シート!$M$71:$M$90,$G904,月間集計シート!S$71:S$90)*AC$2</f>
        <v>0</v>
      </c>
      <c r="AD904" s="88">
        <f>SUMIF(月間集計シート!$M$71:$M$90,$G904,月間集計シート!T$71:T$90)*AD$2</f>
        <v>0</v>
      </c>
      <c r="AE904" s="88">
        <f>SUMIF(月間集計シート!$M$92:$M$111,$G904,月間集計シート!N$92:N$111)*AE$2</f>
        <v>0</v>
      </c>
      <c r="AF904" s="88">
        <f>SUMIF(月間集計シート!$M$92:$M$111,$G904,月間集計シート!O$92:O$111)*AF$2</f>
        <v>0</v>
      </c>
      <c r="AG904" s="88">
        <f>SUMIF(月間集計シート!$M$92:$M$111,$G904,月間集計シート!P$92:P$111)*AG$2</f>
        <v>0</v>
      </c>
      <c r="AH904" s="88">
        <f>SUMIF(月間集計シート!$M$92:$M$111,$G904,月間集計シート!Q$92:Q$111)*AH$2</f>
        <v>0</v>
      </c>
      <c r="AI904" s="88">
        <f>SUMIF(月間集計シート!$M$92:$M$111,$G904,月間集計シート!R$92:R$111)*AI$2</f>
        <v>0</v>
      </c>
      <c r="AJ904" s="88">
        <f>SUMIF(月間集計シート!$M$92:$M$111,$G904,月間集計シート!S$92:S$111)*AJ$2</f>
        <v>0</v>
      </c>
      <c r="AK904" s="88">
        <f>SUMIF(月間集計シート!$M$92:$M$111,$G904,月間集計シート!T$92:T$111)*AK$2</f>
        <v>0</v>
      </c>
      <c r="AL904" s="88">
        <f>SUMIF(月間集計シート!$M$113:$M$132,$G904,月間集計シート!N$113:N$132)*AL$2</f>
        <v>0</v>
      </c>
      <c r="AM904" s="88">
        <f>SUMIF(月間集計シート!$M$113:$M$132,$G904,月間集計シート!O$113:O$132)*AM$2</f>
        <v>0</v>
      </c>
      <c r="AN904" s="88">
        <f>SUMIF(月間集計シート!$M$113:$M$132,$G904,月間集計シート!P$113:P$132)*AN$2</f>
        <v>0</v>
      </c>
      <c r="AO904" s="88">
        <f>SUMIF(月間集計シート!$M$113:$M$132,$G904,月間集計シート!Q$113:Q$132)*AO$2</f>
        <v>0</v>
      </c>
      <c r="AP904" s="88">
        <f>SUMIF(月間集計シート!$M$113:$M$132,$G904,月間集計シート!R$113:R$132)*AP$2</f>
        <v>0</v>
      </c>
      <c r="AQ904" s="88">
        <f>SUMIF(月間集計シート!$M$113:$M$132,$G904,月間集計シート!S$113:S$132)*AQ$2</f>
        <v>0</v>
      </c>
      <c r="AR904" s="88">
        <f>SUMIF(月間集計シート!$M$113:$M$132,$G904,月間集計シート!T$113:T$132)*AR$2</f>
        <v>0</v>
      </c>
      <c r="AS904" s="88">
        <f>SUMIF(月間集計シート!$M$134:$M$153,$G904,月間集計シート!N$134:N$153)*AS$2</f>
        <v>0</v>
      </c>
      <c r="AT904" s="88">
        <f>SUMIF(月間集計シート!$M$134:$M$153,$G904,月間集計シート!O$134:O$153)*AT$2</f>
        <v>0</v>
      </c>
      <c r="AU904" s="88">
        <f>SUMIF(月間集計シート!$M$134:$M$153,$G904,月間集計シート!P$134:P$153)*AU$2</f>
        <v>0</v>
      </c>
      <c r="AV904" s="88">
        <f>SUMIF(月間集計シート!$M$134:$M$153,$G904,月間集計シート!Q$134:Q$153)*AV$2</f>
        <v>0</v>
      </c>
      <c r="AW904" s="88">
        <f>SUMIF(月間集計シート!$M$134:$M$153,$G904,月間集計シート!R$134:R$153)*AW$2</f>
        <v>0</v>
      </c>
      <c r="AX904" s="88">
        <f>SUMIF(月間集計シート!$M$134:$M$153,$G904,月間集計シート!S$134:S$153)*AX$2</f>
        <v>0</v>
      </c>
      <c r="AY904" s="88">
        <f>SUMIF(月間集計シート!$M$134:$M$153,$G904,月間集計シート!T$134:T$153)*AY$2</f>
        <v>0</v>
      </c>
    </row>
    <row r="905" spans="1:51" ht="14.25" thickBot="1">
      <c r="A905">
        <v>11</v>
      </c>
      <c r="B905" s="120">
        <f t="shared" si="464"/>
        <v>0</v>
      </c>
      <c r="C905" s="120" t="str">
        <f t="shared" si="465"/>
        <v/>
      </c>
      <c r="D905" s="137"/>
      <c r="E905" s="150" t="str">
        <f>工種!A47</f>
        <v>60107</v>
      </c>
      <c r="F905" s="119" t="str">
        <f>工種!B47</f>
        <v>ﾘﾘｰｽ：打合せ</v>
      </c>
      <c r="G905" s="116" t="str">
        <f t="shared" si="466"/>
        <v>060107</v>
      </c>
      <c r="H905" s="88">
        <f t="shared" si="420"/>
        <v>0</v>
      </c>
      <c r="I905" s="132"/>
      <c r="J905" s="88">
        <f>SUMIF(月間集計シート!$M$29:$M$48,$G905,月間集計シート!N$29:N$48)*J$2</f>
        <v>0</v>
      </c>
      <c r="K905" s="88">
        <f>SUMIF(月間集計シート!$M$29:$M$48,$G905,月間集計シート!O$29:O$48)*K$2</f>
        <v>0</v>
      </c>
      <c r="L905" s="88">
        <f>SUMIF(月間集計シート!$M$29:$M$48,$G905,月間集計シート!P$29:P$48)*L$2</f>
        <v>0</v>
      </c>
      <c r="M905" s="88">
        <f>SUMIF(月間集計シート!$M$29:$M$48,$G905,月間集計シート!Q$29:Q$48)*M$2</f>
        <v>0</v>
      </c>
      <c r="N905" s="88">
        <f>SUMIF(月間集計シート!$M$29:$M$48,$G905,月間集計シート!R$29:R$48)*N$2</f>
        <v>0</v>
      </c>
      <c r="O905" s="88">
        <f>SUMIF(月間集計シート!$M$29:$M$48,$G905,月間集計シート!S$29:S$48)*O$2</f>
        <v>0</v>
      </c>
      <c r="P905" s="88">
        <f>SUMIF(月間集計シート!$M$29:$M$48,$G905,月間集計シート!T$29:T$48)*P$2</f>
        <v>0</v>
      </c>
      <c r="Q905" s="88">
        <f>SUMIF(月間集計シート!$M$50:$M$69,$G905,月間集計シート!N$50:N$69)*Q$2</f>
        <v>0</v>
      </c>
      <c r="R905" s="88">
        <f>SUMIF(月間集計シート!$M$50:$M$69,$G905,月間集計シート!O$50:O$69)*R$2</f>
        <v>0</v>
      </c>
      <c r="S905" s="88">
        <f>SUMIF(月間集計シート!$M$50:$M$69,$G905,月間集計シート!P$50:P$69)*S$2</f>
        <v>0</v>
      </c>
      <c r="T905" s="88">
        <f>SUMIF(月間集計シート!$M$50:$M$69,$G905,月間集計シート!Q$50:Q$69)*T$2</f>
        <v>0</v>
      </c>
      <c r="U905" s="88">
        <f>SUMIF(月間集計シート!$M$50:$M$69,$G905,月間集計シート!R$50:R$69)*U$2</f>
        <v>0</v>
      </c>
      <c r="V905" s="88">
        <f>SUMIF(月間集計シート!$M$50:$M$69,$G905,月間集計シート!S$50:S$69)*V$2</f>
        <v>0</v>
      </c>
      <c r="W905" s="88">
        <f>SUMIF(月間集計シート!$M$50:$M$69,$G905,月間集計シート!T$50:T$69)*W$2</f>
        <v>0</v>
      </c>
      <c r="X905" s="88">
        <f>SUMIF(月間集計シート!$M$71:$M$90,$G905,月間集計シート!N$71:N$90)*X$2</f>
        <v>0</v>
      </c>
      <c r="Y905" s="88">
        <f>SUMIF(月間集計シート!$M$71:$M$90,$G905,月間集計シート!O$71:O$90)*Y$2</f>
        <v>0</v>
      </c>
      <c r="Z905" s="88">
        <f>SUMIF(月間集計シート!$M$71:$M$90,$G905,月間集計シート!P$71:P$90)*Z$2</f>
        <v>0</v>
      </c>
      <c r="AA905" s="88">
        <f>SUMIF(月間集計シート!$M$71:$M$90,$G905,月間集計シート!Q$71:Q$90)*AA$2</f>
        <v>0</v>
      </c>
      <c r="AB905" s="88">
        <f>SUMIF(月間集計シート!$M$71:$M$90,$G905,月間集計シート!R$71:R$90)*AB$2</f>
        <v>0</v>
      </c>
      <c r="AC905" s="88">
        <f>SUMIF(月間集計シート!$M$71:$M$90,$G905,月間集計シート!S$71:S$90)*AC$2</f>
        <v>0</v>
      </c>
      <c r="AD905" s="88">
        <f>SUMIF(月間集計シート!$M$71:$M$90,$G905,月間集計シート!T$71:T$90)*AD$2</f>
        <v>0</v>
      </c>
      <c r="AE905" s="88">
        <f>SUMIF(月間集計シート!$M$92:$M$111,$G905,月間集計シート!N$92:N$111)*AE$2</f>
        <v>0</v>
      </c>
      <c r="AF905" s="88">
        <f>SUMIF(月間集計シート!$M$92:$M$111,$G905,月間集計シート!O$92:O$111)*AF$2</f>
        <v>0</v>
      </c>
      <c r="AG905" s="88">
        <f>SUMIF(月間集計シート!$M$92:$M$111,$G905,月間集計シート!P$92:P$111)*AG$2</f>
        <v>0</v>
      </c>
      <c r="AH905" s="88">
        <f>SUMIF(月間集計シート!$M$92:$M$111,$G905,月間集計シート!Q$92:Q$111)*AH$2</f>
        <v>0</v>
      </c>
      <c r="AI905" s="88">
        <f>SUMIF(月間集計シート!$M$92:$M$111,$G905,月間集計シート!R$92:R$111)*AI$2</f>
        <v>0</v>
      </c>
      <c r="AJ905" s="88">
        <f>SUMIF(月間集計シート!$M$92:$M$111,$G905,月間集計シート!S$92:S$111)*AJ$2</f>
        <v>0</v>
      </c>
      <c r="AK905" s="88">
        <f>SUMIF(月間集計シート!$M$92:$M$111,$G905,月間集計シート!T$92:T$111)*AK$2</f>
        <v>0</v>
      </c>
      <c r="AL905" s="88">
        <f>SUMIF(月間集計シート!$M$113:$M$132,$G905,月間集計シート!N$113:N$132)*AL$2</f>
        <v>0</v>
      </c>
      <c r="AM905" s="88">
        <f>SUMIF(月間集計シート!$M$113:$M$132,$G905,月間集計シート!O$113:O$132)*AM$2</f>
        <v>0</v>
      </c>
      <c r="AN905" s="88">
        <f>SUMIF(月間集計シート!$M$113:$M$132,$G905,月間集計シート!P$113:P$132)*AN$2</f>
        <v>0</v>
      </c>
      <c r="AO905" s="88">
        <f>SUMIF(月間集計シート!$M$113:$M$132,$G905,月間集計シート!Q$113:Q$132)*AO$2</f>
        <v>0</v>
      </c>
      <c r="AP905" s="88">
        <f>SUMIF(月間集計シート!$M$113:$M$132,$G905,月間集計シート!R$113:R$132)*AP$2</f>
        <v>0</v>
      </c>
      <c r="AQ905" s="88">
        <f>SUMIF(月間集計シート!$M$113:$M$132,$G905,月間集計シート!S$113:S$132)*AQ$2</f>
        <v>0</v>
      </c>
      <c r="AR905" s="88">
        <f>SUMIF(月間集計シート!$M$113:$M$132,$G905,月間集計シート!T$113:T$132)*AR$2</f>
        <v>0</v>
      </c>
      <c r="AS905" s="88">
        <f>SUMIF(月間集計シート!$M$134:$M$153,$G905,月間集計シート!N$134:N$153)*AS$2</f>
        <v>0</v>
      </c>
      <c r="AT905" s="88">
        <f>SUMIF(月間集計シート!$M$134:$M$153,$G905,月間集計シート!O$134:O$153)*AT$2</f>
        <v>0</v>
      </c>
      <c r="AU905" s="88">
        <f>SUMIF(月間集計シート!$M$134:$M$153,$G905,月間集計シート!P$134:P$153)*AU$2</f>
        <v>0</v>
      </c>
      <c r="AV905" s="88">
        <f>SUMIF(月間集計シート!$M$134:$M$153,$G905,月間集計シート!Q$134:Q$153)*AV$2</f>
        <v>0</v>
      </c>
      <c r="AW905" s="88">
        <f>SUMIF(月間集計シート!$M$134:$M$153,$G905,月間集計シート!R$134:R$153)*AW$2</f>
        <v>0</v>
      </c>
      <c r="AX905" s="88">
        <f>SUMIF(月間集計シート!$M$134:$M$153,$G905,月間集計シート!S$134:S$153)*AX$2</f>
        <v>0</v>
      </c>
      <c r="AY905" s="88">
        <f>SUMIF(月間集計シート!$M$134:$M$153,$G905,月間集計シート!T$134:T$153)*AY$2</f>
        <v>0</v>
      </c>
    </row>
    <row r="906" spans="1:51" ht="14.25" thickBot="1">
      <c r="A906">
        <v>11</v>
      </c>
      <c r="B906" s="120">
        <f t="shared" si="464"/>
        <v>0</v>
      </c>
      <c r="C906" s="120" t="str">
        <f t="shared" si="465"/>
        <v/>
      </c>
      <c r="D906" s="137"/>
      <c r="E906" s="150" t="str">
        <f>工種!A48</f>
        <v>60108</v>
      </c>
      <c r="F906" s="119" t="str">
        <f>工種!B48</f>
        <v>ﾘﾘｰｽ：ﾚﾋﾞｭｰ</v>
      </c>
      <c r="G906" s="116" t="str">
        <f t="shared" si="466"/>
        <v>060108</v>
      </c>
      <c r="H906" s="88">
        <f t="shared" si="420"/>
        <v>0</v>
      </c>
      <c r="I906" s="132"/>
      <c r="J906" s="88">
        <f>SUMIF(月間集計シート!$M$29:$M$48,$G906,月間集計シート!N$29:N$48)*J$2</f>
        <v>0</v>
      </c>
      <c r="K906" s="88">
        <f>SUMIF(月間集計シート!$M$29:$M$48,$G906,月間集計シート!O$29:O$48)*K$2</f>
        <v>0</v>
      </c>
      <c r="L906" s="88">
        <f>SUMIF(月間集計シート!$M$29:$M$48,$G906,月間集計シート!P$29:P$48)*L$2</f>
        <v>0</v>
      </c>
      <c r="M906" s="88">
        <f>SUMIF(月間集計シート!$M$29:$M$48,$G906,月間集計シート!Q$29:Q$48)*M$2</f>
        <v>0</v>
      </c>
      <c r="N906" s="88">
        <f>SUMIF(月間集計シート!$M$29:$M$48,$G906,月間集計シート!R$29:R$48)*N$2</f>
        <v>0</v>
      </c>
      <c r="O906" s="88">
        <f>SUMIF(月間集計シート!$M$29:$M$48,$G906,月間集計シート!S$29:S$48)*O$2</f>
        <v>0</v>
      </c>
      <c r="P906" s="88">
        <f>SUMIF(月間集計シート!$M$29:$M$48,$G906,月間集計シート!T$29:T$48)*P$2</f>
        <v>0</v>
      </c>
      <c r="Q906" s="88">
        <f>SUMIF(月間集計シート!$M$50:$M$69,$G906,月間集計シート!N$50:N$69)*Q$2</f>
        <v>0</v>
      </c>
      <c r="R906" s="88">
        <f>SUMIF(月間集計シート!$M$50:$M$69,$G906,月間集計シート!O$50:O$69)*R$2</f>
        <v>0</v>
      </c>
      <c r="S906" s="88">
        <f>SUMIF(月間集計シート!$M$50:$M$69,$G906,月間集計シート!P$50:P$69)*S$2</f>
        <v>0</v>
      </c>
      <c r="T906" s="88">
        <f>SUMIF(月間集計シート!$M$50:$M$69,$G906,月間集計シート!Q$50:Q$69)*T$2</f>
        <v>0</v>
      </c>
      <c r="U906" s="88">
        <f>SUMIF(月間集計シート!$M$50:$M$69,$G906,月間集計シート!R$50:R$69)*U$2</f>
        <v>0</v>
      </c>
      <c r="V906" s="88">
        <f>SUMIF(月間集計シート!$M$50:$M$69,$G906,月間集計シート!S$50:S$69)*V$2</f>
        <v>0</v>
      </c>
      <c r="W906" s="88">
        <f>SUMIF(月間集計シート!$M$50:$M$69,$G906,月間集計シート!T$50:T$69)*W$2</f>
        <v>0</v>
      </c>
      <c r="X906" s="88">
        <f>SUMIF(月間集計シート!$M$71:$M$90,$G906,月間集計シート!N$71:N$90)*X$2</f>
        <v>0</v>
      </c>
      <c r="Y906" s="88">
        <f>SUMIF(月間集計シート!$M$71:$M$90,$G906,月間集計シート!O$71:O$90)*Y$2</f>
        <v>0</v>
      </c>
      <c r="Z906" s="88">
        <f>SUMIF(月間集計シート!$M$71:$M$90,$G906,月間集計シート!P$71:P$90)*Z$2</f>
        <v>0</v>
      </c>
      <c r="AA906" s="88">
        <f>SUMIF(月間集計シート!$M$71:$M$90,$G906,月間集計シート!Q$71:Q$90)*AA$2</f>
        <v>0</v>
      </c>
      <c r="AB906" s="88">
        <f>SUMIF(月間集計シート!$M$71:$M$90,$G906,月間集計シート!R$71:R$90)*AB$2</f>
        <v>0</v>
      </c>
      <c r="AC906" s="88">
        <f>SUMIF(月間集計シート!$M$71:$M$90,$G906,月間集計シート!S$71:S$90)*AC$2</f>
        <v>0</v>
      </c>
      <c r="AD906" s="88">
        <f>SUMIF(月間集計シート!$M$71:$M$90,$G906,月間集計シート!T$71:T$90)*AD$2</f>
        <v>0</v>
      </c>
      <c r="AE906" s="88">
        <f>SUMIF(月間集計シート!$M$92:$M$111,$G906,月間集計シート!N$92:N$111)*AE$2</f>
        <v>0</v>
      </c>
      <c r="AF906" s="88">
        <f>SUMIF(月間集計シート!$M$92:$M$111,$G906,月間集計シート!O$92:O$111)*AF$2</f>
        <v>0</v>
      </c>
      <c r="AG906" s="88">
        <f>SUMIF(月間集計シート!$M$92:$M$111,$G906,月間集計シート!P$92:P$111)*AG$2</f>
        <v>0</v>
      </c>
      <c r="AH906" s="88">
        <f>SUMIF(月間集計シート!$M$92:$M$111,$G906,月間集計シート!Q$92:Q$111)*AH$2</f>
        <v>0</v>
      </c>
      <c r="AI906" s="88">
        <f>SUMIF(月間集計シート!$M$92:$M$111,$G906,月間集計シート!R$92:R$111)*AI$2</f>
        <v>0</v>
      </c>
      <c r="AJ906" s="88">
        <f>SUMIF(月間集計シート!$M$92:$M$111,$G906,月間集計シート!S$92:S$111)*AJ$2</f>
        <v>0</v>
      </c>
      <c r="AK906" s="88">
        <f>SUMIF(月間集計シート!$M$92:$M$111,$G906,月間集計シート!T$92:T$111)*AK$2</f>
        <v>0</v>
      </c>
      <c r="AL906" s="88">
        <f>SUMIF(月間集計シート!$M$113:$M$132,$G906,月間集計シート!N$113:N$132)*AL$2</f>
        <v>0</v>
      </c>
      <c r="AM906" s="88">
        <f>SUMIF(月間集計シート!$M$113:$M$132,$G906,月間集計シート!O$113:O$132)*AM$2</f>
        <v>0</v>
      </c>
      <c r="AN906" s="88">
        <f>SUMIF(月間集計シート!$M$113:$M$132,$G906,月間集計シート!P$113:P$132)*AN$2</f>
        <v>0</v>
      </c>
      <c r="AO906" s="88">
        <f>SUMIF(月間集計シート!$M$113:$M$132,$G906,月間集計シート!Q$113:Q$132)*AO$2</f>
        <v>0</v>
      </c>
      <c r="AP906" s="88">
        <f>SUMIF(月間集計シート!$M$113:$M$132,$G906,月間集計シート!R$113:R$132)*AP$2</f>
        <v>0</v>
      </c>
      <c r="AQ906" s="88">
        <f>SUMIF(月間集計シート!$M$113:$M$132,$G906,月間集計シート!S$113:S$132)*AQ$2</f>
        <v>0</v>
      </c>
      <c r="AR906" s="88">
        <f>SUMIF(月間集計シート!$M$113:$M$132,$G906,月間集計シート!T$113:T$132)*AR$2</f>
        <v>0</v>
      </c>
      <c r="AS906" s="88">
        <f>SUMIF(月間集計シート!$M$134:$M$153,$G906,月間集計シート!N$134:N$153)*AS$2</f>
        <v>0</v>
      </c>
      <c r="AT906" s="88">
        <f>SUMIF(月間集計シート!$M$134:$M$153,$G906,月間集計シート!O$134:O$153)*AT$2</f>
        <v>0</v>
      </c>
      <c r="AU906" s="88">
        <f>SUMIF(月間集計シート!$M$134:$M$153,$G906,月間集計シート!P$134:P$153)*AU$2</f>
        <v>0</v>
      </c>
      <c r="AV906" s="88">
        <f>SUMIF(月間集計シート!$M$134:$M$153,$G906,月間集計シート!Q$134:Q$153)*AV$2</f>
        <v>0</v>
      </c>
      <c r="AW906" s="88">
        <f>SUMIF(月間集計シート!$M$134:$M$153,$G906,月間集計シート!R$134:R$153)*AW$2</f>
        <v>0</v>
      </c>
      <c r="AX906" s="88">
        <f>SUMIF(月間集計シート!$M$134:$M$153,$G906,月間集計シート!S$134:S$153)*AX$2</f>
        <v>0</v>
      </c>
      <c r="AY906" s="88">
        <f>SUMIF(月間集計シート!$M$134:$M$153,$G906,月間集計シート!T$134:T$153)*AY$2</f>
        <v>0</v>
      </c>
    </row>
    <row r="907" spans="1:51" ht="14.25" thickBot="1">
      <c r="A907">
        <v>11</v>
      </c>
      <c r="B907" s="120">
        <f t="shared" si="464"/>
        <v>0</v>
      </c>
      <c r="C907" s="120" t="str">
        <f t="shared" si="465"/>
        <v/>
      </c>
      <c r="D907" s="137"/>
      <c r="E907" s="150" t="str">
        <f>工種!A49</f>
        <v>60199</v>
      </c>
      <c r="F907" s="119" t="str">
        <f>工種!B49</f>
        <v>ﾘﾘｰｽ：その他</v>
      </c>
      <c r="G907" s="116" t="str">
        <f t="shared" si="466"/>
        <v>060199</v>
      </c>
      <c r="H907" s="88">
        <f t="shared" si="420"/>
        <v>0</v>
      </c>
      <c r="I907" s="132"/>
      <c r="J907" s="88">
        <f>SUMIF(月間集計シート!$M$29:$M$48,$G907,月間集計シート!N$29:N$48)*J$2</f>
        <v>0</v>
      </c>
      <c r="K907" s="88">
        <f>SUMIF(月間集計シート!$M$29:$M$48,$G907,月間集計シート!O$29:O$48)*K$2</f>
        <v>0</v>
      </c>
      <c r="L907" s="88">
        <f>SUMIF(月間集計シート!$M$29:$M$48,$G907,月間集計シート!P$29:P$48)*L$2</f>
        <v>0</v>
      </c>
      <c r="M907" s="88">
        <f>SUMIF(月間集計シート!$M$29:$M$48,$G907,月間集計シート!Q$29:Q$48)*M$2</f>
        <v>0</v>
      </c>
      <c r="N907" s="88">
        <f>SUMIF(月間集計シート!$M$29:$M$48,$G907,月間集計シート!R$29:R$48)*N$2</f>
        <v>0</v>
      </c>
      <c r="O907" s="88">
        <f>SUMIF(月間集計シート!$M$29:$M$48,$G907,月間集計シート!S$29:S$48)*O$2</f>
        <v>0</v>
      </c>
      <c r="P907" s="88">
        <f>SUMIF(月間集計シート!$M$29:$M$48,$G907,月間集計シート!T$29:T$48)*P$2</f>
        <v>0</v>
      </c>
      <c r="Q907" s="88">
        <f>SUMIF(月間集計シート!$M$50:$M$69,$G907,月間集計シート!N$50:N$69)*Q$2</f>
        <v>0</v>
      </c>
      <c r="R907" s="88">
        <f>SUMIF(月間集計シート!$M$50:$M$69,$G907,月間集計シート!O$50:O$69)*R$2</f>
        <v>0</v>
      </c>
      <c r="S907" s="88">
        <f>SUMIF(月間集計シート!$M$50:$M$69,$G907,月間集計シート!P$50:P$69)*S$2</f>
        <v>0</v>
      </c>
      <c r="T907" s="88">
        <f>SUMIF(月間集計シート!$M$50:$M$69,$G907,月間集計シート!Q$50:Q$69)*T$2</f>
        <v>0</v>
      </c>
      <c r="U907" s="88">
        <f>SUMIF(月間集計シート!$M$50:$M$69,$G907,月間集計シート!R$50:R$69)*U$2</f>
        <v>0</v>
      </c>
      <c r="V907" s="88">
        <f>SUMIF(月間集計シート!$M$50:$M$69,$G907,月間集計シート!S$50:S$69)*V$2</f>
        <v>0</v>
      </c>
      <c r="W907" s="88">
        <f>SUMIF(月間集計シート!$M$50:$M$69,$G907,月間集計シート!T$50:T$69)*W$2</f>
        <v>0</v>
      </c>
      <c r="X907" s="88">
        <f>SUMIF(月間集計シート!$M$71:$M$90,$G907,月間集計シート!N$71:N$90)*X$2</f>
        <v>0</v>
      </c>
      <c r="Y907" s="88">
        <f>SUMIF(月間集計シート!$M$71:$M$90,$G907,月間集計シート!O$71:O$90)*Y$2</f>
        <v>0</v>
      </c>
      <c r="Z907" s="88">
        <f>SUMIF(月間集計シート!$M$71:$M$90,$G907,月間集計シート!P$71:P$90)*Z$2</f>
        <v>0</v>
      </c>
      <c r="AA907" s="88">
        <f>SUMIF(月間集計シート!$M$71:$M$90,$G907,月間集計シート!Q$71:Q$90)*AA$2</f>
        <v>0</v>
      </c>
      <c r="AB907" s="88">
        <f>SUMIF(月間集計シート!$M$71:$M$90,$G907,月間集計シート!R$71:R$90)*AB$2</f>
        <v>0</v>
      </c>
      <c r="AC907" s="88">
        <f>SUMIF(月間集計シート!$M$71:$M$90,$G907,月間集計シート!S$71:S$90)*AC$2</f>
        <v>0</v>
      </c>
      <c r="AD907" s="88">
        <f>SUMIF(月間集計シート!$M$71:$M$90,$G907,月間集計シート!T$71:T$90)*AD$2</f>
        <v>0</v>
      </c>
      <c r="AE907" s="88">
        <f>SUMIF(月間集計シート!$M$92:$M$111,$G907,月間集計シート!N$92:N$111)*AE$2</f>
        <v>0</v>
      </c>
      <c r="AF907" s="88">
        <f>SUMIF(月間集計シート!$M$92:$M$111,$G907,月間集計シート!O$92:O$111)*AF$2</f>
        <v>0</v>
      </c>
      <c r="AG907" s="88">
        <f>SUMIF(月間集計シート!$M$92:$M$111,$G907,月間集計シート!P$92:P$111)*AG$2</f>
        <v>0</v>
      </c>
      <c r="AH907" s="88">
        <f>SUMIF(月間集計シート!$M$92:$M$111,$G907,月間集計シート!Q$92:Q$111)*AH$2</f>
        <v>0</v>
      </c>
      <c r="AI907" s="88">
        <f>SUMIF(月間集計シート!$M$92:$M$111,$G907,月間集計シート!R$92:R$111)*AI$2</f>
        <v>0</v>
      </c>
      <c r="AJ907" s="88">
        <f>SUMIF(月間集計シート!$M$92:$M$111,$G907,月間集計シート!S$92:S$111)*AJ$2</f>
        <v>0</v>
      </c>
      <c r="AK907" s="88">
        <f>SUMIF(月間集計シート!$M$92:$M$111,$G907,月間集計シート!T$92:T$111)*AK$2</f>
        <v>0</v>
      </c>
      <c r="AL907" s="88">
        <f>SUMIF(月間集計シート!$M$113:$M$132,$G907,月間集計シート!N$113:N$132)*AL$2</f>
        <v>0</v>
      </c>
      <c r="AM907" s="88">
        <f>SUMIF(月間集計シート!$M$113:$M$132,$G907,月間集計シート!O$113:O$132)*AM$2</f>
        <v>0</v>
      </c>
      <c r="AN907" s="88">
        <f>SUMIF(月間集計シート!$M$113:$M$132,$G907,月間集計シート!P$113:P$132)*AN$2</f>
        <v>0</v>
      </c>
      <c r="AO907" s="88">
        <f>SUMIF(月間集計シート!$M$113:$M$132,$G907,月間集計シート!Q$113:Q$132)*AO$2</f>
        <v>0</v>
      </c>
      <c r="AP907" s="88">
        <f>SUMIF(月間集計シート!$M$113:$M$132,$G907,月間集計シート!R$113:R$132)*AP$2</f>
        <v>0</v>
      </c>
      <c r="AQ907" s="88">
        <f>SUMIF(月間集計シート!$M$113:$M$132,$G907,月間集計シート!S$113:S$132)*AQ$2</f>
        <v>0</v>
      </c>
      <c r="AR907" s="88">
        <f>SUMIF(月間集計シート!$M$113:$M$132,$G907,月間集計シート!T$113:T$132)*AR$2</f>
        <v>0</v>
      </c>
      <c r="AS907" s="88">
        <f>SUMIF(月間集計シート!$M$134:$M$153,$G907,月間集計シート!N$134:N$153)*AS$2</f>
        <v>0</v>
      </c>
      <c r="AT907" s="88">
        <f>SUMIF(月間集計シート!$M$134:$M$153,$G907,月間集計シート!O$134:O$153)*AT$2</f>
        <v>0</v>
      </c>
      <c r="AU907" s="88">
        <f>SUMIF(月間集計シート!$M$134:$M$153,$G907,月間集計シート!P$134:P$153)*AU$2</f>
        <v>0</v>
      </c>
      <c r="AV907" s="88">
        <f>SUMIF(月間集計シート!$M$134:$M$153,$G907,月間集計シート!Q$134:Q$153)*AV$2</f>
        <v>0</v>
      </c>
      <c r="AW907" s="88">
        <f>SUMIF(月間集計シート!$M$134:$M$153,$G907,月間集計シート!R$134:R$153)*AW$2</f>
        <v>0</v>
      </c>
      <c r="AX907" s="88">
        <f>SUMIF(月間集計シート!$M$134:$M$153,$G907,月間集計シート!S$134:S$153)*AX$2</f>
        <v>0</v>
      </c>
      <c r="AY907" s="88">
        <f>SUMIF(月間集計シート!$M$134:$M$153,$G907,月間集計シート!T$134:T$153)*AY$2</f>
        <v>0</v>
      </c>
    </row>
    <row r="908" spans="1:51" ht="14.25" thickBot="1">
      <c r="A908">
        <v>11</v>
      </c>
      <c r="B908" s="120">
        <f t="shared" si="464"/>
        <v>0</v>
      </c>
      <c r="C908" s="120" t="str">
        <f t="shared" si="465"/>
        <v/>
      </c>
      <c r="D908" s="137"/>
      <c r="E908" s="150">
        <f>工種!A50</f>
        <v>70101</v>
      </c>
      <c r="F908" s="119" t="str">
        <f>工種!B50</f>
        <v>外部不具合修正：調査・設計</v>
      </c>
      <c r="G908" s="116" t="str">
        <f t="shared" si="466"/>
        <v>070101</v>
      </c>
      <c r="H908" s="88">
        <f t="shared" si="420"/>
        <v>0</v>
      </c>
      <c r="I908" s="132"/>
      <c r="J908" s="88">
        <f>SUMIF(月間集計シート!$M$29:$M$48,$G908,月間集計シート!N$29:N$48)*J$2</f>
        <v>0</v>
      </c>
      <c r="K908" s="88">
        <f>SUMIF(月間集計シート!$M$29:$M$48,$G908,月間集計シート!O$29:O$48)*K$2</f>
        <v>0</v>
      </c>
      <c r="L908" s="88">
        <f>SUMIF(月間集計シート!$M$29:$M$48,$G908,月間集計シート!P$29:P$48)*L$2</f>
        <v>0</v>
      </c>
      <c r="M908" s="88">
        <f>SUMIF(月間集計シート!$M$29:$M$48,$G908,月間集計シート!Q$29:Q$48)*M$2</f>
        <v>0</v>
      </c>
      <c r="N908" s="88">
        <f>SUMIF(月間集計シート!$M$29:$M$48,$G908,月間集計シート!R$29:R$48)*N$2</f>
        <v>0</v>
      </c>
      <c r="O908" s="88">
        <f>SUMIF(月間集計シート!$M$29:$M$48,$G908,月間集計シート!S$29:S$48)*O$2</f>
        <v>0</v>
      </c>
      <c r="P908" s="88">
        <f>SUMIF(月間集計シート!$M$29:$M$48,$G908,月間集計シート!T$29:T$48)*P$2</f>
        <v>0</v>
      </c>
      <c r="Q908" s="88">
        <f>SUMIF(月間集計シート!$M$50:$M$69,$G908,月間集計シート!N$50:N$69)*Q$2</f>
        <v>0</v>
      </c>
      <c r="R908" s="88">
        <f>SUMIF(月間集計シート!$M$50:$M$69,$G908,月間集計シート!O$50:O$69)*R$2</f>
        <v>0</v>
      </c>
      <c r="S908" s="88">
        <f>SUMIF(月間集計シート!$M$50:$M$69,$G908,月間集計シート!P$50:P$69)*S$2</f>
        <v>0</v>
      </c>
      <c r="T908" s="88">
        <f>SUMIF(月間集計シート!$M$50:$M$69,$G908,月間集計シート!Q$50:Q$69)*T$2</f>
        <v>0</v>
      </c>
      <c r="U908" s="88">
        <f>SUMIF(月間集計シート!$M$50:$M$69,$G908,月間集計シート!R$50:R$69)*U$2</f>
        <v>0</v>
      </c>
      <c r="V908" s="88">
        <f>SUMIF(月間集計シート!$M$50:$M$69,$G908,月間集計シート!S$50:S$69)*V$2</f>
        <v>0</v>
      </c>
      <c r="W908" s="88">
        <f>SUMIF(月間集計シート!$M$50:$M$69,$G908,月間集計シート!T$50:T$69)*W$2</f>
        <v>0</v>
      </c>
      <c r="X908" s="88">
        <f>SUMIF(月間集計シート!$M$71:$M$90,$G908,月間集計シート!N$71:N$90)*X$2</f>
        <v>0</v>
      </c>
      <c r="Y908" s="88">
        <f>SUMIF(月間集計シート!$M$71:$M$90,$G908,月間集計シート!O$71:O$90)*Y$2</f>
        <v>0</v>
      </c>
      <c r="Z908" s="88">
        <f>SUMIF(月間集計シート!$M$71:$M$90,$G908,月間集計シート!P$71:P$90)*Z$2</f>
        <v>0</v>
      </c>
      <c r="AA908" s="88">
        <f>SUMIF(月間集計シート!$M$71:$M$90,$G908,月間集計シート!Q$71:Q$90)*AA$2</f>
        <v>0</v>
      </c>
      <c r="AB908" s="88">
        <f>SUMIF(月間集計シート!$M$71:$M$90,$G908,月間集計シート!R$71:R$90)*AB$2</f>
        <v>0</v>
      </c>
      <c r="AC908" s="88">
        <f>SUMIF(月間集計シート!$M$71:$M$90,$G908,月間集計シート!S$71:S$90)*AC$2</f>
        <v>0</v>
      </c>
      <c r="AD908" s="88">
        <f>SUMIF(月間集計シート!$M$71:$M$90,$G908,月間集計シート!T$71:T$90)*AD$2</f>
        <v>0</v>
      </c>
      <c r="AE908" s="88">
        <f>SUMIF(月間集計シート!$M$92:$M$111,$G908,月間集計シート!N$92:N$111)*AE$2</f>
        <v>0</v>
      </c>
      <c r="AF908" s="88">
        <f>SUMIF(月間集計シート!$M$92:$M$111,$G908,月間集計シート!O$92:O$111)*AF$2</f>
        <v>0</v>
      </c>
      <c r="AG908" s="88">
        <f>SUMIF(月間集計シート!$M$92:$M$111,$G908,月間集計シート!P$92:P$111)*AG$2</f>
        <v>0</v>
      </c>
      <c r="AH908" s="88">
        <f>SUMIF(月間集計シート!$M$92:$M$111,$G908,月間集計シート!Q$92:Q$111)*AH$2</f>
        <v>0</v>
      </c>
      <c r="AI908" s="88">
        <f>SUMIF(月間集計シート!$M$92:$M$111,$G908,月間集計シート!R$92:R$111)*AI$2</f>
        <v>0</v>
      </c>
      <c r="AJ908" s="88">
        <f>SUMIF(月間集計シート!$M$92:$M$111,$G908,月間集計シート!S$92:S$111)*AJ$2</f>
        <v>0</v>
      </c>
      <c r="AK908" s="88">
        <f>SUMIF(月間集計シート!$M$92:$M$111,$G908,月間集計シート!T$92:T$111)*AK$2</f>
        <v>0</v>
      </c>
      <c r="AL908" s="88">
        <f>SUMIF(月間集計シート!$M$113:$M$132,$G908,月間集計シート!N$113:N$132)*AL$2</f>
        <v>0</v>
      </c>
      <c r="AM908" s="88">
        <f>SUMIF(月間集計シート!$M$113:$M$132,$G908,月間集計シート!O$113:O$132)*AM$2</f>
        <v>0</v>
      </c>
      <c r="AN908" s="88">
        <f>SUMIF(月間集計シート!$M$113:$M$132,$G908,月間集計シート!P$113:P$132)*AN$2</f>
        <v>0</v>
      </c>
      <c r="AO908" s="88">
        <f>SUMIF(月間集計シート!$M$113:$M$132,$G908,月間集計シート!Q$113:Q$132)*AO$2</f>
        <v>0</v>
      </c>
      <c r="AP908" s="88">
        <f>SUMIF(月間集計シート!$M$113:$M$132,$G908,月間集計シート!R$113:R$132)*AP$2</f>
        <v>0</v>
      </c>
      <c r="AQ908" s="88">
        <f>SUMIF(月間集計シート!$M$113:$M$132,$G908,月間集計シート!S$113:S$132)*AQ$2</f>
        <v>0</v>
      </c>
      <c r="AR908" s="88">
        <f>SUMIF(月間集計シート!$M$113:$M$132,$G908,月間集計シート!T$113:T$132)*AR$2</f>
        <v>0</v>
      </c>
      <c r="AS908" s="88">
        <f>SUMIF(月間集計シート!$M$134:$M$153,$G908,月間集計シート!N$134:N$153)*AS$2</f>
        <v>0</v>
      </c>
      <c r="AT908" s="88">
        <f>SUMIF(月間集計シート!$M$134:$M$153,$G908,月間集計シート!O$134:O$153)*AT$2</f>
        <v>0</v>
      </c>
      <c r="AU908" s="88">
        <f>SUMIF(月間集計シート!$M$134:$M$153,$G908,月間集計シート!P$134:P$153)*AU$2</f>
        <v>0</v>
      </c>
      <c r="AV908" s="88">
        <f>SUMIF(月間集計シート!$M$134:$M$153,$G908,月間集計シート!Q$134:Q$153)*AV$2</f>
        <v>0</v>
      </c>
      <c r="AW908" s="88">
        <f>SUMIF(月間集計シート!$M$134:$M$153,$G908,月間集計シート!R$134:R$153)*AW$2</f>
        <v>0</v>
      </c>
      <c r="AX908" s="88">
        <f>SUMIF(月間集計シート!$M$134:$M$153,$G908,月間集計シート!S$134:S$153)*AX$2</f>
        <v>0</v>
      </c>
      <c r="AY908" s="88">
        <f>SUMIF(月間集計シート!$M$134:$M$153,$G908,月間集計シート!T$134:T$153)*AY$2</f>
        <v>0</v>
      </c>
    </row>
    <row r="909" spans="1:51" ht="14.25" thickBot="1">
      <c r="A909">
        <v>11</v>
      </c>
      <c r="B909" s="120">
        <f t="shared" si="464"/>
        <v>0</v>
      </c>
      <c r="C909" s="120" t="str">
        <f t="shared" si="465"/>
        <v/>
      </c>
      <c r="D909" s="137"/>
      <c r="E909" s="150">
        <f>工種!A51</f>
        <v>70102</v>
      </c>
      <c r="F909" s="119" t="str">
        <f>工種!B51</f>
        <v>外部不具合修正：コーディング</v>
      </c>
      <c r="G909" s="116" t="str">
        <f t="shared" si="466"/>
        <v>070102</v>
      </c>
      <c r="H909" s="88">
        <f t="shared" si="420"/>
        <v>0</v>
      </c>
      <c r="I909" s="132"/>
      <c r="J909" s="88">
        <f>SUMIF(月間集計シート!$M$29:$M$48,$G909,月間集計シート!N$29:N$48)*J$2</f>
        <v>0</v>
      </c>
      <c r="K909" s="88">
        <f>SUMIF(月間集計シート!$M$29:$M$48,$G909,月間集計シート!O$29:O$48)*K$2</f>
        <v>0</v>
      </c>
      <c r="L909" s="88">
        <f>SUMIF(月間集計シート!$M$29:$M$48,$G909,月間集計シート!P$29:P$48)*L$2</f>
        <v>0</v>
      </c>
      <c r="M909" s="88">
        <f>SUMIF(月間集計シート!$M$29:$M$48,$G909,月間集計シート!Q$29:Q$48)*M$2</f>
        <v>0</v>
      </c>
      <c r="N909" s="88">
        <f>SUMIF(月間集計シート!$M$29:$M$48,$G909,月間集計シート!R$29:R$48)*N$2</f>
        <v>0</v>
      </c>
      <c r="O909" s="88">
        <f>SUMIF(月間集計シート!$M$29:$M$48,$G909,月間集計シート!S$29:S$48)*O$2</f>
        <v>0</v>
      </c>
      <c r="P909" s="88">
        <f>SUMIF(月間集計シート!$M$29:$M$48,$G909,月間集計シート!T$29:T$48)*P$2</f>
        <v>0</v>
      </c>
      <c r="Q909" s="88">
        <f>SUMIF(月間集計シート!$M$50:$M$69,$G909,月間集計シート!N$50:N$69)*Q$2</f>
        <v>0</v>
      </c>
      <c r="R909" s="88">
        <f>SUMIF(月間集計シート!$M$50:$M$69,$G909,月間集計シート!O$50:O$69)*R$2</f>
        <v>0</v>
      </c>
      <c r="S909" s="88">
        <f>SUMIF(月間集計シート!$M$50:$M$69,$G909,月間集計シート!P$50:P$69)*S$2</f>
        <v>0</v>
      </c>
      <c r="T909" s="88">
        <f>SUMIF(月間集計シート!$M$50:$M$69,$G909,月間集計シート!Q$50:Q$69)*T$2</f>
        <v>0</v>
      </c>
      <c r="U909" s="88">
        <f>SUMIF(月間集計シート!$M$50:$M$69,$G909,月間集計シート!R$50:R$69)*U$2</f>
        <v>0</v>
      </c>
      <c r="V909" s="88">
        <f>SUMIF(月間集計シート!$M$50:$M$69,$G909,月間集計シート!S$50:S$69)*V$2</f>
        <v>0</v>
      </c>
      <c r="W909" s="88">
        <f>SUMIF(月間集計シート!$M$50:$M$69,$G909,月間集計シート!T$50:T$69)*W$2</f>
        <v>0</v>
      </c>
      <c r="X909" s="88">
        <f>SUMIF(月間集計シート!$M$71:$M$90,$G909,月間集計シート!N$71:N$90)*X$2</f>
        <v>0</v>
      </c>
      <c r="Y909" s="88">
        <f>SUMIF(月間集計シート!$M$71:$M$90,$G909,月間集計シート!O$71:O$90)*Y$2</f>
        <v>0</v>
      </c>
      <c r="Z909" s="88">
        <f>SUMIF(月間集計シート!$M$71:$M$90,$G909,月間集計シート!P$71:P$90)*Z$2</f>
        <v>0</v>
      </c>
      <c r="AA909" s="88">
        <f>SUMIF(月間集計シート!$M$71:$M$90,$G909,月間集計シート!Q$71:Q$90)*AA$2</f>
        <v>0</v>
      </c>
      <c r="AB909" s="88">
        <f>SUMIF(月間集計シート!$M$71:$M$90,$G909,月間集計シート!R$71:R$90)*AB$2</f>
        <v>0</v>
      </c>
      <c r="AC909" s="88">
        <f>SUMIF(月間集計シート!$M$71:$M$90,$G909,月間集計シート!S$71:S$90)*AC$2</f>
        <v>0</v>
      </c>
      <c r="AD909" s="88">
        <f>SUMIF(月間集計シート!$M$71:$M$90,$G909,月間集計シート!T$71:T$90)*AD$2</f>
        <v>0</v>
      </c>
      <c r="AE909" s="88">
        <f>SUMIF(月間集計シート!$M$92:$M$111,$G909,月間集計シート!N$92:N$111)*AE$2</f>
        <v>0</v>
      </c>
      <c r="AF909" s="88">
        <f>SUMIF(月間集計シート!$M$92:$M$111,$G909,月間集計シート!O$92:O$111)*AF$2</f>
        <v>0</v>
      </c>
      <c r="AG909" s="88">
        <f>SUMIF(月間集計シート!$M$92:$M$111,$G909,月間集計シート!P$92:P$111)*AG$2</f>
        <v>0</v>
      </c>
      <c r="AH909" s="88">
        <f>SUMIF(月間集計シート!$M$92:$M$111,$G909,月間集計シート!Q$92:Q$111)*AH$2</f>
        <v>0</v>
      </c>
      <c r="AI909" s="88">
        <f>SUMIF(月間集計シート!$M$92:$M$111,$G909,月間集計シート!R$92:R$111)*AI$2</f>
        <v>0</v>
      </c>
      <c r="AJ909" s="88">
        <f>SUMIF(月間集計シート!$M$92:$M$111,$G909,月間集計シート!S$92:S$111)*AJ$2</f>
        <v>0</v>
      </c>
      <c r="AK909" s="88">
        <f>SUMIF(月間集計シート!$M$92:$M$111,$G909,月間集計シート!T$92:T$111)*AK$2</f>
        <v>0</v>
      </c>
      <c r="AL909" s="88">
        <f>SUMIF(月間集計シート!$M$113:$M$132,$G909,月間集計シート!N$113:N$132)*AL$2</f>
        <v>0</v>
      </c>
      <c r="AM909" s="88">
        <f>SUMIF(月間集計シート!$M$113:$M$132,$G909,月間集計シート!O$113:O$132)*AM$2</f>
        <v>0</v>
      </c>
      <c r="AN909" s="88">
        <f>SUMIF(月間集計シート!$M$113:$M$132,$G909,月間集計シート!P$113:P$132)*AN$2</f>
        <v>0</v>
      </c>
      <c r="AO909" s="88">
        <f>SUMIF(月間集計シート!$M$113:$M$132,$G909,月間集計シート!Q$113:Q$132)*AO$2</f>
        <v>0</v>
      </c>
      <c r="AP909" s="88">
        <f>SUMIF(月間集計シート!$M$113:$M$132,$G909,月間集計シート!R$113:R$132)*AP$2</f>
        <v>0</v>
      </c>
      <c r="AQ909" s="88">
        <f>SUMIF(月間集計シート!$M$113:$M$132,$G909,月間集計シート!S$113:S$132)*AQ$2</f>
        <v>0</v>
      </c>
      <c r="AR909" s="88">
        <f>SUMIF(月間集計シート!$M$113:$M$132,$G909,月間集計シート!T$113:T$132)*AR$2</f>
        <v>0</v>
      </c>
      <c r="AS909" s="88">
        <f>SUMIF(月間集計シート!$M$134:$M$153,$G909,月間集計シート!N$134:N$153)*AS$2</f>
        <v>0</v>
      </c>
      <c r="AT909" s="88">
        <f>SUMIF(月間集計シート!$M$134:$M$153,$G909,月間集計シート!O$134:O$153)*AT$2</f>
        <v>0</v>
      </c>
      <c r="AU909" s="88">
        <f>SUMIF(月間集計シート!$M$134:$M$153,$G909,月間集計シート!P$134:P$153)*AU$2</f>
        <v>0</v>
      </c>
      <c r="AV909" s="88">
        <f>SUMIF(月間集計シート!$M$134:$M$153,$G909,月間集計シート!Q$134:Q$153)*AV$2</f>
        <v>0</v>
      </c>
      <c r="AW909" s="88">
        <f>SUMIF(月間集計シート!$M$134:$M$153,$G909,月間集計シート!R$134:R$153)*AW$2</f>
        <v>0</v>
      </c>
      <c r="AX909" s="88">
        <f>SUMIF(月間集計シート!$M$134:$M$153,$G909,月間集計シート!S$134:S$153)*AX$2</f>
        <v>0</v>
      </c>
      <c r="AY909" s="88">
        <f>SUMIF(月間集計シート!$M$134:$M$153,$G909,月間集計シート!T$134:T$153)*AY$2</f>
        <v>0</v>
      </c>
    </row>
    <row r="910" spans="1:51" ht="14.25" thickBot="1">
      <c r="A910">
        <v>11</v>
      </c>
      <c r="B910" s="120">
        <f t="shared" si="464"/>
        <v>0</v>
      </c>
      <c r="C910" s="120" t="str">
        <f t="shared" si="465"/>
        <v/>
      </c>
      <c r="D910" s="137"/>
      <c r="E910" s="150">
        <f>工種!A52</f>
        <v>70103</v>
      </c>
      <c r="F910" s="119" t="str">
        <f>工種!B52</f>
        <v>外部不具合修正：テスト</v>
      </c>
      <c r="G910" s="116" t="str">
        <f t="shared" si="466"/>
        <v>070103</v>
      </c>
      <c r="H910" s="88">
        <f t="shared" si="420"/>
        <v>0</v>
      </c>
      <c r="I910" s="132"/>
      <c r="J910" s="88">
        <f>SUMIF(月間集計シート!$M$29:$M$48,$G910,月間集計シート!N$29:N$48)*J$2</f>
        <v>0</v>
      </c>
      <c r="K910" s="88">
        <f>SUMIF(月間集計シート!$M$29:$M$48,$G910,月間集計シート!O$29:O$48)*K$2</f>
        <v>0</v>
      </c>
      <c r="L910" s="88">
        <f>SUMIF(月間集計シート!$M$29:$M$48,$G910,月間集計シート!P$29:P$48)*L$2</f>
        <v>0</v>
      </c>
      <c r="M910" s="88">
        <f>SUMIF(月間集計シート!$M$29:$M$48,$G910,月間集計シート!Q$29:Q$48)*M$2</f>
        <v>0</v>
      </c>
      <c r="N910" s="88">
        <f>SUMIF(月間集計シート!$M$29:$M$48,$G910,月間集計シート!R$29:R$48)*N$2</f>
        <v>0</v>
      </c>
      <c r="O910" s="88">
        <f>SUMIF(月間集計シート!$M$29:$M$48,$G910,月間集計シート!S$29:S$48)*O$2</f>
        <v>0</v>
      </c>
      <c r="P910" s="88">
        <f>SUMIF(月間集計シート!$M$29:$M$48,$G910,月間集計シート!T$29:T$48)*P$2</f>
        <v>0</v>
      </c>
      <c r="Q910" s="88">
        <f>SUMIF(月間集計シート!$M$50:$M$69,$G910,月間集計シート!N$50:N$69)*Q$2</f>
        <v>0</v>
      </c>
      <c r="R910" s="88">
        <f>SUMIF(月間集計シート!$M$50:$M$69,$G910,月間集計シート!O$50:O$69)*R$2</f>
        <v>0</v>
      </c>
      <c r="S910" s="88">
        <f>SUMIF(月間集計シート!$M$50:$M$69,$G910,月間集計シート!P$50:P$69)*S$2</f>
        <v>0</v>
      </c>
      <c r="T910" s="88">
        <f>SUMIF(月間集計シート!$M$50:$M$69,$G910,月間集計シート!Q$50:Q$69)*T$2</f>
        <v>0</v>
      </c>
      <c r="U910" s="88">
        <f>SUMIF(月間集計シート!$M$50:$M$69,$G910,月間集計シート!R$50:R$69)*U$2</f>
        <v>0</v>
      </c>
      <c r="V910" s="88">
        <f>SUMIF(月間集計シート!$M$50:$M$69,$G910,月間集計シート!S$50:S$69)*V$2</f>
        <v>0</v>
      </c>
      <c r="W910" s="88">
        <f>SUMIF(月間集計シート!$M$50:$M$69,$G910,月間集計シート!T$50:T$69)*W$2</f>
        <v>0</v>
      </c>
      <c r="X910" s="88">
        <f>SUMIF(月間集計シート!$M$71:$M$90,$G910,月間集計シート!N$71:N$90)*X$2</f>
        <v>0</v>
      </c>
      <c r="Y910" s="88">
        <f>SUMIF(月間集計シート!$M$71:$M$90,$G910,月間集計シート!O$71:O$90)*Y$2</f>
        <v>0</v>
      </c>
      <c r="Z910" s="88">
        <f>SUMIF(月間集計シート!$M$71:$M$90,$G910,月間集計シート!P$71:P$90)*Z$2</f>
        <v>0</v>
      </c>
      <c r="AA910" s="88">
        <f>SUMIF(月間集計シート!$M$71:$M$90,$G910,月間集計シート!Q$71:Q$90)*AA$2</f>
        <v>0</v>
      </c>
      <c r="AB910" s="88">
        <f>SUMIF(月間集計シート!$M$71:$M$90,$G910,月間集計シート!R$71:R$90)*AB$2</f>
        <v>0</v>
      </c>
      <c r="AC910" s="88">
        <f>SUMIF(月間集計シート!$M$71:$M$90,$G910,月間集計シート!S$71:S$90)*AC$2</f>
        <v>0</v>
      </c>
      <c r="AD910" s="88">
        <f>SUMIF(月間集計シート!$M$71:$M$90,$G910,月間集計シート!T$71:T$90)*AD$2</f>
        <v>0</v>
      </c>
      <c r="AE910" s="88">
        <f>SUMIF(月間集計シート!$M$92:$M$111,$G910,月間集計シート!N$92:N$111)*AE$2</f>
        <v>0</v>
      </c>
      <c r="AF910" s="88">
        <f>SUMIF(月間集計シート!$M$92:$M$111,$G910,月間集計シート!O$92:O$111)*AF$2</f>
        <v>0</v>
      </c>
      <c r="AG910" s="88">
        <f>SUMIF(月間集計シート!$M$92:$M$111,$G910,月間集計シート!P$92:P$111)*AG$2</f>
        <v>0</v>
      </c>
      <c r="AH910" s="88">
        <f>SUMIF(月間集計シート!$M$92:$M$111,$G910,月間集計シート!Q$92:Q$111)*AH$2</f>
        <v>0</v>
      </c>
      <c r="AI910" s="88">
        <f>SUMIF(月間集計シート!$M$92:$M$111,$G910,月間集計シート!R$92:R$111)*AI$2</f>
        <v>0</v>
      </c>
      <c r="AJ910" s="88">
        <f>SUMIF(月間集計シート!$M$92:$M$111,$G910,月間集計シート!S$92:S$111)*AJ$2</f>
        <v>0</v>
      </c>
      <c r="AK910" s="88">
        <f>SUMIF(月間集計シート!$M$92:$M$111,$G910,月間集計シート!T$92:T$111)*AK$2</f>
        <v>0</v>
      </c>
      <c r="AL910" s="88">
        <f>SUMIF(月間集計シート!$M$113:$M$132,$G910,月間集計シート!N$113:N$132)*AL$2</f>
        <v>0</v>
      </c>
      <c r="AM910" s="88">
        <f>SUMIF(月間集計シート!$M$113:$M$132,$G910,月間集計シート!O$113:O$132)*AM$2</f>
        <v>0</v>
      </c>
      <c r="AN910" s="88">
        <f>SUMIF(月間集計シート!$M$113:$M$132,$G910,月間集計シート!P$113:P$132)*AN$2</f>
        <v>0</v>
      </c>
      <c r="AO910" s="88">
        <f>SUMIF(月間集計シート!$M$113:$M$132,$G910,月間集計シート!Q$113:Q$132)*AO$2</f>
        <v>0</v>
      </c>
      <c r="AP910" s="88">
        <f>SUMIF(月間集計シート!$M$113:$M$132,$G910,月間集計シート!R$113:R$132)*AP$2</f>
        <v>0</v>
      </c>
      <c r="AQ910" s="88">
        <f>SUMIF(月間集計シート!$M$113:$M$132,$G910,月間集計シート!S$113:S$132)*AQ$2</f>
        <v>0</v>
      </c>
      <c r="AR910" s="88">
        <f>SUMIF(月間集計シート!$M$113:$M$132,$G910,月間集計シート!T$113:T$132)*AR$2</f>
        <v>0</v>
      </c>
      <c r="AS910" s="88">
        <f>SUMIF(月間集計シート!$M$134:$M$153,$G910,月間集計シート!N$134:N$153)*AS$2</f>
        <v>0</v>
      </c>
      <c r="AT910" s="88">
        <f>SUMIF(月間集計シート!$M$134:$M$153,$G910,月間集計シート!O$134:O$153)*AT$2</f>
        <v>0</v>
      </c>
      <c r="AU910" s="88">
        <f>SUMIF(月間集計シート!$M$134:$M$153,$G910,月間集計シート!P$134:P$153)*AU$2</f>
        <v>0</v>
      </c>
      <c r="AV910" s="88">
        <f>SUMIF(月間集計シート!$M$134:$M$153,$G910,月間集計シート!Q$134:Q$153)*AV$2</f>
        <v>0</v>
      </c>
      <c r="AW910" s="88">
        <f>SUMIF(月間集計シート!$M$134:$M$153,$G910,月間集計シート!R$134:R$153)*AW$2</f>
        <v>0</v>
      </c>
      <c r="AX910" s="88">
        <f>SUMIF(月間集計シート!$M$134:$M$153,$G910,月間集計シート!S$134:S$153)*AX$2</f>
        <v>0</v>
      </c>
      <c r="AY910" s="88">
        <f>SUMIF(月間集計シート!$M$134:$M$153,$G910,月間集計シート!T$134:T$153)*AY$2</f>
        <v>0</v>
      </c>
    </row>
    <row r="911" spans="1:51" ht="14.25" thickBot="1">
      <c r="A911">
        <v>11</v>
      </c>
      <c r="B911" s="120">
        <f t="shared" si="464"/>
        <v>0</v>
      </c>
      <c r="C911" s="120" t="str">
        <f t="shared" si="465"/>
        <v/>
      </c>
      <c r="D911" s="137"/>
      <c r="E911" s="150">
        <f>工種!A53</f>
        <v>70104</v>
      </c>
      <c r="F911" s="119" t="str">
        <f>工種!B53</f>
        <v>外部不具合修正：不具合連絡作成</v>
      </c>
      <c r="G911" s="116" t="str">
        <f t="shared" si="466"/>
        <v>070104</v>
      </c>
      <c r="H911" s="88">
        <f t="shared" si="420"/>
        <v>0</v>
      </c>
      <c r="I911" s="132"/>
      <c r="J911" s="88">
        <f>SUMIF(月間集計シート!$M$29:$M$48,$G911,月間集計シート!N$29:N$48)*J$2</f>
        <v>0</v>
      </c>
      <c r="K911" s="88">
        <f>SUMIF(月間集計シート!$M$29:$M$48,$G911,月間集計シート!O$29:O$48)*K$2</f>
        <v>0</v>
      </c>
      <c r="L911" s="88">
        <f>SUMIF(月間集計シート!$M$29:$M$48,$G911,月間集計シート!P$29:P$48)*L$2</f>
        <v>0</v>
      </c>
      <c r="M911" s="88">
        <f>SUMIF(月間集計シート!$M$29:$M$48,$G911,月間集計シート!Q$29:Q$48)*M$2</f>
        <v>0</v>
      </c>
      <c r="N911" s="88">
        <f>SUMIF(月間集計シート!$M$29:$M$48,$G911,月間集計シート!R$29:R$48)*N$2</f>
        <v>0</v>
      </c>
      <c r="O911" s="88">
        <f>SUMIF(月間集計シート!$M$29:$M$48,$G911,月間集計シート!S$29:S$48)*O$2</f>
        <v>0</v>
      </c>
      <c r="P911" s="88">
        <f>SUMIF(月間集計シート!$M$29:$M$48,$G911,月間集計シート!T$29:T$48)*P$2</f>
        <v>0</v>
      </c>
      <c r="Q911" s="88">
        <f>SUMIF(月間集計シート!$M$50:$M$69,$G911,月間集計シート!N$50:N$69)*Q$2</f>
        <v>0</v>
      </c>
      <c r="R911" s="88">
        <f>SUMIF(月間集計シート!$M$50:$M$69,$G911,月間集計シート!O$50:O$69)*R$2</f>
        <v>0</v>
      </c>
      <c r="S911" s="88">
        <f>SUMIF(月間集計シート!$M$50:$M$69,$G911,月間集計シート!P$50:P$69)*S$2</f>
        <v>0</v>
      </c>
      <c r="T911" s="88">
        <f>SUMIF(月間集計シート!$M$50:$M$69,$G911,月間集計シート!Q$50:Q$69)*T$2</f>
        <v>0</v>
      </c>
      <c r="U911" s="88">
        <f>SUMIF(月間集計シート!$M$50:$M$69,$G911,月間集計シート!R$50:R$69)*U$2</f>
        <v>0</v>
      </c>
      <c r="V911" s="88">
        <f>SUMIF(月間集計シート!$M$50:$M$69,$G911,月間集計シート!S$50:S$69)*V$2</f>
        <v>0</v>
      </c>
      <c r="W911" s="88">
        <f>SUMIF(月間集計シート!$M$50:$M$69,$G911,月間集計シート!T$50:T$69)*W$2</f>
        <v>0</v>
      </c>
      <c r="X911" s="88">
        <f>SUMIF(月間集計シート!$M$71:$M$90,$G911,月間集計シート!N$71:N$90)*X$2</f>
        <v>0</v>
      </c>
      <c r="Y911" s="88">
        <f>SUMIF(月間集計シート!$M$71:$M$90,$G911,月間集計シート!O$71:O$90)*Y$2</f>
        <v>0</v>
      </c>
      <c r="Z911" s="88">
        <f>SUMIF(月間集計シート!$M$71:$M$90,$G911,月間集計シート!P$71:P$90)*Z$2</f>
        <v>0</v>
      </c>
      <c r="AA911" s="88">
        <f>SUMIF(月間集計シート!$M$71:$M$90,$G911,月間集計シート!Q$71:Q$90)*AA$2</f>
        <v>0</v>
      </c>
      <c r="AB911" s="88">
        <f>SUMIF(月間集計シート!$M$71:$M$90,$G911,月間集計シート!R$71:R$90)*AB$2</f>
        <v>0</v>
      </c>
      <c r="AC911" s="88">
        <f>SUMIF(月間集計シート!$M$71:$M$90,$G911,月間集計シート!S$71:S$90)*AC$2</f>
        <v>0</v>
      </c>
      <c r="AD911" s="88">
        <f>SUMIF(月間集計シート!$M$71:$M$90,$G911,月間集計シート!T$71:T$90)*AD$2</f>
        <v>0</v>
      </c>
      <c r="AE911" s="88">
        <f>SUMIF(月間集計シート!$M$92:$M$111,$G911,月間集計シート!N$92:N$111)*AE$2</f>
        <v>0</v>
      </c>
      <c r="AF911" s="88">
        <f>SUMIF(月間集計シート!$M$92:$M$111,$G911,月間集計シート!O$92:O$111)*AF$2</f>
        <v>0</v>
      </c>
      <c r="AG911" s="88">
        <f>SUMIF(月間集計シート!$M$92:$M$111,$G911,月間集計シート!P$92:P$111)*AG$2</f>
        <v>0</v>
      </c>
      <c r="AH911" s="88">
        <f>SUMIF(月間集計シート!$M$92:$M$111,$G911,月間集計シート!Q$92:Q$111)*AH$2</f>
        <v>0</v>
      </c>
      <c r="AI911" s="88">
        <f>SUMIF(月間集計シート!$M$92:$M$111,$G911,月間集計シート!R$92:R$111)*AI$2</f>
        <v>0</v>
      </c>
      <c r="AJ911" s="88">
        <f>SUMIF(月間集計シート!$M$92:$M$111,$G911,月間集計シート!S$92:S$111)*AJ$2</f>
        <v>0</v>
      </c>
      <c r="AK911" s="88">
        <f>SUMIF(月間集計シート!$M$92:$M$111,$G911,月間集計シート!T$92:T$111)*AK$2</f>
        <v>0</v>
      </c>
      <c r="AL911" s="88">
        <f>SUMIF(月間集計シート!$M$113:$M$132,$G911,月間集計シート!N$113:N$132)*AL$2</f>
        <v>0</v>
      </c>
      <c r="AM911" s="88">
        <f>SUMIF(月間集計シート!$M$113:$M$132,$G911,月間集計シート!O$113:O$132)*AM$2</f>
        <v>0</v>
      </c>
      <c r="AN911" s="88">
        <f>SUMIF(月間集計シート!$M$113:$M$132,$G911,月間集計シート!P$113:P$132)*AN$2</f>
        <v>0</v>
      </c>
      <c r="AO911" s="88">
        <f>SUMIF(月間集計シート!$M$113:$M$132,$G911,月間集計シート!Q$113:Q$132)*AO$2</f>
        <v>0</v>
      </c>
      <c r="AP911" s="88">
        <f>SUMIF(月間集計シート!$M$113:$M$132,$G911,月間集計シート!R$113:R$132)*AP$2</f>
        <v>0</v>
      </c>
      <c r="AQ911" s="88">
        <f>SUMIF(月間集計シート!$M$113:$M$132,$G911,月間集計シート!S$113:S$132)*AQ$2</f>
        <v>0</v>
      </c>
      <c r="AR911" s="88">
        <f>SUMIF(月間集計シート!$M$113:$M$132,$G911,月間集計シート!T$113:T$132)*AR$2</f>
        <v>0</v>
      </c>
      <c r="AS911" s="88">
        <f>SUMIF(月間集計シート!$M$134:$M$153,$G911,月間集計シート!N$134:N$153)*AS$2</f>
        <v>0</v>
      </c>
      <c r="AT911" s="88">
        <f>SUMIF(月間集計シート!$M$134:$M$153,$G911,月間集計シート!O$134:O$153)*AT$2</f>
        <v>0</v>
      </c>
      <c r="AU911" s="88">
        <f>SUMIF(月間集計シート!$M$134:$M$153,$G911,月間集計シート!P$134:P$153)*AU$2</f>
        <v>0</v>
      </c>
      <c r="AV911" s="88">
        <f>SUMIF(月間集計シート!$M$134:$M$153,$G911,月間集計シート!Q$134:Q$153)*AV$2</f>
        <v>0</v>
      </c>
      <c r="AW911" s="88">
        <f>SUMIF(月間集計シート!$M$134:$M$153,$G911,月間集計シート!R$134:R$153)*AW$2</f>
        <v>0</v>
      </c>
      <c r="AX911" s="88">
        <f>SUMIF(月間集計シート!$M$134:$M$153,$G911,月間集計シート!S$134:S$153)*AX$2</f>
        <v>0</v>
      </c>
      <c r="AY911" s="88">
        <f>SUMIF(月間集計シート!$M$134:$M$153,$G911,月間集計シート!T$134:T$153)*AY$2</f>
        <v>0</v>
      </c>
    </row>
    <row r="912" spans="1:51" ht="14.25" thickBot="1">
      <c r="A912">
        <v>11</v>
      </c>
      <c r="B912" s="120">
        <f t="shared" si="464"/>
        <v>0</v>
      </c>
      <c r="C912" s="120" t="str">
        <f t="shared" si="465"/>
        <v/>
      </c>
      <c r="D912" s="137"/>
      <c r="E912" s="150">
        <f>工種!A54</f>
        <v>70105</v>
      </c>
      <c r="F912" s="119" t="str">
        <f>工種!B54</f>
        <v>外部不具合修正：差分PGイントラ掲載</v>
      </c>
      <c r="G912" s="116" t="str">
        <f t="shared" si="466"/>
        <v>070105</v>
      </c>
      <c r="H912" s="88">
        <f t="shared" si="420"/>
        <v>0</v>
      </c>
      <c r="I912" s="132"/>
      <c r="J912" s="88">
        <f>SUMIF(月間集計シート!$M$29:$M$48,$G912,月間集計シート!N$29:N$48)*J$2</f>
        <v>0</v>
      </c>
      <c r="K912" s="88">
        <f>SUMIF(月間集計シート!$M$29:$M$48,$G912,月間集計シート!O$29:O$48)*K$2</f>
        <v>0</v>
      </c>
      <c r="L912" s="88">
        <f>SUMIF(月間集計シート!$M$29:$M$48,$G912,月間集計シート!P$29:P$48)*L$2</f>
        <v>0</v>
      </c>
      <c r="M912" s="88">
        <f>SUMIF(月間集計シート!$M$29:$M$48,$G912,月間集計シート!Q$29:Q$48)*M$2</f>
        <v>0</v>
      </c>
      <c r="N912" s="88">
        <f>SUMIF(月間集計シート!$M$29:$M$48,$G912,月間集計シート!R$29:R$48)*N$2</f>
        <v>0</v>
      </c>
      <c r="O912" s="88">
        <f>SUMIF(月間集計シート!$M$29:$M$48,$G912,月間集計シート!S$29:S$48)*O$2</f>
        <v>0</v>
      </c>
      <c r="P912" s="88">
        <f>SUMIF(月間集計シート!$M$29:$M$48,$G912,月間集計シート!T$29:T$48)*P$2</f>
        <v>0</v>
      </c>
      <c r="Q912" s="88">
        <f>SUMIF(月間集計シート!$M$50:$M$69,$G912,月間集計シート!N$50:N$69)*Q$2</f>
        <v>0</v>
      </c>
      <c r="R912" s="88">
        <f>SUMIF(月間集計シート!$M$50:$M$69,$G912,月間集計シート!O$50:O$69)*R$2</f>
        <v>0</v>
      </c>
      <c r="S912" s="88">
        <f>SUMIF(月間集計シート!$M$50:$M$69,$G912,月間集計シート!P$50:P$69)*S$2</f>
        <v>0</v>
      </c>
      <c r="T912" s="88">
        <f>SUMIF(月間集計シート!$M$50:$M$69,$G912,月間集計シート!Q$50:Q$69)*T$2</f>
        <v>0</v>
      </c>
      <c r="U912" s="88">
        <f>SUMIF(月間集計シート!$M$50:$M$69,$G912,月間集計シート!R$50:R$69)*U$2</f>
        <v>0</v>
      </c>
      <c r="V912" s="88">
        <f>SUMIF(月間集計シート!$M$50:$M$69,$G912,月間集計シート!S$50:S$69)*V$2</f>
        <v>0</v>
      </c>
      <c r="W912" s="88">
        <f>SUMIF(月間集計シート!$M$50:$M$69,$G912,月間集計シート!T$50:T$69)*W$2</f>
        <v>0</v>
      </c>
      <c r="X912" s="88">
        <f>SUMIF(月間集計シート!$M$71:$M$90,$G912,月間集計シート!N$71:N$90)*X$2</f>
        <v>0</v>
      </c>
      <c r="Y912" s="88">
        <f>SUMIF(月間集計シート!$M$71:$M$90,$G912,月間集計シート!O$71:O$90)*Y$2</f>
        <v>0</v>
      </c>
      <c r="Z912" s="88">
        <f>SUMIF(月間集計シート!$M$71:$M$90,$G912,月間集計シート!P$71:P$90)*Z$2</f>
        <v>0</v>
      </c>
      <c r="AA912" s="88">
        <f>SUMIF(月間集計シート!$M$71:$M$90,$G912,月間集計シート!Q$71:Q$90)*AA$2</f>
        <v>0</v>
      </c>
      <c r="AB912" s="88">
        <f>SUMIF(月間集計シート!$M$71:$M$90,$G912,月間集計シート!R$71:R$90)*AB$2</f>
        <v>0</v>
      </c>
      <c r="AC912" s="88">
        <f>SUMIF(月間集計シート!$M$71:$M$90,$G912,月間集計シート!S$71:S$90)*AC$2</f>
        <v>0</v>
      </c>
      <c r="AD912" s="88">
        <f>SUMIF(月間集計シート!$M$71:$M$90,$G912,月間集計シート!T$71:T$90)*AD$2</f>
        <v>0</v>
      </c>
      <c r="AE912" s="88">
        <f>SUMIF(月間集計シート!$M$92:$M$111,$G912,月間集計シート!N$92:N$111)*AE$2</f>
        <v>0</v>
      </c>
      <c r="AF912" s="88">
        <f>SUMIF(月間集計シート!$M$92:$M$111,$G912,月間集計シート!O$92:O$111)*AF$2</f>
        <v>0</v>
      </c>
      <c r="AG912" s="88">
        <f>SUMIF(月間集計シート!$M$92:$M$111,$G912,月間集計シート!P$92:P$111)*AG$2</f>
        <v>0</v>
      </c>
      <c r="AH912" s="88">
        <f>SUMIF(月間集計シート!$M$92:$M$111,$G912,月間集計シート!Q$92:Q$111)*AH$2</f>
        <v>0</v>
      </c>
      <c r="AI912" s="88">
        <f>SUMIF(月間集計シート!$M$92:$M$111,$G912,月間集計シート!R$92:R$111)*AI$2</f>
        <v>0</v>
      </c>
      <c r="AJ912" s="88">
        <f>SUMIF(月間集計シート!$M$92:$M$111,$G912,月間集計シート!S$92:S$111)*AJ$2</f>
        <v>0</v>
      </c>
      <c r="AK912" s="88">
        <f>SUMIF(月間集計シート!$M$92:$M$111,$G912,月間集計シート!T$92:T$111)*AK$2</f>
        <v>0</v>
      </c>
      <c r="AL912" s="88">
        <f>SUMIF(月間集計シート!$M$113:$M$132,$G912,月間集計シート!N$113:N$132)*AL$2</f>
        <v>0</v>
      </c>
      <c r="AM912" s="88">
        <f>SUMIF(月間集計シート!$M$113:$M$132,$G912,月間集計シート!O$113:O$132)*AM$2</f>
        <v>0</v>
      </c>
      <c r="AN912" s="88">
        <f>SUMIF(月間集計シート!$M$113:$M$132,$G912,月間集計シート!P$113:P$132)*AN$2</f>
        <v>0</v>
      </c>
      <c r="AO912" s="88">
        <f>SUMIF(月間集計シート!$M$113:$M$132,$G912,月間集計シート!Q$113:Q$132)*AO$2</f>
        <v>0</v>
      </c>
      <c r="AP912" s="88">
        <f>SUMIF(月間集計シート!$M$113:$M$132,$G912,月間集計シート!R$113:R$132)*AP$2</f>
        <v>0</v>
      </c>
      <c r="AQ912" s="88">
        <f>SUMIF(月間集計シート!$M$113:$M$132,$G912,月間集計シート!S$113:S$132)*AQ$2</f>
        <v>0</v>
      </c>
      <c r="AR912" s="88">
        <f>SUMIF(月間集計シート!$M$113:$M$132,$G912,月間集計シート!T$113:T$132)*AR$2</f>
        <v>0</v>
      </c>
      <c r="AS912" s="88">
        <f>SUMIF(月間集計シート!$M$134:$M$153,$G912,月間集計シート!N$134:N$153)*AS$2</f>
        <v>0</v>
      </c>
      <c r="AT912" s="88">
        <f>SUMIF(月間集計シート!$M$134:$M$153,$G912,月間集計シート!O$134:O$153)*AT$2</f>
        <v>0</v>
      </c>
      <c r="AU912" s="88">
        <f>SUMIF(月間集計シート!$M$134:$M$153,$G912,月間集計シート!P$134:P$153)*AU$2</f>
        <v>0</v>
      </c>
      <c r="AV912" s="88">
        <f>SUMIF(月間集計シート!$M$134:$M$153,$G912,月間集計シート!Q$134:Q$153)*AV$2</f>
        <v>0</v>
      </c>
      <c r="AW912" s="88">
        <f>SUMIF(月間集計シート!$M$134:$M$153,$G912,月間集計シート!R$134:R$153)*AW$2</f>
        <v>0</v>
      </c>
      <c r="AX912" s="88">
        <f>SUMIF(月間集計シート!$M$134:$M$153,$G912,月間集計シート!S$134:S$153)*AX$2</f>
        <v>0</v>
      </c>
      <c r="AY912" s="88">
        <f>SUMIF(月間集計シート!$M$134:$M$153,$G912,月間集計シート!T$134:T$153)*AY$2</f>
        <v>0</v>
      </c>
    </row>
    <row r="913" spans="1:51" ht="14.25" thickBot="1">
      <c r="A913">
        <v>11</v>
      </c>
      <c r="B913" s="120">
        <f t="shared" si="464"/>
        <v>0</v>
      </c>
      <c r="C913" s="120" t="str">
        <f t="shared" si="465"/>
        <v/>
      </c>
      <c r="D913" s="137"/>
      <c r="E913" s="150">
        <f>工種!A55</f>
        <v>70106</v>
      </c>
      <c r="F913" s="119" t="str">
        <f>工種!B55</f>
        <v>外部不具合修正：打合せ</v>
      </c>
      <c r="G913" s="116" t="str">
        <f t="shared" si="466"/>
        <v>070106</v>
      </c>
      <c r="H913" s="88">
        <f t="shared" si="420"/>
        <v>0</v>
      </c>
      <c r="I913" s="132"/>
      <c r="J913" s="88">
        <f>SUMIF(月間集計シート!$M$29:$M$48,$G913,月間集計シート!N$29:N$48)*J$2</f>
        <v>0</v>
      </c>
      <c r="K913" s="88">
        <f>SUMIF(月間集計シート!$M$29:$M$48,$G913,月間集計シート!O$29:O$48)*K$2</f>
        <v>0</v>
      </c>
      <c r="L913" s="88">
        <f>SUMIF(月間集計シート!$M$29:$M$48,$G913,月間集計シート!P$29:P$48)*L$2</f>
        <v>0</v>
      </c>
      <c r="M913" s="88">
        <f>SUMIF(月間集計シート!$M$29:$M$48,$G913,月間集計シート!Q$29:Q$48)*M$2</f>
        <v>0</v>
      </c>
      <c r="N913" s="88">
        <f>SUMIF(月間集計シート!$M$29:$M$48,$G913,月間集計シート!R$29:R$48)*N$2</f>
        <v>0</v>
      </c>
      <c r="O913" s="88">
        <f>SUMIF(月間集計シート!$M$29:$M$48,$G913,月間集計シート!S$29:S$48)*O$2</f>
        <v>0</v>
      </c>
      <c r="P913" s="88">
        <f>SUMIF(月間集計シート!$M$29:$M$48,$G913,月間集計シート!T$29:T$48)*P$2</f>
        <v>0</v>
      </c>
      <c r="Q913" s="88">
        <f>SUMIF(月間集計シート!$M$50:$M$69,$G913,月間集計シート!N$50:N$69)*Q$2</f>
        <v>0</v>
      </c>
      <c r="R913" s="88">
        <f>SUMIF(月間集計シート!$M$50:$M$69,$G913,月間集計シート!O$50:O$69)*R$2</f>
        <v>0</v>
      </c>
      <c r="S913" s="88">
        <f>SUMIF(月間集計シート!$M$50:$M$69,$G913,月間集計シート!P$50:P$69)*S$2</f>
        <v>0</v>
      </c>
      <c r="T913" s="88">
        <f>SUMIF(月間集計シート!$M$50:$M$69,$G913,月間集計シート!Q$50:Q$69)*T$2</f>
        <v>0</v>
      </c>
      <c r="U913" s="88">
        <f>SUMIF(月間集計シート!$M$50:$M$69,$G913,月間集計シート!R$50:R$69)*U$2</f>
        <v>0</v>
      </c>
      <c r="V913" s="88">
        <f>SUMIF(月間集計シート!$M$50:$M$69,$G913,月間集計シート!S$50:S$69)*V$2</f>
        <v>0</v>
      </c>
      <c r="W913" s="88">
        <f>SUMIF(月間集計シート!$M$50:$M$69,$G913,月間集計シート!T$50:T$69)*W$2</f>
        <v>0</v>
      </c>
      <c r="X913" s="88">
        <f>SUMIF(月間集計シート!$M$71:$M$90,$G913,月間集計シート!N$71:N$90)*X$2</f>
        <v>0</v>
      </c>
      <c r="Y913" s="88">
        <f>SUMIF(月間集計シート!$M$71:$M$90,$G913,月間集計シート!O$71:O$90)*Y$2</f>
        <v>0</v>
      </c>
      <c r="Z913" s="88">
        <f>SUMIF(月間集計シート!$M$71:$M$90,$G913,月間集計シート!P$71:P$90)*Z$2</f>
        <v>0</v>
      </c>
      <c r="AA913" s="88">
        <f>SUMIF(月間集計シート!$M$71:$M$90,$G913,月間集計シート!Q$71:Q$90)*AA$2</f>
        <v>0</v>
      </c>
      <c r="AB913" s="88">
        <f>SUMIF(月間集計シート!$M$71:$M$90,$G913,月間集計シート!R$71:R$90)*AB$2</f>
        <v>0</v>
      </c>
      <c r="AC913" s="88">
        <f>SUMIF(月間集計シート!$M$71:$M$90,$G913,月間集計シート!S$71:S$90)*AC$2</f>
        <v>0</v>
      </c>
      <c r="AD913" s="88">
        <f>SUMIF(月間集計シート!$M$71:$M$90,$G913,月間集計シート!T$71:T$90)*AD$2</f>
        <v>0</v>
      </c>
      <c r="AE913" s="88">
        <f>SUMIF(月間集計シート!$M$92:$M$111,$G913,月間集計シート!N$92:N$111)*AE$2</f>
        <v>0</v>
      </c>
      <c r="AF913" s="88">
        <f>SUMIF(月間集計シート!$M$92:$M$111,$G913,月間集計シート!O$92:O$111)*AF$2</f>
        <v>0</v>
      </c>
      <c r="AG913" s="88">
        <f>SUMIF(月間集計シート!$M$92:$M$111,$G913,月間集計シート!P$92:P$111)*AG$2</f>
        <v>0</v>
      </c>
      <c r="AH913" s="88">
        <f>SUMIF(月間集計シート!$M$92:$M$111,$G913,月間集計シート!Q$92:Q$111)*AH$2</f>
        <v>0</v>
      </c>
      <c r="AI913" s="88">
        <f>SUMIF(月間集計シート!$M$92:$M$111,$G913,月間集計シート!R$92:R$111)*AI$2</f>
        <v>0</v>
      </c>
      <c r="AJ913" s="88">
        <f>SUMIF(月間集計シート!$M$92:$M$111,$G913,月間集計シート!S$92:S$111)*AJ$2</f>
        <v>0</v>
      </c>
      <c r="AK913" s="88">
        <f>SUMIF(月間集計シート!$M$92:$M$111,$G913,月間集計シート!T$92:T$111)*AK$2</f>
        <v>0</v>
      </c>
      <c r="AL913" s="88">
        <f>SUMIF(月間集計シート!$M$113:$M$132,$G913,月間集計シート!N$113:N$132)*AL$2</f>
        <v>0</v>
      </c>
      <c r="AM913" s="88">
        <f>SUMIF(月間集計シート!$M$113:$M$132,$G913,月間集計シート!O$113:O$132)*AM$2</f>
        <v>0</v>
      </c>
      <c r="AN913" s="88">
        <f>SUMIF(月間集計シート!$M$113:$M$132,$G913,月間集計シート!P$113:P$132)*AN$2</f>
        <v>0</v>
      </c>
      <c r="AO913" s="88">
        <f>SUMIF(月間集計シート!$M$113:$M$132,$G913,月間集計シート!Q$113:Q$132)*AO$2</f>
        <v>0</v>
      </c>
      <c r="AP913" s="88">
        <f>SUMIF(月間集計シート!$M$113:$M$132,$G913,月間集計シート!R$113:R$132)*AP$2</f>
        <v>0</v>
      </c>
      <c r="AQ913" s="88">
        <f>SUMIF(月間集計シート!$M$113:$M$132,$G913,月間集計シート!S$113:S$132)*AQ$2</f>
        <v>0</v>
      </c>
      <c r="AR913" s="88">
        <f>SUMIF(月間集計シート!$M$113:$M$132,$G913,月間集計シート!T$113:T$132)*AR$2</f>
        <v>0</v>
      </c>
      <c r="AS913" s="88">
        <f>SUMIF(月間集計シート!$M$134:$M$153,$G913,月間集計シート!N$134:N$153)*AS$2</f>
        <v>0</v>
      </c>
      <c r="AT913" s="88">
        <f>SUMIF(月間集計シート!$M$134:$M$153,$G913,月間集計シート!O$134:O$153)*AT$2</f>
        <v>0</v>
      </c>
      <c r="AU913" s="88">
        <f>SUMIF(月間集計シート!$M$134:$M$153,$G913,月間集計シート!P$134:P$153)*AU$2</f>
        <v>0</v>
      </c>
      <c r="AV913" s="88">
        <f>SUMIF(月間集計シート!$M$134:$M$153,$G913,月間集計シート!Q$134:Q$153)*AV$2</f>
        <v>0</v>
      </c>
      <c r="AW913" s="88">
        <f>SUMIF(月間集計シート!$M$134:$M$153,$G913,月間集計シート!R$134:R$153)*AW$2</f>
        <v>0</v>
      </c>
      <c r="AX913" s="88">
        <f>SUMIF(月間集計シート!$M$134:$M$153,$G913,月間集計シート!S$134:S$153)*AX$2</f>
        <v>0</v>
      </c>
      <c r="AY913" s="88">
        <f>SUMIF(月間集計シート!$M$134:$M$153,$G913,月間集計シート!T$134:T$153)*AY$2</f>
        <v>0</v>
      </c>
    </row>
    <row r="914" spans="1:51" ht="14.25" thickBot="1">
      <c r="A914">
        <v>11</v>
      </c>
      <c r="B914" s="120">
        <f t="shared" si="464"/>
        <v>0</v>
      </c>
      <c r="C914" s="120" t="str">
        <f t="shared" si="465"/>
        <v/>
      </c>
      <c r="D914" s="137"/>
      <c r="E914" s="150">
        <f>工種!A56</f>
        <v>70109</v>
      </c>
      <c r="F914" s="119" t="str">
        <f>工種!B56</f>
        <v>外部不具合修正：レビュー</v>
      </c>
      <c r="G914" s="116" t="str">
        <f t="shared" si="466"/>
        <v>070109</v>
      </c>
      <c r="H914" s="88">
        <f t="shared" si="420"/>
        <v>0</v>
      </c>
      <c r="I914" s="132"/>
      <c r="J914" s="88">
        <f>SUMIF(月間集計シート!$M$29:$M$48,$G914,月間集計シート!N$29:N$48)*J$2</f>
        <v>0</v>
      </c>
      <c r="K914" s="88">
        <f>SUMIF(月間集計シート!$M$29:$M$48,$G914,月間集計シート!O$29:O$48)*K$2</f>
        <v>0</v>
      </c>
      <c r="L914" s="88">
        <f>SUMIF(月間集計シート!$M$29:$M$48,$G914,月間集計シート!P$29:P$48)*L$2</f>
        <v>0</v>
      </c>
      <c r="M914" s="88">
        <f>SUMIF(月間集計シート!$M$29:$M$48,$G914,月間集計シート!Q$29:Q$48)*M$2</f>
        <v>0</v>
      </c>
      <c r="N914" s="88">
        <f>SUMIF(月間集計シート!$M$29:$M$48,$G914,月間集計シート!R$29:R$48)*N$2</f>
        <v>0</v>
      </c>
      <c r="O914" s="88">
        <f>SUMIF(月間集計シート!$M$29:$M$48,$G914,月間集計シート!S$29:S$48)*O$2</f>
        <v>0</v>
      </c>
      <c r="P914" s="88">
        <f>SUMIF(月間集計シート!$M$29:$M$48,$G914,月間集計シート!T$29:T$48)*P$2</f>
        <v>0</v>
      </c>
      <c r="Q914" s="88">
        <f>SUMIF(月間集計シート!$M$50:$M$69,$G914,月間集計シート!N$50:N$69)*Q$2</f>
        <v>0</v>
      </c>
      <c r="R914" s="88">
        <f>SUMIF(月間集計シート!$M$50:$M$69,$G914,月間集計シート!O$50:O$69)*R$2</f>
        <v>0</v>
      </c>
      <c r="S914" s="88">
        <f>SUMIF(月間集計シート!$M$50:$M$69,$G914,月間集計シート!P$50:P$69)*S$2</f>
        <v>0</v>
      </c>
      <c r="T914" s="88">
        <f>SUMIF(月間集計シート!$M$50:$M$69,$G914,月間集計シート!Q$50:Q$69)*T$2</f>
        <v>0</v>
      </c>
      <c r="U914" s="88">
        <f>SUMIF(月間集計シート!$M$50:$M$69,$G914,月間集計シート!R$50:R$69)*U$2</f>
        <v>0</v>
      </c>
      <c r="V914" s="88">
        <f>SUMIF(月間集計シート!$M$50:$M$69,$G914,月間集計シート!S$50:S$69)*V$2</f>
        <v>0</v>
      </c>
      <c r="W914" s="88">
        <f>SUMIF(月間集計シート!$M$50:$M$69,$G914,月間集計シート!T$50:T$69)*W$2</f>
        <v>0</v>
      </c>
      <c r="X914" s="88">
        <f>SUMIF(月間集計シート!$M$71:$M$90,$G914,月間集計シート!N$71:N$90)*X$2</f>
        <v>0</v>
      </c>
      <c r="Y914" s="88">
        <f>SUMIF(月間集計シート!$M$71:$M$90,$G914,月間集計シート!O$71:O$90)*Y$2</f>
        <v>0</v>
      </c>
      <c r="Z914" s="88">
        <f>SUMIF(月間集計シート!$M$71:$M$90,$G914,月間集計シート!P$71:P$90)*Z$2</f>
        <v>0</v>
      </c>
      <c r="AA914" s="88">
        <f>SUMIF(月間集計シート!$M$71:$M$90,$G914,月間集計シート!Q$71:Q$90)*AA$2</f>
        <v>0</v>
      </c>
      <c r="AB914" s="88">
        <f>SUMIF(月間集計シート!$M$71:$M$90,$G914,月間集計シート!R$71:R$90)*AB$2</f>
        <v>0</v>
      </c>
      <c r="AC914" s="88">
        <f>SUMIF(月間集計シート!$M$71:$M$90,$G914,月間集計シート!S$71:S$90)*AC$2</f>
        <v>0</v>
      </c>
      <c r="AD914" s="88">
        <f>SUMIF(月間集計シート!$M$71:$M$90,$G914,月間集計シート!T$71:T$90)*AD$2</f>
        <v>0</v>
      </c>
      <c r="AE914" s="88">
        <f>SUMIF(月間集計シート!$M$92:$M$111,$G914,月間集計シート!N$92:N$111)*AE$2</f>
        <v>0</v>
      </c>
      <c r="AF914" s="88">
        <f>SUMIF(月間集計シート!$M$92:$M$111,$G914,月間集計シート!O$92:O$111)*AF$2</f>
        <v>0</v>
      </c>
      <c r="AG914" s="88">
        <f>SUMIF(月間集計シート!$M$92:$M$111,$G914,月間集計シート!P$92:P$111)*AG$2</f>
        <v>0</v>
      </c>
      <c r="AH914" s="88">
        <f>SUMIF(月間集計シート!$M$92:$M$111,$G914,月間集計シート!Q$92:Q$111)*AH$2</f>
        <v>0</v>
      </c>
      <c r="AI914" s="88">
        <f>SUMIF(月間集計シート!$M$92:$M$111,$G914,月間集計シート!R$92:R$111)*AI$2</f>
        <v>0</v>
      </c>
      <c r="AJ914" s="88">
        <f>SUMIF(月間集計シート!$M$92:$M$111,$G914,月間集計シート!S$92:S$111)*AJ$2</f>
        <v>0</v>
      </c>
      <c r="AK914" s="88">
        <f>SUMIF(月間集計シート!$M$92:$M$111,$G914,月間集計シート!T$92:T$111)*AK$2</f>
        <v>0</v>
      </c>
      <c r="AL914" s="88">
        <f>SUMIF(月間集計シート!$M$113:$M$132,$G914,月間集計シート!N$113:N$132)*AL$2</f>
        <v>0</v>
      </c>
      <c r="AM914" s="88">
        <f>SUMIF(月間集計シート!$M$113:$M$132,$G914,月間集計シート!O$113:O$132)*AM$2</f>
        <v>0</v>
      </c>
      <c r="AN914" s="88">
        <f>SUMIF(月間集計シート!$M$113:$M$132,$G914,月間集計シート!P$113:P$132)*AN$2</f>
        <v>0</v>
      </c>
      <c r="AO914" s="88">
        <f>SUMIF(月間集計シート!$M$113:$M$132,$G914,月間集計シート!Q$113:Q$132)*AO$2</f>
        <v>0</v>
      </c>
      <c r="AP914" s="88">
        <f>SUMIF(月間集計シート!$M$113:$M$132,$G914,月間集計シート!R$113:R$132)*AP$2</f>
        <v>0</v>
      </c>
      <c r="AQ914" s="88">
        <f>SUMIF(月間集計シート!$M$113:$M$132,$G914,月間集計シート!S$113:S$132)*AQ$2</f>
        <v>0</v>
      </c>
      <c r="AR914" s="88">
        <f>SUMIF(月間集計シート!$M$113:$M$132,$G914,月間集計シート!T$113:T$132)*AR$2</f>
        <v>0</v>
      </c>
      <c r="AS914" s="88">
        <f>SUMIF(月間集計シート!$M$134:$M$153,$G914,月間集計シート!N$134:N$153)*AS$2</f>
        <v>0</v>
      </c>
      <c r="AT914" s="88">
        <f>SUMIF(月間集計シート!$M$134:$M$153,$G914,月間集計シート!O$134:O$153)*AT$2</f>
        <v>0</v>
      </c>
      <c r="AU914" s="88">
        <f>SUMIF(月間集計シート!$M$134:$M$153,$G914,月間集計シート!P$134:P$153)*AU$2</f>
        <v>0</v>
      </c>
      <c r="AV914" s="88">
        <f>SUMIF(月間集計シート!$M$134:$M$153,$G914,月間集計シート!Q$134:Q$153)*AV$2</f>
        <v>0</v>
      </c>
      <c r="AW914" s="88">
        <f>SUMIF(月間集計シート!$M$134:$M$153,$G914,月間集計シート!R$134:R$153)*AW$2</f>
        <v>0</v>
      </c>
      <c r="AX914" s="88">
        <f>SUMIF(月間集計シート!$M$134:$M$153,$G914,月間集計シート!S$134:S$153)*AX$2</f>
        <v>0</v>
      </c>
      <c r="AY914" s="88">
        <f>SUMIF(月間集計シート!$M$134:$M$153,$G914,月間集計シート!T$134:T$153)*AY$2</f>
        <v>0</v>
      </c>
    </row>
    <row r="915" spans="1:51" ht="14.25" thickBot="1">
      <c r="A915">
        <v>11</v>
      </c>
      <c r="B915" s="120">
        <f t="shared" si="464"/>
        <v>0</v>
      </c>
      <c r="C915" s="120" t="str">
        <f t="shared" si="465"/>
        <v/>
      </c>
      <c r="D915" s="137"/>
      <c r="E915" s="150">
        <f>工種!A57</f>
        <v>70189</v>
      </c>
      <c r="F915" s="119" t="str">
        <f>工種!B57</f>
        <v>外部不具合修正：外部不具合分析</v>
      </c>
      <c r="G915" s="116" t="str">
        <f t="shared" si="466"/>
        <v>070189</v>
      </c>
      <c r="H915" s="88">
        <f t="shared" si="420"/>
        <v>0</v>
      </c>
      <c r="I915" s="132"/>
      <c r="J915" s="88">
        <f>SUMIF(月間集計シート!$M$29:$M$48,$G915,月間集計シート!N$29:N$48)*J$2</f>
        <v>0</v>
      </c>
      <c r="K915" s="88">
        <f>SUMIF(月間集計シート!$M$29:$M$48,$G915,月間集計シート!O$29:O$48)*K$2</f>
        <v>0</v>
      </c>
      <c r="L915" s="88">
        <f>SUMIF(月間集計シート!$M$29:$M$48,$G915,月間集計シート!P$29:P$48)*L$2</f>
        <v>0</v>
      </c>
      <c r="M915" s="88">
        <f>SUMIF(月間集計シート!$M$29:$M$48,$G915,月間集計シート!Q$29:Q$48)*M$2</f>
        <v>0</v>
      </c>
      <c r="N915" s="88">
        <f>SUMIF(月間集計シート!$M$29:$M$48,$G915,月間集計シート!R$29:R$48)*N$2</f>
        <v>0</v>
      </c>
      <c r="O915" s="88">
        <f>SUMIF(月間集計シート!$M$29:$M$48,$G915,月間集計シート!S$29:S$48)*O$2</f>
        <v>0</v>
      </c>
      <c r="P915" s="88">
        <f>SUMIF(月間集計シート!$M$29:$M$48,$G915,月間集計シート!T$29:T$48)*P$2</f>
        <v>0</v>
      </c>
      <c r="Q915" s="88">
        <f>SUMIF(月間集計シート!$M$50:$M$69,$G915,月間集計シート!N$50:N$69)*Q$2</f>
        <v>0</v>
      </c>
      <c r="R915" s="88">
        <f>SUMIF(月間集計シート!$M$50:$M$69,$G915,月間集計シート!O$50:O$69)*R$2</f>
        <v>0</v>
      </c>
      <c r="S915" s="88">
        <f>SUMIF(月間集計シート!$M$50:$M$69,$G915,月間集計シート!P$50:P$69)*S$2</f>
        <v>0</v>
      </c>
      <c r="T915" s="88">
        <f>SUMIF(月間集計シート!$M$50:$M$69,$G915,月間集計シート!Q$50:Q$69)*T$2</f>
        <v>0</v>
      </c>
      <c r="U915" s="88">
        <f>SUMIF(月間集計シート!$M$50:$M$69,$G915,月間集計シート!R$50:R$69)*U$2</f>
        <v>0</v>
      </c>
      <c r="V915" s="88">
        <f>SUMIF(月間集計シート!$M$50:$M$69,$G915,月間集計シート!S$50:S$69)*V$2</f>
        <v>0</v>
      </c>
      <c r="W915" s="88">
        <f>SUMIF(月間集計シート!$M$50:$M$69,$G915,月間集計シート!T$50:T$69)*W$2</f>
        <v>0</v>
      </c>
      <c r="X915" s="88">
        <f>SUMIF(月間集計シート!$M$71:$M$90,$G915,月間集計シート!N$71:N$90)*X$2</f>
        <v>0</v>
      </c>
      <c r="Y915" s="88">
        <f>SUMIF(月間集計シート!$M$71:$M$90,$G915,月間集計シート!O$71:O$90)*Y$2</f>
        <v>0</v>
      </c>
      <c r="Z915" s="88">
        <f>SUMIF(月間集計シート!$M$71:$M$90,$G915,月間集計シート!P$71:P$90)*Z$2</f>
        <v>0</v>
      </c>
      <c r="AA915" s="88">
        <f>SUMIF(月間集計シート!$M$71:$M$90,$G915,月間集計シート!Q$71:Q$90)*AA$2</f>
        <v>0</v>
      </c>
      <c r="AB915" s="88">
        <f>SUMIF(月間集計シート!$M$71:$M$90,$G915,月間集計シート!R$71:R$90)*AB$2</f>
        <v>0</v>
      </c>
      <c r="AC915" s="88">
        <f>SUMIF(月間集計シート!$M$71:$M$90,$G915,月間集計シート!S$71:S$90)*AC$2</f>
        <v>0</v>
      </c>
      <c r="AD915" s="88">
        <f>SUMIF(月間集計シート!$M$71:$M$90,$G915,月間集計シート!T$71:T$90)*AD$2</f>
        <v>0</v>
      </c>
      <c r="AE915" s="88">
        <f>SUMIF(月間集計シート!$M$92:$M$111,$G915,月間集計シート!N$92:N$111)*AE$2</f>
        <v>0</v>
      </c>
      <c r="AF915" s="88">
        <f>SUMIF(月間集計シート!$M$92:$M$111,$G915,月間集計シート!O$92:O$111)*AF$2</f>
        <v>0</v>
      </c>
      <c r="AG915" s="88">
        <f>SUMIF(月間集計シート!$M$92:$M$111,$G915,月間集計シート!P$92:P$111)*AG$2</f>
        <v>0</v>
      </c>
      <c r="AH915" s="88">
        <f>SUMIF(月間集計シート!$M$92:$M$111,$G915,月間集計シート!Q$92:Q$111)*AH$2</f>
        <v>0</v>
      </c>
      <c r="AI915" s="88">
        <f>SUMIF(月間集計シート!$M$92:$M$111,$G915,月間集計シート!R$92:R$111)*AI$2</f>
        <v>0</v>
      </c>
      <c r="AJ915" s="88">
        <f>SUMIF(月間集計シート!$M$92:$M$111,$G915,月間集計シート!S$92:S$111)*AJ$2</f>
        <v>0</v>
      </c>
      <c r="AK915" s="88">
        <f>SUMIF(月間集計シート!$M$92:$M$111,$G915,月間集計シート!T$92:T$111)*AK$2</f>
        <v>0</v>
      </c>
      <c r="AL915" s="88">
        <f>SUMIF(月間集計シート!$M$113:$M$132,$G915,月間集計シート!N$113:N$132)*AL$2</f>
        <v>0</v>
      </c>
      <c r="AM915" s="88">
        <f>SUMIF(月間集計シート!$M$113:$M$132,$G915,月間集計シート!O$113:O$132)*AM$2</f>
        <v>0</v>
      </c>
      <c r="AN915" s="88">
        <f>SUMIF(月間集計シート!$M$113:$M$132,$G915,月間集計シート!P$113:P$132)*AN$2</f>
        <v>0</v>
      </c>
      <c r="AO915" s="88">
        <f>SUMIF(月間集計シート!$M$113:$M$132,$G915,月間集計シート!Q$113:Q$132)*AO$2</f>
        <v>0</v>
      </c>
      <c r="AP915" s="88">
        <f>SUMIF(月間集計シート!$M$113:$M$132,$G915,月間集計シート!R$113:R$132)*AP$2</f>
        <v>0</v>
      </c>
      <c r="AQ915" s="88">
        <f>SUMIF(月間集計シート!$M$113:$M$132,$G915,月間集計シート!S$113:S$132)*AQ$2</f>
        <v>0</v>
      </c>
      <c r="AR915" s="88">
        <f>SUMIF(月間集計シート!$M$113:$M$132,$G915,月間集計シート!T$113:T$132)*AR$2</f>
        <v>0</v>
      </c>
      <c r="AS915" s="88">
        <f>SUMIF(月間集計シート!$M$134:$M$153,$G915,月間集計シート!N$134:N$153)*AS$2</f>
        <v>0</v>
      </c>
      <c r="AT915" s="88">
        <f>SUMIF(月間集計シート!$M$134:$M$153,$G915,月間集計シート!O$134:O$153)*AT$2</f>
        <v>0</v>
      </c>
      <c r="AU915" s="88">
        <f>SUMIF(月間集計シート!$M$134:$M$153,$G915,月間集計シート!P$134:P$153)*AU$2</f>
        <v>0</v>
      </c>
      <c r="AV915" s="88">
        <f>SUMIF(月間集計シート!$M$134:$M$153,$G915,月間集計シート!Q$134:Q$153)*AV$2</f>
        <v>0</v>
      </c>
      <c r="AW915" s="88">
        <f>SUMIF(月間集計シート!$M$134:$M$153,$G915,月間集計シート!R$134:R$153)*AW$2</f>
        <v>0</v>
      </c>
      <c r="AX915" s="88">
        <f>SUMIF(月間集計シート!$M$134:$M$153,$G915,月間集計シート!S$134:S$153)*AX$2</f>
        <v>0</v>
      </c>
      <c r="AY915" s="88">
        <f>SUMIF(月間集計シート!$M$134:$M$153,$G915,月間集計シート!T$134:T$153)*AY$2</f>
        <v>0</v>
      </c>
    </row>
    <row r="916" spans="1:51" ht="14.25" thickBot="1">
      <c r="A916">
        <v>11</v>
      </c>
      <c r="B916" s="120">
        <f t="shared" si="464"/>
        <v>0</v>
      </c>
      <c r="C916" s="120" t="str">
        <f t="shared" si="465"/>
        <v/>
      </c>
      <c r="D916" s="137"/>
      <c r="E916" s="150">
        <f>工種!A58</f>
        <v>70199</v>
      </c>
      <c r="F916" s="119" t="str">
        <f>工種!B58</f>
        <v>外部不具合修正：その他</v>
      </c>
      <c r="G916" s="116" t="str">
        <f t="shared" si="466"/>
        <v>070199</v>
      </c>
      <c r="H916" s="88">
        <f t="shared" si="420"/>
        <v>0</v>
      </c>
      <c r="I916" s="132"/>
      <c r="J916" s="88">
        <f>SUMIF(月間集計シート!$M$29:$M$48,$G916,月間集計シート!N$29:N$48)*J$2</f>
        <v>0</v>
      </c>
      <c r="K916" s="88">
        <f>SUMIF(月間集計シート!$M$29:$M$48,$G916,月間集計シート!O$29:O$48)*K$2</f>
        <v>0</v>
      </c>
      <c r="L916" s="88">
        <f>SUMIF(月間集計シート!$M$29:$M$48,$G916,月間集計シート!P$29:P$48)*L$2</f>
        <v>0</v>
      </c>
      <c r="M916" s="88">
        <f>SUMIF(月間集計シート!$M$29:$M$48,$G916,月間集計シート!Q$29:Q$48)*M$2</f>
        <v>0</v>
      </c>
      <c r="N916" s="88">
        <f>SUMIF(月間集計シート!$M$29:$M$48,$G916,月間集計シート!R$29:R$48)*N$2</f>
        <v>0</v>
      </c>
      <c r="O916" s="88">
        <f>SUMIF(月間集計シート!$M$29:$M$48,$G916,月間集計シート!S$29:S$48)*O$2</f>
        <v>0</v>
      </c>
      <c r="P916" s="88">
        <f>SUMIF(月間集計シート!$M$29:$M$48,$G916,月間集計シート!T$29:T$48)*P$2</f>
        <v>0</v>
      </c>
      <c r="Q916" s="88">
        <f>SUMIF(月間集計シート!$M$50:$M$69,$G916,月間集計シート!N$50:N$69)*Q$2</f>
        <v>0</v>
      </c>
      <c r="R916" s="88">
        <f>SUMIF(月間集計シート!$M$50:$M$69,$G916,月間集計シート!O$50:O$69)*R$2</f>
        <v>0</v>
      </c>
      <c r="S916" s="88">
        <f>SUMIF(月間集計シート!$M$50:$M$69,$G916,月間集計シート!P$50:P$69)*S$2</f>
        <v>0</v>
      </c>
      <c r="T916" s="88">
        <f>SUMIF(月間集計シート!$M$50:$M$69,$G916,月間集計シート!Q$50:Q$69)*T$2</f>
        <v>0</v>
      </c>
      <c r="U916" s="88">
        <f>SUMIF(月間集計シート!$M$50:$M$69,$G916,月間集計シート!R$50:R$69)*U$2</f>
        <v>0</v>
      </c>
      <c r="V916" s="88">
        <f>SUMIF(月間集計シート!$M$50:$M$69,$G916,月間集計シート!S$50:S$69)*V$2</f>
        <v>0</v>
      </c>
      <c r="W916" s="88">
        <f>SUMIF(月間集計シート!$M$50:$M$69,$G916,月間集計シート!T$50:T$69)*W$2</f>
        <v>0</v>
      </c>
      <c r="X916" s="88">
        <f>SUMIF(月間集計シート!$M$71:$M$90,$G916,月間集計シート!N$71:N$90)*X$2</f>
        <v>0</v>
      </c>
      <c r="Y916" s="88">
        <f>SUMIF(月間集計シート!$M$71:$M$90,$G916,月間集計シート!O$71:O$90)*Y$2</f>
        <v>0</v>
      </c>
      <c r="Z916" s="88">
        <f>SUMIF(月間集計シート!$M$71:$M$90,$G916,月間集計シート!P$71:P$90)*Z$2</f>
        <v>0</v>
      </c>
      <c r="AA916" s="88">
        <f>SUMIF(月間集計シート!$M$71:$M$90,$G916,月間集計シート!Q$71:Q$90)*AA$2</f>
        <v>0</v>
      </c>
      <c r="AB916" s="88">
        <f>SUMIF(月間集計シート!$M$71:$M$90,$G916,月間集計シート!R$71:R$90)*AB$2</f>
        <v>0</v>
      </c>
      <c r="AC916" s="88">
        <f>SUMIF(月間集計シート!$M$71:$M$90,$G916,月間集計シート!S$71:S$90)*AC$2</f>
        <v>0</v>
      </c>
      <c r="AD916" s="88">
        <f>SUMIF(月間集計シート!$M$71:$M$90,$G916,月間集計シート!T$71:T$90)*AD$2</f>
        <v>0</v>
      </c>
      <c r="AE916" s="88">
        <f>SUMIF(月間集計シート!$M$92:$M$111,$G916,月間集計シート!N$92:N$111)*AE$2</f>
        <v>0</v>
      </c>
      <c r="AF916" s="88">
        <f>SUMIF(月間集計シート!$M$92:$M$111,$G916,月間集計シート!O$92:O$111)*AF$2</f>
        <v>0</v>
      </c>
      <c r="AG916" s="88">
        <f>SUMIF(月間集計シート!$M$92:$M$111,$G916,月間集計シート!P$92:P$111)*AG$2</f>
        <v>0</v>
      </c>
      <c r="AH916" s="88">
        <f>SUMIF(月間集計シート!$M$92:$M$111,$G916,月間集計シート!Q$92:Q$111)*AH$2</f>
        <v>0</v>
      </c>
      <c r="AI916" s="88">
        <f>SUMIF(月間集計シート!$M$92:$M$111,$G916,月間集計シート!R$92:R$111)*AI$2</f>
        <v>0</v>
      </c>
      <c r="AJ916" s="88">
        <f>SUMIF(月間集計シート!$M$92:$M$111,$G916,月間集計シート!S$92:S$111)*AJ$2</f>
        <v>0</v>
      </c>
      <c r="AK916" s="88">
        <f>SUMIF(月間集計シート!$M$92:$M$111,$G916,月間集計シート!T$92:T$111)*AK$2</f>
        <v>0</v>
      </c>
      <c r="AL916" s="88">
        <f>SUMIF(月間集計シート!$M$113:$M$132,$G916,月間集計シート!N$113:N$132)*AL$2</f>
        <v>0</v>
      </c>
      <c r="AM916" s="88">
        <f>SUMIF(月間集計シート!$M$113:$M$132,$G916,月間集計シート!O$113:O$132)*AM$2</f>
        <v>0</v>
      </c>
      <c r="AN916" s="88">
        <f>SUMIF(月間集計シート!$M$113:$M$132,$G916,月間集計シート!P$113:P$132)*AN$2</f>
        <v>0</v>
      </c>
      <c r="AO916" s="88">
        <f>SUMIF(月間集計シート!$M$113:$M$132,$G916,月間集計シート!Q$113:Q$132)*AO$2</f>
        <v>0</v>
      </c>
      <c r="AP916" s="88">
        <f>SUMIF(月間集計シート!$M$113:$M$132,$G916,月間集計シート!R$113:R$132)*AP$2</f>
        <v>0</v>
      </c>
      <c r="AQ916" s="88">
        <f>SUMIF(月間集計シート!$M$113:$M$132,$G916,月間集計シート!S$113:S$132)*AQ$2</f>
        <v>0</v>
      </c>
      <c r="AR916" s="88">
        <f>SUMIF(月間集計シート!$M$113:$M$132,$G916,月間集計シート!T$113:T$132)*AR$2</f>
        <v>0</v>
      </c>
      <c r="AS916" s="88">
        <f>SUMIF(月間集計シート!$M$134:$M$153,$G916,月間集計シート!N$134:N$153)*AS$2</f>
        <v>0</v>
      </c>
      <c r="AT916" s="88">
        <f>SUMIF(月間集計シート!$M$134:$M$153,$G916,月間集計シート!O$134:O$153)*AT$2</f>
        <v>0</v>
      </c>
      <c r="AU916" s="88">
        <f>SUMIF(月間集計シート!$M$134:$M$153,$G916,月間集計シート!P$134:P$153)*AU$2</f>
        <v>0</v>
      </c>
      <c r="AV916" s="88">
        <f>SUMIF(月間集計シート!$M$134:$M$153,$G916,月間集計シート!Q$134:Q$153)*AV$2</f>
        <v>0</v>
      </c>
      <c r="AW916" s="88">
        <f>SUMIF(月間集計シート!$M$134:$M$153,$G916,月間集計シート!R$134:R$153)*AW$2</f>
        <v>0</v>
      </c>
      <c r="AX916" s="88">
        <f>SUMIF(月間集計シート!$M$134:$M$153,$G916,月間集計シート!S$134:S$153)*AX$2</f>
        <v>0</v>
      </c>
      <c r="AY916" s="88">
        <f>SUMIF(月間集計シート!$M$134:$M$153,$G916,月間集計シート!T$134:T$153)*AY$2</f>
        <v>0</v>
      </c>
    </row>
    <row r="917" spans="1:51" ht="14.25" thickBot="1">
      <c r="A917">
        <v>11</v>
      </c>
      <c r="B917" s="120">
        <f t="shared" si="464"/>
        <v>0</v>
      </c>
      <c r="C917" s="120" t="str">
        <f t="shared" si="465"/>
        <v/>
      </c>
      <c r="D917" s="137"/>
      <c r="E917" s="150" t="str">
        <f>工種!A59</f>
        <v>80101</v>
      </c>
      <c r="F917" s="119" t="str">
        <f>工種!B59</f>
        <v>保守／ｻﾎﾟｰﾄ：調査</v>
      </c>
      <c r="G917" s="116" t="str">
        <f t="shared" si="466"/>
        <v>080101</v>
      </c>
      <c r="H917" s="88">
        <f t="shared" si="420"/>
        <v>0</v>
      </c>
      <c r="I917" s="132"/>
      <c r="J917" s="88">
        <f>SUMIF(月間集計シート!$M$29:$M$48,$G917,月間集計シート!N$29:N$48)*J$2</f>
        <v>0</v>
      </c>
      <c r="K917" s="88">
        <f>SUMIF(月間集計シート!$M$29:$M$48,$G917,月間集計シート!O$29:O$48)*K$2</f>
        <v>0</v>
      </c>
      <c r="L917" s="88">
        <f>SUMIF(月間集計シート!$M$29:$M$48,$G917,月間集計シート!P$29:P$48)*L$2</f>
        <v>0</v>
      </c>
      <c r="M917" s="88">
        <f>SUMIF(月間集計シート!$M$29:$M$48,$G917,月間集計シート!Q$29:Q$48)*M$2</f>
        <v>0</v>
      </c>
      <c r="N917" s="88">
        <f>SUMIF(月間集計シート!$M$29:$M$48,$G917,月間集計シート!R$29:R$48)*N$2</f>
        <v>0</v>
      </c>
      <c r="O917" s="88">
        <f>SUMIF(月間集計シート!$M$29:$M$48,$G917,月間集計シート!S$29:S$48)*O$2</f>
        <v>0</v>
      </c>
      <c r="P917" s="88">
        <f>SUMIF(月間集計シート!$M$29:$M$48,$G917,月間集計シート!T$29:T$48)*P$2</f>
        <v>0</v>
      </c>
      <c r="Q917" s="88">
        <f>SUMIF(月間集計シート!$M$50:$M$69,$G917,月間集計シート!N$50:N$69)*Q$2</f>
        <v>0</v>
      </c>
      <c r="R917" s="88">
        <f>SUMIF(月間集計シート!$M$50:$M$69,$G917,月間集計シート!O$50:O$69)*R$2</f>
        <v>0</v>
      </c>
      <c r="S917" s="88">
        <f>SUMIF(月間集計シート!$M$50:$M$69,$G917,月間集計シート!P$50:P$69)*S$2</f>
        <v>0</v>
      </c>
      <c r="T917" s="88">
        <f>SUMIF(月間集計シート!$M$50:$M$69,$G917,月間集計シート!Q$50:Q$69)*T$2</f>
        <v>0</v>
      </c>
      <c r="U917" s="88">
        <f>SUMIF(月間集計シート!$M$50:$M$69,$G917,月間集計シート!R$50:R$69)*U$2</f>
        <v>0</v>
      </c>
      <c r="V917" s="88">
        <f>SUMIF(月間集計シート!$M$50:$M$69,$G917,月間集計シート!S$50:S$69)*V$2</f>
        <v>0</v>
      </c>
      <c r="W917" s="88">
        <f>SUMIF(月間集計シート!$M$50:$M$69,$G917,月間集計シート!T$50:T$69)*W$2</f>
        <v>0</v>
      </c>
      <c r="X917" s="88">
        <f>SUMIF(月間集計シート!$M$71:$M$90,$G917,月間集計シート!N$71:N$90)*X$2</f>
        <v>0</v>
      </c>
      <c r="Y917" s="88">
        <f>SUMIF(月間集計シート!$M$71:$M$90,$G917,月間集計シート!O$71:O$90)*Y$2</f>
        <v>0</v>
      </c>
      <c r="Z917" s="88">
        <f>SUMIF(月間集計シート!$M$71:$M$90,$G917,月間集計シート!P$71:P$90)*Z$2</f>
        <v>0</v>
      </c>
      <c r="AA917" s="88">
        <f>SUMIF(月間集計シート!$M$71:$M$90,$G917,月間集計シート!Q$71:Q$90)*AA$2</f>
        <v>0</v>
      </c>
      <c r="AB917" s="88">
        <f>SUMIF(月間集計シート!$M$71:$M$90,$G917,月間集計シート!R$71:R$90)*AB$2</f>
        <v>0</v>
      </c>
      <c r="AC917" s="88">
        <f>SUMIF(月間集計シート!$M$71:$M$90,$G917,月間集計シート!S$71:S$90)*AC$2</f>
        <v>0</v>
      </c>
      <c r="AD917" s="88">
        <f>SUMIF(月間集計シート!$M$71:$M$90,$G917,月間集計シート!T$71:T$90)*AD$2</f>
        <v>0</v>
      </c>
      <c r="AE917" s="88">
        <f>SUMIF(月間集計シート!$M$92:$M$111,$G917,月間集計シート!N$92:N$111)*AE$2</f>
        <v>0</v>
      </c>
      <c r="AF917" s="88">
        <f>SUMIF(月間集計シート!$M$92:$M$111,$G917,月間集計シート!O$92:O$111)*AF$2</f>
        <v>0</v>
      </c>
      <c r="AG917" s="88">
        <f>SUMIF(月間集計シート!$M$92:$M$111,$G917,月間集計シート!P$92:P$111)*AG$2</f>
        <v>0</v>
      </c>
      <c r="AH917" s="88">
        <f>SUMIF(月間集計シート!$M$92:$M$111,$G917,月間集計シート!Q$92:Q$111)*AH$2</f>
        <v>0</v>
      </c>
      <c r="AI917" s="88">
        <f>SUMIF(月間集計シート!$M$92:$M$111,$G917,月間集計シート!R$92:R$111)*AI$2</f>
        <v>0</v>
      </c>
      <c r="AJ917" s="88">
        <f>SUMIF(月間集計シート!$M$92:$M$111,$G917,月間集計シート!S$92:S$111)*AJ$2</f>
        <v>0</v>
      </c>
      <c r="AK917" s="88">
        <f>SUMIF(月間集計シート!$M$92:$M$111,$G917,月間集計シート!T$92:T$111)*AK$2</f>
        <v>0</v>
      </c>
      <c r="AL917" s="88">
        <f>SUMIF(月間集計シート!$M$113:$M$132,$G917,月間集計シート!N$113:N$132)*AL$2</f>
        <v>0</v>
      </c>
      <c r="AM917" s="88">
        <f>SUMIF(月間集計シート!$M$113:$M$132,$G917,月間集計シート!O$113:O$132)*AM$2</f>
        <v>0</v>
      </c>
      <c r="AN917" s="88">
        <f>SUMIF(月間集計シート!$M$113:$M$132,$G917,月間集計シート!P$113:P$132)*AN$2</f>
        <v>0</v>
      </c>
      <c r="AO917" s="88">
        <f>SUMIF(月間集計シート!$M$113:$M$132,$G917,月間集計シート!Q$113:Q$132)*AO$2</f>
        <v>0</v>
      </c>
      <c r="AP917" s="88">
        <f>SUMIF(月間集計シート!$M$113:$M$132,$G917,月間集計シート!R$113:R$132)*AP$2</f>
        <v>0</v>
      </c>
      <c r="AQ917" s="88">
        <f>SUMIF(月間集計シート!$M$113:$M$132,$G917,月間集計シート!S$113:S$132)*AQ$2</f>
        <v>0</v>
      </c>
      <c r="AR917" s="88">
        <f>SUMIF(月間集計シート!$M$113:$M$132,$G917,月間集計シート!T$113:T$132)*AR$2</f>
        <v>0</v>
      </c>
      <c r="AS917" s="88">
        <f>SUMIF(月間集計シート!$M$134:$M$153,$G917,月間集計シート!N$134:N$153)*AS$2</f>
        <v>0</v>
      </c>
      <c r="AT917" s="88">
        <f>SUMIF(月間集計シート!$M$134:$M$153,$G917,月間集計シート!O$134:O$153)*AT$2</f>
        <v>0</v>
      </c>
      <c r="AU917" s="88">
        <f>SUMIF(月間集計シート!$M$134:$M$153,$G917,月間集計シート!P$134:P$153)*AU$2</f>
        <v>0</v>
      </c>
      <c r="AV917" s="88">
        <f>SUMIF(月間集計シート!$M$134:$M$153,$G917,月間集計シート!Q$134:Q$153)*AV$2</f>
        <v>0</v>
      </c>
      <c r="AW917" s="88">
        <f>SUMIF(月間集計シート!$M$134:$M$153,$G917,月間集計シート!R$134:R$153)*AW$2</f>
        <v>0</v>
      </c>
      <c r="AX917" s="88">
        <f>SUMIF(月間集計シート!$M$134:$M$153,$G917,月間集計シート!S$134:S$153)*AX$2</f>
        <v>0</v>
      </c>
      <c r="AY917" s="88">
        <f>SUMIF(月間集計シート!$M$134:$M$153,$G917,月間集計シート!T$134:T$153)*AY$2</f>
        <v>0</v>
      </c>
    </row>
    <row r="918" spans="1:51" ht="14.25" thickBot="1">
      <c r="A918">
        <v>11</v>
      </c>
      <c r="B918" s="120">
        <f t="shared" si="464"/>
        <v>0</v>
      </c>
      <c r="C918" s="120" t="str">
        <f t="shared" si="465"/>
        <v/>
      </c>
      <c r="D918" s="137"/>
      <c r="E918" s="150" t="str">
        <f>工種!A60</f>
        <v>80102</v>
      </c>
      <c r="F918" s="119" t="str">
        <f>工種!B60</f>
        <v>保守／ｻﾎﾟｰﾄ：社内問い合わせ</v>
      </c>
      <c r="G918" s="116" t="str">
        <f t="shared" si="466"/>
        <v>080102</v>
      </c>
      <c r="H918" s="88">
        <f t="shared" si="420"/>
        <v>0</v>
      </c>
      <c r="I918" s="132"/>
      <c r="J918" s="88">
        <f>SUMIF(月間集計シート!$M$29:$M$48,$G918,月間集計シート!N$29:N$48)*J$2</f>
        <v>0</v>
      </c>
      <c r="K918" s="88">
        <f>SUMIF(月間集計シート!$M$29:$M$48,$G918,月間集計シート!O$29:O$48)*K$2</f>
        <v>0</v>
      </c>
      <c r="L918" s="88">
        <f>SUMIF(月間集計シート!$M$29:$M$48,$G918,月間集計シート!P$29:P$48)*L$2</f>
        <v>0</v>
      </c>
      <c r="M918" s="88">
        <f>SUMIF(月間集計シート!$M$29:$M$48,$G918,月間集計シート!Q$29:Q$48)*M$2</f>
        <v>0</v>
      </c>
      <c r="N918" s="88">
        <f>SUMIF(月間集計シート!$M$29:$M$48,$G918,月間集計シート!R$29:R$48)*N$2</f>
        <v>0</v>
      </c>
      <c r="O918" s="88">
        <f>SUMIF(月間集計シート!$M$29:$M$48,$G918,月間集計シート!S$29:S$48)*O$2</f>
        <v>0</v>
      </c>
      <c r="P918" s="88">
        <f>SUMIF(月間集計シート!$M$29:$M$48,$G918,月間集計シート!T$29:T$48)*P$2</f>
        <v>0</v>
      </c>
      <c r="Q918" s="88">
        <f>SUMIF(月間集計シート!$M$50:$M$69,$G918,月間集計シート!N$50:N$69)*Q$2</f>
        <v>0</v>
      </c>
      <c r="R918" s="88">
        <f>SUMIF(月間集計シート!$M$50:$M$69,$G918,月間集計シート!O$50:O$69)*R$2</f>
        <v>0</v>
      </c>
      <c r="S918" s="88">
        <f>SUMIF(月間集計シート!$M$50:$M$69,$G918,月間集計シート!P$50:P$69)*S$2</f>
        <v>0</v>
      </c>
      <c r="T918" s="88">
        <f>SUMIF(月間集計シート!$M$50:$M$69,$G918,月間集計シート!Q$50:Q$69)*T$2</f>
        <v>0</v>
      </c>
      <c r="U918" s="88">
        <f>SUMIF(月間集計シート!$M$50:$M$69,$G918,月間集計シート!R$50:R$69)*U$2</f>
        <v>0</v>
      </c>
      <c r="V918" s="88">
        <f>SUMIF(月間集計シート!$M$50:$M$69,$G918,月間集計シート!S$50:S$69)*V$2</f>
        <v>0</v>
      </c>
      <c r="W918" s="88">
        <f>SUMIF(月間集計シート!$M$50:$M$69,$G918,月間集計シート!T$50:T$69)*W$2</f>
        <v>0</v>
      </c>
      <c r="X918" s="88">
        <f>SUMIF(月間集計シート!$M$71:$M$90,$G918,月間集計シート!N$71:N$90)*X$2</f>
        <v>0</v>
      </c>
      <c r="Y918" s="88">
        <f>SUMIF(月間集計シート!$M$71:$M$90,$G918,月間集計シート!O$71:O$90)*Y$2</f>
        <v>0</v>
      </c>
      <c r="Z918" s="88">
        <f>SUMIF(月間集計シート!$M$71:$M$90,$G918,月間集計シート!P$71:P$90)*Z$2</f>
        <v>0</v>
      </c>
      <c r="AA918" s="88">
        <f>SUMIF(月間集計シート!$M$71:$M$90,$G918,月間集計シート!Q$71:Q$90)*AA$2</f>
        <v>0</v>
      </c>
      <c r="AB918" s="88">
        <f>SUMIF(月間集計シート!$M$71:$M$90,$G918,月間集計シート!R$71:R$90)*AB$2</f>
        <v>0</v>
      </c>
      <c r="AC918" s="88">
        <f>SUMIF(月間集計シート!$M$71:$M$90,$G918,月間集計シート!S$71:S$90)*AC$2</f>
        <v>0</v>
      </c>
      <c r="AD918" s="88">
        <f>SUMIF(月間集計シート!$M$71:$M$90,$G918,月間集計シート!T$71:T$90)*AD$2</f>
        <v>0</v>
      </c>
      <c r="AE918" s="88">
        <f>SUMIF(月間集計シート!$M$92:$M$111,$G918,月間集計シート!N$92:N$111)*AE$2</f>
        <v>0</v>
      </c>
      <c r="AF918" s="88">
        <f>SUMIF(月間集計シート!$M$92:$M$111,$G918,月間集計シート!O$92:O$111)*AF$2</f>
        <v>0</v>
      </c>
      <c r="AG918" s="88">
        <f>SUMIF(月間集計シート!$M$92:$M$111,$G918,月間集計シート!P$92:P$111)*AG$2</f>
        <v>0</v>
      </c>
      <c r="AH918" s="88">
        <f>SUMIF(月間集計シート!$M$92:$M$111,$G918,月間集計シート!Q$92:Q$111)*AH$2</f>
        <v>0</v>
      </c>
      <c r="AI918" s="88">
        <f>SUMIF(月間集計シート!$M$92:$M$111,$G918,月間集計シート!R$92:R$111)*AI$2</f>
        <v>0</v>
      </c>
      <c r="AJ918" s="88">
        <f>SUMIF(月間集計シート!$M$92:$M$111,$G918,月間集計シート!S$92:S$111)*AJ$2</f>
        <v>0</v>
      </c>
      <c r="AK918" s="88">
        <f>SUMIF(月間集計シート!$M$92:$M$111,$G918,月間集計シート!T$92:T$111)*AK$2</f>
        <v>0</v>
      </c>
      <c r="AL918" s="88">
        <f>SUMIF(月間集計シート!$M$113:$M$132,$G918,月間集計シート!N$113:N$132)*AL$2</f>
        <v>0</v>
      </c>
      <c r="AM918" s="88">
        <f>SUMIF(月間集計シート!$M$113:$M$132,$G918,月間集計シート!O$113:O$132)*AM$2</f>
        <v>0</v>
      </c>
      <c r="AN918" s="88">
        <f>SUMIF(月間集計シート!$M$113:$M$132,$G918,月間集計シート!P$113:P$132)*AN$2</f>
        <v>0</v>
      </c>
      <c r="AO918" s="88">
        <f>SUMIF(月間集計シート!$M$113:$M$132,$G918,月間集計シート!Q$113:Q$132)*AO$2</f>
        <v>0</v>
      </c>
      <c r="AP918" s="88">
        <f>SUMIF(月間集計シート!$M$113:$M$132,$G918,月間集計シート!R$113:R$132)*AP$2</f>
        <v>0</v>
      </c>
      <c r="AQ918" s="88">
        <f>SUMIF(月間集計シート!$M$113:$M$132,$G918,月間集計シート!S$113:S$132)*AQ$2</f>
        <v>0</v>
      </c>
      <c r="AR918" s="88">
        <f>SUMIF(月間集計シート!$M$113:$M$132,$G918,月間集計シート!T$113:T$132)*AR$2</f>
        <v>0</v>
      </c>
      <c r="AS918" s="88">
        <f>SUMIF(月間集計シート!$M$134:$M$153,$G918,月間集計シート!N$134:N$153)*AS$2</f>
        <v>0</v>
      </c>
      <c r="AT918" s="88">
        <f>SUMIF(月間集計シート!$M$134:$M$153,$G918,月間集計シート!O$134:O$153)*AT$2</f>
        <v>0</v>
      </c>
      <c r="AU918" s="88">
        <f>SUMIF(月間集計シート!$M$134:$M$153,$G918,月間集計シート!P$134:P$153)*AU$2</f>
        <v>0</v>
      </c>
      <c r="AV918" s="88">
        <f>SUMIF(月間集計シート!$M$134:$M$153,$G918,月間集計シート!Q$134:Q$153)*AV$2</f>
        <v>0</v>
      </c>
      <c r="AW918" s="88">
        <f>SUMIF(月間集計シート!$M$134:$M$153,$G918,月間集計シート!R$134:R$153)*AW$2</f>
        <v>0</v>
      </c>
      <c r="AX918" s="88">
        <f>SUMIF(月間集計シート!$M$134:$M$153,$G918,月間集計シート!S$134:S$153)*AX$2</f>
        <v>0</v>
      </c>
      <c r="AY918" s="88">
        <f>SUMIF(月間集計シート!$M$134:$M$153,$G918,月間集計シート!T$134:T$153)*AY$2</f>
        <v>0</v>
      </c>
    </row>
    <row r="919" spans="1:51" ht="14.25" thickBot="1">
      <c r="A919">
        <v>11</v>
      </c>
      <c r="B919" s="120">
        <f t="shared" si="464"/>
        <v>0</v>
      </c>
      <c r="C919" s="120" t="str">
        <f t="shared" si="465"/>
        <v/>
      </c>
      <c r="D919" s="137"/>
      <c r="E919" s="150" t="str">
        <f>工種!A61</f>
        <v>80103</v>
      </c>
      <c r="F919" s="119" t="str">
        <f>工種!B61</f>
        <v>保守／ｻﾎﾟｰﾄ：支社・他部門支援</v>
      </c>
      <c r="G919" s="116" t="str">
        <f t="shared" si="466"/>
        <v>080103</v>
      </c>
      <c r="H919" s="88">
        <f t="shared" si="420"/>
        <v>0</v>
      </c>
      <c r="I919" s="132"/>
      <c r="J919" s="88">
        <f>SUMIF(月間集計シート!$M$29:$M$48,$G919,月間集計シート!N$29:N$48)*J$2</f>
        <v>0</v>
      </c>
      <c r="K919" s="88">
        <f>SUMIF(月間集計シート!$M$29:$M$48,$G919,月間集計シート!O$29:O$48)*K$2</f>
        <v>0</v>
      </c>
      <c r="L919" s="88">
        <f>SUMIF(月間集計シート!$M$29:$M$48,$G919,月間集計シート!P$29:P$48)*L$2</f>
        <v>0</v>
      </c>
      <c r="M919" s="88">
        <f>SUMIF(月間集計シート!$M$29:$M$48,$G919,月間集計シート!Q$29:Q$48)*M$2</f>
        <v>0</v>
      </c>
      <c r="N919" s="88">
        <f>SUMIF(月間集計シート!$M$29:$M$48,$G919,月間集計シート!R$29:R$48)*N$2</f>
        <v>0</v>
      </c>
      <c r="O919" s="88">
        <f>SUMIF(月間集計シート!$M$29:$M$48,$G919,月間集計シート!S$29:S$48)*O$2</f>
        <v>0</v>
      </c>
      <c r="P919" s="88">
        <f>SUMIF(月間集計シート!$M$29:$M$48,$G919,月間集計シート!T$29:T$48)*P$2</f>
        <v>0</v>
      </c>
      <c r="Q919" s="88">
        <f>SUMIF(月間集計シート!$M$50:$M$69,$G919,月間集計シート!N$50:N$69)*Q$2</f>
        <v>0</v>
      </c>
      <c r="R919" s="88">
        <f>SUMIF(月間集計シート!$M$50:$M$69,$G919,月間集計シート!O$50:O$69)*R$2</f>
        <v>0</v>
      </c>
      <c r="S919" s="88">
        <f>SUMIF(月間集計シート!$M$50:$M$69,$G919,月間集計シート!P$50:P$69)*S$2</f>
        <v>0</v>
      </c>
      <c r="T919" s="88">
        <f>SUMIF(月間集計シート!$M$50:$M$69,$G919,月間集計シート!Q$50:Q$69)*T$2</f>
        <v>0</v>
      </c>
      <c r="U919" s="88">
        <f>SUMIF(月間集計シート!$M$50:$M$69,$G919,月間集計シート!R$50:R$69)*U$2</f>
        <v>0</v>
      </c>
      <c r="V919" s="88">
        <f>SUMIF(月間集計シート!$M$50:$M$69,$G919,月間集計シート!S$50:S$69)*V$2</f>
        <v>0</v>
      </c>
      <c r="W919" s="88">
        <f>SUMIF(月間集計シート!$M$50:$M$69,$G919,月間集計シート!T$50:T$69)*W$2</f>
        <v>0</v>
      </c>
      <c r="X919" s="88">
        <f>SUMIF(月間集計シート!$M$71:$M$90,$G919,月間集計シート!N$71:N$90)*X$2</f>
        <v>0</v>
      </c>
      <c r="Y919" s="88">
        <f>SUMIF(月間集計シート!$M$71:$M$90,$G919,月間集計シート!O$71:O$90)*Y$2</f>
        <v>0</v>
      </c>
      <c r="Z919" s="88">
        <f>SUMIF(月間集計シート!$M$71:$M$90,$G919,月間集計シート!P$71:P$90)*Z$2</f>
        <v>0</v>
      </c>
      <c r="AA919" s="88">
        <f>SUMIF(月間集計シート!$M$71:$M$90,$G919,月間集計シート!Q$71:Q$90)*AA$2</f>
        <v>0</v>
      </c>
      <c r="AB919" s="88">
        <f>SUMIF(月間集計シート!$M$71:$M$90,$G919,月間集計シート!R$71:R$90)*AB$2</f>
        <v>0</v>
      </c>
      <c r="AC919" s="88">
        <f>SUMIF(月間集計シート!$M$71:$M$90,$G919,月間集計シート!S$71:S$90)*AC$2</f>
        <v>0</v>
      </c>
      <c r="AD919" s="88">
        <f>SUMIF(月間集計シート!$M$71:$M$90,$G919,月間集計シート!T$71:T$90)*AD$2</f>
        <v>0</v>
      </c>
      <c r="AE919" s="88">
        <f>SUMIF(月間集計シート!$M$92:$M$111,$G919,月間集計シート!N$92:N$111)*AE$2</f>
        <v>0</v>
      </c>
      <c r="AF919" s="88">
        <f>SUMIF(月間集計シート!$M$92:$M$111,$G919,月間集計シート!O$92:O$111)*AF$2</f>
        <v>0</v>
      </c>
      <c r="AG919" s="88">
        <f>SUMIF(月間集計シート!$M$92:$M$111,$G919,月間集計シート!P$92:P$111)*AG$2</f>
        <v>0</v>
      </c>
      <c r="AH919" s="88">
        <f>SUMIF(月間集計シート!$M$92:$M$111,$G919,月間集計シート!Q$92:Q$111)*AH$2</f>
        <v>0</v>
      </c>
      <c r="AI919" s="88">
        <f>SUMIF(月間集計シート!$M$92:$M$111,$G919,月間集計シート!R$92:R$111)*AI$2</f>
        <v>0</v>
      </c>
      <c r="AJ919" s="88">
        <f>SUMIF(月間集計シート!$M$92:$M$111,$G919,月間集計シート!S$92:S$111)*AJ$2</f>
        <v>0</v>
      </c>
      <c r="AK919" s="88">
        <f>SUMIF(月間集計シート!$M$92:$M$111,$G919,月間集計シート!T$92:T$111)*AK$2</f>
        <v>0</v>
      </c>
      <c r="AL919" s="88">
        <f>SUMIF(月間集計シート!$M$113:$M$132,$G919,月間集計シート!N$113:N$132)*AL$2</f>
        <v>0</v>
      </c>
      <c r="AM919" s="88">
        <f>SUMIF(月間集計シート!$M$113:$M$132,$G919,月間集計シート!O$113:O$132)*AM$2</f>
        <v>0</v>
      </c>
      <c r="AN919" s="88">
        <f>SUMIF(月間集計シート!$M$113:$M$132,$G919,月間集計シート!P$113:P$132)*AN$2</f>
        <v>0</v>
      </c>
      <c r="AO919" s="88">
        <f>SUMIF(月間集計シート!$M$113:$M$132,$G919,月間集計シート!Q$113:Q$132)*AO$2</f>
        <v>0</v>
      </c>
      <c r="AP919" s="88">
        <f>SUMIF(月間集計シート!$M$113:$M$132,$G919,月間集計シート!R$113:R$132)*AP$2</f>
        <v>0</v>
      </c>
      <c r="AQ919" s="88">
        <f>SUMIF(月間集計シート!$M$113:$M$132,$G919,月間集計シート!S$113:S$132)*AQ$2</f>
        <v>0</v>
      </c>
      <c r="AR919" s="88">
        <f>SUMIF(月間集計シート!$M$113:$M$132,$G919,月間集計シート!T$113:T$132)*AR$2</f>
        <v>0</v>
      </c>
      <c r="AS919" s="88">
        <f>SUMIF(月間集計シート!$M$134:$M$153,$G919,月間集計シート!N$134:N$153)*AS$2</f>
        <v>0</v>
      </c>
      <c r="AT919" s="88">
        <f>SUMIF(月間集計シート!$M$134:$M$153,$G919,月間集計シート!O$134:O$153)*AT$2</f>
        <v>0</v>
      </c>
      <c r="AU919" s="88">
        <f>SUMIF(月間集計シート!$M$134:$M$153,$G919,月間集計シート!P$134:P$153)*AU$2</f>
        <v>0</v>
      </c>
      <c r="AV919" s="88">
        <f>SUMIF(月間集計シート!$M$134:$M$153,$G919,月間集計シート!Q$134:Q$153)*AV$2</f>
        <v>0</v>
      </c>
      <c r="AW919" s="88">
        <f>SUMIF(月間集計シート!$M$134:$M$153,$G919,月間集計シート!R$134:R$153)*AW$2</f>
        <v>0</v>
      </c>
      <c r="AX919" s="88">
        <f>SUMIF(月間集計シート!$M$134:$M$153,$G919,月間集計シート!S$134:S$153)*AX$2</f>
        <v>0</v>
      </c>
      <c r="AY919" s="88">
        <f>SUMIF(月間集計シート!$M$134:$M$153,$G919,月間集計シート!T$134:T$153)*AY$2</f>
        <v>0</v>
      </c>
    </row>
    <row r="920" spans="1:51" ht="14.25" thickBot="1">
      <c r="A920">
        <v>11</v>
      </c>
      <c r="B920" s="120">
        <f t="shared" si="464"/>
        <v>0</v>
      </c>
      <c r="C920" s="120" t="str">
        <f t="shared" si="465"/>
        <v/>
      </c>
      <c r="D920" s="137"/>
      <c r="E920" s="150" t="str">
        <f>工種!A62</f>
        <v>80104</v>
      </c>
      <c r="F920" s="119" t="str">
        <f>工種!B62</f>
        <v>保守／ｻﾎﾟｰﾄ：連絡文書作成・更新</v>
      </c>
      <c r="G920" s="116" t="str">
        <f t="shared" si="466"/>
        <v>080104</v>
      </c>
      <c r="H920" s="88">
        <f t="shared" si="420"/>
        <v>0</v>
      </c>
      <c r="I920" s="132"/>
      <c r="J920" s="88">
        <f>SUMIF(月間集計シート!$M$29:$M$48,$G920,月間集計シート!N$29:N$48)*J$2</f>
        <v>0</v>
      </c>
      <c r="K920" s="88">
        <f>SUMIF(月間集計シート!$M$29:$M$48,$G920,月間集計シート!O$29:O$48)*K$2</f>
        <v>0</v>
      </c>
      <c r="L920" s="88">
        <f>SUMIF(月間集計シート!$M$29:$M$48,$G920,月間集計シート!P$29:P$48)*L$2</f>
        <v>0</v>
      </c>
      <c r="M920" s="88">
        <f>SUMIF(月間集計シート!$M$29:$M$48,$G920,月間集計シート!Q$29:Q$48)*M$2</f>
        <v>0</v>
      </c>
      <c r="N920" s="88">
        <f>SUMIF(月間集計シート!$M$29:$M$48,$G920,月間集計シート!R$29:R$48)*N$2</f>
        <v>0</v>
      </c>
      <c r="O920" s="88">
        <f>SUMIF(月間集計シート!$M$29:$M$48,$G920,月間集計シート!S$29:S$48)*O$2</f>
        <v>0</v>
      </c>
      <c r="P920" s="88">
        <f>SUMIF(月間集計シート!$M$29:$M$48,$G920,月間集計シート!T$29:T$48)*P$2</f>
        <v>0</v>
      </c>
      <c r="Q920" s="88">
        <f>SUMIF(月間集計シート!$M$50:$M$69,$G920,月間集計シート!N$50:N$69)*Q$2</f>
        <v>0</v>
      </c>
      <c r="R920" s="88">
        <f>SUMIF(月間集計シート!$M$50:$M$69,$G920,月間集計シート!O$50:O$69)*R$2</f>
        <v>0</v>
      </c>
      <c r="S920" s="88">
        <f>SUMIF(月間集計シート!$M$50:$M$69,$G920,月間集計シート!P$50:P$69)*S$2</f>
        <v>0</v>
      </c>
      <c r="T920" s="88">
        <f>SUMIF(月間集計シート!$M$50:$M$69,$G920,月間集計シート!Q$50:Q$69)*T$2</f>
        <v>0</v>
      </c>
      <c r="U920" s="88">
        <f>SUMIF(月間集計シート!$M$50:$M$69,$G920,月間集計シート!R$50:R$69)*U$2</f>
        <v>0</v>
      </c>
      <c r="V920" s="88">
        <f>SUMIF(月間集計シート!$M$50:$M$69,$G920,月間集計シート!S$50:S$69)*V$2</f>
        <v>0</v>
      </c>
      <c r="W920" s="88">
        <f>SUMIF(月間集計シート!$M$50:$M$69,$G920,月間集計シート!T$50:T$69)*W$2</f>
        <v>0</v>
      </c>
      <c r="X920" s="88">
        <f>SUMIF(月間集計シート!$M$71:$M$90,$G920,月間集計シート!N$71:N$90)*X$2</f>
        <v>0</v>
      </c>
      <c r="Y920" s="88">
        <f>SUMIF(月間集計シート!$M$71:$M$90,$G920,月間集計シート!O$71:O$90)*Y$2</f>
        <v>0</v>
      </c>
      <c r="Z920" s="88">
        <f>SUMIF(月間集計シート!$M$71:$M$90,$G920,月間集計シート!P$71:P$90)*Z$2</f>
        <v>0</v>
      </c>
      <c r="AA920" s="88">
        <f>SUMIF(月間集計シート!$M$71:$M$90,$G920,月間集計シート!Q$71:Q$90)*AA$2</f>
        <v>0</v>
      </c>
      <c r="AB920" s="88">
        <f>SUMIF(月間集計シート!$M$71:$M$90,$G920,月間集計シート!R$71:R$90)*AB$2</f>
        <v>0</v>
      </c>
      <c r="AC920" s="88">
        <f>SUMIF(月間集計シート!$M$71:$M$90,$G920,月間集計シート!S$71:S$90)*AC$2</f>
        <v>0</v>
      </c>
      <c r="AD920" s="88">
        <f>SUMIF(月間集計シート!$M$71:$M$90,$G920,月間集計シート!T$71:T$90)*AD$2</f>
        <v>0</v>
      </c>
      <c r="AE920" s="88">
        <f>SUMIF(月間集計シート!$M$92:$M$111,$G920,月間集計シート!N$92:N$111)*AE$2</f>
        <v>0</v>
      </c>
      <c r="AF920" s="88">
        <f>SUMIF(月間集計シート!$M$92:$M$111,$G920,月間集計シート!O$92:O$111)*AF$2</f>
        <v>0</v>
      </c>
      <c r="AG920" s="88">
        <f>SUMIF(月間集計シート!$M$92:$M$111,$G920,月間集計シート!P$92:P$111)*AG$2</f>
        <v>0</v>
      </c>
      <c r="AH920" s="88">
        <f>SUMIF(月間集計シート!$M$92:$M$111,$G920,月間集計シート!Q$92:Q$111)*AH$2</f>
        <v>0</v>
      </c>
      <c r="AI920" s="88">
        <f>SUMIF(月間集計シート!$M$92:$M$111,$G920,月間集計シート!R$92:R$111)*AI$2</f>
        <v>0</v>
      </c>
      <c r="AJ920" s="88">
        <f>SUMIF(月間集計シート!$M$92:$M$111,$G920,月間集計シート!S$92:S$111)*AJ$2</f>
        <v>0</v>
      </c>
      <c r="AK920" s="88">
        <f>SUMIF(月間集計シート!$M$92:$M$111,$G920,月間集計シート!T$92:T$111)*AK$2</f>
        <v>0</v>
      </c>
      <c r="AL920" s="88">
        <f>SUMIF(月間集計シート!$M$113:$M$132,$G920,月間集計シート!N$113:N$132)*AL$2</f>
        <v>0</v>
      </c>
      <c r="AM920" s="88">
        <f>SUMIF(月間集計シート!$M$113:$M$132,$G920,月間集計シート!O$113:O$132)*AM$2</f>
        <v>0</v>
      </c>
      <c r="AN920" s="88">
        <f>SUMIF(月間集計シート!$M$113:$M$132,$G920,月間集計シート!P$113:P$132)*AN$2</f>
        <v>0</v>
      </c>
      <c r="AO920" s="88">
        <f>SUMIF(月間集計シート!$M$113:$M$132,$G920,月間集計シート!Q$113:Q$132)*AO$2</f>
        <v>0</v>
      </c>
      <c r="AP920" s="88">
        <f>SUMIF(月間集計シート!$M$113:$M$132,$G920,月間集計シート!R$113:R$132)*AP$2</f>
        <v>0</v>
      </c>
      <c r="AQ920" s="88">
        <f>SUMIF(月間集計シート!$M$113:$M$132,$G920,月間集計シート!S$113:S$132)*AQ$2</f>
        <v>0</v>
      </c>
      <c r="AR920" s="88">
        <f>SUMIF(月間集計シート!$M$113:$M$132,$G920,月間集計シート!T$113:T$132)*AR$2</f>
        <v>0</v>
      </c>
      <c r="AS920" s="88">
        <f>SUMIF(月間集計シート!$M$134:$M$153,$G920,月間集計シート!N$134:N$153)*AS$2</f>
        <v>0</v>
      </c>
      <c r="AT920" s="88">
        <f>SUMIF(月間集計シート!$M$134:$M$153,$G920,月間集計シート!O$134:O$153)*AT$2</f>
        <v>0</v>
      </c>
      <c r="AU920" s="88">
        <f>SUMIF(月間集計シート!$M$134:$M$153,$G920,月間集計シート!P$134:P$153)*AU$2</f>
        <v>0</v>
      </c>
      <c r="AV920" s="88">
        <f>SUMIF(月間集計シート!$M$134:$M$153,$G920,月間集計シート!Q$134:Q$153)*AV$2</f>
        <v>0</v>
      </c>
      <c r="AW920" s="88">
        <f>SUMIF(月間集計シート!$M$134:$M$153,$G920,月間集計シート!R$134:R$153)*AW$2</f>
        <v>0</v>
      </c>
      <c r="AX920" s="88">
        <f>SUMIF(月間集計シート!$M$134:$M$153,$G920,月間集計シート!S$134:S$153)*AX$2</f>
        <v>0</v>
      </c>
      <c r="AY920" s="88">
        <f>SUMIF(月間集計シート!$M$134:$M$153,$G920,月間集計シート!T$134:T$153)*AY$2</f>
        <v>0</v>
      </c>
    </row>
    <row r="921" spans="1:51" ht="14.25" thickBot="1">
      <c r="A921">
        <v>11</v>
      </c>
      <c r="B921" s="120">
        <f t="shared" si="464"/>
        <v>0</v>
      </c>
      <c r="C921" s="120" t="str">
        <f t="shared" si="465"/>
        <v/>
      </c>
      <c r="D921" s="137"/>
      <c r="E921" s="150" t="str">
        <f>工種!A63</f>
        <v>80105</v>
      </c>
      <c r="F921" s="119" t="str">
        <f>工種!B63</f>
        <v>保守／ｻﾎﾟｰﾄ：ｲﾝﾄﾗ資料更新</v>
      </c>
      <c r="G921" s="116" t="str">
        <f t="shared" ref="G921:G938" si="467">B921&amp;E921</f>
        <v>080105</v>
      </c>
      <c r="H921" s="88">
        <f t="shared" ref="H921:H922" si="468">SUM(J921:AY921)</f>
        <v>0</v>
      </c>
      <c r="I921" s="132"/>
      <c r="J921" s="88">
        <f>SUMIF(月間集計シート!$M$29:$M$48,$G921,月間集計シート!N$29:N$48)*J$2</f>
        <v>0</v>
      </c>
      <c r="K921" s="88">
        <f>SUMIF(月間集計シート!$M$29:$M$48,$G921,月間集計シート!O$29:O$48)*K$2</f>
        <v>0</v>
      </c>
      <c r="L921" s="88">
        <f>SUMIF(月間集計シート!$M$29:$M$48,$G921,月間集計シート!P$29:P$48)*L$2</f>
        <v>0</v>
      </c>
      <c r="M921" s="88">
        <f>SUMIF(月間集計シート!$M$29:$M$48,$G921,月間集計シート!Q$29:Q$48)*M$2</f>
        <v>0</v>
      </c>
      <c r="N921" s="88">
        <f>SUMIF(月間集計シート!$M$29:$M$48,$G921,月間集計シート!R$29:R$48)*N$2</f>
        <v>0</v>
      </c>
      <c r="O921" s="88">
        <f>SUMIF(月間集計シート!$M$29:$M$48,$G921,月間集計シート!S$29:S$48)*O$2</f>
        <v>0</v>
      </c>
      <c r="P921" s="88">
        <f>SUMIF(月間集計シート!$M$29:$M$48,$G921,月間集計シート!T$29:T$48)*P$2</f>
        <v>0</v>
      </c>
      <c r="Q921" s="88">
        <f>SUMIF(月間集計シート!$M$50:$M$69,$G921,月間集計シート!N$50:N$69)*Q$2</f>
        <v>0</v>
      </c>
      <c r="R921" s="88">
        <f>SUMIF(月間集計シート!$M$50:$M$69,$G921,月間集計シート!O$50:O$69)*R$2</f>
        <v>0</v>
      </c>
      <c r="S921" s="88">
        <f>SUMIF(月間集計シート!$M$50:$M$69,$G921,月間集計シート!P$50:P$69)*S$2</f>
        <v>0</v>
      </c>
      <c r="T921" s="88">
        <f>SUMIF(月間集計シート!$M$50:$M$69,$G921,月間集計シート!Q$50:Q$69)*T$2</f>
        <v>0</v>
      </c>
      <c r="U921" s="88">
        <f>SUMIF(月間集計シート!$M$50:$M$69,$G921,月間集計シート!R$50:R$69)*U$2</f>
        <v>0</v>
      </c>
      <c r="V921" s="88">
        <f>SUMIF(月間集計シート!$M$50:$M$69,$G921,月間集計シート!S$50:S$69)*V$2</f>
        <v>0</v>
      </c>
      <c r="W921" s="88">
        <f>SUMIF(月間集計シート!$M$50:$M$69,$G921,月間集計シート!T$50:T$69)*W$2</f>
        <v>0</v>
      </c>
      <c r="X921" s="88">
        <f>SUMIF(月間集計シート!$M$71:$M$90,$G921,月間集計シート!N$71:N$90)*X$2</f>
        <v>0</v>
      </c>
      <c r="Y921" s="88">
        <f>SUMIF(月間集計シート!$M$71:$M$90,$G921,月間集計シート!O$71:O$90)*Y$2</f>
        <v>0</v>
      </c>
      <c r="Z921" s="88">
        <f>SUMIF(月間集計シート!$M$71:$M$90,$G921,月間集計シート!P$71:P$90)*Z$2</f>
        <v>0</v>
      </c>
      <c r="AA921" s="88">
        <f>SUMIF(月間集計シート!$M$71:$M$90,$G921,月間集計シート!Q$71:Q$90)*AA$2</f>
        <v>0</v>
      </c>
      <c r="AB921" s="88">
        <f>SUMIF(月間集計シート!$M$71:$M$90,$G921,月間集計シート!R$71:R$90)*AB$2</f>
        <v>0</v>
      </c>
      <c r="AC921" s="88">
        <f>SUMIF(月間集計シート!$M$71:$M$90,$G921,月間集計シート!S$71:S$90)*AC$2</f>
        <v>0</v>
      </c>
      <c r="AD921" s="88">
        <f>SUMIF(月間集計シート!$M$71:$M$90,$G921,月間集計シート!T$71:T$90)*AD$2</f>
        <v>0</v>
      </c>
      <c r="AE921" s="88">
        <f>SUMIF(月間集計シート!$M$92:$M$111,$G921,月間集計シート!N$92:N$111)*AE$2</f>
        <v>0</v>
      </c>
      <c r="AF921" s="88">
        <f>SUMIF(月間集計シート!$M$92:$M$111,$G921,月間集計シート!O$92:O$111)*AF$2</f>
        <v>0</v>
      </c>
      <c r="AG921" s="88">
        <f>SUMIF(月間集計シート!$M$92:$M$111,$G921,月間集計シート!P$92:P$111)*AG$2</f>
        <v>0</v>
      </c>
      <c r="AH921" s="88">
        <f>SUMIF(月間集計シート!$M$92:$M$111,$G921,月間集計シート!Q$92:Q$111)*AH$2</f>
        <v>0</v>
      </c>
      <c r="AI921" s="88">
        <f>SUMIF(月間集計シート!$M$92:$M$111,$G921,月間集計シート!R$92:R$111)*AI$2</f>
        <v>0</v>
      </c>
      <c r="AJ921" s="88">
        <f>SUMIF(月間集計シート!$M$92:$M$111,$G921,月間集計シート!S$92:S$111)*AJ$2</f>
        <v>0</v>
      </c>
      <c r="AK921" s="88">
        <f>SUMIF(月間集計シート!$M$92:$M$111,$G921,月間集計シート!T$92:T$111)*AK$2</f>
        <v>0</v>
      </c>
      <c r="AL921" s="88">
        <f>SUMIF(月間集計シート!$M$113:$M$132,$G921,月間集計シート!N$113:N$132)*AL$2</f>
        <v>0</v>
      </c>
      <c r="AM921" s="88">
        <f>SUMIF(月間集計シート!$M$113:$M$132,$G921,月間集計シート!O$113:O$132)*AM$2</f>
        <v>0</v>
      </c>
      <c r="AN921" s="88">
        <f>SUMIF(月間集計シート!$M$113:$M$132,$G921,月間集計シート!P$113:P$132)*AN$2</f>
        <v>0</v>
      </c>
      <c r="AO921" s="88">
        <f>SUMIF(月間集計シート!$M$113:$M$132,$G921,月間集計シート!Q$113:Q$132)*AO$2</f>
        <v>0</v>
      </c>
      <c r="AP921" s="88">
        <f>SUMIF(月間集計シート!$M$113:$M$132,$G921,月間集計シート!R$113:R$132)*AP$2</f>
        <v>0</v>
      </c>
      <c r="AQ921" s="88">
        <f>SUMIF(月間集計シート!$M$113:$M$132,$G921,月間集計シート!S$113:S$132)*AQ$2</f>
        <v>0</v>
      </c>
      <c r="AR921" s="88">
        <f>SUMIF(月間集計シート!$M$113:$M$132,$G921,月間集計シート!T$113:T$132)*AR$2</f>
        <v>0</v>
      </c>
      <c r="AS921" s="88">
        <f>SUMIF(月間集計シート!$M$134:$M$153,$G921,月間集計シート!N$134:N$153)*AS$2</f>
        <v>0</v>
      </c>
      <c r="AT921" s="88">
        <f>SUMIF(月間集計シート!$M$134:$M$153,$G921,月間集計シート!O$134:O$153)*AT$2</f>
        <v>0</v>
      </c>
      <c r="AU921" s="88">
        <f>SUMIF(月間集計シート!$M$134:$M$153,$G921,月間集計シート!P$134:P$153)*AU$2</f>
        <v>0</v>
      </c>
      <c r="AV921" s="88">
        <f>SUMIF(月間集計シート!$M$134:$M$153,$G921,月間集計シート!Q$134:Q$153)*AV$2</f>
        <v>0</v>
      </c>
      <c r="AW921" s="88">
        <f>SUMIF(月間集計シート!$M$134:$M$153,$G921,月間集計シート!R$134:R$153)*AW$2</f>
        <v>0</v>
      </c>
      <c r="AX921" s="88">
        <f>SUMIF(月間集計シート!$M$134:$M$153,$G921,月間集計シート!S$134:S$153)*AX$2</f>
        <v>0</v>
      </c>
      <c r="AY921" s="88">
        <f>SUMIF(月間集計シート!$M$134:$M$153,$G921,月間集計シート!T$134:T$153)*AY$2</f>
        <v>0</v>
      </c>
    </row>
    <row r="922" spans="1:51" ht="14.25" thickBot="1">
      <c r="A922">
        <v>11</v>
      </c>
      <c r="B922" s="120">
        <f t="shared" si="464"/>
        <v>0</v>
      </c>
      <c r="C922" s="120" t="str">
        <f t="shared" si="465"/>
        <v/>
      </c>
      <c r="D922" s="137"/>
      <c r="E922" s="150" t="str">
        <f>工種!A64</f>
        <v>80106</v>
      </c>
      <c r="F922" s="119" t="str">
        <f>工種!B64</f>
        <v>保守／ｻﾎﾟｰﾄ：打合せ</v>
      </c>
      <c r="G922" s="116" t="str">
        <f t="shared" si="467"/>
        <v>080106</v>
      </c>
      <c r="H922" s="88">
        <f t="shared" si="468"/>
        <v>0</v>
      </c>
      <c r="I922" s="132"/>
      <c r="J922" s="88">
        <f>SUMIF(月間集計シート!$M$29:$M$48,$G922,月間集計シート!N$29:N$48)*J$2</f>
        <v>0</v>
      </c>
      <c r="K922" s="88">
        <f>SUMIF(月間集計シート!$M$29:$M$48,$G922,月間集計シート!O$29:O$48)*K$2</f>
        <v>0</v>
      </c>
      <c r="L922" s="88">
        <f>SUMIF(月間集計シート!$M$29:$M$48,$G922,月間集計シート!P$29:P$48)*L$2</f>
        <v>0</v>
      </c>
      <c r="M922" s="88">
        <f>SUMIF(月間集計シート!$M$29:$M$48,$G922,月間集計シート!Q$29:Q$48)*M$2</f>
        <v>0</v>
      </c>
      <c r="N922" s="88">
        <f>SUMIF(月間集計シート!$M$29:$M$48,$G922,月間集計シート!R$29:R$48)*N$2</f>
        <v>0</v>
      </c>
      <c r="O922" s="88">
        <f>SUMIF(月間集計シート!$M$29:$M$48,$G922,月間集計シート!S$29:S$48)*O$2</f>
        <v>0</v>
      </c>
      <c r="P922" s="88">
        <f>SUMIF(月間集計シート!$M$29:$M$48,$G922,月間集計シート!T$29:T$48)*P$2</f>
        <v>0</v>
      </c>
      <c r="Q922" s="88">
        <f>SUMIF(月間集計シート!$M$50:$M$69,$G922,月間集計シート!N$50:N$69)*Q$2</f>
        <v>0</v>
      </c>
      <c r="R922" s="88">
        <f>SUMIF(月間集計シート!$M$50:$M$69,$G922,月間集計シート!O$50:O$69)*R$2</f>
        <v>0</v>
      </c>
      <c r="S922" s="88">
        <f>SUMIF(月間集計シート!$M$50:$M$69,$G922,月間集計シート!P$50:P$69)*S$2</f>
        <v>0</v>
      </c>
      <c r="T922" s="88">
        <f>SUMIF(月間集計シート!$M$50:$M$69,$G922,月間集計シート!Q$50:Q$69)*T$2</f>
        <v>0</v>
      </c>
      <c r="U922" s="88">
        <f>SUMIF(月間集計シート!$M$50:$M$69,$G922,月間集計シート!R$50:R$69)*U$2</f>
        <v>0</v>
      </c>
      <c r="V922" s="88">
        <f>SUMIF(月間集計シート!$M$50:$M$69,$G922,月間集計シート!S$50:S$69)*V$2</f>
        <v>0</v>
      </c>
      <c r="W922" s="88">
        <f>SUMIF(月間集計シート!$M$50:$M$69,$G922,月間集計シート!T$50:T$69)*W$2</f>
        <v>0</v>
      </c>
      <c r="X922" s="88">
        <f>SUMIF(月間集計シート!$M$71:$M$90,$G922,月間集計シート!N$71:N$90)*X$2</f>
        <v>0</v>
      </c>
      <c r="Y922" s="88">
        <f>SUMIF(月間集計シート!$M$71:$M$90,$G922,月間集計シート!O$71:O$90)*Y$2</f>
        <v>0</v>
      </c>
      <c r="Z922" s="88">
        <f>SUMIF(月間集計シート!$M$71:$M$90,$G922,月間集計シート!P$71:P$90)*Z$2</f>
        <v>0</v>
      </c>
      <c r="AA922" s="88">
        <f>SUMIF(月間集計シート!$M$71:$M$90,$G922,月間集計シート!Q$71:Q$90)*AA$2</f>
        <v>0</v>
      </c>
      <c r="AB922" s="88">
        <f>SUMIF(月間集計シート!$M$71:$M$90,$G922,月間集計シート!R$71:R$90)*AB$2</f>
        <v>0</v>
      </c>
      <c r="AC922" s="88">
        <f>SUMIF(月間集計シート!$M$71:$M$90,$G922,月間集計シート!S$71:S$90)*AC$2</f>
        <v>0</v>
      </c>
      <c r="AD922" s="88">
        <f>SUMIF(月間集計シート!$M$71:$M$90,$G922,月間集計シート!T$71:T$90)*AD$2</f>
        <v>0</v>
      </c>
      <c r="AE922" s="88">
        <f>SUMIF(月間集計シート!$M$92:$M$111,$G922,月間集計シート!N$92:N$111)*AE$2</f>
        <v>0</v>
      </c>
      <c r="AF922" s="88">
        <f>SUMIF(月間集計シート!$M$92:$M$111,$G922,月間集計シート!O$92:O$111)*AF$2</f>
        <v>0</v>
      </c>
      <c r="AG922" s="88">
        <f>SUMIF(月間集計シート!$M$92:$M$111,$G922,月間集計シート!P$92:P$111)*AG$2</f>
        <v>0</v>
      </c>
      <c r="AH922" s="88">
        <f>SUMIF(月間集計シート!$M$92:$M$111,$G922,月間集計シート!Q$92:Q$111)*AH$2</f>
        <v>0</v>
      </c>
      <c r="AI922" s="88">
        <f>SUMIF(月間集計シート!$M$92:$M$111,$G922,月間集計シート!R$92:R$111)*AI$2</f>
        <v>0</v>
      </c>
      <c r="AJ922" s="88">
        <f>SUMIF(月間集計シート!$M$92:$M$111,$G922,月間集計シート!S$92:S$111)*AJ$2</f>
        <v>0</v>
      </c>
      <c r="AK922" s="88">
        <f>SUMIF(月間集計シート!$M$92:$M$111,$G922,月間集計シート!T$92:T$111)*AK$2</f>
        <v>0</v>
      </c>
      <c r="AL922" s="88">
        <f>SUMIF(月間集計シート!$M$113:$M$132,$G922,月間集計シート!N$113:N$132)*AL$2</f>
        <v>0</v>
      </c>
      <c r="AM922" s="88">
        <f>SUMIF(月間集計シート!$M$113:$M$132,$G922,月間集計シート!O$113:O$132)*AM$2</f>
        <v>0</v>
      </c>
      <c r="AN922" s="88">
        <f>SUMIF(月間集計シート!$M$113:$M$132,$G922,月間集計シート!P$113:P$132)*AN$2</f>
        <v>0</v>
      </c>
      <c r="AO922" s="88">
        <f>SUMIF(月間集計シート!$M$113:$M$132,$G922,月間集計シート!Q$113:Q$132)*AO$2</f>
        <v>0</v>
      </c>
      <c r="AP922" s="88">
        <f>SUMIF(月間集計シート!$M$113:$M$132,$G922,月間集計シート!R$113:R$132)*AP$2</f>
        <v>0</v>
      </c>
      <c r="AQ922" s="88">
        <f>SUMIF(月間集計シート!$M$113:$M$132,$G922,月間集計シート!S$113:S$132)*AQ$2</f>
        <v>0</v>
      </c>
      <c r="AR922" s="88">
        <f>SUMIF(月間集計シート!$M$113:$M$132,$G922,月間集計シート!T$113:T$132)*AR$2</f>
        <v>0</v>
      </c>
      <c r="AS922" s="88">
        <f>SUMIF(月間集計シート!$M$134:$M$153,$G922,月間集計シート!N$134:N$153)*AS$2</f>
        <v>0</v>
      </c>
      <c r="AT922" s="88">
        <f>SUMIF(月間集計シート!$M$134:$M$153,$G922,月間集計シート!O$134:O$153)*AT$2</f>
        <v>0</v>
      </c>
      <c r="AU922" s="88">
        <f>SUMIF(月間集計シート!$M$134:$M$153,$G922,月間集計シート!P$134:P$153)*AU$2</f>
        <v>0</v>
      </c>
      <c r="AV922" s="88">
        <f>SUMIF(月間集計シート!$M$134:$M$153,$G922,月間集計シート!Q$134:Q$153)*AV$2</f>
        <v>0</v>
      </c>
      <c r="AW922" s="88">
        <f>SUMIF(月間集計シート!$M$134:$M$153,$G922,月間集計シート!R$134:R$153)*AW$2</f>
        <v>0</v>
      </c>
      <c r="AX922" s="88">
        <f>SUMIF(月間集計シート!$M$134:$M$153,$G922,月間集計シート!S$134:S$153)*AX$2</f>
        <v>0</v>
      </c>
      <c r="AY922" s="88">
        <f>SUMIF(月間集計シート!$M$134:$M$153,$G922,月間集計シート!T$134:T$153)*AY$2</f>
        <v>0</v>
      </c>
    </row>
    <row r="923" spans="1:51" ht="14.25" thickBot="1">
      <c r="A923">
        <v>11</v>
      </c>
      <c r="B923" s="120">
        <f t="shared" si="464"/>
        <v>0</v>
      </c>
      <c r="C923" s="120" t="str">
        <f t="shared" si="465"/>
        <v/>
      </c>
      <c r="D923" s="137"/>
      <c r="E923" s="150" t="str">
        <f>工種!A65</f>
        <v>80107</v>
      </c>
      <c r="F923" s="119" t="str">
        <f>工種!B65</f>
        <v>保守／ｻﾎﾟｰﾄ：ﾚﾋﾞｭｰ</v>
      </c>
      <c r="G923" s="116" t="str">
        <f t="shared" si="467"/>
        <v>080107</v>
      </c>
      <c r="H923" s="88">
        <f t="shared" ref="H923:H938" si="469">SUM(J923:AY923)</f>
        <v>0</v>
      </c>
      <c r="I923" s="132"/>
      <c r="J923" s="88">
        <f>SUMIF(月間集計シート!$M$29:$M$48,$G923,月間集計シート!N$29:N$48)*J$2</f>
        <v>0</v>
      </c>
      <c r="K923" s="88">
        <f>SUMIF(月間集計シート!$M$29:$M$48,$G923,月間集計シート!O$29:O$48)*K$2</f>
        <v>0</v>
      </c>
      <c r="L923" s="88">
        <f>SUMIF(月間集計シート!$M$29:$M$48,$G923,月間集計シート!P$29:P$48)*L$2</f>
        <v>0</v>
      </c>
      <c r="M923" s="88">
        <f>SUMIF(月間集計シート!$M$29:$M$48,$G923,月間集計シート!Q$29:Q$48)*M$2</f>
        <v>0</v>
      </c>
      <c r="N923" s="88">
        <f>SUMIF(月間集計シート!$M$29:$M$48,$G923,月間集計シート!R$29:R$48)*N$2</f>
        <v>0</v>
      </c>
      <c r="O923" s="88">
        <f>SUMIF(月間集計シート!$M$29:$M$48,$G923,月間集計シート!S$29:S$48)*O$2</f>
        <v>0</v>
      </c>
      <c r="P923" s="88">
        <f>SUMIF(月間集計シート!$M$29:$M$48,$G923,月間集計シート!T$29:T$48)*P$2</f>
        <v>0</v>
      </c>
      <c r="Q923" s="88">
        <f>SUMIF(月間集計シート!$M$50:$M$69,$G923,月間集計シート!N$50:N$69)*Q$2</f>
        <v>0</v>
      </c>
      <c r="R923" s="88">
        <f>SUMIF(月間集計シート!$M$50:$M$69,$G923,月間集計シート!O$50:O$69)*R$2</f>
        <v>0</v>
      </c>
      <c r="S923" s="88">
        <f>SUMIF(月間集計シート!$M$50:$M$69,$G923,月間集計シート!P$50:P$69)*S$2</f>
        <v>0</v>
      </c>
      <c r="T923" s="88">
        <f>SUMIF(月間集計シート!$M$50:$M$69,$G923,月間集計シート!Q$50:Q$69)*T$2</f>
        <v>0</v>
      </c>
      <c r="U923" s="88">
        <f>SUMIF(月間集計シート!$M$50:$M$69,$G923,月間集計シート!R$50:R$69)*U$2</f>
        <v>0</v>
      </c>
      <c r="V923" s="88">
        <f>SUMIF(月間集計シート!$M$50:$M$69,$G923,月間集計シート!S$50:S$69)*V$2</f>
        <v>0</v>
      </c>
      <c r="W923" s="88">
        <f>SUMIF(月間集計シート!$M$50:$M$69,$G923,月間集計シート!T$50:T$69)*W$2</f>
        <v>0</v>
      </c>
      <c r="X923" s="88">
        <f>SUMIF(月間集計シート!$M$71:$M$90,$G923,月間集計シート!N$71:N$90)*X$2</f>
        <v>0</v>
      </c>
      <c r="Y923" s="88">
        <f>SUMIF(月間集計シート!$M$71:$M$90,$G923,月間集計シート!O$71:O$90)*Y$2</f>
        <v>0</v>
      </c>
      <c r="Z923" s="88">
        <f>SUMIF(月間集計シート!$M$71:$M$90,$G923,月間集計シート!P$71:P$90)*Z$2</f>
        <v>0</v>
      </c>
      <c r="AA923" s="88">
        <f>SUMIF(月間集計シート!$M$71:$M$90,$G923,月間集計シート!Q$71:Q$90)*AA$2</f>
        <v>0</v>
      </c>
      <c r="AB923" s="88">
        <f>SUMIF(月間集計シート!$M$71:$M$90,$G923,月間集計シート!R$71:R$90)*AB$2</f>
        <v>0</v>
      </c>
      <c r="AC923" s="88">
        <f>SUMIF(月間集計シート!$M$71:$M$90,$G923,月間集計シート!S$71:S$90)*AC$2</f>
        <v>0</v>
      </c>
      <c r="AD923" s="88">
        <f>SUMIF(月間集計シート!$M$71:$M$90,$G923,月間集計シート!T$71:T$90)*AD$2</f>
        <v>0</v>
      </c>
      <c r="AE923" s="88">
        <f>SUMIF(月間集計シート!$M$92:$M$111,$G923,月間集計シート!N$92:N$111)*AE$2</f>
        <v>0</v>
      </c>
      <c r="AF923" s="88">
        <f>SUMIF(月間集計シート!$M$92:$M$111,$G923,月間集計シート!O$92:O$111)*AF$2</f>
        <v>0</v>
      </c>
      <c r="AG923" s="88">
        <f>SUMIF(月間集計シート!$M$92:$M$111,$G923,月間集計シート!P$92:P$111)*AG$2</f>
        <v>0</v>
      </c>
      <c r="AH923" s="88">
        <f>SUMIF(月間集計シート!$M$92:$M$111,$G923,月間集計シート!Q$92:Q$111)*AH$2</f>
        <v>0</v>
      </c>
      <c r="AI923" s="88">
        <f>SUMIF(月間集計シート!$M$92:$M$111,$G923,月間集計シート!R$92:R$111)*AI$2</f>
        <v>0</v>
      </c>
      <c r="AJ923" s="88">
        <f>SUMIF(月間集計シート!$M$92:$M$111,$G923,月間集計シート!S$92:S$111)*AJ$2</f>
        <v>0</v>
      </c>
      <c r="AK923" s="88">
        <f>SUMIF(月間集計シート!$M$92:$M$111,$G923,月間集計シート!T$92:T$111)*AK$2</f>
        <v>0</v>
      </c>
      <c r="AL923" s="88">
        <f>SUMIF(月間集計シート!$M$113:$M$132,$G923,月間集計シート!N$113:N$132)*AL$2</f>
        <v>0</v>
      </c>
      <c r="AM923" s="88">
        <f>SUMIF(月間集計シート!$M$113:$M$132,$G923,月間集計シート!O$113:O$132)*AM$2</f>
        <v>0</v>
      </c>
      <c r="AN923" s="88">
        <f>SUMIF(月間集計シート!$M$113:$M$132,$G923,月間集計シート!P$113:P$132)*AN$2</f>
        <v>0</v>
      </c>
      <c r="AO923" s="88">
        <f>SUMIF(月間集計シート!$M$113:$M$132,$G923,月間集計シート!Q$113:Q$132)*AO$2</f>
        <v>0</v>
      </c>
      <c r="AP923" s="88">
        <f>SUMIF(月間集計シート!$M$113:$M$132,$G923,月間集計シート!R$113:R$132)*AP$2</f>
        <v>0</v>
      </c>
      <c r="AQ923" s="88">
        <f>SUMIF(月間集計シート!$M$113:$M$132,$G923,月間集計シート!S$113:S$132)*AQ$2</f>
        <v>0</v>
      </c>
      <c r="AR923" s="88">
        <f>SUMIF(月間集計シート!$M$113:$M$132,$G923,月間集計シート!T$113:T$132)*AR$2</f>
        <v>0</v>
      </c>
      <c r="AS923" s="88">
        <f>SUMIF(月間集計シート!$M$134:$M$153,$G923,月間集計シート!N$134:N$153)*AS$2</f>
        <v>0</v>
      </c>
      <c r="AT923" s="88">
        <f>SUMIF(月間集計シート!$M$134:$M$153,$G923,月間集計シート!O$134:O$153)*AT$2</f>
        <v>0</v>
      </c>
      <c r="AU923" s="88">
        <f>SUMIF(月間集計シート!$M$134:$M$153,$G923,月間集計シート!P$134:P$153)*AU$2</f>
        <v>0</v>
      </c>
      <c r="AV923" s="88">
        <f>SUMIF(月間集計シート!$M$134:$M$153,$G923,月間集計シート!Q$134:Q$153)*AV$2</f>
        <v>0</v>
      </c>
      <c r="AW923" s="88">
        <f>SUMIF(月間集計シート!$M$134:$M$153,$G923,月間集計シート!R$134:R$153)*AW$2</f>
        <v>0</v>
      </c>
      <c r="AX923" s="88">
        <f>SUMIF(月間集計シート!$M$134:$M$153,$G923,月間集計シート!S$134:S$153)*AX$2</f>
        <v>0</v>
      </c>
      <c r="AY923" s="88">
        <f>SUMIF(月間集計シート!$M$134:$M$153,$G923,月間集計シート!T$134:T$153)*AY$2</f>
        <v>0</v>
      </c>
    </row>
    <row r="924" spans="1:51" ht="14.25" thickBot="1">
      <c r="A924">
        <v>11</v>
      </c>
      <c r="B924" s="120">
        <f t="shared" si="464"/>
        <v>0</v>
      </c>
      <c r="C924" s="120" t="str">
        <f t="shared" si="465"/>
        <v/>
      </c>
      <c r="D924" s="137"/>
      <c r="E924" s="150" t="str">
        <f>工種!A66</f>
        <v>80199</v>
      </c>
      <c r="F924" s="119" t="str">
        <f>工種!B66</f>
        <v>保守／ｻﾎﾟｰﾄ：その他</v>
      </c>
      <c r="G924" s="116" t="str">
        <f t="shared" si="467"/>
        <v>080199</v>
      </c>
      <c r="H924" s="88">
        <f t="shared" si="469"/>
        <v>0</v>
      </c>
      <c r="I924" s="132"/>
      <c r="J924" s="88">
        <f>SUMIF(月間集計シート!$M$29:$M$48,$G924,月間集計シート!N$29:N$48)*J$2</f>
        <v>0</v>
      </c>
      <c r="K924" s="88">
        <f>SUMIF(月間集計シート!$M$29:$M$48,$G924,月間集計シート!O$29:O$48)*K$2</f>
        <v>0</v>
      </c>
      <c r="L924" s="88">
        <f>SUMIF(月間集計シート!$M$29:$M$48,$G924,月間集計シート!P$29:P$48)*L$2</f>
        <v>0</v>
      </c>
      <c r="M924" s="88">
        <f>SUMIF(月間集計シート!$M$29:$M$48,$G924,月間集計シート!Q$29:Q$48)*M$2</f>
        <v>0</v>
      </c>
      <c r="N924" s="88">
        <f>SUMIF(月間集計シート!$M$29:$M$48,$G924,月間集計シート!R$29:R$48)*N$2</f>
        <v>0</v>
      </c>
      <c r="O924" s="88">
        <f>SUMIF(月間集計シート!$M$29:$M$48,$G924,月間集計シート!S$29:S$48)*O$2</f>
        <v>0</v>
      </c>
      <c r="P924" s="88">
        <f>SUMIF(月間集計シート!$M$29:$M$48,$G924,月間集計シート!T$29:T$48)*P$2</f>
        <v>0</v>
      </c>
      <c r="Q924" s="88">
        <f>SUMIF(月間集計シート!$M$50:$M$69,$G924,月間集計シート!N$50:N$69)*Q$2</f>
        <v>0</v>
      </c>
      <c r="R924" s="88">
        <f>SUMIF(月間集計シート!$M$50:$M$69,$G924,月間集計シート!O$50:O$69)*R$2</f>
        <v>0</v>
      </c>
      <c r="S924" s="88">
        <f>SUMIF(月間集計シート!$M$50:$M$69,$G924,月間集計シート!P$50:P$69)*S$2</f>
        <v>0</v>
      </c>
      <c r="T924" s="88">
        <f>SUMIF(月間集計シート!$M$50:$M$69,$G924,月間集計シート!Q$50:Q$69)*T$2</f>
        <v>0</v>
      </c>
      <c r="U924" s="88">
        <f>SUMIF(月間集計シート!$M$50:$M$69,$G924,月間集計シート!R$50:R$69)*U$2</f>
        <v>0</v>
      </c>
      <c r="V924" s="88">
        <f>SUMIF(月間集計シート!$M$50:$M$69,$G924,月間集計シート!S$50:S$69)*V$2</f>
        <v>0</v>
      </c>
      <c r="W924" s="88">
        <f>SUMIF(月間集計シート!$M$50:$M$69,$G924,月間集計シート!T$50:T$69)*W$2</f>
        <v>0</v>
      </c>
      <c r="X924" s="88">
        <f>SUMIF(月間集計シート!$M$71:$M$90,$G924,月間集計シート!N$71:N$90)*X$2</f>
        <v>0</v>
      </c>
      <c r="Y924" s="88">
        <f>SUMIF(月間集計シート!$M$71:$M$90,$G924,月間集計シート!O$71:O$90)*Y$2</f>
        <v>0</v>
      </c>
      <c r="Z924" s="88">
        <f>SUMIF(月間集計シート!$M$71:$M$90,$G924,月間集計シート!P$71:P$90)*Z$2</f>
        <v>0</v>
      </c>
      <c r="AA924" s="88">
        <f>SUMIF(月間集計シート!$M$71:$M$90,$G924,月間集計シート!Q$71:Q$90)*AA$2</f>
        <v>0</v>
      </c>
      <c r="AB924" s="88">
        <f>SUMIF(月間集計シート!$M$71:$M$90,$G924,月間集計シート!R$71:R$90)*AB$2</f>
        <v>0</v>
      </c>
      <c r="AC924" s="88">
        <f>SUMIF(月間集計シート!$M$71:$M$90,$G924,月間集計シート!S$71:S$90)*AC$2</f>
        <v>0</v>
      </c>
      <c r="AD924" s="88">
        <f>SUMIF(月間集計シート!$M$71:$M$90,$G924,月間集計シート!T$71:T$90)*AD$2</f>
        <v>0</v>
      </c>
      <c r="AE924" s="88">
        <f>SUMIF(月間集計シート!$M$92:$M$111,$G924,月間集計シート!N$92:N$111)*AE$2</f>
        <v>0</v>
      </c>
      <c r="AF924" s="88">
        <f>SUMIF(月間集計シート!$M$92:$M$111,$G924,月間集計シート!O$92:O$111)*AF$2</f>
        <v>0</v>
      </c>
      <c r="AG924" s="88">
        <f>SUMIF(月間集計シート!$M$92:$M$111,$G924,月間集計シート!P$92:P$111)*AG$2</f>
        <v>0</v>
      </c>
      <c r="AH924" s="88">
        <f>SUMIF(月間集計シート!$M$92:$M$111,$G924,月間集計シート!Q$92:Q$111)*AH$2</f>
        <v>0</v>
      </c>
      <c r="AI924" s="88">
        <f>SUMIF(月間集計シート!$M$92:$M$111,$G924,月間集計シート!R$92:R$111)*AI$2</f>
        <v>0</v>
      </c>
      <c r="AJ924" s="88">
        <f>SUMIF(月間集計シート!$M$92:$M$111,$G924,月間集計シート!S$92:S$111)*AJ$2</f>
        <v>0</v>
      </c>
      <c r="AK924" s="88">
        <f>SUMIF(月間集計シート!$M$92:$M$111,$G924,月間集計シート!T$92:T$111)*AK$2</f>
        <v>0</v>
      </c>
      <c r="AL924" s="88">
        <f>SUMIF(月間集計シート!$M$113:$M$132,$G924,月間集計シート!N$113:N$132)*AL$2</f>
        <v>0</v>
      </c>
      <c r="AM924" s="88">
        <f>SUMIF(月間集計シート!$M$113:$M$132,$G924,月間集計シート!O$113:O$132)*AM$2</f>
        <v>0</v>
      </c>
      <c r="AN924" s="88">
        <f>SUMIF(月間集計シート!$M$113:$M$132,$G924,月間集計シート!P$113:P$132)*AN$2</f>
        <v>0</v>
      </c>
      <c r="AO924" s="88">
        <f>SUMIF(月間集計シート!$M$113:$M$132,$G924,月間集計シート!Q$113:Q$132)*AO$2</f>
        <v>0</v>
      </c>
      <c r="AP924" s="88">
        <f>SUMIF(月間集計シート!$M$113:$M$132,$G924,月間集計シート!R$113:R$132)*AP$2</f>
        <v>0</v>
      </c>
      <c r="AQ924" s="88">
        <f>SUMIF(月間集計シート!$M$113:$M$132,$G924,月間集計シート!S$113:S$132)*AQ$2</f>
        <v>0</v>
      </c>
      <c r="AR924" s="88">
        <f>SUMIF(月間集計シート!$M$113:$M$132,$G924,月間集計シート!T$113:T$132)*AR$2</f>
        <v>0</v>
      </c>
      <c r="AS924" s="88">
        <f>SUMIF(月間集計シート!$M$134:$M$153,$G924,月間集計シート!N$134:N$153)*AS$2</f>
        <v>0</v>
      </c>
      <c r="AT924" s="88">
        <f>SUMIF(月間集計シート!$M$134:$M$153,$G924,月間集計シート!O$134:O$153)*AT$2</f>
        <v>0</v>
      </c>
      <c r="AU924" s="88">
        <f>SUMIF(月間集計シート!$M$134:$M$153,$G924,月間集計シート!P$134:P$153)*AU$2</f>
        <v>0</v>
      </c>
      <c r="AV924" s="88">
        <f>SUMIF(月間集計シート!$M$134:$M$153,$G924,月間集計シート!Q$134:Q$153)*AV$2</f>
        <v>0</v>
      </c>
      <c r="AW924" s="88">
        <f>SUMIF(月間集計シート!$M$134:$M$153,$G924,月間集計シート!R$134:R$153)*AW$2</f>
        <v>0</v>
      </c>
      <c r="AX924" s="88">
        <f>SUMIF(月間集計シート!$M$134:$M$153,$G924,月間集計シート!S$134:S$153)*AX$2</f>
        <v>0</v>
      </c>
      <c r="AY924" s="88">
        <f>SUMIF(月間集計シート!$M$134:$M$153,$G924,月間集計シート!T$134:T$153)*AY$2</f>
        <v>0</v>
      </c>
    </row>
    <row r="925" spans="1:51" ht="14.25" thickBot="1">
      <c r="A925">
        <v>11</v>
      </c>
      <c r="B925" s="120">
        <f t="shared" ref="B925:C941" si="470">B924</f>
        <v>0</v>
      </c>
      <c r="C925" s="120" t="str">
        <f t="shared" si="470"/>
        <v/>
      </c>
      <c r="D925" s="137"/>
      <c r="E925" s="150" t="str">
        <f>工種!A67</f>
        <v>90101</v>
      </c>
      <c r="F925" s="119" t="str">
        <f>工種!B67</f>
        <v>管理業務：ﾌﾟﾛｼﾞｪｸﾄ管理</v>
      </c>
      <c r="G925" s="116" t="str">
        <f t="shared" si="467"/>
        <v>090101</v>
      </c>
      <c r="H925" s="88">
        <f t="shared" si="469"/>
        <v>0</v>
      </c>
      <c r="I925" s="132"/>
      <c r="J925" s="88">
        <f>SUMIF(月間集計シート!$M$29:$M$48,$G925,月間集計シート!N$29:N$48)*J$2</f>
        <v>0</v>
      </c>
      <c r="K925" s="88">
        <f>SUMIF(月間集計シート!$M$29:$M$48,$G925,月間集計シート!O$29:O$48)*K$2</f>
        <v>0</v>
      </c>
      <c r="L925" s="88">
        <f>SUMIF(月間集計シート!$M$29:$M$48,$G925,月間集計シート!P$29:P$48)*L$2</f>
        <v>0</v>
      </c>
      <c r="M925" s="88">
        <f>SUMIF(月間集計シート!$M$29:$M$48,$G925,月間集計シート!Q$29:Q$48)*M$2</f>
        <v>0</v>
      </c>
      <c r="N925" s="88">
        <f>SUMIF(月間集計シート!$M$29:$M$48,$G925,月間集計シート!R$29:R$48)*N$2</f>
        <v>0</v>
      </c>
      <c r="O925" s="88">
        <f>SUMIF(月間集計シート!$M$29:$M$48,$G925,月間集計シート!S$29:S$48)*O$2</f>
        <v>0</v>
      </c>
      <c r="P925" s="88">
        <f>SUMIF(月間集計シート!$M$29:$M$48,$G925,月間集計シート!T$29:T$48)*P$2</f>
        <v>0</v>
      </c>
      <c r="Q925" s="88">
        <f>SUMIF(月間集計シート!$M$50:$M$69,$G925,月間集計シート!N$50:N$69)*Q$2</f>
        <v>0</v>
      </c>
      <c r="R925" s="88">
        <f>SUMIF(月間集計シート!$M$50:$M$69,$G925,月間集計シート!O$50:O$69)*R$2</f>
        <v>0</v>
      </c>
      <c r="S925" s="88">
        <f>SUMIF(月間集計シート!$M$50:$M$69,$G925,月間集計シート!P$50:P$69)*S$2</f>
        <v>0</v>
      </c>
      <c r="T925" s="88">
        <f>SUMIF(月間集計シート!$M$50:$M$69,$G925,月間集計シート!Q$50:Q$69)*T$2</f>
        <v>0</v>
      </c>
      <c r="U925" s="88">
        <f>SUMIF(月間集計シート!$M$50:$M$69,$G925,月間集計シート!R$50:R$69)*U$2</f>
        <v>0</v>
      </c>
      <c r="V925" s="88">
        <f>SUMIF(月間集計シート!$M$50:$M$69,$G925,月間集計シート!S$50:S$69)*V$2</f>
        <v>0</v>
      </c>
      <c r="W925" s="88">
        <f>SUMIF(月間集計シート!$M$50:$M$69,$G925,月間集計シート!T$50:T$69)*W$2</f>
        <v>0</v>
      </c>
      <c r="X925" s="88">
        <f>SUMIF(月間集計シート!$M$71:$M$90,$G925,月間集計シート!N$71:N$90)*X$2</f>
        <v>0</v>
      </c>
      <c r="Y925" s="88">
        <f>SUMIF(月間集計シート!$M$71:$M$90,$G925,月間集計シート!O$71:O$90)*Y$2</f>
        <v>0</v>
      </c>
      <c r="Z925" s="88">
        <f>SUMIF(月間集計シート!$M$71:$M$90,$G925,月間集計シート!P$71:P$90)*Z$2</f>
        <v>0</v>
      </c>
      <c r="AA925" s="88">
        <f>SUMIF(月間集計シート!$M$71:$M$90,$G925,月間集計シート!Q$71:Q$90)*AA$2</f>
        <v>0</v>
      </c>
      <c r="AB925" s="88">
        <f>SUMIF(月間集計シート!$M$71:$M$90,$G925,月間集計シート!R$71:R$90)*AB$2</f>
        <v>0</v>
      </c>
      <c r="AC925" s="88">
        <f>SUMIF(月間集計シート!$M$71:$M$90,$G925,月間集計シート!S$71:S$90)*AC$2</f>
        <v>0</v>
      </c>
      <c r="AD925" s="88">
        <f>SUMIF(月間集計シート!$M$71:$M$90,$G925,月間集計シート!T$71:T$90)*AD$2</f>
        <v>0</v>
      </c>
      <c r="AE925" s="88">
        <f>SUMIF(月間集計シート!$M$92:$M$111,$G925,月間集計シート!N$92:N$111)*AE$2</f>
        <v>0</v>
      </c>
      <c r="AF925" s="88">
        <f>SUMIF(月間集計シート!$M$92:$M$111,$G925,月間集計シート!O$92:O$111)*AF$2</f>
        <v>0</v>
      </c>
      <c r="AG925" s="88">
        <f>SUMIF(月間集計シート!$M$92:$M$111,$G925,月間集計シート!P$92:P$111)*AG$2</f>
        <v>0</v>
      </c>
      <c r="AH925" s="88">
        <f>SUMIF(月間集計シート!$M$92:$M$111,$G925,月間集計シート!Q$92:Q$111)*AH$2</f>
        <v>0</v>
      </c>
      <c r="AI925" s="88">
        <f>SUMIF(月間集計シート!$M$92:$M$111,$G925,月間集計シート!R$92:R$111)*AI$2</f>
        <v>0</v>
      </c>
      <c r="AJ925" s="88">
        <f>SUMIF(月間集計シート!$M$92:$M$111,$G925,月間集計シート!S$92:S$111)*AJ$2</f>
        <v>0</v>
      </c>
      <c r="AK925" s="88">
        <f>SUMIF(月間集計シート!$M$92:$M$111,$G925,月間集計シート!T$92:T$111)*AK$2</f>
        <v>0</v>
      </c>
      <c r="AL925" s="88">
        <f>SUMIF(月間集計シート!$M$113:$M$132,$G925,月間集計シート!N$113:N$132)*AL$2</f>
        <v>0</v>
      </c>
      <c r="AM925" s="88">
        <f>SUMIF(月間集計シート!$M$113:$M$132,$G925,月間集計シート!O$113:O$132)*AM$2</f>
        <v>0</v>
      </c>
      <c r="AN925" s="88">
        <f>SUMIF(月間集計シート!$M$113:$M$132,$G925,月間集計シート!P$113:P$132)*AN$2</f>
        <v>0</v>
      </c>
      <c r="AO925" s="88">
        <f>SUMIF(月間集計シート!$M$113:$M$132,$G925,月間集計シート!Q$113:Q$132)*AO$2</f>
        <v>0</v>
      </c>
      <c r="AP925" s="88">
        <f>SUMIF(月間集計シート!$M$113:$M$132,$G925,月間集計シート!R$113:R$132)*AP$2</f>
        <v>0</v>
      </c>
      <c r="AQ925" s="88">
        <f>SUMIF(月間集計シート!$M$113:$M$132,$G925,月間集計シート!S$113:S$132)*AQ$2</f>
        <v>0</v>
      </c>
      <c r="AR925" s="88">
        <f>SUMIF(月間集計シート!$M$113:$M$132,$G925,月間集計シート!T$113:T$132)*AR$2</f>
        <v>0</v>
      </c>
      <c r="AS925" s="88">
        <f>SUMIF(月間集計シート!$M$134:$M$153,$G925,月間集計シート!N$134:N$153)*AS$2</f>
        <v>0</v>
      </c>
      <c r="AT925" s="88">
        <f>SUMIF(月間集計シート!$M$134:$M$153,$G925,月間集計シート!O$134:O$153)*AT$2</f>
        <v>0</v>
      </c>
      <c r="AU925" s="88">
        <f>SUMIF(月間集計シート!$M$134:$M$153,$G925,月間集計シート!P$134:P$153)*AU$2</f>
        <v>0</v>
      </c>
      <c r="AV925" s="88">
        <f>SUMIF(月間集計シート!$M$134:$M$153,$G925,月間集計シート!Q$134:Q$153)*AV$2</f>
        <v>0</v>
      </c>
      <c r="AW925" s="88">
        <f>SUMIF(月間集計シート!$M$134:$M$153,$G925,月間集計シート!R$134:R$153)*AW$2</f>
        <v>0</v>
      </c>
      <c r="AX925" s="88">
        <f>SUMIF(月間集計シート!$M$134:$M$153,$G925,月間集計シート!S$134:S$153)*AX$2</f>
        <v>0</v>
      </c>
      <c r="AY925" s="88">
        <f>SUMIF(月間集計シート!$M$134:$M$153,$G925,月間集計シート!T$134:T$153)*AY$2</f>
        <v>0</v>
      </c>
    </row>
    <row r="926" spans="1:51" ht="14.25" thickBot="1">
      <c r="A926">
        <v>11</v>
      </c>
      <c r="B926" s="120">
        <f t="shared" si="470"/>
        <v>0</v>
      </c>
      <c r="C926" s="120" t="str">
        <f t="shared" si="470"/>
        <v/>
      </c>
      <c r="D926" s="137"/>
      <c r="E926" s="150" t="str">
        <f>工種!A68</f>
        <v>90102</v>
      </c>
      <c r="F926" s="119" t="str">
        <f>工種!B68</f>
        <v>管理業務：開発環境管理</v>
      </c>
      <c r="G926" s="116" t="str">
        <f t="shared" si="467"/>
        <v>090102</v>
      </c>
      <c r="H926" s="88">
        <f t="shared" si="469"/>
        <v>0</v>
      </c>
      <c r="I926" s="132"/>
      <c r="J926" s="88">
        <f>SUMIF(月間集計シート!$M$29:$M$48,$G926,月間集計シート!N$29:N$48)*J$2</f>
        <v>0</v>
      </c>
      <c r="K926" s="88">
        <f>SUMIF(月間集計シート!$M$29:$M$48,$G926,月間集計シート!O$29:O$48)*K$2</f>
        <v>0</v>
      </c>
      <c r="L926" s="88">
        <f>SUMIF(月間集計シート!$M$29:$M$48,$G926,月間集計シート!P$29:P$48)*L$2</f>
        <v>0</v>
      </c>
      <c r="M926" s="88">
        <f>SUMIF(月間集計シート!$M$29:$M$48,$G926,月間集計シート!Q$29:Q$48)*M$2</f>
        <v>0</v>
      </c>
      <c r="N926" s="88">
        <f>SUMIF(月間集計シート!$M$29:$M$48,$G926,月間集計シート!R$29:R$48)*N$2</f>
        <v>0</v>
      </c>
      <c r="O926" s="88">
        <f>SUMIF(月間集計シート!$M$29:$M$48,$G926,月間集計シート!S$29:S$48)*O$2</f>
        <v>0</v>
      </c>
      <c r="P926" s="88">
        <f>SUMIF(月間集計シート!$M$29:$M$48,$G926,月間集計シート!T$29:T$48)*P$2</f>
        <v>0</v>
      </c>
      <c r="Q926" s="88">
        <f>SUMIF(月間集計シート!$M$50:$M$69,$G926,月間集計シート!N$50:N$69)*Q$2</f>
        <v>0</v>
      </c>
      <c r="R926" s="88">
        <f>SUMIF(月間集計シート!$M$50:$M$69,$G926,月間集計シート!O$50:O$69)*R$2</f>
        <v>0</v>
      </c>
      <c r="S926" s="88">
        <f>SUMIF(月間集計シート!$M$50:$M$69,$G926,月間集計シート!P$50:P$69)*S$2</f>
        <v>0</v>
      </c>
      <c r="T926" s="88">
        <f>SUMIF(月間集計シート!$M$50:$M$69,$G926,月間集計シート!Q$50:Q$69)*T$2</f>
        <v>0</v>
      </c>
      <c r="U926" s="88">
        <f>SUMIF(月間集計シート!$M$50:$M$69,$G926,月間集計シート!R$50:R$69)*U$2</f>
        <v>0</v>
      </c>
      <c r="V926" s="88">
        <f>SUMIF(月間集計シート!$M$50:$M$69,$G926,月間集計シート!S$50:S$69)*V$2</f>
        <v>0</v>
      </c>
      <c r="W926" s="88">
        <f>SUMIF(月間集計シート!$M$50:$M$69,$G926,月間集計シート!T$50:T$69)*W$2</f>
        <v>0</v>
      </c>
      <c r="X926" s="88">
        <f>SUMIF(月間集計シート!$M$71:$M$90,$G926,月間集計シート!N$71:N$90)*X$2</f>
        <v>0</v>
      </c>
      <c r="Y926" s="88">
        <f>SUMIF(月間集計シート!$M$71:$M$90,$G926,月間集計シート!O$71:O$90)*Y$2</f>
        <v>0</v>
      </c>
      <c r="Z926" s="88">
        <f>SUMIF(月間集計シート!$M$71:$M$90,$G926,月間集計シート!P$71:P$90)*Z$2</f>
        <v>0</v>
      </c>
      <c r="AA926" s="88">
        <f>SUMIF(月間集計シート!$M$71:$M$90,$G926,月間集計シート!Q$71:Q$90)*AA$2</f>
        <v>0</v>
      </c>
      <c r="AB926" s="88">
        <f>SUMIF(月間集計シート!$M$71:$M$90,$G926,月間集計シート!R$71:R$90)*AB$2</f>
        <v>0</v>
      </c>
      <c r="AC926" s="88">
        <f>SUMIF(月間集計シート!$M$71:$M$90,$G926,月間集計シート!S$71:S$90)*AC$2</f>
        <v>0</v>
      </c>
      <c r="AD926" s="88">
        <f>SUMIF(月間集計シート!$M$71:$M$90,$G926,月間集計シート!T$71:T$90)*AD$2</f>
        <v>0</v>
      </c>
      <c r="AE926" s="88">
        <f>SUMIF(月間集計シート!$M$92:$M$111,$G926,月間集計シート!N$92:N$111)*AE$2</f>
        <v>0</v>
      </c>
      <c r="AF926" s="88">
        <f>SUMIF(月間集計シート!$M$92:$M$111,$G926,月間集計シート!O$92:O$111)*AF$2</f>
        <v>0</v>
      </c>
      <c r="AG926" s="88">
        <f>SUMIF(月間集計シート!$M$92:$M$111,$G926,月間集計シート!P$92:P$111)*AG$2</f>
        <v>0</v>
      </c>
      <c r="AH926" s="88">
        <f>SUMIF(月間集計シート!$M$92:$M$111,$G926,月間集計シート!Q$92:Q$111)*AH$2</f>
        <v>0</v>
      </c>
      <c r="AI926" s="88">
        <f>SUMIF(月間集計シート!$M$92:$M$111,$G926,月間集計シート!R$92:R$111)*AI$2</f>
        <v>0</v>
      </c>
      <c r="AJ926" s="88">
        <f>SUMIF(月間集計シート!$M$92:$M$111,$G926,月間集計シート!S$92:S$111)*AJ$2</f>
        <v>0</v>
      </c>
      <c r="AK926" s="88">
        <f>SUMIF(月間集計シート!$M$92:$M$111,$G926,月間集計シート!T$92:T$111)*AK$2</f>
        <v>0</v>
      </c>
      <c r="AL926" s="88">
        <f>SUMIF(月間集計シート!$M$113:$M$132,$G926,月間集計シート!N$113:N$132)*AL$2</f>
        <v>0</v>
      </c>
      <c r="AM926" s="88">
        <f>SUMIF(月間集計シート!$M$113:$M$132,$G926,月間集計シート!O$113:O$132)*AM$2</f>
        <v>0</v>
      </c>
      <c r="AN926" s="88">
        <f>SUMIF(月間集計シート!$M$113:$M$132,$G926,月間集計シート!P$113:P$132)*AN$2</f>
        <v>0</v>
      </c>
      <c r="AO926" s="88">
        <f>SUMIF(月間集計シート!$M$113:$M$132,$G926,月間集計シート!Q$113:Q$132)*AO$2</f>
        <v>0</v>
      </c>
      <c r="AP926" s="88">
        <f>SUMIF(月間集計シート!$M$113:$M$132,$G926,月間集計シート!R$113:R$132)*AP$2</f>
        <v>0</v>
      </c>
      <c r="AQ926" s="88">
        <f>SUMIF(月間集計シート!$M$113:$M$132,$G926,月間集計シート!S$113:S$132)*AQ$2</f>
        <v>0</v>
      </c>
      <c r="AR926" s="88">
        <f>SUMIF(月間集計シート!$M$113:$M$132,$G926,月間集計シート!T$113:T$132)*AR$2</f>
        <v>0</v>
      </c>
      <c r="AS926" s="88">
        <f>SUMIF(月間集計シート!$M$134:$M$153,$G926,月間集計シート!N$134:N$153)*AS$2</f>
        <v>0</v>
      </c>
      <c r="AT926" s="88">
        <f>SUMIF(月間集計シート!$M$134:$M$153,$G926,月間集計シート!O$134:O$153)*AT$2</f>
        <v>0</v>
      </c>
      <c r="AU926" s="88">
        <f>SUMIF(月間集計シート!$M$134:$M$153,$G926,月間集計シート!P$134:P$153)*AU$2</f>
        <v>0</v>
      </c>
      <c r="AV926" s="88">
        <f>SUMIF(月間集計シート!$M$134:$M$153,$G926,月間集計シート!Q$134:Q$153)*AV$2</f>
        <v>0</v>
      </c>
      <c r="AW926" s="88">
        <f>SUMIF(月間集計シート!$M$134:$M$153,$G926,月間集計シート!R$134:R$153)*AW$2</f>
        <v>0</v>
      </c>
      <c r="AX926" s="88">
        <f>SUMIF(月間集計シート!$M$134:$M$153,$G926,月間集計シート!S$134:S$153)*AX$2</f>
        <v>0</v>
      </c>
      <c r="AY926" s="88">
        <f>SUMIF(月間集計シート!$M$134:$M$153,$G926,月間集計シート!T$134:T$153)*AY$2</f>
        <v>0</v>
      </c>
    </row>
    <row r="927" spans="1:51" ht="14.25" thickBot="1">
      <c r="A927">
        <v>11</v>
      </c>
      <c r="B927" s="120">
        <f t="shared" si="470"/>
        <v>0</v>
      </c>
      <c r="C927" s="120" t="str">
        <f t="shared" si="470"/>
        <v/>
      </c>
      <c r="D927" s="137"/>
      <c r="E927" s="150" t="str">
        <f>工種!A69</f>
        <v>90103</v>
      </c>
      <c r="F927" s="119" t="str">
        <f>工種!B69</f>
        <v>管理業務：標準化・開発業務改善作業</v>
      </c>
      <c r="G927" s="116" t="str">
        <f t="shared" si="467"/>
        <v>090103</v>
      </c>
      <c r="H927" s="88">
        <f t="shared" si="469"/>
        <v>0</v>
      </c>
      <c r="I927" s="132"/>
      <c r="J927" s="88">
        <f>SUMIF(月間集計シート!$M$29:$M$48,$G927,月間集計シート!N$29:N$48)*J$2</f>
        <v>0</v>
      </c>
      <c r="K927" s="88">
        <f>SUMIF(月間集計シート!$M$29:$M$48,$G927,月間集計シート!O$29:O$48)*K$2</f>
        <v>0</v>
      </c>
      <c r="L927" s="88">
        <f>SUMIF(月間集計シート!$M$29:$M$48,$G927,月間集計シート!P$29:P$48)*L$2</f>
        <v>0</v>
      </c>
      <c r="M927" s="88">
        <f>SUMIF(月間集計シート!$M$29:$M$48,$G927,月間集計シート!Q$29:Q$48)*M$2</f>
        <v>0</v>
      </c>
      <c r="N927" s="88">
        <f>SUMIF(月間集計シート!$M$29:$M$48,$G927,月間集計シート!R$29:R$48)*N$2</f>
        <v>0</v>
      </c>
      <c r="O927" s="88">
        <f>SUMIF(月間集計シート!$M$29:$M$48,$G927,月間集計シート!S$29:S$48)*O$2</f>
        <v>0</v>
      </c>
      <c r="P927" s="88">
        <f>SUMIF(月間集計シート!$M$29:$M$48,$G927,月間集計シート!T$29:T$48)*P$2</f>
        <v>0</v>
      </c>
      <c r="Q927" s="88">
        <f>SUMIF(月間集計シート!$M$50:$M$69,$G927,月間集計シート!N$50:N$69)*Q$2</f>
        <v>0</v>
      </c>
      <c r="R927" s="88">
        <f>SUMIF(月間集計シート!$M$50:$M$69,$G927,月間集計シート!O$50:O$69)*R$2</f>
        <v>0</v>
      </c>
      <c r="S927" s="88">
        <f>SUMIF(月間集計シート!$M$50:$M$69,$G927,月間集計シート!P$50:P$69)*S$2</f>
        <v>0</v>
      </c>
      <c r="T927" s="88">
        <f>SUMIF(月間集計シート!$M$50:$M$69,$G927,月間集計シート!Q$50:Q$69)*T$2</f>
        <v>0</v>
      </c>
      <c r="U927" s="88">
        <f>SUMIF(月間集計シート!$M$50:$M$69,$G927,月間集計シート!R$50:R$69)*U$2</f>
        <v>0</v>
      </c>
      <c r="V927" s="88">
        <f>SUMIF(月間集計シート!$M$50:$M$69,$G927,月間集計シート!S$50:S$69)*V$2</f>
        <v>0</v>
      </c>
      <c r="W927" s="88">
        <f>SUMIF(月間集計シート!$M$50:$M$69,$G927,月間集計シート!T$50:T$69)*W$2</f>
        <v>0</v>
      </c>
      <c r="X927" s="88">
        <f>SUMIF(月間集計シート!$M$71:$M$90,$G927,月間集計シート!N$71:N$90)*X$2</f>
        <v>0</v>
      </c>
      <c r="Y927" s="88">
        <f>SUMIF(月間集計シート!$M$71:$M$90,$G927,月間集計シート!O$71:O$90)*Y$2</f>
        <v>0</v>
      </c>
      <c r="Z927" s="88">
        <f>SUMIF(月間集計シート!$M$71:$M$90,$G927,月間集計シート!P$71:P$90)*Z$2</f>
        <v>0</v>
      </c>
      <c r="AA927" s="88">
        <f>SUMIF(月間集計シート!$M$71:$M$90,$G927,月間集計シート!Q$71:Q$90)*AA$2</f>
        <v>0</v>
      </c>
      <c r="AB927" s="88">
        <f>SUMIF(月間集計シート!$M$71:$M$90,$G927,月間集計シート!R$71:R$90)*AB$2</f>
        <v>0</v>
      </c>
      <c r="AC927" s="88">
        <f>SUMIF(月間集計シート!$M$71:$M$90,$G927,月間集計シート!S$71:S$90)*AC$2</f>
        <v>0</v>
      </c>
      <c r="AD927" s="88">
        <f>SUMIF(月間集計シート!$M$71:$M$90,$G927,月間集計シート!T$71:T$90)*AD$2</f>
        <v>0</v>
      </c>
      <c r="AE927" s="88">
        <f>SUMIF(月間集計シート!$M$92:$M$111,$G927,月間集計シート!N$92:N$111)*AE$2</f>
        <v>0</v>
      </c>
      <c r="AF927" s="88">
        <f>SUMIF(月間集計シート!$M$92:$M$111,$G927,月間集計シート!O$92:O$111)*AF$2</f>
        <v>0</v>
      </c>
      <c r="AG927" s="88">
        <f>SUMIF(月間集計シート!$M$92:$M$111,$G927,月間集計シート!P$92:P$111)*AG$2</f>
        <v>0</v>
      </c>
      <c r="AH927" s="88">
        <f>SUMIF(月間集計シート!$M$92:$M$111,$G927,月間集計シート!Q$92:Q$111)*AH$2</f>
        <v>0</v>
      </c>
      <c r="AI927" s="88">
        <f>SUMIF(月間集計シート!$M$92:$M$111,$G927,月間集計シート!R$92:R$111)*AI$2</f>
        <v>0</v>
      </c>
      <c r="AJ927" s="88">
        <f>SUMIF(月間集計シート!$M$92:$M$111,$G927,月間集計シート!S$92:S$111)*AJ$2</f>
        <v>0</v>
      </c>
      <c r="AK927" s="88">
        <f>SUMIF(月間集計シート!$M$92:$M$111,$G927,月間集計シート!T$92:T$111)*AK$2</f>
        <v>0</v>
      </c>
      <c r="AL927" s="88">
        <f>SUMIF(月間集計シート!$M$113:$M$132,$G927,月間集計シート!N$113:N$132)*AL$2</f>
        <v>0</v>
      </c>
      <c r="AM927" s="88">
        <f>SUMIF(月間集計シート!$M$113:$M$132,$G927,月間集計シート!O$113:O$132)*AM$2</f>
        <v>0</v>
      </c>
      <c r="AN927" s="88">
        <f>SUMIF(月間集計シート!$M$113:$M$132,$G927,月間集計シート!P$113:P$132)*AN$2</f>
        <v>0</v>
      </c>
      <c r="AO927" s="88">
        <f>SUMIF(月間集計シート!$M$113:$M$132,$G927,月間集計シート!Q$113:Q$132)*AO$2</f>
        <v>0</v>
      </c>
      <c r="AP927" s="88">
        <f>SUMIF(月間集計シート!$M$113:$M$132,$G927,月間集計シート!R$113:R$132)*AP$2</f>
        <v>0</v>
      </c>
      <c r="AQ927" s="88">
        <f>SUMIF(月間集計シート!$M$113:$M$132,$G927,月間集計シート!S$113:S$132)*AQ$2</f>
        <v>0</v>
      </c>
      <c r="AR927" s="88">
        <f>SUMIF(月間集計シート!$M$113:$M$132,$G927,月間集計シート!T$113:T$132)*AR$2</f>
        <v>0</v>
      </c>
      <c r="AS927" s="88">
        <f>SUMIF(月間集計シート!$M$134:$M$153,$G927,月間集計シート!N$134:N$153)*AS$2</f>
        <v>0</v>
      </c>
      <c r="AT927" s="88">
        <f>SUMIF(月間集計シート!$M$134:$M$153,$G927,月間集計シート!O$134:O$153)*AT$2</f>
        <v>0</v>
      </c>
      <c r="AU927" s="88">
        <f>SUMIF(月間集計シート!$M$134:$M$153,$G927,月間集計シート!P$134:P$153)*AU$2</f>
        <v>0</v>
      </c>
      <c r="AV927" s="88">
        <f>SUMIF(月間集計シート!$M$134:$M$153,$G927,月間集計シート!Q$134:Q$153)*AV$2</f>
        <v>0</v>
      </c>
      <c r="AW927" s="88">
        <f>SUMIF(月間集計シート!$M$134:$M$153,$G927,月間集計シート!R$134:R$153)*AW$2</f>
        <v>0</v>
      </c>
      <c r="AX927" s="88">
        <f>SUMIF(月間集計シート!$M$134:$M$153,$G927,月間集計シート!S$134:S$153)*AX$2</f>
        <v>0</v>
      </c>
      <c r="AY927" s="88">
        <f>SUMIF(月間集計シート!$M$134:$M$153,$G927,月間集計シート!T$134:T$153)*AY$2</f>
        <v>0</v>
      </c>
    </row>
    <row r="928" spans="1:51" ht="14.25" thickBot="1">
      <c r="A928">
        <v>11</v>
      </c>
      <c r="B928" s="120">
        <f t="shared" si="470"/>
        <v>0</v>
      </c>
      <c r="C928" s="120" t="str">
        <f t="shared" si="470"/>
        <v/>
      </c>
      <c r="D928" s="137"/>
      <c r="E928" s="150" t="str">
        <f>工種!A70</f>
        <v>90104</v>
      </c>
      <c r="F928" s="119" t="str">
        <f>工種!B70</f>
        <v>管理業務：開発業務の引継ぎ</v>
      </c>
      <c r="G928" s="116" t="str">
        <f t="shared" si="467"/>
        <v>090104</v>
      </c>
      <c r="H928" s="88">
        <f t="shared" si="469"/>
        <v>0</v>
      </c>
      <c r="I928" s="132"/>
      <c r="J928" s="88">
        <f>SUMIF(月間集計シート!$M$29:$M$48,$G928,月間集計シート!N$29:N$48)*J$2</f>
        <v>0</v>
      </c>
      <c r="K928" s="88">
        <f>SUMIF(月間集計シート!$M$29:$M$48,$G928,月間集計シート!O$29:O$48)*K$2</f>
        <v>0</v>
      </c>
      <c r="L928" s="88">
        <f>SUMIF(月間集計シート!$M$29:$M$48,$G928,月間集計シート!P$29:P$48)*L$2</f>
        <v>0</v>
      </c>
      <c r="M928" s="88">
        <f>SUMIF(月間集計シート!$M$29:$M$48,$G928,月間集計シート!Q$29:Q$48)*M$2</f>
        <v>0</v>
      </c>
      <c r="N928" s="88">
        <f>SUMIF(月間集計シート!$M$29:$M$48,$G928,月間集計シート!R$29:R$48)*N$2</f>
        <v>0</v>
      </c>
      <c r="O928" s="88">
        <f>SUMIF(月間集計シート!$M$29:$M$48,$G928,月間集計シート!S$29:S$48)*O$2</f>
        <v>0</v>
      </c>
      <c r="P928" s="88">
        <f>SUMIF(月間集計シート!$M$29:$M$48,$G928,月間集計シート!T$29:T$48)*P$2</f>
        <v>0</v>
      </c>
      <c r="Q928" s="88">
        <f>SUMIF(月間集計シート!$M$50:$M$69,$G928,月間集計シート!N$50:N$69)*Q$2</f>
        <v>0</v>
      </c>
      <c r="R928" s="88">
        <f>SUMIF(月間集計シート!$M$50:$M$69,$G928,月間集計シート!O$50:O$69)*R$2</f>
        <v>0</v>
      </c>
      <c r="S928" s="88">
        <f>SUMIF(月間集計シート!$M$50:$M$69,$G928,月間集計シート!P$50:P$69)*S$2</f>
        <v>0</v>
      </c>
      <c r="T928" s="88">
        <f>SUMIF(月間集計シート!$M$50:$M$69,$G928,月間集計シート!Q$50:Q$69)*T$2</f>
        <v>0</v>
      </c>
      <c r="U928" s="88">
        <f>SUMIF(月間集計シート!$M$50:$M$69,$G928,月間集計シート!R$50:R$69)*U$2</f>
        <v>0</v>
      </c>
      <c r="V928" s="88">
        <f>SUMIF(月間集計シート!$M$50:$M$69,$G928,月間集計シート!S$50:S$69)*V$2</f>
        <v>0</v>
      </c>
      <c r="W928" s="88">
        <f>SUMIF(月間集計シート!$M$50:$M$69,$G928,月間集計シート!T$50:T$69)*W$2</f>
        <v>0</v>
      </c>
      <c r="X928" s="88">
        <f>SUMIF(月間集計シート!$M$71:$M$90,$G928,月間集計シート!N$71:N$90)*X$2</f>
        <v>0</v>
      </c>
      <c r="Y928" s="88">
        <f>SUMIF(月間集計シート!$M$71:$M$90,$G928,月間集計シート!O$71:O$90)*Y$2</f>
        <v>0</v>
      </c>
      <c r="Z928" s="88">
        <f>SUMIF(月間集計シート!$M$71:$M$90,$G928,月間集計シート!P$71:P$90)*Z$2</f>
        <v>0</v>
      </c>
      <c r="AA928" s="88">
        <f>SUMIF(月間集計シート!$M$71:$M$90,$G928,月間集計シート!Q$71:Q$90)*AA$2</f>
        <v>0</v>
      </c>
      <c r="AB928" s="88">
        <f>SUMIF(月間集計シート!$M$71:$M$90,$G928,月間集計シート!R$71:R$90)*AB$2</f>
        <v>0</v>
      </c>
      <c r="AC928" s="88">
        <f>SUMIF(月間集計シート!$M$71:$M$90,$G928,月間集計シート!S$71:S$90)*AC$2</f>
        <v>0</v>
      </c>
      <c r="AD928" s="88">
        <f>SUMIF(月間集計シート!$M$71:$M$90,$G928,月間集計シート!T$71:T$90)*AD$2</f>
        <v>0</v>
      </c>
      <c r="AE928" s="88">
        <f>SUMIF(月間集計シート!$M$92:$M$111,$G928,月間集計シート!N$92:N$111)*AE$2</f>
        <v>0</v>
      </c>
      <c r="AF928" s="88">
        <f>SUMIF(月間集計シート!$M$92:$M$111,$G928,月間集計シート!O$92:O$111)*AF$2</f>
        <v>0</v>
      </c>
      <c r="AG928" s="88">
        <f>SUMIF(月間集計シート!$M$92:$M$111,$G928,月間集計シート!P$92:P$111)*AG$2</f>
        <v>0</v>
      </c>
      <c r="AH928" s="88">
        <f>SUMIF(月間集計シート!$M$92:$M$111,$G928,月間集計シート!Q$92:Q$111)*AH$2</f>
        <v>0</v>
      </c>
      <c r="AI928" s="88">
        <f>SUMIF(月間集計シート!$M$92:$M$111,$G928,月間集計シート!R$92:R$111)*AI$2</f>
        <v>0</v>
      </c>
      <c r="AJ928" s="88">
        <f>SUMIF(月間集計シート!$M$92:$M$111,$G928,月間集計シート!S$92:S$111)*AJ$2</f>
        <v>0</v>
      </c>
      <c r="AK928" s="88">
        <f>SUMIF(月間集計シート!$M$92:$M$111,$G928,月間集計シート!T$92:T$111)*AK$2</f>
        <v>0</v>
      </c>
      <c r="AL928" s="88">
        <f>SUMIF(月間集計シート!$M$113:$M$132,$G928,月間集計シート!N$113:N$132)*AL$2</f>
        <v>0</v>
      </c>
      <c r="AM928" s="88">
        <f>SUMIF(月間集計シート!$M$113:$M$132,$G928,月間集計シート!O$113:O$132)*AM$2</f>
        <v>0</v>
      </c>
      <c r="AN928" s="88">
        <f>SUMIF(月間集計シート!$M$113:$M$132,$G928,月間集計シート!P$113:P$132)*AN$2</f>
        <v>0</v>
      </c>
      <c r="AO928" s="88">
        <f>SUMIF(月間集計シート!$M$113:$M$132,$G928,月間集計シート!Q$113:Q$132)*AO$2</f>
        <v>0</v>
      </c>
      <c r="AP928" s="88">
        <f>SUMIF(月間集計シート!$M$113:$M$132,$G928,月間集計シート!R$113:R$132)*AP$2</f>
        <v>0</v>
      </c>
      <c r="AQ928" s="88">
        <f>SUMIF(月間集計シート!$M$113:$M$132,$G928,月間集計シート!S$113:S$132)*AQ$2</f>
        <v>0</v>
      </c>
      <c r="AR928" s="88">
        <f>SUMIF(月間集計シート!$M$113:$M$132,$G928,月間集計シート!T$113:T$132)*AR$2</f>
        <v>0</v>
      </c>
      <c r="AS928" s="88">
        <f>SUMIF(月間集計シート!$M$134:$M$153,$G928,月間集計シート!N$134:N$153)*AS$2</f>
        <v>0</v>
      </c>
      <c r="AT928" s="88">
        <f>SUMIF(月間集計シート!$M$134:$M$153,$G928,月間集計シート!O$134:O$153)*AT$2</f>
        <v>0</v>
      </c>
      <c r="AU928" s="88">
        <f>SUMIF(月間集計シート!$M$134:$M$153,$G928,月間集計シート!P$134:P$153)*AU$2</f>
        <v>0</v>
      </c>
      <c r="AV928" s="88">
        <f>SUMIF(月間集計シート!$M$134:$M$153,$G928,月間集計シート!Q$134:Q$153)*AV$2</f>
        <v>0</v>
      </c>
      <c r="AW928" s="88">
        <f>SUMIF(月間集計シート!$M$134:$M$153,$G928,月間集計シート!R$134:R$153)*AW$2</f>
        <v>0</v>
      </c>
      <c r="AX928" s="88">
        <f>SUMIF(月間集計シート!$M$134:$M$153,$G928,月間集計シート!S$134:S$153)*AX$2</f>
        <v>0</v>
      </c>
      <c r="AY928" s="88">
        <f>SUMIF(月間集計シート!$M$134:$M$153,$G928,月間集計シート!T$134:T$153)*AY$2</f>
        <v>0</v>
      </c>
    </row>
    <row r="929" spans="1:51" ht="14.25" thickBot="1">
      <c r="A929">
        <v>11</v>
      </c>
      <c r="B929" s="120">
        <f t="shared" si="470"/>
        <v>0</v>
      </c>
      <c r="C929" s="120" t="str">
        <f t="shared" si="470"/>
        <v/>
      </c>
      <c r="D929" s="137"/>
      <c r="E929" s="150" t="str">
        <f>工種!A71</f>
        <v>90105</v>
      </c>
      <c r="F929" s="119" t="str">
        <f>工種!B71</f>
        <v>管理業務：SRB管理</v>
      </c>
      <c r="G929" s="116" t="str">
        <f t="shared" si="467"/>
        <v>090105</v>
      </c>
      <c r="H929" s="88">
        <f t="shared" si="469"/>
        <v>0</v>
      </c>
      <c r="I929" s="132"/>
      <c r="J929" s="88">
        <f>SUMIF(月間集計シート!$M$29:$M$48,$G929,月間集計シート!N$29:N$48)*J$2</f>
        <v>0</v>
      </c>
      <c r="K929" s="88">
        <f>SUMIF(月間集計シート!$M$29:$M$48,$G929,月間集計シート!O$29:O$48)*K$2</f>
        <v>0</v>
      </c>
      <c r="L929" s="88">
        <f>SUMIF(月間集計シート!$M$29:$M$48,$G929,月間集計シート!P$29:P$48)*L$2</f>
        <v>0</v>
      </c>
      <c r="M929" s="88">
        <f>SUMIF(月間集計シート!$M$29:$M$48,$G929,月間集計シート!Q$29:Q$48)*M$2</f>
        <v>0</v>
      </c>
      <c r="N929" s="88">
        <f>SUMIF(月間集計シート!$M$29:$M$48,$G929,月間集計シート!R$29:R$48)*N$2</f>
        <v>0</v>
      </c>
      <c r="O929" s="88">
        <f>SUMIF(月間集計シート!$M$29:$M$48,$G929,月間集計シート!S$29:S$48)*O$2</f>
        <v>0</v>
      </c>
      <c r="P929" s="88">
        <f>SUMIF(月間集計シート!$M$29:$M$48,$G929,月間集計シート!T$29:T$48)*P$2</f>
        <v>0</v>
      </c>
      <c r="Q929" s="88">
        <f>SUMIF(月間集計シート!$M$50:$M$69,$G929,月間集計シート!N$50:N$69)*Q$2</f>
        <v>0</v>
      </c>
      <c r="R929" s="88">
        <f>SUMIF(月間集計シート!$M$50:$M$69,$G929,月間集計シート!O$50:O$69)*R$2</f>
        <v>0</v>
      </c>
      <c r="S929" s="88">
        <f>SUMIF(月間集計シート!$M$50:$M$69,$G929,月間集計シート!P$50:P$69)*S$2</f>
        <v>0</v>
      </c>
      <c r="T929" s="88">
        <f>SUMIF(月間集計シート!$M$50:$M$69,$G929,月間集計シート!Q$50:Q$69)*T$2</f>
        <v>0</v>
      </c>
      <c r="U929" s="88">
        <f>SUMIF(月間集計シート!$M$50:$M$69,$G929,月間集計シート!R$50:R$69)*U$2</f>
        <v>0</v>
      </c>
      <c r="V929" s="88">
        <f>SUMIF(月間集計シート!$M$50:$M$69,$G929,月間集計シート!S$50:S$69)*V$2</f>
        <v>0</v>
      </c>
      <c r="W929" s="88">
        <f>SUMIF(月間集計シート!$M$50:$M$69,$G929,月間集計シート!T$50:T$69)*W$2</f>
        <v>0</v>
      </c>
      <c r="X929" s="88">
        <f>SUMIF(月間集計シート!$M$71:$M$90,$G929,月間集計シート!N$71:N$90)*X$2</f>
        <v>0</v>
      </c>
      <c r="Y929" s="88">
        <f>SUMIF(月間集計シート!$M$71:$M$90,$G929,月間集計シート!O$71:O$90)*Y$2</f>
        <v>0</v>
      </c>
      <c r="Z929" s="88">
        <f>SUMIF(月間集計シート!$M$71:$M$90,$G929,月間集計シート!P$71:P$90)*Z$2</f>
        <v>0</v>
      </c>
      <c r="AA929" s="88">
        <f>SUMIF(月間集計シート!$M$71:$M$90,$G929,月間集計シート!Q$71:Q$90)*AA$2</f>
        <v>0</v>
      </c>
      <c r="AB929" s="88">
        <f>SUMIF(月間集計シート!$M$71:$M$90,$G929,月間集計シート!R$71:R$90)*AB$2</f>
        <v>0</v>
      </c>
      <c r="AC929" s="88">
        <f>SUMIF(月間集計シート!$M$71:$M$90,$G929,月間集計シート!S$71:S$90)*AC$2</f>
        <v>0</v>
      </c>
      <c r="AD929" s="88">
        <f>SUMIF(月間集計シート!$M$71:$M$90,$G929,月間集計シート!T$71:T$90)*AD$2</f>
        <v>0</v>
      </c>
      <c r="AE929" s="88">
        <f>SUMIF(月間集計シート!$M$92:$M$111,$G929,月間集計シート!N$92:N$111)*AE$2</f>
        <v>0</v>
      </c>
      <c r="AF929" s="88">
        <f>SUMIF(月間集計シート!$M$92:$M$111,$G929,月間集計シート!O$92:O$111)*AF$2</f>
        <v>0</v>
      </c>
      <c r="AG929" s="88">
        <f>SUMIF(月間集計シート!$M$92:$M$111,$G929,月間集計シート!P$92:P$111)*AG$2</f>
        <v>0</v>
      </c>
      <c r="AH929" s="88">
        <f>SUMIF(月間集計シート!$M$92:$M$111,$G929,月間集計シート!Q$92:Q$111)*AH$2</f>
        <v>0</v>
      </c>
      <c r="AI929" s="88">
        <f>SUMIF(月間集計シート!$M$92:$M$111,$G929,月間集計シート!R$92:R$111)*AI$2</f>
        <v>0</v>
      </c>
      <c r="AJ929" s="88">
        <f>SUMIF(月間集計シート!$M$92:$M$111,$G929,月間集計シート!S$92:S$111)*AJ$2</f>
        <v>0</v>
      </c>
      <c r="AK929" s="88">
        <f>SUMIF(月間集計シート!$M$92:$M$111,$G929,月間集計シート!T$92:T$111)*AK$2</f>
        <v>0</v>
      </c>
      <c r="AL929" s="88">
        <f>SUMIF(月間集計シート!$M$113:$M$132,$G929,月間集計シート!N$113:N$132)*AL$2</f>
        <v>0</v>
      </c>
      <c r="AM929" s="88">
        <f>SUMIF(月間集計シート!$M$113:$M$132,$G929,月間集計シート!O$113:O$132)*AM$2</f>
        <v>0</v>
      </c>
      <c r="AN929" s="88">
        <f>SUMIF(月間集計シート!$M$113:$M$132,$G929,月間集計シート!P$113:P$132)*AN$2</f>
        <v>0</v>
      </c>
      <c r="AO929" s="88">
        <f>SUMIF(月間集計シート!$M$113:$M$132,$G929,月間集計シート!Q$113:Q$132)*AO$2</f>
        <v>0</v>
      </c>
      <c r="AP929" s="88">
        <f>SUMIF(月間集計シート!$M$113:$M$132,$G929,月間集計シート!R$113:R$132)*AP$2</f>
        <v>0</v>
      </c>
      <c r="AQ929" s="88">
        <f>SUMIF(月間集計シート!$M$113:$M$132,$G929,月間集計シート!S$113:S$132)*AQ$2</f>
        <v>0</v>
      </c>
      <c r="AR929" s="88">
        <f>SUMIF(月間集計シート!$M$113:$M$132,$G929,月間集計シート!T$113:T$132)*AR$2</f>
        <v>0</v>
      </c>
      <c r="AS929" s="88">
        <f>SUMIF(月間集計シート!$M$134:$M$153,$G929,月間集計シート!N$134:N$153)*AS$2</f>
        <v>0</v>
      </c>
      <c r="AT929" s="88">
        <f>SUMIF(月間集計シート!$M$134:$M$153,$G929,月間集計シート!O$134:O$153)*AT$2</f>
        <v>0</v>
      </c>
      <c r="AU929" s="88">
        <f>SUMIF(月間集計シート!$M$134:$M$153,$G929,月間集計シート!P$134:P$153)*AU$2</f>
        <v>0</v>
      </c>
      <c r="AV929" s="88">
        <f>SUMIF(月間集計シート!$M$134:$M$153,$G929,月間集計シート!Q$134:Q$153)*AV$2</f>
        <v>0</v>
      </c>
      <c r="AW929" s="88">
        <f>SUMIF(月間集計シート!$M$134:$M$153,$G929,月間集計シート!R$134:R$153)*AW$2</f>
        <v>0</v>
      </c>
      <c r="AX929" s="88">
        <f>SUMIF(月間集計シート!$M$134:$M$153,$G929,月間集計シート!S$134:S$153)*AX$2</f>
        <v>0</v>
      </c>
      <c r="AY929" s="88">
        <f>SUMIF(月間集計シート!$M$134:$M$153,$G929,月間集計シート!T$134:T$153)*AY$2</f>
        <v>0</v>
      </c>
    </row>
    <row r="930" spans="1:51" ht="14.25" thickBot="1">
      <c r="A930">
        <v>11</v>
      </c>
      <c r="B930" s="120">
        <f t="shared" si="470"/>
        <v>0</v>
      </c>
      <c r="C930" s="120" t="str">
        <f t="shared" si="470"/>
        <v/>
      </c>
      <c r="D930" s="137"/>
      <c r="E930" s="150" t="str">
        <f>工種!A72</f>
        <v>90107</v>
      </c>
      <c r="F930" s="119" t="str">
        <f>工種!B72</f>
        <v>管理業務：開発事務作業</v>
      </c>
      <c r="G930" s="116" t="str">
        <f t="shared" si="467"/>
        <v>090107</v>
      </c>
      <c r="H930" s="88">
        <f t="shared" si="469"/>
        <v>0</v>
      </c>
      <c r="I930" s="132"/>
      <c r="J930" s="88">
        <f>SUMIF(月間集計シート!$M$29:$M$48,$G930,月間集計シート!N$29:N$48)*J$2</f>
        <v>0</v>
      </c>
      <c r="K930" s="88">
        <f>SUMIF(月間集計シート!$M$29:$M$48,$G930,月間集計シート!O$29:O$48)*K$2</f>
        <v>0</v>
      </c>
      <c r="L930" s="88">
        <f>SUMIF(月間集計シート!$M$29:$M$48,$G930,月間集計シート!P$29:P$48)*L$2</f>
        <v>0</v>
      </c>
      <c r="M930" s="88">
        <f>SUMIF(月間集計シート!$M$29:$M$48,$G930,月間集計シート!Q$29:Q$48)*M$2</f>
        <v>0</v>
      </c>
      <c r="N930" s="88">
        <f>SUMIF(月間集計シート!$M$29:$M$48,$G930,月間集計シート!R$29:R$48)*N$2</f>
        <v>0</v>
      </c>
      <c r="O930" s="88">
        <f>SUMIF(月間集計シート!$M$29:$M$48,$G930,月間集計シート!S$29:S$48)*O$2</f>
        <v>0</v>
      </c>
      <c r="P930" s="88">
        <f>SUMIF(月間集計シート!$M$29:$M$48,$G930,月間集計シート!T$29:T$48)*P$2</f>
        <v>0</v>
      </c>
      <c r="Q930" s="88">
        <f>SUMIF(月間集計シート!$M$50:$M$69,$G930,月間集計シート!N$50:N$69)*Q$2</f>
        <v>0</v>
      </c>
      <c r="R930" s="88">
        <f>SUMIF(月間集計シート!$M$50:$M$69,$G930,月間集計シート!O$50:O$69)*R$2</f>
        <v>0</v>
      </c>
      <c r="S930" s="88">
        <f>SUMIF(月間集計シート!$M$50:$M$69,$G930,月間集計シート!P$50:P$69)*S$2</f>
        <v>0</v>
      </c>
      <c r="T930" s="88">
        <f>SUMIF(月間集計シート!$M$50:$M$69,$G930,月間集計シート!Q$50:Q$69)*T$2</f>
        <v>0</v>
      </c>
      <c r="U930" s="88">
        <f>SUMIF(月間集計シート!$M$50:$M$69,$G930,月間集計シート!R$50:R$69)*U$2</f>
        <v>0</v>
      </c>
      <c r="V930" s="88">
        <f>SUMIF(月間集計シート!$M$50:$M$69,$G930,月間集計シート!S$50:S$69)*V$2</f>
        <v>0</v>
      </c>
      <c r="W930" s="88">
        <f>SUMIF(月間集計シート!$M$50:$M$69,$G930,月間集計シート!T$50:T$69)*W$2</f>
        <v>0</v>
      </c>
      <c r="X930" s="88">
        <f>SUMIF(月間集計シート!$M$71:$M$90,$G930,月間集計シート!N$71:N$90)*X$2</f>
        <v>0</v>
      </c>
      <c r="Y930" s="88">
        <f>SUMIF(月間集計シート!$M$71:$M$90,$G930,月間集計シート!O$71:O$90)*Y$2</f>
        <v>0</v>
      </c>
      <c r="Z930" s="88">
        <f>SUMIF(月間集計シート!$M$71:$M$90,$G930,月間集計シート!P$71:P$90)*Z$2</f>
        <v>0</v>
      </c>
      <c r="AA930" s="88">
        <f>SUMIF(月間集計シート!$M$71:$M$90,$G930,月間集計シート!Q$71:Q$90)*AA$2</f>
        <v>0</v>
      </c>
      <c r="AB930" s="88">
        <f>SUMIF(月間集計シート!$M$71:$M$90,$G930,月間集計シート!R$71:R$90)*AB$2</f>
        <v>0</v>
      </c>
      <c r="AC930" s="88">
        <f>SUMIF(月間集計シート!$M$71:$M$90,$G930,月間集計シート!S$71:S$90)*AC$2</f>
        <v>0</v>
      </c>
      <c r="AD930" s="88">
        <f>SUMIF(月間集計シート!$M$71:$M$90,$G930,月間集計シート!T$71:T$90)*AD$2</f>
        <v>0</v>
      </c>
      <c r="AE930" s="88">
        <f>SUMIF(月間集計シート!$M$92:$M$111,$G930,月間集計シート!N$92:N$111)*AE$2</f>
        <v>0</v>
      </c>
      <c r="AF930" s="88">
        <f>SUMIF(月間集計シート!$M$92:$M$111,$G930,月間集計シート!O$92:O$111)*AF$2</f>
        <v>0</v>
      </c>
      <c r="AG930" s="88">
        <f>SUMIF(月間集計シート!$M$92:$M$111,$G930,月間集計シート!P$92:P$111)*AG$2</f>
        <v>0</v>
      </c>
      <c r="AH930" s="88">
        <f>SUMIF(月間集計シート!$M$92:$M$111,$G930,月間集計シート!Q$92:Q$111)*AH$2</f>
        <v>0</v>
      </c>
      <c r="AI930" s="88">
        <f>SUMIF(月間集計シート!$M$92:$M$111,$G930,月間集計シート!R$92:R$111)*AI$2</f>
        <v>0</v>
      </c>
      <c r="AJ930" s="88">
        <f>SUMIF(月間集計シート!$M$92:$M$111,$G930,月間集計シート!S$92:S$111)*AJ$2</f>
        <v>0</v>
      </c>
      <c r="AK930" s="88">
        <f>SUMIF(月間集計シート!$M$92:$M$111,$G930,月間集計シート!T$92:T$111)*AK$2</f>
        <v>0</v>
      </c>
      <c r="AL930" s="88">
        <f>SUMIF(月間集計シート!$M$113:$M$132,$G930,月間集計シート!N$113:N$132)*AL$2</f>
        <v>0</v>
      </c>
      <c r="AM930" s="88">
        <f>SUMIF(月間集計シート!$M$113:$M$132,$G930,月間集計シート!O$113:O$132)*AM$2</f>
        <v>0</v>
      </c>
      <c r="AN930" s="88">
        <f>SUMIF(月間集計シート!$M$113:$M$132,$G930,月間集計シート!P$113:P$132)*AN$2</f>
        <v>0</v>
      </c>
      <c r="AO930" s="88">
        <f>SUMIF(月間集計シート!$M$113:$M$132,$G930,月間集計シート!Q$113:Q$132)*AO$2</f>
        <v>0</v>
      </c>
      <c r="AP930" s="88">
        <f>SUMIF(月間集計シート!$M$113:$M$132,$G930,月間集計シート!R$113:R$132)*AP$2</f>
        <v>0</v>
      </c>
      <c r="AQ930" s="88">
        <f>SUMIF(月間集計シート!$M$113:$M$132,$G930,月間集計シート!S$113:S$132)*AQ$2</f>
        <v>0</v>
      </c>
      <c r="AR930" s="88">
        <f>SUMIF(月間集計シート!$M$113:$M$132,$G930,月間集計シート!T$113:T$132)*AR$2</f>
        <v>0</v>
      </c>
      <c r="AS930" s="88">
        <f>SUMIF(月間集計シート!$M$134:$M$153,$G930,月間集計シート!N$134:N$153)*AS$2</f>
        <v>0</v>
      </c>
      <c r="AT930" s="88">
        <f>SUMIF(月間集計シート!$M$134:$M$153,$G930,月間集計シート!O$134:O$153)*AT$2</f>
        <v>0</v>
      </c>
      <c r="AU930" s="88">
        <f>SUMIF(月間集計シート!$M$134:$M$153,$G930,月間集計シート!P$134:P$153)*AU$2</f>
        <v>0</v>
      </c>
      <c r="AV930" s="88">
        <f>SUMIF(月間集計シート!$M$134:$M$153,$G930,月間集計シート!Q$134:Q$153)*AV$2</f>
        <v>0</v>
      </c>
      <c r="AW930" s="88">
        <f>SUMIF(月間集計シート!$M$134:$M$153,$G930,月間集計シート!R$134:R$153)*AW$2</f>
        <v>0</v>
      </c>
      <c r="AX930" s="88">
        <f>SUMIF(月間集計シート!$M$134:$M$153,$G930,月間集計シート!S$134:S$153)*AX$2</f>
        <v>0</v>
      </c>
      <c r="AY930" s="88">
        <f>SUMIF(月間集計シート!$M$134:$M$153,$G930,月間集計シート!T$134:T$153)*AY$2</f>
        <v>0</v>
      </c>
    </row>
    <row r="931" spans="1:51" ht="14.25" thickBot="1">
      <c r="A931">
        <v>11</v>
      </c>
      <c r="B931" s="120">
        <f t="shared" si="470"/>
        <v>0</v>
      </c>
      <c r="C931" s="120" t="str">
        <f t="shared" si="470"/>
        <v/>
      </c>
      <c r="D931" s="137"/>
      <c r="E931" s="150" t="str">
        <f>工種!A73</f>
        <v>90108</v>
      </c>
      <c r="F931" s="119" t="str">
        <f>工種!B73</f>
        <v>管理業務：外部不具合分析</v>
      </c>
      <c r="G931" s="116" t="str">
        <f t="shared" si="467"/>
        <v>090108</v>
      </c>
      <c r="H931" s="88">
        <f t="shared" si="469"/>
        <v>0</v>
      </c>
      <c r="I931" s="132"/>
      <c r="J931" s="88">
        <f>SUMIF(月間集計シート!$M$29:$M$48,$G931,月間集計シート!N$29:N$48)*J$2</f>
        <v>0</v>
      </c>
      <c r="K931" s="88">
        <f>SUMIF(月間集計シート!$M$29:$M$48,$G931,月間集計シート!O$29:O$48)*K$2</f>
        <v>0</v>
      </c>
      <c r="L931" s="88">
        <f>SUMIF(月間集計シート!$M$29:$M$48,$G931,月間集計シート!P$29:P$48)*L$2</f>
        <v>0</v>
      </c>
      <c r="M931" s="88">
        <f>SUMIF(月間集計シート!$M$29:$M$48,$G931,月間集計シート!Q$29:Q$48)*M$2</f>
        <v>0</v>
      </c>
      <c r="N931" s="88">
        <f>SUMIF(月間集計シート!$M$29:$M$48,$G931,月間集計シート!R$29:R$48)*N$2</f>
        <v>0</v>
      </c>
      <c r="O931" s="88">
        <f>SUMIF(月間集計シート!$M$29:$M$48,$G931,月間集計シート!S$29:S$48)*O$2</f>
        <v>0</v>
      </c>
      <c r="P931" s="88">
        <f>SUMIF(月間集計シート!$M$29:$M$48,$G931,月間集計シート!T$29:T$48)*P$2</f>
        <v>0</v>
      </c>
      <c r="Q931" s="88">
        <f>SUMIF(月間集計シート!$M$50:$M$69,$G931,月間集計シート!N$50:N$69)*Q$2</f>
        <v>0</v>
      </c>
      <c r="R931" s="88">
        <f>SUMIF(月間集計シート!$M$50:$M$69,$G931,月間集計シート!O$50:O$69)*R$2</f>
        <v>0</v>
      </c>
      <c r="S931" s="88">
        <f>SUMIF(月間集計シート!$M$50:$M$69,$G931,月間集計シート!P$50:P$69)*S$2</f>
        <v>0</v>
      </c>
      <c r="T931" s="88">
        <f>SUMIF(月間集計シート!$M$50:$M$69,$G931,月間集計シート!Q$50:Q$69)*T$2</f>
        <v>0</v>
      </c>
      <c r="U931" s="88">
        <f>SUMIF(月間集計シート!$M$50:$M$69,$G931,月間集計シート!R$50:R$69)*U$2</f>
        <v>0</v>
      </c>
      <c r="V931" s="88">
        <f>SUMIF(月間集計シート!$M$50:$M$69,$G931,月間集計シート!S$50:S$69)*V$2</f>
        <v>0</v>
      </c>
      <c r="W931" s="88">
        <f>SUMIF(月間集計シート!$M$50:$M$69,$G931,月間集計シート!T$50:T$69)*W$2</f>
        <v>0</v>
      </c>
      <c r="X931" s="88">
        <f>SUMIF(月間集計シート!$M$71:$M$90,$G931,月間集計シート!N$71:N$90)*X$2</f>
        <v>0</v>
      </c>
      <c r="Y931" s="88">
        <f>SUMIF(月間集計シート!$M$71:$M$90,$G931,月間集計シート!O$71:O$90)*Y$2</f>
        <v>0</v>
      </c>
      <c r="Z931" s="88">
        <f>SUMIF(月間集計シート!$M$71:$M$90,$G931,月間集計シート!P$71:P$90)*Z$2</f>
        <v>0</v>
      </c>
      <c r="AA931" s="88">
        <f>SUMIF(月間集計シート!$M$71:$M$90,$G931,月間集計シート!Q$71:Q$90)*AA$2</f>
        <v>0</v>
      </c>
      <c r="AB931" s="88">
        <f>SUMIF(月間集計シート!$M$71:$M$90,$G931,月間集計シート!R$71:R$90)*AB$2</f>
        <v>0</v>
      </c>
      <c r="AC931" s="88">
        <f>SUMIF(月間集計シート!$M$71:$M$90,$G931,月間集計シート!S$71:S$90)*AC$2</f>
        <v>0</v>
      </c>
      <c r="AD931" s="88">
        <f>SUMIF(月間集計シート!$M$71:$M$90,$G931,月間集計シート!T$71:T$90)*AD$2</f>
        <v>0</v>
      </c>
      <c r="AE931" s="88">
        <f>SUMIF(月間集計シート!$M$92:$M$111,$G931,月間集計シート!N$92:N$111)*AE$2</f>
        <v>0</v>
      </c>
      <c r="AF931" s="88">
        <f>SUMIF(月間集計シート!$M$92:$M$111,$G931,月間集計シート!O$92:O$111)*AF$2</f>
        <v>0</v>
      </c>
      <c r="AG931" s="88">
        <f>SUMIF(月間集計シート!$M$92:$M$111,$G931,月間集計シート!P$92:P$111)*AG$2</f>
        <v>0</v>
      </c>
      <c r="AH931" s="88">
        <f>SUMIF(月間集計シート!$M$92:$M$111,$G931,月間集計シート!Q$92:Q$111)*AH$2</f>
        <v>0</v>
      </c>
      <c r="AI931" s="88">
        <f>SUMIF(月間集計シート!$M$92:$M$111,$G931,月間集計シート!R$92:R$111)*AI$2</f>
        <v>0</v>
      </c>
      <c r="AJ931" s="88">
        <f>SUMIF(月間集計シート!$M$92:$M$111,$G931,月間集計シート!S$92:S$111)*AJ$2</f>
        <v>0</v>
      </c>
      <c r="AK931" s="88">
        <f>SUMIF(月間集計シート!$M$92:$M$111,$G931,月間集計シート!T$92:T$111)*AK$2</f>
        <v>0</v>
      </c>
      <c r="AL931" s="88">
        <f>SUMIF(月間集計シート!$M$113:$M$132,$G931,月間集計シート!N$113:N$132)*AL$2</f>
        <v>0</v>
      </c>
      <c r="AM931" s="88">
        <f>SUMIF(月間集計シート!$M$113:$M$132,$G931,月間集計シート!O$113:O$132)*AM$2</f>
        <v>0</v>
      </c>
      <c r="AN931" s="88">
        <f>SUMIF(月間集計シート!$M$113:$M$132,$G931,月間集計シート!P$113:P$132)*AN$2</f>
        <v>0</v>
      </c>
      <c r="AO931" s="88">
        <f>SUMIF(月間集計シート!$M$113:$M$132,$G931,月間集計シート!Q$113:Q$132)*AO$2</f>
        <v>0</v>
      </c>
      <c r="AP931" s="88">
        <f>SUMIF(月間集計シート!$M$113:$M$132,$G931,月間集計シート!R$113:R$132)*AP$2</f>
        <v>0</v>
      </c>
      <c r="AQ931" s="88">
        <f>SUMIF(月間集計シート!$M$113:$M$132,$G931,月間集計シート!S$113:S$132)*AQ$2</f>
        <v>0</v>
      </c>
      <c r="AR931" s="88">
        <f>SUMIF(月間集計シート!$M$113:$M$132,$G931,月間集計シート!T$113:T$132)*AR$2</f>
        <v>0</v>
      </c>
      <c r="AS931" s="88">
        <f>SUMIF(月間集計シート!$M$134:$M$153,$G931,月間集計シート!N$134:N$153)*AS$2</f>
        <v>0</v>
      </c>
      <c r="AT931" s="88">
        <f>SUMIF(月間集計シート!$M$134:$M$153,$G931,月間集計シート!O$134:O$153)*AT$2</f>
        <v>0</v>
      </c>
      <c r="AU931" s="88">
        <f>SUMIF(月間集計シート!$M$134:$M$153,$G931,月間集計シート!P$134:P$153)*AU$2</f>
        <v>0</v>
      </c>
      <c r="AV931" s="88">
        <f>SUMIF(月間集計シート!$M$134:$M$153,$G931,月間集計シート!Q$134:Q$153)*AV$2</f>
        <v>0</v>
      </c>
      <c r="AW931" s="88">
        <f>SUMIF(月間集計シート!$M$134:$M$153,$G931,月間集計シート!R$134:R$153)*AW$2</f>
        <v>0</v>
      </c>
      <c r="AX931" s="88">
        <f>SUMIF(月間集計シート!$M$134:$M$153,$G931,月間集計シート!S$134:S$153)*AX$2</f>
        <v>0</v>
      </c>
      <c r="AY931" s="88">
        <f>SUMIF(月間集計シート!$M$134:$M$153,$G931,月間集計シート!T$134:T$153)*AY$2</f>
        <v>0</v>
      </c>
    </row>
    <row r="932" spans="1:51" ht="14.25" thickBot="1">
      <c r="A932">
        <v>11</v>
      </c>
      <c r="B932" s="120">
        <f t="shared" si="470"/>
        <v>0</v>
      </c>
      <c r="C932" s="120" t="str">
        <f t="shared" si="470"/>
        <v/>
      </c>
      <c r="D932" s="137"/>
      <c r="E932" s="150" t="str">
        <f>工種!A74</f>
        <v>90110</v>
      </c>
      <c r="F932" s="119" t="str">
        <f>工種!B74</f>
        <v>管理業務：打合せ</v>
      </c>
      <c r="G932" s="116" t="str">
        <f t="shared" si="467"/>
        <v>090110</v>
      </c>
      <c r="H932" s="88">
        <f t="shared" si="469"/>
        <v>0</v>
      </c>
      <c r="I932" s="132"/>
      <c r="J932" s="88">
        <f>SUMIF(月間集計シート!$M$29:$M$48,$G932,月間集計シート!N$29:N$48)*J$2</f>
        <v>0</v>
      </c>
      <c r="K932" s="88">
        <f>SUMIF(月間集計シート!$M$29:$M$48,$G932,月間集計シート!O$29:O$48)*K$2</f>
        <v>0</v>
      </c>
      <c r="L932" s="88">
        <f>SUMIF(月間集計シート!$M$29:$M$48,$G932,月間集計シート!P$29:P$48)*L$2</f>
        <v>0</v>
      </c>
      <c r="M932" s="88">
        <f>SUMIF(月間集計シート!$M$29:$M$48,$G932,月間集計シート!Q$29:Q$48)*M$2</f>
        <v>0</v>
      </c>
      <c r="N932" s="88">
        <f>SUMIF(月間集計シート!$M$29:$M$48,$G932,月間集計シート!R$29:R$48)*N$2</f>
        <v>0</v>
      </c>
      <c r="O932" s="88">
        <f>SUMIF(月間集計シート!$M$29:$M$48,$G932,月間集計シート!S$29:S$48)*O$2</f>
        <v>0</v>
      </c>
      <c r="P932" s="88">
        <f>SUMIF(月間集計シート!$M$29:$M$48,$G932,月間集計シート!T$29:T$48)*P$2</f>
        <v>0</v>
      </c>
      <c r="Q932" s="88">
        <f>SUMIF(月間集計シート!$M$50:$M$69,$G932,月間集計シート!N$50:N$69)*Q$2</f>
        <v>0</v>
      </c>
      <c r="R932" s="88">
        <f>SUMIF(月間集計シート!$M$50:$M$69,$G932,月間集計シート!O$50:O$69)*R$2</f>
        <v>0</v>
      </c>
      <c r="S932" s="88">
        <f>SUMIF(月間集計シート!$M$50:$M$69,$G932,月間集計シート!P$50:P$69)*S$2</f>
        <v>0</v>
      </c>
      <c r="T932" s="88">
        <f>SUMIF(月間集計シート!$M$50:$M$69,$G932,月間集計シート!Q$50:Q$69)*T$2</f>
        <v>0</v>
      </c>
      <c r="U932" s="88">
        <f>SUMIF(月間集計シート!$M$50:$M$69,$G932,月間集計シート!R$50:R$69)*U$2</f>
        <v>0</v>
      </c>
      <c r="V932" s="88">
        <f>SUMIF(月間集計シート!$M$50:$M$69,$G932,月間集計シート!S$50:S$69)*V$2</f>
        <v>0</v>
      </c>
      <c r="W932" s="88">
        <f>SUMIF(月間集計シート!$M$50:$M$69,$G932,月間集計シート!T$50:T$69)*W$2</f>
        <v>0</v>
      </c>
      <c r="X932" s="88">
        <f>SUMIF(月間集計シート!$M$71:$M$90,$G932,月間集計シート!N$71:N$90)*X$2</f>
        <v>0</v>
      </c>
      <c r="Y932" s="88">
        <f>SUMIF(月間集計シート!$M$71:$M$90,$G932,月間集計シート!O$71:O$90)*Y$2</f>
        <v>0</v>
      </c>
      <c r="Z932" s="88">
        <f>SUMIF(月間集計シート!$M$71:$M$90,$G932,月間集計シート!P$71:P$90)*Z$2</f>
        <v>0</v>
      </c>
      <c r="AA932" s="88">
        <f>SUMIF(月間集計シート!$M$71:$M$90,$G932,月間集計シート!Q$71:Q$90)*AA$2</f>
        <v>0</v>
      </c>
      <c r="AB932" s="88">
        <f>SUMIF(月間集計シート!$M$71:$M$90,$G932,月間集計シート!R$71:R$90)*AB$2</f>
        <v>0</v>
      </c>
      <c r="AC932" s="88">
        <f>SUMIF(月間集計シート!$M$71:$M$90,$G932,月間集計シート!S$71:S$90)*AC$2</f>
        <v>0</v>
      </c>
      <c r="AD932" s="88">
        <f>SUMIF(月間集計シート!$M$71:$M$90,$G932,月間集計シート!T$71:T$90)*AD$2</f>
        <v>0</v>
      </c>
      <c r="AE932" s="88">
        <f>SUMIF(月間集計シート!$M$92:$M$111,$G932,月間集計シート!N$92:N$111)*AE$2</f>
        <v>0</v>
      </c>
      <c r="AF932" s="88">
        <f>SUMIF(月間集計シート!$M$92:$M$111,$G932,月間集計シート!O$92:O$111)*AF$2</f>
        <v>0</v>
      </c>
      <c r="AG932" s="88">
        <f>SUMIF(月間集計シート!$M$92:$M$111,$G932,月間集計シート!P$92:P$111)*AG$2</f>
        <v>0</v>
      </c>
      <c r="AH932" s="88">
        <f>SUMIF(月間集計シート!$M$92:$M$111,$G932,月間集計シート!Q$92:Q$111)*AH$2</f>
        <v>0</v>
      </c>
      <c r="AI932" s="88">
        <f>SUMIF(月間集計シート!$M$92:$M$111,$G932,月間集計シート!R$92:R$111)*AI$2</f>
        <v>0</v>
      </c>
      <c r="AJ932" s="88">
        <f>SUMIF(月間集計シート!$M$92:$M$111,$G932,月間集計シート!S$92:S$111)*AJ$2</f>
        <v>0</v>
      </c>
      <c r="AK932" s="88">
        <f>SUMIF(月間集計シート!$M$92:$M$111,$G932,月間集計シート!T$92:T$111)*AK$2</f>
        <v>0</v>
      </c>
      <c r="AL932" s="88">
        <f>SUMIF(月間集計シート!$M$113:$M$132,$G932,月間集計シート!N$113:N$132)*AL$2</f>
        <v>0</v>
      </c>
      <c r="AM932" s="88">
        <f>SUMIF(月間集計シート!$M$113:$M$132,$G932,月間集計シート!O$113:O$132)*AM$2</f>
        <v>0</v>
      </c>
      <c r="AN932" s="88">
        <f>SUMIF(月間集計シート!$M$113:$M$132,$G932,月間集計シート!P$113:P$132)*AN$2</f>
        <v>0</v>
      </c>
      <c r="AO932" s="88">
        <f>SUMIF(月間集計シート!$M$113:$M$132,$G932,月間集計シート!Q$113:Q$132)*AO$2</f>
        <v>0</v>
      </c>
      <c r="AP932" s="88">
        <f>SUMIF(月間集計シート!$M$113:$M$132,$G932,月間集計シート!R$113:R$132)*AP$2</f>
        <v>0</v>
      </c>
      <c r="AQ932" s="88">
        <f>SUMIF(月間集計シート!$M$113:$M$132,$G932,月間集計シート!S$113:S$132)*AQ$2</f>
        <v>0</v>
      </c>
      <c r="AR932" s="88">
        <f>SUMIF(月間集計シート!$M$113:$M$132,$G932,月間集計シート!T$113:T$132)*AR$2</f>
        <v>0</v>
      </c>
      <c r="AS932" s="88">
        <f>SUMIF(月間集計シート!$M$134:$M$153,$G932,月間集計シート!N$134:N$153)*AS$2</f>
        <v>0</v>
      </c>
      <c r="AT932" s="88">
        <f>SUMIF(月間集計シート!$M$134:$M$153,$G932,月間集計シート!O$134:O$153)*AT$2</f>
        <v>0</v>
      </c>
      <c r="AU932" s="88">
        <f>SUMIF(月間集計シート!$M$134:$M$153,$G932,月間集計シート!P$134:P$153)*AU$2</f>
        <v>0</v>
      </c>
      <c r="AV932" s="88">
        <f>SUMIF(月間集計シート!$M$134:$M$153,$G932,月間集計シート!Q$134:Q$153)*AV$2</f>
        <v>0</v>
      </c>
      <c r="AW932" s="88">
        <f>SUMIF(月間集計シート!$M$134:$M$153,$G932,月間集計シート!R$134:R$153)*AW$2</f>
        <v>0</v>
      </c>
      <c r="AX932" s="88">
        <f>SUMIF(月間集計シート!$M$134:$M$153,$G932,月間集計シート!S$134:S$153)*AX$2</f>
        <v>0</v>
      </c>
      <c r="AY932" s="88">
        <f>SUMIF(月間集計シート!$M$134:$M$153,$G932,月間集計シート!T$134:T$153)*AY$2</f>
        <v>0</v>
      </c>
    </row>
    <row r="933" spans="1:51" ht="14.25" thickBot="1">
      <c r="A933">
        <v>11</v>
      </c>
      <c r="B933" s="120">
        <f t="shared" si="470"/>
        <v>0</v>
      </c>
      <c r="C933" s="120" t="str">
        <f t="shared" si="470"/>
        <v/>
      </c>
      <c r="D933" s="137"/>
      <c r="E933" s="150" t="str">
        <f>工種!A75</f>
        <v>90111</v>
      </c>
      <c r="F933" s="119" t="str">
        <f>工種!B75</f>
        <v>管理業務：レビュー</v>
      </c>
      <c r="G933" s="116" t="str">
        <f t="shared" si="467"/>
        <v>090111</v>
      </c>
      <c r="H933" s="88">
        <f t="shared" si="469"/>
        <v>0</v>
      </c>
      <c r="I933" s="132"/>
      <c r="J933" s="88">
        <f>SUMIF(月間集計シート!$M$29:$M$48,$G933,月間集計シート!N$29:N$48)*J$2</f>
        <v>0</v>
      </c>
      <c r="K933" s="88">
        <f>SUMIF(月間集計シート!$M$29:$M$48,$G933,月間集計シート!O$29:O$48)*K$2</f>
        <v>0</v>
      </c>
      <c r="L933" s="88">
        <f>SUMIF(月間集計シート!$M$29:$M$48,$G933,月間集計シート!P$29:P$48)*L$2</f>
        <v>0</v>
      </c>
      <c r="M933" s="88">
        <f>SUMIF(月間集計シート!$M$29:$M$48,$G933,月間集計シート!Q$29:Q$48)*M$2</f>
        <v>0</v>
      </c>
      <c r="N933" s="88">
        <f>SUMIF(月間集計シート!$M$29:$M$48,$G933,月間集計シート!R$29:R$48)*N$2</f>
        <v>0</v>
      </c>
      <c r="O933" s="88">
        <f>SUMIF(月間集計シート!$M$29:$M$48,$G933,月間集計シート!S$29:S$48)*O$2</f>
        <v>0</v>
      </c>
      <c r="P933" s="88">
        <f>SUMIF(月間集計シート!$M$29:$M$48,$G933,月間集計シート!T$29:T$48)*P$2</f>
        <v>0</v>
      </c>
      <c r="Q933" s="88">
        <f>SUMIF(月間集計シート!$M$50:$M$69,$G933,月間集計シート!N$50:N$69)*Q$2</f>
        <v>0</v>
      </c>
      <c r="R933" s="88">
        <f>SUMIF(月間集計シート!$M$50:$M$69,$G933,月間集計シート!O$50:O$69)*R$2</f>
        <v>0</v>
      </c>
      <c r="S933" s="88">
        <f>SUMIF(月間集計シート!$M$50:$M$69,$G933,月間集計シート!P$50:P$69)*S$2</f>
        <v>0</v>
      </c>
      <c r="T933" s="88">
        <f>SUMIF(月間集計シート!$M$50:$M$69,$G933,月間集計シート!Q$50:Q$69)*T$2</f>
        <v>0</v>
      </c>
      <c r="U933" s="88">
        <f>SUMIF(月間集計シート!$M$50:$M$69,$G933,月間集計シート!R$50:R$69)*U$2</f>
        <v>0</v>
      </c>
      <c r="V933" s="88">
        <f>SUMIF(月間集計シート!$M$50:$M$69,$G933,月間集計シート!S$50:S$69)*V$2</f>
        <v>0</v>
      </c>
      <c r="W933" s="88">
        <f>SUMIF(月間集計シート!$M$50:$M$69,$G933,月間集計シート!T$50:T$69)*W$2</f>
        <v>0</v>
      </c>
      <c r="X933" s="88">
        <f>SUMIF(月間集計シート!$M$71:$M$90,$G933,月間集計シート!N$71:N$90)*X$2</f>
        <v>0</v>
      </c>
      <c r="Y933" s="88">
        <f>SUMIF(月間集計シート!$M$71:$M$90,$G933,月間集計シート!O$71:O$90)*Y$2</f>
        <v>0</v>
      </c>
      <c r="Z933" s="88">
        <f>SUMIF(月間集計シート!$M$71:$M$90,$G933,月間集計シート!P$71:P$90)*Z$2</f>
        <v>0</v>
      </c>
      <c r="AA933" s="88">
        <f>SUMIF(月間集計シート!$M$71:$M$90,$G933,月間集計シート!Q$71:Q$90)*AA$2</f>
        <v>0</v>
      </c>
      <c r="AB933" s="88">
        <f>SUMIF(月間集計シート!$M$71:$M$90,$G933,月間集計シート!R$71:R$90)*AB$2</f>
        <v>0</v>
      </c>
      <c r="AC933" s="88">
        <f>SUMIF(月間集計シート!$M$71:$M$90,$G933,月間集計シート!S$71:S$90)*AC$2</f>
        <v>0</v>
      </c>
      <c r="AD933" s="88">
        <f>SUMIF(月間集計シート!$M$71:$M$90,$G933,月間集計シート!T$71:T$90)*AD$2</f>
        <v>0</v>
      </c>
      <c r="AE933" s="88">
        <f>SUMIF(月間集計シート!$M$92:$M$111,$G933,月間集計シート!N$92:N$111)*AE$2</f>
        <v>0</v>
      </c>
      <c r="AF933" s="88">
        <f>SUMIF(月間集計シート!$M$92:$M$111,$G933,月間集計シート!O$92:O$111)*AF$2</f>
        <v>0</v>
      </c>
      <c r="AG933" s="88">
        <f>SUMIF(月間集計シート!$M$92:$M$111,$G933,月間集計シート!P$92:P$111)*AG$2</f>
        <v>0</v>
      </c>
      <c r="AH933" s="88">
        <f>SUMIF(月間集計シート!$M$92:$M$111,$G933,月間集計シート!Q$92:Q$111)*AH$2</f>
        <v>0</v>
      </c>
      <c r="AI933" s="88">
        <f>SUMIF(月間集計シート!$M$92:$M$111,$G933,月間集計シート!R$92:R$111)*AI$2</f>
        <v>0</v>
      </c>
      <c r="AJ933" s="88">
        <f>SUMIF(月間集計シート!$M$92:$M$111,$G933,月間集計シート!S$92:S$111)*AJ$2</f>
        <v>0</v>
      </c>
      <c r="AK933" s="88">
        <f>SUMIF(月間集計シート!$M$92:$M$111,$G933,月間集計シート!T$92:T$111)*AK$2</f>
        <v>0</v>
      </c>
      <c r="AL933" s="88">
        <f>SUMIF(月間集計シート!$M$113:$M$132,$G933,月間集計シート!N$113:N$132)*AL$2</f>
        <v>0</v>
      </c>
      <c r="AM933" s="88">
        <f>SUMIF(月間集計シート!$M$113:$M$132,$G933,月間集計シート!O$113:O$132)*AM$2</f>
        <v>0</v>
      </c>
      <c r="AN933" s="88">
        <f>SUMIF(月間集計シート!$M$113:$M$132,$G933,月間集計シート!P$113:P$132)*AN$2</f>
        <v>0</v>
      </c>
      <c r="AO933" s="88">
        <f>SUMIF(月間集計シート!$M$113:$M$132,$G933,月間集計シート!Q$113:Q$132)*AO$2</f>
        <v>0</v>
      </c>
      <c r="AP933" s="88">
        <f>SUMIF(月間集計シート!$M$113:$M$132,$G933,月間集計シート!R$113:R$132)*AP$2</f>
        <v>0</v>
      </c>
      <c r="AQ933" s="88">
        <f>SUMIF(月間集計シート!$M$113:$M$132,$G933,月間集計シート!S$113:S$132)*AQ$2</f>
        <v>0</v>
      </c>
      <c r="AR933" s="88">
        <f>SUMIF(月間集計シート!$M$113:$M$132,$G933,月間集計シート!T$113:T$132)*AR$2</f>
        <v>0</v>
      </c>
      <c r="AS933" s="88">
        <f>SUMIF(月間集計シート!$M$134:$M$153,$G933,月間集計シート!N$134:N$153)*AS$2</f>
        <v>0</v>
      </c>
      <c r="AT933" s="88">
        <f>SUMIF(月間集計シート!$M$134:$M$153,$G933,月間集計シート!O$134:O$153)*AT$2</f>
        <v>0</v>
      </c>
      <c r="AU933" s="88">
        <f>SUMIF(月間集計シート!$M$134:$M$153,$G933,月間集計シート!P$134:P$153)*AU$2</f>
        <v>0</v>
      </c>
      <c r="AV933" s="88">
        <f>SUMIF(月間集計シート!$M$134:$M$153,$G933,月間集計シート!Q$134:Q$153)*AV$2</f>
        <v>0</v>
      </c>
      <c r="AW933" s="88">
        <f>SUMIF(月間集計シート!$M$134:$M$153,$G933,月間集計シート!R$134:R$153)*AW$2</f>
        <v>0</v>
      </c>
      <c r="AX933" s="88">
        <f>SUMIF(月間集計シート!$M$134:$M$153,$G933,月間集計シート!S$134:S$153)*AX$2</f>
        <v>0</v>
      </c>
      <c r="AY933" s="88">
        <f>SUMIF(月間集計シート!$M$134:$M$153,$G933,月間集計シート!T$134:T$153)*AY$2</f>
        <v>0</v>
      </c>
    </row>
    <row r="934" spans="1:51" ht="14.25" thickBot="1">
      <c r="A934">
        <v>11</v>
      </c>
      <c r="B934" s="120">
        <f t="shared" si="470"/>
        <v>0</v>
      </c>
      <c r="C934" s="120" t="str">
        <f t="shared" si="470"/>
        <v/>
      </c>
      <c r="D934" s="137"/>
      <c r="E934" s="150" t="str">
        <f>工種!A76</f>
        <v>90199</v>
      </c>
      <c r="F934" s="119" t="str">
        <f>工種!B76</f>
        <v>管理業務：その他</v>
      </c>
      <c r="G934" s="116" t="str">
        <f t="shared" si="467"/>
        <v>090199</v>
      </c>
      <c r="H934" s="88">
        <f t="shared" si="469"/>
        <v>0</v>
      </c>
      <c r="I934" s="132"/>
      <c r="J934" s="88">
        <f>SUMIF(月間集計シート!$M$29:$M$48,$G934,月間集計シート!N$29:N$48)*J$2</f>
        <v>0</v>
      </c>
      <c r="K934" s="88">
        <f>SUMIF(月間集計シート!$M$29:$M$48,$G934,月間集計シート!O$29:O$48)*K$2</f>
        <v>0</v>
      </c>
      <c r="L934" s="88">
        <f>SUMIF(月間集計シート!$M$29:$M$48,$G934,月間集計シート!P$29:P$48)*L$2</f>
        <v>0</v>
      </c>
      <c r="M934" s="88">
        <f>SUMIF(月間集計シート!$M$29:$M$48,$G934,月間集計シート!Q$29:Q$48)*M$2</f>
        <v>0</v>
      </c>
      <c r="N934" s="88">
        <f>SUMIF(月間集計シート!$M$29:$M$48,$G934,月間集計シート!R$29:R$48)*N$2</f>
        <v>0</v>
      </c>
      <c r="O934" s="88">
        <f>SUMIF(月間集計シート!$M$29:$M$48,$G934,月間集計シート!S$29:S$48)*O$2</f>
        <v>0</v>
      </c>
      <c r="P934" s="88">
        <f>SUMIF(月間集計シート!$M$29:$M$48,$G934,月間集計シート!T$29:T$48)*P$2</f>
        <v>0</v>
      </c>
      <c r="Q934" s="88">
        <f>SUMIF(月間集計シート!$M$50:$M$69,$G934,月間集計シート!N$50:N$69)*Q$2</f>
        <v>0</v>
      </c>
      <c r="R934" s="88">
        <f>SUMIF(月間集計シート!$M$50:$M$69,$G934,月間集計シート!O$50:O$69)*R$2</f>
        <v>0</v>
      </c>
      <c r="S934" s="88">
        <f>SUMIF(月間集計シート!$M$50:$M$69,$G934,月間集計シート!P$50:P$69)*S$2</f>
        <v>0</v>
      </c>
      <c r="T934" s="88">
        <f>SUMIF(月間集計シート!$M$50:$M$69,$G934,月間集計シート!Q$50:Q$69)*T$2</f>
        <v>0</v>
      </c>
      <c r="U934" s="88">
        <f>SUMIF(月間集計シート!$M$50:$M$69,$G934,月間集計シート!R$50:R$69)*U$2</f>
        <v>0</v>
      </c>
      <c r="V934" s="88">
        <f>SUMIF(月間集計シート!$M$50:$M$69,$G934,月間集計シート!S$50:S$69)*V$2</f>
        <v>0</v>
      </c>
      <c r="W934" s="88">
        <f>SUMIF(月間集計シート!$M$50:$M$69,$G934,月間集計シート!T$50:T$69)*W$2</f>
        <v>0</v>
      </c>
      <c r="X934" s="88">
        <f>SUMIF(月間集計シート!$M$71:$M$90,$G934,月間集計シート!N$71:N$90)*X$2</f>
        <v>0</v>
      </c>
      <c r="Y934" s="88">
        <f>SUMIF(月間集計シート!$M$71:$M$90,$G934,月間集計シート!O$71:O$90)*Y$2</f>
        <v>0</v>
      </c>
      <c r="Z934" s="88">
        <f>SUMIF(月間集計シート!$M$71:$M$90,$G934,月間集計シート!P$71:P$90)*Z$2</f>
        <v>0</v>
      </c>
      <c r="AA934" s="88">
        <f>SUMIF(月間集計シート!$M$71:$M$90,$G934,月間集計シート!Q$71:Q$90)*AA$2</f>
        <v>0</v>
      </c>
      <c r="AB934" s="88">
        <f>SUMIF(月間集計シート!$M$71:$M$90,$G934,月間集計シート!R$71:R$90)*AB$2</f>
        <v>0</v>
      </c>
      <c r="AC934" s="88">
        <f>SUMIF(月間集計シート!$M$71:$M$90,$G934,月間集計シート!S$71:S$90)*AC$2</f>
        <v>0</v>
      </c>
      <c r="AD934" s="88">
        <f>SUMIF(月間集計シート!$M$71:$M$90,$G934,月間集計シート!T$71:T$90)*AD$2</f>
        <v>0</v>
      </c>
      <c r="AE934" s="88">
        <f>SUMIF(月間集計シート!$M$92:$M$111,$G934,月間集計シート!N$92:N$111)*AE$2</f>
        <v>0</v>
      </c>
      <c r="AF934" s="88">
        <f>SUMIF(月間集計シート!$M$92:$M$111,$G934,月間集計シート!O$92:O$111)*AF$2</f>
        <v>0</v>
      </c>
      <c r="AG934" s="88">
        <f>SUMIF(月間集計シート!$M$92:$M$111,$G934,月間集計シート!P$92:P$111)*AG$2</f>
        <v>0</v>
      </c>
      <c r="AH934" s="88">
        <f>SUMIF(月間集計シート!$M$92:$M$111,$G934,月間集計シート!Q$92:Q$111)*AH$2</f>
        <v>0</v>
      </c>
      <c r="AI934" s="88">
        <f>SUMIF(月間集計シート!$M$92:$M$111,$G934,月間集計シート!R$92:R$111)*AI$2</f>
        <v>0</v>
      </c>
      <c r="AJ934" s="88">
        <f>SUMIF(月間集計シート!$M$92:$M$111,$G934,月間集計シート!S$92:S$111)*AJ$2</f>
        <v>0</v>
      </c>
      <c r="AK934" s="88">
        <f>SUMIF(月間集計シート!$M$92:$M$111,$G934,月間集計シート!T$92:T$111)*AK$2</f>
        <v>0</v>
      </c>
      <c r="AL934" s="88">
        <f>SUMIF(月間集計シート!$M$113:$M$132,$G934,月間集計シート!N$113:N$132)*AL$2</f>
        <v>0</v>
      </c>
      <c r="AM934" s="88">
        <f>SUMIF(月間集計シート!$M$113:$M$132,$G934,月間集計シート!O$113:O$132)*AM$2</f>
        <v>0</v>
      </c>
      <c r="AN934" s="88">
        <f>SUMIF(月間集計シート!$M$113:$M$132,$G934,月間集計シート!P$113:P$132)*AN$2</f>
        <v>0</v>
      </c>
      <c r="AO934" s="88">
        <f>SUMIF(月間集計シート!$M$113:$M$132,$G934,月間集計シート!Q$113:Q$132)*AO$2</f>
        <v>0</v>
      </c>
      <c r="AP934" s="88">
        <f>SUMIF(月間集計シート!$M$113:$M$132,$G934,月間集計シート!R$113:R$132)*AP$2</f>
        <v>0</v>
      </c>
      <c r="AQ934" s="88">
        <f>SUMIF(月間集計シート!$M$113:$M$132,$G934,月間集計シート!S$113:S$132)*AQ$2</f>
        <v>0</v>
      </c>
      <c r="AR934" s="88">
        <f>SUMIF(月間集計シート!$M$113:$M$132,$G934,月間集計シート!T$113:T$132)*AR$2</f>
        <v>0</v>
      </c>
      <c r="AS934" s="88">
        <f>SUMIF(月間集計シート!$M$134:$M$153,$G934,月間集計シート!N$134:N$153)*AS$2</f>
        <v>0</v>
      </c>
      <c r="AT934" s="88">
        <f>SUMIF(月間集計シート!$M$134:$M$153,$G934,月間集計シート!O$134:O$153)*AT$2</f>
        <v>0</v>
      </c>
      <c r="AU934" s="88">
        <f>SUMIF(月間集計シート!$M$134:$M$153,$G934,月間集計シート!P$134:P$153)*AU$2</f>
        <v>0</v>
      </c>
      <c r="AV934" s="88">
        <f>SUMIF(月間集計シート!$M$134:$M$153,$G934,月間集計シート!Q$134:Q$153)*AV$2</f>
        <v>0</v>
      </c>
      <c r="AW934" s="88">
        <f>SUMIF(月間集計シート!$M$134:$M$153,$G934,月間集計シート!R$134:R$153)*AW$2</f>
        <v>0</v>
      </c>
      <c r="AX934" s="88">
        <f>SUMIF(月間集計シート!$M$134:$M$153,$G934,月間集計シート!S$134:S$153)*AX$2</f>
        <v>0</v>
      </c>
      <c r="AY934" s="88">
        <f>SUMIF(月間集計シート!$M$134:$M$153,$G934,月間集計シート!T$134:T$153)*AY$2</f>
        <v>0</v>
      </c>
    </row>
    <row r="935" spans="1:51" ht="14.25" thickBot="1">
      <c r="A935">
        <v>11</v>
      </c>
      <c r="B935" s="120">
        <f t="shared" si="470"/>
        <v>0</v>
      </c>
      <c r="C935" s="120" t="str">
        <f t="shared" si="470"/>
        <v/>
      </c>
      <c r="D935" s="137"/>
      <c r="E935" s="150">
        <f>工種!A77</f>
        <v>99102</v>
      </c>
      <c r="F935" s="119" t="str">
        <f>工種!B77</f>
        <v>間接業務：業務環境管理（PCｾｯﾄｱｯﾌﾟ等）</v>
      </c>
      <c r="G935" s="116" t="str">
        <f t="shared" si="467"/>
        <v>099102</v>
      </c>
      <c r="H935" s="88">
        <f t="shared" si="469"/>
        <v>0</v>
      </c>
      <c r="I935" s="132"/>
      <c r="J935" s="88">
        <f>SUMIF(月間集計シート!$M$29:$M$48,$G935,月間集計シート!N$29:N$48)*J$2</f>
        <v>0</v>
      </c>
      <c r="K935" s="88">
        <f>SUMIF(月間集計シート!$M$29:$M$48,$G935,月間集計シート!O$29:O$48)*K$2</f>
        <v>0</v>
      </c>
      <c r="L935" s="88">
        <f>SUMIF(月間集計シート!$M$29:$M$48,$G935,月間集計シート!P$29:P$48)*L$2</f>
        <v>0</v>
      </c>
      <c r="M935" s="88">
        <f>SUMIF(月間集計シート!$M$29:$M$48,$G935,月間集計シート!Q$29:Q$48)*M$2</f>
        <v>0</v>
      </c>
      <c r="N935" s="88">
        <f>SUMIF(月間集計シート!$M$29:$M$48,$G935,月間集計シート!R$29:R$48)*N$2</f>
        <v>0</v>
      </c>
      <c r="O935" s="88">
        <f>SUMIF(月間集計シート!$M$29:$M$48,$G935,月間集計シート!S$29:S$48)*O$2</f>
        <v>0</v>
      </c>
      <c r="P935" s="88">
        <f>SUMIF(月間集計シート!$M$29:$M$48,$G935,月間集計シート!T$29:T$48)*P$2</f>
        <v>0</v>
      </c>
      <c r="Q935" s="88">
        <f>SUMIF(月間集計シート!$M$50:$M$69,$G935,月間集計シート!N$50:N$69)*Q$2</f>
        <v>0</v>
      </c>
      <c r="R935" s="88">
        <f>SUMIF(月間集計シート!$M$50:$M$69,$G935,月間集計シート!O$50:O$69)*R$2</f>
        <v>0</v>
      </c>
      <c r="S935" s="88">
        <f>SUMIF(月間集計シート!$M$50:$M$69,$G935,月間集計シート!P$50:P$69)*S$2</f>
        <v>0</v>
      </c>
      <c r="T935" s="88">
        <f>SUMIF(月間集計シート!$M$50:$M$69,$G935,月間集計シート!Q$50:Q$69)*T$2</f>
        <v>0</v>
      </c>
      <c r="U935" s="88">
        <f>SUMIF(月間集計シート!$M$50:$M$69,$G935,月間集計シート!R$50:R$69)*U$2</f>
        <v>0</v>
      </c>
      <c r="V935" s="88">
        <f>SUMIF(月間集計シート!$M$50:$M$69,$G935,月間集計シート!S$50:S$69)*V$2</f>
        <v>0</v>
      </c>
      <c r="W935" s="88">
        <f>SUMIF(月間集計シート!$M$50:$M$69,$G935,月間集計シート!T$50:T$69)*W$2</f>
        <v>0</v>
      </c>
      <c r="X935" s="88">
        <f>SUMIF(月間集計シート!$M$71:$M$90,$G935,月間集計シート!N$71:N$90)*X$2</f>
        <v>0</v>
      </c>
      <c r="Y935" s="88">
        <f>SUMIF(月間集計シート!$M$71:$M$90,$G935,月間集計シート!O$71:O$90)*Y$2</f>
        <v>0</v>
      </c>
      <c r="Z935" s="88">
        <f>SUMIF(月間集計シート!$M$71:$M$90,$G935,月間集計シート!P$71:P$90)*Z$2</f>
        <v>0</v>
      </c>
      <c r="AA935" s="88">
        <f>SUMIF(月間集計シート!$M$71:$M$90,$G935,月間集計シート!Q$71:Q$90)*AA$2</f>
        <v>0</v>
      </c>
      <c r="AB935" s="88">
        <f>SUMIF(月間集計シート!$M$71:$M$90,$G935,月間集計シート!R$71:R$90)*AB$2</f>
        <v>0</v>
      </c>
      <c r="AC935" s="88">
        <f>SUMIF(月間集計シート!$M$71:$M$90,$G935,月間集計シート!S$71:S$90)*AC$2</f>
        <v>0</v>
      </c>
      <c r="AD935" s="88">
        <f>SUMIF(月間集計シート!$M$71:$M$90,$G935,月間集計シート!T$71:T$90)*AD$2</f>
        <v>0</v>
      </c>
      <c r="AE935" s="88">
        <f>SUMIF(月間集計シート!$M$92:$M$111,$G935,月間集計シート!N$92:N$111)*AE$2</f>
        <v>0</v>
      </c>
      <c r="AF935" s="88">
        <f>SUMIF(月間集計シート!$M$92:$M$111,$G935,月間集計シート!O$92:O$111)*AF$2</f>
        <v>0</v>
      </c>
      <c r="AG935" s="88">
        <f>SUMIF(月間集計シート!$M$92:$M$111,$G935,月間集計シート!P$92:P$111)*AG$2</f>
        <v>0</v>
      </c>
      <c r="AH935" s="88">
        <f>SUMIF(月間集計シート!$M$92:$M$111,$G935,月間集計シート!Q$92:Q$111)*AH$2</f>
        <v>0</v>
      </c>
      <c r="AI935" s="88">
        <f>SUMIF(月間集計シート!$M$92:$M$111,$G935,月間集計シート!R$92:R$111)*AI$2</f>
        <v>0</v>
      </c>
      <c r="AJ935" s="88">
        <f>SUMIF(月間集計シート!$M$92:$M$111,$G935,月間集計シート!S$92:S$111)*AJ$2</f>
        <v>0</v>
      </c>
      <c r="AK935" s="88">
        <f>SUMIF(月間集計シート!$M$92:$M$111,$G935,月間集計シート!T$92:T$111)*AK$2</f>
        <v>0</v>
      </c>
      <c r="AL935" s="88">
        <f>SUMIF(月間集計シート!$M$113:$M$132,$G935,月間集計シート!N$113:N$132)*AL$2</f>
        <v>0</v>
      </c>
      <c r="AM935" s="88">
        <f>SUMIF(月間集計シート!$M$113:$M$132,$G935,月間集計シート!O$113:O$132)*AM$2</f>
        <v>0</v>
      </c>
      <c r="AN935" s="88">
        <f>SUMIF(月間集計シート!$M$113:$M$132,$G935,月間集計シート!P$113:P$132)*AN$2</f>
        <v>0</v>
      </c>
      <c r="AO935" s="88">
        <f>SUMIF(月間集計シート!$M$113:$M$132,$G935,月間集計シート!Q$113:Q$132)*AO$2</f>
        <v>0</v>
      </c>
      <c r="AP935" s="88">
        <f>SUMIF(月間集計シート!$M$113:$M$132,$G935,月間集計シート!R$113:R$132)*AP$2</f>
        <v>0</v>
      </c>
      <c r="AQ935" s="88">
        <f>SUMIF(月間集計シート!$M$113:$M$132,$G935,月間集計シート!S$113:S$132)*AQ$2</f>
        <v>0</v>
      </c>
      <c r="AR935" s="88">
        <f>SUMIF(月間集計シート!$M$113:$M$132,$G935,月間集計シート!T$113:T$132)*AR$2</f>
        <v>0</v>
      </c>
      <c r="AS935" s="88">
        <f>SUMIF(月間集計シート!$M$134:$M$153,$G935,月間集計シート!N$134:N$153)*AS$2</f>
        <v>0</v>
      </c>
      <c r="AT935" s="88">
        <f>SUMIF(月間集計シート!$M$134:$M$153,$G935,月間集計シート!O$134:O$153)*AT$2</f>
        <v>0</v>
      </c>
      <c r="AU935" s="88">
        <f>SUMIF(月間集計シート!$M$134:$M$153,$G935,月間集計シート!P$134:P$153)*AU$2</f>
        <v>0</v>
      </c>
      <c r="AV935" s="88">
        <f>SUMIF(月間集計シート!$M$134:$M$153,$G935,月間集計シート!Q$134:Q$153)*AV$2</f>
        <v>0</v>
      </c>
      <c r="AW935" s="88">
        <f>SUMIF(月間集計シート!$M$134:$M$153,$G935,月間集計シート!R$134:R$153)*AW$2</f>
        <v>0</v>
      </c>
      <c r="AX935" s="88">
        <f>SUMIF(月間集計シート!$M$134:$M$153,$G935,月間集計シート!S$134:S$153)*AX$2</f>
        <v>0</v>
      </c>
      <c r="AY935" s="88">
        <f>SUMIF(月間集計シート!$M$134:$M$153,$G935,月間集計シート!T$134:T$153)*AY$2</f>
        <v>0</v>
      </c>
    </row>
    <row r="936" spans="1:51" ht="14.25" thickBot="1">
      <c r="A936">
        <v>11</v>
      </c>
      <c r="B936" s="120">
        <f t="shared" si="470"/>
        <v>0</v>
      </c>
      <c r="C936" s="120" t="str">
        <f t="shared" si="470"/>
        <v/>
      </c>
      <c r="D936" s="137"/>
      <c r="E936" s="150" t="str">
        <f>工種!A78</f>
        <v>99103</v>
      </c>
      <c r="F936" s="119" t="str">
        <f>工種!B78</f>
        <v>間接業務：標準化・業務改善作業（開発以外）</v>
      </c>
      <c r="G936" s="116" t="str">
        <f t="shared" si="467"/>
        <v>099103</v>
      </c>
      <c r="H936" s="88">
        <f t="shared" si="469"/>
        <v>0</v>
      </c>
      <c r="I936" s="132"/>
      <c r="J936" s="88">
        <f>SUMIF(月間集計シート!$M$29:$M$48,$G936,月間集計シート!N$29:N$48)*J$2</f>
        <v>0</v>
      </c>
      <c r="K936" s="88">
        <f>SUMIF(月間集計シート!$M$29:$M$48,$G936,月間集計シート!O$29:O$48)*K$2</f>
        <v>0</v>
      </c>
      <c r="L936" s="88">
        <f>SUMIF(月間集計シート!$M$29:$M$48,$G936,月間集計シート!P$29:P$48)*L$2</f>
        <v>0</v>
      </c>
      <c r="M936" s="88">
        <f>SUMIF(月間集計シート!$M$29:$M$48,$G936,月間集計シート!Q$29:Q$48)*M$2</f>
        <v>0</v>
      </c>
      <c r="N936" s="88">
        <f>SUMIF(月間集計シート!$M$29:$M$48,$G936,月間集計シート!R$29:R$48)*N$2</f>
        <v>0</v>
      </c>
      <c r="O936" s="88">
        <f>SUMIF(月間集計シート!$M$29:$M$48,$G936,月間集計シート!S$29:S$48)*O$2</f>
        <v>0</v>
      </c>
      <c r="P936" s="88">
        <f>SUMIF(月間集計シート!$M$29:$M$48,$G936,月間集計シート!T$29:T$48)*P$2</f>
        <v>0</v>
      </c>
      <c r="Q936" s="88">
        <f>SUMIF(月間集計シート!$M$50:$M$69,$G936,月間集計シート!N$50:N$69)*Q$2</f>
        <v>0</v>
      </c>
      <c r="R936" s="88">
        <f>SUMIF(月間集計シート!$M$50:$M$69,$G936,月間集計シート!O$50:O$69)*R$2</f>
        <v>0</v>
      </c>
      <c r="S936" s="88">
        <f>SUMIF(月間集計シート!$M$50:$M$69,$G936,月間集計シート!P$50:P$69)*S$2</f>
        <v>0</v>
      </c>
      <c r="T936" s="88">
        <f>SUMIF(月間集計シート!$M$50:$M$69,$G936,月間集計シート!Q$50:Q$69)*T$2</f>
        <v>0</v>
      </c>
      <c r="U936" s="88">
        <f>SUMIF(月間集計シート!$M$50:$M$69,$G936,月間集計シート!R$50:R$69)*U$2</f>
        <v>0</v>
      </c>
      <c r="V936" s="88">
        <f>SUMIF(月間集計シート!$M$50:$M$69,$G936,月間集計シート!S$50:S$69)*V$2</f>
        <v>0</v>
      </c>
      <c r="W936" s="88">
        <f>SUMIF(月間集計シート!$M$50:$M$69,$G936,月間集計シート!T$50:T$69)*W$2</f>
        <v>0</v>
      </c>
      <c r="X936" s="88">
        <f>SUMIF(月間集計シート!$M$71:$M$90,$G936,月間集計シート!N$71:N$90)*X$2</f>
        <v>0</v>
      </c>
      <c r="Y936" s="88">
        <f>SUMIF(月間集計シート!$M$71:$M$90,$G936,月間集計シート!O$71:O$90)*Y$2</f>
        <v>0</v>
      </c>
      <c r="Z936" s="88">
        <f>SUMIF(月間集計シート!$M$71:$M$90,$G936,月間集計シート!P$71:P$90)*Z$2</f>
        <v>0</v>
      </c>
      <c r="AA936" s="88">
        <f>SUMIF(月間集計シート!$M$71:$M$90,$G936,月間集計シート!Q$71:Q$90)*AA$2</f>
        <v>0</v>
      </c>
      <c r="AB936" s="88">
        <f>SUMIF(月間集計シート!$M$71:$M$90,$G936,月間集計シート!R$71:R$90)*AB$2</f>
        <v>0</v>
      </c>
      <c r="AC936" s="88">
        <f>SUMIF(月間集計シート!$M$71:$M$90,$G936,月間集計シート!S$71:S$90)*AC$2</f>
        <v>0</v>
      </c>
      <c r="AD936" s="88">
        <f>SUMIF(月間集計シート!$M$71:$M$90,$G936,月間集計シート!T$71:T$90)*AD$2</f>
        <v>0</v>
      </c>
      <c r="AE936" s="88">
        <f>SUMIF(月間集計シート!$M$92:$M$111,$G936,月間集計シート!N$92:N$111)*AE$2</f>
        <v>0</v>
      </c>
      <c r="AF936" s="88">
        <f>SUMIF(月間集計シート!$M$92:$M$111,$G936,月間集計シート!O$92:O$111)*AF$2</f>
        <v>0</v>
      </c>
      <c r="AG936" s="88">
        <f>SUMIF(月間集計シート!$M$92:$M$111,$G936,月間集計シート!P$92:P$111)*AG$2</f>
        <v>0</v>
      </c>
      <c r="AH936" s="88">
        <f>SUMIF(月間集計シート!$M$92:$M$111,$G936,月間集計シート!Q$92:Q$111)*AH$2</f>
        <v>0</v>
      </c>
      <c r="AI936" s="88">
        <f>SUMIF(月間集計シート!$M$92:$M$111,$G936,月間集計シート!R$92:R$111)*AI$2</f>
        <v>0</v>
      </c>
      <c r="AJ936" s="88">
        <f>SUMIF(月間集計シート!$M$92:$M$111,$G936,月間集計シート!S$92:S$111)*AJ$2</f>
        <v>0</v>
      </c>
      <c r="AK936" s="88">
        <f>SUMIF(月間集計シート!$M$92:$M$111,$G936,月間集計シート!T$92:T$111)*AK$2</f>
        <v>0</v>
      </c>
      <c r="AL936" s="88">
        <f>SUMIF(月間集計シート!$M$113:$M$132,$G936,月間集計シート!N$113:N$132)*AL$2</f>
        <v>0</v>
      </c>
      <c r="AM936" s="88">
        <f>SUMIF(月間集計シート!$M$113:$M$132,$G936,月間集計シート!O$113:O$132)*AM$2</f>
        <v>0</v>
      </c>
      <c r="AN936" s="88">
        <f>SUMIF(月間集計シート!$M$113:$M$132,$G936,月間集計シート!P$113:P$132)*AN$2</f>
        <v>0</v>
      </c>
      <c r="AO936" s="88">
        <f>SUMIF(月間集計シート!$M$113:$M$132,$G936,月間集計シート!Q$113:Q$132)*AO$2</f>
        <v>0</v>
      </c>
      <c r="AP936" s="88">
        <f>SUMIF(月間集計シート!$M$113:$M$132,$G936,月間集計シート!R$113:R$132)*AP$2</f>
        <v>0</v>
      </c>
      <c r="AQ936" s="88">
        <f>SUMIF(月間集計シート!$M$113:$M$132,$G936,月間集計シート!S$113:S$132)*AQ$2</f>
        <v>0</v>
      </c>
      <c r="AR936" s="88">
        <f>SUMIF(月間集計シート!$M$113:$M$132,$G936,月間集計シート!T$113:T$132)*AR$2</f>
        <v>0</v>
      </c>
      <c r="AS936" s="88">
        <f>SUMIF(月間集計シート!$M$134:$M$153,$G936,月間集計シート!N$134:N$153)*AS$2</f>
        <v>0</v>
      </c>
      <c r="AT936" s="88">
        <f>SUMIF(月間集計シート!$M$134:$M$153,$G936,月間集計シート!O$134:O$153)*AT$2</f>
        <v>0</v>
      </c>
      <c r="AU936" s="88">
        <f>SUMIF(月間集計シート!$M$134:$M$153,$G936,月間集計シート!P$134:P$153)*AU$2</f>
        <v>0</v>
      </c>
      <c r="AV936" s="88">
        <f>SUMIF(月間集計シート!$M$134:$M$153,$G936,月間集計シート!Q$134:Q$153)*AV$2</f>
        <v>0</v>
      </c>
      <c r="AW936" s="88">
        <f>SUMIF(月間集計シート!$M$134:$M$153,$G936,月間集計シート!R$134:R$153)*AW$2</f>
        <v>0</v>
      </c>
      <c r="AX936" s="88">
        <f>SUMIF(月間集計シート!$M$134:$M$153,$G936,月間集計シート!S$134:S$153)*AX$2</f>
        <v>0</v>
      </c>
      <c r="AY936" s="88">
        <f>SUMIF(月間集計シート!$M$134:$M$153,$G936,月間集計シート!T$134:T$153)*AY$2</f>
        <v>0</v>
      </c>
    </row>
    <row r="937" spans="1:51" ht="14.25" thickBot="1">
      <c r="A937">
        <v>11</v>
      </c>
      <c r="B937" s="120">
        <f t="shared" si="470"/>
        <v>0</v>
      </c>
      <c r="C937" s="120" t="str">
        <f t="shared" si="470"/>
        <v/>
      </c>
      <c r="D937" s="137"/>
      <c r="E937" s="150" t="str">
        <f>工種!A79</f>
        <v>99104</v>
      </c>
      <c r="F937" s="119" t="str">
        <f>工種!B79</f>
        <v>間接業務：業務の引継ぎ（開発以外）</v>
      </c>
      <c r="G937" s="116" t="str">
        <f t="shared" si="467"/>
        <v>099104</v>
      </c>
      <c r="H937" s="88">
        <f t="shared" si="469"/>
        <v>0</v>
      </c>
      <c r="I937" s="132"/>
      <c r="J937" s="88">
        <f>SUMIF(月間集計シート!$M$29:$M$48,$G937,月間集計シート!N$29:N$48)*J$2</f>
        <v>0</v>
      </c>
      <c r="K937" s="88">
        <f>SUMIF(月間集計シート!$M$29:$M$48,$G937,月間集計シート!O$29:O$48)*K$2</f>
        <v>0</v>
      </c>
      <c r="L937" s="88">
        <f>SUMIF(月間集計シート!$M$29:$M$48,$G937,月間集計シート!P$29:P$48)*L$2</f>
        <v>0</v>
      </c>
      <c r="M937" s="88">
        <f>SUMIF(月間集計シート!$M$29:$M$48,$G937,月間集計シート!Q$29:Q$48)*M$2</f>
        <v>0</v>
      </c>
      <c r="N937" s="88">
        <f>SUMIF(月間集計シート!$M$29:$M$48,$G937,月間集計シート!R$29:R$48)*N$2</f>
        <v>0</v>
      </c>
      <c r="O937" s="88">
        <f>SUMIF(月間集計シート!$M$29:$M$48,$G937,月間集計シート!S$29:S$48)*O$2</f>
        <v>0</v>
      </c>
      <c r="P937" s="88">
        <f>SUMIF(月間集計シート!$M$29:$M$48,$G937,月間集計シート!T$29:T$48)*P$2</f>
        <v>0</v>
      </c>
      <c r="Q937" s="88">
        <f>SUMIF(月間集計シート!$M$50:$M$69,$G937,月間集計シート!N$50:N$69)*Q$2</f>
        <v>0</v>
      </c>
      <c r="R937" s="88">
        <f>SUMIF(月間集計シート!$M$50:$M$69,$G937,月間集計シート!O$50:O$69)*R$2</f>
        <v>0</v>
      </c>
      <c r="S937" s="88">
        <f>SUMIF(月間集計シート!$M$50:$M$69,$G937,月間集計シート!P$50:P$69)*S$2</f>
        <v>0</v>
      </c>
      <c r="T937" s="88">
        <f>SUMIF(月間集計シート!$M$50:$M$69,$G937,月間集計シート!Q$50:Q$69)*T$2</f>
        <v>0</v>
      </c>
      <c r="U937" s="88">
        <f>SUMIF(月間集計シート!$M$50:$M$69,$G937,月間集計シート!R$50:R$69)*U$2</f>
        <v>0</v>
      </c>
      <c r="V937" s="88">
        <f>SUMIF(月間集計シート!$M$50:$M$69,$G937,月間集計シート!S$50:S$69)*V$2</f>
        <v>0</v>
      </c>
      <c r="W937" s="88">
        <f>SUMIF(月間集計シート!$M$50:$M$69,$G937,月間集計シート!T$50:T$69)*W$2</f>
        <v>0</v>
      </c>
      <c r="X937" s="88">
        <f>SUMIF(月間集計シート!$M$71:$M$90,$G937,月間集計シート!N$71:N$90)*X$2</f>
        <v>0</v>
      </c>
      <c r="Y937" s="88">
        <f>SUMIF(月間集計シート!$M$71:$M$90,$G937,月間集計シート!O$71:O$90)*Y$2</f>
        <v>0</v>
      </c>
      <c r="Z937" s="88">
        <f>SUMIF(月間集計シート!$M$71:$M$90,$G937,月間集計シート!P$71:P$90)*Z$2</f>
        <v>0</v>
      </c>
      <c r="AA937" s="88">
        <f>SUMIF(月間集計シート!$M$71:$M$90,$G937,月間集計シート!Q$71:Q$90)*AA$2</f>
        <v>0</v>
      </c>
      <c r="AB937" s="88">
        <f>SUMIF(月間集計シート!$M$71:$M$90,$G937,月間集計シート!R$71:R$90)*AB$2</f>
        <v>0</v>
      </c>
      <c r="AC937" s="88">
        <f>SUMIF(月間集計シート!$M$71:$M$90,$G937,月間集計シート!S$71:S$90)*AC$2</f>
        <v>0</v>
      </c>
      <c r="AD937" s="88">
        <f>SUMIF(月間集計シート!$M$71:$M$90,$G937,月間集計シート!T$71:T$90)*AD$2</f>
        <v>0</v>
      </c>
      <c r="AE937" s="88">
        <f>SUMIF(月間集計シート!$M$92:$M$111,$G937,月間集計シート!N$92:N$111)*AE$2</f>
        <v>0</v>
      </c>
      <c r="AF937" s="88">
        <f>SUMIF(月間集計シート!$M$92:$M$111,$G937,月間集計シート!O$92:O$111)*AF$2</f>
        <v>0</v>
      </c>
      <c r="AG937" s="88">
        <f>SUMIF(月間集計シート!$M$92:$M$111,$G937,月間集計シート!P$92:P$111)*AG$2</f>
        <v>0</v>
      </c>
      <c r="AH937" s="88">
        <f>SUMIF(月間集計シート!$M$92:$M$111,$G937,月間集計シート!Q$92:Q$111)*AH$2</f>
        <v>0</v>
      </c>
      <c r="AI937" s="88">
        <f>SUMIF(月間集計シート!$M$92:$M$111,$G937,月間集計シート!R$92:R$111)*AI$2</f>
        <v>0</v>
      </c>
      <c r="AJ937" s="88">
        <f>SUMIF(月間集計シート!$M$92:$M$111,$G937,月間集計シート!S$92:S$111)*AJ$2</f>
        <v>0</v>
      </c>
      <c r="AK937" s="88">
        <f>SUMIF(月間集計シート!$M$92:$M$111,$G937,月間集計シート!T$92:T$111)*AK$2</f>
        <v>0</v>
      </c>
      <c r="AL937" s="88">
        <f>SUMIF(月間集計シート!$M$113:$M$132,$G937,月間集計シート!N$113:N$132)*AL$2</f>
        <v>0</v>
      </c>
      <c r="AM937" s="88">
        <f>SUMIF(月間集計シート!$M$113:$M$132,$G937,月間集計シート!O$113:O$132)*AM$2</f>
        <v>0</v>
      </c>
      <c r="AN937" s="88">
        <f>SUMIF(月間集計シート!$M$113:$M$132,$G937,月間集計シート!P$113:P$132)*AN$2</f>
        <v>0</v>
      </c>
      <c r="AO937" s="88">
        <f>SUMIF(月間集計シート!$M$113:$M$132,$G937,月間集計シート!Q$113:Q$132)*AO$2</f>
        <v>0</v>
      </c>
      <c r="AP937" s="88">
        <f>SUMIF(月間集計シート!$M$113:$M$132,$G937,月間集計シート!R$113:R$132)*AP$2</f>
        <v>0</v>
      </c>
      <c r="AQ937" s="88">
        <f>SUMIF(月間集計シート!$M$113:$M$132,$G937,月間集計シート!S$113:S$132)*AQ$2</f>
        <v>0</v>
      </c>
      <c r="AR937" s="88">
        <f>SUMIF(月間集計シート!$M$113:$M$132,$G937,月間集計シート!T$113:T$132)*AR$2</f>
        <v>0</v>
      </c>
      <c r="AS937" s="88">
        <f>SUMIF(月間集計シート!$M$134:$M$153,$G937,月間集計シート!N$134:N$153)*AS$2</f>
        <v>0</v>
      </c>
      <c r="AT937" s="88">
        <f>SUMIF(月間集計シート!$M$134:$M$153,$G937,月間集計シート!O$134:O$153)*AT$2</f>
        <v>0</v>
      </c>
      <c r="AU937" s="88">
        <f>SUMIF(月間集計シート!$M$134:$M$153,$G937,月間集計シート!P$134:P$153)*AU$2</f>
        <v>0</v>
      </c>
      <c r="AV937" s="88">
        <f>SUMIF(月間集計シート!$M$134:$M$153,$G937,月間集計シート!Q$134:Q$153)*AV$2</f>
        <v>0</v>
      </c>
      <c r="AW937" s="88">
        <f>SUMIF(月間集計シート!$M$134:$M$153,$G937,月間集計シート!R$134:R$153)*AW$2</f>
        <v>0</v>
      </c>
      <c r="AX937" s="88">
        <f>SUMIF(月間集計シート!$M$134:$M$153,$G937,月間集計シート!S$134:S$153)*AX$2</f>
        <v>0</v>
      </c>
      <c r="AY937" s="88">
        <f>SUMIF(月間集計シート!$M$134:$M$153,$G937,月間集計シート!T$134:T$153)*AY$2</f>
        <v>0</v>
      </c>
    </row>
    <row r="938" spans="1:51" ht="14.25" thickBot="1">
      <c r="A938">
        <v>11</v>
      </c>
      <c r="B938" s="120">
        <f t="shared" si="470"/>
        <v>0</v>
      </c>
      <c r="C938" s="120" t="str">
        <f t="shared" si="470"/>
        <v/>
      </c>
      <c r="D938" s="137"/>
      <c r="E938" s="150" t="str">
        <f>工種!A80</f>
        <v>99106</v>
      </c>
      <c r="F938" s="119" t="str">
        <f>工種!B80</f>
        <v>間接業務：研修・学習</v>
      </c>
      <c r="G938" s="116" t="str">
        <f t="shared" si="467"/>
        <v>099106</v>
      </c>
      <c r="H938" s="88">
        <f t="shared" si="469"/>
        <v>0</v>
      </c>
      <c r="I938" s="132"/>
      <c r="J938" s="88">
        <f>SUMIF(月間集計シート!$M$29:$M$48,$G938,月間集計シート!N$29:N$48)*J$2</f>
        <v>0</v>
      </c>
      <c r="K938" s="88">
        <f>SUMIF(月間集計シート!$M$29:$M$48,$G938,月間集計シート!O$29:O$48)*K$2</f>
        <v>0</v>
      </c>
      <c r="L938" s="88">
        <f>SUMIF(月間集計シート!$M$29:$M$48,$G938,月間集計シート!P$29:P$48)*L$2</f>
        <v>0</v>
      </c>
      <c r="M938" s="88">
        <f>SUMIF(月間集計シート!$M$29:$M$48,$G938,月間集計シート!Q$29:Q$48)*M$2</f>
        <v>0</v>
      </c>
      <c r="N938" s="88">
        <f>SUMIF(月間集計シート!$M$29:$M$48,$G938,月間集計シート!R$29:R$48)*N$2</f>
        <v>0</v>
      </c>
      <c r="O938" s="88">
        <f>SUMIF(月間集計シート!$M$29:$M$48,$G938,月間集計シート!S$29:S$48)*O$2</f>
        <v>0</v>
      </c>
      <c r="P938" s="88">
        <f>SUMIF(月間集計シート!$M$29:$M$48,$G938,月間集計シート!T$29:T$48)*P$2</f>
        <v>0</v>
      </c>
      <c r="Q938" s="88">
        <f>SUMIF(月間集計シート!$M$50:$M$69,$G938,月間集計シート!N$50:N$69)*Q$2</f>
        <v>0</v>
      </c>
      <c r="R938" s="88">
        <f>SUMIF(月間集計シート!$M$50:$M$69,$G938,月間集計シート!O$50:O$69)*R$2</f>
        <v>0</v>
      </c>
      <c r="S938" s="88">
        <f>SUMIF(月間集計シート!$M$50:$M$69,$G938,月間集計シート!P$50:P$69)*S$2</f>
        <v>0</v>
      </c>
      <c r="T938" s="88">
        <f>SUMIF(月間集計シート!$M$50:$M$69,$G938,月間集計シート!Q$50:Q$69)*T$2</f>
        <v>0</v>
      </c>
      <c r="U938" s="88">
        <f>SUMIF(月間集計シート!$M$50:$M$69,$G938,月間集計シート!R$50:R$69)*U$2</f>
        <v>0</v>
      </c>
      <c r="V938" s="88">
        <f>SUMIF(月間集計シート!$M$50:$M$69,$G938,月間集計シート!S$50:S$69)*V$2</f>
        <v>0</v>
      </c>
      <c r="W938" s="88">
        <f>SUMIF(月間集計シート!$M$50:$M$69,$G938,月間集計シート!T$50:T$69)*W$2</f>
        <v>0</v>
      </c>
      <c r="X938" s="88">
        <f>SUMIF(月間集計シート!$M$71:$M$90,$G938,月間集計シート!N$71:N$90)*X$2</f>
        <v>0</v>
      </c>
      <c r="Y938" s="88">
        <f>SUMIF(月間集計シート!$M$71:$M$90,$G938,月間集計シート!O$71:O$90)*Y$2</f>
        <v>0</v>
      </c>
      <c r="Z938" s="88">
        <f>SUMIF(月間集計シート!$M$71:$M$90,$G938,月間集計シート!P$71:P$90)*Z$2</f>
        <v>0</v>
      </c>
      <c r="AA938" s="88">
        <f>SUMIF(月間集計シート!$M$71:$M$90,$G938,月間集計シート!Q$71:Q$90)*AA$2</f>
        <v>0</v>
      </c>
      <c r="AB938" s="88">
        <f>SUMIF(月間集計シート!$M$71:$M$90,$G938,月間集計シート!R$71:R$90)*AB$2</f>
        <v>0</v>
      </c>
      <c r="AC938" s="88">
        <f>SUMIF(月間集計シート!$M$71:$M$90,$G938,月間集計シート!S$71:S$90)*AC$2</f>
        <v>0</v>
      </c>
      <c r="AD938" s="88">
        <f>SUMIF(月間集計シート!$M$71:$M$90,$G938,月間集計シート!T$71:T$90)*AD$2</f>
        <v>0</v>
      </c>
      <c r="AE938" s="88">
        <f>SUMIF(月間集計シート!$M$92:$M$111,$G938,月間集計シート!N$92:N$111)*AE$2</f>
        <v>0</v>
      </c>
      <c r="AF938" s="88">
        <f>SUMIF(月間集計シート!$M$92:$M$111,$G938,月間集計シート!O$92:O$111)*AF$2</f>
        <v>0</v>
      </c>
      <c r="AG938" s="88">
        <f>SUMIF(月間集計シート!$M$92:$M$111,$G938,月間集計シート!P$92:P$111)*AG$2</f>
        <v>0</v>
      </c>
      <c r="AH938" s="88">
        <f>SUMIF(月間集計シート!$M$92:$M$111,$G938,月間集計シート!Q$92:Q$111)*AH$2</f>
        <v>0</v>
      </c>
      <c r="AI938" s="88">
        <f>SUMIF(月間集計シート!$M$92:$M$111,$G938,月間集計シート!R$92:R$111)*AI$2</f>
        <v>0</v>
      </c>
      <c r="AJ938" s="88">
        <f>SUMIF(月間集計シート!$M$92:$M$111,$G938,月間集計シート!S$92:S$111)*AJ$2</f>
        <v>0</v>
      </c>
      <c r="AK938" s="88">
        <f>SUMIF(月間集計シート!$M$92:$M$111,$G938,月間集計シート!T$92:T$111)*AK$2</f>
        <v>0</v>
      </c>
      <c r="AL938" s="88">
        <f>SUMIF(月間集計シート!$M$113:$M$132,$G938,月間集計シート!N$113:N$132)*AL$2</f>
        <v>0</v>
      </c>
      <c r="AM938" s="88">
        <f>SUMIF(月間集計シート!$M$113:$M$132,$G938,月間集計シート!O$113:O$132)*AM$2</f>
        <v>0</v>
      </c>
      <c r="AN938" s="88">
        <f>SUMIF(月間集計シート!$M$113:$M$132,$G938,月間集計シート!P$113:P$132)*AN$2</f>
        <v>0</v>
      </c>
      <c r="AO938" s="88">
        <f>SUMIF(月間集計シート!$M$113:$M$132,$G938,月間集計シート!Q$113:Q$132)*AO$2</f>
        <v>0</v>
      </c>
      <c r="AP938" s="88">
        <f>SUMIF(月間集計シート!$M$113:$M$132,$G938,月間集計シート!R$113:R$132)*AP$2</f>
        <v>0</v>
      </c>
      <c r="AQ938" s="88">
        <f>SUMIF(月間集計シート!$M$113:$M$132,$G938,月間集計シート!S$113:S$132)*AQ$2</f>
        <v>0</v>
      </c>
      <c r="AR938" s="88">
        <f>SUMIF(月間集計シート!$M$113:$M$132,$G938,月間集計シート!T$113:T$132)*AR$2</f>
        <v>0</v>
      </c>
      <c r="AS938" s="88">
        <f>SUMIF(月間集計シート!$M$134:$M$153,$G938,月間集計シート!N$134:N$153)*AS$2</f>
        <v>0</v>
      </c>
      <c r="AT938" s="88">
        <f>SUMIF(月間集計シート!$M$134:$M$153,$G938,月間集計シート!O$134:O$153)*AT$2</f>
        <v>0</v>
      </c>
      <c r="AU938" s="88">
        <f>SUMIF(月間集計シート!$M$134:$M$153,$G938,月間集計シート!P$134:P$153)*AU$2</f>
        <v>0</v>
      </c>
      <c r="AV938" s="88">
        <f>SUMIF(月間集計シート!$M$134:$M$153,$G938,月間集計シート!Q$134:Q$153)*AV$2</f>
        <v>0</v>
      </c>
      <c r="AW938" s="88">
        <f>SUMIF(月間集計シート!$M$134:$M$153,$G938,月間集計シート!R$134:R$153)*AW$2</f>
        <v>0</v>
      </c>
      <c r="AX938" s="88">
        <f>SUMIF(月間集計シート!$M$134:$M$153,$G938,月間集計シート!S$134:S$153)*AX$2</f>
        <v>0</v>
      </c>
      <c r="AY938" s="88">
        <f>SUMIF(月間集計シート!$M$134:$M$153,$G938,月間集計シート!T$134:T$153)*AY$2</f>
        <v>0</v>
      </c>
    </row>
    <row r="939" spans="1:51" ht="14.25" thickBot="1">
      <c r="A939">
        <v>11</v>
      </c>
      <c r="B939" s="120">
        <f t="shared" si="470"/>
        <v>0</v>
      </c>
      <c r="C939" s="120" t="str">
        <f t="shared" si="470"/>
        <v/>
      </c>
      <c r="D939" s="137"/>
      <c r="E939" s="150" t="str">
        <f>工種!A81</f>
        <v>99107</v>
      </c>
      <c r="F939" s="119" t="str">
        <f>工種!B81</f>
        <v>間接業務：事務作業（開発以外）</v>
      </c>
      <c r="G939" s="116" t="str">
        <f t="shared" ref="G939:G940" si="471">B939&amp;E939</f>
        <v>099107</v>
      </c>
      <c r="H939" s="88">
        <f t="shared" ref="H939:H940" si="472">SUM(J939:AY939)</f>
        <v>0</v>
      </c>
      <c r="I939" s="132"/>
      <c r="J939" s="88">
        <f>SUMIF(月間集計シート!$M$29:$M$48,$G939,月間集計シート!N$29:N$48)*J$2</f>
        <v>0</v>
      </c>
      <c r="K939" s="88">
        <f>SUMIF(月間集計シート!$M$29:$M$48,$G939,月間集計シート!O$29:O$48)*K$2</f>
        <v>0</v>
      </c>
      <c r="L939" s="88">
        <f>SUMIF(月間集計シート!$M$29:$M$48,$G939,月間集計シート!P$29:P$48)*L$2</f>
        <v>0</v>
      </c>
      <c r="M939" s="88">
        <f>SUMIF(月間集計シート!$M$29:$M$48,$G939,月間集計シート!Q$29:Q$48)*M$2</f>
        <v>0</v>
      </c>
      <c r="N939" s="88">
        <f>SUMIF(月間集計シート!$M$29:$M$48,$G939,月間集計シート!R$29:R$48)*N$2</f>
        <v>0</v>
      </c>
      <c r="O939" s="88">
        <f>SUMIF(月間集計シート!$M$29:$M$48,$G939,月間集計シート!S$29:S$48)*O$2</f>
        <v>0</v>
      </c>
      <c r="P939" s="88">
        <f>SUMIF(月間集計シート!$M$29:$M$48,$G939,月間集計シート!T$29:T$48)*P$2</f>
        <v>0</v>
      </c>
      <c r="Q939" s="88">
        <f>SUMIF(月間集計シート!$M$50:$M$69,$G939,月間集計シート!N$50:N$69)*Q$2</f>
        <v>0</v>
      </c>
      <c r="R939" s="88">
        <f>SUMIF(月間集計シート!$M$50:$M$69,$G939,月間集計シート!O$50:O$69)*R$2</f>
        <v>0</v>
      </c>
      <c r="S939" s="88">
        <f>SUMIF(月間集計シート!$M$50:$M$69,$G939,月間集計シート!P$50:P$69)*S$2</f>
        <v>0</v>
      </c>
      <c r="T939" s="88">
        <f>SUMIF(月間集計シート!$M$50:$M$69,$G939,月間集計シート!Q$50:Q$69)*T$2</f>
        <v>0</v>
      </c>
      <c r="U939" s="88">
        <f>SUMIF(月間集計シート!$M$50:$M$69,$G939,月間集計シート!R$50:R$69)*U$2</f>
        <v>0</v>
      </c>
      <c r="V939" s="88">
        <f>SUMIF(月間集計シート!$M$50:$M$69,$G939,月間集計シート!S$50:S$69)*V$2</f>
        <v>0</v>
      </c>
      <c r="W939" s="88">
        <f>SUMIF(月間集計シート!$M$50:$M$69,$G939,月間集計シート!T$50:T$69)*W$2</f>
        <v>0</v>
      </c>
      <c r="X939" s="88">
        <f>SUMIF(月間集計シート!$M$71:$M$90,$G939,月間集計シート!N$71:N$90)*X$2</f>
        <v>0</v>
      </c>
      <c r="Y939" s="88">
        <f>SUMIF(月間集計シート!$M$71:$M$90,$G939,月間集計シート!O$71:O$90)*Y$2</f>
        <v>0</v>
      </c>
      <c r="Z939" s="88">
        <f>SUMIF(月間集計シート!$M$71:$M$90,$G939,月間集計シート!P$71:P$90)*Z$2</f>
        <v>0</v>
      </c>
      <c r="AA939" s="88">
        <f>SUMIF(月間集計シート!$M$71:$M$90,$G939,月間集計シート!Q$71:Q$90)*AA$2</f>
        <v>0</v>
      </c>
      <c r="AB939" s="88">
        <f>SUMIF(月間集計シート!$M$71:$M$90,$G939,月間集計シート!R$71:R$90)*AB$2</f>
        <v>0</v>
      </c>
      <c r="AC939" s="88">
        <f>SUMIF(月間集計シート!$M$71:$M$90,$G939,月間集計シート!S$71:S$90)*AC$2</f>
        <v>0</v>
      </c>
      <c r="AD939" s="88">
        <f>SUMIF(月間集計シート!$M$71:$M$90,$G939,月間集計シート!T$71:T$90)*AD$2</f>
        <v>0</v>
      </c>
      <c r="AE939" s="88">
        <f>SUMIF(月間集計シート!$M$92:$M$111,$G939,月間集計シート!N$92:N$111)*AE$2</f>
        <v>0</v>
      </c>
      <c r="AF939" s="88">
        <f>SUMIF(月間集計シート!$M$92:$M$111,$G939,月間集計シート!O$92:O$111)*AF$2</f>
        <v>0</v>
      </c>
      <c r="AG939" s="88">
        <f>SUMIF(月間集計シート!$M$92:$M$111,$G939,月間集計シート!P$92:P$111)*AG$2</f>
        <v>0</v>
      </c>
      <c r="AH939" s="88">
        <f>SUMIF(月間集計シート!$M$92:$M$111,$G939,月間集計シート!Q$92:Q$111)*AH$2</f>
        <v>0</v>
      </c>
      <c r="AI939" s="88">
        <f>SUMIF(月間集計シート!$M$92:$M$111,$G939,月間集計シート!R$92:R$111)*AI$2</f>
        <v>0</v>
      </c>
      <c r="AJ939" s="88">
        <f>SUMIF(月間集計シート!$M$92:$M$111,$G939,月間集計シート!S$92:S$111)*AJ$2</f>
        <v>0</v>
      </c>
      <c r="AK939" s="88">
        <f>SUMIF(月間集計シート!$M$92:$M$111,$G939,月間集計シート!T$92:T$111)*AK$2</f>
        <v>0</v>
      </c>
      <c r="AL939" s="88">
        <f>SUMIF(月間集計シート!$M$113:$M$132,$G939,月間集計シート!N$113:N$132)*AL$2</f>
        <v>0</v>
      </c>
      <c r="AM939" s="88">
        <f>SUMIF(月間集計シート!$M$113:$M$132,$G939,月間集計シート!O$113:O$132)*AM$2</f>
        <v>0</v>
      </c>
      <c r="AN939" s="88">
        <f>SUMIF(月間集計シート!$M$113:$M$132,$G939,月間集計シート!P$113:P$132)*AN$2</f>
        <v>0</v>
      </c>
      <c r="AO939" s="88">
        <f>SUMIF(月間集計シート!$M$113:$M$132,$G939,月間集計シート!Q$113:Q$132)*AO$2</f>
        <v>0</v>
      </c>
      <c r="AP939" s="88">
        <f>SUMIF(月間集計シート!$M$113:$M$132,$G939,月間集計シート!R$113:R$132)*AP$2</f>
        <v>0</v>
      </c>
      <c r="AQ939" s="88">
        <f>SUMIF(月間集計シート!$M$113:$M$132,$G939,月間集計シート!S$113:S$132)*AQ$2</f>
        <v>0</v>
      </c>
      <c r="AR939" s="88">
        <f>SUMIF(月間集計シート!$M$113:$M$132,$G939,月間集計シート!T$113:T$132)*AR$2</f>
        <v>0</v>
      </c>
      <c r="AS939" s="88">
        <f>SUMIF(月間集計シート!$M$134:$M$153,$G939,月間集計シート!N$134:N$153)*AS$2</f>
        <v>0</v>
      </c>
      <c r="AT939" s="88">
        <f>SUMIF(月間集計シート!$M$134:$M$153,$G939,月間集計シート!O$134:O$153)*AT$2</f>
        <v>0</v>
      </c>
      <c r="AU939" s="88">
        <f>SUMIF(月間集計シート!$M$134:$M$153,$G939,月間集計シート!P$134:P$153)*AU$2</f>
        <v>0</v>
      </c>
      <c r="AV939" s="88">
        <f>SUMIF(月間集計シート!$M$134:$M$153,$G939,月間集計シート!Q$134:Q$153)*AV$2</f>
        <v>0</v>
      </c>
      <c r="AW939" s="88">
        <f>SUMIF(月間集計シート!$M$134:$M$153,$G939,月間集計シート!R$134:R$153)*AW$2</f>
        <v>0</v>
      </c>
      <c r="AX939" s="88">
        <f>SUMIF(月間集計シート!$M$134:$M$153,$G939,月間集計シート!S$134:S$153)*AX$2</f>
        <v>0</v>
      </c>
      <c r="AY939" s="88">
        <f>SUMIF(月間集計シート!$M$134:$M$153,$G939,月間集計シート!T$134:T$153)*AY$2</f>
        <v>0</v>
      </c>
    </row>
    <row r="940" spans="1:51" ht="14.25" thickBot="1">
      <c r="A940">
        <v>11</v>
      </c>
      <c r="B940" s="120">
        <f t="shared" si="470"/>
        <v>0</v>
      </c>
      <c r="C940" s="120" t="str">
        <f t="shared" si="470"/>
        <v/>
      </c>
      <c r="D940" s="137"/>
      <c r="E940" s="150" t="str">
        <f>工種!A82</f>
        <v>99110</v>
      </c>
      <c r="F940" s="119" t="str">
        <f>工種!B82</f>
        <v>間接業務：打合せ</v>
      </c>
      <c r="G940" s="116" t="str">
        <f t="shared" si="471"/>
        <v>099110</v>
      </c>
      <c r="H940" s="88">
        <f t="shared" si="472"/>
        <v>0</v>
      </c>
      <c r="I940" s="132"/>
      <c r="J940" s="88">
        <f>SUMIF(月間集計シート!$M$29:$M$48,$G940,月間集計シート!N$29:N$48)*J$2</f>
        <v>0</v>
      </c>
      <c r="K940" s="88">
        <f>SUMIF(月間集計シート!$M$29:$M$48,$G940,月間集計シート!O$29:O$48)*K$2</f>
        <v>0</v>
      </c>
      <c r="L940" s="88">
        <f>SUMIF(月間集計シート!$M$29:$M$48,$G940,月間集計シート!P$29:P$48)*L$2</f>
        <v>0</v>
      </c>
      <c r="M940" s="88">
        <f>SUMIF(月間集計シート!$M$29:$M$48,$G940,月間集計シート!Q$29:Q$48)*M$2</f>
        <v>0</v>
      </c>
      <c r="N940" s="88">
        <f>SUMIF(月間集計シート!$M$29:$M$48,$G940,月間集計シート!R$29:R$48)*N$2</f>
        <v>0</v>
      </c>
      <c r="O940" s="88">
        <f>SUMIF(月間集計シート!$M$29:$M$48,$G940,月間集計シート!S$29:S$48)*O$2</f>
        <v>0</v>
      </c>
      <c r="P940" s="88">
        <f>SUMIF(月間集計シート!$M$29:$M$48,$G940,月間集計シート!T$29:T$48)*P$2</f>
        <v>0</v>
      </c>
      <c r="Q940" s="88">
        <f>SUMIF(月間集計シート!$M$50:$M$69,$G940,月間集計シート!N$50:N$69)*Q$2</f>
        <v>0</v>
      </c>
      <c r="R940" s="88">
        <f>SUMIF(月間集計シート!$M$50:$M$69,$G940,月間集計シート!O$50:O$69)*R$2</f>
        <v>0</v>
      </c>
      <c r="S940" s="88">
        <f>SUMIF(月間集計シート!$M$50:$M$69,$G940,月間集計シート!P$50:P$69)*S$2</f>
        <v>0</v>
      </c>
      <c r="T940" s="88">
        <f>SUMIF(月間集計シート!$M$50:$M$69,$G940,月間集計シート!Q$50:Q$69)*T$2</f>
        <v>0</v>
      </c>
      <c r="U940" s="88">
        <f>SUMIF(月間集計シート!$M$50:$M$69,$G940,月間集計シート!R$50:R$69)*U$2</f>
        <v>0</v>
      </c>
      <c r="V940" s="88">
        <f>SUMIF(月間集計シート!$M$50:$M$69,$G940,月間集計シート!S$50:S$69)*V$2</f>
        <v>0</v>
      </c>
      <c r="W940" s="88">
        <f>SUMIF(月間集計シート!$M$50:$M$69,$G940,月間集計シート!T$50:T$69)*W$2</f>
        <v>0</v>
      </c>
      <c r="X940" s="88">
        <f>SUMIF(月間集計シート!$M$71:$M$90,$G940,月間集計シート!N$71:N$90)*X$2</f>
        <v>0</v>
      </c>
      <c r="Y940" s="88">
        <f>SUMIF(月間集計シート!$M$71:$M$90,$G940,月間集計シート!O$71:O$90)*Y$2</f>
        <v>0</v>
      </c>
      <c r="Z940" s="88">
        <f>SUMIF(月間集計シート!$M$71:$M$90,$G940,月間集計シート!P$71:P$90)*Z$2</f>
        <v>0</v>
      </c>
      <c r="AA940" s="88">
        <f>SUMIF(月間集計シート!$M$71:$M$90,$G940,月間集計シート!Q$71:Q$90)*AA$2</f>
        <v>0</v>
      </c>
      <c r="AB940" s="88">
        <f>SUMIF(月間集計シート!$M$71:$M$90,$G940,月間集計シート!R$71:R$90)*AB$2</f>
        <v>0</v>
      </c>
      <c r="AC940" s="88">
        <f>SUMIF(月間集計シート!$M$71:$M$90,$G940,月間集計シート!S$71:S$90)*AC$2</f>
        <v>0</v>
      </c>
      <c r="AD940" s="88">
        <f>SUMIF(月間集計シート!$M$71:$M$90,$G940,月間集計シート!T$71:T$90)*AD$2</f>
        <v>0</v>
      </c>
      <c r="AE940" s="88">
        <f>SUMIF(月間集計シート!$M$92:$M$111,$G940,月間集計シート!N$92:N$111)*AE$2</f>
        <v>0</v>
      </c>
      <c r="AF940" s="88">
        <f>SUMIF(月間集計シート!$M$92:$M$111,$G940,月間集計シート!O$92:O$111)*AF$2</f>
        <v>0</v>
      </c>
      <c r="AG940" s="88">
        <f>SUMIF(月間集計シート!$M$92:$M$111,$G940,月間集計シート!P$92:P$111)*AG$2</f>
        <v>0</v>
      </c>
      <c r="AH940" s="88">
        <f>SUMIF(月間集計シート!$M$92:$M$111,$G940,月間集計シート!Q$92:Q$111)*AH$2</f>
        <v>0</v>
      </c>
      <c r="AI940" s="88">
        <f>SUMIF(月間集計シート!$M$92:$M$111,$G940,月間集計シート!R$92:R$111)*AI$2</f>
        <v>0</v>
      </c>
      <c r="AJ940" s="88">
        <f>SUMIF(月間集計シート!$M$92:$M$111,$G940,月間集計シート!S$92:S$111)*AJ$2</f>
        <v>0</v>
      </c>
      <c r="AK940" s="88">
        <f>SUMIF(月間集計シート!$M$92:$M$111,$G940,月間集計シート!T$92:T$111)*AK$2</f>
        <v>0</v>
      </c>
      <c r="AL940" s="88">
        <f>SUMIF(月間集計シート!$M$113:$M$132,$G940,月間集計シート!N$113:N$132)*AL$2</f>
        <v>0</v>
      </c>
      <c r="AM940" s="88">
        <f>SUMIF(月間集計シート!$M$113:$M$132,$G940,月間集計シート!O$113:O$132)*AM$2</f>
        <v>0</v>
      </c>
      <c r="AN940" s="88">
        <f>SUMIF(月間集計シート!$M$113:$M$132,$G940,月間集計シート!P$113:P$132)*AN$2</f>
        <v>0</v>
      </c>
      <c r="AO940" s="88">
        <f>SUMIF(月間集計シート!$M$113:$M$132,$G940,月間集計シート!Q$113:Q$132)*AO$2</f>
        <v>0</v>
      </c>
      <c r="AP940" s="88">
        <f>SUMIF(月間集計シート!$M$113:$M$132,$G940,月間集計シート!R$113:R$132)*AP$2</f>
        <v>0</v>
      </c>
      <c r="AQ940" s="88">
        <f>SUMIF(月間集計シート!$M$113:$M$132,$G940,月間集計シート!S$113:S$132)*AQ$2</f>
        <v>0</v>
      </c>
      <c r="AR940" s="88">
        <f>SUMIF(月間集計シート!$M$113:$M$132,$G940,月間集計シート!T$113:T$132)*AR$2</f>
        <v>0</v>
      </c>
      <c r="AS940" s="88">
        <f>SUMIF(月間集計シート!$M$134:$M$153,$G940,月間集計シート!N$134:N$153)*AS$2</f>
        <v>0</v>
      </c>
      <c r="AT940" s="88">
        <f>SUMIF(月間集計シート!$M$134:$M$153,$G940,月間集計シート!O$134:O$153)*AT$2</f>
        <v>0</v>
      </c>
      <c r="AU940" s="88">
        <f>SUMIF(月間集計シート!$M$134:$M$153,$G940,月間集計シート!P$134:P$153)*AU$2</f>
        <v>0</v>
      </c>
      <c r="AV940" s="88">
        <f>SUMIF(月間集計シート!$M$134:$M$153,$G940,月間集計シート!Q$134:Q$153)*AV$2</f>
        <v>0</v>
      </c>
      <c r="AW940" s="88">
        <f>SUMIF(月間集計シート!$M$134:$M$153,$G940,月間集計シート!R$134:R$153)*AW$2</f>
        <v>0</v>
      </c>
      <c r="AX940" s="88">
        <f>SUMIF(月間集計シート!$M$134:$M$153,$G940,月間集計シート!S$134:S$153)*AX$2</f>
        <v>0</v>
      </c>
      <c r="AY940" s="88">
        <f>SUMIF(月間集計シート!$M$134:$M$153,$G940,月間集計シート!T$134:T$153)*AY$2</f>
        <v>0</v>
      </c>
    </row>
    <row r="941" spans="1:51" ht="14.25" thickBot="1">
      <c r="A941">
        <v>11</v>
      </c>
      <c r="B941" s="120">
        <f t="shared" si="470"/>
        <v>0</v>
      </c>
      <c r="C941" s="120" t="str">
        <f t="shared" si="470"/>
        <v/>
      </c>
      <c r="D941" s="137"/>
      <c r="E941" s="150" t="str">
        <f>工種!A83</f>
        <v>99199</v>
      </c>
      <c r="F941" s="119" t="str">
        <f>工種!B83</f>
        <v>間接業務：その他</v>
      </c>
      <c r="G941" s="116" t="str">
        <f t="shared" si="466"/>
        <v>099199</v>
      </c>
      <c r="H941" s="88">
        <f t="shared" si="420"/>
        <v>0</v>
      </c>
      <c r="I941" s="132"/>
      <c r="J941" s="88">
        <f>SUMIF(月間集計シート!$M$29:$M$48,$G941,月間集計シート!N$29:N$48)*J$2</f>
        <v>0</v>
      </c>
      <c r="K941" s="88">
        <f>SUMIF(月間集計シート!$M$29:$M$48,$G941,月間集計シート!O$29:O$48)*K$2</f>
        <v>0</v>
      </c>
      <c r="L941" s="88">
        <f>SUMIF(月間集計シート!$M$29:$M$48,$G941,月間集計シート!P$29:P$48)*L$2</f>
        <v>0</v>
      </c>
      <c r="M941" s="88">
        <f>SUMIF(月間集計シート!$M$29:$M$48,$G941,月間集計シート!Q$29:Q$48)*M$2</f>
        <v>0</v>
      </c>
      <c r="N941" s="88">
        <f>SUMIF(月間集計シート!$M$29:$M$48,$G941,月間集計シート!R$29:R$48)*N$2</f>
        <v>0</v>
      </c>
      <c r="O941" s="88">
        <f>SUMIF(月間集計シート!$M$29:$M$48,$G941,月間集計シート!S$29:S$48)*O$2</f>
        <v>0</v>
      </c>
      <c r="P941" s="88">
        <f>SUMIF(月間集計シート!$M$29:$M$48,$G941,月間集計シート!T$29:T$48)*P$2</f>
        <v>0</v>
      </c>
      <c r="Q941" s="88">
        <f>SUMIF(月間集計シート!$M$50:$M$69,$G941,月間集計シート!N$50:N$69)*Q$2</f>
        <v>0</v>
      </c>
      <c r="R941" s="88">
        <f>SUMIF(月間集計シート!$M$50:$M$69,$G941,月間集計シート!O$50:O$69)*R$2</f>
        <v>0</v>
      </c>
      <c r="S941" s="88">
        <f>SUMIF(月間集計シート!$M$50:$M$69,$G941,月間集計シート!P$50:P$69)*S$2</f>
        <v>0</v>
      </c>
      <c r="T941" s="88">
        <f>SUMIF(月間集計シート!$M$50:$M$69,$G941,月間集計シート!Q$50:Q$69)*T$2</f>
        <v>0</v>
      </c>
      <c r="U941" s="88">
        <f>SUMIF(月間集計シート!$M$50:$M$69,$G941,月間集計シート!R$50:R$69)*U$2</f>
        <v>0</v>
      </c>
      <c r="V941" s="88">
        <f>SUMIF(月間集計シート!$M$50:$M$69,$G941,月間集計シート!S$50:S$69)*V$2</f>
        <v>0</v>
      </c>
      <c r="W941" s="88">
        <f>SUMIF(月間集計シート!$M$50:$M$69,$G941,月間集計シート!T$50:T$69)*W$2</f>
        <v>0</v>
      </c>
      <c r="X941" s="88">
        <f>SUMIF(月間集計シート!$M$71:$M$90,$G941,月間集計シート!N$71:N$90)*X$2</f>
        <v>0</v>
      </c>
      <c r="Y941" s="88">
        <f>SUMIF(月間集計シート!$M$71:$M$90,$G941,月間集計シート!O$71:O$90)*Y$2</f>
        <v>0</v>
      </c>
      <c r="Z941" s="88">
        <f>SUMIF(月間集計シート!$M$71:$M$90,$G941,月間集計シート!P$71:P$90)*Z$2</f>
        <v>0</v>
      </c>
      <c r="AA941" s="88">
        <f>SUMIF(月間集計シート!$M$71:$M$90,$G941,月間集計シート!Q$71:Q$90)*AA$2</f>
        <v>0</v>
      </c>
      <c r="AB941" s="88">
        <f>SUMIF(月間集計シート!$M$71:$M$90,$G941,月間集計シート!R$71:R$90)*AB$2</f>
        <v>0</v>
      </c>
      <c r="AC941" s="88">
        <f>SUMIF(月間集計シート!$M$71:$M$90,$G941,月間集計シート!S$71:S$90)*AC$2</f>
        <v>0</v>
      </c>
      <c r="AD941" s="88">
        <f>SUMIF(月間集計シート!$M$71:$M$90,$G941,月間集計シート!T$71:T$90)*AD$2</f>
        <v>0</v>
      </c>
      <c r="AE941" s="88">
        <f>SUMIF(月間集計シート!$M$92:$M$111,$G941,月間集計シート!N$92:N$111)*AE$2</f>
        <v>0</v>
      </c>
      <c r="AF941" s="88">
        <f>SUMIF(月間集計シート!$M$92:$M$111,$G941,月間集計シート!O$92:O$111)*AF$2</f>
        <v>0</v>
      </c>
      <c r="AG941" s="88">
        <f>SUMIF(月間集計シート!$M$92:$M$111,$G941,月間集計シート!P$92:P$111)*AG$2</f>
        <v>0</v>
      </c>
      <c r="AH941" s="88">
        <f>SUMIF(月間集計シート!$M$92:$M$111,$G941,月間集計シート!Q$92:Q$111)*AH$2</f>
        <v>0</v>
      </c>
      <c r="AI941" s="88">
        <f>SUMIF(月間集計シート!$M$92:$M$111,$G941,月間集計シート!R$92:R$111)*AI$2</f>
        <v>0</v>
      </c>
      <c r="AJ941" s="88">
        <f>SUMIF(月間集計シート!$M$92:$M$111,$G941,月間集計シート!S$92:S$111)*AJ$2</f>
        <v>0</v>
      </c>
      <c r="AK941" s="88">
        <f>SUMIF(月間集計シート!$M$92:$M$111,$G941,月間集計シート!T$92:T$111)*AK$2</f>
        <v>0</v>
      </c>
      <c r="AL941" s="88">
        <f>SUMIF(月間集計シート!$M$113:$M$132,$G941,月間集計シート!N$113:N$132)*AL$2</f>
        <v>0</v>
      </c>
      <c r="AM941" s="88">
        <f>SUMIF(月間集計シート!$M$113:$M$132,$G941,月間集計シート!O$113:O$132)*AM$2</f>
        <v>0</v>
      </c>
      <c r="AN941" s="88">
        <f>SUMIF(月間集計シート!$M$113:$M$132,$G941,月間集計シート!P$113:P$132)*AN$2</f>
        <v>0</v>
      </c>
      <c r="AO941" s="88">
        <f>SUMIF(月間集計シート!$M$113:$M$132,$G941,月間集計シート!Q$113:Q$132)*AO$2</f>
        <v>0</v>
      </c>
      <c r="AP941" s="88">
        <f>SUMIF(月間集計シート!$M$113:$M$132,$G941,月間集計シート!R$113:R$132)*AP$2</f>
        <v>0</v>
      </c>
      <c r="AQ941" s="88">
        <f>SUMIF(月間集計シート!$M$113:$M$132,$G941,月間集計シート!S$113:S$132)*AQ$2</f>
        <v>0</v>
      </c>
      <c r="AR941" s="88">
        <f>SUMIF(月間集計シート!$M$113:$M$132,$G941,月間集計シート!T$113:T$132)*AR$2</f>
        <v>0</v>
      </c>
      <c r="AS941" s="88">
        <f>SUMIF(月間集計シート!$M$134:$M$153,$G941,月間集計シート!N$134:N$153)*AS$2</f>
        <v>0</v>
      </c>
      <c r="AT941" s="88">
        <f>SUMIF(月間集計シート!$M$134:$M$153,$G941,月間集計シート!O$134:O$153)*AT$2</f>
        <v>0</v>
      </c>
      <c r="AU941" s="88">
        <f>SUMIF(月間集計シート!$M$134:$M$153,$G941,月間集計シート!P$134:P$153)*AU$2</f>
        <v>0</v>
      </c>
      <c r="AV941" s="88">
        <f>SUMIF(月間集計シート!$M$134:$M$153,$G941,月間集計シート!Q$134:Q$153)*AV$2</f>
        <v>0</v>
      </c>
      <c r="AW941" s="88">
        <f>SUMIF(月間集計シート!$M$134:$M$153,$G941,月間集計シート!R$134:R$153)*AW$2</f>
        <v>0</v>
      </c>
      <c r="AX941" s="88">
        <f>SUMIF(月間集計シート!$M$134:$M$153,$G941,月間集計シート!S$134:S$153)*AX$2</f>
        <v>0</v>
      </c>
      <c r="AY941" s="88">
        <f>SUMIF(月間集計シート!$M$134:$M$153,$G941,月間集計シート!T$134:T$153)*AY$2</f>
        <v>0</v>
      </c>
    </row>
    <row r="942" spans="1:51">
      <c r="B942" s="120"/>
      <c r="C942" s="120"/>
      <c r="D942" s="127"/>
      <c r="E942" s="115"/>
      <c r="F942" s="119"/>
      <c r="G942" s="116"/>
      <c r="H942" s="88"/>
      <c r="I942" s="132"/>
      <c r="J942" s="88"/>
      <c r="K942" s="88"/>
      <c r="L942" s="88"/>
      <c r="M942" s="88"/>
      <c r="N942" s="88"/>
      <c r="O942" s="88"/>
      <c r="P942" s="88"/>
      <c r="Q942" s="88"/>
      <c r="R942" s="88"/>
      <c r="S942" s="88"/>
      <c r="T942" s="88"/>
      <c r="U942" s="88"/>
      <c r="V942" s="88"/>
      <c r="W942" s="88"/>
      <c r="X942" s="88"/>
      <c r="Y942" s="88"/>
      <c r="Z942" s="88"/>
      <c r="AA942" s="88"/>
      <c r="AB942" s="88"/>
      <c r="AC942" s="88"/>
      <c r="AD942" s="88"/>
      <c r="AE942" s="88"/>
      <c r="AF942" s="88"/>
      <c r="AG942" s="88"/>
      <c r="AH942" s="88"/>
      <c r="AI942" s="88"/>
      <c r="AJ942" s="88"/>
      <c r="AK942" s="88"/>
      <c r="AL942" s="88"/>
      <c r="AM942" s="88"/>
      <c r="AN942" s="88"/>
      <c r="AO942" s="88"/>
      <c r="AP942" s="88"/>
      <c r="AQ942" s="88"/>
      <c r="AR942" s="88"/>
      <c r="AS942" s="88"/>
      <c r="AT942" s="88"/>
      <c r="AU942" s="88"/>
      <c r="AV942" s="88"/>
      <c r="AW942" s="88"/>
      <c r="AX942" s="88"/>
      <c r="AY942" s="88"/>
    </row>
    <row r="943" spans="1:51" ht="14.25" thickBot="1">
      <c r="A943">
        <v>12</v>
      </c>
      <c r="B943">
        <f>月間集計シート!I15</f>
        <v>0</v>
      </c>
      <c r="C943" s="116" t="str">
        <f>月間集計シート!J15</f>
        <v/>
      </c>
      <c r="D943" s="147">
        <v>1</v>
      </c>
      <c r="E943" s="115" t="s">
        <v>451</v>
      </c>
      <c r="F943" s="119" t="s">
        <v>29</v>
      </c>
      <c r="G943" s="116"/>
      <c r="H943" s="88">
        <f t="shared" si="420"/>
        <v>0</v>
      </c>
      <c r="I943" s="132"/>
      <c r="J943" s="88">
        <f>SUM(J945:J1026)</f>
        <v>0</v>
      </c>
      <c r="K943" s="88">
        <f t="shared" ref="K943:AY943" si="473">SUM(K945:K1026)</f>
        <v>0</v>
      </c>
      <c r="L943" s="88">
        <f t="shared" si="473"/>
        <v>0</v>
      </c>
      <c r="M943" s="88">
        <f t="shared" si="473"/>
        <v>0</v>
      </c>
      <c r="N943" s="88">
        <f t="shared" si="473"/>
        <v>0</v>
      </c>
      <c r="O943" s="88">
        <f t="shared" si="473"/>
        <v>0</v>
      </c>
      <c r="P943" s="88">
        <f t="shared" si="473"/>
        <v>0</v>
      </c>
      <c r="Q943" s="88">
        <f t="shared" si="473"/>
        <v>0</v>
      </c>
      <c r="R943" s="88">
        <f t="shared" si="473"/>
        <v>0</v>
      </c>
      <c r="S943" s="88">
        <f t="shared" si="473"/>
        <v>0</v>
      </c>
      <c r="T943" s="88">
        <f t="shared" si="473"/>
        <v>0</v>
      </c>
      <c r="U943" s="88">
        <f t="shared" si="473"/>
        <v>0</v>
      </c>
      <c r="V943" s="88">
        <f t="shared" si="473"/>
        <v>0</v>
      </c>
      <c r="W943" s="88">
        <f t="shared" si="473"/>
        <v>0</v>
      </c>
      <c r="X943" s="88">
        <f t="shared" si="473"/>
        <v>0</v>
      </c>
      <c r="Y943" s="88">
        <f t="shared" si="473"/>
        <v>0</v>
      </c>
      <c r="Z943" s="88">
        <f t="shared" si="473"/>
        <v>0</v>
      </c>
      <c r="AA943" s="88">
        <f t="shared" si="473"/>
        <v>0</v>
      </c>
      <c r="AB943" s="88">
        <f t="shared" si="473"/>
        <v>0</v>
      </c>
      <c r="AC943" s="88">
        <f t="shared" si="473"/>
        <v>0</v>
      </c>
      <c r="AD943" s="88">
        <f t="shared" si="473"/>
        <v>0</v>
      </c>
      <c r="AE943" s="88">
        <f t="shared" si="473"/>
        <v>0</v>
      </c>
      <c r="AF943" s="88">
        <f t="shared" si="473"/>
        <v>0</v>
      </c>
      <c r="AG943" s="88">
        <f t="shared" si="473"/>
        <v>0</v>
      </c>
      <c r="AH943" s="88">
        <f t="shared" si="473"/>
        <v>0</v>
      </c>
      <c r="AI943" s="88">
        <f t="shared" si="473"/>
        <v>0</v>
      </c>
      <c r="AJ943" s="88">
        <f t="shared" si="473"/>
        <v>0</v>
      </c>
      <c r="AK943" s="88">
        <f t="shared" si="473"/>
        <v>0</v>
      </c>
      <c r="AL943" s="88">
        <f t="shared" si="473"/>
        <v>0</v>
      </c>
      <c r="AM943" s="88">
        <f t="shared" si="473"/>
        <v>0</v>
      </c>
      <c r="AN943" s="88">
        <f t="shared" si="473"/>
        <v>0</v>
      </c>
      <c r="AO943" s="88">
        <f t="shared" si="473"/>
        <v>0</v>
      </c>
      <c r="AP943" s="88">
        <f t="shared" si="473"/>
        <v>0</v>
      </c>
      <c r="AQ943" s="88">
        <f t="shared" si="473"/>
        <v>0</v>
      </c>
      <c r="AR943" s="88">
        <f t="shared" si="473"/>
        <v>0</v>
      </c>
      <c r="AS943" s="88">
        <f t="shared" si="473"/>
        <v>0</v>
      </c>
      <c r="AT943" s="88">
        <f t="shared" si="473"/>
        <v>0</v>
      </c>
      <c r="AU943" s="88">
        <f t="shared" si="473"/>
        <v>0</v>
      </c>
      <c r="AV943" s="88">
        <f t="shared" si="473"/>
        <v>0</v>
      </c>
      <c r="AW943" s="88">
        <f t="shared" si="473"/>
        <v>0</v>
      </c>
      <c r="AX943" s="88">
        <f t="shared" si="473"/>
        <v>0</v>
      </c>
      <c r="AY943" s="88">
        <f t="shared" si="473"/>
        <v>0</v>
      </c>
    </row>
    <row r="944" spans="1:51" ht="14.25" customHeight="1" thickBot="1">
      <c r="A944">
        <v>12</v>
      </c>
      <c r="B944">
        <f>B943</f>
        <v>0</v>
      </c>
      <c r="C944" s="116" t="str">
        <f>C943</f>
        <v/>
      </c>
      <c r="D944" s="147">
        <v>1</v>
      </c>
      <c r="E944" s="115" t="s">
        <v>453</v>
      </c>
      <c r="F944" s="119" t="s">
        <v>454</v>
      </c>
      <c r="G944" s="116"/>
      <c r="H944" s="129">
        <f t="shared" ref="H944" si="474">SUM(J944:AY944)</f>
        <v>0</v>
      </c>
      <c r="I944" s="132"/>
      <c r="J944" s="88">
        <f>SUMIF($D945:$D1026,1,J945:J1026)</f>
        <v>0</v>
      </c>
      <c r="K944" s="88">
        <f t="shared" ref="K944" si="475">SUMIF($D945:$D1026,1,K945:K1026)</f>
        <v>0</v>
      </c>
      <c r="L944" s="88">
        <f t="shared" ref="L944" si="476">SUMIF($D945:$D1026,1,L945:L1026)</f>
        <v>0</v>
      </c>
      <c r="M944" s="88">
        <f t="shared" ref="M944" si="477">SUMIF($D945:$D1026,1,M945:M1026)</f>
        <v>0</v>
      </c>
      <c r="N944" s="88">
        <f t="shared" ref="N944" si="478">SUMIF($D945:$D1026,1,N945:N1026)</f>
        <v>0</v>
      </c>
      <c r="O944" s="88">
        <f t="shared" ref="O944" si="479">SUMIF($D945:$D1026,1,O945:O1026)</f>
        <v>0</v>
      </c>
      <c r="P944" s="88">
        <f t="shared" ref="P944" si="480">SUMIF($D945:$D1026,1,P945:P1026)</f>
        <v>0</v>
      </c>
      <c r="Q944" s="88">
        <f t="shared" ref="Q944" si="481">SUMIF($D945:$D1026,1,Q945:Q1026)</f>
        <v>0</v>
      </c>
      <c r="R944" s="88">
        <f t="shared" ref="R944" si="482">SUMIF($D945:$D1026,1,R945:R1026)</f>
        <v>0</v>
      </c>
      <c r="S944" s="88">
        <f t="shared" ref="S944" si="483">SUMIF($D945:$D1026,1,S945:S1026)</f>
        <v>0</v>
      </c>
      <c r="T944" s="88">
        <f t="shared" ref="T944" si="484">SUMIF($D945:$D1026,1,T945:T1026)</f>
        <v>0</v>
      </c>
      <c r="U944" s="88">
        <f t="shared" ref="U944" si="485">SUMIF($D945:$D1026,1,U945:U1026)</f>
        <v>0</v>
      </c>
      <c r="V944" s="88">
        <f t="shared" ref="V944" si="486">SUMIF($D945:$D1026,1,V945:V1026)</f>
        <v>0</v>
      </c>
      <c r="W944" s="88">
        <f t="shared" ref="W944" si="487">SUMIF($D945:$D1026,1,W945:W1026)</f>
        <v>0</v>
      </c>
      <c r="X944" s="88">
        <f t="shared" ref="X944" si="488">SUMIF($D945:$D1026,1,X945:X1026)</f>
        <v>0</v>
      </c>
      <c r="Y944" s="88">
        <f t="shared" ref="Y944" si="489">SUMIF($D945:$D1026,1,Y945:Y1026)</f>
        <v>0</v>
      </c>
      <c r="Z944" s="88">
        <f t="shared" ref="Z944" si="490">SUMIF($D945:$D1026,1,Z945:Z1026)</f>
        <v>0</v>
      </c>
      <c r="AA944" s="88">
        <f t="shared" ref="AA944" si="491">SUMIF($D945:$D1026,1,AA945:AA1026)</f>
        <v>0</v>
      </c>
      <c r="AB944" s="88">
        <f t="shared" ref="AB944" si="492">SUMIF($D945:$D1026,1,AB945:AB1026)</f>
        <v>0</v>
      </c>
      <c r="AC944" s="88">
        <f t="shared" ref="AC944" si="493">SUMIF($D945:$D1026,1,AC945:AC1026)</f>
        <v>0</v>
      </c>
      <c r="AD944" s="88">
        <f t="shared" ref="AD944" si="494">SUMIF($D945:$D1026,1,AD945:AD1026)</f>
        <v>0</v>
      </c>
      <c r="AE944" s="88">
        <f t="shared" ref="AE944" si="495">SUMIF($D945:$D1026,1,AE945:AE1026)</f>
        <v>0</v>
      </c>
      <c r="AF944" s="88">
        <f t="shared" ref="AF944" si="496">SUMIF($D945:$D1026,1,AF945:AF1026)</f>
        <v>0</v>
      </c>
      <c r="AG944" s="88">
        <f t="shared" ref="AG944" si="497">SUMIF($D945:$D1026,1,AG945:AG1026)</f>
        <v>0</v>
      </c>
      <c r="AH944" s="88">
        <f t="shared" ref="AH944" si="498">SUMIF($D945:$D1026,1,AH945:AH1026)</f>
        <v>0</v>
      </c>
      <c r="AI944" s="88">
        <f t="shared" ref="AI944" si="499">SUMIF($D945:$D1026,1,AI945:AI1026)</f>
        <v>0</v>
      </c>
      <c r="AJ944" s="88">
        <f t="shared" ref="AJ944" si="500">SUMIF($D945:$D1026,1,AJ945:AJ1026)</f>
        <v>0</v>
      </c>
      <c r="AK944" s="88">
        <f t="shared" ref="AK944" si="501">SUMIF($D945:$D1026,1,AK945:AK1026)</f>
        <v>0</v>
      </c>
      <c r="AL944" s="88">
        <f t="shared" ref="AL944" si="502">SUMIF($D945:$D1026,1,AL945:AL1026)</f>
        <v>0</v>
      </c>
      <c r="AM944" s="88">
        <f t="shared" ref="AM944" si="503">SUMIF($D945:$D1026,1,AM945:AM1026)</f>
        <v>0</v>
      </c>
      <c r="AN944" s="88">
        <f t="shared" ref="AN944" si="504">SUMIF($D945:$D1026,1,AN945:AN1026)</f>
        <v>0</v>
      </c>
      <c r="AO944" s="88">
        <f t="shared" ref="AO944" si="505">SUMIF($D945:$D1026,1,AO945:AO1026)</f>
        <v>0</v>
      </c>
      <c r="AP944" s="88">
        <f t="shared" ref="AP944" si="506">SUMIF($D945:$D1026,1,AP945:AP1026)</f>
        <v>0</v>
      </c>
      <c r="AQ944" s="88">
        <f t="shared" ref="AQ944" si="507">SUMIF($D945:$D1026,1,AQ945:AQ1026)</f>
        <v>0</v>
      </c>
      <c r="AR944" s="88">
        <f t="shared" ref="AR944" si="508">SUMIF($D945:$D1026,1,AR945:AR1026)</f>
        <v>0</v>
      </c>
      <c r="AS944" s="88">
        <f t="shared" ref="AS944" si="509">SUMIF($D945:$D1026,1,AS945:AS1026)</f>
        <v>0</v>
      </c>
      <c r="AT944" s="88">
        <f t="shared" ref="AT944" si="510">SUMIF($D945:$D1026,1,AT945:AT1026)</f>
        <v>0</v>
      </c>
      <c r="AU944" s="88">
        <f t="shared" ref="AU944" si="511">SUMIF($D945:$D1026,1,AU945:AU1026)</f>
        <v>0</v>
      </c>
      <c r="AV944" s="88">
        <f t="shared" ref="AV944" si="512">SUMIF($D945:$D1026,1,AV945:AV1026)</f>
        <v>0</v>
      </c>
      <c r="AW944" s="88">
        <f t="shared" ref="AW944" si="513">SUMIF($D945:$D1026,1,AW945:AW1026)</f>
        <v>0</v>
      </c>
      <c r="AX944" s="88">
        <f t="shared" ref="AX944" si="514">SUMIF($D945:$D1026,1,AX945:AX1026)</f>
        <v>0</v>
      </c>
      <c r="AY944" s="88">
        <f t="shared" ref="AY944" si="515">SUMIF($D945:$D1026,1,AY945:AY1026)</f>
        <v>0</v>
      </c>
    </row>
    <row r="945" spans="1:51" ht="14.25" thickBot="1">
      <c r="A945">
        <v>12</v>
      </c>
      <c r="B945" s="120">
        <f>B943</f>
        <v>0</v>
      </c>
      <c r="C945" s="120" t="str">
        <f>C943</f>
        <v/>
      </c>
      <c r="D945" s="137"/>
      <c r="E945" s="150" t="str">
        <f>工種!A2</f>
        <v>10102</v>
      </c>
      <c r="F945" s="119" t="str">
        <f>工種!B2</f>
        <v>SRS：調査・分析・開発計画の準備・実施作業</v>
      </c>
      <c r="G945" s="116" t="str">
        <f t="shared" si="466"/>
        <v>010102</v>
      </c>
      <c r="H945" s="88">
        <f t="shared" ref="H945:H1028" si="516">SUM(J945:AY945)</f>
        <v>0</v>
      </c>
      <c r="I945" s="132"/>
      <c r="J945" s="88">
        <f>SUMIF(月間集計シート!$M$29:$M$48,$G945,月間集計シート!N$29:N$48)*J$2</f>
        <v>0</v>
      </c>
      <c r="K945" s="88">
        <f>SUMIF(月間集計シート!$M$29:$M$48,$G945,月間集計シート!O$29:O$48)*K$2</f>
        <v>0</v>
      </c>
      <c r="L945" s="88">
        <f>SUMIF(月間集計シート!$M$29:$M$48,$G945,月間集計シート!P$29:P$48)*L$2</f>
        <v>0</v>
      </c>
      <c r="M945" s="88">
        <f>SUMIF(月間集計シート!$M$29:$M$48,$G945,月間集計シート!Q$29:Q$48)*M$2</f>
        <v>0</v>
      </c>
      <c r="N945" s="88">
        <f>SUMIF(月間集計シート!$M$29:$M$48,$G945,月間集計シート!R$29:R$48)*N$2</f>
        <v>0</v>
      </c>
      <c r="O945" s="88">
        <f>SUMIF(月間集計シート!$M$29:$M$48,$G945,月間集計シート!S$29:S$48)*O$2</f>
        <v>0</v>
      </c>
      <c r="P945" s="88">
        <f>SUMIF(月間集計シート!$M$29:$M$48,$G945,月間集計シート!T$29:T$48)*P$2</f>
        <v>0</v>
      </c>
      <c r="Q945" s="88">
        <f>SUMIF(月間集計シート!$M$50:$M$69,$G945,月間集計シート!N$50:N$69)*Q$2</f>
        <v>0</v>
      </c>
      <c r="R945" s="88">
        <f>SUMIF(月間集計シート!$M$50:$M$69,$G945,月間集計シート!O$50:O$69)*R$2</f>
        <v>0</v>
      </c>
      <c r="S945" s="88">
        <f>SUMIF(月間集計シート!$M$50:$M$69,$G945,月間集計シート!P$50:P$69)*S$2</f>
        <v>0</v>
      </c>
      <c r="T945" s="88">
        <f>SUMIF(月間集計シート!$M$50:$M$69,$G945,月間集計シート!Q$50:Q$69)*T$2</f>
        <v>0</v>
      </c>
      <c r="U945" s="88">
        <f>SUMIF(月間集計シート!$M$50:$M$69,$G945,月間集計シート!R$50:R$69)*U$2</f>
        <v>0</v>
      </c>
      <c r="V945" s="88">
        <f>SUMIF(月間集計シート!$M$50:$M$69,$G945,月間集計シート!S$50:S$69)*V$2</f>
        <v>0</v>
      </c>
      <c r="W945" s="88">
        <f>SUMIF(月間集計シート!$M$50:$M$69,$G945,月間集計シート!T$50:T$69)*W$2</f>
        <v>0</v>
      </c>
      <c r="X945" s="88">
        <f>SUMIF(月間集計シート!$M$71:$M$90,$G945,月間集計シート!N$71:N$90)*X$2</f>
        <v>0</v>
      </c>
      <c r="Y945" s="88">
        <f>SUMIF(月間集計シート!$M$71:$M$90,$G945,月間集計シート!O$71:O$90)*Y$2</f>
        <v>0</v>
      </c>
      <c r="Z945" s="88">
        <f>SUMIF(月間集計シート!$M$71:$M$90,$G945,月間集計シート!P$71:P$90)*Z$2</f>
        <v>0</v>
      </c>
      <c r="AA945" s="88">
        <f>SUMIF(月間集計シート!$M$71:$M$90,$G945,月間集計シート!Q$71:Q$90)*AA$2</f>
        <v>0</v>
      </c>
      <c r="AB945" s="88">
        <f>SUMIF(月間集計シート!$M$71:$M$90,$G945,月間集計シート!R$71:R$90)*AB$2</f>
        <v>0</v>
      </c>
      <c r="AC945" s="88">
        <f>SUMIF(月間集計シート!$M$71:$M$90,$G945,月間集計シート!S$71:S$90)*AC$2</f>
        <v>0</v>
      </c>
      <c r="AD945" s="88">
        <f>SUMIF(月間集計シート!$M$71:$M$90,$G945,月間集計シート!T$71:T$90)*AD$2</f>
        <v>0</v>
      </c>
      <c r="AE945" s="88">
        <f>SUMIF(月間集計シート!$M$92:$M$111,$G945,月間集計シート!N$92:N$111)*AE$2</f>
        <v>0</v>
      </c>
      <c r="AF945" s="88">
        <f>SUMIF(月間集計シート!$M$92:$M$111,$G945,月間集計シート!O$92:O$111)*AF$2</f>
        <v>0</v>
      </c>
      <c r="AG945" s="88">
        <f>SUMIF(月間集計シート!$M$92:$M$111,$G945,月間集計シート!P$92:P$111)*AG$2</f>
        <v>0</v>
      </c>
      <c r="AH945" s="88">
        <f>SUMIF(月間集計シート!$M$92:$M$111,$G945,月間集計シート!Q$92:Q$111)*AH$2</f>
        <v>0</v>
      </c>
      <c r="AI945" s="88">
        <f>SUMIF(月間集計シート!$M$92:$M$111,$G945,月間集計シート!R$92:R$111)*AI$2</f>
        <v>0</v>
      </c>
      <c r="AJ945" s="88">
        <f>SUMIF(月間集計シート!$M$92:$M$111,$G945,月間集計シート!S$92:S$111)*AJ$2</f>
        <v>0</v>
      </c>
      <c r="AK945" s="88">
        <f>SUMIF(月間集計シート!$M$92:$M$111,$G945,月間集計シート!T$92:T$111)*AK$2</f>
        <v>0</v>
      </c>
      <c r="AL945" s="88">
        <f>SUMIF(月間集計シート!$M$113:$M$132,$G945,月間集計シート!N$113:N$132)*AL$2</f>
        <v>0</v>
      </c>
      <c r="AM945" s="88">
        <f>SUMIF(月間集計シート!$M$113:$M$132,$G945,月間集計シート!O$113:O$132)*AM$2</f>
        <v>0</v>
      </c>
      <c r="AN945" s="88">
        <f>SUMIF(月間集計シート!$M$113:$M$132,$G945,月間集計シート!P$113:P$132)*AN$2</f>
        <v>0</v>
      </c>
      <c r="AO945" s="88">
        <f>SUMIF(月間集計シート!$M$113:$M$132,$G945,月間集計シート!Q$113:Q$132)*AO$2</f>
        <v>0</v>
      </c>
      <c r="AP945" s="88">
        <f>SUMIF(月間集計シート!$M$113:$M$132,$G945,月間集計シート!R$113:R$132)*AP$2</f>
        <v>0</v>
      </c>
      <c r="AQ945" s="88">
        <f>SUMIF(月間集計シート!$M$113:$M$132,$G945,月間集計シート!S$113:S$132)*AQ$2</f>
        <v>0</v>
      </c>
      <c r="AR945" s="88">
        <f>SUMIF(月間集計シート!$M$113:$M$132,$G945,月間集計シート!T$113:T$132)*AR$2</f>
        <v>0</v>
      </c>
      <c r="AS945" s="88">
        <f>SUMIF(月間集計シート!$M$134:$M$153,$G945,月間集計シート!N$134:N$153)*AS$2</f>
        <v>0</v>
      </c>
      <c r="AT945" s="88">
        <f>SUMIF(月間集計シート!$M$134:$M$153,$G945,月間集計シート!O$134:O$153)*AT$2</f>
        <v>0</v>
      </c>
      <c r="AU945" s="88">
        <f>SUMIF(月間集計シート!$M$134:$M$153,$G945,月間集計シート!P$134:P$153)*AU$2</f>
        <v>0</v>
      </c>
      <c r="AV945" s="88">
        <f>SUMIF(月間集計シート!$M$134:$M$153,$G945,月間集計シート!Q$134:Q$153)*AV$2</f>
        <v>0</v>
      </c>
      <c r="AW945" s="88">
        <f>SUMIF(月間集計シート!$M$134:$M$153,$G945,月間集計シート!R$134:R$153)*AW$2</f>
        <v>0</v>
      </c>
      <c r="AX945" s="88">
        <f>SUMIF(月間集計シート!$M$134:$M$153,$G945,月間集計シート!S$134:S$153)*AX$2</f>
        <v>0</v>
      </c>
      <c r="AY945" s="88">
        <f>SUMIF(月間集計シート!$M$134:$M$153,$G945,月間集計シート!T$134:T$153)*AY$2</f>
        <v>0</v>
      </c>
    </row>
    <row r="946" spans="1:51" ht="14.25" thickBot="1">
      <c r="A946">
        <v>12</v>
      </c>
      <c r="B946" s="120">
        <f t="shared" ref="B946:B1009" si="517">B945</f>
        <v>0</v>
      </c>
      <c r="C946" s="120" t="str">
        <f t="shared" ref="C946:C1009" si="518">C945</f>
        <v/>
      </c>
      <c r="D946" s="137"/>
      <c r="E946" s="150" t="str">
        <f>工種!A3</f>
        <v>10103</v>
      </c>
      <c r="F946" s="119" t="str">
        <f>工種!B3</f>
        <v>SRS：企画書・計画書・報告書等資料作成・修正</v>
      </c>
      <c r="G946" s="116" t="str">
        <f t="shared" si="466"/>
        <v>010103</v>
      </c>
      <c r="H946" s="88">
        <f t="shared" si="516"/>
        <v>0</v>
      </c>
      <c r="I946" s="132"/>
      <c r="J946" s="88">
        <f>SUMIF(月間集計シート!$M$29:$M$48,$G946,月間集計シート!N$29:N$48)*J$2</f>
        <v>0</v>
      </c>
      <c r="K946" s="88">
        <f>SUMIF(月間集計シート!$M$29:$M$48,$G946,月間集計シート!O$29:O$48)*K$2</f>
        <v>0</v>
      </c>
      <c r="L946" s="88">
        <f>SUMIF(月間集計シート!$M$29:$M$48,$G946,月間集計シート!P$29:P$48)*L$2</f>
        <v>0</v>
      </c>
      <c r="M946" s="88">
        <f>SUMIF(月間集計シート!$M$29:$M$48,$G946,月間集計シート!Q$29:Q$48)*M$2</f>
        <v>0</v>
      </c>
      <c r="N946" s="88">
        <f>SUMIF(月間集計シート!$M$29:$M$48,$G946,月間集計シート!R$29:R$48)*N$2</f>
        <v>0</v>
      </c>
      <c r="O946" s="88">
        <f>SUMIF(月間集計シート!$M$29:$M$48,$G946,月間集計シート!S$29:S$48)*O$2</f>
        <v>0</v>
      </c>
      <c r="P946" s="88">
        <f>SUMIF(月間集計シート!$M$29:$M$48,$G946,月間集計シート!T$29:T$48)*P$2</f>
        <v>0</v>
      </c>
      <c r="Q946" s="88">
        <f>SUMIF(月間集計シート!$M$50:$M$69,$G946,月間集計シート!N$50:N$69)*Q$2</f>
        <v>0</v>
      </c>
      <c r="R946" s="88">
        <f>SUMIF(月間集計シート!$M$50:$M$69,$G946,月間集計シート!O$50:O$69)*R$2</f>
        <v>0</v>
      </c>
      <c r="S946" s="88">
        <f>SUMIF(月間集計シート!$M$50:$M$69,$G946,月間集計シート!P$50:P$69)*S$2</f>
        <v>0</v>
      </c>
      <c r="T946" s="88">
        <f>SUMIF(月間集計シート!$M$50:$M$69,$G946,月間集計シート!Q$50:Q$69)*T$2</f>
        <v>0</v>
      </c>
      <c r="U946" s="88">
        <f>SUMIF(月間集計シート!$M$50:$M$69,$G946,月間集計シート!R$50:R$69)*U$2</f>
        <v>0</v>
      </c>
      <c r="V946" s="88">
        <f>SUMIF(月間集計シート!$M$50:$M$69,$G946,月間集計シート!S$50:S$69)*V$2</f>
        <v>0</v>
      </c>
      <c r="W946" s="88">
        <f>SUMIF(月間集計シート!$M$50:$M$69,$G946,月間集計シート!T$50:T$69)*W$2</f>
        <v>0</v>
      </c>
      <c r="X946" s="88">
        <f>SUMIF(月間集計シート!$M$71:$M$90,$G946,月間集計シート!N$71:N$90)*X$2</f>
        <v>0</v>
      </c>
      <c r="Y946" s="88">
        <f>SUMIF(月間集計シート!$M$71:$M$90,$G946,月間集計シート!O$71:O$90)*Y$2</f>
        <v>0</v>
      </c>
      <c r="Z946" s="88">
        <f>SUMIF(月間集計シート!$M$71:$M$90,$G946,月間集計シート!P$71:P$90)*Z$2</f>
        <v>0</v>
      </c>
      <c r="AA946" s="88">
        <f>SUMIF(月間集計シート!$M$71:$M$90,$G946,月間集計シート!Q$71:Q$90)*AA$2</f>
        <v>0</v>
      </c>
      <c r="AB946" s="88">
        <f>SUMIF(月間集計シート!$M$71:$M$90,$G946,月間集計シート!R$71:R$90)*AB$2</f>
        <v>0</v>
      </c>
      <c r="AC946" s="88">
        <f>SUMIF(月間集計シート!$M$71:$M$90,$G946,月間集計シート!S$71:S$90)*AC$2</f>
        <v>0</v>
      </c>
      <c r="AD946" s="88">
        <f>SUMIF(月間集計シート!$M$71:$M$90,$G946,月間集計シート!T$71:T$90)*AD$2</f>
        <v>0</v>
      </c>
      <c r="AE946" s="88">
        <f>SUMIF(月間集計シート!$M$92:$M$111,$G946,月間集計シート!N$92:N$111)*AE$2</f>
        <v>0</v>
      </c>
      <c r="AF946" s="88">
        <f>SUMIF(月間集計シート!$M$92:$M$111,$G946,月間集計シート!O$92:O$111)*AF$2</f>
        <v>0</v>
      </c>
      <c r="AG946" s="88">
        <f>SUMIF(月間集計シート!$M$92:$M$111,$G946,月間集計シート!P$92:P$111)*AG$2</f>
        <v>0</v>
      </c>
      <c r="AH946" s="88">
        <f>SUMIF(月間集計シート!$M$92:$M$111,$G946,月間集計シート!Q$92:Q$111)*AH$2</f>
        <v>0</v>
      </c>
      <c r="AI946" s="88">
        <f>SUMIF(月間集計シート!$M$92:$M$111,$G946,月間集計シート!R$92:R$111)*AI$2</f>
        <v>0</v>
      </c>
      <c r="AJ946" s="88">
        <f>SUMIF(月間集計シート!$M$92:$M$111,$G946,月間集計シート!S$92:S$111)*AJ$2</f>
        <v>0</v>
      </c>
      <c r="AK946" s="88">
        <f>SUMIF(月間集計シート!$M$92:$M$111,$G946,月間集計シート!T$92:T$111)*AK$2</f>
        <v>0</v>
      </c>
      <c r="AL946" s="88">
        <f>SUMIF(月間集計シート!$M$113:$M$132,$G946,月間集計シート!N$113:N$132)*AL$2</f>
        <v>0</v>
      </c>
      <c r="AM946" s="88">
        <f>SUMIF(月間集計シート!$M$113:$M$132,$G946,月間集計シート!O$113:O$132)*AM$2</f>
        <v>0</v>
      </c>
      <c r="AN946" s="88">
        <f>SUMIF(月間集計シート!$M$113:$M$132,$G946,月間集計シート!P$113:P$132)*AN$2</f>
        <v>0</v>
      </c>
      <c r="AO946" s="88">
        <f>SUMIF(月間集計シート!$M$113:$M$132,$G946,月間集計シート!Q$113:Q$132)*AO$2</f>
        <v>0</v>
      </c>
      <c r="AP946" s="88">
        <f>SUMIF(月間集計シート!$M$113:$M$132,$G946,月間集計シート!R$113:R$132)*AP$2</f>
        <v>0</v>
      </c>
      <c r="AQ946" s="88">
        <f>SUMIF(月間集計シート!$M$113:$M$132,$G946,月間集計シート!S$113:S$132)*AQ$2</f>
        <v>0</v>
      </c>
      <c r="AR946" s="88">
        <f>SUMIF(月間集計シート!$M$113:$M$132,$G946,月間集計シート!T$113:T$132)*AR$2</f>
        <v>0</v>
      </c>
      <c r="AS946" s="88">
        <f>SUMIF(月間集計シート!$M$134:$M$153,$G946,月間集計シート!N$134:N$153)*AS$2</f>
        <v>0</v>
      </c>
      <c r="AT946" s="88">
        <f>SUMIF(月間集計シート!$M$134:$M$153,$G946,月間集計シート!O$134:O$153)*AT$2</f>
        <v>0</v>
      </c>
      <c r="AU946" s="88">
        <f>SUMIF(月間集計シート!$M$134:$M$153,$G946,月間集計シート!P$134:P$153)*AU$2</f>
        <v>0</v>
      </c>
      <c r="AV946" s="88">
        <f>SUMIF(月間集計シート!$M$134:$M$153,$G946,月間集計シート!Q$134:Q$153)*AV$2</f>
        <v>0</v>
      </c>
      <c r="AW946" s="88">
        <f>SUMIF(月間集計シート!$M$134:$M$153,$G946,月間集計シート!R$134:R$153)*AW$2</f>
        <v>0</v>
      </c>
      <c r="AX946" s="88">
        <f>SUMIF(月間集計シート!$M$134:$M$153,$G946,月間集計シート!S$134:S$153)*AX$2</f>
        <v>0</v>
      </c>
      <c r="AY946" s="88">
        <f>SUMIF(月間集計シート!$M$134:$M$153,$G946,月間集計シート!T$134:T$153)*AY$2</f>
        <v>0</v>
      </c>
    </row>
    <row r="947" spans="1:51" ht="14.25" thickBot="1">
      <c r="A947">
        <v>12</v>
      </c>
      <c r="B947" s="120">
        <f t="shared" si="517"/>
        <v>0</v>
      </c>
      <c r="C947" s="120" t="str">
        <f t="shared" si="518"/>
        <v/>
      </c>
      <c r="D947" s="137"/>
      <c r="E947" s="150" t="str">
        <f>工種!A4</f>
        <v>10104</v>
      </c>
      <c r="F947" s="119" t="str">
        <f>工種!B4</f>
        <v>SRS：打合せ</v>
      </c>
      <c r="G947" s="116" t="str">
        <f t="shared" si="466"/>
        <v>010104</v>
      </c>
      <c r="H947" s="88">
        <f t="shared" si="516"/>
        <v>0</v>
      </c>
      <c r="I947" s="132"/>
      <c r="J947" s="88">
        <f>SUMIF(月間集計シート!$M$29:$M$48,$G947,月間集計シート!N$29:N$48)*J$2</f>
        <v>0</v>
      </c>
      <c r="K947" s="88">
        <f>SUMIF(月間集計シート!$M$29:$M$48,$G947,月間集計シート!O$29:O$48)*K$2</f>
        <v>0</v>
      </c>
      <c r="L947" s="88">
        <f>SUMIF(月間集計シート!$M$29:$M$48,$G947,月間集計シート!P$29:P$48)*L$2</f>
        <v>0</v>
      </c>
      <c r="M947" s="88">
        <f>SUMIF(月間集計シート!$M$29:$M$48,$G947,月間集計シート!Q$29:Q$48)*M$2</f>
        <v>0</v>
      </c>
      <c r="N947" s="88">
        <f>SUMIF(月間集計シート!$M$29:$M$48,$G947,月間集計シート!R$29:R$48)*N$2</f>
        <v>0</v>
      </c>
      <c r="O947" s="88">
        <f>SUMIF(月間集計シート!$M$29:$M$48,$G947,月間集計シート!S$29:S$48)*O$2</f>
        <v>0</v>
      </c>
      <c r="P947" s="88">
        <f>SUMIF(月間集計シート!$M$29:$M$48,$G947,月間集計シート!T$29:T$48)*P$2</f>
        <v>0</v>
      </c>
      <c r="Q947" s="88">
        <f>SUMIF(月間集計シート!$M$50:$M$69,$G947,月間集計シート!N$50:N$69)*Q$2</f>
        <v>0</v>
      </c>
      <c r="R947" s="88">
        <f>SUMIF(月間集計シート!$M$50:$M$69,$G947,月間集計シート!O$50:O$69)*R$2</f>
        <v>0</v>
      </c>
      <c r="S947" s="88">
        <f>SUMIF(月間集計シート!$M$50:$M$69,$G947,月間集計シート!P$50:P$69)*S$2</f>
        <v>0</v>
      </c>
      <c r="T947" s="88">
        <f>SUMIF(月間集計シート!$M$50:$M$69,$G947,月間集計シート!Q$50:Q$69)*T$2</f>
        <v>0</v>
      </c>
      <c r="U947" s="88">
        <f>SUMIF(月間集計シート!$M$50:$M$69,$G947,月間集計シート!R$50:R$69)*U$2</f>
        <v>0</v>
      </c>
      <c r="V947" s="88">
        <f>SUMIF(月間集計シート!$M$50:$M$69,$G947,月間集計シート!S$50:S$69)*V$2</f>
        <v>0</v>
      </c>
      <c r="W947" s="88">
        <f>SUMIF(月間集計シート!$M$50:$M$69,$G947,月間集計シート!T$50:T$69)*W$2</f>
        <v>0</v>
      </c>
      <c r="X947" s="88">
        <f>SUMIF(月間集計シート!$M$71:$M$90,$G947,月間集計シート!N$71:N$90)*X$2</f>
        <v>0</v>
      </c>
      <c r="Y947" s="88">
        <f>SUMIF(月間集計シート!$M$71:$M$90,$G947,月間集計シート!O$71:O$90)*Y$2</f>
        <v>0</v>
      </c>
      <c r="Z947" s="88">
        <f>SUMIF(月間集計シート!$M$71:$M$90,$G947,月間集計シート!P$71:P$90)*Z$2</f>
        <v>0</v>
      </c>
      <c r="AA947" s="88">
        <f>SUMIF(月間集計シート!$M$71:$M$90,$G947,月間集計シート!Q$71:Q$90)*AA$2</f>
        <v>0</v>
      </c>
      <c r="AB947" s="88">
        <f>SUMIF(月間集計シート!$M$71:$M$90,$G947,月間集計シート!R$71:R$90)*AB$2</f>
        <v>0</v>
      </c>
      <c r="AC947" s="88">
        <f>SUMIF(月間集計シート!$M$71:$M$90,$G947,月間集計シート!S$71:S$90)*AC$2</f>
        <v>0</v>
      </c>
      <c r="AD947" s="88">
        <f>SUMIF(月間集計シート!$M$71:$M$90,$G947,月間集計シート!T$71:T$90)*AD$2</f>
        <v>0</v>
      </c>
      <c r="AE947" s="88">
        <f>SUMIF(月間集計シート!$M$92:$M$111,$G947,月間集計シート!N$92:N$111)*AE$2</f>
        <v>0</v>
      </c>
      <c r="AF947" s="88">
        <f>SUMIF(月間集計シート!$M$92:$M$111,$G947,月間集計シート!O$92:O$111)*AF$2</f>
        <v>0</v>
      </c>
      <c r="AG947" s="88">
        <f>SUMIF(月間集計シート!$M$92:$M$111,$G947,月間集計シート!P$92:P$111)*AG$2</f>
        <v>0</v>
      </c>
      <c r="AH947" s="88">
        <f>SUMIF(月間集計シート!$M$92:$M$111,$G947,月間集計シート!Q$92:Q$111)*AH$2</f>
        <v>0</v>
      </c>
      <c r="AI947" s="88">
        <f>SUMIF(月間集計シート!$M$92:$M$111,$G947,月間集計シート!R$92:R$111)*AI$2</f>
        <v>0</v>
      </c>
      <c r="AJ947" s="88">
        <f>SUMIF(月間集計シート!$M$92:$M$111,$G947,月間集計シート!S$92:S$111)*AJ$2</f>
        <v>0</v>
      </c>
      <c r="AK947" s="88">
        <f>SUMIF(月間集計シート!$M$92:$M$111,$G947,月間集計シート!T$92:T$111)*AK$2</f>
        <v>0</v>
      </c>
      <c r="AL947" s="88">
        <f>SUMIF(月間集計シート!$M$113:$M$132,$G947,月間集計シート!N$113:N$132)*AL$2</f>
        <v>0</v>
      </c>
      <c r="AM947" s="88">
        <f>SUMIF(月間集計シート!$M$113:$M$132,$G947,月間集計シート!O$113:O$132)*AM$2</f>
        <v>0</v>
      </c>
      <c r="AN947" s="88">
        <f>SUMIF(月間集計シート!$M$113:$M$132,$G947,月間集計シート!P$113:P$132)*AN$2</f>
        <v>0</v>
      </c>
      <c r="AO947" s="88">
        <f>SUMIF(月間集計シート!$M$113:$M$132,$G947,月間集計シート!Q$113:Q$132)*AO$2</f>
        <v>0</v>
      </c>
      <c r="AP947" s="88">
        <f>SUMIF(月間集計シート!$M$113:$M$132,$G947,月間集計シート!R$113:R$132)*AP$2</f>
        <v>0</v>
      </c>
      <c r="AQ947" s="88">
        <f>SUMIF(月間集計シート!$M$113:$M$132,$G947,月間集計シート!S$113:S$132)*AQ$2</f>
        <v>0</v>
      </c>
      <c r="AR947" s="88">
        <f>SUMIF(月間集計シート!$M$113:$M$132,$G947,月間集計シート!T$113:T$132)*AR$2</f>
        <v>0</v>
      </c>
      <c r="AS947" s="88">
        <f>SUMIF(月間集計シート!$M$134:$M$153,$G947,月間集計シート!N$134:N$153)*AS$2</f>
        <v>0</v>
      </c>
      <c r="AT947" s="88">
        <f>SUMIF(月間集計シート!$M$134:$M$153,$G947,月間集計シート!O$134:O$153)*AT$2</f>
        <v>0</v>
      </c>
      <c r="AU947" s="88">
        <f>SUMIF(月間集計シート!$M$134:$M$153,$G947,月間集計シート!P$134:P$153)*AU$2</f>
        <v>0</v>
      </c>
      <c r="AV947" s="88">
        <f>SUMIF(月間集計シート!$M$134:$M$153,$G947,月間集計シート!Q$134:Q$153)*AV$2</f>
        <v>0</v>
      </c>
      <c r="AW947" s="88">
        <f>SUMIF(月間集計シート!$M$134:$M$153,$G947,月間集計シート!R$134:R$153)*AW$2</f>
        <v>0</v>
      </c>
      <c r="AX947" s="88">
        <f>SUMIF(月間集計シート!$M$134:$M$153,$G947,月間集計シート!S$134:S$153)*AX$2</f>
        <v>0</v>
      </c>
      <c r="AY947" s="88">
        <f>SUMIF(月間集計シート!$M$134:$M$153,$G947,月間集計シート!T$134:T$153)*AY$2</f>
        <v>0</v>
      </c>
    </row>
    <row r="948" spans="1:51" ht="14.25" thickBot="1">
      <c r="A948">
        <v>12</v>
      </c>
      <c r="B948" s="120">
        <f t="shared" si="517"/>
        <v>0</v>
      </c>
      <c r="C948" s="120" t="str">
        <f t="shared" si="518"/>
        <v/>
      </c>
      <c r="D948" s="137"/>
      <c r="E948" s="150" t="str">
        <f>工種!A5</f>
        <v>10105</v>
      </c>
      <c r="F948" s="119" t="str">
        <f>工種!B5</f>
        <v>SRS：レビュー</v>
      </c>
      <c r="G948" s="116" t="str">
        <f t="shared" si="466"/>
        <v>010105</v>
      </c>
      <c r="H948" s="88">
        <f t="shared" si="516"/>
        <v>0</v>
      </c>
      <c r="I948" s="132"/>
      <c r="J948" s="88">
        <f>SUMIF(月間集計シート!$M$29:$M$48,$G948,月間集計シート!N$29:N$48)*J$2</f>
        <v>0</v>
      </c>
      <c r="K948" s="88">
        <f>SUMIF(月間集計シート!$M$29:$M$48,$G948,月間集計シート!O$29:O$48)*K$2</f>
        <v>0</v>
      </c>
      <c r="L948" s="88">
        <f>SUMIF(月間集計シート!$M$29:$M$48,$G948,月間集計シート!P$29:P$48)*L$2</f>
        <v>0</v>
      </c>
      <c r="M948" s="88">
        <f>SUMIF(月間集計シート!$M$29:$M$48,$G948,月間集計シート!Q$29:Q$48)*M$2</f>
        <v>0</v>
      </c>
      <c r="N948" s="88">
        <f>SUMIF(月間集計シート!$M$29:$M$48,$G948,月間集計シート!R$29:R$48)*N$2</f>
        <v>0</v>
      </c>
      <c r="O948" s="88">
        <f>SUMIF(月間集計シート!$M$29:$M$48,$G948,月間集計シート!S$29:S$48)*O$2</f>
        <v>0</v>
      </c>
      <c r="P948" s="88">
        <f>SUMIF(月間集計シート!$M$29:$M$48,$G948,月間集計シート!T$29:T$48)*P$2</f>
        <v>0</v>
      </c>
      <c r="Q948" s="88">
        <f>SUMIF(月間集計シート!$M$50:$M$69,$G948,月間集計シート!N$50:N$69)*Q$2</f>
        <v>0</v>
      </c>
      <c r="R948" s="88">
        <f>SUMIF(月間集計シート!$M$50:$M$69,$G948,月間集計シート!O$50:O$69)*R$2</f>
        <v>0</v>
      </c>
      <c r="S948" s="88">
        <f>SUMIF(月間集計シート!$M$50:$M$69,$G948,月間集計シート!P$50:P$69)*S$2</f>
        <v>0</v>
      </c>
      <c r="T948" s="88">
        <f>SUMIF(月間集計シート!$M$50:$M$69,$G948,月間集計シート!Q$50:Q$69)*T$2</f>
        <v>0</v>
      </c>
      <c r="U948" s="88">
        <f>SUMIF(月間集計シート!$M$50:$M$69,$G948,月間集計シート!R$50:R$69)*U$2</f>
        <v>0</v>
      </c>
      <c r="V948" s="88">
        <f>SUMIF(月間集計シート!$M$50:$M$69,$G948,月間集計シート!S$50:S$69)*V$2</f>
        <v>0</v>
      </c>
      <c r="W948" s="88">
        <f>SUMIF(月間集計シート!$M$50:$M$69,$G948,月間集計シート!T$50:T$69)*W$2</f>
        <v>0</v>
      </c>
      <c r="X948" s="88">
        <f>SUMIF(月間集計シート!$M$71:$M$90,$G948,月間集計シート!N$71:N$90)*X$2</f>
        <v>0</v>
      </c>
      <c r="Y948" s="88">
        <f>SUMIF(月間集計シート!$M$71:$M$90,$G948,月間集計シート!O$71:O$90)*Y$2</f>
        <v>0</v>
      </c>
      <c r="Z948" s="88">
        <f>SUMIF(月間集計シート!$M$71:$M$90,$G948,月間集計シート!P$71:P$90)*Z$2</f>
        <v>0</v>
      </c>
      <c r="AA948" s="88">
        <f>SUMIF(月間集計シート!$M$71:$M$90,$G948,月間集計シート!Q$71:Q$90)*AA$2</f>
        <v>0</v>
      </c>
      <c r="AB948" s="88">
        <f>SUMIF(月間集計シート!$M$71:$M$90,$G948,月間集計シート!R$71:R$90)*AB$2</f>
        <v>0</v>
      </c>
      <c r="AC948" s="88">
        <f>SUMIF(月間集計シート!$M$71:$M$90,$G948,月間集計シート!S$71:S$90)*AC$2</f>
        <v>0</v>
      </c>
      <c r="AD948" s="88">
        <f>SUMIF(月間集計シート!$M$71:$M$90,$G948,月間集計シート!T$71:T$90)*AD$2</f>
        <v>0</v>
      </c>
      <c r="AE948" s="88">
        <f>SUMIF(月間集計シート!$M$92:$M$111,$G948,月間集計シート!N$92:N$111)*AE$2</f>
        <v>0</v>
      </c>
      <c r="AF948" s="88">
        <f>SUMIF(月間集計シート!$M$92:$M$111,$G948,月間集計シート!O$92:O$111)*AF$2</f>
        <v>0</v>
      </c>
      <c r="AG948" s="88">
        <f>SUMIF(月間集計シート!$M$92:$M$111,$G948,月間集計シート!P$92:P$111)*AG$2</f>
        <v>0</v>
      </c>
      <c r="AH948" s="88">
        <f>SUMIF(月間集計シート!$M$92:$M$111,$G948,月間集計シート!Q$92:Q$111)*AH$2</f>
        <v>0</v>
      </c>
      <c r="AI948" s="88">
        <f>SUMIF(月間集計シート!$M$92:$M$111,$G948,月間集計シート!R$92:R$111)*AI$2</f>
        <v>0</v>
      </c>
      <c r="AJ948" s="88">
        <f>SUMIF(月間集計シート!$M$92:$M$111,$G948,月間集計シート!S$92:S$111)*AJ$2</f>
        <v>0</v>
      </c>
      <c r="AK948" s="88">
        <f>SUMIF(月間集計シート!$M$92:$M$111,$G948,月間集計シート!T$92:T$111)*AK$2</f>
        <v>0</v>
      </c>
      <c r="AL948" s="88">
        <f>SUMIF(月間集計シート!$M$113:$M$132,$G948,月間集計シート!N$113:N$132)*AL$2</f>
        <v>0</v>
      </c>
      <c r="AM948" s="88">
        <f>SUMIF(月間集計シート!$M$113:$M$132,$G948,月間集計シート!O$113:O$132)*AM$2</f>
        <v>0</v>
      </c>
      <c r="AN948" s="88">
        <f>SUMIF(月間集計シート!$M$113:$M$132,$G948,月間集計シート!P$113:P$132)*AN$2</f>
        <v>0</v>
      </c>
      <c r="AO948" s="88">
        <f>SUMIF(月間集計シート!$M$113:$M$132,$G948,月間集計シート!Q$113:Q$132)*AO$2</f>
        <v>0</v>
      </c>
      <c r="AP948" s="88">
        <f>SUMIF(月間集計シート!$M$113:$M$132,$G948,月間集計シート!R$113:R$132)*AP$2</f>
        <v>0</v>
      </c>
      <c r="AQ948" s="88">
        <f>SUMIF(月間集計シート!$M$113:$M$132,$G948,月間集計シート!S$113:S$132)*AQ$2</f>
        <v>0</v>
      </c>
      <c r="AR948" s="88">
        <f>SUMIF(月間集計シート!$M$113:$M$132,$G948,月間集計シート!T$113:T$132)*AR$2</f>
        <v>0</v>
      </c>
      <c r="AS948" s="88">
        <f>SUMIF(月間集計シート!$M$134:$M$153,$G948,月間集計シート!N$134:N$153)*AS$2</f>
        <v>0</v>
      </c>
      <c r="AT948" s="88">
        <f>SUMIF(月間集計シート!$M$134:$M$153,$G948,月間集計シート!O$134:O$153)*AT$2</f>
        <v>0</v>
      </c>
      <c r="AU948" s="88">
        <f>SUMIF(月間集計シート!$M$134:$M$153,$G948,月間集計シート!P$134:P$153)*AU$2</f>
        <v>0</v>
      </c>
      <c r="AV948" s="88">
        <f>SUMIF(月間集計シート!$M$134:$M$153,$G948,月間集計シート!Q$134:Q$153)*AV$2</f>
        <v>0</v>
      </c>
      <c r="AW948" s="88">
        <f>SUMIF(月間集計シート!$M$134:$M$153,$G948,月間集計シート!R$134:R$153)*AW$2</f>
        <v>0</v>
      </c>
      <c r="AX948" s="88">
        <f>SUMIF(月間集計シート!$M$134:$M$153,$G948,月間集計シート!S$134:S$153)*AX$2</f>
        <v>0</v>
      </c>
      <c r="AY948" s="88">
        <f>SUMIF(月間集計シート!$M$134:$M$153,$G948,月間集計シート!T$134:T$153)*AY$2</f>
        <v>0</v>
      </c>
    </row>
    <row r="949" spans="1:51" ht="14.25" thickBot="1">
      <c r="A949">
        <v>12</v>
      </c>
      <c r="B949" s="120">
        <f t="shared" si="517"/>
        <v>0</v>
      </c>
      <c r="C949" s="120" t="str">
        <f t="shared" si="518"/>
        <v/>
      </c>
      <c r="D949" s="137"/>
      <c r="E949" s="150" t="str">
        <f>工種!A6</f>
        <v>10199</v>
      </c>
      <c r="F949" s="119" t="str">
        <f>工種!B6</f>
        <v>SRS：その他</v>
      </c>
      <c r="G949" s="116" t="str">
        <f t="shared" si="466"/>
        <v>010199</v>
      </c>
      <c r="H949" s="88">
        <f t="shared" si="516"/>
        <v>0</v>
      </c>
      <c r="I949" s="132"/>
      <c r="J949" s="88">
        <f>SUMIF(月間集計シート!$M$29:$M$48,$G949,月間集計シート!N$29:N$48)*J$2</f>
        <v>0</v>
      </c>
      <c r="K949" s="88">
        <f>SUMIF(月間集計シート!$M$29:$M$48,$G949,月間集計シート!O$29:O$48)*K$2</f>
        <v>0</v>
      </c>
      <c r="L949" s="88">
        <f>SUMIF(月間集計シート!$M$29:$M$48,$G949,月間集計シート!P$29:P$48)*L$2</f>
        <v>0</v>
      </c>
      <c r="M949" s="88">
        <f>SUMIF(月間集計シート!$M$29:$M$48,$G949,月間集計シート!Q$29:Q$48)*M$2</f>
        <v>0</v>
      </c>
      <c r="N949" s="88">
        <f>SUMIF(月間集計シート!$M$29:$M$48,$G949,月間集計シート!R$29:R$48)*N$2</f>
        <v>0</v>
      </c>
      <c r="O949" s="88">
        <f>SUMIF(月間集計シート!$M$29:$M$48,$G949,月間集計シート!S$29:S$48)*O$2</f>
        <v>0</v>
      </c>
      <c r="P949" s="88">
        <f>SUMIF(月間集計シート!$M$29:$M$48,$G949,月間集計シート!T$29:T$48)*P$2</f>
        <v>0</v>
      </c>
      <c r="Q949" s="88">
        <f>SUMIF(月間集計シート!$M$50:$M$69,$G949,月間集計シート!N$50:N$69)*Q$2</f>
        <v>0</v>
      </c>
      <c r="R949" s="88">
        <f>SUMIF(月間集計シート!$M$50:$M$69,$G949,月間集計シート!O$50:O$69)*R$2</f>
        <v>0</v>
      </c>
      <c r="S949" s="88">
        <f>SUMIF(月間集計シート!$M$50:$M$69,$G949,月間集計シート!P$50:P$69)*S$2</f>
        <v>0</v>
      </c>
      <c r="T949" s="88">
        <f>SUMIF(月間集計シート!$M$50:$M$69,$G949,月間集計シート!Q$50:Q$69)*T$2</f>
        <v>0</v>
      </c>
      <c r="U949" s="88">
        <f>SUMIF(月間集計シート!$M$50:$M$69,$G949,月間集計シート!R$50:R$69)*U$2</f>
        <v>0</v>
      </c>
      <c r="V949" s="88">
        <f>SUMIF(月間集計シート!$M$50:$M$69,$G949,月間集計シート!S$50:S$69)*V$2</f>
        <v>0</v>
      </c>
      <c r="W949" s="88">
        <f>SUMIF(月間集計シート!$M$50:$M$69,$G949,月間集計シート!T$50:T$69)*W$2</f>
        <v>0</v>
      </c>
      <c r="X949" s="88">
        <f>SUMIF(月間集計シート!$M$71:$M$90,$G949,月間集計シート!N$71:N$90)*X$2</f>
        <v>0</v>
      </c>
      <c r="Y949" s="88">
        <f>SUMIF(月間集計シート!$M$71:$M$90,$G949,月間集計シート!O$71:O$90)*Y$2</f>
        <v>0</v>
      </c>
      <c r="Z949" s="88">
        <f>SUMIF(月間集計シート!$M$71:$M$90,$G949,月間集計シート!P$71:P$90)*Z$2</f>
        <v>0</v>
      </c>
      <c r="AA949" s="88">
        <f>SUMIF(月間集計シート!$M$71:$M$90,$G949,月間集計シート!Q$71:Q$90)*AA$2</f>
        <v>0</v>
      </c>
      <c r="AB949" s="88">
        <f>SUMIF(月間集計シート!$M$71:$M$90,$G949,月間集計シート!R$71:R$90)*AB$2</f>
        <v>0</v>
      </c>
      <c r="AC949" s="88">
        <f>SUMIF(月間集計シート!$M$71:$M$90,$G949,月間集計シート!S$71:S$90)*AC$2</f>
        <v>0</v>
      </c>
      <c r="AD949" s="88">
        <f>SUMIF(月間集計シート!$M$71:$M$90,$G949,月間集計シート!T$71:T$90)*AD$2</f>
        <v>0</v>
      </c>
      <c r="AE949" s="88">
        <f>SUMIF(月間集計シート!$M$92:$M$111,$G949,月間集計シート!N$92:N$111)*AE$2</f>
        <v>0</v>
      </c>
      <c r="AF949" s="88">
        <f>SUMIF(月間集計シート!$M$92:$M$111,$G949,月間集計シート!O$92:O$111)*AF$2</f>
        <v>0</v>
      </c>
      <c r="AG949" s="88">
        <f>SUMIF(月間集計シート!$M$92:$M$111,$G949,月間集計シート!P$92:P$111)*AG$2</f>
        <v>0</v>
      </c>
      <c r="AH949" s="88">
        <f>SUMIF(月間集計シート!$M$92:$M$111,$G949,月間集計シート!Q$92:Q$111)*AH$2</f>
        <v>0</v>
      </c>
      <c r="AI949" s="88">
        <f>SUMIF(月間集計シート!$M$92:$M$111,$G949,月間集計シート!R$92:R$111)*AI$2</f>
        <v>0</v>
      </c>
      <c r="AJ949" s="88">
        <f>SUMIF(月間集計シート!$M$92:$M$111,$G949,月間集計シート!S$92:S$111)*AJ$2</f>
        <v>0</v>
      </c>
      <c r="AK949" s="88">
        <f>SUMIF(月間集計シート!$M$92:$M$111,$G949,月間集計シート!T$92:T$111)*AK$2</f>
        <v>0</v>
      </c>
      <c r="AL949" s="88">
        <f>SUMIF(月間集計シート!$M$113:$M$132,$G949,月間集計シート!N$113:N$132)*AL$2</f>
        <v>0</v>
      </c>
      <c r="AM949" s="88">
        <f>SUMIF(月間集計シート!$M$113:$M$132,$G949,月間集計シート!O$113:O$132)*AM$2</f>
        <v>0</v>
      </c>
      <c r="AN949" s="88">
        <f>SUMIF(月間集計シート!$M$113:$M$132,$G949,月間集計シート!P$113:P$132)*AN$2</f>
        <v>0</v>
      </c>
      <c r="AO949" s="88">
        <f>SUMIF(月間集計シート!$M$113:$M$132,$G949,月間集計シート!Q$113:Q$132)*AO$2</f>
        <v>0</v>
      </c>
      <c r="AP949" s="88">
        <f>SUMIF(月間集計シート!$M$113:$M$132,$G949,月間集計シート!R$113:R$132)*AP$2</f>
        <v>0</v>
      </c>
      <c r="AQ949" s="88">
        <f>SUMIF(月間集計シート!$M$113:$M$132,$G949,月間集計シート!S$113:S$132)*AQ$2</f>
        <v>0</v>
      </c>
      <c r="AR949" s="88">
        <f>SUMIF(月間集計シート!$M$113:$M$132,$G949,月間集計シート!T$113:T$132)*AR$2</f>
        <v>0</v>
      </c>
      <c r="AS949" s="88">
        <f>SUMIF(月間集計シート!$M$134:$M$153,$G949,月間集計シート!N$134:N$153)*AS$2</f>
        <v>0</v>
      </c>
      <c r="AT949" s="88">
        <f>SUMIF(月間集計シート!$M$134:$M$153,$G949,月間集計シート!O$134:O$153)*AT$2</f>
        <v>0</v>
      </c>
      <c r="AU949" s="88">
        <f>SUMIF(月間集計シート!$M$134:$M$153,$G949,月間集計シート!P$134:P$153)*AU$2</f>
        <v>0</v>
      </c>
      <c r="AV949" s="88">
        <f>SUMIF(月間集計シート!$M$134:$M$153,$G949,月間集計シート!Q$134:Q$153)*AV$2</f>
        <v>0</v>
      </c>
      <c r="AW949" s="88">
        <f>SUMIF(月間集計シート!$M$134:$M$153,$G949,月間集計シート!R$134:R$153)*AW$2</f>
        <v>0</v>
      </c>
      <c r="AX949" s="88">
        <f>SUMIF(月間集計シート!$M$134:$M$153,$G949,月間集計シート!S$134:S$153)*AX$2</f>
        <v>0</v>
      </c>
      <c r="AY949" s="88">
        <f>SUMIF(月間集計シート!$M$134:$M$153,$G949,月間集計シート!T$134:T$153)*AY$2</f>
        <v>0</v>
      </c>
    </row>
    <row r="950" spans="1:51" ht="14.25" thickBot="1">
      <c r="A950">
        <v>12</v>
      </c>
      <c r="B950" s="120">
        <f t="shared" si="517"/>
        <v>0</v>
      </c>
      <c r="C950" s="120" t="str">
        <f t="shared" si="518"/>
        <v/>
      </c>
      <c r="D950" s="137"/>
      <c r="E950" s="150" t="str">
        <f>工種!A7</f>
        <v>20101</v>
      </c>
      <c r="F950" s="119" t="str">
        <f>工種!B7</f>
        <v>設計：外部設計書作成</v>
      </c>
      <c r="G950" s="116" t="str">
        <f t="shared" si="466"/>
        <v>020101</v>
      </c>
      <c r="H950" s="88">
        <f t="shared" si="516"/>
        <v>0</v>
      </c>
      <c r="I950" s="132"/>
      <c r="J950" s="88">
        <f>SUMIF(月間集計シート!$M$29:$M$48,$G950,月間集計シート!N$29:N$48)*J$2</f>
        <v>0</v>
      </c>
      <c r="K950" s="88">
        <f>SUMIF(月間集計シート!$M$29:$M$48,$G950,月間集計シート!O$29:O$48)*K$2</f>
        <v>0</v>
      </c>
      <c r="L950" s="88">
        <f>SUMIF(月間集計シート!$M$29:$M$48,$G950,月間集計シート!P$29:P$48)*L$2</f>
        <v>0</v>
      </c>
      <c r="M950" s="88">
        <f>SUMIF(月間集計シート!$M$29:$M$48,$G950,月間集計シート!Q$29:Q$48)*M$2</f>
        <v>0</v>
      </c>
      <c r="N950" s="88">
        <f>SUMIF(月間集計シート!$M$29:$M$48,$G950,月間集計シート!R$29:R$48)*N$2</f>
        <v>0</v>
      </c>
      <c r="O950" s="88">
        <f>SUMIF(月間集計シート!$M$29:$M$48,$G950,月間集計シート!S$29:S$48)*O$2</f>
        <v>0</v>
      </c>
      <c r="P950" s="88">
        <f>SUMIF(月間集計シート!$M$29:$M$48,$G950,月間集計シート!T$29:T$48)*P$2</f>
        <v>0</v>
      </c>
      <c r="Q950" s="88">
        <f>SUMIF(月間集計シート!$M$50:$M$69,$G950,月間集計シート!N$50:N$69)*Q$2</f>
        <v>0</v>
      </c>
      <c r="R950" s="88">
        <f>SUMIF(月間集計シート!$M$50:$M$69,$G950,月間集計シート!O$50:O$69)*R$2</f>
        <v>0</v>
      </c>
      <c r="S950" s="88">
        <f>SUMIF(月間集計シート!$M$50:$M$69,$G950,月間集計シート!P$50:P$69)*S$2</f>
        <v>0</v>
      </c>
      <c r="T950" s="88">
        <f>SUMIF(月間集計シート!$M$50:$M$69,$G950,月間集計シート!Q$50:Q$69)*T$2</f>
        <v>0</v>
      </c>
      <c r="U950" s="88">
        <f>SUMIF(月間集計シート!$M$50:$M$69,$G950,月間集計シート!R$50:R$69)*U$2</f>
        <v>0</v>
      </c>
      <c r="V950" s="88">
        <f>SUMIF(月間集計シート!$M$50:$M$69,$G950,月間集計シート!S$50:S$69)*V$2</f>
        <v>0</v>
      </c>
      <c r="W950" s="88">
        <f>SUMIF(月間集計シート!$M$50:$M$69,$G950,月間集計シート!T$50:T$69)*W$2</f>
        <v>0</v>
      </c>
      <c r="X950" s="88">
        <f>SUMIF(月間集計シート!$M$71:$M$90,$G950,月間集計シート!N$71:N$90)*X$2</f>
        <v>0</v>
      </c>
      <c r="Y950" s="88">
        <f>SUMIF(月間集計シート!$M$71:$M$90,$G950,月間集計シート!O$71:O$90)*Y$2</f>
        <v>0</v>
      </c>
      <c r="Z950" s="88">
        <f>SUMIF(月間集計シート!$M$71:$M$90,$G950,月間集計シート!P$71:P$90)*Z$2</f>
        <v>0</v>
      </c>
      <c r="AA950" s="88">
        <f>SUMIF(月間集計シート!$M$71:$M$90,$G950,月間集計シート!Q$71:Q$90)*AA$2</f>
        <v>0</v>
      </c>
      <c r="AB950" s="88">
        <f>SUMIF(月間集計シート!$M$71:$M$90,$G950,月間集計シート!R$71:R$90)*AB$2</f>
        <v>0</v>
      </c>
      <c r="AC950" s="88">
        <f>SUMIF(月間集計シート!$M$71:$M$90,$G950,月間集計シート!S$71:S$90)*AC$2</f>
        <v>0</v>
      </c>
      <c r="AD950" s="88">
        <f>SUMIF(月間集計シート!$M$71:$M$90,$G950,月間集計シート!T$71:T$90)*AD$2</f>
        <v>0</v>
      </c>
      <c r="AE950" s="88">
        <f>SUMIF(月間集計シート!$M$92:$M$111,$G950,月間集計シート!N$92:N$111)*AE$2</f>
        <v>0</v>
      </c>
      <c r="AF950" s="88">
        <f>SUMIF(月間集計シート!$M$92:$M$111,$G950,月間集計シート!O$92:O$111)*AF$2</f>
        <v>0</v>
      </c>
      <c r="AG950" s="88">
        <f>SUMIF(月間集計シート!$M$92:$M$111,$G950,月間集計シート!P$92:P$111)*AG$2</f>
        <v>0</v>
      </c>
      <c r="AH950" s="88">
        <f>SUMIF(月間集計シート!$M$92:$M$111,$G950,月間集計シート!Q$92:Q$111)*AH$2</f>
        <v>0</v>
      </c>
      <c r="AI950" s="88">
        <f>SUMIF(月間集計シート!$M$92:$M$111,$G950,月間集計シート!R$92:R$111)*AI$2</f>
        <v>0</v>
      </c>
      <c r="AJ950" s="88">
        <f>SUMIF(月間集計シート!$M$92:$M$111,$G950,月間集計シート!S$92:S$111)*AJ$2</f>
        <v>0</v>
      </c>
      <c r="AK950" s="88">
        <f>SUMIF(月間集計シート!$M$92:$M$111,$G950,月間集計シート!T$92:T$111)*AK$2</f>
        <v>0</v>
      </c>
      <c r="AL950" s="88">
        <f>SUMIF(月間集計シート!$M$113:$M$132,$G950,月間集計シート!N$113:N$132)*AL$2</f>
        <v>0</v>
      </c>
      <c r="AM950" s="88">
        <f>SUMIF(月間集計シート!$M$113:$M$132,$G950,月間集計シート!O$113:O$132)*AM$2</f>
        <v>0</v>
      </c>
      <c r="AN950" s="88">
        <f>SUMIF(月間集計シート!$M$113:$M$132,$G950,月間集計シート!P$113:P$132)*AN$2</f>
        <v>0</v>
      </c>
      <c r="AO950" s="88">
        <f>SUMIF(月間集計シート!$M$113:$M$132,$G950,月間集計シート!Q$113:Q$132)*AO$2</f>
        <v>0</v>
      </c>
      <c r="AP950" s="88">
        <f>SUMIF(月間集計シート!$M$113:$M$132,$G950,月間集計シート!R$113:R$132)*AP$2</f>
        <v>0</v>
      </c>
      <c r="AQ950" s="88">
        <f>SUMIF(月間集計シート!$M$113:$M$132,$G950,月間集計シート!S$113:S$132)*AQ$2</f>
        <v>0</v>
      </c>
      <c r="AR950" s="88">
        <f>SUMIF(月間集計シート!$M$113:$M$132,$G950,月間集計シート!T$113:T$132)*AR$2</f>
        <v>0</v>
      </c>
      <c r="AS950" s="88">
        <f>SUMIF(月間集計シート!$M$134:$M$153,$G950,月間集計シート!N$134:N$153)*AS$2</f>
        <v>0</v>
      </c>
      <c r="AT950" s="88">
        <f>SUMIF(月間集計シート!$M$134:$M$153,$G950,月間集計シート!O$134:O$153)*AT$2</f>
        <v>0</v>
      </c>
      <c r="AU950" s="88">
        <f>SUMIF(月間集計シート!$M$134:$M$153,$G950,月間集計シート!P$134:P$153)*AU$2</f>
        <v>0</v>
      </c>
      <c r="AV950" s="88">
        <f>SUMIF(月間集計シート!$M$134:$M$153,$G950,月間集計シート!Q$134:Q$153)*AV$2</f>
        <v>0</v>
      </c>
      <c r="AW950" s="88">
        <f>SUMIF(月間集計シート!$M$134:$M$153,$G950,月間集計シート!R$134:R$153)*AW$2</f>
        <v>0</v>
      </c>
      <c r="AX950" s="88">
        <f>SUMIF(月間集計シート!$M$134:$M$153,$G950,月間集計シート!S$134:S$153)*AX$2</f>
        <v>0</v>
      </c>
      <c r="AY950" s="88">
        <f>SUMIF(月間集計シート!$M$134:$M$153,$G950,月間集計シート!T$134:T$153)*AY$2</f>
        <v>0</v>
      </c>
    </row>
    <row r="951" spans="1:51" ht="14.25" thickBot="1">
      <c r="A951">
        <v>12</v>
      </c>
      <c r="B951" s="120">
        <f t="shared" si="517"/>
        <v>0</v>
      </c>
      <c r="C951" s="120" t="str">
        <f t="shared" si="518"/>
        <v/>
      </c>
      <c r="D951" s="137"/>
      <c r="E951" s="150" t="str">
        <f>工種!A8</f>
        <v>20103</v>
      </c>
      <c r="F951" s="119" t="str">
        <f>工種!B8</f>
        <v>設計：打合せ</v>
      </c>
      <c r="G951" s="116" t="str">
        <f t="shared" si="466"/>
        <v>020103</v>
      </c>
      <c r="H951" s="88">
        <f t="shared" si="516"/>
        <v>0</v>
      </c>
      <c r="I951" s="132"/>
      <c r="J951" s="88">
        <f>SUMIF(月間集計シート!$M$29:$M$48,$G951,月間集計シート!N$29:N$48)*J$2</f>
        <v>0</v>
      </c>
      <c r="K951" s="88">
        <f>SUMIF(月間集計シート!$M$29:$M$48,$G951,月間集計シート!O$29:O$48)*K$2</f>
        <v>0</v>
      </c>
      <c r="L951" s="88">
        <f>SUMIF(月間集計シート!$M$29:$M$48,$G951,月間集計シート!P$29:P$48)*L$2</f>
        <v>0</v>
      </c>
      <c r="M951" s="88">
        <f>SUMIF(月間集計シート!$M$29:$M$48,$G951,月間集計シート!Q$29:Q$48)*M$2</f>
        <v>0</v>
      </c>
      <c r="N951" s="88">
        <f>SUMIF(月間集計シート!$M$29:$M$48,$G951,月間集計シート!R$29:R$48)*N$2</f>
        <v>0</v>
      </c>
      <c r="O951" s="88">
        <f>SUMIF(月間集計シート!$M$29:$M$48,$G951,月間集計シート!S$29:S$48)*O$2</f>
        <v>0</v>
      </c>
      <c r="P951" s="88">
        <f>SUMIF(月間集計シート!$M$29:$M$48,$G951,月間集計シート!T$29:T$48)*P$2</f>
        <v>0</v>
      </c>
      <c r="Q951" s="88">
        <f>SUMIF(月間集計シート!$M$50:$M$69,$G951,月間集計シート!N$50:N$69)*Q$2</f>
        <v>0</v>
      </c>
      <c r="R951" s="88">
        <f>SUMIF(月間集計シート!$M$50:$M$69,$G951,月間集計シート!O$50:O$69)*R$2</f>
        <v>0</v>
      </c>
      <c r="S951" s="88">
        <f>SUMIF(月間集計シート!$M$50:$M$69,$G951,月間集計シート!P$50:P$69)*S$2</f>
        <v>0</v>
      </c>
      <c r="T951" s="88">
        <f>SUMIF(月間集計シート!$M$50:$M$69,$G951,月間集計シート!Q$50:Q$69)*T$2</f>
        <v>0</v>
      </c>
      <c r="U951" s="88">
        <f>SUMIF(月間集計シート!$M$50:$M$69,$G951,月間集計シート!R$50:R$69)*U$2</f>
        <v>0</v>
      </c>
      <c r="V951" s="88">
        <f>SUMIF(月間集計シート!$M$50:$M$69,$G951,月間集計シート!S$50:S$69)*V$2</f>
        <v>0</v>
      </c>
      <c r="W951" s="88">
        <f>SUMIF(月間集計シート!$M$50:$M$69,$G951,月間集計シート!T$50:T$69)*W$2</f>
        <v>0</v>
      </c>
      <c r="X951" s="88">
        <f>SUMIF(月間集計シート!$M$71:$M$90,$G951,月間集計シート!N$71:N$90)*X$2</f>
        <v>0</v>
      </c>
      <c r="Y951" s="88">
        <f>SUMIF(月間集計シート!$M$71:$M$90,$G951,月間集計シート!O$71:O$90)*Y$2</f>
        <v>0</v>
      </c>
      <c r="Z951" s="88">
        <f>SUMIF(月間集計シート!$M$71:$M$90,$G951,月間集計シート!P$71:P$90)*Z$2</f>
        <v>0</v>
      </c>
      <c r="AA951" s="88">
        <f>SUMIF(月間集計シート!$M$71:$M$90,$G951,月間集計シート!Q$71:Q$90)*AA$2</f>
        <v>0</v>
      </c>
      <c r="AB951" s="88">
        <f>SUMIF(月間集計シート!$M$71:$M$90,$G951,月間集計シート!R$71:R$90)*AB$2</f>
        <v>0</v>
      </c>
      <c r="AC951" s="88">
        <f>SUMIF(月間集計シート!$M$71:$M$90,$G951,月間集計シート!S$71:S$90)*AC$2</f>
        <v>0</v>
      </c>
      <c r="AD951" s="88">
        <f>SUMIF(月間集計シート!$M$71:$M$90,$G951,月間集計シート!T$71:T$90)*AD$2</f>
        <v>0</v>
      </c>
      <c r="AE951" s="88">
        <f>SUMIF(月間集計シート!$M$92:$M$111,$G951,月間集計シート!N$92:N$111)*AE$2</f>
        <v>0</v>
      </c>
      <c r="AF951" s="88">
        <f>SUMIF(月間集計シート!$M$92:$M$111,$G951,月間集計シート!O$92:O$111)*AF$2</f>
        <v>0</v>
      </c>
      <c r="AG951" s="88">
        <f>SUMIF(月間集計シート!$M$92:$M$111,$G951,月間集計シート!P$92:P$111)*AG$2</f>
        <v>0</v>
      </c>
      <c r="AH951" s="88">
        <f>SUMIF(月間集計シート!$M$92:$M$111,$G951,月間集計シート!Q$92:Q$111)*AH$2</f>
        <v>0</v>
      </c>
      <c r="AI951" s="88">
        <f>SUMIF(月間集計シート!$M$92:$M$111,$G951,月間集計シート!R$92:R$111)*AI$2</f>
        <v>0</v>
      </c>
      <c r="AJ951" s="88">
        <f>SUMIF(月間集計シート!$M$92:$M$111,$G951,月間集計シート!S$92:S$111)*AJ$2</f>
        <v>0</v>
      </c>
      <c r="AK951" s="88">
        <f>SUMIF(月間集計シート!$M$92:$M$111,$G951,月間集計シート!T$92:T$111)*AK$2</f>
        <v>0</v>
      </c>
      <c r="AL951" s="88">
        <f>SUMIF(月間集計シート!$M$113:$M$132,$G951,月間集計シート!N$113:N$132)*AL$2</f>
        <v>0</v>
      </c>
      <c r="AM951" s="88">
        <f>SUMIF(月間集計シート!$M$113:$M$132,$G951,月間集計シート!O$113:O$132)*AM$2</f>
        <v>0</v>
      </c>
      <c r="AN951" s="88">
        <f>SUMIF(月間集計シート!$M$113:$M$132,$G951,月間集計シート!P$113:P$132)*AN$2</f>
        <v>0</v>
      </c>
      <c r="AO951" s="88">
        <f>SUMIF(月間集計シート!$M$113:$M$132,$G951,月間集計シート!Q$113:Q$132)*AO$2</f>
        <v>0</v>
      </c>
      <c r="AP951" s="88">
        <f>SUMIF(月間集計シート!$M$113:$M$132,$G951,月間集計シート!R$113:R$132)*AP$2</f>
        <v>0</v>
      </c>
      <c r="AQ951" s="88">
        <f>SUMIF(月間集計シート!$M$113:$M$132,$G951,月間集計シート!S$113:S$132)*AQ$2</f>
        <v>0</v>
      </c>
      <c r="AR951" s="88">
        <f>SUMIF(月間集計シート!$M$113:$M$132,$G951,月間集計シート!T$113:T$132)*AR$2</f>
        <v>0</v>
      </c>
      <c r="AS951" s="88">
        <f>SUMIF(月間集計シート!$M$134:$M$153,$G951,月間集計シート!N$134:N$153)*AS$2</f>
        <v>0</v>
      </c>
      <c r="AT951" s="88">
        <f>SUMIF(月間集計シート!$M$134:$M$153,$G951,月間集計シート!O$134:O$153)*AT$2</f>
        <v>0</v>
      </c>
      <c r="AU951" s="88">
        <f>SUMIF(月間集計シート!$M$134:$M$153,$G951,月間集計シート!P$134:P$153)*AU$2</f>
        <v>0</v>
      </c>
      <c r="AV951" s="88">
        <f>SUMIF(月間集計シート!$M$134:$M$153,$G951,月間集計シート!Q$134:Q$153)*AV$2</f>
        <v>0</v>
      </c>
      <c r="AW951" s="88">
        <f>SUMIF(月間集計シート!$M$134:$M$153,$G951,月間集計シート!R$134:R$153)*AW$2</f>
        <v>0</v>
      </c>
      <c r="AX951" s="88">
        <f>SUMIF(月間集計シート!$M$134:$M$153,$G951,月間集計シート!S$134:S$153)*AX$2</f>
        <v>0</v>
      </c>
      <c r="AY951" s="88">
        <f>SUMIF(月間集計シート!$M$134:$M$153,$G951,月間集計シート!T$134:T$153)*AY$2</f>
        <v>0</v>
      </c>
    </row>
    <row r="952" spans="1:51" ht="14.25" thickBot="1">
      <c r="A952">
        <v>12</v>
      </c>
      <c r="B952" s="120">
        <f t="shared" si="517"/>
        <v>0</v>
      </c>
      <c r="C952" s="120" t="str">
        <f t="shared" si="518"/>
        <v/>
      </c>
      <c r="D952" s="137"/>
      <c r="E952" s="150">
        <f>工種!A9</f>
        <v>20105</v>
      </c>
      <c r="F952" s="119" t="str">
        <f>工種!B9</f>
        <v>設計：原因調査・影響範囲分析・変更仕様作成</v>
      </c>
      <c r="G952" s="116" t="str">
        <f t="shared" si="466"/>
        <v>020105</v>
      </c>
      <c r="H952" s="88">
        <f t="shared" si="516"/>
        <v>0</v>
      </c>
      <c r="I952" s="132"/>
      <c r="J952" s="88">
        <f>SUMIF(月間集計シート!$M$29:$M$48,$G952,月間集計シート!N$29:N$48)*J$2</f>
        <v>0</v>
      </c>
      <c r="K952" s="88">
        <f>SUMIF(月間集計シート!$M$29:$M$48,$G952,月間集計シート!O$29:O$48)*K$2</f>
        <v>0</v>
      </c>
      <c r="L952" s="88">
        <f>SUMIF(月間集計シート!$M$29:$M$48,$G952,月間集計シート!P$29:P$48)*L$2</f>
        <v>0</v>
      </c>
      <c r="M952" s="88">
        <f>SUMIF(月間集計シート!$M$29:$M$48,$G952,月間集計シート!Q$29:Q$48)*M$2</f>
        <v>0</v>
      </c>
      <c r="N952" s="88">
        <f>SUMIF(月間集計シート!$M$29:$M$48,$G952,月間集計シート!R$29:R$48)*N$2</f>
        <v>0</v>
      </c>
      <c r="O952" s="88">
        <f>SUMIF(月間集計シート!$M$29:$M$48,$G952,月間集計シート!S$29:S$48)*O$2</f>
        <v>0</v>
      </c>
      <c r="P952" s="88">
        <f>SUMIF(月間集計シート!$M$29:$M$48,$G952,月間集計シート!T$29:T$48)*P$2</f>
        <v>0</v>
      </c>
      <c r="Q952" s="88">
        <f>SUMIF(月間集計シート!$M$50:$M$69,$G952,月間集計シート!N$50:N$69)*Q$2</f>
        <v>0</v>
      </c>
      <c r="R952" s="88">
        <f>SUMIF(月間集計シート!$M$50:$M$69,$G952,月間集計シート!O$50:O$69)*R$2</f>
        <v>0</v>
      </c>
      <c r="S952" s="88">
        <f>SUMIF(月間集計シート!$M$50:$M$69,$G952,月間集計シート!P$50:P$69)*S$2</f>
        <v>0</v>
      </c>
      <c r="T952" s="88">
        <f>SUMIF(月間集計シート!$M$50:$M$69,$G952,月間集計シート!Q$50:Q$69)*T$2</f>
        <v>0</v>
      </c>
      <c r="U952" s="88">
        <f>SUMIF(月間集計シート!$M$50:$M$69,$G952,月間集計シート!R$50:R$69)*U$2</f>
        <v>0</v>
      </c>
      <c r="V952" s="88">
        <f>SUMIF(月間集計シート!$M$50:$M$69,$G952,月間集計シート!S$50:S$69)*V$2</f>
        <v>0</v>
      </c>
      <c r="W952" s="88">
        <f>SUMIF(月間集計シート!$M$50:$M$69,$G952,月間集計シート!T$50:T$69)*W$2</f>
        <v>0</v>
      </c>
      <c r="X952" s="88">
        <f>SUMIF(月間集計シート!$M$71:$M$90,$G952,月間集計シート!N$71:N$90)*X$2</f>
        <v>0</v>
      </c>
      <c r="Y952" s="88">
        <f>SUMIF(月間集計シート!$M$71:$M$90,$G952,月間集計シート!O$71:O$90)*Y$2</f>
        <v>0</v>
      </c>
      <c r="Z952" s="88">
        <f>SUMIF(月間集計シート!$M$71:$M$90,$G952,月間集計シート!P$71:P$90)*Z$2</f>
        <v>0</v>
      </c>
      <c r="AA952" s="88">
        <f>SUMIF(月間集計シート!$M$71:$M$90,$G952,月間集計シート!Q$71:Q$90)*AA$2</f>
        <v>0</v>
      </c>
      <c r="AB952" s="88">
        <f>SUMIF(月間集計シート!$M$71:$M$90,$G952,月間集計シート!R$71:R$90)*AB$2</f>
        <v>0</v>
      </c>
      <c r="AC952" s="88">
        <f>SUMIF(月間集計シート!$M$71:$M$90,$G952,月間集計シート!S$71:S$90)*AC$2</f>
        <v>0</v>
      </c>
      <c r="AD952" s="88">
        <f>SUMIF(月間集計シート!$M$71:$M$90,$G952,月間集計シート!T$71:T$90)*AD$2</f>
        <v>0</v>
      </c>
      <c r="AE952" s="88">
        <f>SUMIF(月間集計シート!$M$92:$M$111,$G952,月間集計シート!N$92:N$111)*AE$2</f>
        <v>0</v>
      </c>
      <c r="AF952" s="88">
        <f>SUMIF(月間集計シート!$M$92:$M$111,$G952,月間集計シート!O$92:O$111)*AF$2</f>
        <v>0</v>
      </c>
      <c r="AG952" s="88">
        <f>SUMIF(月間集計シート!$M$92:$M$111,$G952,月間集計シート!P$92:P$111)*AG$2</f>
        <v>0</v>
      </c>
      <c r="AH952" s="88">
        <f>SUMIF(月間集計シート!$M$92:$M$111,$G952,月間集計シート!Q$92:Q$111)*AH$2</f>
        <v>0</v>
      </c>
      <c r="AI952" s="88">
        <f>SUMIF(月間集計シート!$M$92:$M$111,$G952,月間集計シート!R$92:R$111)*AI$2</f>
        <v>0</v>
      </c>
      <c r="AJ952" s="88">
        <f>SUMIF(月間集計シート!$M$92:$M$111,$G952,月間集計シート!S$92:S$111)*AJ$2</f>
        <v>0</v>
      </c>
      <c r="AK952" s="88">
        <f>SUMIF(月間集計シート!$M$92:$M$111,$G952,月間集計シート!T$92:T$111)*AK$2</f>
        <v>0</v>
      </c>
      <c r="AL952" s="88">
        <f>SUMIF(月間集計シート!$M$113:$M$132,$G952,月間集計シート!N$113:N$132)*AL$2</f>
        <v>0</v>
      </c>
      <c r="AM952" s="88">
        <f>SUMIF(月間集計シート!$M$113:$M$132,$G952,月間集計シート!O$113:O$132)*AM$2</f>
        <v>0</v>
      </c>
      <c r="AN952" s="88">
        <f>SUMIF(月間集計シート!$M$113:$M$132,$G952,月間集計シート!P$113:P$132)*AN$2</f>
        <v>0</v>
      </c>
      <c r="AO952" s="88">
        <f>SUMIF(月間集計シート!$M$113:$M$132,$G952,月間集計シート!Q$113:Q$132)*AO$2</f>
        <v>0</v>
      </c>
      <c r="AP952" s="88">
        <f>SUMIF(月間集計シート!$M$113:$M$132,$G952,月間集計シート!R$113:R$132)*AP$2</f>
        <v>0</v>
      </c>
      <c r="AQ952" s="88">
        <f>SUMIF(月間集計シート!$M$113:$M$132,$G952,月間集計シート!S$113:S$132)*AQ$2</f>
        <v>0</v>
      </c>
      <c r="AR952" s="88">
        <f>SUMIF(月間集計シート!$M$113:$M$132,$G952,月間集計シート!T$113:T$132)*AR$2</f>
        <v>0</v>
      </c>
      <c r="AS952" s="88">
        <f>SUMIF(月間集計シート!$M$134:$M$153,$G952,月間集計シート!N$134:N$153)*AS$2</f>
        <v>0</v>
      </c>
      <c r="AT952" s="88">
        <f>SUMIF(月間集計シート!$M$134:$M$153,$G952,月間集計シート!O$134:O$153)*AT$2</f>
        <v>0</v>
      </c>
      <c r="AU952" s="88">
        <f>SUMIF(月間集計シート!$M$134:$M$153,$G952,月間集計シート!P$134:P$153)*AU$2</f>
        <v>0</v>
      </c>
      <c r="AV952" s="88">
        <f>SUMIF(月間集計シート!$M$134:$M$153,$G952,月間集計シート!Q$134:Q$153)*AV$2</f>
        <v>0</v>
      </c>
      <c r="AW952" s="88">
        <f>SUMIF(月間集計シート!$M$134:$M$153,$G952,月間集計シート!R$134:R$153)*AW$2</f>
        <v>0</v>
      </c>
      <c r="AX952" s="88">
        <f>SUMIF(月間集計シート!$M$134:$M$153,$G952,月間集計シート!S$134:S$153)*AX$2</f>
        <v>0</v>
      </c>
      <c r="AY952" s="88">
        <f>SUMIF(月間集計シート!$M$134:$M$153,$G952,月間集計シート!T$134:T$153)*AY$2</f>
        <v>0</v>
      </c>
    </row>
    <row r="953" spans="1:51" ht="14.25" thickBot="1">
      <c r="A953">
        <v>12</v>
      </c>
      <c r="B953" s="120">
        <f t="shared" si="517"/>
        <v>0</v>
      </c>
      <c r="C953" s="120" t="str">
        <f t="shared" si="518"/>
        <v/>
      </c>
      <c r="D953" s="137"/>
      <c r="E953" s="150" t="str">
        <f>工種!A10</f>
        <v>20106</v>
      </c>
      <c r="F953" s="119" t="str">
        <f>工種!B10</f>
        <v>設計：設計書修正（手戻り分）</v>
      </c>
      <c r="G953" s="116" t="str">
        <f t="shared" si="466"/>
        <v>020106</v>
      </c>
      <c r="H953" s="88">
        <f t="shared" si="516"/>
        <v>0</v>
      </c>
      <c r="I953" s="132"/>
      <c r="J953" s="88">
        <f>SUMIF(月間集計シート!$M$29:$M$48,$G953,月間集計シート!N$29:N$48)*J$2</f>
        <v>0</v>
      </c>
      <c r="K953" s="88">
        <f>SUMIF(月間集計シート!$M$29:$M$48,$G953,月間集計シート!O$29:O$48)*K$2</f>
        <v>0</v>
      </c>
      <c r="L953" s="88">
        <f>SUMIF(月間集計シート!$M$29:$M$48,$G953,月間集計シート!P$29:P$48)*L$2</f>
        <v>0</v>
      </c>
      <c r="M953" s="88">
        <f>SUMIF(月間集計シート!$M$29:$M$48,$G953,月間集計シート!Q$29:Q$48)*M$2</f>
        <v>0</v>
      </c>
      <c r="N953" s="88">
        <f>SUMIF(月間集計シート!$M$29:$M$48,$G953,月間集計シート!R$29:R$48)*N$2</f>
        <v>0</v>
      </c>
      <c r="O953" s="88">
        <f>SUMIF(月間集計シート!$M$29:$M$48,$G953,月間集計シート!S$29:S$48)*O$2</f>
        <v>0</v>
      </c>
      <c r="P953" s="88">
        <f>SUMIF(月間集計シート!$M$29:$M$48,$G953,月間集計シート!T$29:T$48)*P$2</f>
        <v>0</v>
      </c>
      <c r="Q953" s="88">
        <f>SUMIF(月間集計シート!$M$50:$M$69,$G953,月間集計シート!N$50:N$69)*Q$2</f>
        <v>0</v>
      </c>
      <c r="R953" s="88">
        <f>SUMIF(月間集計シート!$M$50:$M$69,$G953,月間集計シート!O$50:O$69)*R$2</f>
        <v>0</v>
      </c>
      <c r="S953" s="88">
        <f>SUMIF(月間集計シート!$M$50:$M$69,$G953,月間集計シート!P$50:P$69)*S$2</f>
        <v>0</v>
      </c>
      <c r="T953" s="88">
        <f>SUMIF(月間集計シート!$M$50:$M$69,$G953,月間集計シート!Q$50:Q$69)*T$2</f>
        <v>0</v>
      </c>
      <c r="U953" s="88">
        <f>SUMIF(月間集計シート!$M$50:$M$69,$G953,月間集計シート!R$50:R$69)*U$2</f>
        <v>0</v>
      </c>
      <c r="V953" s="88">
        <f>SUMIF(月間集計シート!$M$50:$M$69,$G953,月間集計シート!S$50:S$69)*V$2</f>
        <v>0</v>
      </c>
      <c r="W953" s="88">
        <f>SUMIF(月間集計シート!$M$50:$M$69,$G953,月間集計シート!T$50:T$69)*W$2</f>
        <v>0</v>
      </c>
      <c r="X953" s="88">
        <f>SUMIF(月間集計シート!$M$71:$M$90,$G953,月間集計シート!N$71:N$90)*X$2</f>
        <v>0</v>
      </c>
      <c r="Y953" s="88">
        <f>SUMIF(月間集計シート!$M$71:$M$90,$G953,月間集計シート!O$71:O$90)*Y$2</f>
        <v>0</v>
      </c>
      <c r="Z953" s="88">
        <f>SUMIF(月間集計シート!$M$71:$M$90,$G953,月間集計シート!P$71:P$90)*Z$2</f>
        <v>0</v>
      </c>
      <c r="AA953" s="88">
        <f>SUMIF(月間集計シート!$M$71:$M$90,$G953,月間集計シート!Q$71:Q$90)*AA$2</f>
        <v>0</v>
      </c>
      <c r="AB953" s="88">
        <f>SUMIF(月間集計シート!$M$71:$M$90,$G953,月間集計シート!R$71:R$90)*AB$2</f>
        <v>0</v>
      </c>
      <c r="AC953" s="88">
        <f>SUMIF(月間集計シート!$M$71:$M$90,$G953,月間集計シート!S$71:S$90)*AC$2</f>
        <v>0</v>
      </c>
      <c r="AD953" s="88">
        <f>SUMIF(月間集計シート!$M$71:$M$90,$G953,月間集計シート!T$71:T$90)*AD$2</f>
        <v>0</v>
      </c>
      <c r="AE953" s="88">
        <f>SUMIF(月間集計シート!$M$92:$M$111,$G953,月間集計シート!N$92:N$111)*AE$2</f>
        <v>0</v>
      </c>
      <c r="AF953" s="88">
        <f>SUMIF(月間集計シート!$M$92:$M$111,$G953,月間集計シート!O$92:O$111)*AF$2</f>
        <v>0</v>
      </c>
      <c r="AG953" s="88">
        <f>SUMIF(月間集計シート!$M$92:$M$111,$G953,月間集計シート!P$92:P$111)*AG$2</f>
        <v>0</v>
      </c>
      <c r="AH953" s="88">
        <f>SUMIF(月間集計シート!$M$92:$M$111,$G953,月間集計シート!Q$92:Q$111)*AH$2</f>
        <v>0</v>
      </c>
      <c r="AI953" s="88">
        <f>SUMIF(月間集計シート!$M$92:$M$111,$G953,月間集計シート!R$92:R$111)*AI$2</f>
        <v>0</v>
      </c>
      <c r="AJ953" s="88">
        <f>SUMIF(月間集計シート!$M$92:$M$111,$G953,月間集計シート!S$92:S$111)*AJ$2</f>
        <v>0</v>
      </c>
      <c r="AK953" s="88">
        <f>SUMIF(月間集計シート!$M$92:$M$111,$G953,月間集計シート!T$92:T$111)*AK$2</f>
        <v>0</v>
      </c>
      <c r="AL953" s="88">
        <f>SUMIF(月間集計シート!$M$113:$M$132,$G953,月間集計シート!N$113:N$132)*AL$2</f>
        <v>0</v>
      </c>
      <c r="AM953" s="88">
        <f>SUMIF(月間集計シート!$M$113:$M$132,$G953,月間集計シート!O$113:O$132)*AM$2</f>
        <v>0</v>
      </c>
      <c r="AN953" s="88">
        <f>SUMIF(月間集計シート!$M$113:$M$132,$G953,月間集計シート!P$113:P$132)*AN$2</f>
        <v>0</v>
      </c>
      <c r="AO953" s="88">
        <f>SUMIF(月間集計シート!$M$113:$M$132,$G953,月間集計シート!Q$113:Q$132)*AO$2</f>
        <v>0</v>
      </c>
      <c r="AP953" s="88">
        <f>SUMIF(月間集計シート!$M$113:$M$132,$G953,月間集計シート!R$113:R$132)*AP$2</f>
        <v>0</v>
      </c>
      <c r="AQ953" s="88">
        <f>SUMIF(月間集計シート!$M$113:$M$132,$G953,月間集計シート!S$113:S$132)*AQ$2</f>
        <v>0</v>
      </c>
      <c r="AR953" s="88">
        <f>SUMIF(月間集計シート!$M$113:$M$132,$G953,月間集計シート!T$113:T$132)*AR$2</f>
        <v>0</v>
      </c>
      <c r="AS953" s="88">
        <f>SUMIF(月間集計シート!$M$134:$M$153,$G953,月間集計シート!N$134:N$153)*AS$2</f>
        <v>0</v>
      </c>
      <c r="AT953" s="88">
        <f>SUMIF(月間集計シート!$M$134:$M$153,$G953,月間集計シート!O$134:O$153)*AT$2</f>
        <v>0</v>
      </c>
      <c r="AU953" s="88">
        <f>SUMIF(月間集計シート!$M$134:$M$153,$G953,月間集計シート!P$134:P$153)*AU$2</f>
        <v>0</v>
      </c>
      <c r="AV953" s="88">
        <f>SUMIF(月間集計シート!$M$134:$M$153,$G953,月間集計シート!Q$134:Q$153)*AV$2</f>
        <v>0</v>
      </c>
      <c r="AW953" s="88">
        <f>SUMIF(月間集計シート!$M$134:$M$153,$G953,月間集計シート!R$134:R$153)*AW$2</f>
        <v>0</v>
      </c>
      <c r="AX953" s="88">
        <f>SUMIF(月間集計シート!$M$134:$M$153,$G953,月間集計シート!S$134:S$153)*AX$2</f>
        <v>0</v>
      </c>
      <c r="AY953" s="88">
        <f>SUMIF(月間集計シート!$M$134:$M$153,$G953,月間集計シート!T$134:T$153)*AY$2</f>
        <v>0</v>
      </c>
    </row>
    <row r="954" spans="1:51" ht="14.25" thickBot="1">
      <c r="A954">
        <v>12</v>
      </c>
      <c r="B954" s="120">
        <f t="shared" si="517"/>
        <v>0</v>
      </c>
      <c r="C954" s="120" t="str">
        <f t="shared" si="518"/>
        <v/>
      </c>
      <c r="D954" s="137"/>
      <c r="E954" s="150" t="str">
        <f>工種!A11</f>
        <v>20107</v>
      </c>
      <c r="F954" s="119" t="str">
        <f>工種!B11</f>
        <v>設計：その他の設計書作成</v>
      </c>
      <c r="G954" s="116" t="str">
        <f t="shared" si="466"/>
        <v>020107</v>
      </c>
      <c r="H954" s="88">
        <f t="shared" si="516"/>
        <v>0</v>
      </c>
      <c r="I954" s="132"/>
      <c r="J954" s="88">
        <f>SUMIF(月間集計シート!$M$29:$M$48,$G954,月間集計シート!N$29:N$48)*J$2</f>
        <v>0</v>
      </c>
      <c r="K954" s="88">
        <f>SUMIF(月間集計シート!$M$29:$M$48,$G954,月間集計シート!O$29:O$48)*K$2</f>
        <v>0</v>
      </c>
      <c r="L954" s="88">
        <f>SUMIF(月間集計シート!$M$29:$M$48,$G954,月間集計シート!P$29:P$48)*L$2</f>
        <v>0</v>
      </c>
      <c r="M954" s="88">
        <f>SUMIF(月間集計シート!$M$29:$M$48,$G954,月間集計シート!Q$29:Q$48)*M$2</f>
        <v>0</v>
      </c>
      <c r="N954" s="88">
        <f>SUMIF(月間集計シート!$M$29:$M$48,$G954,月間集計シート!R$29:R$48)*N$2</f>
        <v>0</v>
      </c>
      <c r="O954" s="88">
        <f>SUMIF(月間集計シート!$M$29:$M$48,$G954,月間集計シート!S$29:S$48)*O$2</f>
        <v>0</v>
      </c>
      <c r="P954" s="88">
        <f>SUMIF(月間集計シート!$M$29:$M$48,$G954,月間集計シート!T$29:T$48)*P$2</f>
        <v>0</v>
      </c>
      <c r="Q954" s="88">
        <f>SUMIF(月間集計シート!$M$50:$M$69,$G954,月間集計シート!N$50:N$69)*Q$2</f>
        <v>0</v>
      </c>
      <c r="R954" s="88">
        <f>SUMIF(月間集計シート!$M$50:$M$69,$G954,月間集計シート!O$50:O$69)*R$2</f>
        <v>0</v>
      </c>
      <c r="S954" s="88">
        <f>SUMIF(月間集計シート!$M$50:$M$69,$G954,月間集計シート!P$50:P$69)*S$2</f>
        <v>0</v>
      </c>
      <c r="T954" s="88">
        <f>SUMIF(月間集計シート!$M$50:$M$69,$G954,月間集計シート!Q$50:Q$69)*T$2</f>
        <v>0</v>
      </c>
      <c r="U954" s="88">
        <f>SUMIF(月間集計シート!$M$50:$M$69,$G954,月間集計シート!R$50:R$69)*U$2</f>
        <v>0</v>
      </c>
      <c r="V954" s="88">
        <f>SUMIF(月間集計シート!$M$50:$M$69,$G954,月間集計シート!S$50:S$69)*V$2</f>
        <v>0</v>
      </c>
      <c r="W954" s="88">
        <f>SUMIF(月間集計シート!$M$50:$M$69,$G954,月間集計シート!T$50:T$69)*W$2</f>
        <v>0</v>
      </c>
      <c r="X954" s="88">
        <f>SUMIF(月間集計シート!$M$71:$M$90,$G954,月間集計シート!N$71:N$90)*X$2</f>
        <v>0</v>
      </c>
      <c r="Y954" s="88">
        <f>SUMIF(月間集計シート!$M$71:$M$90,$G954,月間集計シート!O$71:O$90)*Y$2</f>
        <v>0</v>
      </c>
      <c r="Z954" s="88">
        <f>SUMIF(月間集計シート!$M$71:$M$90,$G954,月間集計シート!P$71:P$90)*Z$2</f>
        <v>0</v>
      </c>
      <c r="AA954" s="88">
        <f>SUMIF(月間集計シート!$M$71:$M$90,$G954,月間集計シート!Q$71:Q$90)*AA$2</f>
        <v>0</v>
      </c>
      <c r="AB954" s="88">
        <f>SUMIF(月間集計シート!$M$71:$M$90,$G954,月間集計シート!R$71:R$90)*AB$2</f>
        <v>0</v>
      </c>
      <c r="AC954" s="88">
        <f>SUMIF(月間集計シート!$M$71:$M$90,$G954,月間集計シート!S$71:S$90)*AC$2</f>
        <v>0</v>
      </c>
      <c r="AD954" s="88">
        <f>SUMIF(月間集計シート!$M$71:$M$90,$G954,月間集計シート!T$71:T$90)*AD$2</f>
        <v>0</v>
      </c>
      <c r="AE954" s="88">
        <f>SUMIF(月間集計シート!$M$92:$M$111,$G954,月間集計シート!N$92:N$111)*AE$2</f>
        <v>0</v>
      </c>
      <c r="AF954" s="88">
        <f>SUMIF(月間集計シート!$M$92:$M$111,$G954,月間集計シート!O$92:O$111)*AF$2</f>
        <v>0</v>
      </c>
      <c r="AG954" s="88">
        <f>SUMIF(月間集計シート!$M$92:$M$111,$G954,月間集計シート!P$92:P$111)*AG$2</f>
        <v>0</v>
      </c>
      <c r="AH954" s="88">
        <f>SUMIF(月間集計シート!$M$92:$M$111,$G954,月間集計シート!Q$92:Q$111)*AH$2</f>
        <v>0</v>
      </c>
      <c r="AI954" s="88">
        <f>SUMIF(月間集計シート!$M$92:$M$111,$G954,月間集計シート!R$92:R$111)*AI$2</f>
        <v>0</v>
      </c>
      <c r="AJ954" s="88">
        <f>SUMIF(月間集計シート!$M$92:$M$111,$G954,月間集計シート!S$92:S$111)*AJ$2</f>
        <v>0</v>
      </c>
      <c r="AK954" s="88">
        <f>SUMIF(月間集計シート!$M$92:$M$111,$G954,月間集計シート!T$92:T$111)*AK$2</f>
        <v>0</v>
      </c>
      <c r="AL954" s="88">
        <f>SUMIF(月間集計シート!$M$113:$M$132,$G954,月間集計シート!N$113:N$132)*AL$2</f>
        <v>0</v>
      </c>
      <c r="AM954" s="88">
        <f>SUMIF(月間集計シート!$M$113:$M$132,$G954,月間集計シート!O$113:O$132)*AM$2</f>
        <v>0</v>
      </c>
      <c r="AN954" s="88">
        <f>SUMIF(月間集計シート!$M$113:$M$132,$G954,月間集計シート!P$113:P$132)*AN$2</f>
        <v>0</v>
      </c>
      <c r="AO954" s="88">
        <f>SUMIF(月間集計シート!$M$113:$M$132,$G954,月間集計シート!Q$113:Q$132)*AO$2</f>
        <v>0</v>
      </c>
      <c r="AP954" s="88">
        <f>SUMIF(月間集計シート!$M$113:$M$132,$G954,月間集計シート!R$113:R$132)*AP$2</f>
        <v>0</v>
      </c>
      <c r="AQ954" s="88">
        <f>SUMIF(月間集計シート!$M$113:$M$132,$G954,月間集計シート!S$113:S$132)*AQ$2</f>
        <v>0</v>
      </c>
      <c r="AR954" s="88">
        <f>SUMIF(月間集計シート!$M$113:$M$132,$G954,月間集計シート!T$113:T$132)*AR$2</f>
        <v>0</v>
      </c>
      <c r="AS954" s="88">
        <f>SUMIF(月間集計シート!$M$134:$M$153,$G954,月間集計シート!N$134:N$153)*AS$2</f>
        <v>0</v>
      </c>
      <c r="AT954" s="88">
        <f>SUMIF(月間集計シート!$M$134:$M$153,$G954,月間集計シート!O$134:O$153)*AT$2</f>
        <v>0</v>
      </c>
      <c r="AU954" s="88">
        <f>SUMIF(月間集計シート!$M$134:$M$153,$G954,月間集計シート!P$134:P$153)*AU$2</f>
        <v>0</v>
      </c>
      <c r="AV954" s="88">
        <f>SUMIF(月間集計シート!$M$134:$M$153,$G954,月間集計シート!Q$134:Q$153)*AV$2</f>
        <v>0</v>
      </c>
      <c r="AW954" s="88">
        <f>SUMIF(月間集計シート!$M$134:$M$153,$G954,月間集計シート!R$134:R$153)*AW$2</f>
        <v>0</v>
      </c>
      <c r="AX954" s="88">
        <f>SUMIF(月間集計シート!$M$134:$M$153,$G954,月間集計シート!S$134:S$153)*AX$2</f>
        <v>0</v>
      </c>
      <c r="AY954" s="88">
        <f>SUMIF(月間集計シート!$M$134:$M$153,$G954,月間集計シート!T$134:T$153)*AY$2</f>
        <v>0</v>
      </c>
    </row>
    <row r="955" spans="1:51" ht="14.25" thickBot="1">
      <c r="A955">
        <v>12</v>
      </c>
      <c r="B955" s="120">
        <f t="shared" si="517"/>
        <v>0</v>
      </c>
      <c r="C955" s="120" t="str">
        <f t="shared" si="518"/>
        <v/>
      </c>
      <c r="D955" s="137"/>
      <c r="E955" s="150" t="str">
        <f>工種!A12</f>
        <v>20108</v>
      </c>
      <c r="F955" s="119" t="str">
        <f>工種!B12</f>
        <v>設計：レビュー</v>
      </c>
      <c r="G955" s="116" t="str">
        <f t="shared" si="466"/>
        <v>020108</v>
      </c>
      <c r="H955" s="88">
        <f t="shared" si="516"/>
        <v>0</v>
      </c>
      <c r="I955" s="132"/>
      <c r="J955" s="88">
        <f>SUMIF(月間集計シート!$M$29:$M$48,$G955,月間集計シート!N$29:N$48)*J$2</f>
        <v>0</v>
      </c>
      <c r="K955" s="88">
        <f>SUMIF(月間集計シート!$M$29:$M$48,$G955,月間集計シート!O$29:O$48)*K$2</f>
        <v>0</v>
      </c>
      <c r="L955" s="88">
        <f>SUMIF(月間集計シート!$M$29:$M$48,$G955,月間集計シート!P$29:P$48)*L$2</f>
        <v>0</v>
      </c>
      <c r="M955" s="88">
        <f>SUMIF(月間集計シート!$M$29:$M$48,$G955,月間集計シート!Q$29:Q$48)*M$2</f>
        <v>0</v>
      </c>
      <c r="N955" s="88">
        <f>SUMIF(月間集計シート!$M$29:$M$48,$G955,月間集計シート!R$29:R$48)*N$2</f>
        <v>0</v>
      </c>
      <c r="O955" s="88">
        <f>SUMIF(月間集計シート!$M$29:$M$48,$G955,月間集計シート!S$29:S$48)*O$2</f>
        <v>0</v>
      </c>
      <c r="P955" s="88">
        <f>SUMIF(月間集計シート!$M$29:$M$48,$G955,月間集計シート!T$29:T$48)*P$2</f>
        <v>0</v>
      </c>
      <c r="Q955" s="88">
        <f>SUMIF(月間集計シート!$M$50:$M$69,$G955,月間集計シート!N$50:N$69)*Q$2</f>
        <v>0</v>
      </c>
      <c r="R955" s="88">
        <f>SUMIF(月間集計シート!$M$50:$M$69,$G955,月間集計シート!O$50:O$69)*R$2</f>
        <v>0</v>
      </c>
      <c r="S955" s="88">
        <f>SUMIF(月間集計シート!$M$50:$M$69,$G955,月間集計シート!P$50:P$69)*S$2</f>
        <v>0</v>
      </c>
      <c r="T955" s="88">
        <f>SUMIF(月間集計シート!$M$50:$M$69,$G955,月間集計シート!Q$50:Q$69)*T$2</f>
        <v>0</v>
      </c>
      <c r="U955" s="88">
        <f>SUMIF(月間集計シート!$M$50:$M$69,$G955,月間集計シート!R$50:R$69)*U$2</f>
        <v>0</v>
      </c>
      <c r="V955" s="88">
        <f>SUMIF(月間集計シート!$M$50:$M$69,$G955,月間集計シート!S$50:S$69)*V$2</f>
        <v>0</v>
      </c>
      <c r="W955" s="88">
        <f>SUMIF(月間集計シート!$M$50:$M$69,$G955,月間集計シート!T$50:T$69)*W$2</f>
        <v>0</v>
      </c>
      <c r="X955" s="88">
        <f>SUMIF(月間集計シート!$M$71:$M$90,$G955,月間集計シート!N$71:N$90)*X$2</f>
        <v>0</v>
      </c>
      <c r="Y955" s="88">
        <f>SUMIF(月間集計シート!$M$71:$M$90,$G955,月間集計シート!O$71:O$90)*Y$2</f>
        <v>0</v>
      </c>
      <c r="Z955" s="88">
        <f>SUMIF(月間集計シート!$M$71:$M$90,$G955,月間集計シート!P$71:P$90)*Z$2</f>
        <v>0</v>
      </c>
      <c r="AA955" s="88">
        <f>SUMIF(月間集計シート!$M$71:$M$90,$G955,月間集計シート!Q$71:Q$90)*AA$2</f>
        <v>0</v>
      </c>
      <c r="AB955" s="88">
        <f>SUMIF(月間集計シート!$M$71:$M$90,$G955,月間集計シート!R$71:R$90)*AB$2</f>
        <v>0</v>
      </c>
      <c r="AC955" s="88">
        <f>SUMIF(月間集計シート!$M$71:$M$90,$G955,月間集計シート!S$71:S$90)*AC$2</f>
        <v>0</v>
      </c>
      <c r="AD955" s="88">
        <f>SUMIF(月間集計シート!$M$71:$M$90,$G955,月間集計シート!T$71:T$90)*AD$2</f>
        <v>0</v>
      </c>
      <c r="AE955" s="88">
        <f>SUMIF(月間集計シート!$M$92:$M$111,$G955,月間集計シート!N$92:N$111)*AE$2</f>
        <v>0</v>
      </c>
      <c r="AF955" s="88">
        <f>SUMIF(月間集計シート!$M$92:$M$111,$G955,月間集計シート!O$92:O$111)*AF$2</f>
        <v>0</v>
      </c>
      <c r="AG955" s="88">
        <f>SUMIF(月間集計シート!$M$92:$M$111,$G955,月間集計シート!P$92:P$111)*AG$2</f>
        <v>0</v>
      </c>
      <c r="AH955" s="88">
        <f>SUMIF(月間集計シート!$M$92:$M$111,$G955,月間集計シート!Q$92:Q$111)*AH$2</f>
        <v>0</v>
      </c>
      <c r="AI955" s="88">
        <f>SUMIF(月間集計シート!$M$92:$M$111,$G955,月間集計シート!R$92:R$111)*AI$2</f>
        <v>0</v>
      </c>
      <c r="AJ955" s="88">
        <f>SUMIF(月間集計シート!$M$92:$M$111,$G955,月間集計シート!S$92:S$111)*AJ$2</f>
        <v>0</v>
      </c>
      <c r="AK955" s="88">
        <f>SUMIF(月間集計シート!$M$92:$M$111,$G955,月間集計シート!T$92:T$111)*AK$2</f>
        <v>0</v>
      </c>
      <c r="AL955" s="88">
        <f>SUMIF(月間集計シート!$M$113:$M$132,$G955,月間集計シート!N$113:N$132)*AL$2</f>
        <v>0</v>
      </c>
      <c r="AM955" s="88">
        <f>SUMIF(月間集計シート!$M$113:$M$132,$G955,月間集計シート!O$113:O$132)*AM$2</f>
        <v>0</v>
      </c>
      <c r="AN955" s="88">
        <f>SUMIF(月間集計シート!$M$113:$M$132,$G955,月間集計シート!P$113:P$132)*AN$2</f>
        <v>0</v>
      </c>
      <c r="AO955" s="88">
        <f>SUMIF(月間集計シート!$M$113:$M$132,$G955,月間集計シート!Q$113:Q$132)*AO$2</f>
        <v>0</v>
      </c>
      <c r="AP955" s="88">
        <f>SUMIF(月間集計シート!$M$113:$M$132,$G955,月間集計シート!R$113:R$132)*AP$2</f>
        <v>0</v>
      </c>
      <c r="AQ955" s="88">
        <f>SUMIF(月間集計シート!$M$113:$M$132,$G955,月間集計シート!S$113:S$132)*AQ$2</f>
        <v>0</v>
      </c>
      <c r="AR955" s="88">
        <f>SUMIF(月間集計シート!$M$113:$M$132,$G955,月間集計シート!T$113:T$132)*AR$2</f>
        <v>0</v>
      </c>
      <c r="AS955" s="88">
        <f>SUMIF(月間集計シート!$M$134:$M$153,$G955,月間集計シート!N$134:N$153)*AS$2</f>
        <v>0</v>
      </c>
      <c r="AT955" s="88">
        <f>SUMIF(月間集計シート!$M$134:$M$153,$G955,月間集計シート!O$134:O$153)*AT$2</f>
        <v>0</v>
      </c>
      <c r="AU955" s="88">
        <f>SUMIF(月間集計シート!$M$134:$M$153,$G955,月間集計シート!P$134:P$153)*AU$2</f>
        <v>0</v>
      </c>
      <c r="AV955" s="88">
        <f>SUMIF(月間集計シート!$M$134:$M$153,$G955,月間集計シート!Q$134:Q$153)*AV$2</f>
        <v>0</v>
      </c>
      <c r="AW955" s="88">
        <f>SUMIF(月間集計シート!$M$134:$M$153,$G955,月間集計シート!R$134:R$153)*AW$2</f>
        <v>0</v>
      </c>
      <c r="AX955" s="88">
        <f>SUMIF(月間集計シート!$M$134:$M$153,$G955,月間集計シート!S$134:S$153)*AX$2</f>
        <v>0</v>
      </c>
      <c r="AY955" s="88">
        <f>SUMIF(月間集計シート!$M$134:$M$153,$G955,月間集計シート!T$134:T$153)*AY$2</f>
        <v>0</v>
      </c>
    </row>
    <row r="956" spans="1:51" ht="14.25" thickBot="1">
      <c r="A956">
        <v>12</v>
      </c>
      <c r="B956" s="120">
        <f t="shared" si="517"/>
        <v>0</v>
      </c>
      <c r="C956" s="120" t="str">
        <f t="shared" si="518"/>
        <v/>
      </c>
      <c r="D956" s="137"/>
      <c r="E956" s="150" t="str">
        <f>工種!A13</f>
        <v>20109</v>
      </c>
      <c r="F956" s="119" t="str">
        <f>工種!B13</f>
        <v>設計：QA対応</v>
      </c>
      <c r="G956" s="116" t="str">
        <f t="shared" si="466"/>
        <v>020109</v>
      </c>
      <c r="H956" s="88">
        <f t="shared" si="516"/>
        <v>0</v>
      </c>
      <c r="I956" s="132"/>
      <c r="J956" s="88">
        <f>SUMIF(月間集計シート!$M$29:$M$48,$G956,月間集計シート!N$29:N$48)*J$2</f>
        <v>0</v>
      </c>
      <c r="K956" s="88">
        <f>SUMIF(月間集計シート!$M$29:$M$48,$G956,月間集計シート!O$29:O$48)*K$2</f>
        <v>0</v>
      </c>
      <c r="L956" s="88">
        <f>SUMIF(月間集計シート!$M$29:$M$48,$G956,月間集計シート!P$29:P$48)*L$2</f>
        <v>0</v>
      </c>
      <c r="M956" s="88">
        <f>SUMIF(月間集計シート!$M$29:$M$48,$G956,月間集計シート!Q$29:Q$48)*M$2</f>
        <v>0</v>
      </c>
      <c r="N956" s="88">
        <f>SUMIF(月間集計シート!$M$29:$M$48,$G956,月間集計シート!R$29:R$48)*N$2</f>
        <v>0</v>
      </c>
      <c r="O956" s="88">
        <f>SUMIF(月間集計シート!$M$29:$M$48,$G956,月間集計シート!S$29:S$48)*O$2</f>
        <v>0</v>
      </c>
      <c r="P956" s="88">
        <f>SUMIF(月間集計シート!$M$29:$M$48,$G956,月間集計シート!T$29:T$48)*P$2</f>
        <v>0</v>
      </c>
      <c r="Q956" s="88">
        <f>SUMIF(月間集計シート!$M$50:$M$69,$G956,月間集計シート!N$50:N$69)*Q$2</f>
        <v>0</v>
      </c>
      <c r="R956" s="88">
        <f>SUMIF(月間集計シート!$M$50:$M$69,$G956,月間集計シート!O$50:O$69)*R$2</f>
        <v>0</v>
      </c>
      <c r="S956" s="88">
        <f>SUMIF(月間集計シート!$M$50:$M$69,$G956,月間集計シート!P$50:P$69)*S$2</f>
        <v>0</v>
      </c>
      <c r="T956" s="88">
        <f>SUMIF(月間集計シート!$M$50:$M$69,$G956,月間集計シート!Q$50:Q$69)*T$2</f>
        <v>0</v>
      </c>
      <c r="U956" s="88">
        <f>SUMIF(月間集計シート!$M$50:$M$69,$G956,月間集計シート!R$50:R$69)*U$2</f>
        <v>0</v>
      </c>
      <c r="V956" s="88">
        <f>SUMIF(月間集計シート!$M$50:$M$69,$G956,月間集計シート!S$50:S$69)*V$2</f>
        <v>0</v>
      </c>
      <c r="W956" s="88">
        <f>SUMIF(月間集計シート!$M$50:$M$69,$G956,月間集計シート!T$50:T$69)*W$2</f>
        <v>0</v>
      </c>
      <c r="X956" s="88">
        <f>SUMIF(月間集計シート!$M$71:$M$90,$G956,月間集計シート!N$71:N$90)*X$2</f>
        <v>0</v>
      </c>
      <c r="Y956" s="88">
        <f>SUMIF(月間集計シート!$M$71:$M$90,$G956,月間集計シート!O$71:O$90)*Y$2</f>
        <v>0</v>
      </c>
      <c r="Z956" s="88">
        <f>SUMIF(月間集計シート!$M$71:$M$90,$G956,月間集計シート!P$71:P$90)*Z$2</f>
        <v>0</v>
      </c>
      <c r="AA956" s="88">
        <f>SUMIF(月間集計シート!$M$71:$M$90,$G956,月間集計シート!Q$71:Q$90)*AA$2</f>
        <v>0</v>
      </c>
      <c r="AB956" s="88">
        <f>SUMIF(月間集計シート!$M$71:$M$90,$G956,月間集計シート!R$71:R$90)*AB$2</f>
        <v>0</v>
      </c>
      <c r="AC956" s="88">
        <f>SUMIF(月間集計シート!$M$71:$M$90,$G956,月間集計シート!S$71:S$90)*AC$2</f>
        <v>0</v>
      </c>
      <c r="AD956" s="88">
        <f>SUMIF(月間集計シート!$M$71:$M$90,$G956,月間集計シート!T$71:T$90)*AD$2</f>
        <v>0</v>
      </c>
      <c r="AE956" s="88">
        <f>SUMIF(月間集計シート!$M$92:$M$111,$G956,月間集計シート!N$92:N$111)*AE$2</f>
        <v>0</v>
      </c>
      <c r="AF956" s="88">
        <f>SUMIF(月間集計シート!$M$92:$M$111,$G956,月間集計シート!O$92:O$111)*AF$2</f>
        <v>0</v>
      </c>
      <c r="AG956" s="88">
        <f>SUMIF(月間集計シート!$M$92:$M$111,$G956,月間集計シート!P$92:P$111)*AG$2</f>
        <v>0</v>
      </c>
      <c r="AH956" s="88">
        <f>SUMIF(月間集計シート!$M$92:$M$111,$G956,月間集計シート!Q$92:Q$111)*AH$2</f>
        <v>0</v>
      </c>
      <c r="AI956" s="88">
        <f>SUMIF(月間集計シート!$M$92:$M$111,$G956,月間集計シート!R$92:R$111)*AI$2</f>
        <v>0</v>
      </c>
      <c r="AJ956" s="88">
        <f>SUMIF(月間集計シート!$M$92:$M$111,$G956,月間集計シート!S$92:S$111)*AJ$2</f>
        <v>0</v>
      </c>
      <c r="AK956" s="88">
        <f>SUMIF(月間集計シート!$M$92:$M$111,$G956,月間集計シート!T$92:T$111)*AK$2</f>
        <v>0</v>
      </c>
      <c r="AL956" s="88">
        <f>SUMIF(月間集計シート!$M$113:$M$132,$G956,月間集計シート!N$113:N$132)*AL$2</f>
        <v>0</v>
      </c>
      <c r="AM956" s="88">
        <f>SUMIF(月間集計シート!$M$113:$M$132,$G956,月間集計シート!O$113:O$132)*AM$2</f>
        <v>0</v>
      </c>
      <c r="AN956" s="88">
        <f>SUMIF(月間集計シート!$M$113:$M$132,$G956,月間集計シート!P$113:P$132)*AN$2</f>
        <v>0</v>
      </c>
      <c r="AO956" s="88">
        <f>SUMIF(月間集計シート!$M$113:$M$132,$G956,月間集計シート!Q$113:Q$132)*AO$2</f>
        <v>0</v>
      </c>
      <c r="AP956" s="88">
        <f>SUMIF(月間集計シート!$M$113:$M$132,$G956,月間集計シート!R$113:R$132)*AP$2</f>
        <v>0</v>
      </c>
      <c r="AQ956" s="88">
        <f>SUMIF(月間集計シート!$M$113:$M$132,$G956,月間集計シート!S$113:S$132)*AQ$2</f>
        <v>0</v>
      </c>
      <c r="AR956" s="88">
        <f>SUMIF(月間集計シート!$M$113:$M$132,$G956,月間集計シート!T$113:T$132)*AR$2</f>
        <v>0</v>
      </c>
      <c r="AS956" s="88">
        <f>SUMIF(月間集計シート!$M$134:$M$153,$G956,月間集計シート!N$134:N$153)*AS$2</f>
        <v>0</v>
      </c>
      <c r="AT956" s="88">
        <f>SUMIF(月間集計シート!$M$134:$M$153,$G956,月間集計シート!O$134:O$153)*AT$2</f>
        <v>0</v>
      </c>
      <c r="AU956" s="88">
        <f>SUMIF(月間集計シート!$M$134:$M$153,$G956,月間集計シート!P$134:P$153)*AU$2</f>
        <v>0</v>
      </c>
      <c r="AV956" s="88">
        <f>SUMIF(月間集計シート!$M$134:$M$153,$G956,月間集計シート!Q$134:Q$153)*AV$2</f>
        <v>0</v>
      </c>
      <c r="AW956" s="88">
        <f>SUMIF(月間集計シート!$M$134:$M$153,$G956,月間集計シート!R$134:R$153)*AW$2</f>
        <v>0</v>
      </c>
      <c r="AX956" s="88">
        <f>SUMIF(月間集計シート!$M$134:$M$153,$G956,月間集計シート!S$134:S$153)*AX$2</f>
        <v>0</v>
      </c>
      <c r="AY956" s="88">
        <f>SUMIF(月間集計シート!$M$134:$M$153,$G956,月間集計シート!T$134:T$153)*AY$2</f>
        <v>0</v>
      </c>
    </row>
    <row r="957" spans="1:51" ht="14.25" thickBot="1">
      <c r="A957">
        <v>12</v>
      </c>
      <c r="B957" s="120">
        <f t="shared" si="517"/>
        <v>0</v>
      </c>
      <c r="C957" s="120" t="str">
        <f t="shared" si="518"/>
        <v/>
      </c>
      <c r="D957" s="137"/>
      <c r="E957" s="150" t="str">
        <f>工種!A14</f>
        <v>20199</v>
      </c>
      <c r="F957" s="119" t="str">
        <f>工種!B14</f>
        <v>設計：その他</v>
      </c>
      <c r="G957" s="116" t="str">
        <f t="shared" ref="G957:G1042" si="519">B957&amp;E957</f>
        <v>020199</v>
      </c>
      <c r="H957" s="88">
        <f t="shared" si="516"/>
        <v>0</v>
      </c>
      <c r="I957" s="132"/>
      <c r="J957" s="88">
        <f>SUMIF(月間集計シート!$M$29:$M$48,$G957,月間集計シート!N$29:N$48)*J$2</f>
        <v>0</v>
      </c>
      <c r="K957" s="88">
        <f>SUMIF(月間集計シート!$M$29:$M$48,$G957,月間集計シート!O$29:O$48)*K$2</f>
        <v>0</v>
      </c>
      <c r="L957" s="88">
        <f>SUMIF(月間集計シート!$M$29:$M$48,$G957,月間集計シート!P$29:P$48)*L$2</f>
        <v>0</v>
      </c>
      <c r="M957" s="88">
        <f>SUMIF(月間集計シート!$M$29:$M$48,$G957,月間集計シート!Q$29:Q$48)*M$2</f>
        <v>0</v>
      </c>
      <c r="N957" s="88">
        <f>SUMIF(月間集計シート!$M$29:$M$48,$G957,月間集計シート!R$29:R$48)*N$2</f>
        <v>0</v>
      </c>
      <c r="O957" s="88">
        <f>SUMIF(月間集計シート!$M$29:$M$48,$G957,月間集計シート!S$29:S$48)*O$2</f>
        <v>0</v>
      </c>
      <c r="P957" s="88">
        <f>SUMIF(月間集計シート!$M$29:$M$48,$G957,月間集計シート!T$29:T$48)*P$2</f>
        <v>0</v>
      </c>
      <c r="Q957" s="88">
        <f>SUMIF(月間集計シート!$M$50:$M$69,$G957,月間集計シート!N$50:N$69)*Q$2</f>
        <v>0</v>
      </c>
      <c r="R957" s="88">
        <f>SUMIF(月間集計シート!$M$50:$M$69,$G957,月間集計シート!O$50:O$69)*R$2</f>
        <v>0</v>
      </c>
      <c r="S957" s="88">
        <f>SUMIF(月間集計シート!$M$50:$M$69,$G957,月間集計シート!P$50:P$69)*S$2</f>
        <v>0</v>
      </c>
      <c r="T957" s="88">
        <f>SUMIF(月間集計シート!$M$50:$M$69,$G957,月間集計シート!Q$50:Q$69)*T$2</f>
        <v>0</v>
      </c>
      <c r="U957" s="88">
        <f>SUMIF(月間集計シート!$M$50:$M$69,$G957,月間集計シート!R$50:R$69)*U$2</f>
        <v>0</v>
      </c>
      <c r="V957" s="88">
        <f>SUMIF(月間集計シート!$M$50:$M$69,$G957,月間集計シート!S$50:S$69)*V$2</f>
        <v>0</v>
      </c>
      <c r="W957" s="88">
        <f>SUMIF(月間集計シート!$M$50:$M$69,$G957,月間集計シート!T$50:T$69)*W$2</f>
        <v>0</v>
      </c>
      <c r="X957" s="88">
        <f>SUMIF(月間集計シート!$M$71:$M$90,$G957,月間集計シート!N$71:N$90)*X$2</f>
        <v>0</v>
      </c>
      <c r="Y957" s="88">
        <f>SUMIF(月間集計シート!$M$71:$M$90,$G957,月間集計シート!O$71:O$90)*Y$2</f>
        <v>0</v>
      </c>
      <c r="Z957" s="88">
        <f>SUMIF(月間集計シート!$M$71:$M$90,$G957,月間集計シート!P$71:P$90)*Z$2</f>
        <v>0</v>
      </c>
      <c r="AA957" s="88">
        <f>SUMIF(月間集計シート!$M$71:$M$90,$G957,月間集計シート!Q$71:Q$90)*AA$2</f>
        <v>0</v>
      </c>
      <c r="AB957" s="88">
        <f>SUMIF(月間集計シート!$M$71:$M$90,$G957,月間集計シート!R$71:R$90)*AB$2</f>
        <v>0</v>
      </c>
      <c r="AC957" s="88">
        <f>SUMIF(月間集計シート!$M$71:$M$90,$G957,月間集計シート!S$71:S$90)*AC$2</f>
        <v>0</v>
      </c>
      <c r="AD957" s="88">
        <f>SUMIF(月間集計シート!$M$71:$M$90,$G957,月間集計シート!T$71:T$90)*AD$2</f>
        <v>0</v>
      </c>
      <c r="AE957" s="88">
        <f>SUMIF(月間集計シート!$M$92:$M$111,$G957,月間集計シート!N$92:N$111)*AE$2</f>
        <v>0</v>
      </c>
      <c r="AF957" s="88">
        <f>SUMIF(月間集計シート!$M$92:$M$111,$G957,月間集計シート!O$92:O$111)*AF$2</f>
        <v>0</v>
      </c>
      <c r="AG957" s="88">
        <f>SUMIF(月間集計シート!$M$92:$M$111,$G957,月間集計シート!P$92:P$111)*AG$2</f>
        <v>0</v>
      </c>
      <c r="AH957" s="88">
        <f>SUMIF(月間集計シート!$M$92:$M$111,$G957,月間集計シート!Q$92:Q$111)*AH$2</f>
        <v>0</v>
      </c>
      <c r="AI957" s="88">
        <f>SUMIF(月間集計シート!$M$92:$M$111,$G957,月間集計シート!R$92:R$111)*AI$2</f>
        <v>0</v>
      </c>
      <c r="AJ957" s="88">
        <f>SUMIF(月間集計シート!$M$92:$M$111,$G957,月間集計シート!S$92:S$111)*AJ$2</f>
        <v>0</v>
      </c>
      <c r="AK957" s="88">
        <f>SUMIF(月間集計シート!$M$92:$M$111,$G957,月間集計シート!T$92:T$111)*AK$2</f>
        <v>0</v>
      </c>
      <c r="AL957" s="88">
        <f>SUMIF(月間集計シート!$M$113:$M$132,$G957,月間集計シート!N$113:N$132)*AL$2</f>
        <v>0</v>
      </c>
      <c r="AM957" s="88">
        <f>SUMIF(月間集計シート!$M$113:$M$132,$G957,月間集計シート!O$113:O$132)*AM$2</f>
        <v>0</v>
      </c>
      <c r="AN957" s="88">
        <f>SUMIF(月間集計シート!$M$113:$M$132,$G957,月間集計シート!P$113:P$132)*AN$2</f>
        <v>0</v>
      </c>
      <c r="AO957" s="88">
        <f>SUMIF(月間集計シート!$M$113:$M$132,$G957,月間集計シート!Q$113:Q$132)*AO$2</f>
        <v>0</v>
      </c>
      <c r="AP957" s="88">
        <f>SUMIF(月間集計シート!$M$113:$M$132,$G957,月間集計シート!R$113:R$132)*AP$2</f>
        <v>0</v>
      </c>
      <c r="AQ957" s="88">
        <f>SUMIF(月間集計シート!$M$113:$M$132,$G957,月間集計シート!S$113:S$132)*AQ$2</f>
        <v>0</v>
      </c>
      <c r="AR957" s="88">
        <f>SUMIF(月間集計シート!$M$113:$M$132,$G957,月間集計シート!T$113:T$132)*AR$2</f>
        <v>0</v>
      </c>
      <c r="AS957" s="88">
        <f>SUMIF(月間集計シート!$M$134:$M$153,$G957,月間集計シート!N$134:N$153)*AS$2</f>
        <v>0</v>
      </c>
      <c r="AT957" s="88">
        <f>SUMIF(月間集計シート!$M$134:$M$153,$G957,月間集計シート!O$134:O$153)*AT$2</f>
        <v>0</v>
      </c>
      <c r="AU957" s="88">
        <f>SUMIF(月間集計シート!$M$134:$M$153,$G957,月間集計シート!P$134:P$153)*AU$2</f>
        <v>0</v>
      </c>
      <c r="AV957" s="88">
        <f>SUMIF(月間集計シート!$M$134:$M$153,$G957,月間集計シート!Q$134:Q$153)*AV$2</f>
        <v>0</v>
      </c>
      <c r="AW957" s="88">
        <f>SUMIF(月間集計シート!$M$134:$M$153,$G957,月間集計シート!R$134:R$153)*AW$2</f>
        <v>0</v>
      </c>
      <c r="AX957" s="88">
        <f>SUMIF(月間集計シート!$M$134:$M$153,$G957,月間集計シート!S$134:S$153)*AX$2</f>
        <v>0</v>
      </c>
      <c r="AY957" s="88">
        <f>SUMIF(月間集計シート!$M$134:$M$153,$G957,月間集計シート!T$134:T$153)*AY$2</f>
        <v>0</v>
      </c>
    </row>
    <row r="958" spans="1:51" ht="14.25" thickBot="1">
      <c r="A958">
        <v>12</v>
      </c>
      <c r="B958" s="120">
        <f t="shared" si="517"/>
        <v>0</v>
      </c>
      <c r="C958" s="120" t="str">
        <f t="shared" si="518"/>
        <v/>
      </c>
      <c r="D958" s="137"/>
      <c r="E958" s="150" t="str">
        <f>工種!A15</f>
        <v>30101</v>
      </c>
      <c r="F958" s="119" t="str">
        <f>工種!B15</f>
        <v>製造：内部設計書作成</v>
      </c>
      <c r="G958" s="116" t="str">
        <f t="shared" si="519"/>
        <v>030101</v>
      </c>
      <c r="H958" s="88">
        <f t="shared" si="516"/>
        <v>0</v>
      </c>
      <c r="I958" s="132"/>
      <c r="J958" s="88">
        <f>SUMIF(月間集計シート!$M$29:$M$48,$G958,月間集計シート!N$29:N$48)*J$2</f>
        <v>0</v>
      </c>
      <c r="K958" s="88">
        <f>SUMIF(月間集計シート!$M$29:$M$48,$G958,月間集計シート!O$29:O$48)*K$2</f>
        <v>0</v>
      </c>
      <c r="L958" s="88">
        <f>SUMIF(月間集計シート!$M$29:$M$48,$G958,月間集計シート!P$29:P$48)*L$2</f>
        <v>0</v>
      </c>
      <c r="M958" s="88">
        <f>SUMIF(月間集計シート!$M$29:$M$48,$G958,月間集計シート!Q$29:Q$48)*M$2</f>
        <v>0</v>
      </c>
      <c r="N958" s="88">
        <f>SUMIF(月間集計シート!$M$29:$M$48,$G958,月間集計シート!R$29:R$48)*N$2</f>
        <v>0</v>
      </c>
      <c r="O958" s="88">
        <f>SUMIF(月間集計シート!$M$29:$M$48,$G958,月間集計シート!S$29:S$48)*O$2</f>
        <v>0</v>
      </c>
      <c r="P958" s="88">
        <f>SUMIF(月間集計シート!$M$29:$M$48,$G958,月間集計シート!T$29:T$48)*P$2</f>
        <v>0</v>
      </c>
      <c r="Q958" s="88">
        <f>SUMIF(月間集計シート!$M$50:$M$69,$G958,月間集計シート!N$50:N$69)*Q$2</f>
        <v>0</v>
      </c>
      <c r="R958" s="88">
        <f>SUMIF(月間集計シート!$M$50:$M$69,$G958,月間集計シート!O$50:O$69)*R$2</f>
        <v>0</v>
      </c>
      <c r="S958" s="88">
        <f>SUMIF(月間集計シート!$M$50:$M$69,$G958,月間集計シート!P$50:P$69)*S$2</f>
        <v>0</v>
      </c>
      <c r="T958" s="88">
        <f>SUMIF(月間集計シート!$M$50:$M$69,$G958,月間集計シート!Q$50:Q$69)*T$2</f>
        <v>0</v>
      </c>
      <c r="U958" s="88">
        <f>SUMIF(月間集計シート!$M$50:$M$69,$G958,月間集計シート!R$50:R$69)*U$2</f>
        <v>0</v>
      </c>
      <c r="V958" s="88">
        <f>SUMIF(月間集計シート!$M$50:$M$69,$G958,月間集計シート!S$50:S$69)*V$2</f>
        <v>0</v>
      </c>
      <c r="W958" s="88">
        <f>SUMIF(月間集計シート!$M$50:$M$69,$G958,月間集計シート!T$50:T$69)*W$2</f>
        <v>0</v>
      </c>
      <c r="X958" s="88">
        <f>SUMIF(月間集計シート!$M$71:$M$90,$G958,月間集計シート!N$71:N$90)*X$2</f>
        <v>0</v>
      </c>
      <c r="Y958" s="88">
        <f>SUMIF(月間集計シート!$M$71:$M$90,$G958,月間集計シート!O$71:O$90)*Y$2</f>
        <v>0</v>
      </c>
      <c r="Z958" s="88">
        <f>SUMIF(月間集計シート!$M$71:$M$90,$G958,月間集計シート!P$71:P$90)*Z$2</f>
        <v>0</v>
      </c>
      <c r="AA958" s="88">
        <f>SUMIF(月間集計シート!$M$71:$M$90,$G958,月間集計シート!Q$71:Q$90)*AA$2</f>
        <v>0</v>
      </c>
      <c r="AB958" s="88">
        <f>SUMIF(月間集計シート!$M$71:$M$90,$G958,月間集計シート!R$71:R$90)*AB$2</f>
        <v>0</v>
      </c>
      <c r="AC958" s="88">
        <f>SUMIF(月間集計シート!$M$71:$M$90,$G958,月間集計シート!S$71:S$90)*AC$2</f>
        <v>0</v>
      </c>
      <c r="AD958" s="88">
        <f>SUMIF(月間集計シート!$M$71:$M$90,$G958,月間集計シート!T$71:T$90)*AD$2</f>
        <v>0</v>
      </c>
      <c r="AE958" s="88">
        <f>SUMIF(月間集計シート!$M$92:$M$111,$G958,月間集計シート!N$92:N$111)*AE$2</f>
        <v>0</v>
      </c>
      <c r="AF958" s="88">
        <f>SUMIF(月間集計シート!$M$92:$M$111,$G958,月間集計シート!O$92:O$111)*AF$2</f>
        <v>0</v>
      </c>
      <c r="AG958" s="88">
        <f>SUMIF(月間集計シート!$M$92:$M$111,$G958,月間集計シート!P$92:P$111)*AG$2</f>
        <v>0</v>
      </c>
      <c r="AH958" s="88">
        <f>SUMIF(月間集計シート!$M$92:$M$111,$G958,月間集計シート!Q$92:Q$111)*AH$2</f>
        <v>0</v>
      </c>
      <c r="AI958" s="88">
        <f>SUMIF(月間集計シート!$M$92:$M$111,$G958,月間集計シート!R$92:R$111)*AI$2</f>
        <v>0</v>
      </c>
      <c r="AJ958" s="88">
        <f>SUMIF(月間集計シート!$M$92:$M$111,$G958,月間集計シート!S$92:S$111)*AJ$2</f>
        <v>0</v>
      </c>
      <c r="AK958" s="88">
        <f>SUMIF(月間集計シート!$M$92:$M$111,$G958,月間集計シート!T$92:T$111)*AK$2</f>
        <v>0</v>
      </c>
      <c r="AL958" s="88">
        <f>SUMIF(月間集計シート!$M$113:$M$132,$G958,月間集計シート!N$113:N$132)*AL$2</f>
        <v>0</v>
      </c>
      <c r="AM958" s="88">
        <f>SUMIF(月間集計シート!$M$113:$M$132,$G958,月間集計シート!O$113:O$132)*AM$2</f>
        <v>0</v>
      </c>
      <c r="AN958" s="88">
        <f>SUMIF(月間集計シート!$M$113:$M$132,$G958,月間集計シート!P$113:P$132)*AN$2</f>
        <v>0</v>
      </c>
      <c r="AO958" s="88">
        <f>SUMIF(月間集計シート!$M$113:$M$132,$G958,月間集計シート!Q$113:Q$132)*AO$2</f>
        <v>0</v>
      </c>
      <c r="AP958" s="88">
        <f>SUMIF(月間集計シート!$M$113:$M$132,$G958,月間集計シート!R$113:R$132)*AP$2</f>
        <v>0</v>
      </c>
      <c r="AQ958" s="88">
        <f>SUMIF(月間集計シート!$M$113:$M$132,$G958,月間集計シート!S$113:S$132)*AQ$2</f>
        <v>0</v>
      </c>
      <c r="AR958" s="88">
        <f>SUMIF(月間集計シート!$M$113:$M$132,$G958,月間集計シート!T$113:T$132)*AR$2</f>
        <v>0</v>
      </c>
      <c r="AS958" s="88">
        <f>SUMIF(月間集計シート!$M$134:$M$153,$G958,月間集計シート!N$134:N$153)*AS$2</f>
        <v>0</v>
      </c>
      <c r="AT958" s="88">
        <f>SUMIF(月間集計シート!$M$134:$M$153,$G958,月間集計シート!O$134:O$153)*AT$2</f>
        <v>0</v>
      </c>
      <c r="AU958" s="88">
        <f>SUMIF(月間集計シート!$M$134:$M$153,$G958,月間集計シート!P$134:P$153)*AU$2</f>
        <v>0</v>
      </c>
      <c r="AV958" s="88">
        <f>SUMIF(月間集計シート!$M$134:$M$153,$G958,月間集計シート!Q$134:Q$153)*AV$2</f>
        <v>0</v>
      </c>
      <c r="AW958" s="88">
        <f>SUMIF(月間集計シート!$M$134:$M$153,$G958,月間集計シート!R$134:R$153)*AW$2</f>
        <v>0</v>
      </c>
      <c r="AX958" s="88">
        <f>SUMIF(月間集計シート!$M$134:$M$153,$G958,月間集計シート!S$134:S$153)*AX$2</f>
        <v>0</v>
      </c>
      <c r="AY958" s="88">
        <f>SUMIF(月間集計シート!$M$134:$M$153,$G958,月間集計シート!T$134:T$153)*AY$2</f>
        <v>0</v>
      </c>
    </row>
    <row r="959" spans="1:51" ht="14.25" thickBot="1">
      <c r="A959">
        <v>12</v>
      </c>
      <c r="B959" s="120">
        <f t="shared" si="517"/>
        <v>0</v>
      </c>
      <c r="C959" s="120" t="str">
        <f t="shared" si="518"/>
        <v/>
      </c>
      <c r="D959" s="137"/>
      <c r="E959" s="150" t="str">
        <f>工種!A16</f>
        <v>30102</v>
      </c>
      <c r="F959" s="119" t="str">
        <f>工種!B16</f>
        <v>製造：コーディング</v>
      </c>
      <c r="G959" s="116" t="str">
        <f t="shared" si="519"/>
        <v>030102</v>
      </c>
      <c r="H959" s="88">
        <f t="shared" si="516"/>
        <v>0</v>
      </c>
      <c r="I959" s="132"/>
      <c r="J959" s="88">
        <f>SUMIF(月間集計シート!$M$29:$M$48,$G959,月間集計シート!N$29:N$48)*J$2</f>
        <v>0</v>
      </c>
      <c r="K959" s="88">
        <f>SUMIF(月間集計シート!$M$29:$M$48,$G959,月間集計シート!O$29:O$48)*K$2</f>
        <v>0</v>
      </c>
      <c r="L959" s="88">
        <f>SUMIF(月間集計シート!$M$29:$M$48,$G959,月間集計シート!P$29:P$48)*L$2</f>
        <v>0</v>
      </c>
      <c r="M959" s="88">
        <f>SUMIF(月間集計シート!$M$29:$M$48,$G959,月間集計シート!Q$29:Q$48)*M$2</f>
        <v>0</v>
      </c>
      <c r="N959" s="88">
        <f>SUMIF(月間集計シート!$M$29:$M$48,$G959,月間集計シート!R$29:R$48)*N$2</f>
        <v>0</v>
      </c>
      <c r="O959" s="88">
        <f>SUMIF(月間集計シート!$M$29:$M$48,$G959,月間集計シート!S$29:S$48)*O$2</f>
        <v>0</v>
      </c>
      <c r="P959" s="88">
        <f>SUMIF(月間集計シート!$M$29:$M$48,$G959,月間集計シート!T$29:T$48)*P$2</f>
        <v>0</v>
      </c>
      <c r="Q959" s="88">
        <f>SUMIF(月間集計シート!$M$50:$M$69,$G959,月間集計シート!N$50:N$69)*Q$2</f>
        <v>0</v>
      </c>
      <c r="R959" s="88">
        <f>SUMIF(月間集計シート!$M$50:$M$69,$G959,月間集計シート!O$50:O$69)*R$2</f>
        <v>0</v>
      </c>
      <c r="S959" s="88">
        <f>SUMIF(月間集計シート!$M$50:$M$69,$G959,月間集計シート!P$50:P$69)*S$2</f>
        <v>0</v>
      </c>
      <c r="T959" s="88">
        <f>SUMIF(月間集計シート!$M$50:$M$69,$G959,月間集計シート!Q$50:Q$69)*T$2</f>
        <v>0</v>
      </c>
      <c r="U959" s="88">
        <f>SUMIF(月間集計シート!$M$50:$M$69,$G959,月間集計シート!R$50:R$69)*U$2</f>
        <v>0</v>
      </c>
      <c r="V959" s="88">
        <f>SUMIF(月間集計シート!$M$50:$M$69,$G959,月間集計シート!S$50:S$69)*V$2</f>
        <v>0</v>
      </c>
      <c r="W959" s="88">
        <f>SUMIF(月間集計シート!$M$50:$M$69,$G959,月間集計シート!T$50:T$69)*W$2</f>
        <v>0</v>
      </c>
      <c r="X959" s="88">
        <f>SUMIF(月間集計シート!$M$71:$M$90,$G959,月間集計シート!N$71:N$90)*X$2</f>
        <v>0</v>
      </c>
      <c r="Y959" s="88">
        <f>SUMIF(月間集計シート!$M$71:$M$90,$G959,月間集計シート!O$71:O$90)*Y$2</f>
        <v>0</v>
      </c>
      <c r="Z959" s="88">
        <f>SUMIF(月間集計シート!$M$71:$M$90,$G959,月間集計シート!P$71:P$90)*Z$2</f>
        <v>0</v>
      </c>
      <c r="AA959" s="88">
        <f>SUMIF(月間集計シート!$M$71:$M$90,$G959,月間集計シート!Q$71:Q$90)*AA$2</f>
        <v>0</v>
      </c>
      <c r="AB959" s="88">
        <f>SUMIF(月間集計シート!$M$71:$M$90,$G959,月間集計シート!R$71:R$90)*AB$2</f>
        <v>0</v>
      </c>
      <c r="AC959" s="88">
        <f>SUMIF(月間集計シート!$M$71:$M$90,$G959,月間集計シート!S$71:S$90)*AC$2</f>
        <v>0</v>
      </c>
      <c r="AD959" s="88">
        <f>SUMIF(月間集計シート!$M$71:$M$90,$G959,月間集計シート!T$71:T$90)*AD$2</f>
        <v>0</v>
      </c>
      <c r="AE959" s="88">
        <f>SUMIF(月間集計シート!$M$92:$M$111,$G959,月間集計シート!N$92:N$111)*AE$2</f>
        <v>0</v>
      </c>
      <c r="AF959" s="88">
        <f>SUMIF(月間集計シート!$M$92:$M$111,$G959,月間集計シート!O$92:O$111)*AF$2</f>
        <v>0</v>
      </c>
      <c r="AG959" s="88">
        <f>SUMIF(月間集計シート!$M$92:$M$111,$G959,月間集計シート!P$92:P$111)*AG$2</f>
        <v>0</v>
      </c>
      <c r="AH959" s="88">
        <f>SUMIF(月間集計シート!$M$92:$M$111,$G959,月間集計シート!Q$92:Q$111)*AH$2</f>
        <v>0</v>
      </c>
      <c r="AI959" s="88">
        <f>SUMIF(月間集計シート!$M$92:$M$111,$G959,月間集計シート!R$92:R$111)*AI$2</f>
        <v>0</v>
      </c>
      <c r="AJ959" s="88">
        <f>SUMIF(月間集計シート!$M$92:$M$111,$G959,月間集計シート!S$92:S$111)*AJ$2</f>
        <v>0</v>
      </c>
      <c r="AK959" s="88">
        <f>SUMIF(月間集計シート!$M$92:$M$111,$G959,月間集計シート!T$92:T$111)*AK$2</f>
        <v>0</v>
      </c>
      <c r="AL959" s="88">
        <f>SUMIF(月間集計シート!$M$113:$M$132,$G959,月間集計シート!N$113:N$132)*AL$2</f>
        <v>0</v>
      </c>
      <c r="AM959" s="88">
        <f>SUMIF(月間集計シート!$M$113:$M$132,$G959,月間集計シート!O$113:O$132)*AM$2</f>
        <v>0</v>
      </c>
      <c r="AN959" s="88">
        <f>SUMIF(月間集計シート!$M$113:$M$132,$G959,月間集計シート!P$113:P$132)*AN$2</f>
        <v>0</v>
      </c>
      <c r="AO959" s="88">
        <f>SUMIF(月間集計シート!$M$113:$M$132,$G959,月間集計シート!Q$113:Q$132)*AO$2</f>
        <v>0</v>
      </c>
      <c r="AP959" s="88">
        <f>SUMIF(月間集計シート!$M$113:$M$132,$G959,月間集計シート!R$113:R$132)*AP$2</f>
        <v>0</v>
      </c>
      <c r="AQ959" s="88">
        <f>SUMIF(月間集計シート!$M$113:$M$132,$G959,月間集計シート!S$113:S$132)*AQ$2</f>
        <v>0</v>
      </c>
      <c r="AR959" s="88">
        <f>SUMIF(月間集計シート!$M$113:$M$132,$G959,月間集計シート!T$113:T$132)*AR$2</f>
        <v>0</v>
      </c>
      <c r="AS959" s="88">
        <f>SUMIF(月間集計シート!$M$134:$M$153,$G959,月間集計シート!N$134:N$153)*AS$2</f>
        <v>0</v>
      </c>
      <c r="AT959" s="88">
        <f>SUMIF(月間集計シート!$M$134:$M$153,$G959,月間集計シート!O$134:O$153)*AT$2</f>
        <v>0</v>
      </c>
      <c r="AU959" s="88">
        <f>SUMIF(月間集計シート!$M$134:$M$153,$G959,月間集計シート!P$134:P$153)*AU$2</f>
        <v>0</v>
      </c>
      <c r="AV959" s="88">
        <f>SUMIF(月間集計シート!$M$134:$M$153,$G959,月間集計シート!Q$134:Q$153)*AV$2</f>
        <v>0</v>
      </c>
      <c r="AW959" s="88">
        <f>SUMIF(月間集計シート!$M$134:$M$153,$G959,月間集計シート!R$134:R$153)*AW$2</f>
        <v>0</v>
      </c>
      <c r="AX959" s="88">
        <f>SUMIF(月間集計シート!$M$134:$M$153,$G959,月間集計シート!S$134:S$153)*AX$2</f>
        <v>0</v>
      </c>
      <c r="AY959" s="88">
        <f>SUMIF(月間集計シート!$M$134:$M$153,$G959,月間集計シート!T$134:T$153)*AY$2</f>
        <v>0</v>
      </c>
    </row>
    <row r="960" spans="1:51" ht="14.25" thickBot="1">
      <c r="A960">
        <v>12</v>
      </c>
      <c r="B960" s="120">
        <f t="shared" si="517"/>
        <v>0</v>
      </c>
      <c r="C960" s="120" t="str">
        <f t="shared" si="518"/>
        <v/>
      </c>
      <c r="D960" s="137"/>
      <c r="E960" s="150" t="str">
        <f>工種!A17</f>
        <v>30103</v>
      </c>
      <c r="F960" s="119" t="str">
        <f>工種!B17</f>
        <v>製造：単体テスト設計書作成</v>
      </c>
      <c r="G960" s="116" t="str">
        <f t="shared" si="519"/>
        <v>030103</v>
      </c>
      <c r="H960" s="88">
        <f t="shared" si="516"/>
        <v>0</v>
      </c>
      <c r="I960" s="132"/>
      <c r="J960" s="88">
        <f>SUMIF(月間集計シート!$M$29:$M$48,$G960,月間集計シート!N$29:N$48)*J$2</f>
        <v>0</v>
      </c>
      <c r="K960" s="88">
        <f>SUMIF(月間集計シート!$M$29:$M$48,$G960,月間集計シート!O$29:O$48)*K$2</f>
        <v>0</v>
      </c>
      <c r="L960" s="88">
        <f>SUMIF(月間集計シート!$M$29:$M$48,$G960,月間集計シート!P$29:P$48)*L$2</f>
        <v>0</v>
      </c>
      <c r="M960" s="88">
        <f>SUMIF(月間集計シート!$M$29:$M$48,$G960,月間集計シート!Q$29:Q$48)*M$2</f>
        <v>0</v>
      </c>
      <c r="N960" s="88">
        <f>SUMIF(月間集計シート!$M$29:$M$48,$G960,月間集計シート!R$29:R$48)*N$2</f>
        <v>0</v>
      </c>
      <c r="O960" s="88">
        <f>SUMIF(月間集計シート!$M$29:$M$48,$G960,月間集計シート!S$29:S$48)*O$2</f>
        <v>0</v>
      </c>
      <c r="P960" s="88">
        <f>SUMIF(月間集計シート!$M$29:$M$48,$G960,月間集計シート!T$29:T$48)*P$2</f>
        <v>0</v>
      </c>
      <c r="Q960" s="88">
        <f>SUMIF(月間集計シート!$M$50:$M$69,$G960,月間集計シート!N$50:N$69)*Q$2</f>
        <v>0</v>
      </c>
      <c r="R960" s="88">
        <f>SUMIF(月間集計シート!$M$50:$M$69,$G960,月間集計シート!O$50:O$69)*R$2</f>
        <v>0</v>
      </c>
      <c r="S960" s="88">
        <f>SUMIF(月間集計シート!$M$50:$M$69,$G960,月間集計シート!P$50:P$69)*S$2</f>
        <v>0</v>
      </c>
      <c r="T960" s="88">
        <f>SUMIF(月間集計シート!$M$50:$M$69,$G960,月間集計シート!Q$50:Q$69)*T$2</f>
        <v>0</v>
      </c>
      <c r="U960" s="88">
        <f>SUMIF(月間集計シート!$M$50:$M$69,$G960,月間集計シート!R$50:R$69)*U$2</f>
        <v>0</v>
      </c>
      <c r="V960" s="88">
        <f>SUMIF(月間集計シート!$M$50:$M$69,$G960,月間集計シート!S$50:S$69)*V$2</f>
        <v>0</v>
      </c>
      <c r="W960" s="88">
        <f>SUMIF(月間集計シート!$M$50:$M$69,$G960,月間集計シート!T$50:T$69)*W$2</f>
        <v>0</v>
      </c>
      <c r="X960" s="88">
        <f>SUMIF(月間集計シート!$M$71:$M$90,$G960,月間集計シート!N$71:N$90)*X$2</f>
        <v>0</v>
      </c>
      <c r="Y960" s="88">
        <f>SUMIF(月間集計シート!$M$71:$M$90,$G960,月間集計シート!O$71:O$90)*Y$2</f>
        <v>0</v>
      </c>
      <c r="Z960" s="88">
        <f>SUMIF(月間集計シート!$M$71:$M$90,$G960,月間集計シート!P$71:P$90)*Z$2</f>
        <v>0</v>
      </c>
      <c r="AA960" s="88">
        <f>SUMIF(月間集計シート!$M$71:$M$90,$G960,月間集計シート!Q$71:Q$90)*AA$2</f>
        <v>0</v>
      </c>
      <c r="AB960" s="88">
        <f>SUMIF(月間集計シート!$M$71:$M$90,$G960,月間集計シート!R$71:R$90)*AB$2</f>
        <v>0</v>
      </c>
      <c r="AC960" s="88">
        <f>SUMIF(月間集計シート!$M$71:$M$90,$G960,月間集計シート!S$71:S$90)*AC$2</f>
        <v>0</v>
      </c>
      <c r="AD960" s="88">
        <f>SUMIF(月間集計シート!$M$71:$M$90,$G960,月間集計シート!T$71:T$90)*AD$2</f>
        <v>0</v>
      </c>
      <c r="AE960" s="88">
        <f>SUMIF(月間集計シート!$M$92:$M$111,$G960,月間集計シート!N$92:N$111)*AE$2</f>
        <v>0</v>
      </c>
      <c r="AF960" s="88">
        <f>SUMIF(月間集計シート!$M$92:$M$111,$G960,月間集計シート!O$92:O$111)*AF$2</f>
        <v>0</v>
      </c>
      <c r="AG960" s="88">
        <f>SUMIF(月間集計シート!$M$92:$M$111,$G960,月間集計シート!P$92:P$111)*AG$2</f>
        <v>0</v>
      </c>
      <c r="AH960" s="88">
        <f>SUMIF(月間集計シート!$M$92:$M$111,$G960,月間集計シート!Q$92:Q$111)*AH$2</f>
        <v>0</v>
      </c>
      <c r="AI960" s="88">
        <f>SUMIF(月間集計シート!$M$92:$M$111,$G960,月間集計シート!R$92:R$111)*AI$2</f>
        <v>0</v>
      </c>
      <c r="AJ960" s="88">
        <f>SUMIF(月間集計シート!$M$92:$M$111,$G960,月間集計シート!S$92:S$111)*AJ$2</f>
        <v>0</v>
      </c>
      <c r="AK960" s="88">
        <f>SUMIF(月間集計シート!$M$92:$M$111,$G960,月間集計シート!T$92:T$111)*AK$2</f>
        <v>0</v>
      </c>
      <c r="AL960" s="88">
        <f>SUMIF(月間集計シート!$M$113:$M$132,$G960,月間集計シート!N$113:N$132)*AL$2</f>
        <v>0</v>
      </c>
      <c r="AM960" s="88">
        <f>SUMIF(月間集計シート!$M$113:$M$132,$G960,月間集計シート!O$113:O$132)*AM$2</f>
        <v>0</v>
      </c>
      <c r="AN960" s="88">
        <f>SUMIF(月間集計シート!$M$113:$M$132,$G960,月間集計シート!P$113:P$132)*AN$2</f>
        <v>0</v>
      </c>
      <c r="AO960" s="88">
        <f>SUMIF(月間集計シート!$M$113:$M$132,$G960,月間集計シート!Q$113:Q$132)*AO$2</f>
        <v>0</v>
      </c>
      <c r="AP960" s="88">
        <f>SUMIF(月間集計シート!$M$113:$M$132,$G960,月間集計シート!R$113:R$132)*AP$2</f>
        <v>0</v>
      </c>
      <c r="AQ960" s="88">
        <f>SUMIF(月間集計シート!$M$113:$M$132,$G960,月間集計シート!S$113:S$132)*AQ$2</f>
        <v>0</v>
      </c>
      <c r="AR960" s="88">
        <f>SUMIF(月間集計シート!$M$113:$M$132,$G960,月間集計シート!T$113:T$132)*AR$2</f>
        <v>0</v>
      </c>
      <c r="AS960" s="88">
        <f>SUMIF(月間集計シート!$M$134:$M$153,$G960,月間集計シート!N$134:N$153)*AS$2</f>
        <v>0</v>
      </c>
      <c r="AT960" s="88">
        <f>SUMIF(月間集計シート!$M$134:$M$153,$G960,月間集計シート!O$134:O$153)*AT$2</f>
        <v>0</v>
      </c>
      <c r="AU960" s="88">
        <f>SUMIF(月間集計シート!$M$134:$M$153,$G960,月間集計シート!P$134:P$153)*AU$2</f>
        <v>0</v>
      </c>
      <c r="AV960" s="88">
        <f>SUMIF(月間集計シート!$M$134:$M$153,$G960,月間集計シート!Q$134:Q$153)*AV$2</f>
        <v>0</v>
      </c>
      <c r="AW960" s="88">
        <f>SUMIF(月間集計シート!$M$134:$M$153,$G960,月間集計シート!R$134:R$153)*AW$2</f>
        <v>0</v>
      </c>
      <c r="AX960" s="88">
        <f>SUMIF(月間集計シート!$M$134:$M$153,$G960,月間集計シート!S$134:S$153)*AX$2</f>
        <v>0</v>
      </c>
      <c r="AY960" s="88">
        <f>SUMIF(月間集計シート!$M$134:$M$153,$G960,月間集計シート!T$134:T$153)*AY$2</f>
        <v>0</v>
      </c>
    </row>
    <row r="961" spans="1:51" ht="14.25" thickBot="1">
      <c r="A961">
        <v>12</v>
      </c>
      <c r="B961" s="120">
        <f t="shared" si="517"/>
        <v>0</v>
      </c>
      <c r="C961" s="120" t="str">
        <f t="shared" si="518"/>
        <v/>
      </c>
      <c r="D961" s="137"/>
      <c r="E961" s="150" t="str">
        <f>工種!A18</f>
        <v>30104</v>
      </c>
      <c r="F961" s="119" t="str">
        <f>工種!B18</f>
        <v>製造：単体テスト実施</v>
      </c>
      <c r="G961" s="116" t="str">
        <f t="shared" si="519"/>
        <v>030104</v>
      </c>
      <c r="H961" s="88">
        <f t="shared" si="516"/>
        <v>0</v>
      </c>
      <c r="I961" s="132"/>
      <c r="J961" s="88">
        <f>SUMIF(月間集計シート!$M$29:$M$48,$G961,月間集計シート!N$29:N$48)*J$2</f>
        <v>0</v>
      </c>
      <c r="K961" s="88">
        <f>SUMIF(月間集計シート!$M$29:$M$48,$G961,月間集計シート!O$29:O$48)*K$2</f>
        <v>0</v>
      </c>
      <c r="L961" s="88">
        <f>SUMIF(月間集計シート!$M$29:$M$48,$G961,月間集計シート!P$29:P$48)*L$2</f>
        <v>0</v>
      </c>
      <c r="M961" s="88">
        <f>SUMIF(月間集計シート!$M$29:$M$48,$G961,月間集計シート!Q$29:Q$48)*M$2</f>
        <v>0</v>
      </c>
      <c r="N961" s="88">
        <f>SUMIF(月間集計シート!$M$29:$M$48,$G961,月間集計シート!R$29:R$48)*N$2</f>
        <v>0</v>
      </c>
      <c r="O961" s="88">
        <f>SUMIF(月間集計シート!$M$29:$M$48,$G961,月間集計シート!S$29:S$48)*O$2</f>
        <v>0</v>
      </c>
      <c r="P961" s="88">
        <f>SUMIF(月間集計シート!$M$29:$M$48,$G961,月間集計シート!T$29:T$48)*P$2</f>
        <v>0</v>
      </c>
      <c r="Q961" s="88">
        <f>SUMIF(月間集計シート!$M$50:$M$69,$G961,月間集計シート!N$50:N$69)*Q$2</f>
        <v>0</v>
      </c>
      <c r="R961" s="88">
        <f>SUMIF(月間集計シート!$M$50:$M$69,$G961,月間集計シート!O$50:O$69)*R$2</f>
        <v>0</v>
      </c>
      <c r="S961" s="88">
        <f>SUMIF(月間集計シート!$M$50:$M$69,$G961,月間集計シート!P$50:P$69)*S$2</f>
        <v>0</v>
      </c>
      <c r="T961" s="88">
        <f>SUMIF(月間集計シート!$M$50:$M$69,$G961,月間集計シート!Q$50:Q$69)*T$2</f>
        <v>0</v>
      </c>
      <c r="U961" s="88">
        <f>SUMIF(月間集計シート!$M$50:$M$69,$G961,月間集計シート!R$50:R$69)*U$2</f>
        <v>0</v>
      </c>
      <c r="V961" s="88">
        <f>SUMIF(月間集計シート!$M$50:$M$69,$G961,月間集計シート!S$50:S$69)*V$2</f>
        <v>0</v>
      </c>
      <c r="W961" s="88">
        <f>SUMIF(月間集計シート!$M$50:$M$69,$G961,月間集計シート!T$50:T$69)*W$2</f>
        <v>0</v>
      </c>
      <c r="X961" s="88">
        <f>SUMIF(月間集計シート!$M$71:$M$90,$G961,月間集計シート!N$71:N$90)*X$2</f>
        <v>0</v>
      </c>
      <c r="Y961" s="88">
        <f>SUMIF(月間集計シート!$M$71:$M$90,$G961,月間集計シート!O$71:O$90)*Y$2</f>
        <v>0</v>
      </c>
      <c r="Z961" s="88">
        <f>SUMIF(月間集計シート!$M$71:$M$90,$G961,月間集計シート!P$71:P$90)*Z$2</f>
        <v>0</v>
      </c>
      <c r="AA961" s="88">
        <f>SUMIF(月間集計シート!$M$71:$M$90,$G961,月間集計シート!Q$71:Q$90)*AA$2</f>
        <v>0</v>
      </c>
      <c r="AB961" s="88">
        <f>SUMIF(月間集計シート!$M$71:$M$90,$G961,月間集計シート!R$71:R$90)*AB$2</f>
        <v>0</v>
      </c>
      <c r="AC961" s="88">
        <f>SUMIF(月間集計シート!$M$71:$M$90,$G961,月間集計シート!S$71:S$90)*AC$2</f>
        <v>0</v>
      </c>
      <c r="AD961" s="88">
        <f>SUMIF(月間集計シート!$M$71:$M$90,$G961,月間集計シート!T$71:T$90)*AD$2</f>
        <v>0</v>
      </c>
      <c r="AE961" s="88">
        <f>SUMIF(月間集計シート!$M$92:$M$111,$G961,月間集計シート!N$92:N$111)*AE$2</f>
        <v>0</v>
      </c>
      <c r="AF961" s="88">
        <f>SUMIF(月間集計シート!$M$92:$M$111,$G961,月間集計シート!O$92:O$111)*AF$2</f>
        <v>0</v>
      </c>
      <c r="AG961" s="88">
        <f>SUMIF(月間集計シート!$M$92:$M$111,$G961,月間集計シート!P$92:P$111)*AG$2</f>
        <v>0</v>
      </c>
      <c r="AH961" s="88">
        <f>SUMIF(月間集計シート!$M$92:$M$111,$G961,月間集計シート!Q$92:Q$111)*AH$2</f>
        <v>0</v>
      </c>
      <c r="AI961" s="88">
        <f>SUMIF(月間集計シート!$M$92:$M$111,$G961,月間集計シート!R$92:R$111)*AI$2</f>
        <v>0</v>
      </c>
      <c r="AJ961" s="88">
        <f>SUMIF(月間集計シート!$M$92:$M$111,$G961,月間集計シート!S$92:S$111)*AJ$2</f>
        <v>0</v>
      </c>
      <c r="AK961" s="88">
        <f>SUMIF(月間集計シート!$M$92:$M$111,$G961,月間集計シート!T$92:T$111)*AK$2</f>
        <v>0</v>
      </c>
      <c r="AL961" s="88">
        <f>SUMIF(月間集計シート!$M$113:$M$132,$G961,月間集計シート!N$113:N$132)*AL$2</f>
        <v>0</v>
      </c>
      <c r="AM961" s="88">
        <f>SUMIF(月間集計シート!$M$113:$M$132,$G961,月間集計シート!O$113:O$132)*AM$2</f>
        <v>0</v>
      </c>
      <c r="AN961" s="88">
        <f>SUMIF(月間集計シート!$M$113:$M$132,$G961,月間集計シート!P$113:P$132)*AN$2</f>
        <v>0</v>
      </c>
      <c r="AO961" s="88">
        <f>SUMIF(月間集計シート!$M$113:$M$132,$G961,月間集計シート!Q$113:Q$132)*AO$2</f>
        <v>0</v>
      </c>
      <c r="AP961" s="88">
        <f>SUMIF(月間集計シート!$M$113:$M$132,$G961,月間集計シート!R$113:R$132)*AP$2</f>
        <v>0</v>
      </c>
      <c r="AQ961" s="88">
        <f>SUMIF(月間集計シート!$M$113:$M$132,$G961,月間集計シート!S$113:S$132)*AQ$2</f>
        <v>0</v>
      </c>
      <c r="AR961" s="88">
        <f>SUMIF(月間集計シート!$M$113:$M$132,$G961,月間集計シート!T$113:T$132)*AR$2</f>
        <v>0</v>
      </c>
      <c r="AS961" s="88">
        <f>SUMIF(月間集計シート!$M$134:$M$153,$G961,月間集計シート!N$134:N$153)*AS$2</f>
        <v>0</v>
      </c>
      <c r="AT961" s="88">
        <f>SUMIF(月間集計シート!$M$134:$M$153,$G961,月間集計シート!O$134:O$153)*AT$2</f>
        <v>0</v>
      </c>
      <c r="AU961" s="88">
        <f>SUMIF(月間集計シート!$M$134:$M$153,$G961,月間集計シート!P$134:P$153)*AU$2</f>
        <v>0</v>
      </c>
      <c r="AV961" s="88">
        <f>SUMIF(月間集計シート!$M$134:$M$153,$G961,月間集計シート!Q$134:Q$153)*AV$2</f>
        <v>0</v>
      </c>
      <c r="AW961" s="88">
        <f>SUMIF(月間集計シート!$M$134:$M$153,$G961,月間集計シート!R$134:R$153)*AW$2</f>
        <v>0</v>
      </c>
      <c r="AX961" s="88">
        <f>SUMIF(月間集計シート!$M$134:$M$153,$G961,月間集計シート!S$134:S$153)*AX$2</f>
        <v>0</v>
      </c>
      <c r="AY961" s="88">
        <f>SUMIF(月間集計シート!$M$134:$M$153,$G961,月間集計シート!T$134:T$153)*AY$2</f>
        <v>0</v>
      </c>
    </row>
    <row r="962" spans="1:51" ht="14.25" thickBot="1">
      <c r="A962">
        <v>12</v>
      </c>
      <c r="B962" s="120">
        <f t="shared" si="517"/>
        <v>0</v>
      </c>
      <c r="C962" s="120" t="str">
        <f t="shared" si="518"/>
        <v/>
      </c>
      <c r="D962" s="137"/>
      <c r="E962" s="150" t="str">
        <f>工種!A19</f>
        <v>30105</v>
      </c>
      <c r="F962" s="119" t="str">
        <f>工種!B19</f>
        <v>製造：打合せ</v>
      </c>
      <c r="G962" s="116" t="str">
        <f t="shared" si="519"/>
        <v>030105</v>
      </c>
      <c r="H962" s="88">
        <f t="shared" si="516"/>
        <v>0</v>
      </c>
      <c r="I962" s="132"/>
      <c r="J962" s="88">
        <f>SUMIF(月間集計シート!$M$29:$M$48,$G962,月間集計シート!N$29:N$48)*J$2</f>
        <v>0</v>
      </c>
      <c r="K962" s="88">
        <f>SUMIF(月間集計シート!$M$29:$M$48,$G962,月間集計シート!O$29:O$48)*K$2</f>
        <v>0</v>
      </c>
      <c r="L962" s="88">
        <f>SUMIF(月間集計シート!$M$29:$M$48,$G962,月間集計シート!P$29:P$48)*L$2</f>
        <v>0</v>
      </c>
      <c r="M962" s="88">
        <f>SUMIF(月間集計シート!$M$29:$M$48,$G962,月間集計シート!Q$29:Q$48)*M$2</f>
        <v>0</v>
      </c>
      <c r="N962" s="88">
        <f>SUMIF(月間集計シート!$M$29:$M$48,$G962,月間集計シート!R$29:R$48)*N$2</f>
        <v>0</v>
      </c>
      <c r="O962" s="88">
        <f>SUMIF(月間集計シート!$M$29:$M$48,$G962,月間集計シート!S$29:S$48)*O$2</f>
        <v>0</v>
      </c>
      <c r="P962" s="88">
        <f>SUMIF(月間集計シート!$M$29:$M$48,$G962,月間集計シート!T$29:T$48)*P$2</f>
        <v>0</v>
      </c>
      <c r="Q962" s="88">
        <f>SUMIF(月間集計シート!$M$50:$M$69,$G962,月間集計シート!N$50:N$69)*Q$2</f>
        <v>0</v>
      </c>
      <c r="R962" s="88">
        <f>SUMIF(月間集計シート!$M$50:$M$69,$G962,月間集計シート!O$50:O$69)*R$2</f>
        <v>0</v>
      </c>
      <c r="S962" s="88">
        <f>SUMIF(月間集計シート!$M$50:$M$69,$G962,月間集計シート!P$50:P$69)*S$2</f>
        <v>0</v>
      </c>
      <c r="T962" s="88">
        <f>SUMIF(月間集計シート!$M$50:$M$69,$G962,月間集計シート!Q$50:Q$69)*T$2</f>
        <v>0</v>
      </c>
      <c r="U962" s="88">
        <f>SUMIF(月間集計シート!$M$50:$M$69,$G962,月間集計シート!R$50:R$69)*U$2</f>
        <v>0</v>
      </c>
      <c r="V962" s="88">
        <f>SUMIF(月間集計シート!$M$50:$M$69,$G962,月間集計シート!S$50:S$69)*V$2</f>
        <v>0</v>
      </c>
      <c r="W962" s="88">
        <f>SUMIF(月間集計シート!$M$50:$M$69,$G962,月間集計シート!T$50:T$69)*W$2</f>
        <v>0</v>
      </c>
      <c r="X962" s="88">
        <f>SUMIF(月間集計シート!$M$71:$M$90,$G962,月間集計シート!N$71:N$90)*X$2</f>
        <v>0</v>
      </c>
      <c r="Y962" s="88">
        <f>SUMIF(月間集計シート!$M$71:$M$90,$G962,月間集計シート!O$71:O$90)*Y$2</f>
        <v>0</v>
      </c>
      <c r="Z962" s="88">
        <f>SUMIF(月間集計シート!$M$71:$M$90,$G962,月間集計シート!P$71:P$90)*Z$2</f>
        <v>0</v>
      </c>
      <c r="AA962" s="88">
        <f>SUMIF(月間集計シート!$M$71:$M$90,$G962,月間集計シート!Q$71:Q$90)*AA$2</f>
        <v>0</v>
      </c>
      <c r="AB962" s="88">
        <f>SUMIF(月間集計シート!$M$71:$M$90,$G962,月間集計シート!R$71:R$90)*AB$2</f>
        <v>0</v>
      </c>
      <c r="AC962" s="88">
        <f>SUMIF(月間集計シート!$M$71:$M$90,$G962,月間集計シート!S$71:S$90)*AC$2</f>
        <v>0</v>
      </c>
      <c r="AD962" s="88">
        <f>SUMIF(月間集計シート!$M$71:$M$90,$G962,月間集計シート!T$71:T$90)*AD$2</f>
        <v>0</v>
      </c>
      <c r="AE962" s="88">
        <f>SUMIF(月間集計シート!$M$92:$M$111,$G962,月間集計シート!N$92:N$111)*AE$2</f>
        <v>0</v>
      </c>
      <c r="AF962" s="88">
        <f>SUMIF(月間集計シート!$M$92:$M$111,$G962,月間集計シート!O$92:O$111)*AF$2</f>
        <v>0</v>
      </c>
      <c r="AG962" s="88">
        <f>SUMIF(月間集計シート!$M$92:$M$111,$G962,月間集計シート!P$92:P$111)*AG$2</f>
        <v>0</v>
      </c>
      <c r="AH962" s="88">
        <f>SUMIF(月間集計シート!$M$92:$M$111,$G962,月間集計シート!Q$92:Q$111)*AH$2</f>
        <v>0</v>
      </c>
      <c r="AI962" s="88">
        <f>SUMIF(月間集計シート!$M$92:$M$111,$G962,月間集計シート!R$92:R$111)*AI$2</f>
        <v>0</v>
      </c>
      <c r="AJ962" s="88">
        <f>SUMIF(月間集計シート!$M$92:$M$111,$G962,月間集計シート!S$92:S$111)*AJ$2</f>
        <v>0</v>
      </c>
      <c r="AK962" s="88">
        <f>SUMIF(月間集計シート!$M$92:$M$111,$G962,月間集計シート!T$92:T$111)*AK$2</f>
        <v>0</v>
      </c>
      <c r="AL962" s="88">
        <f>SUMIF(月間集計シート!$M$113:$M$132,$G962,月間集計シート!N$113:N$132)*AL$2</f>
        <v>0</v>
      </c>
      <c r="AM962" s="88">
        <f>SUMIF(月間集計シート!$M$113:$M$132,$G962,月間集計シート!O$113:O$132)*AM$2</f>
        <v>0</v>
      </c>
      <c r="AN962" s="88">
        <f>SUMIF(月間集計シート!$M$113:$M$132,$G962,月間集計シート!P$113:P$132)*AN$2</f>
        <v>0</v>
      </c>
      <c r="AO962" s="88">
        <f>SUMIF(月間集計シート!$M$113:$M$132,$G962,月間集計シート!Q$113:Q$132)*AO$2</f>
        <v>0</v>
      </c>
      <c r="AP962" s="88">
        <f>SUMIF(月間集計シート!$M$113:$M$132,$G962,月間集計シート!R$113:R$132)*AP$2</f>
        <v>0</v>
      </c>
      <c r="AQ962" s="88">
        <f>SUMIF(月間集計シート!$M$113:$M$132,$G962,月間集計シート!S$113:S$132)*AQ$2</f>
        <v>0</v>
      </c>
      <c r="AR962" s="88">
        <f>SUMIF(月間集計シート!$M$113:$M$132,$G962,月間集計シート!T$113:T$132)*AR$2</f>
        <v>0</v>
      </c>
      <c r="AS962" s="88">
        <f>SUMIF(月間集計シート!$M$134:$M$153,$G962,月間集計シート!N$134:N$153)*AS$2</f>
        <v>0</v>
      </c>
      <c r="AT962" s="88">
        <f>SUMIF(月間集計シート!$M$134:$M$153,$G962,月間集計シート!O$134:O$153)*AT$2</f>
        <v>0</v>
      </c>
      <c r="AU962" s="88">
        <f>SUMIF(月間集計シート!$M$134:$M$153,$G962,月間集計シート!P$134:P$153)*AU$2</f>
        <v>0</v>
      </c>
      <c r="AV962" s="88">
        <f>SUMIF(月間集計シート!$M$134:$M$153,$G962,月間集計シート!Q$134:Q$153)*AV$2</f>
        <v>0</v>
      </c>
      <c r="AW962" s="88">
        <f>SUMIF(月間集計シート!$M$134:$M$153,$G962,月間集計シート!R$134:R$153)*AW$2</f>
        <v>0</v>
      </c>
      <c r="AX962" s="88">
        <f>SUMIF(月間集計シート!$M$134:$M$153,$G962,月間集計シート!S$134:S$153)*AX$2</f>
        <v>0</v>
      </c>
      <c r="AY962" s="88">
        <f>SUMIF(月間集計シート!$M$134:$M$153,$G962,月間集計シート!T$134:T$153)*AY$2</f>
        <v>0</v>
      </c>
    </row>
    <row r="963" spans="1:51" ht="14.25" thickBot="1">
      <c r="A963">
        <v>12</v>
      </c>
      <c r="B963" s="120">
        <f t="shared" si="517"/>
        <v>0</v>
      </c>
      <c r="C963" s="120" t="str">
        <f t="shared" si="518"/>
        <v/>
      </c>
      <c r="D963" s="137"/>
      <c r="E963" s="150" t="str">
        <f>工種!A20</f>
        <v>30106</v>
      </c>
      <c r="F963" s="119" t="str">
        <f>工種!B20</f>
        <v>製造：PG修正（手戻り分）</v>
      </c>
      <c r="G963" s="116" t="str">
        <f t="shared" si="519"/>
        <v>030106</v>
      </c>
      <c r="H963" s="88">
        <f t="shared" si="516"/>
        <v>0</v>
      </c>
      <c r="I963" s="132"/>
      <c r="J963" s="88">
        <f>SUMIF(月間集計シート!$M$29:$M$48,$G963,月間集計シート!N$29:N$48)*J$2</f>
        <v>0</v>
      </c>
      <c r="K963" s="88">
        <f>SUMIF(月間集計シート!$M$29:$M$48,$G963,月間集計シート!O$29:O$48)*K$2</f>
        <v>0</v>
      </c>
      <c r="L963" s="88">
        <f>SUMIF(月間集計シート!$M$29:$M$48,$G963,月間集計シート!P$29:P$48)*L$2</f>
        <v>0</v>
      </c>
      <c r="M963" s="88">
        <f>SUMIF(月間集計シート!$M$29:$M$48,$G963,月間集計シート!Q$29:Q$48)*M$2</f>
        <v>0</v>
      </c>
      <c r="N963" s="88">
        <f>SUMIF(月間集計シート!$M$29:$M$48,$G963,月間集計シート!R$29:R$48)*N$2</f>
        <v>0</v>
      </c>
      <c r="O963" s="88">
        <f>SUMIF(月間集計シート!$M$29:$M$48,$G963,月間集計シート!S$29:S$48)*O$2</f>
        <v>0</v>
      </c>
      <c r="P963" s="88">
        <f>SUMIF(月間集計シート!$M$29:$M$48,$G963,月間集計シート!T$29:T$48)*P$2</f>
        <v>0</v>
      </c>
      <c r="Q963" s="88">
        <f>SUMIF(月間集計シート!$M$50:$M$69,$G963,月間集計シート!N$50:N$69)*Q$2</f>
        <v>0</v>
      </c>
      <c r="R963" s="88">
        <f>SUMIF(月間集計シート!$M$50:$M$69,$G963,月間集計シート!O$50:O$69)*R$2</f>
        <v>0</v>
      </c>
      <c r="S963" s="88">
        <f>SUMIF(月間集計シート!$M$50:$M$69,$G963,月間集計シート!P$50:P$69)*S$2</f>
        <v>0</v>
      </c>
      <c r="T963" s="88">
        <f>SUMIF(月間集計シート!$M$50:$M$69,$G963,月間集計シート!Q$50:Q$69)*T$2</f>
        <v>0</v>
      </c>
      <c r="U963" s="88">
        <f>SUMIF(月間集計シート!$M$50:$M$69,$G963,月間集計シート!R$50:R$69)*U$2</f>
        <v>0</v>
      </c>
      <c r="V963" s="88">
        <f>SUMIF(月間集計シート!$M$50:$M$69,$G963,月間集計シート!S$50:S$69)*V$2</f>
        <v>0</v>
      </c>
      <c r="W963" s="88">
        <f>SUMIF(月間集計シート!$M$50:$M$69,$G963,月間集計シート!T$50:T$69)*W$2</f>
        <v>0</v>
      </c>
      <c r="X963" s="88">
        <f>SUMIF(月間集計シート!$M$71:$M$90,$G963,月間集計シート!N$71:N$90)*X$2</f>
        <v>0</v>
      </c>
      <c r="Y963" s="88">
        <f>SUMIF(月間集計シート!$M$71:$M$90,$G963,月間集計シート!O$71:O$90)*Y$2</f>
        <v>0</v>
      </c>
      <c r="Z963" s="88">
        <f>SUMIF(月間集計シート!$M$71:$M$90,$G963,月間集計シート!P$71:P$90)*Z$2</f>
        <v>0</v>
      </c>
      <c r="AA963" s="88">
        <f>SUMIF(月間集計シート!$M$71:$M$90,$G963,月間集計シート!Q$71:Q$90)*AA$2</f>
        <v>0</v>
      </c>
      <c r="AB963" s="88">
        <f>SUMIF(月間集計シート!$M$71:$M$90,$G963,月間集計シート!R$71:R$90)*AB$2</f>
        <v>0</v>
      </c>
      <c r="AC963" s="88">
        <f>SUMIF(月間集計シート!$M$71:$M$90,$G963,月間集計シート!S$71:S$90)*AC$2</f>
        <v>0</v>
      </c>
      <c r="AD963" s="88">
        <f>SUMIF(月間集計シート!$M$71:$M$90,$G963,月間集計シート!T$71:T$90)*AD$2</f>
        <v>0</v>
      </c>
      <c r="AE963" s="88">
        <f>SUMIF(月間集計シート!$M$92:$M$111,$G963,月間集計シート!N$92:N$111)*AE$2</f>
        <v>0</v>
      </c>
      <c r="AF963" s="88">
        <f>SUMIF(月間集計シート!$M$92:$M$111,$G963,月間集計シート!O$92:O$111)*AF$2</f>
        <v>0</v>
      </c>
      <c r="AG963" s="88">
        <f>SUMIF(月間集計シート!$M$92:$M$111,$G963,月間集計シート!P$92:P$111)*AG$2</f>
        <v>0</v>
      </c>
      <c r="AH963" s="88">
        <f>SUMIF(月間集計シート!$M$92:$M$111,$G963,月間集計シート!Q$92:Q$111)*AH$2</f>
        <v>0</v>
      </c>
      <c r="AI963" s="88">
        <f>SUMIF(月間集計シート!$M$92:$M$111,$G963,月間集計シート!R$92:R$111)*AI$2</f>
        <v>0</v>
      </c>
      <c r="AJ963" s="88">
        <f>SUMIF(月間集計シート!$M$92:$M$111,$G963,月間集計シート!S$92:S$111)*AJ$2</f>
        <v>0</v>
      </c>
      <c r="AK963" s="88">
        <f>SUMIF(月間集計シート!$M$92:$M$111,$G963,月間集計シート!T$92:T$111)*AK$2</f>
        <v>0</v>
      </c>
      <c r="AL963" s="88">
        <f>SUMIF(月間集計シート!$M$113:$M$132,$G963,月間集計シート!N$113:N$132)*AL$2</f>
        <v>0</v>
      </c>
      <c r="AM963" s="88">
        <f>SUMIF(月間集計シート!$M$113:$M$132,$G963,月間集計シート!O$113:O$132)*AM$2</f>
        <v>0</v>
      </c>
      <c r="AN963" s="88">
        <f>SUMIF(月間集計シート!$M$113:$M$132,$G963,月間集計シート!P$113:P$132)*AN$2</f>
        <v>0</v>
      </c>
      <c r="AO963" s="88">
        <f>SUMIF(月間集計シート!$M$113:$M$132,$G963,月間集計シート!Q$113:Q$132)*AO$2</f>
        <v>0</v>
      </c>
      <c r="AP963" s="88">
        <f>SUMIF(月間集計シート!$M$113:$M$132,$G963,月間集計シート!R$113:R$132)*AP$2</f>
        <v>0</v>
      </c>
      <c r="AQ963" s="88">
        <f>SUMIF(月間集計シート!$M$113:$M$132,$G963,月間集計シート!S$113:S$132)*AQ$2</f>
        <v>0</v>
      </c>
      <c r="AR963" s="88">
        <f>SUMIF(月間集計シート!$M$113:$M$132,$G963,月間集計シート!T$113:T$132)*AR$2</f>
        <v>0</v>
      </c>
      <c r="AS963" s="88">
        <f>SUMIF(月間集計シート!$M$134:$M$153,$G963,月間集計シート!N$134:N$153)*AS$2</f>
        <v>0</v>
      </c>
      <c r="AT963" s="88">
        <f>SUMIF(月間集計シート!$M$134:$M$153,$G963,月間集計シート!O$134:O$153)*AT$2</f>
        <v>0</v>
      </c>
      <c r="AU963" s="88">
        <f>SUMIF(月間集計シート!$M$134:$M$153,$G963,月間集計シート!P$134:P$153)*AU$2</f>
        <v>0</v>
      </c>
      <c r="AV963" s="88">
        <f>SUMIF(月間集計シート!$M$134:$M$153,$G963,月間集計シート!Q$134:Q$153)*AV$2</f>
        <v>0</v>
      </c>
      <c r="AW963" s="88">
        <f>SUMIF(月間集計シート!$M$134:$M$153,$G963,月間集計シート!R$134:R$153)*AW$2</f>
        <v>0</v>
      </c>
      <c r="AX963" s="88">
        <f>SUMIF(月間集計シート!$M$134:$M$153,$G963,月間集計シート!S$134:S$153)*AX$2</f>
        <v>0</v>
      </c>
      <c r="AY963" s="88">
        <f>SUMIF(月間集計シート!$M$134:$M$153,$G963,月間集計シート!T$134:T$153)*AY$2</f>
        <v>0</v>
      </c>
    </row>
    <row r="964" spans="1:51" ht="14.25" thickBot="1">
      <c r="A964">
        <v>12</v>
      </c>
      <c r="B964" s="120">
        <f t="shared" si="517"/>
        <v>0</v>
      </c>
      <c r="C964" s="120" t="str">
        <f t="shared" si="518"/>
        <v/>
      </c>
      <c r="D964" s="137"/>
      <c r="E964" s="150" t="str">
        <f>工種!A21</f>
        <v>30109</v>
      </c>
      <c r="F964" s="119" t="str">
        <f>工種!B21</f>
        <v>製造：レビュー</v>
      </c>
      <c r="G964" s="116" t="str">
        <f t="shared" si="519"/>
        <v>030109</v>
      </c>
      <c r="H964" s="88">
        <f t="shared" si="516"/>
        <v>0</v>
      </c>
      <c r="I964" s="132"/>
      <c r="J964" s="88">
        <f>SUMIF(月間集計シート!$M$29:$M$48,$G964,月間集計シート!N$29:N$48)*J$2</f>
        <v>0</v>
      </c>
      <c r="K964" s="88">
        <f>SUMIF(月間集計シート!$M$29:$M$48,$G964,月間集計シート!O$29:O$48)*K$2</f>
        <v>0</v>
      </c>
      <c r="L964" s="88">
        <f>SUMIF(月間集計シート!$M$29:$M$48,$G964,月間集計シート!P$29:P$48)*L$2</f>
        <v>0</v>
      </c>
      <c r="M964" s="88">
        <f>SUMIF(月間集計シート!$M$29:$M$48,$G964,月間集計シート!Q$29:Q$48)*M$2</f>
        <v>0</v>
      </c>
      <c r="N964" s="88">
        <f>SUMIF(月間集計シート!$M$29:$M$48,$G964,月間集計シート!R$29:R$48)*N$2</f>
        <v>0</v>
      </c>
      <c r="O964" s="88">
        <f>SUMIF(月間集計シート!$M$29:$M$48,$G964,月間集計シート!S$29:S$48)*O$2</f>
        <v>0</v>
      </c>
      <c r="P964" s="88">
        <f>SUMIF(月間集計シート!$M$29:$M$48,$G964,月間集計シート!T$29:T$48)*P$2</f>
        <v>0</v>
      </c>
      <c r="Q964" s="88">
        <f>SUMIF(月間集計シート!$M$50:$M$69,$G964,月間集計シート!N$50:N$69)*Q$2</f>
        <v>0</v>
      </c>
      <c r="R964" s="88">
        <f>SUMIF(月間集計シート!$M$50:$M$69,$G964,月間集計シート!O$50:O$69)*R$2</f>
        <v>0</v>
      </c>
      <c r="S964" s="88">
        <f>SUMIF(月間集計シート!$M$50:$M$69,$G964,月間集計シート!P$50:P$69)*S$2</f>
        <v>0</v>
      </c>
      <c r="T964" s="88">
        <f>SUMIF(月間集計シート!$M$50:$M$69,$G964,月間集計シート!Q$50:Q$69)*T$2</f>
        <v>0</v>
      </c>
      <c r="U964" s="88">
        <f>SUMIF(月間集計シート!$M$50:$M$69,$G964,月間集計シート!R$50:R$69)*U$2</f>
        <v>0</v>
      </c>
      <c r="V964" s="88">
        <f>SUMIF(月間集計シート!$M$50:$M$69,$G964,月間集計シート!S$50:S$69)*V$2</f>
        <v>0</v>
      </c>
      <c r="W964" s="88">
        <f>SUMIF(月間集計シート!$M$50:$M$69,$G964,月間集計シート!T$50:T$69)*W$2</f>
        <v>0</v>
      </c>
      <c r="X964" s="88">
        <f>SUMIF(月間集計シート!$M$71:$M$90,$G964,月間集計シート!N$71:N$90)*X$2</f>
        <v>0</v>
      </c>
      <c r="Y964" s="88">
        <f>SUMIF(月間集計シート!$M$71:$M$90,$G964,月間集計シート!O$71:O$90)*Y$2</f>
        <v>0</v>
      </c>
      <c r="Z964" s="88">
        <f>SUMIF(月間集計シート!$M$71:$M$90,$G964,月間集計シート!P$71:P$90)*Z$2</f>
        <v>0</v>
      </c>
      <c r="AA964" s="88">
        <f>SUMIF(月間集計シート!$M$71:$M$90,$G964,月間集計シート!Q$71:Q$90)*AA$2</f>
        <v>0</v>
      </c>
      <c r="AB964" s="88">
        <f>SUMIF(月間集計シート!$M$71:$M$90,$G964,月間集計シート!R$71:R$90)*AB$2</f>
        <v>0</v>
      </c>
      <c r="AC964" s="88">
        <f>SUMIF(月間集計シート!$M$71:$M$90,$G964,月間集計シート!S$71:S$90)*AC$2</f>
        <v>0</v>
      </c>
      <c r="AD964" s="88">
        <f>SUMIF(月間集計シート!$M$71:$M$90,$G964,月間集計シート!T$71:T$90)*AD$2</f>
        <v>0</v>
      </c>
      <c r="AE964" s="88">
        <f>SUMIF(月間集計シート!$M$92:$M$111,$G964,月間集計シート!N$92:N$111)*AE$2</f>
        <v>0</v>
      </c>
      <c r="AF964" s="88">
        <f>SUMIF(月間集計シート!$M$92:$M$111,$G964,月間集計シート!O$92:O$111)*AF$2</f>
        <v>0</v>
      </c>
      <c r="AG964" s="88">
        <f>SUMIF(月間集計シート!$M$92:$M$111,$G964,月間集計シート!P$92:P$111)*AG$2</f>
        <v>0</v>
      </c>
      <c r="AH964" s="88">
        <f>SUMIF(月間集計シート!$M$92:$M$111,$G964,月間集計シート!Q$92:Q$111)*AH$2</f>
        <v>0</v>
      </c>
      <c r="AI964" s="88">
        <f>SUMIF(月間集計シート!$M$92:$M$111,$G964,月間集計シート!R$92:R$111)*AI$2</f>
        <v>0</v>
      </c>
      <c r="AJ964" s="88">
        <f>SUMIF(月間集計シート!$M$92:$M$111,$G964,月間集計シート!S$92:S$111)*AJ$2</f>
        <v>0</v>
      </c>
      <c r="AK964" s="88">
        <f>SUMIF(月間集計シート!$M$92:$M$111,$G964,月間集計シート!T$92:T$111)*AK$2</f>
        <v>0</v>
      </c>
      <c r="AL964" s="88">
        <f>SUMIF(月間集計シート!$M$113:$M$132,$G964,月間集計シート!N$113:N$132)*AL$2</f>
        <v>0</v>
      </c>
      <c r="AM964" s="88">
        <f>SUMIF(月間集計シート!$M$113:$M$132,$G964,月間集計シート!O$113:O$132)*AM$2</f>
        <v>0</v>
      </c>
      <c r="AN964" s="88">
        <f>SUMIF(月間集計シート!$M$113:$M$132,$G964,月間集計シート!P$113:P$132)*AN$2</f>
        <v>0</v>
      </c>
      <c r="AO964" s="88">
        <f>SUMIF(月間集計シート!$M$113:$M$132,$G964,月間集計シート!Q$113:Q$132)*AO$2</f>
        <v>0</v>
      </c>
      <c r="AP964" s="88">
        <f>SUMIF(月間集計シート!$M$113:$M$132,$G964,月間集計シート!R$113:R$132)*AP$2</f>
        <v>0</v>
      </c>
      <c r="AQ964" s="88">
        <f>SUMIF(月間集計シート!$M$113:$M$132,$G964,月間集計シート!S$113:S$132)*AQ$2</f>
        <v>0</v>
      </c>
      <c r="AR964" s="88">
        <f>SUMIF(月間集計シート!$M$113:$M$132,$G964,月間集計シート!T$113:T$132)*AR$2</f>
        <v>0</v>
      </c>
      <c r="AS964" s="88">
        <f>SUMIF(月間集計シート!$M$134:$M$153,$G964,月間集計シート!N$134:N$153)*AS$2</f>
        <v>0</v>
      </c>
      <c r="AT964" s="88">
        <f>SUMIF(月間集計シート!$M$134:$M$153,$G964,月間集計シート!O$134:O$153)*AT$2</f>
        <v>0</v>
      </c>
      <c r="AU964" s="88">
        <f>SUMIF(月間集計シート!$M$134:$M$153,$G964,月間集計シート!P$134:P$153)*AU$2</f>
        <v>0</v>
      </c>
      <c r="AV964" s="88">
        <f>SUMIF(月間集計シート!$M$134:$M$153,$G964,月間集計シート!Q$134:Q$153)*AV$2</f>
        <v>0</v>
      </c>
      <c r="AW964" s="88">
        <f>SUMIF(月間集計シート!$M$134:$M$153,$G964,月間集計シート!R$134:R$153)*AW$2</f>
        <v>0</v>
      </c>
      <c r="AX964" s="88">
        <f>SUMIF(月間集計シート!$M$134:$M$153,$G964,月間集計シート!S$134:S$153)*AX$2</f>
        <v>0</v>
      </c>
      <c r="AY964" s="88">
        <f>SUMIF(月間集計シート!$M$134:$M$153,$G964,月間集計シート!T$134:T$153)*AY$2</f>
        <v>0</v>
      </c>
    </row>
    <row r="965" spans="1:51" ht="14.25" thickBot="1">
      <c r="A965">
        <v>12</v>
      </c>
      <c r="B965" s="120">
        <f t="shared" si="517"/>
        <v>0</v>
      </c>
      <c r="C965" s="120" t="str">
        <f t="shared" si="518"/>
        <v/>
      </c>
      <c r="D965" s="137"/>
      <c r="E965" s="150" t="str">
        <f>工種!A22</f>
        <v>30199</v>
      </c>
      <c r="F965" s="119" t="str">
        <f>工種!B22</f>
        <v>製造：その他</v>
      </c>
      <c r="G965" s="116" t="str">
        <f t="shared" si="519"/>
        <v>030199</v>
      </c>
      <c r="H965" s="88">
        <f t="shared" si="516"/>
        <v>0</v>
      </c>
      <c r="I965" s="132"/>
      <c r="J965" s="88">
        <f>SUMIF(月間集計シート!$M$29:$M$48,$G965,月間集計シート!N$29:N$48)*J$2</f>
        <v>0</v>
      </c>
      <c r="K965" s="88">
        <f>SUMIF(月間集計シート!$M$29:$M$48,$G965,月間集計シート!O$29:O$48)*K$2</f>
        <v>0</v>
      </c>
      <c r="L965" s="88">
        <f>SUMIF(月間集計シート!$M$29:$M$48,$G965,月間集計シート!P$29:P$48)*L$2</f>
        <v>0</v>
      </c>
      <c r="M965" s="88">
        <f>SUMIF(月間集計シート!$M$29:$M$48,$G965,月間集計シート!Q$29:Q$48)*M$2</f>
        <v>0</v>
      </c>
      <c r="N965" s="88">
        <f>SUMIF(月間集計シート!$M$29:$M$48,$G965,月間集計シート!R$29:R$48)*N$2</f>
        <v>0</v>
      </c>
      <c r="O965" s="88">
        <f>SUMIF(月間集計シート!$M$29:$M$48,$G965,月間集計シート!S$29:S$48)*O$2</f>
        <v>0</v>
      </c>
      <c r="P965" s="88">
        <f>SUMIF(月間集計シート!$M$29:$M$48,$G965,月間集計シート!T$29:T$48)*P$2</f>
        <v>0</v>
      </c>
      <c r="Q965" s="88">
        <f>SUMIF(月間集計シート!$M$50:$M$69,$G965,月間集計シート!N$50:N$69)*Q$2</f>
        <v>0</v>
      </c>
      <c r="R965" s="88">
        <f>SUMIF(月間集計シート!$M$50:$M$69,$G965,月間集計シート!O$50:O$69)*R$2</f>
        <v>0</v>
      </c>
      <c r="S965" s="88">
        <f>SUMIF(月間集計シート!$M$50:$M$69,$G965,月間集計シート!P$50:P$69)*S$2</f>
        <v>0</v>
      </c>
      <c r="T965" s="88">
        <f>SUMIF(月間集計シート!$M$50:$M$69,$G965,月間集計シート!Q$50:Q$69)*T$2</f>
        <v>0</v>
      </c>
      <c r="U965" s="88">
        <f>SUMIF(月間集計シート!$M$50:$M$69,$G965,月間集計シート!R$50:R$69)*U$2</f>
        <v>0</v>
      </c>
      <c r="V965" s="88">
        <f>SUMIF(月間集計シート!$M$50:$M$69,$G965,月間集計シート!S$50:S$69)*V$2</f>
        <v>0</v>
      </c>
      <c r="W965" s="88">
        <f>SUMIF(月間集計シート!$M$50:$M$69,$G965,月間集計シート!T$50:T$69)*W$2</f>
        <v>0</v>
      </c>
      <c r="X965" s="88">
        <f>SUMIF(月間集計シート!$M$71:$M$90,$G965,月間集計シート!N$71:N$90)*X$2</f>
        <v>0</v>
      </c>
      <c r="Y965" s="88">
        <f>SUMIF(月間集計シート!$M$71:$M$90,$G965,月間集計シート!O$71:O$90)*Y$2</f>
        <v>0</v>
      </c>
      <c r="Z965" s="88">
        <f>SUMIF(月間集計シート!$M$71:$M$90,$G965,月間集計シート!P$71:P$90)*Z$2</f>
        <v>0</v>
      </c>
      <c r="AA965" s="88">
        <f>SUMIF(月間集計シート!$M$71:$M$90,$G965,月間集計シート!Q$71:Q$90)*AA$2</f>
        <v>0</v>
      </c>
      <c r="AB965" s="88">
        <f>SUMIF(月間集計シート!$M$71:$M$90,$G965,月間集計シート!R$71:R$90)*AB$2</f>
        <v>0</v>
      </c>
      <c r="AC965" s="88">
        <f>SUMIF(月間集計シート!$M$71:$M$90,$G965,月間集計シート!S$71:S$90)*AC$2</f>
        <v>0</v>
      </c>
      <c r="AD965" s="88">
        <f>SUMIF(月間集計シート!$M$71:$M$90,$G965,月間集計シート!T$71:T$90)*AD$2</f>
        <v>0</v>
      </c>
      <c r="AE965" s="88">
        <f>SUMIF(月間集計シート!$M$92:$M$111,$G965,月間集計シート!N$92:N$111)*AE$2</f>
        <v>0</v>
      </c>
      <c r="AF965" s="88">
        <f>SUMIF(月間集計シート!$M$92:$M$111,$G965,月間集計シート!O$92:O$111)*AF$2</f>
        <v>0</v>
      </c>
      <c r="AG965" s="88">
        <f>SUMIF(月間集計シート!$M$92:$M$111,$G965,月間集計シート!P$92:P$111)*AG$2</f>
        <v>0</v>
      </c>
      <c r="AH965" s="88">
        <f>SUMIF(月間集計シート!$M$92:$M$111,$G965,月間集計シート!Q$92:Q$111)*AH$2</f>
        <v>0</v>
      </c>
      <c r="AI965" s="88">
        <f>SUMIF(月間集計シート!$M$92:$M$111,$G965,月間集計シート!R$92:R$111)*AI$2</f>
        <v>0</v>
      </c>
      <c r="AJ965" s="88">
        <f>SUMIF(月間集計シート!$M$92:$M$111,$G965,月間集計シート!S$92:S$111)*AJ$2</f>
        <v>0</v>
      </c>
      <c r="AK965" s="88">
        <f>SUMIF(月間集計シート!$M$92:$M$111,$G965,月間集計シート!T$92:T$111)*AK$2</f>
        <v>0</v>
      </c>
      <c r="AL965" s="88">
        <f>SUMIF(月間集計シート!$M$113:$M$132,$G965,月間集計シート!N$113:N$132)*AL$2</f>
        <v>0</v>
      </c>
      <c r="AM965" s="88">
        <f>SUMIF(月間集計シート!$M$113:$M$132,$G965,月間集計シート!O$113:O$132)*AM$2</f>
        <v>0</v>
      </c>
      <c r="AN965" s="88">
        <f>SUMIF(月間集計シート!$M$113:$M$132,$G965,月間集計シート!P$113:P$132)*AN$2</f>
        <v>0</v>
      </c>
      <c r="AO965" s="88">
        <f>SUMIF(月間集計シート!$M$113:$M$132,$G965,月間集計シート!Q$113:Q$132)*AO$2</f>
        <v>0</v>
      </c>
      <c r="AP965" s="88">
        <f>SUMIF(月間集計シート!$M$113:$M$132,$G965,月間集計シート!R$113:R$132)*AP$2</f>
        <v>0</v>
      </c>
      <c r="AQ965" s="88">
        <f>SUMIF(月間集計シート!$M$113:$M$132,$G965,月間集計シート!S$113:S$132)*AQ$2</f>
        <v>0</v>
      </c>
      <c r="AR965" s="88">
        <f>SUMIF(月間集計シート!$M$113:$M$132,$G965,月間集計シート!T$113:T$132)*AR$2</f>
        <v>0</v>
      </c>
      <c r="AS965" s="88">
        <f>SUMIF(月間集計シート!$M$134:$M$153,$G965,月間集計シート!N$134:N$153)*AS$2</f>
        <v>0</v>
      </c>
      <c r="AT965" s="88">
        <f>SUMIF(月間集計シート!$M$134:$M$153,$G965,月間集計シート!O$134:O$153)*AT$2</f>
        <v>0</v>
      </c>
      <c r="AU965" s="88">
        <f>SUMIF(月間集計シート!$M$134:$M$153,$G965,月間集計シート!P$134:P$153)*AU$2</f>
        <v>0</v>
      </c>
      <c r="AV965" s="88">
        <f>SUMIF(月間集計シート!$M$134:$M$153,$G965,月間集計シート!Q$134:Q$153)*AV$2</f>
        <v>0</v>
      </c>
      <c r="AW965" s="88">
        <f>SUMIF(月間集計シート!$M$134:$M$153,$G965,月間集計シート!R$134:R$153)*AW$2</f>
        <v>0</v>
      </c>
      <c r="AX965" s="88">
        <f>SUMIF(月間集計シート!$M$134:$M$153,$G965,月間集計シート!S$134:S$153)*AX$2</f>
        <v>0</v>
      </c>
      <c r="AY965" s="88">
        <f>SUMIF(月間集計シート!$M$134:$M$153,$G965,月間集計シート!T$134:T$153)*AY$2</f>
        <v>0</v>
      </c>
    </row>
    <row r="966" spans="1:51" ht="14.25" thickBot="1">
      <c r="A966">
        <v>12</v>
      </c>
      <c r="B966" s="120">
        <f t="shared" si="517"/>
        <v>0</v>
      </c>
      <c r="C966" s="120" t="str">
        <f t="shared" si="518"/>
        <v/>
      </c>
      <c r="D966" s="137"/>
      <c r="E966" s="150" t="str">
        <f>工種!A23</f>
        <v>40101</v>
      </c>
      <c r="F966" s="119" t="str">
        <f>工種!B23</f>
        <v>テスト：結合テスト実施</v>
      </c>
      <c r="G966" s="116" t="str">
        <f t="shared" si="519"/>
        <v>040101</v>
      </c>
      <c r="H966" s="88">
        <f t="shared" si="516"/>
        <v>0</v>
      </c>
      <c r="I966" s="132"/>
      <c r="J966" s="88">
        <f>SUMIF(月間集計シート!$M$29:$M$48,$G966,月間集計シート!N$29:N$48)*J$2</f>
        <v>0</v>
      </c>
      <c r="K966" s="88">
        <f>SUMIF(月間集計シート!$M$29:$M$48,$G966,月間集計シート!O$29:O$48)*K$2</f>
        <v>0</v>
      </c>
      <c r="L966" s="88">
        <f>SUMIF(月間集計シート!$M$29:$M$48,$G966,月間集計シート!P$29:P$48)*L$2</f>
        <v>0</v>
      </c>
      <c r="M966" s="88">
        <f>SUMIF(月間集計シート!$M$29:$M$48,$G966,月間集計シート!Q$29:Q$48)*M$2</f>
        <v>0</v>
      </c>
      <c r="N966" s="88">
        <f>SUMIF(月間集計シート!$M$29:$M$48,$G966,月間集計シート!R$29:R$48)*N$2</f>
        <v>0</v>
      </c>
      <c r="O966" s="88">
        <f>SUMIF(月間集計シート!$M$29:$M$48,$G966,月間集計シート!S$29:S$48)*O$2</f>
        <v>0</v>
      </c>
      <c r="P966" s="88">
        <f>SUMIF(月間集計シート!$M$29:$M$48,$G966,月間集計シート!T$29:T$48)*P$2</f>
        <v>0</v>
      </c>
      <c r="Q966" s="88">
        <f>SUMIF(月間集計シート!$M$50:$M$69,$G966,月間集計シート!N$50:N$69)*Q$2</f>
        <v>0</v>
      </c>
      <c r="R966" s="88">
        <f>SUMIF(月間集計シート!$M$50:$M$69,$G966,月間集計シート!O$50:O$69)*R$2</f>
        <v>0</v>
      </c>
      <c r="S966" s="88">
        <f>SUMIF(月間集計シート!$M$50:$M$69,$G966,月間集計シート!P$50:P$69)*S$2</f>
        <v>0</v>
      </c>
      <c r="T966" s="88">
        <f>SUMIF(月間集計シート!$M$50:$M$69,$G966,月間集計シート!Q$50:Q$69)*T$2</f>
        <v>0</v>
      </c>
      <c r="U966" s="88">
        <f>SUMIF(月間集計シート!$M$50:$M$69,$G966,月間集計シート!R$50:R$69)*U$2</f>
        <v>0</v>
      </c>
      <c r="V966" s="88">
        <f>SUMIF(月間集計シート!$M$50:$M$69,$G966,月間集計シート!S$50:S$69)*V$2</f>
        <v>0</v>
      </c>
      <c r="W966" s="88">
        <f>SUMIF(月間集計シート!$M$50:$M$69,$G966,月間集計シート!T$50:T$69)*W$2</f>
        <v>0</v>
      </c>
      <c r="X966" s="88">
        <f>SUMIF(月間集計シート!$M$71:$M$90,$G966,月間集計シート!N$71:N$90)*X$2</f>
        <v>0</v>
      </c>
      <c r="Y966" s="88">
        <f>SUMIF(月間集計シート!$M$71:$M$90,$G966,月間集計シート!O$71:O$90)*Y$2</f>
        <v>0</v>
      </c>
      <c r="Z966" s="88">
        <f>SUMIF(月間集計シート!$M$71:$M$90,$G966,月間集計シート!P$71:P$90)*Z$2</f>
        <v>0</v>
      </c>
      <c r="AA966" s="88">
        <f>SUMIF(月間集計シート!$M$71:$M$90,$G966,月間集計シート!Q$71:Q$90)*AA$2</f>
        <v>0</v>
      </c>
      <c r="AB966" s="88">
        <f>SUMIF(月間集計シート!$M$71:$M$90,$G966,月間集計シート!R$71:R$90)*AB$2</f>
        <v>0</v>
      </c>
      <c r="AC966" s="88">
        <f>SUMIF(月間集計シート!$M$71:$M$90,$G966,月間集計シート!S$71:S$90)*AC$2</f>
        <v>0</v>
      </c>
      <c r="AD966" s="88">
        <f>SUMIF(月間集計シート!$M$71:$M$90,$G966,月間集計シート!T$71:T$90)*AD$2</f>
        <v>0</v>
      </c>
      <c r="AE966" s="88">
        <f>SUMIF(月間集計シート!$M$92:$M$111,$G966,月間集計シート!N$92:N$111)*AE$2</f>
        <v>0</v>
      </c>
      <c r="AF966" s="88">
        <f>SUMIF(月間集計シート!$M$92:$M$111,$G966,月間集計シート!O$92:O$111)*AF$2</f>
        <v>0</v>
      </c>
      <c r="AG966" s="88">
        <f>SUMIF(月間集計シート!$M$92:$M$111,$G966,月間集計シート!P$92:P$111)*AG$2</f>
        <v>0</v>
      </c>
      <c r="AH966" s="88">
        <f>SUMIF(月間集計シート!$M$92:$M$111,$G966,月間集計シート!Q$92:Q$111)*AH$2</f>
        <v>0</v>
      </c>
      <c r="AI966" s="88">
        <f>SUMIF(月間集計シート!$M$92:$M$111,$G966,月間集計シート!R$92:R$111)*AI$2</f>
        <v>0</v>
      </c>
      <c r="AJ966" s="88">
        <f>SUMIF(月間集計シート!$M$92:$M$111,$G966,月間集計シート!S$92:S$111)*AJ$2</f>
        <v>0</v>
      </c>
      <c r="AK966" s="88">
        <f>SUMIF(月間集計シート!$M$92:$M$111,$G966,月間集計シート!T$92:T$111)*AK$2</f>
        <v>0</v>
      </c>
      <c r="AL966" s="88">
        <f>SUMIF(月間集計シート!$M$113:$M$132,$G966,月間集計シート!N$113:N$132)*AL$2</f>
        <v>0</v>
      </c>
      <c r="AM966" s="88">
        <f>SUMIF(月間集計シート!$M$113:$M$132,$G966,月間集計シート!O$113:O$132)*AM$2</f>
        <v>0</v>
      </c>
      <c r="AN966" s="88">
        <f>SUMIF(月間集計シート!$M$113:$M$132,$G966,月間集計シート!P$113:P$132)*AN$2</f>
        <v>0</v>
      </c>
      <c r="AO966" s="88">
        <f>SUMIF(月間集計シート!$M$113:$M$132,$G966,月間集計シート!Q$113:Q$132)*AO$2</f>
        <v>0</v>
      </c>
      <c r="AP966" s="88">
        <f>SUMIF(月間集計シート!$M$113:$M$132,$G966,月間集計シート!R$113:R$132)*AP$2</f>
        <v>0</v>
      </c>
      <c r="AQ966" s="88">
        <f>SUMIF(月間集計シート!$M$113:$M$132,$G966,月間集計シート!S$113:S$132)*AQ$2</f>
        <v>0</v>
      </c>
      <c r="AR966" s="88">
        <f>SUMIF(月間集計シート!$M$113:$M$132,$G966,月間集計シート!T$113:T$132)*AR$2</f>
        <v>0</v>
      </c>
      <c r="AS966" s="88">
        <f>SUMIF(月間集計シート!$M$134:$M$153,$G966,月間集計シート!N$134:N$153)*AS$2</f>
        <v>0</v>
      </c>
      <c r="AT966" s="88">
        <f>SUMIF(月間集計シート!$M$134:$M$153,$G966,月間集計シート!O$134:O$153)*AT$2</f>
        <v>0</v>
      </c>
      <c r="AU966" s="88">
        <f>SUMIF(月間集計シート!$M$134:$M$153,$G966,月間集計シート!P$134:P$153)*AU$2</f>
        <v>0</v>
      </c>
      <c r="AV966" s="88">
        <f>SUMIF(月間集計シート!$M$134:$M$153,$G966,月間集計シート!Q$134:Q$153)*AV$2</f>
        <v>0</v>
      </c>
      <c r="AW966" s="88">
        <f>SUMIF(月間集計シート!$M$134:$M$153,$G966,月間集計シート!R$134:R$153)*AW$2</f>
        <v>0</v>
      </c>
      <c r="AX966" s="88">
        <f>SUMIF(月間集計シート!$M$134:$M$153,$G966,月間集計シート!S$134:S$153)*AX$2</f>
        <v>0</v>
      </c>
      <c r="AY966" s="88">
        <f>SUMIF(月間集計シート!$M$134:$M$153,$G966,月間集計シート!T$134:T$153)*AY$2</f>
        <v>0</v>
      </c>
    </row>
    <row r="967" spans="1:51" ht="14.25" thickBot="1">
      <c r="A967">
        <v>12</v>
      </c>
      <c r="B967" s="120">
        <f t="shared" si="517"/>
        <v>0</v>
      </c>
      <c r="C967" s="120" t="str">
        <f t="shared" si="518"/>
        <v/>
      </c>
      <c r="D967" s="137"/>
      <c r="E967" s="150" t="str">
        <f>工種!A24</f>
        <v>40102</v>
      </c>
      <c r="F967" s="119" t="str">
        <f>工種!B24</f>
        <v>テスト：システムテスト実施</v>
      </c>
      <c r="G967" s="116" t="str">
        <f t="shared" si="519"/>
        <v>040102</v>
      </c>
      <c r="H967" s="88">
        <f t="shared" si="516"/>
        <v>0</v>
      </c>
      <c r="I967" s="132"/>
      <c r="J967" s="88">
        <f>SUMIF(月間集計シート!$M$29:$M$48,$G967,月間集計シート!N$29:N$48)*J$2</f>
        <v>0</v>
      </c>
      <c r="K967" s="88">
        <f>SUMIF(月間集計シート!$M$29:$M$48,$G967,月間集計シート!O$29:O$48)*K$2</f>
        <v>0</v>
      </c>
      <c r="L967" s="88">
        <f>SUMIF(月間集計シート!$M$29:$M$48,$G967,月間集計シート!P$29:P$48)*L$2</f>
        <v>0</v>
      </c>
      <c r="M967" s="88">
        <f>SUMIF(月間集計シート!$M$29:$M$48,$G967,月間集計シート!Q$29:Q$48)*M$2</f>
        <v>0</v>
      </c>
      <c r="N967" s="88">
        <f>SUMIF(月間集計シート!$M$29:$M$48,$G967,月間集計シート!R$29:R$48)*N$2</f>
        <v>0</v>
      </c>
      <c r="O967" s="88">
        <f>SUMIF(月間集計シート!$M$29:$M$48,$G967,月間集計シート!S$29:S$48)*O$2</f>
        <v>0</v>
      </c>
      <c r="P967" s="88">
        <f>SUMIF(月間集計シート!$M$29:$M$48,$G967,月間集計シート!T$29:T$48)*P$2</f>
        <v>0</v>
      </c>
      <c r="Q967" s="88">
        <f>SUMIF(月間集計シート!$M$50:$M$69,$G967,月間集計シート!N$50:N$69)*Q$2</f>
        <v>0</v>
      </c>
      <c r="R967" s="88">
        <f>SUMIF(月間集計シート!$M$50:$M$69,$G967,月間集計シート!O$50:O$69)*R$2</f>
        <v>0</v>
      </c>
      <c r="S967" s="88">
        <f>SUMIF(月間集計シート!$M$50:$M$69,$G967,月間集計シート!P$50:P$69)*S$2</f>
        <v>0</v>
      </c>
      <c r="T967" s="88">
        <f>SUMIF(月間集計シート!$M$50:$M$69,$G967,月間集計シート!Q$50:Q$69)*T$2</f>
        <v>0</v>
      </c>
      <c r="U967" s="88">
        <f>SUMIF(月間集計シート!$M$50:$M$69,$G967,月間集計シート!R$50:R$69)*U$2</f>
        <v>0</v>
      </c>
      <c r="V967" s="88">
        <f>SUMIF(月間集計シート!$M$50:$M$69,$G967,月間集計シート!S$50:S$69)*V$2</f>
        <v>0</v>
      </c>
      <c r="W967" s="88">
        <f>SUMIF(月間集計シート!$M$50:$M$69,$G967,月間集計シート!T$50:T$69)*W$2</f>
        <v>0</v>
      </c>
      <c r="X967" s="88">
        <f>SUMIF(月間集計シート!$M$71:$M$90,$G967,月間集計シート!N$71:N$90)*X$2</f>
        <v>0</v>
      </c>
      <c r="Y967" s="88">
        <f>SUMIF(月間集計シート!$M$71:$M$90,$G967,月間集計シート!O$71:O$90)*Y$2</f>
        <v>0</v>
      </c>
      <c r="Z967" s="88">
        <f>SUMIF(月間集計シート!$M$71:$M$90,$G967,月間集計シート!P$71:P$90)*Z$2</f>
        <v>0</v>
      </c>
      <c r="AA967" s="88">
        <f>SUMIF(月間集計シート!$M$71:$M$90,$G967,月間集計シート!Q$71:Q$90)*AA$2</f>
        <v>0</v>
      </c>
      <c r="AB967" s="88">
        <f>SUMIF(月間集計シート!$M$71:$M$90,$G967,月間集計シート!R$71:R$90)*AB$2</f>
        <v>0</v>
      </c>
      <c r="AC967" s="88">
        <f>SUMIF(月間集計シート!$M$71:$M$90,$G967,月間集計シート!S$71:S$90)*AC$2</f>
        <v>0</v>
      </c>
      <c r="AD967" s="88">
        <f>SUMIF(月間集計シート!$M$71:$M$90,$G967,月間集計シート!T$71:T$90)*AD$2</f>
        <v>0</v>
      </c>
      <c r="AE967" s="88">
        <f>SUMIF(月間集計シート!$M$92:$M$111,$G967,月間集計シート!N$92:N$111)*AE$2</f>
        <v>0</v>
      </c>
      <c r="AF967" s="88">
        <f>SUMIF(月間集計シート!$M$92:$M$111,$G967,月間集計シート!O$92:O$111)*AF$2</f>
        <v>0</v>
      </c>
      <c r="AG967" s="88">
        <f>SUMIF(月間集計シート!$M$92:$M$111,$G967,月間集計シート!P$92:P$111)*AG$2</f>
        <v>0</v>
      </c>
      <c r="AH967" s="88">
        <f>SUMIF(月間集計シート!$M$92:$M$111,$G967,月間集計シート!Q$92:Q$111)*AH$2</f>
        <v>0</v>
      </c>
      <c r="AI967" s="88">
        <f>SUMIF(月間集計シート!$M$92:$M$111,$G967,月間集計シート!R$92:R$111)*AI$2</f>
        <v>0</v>
      </c>
      <c r="AJ967" s="88">
        <f>SUMIF(月間集計シート!$M$92:$M$111,$G967,月間集計シート!S$92:S$111)*AJ$2</f>
        <v>0</v>
      </c>
      <c r="AK967" s="88">
        <f>SUMIF(月間集計シート!$M$92:$M$111,$G967,月間集計シート!T$92:T$111)*AK$2</f>
        <v>0</v>
      </c>
      <c r="AL967" s="88">
        <f>SUMIF(月間集計シート!$M$113:$M$132,$G967,月間集計シート!N$113:N$132)*AL$2</f>
        <v>0</v>
      </c>
      <c r="AM967" s="88">
        <f>SUMIF(月間集計シート!$M$113:$M$132,$G967,月間集計シート!O$113:O$132)*AM$2</f>
        <v>0</v>
      </c>
      <c r="AN967" s="88">
        <f>SUMIF(月間集計シート!$M$113:$M$132,$G967,月間集計シート!P$113:P$132)*AN$2</f>
        <v>0</v>
      </c>
      <c r="AO967" s="88">
        <f>SUMIF(月間集計シート!$M$113:$M$132,$G967,月間集計シート!Q$113:Q$132)*AO$2</f>
        <v>0</v>
      </c>
      <c r="AP967" s="88">
        <f>SUMIF(月間集計シート!$M$113:$M$132,$G967,月間集計シート!R$113:R$132)*AP$2</f>
        <v>0</v>
      </c>
      <c r="AQ967" s="88">
        <f>SUMIF(月間集計シート!$M$113:$M$132,$G967,月間集計シート!S$113:S$132)*AQ$2</f>
        <v>0</v>
      </c>
      <c r="AR967" s="88">
        <f>SUMIF(月間集計シート!$M$113:$M$132,$G967,月間集計シート!T$113:T$132)*AR$2</f>
        <v>0</v>
      </c>
      <c r="AS967" s="88">
        <f>SUMIF(月間集計シート!$M$134:$M$153,$G967,月間集計シート!N$134:N$153)*AS$2</f>
        <v>0</v>
      </c>
      <c r="AT967" s="88">
        <f>SUMIF(月間集計シート!$M$134:$M$153,$G967,月間集計シート!O$134:O$153)*AT$2</f>
        <v>0</v>
      </c>
      <c r="AU967" s="88">
        <f>SUMIF(月間集計シート!$M$134:$M$153,$G967,月間集計シート!P$134:P$153)*AU$2</f>
        <v>0</v>
      </c>
      <c r="AV967" s="88">
        <f>SUMIF(月間集計シート!$M$134:$M$153,$G967,月間集計シート!Q$134:Q$153)*AV$2</f>
        <v>0</v>
      </c>
      <c r="AW967" s="88">
        <f>SUMIF(月間集計シート!$M$134:$M$153,$G967,月間集計シート!R$134:R$153)*AW$2</f>
        <v>0</v>
      </c>
      <c r="AX967" s="88">
        <f>SUMIF(月間集計シート!$M$134:$M$153,$G967,月間集計シート!S$134:S$153)*AX$2</f>
        <v>0</v>
      </c>
      <c r="AY967" s="88">
        <f>SUMIF(月間集計シート!$M$134:$M$153,$G967,月間集計シート!T$134:T$153)*AY$2</f>
        <v>0</v>
      </c>
    </row>
    <row r="968" spans="1:51" ht="14.25" thickBot="1">
      <c r="A968">
        <v>12</v>
      </c>
      <c r="B968" s="120">
        <f t="shared" si="517"/>
        <v>0</v>
      </c>
      <c r="C968" s="120" t="str">
        <f t="shared" si="518"/>
        <v/>
      </c>
      <c r="D968" s="137"/>
      <c r="E968" s="150" t="str">
        <f>工種!A25</f>
        <v>40103</v>
      </c>
      <c r="F968" s="119" t="str">
        <f>工種!B25</f>
        <v>テスト：テスト計画書作成</v>
      </c>
      <c r="G968" s="116" t="str">
        <f t="shared" si="519"/>
        <v>040103</v>
      </c>
      <c r="H968" s="88">
        <f t="shared" si="516"/>
        <v>0</v>
      </c>
      <c r="I968" s="132"/>
      <c r="J968" s="88">
        <f>SUMIF(月間集計シート!$M$29:$M$48,$G968,月間集計シート!N$29:N$48)*J$2</f>
        <v>0</v>
      </c>
      <c r="K968" s="88">
        <f>SUMIF(月間集計シート!$M$29:$M$48,$G968,月間集計シート!O$29:O$48)*K$2</f>
        <v>0</v>
      </c>
      <c r="L968" s="88">
        <f>SUMIF(月間集計シート!$M$29:$M$48,$G968,月間集計シート!P$29:P$48)*L$2</f>
        <v>0</v>
      </c>
      <c r="M968" s="88">
        <f>SUMIF(月間集計シート!$M$29:$M$48,$G968,月間集計シート!Q$29:Q$48)*M$2</f>
        <v>0</v>
      </c>
      <c r="N968" s="88">
        <f>SUMIF(月間集計シート!$M$29:$M$48,$G968,月間集計シート!R$29:R$48)*N$2</f>
        <v>0</v>
      </c>
      <c r="O968" s="88">
        <f>SUMIF(月間集計シート!$M$29:$M$48,$G968,月間集計シート!S$29:S$48)*O$2</f>
        <v>0</v>
      </c>
      <c r="P968" s="88">
        <f>SUMIF(月間集計シート!$M$29:$M$48,$G968,月間集計シート!T$29:T$48)*P$2</f>
        <v>0</v>
      </c>
      <c r="Q968" s="88">
        <f>SUMIF(月間集計シート!$M$50:$M$69,$G968,月間集計シート!N$50:N$69)*Q$2</f>
        <v>0</v>
      </c>
      <c r="R968" s="88">
        <f>SUMIF(月間集計シート!$M$50:$M$69,$G968,月間集計シート!O$50:O$69)*R$2</f>
        <v>0</v>
      </c>
      <c r="S968" s="88">
        <f>SUMIF(月間集計シート!$M$50:$M$69,$G968,月間集計シート!P$50:P$69)*S$2</f>
        <v>0</v>
      </c>
      <c r="T968" s="88">
        <f>SUMIF(月間集計シート!$M$50:$M$69,$G968,月間集計シート!Q$50:Q$69)*T$2</f>
        <v>0</v>
      </c>
      <c r="U968" s="88">
        <f>SUMIF(月間集計シート!$M$50:$M$69,$G968,月間集計シート!R$50:R$69)*U$2</f>
        <v>0</v>
      </c>
      <c r="V968" s="88">
        <f>SUMIF(月間集計シート!$M$50:$M$69,$G968,月間集計シート!S$50:S$69)*V$2</f>
        <v>0</v>
      </c>
      <c r="W968" s="88">
        <f>SUMIF(月間集計シート!$M$50:$M$69,$G968,月間集計シート!T$50:T$69)*W$2</f>
        <v>0</v>
      </c>
      <c r="X968" s="88">
        <f>SUMIF(月間集計シート!$M$71:$M$90,$G968,月間集計シート!N$71:N$90)*X$2</f>
        <v>0</v>
      </c>
      <c r="Y968" s="88">
        <f>SUMIF(月間集計シート!$M$71:$M$90,$G968,月間集計シート!O$71:O$90)*Y$2</f>
        <v>0</v>
      </c>
      <c r="Z968" s="88">
        <f>SUMIF(月間集計シート!$M$71:$M$90,$G968,月間集計シート!P$71:P$90)*Z$2</f>
        <v>0</v>
      </c>
      <c r="AA968" s="88">
        <f>SUMIF(月間集計シート!$M$71:$M$90,$G968,月間集計シート!Q$71:Q$90)*AA$2</f>
        <v>0</v>
      </c>
      <c r="AB968" s="88">
        <f>SUMIF(月間集計シート!$M$71:$M$90,$G968,月間集計シート!R$71:R$90)*AB$2</f>
        <v>0</v>
      </c>
      <c r="AC968" s="88">
        <f>SUMIF(月間集計シート!$M$71:$M$90,$G968,月間集計シート!S$71:S$90)*AC$2</f>
        <v>0</v>
      </c>
      <c r="AD968" s="88">
        <f>SUMIF(月間集計シート!$M$71:$M$90,$G968,月間集計シート!T$71:T$90)*AD$2</f>
        <v>0</v>
      </c>
      <c r="AE968" s="88">
        <f>SUMIF(月間集計シート!$M$92:$M$111,$G968,月間集計シート!N$92:N$111)*AE$2</f>
        <v>0</v>
      </c>
      <c r="AF968" s="88">
        <f>SUMIF(月間集計シート!$M$92:$M$111,$G968,月間集計シート!O$92:O$111)*AF$2</f>
        <v>0</v>
      </c>
      <c r="AG968" s="88">
        <f>SUMIF(月間集計シート!$M$92:$M$111,$G968,月間集計シート!P$92:P$111)*AG$2</f>
        <v>0</v>
      </c>
      <c r="AH968" s="88">
        <f>SUMIF(月間集計シート!$M$92:$M$111,$G968,月間集計シート!Q$92:Q$111)*AH$2</f>
        <v>0</v>
      </c>
      <c r="AI968" s="88">
        <f>SUMIF(月間集計シート!$M$92:$M$111,$G968,月間集計シート!R$92:R$111)*AI$2</f>
        <v>0</v>
      </c>
      <c r="AJ968" s="88">
        <f>SUMIF(月間集計シート!$M$92:$M$111,$G968,月間集計シート!S$92:S$111)*AJ$2</f>
        <v>0</v>
      </c>
      <c r="AK968" s="88">
        <f>SUMIF(月間集計シート!$M$92:$M$111,$G968,月間集計シート!T$92:T$111)*AK$2</f>
        <v>0</v>
      </c>
      <c r="AL968" s="88">
        <f>SUMIF(月間集計シート!$M$113:$M$132,$G968,月間集計シート!N$113:N$132)*AL$2</f>
        <v>0</v>
      </c>
      <c r="AM968" s="88">
        <f>SUMIF(月間集計シート!$M$113:$M$132,$G968,月間集計シート!O$113:O$132)*AM$2</f>
        <v>0</v>
      </c>
      <c r="AN968" s="88">
        <f>SUMIF(月間集計シート!$M$113:$M$132,$G968,月間集計シート!P$113:P$132)*AN$2</f>
        <v>0</v>
      </c>
      <c r="AO968" s="88">
        <f>SUMIF(月間集計シート!$M$113:$M$132,$G968,月間集計シート!Q$113:Q$132)*AO$2</f>
        <v>0</v>
      </c>
      <c r="AP968" s="88">
        <f>SUMIF(月間集計シート!$M$113:$M$132,$G968,月間集計シート!R$113:R$132)*AP$2</f>
        <v>0</v>
      </c>
      <c r="AQ968" s="88">
        <f>SUMIF(月間集計シート!$M$113:$M$132,$G968,月間集計シート!S$113:S$132)*AQ$2</f>
        <v>0</v>
      </c>
      <c r="AR968" s="88">
        <f>SUMIF(月間集計シート!$M$113:$M$132,$G968,月間集計シート!T$113:T$132)*AR$2</f>
        <v>0</v>
      </c>
      <c r="AS968" s="88">
        <f>SUMIF(月間集計シート!$M$134:$M$153,$G968,月間集計シート!N$134:N$153)*AS$2</f>
        <v>0</v>
      </c>
      <c r="AT968" s="88">
        <f>SUMIF(月間集計シート!$M$134:$M$153,$G968,月間集計シート!O$134:O$153)*AT$2</f>
        <v>0</v>
      </c>
      <c r="AU968" s="88">
        <f>SUMIF(月間集計シート!$M$134:$M$153,$G968,月間集計シート!P$134:P$153)*AU$2</f>
        <v>0</v>
      </c>
      <c r="AV968" s="88">
        <f>SUMIF(月間集計シート!$M$134:$M$153,$G968,月間集計シート!Q$134:Q$153)*AV$2</f>
        <v>0</v>
      </c>
      <c r="AW968" s="88">
        <f>SUMIF(月間集計シート!$M$134:$M$153,$G968,月間集計シート!R$134:R$153)*AW$2</f>
        <v>0</v>
      </c>
      <c r="AX968" s="88">
        <f>SUMIF(月間集計シート!$M$134:$M$153,$G968,月間集計シート!S$134:S$153)*AX$2</f>
        <v>0</v>
      </c>
      <c r="AY968" s="88">
        <f>SUMIF(月間集計シート!$M$134:$M$153,$G968,月間集計シート!T$134:T$153)*AY$2</f>
        <v>0</v>
      </c>
    </row>
    <row r="969" spans="1:51" ht="14.25" thickBot="1">
      <c r="A969">
        <v>12</v>
      </c>
      <c r="B969" s="120">
        <f t="shared" si="517"/>
        <v>0</v>
      </c>
      <c r="C969" s="120" t="str">
        <f t="shared" si="518"/>
        <v/>
      </c>
      <c r="D969" s="137"/>
      <c r="E969" s="150" t="str">
        <f>工種!A26</f>
        <v>40104</v>
      </c>
      <c r="F969" s="119" t="str">
        <f>工種!B26</f>
        <v>テスト：結合テスト設計書作成</v>
      </c>
      <c r="G969" s="116" t="str">
        <f t="shared" si="519"/>
        <v>040104</v>
      </c>
      <c r="H969" s="88">
        <f t="shared" si="516"/>
        <v>0</v>
      </c>
      <c r="I969" s="132"/>
      <c r="J969" s="88">
        <f>SUMIF(月間集計シート!$M$29:$M$48,$G969,月間集計シート!N$29:N$48)*J$2</f>
        <v>0</v>
      </c>
      <c r="K969" s="88">
        <f>SUMIF(月間集計シート!$M$29:$M$48,$G969,月間集計シート!O$29:O$48)*K$2</f>
        <v>0</v>
      </c>
      <c r="L969" s="88">
        <f>SUMIF(月間集計シート!$M$29:$M$48,$G969,月間集計シート!P$29:P$48)*L$2</f>
        <v>0</v>
      </c>
      <c r="M969" s="88">
        <f>SUMIF(月間集計シート!$M$29:$M$48,$G969,月間集計シート!Q$29:Q$48)*M$2</f>
        <v>0</v>
      </c>
      <c r="N969" s="88">
        <f>SUMIF(月間集計シート!$M$29:$M$48,$G969,月間集計シート!R$29:R$48)*N$2</f>
        <v>0</v>
      </c>
      <c r="O969" s="88">
        <f>SUMIF(月間集計シート!$M$29:$M$48,$G969,月間集計シート!S$29:S$48)*O$2</f>
        <v>0</v>
      </c>
      <c r="P969" s="88">
        <f>SUMIF(月間集計シート!$M$29:$M$48,$G969,月間集計シート!T$29:T$48)*P$2</f>
        <v>0</v>
      </c>
      <c r="Q969" s="88">
        <f>SUMIF(月間集計シート!$M$50:$M$69,$G969,月間集計シート!N$50:N$69)*Q$2</f>
        <v>0</v>
      </c>
      <c r="R969" s="88">
        <f>SUMIF(月間集計シート!$M$50:$M$69,$G969,月間集計シート!O$50:O$69)*R$2</f>
        <v>0</v>
      </c>
      <c r="S969" s="88">
        <f>SUMIF(月間集計シート!$M$50:$M$69,$G969,月間集計シート!P$50:P$69)*S$2</f>
        <v>0</v>
      </c>
      <c r="T969" s="88">
        <f>SUMIF(月間集計シート!$M$50:$M$69,$G969,月間集計シート!Q$50:Q$69)*T$2</f>
        <v>0</v>
      </c>
      <c r="U969" s="88">
        <f>SUMIF(月間集計シート!$M$50:$M$69,$G969,月間集計シート!R$50:R$69)*U$2</f>
        <v>0</v>
      </c>
      <c r="V969" s="88">
        <f>SUMIF(月間集計シート!$M$50:$M$69,$G969,月間集計シート!S$50:S$69)*V$2</f>
        <v>0</v>
      </c>
      <c r="W969" s="88">
        <f>SUMIF(月間集計シート!$M$50:$M$69,$G969,月間集計シート!T$50:T$69)*W$2</f>
        <v>0</v>
      </c>
      <c r="X969" s="88">
        <f>SUMIF(月間集計シート!$M$71:$M$90,$G969,月間集計シート!N$71:N$90)*X$2</f>
        <v>0</v>
      </c>
      <c r="Y969" s="88">
        <f>SUMIF(月間集計シート!$M$71:$M$90,$G969,月間集計シート!O$71:O$90)*Y$2</f>
        <v>0</v>
      </c>
      <c r="Z969" s="88">
        <f>SUMIF(月間集計シート!$M$71:$M$90,$G969,月間集計シート!P$71:P$90)*Z$2</f>
        <v>0</v>
      </c>
      <c r="AA969" s="88">
        <f>SUMIF(月間集計シート!$M$71:$M$90,$G969,月間集計シート!Q$71:Q$90)*AA$2</f>
        <v>0</v>
      </c>
      <c r="AB969" s="88">
        <f>SUMIF(月間集計シート!$M$71:$M$90,$G969,月間集計シート!R$71:R$90)*AB$2</f>
        <v>0</v>
      </c>
      <c r="AC969" s="88">
        <f>SUMIF(月間集計シート!$M$71:$M$90,$G969,月間集計シート!S$71:S$90)*AC$2</f>
        <v>0</v>
      </c>
      <c r="AD969" s="88">
        <f>SUMIF(月間集計シート!$M$71:$M$90,$G969,月間集計シート!T$71:T$90)*AD$2</f>
        <v>0</v>
      </c>
      <c r="AE969" s="88">
        <f>SUMIF(月間集計シート!$M$92:$M$111,$G969,月間集計シート!N$92:N$111)*AE$2</f>
        <v>0</v>
      </c>
      <c r="AF969" s="88">
        <f>SUMIF(月間集計シート!$M$92:$M$111,$G969,月間集計シート!O$92:O$111)*AF$2</f>
        <v>0</v>
      </c>
      <c r="AG969" s="88">
        <f>SUMIF(月間集計シート!$M$92:$M$111,$G969,月間集計シート!P$92:P$111)*AG$2</f>
        <v>0</v>
      </c>
      <c r="AH969" s="88">
        <f>SUMIF(月間集計シート!$M$92:$M$111,$G969,月間集計シート!Q$92:Q$111)*AH$2</f>
        <v>0</v>
      </c>
      <c r="AI969" s="88">
        <f>SUMIF(月間集計シート!$M$92:$M$111,$G969,月間集計シート!R$92:R$111)*AI$2</f>
        <v>0</v>
      </c>
      <c r="AJ969" s="88">
        <f>SUMIF(月間集計シート!$M$92:$M$111,$G969,月間集計シート!S$92:S$111)*AJ$2</f>
        <v>0</v>
      </c>
      <c r="AK969" s="88">
        <f>SUMIF(月間集計シート!$M$92:$M$111,$G969,月間集計シート!T$92:T$111)*AK$2</f>
        <v>0</v>
      </c>
      <c r="AL969" s="88">
        <f>SUMIF(月間集計シート!$M$113:$M$132,$G969,月間集計シート!N$113:N$132)*AL$2</f>
        <v>0</v>
      </c>
      <c r="AM969" s="88">
        <f>SUMIF(月間集計シート!$M$113:$M$132,$G969,月間集計シート!O$113:O$132)*AM$2</f>
        <v>0</v>
      </c>
      <c r="AN969" s="88">
        <f>SUMIF(月間集計シート!$M$113:$M$132,$G969,月間集計シート!P$113:P$132)*AN$2</f>
        <v>0</v>
      </c>
      <c r="AO969" s="88">
        <f>SUMIF(月間集計シート!$M$113:$M$132,$G969,月間集計シート!Q$113:Q$132)*AO$2</f>
        <v>0</v>
      </c>
      <c r="AP969" s="88">
        <f>SUMIF(月間集計シート!$M$113:$M$132,$G969,月間集計シート!R$113:R$132)*AP$2</f>
        <v>0</v>
      </c>
      <c r="AQ969" s="88">
        <f>SUMIF(月間集計シート!$M$113:$M$132,$G969,月間集計シート!S$113:S$132)*AQ$2</f>
        <v>0</v>
      </c>
      <c r="AR969" s="88">
        <f>SUMIF(月間集計シート!$M$113:$M$132,$G969,月間集計シート!T$113:T$132)*AR$2</f>
        <v>0</v>
      </c>
      <c r="AS969" s="88">
        <f>SUMIF(月間集計シート!$M$134:$M$153,$G969,月間集計シート!N$134:N$153)*AS$2</f>
        <v>0</v>
      </c>
      <c r="AT969" s="88">
        <f>SUMIF(月間集計シート!$M$134:$M$153,$G969,月間集計シート!O$134:O$153)*AT$2</f>
        <v>0</v>
      </c>
      <c r="AU969" s="88">
        <f>SUMIF(月間集計シート!$M$134:$M$153,$G969,月間集計シート!P$134:P$153)*AU$2</f>
        <v>0</v>
      </c>
      <c r="AV969" s="88">
        <f>SUMIF(月間集計シート!$M$134:$M$153,$G969,月間集計シート!Q$134:Q$153)*AV$2</f>
        <v>0</v>
      </c>
      <c r="AW969" s="88">
        <f>SUMIF(月間集計シート!$M$134:$M$153,$G969,月間集計シート!R$134:R$153)*AW$2</f>
        <v>0</v>
      </c>
      <c r="AX969" s="88">
        <f>SUMIF(月間集計シート!$M$134:$M$153,$G969,月間集計シート!S$134:S$153)*AX$2</f>
        <v>0</v>
      </c>
      <c r="AY969" s="88">
        <f>SUMIF(月間集計シート!$M$134:$M$153,$G969,月間集計シート!T$134:T$153)*AY$2</f>
        <v>0</v>
      </c>
    </row>
    <row r="970" spans="1:51" ht="14.25" thickBot="1">
      <c r="A970">
        <v>12</v>
      </c>
      <c r="B970" s="120">
        <f t="shared" si="517"/>
        <v>0</v>
      </c>
      <c r="C970" s="120" t="str">
        <f t="shared" si="518"/>
        <v/>
      </c>
      <c r="D970" s="137"/>
      <c r="E970" s="150" t="str">
        <f>工種!A27</f>
        <v>40105</v>
      </c>
      <c r="F970" s="119" t="str">
        <f>工種!B27</f>
        <v>テスト：システムテスト設計書作成</v>
      </c>
      <c r="G970" s="116" t="str">
        <f t="shared" si="519"/>
        <v>040105</v>
      </c>
      <c r="H970" s="88">
        <f t="shared" si="516"/>
        <v>0</v>
      </c>
      <c r="I970" s="132"/>
      <c r="J970" s="88">
        <f>SUMIF(月間集計シート!$M$29:$M$48,$G970,月間集計シート!N$29:N$48)*J$2</f>
        <v>0</v>
      </c>
      <c r="K970" s="88">
        <f>SUMIF(月間集計シート!$M$29:$M$48,$G970,月間集計シート!O$29:O$48)*K$2</f>
        <v>0</v>
      </c>
      <c r="L970" s="88">
        <f>SUMIF(月間集計シート!$M$29:$M$48,$G970,月間集計シート!P$29:P$48)*L$2</f>
        <v>0</v>
      </c>
      <c r="M970" s="88">
        <f>SUMIF(月間集計シート!$M$29:$M$48,$G970,月間集計シート!Q$29:Q$48)*M$2</f>
        <v>0</v>
      </c>
      <c r="N970" s="88">
        <f>SUMIF(月間集計シート!$M$29:$M$48,$G970,月間集計シート!R$29:R$48)*N$2</f>
        <v>0</v>
      </c>
      <c r="O970" s="88">
        <f>SUMIF(月間集計シート!$M$29:$M$48,$G970,月間集計シート!S$29:S$48)*O$2</f>
        <v>0</v>
      </c>
      <c r="P970" s="88">
        <f>SUMIF(月間集計シート!$M$29:$M$48,$G970,月間集計シート!T$29:T$48)*P$2</f>
        <v>0</v>
      </c>
      <c r="Q970" s="88">
        <f>SUMIF(月間集計シート!$M$50:$M$69,$G970,月間集計シート!N$50:N$69)*Q$2</f>
        <v>0</v>
      </c>
      <c r="R970" s="88">
        <f>SUMIF(月間集計シート!$M$50:$M$69,$G970,月間集計シート!O$50:O$69)*R$2</f>
        <v>0</v>
      </c>
      <c r="S970" s="88">
        <f>SUMIF(月間集計シート!$M$50:$M$69,$G970,月間集計シート!P$50:P$69)*S$2</f>
        <v>0</v>
      </c>
      <c r="T970" s="88">
        <f>SUMIF(月間集計シート!$M$50:$M$69,$G970,月間集計シート!Q$50:Q$69)*T$2</f>
        <v>0</v>
      </c>
      <c r="U970" s="88">
        <f>SUMIF(月間集計シート!$M$50:$M$69,$G970,月間集計シート!R$50:R$69)*U$2</f>
        <v>0</v>
      </c>
      <c r="V970" s="88">
        <f>SUMIF(月間集計シート!$M$50:$M$69,$G970,月間集計シート!S$50:S$69)*V$2</f>
        <v>0</v>
      </c>
      <c r="W970" s="88">
        <f>SUMIF(月間集計シート!$M$50:$M$69,$G970,月間集計シート!T$50:T$69)*W$2</f>
        <v>0</v>
      </c>
      <c r="X970" s="88">
        <f>SUMIF(月間集計シート!$M$71:$M$90,$G970,月間集計シート!N$71:N$90)*X$2</f>
        <v>0</v>
      </c>
      <c r="Y970" s="88">
        <f>SUMIF(月間集計シート!$M$71:$M$90,$G970,月間集計シート!O$71:O$90)*Y$2</f>
        <v>0</v>
      </c>
      <c r="Z970" s="88">
        <f>SUMIF(月間集計シート!$M$71:$M$90,$G970,月間集計シート!P$71:P$90)*Z$2</f>
        <v>0</v>
      </c>
      <c r="AA970" s="88">
        <f>SUMIF(月間集計シート!$M$71:$M$90,$G970,月間集計シート!Q$71:Q$90)*AA$2</f>
        <v>0</v>
      </c>
      <c r="AB970" s="88">
        <f>SUMIF(月間集計シート!$M$71:$M$90,$G970,月間集計シート!R$71:R$90)*AB$2</f>
        <v>0</v>
      </c>
      <c r="AC970" s="88">
        <f>SUMIF(月間集計シート!$M$71:$M$90,$G970,月間集計シート!S$71:S$90)*AC$2</f>
        <v>0</v>
      </c>
      <c r="AD970" s="88">
        <f>SUMIF(月間集計シート!$M$71:$M$90,$G970,月間集計シート!T$71:T$90)*AD$2</f>
        <v>0</v>
      </c>
      <c r="AE970" s="88">
        <f>SUMIF(月間集計シート!$M$92:$M$111,$G970,月間集計シート!N$92:N$111)*AE$2</f>
        <v>0</v>
      </c>
      <c r="AF970" s="88">
        <f>SUMIF(月間集計シート!$M$92:$M$111,$G970,月間集計シート!O$92:O$111)*AF$2</f>
        <v>0</v>
      </c>
      <c r="AG970" s="88">
        <f>SUMIF(月間集計シート!$M$92:$M$111,$G970,月間集計シート!P$92:P$111)*AG$2</f>
        <v>0</v>
      </c>
      <c r="AH970" s="88">
        <f>SUMIF(月間集計シート!$M$92:$M$111,$G970,月間集計シート!Q$92:Q$111)*AH$2</f>
        <v>0</v>
      </c>
      <c r="AI970" s="88">
        <f>SUMIF(月間集計シート!$M$92:$M$111,$G970,月間集計シート!R$92:R$111)*AI$2</f>
        <v>0</v>
      </c>
      <c r="AJ970" s="88">
        <f>SUMIF(月間集計シート!$M$92:$M$111,$G970,月間集計シート!S$92:S$111)*AJ$2</f>
        <v>0</v>
      </c>
      <c r="AK970" s="88">
        <f>SUMIF(月間集計シート!$M$92:$M$111,$G970,月間集計シート!T$92:T$111)*AK$2</f>
        <v>0</v>
      </c>
      <c r="AL970" s="88">
        <f>SUMIF(月間集計シート!$M$113:$M$132,$G970,月間集計シート!N$113:N$132)*AL$2</f>
        <v>0</v>
      </c>
      <c r="AM970" s="88">
        <f>SUMIF(月間集計シート!$M$113:$M$132,$G970,月間集計シート!O$113:O$132)*AM$2</f>
        <v>0</v>
      </c>
      <c r="AN970" s="88">
        <f>SUMIF(月間集計シート!$M$113:$M$132,$G970,月間集計シート!P$113:P$132)*AN$2</f>
        <v>0</v>
      </c>
      <c r="AO970" s="88">
        <f>SUMIF(月間集計シート!$M$113:$M$132,$G970,月間集計シート!Q$113:Q$132)*AO$2</f>
        <v>0</v>
      </c>
      <c r="AP970" s="88">
        <f>SUMIF(月間集計シート!$M$113:$M$132,$G970,月間集計シート!R$113:R$132)*AP$2</f>
        <v>0</v>
      </c>
      <c r="AQ970" s="88">
        <f>SUMIF(月間集計シート!$M$113:$M$132,$G970,月間集計シート!S$113:S$132)*AQ$2</f>
        <v>0</v>
      </c>
      <c r="AR970" s="88">
        <f>SUMIF(月間集計シート!$M$113:$M$132,$G970,月間集計シート!T$113:T$132)*AR$2</f>
        <v>0</v>
      </c>
      <c r="AS970" s="88">
        <f>SUMIF(月間集計シート!$M$134:$M$153,$G970,月間集計シート!N$134:N$153)*AS$2</f>
        <v>0</v>
      </c>
      <c r="AT970" s="88">
        <f>SUMIF(月間集計シート!$M$134:$M$153,$G970,月間集計シート!O$134:O$153)*AT$2</f>
        <v>0</v>
      </c>
      <c r="AU970" s="88">
        <f>SUMIF(月間集計シート!$M$134:$M$153,$G970,月間集計シート!P$134:P$153)*AU$2</f>
        <v>0</v>
      </c>
      <c r="AV970" s="88">
        <f>SUMIF(月間集計シート!$M$134:$M$153,$G970,月間集計シート!Q$134:Q$153)*AV$2</f>
        <v>0</v>
      </c>
      <c r="AW970" s="88">
        <f>SUMIF(月間集計シート!$M$134:$M$153,$G970,月間集計シート!R$134:R$153)*AW$2</f>
        <v>0</v>
      </c>
      <c r="AX970" s="88">
        <f>SUMIF(月間集計シート!$M$134:$M$153,$G970,月間集計シート!S$134:S$153)*AX$2</f>
        <v>0</v>
      </c>
      <c r="AY970" s="88">
        <f>SUMIF(月間集計シート!$M$134:$M$153,$G970,月間集計シート!T$134:T$153)*AY$2</f>
        <v>0</v>
      </c>
    </row>
    <row r="971" spans="1:51" ht="14.25" thickBot="1">
      <c r="A971">
        <v>12</v>
      </c>
      <c r="B971" s="120">
        <f t="shared" si="517"/>
        <v>0</v>
      </c>
      <c r="C971" s="120" t="str">
        <f t="shared" si="518"/>
        <v/>
      </c>
      <c r="D971" s="137"/>
      <c r="E971" s="150" t="str">
        <f>工種!A28</f>
        <v>40106</v>
      </c>
      <c r="F971" s="119" t="str">
        <f>工種!B28</f>
        <v>テスト：総合評価設計書作成</v>
      </c>
      <c r="G971" s="116" t="str">
        <f t="shared" si="519"/>
        <v>040106</v>
      </c>
      <c r="H971" s="88">
        <f t="shared" si="516"/>
        <v>0</v>
      </c>
      <c r="I971" s="132"/>
      <c r="J971" s="88">
        <f>SUMIF(月間集計シート!$M$29:$M$48,$G971,月間集計シート!N$29:N$48)*J$2</f>
        <v>0</v>
      </c>
      <c r="K971" s="88">
        <f>SUMIF(月間集計シート!$M$29:$M$48,$G971,月間集計シート!O$29:O$48)*K$2</f>
        <v>0</v>
      </c>
      <c r="L971" s="88">
        <f>SUMIF(月間集計シート!$M$29:$M$48,$G971,月間集計シート!P$29:P$48)*L$2</f>
        <v>0</v>
      </c>
      <c r="M971" s="88">
        <f>SUMIF(月間集計シート!$M$29:$M$48,$G971,月間集計シート!Q$29:Q$48)*M$2</f>
        <v>0</v>
      </c>
      <c r="N971" s="88">
        <f>SUMIF(月間集計シート!$M$29:$M$48,$G971,月間集計シート!R$29:R$48)*N$2</f>
        <v>0</v>
      </c>
      <c r="O971" s="88">
        <f>SUMIF(月間集計シート!$M$29:$M$48,$G971,月間集計シート!S$29:S$48)*O$2</f>
        <v>0</v>
      </c>
      <c r="P971" s="88">
        <f>SUMIF(月間集計シート!$M$29:$M$48,$G971,月間集計シート!T$29:T$48)*P$2</f>
        <v>0</v>
      </c>
      <c r="Q971" s="88">
        <f>SUMIF(月間集計シート!$M$50:$M$69,$G971,月間集計シート!N$50:N$69)*Q$2</f>
        <v>0</v>
      </c>
      <c r="R971" s="88">
        <f>SUMIF(月間集計シート!$M$50:$M$69,$G971,月間集計シート!O$50:O$69)*R$2</f>
        <v>0</v>
      </c>
      <c r="S971" s="88">
        <f>SUMIF(月間集計シート!$M$50:$M$69,$G971,月間集計シート!P$50:P$69)*S$2</f>
        <v>0</v>
      </c>
      <c r="T971" s="88">
        <f>SUMIF(月間集計シート!$M$50:$M$69,$G971,月間集計シート!Q$50:Q$69)*T$2</f>
        <v>0</v>
      </c>
      <c r="U971" s="88">
        <f>SUMIF(月間集計シート!$M$50:$M$69,$G971,月間集計シート!R$50:R$69)*U$2</f>
        <v>0</v>
      </c>
      <c r="V971" s="88">
        <f>SUMIF(月間集計シート!$M$50:$M$69,$G971,月間集計シート!S$50:S$69)*V$2</f>
        <v>0</v>
      </c>
      <c r="W971" s="88">
        <f>SUMIF(月間集計シート!$M$50:$M$69,$G971,月間集計シート!T$50:T$69)*W$2</f>
        <v>0</v>
      </c>
      <c r="X971" s="88">
        <f>SUMIF(月間集計シート!$M$71:$M$90,$G971,月間集計シート!N$71:N$90)*X$2</f>
        <v>0</v>
      </c>
      <c r="Y971" s="88">
        <f>SUMIF(月間集計シート!$M$71:$M$90,$G971,月間集計シート!O$71:O$90)*Y$2</f>
        <v>0</v>
      </c>
      <c r="Z971" s="88">
        <f>SUMIF(月間集計シート!$M$71:$M$90,$G971,月間集計シート!P$71:P$90)*Z$2</f>
        <v>0</v>
      </c>
      <c r="AA971" s="88">
        <f>SUMIF(月間集計シート!$M$71:$M$90,$G971,月間集計シート!Q$71:Q$90)*AA$2</f>
        <v>0</v>
      </c>
      <c r="AB971" s="88">
        <f>SUMIF(月間集計シート!$M$71:$M$90,$G971,月間集計シート!R$71:R$90)*AB$2</f>
        <v>0</v>
      </c>
      <c r="AC971" s="88">
        <f>SUMIF(月間集計シート!$M$71:$M$90,$G971,月間集計シート!S$71:S$90)*AC$2</f>
        <v>0</v>
      </c>
      <c r="AD971" s="88">
        <f>SUMIF(月間集計シート!$M$71:$M$90,$G971,月間集計シート!T$71:T$90)*AD$2</f>
        <v>0</v>
      </c>
      <c r="AE971" s="88">
        <f>SUMIF(月間集計シート!$M$92:$M$111,$G971,月間集計シート!N$92:N$111)*AE$2</f>
        <v>0</v>
      </c>
      <c r="AF971" s="88">
        <f>SUMIF(月間集計シート!$M$92:$M$111,$G971,月間集計シート!O$92:O$111)*AF$2</f>
        <v>0</v>
      </c>
      <c r="AG971" s="88">
        <f>SUMIF(月間集計シート!$M$92:$M$111,$G971,月間集計シート!P$92:P$111)*AG$2</f>
        <v>0</v>
      </c>
      <c r="AH971" s="88">
        <f>SUMIF(月間集計シート!$M$92:$M$111,$G971,月間集計シート!Q$92:Q$111)*AH$2</f>
        <v>0</v>
      </c>
      <c r="AI971" s="88">
        <f>SUMIF(月間集計シート!$M$92:$M$111,$G971,月間集計シート!R$92:R$111)*AI$2</f>
        <v>0</v>
      </c>
      <c r="AJ971" s="88">
        <f>SUMIF(月間集計シート!$M$92:$M$111,$G971,月間集計シート!S$92:S$111)*AJ$2</f>
        <v>0</v>
      </c>
      <c r="AK971" s="88">
        <f>SUMIF(月間集計シート!$M$92:$M$111,$G971,月間集計シート!T$92:T$111)*AK$2</f>
        <v>0</v>
      </c>
      <c r="AL971" s="88">
        <f>SUMIF(月間集計シート!$M$113:$M$132,$G971,月間集計シート!N$113:N$132)*AL$2</f>
        <v>0</v>
      </c>
      <c r="AM971" s="88">
        <f>SUMIF(月間集計シート!$M$113:$M$132,$G971,月間集計シート!O$113:O$132)*AM$2</f>
        <v>0</v>
      </c>
      <c r="AN971" s="88">
        <f>SUMIF(月間集計シート!$M$113:$M$132,$G971,月間集計シート!P$113:P$132)*AN$2</f>
        <v>0</v>
      </c>
      <c r="AO971" s="88">
        <f>SUMIF(月間集計シート!$M$113:$M$132,$G971,月間集計シート!Q$113:Q$132)*AO$2</f>
        <v>0</v>
      </c>
      <c r="AP971" s="88">
        <f>SUMIF(月間集計シート!$M$113:$M$132,$G971,月間集計シート!R$113:R$132)*AP$2</f>
        <v>0</v>
      </c>
      <c r="AQ971" s="88">
        <f>SUMIF(月間集計シート!$M$113:$M$132,$G971,月間集計シート!S$113:S$132)*AQ$2</f>
        <v>0</v>
      </c>
      <c r="AR971" s="88">
        <f>SUMIF(月間集計シート!$M$113:$M$132,$G971,月間集計シート!T$113:T$132)*AR$2</f>
        <v>0</v>
      </c>
      <c r="AS971" s="88">
        <f>SUMIF(月間集計シート!$M$134:$M$153,$G971,月間集計シート!N$134:N$153)*AS$2</f>
        <v>0</v>
      </c>
      <c r="AT971" s="88">
        <f>SUMIF(月間集計シート!$M$134:$M$153,$G971,月間集計シート!O$134:O$153)*AT$2</f>
        <v>0</v>
      </c>
      <c r="AU971" s="88">
        <f>SUMIF(月間集計シート!$M$134:$M$153,$G971,月間集計シート!P$134:P$153)*AU$2</f>
        <v>0</v>
      </c>
      <c r="AV971" s="88">
        <f>SUMIF(月間集計シート!$M$134:$M$153,$G971,月間集計シート!Q$134:Q$153)*AV$2</f>
        <v>0</v>
      </c>
      <c r="AW971" s="88">
        <f>SUMIF(月間集計シート!$M$134:$M$153,$G971,月間集計シート!R$134:R$153)*AW$2</f>
        <v>0</v>
      </c>
      <c r="AX971" s="88">
        <f>SUMIF(月間集計シート!$M$134:$M$153,$G971,月間集計シート!S$134:S$153)*AX$2</f>
        <v>0</v>
      </c>
      <c r="AY971" s="88">
        <f>SUMIF(月間集計シート!$M$134:$M$153,$G971,月間集計シート!T$134:T$153)*AY$2</f>
        <v>0</v>
      </c>
    </row>
    <row r="972" spans="1:51" ht="14.25" thickBot="1">
      <c r="A972">
        <v>12</v>
      </c>
      <c r="B972" s="120">
        <f t="shared" si="517"/>
        <v>0</v>
      </c>
      <c r="C972" s="120" t="str">
        <f t="shared" si="518"/>
        <v/>
      </c>
      <c r="D972" s="137"/>
      <c r="E972" s="150" t="str">
        <f>工種!A29</f>
        <v>40107</v>
      </c>
      <c r="F972" s="119" t="str">
        <f>工種!B29</f>
        <v>テスト：評価報告書作成</v>
      </c>
      <c r="G972" s="116" t="str">
        <f t="shared" si="519"/>
        <v>040107</v>
      </c>
      <c r="H972" s="88">
        <f t="shared" si="516"/>
        <v>0</v>
      </c>
      <c r="I972" s="132"/>
      <c r="J972" s="88">
        <f>SUMIF(月間集計シート!$M$29:$M$48,$G972,月間集計シート!N$29:N$48)*J$2</f>
        <v>0</v>
      </c>
      <c r="K972" s="88">
        <f>SUMIF(月間集計シート!$M$29:$M$48,$G972,月間集計シート!O$29:O$48)*K$2</f>
        <v>0</v>
      </c>
      <c r="L972" s="88">
        <f>SUMIF(月間集計シート!$M$29:$M$48,$G972,月間集計シート!P$29:P$48)*L$2</f>
        <v>0</v>
      </c>
      <c r="M972" s="88">
        <f>SUMIF(月間集計シート!$M$29:$M$48,$G972,月間集計シート!Q$29:Q$48)*M$2</f>
        <v>0</v>
      </c>
      <c r="N972" s="88">
        <f>SUMIF(月間集計シート!$M$29:$M$48,$G972,月間集計シート!R$29:R$48)*N$2</f>
        <v>0</v>
      </c>
      <c r="O972" s="88">
        <f>SUMIF(月間集計シート!$M$29:$M$48,$G972,月間集計シート!S$29:S$48)*O$2</f>
        <v>0</v>
      </c>
      <c r="P972" s="88">
        <f>SUMIF(月間集計シート!$M$29:$M$48,$G972,月間集計シート!T$29:T$48)*P$2</f>
        <v>0</v>
      </c>
      <c r="Q972" s="88">
        <f>SUMIF(月間集計シート!$M$50:$M$69,$G972,月間集計シート!N$50:N$69)*Q$2</f>
        <v>0</v>
      </c>
      <c r="R972" s="88">
        <f>SUMIF(月間集計シート!$M$50:$M$69,$G972,月間集計シート!O$50:O$69)*R$2</f>
        <v>0</v>
      </c>
      <c r="S972" s="88">
        <f>SUMIF(月間集計シート!$M$50:$M$69,$G972,月間集計シート!P$50:P$69)*S$2</f>
        <v>0</v>
      </c>
      <c r="T972" s="88">
        <f>SUMIF(月間集計シート!$M$50:$M$69,$G972,月間集計シート!Q$50:Q$69)*T$2</f>
        <v>0</v>
      </c>
      <c r="U972" s="88">
        <f>SUMIF(月間集計シート!$M$50:$M$69,$G972,月間集計シート!R$50:R$69)*U$2</f>
        <v>0</v>
      </c>
      <c r="V972" s="88">
        <f>SUMIF(月間集計シート!$M$50:$M$69,$G972,月間集計シート!S$50:S$69)*V$2</f>
        <v>0</v>
      </c>
      <c r="W972" s="88">
        <f>SUMIF(月間集計シート!$M$50:$M$69,$G972,月間集計シート!T$50:T$69)*W$2</f>
        <v>0</v>
      </c>
      <c r="X972" s="88">
        <f>SUMIF(月間集計シート!$M$71:$M$90,$G972,月間集計シート!N$71:N$90)*X$2</f>
        <v>0</v>
      </c>
      <c r="Y972" s="88">
        <f>SUMIF(月間集計シート!$M$71:$M$90,$G972,月間集計シート!O$71:O$90)*Y$2</f>
        <v>0</v>
      </c>
      <c r="Z972" s="88">
        <f>SUMIF(月間集計シート!$M$71:$M$90,$G972,月間集計シート!P$71:P$90)*Z$2</f>
        <v>0</v>
      </c>
      <c r="AA972" s="88">
        <f>SUMIF(月間集計シート!$M$71:$M$90,$G972,月間集計シート!Q$71:Q$90)*AA$2</f>
        <v>0</v>
      </c>
      <c r="AB972" s="88">
        <f>SUMIF(月間集計シート!$M$71:$M$90,$G972,月間集計シート!R$71:R$90)*AB$2</f>
        <v>0</v>
      </c>
      <c r="AC972" s="88">
        <f>SUMIF(月間集計シート!$M$71:$M$90,$G972,月間集計シート!S$71:S$90)*AC$2</f>
        <v>0</v>
      </c>
      <c r="AD972" s="88">
        <f>SUMIF(月間集計シート!$M$71:$M$90,$G972,月間集計シート!T$71:T$90)*AD$2</f>
        <v>0</v>
      </c>
      <c r="AE972" s="88">
        <f>SUMIF(月間集計シート!$M$92:$M$111,$G972,月間集計シート!N$92:N$111)*AE$2</f>
        <v>0</v>
      </c>
      <c r="AF972" s="88">
        <f>SUMIF(月間集計シート!$M$92:$M$111,$G972,月間集計シート!O$92:O$111)*AF$2</f>
        <v>0</v>
      </c>
      <c r="AG972" s="88">
        <f>SUMIF(月間集計シート!$M$92:$M$111,$G972,月間集計シート!P$92:P$111)*AG$2</f>
        <v>0</v>
      </c>
      <c r="AH972" s="88">
        <f>SUMIF(月間集計シート!$M$92:$M$111,$G972,月間集計シート!Q$92:Q$111)*AH$2</f>
        <v>0</v>
      </c>
      <c r="AI972" s="88">
        <f>SUMIF(月間集計シート!$M$92:$M$111,$G972,月間集計シート!R$92:R$111)*AI$2</f>
        <v>0</v>
      </c>
      <c r="AJ972" s="88">
        <f>SUMIF(月間集計シート!$M$92:$M$111,$G972,月間集計シート!S$92:S$111)*AJ$2</f>
        <v>0</v>
      </c>
      <c r="AK972" s="88">
        <f>SUMIF(月間集計シート!$M$92:$M$111,$G972,月間集計シート!T$92:T$111)*AK$2</f>
        <v>0</v>
      </c>
      <c r="AL972" s="88">
        <f>SUMIF(月間集計シート!$M$113:$M$132,$G972,月間集計シート!N$113:N$132)*AL$2</f>
        <v>0</v>
      </c>
      <c r="AM972" s="88">
        <f>SUMIF(月間集計シート!$M$113:$M$132,$G972,月間集計シート!O$113:O$132)*AM$2</f>
        <v>0</v>
      </c>
      <c r="AN972" s="88">
        <f>SUMIF(月間集計シート!$M$113:$M$132,$G972,月間集計シート!P$113:P$132)*AN$2</f>
        <v>0</v>
      </c>
      <c r="AO972" s="88">
        <f>SUMIF(月間集計シート!$M$113:$M$132,$G972,月間集計シート!Q$113:Q$132)*AO$2</f>
        <v>0</v>
      </c>
      <c r="AP972" s="88">
        <f>SUMIF(月間集計シート!$M$113:$M$132,$G972,月間集計シート!R$113:R$132)*AP$2</f>
        <v>0</v>
      </c>
      <c r="AQ972" s="88">
        <f>SUMIF(月間集計シート!$M$113:$M$132,$G972,月間集計シート!S$113:S$132)*AQ$2</f>
        <v>0</v>
      </c>
      <c r="AR972" s="88">
        <f>SUMIF(月間集計シート!$M$113:$M$132,$G972,月間集計シート!T$113:T$132)*AR$2</f>
        <v>0</v>
      </c>
      <c r="AS972" s="88">
        <f>SUMIF(月間集計シート!$M$134:$M$153,$G972,月間集計シート!N$134:N$153)*AS$2</f>
        <v>0</v>
      </c>
      <c r="AT972" s="88">
        <f>SUMIF(月間集計シート!$M$134:$M$153,$G972,月間集計シート!O$134:O$153)*AT$2</f>
        <v>0</v>
      </c>
      <c r="AU972" s="88">
        <f>SUMIF(月間集計シート!$M$134:$M$153,$G972,月間集計シート!P$134:P$153)*AU$2</f>
        <v>0</v>
      </c>
      <c r="AV972" s="88">
        <f>SUMIF(月間集計シート!$M$134:$M$153,$G972,月間集計シート!Q$134:Q$153)*AV$2</f>
        <v>0</v>
      </c>
      <c r="AW972" s="88">
        <f>SUMIF(月間集計シート!$M$134:$M$153,$G972,月間集計シート!R$134:R$153)*AW$2</f>
        <v>0</v>
      </c>
      <c r="AX972" s="88">
        <f>SUMIF(月間集計シート!$M$134:$M$153,$G972,月間集計シート!S$134:S$153)*AX$2</f>
        <v>0</v>
      </c>
      <c r="AY972" s="88">
        <f>SUMIF(月間集計シート!$M$134:$M$153,$G972,月間集計シート!T$134:T$153)*AY$2</f>
        <v>0</v>
      </c>
    </row>
    <row r="973" spans="1:51" ht="14.25" thickBot="1">
      <c r="A973">
        <v>12</v>
      </c>
      <c r="B973" s="120">
        <f t="shared" si="517"/>
        <v>0</v>
      </c>
      <c r="C973" s="120" t="str">
        <f t="shared" si="518"/>
        <v/>
      </c>
      <c r="D973" s="137"/>
      <c r="E973" s="150" t="str">
        <f>工種!A30</f>
        <v>40108</v>
      </c>
      <c r="F973" s="119" t="str">
        <f>工種!B30</f>
        <v>テスト：総合評価実施</v>
      </c>
      <c r="G973" s="116" t="str">
        <f t="shared" si="519"/>
        <v>040108</v>
      </c>
      <c r="H973" s="88">
        <f t="shared" si="516"/>
        <v>0</v>
      </c>
      <c r="I973" s="132"/>
      <c r="J973" s="88">
        <f>SUMIF(月間集計シート!$M$29:$M$48,$G973,月間集計シート!N$29:N$48)*J$2</f>
        <v>0</v>
      </c>
      <c r="K973" s="88">
        <f>SUMIF(月間集計シート!$M$29:$M$48,$G973,月間集計シート!O$29:O$48)*K$2</f>
        <v>0</v>
      </c>
      <c r="L973" s="88">
        <f>SUMIF(月間集計シート!$M$29:$M$48,$G973,月間集計シート!P$29:P$48)*L$2</f>
        <v>0</v>
      </c>
      <c r="M973" s="88">
        <f>SUMIF(月間集計シート!$M$29:$M$48,$G973,月間集計シート!Q$29:Q$48)*M$2</f>
        <v>0</v>
      </c>
      <c r="N973" s="88">
        <f>SUMIF(月間集計シート!$M$29:$M$48,$G973,月間集計シート!R$29:R$48)*N$2</f>
        <v>0</v>
      </c>
      <c r="O973" s="88">
        <f>SUMIF(月間集計シート!$M$29:$M$48,$G973,月間集計シート!S$29:S$48)*O$2</f>
        <v>0</v>
      </c>
      <c r="P973" s="88">
        <f>SUMIF(月間集計シート!$M$29:$M$48,$G973,月間集計シート!T$29:T$48)*P$2</f>
        <v>0</v>
      </c>
      <c r="Q973" s="88">
        <f>SUMIF(月間集計シート!$M$50:$M$69,$G973,月間集計シート!N$50:N$69)*Q$2</f>
        <v>0</v>
      </c>
      <c r="R973" s="88">
        <f>SUMIF(月間集計シート!$M$50:$M$69,$G973,月間集計シート!O$50:O$69)*R$2</f>
        <v>0</v>
      </c>
      <c r="S973" s="88">
        <f>SUMIF(月間集計シート!$M$50:$M$69,$G973,月間集計シート!P$50:P$69)*S$2</f>
        <v>0</v>
      </c>
      <c r="T973" s="88">
        <f>SUMIF(月間集計シート!$M$50:$M$69,$G973,月間集計シート!Q$50:Q$69)*T$2</f>
        <v>0</v>
      </c>
      <c r="U973" s="88">
        <f>SUMIF(月間集計シート!$M$50:$M$69,$G973,月間集計シート!R$50:R$69)*U$2</f>
        <v>0</v>
      </c>
      <c r="V973" s="88">
        <f>SUMIF(月間集計シート!$M$50:$M$69,$G973,月間集計シート!S$50:S$69)*V$2</f>
        <v>0</v>
      </c>
      <c r="W973" s="88">
        <f>SUMIF(月間集計シート!$M$50:$M$69,$G973,月間集計シート!T$50:T$69)*W$2</f>
        <v>0</v>
      </c>
      <c r="X973" s="88">
        <f>SUMIF(月間集計シート!$M$71:$M$90,$G973,月間集計シート!N$71:N$90)*X$2</f>
        <v>0</v>
      </c>
      <c r="Y973" s="88">
        <f>SUMIF(月間集計シート!$M$71:$M$90,$G973,月間集計シート!O$71:O$90)*Y$2</f>
        <v>0</v>
      </c>
      <c r="Z973" s="88">
        <f>SUMIF(月間集計シート!$M$71:$M$90,$G973,月間集計シート!P$71:P$90)*Z$2</f>
        <v>0</v>
      </c>
      <c r="AA973" s="88">
        <f>SUMIF(月間集計シート!$M$71:$M$90,$G973,月間集計シート!Q$71:Q$90)*AA$2</f>
        <v>0</v>
      </c>
      <c r="AB973" s="88">
        <f>SUMIF(月間集計シート!$M$71:$M$90,$G973,月間集計シート!R$71:R$90)*AB$2</f>
        <v>0</v>
      </c>
      <c r="AC973" s="88">
        <f>SUMIF(月間集計シート!$M$71:$M$90,$G973,月間集計シート!S$71:S$90)*AC$2</f>
        <v>0</v>
      </c>
      <c r="AD973" s="88">
        <f>SUMIF(月間集計シート!$M$71:$M$90,$G973,月間集計シート!T$71:T$90)*AD$2</f>
        <v>0</v>
      </c>
      <c r="AE973" s="88">
        <f>SUMIF(月間集計シート!$M$92:$M$111,$G973,月間集計シート!N$92:N$111)*AE$2</f>
        <v>0</v>
      </c>
      <c r="AF973" s="88">
        <f>SUMIF(月間集計シート!$M$92:$M$111,$G973,月間集計シート!O$92:O$111)*AF$2</f>
        <v>0</v>
      </c>
      <c r="AG973" s="88">
        <f>SUMIF(月間集計シート!$M$92:$M$111,$G973,月間集計シート!P$92:P$111)*AG$2</f>
        <v>0</v>
      </c>
      <c r="AH973" s="88">
        <f>SUMIF(月間集計シート!$M$92:$M$111,$G973,月間集計シート!Q$92:Q$111)*AH$2</f>
        <v>0</v>
      </c>
      <c r="AI973" s="88">
        <f>SUMIF(月間集計シート!$M$92:$M$111,$G973,月間集計シート!R$92:R$111)*AI$2</f>
        <v>0</v>
      </c>
      <c r="AJ973" s="88">
        <f>SUMIF(月間集計シート!$M$92:$M$111,$G973,月間集計シート!S$92:S$111)*AJ$2</f>
        <v>0</v>
      </c>
      <c r="AK973" s="88">
        <f>SUMIF(月間集計シート!$M$92:$M$111,$G973,月間集計シート!T$92:T$111)*AK$2</f>
        <v>0</v>
      </c>
      <c r="AL973" s="88">
        <f>SUMIF(月間集計シート!$M$113:$M$132,$G973,月間集計シート!N$113:N$132)*AL$2</f>
        <v>0</v>
      </c>
      <c r="AM973" s="88">
        <f>SUMIF(月間集計シート!$M$113:$M$132,$G973,月間集計シート!O$113:O$132)*AM$2</f>
        <v>0</v>
      </c>
      <c r="AN973" s="88">
        <f>SUMIF(月間集計シート!$M$113:$M$132,$G973,月間集計シート!P$113:P$132)*AN$2</f>
        <v>0</v>
      </c>
      <c r="AO973" s="88">
        <f>SUMIF(月間集計シート!$M$113:$M$132,$G973,月間集計シート!Q$113:Q$132)*AO$2</f>
        <v>0</v>
      </c>
      <c r="AP973" s="88">
        <f>SUMIF(月間集計シート!$M$113:$M$132,$G973,月間集計シート!R$113:R$132)*AP$2</f>
        <v>0</v>
      </c>
      <c r="AQ973" s="88">
        <f>SUMIF(月間集計シート!$M$113:$M$132,$G973,月間集計シート!S$113:S$132)*AQ$2</f>
        <v>0</v>
      </c>
      <c r="AR973" s="88">
        <f>SUMIF(月間集計シート!$M$113:$M$132,$G973,月間集計シート!T$113:T$132)*AR$2</f>
        <v>0</v>
      </c>
      <c r="AS973" s="88">
        <f>SUMIF(月間集計シート!$M$134:$M$153,$G973,月間集計シート!N$134:N$153)*AS$2</f>
        <v>0</v>
      </c>
      <c r="AT973" s="88">
        <f>SUMIF(月間集計シート!$M$134:$M$153,$G973,月間集計シート!O$134:O$153)*AT$2</f>
        <v>0</v>
      </c>
      <c r="AU973" s="88">
        <f>SUMIF(月間集計シート!$M$134:$M$153,$G973,月間集計シート!P$134:P$153)*AU$2</f>
        <v>0</v>
      </c>
      <c r="AV973" s="88">
        <f>SUMIF(月間集計シート!$M$134:$M$153,$G973,月間集計シート!Q$134:Q$153)*AV$2</f>
        <v>0</v>
      </c>
      <c r="AW973" s="88">
        <f>SUMIF(月間集計シート!$M$134:$M$153,$G973,月間集計シート!R$134:R$153)*AW$2</f>
        <v>0</v>
      </c>
      <c r="AX973" s="88">
        <f>SUMIF(月間集計シート!$M$134:$M$153,$G973,月間集計シート!S$134:S$153)*AX$2</f>
        <v>0</v>
      </c>
      <c r="AY973" s="88">
        <f>SUMIF(月間集計シート!$M$134:$M$153,$G973,月間集計シート!T$134:T$153)*AY$2</f>
        <v>0</v>
      </c>
    </row>
    <row r="974" spans="1:51" ht="14.25" thickBot="1">
      <c r="A974">
        <v>12</v>
      </c>
      <c r="B974" s="120">
        <f t="shared" si="517"/>
        <v>0</v>
      </c>
      <c r="C974" s="120" t="str">
        <f t="shared" si="518"/>
        <v/>
      </c>
      <c r="D974" s="137"/>
      <c r="E974" s="150" t="str">
        <f>工種!A31</f>
        <v>40109</v>
      </c>
      <c r="F974" s="119" t="str">
        <f>工種!B31</f>
        <v>テスト：打合せ</v>
      </c>
      <c r="G974" s="116" t="str">
        <f t="shared" si="519"/>
        <v>040109</v>
      </c>
      <c r="H974" s="88">
        <f t="shared" si="516"/>
        <v>0</v>
      </c>
      <c r="I974" s="132"/>
      <c r="J974" s="88">
        <f>SUMIF(月間集計シート!$M$29:$M$48,$G974,月間集計シート!N$29:N$48)*J$2</f>
        <v>0</v>
      </c>
      <c r="K974" s="88">
        <f>SUMIF(月間集計シート!$M$29:$M$48,$G974,月間集計シート!O$29:O$48)*K$2</f>
        <v>0</v>
      </c>
      <c r="L974" s="88">
        <f>SUMIF(月間集計シート!$M$29:$M$48,$G974,月間集計シート!P$29:P$48)*L$2</f>
        <v>0</v>
      </c>
      <c r="M974" s="88">
        <f>SUMIF(月間集計シート!$M$29:$M$48,$G974,月間集計シート!Q$29:Q$48)*M$2</f>
        <v>0</v>
      </c>
      <c r="N974" s="88">
        <f>SUMIF(月間集計シート!$M$29:$M$48,$G974,月間集計シート!R$29:R$48)*N$2</f>
        <v>0</v>
      </c>
      <c r="O974" s="88">
        <f>SUMIF(月間集計シート!$M$29:$M$48,$G974,月間集計シート!S$29:S$48)*O$2</f>
        <v>0</v>
      </c>
      <c r="P974" s="88">
        <f>SUMIF(月間集計シート!$M$29:$M$48,$G974,月間集計シート!T$29:T$48)*P$2</f>
        <v>0</v>
      </c>
      <c r="Q974" s="88">
        <f>SUMIF(月間集計シート!$M$50:$M$69,$G974,月間集計シート!N$50:N$69)*Q$2</f>
        <v>0</v>
      </c>
      <c r="R974" s="88">
        <f>SUMIF(月間集計シート!$M$50:$M$69,$G974,月間集計シート!O$50:O$69)*R$2</f>
        <v>0</v>
      </c>
      <c r="S974" s="88">
        <f>SUMIF(月間集計シート!$M$50:$M$69,$G974,月間集計シート!P$50:P$69)*S$2</f>
        <v>0</v>
      </c>
      <c r="T974" s="88">
        <f>SUMIF(月間集計シート!$M$50:$M$69,$G974,月間集計シート!Q$50:Q$69)*T$2</f>
        <v>0</v>
      </c>
      <c r="U974" s="88">
        <f>SUMIF(月間集計シート!$M$50:$M$69,$G974,月間集計シート!R$50:R$69)*U$2</f>
        <v>0</v>
      </c>
      <c r="V974" s="88">
        <f>SUMIF(月間集計シート!$M$50:$M$69,$G974,月間集計シート!S$50:S$69)*V$2</f>
        <v>0</v>
      </c>
      <c r="W974" s="88">
        <f>SUMIF(月間集計シート!$M$50:$M$69,$G974,月間集計シート!T$50:T$69)*W$2</f>
        <v>0</v>
      </c>
      <c r="X974" s="88">
        <f>SUMIF(月間集計シート!$M$71:$M$90,$G974,月間集計シート!N$71:N$90)*X$2</f>
        <v>0</v>
      </c>
      <c r="Y974" s="88">
        <f>SUMIF(月間集計シート!$M$71:$M$90,$G974,月間集計シート!O$71:O$90)*Y$2</f>
        <v>0</v>
      </c>
      <c r="Z974" s="88">
        <f>SUMIF(月間集計シート!$M$71:$M$90,$G974,月間集計シート!P$71:P$90)*Z$2</f>
        <v>0</v>
      </c>
      <c r="AA974" s="88">
        <f>SUMIF(月間集計シート!$M$71:$M$90,$G974,月間集計シート!Q$71:Q$90)*AA$2</f>
        <v>0</v>
      </c>
      <c r="AB974" s="88">
        <f>SUMIF(月間集計シート!$M$71:$M$90,$G974,月間集計シート!R$71:R$90)*AB$2</f>
        <v>0</v>
      </c>
      <c r="AC974" s="88">
        <f>SUMIF(月間集計シート!$M$71:$M$90,$G974,月間集計シート!S$71:S$90)*AC$2</f>
        <v>0</v>
      </c>
      <c r="AD974" s="88">
        <f>SUMIF(月間集計シート!$M$71:$M$90,$G974,月間集計シート!T$71:T$90)*AD$2</f>
        <v>0</v>
      </c>
      <c r="AE974" s="88">
        <f>SUMIF(月間集計シート!$M$92:$M$111,$G974,月間集計シート!N$92:N$111)*AE$2</f>
        <v>0</v>
      </c>
      <c r="AF974" s="88">
        <f>SUMIF(月間集計シート!$M$92:$M$111,$G974,月間集計シート!O$92:O$111)*AF$2</f>
        <v>0</v>
      </c>
      <c r="AG974" s="88">
        <f>SUMIF(月間集計シート!$M$92:$M$111,$G974,月間集計シート!P$92:P$111)*AG$2</f>
        <v>0</v>
      </c>
      <c r="AH974" s="88">
        <f>SUMIF(月間集計シート!$M$92:$M$111,$G974,月間集計シート!Q$92:Q$111)*AH$2</f>
        <v>0</v>
      </c>
      <c r="AI974" s="88">
        <f>SUMIF(月間集計シート!$M$92:$M$111,$G974,月間集計シート!R$92:R$111)*AI$2</f>
        <v>0</v>
      </c>
      <c r="AJ974" s="88">
        <f>SUMIF(月間集計シート!$M$92:$M$111,$G974,月間集計シート!S$92:S$111)*AJ$2</f>
        <v>0</v>
      </c>
      <c r="AK974" s="88">
        <f>SUMIF(月間集計シート!$M$92:$M$111,$G974,月間集計シート!T$92:T$111)*AK$2</f>
        <v>0</v>
      </c>
      <c r="AL974" s="88">
        <f>SUMIF(月間集計シート!$M$113:$M$132,$G974,月間集計シート!N$113:N$132)*AL$2</f>
        <v>0</v>
      </c>
      <c r="AM974" s="88">
        <f>SUMIF(月間集計シート!$M$113:$M$132,$G974,月間集計シート!O$113:O$132)*AM$2</f>
        <v>0</v>
      </c>
      <c r="AN974" s="88">
        <f>SUMIF(月間集計シート!$M$113:$M$132,$G974,月間集計シート!P$113:P$132)*AN$2</f>
        <v>0</v>
      </c>
      <c r="AO974" s="88">
        <f>SUMIF(月間集計シート!$M$113:$M$132,$G974,月間集計シート!Q$113:Q$132)*AO$2</f>
        <v>0</v>
      </c>
      <c r="AP974" s="88">
        <f>SUMIF(月間集計シート!$M$113:$M$132,$G974,月間集計シート!R$113:R$132)*AP$2</f>
        <v>0</v>
      </c>
      <c r="AQ974" s="88">
        <f>SUMIF(月間集計シート!$M$113:$M$132,$G974,月間集計シート!S$113:S$132)*AQ$2</f>
        <v>0</v>
      </c>
      <c r="AR974" s="88">
        <f>SUMIF(月間集計シート!$M$113:$M$132,$G974,月間集計シート!T$113:T$132)*AR$2</f>
        <v>0</v>
      </c>
      <c r="AS974" s="88">
        <f>SUMIF(月間集計シート!$M$134:$M$153,$G974,月間集計シート!N$134:N$153)*AS$2</f>
        <v>0</v>
      </c>
      <c r="AT974" s="88">
        <f>SUMIF(月間集計シート!$M$134:$M$153,$G974,月間集計シート!O$134:O$153)*AT$2</f>
        <v>0</v>
      </c>
      <c r="AU974" s="88">
        <f>SUMIF(月間集計シート!$M$134:$M$153,$G974,月間集計シート!P$134:P$153)*AU$2</f>
        <v>0</v>
      </c>
      <c r="AV974" s="88">
        <f>SUMIF(月間集計シート!$M$134:$M$153,$G974,月間集計シート!Q$134:Q$153)*AV$2</f>
        <v>0</v>
      </c>
      <c r="AW974" s="88">
        <f>SUMIF(月間集計シート!$M$134:$M$153,$G974,月間集計シート!R$134:R$153)*AW$2</f>
        <v>0</v>
      </c>
      <c r="AX974" s="88">
        <f>SUMIF(月間集計シート!$M$134:$M$153,$G974,月間集計シート!S$134:S$153)*AX$2</f>
        <v>0</v>
      </c>
      <c r="AY974" s="88">
        <f>SUMIF(月間集計シート!$M$134:$M$153,$G974,月間集計シート!T$134:T$153)*AY$2</f>
        <v>0</v>
      </c>
    </row>
    <row r="975" spans="1:51" ht="14.25" thickBot="1">
      <c r="A975">
        <v>12</v>
      </c>
      <c r="B975" s="120">
        <f t="shared" si="517"/>
        <v>0</v>
      </c>
      <c r="C975" s="120" t="str">
        <f t="shared" si="518"/>
        <v/>
      </c>
      <c r="D975" s="137"/>
      <c r="E975" s="150" t="str">
        <f>工種!A32</f>
        <v>40110</v>
      </c>
      <c r="F975" s="119" t="str">
        <f>工種!B32</f>
        <v>テスト：レビュー</v>
      </c>
      <c r="G975" s="116" t="str">
        <f t="shared" si="519"/>
        <v>040110</v>
      </c>
      <c r="H975" s="88">
        <f t="shared" si="516"/>
        <v>0</v>
      </c>
      <c r="I975" s="132"/>
      <c r="J975" s="88">
        <f>SUMIF(月間集計シート!$M$29:$M$48,$G975,月間集計シート!N$29:N$48)*J$2</f>
        <v>0</v>
      </c>
      <c r="K975" s="88">
        <f>SUMIF(月間集計シート!$M$29:$M$48,$G975,月間集計シート!O$29:O$48)*K$2</f>
        <v>0</v>
      </c>
      <c r="L975" s="88">
        <f>SUMIF(月間集計シート!$M$29:$M$48,$G975,月間集計シート!P$29:P$48)*L$2</f>
        <v>0</v>
      </c>
      <c r="M975" s="88">
        <f>SUMIF(月間集計シート!$M$29:$M$48,$G975,月間集計シート!Q$29:Q$48)*M$2</f>
        <v>0</v>
      </c>
      <c r="N975" s="88">
        <f>SUMIF(月間集計シート!$M$29:$M$48,$G975,月間集計シート!R$29:R$48)*N$2</f>
        <v>0</v>
      </c>
      <c r="O975" s="88">
        <f>SUMIF(月間集計シート!$M$29:$M$48,$G975,月間集計シート!S$29:S$48)*O$2</f>
        <v>0</v>
      </c>
      <c r="P975" s="88">
        <f>SUMIF(月間集計シート!$M$29:$M$48,$G975,月間集計シート!T$29:T$48)*P$2</f>
        <v>0</v>
      </c>
      <c r="Q975" s="88">
        <f>SUMIF(月間集計シート!$M$50:$M$69,$G975,月間集計シート!N$50:N$69)*Q$2</f>
        <v>0</v>
      </c>
      <c r="R975" s="88">
        <f>SUMIF(月間集計シート!$M$50:$M$69,$G975,月間集計シート!O$50:O$69)*R$2</f>
        <v>0</v>
      </c>
      <c r="S975" s="88">
        <f>SUMIF(月間集計シート!$M$50:$M$69,$G975,月間集計シート!P$50:P$69)*S$2</f>
        <v>0</v>
      </c>
      <c r="T975" s="88">
        <f>SUMIF(月間集計シート!$M$50:$M$69,$G975,月間集計シート!Q$50:Q$69)*T$2</f>
        <v>0</v>
      </c>
      <c r="U975" s="88">
        <f>SUMIF(月間集計シート!$M$50:$M$69,$G975,月間集計シート!R$50:R$69)*U$2</f>
        <v>0</v>
      </c>
      <c r="V975" s="88">
        <f>SUMIF(月間集計シート!$M$50:$M$69,$G975,月間集計シート!S$50:S$69)*V$2</f>
        <v>0</v>
      </c>
      <c r="W975" s="88">
        <f>SUMIF(月間集計シート!$M$50:$M$69,$G975,月間集計シート!T$50:T$69)*W$2</f>
        <v>0</v>
      </c>
      <c r="X975" s="88">
        <f>SUMIF(月間集計シート!$M$71:$M$90,$G975,月間集計シート!N$71:N$90)*X$2</f>
        <v>0</v>
      </c>
      <c r="Y975" s="88">
        <f>SUMIF(月間集計シート!$M$71:$M$90,$G975,月間集計シート!O$71:O$90)*Y$2</f>
        <v>0</v>
      </c>
      <c r="Z975" s="88">
        <f>SUMIF(月間集計シート!$M$71:$M$90,$G975,月間集計シート!P$71:P$90)*Z$2</f>
        <v>0</v>
      </c>
      <c r="AA975" s="88">
        <f>SUMIF(月間集計シート!$M$71:$M$90,$G975,月間集計シート!Q$71:Q$90)*AA$2</f>
        <v>0</v>
      </c>
      <c r="AB975" s="88">
        <f>SUMIF(月間集計シート!$M$71:$M$90,$G975,月間集計シート!R$71:R$90)*AB$2</f>
        <v>0</v>
      </c>
      <c r="AC975" s="88">
        <f>SUMIF(月間集計シート!$M$71:$M$90,$G975,月間集計シート!S$71:S$90)*AC$2</f>
        <v>0</v>
      </c>
      <c r="AD975" s="88">
        <f>SUMIF(月間集計シート!$M$71:$M$90,$G975,月間集計シート!T$71:T$90)*AD$2</f>
        <v>0</v>
      </c>
      <c r="AE975" s="88">
        <f>SUMIF(月間集計シート!$M$92:$M$111,$G975,月間集計シート!N$92:N$111)*AE$2</f>
        <v>0</v>
      </c>
      <c r="AF975" s="88">
        <f>SUMIF(月間集計シート!$M$92:$M$111,$G975,月間集計シート!O$92:O$111)*AF$2</f>
        <v>0</v>
      </c>
      <c r="AG975" s="88">
        <f>SUMIF(月間集計シート!$M$92:$M$111,$G975,月間集計シート!P$92:P$111)*AG$2</f>
        <v>0</v>
      </c>
      <c r="AH975" s="88">
        <f>SUMIF(月間集計シート!$M$92:$M$111,$G975,月間集計シート!Q$92:Q$111)*AH$2</f>
        <v>0</v>
      </c>
      <c r="AI975" s="88">
        <f>SUMIF(月間集計シート!$M$92:$M$111,$G975,月間集計シート!R$92:R$111)*AI$2</f>
        <v>0</v>
      </c>
      <c r="AJ975" s="88">
        <f>SUMIF(月間集計シート!$M$92:$M$111,$G975,月間集計シート!S$92:S$111)*AJ$2</f>
        <v>0</v>
      </c>
      <c r="AK975" s="88">
        <f>SUMIF(月間集計シート!$M$92:$M$111,$G975,月間集計シート!T$92:T$111)*AK$2</f>
        <v>0</v>
      </c>
      <c r="AL975" s="88">
        <f>SUMIF(月間集計シート!$M$113:$M$132,$G975,月間集計シート!N$113:N$132)*AL$2</f>
        <v>0</v>
      </c>
      <c r="AM975" s="88">
        <f>SUMIF(月間集計シート!$M$113:$M$132,$G975,月間集計シート!O$113:O$132)*AM$2</f>
        <v>0</v>
      </c>
      <c r="AN975" s="88">
        <f>SUMIF(月間集計シート!$M$113:$M$132,$G975,月間集計シート!P$113:P$132)*AN$2</f>
        <v>0</v>
      </c>
      <c r="AO975" s="88">
        <f>SUMIF(月間集計シート!$M$113:$M$132,$G975,月間集計シート!Q$113:Q$132)*AO$2</f>
        <v>0</v>
      </c>
      <c r="AP975" s="88">
        <f>SUMIF(月間集計シート!$M$113:$M$132,$G975,月間集計シート!R$113:R$132)*AP$2</f>
        <v>0</v>
      </c>
      <c r="AQ975" s="88">
        <f>SUMIF(月間集計シート!$M$113:$M$132,$G975,月間集計シート!S$113:S$132)*AQ$2</f>
        <v>0</v>
      </c>
      <c r="AR975" s="88">
        <f>SUMIF(月間集計シート!$M$113:$M$132,$G975,月間集計シート!T$113:T$132)*AR$2</f>
        <v>0</v>
      </c>
      <c r="AS975" s="88">
        <f>SUMIF(月間集計シート!$M$134:$M$153,$G975,月間集計シート!N$134:N$153)*AS$2</f>
        <v>0</v>
      </c>
      <c r="AT975" s="88">
        <f>SUMIF(月間集計シート!$M$134:$M$153,$G975,月間集計シート!O$134:O$153)*AT$2</f>
        <v>0</v>
      </c>
      <c r="AU975" s="88">
        <f>SUMIF(月間集計シート!$M$134:$M$153,$G975,月間集計シート!P$134:P$153)*AU$2</f>
        <v>0</v>
      </c>
      <c r="AV975" s="88">
        <f>SUMIF(月間集計シート!$M$134:$M$153,$G975,月間集計シート!Q$134:Q$153)*AV$2</f>
        <v>0</v>
      </c>
      <c r="AW975" s="88">
        <f>SUMIF(月間集計シート!$M$134:$M$153,$G975,月間集計シート!R$134:R$153)*AW$2</f>
        <v>0</v>
      </c>
      <c r="AX975" s="88">
        <f>SUMIF(月間集計シート!$M$134:$M$153,$G975,月間集計シート!S$134:S$153)*AX$2</f>
        <v>0</v>
      </c>
      <c r="AY975" s="88">
        <f>SUMIF(月間集計シート!$M$134:$M$153,$G975,月間集計シート!T$134:T$153)*AY$2</f>
        <v>0</v>
      </c>
    </row>
    <row r="976" spans="1:51" ht="14.25" thickBot="1">
      <c r="A976">
        <v>12</v>
      </c>
      <c r="B976" s="120">
        <f t="shared" si="517"/>
        <v>0</v>
      </c>
      <c r="C976" s="120" t="str">
        <f t="shared" si="518"/>
        <v/>
      </c>
      <c r="D976" s="137"/>
      <c r="E976" s="150" t="str">
        <f>工種!A33</f>
        <v>40111</v>
      </c>
      <c r="F976" s="119" t="str">
        <f>工種!B33</f>
        <v>テスト：PG修正（手戻り分）</v>
      </c>
      <c r="G976" s="116" t="str">
        <f t="shared" si="519"/>
        <v>040111</v>
      </c>
      <c r="H976" s="88">
        <f t="shared" si="516"/>
        <v>0</v>
      </c>
      <c r="I976" s="132"/>
      <c r="J976" s="88">
        <f>SUMIF(月間集計シート!$M$29:$M$48,$G976,月間集計シート!N$29:N$48)*J$2</f>
        <v>0</v>
      </c>
      <c r="K976" s="88">
        <f>SUMIF(月間集計シート!$M$29:$M$48,$G976,月間集計シート!O$29:O$48)*K$2</f>
        <v>0</v>
      </c>
      <c r="L976" s="88">
        <f>SUMIF(月間集計シート!$M$29:$M$48,$G976,月間集計シート!P$29:P$48)*L$2</f>
        <v>0</v>
      </c>
      <c r="M976" s="88">
        <f>SUMIF(月間集計シート!$M$29:$M$48,$G976,月間集計シート!Q$29:Q$48)*M$2</f>
        <v>0</v>
      </c>
      <c r="N976" s="88">
        <f>SUMIF(月間集計シート!$M$29:$M$48,$G976,月間集計シート!R$29:R$48)*N$2</f>
        <v>0</v>
      </c>
      <c r="O976" s="88">
        <f>SUMIF(月間集計シート!$M$29:$M$48,$G976,月間集計シート!S$29:S$48)*O$2</f>
        <v>0</v>
      </c>
      <c r="P976" s="88">
        <f>SUMIF(月間集計シート!$M$29:$M$48,$G976,月間集計シート!T$29:T$48)*P$2</f>
        <v>0</v>
      </c>
      <c r="Q976" s="88">
        <f>SUMIF(月間集計シート!$M$50:$M$69,$G976,月間集計シート!N$50:N$69)*Q$2</f>
        <v>0</v>
      </c>
      <c r="R976" s="88">
        <f>SUMIF(月間集計シート!$M$50:$M$69,$G976,月間集計シート!O$50:O$69)*R$2</f>
        <v>0</v>
      </c>
      <c r="S976" s="88">
        <f>SUMIF(月間集計シート!$M$50:$M$69,$G976,月間集計シート!P$50:P$69)*S$2</f>
        <v>0</v>
      </c>
      <c r="T976" s="88">
        <f>SUMIF(月間集計シート!$M$50:$M$69,$G976,月間集計シート!Q$50:Q$69)*T$2</f>
        <v>0</v>
      </c>
      <c r="U976" s="88">
        <f>SUMIF(月間集計シート!$M$50:$M$69,$G976,月間集計シート!R$50:R$69)*U$2</f>
        <v>0</v>
      </c>
      <c r="V976" s="88">
        <f>SUMIF(月間集計シート!$M$50:$M$69,$G976,月間集計シート!S$50:S$69)*V$2</f>
        <v>0</v>
      </c>
      <c r="W976" s="88">
        <f>SUMIF(月間集計シート!$M$50:$M$69,$G976,月間集計シート!T$50:T$69)*W$2</f>
        <v>0</v>
      </c>
      <c r="X976" s="88">
        <f>SUMIF(月間集計シート!$M$71:$M$90,$G976,月間集計シート!N$71:N$90)*X$2</f>
        <v>0</v>
      </c>
      <c r="Y976" s="88">
        <f>SUMIF(月間集計シート!$M$71:$M$90,$G976,月間集計シート!O$71:O$90)*Y$2</f>
        <v>0</v>
      </c>
      <c r="Z976" s="88">
        <f>SUMIF(月間集計シート!$M$71:$M$90,$G976,月間集計シート!P$71:P$90)*Z$2</f>
        <v>0</v>
      </c>
      <c r="AA976" s="88">
        <f>SUMIF(月間集計シート!$M$71:$M$90,$G976,月間集計シート!Q$71:Q$90)*AA$2</f>
        <v>0</v>
      </c>
      <c r="AB976" s="88">
        <f>SUMIF(月間集計シート!$M$71:$M$90,$G976,月間集計シート!R$71:R$90)*AB$2</f>
        <v>0</v>
      </c>
      <c r="AC976" s="88">
        <f>SUMIF(月間集計シート!$M$71:$M$90,$G976,月間集計シート!S$71:S$90)*AC$2</f>
        <v>0</v>
      </c>
      <c r="AD976" s="88">
        <f>SUMIF(月間集計シート!$M$71:$M$90,$G976,月間集計シート!T$71:T$90)*AD$2</f>
        <v>0</v>
      </c>
      <c r="AE976" s="88">
        <f>SUMIF(月間集計シート!$M$92:$M$111,$G976,月間集計シート!N$92:N$111)*AE$2</f>
        <v>0</v>
      </c>
      <c r="AF976" s="88">
        <f>SUMIF(月間集計シート!$M$92:$M$111,$G976,月間集計シート!O$92:O$111)*AF$2</f>
        <v>0</v>
      </c>
      <c r="AG976" s="88">
        <f>SUMIF(月間集計シート!$M$92:$M$111,$G976,月間集計シート!P$92:P$111)*AG$2</f>
        <v>0</v>
      </c>
      <c r="AH976" s="88">
        <f>SUMIF(月間集計シート!$M$92:$M$111,$G976,月間集計シート!Q$92:Q$111)*AH$2</f>
        <v>0</v>
      </c>
      <c r="AI976" s="88">
        <f>SUMIF(月間集計シート!$M$92:$M$111,$G976,月間集計シート!R$92:R$111)*AI$2</f>
        <v>0</v>
      </c>
      <c r="AJ976" s="88">
        <f>SUMIF(月間集計シート!$M$92:$M$111,$G976,月間集計シート!S$92:S$111)*AJ$2</f>
        <v>0</v>
      </c>
      <c r="AK976" s="88">
        <f>SUMIF(月間集計シート!$M$92:$M$111,$G976,月間集計シート!T$92:T$111)*AK$2</f>
        <v>0</v>
      </c>
      <c r="AL976" s="88">
        <f>SUMIF(月間集計シート!$M$113:$M$132,$G976,月間集計シート!N$113:N$132)*AL$2</f>
        <v>0</v>
      </c>
      <c r="AM976" s="88">
        <f>SUMIF(月間集計シート!$M$113:$M$132,$G976,月間集計シート!O$113:O$132)*AM$2</f>
        <v>0</v>
      </c>
      <c r="AN976" s="88">
        <f>SUMIF(月間集計シート!$M$113:$M$132,$G976,月間集計シート!P$113:P$132)*AN$2</f>
        <v>0</v>
      </c>
      <c r="AO976" s="88">
        <f>SUMIF(月間集計シート!$M$113:$M$132,$G976,月間集計シート!Q$113:Q$132)*AO$2</f>
        <v>0</v>
      </c>
      <c r="AP976" s="88">
        <f>SUMIF(月間集計シート!$M$113:$M$132,$G976,月間集計シート!R$113:R$132)*AP$2</f>
        <v>0</v>
      </c>
      <c r="AQ976" s="88">
        <f>SUMIF(月間集計シート!$M$113:$M$132,$G976,月間集計シート!S$113:S$132)*AQ$2</f>
        <v>0</v>
      </c>
      <c r="AR976" s="88">
        <f>SUMIF(月間集計シート!$M$113:$M$132,$G976,月間集計シート!T$113:T$132)*AR$2</f>
        <v>0</v>
      </c>
      <c r="AS976" s="88">
        <f>SUMIF(月間集計シート!$M$134:$M$153,$G976,月間集計シート!N$134:N$153)*AS$2</f>
        <v>0</v>
      </c>
      <c r="AT976" s="88">
        <f>SUMIF(月間集計シート!$M$134:$M$153,$G976,月間集計シート!O$134:O$153)*AT$2</f>
        <v>0</v>
      </c>
      <c r="AU976" s="88">
        <f>SUMIF(月間集計シート!$M$134:$M$153,$G976,月間集計シート!P$134:P$153)*AU$2</f>
        <v>0</v>
      </c>
      <c r="AV976" s="88">
        <f>SUMIF(月間集計シート!$M$134:$M$153,$G976,月間集計シート!Q$134:Q$153)*AV$2</f>
        <v>0</v>
      </c>
      <c r="AW976" s="88">
        <f>SUMIF(月間集計シート!$M$134:$M$153,$G976,月間集計シート!R$134:R$153)*AW$2</f>
        <v>0</v>
      </c>
      <c r="AX976" s="88">
        <f>SUMIF(月間集計シート!$M$134:$M$153,$G976,月間集計シート!S$134:S$153)*AX$2</f>
        <v>0</v>
      </c>
      <c r="AY976" s="88">
        <f>SUMIF(月間集計シート!$M$134:$M$153,$G976,月間集計シート!T$134:T$153)*AY$2</f>
        <v>0</v>
      </c>
    </row>
    <row r="977" spans="1:51" ht="14.25" thickBot="1">
      <c r="A977">
        <v>12</v>
      </c>
      <c r="B977" s="120">
        <f t="shared" si="517"/>
        <v>0</v>
      </c>
      <c r="C977" s="120" t="str">
        <f t="shared" si="518"/>
        <v/>
      </c>
      <c r="D977" s="137"/>
      <c r="E977" s="150" t="str">
        <f>工種!A34</f>
        <v>40112</v>
      </c>
      <c r="F977" s="119" t="str">
        <f>工種!B34</f>
        <v>テスト：再テスト（手戻り分）</v>
      </c>
      <c r="G977" s="116" t="str">
        <f t="shared" si="519"/>
        <v>040112</v>
      </c>
      <c r="H977" s="88">
        <f t="shared" si="516"/>
        <v>0</v>
      </c>
      <c r="I977" s="132"/>
      <c r="J977" s="88">
        <f>SUMIF(月間集計シート!$M$29:$M$48,$G977,月間集計シート!N$29:N$48)*J$2</f>
        <v>0</v>
      </c>
      <c r="K977" s="88">
        <f>SUMIF(月間集計シート!$M$29:$M$48,$G977,月間集計シート!O$29:O$48)*K$2</f>
        <v>0</v>
      </c>
      <c r="L977" s="88">
        <f>SUMIF(月間集計シート!$M$29:$M$48,$G977,月間集計シート!P$29:P$48)*L$2</f>
        <v>0</v>
      </c>
      <c r="M977" s="88">
        <f>SUMIF(月間集計シート!$M$29:$M$48,$G977,月間集計シート!Q$29:Q$48)*M$2</f>
        <v>0</v>
      </c>
      <c r="N977" s="88">
        <f>SUMIF(月間集計シート!$M$29:$M$48,$G977,月間集計シート!R$29:R$48)*N$2</f>
        <v>0</v>
      </c>
      <c r="O977" s="88">
        <f>SUMIF(月間集計シート!$M$29:$M$48,$G977,月間集計シート!S$29:S$48)*O$2</f>
        <v>0</v>
      </c>
      <c r="P977" s="88">
        <f>SUMIF(月間集計シート!$M$29:$M$48,$G977,月間集計シート!T$29:T$48)*P$2</f>
        <v>0</v>
      </c>
      <c r="Q977" s="88">
        <f>SUMIF(月間集計シート!$M$50:$M$69,$G977,月間集計シート!N$50:N$69)*Q$2</f>
        <v>0</v>
      </c>
      <c r="R977" s="88">
        <f>SUMIF(月間集計シート!$M$50:$M$69,$G977,月間集計シート!O$50:O$69)*R$2</f>
        <v>0</v>
      </c>
      <c r="S977" s="88">
        <f>SUMIF(月間集計シート!$M$50:$M$69,$G977,月間集計シート!P$50:P$69)*S$2</f>
        <v>0</v>
      </c>
      <c r="T977" s="88">
        <f>SUMIF(月間集計シート!$M$50:$M$69,$G977,月間集計シート!Q$50:Q$69)*T$2</f>
        <v>0</v>
      </c>
      <c r="U977" s="88">
        <f>SUMIF(月間集計シート!$M$50:$M$69,$G977,月間集計シート!R$50:R$69)*U$2</f>
        <v>0</v>
      </c>
      <c r="V977" s="88">
        <f>SUMIF(月間集計シート!$M$50:$M$69,$G977,月間集計シート!S$50:S$69)*V$2</f>
        <v>0</v>
      </c>
      <c r="W977" s="88">
        <f>SUMIF(月間集計シート!$M$50:$M$69,$G977,月間集計シート!T$50:T$69)*W$2</f>
        <v>0</v>
      </c>
      <c r="X977" s="88">
        <f>SUMIF(月間集計シート!$M$71:$M$90,$G977,月間集計シート!N$71:N$90)*X$2</f>
        <v>0</v>
      </c>
      <c r="Y977" s="88">
        <f>SUMIF(月間集計シート!$M$71:$M$90,$G977,月間集計シート!O$71:O$90)*Y$2</f>
        <v>0</v>
      </c>
      <c r="Z977" s="88">
        <f>SUMIF(月間集計シート!$M$71:$M$90,$G977,月間集計シート!P$71:P$90)*Z$2</f>
        <v>0</v>
      </c>
      <c r="AA977" s="88">
        <f>SUMIF(月間集計シート!$M$71:$M$90,$G977,月間集計シート!Q$71:Q$90)*AA$2</f>
        <v>0</v>
      </c>
      <c r="AB977" s="88">
        <f>SUMIF(月間集計シート!$M$71:$M$90,$G977,月間集計シート!R$71:R$90)*AB$2</f>
        <v>0</v>
      </c>
      <c r="AC977" s="88">
        <f>SUMIF(月間集計シート!$M$71:$M$90,$G977,月間集計シート!S$71:S$90)*AC$2</f>
        <v>0</v>
      </c>
      <c r="AD977" s="88">
        <f>SUMIF(月間集計シート!$M$71:$M$90,$G977,月間集計シート!T$71:T$90)*AD$2</f>
        <v>0</v>
      </c>
      <c r="AE977" s="88">
        <f>SUMIF(月間集計シート!$M$92:$M$111,$G977,月間集計シート!N$92:N$111)*AE$2</f>
        <v>0</v>
      </c>
      <c r="AF977" s="88">
        <f>SUMIF(月間集計シート!$M$92:$M$111,$G977,月間集計シート!O$92:O$111)*AF$2</f>
        <v>0</v>
      </c>
      <c r="AG977" s="88">
        <f>SUMIF(月間集計シート!$M$92:$M$111,$G977,月間集計シート!P$92:P$111)*AG$2</f>
        <v>0</v>
      </c>
      <c r="AH977" s="88">
        <f>SUMIF(月間集計シート!$M$92:$M$111,$G977,月間集計シート!Q$92:Q$111)*AH$2</f>
        <v>0</v>
      </c>
      <c r="AI977" s="88">
        <f>SUMIF(月間集計シート!$M$92:$M$111,$G977,月間集計シート!R$92:R$111)*AI$2</f>
        <v>0</v>
      </c>
      <c r="AJ977" s="88">
        <f>SUMIF(月間集計シート!$M$92:$M$111,$G977,月間集計シート!S$92:S$111)*AJ$2</f>
        <v>0</v>
      </c>
      <c r="AK977" s="88">
        <f>SUMIF(月間集計シート!$M$92:$M$111,$G977,月間集計シート!T$92:T$111)*AK$2</f>
        <v>0</v>
      </c>
      <c r="AL977" s="88">
        <f>SUMIF(月間集計シート!$M$113:$M$132,$G977,月間集計シート!N$113:N$132)*AL$2</f>
        <v>0</v>
      </c>
      <c r="AM977" s="88">
        <f>SUMIF(月間集計シート!$M$113:$M$132,$G977,月間集計シート!O$113:O$132)*AM$2</f>
        <v>0</v>
      </c>
      <c r="AN977" s="88">
        <f>SUMIF(月間集計シート!$M$113:$M$132,$G977,月間集計シート!P$113:P$132)*AN$2</f>
        <v>0</v>
      </c>
      <c r="AO977" s="88">
        <f>SUMIF(月間集計シート!$M$113:$M$132,$G977,月間集計シート!Q$113:Q$132)*AO$2</f>
        <v>0</v>
      </c>
      <c r="AP977" s="88">
        <f>SUMIF(月間集計シート!$M$113:$M$132,$G977,月間集計シート!R$113:R$132)*AP$2</f>
        <v>0</v>
      </c>
      <c r="AQ977" s="88">
        <f>SUMIF(月間集計シート!$M$113:$M$132,$G977,月間集計シート!S$113:S$132)*AQ$2</f>
        <v>0</v>
      </c>
      <c r="AR977" s="88">
        <f>SUMIF(月間集計シート!$M$113:$M$132,$G977,月間集計シート!T$113:T$132)*AR$2</f>
        <v>0</v>
      </c>
      <c r="AS977" s="88">
        <f>SUMIF(月間集計シート!$M$134:$M$153,$G977,月間集計シート!N$134:N$153)*AS$2</f>
        <v>0</v>
      </c>
      <c r="AT977" s="88">
        <f>SUMIF(月間集計シート!$M$134:$M$153,$G977,月間集計シート!O$134:O$153)*AT$2</f>
        <v>0</v>
      </c>
      <c r="AU977" s="88">
        <f>SUMIF(月間集計シート!$M$134:$M$153,$G977,月間集計シート!P$134:P$153)*AU$2</f>
        <v>0</v>
      </c>
      <c r="AV977" s="88">
        <f>SUMIF(月間集計シート!$M$134:$M$153,$G977,月間集計シート!Q$134:Q$153)*AV$2</f>
        <v>0</v>
      </c>
      <c r="AW977" s="88">
        <f>SUMIF(月間集計シート!$M$134:$M$153,$G977,月間集計シート!R$134:R$153)*AW$2</f>
        <v>0</v>
      </c>
      <c r="AX977" s="88">
        <f>SUMIF(月間集計シート!$M$134:$M$153,$G977,月間集計シート!S$134:S$153)*AX$2</f>
        <v>0</v>
      </c>
      <c r="AY977" s="88">
        <f>SUMIF(月間集計シート!$M$134:$M$153,$G977,月間集計シート!T$134:T$153)*AY$2</f>
        <v>0</v>
      </c>
    </row>
    <row r="978" spans="1:51" ht="14.25" thickBot="1">
      <c r="A978">
        <v>12</v>
      </c>
      <c r="B978" s="120">
        <f t="shared" si="517"/>
        <v>0</v>
      </c>
      <c r="C978" s="120" t="str">
        <f t="shared" si="518"/>
        <v/>
      </c>
      <c r="D978" s="137"/>
      <c r="E978" s="150" t="str">
        <f>工種!A35</f>
        <v>40113</v>
      </c>
      <c r="F978" s="119" t="str">
        <f>工種!B35</f>
        <v>テスト：QA対応</v>
      </c>
      <c r="G978" s="116" t="str">
        <f t="shared" si="519"/>
        <v>040113</v>
      </c>
      <c r="H978" s="88">
        <f t="shared" si="516"/>
        <v>0</v>
      </c>
      <c r="I978" s="132"/>
      <c r="J978" s="88">
        <f>SUMIF(月間集計シート!$M$29:$M$48,$G978,月間集計シート!N$29:N$48)*J$2</f>
        <v>0</v>
      </c>
      <c r="K978" s="88">
        <f>SUMIF(月間集計シート!$M$29:$M$48,$G978,月間集計シート!O$29:O$48)*K$2</f>
        <v>0</v>
      </c>
      <c r="L978" s="88">
        <f>SUMIF(月間集計シート!$M$29:$M$48,$G978,月間集計シート!P$29:P$48)*L$2</f>
        <v>0</v>
      </c>
      <c r="M978" s="88">
        <f>SUMIF(月間集計シート!$M$29:$M$48,$G978,月間集計シート!Q$29:Q$48)*M$2</f>
        <v>0</v>
      </c>
      <c r="N978" s="88">
        <f>SUMIF(月間集計シート!$M$29:$M$48,$G978,月間集計シート!R$29:R$48)*N$2</f>
        <v>0</v>
      </c>
      <c r="O978" s="88">
        <f>SUMIF(月間集計シート!$M$29:$M$48,$G978,月間集計シート!S$29:S$48)*O$2</f>
        <v>0</v>
      </c>
      <c r="P978" s="88">
        <f>SUMIF(月間集計シート!$M$29:$M$48,$G978,月間集計シート!T$29:T$48)*P$2</f>
        <v>0</v>
      </c>
      <c r="Q978" s="88">
        <f>SUMIF(月間集計シート!$M$50:$M$69,$G978,月間集計シート!N$50:N$69)*Q$2</f>
        <v>0</v>
      </c>
      <c r="R978" s="88">
        <f>SUMIF(月間集計シート!$M$50:$M$69,$G978,月間集計シート!O$50:O$69)*R$2</f>
        <v>0</v>
      </c>
      <c r="S978" s="88">
        <f>SUMIF(月間集計シート!$M$50:$M$69,$G978,月間集計シート!P$50:P$69)*S$2</f>
        <v>0</v>
      </c>
      <c r="T978" s="88">
        <f>SUMIF(月間集計シート!$M$50:$M$69,$G978,月間集計シート!Q$50:Q$69)*T$2</f>
        <v>0</v>
      </c>
      <c r="U978" s="88">
        <f>SUMIF(月間集計シート!$M$50:$M$69,$G978,月間集計シート!R$50:R$69)*U$2</f>
        <v>0</v>
      </c>
      <c r="V978" s="88">
        <f>SUMIF(月間集計シート!$M$50:$M$69,$G978,月間集計シート!S$50:S$69)*V$2</f>
        <v>0</v>
      </c>
      <c r="W978" s="88">
        <f>SUMIF(月間集計シート!$M$50:$M$69,$G978,月間集計シート!T$50:T$69)*W$2</f>
        <v>0</v>
      </c>
      <c r="X978" s="88">
        <f>SUMIF(月間集計シート!$M$71:$M$90,$G978,月間集計シート!N$71:N$90)*X$2</f>
        <v>0</v>
      </c>
      <c r="Y978" s="88">
        <f>SUMIF(月間集計シート!$M$71:$M$90,$G978,月間集計シート!O$71:O$90)*Y$2</f>
        <v>0</v>
      </c>
      <c r="Z978" s="88">
        <f>SUMIF(月間集計シート!$M$71:$M$90,$G978,月間集計シート!P$71:P$90)*Z$2</f>
        <v>0</v>
      </c>
      <c r="AA978" s="88">
        <f>SUMIF(月間集計シート!$M$71:$M$90,$G978,月間集計シート!Q$71:Q$90)*AA$2</f>
        <v>0</v>
      </c>
      <c r="AB978" s="88">
        <f>SUMIF(月間集計シート!$M$71:$M$90,$G978,月間集計シート!R$71:R$90)*AB$2</f>
        <v>0</v>
      </c>
      <c r="AC978" s="88">
        <f>SUMIF(月間集計シート!$M$71:$M$90,$G978,月間集計シート!S$71:S$90)*AC$2</f>
        <v>0</v>
      </c>
      <c r="AD978" s="88">
        <f>SUMIF(月間集計シート!$M$71:$M$90,$G978,月間集計シート!T$71:T$90)*AD$2</f>
        <v>0</v>
      </c>
      <c r="AE978" s="88">
        <f>SUMIF(月間集計シート!$M$92:$M$111,$G978,月間集計シート!N$92:N$111)*AE$2</f>
        <v>0</v>
      </c>
      <c r="AF978" s="88">
        <f>SUMIF(月間集計シート!$M$92:$M$111,$G978,月間集計シート!O$92:O$111)*AF$2</f>
        <v>0</v>
      </c>
      <c r="AG978" s="88">
        <f>SUMIF(月間集計シート!$M$92:$M$111,$G978,月間集計シート!P$92:P$111)*AG$2</f>
        <v>0</v>
      </c>
      <c r="AH978" s="88">
        <f>SUMIF(月間集計シート!$M$92:$M$111,$G978,月間集計シート!Q$92:Q$111)*AH$2</f>
        <v>0</v>
      </c>
      <c r="AI978" s="88">
        <f>SUMIF(月間集計シート!$M$92:$M$111,$G978,月間集計シート!R$92:R$111)*AI$2</f>
        <v>0</v>
      </c>
      <c r="AJ978" s="88">
        <f>SUMIF(月間集計シート!$M$92:$M$111,$G978,月間集計シート!S$92:S$111)*AJ$2</f>
        <v>0</v>
      </c>
      <c r="AK978" s="88">
        <f>SUMIF(月間集計シート!$M$92:$M$111,$G978,月間集計シート!T$92:T$111)*AK$2</f>
        <v>0</v>
      </c>
      <c r="AL978" s="88">
        <f>SUMIF(月間集計シート!$M$113:$M$132,$G978,月間集計シート!N$113:N$132)*AL$2</f>
        <v>0</v>
      </c>
      <c r="AM978" s="88">
        <f>SUMIF(月間集計シート!$M$113:$M$132,$G978,月間集計シート!O$113:O$132)*AM$2</f>
        <v>0</v>
      </c>
      <c r="AN978" s="88">
        <f>SUMIF(月間集計シート!$M$113:$M$132,$G978,月間集計シート!P$113:P$132)*AN$2</f>
        <v>0</v>
      </c>
      <c r="AO978" s="88">
        <f>SUMIF(月間集計シート!$M$113:$M$132,$G978,月間集計シート!Q$113:Q$132)*AO$2</f>
        <v>0</v>
      </c>
      <c r="AP978" s="88">
        <f>SUMIF(月間集計シート!$M$113:$M$132,$G978,月間集計シート!R$113:R$132)*AP$2</f>
        <v>0</v>
      </c>
      <c r="AQ978" s="88">
        <f>SUMIF(月間集計シート!$M$113:$M$132,$G978,月間集計シート!S$113:S$132)*AQ$2</f>
        <v>0</v>
      </c>
      <c r="AR978" s="88">
        <f>SUMIF(月間集計シート!$M$113:$M$132,$G978,月間集計シート!T$113:T$132)*AR$2</f>
        <v>0</v>
      </c>
      <c r="AS978" s="88">
        <f>SUMIF(月間集計シート!$M$134:$M$153,$G978,月間集計シート!N$134:N$153)*AS$2</f>
        <v>0</v>
      </c>
      <c r="AT978" s="88">
        <f>SUMIF(月間集計シート!$M$134:$M$153,$G978,月間集計シート!O$134:O$153)*AT$2</f>
        <v>0</v>
      </c>
      <c r="AU978" s="88">
        <f>SUMIF(月間集計シート!$M$134:$M$153,$G978,月間集計シート!P$134:P$153)*AU$2</f>
        <v>0</v>
      </c>
      <c r="AV978" s="88">
        <f>SUMIF(月間集計シート!$M$134:$M$153,$G978,月間集計シート!Q$134:Q$153)*AV$2</f>
        <v>0</v>
      </c>
      <c r="AW978" s="88">
        <f>SUMIF(月間集計シート!$M$134:$M$153,$G978,月間集計シート!R$134:R$153)*AW$2</f>
        <v>0</v>
      </c>
      <c r="AX978" s="88">
        <f>SUMIF(月間集計シート!$M$134:$M$153,$G978,月間集計シート!S$134:S$153)*AX$2</f>
        <v>0</v>
      </c>
      <c r="AY978" s="88">
        <f>SUMIF(月間集計シート!$M$134:$M$153,$G978,月間集計シート!T$134:T$153)*AY$2</f>
        <v>0</v>
      </c>
    </row>
    <row r="979" spans="1:51" ht="14.25" thickBot="1">
      <c r="A979">
        <v>12</v>
      </c>
      <c r="B979" s="120">
        <f t="shared" si="517"/>
        <v>0</v>
      </c>
      <c r="C979" s="120" t="str">
        <f t="shared" si="518"/>
        <v/>
      </c>
      <c r="D979" s="137"/>
      <c r="E979" s="150" t="str">
        <f>工種!A36</f>
        <v>40189</v>
      </c>
      <c r="F979" s="119" t="str">
        <f>工種!B36</f>
        <v>テスト：内部不具合分析</v>
      </c>
      <c r="G979" s="116" t="str">
        <f t="shared" si="519"/>
        <v>040189</v>
      </c>
      <c r="H979" s="88">
        <f t="shared" si="516"/>
        <v>0</v>
      </c>
      <c r="I979" s="132"/>
      <c r="J979" s="88">
        <f>SUMIF(月間集計シート!$M$29:$M$48,$G979,月間集計シート!N$29:N$48)*J$2</f>
        <v>0</v>
      </c>
      <c r="K979" s="88">
        <f>SUMIF(月間集計シート!$M$29:$M$48,$G979,月間集計シート!O$29:O$48)*K$2</f>
        <v>0</v>
      </c>
      <c r="L979" s="88">
        <f>SUMIF(月間集計シート!$M$29:$M$48,$G979,月間集計シート!P$29:P$48)*L$2</f>
        <v>0</v>
      </c>
      <c r="M979" s="88">
        <f>SUMIF(月間集計シート!$M$29:$M$48,$G979,月間集計シート!Q$29:Q$48)*M$2</f>
        <v>0</v>
      </c>
      <c r="N979" s="88">
        <f>SUMIF(月間集計シート!$M$29:$M$48,$G979,月間集計シート!R$29:R$48)*N$2</f>
        <v>0</v>
      </c>
      <c r="O979" s="88">
        <f>SUMIF(月間集計シート!$M$29:$M$48,$G979,月間集計シート!S$29:S$48)*O$2</f>
        <v>0</v>
      </c>
      <c r="P979" s="88">
        <f>SUMIF(月間集計シート!$M$29:$M$48,$G979,月間集計シート!T$29:T$48)*P$2</f>
        <v>0</v>
      </c>
      <c r="Q979" s="88">
        <f>SUMIF(月間集計シート!$M$50:$M$69,$G979,月間集計シート!N$50:N$69)*Q$2</f>
        <v>0</v>
      </c>
      <c r="R979" s="88">
        <f>SUMIF(月間集計シート!$M$50:$M$69,$G979,月間集計シート!O$50:O$69)*R$2</f>
        <v>0</v>
      </c>
      <c r="S979" s="88">
        <f>SUMIF(月間集計シート!$M$50:$M$69,$G979,月間集計シート!P$50:P$69)*S$2</f>
        <v>0</v>
      </c>
      <c r="T979" s="88">
        <f>SUMIF(月間集計シート!$M$50:$M$69,$G979,月間集計シート!Q$50:Q$69)*T$2</f>
        <v>0</v>
      </c>
      <c r="U979" s="88">
        <f>SUMIF(月間集計シート!$M$50:$M$69,$G979,月間集計シート!R$50:R$69)*U$2</f>
        <v>0</v>
      </c>
      <c r="V979" s="88">
        <f>SUMIF(月間集計シート!$M$50:$M$69,$G979,月間集計シート!S$50:S$69)*V$2</f>
        <v>0</v>
      </c>
      <c r="W979" s="88">
        <f>SUMIF(月間集計シート!$M$50:$M$69,$G979,月間集計シート!T$50:T$69)*W$2</f>
        <v>0</v>
      </c>
      <c r="X979" s="88">
        <f>SUMIF(月間集計シート!$M$71:$M$90,$G979,月間集計シート!N$71:N$90)*X$2</f>
        <v>0</v>
      </c>
      <c r="Y979" s="88">
        <f>SUMIF(月間集計シート!$M$71:$M$90,$G979,月間集計シート!O$71:O$90)*Y$2</f>
        <v>0</v>
      </c>
      <c r="Z979" s="88">
        <f>SUMIF(月間集計シート!$M$71:$M$90,$G979,月間集計シート!P$71:P$90)*Z$2</f>
        <v>0</v>
      </c>
      <c r="AA979" s="88">
        <f>SUMIF(月間集計シート!$M$71:$M$90,$G979,月間集計シート!Q$71:Q$90)*AA$2</f>
        <v>0</v>
      </c>
      <c r="AB979" s="88">
        <f>SUMIF(月間集計シート!$M$71:$M$90,$G979,月間集計シート!R$71:R$90)*AB$2</f>
        <v>0</v>
      </c>
      <c r="AC979" s="88">
        <f>SUMIF(月間集計シート!$M$71:$M$90,$G979,月間集計シート!S$71:S$90)*AC$2</f>
        <v>0</v>
      </c>
      <c r="AD979" s="88">
        <f>SUMIF(月間集計シート!$M$71:$M$90,$G979,月間集計シート!T$71:T$90)*AD$2</f>
        <v>0</v>
      </c>
      <c r="AE979" s="88">
        <f>SUMIF(月間集計シート!$M$92:$M$111,$G979,月間集計シート!N$92:N$111)*AE$2</f>
        <v>0</v>
      </c>
      <c r="AF979" s="88">
        <f>SUMIF(月間集計シート!$M$92:$M$111,$G979,月間集計シート!O$92:O$111)*AF$2</f>
        <v>0</v>
      </c>
      <c r="AG979" s="88">
        <f>SUMIF(月間集計シート!$M$92:$M$111,$G979,月間集計シート!P$92:P$111)*AG$2</f>
        <v>0</v>
      </c>
      <c r="AH979" s="88">
        <f>SUMIF(月間集計シート!$M$92:$M$111,$G979,月間集計シート!Q$92:Q$111)*AH$2</f>
        <v>0</v>
      </c>
      <c r="AI979" s="88">
        <f>SUMIF(月間集計シート!$M$92:$M$111,$G979,月間集計シート!R$92:R$111)*AI$2</f>
        <v>0</v>
      </c>
      <c r="AJ979" s="88">
        <f>SUMIF(月間集計シート!$M$92:$M$111,$G979,月間集計シート!S$92:S$111)*AJ$2</f>
        <v>0</v>
      </c>
      <c r="AK979" s="88">
        <f>SUMIF(月間集計シート!$M$92:$M$111,$G979,月間集計シート!T$92:T$111)*AK$2</f>
        <v>0</v>
      </c>
      <c r="AL979" s="88">
        <f>SUMIF(月間集計シート!$M$113:$M$132,$G979,月間集計シート!N$113:N$132)*AL$2</f>
        <v>0</v>
      </c>
      <c r="AM979" s="88">
        <f>SUMIF(月間集計シート!$M$113:$M$132,$G979,月間集計シート!O$113:O$132)*AM$2</f>
        <v>0</v>
      </c>
      <c r="AN979" s="88">
        <f>SUMIF(月間集計シート!$M$113:$M$132,$G979,月間集計シート!P$113:P$132)*AN$2</f>
        <v>0</v>
      </c>
      <c r="AO979" s="88">
        <f>SUMIF(月間集計シート!$M$113:$M$132,$G979,月間集計シート!Q$113:Q$132)*AO$2</f>
        <v>0</v>
      </c>
      <c r="AP979" s="88">
        <f>SUMIF(月間集計シート!$M$113:$M$132,$G979,月間集計シート!R$113:R$132)*AP$2</f>
        <v>0</v>
      </c>
      <c r="AQ979" s="88">
        <f>SUMIF(月間集計シート!$M$113:$M$132,$G979,月間集計シート!S$113:S$132)*AQ$2</f>
        <v>0</v>
      </c>
      <c r="AR979" s="88">
        <f>SUMIF(月間集計シート!$M$113:$M$132,$G979,月間集計シート!T$113:T$132)*AR$2</f>
        <v>0</v>
      </c>
      <c r="AS979" s="88">
        <f>SUMIF(月間集計シート!$M$134:$M$153,$G979,月間集計シート!N$134:N$153)*AS$2</f>
        <v>0</v>
      </c>
      <c r="AT979" s="88">
        <f>SUMIF(月間集計シート!$M$134:$M$153,$G979,月間集計シート!O$134:O$153)*AT$2</f>
        <v>0</v>
      </c>
      <c r="AU979" s="88">
        <f>SUMIF(月間集計シート!$M$134:$M$153,$G979,月間集計シート!P$134:P$153)*AU$2</f>
        <v>0</v>
      </c>
      <c r="AV979" s="88">
        <f>SUMIF(月間集計シート!$M$134:$M$153,$G979,月間集計シート!Q$134:Q$153)*AV$2</f>
        <v>0</v>
      </c>
      <c r="AW979" s="88">
        <f>SUMIF(月間集計シート!$M$134:$M$153,$G979,月間集計シート!R$134:R$153)*AW$2</f>
        <v>0</v>
      </c>
      <c r="AX979" s="88">
        <f>SUMIF(月間集計シート!$M$134:$M$153,$G979,月間集計シート!S$134:S$153)*AX$2</f>
        <v>0</v>
      </c>
      <c r="AY979" s="88">
        <f>SUMIF(月間集計シート!$M$134:$M$153,$G979,月間集計シート!T$134:T$153)*AY$2</f>
        <v>0</v>
      </c>
    </row>
    <row r="980" spans="1:51" ht="14.25" thickBot="1">
      <c r="A980">
        <v>12</v>
      </c>
      <c r="B980" s="120">
        <f t="shared" si="517"/>
        <v>0</v>
      </c>
      <c r="C980" s="120" t="str">
        <f t="shared" si="518"/>
        <v/>
      </c>
      <c r="D980" s="137"/>
      <c r="E980" s="150" t="str">
        <f>工種!A37</f>
        <v>40199</v>
      </c>
      <c r="F980" s="119" t="str">
        <f>工種!B37</f>
        <v>テスト：その他</v>
      </c>
      <c r="G980" s="116" t="str">
        <f t="shared" si="519"/>
        <v>040199</v>
      </c>
      <c r="H980" s="88">
        <f t="shared" si="516"/>
        <v>0</v>
      </c>
      <c r="I980" s="132"/>
      <c r="J980" s="88">
        <f>SUMIF(月間集計シート!$M$29:$M$48,$G980,月間集計シート!N$29:N$48)*J$2</f>
        <v>0</v>
      </c>
      <c r="K980" s="88">
        <f>SUMIF(月間集計シート!$M$29:$M$48,$G980,月間集計シート!O$29:O$48)*K$2</f>
        <v>0</v>
      </c>
      <c r="L980" s="88">
        <f>SUMIF(月間集計シート!$M$29:$M$48,$G980,月間集計シート!P$29:P$48)*L$2</f>
        <v>0</v>
      </c>
      <c r="M980" s="88">
        <f>SUMIF(月間集計シート!$M$29:$M$48,$G980,月間集計シート!Q$29:Q$48)*M$2</f>
        <v>0</v>
      </c>
      <c r="N980" s="88">
        <f>SUMIF(月間集計シート!$M$29:$M$48,$G980,月間集計シート!R$29:R$48)*N$2</f>
        <v>0</v>
      </c>
      <c r="O980" s="88">
        <f>SUMIF(月間集計シート!$M$29:$M$48,$G980,月間集計シート!S$29:S$48)*O$2</f>
        <v>0</v>
      </c>
      <c r="P980" s="88">
        <f>SUMIF(月間集計シート!$M$29:$M$48,$G980,月間集計シート!T$29:T$48)*P$2</f>
        <v>0</v>
      </c>
      <c r="Q980" s="88">
        <f>SUMIF(月間集計シート!$M$50:$M$69,$G980,月間集計シート!N$50:N$69)*Q$2</f>
        <v>0</v>
      </c>
      <c r="R980" s="88">
        <f>SUMIF(月間集計シート!$M$50:$M$69,$G980,月間集計シート!O$50:O$69)*R$2</f>
        <v>0</v>
      </c>
      <c r="S980" s="88">
        <f>SUMIF(月間集計シート!$M$50:$M$69,$G980,月間集計シート!P$50:P$69)*S$2</f>
        <v>0</v>
      </c>
      <c r="T980" s="88">
        <f>SUMIF(月間集計シート!$M$50:$M$69,$G980,月間集計シート!Q$50:Q$69)*T$2</f>
        <v>0</v>
      </c>
      <c r="U980" s="88">
        <f>SUMIF(月間集計シート!$M$50:$M$69,$G980,月間集計シート!R$50:R$69)*U$2</f>
        <v>0</v>
      </c>
      <c r="V980" s="88">
        <f>SUMIF(月間集計シート!$M$50:$M$69,$G980,月間集計シート!S$50:S$69)*V$2</f>
        <v>0</v>
      </c>
      <c r="W980" s="88">
        <f>SUMIF(月間集計シート!$M$50:$M$69,$G980,月間集計シート!T$50:T$69)*W$2</f>
        <v>0</v>
      </c>
      <c r="X980" s="88">
        <f>SUMIF(月間集計シート!$M$71:$M$90,$G980,月間集計シート!N$71:N$90)*X$2</f>
        <v>0</v>
      </c>
      <c r="Y980" s="88">
        <f>SUMIF(月間集計シート!$M$71:$M$90,$G980,月間集計シート!O$71:O$90)*Y$2</f>
        <v>0</v>
      </c>
      <c r="Z980" s="88">
        <f>SUMIF(月間集計シート!$M$71:$M$90,$G980,月間集計シート!P$71:P$90)*Z$2</f>
        <v>0</v>
      </c>
      <c r="AA980" s="88">
        <f>SUMIF(月間集計シート!$M$71:$M$90,$G980,月間集計シート!Q$71:Q$90)*AA$2</f>
        <v>0</v>
      </c>
      <c r="AB980" s="88">
        <f>SUMIF(月間集計シート!$M$71:$M$90,$G980,月間集計シート!R$71:R$90)*AB$2</f>
        <v>0</v>
      </c>
      <c r="AC980" s="88">
        <f>SUMIF(月間集計シート!$M$71:$M$90,$G980,月間集計シート!S$71:S$90)*AC$2</f>
        <v>0</v>
      </c>
      <c r="AD980" s="88">
        <f>SUMIF(月間集計シート!$M$71:$M$90,$G980,月間集計シート!T$71:T$90)*AD$2</f>
        <v>0</v>
      </c>
      <c r="AE980" s="88">
        <f>SUMIF(月間集計シート!$M$92:$M$111,$G980,月間集計シート!N$92:N$111)*AE$2</f>
        <v>0</v>
      </c>
      <c r="AF980" s="88">
        <f>SUMIF(月間集計シート!$M$92:$M$111,$G980,月間集計シート!O$92:O$111)*AF$2</f>
        <v>0</v>
      </c>
      <c r="AG980" s="88">
        <f>SUMIF(月間集計シート!$M$92:$M$111,$G980,月間集計シート!P$92:P$111)*AG$2</f>
        <v>0</v>
      </c>
      <c r="AH980" s="88">
        <f>SUMIF(月間集計シート!$M$92:$M$111,$G980,月間集計シート!Q$92:Q$111)*AH$2</f>
        <v>0</v>
      </c>
      <c r="AI980" s="88">
        <f>SUMIF(月間集計シート!$M$92:$M$111,$G980,月間集計シート!R$92:R$111)*AI$2</f>
        <v>0</v>
      </c>
      <c r="AJ980" s="88">
        <f>SUMIF(月間集計シート!$M$92:$M$111,$G980,月間集計シート!S$92:S$111)*AJ$2</f>
        <v>0</v>
      </c>
      <c r="AK980" s="88">
        <f>SUMIF(月間集計シート!$M$92:$M$111,$G980,月間集計シート!T$92:T$111)*AK$2</f>
        <v>0</v>
      </c>
      <c r="AL980" s="88">
        <f>SUMIF(月間集計シート!$M$113:$M$132,$G980,月間集計シート!N$113:N$132)*AL$2</f>
        <v>0</v>
      </c>
      <c r="AM980" s="88">
        <f>SUMIF(月間集計シート!$M$113:$M$132,$G980,月間集計シート!O$113:O$132)*AM$2</f>
        <v>0</v>
      </c>
      <c r="AN980" s="88">
        <f>SUMIF(月間集計シート!$M$113:$M$132,$G980,月間集計シート!P$113:P$132)*AN$2</f>
        <v>0</v>
      </c>
      <c r="AO980" s="88">
        <f>SUMIF(月間集計シート!$M$113:$M$132,$G980,月間集計シート!Q$113:Q$132)*AO$2</f>
        <v>0</v>
      </c>
      <c r="AP980" s="88">
        <f>SUMIF(月間集計シート!$M$113:$M$132,$G980,月間集計シート!R$113:R$132)*AP$2</f>
        <v>0</v>
      </c>
      <c r="AQ980" s="88">
        <f>SUMIF(月間集計シート!$M$113:$M$132,$G980,月間集計シート!S$113:S$132)*AQ$2</f>
        <v>0</v>
      </c>
      <c r="AR980" s="88">
        <f>SUMIF(月間集計シート!$M$113:$M$132,$G980,月間集計シート!T$113:T$132)*AR$2</f>
        <v>0</v>
      </c>
      <c r="AS980" s="88">
        <f>SUMIF(月間集計シート!$M$134:$M$153,$G980,月間集計シート!N$134:N$153)*AS$2</f>
        <v>0</v>
      </c>
      <c r="AT980" s="88">
        <f>SUMIF(月間集計シート!$M$134:$M$153,$G980,月間集計シート!O$134:O$153)*AT$2</f>
        <v>0</v>
      </c>
      <c r="AU980" s="88">
        <f>SUMIF(月間集計シート!$M$134:$M$153,$G980,月間集計シート!P$134:P$153)*AU$2</f>
        <v>0</v>
      </c>
      <c r="AV980" s="88">
        <f>SUMIF(月間集計シート!$M$134:$M$153,$G980,月間集計シート!Q$134:Q$153)*AV$2</f>
        <v>0</v>
      </c>
      <c r="AW980" s="88">
        <f>SUMIF(月間集計シート!$M$134:$M$153,$G980,月間集計シート!R$134:R$153)*AW$2</f>
        <v>0</v>
      </c>
      <c r="AX980" s="88">
        <f>SUMIF(月間集計シート!$M$134:$M$153,$G980,月間集計シート!S$134:S$153)*AX$2</f>
        <v>0</v>
      </c>
      <c r="AY980" s="88">
        <f>SUMIF(月間集計シート!$M$134:$M$153,$G980,月間集計シート!T$134:T$153)*AY$2</f>
        <v>0</v>
      </c>
    </row>
    <row r="981" spans="1:51" ht="14.25" thickBot="1">
      <c r="A981">
        <v>12</v>
      </c>
      <c r="B981" s="120">
        <f t="shared" si="517"/>
        <v>0</v>
      </c>
      <c r="C981" s="120" t="str">
        <f t="shared" si="518"/>
        <v/>
      </c>
      <c r="D981" s="137"/>
      <c r="E981" s="150" t="str">
        <f>工種!A38</f>
        <v>50101</v>
      </c>
      <c r="F981" s="119" t="str">
        <f>工種!B38</f>
        <v>ﾏﾆｭｱﾙ作成：原稿作成</v>
      </c>
      <c r="G981" s="116" t="str">
        <f t="shared" si="519"/>
        <v>050101</v>
      </c>
      <c r="H981" s="88">
        <f t="shared" si="516"/>
        <v>0</v>
      </c>
      <c r="I981" s="132"/>
      <c r="J981" s="88">
        <f>SUMIF(月間集計シート!$M$29:$M$48,$G981,月間集計シート!N$29:N$48)*J$2</f>
        <v>0</v>
      </c>
      <c r="K981" s="88">
        <f>SUMIF(月間集計シート!$M$29:$M$48,$G981,月間集計シート!O$29:O$48)*K$2</f>
        <v>0</v>
      </c>
      <c r="L981" s="88">
        <f>SUMIF(月間集計シート!$M$29:$M$48,$G981,月間集計シート!P$29:P$48)*L$2</f>
        <v>0</v>
      </c>
      <c r="M981" s="88">
        <f>SUMIF(月間集計シート!$M$29:$M$48,$G981,月間集計シート!Q$29:Q$48)*M$2</f>
        <v>0</v>
      </c>
      <c r="N981" s="88">
        <f>SUMIF(月間集計シート!$M$29:$M$48,$G981,月間集計シート!R$29:R$48)*N$2</f>
        <v>0</v>
      </c>
      <c r="O981" s="88">
        <f>SUMIF(月間集計シート!$M$29:$M$48,$G981,月間集計シート!S$29:S$48)*O$2</f>
        <v>0</v>
      </c>
      <c r="P981" s="88">
        <f>SUMIF(月間集計シート!$M$29:$M$48,$G981,月間集計シート!T$29:T$48)*P$2</f>
        <v>0</v>
      </c>
      <c r="Q981" s="88">
        <f>SUMIF(月間集計シート!$M$50:$M$69,$G981,月間集計シート!N$50:N$69)*Q$2</f>
        <v>0</v>
      </c>
      <c r="R981" s="88">
        <f>SUMIF(月間集計シート!$M$50:$M$69,$G981,月間集計シート!O$50:O$69)*R$2</f>
        <v>0</v>
      </c>
      <c r="S981" s="88">
        <f>SUMIF(月間集計シート!$M$50:$M$69,$G981,月間集計シート!P$50:P$69)*S$2</f>
        <v>0</v>
      </c>
      <c r="T981" s="88">
        <f>SUMIF(月間集計シート!$M$50:$M$69,$G981,月間集計シート!Q$50:Q$69)*T$2</f>
        <v>0</v>
      </c>
      <c r="U981" s="88">
        <f>SUMIF(月間集計シート!$M$50:$M$69,$G981,月間集計シート!R$50:R$69)*U$2</f>
        <v>0</v>
      </c>
      <c r="V981" s="88">
        <f>SUMIF(月間集計シート!$M$50:$M$69,$G981,月間集計シート!S$50:S$69)*V$2</f>
        <v>0</v>
      </c>
      <c r="W981" s="88">
        <f>SUMIF(月間集計シート!$M$50:$M$69,$G981,月間集計シート!T$50:T$69)*W$2</f>
        <v>0</v>
      </c>
      <c r="X981" s="88">
        <f>SUMIF(月間集計シート!$M$71:$M$90,$G981,月間集計シート!N$71:N$90)*X$2</f>
        <v>0</v>
      </c>
      <c r="Y981" s="88">
        <f>SUMIF(月間集計シート!$M$71:$M$90,$G981,月間集計シート!O$71:O$90)*Y$2</f>
        <v>0</v>
      </c>
      <c r="Z981" s="88">
        <f>SUMIF(月間集計シート!$M$71:$M$90,$G981,月間集計シート!P$71:P$90)*Z$2</f>
        <v>0</v>
      </c>
      <c r="AA981" s="88">
        <f>SUMIF(月間集計シート!$M$71:$M$90,$G981,月間集計シート!Q$71:Q$90)*AA$2</f>
        <v>0</v>
      </c>
      <c r="AB981" s="88">
        <f>SUMIF(月間集計シート!$M$71:$M$90,$G981,月間集計シート!R$71:R$90)*AB$2</f>
        <v>0</v>
      </c>
      <c r="AC981" s="88">
        <f>SUMIF(月間集計シート!$M$71:$M$90,$G981,月間集計シート!S$71:S$90)*AC$2</f>
        <v>0</v>
      </c>
      <c r="AD981" s="88">
        <f>SUMIF(月間集計シート!$M$71:$M$90,$G981,月間集計シート!T$71:T$90)*AD$2</f>
        <v>0</v>
      </c>
      <c r="AE981" s="88">
        <f>SUMIF(月間集計シート!$M$92:$M$111,$G981,月間集計シート!N$92:N$111)*AE$2</f>
        <v>0</v>
      </c>
      <c r="AF981" s="88">
        <f>SUMIF(月間集計シート!$M$92:$M$111,$G981,月間集計シート!O$92:O$111)*AF$2</f>
        <v>0</v>
      </c>
      <c r="AG981" s="88">
        <f>SUMIF(月間集計シート!$M$92:$M$111,$G981,月間集計シート!P$92:P$111)*AG$2</f>
        <v>0</v>
      </c>
      <c r="AH981" s="88">
        <f>SUMIF(月間集計シート!$M$92:$M$111,$G981,月間集計シート!Q$92:Q$111)*AH$2</f>
        <v>0</v>
      </c>
      <c r="AI981" s="88">
        <f>SUMIF(月間集計シート!$M$92:$M$111,$G981,月間集計シート!R$92:R$111)*AI$2</f>
        <v>0</v>
      </c>
      <c r="AJ981" s="88">
        <f>SUMIF(月間集計シート!$M$92:$M$111,$G981,月間集計シート!S$92:S$111)*AJ$2</f>
        <v>0</v>
      </c>
      <c r="AK981" s="88">
        <f>SUMIF(月間集計シート!$M$92:$M$111,$G981,月間集計シート!T$92:T$111)*AK$2</f>
        <v>0</v>
      </c>
      <c r="AL981" s="88">
        <f>SUMIF(月間集計シート!$M$113:$M$132,$G981,月間集計シート!N$113:N$132)*AL$2</f>
        <v>0</v>
      </c>
      <c r="AM981" s="88">
        <f>SUMIF(月間集計シート!$M$113:$M$132,$G981,月間集計シート!O$113:O$132)*AM$2</f>
        <v>0</v>
      </c>
      <c r="AN981" s="88">
        <f>SUMIF(月間集計シート!$M$113:$M$132,$G981,月間集計シート!P$113:P$132)*AN$2</f>
        <v>0</v>
      </c>
      <c r="AO981" s="88">
        <f>SUMIF(月間集計シート!$M$113:$M$132,$G981,月間集計シート!Q$113:Q$132)*AO$2</f>
        <v>0</v>
      </c>
      <c r="AP981" s="88">
        <f>SUMIF(月間集計シート!$M$113:$M$132,$G981,月間集計シート!R$113:R$132)*AP$2</f>
        <v>0</v>
      </c>
      <c r="AQ981" s="88">
        <f>SUMIF(月間集計シート!$M$113:$M$132,$G981,月間集計シート!S$113:S$132)*AQ$2</f>
        <v>0</v>
      </c>
      <c r="AR981" s="88">
        <f>SUMIF(月間集計シート!$M$113:$M$132,$G981,月間集計シート!T$113:T$132)*AR$2</f>
        <v>0</v>
      </c>
      <c r="AS981" s="88">
        <f>SUMIF(月間集計シート!$M$134:$M$153,$G981,月間集計シート!N$134:N$153)*AS$2</f>
        <v>0</v>
      </c>
      <c r="AT981" s="88">
        <f>SUMIF(月間集計シート!$M$134:$M$153,$G981,月間集計シート!O$134:O$153)*AT$2</f>
        <v>0</v>
      </c>
      <c r="AU981" s="88">
        <f>SUMIF(月間集計シート!$M$134:$M$153,$G981,月間集計シート!P$134:P$153)*AU$2</f>
        <v>0</v>
      </c>
      <c r="AV981" s="88">
        <f>SUMIF(月間集計シート!$M$134:$M$153,$G981,月間集計シート!Q$134:Q$153)*AV$2</f>
        <v>0</v>
      </c>
      <c r="AW981" s="88">
        <f>SUMIF(月間集計シート!$M$134:$M$153,$G981,月間集計シート!R$134:R$153)*AW$2</f>
        <v>0</v>
      </c>
      <c r="AX981" s="88">
        <f>SUMIF(月間集計シート!$M$134:$M$153,$G981,月間集計シート!S$134:S$153)*AX$2</f>
        <v>0</v>
      </c>
      <c r="AY981" s="88">
        <f>SUMIF(月間集計シート!$M$134:$M$153,$G981,月間集計シート!T$134:T$153)*AY$2</f>
        <v>0</v>
      </c>
    </row>
    <row r="982" spans="1:51" ht="14.25" thickBot="1">
      <c r="A982">
        <v>12</v>
      </c>
      <c r="B982" s="120">
        <f t="shared" si="517"/>
        <v>0</v>
      </c>
      <c r="C982" s="120" t="str">
        <f t="shared" si="518"/>
        <v/>
      </c>
      <c r="D982" s="137"/>
      <c r="E982" s="150" t="str">
        <f>工種!A39</f>
        <v>50105</v>
      </c>
      <c r="F982" s="119" t="str">
        <f>工種!B39</f>
        <v>ﾏﾆｭｱﾙ作成：打合せ</v>
      </c>
      <c r="G982" s="116" t="str">
        <f t="shared" si="519"/>
        <v>050105</v>
      </c>
      <c r="H982" s="88">
        <f t="shared" si="516"/>
        <v>0</v>
      </c>
      <c r="I982" s="132"/>
      <c r="J982" s="88">
        <f>SUMIF(月間集計シート!$M$29:$M$48,$G982,月間集計シート!N$29:N$48)*J$2</f>
        <v>0</v>
      </c>
      <c r="K982" s="88">
        <f>SUMIF(月間集計シート!$M$29:$M$48,$G982,月間集計シート!O$29:O$48)*K$2</f>
        <v>0</v>
      </c>
      <c r="L982" s="88">
        <f>SUMIF(月間集計シート!$M$29:$M$48,$G982,月間集計シート!P$29:P$48)*L$2</f>
        <v>0</v>
      </c>
      <c r="M982" s="88">
        <f>SUMIF(月間集計シート!$M$29:$M$48,$G982,月間集計シート!Q$29:Q$48)*M$2</f>
        <v>0</v>
      </c>
      <c r="N982" s="88">
        <f>SUMIF(月間集計シート!$M$29:$M$48,$G982,月間集計シート!R$29:R$48)*N$2</f>
        <v>0</v>
      </c>
      <c r="O982" s="88">
        <f>SUMIF(月間集計シート!$M$29:$M$48,$G982,月間集計シート!S$29:S$48)*O$2</f>
        <v>0</v>
      </c>
      <c r="P982" s="88">
        <f>SUMIF(月間集計シート!$M$29:$M$48,$G982,月間集計シート!T$29:T$48)*P$2</f>
        <v>0</v>
      </c>
      <c r="Q982" s="88">
        <f>SUMIF(月間集計シート!$M$50:$M$69,$G982,月間集計シート!N$50:N$69)*Q$2</f>
        <v>0</v>
      </c>
      <c r="R982" s="88">
        <f>SUMIF(月間集計シート!$M$50:$M$69,$G982,月間集計シート!O$50:O$69)*R$2</f>
        <v>0</v>
      </c>
      <c r="S982" s="88">
        <f>SUMIF(月間集計シート!$M$50:$M$69,$G982,月間集計シート!P$50:P$69)*S$2</f>
        <v>0</v>
      </c>
      <c r="T982" s="88">
        <f>SUMIF(月間集計シート!$M$50:$M$69,$G982,月間集計シート!Q$50:Q$69)*T$2</f>
        <v>0</v>
      </c>
      <c r="U982" s="88">
        <f>SUMIF(月間集計シート!$M$50:$M$69,$G982,月間集計シート!R$50:R$69)*U$2</f>
        <v>0</v>
      </c>
      <c r="V982" s="88">
        <f>SUMIF(月間集計シート!$M$50:$M$69,$G982,月間集計シート!S$50:S$69)*V$2</f>
        <v>0</v>
      </c>
      <c r="W982" s="88">
        <f>SUMIF(月間集計シート!$M$50:$M$69,$G982,月間集計シート!T$50:T$69)*W$2</f>
        <v>0</v>
      </c>
      <c r="X982" s="88">
        <f>SUMIF(月間集計シート!$M$71:$M$90,$G982,月間集計シート!N$71:N$90)*X$2</f>
        <v>0</v>
      </c>
      <c r="Y982" s="88">
        <f>SUMIF(月間集計シート!$M$71:$M$90,$G982,月間集計シート!O$71:O$90)*Y$2</f>
        <v>0</v>
      </c>
      <c r="Z982" s="88">
        <f>SUMIF(月間集計シート!$M$71:$M$90,$G982,月間集計シート!P$71:P$90)*Z$2</f>
        <v>0</v>
      </c>
      <c r="AA982" s="88">
        <f>SUMIF(月間集計シート!$M$71:$M$90,$G982,月間集計シート!Q$71:Q$90)*AA$2</f>
        <v>0</v>
      </c>
      <c r="AB982" s="88">
        <f>SUMIF(月間集計シート!$M$71:$M$90,$G982,月間集計シート!R$71:R$90)*AB$2</f>
        <v>0</v>
      </c>
      <c r="AC982" s="88">
        <f>SUMIF(月間集計シート!$M$71:$M$90,$G982,月間集計シート!S$71:S$90)*AC$2</f>
        <v>0</v>
      </c>
      <c r="AD982" s="88">
        <f>SUMIF(月間集計シート!$M$71:$M$90,$G982,月間集計シート!T$71:T$90)*AD$2</f>
        <v>0</v>
      </c>
      <c r="AE982" s="88">
        <f>SUMIF(月間集計シート!$M$92:$M$111,$G982,月間集計シート!N$92:N$111)*AE$2</f>
        <v>0</v>
      </c>
      <c r="AF982" s="88">
        <f>SUMIF(月間集計シート!$M$92:$M$111,$G982,月間集計シート!O$92:O$111)*AF$2</f>
        <v>0</v>
      </c>
      <c r="AG982" s="88">
        <f>SUMIF(月間集計シート!$M$92:$M$111,$G982,月間集計シート!P$92:P$111)*AG$2</f>
        <v>0</v>
      </c>
      <c r="AH982" s="88">
        <f>SUMIF(月間集計シート!$M$92:$M$111,$G982,月間集計シート!Q$92:Q$111)*AH$2</f>
        <v>0</v>
      </c>
      <c r="AI982" s="88">
        <f>SUMIF(月間集計シート!$M$92:$M$111,$G982,月間集計シート!R$92:R$111)*AI$2</f>
        <v>0</v>
      </c>
      <c r="AJ982" s="88">
        <f>SUMIF(月間集計シート!$M$92:$M$111,$G982,月間集計シート!S$92:S$111)*AJ$2</f>
        <v>0</v>
      </c>
      <c r="AK982" s="88">
        <f>SUMIF(月間集計シート!$M$92:$M$111,$G982,月間集計シート!T$92:T$111)*AK$2</f>
        <v>0</v>
      </c>
      <c r="AL982" s="88">
        <f>SUMIF(月間集計シート!$M$113:$M$132,$G982,月間集計シート!N$113:N$132)*AL$2</f>
        <v>0</v>
      </c>
      <c r="AM982" s="88">
        <f>SUMIF(月間集計シート!$M$113:$M$132,$G982,月間集計シート!O$113:O$132)*AM$2</f>
        <v>0</v>
      </c>
      <c r="AN982" s="88">
        <f>SUMIF(月間集計シート!$M$113:$M$132,$G982,月間集計シート!P$113:P$132)*AN$2</f>
        <v>0</v>
      </c>
      <c r="AO982" s="88">
        <f>SUMIF(月間集計シート!$M$113:$M$132,$G982,月間集計シート!Q$113:Q$132)*AO$2</f>
        <v>0</v>
      </c>
      <c r="AP982" s="88">
        <f>SUMIF(月間集計シート!$M$113:$M$132,$G982,月間集計シート!R$113:R$132)*AP$2</f>
        <v>0</v>
      </c>
      <c r="AQ982" s="88">
        <f>SUMIF(月間集計シート!$M$113:$M$132,$G982,月間集計シート!S$113:S$132)*AQ$2</f>
        <v>0</v>
      </c>
      <c r="AR982" s="88">
        <f>SUMIF(月間集計シート!$M$113:$M$132,$G982,月間集計シート!T$113:T$132)*AR$2</f>
        <v>0</v>
      </c>
      <c r="AS982" s="88">
        <f>SUMIF(月間集計シート!$M$134:$M$153,$G982,月間集計シート!N$134:N$153)*AS$2</f>
        <v>0</v>
      </c>
      <c r="AT982" s="88">
        <f>SUMIF(月間集計シート!$M$134:$M$153,$G982,月間集計シート!O$134:O$153)*AT$2</f>
        <v>0</v>
      </c>
      <c r="AU982" s="88">
        <f>SUMIF(月間集計シート!$M$134:$M$153,$G982,月間集計シート!P$134:P$153)*AU$2</f>
        <v>0</v>
      </c>
      <c r="AV982" s="88">
        <f>SUMIF(月間集計シート!$M$134:$M$153,$G982,月間集計シート!Q$134:Q$153)*AV$2</f>
        <v>0</v>
      </c>
      <c r="AW982" s="88">
        <f>SUMIF(月間集計シート!$M$134:$M$153,$G982,月間集計シート!R$134:R$153)*AW$2</f>
        <v>0</v>
      </c>
      <c r="AX982" s="88">
        <f>SUMIF(月間集計シート!$M$134:$M$153,$G982,月間集計シート!S$134:S$153)*AX$2</f>
        <v>0</v>
      </c>
      <c r="AY982" s="88">
        <f>SUMIF(月間集計シート!$M$134:$M$153,$G982,月間集計シート!T$134:T$153)*AY$2</f>
        <v>0</v>
      </c>
    </row>
    <row r="983" spans="1:51" ht="14.25" thickBot="1">
      <c r="A983">
        <v>12</v>
      </c>
      <c r="B983" s="120">
        <f t="shared" si="517"/>
        <v>0</v>
      </c>
      <c r="C983" s="120" t="str">
        <f t="shared" si="518"/>
        <v/>
      </c>
      <c r="D983" s="137"/>
      <c r="E983" s="150" t="str">
        <f>工種!A40</f>
        <v>50106</v>
      </c>
      <c r="F983" s="119" t="str">
        <f>工種!B40</f>
        <v>ﾏﾆｭｱﾙ作成：ﾚﾋﾞｭｰ</v>
      </c>
      <c r="G983" s="116" t="str">
        <f t="shared" si="519"/>
        <v>050106</v>
      </c>
      <c r="H983" s="88">
        <f t="shared" si="516"/>
        <v>0</v>
      </c>
      <c r="I983" s="132"/>
      <c r="J983" s="88">
        <f>SUMIF(月間集計シート!$M$29:$M$48,$G983,月間集計シート!N$29:N$48)*J$2</f>
        <v>0</v>
      </c>
      <c r="K983" s="88">
        <f>SUMIF(月間集計シート!$M$29:$M$48,$G983,月間集計シート!O$29:O$48)*K$2</f>
        <v>0</v>
      </c>
      <c r="L983" s="88">
        <f>SUMIF(月間集計シート!$M$29:$M$48,$G983,月間集計シート!P$29:P$48)*L$2</f>
        <v>0</v>
      </c>
      <c r="M983" s="88">
        <f>SUMIF(月間集計シート!$M$29:$M$48,$G983,月間集計シート!Q$29:Q$48)*M$2</f>
        <v>0</v>
      </c>
      <c r="N983" s="88">
        <f>SUMIF(月間集計シート!$M$29:$M$48,$G983,月間集計シート!R$29:R$48)*N$2</f>
        <v>0</v>
      </c>
      <c r="O983" s="88">
        <f>SUMIF(月間集計シート!$M$29:$M$48,$G983,月間集計シート!S$29:S$48)*O$2</f>
        <v>0</v>
      </c>
      <c r="P983" s="88">
        <f>SUMIF(月間集計シート!$M$29:$M$48,$G983,月間集計シート!T$29:T$48)*P$2</f>
        <v>0</v>
      </c>
      <c r="Q983" s="88">
        <f>SUMIF(月間集計シート!$M$50:$M$69,$G983,月間集計シート!N$50:N$69)*Q$2</f>
        <v>0</v>
      </c>
      <c r="R983" s="88">
        <f>SUMIF(月間集計シート!$M$50:$M$69,$G983,月間集計シート!O$50:O$69)*R$2</f>
        <v>0</v>
      </c>
      <c r="S983" s="88">
        <f>SUMIF(月間集計シート!$M$50:$M$69,$G983,月間集計シート!P$50:P$69)*S$2</f>
        <v>0</v>
      </c>
      <c r="T983" s="88">
        <f>SUMIF(月間集計シート!$M$50:$M$69,$G983,月間集計シート!Q$50:Q$69)*T$2</f>
        <v>0</v>
      </c>
      <c r="U983" s="88">
        <f>SUMIF(月間集計シート!$M$50:$M$69,$G983,月間集計シート!R$50:R$69)*U$2</f>
        <v>0</v>
      </c>
      <c r="V983" s="88">
        <f>SUMIF(月間集計シート!$M$50:$M$69,$G983,月間集計シート!S$50:S$69)*V$2</f>
        <v>0</v>
      </c>
      <c r="W983" s="88">
        <f>SUMIF(月間集計シート!$M$50:$M$69,$G983,月間集計シート!T$50:T$69)*W$2</f>
        <v>0</v>
      </c>
      <c r="X983" s="88">
        <f>SUMIF(月間集計シート!$M$71:$M$90,$G983,月間集計シート!N$71:N$90)*X$2</f>
        <v>0</v>
      </c>
      <c r="Y983" s="88">
        <f>SUMIF(月間集計シート!$M$71:$M$90,$G983,月間集計シート!O$71:O$90)*Y$2</f>
        <v>0</v>
      </c>
      <c r="Z983" s="88">
        <f>SUMIF(月間集計シート!$M$71:$M$90,$G983,月間集計シート!P$71:P$90)*Z$2</f>
        <v>0</v>
      </c>
      <c r="AA983" s="88">
        <f>SUMIF(月間集計シート!$M$71:$M$90,$G983,月間集計シート!Q$71:Q$90)*AA$2</f>
        <v>0</v>
      </c>
      <c r="AB983" s="88">
        <f>SUMIF(月間集計シート!$M$71:$M$90,$G983,月間集計シート!R$71:R$90)*AB$2</f>
        <v>0</v>
      </c>
      <c r="AC983" s="88">
        <f>SUMIF(月間集計シート!$M$71:$M$90,$G983,月間集計シート!S$71:S$90)*AC$2</f>
        <v>0</v>
      </c>
      <c r="AD983" s="88">
        <f>SUMIF(月間集計シート!$M$71:$M$90,$G983,月間集計シート!T$71:T$90)*AD$2</f>
        <v>0</v>
      </c>
      <c r="AE983" s="88">
        <f>SUMIF(月間集計シート!$M$92:$M$111,$G983,月間集計シート!N$92:N$111)*AE$2</f>
        <v>0</v>
      </c>
      <c r="AF983" s="88">
        <f>SUMIF(月間集計シート!$M$92:$M$111,$G983,月間集計シート!O$92:O$111)*AF$2</f>
        <v>0</v>
      </c>
      <c r="AG983" s="88">
        <f>SUMIF(月間集計シート!$M$92:$M$111,$G983,月間集計シート!P$92:P$111)*AG$2</f>
        <v>0</v>
      </c>
      <c r="AH983" s="88">
        <f>SUMIF(月間集計シート!$M$92:$M$111,$G983,月間集計シート!Q$92:Q$111)*AH$2</f>
        <v>0</v>
      </c>
      <c r="AI983" s="88">
        <f>SUMIF(月間集計シート!$M$92:$M$111,$G983,月間集計シート!R$92:R$111)*AI$2</f>
        <v>0</v>
      </c>
      <c r="AJ983" s="88">
        <f>SUMIF(月間集計シート!$M$92:$M$111,$G983,月間集計シート!S$92:S$111)*AJ$2</f>
        <v>0</v>
      </c>
      <c r="AK983" s="88">
        <f>SUMIF(月間集計シート!$M$92:$M$111,$G983,月間集計シート!T$92:T$111)*AK$2</f>
        <v>0</v>
      </c>
      <c r="AL983" s="88">
        <f>SUMIF(月間集計シート!$M$113:$M$132,$G983,月間集計シート!N$113:N$132)*AL$2</f>
        <v>0</v>
      </c>
      <c r="AM983" s="88">
        <f>SUMIF(月間集計シート!$M$113:$M$132,$G983,月間集計シート!O$113:O$132)*AM$2</f>
        <v>0</v>
      </c>
      <c r="AN983" s="88">
        <f>SUMIF(月間集計シート!$M$113:$M$132,$G983,月間集計シート!P$113:P$132)*AN$2</f>
        <v>0</v>
      </c>
      <c r="AO983" s="88">
        <f>SUMIF(月間集計シート!$M$113:$M$132,$G983,月間集計シート!Q$113:Q$132)*AO$2</f>
        <v>0</v>
      </c>
      <c r="AP983" s="88">
        <f>SUMIF(月間集計シート!$M$113:$M$132,$G983,月間集計シート!R$113:R$132)*AP$2</f>
        <v>0</v>
      </c>
      <c r="AQ983" s="88">
        <f>SUMIF(月間集計シート!$M$113:$M$132,$G983,月間集計シート!S$113:S$132)*AQ$2</f>
        <v>0</v>
      </c>
      <c r="AR983" s="88">
        <f>SUMIF(月間集計シート!$M$113:$M$132,$G983,月間集計シート!T$113:T$132)*AR$2</f>
        <v>0</v>
      </c>
      <c r="AS983" s="88">
        <f>SUMIF(月間集計シート!$M$134:$M$153,$G983,月間集計シート!N$134:N$153)*AS$2</f>
        <v>0</v>
      </c>
      <c r="AT983" s="88">
        <f>SUMIF(月間集計シート!$M$134:$M$153,$G983,月間集計シート!O$134:O$153)*AT$2</f>
        <v>0</v>
      </c>
      <c r="AU983" s="88">
        <f>SUMIF(月間集計シート!$M$134:$M$153,$G983,月間集計シート!P$134:P$153)*AU$2</f>
        <v>0</v>
      </c>
      <c r="AV983" s="88">
        <f>SUMIF(月間集計シート!$M$134:$M$153,$G983,月間集計シート!Q$134:Q$153)*AV$2</f>
        <v>0</v>
      </c>
      <c r="AW983" s="88">
        <f>SUMIF(月間集計シート!$M$134:$M$153,$G983,月間集計シート!R$134:R$153)*AW$2</f>
        <v>0</v>
      </c>
      <c r="AX983" s="88">
        <f>SUMIF(月間集計シート!$M$134:$M$153,$G983,月間集計シート!S$134:S$153)*AX$2</f>
        <v>0</v>
      </c>
      <c r="AY983" s="88">
        <f>SUMIF(月間集計シート!$M$134:$M$153,$G983,月間集計シート!T$134:T$153)*AY$2</f>
        <v>0</v>
      </c>
    </row>
    <row r="984" spans="1:51" ht="14.25" thickBot="1">
      <c r="A984">
        <v>12</v>
      </c>
      <c r="B984" s="120">
        <f t="shared" si="517"/>
        <v>0</v>
      </c>
      <c r="C984" s="120" t="str">
        <f t="shared" si="518"/>
        <v/>
      </c>
      <c r="D984" s="137"/>
      <c r="E984" s="150" t="str">
        <f>工種!A41</f>
        <v>50199</v>
      </c>
      <c r="F984" s="119" t="str">
        <f>工種!B41</f>
        <v>ﾏﾆｭｱﾙ作成：その他</v>
      </c>
      <c r="G984" s="116" t="str">
        <f t="shared" si="519"/>
        <v>050199</v>
      </c>
      <c r="H984" s="88">
        <f t="shared" si="516"/>
        <v>0</v>
      </c>
      <c r="I984" s="132"/>
      <c r="J984" s="88">
        <f>SUMIF(月間集計シート!$M$29:$M$48,$G984,月間集計シート!N$29:N$48)*J$2</f>
        <v>0</v>
      </c>
      <c r="K984" s="88">
        <f>SUMIF(月間集計シート!$M$29:$M$48,$G984,月間集計シート!O$29:O$48)*K$2</f>
        <v>0</v>
      </c>
      <c r="L984" s="88">
        <f>SUMIF(月間集計シート!$M$29:$M$48,$G984,月間集計シート!P$29:P$48)*L$2</f>
        <v>0</v>
      </c>
      <c r="M984" s="88">
        <f>SUMIF(月間集計シート!$M$29:$M$48,$G984,月間集計シート!Q$29:Q$48)*M$2</f>
        <v>0</v>
      </c>
      <c r="N984" s="88">
        <f>SUMIF(月間集計シート!$M$29:$M$48,$G984,月間集計シート!R$29:R$48)*N$2</f>
        <v>0</v>
      </c>
      <c r="O984" s="88">
        <f>SUMIF(月間集計シート!$M$29:$M$48,$G984,月間集計シート!S$29:S$48)*O$2</f>
        <v>0</v>
      </c>
      <c r="P984" s="88">
        <f>SUMIF(月間集計シート!$M$29:$M$48,$G984,月間集計シート!T$29:T$48)*P$2</f>
        <v>0</v>
      </c>
      <c r="Q984" s="88">
        <f>SUMIF(月間集計シート!$M$50:$M$69,$G984,月間集計シート!N$50:N$69)*Q$2</f>
        <v>0</v>
      </c>
      <c r="R984" s="88">
        <f>SUMIF(月間集計シート!$M$50:$M$69,$G984,月間集計シート!O$50:O$69)*R$2</f>
        <v>0</v>
      </c>
      <c r="S984" s="88">
        <f>SUMIF(月間集計シート!$M$50:$M$69,$G984,月間集計シート!P$50:P$69)*S$2</f>
        <v>0</v>
      </c>
      <c r="T984" s="88">
        <f>SUMIF(月間集計シート!$M$50:$M$69,$G984,月間集計シート!Q$50:Q$69)*T$2</f>
        <v>0</v>
      </c>
      <c r="U984" s="88">
        <f>SUMIF(月間集計シート!$M$50:$M$69,$G984,月間集計シート!R$50:R$69)*U$2</f>
        <v>0</v>
      </c>
      <c r="V984" s="88">
        <f>SUMIF(月間集計シート!$M$50:$M$69,$G984,月間集計シート!S$50:S$69)*V$2</f>
        <v>0</v>
      </c>
      <c r="W984" s="88">
        <f>SUMIF(月間集計シート!$M$50:$M$69,$G984,月間集計シート!T$50:T$69)*W$2</f>
        <v>0</v>
      </c>
      <c r="X984" s="88">
        <f>SUMIF(月間集計シート!$M$71:$M$90,$G984,月間集計シート!N$71:N$90)*X$2</f>
        <v>0</v>
      </c>
      <c r="Y984" s="88">
        <f>SUMIF(月間集計シート!$M$71:$M$90,$G984,月間集計シート!O$71:O$90)*Y$2</f>
        <v>0</v>
      </c>
      <c r="Z984" s="88">
        <f>SUMIF(月間集計シート!$M$71:$M$90,$G984,月間集計シート!P$71:P$90)*Z$2</f>
        <v>0</v>
      </c>
      <c r="AA984" s="88">
        <f>SUMIF(月間集計シート!$M$71:$M$90,$G984,月間集計シート!Q$71:Q$90)*AA$2</f>
        <v>0</v>
      </c>
      <c r="AB984" s="88">
        <f>SUMIF(月間集計シート!$M$71:$M$90,$G984,月間集計シート!R$71:R$90)*AB$2</f>
        <v>0</v>
      </c>
      <c r="AC984" s="88">
        <f>SUMIF(月間集計シート!$M$71:$M$90,$G984,月間集計シート!S$71:S$90)*AC$2</f>
        <v>0</v>
      </c>
      <c r="AD984" s="88">
        <f>SUMIF(月間集計シート!$M$71:$M$90,$G984,月間集計シート!T$71:T$90)*AD$2</f>
        <v>0</v>
      </c>
      <c r="AE984" s="88">
        <f>SUMIF(月間集計シート!$M$92:$M$111,$G984,月間集計シート!N$92:N$111)*AE$2</f>
        <v>0</v>
      </c>
      <c r="AF984" s="88">
        <f>SUMIF(月間集計シート!$M$92:$M$111,$G984,月間集計シート!O$92:O$111)*AF$2</f>
        <v>0</v>
      </c>
      <c r="AG984" s="88">
        <f>SUMIF(月間集計シート!$M$92:$M$111,$G984,月間集計シート!P$92:P$111)*AG$2</f>
        <v>0</v>
      </c>
      <c r="AH984" s="88">
        <f>SUMIF(月間集計シート!$M$92:$M$111,$G984,月間集計シート!Q$92:Q$111)*AH$2</f>
        <v>0</v>
      </c>
      <c r="AI984" s="88">
        <f>SUMIF(月間集計シート!$M$92:$M$111,$G984,月間集計シート!R$92:R$111)*AI$2</f>
        <v>0</v>
      </c>
      <c r="AJ984" s="88">
        <f>SUMIF(月間集計シート!$M$92:$M$111,$G984,月間集計シート!S$92:S$111)*AJ$2</f>
        <v>0</v>
      </c>
      <c r="AK984" s="88">
        <f>SUMIF(月間集計シート!$M$92:$M$111,$G984,月間集計シート!T$92:T$111)*AK$2</f>
        <v>0</v>
      </c>
      <c r="AL984" s="88">
        <f>SUMIF(月間集計シート!$M$113:$M$132,$G984,月間集計シート!N$113:N$132)*AL$2</f>
        <v>0</v>
      </c>
      <c r="AM984" s="88">
        <f>SUMIF(月間集計シート!$M$113:$M$132,$G984,月間集計シート!O$113:O$132)*AM$2</f>
        <v>0</v>
      </c>
      <c r="AN984" s="88">
        <f>SUMIF(月間集計シート!$M$113:$M$132,$G984,月間集計シート!P$113:P$132)*AN$2</f>
        <v>0</v>
      </c>
      <c r="AO984" s="88">
        <f>SUMIF(月間集計シート!$M$113:$M$132,$G984,月間集計シート!Q$113:Q$132)*AO$2</f>
        <v>0</v>
      </c>
      <c r="AP984" s="88">
        <f>SUMIF(月間集計シート!$M$113:$M$132,$G984,月間集計シート!R$113:R$132)*AP$2</f>
        <v>0</v>
      </c>
      <c r="AQ984" s="88">
        <f>SUMIF(月間集計シート!$M$113:$M$132,$G984,月間集計シート!S$113:S$132)*AQ$2</f>
        <v>0</v>
      </c>
      <c r="AR984" s="88">
        <f>SUMIF(月間集計シート!$M$113:$M$132,$G984,月間集計シート!T$113:T$132)*AR$2</f>
        <v>0</v>
      </c>
      <c r="AS984" s="88">
        <f>SUMIF(月間集計シート!$M$134:$M$153,$G984,月間集計シート!N$134:N$153)*AS$2</f>
        <v>0</v>
      </c>
      <c r="AT984" s="88">
        <f>SUMIF(月間集計シート!$M$134:$M$153,$G984,月間集計シート!O$134:O$153)*AT$2</f>
        <v>0</v>
      </c>
      <c r="AU984" s="88">
        <f>SUMIF(月間集計シート!$M$134:$M$153,$G984,月間集計シート!P$134:P$153)*AU$2</f>
        <v>0</v>
      </c>
      <c r="AV984" s="88">
        <f>SUMIF(月間集計シート!$M$134:$M$153,$G984,月間集計シート!Q$134:Q$153)*AV$2</f>
        <v>0</v>
      </c>
      <c r="AW984" s="88">
        <f>SUMIF(月間集計シート!$M$134:$M$153,$G984,月間集計シート!R$134:R$153)*AW$2</f>
        <v>0</v>
      </c>
      <c r="AX984" s="88">
        <f>SUMIF(月間集計シート!$M$134:$M$153,$G984,月間集計シート!S$134:S$153)*AX$2</f>
        <v>0</v>
      </c>
      <c r="AY984" s="88">
        <f>SUMIF(月間集計シート!$M$134:$M$153,$G984,月間集計シート!T$134:T$153)*AY$2</f>
        <v>0</v>
      </c>
    </row>
    <row r="985" spans="1:51" ht="14.25" thickBot="1">
      <c r="A985">
        <v>12</v>
      </c>
      <c r="B985" s="120">
        <f t="shared" si="517"/>
        <v>0</v>
      </c>
      <c r="C985" s="120" t="str">
        <f t="shared" si="518"/>
        <v/>
      </c>
      <c r="D985" s="137"/>
      <c r="E985" s="150" t="str">
        <f>工種!A42</f>
        <v>60101</v>
      </c>
      <c r="F985" s="119" t="str">
        <f>工種!B42</f>
        <v>ﾘﾘｰｽ：ﾘﾘｰｽ・ﾃﾞﾘﾊﾞﾘ作業</v>
      </c>
      <c r="G985" s="116" t="str">
        <f t="shared" si="519"/>
        <v>060101</v>
      </c>
      <c r="H985" s="88">
        <f t="shared" si="516"/>
        <v>0</v>
      </c>
      <c r="I985" s="132"/>
      <c r="J985" s="88">
        <f>SUMIF(月間集計シート!$M$29:$M$48,$G985,月間集計シート!N$29:N$48)*J$2</f>
        <v>0</v>
      </c>
      <c r="K985" s="88">
        <f>SUMIF(月間集計シート!$M$29:$M$48,$G985,月間集計シート!O$29:O$48)*K$2</f>
        <v>0</v>
      </c>
      <c r="L985" s="88">
        <f>SUMIF(月間集計シート!$M$29:$M$48,$G985,月間集計シート!P$29:P$48)*L$2</f>
        <v>0</v>
      </c>
      <c r="M985" s="88">
        <f>SUMIF(月間集計シート!$M$29:$M$48,$G985,月間集計シート!Q$29:Q$48)*M$2</f>
        <v>0</v>
      </c>
      <c r="N985" s="88">
        <f>SUMIF(月間集計シート!$M$29:$M$48,$G985,月間集計シート!R$29:R$48)*N$2</f>
        <v>0</v>
      </c>
      <c r="O985" s="88">
        <f>SUMIF(月間集計シート!$M$29:$M$48,$G985,月間集計シート!S$29:S$48)*O$2</f>
        <v>0</v>
      </c>
      <c r="P985" s="88">
        <f>SUMIF(月間集計シート!$M$29:$M$48,$G985,月間集計シート!T$29:T$48)*P$2</f>
        <v>0</v>
      </c>
      <c r="Q985" s="88">
        <f>SUMIF(月間集計シート!$M$50:$M$69,$G985,月間集計シート!N$50:N$69)*Q$2</f>
        <v>0</v>
      </c>
      <c r="R985" s="88">
        <f>SUMIF(月間集計シート!$M$50:$M$69,$G985,月間集計シート!O$50:O$69)*R$2</f>
        <v>0</v>
      </c>
      <c r="S985" s="88">
        <f>SUMIF(月間集計シート!$M$50:$M$69,$G985,月間集計シート!P$50:P$69)*S$2</f>
        <v>0</v>
      </c>
      <c r="T985" s="88">
        <f>SUMIF(月間集計シート!$M$50:$M$69,$G985,月間集計シート!Q$50:Q$69)*T$2</f>
        <v>0</v>
      </c>
      <c r="U985" s="88">
        <f>SUMIF(月間集計シート!$M$50:$M$69,$G985,月間集計シート!R$50:R$69)*U$2</f>
        <v>0</v>
      </c>
      <c r="V985" s="88">
        <f>SUMIF(月間集計シート!$M$50:$M$69,$G985,月間集計シート!S$50:S$69)*V$2</f>
        <v>0</v>
      </c>
      <c r="W985" s="88">
        <f>SUMIF(月間集計シート!$M$50:$M$69,$G985,月間集計シート!T$50:T$69)*W$2</f>
        <v>0</v>
      </c>
      <c r="X985" s="88">
        <f>SUMIF(月間集計シート!$M$71:$M$90,$G985,月間集計シート!N$71:N$90)*X$2</f>
        <v>0</v>
      </c>
      <c r="Y985" s="88">
        <f>SUMIF(月間集計シート!$M$71:$M$90,$G985,月間集計シート!O$71:O$90)*Y$2</f>
        <v>0</v>
      </c>
      <c r="Z985" s="88">
        <f>SUMIF(月間集計シート!$M$71:$M$90,$G985,月間集計シート!P$71:P$90)*Z$2</f>
        <v>0</v>
      </c>
      <c r="AA985" s="88">
        <f>SUMIF(月間集計シート!$M$71:$M$90,$G985,月間集計シート!Q$71:Q$90)*AA$2</f>
        <v>0</v>
      </c>
      <c r="AB985" s="88">
        <f>SUMIF(月間集計シート!$M$71:$M$90,$G985,月間集計シート!R$71:R$90)*AB$2</f>
        <v>0</v>
      </c>
      <c r="AC985" s="88">
        <f>SUMIF(月間集計シート!$M$71:$M$90,$G985,月間集計シート!S$71:S$90)*AC$2</f>
        <v>0</v>
      </c>
      <c r="AD985" s="88">
        <f>SUMIF(月間集計シート!$M$71:$M$90,$G985,月間集計シート!T$71:T$90)*AD$2</f>
        <v>0</v>
      </c>
      <c r="AE985" s="88">
        <f>SUMIF(月間集計シート!$M$92:$M$111,$G985,月間集計シート!N$92:N$111)*AE$2</f>
        <v>0</v>
      </c>
      <c r="AF985" s="88">
        <f>SUMIF(月間集計シート!$M$92:$M$111,$G985,月間集計シート!O$92:O$111)*AF$2</f>
        <v>0</v>
      </c>
      <c r="AG985" s="88">
        <f>SUMIF(月間集計シート!$M$92:$M$111,$G985,月間集計シート!P$92:P$111)*AG$2</f>
        <v>0</v>
      </c>
      <c r="AH985" s="88">
        <f>SUMIF(月間集計シート!$M$92:$M$111,$G985,月間集計シート!Q$92:Q$111)*AH$2</f>
        <v>0</v>
      </c>
      <c r="AI985" s="88">
        <f>SUMIF(月間集計シート!$M$92:$M$111,$G985,月間集計シート!R$92:R$111)*AI$2</f>
        <v>0</v>
      </c>
      <c r="AJ985" s="88">
        <f>SUMIF(月間集計シート!$M$92:$M$111,$G985,月間集計シート!S$92:S$111)*AJ$2</f>
        <v>0</v>
      </c>
      <c r="AK985" s="88">
        <f>SUMIF(月間集計シート!$M$92:$M$111,$G985,月間集計シート!T$92:T$111)*AK$2</f>
        <v>0</v>
      </c>
      <c r="AL985" s="88">
        <f>SUMIF(月間集計シート!$M$113:$M$132,$G985,月間集計シート!N$113:N$132)*AL$2</f>
        <v>0</v>
      </c>
      <c r="AM985" s="88">
        <f>SUMIF(月間集計シート!$M$113:$M$132,$G985,月間集計シート!O$113:O$132)*AM$2</f>
        <v>0</v>
      </c>
      <c r="AN985" s="88">
        <f>SUMIF(月間集計シート!$M$113:$M$132,$G985,月間集計シート!P$113:P$132)*AN$2</f>
        <v>0</v>
      </c>
      <c r="AO985" s="88">
        <f>SUMIF(月間集計シート!$M$113:$M$132,$G985,月間集計シート!Q$113:Q$132)*AO$2</f>
        <v>0</v>
      </c>
      <c r="AP985" s="88">
        <f>SUMIF(月間集計シート!$M$113:$M$132,$G985,月間集計シート!R$113:R$132)*AP$2</f>
        <v>0</v>
      </c>
      <c r="AQ985" s="88">
        <f>SUMIF(月間集計シート!$M$113:$M$132,$G985,月間集計シート!S$113:S$132)*AQ$2</f>
        <v>0</v>
      </c>
      <c r="AR985" s="88">
        <f>SUMIF(月間集計シート!$M$113:$M$132,$G985,月間集計シート!T$113:T$132)*AR$2</f>
        <v>0</v>
      </c>
      <c r="AS985" s="88">
        <f>SUMIF(月間集計シート!$M$134:$M$153,$G985,月間集計シート!N$134:N$153)*AS$2</f>
        <v>0</v>
      </c>
      <c r="AT985" s="88">
        <f>SUMIF(月間集計シート!$M$134:$M$153,$G985,月間集計シート!O$134:O$153)*AT$2</f>
        <v>0</v>
      </c>
      <c r="AU985" s="88">
        <f>SUMIF(月間集計シート!$M$134:$M$153,$G985,月間集計シート!P$134:P$153)*AU$2</f>
        <v>0</v>
      </c>
      <c r="AV985" s="88">
        <f>SUMIF(月間集計シート!$M$134:$M$153,$G985,月間集計シート!Q$134:Q$153)*AV$2</f>
        <v>0</v>
      </c>
      <c r="AW985" s="88">
        <f>SUMIF(月間集計シート!$M$134:$M$153,$G985,月間集計シート!R$134:R$153)*AW$2</f>
        <v>0</v>
      </c>
      <c r="AX985" s="88">
        <f>SUMIF(月間集計シート!$M$134:$M$153,$G985,月間集計シート!S$134:S$153)*AX$2</f>
        <v>0</v>
      </c>
      <c r="AY985" s="88">
        <f>SUMIF(月間集計シート!$M$134:$M$153,$G985,月間集計シート!T$134:T$153)*AY$2</f>
        <v>0</v>
      </c>
    </row>
    <row r="986" spans="1:51" ht="14.25" thickBot="1">
      <c r="A986">
        <v>12</v>
      </c>
      <c r="B986" s="120">
        <f t="shared" si="517"/>
        <v>0</v>
      </c>
      <c r="C986" s="120" t="str">
        <f t="shared" si="518"/>
        <v/>
      </c>
      <c r="D986" s="137"/>
      <c r="E986" s="150" t="str">
        <f>工種!A43</f>
        <v>60102</v>
      </c>
      <c r="F986" s="119" t="str">
        <f>工種!B43</f>
        <v>ﾘﾘｰｽ：ﾘﾘｰｽ関連業務</v>
      </c>
      <c r="G986" s="116" t="str">
        <f t="shared" si="519"/>
        <v>060102</v>
      </c>
      <c r="H986" s="88">
        <f t="shared" si="516"/>
        <v>0</v>
      </c>
      <c r="I986" s="132"/>
      <c r="J986" s="88">
        <f>SUMIF(月間集計シート!$M$29:$M$48,$G986,月間集計シート!N$29:N$48)*J$2</f>
        <v>0</v>
      </c>
      <c r="K986" s="88">
        <f>SUMIF(月間集計シート!$M$29:$M$48,$G986,月間集計シート!O$29:O$48)*K$2</f>
        <v>0</v>
      </c>
      <c r="L986" s="88">
        <f>SUMIF(月間集計シート!$M$29:$M$48,$G986,月間集計シート!P$29:P$48)*L$2</f>
        <v>0</v>
      </c>
      <c r="M986" s="88">
        <f>SUMIF(月間集計シート!$M$29:$M$48,$G986,月間集計シート!Q$29:Q$48)*M$2</f>
        <v>0</v>
      </c>
      <c r="N986" s="88">
        <f>SUMIF(月間集計シート!$M$29:$M$48,$G986,月間集計シート!R$29:R$48)*N$2</f>
        <v>0</v>
      </c>
      <c r="O986" s="88">
        <f>SUMIF(月間集計シート!$M$29:$M$48,$G986,月間集計シート!S$29:S$48)*O$2</f>
        <v>0</v>
      </c>
      <c r="P986" s="88">
        <f>SUMIF(月間集計シート!$M$29:$M$48,$G986,月間集計シート!T$29:T$48)*P$2</f>
        <v>0</v>
      </c>
      <c r="Q986" s="88">
        <f>SUMIF(月間集計シート!$M$50:$M$69,$G986,月間集計シート!N$50:N$69)*Q$2</f>
        <v>0</v>
      </c>
      <c r="R986" s="88">
        <f>SUMIF(月間集計シート!$M$50:$M$69,$G986,月間集計シート!O$50:O$69)*R$2</f>
        <v>0</v>
      </c>
      <c r="S986" s="88">
        <f>SUMIF(月間集計シート!$M$50:$M$69,$G986,月間集計シート!P$50:P$69)*S$2</f>
        <v>0</v>
      </c>
      <c r="T986" s="88">
        <f>SUMIF(月間集計シート!$M$50:$M$69,$G986,月間集計シート!Q$50:Q$69)*T$2</f>
        <v>0</v>
      </c>
      <c r="U986" s="88">
        <f>SUMIF(月間集計シート!$M$50:$M$69,$G986,月間集計シート!R$50:R$69)*U$2</f>
        <v>0</v>
      </c>
      <c r="V986" s="88">
        <f>SUMIF(月間集計シート!$M$50:$M$69,$G986,月間集計シート!S$50:S$69)*V$2</f>
        <v>0</v>
      </c>
      <c r="W986" s="88">
        <f>SUMIF(月間集計シート!$M$50:$M$69,$G986,月間集計シート!T$50:T$69)*W$2</f>
        <v>0</v>
      </c>
      <c r="X986" s="88">
        <f>SUMIF(月間集計シート!$M$71:$M$90,$G986,月間集計シート!N$71:N$90)*X$2</f>
        <v>0</v>
      </c>
      <c r="Y986" s="88">
        <f>SUMIF(月間集計シート!$M$71:$M$90,$G986,月間集計シート!O$71:O$90)*Y$2</f>
        <v>0</v>
      </c>
      <c r="Z986" s="88">
        <f>SUMIF(月間集計シート!$M$71:$M$90,$G986,月間集計シート!P$71:P$90)*Z$2</f>
        <v>0</v>
      </c>
      <c r="AA986" s="88">
        <f>SUMIF(月間集計シート!$M$71:$M$90,$G986,月間集計シート!Q$71:Q$90)*AA$2</f>
        <v>0</v>
      </c>
      <c r="AB986" s="88">
        <f>SUMIF(月間集計シート!$M$71:$M$90,$G986,月間集計シート!R$71:R$90)*AB$2</f>
        <v>0</v>
      </c>
      <c r="AC986" s="88">
        <f>SUMIF(月間集計シート!$M$71:$M$90,$G986,月間集計シート!S$71:S$90)*AC$2</f>
        <v>0</v>
      </c>
      <c r="AD986" s="88">
        <f>SUMIF(月間集計シート!$M$71:$M$90,$G986,月間集計シート!T$71:T$90)*AD$2</f>
        <v>0</v>
      </c>
      <c r="AE986" s="88">
        <f>SUMIF(月間集計シート!$M$92:$M$111,$G986,月間集計シート!N$92:N$111)*AE$2</f>
        <v>0</v>
      </c>
      <c r="AF986" s="88">
        <f>SUMIF(月間集計シート!$M$92:$M$111,$G986,月間集計シート!O$92:O$111)*AF$2</f>
        <v>0</v>
      </c>
      <c r="AG986" s="88">
        <f>SUMIF(月間集計シート!$M$92:$M$111,$G986,月間集計シート!P$92:P$111)*AG$2</f>
        <v>0</v>
      </c>
      <c r="AH986" s="88">
        <f>SUMIF(月間集計シート!$M$92:$M$111,$G986,月間集計シート!Q$92:Q$111)*AH$2</f>
        <v>0</v>
      </c>
      <c r="AI986" s="88">
        <f>SUMIF(月間集計シート!$M$92:$M$111,$G986,月間集計シート!R$92:R$111)*AI$2</f>
        <v>0</v>
      </c>
      <c r="AJ986" s="88">
        <f>SUMIF(月間集計シート!$M$92:$M$111,$G986,月間集計シート!S$92:S$111)*AJ$2</f>
        <v>0</v>
      </c>
      <c r="AK986" s="88">
        <f>SUMIF(月間集計シート!$M$92:$M$111,$G986,月間集計シート!T$92:T$111)*AK$2</f>
        <v>0</v>
      </c>
      <c r="AL986" s="88">
        <f>SUMIF(月間集計シート!$M$113:$M$132,$G986,月間集計シート!N$113:N$132)*AL$2</f>
        <v>0</v>
      </c>
      <c r="AM986" s="88">
        <f>SUMIF(月間集計シート!$M$113:$M$132,$G986,月間集計シート!O$113:O$132)*AM$2</f>
        <v>0</v>
      </c>
      <c r="AN986" s="88">
        <f>SUMIF(月間集計シート!$M$113:$M$132,$G986,月間集計シート!P$113:P$132)*AN$2</f>
        <v>0</v>
      </c>
      <c r="AO986" s="88">
        <f>SUMIF(月間集計シート!$M$113:$M$132,$G986,月間集計シート!Q$113:Q$132)*AO$2</f>
        <v>0</v>
      </c>
      <c r="AP986" s="88">
        <f>SUMIF(月間集計シート!$M$113:$M$132,$G986,月間集計シート!R$113:R$132)*AP$2</f>
        <v>0</v>
      </c>
      <c r="AQ986" s="88">
        <f>SUMIF(月間集計シート!$M$113:$M$132,$G986,月間集計シート!S$113:S$132)*AQ$2</f>
        <v>0</v>
      </c>
      <c r="AR986" s="88">
        <f>SUMIF(月間集計シート!$M$113:$M$132,$G986,月間集計シート!T$113:T$132)*AR$2</f>
        <v>0</v>
      </c>
      <c r="AS986" s="88">
        <f>SUMIF(月間集計シート!$M$134:$M$153,$G986,月間集計シート!N$134:N$153)*AS$2</f>
        <v>0</v>
      </c>
      <c r="AT986" s="88">
        <f>SUMIF(月間集計シート!$M$134:$M$153,$G986,月間集計シート!O$134:O$153)*AT$2</f>
        <v>0</v>
      </c>
      <c r="AU986" s="88">
        <f>SUMIF(月間集計シート!$M$134:$M$153,$G986,月間集計シート!P$134:P$153)*AU$2</f>
        <v>0</v>
      </c>
      <c r="AV986" s="88">
        <f>SUMIF(月間集計シート!$M$134:$M$153,$G986,月間集計シート!Q$134:Q$153)*AV$2</f>
        <v>0</v>
      </c>
      <c r="AW986" s="88">
        <f>SUMIF(月間集計シート!$M$134:$M$153,$G986,月間集計シート!R$134:R$153)*AW$2</f>
        <v>0</v>
      </c>
      <c r="AX986" s="88">
        <f>SUMIF(月間集計シート!$M$134:$M$153,$G986,月間集計シート!S$134:S$153)*AX$2</f>
        <v>0</v>
      </c>
      <c r="AY986" s="88">
        <f>SUMIF(月間集計シート!$M$134:$M$153,$G986,月間集計シート!T$134:T$153)*AY$2</f>
        <v>0</v>
      </c>
    </row>
    <row r="987" spans="1:51" ht="14.25" thickBot="1">
      <c r="A987">
        <v>12</v>
      </c>
      <c r="B987" s="120">
        <f t="shared" si="517"/>
        <v>0</v>
      </c>
      <c r="C987" s="120" t="str">
        <f t="shared" si="518"/>
        <v/>
      </c>
      <c r="D987" s="137"/>
      <c r="E987" s="150" t="str">
        <f>工種!A44</f>
        <v>60103</v>
      </c>
      <c r="F987" s="119" t="str">
        <f>工種!B44</f>
        <v>ﾘﾘｰｽ：ﾏﾆｭｱﾙPDF作成・修正</v>
      </c>
      <c r="G987" s="116" t="str">
        <f t="shared" si="519"/>
        <v>060103</v>
      </c>
      <c r="H987" s="88">
        <f t="shared" si="516"/>
        <v>0</v>
      </c>
      <c r="I987" s="132"/>
      <c r="J987" s="88">
        <f>SUMIF(月間集計シート!$M$29:$M$48,$G987,月間集計シート!N$29:N$48)*J$2</f>
        <v>0</v>
      </c>
      <c r="K987" s="88">
        <f>SUMIF(月間集計シート!$M$29:$M$48,$G987,月間集計シート!O$29:O$48)*K$2</f>
        <v>0</v>
      </c>
      <c r="L987" s="88">
        <f>SUMIF(月間集計シート!$M$29:$M$48,$G987,月間集計シート!P$29:P$48)*L$2</f>
        <v>0</v>
      </c>
      <c r="M987" s="88">
        <f>SUMIF(月間集計シート!$M$29:$M$48,$G987,月間集計シート!Q$29:Q$48)*M$2</f>
        <v>0</v>
      </c>
      <c r="N987" s="88">
        <f>SUMIF(月間集計シート!$M$29:$M$48,$G987,月間集計シート!R$29:R$48)*N$2</f>
        <v>0</v>
      </c>
      <c r="O987" s="88">
        <f>SUMIF(月間集計シート!$M$29:$M$48,$G987,月間集計シート!S$29:S$48)*O$2</f>
        <v>0</v>
      </c>
      <c r="P987" s="88">
        <f>SUMIF(月間集計シート!$M$29:$M$48,$G987,月間集計シート!T$29:T$48)*P$2</f>
        <v>0</v>
      </c>
      <c r="Q987" s="88">
        <f>SUMIF(月間集計シート!$M$50:$M$69,$G987,月間集計シート!N$50:N$69)*Q$2</f>
        <v>0</v>
      </c>
      <c r="R987" s="88">
        <f>SUMIF(月間集計シート!$M$50:$M$69,$G987,月間集計シート!O$50:O$69)*R$2</f>
        <v>0</v>
      </c>
      <c r="S987" s="88">
        <f>SUMIF(月間集計シート!$M$50:$M$69,$G987,月間集計シート!P$50:P$69)*S$2</f>
        <v>0</v>
      </c>
      <c r="T987" s="88">
        <f>SUMIF(月間集計シート!$M$50:$M$69,$G987,月間集計シート!Q$50:Q$69)*T$2</f>
        <v>0</v>
      </c>
      <c r="U987" s="88">
        <f>SUMIF(月間集計シート!$M$50:$M$69,$G987,月間集計シート!R$50:R$69)*U$2</f>
        <v>0</v>
      </c>
      <c r="V987" s="88">
        <f>SUMIF(月間集計シート!$M$50:$M$69,$G987,月間集計シート!S$50:S$69)*V$2</f>
        <v>0</v>
      </c>
      <c r="W987" s="88">
        <f>SUMIF(月間集計シート!$M$50:$M$69,$G987,月間集計シート!T$50:T$69)*W$2</f>
        <v>0</v>
      </c>
      <c r="X987" s="88">
        <f>SUMIF(月間集計シート!$M$71:$M$90,$G987,月間集計シート!N$71:N$90)*X$2</f>
        <v>0</v>
      </c>
      <c r="Y987" s="88">
        <f>SUMIF(月間集計シート!$M$71:$M$90,$G987,月間集計シート!O$71:O$90)*Y$2</f>
        <v>0</v>
      </c>
      <c r="Z987" s="88">
        <f>SUMIF(月間集計シート!$M$71:$M$90,$G987,月間集計シート!P$71:P$90)*Z$2</f>
        <v>0</v>
      </c>
      <c r="AA987" s="88">
        <f>SUMIF(月間集計シート!$M$71:$M$90,$G987,月間集計シート!Q$71:Q$90)*AA$2</f>
        <v>0</v>
      </c>
      <c r="AB987" s="88">
        <f>SUMIF(月間集計シート!$M$71:$M$90,$G987,月間集計シート!R$71:R$90)*AB$2</f>
        <v>0</v>
      </c>
      <c r="AC987" s="88">
        <f>SUMIF(月間集計シート!$M$71:$M$90,$G987,月間集計シート!S$71:S$90)*AC$2</f>
        <v>0</v>
      </c>
      <c r="AD987" s="88">
        <f>SUMIF(月間集計シート!$M$71:$M$90,$G987,月間集計シート!T$71:T$90)*AD$2</f>
        <v>0</v>
      </c>
      <c r="AE987" s="88">
        <f>SUMIF(月間集計シート!$M$92:$M$111,$G987,月間集計シート!N$92:N$111)*AE$2</f>
        <v>0</v>
      </c>
      <c r="AF987" s="88">
        <f>SUMIF(月間集計シート!$M$92:$M$111,$G987,月間集計シート!O$92:O$111)*AF$2</f>
        <v>0</v>
      </c>
      <c r="AG987" s="88">
        <f>SUMIF(月間集計シート!$M$92:$M$111,$G987,月間集計シート!P$92:P$111)*AG$2</f>
        <v>0</v>
      </c>
      <c r="AH987" s="88">
        <f>SUMIF(月間集計シート!$M$92:$M$111,$G987,月間集計シート!Q$92:Q$111)*AH$2</f>
        <v>0</v>
      </c>
      <c r="AI987" s="88">
        <f>SUMIF(月間集計シート!$M$92:$M$111,$G987,月間集計シート!R$92:R$111)*AI$2</f>
        <v>0</v>
      </c>
      <c r="AJ987" s="88">
        <f>SUMIF(月間集計シート!$M$92:$M$111,$G987,月間集計シート!S$92:S$111)*AJ$2</f>
        <v>0</v>
      </c>
      <c r="AK987" s="88">
        <f>SUMIF(月間集計シート!$M$92:$M$111,$G987,月間集計シート!T$92:T$111)*AK$2</f>
        <v>0</v>
      </c>
      <c r="AL987" s="88">
        <f>SUMIF(月間集計シート!$M$113:$M$132,$G987,月間集計シート!N$113:N$132)*AL$2</f>
        <v>0</v>
      </c>
      <c r="AM987" s="88">
        <f>SUMIF(月間集計シート!$M$113:$M$132,$G987,月間集計シート!O$113:O$132)*AM$2</f>
        <v>0</v>
      </c>
      <c r="AN987" s="88">
        <f>SUMIF(月間集計シート!$M$113:$M$132,$G987,月間集計シート!P$113:P$132)*AN$2</f>
        <v>0</v>
      </c>
      <c r="AO987" s="88">
        <f>SUMIF(月間集計シート!$M$113:$M$132,$G987,月間集計シート!Q$113:Q$132)*AO$2</f>
        <v>0</v>
      </c>
      <c r="AP987" s="88">
        <f>SUMIF(月間集計シート!$M$113:$M$132,$G987,月間集計シート!R$113:R$132)*AP$2</f>
        <v>0</v>
      </c>
      <c r="AQ987" s="88">
        <f>SUMIF(月間集計シート!$M$113:$M$132,$G987,月間集計シート!S$113:S$132)*AQ$2</f>
        <v>0</v>
      </c>
      <c r="AR987" s="88">
        <f>SUMIF(月間集計シート!$M$113:$M$132,$G987,月間集計シート!T$113:T$132)*AR$2</f>
        <v>0</v>
      </c>
      <c r="AS987" s="88">
        <f>SUMIF(月間集計シート!$M$134:$M$153,$G987,月間集計シート!N$134:N$153)*AS$2</f>
        <v>0</v>
      </c>
      <c r="AT987" s="88">
        <f>SUMIF(月間集計シート!$M$134:$M$153,$G987,月間集計シート!O$134:O$153)*AT$2</f>
        <v>0</v>
      </c>
      <c r="AU987" s="88">
        <f>SUMIF(月間集計シート!$M$134:$M$153,$G987,月間集計シート!P$134:P$153)*AU$2</f>
        <v>0</v>
      </c>
      <c r="AV987" s="88">
        <f>SUMIF(月間集計シート!$M$134:$M$153,$G987,月間集計シート!Q$134:Q$153)*AV$2</f>
        <v>0</v>
      </c>
      <c r="AW987" s="88">
        <f>SUMIF(月間集計シート!$M$134:$M$153,$G987,月間集計シート!R$134:R$153)*AW$2</f>
        <v>0</v>
      </c>
      <c r="AX987" s="88">
        <f>SUMIF(月間集計シート!$M$134:$M$153,$G987,月間集計シート!S$134:S$153)*AX$2</f>
        <v>0</v>
      </c>
      <c r="AY987" s="88">
        <f>SUMIF(月間集計シート!$M$134:$M$153,$G987,月間集計シート!T$134:T$153)*AY$2</f>
        <v>0</v>
      </c>
    </row>
    <row r="988" spans="1:51" ht="14.25" thickBot="1">
      <c r="A988">
        <v>12</v>
      </c>
      <c r="B988" s="120">
        <f t="shared" si="517"/>
        <v>0</v>
      </c>
      <c r="C988" s="120" t="str">
        <f t="shared" si="518"/>
        <v/>
      </c>
      <c r="D988" s="137"/>
      <c r="E988" s="150" t="str">
        <f>工種!A45</f>
        <v>60104</v>
      </c>
      <c r="F988" s="119" t="str">
        <f>工種!B45</f>
        <v>ﾘﾘｰｽ：ﾍﾙﾌﾟ作成・修正</v>
      </c>
      <c r="G988" s="116" t="str">
        <f t="shared" si="519"/>
        <v>060104</v>
      </c>
      <c r="H988" s="88">
        <f t="shared" si="516"/>
        <v>0</v>
      </c>
      <c r="I988" s="132"/>
      <c r="J988" s="88">
        <f>SUMIF(月間集計シート!$M$29:$M$48,$G988,月間集計シート!N$29:N$48)*J$2</f>
        <v>0</v>
      </c>
      <c r="K988" s="88">
        <f>SUMIF(月間集計シート!$M$29:$M$48,$G988,月間集計シート!O$29:O$48)*K$2</f>
        <v>0</v>
      </c>
      <c r="L988" s="88">
        <f>SUMIF(月間集計シート!$M$29:$M$48,$G988,月間集計シート!P$29:P$48)*L$2</f>
        <v>0</v>
      </c>
      <c r="M988" s="88">
        <f>SUMIF(月間集計シート!$M$29:$M$48,$G988,月間集計シート!Q$29:Q$48)*M$2</f>
        <v>0</v>
      </c>
      <c r="N988" s="88">
        <f>SUMIF(月間集計シート!$M$29:$M$48,$G988,月間集計シート!R$29:R$48)*N$2</f>
        <v>0</v>
      </c>
      <c r="O988" s="88">
        <f>SUMIF(月間集計シート!$M$29:$M$48,$G988,月間集計シート!S$29:S$48)*O$2</f>
        <v>0</v>
      </c>
      <c r="P988" s="88">
        <f>SUMIF(月間集計シート!$M$29:$M$48,$G988,月間集計シート!T$29:T$48)*P$2</f>
        <v>0</v>
      </c>
      <c r="Q988" s="88">
        <f>SUMIF(月間集計シート!$M$50:$M$69,$G988,月間集計シート!N$50:N$69)*Q$2</f>
        <v>0</v>
      </c>
      <c r="R988" s="88">
        <f>SUMIF(月間集計シート!$M$50:$M$69,$G988,月間集計シート!O$50:O$69)*R$2</f>
        <v>0</v>
      </c>
      <c r="S988" s="88">
        <f>SUMIF(月間集計シート!$M$50:$M$69,$G988,月間集計シート!P$50:P$69)*S$2</f>
        <v>0</v>
      </c>
      <c r="T988" s="88">
        <f>SUMIF(月間集計シート!$M$50:$M$69,$G988,月間集計シート!Q$50:Q$69)*T$2</f>
        <v>0</v>
      </c>
      <c r="U988" s="88">
        <f>SUMIF(月間集計シート!$M$50:$M$69,$G988,月間集計シート!R$50:R$69)*U$2</f>
        <v>0</v>
      </c>
      <c r="V988" s="88">
        <f>SUMIF(月間集計シート!$M$50:$M$69,$G988,月間集計シート!S$50:S$69)*V$2</f>
        <v>0</v>
      </c>
      <c r="W988" s="88">
        <f>SUMIF(月間集計シート!$M$50:$M$69,$G988,月間集計シート!T$50:T$69)*W$2</f>
        <v>0</v>
      </c>
      <c r="X988" s="88">
        <f>SUMIF(月間集計シート!$M$71:$M$90,$G988,月間集計シート!N$71:N$90)*X$2</f>
        <v>0</v>
      </c>
      <c r="Y988" s="88">
        <f>SUMIF(月間集計シート!$M$71:$M$90,$G988,月間集計シート!O$71:O$90)*Y$2</f>
        <v>0</v>
      </c>
      <c r="Z988" s="88">
        <f>SUMIF(月間集計シート!$M$71:$M$90,$G988,月間集計シート!P$71:P$90)*Z$2</f>
        <v>0</v>
      </c>
      <c r="AA988" s="88">
        <f>SUMIF(月間集計シート!$M$71:$M$90,$G988,月間集計シート!Q$71:Q$90)*AA$2</f>
        <v>0</v>
      </c>
      <c r="AB988" s="88">
        <f>SUMIF(月間集計シート!$M$71:$M$90,$G988,月間集計シート!R$71:R$90)*AB$2</f>
        <v>0</v>
      </c>
      <c r="AC988" s="88">
        <f>SUMIF(月間集計シート!$M$71:$M$90,$G988,月間集計シート!S$71:S$90)*AC$2</f>
        <v>0</v>
      </c>
      <c r="AD988" s="88">
        <f>SUMIF(月間集計シート!$M$71:$M$90,$G988,月間集計シート!T$71:T$90)*AD$2</f>
        <v>0</v>
      </c>
      <c r="AE988" s="88">
        <f>SUMIF(月間集計シート!$M$92:$M$111,$G988,月間集計シート!N$92:N$111)*AE$2</f>
        <v>0</v>
      </c>
      <c r="AF988" s="88">
        <f>SUMIF(月間集計シート!$M$92:$M$111,$G988,月間集計シート!O$92:O$111)*AF$2</f>
        <v>0</v>
      </c>
      <c r="AG988" s="88">
        <f>SUMIF(月間集計シート!$M$92:$M$111,$G988,月間集計シート!P$92:P$111)*AG$2</f>
        <v>0</v>
      </c>
      <c r="AH988" s="88">
        <f>SUMIF(月間集計シート!$M$92:$M$111,$G988,月間集計シート!Q$92:Q$111)*AH$2</f>
        <v>0</v>
      </c>
      <c r="AI988" s="88">
        <f>SUMIF(月間集計シート!$M$92:$M$111,$G988,月間集計シート!R$92:R$111)*AI$2</f>
        <v>0</v>
      </c>
      <c r="AJ988" s="88">
        <f>SUMIF(月間集計シート!$M$92:$M$111,$G988,月間集計シート!S$92:S$111)*AJ$2</f>
        <v>0</v>
      </c>
      <c r="AK988" s="88">
        <f>SUMIF(月間集計シート!$M$92:$M$111,$G988,月間集計シート!T$92:T$111)*AK$2</f>
        <v>0</v>
      </c>
      <c r="AL988" s="88">
        <f>SUMIF(月間集計シート!$M$113:$M$132,$G988,月間集計シート!N$113:N$132)*AL$2</f>
        <v>0</v>
      </c>
      <c r="AM988" s="88">
        <f>SUMIF(月間集計シート!$M$113:$M$132,$G988,月間集計シート!O$113:O$132)*AM$2</f>
        <v>0</v>
      </c>
      <c r="AN988" s="88">
        <f>SUMIF(月間集計シート!$M$113:$M$132,$G988,月間集計シート!P$113:P$132)*AN$2</f>
        <v>0</v>
      </c>
      <c r="AO988" s="88">
        <f>SUMIF(月間集計シート!$M$113:$M$132,$G988,月間集計シート!Q$113:Q$132)*AO$2</f>
        <v>0</v>
      </c>
      <c r="AP988" s="88">
        <f>SUMIF(月間集計シート!$M$113:$M$132,$G988,月間集計シート!R$113:R$132)*AP$2</f>
        <v>0</v>
      </c>
      <c r="AQ988" s="88">
        <f>SUMIF(月間集計シート!$M$113:$M$132,$G988,月間集計シート!S$113:S$132)*AQ$2</f>
        <v>0</v>
      </c>
      <c r="AR988" s="88">
        <f>SUMIF(月間集計シート!$M$113:$M$132,$G988,月間集計シート!T$113:T$132)*AR$2</f>
        <v>0</v>
      </c>
      <c r="AS988" s="88">
        <f>SUMIF(月間集計シート!$M$134:$M$153,$G988,月間集計シート!N$134:N$153)*AS$2</f>
        <v>0</v>
      </c>
      <c r="AT988" s="88">
        <f>SUMIF(月間集計シート!$M$134:$M$153,$G988,月間集計シート!O$134:O$153)*AT$2</f>
        <v>0</v>
      </c>
      <c r="AU988" s="88">
        <f>SUMIF(月間集計シート!$M$134:$M$153,$G988,月間集計シート!P$134:P$153)*AU$2</f>
        <v>0</v>
      </c>
      <c r="AV988" s="88">
        <f>SUMIF(月間集計シート!$M$134:$M$153,$G988,月間集計シート!Q$134:Q$153)*AV$2</f>
        <v>0</v>
      </c>
      <c r="AW988" s="88">
        <f>SUMIF(月間集計シート!$M$134:$M$153,$G988,月間集計シート!R$134:R$153)*AW$2</f>
        <v>0</v>
      </c>
      <c r="AX988" s="88">
        <f>SUMIF(月間集計シート!$M$134:$M$153,$G988,月間集計シート!S$134:S$153)*AX$2</f>
        <v>0</v>
      </c>
      <c r="AY988" s="88">
        <f>SUMIF(月間集計シート!$M$134:$M$153,$G988,月間集計シート!T$134:T$153)*AY$2</f>
        <v>0</v>
      </c>
    </row>
    <row r="989" spans="1:51" ht="14.25" thickBot="1">
      <c r="A989">
        <v>12</v>
      </c>
      <c r="B989" s="120">
        <f t="shared" si="517"/>
        <v>0</v>
      </c>
      <c r="C989" s="120" t="str">
        <f t="shared" si="518"/>
        <v/>
      </c>
      <c r="D989" s="137"/>
      <c r="E989" s="150" t="str">
        <f>工種!A46</f>
        <v>60105</v>
      </c>
      <c r="F989" s="119" t="str">
        <f>工種!B46</f>
        <v>ﾘﾘｰｽ：締め作業</v>
      </c>
      <c r="G989" s="116" t="str">
        <f t="shared" si="519"/>
        <v>060105</v>
      </c>
      <c r="H989" s="88">
        <f t="shared" si="516"/>
        <v>0</v>
      </c>
      <c r="I989" s="132"/>
      <c r="J989" s="88">
        <f>SUMIF(月間集計シート!$M$29:$M$48,$G989,月間集計シート!N$29:N$48)*J$2</f>
        <v>0</v>
      </c>
      <c r="K989" s="88">
        <f>SUMIF(月間集計シート!$M$29:$M$48,$G989,月間集計シート!O$29:O$48)*K$2</f>
        <v>0</v>
      </c>
      <c r="L989" s="88">
        <f>SUMIF(月間集計シート!$M$29:$M$48,$G989,月間集計シート!P$29:P$48)*L$2</f>
        <v>0</v>
      </c>
      <c r="M989" s="88">
        <f>SUMIF(月間集計シート!$M$29:$M$48,$G989,月間集計シート!Q$29:Q$48)*M$2</f>
        <v>0</v>
      </c>
      <c r="N989" s="88">
        <f>SUMIF(月間集計シート!$M$29:$M$48,$G989,月間集計シート!R$29:R$48)*N$2</f>
        <v>0</v>
      </c>
      <c r="O989" s="88">
        <f>SUMIF(月間集計シート!$M$29:$M$48,$G989,月間集計シート!S$29:S$48)*O$2</f>
        <v>0</v>
      </c>
      <c r="P989" s="88">
        <f>SUMIF(月間集計シート!$M$29:$M$48,$G989,月間集計シート!T$29:T$48)*P$2</f>
        <v>0</v>
      </c>
      <c r="Q989" s="88">
        <f>SUMIF(月間集計シート!$M$50:$M$69,$G989,月間集計シート!N$50:N$69)*Q$2</f>
        <v>0</v>
      </c>
      <c r="R989" s="88">
        <f>SUMIF(月間集計シート!$M$50:$M$69,$G989,月間集計シート!O$50:O$69)*R$2</f>
        <v>0</v>
      </c>
      <c r="S989" s="88">
        <f>SUMIF(月間集計シート!$M$50:$M$69,$G989,月間集計シート!P$50:P$69)*S$2</f>
        <v>0</v>
      </c>
      <c r="T989" s="88">
        <f>SUMIF(月間集計シート!$M$50:$M$69,$G989,月間集計シート!Q$50:Q$69)*T$2</f>
        <v>0</v>
      </c>
      <c r="U989" s="88">
        <f>SUMIF(月間集計シート!$M$50:$M$69,$G989,月間集計シート!R$50:R$69)*U$2</f>
        <v>0</v>
      </c>
      <c r="V989" s="88">
        <f>SUMIF(月間集計シート!$M$50:$M$69,$G989,月間集計シート!S$50:S$69)*V$2</f>
        <v>0</v>
      </c>
      <c r="W989" s="88">
        <f>SUMIF(月間集計シート!$M$50:$M$69,$G989,月間集計シート!T$50:T$69)*W$2</f>
        <v>0</v>
      </c>
      <c r="X989" s="88">
        <f>SUMIF(月間集計シート!$M$71:$M$90,$G989,月間集計シート!N$71:N$90)*X$2</f>
        <v>0</v>
      </c>
      <c r="Y989" s="88">
        <f>SUMIF(月間集計シート!$M$71:$M$90,$G989,月間集計シート!O$71:O$90)*Y$2</f>
        <v>0</v>
      </c>
      <c r="Z989" s="88">
        <f>SUMIF(月間集計シート!$M$71:$M$90,$G989,月間集計シート!P$71:P$90)*Z$2</f>
        <v>0</v>
      </c>
      <c r="AA989" s="88">
        <f>SUMIF(月間集計シート!$M$71:$M$90,$G989,月間集計シート!Q$71:Q$90)*AA$2</f>
        <v>0</v>
      </c>
      <c r="AB989" s="88">
        <f>SUMIF(月間集計シート!$M$71:$M$90,$G989,月間集計シート!R$71:R$90)*AB$2</f>
        <v>0</v>
      </c>
      <c r="AC989" s="88">
        <f>SUMIF(月間集計シート!$M$71:$M$90,$G989,月間集計シート!S$71:S$90)*AC$2</f>
        <v>0</v>
      </c>
      <c r="AD989" s="88">
        <f>SUMIF(月間集計シート!$M$71:$M$90,$G989,月間集計シート!T$71:T$90)*AD$2</f>
        <v>0</v>
      </c>
      <c r="AE989" s="88">
        <f>SUMIF(月間集計シート!$M$92:$M$111,$G989,月間集計シート!N$92:N$111)*AE$2</f>
        <v>0</v>
      </c>
      <c r="AF989" s="88">
        <f>SUMIF(月間集計シート!$M$92:$M$111,$G989,月間集計シート!O$92:O$111)*AF$2</f>
        <v>0</v>
      </c>
      <c r="AG989" s="88">
        <f>SUMIF(月間集計シート!$M$92:$M$111,$G989,月間集計シート!P$92:P$111)*AG$2</f>
        <v>0</v>
      </c>
      <c r="AH989" s="88">
        <f>SUMIF(月間集計シート!$M$92:$M$111,$G989,月間集計シート!Q$92:Q$111)*AH$2</f>
        <v>0</v>
      </c>
      <c r="AI989" s="88">
        <f>SUMIF(月間集計シート!$M$92:$M$111,$G989,月間集計シート!R$92:R$111)*AI$2</f>
        <v>0</v>
      </c>
      <c r="AJ989" s="88">
        <f>SUMIF(月間集計シート!$M$92:$M$111,$G989,月間集計シート!S$92:S$111)*AJ$2</f>
        <v>0</v>
      </c>
      <c r="AK989" s="88">
        <f>SUMIF(月間集計シート!$M$92:$M$111,$G989,月間集計シート!T$92:T$111)*AK$2</f>
        <v>0</v>
      </c>
      <c r="AL989" s="88">
        <f>SUMIF(月間集計シート!$M$113:$M$132,$G989,月間集計シート!N$113:N$132)*AL$2</f>
        <v>0</v>
      </c>
      <c r="AM989" s="88">
        <f>SUMIF(月間集計シート!$M$113:$M$132,$G989,月間集計シート!O$113:O$132)*AM$2</f>
        <v>0</v>
      </c>
      <c r="AN989" s="88">
        <f>SUMIF(月間集計シート!$M$113:$M$132,$G989,月間集計シート!P$113:P$132)*AN$2</f>
        <v>0</v>
      </c>
      <c r="AO989" s="88">
        <f>SUMIF(月間集計シート!$M$113:$M$132,$G989,月間集計シート!Q$113:Q$132)*AO$2</f>
        <v>0</v>
      </c>
      <c r="AP989" s="88">
        <f>SUMIF(月間集計シート!$M$113:$M$132,$G989,月間集計シート!R$113:R$132)*AP$2</f>
        <v>0</v>
      </c>
      <c r="AQ989" s="88">
        <f>SUMIF(月間集計シート!$M$113:$M$132,$G989,月間集計シート!S$113:S$132)*AQ$2</f>
        <v>0</v>
      </c>
      <c r="AR989" s="88">
        <f>SUMIF(月間集計シート!$M$113:$M$132,$G989,月間集計シート!T$113:T$132)*AR$2</f>
        <v>0</v>
      </c>
      <c r="AS989" s="88">
        <f>SUMIF(月間集計シート!$M$134:$M$153,$G989,月間集計シート!N$134:N$153)*AS$2</f>
        <v>0</v>
      </c>
      <c r="AT989" s="88">
        <f>SUMIF(月間集計シート!$M$134:$M$153,$G989,月間集計シート!O$134:O$153)*AT$2</f>
        <v>0</v>
      </c>
      <c r="AU989" s="88">
        <f>SUMIF(月間集計シート!$M$134:$M$153,$G989,月間集計シート!P$134:P$153)*AU$2</f>
        <v>0</v>
      </c>
      <c r="AV989" s="88">
        <f>SUMIF(月間集計シート!$M$134:$M$153,$G989,月間集計シート!Q$134:Q$153)*AV$2</f>
        <v>0</v>
      </c>
      <c r="AW989" s="88">
        <f>SUMIF(月間集計シート!$M$134:$M$153,$G989,月間集計シート!R$134:R$153)*AW$2</f>
        <v>0</v>
      </c>
      <c r="AX989" s="88">
        <f>SUMIF(月間集計シート!$M$134:$M$153,$G989,月間集計シート!S$134:S$153)*AX$2</f>
        <v>0</v>
      </c>
      <c r="AY989" s="88">
        <f>SUMIF(月間集計シート!$M$134:$M$153,$G989,月間集計シート!T$134:T$153)*AY$2</f>
        <v>0</v>
      </c>
    </row>
    <row r="990" spans="1:51" ht="14.25" thickBot="1">
      <c r="A990">
        <v>12</v>
      </c>
      <c r="B990" s="120">
        <f t="shared" si="517"/>
        <v>0</v>
      </c>
      <c r="C990" s="120" t="str">
        <f t="shared" si="518"/>
        <v/>
      </c>
      <c r="D990" s="137"/>
      <c r="E990" s="150" t="str">
        <f>工種!A47</f>
        <v>60107</v>
      </c>
      <c r="F990" s="119" t="str">
        <f>工種!B47</f>
        <v>ﾘﾘｰｽ：打合せ</v>
      </c>
      <c r="G990" s="116" t="str">
        <f t="shared" si="519"/>
        <v>060107</v>
      </c>
      <c r="H990" s="88">
        <f t="shared" si="516"/>
        <v>0</v>
      </c>
      <c r="I990" s="132"/>
      <c r="J990" s="88">
        <f>SUMIF(月間集計シート!$M$29:$M$48,$G990,月間集計シート!N$29:N$48)*J$2</f>
        <v>0</v>
      </c>
      <c r="K990" s="88">
        <f>SUMIF(月間集計シート!$M$29:$M$48,$G990,月間集計シート!O$29:O$48)*K$2</f>
        <v>0</v>
      </c>
      <c r="L990" s="88">
        <f>SUMIF(月間集計シート!$M$29:$M$48,$G990,月間集計シート!P$29:P$48)*L$2</f>
        <v>0</v>
      </c>
      <c r="M990" s="88">
        <f>SUMIF(月間集計シート!$M$29:$M$48,$G990,月間集計シート!Q$29:Q$48)*M$2</f>
        <v>0</v>
      </c>
      <c r="N990" s="88">
        <f>SUMIF(月間集計シート!$M$29:$M$48,$G990,月間集計シート!R$29:R$48)*N$2</f>
        <v>0</v>
      </c>
      <c r="O990" s="88">
        <f>SUMIF(月間集計シート!$M$29:$M$48,$G990,月間集計シート!S$29:S$48)*O$2</f>
        <v>0</v>
      </c>
      <c r="P990" s="88">
        <f>SUMIF(月間集計シート!$M$29:$M$48,$G990,月間集計シート!T$29:T$48)*P$2</f>
        <v>0</v>
      </c>
      <c r="Q990" s="88">
        <f>SUMIF(月間集計シート!$M$50:$M$69,$G990,月間集計シート!N$50:N$69)*Q$2</f>
        <v>0</v>
      </c>
      <c r="R990" s="88">
        <f>SUMIF(月間集計シート!$M$50:$M$69,$G990,月間集計シート!O$50:O$69)*R$2</f>
        <v>0</v>
      </c>
      <c r="S990" s="88">
        <f>SUMIF(月間集計シート!$M$50:$M$69,$G990,月間集計シート!P$50:P$69)*S$2</f>
        <v>0</v>
      </c>
      <c r="T990" s="88">
        <f>SUMIF(月間集計シート!$M$50:$M$69,$G990,月間集計シート!Q$50:Q$69)*T$2</f>
        <v>0</v>
      </c>
      <c r="U990" s="88">
        <f>SUMIF(月間集計シート!$M$50:$M$69,$G990,月間集計シート!R$50:R$69)*U$2</f>
        <v>0</v>
      </c>
      <c r="V990" s="88">
        <f>SUMIF(月間集計シート!$M$50:$M$69,$G990,月間集計シート!S$50:S$69)*V$2</f>
        <v>0</v>
      </c>
      <c r="W990" s="88">
        <f>SUMIF(月間集計シート!$M$50:$M$69,$G990,月間集計シート!T$50:T$69)*W$2</f>
        <v>0</v>
      </c>
      <c r="X990" s="88">
        <f>SUMIF(月間集計シート!$M$71:$M$90,$G990,月間集計シート!N$71:N$90)*X$2</f>
        <v>0</v>
      </c>
      <c r="Y990" s="88">
        <f>SUMIF(月間集計シート!$M$71:$M$90,$G990,月間集計シート!O$71:O$90)*Y$2</f>
        <v>0</v>
      </c>
      <c r="Z990" s="88">
        <f>SUMIF(月間集計シート!$M$71:$M$90,$G990,月間集計シート!P$71:P$90)*Z$2</f>
        <v>0</v>
      </c>
      <c r="AA990" s="88">
        <f>SUMIF(月間集計シート!$M$71:$M$90,$G990,月間集計シート!Q$71:Q$90)*AA$2</f>
        <v>0</v>
      </c>
      <c r="AB990" s="88">
        <f>SUMIF(月間集計シート!$M$71:$M$90,$G990,月間集計シート!R$71:R$90)*AB$2</f>
        <v>0</v>
      </c>
      <c r="AC990" s="88">
        <f>SUMIF(月間集計シート!$M$71:$M$90,$G990,月間集計シート!S$71:S$90)*AC$2</f>
        <v>0</v>
      </c>
      <c r="AD990" s="88">
        <f>SUMIF(月間集計シート!$M$71:$M$90,$G990,月間集計シート!T$71:T$90)*AD$2</f>
        <v>0</v>
      </c>
      <c r="AE990" s="88">
        <f>SUMIF(月間集計シート!$M$92:$M$111,$G990,月間集計シート!N$92:N$111)*AE$2</f>
        <v>0</v>
      </c>
      <c r="AF990" s="88">
        <f>SUMIF(月間集計シート!$M$92:$M$111,$G990,月間集計シート!O$92:O$111)*AF$2</f>
        <v>0</v>
      </c>
      <c r="AG990" s="88">
        <f>SUMIF(月間集計シート!$M$92:$M$111,$G990,月間集計シート!P$92:P$111)*AG$2</f>
        <v>0</v>
      </c>
      <c r="AH990" s="88">
        <f>SUMIF(月間集計シート!$M$92:$M$111,$G990,月間集計シート!Q$92:Q$111)*AH$2</f>
        <v>0</v>
      </c>
      <c r="AI990" s="88">
        <f>SUMIF(月間集計シート!$M$92:$M$111,$G990,月間集計シート!R$92:R$111)*AI$2</f>
        <v>0</v>
      </c>
      <c r="AJ990" s="88">
        <f>SUMIF(月間集計シート!$M$92:$M$111,$G990,月間集計シート!S$92:S$111)*AJ$2</f>
        <v>0</v>
      </c>
      <c r="AK990" s="88">
        <f>SUMIF(月間集計シート!$M$92:$M$111,$G990,月間集計シート!T$92:T$111)*AK$2</f>
        <v>0</v>
      </c>
      <c r="AL990" s="88">
        <f>SUMIF(月間集計シート!$M$113:$M$132,$G990,月間集計シート!N$113:N$132)*AL$2</f>
        <v>0</v>
      </c>
      <c r="AM990" s="88">
        <f>SUMIF(月間集計シート!$M$113:$M$132,$G990,月間集計シート!O$113:O$132)*AM$2</f>
        <v>0</v>
      </c>
      <c r="AN990" s="88">
        <f>SUMIF(月間集計シート!$M$113:$M$132,$G990,月間集計シート!P$113:P$132)*AN$2</f>
        <v>0</v>
      </c>
      <c r="AO990" s="88">
        <f>SUMIF(月間集計シート!$M$113:$M$132,$G990,月間集計シート!Q$113:Q$132)*AO$2</f>
        <v>0</v>
      </c>
      <c r="AP990" s="88">
        <f>SUMIF(月間集計シート!$M$113:$M$132,$G990,月間集計シート!R$113:R$132)*AP$2</f>
        <v>0</v>
      </c>
      <c r="AQ990" s="88">
        <f>SUMIF(月間集計シート!$M$113:$M$132,$G990,月間集計シート!S$113:S$132)*AQ$2</f>
        <v>0</v>
      </c>
      <c r="AR990" s="88">
        <f>SUMIF(月間集計シート!$M$113:$M$132,$G990,月間集計シート!T$113:T$132)*AR$2</f>
        <v>0</v>
      </c>
      <c r="AS990" s="88">
        <f>SUMIF(月間集計シート!$M$134:$M$153,$G990,月間集計シート!N$134:N$153)*AS$2</f>
        <v>0</v>
      </c>
      <c r="AT990" s="88">
        <f>SUMIF(月間集計シート!$M$134:$M$153,$G990,月間集計シート!O$134:O$153)*AT$2</f>
        <v>0</v>
      </c>
      <c r="AU990" s="88">
        <f>SUMIF(月間集計シート!$M$134:$M$153,$G990,月間集計シート!P$134:P$153)*AU$2</f>
        <v>0</v>
      </c>
      <c r="AV990" s="88">
        <f>SUMIF(月間集計シート!$M$134:$M$153,$G990,月間集計シート!Q$134:Q$153)*AV$2</f>
        <v>0</v>
      </c>
      <c r="AW990" s="88">
        <f>SUMIF(月間集計シート!$M$134:$M$153,$G990,月間集計シート!R$134:R$153)*AW$2</f>
        <v>0</v>
      </c>
      <c r="AX990" s="88">
        <f>SUMIF(月間集計シート!$M$134:$M$153,$G990,月間集計シート!S$134:S$153)*AX$2</f>
        <v>0</v>
      </c>
      <c r="AY990" s="88">
        <f>SUMIF(月間集計シート!$M$134:$M$153,$G990,月間集計シート!T$134:T$153)*AY$2</f>
        <v>0</v>
      </c>
    </row>
    <row r="991" spans="1:51" ht="14.25" thickBot="1">
      <c r="A991">
        <v>12</v>
      </c>
      <c r="B991" s="120">
        <f t="shared" si="517"/>
        <v>0</v>
      </c>
      <c r="C991" s="120" t="str">
        <f t="shared" si="518"/>
        <v/>
      </c>
      <c r="D991" s="137"/>
      <c r="E991" s="150" t="str">
        <f>工種!A48</f>
        <v>60108</v>
      </c>
      <c r="F991" s="119" t="str">
        <f>工種!B48</f>
        <v>ﾘﾘｰｽ：ﾚﾋﾞｭｰ</v>
      </c>
      <c r="G991" s="116" t="str">
        <f t="shared" si="519"/>
        <v>060108</v>
      </c>
      <c r="H991" s="88">
        <f t="shared" si="516"/>
        <v>0</v>
      </c>
      <c r="I991" s="132"/>
      <c r="J991" s="88">
        <f>SUMIF(月間集計シート!$M$29:$M$48,$G991,月間集計シート!N$29:N$48)*J$2</f>
        <v>0</v>
      </c>
      <c r="K991" s="88">
        <f>SUMIF(月間集計シート!$M$29:$M$48,$G991,月間集計シート!O$29:O$48)*K$2</f>
        <v>0</v>
      </c>
      <c r="L991" s="88">
        <f>SUMIF(月間集計シート!$M$29:$M$48,$G991,月間集計シート!P$29:P$48)*L$2</f>
        <v>0</v>
      </c>
      <c r="M991" s="88">
        <f>SUMIF(月間集計シート!$M$29:$M$48,$G991,月間集計シート!Q$29:Q$48)*M$2</f>
        <v>0</v>
      </c>
      <c r="N991" s="88">
        <f>SUMIF(月間集計シート!$M$29:$M$48,$G991,月間集計シート!R$29:R$48)*N$2</f>
        <v>0</v>
      </c>
      <c r="O991" s="88">
        <f>SUMIF(月間集計シート!$M$29:$M$48,$G991,月間集計シート!S$29:S$48)*O$2</f>
        <v>0</v>
      </c>
      <c r="P991" s="88">
        <f>SUMIF(月間集計シート!$M$29:$M$48,$G991,月間集計シート!T$29:T$48)*P$2</f>
        <v>0</v>
      </c>
      <c r="Q991" s="88">
        <f>SUMIF(月間集計シート!$M$50:$M$69,$G991,月間集計シート!N$50:N$69)*Q$2</f>
        <v>0</v>
      </c>
      <c r="R991" s="88">
        <f>SUMIF(月間集計シート!$M$50:$M$69,$G991,月間集計シート!O$50:O$69)*R$2</f>
        <v>0</v>
      </c>
      <c r="S991" s="88">
        <f>SUMIF(月間集計シート!$M$50:$M$69,$G991,月間集計シート!P$50:P$69)*S$2</f>
        <v>0</v>
      </c>
      <c r="T991" s="88">
        <f>SUMIF(月間集計シート!$M$50:$M$69,$G991,月間集計シート!Q$50:Q$69)*T$2</f>
        <v>0</v>
      </c>
      <c r="U991" s="88">
        <f>SUMIF(月間集計シート!$M$50:$M$69,$G991,月間集計シート!R$50:R$69)*U$2</f>
        <v>0</v>
      </c>
      <c r="V991" s="88">
        <f>SUMIF(月間集計シート!$M$50:$M$69,$G991,月間集計シート!S$50:S$69)*V$2</f>
        <v>0</v>
      </c>
      <c r="W991" s="88">
        <f>SUMIF(月間集計シート!$M$50:$M$69,$G991,月間集計シート!T$50:T$69)*W$2</f>
        <v>0</v>
      </c>
      <c r="X991" s="88">
        <f>SUMIF(月間集計シート!$M$71:$M$90,$G991,月間集計シート!N$71:N$90)*X$2</f>
        <v>0</v>
      </c>
      <c r="Y991" s="88">
        <f>SUMIF(月間集計シート!$M$71:$M$90,$G991,月間集計シート!O$71:O$90)*Y$2</f>
        <v>0</v>
      </c>
      <c r="Z991" s="88">
        <f>SUMIF(月間集計シート!$M$71:$M$90,$G991,月間集計シート!P$71:P$90)*Z$2</f>
        <v>0</v>
      </c>
      <c r="AA991" s="88">
        <f>SUMIF(月間集計シート!$M$71:$M$90,$G991,月間集計シート!Q$71:Q$90)*AA$2</f>
        <v>0</v>
      </c>
      <c r="AB991" s="88">
        <f>SUMIF(月間集計シート!$M$71:$M$90,$G991,月間集計シート!R$71:R$90)*AB$2</f>
        <v>0</v>
      </c>
      <c r="AC991" s="88">
        <f>SUMIF(月間集計シート!$M$71:$M$90,$G991,月間集計シート!S$71:S$90)*AC$2</f>
        <v>0</v>
      </c>
      <c r="AD991" s="88">
        <f>SUMIF(月間集計シート!$M$71:$M$90,$G991,月間集計シート!T$71:T$90)*AD$2</f>
        <v>0</v>
      </c>
      <c r="AE991" s="88">
        <f>SUMIF(月間集計シート!$M$92:$M$111,$G991,月間集計シート!N$92:N$111)*AE$2</f>
        <v>0</v>
      </c>
      <c r="AF991" s="88">
        <f>SUMIF(月間集計シート!$M$92:$M$111,$G991,月間集計シート!O$92:O$111)*AF$2</f>
        <v>0</v>
      </c>
      <c r="AG991" s="88">
        <f>SUMIF(月間集計シート!$M$92:$M$111,$G991,月間集計シート!P$92:P$111)*AG$2</f>
        <v>0</v>
      </c>
      <c r="AH991" s="88">
        <f>SUMIF(月間集計シート!$M$92:$M$111,$G991,月間集計シート!Q$92:Q$111)*AH$2</f>
        <v>0</v>
      </c>
      <c r="AI991" s="88">
        <f>SUMIF(月間集計シート!$M$92:$M$111,$G991,月間集計シート!R$92:R$111)*AI$2</f>
        <v>0</v>
      </c>
      <c r="AJ991" s="88">
        <f>SUMIF(月間集計シート!$M$92:$M$111,$G991,月間集計シート!S$92:S$111)*AJ$2</f>
        <v>0</v>
      </c>
      <c r="AK991" s="88">
        <f>SUMIF(月間集計シート!$M$92:$M$111,$G991,月間集計シート!T$92:T$111)*AK$2</f>
        <v>0</v>
      </c>
      <c r="AL991" s="88">
        <f>SUMIF(月間集計シート!$M$113:$M$132,$G991,月間集計シート!N$113:N$132)*AL$2</f>
        <v>0</v>
      </c>
      <c r="AM991" s="88">
        <f>SUMIF(月間集計シート!$M$113:$M$132,$G991,月間集計シート!O$113:O$132)*AM$2</f>
        <v>0</v>
      </c>
      <c r="AN991" s="88">
        <f>SUMIF(月間集計シート!$M$113:$M$132,$G991,月間集計シート!P$113:P$132)*AN$2</f>
        <v>0</v>
      </c>
      <c r="AO991" s="88">
        <f>SUMIF(月間集計シート!$M$113:$M$132,$G991,月間集計シート!Q$113:Q$132)*AO$2</f>
        <v>0</v>
      </c>
      <c r="AP991" s="88">
        <f>SUMIF(月間集計シート!$M$113:$M$132,$G991,月間集計シート!R$113:R$132)*AP$2</f>
        <v>0</v>
      </c>
      <c r="AQ991" s="88">
        <f>SUMIF(月間集計シート!$M$113:$M$132,$G991,月間集計シート!S$113:S$132)*AQ$2</f>
        <v>0</v>
      </c>
      <c r="AR991" s="88">
        <f>SUMIF(月間集計シート!$M$113:$M$132,$G991,月間集計シート!T$113:T$132)*AR$2</f>
        <v>0</v>
      </c>
      <c r="AS991" s="88">
        <f>SUMIF(月間集計シート!$M$134:$M$153,$G991,月間集計シート!N$134:N$153)*AS$2</f>
        <v>0</v>
      </c>
      <c r="AT991" s="88">
        <f>SUMIF(月間集計シート!$M$134:$M$153,$G991,月間集計シート!O$134:O$153)*AT$2</f>
        <v>0</v>
      </c>
      <c r="AU991" s="88">
        <f>SUMIF(月間集計シート!$M$134:$M$153,$G991,月間集計シート!P$134:P$153)*AU$2</f>
        <v>0</v>
      </c>
      <c r="AV991" s="88">
        <f>SUMIF(月間集計シート!$M$134:$M$153,$G991,月間集計シート!Q$134:Q$153)*AV$2</f>
        <v>0</v>
      </c>
      <c r="AW991" s="88">
        <f>SUMIF(月間集計シート!$M$134:$M$153,$G991,月間集計シート!R$134:R$153)*AW$2</f>
        <v>0</v>
      </c>
      <c r="AX991" s="88">
        <f>SUMIF(月間集計シート!$M$134:$M$153,$G991,月間集計シート!S$134:S$153)*AX$2</f>
        <v>0</v>
      </c>
      <c r="AY991" s="88">
        <f>SUMIF(月間集計シート!$M$134:$M$153,$G991,月間集計シート!T$134:T$153)*AY$2</f>
        <v>0</v>
      </c>
    </row>
    <row r="992" spans="1:51" ht="14.25" thickBot="1">
      <c r="A992">
        <v>12</v>
      </c>
      <c r="B992" s="120">
        <f t="shared" si="517"/>
        <v>0</v>
      </c>
      <c r="C992" s="120" t="str">
        <f t="shared" si="518"/>
        <v/>
      </c>
      <c r="D992" s="137"/>
      <c r="E992" s="150" t="str">
        <f>工種!A49</f>
        <v>60199</v>
      </c>
      <c r="F992" s="119" t="str">
        <f>工種!B49</f>
        <v>ﾘﾘｰｽ：その他</v>
      </c>
      <c r="G992" s="116" t="str">
        <f t="shared" si="519"/>
        <v>060199</v>
      </c>
      <c r="H992" s="88">
        <f t="shared" si="516"/>
        <v>0</v>
      </c>
      <c r="I992" s="132"/>
      <c r="J992" s="88">
        <f>SUMIF(月間集計シート!$M$29:$M$48,$G992,月間集計シート!N$29:N$48)*J$2</f>
        <v>0</v>
      </c>
      <c r="K992" s="88">
        <f>SUMIF(月間集計シート!$M$29:$M$48,$G992,月間集計シート!O$29:O$48)*K$2</f>
        <v>0</v>
      </c>
      <c r="L992" s="88">
        <f>SUMIF(月間集計シート!$M$29:$M$48,$G992,月間集計シート!P$29:P$48)*L$2</f>
        <v>0</v>
      </c>
      <c r="M992" s="88">
        <f>SUMIF(月間集計シート!$M$29:$M$48,$G992,月間集計シート!Q$29:Q$48)*M$2</f>
        <v>0</v>
      </c>
      <c r="N992" s="88">
        <f>SUMIF(月間集計シート!$M$29:$M$48,$G992,月間集計シート!R$29:R$48)*N$2</f>
        <v>0</v>
      </c>
      <c r="O992" s="88">
        <f>SUMIF(月間集計シート!$M$29:$M$48,$G992,月間集計シート!S$29:S$48)*O$2</f>
        <v>0</v>
      </c>
      <c r="P992" s="88">
        <f>SUMIF(月間集計シート!$M$29:$M$48,$G992,月間集計シート!T$29:T$48)*P$2</f>
        <v>0</v>
      </c>
      <c r="Q992" s="88">
        <f>SUMIF(月間集計シート!$M$50:$M$69,$G992,月間集計シート!N$50:N$69)*Q$2</f>
        <v>0</v>
      </c>
      <c r="R992" s="88">
        <f>SUMIF(月間集計シート!$M$50:$M$69,$G992,月間集計シート!O$50:O$69)*R$2</f>
        <v>0</v>
      </c>
      <c r="S992" s="88">
        <f>SUMIF(月間集計シート!$M$50:$M$69,$G992,月間集計シート!P$50:P$69)*S$2</f>
        <v>0</v>
      </c>
      <c r="T992" s="88">
        <f>SUMIF(月間集計シート!$M$50:$M$69,$G992,月間集計シート!Q$50:Q$69)*T$2</f>
        <v>0</v>
      </c>
      <c r="U992" s="88">
        <f>SUMIF(月間集計シート!$M$50:$M$69,$G992,月間集計シート!R$50:R$69)*U$2</f>
        <v>0</v>
      </c>
      <c r="V992" s="88">
        <f>SUMIF(月間集計シート!$M$50:$M$69,$G992,月間集計シート!S$50:S$69)*V$2</f>
        <v>0</v>
      </c>
      <c r="W992" s="88">
        <f>SUMIF(月間集計シート!$M$50:$M$69,$G992,月間集計シート!T$50:T$69)*W$2</f>
        <v>0</v>
      </c>
      <c r="X992" s="88">
        <f>SUMIF(月間集計シート!$M$71:$M$90,$G992,月間集計シート!N$71:N$90)*X$2</f>
        <v>0</v>
      </c>
      <c r="Y992" s="88">
        <f>SUMIF(月間集計シート!$M$71:$M$90,$G992,月間集計シート!O$71:O$90)*Y$2</f>
        <v>0</v>
      </c>
      <c r="Z992" s="88">
        <f>SUMIF(月間集計シート!$M$71:$M$90,$G992,月間集計シート!P$71:P$90)*Z$2</f>
        <v>0</v>
      </c>
      <c r="AA992" s="88">
        <f>SUMIF(月間集計シート!$M$71:$M$90,$G992,月間集計シート!Q$71:Q$90)*AA$2</f>
        <v>0</v>
      </c>
      <c r="AB992" s="88">
        <f>SUMIF(月間集計シート!$M$71:$M$90,$G992,月間集計シート!R$71:R$90)*AB$2</f>
        <v>0</v>
      </c>
      <c r="AC992" s="88">
        <f>SUMIF(月間集計シート!$M$71:$M$90,$G992,月間集計シート!S$71:S$90)*AC$2</f>
        <v>0</v>
      </c>
      <c r="AD992" s="88">
        <f>SUMIF(月間集計シート!$M$71:$M$90,$G992,月間集計シート!T$71:T$90)*AD$2</f>
        <v>0</v>
      </c>
      <c r="AE992" s="88">
        <f>SUMIF(月間集計シート!$M$92:$M$111,$G992,月間集計シート!N$92:N$111)*AE$2</f>
        <v>0</v>
      </c>
      <c r="AF992" s="88">
        <f>SUMIF(月間集計シート!$M$92:$M$111,$G992,月間集計シート!O$92:O$111)*AF$2</f>
        <v>0</v>
      </c>
      <c r="AG992" s="88">
        <f>SUMIF(月間集計シート!$M$92:$M$111,$G992,月間集計シート!P$92:P$111)*AG$2</f>
        <v>0</v>
      </c>
      <c r="AH992" s="88">
        <f>SUMIF(月間集計シート!$M$92:$M$111,$G992,月間集計シート!Q$92:Q$111)*AH$2</f>
        <v>0</v>
      </c>
      <c r="AI992" s="88">
        <f>SUMIF(月間集計シート!$M$92:$M$111,$G992,月間集計シート!R$92:R$111)*AI$2</f>
        <v>0</v>
      </c>
      <c r="AJ992" s="88">
        <f>SUMIF(月間集計シート!$M$92:$M$111,$G992,月間集計シート!S$92:S$111)*AJ$2</f>
        <v>0</v>
      </c>
      <c r="AK992" s="88">
        <f>SUMIF(月間集計シート!$M$92:$M$111,$G992,月間集計シート!T$92:T$111)*AK$2</f>
        <v>0</v>
      </c>
      <c r="AL992" s="88">
        <f>SUMIF(月間集計シート!$M$113:$M$132,$G992,月間集計シート!N$113:N$132)*AL$2</f>
        <v>0</v>
      </c>
      <c r="AM992" s="88">
        <f>SUMIF(月間集計シート!$M$113:$M$132,$G992,月間集計シート!O$113:O$132)*AM$2</f>
        <v>0</v>
      </c>
      <c r="AN992" s="88">
        <f>SUMIF(月間集計シート!$M$113:$M$132,$G992,月間集計シート!P$113:P$132)*AN$2</f>
        <v>0</v>
      </c>
      <c r="AO992" s="88">
        <f>SUMIF(月間集計シート!$M$113:$M$132,$G992,月間集計シート!Q$113:Q$132)*AO$2</f>
        <v>0</v>
      </c>
      <c r="AP992" s="88">
        <f>SUMIF(月間集計シート!$M$113:$M$132,$G992,月間集計シート!R$113:R$132)*AP$2</f>
        <v>0</v>
      </c>
      <c r="AQ992" s="88">
        <f>SUMIF(月間集計シート!$M$113:$M$132,$G992,月間集計シート!S$113:S$132)*AQ$2</f>
        <v>0</v>
      </c>
      <c r="AR992" s="88">
        <f>SUMIF(月間集計シート!$M$113:$M$132,$G992,月間集計シート!T$113:T$132)*AR$2</f>
        <v>0</v>
      </c>
      <c r="AS992" s="88">
        <f>SUMIF(月間集計シート!$M$134:$M$153,$G992,月間集計シート!N$134:N$153)*AS$2</f>
        <v>0</v>
      </c>
      <c r="AT992" s="88">
        <f>SUMIF(月間集計シート!$M$134:$M$153,$G992,月間集計シート!O$134:O$153)*AT$2</f>
        <v>0</v>
      </c>
      <c r="AU992" s="88">
        <f>SUMIF(月間集計シート!$M$134:$M$153,$G992,月間集計シート!P$134:P$153)*AU$2</f>
        <v>0</v>
      </c>
      <c r="AV992" s="88">
        <f>SUMIF(月間集計シート!$M$134:$M$153,$G992,月間集計シート!Q$134:Q$153)*AV$2</f>
        <v>0</v>
      </c>
      <c r="AW992" s="88">
        <f>SUMIF(月間集計シート!$M$134:$M$153,$G992,月間集計シート!R$134:R$153)*AW$2</f>
        <v>0</v>
      </c>
      <c r="AX992" s="88">
        <f>SUMIF(月間集計シート!$M$134:$M$153,$G992,月間集計シート!S$134:S$153)*AX$2</f>
        <v>0</v>
      </c>
      <c r="AY992" s="88">
        <f>SUMIF(月間集計シート!$M$134:$M$153,$G992,月間集計シート!T$134:T$153)*AY$2</f>
        <v>0</v>
      </c>
    </row>
    <row r="993" spans="1:51" ht="14.25" thickBot="1">
      <c r="A993">
        <v>12</v>
      </c>
      <c r="B993" s="120">
        <f t="shared" si="517"/>
        <v>0</v>
      </c>
      <c r="C993" s="120" t="str">
        <f t="shared" si="518"/>
        <v/>
      </c>
      <c r="D993" s="137"/>
      <c r="E993" s="150">
        <f>工種!A50</f>
        <v>70101</v>
      </c>
      <c r="F993" s="119" t="str">
        <f>工種!B50</f>
        <v>外部不具合修正：調査・設計</v>
      </c>
      <c r="G993" s="116" t="str">
        <f t="shared" si="519"/>
        <v>070101</v>
      </c>
      <c r="H993" s="88">
        <f t="shared" si="516"/>
        <v>0</v>
      </c>
      <c r="I993" s="132"/>
      <c r="J993" s="88">
        <f>SUMIF(月間集計シート!$M$29:$M$48,$G993,月間集計シート!N$29:N$48)*J$2</f>
        <v>0</v>
      </c>
      <c r="K993" s="88">
        <f>SUMIF(月間集計シート!$M$29:$M$48,$G993,月間集計シート!O$29:O$48)*K$2</f>
        <v>0</v>
      </c>
      <c r="L993" s="88">
        <f>SUMIF(月間集計シート!$M$29:$M$48,$G993,月間集計シート!P$29:P$48)*L$2</f>
        <v>0</v>
      </c>
      <c r="M993" s="88">
        <f>SUMIF(月間集計シート!$M$29:$M$48,$G993,月間集計シート!Q$29:Q$48)*M$2</f>
        <v>0</v>
      </c>
      <c r="N993" s="88">
        <f>SUMIF(月間集計シート!$M$29:$M$48,$G993,月間集計シート!R$29:R$48)*N$2</f>
        <v>0</v>
      </c>
      <c r="O993" s="88">
        <f>SUMIF(月間集計シート!$M$29:$M$48,$G993,月間集計シート!S$29:S$48)*O$2</f>
        <v>0</v>
      </c>
      <c r="P993" s="88">
        <f>SUMIF(月間集計シート!$M$29:$M$48,$G993,月間集計シート!T$29:T$48)*P$2</f>
        <v>0</v>
      </c>
      <c r="Q993" s="88">
        <f>SUMIF(月間集計シート!$M$50:$M$69,$G993,月間集計シート!N$50:N$69)*Q$2</f>
        <v>0</v>
      </c>
      <c r="R993" s="88">
        <f>SUMIF(月間集計シート!$M$50:$M$69,$G993,月間集計シート!O$50:O$69)*R$2</f>
        <v>0</v>
      </c>
      <c r="S993" s="88">
        <f>SUMIF(月間集計シート!$M$50:$M$69,$G993,月間集計シート!P$50:P$69)*S$2</f>
        <v>0</v>
      </c>
      <c r="T993" s="88">
        <f>SUMIF(月間集計シート!$M$50:$M$69,$G993,月間集計シート!Q$50:Q$69)*T$2</f>
        <v>0</v>
      </c>
      <c r="U993" s="88">
        <f>SUMIF(月間集計シート!$M$50:$M$69,$G993,月間集計シート!R$50:R$69)*U$2</f>
        <v>0</v>
      </c>
      <c r="V993" s="88">
        <f>SUMIF(月間集計シート!$M$50:$M$69,$G993,月間集計シート!S$50:S$69)*V$2</f>
        <v>0</v>
      </c>
      <c r="W993" s="88">
        <f>SUMIF(月間集計シート!$M$50:$M$69,$G993,月間集計シート!T$50:T$69)*W$2</f>
        <v>0</v>
      </c>
      <c r="X993" s="88">
        <f>SUMIF(月間集計シート!$M$71:$M$90,$G993,月間集計シート!N$71:N$90)*X$2</f>
        <v>0</v>
      </c>
      <c r="Y993" s="88">
        <f>SUMIF(月間集計シート!$M$71:$M$90,$G993,月間集計シート!O$71:O$90)*Y$2</f>
        <v>0</v>
      </c>
      <c r="Z993" s="88">
        <f>SUMIF(月間集計シート!$M$71:$M$90,$G993,月間集計シート!P$71:P$90)*Z$2</f>
        <v>0</v>
      </c>
      <c r="AA993" s="88">
        <f>SUMIF(月間集計シート!$M$71:$M$90,$G993,月間集計シート!Q$71:Q$90)*AA$2</f>
        <v>0</v>
      </c>
      <c r="AB993" s="88">
        <f>SUMIF(月間集計シート!$M$71:$M$90,$G993,月間集計シート!R$71:R$90)*AB$2</f>
        <v>0</v>
      </c>
      <c r="AC993" s="88">
        <f>SUMIF(月間集計シート!$M$71:$M$90,$G993,月間集計シート!S$71:S$90)*AC$2</f>
        <v>0</v>
      </c>
      <c r="AD993" s="88">
        <f>SUMIF(月間集計シート!$M$71:$M$90,$G993,月間集計シート!T$71:T$90)*AD$2</f>
        <v>0</v>
      </c>
      <c r="AE993" s="88">
        <f>SUMIF(月間集計シート!$M$92:$M$111,$G993,月間集計シート!N$92:N$111)*AE$2</f>
        <v>0</v>
      </c>
      <c r="AF993" s="88">
        <f>SUMIF(月間集計シート!$M$92:$M$111,$G993,月間集計シート!O$92:O$111)*AF$2</f>
        <v>0</v>
      </c>
      <c r="AG993" s="88">
        <f>SUMIF(月間集計シート!$M$92:$M$111,$G993,月間集計シート!P$92:P$111)*AG$2</f>
        <v>0</v>
      </c>
      <c r="AH993" s="88">
        <f>SUMIF(月間集計シート!$M$92:$M$111,$G993,月間集計シート!Q$92:Q$111)*AH$2</f>
        <v>0</v>
      </c>
      <c r="AI993" s="88">
        <f>SUMIF(月間集計シート!$M$92:$M$111,$G993,月間集計シート!R$92:R$111)*AI$2</f>
        <v>0</v>
      </c>
      <c r="AJ993" s="88">
        <f>SUMIF(月間集計シート!$M$92:$M$111,$G993,月間集計シート!S$92:S$111)*AJ$2</f>
        <v>0</v>
      </c>
      <c r="AK993" s="88">
        <f>SUMIF(月間集計シート!$M$92:$M$111,$G993,月間集計シート!T$92:T$111)*AK$2</f>
        <v>0</v>
      </c>
      <c r="AL993" s="88">
        <f>SUMIF(月間集計シート!$M$113:$M$132,$G993,月間集計シート!N$113:N$132)*AL$2</f>
        <v>0</v>
      </c>
      <c r="AM993" s="88">
        <f>SUMIF(月間集計シート!$M$113:$M$132,$G993,月間集計シート!O$113:O$132)*AM$2</f>
        <v>0</v>
      </c>
      <c r="AN993" s="88">
        <f>SUMIF(月間集計シート!$M$113:$M$132,$G993,月間集計シート!P$113:P$132)*AN$2</f>
        <v>0</v>
      </c>
      <c r="AO993" s="88">
        <f>SUMIF(月間集計シート!$M$113:$M$132,$G993,月間集計シート!Q$113:Q$132)*AO$2</f>
        <v>0</v>
      </c>
      <c r="AP993" s="88">
        <f>SUMIF(月間集計シート!$M$113:$M$132,$G993,月間集計シート!R$113:R$132)*AP$2</f>
        <v>0</v>
      </c>
      <c r="AQ993" s="88">
        <f>SUMIF(月間集計シート!$M$113:$M$132,$G993,月間集計シート!S$113:S$132)*AQ$2</f>
        <v>0</v>
      </c>
      <c r="AR993" s="88">
        <f>SUMIF(月間集計シート!$M$113:$M$132,$G993,月間集計シート!T$113:T$132)*AR$2</f>
        <v>0</v>
      </c>
      <c r="AS993" s="88">
        <f>SUMIF(月間集計シート!$M$134:$M$153,$G993,月間集計シート!N$134:N$153)*AS$2</f>
        <v>0</v>
      </c>
      <c r="AT993" s="88">
        <f>SUMIF(月間集計シート!$M$134:$M$153,$G993,月間集計シート!O$134:O$153)*AT$2</f>
        <v>0</v>
      </c>
      <c r="AU993" s="88">
        <f>SUMIF(月間集計シート!$M$134:$M$153,$G993,月間集計シート!P$134:P$153)*AU$2</f>
        <v>0</v>
      </c>
      <c r="AV993" s="88">
        <f>SUMIF(月間集計シート!$M$134:$M$153,$G993,月間集計シート!Q$134:Q$153)*AV$2</f>
        <v>0</v>
      </c>
      <c r="AW993" s="88">
        <f>SUMIF(月間集計シート!$M$134:$M$153,$G993,月間集計シート!R$134:R$153)*AW$2</f>
        <v>0</v>
      </c>
      <c r="AX993" s="88">
        <f>SUMIF(月間集計シート!$M$134:$M$153,$G993,月間集計シート!S$134:S$153)*AX$2</f>
        <v>0</v>
      </c>
      <c r="AY993" s="88">
        <f>SUMIF(月間集計シート!$M$134:$M$153,$G993,月間集計シート!T$134:T$153)*AY$2</f>
        <v>0</v>
      </c>
    </row>
    <row r="994" spans="1:51" ht="14.25" thickBot="1">
      <c r="A994">
        <v>12</v>
      </c>
      <c r="B994" s="120">
        <f t="shared" si="517"/>
        <v>0</v>
      </c>
      <c r="C994" s="120" t="str">
        <f t="shared" si="518"/>
        <v/>
      </c>
      <c r="D994" s="137"/>
      <c r="E994" s="150">
        <f>工種!A51</f>
        <v>70102</v>
      </c>
      <c r="F994" s="119" t="str">
        <f>工種!B51</f>
        <v>外部不具合修正：コーディング</v>
      </c>
      <c r="G994" s="116" t="str">
        <f t="shared" si="519"/>
        <v>070102</v>
      </c>
      <c r="H994" s="88">
        <f t="shared" si="516"/>
        <v>0</v>
      </c>
      <c r="I994" s="132"/>
      <c r="J994" s="88">
        <f>SUMIF(月間集計シート!$M$29:$M$48,$G994,月間集計シート!N$29:N$48)*J$2</f>
        <v>0</v>
      </c>
      <c r="K994" s="88">
        <f>SUMIF(月間集計シート!$M$29:$M$48,$G994,月間集計シート!O$29:O$48)*K$2</f>
        <v>0</v>
      </c>
      <c r="L994" s="88">
        <f>SUMIF(月間集計シート!$M$29:$M$48,$G994,月間集計シート!P$29:P$48)*L$2</f>
        <v>0</v>
      </c>
      <c r="M994" s="88">
        <f>SUMIF(月間集計シート!$M$29:$M$48,$G994,月間集計シート!Q$29:Q$48)*M$2</f>
        <v>0</v>
      </c>
      <c r="N994" s="88">
        <f>SUMIF(月間集計シート!$M$29:$M$48,$G994,月間集計シート!R$29:R$48)*N$2</f>
        <v>0</v>
      </c>
      <c r="O994" s="88">
        <f>SUMIF(月間集計シート!$M$29:$M$48,$G994,月間集計シート!S$29:S$48)*O$2</f>
        <v>0</v>
      </c>
      <c r="P994" s="88">
        <f>SUMIF(月間集計シート!$M$29:$M$48,$G994,月間集計シート!T$29:T$48)*P$2</f>
        <v>0</v>
      </c>
      <c r="Q994" s="88">
        <f>SUMIF(月間集計シート!$M$50:$M$69,$G994,月間集計シート!N$50:N$69)*Q$2</f>
        <v>0</v>
      </c>
      <c r="R994" s="88">
        <f>SUMIF(月間集計シート!$M$50:$M$69,$G994,月間集計シート!O$50:O$69)*R$2</f>
        <v>0</v>
      </c>
      <c r="S994" s="88">
        <f>SUMIF(月間集計シート!$M$50:$M$69,$G994,月間集計シート!P$50:P$69)*S$2</f>
        <v>0</v>
      </c>
      <c r="T994" s="88">
        <f>SUMIF(月間集計シート!$M$50:$M$69,$G994,月間集計シート!Q$50:Q$69)*T$2</f>
        <v>0</v>
      </c>
      <c r="U994" s="88">
        <f>SUMIF(月間集計シート!$M$50:$M$69,$G994,月間集計シート!R$50:R$69)*U$2</f>
        <v>0</v>
      </c>
      <c r="V994" s="88">
        <f>SUMIF(月間集計シート!$M$50:$M$69,$G994,月間集計シート!S$50:S$69)*V$2</f>
        <v>0</v>
      </c>
      <c r="W994" s="88">
        <f>SUMIF(月間集計シート!$M$50:$M$69,$G994,月間集計シート!T$50:T$69)*W$2</f>
        <v>0</v>
      </c>
      <c r="X994" s="88">
        <f>SUMIF(月間集計シート!$M$71:$M$90,$G994,月間集計シート!N$71:N$90)*X$2</f>
        <v>0</v>
      </c>
      <c r="Y994" s="88">
        <f>SUMIF(月間集計シート!$M$71:$M$90,$G994,月間集計シート!O$71:O$90)*Y$2</f>
        <v>0</v>
      </c>
      <c r="Z994" s="88">
        <f>SUMIF(月間集計シート!$M$71:$M$90,$G994,月間集計シート!P$71:P$90)*Z$2</f>
        <v>0</v>
      </c>
      <c r="AA994" s="88">
        <f>SUMIF(月間集計シート!$M$71:$M$90,$G994,月間集計シート!Q$71:Q$90)*AA$2</f>
        <v>0</v>
      </c>
      <c r="AB994" s="88">
        <f>SUMIF(月間集計シート!$M$71:$M$90,$G994,月間集計シート!R$71:R$90)*AB$2</f>
        <v>0</v>
      </c>
      <c r="AC994" s="88">
        <f>SUMIF(月間集計シート!$M$71:$M$90,$G994,月間集計シート!S$71:S$90)*AC$2</f>
        <v>0</v>
      </c>
      <c r="AD994" s="88">
        <f>SUMIF(月間集計シート!$M$71:$M$90,$G994,月間集計シート!T$71:T$90)*AD$2</f>
        <v>0</v>
      </c>
      <c r="AE994" s="88">
        <f>SUMIF(月間集計シート!$M$92:$M$111,$G994,月間集計シート!N$92:N$111)*AE$2</f>
        <v>0</v>
      </c>
      <c r="AF994" s="88">
        <f>SUMIF(月間集計シート!$M$92:$M$111,$G994,月間集計シート!O$92:O$111)*AF$2</f>
        <v>0</v>
      </c>
      <c r="AG994" s="88">
        <f>SUMIF(月間集計シート!$M$92:$M$111,$G994,月間集計シート!P$92:P$111)*AG$2</f>
        <v>0</v>
      </c>
      <c r="AH994" s="88">
        <f>SUMIF(月間集計シート!$M$92:$M$111,$G994,月間集計シート!Q$92:Q$111)*AH$2</f>
        <v>0</v>
      </c>
      <c r="AI994" s="88">
        <f>SUMIF(月間集計シート!$M$92:$M$111,$G994,月間集計シート!R$92:R$111)*AI$2</f>
        <v>0</v>
      </c>
      <c r="AJ994" s="88">
        <f>SUMIF(月間集計シート!$M$92:$M$111,$G994,月間集計シート!S$92:S$111)*AJ$2</f>
        <v>0</v>
      </c>
      <c r="AK994" s="88">
        <f>SUMIF(月間集計シート!$M$92:$M$111,$G994,月間集計シート!T$92:T$111)*AK$2</f>
        <v>0</v>
      </c>
      <c r="AL994" s="88">
        <f>SUMIF(月間集計シート!$M$113:$M$132,$G994,月間集計シート!N$113:N$132)*AL$2</f>
        <v>0</v>
      </c>
      <c r="AM994" s="88">
        <f>SUMIF(月間集計シート!$M$113:$M$132,$G994,月間集計シート!O$113:O$132)*AM$2</f>
        <v>0</v>
      </c>
      <c r="AN994" s="88">
        <f>SUMIF(月間集計シート!$M$113:$M$132,$G994,月間集計シート!P$113:P$132)*AN$2</f>
        <v>0</v>
      </c>
      <c r="AO994" s="88">
        <f>SUMIF(月間集計シート!$M$113:$M$132,$G994,月間集計シート!Q$113:Q$132)*AO$2</f>
        <v>0</v>
      </c>
      <c r="AP994" s="88">
        <f>SUMIF(月間集計シート!$M$113:$M$132,$G994,月間集計シート!R$113:R$132)*AP$2</f>
        <v>0</v>
      </c>
      <c r="AQ994" s="88">
        <f>SUMIF(月間集計シート!$M$113:$M$132,$G994,月間集計シート!S$113:S$132)*AQ$2</f>
        <v>0</v>
      </c>
      <c r="AR994" s="88">
        <f>SUMIF(月間集計シート!$M$113:$M$132,$G994,月間集計シート!T$113:T$132)*AR$2</f>
        <v>0</v>
      </c>
      <c r="AS994" s="88">
        <f>SUMIF(月間集計シート!$M$134:$M$153,$G994,月間集計シート!N$134:N$153)*AS$2</f>
        <v>0</v>
      </c>
      <c r="AT994" s="88">
        <f>SUMIF(月間集計シート!$M$134:$M$153,$G994,月間集計シート!O$134:O$153)*AT$2</f>
        <v>0</v>
      </c>
      <c r="AU994" s="88">
        <f>SUMIF(月間集計シート!$M$134:$M$153,$G994,月間集計シート!P$134:P$153)*AU$2</f>
        <v>0</v>
      </c>
      <c r="AV994" s="88">
        <f>SUMIF(月間集計シート!$M$134:$M$153,$G994,月間集計シート!Q$134:Q$153)*AV$2</f>
        <v>0</v>
      </c>
      <c r="AW994" s="88">
        <f>SUMIF(月間集計シート!$M$134:$M$153,$G994,月間集計シート!R$134:R$153)*AW$2</f>
        <v>0</v>
      </c>
      <c r="AX994" s="88">
        <f>SUMIF(月間集計シート!$M$134:$M$153,$G994,月間集計シート!S$134:S$153)*AX$2</f>
        <v>0</v>
      </c>
      <c r="AY994" s="88">
        <f>SUMIF(月間集計シート!$M$134:$M$153,$G994,月間集計シート!T$134:T$153)*AY$2</f>
        <v>0</v>
      </c>
    </row>
    <row r="995" spans="1:51" ht="14.25" thickBot="1">
      <c r="A995">
        <v>12</v>
      </c>
      <c r="B995" s="120">
        <f t="shared" si="517"/>
        <v>0</v>
      </c>
      <c r="C995" s="120" t="str">
        <f t="shared" si="518"/>
        <v/>
      </c>
      <c r="D995" s="137"/>
      <c r="E995" s="150">
        <f>工種!A52</f>
        <v>70103</v>
      </c>
      <c r="F995" s="119" t="str">
        <f>工種!B52</f>
        <v>外部不具合修正：テスト</v>
      </c>
      <c r="G995" s="116" t="str">
        <f t="shared" si="519"/>
        <v>070103</v>
      </c>
      <c r="H995" s="88">
        <f t="shared" si="516"/>
        <v>0</v>
      </c>
      <c r="I995" s="132"/>
      <c r="J995" s="88">
        <f>SUMIF(月間集計シート!$M$29:$M$48,$G995,月間集計シート!N$29:N$48)*J$2</f>
        <v>0</v>
      </c>
      <c r="K995" s="88">
        <f>SUMIF(月間集計シート!$M$29:$M$48,$G995,月間集計シート!O$29:O$48)*K$2</f>
        <v>0</v>
      </c>
      <c r="L995" s="88">
        <f>SUMIF(月間集計シート!$M$29:$M$48,$G995,月間集計シート!P$29:P$48)*L$2</f>
        <v>0</v>
      </c>
      <c r="M995" s="88">
        <f>SUMIF(月間集計シート!$M$29:$M$48,$G995,月間集計シート!Q$29:Q$48)*M$2</f>
        <v>0</v>
      </c>
      <c r="N995" s="88">
        <f>SUMIF(月間集計シート!$M$29:$M$48,$G995,月間集計シート!R$29:R$48)*N$2</f>
        <v>0</v>
      </c>
      <c r="O995" s="88">
        <f>SUMIF(月間集計シート!$M$29:$M$48,$G995,月間集計シート!S$29:S$48)*O$2</f>
        <v>0</v>
      </c>
      <c r="P995" s="88">
        <f>SUMIF(月間集計シート!$M$29:$M$48,$G995,月間集計シート!T$29:T$48)*P$2</f>
        <v>0</v>
      </c>
      <c r="Q995" s="88">
        <f>SUMIF(月間集計シート!$M$50:$M$69,$G995,月間集計シート!N$50:N$69)*Q$2</f>
        <v>0</v>
      </c>
      <c r="R995" s="88">
        <f>SUMIF(月間集計シート!$M$50:$M$69,$G995,月間集計シート!O$50:O$69)*R$2</f>
        <v>0</v>
      </c>
      <c r="S995" s="88">
        <f>SUMIF(月間集計シート!$M$50:$M$69,$G995,月間集計シート!P$50:P$69)*S$2</f>
        <v>0</v>
      </c>
      <c r="T995" s="88">
        <f>SUMIF(月間集計シート!$M$50:$M$69,$G995,月間集計シート!Q$50:Q$69)*T$2</f>
        <v>0</v>
      </c>
      <c r="U995" s="88">
        <f>SUMIF(月間集計シート!$M$50:$M$69,$G995,月間集計シート!R$50:R$69)*U$2</f>
        <v>0</v>
      </c>
      <c r="V995" s="88">
        <f>SUMIF(月間集計シート!$M$50:$M$69,$G995,月間集計シート!S$50:S$69)*V$2</f>
        <v>0</v>
      </c>
      <c r="W995" s="88">
        <f>SUMIF(月間集計シート!$M$50:$M$69,$G995,月間集計シート!T$50:T$69)*W$2</f>
        <v>0</v>
      </c>
      <c r="X995" s="88">
        <f>SUMIF(月間集計シート!$M$71:$M$90,$G995,月間集計シート!N$71:N$90)*X$2</f>
        <v>0</v>
      </c>
      <c r="Y995" s="88">
        <f>SUMIF(月間集計シート!$M$71:$M$90,$G995,月間集計シート!O$71:O$90)*Y$2</f>
        <v>0</v>
      </c>
      <c r="Z995" s="88">
        <f>SUMIF(月間集計シート!$M$71:$M$90,$G995,月間集計シート!P$71:P$90)*Z$2</f>
        <v>0</v>
      </c>
      <c r="AA995" s="88">
        <f>SUMIF(月間集計シート!$M$71:$M$90,$G995,月間集計シート!Q$71:Q$90)*AA$2</f>
        <v>0</v>
      </c>
      <c r="AB995" s="88">
        <f>SUMIF(月間集計シート!$M$71:$M$90,$G995,月間集計シート!R$71:R$90)*AB$2</f>
        <v>0</v>
      </c>
      <c r="AC995" s="88">
        <f>SUMIF(月間集計シート!$M$71:$M$90,$G995,月間集計シート!S$71:S$90)*AC$2</f>
        <v>0</v>
      </c>
      <c r="AD995" s="88">
        <f>SUMIF(月間集計シート!$M$71:$M$90,$G995,月間集計シート!T$71:T$90)*AD$2</f>
        <v>0</v>
      </c>
      <c r="AE995" s="88">
        <f>SUMIF(月間集計シート!$M$92:$M$111,$G995,月間集計シート!N$92:N$111)*AE$2</f>
        <v>0</v>
      </c>
      <c r="AF995" s="88">
        <f>SUMIF(月間集計シート!$M$92:$M$111,$G995,月間集計シート!O$92:O$111)*AF$2</f>
        <v>0</v>
      </c>
      <c r="AG995" s="88">
        <f>SUMIF(月間集計シート!$M$92:$M$111,$G995,月間集計シート!P$92:P$111)*AG$2</f>
        <v>0</v>
      </c>
      <c r="AH995" s="88">
        <f>SUMIF(月間集計シート!$M$92:$M$111,$G995,月間集計シート!Q$92:Q$111)*AH$2</f>
        <v>0</v>
      </c>
      <c r="AI995" s="88">
        <f>SUMIF(月間集計シート!$M$92:$M$111,$G995,月間集計シート!R$92:R$111)*AI$2</f>
        <v>0</v>
      </c>
      <c r="AJ995" s="88">
        <f>SUMIF(月間集計シート!$M$92:$M$111,$G995,月間集計シート!S$92:S$111)*AJ$2</f>
        <v>0</v>
      </c>
      <c r="AK995" s="88">
        <f>SUMIF(月間集計シート!$M$92:$M$111,$G995,月間集計シート!T$92:T$111)*AK$2</f>
        <v>0</v>
      </c>
      <c r="AL995" s="88">
        <f>SUMIF(月間集計シート!$M$113:$M$132,$G995,月間集計シート!N$113:N$132)*AL$2</f>
        <v>0</v>
      </c>
      <c r="AM995" s="88">
        <f>SUMIF(月間集計シート!$M$113:$M$132,$G995,月間集計シート!O$113:O$132)*AM$2</f>
        <v>0</v>
      </c>
      <c r="AN995" s="88">
        <f>SUMIF(月間集計シート!$M$113:$M$132,$G995,月間集計シート!P$113:P$132)*AN$2</f>
        <v>0</v>
      </c>
      <c r="AO995" s="88">
        <f>SUMIF(月間集計シート!$M$113:$M$132,$G995,月間集計シート!Q$113:Q$132)*AO$2</f>
        <v>0</v>
      </c>
      <c r="AP995" s="88">
        <f>SUMIF(月間集計シート!$M$113:$M$132,$G995,月間集計シート!R$113:R$132)*AP$2</f>
        <v>0</v>
      </c>
      <c r="AQ995" s="88">
        <f>SUMIF(月間集計シート!$M$113:$M$132,$G995,月間集計シート!S$113:S$132)*AQ$2</f>
        <v>0</v>
      </c>
      <c r="AR995" s="88">
        <f>SUMIF(月間集計シート!$M$113:$M$132,$G995,月間集計シート!T$113:T$132)*AR$2</f>
        <v>0</v>
      </c>
      <c r="AS995" s="88">
        <f>SUMIF(月間集計シート!$M$134:$M$153,$G995,月間集計シート!N$134:N$153)*AS$2</f>
        <v>0</v>
      </c>
      <c r="AT995" s="88">
        <f>SUMIF(月間集計シート!$M$134:$M$153,$G995,月間集計シート!O$134:O$153)*AT$2</f>
        <v>0</v>
      </c>
      <c r="AU995" s="88">
        <f>SUMIF(月間集計シート!$M$134:$M$153,$G995,月間集計シート!P$134:P$153)*AU$2</f>
        <v>0</v>
      </c>
      <c r="AV995" s="88">
        <f>SUMIF(月間集計シート!$M$134:$M$153,$G995,月間集計シート!Q$134:Q$153)*AV$2</f>
        <v>0</v>
      </c>
      <c r="AW995" s="88">
        <f>SUMIF(月間集計シート!$M$134:$M$153,$G995,月間集計シート!R$134:R$153)*AW$2</f>
        <v>0</v>
      </c>
      <c r="AX995" s="88">
        <f>SUMIF(月間集計シート!$M$134:$M$153,$G995,月間集計シート!S$134:S$153)*AX$2</f>
        <v>0</v>
      </c>
      <c r="AY995" s="88">
        <f>SUMIF(月間集計シート!$M$134:$M$153,$G995,月間集計シート!T$134:T$153)*AY$2</f>
        <v>0</v>
      </c>
    </row>
    <row r="996" spans="1:51" ht="14.25" thickBot="1">
      <c r="A996">
        <v>12</v>
      </c>
      <c r="B996" s="120">
        <f t="shared" si="517"/>
        <v>0</v>
      </c>
      <c r="C996" s="120" t="str">
        <f t="shared" si="518"/>
        <v/>
      </c>
      <c r="D996" s="137"/>
      <c r="E996" s="150">
        <f>工種!A53</f>
        <v>70104</v>
      </c>
      <c r="F996" s="119" t="str">
        <f>工種!B53</f>
        <v>外部不具合修正：不具合連絡作成</v>
      </c>
      <c r="G996" s="116" t="str">
        <f t="shared" si="519"/>
        <v>070104</v>
      </c>
      <c r="H996" s="88">
        <f t="shared" si="516"/>
        <v>0</v>
      </c>
      <c r="I996" s="132"/>
      <c r="J996" s="88">
        <f>SUMIF(月間集計シート!$M$29:$M$48,$G996,月間集計シート!N$29:N$48)*J$2</f>
        <v>0</v>
      </c>
      <c r="K996" s="88">
        <f>SUMIF(月間集計シート!$M$29:$M$48,$G996,月間集計シート!O$29:O$48)*K$2</f>
        <v>0</v>
      </c>
      <c r="L996" s="88">
        <f>SUMIF(月間集計シート!$M$29:$M$48,$G996,月間集計シート!P$29:P$48)*L$2</f>
        <v>0</v>
      </c>
      <c r="M996" s="88">
        <f>SUMIF(月間集計シート!$M$29:$M$48,$G996,月間集計シート!Q$29:Q$48)*M$2</f>
        <v>0</v>
      </c>
      <c r="N996" s="88">
        <f>SUMIF(月間集計シート!$M$29:$M$48,$G996,月間集計シート!R$29:R$48)*N$2</f>
        <v>0</v>
      </c>
      <c r="O996" s="88">
        <f>SUMIF(月間集計シート!$M$29:$M$48,$G996,月間集計シート!S$29:S$48)*O$2</f>
        <v>0</v>
      </c>
      <c r="P996" s="88">
        <f>SUMIF(月間集計シート!$M$29:$M$48,$G996,月間集計シート!T$29:T$48)*P$2</f>
        <v>0</v>
      </c>
      <c r="Q996" s="88">
        <f>SUMIF(月間集計シート!$M$50:$M$69,$G996,月間集計シート!N$50:N$69)*Q$2</f>
        <v>0</v>
      </c>
      <c r="R996" s="88">
        <f>SUMIF(月間集計シート!$M$50:$M$69,$G996,月間集計シート!O$50:O$69)*R$2</f>
        <v>0</v>
      </c>
      <c r="S996" s="88">
        <f>SUMIF(月間集計シート!$M$50:$M$69,$G996,月間集計シート!P$50:P$69)*S$2</f>
        <v>0</v>
      </c>
      <c r="T996" s="88">
        <f>SUMIF(月間集計シート!$M$50:$M$69,$G996,月間集計シート!Q$50:Q$69)*T$2</f>
        <v>0</v>
      </c>
      <c r="U996" s="88">
        <f>SUMIF(月間集計シート!$M$50:$M$69,$G996,月間集計シート!R$50:R$69)*U$2</f>
        <v>0</v>
      </c>
      <c r="V996" s="88">
        <f>SUMIF(月間集計シート!$M$50:$M$69,$G996,月間集計シート!S$50:S$69)*V$2</f>
        <v>0</v>
      </c>
      <c r="W996" s="88">
        <f>SUMIF(月間集計シート!$M$50:$M$69,$G996,月間集計シート!T$50:T$69)*W$2</f>
        <v>0</v>
      </c>
      <c r="X996" s="88">
        <f>SUMIF(月間集計シート!$M$71:$M$90,$G996,月間集計シート!N$71:N$90)*X$2</f>
        <v>0</v>
      </c>
      <c r="Y996" s="88">
        <f>SUMIF(月間集計シート!$M$71:$M$90,$G996,月間集計シート!O$71:O$90)*Y$2</f>
        <v>0</v>
      </c>
      <c r="Z996" s="88">
        <f>SUMIF(月間集計シート!$M$71:$M$90,$G996,月間集計シート!P$71:P$90)*Z$2</f>
        <v>0</v>
      </c>
      <c r="AA996" s="88">
        <f>SUMIF(月間集計シート!$M$71:$M$90,$G996,月間集計シート!Q$71:Q$90)*AA$2</f>
        <v>0</v>
      </c>
      <c r="AB996" s="88">
        <f>SUMIF(月間集計シート!$M$71:$M$90,$G996,月間集計シート!R$71:R$90)*AB$2</f>
        <v>0</v>
      </c>
      <c r="AC996" s="88">
        <f>SUMIF(月間集計シート!$M$71:$M$90,$G996,月間集計シート!S$71:S$90)*AC$2</f>
        <v>0</v>
      </c>
      <c r="AD996" s="88">
        <f>SUMIF(月間集計シート!$M$71:$M$90,$G996,月間集計シート!T$71:T$90)*AD$2</f>
        <v>0</v>
      </c>
      <c r="AE996" s="88">
        <f>SUMIF(月間集計シート!$M$92:$M$111,$G996,月間集計シート!N$92:N$111)*AE$2</f>
        <v>0</v>
      </c>
      <c r="AF996" s="88">
        <f>SUMIF(月間集計シート!$M$92:$M$111,$G996,月間集計シート!O$92:O$111)*AF$2</f>
        <v>0</v>
      </c>
      <c r="AG996" s="88">
        <f>SUMIF(月間集計シート!$M$92:$M$111,$G996,月間集計シート!P$92:P$111)*AG$2</f>
        <v>0</v>
      </c>
      <c r="AH996" s="88">
        <f>SUMIF(月間集計シート!$M$92:$M$111,$G996,月間集計シート!Q$92:Q$111)*AH$2</f>
        <v>0</v>
      </c>
      <c r="AI996" s="88">
        <f>SUMIF(月間集計シート!$M$92:$M$111,$G996,月間集計シート!R$92:R$111)*AI$2</f>
        <v>0</v>
      </c>
      <c r="AJ996" s="88">
        <f>SUMIF(月間集計シート!$M$92:$M$111,$G996,月間集計シート!S$92:S$111)*AJ$2</f>
        <v>0</v>
      </c>
      <c r="AK996" s="88">
        <f>SUMIF(月間集計シート!$M$92:$M$111,$G996,月間集計シート!T$92:T$111)*AK$2</f>
        <v>0</v>
      </c>
      <c r="AL996" s="88">
        <f>SUMIF(月間集計シート!$M$113:$M$132,$G996,月間集計シート!N$113:N$132)*AL$2</f>
        <v>0</v>
      </c>
      <c r="AM996" s="88">
        <f>SUMIF(月間集計シート!$M$113:$M$132,$G996,月間集計シート!O$113:O$132)*AM$2</f>
        <v>0</v>
      </c>
      <c r="AN996" s="88">
        <f>SUMIF(月間集計シート!$M$113:$M$132,$G996,月間集計シート!P$113:P$132)*AN$2</f>
        <v>0</v>
      </c>
      <c r="AO996" s="88">
        <f>SUMIF(月間集計シート!$M$113:$M$132,$G996,月間集計シート!Q$113:Q$132)*AO$2</f>
        <v>0</v>
      </c>
      <c r="AP996" s="88">
        <f>SUMIF(月間集計シート!$M$113:$M$132,$G996,月間集計シート!R$113:R$132)*AP$2</f>
        <v>0</v>
      </c>
      <c r="AQ996" s="88">
        <f>SUMIF(月間集計シート!$M$113:$M$132,$G996,月間集計シート!S$113:S$132)*AQ$2</f>
        <v>0</v>
      </c>
      <c r="AR996" s="88">
        <f>SUMIF(月間集計シート!$M$113:$M$132,$G996,月間集計シート!T$113:T$132)*AR$2</f>
        <v>0</v>
      </c>
      <c r="AS996" s="88">
        <f>SUMIF(月間集計シート!$M$134:$M$153,$G996,月間集計シート!N$134:N$153)*AS$2</f>
        <v>0</v>
      </c>
      <c r="AT996" s="88">
        <f>SUMIF(月間集計シート!$M$134:$M$153,$G996,月間集計シート!O$134:O$153)*AT$2</f>
        <v>0</v>
      </c>
      <c r="AU996" s="88">
        <f>SUMIF(月間集計シート!$M$134:$M$153,$G996,月間集計シート!P$134:P$153)*AU$2</f>
        <v>0</v>
      </c>
      <c r="AV996" s="88">
        <f>SUMIF(月間集計シート!$M$134:$M$153,$G996,月間集計シート!Q$134:Q$153)*AV$2</f>
        <v>0</v>
      </c>
      <c r="AW996" s="88">
        <f>SUMIF(月間集計シート!$M$134:$M$153,$G996,月間集計シート!R$134:R$153)*AW$2</f>
        <v>0</v>
      </c>
      <c r="AX996" s="88">
        <f>SUMIF(月間集計シート!$M$134:$M$153,$G996,月間集計シート!S$134:S$153)*AX$2</f>
        <v>0</v>
      </c>
      <c r="AY996" s="88">
        <f>SUMIF(月間集計シート!$M$134:$M$153,$G996,月間集計シート!T$134:T$153)*AY$2</f>
        <v>0</v>
      </c>
    </row>
    <row r="997" spans="1:51" ht="14.25" thickBot="1">
      <c r="A997">
        <v>12</v>
      </c>
      <c r="B997" s="120">
        <f t="shared" si="517"/>
        <v>0</v>
      </c>
      <c r="C997" s="120" t="str">
        <f t="shared" si="518"/>
        <v/>
      </c>
      <c r="D997" s="137"/>
      <c r="E997" s="150">
        <f>工種!A54</f>
        <v>70105</v>
      </c>
      <c r="F997" s="119" t="str">
        <f>工種!B54</f>
        <v>外部不具合修正：差分PGイントラ掲載</v>
      </c>
      <c r="G997" s="116" t="str">
        <f t="shared" si="519"/>
        <v>070105</v>
      </c>
      <c r="H997" s="88">
        <f t="shared" si="516"/>
        <v>0</v>
      </c>
      <c r="I997" s="132"/>
      <c r="J997" s="88">
        <f>SUMIF(月間集計シート!$M$29:$M$48,$G997,月間集計シート!N$29:N$48)*J$2</f>
        <v>0</v>
      </c>
      <c r="K997" s="88">
        <f>SUMIF(月間集計シート!$M$29:$M$48,$G997,月間集計シート!O$29:O$48)*K$2</f>
        <v>0</v>
      </c>
      <c r="L997" s="88">
        <f>SUMIF(月間集計シート!$M$29:$M$48,$G997,月間集計シート!P$29:P$48)*L$2</f>
        <v>0</v>
      </c>
      <c r="M997" s="88">
        <f>SUMIF(月間集計シート!$M$29:$M$48,$G997,月間集計シート!Q$29:Q$48)*M$2</f>
        <v>0</v>
      </c>
      <c r="N997" s="88">
        <f>SUMIF(月間集計シート!$M$29:$M$48,$G997,月間集計シート!R$29:R$48)*N$2</f>
        <v>0</v>
      </c>
      <c r="O997" s="88">
        <f>SUMIF(月間集計シート!$M$29:$M$48,$G997,月間集計シート!S$29:S$48)*O$2</f>
        <v>0</v>
      </c>
      <c r="P997" s="88">
        <f>SUMIF(月間集計シート!$M$29:$M$48,$G997,月間集計シート!T$29:T$48)*P$2</f>
        <v>0</v>
      </c>
      <c r="Q997" s="88">
        <f>SUMIF(月間集計シート!$M$50:$M$69,$G997,月間集計シート!N$50:N$69)*Q$2</f>
        <v>0</v>
      </c>
      <c r="R997" s="88">
        <f>SUMIF(月間集計シート!$M$50:$M$69,$G997,月間集計シート!O$50:O$69)*R$2</f>
        <v>0</v>
      </c>
      <c r="S997" s="88">
        <f>SUMIF(月間集計シート!$M$50:$M$69,$G997,月間集計シート!P$50:P$69)*S$2</f>
        <v>0</v>
      </c>
      <c r="T997" s="88">
        <f>SUMIF(月間集計シート!$M$50:$M$69,$G997,月間集計シート!Q$50:Q$69)*T$2</f>
        <v>0</v>
      </c>
      <c r="U997" s="88">
        <f>SUMIF(月間集計シート!$M$50:$M$69,$G997,月間集計シート!R$50:R$69)*U$2</f>
        <v>0</v>
      </c>
      <c r="V997" s="88">
        <f>SUMIF(月間集計シート!$M$50:$M$69,$G997,月間集計シート!S$50:S$69)*V$2</f>
        <v>0</v>
      </c>
      <c r="W997" s="88">
        <f>SUMIF(月間集計シート!$M$50:$M$69,$G997,月間集計シート!T$50:T$69)*W$2</f>
        <v>0</v>
      </c>
      <c r="X997" s="88">
        <f>SUMIF(月間集計シート!$M$71:$M$90,$G997,月間集計シート!N$71:N$90)*X$2</f>
        <v>0</v>
      </c>
      <c r="Y997" s="88">
        <f>SUMIF(月間集計シート!$M$71:$M$90,$G997,月間集計シート!O$71:O$90)*Y$2</f>
        <v>0</v>
      </c>
      <c r="Z997" s="88">
        <f>SUMIF(月間集計シート!$M$71:$M$90,$G997,月間集計シート!P$71:P$90)*Z$2</f>
        <v>0</v>
      </c>
      <c r="AA997" s="88">
        <f>SUMIF(月間集計シート!$M$71:$M$90,$G997,月間集計シート!Q$71:Q$90)*AA$2</f>
        <v>0</v>
      </c>
      <c r="AB997" s="88">
        <f>SUMIF(月間集計シート!$M$71:$M$90,$G997,月間集計シート!R$71:R$90)*AB$2</f>
        <v>0</v>
      </c>
      <c r="AC997" s="88">
        <f>SUMIF(月間集計シート!$M$71:$M$90,$G997,月間集計シート!S$71:S$90)*AC$2</f>
        <v>0</v>
      </c>
      <c r="AD997" s="88">
        <f>SUMIF(月間集計シート!$M$71:$M$90,$G997,月間集計シート!T$71:T$90)*AD$2</f>
        <v>0</v>
      </c>
      <c r="AE997" s="88">
        <f>SUMIF(月間集計シート!$M$92:$M$111,$G997,月間集計シート!N$92:N$111)*AE$2</f>
        <v>0</v>
      </c>
      <c r="AF997" s="88">
        <f>SUMIF(月間集計シート!$M$92:$M$111,$G997,月間集計シート!O$92:O$111)*AF$2</f>
        <v>0</v>
      </c>
      <c r="AG997" s="88">
        <f>SUMIF(月間集計シート!$M$92:$M$111,$G997,月間集計シート!P$92:P$111)*AG$2</f>
        <v>0</v>
      </c>
      <c r="AH997" s="88">
        <f>SUMIF(月間集計シート!$M$92:$M$111,$G997,月間集計シート!Q$92:Q$111)*AH$2</f>
        <v>0</v>
      </c>
      <c r="AI997" s="88">
        <f>SUMIF(月間集計シート!$M$92:$M$111,$G997,月間集計シート!R$92:R$111)*AI$2</f>
        <v>0</v>
      </c>
      <c r="AJ997" s="88">
        <f>SUMIF(月間集計シート!$M$92:$M$111,$G997,月間集計シート!S$92:S$111)*AJ$2</f>
        <v>0</v>
      </c>
      <c r="AK997" s="88">
        <f>SUMIF(月間集計シート!$M$92:$M$111,$G997,月間集計シート!T$92:T$111)*AK$2</f>
        <v>0</v>
      </c>
      <c r="AL997" s="88">
        <f>SUMIF(月間集計シート!$M$113:$M$132,$G997,月間集計シート!N$113:N$132)*AL$2</f>
        <v>0</v>
      </c>
      <c r="AM997" s="88">
        <f>SUMIF(月間集計シート!$M$113:$M$132,$G997,月間集計シート!O$113:O$132)*AM$2</f>
        <v>0</v>
      </c>
      <c r="AN997" s="88">
        <f>SUMIF(月間集計シート!$M$113:$M$132,$G997,月間集計シート!P$113:P$132)*AN$2</f>
        <v>0</v>
      </c>
      <c r="AO997" s="88">
        <f>SUMIF(月間集計シート!$M$113:$M$132,$G997,月間集計シート!Q$113:Q$132)*AO$2</f>
        <v>0</v>
      </c>
      <c r="AP997" s="88">
        <f>SUMIF(月間集計シート!$M$113:$M$132,$G997,月間集計シート!R$113:R$132)*AP$2</f>
        <v>0</v>
      </c>
      <c r="AQ997" s="88">
        <f>SUMIF(月間集計シート!$M$113:$M$132,$G997,月間集計シート!S$113:S$132)*AQ$2</f>
        <v>0</v>
      </c>
      <c r="AR997" s="88">
        <f>SUMIF(月間集計シート!$M$113:$M$132,$G997,月間集計シート!T$113:T$132)*AR$2</f>
        <v>0</v>
      </c>
      <c r="AS997" s="88">
        <f>SUMIF(月間集計シート!$M$134:$M$153,$G997,月間集計シート!N$134:N$153)*AS$2</f>
        <v>0</v>
      </c>
      <c r="AT997" s="88">
        <f>SUMIF(月間集計シート!$M$134:$M$153,$G997,月間集計シート!O$134:O$153)*AT$2</f>
        <v>0</v>
      </c>
      <c r="AU997" s="88">
        <f>SUMIF(月間集計シート!$M$134:$M$153,$G997,月間集計シート!P$134:P$153)*AU$2</f>
        <v>0</v>
      </c>
      <c r="AV997" s="88">
        <f>SUMIF(月間集計シート!$M$134:$M$153,$G997,月間集計シート!Q$134:Q$153)*AV$2</f>
        <v>0</v>
      </c>
      <c r="AW997" s="88">
        <f>SUMIF(月間集計シート!$M$134:$M$153,$G997,月間集計シート!R$134:R$153)*AW$2</f>
        <v>0</v>
      </c>
      <c r="AX997" s="88">
        <f>SUMIF(月間集計シート!$M$134:$M$153,$G997,月間集計シート!S$134:S$153)*AX$2</f>
        <v>0</v>
      </c>
      <c r="AY997" s="88">
        <f>SUMIF(月間集計シート!$M$134:$M$153,$G997,月間集計シート!T$134:T$153)*AY$2</f>
        <v>0</v>
      </c>
    </row>
    <row r="998" spans="1:51" ht="14.25" thickBot="1">
      <c r="A998">
        <v>12</v>
      </c>
      <c r="B998" s="120">
        <f t="shared" si="517"/>
        <v>0</v>
      </c>
      <c r="C998" s="120" t="str">
        <f t="shared" si="518"/>
        <v/>
      </c>
      <c r="D998" s="137"/>
      <c r="E998" s="150">
        <f>工種!A55</f>
        <v>70106</v>
      </c>
      <c r="F998" s="119" t="str">
        <f>工種!B55</f>
        <v>外部不具合修正：打合せ</v>
      </c>
      <c r="G998" s="116" t="str">
        <f t="shared" si="519"/>
        <v>070106</v>
      </c>
      <c r="H998" s="88">
        <f t="shared" si="516"/>
        <v>0</v>
      </c>
      <c r="I998" s="132"/>
      <c r="J998" s="88">
        <f>SUMIF(月間集計シート!$M$29:$M$48,$G998,月間集計シート!N$29:N$48)*J$2</f>
        <v>0</v>
      </c>
      <c r="K998" s="88">
        <f>SUMIF(月間集計シート!$M$29:$M$48,$G998,月間集計シート!O$29:O$48)*K$2</f>
        <v>0</v>
      </c>
      <c r="L998" s="88">
        <f>SUMIF(月間集計シート!$M$29:$M$48,$G998,月間集計シート!P$29:P$48)*L$2</f>
        <v>0</v>
      </c>
      <c r="M998" s="88">
        <f>SUMIF(月間集計シート!$M$29:$M$48,$G998,月間集計シート!Q$29:Q$48)*M$2</f>
        <v>0</v>
      </c>
      <c r="N998" s="88">
        <f>SUMIF(月間集計シート!$M$29:$M$48,$G998,月間集計シート!R$29:R$48)*N$2</f>
        <v>0</v>
      </c>
      <c r="O998" s="88">
        <f>SUMIF(月間集計シート!$M$29:$M$48,$G998,月間集計シート!S$29:S$48)*O$2</f>
        <v>0</v>
      </c>
      <c r="P998" s="88">
        <f>SUMIF(月間集計シート!$M$29:$M$48,$G998,月間集計シート!T$29:T$48)*P$2</f>
        <v>0</v>
      </c>
      <c r="Q998" s="88">
        <f>SUMIF(月間集計シート!$M$50:$M$69,$G998,月間集計シート!N$50:N$69)*Q$2</f>
        <v>0</v>
      </c>
      <c r="R998" s="88">
        <f>SUMIF(月間集計シート!$M$50:$M$69,$G998,月間集計シート!O$50:O$69)*R$2</f>
        <v>0</v>
      </c>
      <c r="S998" s="88">
        <f>SUMIF(月間集計シート!$M$50:$M$69,$G998,月間集計シート!P$50:P$69)*S$2</f>
        <v>0</v>
      </c>
      <c r="T998" s="88">
        <f>SUMIF(月間集計シート!$M$50:$M$69,$G998,月間集計シート!Q$50:Q$69)*T$2</f>
        <v>0</v>
      </c>
      <c r="U998" s="88">
        <f>SUMIF(月間集計シート!$M$50:$M$69,$G998,月間集計シート!R$50:R$69)*U$2</f>
        <v>0</v>
      </c>
      <c r="V998" s="88">
        <f>SUMIF(月間集計シート!$M$50:$M$69,$G998,月間集計シート!S$50:S$69)*V$2</f>
        <v>0</v>
      </c>
      <c r="W998" s="88">
        <f>SUMIF(月間集計シート!$M$50:$M$69,$G998,月間集計シート!T$50:T$69)*W$2</f>
        <v>0</v>
      </c>
      <c r="X998" s="88">
        <f>SUMIF(月間集計シート!$M$71:$M$90,$G998,月間集計シート!N$71:N$90)*X$2</f>
        <v>0</v>
      </c>
      <c r="Y998" s="88">
        <f>SUMIF(月間集計シート!$M$71:$M$90,$G998,月間集計シート!O$71:O$90)*Y$2</f>
        <v>0</v>
      </c>
      <c r="Z998" s="88">
        <f>SUMIF(月間集計シート!$M$71:$M$90,$G998,月間集計シート!P$71:P$90)*Z$2</f>
        <v>0</v>
      </c>
      <c r="AA998" s="88">
        <f>SUMIF(月間集計シート!$M$71:$M$90,$G998,月間集計シート!Q$71:Q$90)*AA$2</f>
        <v>0</v>
      </c>
      <c r="AB998" s="88">
        <f>SUMIF(月間集計シート!$M$71:$M$90,$G998,月間集計シート!R$71:R$90)*AB$2</f>
        <v>0</v>
      </c>
      <c r="AC998" s="88">
        <f>SUMIF(月間集計シート!$M$71:$M$90,$G998,月間集計シート!S$71:S$90)*AC$2</f>
        <v>0</v>
      </c>
      <c r="AD998" s="88">
        <f>SUMIF(月間集計シート!$M$71:$M$90,$G998,月間集計シート!T$71:T$90)*AD$2</f>
        <v>0</v>
      </c>
      <c r="AE998" s="88">
        <f>SUMIF(月間集計シート!$M$92:$M$111,$G998,月間集計シート!N$92:N$111)*AE$2</f>
        <v>0</v>
      </c>
      <c r="AF998" s="88">
        <f>SUMIF(月間集計シート!$M$92:$M$111,$G998,月間集計シート!O$92:O$111)*AF$2</f>
        <v>0</v>
      </c>
      <c r="AG998" s="88">
        <f>SUMIF(月間集計シート!$M$92:$M$111,$G998,月間集計シート!P$92:P$111)*AG$2</f>
        <v>0</v>
      </c>
      <c r="AH998" s="88">
        <f>SUMIF(月間集計シート!$M$92:$M$111,$G998,月間集計シート!Q$92:Q$111)*AH$2</f>
        <v>0</v>
      </c>
      <c r="AI998" s="88">
        <f>SUMIF(月間集計シート!$M$92:$M$111,$G998,月間集計シート!R$92:R$111)*AI$2</f>
        <v>0</v>
      </c>
      <c r="AJ998" s="88">
        <f>SUMIF(月間集計シート!$M$92:$M$111,$G998,月間集計シート!S$92:S$111)*AJ$2</f>
        <v>0</v>
      </c>
      <c r="AK998" s="88">
        <f>SUMIF(月間集計シート!$M$92:$M$111,$G998,月間集計シート!T$92:T$111)*AK$2</f>
        <v>0</v>
      </c>
      <c r="AL998" s="88">
        <f>SUMIF(月間集計シート!$M$113:$M$132,$G998,月間集計シート!N$113:N$132)*AL$2</f>
        <v>0</v>
      </c>
      <c r="AM998" s="88">
        <f>SUMIF(月間集計シート!$M$113:$M$132,$G998,月間集計シート!O$113:O$132)*AM$2</f>
        <v>0</v>
      </c>
      <c r="AN998" s="88">
        <f>SUMIF(月間集計シート!$M$113:$M$132,$G998,月間集計シート!P$113:P$132)*AN$2</f>
        <v>0</v>
      </c>
      <c r="AO998" s="88">
        <f>SUMIF(月間集計シート!$M$113:$M$132,$G998,月間集計シート!Q$113:Q$132)*AO$2</f>
        <v>0</v>
      </c>
      <c r="AP998" s="88">
        <f>SUMIF(月間集計シート!$M$113:$M$132,$G998,月間集計シート!R$113:R$132)*AP$2</f>
        <v>0</v>
      </c>
      <c r="AQ998" s="88">
        <f>SUMIF(月間集計シート!$M$113:$M$132,$G998,月間集計シート!S$113:S$132)*AQ$2</f>
        <v>0</v>
      </c>
      <c r="AR998" s="88">
        <f>SUMIF(月間集計シート!$M$113:$M$132,$G998,月間集計シート!T$113:T$132)*AR$2</f>
        <v>0</v>
      </c>
      <c r="AS998" s="88">
        <f>SUMIF(月間集計シート!$M$134:$M$153,$G998,月間集計シート!N$134:N$153)*AS$2</f>
        <v>0</v>
      </c>
      <c r="AT998" s="88">
        <f>SUMIF(月間集計シート!$M$134:$M$153,$G998,月間集計シート!O$134:O$153)*AT$2</f>
        <v>0</v>
      </c>
      <c r="AU998" s="88">
        <f>SUMIF(月間集計シート!$M$134:$M$153,$G998,月間集計シート!P$134:P$153)*AU$2</f>
        <v>0</v>
      </c>
      <c r="AV998" s="88">
        <f>SUMIF(月間集計シート!$M$134:$M$153,$G998,月間集計シート!Q$134:Q$153)*AV$2</f>
        <v>0</v>
      </c>
      <c r="AW998" s="88">
        <f>SUMIF(月間集計シート!$M$134:$M$153,$G998,月間集計シート!R$134:R$153)*AW$2</f>
        <v>0</v>
      </c>
      <c r="AX998" s="88">
        <f>SUMIF(月間集計シート!$M$134:$M$153,$G998,月間集計シート!S$134:S$153)*AX$2</f>
        <v>0</v>
      </c>
      <c r="AY998" s="88">
        <f>SUMIF(月間集計シート!$M$134:$M$153,$G998,月間集計シート!T$134:T$153)*AY$2</f>
        <v>0</v>
      </c>
    </row>
    <row r="999" spans="1:51" ht="14.25" thickBot="1">
      <c r="A999">
        <v>12</v>
      </c>
      <c r="B999" s="120">
        <f t="shared" si="517"/>
        <v>0</v>
      </c>
      <c r="C999" s="120" t="str">
        <f t="shared" si="518"/>
        <v/>
      </c>
      <c r="D999" s="137"/>
      <c r="E999" s="150">
        <f>工種!A56</f>
        <v>70109</v>
      </c>
      <c r="F999" s="119" t="str">
        <f>工種!B56</f>
        <v>外部不具合修正：レビュー</v>
      </c>
      <c r="G999" s="116" t="str">
        <f t="shared" si="519"/>
        <v>070109</v>
      </c>
      <c r="H999" s="88">
        <f t="shared" si="516"/>
        <v>0</v>
      </c>
      <c r="I999" s="132"/>
      <c r="J999" s="88">
        <f>SUMIF(月間集計シート!$M$29:$M$48,$G999,月間集計シート!N$29:N$48)*J$2</f>
        <v>0</v>
      </c>
      <c r="K999" s="88">
        <f>SUMIF(月間集計シート!$M$29:$M$48,$G999,月間集計シート!O$29:O$48)*K$2</f>
        <v>0</v>
      </c>
      <c r="L999" s="88">
        <f>SUMIF(月間集計シート!$M$29:$M$48,$G999,月間集計シート!P$29:P$48)*L$2</f>
        <v>0</v>
      </c>
      <c r="M999" s="88">
        <f>SUMIF(月間集計シート!$M$29:$M$48,$G999,月間集計シート!Q$29:Q$48)*M$2</f>
        <v>0</v>
      </c>
      <c r="N999" s="88">
        <f>SUMIF(月間集計シート!$M$29:$M$48,$G999,月間集計シート!R$29:R$48)*N$2</f>
        <v>0</v>
      </c>
      <c r="O999" s="88">
        <f>SUMIF(月間集計シート!$M$29:$M$48,$G999,月間集計シート!S$29:S$48)*O$2</f>
        <v>0</v>
      </c>
      <c r="P999" s="88">
        <f>SUMIF(月間集計シート!$M$29:$M$48,$G999,月間集計シート!T$29:T$48)*P$2</f>
        <v>0</v>
      </c>
      <c r="Q999" s="88">
        <f>SUMIF(月間集計シート!$M$50:$M$69,$G999,月間集計シート!N$50:N$69)*Q$2</f>
        <v>0</v>
      </c>
      <c r="R999" s="88">
        <f>SUMIF(月間集計シート!$M$50:$M$69,$G999,月間集計シート!O$50:O$69)*R$2</f>
        <v>0</v>
      </c>
      <c r="S999" s="88">
        <f>SUMIF(月間集計シート!$M$50:$M$69,$G999,月間集計シート!P$50:P$69)*S$2</f>
        <v>0</v>
      </c>
      <c r="T999" s="88">
        <f>SUMIF(月間集計シート!$M$50:$M$69,$G999,月間集計シート!Q$50:Q$69)*T$2</f>
        <v>0</v>
      </c>
      <c r="U999" s="88">
        <f>SUMIF(月間集計シート!$M$50:$M$69,$G999,月間集計シート!R$50:R$69)*U$2</f>
        <v>0</v>
      </c>
      <c r="V999" s="88">
        <f>SUMIF(月間集計シート!$M$50:$M$69,$G999,月間集計シート!S$50:S$69)*V$2</f>
        <v>0</v>
      </c>
      <c r="W999" s="88">
        <f>SUMIF(月間集計シート!$M$50:$M$69,$G999,月間集計シート!T$50:T$69)*W$2</f>
        <v>0</v>
      </c>
      <c r="X999" s="88">
        <f>SUMIF(月間集計シート!$M$71:$M$90,$G999,月間集計シート!N$71:N$90)*X$2</f>
        <v>0</v>
      </c>
      <c r="Y999" s="88">
        <f>SUMIF(月間集計シート!$M$71:$M$90,$G999,月間集計シート!O$71:O$90)*Y$2</f>
        <v>0</v>
      </c>
      <c r="Z999" s="88">
        <f>SUMIF(月間集計シート!$M$71:$M$90,$G999,月間集計シート!P$71:P$90)*Z$2</f>
        <v>0</v>
      </c>
      <c r="AA999" s="88">
        <f>SUMIF(月間集計シート!$M$71:$M$90,$G999,月間集計シート!Q$71:Q$90)*AA$2</f>
        <v>0</v>
      </c>
      <c r="AB999" s="88">
        <f>SUMIF(月間集計シート!$M$71:$M$90,$G999,月間集計シート!R$71:R$90)*AB$2</f>
        <v>0</v>
      </c>
      <c r="AC999" s="88">
        <f>SUMIF(月間集計シート!$M$71:$M$90,$G999,月間集計シート!S$71:S$90)*AC$2</f>
        <v>0</v>
      </c>
      <c r="AD999" s="88">
        <f>SUMIF(月間集計シート!$M$71:$M$90,$G999,月間集計シート!T$71:T$90)*AD$2</f>
        <v>0</v>
      </c>
      <c r="AE999" s="88">
        <f>SUMIF(月間集計シート!$M$92:$M$111,$G999,月間集計シート!N$92:N$111)*AE$2</f>
        <v>0</v>
      </c>
      <c r="AF999" s="88">
        <f>SUMIF(月間集計シート!$M$92:$M$111,$G999,月間集計シート!O$92:O$111)*AF$2</f>
        <v>0</v>
      </c>
      <c r="AG999" s="88">
        <f>SUMIF(月間集計シート!$M$92:$M$111,$G999,月間集計シート!P$92:P$111)*AG$2</f>
        <v>0</v>
      </c>
      <c r="AH999" s="88">
        <f>SUMIF(月間集計シート!$M$92:$M$111,$G999,月間集計シート!Q$92:Q$111)*AH$2</f>
        <v>0</v>
      </c>
      <c r="AI999" s="88">
        <f>SUMIF(月間集計シート!$M$92:$M$111,$G999,月間集計シート!R$92:R$111)*AI$2</f>
        <v>0</v>
      </c>
      <c r="AJ999" s="88">
        <f>SUMIF(月間集計シート!$M$92:$M$111,$G999,月間集計シート!S$92:S$111)*AJ$2</f>
        <v>0</v>
      </c>
      <c r="AK999" s="88">
        <f>SUMIF(月間集計シート!$M$92:$M$111,$G999,月間集計シート!T$92:T$111)*AK$2</f>
        <v>0</v>
      </c>
      <c r="AL999" s="88">
        <f>SUMIF(月間集計シート!$M$113:$M$132,$G999,月間集計シート!N$113:N$132)*AL$2</f>
        <v>0</v>
      </c>
      <c r="AM999" s="88">
        <f>SUMIF(月間集計シート!$M$113:$M$132,$G999,月間集計シート!O$113:O$132)*AM$2</f>
        <v>0</v>
      </c>
      <c r="AN999" s="88">
        <f>SUMIF(月間集計シート!$M$113:$M$132,$G999,月間集計シート!P$113:P$132)*AN$2</f>
        <v>0</v>
      </c>
      <c r="AO999" s="88">
        <f>SUMIF(月間集計シート!$M$113:$M$132,$G999,月間集計シート!Q$113:Q$132)*AO$2</f>
        <v>0</v>
      </c>
      <c r="AP999" s="88">
        <f>SUMIF(月間集計シート!$M$113:$M$132,$G999,月間集計シート!R$113:R$132)*AP$2</f>
        <v>0</v>
      </c>
      <c r="AQ999" s="88">
        <f>SUMIF(月間集計シート!$M$113:$M$132,$G999,月間集計シート!S$113:S$132)*AQ$2</f>
        <v>0</v>
      </c>
      <c r="AR999" s="88">
        <f>SUMIF(月間集計シート!$M$113:$M$132,$G999,月間集計シート!T$113:T$132)*AR$2</f>
        <v>0</v>
      </c>
      <c r="AS999" s="88">
        <f>SUMIF(月間集計シート!$M$134:$M$153,$G999,月間集計シート!N$134:N$153)*AS$2</f>
        <v>0</v>
      </c>
      <c r="AT999" s="88">
        <f>SUMIF(月間集計シート!$M$134:$M$153,$G999,月間集計シート!O$134:O$153)*AT$2</f>
        <v>0</v>
      </c>
      <c r="AU999" s="88">
        <f>SUMIF(月間集計シート!$M$134:$M$153,$G999,月間集計シート!P$134:P$153)*AU$2</f>
        <v>0</v>
      </c>
      <c r="AV999" s="88">
        <f>SUMIF(月間集計シート!$M$134:$M$153,$G999,月間集計シート!Q$134:Q$153)*AV$2</f>
        <v>0</v>
      </c>
      <c r="AW999" s="88">
        <f>SUMIF(月間集計シート!$M$134:$M$153,$G999,月間集計シート!R$134:R$153)*AW$2</f>
        <v>0</v>
      </c>
      <c r="AX999" s="88">
        <f>SUMIF(月間集計シート!$M$134:$M$153,$G999,月間集計シート!S$134:S$153)*AX$2</f>
        <v>0</v>
      </c>
      <c r="AY999" s="88">
        <f>SUMIF(月間集計シート!$M$134:$M$153,$G999,月間集計シート!T$134:T$153)*AY$2</f>
        <v>0</v>
      </c>
    </row>
    <row r="1000" spans="1:51" ht="14.25" thickBot="1">
      <c r="A1000">
        <v>12</v>
      </c>
      <c r="B1000" s="120">
        <f t="shared" si="517"/>
        <v>0</v>
      </c>
      <c r="C1000" s="120" t="str">
        <f t="shared" si="518"/>
        <v/>
      </c>
      <c r="D1000" s="137"/>
      <c r="E1000" s="150">
        <f>工種!A57</f>
        <v>70189</v>
      </c>
      <c r="F1000" s="119" t="str">
        <f>工種!B57</f>
        <v>外部不具合修正：外部不具合分析</v>
      </c>
      <c r="G1000" s="116" t="str">
        <f t="shared" si="519"/>
        <v>070189</v>
      </c>
      <c r="H1000" s="88">
        <f t="shared" si="516"/>
        <v>0</v>
      </c>
      <c r="I1000" s="132"/>
      <c r="J1000" s="88">
        <f>SUMIF(月間集計シート!$M$29:$M$48,$G1000,月間集計シート!N$29:N$48)*J$2</f>
        <v>0</v>
      </c>
      <c r="K1000" s="88">
        <f>SUMIF(月間集計シート!$M$29:$M$48,$G1000,月間集計シート!O$29:O$48)*K$2</f>
        <v>0</v>
      </c>
      <c r="L1000" s="88">
        <f>SUMIF(月間集計シート!$M$29:$M$48,$G1000,月間集計シート!P$29:P$48)*L$2</f>
        <v>0</v>
      </c>
      <c r="M1000" s="88">
        <f>SUMIF(月間集計シート!$M$29:$M$48,$G1000,月間集計シート!Q$29:Q$48)*M$2</f>
        <v>0</v>
      </c>
      <c r="N1000" s="88">
        <f>SUMIF(月間集計シート!$M$29:$M$48,$G1000,月間集計シート!R$29:R$48)*N$2</f>
        <v>0</v>
      </c>
      <c r="O1000" s="88">
        <f>SUMIF(月間集計シート!$M$29:$M$48,$G1000,月間集計シート!S$29:S$48)*O$2</f>
        <v>0</v>
      </c>
      <c r="P1000" s="88">
        <f>SUMIF(月間集計シート!$M$29:$M$48,$G1000,月間集計シート!T$29:T$48)*P$2</f>
        <v>0</v>
      </c>
      <c r="Q1000" s="88">
        <f>SUMIF(月間集計シート!$M$50:$M$69,$G1000,月間集計シート!N$50:N$69)*Q$2</f>
        <v>0</v>
      </c>
      <c r="R1000" s="88">
        <f>SUMIF(月間集計シート!$M$50:$M$69,$G1000,月間集計シート!O$50:O$69)*R$2</f>
        <v>0</v>
      </c>
      <c r="S1000" s="88">
        <f>SUMIF(月間集計シート!$M$50:$M$69,$G1000,月間集計シート!P$50:P$69)*S$2</f>
        <v>0</v>
      </c>
      <c r="T1000" s="88">
        <f>SUMIF(月間集計シート!$M$50:$M$69,$G1000,月間集計シート!Q$50:Q$69)*T$2</f>
        <v>0</v>
      </c>
      <c r="U1000" s="88">
        <f>SUMIF(月間集計シート!$M$50:$M$69,$G1000,月間集計シート!R$50:R$69)*U$2</f>
        <v>0</v>
      </c>
      <c r="V1000" s="88">
        <f>SUMIF(月間集計シート!$M$50:$M$69,$G1000,月間集計シート!S$50:S$69)*V$2</f>
        <v>0</v>
      </c>
      <c r="W1000" s="88">
        <f>SUMIF(月間集計シート!$M$50:$M$69,$G1000,月間集計シート!T$50:T$69)*W$2</f>
        <v>0</v>
      </c>
      <c r="X1000" s="88">
        <f>SUMIF(月間集計シート!$M$71:$M$90,$G1000,月間集計シート!N$71:N$90)*X$2</f>
        <v>0</v>
      </c>
      <c r="Y1000" s="88">
        <f>SUMIF(月間集計シート!$M$71:$M$90,$G1000,月間集計シート!O$71:O$90)*Y$2</f>
        <v>0</v>
      </c>
      <c r="Z1000" s="88">
        <f>SUMIF(月間集計シート!$M$71:$M$90,$G1000,月間集計シート!P$71:P$90)*Z$2</f>
        <v>0</v>
      </c>
      <c r="AA1000" s="88">
        <f>SUMIF(月間集計シート!$M$71:$M$90,$G1000,月間集計シート!Q$71:Q$90)*AA$2</f>
        <v>0</v>
      </c>
      <c r="AB1000" s="88">
        <f>SUMIF(月間集計シート!$M$71:$M$90,$G1000,月間集計シート!R$71:R$90)*AB$2</f>
        <v>0</v>
      </c>
      <c r="AC1000" s="88">
        <f>SUMIF(月間集計シート!$M$71:$M$90,$G1000,月間集計シート!S$71:S$90)*AC$2</f>
        <v>0</v>
      </c>
      <c r="AD1000" s="88">
        <f>SUMIF(月間集計シート!$M$71:$M$90,$G1000,月間集計シート!T$71:T$90)*AD$2</f>
        <v>0</v>
      </c>
      <c r="AE1000" s="88">
        <f>SUMIF(月間集計シート!$M$92:$M$111,$G1000,月間集計シート!N$92:N$111)*AE$2</f>
        <v>0</v>
      </c>
      <c r="AF1000" s="88">
        <f>SUMIF(月間集計シート!$M$92:$M$111,$G1000,月間集計シート!O$92:O$111)*AF$2</f>
        <v>0</v>
      </c>
      <c r="AG1000" s="88">
        <f>SUMIF(月間集計シート!$M$92:$M$111,$G1000,月間集計シート!P$92:P$111)*AG$2</f>
        <v>0</v>
      </c>
      <c r="AH1000" s="88">
        <f>SUMIF(月間集計シート!$M$92:$M$111,$G1000,月間集計シート!Q$92:Q$111)*AH$2</f>
        <v>0</v>
      </c>
      <c r="AI1000" s="88">
        <f>SUMIF(月間集計シート!$M$92:$M$111,$G1000,月間集計シート!R$92:R$111)*AI$2</f>
        <v>0</v>
      </c>
      <c r="AJ1000" s="88">
        <f>SUMIF(月間集計シート!$M$92:$M$111,$G1000,月間集計シート!S$92:S$111)*AJ$2</f>
        <v>0</v>
      </c>
      <c r="AK1000" s="88">
        <f>SUMIF(月間集計シート!$M$92:$M$111,$G1000,月間集計シート!T$92:T$111)*AK$2</f>
        <v>0</v>
      </c>
      <c r="AL1000" s="88">
        <f>SUMIF(月間集計シート!$M$113:$M$132,$G1000,月間集計シート!N$113:N$132)*AL$2</f>
        <v>0</v>
      </c>
      <c r="AM1000" s="88">
        <f>SUMIF(月間集計シート!$M$113:$M$132,$G1000,月間集計シート!O$113:O$132)*AM$2</f>
        <v>0</v>
      </c>
      <c r="AN1000" s="88">
        <f>SUMIF(月間集計シート!$M$113:$M$132,$G1000,月間集計シート!P$113:P$132)*AN$2</f>
        <v>0</v>
      </c>
      <c r="AO1000" s="88">
        <f>SUMIF(月間集計シート!$M$113:$M$132,$G1000,月間集計シート!Q$113:Q$132)*AO$2</f>
        <v>0</v>
      </c>
      <c r="AP1000" s="88">
        <f>SUMIF(月間集計シート!$M$113:$M$132,$G1000,月間集計シート!R$113:R$132)*AP$2</f>
        <v>0</v>
      </c>
      <c r="AQ1000" s="88">
        <f>SUMIF(月間集計シート!$M$113:$M$132,$G1000,月間集計シート!S$113:S$132)*AQ$2</f>
        <v>0</v>
      </c>
      <c r="AR1000" s="88">
        <f>SUMIF(月間集計シート!$M$113:$M$132,$G1000,月間集計シート!T$113:T$132)*AR$2</f>
        <v>0</v>
      </c>
      <c r="AS1000" s="88">
        <f>SUMIF(月間集計シート!$M$134:$M$153,$G1000,月間集計シート!N$134:N$153)*AS$2</f>
        <v>0</v>
      </c>
      <c r="AT1000" s="88">
        <f>SUMIF(月間集計シート!$M$134:$M$153,$G1000,月間集計シート!O$134:O$153)*AT$2</f>
        <v>0</v>
      </c>
      <c r="AU1000" s="88">
        <f>SUMIF(月間集計シート!$M$134:$M$153,$G1000,月間集計シート!P$134:P$153)*AU$2</f>
        <v>0</v>
      </c>
      <c r="AV1000" s="88">
        <f>SUMIF(月間集計シート!$M$134:$M$153,$G1000,月間集計シート!Q$134:Q$153)*AV$2</f>
        <v>0</v>
      </c>
      <c r="AW1000" s="88">
        <f>SUMIF(月間集計シート!$M$134:$M$153,$G1000,月間集計シート!R$134:R$153)*AW$2</f>
        <v>0</v>
      </c>
      <c r="AX1000" s="88">
        <f>SUMIF(月間集計シート!$M$134:$M$153,$G1000,月間集計シート!S$134:S$153)*AX$2</f>
        <v>0</v>
      </c>
      <c r="AY1000" s="88">
        <f>SUMIF(月間集計シート!$M$134:$M$153,$G1000,月間集計シート!T$134:T$153)*AY$2</f>
        <v>0</v>
      </c>
    </row>
    <row r="1001" spans="1:51" ht="14.25" thickBot="1">
      <c r="A1001">
        <v>12</v>
      </c>
      <c r="B1001" s="120">
        <f t="shared" si="517"/>
        <v>0</v>
      </c>
      <c r="C1001" s="120" t="str">
        <f t="shared" si="518"/>
        <v/>
      </c>
      <c r="D1001" s="137"/>
      <c r="E1001" s="150">
        <f>工種!A58</f>
        <v>70199</v>
      </c>
      <c r="F1001" s="119" t="str">
        <f>工種!B58</f>
        <v>外部不具合修正：その他</v>
      </c>
      <c r="G1001" s="116" t="str">
        <f t="shared" si="519"/>
        <v>070199</v>
      </c>
      <c r="H1001" s="88">
        <f t="shared" si="516"/>
        <v>0</v>
      </c>
      <c r="I1001" s="132"/>
      <c r="J1001" s="88">
        <f>SUMIF(月間集計シート!$M$29:$M$48,$G1001,月間集計シート!N$29:N$48)*J$2</f>
        <v>0</v>
      </c>
      <c r="K1001" s="88">
        <f>SUMIF(月間集計シート!$M$29:$M$48,$G1001,月間集計シート!O$29:O$48)*K$2</f>
        <v>0</v>
      </c>
      <c r="L1001" s="88">
        <f>SUMIF(月間集計シート!$M$29:$M$48,$G1001,月間集計シート!P$29:P$48)*L$2</f>
        <v>0</v>
      </c>
      <c r="M1001" s="88">
        <f>SUMIF(月間集計シート!$M$29:$M$48,$G1001,月間集計シート!Q$29:Q$48)*M$2</f>
        <v>0</v>
      </c>
      <c r="N1001" s="88">
        <f>SUMIF(月間集計シート!$M$29:$M$48,$G1001,月間集計シート!R$29:R$48)*N$2</f>
        <v>0</v>
      </c>
      <c r="O1001" s="88">
        <f>SUMIF(月間集計シート!$M$29:$M$48,$G1001,月間集計シート!S$29:S$48)*O$2</f>
        <v>0</v>
      </c>
      <c r="P1001" s="88">
        <f>SUMIF(月間集計シート!$M$29:$M$48,$G1001,月間集計シート!T$29:T$48)*P$2</f>
        <v>0</v>
      </c>
      <c r="Q1001" s="88">
        <f>SUMIF(月間集計シート!$M$50:$M$69,$G1001,月間集計シート!N$50:N$69)*Q$2</f>
        <v>0</v>
      </c>
      <c r="R1001" s="88">
        <f>SUMIF(月間集計シート!$M$50:$M$69,$G1001,月間集計シート!O$50:O$69)*R$2</f>
        <v>0</v>
      </c>
      <c r="S1001" s="88">
        <f>SUMIF(月間集計シート!$M$50:$M$69,$G1001,月間集計シート!P$50:P$69)*S$2</f>
        <v>0</v>
      </c>
      <c r="T1001" s="88">
        <f>SUMIF(月間集計シート!$M$50:$M$69,$G1001,月間集計シート!Q$50:Q$69)*T$2</f>
        <v>0</v>
      </c>
      <c r="U1001" s="88">
        <f>SUMIF(月間集計シート!$M$50:$M$69,$G1001,月間集計シート!R$50:R$69)*U$2</f>
        <v>0</v>
      </c>
      <c r="V1001" s="88">
        <f>SUMIF(月間集計シート!$M$50:$M$69,$G1001,月間集計シート!S$50:S$69)*V$2</f>
        <v>0</v>
      </c>
      <c r="W1001" s="88">
        <f>SUMIF(月間集計シート!$M$50:$M$69,$G1001,月間集計シート!T$50:T$69)*W$2</f>
        <v>0</v>
      </c>
      <c r="X1001" s="88">
        <f>SUMIF(月間集計シート!$M$71:$M$90,$G1001,月間集計シート!N$71:N$90)*X$2</f>
        <v>0</v>
      </c>
      <c r="Y1001" s="88">
        <f>SUMIF(月間集計シート!$M$71:$M$90,$G1001,月間集計シート!O$71:O$90)*Y$2</f>
        <v>0</v>
      </c>
      <c r="Z1001" s="88">
        <f>SUMIF(月間集計シート!$M$71:$M$90,$G1001,月間集計シート!P$71:P$90)*Z$2</f>
        <v>0</v>
      </c>
      <c r="AA1001" s="88">
        <f>SUMIF(月間集計シート!$M$71:$M$90,$G1001,月間集計シート!Q$71:Q$90)*AA$2</f>
        <v>0</v>
      </c>
      <c r="AB1001" s="88">
        <f>SUMIF(月間集計シート!$M$71:$M$90,$G1001,月間集計シート!R$71:R$90)*AB$2</f>
        <v>0</v>
      </c>
      <c r="AC1001" s="88">
        <f>SUMIF(月間集計シート!$M$71:$M$90,$G1001,月間集計シート!S$71:S$90)*AC$2</f>
        <v>0</v>
      </c>
      <c r="AD1001" s="88">
        <f>SUMIF(月間集計シート!$M$71:$M$90,$G1001,月間集計シート!T$71:T$90)*AD$2</f>
        <v>0</v>
      </c>
      <c r="AE1001" s="88">
        <f>SUMIF(月間集計シート!$M$92:$M$111,$G1001,月間集計シート!N$92:N$111)*AE$2</f>
        <v>0</v>
      </c>
      <c r="AF1001" s="88">
        <f>SUMIF(月間集計シート!$M$92:$M$111,$G1001,月間集計シート!O$92:O$111)*AF$2</f>
        <v>0</v>
      </c>
      <c r="AG1001" s="88">
        <f>SUMIF(月間集計シート!$M$92:$M$111,$G1001,月間集計シート!P$92:P$111)*AG$2</f>
        <v>0</v>
      </c>
      <c r="AH1001" s="88">
        <f>SUMIF(月間集計シート!$M$92:$M$111,$G1001,月間集計シート!Q$92:Q$111)*AH$2</f>
        <v>0</v>
      </c>
      <c r="AI1001" s="88">
        <f>SUMIF(月間集計シート!$M$92:$M$111,$G1001,月間集計シート!R$92:R$111)*AI$2</f>
        <v>0</v>
      </c>
      <c r="AJ1001" s="88">
        <f>SUMIF(月間集計シート!$M$92:$M$111,$G1001,月間集計シート!S$92:S$111)*AJ$2</f>
        <v>0</v>
      </c>
      <c r="AK1001" s="88">
        <f>SUMIF(月間集計シート!$M$92:$M$111,$G1001,月間集計シート!T$92:T$111)*AK$2</f>
        <v>0</v>
      </c>
      <c r="AL1001" s="88">
        <f>SUMIF(月間集計シート!$M$113:$M$132,$G1001,月間集計シート!N$113:N$132)*AL$2</f>
        <v>0</v>
      </c>
      <c r="AM1001" s="88">
        <f>SUMIF(月間集計シート!$M$113:$M$132,$G1001,月間集計シート!O$113:O$132)*AM$2</f>
        <v>0</v>
      </c>
      <c r="AN1001" s="88">
        <f>SUMIF(月間集計シート!$M$113:$M$132,$G1001,月間集計シート!P$113:P$132)*AN$2</f>
        <v>0</v>
      </c>
      <c r="AO1001" s="88">
        <f>SUMIF(月間集計シート!$M$113:$M$132,$G1001,月間集計シート!Q$113:Q$132)*AO$2</f>
        <v>0</v>
      </c>
      <c r="AP1001" s="88">
        <f>SUMIF(月間集計シート!$M$113:$M$132,$G1001,月間集計シート!R$113:R$132)*AP$2</f>
        <v>0</v>
      </c>
      <c r="AQ1001" s="88">
        <f>SUMIF(月間集計シート!$M$113:$M$132,$G1001,月間集計シート!S$113:S$132)*AQ$2</f>
        <v>0</v>
      </c>
      <c r="AR1001" s="88">
        <f>SUMIF(月間集計シート!$M$113:$M$132,$G1001,月間集計シート!T$113:T$132)*AR$2</f>
        <v>0</v>
      </c>
      <c r="AS1001" s="88">
        <f>SUMIF(月間集計シート!$M$134:$M$153,$G1001,月間集計シート!N$134:N$153)*AS$2</f>
        <v>0</v>
      </c>
      <c r="AT1001" s="88">
        <f>SUMIF(月間集計シート!$M$134:$M$153,$G1001,月間集計シート!O$134:O$153)*AT$2</f>
        <v>0</v>
      </c>
      <c r="AU1001" s="88">
        <f>SUMIF(月間集計シート!$M$134:$M$153,$G1001,月間集計シート!P$134:P$153)*AU$2</f>
        <v>0</v>
      </c>
      <c r="AV1001" s="88">
        <f>SUMIF(月間集計シート!$M$134:$M$153,$G1001,月間集計シート!Q$134:Q$153)*AV$2</f>
        <v>0</v>
      </c>
      <c r="AW1001" s="88">
        <f>SUMIF(月間集計シート!$M$134:$M$153,$G1001,月間集計シート!R$134:R$153)*AW$2</f>
        <v>0</v>
      </c>
      <c r="AX1001" s="88">
        <f>SUMIF(月間集計シート!$M$134:$M$153,$G1001,月間集計シート!S$134:S$153)*AX$2</f>
        <v>0</v>
      </c>
      <c r="AY1001" s="88">
        <f>SUMIF(月間集計シート!$M$134:$M$153,$G1001,月間集計シート!T$134:T$153)*AY$2</f>
        <v>0</v>
      </c>
    </row>
    <row r="1002" spans="1:51" ht="14.25" thickBot="1">
      <c r="A1002">
        <v>12</v>
      </c>
      <c r="B1002" s="120">
        <f t="shared" si="517"/>
        <v>0</v>
      </c>
      <c r="C1002" s="120" t="str">
        <f t="shared" si="518"/>
        <v/>
      </c>
      <c r="D1002" s="137"/>
      <c r="E1002" s="150" t="str">
        <f>工種!A59</f>
        <v>80101</v>
      </c>
      <c r="F1002" s="119" t="str">
        <f>工種!B59</f>
        <v>保守／ｻﾎﾟｰﾄ：調査</v>
      </c>
      <c r="G1002" s="116" t="str">
        <f t="shared" si="519"/>
        <v>080101</v>
      </c>
      <c r="H1002" s="88">
        <f t="shared" si="516"/>
        <v>0</v>
      </c>
      <c r="I1002" s="132"/>
      <c r="J1002" s="88">
        <f>SUMIF(月間集計シート!$M$29:$M$48,$G1002,月間集計シート!N$29:N$48)*J$2</f>
        <v>0</v>
      </c>
      <c r="K1002" s="88">
        <f>SUMIF(月間集計シート!$M$29:$M$48,$G1002,月間集計シート!O$29:O$48)*K$2</f>
        <v>0</v>
      </c>
      <c r="L1002" s="88">
        <f>SUMIF(月間集計シート!$M$29:$M$48,$G1002,月間集計シート!P$29:P$48)*L$2</f>
        <v>0</v>
      </c>
      <c r="M1002" s="88">
        <f>SUMIF(月間集計シート!$M$29:$M$48,$G1002,月間集計シート!Q$29:Q$48)*M$2</f>
        <v>0</v>
      </c>
      <c r="N1002" s="88">
        <f>SUMIF(月間集計シート!$M$29:$M$48,$G1002,月間集計シート!R$29:R$48)*N$2</f>
        <v>0</v>
      </c>
      <c r="O1002" s="88">
        <f>SUMIF(月間集計シート!$M$29:$M$48,$G1002,月間集計シート!S$29:S$48)*O$2</f>
        <v>0</v>
      </c>
      <c r="P1002" s="88">
        <f>SUMIF(月間集計シート!$M$29:$M$48,$G1002,月間集計シート!T$29:T$48)*P$2</f>
        <v>0</v>
      </c>
      <c r="Q1002" s="88">
        <f>SUMIF(月間集計シート!$M$50:$M$69,$G1002,月間集計シート!N$50:N$69)*Q$2</f>
        <v>0</v>
      </c>
      <c r="R1002" s="88">
        <f>SUMIF(月間集計シート!$M$50:$M$69,$G1002,月間集計シート!O$50:O$69)*R$2</f>
        <v>0</v>
      </c>
      <c r="S1002" s="88">
        <f>SUMIF(月間集計シート!$M$50:$M$69,$G1002,月間集計シート!P$50:P$69)*S$2</f>
        <v>0</v>
      </c>
      <c r="T1002" s="88">
        <f>SUMIF(月間集計シート!$M$50:$M$69,$G1002,月間集計シート!Q$50:Q$69)*T$2</f>
        <v>0</v>
      </c>
      <c r="U1002" s="88">
        <f>SUMIF(月間集計シート!$M$50:$M$69,$G1002,月間集計シート!R$50:R$69)*U$2</f>
        <v>0</v>
      </c>
      <c r="V1002" s="88">
        <f>SUMIF(月間集計シート!$M$50:$M$69,$G1002,月間集計シート!S$50:S$69)*V$2</f>
        <v>0</v>
      </c>
      <c r="W1002" s="88">
        <f>SUMIF(月間集計シート!$M$50:$M$69,$G1002,月間集計シート!T$50:T$69)*W$2</f>
        <v>0</v>
      </c>
      <c r="X1002" s="88">
        <f>SUMIF(月間集計シート!$M$71:$M$90,$G1002,月間集計シート!N$71:N$90)*X$2</f>
        <v>0</v>
      </c>
      <c r="Y1002" s="88">
        <f>SUMIF(月間集計シート!$M$71:$M$90,$G1002,月間集計シート!O$71:O$90)*Y$2</f>
        <v>0</v>
      </c>
      <c r="Z1002" s="88">
        <f>SUMIF(月間集計シート!$M$71:$M$90,$G1002,月間集計シート!P$71:P$90)*Z$2</f>
        <v>0</v>
      </c>
      <c r="AA1002" s="88">
        <f>SUMIF(月間集計シート!$M$71:$M$90,$G1002,月間集計シート!Q$71:Q$90)*AA$2</f>
        <v>0</v>
      </c>
      <c r="AB1002" s="88">
        <f>SUMIF(月間集計シート!$M$71:$M$90,$G1002,月間集計シート!R$71:R$90)*AB$2</f>
        <v>0</v>
      </c>
      <c r="AC1002" s="88">
        <f>SUMIF(月間集計シート!$M$71:$M$90,$G1002,月間集計シート!S$71:S$90)*AC$2</f>
        <v>0</v>
      </c>
      <c r="AD1002" s="88">
        <f>SUMIF(月間集計シート!$M$71:$M$90,$G1002,月間集計シート!T$71:T$90)*AD$2</f>
        <v>0</v>
      </c>
      <c r="AE1002" s="88">
        <f>SUMIF(月間集計シート!$M$92:$M$111,$G1002,月間集計シート!N$92:N$111)*AE$2</f>
        <v>0</v>
      </c>
      <c r="AF1002" s="88">
        <f>SUMIF(月間集計シート!$M$92:$M$111,$G1002,月間集計シート!O$92:O$111)*AF$2</f>
        <v>0</v>
      </c>
      <c r="AG1002" s="88">
        <f>SUMIF(月間集計シート!$M$92:$M$111,$G1002,月間集計シート!P$92:P$111)*AG$2</f>
        <v>0</v>
      </c>
      <c r="AH1002" s="88">
        <f>SUMIF(月間集計シート!$M$92:$M$111,$G1002,月間集計シート!Q$92:Q$111)*AH$2</f>
        <v>0</v>
      </c>
      <c r="AI1002" s="88">
        <f>SUMIF(月間集計シート!$M$92:$M$111,$G1002,月間集計シート!R$92:R$111)*AI$2</f>
        <v>0</v>
      </c>
      <c r="AJ1002" s="88">
        <f>SUMIF(月間集計シート!$M$92:$M$111,$G1002,月間集計シート!S$92:S$111)*AJ$2</f>
        <v>0</v>
      </c>
      <c r="AK1002" s="88">
        <f>SUMIF(月間集計シート!$M$92:$M$111,$G1002,月間集計シート!T$92:T$111)*AK$2</f>
        <v>0</v>
      </c>
      <c r="AL1002" s="88">
        <f>SUMIF(月間集計シート!$M$113:$M$132,$G1002,月間集計シート!N$113:N$132)*AL$2</f>
        <v>0</v>
      </c>
      <c r="AM1002" s="88">
        <f>SUMIF(月間集計シート!$M$113:$M$132,$G1002,月間集計シート!O$113:O$132)*AM$2</f>
        <v>0</v>
      </c>
      <c r="AN1002" s="88">
        <f>SUMIF(月間集計シート!$M$113:$M$132,$G1002,月間集計シート!P$113:P$132)*AN$2</f>
        <v>0</v>
      </c>
      <c r="AO1002" s="88">
        <f>SUMIF(月間集計シート!$M$113:$M$132,$G1002,月間集計シート!Q$113:Q$132)*AO$2</f>
        <v>0</v>
      </c>
      <c r="AP1002" s="88">
        <f>SUMIF(月間集計シート!$M$113:$M$132,$G1002,月間集計シート!R$113:R$132)*AP$2</f>
        <v>0</v>
      </c>
      <c r="AQ1002" s="88">
        <f>SUMIF(月間集計シート!$M$113:$M$132,$G1002,月間集計シート!S$113:S$132)*AQ$2</f>
        <v>0</v>
      </c>
      <c r="AR1002" s="88">
        <f>SUMIF(月間集計シート!$M$113:$M$132,$G1002,月間集計シート!T$113:T$132)*AR$2</f>
        <v>0</v>
      </c>
      <c r="AS1002" s="88">
        <f>SUMIF(月間集計シート!$M$134:$M$153,$G1002,月間集計シート!N$134:N$153)*AS$2</f>
        <v>0</v>
      </c>
      <c r="AT1002" s="88">
        <f>SUMIF(月間集計シート!$M$134:$M$153,$G1002,月間集計シート!O$134:O$153)*AT$2</f>
        <v>0</v>
      </c>
      <c r="AU1002" s="88">
        <f>SUMIF(月間集計シート!$M$134:$M$153,$G1002,月間集計シート!P$134:P$153)*AU$2</f>
        <v>0</v>
      </c>
      <c r="AV1002" s="88">
        <f>SUMIF(月間集計シート!$M$134:$M$153,$G1002,月間集計シート!Q$134:Q$153)*AV$2</f>
        <v>0</v>
      </c>
      <c r="AW1002" s="88">
        <f>SUMIF(月間集計シート!$M$134:$M$153,$G1002,月間集計シート!R$134:R$153)*AW$2</f>
        <v>0</v>
      </c>
      <c r="AX1002" s="88">
        <f>SUMIF(月間集計シート!$M$134:$M$153,$G1002,月間集計シート!S$134:S$153)*AX$2</f>
        <v>0</v>
      </c>
      <c r="AY1002" s="88">
        <f>SUMIF(月間集計シート!$M$134:$M$153,$G1002,月間集計シート!T$134:T$153)*AY$2</f>
        <v>0</v>
      </c>
    </row>
    <row r="1003" spans="1:51" ht="14.25" thickBot="1">
      <c r="A1003">
        <v>12</v>
      </c>
      <c r="B1003" s="120">
        <f t="shared" si="517"/>
        <v>0</v>
      </c>
      <c r="C1003" s="120" t="str">
        <f t="shared" si="518"/>
        <v/>
      </c>
      <c r="D1003" s="137"/>
      <c r="E1003" s="150" t="str">
        <f>工種!A60</f>
        <v>80102</v>
      </c>
      <c r="F1003" s="119" t="str">
        <f>工種!B60</f>
        <v>保守／ｻﾎﾟｰﾄ：社内問い合わせ</v>
      </c>
      <c r="G1003" s="116" t="str">
        <f t="shared" si="519"/>
        <v>080102</v>
      </c>
      <c r="H1003" s="88">
        <f t="shared" si="516"/>
        <v>0</v>
      </c>
      <c r="I1003" s="132"/>
      <c r="J1003" s="88">
        <f>SUMIF(月間集計シート!$M$29:$M$48,$G1003,月間集計シート!N$29:N$48)*J$2</f>
        <v>0</v>
      </c>
      <c r="K1003" s="88">
        <f>SUMIF(月間集計シート!$M$29:$M$48,$G1003,月間集計シート!O$29:O$48)*K$2</f>
        <v>0</v>
      </c>
      <c r="L1003" s="88">
        <f>SUMIF(月間集計シート!$M$29:$M$48,$G1003,月間集計シート!P$29:P$48)*L$2</f>
        <v>0</v>
      </c>
      <c r="M1003" s="88">
        <f>SUMIF(月間集計シート!$M$29:$M$48,$G1003,月間集計シート!Q$29:Q$48)*M$2</f>
        <v>0</v>
      </c>
      <c r="N1003" s="88">
        <f>SUMIF(月間集計シート!$M$29:$M$48,$G1003,月間集計シート!R$29:R$48)*N$2</f>
        <v>0</v>
      </c>
      <c r="O1003" s="88">
        <f>SUMIF(月間集計シート!$M$29:$M$48,$G1003,月間集計シート!S$29:S$48)*O$2</f>
        <v>0</v>
      </c>
      <c r="P1003" s="88">
        <f>SUMIF(月間集計シート!$M$29:$M$48,$G1003,月間集計シート!T$29:T$48)*P$2</f>
        <v>0</v>
      </c>
      <c r="Q1003" s="88">
        <f>SUMIF(月間集計シート!$M$50:$M$69,$G1003,月間集計シート!N$50:N$69)*Q$2</f>
        <v>0</v>
      </c>
      <c r="R1003" s="88">
        <f>SUMIF(月間集計シート!$M$50:$M$69,$G1003,月間集計シート!O$50:O$69)*R$2</f>
        <v>0</v>
      </c>
      <c r="S1003" s="88">
        <f>SUMIF(月間集計シート!$M$50:$M$69,$G1003,月間集計シート!P$50:P$69)*S$2</f>
        <v>0</v>
      </c>
      <c r="T1003" s="88">
        <f>SUMIF(月間集計シート!$M$50:$M$69,$G1003,月間集計シート!Q$50:Q$69)*T$2</f>
        <v>0</v>
      </c>
      <c r="U1003" s="88">
        <f>SUMIF(月間集計シート!$M$50:$M$69,$G1003,月間集計シート!R$50:R$69)*U$2</f>
        <v>0</v>
      </c>
      <c r="V1003" s="88">
        <f>SUMIF(月間集計シート!$M$50:$M$69,$G1003,月間集計シート!S$50:S$69)*V$2</f>
        <v>0</v>
      </c>
      <c r="W1003" s="88">
        <f>SUMIF(月間集計シート!$M$50:$M$69,$G1003,月間集計シート!T$50:T$69)*W$2</f>
        <v>0</v>
      </c>
      <c r="X1003" s="88">
        <f>SUMIF(月間集計シート!$M$71:$M$90,$G1003,月間集計シート!N$71:N$90)*X$2</f>
        <v>0</v>
      </c>
      <c r="Y1003" s="88">
        <f>SUMIF(月間集計シート!$M$71:$M$90,$G1003,月間集計シート!O$71:O$90)*Y$2</f>
        <v>0</v>
      </c>
      <c r="Z1003" s="88">
        <f>SUMIF(月間集計シート!$M$71:$M$90,$G1003,月間集計シート!P$71:P$90)*Z$2</f>
        <v>0</v>
      </c>
      <c r="AA1003" s="88">
        <f>SUMIF(月間集計シート!$M$71:$M$90,$G1003,月間集計シート!Q$71:Q$90)*AA$2</f>
        <v>0</v>
      </c>
      <c r="AB1003" s="88">
        <f>SUMIF(月間集計シート!$M$71:$M$90,$G1003,月間集計シート!R$71:R$90)*AB$2</f>
        <v>0</v>
      </c>
      <c r="AC1003" s="88">
        <f>SUMIF(月間集計シート!$M$71:$M$90,$G1003,月間集計シート!S$71:S$90)*AC$2</f>
        <v>0</v>
      </c>
      <c r="AD1003" s="88">
        <f>SUMIF(月間集計シート!$M$71:$M$90,$G1003,月間集計シート!T$71:T$90)*AD$2</f>
        <v>0</v>
      </c>
      <c r="AE1003" s="88">
        <f>SUMIF(月間集計シート!$M$92:$M$111,$G1003,月間集計シート!N$92:N$111)*AE$2</f>
        <v>0</v>
      </c>
      <c r="AF1003" s="88">
        <f>SUMIF(月間集計シート!$M$92:$M$111,$G1003,月間集計シート!O$92:O$111)*AF$2</f>
        <v>0</v>
      </c>
      <c r="AG1003" s="88">
        <f>SUMIF(月間集計シート!$M$92:$M$111,$G1003,月間集計シート!P$92:P$111)*AG$2</f>
        <v>0</v>
      </c>
      <c r="AH1003" s="88">
        <f>SUMIF(月間集計シート!$M$92:$M$111,$G1003,月間集計シート!Q$92:Q$111)*AH$2</f>
        <v>0</v>
      </c>
      <c r="AI1003" s="88">
        <f>SUMIF(月間集計シート!$M$92:$M$111,$G1003,月間集計シート!R$92:R$111)*AI$2</f>
        <v>0</v>
      </c>
      <c r="AJ1003" s="88">
        <f>SUMIF(月間集計シート!$M$92:$M$111,$G1003,月間集計シート!S$92:S$111)*AJ$2</f>
        <v>0</v>
      </c>
      <c r="AK1003" s="88">
        <f>SUMIF(月間集計シート!$M$92:$M$111,$G1003,月間集計シート!T$92:T$111)*AK$2</f>
        <v>0</v>
      </c>
      <c r="AL1003" s="88">
        <f>SUMIF(月間集計シート!$M$113:$M$132,$G1003,月間集計シート!N$113:N$132)*AL$2</f>
        <v>0</v>
      </c>
      <c r="AM1003" s="88">
        <f>SUMIF(月間集計シート!$M$113:$M$132,$G1003,月間集計シート!O$113:O$132)*AM$2</f>
        <v>0</v>
      </c>
      <c r="AN1003" s="88">
        <f>SUMIF(月間集計シート!$M$113:$M$132,$G1003,月間集計シート!P$113:P$132)*AN$2</f>
        <v>0</v>
      </c>
      <c r="AO1003" s="88">
        <f>SUMIF(月間集計シート!$M$113:$M$132,$G1003,月間集計シート!Q$113:Q$132)*AO$2</f>
        <v>0</v>
      </c>
      <c r="AP1003" s="88">
        <f>SUMIF(月間集計シート!$M$113:$M$132,$G1003,月間集計シート!R$113:R$132)*AP$2</f>
        <v>0</v>
      </c>
      <c r="AQ1003" s="88">
        <f>SUMIF(月間集計シート!$M$113:$M$132,$G1003,月間集計シート!S$113:S$132)*AQ$2</f>
        <v>0</v>
      </c>
      <c r="AR1003" s="88">
        <f>SUMIF(月間集計シート!$M$113:$M$132,$G1003,月間集計シート!T$113:T$132)*AR$2</f>
        <v>0</v>
      </c>
      <c r="AS1003" s="88">
        <f>SUMIF(月間集計シート!$M$134:$M$153,$G1003,月間集計シート!N$134:N$153)*AS$2</f>
        <v>0</v>
      </c>
      <c r="AT1003" s="88">
        <f>SUMIF(月間集計シート!$M$134:$M$153,$G1003,月間集計シート!O$134:O$153)*AT$2</f>
        <v>0</v>
      </c>
      <c r="AU1003" s="88">
        <f>SUMIF(月間集計シート!$M$134:$M$153,$G1003,月間集計シート!P$134:P$153)*AU$2</f>
        <v>0</v>
      </c>
      <c r="AV1003" s="88">
        <f>SUMIF(月間集計シート!$M$134:$M$153,$G1003,月間集計シート!Q$134:Q$153)*AV$2</f>
        <v>0</v>
      </c>
      <c r="AW1003" s="88">
        <f>SUMIF(月間集計シート!$M$134:$M$153,$G1003,月間集計シート!R$134:R$153)*AW$2</f>
        <v>0</v>
      </c>
      <c r="AX1003" s="88">
        <f>SUMIF(月間集計シート!$M$134:$M$153,$G1003,月間集計シート!S$134:S$153)*AX$2</f>
        <v>0</v>
      </c>
      <c r="AY1003" s="88">
        <f>SUMIF(月間集計シート!$M$134:$M$153,$G1003,月間集計シート!T$134:T$153)*AY$2</f>
        <v>0</v>
      </c>
    </row>
    <row r="1004" spans="1:51" ht="14.25" thickBot="1">
      <c r="A1004">
        <v>12</v>
      </c>
      <c r="B1004" s="120">
        <f t="shared" si="517"/>
        <v>0</v>
      </c>
      <c r="C1004" s="120" t="str">
        <f t="shared" si="518"/>
        <v/>
      </c>
      <c r="D1004" s="137"/>
      <c r="E1004" s="150" t="str">
        <f>工種!A61</f>
        <v>80103</v>
      </c>
      <c r="F1004" s="119" t="str">
        <f>工種!B61</f>
        <v>保守／ｻﾎﾟｰﾄ：支社・他部門支援</v>
      </c>
      <c r="G1004" s="116" t="str">
        <f t="shared" si="519"/>
        <v>080103</v>
      </c>
      <c r="H1004" s="88">
        <f t="shared" si="516"/>
        <v>0</v>
      </c>
      <c r="I1004" s="132"/>
      <c r="J1004" s="88">
        <f>SUMIF(月間集計シート!$M$29:$M$48,$G1004,月間集計シート!N$29:N$48)*J$2</f>
        <v>0</v>
      </c>
      <c r="K1004" s="88">
        <f>SUMIF(月間集計シート!$M$29:$M$48,$G1004,月間集計シート!O$29:O$48)*K$2</f>
        <v>0</v>
      </c>
      <c r="L1004" s="88">
        <f>SUMIF(月間集計シート!$M$29:$M$48,$G1004,月間集計シート!P$29:P$48)*L$2</f>
        <v>0</v>
      </c>
      <c r="M1004" s="88">
        <f>SUMIF(月間集計シート!$M$29:$M$48,$G1004,月間集計シート!Q$29:Q$48)*M$2</f>
        <v>0</v>
      </c>
      <c r="N1004" s="88">
        <f>SUMIF(月間集計シート!$M$29:$M$48,$G1004,月間集計シート!R$29:R$48)*N$2</f>
        <v>0</v>
      </c>
      <c r="O1004" s="88">
        <f>SUMIF(月間集計シート!$M$29:$M$48,$G1004,月間集計シート!S$29:S$48)*O$2</f>
        <v>0</v>
      </c>
      <c r="P1004" s="88">
        <f>SUMIF(月間集計シート!$M$29:$M$48,$G1004,月間集計シート!T$29:T$48)*P$2</f>
        <v>0</v>
      </c>
      <c r="Q1004" s="88">
        <f>SUMIF(月間集計シート!$M$50:$M$69,$G1004,月間集計シート!N$50:N$69)*Q$2</f>
        <v>0</v>
      </c>
      <c r="R1004" s="88">
        <f>SUMIF(月間集計シート!$M$50:$M$69,$G1004,月間集計シート!O$50:O$69)*R$2</f>
        <v>0</v>
      </c>
      <c r="S1004" s="88">
        <f>SUMIF(月間集計シート!$M$50:$M$69,$G1004,月間集計シート!P$50:P$69)*S$2</f>
        <v>0</v>
      </c>
      <c r="T1004" s="88">
        <f>SUMIF(月間集計シート!$M$50:$M$69,$G1004,月間集計シート!Q$50:Q$69)*T$2</f>
        <v>0</v>
      </c>
      <c r="U1004" s="88">
        <f>SUMIF(月間集計シート!$M$50:$M$69,$G1004,月間集計シート!R$50:R$69)*U$2</f>
        <v>0</v>
      </c>
      <c r="V1004" s="88">
        <f>SUMIF(月間集計シート!$M$50:$M$69,$G1004,月間集計シート!S$50:S$69)*V$2</f>
        <v>0</v>
      </c>
      <c r="W1004" s="88">
        <f>SUMIF(月間集計シート!$M$50:$M$69,$G1004,月間集計シート!T$50:T$69)*W$2</f>
        <v>0</v>
      </c>
      <c r="X1004" s="88">
        <f>SUMIF(月間集計シート!$M$71:$M$90,$G1004,月間集計シート!N$71:N$90)*X$2</f>
        <v>0</v>
      </c>
      <c r="Y1004" s="88">
        <f>SUMIF(月間集計シート!$M$71:$M$90,$G1004,月間集計シート!O$71:O$90)*Y$2</f>
        <v>0</v>
      </c>
      <c r="Z1004" s="88">
        <f>SUMIF(月間集計シート!$M$71:$M$90,$G1004,月間集計シート!P$71:P$90)*Z$2</f>
        <v>0</v>
      </c>
      <c r="AA1004" s="88">
        <f>SUMIF(月間集計シート!$M$71:$M$90,$G1004,月間集計シート!Q$71:Q$90)*AA$2</f>
        <v>0</v>
      </c>
      <c r="AB1004" s="88">
        <f>SUMIF(月間集計シート!$M$71:$M$90,$G1004,月間集計シート!R$71:R$90)*AB$2</f>
        <v>0</v>
      </c>
      <c r="AC1004" s="88">
        <f>SUMIF(月間集計シート!$M$71:$M$90,$G1004,月間集計シート!S$71:S$90)*AC$2</f>
        <v>0</v>
      </c>
      <c r="AD1004" s="88">
        <f>SUMIF(月間集計シート!$M$71:$M$90,$G1004,月間集計シート!T$71:T$90)*AD$2</f>
        <v>0</v>
      </c>
      <c r="AE1004" s="88">
        <f>SUMIF(月間集計シート!$M$92:$M$111,$G1004,月間集計シート!N$92:N$111)*AE$2</f>
        <v>0</v>
      </c>
      <c r="AF1004" s="88">
        <f>SUMIF(月間集計シート!$M$92:$M$111,$G1004,月間集計シート!O$92:O$111)*AF$2</f>
        <v>0</v>
      </c>
      <c r="AG1004" s="88">
        <f>SUMIF(月間集計シート!$M$92:$M$111,$G1004,月間集計シート!P$92:P$111)*AG$2</f>
        <v>0</v>
      </c>
      <c r="AH1004" s="88">
        <f>SUMIF(月間集計シート!$M$92:$M$111,$G1004,月間集計シート!Q$92:Q$111)*AH$2</f>
        <v>0</v>
      </c>
      <c r="AI1004" s="88">
        <f>SUMIF(月間集計シート!$M$92:$M$111,$G1004,月間集計シート!R$92:R$111)*AI$2</f>
        <v>0</v>
      </c>
      <c r="AJ1004" s="88">
        <f>SUMIF(月間集計シート!$M$92:$M$111,$G1004,月間集計シート!S$92:S$111)*AJ$2</f>
        <v>0</v>
      </c>
      <c r="AK1004" s="88">
        <f>SUMIF(月間集計シート!$M$92:$M$111,$G1004,月間集計シート!T$92:T$111)*AK$2</f>
        <v>0</v>
      </c>
      <c r="AL1004" s="88">
        <f>SUMIF(月間集計シート!$M$113:$M$132,$G1004,月間集計シート!N$113:N$132)*AL$2</f>
        <v>0</v>
      </c>
      <c r="AM1004" s="88">
        <f>SUMIF(月間集計シート!$M$113:$M$132,$G1004,月間集計シート!O$113:O$132)*AM$2</f>
        <v>0</v>
      </c>
      <c r="AN1004" s="88">
        <f>SUMIF(月間集計シート!$M$113:$M$132,$G1004,月間集計シート!P$113:P$132)*AN$2</f>
        <v>0</v>
      </c>
      <c r="AO1004" s="88">
        <f>SUMIF(月間集計シート!$M$113:$M$132,$G1004,月間集計シート!Q$113:Q$132)*AO$2</f>
        <v>0</v>
      </c>
      <c r="AP1004" s="88">
        <f>SUMIF(月間集計シート!$M$113:$M$132,$G1004,月間集計シート!R$113:R$132)*AP$2</f>
        <v>0</v>
      </c>
      <c r="AQ1004" s="88">
        <f>SUMIF(月間集計シート!$M$113:$M$132,$G1004,月間集計シート!S$113:S$132)*AQ$2</f>
        <v>0</v>
      </c>
      <c r="AR1004" s="88">
        <f>SUMIF(月間集計シート!$M$113:$M$132,$G1004,月間集計シート!T$113:T$132)*AR$2</f>
        <v>0</v>
      </c>
      <c r="AS1004" s="88">
        <f>SUMIF(月間集計シート!$M$134:$M$153,$G1004,月間集計シート!N$134:N$153)*AS$2</f>
        <v>0</v>
      </c>
      <c r="AT1004" s="88">
        <f>SUMIF(月間集計シート!$M$134:$M$153,$G1004,月間集計シート!O$134:O$153)*AT$2</f>
        <v>0</v>
      </c>
      <c r="AU1004" s="88">
        <f>SUMIF(月間集計シート!$M$134:$M$153,$G1004,月間集計シート!P$134:P$153)*AU$2</f>
        <v>0</v>
      </c>
      <c r="AV1004" s="88">
        <f>SUMIF(月間集計シート!$M$134:$M$153,$G1004,月間集計シート!Q$134:Q$153)*AV$2</f>
        <v>0</v>
      </c>
      <c r="AW1004" s="88">
        <f>SUMIF(月間集計シート!$M$134:$M$153,$G1004,月間集計シート!R$134:R$153)*AW$2</f>
        <v>0</v>
      </c>
      <c r="AX1004" s="88">
        <f>SUMIF(月間集計シート!$M$134:$M$153,$G1004,月間集計シート!S$134:S$153)*AX$2</f>
        <v>0</v>
      </c>
      <c r="AY1004" s="88">
        <f>SUMIF(月間集計シート!$M$134:$M$153,$G1004,月間集計シート!T$134:T$153)*AY$2</f>
        <v>0</v>
      </c>
    </row>
    <row r="1005" spans="1:51" ht="14.25" thickBot="1">
      <c r="A1005">
        <v>12</v>
      </c>
      <c r="B1005" s="120">
        <f t="shared" si="517"/>
        <v>0</v>
      </c>
      <c r="C1005" s="120" t="str">
        <f t="shared" si="518"/>
        <v/>
      </c>
      <c r="D1005" s="137"/>
      <c r="E1005" s="150" t="str">
        <f>工種!A62</f>
        <v>80104</v>
      </c>
      <c r="F1005" s="119" t="str">
        <f>工種!B62</f>
        <v>保守／ｻﾎﾟｰﾄ：連絡文書作成・更新</v>
      </c>
      <c r="G1005" s="116" t="str">
        <f t="shared" si="519"/>
        <v>080104</v>
      </c>
      <c r="H1005" s="88">
        <f t="shared" si="516"/>
        <v>0</v>
      </c>
      <c r="I1005" s="132"/>
      <c r="J1005" s="88">
        <f>SUMIF(月間集計シート!$M$29:$M$48,$G1005,月間集計シート!N$29:N$48)*J$2</f>
        <v>0</v>
      </c>
      <c r="K1005" s="88">
        <f>SUMIF(月間集計シート!$M$29:$M$48,$G1005,月間集計シート!O$29:O$48)*K$2</f>
        <v>0</v>
      </c>
      <c r="L1005" s="88">
        <f>SUMIF(月間集計シート!$M$29:$M$48,$G1005,月間集計シート!P$29:P$48)*L$2</f>
        <v>0</v>
      </c>
      <c r="M1005" s="88">
        <f>SUMIF(月間集計シート!$M$29:$M$48,$G1005,月間集計シート!Q$29:Q$48)*M$2</f>
        <v>0</v>
      </c>
      <c r="N1005" s="88">
        <f>SUMIF(月間集計シート!$M$29:$M$48,$G1005,月間集計シート!R$29:R$48)*N$2</f>
        <v>0</v>
      </c>
      <c r="O1005" s="88">
        <f>SUMIF(月間集計シート!$M$29:$M$48,$G1005,月間集計シート!S$29:S$48)*O$2</f>
        <v>0</v>
      </c>
      <c r="P1005" s="88">
        <f>SUMIF(月間集計シート!$M$29:$M$48,$G1005,月間集計シート!T$29:T$48)*P$2</f>
        <v>0</v>
      </c>
      <c r="Q1005" s="88">
        <f>SUMIF(月間集計シート!$M$50:$M$69,$G1005,月間集計シート!N$50:N$69)*Q$2</f>
        <v>0</v>
      </c>
      <c r="R1005" s="88">
        <f>SUMIF(月間集計シート!$M$50:$M$69,$G1005,月間集計シート!O$50:O$69)*R$2</f>
        <v>0</v>
      </c>
      <c r="S1005" s="88">
        <f>SUMIF(月間集計シート!$M$50:$M$69,$G1005,月間集計シート!P$50:P$69)*S$2</f>
        <v>0</v>
      </c>
      <c r="T1005" s="88">
        <f>SUMIF(月間集計シート!$M$50:$M$69,$G1005,月間集計シート!Q$50:Q$69)*T$2</f>
        <v>0</v>
      </c>
      <c r="U1005" s="88">
        <f>SUMIF(月間集計シート!$M$50:$M$69,$G1005,月間集計シート!R$50:R$69)*U$2</f>
        <v>0</v>
      </c>
      <c r="V1005" s="88">
        <f>SUMIF(月間集計シート!$M$50:$M$69,$G1005,月間集計シート!S$50:S$69)*V$2</f>
        <v>0</v>
      </c>
      <c r="W1005" s="88">
        <f>SUMIF(月間集計シート!$M$50:$M$69,$G1005,月間集計シート!T$50:T$69)*W$2</f>
        <v>0</v>
      </c>
      <c r="X1005" s="88">
        <f>SUMIF(月間集計シート!$M$71:$M$90,$G1005,月間集計シート!N$71:N$90)*X$2</f>
        <v>0</v>
      </c>
      <c r="Y1005" s="88">
        <f>SUMIF(月間集計シート!$M$71:$M$90,$G1005,月間集計シート!O$71:O$90)*Y$2</f>
        <v>0</v>
      </c>
      <c r="Z1005" s="88">
        <f>SUMIF(月間集計シート!$M$71:$M$90,$G1005,月間集計シート!P$71:P$90)*Z$2</f>
        <v>0</v>
      </c>
      <c r="AA1005" s="88">
        <f>SUMIF(月間集計シート!$M$71:$M$90,$G1005,月間集計シート!Q$71:Q$90)*AA$2</f>
        <v>0</v>
      </c>
      <c r="AB1005" s="88">
        <f>SUMIF(月間集計シート!$M$71:$M$90,$G1005,月間集計シート!R$71:R$90)*AB$2</f>
        <v>0</v>
      </c>
      <c r="AC1005" s="88">
        <f>SUMIF(月間集計シート!$M$71:$M$90,$G1005,月間集計シート!S$71:S$90)*AC$2</f>
        <v>0</v>
      </c>
      <c r="AD1005" s="88">
        <f>SUMIF(月間集計シート!$M$71:$M$90,$G1005,月間集計シート!T$71:T$90)*AD$2</f>
        <v>0</v>
      </c>
      <c r="AE1005" s="88">
        <f>SUMIF(月間集計シート!$M$92:$M$111,$G1005,月間集計シート!N$92:N$111)*AE$2</f>
        <v>0</v>
      </c>
      <c r="AF1005" s="88">
        <f>SUMIF(月間集計シート!$M$92:$M$111,$G1005,月間集計シート!O$92:O$111)*AF$2</f>
        <v>0</v>
      </c>
      <c r="AG1005" s="88">
        <f>SUMIF(月間集計シート!$M$92:$M$111,$G1005,月間集計シート!P$92:P$111)*AG$2</f>
        <v>0</v>
      </c>
      <c r="AH1005" s="88">
        <f>SUMIF(月間集計シート!$M$92:$M$111,$G1005,月間集計シート!Q$92:Q$111)*AH$2</f>
        <v>0</v>
      </c>
      <c r="AI1005" s="88">
        <f>SUMIF(月間集計シート!$M$92:$M$111,$G1005,月間集計シート!R$92:R$111)*AI$2</f>
        <v>0</v>
      </c>
      <c r="AJ1005" s="88">
        <f>SUMIF(月間集計シート!$M$92:$M$111,$G1005,月間集計シート!S$92:S$111)*AJ$2</f>
        <v>0</v>
      </c>
      <c r="AK1005" s="88">
        <f>SUMIF(月間集計シート!$M$92:$M$111,$G1005,月間集計シート!T$92:T$111)*AK$2</f>
        <v>0</v>
      </c>
      <c r="AL1005" s="88">
        <f>SUMIF(月間集計シート!$M$113:$M$132,$G1005,月間集計シート!N$113:N$132)*AL$2</f>
        <v>0</v>
      </c>
      <c r="AM1005" s="88">
        <f>SUMIF(月間集計シート!$M$113:$M$132,$G1005,月間集計シート!O$113:O$132)*AM$2</f>
        <v>0</v>
      </c>
      <c r="AN1005" s="88">
        <f>SUMIF(月間集計シート!$M$113:$M$132,$G1005,月間集計シート!P$113:P$132)*AN$2</f>
        <v>0</v>
      </c>
      <c r="AO1005" s="88">
        <f>SUMIF(月間集計シート!$M$113:$M$132,$G1005,月間集計シート!Q$113:Q$132)*AO$2</f>
        <v>0</v>
      </c>
      <c r="AP1005" s="88">
        <f>SUMIF(月間集計シート!$M$113:$M$132,$G1005,月間集計シート!R$113:R$132)*AP$2</f>
        <v>0</v>
      </c>
      <c r="AQ1005" s="88">
        <f>SUMIF(月間集計シート!$M$113:$M$132,$G1005,月間集計シート!S$113:S$132)*AQ$2</f>
        <v>0</v>
      </c>
      <c r="AR1005" s="88">
        <f>SUMIF(月間集計シート!$M$113:$M$132,$G1005,月間集計シート!T$113:T$132)*AR$2</f>
        <v>0</v>
      </c>
      <c r="AS1005" s="88">
        <f>SUMIF(月間集計シート!$M$134:$M$153,$G1005,月間集計シート!N$134:N$153)*AS$2</f>
        <v>0</v>
      </c>
      <c r="AT1005" s="88">
        <f>SUMIF(月間集計シート!$M$134:$M$153,$G1005,月間集計シート!O$134:O$153)*AT$2</f>
        <v>0</v>
      </c>
      <c r="AU1005" s="88">
        <f>SUMIF(月間集計シート!$M$134:$M$153,$G1005,月間集計シート!P$134:P$153)*AU$2</f>
        <v>0</v>
      </c>
      <c r="AV1005" s="88">
        <f>SUMIF(月間集計シート!$M$134:$M$153,$G1005,月間集計シート!Q$134:Q$153)*AV$2</f>
        <v>0</v>
      </c>
      <c r="AW1005" s="88">
        <f>SUMIF(月間集計シート!$M$134:$M$153,$G1005,月間集計シート!R$134:R$153)*AW$2</f>
        <v>0</v>
      </c>
      <c r="AX1005" s="88">
        <f>SUMIF(月間集計シート!$M$134:$M$153,$G1005,月間集計シート!S$134:S$153)*AX$2</f>
        <v>0</v>
      </c>
      <c r="AY1005" s="88">
        <f>SUMIF(月間集計シート!$M$134:$M$153,$G1005,月間集計シート!T$134:T$153)*AY$2</f>
        <v>0</v>
      </c>
    </row>
    <row r="1006" spans="1:51" ht="14.25" thickBot="1">
      <c r="A1006">
        <v>12</v>
      </c>
      <c r="B1006" s="120">
        <f t="shared" si="517"/>
        <v>0</v>
      </c>
      <c r="C1006" s="120" t="str">
        <f t="shared" si="518"/>
        <v/>
      </c>
      <c r="D1006" s="137"/>
      <c r="E1006" s="150" t="str">
        <f>工種!A63</f>
        <v>80105</v>
      </c>
      <c r="F1006" s="119" t="str">
        <f>工種!B63</f>
        <v>保守／ｻﾎﾟｰﾄ：ｲﾝﾄﾗ資料更新</v>
      </c>
      <c r="G1006" s="116" t="str">
        <f t="shared" ref="G1006:G1023" si="520">B1006&amp;E1006</f>
        <v>080105</v>
      </c>
      <c r="H1006" s="88">
        <f t="shared" ref="H1006:H1007" si="521">SUM(J1006:AY1006)</f>
        <v>0</v>
      </c>
      <c r="I1006" s="132"/>
      <c r="J1006" s="88">
        <f>SUMIF(月間集計シート!$M$29:$M$48,$G1006,月間集計シート!N$29:N$48)*J$2</f>
        <v>0</v>
      </c>
      <c r="K1006" s="88">
        <f>SUMIF(月間集計シート!$M$29:$M$48,$G1006,月間集計シート!O$29:O$48)*K$2</f>
        <v>0</v>
      </c>
      <c r="L1006" s="88">
        <f>SUMIF(月間集計シート!$M$29:$M$48,$G1006,月間集計シート!P$29:P$48)*L$2</f>
        <v>0</v>
      </c>
      <c r="M1006" s="88">
        <f>SUMIF(月間集計シート!$M$29:$M$48,$G1006,月間集計シート!Q$29:Q$48)*M$2</f>
        <v>0</v>
      </c>
      <c r="N1006" s="88">
        <f>SUMIF(月間集計シート!$M$29:$M$48,$G1006,月間集計シート!R$29:R$48)*N$2</f>
        <v>0</v>
      </c>
      <c r="O1006" s="88">
        <f>SUMIF(月間集計シート!$M$29:$M$48,$G1006,月間集計シート!S$29:S$48)*O$2</f>
        <v>0</v>
      </c>
      <c r="P1006" s="88">
        <f>SUMIF(月間集計シート!$M$29:$M$48,$G1006,月間集計シート!T$29:T$48)*P$2</f>
        <v>0</v>
      </c>
      <c r="Q1006" s="88">
        <f>SUMIF(月間集計シート!$M$50:$M$69,$G1006,月間集計シート!N$50:N$69)*Q$2</f>
        <v>0</v>
      </c>
      <c r="R1006" s="88">
        <f>SUMIF(月間集計シート!$M$50:$M$69,$G1006,月間集計シート!O$50:O$69)*R$2</f>
        <v>0</v>
      </c>
      <c r="S1006" s="88">
        <f>SUMIF(月間集計シート!$M$50:$M$69,$G1006,月間集計シート!P$50:P$69)*S$2</f>
        <v>0</v>
      </c>
      <c r="T1006" s="88">
        <f>SUMIF(月間集計シート!$M$50:$M$69,$G1006,月間集計シート!Q$50:Q$69)*T$2</f>
        <v>0</v>
      </c>
      <c r="U1006" s="88">
        <f>SUMIF(月間集計シート!$M$50:$M$69,$G1006,月間集計シート!R$50:R$69)*U$2</f>
        <v>0</v>
      </c>
      <c r="V1006" s="88">
        <f>SUMIF(月間集計シート!$M$50:$M$69,$G1006,月間集計シート!S$50:S$69)*V$2</f>
        <v>0</v>
      </c>
      <c r="W1006" s="88">
        <f>SUMIF(月間集計シート!$M$50:$M$69,$G1006,月間集計シート!T$50:T$69)*W$2</f>
        <v>0</v>
      </c>
      <c r="X1006" s="88">
        <f>SUMIF(月間集計シート!$M$71:$M$90,$G1006,月間集計シート!N$71:N$90)*X$2</f>
        <v>0</v>
      </c>
      <c r="Y1006" s="88">
        <f>SUMIF(月間集計シート!$M$71:$M$90,$G1006,月間集計シート!O$71:O$90)*Y$2</f>
        <v>0</v>
      </c>
      <c r="Z1006" s="88">
        <f>SUMIF(月間集計シート!$M$71:$M$90,$G1006,月間集計シート!P$71:P$90)*Z$2</f>
        <v>0</v>
      </c>
      <c r="AA1006" s="88">
        <f>SUMIF(月間集計シート!$M$71:$M$90,$G1006,月間集計シート!Q$71:Q$90)*AA$2</f>
        <v>0</v>
      </c>
      <c r="AB1006" s="88">
        <f>SUMIF(月間集計シート!$M$71:$M$90,$G1006,月間集計シート!R$71:R$90)*AB$2</f>
        <v>0</v>
      </c>
      <c r="AC1006" s="88">
        <f>SUMIF(月間集計シート!$M$71:$M$90,$G1006,月間集計シート!S$71:S$90)*AC$2</f>
        <v>0</v>
      </c>
      <c r="AD1006" s="88">
        <f>SUMIF(月間集計シート!$M$71:$M$90,$G1006,月間集計シート!T$71:T$90)*AD$2</f>
        <v>0</v>
      </c>
      <c r="AE1006" s="88">
        <f>SUMIF(月間集計シート!$M$92:$M$111,$G1006,月間集計シート!N$92:N$111)*AE$2</f>
        <v>0</v>
      </c>
      <c r="AF1006" s="88">
        <f>SUMIF(月間集計シート!$M$92:$M$111,$G1006,月間集計シート!O$92:O$111)*AF$2</f>
        <v>0</v>
      </c>
      <c r="AG1006" s="88">
        <f>SUMIF(月間集計シート!$M$92:$M$111,$G1006,月間集計シート!P$92:P$111)*AG$2</f>
        <v>0</v>
      </c>
      <c r="AH1006" s="88">
        <f>SUMIF(月間集計シート!$M$92:$M$111,$G1006,月間集計シート!Q$92:Q$111)*AH$2</f>
        <v>0</v>
      </c>
      <c r="AI1006" s="88">
        <f>SUMIF(月間集計シート!$M$92:$M$111,$G1006,月間集計シート!R$92:R$111)*AI$2</f>
        <v>0</v>
      </c>
      <c r="AJ1006" s="88">
        <f>SUMIF(月間集計シート!$M$92:$M$111,$G1006,月間集計シート!S$92:S$111)*AJ$2</f>
        <v>0</v>
      </c>
      <c r="AK1006" s="88">
        <f>SUMIF(月間集計シート!$M$92:$M$111,$G1006,月間集計シート!T$92:T$111)*AK$2</f>
        <v>0</v>
      </c>
      <c r="AL1006" s="88">
        <f>SUMIF(月間集計シート!$M$113:$M$132,$G1006,月間集計シート!N$113:N$132)*AL$2</f>
        <v>0</v>
      </c>
      <c r="AM1006" s="88">
        <f>SUMIF(月間集計シート!$M$113:$M$132,$G1006,月間集計シート!O$113:O$132)*AM$2</f>
        <v>0</v>
      </c>
      <c r="AN1006" s="88">
        <f>SUMIF(月間集計シート!$M$113:$M$132,$G1006,月間集計シート!P$113:P$132)*AN$2</f>
        <v>0</v>
      </c>
      <c r="AO1006" s="88">
        <f>SUMIF(月間集計シート!$M$113:$M$132,$G1006,月間集計シート!Q$113:Q$132)*AO$2</f>
        <v>0</v>
      </c>
      <c r="AP1006" s="88">
        <f>SUMIF(月間集計シート!$M$113:$M$132,$G1006,月間集計シート!R$113:R$132)*AP$2</f>
        <v>0</v>
      </c>
      <c r="AQ1006" s="88">
        <f>SUMIF(月間集計シート!$M$113:$M$132,$G1006,月間集計シート!S$113:S$132)*AQ$2</f>
        <v>0</v>
      </c>
      <c r="AR1006" s="88">
        <f>SUMIF(月間集計シート!$M$113:$M$132,$G1006,月間集計シート!T$113:T$132)*AR$2</f>
        <v>0</v>
      </c>
      <c r="AS1006" s="88">
        <f>SUMIF(月間集計シート!$M$134:$M$153,$G1006,月間集計シート!N$134:N$153)*AS$2</f>
        <v>0</v>
      </c>
      <c r="AT1006" s="88">
        <f>SUMIF(月間集計シート!$M$134:$M$153,$G1006,月間集計シート!O$134:O$153)*AT$2</f>
        <v>0</v>
      </c>
      <c r="AU1006" s="88">
        <f>SUMIF(月間集計シート!$M$134:$M$153,$G1006,月間集計シート!P$134:P$153)*AU$2</f>
        <v>0</v>
      </c>
      <c r="AV1006" s="88">
        <f>SUMIF(月間集計シート!$M$134:$M$153,$G1006,月間集計シート!Q$134:Q$153)*AV$2</f>
        <v>0</v>
      </c>
      <c r="AW1006" s="88">
        <f>SUMIF(月間集計シート!$M$134:$M$153,$G1006,月間集計シート!R$134:R$153)*AW$2</f>
        <v>0</v>
      </c>
      <c r="AX1006" s="88">
        <f>SUMIF(月間集計シート!$M$134:$M$153,$G1006,月間集計シート!S$134:S$153)*AX$2</f>
        <v>0</v>
      </c>
      <c r="AY1006" s="88">
        <f>SUMIF(月間集計シート!$M$134:$M$153,$G1006,月間集計シート!T$134:T$153)*AY$2</f>
        <v>0</v>
      </c>
    </row>
    <row r="1007" spans="1:51" ht="14.25" thickBot="1">
      <c r="A1007">
        <v>12</v>
      </c>
      <c r="B1007" s="120">
        <f t="shared" si="517"/>
        <v>0</v>
      </c>
      <c r="C1007" s="120" t="str">
        <f t="shared" si="518"/>
        <v/>
      </c>
      <c r="D1007" s="137"/>
      <c r="E1007" s="150" t="str">
        <f>工種!A64</f>
        <v>80106</v>
      </c>
      <c r="F1007" s="119" t="str">
        <f>工種!B64</f>
        <v>保守／ｻﾎﾟｰﾄ：打合せ</v>
      </c>
      <c r="G1007" s="116" t="str">
        <f t="shared" si="520"/>
        <v>080106</v>
      </c>
      <c r="H1007" s="88">
        <f t="shared" si="521"/>
        <v>0</v>
      </c>
      <c r="I1007" s="132"/>
      <c r="J1007" s="88">
        <f>SUMIF(月間集計シート!$M$29:$M$48,$G1007,月間集計シート!N$29:N$48)*J$2</f>
        <v>0</v>
      </c>
      <c r="K1007" s="88">
        <f>SUMIF(月間集計シート!$M$29:$M$48,$G1007,月間集計シート!O$29:O$48)*K$2</f>
        <v>0</v>
      </c>
      <c r="L1007" s="88">
        <f>SUMIF(月間集計シート!$M$29:$M$48,$G1007,月間集計シート!P$29:P$48)*L$2</f>
        <v>0</v>
      </c>
      <c r="M1007" s="88">
        <f>SUMIF(月間集計シート!$M$29:$M$48,$G1007,月間集計シート!Q$29:Q$48)*M$2</f>
        <v>0</v>
      </c>
      <c r="N1007" s="88">
        <f>SUMIF(月間集計シート!$M$29:$M$48,$G1007,月間集計シート!R$29:R$48)*N$2</f>
        <v>0</v>
      </c>
      <c r="O1007" s="88">
        <f>SUMIF(月間集計シート!$M$29:$M$48,$G1007,月間集計シート!S$29:S$48)*O$2</f>
        <v>0</v>
      </c>
      <c r="P1007" s="88">
        <f>SUMIF(月間集計シート!$M$29:$M$48,$G1007,月間集計シート!T$29:T$48)*P$2</f>
        <v>0</v>
      </c>
      <c r="Q1007" s="88">
        <f>SUMIF(月間集計シート!$M$50:$M$69,$G1007,月間集計シート!N$50:N$69)*Q$2</f>
        <v>0</v>
      </c>
      <c r="R1007" s="88">
        <f>SUMIF(月間集計シート!$M$50:$M$69,$G1007,月間集計シート!O$50:O$69)*R$2</f>
        <v>0</v>
      </c>
      <c r="S1007" s="88">
        <f>SUMIF(月間集計シート!$M$50:$M$69,$G1007,月間集計シート!P$50:P$69)*S$2</f>
        <v>0</v>
      </c>
      <c r="T1007" s="88">
        <f>SUMIF(月間集計シート!$M$50:$M$69,$G1007,月間集計シート!Q$50:Q$69)*T$2</f>
        <v>0</v>
      </c>
      <c r="U1007" s="88">
        <f>SUMIF(月間集計シート!$M$50:$M$69,$G1007,月間集計シート!R$50:R$69)*U$2</f>
        <v>0</v>
      </c>
      <c r="V1007" s="88">
        <f>SUMIF(月間集計シート!$M$50:$M$69,$G1007,月間集計シート!S$50:S$69)*V$2</f>
        <v>0</v>
      </c>
      <c r="W1007" s="88">
        <f>SUMIF(月間集計シート!$M$50:$M$69,$G1007,月間集計シート!T$50:T$69)*W$2</f>
        <v>0</v>
      </c>
      <c r="X1007" s="88">
        <f>SUMIF(月間集計シート!$M$71:$M$90,$G1007,月間集計シート!N$71:N$90)*X$2</f>
        <v>0</v>
      </c>
      <c r="Y1007" s="88">
        <f>SUMIF(月間集計シート!$M$71:$M$90,$G1007,月間集計シート!O$71:O$90)*Y$2</f>
        <v>0</v>
      </c>
      <c r="Z1007" s="88">
        <f>SUMIF(月間集計シート!$M$71:$M$90,$G1007,月間集計シート!P$71:P$90)*Z$2</f>
        <v>0</v>
      </c>
      <c r="AA1007" s="88">
        <f>SUMIF(月間集計シート!$M$71:$M$90,$G1007,月間集計シート!Q$71:Q$90)*AA$2</f>
        <v>0</v>
      </c>
      <c r="AB1007" s="88">
        <f>SUMIF(月間集計シート!$M$71:$M$90,$G1007,月間集計シート!R$71:R$90)*AB$2</f>
        <v>0</v>
      </c>
      <c r="AC1007" s="88">
        <f>SUMIF(月間集計シート!$M$71:$M$90,$G1007,月間集計シート!S$71:S$90)*AC$2</f>
        <v>0</v>
      </c>
      <c r="AD1007" s="88">
        <f>SUMIF(月間集計シート!$M$71:$M$90,$G1007,月間集計シート!T$71:T$90)*AD$2</f>
        <v>0</v>
      </c>
      <c r="AE1007" s="88">
        <f>SUMIF(月間集計シート!$M$92:$M$111,$G1007,月間集計シート!N$92:N$111)*AE$2</f>
        <v>0</v>
      </c>
      <c r="AF1007" s="88">
        <f>SUMIF(月間集計シート!$M$92:$M$111,$G1007,月間集計シート!O$92:O$111)*AF$2</f>
        <v>0</v>
      </c>
      <c r="AG1007" s="88">
        <f>SUMIF(月間集計シート!$M$92:$M$111,$G1007,月間集計シート!P$92:P$111)*AG$2</f>
        <v>0</v>
      </c>
      <c r="AH1007" s="88">
        <f>SUMIF(月間集計シート!$M$92:$M$111,$G1007,月間集計シート!Q$92:Q$111)*AH$2</f>
        <v>0</v>
      </c>
      <c r="AI1007" s="88">
        <f>SUMIF(月間集計シート!$M$92:$M$111,$G1007,月間集計シート!R$92:R$111)*AI$2</f>
        <v>0</v>
      </c>
      <c r="AJ1007" s="88">
        <f>SUMIF(月間集計シート!$M$92:$M$111,$G1007,月間集計シート!S$92:S$111)*AJ$2</f>
        <v>0</v>
      </c>
      <c r="AK1007" s="88">
        <f>SUMIF(月間集計シート!$M$92:$M$111,$G1007,月間集計シート!T$92:T$111)*AK$2</f>
        <v>0</v>
      </c>
      <c r="AL1007" s="88">
        <f>SUMIF(月間集計シート!$M$113:$M$132,$G1007,月間集計シート!N$113:N$132)*AL$2</f>
        <v>0</v>
      </c>
      <c r="AM1007" s="88">
        <f>SUMIF(月間集計シート!$M$113:$M$132,$G1007,月間集計シート!O$113:O$132)*AM$2</f>
        <v>0</v>
      </c>
      <c r="AN1007" s="88">
        <f>SUMIF(月間集計シート!$M$113:$M$132,$G1007,月間集計シート!P$113:P$132)*AN$2</f>
        <v>0</v>
      </c>
      <c r="AO1007" s="88">
        <f>SUMIF(月間集計シート!$M$113:$M$132,$G1007,月間集計シート!Q$113:Q$132)*AO$2</f>
        <v>0</v>
      </c>
      <c r="AP1007" s="88">
        <f>SUMIF(月間集計シート!$M$113:$M$132,$G1007,月間集計シート!R$113:R$132)*AP$2</f>
        <v>0</v>
      </c>
      <c r="AQ1007" s="88">
        <f>SUMIF(月間集計シート!$M$113:$M$132,$G1007,月間集計シート!S$113:S$132)*AQ$2</f>
        <v>0</v>
      </c>
      <c r="AR1007" s="88">
        <f>SUMIF(月間集計シート!$M$113:$M$132,$G1007,月間集計シート!T$113:T$132)*AR$2</f>
        <v>0</v>
      </c>
      <c r="AS1007" s="88">
        <f>SUMIF(月間集計シート!$M$134:$M$153,$G1007,月間集計シート!N$134:N$153)*AS$2</f>
        <v>0</v>
      </c>
      <c r="AT1007" s="88">
        <f>SUMIF(月間集計シート!$M$134:$M$153,$G1007,月間集計シート!O$134:O$153)*AT$2</f>
        <v>0</v>
      </c>
      <c r="AU1007" s="88">
        <f>SUMIF(月間集計シート!$M$134:$M$153,$G1007,月間集計シート!P$134:P$153)*AU$2</f>
        <v>0</v>
      </c>
      <c r="AV1007" s="88">
        <f>SUMIF(月間集計シート!$M$134:$M$153,$G1007,月間集計シート!Q$134:Q$153)*AV$2</f>
        <v>0</v>
      </c>
      <c r="AW1007" s="88">
        <f>SUMIF(月間集計シート!$M$134:$M$153,$G1007,月間集計シート!R$134:R$153)*AW$2</f>
        <v>0</v>
      </c>
      <c r="AX1007" s="88">
        <f>SUMIF(月間集計シート!$M$134:$M$153,$G1007,月間集計シート!S$134:S$153)*AX$2</f>
        <v>0</v>
      </c>
      <c r="AY1007" s="88">
        <f>SUMIF(月間集計シート!$M$134:$M$153,$G1007,月間集計シート!T$134:T$153)*AY$2</f>
        <v>0</v>
      </c>
    </row>
    <row r="1008" spans="1:51" ht="14.25" thickBot="1">
      <c r="A1008">
        <v>12</v>
      </c>
      <c r="B1008" s="120">
        <f t="shared" si="517"/>
        <v>0</v>
      </c>
      <c r="C1008" s="120" t="str">
        <f t="shared" si="518"/>
        <v/>
      </c>
      <c r="D1008" s="137"/>
      <c r="E1008" s="150" t="str">
        <f>工種!A65</f>
        <v>80107</v>
      </c>
      <c r="F1008" s="119" t="str">
        <f>工種!B65</f>
        <v>保守／ｻﾎﾟｰﾄ：ﾚﾋﾞｭｰ</v>
      </c>
      <c r="G1008" s="116" t="str">
        <f t="shared" si="520"/>
        <v>080107</v>
      </c>
      <c r="H1008" s="88">
        <f t="shared" ref="H1008:H1023" si="522">SUM(J1008:AY1008)</f>
        <v>0</v>
      </c>
      <c r="I1008" s="132"/>
      <c r="J1008" s="88">
        <f>SUMIF(月間集計シート!$M$29:$M$48,$G1008,月間集計シート!N$29:N$48)*J$2</f>
        <v>0</v>
      </c>
      <c r="K1008" s="88">
        <f>SUMIF(月間集計シート!$M$29:$M$48,$G1008,月間集計シート!O$29:O$48)*K$2</f>
        <v>0</v>
      </c>
      <c r="L1008" s="88">
        <f>SUMIF(月間集計シート!$M$29:$M$48,$G1008,月間集計シート!P$29:P$48)*L$2</f>
        <v>0</v>
      </c>
      <c r="M1008" s="88">
        <f>SUMIF(月間集計シート!$M$29:$M$48,$G1008,月間集計シート!Q$29:Q$48)*M$2</f>
        <v>0</v>
      </c>
      <c r="N1008" s="88">
        <f>SUMIF(月間集計シート!$M$29:$M$48,$G1008,月間集計シート!R$29:R$48)*N$2</f>
        <v>0</v>
      </c>
      <c r="O1008" s="88">
        <f>SUMIF(月間集計シート!$M$29:$M$48,$G1008,月間集計シート!S$29:S$48)*O$2</f>
        <v>0</v>
      </c>
      <c r="P1008" s="88">
        <f>SUMIF(月間集計シート!$M$29:$M$48,$G1008,月間集計シート!T$29:T$48)*P$2</f>
        <v>0</v>
      </c>
      <c r="Q1008" s="88">
        <f>SUMIF(月間集計シート!$M$50:$M$69,$G1008,月間集計シート!N$50:N$69)*Q$2</f>
        <v>0</v>
      </c>
      <c r="R1008" s="88">
        <f>SUMIF(月間集計シート!$M$50:$M$69,$G1008,月間集計シート!O$50:O$69)*R$2</f>
        <v>0</v>
      </c>
      <c r="S1008" s="88">
        <f>SUMIF(月間集計シート!$M$50:$M$69,$G1008,月間集計シート!P$50:P$69)*S$2</f>
        <v>0</v>
      </c>
      <c r="T1008" s="88">
        <f>SUMIF(月間集計シート!$M$50:$M$69,$G1008,月間集計シート!Q$50:Q$69)*T$2</f>
        <v>0</v>
      </c>
      <c r="U1008" s="88">
        <f>SUMIF(月間集計シート!$M$50:$M$69,$G1008,月間集計シート!R$50:R$69)*U$2</f>
        <v>0</v>
      </c>
      <c r="V1008" s="88">
        <f>SUMIF(月間集計シート!$M$50:$M$69,$G1008,月間集計シート!S$50:S$69)*V$2</f>
        <v>0</v>
      </c>
      <c r="W1008" s="88">
        <f>SUMIF(月間集計シート!$M$50:$M$69,$G1008,月間集計シート!T$50:T$69)*W$2</f>
        <v>0</v>
      </c>
      <c r="X1008" s="88">
        <f>SUMIF(月間集計シート!$M$71:$M$90,$G1008,月間集計シート!N$71:N$90)*X$2</f>
        <v>0</v>
      </c>
      <c r="Y1008" s="88">
        <f>SUMIF(月間集計シート!$M$71:$M$90,$G1008,月間集計シート!O$71:O$90)*Y$2</f>
        <v>0</v>
      </c>
      <c r="Z1008" s="88">
        <f>SUMIF(月間集計シート!$M$71:$M$90,$G1008,月間集計シート!P$71:P$90)*Z$2</f>
        <v>0</v>
      </c>
      <c r="AA1008" s="88">
        <f>SUMIF(月間集計シート!$M$71:$M$90,$G1008,月間集計シート!Q$71:Q$90)*AA$2</f>
        <v>0</v>
      </c>
      <c r="AB1008" s="88">
        <f>SUMIF(月間集計シート!$M$71:$M$90,$G1008,月間集計シート!R$71:R$90)*AB$2</f>
        <v>0</v>
      </c>
      <c r="AC1008" s="88">
        <f>SUMIF(月間集計シート!$M$71:$M$90,$G1008,月間集計シート!S$71:S$90)*AC$2</f>
        <v>0</v>
      </c>
      <c r="AD1008" s="88">
        <f>SUMIF(月間集計シート!$M$71:$M$90,$G1008,月間集計シート!T$71:T$90)*AD$2</f>
        <v>0</v>
      </c>
      <c r="AE1008" s="88">
        <f>SUMIF(月間集計シート!$M$92:$M$111,$G1008,月間集計シート!N$92:N$111)*AE$2</f>
        <v>0</v>
      </c>
      <c r="AF1008" s="88">
        <f>SUMIF(月間集計シート!$M$92:$M$111,$G1008,月間集計シート!O$92:O$111)*AF$2</f>
        <v>0</v>
      </c>
      <c r="AG1008" s="88">
        <f>SUMIF(月間集計シート!$M$92:$M$111,$G1008,月間集計シート!P$92:P$111)*AG$2</f>
        <v>0</v>
      </c>
      <c r="AH1008" s="88">
        <f>SUMIF(月間集計シート!$M$92:$M$111,$G1008,月間集計シート!Q$92:Q$111)*AH$2</f>
        <v>0</v>
      </c>
      <c r="AI1008" s="88">
        <f>SUMIF(月間集計シート!$M$92:$M$111,$G1008,月間集計シート!R$92:R$111)*AI$2</f>
        <v>0</v>
      </c>
      <c r="AJ1008" s="88">
        <f>SUMIF(月間集計シート!$M$92:$M$111,$G1008,月間集計シート!S$92:S$111)*AJ$2</f>
        <v>0</v>
      </c>
      <c r="AK1008" s="88">
        <f>SUMIF(月間集計シート!$M$92:$M$111,$G1008,月間集計シート!T$92:T$111)*AK$2</f>
        <v>0</v>
      </c>
      <c r="AL1008" s="88">
        <f>SUMIF(月間集計シート!$M$113:$M$132,$G1008,月間集計シート!N$113:N$132)*AL$2</f>
        <v>0</v>
      </c>
      <c r="AM1008" s="88">
        <f>SUMIF(月間集計シート!$M$113:$M$132,$G1008,月間集計シート!O$113:O$132)*AM$2</f>
        <v>0</v>
      </c>
      <c r="AN1008" s="88">
        <f>SUMIF(月間集計シート!$M$113:$M$132,$G1008,月間集計シート!P$113:P$132)*AN$2</f>
        <v>0</v>
      </c>
      <c r="AO1008" s="88">
        <f>SUMIF(月間集計シート!$M$113:$M$132,$G1008,月間集計シート!Q$113:Q$132)*AO$2</f>
        <v>0</v>
      </c>
      <c r="AP1008" s="88">
        <f>SUMIF(月間集計シート!$M$113:$M$132,$G1008,月間集計シート!R$113:R$132)*AP$2</f>
        <v>0</v>
      </c>
      <c r="AQ1008" s="88">
        <f>SUMIF(月間集計シート!$M$113:$M$132,$G1008,月間集計シート!S$113:S$132)*AQ$2</f>
        <v>0</v>
      </c>
      <c r="AR1008" s="88">
        <f>SUMIF(月間集計シート!$M$113:$M$132,$G1008,月間集計シート!T$113:T$132)*AR$2</f>
        <v>0</v>
      </c>
      <c r="AS1008" s="88">
        <f>SUMIF(月間集計シート!$M$134:$M$153,$G1008,月間集計シート!N$134:N$153)*AS$2</f>
        <v>0</v>
      </c>
      <c r="AT1008" s="88">
        <f>SUMIF(月間集計シート!$M$134:$M$153,$G1008,月間集計シート!O$134:O$153)*AT$2</f>
        <v>0</v>
      </c>
      <c r="AU1008" s="88">
        <f>SUMIF(月間集計シート!$M$134:$M$153,$G1008,月間集計シート!P$134:P$153)*AU$2</f>
        <v>0</v>
      </c>
      <c r="AV1008" s="88">
        <f>SUMIF(月間集計シート!$M$134:$M$153,$G1008,月間集計シート!Q$134:Q$153)*AV$2</f>
        <v>0</v>
      </c>
      <c r="AW1008" s="88">
        <f>SUMIF(月間集計シート!$M$134:$M$153,$G1008,月間集計シート!R$134:R$153)*AW$2</f>
        <v>0</v>
      </c>
      <c r="AX1008" s="88">
        <f>SUMIF(月間集計シート!$M$134:$M$153,$G1008,月間集計シート!S$134:S$153)*AX$2</f>
        <v>0</v>
      </c>
      <c r="AY1008" s="88">
        <f>SUMIF(月間集計シート!$M$134:$M$153,$G1008,月間集計シート!T$134:T$153)*AY$2</f>
        <v>0</v>
      </c>
    </row>
    <row r="1009" spans="1:51" ht="14.25" thickBot="1">
      <c r="A1009">
        <v>12</v>
      </c>
      <c r="B1009" s="120">
        <f t="shared" si="517"/>
        <v>0</v>
      </c>
      <c r="C1009" s="120" t="str">
        <f t="shared" si="518"/>
        <v/>
      </c>
      <c r="D1009" s="137"/>
      <c r="E1009" s="150" t="str">
        <f>工種!A66</f>
        <v>80199</v>
      </c>
      <c r="F1009" s="119" t="str">
        <f>工種!B66</f>
        <v>保守／ｻﾎﾟｰﾄ：その他</v>
      </c>
      <c r="G1009" s="116" t="str">
        <f t="shared" si="520"/>
        <v>080199</v>
      </c>
      <c r="H1009" s="88">
        <f t="shared" si="522"/>
        <v>0</v>
      </c>
      <c r="I1009" s="132"/>
      <c r="J1009" s="88">
        <f>SUMIF(月間集計シート!$M$29:$M$48,$G1009,月間集計シート!N$29:N$48)*J$2</f>
        <v>0</v>
      </c>
      <c r="K1009" s="88">
        <f>SUMIF(月間集計シート!$M$29:$M$48,$G1009,月間集計シート!O$29:O$48)*K$2</f>
        <v>0</v>
      </c>
      <c r="L1009" s="88">
        <f>SUMIF(月間集計シート!$M$29:$M$48,$G1009,月間集計シート!P$29:P$48)*L$2</f>
        <v>0</v>
      </c>
      <c r="M1009" s="88">
        <f>SUMIF(月間集計シート!$M$29:$M$48,$G1009,月間集計シート!Q$29:Q$48)*M$2</f>
        <v>0</v>
      </c>
      <c r="N1009" s="88">
        <f>SUMIF(月間集計シート!$M$29:$M$48,$G1009,月間集計シート!R$29:R$48)*N$2</f>
        <v>0</v>
      </c>
      <c r="O1009" s="88">
        <f>SUMIF(月間集計シート!$M$29:$M$48,$G1009,月間集計シート!S$29:S$48)*O$2</f>
        <v>0</v>
      </c>
      <c r="P1009" s="88">
        <f>SUMIF(月間集計シート!$M$29:$M$48,$G1009,月間集計シート!T$29:T$48)*P$2</f>
        <v>0</v>
      </c>
      <c r="Q1009" s="88">
        <f>SUMIF(月間集計シート!$M$50:$M$69,$G1009,月間集計シート!N$50:N$69)*Q$2</f>
        <v>0</v>
      </c>
      <c r="R1009" s="88">
        <f>SUMIF(月間集計シート!$M$50:$M$69,$G1009,月間集計シート!O$50:O$69)*R$2</f>
        <v>0</v>
      </c>
      <c r="S1009" s="88">
        <f>SUMIF(月間集計シート!$M$50:$M$69,$G1009,月間集計シート!P$50:P$69)*S$2</f>
        <v>0</v>
      </c>
      <c r="T1009" s="88">
        <f>SUMIF(月間集計シート!$M$50:$M$69,$G1009,月間集計シート!Q$50:Q$69)*T$2</f>
        <v>0</v>
      </c>
      <c r="U1009" s="88">
        <f>SUMIF(月間集計シート!$M$50:$M$69,$G1009,月間集計シート!R$50:R$69)*U$2</f>
        <v>0</v>
      </c>
      <c r="V1009" s="88">
        <f>SUMIF(月間集計シート!$M$50:$M$69,$G1009,月間集計シート!S$50:S$69)*V$2</f>
        <v>0</v>
      </c>
      <c r="W1009" s="88">
        <f>SUMIF(月間集計シート!$M$50:$M$69,$G1009,月間集計シート!T$50:T$69)*W$2</f>
        <v>0</v>
      </c>
      <c r="X1009" s="88">
        <f>SUMIF(月間集計シート!$M$71:$M$90,$G1009,月間集計シート!N$71:N$90)*X$2</f>
        <v>0</v>
      </c>
      <c r="Y1009" s="88">
        <f>SUMIF(月間集計シート!$M$71:$M$90,$G1009,月間集計シート!O$71:O$90)*Y$2</f>
        <v>0</v>
      </c>
      <c r="Z1009" s="88">
        <f>SUMIF(月間集計シート!$M$71:$M$90,$G1009,月間集計シート!P$71:P$90)*Z$2</f>
        <v>0</v>
      </c>
      <c r="AA1009" s="88">
        <f>SUMIF(月間集計シート!$M$71:$M$90,$G1009,月間集計シート!Q$71:Q$90)*AA$2</f>
        <v>0</v>
      </c>
      <c r="AB1009" s="88">
        <f>SUMIF(月間集計シート!$M$71:$M$90,$G1009,月間集計シート!R$71:R$90)*AB$2</f>
        <v>0</v>
      </c>
      <c r="AC1009" s="88">
        <f>SUMIF(月間集計シート!$M$71:$M$90,$G1009,月間集計シート!S$71:S$90)*AC$2</f>
        <v>0</v>
      </c>
      <c r="AD1009" s="88">
        <f>SUMIF(月間集計シート!$M$71:$M$90,$G1009,月間集計シート!T$71:T$90)*AD$2</f>
        <v>0</v>
      </c>
      <c r="AE1009" s="88">
        <f>SUMIF(月間集計シート!$M$92:$M$111,$G1009,月間集計シート!N$92:N$111)*AE$2</f>
        <v>0</v>
      </c>
      <c r="AF1009" s="88">
        <f>SUMIF(月間集計シート!$M$92:$M$111,$G1009,月間集計シート!O$92:O$111)*AF$2</f>
        <v>0</v>
      </c>
      <c r="AG1009" s="88">
        <f>SUMIF(月間集計シート!$M$92:$M$111,$G1009,月間集計シート!P$92:P$111)*AG$2</f>
        <v>0</v>
      </c>
      <c r="AH1009" s="88">
        <f>SUMIF(月間集計シート!$M$92:$M$111,$G1009,月間集計シート!Q$92:Q$111)*AH$2</f>
        <v>0</v>
      </c>
      <c r="AI1009" s="88">
        <f>SUMIF(月間集計シート!$M$92:$M$111,$G1009,月間集計シート!R$92:R$111)*AI$2</f>
        <v>0</v>
      </c>
      <c r="AJ1009" s="88">
        <f>SUMIF(月間集計シート!$M$92:$M$111,$G1009,月間集計シート!S$92:S$111)*AJ$2</f>
        <v>0</v>
      </c>
      <c r="AK1009" s="88">
        <f>SUMIF(月間集計シート!$M$92:$M$111,$G1009,月間集計シート!T$92:T$111)*AK$2</f>
        <v>0</v>
      </c>
      <c r="AL1009" s="88">
        <f>SUMIF(月間集計シート!$M$113:$M$132,$G1009,月間集計シート!N$113:N$132)*AL$2</f>
        <v>0</v>
      </c>
      <c r="AM1009" s="88">
        <f>SUMIF(月間集計シート!$M$113:$M$132,$G1009,月間集計シート!O$113:O$132)*AM$2</f>
        <v>0</v>
      </c>
      <c r="AN1009" s="88">
        <f>SUMIF(月間集計シート!$M$113:$M$132,$G1009,月間集計シート!P$113:P$132)*AN$2</f>
        <v>0</v>
      </c>
      <c r="AO1009" s="88">
        <f>SUMIF(月間集計シート!$M$113:$M$132,$G1009,月間集計シート!Q$113:Q$132)*AO$2</f>
        <v>0</v>
      </c>
      <c r="AP1009" s="88">
        <f>SUMIF(月間集計シート!$M$113:$M$132,$G1009,月間集計シート!R$113:R$132)*AP$2</f>
        <v>0</v>
      </c>
      <c r="AQ1009" s="88">
        <f>SUMIF(月間集計シート!$M$113:$M$132,$G1009,月間集計シート!S$113:S$132)*AQ$2</f>
        <v>0</v>
      </c>
      <c r="AR1009" s="88">
        <f>SUMIF(月間集計シート!$M$113:$M$132,$G1009,月間集計シート!T$113:T$132)*AR$2</f>
        <v>0</v>
      </c>
      <c r="AS1009" s="88">
        <f>SUMIF(月間集計シート!$M$134:$M$153,$G1009,月間集計シート!N$134:N$153)*AS$2</f>
        <v>0</v>
      </c>
      <c r="AT1009" s="88">
        <f>SUMIF(月間集計シート!$M$134:$M$153,$G1009,月間集計シート!O$134:O$153)*AT$2</f>
        <v>0</v>
      </c>
      <c r="AU1009" s="88">
        <f>SUMIF(月間集計シート!$M$134:$M$153,$G1009,月間集計シート!P$134:P$153)*AU$2</f>
        <v>0</v>
      </c>
      <c r="AV1009" s="88">
        <f>SUMIF(月間集計シート!$M$134:$M$153,$G1009,月間集計シート!Q$134:Q$153)*AV$2</f>
        <v>0</v>
      </c>
      <c r="AW1009" s="88">
        <f>SUMIF(月間集計シート!$M$134:$M$153,$G1009,月間集計シート!R$134:R$153)*AW$2</f>
        <v>0</v>
      </c>
      <c r="AX1009" s="88">
        <f>SUMIF(月間集計シート!$M$134:$M$153,$G1009,月間集計シート!S$134:S$153)*AX$2</f>
        <v>0</v>
      </c>
      <c r="AY1009" s="88">
        <f>SUMIF(月間集計シート!$M$134:$M$153,$G1009,月間集計シート!T$134:T$153)*AY$2</f>
        <v>0</v>
      </c>
    </row>
    <row r="1010" spans="1:51" ht="14.25" thickBot="1">
      <c r="A1010">
        <v>12</v>
      </c>
      <c r="B1010" s="120">
        <f t="shared" ref="B1010:C1026" si="523">B1009</f>
        <v>0</v>
      </c>
      <c r="C1010" s="120" t="str">
        <f t="shared" si="523"/>
        <v/>
      </c>
      <c r="D1010" s="137"/>
      <c r="E1010" s="150" t="str">
        <f>工種!A67</f>
        <v>90101</v>
      </c>
      <c r="F1010" s="119" t="str">
        <f>工種!B67</f>
        <v>管理業務：ﾌﾟﾛｼﾞｪｸﾄ管理</v>
      </c>
      <c r="G1010" s="116" t="str">
        <f t="shared" si="520"/>
        <v>090101</v>
      </c>
      <c r="H1010" s="88">
        <f t="shared" si="522"/>
        <v>0</v>
      </c>
      <c r="I1010" s="132"/>
      <c r="J1010" s="88">
        <f>SUMIF(月間集計シート!$M$29:$M$48,$G1010,月間集計シート!N$29:N$48)*J$2</f>
        <v>0</v>
      </c>
      <c r="K1010" s="88">
        <f>SUMIF(月間集計シート!$M$29:$M$48,$G1010,月間集計シート!O$29:O$48)*K$2</f>
        <v>0</v>
      </c>
      <c r="L1010" s="88">
        <f>SUMIF(月間集計シート!$M$29:$M$48,$G1010,月間集計シート!P$29:P$48)*L$2</f>
        <v>0</v>
      </c>
      <c r="M1010" s="88">
        <f>SUMIF(月間集計シート!$M$29:$M$48,$G1010,月間集計シート!Q$29:Q$48)*M$2</f>
        <v>0</v>
      </c>
      <c r="N1010" s="88">
        <f>SUMIF(月間集計シート!$M$29:$M$48,$G1010,月間集計シート!R$29:R$48)*N$2</f>
        <v>0</v>
      </c>
      <c r="O1010" s="88">
        <f>SUMIF(月間集計シート!$M$29:$M$48,$G1010,月間集計シート!S$29:S$48)*O$2</f>
        <v>0</v>
      </c>
      <c r="P1010" s="88">
        <f>SUMIF(月間集計シート!$M$29:$M$48,$G1010,月間集計シート!T$29:T$48)*P$2</f>
        <v>0</v>
      </c>
      <c r="Q1010" s="88">
        <f>SUMIF(月間集計シート!$M$50:$M$69,$G1010,月間集計シート!N$50:N$69)*Q$2</f>
        <v>0</v>
      </c>
      <c r="R1010" s="88">
        <f>SUMIF(月間集計シート!$M$50:$M$69,$G1010,月間集計シート!O$50:O$69)*R$2</f>
        <v>0</v>
      </c>
      <c r="S1010" s="88">
        <f>SUMIF(月間集計シート!$M$50:$M$69,$G1010,月間集計シート!P$50:P$69)*S$2</f>
        <v>0</v>
      </c>
      <c r="T1010" s="88">
        <f>SUMIF(月間集計シート!$M$50:$M$69,$G1010,月間集計シート!Q$50:Q$69)*T$2</f>
        <v>0</v>
      </c>
      <c r="U1010" s="88">
        <f>SUMIF(月間集計シート!$M$50:$M$69,$G1010,月間集計シート!R$50:R$69)*U$2</f>
        <v>0</v>
      </c>
      <c r="V1010" s="88">
        <f>SUMIF(月間集計シート!$M$50:$M$69,$G1010,月間集計シート!S$50:S$69)*V$2</f>
        <v>0</v>
      </c>
      <c r="W1010" s="88">
        <f>SUMIF(月間集計シート!$M$50:$M$69,$G1010,月間集計シート!T$50:T$69)*W$2</f>
        <v>0</v>
      </c>
      <c r="X1010" s="88">
        <f>SUMIF(月間集計シート!$M$71:$M$90,$G1010,月間集計シート!N$71:N$90)*X$2</f>
        <v>0</v>
      </c>
      <c r="Y1010" s="88">
        <f>SUMIF(月間集計シート!$M$71:$M$90,$G1010,月間集計シート!O$71:O$90)*Y$2</f>
        <v>0</v>
      </c>
      <c r="Z1010" s="88">
        <f>SUMIF(月間集計シート!$M$71:$M$90,$G1010,月間集計シート!P$71:P$90)*Z$2</f>
        <v>0</v>
      </c>
      <c r="AA1010" s="88">
        <f>SUMIF(月間集計シート!$M$71:$M$90,$G1010,月間集計シート!Q$71:Q$90)*AA$2</f>
        <v>0</v>
      </c>
      <c r="AB1010" s="88">
        <f>SUMIF(月間集計シート!$M$71:$M$90,$G1010,月間集計シート!R$71:R$90)*AB$2</f>
        <v>0</v>
      </c>
      <c r="AC1010" s="88">
        <f>SUMIF(月間集計シート!$M$71:$M$90,$G1010,月間集計シート!S$71:S$90)*AC$2</f>
        <v>0</v>
      </c>
      <c r="AD1010" s="88">
        <f>SUMIF(月間集計シート!$M$71:$M$90,$G1010,月間集計シート!T$71:T$90)*AD$2</f>
        <v>0</v>
      </c>
      <c r="AE1010" s="88">
        <f>SUMIF(月間集計シート!$M$92:$M$111,$G1010,月間集計シート!N$92:N$111)*AE$2</f>
        <v>0</v>
      </c>
      <c r="AF1010" s="88">
        <f>SUMIF(月間集計シート!$M$92:$M$111,$G1010,月間集計シート!O$92:O$111)*AF$2</f>
        <v>0</v>
      </c>
      <c r="AG1010" s="88">
        <f>SUMIF(月間集計シート!$M$92:$M$111,$G1010,月間集計シート!P$92:P$111)*AG$2</f>
        <v>0</v>
      </c>
      <c r="AH1010" s="88">
        <f>SUMIF(月間集計シート!$M$92:$M$111,$G1010,月間集計シート!Q$92:Q$111)*AH$2</f>
        <v>0</v>
      </c>
      <c r="AI1010" s="88">
        <f>SUMIF(月間集計シート!$M$92:$M$111,$G1010,月間集計シート!R$92:R$111)*AI$2</f>
        <v>0</v>
      </c>
      <c r="AJ1010" s="88">
        <f>SUMIF(月間集計シート!$M$92:$M$111,$G1010,月間集計シート!S$92:S$111)*AJ$2</f>
        <v>0</v>
      </c>
      <c r="AK1010" s="88">
        <f>SUMIF(月間集計シート!$M$92:$M$111,$G1010,月間集計シート!T$92:T$111)*AK$2</f>
        <v>0</v>
      </c>
      <c r="AL1010" s="88">
        <f>SUMIF(月間集計シート!$M$113:$M$132,$G1010,月間集計シート!N$113:N$132)*AL$2</f>
        <v>0</v>
      </c>
      <c r="AM1010" s="88">
        <f>SUMIF(月間集計シート!$M$113:$M$132,$G1010,月間集計シート!O$113:O$132)*AM$2</f>
        <v>0</v>
      </c>
      <c r="AN1010" s="88">
        <f>SUMIF(月間集計シート!$M$113:$M$132,$G1010,月間集計シート!P$113:P$132)*AN$2</f>
        <v>0</v>
      </c>
      <c r="AO1010" s="88">
        <f>SUMIF(月間集計シート!$M$113:$M$132,$G1010,月間集計シート!Q$113:Q$132)*AO$2</f>
        <v>0</v>
      </c>
      <c r="AP1010" s="88">
        <f>SUMIF(月間集計シート!$M$113:$M$132,$G1010,月間集計シート!R$113:R$132)*AP$2</f>
        <v>0</v>
      </c>
      <c r="AQ1010" s="88">
        <f>SUMIF(月間集計シート!$M$113:$M$132,$G1010,月間集計シート!S$113:S$132)*AQ$2</f>
        <v>0</v>
      </c>
      <c r="AR1010" s="88">
        <f>SUMIF(月間集計シート!$M$113:$M$132,$G1010,月間集計シート!T$113:T$132)*AR$2</f>
        <v>0</v>
      </c>
      <c r="AS1010" s="88">
        <f>SUMIF(月間集計シート!$M$134:$M$153,$G1010,月間集計シート!N$134:N$153)*AS$2</f>
        <v>0</v>
      </c>
      <c r="AT1010" s="88">
        <f>SUMIF(月間集計シート!$M$134:$M$153,$G1010,月間集計シート!O$134:O$153)*AT$2</f>
        <v>0</v>
      </c>
      <c r="AU1010" s="88">
        <f>SUMIF(月間集計シート!$M$134:$M$153,$G1010,月間集計シート!P$134:P$153)*AU$2</f>
        <v>0</v>
      </c>
      <c r="AV1010" s="88">
        <f>SUMIF(月間集計シート!$M$134:$M$153,$G1010,月間集計シート!Q$134:Q$153)*AV$2</f>
        <v>0</v>
      </c>
      <c r="AW1010" s="88">
        <f>SUMIF(月間集計シート!$M$134:$M$153,$G1010,月間集計シート!R$134:R$153)*AW$2</f>
        <v>0</v>
      </c>
      <c r="AX1010" s="88">
        <f>SUMIF(月間集計シート!$M$134:$M$153,$G1010,月間集計シート!S$134:S$153)*AX$2</f>
        <v>0</v>
      </c>
      <c r="AY1010" s="88">
        <f>SUMIF(月間集計シート!$M$134:$M$153,$G1010,月間集計シート!T$134:T$153)*AY$2</f>
        <v>0</v>
      </c>
    </row>
    <row r="1011" spans="1:51" ht="14.25" thickBot="1">
      <c r="A1011">
        <v>12</v>
      </c>
      <c r="B1011" s="120">
        <f t="shared" si="523"/>
        <v>0</v>
      </c>
      <c r="C1011" s="120" t="str">
        <f t="shared" si="523"/>
        <v/>
      </c>
      <c r="D1011" s="137"/>
      <c r="E1011" s="150" t="str">
        <f>工種!A68</f>
        <v>90102</v>
      </c>
      <c r="F1011" s="119" t="str">
        <f>工種!B68</f>
        <v>管理業務：開発環境管理</v>
      </c>
      <c r="G1011" s="116" t="str">
        <f t="shared" si="520"/>
        <v>090102</v>
      </c>
      <c r="H1011" s="88">
        <f t="shared" si="522"/>
        <v>0</v>
      </c>
      <c r="I1011" s="132"/>
      <c r="J1011" s="88">
        <f>SUMIF(月間集計シート!$M$29:$M$48,$G1011,月間集計シート!N$29:N$48)*J$2</f>
        <v>0</v>
      </c>
      <c r="K1011" s="88">
        <f>SUMIF(月間集計シート!$M$29:$M$48,$G1011,月間集計シート!O$29:O$48)*K$2</f>
        <v>0</v>
      </c>
      <c r="L1011" s="88">
        <f>SUMIF(月間集計シート!$M$29:$M$48,$G1011,月間集計シート!P$29:P$48)*L$2</f>
        <v>0</v>
      </c>
      <c r="M1011" s="88">
        <f>SUMIF(月間集計シート!$M$29:$M$48,$G1011,月間集計シート!Q$29:Q$48)*M$2</f>
        <v>0</v>
      </c>
      <c r="N1011" s="88">
        <f>SUMIF(月間集計シート!$M$29:$M$48,$G1011,月間集計シート!R$29:R$48)*N$2</f>
        <v>0</v>
      </c>
      <c r="O1011" s="88">
        <f>SUMIF(月間集計シート!$M$29:$M$48,$G1011,月間集計シート!S$29:S$48)*O$2</f>
        <v>0</v>
      </c>
      <c r="P1011" s="88">
        <f>SUMIF(月間集計シート!$M$29:$M$48,$G1011,月間集計シート!T$29:T$48)*P$2</f>
        <v>0</v>
      </c>
      <c r="Q1011" s="88">
        <f>SUMIF(月間集計シート!$M$50:$M$69,$G1011,月間集計シート!N$50:N$69)*Q$2</f>
        <v>0</v>
      </c>
      <c r="R1011" s="88">
        <f>SUMIF(月間集計シート!$M$50:$M$69,$G1011,月間集計シート!O$50:O$69)*R$2</f>
        <v>0</v>
      </c>
      <c r="S1011" s="88">
        <f>SUMIF(月間集計シート!$M$50:$M$69,$G1011,月間集計シート!P$50:P$69)*S$2</f>
        <v>0</v>
      </c>
      <c r="T1011" s="88">
        <f>SUMIF(月間集計シート!$M$50:$M$69,$G1011,月間集計シート!Q$50:Q$69)*T$2</f>
        <v>0</v>
      </c>
      <c r="U1011" s="88">
        <f>SUMIF(月間集計シート!$M$50:$M$69,$G1011,月間集計シート!R$50:R$69)*U$2</f>
        <v>0</v>
      </c>
      <c r="V1011" s="88">
        <f>SUMIF(月間集計シート!$M$50:$M$69,$G1011,月間集計シート!S$50:S$69)*V$2</f>
        <v>0</v>
      </c>
      <c r="W1011" s="88">
        <f>SUMIF(月間集計シート!$M$50:$M$69,$G1011,月間集計シート!T$50:T$69)*W$2</f>
        <v>0</v>
      </c>
      <c r="X1011" s="88">
        <f>SUMIF(月間集計シート!$M$71:$M$90,$G1011,月間集計シート!N$71:N$90)*X$2</f>
        <v>0</v>
      </c>
      <c r="Y1011" s="88">
        <f>SUMIF(月間集計シート!$M$71:$M$90,$G1011,月間集計シート!O$71:O$90)*Y$2</f>
        <v>0</v>
      </c>
      <c r="Z1011" s="88">
        <f>SUMIF(月間集計シート!$M$71:$M$90,$G1011,月間集計シート!P$71:P$90)*Z$2</f>
        <v>0</v>
      </c>
      <c r="AA1011" s="88">
        <f>SUMIF(月間集計シート!$M$71:$M$90,$G1011,月間集計シート!Q$71:Q$90)*AA$2</f>
        <v>0</v>
      </c>
      <c r="AB1011" s="88">
        <f>SUMIF(月間集計シート!$M$71:$M$90,$G1011,月間集計シート!R$71:R$90)*AB$2</f>
        <v>0</v>
      </c>
      <c r="AC1011" s="88">
        <f>SUMIF(月間集計シート!$M$71:$M$90,$G1011,月間集計シート!S$71:S$90)*AC$2</f>
        <v>0</v>
      </c>
      <c r="AD1011" s="88">
        <f>SUMIF(月間集計シート!$M$71:$M$90,$G1011,月間集計シート!T$71:T$90)*AD$2</f>
        <v>0</v>
      </c>
      <c r="AE1011" s="88">
        <f>SUMIF(月間集計シート!$M$92:$M$111,$G1011,月間集計シート!N$92:N$111)*AE$2</f>
        <v>0</v>
      </c>
      <c r="AF1011" s="88">
        <f>SUMIF(月間集計シート!$M$92:$M$111,$G1011,月間集計シート!O$92:O$111)*AF$2</f>
        <v>0</v>
      </c>
      <c r="AG1011" s="88">
        <f>SUMIF(月間集計シート!$M$92:$M$111,$G1011,月間集計シート!P$92:P$111)*AG$2</f>
        <v>0</v>
      </c>
      <c r="AH1011" s="88">
        <f>SUMIF(月間集計シート!$M$92:$M$111,$G1011,月間集計シート!Q$92:Q$111)*AH$2</f>
        <v>0</v>
      </c>
      <c r="AI1011" s="88">
        <f>SUMIF(月間集計シート!$M$92:$M$111,$G1011,月間集計シート!R$92:R$111)*AI$2</f>
        <v>0</v>
      </c>
      <c r="AJ1011" s="88">
        <f>SUMIF(月間集計シート!$M$92:$M$111,$G1011,月間集計シート!S$92:S$111)*AJ$2</f>
        <v>0</v>
      </c>
      <c r="AK1011" s="88">
        <f>SUMIF(月間集計シート!$M$92:$M$111,$G1011,月間集計シート!T$92:T$111)*AK$2</f>
        <v>0</v>
      </c>
      <c r="AL1011" s="88">
        <f>SUMIF(月間集計シート!$M$113:$M$132,$G1011,月間集計シート!N$113:N$132)*AL$2</f>
        <v>0</v>
      </c>
      <c r="AM1011" s="88">
        <f>SUMIF(月間集計シート!$M$113:$M$132,$G1011,月間集計シート!O$113:O$132)*AM$2</f>
        <v>0</v>
      </c>
      <c r="AN1011" s="88">
        <f>SUMIF(月間集計シート!$M$113:$M$132,$G1011,月間集計シート!P$113:P$132)*AN$2</f>
        <v>0</v>
      </c>
      <c r="AO1011" s="88">
        <f>SUMIF(月間集計シート!$M$113:$M$132,$G1011,月間集計シート!Q$113:Q$132)*AO$2</f>
        <v>0</v>
      </c>
      <c r="AP1011" s="88">
        <f>SUMIF(月間集計シート!$M$113:$M$132,$G1011,月間集計シート!R$113:R$132)*AP$2</f>
        <v>0</v>
      </c>
      <c r="AQ1011" s="88">
        <f>SUMIF(月間集計シート!$M$113:$M$132,$G1011,月間集計シート!S$113:S$132)*AQ$2</f>
        <v>0</v>
      </c>
      <c r="AR1011" s="88">
        <f>SUMIF(月間集計シート!$M$113:$M$132,$G1011,月間集計シート!T$113:T$132)*AR$2</f>
        <v>0</v>
      </c>
      <c r="AS1011" s="88">
        <f>SUMIF(月間集計シート!$M$134:$M$153,$G1011,月間集計シート!N$134:N$153)*AS$2</f>
        <v>0</v>
      </c>
      <c r="AT1011" s="88">
        <f>SUMIF(月間集計シート!$M$134:$M$153,$G1011,月間集計シート!O$134:O$153)*AT$2</f>
        <v>0</v>
      </c>
      <c r="AU1011" s="88">
        <f>SUMIF(月間集計シート!$M$134:$M$153,$G1011,月間集計シート!P$134:P$153)*AU$2</f>
        <v>0</v>
      </c>
      <c r="AV1011" s="88">
        <f>SUMIF(月間集計シート!$M$134:$M$153,$G1011,月間集計シート!Q$134:Q$153)*AV$2</f>
        <v>0</v>
      </c>
      <c r="AW1011" s="88">
        <f>SUMIF(月間集計シート!$M$134:$M$153,$G1011,月間集計シート!R$134:R$153)*AW$2</f>
        <v>0</v>
      </c>
      <c r="AX1011" s="88">
        <f>SUMIF(月間集計シート!$M$134:$M$153,$G1011,月間集計シート!S$134:S$153)*AX$2</f>
        <v>0</v>
      </c>
      <c r="AY1011" s="88">
        <f>SUMIF(月間集計シート!$M$134:$M$153,$G1011,月間集計シート!T$134:T$153)*AY$2</f>
        <v>0</v>
      </c>
    </row>
    <row r="1012" spans="1:51" ht="14.25" thickBot="1">
      <c r="A1012">
        <v>12</v>
      </c>
      <c r="B1012" s="120">
        <f t="shared" si="523"/>
        <v>0</v>
      </c>
      <c r="C1012" s="120" t="str">
        <f t="shared" si="523"/>
        <v/>
      </c>
      <c r="D1012" s="137"/>
      <c r="E1012" s="150" t="str">
        <f>工種!A69</f>
        <v>90103</v>
      </c>
      <c r="F1012" s="119" t="str">
        <f>工種!B69</f>
        <v>管理業務：標準化・開発業務改善作業</v>
      </c>
      <c r="G1012" s="116" t="str">
        <f t="shared" si="520"/>
        <v>090103</v>
      </c>
      <c r="H1012" s="88">
        <f t="shared" si="522"/>
        <v>0</v>
      </c>
      <c r="I1012" s="132"/>
      <c r="J1012" s="88">
        <f>SUMIF(月間集計シート!$M$29:$M$48,$G1012,月間集計シート!N$29:N$48)*J$2</f>
        <v>0</v>
      </c>
      <c r="K1012" s="88">
        <f>SUMIF(月間集計シート!$M$29:$M$48,$G1012,月間集計シート!O$29:O$48)*K$2</f>
        <v>0</v>
      </c>
      <c r="L1012" s="88">
        <f>SUMIF(月間集計シート!$M$29:$M$48,$G1012,月間集計シート!P$29:P$48)*L$2</f>
        <v>0</v>
      </c>
      <c r="M1012" s="88">
        <f>SUMIF(月間集計シート!$M$29:$M$48,$G1012,月間集計シート!Q$29:Q$48)*M$2</f>
        <v>0</v>
      </c>
      <c r="N1012" s="88">
        <f>SUMIF(月間集計シート!$M$29:$M$48,$G1012,月間集計シート!R$29:R$48)*N$2</f>
        <v>0</v>
      </c>
      <c r="O1012" s="88">
        <f>SUMIF(月間集計シート!$M$29:$M$48,$G1012,月間集計シート!S$29:S$48)*O$2</f>
        <v>0</v>
      </c>
      <c r="P1012" s="88">
        <f>SUMIF(月間集計シート!$M$29:$M$48,$G1012,月間集計シート!T$29:T$48)*P$2</f>
        <v>0</v>
      </c>
      <c r="Q1012" s="88">
        <f>SUMIF(月間集計シート!$M$50:$M$69,$G1012,月間集計シート!N$50:N$69)*Q$2</f>
        <v>0</v>
      </c>
      <c r="R1012" s="88">
        <f>SUMIF(月間集計シート!$M$50:$M$69,$G1012,月間集計シート!O$50:O$69)*R$2</f>
        <v>0</v>
      </c>
      <c r="S1012" s="88">
        <f>SUMIF(月間集計シート!$M$50:$M$69,$G1012,月間集計シート!P$50:P$69)*S$2</f>
        <v>0</v>
      </c>
      <c r="T1012" s="88">
        <f>SUMIF(月間集計シート!$M$50:$M$69,$G1012,月間集計シート!Q$50:Q$69)*T$2</f>
        <v>0</v>
      </c>
      <c r="U1012" s="88">
        <f>SUMIF(月間集計シート!$M$50:$M$69,$G1012,月間集計シート!R$50:R$69)*U$2</f>
        <v>0</v>
      </c>
      <c r="V1012" s="88">
        <f>SUMIF(月間集計シート!$M$50:$M$69,$G1012,月間集計シート!S$50:S$69)*V$2</f>
        <v>0</v>
      </c>
      <c r="W1012" s="88">
        <f>SUMIF(月間集計シート!$M$50:$M$69,$G1012,月間集計シート!T$50:T$69)*W$2</f>
        <v>0</v>
      </c>
      <c r="X1012" s="88">
        <f>SUMIF(月間集計シート!$M$71:$M$90,$G1012,月間集計シート!N$71:N$90)*X$2</f>
        <v>0</v>
      </c>
      <c r="Y1012" s="88">
        <f>SUMIF(月間集計シート!$M$71:$M$90,$G1012,月間集計シート!O$71:O$90)*Y$2</f>
        <v>0</v>
      </c>
      <c r="Z1012" s="88">
        <f>SUMIF(月間集計シート!$M$71:$M$90,$G1012,月間集計シート!P$71:P$90)*Z$2</f>
        <v>0</v>
      </c>
      <c r="AA1012" s="88">
        <f>SUMIF(月間集計シート!$M$71:$M$90,$G1012,月間集計シート!Q$71:Q$90)*AA$2</f>
        <v>0</v>
      </c>
      <c r="AB1012" s="88">
        <f>SUMIF(月間集計シート!$M$71:$M$90,$G1012,月間集計シート!R$71:R$90)*AB$2</f>
        <v>0</v>
      </c>
      <c r="AC1012" s="88">
        <f>SUMIF(月間集計シート!$M$71:$M$90,$G1012,月間集計シート!S$71:S$90)*AC$2</f>
        <v>0</v>
      </c>
      <c r="AD1012" s="88">
        <f>SUMIF(月間集計シート!$M$71:$M$90,$G1012,月間集計シート!T$71:T$90)*AD$2</f>
        <v>0</v>
      </c>
      <c r="AE1012" s="88">
        <f>SUMIF(月間集計シート!$M$92:$M$111,$G1012,月間集計シート!N$92:N$111)*AE$2</f>
        <v>0</v>
      </c>
      <c r="AF1012" s="88">
        <f>SUMIF(月間集計シート!$M$92:$M$111,$G1012,月間集計シート!O$92:O$111)*AF$2</f>
        <v>0</v>
      </c>
      <c r="AG1012" s="88">
        <f>SUMIF(月間集計シート!$M$92:$M$111,$G1012,月間集計シート!P$92:P$111)*AG$2</f>
        <v>0</v>
      </c>
      <c r="AH1012" s="88">
        <f>SUMIF(月間集計シート!$M$92:$M$111,$G1012,月間集計シート!Q$92:Q$111)*AH$2</f>
        <v>0</v>
      </c>
      <c r="AI1012" s="88">
        <f>SUMIF(月間集計シート!$M$92:$M$111,$G1012,月間集計シート!R$92:R$111)*AI$2</f>
        <v>0</v>
      </c>
      <c r="AJ1012" s="88">
        <f>SUMIF(月間集計シート!$M$92:$M$111,$G1012,月間集計シート!S$92:S$111)*AJ$2</f>
        <v>0</v>
      </c>
      <c r="AK1012" s="88">
        <f>SUMIF(月間集計シート!$M$92:$M$111,$G1012,月間集計シート!T$92:T$111)*AK$2</f>
        <v>0</v>
      </c>
      <c r="AL1012" s="88">
        <f>SUMIF(月間集計シート!$M$113:$M$132,$G1012,月間集計シート!N$113:N$132)*AL$2</f>
        <v>0</v>
      </c>
      <c r="AM1012" s="88">
        <f>SUMIF(月間集計シート!$M$113:$M$132,$G1012,月間集計シート!O$113:O$132)*AM$2</f>
        <v>0</v>
      </c>
      <c r="AN1012" s="88">
        <f>SUMIF(月間集計シート!$M$113:$M$132,$G1012,月間集計シート!P$113:P$132)*AN$2</f>
        <v>0</v>
      </c>
      <c r="AO1012" s="88">
        <f>SUMIF(月間集計シート!$M$113:$M$132,$G1012,月間集計シート!Q$113:Q$132)*AO$2</f>
        <v>0</v>
      </c>
      <c r="AP1012" s="88">
        <f>SUMIF(月間集計シート!$M$113:$M$132,$G1012,月間集計シート!R$113:R$132)*AP$2</f>
        <v>0</v>
      </c>
      <c r="AQ1012" s="88">
        <f>SUMIF(月間集計シート!$M$113:$M$132,$G1012,月間集計シート!S$113:S$132)*AQ$2</f>
        <v>0</v>
      </c>
      <c r="AR1012" s="88">
        <f>SUMIF(月間集計シート!$M$113:$M$132,$G1012,月間集計シート!T$113:T$132)*AR$2</f>
        <v>0</v>
      </c>
      <c r="AS1012" s="88">
        <f>SUMIF(月間集計シート!$M$134:$M$153,$G1012,月間集計シート!N$134:N$153)*AS$2</f>
        <v>0</v>
      </c>
      <c r="AT1012" s="88">
        <f>SUMIF(月間集計シート!$M$134:$M$153,$G1012,月間集計シート!O$134:O$153)*AT$2</f>
        <v>0</v>
      </c>
      <c r="AU1012" s="88">
        <f>SUMIF(月間集計シート!$M$134:$M$153,$G1012,月間集計シート!P$134:P$153)*AU$2</f>
        <v>0</v>
      </c>
      <c r="AV1012" s="88">
        <f>SUMIF(月間集計シート!$M$134:$M$153,$G1012,月間集計シート!Q$134:Q$153)*AV$2</f>
        <v>0</v>
      </c>
      <c r="AW1012" s="88">
        <f>SUMIF(月間集計シート!$M$134:$M$153,$G1012,月間集計シート!R$134:R$153)*AW$2</f>
        <v>0</v>
      </c>
      <c r="AX1012" s="88">
        <f>SUMIF(月間集計シート!$M$134:$M$153,$G1012,月間集計シート!S$134:S$153)*AX$2</f>
        <v>0</v>
      </c>
      <c r="AY1012" s="88">
        <f>SUMIF(月間集計シート!$M$134:$M$153,$G1012,月間集計シート!T$134:T$153)*AY$2</f>
        <v>0</v>
      </c>
    </row>
    <row r="1013" spans="1:51" ht="14.25" thickBot="1">
      <c r="A1013">
        <v>12</v>
      </c>
      <c r="B1013" s="120">
        <f t="shared" si="523"/>
        <v>0</v>
      </c>
      <c r="C1013" s="120" t="str">
        <f t="shared" si="523"/>
        <v/>
      </c>
      <c r="D1013" s="137"/>
      <c r="E1013" s="150" t="str">
        <f>工種!A70</f>
        <v>90104</v>
      </c>
      <c r="F1013" s="119" t="str">
        <f>工種!B70</f>
        <v>管理業務：開発業務の引継ぎ</v>
      </c>
      <c r="G1013" s="116" t="str">
        <f t="shared" si="520"/>
        <v>090104</v>
      </c>
      <c r="H1013" s="88">
        <f t="shared" si="522"/>
        <v>0</v>
      </c>
      <c r="I1013" s="132"/>
      <c r="J1013" s="88">
        <f>SUMIF(月間集計シート!$M$29:$M$48,$G1013,月間集計シート!N$29:N$48)*J$2</f>
        <v>0</v>
      </c>
      <c r="K1013" s="88">
        <f>SUMIF(月間集計シート!$M$29:$M$48,$G1013,月間集計シート!O$29:O$48)*K$2</f>
        <v>0</v>
      </c>
      <c r="L1013" s="88">
        <f>SUMIF(月間集計シート!$M$29:$M$48,$G1013,月間集計シート!P$29:P$48)*L$2</f>
        <v>0</v>
      </c>
      <c r="M1013" s="88">
        <f>SUMIF(月間集計シート!$M$29:$M$48,$G1013,月間集計シート!Q$29:Q$48)*M$2</f>
        <v>0</v>
      </c>
      <c r="N1013" s="88">
        <f>SUMIF(月間集計シート!$M$29:$M$48,$G1013,月間集計シート!R$29:R$48)*N$2</f>
        <v>0</v>
      </c>
      <c r="O1013" s="88">
        <f>SUMIF(月間集計シート!$M$29:$M$48,$G1013,月間集計シート!S$29:S$48)*O$2</f>
        <v>0</v>
      </c>
      <c r="P1013" s="88">
        <f>SUMIF(月間集計シート!$M$29:$M$48,$G1013,月間集計シート!T$29:T$48)*P$2</f>
        <v>0</v>
      </c>
      <c r="Q1013" s="88">
        <f>SUMIF(月間集計シート!$M$50:$M$69,$G1013,月間集計シート!N$50:N$69)*Q$2</f>
        <v>0</v>
      </c>
      <c r="R1013" s="88">
        <f>SUMIF(月間集計シート!$M$50:$M$69,$G1013,月間集計シート!O$50:O$69)*R$2</f>
        <v>0</v>
      </c>
      <c r="S1013" s="88">
        <f>SUMIF(月間集計シート!$M$50:$M$69,$G1013,月間集計シート!P$50:P$69)*S$2</f>
        <v>0</v>
      </c>
      <c r="T1013" s="88">
        <f>SUMIF(月間集計シート!$M$50:$M$69,$G1013,月間集計シート!Q$50:Q$69)*T$2</f>
        <v>0</v>
      </c>
      <c r="U1013" s="88">
        <f>SUMIF(月間集計シート!$M$50:$M$69,$G1013,月間集計シート!R$50:R$69)*U$2</f>
        <v>0</v>
      </c>
      <c r="V1013" s="88">
        <f>SUMIF(月間集計シート!$M$50:$M$69,$G1013,月間集計シート!S$50:S$69)*V$2</f>
        <v>0</v>
      </c>
      <c r="W1013" s="88">
        <f>SUMIF(月間集計シート!$M$50:$M$69,$G1013,月間集計シート!T$50:T$69)*W$2</f>
        <v>0</v>
      </c>
      <c r="X1013" s="88">
        <f>SUMIF(月間集計シート!$M$71:$M$90,$G1013,月間集計シート!N$71:N$90)*X$2</f>
        <v>0</v>
      </c>
      <c r="Y1013" s="88">
        <f>SUMIF(月間集計シート!$M$71:$M$90,$G1013,月間集計シート!O$71:O$90)*Y$2</f>
        <v>0</v>
      </c>
      <c r="Z1013" s="88">
        <f>SUMIF(月間集計シート!$M$71:$M$90,$G1013,月間集計シート!P$71:P$90)*Z$2</f>
        <v>0</v>
      </c>
      <c r="AA1013" s="88">
        <f>SUMIF(月間集計シート!$M$71:$M$90,$G1013,月間集計シート!Q$71:Q$90)*AA$2</f>
        <v>0</v>
      </c>
      <c r="AB1013" s="88">
        <f>SUMIF(月間集計シート!$M$71:$M$90,$G1013,月間集計シート!R$71:R$90)*AB$2</f>
        <v>0</v>
      </c>
      <c r="AC1013" s="88">
        <f>SUMIF(月間集計シート!$M$71:$M$90,$G1013,月間集計シート!S$71:S$90)*AC$2</f>
        <v>0</v>
      </c>
      <c r="AD1013" s="88">
        <f>SUMIF(月間集計シート!$M$71:$M$90,$G1013,月間集計シート!T$71:T$90)*AD$2</f>
        <v>0</v>
      </c>
      <c r="AE1013" s="88">
        <f>SUMIF(月間集計シート!$M$92:$M$111,$G1013,月間集計シート!N$92:N$111)*AE$2</f>
        <v>0</v>
      </c>
      <c r="AF1013" s="88">
        <f>SUMIF(月間集計シート!$M$92:$M$111,$G1013,月間集計シート!O$92:O$111)*AF$2</f>
        <v>0</v>
      </c>
      <c r="AG1013" s="88">
        <f>SUMIF(月間集計シート!$M$92:$M$111,$G1013,月間集計シート!P$92:P$111)*AG$2</f>
        <v>0</v>
      </c>
      <c r="AH1013" s="88">
        <f>SUMIF(月間集計シート!$M$92:$M$111,$G1013,月間集計シート!Q$92:Q$111)*AH$2</f>
        <v>0</v>
      </c>
      <c r="AI1013" s="88">
        <f>SUMIF(月間集計シート!$M$92:$M$111,$G1013,月間集計シート!R$92:R$111)*AI$2</f>
        <v>0</v>
      </c>
      <c r="AJ1013" s="88">
        <f>SUMIF(月間集計シート!$M$92:$M$111,$G1013,月間集計シート!S$92:S$111)*AJ$2</f>
        <v>0</v>
      </c>
      <c r="AK1013" s="88">
        <f>SUMIF(月間集計シート!$M$92:$M$111,$G1013,月間集計シート!T$92:T$111)*AK$2</f>
        <v>0</v>
      </c>
      <c r="AL1013" s="88">
        <f>SUMIF(月間集計シート!$M$113:$M$132,$G1013,月間集計シート!N$113:N$132)*AL$2</f>
        <v>0</v>
      </c>
      <c r="AM1013" s="88">
        <f>SUMIF(月間集計シート!$M$113:$M$132,$G1013,月間集計シート!O$113:O$132)*AM$2</f>
        <v>0</v>
      </c>
      <c r="AN1013" s="88">
        <f>SUMIF(月間集計シート!$M$113:$M$132,$G1013,月間集計シート!P$113:P$132)*AN$2</f>
        <v>0</v>
      </c>
      <c r="AO1013" s="88">
        <f>SUMIF(月間集計シート!$M$113:$M$132,$G1013,月間集計シート!Q$113:Q$132)*AO$2</f>
        <v>0</v>
      </c>
      <c r="AP1013" s="88">
        <f>SUMIF(月間集計シート!$M$113:$M$132,$G1013,月間集計シート!R$113:R$132)*AP$2</f>
        <v>0</v>
      </c>
      <c r="AQ1013" s="88">
        <f>SUMIF(月間集計シート!$M$113:$M$132,$G1013,月間集計シート!S$113:S$132)*AQ$2</f>
        <v>0</v>
      </c>
      <c r="AR1013" s="88">
        <f>SUMIF(月間集計シート!$M$113:$M$132,$G1013,月間集計シート!T$113:T$132)*AR$2</f>
        <v>0</v>
      </c>
      <c r="AS1013" s="88">
        <f>SUMIF(月間集計シート!$M$134:$M$153,$G1013,月間集計シート!N$134:N$153)*AS$2</f>
        <v>0</v>
      </c>
      <c r="AT1013" s="88">
        <f>SUMIF(月間集計シート!$M$134:$M$153,$G1013,月間集計シート!O$134:O$153)*AT$2</f>
        <v>0</v>
      </c>
      <c r="AU1013" s="88">
        <f>SUMIF(月間集計シート!$M$134:$M$153,$G1013,月間集計シート!P$134:P$153)*AU$2</f>
        <v>0</v>
      </c>
      <c r="AV1013" s="88">
        <f>SUMIF(月間集計シート!$M$134:$M$153,$G1013,月間集計シート!Q$134:Q$153)*AV$2</f>
        <v>0</v>
      </c>
      <c r="AW1013" s="88">
        <f>SUMIF(月間集計シート!$M$134:$M$153,$G1013,月間集計シート!R$134:R$153)*AW$2</f>
        <v>0</v>
      </c>
      <c r="AX1013" s="88">
        <f>SUMIF(月間集計シート!$M$134:$M$153,$G1013,月間集計シート!S$134:S$153)*AX$2</f>
        <v>0</v>
      </c>
      <c r="AY1013" s="88">
        <f>SUMIF(月間集計シート!$M$134:$M$153,$G1013,月間集計シート!T$134:T$153)*AY$2</f>
        <v>0</v>
      </c>
    </row>
    <row r="1014" spans="1:51" ht="14.25" thickBot="1">
      <c r="A1014">
        <v>12</v>
      </c>
      <c r="B1014" s="120">
        <f t="shared" si="523"/>
        <v>0</v>
      </c>
      <c r="C1014" s="120" t="str">
        <f t="shared" si="523"/>
        <v/>
      </c>
      <c r="D1014" s="137"/>
      <c r="E1014" s="150" t="str">
        <f>工種!A71</f>
        <v>90105</v>
      </c>
      <c r="F1014" s="119" t="str">
        <f>工種!B71</f>
        <v>管理業務：SRB管理</v>
      </c>
      <c r="G1014" s="116" t="str">
        <f t="shared" si="520"/>
        <v>090105</v>
      </c>
      <c r="H1014" s="88">
        <f t="shared" si="522"/>
        <v>0</v>
      </c>
      <c r="I1014" s="132"/>
      <c r="J1014" s="88">
        <f>SUMIF(月間集計シート!$M$29:$M$48,$G1014,月間集計シート!N$29:N$48)*J$2</f>
        <v>0</v>
      </c>
      <c r="K1014" s="88">
        <f>SUMIF(月間集計シート!$M$29:$M$48,$G1014,月間集計シート!O$29:O$48)*K$2</f>
        <v>0</v>
      </c>
      <c r="L1014" s="88">
        <f>SUMIF(月間集計シート!$M$29:$M$48,$G1014,月間集計シート!P$29:P$48)*L$2</f>
        <v>0</v>
      </c>
      <c r="M1014" s="88">
        <f>SUMIF(月間集計シート!$M$29:$M$48,$G1014,月間集計シート!Q$29:Q$48)*M$2</f>
        <v>0</v>
      </c>
      <c r="N1014" s="88">
        <f>SUMIF(月間集計シート!$M$29:$M$48,$G1014,月間集計シート!R$29:R$48)*N$2</f>
        <v>0</v>
      </c>
      <c r="O1014" s="88">
        <f>SUMIF(月間集計シート!$M$29:$M$48,$G1014,月間集計シート!S$29:S$48)*O$2</f>
        <v>0</v>
      </c>
      <c r="P1014" s="88">
        <f>SUMIF(月間集計シート!$M$29:$M$48,$G1014,月間集計シート!T$29:T$48)*P$2</f>
        <v>0</v>
      </c>
      <c r="Q1014" s="88">
        <f>SUMIF(月間集計シート!$M$50:$M$69,$G1014,月間集計シート!N$50:N$69)*Q$2</f>
        <v>0</v>
      </c>
      <c r="R1014" s="88">
        <f>SUMIF(月間集計シート!$M$50:$M$69,$G1014,月間集計シート!O$50:O$69)*R$2</f>
        <v>0</v>
      </c>
      <c r="S1014" s="88">
        <f>SUMIF(月間集計シート!$M$50:$M$69,$G1014,月間集計シート!P$50:P$69)*S$2</f>
        <v>0</v>
      </c>
      <c r="T1014" s="88">
        <f>SUMIF(月間集計シート!$M$50:$M$69,$G1014,月間集計シート!Q$50:Q$69)*T$2</f>
        <v>0</v>
      </c>
      <c r="U1014" s="88">
        <f>SUMIF(月間集計シート!$M$50:$M$69,$G1014,月間集計シート!R$50:R$69)*U$2</f>
        <v>0</v>
      </c>
      <c r="V1014" s="88">
        <f>SUMIF(月間集計シート!$M$50:$M$69,$G1014,月間集計シート!S$50:S$69)*V$2</f>
        <v>0</v>
      </c>
      <c r="W1014" s="88">
        <f>SUMIF(月間集計シート!$M$50:$M$69,$G1014,月間集計シート!T$50:T$69)*W$2</f>
        <v>0</v>
      </c>
      <c r="X1014" s="88">
        <f>SUMIF(月間集計シート!$M$71:$M$90,$G1014,月間集計シート!N$71:N$90)*X$2</f>
        <v>0</v>
      </c>
      <c r="Y1014" s="88">
        <f>SUMIF(月間集計シート!$M$71:$M$90,$G1014,月間集計シート!O$71:O$90)*Y$2</f>
        <v>0</v>
      </c>
      <c r="Z1014" s="88">
        <f>SUMIF(月間集計シート!$M$71:$M$90,$G1014,月間集計シート!P$71:P$90)*Z$2</f>
        <v>0</v>
      </c>
      <c r="AA1014" s="88">
        <f>SUMIF(月間集計シート!$M$71:$M$90,$G1014,月間集計シート!Q$71:Q$90)*AA$2</f>
        <v>0</v>
      </c>
      <c r="AB1014" s="88">
        <f>SUMIF(月間集計シート!$M$71:$M$90,$G1014,月間集計シート!R$71:R$90)*AB$2</f>
        <v>0</v>
      </c>
      <c r="AC1014" s="88">
        <f>SUMIF(月間集計シート!$M$71:$M$90,$G1014,月間集計シート!S$71:S$90)*AC$2</f>
        <v>0</v>
      </c>
      <c r="AD1014" s="88">
        <f>SUMIF(月間集計シート!$M$71:$M$90,$G1014,月間集計シート!T$71:T$90)*AD$2</f>
        <v>0</v>
      </c>
      <c r="AE1014" s="88">
        <f>SUMIF(月間集計シート!$M$92:$M$111,$G1014,月間集計シート!N$92:N$111)*AE$2</f>
        <v>0</v>
      </c>
      <c r="AF1014" s="88">
        <f>SUMIF(月間集計シート!$M$92:$M$111,$G1014,月間集計シート!O$92:O$111)*AF$2</f>
        <v>0</v>
      </c>
      <c r="AG1014" s="88">
        <f>SUMIF(月間集計シート!$M$92:$M$111,$G1014,月間集計シート!P$92:P$111)*AG$2</f>
        <v>0</v>
      </c>
      <c r="AH1014" s="88">
        <f>SUMIF(月間集計シート!$M$92:$M$111,$G1014,月間集計シート!Q$92:Q$111)*AH$2</f>
        <v>0</v>
      </c>
      <c r="AI1014" s="88">
        <f>SUMIF(月間集計シート!$M$92:$M$111,$G1014,月間集計シート!R$92:R$111)*AI$2</f>
        <v>0</v>
      </c>
      <c r="AJ1014" s="88">
        <f>SUMIF(月間集計シート!$M$92:$M$111,$G1014,月間集計シート!S$92:S$111)*AJ$2</f>
        <v>0</v>
      </c>
      <c r="AK1014" s="88">
        <f>SUMIF(月間集計シート!$M$92:$M$111,$G1014,月間集計シート!T$92:T$111)*AK$2</f>
        <v>0</v>
      </c>
      <c r="AL1014" s="88">
        <f>SUMIF(月間集計シート!$M$113:$M$132,$G1014,月間集計シート!N$113:N$132)*AL$2</f>
        <v>0</v>
      </c>
      <c r="AM1014" s="88">
        <f>SUMIF(月間集計シート!$M$113:$M$132,$G1014,月間集計シート!O$113:O$132)*AM$2</f>
        <v>0</v>
      </c>
      <c r="AN1014" s="88">
        <f>SUMIF(月間集計シート!$M$113:$M$132,$G1014,月間集計シート!P$113:P$132)*AN$2</f>
        <v>0</v>
      </c>
      <c r="AO1014" s="88">
        <f>SUMIF(月間集計シート!$M$113:$M$132,$G1014,月間集計シート!Q$113:Q$132)*AO$2</f>
        <v>0</v>
      </c>
      <c r="AP1014" s="88">
        <f>SUMIF(月間集計シート!$M$113:$M$132,$G1014,月間集計シート!R$113:R$132)*AP$2</f>
        <v>0</v>
      </c>
      <c r="AQ1014" s="88">
        <f>SUMIF(月間集計シート!$M$113:$M$132,$G1014,月間集計シート!S$113:S$132)*AQ$2</f>
        <v>0</v>
      </c>
      <c r="AR1014" s="88">
        <f>SUMIF(月間集計シート!$M$113:$M$132,$G1014,月間集計シート!T$113:T$132)*AR$2</f>
        <v>0</v>
      </c>
      <c r="AS1014" s="88">
        <f>SUMIF(月間集計シート!$M$134:$M$153,$G1014,月間集計シート!N$134:N$153)*AS$2</f>
        <v>0</v>
      </c>
      <c r="AT1014" s="88">
        <f>SUMIF(月間集計シート!$M$134:$M$153,$G1014,月間集計シート!O$134:O$153)*AT$2</f>
        <v>0</v>
      </c>
      <c r="AU1014" s="88">
        <f>SUMIF(月間集計シート!$M$134:$M$153,$G1014,月間集計シート!P$134:P$153)*AU$2</f>
        <v>0</v>
      </c>
      <c r="AV1014" s="88">
        <f>SUMIF(月間集計シート!$M$134:$M$153,$G1014,月間集計シート!Q$134:Q$153)*AV$2</f>
        <v>0</v>
      </c>
      <c r="AW1014" s="88">
        <f>SUMIF(月間集計シート!$M$134:$M$153,$G1014,月間集計シート!R$134:R$153)*AW$2</f>
        <v>0</v>
      </c>
      <c r="AX1014" s="88">
        <f>SUMIF(月間集計シート!$M$134:$M$153,$G1014,月間集計シート!S$134:S$153)*AX$2</f>
        <v>0</v>
      </c>
      <c r="AY1014" s="88">
        <f>SUMIF(月間集計シート!$M$134:$M$153,$G1014,月間集計シート!T$134:T$153)*AY$2</f>
        <v>0</v>
      </c>
    </row>
    <row r="1015" spans="1:51" ht="14.25" thickBot="1">
      <c r="A1015">
        <v>12</v>
      </c>
      <c r="B1015" s="120">
        <f t="shared" si="523"/>
        <v>0</v>
      </c>
      <c r="C1015" s="120" t="str">
        <f t="shared" si="523"/>
        <v/>
      </c>
      <c r="D1015" s="137"/>
      <c r="E1015" s="150" t="str">
        <f>工種!A72</f>
        <v>90107</v>
      </c>
      <c r="F1015" s="119" t="str">
        <f>工種!B72</f>
        <v>管理業務：開発事務作業</v>
      </c>
      <c r="G1015" s="116" t="str">
        <f t="shared" si="520"/>
        <v>090107</v>
      </c>
      <c r="H1015" s="88">
        <f t="shared" si="522"/>
        <v>0</v>
      </c>
      <c r="I1015" s="132"/>
      <c r="J1015" s="88">
        <f>SUMIF(月間集計シート!$M$29:$M$48,$G1015,月間集計シート!N$29:N$48)*J$2</f>
        <v>0</v>
      </c>
      <c r="K1015" s="88">
        <f>SUMIF(月間集計シート!$M$29:$M$48,$G1015,月間集計シート!O$29:O$48)*K$2</f>
        <v>0</v>
      </c>
      <c r="L1015" s="88">
        <f>SUMIF(月間集計シート!$M$29:$M$48,$G1015,月間集計シート!P$29:P$48)*L$2</f>
        <v>0</v>
      </c>
      <c r="M1015" s="88">
        <f>SUMIF(月間集計シート!$M$29:$M$48,$G1015,月間集計シート!Q$29:Q$48)*M$2</f>
        <v>0</v>
      </c>
      <c r="N1015" s="88">
        <f>SUMIF(月間集計シート!$M$29:$M$48,$G1015,月間集計シート!R$29:R$48)*N$2</f>
        <v>0</v>
      </c>
      <c r="O1015" s="88">
        <f>SUMIF(月間集計シート!$M$29:$M$48,$G1015,月間集計シート!S$29:S$48)*O$2</f>
        <v>0</v>
      </c>
      <c r="P1015" s="88">
        <f>SUMIF(月間集計シート!$M$29:$M$48,$G1015,月間集計シート!T$29:T$48)*P$2</f>
        <v>0</v>
      </c>
      <c r="Q1015" s="88">
        <f>SUMIF(月間集計シート!$M$50:$M$69,$G1015,月間集計シート!N$50:N$69)*Q$2</f>
        <v>0</v>
      </c>
      <c r="R1015" s="88">
        <f>SUMIF(月間集計シート!$M$50:$M$69,$G1015,月間集計シート!O$50:O$69)*R$2</f>
        <v>0</v>
      </c>
      <c r="S1015" s="88">
        <f>SUMIF(月間集計シート!$M$50:$M$69,$G1015,月間集計シート!P$50:P$69)*S$2</f>
        <v>0</v>
      </c>
      <c r="T1015" s="88">
        <f>SUMIF(月間集計シート!$M$50:$M$69,$G1015,月間集計シート!Q$50:Q$69)*T$2</f>
        <v>0</v>
      </c>
      <c r="U1015" s="88">
        <f>SUMIF(月間集計シート!$M$50:$M$69,$G1015,月間集計シート!R$50:R$69)*U$2</f>
        <v>0</v>
      </c>
      <c r="V1015" s="88">
        <f>SUMIF(月間集計シート!$M$50:$M$69,$G1015,月間集計シート!S$50:S$69)*V$2</f>
        <v>0</v>
      </c>
      <c r="W1015" s="88">
        <f>SUMIF(月間集計シート!$M$50:$M$69,$G1015,月間集計シート!T$50:T$69)*W$2</f>
        <v>0</v>
      </c>
      <c r="X1015" s="88">
        <f>SUMIF(月間集計シート!$M$71:$M$90,$G1015,月間集計シート!N$71:N$90)*X$2</f>
        <v>0</v>
      </c>
      <c r="Y1015" s="88">
        <f>SUMIF(月間集計シート!$M$71:$M$90,$G1015,月間集計シート!O$71:O$90)*Y$2</f>
        <v>0</v>
      </c>
      <c r="Z1015" s="88">
        <f>SUMIF(月間集計シート!$M$71:$M$90,$G1015,月間集計シート!P$71:P$90)*Z$2</f>
        <v>0</v>
      </c>
      <c r="AA1015" s="88">
        <f>SUMIF(月間集計シート!$M$71:$M$90,$G1015,月間集計シート!Q$71:Q$90)*AA$2</f>
        <v>0</v>
      </c>
      <c r="AB1015" s="88">
        <f>SUMIF(月間集計シート!$M$71:$M$90,$G1015,月間集計シート!R$71:R$90)*AB$2</f>
        <v>0</v>
      </c>
      <c r="AC1015" s="88">
        <f>SUMIF(月間集計シート!$M$71:$M$90,$G1015,月間集計シート!S$71:S$90)*AC$2</f>
        <v>0</v>
      </c>
      <c r="AD1015" s="88">
        <f>SUMIF(月間集計シート!$M$71:$M$90,$G1015,月間集計シート!T$71:T$90)*AD$2</f>
        <v>0</v>
      </c>
      <c r="AE1015" s="88">
        <f>SUMIF(月間集計シート!$M$92:$M$111,$G1015,月間集計シート!N$92:N$111)*AE$2</f>
        <v>0</v>
      </c>
      <c r="AF1015" s="88">
        <f>SUMIF(月間集計シート!$M$92:$M$111,$G1015,月間集計シート!O$92:O$111)*AF$2</f>
        <v>0</v>
      </c>
      <c r="AG1015" s="88">
        <f>SUMIF(月間集計シート!$M$92:$M$111,$G1015,月間集計シート!P$92:P$111)*AG$2</f>
        <v>0</v>
      </c>
      <c r="AH1015" s="88">
        <f>SUMIF(月間集計シート!$M$92:$M$111,$G1015,月間集計シート!Q$92:Q$111)*AH$2</f>
        <v>0</v>
      </c>
      <c r="AI1015" s="88">
        <f>SUMIF(月間集計シート!$M$92:$M$111,$G1015,月間集計シート!R$92:R$111)*AI$2</f>
        <v>0</v>
      </c>
      <c r="AJ1015" s="88">
        <f>SUMIF(月間集計シート!$M$92:$M$111,$G1015,月間集計シート!S$92:S$111)*AJ$2</f>
        <v>0</v>
      </c>
      <c r="AK1015" s="88">
        <f>SUMIF(月間集計シート!$M$92:$M$111,$G1015,月間集計シート!T$92:T$111)*AK$2</f>
        <v>0</v>
      </c>
      <c r="AL1015" s="88">
        <f>SUMIF(月間集計シート!$M$113:$M$132,$G1015,月間集計シート!N$113:N$132)*AL$2</f>
        <v>0</v>
      </c>
      <c r="AM1015" s="88">
        <f>SUMIF(月間集計シート!$M$113:$M$132,$G1015,月間集計シート!O$113:O$132)*AM$2</f>
        <v>0</v>
      </c>
      <c r="AN1015" s="88">
        <f>SUMIF(月間集計シート!$M$113:$M$132,$G1015,月間集計シート!P$113:P$132)*AN$2</f>
        <v>0</v>
      </c>
      <c r="AO1015" s="88">
        <f>SUMIF(月間集計シート!$M$113:$M$132,$G1015,月間集計シート!Q$113:Q$132)*AO$2</f>
        <v>0</v>
      </c>
      <c r="AP1015" s="88">
        <f>SUMIF(月間集計シート!$M$113:$M$132,$G1015,月間集計シート!R$113:R$132)*AP$2</f>
        <v>0</v>
      </c>
      <c r="AQ1015" s="88">
        <f>SUMIF(月間集計シート!$M$113:$M$132,$G1015,月間集計シート!S$113:S$132)*AQ$2</f>
        <v>0</v>
      </c>
      <c r="AR1015" s="88">
        <f>SUMIF(月間集計シート!$M$113:$M$132,$G1015,月間集計シート!T$113:T$132)*AR$2</f>
        <v>0</v>
      </c>
      <c r="AS1015" s="88">
        <f>SUMIF(月間集計シート!$M$134:$M$153,$G1015,月間集計シート!N$134:N$153)*AS$2</f>
        <v>0</v>
      </c>
      <c r="AT1015" s="88">
        <f>SUMIF(月間集計シート!$M$134:$M$153,$G1015,月間集計シート!O$134:O$153)*AT$2</f>
        <v>0</v>
      </c>
      <c r="AU1015" s="88">
        <f>SUMIF(月間集計シート!$M$134:$M$153,$G1015,月間集計シート!P$134:P$153)*AU$2</f>
        <v>0</v>
      </c>
      <c r="AV1015" s="88">
        <f>SUMIF(月間集計シート!$M$134:$M$153,$G1015,月間集計シート!Q$134:Q$153)*AV$2</f>
        <v>0</v>
      </c>
      <c r="AW1015" s="88">
        <f>SUMIF(月間集計シート!$M$134:$M$153,$G1015,月間集計シート!R$134:R$153)*AW$2</f>
        <v>0</v>
      </c>
      <c r="AX1015" s="88">
        <f>SUMIF(月間集計シート!$M$134:$M$153,$G1015,月間集計シート!S$134:S$153)*AX$2</f>
        <v>0</v>
      </c>
      <c r="AY1015" s="88">
        <f>SUMIF(月間集計シート!$M$134:$M$153,$G1015,月間集計シート!T$134:T$153)*AY$2</f>
        <v>0</v>
      </c>
    </row>
    <row r="1016" spans="1:51" ht="14.25" thickBot="1">
      <c r="A1016">
        <v>12</v>
      </c>
      <c r="B1016" s="120">
        <f t="shared" si="523"/>
        <v>0</v>
      </c>
      <c r="C1016" s="120" t="str">
        <f t="shared" si="523"/>
        <v/>
      </c>
      <c r="D1016" s="137"/>
      <c r="E1016" s="150" t="str">
        <f>工種!A73</f>
        <v>90108</v>
      </c>
      <c r="F1016" s="119" t="str">
        <f>工種!B73</f>
        <v>管理業務：外部不具合分析</v>
      </c>
      <c r="G1016" s="116" t="str">
        <f t="shared" si="520"/>
        <v>090108</v>
      </c>
      <c r="H1016" s="88">
        <f t="shared" si="522"/>
        <v>0</v>
      </c>
      <c r="I1016" s="132"/>
      <c r="J1016" s="88">
        <f>SUMIF(月間集計シート!$M$29:$M$48,$G1016,月間集計シート!N$29:N$48)*J$2</f>
        <v>0</v>
      </c>
      <c r="K1016" s="88">
        <f>SUMIF(月間集計シート!$M$29:$M$48,$G1016,月間集計シート!O$29:O$48)*K$2</f>
        <v>0</v>
      </c>
      <c r="L1016" s="88">
        <f>SUMIF(月間集計シート!$M$29:$M$48,$G1016,月間集計シート!P$29:P$48)*L$2</f>
        <v>0</v>
      </c>
      <c r="M1016" s="88">
        <f>SUMIF(月間集計シート!$M$29:$M$48,$G1016,月間集計シート!Q$29:Q$48)*M$2</f>
        <v>0</v>
      </c>
      <c r="N1016" s="88">
        <f>SUMIF(月間集計シート!$M$29:$M$48,$G1016,月間集計シート!R$29:R$48)*N$2</f>
        <v>0</v>
      </c>
      <c r="O1016" s="88">
        <f>SUMIF(月間集計シート!$M$29:$M$48,$G1016,月間集計シート!S$29:S$48)*O$2</f>
        <v>0</v>
      </c>
      <c r="P1016" s="88">
        <f>SUMIF(月間集計シート!$M$29:$M$48,$G1016,月間集計シート!T$29:T$48)*P$2</f>
        <v>0</v>
      </c>
      <c r="Q1016" s="88">
        <f>SUMIF(月間集計シート!$M$50:$M$69,$G1016,月間集計シート!N$50:N$69)*Q$2</f>
        <v>0</v>
      </c>
      <c r="R1016" s="88">
        <f>SUMIF(月間集計シート!$M$50:$M$69,$G1016,月間集計シート!O$50:O$69)*R$2</f>
        <v>0</v>
      </c>
      <c r="S1016" s="88">
        <f>SUMIF(月間集計シート!$M$50:$M$69,$G1016,月間集計シート!P$50:P$69)*S$2</f>
        <v>0</v>
      </c>
      <c r="T1016" s="88">
        <f>SUMIF(月間集計シート!$M$50:$M$69,$G1016,月間集計シート!Q$50:Q$69)*T$2</f>
        <v>0</v>
      </c>
      <c r="U1016" s="88">
        <f>SUMIF(月間集計シート!$M$50:$M$69,$G1016,月間集計シート!R$50:R$69)*U$2</f>
        <v>0</v>
      </c>
      <c r="V1016" s="88">
        <f>SUMIF(月間集計シート!$M$50:$M$69,$G1016,月間集計シート!S$50:S$69)*V$2</f>
        <v>0</v>
      </c>
      <c r="W1016" s="88">
        <f>SUMIF(月間集計シート!$M$50:$M$69,$G1016,月間集計シート!T$50:T$69)*W$2</f>
        <v>0</v>
      </c>
      <c r="X1016" s="88">
        <f>SUMIF(月間集計シート!$M$71:$M$90,$G1016,月間集計シート!N$71:N$90)*X$2</f>
        <v>0</v>
      </c>
      <c r="Y1016" s="88">
        <f>SUMIF(月間集計シート!$M$71:$M$90,$G1016,月間集計シート!O$71:O$90)*Y$2</f>
        <v>0</v>
      </c>
      <c r="Z1016" s="88">
        <f>SUMIF(月間集計シート!$M$71:$M$90,$G1016,月間集計シート!P$71:P$90)*Z$2</f>
        <v>0</v>
      </c>
      <c r="AA1016" s="88">
        <f>SUMIF(月間集計シート!$M$71:$M$90,$G1016,月間集計シート!Q$71:Q$90)*AA$2</f>
        <v>0</v>
      </c>
      <c r="AB1016" s="88">
        <f>SUMIF(月間集計シート!$M$71:$M$90,$G1016,月間集計シート!R$71:R$90)*AB$2</f>
        <v>0</v>
      </c>
      <c r="AC1016" s="88">
        <f>SUMIF(月間集計シート!$M$71:$M$90,$G1016,月間集計シート!S$71:S$90)*AC$2</f>
        <v>0</v>
      </c>
      <c r="AD1016" s="88">
        <f>SUMIF(月間集計シート!$M$71:$M$90,$G1016,月間集計シート!T$71:T$90)*AD$2</f>
        <v>0</v>
      </c>
      <c r="AE1016" s="88">
        <f>SUMIF(月間集計シート!$M$92:$M$111,$G1016,月間集計シート!N$92:N$111)*AE$2</f>
        <v>0</v>
      </c>
      <c r="AF1016" s="88">
        <f>SUMIF(月間集計シート!$M$92:$M$111,$G1016,月間集計シート!O$92:O$111)*AF$2</f>
        <v>0</v>
      </c>
      <c r="AG1016" s="88">
        <f>SUMIF(月間集計シート!$M$92:$M$111,$G1016,月間集計シート!P$92:P$111)*AG$2</f>
        <v>0</v>
      </c>
      <c r="AH1016" s="88">
        <f>SUMIF(月間集計シート!$M$92:$M$111,$G1016,月間集計シート!Q$92:Q$111)*AH$2</f>
        <v>0</v>
      </c>
      <c r="AI1016" s="88">
        <f>SUMIF(月間集計シート!$M$92:$M$111,$G1016,月間集計シート!R$92:R$111)*AI$2</f>
        <v>0</v>
      </c>
      <c r="AJ1016" s="88">
        <f>SUMIF(月間集計シート!$M$92:$M$111,$G1016,月間集計シート!S$92:S$111)*AJ$2</f>
        <v>0</v>
      </c>
      <c r="AK1016" s="88">
        <f>SUMIF(月間集計シート!$M$92:$M$111,$G1016,月間集計シート!T$92:T$111)*AK$2</f>
        <v>0</v>
      </c>
      <c r="AL1016" s="88">
        <f>SUMIF(月間集計シート!$M$113:$M$132,$G1016,月間集計シート!N$113:N$132)*AL$2</f>
        <v>0</v>
      </c>
      <c r="AM1016" s="88">
        <f>SUMIF(月間集計シート!$M$113:$M$132,$G1016,月間集計シート!O$113:O$132)*AM$2</f>
        <v>0</v>
      </c>
      <c r="AN1016" s="88">
        <f>SUMIF(月間集計シート!$M$113:$M$132,$G1016,月間集計シート!P$113:P$132)*AN$2</f>
        <v>0</v>
      </c>
      <c r="AO1016" s="88">
        <f>SUMIF(月間集計シート!$M$113:$M$132,$G1016,月間集計シート!Q$113:Q$132)*AO$2</f>
        <v>0</v>
      </c>
      <c r="AP1016" s="88">
        <f>SUMIF(月間集計シート!$M$113:$M$132,$G1016,月間集計シート!R$113:R$132)*AP$2</f>
        <v>0</v>
      </c>
      <c r="AQ1016" s="88">
        <f>SUMIF(月間集計シート!$M$113:$M$132,$G1016,月間集計シート!S$113:S$132)*AQ$2</f>
        <v>0</v>
      </c>
      <c r="AR1016" s="88">
        <f>SUMIF(月間集計シート!$M$113:$M$132,$G1016,月間集計シート!T$113:T$132)*AR$2</f>
        <v>0</v>
      </c>
      <c r="AS1016" s="88">
        <f>SUMIF(月間集計シート!$M$134:$M$153,$G1016,月間集計シート!N$134:N$153)*AS$2</f>
        <v>0</v>
      </c>
      <c r="AT1016" s="88">
        <f>SUMIF(月間集計シート!$M$134:$M$153,$G1016,月間集計シート!O$134:O$153)*AT$2</f>
        <v>0</v>
      </c>
      <c r="AU1016" s="88">
        <f>SUMIF(月間集計シート!$M$134:$M$153,$G1016,月間集計シート!P$134:P$153)*AU$2</f>
        <v>0</v>
      </c>
      <c r="AV1016" s="88">
        <f>SUMIF(月間集計シート!$M$134:$M$153,$G1016,月間集計シート!Q$134:Q$153)*AV$2</f>
        <v>0</v>
      </c>
      <c r="AW1016" s="88">
        <f>SUMIF(月間集計シート!$M$134:$M$153,$G1016,月間集計シート!R$134:R$153)*AW$2</f>
        <v>0</v>
      </c>
      <c r="AX1016" s="88">
        <f>SUMIF(月間集計シート!$M$134:$M$153,$G1016,月間集計シート!S$134:S$153)*AX$2</f>
        <v>0</v>
      </c>
      <c r="AY1016" s="88">
        <f>SUMIF(月間集計シート!$M$134:$M$153,$G1016,月間集計シート!T$134:T$153)*AY$2</f>
        <v>0</v>
      </c>
    </row>
    <row r="1017" spans="1:51" ht="14.25" thickBot="1">
      <c r="A1017">
        <v>12</v>
      </c>
      <c r="B1017" s="120">
        <f t="shared" si="523"/>
        <v>0</v>
      </c>
      <c r="C1017" s="120" t="str">
        <f t="shared" si="523"/>
        <v/>
      </c>
      <c r="D1017" s="137"/>
      <c r="E1017" s="150" t="str">
        <f>工種!A74</f>
        <v>90110</v>
      </c>
      <c r="F1017" s="119" t="str">
        <f>工種!B74</f>
        <v>管理業務：打合せ</v>
      </c>
      <c r="G1017" s="116" t="str">
        <f t="shared" si="520"/>
        <v>090110</v>
      </c>
      <c r="H1017" s="88">
        <f t="shared" si="522"/>
        <v>0</v>
      </c>
      <c r="I1017" s="132"/>
      <c r="J1017" s="88">
        <f>SUMIF(月間集計シート!$M$29:$M$48,$G1017,月間集計シート!N$29:N$48)*J$2</f>
        <v>0</v>
      </c>
      <c r="K1017" s="88">
        <f>SUMIF(月間集計シート!$M$29:$M$48,$G1017,月間集計シート!O$29:O$48)*K$2</f>
        <v>0</v>
      </c>
      <c r="L1017" s="88">
        <f>SUMIF(月間集計シート!$M$29:$M$48,$G1017,月間集計シート!P$29:P$48)*L$2</f>
        <v>0</v>
      </c>
      <c r="M1017" s="88">
        <f>SUMIF(月間集計シート!$M$29:$M$48,$G1017,月間集計シート!Q$29:Q$48)*M$2</f>
        <v>0</v>
      </c>
      <c r="N1017" s="88">
        <f>SUMIF(月間集計シート!$M$29:$M$48,$G1017,月間集計シート!R$29:R$48)*N$2</f>
        <v>0</v>
      </c>
      <c r="O1017" s="88">
        <f>SUMIF(月間集計シート!$M$29:$M$48,$G1017,月間集計シート!S$29:S$48)*O$2</f>
        <v>0</v>
      </c>
      <c r="P1017" s="88">
        <f>SUMIF(月間集計シート!$M$29:$M$48,$G1017,月間集計シート!T$29:T$48)*P$2</f>
        <v>0</v>
      </c>
      <c r="Q1017" s="88">
        <f>SUMIF(月間集計シート!$M$50:$M$69,$G1017,月間集計シート!N$50:N$69)*Q$2</f>
        <v>0</v>
      </c>
      <c r="R1017" s="88">
        <f>SUMIF(月間集計シート!$M$50:$M$69,$G1017,月間集計シート!O$50:O$69)*R$2</f>
        <v>0</v>
      </c>
      <c r="S1017" s="88">
        <f>SUMIF(月間集計シート!$M$50:$M$69,$G1017,月間集計シート!P$50:P$69)*S$2</f>
        <v>0</v>
      </c>
      <c r="T1017" s="88">
        <f>SUMIF(月間集計シート!$M$50:$M$69,$G1017,月間集計シート!Q$50:Q$69)*T$2</f>
        <v>0</v>
      </c>
      <c r="U1017" s="88">
        <f>SUMIF(月間集計シート!$M$50:$M$69,$G1017,月間集計シート!R$50:R$69)*U$2</f>
        <v>0</v>
      </c>
      <c r="V1017" s="88">
        <f>SUMIF(月間集計シート!$M$50:$M$69,$G1017,月間集計シート!S$50:S$69)*V$2</f>
        <v>0</v>
      </c>
      <c r="W1017" s="88">
        <f>SUMIF(月間集計シート!$M$50:$M$69,$G1017,月間集計シート!T$50:T$69)*W$2</f>
        <v>0</v>
      </c>
      <c r="X1017" s="88">
        <f>SUMIF(月間集計シート!$M$71:$M$90,$G1017,月間集計シート!N$71:N$90)*X$2</f>
        <v>0</v>
      </c>
      <c r="Y1017" s="88">
        <f>SUMIF(月間集計シート!$M$71:$M$90,$G1017,月間集計シート!O$71:O$90)*Y$2</f>
        <v>0</v>
      </c>
      <c r="Z1017" s="88">
        <f>SUMIF(月間集計シート!$M$71:$M$90,$G1017,月間集計シート!P$71:P$90)*Z$2</f>
        <v>0</v>
      </c>
      <c r="AA1017" s="88">
        <f>SUMIF(月間集計シート!$M$71:$M$90,$G1017,月間集計シート!Q$71:Q$90)*AA$2</f>
        <v>0</v>
      </c>
      <c r="AB1017" s="88">
        <f>SUMIF(月間集計シート!$M$71:$M$90,$G1017,月間集計シート!R$71:R$90)*AB$2</f>
        <v>0</v>
      </c>
      <c r="AC1017" s="88">
        <f>SUMIF(月間集計シート!$M$71:$M$90,$G1017,月間集計シート!S$71:S$90)*AC$2</f>
        <v>0</v>
      </c>
      <c r="AD1017" s="88">
        <f>SUMIF(月間集計シート!$M$71:$M$90,$G1017,月間集計シート!T$71:T$90)*AD$2</f>
        <v>0</v>
      </c>
      <c r="AE1017" s="88">
        <f>SUMIF(月間集計シート!$M$92:$M$111,$G1017,月間集計シート!N$92:N$111)*AE$2</f>
        <v>0</v>
      </c>
      <c r="AF1017" s="88">
        <f>SUMIF(月間集計シート!$M$92:$M$111,$G1017,月間集計シート!O$92:O$111)*AF$2</f>
        <v>0</v>
      </c>
      <c r="AG1017" s="88">
        <f>SUMIF(月間集計シート!$M$92:$M$111,$G1017,月間集計シート!P$92:P$111)*AG$2</f>
        <v>0</v>
      </c>
      <c r="AH1017" s="88">
        <f>SUMIF(月間集計シート!$M$92:$M$111,$G1017,月間集計シート!Q$92:Q$111)*AH$2</f>
        <v>0</v>
      </c>
      <c r="AI1017" s="88">
        <f>SUMIF(月間集計シート!$M$92:$M$111,$G1017,月間集計シート!R$92:R$111)*AI$2</f>
        <v>0</v>
      </c>
      <c r="AJ1017" s="88">
        <f>SUMIF(月間集計シート!$M$92:$M$111,$G1017,月間集計シート!S$92:S$111)*AJ$2</f>
        <v>0</v>
      </c>
      <c r="AK1017" s="88">
        <f>SUMIF(月間集計シート!$M$92:$M$111,$G1017,月間集計シート!T$92:T$111)*AK$2</f>
        <v>0</v>
      </c>
      <c r="AL1017" s="88">
        <f>SUMIF(月間集計シート!$M$113:$M$132,$G1017,月間集計シート!N$113:N$132)*AL$2</f>
        <v>0</v>
      </c>
      <c r="AM1017" s="88">
        <f>SUMIF(月間集計シート!$M$113:$M$132,$G1017,月間集計シート!O$113:O$132)*AM$2</f>
        <v>0</v>
      </c>
      <c r="AN1017" s="88">
        <f>SUMIF(月間集計シート!$M$113:$M$132,$G1017,月間集計シート!P$113:P$132)*AN$2</f>
        <v>0</v>
      </c>
      <c r="AO1017" s="88">
        <f>SUMIF(月間集計シート!$M$113:$M$132,$G1017,月間集計シート!Q$113:Q$132)*AO$2</f>
        <v>0</v>
      </c>
      <c r="AP1017" s="88">
        <f>SUMIF(月間集計シート!$M$113:$M$132,$G1017,月間集計シート!R$113:R$132)*AP$2</f>
        <v>0</v>
      </c>
      <c r="AQ1017" s="88">
        <f>SUMIF(月間集計シート!$M$113:$M$132,$G1017,月間集計シート!S$113:S$132)*AQ$2</f>
        <v>0</v>
      </c>
      <c r="AR1017" s="88">
        <f>SUMIF(月間集計シート!$M$113:$M$132,$G1017,月間集計シート!T$113:T$132)*AR$2</f>
        <v>0</v>
      </c>
      <c r="AS1017" s="88">
        <f>SUMIF(月間集計シート!$M$134:$M$153,$G1017,月間集計シート!N$134:N$153)*AS$2</f>
        <v>0</v>
      </c>
      <c r="AT1017" s="88">
        <f>SUMIF(月間集計シート!$M$134:$M$153,$G1017,月間集計シート!O$134:O$153)*AT$2</f>
        <v>0</v>
      </c>
      <c r="AU1017" s="88">
        <f>SUMIF(月間集計シート!$M$134:$M$153,$G1017,月間集計シート!P$134:P$153)*AU$2</f>
        <v>0</v>
      </c>
      <c r="AV1017" s="88">
        <f>SUMIF(月間集計シート!$M$134:$M$153,$G1017,月間集計シート!Q$134:Q$153)*AV$2</f>
        <v>0</v>
      </c>
      <c r="AW1017" s="88">
        <f>SUMIF(月間集計シート!$M$134:$M$153,$G1017,月間集計シート!R$134:R$153)*AW$2</f>
        <v>0</v>
      </c>
      <c r="AX1017" s="88">
        <f>SUMIF(月間集計シート!$M$134:$M$153,$G1017,月間集計シート!S$134:S$153)*AX$2</f>
        <v>0</v>
      </c>
      <c r="AY1017" s="88">
        <f>SUMIF(月間集計シート!$M$134:$M$153,$G1017,月間集計シート!T$134:T$153)*AY$2</f>
        <v>0</v>
      </c>
    </row>
    <row r="1018" spans="1:51" ht="14.25" thickBot="1">
      <c r="A1018">
        <v>12</v>
      </c>
      <c r="B1018" s="120">
        <f t="shared" si="523"/>
        <v>0</v>
      </c>
      <c r="C1018" s="120" t="str">
        <f t="shared" si="523"/>
        <v/>
      </c>
      <c r="D1018" s="137"/>
      <c r="E1018" s="150" t="str">
        <f>工種!A75</f>
        <v>90111</v>
      </c>
      <c r="F1018" s="119" t="str">
        <f>工種!B75</f>
        <v>管理業務：レビュー</v>
      </c>
      <c r="G1018" s="116" t="str">
        <f t="shared" si="520"/>
        <v>090111</v>
      </c>
      <c r="H1018" s="88">
        <f t="shared" si="522"/>
        <v>0</v>
      </c>
      <c r="I1018" s="132"/>
      <c r="J1018" s="88">
        <f>SUMIF(月間集計シート!$M$29:$M$48,$G1018,月間集計シート!N$29:N$48)*J$2</f>
        <v>0</v>
      </c>
      <c r="K1018" s="88">
        <f>SUMIF(月間集計シート!$M$29:$M$48,$G1018,月間集計シート!O$29:O$48)*K$2</f>
        <v>0</v>
      </c>
      <c r="L1018" s="88">
        <f>SUMIF(月間集計シート!$M$29:$M$48,$G1018,月間集計シート!P$29:P$48)*L$2</f>
        <v>0</v>
      </c>
      <c r="M1018" s="88">
        <f>SUMIF(月間集計シート!$M$29:$M$48,$G1018,月間集計シート!Q$29:Q$48)*M$2</f>
        <v>0</v>
      </c>
      <c r="N1018" s="88">
        <f>SUMIF(月間集計シート!$M$29:$M$48,$G1018,月間集計シート!R$29:R$48)*N$2</f>
        <v>0</v>
      </c>
      <c r="O1018" s="88">
        <f>SUMIF(月間集計シート!$M$29:$M$48,$G1018,月間集計シート!S$29:S$48)*O$2</f>
        <v>0</v>
      </c>
      <c r="P1018" s="88">
        <f>SUMIF(月間集計シート!$M$29:$M$48,$G1018,月間集計シート!T$29:T$48)*P$2</f>
        <v>0</v>
      </c>
      <c r="Q1018" s="88">
        <f>SUMIF(月間集計シート!$M$50:$M$69,$G1018,月間集計シート!N$50:N$69)*Q$2</f>
        <v>0</v>
      </c>
      <c r="R1018" s="88">
        <f>SUMIF(月間集計シート!$M$50:$M$69,$G1018,月間集計シート!O$50:O$69)*R$2</f>
        <v>0</v>
      </c>
      <c r="S1018" s="88">
        <f>SUMIF(月間集計シート!$M$50:$M$69,$G1018,月間集計シート!P$50:P$69)*S$2</f>
        <v>0</v>
      </c>
      <c r="T1018" s="88">
        <f>SUMIF(月間集計シート!$M$50:$M$69,$G1018,月間集計シート!Q$50:Q$69)*T$2</f>
        <v>0</v>
      </c>
      <c r="U1018" s="88">
        <f>SUMIF(月間集計シート!$M$50:$M$69,$G1018,月間集計シート!R$50:R$69)*U$2</f>
        <v>0</v>
      </c>
      <c r="V1018" s="88">
        <f>SUMIF(月間集計シート!$M$50:$M$69,$G1018,月間集計シート!S$50:S$69)*V$2</f>
        <v>0</v>
      </c>
      <c r="W1018" s="88">
        <f>SUMIF(月間集計シート!$M$50:$M$69,$G1018,月間集計シート!T$50:T$69)*W$2</f>
        <v>0</v>
      </c>
      <c r="X1018" s="88">
        <f>SUMIF(月間集計シート!$M$71:$M$90,$G1018,月間集計シート!N$71:N$90)*X$2</f>
        <v>0</v>
      </c>
      <c r="Y1018" s="88">
        <f>SUMIF(月間集計シート!$M$71:$M$90,$G1018,月間集計シート!O$71:O$90)*Y$2</f>
        <v>0</v>
      </c>
      <c r="Z1018" s="88">
        <f>SUMIF(月間集計シート!$M$71:$M$90,$G1018,月間集計シート!P$71:P$90)*Z$2</f>
        <v>0</v>
      </c>
      <c r="AA1018" s="88">
        <f>SUMIF(月間集計シート!$M$71:$M$90,$G1018,月間集計シート!Q$71:Q$90)*AA$2</f>
        <v>0</v>
      </c>
      <c r="AB1018" s="88">
        <f>SUMIF(月間集計シート!$M$71:$M$90,$G1018,月間集計シート!R$71:R$90)*AB$2</f>
        <v>0</v>
      </c>
      <c r="AC1018" s="88">
        <f>SUMIF(月間集計シート!$M$71:$M$90,$G1018,月間集計シート!S$71:S$90)*AC$2</f>
        <v>0</v>
      </c>
      <c r="AD1018" s="88">
        <f>SUMIF(月間集計シート!$M$71:$M$90,$G1018,月間集計シート!T$71:T$90)*AD$2</f>
        <v>0</v>
      </c>
      <c r="AE1018" s="88">
        <f>SUMIF(月間集計シート!$M$92:$M$111,$G1018,月間集計シート!N$92:N$111)*AE$2</f>
        <v>0</v>
      </c>
      <c r="AF1018" s="88">
        <f>SUMIF(月間集計シート!$M$92:$M$111,$G1018,月間集計シート!O$92:O$111)*AF$2</f>
        <v>0</v>
      </c>
      <c r="AG1018" s="88">
        <f>SUMIF(月間集計シート!$M$92:$M$111,$G1018,月間集計シート!P$92:P$111)*AG$2</f>
        <v>0</v>
      </c>
      <c r="AH1018" s="88">
        <f>SUMIF(月間集計シート!$M$92:$M$111,$G1018,月間集計シート!Q$92:Q$111)*AH$2</f>
        <v>0</v>
      </c>
      <c r="AI1018" s="88">
        <f>SUMIF(月間集計シート!$M$92:$M$111,$G1018,月間集計シート!R$92:R$111)*AI$2</f>
        <v>0</v>
      </c>
      <c r="AJ1018" s="88">
        <f>SUMIF(月間集計シート!$M$92:$M$111,$G1018,月間集計シート!S$92:S$111)*AJ$2</f>
        <v>0</v>
      </c>
      <c r="AK1018" s="88">
        <f>SUMIF(月間集計シート!$M$92:$M$111,$G1018,月間集計シート!T$92:T$111)*AK$2</f>
        <v>0</v>
      </c>
      <c r="AL1018" s="88">
        <f>SUMIF(月間集計シート!$M$113:$M$132,$G1018,月間集計シート!N$113:N$132)*AL$2</f>
        <v>0</v>
      </c>
      <c r="AM1018" s="88">
        <f>SUMIF(月間集計シート!$M$113:$M$132,$G1018,月間集計シート!O$113:O$132)*AM$2</f>
        <v>0</v>
      </c>
      <c r="AN1018" s="88">
        <f>SUMIF(月間集計シート!$M$113:$M$132,$G1018,月間集計シート!P$113:P$132)*AN$2</f>
        <v>0</v>
      </c>
      <c r="AO1018" s="88">
        <f>SUMIF(月間集計シート!$M$113:$M$132,$G1018,月間集計シート!Q$113:Q$132)*AO$2</f>
        <v>0</v>
      </c>
      <c r="AP1018" s="88">
        <f>SUMIF(月間集計シート!$M$113:$M$132,$G1018,月間集計シート!R$113:R$132)*AP$2</f>
        <v>0</v>
      </c>
      <c r="AQ1018" s="88">
        <f>SUMIF(月間集計シート!$M$113:$M$132,$G1018,月間集計シート!S$113:S$132)*AQ$2</f>
        <v>0</v>
      </c>
      <c r="AR1018" s="88">
        <f>SUMIF(月間集計シート!$M$113:$M$132,$G1018,月間集計シート!T$113:T$132)*AR$2</f>
        <v>0</v>
      </c>
      <c r="AS1018" s="88">
        <f>SUMIF(月間集計シート!$M$134:$M$153,$G1018,月間集計シート!N$134:N$153)*AS$2</f>
        <v>0</v>
      </c>
      <c r="AT1018" s="88">
        <f>SUMIF(月間集計シート!$M$134:$M$153,$G1018,月間集計シート!O$134:O$153)*AT$2</f>
        <v>0</v>
      </c>
      <c r="AU1018" s="88">
        <f>SUMIF(月間集計シート!$M$134:$M$153,$G1018,月間集計シート!P$134:P$153)*AU$2</f>
        <v>0</v>
      </c>
      <c r="AV1018" s="88">
        <f>SUMIF(月間集計シート!$M$134:$M$153,$G1018,月間集計シート!Q$134:Q$153)*AV$2</f>
        <v>0</v>
      </c>
      <c r="AW1018" s="88">
        <f>SUMIF(月間集計シート!$M$134:$M$153,$G1018,月間集計シート!R$134:R$153)*AW$2</f>
        <v>0</v>
      </c>
      <c r="AX1018" s="88">
        <f>SUMIF(月間集計シート!$M$134:$M$153,$G1018,月間集計シート!S$134:S$153)*AX$2</f>
        <v>0</v>
      </c>
      <c r="AY1018" s="88">
        <f>SUMIF(月間集計シート!$M$134:$M$153,$G1018,月間集計シート!T$134:T$153)*AY$2</f>
        <v>0</v>
      </c>
    </row>
    <row r="1019" spans="1:51" ht="14.25" thickBot="1">
      <c r="A1019">
        <v>12</v>
      </c>
      <c r="B1019" s="120">
        <f t="shared" si="523"/>
        <v>0</v>
      </c>
      <c r="C1019" s="120" t="str">
        <f t="shared" si="523"/>
        <v/>
      </c>
      <c r="D1019" s="137"/>
      <c r="E1019" s="150" t="str">
        <f>工種!A76</f>
        <v>90199</v>
      </c>
      <c r="F1019" s="119" t="str">
        <f>工種!B76</f>
        <v>管理業務：その他</v>
      </c>
      <c r="G1019" s="116" t="str">
        <f t="shared" si="520"/>
        <v>090199</v>
      </c>
      <c r="H1019" s="88">
        <f t="shared" si="522"/>
        <v>0</v>
      </c>
      <c r="I1019" s="132"/>
      <c r="J1019" s="88">
        <f>SUMIF(月間集計シート!$M$29:$M$48,$G1019,月間集計シート!N$29:N$48)*J$2</f>
        <v>0</v>
      </c>
      <c r="K1019" s="88">
        <f>SUMIF(月間集計シート!$M$29:$M$48,$G1019,月間集計シート!O$29:O$48)*K$2</f>
        <v>0</v>
      </c>
      <c r="L1019" s="88">
        <f>SUMIF(月間集計シート!$M$29:$M$48,$G1019,月間集計シート!P$29:P$48)*L$2</f>
        <v>0</v>
      </c>
      <c r="M1019" s="88">
        <f>SUMIF(月間集計シート!$M$29:$M$48,$G1019,月間集計シート!Q$29:Q$48)*M$2</f>
        <v>0</v>
      </c>
      <c r="N1019" s="88">
        <f>SUMIF(月間集計シート!$M$29:$M$48,$G1019,月間集計シート!R$29:R$48)*N$2</f>
        <v>0</v>
      </c>
      <c r="O1019" s="88">
        <f>SUMIF(月間集計シート!$M$29:$M$48,$G1019,月間集計シート!S$29:S$48)*O$2</f>
        <v>0</v>
      </c>
      <c r="P1019" s="88">
        <f>SUMIF(月間集計シート!$M$29:$M$48,$G1019,月間集計シート!T$29:T$48)*P$2</f>
        <v>0</v>
      </c>
      <c r="Q1019" s="88">
        <f>SUMIF(月間集計シート!$M$50:$M$69,$G1019,月間集計シート!N$50:N$69)*Q$2</f>
        <v>0</v>
      </c>
      <c r="R1019" s="88">
        <f>SUMIF(月間集計シート!$M$50:$M$69,$G1019,月間集計シート!O$50:O$69)*R$2</f>
        <v>0</v>
      </c>
      <c r="S1019" s="88">
        <f>SUMIF(月間集計シート!$M$50:$M$69,$G1019,月間集計シート!P$50:P$69)*S$2</f>
        <v>0</v>
      </c>
      <c r="T1019" s="88">
        <f>SUMIF(月間集計シート!$M$50:$M$69,$G1019,月間集計シート!Q$50:Q$69)*T$2</f>
        <v>0</v>
      </c>
      <c r="U1019" s="88">
        <f>SUMIF(月間集計シート!$M$50:$M$69,$G1019,月間集計シート!R$50:R$69)*U$2</f>
        <v>0</v>
      </c>
      <c r="V1019" s="88">
        <f>SUMIF(月間集計シート!$M$50:$M$69,$G1019,月間集計シート!S$50:S$69)*V$2</f>
        <v>0</v>
      </c>
      <c r="W1019" s="88">
        <f>SUMIF(月間集計シート!$M$50:$M$69,$G1019,月間集計シート!T$50:T$69)*W$2</f>
        <v>0</v>
      </c>
      <c r="X1019" s="88">
        <f>SUMIF(月間集計シート!$M$71:$M$90,$G1019,月間集計シート!N$71:N$90)*X$2</f>
        <v>0</v>
      </c>
      <c r="Y1019" s="88">
        <f>SUMIF(月間集計シート!$M$71:$M$90,$G1019,月間集計シート!O$71:O$90)*Y$2</f>
        <v>0</v>
      </c>
      <c r="Z1019" s="88">
        <f>SUMIF(月間集計シート!$M$71:$M$90,$G1019,月間集計シート!P$71:P$90)*Z$2</f>
        <v>0</v>
      </c>
      <c r="AA1019" s="88">
        <f>SUMIF(月間集計シート!$M$71:$M$90,$G1019,月間集計シート!Q$71:Q$90)*AA$2</f>
        <v>0</v>
      </c>
      <c r="AB1019" s="88">
        <f>SUMIF(月間集計シート!$M$71:$M$90,$G1019,月間集計シート!R$71:R$90)*AB$2</f>
        <v>0</v>
      </c>
      <c r="AC1019" s="88">
        <f>SUMIF(月間集計シート!$M$71:$M$90,$G1019,月間集計シート!S$71:S$90)*AC$2</f>
        <v>0</v>
      </c>
      <c r="AD1019" s="88">
        <f>SUMIF(月間集計シート!$M$71:$M$90,$G1019,月間集計シート!T$71:T$90)*AD$2</f>
        <v>0</v>
      </c>
      <c r="AE1019" s="88">
        <f>SUMIF(月間集計シート!$M$92:$M$111,$G1019,月間集計シート!N$92:N$111)*AE$2</f>
        <v>0</v>
      </c>
      <c r="AF1019" s="88">
        <f>SUMIF(月間集計シート!$M$92:$M$111,$G1019,月間集計シート!O$92:O$111)*AF$2</f>
        <v>0</v>
      </c>
      <c r="AG1019" s="88">
        <f>SUMIF(月間集計シート!$M$92:$M$111,$G1019,月間集計シート!P$92:P$111)*AG$2</f>
        <v>0</v>
      </c>
      <c r="AH1019" s="88">
        <f>SUMIF(月間集計シート!$M$92:$M$111,$G1019,月間集計シート!Q$92:Q$111)*AH$2</f>
        <v>0</v>
      </c>
      <c r="AI1019" s="88">
        <f>SUMIF(月間集計シート!$M$92:$M$111,$G1019,月間集計シート!R$92:R$111)*AI$2</f>
        <v>0</v>
      </c>
      <c r="AJ1019" s="88">
        <f>SUMIF(月間集計シート!$M$92:$M$111,$G1019,月間集計シート!S$92:S$111)*AJ$2</f>
        <v>0</v>
      </c>
      <c r="AK1019" s="88">
        <f>SUMIF(月間集計シート!$M$92:$M$111,$G1019,月間集計シート!T$92:T$111)*AK$2</f>
        <v>0</v>
      </c>
      <c r="AL1019" s="88">
        <f>SUMIF(月間集計シート!$M$113:$M$132,$G1019,月間集計シート!N$113:N$132)*AL$2</f>
        <v>0</v>
      </c>
      <c r="AM1019" s="88">
        <f>SUMIF(月間集計シート!$M$113:$M$132,$G1019,月間集計シート!O$113:O$132)*AM$2</f>
        <v>0</v>
      </c>
      <c r="AN1019" s="88">
        <f>SUMIF(月間集計シート!$M$113:$M$132,$G1019,月間集計シート!P$113:P$132)*AN$2</f>
        <v>0</v>
      </c>
      <c r="AO1019" s="88">
        <f>SUMIF(月間集計シート!$M$113:$M$132,$G1019,月間集計シート!Q$113:Q$132)*AO$2</f>
        <v>0</v>
      </c>
      <c r="AP1019" s="88">
        <f>SUMIF(月間集計シート!$M$113:$M$132,$G1019,月間集計シート!R$113:R$132)*AP$2</f>
        <v>0</v>
      </c>
      <c r="AQ1019" s="88">
        <f>SUMIF(月間集計シート!$M$113:$M$132,$G1019,月間集計シート!S$113:S$132)*AQ$2</f>
        <v>0</v>
      </c>
      <c r="AR1019" s="88">
        <f>SUMIF(月間集計シート!$M$113:$M$132,$G1019,月間集計シート!T$113:T$132)*AR$2</f>
        <v>0</v>
      </c>
      <c r="AS1019" s="88">
        <f>SUMIF(月間集計シート!$M$134:$M$153,$G1019,月間集計シート!N$134:N$153)*AS$2</f>
        <v>0</v>
      </c>
      <c r="AT1019" s="88">
        <f>SUMIF(月間集計シート!$M$134:$M$153,$G1019,月間集計シート!O$134:O$153)*AT$2</f>
        <v>0</v>
      </c>
      <c r="AU1019" s="88">
        <f>SUMIF(月間集計シート!$M$134:$M$153,$G1019,月間集計シート!P$134:P$153)*AU$2</f>
        <v>0</v>
      </c>
      <c r="AV1019" s="88">
        <f>SUMIF(月間集計シート!$M$134:$M$153,$G1019,月間集計シート!Q$134:Q$153)*AV$2</f>
        <v>0</v>
      </c>
      <c r="AW1019" s="88">
        <f>SUMIF(月間集計シート!$M$134:$M$153,$G1019,月間集計シート!R$134:R$153)*AW$2</f>
        <v>0</v>
      </c>
      <c r="AX1019" s="88">
        <f>SUMIF(月間集計シート!$M$134:$M$153,$G1019,月間集計シート!S$134:S$153)*AX$2</f>
        <v>0</v>
      </c>
      <c r="AY1019" s="88">
        <f>SUMIF(月間集計シート!$M$134:$M$153,$G1019,月間集計シート!T$134:T$153)*AY$2</f>
        <v>0</v>
      </c>
    </row>
    <row r="1020" spans="1:51" ht="14.25" thickBot="1">
      <c r="A1020">
        <v>12</v>
      </c>
      <c r="B1020" s="120">
        <f t="shared" si="523"/>
        <v>0</v>
      </c>
      <c r="C1020" s="120" t="str">
        <f t="shared" si="523"/>
        <v/>
      </c>
      <c r="D1020" s="137"/>
      <c r="E1020" s="150">
        <f>工種!A77</f>
        <v>99102</v>
      </c>
      <c r="F1020" s="119" t="str">
        <f>工種!B77</f>
        <v>間接業務：業務環境管理（PCｾｯﾄｱｯﾌﾟ等）</v>
      </c>
      <c r="G1020" s="116" t="str">
        <f t="shared" si="520"/>
        <v>099102</v>
      </c>
      <c r="H1020" s="88">
        <f t="shared" si="522"/>
        <v>0</v>
      </c>
      <c r="I1020" s="132"/>
      <c r="J1020" s="88">
        <f>SUMIF(月間集計シート!$M$29:$M$48,$G1020,月間集計シート!N$29:N$48)*J$2</f>
        <v>0</v>
      </c>
      <c r="K1020" s="88">
        <f>SUMIF(月間集計シート!$M$29:$M$48,$G1020,月間集計シート!O$29:O$48)*K$2</f>
        <v>0</v>
      </c>
      <c r="L1020" s="88">
        <f>SUMIF(月間集計シート!$M$29:$M$48,$G1020,月間集計シート!P$29:P$48)*L$2</f>
        <v>0</v>
      </c>
      <c r="M1020" s="88">
        <f>SUMIF(月間集計シート!$M$29:$M$48,$G1020,月間集計シート!Q$29:Q$48)*M$2</f>
        <v>0</v>
      </c>
      <c r="N1020" s="88">
        <f>SUMIF(月間集計シート!$M$29:$M$48,$G1020,月間集計シート!R$29:R$48)*N$2</f>
        <v>0</v>
      </c>
      <c r="O1020" s="88">
        <f>SUMIF(月間集計シート!$M$29:$M$48,$G1020,月間集計シート!S$29:S$48)*O$2</f>
        <v>0</v>
      </c>
      <c r="P1020" s="88">
        <f>SUMIF(月間集計シート!$M$29:$M$48,$G1020,月間集計シート!T$29:T$48)*P$2</f>
        <v>0</v>
      </c>
      <c r="Q1020" s="88">
        <f>SUMIF(月間集計シート!$M$50:$M$69,$G1020,月間集計シート!N$50:N$69)*Q$2</f>
        <v>0</v>
      </c>
      <c r="R1020" s="88">
        <f>SUMIF(月間集計シート!$M$50:$M$69,$G1020,月間集計シート!O$50:O$69)*R$2</f>
        <v>0</v>
      </c>
      <c r="S1020" s="88">
        <f>SUMIF(月間集計シート!$M$50:$M$69,$G1020,月間集計シート!P$50:P$69)*S$2</f>
        <v>0</v>
      </c>
      <c r="T1020" s="88">
        <f>SUMIF(月間集計シート!$M$50:$M$69,$G1020,月間集計シート!Q$50:Q$69)*T$2</f>
        <v>0</v>
      </c>
      <c r="U1020" s="88">
        <f>SUMIF(月間集計シート!$M$50:$M$69,$G1020,月間集計シート!R$50:R$69)*U$2</f>
        <v>0</v>
      </c>
      <c r="V1020" s="88">
        <f>SUMIF(月間集計シート!$M$50:$M$69,$G1020,月間集計シート!S$50:S$69)*V$2</f>
        <v>0</v>
      </c>
      <c r="W1020" s="88">
        <f>SUMIF(月間集計シート!$M$50:$M$69,$G1020,月間集計シート!T$50:T$69)*W$2</f>
        <v>0</v>
      </c>
      <c r="X1020" s="88">
        <f>SUMIF(月間集計シート!$M$71:$M$90,$G1020,月間集計シート!N$71:N$90)*X$2</f>
        <v>0</v>
      </c>
      <c r="Y1020" s="88">
        <f>SUMIF(月間集計シート!$M$71:$M$90,$G1020,月間集計シート!O$71:O$90)*Y$2</f>
        <v>0</v>
      </c>
      <c r="Z1020" s="88">
        <f>SUMIF(月間集計シート!$M$71:$M$90,$G1020,月間集計シート!P$71:P$90)*Z$2</f>
        <v>0</v>
      </c>
      <c r="AA1020" s="88">
        <f>SUMIF(月間集計シート!$M$71:$M$90,$G1020,月間集計シート!Q$71:Q$90)*AA$2</f>
        <v>0</v>
      </c>
      <c r="AB1020" s="88">
        <f>SUMIF(月間集計シート!$M$71:$M$90,$G1020,月間集計シート!R$71:R$90)*AB$2</f>
        <v>0</v>
      </c>
      <c r="AC1020" s="88">
        <f>SUMIF(月間集計シート!$M$71:$M$90,$G1020,月間集計シート!S$71:S$90)*AC$2</f>
        <v>0</v>
      </c>
      <c r="AD1020" s="88">
        <f>SUMIF(月間集計シート!$M$71:$M$90,$G1020,月間集計シート!T$71:T$90)*AD$2</f>
        <v>0</v>
      </c>
      <c r="AE1020" s="88">
        <f>SUMIF(月間集計シート!$M$92:$M$111,$G1020,月間集計シート!N$92:N$111)*AE$2</f>
        <v>0</v>
      </c>
      <c r="AF1020" s="88">
        <f>SUMIF(月間集計シート!$M$92:$M$111,$G1020,月間集計シート!O$92:O$111)*AF$2</f>
        <v>0</v>
      </c>
      <c r="AG1020" s="88">
        <f>SUMIF(月間集計シート!$M$92:$M$111,$G1020,月間集計シート!P$92:P$111)*AG$2</f>
        <v>0</v>
      </c>
      <c r="AH1020" s="88">
        <f>SUMIF(月間集計シート!$M$92:$M$111,$G1020,月間集計シート!Q$92:Q$111)*AH$2</f>
        <v>0</v>
      </c>
      <c r="AI1020" s="88">
        <f>SUMIF(月間集計シート!$M$92:$M$111,$G1020,月間集計シート!R$92:R$111)*AI$2</f>
        <v>0</v>
      </c>
      <c r="AJ1020" s="88">
        <f>SUMIF(月間集計シート!$M$92:$M$111,$G1020,月間集計シート!S$92:S$111)*AJ$2</f>
        <v>0</v>
      </c>
      <c r="AK1020" s="88">
        <f>SUMIF(月間集計シート!$M$92:$M$111,$G1020,月間集計シート!T$92:T$111)*AK$2</f>
        <v>0</v>
      </c>
      <c r="AL1020" s="88">
        <f>SUMIF(月間集計シート!$M$113:$M$132,$G1020,月間集計シート!N$113:N$132)*AL$2</f>
        <v>0</v>
      </c>
      <c r="AM1020" s="88">
        <f>SUMIF(月間集計シート!$M$113:$M$132,$G1020,月間集計シート!O$113:O$132)*AM$2</f>
        <v>0</v>
      </c>
      <c r="AN1020" s="88">
        <f>SUMIF(月間集計シート!$M$113:$M$132,$G1020,月間集計シート!P$113:P$132)*AN$2</f>
        <v>0</v>
      </c>
      <c r="AO1020" s="88">
        <f>SUMIF(月間集計シート!$M$113:$M$132,$G1020,月間集計シート!Q$113:Q$132)*AO$2</f>
        <v>0</v>
      </c>
      <c r="AP1020" s="88">
        <f>SUMIF(月間集計シート!$M$113:$M$132,$G1020,月間集計シート!R$113:R$132)*AP$2</f>
        <v>0</v>
      </c>
      <c r="AQ1020" s="88">
        <f>SUMIF(月間集計シート!$M$113:$M$132,$G1020,月間集計シート!S$113:S$132)*AQ$2</f>
        <v>0</v>
      </c>
      <c r="AR1020" s="88">
        <f>SUMIF(月間集計シート!$M$113:$M$132,$G1020,月間集計シート!T$113:T$132)*AR$2</f>
        <v>0</v>
      </c>
      <c r="AS1020" s="88">
        <f>SUMIF(月間集計シート!$M$134:$M$153,$G1020,月間集計シート!N$134:N$153)*AS$2</f>
        <v>0</v>
      </c>
      <c r="AT1020" s="88">
        <f>SUMIF(月間集計シート!$M$134:$M$153,$G1020,月間集計シート!O$134:O$153)*AT$2</f>
        <v>0</v>
      </c>
      <c r="AU1020" s="88">
        <f>SUMIF(月間集計シート!$M$134:$M$153,$G1020,月間集計シート!P$134:P$153)*AU$2</f>
        <v>0</v>
      </c>
      <c r="AV1020" s="88">
        <f>SUMIF(月間集計シート!$M$134:$M$153,$G1020,月間集計シート!Q$134:Q$153)*AV$2</f>
        <v>0</v>
      </c>
      <c r="AW1020" s="88">
        <f>SUMIF(月間集計シート!$M$134:$M$153,$G1020,月間集計シート!R$134:R$153)*AW$2</f>
        <v>0</v>
      </c>
      <c r="AX1020" s="88">
        <f>SUMIF(月間集計シート!$M$134:$M$153,$G1020,月間集計シート!S$134:S$153)*AX$2</f>
        <v>0</v>
      </c>
      <c r="AY1020" s="88">
        <f>SUMIF(月間集計シート!$M$134:$M$153,$G1020,月間集計シート!T$134:T$153)*AY$2</f>
        <v>0</v>
      </c>
    </row>
    <row r="1021" spans="1:51" ht="14.25" thickBot="1">
      <c r="A1021">
        <v>12</v>
      </c>
      <c r="B1021" s="120">
        <f t="shared" si="523"/>
        <v>0</v>
      </c>
      <c r="C1021" s="120" t="str">
        <f t="shared" si="523"/>
        <v/>
      </c>
      <c r="D1021" s="137"/>
      <c r="E1021" s="150" t="str">
        <f>工種!A78</f>
        <v>99103</v>
      </c>
      <c r="F1021" s="119" t="str">
        <f>工種!B78</f>
        <v>間接業務：標準化・業務改善作業（開発以外）</v>
      </c>
      <c r="G1021" s="116" t="str">
        <f t="shared" si="520"/>
        <v>099103</v>
      </c>
      <c r="H1021" s="88">
        <f t="shared" si="522"/>
        <v>0</v>
      </c>
      <c r="I1021" s="132"/>
      <c r="J1021" s="88">
        <f>SUMIF(月間集計シート!$M$29:$M$48,$G1021,月間集計シート!N$29:N$48)*J$2</f>
        <v>0</v>
      </c>
      <c r="K1021" s="88">
        <f>SUMIF(月間集計シート!$M$29:$M$48,$G1021,月間集計シート!O$29:O$48)*K$2</f>
        <v>0</v>
      </c>
      <c r="L1021" s="88">
        <f>SUMIF(月間集計シート!$M$29:$M$48,$G1021,月間集計シート!P$29:P$48)*L$2</f>
        <v>0</v>
      </c>
      <c r="M1021" s="88">
        <f>SUMIF(月間集計シート!$M$29:$M$48,$G1021,月間集計シート!Q$29:Q$48)*M$2</f>
        <v>0</v>
      </c>
      <c r="N1021" s="88">
        <f>SUMIF(月間集計シート!$M$29:$M$48,$G1021,月間集計シート!R$29:R$48)*N$2</f>
        <v>0</v>
      </c>
      <c r="O1021" s="88">
        <f>SUMIF(月間集計シート!$M$29:$M$48,$G1021,月間集計シート!S$29:S$48)*O$2</f>
        <v>0</v>
      </c>
      <c r="P1021" s="88">
        <f>SUMIF(月間集計シート!$M$29:$M$48,$G1021,月間集計シート!T$29:T$48)*P$2</f>
        <v>0</v>
      </c>
      <c r="Q1021" s="88">
        <f>SUMIF(月間集計シート!$M$50:$M$69,$G1021,月間集計シート!N$50:N$69)*Q$2</f>
        <v>0</v>
      </c>
      <c r="R1021" s="88">
        <f>SUMIF(月間集計シート!$M$50:$M$69,$G1021,月間集計シート!O$50:O$69)*R$2</f>
        <v>0</v>
      </c>
      <c r="S1021" s="88">
        <f>SUMIF(月間集計シート!$M$50:$M$69,$G1021,月間集計シート!P$50:P$69)*S$2</f>
        <v>0</v>
      </c>
      <c r="T1021" s="88">
        <f>SUMIF(月間集計シート!$M$50:$M$69,$G1021,月間集計シート!Q$50:Q$69)*T$2</f>
        <v>0</v>
      </c>
      <c r="U1021" s="88">
        <f>SUMIF(月間集計シート!$M$50:$M$69,$G1021,月間集計シート!R$50:R$69)*U$2</f>
        <v>0</v>
      </c>
      <c r="V1021" s="88">
        <f>SUMIF(月間集計シート!$M$50:$M$69,$G1021,月間集計シート!S$50:S$69)*V$2</f>
        <v>0</v>
      </c>
      <c r="W1021" s="88">
        <f>SUMIF(月間集計シート!$M$50:$M$69,$G1021,月間集計シート!T$50:T$69)*W$2</f>
        <v>0</v>
      </c>
      <c r="X1021" s="88">
        <f>SUMIF(月間集計シート!$M$71:$M$90,$G1021,月間集計シート!N$71:N$90)*X$2</f>
        <v>0</v>
      </c>
      <c r="Y1021" s="88">
        <f>SUMIF(月間集計シート!$M$71:$M$90,$G1021,月間集計シート!O$71:O$90)*Y$2</f>
        <v>0</v>
      </c>
      <c r="Z1021" s="88">
        <f>SUMIF(月間集計シート!$M$71:$M$90,$G1021,月間集計シート!P$71:P$90)*Z$2</f>
        <v>0</v>
      </c>
      <c r="AA1021" s="88">
        <f>SUMIF(月間集計シート!$M$71:$M$90,$G1021,月間集計シート!Q$71:Q$90)*AA$2</f>
        <v>0</v>
      </c>
      <c r="AB1021" s="88">
        <f>SUMIF(月間集計シート!$M$71:$M$90,$G1021,月間集計シート!R$71:R$90)*AB$2</f>
        <v>0</v>
      </c>
      <c r="AC1021" s="88">
        <f>SUMIF(月間集計シート!$M$71:$M$90,$G1021,月間集計シート!S$71:S$90)*AC$2</f>
        <v>0</v>
      </c>
      <c r="AD1021" s="88">
        <f>SUMIF(月間集計シート!$M$71:$M$90,$G1021,月間集計シート!T$71:T$90)*AD$2</f>
        <v>0</v>
      </c>
      <c r="AE1021" s="88">
        <f>SUMIF(月間集計シート!$M$92:$M$111,$G1021,月間集計シート!N$92:N$111)*AE$2</f>
        <v>0</v>
      </c>
      <c r="AF1021" s="88">
        <f>SUMIF(月間集計シート!$M$92:$M$111,$G1021,月間集計シート!O$92:O$111)*AF$2</f>
        <v>0</v>
      </c>
      <c r="AG1021" s="88">
        <f>SUMIF(月間集計シート!$M$92:$M$111,$G1021,月間集計シート!P$92:P$111)*AG$2</f>
        <v>0</v>
      </c>
      <c r="AH1021" s="88">
        <f>SUMIF(月間集計シート!$M$92:$M$111,$G1021,月間集計シート!Q$92:Q$111)*AH$2</f>
        <v>0</v>
      </c>
      <c r="AI1021" s="88">
        <f>SUMIF(月間集計シート!$M$92:$M$111,$G1021,月間集計シート!R$92:R$111)*AI$2</f>
        <v>0</v>
      </c>
      <c r="AJ1021" s="88">
        <f>SUMIF(月間集計シート!$M$92:$M$111,$G1021,月間集計シート!S$92:S$111)*AJ$2</f>
        <v>0</v>
      </c>
      <c r="AK1021" s="88">
        <f>SUMIF(月間集計シート!$M$92:$M$111,$G1021,月間集計シート!T$92:T$111)*AK$2</f>
        <v>0</v>
      </c>
      <c r="AL1021" s="88">
        <f>SUMIF(月間集計シート!$M$113:$M$132,$G1021,月間集計シート!N$113:N$132)*AL$2</f>
        <v>0</v>
      </c>
      <c r="AM1021" s="88">
        <f>SUMIF(月間集計シート!$M$113:$M$132,$G1021,月間集計シート!O$113:O$132)*AM$2</f>
        <v>0</v>
      </c>
      <c r="AN1021" s="88">
        <f>SUMIF(月間集計シート!$M$113:$M$132,$G1021,月間集計シート!P$113:P$132)*AN$2</f>
        <v>0</v>
      </c>
      <c r="AO1021" s="88">
        <f>SUMIF(月間集計シート!$M$113:$M$132,$G1021,月間集計シート!Q$113:Q$132)*AO$2</f>
        <v>0</v>
      </c>
      <c r="AP1021" s="88">
        <f>SUMIF(月間集計シート!$M$113:$M$132,$G1021,月間集計シート!R$113:R$132)*AP$2</f>
        <v>0</v>
      </c>
      <c r="AQ1021" s="88">
        <f>SUMIF(月間集計シート!$M$113:$M$132,$G1021,月間集計シート!S$113:S$132)*AQ$2</f>
        <v>0</v>
      </c>
      <c r="AR1021" s="88">
        <f>SUMIF(月間集計シート!$M$113:$M$132,$G1021,月間集計シート!T$113:T$132)*AR$2</f>
        <v>0</v>
      </c>
      <c r="AS1021" s="88">
        <f>SUMIF(月間集計シート!$M$134:$M$153,$G1021,月間集計シート!N$134:N$153)*AS$2</f>
        <v>0</v>
      </c>
      <c r="AT1021" s="88">
        <f>SUMIF(月間集計シート!$M$134:$M$153,$G1021,月間集計シート!O$134:O$153)*AT$2</f>
        <v>0</v>
      </c>
      <c r="AU1021" s="88">
        <f>SUMIF(月間集計シート!$M$134:$M$153,$G1021,月間集計シート!P$134:P$153)*AU$2</f>
        <v>0</v>
      </c>
      <c r="AV1021" s="88">
        <f>SUMIF(月間集計シート!$M$134:$M$153,$G1021,月間集計シート!Q$134:Q$153)*AV$2</f>
        <v>0</v>
      </c>
      <c r="AW1021" s="88">
        <f>SUMIF(月間集計シート!$M$134:$M$153,$G1021,月間集計シート!R$134:R$153)*AW$2</f>
        <v>0</v>
      </c>
      <c r="AX1021" s="88">
        <f>SUMIF(月間集計シート!$M$134:$M$153,$G1021,月間集計シート!S$134:S$153)*AX$2</f>
        <v>0</v>
      </c>
      <c r="AY1021" s="88">
        <f>SUMIF(月間集計シート!$M$134:$M$153,$G1021,月間集計シート!T$134:T$153)*AY$2</f>
        <v>0</v>
      </c>
    </row>
    <row r="1022" spans="1:51" ht="14.25" thickBot="1">
      <c r="A1022">
        <v>12</v>
      </c>
      <c r="B1022" s="120">
        <f t="shared" si="523"/>
        <v>0</v>
      </c>
      <c r="C1022" s="120" t="str">
        <f t="shared" si="523"/>
        <v/>
      </c>
      <c r="D1022" s="137"/>
      <c r="E1022" s="150" t="str">
        <f>工種!A79</f>
        <v>99104</v>
      </c>
      <c r="F1022" s="119" t="str">
        <f>工種!B79</f>
        <v>間接業務：業務の引継ぎ（開発以外）</v>
      </c>
      <c r="G1022" s="116" t="str">
        <f t="shared" si="520"/>
        <v>099104</v>
      </c>
      <c r="H1022" s="88">
        <f t="shared" si="522"/>
        <v>0</v>
      </c>
      <c r="I1022" s="132"/>
      <c r="J1022" s="88">
        <f>SUMIF(月間集計シート!$M$29:$M$48,$G1022,月間集計シート!N$29:N$48)*J$2</f>
        <v>0</v>
      </c>
      <c r="K1022" s="88">
        <f>SUMIF(月間集計シート!$M$29:$M$48,$G1022,月間集計シート!O$29:O$48)*K$2</f>
        <v>0</v>
      </c>
      <c r="L1022" s="88">
        <f>SUMIF(月間集計シート!$M$29:$M$48,$G1022,月間集計シート!P$29:P$48)*L$2</f>
        <v>0</v>
      </c>
      <c r="M1022" s="88">
        <f>SUMIF(月間集計シート!$M$29:$M$48,$G1022,月間集計シート!Q$29:Q$48)*M$2</f>
        <v>0</v>
      </c>
      <c r="N1022" s="88">
        <f>SUMIF(月間集計シート!$M$29:$M$48,$G1022,月間集計シート!R$29:R$48)*N$2</f>
        <v>0</v>
      </c>
      <c r="O1022" s="88">
        <f>SUMIF(月間集計シート!$M$29:$M$48,$G1022,月間集計シート!S$29:S$48)*O$2</f>
        <v>0</v>
      </c>
      <c r="P1022" s="88">
        <f>SUMIF(月間集計シート!$M$29:$M$48,$G1022,月間集計シート!T$29:T$48)*P$2</f>
        <v>0</v>
      </c>
      <c r="Q1022" s="88">
        <f>SUMIF(月間集計シート!$M$50:$M$69,$G1022,月間集計シート!N$50:N$69)*Q$2</f>
        <v>0</v>
      </c>
      <c r="R1022" s="88">
        <f>SUMIF(月間集計シート!$M$50:$M$69,$G1022,月間集計シート!O$50:O$69)*R$2</f>
        <v>0</v>
      </c>
      <c r="S1022" s="88">
        <f>SUMIF(月間集計シート!$M$50:$M$69,$G1022,月間集計シート!P$50:P$69)*S$2</f>
        <v>0</v>
      </c>
      <c r="T1022" s="88">
        <f>SUMIF(月間集計シート!$M$50:$M$69,$G1022,月間集計シート!Q$50:Q$69)*T$2</f>
        <v>0</v>
      </c>
      <c r="U1022" s="88">
        <f>SUMIF(月間集計シート!$M$50:$M$69,$G1022,月間集計シート!R$50:R$69)*U$2</f>
        <v>0</v>
      </c>
      <c r="V1022" s="88">
        <f>SUMIF(月間集計シート!$M$50:$M$69,$G1022,月間集計シート!S$50:S$69)*V$2</f>
        <v>0</v>
      </c>
      <c r="W1022" s="88">
        <f>SUMIF(月間集計シート!$M$50:$M$69,$G1022,月間集計シート!T$50:T$69)*W$2</f>
        <v>0</v>
      </c>
      <c r="X1022" s="88">
        <f>SUMIF(月間集計シート!$M$71:$M$90,$G1022,月間集計シート!N$71:N$90)*X$2</f>
        <v>0</v>
      </c>
      <c r="Y1022" s="88">
        <f>SUMIF(月間集計シート!$M$71:$M$90,$G1022,月間集計シート!O$71:O$90)*Y$2</f>
        <v>0</v>
      </c>
      <c r="Z1022" s="88">
        <f>SUMIF(月間集計シート!$M$71:$M$90,$G1022,月間集計シート!P$71:P$90)*Z$2</f>
        <v>0</v>
      </c>
      <c r="AA1022" s="88">
        <f>SUMIF(月間集計シート!$M$71:$M$90,$G1022,月間集計シート!Q$71:Q$90)*AA$2</f>
        <v>0</v>
      </c>
      <c r="AB1022" s="88">
        <f>SUMIF(月間集計シート!$M$71:$M$90,$G1022,月間集計シート!R$71:R$90)*AB$2</f>
        <v>0</v>
      </c>
      <c r="AC1022" s="88">
        <f>SUMIF(月間集計シート!$M$71:$M$90,$G1022,月間集計シート!S$71:S$90)*AC$2</f>
        <v>0</v>
      </c>
      <c r="AD1022" s="88">
        <f>SUMIF(月間集計シート!$M$71:$M$90,$G1022,月間集計シート!T$71:T$90)*AD$2</f>
        <v>0</v>
      </c>
      <c r="AE1022" s="88">
        <f>SUMIF(月間集計シート!$M$92:$M$111,$G1022,月間集計シート!N$92:N$111)*AE$2</f>
        <v>0</v>
      </c>
      <c r="AF1022" s="88">
        <f>SUMIF(月間集計シート!$M$92:$M$111,$G1022,月間集計シート!O$92:O$111)*AF$2</f>
        <v>0</v>
      </c>
      <c r="AG1022" s="88">
        <f>SUMIF(月間集計シート!$M$92:$M$111,$G1022,月間集計シート!P$92:P$111)*AG$2</f>
        <v>0</v>
      </c>
      <c r="AH1022" s="88">
        <f>SUMIF(月間集計シート!$M$92:$M$111,$G1022,月間集計シート!Q$92:Q$111)*AH$2</f>
        <v>0</v>
      </c>
      <c r="AI1022" s="88">
        <f>SUMIF(月間集計シート!$M$92:$M$111,$G1022,月間集計シート!R$92:R$111)*AI$2</f>
        <v>0</v>
      </c>
      <c r="AJ1022" s="88">
        <f>SUMIF(月間集計シート!$M$92:$M$111,$G1022,月間集計シート!S$92:S$111)*AJ$2</f>
        <v>0</v>
      </c>
      <c r="AK1022" s="88">
        <f>SUMIF(月間集計シート!$M$92:$M$111,$G1022,月間集計シート!T$92:T$111)*AK$2</f>
        <v>0</v>
      </c>
      <c r="AL1022" s="88">
        <f>SUMIF(月間集計シート!$M$113:$M$132,$G1022,月間集計シート!N$113:N$132)*AL$2</f>
        <v>0</v>
      </c>
      <c r="AM1022" s="88">
        <f>SUMIF(月間集計シート!$M$113:$M$132,$G1022,月間集計シート!O$113:O$132)*AM$2</f>
        <v>0</v>
      </c>
      <c r="AN1022" s="88">
        <f>SUMIF(月間集計シート!$M$113:$M$132,$G1022,月間集計シート!P$113:P$132)*AN$2</f>
        <v>0</v>
      </c>
      <c r="AO1022" s="88">
        <f>SUMIF(月間集計シート!$M$113:$M$132,$G1022,月間集計シート!Q$113:Q$132)*AO$2</f>
        <v>0</v>
      </c>
      <c r="AP1022" s="88">
        <f>SUMIF(月間集計シート!$M$113:$M$132,$G1022,月間集計シート!R$113:R$132)*AP$2</f>
        <v>0</v>
      </c>
      <c r="AQ1022" s="88">
        <f>SUMIF(月間集計シート!$M$113:$M$132,$G1022,月間集計シート!S$113:S$132)*AQ$2</f>
        <v>0</v>
      </c>
      <c r="AR1022" s="88">
        <f>SUMIF(月間集計シート!$M$113:$M$132,$G1022,月間集計シート!T$113:T$132)*AR$2</f>
        <v>0</v>
      </c>
      <c r="AS1022" s="88">
        <f>SUMIF(月間集計シート!$M$134:$M$153,$G1022,月間集計シート!N$134:N$153)*AS$2</f>
        <v>0</v>
      </c>
      <c r="AT1022" s="88">
        <f>SUMIF(月間集計シート!$M$134:$M$153,$G1022,月間集計シート!O$134:O$153)*AT$2</f>
        <v>0</v>
      </c>
      <c r="AU1022" s="88">
        <f>SUMIF(月間集計シート!$M$134:$M$153,$G1022,月間集計シート!P$134:P$153)*AU$2</f>
        <v>0</v>
      </c>
      <c r="AV1022" s="88">
        <f>SUMIF(月間集計シート!$M$134:$M$153,$G1022,月間集計シート!Q$134:Q$153)*AV$2</f>
        <v>0</v>
      </c>
      <c r="AW1022" s="88">
        <f>SUMIF(月間集計シート!$M$134:$M$153,$G1022,月間集計シート!R$134:R$153)*AW$2</f>
        <v>0</v>
      </c>
      <c r="AX1022" s="88">
        <f>SUMIF(月間集計シート!$M$134:$M$153,$G1022,月間集計シート!S$134:S$153)*AX$2</f>
        <v>0</v>
      </c>
      <c r="AY1022" s="88">
        <f>SUMIF(月間集計シート!$M$134:$M$153,$G1022,月間集計シート!T$134:T$153)*AY$2</f>
        <v>0</v>
      </c>
    </row>
    <row r="1023" spans="1:51" ht="14.25" thickBot="1">
      <c r="A1023">
        <v>12</v>
      </c>
      <c r="B1023" s="120">
        <f t="shared" si="523"/>
        <v>0</v>
      </c>
      <c r="C1023" s="120" t="str">
        <f t="shared" si="523"/>
        <v/>
      </c>
      <c r="D1023" s="137"/>
      <c r="E1023" s="150" t="str">
        <f>工種!A80</f>
        <v>99106</v>
      </c>
      <c r="F1023" s="119" t="str">
        <f>工種!B80</f>
        <v>間接業務：研修・学習</v>
      </c>
      <c r="G1023" s="116" t="str">
        <f t="shared" si="520"/>
        <v>099106</v>
      </c>
      <c r="H1023" s="88">
        <f t="shared" si="522"/>
        <v>0</v>
      </c>
      <c r="I1023" s="132"/>
      <c r="J1023" s="88">
        <f>SUMIF(月間集計シート!$M$29:$M$48,$G1023,月間集計シート!N$29:N$48)*J$2</f>
        <v>0</v>
      </c>
      <c r="K1023" s="88">
        <f>SUMIF(月間集計シート!$M$29:$M$48,$G1023,月間集計シート!O$29:O$48)*K$2</f>
        <v>0</v>
      </c>
      <c r="L1023" s="88">
        <f>SUMIF(月間集計シート!$M$29:$M$48,$G1023,月間集計シート!P$29:P$48)*L$2</f>
        <v>0</v>
      </c>
      <c r="M1023" s="88">
        <f>SUMIF(月間集計シート!$M$29:$M$48,$G1023,月間集計シート!Q$29:Q$48)*M$2</f>
        <v>0</v>
      </c>
      <c r="N1023" s="88">
        <f>SUMIF(月間集計シート!$M$29:$M$48,$G1023,月間集計シート!R$29:R$48)*N$2</f>
        <v>0</v>
      </c>
      <c r="O1023" s="88">
        <f>SUMIF(月間集計シート!$M$29:$M$48,$G1023,月間集計シート!S$29:S$48)*O$2</f>
        <v>0</v>
      </c>
      <c r="P1023" s="88">
        <f>SUMIF(月間集計シート!$M$29:$M$48,$G1023,月間集計シート!T$29:T$48)*P$2</f>
        <v>0</v>
      </c>
      <c r="Q1023" s="88">
        <f>SUMIF(月間集計シート!$M$50:$M$69,$G1023,月間集計シート!N$50:N$69)*Q$2</f>
        <v>0</v>
      </c>
      <c r="R1023" s="88">
        <f>SUMIF(月間集計シート!$M$50:$M$69,$G1023,月間集計シート!O$50:O$69)*R$2</f>
        <v>0</v>
      </c>
      <c r="S1023" s="88">
        <f>SUMIF(月間集計シート!$M$50:$M$69,$G1023,月間集計シート!P$50:P$69)*S$2</f>
        <v>0</v>
      </c>
      <c r="T1023" s="88">
        <f>SUMIF(月間集計シート!$M$50:$M$69,$G1023,月間集計シート!Q$50:Q$69)*T$2</f>
        <v>0</v>
      </c>
      <c r="U1023" s="88">
        <f>SUMIF(月間集計シート!$M$50:$M$69,$G1023,月間集計シート!R$50:R$69)*U$2</f>
        <v>0</v>
      </c>
      <c r="V1023" s="88">
        <f>SUMIF(月間集計シート!$M$50:$M$69,$G1023,月間集計シート!S$50:S$69)*V$2</f>
        <v>0</v>
      </c>
      <c r="W1023" s="88">
        <f>SUMIF(月間集計シート!$M$50:$M$69,$G1023,月間集計シート!T$50:T$69)*W$2</f>
        <v>0</v>
      </c>
      <c r="X1023" s="88">
        <f>SUMIF(月間集計シート!$M$71:$M$90,$G1023,月間集計シート!N$71:N$90)*X$2</f>
        <v>0</v>
      </c>
      <c r="Y1023" s="88">
        <f>SUMIF(月間集計シート!$M$71:$M$90,$G1023,月間集計シート!O$71:O$90)*Y$2</f>
        <v>0</v>
      </c>
      <c r="Z1023" s="88">
        <f>SUMIF(月間集計シート!$M$71:$M$90,$G1023,月間集計シート!P$71:P$90)*Z$2</f>
        <v>0</v>
      </c>
      <c r="AA1023" s="88">
        <f>SUMIF(月間集計シート!$M$71:$M$90,$G1023,月間集計シート!Q$71:Q$90)*AA$2</f>
        <v>0</v>
      </c>
      <c r="AB1023" s="88">
        <f>SUMIF(月間集計シート!$M$71:$M$90,$G1023,月間集計シート!R$71:R$90)*AB$2</f>
        <v>0</v>
      </c>
      <c r="AC1023" s="88">
        <f>SUMIF(月間集計シート!$M$71:$M$90,$G1023,月間集計シート!S$71:S$90)*AC$2</f>
        <v>0</v>
      </c>
      <c r="AD1023" s="88">
        <f>SUMIF(月間集計シート!$M$71:$M$90,$G1023,月間集計シート!T$71:T$90)*AD$2</f>
        <v>0</v>
      </c>
      <c r="AE1023" s="88">
        <f>SUMIF(月間集計シート!$M$92:$M$111,$G1023,月間集計シート!N$92:N$111)*AE$2</f>
        <v>0</v>
      </c>
      <c r="AF1023" s="88">
        <f>SUMIF(月間集計シート!$M$92:$M$111,$G1023,月間集計シート!O$92:O$111)*AF$2</f>
        <v>0</v>
      </c>
      <c r="AG1023" s="88">
        <f>SUMIF(月間集計シート!$M$92:$M$111,$G1023,月間集計シート!P$92:P$111)*AG$2</f>
        <v>0</v>
      </c>
      <c r="AH1023" s="88">
        <f>SUMIF(月間集計シート!$M$92:$M$111,$G1023,月間集計シート!Q$92:Q$111)*AH$2</f>
        <v>0</v>
      </c>
      <c r="AI1023" s="88">
        <f>SUMIF(月間集計シート!$M$92:$M$111,$G1023,月間集計シート!R$92:R$111)*AI$2</f>
        <v>0</v>
      </c>
      <c r="AJ1023" s="88">
        <f>SUMIF(月間集計シート!$M$92:$M$111,$G1023,月間集計シート!S$92:S$111)*AJ$2</f>
        <v>0</v>
      </c>
      <c r="AK1023" s="88">
        <f>SUMIF(月間集計シート!$M$92:$M$111,$G1023,月間集計シート!T$92:T$111)*AK$2</f>
        <v>0</v>
      </c>
      <c r="AL1023" s="88">
        <f>SUMIF(月間集計シート!$M$113:$M$132,$G1023,月間集計シート!N$113:N$132)*AL$2</f>
        <v>0</v>
      </c>
      <c r="AM1023" s="88">
        <f>SUMIF(月間集計シート!$M$113:$M$132,$G1023,月間集計シート!O$113:O$132)*AM$2</f>
        <v>0</v>
      </c>
      <c r="AN1023" s="88">
        <f>SUMIF(月間集計シート!$M$113:$M$132,$G1023,月間集計シート!P$113:P$132)*AN$2</f>
        <v>0</v>
      </c>
      <c r="AO1023" s="88">
        <f>SUMIF(月間集計シート!$M$113:$M$132,$G1023,月間集計シート!Q$113:Q$132)*AO$2</f>
        <v>0</v>
      </c>
      <c r="AP1023" s="88">
        <f>SUMIF(月間集計シート!$M$113:$M$132,$G1023,月間集計シート!R$113:R$132)*AP$2</f>
        <v>0</v>
      </c>
      <c r="AQ1023" s="88">
        <f>SUMIF(月間集計シート!$M$113:$M$132,$G1023,月間集計シート!S$113:S$132)*AQ$2</f>
        <v>0</v>
      </c>
      <c r="AR1023" s="88">
        <f>SUMIF(月間集計シート!$M$113:$M$132,$G1023,月間集計シート!T$113:T$132)*AR$2</f>
        <v>0</v>
      </c>
      <c r="AS1023" s="88">
        <f>SUMIF(月間集計シート!$M$134:$M$153,$G1023,月間集計シート!N$134:N$153)*AS$2</f>
        <v>0</v>
      </c>
      <c r="AT1023" s="88">
        <f>SUMIF(月間集計シート!$M$134:$M$153,$G1023,月間集計シート!O$134:O$153)*AT$2</f>
        <v>0</v>
      </c>
      <c r="AU1023" s="88">
        <f>SUMIF(月間集計シート!$M$134:$M$153,$G1023,月間集計シート!P$134:P$153)*AU$2</f>
        <v>0</v>
      </c>
      <c r="AV1023" s="88">
        <f>SUMIF(月間集計シート!$M$134:$M$153,$G1023,月間集計シート!Q$134:Q$153)*AV$2</f>
        <v>0</v>
      </c>
      <c r="AW1023" s="88">
        <f>SUMIF(月間集計シート!$M$134:$M$153,$G1023,月間集計シート!R$134:R$153)*AW$2</f>
        <v>0</v>
      </c>
      <c r="AX1023" s="88">
        <f>SUMIF(月間集計シート!$M$134:$M$153,$G1023,月間集計シート!S$134:S$153)*AX$2</f>
        <v>0</v>
      </c>
      <c r="AY1023" s="88">
        <f>SUMIF(月間集計シート!$M$134:$M$153,$G1023,月間集計シート!T$134:T$153)*AY$2</f>
        <v>0</v>
      </c>
    </row>
    <row r="1024" spans="1:51" ht="14.25" thickBot="1">
      <c r="A1024">
        <v>12</v>
      </c>
      <c r="B1024" s="120">
        <f t="shared" si="523"/>
        <v>0</v>
      </c>
      <c r="C1024" s="120" t="str">
        <f t="shared" si="523"/>
        <v/>
      </c>
      <c r="D1024" s="137"/>
      <c r="E1024" s="150" t="str">
        <f>工種!A81</f>
        <v>99107</v>
      </c>
      <c r="F1024" s="119" t="str">
        <f>工種!B81</f>
        <v>間接業務：事務作業（開発以外）</v>
      </c>
      <c r="G1024" s="116" t="str">
        <f t="shared" ref="G1024:G1025" si="524">B1024&amp;E1024</f>
        <v>099107</v>
      </c>
      <c r="H1024" s="88">
        <f t="shared" ref="H1024:H1025" si="525">SUM(J1024:AY1024)</f>
        <v>0</v>
      </c>
      <c r="I1024" s="132"/>
      <c r="J1024" s="88">
        <f>SUMIF(月間集計シート!$M$29:$M$48,$G1024,月間集計シート!N$29:N$48)*J$2</f>
        <v>0</v>
      </c>
      <c r="K1024" s="88">
        <f>SUMIF(月間集計シート!$M$29:$M$48,$G1024,月間集計シート!O$29:O$48)*K$2</f>
        <v>0</v>
      </c>
      <c r="L1024" s="88">
        <f>SUMIF(月間集計シート!$M$29:$M$48,$G1024,月間集計シート!P$29:P$48)*L$2</f>
        <v>0</v>
      </c>
      <c r="M1024" s="88">
        <f>SUMIF(月間集計シート!$M$29:$M$48,$G1024,月間集計シート!Q$29:Q$48)*M$2</f>
        <v>0</v>
      </c>
      <c r="N1024" s="88">
        <f>SUMIF(月間集計シート!$M$29:$M$48,$G1024,月間集計シート!R$29:R$48)*N$2</f>
        <v>0</v>
      </c>
      <c r="O1024" s="88">
        <f>SUMIF(月間集計シート!$M$29:$M$48,$G1024,月間集計シート!S$29:S$48)*O$2</f>
        <v>0</v>
      </c>
      <c r="P1024" s="88">
        <f>SUMIF(月間集計シート!$M$29:$M$48,$G1024,月間集計シート!T$29:T$48)*P$2</f>
        <v>0</v>
      </c>
      <c r="Q1024" s="88">
        <f>SUMIF(月間集計シート!$M$50:$M$69,$G1024,月間集計シート!N$50:N$69)*Q$2</f>
        <v>0</v>
      </c>
      <c r="R1024" s="88">
        <f>SUMIF(月間集計シート!$M$50:$M$69,$G1024,月間集計シート!O$50:O$69)*R$2</f>
        <v>0</v>
      </c>
      <c r="S1024" s="88">
        <f>SUMIF(月間集計シート!$M$50:$M$69,$G1024,月間集計シート!P$50:P$69)*S$2</f>
        <v>0</v>
      </c>
      <c r="T1024" s="88">
        <f>SUMIF(月間集計シート!$M$50:$M$69,$G1024,月間集計シート!Q$50:Q$69)*T$2</f>
        <v>0</v>
      </c>
      <c r="U1024" s="88">
        <f>SUMIF(月間集計シート!$M$50:$M$69,$G1024,月間集計シート!R$50:R$69)*U$2</f>
        <v>0</v>
      </c>
      <c r="V1024" s="88">
        <f>SUMIF(月間集計シート!$M$50:$M$69,$G1024,月間集計シート!S$50:S$69)*V$2</f>
        <v>0</v>
      </c>
      <c r="W1024" s="88">
        <f>SUMIF(月間集計シート!$M$50:$M$69,$G1024,月間集計シート!T$50:T$69)*W$2</f>
        <v>0</v>
      </c>
      <c r="X1024" s="88">
        <f>SUMIF(月間集計シート!$M$71:$M$90,$G1024,月間集計シート!N$71:N$90)*X$2</f>
        <v>0</v>
      </c>
      <c r="Y1024" s="88">
        <f>SUMIF(月間集計シート!$M$71:$M$90,$G1024,月間集計シート!O$71:O$90)*Y$2</f>
        <v>0</v>
      </c>
      <c r="Z1024" s="88">
        <f>SUMIF(月間集計シート!$M$71:$M$90,$G1024,月間集計シート!P$71:P$90)*Z$2</f>
        <v>0</v>
      </c>
      <c r="AA1024" s="88">
        <f>SUMIF(月間集計シート!$M$71:$M$90,$G1024,月間集計シート!Q$71:Q$90)*AA$2</f>
        <v>0</v>
      </c>
      <c r="AB1024" s="88">
        <f>SUMIF(月間集計シート!$M$71:$M$90,$G1024,月間集計シート!R$71:R$90)*AB$2</f>
        <v>0</v>
      </c>
      <c r="AC1024" s="88">
        <f>SUMIF(月間集計シート!$M$71:$M$90,$G1024,月間集計シート!S$71:S$90)*AC$2</f>
        <v>0</v>
      </c>
      <c r="AD1024" s="88">
        <f>SUMIF(月間集計シート!$M$71:$M$90,$G1024,月間集計シート!T$71:T$90)*AD$2</f>
        <v>0</v>
      </c>
      <c r="AE1024" s="88">
        <f>SUMIF(月間集計シート!$M$92:$M$111,$G1024,月間集計シート!N$92:N$111)*AE$2</f>
        <v>0</v>
      </c>
      <c r="AF1024" s="88">
        <f>SUMIF(月間集計シート!$M$92:$M$111,$G1024,月間集計シート!O$92:O$111)*AF$2</f>
        <v>0</v>
      </c>
      <c r="AG1024" s="88">
        <f>SUMIF(月間集計シート!$M$92:$M$111,$G1024,月間集計シート!P$92:P$111)*AG$2</f>
        <v>0</v>
      </c>
      <c r="AH1024" s="88">
        <f>SUMIF(月間集計シート!$M$92:$M$111,$G1024,月間集計シート!Q$92:Q$111)*AH$2</f>
        <v>0</v>
      </c>
      <c r="AI1024" s="88">
        <f>SUMIF(月間集計シート!$M$92:$M$111,$G1024,月間集計シート!R$92:R$111)*AI$2</f>
        <v>0</v>
      </c>
      <c r="AJ1024" s="88">
        <f>SUMIF(月間集計シート!$M$92:$M$111,$G1024,月間集計シート!S$92:S$111)*AJ$2</f>
        <v>0</v>
      </c>
      <c r="AK1024" s="88">
        <f>SUMIF(月間集計シート!$M$92:$M$111,$G1024,月間集計シート!T$92:T$111)*AK$2</f>
        <v>0</v>
      </c>
      <c r="AL1024" s="88">
        <f>SUMIF(月間集計シート!$M$113:$M$132,$G1024,月間集計シート!N$113:N$132)*AL$2</f>
        <v>0</v>
      </c>
      <c r="AM1024" s="88">
        <f>SUMIF(月間集計シート!$M$113:$M$132,$G1024,月間集計シート!O$113:O$132)*AM$2</f>
        <v>0</v>
      </c>
      <c r="AN1024" s="88">
        <f>SUMIF(月間集計シート!$M$113:$M$132,$G1024,月間集計シート!P$113:P$132)*AN$2</f>
        <v>0</v>
      </c>
      <c r="AO1024" s="88">
        <f>SUMIF(月間集計シート!$M$113:$M$132,$G1024,月間集計シート!Q$113:Q$132)*AO$2</f>
        <v>0</v>
      </c>
      <c r="AP1024" s="88">
        <f>SUMIF(月間集計シート!$M$113:$M$132,$G1024,月間集計シート!R$113:R$132)*AP$2</f>
        <v>0</v>
      </c>
      <c r="AQ1024" s="88">
        <f>SUMIF(月間集計シート!$M$113:$M$132,$G1024,月間集計シート!S$113:S$132)*AQ$2</f>
        <v>0</v>
      </c>
      <c r="AR1024" s="88">
        <f>SUMIF(月間集計シート!$M$113:$M$132,$G1024,月間集計シート!T$113:T$132)*AR$2</f>
        <v>0</v>
      </c>
      <c r="AS1024" s="88">
        <f>SUMIF(月間集計シート!$M$134:$M$153,$G1024,月間集計シート!N$134:N$153)*AS$2</f>
        <v>0</v>
      </c>
      <c r="AT1024" s="88">
        <f>SUMIF(月間集計シート!$M$134:$M$153,$G1024,月間集計シート!O$134:O$153)*AT$2</f>
        <v>0</v>
      </c>
      <c r="AU1024" s="88">
        <f>SUMIF(月間集計シート!$M$134:$M$153,$G1024,月間集計シート!P$134:P$153)*AU$2</f>
        <v>0</v>
      </c>
      <c r="AV1024" s="88">
        <f>SUMIF(月間集計シート!$M$134:$M$153,$G1024,月間集計シート!Q$134:Q$153)*AV$2</f>
        <v>0</v>
      </c>
      <c r="AW1024" s="88">
        <f>SUMIF(月間集計シート!$M$134:$M$153,$G1024,月間集計シート!R$134:R$153)*AW$2</f>
        <v>0</v>
      </c>
      <c r="AX1024" s="88">
        <f>SUMIF(月間集計シート!$M$134:$M$153,$G1024,月間集計シート!S$134:S$153)*AX$2</f>
        <v>0</v>
      </c>
      <c r="AY1024" s="88">
        <f>SUMIF(月間集計シート!$M$134:$M$153,$G1024,月間集計シート!T$134:T$153)*AY$2</f>
        <v>0</v>
      </c>
    </row>
    <row r="1025" spans="1:51" ht="14.25" thickBot="1">
      <c r="A1025">
        <v>12</v>
      </c>
      <c r="B1025" s="120">
        <f t="shared" si="523"/>
        <v>0</v>
      </c>
      <c r="C1025" s="120" t="str">
        <f t="shared" si="523"/>
        <v/>
      </c>
      <c r="D1025" s="137"/>
      <c r="E1025" s="150" t="str">
        <f>工種!A82</f>
        <v>99110</v>
      </c>
      <c r="F1025" s="119" t="str">
        <f>工種!B82</f>
        <v>間接業務：打合せ</v>
      </c>
      <c r="G1025" s="116" t="str">
        <f t="shared" si="524"/>
        <v>099110</v>
      </c>
      <c r="H1025" s="88">
        <f t="shared" si="525"/>
        <v>0</v>
      </c>
      <c r="I1025" s="132"/>
      <c r="J1025" s="88">
        <f>SUMIF(月間集計シート!$M$29:$M$48,$G1025,月間集計シート!N$29:N$48)*J$2</f>
        <v>0</v>
      </c>
      <c r="K1025" s="88">
        <f>SUMIF(月間集計シート!$M$29:$M$48,$G1025,月間集計シート!O$29:O$48)*K$2</f>
        <v>0</v>
      </c>
      <c r="L1025" s="88">
        <f>SUMIF(月間集計シート!$M$29:$M$48,$G1025,月間集計シート!P$29:P$48)*L$2</f>
        <v>0</v>
      </c>
      <c r="M1025" s="88">
        <f>SUMIF(月間集計シート!$M$29:$M$48,$G1025,月間集計シート!Q$29:Q$48)*M$2</f>
        <v>0</v>
      </c>
      <c r="N1025" s="88">
        <f>SUMIF(月間集計シート!$M$29:$M$48,$G1025,月間集計シート!R$29:R$48)*N$2</f>
        <v>0</v>
      </c>
      <c r="O1025" s="88">
        <f>SUMIF(月間集計シート!$M$29:$M$48,$G1025,月間集計シート!S$29:S$48)*O$2</f>
        <v>0</v>
      </c>
      <c r="P1025" s="88">
        <f>SUMIF(月間集計シート!$M$29:$M$48,$G1025,月間集計シート!T$29:T$48)*P$2</f>
        <v>0</v>
      </c>
      <c r="Q1025" s="88">
        <f>SUMIF(月間集計シート!$M$50:$M$69,$G1025,月間集計シート!N$50:N$69)*Q$2</f>
        <v>0</v>
      </c>
      <c r="R1025" s="88">
        <f>SUMIF(月間集計シート!$M$50:$M$69,$G1025,月間集計シート!O$50:O$69)*R$2</f>
        <v>0</v>
      </c>
      <c r="S1025" s="88">
        <f>SUMIF(月間集計シート!$M$50:$M$69,$G1025,月間集計シート!P$50:P$69)*S$2</f>
        <v>0</v>
      </c>
      <c r="T1025" s="88">
        <f>SUMIF(月間集計シート!$M$50:$M$69,$G1025,月間集計シート!Q$50:Q$69)*T$2</f>
        <v>0</v>
      </c>
      <c r="U1025" s="88">
        <f>SUMIF(月間集計シート!$M$50:$M$69,$G1025,月間集計シート!R$50:R$69)*U$2</f>
        <v>0</v>
      </c>
      <c r="V1025" s="88">
        <f>SUMIF(月間集計シート!$M$50:$M$69,$G1025,月間集計シート!S$50:S$69)*V$2</f>
        <v>0</v>
      </c>
      <c r="W1025" s="88">
        <f>SUMIF(月間集計シート!$M$50:$M$69,$G1025,月間集計シート!T$50:T$69)*W$2</f>
        <v>0</v>
      </c>
      <c r="X1025" s="88">
        <f>SUMIF(月間集計シート!$M$71:$M$90,$G1025,月間集計シート!N$71:N$90)*X$2</f>
        <v>0</v>
      </c>
      <c r="Y1025" s="88">
        <f>SUMIF(月間集計シート!$M$71:$M$90,$G1025,月間集計シート!O$71:O$90)*Y$2</f>
        <v>0</v>
      </c>
      <c r="Z1025" s="88">
        <f>SUMIF(月間集計シート!$M$71:$M$90,$G1025,月間集計シート!P$71:P$90)*Z$2</f>
        <v>0</v>
      </c>
      <c r="AA1025" s="88">
        <f>SUMIF(月間集計シート!$M$71:$M$90,$G1025,月間集計シート!Q$71:Q$90)*AA$2</f>
        <v>0</v>
      </c>
      <c r="AB1025" s="88">
        <f>SUMIF(月間集計シート!$M$71:$M$90,$G1025,月間集計シート!R$71:R$90)*AB$2</f>
        <v>0</v>
      </c>
      <c r="AC1025" s="88">
        <f>SUMIF(月間集計シート!$M$71:$M$90,$G1025,月間集計シート!S$71:S$90)*AC$2</f>
        <v>0</v>
      </c>
      <c r="AD1025" s="88">
        <f>SUMIF(月間集計シート!$M$71:$M$90,$G1025,月間集計シート!T$71:T$90)*AD$2</f>
        <v>0</v>
      </c>
      <c r="AE1025" s="88">
        <f>SUMIF(月間集計シート!$M$92:$M$111,$G1025,月間集計シート!N$92:N$111)*AE$2</f>
        <v>0</v>
      </c>
      <c r="AF1025" s="88">
        <f>SUMIF(月間集計シート!$M$92:$M$111,$G1025,月間集計シート!O$92:O$111)*AF$2</f>
        <v>0</v>
      </c>
      <c r="AG1025" s="88">
        <f>SUMIF(月間集計シート!$M$92:$M$111,$G1025,月間集計シート!P$92:P$111)*AG$2</f>
        <v>0</v>
      </c>
      <c r="AH1025" s="88">
        <f>SUMIF(月間集計シート!$M$92:$M$111,$G1025,月間集計シート!Q$92:Q$111)*AH$2</f>
        <v>0</v>
      </c>
      <c r="AI1025" s="88">
        <f>SUMIF(月間集計シート!$M$92:$M$111,$G1025,月間集計シート!R$92:R$111)*AI$2</f>
        <v>0</v>
      </c>
      <c r="AJ1025" s="88">
        <f>SUMIF(月間集計シート!$M$92:$M$111,$G1025,月間集計シート!S$92:S$111)*AJ$2</f>
        <v>0</v>
      </c>
      <c r="AK1025" s="88">
        <f>SUMIF(月間集計シート!$M$92:$M$111,$G1025,月間集計シート!T$92:T$111)*AK$2</f>
        <v>0</v>
      </c>
      <c r="AL1025" s="88">
        <f>SUMIF(月間集計シート!$M$113:$M$132,$G1025,月間集計シート!N$113:N$132)*AL$2</f>
        <v>0</v>
      </c>
      <c r="AM1025" s="88">
        <f>SUMIF(月間集計シート!$M$113:$M$132,$G1025,月間集計シート!O$113:O$132)*AM$2</f>
        <v>0</v>
      </c>
      <c r="AN1025" s="88">
        <f>SUMIF(月間集計シート!$M$113:$M$132,$G1025,月間集計シート!P$113:P$132)*AN$2</f>
        <v>0</v>
      </c>
      <c r="AO1025" s="88">
        <f>SUMIF(月間集計シート!$M$113:$M$132,$G1025,月間集計シート!Q$113:Q$132)*AO$2</f>
        <v>0</v>
      </c>
      <c r="AP1025" s="88">
        <f>SUMIF(月間集計シート!$M$113:$M$132,$G1025,月間集計シート!R$113:R$132)*AP$2</f>
        <v>0</v>
      </c>
      <c r="AQ1025" s="88">
        <f>SUMIF(月間集計シート!$M$113:$M$132,$G1025,月間集計シート!S$113:S$132)*AQ$2</f>
        <v>0</v>
      </c>
      <c r="AR1025" s="88">
        <f>SUMIF(月間集計シート!$M$113:$M$132,$G1025,月間集計シート!T$113:T$132)*AR$2</f>
        <v>0</v>
      </c>
      <c r="AS1025" s="88">
        <f>SUMIF(月間集計シート!$M$134:$M$153,$G1025,月間集計シート!N$134:N$153)*AS$2</f>
        <v>0</v>
      </c>
      <c r="AT1025" s="88">
        <f>SUMIF(月間集計シート!$M$134:$M$153,$G1025,月間集計シート!O$134:O$153)*AT$2</f>
        <v>0</v>
      </c>
      <c r="AU1025" s="88">
        <f>SUMIF(月間集計シート!$M$134:$M$153,$G1025,月間集計シート!P$134:P$153)*AU$2</f>
        <v>0</v>
      </c>
      <c r="AV1025" s="88">
        <f>SUMIF(月間集計シート!$M$134:$M$153,$G1025,月間集計シート!Q$134:Q$153)*AV$2</f>
        <v>0</v>
      </c>
      <c r="AW1025" s="88">
        <f>SUMIF(月間集計シート!$M$134:$M$153,$G1025,月間集計シート!R$134:R$153)*AW$2</f>
        <v>0</v>
      </c>
      <c r="AX1025" s="88">
        <f>SUMIF(月間集計シート!$M$134:$M$153,$G1025,月間集計シート!S$134:S$153)*AX$2</f>
        <v>0</v>
      </c>
      <c r="AY1025" s="88">
        <f>SUMIF(月間集計シート!$M$134:$M$153,$G1025,月間集計シート!T$134:T$153)*AY$2</f>
        <v>0</v>
      </c>
    </row>
    <row r="1026" spans="1:51" ht="14.25" thickBot="1">
      <c r="A1026">
        <v>12</v>
      </c>
      <c r="B1026" s="120">
        <f t="shared" si="523"/>
        <v>0</v>
      </c>
      <c r="C1026" s="120" t="str">
        <f t="shared" si="523"/>
        <v/>
      </c>
      <c r="D1026" s="137"/>
      <c r="E1026" s="150" t="str">
        <f>工種!A83</f>
        <v>99199</v>
      </c>
      <c r="F1026" s="119" t="str">
        <f>工種!B83</f>
        <v>間接業務：その他</v>
      </c>
      <c r="G1026" s="116" t="str">
        <f t="shared" si="519"/>
        <v>099199</v>
      </c>
      <c r="H1026" s="88">
        <f t="shared" si="516"/>
        <v>0</v>
      </c>
      <c r="I1026" s="132"/>
      <c r="J1026" s="88">
        <f>SUMIF(月間集計シート!$M$29:$M$48,$G1026,月間集計シート!N$29:N$48)*J$2</f>
        <v>0</v>
      </c>
      <c r="K1026" s="88">
        <f>SUMIF(月間集計シート!$M$29:$M$48,$G1026,月間集計シート!O$29:O$48)*K$2</f>
        <v>0</v>
      </c>
      <c r="L1026" s="88">
        <f>SUMIF(月間集計シート!$M$29:$M$48,$G1026,月間集計シート!P$29:P$48)*L$2</f>
        <v>0</v>
      </c>
      <c r="M1026" s="88">
        <f>SUMIF(月間集計シート!$M$29:$M$48,$G1026,月間集計シート!Q$29:Q$48)*M$2</f>
        <v>0</v>
      </c>
      <c r="N1026" s="88">
        <f>SUMIF(月間集計シート!$M$29:$M$48,$G1026,月間集計シート!R$29:R$48)*N$2</f>
        <v>0</v>
      </c>
      <c r="O1026" s="88">
        <f>SUMIF(月間集計シート!$M$29:$M$48,$G1026,月間集計シート!S$29:S$48)*O$2</f>
        <v>0</v>
      </c>
      <c r="P1026" s="88">
        <f>SUMIF(月間集計シート!$M$29:$M$48,$G1026,月間集計シート!T$29:T$48)*P$2</f>
        <v>0</v>
      </c>
      <c r="Q1026" s="88">
        <f>SUMIF(月間集計シート!$M$50:$M$69,$G1026,月間集計シート!N$50:N$69)*Q$2</f>
        <v>0</v>
      </c>
      <c r="R1026" s="88">
        <f>SUMIF(月間集計シート!$M$50:$M$69,$G1026,月間集計シート!O$50:O$69)*R$2</f>
        <v>0</v>
      </c>
      <c r="S1026" s="88">
        <f>SUMIF(月間集計シート!$M$50:$M$69,$G1026,月間集計シート!P$50:P$69)*S$2</f>
        <v>0</v>
      </c>
      <c r="T1026" s="88">
        <f>SUMIF(月間集計シート!$M$50:$M$69,$G1026,月間集計シート!Q$50:Q$69)*T$2</f>
        <v>0</v>
      </c>
      <c r="U1026" s="88">
        <f>SUMIF(月間集計シート!$M$50:$M$69,$G1026,月間集計シート!R$50:R$69)*U$2</f>
        <v>0</v>
      </c>
      <c r="V1026" s="88">
        <f>SUMIF(月間集計シート!$M$50:$M$69,$G1026,月間集計シート!S$50:S$69)*V$2</f>
        <v>0</v>
      </c>
      <c r="W1026" s="88">
        <f>SUMIF(月間集計シート!$M$50:$M$69,$G1026,月間集計シート!T$50:T$69)*W$2</f>
        <v>0</v>
      </c>
      <c r="X1026" s="88">
        <f>SUMIF(月間集計シート!$M$71:$M$90,$G1026,月間集計シート!N$71:N$90)*X$2</f>
        <v>0</v>
      </c>
      <c r="Y1026" s="88">
        <f>SUMIF(月間集計シート!$M$71:$M$90,$G1026,月間集計シート!O$71:O$90)*Y$2</f>
        <v>0</v>
      </c>
      <c r="Z1026" s="88">
        <f>SUMIF(月間集計シート!$M$71:$M$90,$G1026,月間集計シート!P$71:P$90)*Z$2</f>
        <v>0</v>
      </c>
      <c r="AA1026" s="88">
        <f>SUMIF(月間集計シート!$M$71:$M$90,$G1026,月間集計シート!Q$71:Q$90)*AA$2</f>
        <v>0</v>
      </c>
      <c r="AB1026" s="88">
        <f>SUMIF(月間集計シート!$M$71:$M$90,$G1026,月間集計シート!R$71:R$90)*AB$2</f>
        <v>0</v>
      </c>
      <c r="AC1026" s="88">
        <f>SUMIF(月間集計シート!$M$71:$M$90,$G1026,月間集計シート!S$71:S$90)*AC$2</f>
        <v>0</v>
      </c>
      <c r="AD1026" s="88">
        <f>SUMIF(月間集計シート!$M$71:$M$90,$G1026,月間集計シート!T$71:T$90)*AD$2</f>
        <v>0</v>
      </c>
      <c r="AE1026" s="88">
        <f>SUMIF(月間集計シート!$M$92:$M$111,$G1026,月間集計シート!N$92:N$111)*AE$2</f>
        <v>0</v>
      </c>
      <c r="AF1026" s="88">
        <f>SUMIF(月間集計シート!$M$92:$M$111,$G1026,月間集計シート!O$92:O$111)*AF$2</f>
        <v>0</v>
      </c>
      <c r="AG1026" s="88">
        <f>SUMIF(月間集計シート!$M$92:$M$111,$G1026,月間集計シート!P$92:P$111)*AG$2</f>
        <v>0</v>
      </c>
      <c r="AH1026" s="88">
        <f>SUMIF(月間集計シート!$M$92:$M$111,$G1026,月間集計シート!Q$92:Q$111)*AH$2</f>
        <v>0</v>
      </c>
      <c r="AI1026" s="88">
        <f>SUMIF(月間集計シート!$M$92:$M$111,$G1026,月間集計シート!R$92:R$111)*AI$2</f>
        <v>0</v>
      </c>
      <c r="AJ1026" s="88">
        <f>SUMIF(月間集計シート!$M$92:$M$111,$G1026,月間集計シート!S$92:S$111)*AJ$2</f>
        <v>0</v>
      </c>
      <c r="AK1026" s="88">
        <f>SUMIF(月間集計シート!$M$92:$M$111,$G1026,月間集計シート!T$92:T$111)*AK$2</f>
        <v>0</v>
      </c>
      <c r="AL1026" s="88">
        <f>SUMIF(月間集計シート!$M$113:$M$132,$G1026,月間集計シート!N$113:N$132)*AL$2</f>
        <v>0</v>
      </c>
      <c r="AM1026" s="88">
        <f>SUMIF(月間集計シート!$M$113:$M$132,$G1026,月間集計シート!O$113:O$132)*AM$2</f>
        <v>0</v>
      </c>
      <c r="AN1026" s="88">
        <f>SUMIF(月間集計シート!$M$113:$M$132,$G1026,月間集計シート!P$113:P$132)*AN$2</f>
        <v>0</v>
      </c>
      <c r="AO1026" s="88">
        <f>SUMIF(月間集計シート!$M$113:$M$132,$G1026,月間集計シート!Q$113:Q$132)*AO$2</f>
        <v>0</v>
      </c>
      <c r="AP1026" s="88">
        <f>SUMIF(月間集計シート!$M$113:$M$132,$G1026,月間集計シート!R$113:R$132)*AP$2</f>
        <v>0</v>
      </c>
      <c r="AQ1026" s="88">
        <f>SUMIF(月間集計シート!$M$113:$M$132,$G1026,月間集計シート!S$113:S$132)*AQ$2</f>
        <v>0</v>
      </c>
      <c r="AR1026" s="88">
        <f>SUMIF(月間集計シート!$M$113:$M$132,$G1026,月間集計シート!T$113:T$132)*AR$2</f>
        <v>0</v>
      </c>
      <c r="AS1026" s="88">
        <f>SUMIF(月間集計シート!$M$134:$M$153,$G1026,月間集計シート!N$134:N$153)*AS$2</f>
        <v>0</v>
      </c>
      <c r="AT1026" s="88">
        <f>SUMIF(月間集計シート!$M$134:$M$153,$G1026,月間集計シート!O$134:O$153)*AT$2</f>
        <v>0</v>
      </c>
      <c r="AU1026" s="88">
        <f>SUMIF(月間集計シート!$M$134:$M$153,$G1026,月間集計シート!P$134:P$153)*AU$2</f>
        <v>0</v>
      </c>
      <c r="AV1026" s="88">
        <f>SUMIF(月間集計シート!$M$134:$M$153,$G1026,月間集計シート!Q$134:Q$153)*AV$2</f>
        <v>0</v>
      </c>
      <c r="AW1026" s="88">
        <f>SUMIF(月間集計シート!$M$134:$M$153,$G1026,月間集計シート!R$134:R$153)*AW$2</f>
        <v>0</v>
      </c>
      <c r="AX1026" s="88">
        <f>SUMIF(月間集計シート!$M$134:$M$153,$G1026,月間集計シート!S$134:S$153)*AX$2</f>
        <v>0</v>
      </c>
      <c r="AY1026" s="88">
        <f>SUMIF(月間集計シート!$M$134:$M$153,$G1026,月間集計シート!T$134:T$153)*AY$2</f>
        <v>0</v>
      </c>
    </row>
    <row r="1027" spans="1:51">
      <c r="B1027" s="120"/>
      <c r="C1027" s="120"/>
      <c r="D1027" s="127"/>
      <c r="E1027" s="115"/>
      <c r="F1027" s="119"/>
      <c r="G1027" s="116"/>
      <c r="H1027" s="88"/>
      <c r="I1027" s="132"/>
      <c r="J1027" s="88"/>
      <c r="K1027" s="88"/>
      <c r="L1027" s="88"/>
      <c r="M1027" s="88"/>
      <c r="N1027" s="88"/>
      <c r="O1027" s="88"/>
      <c r="P1027" s="88"/>
      <c r="Q1027" s="88"/>
      <c r="R1027" s="88"/>
      <c r="S1027" s="88"/>
      <c r="T1027" s="88"/>
      <c r="U1027" s="88"/>
      <c r="V1027" s="88"/>
      <c r="W1027" s="88"/>
      <c r="X1027" s="88"/>
      <c r="Y1027" s="88"/>
      <c r="Z1027" s="88"/>
      <c r="AA1027" s="88"/>
      <c r="AB1027" s="88"/>
      <c r="AC1027" s="88"/>
      <c r="AD1027" s="88"/>
      <c r="AE1027" s="88"/>
      <c r="AF1027" s="88"/>
      <c r="AG1027" s="88"/>
      <c r="AH1027" s="88"/>
      <c r="AI1027" s="88"/>
      <c r="AJ1027" s="88"/>
      <c r="AK1027" s="88"/>
      <c r="AL1027" s="88"/>
      <c r="AM1027" s="88"/>
      <c r="AN1027" s="88"/>
      <c r="AO1027" s="88"/>
      <c r="AP1027" s="88"/>
      <c r="AQ1027" s="88"/>
      <c r="AR1027" s="88"/>
      <c r="AS1027" s="88"/>
      <c r="AT1027" s="88"/>
      <c r="AU1027" s="88"/>
      <c r="AV1027" s="88"/>
      <c r="AW1027" s="88"/>
      <c r="AX1027" s="88"/>
      <c r="AY1027" s="88"/>
    </row>
    <row r="1028" spans="1:51" ht="14.25" thickBot="1">
      <c r="A1028">
        <v>13</v>
      </c>
      <c r="B1028">
        <f>月間集計シート!I16</f>
        <v>0</v>
      </c>
      <c r="C1028" s="116" t="str">
        <f>月間集計シート!J16</f>
        <v/>
      </c>
      <c r="D1028" s="147">
        <v>1</v>
      </c>
      <c r="E1028" s="115" t="s">
        <v>451</v>
      </c>
      <c r="F1028" s="119" t="s">
        <v>29</v>
      </c>
      <c r="G1028" s="116"/>
      <c r="H1028" s="88">
        <f t="shared" si="516"/>
        <v>0</v>
      </c>
      <c r="I1028" s="132"/>
      <c r="J1028" s="88">
        <f>SUM(J1030:J1111)</f>
        <v>0</v>
      </c>
      <c r="K1028" s="88">
        <f t="shared" ref="K1028:AY1028" si="526">SUM(K1030:K1111)</f>
        <v>0</v>
      </c>
      <c r="L1028" s="88">
        <f t="shared" si="526"/>
        <v>0</v>
      </c>
      <c r="M1028" s="88">
        <f t="shared" si="526"/>
        <v>0</v>
      </c>
      <c r="N1028" s="88">
        <f t="shared" si="526"/>
        <v>0</v>
      </c>
      <c r="O1028" s="88">
        <f t="shared" si="526"/>
        <v>0</v>
      </c>
      <c r="P1028" s="88">
        <f t="shared" si="526"/>
        <v>0</v>
      </c>
      <c r="Q1028" s="88">
        <f t="shared" si="526"/>
        <v>0</v>
      </c>
      <c r="R1028" s="88">
        <f t="shared" si="526"/>
        <v>0</v>
      </c>
      <c r="S1028" s="88">
        <f t="shared" si="526"/>
        <v>0</v>
      </c>
      <c r="T1028" s="88">
        <f t="shared" si="526"/>
        <v>0</v>
      </c>
      <c r="U1028" s="88">
        <f t="shared" si="526"/>
        <v>0</v>
      </c>
      <c r="V1028" s="88">
        <f t="shared" si="526"/>
        <v>0</v>
      </c>
      <c r="W1028" s="88">
        <f t="shared" si="526"/>
        <v>0</v>
      </c>
      <c r="X1028" s="88">
        <f t="shared" si="526"/>
        <v>0</v>
      </c>
      <c r="Y1028" s="88">
        <f t="shared" si="526"/>
        <v>0</v>
      </c>
      <c r="Z1028" s="88">
        <f t="shared" si="526"/>
        <v>0</v>
      </c>
      <c r="AA1028" s="88">
        <f t="shared" si="526"/>
        <v>0</v>
      </c>
      <c r="AB1028" s="88">
        <f t="shared" si="526"/>
        <v>0</v>
      </c>
      <c r="AC1028" s="88">
        <f t="shared" si="526"/>
        <v>0</v>
      </c>
      <c r="AD1028" s="88">
        <f t="shared" si="526"/>
        <v>0</v>
      </c>
      <c r="AE1028" s="88">
        <f t="shared" si="526"/>
        <v>0</v>
      </c>
      <c r="AF1028" s="88">
        <f t="shared" si="526"/>
        <v>0</v>
      </c>
      <c r="AG1028" s="88">
        <f t="shared" si="526"/>
        <v>0</v>
      </c>
      <c r="AH1028" s="88">
        <f t="shared" si="526"/>
        <v>0</v>
      </c>
      <c r="AI1028" s="88">
        <f t="shared" si="526"/>
        <v>0</v>
      </c>
      <c r="AJ1028" s="88">
        <f t="shared" si="526"/>
        <v>0</v>
      </c>
      <c r="AK1028" s="88">
        <f t="shared" si="526"/>
        <v>0</v>
      </c>
      <c r="AL1028" s="88">
        <f t="shared" si="526"/>
        <v>0</v>
      </c>
      <c r="AM1028" s="88">
        <f t="shared" si="526"/>
        <v>0</v>
      </c>
      <c r="AN1028" s="88">
        <f t="shared" si="526"/>
        <v>0</v>
      </c>
      <c r="AO1028" s="88">
        <f t="shared" si="526"/>
        <v>0</v>
      </c>
      <c r="AP1028" s="88">
        <f t="shared" si="526"/>
        <v>0</v>
      </c>
      <c r="AQ1028" s="88">
        <f t="shared" si="526"/>
        <v>0</v>
      </c>
      <c r="AR1028" s="88">
        <f t="shared" si="526"/>
        <v>0</v>
      </c>
      <c r="AS1028" s="88">
        <f t="shared" si="526"/>
        <v>0</v>
      </c>
      <c r="AT1028" s="88">
        <f t="shared" si="526"/>
        <v>0</v>
      </c>
      <c r="AU1028" s="88">
        <f t="shared" si="526"/>
        <v>0</v>
      </c>
      <c r="AV1028" s="88">
        <f t="shared" si="526"/>
        <v>0</v>
      </c>
      <c r="AW1028" s="88">
        <f t="shared" si="526"/>
        <v>0</v>
      </c>
      <c r="AX1028" s="88">
        <f t="shared" si="526"/>
        <v>0</v>
      </c>
      <c r="AY1028" s="88">
        <f t="shared" si="526"/>
        <v>0</v>
      </c>
    </row>
    <row r="1029" spans="1:51" ht="14.25" customHeight="1" thickBot="1">
      <c r="A1029">
        <v>13</v>
      </c>
      <c r="B1029">
        <f>B1028</f>
        <v>0</v>
      </c>
      <c r="C1029" s="116" t="str">
        <f>C1028</f>
        <v/>
      </c>
      <c r="D1029" s="147">
        <v>1</v>
      </c>
      <c r="E1029" s="115" t="s">
        <v>453</v>
      </c>
      <c r="F1029" s="119" t="s">
        <v>454</v>
      </c>
      <c r="G1029" s="116"/>
      <c r="H1029" s="129">
        <f t="shared" ref="H1029" si="527">SUM(J1029:AY1029)</f>
        <v>0</v>
      </c>
      <c r="I1029" s="132"/>
      <c r="J1029" s="88">
        <f>SUMIF($D1030:$D1111,1,J1030:J1111)</f>
        <v>0</v>
      </c>
      <c r="K1029" s="88">
        <f t="shared" ref="K1029" si="528">SUMIF($D1030:$D1111,1,K1030:K1111)</f>
        <v>0</v>
      </c>
      <c r="L1029" s="88">
        <f t="shared" ref="L1029" si="529">SUMIF($D1030:$D1111,1,L1030:L1111)</f>
        <v>0</v>
      </c>
      <c r="M1029" s="88">
        <f t="shared" ref="M1029" si="530">SUMIF($D1030:$D1111,1,M1030:M1111)</f>
        <v>0</v>
      </c>
      <c r="N1029" s="88">
        <f t="shared" ref="N1029" si="531">SUMIF($D1030:$D1111,1,N1030:N1111)</f>
        <v>0</v>
      </c>
      <c r="O1029" s="88">
        <f t="shared" ref="O1029" si="532">SUMIF($D1030:$D1111,1,O1030:O1111)</f>
        <v>0</v>
      </c>
      <c r="P1029" s="88">
        <f t="shared" ref="P1029" si="533">SUMIF($D1030:$D1111,1,P1030:P1111)</f>
        <v>0</v>
      </c>
      <c r="Q1029" s="88">
        <f t="shared" ref="Q1029" si="534">SUMIF($D1030:$D1111,1,Q1030:Q1111)</f>
        <v>0</v>
      </c>
      <c r="R1029" s="88">
        <f t="shared" ref="R1029" si="535">SUMIF($D1030:$D1111,1,R1030:R1111)</f>
        <v>0</v>
      </c>
      <c r="S1029" s="88">
        <f t="shared" ref="S1029" si="536">SUMIF($D1030:$D1111,1,S1030:S1111)</f>
        <v>0</v>
      </c>
      <c r="T1029" s="88">
        <f t="shared" ref="T1029" si="537">SUMIF($D1030:$D1111,1,T1030:T1111)</f>
        <v>0</v>
      </c>
      <c r="U1029" s="88">
        <f t="shared" ref="U1029" si="538">SUMIF($D1030:$D1111,1,U1030:U1111)</f>
        <v>0</v>
      </c>
      <c r="V1029" s="88">
        <f t="shared" ref="V1029" si="539">SUMIF($D1030:$D1111,1,V1030:V1111)</f>
        <v>0</v>
      </c>
      <c r="W1029" s="88">
        <f t="shared" ref="W1029" si="540">SUMIF($D1030:$D1111,1,W1030:W1111)</f>
        <v>0</v>
      </c>
      <c r="X1029" s="88">
        <f t="shared" ref="X1029" si="541">SUMIF($D1030:$D1111,1,X1030:X1111)</f>
        <v>0</v>
      </c>
      <c r="Y1029" s="88">
        <f t="shared" ref="Y1029" si="542">SUMIF($D1030:$D1111,1,Y1030:Y1111)</f>
        <v>0</v>
      </c>
      <c r="Z1029" s="88">
        <f t="shared" ref="Z1029" si="543">SUMIF($D1030:$D1111,1,Z1030:Z1111)</f>
        <v>0</v>
      </c>
      <c r="AA1029" s="88">
        <f t="shared" ref="AA1029" si="544">SUMIF($D1030:$D1111,1,AA1030:AA1111)</f>
        <v>0</v>
      </c>
      <c r="AB1029" s="88">
        <f t="shared" ref="AB1029" si="545">SUMIF($D1030:$D1111,1,AB1030:AB1111)</f>
        <v>0</v>
      </c>
      <c r="AC1029" s="88">
        <f t="shared" ref="AC1029" si="546">SUMIF($D1030:$D1111,1,AC1030:AC1111)</f>
        <v>0</v>
      </c>
      <c r="AD1029" s="88">
        <f t="shared" ref="AD1029" si="547">SUMIF($D1030:$D1111,1,AD1030:AD1111)</f>
        <v>0</v>
      </c>
      <c r="AE1029" s="88">
        <f t="shared" ref="AE1029" si="548">SUMIF($D1030:$D1111,1,AE1030:AE1111)</f>
        <v>0</v>
      </c>
      <c r="AF1029" s="88">
        <f t="shared" ref="AF1029" si="549">SUMIF($D1030:$D1111,1,AF1030:AF1111)</f>
        <v>0</v>
      </c>
      <c r="AG1029" s="88">
        <f t="shared" ref="AG1029" si="550">SUMIF($D1030:$D1111,1,AG1030:AG1111)</f>
        <v>0</v>
      </c>
      <c r="AH1029" s="88">
        <f t="shared" ref="AH1029" si="551">SUMIF($D1030:$D1111,1,AH1030:AH1111)</f>
        <v>0</v>
      </c>
      <c r="AI1029" s="88">
        <f t="shared" ref="AI1029" si="552">SUMIF($D1030:$D1111,1,AI1030:AI1111)</f>
        <v>0</v>
      </c>
      <c r="AJ1029" s="88">
        <f t="shared" ref="AJ1029" si="553">SUMIF($D1030:$D1111,1,AJ1030:AJ1111)</f>
        <v>0</v>
      </c>
      <c r="AK1029" s="88">
        <f t="shared" ref="AK1029" si="554">SUMIF($D1030:$D1111,1,AK1030:AK1111)</f>
        <v>0</v>
      </c>
      <c r="AL1029" s="88">
        <f t="shared" ref="AL1029" si="555">SUMIF($D1030:$D1111,1,AL1030:AL1111)</f>
        <v>0</v>
      </c>
      <c r="AM1029" s="88">
        <f t="shared" ref="AM1029" si="556">SUMIF($D1030:$D1111,1,AM1030:AM1111)</f>
        <v>0</v>
      </c>
      <c r="AN1029" s="88">
        <f t="shared" ref="AN1029" si="557">SUMIF($D1030:$D1111,1,AN1030:AN1111)</f>
        <v>0</v>
      </c>
      <c r="AO1029" s="88">
        <f t="shared" ref="AO1029" si="558">SUMIF($D1030:$D1111,1,AO1030:AO1111)</f>
        <v>0</v>
      </c>
      <c r="AP1029" s="88">
        <f t="shared" ref="AP1029" si="559">SUMIF($D1030:$D1111,1,AP1030:AP1111)</f>
        <v>0</v>
      </c>
      <c r="AQ1029" s="88">
        <f t="shared" ref="AQ1029" si="560">SUMIF($D1030:$D1111,1,AQ1030:AQ1111)</f>
        <v>0</v>
      </c>
      <c r="AR1029" s="88">
        <f t="shared" ref="AR1029" si="561">SUMIF($D1030:$D1111,1,AR1030:AR1111)</f>
        <v>0</v>
      </c>
      <c r="AS1029" s="88">
        <f t="shared" ref="AS1029" si="562">SUMIF($D1030:$D1111,1,AS1030:AS1111)</f>
        <v>0</v>
      </c>
      <c r="AT1029" s="88">
        <f t="shared" ref="AT1029" si="563">SUMIF($D1030:$D1111,1,AT1030:AT1111)</f>
        <v>0</v>
      </c>
      <c r="AU1029" s="88">
        <f t="shared" ref="AU1029" si="564">SUMIF($D1030:$D1111,1,AU1030:AU1111)</f>
        <v>0</v>
      </c>
      <c r="AV1029" s="88">
        <f t="shared" ref="AV1029" si="565">SUMIF($D1030:$D1111,1,AV1030:AV1111)</f>
        <v>0</v>
      </c>
      <c r="AW1029" s="88">
        <f t="shared" ref="AW1029" si="566">SUMIF($D1030:$D1111,1,AW1030:AW1111)</f>
        <v>0</v>
      </c>
      <c r="AX1029" s="88">
        <f t="shared" ref="AX1029" si="567">SUMIF($D1030:$D1111,1,AX1030:AX1111)</f>
        <v>0</v>
      </c>
      <c r="AY1029" s="88">
        <f t="shared" ref="AY1029" si="568">SUMIF($D1030:$D1111,1,AY1030:AY1111)</f>
        <v>0</v>
      </c>
    </row>
    <row r="1030" spans="1:51" ht="14.25" thickBot="1">
      <c r="A1030">
        <v>13</v>
      </c>
      <c r="B1030" s="120">
        <f>B1028</f>
        <v>0</v>
      </c>
      <c r="C1030" s="120" t="str">
        <f>C1028</f>
        <v/>
      </c>
      <c r="D1030" s="137"/>
      <c r="E1030" s="150" t="str">
        <f>工種!A2</f>
        <v>10102</v>
      </c>
      <c r="F1030" s="119" t="str">
        <f>工種!B2</f>
        <v>SRS：調査・分析・開発計画の準備・実施作業</v>
      </c>
      <c r="G1030" s="116" t="str">
        <f t="shared" si="519"/>
        <v>010102</v>
      </c>
      <c r="H1030" s="88">
        <f t="shared" ref="H1030:H1111" si="569">SUM(J1030:AY1030)</f>
        <v>0</v>
      </c>
      <c r="I1030" s="132"/>
      <c r="J1030" s="88">
        <f>SUMIF(月間集計シート!$M$29:$M$48,$G1030,月間集計シート!N$29:N$48)*J$2</f>
        <v>0</v>
      </c>
      <c r="K1030" s="88">
        <f>SUMIF(月間集計シート!$M$29:$M$48,$G1030,月間集計シート!O$29:O$48)*K$2</f>
        <v>0</v>
      </c>
      <c r="L1030" s="88">
        <f>SUMIF(月間集計シート!$M$29:$M$48,$G1030,月間集計シート!P$29:P$48)*L$2</f>
        <v>0</v>
      </c>
      <c r="M1030" s="88">
        <f>SUMIF(月間集計シート!$M$29:$M$48,$G1030,月間集計シート!Q$29:Q$48)*M$2</f>
        <v>0</v>
      </c>
      <c r="N1030" s="88">
        <f>SUMIF(月間集計シート!$M$29:$M$48,$G1030,月間集計シート!R$29:R$48)*N$2</f>
        <v>0</v>
      </c>
      <c r="O1030" s="88">
        <f>SUMIF(月間集計シート!$M$29:$M$48,$G1030,月間集計シート!S$29:S$48)*O$2</f>
        <v>0</v>
      </c>
      <c r="P1030" s="88">
        <f>SUMIF(月間集計シート!$M$29:$M$48,$G1030,月間集計シート!T$29:T$48)*P$2</f>
        <v>0</v>
      </c>
      <c r="Q1030" s="88">
        <f>SUMIF(月間集計シート!$M$50:$M$69,$G1030,月間集計シート!N$50:N$69)*Q$2</f>
        <v>0</v>
      </c>
      <c r="R1030" s="88">
        <f>SUMIF(月間集計シート!$M$50:$M$69,$G1030,月間集計シート!O$50:O$69)*R$2</f>
        <v>0</v>
      </c>
      <c r="S1030" s="88">
        <f>SUMIF(月間集計シート!$M$50:$M$69,$G1030,月間集計シート!P$50:P$69)*S$2</f>
        <v>0</v>
      </c>
      <c r="T1030" s="88">
        <f>SUMIF(月間集計シート!$M$50:$M$69,$G1030,月間集計シート!Q$50:Q$69)*T$2</f>
        <v>0</v>
      </c>
      <c r="U1030" s="88">
        <f>SUMIF(月間集計シート!$M$50:$M$69,$G1030,月間集計シート!R$50:R$69)*U$2</f>
        <v>0</v>
      </c>
      <c r="V1030" s="88">
        <f>SUMIF(月間集計シート!$M$50:$M$69,$G1030,月間集計シート!S$50:S$69)*V$2</f>
        <v>0</v>
      </c>
      <c r="W1030" s="88">
        <f>SUMIF(月間集計シート!$M$50:$M$69,$G1030,月間集計シート!T$50:T$69)*W$2</f>
        <v>0</v>
      </c>
      <c r="X1030" s="88">
        <f>SUMIF(月間集計シート!$M$71:$M$90,$G1030,月間集計シート!N$71:N$90)*X$2</f>
        <v>0</v>
      </c>
      <c r="Y1030" s="88">
        <f>SUMIF(月間集計シート!$M$71:$M$90,$G1030,月間集計シート!O$71:O$90)*Y$2</f>
        <v>0</v>
      </c>
      <c r="Z1030" s="88">
        <f>SUMIF(月間集計シート!$M$71:$M$90,$G1030,月間集計シート!P$71:P$90)*Z$2</f>
        <v>0</v>
      </c>
      <c r="AA1030" s="88">
        <f>SUMIF(月間集計シート!$M$71:$M$90,$G1030,月間集計シート!Q$71:Q$90)*AA$2</f>
        <v>0</v>
      </c>
      <c r="AB1030" s="88">
        <f>SUMIF(月間集計シート!$M$71:$M$90,$G1030,月間集計シート!R$71:R$90)*AB$2</f>
        <v>0</v>
      </c>
      <c r="AC1030" s="88">
        <f>SUMIF(月間集計シート!$M$71:$M$90,$G1030,月間集計シート!S$71:S$90)*AC$2</f>
        <v>0</v>
      </c>
      <c r="AD1030" s="88">
        <f>SUMIF(月間集計シート!$M$71:$M$90,$G1030,月間集計シート!T$71:T$90)*AD$2</f>
        <v>0</v>
      </c>
      <c r="AE1030" s="88">
        <f>SUMIF(月間集計シート!$M$92:$M$111,$G1030,月間集計シート!N$92:N$111)*AE$2</f>
        <v>0</v>
      </c>
      <c r="AF1030" s="88">
        <f>SUMIF(月間集計シート!$M$92:$M$111,$G1030,月間集計シート!O$92:O$111)*AF$2</f>
        <v>0</v>
      </c>
      <c r="AG1030" s="88">
        <f>SUMIF(月間集計シート!$M$92:$M$111,$G1030,月間集計シート!P$92:P$111)*AG$2</f>
        <v>0</v>
      </c>
      <c r="AH1030" s="88">
        <f>SUMIF(月間集計シート!$M$92:$M$111,$G1030,月間集計シート!Q$92:Q$111)*AH$2</f>
        <v>0</v>
      </c>
      <c r="AI1030" s="88">
        <f>SUMIF(月間集計シート!$M$92:$M$111,$G1030,月間集計シート!R$92:R$111)*AI$2</f>
        <v>0</v>
      </c>
      <c r="AJ1030" s="88">
        <f>SUMIF(月間集計シート!$M$92:$M$111,$G1030,月間集計シート!S$92:S$111)*AJ$2</f>
        <v>0</v>
      </c>
      <c r="AK1030" s="88">
        <f>SUMIF(月間集計シート!$M$92:$M$111,$G1030,月間集計シート!T$92:T$111)*AK$2</f>
        <v>0</v>
      </c>
      <c r="AL1030" s="88">
        <f>SUMIF(月間集計シート!$M$113:$M$132,$G1030,月間集計シート!N$113:N$132)*AL$2</f>
        <v>0</v>
      </c>
      <c r="AM1030" s="88">
        <f>SUMIF(月間集計シート!$M$113:$M$132,$G1030,月間集計シート!O$113:O$132)*AM$2</f>
        <v>0</v>
      </c>
      <c r="AN1030" s="88">
        <f>SUMIF(月間集計シート!$M$113:$M$132,$G1030,月間集計シート!P$113:P$132)*AN$2</f>
        <v>0</v>
      </c>
      <c r="AO1030" s="88">
        <f>SUMIF(月間集計シート!$M$113:$M$132,$G1030,月間集計シート!Q$113:Q$132)*AO$2</f>
        <v>0</v>
      </c>
      <c r="AP1030" s="88">
        <f>SUMIF(月間集計シート!$M$113:$M$132,$G1030,月間集計シート!R$113:R$132)*AP$2</f>
        <v>0</v>
      </c>
      <c r="AQ1030" s="88">
        <f>SUMIF(月間集計シート!$M$113:$M$132,$G1030,月間集計シート!S$113:S$132)*AQ$2</f>
        <v>0</v>
      </c>
      <c r="AR1030" s="88">
        <f>SUMIF(月間集計シート!$M$113:$M$132,$G1030,月間集計シート!T$113:T$132)*AR$2</f>
        <v>0</v>
      </c>
      <c r="AS1030" s="88">
        <f>SUMIF(月間集計シート!$M$134:$M$153,$G1030,月間集計シート!N$134:N$153)*AS$2</f>
        <v>0</v>
      </c>
      <c r="AT1030" s="88">
        <f>SUMIF(月間集計シート!$M$134:$M$153,$G1030,月間集計シート!O$134:O$153)*AT$2</f>
        <v>0</v>
      </c>
      <c r="AU1030" s="88">
        <f>SUMIF(月間集計シート!$M$134:$M$153,$G1030,月間集計シート!P$134:P$153)*AU$2</f>
        <v>0</v>
      </c>
      <c r="AV1030" s="88">
        <f>SUMIF(月間集計シート!$M$134:$M$153,$G1030,月間集計シート!Q$134:Q$153)*AV$2</f>
        <v>0</v>
      </c>
      <c r="AW1030" s="88">
        <f>SUMIF(月間集計シート!$M$134:$M$153,$G1030,月間集計シート!R$134:R$153)*AW$2</f>
        <v>0</v>
      </c>
      <c r="AX1030" s="88">
        <f>SUMIF(月間集計シート!$M$134:$M$153,$G1030,月間集計シート!S$134:S$153)*AX$2</f>
        <v>0</v>
      </c>
      <c r="AY1030" s="88">
        <f>SUMIF(月間集計シート!$M$134:$M$153,$G1030,月間集計シート!T$134:T$153)*AY$2</f>
        <v>0</v>
      </c>
    </row>
    <row r="1031" spans="1:51" ht="14.25" thickBot="1">
      <c r="A1031">
        <v>13</v>
      </c>
      <c r="B1031" s="120">
        <f t="shared" ref="B1031:B1094" si="570">B1030</f>
        <v>0</v>
      </c>
      <c r="C1031" s="120" t="str">
        <f t="shared" ref="C1031:C1094" si="571">C1030</f>
        <v/>
      </c>
      <c r="D1031" s="137"/>
      <c r="E1031" s="150" t="str">
        <f>工種!A3</f>
        <v>10103</v>
      </c>
      <c r="F1031" s="119" t="str">
        <f>工種!B3</f>
        <v>SRS：企画書・計画書・報告書等資料作成・修正</v>
      </c>
      <c r="G1031" s="116" t="str">
        <f t="shared" si="519"/>
        <v>010103</v>
      </c>
      <c r="H1031" s="88">
        <f t="shared" si="569"/>
        <v>0</v>
      </c>
      <c r="I1031" s="132"/>
      <c r="J1031" s="88">
        <f>SUMIF(月間集計シート!$M$29:$M$48,$G1031,月間集計シート!N$29:N$48)*J$2</f>
        <v>0</v>
      </c>
      <c r="K1031" s="88">
        <f>SUMIF(月間集計シート!$M$29:$M$48,$G1031,月間集計シート!O$29:O$48)*K$2</f>
        <v>0</v>
      </c>
      <c r="L1031" s="88">
        <f>SUMIF(月間集計シート!$M$29:$M$48,$G1031,月間集計シート!P$29:P$48)*L$2</f>
        <v>0</v>
      </c>
      <c r="M1031" s="88">
        <f>SUMIF(月間集計シート!$M$29:$M$48,$G1031,月間集計シート!Q$29:Q$48)*M$2</f>
        <v>0</v>
      </c>
      <c r="N1031" s="88">
        <f>SUMIF(月間集計シート!$M$29:$M$48,$G1031,月間集計シート!R$29:R$48)*N$2</f>
        <v>0</v>
      </c>
      <c r="O1031" s="88">
        <f>SUMIF(月間集計シート!$M$29:$M$48,$G1031,月間集計シート!S$29:S$48)*O$2</f>
        <v>0</v>
      </c>
      <c r="P1031" s="88">
        <f>SUMIF(月間集計シート!$M$29:$M$48,$G1031,月間集計シート!T$29:T$48)*P$2</f>
        <v>0</v>
      </c>
      <c r="Q1031" s="88">
        <f>SUMIF(月間集計シート!$M$50:$M$69,$G1031,月間集計シート!N$50:N$69)*Q$2</f>
        <v>0</v>
      </c>
      <c r="R1031" s="88">
        <f>SUMIF(月間集計シート!$M$50:$M$69,$G1031,月間集計シート!O$50:O$69)*R$2</f>
        <v>0</v>
      </c>
      <c r="S1031" s="88">
        <f>SUMIF(月間集計シート!$M$50:$M$69,$G1031,月間集計シート!P$50:P$69)*S$2</f>
        <v>0</v>
      </c>
      <c r="T1031" s="88">
        <f>SUMIF(月間集計シート!$M$50:$M$69,$G1031,月間集計シート!Q$50:Q$69)*T$2</f>
        <v>0</v>
      </c>
      <c r="U1031" s="88">
        <f>SUMIF(月間集計シート!$M$50:$M$69,$G1031,月間集計シート!R$50:R$69)*U$2</f>
        <v>0</v>
      </c>
      <c r="V1031" s="88">
        <f>SUMIF(月間集計シート!$M$50:$M$69,$G1031,月間集計シート!S$50:S$69)*V$2</f>
        <v>0</v>
      </c>
      <c r="W1031" s="88">
        <f>SUMIF(月間集計シート!$M$50:$M$69,$G1031,月間集計シート!T$50:T$69)*W$2</f>
        <v>0</v>
      </c>
      <c r="X1031" s="88">
        <f>SUMIF(月間集計シート!$M$71:$M$90,$G1031,月間集計シート!N$71:N$90)*X$2</f>
        <v>0</v>
      </c>
      <c r="Y1031" s="88">
        <f>SUMIF(月間集計シート!$M$71:$M$90,$G1031,月間集計シート!O$71:O$90)*Y$2</f>
        <v>0</v>
      </c>
      <c r="Z1031" s="88">
        <f>SUMIF(月間集計シート!$M$71:$M$90,$G1031,月間集計シート!P$71:P$90)*Z$2</f>
        <v>0</v>
      </c>
      <c r="AA1031" s="88">
        <f>SUMIF(月間集計シート!$M$71:$M$90,$G1031,月間集計シート!Q$71:Q$90)*AA$2</f>
        <v>0</v>
      </c>
      <c r="AB1031" s="88">
        <f>SUMIF(月間集計シート!$M$71:$M$90,$G1031,月間集計シート!R$71:R$90)*AB$2</f>
        <v>0</v>
      </c>
      <c r="AC1031" s="88">
        <f>SUMIF(月間集計シート!$M$71:$M$90,$G1031,月間集計シート!S$71:S$90)*AC$2</f>
        <v>0</v>
      </c>
      <c r="AD1031" s="88">
        <f>SUMIF(月間集計シート!$M$71:$M$90,$G1031,月間集計シート!T$71:T$90)*AD$2</f>
        <v>0</v>
      </c>
      <c r="AE1031" s="88">
        <f>SUMIF(月間集計シート!$M$92:$M$111,$G1031,月間集計シート!N$92:N$111)*AE$2</f>
        <v>0</v>
      </c>
      <c r="AF1031" s="88">
        <f>SUMIF(月間集計シート!$M$92:$M$111,$G1031,月間集計シート!O$92:O$111)*AF$2</f>
        <v>0</v>
      </c>
      <c r="AG1031" s="88">
        <f>SUMIF(月間集計シート!$M$92:$M$111,$G1031,月間集計シート!P$92:P$111)*AG$2</f>
        <v>0</v>
      </c>
      <c r="AH1031" s="88">
        <f>SUMIF(月間集計シート!$M$92:$M$111,$G1031,月間集計シート!Q$92:Q$111)*AH$2</f>
        <v>0</v>
      </c>
      <c r="AI1031" s="88">
        <f>SUMIF(月間集計シート!$M$92:$M$111,$G1031,月間集計シート!R$92:R$111)*AI$2</f>
        <v>0</v>
      </c>
      <c r="AJ1031" s="88">
        <f>SUMIF(月間集計シート!$M$92:$M$111,$G1031,月間集計シート!S$92:S$111)*AJ$2</f>
        <v>0</v>
      </c>
      <c r="AK1031" s="88">
        <f>SUMIF(月間集計シート!$M$92:$M$111,$G1031,月間集計シート!T$92:T$111)*AK$2</f>
        <v>0</v>
      </c>
      <c r="AL1031" s="88">
        <f>SUMIF(月間集計シート!$M$113:$M$132,$G1031,月間集計シート!N$113:N$132)*AL$2</f>
        <v>0</v>
      </c>
      <c r="AM1031" s="88">
        <f>SUMIF(月間集計シート!$M$113:$M$132,$G1031,月間集計シート!O$113:O$132)*AM$2</f>
        <v>0</v>
      </c>
      <c r="AN1031" s="88">
        <f>SUMIF(月間集計シート!$M$113:$M$132,$G1031,月間集計シート!P$113:P$132)*AN$2</f>
        <v>0</v>
      </c>
      <c r="AO1031" s="88">
        <f>SUMIF(月間集計シート!$M$113:$M$132,$G1031,月間集計シート!Q$113:Q$132)*AO$2</f>
        <v>0</v>
      </c>
      <c r="AP1031" s="88">
        <f>SUMIF(月間集計シート!$M$113:$M$132,$G1031,月間集計シート!R$113:R$132)*AP$2</f>
        <v>0</v>
      </c>
      <c r="AQ1031" s="88">
        <f>SUMIF(月間集計シート!$M$113:$M$132,$G1031,月間集計シート!S$113:S$132)*AQ$2</f>
        <v>0</v>
      </c>
      <c r="AR1031" s="88">
        <f>SUMIF(月間集計シート!$M$113:$M$132,$G1031,月間集計シート!T$113:T$132)*AR$2</f>
        <v>0</v>
      </c>
      <c r="AS1031" s="88">
        <f>SUMIF(月間集計シート!$M$134:$M$153,$G1031,月間集計シート!N$134:N$153)*AS$2</f>
        <v>0</v>
      </c>
      <c r="AT1031" s="88">
        <f>SUMIF(月間集計シート!$M$134:$M$153,$G1031,月間集計シート!O$134:O$153)*AT$2</f>
        <v>0</v>
      </c>
      <c r="AU1031" s="88">
        <f>SUMIF(月間集計シート!$M$134:$M$153,$G1031,月間集計シート!P$134:P$153)*AU$2</f>
        <v>0</v>
      </c>
      <c r="AV1031" s="88">
        <f>SUMIF(月間集計シート!$M$134:$M$153,$G1031,月間集計シート!Q$134:Q$153)*AV$2</f>
        <v>0</v>
      </c>
      <c r="AW1031" s="88">
        <f>SUMIF(月間集計シート!$M$134:$M$153,$G1031,月間集計シート!R$134:R$153)*AW$2</f>
        <v>0</v>
      </c>
      <c r="AX1031" s="88">
        <f>SUMIF(月間集計シート!$M$134:$M$153,$G1031,月間集計シート!S$134:S$153)*AX$2</f>
        <v>0</v>
      </c>
      <c r="AY1031" s="88">
        <f>SUMIF(月間集計シート!$M$134:$M$153,$G1031,月間集計シート!T$134:T$153)*AY$2</f>
        <v>0</v>
      </c>
    </row>
    <row r="1032" spans="1:51" ht="14.25" thickBot="1">
      <c r="A1032">
        <v>13</v>
      </c>
      <c r="B1032" s="120">
        <f t="shared" si="570"/>
        <v>0</v>
      </c>
      <c r="C1032" s="120" t="str">
        <f t="shared" si="571"/>
        <v/>
      </c>
      <c r="D1032" s="137"/>
      <c r="E1032" s="150" t="str">
        <f>工種!A4</f>
        <v>10104</v>
      </c>
      <c r="F1032" s="119" t="str">
        <f>工種!B4</f>
        <v>SRS：打合せ</v>
      </c>
      <c r="G1032" s="116" t="str">
        <f t="shared" si="519"/>
        <v>010104</v>
      </c>
      <c r="H1032" s="88">
        <f t="shared" si="569"/>
        <v>0</v>
      </c>
      <c r="I1032" s="132"/>
      <c r="J1032" s="88">
        <f>SUMIF(月間集計シート!$M$29:$M$48,$G1032,月間集計シート!N$29:N$48)*J$2</f>
        <v>0</v>
      </c>
      <c r="K1032" s="88">
        <f>SUMIF(月間集計シート!$M$29:$M$48,$G1032,月間集計シート!O$29:O$48)*K$2</f>
        <v>0</v>
      </c>
      <c r="L1032" s="88">
        <f>SUMIF(月間集計シート!$M$29:$M$48,$G1032,月間集計シート!P$29:P$48)*L$2</f>
        <v>0</v>
      </c>
      <c r="M1032" s="88">
        <f>SUMIF(月間集計シート!$M$29:$M$48,$G1032,月間集計シート!Q$29:Q$48)*M$2</f>
        <v>0</v>
      </c>
      <c r="N1032" s="88">
        <f>SUMIF(月間集計シート!$M$29:$M$48,$G1032,月間集計シート!R$29:R$48)*N$2</f>
        <v>0</v>
      </c>
      <c r="O1032" s="88">
        <f>SUMIF(月間集計シート!$M$29:$M$48,$G1032,月間集計シート!S$29:S$48)*O$2</f>
        <v>0</v>
      </c>
      <c r="P1032" s="88">
        <f>SUMIF(月間集計シート!$M$29:$M$48,$G1032,月間集計シート!T$29:T$48)*P$2</f>
        <v>0</v>
      </c>
      <c r="Q1032" s="88">
        <f>SUMIF(月間集計シート!$M$50:$M$69,$G1032,月間集計シート!N$50:N$69)*Q$2</f>
        <v>0</v>
      </c>
      <c r="R1032" s="88">
        <f>SUMIF(月間集計シート!$M$50:$M$69,$G1032,月間集計シート!O$50:O$69)*R$2</f>
        <v>0</v>
      </c>
      <c r="S1032" s="88">
        <f>SUMIF(月間集計シート!$M$50:$M$69,$G1032,月間集計シート!P$50:P$69)*S$2</f>
        <v>0</v>
      </c>
      <c r="T1032" s="88">
        <f>SUMIF(月間集計シート!$M$50:$M$69,$G1032,月間集計シート!Q$50:Q$69)*T$2</f>
        <v>0</v>
      </c>
      <c r="U1032" s="88">
        <f>SUMIF(月間集計シート!$M$50:$M$69,$G1032,月間集計シート!R$50:R$69)*U$2</f>
        <v>0</v>
      </c>
      <c r="V1032" s="88">
        <f>SUMIF(月間集計シート!$M$50:$M$69,$G1032,月間集計シート!S$50:S$69)*V$2</f>
        <v>0</v>
      </c>
      <c r="W1032" s="88">
        <f>SUMIF(月間集計シート!$M$50:$M$69,$G1032,月間集計シート!T$50:T$69)*W$2</f>
        <v>0</v>
      </c>
      <c r="X1032" s="88">
        <f>SUMIF(月間集計シート!$M$71:$M$90,$G1032,月間集計シート!N$71:N$90)*X$2</f>
        <v>0</v>
      </c>
      <c r="Y1032" s="88">
        <f>SUMIF(月間集計シート!$M$71:$M$90,$G1032,月間集計シート!O$71:O$90)*Y$2</f>
        <v>0</v>
      </c>
      <c r="Z1032" s="88">
        <f>SUMIF(月間集計シート!$M$71:$M$90,$G1032,月間集計シート!P$71:P$90)*Z$2</f>
        <v>0</v>
      </c>
      <c r="AA1032" s="88">
        <f>SUMIF(月間集計シート!$M$71:$M$90,$G1032,月間集計シート!Q$71:Q$90)*AA$2</f>
        <v>0</v>
      </c>
      <c r="AB1032" s="88">
        <f>SUMIF(月間集計シート!$M$71:$M$90,$G1032,月間集計シート!R$71:R$90)*AB$2</f>
        <v>0</v>
      </c>
      <c r="AC1032" s="88">
        <f>SUMIF(月間集計シート!$M$71:$M$90,$G1032,月間集計シート!S$71:S$90)*AC$2</f>
        <v>0</v>
      </c>
      <c r="AD1032" s="88">
        <f>SUMIF(月間集計シート!$M$71:$M$90,$G1032,月間集計シート!T$71:T$90)*AD$2</f>
        <v>0</v>
      </c>
      <c r="AE1032" s="88">
        <f>SUMIF(月間集計シート!$M$92:$M$111,$G1032,月間集計シート!N$92:N$111)*AE$2</f>
        <v>0</v>
      </c>
      <c r="AF1032" s="88">
        <f>SUMIF(月間集計シート!$M$92:$M$111,$G1032,月間集計シート!O$92:O$111)*AF$2</f>
        <v>0</v>
      </c>
      <c r="AG1032" s="88">
        <f>SUMIF(月間集計シート!$M$92:$M$111,$G1032,月間集計シート!P$92:P$111)*AG$2</f>
        <v>0</v>
      </c>
      <c r="AH1032" s="88">
        <f>SUMIF(月間集計シート!$M$92:$M$111,$G1032,月間集計シート!Q$92:Q$111)*AH$2</f>
        <v>0</v>
      </c>
      <c r="AI1032" s="88">
        <f>SUMIF(月間集計シート!$M$92:$M$111,$G1032,月間集計シート!R$92:R$111)*AI$2</f>
        <v>0</v>
      </c>
      <c r="AJ1032" s="88">
        <f>SUMIF(月間集計シート!$M$92:$M$111,$G1032,月間集計シート!S$92:S$111)*AJ$2</f>
        <v>0</v>
      </c>
      <c r="AK1032" s="88">
        <f>SUMIF(月間集計シート!$M$92:$M$111,$G1032,月間集計シート!T$92:T$111)*AK$2</f>
        <v>0</v>
      </c>
      <c r="AL1032" s="88">
        <f>SUMIF(月間集計シート!$M$113:$M$132,$G1032,月間集計シート!N$113:N$132)*AL$2</f>
        <v>0</v>
      </c>
      <c r="AM1032" s="88">
        <f>SUMIF(月間集計シート!$M$113:$M$132,$G1032,月間集計シート!O$113:O$132)*AM$2</f>
        <v>0</v>
      </c>
      <c r="AN1032" s="88">
        <f>SUMIF(月間集計シート!$M$113:$M$132,$G1032,月間集計シート!P$113:P$132)*AN$2</f>
        <v>0</v>
      </c>
      <c r="AO1032" s="88">
        <f>SUMIF(月間集計シート!$M$113:$M$132,$G1032,月間集計シート!Q$113:Q$132)*AO$2</f>
        <v>0</v>
      </c>
      <c r="AP1032" s="88">
        <f>SUMIF(月間集計シート!$M$113:$M$132,$G1032,月間集計シート!R$113:R$132)*AP$2</f>
        <v>0</v>
      </c>
      <c r="AQ1032" s="88">
        <f>SUMIF(月間集計シート!$M$113:$M$132,$G1032,月間集計シート!S$113:S$132)*AQ$2</f>
        <v>0</v>
      </c>
      <c r="AR1032" s="88">
        <f>SUMIF(月間集計シート!$M$113:$M$132,$G1032,月間集計シート!T$113:T$132)*AR$2</f>
        <v>0</v>
      </c>
      <c r="AS1032" s="88">
        <f>SUMIF(月間集計シート!$M$134:$M$153,$G1032,月間集計シート!N$134:N$153)*AS$2</f>
        <v>0</v>
      </c>
      <c r="AT1032" s="88">
        <f>SUMIF(月間集計シート!$M$134:$M$153,$G1032,月間集計シート!O$134:O$153)*AT$2</f>
        <v>0</v>
      </c>
      <c r="AU1032" s="88">
        <f>SUMIF(月間集計シート!$M$134:$M$153,$G1032,月間集計シート!P$134:P$153)*AU$2</f>
        <v>0</v>
      </c>
      <c r="AV1032" s="88">
        <f>SUMIF(月間集計シート!$M$134:$M$153,$G1032,月間集計シート!Q$134:Q$153)*AV$2</f>
        <v>0</v>
      </c>
      <c r="AW1032" s="88">
        <f>SUMIF(月間集計シート!$M$134:$M$153,$G1032,月間集計シート!R$134:R$153)*AW$2</f>
        <v>0</v>
      </c>
      <c r="AX1032" s="88">
        <f>SUMIF(月間集計シート!$M$134:$M$153,$G1032,月間集計シート!S$134:S$153)*AX$2</f>
        <v>0</v>
      </c>
      <c r="AY1032" s="88">
        <f>SUMIF(月間集計シート!$M$134:$M$153,$G1032,月間集計シート!T$134:T$153)*AY$2</f>
        <v>0</v>
      </c>
    </row>
    <row r="1033" spans="1:51" ht="14.25" thickBot="1">
      <c r="A1033">
        <v>13</v>
      </c>
      <c r="B1033" s="120">
        <f t="shared" si="570"/>
        <v>0</v>
      </c>
      <c r="C1033" s="120" t="str">
        <f t="shared" si="571"/>
        <v/>
      </c>
      <c r="D1033" s="137"/>
      <c r="E1033" s="150" t="str">
        <f>工種!A5</f>
        <v>10105</v>
      </c>
      <c r="F1033" s="119" t="str">
        <f>工種!B5</f>
        <v>SRS：レビュー</v>
      </c>
      <c r="G1033" s="116" t="str">
        <f t="shared" si="519"/>
        <v>010105</v>
      </c>
      <c r="H1033" s="88">
        <f t="shared" si="569"/>
        <v>0</v>
      </c>
      <c r="I1033" s="132"/>
      <c r="J1033" s="88">
        <f>SUMIF(月間集計シート!$M$29:$M$48,$G1033,月間集計シート!N$29:N$48)*J$2</f>
        <v>0</v>
      </c>
      <c r="K1033" s="88">
        <f>SUMIF(月間集計シート!$M$29:$M$48,$G1033,月間集計シート!O$29:O$48)*K$2</f>
        <v>0</v>
      </c>
      <c r="L1033" s="88">
        <f>SUMIF(月間集計シート!$M$29:$M$48,$G1033,月間集計シート!P$29:P$48)*L$2</f>
        <v>0</v>
      </c>
      <c r="M1033" s="88">
        <f>SUMIF(月間集計シート!$M$29:$M$48,$G1033,月間集計シート!Q$29:Q$48)*M$2</f>
        <v>0</v>
      </c>
      <c r="N1033" s="88">
        <f>SUMIF(月間集計シート!$M$29:$M$48,$G1033,月間集計シート!R$29:R$48)*N$2</f>
        <v>0</v>
      </c>
      <c r="O1033" s="88">
        <f>SUMIF(月間集計シート!$M$29:$M$48,$G1033,月間集計シート!S$29:S$48)*O$2</f>
        <v>0</v>
      </c>
      <c r="P1033" s="88">
        <f>SUMIF(月間集計シート!$M$29:$M$48,$G1033,月間集計シート!T$29:T$48)*P$2</f>
        <v>0</v>
      </c>
      <c r="Q1033" s="88">
        <f>SUMIF(月間集計シート!$M$50:$M$69,$G1033,月間集計シート!N$50:N$69)*Q$2</f>
        <v>0</v>
      </c>
      <c r="R1033" s="88">
        <f>SUMIF(月間集計シート!$M$50:$M$69,$G1033,月間集計シート!O$50:O$69)*R$2</f>
        <v>0</v>
      </c>
      <c r="S1033" s="88">
        <f>SUMIF(月間集計シート!$M$50:$M$69,$G1033,月間集計シート!P$50:P$69)*S$2</f>
        <v>0</v>
      </c>
      <c r="T1033" s="88">
        <f>SUMIF(月間集計シート!$M$50:$M$69,$G1033,月間集計シート!Q$50:Q$69)*T$2</f>
        <v>0</v>
      </c>
      <c r="U1033" s="88">
        <f>SUMIF(月間集計シート!$M$50:$M$69,$G1033,月間集計シート!R$50:R$69)*U$2</f>
        <v>0</v>
      </c>
      <c r="V1033" s="88">
        <f>SUMIF(月間集計シート!$M$50:$M$69,$G1033,月間集計シート!S$50:S$69)*V$2</f>
        <v>0</v>
      </c>
      <c r="W1033" s="88">
        <f>SUMIF(月間集計シート!$M$50:$M$69,$G1033,月間集計シート!T$50:T$69)*W$2</f>
        <v>0</v>
      </c>
      <c r="X1033" s="88">
        <f>SUMIF(月間集計シート!$M$71:$M$90,$G1033,月間集計シート!N$71:N$90)*X$2</f>
        <v>0</v>
      </c>
      <c r="Y1033" s="88">
        <f>SUMIF(月間集計シート!$M$71:$M$90,$G1033,月間集計シート!O$71:O$90)*Y$2</f>
        <v>0</v>
      </c>
      <c r="Z1033" s="88">
        <f>SUMIF(月間集計シート!$M$71:$M$90,$G1033,月間集計シート!P$71:P$90)*Z$2</f>
        <v>0</v>
      </c>
      <c r="AA1033" s="88">
        <f>SUMIF(月間集計シート!$M$71:$M$90,$G1033,月間集計シート!Q$71:Q$90)*AA$2</f>
        <v>0</v>
      </c>
      <c r="AB1033" s="88">
        <f>SUMIF(月間集計シート!$M$71:$M$90,$G1033,月間集計シート!R$71:R$90)*AB$2</f>
        <v>0</v>
      </c>
      <c r="AC1033" s="88">
        <f>SUMIF(月間集計シート!$M$71:$M$90,$G1033,月間集計シート!S$71:S$90)*AC$2</f>
        <v>0</v>
      </c>
      <c r="AD1033" s="88">
        <f>SUMIF(月間集計シート!$M$71:$M$90,$G1033,月間集計シート!T$71:T$90)*AD$2</f>
        <v>0</v>
      </c>
      <c r="AE1033" s="88">
        <f>SUMIF(月間集計シート!$M$92:$M$111,$G1033,月間集計シート!N$92:N$111)*AE$2</f>
        <v>0</v>
      </c>
      <c r="AF1033" s="88">
        <f>SUMIF(月間集計シート!$M$92:$M$111,$G1033,月間集計シート!O$92:O$111)*AF$2</f>
        <v>0</v>
      </c>
      <c r="AG1033" s="88">
        <f>SUMIF(月間集計シート!$M$92:$M$111,$G1033,月間集計シート!P$92:P$111)*AG$2</f>
        <v>0</v>
      </c>
      <c r="AH1033" s="88">
        <f>SUMIF(月間集計シート!$M$92:$M$111,$G1033,月間集計シート!Q$92:Q$111)*AH$2</f>
        <v>0</v>
      </c>
      <c r="AI1033" s="88">
        <f>SUMIF(月間集計シート!$M$92:$M$111,$G1033,月間集計シート!R$92:R$111)*AI$2</f>
        <v>0</v>
      </c>
      <c r="AJ1033" s="88">
        <f>SUMIF(月間集計シート!$M$92:$M$111,$G1033,月間集計シート!S$92:S$111)*AJ$2</f>
        <v>0</v>
      </c>
      <c r="AK1033" s="88">
        <f>SUMIF(月間集計シート!$M$92:$M$111,$G1033,月間集計シート!T$92:T$111)*AK$2</f>
        <v>0</v>
      </c>
      <c r="AL1033" s="88">
        <f>SUMIF(月間集計シート!$M$113:$M$132,$G1033,月間集計シート!N$113:N$132)*AL$2</f>
        <v>0</v>
      </c>
      <c r="AM1033" s="88">
        <f>SUMIF(月間集計シート!$M$113:$M$132,$G1033,月間集計シート!O$113:O$132)*AM$2</f>
        <v>0</v>
      </c>
      <c r="AN1033" s="88">
        <f>SUMIF(月間集計シート!$M$113:$M$132,$G1033,月間集計シート!P$113:P$132)*AN$2</f>
        <v>0</v>
      </c>
      <c r="AO1033" s="88">
        <f>SUMIF(月間集計シート!$M$113:$M$132,$G1033,月間集計シート!Q$113:Q$132)*AO$2</f>
        <v>0</v>
      </c>
      <c r="AP1033" s="88">
        <f>SUMIF(月間集計シート!$M$113:$M$132,$G1033,月間集計シート!R$113:R$132)*AP$2</f>
        <v>0</v>
      </c>
      <c r="AQ1033" s="88">
        <f>SUMIF(月間集計シート!$M$113:$M$132,$G1033,月間集計シート!S$113:S$132)*AQ$2</f>
        <v>0</v>
      </c>
      <c r="AR1033" s="88">
        <f>SUMIF(月間集計シート!$M$113:$M$132,$G1033,月間集計シート!T$113:T$132)*AR$2</f>
        <v>0</v>
      </c>
      <c r="AS1033" s="88">
        <f>SUMIF(月間集計シート!$M$134:$M$153,$G1033,月間集計シート!N$134:N$153)*AS$2</f>
        <v>0</v>
      </c>
      <c r="AT1033" s="88">
        <f>SUMIF(月間集計シート!$M$134:$M$153,$G1033,月間集計シート!O$134:O$153)*AT$2</f>
        <v>0</v>
      </c>
      <c r="AU1033" s="88">
        <f>SUMIF(月間集計シート!$M$134:$M$153,$G1033,月間集計シート!P$134:P$153)*AU$2</f>
        <v>0</v>
      </c>
      <c r="AV1033" s="88">
        <f>SUMIF(月間集計シート!$M$134:$M$153,$G1033,月間集計シート!Q$134:Q$153)*AV$2</f>
        <v>0</v>
      </c>
      <c r="AW1033" s="88">
        <f>SUMIF(月間集計シート!$M$134:$M$153,$G1033,月間集計シート!R$134:R$153)*AW$2</f>
        <v>0</v>
      </c>
      <c r="AX1033" s="88">
        <f>SUMIF(月間集計シート!$M$134:$M$153,$G1033,月間集計シート!S$134:S$153)*AX$2</f>
        <v>0</v>
      </c>
      <c r="AY1033" s="88">
        <f>SUMIF(月間集計シート!$M$134:$M$153,$G1033,月間集計シート!T$134:T$153)*AY$2</f>
        <v>0</v>
      </c>
    </row>
    <row r="1034" spans="1:51" ht="14.25" thickBot="1">
      <c r="A1034">
        <v>13</v>
      </c>
      <c r="B1034" s="120">
        <f t="shared" si="570"/>
        <v>0</v>
      </c>
      <c r="C1034" s="120" t="str">
        <f t="shared" si="571"/>
        <v/>
      </c>
      <c r="D1034" s="137"/>
      <c r="E1034" s="150" t="str">
        <f>工種!A6</f>
        <v>10199</v>
      </c>
      <c r="F1034" s="119" t="str">
        <f>工種!B6</f>
        <v>SRS：その他</v>
      </c>
      <c r="G1034" s="116" t="str">
        <f t="shared" si="519"/>
        <v>010199</v>
      </c>
      <c r="H1034" s="88">
        <f t="shared" si="569"/>
        <v>0</v>
      </c>
      <c r="I1034" s="132"/>
      <c r="J1034" s="88">
        <f>SUMIF(月間集計シート!$M$29:$M$48,$G1034,月間集計シート!N$29:N$48)*J$2</f>
        <v>0</v>
      </c>
      <c r="K1034" s="88">
        <f>SUMIF(月間集計シート!$M$29:$M$48,$G1034,月間集計シート!O$29:O$48)*K$2</f>
        <v>0</v>
      </c>
      <c r="L1034" s="88">
        <f>SUMIF(月間集計シート!$M$29:$M$48,$G1034,月間集計シート!P$29:P$48)*L$2</f>
        <v>0</v>
      </c>
      <c r="M1034" s="88">
        <f>SUMIF(月間集計シート!$M$29:$M$48,$G1034,月間集計シート!Q$29:Q$48)*M$2</f>
        <v>0</v>
      </c>
      <c r="N1034" s="88">
        <f>SUMIF(月間集計シート!$M$29:$M$48,$G1034,月間集計シート!R$29:R$48)*N$2</f>
        <v>0</v>
      </c>
      <c r="O1034" s="88">
        <f>SUMIF(月間集計シート!$M$29:$M$48,$G1034,月間集計シート!S$29:S$48)*O$2</f>
        <v>0</v>
      </c>
      <c r="P1034" s="88">
        <f>SUMIF(月間集計シート!$M$29:$M$48,$G1034,月間集計シート!T$29:T$48)*P$2</f>
        <v>0</v>
      </c>
      <c r="Q1034" s="88">
        <f>SUMIF(月間集計シート!$M$50:$M$69,$G1034,月間集計シート!N$50:N$69)*Q$2</f>
        <v>0</v>
      </c>
      <c r="R1034" s="88">
        <f>SUMIF(月間集計シート!$M$50:$M$69,$G1034,月間集計シート!O$50:O$69)*R$2</f>
        <v>0</v>
      </c>
      <c r="S1034" s="88">
        <f>SUMIF(月間集計シート!$M$50:$M$69,$G1034,月間集計シート!P$50:P$69)*S$2</f>
        <v>0</v>
      </c>
      <c r="T1034" s="88">
        <f>SUMIF(月間集計シート!$M$50:$M$69,$G1034,月間集計シート!Q$50:Q$69)*T$2</f>
        <v>0</v>
      </c>
      <c r="U1034" s="88">
        <f>SUMIF(月間集計シート!$M$50:$M$69,$G1034,月間集計シート!R$50:R$69)*U$2</f>
        <v>0</v>
      </c>
      <c r="V1034" s="88">
        <f>SUMIF(月間集計シート!$M$50:$M$69,$G1034,月間集計シート!S$50:S$69)*V$2</f>
        <v>0</v>
      </c>
      <c r="W1034" s="88">
        <f>SUMIF(月間集計シート!$M$50:$M$69,$G1034,月間集計シート!T$50:T$69)*W$2</f>
        <v>0</v>
      </c>
      <c r="X1034" s="88">
        <f>SUMIF(月間集計シート!$M$71:$M$90,$G1034,月間集計シート!N$71:N$90)*X$2</f>
        <v>0</v>
      </c>
      <c r="Y1034" s="88">
        <f>SUMIF(月間集計シート!$M$71:$M$90,$G1034,月間集計シート!O$71:O$90)*Y$2</f>
        <v>0</v>
      </c>
      <c r="Z1034" s="88">
        <f>SUMIF(月間集計シート!$M$71:$M$90,$G1034,月間集計シート!P$71:P$90)*Z$2</f>
        <v>0</v>
      </c>
      <c r="AA1034" s="88">
        <f>SUMIF(月間集計シート!$M$71:$M$90,$G1034,月間集計シート!Q$71:Q$90)*AA$2</f>
        <v>0</v>
      </c>
      <c r="AB1034" s="88">
        <f>SUMIF(月間集計シート!$M$71:$M$90,$G1034,月間集計シート!R$71:R$90)*AB$2</f>
        <v>0</v>
      </c>
      <c r="AC1034" s="88">
        <f>SUMIF(月間集計シート!$M$71:$M$90,$G1034,月間集計シート!S$71:S$90)*AC$2</f>
        <v>0</v>
      </c>
      <c r="AD1034" s="88">
        <f>SUMIF(月間集計シート!$M$71:$M$90,$G1034,月間集計シート!T$71:T$90)*AD$2</f>
        <v>0</v>
      </c>
      <c r="AE1034" s="88">
        <f>SUMIF(月間集計シート!$M$92:$M$111,$G1034,月間集計シート!N$92:N$111)*AE$2</f>
        <v>0</v>
      </c>
      <c r="AF1034" s="88">
        <f>SUMIF(月間集計シート!$M$92:$M$111,$G1034,月間集計シート!O$92:O$111)*AF$2</f>
        <v>0</v>
      </c>
      <c r="AG1034" s="88">
        <f>SUMIF(月間集計シート!$M$92:$M$111,$G1034,月間集計シート!P$92:P$111)*AG$2</f>
        <v>0</v>
      </c>
      <c r="AH1034" s="88">
        <f>SUMIF(月間集計シート!$M$92:$M$111,$G1034,月間集計シート!Q$92:Q$111)*AH$2</f>
        <v>0</v>
      </c>
      <c r="AI1034" s="88">
        <f>SUMIF(月間集計シート!$M$92:$M$111,$G1034,月間集計シート!R$92:R$111)*AI$2</f>
        <v>0</v>
      </c>
      <c r="AJ1034" s="88">
        <f>SUMIF(月間集計シート!$M$92:$M$111,$G1034,月間集計シート!S$92:S$111)*AJ$2</f>
        <v>0</v>
      </c>
      <c r="AK1034" s="88">
        <f>SUMIF(月間集計シート!$M$92:$M$111,$G1034,月間集計シート!T$92:T$111)*AK$2</f>
        <v>0</v>
      </c>
      <c r="AL1034" s="88">
        <f>SUMIF(月間集計シート!$M$113:$M$132,$G1034,月間集計シート!N$113:N$132)*AL$2</f>
        <v>0</v>
      </c>
      <c r="AM1034" s="88">
        <f>SUMIF(月間集計シート!$M$113:$M$132,$G1034,月間集計シート!O$113:O$132)*AM$2</f>
        <v>0</v>
      </c>
      <c r="AN1034" s="88">
        <f>SUMIF(月間集計シート!$M$113:$M$132,$G1034,月間集計シート!P$113:P$132)*AN$2</f>
        <v>0</v>
      </c>
      <c r="AO1034" s="88">
        <f>SUMIF(月間集計シート!$M$113:$M$132,$G1034,月間集計シート!Q$113:Q$132)*AO$2</f>
        <v>0</v>
      </c>
      <c r="AP1034" s="88">
        <f>SUMIF(月間集計シート!$M$113:$M$132,$G1034,月間集計シート!R$113:R$132)*AP$2</f>
        <v>0</v>
      </c>
      <c r="AQ1034" s="88">
        <f>SUMIF(月間集計シート!$M$113:$M$132,$G1034,月間集計シート!S$113:S$132)*AQ$2</f>
        <v>0</v>
      </c>
      <c r="AR1034" s="88">
        <f>SUMIF(月間集計シート!$M$113:$M$132,$G1034,月間集計シート!T$113:T$132)*AR$2</f>
        <v>0</v>
      </c>
      <c r="AS1034" s="88">
        <f>SUMIF(月間集計シート!$M$134:$M$153,$G1034,月間集計シート!N$134:N$153)*AS$2</f>
        <v>0</v>
      </c>
      <c r="AT1034" s="88">
        <f>SUMIF(月間集計シート!$M$134:$M$153,$G1034,月間集計シート!O$134:O$153)*AT$2</f>
        <v>0</v>
      </c>
      <c r="AU1034" s="88">
        <f>SUMIF(月間集計シート!$M$134:$M$153,$G1034,月間集計シート!P$134:P$153)*AU$2</f>
        <v>0</v>
      </c>
      <c r="AV1034" s="88">
        <f>SUMIF(月間集計シート!$M$134:$M$153,$G1034,月間集計シート!Q$134:Q$153)*AV$2</f>
        <v>0</v>
      </c>
      <c r="AW1034" s="88">
        <f>SUMIF(月間集計シート!$M$134:$M$153,$G1034,月間集計シート!R$134:R$153)*AW$2</f>
        <v>0</v>
      </c>
      <c r="AX1034" s="88">
        <f>SUMIF(月間集計シート!$M$134:$M$153,$G1034,月間集計シート!S$134:S$153)*AX$2</f>
        <v>0</v>
      </c>
      <c r="AY1034" s="88">
        <f>SUMIF(月間集計シート!$M$134:$M$153,$G1034,月間集計シート!T$134:T$153)*AY$2</f>
        <v>0</v>
      </c>
    </row>
    <row r="1035" spans="1:51" ht="14.25" thickBot="1">
      <c r="A1035">
        <v>13</v>
      </c>
      <c r="B1035" s="120">
        <f t="shared" si="570"/>
        <v>0</v>
      </c>
      <c r="C1035" s="120" t="str">
        <f t="shared" si="571"/>
        <v/>
      </c>
      <c r="D1035" s="137"/>
      <c r="E1035" s="150" t="str">
        <f>工種!A7</f>
        <v>20101</v>
      </c>
      <c r="F1035" s="119" t="str">
        <f>工種!B7</f>
        <v>設計：外部設計書作成</v>
      </c>
      <c r="G1035" s="116" t="str">
        <f t="shared" si="519"/>
        <v>020101</v>
      </c>
      <c r="H1035" s="88">
        <f t="shared" si="569"/>
        <v>0</v>
      </c>
      <c r="I1035" s="132"/>
      <c r="J1035" s="88">
        <f>SUMIF(月間集計シート!$M$29:$M$48,$G1035,月間集計シート!N$29:N$48)*J$2</f>
        <v>0</v>
      </c>
      <c r="K1035" s="88">
        <f>SUMIF(月間集計シート!$M$29:$M$48,$G1035,月間集計シート!O$29:O$48)*K$2</f>
        <v>0</v>
      </c>
      <c r="L1035" s="88">
        <f>SUMIF(月間集計シート!$M$29:$M$48,$G1035,月間集計シート!P$29:P$48)*L$2</f>
        <v>0</v>
      </c>
      <c r="M1035" s="88">
        <f>SUMIF(月間集計シート!$M$29:$M$48,$G1035,月間集計シート!Q$29:Q$48)*M$2</f>
        <v>0</v>
      </c>
      <c r="N1035" s="88">
        <f>SUMIF(月間集計シート!$M$29:$M$48,$G1035,月間集計シート!R$29:R$48)*N$2</f>
        <v>0</v>
      </c>
      <c r="O1035" s="88">
        <f>SUMIF(月間集計シート!$M$29:$M$48,$G1035,月間集計シート!S$29:S$48)*O$2</f>
        <v>0</v>
      </c>
      <c r="P1035" s="88">
        <f>SUMIF(月間集計シート!$M$29:$M$48,$G1035,月間集計シート!T$29:T$48)*P$2</f>
        <v>0</v>
      </c>
      <c r="Q1035" s="88">
        <f>SUMIF(月間集計シート!$M$50:$M$69,$G1035,月間集計シート!N$50:N$69)*Q$2</f>
        <v>0</v>
      </c>
      <c r="R1035" s="88">
        <f>SUMIF(月間集計シート!$M$50:$M$69,$G1035,月間集計シート!O$50:O$69)*R$2</f>
        <v>0</v>
      </c>
      <c r="S1035" s="88">
        <f>SUMIF(月間集計シート!$M$50:$M$69,$G1035,月間集計シート!P$50:P$69)*S$2</f>
        <v>0</v>
      </c>
      <c r="T1035" s="88">
        <f>SUMIF(月間集計シート!$M$50:$M$69,$G1035,月間集計シート!Q$50:Q$69)*T$2</f>
        <v>0</v>
      </c>
      <c r="U1035" s="88">
        <f>SUMIF(月間集計シート!$M$50:$M$69,$G1035,月間集計シート!R$50:R$69)*U$2</f>
        <v>0</v>
      </c>
      <c r="V1035" s="88">
        <f>SUMIF(月間集計シート!$M$50:$M$69,$G1035,月間集計シート!S$50:S$69)*V$2</f>
        <v>0</v>
      </c>
      <c r="W1035" s="88">
        <f>SUMIF(月間集計シート!$M$50:$M$69,$G1035,月間集計シート!T$50:T$69)*W$2</f>
        <v>0</v>
      </c>
      <c r="X1035" s="88">
        <f>SUMIF(月間集計シート!$M$71:$M$90,$G1035,月間集計シート!N$71:N$90)*X$2</f>
        <v>0</v>
      </c>
      <c r="Y1035" s="88">
        <f>SUMIF(月間集計シート!$M$71:$M$90,$G1035,月間集計シート!O$71:O$90)*Y$2</f>
        <v>0</v>
      </c>
      <c r="Z1035" s="88">
        <f>SUMIF(月間集計シート!$M$71:$M$90,$G1035,月間集計シート!P$71:P$90)*Z$2</f>
        <v>0</v>
      </c>
      <c r="AA1035" s="88">
        <f>SUMIF(月間集計シート!$M$71:$M$90,$G1035,月間集計シート!Q$71:Q$90)*AA$2</f>
        <v>0</v>
      </c>
      <c r="AB1035" s="88">
        <f>SUMIF(月間集計シート!$M$71:$M$90,$G1035,月間集計シート!R$71:R$90)*AB$2</f>
        <v>0</v>
      </c>
      <c r="AC1035" s="88">
        <f>SUMIF(月間集計シート!$M$71:$M$90,$G1035,月間集計シート!S$71:S$90)*AC$2</f>
        <v>0</v>
      </c>
      <c r="AD1035" s="88">
        <f>SUMIF(月間集計シート!$M$71:$M$90,$G1035,月間集計シート!T$71:T$90)*AD$2</f>
        <v>0</v>
      </c>
      <c r="AE1035" s="88">
        <f>SUMIF(月間集計シート!$M$92:$M$111,$G1035,月間集計シート!N$92:N$111)*AE$2</f>
        <v>0</v>
      </c>
      <c r="AF1035" s="88">
        <f>SUMIF(月間集計シート!$M$92:$M$111,$G1035,月間集計シート!O$92:O$111)*AF$2</f>
        <v>0</v>
      </c>
      <c r="AG1035" s="88">
        <f>SUMIF(月間集計シート!$M$92:$M$111,$G1035,月間集計シート!P$92:P$111)*AG$2</f>
        <v>0</v>
      </c>
      <c r="AH1035" s="88">
        <f>SUMIF(月間集計シート!$M$92:$M$111,$G1035,月間集計シート!Q$92:Q$111)*AH$2</f>
        <v>0</v>
      </c>
      <c r="AI1035" s="88">
        <f>SUMIF(月間集計シート!$M$92:$M$111,$G1035,月間集計シート!R$92:R$111)*AI$2</f>
        <v>0</v>
      </c>
      <c r="AJ1035" s="88">
        <f>SUMIF(月間集計シート!$M$92:$M$111,$G1035,月間集計シート!S$92:S$111)*AJ$2</f>
        <v>0</v>
      </c>
      <c r="AK1035" s="88">
        <f>SUMIF(月間集計シート!$M$92:$M$111,$G1035,月間集計シート!T$92:T$111)*AK$2</f>
        <v>0</v>
      </c>
      <c r="AL1035" s="88">
        <f>SUMIF(月間集計シート!$M$113:$M$132,$G1035,月間集計シート!N$113:N$132)*AL$2</f>
        <v>0</v>
      </c>
      <c r="AM1035" s="88">
        <f>SUMIF(月間集計シート!$M$113:$M$132,$G1035,月間集計シート!O$113:O$132)*AM$2</f>
        <v>0</v>
      </c>
      <c r="AN1035" s="88">
        <f>SUMIF(月間集計シート!$M$113:$M$132,$G1035,月間集計シート!P$113:P$132)*AN$2</f>
        <v>0</v>
      </c>
      <c r="AO1035" s="88">
        <f>SUMIF(月間集計シート!$M$113:$M$132,$G1035,月間集計シート!Q$113:Q$132)*AO$2</f>
        <v>0</v>
      </c>
      <c r="AP1035" s="88">
        <f>SUMIF(月間集計シート!$M$113:$M$132,$G1035,月間集計シート!R$113:R$132)*AP$2</f>
        <v>0</v>
      </c>
      <c r="AQ1035" s="88">
        <f>SUMIF(月間集計シート!$M$113:$M$132,$G1035,月間集計シート!S$113:S$132)*AQ$2</f>
        <v>0</v>
      </c>
      <c r="AR1035" s="88">
        <f>SUMIF(月間集計シート!$M$113:$M$132,$G1035,月間集計シート!T$113:T$132)*AR$2</f>
        <v>0</v>
      </c>
      <c r="AS1035" s="88">
        <f>SUMIF(月間集計シート!$M$134:$M$153,$G1035,月間集計シート!N$134:N$153)*AS$2</f>
        <v>0</v>
      </c>
      <c r="AT1035" s="88">
        <f>SUMIF(月間集計シート!$M$134:$M$153,$G1035,月間集計シート!O$134:O$153)*AT$2</f>
        <v>0</v>
      </c>
      <c r="AU1035" s="88">
        <f>SUMIF(月間集計シート!$M$134:$M$153,$G1035,月間集計シート!P$134:P$153)*AU$2</f>
        <v>0</v>
      </c>
      <c r="AV1035" s="88">
        <f>SUMIF(月間集計シート!$M$134:$M$153,$G1035,月間集計シート!Q$134:Q$153)*AV$2</f>
        <v>0</v>
      </c>
      <c r="AW1035" s="88">
        <f>SUMIF(月間集計シート!$M$134:$M$153,$G1035,月間集計シート!R$134:R$153)*AW$2</f>
        <v>0</v>
      </c>
      <c r="AX1035" s="88">
        <f>SUMIF(月間集計シート!$M$134:$M$153,$G1035,月間集計シート!S$134:S$153)*AX$2</f>
        <v>0</v>
      </c>
      <c r="AY1035" s="88">
        <f>SUMIF(月間集計シート!$M$134:$M$153,$G1035,月間集計シート!T$134:T$153)*AY$2</f>
        <v>0</v>
      </c>
    </row>
    <row r="1036" spans="1:51" ht="14.25" thickBot="1">
      <c r="A1036">
        <v>13</v>
      </c>
      <c r="B1036" s="120">
        <f t="shared" si="570"/>
        <v>0</v>
      </c>
      <c r="C1036" s="120" t="str">
        <f t="shared" si="571"/>
        <v/>
      </c>
      <c r="D1036" s="137"/>
      <c r="E1036" s="150" t="str">
        <f>工種!A8</f>
        <v>20103</v>
      </c>
      <c r="F1036" s="119" t="str">
        <f>工種!B8</f>
        <v>設計：打合せ</v>
      </c>
      <c r="G1036" s="116" t="str">
        <f t="shared" si="519"/>
        <v>020103</v>
      </c>
      <c r="H1036" s="88">
        <f t="shared" si="569"/>
        <v>0</v>
      </c>
      <c r="I1036" s="132"/>
      <c r="J1036" s="88">
        <f>SUMIF(月間集計シート!$M$29:$M$48,$G1036,月間集計シート!N$29:N$48)*J$2</f>
        <v>0</v>
      </c>
      <c r="K1036" s="88">
        <f>SUMIF(月間集計シート!$M$29:$M$48,$G1036,月間集計シート!O$29:O$48)*K$2</f>
        <v>0</v>
      </c>
      <c r="L1036" s="88">
        <f>SUMIF(月間集計シート!$M$29:$M$48,$G1036,月間集計シート!P$29:P$48)*L$2</f>
        <v>0</v>
      </c>
      <c r="M1036" s="88">
        <f>SUMIF(月間集計シート!$M$29:$M$48,$G1036,月間集計シート!Q$29:Q$48)*M$2</f>
        <v>0</v>
      </c>
      <c r="N1036" s="88">
        <f>SUMIF(月間集計シート!$M$29:$M$48,$G1036,月間集計シート!R$29:R$48)*N$2</f>
        <v>0</v>
      </c>
      <c r="O1036" s="88">
        <f>SUMIF(月間集計シート!$M$29:$M$48,$G1036,月間集計シート!S$29:S$48)*O$2</f>
        <v>0</v>
      </c>
      <c r="P1036" s="88">
        <f>SUMIF(月間集計シート!$M$29:$M$48,$G1036,月間集計シート!T$29:T$48)*P$2</f>
        <v>0</v>
      </c>
      <c r="Q1036" s="88">
        <f>SUMIF(月間集計シート!$M$50:$M$69,$G1036,月間集計シート!N$50:N$69)*Q$2</f>
        <v>0</v>
      </c>
      <c r="R1036" s="88">
        <f>SUMIF(月間集計シート!$M$50:$M$69,$G1036,月間集計シート!O$50:O$69)*R$2</f>
        <v>0</v>
      </c>
      <c r="S1036" s="88">
        <f>SUMIF(月間集計シート!$M$50:$M$69,$G1036,月間集計シート!P$50:P$69)*S$2</f>
        <v>0</v>
      </c>
      <c r="T1036" s="88">
        <f>SUMIF(月間集計シート!$M$50:$M$69,$G1036,月間集計シート!Q$50:Q$69)*T$2</f>
        <v>0</v>
      </c>
      <c r="U1036" s="88">
        <f>SUMIF(月間集計シート!$M$50:$M$69,$G1036,月間集計シート!R$50:R$69)*U$2</f>
        <v>0</v>
      </c>
      <c r="V1036" s="88">
        <f>SUMIF(月間集計シート!$M$50:$M$69,$G1036,月間集計シート!S$50:S$69)*V$2</f>
        <v>0</v>
      </c>
      <c r="W1036" s="88">
        <f>SUMIF(月間集計シート!$M$50:$M$69,$G1036,月間集計シート!T$50:T$69)*W$2</f>
        <v>0</v>
      </c>
      <c r="X1036" s="88">
        <f>SUMIF(月間集計シート!$M$71:$M$90,$G1036,月間集計シート!N$71:N$90)*X$2</f>
        <v>0</v>
      </c>
      <c r="Y1036" s="88">
        <f>SUMIF(月間集計シート!$M$71:$M$90,$G1036,月間集計シート!O$71:O$90)*Y$2</f>
        <v>0</v>
      </c>
      <c r="Z1036" s="88">
        <f>SUMIF(月間集計シート!$M$71:$M$90,$G1036,月間集計シート!P$71:P$90)*Z$2</f>
        <v>0</v>
      </c>
      <c r="AA1036" s="88">
        <f>SUMIF(月間集計シート!$M$71:$M$90,$G1036,月間集計シート!Q$71:Q$90)*AA$2</f>
        <v>0</v>
      </c>
      <c r="AB1036" s="88">
        <f>SUMIF(月間集計シート!$M$71:$M$90,$G1036,月間集計シート!R$71:R$90)*AB$2</f>
        <v>0</v>
      </c>
      <c r="AC1036" s="88">
        <f>SUMIF(月間集計シート!$M$71:$M$90,$G1036,月間集計シート!S$71:S$90)*AC$2</f>
        <v>0</v>
      </c>
      <c r="AD1036" s="88">
        <f>SUMIF(月間集計シート!$M$71:$M$90,$G1036,月間集計シート!T$71:T$90)*AD$2</f>
        <v>0</v>
      </c>
      <c r="AE1036" s="88">
        <f>SUMIF(月間集計シート!$M$92:$M$111,$G1036,月間集計シート!N$92:N$111)*AE$2</f>
        <v>0</v>
      </c>
      <c r="AF1036" s="88">
        <f>SUMIF(月間集計シート!$M$92:$M$111,$G1036,月間集計シート!O$92:O$111)*AF$2</f>
        <v>0</v>
      </c>
      <c r="AG1036" s="88">
        <f>SUMIF(月間集計シート!$M$92:$M$111,$G1036,月間集計シート!P$92:P$111)*AG$2</f>
        <v>0</v>
      </c>
      <c r="AH1036" s="88">
        <f>SUMIF(月間集計シート!$M$92:$M$111,$G1036,月間集計シート!Q$92:Q$111)*AH$2</f>
        <v>0</v>
      </c>
      <c r="AI1036" s="88">
        <f>SUMIF(月間集計シート!$M$92:$M$111,$G1036,月間集計シート!R$92:R$111)*AI$2</f>
        <v>0</v>
      </c>
      <c r="AJ1036" s="88">
        <f>SUMIF(月間集計シート!$M$92:$M$111,$G1036,月間集計シート!S$92:S$111)*AJ$2</f>
        <v>0</v>
      </c>
      <c r="AK1036" s="88">
        <f>SUMIF(月間集計シート!$M$92:$M$111,$G1036,月間集計シート!T$92:T$111)*AK$2</f>
        <v>0</v>
      </c>
      <c r="AL1036" s="88">
        <f>SUMIF(月間集計シート!$M$113:$M$132,$G1036,月間集計シート!N$113:N$132)*AL$2</f>
        <v>0</v>
      </c>
      <c r="AM1036" s="88">
        <f>SUMIF(月間集計シート!$M$113:$M$132,$G1036,月間集計シート!O$113:O$132)*AM$2</f>
        <v>0</v>
      </c>
      <c r="AN1036" s="88">
        <f>SUMIF(月間集計シート!$M$113:$M$132,$G1036,月間集計シート!P$113:P$132)*AN$2</f>
        <v>0</v>
      </c>
      <c r="AO1036" s="88">
        <f>SUMIF(月間集計シート!$M$113:$M$132,$G1036,月間集計シート!Q$113:Q$132)*AO$2</f>
        <v>0</v>
      </c>
      <c r="AP1036" s="88">
        <f>SUMIF(月間集計シート!$M$113:$M$132,$G1036,月間集計シート!R$113:R$132)*AP$2</f>
        <v>0</v>
      </c>
      <c r="AQ1036" s="88">
        <f>SUMIF(月間集計シート!$M$113:$M$132,$G1036,月間集計シート!S$113:S$132)*AQ$2</f>
        <v>0</v>
      </c>
      <c r="AR1036" s="88">
        <f>SUMIF(月間集計シート!$M$113:$M$132,$G1036,月間集計シート!T$113:T$132)*AR$2</f>
        <v>0</v>
      </c>
      <c r="AS1036" s="88">
        <f>SUMIF(月間集計シート!$M$134:$M$153,$G1036,月間集計シート!N$134:N$153)*AS$2</f>
        <v>0</v>
      </c>
      <c r="AT1036" s="88">
        <f>SUMIF(月間集計シート!$M$134:$M$153,$G1036,月間集計シート!O$134:O$153)*AT$2</f>
        <v>0</v>
      </c>
      <c r="AU1036" s="88">
        <f>SUMIF(月間集計シート!$M$134:$M$153,$G1036,月間集計シート!P$134:P$153)*AU$2</f>
        <v>0</v>
      </c>
      <c r="AV1036" s="88">
        <f>SUMIF(月間集計シート!$M$134:$M$153,$G1036,月間集計シート!Q$134:Q$153)*AV$2</f>
        <v>0</v>
      </c>
      <c r="AW1036" s="88">
        <f>SUMIF(月間集計シート!$M$134:$M$153,$G1036,月間集計シート!R$134:R$153)*AW$2</f>
        <v>0</v>
      </c>
      <c r="AX1036" s="88">
        <f>SUMIF(月間集計シート!$M$134:$M$153,$G1036,月間集計シート!S$134:S$153)*AX$2</f>
        <v>0</v>
      </c>
      <c r="AY1036" s="88">
        <f>SUMIF(月間集計シート!$M$134:$M$153,$G1036,月間集計シート!T$134:T$153)*AY$2</f>
        <v>0</v>
      </c>
    </row>
    <row r="1037" spans="1:51" ht="14.25" thickBot="1">
      <c r="A1037">
        <v>13</v>
      </c>
      <c r="B1037" s="120">
        <f t="shared" si="570"/>
        <v>0</v>
      </c>
      <c r="C1037" s="120" t="str">
        <f t="shared" si="571"/>
        <v/>
      </c>
      <c r="D1037" s="137"/>
      <c r="E1037" s="150">
        <f>工種!A9</f>
        <v>20105</v>
      </c>
      <c r="F1037" s="119" t="str">
        <f>工種!B9</f>
        <v>設計：原因調査・影響範囲分析・変更仕様作成</v>
      </c>
      <c r="G1037" s="116" t="str">
        <f t="shared" si="519"/>
        <v>020105</v>
      </c>
      <c r="H1037" s="88">
        <f t="shared" si="569"/>
        <v>0</v>
      </c>
      <c r="I1037" s="132"/>
      <c r="J1037" s="88">
        <f>SUMIF(月間集計シート!$M$29:$M$48,$G1037,月間集計シート!N$29:N$48)*J$2</f>
        <v>0</v>
      </c>
      <c r="K1037" s="88">
        <f>SUMIF(月間集計シート!$M$29:$M$48,$G1037,月間集計シート!O$29:O$48)*K$2</f>
        <v>0</v>
      </c>
      <c r="L1037" s="88">
        <f>SUMIF(月間集計シート!$M$29:$M$48,$G1037,月間集計シート!P$29:P$48)*L$2</f>
        <v>0</v>
      </c>
      <c r="M1037" s="88">
        <f>SUMIF(月間集計シート!$M$29:$M$48,$G1037,月間集計シート!Q$29:Q$48)*M$2</f>
        <v>0</v>
      </c>
      <c r="N1037" s="88">
        <f>SUMIF(月間集計シート!$M$29:$M$48,$G1037,月間集計シート!R$29:R$48)*N$2</f>
        <v>0</v>
      </c>
      <c r="O1037" s="88">
        <f>SUMIF(月間集計シート!$M$29:$M$48,$G1037,月間集計シート!S$29:S$48)*O$2</f>
        <v>0</v>
      </c>
      <c r="P1037" s="88">
        <f>SUMIF(月間集計シート!$M$29:$M$48,$G1037,月間集計シート!T$29:T$48)*P$2</f>
        <v>0</v>
      </c>
      <c r="Q1037" s="88">
        <f>SUMIF(月間集計シート!$M$50:$M$69,$G1037,月間集計シート!N$50:N$69)*Q$2</f>
        <v>0</v>
      </c>
      <c r="R1037" s="88">
        <f>SUMIF(月間集計シート!$M$50:$M$69,$G1037,月間集計シート!O$50:O$69)*R$2</f>
        <v>0</v>
      </c>
      <c r="S1037" s="88">
        <f>SUMIF(月間集計シート!$M$50:$M$69,$G1037,月間集計シート!P$50:P$69)*S$2</f>
        <v>0</v>
      </c>
      <c r="T1037" s="88">
        <f>SUMIF(月間集計シート!$M$50:$M$69,$G1037,月間集計シート!Q$50:Q$69)*T$2</f>
        <v>0</v>
      </c>
      <c r="U1037" s="88">
        <f>SUMIF(月間集計シート!$M$50:$M$69,$G1037,月間集計シート!R$50:R$69)*U$2</f>
        <v>0</v>
      </c>
      <c r="V1037" s="88">
        <f>SUMIF(月間集計シート!$M$50:$M$69,$G1037,月間集計シート!S$50:S$69)*V$2</f>
        <v>0</v>
      </c>
      <c r="W1037" s="88">
        <f>SUMIF(月間集計シート!$M$50:$M$69,$G1037,月間集計シート!T$50:T$69)*W$2</f>
        <v>0</v>
      </c>
      <c r="X1037" s="88">
        <f>SUMIF(月間集計シート!$M$71:$M$90,$G1037,月間集計シート!N$71:N$90)*X$2</f>
        <v>0</v>
      </c>
      <c r="Y1037" s="88">
        <f>SUMIF(月間集計シート!$M$71:$M$90,$G1037,月間集計シート!O$71:O$90)*Y$2</f>
        <v>0</v>
      </c>
      <c r="Z1037" s="88">
        <f>SUMIF(月間集計シート!$M$71:$M$90,$G1037,月間集計シート!P$71:P$90)*Z$2</f>
        <v>0</v>
      </c>
      <c r="AA1037" s="88">
        <f>SUMIF(月間集計シート!$M$71:$M$90,$G1037,月間集計シート!Q$71:Q$90)*AA$2</f>
        <v>0</v>
      </c>
      <c r="AB1037" s="88">
        <f>SUMIF(月間集計シート!$M$71:$M$90,$G1037,月間集計シート!R$71:R$90)*AB$2</f>
        <v>0</v>
      </c>
      <c r="AC1037" s="88">
        <f>SUMIF(月間集計シート!$M$71:$M$90,$G1037,月間集計シート!S$71:S$90)*AC$2</f>
        <v>0</v>
      </c>
      <c r="AD1037" s="88">
        <f>SUMIF(月間集計シート!$M$71:$M$90,$G1037,月間集計シート!T$71:T$90)*AD$2</f>
        <v>0</v>
      </c>
      <c r="AE1037" s="88">
        <f>SUMIF(月間集計シート!$M$92:$M$111,$G1037,月間集計シート!N$92:N$111)*AE$2</f>
        <v>0</v>
      </c>
      <c r="AF1037" s="88">
        <f>SUMIF(月間集計シート!$M$92:$M$111,$G1037,月間集計シート!O$92:O$111)*AF$2</f>
        <v>0</v>
      </c>
      <c r="AG1037" s="88">
        <f>SUMIF(月間集計シート!$M$92:$M$111,$G1037,月間集計シート!P$92:P$111)*AG$2</f>
        <v>0</v>
      </c>
      <c r="AH1037" s="88">
        <f>SUMIF(月間集計シート!$M$92:$M$111,$G1037,月間集計シート!Q$92:Q$111)*AH$2</f>
        <v>0</v>
      </c>
      <c r="AI1037" s="88">
        <f>SUMIF(月間集計シート!$M$92:$M$111,$G1037,月間集計シート!R$92:R$111)*AI$2</f>
        <v>0</v>
      </c>
      <c r="AJ1037" s="88">
        <f>SUMIF(月間集計シート!$M$92:$M$111,$G1037,月間集計シート!S$92:S$111)*AJ$2</f>
        <v>0</v>
      </c>
      <c r="AK1037" s="88">
        <f>SUMIF(月間集計シート!$M$92:$M$111,$G1037,月間集計シート!T$92:T$111)*AK$2</f>
        <v>0</v>
      </c>
      <c r="AL1037" s="88">
        <f>SUMIF(月間集計シート!$M$113:$M$132,$G1037,月間集計シート!N$113:N$132)*AL$2</f>
        <v>0</v>
      </c>
      <c r="AM1037" s="88">
        <f>SUMIF(月間集計シート!$M$113:$M$132,$G1037,月間集計シート!O$113:O$132)*AM$2</f>
        <v>0</v>
      </c>
      <c r="AN1037" s="88">
        <f>SUMIF(月間集計シート!$M$113:$M$132,$G1037,月間集計シート!P$113:P$132)*AN$2</f>
        <v>0</v>
      </c>
      <c r="AO1037" s="88">
        <f>SUMIF(月間集計シート!$M$113:$M$132,$G1037,月間集計シート!Q$113:Q$132)*AO$2</f>
        <v>0</v>
      </c>
      <c r="AP1037" s="88">
        <f>SUMIF(月間集計シート!$M$113:$M$132,$G1037,月間集計シート!R$113:R$132)*AP$2</f>
        <v>0</v>
      </c>
      <c r="AQ1037" s="88">
        <f>SUMIF(月間集計シート!$M$113:$M$132,$G1037,月間集計シート!S$113:S$132)*AQ$2</f>
        <v>0</v>
      </c>
      <c r="AR1037" s="88">
        <f>SUMIF(月間集計シート!$M$113:$M$132,$G1037,月間集計シート!T$113:T$132)*AR$2</f>
        <v>0</v>
      </c>
      <c r="AS1037" s="88">
        <f>SUMIF(月間集計シート!$M$134:$M$153,$G1037,月間集計シート!N$134:N$153)*AS$2</f>
        <v>0</v>
      </c>
      <c r="AT1037" s="88">
        <f>SUMIF(月間集計シート!$M$134:$M$153,$G1037,月間集計シート!O$134:O$153)*AT$2</f>
        <v>0</v>
      </c>
      <c r="AU1037" s="88">
        <f>SUMIF(月間集計シート!$M$134:$M$153,$G1037,月間集計シート!P$134:P$153)*AU$2</f>
        <v>0</v>
      </c>
      <c r="AV1037" s="88">
        <f>SUMIF(月間集計シート!$M$134:$M$153,$G1037,月間集計シート!Q$134:Q$153)*AV$2</f>
        <v>0</v>
      </c>
      <c r="AW1037" s="88">
        <f>SUMIF(月間集計シート!$M$134:$M$153,$G1037,月間集計シート!R$134:R$153)*AW$2</f>
        <v>0</v>
      </c>
      <c r="AX1037" s="88">
        <f>SUMIF(月間集計シート!$M$134:$M$153,$G1037,月間集計シート!S$134:S$153)*AX$2</f>
        <v>0</v>
      </c>
      <c r="AY1037" s="88">
        <f>SUMIF(月間集計シート!$M$134:$M$153,$G1037,月間集計シート!T$134:T$153)*AY$2</f>
        <v>0</v>
      </c>
    </row>
    <row r="1038" spans="1:51" ht="14.25" thickBot="1">
      <c r="A1038">
        <v>13</v>
      </c>
      <c r="B1038" s="120">
        <f t="shared" si="570"/>
        <v>0</v>
      </c>
      <c r="C1038" s="120" t="str">
        <f t="shared" si="571"/>
        <v/>
      </c>
      <c r="D1038" s="137"/>
      <c r="E1038" s="150" t="str">
        <f>工種!A10</f>
        <v>20106</v>
      </c>
      <c r="F1038" s="119" t="str">
        <f>工種!B10</f>
        <v>設計：設計書修正（手戻り分）</v>
      </c>
      <c r="G1038" s="116" t="str">
        <f t="shared" si="519"/>
        <v>020106</v>
      </c>
      <c r="H1038" s="88">
        <f t="shared" si="569"/>
        <v>0</v>
      </c>
      <c r="I1038" s="132"/>
      <c r="J1038" s="88">
        <f>SUMIF(月間集計シート!$M$29:$M$48,$G1038,月間集計シート!N$29:N$48)*J$2</f>
        <v>0</v>
      </c>
      <c r="K1038" s="88">
        <f>SUMIF(月間集計シート!$M$29:$M$48,$G1038,月間集計シート!O$29:O$48)*K$2</f>
        <v>0</v>
      </c>
      <c r="L1038" s="88">
        <f>SUMIF(月間集計シート!$M$29:$M$48,$G1038,月間集計シート!P$29:P$48)*L$2</f>
        <v>0</v>
      </c>
      <c r="M1038" s="88">
        <f>SUMIF(月間集計シート!$M$29:$M$48,$G1038,月間集計シート!Q$29:Q$48)*M$2</f>
        <v>0</v>
      </c>
      <c r="N1038" s="88">
        <f>SUMIF(月間集計シート!$M$29:$M$48,$G1038,月間集計シート!R$29:R$48)*N$2</f>
        <v>0</v>
      </c>
      <c r="O1038" s="88">
        <f>SUMIF(月間集計シート!$M$29:$M$48,$G1038,月間集計シート!S$29:S$48)*O$2</f>
        <v>0</v>
      </c>
      <c r="P1038" s="88">
        <f>SUMIF(月間集計シート!$M$29:$M$48,$G1038,月間集計シート!T$29:T$48)*P$2</f>
        <v>0</v>
      </c>
      <c r="Q1038" s="88">
        <f>SUMIF(月間集計シート!$M$50:$M$69,$G1038,月間集計シート!N$50:N$69)*Q$2</f>
        <v>0</v>
      </c>
      <c r="R1038" s="88">
        <f>SUMIF(月間集計シート!$M$50:$M$69,$G1038,月間集計シート!O$50:O$69)*R$2</f>
        <v>0</v>
      </c>
      <c r="S1038" s="88">
        <f>SUMIF(月間集計シート!$M$50:$M$69,$G1038,月間集計シート!P$50:P$69)*S$2</f>
        <v>0</v>
      </c>
      <c r="T1038" s="88">
        <f>SUMIF(月間集計シート!$M$50:$M$69,$G1038,月間集計シート!Q$50:Q$69)*T$2</f>
        <v>0</v>
      </c>
      <c r="U1038" s="88">
        <f>SUMIF(月間集計シート!$M$50:$M$69,$G1038,月間集計シート!R$50:R$69)*U$2</f>
        <v>0</v>
      </c>
      <c r="V1038" s="88">
        <f>SUMIF(月間集計シート!$M$50:$M$69,$G1038,月間集計シート!S$50:S$69)*V$2</f>
        <v>0</v>
      </c>
      <c r="W1038" s="88">
        <f>SUMIF(月間集計シート!$M$50:$M$69,$G1038,月間集計シート!T$50:T$69)*W$2</f>
        <v>0</v>
      </c>
      <c r="X1038" s="88">
        <f>SUMIF(月間集計シート!$M$71:$M$90,$G1038,月間集計シート!N$71:N$90)*X$2</f>
        <v>0</v>
      </c>
      <c r="Y1038" s="88">
        <f>SUMIF(月間集計シート!$M$71:$M$90,$G1038,月間集計シート!O$71:O$90)*Y$2</f>
        <v>0</v>
      </c>
      <c r="Z1038" s="88">
        <f>SUMIF(月間集計シート!$M$71:$M$90,$G1038,月間集計シート!P$71:P$90)*Z$2</f>
        <v>0</v>
      </c>
      <c r="AA1038" s="88">
        <f>SUMIF(月間集計シート!$M$71:$M$90,$G1038,月間集計シート!Q$71:Q$90)*AA$2</f>
        <v>0</v>
      </c>
      <c r="AB1038" s="88">
        <f>SUMIF(月間集計シート!$M$71:$M$90,$G1038,月間集計シート!R$71:R$90)*AB$2</f>
        <v>0</v>
      </c>
      <c r="AC1038" s="88">
        <f>SUMIF(月間集計シート!$M$71:$M$90,$G1038,月間集計シート!S$71:S$90)*AC$2</f>
        <v>0</v>
      </c>
      <c r="AD1038" s="88">
        <f>SUMIF(月間集計シート!$M$71:$M$90,$G1038,月間集計シート!T$71:T$90)*AD$2</f>
        <v>0</v>
      </c>
      <c r="AE1038" s="88">
        <f>SUMIF(月間集計シート!$M$92:$M$111,$G1038,月間集計シート!N$92:N$111)*AE$2</f>
        <v>0</v>
      </c>
      <c r="AF1038" s="88">
        <f>SUMIF(月間集計シート!$M$92:$M$111,$G1038,月間集計シート!O$92:O$111)*AF$2</f>
        <v>0</v>
      </c>
      <c r="AG1038" s="88">
        <f>SUMIF(月間集計シート!$M$92:$M$111,$G1038,月間集計シート!P$92:P$111)*AG$2</f>
        <v>0</v>
      </c>
      <c r="AH1038" s="88">
        <f>SUMIF(月間集計シート!$M$92:$M$111,$G1038,月間集計シート!Q$92:Q$111)*AH$2</f>
        <v>0</v>
      </c>
      <c r="AI1038" s="88">
        <f>SUMIF(月間集計シート!$M$92:$M$111,$G1038,月間集計シート!R$92:R$111)*AI$2</f>
        <v>0</v>
      </c>
      <c r="AJ1038" s="88">
        <f>SUMIF(月間集計シート!$M$92:$M$111,$G1038,月間集計シート!S$92:S$111)*AJ$2</f>
        <v>0</v>
      </c>
      <c r="AK1038" s="88">
        <f>SUMIF(月間集計シート!$M$92:$M$111,$G1038,月間集計シート!T$92:T$111)*AK$2</f>
        <v>0</v>
      </c>
      <c r="AL1038" s="88">
        <f>SUMIF(月間集計シート!$M$113:$M$132,$G1038,月間集計シート!N$113:N$132)*AL$2</f>
        <v>0</v>
      </c>
      <c r="AM1038" s="88">
        <f>SUMIF(月間集計シート!$M$113:$M$132,$G1038,月間集計シート!O$113:O$132)*AM$2</f>
        <v>0</v>
      </c>
      <c r="AN1038" s="88">
        <f>SUMIF(月間集計シート!$M$113:$M$132,$G1038,月間集計シート!P$113:P$132)*AN$2</f>
        <v>0</v>
      </c>
      <c r="AO1038" s="88">
        <f>SUMIF(月間集計シート!$M$113:$M$132,$G1038,月間集計シート!Q$113:Q$132)*AO$2</f>
        <v>0</v>
      </c>
      <c r="AP1038" s="88">
        <f>SUMIF(月間集計シート!$M$113:$M$132,$G1038,月間集計シート!R$113:R$132)*AP$2</f>
        <v>0</v>
      </c>
      <c r="AQ1038" s="88">
        <f>SUMIF(月間集計シート!$M$113:$M$132,$G1038,月間集計シート!S$113:S$132)*AQ$2</f>
        <v>0</v>
      </c>
      <c r="AR1038" s="88">
        <f>SUMIF(月間集計シート!$M$113:$M$132,$G1038,月間集計シート!T$113:T$132)*AR$2</f>
        <v>0</v>
      </c>
      <c r="AS1038" s="88">
        <f>SUMIF(月間集計シート!$M$134:$M$153,$G1038,月間集計シート!N$134:N$153)*AS$2</f>
        <v>0</v>
      </c>
      <c r="AT1038" s="88">
        <f>SUMIF(月間集計シート!$M$134:$M$153,$G1038,月間集計シート!O$134:O$153)*AT$2</f>
        <v>0</v>
      </c>
      <c r="AU1038" s="88">
        <f>SUMIF(月間集計シート!$M$134:$M$153,$G1038,月間集計シート!P$134:P$153)*AU$2</f>
        <v>0</v>
      </c>
      <c r="AV1038" s="88">
        <f>SUMIF(月間集計シート!$M$134:$M$153,$G1038,月間集計シート!Q$134:Q$153)*AV$2</f>
        <v>0</v>
      </c>
      <c r="AW1038" s="88">
        <f>SUMIF(月間集計シート!$M$134:$M$153,$G1038,月間集計シート!R$134:R$153)*AW$2</f>
        <v>0</v>
      </c>
      <c r="AX1038" s="88">
        <f>SUMIF(月間集計シート!$M$134:$M$153,$G1038,月間集計シート!S$134:S$153)*AX$2</f>
        <v>0</v>
      </c>
      <c r="AY1038" s="88">
        <f>SUMIF(月間集計シート!$M$134:$M$153,$G1038,月間集計シート!T$134:T$153)*AY$2</f>
        <v>0</v>
      </c>
    </row>
    <row r="1039" spans="1:51" ht="14.25" thickBot="1">
      <c r="A1039">
        <v>13</v>
      </c>
      <c r="B1039" s="120">
        <f t="shared" si="570"/>
        <v>0</v>
      </c>
      <c r="C1039" s="120" t="str">
        <f t="shared" si="571"/>
        <v/>
      </c>
      <c r="D1039" s="137"/>
      <c r="E1039" s="150" t="str">
        <f>工種!A11</f>
        <v>20107</v>
      </c>
      <c r="F1039" s="119" t="str">
        <f>工種!B11</f>
        <v>設計：その他の設計書作成</v>
      </c>
      <c r="G1039" s="116" t="str">
        <f t="shared" si="519"/>
        <v>020107</v>
      </c>
      <c r="H1039" s="88">
        <f t="shared" si="569"/>
        <v>0</v>
      </c>
      <c r="I1039" s="132"/>
      <c r="J1039" s="88">
        <f>SUMIF(月間集計シート!$M$29:$M$48,$G1039,月間集計シート!N$29:N$48)*J$2</f>
        <v>0</v>
      </c>
      <c r="K1039" s="88">
        <f>SUMIF(月間集計シート!$M$29:$M$48,$G1039,月間集計シート!O$29:O$48)*K$2</f>
        <v>0</v>
      </c>
      <c r="L1039" s="88">
        <f>SUMIF(月間集計シート!$M$29:$M$48,$G1039,月間集計シート!P$29:P$48)*L$2</f>
        <v>0</v>
      </c>
      <c r="M1039" s="88">
        <f>SUMIF(月間集計シート!$M$29:$M$48,$G1039,月間集計シート!Q$29:Q$48)*M$2</f>
        <v>0</v>
      </c>
      <c r="N1039" s="88">
        <f>SUMIF(月間集計シート!$M$29:$M$48,$G1039,月間集計シート!R$29:R$48)*N$2</f>
        <v>0</v>
      </c>
      <c r="O1039" s="88">
        <f>SUMIF(月間集計シート!$M$29:$M$48,$G1039,月間集計シート!S$29:S$48)*O$2</f>
        <v>0</v>
      </c>
      <c r="P1039" s="88">
        <f>SUMIF(月間集計シート!$M$29:$M$48,$G1039,月間集計シート!T$29:T$48)*P$2</f>
        <v>0</v>
      </c>
      <c r="Q1039" s="88">
        <f>SUMIF(月間集計シート!$M$50:$M$69,$G1039,月間集計シート!N$50:N$69)*Q$2</f>
        <v>0</v>
      </c>
      <c r="R1039" s="88">
        <f>SUMIF(月間集計シート!$M$50:$M$69,$G1039,月間集計シート!O$50:O$69)*R$2</f>
        <v>0</v>
      </c>
      <c r="S1039" s="88">
        <f>SUMIF(月間集計シート!$M$50:$M$69,$G1039,月間集計シート!P$50:P$69)*S$2</f>
        <v>0</v>
      </c>
      <c r="T1039" s="88">
        <f>SUMIF(月間集計シート!$M$50:$M$69,$G1039,月間集計シート!Q$50:Q$69)*T$2</f>
        <v>0</v>
      </c>
      <c r="U1039" s="88">
        <f>SUMIF(月間集計シート!$M$50:$M$69,$G1039,月間集計シート!R$50:R$69)*U$2</f>
        <v>0</v>
      </c>
      <c r="V1039" s="88">
        <f>SUMIF(月間集計シート!$M$50:$M$69,$G1039,月間集計シート!S$50:S$69)*V$2</f>
        <v>0</v>
      </c>
      <c r="W1039" s="88">
        <f>SUMIF(月間集計シート!$M$50:$M$69,$G1039,月間集計シート!T$50:T$69)*W$2</f>
        <v>0</v>
      </c>
      <c r="X1039" s="88">
        <f>SUMIF(月間集計シート!$M$71:$M$90,$G1039,月間集計シート!N$71:N$90)*X$2</f>
        <v>0</v>
      </c>
      <c r="Y1039" s="88">
        <f>SUMIF(月間集計シート!$M$71:$M$90,$G1039,月間集計シート!O$71:O$90)*Y$2</f>
        <v>0</v>
      </c>
      <c r="Z1039" s="88">
        <f>SUMIF(月間集計シート!$M$71:$M$90,$G1039,月間集計シート!P$71:P$90)*Z$2</f>
        <v>0</v>
      </c>
      <c r="AA1039" s="88">
        <f>SUMIF(月間集計シート!$M$71:$M$90,$G1039,月間集計シート!Q$71:Q$90)*AA$2</f>
        <v>0</v>
      </c>
      <c r="AB1039" s="88">
        <f>SUMIF(月間集計シート!$M$71:$M$90,$G1039,月間集計シート!R$71:R$90)*AB$2</f>
        <v>0</v>
      </c>
      <c r="AC1039" s="88">
        <f>SUMIF(月間集計シート!$M$71:$M$90,$G1039,月間集計シート!S$71:S$90)*AC$2</f>
        <v>0</v>
      </c>
      <c r="AD1039" s="88">
        <f>SUMIF(月間集計シート!$M$71:$M$90,$G1039,月間集計シート!T$71:T$90)*AD$2</f>
        <v>0</v>
      </c>
      <c r="AE1039" s="88">
        <f>SUMIF(月間集計シート!$M$92:$M$111,$G1039,月間集計シート!N$92:N$111)*AE$2</f>
        <v>0</v>
      </c>
      <c r="AF1039" s="88">
        <f>SUMIF(月間集計シート!$M$92:$M$111,$G1039,月間集計シート!O$92:O$111)*AF$2</f>
        <v>0</v>
      </c>
      <c r="AG1039" s="88">
        <f>SUMIF(月間集計シート!$M$92:$M$111,$G1039,月間集計シート!P$92:P$111)*AG$2</f>
        <v>0</v>
      </c>
      <c r="AH1039" s="88">
        <f>SUMIF(月間集計シート!$M$92:$M$111,$G1039,月間集計シート!Q$92:Q$111)*AH$2</f>
        <v>0</v>
      </c>
      <c r="AI1039" s="88">
        <f>SUMIF(月間集計シート!$M$92:$M$111,$G1039,月間集計シート!R$92:R$111)*AI$2</f>
        <v>0</v>
      </c>
      <c r="AJ1039" s="88">
        <f>SUMIF(月間集計シート!$M$92:$M$111,$G1039,月間集計シート!S$92:S$111)*AJ$2</f>
        <v>0</v>
      </c>
      <c r="AK1039" s="88">
        <f>SUMIF(月間集計シート!$M$92:$M$111,$G1039,月間集計シート!T$92:T$111)*AK$2</f>
        <v>0</v>
      </c>
      <c r="AL1039" s="88">
        <f>SUMIF(月間集計シート!$M$113:$M$132,$G1039,月間集計シート!N$113:N$132)*AL$2</f>
        <v>0</v>
      </c>
      <c r="AM1039" s="88">
        <f>SUMIF(月間集計シート!$M$113:$M$132,$G1039,月間集計シート!O$113:O$132)*AM$2</f>
        <v>0</v>
      </c>
      <c r="AN1039" s="88">
        <f>SUMIF(月間集計シート!$M$113:$M$132,$G1039,月間集計シート!P$113:P$132)*AN$2</f>
        <v>0</v>
      </c>
      <c r="AO1039" s="88">
        <f>SUMIF(月間集計シート!$M$113:$M$132,$G1039,月間集計シート!Q$113:Q$132)*AO$2</f>
        <v>0</v>
      </c>
      <c r="AP1039" s="88">
        <f>SUMIF(月間集計シート!$M$113:$M$132,$G1039,月間集計シート!R$113:R$132)*AP$2</f>
        <v>0</v>
      </c>
      <c r="AQ1039" s="88">
        <f>SUMIF(月間集計シート!$M$113:$M$132,$G1039,月間集計シート!S$113:S$132)*AQ$2</f>
        <v>0</v>
      </c>
      <c r="AR1039" s="88">
        <f>SUMIF(月間集計シート!$M$113:$M$132,$G1039,月間集計シート!T$113:T$132)*AR$2</f>
        <v>0</v>
      </c>
      <c r="AS1039" s="88">
        <f>SUMIF(月間集計シート!$M$134:$M$153,$G1039,月間集計シート!N$134:N$153)*AS$2</f>
        <v>0</v>
      </c>
      <c r="AT1039" s="88">
        <f>SUMIF(月間集計シート!$M$134:$M$153,$G1039,月間集計シート!O$134:O$153)*AT$2</f>
        <v>0</v>
      </c>
      <c r="AU1039" s="88">
        <f>SUMIF(月間集計シート!$M$134:$M$153,$G1039,月間集計シート!P$134:P$153)*AU$2</f>
        <v>0</v>
      </c>
      <c r="AV1039" s="88">
        <f>SUMIF(月間集計シート!$M$134:$M$153,$G1039,月間集計シート!Q$134:Q$153)*AV$2</f>
        <v>0</v>
      </c>
      <c r="AW1039" s="88">
        <f>SUMIF(月間集計シート!$M$134:$M$153,$G1039,月間集計シート!R$134:R$153)*AW$2</f>
        <v>0</v>
      </c>
      <c r="AX1039" s="88">
        <f>SUMIF(月間集計シート!$M$134:$M$153,$G1039,月間集計シート!S$134:S$153)*AX$2</f>
        <v>0</v>
      </c>
      <c r="AY1039" s="88">
        <f>SUMIF(月間集計シート!$M$134:$M$153,$G1039,月間集計シート!T$134:T$153)*AY$2</f>
        <v>0</v>
      </c>
    </row>
    <row r="1040" spans="1:51" ht="14.25" thickBot="1">
      <c r="A1040">
        <v>13</v>
      </c>
      <c r="B1040" s="120">
        <f t="shared" si="570"/>
        <v>0</v>
      </c>
      <c r="C1040" s="120" t="str">
        <f t="shared" si="571"/>
        <v/>
      </c>
      <c r="D1040" s="137"/>
      <c r="E1040" s="150" t="str">
        <f>工種!A12</f>
        <v>20108</v>
      </c>
      <c r="F1040" s="119" t="str">
        <f>工種!B12</f>
        <v>設計：レビュー</v>
      </c>
      <c r="G1040" s="116" t="str">
        <f t="shared" si="519"/>
        <v>020108</v>
      </c>
      <c r="H1040" s="88">
        <f t="shared" si="569"/>
        <v>0</v>
      </c>
      <c r="I1040" s="132"/>
      <c r="J1040" s="88">
        <f>SUMIF(月間集計シート!$M$29:$M$48,$G1040,月間集計シート!N$29:N$48)*J$2</f>
        <v>0</v>
      </c>
      <c r="K1040" s="88">
        <f>SUMIF(月間集計シート!$M$29:$M$48,$G1040,月間集計シート!O$29:O$48)*K$2</f>
        <v>0</v>
      </c>
      <c r="L1040" s="88">
        <f>SUMIF(月間集計シート!$M$29:$M$48,$G1040,月間集計シート!P$29:P$48)*L$2</f>
        <v>0</v>
      </c>
      <c r="M1040" s="88">
        <f>SUMIF(月間集計シート!$M$29:$M$48,$G1040,月間集計シート!Q$29:Q$48)*M$2</f>
        <v>0</v>
      </c>
      <c r="N1040" s="88">
        <f>SUMIF(月間集計シート!$M$29:$M$48,$G1040,月間集計シート!R$29:R$48)*N$2</f>
        <v>0</v>
      </c>
      <c r="O1040" s="88">
        <f>SUMIF(月間集計シート!$M$29:$M$48,$G1040,月間集計シート!S$29:S$48)*O$2</f>
        <v>0</v>
      </c>
      <c r="P1040" s="88">
        <f>SUMIF(月間集計シート!$M$29:$M$48,$G1040,月間集計シート!T$29:T$48)*P$2</f>
        <v>0</v>
      </c>
      <c r="Q1040" s="88">
        <f>SUMIF(月間集計シート!$M$50:$M$69,$G1040,月間集計シート!N$50:N$69)*Q$2</f>
        <v>0</v>
      </c>
      <c r="R1040" s="88">
        <f>SUMIF(月間集計シート!$M$50:$M$69,$G1040,月間集計シート!O$50:O$69)*R$2</f>
        <v>0</v>
      </c>
      <c r="S1040" s="88">
        <f>SUMIF(月間集計シート!$M$50:$M$69,$G1040,月間集計シート!P$50:P$69)*S$2</f>
        <v>0</v>
      </c>
      <c r="T1040" s="88">
        <f>SUMIF(月間集計シート!$M$50:$M$69,$G1040,月間集計シート!Q$50:Q$69)*T$2</f>
        <v>0</v>
      </c>
      <c r="U1040" s="88">
        <f>SUMIF(月間集計シート!$M$50:$M$69,$G1040,月間集計シート!R$50:R$69)*U$2</f>
        <v>0</v>
      </c>
      <c r="V1040" s="88">
        <f>SUMIF(月間集計シート!$M$50:$M$69,$G1040,月間集計シート!S$50:S$69)*V$2</f>
        <v>0</v>
      </c>
      <c r="W1040" s="88">
        <f>SUMIF(月間集計シート!$M$50:$M$69,$G1040,月間集計シート!T$50:T$69)*W$2</f>
        <v>0</v>
      </c>
      <c r="X1040" s="88">
        <f>SUMIF(月間集計シート!$M$71:$M$90,$G1040,月間集計シート!N$71:N$90)*X$2</f>
        <v>0</v>
      </c>
      <c r="Y1040" s="88">
        <f>SUMIF(月間集計シート!$M$71:$M$90,$G1040,月間集計シート!O$71:O$90)*Y$2</f>
        <v>0</v>
      </c>
      <c r="Z1040" s="88">
        <f>SUMIF(月間集計シート!$M$71:$M$90,$G1040,月間集計シート!P$71:P$90)*Z$2</f>
        <v>0</v>
      </c>
      <c r="AA1040" s="88">
        <f>SUMIF(月間集計シート!$M$71:$M$90,$G1040,月間集計シート!Q$71:Q$90)*AA$2</f>
        <v>0</v>
      </c>
      <c r="AB1040" s="88">
        <f>SUMIF(月間集計シート!$M$71:$M$90,$G1040,月間集計シート!R$71:R$90)*AB$2</f>
        <v>0</v>
      </c>
      <c r="AC1040" s="88">
        <f>SUMIF(月間集計シート!$M$71:$M$90,$G1040,月間集計シート!S$71:S$90)*AC$2</f>
        <v>0</v>
      </c>
      <c r="AD1040" s="88">
        <f>SUMIF(月間集計シート!$M$71:$M$90,$G1040,月間集計シート!T$71:T$90)*AD$2</f>
        <v>0</v>
      </c>
      <c r="AE1040" s="88">
        <f>SUMIF(月間集計シート!$M$92:$M$111,$G1040,月間集計シート!N$92:N$111)*AE$2</f>
        <v>0</v>
      </c>
      <c r="AF1040" s="88">
        <f>SUMIF(月間集計シート!$M$92:$M$111,$G1040,月間集計シート!O$92:O$111)*AF$2</f>
        <v>0</v>
      </c>
      <c r="AG1040" s="88">
        <f>SUMIF(月間集計シート!$M$92:$M$111,$G1040,月間集計シート!P$92:P$111)*AG$2</f>
        <v>0</v>
      </c>
      <c r="AH1040" s="88">
        <f>SUMIF(月間集計シート!$M$92:$M$111,$G1040,月間集計シート!Q$92:Q$111)*AH$2</f>
        <v>0</v>
      </c>
      <c r="AI1040" s="88">
        <f>SUMIF(月間集計シート!$M$92:$M$111,$G1040,月間集計シート!R$92:R$111)*AI$2</f>
        <v>0</v>
      </c>
      <c r="AJ1040" s="88">
        <f>SUMIF(月間集計シート!$M$92:$M$111,$G1040,月間集計シート!S$92:S$111)*AJ$2</f>
        <v>0</v>
      </c>
      <c r="AK1040" s="88">
        <f>SUMIF(月間集計シート!$M$92:$M$111,$G1040,月間集計シート!T$92:T$111)*AK$2</f>
        <v>0</v>
      </c>
      <c r="AL1040" s="88">
        <f>SUMIF(月間集計シート!$M$113:$M$132,$G1040,月間集計シート!N$113:N$132)*AL$2</f>
        <v>0</v>
      </c>
      <c r="AM1040" s="88">
        <f>SUMIF(月間集計シート!$M$113:$M$132,$G1040,月間集計シート!O$113:O$132)*AM$2</f>
        <v>0</v>
      </c>
      <c r="AN1040" s="88">
        <f>SUMIF(月間集計シート!$M$113:$M$132,$G1040,月間集計シート!P$113:P$132)*AN$2</f>
        <v>0</v>
      </c>
      <c r="AO1040" s="88">
        <f>SUMIF(月間集計シート!$M$113:$M$132,$G1040,月間集計シート!Q$113:Q$132)*AO$2</f>
        <v>0</v>
      </c>
      <c r="AP1040" s="88">
        <f>SUMIF(月間集計シート!$M$113:$M$132,$G1040,月間集計シート!R$113:R$132)*AP$2</f>
        <v>0</v>
      </c>
      <c r="AQ1040" s="88">
        <f>SUMIF(月間集計シート!$M$113:$M$132,$G1040,月間集計シート!S$113:S$132)*AQ$2</f>
        <v>0</v>
      </c>
      <c r="AR1040" s="88">
        <f>SUMIF(月間集計シート!$M$113:$M$132,$G1040,月間集計シート!T$113:T$132)*AR$2</f>
        <v>0</v>
      </c>
      <c r="AS1040" s="88">
        <f>SUMIF(月間集計シート!$M$134:$M$153,$G1040,月間集計シート!N$134:N$153)*AS$2</f>
        <v>0</v>
      </c>
      <c r="AT1040" s="88">
        <f>SUMIF(月間集計シート!$M$134:$M$153,$G1040,月間集計シート!O$134:O$153)*AT$2</f>
        <v>0</v>
      </c>
      <c r="AU1040" s="88">
        <f>SUMIF(月間集計シート!$M$134:$M$153,$G1040,月間集計シート!P$134:P$153)*AU$2</f>
        <v>0</v>
      </c>
      <c r="AV1040" s="88">
        <f>SUMIF(月間集計シート!$M$134:$M$153,$G1040,月間集計シート!Q$134:Q$153)*AV$2</f>
        <v>0</v>
      </c>
      <c r="AW1040" s="88">
        <f>SUMIF(月間集計シート!$M$134:$M$153,$G1040,月間集計シート!R$134:R$153)*AW$2</f>
        <v>0</v>
      </c>
      <c r="AX1040" s="88">
        <f>SUMIF(月間集計シート!$M$134:$M$153,$G1040,月間集計シート!S$134:S$153)*AX$2</f>
        <v>0</v>
      </c>
      <c r="AY1040" s="88">
        <f>SUMIF(月間集計シート!$M$134:$M$153,$G1040,月間集計シート!T$134:T$153)*AY$2</f>
        <v>0</v>
      </c>
    </row>
    <row r="1041" spans="1:51" ht="14.25" thickBot="1">
      <c r="A1041">
        <v>13</v>
      </c>
      <c r="B1041" s="120">
        <f t="shared" si="570"/>
        <v>0</v>
      </c>
      <c r="C1041" s="120" t="str">
        <f t="shared" si="571"/>
        <v/>
      </c>
      <c r="D1041" s="137"/>
      <c r="E1041" s="150" t="str">
        <f>工種!A13</f>
        <v>20109</v>
      </c>
      <c r="F1041" s="119" t="str">
        <f>工種!B13</f>
        <v>設計：QA対応</v>
      </c>
      <c r="G1041" s="116" t="str">
        <f t="shared" si="519"/>
        <v>020109</v>
      </c>
      <c r="H1041" s="88">
        <f t="shared" si="569"/>
        <v>0</v>
      </c>
      <c r="I1041" s="132"/>
      <c r="J1041" s="88">
        <f>SUMIF(月間集計シート!$M$29:$M$48,$G1041,月間集計シート!N$29:N$48)*J$2</f>
        <v>0</v>
      </c>
      <c r="K1041" s="88">
        <f>SUMIF(月間集計シート!$M$29:$M$48,$G1041,月間集計シート!O$29:O$48)*K$2</f>
        <v>0</v>
      </c>
      <c r="L1041" s="88">
        <f>SUMIF(月間集計シート!$M$29:$M$48,$G1041,月間集計シート!P$29:P$48)*L$2</f>
        <v>0</v>
      </c>
      <c r="M1041" s="88">
        <f>SUMIF(月間集計シート!$M$29:$M$48,$G1041,月間集計シート!Q$29:Q$48)*M$2</f>
        <v>0</v>
      </c>
      <c r="N1041" s="88">
        <f>SUMIF(月間集計シート!$M$29:$M$48,$G1041,月間集計シート!R$29:R$48)*N$2</f>
        <v>0</v>
      </c>
      <c r="O1041" s="88">
        <f>SUMIF(月間集計シート!$M$29:$M$48,$G1041,月間集計シート!S$29:S$48)*O$2</f>
        <v>0</v>
      </c>
      <c r="P1041" s="88">
        <f>SUMIF(月間集計シート!$M$29:$M$48,$G1041,月間集計シート!T$29:T$48)*P$2</f>
        <v>0</v>
      </c>
      <c r="Q1041" s="88">
        <f>SUMIF(月間集計シート!$M$50:$M$69,$G1041,月間集計シート!N$50:N$69)*Q$2</f>
        <v>0</v>
      </c>
      <c r="R1041" s="88">
        <f>SUMIF(月間集計シート!$M$50:$M$69,$G1041,月間集計シート!O$50:O$69)*R$2</f>
        <v>0</v>
      </c>
      <c r="S1041" s="88">
        <f>SUMIF(月間集計シート!$M$50:$M$69,$G1041,月間集計シート!P$50:P$69)*S$2</f>
        <v>0</v>
      </c>
      <c r="T1041" s="88">
        <f>SUMIF(月間集計シート!$M$50:$M$69,$G1041,月間集計シート!Q$50:Q$69)*T$2</f>
        <v>0</v>
      </c>
      <c r="U1041" s="88">
        <f>SUMIF(月間集計シート!$M$50:$M$69,$G1041,月間集計シート!R$50:R$69)*U$2</f>
        <v>0</v>
      </c>
      <c r="V1041" s="88">
        <f>SUMIF(月間集計シート!$M$50:$M$69,$G1041,月間集計シート!S$50:S$69)*V$2</f>
        <v>0</v>
      </c>
      <c r="W1041" s="88">
        <f>SUMIF(月間集計シート!$M$50:$M$69,$G1041,月間集計シート!T$50:T$69)*W$2</f>
        <v>0</v>
      </c>
      <c r="X1041" s="88">
        <f>SUMIF(月間集計シート!$M$71:$M$90,$G1041,月間集計シート!N$71:N$90)*X$2</f>
        <v>0</v>
      </c>
      <c r="Y1041" s="88">
        <f>SUMIF(月間集計シート!$M$71:$M$90,$G1041,月間集計シート!O$71:O$90)*Y$2</f>
        <v>0</v>
      </c>
      <c r="Z1041" s="88">
        <f>SUMIF(月間集計シート!$M$71:$M$90,$G1041,月間集計シート!P$71:P$90)*Z$2</f>
        <v>0</v>
      </c>
      <c r="AA1041" s="88">
        <f>SUMIF(月間集計シート!$M$71:$M$90,$G1041,月間集計シート!Q$71:Q$90)*AA$2</f>
        <v>0</v>
      </c>
      <c r="AB1041" s="88">
        <f>SUMIF(月間集計シート!$M$71:$M$90,$G1041,月間集計シート!R$71:R$90)*AB$2</f>
        <v>0</v>
      </c>
      <c r="AC1041" s="88">
        <f>SUMIF(月間集計シート!$M$71:$M$90,$G1041,月間集計シート!S$71:S$90)*AC$2</f>
        <v>0</v>
      </c>
      <c r="AD1041" s="88">
        <f>SUMIF(月間集計シート!$M$71:$M$90,$G1041,月間集計シート!T$71:T$90)*AD$2</f>
        <v>0</v>
      </c>
      <c r="AE1041" s="88">
        <f>SUMIF(月間集計シート!$M$92:$M$111,$G1041,月間集計シート!N$92:N$111)*AE$2</f>
        <v>0</v>
      </c>
      <c r="AF1041" s="88">
        <f>SUMIF(月間集計シート!$M$92:$M$111,$G1041,月間集計シート!O$92:O$111)*AF$2</f>
        <v>0</v>
      </c>
      <c r="AG1041" s="88">
        <f>SUMIF(月間集計シート!$M$92:$M$111,$G1041,月間集計シート!P$92:P$111)*AG$2</f>
        <v>0</v>
      </c>
      <c r="AH1041" s="88">
        <f>SUMIF(月間集計シート!$M$92:$M$111,$G1041,月間集計シート!Q$92:Q$111)*AH$2</f>
        <v>0</v>
      </c>
      <c r="AI1041" s="88">
        <f>SUMIF(月間集計シート!$M$92:$M$111,$G1041,月間集計シート!R$92:R$111)*AI$2</f>
        <v>0</v>
      </c>
      <c r="AJ1041" s="88">
        <f>SUMIF(月間集計シート!$M$92:$M$111,$G1041,月間集計シート!S$92:S$111)*AJ$2</f>
        <v>0</v>
      </c>
      <c r="AK1041" s="88">
        <f>SUMIF(月間集計シート!$M$92:$M$111,$G1041,月間集計シート!T$92:T$111)*AK$2</f>
        <v>0</v>
      </c>
      <c r="AL1041" s="88">
        <f>SUMIF(月間集計シート!$M$113:$M$132,$G1041,月間集計シート!N$113:N$132)*AL$2</f>
        <v>0</v>
      </c>
      <c r="AM1041" s="88">
        <f>SUMIF(月間集計シート!$M$113:$M$132,$G1041,月間集計シート!O$113:O$132)*AM$2</f>
        <v>0</v>
      </c>
      <c r="AN1041" s="88">
        <f>SUMIF(月間集計シート!$M$113:$M$132,$G1041,月間集計シート!P$113:P$132)*AN$2</f>
        <v>0</v>
      </c>
      <c r="AO1041" s="88">
        <f>SUMIF(月間集計シート!$M$113:$M$132,$G1041,月間集計シート!Q$113:Q$132)*AO$2</f>
        <v>0</v>
      </c>
      <c r="AP1041" s="88">
        <f>SUMIF(月間集計シート!$M$113:$M$132,$G1041,月間集計シート!R$113:R$132)*AP$2</f>
        <v>0</v>
      </c>
      <c r="AQ1041" s="88">
        <f>SUMIF(月間集計シート!$M$113:$M$132,$G1041,月間集計シート!S$113:S$132)*AQ$2</f>
        <v>0</v>
      </c>
      <c r="AR1041" s="88">
        <f>SUMIF(月間集計シート!$M$113:$M$132,$G1041,月間集計シート!T$113:T$132)*AR$2</f>
        <v>0</v>
      </c>
      <c r="AS1041" s="88">
        <f>SUMIF(月間集計シート!$M$134:$M$153,$G1041,月間集計シート!N$134:N$153)*AS$2</f>
        <v>0</v>
      </c>
      <c r="AT1041" s="88">
        <f>SUMIF(月間集計シート!$M$134:$M$153,$G1041,月間集計シート!O$134:O$153)*AT$2</f>
        <v>0</v>
      </c>
      <c r="AU1041" s="88">
        <f>SUMIF(月間集計シート!$M$134:$M$153,$G1041,月間集計シート!P$134:P$153)*AU$2</f>
        <v>0</v>
      </c>
      <c r="AV1041" s="88">
        <f>SUMIF(月間集計シート!$M$134:$M$153,$G1041,月間集計シート!Q$134:Q$153)*AV$2</f>
        <v>0</v>
      </c>
      <c r="AW1041" s="88">
        <f>SUMIF(月間集計シート!$M$134:$M$153,$G1041,月間集計シート!R$134:R$153)*AW$2</f>
        <v>0</v>
      </c>
      <c r="AX1041" s="88">
        <f>SUMIF(月間集計シート!$M$134:$M$153,$G1041,月間集計シート!S$134:S$153)*AX$2</f>
        <v>0</v>
      </c>
      <c r="AY1041" s="88">
        <f>SUMIF(月間集計シート!$M$134:$M$153,$G1041,月間集計シート!T$134:T$153)*AY$2</f>
        <v>0</v>
      </c>
    </row>
    <row r="1042" spans="1:51" ht="14.25" thickBot="1">
      <c r="A1042">
        <v>13</v>
      </c>
      <c r="B1042" s="120">
        <f t="shared" si="570"/>
        <v>0</v>
      </c>
      <c r="C1042" s="120" t="str">
        <f t="shared" si="571"/>
        <v/>
      </c>
      <c r="D1042" s="137"/>
      <c r="E1042" s="150" t="str">
        <f>工種!A14</f>
        <v>20199</v>
      </c>
      <c r="F1042" s="119" t="str">
        <f>工種!B14</f>
        <v>設計：その他</v>
      </c>
      <c r="G1042" s="116" t="str">
        <f t="shared" si="519"/>
        <v>020199</v>
      </c>
      <c r="H1042" s="88">
        <f t="shared" si="569"/>
        <v>0</v>
      </c>
      <c r="I1042" s="132"/>
      <c r="J1042" s="88">
        <f>SUMIF(月間集計シート!$M$29:$M$48,$G1042,月間集計シート!N$29:N$48)*J$2</f>
        <v>0</v>
      </c>
      <c r="K1042" s="88">
        <f>SUMIF(月間集計シート!$M$29:$M$48,$G1042,月間集計シート!O$29:O$48)*K$2</f>
        <v>0</v>
      </c>
      <c r="L1042" s="88">
        <f>SUMIF(月間集計シート!$M$29:$M$48,$G1042,月間集計シート!P$29:P$48)*L$2</f>
        <v>0</v>
      </c>
      <c r="M1042" s="88">
        <f>SUMIF(月間集計シート!$M$29:$M$48,$G1042,月間集計シート!Q$29:Q$48)*M$2</f>
        <v>0</v>
      </c>
      <c r="N1042" s="88">
        <f>SUMIF(月間集計シート!$M$29:$M$48,$G1042,月間集計シート!R$29:R$48)*N$2</f>
        <v>0</v>
      </c>
      <c r="O1042" s="88">
        <f>SUMIF(月間集計シート!$M$29:$M$48,$G1042,月間集計シート!S$29:S$48)*O$2</f>
        <v>0</v>
      </c>
      <c r="P1042" s="88">
        <f>SUMIF(月間集計シート!$M$29:$M$48,$G1042,月間集計シート!T$29:T$48)*P$2</f>
        <v>0</v>
      </c>
      <c r="Q1042" s="88">
        <f>SUMIF(月間集計シート!$M$50:$M$69,$G1042,月間集計シート!N$50:N$69)*Q$2</f>
        <v>0</v>
      </c>
      <c r="R1042" s="88">
        <f>SUMIF(月間集計シート!$M$50:$M$69,$G1042,月間集計シート!O$50:O$69)*R$2</f>
        <v>0</v>
      </c>
      <c r="S1042" s="88">
        <f>SUMIF(月間集計シート!$M$50:$M$69,$G1042,月間集計シート!P$50:P$69)*S$2</f>
        <v>0</v>
      </c>
      <c r="T1042" s="88">
        <f>SUMIF(月間集計シート!$M$50:$M$69,$G1042,月間集計シート!Q$50:Q$69)*T$2</f>
        <v>0</v>
      </c>
      <c r="U1042" s="88">
        <f>SUMIF(月間集計シート!$M$50:$M$69,$G1042,月間集計シート!R$50:R$69)*U$2</f>
        <v>0</v>
      </c>
      <c r="V1042" s="88">
        <f>SUMIF(月間集計シート!$M$50:$M$69,$G1042,月間集計シート!S$50:S$69)*V$2</f>
        <v>0</v>
      </c>
      <c r="W1042" s="88">
        <f>SUMIF(月間集計シート!$M$50:$M$69,$G1042,月間集計シート!T$50:T$69)*W$2</f>
        <v>0</v>
      </c>
      <c r="X1042" s="88">
        <f>SUMIF(月間集計シート!$M$71:$M$90,$G1042,月間集計シート!N$71:N$90)*X$2</f>
        <v>0</v>
      </c>
      <c r="Y1042" s="88">
        <f>SUMIF(月間集計シート!$M$71:$M$90,$G1042,月間集計シート!O$71:O$90)*Y$2</f>
        <v>0</v>
      </c>
      <c r="Z1042" s="88">
        <f>SUMIF(月間集計シート!$M$71:$M$90,$G1042,月間集計シート!P$71:P$90)*Z$2</f>
        <v>0</v>
      </c>
      <c r="AA1042" s="88">
        <f>SUMIF(月間集計シート!$M$71:$M$90,$G1042,月間集計シート!Q$71:Q$90)*AA$2</f>
        <v>0</v>
      </c>
      <c r="AB1042" s="88">
        <f>SUMIF(月間集計シート!$M$71:$M$90,$G1042,月間集計シート!R$71:R$90)*AB$2</f>
        <v>0</v>
      </c>
      <c r="AC1042" s="88">
        <f>SUMIF(月間集計シート!$M$71:$M$90,$G1042,月間集計シート!S$71:S$90)*AC$2</f>
        <v>0</v>
      </c>
      <c r="AD1042" s="88">
        <f>SUMIF(月間集計シート!$M$71:$M$90,$G1042,月間集計シート!T$71:T$90)*AD$2</f>
        <v>0</v>
      </c>
      <c r="AE1042" s="88">
        <f>SUMIF(月間集計シート!$M$92:$M$111,$G1042,月間集計シート!N$92:N$111)*AE$2</f>
        <v>0</v>
      </c>
      <c r="AF1042" s="88">
        <f>SUMIF(月間集計シート!$M$92:$M$111,$G1042,月間集計シート!O$92:O$111)*AF$2</f>
        <v>0</v>
      </c>
      <c r="AG1042" s="88">
        <f>SUMIF(月間集計シート!$M$92:$M$111,$G1042,月間集計シート!P$92:P$111)*AG$2</f>
        <v>0</v>
      </c>
      <c r="AH1042" s="88">
        <f>SUMIF(月間集計シート!$M$92:$M$111,$G1042,月間集計シート!Q$92:Q$111)*AH$2</f>
        <v>0</v>
      </c>
      <c r="AI1042" s="88">
        <f>SUMIF(月間集計シート!$M$92:$M$111,$G1042,月間集計シート!R$92:R$111)*AI$2</f>
        <v>0</v>
      </c>
      <c r="AJ1042" s="88">
        <f>SUMIF(月間集計シート!$M$92:$M$111,$G1042,月間集計シート!S$92:S$111)*AJ$2</f>
        <v>0</v>
      </c>
      <c r="AK1042" s="88">
        <f>SUMIF(月間集計シート!$M$92:$M$111,$G1042,月間集計シート!T$92:T$111)*AK$2</f>
        <v>0</v>
      </c>
      <c r="AL1042" s="88">
        <f>SUMIF(月間集計シート!$M$113:$M$132,$G1042,月間集計シート!N$113:N$132)*AL$2</f>
        <v>0</v>
      </c>
      <c r="AM1042" s="88">
        <f>SUMIF(月間集計シート!$M$113:$M$132,$G1042,月間集計シート!O$113:O$132)*AM$2</f>
        <v>0</v>
      </c>
      <c r="AN1042" s="88">
        <f>SUMIF(月間集計シート!$M$113:$M$132,$G1042,月間集計シート!P$113:P$132)*AN$2</f>
        <v>0</v>
      </c>
      <c r="AO1042" s="88">
        <f>SUMIF(月間集計シート!$M$113:$M$132,$G1042,月間集計シート!Q$113:Q$132)*AO$2</f>
        <v>0</v>
      </c>
      <c r="AP1042" s="88">
        <f>SUMIF(月間集計シート!$M$113:$M$132,$G1042,月間集計シート!R$113:R$132)*AP$2</f>
        <v>0</v>
      </c>
      <c r="AQ1042" s="88">
        <f>SUMIF(月間集計シート!$M$113:$M$132,$G1042,月間集計シート!S$113:S$132)*AQ$2</f>
        <v>0</v>
      </c>
      <c r="AR1042" s="88">
        <f>SUMIF(月間集計シート!$M$113:$M$132,$G1042,月間集計シート!T$113:T$132)*AR$2</f>
        <v>0</v>
      </c>
      <c r="AS1042" s="88">
        <f>SUMIF(月間集計シート!$M$134:$M$153,$G1042,月間集計シート!N$134:N$153)*AS$2</f>
        <v>0</v>
      </c>
      <c r="AT1042" s="88">
        <f>SUMIF(月間集計シート!$M$134:$M$153,$G1042,月間集計シート!O$134:O$153)*AT$2</f>
        <v>0</v>
      </c>
      <c r="AU1042" s="88">
        <f>SUMIF(月間集計シート!$M$134:$M$153,$G1042,月間集計シート!P$134:P$153)*AU$2</f>
        <v>0</v>
      </c>
      <c r="AV1042" s="88">
        <f>SUMIF(月間集計シート!$M$134:$M$153,$G1042,月間集計シート!Q$134:Q$153)*AV$2</f>
        <v>0</v>
      </c>
      <c r="AW1042" s="88">
        <f>SUMIF(月間集計シート!$M$134:$M$153,$G1042,月間集計シート!R$134:R$153)*AW$2</f>
        <v>0</v>
      </c>
      <c r="AX1042" s="88">
        <f>SUMIF(月間集計シート!$M$134:$M$153,$G1042,月間集計シート!S$134:S$153)*AX$2</f>
        <v>0</v>
      </c>
      <c r="AY1042" s="88">
        <f>SUMIF(月間集計シート!$M$134:$M$153,$G1042,月間集計シート!T$134:T$153)*AY$2</f>
        <v>0</v>
      </c>
    </row>
    <row r="1043" spans="1:51" ht="14.25" thickBot="1">
      <c r="A1043">
        <v>13</v>
      </c>
      <c r="B1043" s="120">
        <f t="shared" si="570"/>
        <v>0</v>
      </c>
      <c r="C1043" s="120" t="str">
        <f t="shared" si="571"/>
        <v/>
      </c>
      <c r="D1043" s="137"/>
      <c r="E1043" s="150" t="str">
        <f>工種!A15</f>
        <v>30101</v>
      </c>
      <c r="F1043" s="119" t="str">
        <f>工種!B15</f>
        <v>製造：内部設計書作成</v>
      </c>
      <c r="G1043" s="116" t="str">
        <f t="shared" ref="G1043:G1128" si="572">B1043&amp;E1043</f>
        <v>030101</v>
      </c>
      <c r="H1043" s="88">
        <f t="shared" si="569"/>
        <v>0</v>
      </c>
      <c r="I1043" s="132"/>
      <c r="J1043" s="88">
        <f>SUMIF(月間集計シート!$M$29:$M$48,$G1043,月間集計シート!N$29:N$48)*J$2</f>
        <v>0</v>
      </c>
      <c r="K1043" s="88">
        <f>SUMIF(月間集計シート!$M$29:$M$48,$G1043,月間集計シート!O$29:O$48)*K$2</f>
        <v>0</v>
      </c>
      <c r="L1043" s="88">
        <f>SUMIF(月間集計シート!$M$29:$M$48,$G1043,月間集計シート!P$29:P$48)*L$2</f>
        <v>0</v>
      </c>
      <c r="M1043" s="88">
        <f>SUMIF(月間集計シート!$M$29:$M$48,$G1043,月間集計シート!Q$29:Q$48)*M$2</f>
        <v>0</v>
      </c>
      <c r="N1043" s="88">
        <f>SUMIF(月間集計シート!$M$29:$M$48,$G1043,月間集計シート!R$29:R$48)*N$2</f>
        <v>0</v>
      </c>
      <c r="O1043" s="88">
        <f>SUMIF(月間集計シート!$M$29:$M$48,$G1043,月間集計シート!S$29:S$48)*O$2</f>
        <v>0</v>
      </c>
      <c r="P1043" s="88">
        <f>SUMIF(月間集計シート!$M$29:$M$48,$G1043,月間集計シート!T$29:T$48)*P$2</f>
        <v>0</v>
      </c>
      <c r="Q1043" s="88">
        <f>SUMIF(月間集計シート!$M$50:$M$69,$G1043,月間集計シート!N$50:N$69)*Q$2</f>
        <v>0</v>
      </c>
      <c r="R1043" s="88">
        <f>SUMIF(月間集計シート!$M$50:$M$69,$G1043,月間集計シート!O$50:O$69)*R$2</f>
        <v>0</v>
      </c>
      <c r="S1043" s="88">
        <f>SUMIF(月間集計シート!$M$50:$M$69,$G1043,月間集計シート!P$50:P$69)*S$2</f>
        <v>0</v>
      </c>
      <c r="T1043" s="88">
        <f>SUMIF(月間集計シート!$M$50:$M$69,$G1043,月間集計シート!Q$50:Q$69)*T$2</f>
        <v>0</v>
      </c>
      <c r="U1043" s="88">
        <f>SUMIF(月間集計シート!$M$50:$M$69,$G1043,月間集計シート!R$50:R$69)*U$2</f>
        <v>0</v>
      </c>
      <c r="V1043" s="88">
        <f>SUMIF(月間集計シート!$M$50:$M$69,$G1043,月間集計シート!S$50:S$69)*V$2</f>
        <v>0</v>
      </c>
      <c r="W1043" s="88">
        <f>SUMIF(月間集計シート!$M$50:$M$69,$G1043,月間集計シート!T$50:T$69)*W$2</f>
        <v>0</v>
      </c>
      <c r="X1043" s="88">
        <f>SUMIF(月間集計シート!$M$71:$M$90,$G1043,月間集計シート!N$71:N$90)*X$2</f>
        <v>0</v>
      </c>
      <c r="Y1043" s="88">
        <f>SUMIF(月間集計シート!$M$71:$M$90,$G1043,月間集計シート!O$71:O$90)*Y$2</f>
        <v>0</v>
      </c>
      <c r="Z1043" s="88">
        <f>SUMIF(月間集計シート!$M$71:$M$90,$G1043,月間集計シート!P$71:P$90)*Z$2</f>
        <v>0</v>
      </c>
      <c r="AA1043" s="88">
        <f>SUMIF(月間集計シート!$M$71:$M$90,$G1043,月間集計シート!Q$71:Q$90)*AA$2</f>
        <v>0</v>
      </c>
      <c r="AB1043" s="88">
        <f>SUMIF(月間集計シート!$M$71:$M$90,$G1043,月間集計シート!R$71:R$90)*AB$2</f>
        <v>0</v>
      </c>
      <c r="AC1043" s="88">
        <f>SUMIF(月間集計シート!$M$71:$M$90,$G1043,月間集計シート!S$71:S$90)*AC$2</f>
        <v>0</v>
      </c>
      <c r="AD1043" s="88">
        <f>SUMIF(月間集計シート!$M$71:$M$90,$G1043,月間集計シート!T$71:T$90)*AD$2</f>
        <v>0</v>
      </c>
      <c r="AE1043" s="88">
        <f>SUMIF(月間集計シート!$M$92:$M$111,$G1043,月間集計シート!N$92:N$111)*AE$2</f>
        <v>0</v>
      </c>
      <c r="AF1043" s="88">
        <f>SUMIF(月間集計シート!$M$92:$M$111,$G1043,月間集計シート!O$92:O$111)*AF$2</f>
        <v>0</v>
      </c>
      <c r="AG1043" s="88">
        <f>SUMIF(月間集計シート!$M$92:$M$111,$G1043,月間集計シート!P$92:P$111)*AG$2</f>
        <v>0</v>
      </c>
      <c r="AH1043" s="88">
        <f>SUMIF(月間集計シート!$M$92:$M$111,$G1043,月間集計シート!Q$92:Q$111)*AH$2</f>
        <v>0</v>
      </c>
      <c r="AI1043" s="88">
        <f>SUMIF(月間集計シート!$M$92:$M$111,$G1043,月間集計シート!R$92:R$111)*AI$2</f>
        <v>0</v>
      </c>
      <c r="AJ1043" s="88">
        <f>SUMIF(月間集計シート!$M$92:$M$111,$G1043,月間集計シート!S$92:S$111)*AJ$2</f>
        <v>0</v>
      </c>
      <c r="AK1043" s="88">
        <f>SUMIF(月間集計シート!$M$92:$M$111,$G1043,月間集計シート!T$92:T$111)*AK$2</f>
        <v>0</v>
      </c>
      <c r="AL1043" s="88">
        <f>SUMIF(月間集計シート!$M$113:$M$132,$G1043,月間集計シート!N$113:N$132)*AL$2</f>
        <v>0</v>
      </c>
      <c r="AM1043" s="88">
        <f>SUMIF(月間集計シート!$M$113:$M$132,$G1043,月間集計シート!O$113:O$132)*AM$2</f>
        <v>0</v>
      </c>
      <c r="AN1043" s="88">
        <f>SUMIF(月間集計シート!$M$113:$M$132,$G1043,月間集計シート!P$113:P$132)*AN$2</f>
        <v>0</v>
      </c>
      <c r="AO1043" s="88">
        <f>SUMIF(月間集計シート!$M$113:$M$132,$G1043,月間集計シート!Q$113:Q$132)*AO$2</f>
        <v>0</v>
      </c>
      <c r="AP1043" s="88">
        <f>SUMIF(月間集計シート!$M$113:$M$132,$G1043,月間集計シート!R$113:R$132)*AP$2</f>
        <v>0</v>
      </c>
      <c r="AQ1043" s="88">
        <f>SUMIF(月間集計シート!$M$113:$M$132,$G1043,月間集計シート!S$113:S$132)*AQ$2</f>
        <v>0</v>
      </c>
      <c r="AR1043" s="88">
        <f>SUMIF(月間集計シート!$M$113:$M$132,$G1043,月間集計シート!T$113:T$132)*AR$2</f>
        <v>0</v>
      </c>
      <c r="AS1043" s="88">
        <f>SUMIF(月間集計シート!$M$134:$M$153,$G1043,月間集計シート!N$134:N$153)*AS$2</f>
        <v>0</v>
      </c>
      <c r="AT1043" s="88">
        <f>SUMIF(月間集計シート!$M$134:$M$153,$G1043,月間集計シート!O$134:O$153)*AT$2</f>
        <v>0</v>
      </c>
      <c r="AU1043" s="88">
        <f>SUMIF(月間集計シート!$M$134:$M$153,$G1043,月間集計シート!P$134:P$153)*AU$2</f>
        <v>0</v>
      </c>
      <c r="AV1043" s="88">
        <f>SUMIF(月間集計シート!$M$134:$M$153,$G1043,月間集計シート!Q$134:Q$153)*AV$2</f>
        <v>0</v>
      </c>
      <c r="AW1043" s="88">
        <f>SUMIF(月間集計シート!$M$134:$M$153,$G1043,月間集計シート!R$134:R$153)*AW$2</f>
        <v>0</v>
      </c>
      <c r="AX1043" s="88">
        <f>SUMIF(月間集計シート!$M$134:$M$153,$G1043,月間集計シート!S$134:S$153)*AX$2</f>
        <v>0</v>
      </c>
      <c r="AY1043" s="88">
        <f>SUMIF(月間集計シート!$M$134:$M$153,$G1043,月間集計シート!T$134:T$153)*AY$2</f>
        <v>0</v>
      </c>
    </row>
    <row r="1044" spans="1:51" ht="14.25" thickBot="1">
      <c r="A1044">
        <v>13</v>
      </c>
      <c r="B1044" s="120">
        <f t="shared" si="570"/>
        <v>0</v>
      </c>
      <c r="C1044" s="120" t="str">
        <f t="shared" si="571"/>
        <v/>
      </c>
      <c r="D1044" s="137"/>
      <c r="E1044" s="150" t="str">
        <f>工種!A16</f>
        <v>30102</v>
      </c>
      <c r="F1044" s="119" t="str">
        <f>工種!B16</f>
        <v>製造：コーディング</v>
      </c>
      <c r="G1044" s="116" t="str">
        <f t="shared" si="572"/>
        <v>030102</v>
      </c>
      <c r="H1044" s="88">
        <f t="shared" si="569"/>
        <v>0</v>
      </c>
      <c r="I1044" s="132"/>
      <c r="J1044" s="88">
        <f>SUMIF(月間集計シート!$M$29:$M$48,$G1044,月間集計シート!N$29:N$48)*J$2</f>
        <v>0</v>
      </c>
      <c r="K1044" s="88">
        <f>SUMIF(月間集計シート!$M$29:$M$48,$G1044,月間集計シート!O$29:O$48)*K$2</f>
        <v>0</v>
      </c>
      <c r="L1044" s="88">
        <f>SUMIF(月間集計シート!$M$29:$M$48,$G1044,月間集計シート!P$29:P$48)*L$2</f>
        <v>0</v>
      </c>
      <c r="M1044" s="88">
        <f>SUMIF(月間集計シート!$M$29:$M$48,$G1044,月間集計シート!Q$29:Q$48)*M$2</f>
        <v>0</v>
      </c>
      <c r="N1044" s="88">
        <f>SUMIF(月間集計シート!$M$29:$M$48,$G1044,月間集計シート!R$29:R$48)*N$2</f>
        <v>0</v>
      </c>
      <c r="O1044" s="88">
        <f>SUMIF(月間集計シート!$M$29:$M$48,$G1044,月間集計シート!S$29:S$48)*O$2</f>
        <v>0</v>
      </c>
      <c r="P1044" s="88">
        <f>SUMIF(月間集計シート!$M$29:$M$48,$G1044,月間集計シート!T$29:T$48)*P$2</f>
        <v>0</v>
      </c>
      <c r="Q1044" s="88">
        <f>SUMIF(月間集計シート!$M$50:$M$69,$G1044,月間集計シート!N$50:N$69)*Q$2</f>
        <v>0</v>
      </c>
      <c r="R1044" s="88">
        <f>SUMIF(月間集計シート!$M$50:$M$69,$G1044,月間集計シート!O$50:O$69)*R$2</f>
        <v>0</v>
      </c>
      <c r="S1044" s="88">
        <f>SUMIF(月間集計シート!$M$50:$M$69,$G1044,月間集計シート!P$50:P$69)*S$2</f>
        <v>0</v>
      </c>
      <c r="T1044" s="88">
        <f>SUMIF(月間集計シート!$M$50:$M$69,$G1044,月間集計シート!Q$50:Q$69)*T$2</f>
        <v>0</v>
      </c>
      <c r="U1044" s="88">
        <f>SUMIF(月間集計シート!$M$50:$M$69,$G1044,月間集計シート!R$50:R$69)*U$2</f>
        <v>0</v>
      </c>
      <c r="V1044" s="88">
        <f>SUMIF(月間集計シート!$M$50:$M$69,$G1044,月間集計シート!S$50:S$69)*V$2</f>
        <v>0</v>
      </c>
      <c r="W1044" s="88">
        <f>SUMIF(月間集計シート!$M$50:$M$69,$G1044,月間集計シート!T$50:T$69)*W$2</f>
        <v>0</v>
      </c>
      <c r="X1044" s="88">
        <f>SUMIF(月間集計シート!$M$71:$M$90,$G1044,月間集計シート!N$71:N$90)*X$2</f>
        <v>0</v>
      </c>
      <c r="Y1044" s="88">
        <f>SUMIF(月間集計シート!$M$71:$M$90,$G1044,月間集計シート!O$71:O$90)*Y$2</f>
        <v>0</v>
      </c>
      <c r="Z1044" s="88">
        <f>SUMIF(月間集計シート!$M$71:$M$90,$G1044,月間集計シート!P$71:P$90)*Z$2</f>
        <v>0</v>
      </c>
      <c r="AA1044" s="88">
        <f>SUMIF(月間集計シート!$M$71:$M$90,$G1044,月間集計シート!Q$71:Q$90)*AA$2</f>
        <v>0</v>
      </c>
      <c r="AB1044" s="88">
        <f>SUMIF(月間集計シート!$M$71:$M$90,$G1044,月間集計シート!R$71:R$90)*AB$2</f>
        <v>0</v>
      </c>
      <c r="AC1044" s="88">
        <f>SUMIF(月間集計シート!$M$71:$M$90,$G1044,月間集計シート!S$71:S$90)*AC$2</f>
        <v>0</v>
      </c>
      <c r="AD1044" s="88">
        <f>SUMIF(月間集計シート!$M$71:$M$90,$G1044,月間集計シート!T$71:T$90)*AD$2</f>
        <v>0</v>
      </c>
      <c r="AE1044" s="88">
        <f>SUMIF(月間集計シート!$M$92:$M$111,$G1044,月間集計シート!N$92:N$111)*AE$2</f>
        <v>0</v>
      </c>
      <c r="AF1044" s="88">
        <f>SUMIF(月間集計シート!$M$92:$M$111,$G1044,月間集計シート!O$92:O$111)*AF$2</f>
        <v>0</v>
      </c>
      <c r="AG1044" s="88">
        <f>SUMIF(月間集計シート!$M$92:$M$111,$G1044,月間集計シート!P$92:P$111)*AG$2</f>
        <v>0</v>
      </c>
      <c r="AH1044" s="88">
        <f>SUMIF(月間集計シート!$M$92:$M$111,$G1044,月間集計シート!Q$92:Q$111)*AH$2</f>
        <v>0</v>
      </c>
      <c r="AI1044" s="88">
        <f>SUMIF(月間集計シート!$M$92:$M$111,$G1044,月間集計シート!R$92:R$111)*AI$2</f>
        <v>0</v>
      </c>
      <c r="AJ1044" s="88">
        <f>SUMIF(月間集計シート!$M$92:$M$111,$G1044,月間集計シート!S$92:S$111)*AJ$2</f>
        <v>0</v>
      </c>
      <c r="AK1044" s="88">
        <f>SUMIF(月間集計シート!$M$92:$M$111,$G1044,月間集計シート!T$92:T$111)*AK$2</f>
        <v>0</v>
      </c>
      <c r="AL1044" s="88">
        <f>SUMIF(月間集計シート!$M$113:$M$132,$G1044,月間集計シート!N$113:N$132)*AL$2</f>
        <v>0</v>
      </c>
      <c r="AM1044" s="88">
        <f>SUMIF(月間集計シート!$M$113:$M$132,$G1044,月間集計シート!O$113:O$132)*AM$2</f>
        <v>0</v>
      </c>
      <c r="AN1044" s="88">
        <f>SUMIF(月間集計シート!$M$113:$M$132,$G1044,月間集計シート!P$113:P$132)*AN$2</f>
        <v>0</v>
      </c>
      <c r="AO1044" s="88">
        <f>SUMIF(月間集計シート!$M$113:$M$132,$G1044,月間集計シート!Q$113:Q$132)*AO$2</f>
        <v>0</v>
      </c>
      <c r="AP1044" s="88">
        <f>SUMIF(月間集計シート!$M$113:$M$132,$G1044,月間集計シート!R$113:R$132)*AP$2</f>
        <v>0</v>
      </c>
      <c r="AQ1044" s="88">
        <f>SUMIF(月間集計シート!$M$113:$M$132,$G1044,月間集計シート!S$113:S$132)*AQ$2</f>
        <v>0</v>
      </c>
      <c r="AR1044" s="88">
        <f>SUMIF(月間集計シート!$M$113:$M$132,$G1044,月間集計シート!T$113:T$132)*AR$2</f>
        <v>0</v>
      </c>
      <c r="AS1044" s="88">
        <f>SUMIF(月間集計シート!$M$134:$M$153,$G1044,月間集計シート!N$134:N$153)*AS$2</f>
        <v>0</v>
      </c>
      <c r="AT1044" s="88">
        <f>SUMIF(月間集計シート!$M$134:$M$153,$G1044,月間集計シート!O$134:O$153)*AT$2</f>
        <v>0</v>
      </c>
      <c r="AU1044" s="88">
        <f>SUMIF(月間集計シート!$M$134:$M$153,$G1044,月間集計シート!P$134:P$153)*AU$2</f>
        <v>0</v>
      </c>
      <c r="AV1044" s="88">
        <f>SUMIF(月間集計シート!$M$134:$M$153,$G1044,月間集計シート!Q$134:Q$153)*AV$2</f>
        <v>0</v>
      </c>
      <c r="AW1044" s="88">
        <f>SUMIF(月間集計シート!$M$134:$M$153,$G1044,月間集計シート!R$134:R$153)*AW$2</f>
        <v>0</v>
      </c>
      <c r="AX1044" s="88">
        <f>SUMIF(月間集計シート!$M$134:$M$153,$G1044,月間集計シート!S$134:S$153)*AX$2</f>
        <v>0</v>
      </c>
      <c r="AY1044" s="88">
        <f>SUMIF(月間集計シート!$M$134:$M$153,$G1044,月間集計シート!T$134:T$153)*AY$2</f>
        <v>0</v>
      </c>
    </row>
    <row r="1045" spans="1:51" ht="14.25" thickBot="1">
      <c r="A1045">
        <v>13</v>
      </c>
      <c r="B1045" s="120">
        <f t="shared" si="570"/>
        <v>0</v>
      </c>
      <c r="C1045" s="120" t="str">
        <f t="shared" si="571"/>
        <v/>
      </c>
      <c r="D1045" s="137"/>
      <c r="E1045" s="150" t="str">
        <f>工種!A17</f>
        <v>30103</v>
      </c>
      <c r="F1045" s="119" t="str">
        <f>工種!B17</f>
        <v>製造：単体テスト設計書作成</v>
      </c>
      <c r="G1045" s="116" t="str">
        <f t="shared" si="572"/>
        <v>030103</v>
      </c>
      <c r="H1045" s="88">
        <f t="shared" si="569"/>
        <v>0</v>
      </c>
      <c r="I1045" s="132"/>
      <c r="J1045" s="88">
        <f>SUMIF(月間集計シート!$M$29:$M$48,$G1045,月間集計シート!N$29:N$48)*J$2</f>
        <v>0</v>
      </c>
      <c r="K1045" s="88">
        <f>SUMIF(月間集計シート!$M$29:$M$48,$G1045,月間集計シート!O$29:O$48)*K$2</f>
        <v>0</v>
      </c>
      <c r="L1045" s="88">
        <f>SUMIF(月間集計シート!$M$29:$M$48,$G1045,月間集計シート!P$29:P$48)*L$2</f>
        <v>0</v>
      </c>
      <c r="M1045" s="88">
        <f>SUMIF(月間集計シート!$M$29:$M$48,$G1045,月間集計シート!Q$29:Q$48)*M$2</f>
        <v>0</v>
      </c>
      <c r="N1045" s="88">
        <f>SUMIF(月間集計シート!$M$29:$M$48,$G1045,月間集計シート!R$29:R$48)*N$2</f>
        <v>0</v>
      </c>
      <c r="O1045" s="88">
        <f>SUMIF(月間集計シート!$M$29:$M$48,$G1045,月間集計シート!S$29:S$48)*O$2</f>
        <v>0</v>
      </c>
      <c r="P1045" s="88">
        <f>SUMIF(月間集計シート!$M$29:$M$48,$G1045,月間集計シート!T$29:T$48)*P$2</f>
        <v>0</v>
      </c>
      <c r="Q1045" s="88">
        <f>SUMIF(月間集計シート!$M$50:$M$69,$G1045,月間集計シート!N$50:N$69)*Q$2</f>
        <v>0</v>
      </c>
      <c r="R1045" s="88">
        <f>SUMIF(月間集計シート!$M$50:$M$69,$G1045,月間集計シート!O$50:O$69)*R$2</f>
        <v>0</v>
      </c>
      <c r="S1045" s="88">
        <f>SUMIF(月間集計シート!$M$50:$M$69,$G1045,月間集計シート!P$50:P$69)*S$2</f>
        <v>0</v>
      </c>
      <c r="T1045" s="88">
        <f>SUMIF(月間集計シート!$M$50:$M$69,$G1045,月間集計シート!Q$50:Q$69)*T$2</f>
        <v>0</v>
      </c>
      <c r="U1045" s="88">
        <f>SUMIF(月間集計シート!$M$50:$M$69,$G1045,月間集計シート!R$50:R$69)*U$2</f>
        <v>0</v>
      </c>
      <c r="V1045" s="88">
        <f>SUMIF(月間集計シート!$M$50:$M$69,$G1045,月間集計シート!S$50:S$69)*V$2</f>
        <v>0</v>
      </c>
      <c r="W1045" s="88">
        <f>SUMIF(月間集計シート!$M$50:$M$69,$G1045,月間集計シート!T$50:T$69)*W$2</f>
        <v>0</v>
      </c>
      <c r="X1045" s="88">
        <f>SUMIF(月間集計シート!$M$71:$M$90,$G1045,月間集計シート!N$71:N$90)*X$2</f>
        <v>0</v>
      </c>
      <c r="Y1045" s="88">
        <f>SUMIF(月間集計シート!$M$71:$M$90,$G1045,月間集計シート!O$71:O$90)*Y$2</f>
        <v>0</v>
      </c>
      <c r="Z1045" s="88">
        <f>SUMIF(月間集計シート!$M$71:$M$90,$G1045,月間集計シート!P$71:P$90)*Z$2</f>
        <v>0</v>
      </c>
      <c r="AA1045" s="88">
        <f>SUMIF(月間集計シート!$M$71:$M$90,$G1045,月間集計シート!Q$71:Q$90)*AA$2</f>
        <v>0</v>
      </c>
      <c r="AB1045" s="88">
        <f>SUMIF(月間集計シート!$M$71:$M$90,$G1045,月間集計シート!R$71:R$90)*AB$2</f>
        <v>0</v>
      </c>
      <c r="AC1045" s="88">
        <f>SUMIF(月間集計シート!$M$71:$M$90,$G1045,月間集計シート!S$71:S$90)*AC$2</f>
        <v>0</v>
      </c>
      <c r="AD1045" s="88">
        <f>SUMIF(月間集計シート!$M$71:$M$90,$G1045,月間集計シート!T$71:T$90)*AD$2</f>
        <v>0</v>
      </c>
      <c r="AE1045" s="88">
        <f>SUMIF(月間集計シート!$M$92:$M$111,$G1045,月間集計シート!N$92:N$111)*AE$2</f>
        <v>0</v>
      </c>
      <c r="AF1045" s="88">
        <f>SUMIF(月間集計シート!$M$92:$M$111,$G1045,月間集計シート!O$92:O$111)*AF$2</f>
        <v>0</v>
      </c>
      <c r="AG1045" s="88">
        <f>SUMIF(月間集計シート!$M$92:$M$111,$G1045,月間集計シート!P$92:P$111)*AG$2</f>
        <v>0</v>
      </c>
      <c r="AH1045" s="88">
        <f>SUMIF(月間集計シート!$M$92:$M$111,$G1045,月間集計シート!Q$92:Q$111)*AH$2</f>
        <v>0</v>
      </c>
      <c r="AI1045" s="88">
        <f>SUMIF(月間集計シート!$M$92:$M$111,$G1045,月間集計シート!R$92:R$111)*AI$2</f>
        <v>0</v>
      </c>
      <c r="AJ1045" s="88">
        <f>SUMIF(月間集計シート!$M$92:$M$111,$G1045,月間集計シート!S$92:S$111)*AJ$2</f>
        <v>0</v>
      </c>
      <c r="AK1045" s="88">
        <f>SUMIF(月間集計シート!$M$92:$M$111,$G1045,月間集計シート!T$92:T$111)*AK$2</f>
        <v>0</v>
      </c>
      <c r="AL1045" s="88">
        <f>SUMIF(月間集計シート!$M$113:$M$132,$G1045,月間集計シート!N$113:N$132)*AL$2</f>
        <v>0</v>
      </c>
      <c r="AM1045" s="88">
        <f>SUMIF(月間集計シート!$M$113:$M$132,$G1045,月間集計シート!O$113:O$132)*AM$2</f>
        <v>0</v>
      </c>
      <c r="AN1045" s="88">
        <f>SUMIF(月間集計シート!$M$113:$M$132,$G1045,月間集計シート!P$113:P$132)*AN$2</f>
        <v>0</v>
      </c>
      <c r="AO1045" s="88">
        <f>SUMIF(月間集計シート!$M$113:$M$132,$G1045,月間集計シート!Q$113:Q$132)*AO$2</f>
        <v>0</v>
      </c>
      <c r="AP1045" s="88">
        <f>SUMIF(月間集計シート!$M$113:$M$132,$G1045,月間集計シート!R$113:R$132)*AP$2</f>
        <v>0</v>
      </c>
      <c r="AQ1045" s="88">
        <f>SUMIF(月間集計シート!$M$113:$M$132,$G1045,月間集計シート!S$113:S$132)*AQ$2</f>
        <v>0</v>
      </c>
      <c r="AR1045" s="88">
        <f>SUMIF(月間集計シート!$M$113:$M$132,$G1045,月間集計シート!T$113:T$132)*AR$2</f>
        <v>0</v>
      </c>
      <c r="AS1045" s="88">
        <f>SUMIF(月間集計シート!$M$134:$M$153,$G1045,月間集計シート!N$134:N$153)*AS$2</f>
        <v>0</v>
      </c>
      <c r="AT1045" s="88">
        <f>SUMIF(月間集計シート!$M$134:$M$153,$G1045,月間集計シート!O$134:O$153)*AT$2</f>
        <v>0</v>
      </c>
      <c r="AU1045" s="88">
        <f>SUMIF(月間集計シート!$M$134:$M$153,$G1045,月間集計シート!P$134:P$153)*AU$2</f>
        <v>0</v>
      </c>
      <c r="AV1045" s="88">
        <f>SUMIF(月間集計シート!$M$134:$M$153,$G1045,月間集計シート!Q$134:Q$153)*AV$2</f>
        <v>0</v>
      </c>
      <c r="AW1045" s="88">
        <f>SUMIF(月間集計シート!$M$134:$M$153,$G1045,月間集計シート!R$134:R$153)*AW$2</f>
        <v>0</v>
      </c>
      <c r="AX1045" s="88">
        <f>SUMIF(月間集計シート!$M$134:$M$153,$G1045,月間集計シート!S$134:S$153)*AX$2</f>
        <v>0</v>
      </c>
      <c r="AY1045" s="88">
        <f>SUMIF(月間集計シート!$M$134:$M$153,$G1045,月間集計シート!T$134:T$153)*AY$2</f>
        <v>0</v>
      </c>
    </row>
    <row r="1046" spans="1:51" ht="14.25" thickBot="1">
      <c r="A1046">
        <v>13</v>
      </c>
      <c r="B1046" s="120">
        <f t="shared" si="570"/>
        <v>0</v>
      </c>
      <c r="C1046" s="120" t="str">
        <f t="shared" si="571"/>
        <v/>
      </c>
      <c r="D1046" s="137"/>
      <c r="E1046" s="150" t="str">
        <f>工種!A18</f>
        <v>30104</v>
      </c>
      <c r="F1046" s="119" t="str">
        <f>工種!B18</f>
        <v>製造：単体テスト実施</v>
      </c>
      <c r="G1046" s="116" t="str">
        <f t="shared" si="572"/>
        <v>030104</v>
      </c>
      <c r="H1046" s="88">
        <f t="shared" si="569"/>
        <v>0</v>
      </c>
      <c r="I1046" s="132"/>
      <c r="J1046" s="88">
        <f>SUMIF(月間集計シート!$M$29:$M$48,$G1046,月間集計シート!N$29:N$48)*J$2</f>
        <v>0</v>
      </c>
      <c r="K1046" s="88">
        <f>SUMIF(月間集計シート!$M$29:$M$48,$G1046,月間集計シート!O$29:O$48)*K$2</f>
        <v>0</v>
      </c>
      <c r="L1046" s="88">
        <f>SUMIF(月間集計シート!$M$29:$M$48,$G1046,月間集計シート!P$29:P$48)*L$2</f>
        <v>0</v>
      </c>
      <c r="M1046" s="88">
        <f>SUMIF(月間集計シート!$M$29:$M$48,$G1046,月間集計シート!Q$29:Q$48)*M$2</f>
        <v>0</v>
      </c>
      <c r="N1046" s="88">
        <f>SUMIF(月間集計シート!$M$29:$M$48,$G1046,月間集計シート!R$29:R$48)*N$2</f>
        <v>0</v>
      </c>
      <c r="O1046" s="88">
        <f>SUMIF(月間集計シート!$M$29:$M$48,$G1046,月間集計シート!S$29:S$48)*O$2</f>
        <v>0</v>
      </c>
      <c r="P1046" s="88">
        <f>SUMIF(月間集計シート!$M$29:$M$48,$G1046,月間集計シート!T$29:T$48)*P$2</f>
        <v>0</v>
      </c>
      <c r="Q1046" s="88">
        <f>SUMIF(月間集計シート!$M$50:$M$69,$G1046,月間集計シート!N$50:N$69)*Q$2</f>
        <v>0</v>
      </c>
      <c r="R1046" s="88">
        <f>SUMIF(月間集計シート!$M$50:$M$69,$G1046,月間集計シート!O$50:O$69)*R$2</f>
        <v>0</v>
      </c>
      <c r="S1046" s="88">
        <f>SUMIF(月間集計シート!$M$50:$M$69,$G1046,月間集計シート!P$50:P$69)*S$2</f>
        <v>0</v>
      </c>
      <c r="T1046" s="88">
        <f>SUMIF(月間集計シート!$M$50:$M$69,$G1046,月間集計シート!Q$50:Q$69)*T$2</f>
        <v>0</v>
      </c>
      <c r="U1046" s="88">
        <f>SUMIF(月間集計シート!$M$50:$M$69,$G1046,月間集計シート!R$50:R$69)*U$2</f>
        <v>0</v>
      </c>
      <c r="V1046" s="88">
        <f>SUMIF(月間集計シート!$M$50:$M$69,$G1046,月間集計シート!S$50:S$69)*V$2</f>
        <v>0</v>
      </c>
      <c r="W1046" s="88">
        <f>SUMIF(月間集計シート!$M$50:$M$69,$G1046,月間集計シート!T$50:T$69)*W$2</f>
        <v>0</v>
      </c>
      <c r="X1046" s="88">
        <f>SUMIF(月間集計シート!$M$71:$M$90,$G1046,月間集計シート!N$71:N$90)*X$2</f>
        <v>0</v>
      </c>
      <c r="Y1046" s="88">
        <f>SUMIF(月間集計シート!$M$71:$M$90,$G1046,月間集計シート!O$71:O$90)*Y$2</f>
        <v>0</v>
      </c>
      <c r="Z1046" s="88">
        <f>SUMIF(月間集計シート!$M$71:$M$90,$G1046,月間集計シート!P$71:P$90)*Z$2</f>
        <v>0</v>
      </c>
      <c r="AA1046" s="88">
        <f>SUMIF(月間集計シート!$M$71:$M$90,$G1046,月間集計シート!Q$71:Q$90)*AA$2</f>
        <v>0</v>
      </c>
      <c r="AB1046" s="88">
        <f>SUMIF(月間集計シート!$M$71:$M$90,$G1046,月間集計シート!R$71:R$90)*AB$2</f>
        <v>0</v>
      </c>
      <c r="AC1046" s="88">
        <f>SUMIF(月間集計シート!$M$71:$M$90,$G1046,月間集計シート!S$71:S$90)*AC$2</f>
        <v>0</v>
      </c>
      <c r="AD1046" s="88">
        <f>SUMIF(月間集計シート!$M$71:$M$90,$G1046,月間集計シート!T$71:T$90)*AD$2</f>
        <v>0</v>
      </c>
      <c r="AE1046" s="88">
        <f>SUMIF(月間集計シート!$M$92:$M$111,$G1046,月間集計シート!N$92:N$111)*AE$2</f>
        <v>0</v>
      </c>
      <c r="AF1046" s="88">
        <f>SUMIF(月間集計シート!$M$92:$M$111,$G1046,月間集計シート!O$92:O$111)*AF$2</f>
        <v>0</v>
      </c>
      <c r="AG1046" s="88">
        <f>SUMIF(月間集計シート!$M$92:$M$111,$G1046,月間集計シート!P$92:P$111)*AG$2</f>
        <v>0</v>
      </c>
      <c r="AH1046" s="88">
        <f>SUMIF(月間集計シート!$M$92:$M$111,$G1046,月間集計シート!Q$92:Q$111)*AH$2</f>
        <v>0</v>
      </c>
      <c r="AI1046" s="88">
        <f>SUMIF(月間集計シート!$M$92:$M$111,$G1046,月間集計シート!R$92:R$111)*AI$2</f>
        <v>0</v>
      </c>
      <c r="AJ1046" s="88">
        <f>SUMIF(月間集計シート!$M$92:$M$111,$G1046,月間集計シート!S$92:S$111)*AJ$2</f>
        <v>0</v>
      </c>
      <c r="AK1046" s="88">
        <f>SUMIF(月間集計シート!$M$92:$M$111,$G1046,月間集計シート!T$92:T$111)*AK$2</f>
        <v>0</v>
      </c>
      <c r="AL1046" s="88">
        <f>SUMIF(月間集計シート!$M$113:$M$132,$G1046,月間集計シート!N$113:N$132)*AL$2</f>
        <v>0</v>
      </c>
      <c r="AM1046" s="88">
        <f>SUMIF(月間集計シート!$M$113:$M$132,$G1046,月間集計シート!O$113:O$132)*AM$2</f>
        <v>0</v>
      </c>
      <c r="AN1046" s="88">
        <f>SUMIF(月間集計シート!$M$113:$M$132,$G1046,月間集計シート!P$113:P$132)*AN$2</f>
        <v>0</v>
      </c>
      <c r="AO1046" s="88">
        <f>SUMIF(月間集計シート!$M$113:$M$132,$G1046,月間集計シート!Q$113:Q$132)*AO$2</f>
        <v>0</v>
      </c>
      <c r="AP1046" s="88">
        <f>SUMIF(月間集計シート!$M$113:$M$132,$G1046,月間集計シート!R$113:R$132)*AP$2</f>
        <v>0</v>
      </c>
      <c r="AQ1046" s="88">
        <f>SUMIF(月間集計シート!$M$113:$M$132,$G1046,月間集計シート!S$113:S$132)*AQ$2</f>
        <v>0</v>
      </c>
      <c r="AR1046" s="88">
        <f>SUMIF(月間集計シート!$M$113:$M$132,$G1046,月間集計シート!T$113:T$132)*AR$2</f>
        <v>0</v>
      </c>
      <c r="AS1046" s="88">
        <f>SUMIF(月間集計シート!$M$134:$M$153,$G1046,月間集計シート!N$134:N$153)*AS$2</f>
        <v>0</v>
      </c>
      <c r="AT1046" s="88">
        <f>SUMIF(月間集計シート!$M$134:$M$153,$G1046,月間集計シート!O$134:O$153)*AT$2</f>
        <v>0</v>
      </c>
      <c r="AU1046" s="88">
        <f>SUMIF(月間集計シート!$M$134:$M$153,$G1046,月間集計シート!P$134:P$153)*AU$2</f>
        <v>0</v>
      </c>
      <c r="AV1046" s="88">
        <f>SUMIF(月間集計シート!$M$134:$M$153,$G1046,月間集計シート!Q$134:Q$153)*AV$2</f>
        <v>0</v>
      </c>
      <c r="AW1046" s="88">
        <f>SUMIF(月間集計シート!$M$134:$M$153,$G1046,月間集計シート!R$134:R$153)*AW$2</f>
        <v>0</v>
      </c>
      <c r="AX1046" s="88">
        <f>SUMIF(月間集計シート!$M$134:$M$153,$G1046,月間集計シート!S$134:S$153)*AX$2</f>
        <v>0</v>
      </c>
      <c r="AY1046" s="88">
        <f>SUMIF(月間集計シート!$M$134:$M$153,$G1046,月間集計シート!T$134:T$153)*AY$2</f>
        <v>0</v>
      </c>
    </row>
    <row r="1047" spans="1:51" ht="14.25" thickBot="1">
      <c r="A1047">
        <v>13</v>
      </c>
      <c r="B1047" s="120">
        <f t="shared" si="570"/>
        <v>0</v>
      </c>
      <c r="C1047" s="120" t="str">
        <f t="shared" si="571"/>
        <v/>
      </c>
      <c r="D1047" s="137"/>
      <c r="E1047" s="150" t="str">
        <f>工種!A19</f>
        <v>30105</v>
      </c>
      <c r="F1047" s="119" t="str">
        <f>工種!B19</f>
        <v>製造：打合せ</v>
      </c>
      <c r="G1047" s="116" t="str">
        <f t="shared" si="572"/>
        <v>030105</v>
      </c>
      <c r="H1047" s="88">
        <f t="shared" si="569"/>
        <v>0</v>
      </c>
      <c r="I1047" s="132"/>
      <c r="J1047" s="88">
        <f>SUMIF(月間集計シート!$M$29:$M$48,$G1047,月間集計シート!N$29:N$48)*J$2</f>
        <v>0</v>
      </c>
      <c r="K1047" s="88">
        <f>SUMIF(月間集計シート!$M$29:$M$48,$G1047,月間集計シート!O$29:O$48)*K$2</f>
        <v>0</v>
      </c>
      <c r="L1047" s="88">
        <f>SUMIF(月間集計シート!$M$29:$M$48,$G1047,月間集計シート!P$29:P$48)*L$2</f>
        <v>0</v>
      </c>
      <c r="M1047" s="88">
        <f>SUMIF(月間集計シート!$M$29:$M$48,$G1047,月間集計シート!Q$29:Q$48)*M$2</f>
        <v>0</v>
      </c>
      <c r="N1047" s="88">
        <f>SUMIF(月間集計シート!$M$29:$M$48,$G1047,月間集計シート!R$29:R$48)*N$2</f>
        <v>0</v>
      </c>
      <c r="O1047" s="88">
        <f>SUMIF(月間集計シート!$M$29:$M$48,$G1047,月間集計シート!S$29:S$48)*O$2</f>
        <v>0</v>
      </c>
      <c r="P1047" s="88">
        <f>SUMIF(月間集計シート!$M$29:$M$48,$G1047,月間集計シート!T$29:T$48)*P$2</f>
        <v>0</v>
      </c>
      <c r="Q1047" s="88">
        <f>SUMIF(月間集計シート!$M$50:$M$69,$G1047,月間集計シート!N$50:N$69)*Q$2</f>
        <v>0</v>
      </c>
      <c r="R1047" s="88">
        <f>SUMIF(月間集計シート!$M$50:$M$69,$G1047,月間集計シート!O$50:O$69)*R$2</f>
        <v>0</v>
      </c>
      <c r="S1047" s="88">
        <f>SUMIF(月間集計シート!$M$50:$M$69,$G1047,月間集計シート!P$50:P$69)*S$2</f>
        <v>0</v>
      </c>
      <c r="T1047" s="88">
        <f>SUMIF(月間集計シート!$M$50:$M$69,$G1047,月間集計シート!Q$50:Q$69)*T$2</f>
        <v>0</v>
      </c>
      <c r="U1047" s="88">
        <f>SUMIF(月間集計シート!$M$50:$M$69,$G1047,月間集計シート!R$50:R$69)*U$2</f>
        <v>0</v>
      </c>
      <c r="V1047" s="88">
        <f>SUMIF(月間集計シート!$M$50:$M$69,$G1047,月間集計シート!S$50:S$69)*V$2</f>
        <v>0</v>
      </c>
      <c r="W1047" s="88">
        <f>SUMIF(月間集計シート!$M$50:$M$69,$G1047,月間集計シート!T$50:T$69)*W$2</f>
        <v>0</v>
      </c>
      <c r="X1047" s="88">
        <f>SUMIF(月間集計シート!$M$71:$M$90,$G1047,月間集計シート!N$71:N$90)*X$2</f>
        <v>0</v>
      </c>
      <c r="Y1047" s="88">
        <f>SUMIF(月間集計シート!$M$71:$M$90,$G1047,月間集計シート!O$71:O$90)*Y$2</f>
        <v>0</v>
      </c>
      <c r="Z1047" s="88">
        <f>SUMIF(月間集計シート!$M$71:$M$90,$G1047,月間集計シート!P$71:P$90)*Z$2</f>
        <v>0</v>
      </c>
      <c r="AA1047" s="88">
        <f>SUMIF(月間集計シート!$M$71:$M$90,$G1047,月間集計シート!Q$71:Q$90)*AA$2</f>
        <v>0</v>
      </c>
      <c r="AB1047" s="88">
        <f>SUMIF(月間集計シート!$M$71:$M$90,$G1047,月間集計シート!R$71:R$90)*AB$2</f>
        <v>0</v>
      </c>
      <c r="AC1047" s="88">
        <f>SUMIF(月間集計シート!$M$71:$M$90,$G1047,月間集計シート!S$71:S$90)*AC$2</f>
        <v>0</v>
      </c>
      <c r="AD1047" s="88">
        <f>SUMIF(月間集計シート!$M$71:$M$90,$G1047,月間集計シート!T$71:T$90)*AD$2</f>
        <v>0</v>
      </c>
      <c r="AE1047" s="88">
        <f>SUMIF(月間集計シート!$M$92:$M$111,$G1047,月間集計シート!N$92:N$111)*AE$2</f>
        <v>0</v>
      </c>
      <c r="AF1047" s="88">
        <f>SUMIF(月間集計シート!$M$92:$M$111,$G1047,月間集計シート!O$92:O$111)*AF$2</f>
        <v>0</v>
      </c>
      <c r="AG1047" s="88">
        <f>SUMIF(月間集計シート!$M$92:$M$111,$G1047,月間集計シート!P$92:P$111)*AG$2</f>
        <v>0</v>
      </c>
      <c r="AH1047" s="88">
        <f>SUMIF(月間集計シート!$M$92:$M$111,$G1047,月間集計シート!Q$92:Q$111)*AH$2</f>
        <v>0</v>
      </c>
      <c r="AI1047" s="88">
        <f>SUMIF(月間集計シート!$M$92:$M$111,$G1047,月間集計シート!R$92:R$111)*AI$2</f>
        <v>0</v>
      </c>
      <c r="AJ1047" s="88">
        <f>SUMIF(月間集計シート!$M$92:$M$111,$G1047,月間集計シート!S$92:S$111)*AJ$2</f>
        <v>0</v>
      </c>
      <c r="AK1047" s="88">
        <f>SUMIF(月間集計シート!$M$92:$M$111,$G1047,月間集計シート!T$92:T$111)*AK$2</f>
        <v>0</v>
      </c>
      <c r="AL1047" s="88">
        <f>SUMIF(月間集計シート!$M$113:$M$132,$G1047,月間集計シート!N$113:N$132)*AL$2</f>
        <v>0</v>
      </c>
      <c r="AM1047" s="88">
        <f>SUMIF(月間集計シート!$M$113:$M$132,$G1047,月間集計シート!O$113:O$132)*AM$2</f>
        <v>0</v>
      </c>
      <c r="AN1047" s="88">
        <f>SUMIF(月間集計シート!$M$113:$M$132,$G1047,月間集計シート!P$113:P$132)*AN$2</f>
        <v>0</v>
      </c>
      <c r="AO1047" s="88">
        <f>SUMIF(月間集計シート!$M$113:$M$132,$G1047,月間集計シート!Q$113:Q$132)*AO$2</f>
        <v>0</v>
      </c>
      <c r="AP1047" s="88">
        <f>SUMIF(月間集計シート!$M$113:$M$132,$G1047,月間集計シート!R$113:R$132)*AP$2</f>
        <v>0</v>
      </c>
      <c r="AQ1047" s="88">
        <f>SUMIF(月間集計シート!$M$113:$M$132,$G1047,月間集計シート!S$113:S$132)*AQ$2</f>
        <v>0</v>
      </c>
      <c r="AR1047" s="88">
        <f>SUMIF(月間集計シート!$M$113:$M$132,$G1047,月間集計シート!T$113:T$132)*AR$2</f>
        <v>0</v>
      </c>
      <c r="AS1047" s="88">
        <f>SUMIF(月間集計シート!$M$134:$M$153,$G1047,月間集計シート!N$134:N$153)*AS$2</f>
        <v>0</v>
      </c>
      <c r="AT1047" s="88">
        <f>SUMIF(月間集計シート!$M$134:$M$153,$G1047,月間集計シート!O$134:O$153)*AT$2</f>
        <v>0</v>
      </c>
      <c r="AU1047" s="88">
        <f>SUMIF(月間集計シート!$M$134:$M$153,$G1047,月間集計シート!P$134:P$153)*AU$2</f>
        <v>0</v>
      </c>
      <c r="AV1047" s="88">
        <f>SUMIF(月間集計シート!$M$134:$M$153,$G1047,月間集計シート!Q$134:Q$153)*AV$2</f>
        <v>0</v>
      </c>
      <c r="AW1047" s="88">
        <f>SUMIF(月間集計シート!$M$134:$M$153,$G1047,月間集計シート!R$134:R$153)*AW$2</f>
        <v>0</v>
      </c>
      <c r="AX1047" s="88">
        <f>SUMIF(月間集計シート!$M$134:$M$153,$G1047,月間集計シート!S$134:S$153)*AX$2</f>
        <v>0</v>
      </c>
      <c r="AY1047" s="88">
        <f>SUMIF(月間集計シート!$M$134:$M$153,$G1047,月間集計シート!T$134:T$153)*AY$2</f>
        <v>0</v>
      </c>
    </row>
    <row r="1048" spans="1:51" ht="14.25" thickBot="1">
      <c r="A1048">
        <v>13</v>
      </c>
      <c r="B1048" s="120">
        <f t="shared" si="570"/>
        <v>0</v>
      </c>
      <c r="C1048" s="120" t="str">
        <f t="shared" si="571"/>
        <v/>
      </c>
      <c r="D1048" s="137"/>
      <c r="E1048" s="150" t="str">
        <f>工種!A20</f>
        <v>30106</v>
      </c>
      <c r="F1048" s="119" t="str">
        <f>工種!B20</f>
        <v>製造：PG修正（手戻り分）</v>
      </c>
      <c r="G1048" s="116" t="str">
        <f t="shared" si="572"/>
        <v>030106</v>
      </c>
      <c r="H1048" s="88">
        <f t="shared" si="569"/>
        <v>0</v>
      </c>
      <c r="I1048" s="132"/>
      <c r="J1048" s="88">
        <f>SUMIF(月間集計シート!$M$29:$M$48,$G1048,月間集計シート!N$29:N$48)*J$2</f>
        <v>0</v>
      </c>
      <c r="K1048" s="88">
        <f>SUMIF(月間集計シート!$M$29:$M$48,$G1048,月間集計シート!O$29:O$48)*K$2</f>
        <v>0</v>
      </c>
      <c r="L1048" s="88">
        <f>SUMIF(月間集計シート!$M$29:$M$48,$G1048,月間集計シート!P$29:P$48)*L$2</f>
        <v>0</v>
      </c>
      <c r="M1048" s="88">
        <f>SUMIF(月間集計シート!$M$29:$M$48,$G1048,月間集計シート!Q$29:Q$48)*M$2</f>
        <v>0</v>
      </c>
      <c r="N1048" s="88">
        <f>SUMIF(月間集計シート!$M$29:$M$48,$G1048,月間集計シート!R$29:R$48)*N$2</f>
        <v>0</v>
      </c>
      <c r="O1048" s="88">
        <f>SUMIF(月間集計シート!$M$29:$M$48,$G1048,月間集計シート!S$29:S$48)*O$2</f>
        <v>0</v>
      </c>
      <c r="P1048" s="88">
        <f>SUMIF(月間集計シート!$M$29:$M$48,$G1048,月間集計シート!T$29:T$48)*P$2</f>
        <v>0</v>
      </c>
      <c r="Q1048" s="88">
        <f>SUMIF(月間集計シート!$M$50:$M$69,$G1048,月間集計シート!N$50:N$69)*Q$2</f>
        <v>0</v>
      </c>
      <c r="R1048" s="88">
        <f>SUMIF(月間集計シート!$M$50:$M$69,$G1048,月間集計シート!O$50:O$69)*R$2</f>
        <v>0</v>
      </c>
      <c r="S1048" s="88">
        <f>SUMIF(月間集計シート!$M$50:$M$69,$G1048,月間集計シート!P$50:P$69)*S$2</f>
        <v>0</v>
      </c>
      <c r="T1048" s="88">
        <f>SUMIF(月間集計シート!$M$50:$M$69,$G1048,月間集計シート!Q$50:Q$69)*T$2</f>
        <v>0</v>
      </c>
      <c r="U1048" s="88">
        <f>SUMIF(月間集計シート!$M$50:$M$69,$G1048,月間集計シート!R$50:R$69)*U$2</f>
        <v>0</v>
      </c>
      <c r="V1048" s="88">
        <f>SUMIF(月間集計シート!$M$50:$M$69,$G1048,月間集計シート!S$50:S$69)*V$2</f>
        <v>0</v>
      </c>
      <c r="W1048" s="88">
        <f>SUMIF(月間集計シート!$M$50:$M$69,$G1048,月間集計シート!T$50:T$69)*W$2</f>
        <v>0</v>
      </c>
      <c r="X1048" s="88">
        <f>SUMIF(月間集計シート!$M$71:$M$90,$G1048,月間集計シート!N$71:N$90)*X$2</f>
        <v>0</v>
      </c>
      <c r="Y1048" s="88">
        <f>SUMIF(月間集計シート!$M$71:$M$90,$G1048,月間集計シート!O$71:O$90)*Y$2</f>
        <v>0</v>
      </c>
      <c r="Z1048" s="88">
        <f>SUMIF(月間集計シート!$M$71:$M$90,$G1048,月間集計シート!P$71:P$90)*Z$2</f>
        <v>0</v>
      </c>
      <c r="AA1048" s="88">
        <f>SUMIF(月間集計シート!$M$71:$M$90,$G1048,月間集計シート!Q$71:Q$90)*AA$2</f>
        <v>0</v>
      </c>
      <c r="AB1048" s="88">
        <f>SUMIF(月間集計シート!$M$71:$M$90,$G1048,月間集計シート!R$71:R$90)*AB$2</f>
        <v>0</v>
      </c>
      <c r="AC1048" s="88">
        <f>SUMIF(月間集計シート!$M$71:$M$90,$G1048,月間集計シート!S$71:S$90)*AC$2</f>
        <v>0</v>
      </c>
      <c r="AD1048" s="88">
        <f>SUMIF(月間集計シート!$M$71:$M$90,$G1048,月間集計シート!T$71:T$90)*AD$2</f>
        <v>0</v>
      </c>
      <c r="AE1048" s="88">
        <f>SUMIF(月間集計シート!$M$92:$M$111,$G1048,月間集計シート!N$92:N$111)*AE$2</f>
        <v>0</v>
      </c>
      <c r="AF1048" s="88">
        <f>SUMIF(月間集計シート!$M$92:$M$111,$G1048,月間集計シート!O$92:O$111)*AF$2</f>
        <v>0</v>
      </c>
      <c r="AG1048" s="88">
        <f>SUMIF(月間集計シート!$M$92:$M$111,$G1048,月間集計シート!P$92:P$111)*AG$2</f>
        <v>0</v>
      </c>
      <c r="AH1048" s="88">
        <f>SUMIF(月間集計シート!$M$92:$M$111,$G1048,月間集計シート!Q$92:Q$111)*AH$2</f>
        <v>0</v>
      </c>
      <c r="AI1048" s="88">
        <f>SUMIF(月間集計シート!$M$92:$M$111,$G1048,月間集計シート!R$92:R$111)*AI$2</f>
        <v>0</v>
      </c>
      <c r="AJ1048" s="88">
        <f>SUMIF(月間集計シート!$M$92:$M$111,$G1048,月間集計シート!S$92:S$111)*AJ$2</f>
        <v>0</v>
      </c>
      <c r="AK1048" s="88">
        <f>SUMIF(月間集計シート!$M$92:$M$111,$G1048,月間集計シート!T$92:T$111)*AK$2</f>
        <v>0</v>
      </c>
      <c r="AL1048" s="88">
        <f>SUMIF(月間集計シート!$M$113:$M$132,$G1048,月間集計シート!N$113:N$132)*AL$2</f>
        <v>0</v>
      </c>
      <c r="AM1048" s="88">
        <f>SUMIF(月間集計シート!$M$113:$M$132,$G1048,月間集計シート!O$113:O$132)*AM$2</f>
        <v>0</v>
      </c>
      <c r="AN1048" s="88">
        <f>SUMIF(月間集計シート!$M$113:$M$132,$G1048,月間集計シート!P$113:P$132)*AN$2</f>
        <v>0</v>
      </c>
      <c r="AO1048" s="88">
        <f>SUMIF(月間集計シート!$M$113:$M$132,$G1048,月間集計シート!Q$113:Q$132)*AO$2</f>
        <v>0</v>
      </c>
      <c r="AP1048" s="88">
        <f>SUMIF(月間集計シート!$M$113:$M$132,$G1048,月間集計シート!R$113:R$132)*AP$2</f>
        <v>0</v>
      </c>
      <c r="AQ1048" s="88">
        <f>SUMIF(月間集計シート!$M$113:$M$132,$G1048,月間集計シート!S$113:S$132)*AQ$2</f>
        <v>0</v>
      </c>
      <c r="AR1048" s="88">
        <f>SUMIF(月間集計シート!$M$113:$M$132,$G1048,月間集計シート!T$113:T$132)*AR$2</f>
        <v>0</v>
      </c>
      <c r="AS1048" s="88">
        <f>SUMIF(月間集計シート!$M$134:$M$153,$G1048,月間集計シート!N$134:N$153)*AS$2</f>
        <v>0</v>
      </c>
      <c r="AT1048" s="88">
        <f>SUMIF(月間集計シート!$M$134:$M$153,$G1048,月間集計シート!O$134:O$153)*AT$2</f>
        <v>0</v>
      </c>
      <c r="AU1048" s="88">
        <f>SUMIF(月間集計シート!$M$134:$M$153,$G1048,月間集計シート!P$134:P$153)*AU$2</f>
        <v>0</v>
      </c>
      <c r="AV1048" s="88">
        <f>SUMIF(月間集計シート!$M$134:$M$153,$G1048,月間集計シート!Q$134:Q$153)*AV$2</f>
        <v>0</v>
      </c>
      <c r="AW1048" s="88">
        <f>SUMIF(月間集計シート!$M$134:$M$153,$G1048,月間集計シート!R$134:R$153)*AW$2</f>
        <v>0</v>
      </c>
      <c r="AX1048" s="88">
        <f>SUMIF(月間集計シート!$M$134:$M$153,$G1048,月間集計シート!S$134:S$153)*AX$2</f>
        <v>0</v>
      </c>
      <c r="AY1048" s="88">
        <f>SUMIF(月間集計シート!$M$134:$M$153,$G1048,月間集計シート!T$134:T$153)*AY$2</f>
        <v>0</v>
      </c>
    </row>
    <row r="1049" spans="1:51" ht="14.25" thickBot="1">
      <c r="A1049">
        <v>13</v>
      </c>
      <c r="B1049" s="120">
        <f t="shared" si="570"/>
        <v>0</v>
      </c>
      <c r="C1049" s="120" t="str">
        <f t="shared" si="571"/>
        <v/>
      </c>
      <c r="D1049" s="137"/>
      <c r="E1049" s="150" t="str">
        <f>工種!A21</f>
        <v>30109</v>
      </c>
      <c r="F1049" s="119" t="str">
        <f>工種!B21</f>
        <v>製造：レビュー</v>
      </c>
      <c r="G1049" s="116" t="str">
        <f t="shared" si="572"/>
        <v>030109</v>
      </c>
      <c r="H1049" s="88">
        <f t="shared" si="569"/>
        <v>0</v>
      </c>
      <c r="I1049" s="132"/>
      <c r="J1049" s="88">
        <f>SUMIF(月間集計シート!$M$29:$M$48,$G1049,月間集計シート!N$29:N$48)*J$2</f>
        <v>0</v>
      </c>
      <c r="K1049" s="88">
        <f>SUMIF(月間集計シート!$M$29:$M$48,$G1049,月間集計シート!O$29:O$48)*K$2</f>
        <v>0</v>
      </c>
      <c r="L1049" s="88">
        <f>SUMIF(月間集計シート!$M$29:$M$48,$G1049,月間集計シート!P$29:P$48)*L$2</f>
        <v>0</v>
      </c>
      <c r="M1049" s="88">
        <f>SUMIF(月間集計シート!$M$29:$M$48,$G1049,月間集計シート!Q$29:Q$48)*M$2</f>
        <v>0</v>
      </c>
      <c r="N1049" s="88">
        <f>SUMIF(月間集計シート!$M$29:$M$48,$G1049,月間集計シート!R$29:R$48)*N$2</f>
        <v>0</v>
      </c>
      <c r="O1049" s="88">
        <f>SUMIF(月間集計シート!$M$29:$M$48,$G1049,月間集計シート!S$29:S$48)*O$2</f>
        <v>0</v>
      </c>
      <c r="P1049" s="88">
        <f>SUMIF(月間集計シート!$M$29:$M$48,$G1049,月間集計シート!T$29:T$48)*P$2</f>
        <v>0</v>
      </c>
      <c r="Q1049" s="88">
        <f>SUMIF(月間集計シート!$M$50:$M$69,$G1049,月間集計シート!N$50:N$69)*Q$2</f>
        <v>0</v>
      </c>
      <c r="R1049" s="88">
        <f>SUMIF(月間集計シート!$M$50:$M$69,$G1049,月間集計シート!O$50:O$69)*R$2</f>
        <v>0</v>
      </c>
      <c r="S1049" s="88">
        <f>SUMIF(月間集計シート!$M$50:$M$69,$G1049,月間集計シート!P$50:P$69)*S$2</f>
        <v>0</v>
      </c>
      <c r="T1049" s="88">
        <f>SUMIF(月間集計シート!$M$50:$M$69,$G1049,月間集計シート!Q$50:Q$69)*T$2</f>
        <v>0</v>
      </c>
      <c r="U1049" s="88">
        <f>SUMIF(月間集計シート!$M$50:$M$69,$G1049,月間集計シート!R$50:R$69)*U$2</f>
        <v>0</v>
      </c>
      <c r="V1049" s="88">
        <f>SUMIF(月間集計シート!$M$50:$M$69,$G1049,月間集計シート!S$50:S$69)*V$2</f>
        <v>0</v>
      </c>
      <c r="W1049" s="88">
        <f>SUMIF(月間集計シート!$M$50:$M$69,$G1049,月間集計シート!T$50:T$69)*W$2</f>
        <v>0</v>
      </c>
      <c r="X1049" s="88">
        <f>SUMIF(月間集計シート!$M$71:$M$90,$G1049,月間集計シート!N$71:N$90)*X$2</f>
        <v>0</v>
      </c>
      <c r="Y1049" s="88">
        <f>SUMIF(月間集計シート!$M$71:$M$90,$G1049,月間集計シート!O$71:O$90)*Y$2</f>
        <v>0</v>
      </c>
      <c r="Z1049" s="88">
        <f>SUMIF(月間集計シート!$M$71:$M$90,$G1049,月間集計シート!P$71:P$90)*Z$2</f>
        <v>0</v>
      </c>
      <c r="AA1049" s="88">
        <f>SUMIF(月間集計シート!$M$71:$M$90,$G1049,月間集計シート!Q$71:Q$90)*AA$2</f>
        <v>0</v>
      </c>
      <c r="AB1049" s="88">
        <f>SUMIF(月間集計シート!$M$71:$M$90,$G1049,月間集計シート!R$71:R$90)*AB$2</f>
        <v>0</v>
      </c>
      <c r="AC1049" s="88">
        <f>SUMIF(月間集計シート!$M$71:$M$90,$G1049,月間集計シート!S$71:S$90)*AC$2</f>
        <v>0</v>
      </c>
      <c r="AD1049" s="88">
        <f>SUMIF(月間集計シート!$M$71:$M$90,$G1049,月間集計シート!T$71:T$90)*AD$2</f>
        <v>0</v>
      </c>
      <c r="AE1049" s="88">
        <f>SUMIF(月間集計シート!$M$92:$M$111,$G1049,月間集計シート!N$92:N$111)*AE$2</f>
        <v>0</v>
      </c>
      <c r="AF1049" s="88">
        <f>SUMIF(月間集計シート!$M$92:$M$111,$G1049,月間集計シート!O$92:O$111)*AF$2</f>
        <v>0</v>
      </c>
      <c r="AG1049" s="88">
        <f>SUMIF(月間集計シート!$M$92:$M$111,$G1049,月間集計シート!P$92:P$111)*AG$2</f>
        <v>0</v>
      </c>
      <c r="AH1049" s="88">
        <f>SUMIF(月間集計シート!$M$92:$M$111,$G1049,月間集計シート!Q$92:Q$111)*AH$2</f>
        <v>0</v>
      </c>
      <c r="AI1049" s="88">
        <f>SUMIF(月間集計シート!$M$92:$M$111,$G1049,月間集計シート!R$92:R$111)*AI$2</f>
        <v>0</v>
      </c>
      <c r="AJ1049" s="88">
        <f>SUMIF(月間集計シート!$M$92:$M$111,$G1049,月間集計シート!S$92:S$111)*AJ$2</f>
        <v>0</v>
      </c>
      <c r="AK1049" s="88">
        <f>SUMIF(月間集計シート!$M$92:$M$111,$G1049,月間集計シート!T$92:T$111)*AK$2</f>
        <v>0</v>
      </c>
      <c r="AL1049" s="88">
        <f>SUMIF(月間集計シート!$M$113:$M$132,$G1049,月間集計シート!N$113:N$132)*AL$2</f>
        <v>0</v>
      </c>
      <c r="AM1049" s="88">
        <f>SUMIF(月間集計シート!$M$113:$M$132,$G1049,月間集計シート!O$113:O$132)*AM$2</f>
        <v>0</v>
      </c>
      <c r="AN1049" s="88">
        <f>SUMIF(月間集計シート!$M$113:$M$132,$G1049,月間集計シート!P$113:P$132)*AN$2</f>
        <v>0</v>
      </c>
      <c r="AO1049" s="88">
        <f>SUMIF(月間集計シート!$M$113:$M$132,$G1049,月間集計シート!Q$113:Q$132)*AO$2</f>
        <v>0</v>
      </c>
      <c r="AP1049" s="88">
        <f>SUMIF(月間集計シート!$M$113:$M$132,$G1049,月間集計シート!R$113:R$132)*AP$2</f>
        <v>0</v>
      </c>
      <c r="AQ1049" s="88">
        <f>SUMIF(月間集計シート!$M$113:$M$132,$G1049,月間集計シート!S$113:S$132)*AQ$2</f>
        <v>0</v>
      </c>
      <c r="AR1049" s="88">
        <f>SUMIF(月間集計シート!$M$113:$M$132,$G1049,月間集計シート!T$113:T$132)*AR$2</f>
        <v>0</v>
      </c>
      <c r="AS1049" s="88">
        <f>SUMIF(月間集計シート!$M$134:$M$153,$G1049,月間集計シート!N$134:N$153)*AS$2</f>
        <v>0</v>
      </c>
      <c r="AT1049" s="88">
        <f>SUMIF(月間集計シート!$M$134:$M$153,$G1049,月間集計シート!O$134:O$153)*AT$2</f>
        <v>0</v>
      </c>
      <c r="AU1049" s="88">
        <f>SUMIF(月間集計シート!$M$134:$M$153,$G1049,月間集計シート!P$134:P$153)*AU$2</f>
        <v>0</v>
      </c>
      <c r="AV1049" s="88">
        <f>SUMIF(月間集計シート!$M$134:$M$153,$G1049,月間集計シート!Q$134:Q$153)*AV$2</f>
        <v>0</v>
      </c>
      <c r="AW1049" s="88">
        <f>SUMIF(月間集計シート!$M$134:$M$153,$G1049,月間集計シート!R$134:R$153)*AW$2</f>
        <v>0</v>
      </c>
      <c r="AX1049" s="88">
        <f>SUMIF(月間集計シート!$M$134:$M$153,$G1049,月間集計シート!S$134:S$153)*AX$2</f>
        <v>0</v>
      </c>
      <c r="AY1049" s="88">
        <f>SUMIF(月間集計シート!$M$134:$M$153,$G1049,月間集計シート!T$134:T$153)*AY$2</f>
        <v>0</v>
      </c>
    </row>
    <row r="1050" spans="1:51" ht="14.25" thickBot="1">
      <c r="A1050">
        <v>13</v>
      </c>
      <c r="B1050" s="120">
        <f t="shared" si="570"/>
        <v>0</v>
      </c>
      <c r="C1050" s="120" t="str">
        <f t="shared" si="571"/>
        <v/>
      </c>
      <c r="D1050" s="137"/>
      <c r="E1050" s="150" t="str">
        <f>工種!A22</f>
        <v>30199</v>
      </c>
      <c r="F1050" s="119" t="str">
        <f>工種!B22</f>
        <v>製造：その他</v>
      </c>
      <c r="G1050" s="116" t="str">
        <f t="shared" si="572"/>
        <v>030199</v>
      </c>
      <c r="H1050" s="88">
        <f t="shared" si="569"/>
        <v>0</v>
      </c>
      <c r="I1050" s="132"/>
      <c r="J1050" s="88">
        <f>SUMIF(月間集計シート!$M$29:$M$48,$G1050,月間集計シート!N$29:N$48)*J$2</f>
        <v>0</v>
      </c>
      <c r="K1050" s="88">
        <f>SUMIF(月間集計シート!$M$29:$M$48,$G1050,月間集計シート!O$29:O$48)*K$2</f>
        <v>0</v>
      </c>
      <c r="L1050" s="88">
        <f>SUMIF(月間集計シート!$M$29:$M$48,$G1050,月間集計シート!P$29:P$48)*L$2</f>
        <v>0</v>
      </c>
      <c r="M1050" s="88">
        <f>SUMIF(月間集計シート!$M$29:$M$48,$G1050,月間集計シート!Q$29:Q$48)*M$2</f>
        <v>0</v>
      </c>
      <c r="N1050" s="88">
        <f>SUMIF(月間集計シート!$M$29:$M$48,$G1050,月間集計シート!R$29:R$48)*N$2</f>
        <v>0</v>
      </c>
      <c r="O1050" s="88">
        <f>SUMIF(月間集計シート!$M$29:$M$48,$G1050,月間集計シート!S$29:S$48)*O$2</f>
        <v>0</v>
      </c>
      <c r="P1050" s="88">
        <f>SUMIF(月間集計シート!$M$29:$M$48,$G1050,月間集計シート!T$29:T$48)*P$2</f>
        <v>0</v>
      </c>
      <c r="Q1050" s="88">
        <f>SUMIF(月間集計シート!$M$50:$M$69,$G1050,月間集計シート!N$50:N$69)*Q$2</f>
        <v>0</v>
      </c>
      <c r="R1050" s="88">
        <f>SUMIF(月間集計シート!$M$50:$M$69,$G1050,月間集計シート!O$50:O$69)*R$2</f>
        <v>0</v>
      </c>
      <c r="S1050" s="88">
        <f>SUMIF(月間集計シート!$M$50:$M$69,$G1050,月間集計シート!P$50:P$69)*S$2</f>
        <v>0</v>
      </c>
      <c r="T1050" s="88">
        <f>SUMIF(月間集計シート!$M$50:$M$69,$G1050,月間集計シート!Q$50:Q$69)*T$2</f>
        <v>0</v>
      </c>
      <c r="U1050" s="88">
        <f>SUMIF(月間集計シート!$M$50:$M$69,$G1050,月間集計シート!R$50:R$69)*U$2</f>
        <v>0</v>
      </c>
      <c r="V1050" s="88">
        <f>SUMIF(月間集計シート!$M$50:$M$69,$G1050,月間集計シート!S$50:S$69)*V$2</f>
        <v>0</v>
      </c>
      <c r="W1050" s="88">
        <f>SUMIF(月間集計シート!$M$50:$M$69,$G1050,月間集計シート!T$50:T$69)*W$2</f>
        <v>0</v>
      </c>
      <c r="X1050" s="88">
        <f>SUMIF(月間集計シート!$M$71:$M$90,$G1050,月間集計シート!N$71:N$90)*X$2</f>
        <v>0</v>
      </c>
      <c r="Y1050" s="88">
        <f>SUMIF(月間集計シート!$M$71:$M$90,$G1050,月間集計シート!O$71:O$90)*Y$2</f>
        <v>0</v>
      </c>
      <c r="Z1050" s="88">
        <f>SUMIF(月間集計シート!$M$71:$M$90,$G1050,月間集計シート!P$71:P$90)*Z$2</f>
        <v>0</v>
      </c>
      <c r="AA1050" s="88">
        <f>SUMIF(月間集計シート!$M$71:$M$90,$G1050,月間集計シート!Q$71:Q$90)*AA$2</f>
        <v>0</v>
      </c>
      <c r="AB1050" s="88">
        <f>SUMIF(月間集計シート!$M$71:$M$90,$G1050,月間集計シート!R$71:R$90)*AB$2</f>
        <v>0</v>
      </c>
      <c r="AC1050" s="88">
        <f>SUMIF(月間集計シート!$M$71:$M$90,$G1050,月間集計シート!S$71:S$90)*AC$2</f>
        <v>0</v>
      </c>
      <c r="AD1050" s="88">
        <f>SUMIF(月間集計シート!$M$71:$M$90,$G1050,月間集計シート!T$71:T$90)*AD$2</f>
        <v>0</v>
      </c>
      <c r="AE1050" s="88">
        <f>SUMIF(月間集計シート!$M$92:$M$111,$G1050,月間集計シート!N$92:N$111)*AE$2</f>
        <v>0</v>
      </c>
      <c r="AF1050" s="88">
        <f>SUMIF(月間集計シート!$M$92:$M$111,$G1050,月間集計シート!O$92:O$111)*AF$2</f>
        <v>0</v>
      </c>
      <c r="AG1050" s="88">
        <f>SUMIF(月間集計シート!$M$92:$M$111,$G1050,月間集計シート!P$92:P$111)*AG$2</f>
        <v>0</v>
      </c>
      <c r="AH1050" s="88">
        <f>SUMIF(月間集計シート!$M$92:$M$111,$G1050,月間集計シート!Q$92:Q$111)*AH$2</f>
        <v>0</v>
      </c>
      <c r="AI1050" s="88">
        <f>SUMIF(月間集計シート!$M$92:$M$111,$G1050,月間集計シート!R$92:R$111)*AI$2</f>
        <v>0</v>
      </c>
      <c r="AJ1050" s="88">
        <f>SUMIF(月間集計シート!$M$92:$M$111,$G1050,月間集計シート!S$92:S$111)*AJ$2</f>
        <v>0</v>
      </c>
      <c r="AK1050" s="88">
        <f>SUMIF(月間集計シート!$M$92:$M$111,$G1050,月間集計シート!T$92:T$111)*AK$2</f>
        <v>0</v>
      </c>
      <c r="AL1050" s="88">
        <f>SUMIF(月間集計シート!$M$113:$M$132,$G1050,月間集計シート!N$113:N$132)*AL$2</f>
        <v>0</v>
      </c>
      <c r="AM1050" s="88">
        <f>SUMIF(月間集計シート!$M$113:$M$132,$G1050,月間集計シート!O$113:O$132)*AM$2</f>
        <v>0</v>
      </c>
      <c r="AN1050" s="88">
        <f>SUMIF(月間集計シート!$M$113:$M$132,$G1050,月間集計シート!P$113:P$132)*AN$2</f>
        <v>0</v>
      </c>
      <c r="AO1050" s="88">
        <f>SUMIF(月間集計シート!$M$113:$M$132,$G1050,月間集計シート!Q$113:Q$132)*AO$2</f>
        <v>0</v>
      </c>
      <c r="AP1050" s="88">
        <f>SUMIF(月間集計シート!$M$113:$M$132,$G1050,月間集計シート!R$113:R$132)*AP$2</f>
        <v>0</v>
      </c>
      <c r="AQ1050" s="88">
        <f>SUMIF(月間集計シート!$M$113:$M$132,$G1050,月間集計シート!S$113:S$132)*AQ$2</f>
        <v>0</v>
      </c>
      <c r="AR1050" s="88">
        <f>SUMIF(月間集計シート!$M$113:$M$132,$G1050,月間集計シート!T$113:T$132)*AR$2</f>
        <v>0</v>
      </c>
      <c r="AS1050" s="88">
        <f>SUMIF(月間集計シート!$M$134:$M$153,$G1050,月間集計シート!N$134:N$153)*AS$2</f>
        <v>0</v>
      </c>
      <c r="AT1050" s="88">
        <f>SUMIF(月間集計シート!$M$134:$M$153,$G1050,月間集計シート!O$134:O$153)*AT$2</f>
        <v>0</v>
      </c>
      <c r="AU1050" s="88">
        <f>SUMIF(月間集計シート!$M$134:$M$153,$G1050,月間集計シート!P$134:P$153)*AU$2</f>
        <v>0</v>
      </c>
      <c r="AV1050" s="88">
        <f>SUMIF(月間集計シート!$M$134:$M$153,$G1050,月間集計シート!Q$134:Q$153)*AV$2</f>
        <v>0</v>
      </c>
      <c r="AW1050" s="88">
        <f>SUMIF(月間集計シート!$M$134:$M$153,$G1050,月間集計シート!R$134:R$153)*AW$2</f>
        <v>0</v>
      </c>
      <c r="AX1050" s="88">
        <f>SUMIF(月間集計シート!$M$134:$M$153,$G1050,月間集計シート!S$134:S$153)*AX$2</f>
        <v>0</v>
      </c>
      <c r="AY1050" s="88">
        <f>SUMIF(月間集計シート!$M$134:$M$153,$G1050,月間集計シート!T$134:T$153)*AY$2</f>
        <v>0</v>
      </c>
    </row>
    <row r="1051" spans="1:51" ht="14.25" thickBot="1">
      <c r="A1051">
        <v>13</v>
      </c>
      <c r="B1051" s="120">
        <f t="shared" si="570"/>
        <v>0</v>
      </c>
      <c r="C1051" s="120" t="str">
        <f t="shared" si="571"/>
        <v/>
      </c>
      <c r="D1051" s="137"/>
      <c r="E1051" s="150" t="str">
        <f>工種!A23</f>
        <v>40101</v>
      </c>
      <c r="F1051" s="119" t="str">
        <f>工種!B23</f>
        <v>テスト：結合テスト実施</v>
      </c>
      <c r="G1051" s="116" t="str">
        <f t="shared" si="572"/>
        <v>040101</v>
      </c>
      <c r="H1051" s="88">
        <f t="shared" si="569"/>
        <v>0</v>
      </c>
      <c r="I1051" s="132"/>
      <c r="J1051" s="88">
        <f>SUMIF(月間集計シート!$M$29:$M$48,$G1051,月間集計シート!N$29:N$48)*J$2</f>
        <v>0</v>
      </c>
      <c r="K1051" s="88">
        <f>SUMIF(月間集計シート!$M$29:$M$48,$G1051,月間集計シート!O$29:O$48)*K$2</f>
        <v>0</v>
      </c>
      <c r="L1051" s="88">
        <f>SUMIF(月間集計シート!$M$29:$M$48,$G1051,月間集計シート!P$29:P$48)*L$2</f>
        <v>0</v>
      </c>
      <c r="M1051" s="88">
        <f>SUMIF(月間集計シート!$M$29:$M$48,$G1051,月間集計シート!Q$29:Q$48)*M$2</f>
        <v>0</v>
      </c>
      <c r="N1051" s="88">
        <f>SUMIF(月間集計シート!$M$29:$M$48,$G1051,月間集計シート!R$29:R$48)*N$2</f>
        <v>0</v>
      </c>
      <c r="O1051" s="88">
        <f>SUMIF(月間集計シート!$M$29:$M$48,$G1051,月間集計シート!S$29:S$48)*O$2</f>
        <v>0</v>
      </c>
      <c r="P1051" s="88">
        <f>SUMIF(月間集計シート!$M$29:$M$48,$G1051,月間集計シート!T$29:T$48)*P$2</f>
        <v>0</v>
      </c>
      <c r="Q1051" s="88">
        <f>SUMIF(月間集計シート!$M$50:$M$69,$G1051,月間集計シート!N$50:N$69)*Q$2</f>
        <v>0</v>
      </c>
      <c r="R1051" s="88">
        <f>SUMIF(月間集計シート!$M$50:$M$69,$G1051,月間集計シート!O$50:O$69)*R$2</f>
        <v>0</v>
      </c>
      <c r="S1051" s="88">
        <f>SUMIF(月間集計シート!$M$50:$M$69,$G1051,月間集計シート!P$50:P$69)*S$2</f>
        <v>0</v>
      </c>
      <c r="T1051" s="88">
        <f>SUMIF(月間集計シート!$M$50:$M$69,$G1051,月間集計シート!Q$50:Q$69)*T$2</f>
        <v>0</v>
      </c>
      <c r="U1051" s="88">
        <f>SUMIF(月間集計シート!$M$50:$M$69,$G1051,月間集計シート!R$50:R$69)*U$2</f>
        <v>0</v>
      </c>
      <c r="V1051" s="88">
        <f>SUMIF(月間集計シート!$M$50:$M$69,$G1051,月間集計シート!S$50:S$69)*V$2</f>
        <v>0</v>
      </c>
      <c r="W1051" s="88">
        <f>SUMIF(月間集計シート!$M$50:$M$69,$G1051,月間集計シート!T$50:T$69)*W$2</f>
        <v>0</v>
      </c>
      <c r="X1051" s="88">
        <f>SUMIF(月間集計シート!$M$71:$M$90,$G1051,月間集計シート!N$71:N$90)*X$2</f>
        <v>0</v>
      </c>
      <c r="Y1051" s="88">
        <f>SUMIF(月間集計シート!$M$71:$M$90,$G1051,月間集計シート!O$71:O$90)*Y$2</f>
        <v>0</v>
      </c>
      <c r="Z1051" s="88">
        <f>SUMIF(月間集計シート!$M$71:$M$90,$G1051,月間集計シート!P$71:P$90)*Z$2</f>
        <v>0</v>
      </c>
      <c r="AA1051" s="88">
        <f>SUMIF(月間集計シート!$M$71:$M$90,$G1051,月間集計シート!Q$71:Q$90)*AA$2</f>
        <v>0</v>
      </c>
      <c r="AB1051" s="88">
        <f>SUMIF(月間集計シート!$M$71:$M$90,$G1051,月間集計シート!R$71:R$90)*AB$2</f>
        <v>0</v>
      </c>
      <c r="AC1051" s="88">
        <f>SUMIF(月間集計シート!$M$71:$M$90,$G1051,月間集計シート!S$71:S$90)*AC$2</f>
        <v>0</v>
      </c>
      <c r="AD1051" s="88">
        <f>SUMIF(月間集計シート!$M$71:$M$90,$G1051,月間集計シート!T$71:T$90)*AD$2</f>
        <v>0</v>
      </c>
      <c r="AE1051" s="88">
        <f>SUMIF(月間集計シート!$M$92:$M$111,$G1051,月間集計シート!N$92:N$111)*AE$2</f>
        <v>0</v>
      </c>
      <c r="AF1051" s="88">
        <f>SUMIF(月間集計シート!$M$92:$M$111,$G1051,月間集計シート!O$92:O$111)*AF$2</f>
        <v>0</v>
      </c>
      <c r="AG1051" s="88">
        <f>SUMIF(月間集計シート!$M$92:$M$111,$G1051,月間集計シート!P$92:P$111)*AG$2</f>
        <v>0</v>
      </c>
      <c r="AH1051" s="88">
        <f>SUMIF(月間集計シート!$M$92:$M$111,$G1051,月間集計シート!Q$92:Q$111)*AH$2</f>
        <v>0</v>
      </c>
      <c r="AI1051" s="88">
        <f>SUMIF(月間集計シート!$M$92:$M$111,$G1051,月間集計シート!R$92:R$111)*AI$2</f>
        <v>0</v>
      </c>
      <c r="AJ1051" s="88">
        <f>SUMIF(月間集計シート!$M$92:$M$111,$G1051,月間集計シート!S$92:S$111)*AJ$2</f>
        <v>0</v>
      </c>
      <c r="AK1051" s="88">
        <f>SUMIF(月間集計シート!$M$92:$M$111,$G1051,月間集計シート!T$92:T$111)*AK$2</f>
        <v>0</v>
      </c>
      <c r="AL1051" s="88">
        <f>SUMIF(月間集計シート!$M$113:$M$132,$G1051,月間集計シート!N$113:N$132)*AL$2</f>
        <v>0</v>
      </c>
      <c r="AM1051" s="88">
        <f>SUMIF(月間集計シート!$M$113:$M$132,$G1051,月間集計シート!O$113:O$132)*AM$2</f>
        <v>0</v>
      </c>
      <c r="AN1051" s="88">
        <f>SUMIF(月間集計シート!$M$113:$M$132,$G1051,月間集計シート!P$113:P$132)*AN$2</f>
        <v>0</v>
      </c>
      <c r="AO1051" s="88">
        <f>SUMIF(月間集計シート!$M$113:$M$132,$G1051,月間集計シート!Q$113:Q$132)*AO$2</f>
        <v>0</v>
      </c>
      <c r="AP1051" s="88">
        <f>SUMIF(月間集計シート!$M$113:$M$132,$G1051,月間集計シート!R$113:R$132)*AP$2</f>
        <v>0</v>
      </c>
      <c r="AQ1051" s="88">
        <f>SUMIF(月間集計シート!$M$113:$M$132,$G1051,月間集計シート!S$113:S$132)*AQ$2</f>
        <v>0</v>
      </c>
      <c r="AR1051" s="88">
        <f>SUMIF(月間集計シート!$M$113:$M$132,$G1051,月間集計シート!T$113:T$132)*AR$2</f>
        <v>0</v>
      </c>
      <c r="AS1051" s="88">
        <f>SUMIF(月間集計シート!$M$134:$M$153,$G1051,月間集計シート!N$134:N$153)*AS$2</f>
        <v>0</v>
      </c>
      <c r="AT1051" s="88">
        <f>SUMIF(月間集計シート!$M$134:$M$153,$G1051,月間集計シート!O$134:O$153)*AT$2</f>
        <v>0</v>
      </c>
      <c r="AU1051" s="88">
        <f>SUMIF(月間集計シート!$M$134:$M$153,$G1051,月間集計シート!P$134:P$153)*AU$2</f>
        <v>0</v>
      </c>
      <c r="AV1051" s="88">
        <f>SUMIF(月間集計シート!$M$134:$M$153,$G1051,月間集計シート!Q$134:Q$153)*AV$2</f>
        <v>0</v>
      </c>
      <c r="AW1051" s="88">
        <f>SUMIF(月間集計シート!$M$134:$M$153,$G1051,月間集計シート!R$134:R$153)*AW$2</f>
        <v>0</v>
      </c>
      <c r="AX1051" s="88">
        <f>SUMIF(月間集計シート!$M$134:$M$153,$G1051,月間集計シート!S$134:S$153)*AX$2</f>
        <v>0</v>
      </c>
      <c r="AY1051" s="88">
        <f>SUMIF(月間集計シート!$M$134:$M$153,$G1051,月間集計シート!T$134:T$153)*AY$2</f>
        <v>0</v>
      </c>
    </row>
    <row r="1052" spans="1:51" ht="14.25" thickBot="1">
      <c r="A1052">
        <v>13</v>
      </c>
      <c r="B1052" s="120">
        <f t="shared" si="570"/>
        <v>0</v>
      </c>
      <c r="C1052" s="120" t="str">
        <f t="shared" si="571"/>
        <v/>
      </c>
      <c r="D1052" s="137"/>
      <c r="E1052" s="150" t="str">
        <f>工種!A24</f>
        <v>40102</v>
      </c>
      <c r="F1052" s="119" t="str">
        <f>工種!B24</f>
        <v>テスト：システムテスト実施</v>
      </c>
      <c r="G1052" s="116" t="str">
        <f t="shared" si="572"/>
        <v>040102</v>
      </c>
      <c r="H1052" s="88">
        <f t="shared" si="569"/>
        <v>0</v>
      </c>
      <c r="I1052" s="132"/>
      <c r="J1052" s="88">
        <f>SUMIF(月間集計シート!$M$29:$M$48,$G1052,月間集計シート!N$29:N$48)*J$2</f>
        <v>0</v>
      </c>
      <c r="K1052" s="88">
        <f>SUMIF(月間集計シート!$M$29:$M$48,$G1052,月間集計シート!O$29:O$48)*K$2</f>
        <v>0</v>
      </c>
      <c r="L1052" s="88">
        <f>SUMIF(月間集計シート!$M$29:$M$48,$G1052,月間集計シート!P$29:P$48)*L$2</f>
        <v>0</v>
      </c>
      <c r="M1052" s="88">
        <f>SUMIF(月間集計シート!$M$29:$M$48,$G1052,月間集計シート!Q$29:Q$48)*M$2</f>
        <v>0</v>
      </c>
      <c r="N1052" s="88">
        <f>SUMIF(月間集計シート!$M$29:$M$48,$G1052,月間集計シート!R$29:R$48)*N$2</f>
        <v>0</v>
      </c>
      <c r="O1052" s="88">
        <f>SUMIF(月間集計シート!$M$29:$M$48,$G1052,月間集計シート!S$29:S$48)*O$2</f>
        <v>0</v>
      </c>
      <c r="P1052" s="88">
        <f>SUMIF(月間集計シート!$M$29:$M$48,$G1052,月間集計シート!T$29:T$48)*P$2</f>
        <v>0</v>
      </c>
      <c r="Q1052" s="88">
        <f>SUMIF(月間集計シート!$M$50:$M$69,$G1052,月間集計シート!N$50:N$69)*Q$2</f>
        <v>0</v>
      </c>
      <c r="R1052" s="88">
        <f>SUMIF(月間集計シート!$M$50:$M$69,$G1052,月間集計シート!O$50:O$69)*R$2</f>
        <v>0</v>
      </c>
      <c r="S1052" s="88">
        <f>SUMIF(月間集計シート!$M$50:$M$69,$G1052,月間集計シート!P$50:P$69)*S$2</f>
        <v>0</v>
      </c>
      <c r="T1052" s="88">
        <f>SUMIF(月間集計シート!$M$50:$M$69,$G1052,月間集計シート!Q$50:Q$69)*T$2</f>
        <v>0</v>
      </c>
      <c r="U1052" s="88">
        <f>SUMIF(月間集計シート!$M$50:$M$69,$G1052,月間集計シート!R$50:R$69)*U$2</f>
        <v>0</v>
      </c>
      <c r="V1052" s="88">
        <f>SUMIF(月間集計シート!$M$50:$M$69,$G1052,月間集計シート!S$50:S$69)*V$2</f>
        <v>0</v>
      </c>
      <c r="W1052" s="88">
        <f>SUMIF(月間集計シート!$M$50:$M$69,$G1052,月間集計シート!T$50:T$69)*W$2</f>
        <v>0</v>
      </c>
      <c r="X1052" s="88">
        <f>SUMIF(月間集計シート!$M$71:$M$90,$G1052,月間集計シート!N$71:N$90)*X$2</f>
        <v>0</v>
      </c>
      <c r="Y1052" s="88">
        <f>SUMIF(月間集計シート!$M$71:$M$90,$G1052,月間集計シート!O$71:O$90)*Y$2</f>
        <v>0</v>
      </c>
      <c r="Z1052" s="88">
        <f>SUMIF(月間集計シート!$M$71:$M$90,$G1052,月間集計シート!P$71:P$90)*Z$2</f>
        <v>0</v>
      </c>
      <c r="AA1052" s="88">
        <f>SUMIF(月間集計シート!$M$71:$M$90,$G1052,月間集計シート!Q$71:Q$90)*AA$2</f>
        <v>0</v>
      </c>
      <c r="AB1052" s="88">
        <f>SUMIF(月間集計シート!$M$71:$M$90,$G1052,月間集計シート!R$71:R$90)*AB$2</f>
        <v>0</v>
      </c>
      <c r="AC1052" s="88">
        <f>SUMIF(月間集計シート!$M$71:$M$90,$G1052,月間集計シート!S$71:S$90)*AC$2</f>
        <v>0</v>
      </c>
      <c r="AD1052" s="88">
        <f>SUMIF(月間集計シート!$M$71:$M$90,$G1052,月間集計シート!T$71:T$90)*AD$2</f>
        <v>0</v>
      </c>
      <c r="AE1052" s="88">
        <f>SUMIF(月間集計シート!$M$92:$M$111,$G1052,月間集計シート!N$92:N$111)*AE$2</f>
        <v>0</v>
      </c>
      <c r="AF1052" s="88">
        <f>SUMIF(月間集計シート!$M$92:$M$111,$G1052,月間集計シート!O$92:O$111)*AF$2</f>
        <v>0</v>
      </c>
      <c r="AG1052" s="88">
        <f>SUMIF(月間集計シート!$M$92:$M$111,$G1052,月間集計シート!P$92:P$111)*AG$2</f>
        <v>0</v>
      </c>
      <c r="AH1052" s="88">
        <f>SUMIF(月間集計シート!$M$92:$M$111,$G1052,月間集計シート!Q$92:Q$111)*AH$2</f>
        <v>0</v>
      </c>
      <c r="AI1052" s="88">
        <f>SUMIF(月間集計シート!$M$92:$M$111,$G1052,月間集計シート!R$92:R$111)*AI$2</f>
        <v>0</v>
      </c>
      <c r="AJ1052" s="88">
        <f>SUMIF(月間集計シート!$M$92:$M$111,$G1052,月間集計シート!S$92:S$111)*AJ$2</f>
        <v>0</v>
      </c>
      <c r="AK1052" s="88">
        <f>SUMIF(月間集計シート!$M$92:$M$111,$G1052,月間集計シート!T$92:T$111)*AK$2</f>
        <v>0</v>
      </c>
      <c r="AL1052" s="88">
        <f>SUMIF(月間集計シート!$M$113:$M$132,$G1052,月間集計シート!N$113:N$132)*AL$2</f>
        <v>0</v>
      </c>
      <c r="AM1052" s="88">
        <f>SUMIF(月間集計シート!$M$113:$M$132,$G1052,月間集計シート!O$113:O$132)*AM$2</f>
        <v>0</v>
      </c>
      <c r="AN1052" s="88">
        <f>SUMIF(月間集計シート!$M$113:$M$132,$G1052,月間集計シート!P$113:P$132)*AN$2</f>
        <v>0</v>
      </c>
      <c r="AO1052" s="88">
        <f>SUMIF(月間集計シート!$M$113:$M$132,$G1052,月間集計シート!Q$113:Q$132)*AO$2</f>
        <v>0</v>
      </c>
      <c r="AP1052" s="88">
        <f>SUMIF(月間集計シート!$M$113:$M$132,$G1052,月間集計シート!R$113:R$132)*AP$2</f>
        <v>0</v>
      </c>
      <c r="AQ1052" s="88">
        <f>SUMIF(月間集計シート!$M$113:$M$132,$G1052,月間集計シート!S$113:S$132)*AQ$2</f>
        <v>0</v>
      </c>
      <c r="AR1052" s="88">
        <f>SUMIF(月間集計シート!$M$113:$M$132,$G1052,月間集計シート!T$113:T$132)*AR$2</f>
        <v>0</v>
      </c>
      <c r="AS1052" s="88">
        <f>SUMIF(月間集計シート!$M$134:$M$153,$G1052,月間集計シート!N$134:N$153)*AS$2</f>
        <v>0</v>
      </c>
      <c r="AT1052" s="88">
        <f>SUMIF(月間集計シート!$M$134:$M$153,$G1052,月間集計シート!O$134:O$153)*AT$2</f>
        <v>0</v>
      </c>
      <c r="AU1052" s="88">
        <f>SUMIF(月間集計シート!$M$134:$M$153,$G1052,月間集計シート!P$134:P$153)*AU$2</f>
        <v>0</v>
      </c>
      <c r="AV1052" s="88">
        <f>SUMIF(月間集計シート!$M$134:$M$153,$G1052,月間集計シート!Q$134:Q$153)*AV$2</f>
        <v>0</v>
      </c>
      <c r="AW1052" s="88">
        <f>SUMIF(月間集計シート!$M$134:$M$153,$G1052,月間集計シート!R$134:R$153)*AW$2</f>
        <v>0</v>
      </c>
      <c r="AX1052" s="88">
        <f>SUMIF(月間集計シート!$M$134:$M$153,$G1052,月間集計シート!S$134:S$153)*AX$2</f>
        <v>0</v>
      </c>
      <c r="AY1052" s="88">
        <f>SUMIF(月間集計シート!$M$134:$M$153,$G1052,月間集計シート!T$134:T$153)*AY$2</f>
        <v>0</v>
      </c>
    </row>
    <row r="1053" spans="1:51" ht="14.25" thickBot="1">
      <c r="A1053">
        <v>13</v>
      </c>
      <c r="B1053" s="120">
        <f t="shared" si="570"/>
        <v>0</v>
      </c>
      <c r="C1053" s="120" t="str">
        <f t="shared" si="571"/>
        <v/>
      </c>
      <c r="D1053" s="137"/>
      <c r="E1053" s="150" t="str">
        <f>工種!A25</f>
        <v>40103</v>
      </c>
      <c r="F1053" s="119" t="str">
        <f>工種!B25</f>
        <v>テスト：テスト計画書作成</v>
      </c>
      <c r="G1053" s="116" t="str">
        <f t="shared" si="572"/>
        <v>040103</v>
      </c>
      <c r="H1053" s="88">
        <f t="shared" si="569"/>
        <v>0</v>
      </c>
      <c r="I1053" s="132"/>
      <c r="J1053" s="88">
        <f>SUMIF(月間集計シート!$M$29:$M$48,$G1053,月間集計シート!N$29:N$48)*J$2</f>
        <v>0</v>
      </c>
      <c r="K1053" s="88">
        <f>SUMIF(月間集計シート!$M$29:$M$48,$G1053,月間集計シート!O$29:O$48)*K$2</f>
        <v>0</v>
      </c>
      <c r="L1053" s="88">
        <f>SUMIF(月間集計シート!$M$29:$M$48,$G1053,月間集計シート!P$29:P$48)*L$2</f>
        <v>0</v>
      </c>
      <c r="M1053" s="88">
        <f>SUMIF(月間集計シート!$M$29:$M$48,$G1053,月間集計シート!Q$29:Q$48)*M$2</f>
        <v>0</v>
      </c>
      <c r="N1053" s="88">
        <f>SUMIF(月間集計シート!$M$29:$M$48,$G1053,月間集計シート!R$29:R$48)*N$2</f>
        <v>0</v>
      </c>
      <c r="O1053" s="88">
        <f>SUMIF(月間集計シート!$M$29:$M$48,$G1053,月間集計シート!S$29:S$48)*O$2</f>
        <v>0</v>
      </c>
      <c r="P1053" s="88">
        <f>SUMIF(月間集計シート!$M$29:$M$48,$G1053,月間集計シート!T$29:T$48)*P$2</f>
        <v>0</v>
      </c>
      <c r="Q1053" s="88">
        <f>SUMIF(月間集計シート!$M$50:$M$69,$G1053,月間集計シート!N$50:N$69)*Q$2</f>
        <v>0</v>
      </c>
      <c r="R1053" s="88">
        <f>SUMIF(月間集計シート!$M$50:$M$69,$G1053,月間集計シート!O$50:O$69)*R$2</f>
        <v>0</v>
      </c>
      <c r="S1053" s="88">
        <f>SUMIF(月間集計シート!$M$50:$M$69,$G1053,月間集計シート!P$50:P$69)*S$2</f>
        <v>0</v>
      </c>
      <c r="T1053" s="88">
        <f>SUMIF(月間集計シート!$M$50:$M$69,$G1053,月間集計シート!Q$50:Q$69)*T$2</f>
        <v>0</v>
      </c>
      <c r="U1053" s="88">
        <f>SUMIF(月間集計シート!$M$50:$M$69,$G1053,月間集計シート!R$50:R$69)*U$2</f>
        <v>0</v>
      </c>
      <c r="V1053" s="88">
        <f>SUMIF(月間集計シート!$M$50:$M$69,$G1053,月間集計シート!S$50:S$69)*V$2</f>
        <v>0</v>
      </c>
      <c r="W1053" s="88">
        <f>SUMIF(月間集計シート!$M$50:$M$69,$G1053,月間集計シート!T$50:T$69)*W$2</f>
        <v>0</v>
      </c>
      <c r="X1053" s="88">
        <f>SUMIF(月間集計シート!$M$71:$M$90,$G1053,月間集計シート!N$71:N$90)*X$2</f>
        <v>0</v>
      </c>
      <c r="Y1053" s="88">
        <f>SUMIF(月間集計シート!$M$71:$M$90,$G1053,月間集計シート!O$71:O$90)*Y$2</f>
        <v>0</v>
      </c>
      <c r="Z1053" s="88">
        <f>SUMIF(月間集計シート!$M$71:$M$90,$G1053,月間集計シート!P$71:P$90)*Z$2</f>
        <v>0</v>
      </c>
      <c r="AA1053" s="88">
        <f>SUMIF(月間集計シート!$M$71:$M$90,$G1053,月間集計シート!Q$71:Q$90)*AA$2</f>
        <v>0</v>
      </c>
      <c r="AB1053" s="88">
        <f>SUMIF(月間集計シート!$M$71:$M$90,$G1053,月間集計シート!R$71:R$90)*AB$2</f>
        <v>0</v>
      </c>
      <c r="AC1053" s="88">
        <f>SUMIF(月間集計シート!$M$71:$M$90,$G1053,月間集計シート!S$71:S$90)*AC$2</f>
        <v>0</v>
      </c>
      <c r="AD1053" s="88">
        <f>SUMIF(月間集計シート!$M$71:$M$90,$G1053,月間集計シート!T$71:T$90)*AD$2</f>
        <v>0</v>
      </c>
      <c r="AE1053" s="88">
        <f>SUMIF(月間集計シート!$M$92:$M$111,$G1053,月間集計シート!N$92:N$111)*AE$2</f>
        <v>0</v>
      </c>
      <c r="AF1053" s="88">
        <f>SUMIF(月間集計シート!$M$92:$M$111,$G1053,月間集計シート!O$92:O$111)*AF$2</f>
        <v>0</v>
      </c>
      <c r="AG1053" s="88">
        <f>SUMIF(月間集計シート!$M$92:$M$111,$G1053,月間集計シート!P$92:P$111)*AG$2</f>
        <v>0</v>
      </c>
      <c r="AH1053" s="88">
        <f>SUMIF(月間集計シート!$M$92:$M$111,$G1053,月間集計シート!Q$92:Q$111)*AH$2</f>
        <v>0</v>
      </c>
      <c r="AI1053" s="88">
        <f>SUMIF(月間集計シート!$M$92:$M$111,$G1053,月間集計シート!R$92:R$111)*AI$2</f>
        <v>0</v>
      </c>
      <c r="AJ1053" s="88">
        <f>SUMIF(月間集計シート!$M$92:$M$111,$G1053,月間集計シート!S$92:S$111)*AJ$2</f>
        <v>0</v>
      </c>
      <c r="AK1053" s="88">
        <f>SUMIF(月間集計シート!$M$92:$M$111,$G1053,月間集計シート!T$92:T$111)*AK$2</f>
        <v>0</v>
      </c>
      <c r="AL1053" s="88">
        <f>SUMIF(月間集計シート!$M$113:$M$132,$G1053,月間集計シート!N$113:N$132)*AL$2</f>
        <v>0</v>
      </c>
      <c r="AM1053" s="88">
        <f>SUMIF(月間集計シート!$M$113:$M$132,$G1053,月間集計シート!O$113:O$132)*AM$2</f>
        <v>0</v>
      </c>
      <c r="AN1053" s="88">
        <f>SUMIF(月間集計シート!$M$113:$M$132,$G1053,月間集計シート!P$113:P$132)*AN$2</f>
        <v>0</v>
      </c>
      <c r="AO1053" s="88">
        <f>SUMIF(月間集計シート!$M$113:$M$132,$G1053,月間集計シート!Q$113:Q$132)*AO$2</f>
        <v>0</v>
      </c>
      <c r="AP1053" s="88">
        <f>SUMIF(月間集計シート!$M$113:$M$132,$G1053,月間集計シート!R$113:R$132)*AP$2</f>
        <v>0</v>
      </c>
      <c r="AQ1053" s="88">
        <f>SUMIF(月間集計シート!$M$113:$M$132,$G1053,月間集計シート!S$113:S$132)*AQ$2</f>
        <v>0</v>
      </c>
      <c r="AR1053" s="88">
        <f>SUMIF(月間集計シート!$M$113:$M$132,$G1053,月間集計シート!T$113:T$132)*AR$2</f>
        <v>0</v>
      </c>
      <c r="AS1053" s="88">
        <f>SUMIF(月間集計シート!$M$134:$M$153,$G1053,月間集計シート!N$134:N$153)*AS$2</f>
        <v>0</v>
      </c>
      <c r="AT1053" s="88">
        <f>SUMIF(月間集計シート!$M$134:$M$153,$G1053,月間集計シート!O$134:O$153)*AT$2</f>
        <v>0</v>
      </c>
      <c r="AU1053" s="88">
        <f>SUMIF(月間集計シート!$M$134:$M$153,$G1053,月間集計シート!P$134:P$153)*AU$2</f>
        <v>0</v>
      </c>
      <c r="AV1053" s="88">
        <f>SUMIF(月間集計シート!$M$134:$M$153,$G1053,月間集計シート!Q$134:Q$153)*AV$2</f>
        <v>0</v>
      </c>
      <c r="AW1053" s="88">
        <f>SUMIF(月間集計シート!$M$134:$M$153,$G1053,月間集計シート!R$134:R$153)*AW$2</f>
        <v>0</v>
      </c>
      <c r="AX1053" s="88">
        <f>SUMIF(月間集計シート!$M$134:$M$153,$G1053,月間集計シート!S$134:S$153)*AX$2</f>
        <v>0</v>
      </c>
      <c r="AY1053" s="88">
        <f>SUMIF(月間集計シート!$M$134:$M$153,$G1053,月間集計シート!T$134:T$153)*AY$2</f>
        <v>0</v>
      </c>
    </row>
    <row r="1054" spans="1:51" ht="14.25" thickBot="1">
      <c r="A1054">
        <v>13</v>
      </c>
      <c r="B1054" s="120">
        <f t="shared" si="570"/>
        <v>0</v>
      </c>
      <c r="C1054" s="120" t="str">
        <f t="shared" si="571"/>
        <v/>
      </c>
      <c r="D1054" s="137"/>
      <c r="E1054" s="150" t="str">
        <f>工種!A26</f>
        <v>40104</v>
      </c>
      <c r="F1054" s="119" t="str">
        <f>工種!B26</f>
        <v>テスト：結合テスト設計書作成</v>
      </c>
      <c r="G1054" s="116" t="str">
        <f t="shared" si="572"/>
        <v>040104</v>
      </c>
      <c r="H1054" s="88">
        <f t="shared" si="569"/>
        <v>0</v>
      </c>
      <c r="I1054" s="132"/>
      <c r="J1054" s="88">
        <f>SUMIF(月間集計シート!$M$29:$M$48,$G1054,月間集計シート!N$29:N$48)*J$2</f>
        <v>0</v>
      </c>
      <c r="K1054" s="88">
        <f>SUMIF(月間集計シート!$M$29:$M$48,$G1054,月間集計シート!O$29:O$48)*K$2</f>
        <v>0</v>
      </c>
      <c r="L1054" s="88">
        <f>SUMIF(月間集計シート!$M$29:$M$48,$G1054,月間集計シート!P$29:P$48)*L$2</f>
        <v>0</v>
      </c>
      <c r="M1054" s="88">
        <f>SUMIF(月間集計シート!$M$29:$M$48,$G1054,月間集計シート!Q$29:Q$48)*M$2</f>
        <v>0</v>
      </c>
      <c r="N1054" s="88">
        <f>SUMIF(月間集計シート!$M$29:$M$48,$G1054,月間集計シート!R$29:R$48)*N$2</f>
        <v>0</v>
      </c>
      <c r="O1054" s="88">
        <f>SUMIF(月間集計シート!$M$29:$M$48,$G1054,月間集計シート!S$29:S$48)*O$2</f>
        <v>0</v>
      </c>
      <c r="P1054" s="88">
        <f>SUMIF(月間集計シート!$M$29:$M$48,$G1054,月間集計シート!T$29:T$48)*P$2</f>
        <v>0</v>
      </c>
      <c r="Q1054" s="88">
        <f>SUMIF(月間集計シート!$M$50:$M$69,$G1054,月間集計シート!N$50:N$69)*Q$2</f>
        <v>0</v>
      </c>
      <c r="R1054" s="88">
        <f>SUMIF(月間集計シート!$M$50:$M$69,$G1054,月間集計シート!O$50:O$69)*R$2</f>
        <v>0</v>
      </c>
      <c r="S1054" s="88">
        <f>SUMIF(月間集計シート!$M$50:$M$69,$G1054,月間集計シート!P$50:P$69)*S$2</f>
        <v>0</v>
      </c>
      <c r="T1054" s="88">
        <f>SUMIF(月間集計シート!$M$50:$M$69,$G1054,月間集計シート!Q$50:Q$69)*T$2</f>
        <v>0</v>
      </c>
      <c r="U1054" s="88">
        <f>SUMIF(月間集計シート!$M$50:$M$69,$G1054,月間集計シート!R$50:R$69)*U$2</f>
        <v>0</v>
      </c>
      <c r="V1054" s="88">
        <f>SUMIF(月間集計シート!$M$50:$M$69,$G1054,月間集計シート!S$50:S$69)*V$2</f>
        <v>0</v>
      </c>
      <c r="W1054" s="88">
        <f>SUMIF(月間集計シート!$M$50:$M$69,$G1054,月間集計シート!T$50:T$69)*W$2</f>
        <v>0</v>
      </c>
      <c r="X1054" s="88">
        <f>SUMIF(月間集計シート!$M$71:$M$90,$G1054,月間集計シート!N$71:N$90)*X$2</f>
        <v>0</v>
      </c>
      <c r="Y1054" s="88">
        <f>SUMIF(月間集計シート!$M$71:$M$90,$G1054,月間集計シート!O$71:O$90)*Y$2</f>
        <v>0</v>
      </c>
      <c r="Z1054" s="88">
        <f>SUMIF(月間集計シート!$M$71:$M$90,$G1054,月間集計シート!P$71:P$90)*Z$2</f>
        <v>0</v>
      </c>
      <c r="AA1054" s="88">
        <f>SUMIF(月間集計シート!$M$71:$M$90,$G1054,月間集計シート!Q$71:Q$90)*AA$2</f>
        <v>0</v>
      </c>
      <c r="AB1054" s="88">
        <f>SUMIF(月間集計シート!$M$71:$M$90,$G1054,月間集計シート!R$71:R$90)*AB$2</f>
        <v>0</v>
      </c>
      <c r="AC1054" s="88">
        <f>SUMIF(月間集計シート!$M$71:$M$90,$G1054,月間集計シート!S$71:S$90)*AC$2</f>
        <v>0</v>
      </c>
      <c r="AD1054" s="88">
        <f>SUMIF(月間集計シート!$M$71:$M$90,$G1054,月間集計シート!T$71:T$90)*AD$2</f>
        <v>0</v>
      </c>
      <c r="AE1054" s="88">
        <f>SUMIF(月間集計シート!$M$92:$M$111,$G1054,月間集計シート!N$92:N$111)*AE$2</f>
        <v>0</v>
      </c>
      <c r="AF1054" s="88">
        <f>SUMIF(月間集計シート!$M$92:$M$111,$G1054,月間集計シート!O$92:O$111)*AF$2</f>
        <v>0</v>
      </c>
      <c r="AG1054" s="88">
        <f>SUMIF(月間集計シート!$M$92:$M$111,$G1054,月間集計シート!P$92:P$111)*AG$2</f>
        <v>0</v>
      </c>
      <c r="AH1054" s="88">
        <f>SUMIF(月間集計シート!$M$92:$M$111,$G1054,月間集計シート!Q$92:Q$111)*AH$2</f>
        <v>0</v>
      </c>
      <c r="AI1054" s="88">
        <f>SUMIF(月間集計シート!$M$92:$M$111,$G1054,月間集計シート!R$92:R$111)*AI$2</f>
        <v>0</v>
      </c>
      <c r="AJ1054" s="88">
        <f>SUMIF(月間集計シート!$M$92:$M$111,$G1054,月間集計シート!S$92:S$111)*AJ$2</f>
        <v>0</v>
      </c>
      <c r="AK1054" s="88">
        <f>SUMIF(月間集計シート!$M$92:$M$111,$G1054,月間集計シート!T$92:T$111)*AK$2</f>
        <v>0</v>
      </c>
      <c r="AL1054" s="88">
        <f>SUMIF(月間集計シート!$M$113:$M$132,$G1054,月間集計シート!N$113:N$132)*AL$2</f>
        <v>0</v>
      </c>
      <c r="AM1054" s="88">
        <f>SUMIF(月間集計シート!$M$113:$M$132,$G1054,月間集計シート!O$113:O$132)*AM$2</f>
        <v>0</v>
      </c>
      <c r="AN1054" s="88">
        <f>SUMIF(月間集計シート!$M$113:$M$132,$G1054,月間集計シート!P$113:P$132)*AN$2</f>
        <v>0</v>
      </c>
      <c r="AO1054" s="88">
        <f>SUMIF(月間集計シート!$M$113:$M$132,$G1054,月間集計シート!Q$113:Q$132)*AO$2</f>
        <v>0</v>
      </c>
      <c r="AP1054" s="88">
        <f>SUMIF(月間集計シート!$M$113:$M$132,$G1054,月間集計シート!R$113:R$132)*AP$2</f>
        <v>0</v>
      </c>
      <c r="AQ1054" s="88">
        <f>SUMIF(月間集計シート!$M$113:$M$132,$G1054,月間集計シート!S$113:S$132)*AQ$2</f>
        <v>0</v>
      </c>
      <c r="AR1054" s="88">
        <f>SUMIF(月間集計シート!$M$113:$M$132,$G1054,月間集計シート!T$113:T$132)*AR$2</f>
        <v>0</v>
      </c>
      <c r="AS1054" s="88">
        <f>SUMIF(月間集計シート!$M$134:$M$153,$G1054,月間集計シート!N$134:N$153)*AS$2</f>
        <v>0</v>
      </c>
      <c r="AT1054" s="88">
        <f>SUMIF(月間集計シート!$M$134:$M$153,$G1054,月間集計シート!O$134:O$153)*AT$2</f>
        <v>0</v>
      </c>
      <c r="AU1054" s="88">
        <f>SUMIF(月間集計シート!$M$134:$M$153,$G1054,月間集計シート!P$134:P$153)*AU$2</f>
        <v>0</v>
      </c>
      <c r="AV1054" s="88">
        <f>SUMIF(月間集計シート!$M$134:$M$153,$G1054,月間集計シート!Q$134:Q$153)*AV$2</f>
        <v>0</v>
      </c>
      <c r="AW1054" s="88">
        <f>SUMIF(月間集計シート!$M$134:$M$153,$G1054,月間集計シート!R$134:R$153)*AW$2</f>
        <v>0</v>
      </c>
      <c r="AX1054" s="88">
        <f>SUMIF(月間集計シート!$M$134:$M$153,$G1054,月間集計シート!S$134:S$153)*AX$2</f>
        <v>0</v>
      </c>
      <c r="AY1054" s="88">
        <f>SUMIF(月間集計シート!$M$134:$M$153,$G1054,月間集計シート!T$134:T$153)*AY$2</f>
        <v>0</v>
      </c>
    </row>
    <row r="1055" spans="1:51" ht="14.25" thickBot="1">
      <c r="A1055">
        <v>13</v>
      </c>
      <c r="B1055" s="120">
        <f t="shared" si="570"/>
        <v>0</v>
      </c>
      <c r="C1055" s="120" t="str">
        <f t="shared" si="571"/>
        <v/>
      </c>
      <c r="D1055" s="137"/>
      <c r="E1055" s="150" t="str">
        <f>工種!A27</f>
        <v>40105</v>
      </c>
      <c r="F1055" s="119" t="str">
        <f>工種!B27</f>
        <v>テスト：システムテスト設計書作成</v>
      </c>
      <c r="G1055" s="116" t="str">
        <f t="shared" si="572"/>
        <v>040105</v>
      </c>
      <c r="H1055" s="88">
        <f t="shared" si="569"/>
        <v>0</v>
      </c>
      <c r="I1055" s="132"/>
      <c r="J1055" s="88">
        <f>SUMIF(月間集計シート!$M$29:$M$48,$G1055,月間集計シート!N$29:N$48)*J$2</f>
        <v>0</v>
      </c>
      <c r="K1055" s="88">
        <f>SUMIF(月間集計シート!$M$29:$M$48,$G1055,月間集計シート!O$29:O$48)*K$2</f>
        <v>0</v>
      </c>
      <c r="L1055" s="88">
        <f>SUMIF(月間集計シート!$M$29:$M$48,$G1055,月間集計シート!P$29:P$48)*L$2</f>
        <v>0</v>
      </c>
      <c r="M1055" s="88">
        <f>SUMIF(月間集計シート!$M$29:$M$48,$G1055,月間集計シート!Q$29:Q$48)*M$2</f>
        <v>0</v>
      </c>
      <c r="N1055" s="88">
        <f>SUMIF(月間集計シート!$M$29:$M$48,$G1055,月間集計シート!R$29:R$48)*N$2</f>
        <v>0</v>
      </c>
      <c r="O1055" s="88">
        <f>SUMIF(月間集計シート!$M$29:$M$48,$G1055,月間集計シート!S$29:S$48)*O$2</f>
        <v>0</v>
      </c>
      <c r="P1055" s="88">
        <f>SUMIF(月間集計シート!$M$29:$M$48,$G1055,月間集計シート!T$29:T$48)*P$2</f>
        <v>0</v>
      </c>
      <c r="Q1055" s="88">
        <f>SUMIF(月間集計シート!$M$50:$M$69,$G1055,月間集計シート!N$50:N$69)*Q$2</f>
        <v>0</v>
      </c>
      <c r="R1055" s="88">
        <f>SUMIF(月間集計シート!$M$50:$M$69,$G1055,月間集計シート!O$50:O$69)*R$2</f>
        <v>0</v>
      </c>
      <c r="S1055" s="88">
        <f>SUMIF(月間集計シート!$M$50:$M$69,$G1055,月間集計シート!P$50:P$69)*S$2</f>
        <v>0</v>
      </c>
      <c r="T1055" s="88">
        <f>SUMIF(月間集計シート!$M$50:$M$69,$G1055,月間集計シート!Q$50:Q$69)*T$2</f>
        <v>0</v>
      </c>
      <c r="U1055" s="88">
        <f>SUMIF(月間集計シート!$M$50:$M$69,$G1055,月間集計シート!R$50:R$69)*U$2</f>
        <v>0</v>
      </c>
      <c r="V1055" s="88">
        <f>SUMIF(月間集計シート!$M$50:$M$69,$G1055,月間集計シート!S$50:S$69)*V$2</f>
        <v>0</v>
      </c>
      <c r="W1055" s="88">
        <f>SUMIF(月間集計シート!$M$50:$M$69,$G1055,月間集計シート!T$50:T$69)*W$2</f>
        <v>0</v>
      </c>
      <c r="X1055" s="88">
        <f>SUMIF(月間集計シート!$M$71:$M$90,$G1055,月間集計シート!N$71:N$90)*X$2</f>
        <v>0</v>
      </c>
      <c r="Y1055" s="88">
        <f>SUMIF(月間集計シート!$M$71:$M$90,$G1055,月間集計シート!O$71:O$90)*Y$2</f>
        <v>0</v>
      </c>
      <c r="Z1055" s="88">
        <f>SUMIF(月間集計シート!$M$71:$M$90,$G1055,月間集計シート!P$71:P$90)*Z$2</f>
        <v>0</v>
      </c>
      <c r="AA1055" s="88">
        <f>SUMIF(月間集計シート!$M$71:$M$90,$G1055,月間集計シート!Q$71:Q$90)*AA$2</f>
        <v>0</v>
      </c>
      <c r="AB1055" s="88">
        <f>SUMIF(月間集計シート!$M$71:$M$90,$G1055,月間集計シート!R$71:R$90)*AB$2</f>
        <v>0</v>
      </c>
      <c r="AC1055" s="88">
        <f>SUMIF(月間集計シート!$M$71:$M$90,$G1055,月間集計シート!S$71:S$90)*AC$2</f>
        <v>0</v>
      </c>
      <c r="AD1055" s="88">
        <f>SUMIF(月間集計シート!$M$71:$M$90,$G1055,月間集計シート!T$71:T$90)*AD$2</f>
        <v>0</v>
      </c>
      <c r="AE1055" s="88">
        <f>SUMIF(月間集計シート!$M$92:$M$111,$G1055,月間集計シート!N$92:N$111)*AE$2</f>
        <v>0</v>
      </c>
      <c r="AF1055" s="88">
        <f>SUMIF(月間集計シート!$M$92:$M$111,$G1055,月間集計シート!O$92:O$111)*AF$2</f>
        <v>0</v>
      </c>
      <c r="AG1055" s="88">
        <f>SUMIF(月間集計シート!$M$92:$M$111,$G1055,月間集計シート!P$92:P$111)*AG$2</f>
        <v>0</v>
      </c>
      <c r="AH1055" s="88">
        <f>SUMIF(月間集計シート!$M$92:$M$111,$G1055,月間集計シート!Q$92:Q$111)*AH$2</f>
        <v>0</v>
      </c>
      <c r="AI1055" s="88">
        <f>SUMIF(月間集計シート!$M$92:$M$111,$G1055,月間集計シート!R$92:R$111)*AI$2</f>
        <v>0</v>
      </c>
      <c r="AJ1055" s="88">
        <f>SUMIF(月間集計シート!$M$92:$M$111,$G1055,月間集計シート!S$92:S$111)*AJ$2</f>
        <v>0</v>
      </c>
      <c r="AK1055" s="88">
        <f>SUMIF(月間集計シート!$M$92:$M$111,$G1055,月間集計シート!T$92:T$111)*AK$2</f>
        <v>0</v>
      </c>
      <c r="AL1055" s="88">
        <f>SUMIF(月間集計シート!$M$113:$M$132,$G1055,月間集計シート!N$113:N$132)*AL$2</f>
        <v>0</v>
      </c>
      <c r="AM1055" s="88">
        <f>SUMIF(月間集計シート!$M$113:$M$132,$G1055,月間集計シート!O$113:O$132)*AM$2</f>
        <v>0</v>
      </c>
      <c r="AN1055" s="88">
        <f>SUMIF(月間集計シート!$M$113:$M$132,$G1055,月間集計シート!P$113:P$132)*AN$2</f>
        <v>0</v>
      </c>
      <c r="AO1055" s="88">
        <f>SUMIF(月間集計シート!$M$113:$M$132,$G1055,月間集計シート!Q$113:Q$132)*AO$2</f>
        <v>0</v>
      </c>
      <c r="AP1055" s="88">
        <f>SUMIF(月間集計シート!$M$113:$M$132,$G1055,月間集計シート!R$113:R$132)*AP$2</f>
        <v>0</v>
      </c>
      <c r="AQ1055" s="88">
        <f>SUMIF(月間集計シート!$M$113:$M$132,$G1055,月間集計シート!S$113:S$132)*AQ$2</f>
        <v>0</v>
      </c>
      <c r="AR1055" s="88">
        <f>SUMIF(月間集計シート!$M$113:$M$132,$G1055,月間集計シート!T$113:T$132)*AR$2</f>
        <v>0</v>
      </c>
      <c r="AS1055" s="88">
        <f>SUMIF(月間集計シート!$M$134:$M$153,$G1055,月間集計シート!N$134:N$153)*AS$2</f>
        <v>0</v>
      </c>
      <c r="AT1055" s="88">
        <f>SUMIF(月間集計シート!$M$134:$M$153,$G1055,月間集計シート!O$134:O$153)*AT$2</f>
        <v>0</v>
      </c>
      <c r="AU1055" s="88">
        <f>SUMIF(月間集計シート!$M$134:$M$153,$G1055,月間集計シート!P$134:P$153)*AU$2</f>
        <v>0</v>
      </c>
      <c r="AV1055" s="88">
        <f>SUMIF(月間集計シート!$M$134:$M$153,$G1055,月間集計シート!Q$134:Q$153)*AV$2</f>
        <v>0</v>
      </c>
      <c r="AW1055" s="88">
        <f>SUMIF(月間集計シート!$M$134:$M$153,$G1055,月間集計シート!R$134:R$153)*AW$2</f>
        <v>0</v>
      </c>
      <c r="AX1055" s="88">
        <f>SUMIF(月間集計シート!$M$134:$M$153,$G1055,月間集計シート!S$134:S$153)*AX$2</f>
        <v>0</v>
      </c>
      <c r="AY1055" s="88">
        <f>SUMIF(月間集計シート!$M$134:$M$153,$G1055,月間集計シート!T$134:T$153)*AY$2</f>
        <v>0</v>
      </c>
    </row>
    <row r="1056" spans="1:51" ht="14.25" thickBot="1">
      <c r="A1056">
        <v>13</v>
      </c>
      <c r="B1056" s="120">
        <f t="shared" si="570"/>
        <v>0</v>
      </c>
      <c r="C1056" s="120" t="str">
        <f t="shared" si="571"/>
        <v/>
      </c>
      <c r="D1056" s="137"/>
      <c r="E1056" s="150" t="str">
        <f>工種!A28</f>
        <v>40106</v>
      </c>
      <c r="F1056" s="119" t="str">
        <f>工種!B28</f>
        <v>テスト：総合評価設計書作成</v>
      </c>
      <c r="G1056" s="116" t="str">
        <f t="shared" si="572"/>
        <v>040106</v>
      </c>
      <c r="H1056" s="88">
        <f t="shared" si="569"/>
        <v>0</v>
      </c>
      <c r="I1056" s="132"/>
      <c r="J1056" s="88">
        <f>SUMIF(月間集計シート!$M$29:$M$48,$G1056,月間集計シート!N$29:N$48)*J$2</f>
        <v>0</v>
      </c>
      <c r="K1056" s="88">
        <f>SUMIF(月間集計シート!$M$29:$M$48,$G1056,月間集計シート!O$29:O$48)*K$2</f>
        <v>0</v>
      </c>
      <c r="L1056" s="88">
        <f>SUMIF(月間集計シート!$M$29:$M$48,$G1056,月間集計シート!P$29:P$48)*L$2</f>
        <v>0</v>
      </c>
      <c r="M1056" s="88">
        <f>SUMIF(月間集計シート!$M$29:$M$48,$G1056,月間集計シート!Q$29:Q$48)*M$2</f>
        <v>0</v>
      </c>
      <c r="N1056" s="88">
        <f>SUMIF(月間集計シート!$M$29:$M$48,$G1056,月間集計シート!R$29:R$48)*N$2</f>
        <v>0</v>
      </c>
      <c r="O1056" s="88">
        <f>SUMIF(月間集計シート!$M$29:$M$48,$G1056,月間集計シート!S$29:S$48)*O$2</f>
        <v>0</v>
      </c>
      <c r="P1056" s="88">
        <f>SUMIF(月間集計シート!$M$29:$M$48,$G1056,月間集計シート!T$29:T$48)*P$2</f>
        <v>0</v>
      </c>
      <c r="Q1056" s="88">
        <f>SUMIF(月間集計シート!$M$50:$M$69,$G1056,月間集計シート!N$50:N$69)*Q$2</f>
        <v>0</v>
      </c>
      <c r="R1056" s="88">
        <f>SUMIF(月間集計シート!$M$50:$M$69,$G1056,月間集計シート!O$50:O$69)*R$2</f>
        <v>0</v>
      </c>
      <c r="S1056" s="88">
        <f>SUMIF(月間集計シート!$M$50:$M$69,$G1056,月間集計シート!P$50:P$69)*S$2</f>
        <v>0</v>
      </c>
      <c r="T1056" s="88">
        <f>SUMIF(月間集計シート!$M$50:$M$69,$G1056,月間集計シート!Q$50:Q$69)*T$2</f>
        <v>0</v>
      </c>
      <c r="U1056" s="88">
        <f>SUMIF(月間集計シート!$M$50:$M$69,$G1056,月間集計シート!R$50:R$69)*U$2</f>
        <v>0</v>
      </c>
      <c r="V1056" s="88">
        <f>SUMIF(月間集計シート!$M$50:$M$69,$G1056,月間集計シート!S$50:S$69)*V$2</f>
        <v>0</v>
      </c>
      <c r="W1056" s="88">
        <f>SUMIF(月間集計シート!$M$50:$M$69,$G1056,月間集計シート!T$50:T$69)*W$2</f>
        <v>0</v>
      </c>
      <c r="X1056" s="88">
        <f>SUMIF(月間集計シート!$M$71:$M$90,$G1056,月間集計シート!N$71:N$90)*X$2</f>
        <v>0</v>
      </c>
      <c r="Y1056" s="88">
        <f>SUMIF(月間集計シート!$M$71:$M$90,$G1056,月間集計シート!O$71:O$90)*Y$2</f>
        <v>0</v>
      </c>
      <c r="Z1056" s="88">
        <f>SUMIF(月間集計シート!$M$71:$M$90,$G1056,月間集計シート!P$71:P$90)*Z$2</f>
        <v>0</v>
      </c>
      <c r="AA1056" s="88">
        <f>SUMIF(月間集計シート!$M$71:$M$90,$G1056,月間集計シート!Q$71:Q$90)*AA$2</f>
        <v>0</v>
      </c>
      <c r="AB1056" s="88">
        <f>SUMIF(月間集計シート!$M$71:$M$90,$G1056,月間集計シート!R$71:R$90)*AB$2</f>
        <v>0</v>
      </c>
      <c r="AC1056" s="88">
        <f>SUMIF(月間集計シート!$M$71:$M$90,$G1056,月間集計シート!S$71:S$90)*AC$2</f>
        <v>0</v>
      </c>
      <c r="AD1056" s="88">
        <f>SUMIF(月間集計シート!$M$71:$M$90,$G1056,月間集計シート!T$71:T$90)*AD$2</f>
        <v>0</v>
      </c>
      <c r="AE1056" s="88">
        <f>SUMIF(月間集計シート!$M$92:$M$111,$G1056,月間集計シート!N$92:N$111)*AE$2</f>
        <v>0</v>
      </c>
      <c r="AF1056" s="88">
        <f>SUMIF(月間集計シート!$M$92:$M$111,$G1056,月間集計シート!O$92:O$111)*AF$2</f>
        <v>0</v>
      </c>
      <c r="AG1056" s="88">
        <f>SUMIF(月間集計シート!$M$92:$M$111,$G1056,月間集計シート!P$92:P$111)*AG$2</f>
        <v>0</v>
      </c>
      <c r="AH1056" s="88">
        <f>SUMIF(月間集計シート!$M$92:$M$111,$G1056,月間集計シート!Q$92:Q$111)*AH$2</f>
        <v>0</v>
      </c>
      <c r="AI1056" s="88">
        <f>SUMIF(月間集計シート!$M$92:$M$111,$G1056,月間集計シート!R$92:R$111)*AI$2</f>
        <v>0</v>
      </c>
      <c r="AJ1056" s="88">
        <f>SUMIF(月間集計シート!$M$92:$M$111,$G1056,月間集計シート!S$92:S$111)*AJ$2</f>
        <v>0</v>
      </c>
      <c r="AK1056" s="88">
        <f>SUMIF(月間集計シート!$M$92:$M$111,$G1056,月間集計シート!T$92:T$111)*AK$2</f>
        <v>0</v>
      </c>
      <c r="AL1056" s="88">
        <f>SUMIF(月間集計シート!$M$113:$M$132,$G1056,月間集計シート!N$113:N$132)*AL$2</f>
        <v>0</v>
      </c>
      <c r="AM1056" s="88">
        <f>SUMIF(月間集計シート!$M$113:$M$132,$G1056,月間集計シート!O$113:O$132)*AM$2</f>
        <v>0</v>
      </c>
      <c r="AN1056" s="88">
        <f>SUMIF(月間集計シート!$M$113:$M$132,$G1056,月間集計シート!P$113:P$132)*AN$2</f>
        <v>0</v>
      </c>
      <c r="AO1056" s="88">
        <f>SUMIF(月間集計シート!$M$113:$M$132,$G1056,月間集計シート!Q$113:Q$132)*AO$2</f>
        <v>0</v>
      </c>
      <c r="AP1056" s="88">
        <f>SUMIF(月間集計シート!$M$113:$M$132,$G1056,月間集計シート!R$113:R$132)*AP$2</f>
        <v>0</v>
      </c>
      <c r="AQ1056" s="88">
        <f>SUMIF(月間集計シート!$M$113:$M$132,$G1056,月間集計シート!S$113:S$132)*AQ$2</f>
        <v>0</v>
      </c>
      <c r="AR1056" s="88">
        <f>SUMIF(月間集計シート!$M$113:$M$132,$G1056,月間集計シート!T$113:T$132)*AR$2</f>
        <v>0</v>
      </c>
      <c r="AS1056" s="88">
        <f>SUMIF(月間集計シート!$M$134:$M$153,$G1056,月間集計シート!N$134:N$153)*AS$2</f>
        <v>0</v>
      </c>
      <c r="AT1056" s="88">
        <f>SUMIF(月間集計シート!$M$134:$M$153,$G1056,月間集計シート!O$134:O$153)*AT$2</f>
        <v>0</v>
      </c>
      <c r="AU1056" s="88">
        <f>SUMIF(月間集計シート!$M$134:$M$153,$G1056,月間集計シート!P$134:P$153)*AU$2</f>
        <v>0</v>
      </c>
      <c r="AV1056" s="88">
        <f>SUMIF(月間集計シート!$M$134:$M$153,$G1056,月間集計シート!Q$134:Q$153)*AV$2</f>
        <v>0</v>
      </c>
      <c r="AW1056" s="88">
        <f>SUMIF(月間集計シート!$M$134:$M$153,$G1056,月間集計シート!R$134:R$153)*AW$2</f>
        <v>0</v>
      </c>
      <c r="AX1056" s="88">
        <f>SUMIF(月間集計シート!$M$134:$M$153,$G1056,月間集計シート!S$134:S$153)*AX$2</f>
        <v>0</v>
      </c>
      <c r="AY1056" s="88">
        <f>SUMIF(月間集計シート!$M$134:$M$153,$G1056,月間集計シート!T$134:T$153)*AY$2</f>
        <v>0</v>
      </c>
    </row>
    <row r="1057" spans="1:51" ht="14.25" thickBot="1">
      <c r="A1057">
        <v>13</v>
      </c>
      <c r="B1057" s="120">
        <f t="shared" si="570"/>
        <v>0</v>
      </c>
      <c r="C1057" s="120" t="str">
        <f t="shared" si="571"/>
        <v/>
      </c>
      <c r="D1057" s="137"/>
      <c r="E1057" s="150" t="str">
        <f>工種!A29</f>
        <v>40107</v>
      </c>
      <c r="F1057" s="119" t="str">
        <f>工種!B29</f>
        <v>テスト：評価報告書作成</v>
      </c>
      <c r="G1057" s="116" t="str">
        <f t="shared" si="572"/>
        <v>040107</v>
      </c>
      <c r="H1057" s="88">
        <f t="shared" si="569"/>
        <v>0</v>
      </c>
      <c r="I1057" s="132"/>
      <c r="J1057" s="88">
        <f>SUMIF(月間集計シート!$M$29:$M$48,$G1057,月間集計シート!N$29:N$48)*J$2</f>
        <v>0</v>
      </c>
      <c r="K1057" s="88">
        <f>SUMIF(月間集計シート!$M$29:$M$48,$G1057,月間集計シート!O$29:O$48)*K$2</f>
        <v>0</v>
      </c>
      <c r="L1057" s="88">
        <f>SUMIF(月間集計シート!$M$29:$M$48,$G1057,月間集計シート!P$29:P$48)*L$2</f>
        <v>0</v>
      </c>
      <c r="M1057" s="88">
        <f>SUMIF(月間集計シート!$M$29:$M$48,$G1057,月間集計シート!Q$29:Q$48)*M$2</f>
        <v>0</v>
      </c>
      <c r="N1057" s="88">
        <f>SUMIF(月間集計シート!$M$29:$M$48,$G1057,月間集計シート!R$29:R$48)*N$2</f>
        <v>0</v>
      </c>
      <c r="O1057" s="88">
        <f>SUMIF(月間集計シート!$M$29:$M$48,$G1057,月間集計シート!S$29:S$48)*O$2</f>
        <v>0</v>
      </c>
      <c r="P1057" s="88">
        <f>SUMIF(月間集計シート!$M$29:$M$48,$G1057,月間集計シート!T$29:T$48)*P$2</f>
        <v>0</v>
      </c>
      <c r="Q1057" s="88">
        <f>SUMIF(月間集計シート!$M$50:$M$69,$G1057,月間集計シート!N$50:N$69)*Q$2</f>
        <v>0</v>
      </c>
      <c r="R1057" s="88">
        <f>SUMIF(月間集計シート!$M$50:$M$69,$G1057,月間集計シート!O$50:O$69)*R$2</f>
        <v>0</v>
      </c>
      <c r="S1057" s="88">
        <f>SUMIF(月間集計シート!$M$50:$M$69,$G1057,月間集計シート!P$50:P$69)*S$2</f>
        <v>0</v>
      </c>
      <c r="T1057" s="88">
        <f>SUMIF(月間集計シート!$M$50:$M$69,$G1057,月間集計シート!Q$50:Q$69)*T$2</f>
        <v>0</v>
      </c>
      <c r="U1057" s="88">
        <f>SUMIF(月間集計シート!$M$50:$M$69,$G1057,月間集計シート!R$50:R$69)*U$2</f>
        <v>0</v>
      </c>
      <c r="V1057" s="88">
        <f>SUMIF(月間集計シート!$M$50:$M$69,$G1057,月間集計シート!S$50:S$69)*V$2</f>
        <v>0</v>
      </c>
      <c r="W1057" s="88">
        <f>SUMIF(月間集計シート!$M$50:$M$69,$G1057,月間集計シート!T$50:T$69)*W$2</f>
        <v>0</v>
      </c>
      <c r="X1057" s="88">
        <f>SUMIF(月間集計シート!$M$71:$M$90,$G1057,月間集計シート!N$71:N$90)*X$2</f>
        <v>0</v>
      </c>
      <c r="Y1057" s="88">
        <f>SUMIF(月間集計シート!$M$71:$M$90,$G1057,月間集計シート!O$71:O$90)*Y$2</f>
        <v>0</v>
      </c>
      <c r="Z1057" s="88">
        <f>SUMIF(月間集計シート!$M$71:$M$90,$G1057,月間集計シート!P$71:P$90)*Z$2</f>
        <v>0</v>
      </c>
      <c r="AA1057" s="88">
        <f>SUMIF(月間集計シート!$M$71:$M$90,$G1057,月間集計シート!Q$71:Q$90)*AA$2</f>
        <v>0</v>
      </c>
      <c r="AB1057" s="88">
        <f>SUMIF(月間集計シート!$M$71:$M$90,$G1057,月間集計シート!R$71:R$90)*AB$2</f>
        <v>0</v>
      </c>
      <c r="AC1057" s="88">
        <f>SUMIF(月間集計シート!$M$71:$M$90,$G1057,月間集計シート!S$71:S$90)*AC$2</f>
        <v>0</v>
      </c>
      <c r="AD1057" s="88">
        <f>SUMIF(月間集計シート!$M$71:$M$90,$G1057,月間集計シート!T$71:T$90)*AD$2</f>
        <v>0</v>
      </c>
      <c r="AE1057" s="88">
        <f>SUMIF(月間集計シート!$M$92:$M$111,$G1057,月間集計シート!N$92:N$111)*AE$2</f>
        <v>0</v>
      </c>
      <c r="AF1057" s="88">
        <f>SUMIF(月間集計シート!$M$92:$M$111,$G1057,月間集計シート!O$92:O$111)*AF$2</f>
        <v>0</v>
      </c>
      <c r="AG1057" s="88">
        <f>SUMIF(月間集計シート!$M$92:$M$111,$G1057,月間集計シート!P$92:P$111)*AG$2</f>
        <v>0</v>
      </c>
      <c r="AH1057" s="88">
        <f>SUMIF(月間集計シート!$M$92:$M$111,$G1057,月間集計シート!Q$92:Q$111)*AH$2</f>
        <v>0</v>
      </c>
      <c r="AI1057" s="88">
        <f>SUMIF(月間集計シート!$M$92:$M$111,$G1057,月間集計シート!R$92:R$111)*AI$2</f>
        <v>0</v>
      </c>
      <c r="AJ1057" s="88">
        <f>SUMIF(月間集計シート!$M$92:$M$111,$G1057,月間集計シート!S$92:S$111)*AJ$2</f>
        <v>0</v>
      </c>
      <c r="AK1057" s="88">
        <f>SUMIF(月間集計シート!$M$92:$M$111,$G1057,月間集計シート!T$92:T$111)*AK$2</f>
        <v>0</v>
      </c>
      <c r="AL1057" s="88">
        <f>SUMIF(月間集計シート!$M$113:$M$132,$G1057,月間集計シート!N$113:N$132)*AL$2</f>
        <v>0</v>
      </c>
      <c r="AM1057" s="88">
        <f>SUMIF(月間集計シート!$M$113:$M$132,$G1057,月間集計シート!O$113:O$132)*AM$2</f>
        <v>0</v>
      </c>
      <c r="AN1057" s="88">
        <f>SUMIF(月間集計シート!$M$113:$M$132,$G1057,月間集計シート!P$113:P$132)*AN$2</f>
        <v>0</v>
      </c>
      <c r="AO1057" s="88">
        <f>SUMIF(月間集計シート!$M$113:$M$132,$G1057,月間集計シート!Q$113:Q$132)*AO$2</f>
        <v>0</v>
      </c>
      <c r="AP1057" s="88">
        <f>SUMIF(月間集計シート!$M$113:$M$132,$G1057,月間集計シート!R$113:R$132)*AP$2</f>
        <v>0</v>
      </c>
      <c r="AQ1057" s="88">
        <f>SUMIF(月間集計シート!$M$113:$M$132,$G1057,月間集計シート!S$113:S$132)*AQ$2</f>
        <v>0</v>
      </c>
      <c r="AR1057" s="88">
        <f>SUMIF(月間集計シート!$M$113:$M$132,$G1057,月間集計シート!T$113:T$132)*AR$2</f>
        <v>0</v>
      </c>
      <c r="AS1057" s="88">
        <f>SUMIF(月間集計シート!$M$134:$M$153,$G1057,月間集計シート!N$134:N$153)*AS$2</f>
        <v>0</v>
      </c>
      <c r="AT1057" s="88">
        <f>SUMIF(月間集計シート!$M$134:$M$153,$G1057,月間集計シート!O$134:O$153)*AT$2</f>
        <v>0</v>
      </c>
      <c r="AU1057" s="88">
        <f>SUMIF(月間集計シート!$M$134:$M$153,$G1057,月間集計シート!P$134:P$153)*AU$2</f>
        <v>0</v>
      </c>
      <c r="AV1057" s="88">
        <f>SUMIF(月間集計シート!$M$134:$M$153,$G1057,月間集計シート!Q$134:Q$153)*AV$2</f>
        <v>0</v>
      </c>
      <c r="AW1057" s="88">
        <f>SUMIF(月間集計シート!$M$134:$M$153,$G1057,月間集計シート!R$134:R$153)*AW$2</f>
        <v>0</v>
      </c>
      <c r="AX1057" s="88">
        <f>SUMIF(月間集計シート!$M$134:$M$153,$G1057,月間集計シート!S$134:S$153)*AX$2</f>
        <v>0</v>
      </c>
      <c r="AY1057" s="88">
        <f>SUMIF(月間集計シート!$M$134:$M$153,$G1057,月間集計シート!T$134:T$153)*AY$2</f>
        <v>0</v>
      </c>
    </row>
    <row r="1058" spans="1:51" ht="14.25" thickBot="1">
      <c r="A1058">
        <v>13</v>
      </c>
      <c r="B1058" s="120">
        <f t="shared" si="570"/>
        <v>0</v>
      </c>
      <c r="C1058" s="120" t="str">
        <f t="shared" si="571"/>
        <v/>
      </c>
      <c r="D1058" s="137"/>
      <c r="E1058" s="150" t="str">
        <f>工種!A30</f>
        <v>40108</v>
      </c>
      <c r="F1058" s="119" t="str">
        <f>工種!B30</f>
        <v>テスト：総合評価実施</v>
      </c>
      <c r="G1058" s="116" t="str">
        <f t="shared" si="572"/>
        <v>040108</v>
      </c>
      <c r="H1058" s="88">
        <f t="shared" si="569"/>
        <v>0</v>
      </c>
      <c r="I1058" s="132"/>
      <c r="J1058" s="88">
        <f>SUMIF(月間集計シート!$M$29:$M$48,$G1058,月間集計シート!N$29:N$48)*J$2</f>
        <v>0</v>
      </c>
      <c r="K1058" s="88">
        <f>SUMIF(月間集計シート!$M$29:$M$48,$G1058,月間集計シート!O$29:O$48)*K$2</f>
        <v>0</v>
      </c>
      <c r="L1058" s="88">
        <f>SUMIF(月間集計シート!$M$29:$M$48,$G1058,月間集計シート!P$29:P$48)*L$2</f>
        <v>0</v>
      </c>
      <c r="M1058" s="88">
        <f>SUMIF(月間集計シート!$M$29:$M$48,$G1058,月間集計シート!Q$29:Q$48)*M$2</f>
        <v>0</v>
      </c>
      <c r="N1058" s="88">
        <f>SUMIF(月間集計シート!$M$29:$M$48,$G1058,月間集計シート!R$29:R$48)*N$2</f>
        <v>0</v>
      </c>
      <c r="O1058" s="88">
        <f>SUMIF(月間集計シート!$M$29:$M$48,$G1058,月間集計シート!S$29:S$48)*O$2</f>
        <v>0</v>
      </c>
      <c r="P1058" s="88">
        <f>SUMIF(月間集計シート!$M$29:$M$48,$G1058,月間集計シート!T$29:T$48)*P$2</f>
        <v>0</v>
      </c>
      <c r="Q1058" s="88">
        <f>SUMIF(月間集計シート!$M$50:$M$69,$G1058,月間集計シート!N$50:N$69)*Q$2</f>
        <v>0</v>
      </c>
      <c r="R1058" s="88">
        <f>SUMIF(月間集計シート!$M$50:$M$69,$G1058,月間集計シート!O$50:O$69)*R$2</f>
        <v>0</v>
      </c>
      <c r="S1058" s="88">
        <f>SUMIF(月間集計シート!$M$50:$M$69,$G1058,月間集計シート!P$50:P$69)*S$2</f>
        <v>0</v>
      </c>
      <c r="T1058" s="88">
        <f>SUMIF(月間集計シート!$M$50:$M$69,$G1058,月間集計シート!Q$50:Q$69)*T$2</f>
        <v>0</v>
      </c>
      <c r="U1058" s="88">
        <f>SUMIF(月間集計シート!$M$50:$M$69,$G1058,月間集計シート!R$50:R$69)*U$2</f>
        <v>0</v>
      </c>
      <c r="V1058" s="88">
        <f>SUMIF(月間集計シート!$M$50:$M$69,$G1058,月間集計シート!S$50:S$69)*V$2</f>
        <v>0</v>
      </c>
      <c r="W1058" s="88">
        <f>SUMIF(月間集計シート!$M$50:$M$69,$G1058,月間集計シート!T$50:T$69)*W$2</f>
        <v>0</v>
      </c>
      <c r="X1058" s="88">
        <f>SUMIF(月間集計シート!$M$71:$M$90,$G1058,月間集計シート!N$71:N$90)*X$2</f>
        <v>0</v>
      </c>
      <c r="Y1058" s="88">
        <f>SUMIF(月間集計シート!$M$71:$M$90,$G1058,月間集計シート!O$71:O$90)*Y$2</f>
        <v>0</v>
      </c>
      <c r="Z1058" s="88">
        <f>SUMIF(月間集計シート!$M$71:$M$90,$G1058,月間集計シート!P$71:P$90)*Z$2</f>
        <v>0</v>
      </c>
      <c r="AA1058" s="88">
        <f>SUMIF(月間集計シート!$M$71:$M$90,$G1058,月間集計シート!Q$71:Q$90)*AA$2</f>
        <v>0</v>
      </c>
      <c r="AB1058" s="88">
        <f>SUMIF(月間集計シート!$M$71:$M$90,$G1058,月間集計シート!R$71:R$90)*AB$2</f>
        <v>0</v>
      </c>
      <c r="AC1058" s="88">
        <f>SUMIF(月間集計シート!$M$71:$M$90,$G1058,月間集計シート!S$71:S$90)*AC$2</f>
        <v>0</v>
      </c>
      <c r="AD1058" s="88">
        <f>SUMIF(月間集計シート!$M$71:$M$90,$G1058,月間集計シート!T$71:T$90)*AD$2</f>
        <v>0</v>
      </c>
      <c r="AE1058" s="88">
        <f>SUMIF(月間集計シート!$M$92:$M$111,$G1058,月間集計シート!N$92:N$111)*AE$2</f>
        <v>0</v>
      </c>
      <c r="AF1058" s="88">
        <f>SUMIF(月間集計シート!$M$92:$M$111,$G1058,月間集計シート!O$92:O$111)*AF$2</f>
        <v>0</v>
      </c>
      <c r="AG1058" s="88">
        <f>SUMIF(月間集計シート!$M$92:$M$111,$G1058,月間集計シート!P$92:P$111)*AG$2</f>
        <v>0</v>
      </c>
      <c r="AH1058" s="88">
        <f>SUMIF(月間集計シート!$M$92:$M$111,$G1058,月間集計シート!Q$92:Q$111)*AH$2</f>
        <v>0</v>
      </c>
      <c r="AI1058" s="88">
        <f>SUMIF(月間集計シート!$M$92:$M$111,$G1058,月間集計シート!R$92:R$111)*AI$2</f>
        <v>0</v>
      </c>
      <c r="AJ1058" s="88">
        <f>SUMIF(月間集計シート!$M$92:$M$111,$G1058,月間集計シート!S$92:S$111)*AJ$2</f>
        <v>0</v>
      </c>
      <c r="AK1058" s="88">
        <f>SUMIF(月間集計シート!$M$92:$M$111,$G1058,月間集計シート!T$92:T$111)*AK$2</f>
        <v>0</v>
      </c>
      <c r="AL1058" s="88">
        <f>SUMIF(月間集計シート!$M$113:$M$132,$G1058,月間集計シート!N$113:N$132)*AL$2</f>
        <v>0</v>
      </c>
      <c r="AM1058" s="88">
        <f>SUMIF(月間集計シート!$M$113:$M$132,$G1058,月間集計シート!O$113:O$132)*AM$2</f>
        <v>0</v>
      </c>
      <c r="AN1058" s="88">
        <f>SUMIF(月間集計シート!$M$113:$M$132,$G1058,月間集計シート!P$113:P$132)*AN$2</f>
        <v>0</v>
      </c>
      <c r="AO1058" s="88">
        <f>SUMIF(月間集計シート!$M$113:$M$132,$G1058,月間集計シート!Q$113:Q$132)*AO$2</f>
        <v>0</v>
      </c>
      <c r="AP1058" s="88">
        <f>SUMIF(月間集計シート!$M$113:$M$132,$G1058,月間集計シート!R$113:R$132)*AP$2</f>
        <v>0</v>
      </c>
      <c r="AQ1058" s="88">
        <f>SUMIF(月間集計シート!$M$113:$M$132,$G1058,月間集計シート!S$113:S$132)*AQ$2</f>
        <v>0</v>
      </c>
      <c r="AR1058" s="88">
        <f>SUMIF(月間集計シート!$M$113:$M$132,$G1058,月間集計シート!T$113:T$132)*AR$2</f>
        <v>0</v>
      </c>
      <c r="AS1058" s="88">
        <f>SUMIF(月間集計シート!$M$134:$M$153,$G1058,月間集計シート!N$134:N$153)*AS$2</f>
        <v>0</v>
      </c>
      <c r="AT1058" s="88">
        <f>SUMIF(月間集計シート!$M$134:$M$153,$G1058,月間集計シート!O$134:O$153)*AT$2</f>
        <v>0</v>
      </c>
      <c r="AU1058" s="88">
        <f>SUMIF(月間集計シート!$M$134:$M$153,$G1058,月間集計シート!P$134:P$153)*AU$2</f>
        <v>0</v>
      </c>
      <c r="AV1058" s="88">
        <f>SUMIF(月間集計シート!$M$134:$M$153,$G1058,月間集計シート!Q$134:Q$153)*AV$2</f>
        <v>0</v>
      </c>
      <c r="AW1058" s="88">
        <f>SUMIF(月間集計シート!$M$134:$M$153,$G1058,月間集計シート!R$134:R$153)*AW$2</f>
        <v>0</v>
      </c>
      <c r="AX1058" s="88">
        <f>SUMIF(月間集計シート!$M$134:$M$153,$G1058,月間集計シート!S$134:S$153)*AX$2</f>
        <v>0</v>
      </c>
      <c r="AY1058" s="88">
        <f>SUMIF(月間集計シート!$M$134:$M$153,$G1058,月間集計シート!T$134:T$153)*AY$2</f>
        <v>0</v>
      </c>
    </row>
    <row r="1059" spans="1:51" ht="14.25" thickBot="1">
      <c r="A1059">
        <v>13</v>
      </c>
      <c r="B1059" s="120">
        <f t="shared" si="570"/>
        <v>0</v>
      </c>
      <c r="C1059" s="120" t="str">
        <f t="shared" si="571"/>
        <v/>
      </c>
      <c r="D1059" s="137"/>
      <c r="E1059" s="150" t="str">
        <f>工種!A31</f>
        <v>40109</v>
      </c>
      <c r="F1059" s="119" t="str">
        <f>工種!B31</f>
        <v>テスト：打合せ</v>
      </c>
      <c r="G1059" s="116" t="str">
        <f t="shared" si="572"/>
        <v>040109</v>
      </c>
      <c r="H1059" s="88">
        <f t="shared" si="569"/>
        <v>0</v>
      </c>
      <c r="I1059" s="132"/>
      <c r="J1059" s="88">
        <f>SUMIF(月間集計シート!$M$29:$M$48,$G1059,月間集計シート!N$29:N$48)*J$2</f>
        <v>0</v>
      </c>
      <c r="K1059" s="88">
        <f>SUMIF(月間集計シート!$M$29:$M$48,$G1059,月間集計シート!O$29:O$48)*K$2</f>
        <v>0</v>
      </c>
      <c r="L1059" s="88">
        <f>SUMIF(月間集計シート!$M$29:$M$48,$G1059,月間集計シート!P$29:P$48)*L$2</f>
        <v>0</v>
      </c>
      <c r="M1059" s="88">
        <f>SUMIF(月間集計シート!$M$29:$M$48,$G1059,月間集計シート!Q$29:Q$48)*M$2</f>
        <v>0</v>
      </c>
      <c r="N1059" s="88">
        <f>SUMIF(月間集計シート!$M$29:$M$48,$G1059,月間集計シート!R$29:R$48)*N$2</f>
        <v>0</v>
      </c>
      <c r="O1059" s="88">
        <f>SUMIF(月間集計シート!$M$29:$M$48,$G1059,月間集計シート!S$29:S$48)*O$2</f>
        <v>0</v>
      </c>
      <c r="P1059" s="88">
        <f>SUMIF(月間集計シート!$M$29:$M$48,$G1059,月間集計シート!T$29:T$48)*P$2</f>
        <v>0</v>
      </c>
      <c r="Q1059" s="88">
        <f>SUMIF(月間集計シート!$M$50:$M$69,$G1059,月間集計シート!N$50:N$69)*Q$2</f>
        <v>0</v>
      </c>
      <c r="R1059" s="88">
        <f>SUMIF(月間集計シート!$M$50:$M$69,$G1059,月間集計シート!O$50:O$69)*R$2</f>
        <v>0</v>
      </c>
      <c r="S1059" s="88">
        <f>SUMIF(月間集計シート!$M$50:$M$69,$G1059,月間集計シート!P$50:P$69)*S$2</f>
        <v>0</v>
      </c>
      <c r="T1059" s="88">
        <f>SUMIF(月間集計シート!$M$50:$M$69,$G1059,月間集計シート!Q$50:Q$69)*T$2</f>
        <v>0</v>
      </c>
      <c r="U1059" s="88">
        <f>SUMIF(月間集計シート!$M$50:$M$69,$G1059,月間集計シート!R$50:R$69)*U$2</f>
        <v>0</v>
      </c>
      <c r="V1059" s="88">
        <f>SUMIF(月間集計シート!$M$50:$M$69,$G1059,月間集計シート!S$50:S$69)*V$2</f>
        <v>0</v>
      </c>
      <c r="W1059" s="88">
        <f>SUMIF(月間集計シート!$M$50:$M$69,$G1059,月間集計シート!T$50:T$69)*W$2</f>
        <v>0</v>
      </c>
      <c r="X1059" s="88">
        <f>SUMIF(月間集計シート!$M$71:$M$90,$G1059,月間集計シート!N$71:N$90)*X$2</f>
        <v>0</v>
      </c>
      <c r="Y1059" s="88">
        <f>SUMIF(月間集計シート!$M$71:$M$90,$G1059,月間集計シート!O$71:O$90)*Y$2</f>
        <v>0</v>
      </c>
      <c r="Z1059" s="88">
        <f>SUMIF(月間集計シート!$M$71:$M$90,$G1059,月間集計シート!P$71:P$90)*Z$2</f>
        <v>0</v>
      </c>
      <c r="AA1059" s="88">
        <f>SUMIF(月間集計シート!$M$71:$M$90,$G1059,月間集計シート!Q$71:Q$90)*AA$2</f>
        <v>0</v>
      </c>
      <c r="AB1059" s="88">
        <f>SUMIF(月間集計シート!$M$71:$M$90,$G1059,月間集計シート!R$71:R$90)*AB$2</f>
        <v>0</v>
      </c>
      <c r="AC1059" s="88">
        <f>SUMIF(月間集計シート!$M$71:$M$90,$G1059,月間集計シート!S$71:S$90)*AC$2</f>
        <v>0</v>
      </c>
      <c r="AD1059" s="88">
        <f>SUMIF(月間集計シート!$M$71:$M$90,$G1059,月間集計シート!T$71:T$90)*AD$2</f>
        <v>0</v>
      </c>
      <c r="AE1059" s="88">
        <f>SUMIF(月間集計シート!$M$92:$M$111,$G1059,月間集計シート!N$92:N$111)*AE$2</f>
        <v>0</v>
      </c>
      <c r="AF1059" s="88">
        <f>SUMIF(月間集計シート!$M$92:$M$111,$G1059,月間集計シート!O$92:O$111)*AF$2</f>
        <v>0</v>
      </c>
      <c r="AG1059" s="88">
        <f>SUMIF(月間集計シート!$M$92:$M$111,$G1059,月間集計シート!P$92:P$111)*AG$2</f>
        <v>0</v>
      </c>
      <c r="AH1059" s="88">
        <f>SUMIF(月間集計シート!$M$92:$M$111,$G1059,月間集計シート!Q$92:Q$111)*AH$2</f>
        <v>0</v>
      </c>
      <c r="AI1059" s="88">
        <f>SUMIF(月間集計シート!$M$92:$M$111,$G1059,月間集計シート!R$92:R$111)*AI$2</f>
        <v>0</v>
      </c>
      <c r="AJ1059" s="88">
        <f>SUMIF(月間集計シート!$M$92:$M$111,$G1059,月間集計シート!S$92:S$111)*AJ$2</f>
        <v>0</v>
      </c>
      <c r="AK1059" s="88">
        <f>SUMIF(月間集計シート!$M$92:$M$111,$G1059,月間集計シート!T$92:T$111)*AK$2</f>
        <v>0</v>
      </c>
      <c r="AL1059" s="88">
        <f>SUMIF(月間集計シート!$M$113:$M$132,$G1059,月間集計シート!N$113:N$132)*AL$2</f>
        <v>0</v>
      </c>
      <c r="AM1059" s="88">
        <f>SUMIF(月間集計シート!$M$113:$M$132,$G1059,月間集計シート!O$113:O$132)*AM$2</f>
        <v>0</v>
      </c>
      <c r="AN1059" s="88">
        <f>SUMIF(月間集計シート!$M$113:$M$132,$G1059,月間集計シート!P$113:P$132)*AN$2</f>
        <v>0</v>
      </c>
      <c r="AO1059" s="88">
        <f>SUMIF(月間集計シート!$M$113:$M$132,$G1059,月間集計シート!Q$113:Q$132)*AO$2</f>
        <v>0</v>
      </c>
      <c r="AP1059" s="88">
        <f>SUMIF(月間集計シート!$M$113:$M$132,$G1059,月間集計シート!R$113:R$132)*AP$2</f>
        <v>0</v>
      </c>
      <c r="AQ1059" s="88">
        <f>SUMIF(月間集計シート!$M$113:$M$132,$G1059,月間集計シート!S$113:S$132)*AQ$2</f>
        <v>0</v>
      </c>
      <c r="AR1059" s="88">
        <f>SUMIF(月間集計シート!$M$113:$M$132,$G1059,月間集計シート!T$113:T$132)*AR$2</f>
        <v>0</v>
      </c>
      <c r="AS1059" s="88">
        <f>SUMIF(月間集計シート!$M$134:$M$153,$G1059,月間集計シート!N$134:N$153)*AS$2</f>
        <v>0</v>
      </c>
      <c r="AT1059" s="88">
        <f>SUMIF(月間集計シート!$M$134:$M$153,$G1059,月間集計シート!O$134:O$153)*AT$2</f>
        <v>0</v>
      </c>
      <c r="AU1059" s="88">
        <f>SUMIF(月間集計シート!$M$134:$M$153,$G1059,月間集計シート!P$134:P$153)*AU$2</f>
        <v>0</v>
      </c>
      <c r="AV1059" s="88">
        <f>SUMIF(月間集計シート!$M$134:$M$153,$G1059,月間集計シート!Q$134:Q$153)*AV$2</f>
        <v>0</v>
      </c>
      <c r="AW1059" s="88">
        <f>SUMIF(月間集計シート!$M$134:$M$153,$G1059,月間集計シート!R$134:R$153)*AW$2</f>
        <v>0</v>
      </c>
      <c r="AX1059" s="88">
        <f>SUMIF(月間集計シート!$M$134:$M$153,$G1059,月間集計シート!S$134:S$153)*AX$2</f>
        <v>0</v>
      </c>
      <c r="AY1059" s="88">
        <f>SUMIF(月間集計シート!$M$134:$M$153,$G1059,月間集計シート!T$134:T$153)*AY$2</f>
        <v>0</v>
      </c>
    </row>
    <row r="1060" spans="1:51" ht="14.25" thickBot="1">
      <c r="A1060">
        <v>13</v>
      </c>
      <c r="B1060" s="120">
        <f t="shared" si="570"/>
        <v>0</v>
      </c>
      <c r="C1060" s="120" t="str">
        <f t="shared" si="571"/>
        <v/>
      </c>
      <c r="D1060" s="137"/>
      <c r="E1060" s="150" t="str">
        <f>工種!A32</f>
        <v>40110</v>
      </c>
      <c r="F1060" s="119" t="str">
        <f>工種!B32</f>
        <v>テスト：レビュー</v>
      </c>
      <c r="G1060" s="116" t="str">
        <f t="shared" si="572"/>
        <v>040110</v>
      </c>
      <c r="H1060" s="88">
        <f t="shared" si="569"/>
        <v>0</v>
      </c>
      <c r="I1060" s="132"/>
      <c r="J1060" s="88">
        <f>SUMIF(月間集計シート!$M$29:$M$48,$G1060,月間集計シート!N$29:N$48)*J$2</f>
        <v>0</v>
      </c>
      <c r="K1060" s="88">
        <f>SUMIF(月間集計シート!$M$29:$M$48,$G1060,月間集計シート!O$29:O$48)*K$2</f>
        <v>0</v>
      </c>
      <c r="L1060" s="88">
        <f>SUMIF(月間集計シート!$M$29:$M$48,$G1060,月間集計シート!P$29:P$48)*L$2</f>
        <v>0</v>
      </c>
      <c r="M1060" s="88">
        <f>SUMIF(月間集計シート!$M$29:$M$48,$G1060,月間集計シート!Q$29:Q$48)*M$2</f>
        <v>0</v>
      </c>
      <c r="N1060" s="88">
        <f>SUMIF(月間集計シート!$M$29:$M$48,$G1060,月間集計シート!R$29:R$48)*N$2</f>
        <v>0</v>
      </c>
      <c r="O1060" s="88">
        <f>SUMIF(月間集計シート!$M$29:$M$48,$G1060,月間集計シート!S$29:S$48)*O$2</f>
        <v>0</v>
      </c>
      <c r="P1060" s="88">
        <f>SUMIF(月間集計シート!$M$29:$M$48,$G1060,月間集計シート!T$29:T$48)*P$2</f>
        <v>0</v>
      </c>
      <c r="Q1060" s="88">
        <f>SUMIF(月間集計シート!$M$50:$M$69,$G1060,月間集計シート!N$50:N$69)*Q$2</f>
        <v>0</v>
      </c>
      <c r="R1060" s="88">
        <f>SUMIF(月間集計シート!$M$50:$M$69,$G1060,月間集計シート!O$50:O$69)*R$2</f>
        <v>0</v>
      </c>
      <c r="S1060" s="88">
        <f>SUMIF(月間集計シート!$M$50:$M$69,$G1060,月間集計シート!P$50:P$69)*S$2</f>
        <v>0</v>
      </c>
      <c r="T1060" s="88">
        <f>SUMIF(月間集計シート!$M$50:$M$69,$G1060,月間集計シート!Q$50:Q$69)*T$2</f>
        <v>0</v>
      </c>
      <c r="U1060" s="88">
        <f>SUMIF(月間集計シート!$M$50:$M$69,$G1060,月間集計シート!R$50:R$69)*U$2</f>
        <v>0</v>
      </c>
      <c r="V1060" s="88">
        <f>SUMIF(月間集計シート!$M$50:$M$69,$G1060,月間集計シート!S$50:S$69)*V$2</f>
        <v>0</v>
      </c>
      <c r="W1060" s="88">
        <f>SUMIF(月間集計シート!$M$50:$M$69,$G1060,月間集計シート!T$50:T$69)*W$2</f>
        <v>0</v>
      </c>
      <c r="X1060" s="88">
        <f>SUMIF(月間集計シート!$M$71:$M$90,$G1060,月間集計シート!N$71:N$90)*X$2</f>
        <v>0</v>
      </c>
      <c r="Y1060" s="88">
        <f>SUMIF(月間集計シート!$M$71:$M$90,$G1060,月間集計シート!O$71:O$90)*Y$2</f>
        <v>0</v>
      </c>
      <c r="Z1060" s="88">
        <f>SUMIF(月間集計シート!$M$71:$M$90,$G1060,月間集計シート!P$71:P$90)*Z$2</f>
        <v>0</v>
      </c>
      <c r="AA1060" s="88">
        <f>SUMIF(月間集計シート!$M$71:$M$90,$G1060,月間集計シート!Q$71:Q$90)*AA$2</f>
        <v>0</v>
      </c>
      <c r="AB1060" s="88">
        <f>SUMIF(月間集計シート!$M$71:$M$90,$G1060,月間集計シート!R$71:R$90)*AB$2</f>
        <v>0</v>
      </c>
      <c r="AC1060" s="88">
        <f>SUMIF(月間集計シート!$M$71:$M$90,$G1060,月間集計シート!S$71:S$90)*AC$2</f>
        <v>0</v>
      </c>
      <c r="AD1060" s="88">
        <f>SUMIF(月間集計シート!$M$71:$M$90,$G1060,月間集計シート!T$71:T$90)*AD$2</f>
        <v>0</v>
      </c>
      <c r="AE1060" s="88">
        <f>SUMIF(月間集計シート!$M$92:$M$111,$G1060,月間集計シート!N$92:N$111)*AE$2</f>
        <v>0</v>
      </c>
      <c r="AF1060" s="88">
        <f>SUMIF(月間集計シート!$M$92:$M$111,$G1060,月間集計シート!O$92:O$111)*AF$2</f>
        <v>0</v>
      </c>
      <c r="AG1060" s="88">
        <f>SUMIF(月間集計シート!$M$92:$M$111,$G1060,月間集計シート!P$92:P$111)*AG$2</f>
        <v>0</v>
      </c>
      <c r="AH1060" s="88">
        <f>SUMIF(月間集計シート!$M$92:$M$111,$G1060,月間集計シート!Q$92:Q$111)*AH$2</f>
        <v>0</v>
      </c>
      <c r="AI1060" s="88">
        <f>SUMIF(月間集計シート!$M$92:$M$111,$G1060,月間集計シート!R$92:R$111)*AI$2</f>
        <v>0</v>
      </c>
      <c r="AJ1060" s="88">
        <f>SUMIF(月間集計シート!$M$92:$M$111,$G1060,月間集計シート!S$92:S$111)*AJ$2</f>
        <v>0</v>
      </c>
      <c r="AK1060" s="88">
        <f>SUMIF(月間集計シート!$M$92:$M$111,$G1060,月間集計シート!T$92:T$111)*AK$2</f>
        <v>0</v>
      </c>
      <c r="AL1060" s="88">
        <f>SUMIF(月間集計シート!$M$113:$M$132,$G1060,月間集計シート!N$113:N$132)*AL$2</f>
        <v>0</v>
      </c>
      <c r="AM1060" s="88">
        <f>SUMIF(月間集計シート!$M$113:$M$132,$G1060,月間集計シート!O$113:O$132)*AM$2</f>
        <v>0</v>
      </c>
      <c r="AN1060" s="88">
        <f>SUMIF(月間集計シート!$M$113:$M$132,$G1060,月間集計シート!P$113:P$132)*AN$2</f>
        <v>0</v>
      </c>
      <c r="AO1060" s="88">
        <f>SUMIF(月間集計シート!$M$113:$M$132,$G1060,月間集計シート!Q$113:Q$132)*AO$2</f>
        <v>0</v>
      </c>
      <c r="AP1060" s="88">
        <f>SUMIF(月間集計シート!$M$113:$M$132,$G1060,月間集計シート!R$113:R$132)*AP$2</f>
        <v>0</v>
      </c>
      <c r="AQ1060" s="88">
        <f>SUMIF(月間集計シート!$M$113:$M$132,$G1060,月間集計シート!S$113:S$132)*AQ$2</f>
        <v>0</v>
      </c>
      <c r="AR1060" s="88">
        <f>SUMIF(月間集計シート!$M$113:$M$132,$G1060,月間集計シート!T$113:T$132)*AR$2</f>
        <v>0</v>
      </c>
      <c r="AS1060" s="88">
        <f>SUMIF(月間集計シート!$M$134:$M$153,$G1060,月間集計シート!N$134:N$153)*AS$2</f>
        <v>0</v>
      </c>
      <c r="AT1060" s="88">
        <f>SUMIF(月間集計シート!$M$134:$M$153,$G1060,月間集計シート!O$134:O$153)*AT$2</f>
        <v>0</v>
      </c>
      <c r="AU1060" s="88">
        <f>SUMIF(月間集計シート!$M$134:$M$153,$G1060,月間集計シート!P$134:P$153)*AU$2</f>
        <v>0</v>
      </c>
      <c r="AV1060" s="88">
        <f>SUMIF(月間集計シート!$M$134:$M$153,$G1060,月間集計シート!Q$134:Q$153)*AV$2</f>
        <v>0</v>
      </c>
      <c r="AW1060" s="88">
        <f>SUMIF(月間集計シート!$M$134:$M$153,$G1060,月間集計シート!R$134:R$153)*AW$2</f>
        <v>0</v>
      </c>
      <c r="AX1060" s="88">
        <f>SUMIF(月間集計シート!$M$134:$M$153,$G1060,月間集計シート!S$134:S$153)*AX$2</f>
        <v>0</v>
      </c>
      <c r="AY1060" s="88">
        <f>SUMIF(月間集計シート!$M$134:$M$153,$G1060,月間集計シート!T$134:T$153)*AY$2</f>
        <v>0</v>
      </c>
    </row>
    <row r="1061" spans="1:51" ht="14.25" thickBot="1">
      <c r="A1061">
        <v>13</v>
      </c>
      <c r="B1061" s="120">
        <f t="shared" si="570"/>
        <v>0</v>
      </c>
      <c r="C1061" s="120" t="str">
        <f t="shared" si="571"/>
        <v/>
      </c>
      <c r="D1061" s="137"/>
      <c r="E1061" s="150" t="str">
        <f>工種!A33</f>
        <v>40111</v>
      </c>
      <c r="F1061" s="119" t="str">
        <f>工種!B33</f>
        <v>テスト：PG修正（手戻り分）</v>
      </c>
      <c r="G1061" s="116" t="str">
        <f t="shared" si="572"/>
        <v>040111</v>
      </c>
      <c r="H1061" s="88">
        <f t="shared" si="569"/>
        <v>0</v>
      </c>
      <c r="I1061" s="132"/>
      <c r="J1061" s="88">
        <f>SUMIF(月間集計シート!$M$29:$M$48,$G1061,月間集計シート!N$29:N$48)*J$2</f>
        <v>0</v>
      </c>
      <c r="K1061" s="88">
        <f>SUMIF(月間集計シート!$M$29:$M$48,$G1061,月間集計シート!O$29:O$48)*K$2</f>
        <v>0</v>
      </c>
      <c r="L1061" s="88">
        <f>SUMIF(月間集計シート!$M$29:$M$48,$G1061,月間集計シート!P$29:P$48)*L$2</f>
        <v>0</v>
      </c>
      <c r="M1061" s="88">
        <f>SUMIF(月間集計シート!$M$29:$M$48,$G1061,月間集計シート!Q$29:Q$48)*M$2</f>
        <v>0</v>
      </c>
      <c r="N1061" s="88">
        <f>SUMIF(月間集計シート!$M$29:$M$48,$G1061,月間集計シート!R$29:R$48)*N$2</f>
        <v>0</v>
      </c>
      <c r="O1061" s="88">
        <f>SUMIF(月間集計シート!$M$29:$M$48,$G1061,月間集計シート!S$29:S$48)*O$2</f>
        <v>0</v>
      </c>
      <c r="P1061" s="88">
        <f>SUMIF(月間集計シート!$M$29:$M$48,$G1061,月間集計シート!T$29:T$48)*P$2</f>
        <v>0</v>
      </c>
      <c r="Q1061" s="88">
        <f>SUMIF(月間集計シート!$M$50:$M$69,$G1061,月間集計シート!N$50:N$69)*Q$2</f>
        <v>0</v>
      </c>
      <c r="R1061" s="88">
        <f>SUMIF(月間集計シート!$M$50:$M$69,$G1061,月間集計シート!O$50:O$69)*R$2</f>
        <v>0</v>
      </c>
      <c r="S1061" s="88">
        <f>SUMIF(月間集計シート!$M$50:$M$69,$G1061,月間集計シート!P$50:P$69)*S$2</f>
        <v>0</v>
      </c>
      <c r="T1061" s="88">
        <f>SUMIF(月間集計シート!$M$50:$M$69,$G1061,月間集計シート!Q$50:Q$69)*T$2</f>
        <v>0</v>
      </c>
      <c r="U1061" s="88">
        <f>SUMIF(月間集計シート!$M$50:$M$69,$G1061,月間集計シート!R$50:R$69)*U$2</f>
        <v>0</v>
      </c>
      <c r="V1061" s="88">
        <f>SUMIF(月間集計シート!$M$50:$M$69,$G1061,月間集計シート!S$50:S$69)*V$2</f>
        <v>0</v>
      </c>
      <c r="W1061" s="88">
        <f>SUMIF(月間集計シート!$M$50:$M$69,$G1061,月間集計シート!T$50:T$69)*W$2</f>
        <v>0</v>
      </c>
      <c r="X1061" s="88">
        <f>SUMIF(月間集計シート!$M$71:$M$90,$G1061,月間集計シート!N$71:N$90)*X$2</f>
        <v>0</v>
      </c>
      <c r="Y1061" s="88">
        <f>SUMIF(月間集計シート!$M$71:$M$90,$G1061,月間集計シート!O$71:O$90)*Y$2</f>
        <v>0</v>
      </c>
      <c r="Z1061" s="88">
        <f>SUMIF(月間集計シート!$M$71:$M$90,$G1061,月間集計シート!P$71:P$90)*Z$2</f>
        <v>0</v>
      </c>
      <c r="AA1061" s="88">
        <f>SUMIF(月間集計シート!$M$71:$M$90,$G1061,月間集計シート!Q$71:Q$90)*AA$2</f>
        <v>0</v>
      </c>
      <c r="AB1061" s="88">
        <f>SUMIF(月間集計シート!$M$71:$M$90,$G1061,月間集計シート!R$71:R$90)*AB$2</f>
        <v>0</v>
      </c>
      <c r="AC1061" s="88">
        <f>SUMIF(月間集計シート!$M$71:$M$90,$G1061,月間集計シート!S$71:S$90)*AC$2</f>
        <v>0</v>
      </c>
      <c r="AD1061" s="88">
        <f>SUMIF(月間集計シート!$M$71:$M$90,$G1061,月間集計シート!T$71:T$90)*AD$2</f>
        <v>0</v>
      </c>
      <c r="AE1061" s="88">
        <f>SUMIF(月間集計シート!$M$92:$M$111,$G1061,月間集計シート!N$92:N$111)*AE$2</f>
        <v>0</v>
      </c>
      <c r="AF1061" s="88">
        <f>SUMIF(月間集計シート!$M$92:$M$111,$G1061,月間集計シート!O$92:O$111)*AF$2</f>
        <v>0</v>
      </c>
      <c r="AG1061" s="88">
        <f>SUMIF(月間集計シート!$M$92:$M$111,$G1061,月間集計シート!P$92:P$111)*AG$2</f>
        <v>0</v>
      </c>
      <c r="AH1061" s="88">
        <f>SUMIF(月間集計シート!$M$92:$M$111,$G1061,月間集計シート!Q$92:Q$111)*AH$2</f>
        <v>0</v>
      </c>
      <c r="AI1061" s="88">
        <f>SUMIF(月間集計シート!$M$92:$M$111,$G1061,月間集計シート!R$92:R$111)*AI$2</f>
        <v>0</v>
      </c>
      <c r="AJ1061" s="88">
        <f>SUMIF(月間集計シート!$M$92:$M$111,$G1061,月間集計シート!S$92:S$111)*AJ$2</f>
        <v>0</v>
      </c>
      <c r="AK1061" s="88">
        <f>SUMIF(月間集計シート!$M$92:$M$111,$G1061,月間集計シート!T$92:T$111)*AK$2</f>
        <v>0</v>
      </c>
      <c r="AL1061" s="88">
        <f>SUMIF(月間集計シート!$M$113:$M$132,$G1061,月間集計シート!N$113:N$132)*AL$2</f>
        <v>0</v>
      </c>
      <c r="AM1061" s="88">
        <f>SUMIF(月間集計シート!$M$113:$M$132,$G1061,月間集計シート!O$113:O$132)*AM$2</f>
        <v>0</v>
      </c>
      <c r="AN1061" s="88">
        <f>SUMIF(月間集計シート!$M$113:$M$132,$G1061,月間集計シート!P$113:P$132)*AN$2</f>
        <v>0</v>
      </c>
      <c r="AO1061" s="88">
        <f>SUMIF(月間集計シート!$M$113:$M$132,$G1061,月間集計シート!Q$113:Q$132)*AO$2</f>
        <v>0</v>
      </c>
      <c r="AP1061" s="88">
        <f>SUMIF(月間集計シート!$M$113:$M$132,$G1061,月間集計シート!R$113:R$132)*AP$2</f>
        <v>0</v>
      </c>
      <c r="AQ1061" s="88">
        <f>SUMIF(月間集計シート!$M$113:$M$132,$G1061,月間集計シート!S$113:S$132)*AQ$2</f>
        <v>0</v>
      </c>
      <c r="AR1061" s="88">
        <f>SUMIF(月間集計シート!$M$113:$M$132,$G1061,月間集計シート!T$113:T$132)*AR$2</f>
        <v>0</v>
      </c>
      <c r="AS1061" s="88">
        <f>SUMIF(月間集計シート!$M$134:$M$153,$G1061,月間集計シート!N$134:N$153)*AS$2</f>
        <v>0</v>
      </c>
      <c r="AT1061" s="88">
        <f>SUMIF(月間集計シート!$M$134:$M$153,$G1061,月間集計シート!O$134:O$153)*AT$2</f>
        <v>0</v>
      </c>
      <c r="AU1061" s="88">
        <f>SUMIF(月間集計シート!$M$134:$M$153,$G1061,月間集計シート!P$134:P$153)*AU$2</f>
        <v>0</v>
      </c>
      <c r="AV1061" s="88">
        <f>SUMIF(月間集計シート!$M$134:$M$153,$G1061,月間集計シート!Q$134:Q$153)*AV$2</f>
        <v>0</v>
      </c>
      <c r="AW1061" s="88">
        <f>SUMIF(月間集計シート!$M$134:$M$153,$G1061,月間集計シート!R$134:R$153)*AW$2</f>
        <v>0</v>
      </c>
      <c r="AX1061" s="88">
        <f>SUMIF(月間集計シート!$M$134:$M$153,$G1061,月間集計シート!S$134:S$153)*AX$2</f>
        <v>0</v>
      </c>
      <c r="AY1061" s="88">
        <f>SUMIF(月間集計シート!$M$134:$M$153,$G1061,月間集計シート!T$134:T$153)*AY$2</f>
        <v>0</v>
      </c>
    </row>
    <row r="1062" spans="1:51" ht="14.25" thickBot="1">
      <c r="A1062">
        <v>13</v>
      </c>
      <c r="B1062" s="120">
        <f t="shared" si="570"/>
        <v>0</v>
      </c>
      <c r="C1062" s="120" t="str">
        <f t="shared" si="571"/>
        <v/>
      </c>
      <c r="D1062" s="137"/>
      <c r="E1062" s="150" t="str">
        <f>工種!A34</f>
        <v>40112</v>
      </c>
      <c r="F1062" s="119" t="str">
        <f>工種!B34</f>
        <v>テスト：再テスト（手戻り分）</v>
      </c>
      <c r="G1062" s="116" t="str">
        <f t="shared" si="572"/>
        <v>040112</v>
      </c>
      <c r="H1062" s="88">
        <f t="shared" si="569"/>
        <v>0</v>
      </c>
      <c r="I1062" s="132"/>
      <c r="J1062" s="88">
        <f>SUMIF(月間集計シート!$M$29:$M$48,$G1062,月間集計シート!N$29:N$48)*J$2</f>
        <v>0</v>
      </c>
      <c r="K1062" s="88">
        <f>SUMIF(月間集計シート!$M$29:$M$48,$G1062,月間集計シート!O$29:O$48)*K$2</f>
        <v>0</v>
      </c>
      <c r="L1062" s="88">
        <f>SUMIF(月間集計シート!$M$29:$M$48,$G1062,月間集計シート!P$29:P$48)*L$2</f>
        <v>0</v>
      </c>
      <c r="M1062" s="88">
        <f>SUMIF(月間集計シート!$M$29:$M$48,$G1062,月間集計シート!Q$29:Q$48)*M$2</f>
        <v>0</v>
      </c>
      <c r="N1062" s="88">
        <f>SUMIF(月間集計シート!$M$29:$M$48,$G1062,月間集計シート!R$29:R$48)*N$2</f>
        <v>0</v>
      </c>
      <c r="O1062" s="88">
        <f>SUMIF(月間集計シート!$M$29:$M$48,$G1062,月間集計シート!S$29:S$48)*O$2</f>
        <v>0</v>
      </c>
      <c r="P1062" s="88">
        <f>SUMIF(月間集計シート!$M$29:$M$48,$G1062,月間集計シート!T$29:T$48)*P$2</f>
        <v>0</v>
      </c>
      <c r="Q1062" s="88">
        <f>SUMIF(月間集計シート!$M$50:$M$69,$G1062,月間集計シート!N$50:N$69)*Q$2</f>
        <v>0</v>
      </c>
      <c r="R1062" s="88">
        <f>SUMIF(月間集計シート!$M$50:$M$69,$G1062,月間集計シート!O$50:O$69)*R$2</f>
        <v>0</v>
      </c>
      <c r="S1062" s="88">
        <f>SUMIF(月間集計シート!$M$50:$M$69,$G1062,月間集計シート!P$50:P$69)*S$2</f>
        <v>0</v>
      </c>
      <c r="T1062" s="88">
        <f>SUMIF(月間集計シート!$M$50:$M$69,$G1062,月間集計シート!Q$50:Q$69)*T$2</f>
        <v>0</v>
      </c>
      <c r="U1062" s="88">
        <f>SUMIF(月間集計シート!$M$50:$M$69,$G1062,月間集計シート!R$50:R$69)*U$2</f>
        <v>0</v>
      </c>
      <c r="V1062" s="88">
        <f>SUMIF(月間集計シート!$M$50:$M$69,$G1062,月間集計シート!S$50:S$69)*V$2</f>
        <v>0</v>
      </c>
      <c r="W1062" s="88">
        <f>SUMIF(月間集計シート!$M$50:$M$69,$G1062,月間集計シート!T$50:T$69)*W$2</f>
        <v>0</v>
      </c>
      <c r="X1062" s="88">
        <f>SUMIF(月間集計シート!$M$71:$M$90,$G1062,月間集計シート!N$71:N$90)*X$2</f>
        <v>0</v>
      </c>
      <c r="Y1062" s="88">
        <f>SUMIF(月間集計シート!$M$71:$M$90,$G1062,月間集計シート!O$71:O$90)*Y$2</f>
        <v>0</v>
      </c>
      <c r="Z1062" s="88">
        <f>SUMIF(月間集計シート!$M$71:$M$90,$G1062,月間集計シート!P$71:P$90)*Z$2</f>
        <v>0</v>
      </c>
      <c r="AA1062" s="88">
        <f>SUMIF(月間集計シート!$M$71:$M$90,$G1062,月間集計シート!Q$71:Q$90)*AA$2</f>
        <v>0</v>
      </c>
      <c r="AB1062" s="88">
        <f>SUMIF(月間集計シート!$M$71:$M$90,$G1062,月間集計シート!R$71:R$90)*AB$2</f>
        <v>0</v>
      </c>
      <c r="AC1062" s="88">
        <f>SUMIF(月間集計シート!$M$71:$M$90,$G1062,月間集計シート!S$71:S$90)*AC$2</f>
        <v>0</v>
      </c>
      <c r="AD1062" s="88">
        <f>SUMIF(月間集計シート!$M$71:$M$90,$G1062,月間集計シート!T$71:T$90)*AD$2</f>
        <v>0</v>
      </c>
      <c r="AE1062" s="88">
        <f>SUMIF(月間集計シート!$M$92:$M$111,$G1062,月間集計シート!N$92:N$111)*AE$2</f>
        <v>0</v>
      </c>
      <c r="AF1062" s="88">
        <f>SUMIF(月間集計シート!$M$92:$M$111,$G1062,月間集計シート!O$92:O$111)*AF$2</f>
        <v>0</v>
      </c>
      <c r="AG1062" s="88">
        <f>SUMIF(月間集計シート!$M$92:$M$111,$G1062,月間集計シート!P$92:P$111)*AG$2</f>
        <v>0</v>
      </c>
      <c r="AH1062" s="88">
        <f>SUMIF(月間集計シート!$M$92:$M$111,$G1062,月間集計シート!Q$92:Q$111)*AH$2</f>
        <v>0</v>
      </c>
      <c r="AI1062" s="88">
        <f>SUMIF(月間集計シート!$M$92:$M$111,$G1062,月間集計シート!R$92:R$111)*AI$2</f>
        <v>0</v>
      </c>
      <c r="AJ1062" s="88">
        <f>SUMIF(月間集計シート!$M$92:$M$111,$G1062,月間集計シート!S$92:S$111)*AJ$2</f>
        <v>0</v>
      </c>
      <c r="AK1062" s="88">
        <f>SUMIF(月間集計シート!$M$92:$M$111,$G1062,月間集計シート!T$92:T$111)*AK$2</f>
        <v>0</v>
      </c>
      <c r="AL1062" s="88">
        <f>SUMIF(月間集計シート!$M$113:$M$132,$G1062,月間集計シート!N$113:N$132)*AL$2</f>
        <v>0</v>
      </c>
      <c r="AM1062" s="88">
        <f>SUMIF(月間集計シート!$M$113:$M$132,$G1062,月間集計シート!O$113:O$132)*AM$2</f>
        <v>0</v>
      </c>
      <c r="AN1062" s="88">
        <f>SUMIF(月間集計シート!$M$113:$M$132,$G1062,月間集計シート!P$113:P$132)*AN$2</f>
        <v>0</v>
      </c>
      <c r="AO1062" s="88">
        <f>SUMIF(月間集計シート!$M$113:$M$132,$G1062,月間集計シート!Q$113:Q$132)*AO$2</f>
        <v>0</v>
      </c>
      <c r="AP1062" s="88">
        <f>SUMIF(月間集計シート!$M$113:$M$132,$G1062,月間集計シート!R$113:R$132)*AP$2</f>
        <v>0</v>
      </c>
      <c r="AQ1062" s="88">
        <f>SUMIF(月間集計シート!$M$113:$M$132,$G1062,月間集計シート!S$113:S$132)*AQ$2</f>
        <v>0</v>
      </c>
      <c r="AR1062" s="88">
        <f>SUMIF(月間集計シート!$M$113:$M$132,$G1062,月間集計シート!T$113:T$132)*AR$2</f>
        <v>0</v>
      </c>
      <c r="AS1062" s="88">
        <f>SUMIF(月間集計シート!$M$134:$M$153,$G1062,月間集計シート!N$134:N$153)*AS$2</f>
        <v>0</v>
      </c>
      <c r="AT1062" s="88">
        <f>SUMIF(月間集計シート!$M$134:$M$153,$G1062,月間集計シート!O$134:O$153)*AT$2</f>
        <v>0</v>
      </c>
      <c r="AU1062" s="88">
        <f>SUMIF(月間集計シート!$M$134:$M$153,$G1062,月間集計シート!P$134:P$153)*AU$2</f>
        <v>0</v>
      </c>
      <c r="AV1062" s="88">
        <f>SUMIF(月間集計シート!$M$134:$M$153,$G1062,月間集計シート!Q$134:Q$153)*AV$2</f>
        <v>0</v>
      </c>
      <c r="AW1062" s="88">
        <f>SUMIF(月間集計シート!$M$134:$M$153,$G1062,月間集計シート!R$134:R$153)*AW$2</f>
        <v>0</v>
      </c>
      <c r="AX1062" s="88">
        <f>SUMIF(月間集計シート!$M$134:$M$153,$G1062,月間集計シート!S$134:S$153)*AX$2</f>
        <v>0</v>
      </c>
      <c r="AY1062" s="88">
        <f>SUMIF(月間集計シート!$M$134:$M$153,$G1062,月間集計シート!T$134:T$153)*AY$2</f>
        <v>0</v>
      </c>
    </row>
    <row r="1063" spans="1:51" ht="14.25" thickBot="1">
      <c r="A1063">
        <v>13</v>
      </c>
      <c r="B1063" s="120">
        <f t="shared" si="570"/>
        <v>0</v>
      </c>
      <c r="C1063" s="120" t="str">
        <f t="shared" si="571"/>
        <v/>
      </c>
      <c r="D1063" s="137"/>
      <c r="E1063" s="150" t="str">
        <f>工種!A35</f>
        <v>40113</v>
      </c>
      <c r="F1063" s="119" t="str">
        <f>工種!B35</f>
        <v>テスト：QA対応</v>
      </c>
      <c r="G1063" s="116" t="str">
        <f t="shared" si="572"/>
        <v>040113</v>
      </c>
      <c r="H1063" s="88">
        <f t="shared" si="569"/>
        <v>0</v>
      </c>
      <c r="I1063" s="132"/>
      <c r="J1063" s="88">
        <f>SUMIF(月間集計シート!$M$29:$M$48,$G1063,月間集計シート!N$29:N$48)*J$2</f>
        <v>0</v>
      </c>
      <c r="K1063" s="88">
        <f>SUMIF(月間集計シート!$M$29:$M$48,$G1063,月間集計シート!O$29:O$48)*K$2</f>
        <v>0</v>
      </c>
      <c r="L1063" s="88">
        <f>SUMIF(月間集計シート!$M$29:$M$48,$G1063,月間集計シート!P$29:P$48)*L$2</f>
        <v>0</v>
      </c>
      <c r="M1063" s="88">
        <f>SUMIF(月間集計シート!$M$29:$M$48,$G1063,月間集計シート!Q$29:Q$48)*M$2</f>
        <v>0</v>
      </c>
      <c r="N1063" s="88">
        <f>SUMIF(月間集計シート!$M$29:$M$48,$G1063,月間集計シート!R$29:R$48)*N$2</f>
        <v>0</v>
      </c>
      <c r="O1063" s="88">
        <f>SUMIF(月間集計シート!$M$29:$M$48,$G1063,月間集計シート!S$29:S$48)*O$2</f>
        <v>0</v>
      </c>
      <c r="P1063" s="88">
        <f>SUMIF(月間集計シート!$M$29:$M$48,$G1063,月間集計シート!T$29:T$48)*P$2</f>
        <v>0</v>
      </c>
      <c r="Q1063" s="88">
        <f>SUMIF(月間集計シート!$M$50:$M$69,$G1063,月間集計シート!N$50:N$69)*Q$2</f>
        <v>0</v>
      </c>
      <c r="R1063" s="88">
        <f>SUMIF(月間集計シート!$M$50:$M$69,$G1063,月間集計シート!O$50:O$69)*R$2</f>
        <v>0</v>
      </c>
      <c r="S1063" s="88">
        <f>SUMIF(月間集計シート!$M$50:$M$69,$G1063,月間集計シート!P$50:P$69)*S$2</f>
        <v>0</v>
      </c>
      <c r="T1063" s="88">
        <f>SUMIF(月間集計シート!$M$50:$M$69,$G1063,月間集計シート!Q$50:Q$69)*T$2</f>
        <v>0</v>
      </c>
      <c r="U1063" s="88">
        <f>SUMIF(月間集計シート!$M$50:$M$69,$G1063,月間集計シート!R$50:R$69)*U$2</f>
        <v>0</v>
      </c>
      <c r="V1063" s="88">
        <f>SUMIF(月間集計シート!$M$50:$M$69,$G1063,月間集計シート!S$50:S$69)*V$2</f>
        <v>0</v>
      </c>
      <c r="W1063" s="88">
        <f>SUMIF(月間集計シート!$M$50:$M$69,$G1063,月間集計シート!T$50:T$69)*W$2</f>
        <v>0</v>
      </c>
      <c r="X1063" s="88">
        <f>SUMIF(月間集計シート!$M$71:$M$90,$G1063,月間集計シート!N$71:N$90)*X$2</f>
        <v>0</v>
      </c>
      <c r="Y1063" s="88">
        <f>SUMIF(月間集計シート!$M$71:$M$90,$G1063,月間集計シート!O$71:O$90)*Y$2</f>
        <v>0</v>
      </c>
      <c r="Z1063" s="88">
        <f>SUMIF(月間集計シート!$M$71:$M$90,$G1063,月間集計シート!P$71:P$90)*Z$2</f>
        <v>0</v>
      </c>
      <c r="AA1063" s="88">
        <f>SUMIF(月間集計シート!$M$71:$M$90,$G1063,月間集計シート!Q$71:Q$90)*AA$2</f>
        <v>0</v>
      </c>
      <c r="AB1063" s="88">
        <f>SUMIF(月間集計シート!$M$71:$M$90,$G1063,月間集計シート!R$71:R$90)*AB$2</f>
        <v>0</v>
      </c>
      <c r="AC1063" s="88">
        <f>SUMIF(月間集計シート!$M$71:$M$90,$G1063,月間集計シート!S$71:S$90)*AC$2</f>
        <v>0</v>
      </c>
      <c r="AD1063" s="88">
        <f>SUMIF(月間集計シート!$M$71:$M$90,$G1063,月間集計シート!T$71:T$90)*AD$2</f>
        <v>0</v>
      </c>
      <c r="AE1063" s="88">
        <f>SUMIF(月間集計シート!$M$92:$M$111,$G1063,月間集計シート!N$92:N$111)*AE$2</f>
        <v>0</v>
      </c>
      <c r="AF1063" s="88">
        <f>SUMIF(月間集計シート!$M$92:$M$111,$G1063,月間集計シート!O$92:O$111)*AF$2</f>
        <v>0</v>
      </c>
      <c r="AG1063" s="88">
        <f>SUMIF(月間集計シート!$M$92:$M$111,$G1063,月間集計シート!P$92:P$111)*AG$2</f>
        <v>0</v>
      </c>
      <c r="AH1063" s="88">
        <f>SUMIF(月間集計シート!$M$92:$M$111,$G1063,月間集計シート!Q$92:Q$111)*AH$2</f>
        <v>0</v>
      </c>
      <c r="AI1063" s="88">
        <f>SUMIF(月間集計シート!$M$92:$M$111,$G1063,月間集計シート!R$92:R$111)*AI$2</f>
        <v>0</v>
      </c>
      <c r="AJ1063" s="88">
        <f>SUMIF(月間集計シート!$M$92:$M$111,$G1063,月間集計シート!S$92:S$111)*AJ$2</f>
        <v>0</v>
      </c>
      <c r="AK1063" s="88">
        <f>SUMIF(月間集計シート!$M$92:$M$111,$G1063,月間集計シート!T$92:T$111)*AK$2</f>
        <v>0</v>
      </c>
      <c r="AL1063" s="88">
        <f>SUMIF(月間集計シート!$M$113:$M$132,$G1063,月間集計シート!N$113:N$132)*AL$2</f>
        <v>0</v>
      </c>
      <c r="AM1063" s="88">
        <f>SUMIF(月間集計シート!$M$113:$M$132,$G1063,月間集計シート!O$113:O$132)*AM$2</f>
        <v>0</v>
      </c>
      <c r="AN1063" s="88">
        <f>SUMIF(月間集計シート!$M$113:$M$132,$G1063,月間集計シート!P$113:P$132)*AN$2</f>
        <v>0</v>
      </c>
      <c r="AO1063" s="88">
        <f>SUMIF(月間集計シート!$M$113:$M$132,$G1063,月間集計シート!Q$113:Q$132)*AO$2</f>
        <v>0</v>
      </c>
      <c r="AP1063" s="88">
        <f>SUMIF(月間集計シート!$M$113:$M$132,$G1063,月間集計シート!R$113:R$132)*AP$2</f>
        <v>0</v>
      </c>
      <c r="AQ1063" s="88">
        <f>SUMIF(月間集計シート!$M$113:$M$132,$G1063,月間集計シート!S$113:S$132)*AQ$2</f>
        <v>0</v>
      </c>
      <c r="AR1063" s="88">
        <f>SUMIF(月間集計シート!$M$113:$M$132,$G1063,月間集計シート!T$113:T$132)*AR$2</f>
        <v>0</v>
      </c>
      <c r="AS1063" s="88">
        <f>SUMIF(月間集計シート!$M$134:$M$153,$G1063,月間集計シート!N$134:N$153)*AS$2</f>
        <v>0</v>
      </c>
      <c r="AT1063" s="88">
        <f>SUMIF(月間集計シート!$M$134:$M$153,$G1063,月間集計シート!O$134:O$153)*AT$2</f>
        <v>0</v>
      </c>
      <c r="AU1063" s="88">
        <f>SUMIF(月間集計シート!$M$134:$M$153,$G1063,月間集計シート!P$134:P$153)*AU$2</f>
        <v>0</v>
      </c>
      <c r="AV1063" s="88">
        <f>SUMIF(月間集計シート!$M$134:$M$153,$G1063,月間集計シート!Q$134:Q$153)*AV$2</f>
        <v>0</v>
      </c>
      <c r="AW1063" s="88">
        <f>SUMIF(月間集計シート!$M$134:$M$153,$G1063,月間集計シート!R$134:R$153)*AW$2</f>
        <v>0</v>
      </c>
      <c r="AX1063" s="88">
        <f>SUMIF(月間集計シート!$M$134:$M$153,$G1063,月間集計シート!S$134:S$153)*AX$2</f>
        <v>0</v>
      </c>
      <c r="AY1063" s="88">
        <f>SUMIF(月間集計シート!$M$134:$M$153,$G1063,月間集計シート!T$134:T$153)*AY$2</f>
        <v>0</v>
      </c>
    </row>
    <row r="1064" spans="1:51" ht="14.25" thickBot="1">
      <c r="A1064">
        <v>13</v>
      </c>
      <c r="B1064" s="120">
        <f t="shared" si="570"/>
        <v>0</v>
      </c>
      <c r="C1064" s="120" t="str">
        <f t="shared" si="571"/>
        <v/>
      </c>
      <c r="D1064" s="137"/>
      <c r="E1064" s="150" t="str">
        <f>工種!A36</f>
        <v>40189</v>
      </c>
      <c r="F1064" s="119" t="str">
        <f>工種!B36</f>
        <v>テスト：内部不具合分析</v>
      </c>
      <c r="G1064" s="116" t="str">
        <f t="shared" si="572"/>
        <v>040189</v>
      </c>
      <c r="H1064" s="88">
        <f t="shared" si="569"/>
        <v>0</v>
      </c>
      <c r="I1064" s="132"/>
      <c r="J1064" s="88">
        <f>SUMIF(月間集計シート!$M$29:$M$48,$G1064,月間集計シート!N$29:N$48)*J$2</f>
        <v>0</v>
      </c>
      <c r="K1064" s="88">
        <f>SUMIF(月間集計シート!$M$29:$M$48,$G1064,月間集計シート!O$29:O$48)*K$2</f>
        <v>0</v>
      </c>
      <c r="L1064" s="88">
        <f>SUMIF(月間集計シート!$M$29:$M$48,$G1064,月間集計シート!P$29:P$48)*L$2</f>
        <v>0</v>
      </c>
      <c r="M1064" s="88">
        <f>SUMIF(月間集計シート!$M$29:$M$48,$G1064,月間集計シート!Q$29:Q$48)*M$2</f>
        <v>0</v>
      </c>
      <c r="N1064" s="88">
        <f>SUMIF(月間集計シート!$M$29:$M$48,$G1064,月間集計シート!R$29:R$48)*N$2</f>
        <v>0</v>
      </c>
      <c r="O1064" s="88">
        <f>SUMIF(月間集計シート!$M$29:$M$48,$G1064,月間集計シート!S$29:S$48)*O$2</f>
        <v>0</v>
      </c>
      <c r="P1064" s="88">
        <f>SUMIF(月間集計シート!$M$29:$M$48,$G1064,月間集計シート!T$29:T$48)*P$2</f>
        <v>0</v>
      </c>
      <c r="Q1064" s="88">
        <f>SUMIF(月間集計シート!$M$50:$M$69,$G1064,月間集計シート!N$50:N$69)*Q$2</f>
        <v>0</v>
      </c>
      <c r="R1064" s="88">
        <f>SUMIF(月間集計シート!$M$50:$M$69,$G1064,月間集計シート!O$50:O$69)*R$2</f>
        <v>0</v>
      </c>
      <c r="S1064" s="88">
        <f>SUMIF(月間集計シート!$M$50:$M$69,$G1064,月間集計シート!P$50:P$69)*S$2</f>
        <v>0</v>
      </c>
      <c r="T1064" s="88">
        <f>SUMIF(月間集計シート!$M$50:$M$69,$G1064,月間集計シート!Q$50:Q$69)*T$2</f>
        <v>0</v>
      </c>
      <c r="U1064" s="88">
        <f>SUMIF(月間集計シート!$M$50:$M$69,$G1064,月間集計シート!R$50:R$69)*U$2</f>
        <v>0</v>
      </c>
      <c r="V1064" s="88">
        <f>SUMIF(月間集計シート!$M$50:$M$69,$G1064,月間集計シート!S$50:S$69)*V$2</f>
        <v>0</v>
      </c>
      <c r="W1064" s="88">
        <f>SUMIF(月間集計シート!$M$50:$M$69,$G1064,月間集計シート!T$50:T$69)*W$2</f>
        <v>0</v>
      </c>
      <c r="X1064" s="88">
        <f>SUMIF(月間集計シート!$M$71:$M$90,$G1064,月間集計シート!N$71:N$90)*X$2</f>
        <v>0</v>
      </c>
      <c r="Y1064" s="88">
        <f>SUMIF(月間集計シート!$M$71:$M$90,$G1064,月間集計シート!O$71:O$90)*Y$2</f>
        <v>0</v>
      </c>
      <c r="Z1064" s="88">
        <f>SUMIF(月間集計シート!$M$71:$M$90,$G1064,月間集計シート!P$71:P$90)*Z$2</f>
        <v>0</v>
      </c>
      <c r="AA1064" s="88">
        <f>SUMIF(月間集計シート!$M$71:$M$90,$G1064,月間集計シート!Q$71:Q$90)*AA$2</f>
        <v>0</v>
      </c>
      <c r="AB1064" s="88">
        <f>SUMIF(月間集計シート!$M$71:$M$90,$G1064,月間集計シート!R$71:R$90)*AB$2</f>
        <v>0</v>
      </c>
      <c r="AC1064" s="88">
        <f>SUMIF(月間集計シート!$M$71:$M$90,$G1064,月間集計シート!S$71:S$90)*AC$2</f>
        <v>0</v>
      </c>
      <c r="AD1064" s="88">
        <f>SUMIF(月間集計シート!$M$71:$M$90,$G1064,月間集計シート!T$71:T$90)*AD$2</f>
        <v>0</v>
      </c>
      <c r="AE1064" s="88">
        <f>SUMIF(月間集計シート!$M$92:$M$111,$G1064,月間集計シート!N$92:N$111)*AE$2</f>
        <v>0</v>
      </c>
      <c r="AF1064" s="88">
        <f>SUMIF(月間集計シート!$M$92:$M$111,$G1064,月間集計シート!O$92:O$111)*AF$2</f>
        <v>0</v>
      </c>
      <c r="AG1064" s="88">
        <f>SUMIF(月間集計シート!$M$92:$M$111,$G1064,月間集計シート!P$92:P$111)*AG$2</f>
        <v>0</v>
      </c>
      <c r="AH1064" s="88">
        <f>SUMIF(月間集計シート!$M$92:$M$111,$G1064,月間集計シート!Q$92:Q$111)*AH$2</f>
        <v>0</v>
      </c>
      <c r="AI1064" s="88">
        <f>SUMIF(月間集計シート!$M$92:$M$111,$G1064,月間集計シート!R$92:R$111)*AI$2</f>
        <v>0</v>
      </c>
      <c r="AJ1064" s="88">
        <f>SUMIF(月間集計シート!$M$92:$M$111,$G1064,月間集計シート!S$92:S$111)*AJ$2</f>
        <v>0</v>
      </c>
      <c r="AK1064" s="88">
        <f>SUMIF(月間集計シート!$M$92:$M$111,$G1064,月間集計シート!T$92:T$111)*AK$2</f>
        <v>0</v>
      </c>
      <c r="AL1064" s="88">
        <f>SUMIF(月間集計シート!$M$113:$M$132,$G1064,月間集計シート!N$113:N$132)*AL$2</f>
        <v>0</v>
      </c>
      <c r="AM1064" s="88">
        <f>SUMIF(月間集計シート!$M$113:$M$132,$G1064,月間集計シート!O$113:O$132)*AM$2</f>
        <v>0</v>
      </c>
      <c r="AN1064" s="88">
        <f>SUMIF(月間集計シート!$M$113:$M$132,$G1064,月間集計シート!P$113:P$132)*AN$2</f>
        <v>0</v>
      </c>
      <c r="AO1064" s="88">
        <f>SUMIF(月間集計シート!$M$113:$M$132,$G1064,月間集計シート!Q$113:Q$132)*AO$2</f>
        <v>0</v>
      </c>
      <c r="AP1064" s="88">
        <f>SUMIF(月間集計シート!$M$113:$M$132,$G1064,月間集計シート!R$113:R$132)*AP$2</f>
        <v>0</v>
      </c>
      <c r="AQ1064" s="88">
        <f>SUMIF(月間集計シート!$M$113:$M$132,$G1064,月間集計シート!S$113:S$132)*AQ$2</f>
        <v>0</v>
      </c>
      <c r="AR1064" s="88">
        <f>SUMIF(月間集計シート!$M$113:$M$132,$G1064,月間集計シート!T$113:T$132)*AR$2</f>
        <v>0</v>
      </c>
      <c r="AS1064" s="88">
        <f>SUMIF(月間集計シート!$M$134:$M$153,$G1064,月間集計シート!N$134:N$153)*AS$2</f>
        <v>0</v>
      </c>
      <c r="AT1064" s="88">
        <f>SUMIF(月間集計シート!$M$134:$M$153,$G1064,月間集計シート!O$134:O$153)*AT$2</f>
        <v>0</v>
      </c>
      <c r="AU1064" s="88">
        <f>SUMIF(月間集計シート!$M$134:$M$153,$G1064,月間集計シート!P$134:P$153)*AU$2</f>
        <v>0</v>
      </c>
      <c r="AV1064" s="88">
        <f>SUMIF(月間集計シート!$M$134:$M$153,$G1064,月間集計シート!Q$134:Q$153)*AV$2</f>
        <v>0</v>
      </c>
      <c r="AW1064" s="88">
        <f>SUMIF(月間集計シート!$M$134:$M$153,$G1064,月間集計シート!R$134:R$153)*AW$2</f>
        <v>0</v>
      </c>
      <c r="AX1064" s="88">
        <f>SUMIF(月間集計シート!$M$134:$M$153,$G1064,月間集計シート!S$134:S$153)*AX$2</f>
        <v>0</v>
      </c>
      <c r="AY1064" s="88">
        <f>SUMIF(月間集計シート!$M$134:$M$153,$G1064,月間集計シート!T$134:T$153)*AY$2</f>
        <v>0</v>
      </c>
    </row>
    <row r="1065" spans="1:51" ht="14.25" thickBot="1">
      <c r="A1065">
        <v>13</v>
      </c>
      <c r="B1065" s="120">
        <f t="shared" si="570"/>
        <v>0</v>
      </c>
      <c r="C1065" s="120" t="str">
        <f t="shared" si="571"/>
        <v/>
      </c>
      <c r="D1065" s="137"/>
      <c r="E1065" s="150" t="str">
        <f>工種!A37</f>
        <v>40199</v>
      </c>
      <c r="F1065" s="119" t="str">
        <f>工種!B37</f>
        <v>テスト：その他</v>
      </c>
      <c r="G1065" s="116" t="str">
        <f t="shared" si="572"/>
        <v>040199</v>
      </c>
      <c r="H1065" s="88">
        <f t="shared" si="569"/>
        <v>0</v>
      </c>
      <c r="I1065" s="132"/>
      <c r="J1065" s="88">
        <f>SUMIF(月間集計シート!$M$29:$M$48,$G1065,月間集計シート!N$29:N$48)*J$2</f>
        <v>0</v>
      </c>
      <c r="K1065" s="88">
        <f>SUMIF(月間集計シート!$M$29:$M$48,$G1065,月間集計シート!O$29:O$48)*K$2</f>
        <v>0</v>
      </c>
      <c r="L1065" s="88">
        <f>SUMIF(月間集計シート!$M$29:$M$48,$G1065,月間集計シート!P$29:P$48)*L$2</f>
        <v>0</v>
      </c>
      <c r="M1065" s="88">
        <f>SUMIF(月間集計シート!$M$29:$M$48,$G1065,月間集計シート!Q$29:Q$48)*M$2</f>
        <v>0</v>
      </c>
      <c r="N1065" s="88">
        <f>SUMIF(月間集計シート!$M$29:$M$48,$G1065,月間集計シート!R$29:R$48)*N$2</f>
        <v>0</v>
      </c>
      <c r="O1065" s="88">
        <f>SUMIF(月間集計シート!$M$29:$M$48,$G1065,月間集計シート!S$29:S$48)*O$2</f>
        <v>0</v>
      </c>
      <c r="P1065" s="88">
        <f>SUMIF(月間集計シート!$M$29:$M$48,$G1065,月間集計シート!T$29:T$48)*P$2</f>
        <v>0</v>
      </c>
      <c r="Q1065" s="88">
        <f>SUMIF(月間集計シート!$M$50:$M$69,$G1065,月間集計シート!N$50:N$69)*Q$2</f>
        <v>0</v>
      </c>
      <c r="R1065" s="88">
        <f>SUMIF(月間集計シート!$M$50:$M$69,$G1065,月間集計シート!O$50:O$69)*R$2</f>
        <v>0</v>
      </c>
      <c r="S1065" s="88">
        <f>SUMIF(月間集計シート!$M$50:$M$69,$G1065,月間集計シート!P$50:P$69)*S$2</f>
        <v>0</v>
      </c>
      <c r="T1065" s="88">
        <f>SUMIF(月間集計シート!$M$50:$M$69,$G1065,月間集計シート!Q$50:Q$69)*T$2</f>
        <v>0</v>
      </c>
      <c r="U1065" s="88">
        <f>SUMIF(月間集計シート!$M$50:$M$69,$G1065,月間集計シート!R$50:R$69)*U$2</f>
        <v>0</v>
      </c>
      <c r="V1065" s="88">
        <f>SUMIF(月間集計シート!$M$50:$M$69,$G1065,月間集計シート!S$50:S$69)*V$2</f>
        <v>0</v>
      </c>
      <c r="W1065" s="88">
        <f>SUMIF(月間集計シート!$M$50:$M$69,$G1065,月間集計シート!T$50:T$69)*W$2</f>
        <v>0</v>
      </c>
      <c r="X1065" s="88">
        <f>SUMIF(月間集計シート!$M$71:$M$90,$G1065,月間集計シート!N$71:N$90)*X$2</f>
        <v>0</v>
      </c>
      <c r="Y1065" s="88">
        <f>SUMIF(月間集計シート!$M$71:$M$90,$G1065,月間集計シート!O$71:O$90)*Y$2</f>
        <v>0</v>
      </c>
      <c r="Z1065" s="88">
        <f>SUMIF(月間集計シート!$M$71:$M$90,$G1065,月間集計シート!P$71:P$90)*Z$2</f>
        <v>0</v>
      </c>
      <c r="AA1065" s="88">
        <f>SUMIF(月間集計シート!$M$71:$M$90,$G1065,月間集計シート!Q$71:Q$90)*AA$2</f>
        <v>0</v>
      </c>
      <c r="AB1065" s="88">
        <f>SUMIF(月間集計シート!$M$71:$M$90,$G1065,月間集計シート!R$71:R$90)*AB$2</f>
        <v>0</v>
      </c>
      <c r="AC1065" s="88">
        <f>SUMIF(月間集計シート!$M$71:$M$90,$G1065,月間集計シート!S$71:S$90)*AC$2</f>
        <v>0</v>
      </c>
      <c r="AD1065" s="88">
        <f>SUMIF(月間集計シート!$M$71:$M$90,$G1065,月間集計シート!T$71:T$90)*AD$2</f>
        <v>0</v>
      </c>
      <c r="AE1065" s="88">
        <f>SUMIF(月間集計シート!$M$92:$M$111,$G1065,月間集計シート!N$92:N$111)*AE$2</f>
        <v>0</v>
      </c>
      <c r="AF1065" s="88">
        <f>SUMIF(月間集計シート!$M$92:$M$111,$G1065,月間集計シート!O$92:O$111)*AF$2</f>
        <v>0</v>
      </c>
      <c r="AG1065" s="88">
        <f>SUMIF(月間集計シート!$M$92:$M$111,$G1065,月間集計シート!P$92:P$111)*AG$2</f>
        <v>0</v>
      </c>
      <c r="AH1065" s="88">
        <f>SUMIF(月間集計シート!$M$92:$M$111,$G1065,月間集計シート!Q$92:Q$111)*AH$2</f>
        <v>0</v>
      </c>
      <c r="AI1065" s="88">
        <f>SUMIF(月間集計シート!$M$92:$M$111,$G1065,月間集計シート!R$92:R$111)*AI$2</f>
        <v>0</v>
      </c>
      <c r="AJ1065" s="88">
        <f>SUMIF(月間集計シート!$M$92:$M$111,$G1065,月間集計シート!S$92:S$111)*AJ$2</f>
        <v>0</v>
      </c>
      <c r="AK1065" s="88">
        <f>SUMIF(月間集計シート!$M$92:$M$111,$G1065,月間集計シート!T$92:T$111)*AK$2</f>
        <v>0</v>
      </c>
      <c r="AL1065" s="88">
        <f>SUMIF(月間集計シート!$M$113:$M$132,$G1065,月間集計シート!N$113:N$132)*AL$2</f>
        <v>0</v>
      </c>
      <c r="AM1065" s="88">
        <f>SUMIF(月間集計シート!$M$113:$M$132,$G1065,月間集計シート!O$113:O$132)*AM$2</f>
        <v>0</v>
      </c>
      <c r="AN1065" s="88">
        <f>SUMIF(月間集計シート!$M$113:$M$132,$G1065,月間集計シート!P$113:P$132)*AN$2</f>
        <v>0</v>
      </c>
      <c r="AO1065" s="88">
        <f>SUMIF(月間集計シート!$M$113:$M$132,$G1065,月間集計シート!Q$113:Q$132)*AO$2</f>
        <v>0</v>
      </c>
      <c r="AP1065" s="88">
        <f>SUMIF(月間集計シート!$M$113:$M$132,$G1065,月間集計シート!R$113:R$132)*AP$2</f>
        <v>0</v>
      </c>
      <c r="AQ1065" s="88">
        <f>SUMIF(月間集計シート!$M$113:$M$132,$G1065,月間集計シート!S$113:S$132)*AQ$2</f>
        <v>0</v>
      </c>
      <c r="AR1065" s="88">
        <f>SUMIF(月間集計シート!$M$113:$M$132,$G1065,月間集計シート!T$113:T$132)*AR$2</f>
        <v>0</v>
      </c>
      <c r="AS1065" s="88">
        <f>SUMIF(月間集計シート!$M$134:$M$153,$G1065,月間集計シート!N$134:N$153)*AS$2</f>
        <v>0</v>
      </c>
      <c r="AT1065" s="88">
        <f>SUMIF(月間集計シート!$M$134:$M$153,$G1065,月間集計シート!O$134:O$153)*AT$2</f>
        <v>0</v>
      </c>
      <c r="AU1065" s="88">
        <f>SUMIF(月間集計シート!$M$134:$M$153,$G1065,月間集計シート!P$134:P$153)*AU$2</f>
        <v>0</v>
      </c>
      <c r="AV1065" s="88">
        <f>SUMIF(月間集計シート!$M$134:$M$153,$G1065,月間集計シート!Q$134:Q$153)*AV$2</f>
        <v>0</v>
      </c>
      <c r="AW1065" s="88">
        <f>SUMIF(月間集計シート!$M$134:$M$153,$G1065,月間集計シート!R$134:R$153)*AW$2</f>
        <v>0</v>
      </c>
      <c r="AX1065" s="88">
        <f>SUMIF(月間集計シート!$M$134:$M$153,$G1065,月間集計シート!S$134:S$153)*AX$2</f>
        <v>0</v>
      </c>
      <c r="AY1065" s="88">
        <f>SUMIF(月間集計シート!$M$134:$M$153,$G1065,月間集計シート!T$134:T$153)*AY$2</f>
        <v>0</v>
      </c>
    </row>
    <row r="1066" spans="1:51" ht="14.25" thickBot="1">
      <c r="A1066">
        <v>13</v>
      </c>
      <c r="B1066" s="120">
        <f t="shared" si="570"/>
        <v>0</v>
      </c>
      <c r="C1066" s="120" t="str">
        <f t="shared" si="571"/>
        <v/>
      </c>
      <c r="D1066" s="137"/>
      <c r="E1066" s="150" t="str">
        <f>工種!A38</f>
        <v>50101</v>
      </c>
      <c r="F1066" s="119" t="str">
        <f>工種!B38</f>
        <v>ﾏﾆｭｱﾙ作成：原稿作成</v>
      </c>
      <c r="G1066" s="116" t="str">
        <f t="shared" si="572"/>
        <v>050101</v>
      </c>
      <c r="H1066" s="88">
        <f t="shared" si="569"/>
        <v>0</v>
      </c>
      <c r="I1066" s="132"/>
      <c r="J1066" s="88">
        <f>SUMIF(月間集計シート!$M$29:$M$48,$G1066,月間集計シート!N$29:N$48)*J$2</f>
        <v>0</v>
      </c>
      <c r="K1066" s="88">
        <f>SUMIF(月間集計シート!$M$29:$M$48,$G1066,月間集計シート!O$29:O$48)*K$2</f>
        <v>0</v>
      </c>
      <c r="L1066" s="88">
        <f>SUMIF(月間集計シート!$M$29:$M$48,$G1066,月間集計シート!P$29:P$48)*L$2</f>
        <v>0</v>
      </c>
      <c r="M1066" s="88">
        <f>SUMIF(月間集計シート!$M$29:$M$48,$G1066,月間集計シート!Q$29:Q$48)*M$2</f>
        <v>0</v>
      </c>
      <c r="N1066" s="88">
        <f>SUMIF(月間集計シート!$M$29:$M$48,$G1066,月間集計シート!R$29:R$48)*N$2</f>
        <v>0</v>
      </c>
      <c r="O1066" s="88">
        <f>SUMIF(月間集計シート!$M$29:$M$48,$G1066,月間集計シート!S$29:S$48)*O$2</f>
        <v>0</v>
      </c>
      <c r="P1066" s="88">
        <f>SUMIF(月間集計シート!$M$29:$M$48,$G1066,月間集計シート!T$29:T$48)*P$2</f>
        <v>0</v>
      </c>
      <c r="Q1066" s="88">
        <f>SUMIF(月間集計シート!$M$50:$M$69,$G1066,月間集計シート!N$50:N$69)*Q$2</f>
        <v>0</v>
      </c>
      <c r="R1066" s="88">
        <f>SUMIF(月間集計シート!$M$50:$M$69,$G1066,月間集計シート!O$50:O$69)*R$2</f>
        <v>0</v>
      </c>
      <c r="S1066" s="88">
        <f>SUMIF(月間集計シート!$M$50:$M$69,$G1066,月間集計シート!P$50:P$69)*S$2</f>
        <v>0</v>
      </c>
      <c r="T1066" s="88">
        <f>SUMIF(月間集計シート!$M$50:$M$69,$G1066,月間集計シート!Q$50:Q$69)*T$2</f>
        <v>0</v>
      </c>
      <c r="U1066" s="88">
        <f>SUMIF(月間集計シート!$M$50:$M$69,$G1066,月間集計シート!R$50:R$69)*U$2</f>
        <v>0</v>
      </c>
      <c r="V1066" s="88">
        <f>SUMIF(月間集計シート!$M$50:$M$69,$G1066,月間集計シート!S$50:S$69)*V$2</f>
        <v>0</v>
      </c>
      <c r="W1066" s="88">
        <f>SUMIF(月間集計シート!$M$50:$M$69,$G1066,月間集計シート!T$50:T$69)*W$2</f>
        <v>0</v>
      </c>
      <c r="X1066" s="88">
        <f>SUMIF(月間集計シート!$M$71:$M$90,$G1066,月間集計シート!N$71:N$90)*X$2</f>
        <v>0</v>
      </c>
      <c r="Y1066" s="88">
        <f>SUMIF(月間集計シート!$M$71:$M$90,$G1066,月間集計シート!O$71:O$90)*Y$2</f>
        <v>0</v>
      </c>
      <c r="Z1066" s="88">
        <f>SUMIF(月間集計シート!$M$71:$M$90,$G1066,月間集計シート!P$71:P$90)*Z$2</f>
        <v>0</v>
      </c>
      <c r="AA1066" s="88">
        <f>SUMIF(月間集計シート!$M$71:$M$90,$G1066,月間集計シート!Q$71:Q$90)*AA$2</f>
        <v>0</v>
      </c>
      <c r="AB1066" s="88">
        <f>SUMIF(月間集計シート!$M$71:$M$90,$G1066,月間集計シート!R$71:R$90)*AB$2</f>
        <v>0</v>
      </c>
      <c r="AC1066" s="88">
        <f>SUMIF(月間集計シート!$M$71:$M$90,$G1066,月間集計シート!S$71:S$90)*AC$2</f>
        <v>0</v>
      </c>
      <c r="AD1066" s="88">
        <f>SUMIF(月間集計シート!$M$71:$M$90,$G1066,月間集計シート!T$71:T$90)*AD$2</f>
        <v>0</v>
      </c>
      <c r="AE1066" s="88">
        <f>SUMIF(月間集計シート!$M$92:$M$111,$G1066,月間集計シート!N$92:N$111)*AE$2</f>
        <v>0</v>
      </c>
      <c r="AF1066" s="88">
        <f>SUMIF(月間集計シート!$M$92:$M$111,$G1066,月間集計シート!O$92:O$111)*AF$2</f>
        <v>0</v>
      </c>
      <c r="AG1066" s="88">
        <f>SUMIF(月間集計シート!$M$92:$M$111,$G1066,月間集計シート!P$92:P$111)*AG$2</f>
        <v>0</v>
      </c>
      <c r="AH1066" s="88">
        <f>SUMIF(月間集計シート!$M$92:$M$111,$G1066,月間集計シート!Q$92:Q$111)*AH$2</f>
        <v>0</v>
      </c>
      <c r="AI1066" s="88">
        <f>SUMIF(月間集計シート!$M$92:$M$111,$G1066,月間集計シート!R$92:R$111)*AI$2</f>
        <v>0</v>
      </c>
      <c r="AJ1066" s="88">
        <f>SUMIF(月間集計シート!$M$92:$M$111,$G1066,月間集計シート!S$92:S$111)*AJ$2</f>
        <v>0</v>
      </c>
      <c r="AK1066" s="88">
        <f>SUMIF(月間集計シート!$M$92:$M$111,$G1066,月間集計シート!T$92:T$111)*AK$2</f>
        <v>0</v>
      </c>
      <c r="AL1066" s="88">
        <f>SUMIF(月間集計シート!$M$113:$M$132,$G1066,月間集計シート!N$113:N$132)*AL$2</f>
        <v>0</v>
      </c>
      <c r="AM1066" s="88">
        <f>SUMIF(月間集計シート!$M$113:$M$132,$G1066,月間集計シート!O$113:O$132)*AM$2</f>
        <v>0</v>
      </c>
      <c r="AN1066" s="88">
        <f>SUMIF(月間集計シート!$M$113:$M$132,$G1066,月間集計シート!P$113:P$132)*AN$2</f>
        <v>0</v>
      </c>
      <c r="AO1066" s="88">
        <f>SUMIF(月間集計シート!$M$113:$M$132,$G1066,月間集計シート!Q$113:Q$132)*AO$2</f>
        <v>0</v>
      </c>
      <c r="AP1066" s="88">
        <f>SUMIF(月間集計シート!$M$113:$M$132,$G1066,月間集計シート!R$113:R$132)*AP$2</f>
        <v>0</v>
      </c>
      <c r="AQ1066" s="88">
        <f>SUMIF(月間集計シート!$M$113:$M$132,$G1066,月間集計シート!S$113:S$132)*AQ$2</f>
        <v>0</v>
      </c>
      <c r="AR1066" s="88">
        <f>SUMIF(月間集計シート!$M$113:$M$132,$G1066,月間集計シート!T$113:T$132)*AR$2</f>
        <v>0</v>
      </c>
      <c r="AS1066" s="88">
        <f>SUMIF(月間集計シート!$M$134:$M$153,$G1066,月間集計シート!N$134:N$153)*AS$2</f>
        <v>0</v>
      </c>
      <c r="AT1066" s="88">
        <f>SUMIF(月間集計シート!$M$134:$M$153,$G1066,月間集計シート!O$134:O$153)*AT$2</f>
        <v>0</v>
      </c>
      <c r="AU1066" s="88">
        <f>SUMIF(月間集計シート!$M$134:$M$153,$G1066,月間集計シート!P$134:P$153)*AU$2</f>
        <v>0</v>
      </c>
      <c r="AV1066" s="88">
        <f>SUMIF(月間集計シート!$M$134:$M$153,$G1066,月間集計シート!Q$134:Q$153)*AV$2</f>
        <v>0</v>
      </c>
      <c r="AW1066" s="88">
        <f>SUMIF(月間集計シート!$M$134:$M$153,$G1066,月間集計シート!R$134:R$153)*AW$2</f>
        <v>0</v>
      </c>
      <c r="AX1066" s="88">
        <f>SUMIF(月間集計シート!$M$134:$M$153,$G1066,月間集計シート!S$134:S$153)*AX$2</f>
        <v>0</v>
      </c>
      <c r="AY1066" s="88">
        <f>SUMIF(月間集計シート!$M$134:$M$153,$G1066,月間集計シート!T$134:T$153)*AY$2</f>
        <v>0</v>
      </c>
    </row>
    <row r="1067" spans="1:51" ht="14.25" thickBot="1">
      <c r="A1067">
        <v>13</v>
      </c>
      <c r="B1067" s="120">
        <f t="shared" si="570"/>
        <v>0</v>
      </c>
      <c r="C1067" s="120" t="str">
        <f t="shared" si="571"/>
        <v/>
      </c>
      <c r="D1067" s="137"/>
      <c r="E1067" s="150" t="str">
        <f>工種!A39</f>
        <v>50105</v>
      </c>
      <c r="F1067" s="119" t="str">
        <f>工種!B39</f>
        <v>ﾏﾆｭｱﾙ作成：打合せ</v>
      </c>
      <c r="G1067" s="116" t="str">
        <f t="shared" si="572"/>
        <v>050105</v>
      </c>
      <c r="H1067" s="88">
        <f t="shared" si="569"/>
        <v>0</v>
      </c>
      <c r="I1067" s="132"/>
      <c r="J1067" s="88">
        <f>SUMIF(月間集計シート!$M$29:$M$48,$G1067,月間集計シート!N$29:N$48)*J$2</f>
        <v>0</v>
      </c>
      <c r="K1067" s="88">
        <f>SUMIF(月間集計シート!$M$29:$M$48,$G1067,月間集計シート!O$29:O$48)*K$2</f>
        <v>0</v>
      </c>
      <c r="L1067" s="88">
        <f>SUMIF(月間集計シート!$M$29:$M$48,$G1067,月間集計シート!P$29:P$48)*L$2</f>
        <v>0</v>
      </c>
      <c r="M1067" s="88">
        <f>SUMIF(月間集計シート!$M$29:$M$48,$G1067,月間集計シート!Q$29:Q$48)*M$2</f>
        <v>0</v>
      </c>
      <c r="N1067" s="88">
        <f>SUMIF(月間集計シート!$M$29:$M$48,$G1067,月間集計シート!R$29:R$48)*N$2</f>
        <v>0</v>
      </c>
      <c r="O1067" s="88">
        <f>SUMIF(月間集計シート!$M$29:$M$48,$G1067,月間集計シート!S$29:S$48)*O$2</f>
        <v>0</v>
      </c>
      <c r="P1067" s="88">
        <f>SUMIF(月間集計シート!$M$29:$M$48,$G1067,月間集計シート!T$29:T$48)*P$2</f>
        <v>0</v>
      </c>
      <c r="Q1067" s="88">
        <f>SUMIF(月間集計シート!$M$50:$M$69,$G1067,月間集計シート!N$50:N$69)*Q$2</f>
        <v>0</v>
      </c>
      <c r="R1067" s="88">
        <f>SUMIF(月間集計シート!$M$50:$M$69,$G1067,月間集計シート!O$50:O$69)*R$2</f>
        <v>0</v>
      </c>
      <c r="S1067" s="88">
        <f>SUMIF(月間集計シート!$M$50:$M$69,$G1067,月間集計シート!P$50:P$69)*S$2</f>
        <v>0</v>
      </c>
      <c r="T1067" s="88">
        <f>SUMIF(月間集計シート!$M$50:$M$69,$G1067,月間集計シート!Q$50:Q$69)*T$2</f>
        <v>0</v>
      </c>
      <c r="U1067" s="88">
        <f>SUMIF(月間集計シート!$M$50:$M$69,$G1067,月間集計シート!R$50:R$69)*U$2</f>
        <v>0</v>
      </c>
      <c r="V1067" s="88">
        <f>SUMIF(月間集計シート!$M$50:$M$69,$G1067,月間集計シート!S$50:S$69)*V$2</f>
        <v>0</v>
      </c>
      <c r="W1067" s="88">
        <f>SUMIF(月間集計シート!$M$50:$M$69,$G1067,月間集計シート!T$50:T$69)*W$2</f>
        <v>0</v>
      </c>
      <c r="X1067" s="88">
        <f>SUMIF(月間集計シート!$M$71:$M$90,$G1067,月間集計シート!N$71:N$90)*X$2</f>
        <v>0</v>
      </c>
      <c r="Y1067" s="88">
        <f>SUMIF(月間集計シート!$M$71:$M$90,$G1067,月間集計シート!O$71:O$90)*Y$2</f>
        <v>0</v>
      </c>
      <c r="Z1067" s="88">
        <f>SUMIF(月間集計シート!$M$71:$M$90,$G1067,月間集計シート!P$71:P$90)*Z$2</f>
        <v>0</v>
      </c>
      <c r="AA1067" s="88">
        <f>SUMIF(月間集計シート!$M$71:$M$90,$G1067,月間集計シート!Q$71:Q$90)*AA$2</f>
        <v>0</v>
      </c>
      <c r="AB1067" s="88">
        <f>SUMIF(月間集計シート!$M$71:$M$90,$G1067,月間集計シート!R$71:R$90)*AB$2</f>
        <v>0</v>
      </c>
      <c r="AC1067" s="88">
        <f>SUMIF(月間集計シート!$M$71:$M$90,$G1067,月間集計シート!S$71:S$90)*AC$2</f>
        <v>0</v>
      </c>
      <c r="AD1067" s="88">
        <f>SUMIF(月間集計シート!$M$71:$M$90,$G1067,月間集計シート!T$71:T$90)*AD$2</f>
        <v>0</v>
      </c>
      <c r="AE1067" s="88">
        <f>SUMIF(月間集計シート!$M$92:$M$111,$G1067,月間集計シート!N$92:N$111)*AE$2</f>
        <v>0</v>
      </c>
      <c r="AF1067" s="88">
        <f>SUMIF(月間集計シート!$M$92:$M$111,$G1067,月間集計シート!O$92:O$111)*AF$2</f>
        <v>0</v>
      </c>
      <c r="AG1067" s="88">
        <f>SUMIF(月間集計シート!$M$92:$M$111,$G1067,月間集計シート!P$92:P$111)*AG$2</f>
        <v>0</v>
      </c>
      <c r="AH1067" s="88">
        <f>SUMIF(月間集計シート!$M$92:$M$111,$G1067,月間集計シート!Q$92:Q$111)*AH$2</f>
        <v>0</v>
      </c>
      <c r="AI1067" s="88">
        <f>SUMIF(月間集計シート!$M$92:$M$111,$G1067,月間集計シート!R$92:R$111)*AI$2</f>
        <v>0</v>
      </c>
      <c r="AJ1067" s="88">
        <f>SUMIF(月間集計シート!$M$92:$M$111,$G1067,月間集計シート!S$92:S$111)*AJ$2</f>
        <v>0</v>
      </c>
      <c r="AK1067" s="88">
        <f>SUMIF(月間集計シート!$M$92:$M$111,$G1067,月間集計シート!T$92:T$111)*AK$2</f>
        <v>0</v>
      </c>
      <c r="AL1067" s="88">
        <f>SUMIF(月間集計シート!$M$113:$M$132,$G1067,月間集計シート!N$113:N$132)*AL$2</f>
        <v>0</v>
      </c>
      <c r="AM1067" s="88">
        <f>SUMIF(月間集計シート!$M$113:$M$132,$G1067,月間集計シート!O$113:O$132)*AM$2</f>
        <v>0</v>
      </c>
      <c r="AN1067" s="88">
        <f>SUMIF(月間集計シート!$M$113:$M$132,$G1067,月間集計シート!P$113:P$132)*AN$2</f>
        <v>0</v>
      </c>
      <c r="AO1067" s="88">
        <f>SUMIF(月間集計シート!$M$113:$M$132,$G1067,月間集計シート!Q$113:Q$132)*AO$2</f>
        <v>0</v>
      </c>
      <c r="AP1067" s="88">
        <f>SUMIF(月間集計シート!$M$113:$M$132,$G1067,月間集計シート!R$113:R$132)*AP$2</f>
        <v>0</v>
      </c>
      <c r="AQ1067" s="88">
        <f>SUMIF(月間集計シート!$M$113:$M$132,$G1067,月間集計シート!S$113:S$132)*AQ$2</f>
        <v>0</v>
      </c>
      <c r="AR1067" s="88">
        <f>SUMIF(月間集計シート!$M$113:$M$132,$G1067,月間集計シート!T$113:T$132)*AR$2</f>
        <v>0</v>
      </c>
      <c r="AS1067" s="88">
        <f>SUMIF(月間集計シート!$M$134:$M$153,$G1067,月間集計シート!N$134:N$153)*AS$2</f>
        <v>0</v>
      </c>
      <c r="AT1067" s="88">
        <f>SUMIF(月間集計シート!$M$134:$M$153,$G1067,月間集計シート!O$134:O$153)*AT$2</f>
        <v>0</v>
      </c>
      <c r="AU1067" s="88">
        <f>SUMIF(月間集計シート!$M$134:$M$153,$G1067,月間集計シート!P$134:P$153)*AU$2</f>
        <v>0</v>
      </c>
      <c r="AV1067" s="88">
        <f>SUMIF(月間集計シート!$M$134:$M$153,$G1067,月間集計シート!Q$134:Q$153)*AV$2</f>
        <v>0</v>
      </c>
      <c r="AW1067" s="88">
        <f>SUMIF(月間集計シート!$M$134:$M$153,$G1067,月間集計シート!R$134:R$153)*AW$2</f>
        <v>0</v>
      </c>
      <c r="AX1067" s="88">
        <f>SUMIF(月間集計シート!$M$134:$M$153,$G1067,月間集計シート!S$134:S$153)*AX$2</f>
        <v>0</v>
      </c>
      <c r="AY1067" s="88">
        <f>SUMIF(月間集計シート!$M$134:$M$153,$G1067,月間集計シート!T$134:T$153)*AY$2</f>
        <v>0</v>
      </c>
    </row>
    <row r="1068" spans="1:51" ht="14.25" thickBot="1">
      <c r="A1068">
        <v>13</v>
      </c>
      <c r="B1068" s="120">
        <f t="shared" si="570"/>
        <v>0</v>
      </c>
      <c r="C1068" s="120" t="str">
        <f t="shared" si="571"/>
        <v/>
      </c>
      <c r="D1068" s="137"/>
      <c r="E1068" s="150" t="str">
        <f>工種!A40</f>
        <v>50106</v>
      </c>
      <c r="F1068" s="119" t="str">
        <f>工種!B40</f>
        <v>ﾏﾆｭｱﾙ作成：ﾚﾋﾞｭｰ</v>
      </c>
      <c r="G1068" s="116" t="str">
        <f t="shared" si="572"/>
        <v>050106</v>
      </c>
      <c r="H1068" s="88">
        <f t="shared" si="569"/>
        <v>0</v>
      </c>
      <c r="I1068" s="132"/>
      <c r="J1068" s="88">
        <f>SUMIF(月間集計シート!$M$29:$M$48,$G1068,月間集計シート!N$29:N$48)*J$2</f>
        <v>0</v>
      </c>
      <c r="K1068" s="88">
        <f>SUMIF(月間集計シート!$M$29:$M$48,$G1068,月間集計シート!O$29:O$48)*K$2</f>
        <v>0</v>
      </c>
      <c r="L1068" s="88">
        <f>SUMIF(月間集計シート!$M$29:$M$48,$G1068,月間集計シート!P$29:P$48)*L$2</f>
        <v>0</v>
      </c>
      <c r="M1068" s="88">
        <f>SUMIF(月間集計シート!$M$29:$M$48,$G1068,月間集計シート!Q$29:Q$48)*M$2</f>
        <v>0</v>
      </c>
      <c r="N1068" s="88">
        <f>SUMIF(月間集計シート!$M$29:$M$48,$G1068,月間集計シート!R$29:R$48)*N$2</f>
        <v>0</v>
      </c>
      <c r="O1068" s="88">
        <f>SUMIF(月間集計シート!$M$29:$M$48,$G1068,月間集計シート!S$29:S$48)*O$2</f>
        <v>0</v>
      </c>
      <c r="P1068" s="88">
        <f>SUMIF(月間集計シート!$M$29:$M$48,$G1068,月間集計シート!T$29:T$48)*P$2</f>
        <v>0</v>
      </c>
      <c r="Q1068" s="88">
        <f>SUMIF(月間集計シート!$M$50:$M$69,$G1068,月間集計シート!N$50:N$69)*Q$2</f>
        <v>0</v>
      </c>
      <c r="R1068" s="88">
        <f>SUMIF(月間集計シート!$M$50:$M$69,$G1068,月間集計シート!O$50:O$69)*R$2</f>
        <v>0</v>
      </c>
      <c r="S1068" s="88">
        <f>SUMIF(月間集計シート!$M$50:$M$69,$G1068,月間集計シート!P$50:P$69)*S$2</f>
        <v>0</v>
      </c>
      <c r="T1068" s="88">
        <f>SUMIF(月間集計シート!$M$50:$M$69,$G1068,月間集計シート!Q$50:Q$69)*T$2</f>
        <v>0</v>
      </c>
      <c r="U1068" s="88">
        <f>SUMIF(月間集計シート!$M$50:$M$69,$G1068,月間集計シート!R$50:R$69)*U$2</f>
        <v>0</v>
      </c>
      <c r="V1068" s="88">
        <f>SUMIF(月間集計シート!$M$50:$M$69,$G1068,月間集計シート!S$50:S$69)*V$2</f>
        <v>0</v>
      </c>
      <c r="W1068" s="88">
        <f>SUMIF(月間集計シート!$M$50:$M$69,$G1068,月間集計シート!T$50:T$69)*W$2</f>
        <v>0</v>
      </c>
      <c r="X1068" s="88">
        <f>SUMIF(月間集計シート!$M$71:$M$90,$G1068,月間集計シート!N$71:N$90)*X$2</f>
        <v>0</v>
      </c>
      <c r="Y1068" s="88">
        <f>SUMIF(月間集計シート!$M$71:$M$90,$G1068,月間集計シート!O$71:O$90)*Y$2</f>
        <v>0</v>
      </c>
      <c r="Z1068" s="88">
        <f>SUMIF(月間集計シート!$M$71:$M$90,$G1068,月間集計シート!P$71:P$90)*Z$2</f>
        <v>0</v>
      </c>
      <c r="AA1068" s="88">
        <f>SUMIF(月間集計シート!$M$71:$M$90,$G1068,月間集計シート!Q$71:Q$90)*AA$2</f>
        <v>0</v>
      </c>
      <c r="AB1068" s="88">
        <f>SUMIF(月間集計シート!$M$71:$M$90,$G1068,月間集計シート!R$71:R$90)*AB$2</f>
        <v>0</v>
      </c>
      <c r="AC1068" s="88">
        <f>SUMIF(月間集計シート!$M$71:$M$90,$G1068,月間集計シート!S$71:S$90)*AC$2</f>
        <v>0</v>
      </c>
      <c r="AD1068" s="88">
        <f>SUMIF(月間集計シート!$M$71:$M$90,$G1068,月間集計シート!T$71:T$90)*AD$2</f>
        <v>0</v>
      </c>
      <c r="AE1068" s="88">
        <f>SUMIF(月間集計シート!$M$92:$M$111,$G1068,月間集計シート!N$92:N$111)*AE$2</f>
        <v>0</v>
      </c>
      <c r="AF1068" s="88">
        <f>SUMIF(月間集計シート!$M$92:$M$111,$G1068,月間集計シート!O$92:O$111)*AF$2</f>
        <v>0</v>
      </c>
      <c r="AG1068" s="88">
        <f>SUMIF(月間集計シート!$M$92:$M$111,$G1068,月間集計シート!P$92:P$111)*AG$2</f>
        <v>0</v>
      </c>
      <c r="AH1068" s="88">
        <f>SUMIF(月間集計シート!$M$92:$M$111,$G1068,月間集計シート!Q$92:Q$111)*AH$2</f>
        <v>0</v>
      </c>
      <c r="AI1068" s="88">
        <f>SUMIF(月間集計シート!$M$92:$M$111,$G1068,月間集計シート!R$92:R$111)*AI$2</f>
        <v>0</v>
      </c>
      <c r="AJ1068" s="88">
        <f>SUMIF(月間集計シート!$M$92:$M$111,$G1068,月間集計シート!S$92:S$111)*AJ$2</f>
        <v>0</v>
      </c>
      <c r="AK1068" s="88">
        <f>SUMIF(月間集計シート!$M$92:$M$111,$G1068,月間集計シート!T$92:T$111)*AK$2</f>
        <v>0</v>
      </c>
      <c r="AL1068" s="88">
        <f>SUMIF(月間集計シート!$M$113:$M$132,$G1068,月間集計シート!N$113:N$132)*AL$2</f>
        <v>0</v>
      </c>
      <c r="AM1068" s="88">
        <f>SUMIF(月間集計シート!$M$113:$M$132,$G1068,月間集計シート!O$113:O$132)*AM$2</f>
        <v>0</v>
      </c>
      <c r="AN1068" s="88">
        <f>SUMIF(月間集計シート!$M$113:$M$132,$G1068,月間集計シート!P$113:P$132)*AN$2</f>
        <v>0</v>
      </c>
      <c r="AO1068" s="88">
        <f>SUMIF(月間集計シート!$M$113:$M$132,$G1068,月間集計シート!Q$113:Q$132)*AO$2</f>
        <v>0</v>
      </c>
      <c r="AP1068" s="88">
        <f>SUMIF(月間集計シート!$M$113:$M$132,$G1068,月間集計シート!R$113:R$132)*AP$2</f>
        <v>0</v>
      </c>
      <c r="AQ1068" s="88">
        <f>SUMIF(月間集計シート!$M$113:$M$132,$G1068,月間集計シート!S$113:S$132)*AQ$2</f>
        <v>0</v>
      </c>
      <c r="AR1068" s="88">
        <f>SUMIF(月間集計シート!$M$113:$M$132,$G1068,月間集計シート!T$113:T$132)*AR$2</f>
        <v>0</v>
      </c>
      <c r="AS1068" s="88">
        <f>SUMIF(月間集計シート!$M$134:$M$153,$G1068,月間集計シート!N$134:N$153)*AS$2</f>
        <v>0</v>
      </c>
      <c r="AT1068" s="88">
        <f>SUMIF(月間集計シート!$M$134:$M$153,$G1068,月間集計シート!O$134:O$153)*AT$2</f>
        <v>0</v>
      </c>
      <c r="AU1068" s="88">
        <f>SUMIF(月間集計シート!$M$134:$M$153,$G1068,月間集計シート!P$134:P$153)*AU$2</f>
        <v>0</v>
      </c>
      <c r="AV1068" s="88">
        <f>SUMIF(月間集計シート!$M$134:$M$153,$G1068,月間集計シート!Q$134:Q$153)*AV$2</f>
        <v>0</v>
      </c>
      <c r="AW1068" s="88">
        <f>SUMIF(月間集計シート!$M$134:$M$153,$G1068,月間集計シート!R$134:R$153)*AW$2</f>
        <v>0</v>
      </c>
      <c r="AX1068" s="88">
        <f>SUMIF(月間集計シート!$M$134:$M$153,$G1068,月間集計シート!S$134:S$153)*AX$2</f>
        <v>0</v>
      </c>
      <c r="AY1068" s="88">
        <f>SUMIF(月間集計シート!$M$134:$M$153,$G1068,月間集計シート!T$134:T$153)*AY$2</f>
        <v>0</v>
      </c>
    </row>
    <row r="1069" spans="1:51" ht="14.25" thickBot="1">
      <c r="A1069">
        <v>13</v>
      </c>
      <c r="B1069" s="120">
        <f t="shared" si="570"/>
        <v>0</v>
      </c>
      <c r="C1069" s="120" t="str">
        <f t="shared" si="571"/>
        <v/>
      </c>
      <c r="D1069" s="137"/>
      <c r="E1069" s="150" t="str">
        <f>工種!A41</f>
        <v>50199</v>
      </c>
      <c r="F1069" s="119" t="str">
        <f>工種!B41</f>
        <v>ﾏﾆｭｱﾙ作成：その他</v>
      </c>
      <c r="G1069" s="116" t="str">
        <f t="shared" si="572"/>
        <v>050199</v>
      </c>
      <c r="H1069" s="88">
        <f t="shared" si="569"/>
        <v>0</v>
      </c>
      <c r="I1069" s="132"/>
      <c r="J1069" s="88">
        <f>SUMIF(月間集計シート!$M$29:$M$48,$G1069,月間集計シート!N$29:N$48)*J$2</f>
        <v>0</v>
      </c>
      <c r="K1069" s="88">
        <f>SUMIF(月間集計シート!$M$29:$M$48,$G1069,月間集計シート!O$29:O$48)*K$2</f>
        <v>0</v>
      </c>
      <c r="L1069" s="88">
        <f>SUMIF(月間集計シート!$M$29:$M$48,$G1069,月間集計シート!P$29:P$48)*L$2</f>
        <v>0</v>
      </c>
      <c r="M1069" s="88">
        <f>SUMIF(月間集計シート!$M$29:$M$48,$G1069,月間集計シート!Q$29:Q$48)*M$2</f>
        <v>0</v>
      </c>
      <c r="N1069" s="88">
        <f>SUMIF(月間集計シート!$M$29:$M$48,$G1069,月間集計シート!R$29:R$48)*N$2</f>
        <v>0</v>
      </c>
      <c r="O1069" s="88">
        <f>SUMIF(月間集計シート!$M$29:$M$48,$G1069,月間集計シート!S$29:S$48)*O$2</f>
        <v>0</v>
      </c>
      <c r="P1069" s="88">
        <f>SUMIF(月間集計シート!$M$29:$M$48,$G1069,月間集計シート!T$29:T$48)*P$2</f>
        <v>0</v>
      </c>
      <c r="Q1069" s="88">
        <f>SUMIF(月間集計シート!$M$50:$M$69,$G1069,月間集計シート!N$50:N$69)*Q$2</f>
        <v>0</v>
      </c>
      <c r="R1069" s="88">
        <f>SUMIF(月間集計シート!$M$50:$M$69,$G1069,月間集計シート!O$50:O$69)*R$2</f>
        <v>0</v>
      </c>
      <c r="S1069" s="88">
        <f>SUMIF(月間集計シート!$M$50:$M$69,$G1069,月間集計シート!P$50:P$69)*S$2</f>
        <v>0</v>
      </c>
      <c r="T1069" s="88">
        <f>SUMIF(月間集計シート!$M$50:$M$69,$G1069,月間集計シート!Q$50:Q$69)*T$2</f>
        <v>0</v>
      </c>
      <c r="U1069" s="88">
        <f>SUMIF(月間集計シート!$M$50:$M$69,$G1069,月間集計シート!R$50:R$69)*U$2</f>
        <v>0</v>
      </c>
      <c r="V1069" s="88">
        <f>SUMIF(月間集計シート!$M$50:$M$69,$G1069,月間集計シート!S$50:S$69)*V$2</f>
        <v>0</v>
      </c>
      <c r="W1069" s="88">
        <f>SUMIF(月間集計シート!$M$50:$M$69,$G1069,月間集計シート!T$50:T$69)*W$2</f>
        <v>0</v>
      </c>
      <c r="X1069" s="88">
        <f>SUMIF(月間集計シート!$M$71:$M$90,$G1069,月間集計シート!N$71:N$90)*X$2</f>
        <v>0</v>
      </c>
      <c r="Y1069" s="88">
        <f>SUMIF(月間集計シート!$M$71:$M$90,$G1069,月間集計シート!O$71:O$90)*Y$2</f>
        <v>0</v>
      </c>
      <c r="Z1069" s="88">
        <f>SUMIF(月間集計シート!$M$71:$M$90,$G1069,月間集計シート!P$71:P$90)*Z$2</f>
        <v>0</v>
      </c>
      <c r="AA1069" s="88">
        <f>SUMIF(月間集計シート!$M$71:$M$90,$G1069,月間集計シート!Q$71:Q$90)*AA$2</f>
        <v>0</v>
      </c>
      <c r="AB1069" s="88">
        <f>SUMIF(月間集計シート!$M$71:$M$90,$G1069,月間集計シート!R$71:R$90)*AB$2</f>
        <v>0</v>
      </c>
      <c r="AC1069" s="88">
        <f>SUMIF(月間集計シート!$M$71:$M$90,$G1069,月間集計シート!S$71:S$90)*AC$2</f>
        <v>0</v>
      </c>
      <c r="AD1069" s="88">
        <f>SUMIF(月間集計シート!$M$71:$M$90,$G1069,月間集計シート!T$71:T$90)*AD$2</f>
        <v>0</v>
      </c>
      <c r="AE1069" s="88">
        <f>SUMIF(月間集計シート!$M$92:$M$111,$G1069,月間集計シート!N$92:N$111)*AE$2</f>
        <v>0</v>
      </c>
      <c r="AF1069" s="88">
        <f>SUMIF(月間集計シート!$M$92:$M$111,$G1069,月間集計シート!O$92:O$111)*AF$2</f>
        <v>0</v>
      </c>
      <c r="AG1069" s="88">
        <f>SUMIF(月間集計シート!$M$92:$M$111,$G1069,月間集計シート!P$92:P$111)*AG$2</f>
        <v>0</v>
      </c>
      <c r="AH1069" s="88">
        <f>SUMIF(月間集計シート!$M$92:$M$111,$G1069,月間集計シート!Q$92:Q$111)*AH$2</f>
        <v>0</v>
      </c>
      <c r="AI1069" s="88">
        <f>SUMIF(月間集計シート!$M$92:$M$111,$G1069,月間集計シート!R$92:R$111)*AI$2</f>
        <v>0</v>
      </c>
      <c r="AJ1069" s="88">
        <f>SUMIF(月間集計シート!$M$92:$M$111,$G1069,月間集計シート!S$92:S$111)*AJ$2</f>
        <v>0</v>
      </c>
      <c r="AK1069" s="88">
        <f>SUMIF(月間集計シート!$M$92:$M$111,$G1069,月間集計シート!T$92:T$111)*AK$2</f>
        <v>0</v>
      </c>
      <c r="AL1069" s="88">
        <f>SUMIF(月間集計シート!$M$113:$M$132,$G1069,月間集計シート!N$113:N$132)*AL$2</f>
        <v>0</v>
      </c>
      <c r="AM1069" s="88">
        <f>SUMIF(月間集計シート!$M$113:$M$132,$G1069,月間集計シート!O$113:O$132)*AM$2</f>
        <v>0</v>
      </c>
      <c r="AN1069" s="88">
        <f>SUMIF(月間集計シート!$M$113:$M$132,$G1069,月間集計シート!P$113:P$132)*AN$2</f>
        <v>0</v>
      </c>
      <c r="AO1069" s="88">
        <f>SUMIF(月間集計シート!$M$113:$M$132,$G1069,月間集計シート!Q$113:Q$132)*AO$2</f>
        <v>0</v>
      </c>
      <c r="AP1069" s="88">
        <f>SUMIF(月間集計シート!$M$113:$M$132,$G1069,月間集計シート!R$113:R$132)*AP$2</f>
        <v>0</v>
      </c>
      <c r="AQ1069" s="88">
        <f>SUMIF(月間集計シート!$M$113:$M$132,$G1069,月間集計シート!S$113:S$132)*AQ$2</f>
        <v>0</v>
      </c>
      <c r="AR1069" s="88">
        <f>SUMIF(月間集計シート!$M$113:$M$132,$G1069,月間集計シート!T$113:T$132)*AR$2</f>
        <v>0</v>
      </c>
      <c r="AS1069" s="88">
        <f>SUMIF(月間集計シート!$M$134:$M$153,$G1069,月間集計シート!N$134:N$153)*AS$2</f>
        <v>0</v>
      </c>
      <c r="AT1069" s="88">
        <f>SUMIF(月間集計シート!$M$134:$M$153,$G1069,月間集計シート!O$134:O$153)*AT$2</f>
        <v>0</v>
      </c>
      <c r="AU1069" s="88">
        <f>SUMIF(月間集計シート!$M$134:$M$153,$G1069,月間集計シート!P$134:P$153)*AU$2</f>
        <v>0</v>
      </c>
      <c r="AV1069" s="88">
        <f>SUMIF(月間集計シート!$M$134:$M$153,$G1069,月間集計シート!Q$134:Q$153)*AV$2</f>
        <v>0</v>
      </c>
      <c r="AW1069" s="88">
        <f>SUMIF(月間集計シート!$M$134:$M$153,$G1069,月間集計シート!R$134:R$153)*AW$2</f>
        <v>0</v>
      </c>
      <c r="AX1069" s="88">
        <f>SUMIF(月間集計シート!$M$134:$M$153,$G1069,月間集計シート!S$134:S$153)*AX$2</f>
        <v>0</v>
      </c>
      <c r="AY1069" s="88">
        <f>SUMIF(月間集計シート!$M$134:$M$153,$G1069,月間集計シート!T$134:T$153)*AY$2</f>
        <v>0</v>
      </c>
    </row>
    <row r="1070" spans="1:51" ht="14.25" thickBot="1">
      <c r="A1070">
        <v>13</v>
      </c>
      <c r="B1070" s="120">
        <f t="shared" si="570"/>
        <v>0</v>
      </c>
      <c r="C1070" s="120" t="str">
        <f t="shared" si="571"/>
        <v/>
      </c>
      <c r="D1070" s="137"/>
      <c r="E1070" s="150" t="str">
        <f>工種!A42</f>
        <v>60101</v>
      </c>
      <c r="F1070" s="119" t="str">
        <f>工種!B42</f>
        <v>ﾘﾘｰｽ：ﾘﾘｰｽ・ﾃﾞﾘﾊﾞﾘ作業</v>
      </c>
      <c r="G1070" s="116" t="str">
        <f t="shared" si="572"/>
        <v>060101</v>
      </c>
      <c r="H1070" s="88">
        <f t="shared" si="569"/>
        <v>0</v>
      </c>
      <c r="I1070" s="132"/>
      <c r="J1070" s="88">
        <f>SUMIF(月間集計シート!$M$29:$M$48,$G1070,月間集計シート!N$29:N$48)*J$2</f>
        <v>0</v>
      </c>
      <c r="K1070" s="88">
        <f>SUMIF(月間集計シート!$M$29:$M$48,$G1070,月間集計シート!O$29:O$48)*K$2</f>
        <v>0</v>
      </c>
      <c r="L1070" s="88">
        <f>SUMIF(月間集計シート!$M$29:$M$48,$G1070,月間集計シート!P$29:P$48)*L$2</f>
        <v>0</v>
      </c>
      <c r="M1070" s="88">
        <f>SUMIF(月間集計シート!$M$29:$M$48,$G1070,月間集計シート!Q$29:Q$48)*M$2</f>
        <v>0</v>
      </c>
      <c r="N1070" s="88">
        <f>SUMIF(月間集計シート!$M$29:$M$48,$G1070,月間集計シート!R$29:R$48)*N$2</f>
        <v>0</v>
      </c>
      <c r="O1070" s="88">
        <f>SUMIF(月間集計シート!$M$29:$M$48,$G1070,月間集計シート!S$29:S$48)*O$2</f>
        <v>0</v>
      </c>
      <c r="P1070" s="88">
        <f>SUMIF(月間集計シート!$M$29:$M$48,$G1070,月間集計シート!T$29:T$48)*P$2</f>
        <v>0</v>
      </c>
      <c r="Q1070" s="88">
        <f>SUMIF(月間集計シート!$M$50:$M$69,$G1070,月間集計シート!N$50:N$69)*Q$2</f>
        <v>0</v>
      </c>
      <c r="R1070" s="88">
        <f>SUMIF(月間集計シート!$M$50:$M$69,$G1070,月間集計シート!O$50:O$69)*R$2</f>
        <v>0</v>
      </c>
      <c r="S1070" s="88">
        <f>SUMIF(月間集計シート!$M$50:$M$69,$G1070,月間集計シート!P$50:P$69)*S$2</f>
        <v>0</v>
      </c>
      <c r="T1070" s="88">
        <f>SUMIF(月間集計シート!$M$50:$M$69,$G1070,月間集計シート!Q$50:Q$69)*T$2</f>
        <v>0</v>
      </c>
      <c r="U1070" s="88">
        <f>SUMIF(月間集計シート!$M$50:$M$69,$G1070,月間集計シート!R$50:R$69)*U$2</f>
        <v>0</v>
      </c>
      <c r="V1070" s="88">
        <f>SUMIF(月間集計シート!$M$50:$M$69,$G1070,月間集計シート!S$50:S$69)*V$2</f>
        <v>0</v>
      </c>
      <c r="W1070" s="88">
        <f>SUMIF(月間集計シート!$M$50:$M$69,$G1070,月間集計シート!T$50:T$69)*W$2</f>
        <v>0</v>
      </c>
      <c r="X1070" s="88">
        <f>SUMIF(月間集計シート!$M$71:$M$90,$G1070,月間集計シート!N$71:N$90)*X$2</f>
        <v>0</v>
      </c>
      <c r="Y1070" s="88">
        <f>SUMIF(月間集計シート!$M$71:$M$90,$G1070,月間集計シート!O$71:O$90)*Y$2</f>
        <v>0</v>
      </c>
      <c r="Z1070" s="88">
        <f>SUMIF(月間集計シート!$M$71:$M$90,$G1070,月間集計シート!P$71:P$90)*Z$2</f>
        <v>0</v>
      </c>
      <c r="AA1070" s="88">
        <f>SUMIF(月間集計シート!$M$71:$M$90,$G1070,月間集計シート!Q$71:Q$90)*AA$2</f>
        <v>0</v>
      </c>
      <c r="AB1070" s="88">
        <f>SUMIF(月間集計シート!$M$71:$M$90,$G1070,月間集計シート!R$71:R$90)*AB$2</f>
        <v>0</v>
      </c>
      <c r="AC1070" s="88">
        <f>SUMIF(月間集計シート!$M$71:$M$90,$G1070,月間集計シート!S$71:S$90)*AC$2</f>
        <v>0</v>
      </c>
      <c r="AD1070" s="88">
        <f>SUMIF(月間集計シート!$M$71:$M$90,$G1070,月間集計シート!T$71:T$90)*AD$2</f>
        <v>0</v>
      </c>
      <c r="AE1070" s="88">
        <f>SUMIF(月間集計シート!$M$92:$M$111,$G1070,月間集計シート!N$92:N$111)*AE$2</f>
        <v>0</v>
      </c>
      <c r="AF1070" s="88">
        <f>SUMIF(月間集計シート!$M$92:$M$111,$G1070,月間集計シート!O$92:O$111)*AF$2</f>
        <v>0</v>
      </c>
      <c r="AG1070" s="88">
        <f>SUMIF(月間集計シート!$M$92:$M$111,$G1070,月間集計シート!P$92:P$111)*AG$2</f>
        <v>0</v>
      </c>
      <c r="AH1070" s="88">
        <f>SUMIF(月間集計シート!$M$92:$M$111,$G1070,月間集計シート!Q$92:Q$111)*AH$2</f>
        <v>0</v>
      </c>
      <c r="AI1070" s="88">
        <f>SUMIF(月間集計シート!$M$92:$M$111,$G1070,月間集計シート!R$92:R$111)*AI$2</f>
        <v>0</v>
      </c>
      <c r="AJ1070" s="88">
        <f>SUMIF(月間集計シート!$M$92:$M$111,$G1070,月間集計シート!S$92:S$111)*AJ$2</f>
        <v>0</v>
      </c>
      <c r="AK1070" s="88">
        <f>SUMIF(月間集計シート!$M$92:$M$111,$G1070,月間集計シート!T$92:T$111)*AK$2</f>
        <v>0</v>
      </c>
      <c r="AL1070" s="88">
        <f>SUMIF(月間集計シート!$M$113:$M$132,$G1070,月間集計シート!N$113:N$132)*AL$2</f>
        <v>0</v>
      </c>
      <c r="AM1070" s="88">
        <f>SUMIF(月間集計シート!$M$113:$M$132,$G1070,月間集計シート!O$113:O$132)*AM$2</f>
        <v>0</v>
      </c>
      <c r="AN1070" s="88">
        <f>SUMIF(月間集計シート!$M$113:$M$132,$G1070,月間集計シート!P$113:P$132)*AN$2</f>
        <v>0</v>
      </c>
      <c r="AO1070" s="88">
        <f>SUMIF(月間集計シート!$M$113:$M$132,$G1070,月間集計シート!Q$113:Q$132)*AO$2</f>
        <v>0</v>
      </c>
      <c r="AP1070" s="88">
        <f>SUMIF(月間集計シート!$M$113:$M$132,$G1070,月間集計シート!R$113:R$132)*AP$2</f>
        <v>0</v>
      </c>
      <c r="AQ1070" s="88">
        <f>SUMIF(月間集計シート!$M$113:$M$132,$G1070,月間集計シート!S$113:S$132)*AQ$2</f>
        <v>0</v>
      </c>
      <c r="AR1070" s="88">
        <f>SUMIF(月間集計シート!$M$113:$M$132,$G1070,月間集計シート!T$113:T$132)*AR$2</f>
        <v>0</v>
      </c>
      <c r="AS1070" s="88">
        <f>SUMIF(月間集計シート!$M$134:$M$153,$G1070,月間集計シート!N$134:N$153)*AS$2</f>
        <v>0</v>
      </c>
      <c r="AT1070" s="88">
        <f>SUMIF(月間集計シート!$M$134:$M$153,$G1070,月間集計シート!O$134:O$153)*AT$2</f>
        <v>0</v>
      </c>
      <c r="AU1070" s="88">
        <f>SUMIF(月間集計シート!$M$134:$M$153,$G1070,月間集計シート!P$134:P$153)*AU$2</f>
        <v>0</v>
      </c>
      <c r="AV1070" s="88">
        <f>SUMIF(月間集計シート!$M$134:$M$153,$G1070,月間集計シート!Q$134:Q$153)*AV$2</f>
        <v>0</v>
      </c>
      <c r="AW1070" s="88">
        <f>SUMIF(月間集計シート!$M$134:$M$153,$G1070,月間集計シート!R$134:R$153)*AW$2</f>
        <v>0</v>
      </c>
      <c r="AX1070" s="88">
        <f>SUMIF(月間集計シート!$M$134:$M$153,$G1070,月間集計シート!S$134:S$153)*AX$2</f>
        <v>0</v>
      </c>
      <c r="AY1070" s="88">
        <f>SUMIF(月間集計シート!$M$134:$M$153,$G1070,月間集計シート!T$134:T$153)*AY$2</f>
        <v>0</v>
      </c>
    </row>
    <row r="1071" spans="1:51" ht="14.25" thickBot="1">
      <c r="A1071">
        <v>13</v>
      </c>
      <c r="B1071" s="120">
        <f t="shared" si="570"/>
        <v>0</v>
      </c>
      <c r="C1071" s="120" t="str">
        <f t="shared" si="571"/>
        <v/>
      </c>
      <c r="D1071" s="137"/>
      <c r="E1071" s="150" t="str">
        <f>工種!A43</f>
        <v>60102</v>
      </c>
      <c r="F1071" s="119" t="str">
        <f>工種!B43</f>
        <v>ﾘﾘｰｽ：ﾘﾘｰｽ関連業務</v>
      </c>
      <c r="G1071" s="116" t="str">
        <f t="shared" si="572"/>
        <v>060102</v>
      </c>
      <c r="H1071" s="88">
        <f t="shared" si="569"/>
        <v>0</v>
      </c>
      <c r="I1071" s="132"/>
      <c r="J1071" s="88">
        <f>SUMIF(月間集計シート!$M$29:$M$48,$G1071,月間集計シート!N$29:N$48)*J$2</f>
        <v>0</v>
      </c>
      <c r="K1071" s="88">
        <f>SUMIF(月間集計シート!$M$29:$M$48,$G1071,月間集計シート!O$29:O$48)*K$2</f>
        <v>0</v>
      </c>
      <c r="L1071" s="88">
        <f>SUMIF(月間集計シート!$M$29:$M$48,$G1071,月間集計シート!P$29:P$48)*L$2</f>
        <v>0</v>
      </c>
      <c r="M1071" s="88">
        <f>SUMIF(月間集計シート!$M$29:$M$48,$G1071,月間集計シート!Q$29:Q$48)*M$2</f>
        <v>0</v>
      </c>
      <c r="N1071" s="88">
        <f>SUMIF(月間集計シート!$M$29:$M$48,$G1071,月間集計シート!R$29:R$48)*N$2</f>
        <v>0</v>
      </c>
      <c r="O1071" s="88">
        <f>SUMIF(月間集計シート!$M$29:$M$48,$G1071,月間集計シート!S$29:S$48)*O$2</f>
        <v>0</v>
      </c>
      <c r="P1071" s="88">
        <f>SUMIF(月間集計シート!$M$29:$M$48,$G1071,月間集計シート!T$29:T$48)*P$2</f>
        <v>0</v>
      </c>
      <c r="Q1071" s="88">
        <f>SUMIF(月間集計シート!$M$50:$M$69,$G1071,月間集計シート!N$50:N$69)*Q$2</f>
        <v>0</v>
      </c>
      <c r="R1071" s="88">
        <f>SUMIF(月間集計シート!$M$50:$M$69,$G1071,月間集計シート!O$50:O$69)*R$2</f>
        <v>0</v>
      </c>
      <c r="S1071" s="88">
        <f>SUMIF(月間集計シート!$M$50:$M$69,$G1071,月間集計シート!P$50:P$69)*S$2</f>
        <v>0</v>
      </c>
      <c r="T1071" s="88">
        <f>SUMIF(月間集計シート!$M$50:$M$69,$G1071,月間集計シート!Q$50:Q$69)*T$2</f>
        <v>0</v>
      </c>
      <c r="U1071" s="88">
        <f>SUMIF(月間集計シート!$M$50:$M$69,$G1071,月間集計シート!R$50:R$69)*U$2</f>
        <v>0</v>
      </c>
      <c r="V1071" s="88">
        <f>SUMIF(月間集計シート!$M$50:$M$69,$G1071,月間集計シート!S$50:S$69)*V$2</f>
        <v>0</v>
      </c>
      <c r="W1071" s="88">
        <f>SUMIF(月間集計シート!$M$50:$M$69,$G1071,月間集計シート!T$50:T$69)*W$2</f>
        <v>0</v>
      </c>
      <c r="X1071" s="88">
        <f>SUMIF(月間集計シート!$M$71:$M$90,$G1071,月間集計シート!N$71:N$90)*X$2</f>
        <v>0</v>
      </c>
      <c r="Y1071" s="88">
        <f>SUMIF(月間集計シート!$M$71:$M$90,$G1071,月間集計シート!O$71:O$90)*Y$2</f>
        <v>0</v>
      </c>
      <c r="Z1071" s="88">
        <f>SUMIF(月間集計シート!$M$71:$M$90,$G1071,月間集計シート!P$71:P$90)*Z$2</f>
        <v>0</v>
      </c>
      <c r="AA1071" s="88">
        <f>SUMIF(月間集計シート!$M$71:$M$90,$G1071,月間集計シート!Q$71:Q$90)*AA$2</f>
        <v>0</v>
      </c>
      <c r="AB1071" s="88">
        <f>SUMIF(月間集計シート!$M$71:$M$90,$G1071,月間集計シート!R$71:R$90)*AB$2</f>
        <v>0</v>
      </c>
      <c r="AC1071" s="88">
        <f>SUMIF(月間集計シート!$M$71:$M$90,$G1071,月間集計シート!S$71:S$90)*AC$2</f>
        <v>0</v>
      </c>
      <c r="AD1071" s="88">
        <f>SUMIF(月間集計シート!$M$71:$M$90,$G1071,月間集計シート!T$71:T$90)*AD$2</f>
        <v>0</v>
      </c>
      <c r="AE1071" s="88">
        <f>SUMIF(月間集計シート!$M$92:$M$111,$G1071,月間集計シート!N$92:N$111)*AE$2</f>
        <v>0</v>
      </c>
      <c r="AF1071" s="88">
        <f>SUMIF(月間集計シート!$M$92:$M$111,$G1071,月間集計シート!O$92:O$111)*AF$2</f>
        <v>0</v>
      </c>
      <c r="AG1071" s="88">
        <f>SUMIF(月間集計シート!$M$92:$M$111,$G1071,月間集計シート!P$92:P$111)*AG$2</f>
        <v>0</v>
      </c>
      <c r="AH1071" s="88">
        <f>SUMIF(月間集計シート!$M$92:$M$111,$G1071,月間集計シート!Q$92:Q$111)*AH$2</f>
        <v>0</v>
      </c>
      <c r="AI1071" s="88">
        <f>SUMIF(月間集計シート!$M$92:$M$111,$G1071,月間集計シート!R$92:R$111)*AI$2</f>
        <v>0</v>
      </c>
      <c r="AJ1071" s="88">
        <f>SUMIF(月間集計シート!$M$92:$M$111,$G1071,月間集計シート!S$92:S$111)*AJ$2</f>
        <v>0</v>
      </c>
      <c r="AK1071" s="88">
        <f>SUMIF(月間集計シート!$M$92:$M$111,$G1071,月間集計シート!T$92:T$111)*AK$2</f>
        <v>0</v>
      </c>
      <c r="AL1071" s="88">
        <f>SUMIF(月間集計シート!$M$113:$M$132,$G1071,月間集計シート!N$113:N$132)*AL$2</f>
        <v>0</v>
      </c>
      <c r="AM1071" s="88">
        <f>SUMIF(月間集計シート!$M$113:$M$132,$G1071,月間集計シート!O$113:O$132)*AM$2</f>
        <v>0</v>
      </c>
      <c r="AN1071" s="88">
        <f>SUMIF(月間集計シート!$M$113:$M$132,$G1071,月間集計シート!P$113:P$132)*AN$2</f>
        <v>0</v>
      </c>
      <c r="AO1071" s="88">
        <f>SUMIF(月間集計シート!$M$113:$M$132,$G1071,月間集計シート!Q$113:Q$132)*AO$2</f>
        <v>0</v>
      </c>
      <c r="AP1071" s="88">
        <f>SUMIF(月間集計シート!$M$113:$M$132,$G1071,月間集計シート!R$113:R$132)*AP$2</f>
        <v>0</v>
      </c>
      <c r="AQ1071" s="88">
        <f>SUMIF(月間集計シート!$M$113:$M$132,$G1071,月間集計シート!S$113:S$132)*AQ$2</f>
        <v>0</v>
      </c>
      <c r="AR1071" s="88">
        <f>SUMIF(月間集計シート!$M$113:$M$132,$G1071,月間集計シート!T$113:T$132)*AR$2</f>
        <v>0</v>
      </c>
      <c r="AS1071" s="88">
        <f>SUMIF(月間集計シート!$M$134:$M$153,$G1071,月間集計シート!N$134:N$153)*AS$2</f>
        <v>0</v>
      </c>
      <c r="AT1071" s="88">
        <f>SUMIF(月間集計シート!$M$134:$M$153,$G1071,月間集計シート!O$134:O$153)*AT$2</f>
        <v>0</v>
      </c>
      <c r="AU1071" s="88">
        <f>SUMIF(月間集計シート!$M$134:$M$153,$G1071,月間集計シート!P$134:P$153)*AU$2</f>
        <v>0</v>
      </c>
      <c r="AV1071" s="88">
        <f>SUMIF(月間集計シート!$M$134:$M$153,$G1071,月間集計シート!Q$134:Q$153)*AV$2</f>
        <v>0</v>
      </c>
      <c r="AW1071" s="88">
        <f>SUMIF(月間集計シート!$M$134:$M$153,$G1071,月間集計シート!R$134:R$153)*AW$2</f>
        <v>0</v>
      </c>
      <c r="AX1071" s="88">
        <f>SUMIF(月間集計シート!$M$134:$M$153,$G1071,月間集計シート!S$134:S$153)*AX$2</f>
        <v>0</v>
      </c>
      <c r="AY1071" s="88">
        <f>SUMIF(月間集計シート!$M$134:$M$153,$G1071,月間集計シート!T$134:T$153)*AY$2</f>
        <v>0</v>
      </c>
    </row>
    <row r="1072" spans="1:51" ht="14.25" thickBot="1">
      <c r="A1072">
        <v>13</v>
      </c>
      <c r="B1072" s="120">
        <f t="shared" si="570"/>
        <v>0</v>
      </c>
      <c r="C1072" s="120" t="str">
        <f t="shared" si="571"/>
        <v/>
      </c>
      <c r="D1072" s="137"/>
      <c r="E1072" s="150" t="str">
        <f>工種!A44</f>
        <v>60103</v>
      </c>
      <c r="F1072" s="119" t="str">
        <f>工種!B44</f>
        <v>ﾘﾘｰｽ：ﾏﾆｭｱﾙPDF作成・修正</v>
      </c>
      <c r="G1072" s="116" t="str">
        <f t="shared" si="572"/>
        <v>060103</v>
      </c>
      <c r="H1072" s="88">
        <f t="shared" si="569"/>
        <v>0</v>
      </c>
      <c r="I1072" s="132"/>
      <c r="J1072" s="88">
        <f>SUMIF(月間集計シート!$M$29:$M$48,$G1072,月間集計シート!N$29:N$48)*J$2</f>
        <v>0</v>
      </c>
      <c r="K1072" s="88">
        <f>SUMIF(月間集計シート!$M$29:$M$48,$G1072,月間集計シート!O$29:O$48)*K$2</f>
        <v>0</v>
      </c>
      <c r="L1072" s="88">
        <f>SUMIF(月間集計シート!$M$29:$M$48,$G1072,月間集計シート!P$29:P$48)*L$2</f>
        <v>0</v>
      </c>
      <c r="M1072" s="88">
        <f>SUMIF(月間集計シート!$M$29:$M$48,$G1072,月間集計シート!Q$29:Q$48)*M$2</f>
        <v>0</v>
      </c>
      <c r="N1072" s="88">
        <f>SUMIF(月間集計シート!$M$29:$M$48,$G1072,月間集計シート!R$29:R$48)*N$2</f>
        <v>0</v>
      </c>
      <c r="O1072" s="88">
        <f>SUMIF(月間集計シート!$M$29:$M$48,$G1072,月間集計シート!S$29:S$48)*O$2</f>
        <v>0</v>
      </c>
      <c r="P1072" s="88">
        <f>SUMIF(月間集計シート!$M$29:$M$48,$G1072,月間集計シート!T$29:T$48)*P$2</f>
        <v>0</v>
      </c>
      <c r="Q1072" s="88">
        <f>SUMIF(月間集計シート!$M$50:$M$69,$G1072,月間集計シート!N$50:N$69)*Q$2</f>
        <v>0</v>
      </c>
      <c r="R1072" s="88">
        <f>SUMIF(月間集計シート!$M$50:$M$69,$G1072,月間集計シート!O$50:O$69)*R$2</f>
        <v>0</v>
      </c>
      <c r="S1072" s="88">
        <f>SUMIF(月間集計シート!$M$50:$M$69,$G1072,月間集計シート!P$50:P$69)*S$2</f>
        <v>0</v>
      </c>
      <c r="T1072" s="88">
        <f>SUMIF(月間集計シート!$M$50:$M$69,$G1072,月間集計シート!Q$50:Q$69)*T$2</f>
        <v>0</v>
      </c>
      <c r="U1072" s="88">
        <f>SUMIF(月間集計シート!$M$50:$M$69,$G1072,月間集計シート!R$50:R$69)*U$2</f>
        <v>0</v>
      </c>
      <c r="V1072" s="88">
        <f>SUMIF(月間集計シート!$M$50:$M$69,$G1072,月間集計シート!S$50:S$69)*V$2</f>
        <v>0</v>
      </c>
      <c r="W1072" s="88">
        <f>SUMIF(月間集計シート!$M$50:$M$69,$G1072,月間集計シート!T$50:T$69)*W$2</f>
        <v>0</v>
      </c>
      <c r="X1072" s="88">
        <f>SUMIF(月間集計シート!$M$71:$M$90,$G1072,月間集計シート!N$71:N$90)*X$2</f>
        <v>0</v>
      </c>
      <c r="Y1072" s="88">
        <f>SUMIF(月間集計シート!$M$71:$M$90,$G1072,月間集計シート!O$71:O$90)*Y$2</f>
        <v>0</v>
      </c>
      <c r="Z1072" s="88">
        <f>SUMIF(月間集計シート!$M$71:$M$90,$G1072,月間集計シート!P$71:P$90)*Z$2</f>
        <v>0</v>
      </c>
      <c r="AA1072" s="88">
        <f>SUMIF(月間集計シート!$M$71:$M$90,$G1072,月間集計シート!Q$71:Q$90)*AA$2</f>
        <v>0</v>
      </c>
      <c r="AB1072" s="88">
        <f>SUMIF(月間集計シート!$M$71:$M$90,$G1072,月間集計シート!R$71:R$90)*AB$2</f>
        <v>0</v>
      </c>
      <c r="AC1072" s="88">
        <f>SUMIF(月間集計シート!$M$71:$M$90,$G1072,月間集計シート!S$71:S$90)*AC$2</f>
        <v>0</v>
      </c>
      <c r="AD1072" s="88">
        <f>SUMIF(月間集計シート!$M$71:$M$90,$G1072,月間集計シート!T$71:T$90)*AD$2</f>
        <v>0</v>
      </c>
      <c r="AE1072" s="88">
        <f>SUMIF(月間集計シート!$M$92:$M$111,$G1072,月間集計シート!N$92:N$111)*AE$2</f>
        <v>0</v>
      </c>
      <c r="AF1072" s="88">
        <f>SUMIF(月間集計シート!$M$92:$M$111,$G1072,月間集計シート!O$92:O$111)*AF$2</f>
        <v>0</v>
      </c>
      <c r="AG1072" s="88">
        <f>SUMIF(月間集計シート!$M$92:$M$111,$G1072,月間集計シート!P$92:P$111)*AG$2</f>
        <v>0</v>
      </c>
      <c r="AH1072" s="88">
        <f>SUMIF(月間集計シート!$M$92:$M$111,$G1072,月間集計シート!Q$92:Q$111)*AH$2</f>
        <v>0</v>
      </c>
      <c r="AI1072" s="88">
        <f>SUMIF(月間集計シート!$M$92:$M$111,$G1072,月間集計シート!R$92:R$111)*AI$2</f>
        <v>0</v>
      </c>
      <c r="AJ1072" s="88">
        <f>SUMIF(月間集計シート!$M$92:$M$111,$G1072,月間集計シート!S$92:S$111)*AJ$2</f>
        <v>0</v>
      </c>
      <c r="AK1072" s="88">
        <f>SUMIF(月間集計シート!$M$92:$M$111,$G1072,月間集計シート!T$92:T$111)*AK$2</f>
        <v>0</v>
      </c>
      <c r="AL1072" s="88">
        <f>SUMIF(月間集計シート!$M$113:$M$132,$G1072,月間集計シート!N$113:N$132)*AL$2</f>
        <v>0</v>
      </c>
      <c r="AM1072" s="88">
        <f>SUMIF(月間集計シート!$M$113:$M$132,$G1072,月間集計シート!O$113:O$132)*AM$2</f>
        <v>0</v>
      </c>
      <c r="AN1072" s="88">
        <f>SUMIF(月間集計シート!$M$113:$M$132,$G1072,月間集計シート!P$113:P$132)*AN$2</f>
        <v>0</v>
      </c>
      <c r="AO1072" s="88">
        <f>SUMIF(月間集計シート!$M$113:$M$132,$G1072,月間集計シート!Q$113:Q$132)*AO$2</f>
        <v>0</v>
      </c>
      <c r="AP1072" s="88">
        <f>SUMIF(月間集計シート!$M$113:$M$132,$G1072,月間集計シート!R$113:R$132)*AP$2</f>
        <v>0</v>
      </c>
      <c r="AQ1072" s="88">
        <f>SUMIF(月間集計シート!$M$113:$M$132,$G1072,月間集計シート!S$113:S$132)*AQ$2</f>
        <v>0</v>
      </c>
      <c r="AR1072" s="88">
        <f>SUMIF(月間集計シート!$M$113:$M$132,$G1072,月間集計シート!T$113:T$132)*AR$2</f>
        <v>0</v>
      </c>
      <c r="AS1072" s="88">
        <f>SUMIF(月間集計シート!$M$134:$M$153,$G1072,月間集計シート!N$134:N$153)*AS$2</f>
        <v>0</v>
      </c>
      <c r="AT1072" s="88">
        <f>SUMIF(月間集計シート!$M$134:$M$153,$G1072,月間集計シート!O$134:O$153)*AT$2</f>
        <v>0</v>
      </c>
      <c r="AU1072" s="88">
        <f>SUMIF(月間集計シート!$M$134:$M$153,$G1072,月間集計シート!P$134:P$153)*AU$2</f>
        <v>0</v>
      </c>
      <c r="AV1072" s="88">
        <f>SUMIF(月間集計シート!$M$134:$M$153,$G1072,月間集計シート!Q$134:Q$153)*AV$2</f>
        <v>0</v>
      </c>
      <c r="AW1072" s="88">
        <f>SUMIF(月間集計シート!$M$134:$M$153,$G1072,月間集計シート!R$134:R$153)*AW$2</f>
        <v>0</v>
      </c>
      <c r="AX1072" s="88">
        <f>SUMIF(月間集計シート!$M$134:$M$153,$G1072,月間集計シート!S$134:S$153)*AX$2</f>
        <v>0</v>
      </c>
      <c r="AY1072" s="88">
        <f>SUMIF(月間集計シート!$M$134:$M$153,$G1072,月間集計シート!T$134:T$153)*AY$2</f>
        <v>0</v>
      </c>
    </row>
    <row r="1073" spans="1:51" ht="14.25" thickBot="1">
      <c r="A1073">
        <v>13</v>
      </c>
      <c r="B1073" s="120">
        <f t="shared" si="570"/>
        <v>0</v>
      </c>
      <c r="C1073" s="120" t="str">
        <f t="shared" si="571"/>
        <v/>
      </c>
      <c r="D1073" s="137"/>
      <c r="E1073" s="150" t="str">
        <f>工種!A45</f>
        <v>60104</v>
      </c>
      <c r="F1073" s="119" t="str">
        <f>工種!B45</f>
        <v>ﾘﾘｰｽ：ﾍﾙﾌﾟ作成・修正</v>
      </c>
      <c r="G1073" s="116" t="str">
        <f t="shared" si="572"/>
        <v>060104</v>
      </c>
      <c r="H1073" s="88">
        <f t="shared" si="569"/>
        <v>0</v>
      </c>
      <c r="I1073" s="132"/>
      <c r="J1073" s="88">
        <f>SUMIF(月間集計シート!$M$29:$M$48,$G1073,月間集計シート!N$29:N$48)*J$2</f>
        <v>0</v>
      </c>
      <c r="K1073" s="88">
        <f>SUMIF(月間集計シート!$M$29:$M$48,$G1073,月間集計シート!O$29:O$48)*K$2</f>
        <v>0</v>
      </c>
      <c r="L1073" s="88">
        <f>SUMIF(月間集計シート!$M$29:$M$48,$G1073,月間集計シート!P$29:P$48)*L$2</f>
        <v>0</v>
      </c>
      <c r="M1073" s="88">
        <f>SUMIF(月間集計シート!$M$29:$M$48,$G1073,月間集計シート!Q$29:Q$48)*M$2</f>
        <v>0</v>
      </c>
      <c r="N1073" s="88">
        <f>SUMIF(月間集計シート!$M$29:$M$48,$G1073,月間集計シート!R$29:R$48)*N$2</f>
        <v>0</v>
      </c>
      <c r="O1073" s="88">
        <f>SUMIF(月間集計シート!$M$29:$M$48,$G1073,月間集計シート!S$29:S$48)*O$2</f>
        <v>0</v>
      </c>
      <c r="P1073" s="88">
        <f>SUMIF(月間集計シート!$M$29:$M$48,$G1073,月間集計シート!T$29:T$48)*P$2</f>
        <v>0</v>
      </c>
      <c r="Q1073" s="88">
        <f>SUMIF(月間集計シート!$M$50:$M$69,$G1073,月間集計シート!N$50:N$69)*Q$2</f>
        <v>0</v>
      </c>
      <c r="R1073" s="88">
        <f>SUMIF(月間集計シート!$M$50:$M$69,$G1073,月間集計シート!O$50:O$69)*R$2</f>
        <v>0</v>
      </c>
      <c r="S1073" s="88">
        <f>SUMIF(月間集計シート!$M$50:$M$69,$G1073,月間集計シート!P$50:P$69)*S$2</f>
        <v>0</v>
      </c>
      <c r="T1073" s="88">
        <f>SUMIF(月間集計シート!$M$50:$M$69,$G1073,月間集計シート!Q$50:Q$69)*T$2</f>
        <v>0</v>
      </c>
      <c r="U1073" s="88">
        <f>SUMIF(月間集計シート!$M$50:$M$69,$G1073,月間集計シート!R$50:R$69)*U$2</f>
        <v>0</v>
      </c>
      <c r="V1073" s="88">
        <f>SUMIF(月間集計シート!$M$50:$M$69,$G1073,月間集計シート!S$50:S$69)*V$2</f>
        <v>0</v>
      </c>
      <c r="W1073" s="88">
        <f>SUMIF(月間集計シート!$M$50:$M$69,$G1073,月間集計シート!T$50:T$69)*W$2</f>
        <v>0</v>
      </c>
      <c r="X1073" s="88">
        <f>SUMIF(月間集計シート!$M$71:$M$90,$G1073,月間集計シート!N$71:N$90)*X$2</f>
        <v>0</v>
      </c>
      <c r="Y1073" s="88">
        <f>SUMIF(月間集計シート!$M$71:$M$90,$G1073,月間集計シート!O$71:O$90)*Y$2</f>
        <v>0</v>
      </c>
      <c r="Z1073" s="88">
        <f>SUMIF(月間集計シート!$M$71:$M$90,$G1073,月間集計シート!P$71:P$90)*Z$2</f>
        <v>0</v>
      </c>
      <c r="AA1073" s="88">
        <f>SUMIF(月間集計シート!$M$71:$M$90,$G1073,月間集計シート!Q$71:Q$90)*AA$2</f>
        <v>0</v>
      </c>
      <c r="AB1073" s="88">
        <f>SUMIF(月間集計シート!$M$71:$M$90,$G1073,月間集計シート!R$71:R$90)*AB$2</f>
        <v>0</v>
      </c>
      <c r="AC1073" s="88">
        <f>SUMIF(月間集計シート!$M$71:$M$90,$G1073,月間集計シート!S$71:S$90)*AC$2</f>
        <v>0</v>
      </c>
      <c r="AD1073" s="88">
        <f>SUMIF(月間集計シート!$M$71:$M$90,$G1073,月間集計シート!T$71:T$90)*AD$2</f>
        <v>0</v>
      </c>
      <c r="AE1073" s="88">
        <f>SUMIF(月間集計シート!$M$92:$M$111,$G1073,月間集計シート!N$92:N$111)*AE$2</f>
        <v>0</v>
      </c>
      <c r="AF1073" s="88">
        <f>SUMIF(月間集計シート!$M$92:$M$111,$G1073,月間集計シート!O$92:O$111)*AF$2</f>
        <v>0</v>
      </c>
      <c r="AG1073" s="88">
        <f>SUMIF(月間集計シート!$M$92:$M$111,$G1073,月間集計シート!P$92:P$111)*AG$2</f>
        <v>0</v>
      </c>
      <c r="AH1073" s="88">
        <f>SUMIF(月間集計シート!$M$92:$M$111,$G1073,月間集計シート!Q$92:Q$111)*AH$2</f>
        <v>0</v>
      </c>
      <c r="AI1073" s="88">
        <f>SUMIF(月間集計シート!$M$92:$M$111,$G1073,月間集計シート!R$92:R$111)*AI$2</f>
        <v>0</v>
      </c>
      <c r="AJ1073" s="88">
        <f>SUMIF(月間集計シート!$M$92:$M$111,$G1073,月間集計シート!S$92:S$111)*AJ$2</f>
        <v>0</v>
      </c>
      <c r="AK1073" s="88">
        <f>SUMIF(月間集計シート!$M$92:$M$111,$G1073,月間集計シート!T$92:T$111)*AK$2</f>
        <v>0</v>
      </c>
      <c r="AL1073" s="88">
        <f>SUMIF(月間集計シート!$M$113:$M$132,$G1073,月間集計シート!N$113:N$132)*AL$2</f>
        <v>0</v>
      </c>
      <c r="AM1073" s="88">
        <f>SUMIF(月間集計シート!$M$113:$M$132,$G1073,月間集計シート!O$113:O$132)*AM$2</f>
        <v>0</v>
      </c>
      <c r="AN1073" s="88">
        <f>SUMIF(月間集計シート!$M$113:$M$132,$G1073,月間集計シート!P$113:P$132)*AN$2</f>
        <v>0</v>
      </c>
      <c r="AO1073" s="88">
        <f>SUMIF(月間集計シート!$M$113:$M$132,$G1073,月間集計シート!Q$113:Q$132)*AO$2</f>
        <v>0</v>
      </c>
      <c r="AP1073" s="88">
        <f>SUMIF(月間集計シート!$M$113:$M$132,$G1073,月間集計シート!R$113:R$132)*AP$2</f>
        <v>0</v>
      </c>
      <c r="AQ1073" s="88">
        <f>SUMIF(月間集計シート!$M$113:$M$132,$G1073,月間集計シート!S$113:S$132)*AQ$2</f>
        <v>0</v>
      </c>
      <c r="AR1073" s="88">
        <f>SUMIF(月間集計シート!$M$113:$M$132,$G1073,月間集計シート!T$113:T$132)*AR$2</f>
        <v>0</v>
      </c>
      <c r="AS1073" s="88">
        <f>SUMIF(月間集計シート!$M$134:$M$153,$G1073,月間集計シート!N$134:N$153)*AS$2</f>
        <v>0</v>
      </c>
      <c r="AT1073" s="88">
        <f>SUMIF(月間集計シート!$M$134:$M$153,$G1073,月間集計シート!O$134:O$153)*AT$2</f>
        <v>0</v>
      </c>
      <c r="AU1073" s="88">
        <f>SUMIF(月間集計シート!$M$134:$M$153,$G1073,月間集計シート!P$134:P$153)*AU$2</f>
        <v>0</v>
      </c>
      <c r="AV1073" s="88">
        <f>SUMIF(月間集計シート!$M$134:$M$153,$G1073,月間集計シート!Q$134:Q$153)*AV$2</f>
        <v>0</v>
      </c>
      <c r="AW1073" s="88">
        <f>SUMIF(月間集計シート!$M$134:$M$153,$G1073,月間集計シート!R$134:R$153)*AW$2</f>
        <v>0</v>
      </c>
      <c r="AX1073" s="88">
        <f>SUMIF(月間集計シート!$M$134:$M$153,$G1073,月間集計シート!S$134:S$153)*AX$2</f>
        <v>0</v>
      </c>
      <c r="AY1073" s="88">
        <f>SUMIF(月間集計シート!$M$134:$M$153,$G1073,月間集計シート!T$134:T$153)*AY$2</f>
        <v>0</v>
      </c>
    </row>
    <row r="1074" spans="1:51" ht="14.25" thickBot="1">
      <c r="A1074">
        <v>13</v>
      </c>
      <c r="B1074" s="120">
        <f t="shared" si="570"/>
        <v>0</v>
      </c>
      <c r="C1074" s="120" t="str">
        <f t="shared" si="571"/>
        <v/>
      </c>
      <c r="D1074" s="137"/>
      <c r="E1074" s="150" t="str">
        <f>工種!A46</f>
        <v>60105</v>
      </c>
      <c r="F1074" s="119" t="str">
        <f>工種!B46</f>
        <v>ﾘﾘｰｽ：締め作業</v>
      </c>
      <c r="G1074" s="116" t="str">
        <f t="shared" si="572"/>
        <v>060105</v>
      </c>
      <c r="H1074" s="88">
        <f t="shared" si="569"/>
        <v>0</v>
      </c>
      <c r="I1074" s="132"/>
      <c r="J1074" s="88">
        <f>SUMIF(月間集計シート!$M$29:$M$48,$G1074,月間集計シート!N$29:N$48)*J$2</f>
        <v>0</v>
      </c>
      <c r="K1074" s="88">
        <f>SUMIF(月間集計シート!$M$29:$M$48,$G1074,月間集計シート!O$29:O$48)*K$2</f>
        <v>0</v>
      </c>
      <c r="L1074" s="88">
        <f>SUMIF(月間集計シート!$M$29:$M$48,$G1074,月間集計シート!P$29:P$48)*L$2</f>
        <v>0</v>
      </c>
      <c r="M1074" s="88">
        <f>SUMIF(月間集計シート!$M$29:$M$48,$G1074,月間集計シート!Q$29:Q$48)*M$2</f>
        <v>0</v>
      </c>
      <c r="N1074" s="88">
        <f>SUMIF(月間集計シート!$M$29:$M$48,$G1074,月間集計シート!R$29:R$48)*N$2</f>
        <v>0</v>
      </c>
      <c r="O1074" s="88">
        <f>SUMIF(月間集計シート!$M$29:$M$48,$G1074,月間集計シート!S$29:S$48)*O$2</f>
        <v>0</v>
      </c>
      <c r="P1074" s="88">
        <f>SUMIF(月間集計シート!$M$29:$M$48,$G1074,月間集計シート!T$29:T$48)*P$2</f>
        <v>0</v>
      </c>
      <c r="Q1074" s="88">
        <f>SUMIF(月間集計シート!$M$50:$M$69,$G1074,月間集計シート!N$50:N$69)*Q$2</f>
        <v>0</v>
      </c>
      <c r="R1074" s="88">
        <f>SUMIF(月間集計シート!$M$50:$M$69,$G1074,月間集計シート!O$50:O$69)*R$2</f>
        <v>0</v>
      </c>
      <c r="S1074" s="88">
        <f>SUMIF(月間集計シート!$M$50:$M$69,$G1074,月間集計シート!P$50:P$69)*S$2</f>
        <v>0</v>
      </c>
      <c r="T1074" s="88">
        <f>SUMIF(月間集計シート!$M$50:$M$69,$G1074,月間集計シート!Q$50:Q$69)*T$2</f>
        <v>0</v>
      </c>
      <c r="U1074" s="88">
        <f>SUMIF(月間集計シート!$M$50:$M$69,$G1074,月間集計シート!R$50:R$69)*U$2</f>
        <v>0</v>
      </c>
      <c r="V1074" s="88">
        <f>SUMIF(月間集計シート!$M$50:$M$69,$G1074,月間集計シート!S$50:S$69)*V$2</f>
        <v>0</v>
      </c>
      <c r="W1074" s="88">
        <f>SUMIF(月間集計シート!$M$50:$M$69,$G1074,月間集計シート!T$50:T$69)*W$2</f>
        <v>0</v>
      </c>
      <c r="X1074" s="88">
        <f>SUMIF(月間集計シート!$M$71:$M$90,$G1074,月間集計シート!N$71:N$90)*X$2</f>
        <v>0</v>
      </c>
      <c r="Y1074" s="88">
        <f>SUMIF(月間集計シート!$M$71:$M$90,$G1074,月間集計シート!O$71:O$90)*Y$2</f>
        <v>0</v>
      </c>
      <c r="Z1074" s="88">
        <f>SUMIF(月間集計シート!$M$71:$M$90,$G1074,月間集計シート!P$71:P$90)*Z$2</f>
        <v>0</v>
      </c>
      <c r="AA1074" s="88">
        <f>SUMIF(月間集計シート!$M$71:$M$90,$G1074,月間集計シート!Q$71:Q$90)*AA$2</f>
        <v>0</v>
      </c>
      <c r="AB1074" s="88">
        <f>SUMIF(月間集計シート!$M$71:$M$90,$G1074,月間集計シート!R$71:R$90)*AB$2</f>
        <v>0</v>
      </c>
      <c r="AC1074" s="88">
        <f>SUMIF(月間集計シート!$M$71:$M$90,$G1074,月間集計シート!S$71:S$90)*AC$2</f>
        <v>0</v>
      </c>
      <c r="AD1074" s="88">
        <f>SUMIF(月間集計シート!$M$71:$M$90,$G1074,月間集計シート!T$71:T$90)*AD$2</f>
        <v>0</v>
      </c>
      <c r="AE1074" s="88">
        <f>SUMIF(月間集計シート!$M$92:$M$111,$G1074,月間集計シート!N$92:N$111)*AE$2</f>
        <v>0</v>
      </c>
      <c r="AF1074" s="88">
        <f>SUMIF(月間集計シート!$M$92:$M$111,$G1074,月間集計シート!O$92:O$111)*AF$2</f>
        <v>0</v>
      </c>
      <c r="AG1074" s="88">
        <f>SUMIF(月間集計シート!$M$92:$M$111,$G1074,月間集計シート!P$92:P$111)*AG$2</f>
        <v>0</v>
      </c>
      <c r="AH1074" s="88">
        <f>SUMIF(月間集計シート!$M$92:$M$111,$G1074,月間集計シート!Q$92:Q$111)*AH$2</f>
        <v>0</v>
      </c>
      <c r="AI1074" s="88">
        <f>SUMIF(月間集計シート!$M$92:$M$111,$G1074,月間集計シート!R$92:R$111)*AI$2</f>
        <v>0</v>
      </c>
      <c r="AJ1074" s="88">
        <f>SUMIF(月間集計シート!$M$92:$M$111,$G1074,月間集計シート!S$92:S$111)*AJ$2</f>
        <v>0</v>
      </c>
      <c r="AK1074" s="88">
        <f>SUMIF(月間集計シート!$M$92:$M$111,$G1074,月間集計シート!T$92:T$111)*AK$2</f>
        <v>0</v>
      </c>
      <c r="AL1074" s="88">
        <f>SUMIF(月間集計シート!$M$113:$M$132,$G1074,月間集計シート!N$113:N$132)*AL$2</f>
        <v>0</v>
      </c>
      <c r="AM1074" s="88">
        <f>SUMIF(月間集計シート!$M$113:$M$132,$G1074,月間集計シート!O$113:O$132)*AM$2</f>
        <v>0</v>
      </c>
      <c r="AN1074" s="88">
        <f>SUMIF(月間集計シート!$M$113:$M$132,$G1074,月間集計シート!P$113:P$132)*AN$2</f>
        <v>0</v>
      </c>
      <c r="AO1074" s="88">
        <f>SUMIF(月間集計シート!$M$113:$M$132,$G1074,月間集計シート!Q$113:Q$132)*AO$2</f>
        <v>0</v>
      </c>
      <c r="AP1074" s="88">
        <f>SUMIF(月間集計シート!$M$113:$M$132,$G1074,月間集計シート!R$113:R$132)*AP$2</f>
        <v>0</v>
      </c>
      <c r="AQ1074" s="88">
        <f>SUMIF(月間集計シート!$M$113:$M$132,$G1074,月間集計シート!S$113:S$132)*AQ$2</f>
        <v>0</v>
      </c>
      <c r="AR1074" s="88">
        <f>SUMIF(月間集計シート!$M$113:$M$132,$G1074,月間集計シート!T$113:T$132)*AR$2</f>
        <v>0</v>
      </c>
      <c r="AS1074" s="88">
        <f>SUMIF(月間集計シート!$M$134:$M$153,$G1074,月間集計シート!N$134:N$153)*AS$2</f>
        <v>0</v>
      </c>
      <c r="AT1074" s="88">
        <f>SUMIF(月間集計シート!$M$134:$M$153,$G1074,月間集計シート!O$134:O$153)*AT$2</f>
        <v>0</v>
      </c>
      <c r="AU1074" s="88">
        <f>SUMIF(月間集計シート!$M$134:$M$153,$G1074,月間集計シート!P$134:P$153)*AU$2</f>
        <v>0</v>
      </c>
      <c r="AV1074" s="88">
        <f>SUMIF(月間集計シート!$M$134:$M$153,$G1074,月間集計シート!Q$134:Q$153)*AV$2</f>
        <v>0</v>
      </c>
      <c r="AW1074" s="88">
        <f>SUMIF(月間集計シート!$M$134:$M$153,$G1074,月間集計シート!R$134:R$153)*AW$2</f>
        <v>0</v>
      </c>
      <c r="AX1074" s="88">
        <f>SUMIF(月間集計シート!$M$134:$M$153,$G1074,月間集計シート!S$134:S$153)*AX$2</f>
        <v>0</v>
      </c>
      <c r="AY1074" s="88">
        <f>SUMIF(月間集計シート!$M$134:$M$153,$G1074,月間集計シート!T$134:T$153)*AY$2</f>
        <v>0</v>
      </c>
    </row>
    <row r="1075" spans="1:51" ht="14.25" thickBot="1">
      <c r="A1075">
        <v>13</v>
      </c>
      <c r="B1075" s="120">
        <f t="shared" si="570"/>
        <v>0</v>
      </c>
      <c r="C1075" s="120" t="str">
        <f t="shared" si="571"/>
        <v/>
      </c>
      <c r="D1075" s="137"/>
      <c r="E1075" s="150" t="str">
        <f>工種!A47</f>
        <v>60107</v>
      </c>
      <c r="F1075" s="119" t="str">
        <f>工種!B47</f>
        <v>ﾘﾘｰｽ：打合せ</v>
      </c>
      <c r="G1075" s="116" t="str">
        <f t="shared" si="572"/>
        <v>060107</v>
      </c>
      <c r="H1075" s="88">
        <f t="shared" si="569"/>
        <v>0</v>
      </c>
      <c r="I1075" s="132"/>
      <c r="J1075" s="88">
        <f>SUMIF(月間集計シート!$M$29:$M$48,$G1075,月間集計シート!N$29:N$48)*J$2</f>
        <v>0</v>
      </c>
      <c r="K1075" s="88">
        <f>SUMIF(月間集計シート!$M$29:$M$48,$G1075,月間集計シート!O$29:O$48)*K$2</f>
        <v>0</v>
      </c>
      <c r="L1075" s="88">
        <f>SUMIF(月間集計シート!$M$29:$M$48,$G1075,月間集計シート!P$29:P$48)*L$2</f>
        <v>0</v>
      </c>
      <c r="M1075" s="88">
        <f>SUMIF(月間集計シート!$M$29:$M$48,$G1075,月間集計シート!Q$29:Q$48)*M$2</f>
        <v>0</v>
      </c>
      <c r="N1075" s="88">
        <f>SUMIF(月間集計シート!$M$29:$M$48,$G1075,月間集計シート!R$29:R$48)*N$2</f>
        <v>0</v>
      </c>
      <c r="O1075" s="88">
        <f>SUMIF(月間集計シート!$M$29:$M$48,$G1075,月間集計シート!S$29:S$48)*O$2</f>
        <v>0</v>
      </c>
      <c r="P1075" s="88">
        <f>SUMIF(月間集計シート!$M$29:$M$48,$G1075,月間集計シート!T$29:T$48)*P$2</f>
        <v>0</v>
      </c>
      <c r="Q1075" s="88">
        <f>SUMIF(月間集計シート!$M$50:$M$69,$G1075,月間集計シート!N$50:N$69)*Q$2</f>
        <v>0</v>
      </c>
      <c r="R1075" s="88">
        <f>SUMIF(月間集計シート!$M$50:$M$69,$G1075,月間集計シート!O$50:O$69)*R$2</f>
        <v>0</v>
      </c>
      <c r="S1075" s="88">
        <f>SUMIF(月間集計シート!$M$50:$M$69,$G1075,月間集計シート!P$50:P$69)*S$2</f>
        <v>0</v>
      </c>
      <c r="T1075" s="88">
        <f>SUMIF(月間集計シート!$M$50:$M$69,$G1075,月間集計シート!Q$50:Q$69)*T$2</f>
        <v>0</v>
      </c>
      <c r="U1075" s="88">
        <f>SUMIF(月間集計シート!$M$50:$M$69,$G1075,月間集計シート!R$50:R$69)*U$2</f>
        <v>0</v>
      </c>
      <c r="V1075" s="88">
        <f>SUMIF(月間集計シート!$M$50:$M$69,$G1075,月間集計シート!S$50:S$69)*V$2</f>
        <v>0</v>
      </c>
      <c r="W1075" s="88">
        <f>SUMIF(月間集計シート!$M$50:$M$69,$G1075,月間集計シート!T$50:T$69)*W$2</f>
        <v>0</v>
      </c>
      <c r="X1075" s="88">
        <f>SUMIF(月間集計シート!$M$71:$M$90,$G1075,月間集計シート!N$71:N$90)*X$2</f>
        <v>0</v>
      </c>
      <c r="Y1075" s="88">
        <f>SUMIF(月間集計シート!$M$71:$M$90,$G1075,月間集計シート!O$71:O$90)*Y$2</f>
        <v>0</v>
      </c>
      <c r="Z1075" s="88">
        <f>SUMIF(月間集計シート!$M$71:$M$90,$G1075,月間集計シート!P$71:P$90)*Z$2</f>
        <v>0</v>
      </c>
      <c r="AA1075" s="88">
        <f>SUMIF(月間集計シート!$M$71:$M$90,$G1075,月間集計シート!Q$71:Q$90)*AA$2</f>
        <v>0</v>
      </c>
      <c r="AB1075" s="88">
        <f>SUMIF(月間集計シート!$M$71:$M$90,$G1075,月間集計シート!R$71:R$90)*AB$2</f>
        <v>0</v>
      </c>
      <c r="AC1075" s="88">
        <f>SUMIF(月間集計シート!$M$71:$M$90,$G1075,月間集計シート!S$71:S$90)*AC$2</f>
        <v>0</v>
      </c>
      <c r="AD1075" s="88">
        <f>SUMIF(月間集計シート!$M$71:$M$90,$G1075,月間集計シート!T$71:T$90)*AD$2</f>
        <v>0</v>
      </c>
      <c r="AE1075" s="88">
        <f>SUMIF(月間集計シート!$M$92:$M$111,$G1075,月間集計シート!N$92:N$111)*AE$2</f>
        <v>0</v>
      </c>
      <c r="AF1075" s="88">
        <f>SUMIF(月間集計シート!$M$92:$M$111,$G1075,月間集計シート!O$92:O$111)*AF$2</f>
        <v>0</v>
      </c>
      <c r="AG1075" s="88">
        <f>SUMIF(月間集計シート!$M$92:$M$111,$G1075,月間集計シート!P$92:P$111)*AG$2</f>
        <v>0</v>
      </c>
      <c r="AH1075" s="88">
        <f>SUMIF(月間集計シート!$M$92:$M$111,$G1075,月間集計シート!Q$92:Q$111)*AH$2</f>
        <v>0</v>
      </c>
      <c r="AI1075" s="88">
        <f>SUMIF(月間集計シート!$M$92:$M$111,$G1075,月間集計シート!R$92:R$111)*AI$2</f>
        <v>0</v>
      </c>
      <c r="AJ1075" s="88">
        <f>SUMIF(月間集計シート!$M$92:$M$111,$G1075,月間集計シート!S$92:S$111)*AJ$2</f>
        <v>0</v>
      </c>
      <c r="AK1075" s="88">
        <f>SUMIF(月間集計シート!$M$92:$M$111,$G1075,月間集計シート!T$92:T$111)*AK$2</f>
        <v>0</v>
      </c>
      <c r="AL1075" s="88">
        <f>SUMIF(月間集計シート!$M$113:$M$132,$G1075,月間集計シート!N$113:N$132)*AL$2</f>
        <v>0</v>
      </c>
      <c r="AM1075" s="88">
        <f>SUMIF(月間集計シート!$M$113:$M$132,$G1075,月間集計シート!O$113:O$132)*AM$2</f>
        <v>0</v>
      </c>
      <c r="AN1075" s="88">
        <f>SUMIF(月間集計シート!$M$113:$M$132,$G1075,月間集計シート!P$113:P$132)*AN$2</f>
        <v>0</v>
      </c>
      <c r="AO1075" s="88">
        <f>SUMIF(月間集計シート!$M$113:$M$132,$G1075,月間集計シート!Q$113:Q$132)*AO$2</f>
        <v>0</v>
      </c>
      <c r="AP1075" s="88">
        <f>SUMIF(月間集計シート!$M$113:$M$132,$G1075,月間集計シート!R$113:R$132)*AP$2</f>
        <v>0</v>
      </c>
      <c r="AQ1075" s="88">
        <f>SUMIF(月間集計シート!$M$113:$M$132,$G1075,月間集計シート!S$113:S$132)*AQ$2</f>
        <v>0</v>
      </c>
      <c r="AR1075" s="88">
        <f>SUMIF(月間集計シート!$M$113:$M$132,$G1075,月間集計シート!T$113:T$132)*AR$2</f>
        <v>0</v>
      </c>
      <c r="AS1075" s="88">
        <f>SUMIF(月間集計シート!$M$134:$M$153,$G1075,月間集計シート!N$134:N$153)*AS$2</f>
        <v>0</v>
      </c>
      <c r="AT1075" s="88">
        <f>SUMIF(月間集計シート!$M$134:$M$153,$G1075,月間集計シート!O$134:O$153)*AT$2</f>
        <v>0</v>
      </c>
      <c r="AU1075" s="88">
        <f>SUMIF(月間集計シート!$M$134:$M$153,$G1075,月間集計シート!P$134:P$153)*AU$2</f>
        <v>0</v>
      </c>
      <c r="AV1075" s="88">
        <f>SUMIF(月間集計シート!$M$134:$M$153,$G1075,月間集計シート!Q$134:Q$153)*AV$2</f>
        <v>0</v>
      </c>
      <c r="AW1075" s="88">
        <f>SUMIF(月間集計シート!$M$134:$M$153,$G1075,月間集計シート!R$134:R$153)*AW$2</f>
        <v>0</v>
      </c>
      <c r="AX1075" s="88">
        <f>SUMIF(月間集計シート!$M$134:$M$153,$G1075,月間集計シート!S$134:S$153)*AX$2</f>
        <v>0</v>
      </c>
      <c r="AY1075" s="88">
        <f>SUMIF(月間集計シート!$M$134:$M$153,$G1075,月間集計シート!T$134:T$153)*AY$2</f>
        <v>0</v>
      </c>
    </row>
    <row r="1076" spans="1:51" ht="14.25" thickBot="1">
      <c r="A1076">
        <v>13</v>
      </c>
      <c r="B1076" s="120">
        <f t="shared" si="570"/>
        <v>0</v>
      </c>
      <c r="C1076" s="120" t="str">
        <f t="shared" si="571"/>
        <v/>
      </c>
      <c r="D1076" s="137"/>
      <c r="E1076" s="150" t="str">
        <f>工種!A48</f>
        <v>60108</v>
      </c>
      <c r="F1076" s="119" t="str">
        <f>工種!B48</f>
        <v>ﾘﾘｰｽ：ﾚﾋﾞｭｰ</v>
      </c>
      <c r="G1076" s="116" t="str">
        <f t="shared" si="572"/>
        <v>060108</v>
      </c>
      <c r="H1076" s="88">
        <f t="shared" si="569"/>
        <v>0</v>
      </c>
      <c r="I1076" s="132"/>
      <c r="J1076" s="88">
        <f>SUMIF(月間集計シート!$M$29:$M$48,$G1076,月間集計シート!N$29:N$48)*J$2</f>
        <v>0</v>
      </c>
      <c r="K1076" s="88">
        <f>SUMIF(月間集計シート!$M$29:$M$48,$G1076,月間集計シート!O$29:O$48)*K$2</f>
        <v>0</v>
      </c>
      <c r="L1076" s="88">
        <f>SUMIF(月間集計シート!$M$29:$M$48,$G1076,月間集計シート!P$29:P$48)*L$2</f>
        <v>0</v>
      </c>
      <c r="M1076" s="88">
        <f>SUMIF(月間集計シート!$M$29:$M$48,$G1076,月間集計シート!Q$29:Q$48)*M$2</f>
        <v>0</v>
      </c>
      <c r="N1076" s="88">
        <f>SUMIF(月間集計シート!$M$29:$M$48,$G1076,月間集計シート!R$29:R$48)*N$2</f>
        <v>0</v>
      </c>
      <c r="O1076" s="88">
        <f>SUMIF(月間集計シート!$M$29:$M$48,$G1076,月間集計シート!S$29:S$48)*O$2</f>
        <v>0</v>
      </c>
      <c r="P1076" s="88">
        <f>SUMIF(月間集計シート!$M$29:$M$48,$G1076,月間集計シート!T$29:T$48)*P$2</f>
        <v>0</v>
      </c>
      <c r="Q1076" s="88">
        <f>SUMIF(月間集計シート!$M$50:$M$69,$G1076,月間集計シート!N$50:N$69)*Q$2</f>
        <v>0</v>
      </c>
      <c r="R1076" s="88">
        <f>SUMIF(月間集計シート!$M$50:$M$69,$G1076,月間集計シート!O$50:O$69)*R$2</f>
        <v>0</v>
      </c>
      <c r="S1076" s="88">
        <f>SUMIF(月間集計シート!$M$50:$M$69,$G1076,月間集計シート!P$50:P$69)*S$2</f>
        <v>0</v>
      </c>
      <c r="T1076" s="88">
        <f>SUMIF(月間集計シート!$M$50:$M$69,$G1076,月間集計シート!Q$50:Q$69)*T$2</f>
        <v>0</v>
      </c>
      <c r="U1076" s="88">
        <f>SUMIF(月間集計シート!$M$50:$M$69,$G1076,月間集計シート!R$50:R$69)*U$2</f>
        <v>0</v>
      </c>
      <c r="V1076" s="88">
        <f>SUMIF(月間集計シート!$M$50:$M$69,$G1076,月間集計シート!S$50:S$69)*V$2</f>
        <v>0</v>
      </c>
      <c r="W1076" s="88">
        <f>SUMIF(月間集計シート!$M$50:$M$69,$G1076,月間集計シート!T$50:T$69)*W$2</f>
        <v>0</v>
      </c>
      <c r="X1076" s="88">
        <f>SUMIF(月間集計シート!$M$71:$M$90,$G1076,月間集計シート!N$71:N$90)*X$2</f>
        <v>0</v>
      </c>
      <c r="Y1076" s="88">
        <f>SUMIF(月間集計シート!$M$71:$M$90,$G1076,月間集計シート!O$71:O$90)*Y$2</f>
        <v>0</v>
      </c>
      <c r="Z1076" s="88">
        <f>SUMIF(月間集計シート!$M$71:$M$90,$G1076,月間集計シート!P$71:P$90)*Z$2</f>
        <v>0</v>
      </c>
      <c r="AA1076" s="88">
        <f>SUMIF(月間集計シート!$M$71:$M$90,$G1076,月間集計シート!Q$71:Q$90)*AA$2</f>
        <v>0</v>
      </c>
      <c r="AB1076" s="88">
        <f>SUMIF(月間集計シート!$M$71:$M$90,$G1076,月間集計シート!R$71:R$90)*AB$2</f>
        <v>0</v>
      </c>
      <c r="AC1076" s="88">
        <f>SUMIF(月間集計シート!$M$71:$M$90,$G1076,月間集計シート!S$71:S$90)*AC$2</f>
        <v>0</v>
      </c>
      <c r="AD1076" s="88">
        <f>SUMIF(月間集計シート!$M$71:$M$90,$G1076,月間集計シート!T$71:T$90)*AD$2</f>
        <v>0</v>
      </c>
      <c r="AE1076" s="88">
        <f>SUMIF(月間集計シート!$M$92:$M$111,$G1076,月間集計シート!N$92:N$111)*AE$2</f>
        <v>0</v>
      </c>
      <c r="AF1076" s="88">
        <f>SUMIF(月間集計シート!$M$92:$M$111,$G1076,月間集計シート!O$92:O$111)*AF$2</f>
        <v>0</v>
      </c>
      <c r="AG1076" s="88">
        <f>SUMIF(月間集計シート!$M$92:$M$111,$G1076,月間集計シート!P$92:P$111)*AG$2</f>
        <v>0</v>
      </c>
      <c r="AH1076" s="88">
        <f>SUMIF(月間集計シート!$M$92:$M$111,$G1076,月間集計シート!Q$92:Q$111)*AH$2</f>
        <v>0</v>
      </c>
      <c r="AI1076" s="88">
        <f>SUMIF(月間集計シート!$M$92:$M$111,$G1076,月間集計シート!R$92:R$111)*AI$2</f>
        <v>0</v>
      </c>
      <c r="AJ1076" s="88">
        <f>SUMIF(月間集計シート!$M$92:$M$111,$G1076,月間集計シート!S$92:S$111)*AJ$2</f>
        <v>0</v>
      </c>
      <c r="AK1076" s="88">
        <f>SUMIF(月間集計シート!$M$92:$M$111,$G1076,月間集計シート!T$92:T$111)*AK$2</f>
        <v>0</v>
      </c>
      <c r="AL1076" s="88">
        <f>SUMIF(月間集計シート!$M$113:$M$132,$G1076,月間集計シート!N$113:N$132)*AL$2</f>
        <v>0</v>
      </c>
      <c r="AM1076" s="88">
        <f>SUMIF(月間集計シート!$M$113:$M$132,$G1076,月間集計シート!O$113:O$132)*AM$2</f>
        <v>0</v>
      </c>
      <c r="AN1076" s="88">
        <f>SUMIF(月間集計シート!$M$113:$M$132,$G1076,月間集計シート!P$113:P$132)*AN$2</f>
        <v>0</v>
      </c>
      <c r="AO1076" s="88">
        <f>SUMIF(月間集計シート!$M$113:$M$132,$G1076,月間集計シート!Q$113:Q$132)*AO$2</f>
        <v>0</v>
      </c>
      <c r="AP1076" s="88">
        <f>SUMIF(月間集計シート!$M$113:$M$132,$G1076,月間集計シート!R$113:R$132)*AP$2</f>
        <v>0</v>
      </c>
      <c r="AQ1076" s="88">
        <f>SUMIF(月間集計シート!$M$113:$M$132,$G1076,月間集計シート!S$113:S$132)*AQ$2</f>
        <v>0</v>
      </c>
      <c r="AR1076" s="88">
        <f>SUMIF(月間集計シート!$M$113:$M$132,$G1076,月間集計シート!T$113:T$132)*AR$2</f>
        <v>0</v>
      </c>
      <c r="AS1076" s="88">
        <f>SUMIF(月間集計シート!$M$134:$M$153,$G1076,月間集計シート!N$134:N$153)*AS$2</f>
        <v>0</v>
      </c>
      <c r="AT1076" s="88">
        <f>SUMIF(月間集計シート!$M$134:$M$153,$G1076,月間集計シート!O$134:O$153)*AT$2</f>
        <v>0</v>
      </c>
      <c r="AU1076" s="88">
        <f>SUMIF(月間集計シート!$M$134:$M$153,$G1076,月間集計シート!P$134:P$153)*AU$2</f>
        <v>0</v>
      </c>
      <c r="AV1076" s="88">
        <f>SUMIF(月間集計シート!$M$134:$M$153,$G1076,月間集計シート!Q$134:Q$153)*AV$2</f>
        <v>0</v>
      </c>
      <c r="AW1076" s="88">
        <f>SUMIF(月間集計シート!$M$134:$M$153,$G1076,月間集計シート!R$134:R$153)*AW$2</f>
        <v>0</v>
      </c>
      <c r="AX1076" s="88">
        <f>SUMIF(月間集計シート!$M$134:$M$153,$G1076,月間集計シート!S$134:S$153)*AX$2</f>
        <v>0</v>
      </c>
      <c r="AY1076" s="88">
        <f>SUMIF(月間集計シート!$M$134:$M$153,$G1076,月間集計シート!T$134:T$153)*AY$2</f>
        <v>0</v>
      </c>
    </row>
    <row r="1077" spans="1:51" ht="14.25" thickBot="1">
      <c r="A1077">
        <v>13</v>
      </c>
      <c r="B1077" s="120">
        <f t="shared" si="570"/>
        <v>0</v>
      </c>
      <c r="C1077" s="120" t="str">
        <f t="shared" si="571"/>
        <v/>
      </c>
      <c r="D1077" s="137"/>
      <c r="E1077" s="150" t="str">
        <f>工種!A49</f>
        <v>60199</v>
      </c>
      <c r="F1077" s="119" t="str">
        <f>工種!B49</f>
        <v>ﾘﾘｰｽ：その他</v>
      </c>
      <c r="G1077" s="116" t="str">
        <f t="shared" si="572"/>
        <v>060199</v>
      </c>
      <c r="H1077" s="88">
        <f t="shared" si="569"/>
        <v>0</v>
      </c>
      <c r="I1077" s="132"/>
      <c r="J1077" s="88">
        <f>SUMIF(月間集計シート!$M$29:$M$48,$G1077,月間集計シート!N$29:N$48)*J$2</f>
        <v>0</v>
      </c>
      <c r="K1077" s="88">
        <f>SUMIF(月間集計シート!$M$29:$M$48,$G1077,月間集計シート!O$29:O$48)*K$2</f>
        <v>0</v>
      </c>
      <c r="L1077" s="88">
        <f>SUMIF(月間集計シート!$M$29:$M$48,$G1077,月間集計シート!P$29:P$48)*L$2</f>
        <v>0</v>
      </c>
      <c r="M1077" s="88">
        <f>SUMIF(月間集計シート!$M$29:$M$48,$G1077,月間集計シート!Q$29:Q$48)*M$2</f>
        <v>0</v>
      </c>
      <c r="N1077" s="88">
        <f>SUMIF(月間集計シート!$M$29:$M$48,$G1077,月間集計シート!R$29:R$48)*N$2</f>
        <v>0</v>
      </c>
      <c r="O1077" s="88">
        <f>SUMIF(月間集計シート!$M$29:$M$48,$G1077,月間集計シート!S$29:S$48)*O$2</f>
        <v>0</v>
      </c>
      <c r="P1077" s="88">
        <f>SUMIF(月間集計シート!$M$29:$M$48,$G1077,月間集計シート!T$29:T$48)*P$2</f>
        <v>0</v>
      </c>
      <c r="Q1077" s="88">
        <f>SUMIF(月間集計シート!$M$50:$M$69,$G1077,月間集計シート!N$50:N$69)*Q$2</f>
        <v>0</v>
      </c>
      <c r="R1077" s="88">
        <f>SUMIF(月間集計シート!$M$50:$M$69,$G1077,月間集計シート!O$50:O$69)*R$2</f>
        <v>0</v>
      </c>
      <c r="S1077" s="88">
        <f>SUMIF(月間集計シート!$M$50:$M$69,$G1077,月間集計シート!P$50:P$69)*S$2</f>
        <v>0</v>
      </c>
      <c r="T1077" s="88">
        <f>SUMIF(月間集計シート!$M$50:$M$69,$G1077,月間集計シート!Q$50:Q$69)*T$2</f>
        <v>0</v>
      </c>
      <c r="U1077" s="88">
        <f>SUMIF(月間集計シート!$M$50:$M$69,$G1077,月間集計シート!R$50:R$69)*U$2</f>
        <v>0</v>
      </c>
      <c r="V1077" s="88">
        <f>SUMIF(月間集計シート!$M$50:$M$69,$G1077,月間集計シート!S$50:S$69)*V$2</f>
        <v>0</v>
      </c>
      <c r="W1077" s="88">
        <f>SUMIF(月間集計シート!$M$50:$M$69,$G1077,月間集計シート!T$50:T$69)*W$2</f>
        <v>0</v>
      </c>
      <c r="X1077" s="88">
        <f>SUMIF(月間集計シート!$M$71:$M$90,$G1077,月間集計シート!N$71:N$90)*X$2</f>
        <v>0</v>
      </c>
      <c r="Y1077" s="88">
        <f>SUMIF(月間集計シート!$M$71:$M$90,$G1077,月間集計シート!O$71:O$90)*Y$2</f>
        <v>0</v>
      </c>
      <c r="Z1077" s="88">
        <f>SUMIF(月間集計シート!$M$71:$M$90,$G1077,月間集計シート!P$71:P$90)*Z$2</f>
        <v>0</v>
      </c>
      <c r="AA1077" s="88">
        <f>SUMIF(月間集計シート!$M$71:$M$90,$G1077,月間集計シート!Q$71:Q$90)*AA$2</f>
        <v>0</v>
      </c>
      <c r="AB1077" s="88">
        <f>SUMIF(月間集計シート!$M$71:$M$90,$G1077,月間集計シート!R$71:R$90)*AB$2</f>
        <v>0</v>
      </c>
      <c r="AC1077" s="88">
        <f>SUMIF(月間集計シート!$M$71:$M$90,$G1077,月間集計シート!S$71:S$90)*AC$2</f>
        <v>0</v>
      </c>
      <c r="AD1077" s="88">
        <f>SUMIF(月間集計シート!$M$71:$M$90,$G1077,月間集計シート!T$71:T$90)*AD$2</f>
        <v>0</v>
      </c>
      <c r="AE1077" s="88">
        <f>SUMIF(月間集計シート!$M$92:$M$111,$G1077,月間集計シート!N$92:N$111)*AE$2</f>
        <v>0</v>
      </c>
      <c r="AF1077" s="88">
        <f>SUMIF(月間集計シート!$M$92:$M$111,$G1077,月間集計シート!O$92:O$111)*AF$2</f>
        <v>0</v>
      </c>
      <c r="AG1077" s="88">
        <f>SUMIF(月間集計シート!$M$92:$M$111,$G1077,月間集計シート!P$92:P$111)*AG$2</f>
        <v>0</v>
      </c>
      <c r="AH1077" s="88">
        <f>SUMIF(月間集計シート!$M$92:$M$111,$G1077,月間集計シート!Q$92:Q$111)*AH$2</f>
        <v>0</v>
      </c>
      <c r="AI1077" s="88">
        <f>SUMIF(月間集計シート!$M$92:$M$111,$G1077,月間集計シート!R$92:R$111)*AI$2</f>
        <v>0</v>
      </c>
      <c r="AJ1077" s="88">
        <f>SUMIF(月間集計シート!$M$92:$M$111,$G1077,月間集計シート!S$92:S$111)*AJ$2</f>
        <v>0</v>
      </c>
      <c r="AK1077" s="88">
        <f>SUMIF(月間集計シート!$M$92:$M$111,$G1077,月間集計シート!T$92:T$111)*AK$2</f>
        <v>0</v>
      </c>
      <c r="AL1077" s="88">
        <f>SUMIF(月間集計シート!$M$113:$M$132,$G1077,月間集計シート!N$113:N$132)*AL$2</f>
        <v>0</v>
      </c>
      <c r="AM1077" s="88">
        <f>SUMIF(月間集計シート!$M$113:$M$132,$G1077,月間集計シート!O$113:O$132)*AM$2</f>
        <v>0</v>
      </c>
      <c r="AN1077" s="88">
        <f>SUMIF(月間集計シート!$M$113:$M$132,$G1077,月間集計シート!P$113:P$132)*AN$2</f>
        <v>0</v>
      </c>
      <c r="AO1077" s="88">
        <f>SUMIF(月間集計シート!$M$113:$M$132,$G1077,月間集計シート!Q$113:Q$132)*AO$2</f>
        <v>0</v>
      </c>
      <c r="AP1077" s="88">
        <f>SUMIF(月間集計シート!$M$113:$M$132,$G1077,月間集計シート!R$113:R$132)*AP$2</f>
        <v>0</v>
      </c>
      <c r="AQ1077" s="88">
        <f>SUMIF(月間集計シート!$M$113:$M$132,$G1077,月間集計シート!S$113:S$132)*AQ$2</f>
        <v>0</v>
      </c>
      <c r="AR1077" s="88">
        <f>SUMIF(月間集計シート!$M$113:$M$132,$G1077,月間集計シート!T$113:T$132)*AR$2</f>
        <v>0</v>
      </c>
      <c r="AS1077" s="88">
        <f>SUMIF(月間集計シート!$M$134:$M$153,$G1077,月間集計シート!N$134:N$153)*AS$2</f>
        <v>0</v>
      </c>
      <c r="AT1077" s="88">
        <f>SUMIF(月間集計シート!$M$134:$M$153,$G1077,月間集計シート!O$134:O$153)*AT$2</f>
        <v>0</v>
      </c>
      <c r="AU1077" s="88">
        <f>SUMIF(月間集計シート!$M$134:$M$153,$G1077,月間集計シート!P$134:P$153)*AU$2</f>
        <v>0</v>
      </c>
      <c r="AV1077" s="88">
        <f>SUMIF(月間集計シート!$M$134:$M$153,$G1077,月間集計シート!Q$134:Q$153)*AV$2</f>
        <v>0</v>
      </c>
      <c r="AW1077" s="88">
        <f>SUMIF(月間集計シート!$M$134:$M$153,$G1077,月間集計シート!R$134:R$153)*AW$2</f>
        <v>0</v>
      </c>
      <c r="AX1077" s="88">
        <f>SUMIF(月間集計シート!$M$134:$M$153,$G1077,月間集計シート!S$134:S$153)*AX$2</f>
        <v>0</v>
      </c>
      <c r="AY1077" s="88">
        <f>SUMIF(月間集計シート!$M$134:$M$153,$G1077,月間集計シート!T$134:T$153)*AY$2</f>
        <v>0</v>
      </c>
    </row>
    <row r="1078" spans="1:51" ht="14.25" thickBot="1">
      <c r="A1078">
        <v>13</v>
      </c>
      <c r="B1078" s="120">
        <f t="shared" si="570"/>
        <v>0</v>
      </c>
      <c r="C1078" s="120" t="str">
        <f t="shared" si="571"/>
        <v/>
      </c>
      <c r="D1078" s="137"/>
      <c r="E1078" s="150">
        <f>工種!A50</f>
        <v>70101</v>
      </c>
      <c r="F1078" s="119" t="str">
        <f>工種!B50</f>
        <v>外部不具合修正：調査・設計</v>
      </c>
      <c r="G1078" s="116" t="str">
        <f t="shared" si="572"/>
        <v>070101</v>
      </c>
      <c r="H1078" s="88">
        <f t="shared" si="569"/>
        <v>0</v>
      </c>
      <c r="I1078" s="132"/>
      <c r="J1078" s="88">
        <f>SUMIF(月間集計シート!$M$29:$M$48,$G1078,月間集計シート!N$29:N$48)*J$2</f>
        <v>0</v>
      </c>
      <c r="K1078" s="88">
        <f>SUMIF(月間集計シート!$M$29:$M$48,$G1078,月間集計シート!O$29:O$48)*K$2</f>
        <v>0</v>
      </c>
      <c r="L1078" s="88">
        <f>SUMIF(月間集計シート!$M$29:$M$48,$G1078,月間集計シート!P$29:P$48)*L$2</f>
        <v>0</v>
      </c>
      <c r="M1078" s="88">
        <f>SUMIF(月間集計シート!$M$29:$M$48,$G1078,月間集計シート!Q$29:Q$48)*M$2</f>
        <v>0</v>
      </c>
      <c r="N1078" s="88">
        <f>SUMIF(月間集計シート!$M$29:$M$48,$G1078,月間集計シート!R$29:R$48)*N$2</f>
        <v>0</v>
      </c>
      <c r="O1078" s="88">
        <f>SUMIF(月間集計シート!$M$29:$M$48,$G1078,月間集計シート!S$29:S$48)*O$2</f>
        <v>0</v>
      </c>
      <c r="P1078" s="88">
        <f>SUMIF(月間集計シート!$M$29:$M$48,$G1078,月間集計シート!T$29:T$48)*P$2</f>
        <v>0</v>
      </c>
      <c r="Q1078" s="88">
        <f>SUMIF(月間集計シート!$M$50:$M$69,$G1078,月間集計シート!N$50:N$69)*Q$2</f>
        <v>0</v>
      </c>
      <c r="R1078" s="88">
        <f>SUMIF(月間集計シート!$M$50:$M$69,$G1078,月間集計シート!O$50:O$69)*R$2</f>
        <v>0</v>
      </c>
      <c r="S1078" s="88">
        <f>SUMIF(月間集計シート!$M$50:$M$69,$G1078,月間集計シート!P$50:P$69)*S$2</f>
        <v>0</v>
      </c>
      <c r="T1078" s="88">
        <f>SUMIF(月間集計シート!$M$50:$M$69,$G1078,月間集計シート!Q$50:Q$69)*T$2</f>
        <v>0</v>
      </c>
      <c r="U1078" s="88">
        <f>SUMIF(月間集計シート!$M$50:$M$69,$G1078,月間集計シート!R$50:R$69)*U$2</f>
        <v>0</v>
      </c>
      <c r="V1078" s="88">
        <f>SUMIF(月間集計シート!$M$50:$M$69,$G1078,月間集計シート!S$50:S$69)*V$2</f>
        <v>0</v>
      </c>
      <c r="W1078" s="88">
        <f>SUMIF(月間集計シート!$M$50:$M$69,$G1078,月間集計シート!T$50:T$69)*W$2</f>
        <v>0</v>
      </c>
      <c r="X1078" s="88">
        <f>SUMIF(月間集計シート!$M$71:$M$90,$G1078,月間集計シート!N$71:N$90)*X$2</f>
        <v>0</v>
      </c>
      <c r="Y1078" s="88">
        <f>SUMIF(月間集計シート!$M$71:$M$90,$G1078,月間集計シート!O$71:O$90)*Y$2</f>
        <v>0</v>
      </c>
      <c r="Z1078" s="88">
        <f>SUMIF(月間集計シート!$M$71:$M$90,$G1078,月間集計シート!P$71:P$90)*Z$2</f>
        <v>0</v>
      </c>
      <c r="AA1078" s="88">
        <f>SUMIF(月間集計シート!$M$71:$M$90,$G1078,月間集計シート!Q$71:Q$90)*AA$2</f>
        <v>0</v>
      </c>
      <c r="AB1078" s="88">
        <f>SUMIF(月間集計シート!$M$71:$M$90,$G1078,月間集計シート!R$71:R$90)*AB$2</f>
        <v>0</v>
      </c>
      <c r="AC1078" s="88">
        <f>SUMIF(月間集計シート!$M$71:$M$90,$G1078,月間集計シート!S$71:S$90)*AC$2</f>
        <v>0</v>
      </c>
      <c r="AD1078" s="88">
        <f>SUMIF(月間集計シート!$M$71:$M$90,$G1078,月間集計シート!T$71:T$90)*AD$2</f>
        <v>0</v>
      </c>
      <c r="AE1078" s="88">
        <f>SUMIF(月間集計シート!$M$92:$M$111,$G1078,月間集計シート!N$92:N$111)*AE$2</f>
        <v>0</v>
      </c>
      <c r="AF1078" s="88">
        <f>SUMIF(月間集計シート!$M$92:$M$111,$G1078,月間集計シート!O$92:O$111)*AF$2</f>
        <v>0</v>
      </c>
      <c r="AG1078" s="88">
        <f>SUMIF(月間集計シート!$M$92:$M$111,$G1078,月間集計シート!P$92:P$111)*AG$2</f>
        <v>0</v>
      </c>
      <c r="AH1078" s="88">
        <f>SUMIF(月間集計シート!$M$92:$M$111,$G1078,月間集計シート!Q$92:Q$111)*AH$2</f>
        <v>0</v>
      </c>
      <c r="AI1078" s="88">
        <f>SUMIF(月間集計シート!$M$92:$M$111,$G1078,月間集計シート!R$92:R$111)*AI$2</f>
        <v>0</v>
      </c>
      <c r="AJ1078" s="88">
        <f>SUMIF(月間集計シート!$M$92:$M$111,$G1078,月間集計シート!S$92:S$111)*AJ$2</f>
        <v>0</v>
      </c>
      <c r="AK1078" s="88">
        <f>SUMIF(月間集計シート!$M$92:$M$111,$G1078,月間集計シート!T$92:T$111)*AK$2</f>
        <v>0</v>
      </c>
      <c r="AL1078" s="88">
        <f>SUMIF(月間集計シート!$M$113:$M$132,$G1078,月間集計シート!N$113:N$132)*AL$2</f>
        <v>0</v>
      </c>
      <c r="AM1078" s="88">
        <f>SUMIF(月間集計シート!$M$113:$M$132,$G1078,月間集計シート!O$113:O$132)*AM$2</f>
        <v>0</v>
      </c>
      <c r="AN1078" s="88">
        <f>SUMIF(月間集計シート!$M$113:$M$132,$G1078,月間集計シート!P$113:P$132)*AN$2</f>
        <v>0</v>
      </c>
      <c r="AO1078" s="88">
        <f>SUMIF(月間集計シート!$M$113:$M$132,$G1078,月間集計シート!Q$113:Q$132)*AO$2</f>
        <v>0</v>
      </c>
      <c r="AP1078" s="88">
        <f>SUMIF(月間集計シート!$M$113:$M$132,$G1078,月間集計シート!R$113:R$132)*AP$2</f>
        <v>0</v>
      </c>
      <c r="AQ1078" s="88">
        <f>SUMIF(月間集計シート!$M$113:$M$132,$G1078,月間集計シート!S$113:S$132)*AQ$2</f>
        <v>0</v>
      </c>
      <c r="AR1078" s="88">
        <f>SUMIF(月間集計シート!$M$113:$M$132,$G1078,月間集計シート!T$113:T$132)*AR$2</f>
        <v>0</v>
      </c>
      <c r="AS1078" s="88">
        <f>SUMIF(月間集計シート!$M$134:$M$153,$G1078,月間集計シート!N$134:N$153)*AS$2</f>
        <v>0</v>
      </c>
      <c r="AT1078" s="88">
        <f>SUMIF(月間集計シート!$M$134:$M$153,$G1078,月間集計シート!O$134:O$153)*AT$2</f>
        <v>0</v>
      </c>
      <c r="AU1078" s="88">
        <f>SUMIF(月間集計シート!$M$134:$M$153,$G1078,月間集計シート!P$134:P$153)*AU$2</f>
        <v>0</v>
      </c>
      <c r="AV1078" s="88">
        <f>SUMIF(月間集計シート!$M$134:$M$153,$G1078,月間集計シート!Q$134:Q$153)*AV$2</f>
        <v>0</v>
      </c>
      <c r="AW1078" s="88">
        <f>SUMIF(月間集計シート!$M$134:$M$153,$G1078,月間集計シート!R$134:R$153)*AW$2</f>
        <v>0</v>
      </c>
      <c r="AX1078" s="88">
        <f>SUMIF(月間集計シート!$M$134:$M$153,$G1078,月間集計シート!S$134:S$153)*AX$2</f>
        <v>0</v>
      </c>
      <c r="AY1078" s="88">
        <f>SUMIF(月間集計シート!$M$134:$M$153,$G1078,月間集計シート!T$134:T$153)*AY$2</f>
        <v>0</v>
      </c>
    </row>
    <row r="1079" spans="1:51" ht="14.25" thickBot="1">
      <c r="A1079">
        <v>13</v>
      </c>
      <c r="B1079" s="120">
        <f t="shared" si="570"/>
        <v>0</v>
      </c>
      <c r="C1079" s="120" t="str">
        <f t="shared" si="571"/>
        <v/>
      </c>
      <c r="D1079" s="137"/>
      <c r="E1079" s="150">
        <f>工種!A51</f>
        <v>70102</v>
      </c>
      <c r="F1079" s="119" t="str">
        <f>工種!B51</f>
        <v>外部不具合修正：コーディング</v>
      </c>
      <c r="G1079" s="116" t="str">
        <f t="shared" si="572"/>
        <v>070102</v>
      </c>
      <c r="H1079" s="88">
        <f t="shared" si="569"/>
        <v>0</v>
      </c>
      <c r="I1079" s="132"/>
      <c r="J1079" s="88">
        <f>SUMIF(月間集計シート!$M$29:$M$48,$G1079,月間集計シート!N$29:N$48)*J$2</f>
        <v>0</v>
      </c>
      <c r="K1079" s="88">
        <f>SUMIF(月間集計シート!$M$29:$M$48,$G1079,月間集計シート!O$29:O$48)*K$2</f>
        <v>0</v>
      </c>
      <c r="L1079" s="88">
        <f>SUMIF(月間集計シート!$M$29:$M$48,$G1079,月間集計シート!P$29:P$48)*L$2</f>
        <v>0</v>
      </c>
      <c r="M1079" s="88">
        <f>SUMIF(月間集計シート!$M$29:$M$48,$G1079,月間集計シート!Q$29:Q$48)*M$2</f>
        <v>0</v>
      </c>
      <c r="N1079" s="88">
        <f>SUMIF(月間集計シート!$M$29:$M$48,$G1079,月間集計シート!R$29:R$48)*N$2</f>
        <v>0</v>
      </c>
      <c r="O1079" s="88">
        <f>SUMIF(月間集計シート!$M$29:$M$48,$G1079,月間集計シート!S$29:S$48)*O$2</f>
        <v>0</v>
      </c>
      <c r="P1079" s="88">
        <f>SUMIF(月間集計シート!$M$29:$M$48,$G1079,月間集計シート!T$29:T$48)*P$2</f>
        <v>0</v>
      </c>
      <c r="Q1079" s="88">
        <f>SUMIF(月間集計シート!$M$50:$M$69,$G1079,月間集計シート!N$50:N$69)*Q$2</f>
        <v>0</v>
      </c>
      <c r="R1079" s="88">
        <f>SUMIF(月間集計シート!$M$50:$M$69,$G1079,月間集計シート!O$50:O$69)*R$2</f>
        <v>0</v>
      </c>
      <c r="S1079" s="88">
        <f>SUMIF(月間集計シート!$M$50:$M$69,$G1079,月間集計シート!P$50:P$69)*S$2</f>
        <v>0</v>
      </c>
      <c r="T1079" s="88">
        <f>SUMIF(月間集計シート!$M$50:$M$69,$G1079,月間集計シート!Q$50:Q$69)*T$2</f>
        <v>0</v>
      </c>
      <c r="U1079" s="88">
        <f>SUMIF(月間集計シート!$M$50:$M$69,$G1079,月間集計シート!R$50:R$69)*U$2</f>
        <v>0</v>
      </c>
      <c r="V1079" s="88">
        <f>SUMIF(月間集計シート!$M$50:$M$69,$G1079,月間集計シート!S$50:S$69)*V$2</f>
        <v>0</v>
      </c>
      <c r="W1079" s="88">
        <f>SUMIF(月間集計シート!$M$50:$M$69,$G1079,月間集計シート!T$50:T$69)*W$2</f>
        <v>0</v>
      </c>
      <c r="X1079" s="88">
        <f>SUMIF(月間集計シート!$M$71:$M$90,$G1079,月間集計シート!N$71:N$90)*X$2</f>
        <v>0</v>
      </c>
      <c r="Y1079" s="88">
        <f>SUMIF(月間集計シート!$M$71:$M$90,$G1079,月間集計シート!O$71:O$90)*Y$2</f>
        <v>0</v>
      </c>
      <c r="Z1079" s="88">
        <f>SUMIF(月間集計シート!$M$71:$M$90,$G1079,月間集計シート!P$71:P$90)*Z$2</f>
        <v>0</v>
      </c>
      <c r="AA1079" s="88">
        <f>SUMIF(月間集計シート!$M$71:$M$90,$G1079,月間集計シート!Q$71:Q$90)*AA$2</f>
        <v>0</v>
      </c>
      <c r="AB1079" s="88">
        <f>SUMIF(月間集計シート!$M$71:$M$90,$G1079,月間集計シート!R$71:R$90)*AB$2</f>
        <v>0</v>
      </c>
      <c r="AC1079" s="88">
        <f>SUMIF(月間集計シート!$M$71:$M$90,$G1079,月間集計シート!S$71:S$90)*AC$2</f>
        <v>0</v>
      </c>
      <c r="AD1079" s="88">
        <f>SUMIF(月間集計シート!$M$71:$M$90,$G1079,月間集計シート!T$71:T$90)*AD$2</f>
        <v>0</v>
      </c>
      <c r="AE1079" s="88">
        <f>SUMIF(月間集計シート!$M$92:$M$111,$G1079,月間集計シート!N$92:N$111)*AE$2</f>
        <v>0</v>
      </c>
      <c r="AF1079" s="88">
        <f>SUMIF(月間集計シート!$M$92:$M$111,$G1079,月間集計シート!O$92:O$111)*AF$2</f>
        <v>0</v>
      </c>
      <c r="AG1079" s="88">
        <f>SUMIF(月間集計シート!$M$92:$M$111,$G1079,月間集計シート!P$92:P$111)*AG$2</f>
        <v>0</v>
      </c>
      <c r="AH1079" s="88">
        <f>SUMIF(月間集計シート!$M$92:$M$111,$G1079,月間集計シート!Q$92:Q$111)*AH$2</f>
        <v>0</v>
      </c>
      <c r="AI1079" s="88">
        <f>SUMIF(月間集計シート!$M$92:$M$111,$G1079,月間集計シート!R$92:R$111)*AI$2</f>
        <v>0</v>
      </c>
      <c r="AJ1079" s="88">
        <f>SUMIF(月間集計シート!$M$92:$M$111,$G1079,月間集計シート!S$92:S$111)*AJ$2</f>
        <v>0</v>
      </c>
      <c r="AK1079" s="88">
        <f>SUMIF(月間集計シート!$M$92:$M$111,$G1079,月間集計シート!T$92:T$111)*AK$2</f>
        <v>0</v>
      </c>
      <c r="AL1079" s="88">
        <f>SUMIF(月間集計シート!$M$113:$M$132,$G1079,月間集計シート!N$113:N$132)*AL$2</f>
        <v>0</v>
      </c>
      <c r="AM1079" s="88">
        <f>SUMIF(月間集計シート!$M$113:$M$132,$G1079,月間集計シート!O$113:O$132)*AM$2</f>
        <v>0</v>
      </c>
      <c r="AN1079" s="88">
        <f>SUMIF(月間集計シート!$M$113:$M$132,$G1079,月間集計シート!P$113:P$132)*AN$2</f>
        <v>0</v>
      </c>
      <c r="AO1079" s="88">
        <f>SUMIF(月間集計シート!$M$113:$M$132,$G1079,月間集計シート!Q$113:Q$132)*AO$2</f>
        <v>0</v>
      </c>
      <c r="AP1079" s="88">
        <f>SUMIF(月間集計シート!$M$113:$M$132,$G1079,月間集計シート!R$113:R$132)*AP$2</f>
        <v>0</v>
      </c>
      <c r="AQ1079" s="88">
        <f>SUMIF(月間集計シート!$M$113:$M$132,$G1079,月間集計シート!S$113:S$132)*AQ$2</f>
        <v>0</v>
      </c>
      <c r="AR1079" s="88">
        <f>SUMIF(月間集計シート!$M$113:$M$132,$G1079,月間集計シート!T$113:T$132)*AR$2</f>
        <v>0</v>
      </c>
      <c r="AS1079" s="88">
        <f>SUMIF(月間集計シート!$M$134:$M$153,$G1079,月間集計シート!N$134:N$153)*AS$2</f>
        <v>0</v>
      </c>
      <c r="AT1079" s="88">
        <f>SUMIF(月間集計シート!$M$134:$M$153,$G1079,月間集計シート!O$134:O$153)*AT$2</f>
        <v>0</v>
      </c>
      <c r="AU1079" s="88">
        <f>SUMIF(月間集計シート!$M$134:$M$153,$G1079,月間集計シート!P$134:P$153)*AU$2</f>
        <v>0</v>
      </c>
      <c r="AV1079" s="88">
        <f>SUMIF(月間集計シート!$M$134:$M$153,$G1079,月間集計シート!Q$134:Q$153)*AV$2</f>
        <v>0</v>
      </c>
      <c r="AW1079" s="88">
        <f>SUMIF(月間集計シート!$M$134:$M$153,$G1079,月間集計シート!R$134:R$153)*AW$2</f>
        <v>0</v>
      </c>
      <c r="AX1079" s="88">
        <f>SUMIF(月間集計シート!$M$134:$M$153,$G1079,月間集計シート!S$134:S$153)*AX$2</f>
        <v>0</v>
      </c>
      <c r="AY1079" s="88">
        <f>SUMIF(月間集計シート!$M$134:$M$153,$G1079,月間集計シート!T$134:T$153)*AY$2</f>
        <v>0</v>
      </c>
    </row>
    <row r="1080" spans="1:51" ht="14.25" thickBot="1">
      <c r="A1080">
        <v>13</v>
      </c>
      <c r="B1080" s="120">
        <f t="shared" si="570"/>
        <v>0</v>
      </c>
      <c r="C1080" s="120" t="str">
        <f t="shared" si="571"/>
        <v/>
      </c>
      <c r="D1080" s="137"/>
      <c r="E1080" s="150">
        <f>工種!A52</f>
        <v>70103</v>
      </c>
      <c r="F1080" s="119" t="str">
        <f>工種!B52</f>
        <v>外部不具合修正：テスト</v>
      </c>
      <c r="G1080" s="116" t="str">
        <f t="shared" si="572"/>
        <v>070103</v>
      </c>
      <c r="H1080" s="88">
        <f t="shared" si="569"/>
        <v>0</v>
      </c>
      <c r="I1080" s="132"/>
      <c r="J1080" s="88">
        <f>SUMIF(月間集計シート!$M$29:$M$48,$G1080,月間集計シート!N$29:N$48)*J$2</f>
        <v>0</v>
      </c>
      <c r="K1080" s="88">
        <f>SUMIF(月間集計シート!$M$29:$M$48,$G1080,月間集計シート!O$29:O$48)*K$2</f>
        <v>0</v>
      </c>
      <c r="L1080" s="88">
        <f>SUMIF(月間集計シート!$M$29:$M$48,$G1080,月間集計シート!P$29:P$48)*L$2</f>
        <v>0</v>
      </c>
      <c r="M1080" s="88">
        <f>SUMIF(月間集計シート!$M$29:$M$48,$G1080,月間集計シート!Q$29:Q$48)*M$2</f>
        <v>0</v>
      </c>
      <c r="N1080" s="88">
        <f>SUMIF(月間集計シート!$M$29:$M$48,$G1080,月間集計シート!R$29:R$48)*N$2</f>
        <v>0</v>
      </c>
      <c r="O1080" s="88">
        <f>SUMIF(月間集計シート!$M$29:$M$48,$G1080,月間集計シート!S$29:S$48)*O$2</f>
        <v>0</v>
      </c>
      <c r="P1080" s="88">
        <f>SUMIF(月間集計シート!$M$29:$M$48,$G1080,月間集計シート!T$29:T$48)*P$2</f>
        <v>0</v>
      </c>
      <c r="Q1080" s="88">
        <f>SUMIF(月間集計シート!$M$50:$M$69,$G1080,月間集計シート!N$50:N$69)*Q$2</f>
        <v>0</v>
      </c>
      <c r="R1080" s="88">
        <f>SUMIF(月間集計シート!$M$50:$M$69,$G1080,月間集計シート!O$50:O$69)*R$2</f>
        <v>0</v>
      </c>
      <c r="S1080" s="88">
        <f>SUMIF(月間集計シート!$M$50:$M$69,$G1080,月間集計シート!P$50:P$69)*S$2</f>
        <v>0</v>
      </c>
      <c r="T1080" s="88">
        <f>SUMIF(月間集計シート!$M$50:$M$69,$G1080,月間集計シート!Q$50:Q$69)*T$2</f>
        <v>0</v>
      </c>
      <c r="U1080" s="88">
        <f>SUMIF(月間集計シート!$M$50:$M$69,$G1080,月間集計シート!R$50:R$69)*U$2</f>
        <v>0</v>
      </c>
      <c r="V1080" s="88">
        <f>SUMIF(月間集計シート!$M$50:$M$69,$G1080,月間集計シート!S$50:S$69)*V$2</f>
        <v>0</v>
      </c>
      <c r="W1080" s="88">
        <f>SUMIF(月間集計シート!$M$50:$M$69,$G1080,月間集計シート!T$50:T$69)*W$2</f>
        <v>0</v>
      </c>
      <c r="X1080" s="88">
        <f>SUMIF(月間集計シート!$M$71:$M$90,$G1080,月間集計シート!N$71:N$90)*X$2</f>
        <v>0</v>
      </c>
      <c r="Y1080" s="88">
        <f>SUMIF(月間集計シート!$M$71:$M$90,$G1080,月間集計シート!O$71:O$90)*Y$2</f>
        <v>0</v>
      </c>
      <c r="Z1080" s="88">
        <f>SUMIF(月間集計シート!$M$71:$M$90,$G1080,月間集計シート!P$71:P$90)*Z$2</f>
        <v>0</v>
      </c>
      <c r="AA1080" s="88">
        <f>SUMIF(月間集計シート!$M$71:$M$90,$G1080,月間集計シート!Q$71:Q$90)*AA$2</f>
        <v>0</v>
      </c>
      <c r="AB1080" s="88">
        <f>SUMIF(月間集計シート!$M$71:$M$90,$G1080,月間集計シート!R$71:R$90)*AB$2</f>
        <v>0</v>
      </c>
      <c r="AC1080" s="88">
        <f>SUMIF(月間集計シート!$M$71:$M$90,$G1080,月間集計シート!S$71:S$90)*AC$2</f>
        <v>0</v>
      </c>
      <c r="AD1080" s="88">
        <f>SUMIF(月間集計シート!$M$71:$M$90,$G1080,月間集計シート!T$71:T$90)*AD$2</f>
        <v>0</v>
      </c>
      <c r="AE1080" s="88">
        <f>SUMIF(月間集計シート!$M$92:$M$111,$G1080,月間集計シート!N$92:N$111)*AE$2</f>
        <v>0</v>
      </c>
      <c r="AF1080" s="88">
        <f>SUMIF(月間集計シート!$M$92:$M$111,$G1080,月間集計シート!O$92:O$111)*AF$2</f>
        <v>0</v>
      </c>
      <c r="AG1080" s="88">
        <f>SUMIF(月間集計シート!$M$92:$M$111,$G1080,月間集計シート!P$92:P$111)*AG$2</f>
        <v>0</v>
      </c>
      <c r="AH1080" s="88">
        <f>SUMIF(月間集計シート!$M$92:$M$111,$G1080,月間集計シート!Q$92:Q$111)*AH$2</f>
        <v>0</v>
      </c>
      <c r="AI1080" s="88">
        <f>SUMIF(月間集計シート!$M$92:$M$111,$G1080,月間集計シート!R$92:R$111)*AI$2</f>
        <v>0</v>
      </c>
      <c r="AJ1080" s="88">
        <f>SUMIF(月間集計シート!$M$92:$M$111,$G1080,月間集計シート!S$92:S$111)*AJ$2</f>
        <v>0</v>
      </c>
      <c r="AK1080" s="88">
        <f>SUMIF(月間集計シート!$M$92:$M$111,$G1080,月間集計シート!T$92:T$111)*AK$2</f>
        <v>0</v>
      </c>
      <c r="AL1080" s="88">
        <f>SUMIF(月間集計シート!$M$113:$M$132,$G1080,月間集計シート!N$113:N$132)*AL$2</f>
        <v>0</v>
      </c>
      <c r="AM1080" s="88">
        <f>SUMIF(月間集計シート!$M$113:$M$132,$G1080,月間集計シート!O$113:O$132)*AM$2</f>
        <v>0</v>
      </c>
      <c r="AN1080" s="88">
        <f>SUMIF(月間集計シート!$M$113:$M$132,$G1080,月間集計シート!P$113:P$132)*AN$2</f>
        <v>0</v>
      </c>
      <c r="AO1080" s="88">
        <f>SUMIF(月間集計シート!$M$113:$M$132,$G1080,月間集計シート!Q$113:Q$132)*AO$2</f>
        <v>0</v>
      </c>
      <c r="AP1080" s="88">
        <f>SUMIF(月間集計シート!$M$113:$M$132,$G1080,月間集計シート!R$113:R$132)*AP$2</f>
        <v>0</v>
      </c>
      <c r="AQ1080" s="88">
        <f>SUMIF(月間集計シート!$M$113:$M$132,$G1080,月間集計シート!S$113:S$132)*AQ$2</f>
        <v>0</v>
      </c>
      <c r="AR1080" s="88">
        <f>SUMIF(月間集計シート!$M$113:$M$132,$G1080,月間集計シート!T$113:T$132)*AR$2</f>
        <v>0</v>
      </c>
      <c r="AS1080" s="88">
        <f>SUMIF(月間集計シート!$M$134:$M$153,$G1080,月間集計シート!N$134:N$153)*AS$2</f>
        <v>0</v>
      </c>
      <c r="AT1080" s="88">
        <f>SUMIF(月間集計シート!$M$134:$M$153,$G1080,月間集計シート!O$134:O$153)*AT$2</f>
        <v>0</v>
      </c>
      <c r="AU1080" s="88">
        <f>SUMIF(月間集計シート!$M$134:$M$153,$G1080,月間集計シート!P$134:P$153)*AU$2</f>
        <v>0</v>
      </c>
      <c r="AV1080" s="88">
        <f>SUMIF(月間集計シート!$M$134:$M$153,$G1080,月間集計シート!Q$134:Q$153)*AV$2</f>
        <v>0</v>
      </c>
      <c r="AW1080" s="88">
        <f>SUMIF(月間集計シート!$M$134:$M$153,$G1080,月間集計シート!R$134:R$153)*AW$2</f>
        <v>0</v>
      </c>
      <c r="AX1080" s="88">
        <f>SUMIF(月間集計シート!$M$134:$M$153,$G1080,月間集計シート!S$134:S$153)*AX$2</f>
        <v>0</v>
      </c>
      <c r="AY1080" s="88">
        <f>SUMIF(月間集計シート!$M$134:$M$153,$G1080,月間集計シート!T$134:T$153)*AY$2</f>
        <v>0</v>
      </c>
    </row>
    <row r="1081" spans="1:51" ht="14.25" thickBot="1">
      <c r="A1081">
        <v>13</v>
      </c>
      <c r="B1081" s="120">
        <f t="shared" si="570"/>
        <v>0</v>
      </c>
      <c r="C1081" s="120" t="str">
        <f t="shared" si="571"/>
        <v/>
      </c>
      <c r="D1081" s="137"/>
      <c r="E1081" s="150">
        <f>工種!A53</f>
        <v>70104</v>
      </c>
      <c r="F1081" s="119" t="str">
        <f>工種!B53</f>
        <v>外部不具合修正：不具合連絡作成</v>
      </c>
      <c r="G1081" s="116" t="str">
        <f t="shared" si="572"/>
        <v>070104</v>
      </c>
      <c r="H1081" s="88">
        <f t="shared" si="569"/>
        <v>0</v>
      </c>
      <c r="I1081" s="132"/>
      <c r="J1081" s="88">
        <f>SUMIF(月間集計シート!$M$29:$M$48,$G1081,月間集計シート!N$29:N$48)*J$2</f>
        <v>0</v>
      </c>
      <c r="K1081" s="88">
        <f>SUMIF(月間集計シート!$M$29:$M$48,$G1081,月間集計シート!O$29:O$48)*K$2</f>
        <v>0</v>
      </c>
      <c r="L1081" s="88">
        <f>SUMIF(月間集計シート!$M$29:$M$48,$G1081,月間集計シート!P$29:P$48)*L$2</f>
        <v>0</v>
      </c>
      <c r="M1081" s="88">
        <f>SUMIF(月間集計シート!$M$29:$M$48,$G1081,月間集計シート!Q$29:Q$48)*M$2</f>
        <v>0</v>
      </c>
      <c r="N1081" s="88">
        <f>SUMIF(月間集計シート!$M$29:$M$48,$G1081,月間集計シート!R$29:R$48)*N$2</f>
        <v>0</v>
      </c>
      <c r="O1081" s="88">
        <f>SUMIF(月間集計シート!$M$29:$M$48,$G1081,月間集計シート!S$29:S$48)*O$2</f>
        <v>0</v>
      </c>
      <c r="P1081" s="88">
        <f>SUMIF(月間集計シート!$M$29:$M$48,$G1081,月間集計シート!T$29:T$48)*P$2</f>
        <v>0</v>
      </c>
      <c r="Q1081" s="88">
        <f>SUMIF(月間集計シート!$M$50:$M$69,$G1081,月間集計シート!N$50:N$69)*Q$2</f>
        <v>0</v>
      </c>
      <c r="R1081" s="88">
        <f>SUMIF(月間集計シート!$M$50:$M$69,$G1081,月間集計シート!O$50:O$69)*R$2</f>
        <v>0</v>
      </c>
      <c r="S1081" s="88">
        <f>SUMIF(月間集計シート!$M$50:$M$69,$G1081,月間集計シート!P$50:P$69)*S$2</f>
        <v>0</v>
      </c>
      <c r="T1081" s="88">
        <f>SUMIF(月間集計シート!$M$50:$M$69,$G1081,月間集計シート!Q$50:Q$69)*T$2</f>
        <v>0</v>
      </c>
      <c r="U1081" s="88">
        <f>SUMIF(月間集計シート!$M$50:$M$69,$G1081,月間集計シート!R$50:R$69)*U$2</f>
        <v>0</v>
      </c>
      <c r="V1081" s="88">
        <f>SUMIF(月間集計シート!$M$50:$M$69,$G1081,月間集計シート!S$50:S$69)*V$2</f>
        <v>0</v>
      </c>
      <c r="W1081" s="88">
        <f>SUMIF(月間集計シート!$M$50:$M$69,$G1081,月間集計シート!T$50:T$69)*W$2</f>
        <v>0</v>
      </c>
      <c r="X1081" s="88">
        <f>SUMIF(月間集計シート!$M$71:$M$90,$G1081,月間集計シート!N$71:N$90)*X$2</f>
        <v>0</v>
      </c>
      <c r="Y1081" s="88">
        <f>SUMIF(月間集計シート!$M$71:$M$90,$G1081,月間集計シート!O$71:O$90)*Y$2</f>
        <v>0</v>
      </c>
      <c r="Z1081" s="88">
        <f>SUMIF(月間集計シート!$M$71:$M$90,$G1081,月間集計シート!P$71:P$90)*Z$2</f>
        <v>0</v>
      </c>
      <c r="AA1081" s="88">
        <f>SUMIF(月間集計シート!$M$71:$M$90,$G1081,月間集計シート!Q$71:Q$90)*AA$2</f>
        <v>0</v>
      </c>
      <c r="AB1081" s="88">
        <f>SUMIF(月間集計シート!$M$71:$M$90,$G1081,月間集計シート!R$71:R$90)*AB$2</f>
        <v>0</v>
      </c>
      <c r="AC1081" s="88">
        <f>SUMIF(月間集計シート!$M$71:$M$90,$G1081,月間集計シート!S$71:S$90)*AC$2</f>
        <v>0</v>
      </c>
      <c r="AD1081" s="88">
        <f>SUMIF(月間集計シート!$M$71:$M$90,$G1081,月間集計シート!T$71:T$90)*AD$2</f>
        <v>0</v>
      </c>
      <c r="AE1081" s="88">
        <f>SUMIF(月間集計シート!$M$92:$M$111,$G1081,月間集計シート!N$92:N$111)*AE$2</f>
        <v>0</v>
      </c>
      <c r="AF1081" s="88">
        <f>SUMIF(月間集計シート!$M$92:$M$111,$G1081,月間集計シート!O$92:O$111)*AF$2</f>
        <v>0</v>
      </c>
      <c r="AG1081" s="88">
        <f>SUMIF(月間集計シート!$M$92:$M$111,$G1081,月間集計シート!P$92:P$111)*AG$2</f>
        <v>0</v>
      </c>
      <c r="AH1081" s="88">
        <f>SUMIF(月間集計シート!$M$92:$M$111,$G1081,月間集計シート!Q$92:Q$111)*AH$2</f>
        <v>0</v>
      </c>
      <c r="AI1081" s="88">
        <f>SUMIF(月間集計シート!$M$92:$M$111,$G1081,月間集計シート!R$92:R$111)*AI$2</f>
        <v>0</v>
      </c>
      <c r="AJ1081" s="88">
        <f>SUMIF(月間集計シート!$M$92:$M$111,$G1081,月間集計シート!S$92:S$111)*AJ$2</f>
        <v>0</v>
      </c>
      <c r="AK1081" s="88">
        <f>SUMIF(月間集計シート!$M$92:$M$111,$G1081,月間集計シート!T$92:T$111)*AK$2</f>
        <v>0</v>
      </c>
      <c r="AL1081" s="88">
        <f>SUMIF(月間集計シート!$M$113:$M$132,$G1081,月間集計シート!N$113:N$132)*AL$2</f>
        <v>0</v>
      </c>
      <c r="AM1081" s="88">
        <f>SUMIF(月間集計シート!$M$113:$M$132,$G1081,月間集計シート!O$113:O$132)*AM$2</f>
        <v>0</v>
      </c>
      <c r="AN1081" s="88">
        <f>SUMIF(月間集計シート!$M$113:$M$132,$G1081,月間集計シート!P$113:P$132)*AN$2</f>
        <v>0</v>
      </c>
      <c r="AO1081" s="88">
        <f>SUMIF(月間集計シート!$M$113:$M$132,$G1081,月間集計シート!Q$113:Q$132)*AO$2</f>
        <v>0</v>
      </c>
      <c r="AP1081" s="88">
        <f>SUMIF(月間集計シート!$M$113:$M$132,$G1081,月間集計シート!R$113:R$132)*AP$2</f>
        <v>0</v>
      </c>
      <c r="AQ1081" s="88">
        <f>SUMIF(月間集計シート!$M$113:$M$132,$G1081,月間集計シート!S$113:S$132)*AQ$2</f>
        <v>0</v>
      </c>
      <c r="AR1081" s="88">
        <f>SUMIF(月間集計シート!$M$113:$M$132,$G1081,月間集計シート!T$113:T$132)*AR$2</f>
        <v>0</v>
      </c>
      <c r="AS1081" s="88">
        <f>SUMIF(月間集計シート!$M$134:$M$153,$G1081,月間集計シート!N$134:N$153)*AS$2</f>
        <v>0</v>
      </c>
      <c r="AT1081" s="88">
        <f>SUMIF(月間集計シート!$M$134:$M$153,$G1081,月間集計シート!O$134:O$153)*AT$2</f>
        <v>0</v>
      </c>
      <c r="AU1081" s="88">
        <f>SUMIF(月間集計シート!$M$134:$M$153,$G1081,月間集計シート!P$134:P$153)*AU$2</f>
        <v>0</v>
      </c>
      <c r="AV1081" s="88">
        <f>SUMIF(月間集計シート!$M$134:$M$153,$G1081,月間集計シート!Q$134:Q$153)*AV$2</f>
        <v>0</v>
      </c>
      <c r="AW1081" s="88">
        <f>SUMIF(月間集計シート!$M$134:$M$153,$G1081,月間集計シート!R$134:R$153)*AW$2</f>
        <v>0</v>
      </c>
      <c r="AX1081" s="88">
        <f>SUMIF(月間集計シート!$M$134:$M$153,$G1081,月間集計シート!S$134:S$153)*AX$2</f>
        <v>0</v>
      </c>
      <c r="AY1081" s="88">
        <f>SUMIF(月間集計シート!$M$134:$M$153,$G1081,月間集計シート!T$134:T$153)*AY$2</f>
        <v>0</v>
      </c>
    </row>
    <row r="1082" spans="1:51" ht="14.25" thickBot="1">
      <c r="A1082">
        <v>13</v>
      </c>
      <c r="B1082" s="120">
        <f t="shared" si="570"/>
        <v>0</v>
      </c>
      <c r="C1082" s="120" t="str">
        <f t="shared" si="571"/>
        <v/>
      </c>
      <c r="D1082" s="137"/>
      <c r="E1082" s="150">
        <f>工種!A54</f>
        <v>70105</v>
      </c>
      <c r="F1082" s="119" t="str">
        <f>工種!B54</f>
        <v>外部不具合修正：差分PGイントラ掲載</v>
      </c>
      <c r="G1082" s="116" t="str">
        <f t="shared" si="572"/>
        <v>070105</v>
      </c>
      <c r="H1082" s="88">
        <f t="shared" si="569"/>
        <v>0</v>
      </c>
      <c r="I1082" s="132"/>
      <c r="J1082" s="88">
        <f>SUMIF(月間集計シート!$M$29:$M$48,$G1082,月間集計シート!N$29:N$48)*J$2</f>
        <v>0</v>
      </c>
      <c r="K1082" s="88">
        <f>SUMIF(月間集計シート!$M$29:$M$48,$G1082,月間集計シート!O$29:O$48)*K$2</f>
        <v>0</v>
      </c>
      <c r="L1082" s="88">
        <f>SUMIF(月間集計シート!$M$29:$M$48,$G1082,月間集計シート!P$29:P$48)*L$2</f>
        <v>0</v>
      </c>
      <c r="M1082" s="88">
        <f>SUMIF(月間集計シート!$M$29:$M$48,$G1082,月間集計シート!Q$29:Q$48)*M$2</f>
        <v>0</v>
      </c>
      <c r="N1082" s="88">
        <f>SUMIF(月間集計シート!$M$29:$M$48,$G1082,月間集計シート!R$29:R$48)*N$2</f>
        <v>0</v>
      </c>
      <c r="O1082" s="88">
        <f>SUMIF(月間集計シート!$M$29:$M$48,$G1082,月間集計シート!S$29:S$48)*O$2</f>
        <v>0</v>
      </c>
      <c r="P1082" s="88">
        <f>SUMIF(月間集計シート!$M$29:$M$48,$G1082,月間集計シート!T$29:T$48)*P$2</f>
        <v>0</v>
      </c>
      <c r="Q1082" s="88">
        <f>SUMIF(月間集計シート!$M$50:$M$69,$G1082,月間集計シート!N$50:N$69)*Q$2</f>
        <v>0</v>
      </c>
      <c r="R1082" s="88">
        <f>SUMIF(月間集計シート!$M$50:$M$69,$G1082,月間集計シート!O$50:O$69)*R$2</f>
        <v>0</v>
      </c>
      <c r="S1082" s="88">
        <f>SUMIF(月間集計シート!$M$50:$M$69,$G1082,月間集計シート!P$50:P$69)*S$2</f>
        <v>0</v>
      </c>
      <c r="T1082" s="88">
        <f>SUMIF(月間集計シート!$M$50:$M$69,$G1082,月間集計シート!Q$50:Q$69)*T$2</f>
        <v>0</v>
      </c>
      <c r="U1082" s="88">
        <f>SUMIF(月間集計シート!$M$50:$M$69,$G1082,月間集計シート!R$50:R$69)*U$2</f>
        <v>0</v>
      </c>
      <c r="V1082" s="88">
        <f>SUMIF(月間集計シート!$M$50:$M$69,$G1082,月間集計シート!S$50:S$69)*V$2</f>
        <v>0</v>
      </c>
      <c r="W1082" s="88">
        <f>SUMIF(月間集計シート!$M$50:$M$69,$G1082,月間集計シート!T$50:T$69)*W$2</f>
        <v>0</v>
      </c>
      <c r="X1082" s="88">
        <f>SUMIF(月間集計シート!$M$71:$M$90,$G1082,月間集計シート!N$71:N$90)*X$2</f>
        <v>0</v>
      </c>
      <c r="Y1082" s="88">
        <f>SUMIF(月間集計シート!$M$71:$M$90,$G1082,月間集計シート!O$71:O$90)*Y$2</f>
        <v>0</v>
      </c>
      <c r="Z1082" s="88">
        <f>SUMIF(月間集計シート!$M$71:$M$90,$G1082,月間集計シート!P$71:P$90)*Z$2</f>
        <v>0</v>
      </c>
      <c r="AA1082" s="88">
        <f>SUMIF(月間集計シート!$M$71:$M$90,$G1082,月間集計シート!Q$71:Q$90)*AA$2</f>
        <v>0</v>
      </c>
      <c r="AB1082" s="88">
        <f>SUMIF(月間集計シート!$M$71:$M$90,$G1082,月間集計シート!R$71:R$90)*AB$2</f>
        <v>0</v>
      </c>
      <c r="AC1082" s="88">
        <f>SUMIF(月間集計シート!$M$71:$M$90,$G1082,月間集計シート!S$71:S$90)*AC$2</f>
        <v>0</v>
      </c>
      <c r="AD1082" s="88">
        <f>SUMIF(月間集計シート!$M$71:$M$90,$G1082,月間集計シート!T$71:T$90)*AD$2</f>
        <v>0</v>
      </c>
      <c r="AE1082" s="88">
        <f>SUMIF(月間集計シート!$M$92:$M$111,$G1082,月間集計シート!N$92:N$111)*AE$2</f>
        <v>0</v>
      </c>
      <c r="AF1082" s="88">
        <f>SUMIF(月間集計シート!$M$92:$M$111,$G1082,月間集計シート!O$92:O$111)*AF$2</f>
        <v>0</v>
      </c>
      <c r="AG1082" s="88">
        <f>SUMIF(月間集計シート!$M$92:$M$111,$G1082,月間集計シート!P$92:P$111)*AG$2</f>
        <v>0</v>
      </c>
      <c r="AH1082" s="88">
        <f>SUMIF(月間集計シート!$M$92:$M$111,$G1082,月間集計シート!Q$92:Q$111)*AH$2</f>
        <v>0</v>
      </c>
      <c r="AI1082" s="88">
        <f>SUMIF(月間集計シート!$M$92:$M$111,$G1082,月間集計シート!R$92:R$111)*AI$2</f>
        <v>0</v>
      </c>
      <c r="AJ1082" s="88">
        <f>SUMIF(月間集計シート!$M$92:$M$111,$G1082,月間集計シート!S$92:S$111)*AJ$2</f>
        <v>0</v>
      </c>
      <c r="AK1082" s="88">
        <f>SUMIF(月間集計シート!$M$92:$M$111,$G1082,月間集計シート!T$92:T$111)*AK$2</f>
        <v>0</v>
      </c>
      <c r="AL1082" s="88">
        <f>SUMIF(月間集計シート!$M$113:$M$132,$G1082,月間集計シート!N$113:N$132)*AL$2</f>
        <v>0</v>
      </c>
      <c r="AM1082" s="88">
        <f>SUMIF(月間集計シート!$M$113:$M$132,$G1082,月間集計シート!O$113:O$132)*AM$2</f>
        <v>0</v>
      </c>
      <c r="AN1082" s="88">
        <f>SUMIF(月間集計シート!$M$113:$M$132,$G1082,月間集計シート!P$113:P$132)*AN$2</f>
        <v>0</v>
      </c>
      <c r="AO1082" s="88">
        <f>SUMIF(月間集計シート!$M$113:$M$132,$G1082,月間集計シート!Q$113:Q$132)*AO$2</f>
        <v>0</v>
      </c>
      <c r="AP1082" s="88">
        <f>SUMIF(月間集計シート!$M$113:$M$132,$G1082,月間集計シート!R$113:R$132)*AP$2</f>
        <v>0</v>
      </c>
      <c r="AQ1082" s="88">
        <f>SUMIF(月間集計シート!$M$113:$M$132,$G1082,月間集計シート!S$113:S$132)*AQ$2</f>
        <v>0</v>
      </c>
      <c r="AR1082" s="88">
        <f>SUMIF(月間集計シート!$M$113:$M$132,$G1082,月間集計シート!T$113:T$132)*AR$2</f>
        <v>0</v>
      </c>
      <c r="AS1082" s="88">
        <f>SUMIF(月間集計シート!$M$134:$M$153,$G1082,月間集計シート!N$134:N$153)*AS$2</f>
        <v>0</v>
      </c>
      <c r="AT1082" s="88">
        <f>SUMIF(月間集計シート!$M$134:$M$153,$G1082,月間集計シート!O$134:O$153)*AT$2</f>
        <v>0</v>
      </c>
      <c r="AU1082" s="88">
        <f>SUMIF(月間集計シート!$M$134:$M$153,$G1082,月間集計シート!P$134:P$153)*AU$2</f>
        <v>0</v>
      </c>
      <c r="AV1082" s="88">
        <f>SUMIF(月間集計シート!$M$134:$M$153,$G1082,月間集計シート!Q$134:Q$153)*AV$2</f>
        <v>0</v>
      </c>
      <c r="AW1082" s="88">
        <f>SUMIF(月間集計シート!$M$134:$M$153,$G1082,月間集計シート!R$134:R$153)*AW$2</f>
        <v>0</v>
      </c>
      <c r="AX1082" s="88">
        <f>SUMIF(月間集計シート!$M$134:$M$153,$G1082,月間集計シート!S$134:S$153)*AX$2</f>
        <v>0</v>
      </c>
      <c r="AY1082" s="88">
        <f>SUMIF(月間集計シート!$M$134:$M$153,$G1082,月間集計シート!T$134:T$153)*AY$2</f>
        <v>0</v>
      </c>
    </row>
    <row r="1083" spans="1:51" ht="14.25" thickBot="1">
      <c r="A1083">
        <v>13</v>
      </c>
      <c r="B1083" s="120">
        <f t="shared" si="570"/>
        <v>0</v>
      </c>
      <c r="C1083" s="120" t="str">
        <f t="shared" si="571"/>
        <v/>
      </c>
      <c r="D1083" s="137"/>
      <c r="E1083" s="150">
        <f>工種!A55</f>
        <v>70106</v>
      </c>
      <c r="F1083" s="119" t="str">
        <f>工種!B55</f>
        <v>外部不具合修正：打合せ</v>
      </c>
      <c r="G1083" s="116" t="str">
        <f t="shared" si="572"/>
        <v>070106</v>
      </c>
      <c r="H1083" s="88">
        <f t="shared" si="569"/>
        <v>0</v>
      </c>
      <c r="I1083" s="132"/>
      <c r="J1083" s="88">
        <f>SUMIF(月間集計シート!$M$29:$M$48,$G1083,月間集計シート!N$29:N$48)*J$2</f>
        <v>0</v>
      </c>
      <c r="K1083" s="88">
        <f>SUMIF(月間集計シート!$M$29:$M$48,$G1083,月間集計シート!O$29:O$48)*K$2</f>
        <v>0</v>
      </c>
      <c r="L1083" s="88">
        <f>SUMIF(月間集計シート!$M$29:$M$48,$G1083,月間集計シート!P$29:P$48)*L$2</f>
        <v>0</v>
      </c>
      <c r="M1083" s="88">
        <f>SUMIF(月間集計シート!$M$29:$M$48,$G1083,月間集計シート!Q$29:Q$48)*M$2</f>
        <v>0</v>
      </c>
      <c r="N1083" s="88">
        <f>SUMIF(月間集計シート!$M$29:$M$48,$G1083,月間集計シート!R$29:R$48)*N$2</f>
        <v>0</v>
      </c>
      <c r="O1083" s="88">
        <f>SUMIF(月間集計シート!$M$29:$M$48,$G1083,月間集計シート!S$29:S$48)*O$2</f>
        <v>0</v>
      </c>
      <c r="P1083" s="88">
        <f>SUMIF(月間集計シート!$M$29:$M$48,$G1083,月間集計シート!T$29:T$48)*P$2</f>
        <v>0</v>
      </c>
      <c r="Q1083" s="88">
        <f>SUMIF(月間集計シート!$M$50:$M$69,$G1083,月間集計シート!N$50:N$69)*Q$2</f>
        <v>0</v>
      </c>
      <c r="R1083" s="88">
        <f>SUMIF(月間集計シート!$M$50:$M$69,$G1083,月間集計シート!O$50:O$69)*R$2</f>
        <v>0</v>
      </c>
      <c r="S1083" s="88">
        <f>SUMIF(月間集計シート!$M$50:$M$69,$G1083,月間集計シート!P$50:P$69)*S$2</f>
        <v>0</v>
      </c>
      <c r="T1083" s="88">
        <f>SUMIF(月間集計シート!$M$50:$M$69,$G1083,月間集計シート!Q$50:Q$69)*T$2</f>
        <v>0</v>
      </c>
      <c r="U1083" s="88">
        <f>SUMIF(月間集計シート!$M$50:$M$69,$G1083,月間集計シート!R$50:R$69)*U$2</f>
        <v>0</v>
      </c>
      <c r="V1083" s="88">
        <f>SUMIF(月間集計シート!$M$50:$M$69,$G1083,月間集計シート!S$50:S$69)*V$2</f>
        <v>0</v>
      </c>
      <c r="W1083" s="88">
        <f>SUMIF(月間集計シート!$M$50:$M$69,$G1083,月間集計シート!T$50:T$69)*W$2</f>
        <v>0</v>
      </c>
      <c r="X1083" s="88">
        <f>SUMIF(月間集計シート!$M$71:$M$90,$G1083,月間集計シート!N$71:N$90)*X$2</f>
        <v>0</v>
      </c>
      <c r="Y1083" s="88">
        <f>SUMIF(月間集計シート!$M$71:$M$90,$G1083,月間集計シート!O$71:O$90)*Y$2</f>
        <v>0</v>
      </c>
      <c r="Z1083" s="88">
        <f>SUMIF(月間集計シート!$M$71:$M$90,$G1083,月間集計シート!P$71:P$90)*Z$2</f>
        <v>0</v>
      </c>
      <c r="AA1083" s="88">
        <f>SUMIF(月間集計シート!$M$71:$M$90,$G1083,月間集計シート!Q$71:Q$90)*AA$2</f>
        <v>0</v>
      </c>
      <c r="AB1083" s="88">
        <f>SUMIF(月間集計シート!$M$71:$M$90,$G1083,月間集計シート!R$71:R$90)*AB$2</f>
        <v>0</v>
      </c>
      <c r="AC1083" s="88">
        <f>SUMIF(月間集計シート!$M$71:$M$90,$G1083,月間集計シート!S$71:S$90)*AC$2</f>
        <v>0</v>
      </c>
      <c r="AD1083" s="88">
        <f>SUMIF(月間集計シート!$M$71:$M$90,$G1083,月間集計シート!T$71:T$90)*AD$2</f>
        <v>0</v>
      </c>
      <c r="AE1083" s="88">
        <f>SUMIF(月間集計シート!$M$92:$M$111,$G1083,月間集計シート!N$92:N$111)*AE$2</f>
        <v>0</v>
      </c>
      <c r="AF1083" s="88">
        <f>SUMIF(月間集計シート!$M$92:$M$111,$G1083,月間集計シート!O$92:O$111)*AF$2</f>
        <v>0</v>
      </c>
      <c r="AG1083" s="88">
        <f>SUMIF(月間集計シート!$M$92:$M$111,$G1083,月間集計シート!P$92:P$111)*AG$2</f>
        <v>0</v>
      </c>
      <c r="AH1083" s="88">
        <f>SUMIF(月間集計シート!$M$92:$M$111,$G1083,月間集計シート!Q$92:Q$111)*AH$2</f>
        <v>0</v>
      </c>
      <c r="AI1083" s="88">
        <f>SUMIF(月間集計シート!$M$92:$M$111,$G1083,月間集計シート!R$92:R$111)*AI$2</f>
        <v>0</v>
      </c>
      <c r="AJ1083" s="88">
        <f>SUMIF(月間集計シート!$M$92:$M$111,$G1083,月間集計シート!S$92:S$111)*AJ$2</f>
        <v>0</v>
      </c>
      <c r="AK1083" s="88">
        <f>SUMIF(月間集計シート!$M$92:$M$111,$G1083,月間集計シート!T$92:T$111)*AK$2</f>
        <v>0</v>
      </c>
      <c r="AL1083" s="88">
        <f>SUMIF(月間集計シート!$M$113:$M$132,$G1083,月間集計シート!N$113:N$132)*AL$2</f>
        <v>0</v>
      </c>
      <c r="AM1083" s="88">
        <f>SUMIF(月間集計シート!$M$113:$M$132,$G1083,月間集計シート!O$113:O$132)*AM$2</f>
        <v>0</v>
      </c>
      <c r="AN1083" s="88">
        <f>SUMIF(月間集計シート!$M$113:$M$132,$G1083,月間集計シート!P$113:P$132)*AN$2</f>
        <v>0</v>
      </c>
      <c r="AO1083" s="88">
        <f>SUMIF(月間集計シート!$M$113:$M$132,$G1083,月間集計シート!Q$113:Q$132)*AO$2</f>
        <v>0</v>
      </c>
      <c r="AP1083" s="88">
        <f>SUMIF(月間集計シート!$M$113:$M$132,$G1083,月間集計シート!R$113:R$132)*AP$2</f>
        <v>0</v>
      </c>
      <c r="AQ1083" s="88">
        <f>SUMIF(月間集計シート!$M$113:$M$132,$G1083,月間集計シート!S$113:S$132)*AQ$2</f>
        <v>0</v>
      </c>
      <c r="AR1083" s="88">
        <f>SUMIF(月間集計シート!$M$113:$M$132,$G1083,月間集計シート!T$113:T$132)*AR$2</f>
        <v>0</v>
      </c>
      <c r="AS1083" s="88">
        <f>SUMIF(月間集計シート!$M$134:$M$153,$G1083,月間集計シート!N$134:N$153)*AS$2</f>
        <v>0</v>
      </c>
      <c r="AT1083" s="88">
        <f>SUMIF(月間集計シート!$M$134:$M$153,$G1083,月間集計シート!O$134:O$153)*AT$2</f>
        <v>0</v>
      </c>
      <c r="AU1083" s="88">
        <f>SUMIF(月間集計シート!$M$134:$M$153,$G1083,月間集計シート!P$134:P$153)*AU$2</f>
        <v>0</v>
      </c>
      <c r="AV1083" s="88">
        <f>SUMIF(月間集計シート!$M$134:$M$153,$G1083,月間集計シート!Q$134:Q$153)*AV$2</f>
        <v>0</v>
      </c>
      <c r="AW1083" s="88">
        <f>SUMIF(月間集計シート!$M$134:$M$153,$G1083,月間集計シート!R$134:R$153)*AW$2</f>
        <v>0</v>
      </c>
      <c r="AX1083" s="88">
        <f>SUMIF(月間集計シート!$M$134:$M$153,$G1083,月間集計シート!S$134:S$153)*AX$2</f>
        <v>0</v>
      </c>
      <c r="AY1083" s="88">
        <f>SUMIF(月間集計シート!$M$134:$M$153,$G1083,月間集計シート!T$134:T$153)*AY$2</f>
        <v>0</v>
      </c>
    </row>
    <row r="1084" spans="1:51" ht="14.25" thickBot="1">
      <c r="A1084">
        <v>13</v>
      </c>
      <c r="B1084" s="120">
        <f t="shared" si="570"/>
        <v>0</v>
      </c>
      <c r="C1084" s="120" t="str">
        <f t="shared" si="571"/>
        <v/>
      </c>
      <c r="D1084" s="137"/>
      <c r="E1084" s="150">
        <f>工種!A56</f>
        <v>70109</v>
      </c>
      <c r="F1084" s="119" t="str">
        <f>工種!B56</f>
        <v>外部不具合修正：レビュー</v>
      </c>
      <c r="G1084" s="116" t="str">
        <f t="shared" si="572"/>
        <v>070109</v>
      </c>
      <c r="H1084" s="88">
        <f t="shared" si="569"/>
        <v>0</v>
      </c>
      <c r="I1084" s="132"/>
      <c r="J1084" s="88">
        <f>SUMIF(月間集計シート!$M$29:$M$48,$G1084,月間集計シート!N$29:N$48)*J$2</f>
        <v>0</v>
      </c>
      <c r="K1084" s="88">
        <f>SUMIF(月間集計シート!$M$29:$M$48,$G1084,月間集計シート!O$29:O$48)*K$2</f>
        <v>0</v>
      </c>
      <c r="L1084" s="88">
        <f>SUMIF(月間集計シート!$M$29:$M$48,$G1084,月間集計シート!P$29:P$48)*L$2</f>
        <v>0</v>
      </c>
      <c r="M1084" s="88">
        <f>SUMIF(月間集計シート!$M$29:$M$48,$G1084,月間集計シート!Q$29:Q$48)*M$2</f>
        <v>0</v>
      </c>
      <c r="N1084" s="88">
        <f>SUMIF(月間集計シート!$M$29:$M$48,$G1084,月間集計シート!R$29:R$48)*N$2</f>
        <v>0</v>
      </c>
      <c r="O1084" s="88">
        <f>SUMIF(月間集計シート!$M$29:$M$48,$G1084,月間集計シート!S$29:S$48)*O$2</f>
        <v>0</v>
      </c>
      <c r="P1084" s="88">
        <f>SUMIF(月間集計シート!$M$29:$M$48,$G1084,月間集計シート!T$29:T$48)*P$2</f>
        <v>0</v>
      </c>
      <c r="Q1084" s="88">
        <f>SUMIF(月間集計シート!$M$50:$M$69,$G1084,月間集計シート!N$50:N$69)*Q$2</f>
        <v>0</v>
      </c>
      <c r="R1084" s="88">
        <f>SUMIF(月間集計シート!$M$50:$M$69,$G1084,月間集計シート!O$50:O$69)*R$2</f>
        <v>0</v>
      </c>
      <c r="S1084" s="88">
        <f>SUMIF(月間集計シート!$M$50:$M$69,$G1084,月間集計シート!P$50:P$69)*S$2</f>
        <v>0</v>
      </c>
      <c r="T1084" s="88">
        <f>SUMIF(月間集計シート!$M$50:$M$69,$G1084,月間集計シート!Q$50:Q$69)*T$2</f>
        <v>0</v>
      </c>
      <c r="U1084" s="88">
        <f>SUMIF(月間集計シート!$M$50:$M$69,$G1084,月間集計シート!R$50:R$69)*U$2</f>
        <v>0</v>
      </c>
      <c r="V1084" s="88">
        <f>SUMIF(月間集計シート!$M$50:$M$69,$G1084,月間集計シート!S$50:S$69)*V$2</f>
        <v>0</v>
      </c>
      <c r="W1084" s="88">
        <f>SUMIF(月間集計シート!$M$50:$M$69,$G1084,月間集計シート!T$50:T$69)*W$2</f>
        <v>0</v>
      </c>
      <c r="X1084" s="88">
        <f>SUMIF(月間集計シート!$M$71:$M$90,$G1084,月間集計シート!N$71:N$90)*X$2</f>
        <v>0</v>
      </c>
      <c r="Y1084" s="88">
        <f>SUMIF(月間集計シート!$M$71:$M$90,$G1084,月間集計シート!O$71:O$90)*Y$2</f>
        <v>0</v>
      </c>
      <c r="Z1084" s="88">
        <f>SUMIF(月間集計シート!$M$71:$M$90,$G1084,月間集計シート!P$71:P$90)*Z$2</f>
        <v>0</v>
      </c>
      <c r="AA1084" s="88">
        <f>SUMIF(月間集計シート!$M$71:$M$90,$G1084,月間集計シート!Q$71:Q$90)*AA$2</f>
        <v>0</v>
      </c>
      <c r="AB1084" s="88">
        <f>SUMIF(月間集計シート!$M$71:$M$90,$G1084,月間集計シート!R$71:R$90)*AB$2</f>
        <v>0</v>
      </c>
      <c r="AC1084" s="88">
        <f>SUMIF(月間集計シート!$M$71:$M$90,$G1084,月間集計シート!S$71:S$90)*AC$2</f>
        <v>0</v>
      </c>
      <c r="AD1084" s="88">
        <f>SUMIF(月間集計シート!$M$71:$M$90,$G1084,月間集計シート!T$71:T$90)*AD$2</f>
        <v>0</v>
      </c>
      <c r="AE1084" s="88">
        <f>SUMIF(月間集計シート!$M$92:$M$111,$G1084,月間集計シート!N$92:N$111)*AE$2</f>
        <v>0</v>
      </c>
      <c r="AF1084" s="88">
        <f>SUMIF(月間集計シート!$M$92:$M$111,$G1084,月間集計シート!O$92:O$111)*AF$2</f>
        <v>0</v>
      </c>
      <c r="AG1084" s="88">
        <f>SUMIF(月間集計シート!$M$92:$M$111,$G1084,月間集計シート!P$92:P$111)*AG$2</f>
        <v>0</v>
      </c>
      <c r="AH1084" s="88">
        <f>SUMIF(月間集計シート!$M$92:$M$111,$G1084,月間集計シート!Q$92:Q$111)*AH$2</f>
        <v>0</v>
      </c>
      <c r="AI1084" s="88">
        <f>SUMIF(月間集計シート!$M$92:$M$111,$G1084,月間集計シート!R$92:R$111)*AI$2</f>
        <v>0</v>
      </c>
      <c r="AJ1084" s="88">
        <f>SUMIF(月間集計シート!$M$92:$M$111,$G1084,月間集計シート!S$92:S$111)*AJ$2</f>
        <v>0</v>
      </c>
      <c r="AK1084" s="88">
        <f>SUMIF(月間集計シート!$M$92:$M$111,$G1084,月間集計シート!T$92:T$111)*AK$2</f>
        <v>0</v>
      </c>
      <c r="AL1084" s="88">
        <f>SUMIF(月間集計シート!$M$113:$M$132,$G1084,月間集計シート!N$113:N$132)*AL$2</f>
        <v>0</v>
      </c>
      <c r="AM1084" s="88">
        <f>SUMIF(月間集計シート!$M$113:$M$132,$G1084,月間集計シート!O$113:O$132)*AM$2</f>
        <v>0</v>
      </c>
      <c r="AN1084" s="88">
        <f>SUMIF(月間集計シート!$M$113:$M$132,$G1084,月間集計シート!P$113:P$132)*AN$2</f>
        <v>0</v>
      </c>
      <c r="AO1084" s="88">
        <f>SUMIF(月間集計シート!$M$113:$M$132,$G1084,月間集計シート!Q$113:Q$132)*AO$2</f>
        <v>0</v>
      </c>
      <c r="AP1084" s="88">
        <f>SUMIF(月間集計シート!$M$113:$M$132,$G1084,月間集計シート!R$113:R$132)*AP$2</f>
        <v>0</v>
      </c>
      <c r="AQ1084" s="88">
        <f>SUMIF(月間集計シート!$M$113:$M$132,$G1084,月間集計シート!S$113:S$132)*AQ$2</f>
        <v>0</v>
      </c>
      <c r="AR1084" s="88">
        <f>SUMIF(月間集計シート!$M$113:$M$132,$G1084,月間集計シート!T$113:T$132)*AR$2</f>
        <v>0</v>
      </c>
      <c r="AS1084" s="88">
        <f>SUMIF(月間集計シート!$M$134:$M$153,$G1084,月間集計シート!N$134:N$153)*AS$2</f>
        <v>0</v>
      </c>
      <c r="AT1084" s="88">
        <f>SUMIF(月間集計シート!$M$134:$M$153,$G1084,月間集計シート!O$134:O$153)*AT$2</f>
        <v>0</v>
      </c>
      <c r="AU1084" s="88">
        <f>SUMIF(月間集計シート!$M$134:$M$153,$G1084,月間集計シート!P$134:P$153)*AU$2</f>
        <v>0</v>
      </c>
      <c r="AV1084" s="88">
        <f>SUMIF(月間集計シート!$M$134:$M$153,$G1084,月間集計シート!Q$134:Q$153)*AV$2</f>
        <v>0</v>
      </c>
      <c r="AW1084" s="88">
        <f>SUMIF(月間集計シート!$M$134:$M$153,$G1084,月間集計シート!R$134:R$153)*AW$2</f>
        <v>0</v>
      </c>
      <c r="AX1084" s="88">
        <f>SUMIF(月間集計シート!$M$134:$M$153,$G1084,月間集計シート!S$134:S$153)*AX$2</f>
        <v>0</v>
      </c>
      <c r="AY1084" s="88">
        <f>SUMIF(月間集計シート!$M$134:$M$153,$G1084,月間集計シート!T$134:T$153)*AY$2</f>
        <v>0</v>
      </c>
    </row>
    <row r="1085" spans="1:51" ht="14.25" thickBot="1">
      <c r="A1085">
        <v>13</v>
      </c>
      <c r="B1085" s="120">
        <f t="shared" si="570"/>
        <v>0</v>
      </c>
      <c r="C1085" s="120" t="str">
        <f t="shared" si="571"/>
        <v/>
      </c>
      <c r="D1085" s="137"/>
      <c r="E1085" s="150">
        <f>工種!A57</f>
        <v>70189</v>
      </c>
      <c r="F1085" s="119" t="str">
        <f>工種!B57</f>
        <v>外部不具合修正：外部不具合分析</v>
      </c>
      <c r="G1085" s="116" t="str">
        <f t="shared" si="572"/>
        <v>070189</v>
      </c>
      <c r="H1085" s="88">
        <f t="shared" si="569"/>
        <v>0</v>
      </c>
      <c r="I1085" s="132"/>
      <c r="J1085" s="88">
        <f>SUMIF(月間集計シート!$M$29:$M$48,$G1085,月間集計シート!N$29:N$48)*J$2</f>
        <v>0</v>
      </c>
      <c r="K1085" s="88">
        <f>SUMIF(月間集計シート!$M$29:$M$48,$G1085,月間集計シート!O$29:O$48)*K$2</f>
        <v>0</v>
      </c>
      <c r="L1085" s="88">
        <f>SUMIF(月間集計シート!$M$29:$M$48,$G1085,月間集計シート!P$29:P$48)*L$2</f>
        <v>0</v>
      </c>
      <c r="M1085" s="88">
        <f>SUMIF(月間集計シート!$M$29:$M$48,$G1085,月間集計シート!Q$29:Q$48)*M$2</f>
        <v>0</v>
      </c>
      <c r="N1085" s="88">
        <f>SUMIF(月間集計シート!$M$29:$M$48,$G1085,月間集計シート!R$29:R$48)*N$2</f>
        <v>0</v>
      </c>
      <c r="O1085" s="88">
        <f>SUMIF(月間集計シート!$M$29:$M$48,$G1085,月間集計シート!S$29:S$48)*O$2</f>
        <v>0</v>
      </c>
      <c r="P1085" s="88">
        <f>SUMIF(月間集計シート!$M$29:$M$48,$G1085,月間集計シート!T$29:T$48)*P$2</f>
        <v>0</v>
      </c>
      <c r="Q1085" s="88">
        <f>SUMIF(月間集計シート!$M$50:$M$69,$G1085,月間集計シート!N$50:N$69)*Q$2</f>
        <v>0</v>
      </c>
      <c r="R1085" s="88">
        <f>SUMIF(月間集計シート!$M$50:$M$69,$G1085,月間集計シート!O$50:O$69)*R$2</f>
        <v>0</v>
      </c>
      <c r="S1085" s="88">
        <f>SUMIF(月間集計シート!$M$50:$M$69,$G1085,月間集計シート!P$50:P$69)*S$2</f>
        <v>0</v>
      </c>
      <c r="T1085" s="88">
        <f>SUMIF(月間集計シート!$M$50:$M$69,$G1085,月間集計シート!Q$50:Q$69)*T$2</f>
        <v>0</v>
      </c>
      <c r="U1085" s="88">
        <f>SUMIF(月間集計シート!$M$50:$M$69,$G1085,月間集計シート!R$50:R$69)*U$2</f>
        <v>0</v>
      </c>
      <c r="V1085" s="88">
        <f>SUMIF(月間集計シート!$M$50:$M$69,$G1085,月間集計シート!S$50:S$69)*V$2</f>
        <v>0</v>
      </c>
      <c r="W1085" s="88">
        <f>SUMIF(月間集計シート!$M$50:$M$69,$G1085,月間集計シート!T$50:T$69)*W$2</f>
        <v>0</v>
      </c>
      <c r="X1085" s="88">
        <f>SUMIF(月間集計シート!$M$71:$M$90,$G1085,月間集計シート!N$71:N$90)*X$2</f>
        <v>0</v>
      </c>
      <c r="Y1085" s="88">
        <f>SUMIF(月間集計シート!$M$71:$M$90,$G1085,月間集計シート!O$71:O$90)*Y$2</f>
        <v>0</v>
      </c>
      <c r="Z1085" s="88">
        <f>SUMIF(月間集計シート!$M$71:$M$90,$G1085,月間集計シート!P$71:P$90)*Z$2</f>
        <v>0</v>
      </c>
      <c r="AA1085" s="88">
        <f>SUMIF(月間集計シート!$M$71:$M$90,$G1085,月間集計シート!Q$71:Q$90)*AA$2</f>
        <v>0</v>
      </c>
      <c r="AB1085" s="88">
        <f>SUMIF(月間集計シート!$M$71:$M$90,$G1085,月間集計シート!R$71:R$90)*AB$2</f>
        <v>0</v>
      </c>
      <c r="AC1085" s="88">
        <f>SUMIF(月間集計シート!$M$71:$M$90,$G1085,月間集計シート!S$71:S$90)*AC$2</f>
        <v>0</v>
      </c>
      <c r="AD1085" s="88">
        <f>SUMIF(月間集計シート!$M$71:$M$90,$G1085,月間集計シート!T$71:T$90)*AD$2</f>
        <v>0</v>
      </c>
      <c r="AE1085" s="88">
        <f>SUMIF(月間集計シート!$M$92:$M$111,$G1085,月間集計シート!N$92:N$111)*AE$2</f>
        <v>0</v>
      </c>
      <c r="AF1085" s="88">
        <f>SUMIF(月間集計シート!$M$92:$M$111,$G1085,月間集計シート!O$92:O$111)*AF$2</f>
        <v>0</v>
      </c>
      <c r="AG1085" s="88">
        <f>SUMIF(月間集計シート!$M$92:$M$111,$G1085,月間集計シート!P$92:P$111)*AG$2</f>
        <v>0</v>
      </c>
      <c r="AH1085" s="88">
        <f>SUMIF(月間集計シート!$M$92:$M$111,$G1085,月間集計シート!Q$92:Q$111)*AH$2</f>
        <v>0</v>
      </c>
      <c r="AI1085" s="88">
        <f>SUMIF(月間集計シート!$M$92:$M$111,$G1085,月間集計シート!R$92:R$111)*AI$2</f>
        <v>0</v>
      </c>
      <c r="AJ1085" s="88">
        <f>SUMIF(月間集計シート!$M$92:$M$111,$G1085,月間集計シート!S$92:S$111)*AJ$2</f>
        <v>0</v>
      </c>
      <c r="AK1085" s="88">
        <f>SUMIF(月間集計シート!$M$92:$M$111,$G1085,月間集計シート!T$92:T$111)*AK$2</f>
        <v>0</v>
      </c>
      <c r="AL1085" s="88">
        <f>SUMIF(月間集計シート!$M$113:$M$132,$G1085,月間集計シート!N$113:N$132)*AL$2</f>
        <v>0</v>
      </c>
      <c r="AM1085" s="88">
        <f>SUMIF(月間集計シート!$M$113:$M$132,$G1085,月間集計シート!O$113:O$132)*AM$2</f>
        <v>0</v>
      </c>
      <c r="AN1085" s="88">
        <f>SUMIF(月間集計シート!$M$113:$M$132,$G1085,月間集計シート!P$113:P$132)*AN$2</f>
        <v>0</v>
      </c>
      <c r="AO1085" s="88">
        <f>SUMIF(月間集計シート!$M$113:$M$132,$G1085,月間集計シート!Q$113:Q$132)*AO$2</f>
        <v>0</v>
      </c>
      <c r="AP1085" s="88">
        <f>SUMIF(月間集計シート!$M$113:$M$132,$G1085,月間集計シート!R$113:R$132)*AP$2</f>
        <v>0</v>
      </c>
      <c r="AQ1085" s="88">
        <f>SUMIF(月間集計シート!$M$113:$M$132,$G1085,月間集計シート!S$113:S$132)*AQ$2</f>
        <v>0</v>
      </c>
      <c r="AR1085" s="88">
        <f>SUMIF(月間集計シート!$M$113:$M$132,$G1085,月間集計シート!T$113:T$132)*AR$2</f>
        <v>0</v>
      </c>
      <c r="AS1085" s="88">
        <f>SUMIF(月間集計シート!$M$134:$M$153,$G1085,月間集計シート!N$134:N$153)*AS$2</f>
        <v>0</v>
      </c>
      <c r="AT1085" s="88">
        <f>SUMIF(月間集計シート!$M$134:$M$153,$G1085,月間集計シート!O$134:O$153)*AT$2</f>
        <v>0</v>
      </c>
      <c r="AU1085" s="88">
        <f>SUMIF(月間集計シート!$M$134:$M$153,$G1085,月間集計シート!P$134:P$153)*AU$2</f>
        <v>0</v>
      </c>
      <c r="AV1085" s="88">
        <f>SUMIF(月間集計シート!$M$134:$M$153,$G1085,月間集計シート!Q$134:Q$153)*AV$2</f>
        <v>0</v>
      </c>
      <c r="AW1085" s="88">
        <f>SUMIF(月間集計シート!$M$134:$M$153,$G1085,月間集計シート!R$134:R$153)*AW$2</f>
        <v>0</v>
      </c>
      <c r="AX1085" s="88">
        <f>SUMIF(月間集計シート!$M$134:$M$153,$G1085,月間集計シート!S$134:S$153)*AX$2</f>
        <v>0</v>
      </c>
      <c r="AY1085" s="88">
        <f>SUMIF(月間集計シート!$M$134:$M$153,$G1085,月間集計シート!T$134:T$153)*AY$2</f>
        <v>0</v>
      </c>
    </row>
    <row r="1086" spans="1:51" ht="14.25" thickBot="1">
      <c r="A1086">
        <v>13</v>
      </c>
      <c r="B1086" s="120">
        <f t="shared" si="570"/>
        <v>0</v>
      </c>
      <c r="C1086" s="120" t="str">
        <f t="shared" si="571"/>
        <v/>
      </c>
      <c r="D1086" s="137"/>
      <c r="E1086" s="150">
        <f>工種!A58</f>
        <v>70199</v>
      </c>
      <c r="F1086" s="119" t="str">
        <f>工種!B58</f>
        <v>外部不具合修正：その他</v>
      </c>
      <c r="G1086" s="116" t="str">
        <f t="shared" si="572"/>
        <v>070199</v>
      </c>
      <c r="H1086" s="88">
        <f t="shared" si="569"/>
        <v>0</v>
      </c>
      <c r="I1086" s="132"/>
      <c r="J1086" s="88">
        <f>SUMIF(月間集計シート!$M$29:$M$48,$G1086,月間集計シート!N$29:N$48)*J$2</f>
        <v>0</v>
      </c>
      <c r="K1086" s="88">
        <f>SUMIF(月間集計シート!$M$29:$M$48,$G1086,月間集計シート!O$29:O$48)*K$2</f>
        <v>0</v>
      </c>
      <c r="L1086" s="88">
        <f>SUMIF(月間集計シート!$M$29:$M$48,$G1086,月間集計シート!P$29:P$48)*L$2</f>
        <v>0</v>
      </c>
      <c r="M1086" s="88">
        <f>SUMIF(月間集計シート!$M$29:$M$48,$G1086,月間集計シート!Q$29:Q$48)*M$2</f>
        <v>0</v>
      </c>
      <c r="N1086" s="88">
        <f>SUMIF(月間集計シート!$M$29:$M$48,$G1086,月間集計シート!R$29:R$48)*N$2</f>
        <v>0</v>
      </c>
      <c r="O1086" s="88">
        <f>SUMIF(月間集計シート!$M$29:$M$48,$G1086,月間集計シート!S$29:S$48)*O$2</f>
        <v>0</v>
      </c>
      <c r="P1086" s="88">
        <f>SUMIF(月間集計シート!$M$29:$M$48,$G1086,月間集計シート!T$29:T$48)*P$2</f>
        <v>0</v>
      </c>
      <c r="Q1086" s="88">
        <f>SUMIF(月間集計シート!$M$50:$M$69,$G1086,月間集計シート!N$50:N$69)*Q$2</f>
        <v>0</v>
      </c>
      <c r="R1086" s="88">
        <f>SUMIF(月間集計シート!$M$50:$M$69,$G1086,月間集計シート!O$50:O$69)*R$2</f>
        <v>0</v>
      </c>
      <c r="S1086" s="88">
        <f>SUMIF(月間集計シート!$M$50:$M$69,$G1086,月間集計シート!P$50:P$69)*S$2</f>
        <v>0</v>
      </c>
      <c r="T1086" s="88">
        <f>SUMIF(月間集計シート!$M$50:$M$69,$G1086,月間集計シート!Q$50:Q$69)*T$2</f>
        <v>0</v>
      </c>
      <c r="U1086" s="88">
        <f>SUMIF(月間集計シート!$M$50:$M$69,$G1086,月間集計シート!R$50:R$69)*U$2</f>
        <v>0</v>
      </c>
      <c r="V1086" s="88">
        <f>SUMIF(月間集計シート!$M$50:$M$69,$G1086,月間集計シート!S$50:S$69)*V$2</f>
        <v>0</v>
      </c>
      <c r="W1086" s="88">
        <f>SUMIF(月間集計シート!$M$50:$M$69,$G1086,月間集計シート!T$50:T$69)*W$2</f>
        <v>0</v>
      </c>
      <c r="X1086" s="88">
        <f>SUMIF(月間集計シート!$M$71:$M$90,$G1086,月間集計シート!N$71:N$90)*X$2</f>
        <v>0</v>
      </c>
      <c r="Y1086" s="88">
        <f>SUMIF(月間集計シート!$M$71:$M$90,$G1086,月間集計シート!O$71:O$90)*Y$2</f>
        <v>0</v>
      </c>
      <c r="Z1086" s="88">
        <f>SUMIF(月間集計シート!$M$71:$M$90,$G1086,月間集計シート!P$71:P$90)*Z$2</f>
        <v>0</v>
      </c>
      <c r="AA1086" s="88">
        <f>SUMIF(月間集計シート!$M$71:$M$90,$G1086,月間集計シート!Q$71:Q$90)*AA$2</f>
        <v>0</v>
      </c>
      <c r="AB1086" s="88">
        <f>SUMIF(月間集計シート!$M$71:$M$90,$G1086,月間集計シート!R$71:R$90)*AB$2</f>
        <v>0</v>
      </c>
      <c r="AC1086" s="88">
        <f>SUMIF(月間集計シート!$M$71:$M$90,$G1086,月間集計シート!S$71:S$90)*AC$2</f>
        <v>0</v>
      </c>
      <c r="AD1086" s="88">
        <f>SUMIF(月間集計シート!$M$71:$M$90,$G1086,月間集計シート!T$71:T$90)*AD$2</f>
        <v>0</v>
      </c>
      <c r="AE1086" s="88">
        <f>SUMIF(月間集計シート!$M$92:$M$111,$G1086,月間集計シート!N$92:N$111)*AE$2</f>
        <v>0</v>
      </c>
      <c r="AF1086" s="88">
        <f>SUMIF(月間集計シート!$M$92:$M$111,$G1086,月間集計シート!O$92:O$111)*AF$2</f>
        <v>0</v>
      </c>
      <c r="AG1086" s="88">
        <f>SUMIF(月間集計シート!$M$92:$M$111,$G1086,月間集計シート!P$92:P$111)*AG$2</f>
        <v>0</v>
      </c>
      <c r="AH1086" s="88">
        <f>SUMIF(月間集計シート!$M$92:$M$111,$G1086,月間集計シート!Q$92:Q$111)*AH$2</f>
        <v>0</v>
      </c>
      <c r="AI1086" s="88">
        <f>SUMIF(月間集計シート!$M$92:$M$111,$G1086,月間集計シート!R$92:R$111)*AI$2</f>
        <v>0</v>
      </c>
      <c r="AJ1086" s="88">
        <f>SUMIF(月間集計シート!$M$92:$M$111,$G1086,月間集計シート!S$92:S$111)*AJ$2</f>
        <v>0</v>
      </c>
      <c r="AK1086" s="88">
        <f>SUMIF(月間集計シート!$M$92:$M$111,$G1086,月間集計シート!T$92:T$111)*AK$2</f>
        <v>0</v>
      </c>
      <c r="AL1086" s="88">
        <f>SUMIF(月間集計シート!$M$113:$M$132,$G1086,月間集計シート!N$113:N$132)*AL$2</f>
        <v>0</v>
      </c>
      <c r="AM1086" s="88">
        <f>SUMIF(月間集計シート!$M$113:$M$132,$G1086,月間集計シート!O$113:O$132)*AM$2</f>
        <v>0</v>
      </c>
      <c r="AN1086" s="88">
        <f>SUMIF(月間集計シート!$M$113:$M$132,$G1086,月間集計シート!P$113:P$132)*AN$2</f>
        <v>0</v>
      </c>
      <c r="AO1086" s="88">
        <f>SUMIF(月間集計シート!$M$113:$M$132,$G1086,月間集計シート!Q$113:Q$132)*AO$2</f>
        <v>0</v>
      </c>
      <c r="AP1086" s="88">
        <f>SUMIF(月間集計シート!$M$113:$M$132,$G1086,月間集計シート!R$113:R$132)*AP$2</f>
        <v>0</v>
      </c>
      <c r="AQ1086" s="88">
        <f>SUMIF(月間集計シート!$M$113:$M$132,$G1086,月間集計シート!S$113:S$132)*AQ$2</f>
        <v>0</v>
      </c>
      <c r="AR1086" s="88">
        <f>SUMIF(月間集計シート!$M$113:$M$132,$G1086,月間集計シート!T$113:T$132)*AR$2</f>
        <v>0</v>
      </c>
      <c r="AS1086" s="88">
        <f>SUMIF(月間集計シート!$M$134:$M$153,$G1086,月間集計シート!N$134:N$153)*AS$2</f>
        <v>0</v>
      </c>
      <c r="AT1086" s="88">
        <f>SUMIF(月間集計シート!$M$134:$M$153,$G1086,月間集計シート!O$134:O$153)*AT$2</f>
        <v>0</v>
      </c>
      <c r="AU1086" s="88">
        <f>SUMIF(月間集計シート!$M$134:$M$153,$G1086,月間集計シート!P$134:P$153)*AU$2</f>
        <v>0</v>
      </c>
      <c r="AV1086" s="88">
        <f>SUMIF(月間集計シート!$M$134:$M$153,$G1086,月間集計シート!Q$134:Q$153)*AV$2</f>
        <v>0</v>
      </c>
      <c r="AW1086" s="88">
        <f>SUMIF(月間集計シート!$M$134:$M$153,$G1086,月間集計シート!R$134:R$153)*AW$2</f>
        <v>0</v>
      </c>
      <c r="AX1086" s="88">
        <f>SUMIF(月間集計シート!$M$134:$M$153,$G1086,月間集計シート!S$134:S$153)*AX$2</f>
        <v>0</v>
      </c>
      <c r="AY1086" s="88">
        <f>SUMIF(月間集計シート!$M$134:$M$153,$G1086,月間集計シート!T$134:T$153)*AY$2</f>
        <v>0</v>
      </c>
    </row>
    <row r="1087" spans="1:51" ht="14.25" thickBot="1">
      <c r="A1087">
        <v>13</v>
      </c>
      <c r="B1087" s="120">
        <f t="shared" si="570"/>
        <v>0</v>
      </c>
      <c r="C1087" s="120" t="str">
        <f t="shared" si="571"/>
        <v/>
      </c>
      <c r="D1087" s="137"/>
      <c r="E1087" s="150" t="str">
        <f>工種!A59</f>
        <v>80101</v>
      </c>
      <c r="F1087" s="119" t="str">
        <f>工種!B59</f>
        <v>保守／ｻﾎﾟｰﾄ：調査</v>
      </c>
      <c r="G1087" s="116" t="str">
        <f t="shared" si="572"/>
        <v>080101</v>
      </c>
      <c r="H1087" s="88">
        <f t="shared" si="569"/>
        <v>0</v>
      </c>
      <c r="I1087" s="132"/>
      <c r="J1087" s="88">
        <f>SUMIF(月間集計シート!$M$29:$M$48,$G1087,月間集計シート!N$29:N$48)*J$2</f>
        <v>0</v>
      </c>
      <c r="K1087" s="88">
        <f>SUMIF(月間集計シート!$M$29:$M$48,$G1087,月間集計シート!O$29:O$48)*K$2</f>
        <v>0</v>
      </c>
      <c r="L1087" s="88">
        <f>SUMIF(月間集計シート!$M$29:$M$48,$G1087,月間集計シート!P$29:P$48)*L$2</f>
        <v>0</v>
      </c>
      <c r="M1087" s="88">
        <f>SUMIF(月間集計シート!$M$29:$M$48,$G1087,月間集計シート!Q$29:Q$48)*M$2</f>
        <v>0</v>
      </c>
      <c r="N1087" s="88">
        <f>SUMIF(月間集計シート!$M$29:$M$48,$G1087,月間集計シート!R$29:R$48)*N$2</f>
        <v>0</v>
      </c>
      <c r="O1087" s="88">
        <f>SUMIF(月間集計シート!$M$29:$M$48,$G1087,月間集計シート!S$29:S$48)*O$2</f>
        <v>0</v>
      </c>
      <c r="P1087" s="88">
        <f>SUMIF(月間集計シート!$M$29:$M$48,$G1087,月間集計シート!T$29:T$48)*P$2</f>
        <v>0</v>
      </c>
      <c r="Q1087" s="88">
        <f>SUMIF(月間集計シート!$M$50:$M$69,$G1087,月間集計シート!N$50:N$69)*Q$2</f>
        <v>0</v>
      </c>
      <c r="R1087" s="88">
        <f>SUMIF(月間集計シート!$M$50:$M$69,$G1087,月間集計シート!O$50:O$69)*R$2</f>
        <v>0</v>
      </c>
      <c r="S1087" s="88">
        <f>SUMIF(月間集計シート!$M$50:$M$69,$G1087,月間集計シート!P$50:P$69)*S$2</f>
        <v>0</v>
      </c>
      <c r="T1087" s="88">
        <f>SUMIF(月間集計シート!$M$50:$M$69,$G1087,月間集計シート!Q$50:Q$69)*T$2</f>
        <v>0</v>
      </c>
      <c r="U1087" s="88">
        <f>SUMIF(月間集計シート!$M$50:$M$69,$G1087,月間集計シート!R$50:R$69)*U$2</f>
        <v>0</v>
      </c>
      <c r="V1087" s="88">
        <f>SUMIF(月間集計シート!$M$50:$M$69,$G1087,月間集計シート!S$50:S$69)*V$2</f>
        <v>0</v>
      </c>
      <c r="W1087" s="88">
        <f>SUMIF(月間集計シート!$M$50:$M$69,$G1087,月間集計シート!T$50:T$69)*W$2</f>
        <v>0</v>
      </c>
      <c r="X1087" s="88">
        <f>SUMIF(月間集計シート!$M$71:$M$90,$G1087,月間集計シート!N$71:N$90)*X$2</f>
        <v>0</v>
      </c>
      <c r="Y1087" s="88">
        <f>SUMIF(月間集計シート!$M$71:$M$90,$G1087,月間集計シート!O$71:O$90)*Y$2</f>
        <v>0</v>
      </c>
      <c r="Z1087" s="88">
        <f>SUMIF(月間集計シート!$M$71:$M$90,$G1087,月間集計シート!P$71:P$90)*Z$2</f>
        <v>0</v>
      </c>
      <c r="AA1087" s="88">
        <f>SUMIF(月間集計シート!$M$71:$M$90,$G1087,月間集計シート!Q$71:Q$90)*AA$2</f>
        <v>0</v>
      </c>
      <c r="AB1087" s="88">
        <f>SUMIF(月間集計シート!$M$71:$M$90,$G1087,月間集計シート!R$71:R$90)*AB$2</f>
        <v>0</v>
      </c>
      <c r="AC1087" s="88">
        <f>SUMIF(月間集計シート!$M$71:$M$90,$G1087,月間集計シート!S$71:S$90)*AC$2</f>
        <v>0</v>
      </c>
      <c r="AD1087" s="88">
        <f>SUMIF(月間集計シート!$M$71:$M$90,$G1087,月間集計シート!T$71:T$90)*AD$2</f>
        <v>0</v>
      </c>
      <c r="AE1087" s="88">
        <f>SUMIF(月間集計シート!$M$92:$M$111,$G1087,月間集計シート!N$92:N$111)*AE$2</f>
        <v>0</v>
      </c>
      <c r="AF1087" s="88">
        <f>SUMIF(月間集計シート!$M$92:$M$111,$G1087,月間集計シート!O$92:O$111)*AF$2</f>
        <v>0</v>
      </c>
      <c r="AG1087" s="88">
        <f>SUMIF(月間集計シート!$M$92:$M$111,$G1087,月間集計シート!P$92:P$111)*AG$2</f>
        <v>0</v>
      </c>
      <c r="AH1087" s="88">
        <f>SUMIF(月間集計シート!$M$92:$M$111,$G1087,月間集計シート!Q$92:Q$111)*AH$2</f>
        <v>0</v>
      </c>
      <c r="AI1087" s="88">
        <f>SUMIF(月間集計シート!$M$92:$M$111,$G1087,月間集計シート!R$92:R$111)*AI$2</f>
        <v>0</v>
      </c>
      <c r="AJ1087" s="88">
        <f>SUMIF(月間集計シート!$M$92:$M$111,$G1087,月間集計シート!S$92:S$111)*AJ$2</f>
        <v>0</v>
      </c>
      <c r="AK1087" s="88">
        <f>SUMIF(月間集計シート!$M$92:$M$111,$G1087,月間集計シート!T$92:T$111)*AK$2</f>
        <v>0</v>
      </c>
      <c r="AL1087" s="88">
        <f>SUMIF(月間集計シート!$M$113:$M$132,$G1087,月間集計シート!N$113:N$132)*AL$2</f>
        <v>0</v>
      </c>
      <c r="AM1087" s="88">
        <f>SUMIF(月間集計シート!$M$113:$M$132,$G1087,月間集計シート!O$113:O$132)*AM$2</f>
        <v>0</v>
      </c>
      <c r="AN1087" s="88">
        <f>SUMIF(月間集計シート!$M$113:$M$132,$G1087,月間集計シート!P$113:P$132)*AN$2</f>
        <v>0</v>
      </c>
      <c r="AO1087" s="88">
        <f>SUMIF(月間集計シート!$M$113:$M$132,$G1087,月間集計シート!Q$113:Q$132)*AO$2</f>
        <v>0</v>
      </c>
      <c r="AP1087" s="88">
        <f>SUMIF(月間集計シート!$M$113:$M$132,$G1087,月間集計シート!R$113:R$132)*AP$2</f>
        <v>0</v>
      </c>
      <c r="AQ1087" s="88">
        <f>SUMIF(月間集計シート!$M$113:$M$132,$G1087,月間集計シート!S$113:S$132)*AQ$2</f>
        <v>0</v>
      </c>
      <c r="AR1087" s="88">
        <f>SUMIF(月間集計シート!$M$113:$M$132,$G1087,月間集計シート!T$113:T$132)*AR$2</f>
        <v>0</v>
      </c>
      <c r="AS1087" s="88">
        <f>SUMIF(月間集計シート!$M$134:$M$153,$G1087,月間集計シート!N$134:N$153)*AS$2</f>
        <v>0</v>
      </c>
      <c r="AT1087" s="88">
        <f>SUMIF(月間集計シート!$M$134:$M$153,$G1087,月間集計シート!O$134:O$153)*AT$2</f>
        <v>0</v>
      </c>
      <c r="AU1087" s="88">
        <f>SUMIF(月間集計シート!$M$134:$M$153,$G1087,月間集計シート!P$134:P$153)*AU$2</f>
        <v>0</v>
      </c>
      <c r="AV1087" s="88">
        <f>SUMIF(月間集計シート!$M$134:$M$153,$G1087,月間集計シート!Q$134:Q$153)*AV$2</f>
        <v>0</v>
      </c>
      <c r="AW1087" s="88">
        <f>SUMIF(月間集計シート!$M$134:$M$153,$G1087,月間集計シート!R$134:R$153)*AW$2</f>
        <v>0</v>
      </c>
      <c r="AX1087" s="88">
        <f>SUMIF(月間集計シート!$M$134:$M$153,$G1087,月間集計シート!S$134:S$153)*AX$2</f>
        <v>0</v>
      </c>
      <c r="AY1087" s="88">
        <f>SUMIF(月間集計シート!$M$134:$M$153,$G1087,月間集計シート!T$134:T$153)*AY$2</f>
        <v>0</v>
      </c>
    </row>
    <row r="1088" spans="1:51" ht="14.25" thickBot="1">
      <c r="A1088">
        <v>13</v>
      </c>
      <c r="B1088" s="120">
        <f t="shared" si="570"/>
        <v>0</v>
      </c>
      <c r="C1088" s="120" t="str">
        <f t="shared" si="571"/>
        <v/>
      </c>
      <c r="D1088" s="137"/>
      <c r="E1088" s="150" t="str">
        <f>工種!A60</f>
        <v>80102</v>
      </c>
      <c r="F1088" s="119" t="str">
        <f>工種!B60</f>
        <v>保守／ｻﾎﾟｰﾄ：社内問い合わせ</v>
      </c>
      <c r="G1088" s="116" t="str">
        <f t="shared" si="572"/>
        <v>080102</v>
      </c>
      <c r="H1088" s="88">
        <f t="shared" si="569"/>
        <v>0</v>
      </c>
      <c r="I1088" s="132"/>
      <c r="J1088" s="88">
        <f>SUMIF(月間集計シート!$M$29:$M$48,$G1088,月間集計シート!N$29:N$48)*J$2</f>
        <v>0</v>
      </c>
      <c r="K1088" s="88">
        <f>SUMIF(月間集計シート!$M$29:$M$48,$G1088,月間集計シート!O$29:O$48)*K$2</f>
        <v>0</v>
      </c>
      <c r="L1088" s="88">
        <f>SUMIF(月間集計シート!$M$29:$M$48,$G1088,月間集計シート!P$29:P$48)*L$2</f>
        <v>0</v>
      </c>
      <c r="M1088" s="88">
        <f>SUMIF(月間集計シート!$M$29:$M$48,$G1088,月間集計シート!Q$29:Q$48)*M$2</f>
        <v>0</v>
      </c>
      <c r="N1088" s="88">
        <f>SUMIF(月間集計シート!$M$29:$M$48,$G1088,月間集計シート!R$29:R$48)*N$2</f>
        <v>0</v>
      </c>
      <c r="O1088" s="88">
        <f>SUMIF(月間集計シート!$M$29:$M$48,$G1088,月間集計シート!S$29:S$48)*O$2</f>
        <v>0</v>
      </c>
      <c r="P1088" s="88">
        <f>SUMIF(月間集計シート!$M$29:$M$48,$G1088,月間集計シート!T$29:T$48)*P$2</f>
        <v>0</v>
      </c>
      <c r="Q1088" s="88">
        <f>SUMIF(月間集計シート!$M$50:$M$69,$G1088,月間集計シート!N$50:N$69)*Q$2</f>
        <v>0</v>
      </c>
      <c r="R1088" s="88">
        <f>SUMIF(月間集計シート!$M$50:$M$69,$G1088,月間集計シート!O$50:O$69)*R$2</f>
        <v>0</v>
      </c>
      <c r="S1088" s="88">
        <f>SUMIF(月間集計シート!$M$50:$M$69,$G1088,月間集計シート!P$50:P$69)*S$2</f>
        <v>0</v>
      </c>
      <c r="T1088" s="88">
        <f>SUMIF(月間集計シート!$M$50:$M$69,$G1088,月間集計シート!Q$50:Q$69)*T$2</f>
        <v>0</v>
      </c>
      <c r="U1088" s="88">
        <f>SUMIF(月間集計シート!$M$50:$M$69,$G1088,月間集計シート!R$50:R$69)*U$2</f>
        <v>0</v>
      </c>
      <c r="V1088" s="88">
        <f>SUMIF(月間集計シート!$M$50:$M$69,$G1088,月間集計シート!S$50:S$69)*V$2</f>
        <v>0</v>
      </c>
      <c r="W1088" s="88">
        <f>SUMIF(月間集計シート!$M$50:$M$69,$G1088,月間集計シート!T$50:T$69)*W$2</f>
        <v>0</v>
      </c>
      <c r="X1088" s="88">
        <f>SUMIF(月間集計シート!$M$71:$M$90,$G1088,月間集計シート!N$71:N$90)*X$2</f>
        <v>0</v>
      </c>
      <c r="Y1088" s="88">
        <f>SUMIF(月間集計シート!$M$71:$M$90,$G1088,月間集計シート!O$71:O$90)*Y$2</f>
        <v>0</v>
      </c>
      <c r="Z1088" s="88">
        <f>SUMIF(月間集計シート!$M$71:$M$90,$G1088,月間集計シート!P$71:P$90)*Z$2</f>
        <v>0</v>
      </c>
      <c r="AA1088" s="88">
        <f>SUMIF(月間集計シート!$M$71:$M$90,$G1088,月間集計シート!Q$71:Q$90)*AA$2</f>
        <v>0</v>
      </c>
      <c r="AB1088" s="88">
        <f>SUMIF(月間集計シート!$M$71:$M$90,$G1088,月間集計シート!R$71:R$90)*AB$2</f>
        <v>0</v>
      </c>
      <c r="AC1088" s="88">
        <f>SUMIF(月間集計シート!$M$71:$M$90,$G1088,月間集計シート!S$71:S$90)*AC$2</f>
        <v>0</v>
      </c>
      <c r="AD1088" s="88">
        <f>SUMIF(月間集計シート!$M$71:$M$90,$G1088,月間集計シート!T$71:T$90)*AD$2</f>
        <v>0</v>
      </c>
      <c r="AE1088" s="88">
        <f>SUMIF(月間集計シート!$M$92:$M$111,$G1088,月間集計シート!N$92:N$111)*AE$2</f>
        <v>0</v>
      </c>
      <c r="AF1088" s="88">
        <f>SUMIF(月間集計シート!$M$92:$M$111,$G1088,月間集計シート!O$92:O$111)*AF$2</f>
        <v>0</v>
      </c>
      <c r="AG1088" s="88">
        <f>SUMIF(月間集計シート!$M$92:$M$111,$G1088,月間集計シート!P$92:P$111)*AG$2</f>
        <v>0</v>
      </c>
      <c r="AH1088" s="88">
        <f>SUMIF(月間集計シート!$M$92:$M$111,$G1088,月間集計シート!Q$92:Q$111)*AH$2</f>
        <v>0</v>
      </c>
      <c r="AI1088" s="88">
        <f>SUMIF(月間集計シート!$M$92:$M$111,$G1088,月間集計シート!R$92:R$111)*AI$2</f>
        <v>0</v>
      </c>
      <c r="AJ1088" s="88">
        <f>SUMIF(月間集計シート!$M$92:$M$111,$G1088,月間集計シート!S$92:S$111)*AJ$2</f>
        <v>0</v>
      </c>
      <c r="AK1088" s="88">
        <f>SUMIF(月間集計シート!$M$92:$M$111,$G1088,月間集計シート!T$92:T$111)*AK$2</f>
        <v>0</v>
      </c>
      <c r="AL1088" s="88">
        <f>SUMIF(月間集計シート!$M$113:$M$132,$G1088,月間集計シート!N$113:N$132)*AL$2</f>
        <v>0</v>
      </c>
      <c r="AM1088" s="88">
        <f>SUMIF(月間集計シート!$M$113:$M$132,$G1088,月間集計シート!O$113:O$132)*AM$2</f>
        <v>0</v>
      </c>
      <c r="AN1088" s="88">
        <f>SUMIF(月間集計シート!$M$113:$M$132,$G1088,月間集計シート!P$113:P$132)*AN$2</f>
        <v>0</v>
      </c>
      <c r="AO1088" s="88">
        <f>SUMIF(月間集計シート!$M$113:$M$132,$G1088,月間集計シート!Q$113:Q$132)*AO$2</f>
        <v>0</v>
      </c>
      <c r="AP1088" s="88">
        <f>SUMIF(月間集計シート!$M$113:$M$132,$G1088,月間集計シート!R$113:R$132)*AP$2</f>
        <v>0</v>
      </c>
      <c r="AQ1088" s="88">
        <f>SUMIF(月間集計シート!$M$113:$M$132,$G1088,月間集計シート!S$113:S$132)*AQ$2</f>
        <v>0</v>
      </c>
      <c r="AR1088" s="88">
        <f>SUMIF(月間集計シート!$M$113:$M$132,$G1088,月間集計シート!T$113:T$132)*AR$2</f>
        <v>0</v>
      </c>
      <c r="AS1088" s="88">
        <f>SUMIF(月間集計シート!$M$134:$M$153,$G1088,月間集計シート!N$134:N$153)*AS$2</f>
        <v>0</v>
      </c>
      <c r="AT1088" s="88">
        <f>SUMIF(月間集計シート!$M$134:$M$153,$G1088,月間集計シート!O$134:O$153)*AT$2</f>
        <v>0</v>
      </c>
      <c r="AU1088" s="88">
        <f>SUMIF(月間集計シート!$M$134:$M$153,$G1088,月間集計シート!P$134:P$153)*AU$2</f>
        <v>0</v>
      </c>
      <c r="AV1088" s="88">
        <f>SUMIF(月間集計シート!$M$134:$M$153,$G1088,月間集計シート!Q$134:Q$153)*AV$2</f>
        <v>0</v>
      </c>
      <c r="AW1088" s="88">
        <f>SUMIF(月間集計シート!$M$134:$M$153,$G1088,月間集計シート!R$134:R$153)*AW$2</f>
        <v>0</v>
      </c>
      <c r="AX1088" s="88">
        <f>SUMIF(月間集計シート!$M$134:$M$153,$G1088,月間集計シート!S$134:S$153)*AX$2</f>
        <v>0</v>
      </c>
      <c r="AY1088" s="88">
        <f>SUMIF(月間集計シート!$M$134:$M$153,$G1088,月間集計シート!T$134:T$153)*AY$2</f>
        <v>0</v>
      </c>
    </row>
    <row r="1089" spans="1:51" ht="14.25" thickBot="1">
      <c r="A1089">
        <v>13</v>
      </c>
      <c r="B1089" s="120">
        <f t="shared" si="570"/>
        <v>0</v>
      </c>
      <c r="C1089" s="120" t="str">
        <f t="shared" si="571"/>
        <v/>
      </c>
      <c r="D1089" s="137"/>
      <c r="E1089" s="150" t="str">
        <f>工種!A61</f>
        <v>80103</v>
      </c>
      <c r="F1089" s="119" t="str">
        <f>工種!B61</f>
        <v>保守／ｻﾎﾟｰﾄ：支社・他部門支援</v>
      </c>
      <c r="G1089" s="116" t="str">
        <f t="shared" si="572"/>
        <v>080103</v>
      </c>
      <c r="H1089" s="88">
        <f t="shared" si="569"/>
        <v>0</v>
      </c>
      <c r="I1089" s="132"/>
      <c r="J1089" s="88">
        <f>SUMIF(月間集計シート!$M$29:$M$48,$G1089,月間集計シート!N$29:N$48)*J$2</f>
        <v>0</v>
      </c>
      <c r="K1089" s="88">
        <f>SUMIF(月間集計シート!$M$29:$M$48,$G1089,月間集計シート!O$29:O$48)*K$2</f>
        <v>0</v>
      </c>
      <c r="L1089" s="88">
        <f>SUMIF(月間集計シート!$M$29:$M$48,$G1089,月間集計シート!P$29:P$48)*L$2</f>
        <v>0</v>
      </c>
      <c r="M1089" s="88">
        <f>SUMIF(月間集計シート!$M$29:$M$48,$G1089,月間集計シート!Q$29:Q$48)*M$2</f>
        <v>0</v>
      </c>
      <c r="N1089" s="88">
        <f>SUMIF(月間集計シート!$M$29:$M$48,$G1089,月間集計シート!R$29:R$48)*N$2</f>
        <v>0</v>
      </c>
      <c r="O1089" s="88">
        <f>SUMIF(月間集計シート!$M$29:$M$48,$G1089,月間集計シート!S$29:S$48)*O$2</f>
        <v>0</v>
      </c>
      <c r="P1089" s="88">
        <f>SUMIF(月間集計シート!$M$29:$M$48,$G1089,月間集計シート!T$29:T$48)*P$2</f>
        <v>0</v>
      </c>
      <c r="Q1089" s="88">
        <f>SUMIF(月間集計シート!$M$50:$M$69,$G1089,月間集計シート!N$50:N$69)*Q$2</f>
        <v>0</v>
      </c>
      <c r="R1089" s="88">
        <f>SUMIF(月間集計シート!$M$50:$M$69,$G1089,月間集計シート!O$50:O$69)*R$2</f>
        <v>0</v>
      </c>
      <c r="S1089" s="88">
        <f>SUMIF(月間集計シート!$M$50:$M$69,$G1089,月間集計シート!P$50:P$69)*S$2</f>
        <v>0</v>
      </c>
      <c r="T1089" s="88">
        <f>SUMIF(月間集計シート!$M$50:$M$69,$G1089,月間集計シート!Q$50:Q$69)*T$2</f>
        <v>0</v>
      </c>
      <c r="U1089" s="88">
        <f>SUMIF(月間集計シート!$M$50:$M$69,$G1089,月間集計シート!R$50:R$69)*U$2</f>
        <v>0</v>
      </c>
      <c r="V1089" s="88">
        <f>SUMIF(月間集計シート!$M$50:$M$69,$G1089,月間集計シート!S$50:S$69)*V$2</f>
        <v>0</v>
      </c>
      <c r="W1089" s="88">
        <f>SUMIF(月間集計シート!$M$50:$M$69,$G1089,月間集計シート!T$50:T$69)*W$2</f>
        <v>0</v>
      </c>
      <c r="X1089" s="88">
        <f>SUMIF(月間集計シート!$M$71:$M$90,$G1089,月間集計シート!N$71:N$90)*X$2</f>
        <v>0</v>
      </c>
      <c r="Y1089" s="88">
        <f>SUMIF(月間集計シート!$M$71:$M$90,$G1089,月間集計シート!O$71:O$90)*Y$2</f>
        <v>0</v>
      </c>
      <c r="Z1089" s="88">
        <f>SUMIF(月間集計シート!$M$71:$M$90,$G1089,月間集計シート!P$71:P$90)*Z$2</f>
        <v>0</v>
      </c>
      <c r="AA1089" s="88">
        <f>SUMIF(月間集計シート!$M$71:$M$90,$G1089,月間集計シート!Q$71:Q$90)*AA$2</f>
        <v>0</v>
      </c>
      <c r="AB1089" s="88">
        <f>SUMIF(月間集計シート!$M$71:$M$90,$G1089,月間集計シート!R$71:R$90)*AB$2</f>
        <v>0</v>
      </c>
      <c r="AC1089" s="88">
        <f>SUMIF(月間集計シート!$M$71:$M$90,$G1089,月間集計シート!S$71:S$90)*AC$2</f>
        <v>0</v>
      </c>
      <c r="AD1089" s="88">
        <f>SUMIF(月間集計シート!$M$71:$M$90,$G1089,月間集計シート!T$71:T$90)*AD$2</f>
        <v>0</v>
      </c>
      <c r="AE1089" s="88">
        <f>SUMIF(月間集計シート!$M$92:$M$111,$G1089,月間集計シート!N$92:N$111)*AE$2</f>
        <v>0</v>
      </c>
      <c r="AF1089" s="88">
        <f>SUMIF(月間集計シート!$M$92:$M$111,$G1089,月間集計シート!O$92:O$111)*AF$2</f>
        <v>0</v>
      </c>
      <c r="AG1089" s="88">
        <f>SUMIF(月間集計シート!$M$92:$M$111,$G1089,月間集計シート!P$92:P$111)*AG$2</f>
        <v>0</v>
      </c>
      <c r="AH1089" s="88">
        <f>SUMIF(月間集計シート!$M$92:$M$111,$G1089,月間集計シート!Q$92:Q$111)*AH$2</f>
        <v>0</v>
      </c>
      <c r="AI1089" s="88">
        <f>SUMIF(月間集計シート!$M$92:$M$111,$G1089,月間集計シート!R$92:R$111)*AI$2</f>
        <v>0</v>
      </c>
      <c r="AJ1089" s="88">
        <f>SUMIF(月間集計シート!$M$92:$M$111,$G1089,月間集計シート!S$92:S$111)*AJ$2</f>
        <v>0</v>
      </c>
      <c r="AK1089" s="88">
        <f>SUMIF(月間集計シート!$M$92:$M$111,$G1089,月間集計シート!T$92:T$111)*AK$2</f>
        <v>0</v>
      </c>
      <c r="AL1089" s="88">
        <f>SUMIF(月間集計シート!$M$113:$M$132,$G1089,月間集計シート!N$113:N$132)*AL$2</f>
        <v>0</v>
      </c>
      <c r="AM1089" s="88">
        <f>SUMIF(月間集計シート!$M$113:$M$132,$G1089,月間集計シート!O$113:O$132)*AM$2</f>
        <v>0</v>
      </c>
      <c r="AN1089" s="88">
        <f>SUMIF(月間集計シート!$M$113:$M$132,$G1089,月間集計シート!P$113:P$132)*AN$2</f>
        <v>0</v>
      </c>
      <c r="AO1089" s="88">
        <f>SUMIF(月間集計シート!$M$113:$M$132,$G1089,月間集計シート!Q$113:Q$132)*AO$2</f>
        <v>0</v>
      </c>
      <c r="AP1089" s="88">
        <f>SUMIF(月間集計シート!$M$113:$M$132,$G1089,月間集計シート!R$113:R$132)*AP$2</f>
        <v>0</v>
      </c>
      <c r="AQ1089" s="88">
        <f>SUMIF(月間集計シート!$M$113:$M$132,$G1089,月間集計シート!S$113:S$132)*AQ$2</f>
        <v>0</v>
      </c>
      <c r="AR1089" s="88">
        <f>SUMIF(月間集計シート!$M$113:$M$132,$G1089,月間集計シート!T$113:T$132)*AR$2</f>
        <v>0</v>
      </c>
      <c r="AS1089" s="88">
        <f>SUMIF(月間集計シート!$M$134:$M$153,$G1089,月間集計シート!N$134:N$153)*AS$2</f>
        <v>0</v>
      </c>
      <c r="AT1089" s="88">
        <f>SUMIF(月間集計シート!$M$134:$M$153,$G1089,月間集計シート!O$134:O$153)*AT$2</f>
        <v>0</v>
      </c>
      <c r="AU1089" s="88">
        <f>SUMIF(月間集計シート!$M$134:$M$153,$G1089,月間集計シート!P$134:P$153)*AU$2</f>
        <v>0</v>
      </c>
      <c r="AV1089" s="88">
        <f>SUMIF(月間集計シート!$M$134:$M$153,$G1089,月間集計シート!Q$134:Q$153)*AV$2</f>
        <v>0</v>
      </c>
      <c r="AW1089" s="88">
        <f>SUMIF(月間集計シート!$M$134:$M$153,$G1089,月間集計シート!R$134:R$153)*AW$2</f>
        <v>0</v>
      </c>
      <c r="AX1089" s="88">
        <f>SUMIF(月間集計シート!$M$134:$M$153,$G1089,月間集計シート!S$134:S$153)*AX$2</f>
        <v>0</v>
      </c>
      <c r="AY1089" s="88">
        <f>SUMIF(月間集計シート!$M$134:$M$153,$G1089,月間集計シート!T$134:T$153)*AY$2</f>
        <v>0</v>
      </c>
    </row>
    <row r="1090" spans="1:51" ht="14.25" thickBot="1">
      <c r="A1090">
        <v>13</v>
      </c>
      <c r="B1090" s="120">
        <f t="shared" si="570"/>
        <v>0</v>
      </c>
      <c r="C1090" s="120" t="str">
        <f t="shared" si="571"/>
        <v/>
      </c>
      <c r="D1090" s="137"/>
      <c r="E1090" s="150" t="str">
        <f>工種!A62</f>
        <v>80104</v>
      </c>
      <c r="F1090" s="119" t="str">
        <f>工種!B62</f>
        <v>保守／ｻﾎﾟｰﾄ：連絡文書作成・更新</v>
      </c>
      <c r="G1090" s="116" t="str">
        <f t="shared" si="572"/>
        <v>080104</v>
      </c>
      <c r="H1090" s="88">
        <f t="shared" si="569"/>
        <v>0</v>
      </c>
      <c r="I1090" s="132"/>
      <c r="J1090" s="88">
        <f>SUMIF(月間集計シート!$M$29:$M$48,$G1090,月間集計シート!N$29:N$48)*J$2</f>
        <v>0</v>
      </c>
      <c r="K1090" s="88">
        <f>SUMIF(月間集計シート!$M$29:$M$48,$G1090,月間集計シート!O$29:O$48)*K$2</f>
        <v>0</v>
      </c>
      <c r="L1090" s="88">
        <f>SUMIF(月間集計シート!$M$29:$M$48,$G1090,月間集計シート!P$29:P$48)*L$2</f>
        <v>0</v>
      </c>
      <c r="M1090" s="88">
        <f>SUMIF(月間集計シート!$M$29:$M$48,$G1090,月間集計シート!Q$29:Q$48)*M$2</f>
        <v>0</v>
      </c>
      <c r="N1090" s="88">
        <f>SUMIF(月間集計シート!$M$29:$M$48,$G1090,月間集計シート!R$29:R$48)*N$2</f>
        <v>0</v>
      </c>
      <c r="O1090" s="88">
        <f>SUMIF(月間集計シート!$M$29:$M$48,$G1090,月間集計シート!S$29:S$48)*O$2</f>
        <v>0</v>
      </c>
      <c r="P1090" s="88">
        <f>SUMIF(月間集計シート!$M$29:$M$48,$G1090,月間集計シート!T$29:T$48)*P$2</f>
        <v>0</v>
      </c>
      <c r="Q1090" s="88">
        <f>SUMIF(月間集計シート!$M$50:$M$69,$G1090,月間集計シート!N$50:N$69)*Q$2</f>
        <v>0</v>
      </c>
      <c r="R1090" s="88">
        <f>SUMIF(月間集計シート!$M$50:$M$69,$G1090,月間集計シート!O$50:O$69)*R$2</f>
        <v>0</v>
      </c>
      <c r="S1090" s="88">
        <f>SUMIF(月間集計シート!$M$50:$M$69,$G1090,月間集計シート!P$50:P$69)*S$2</f>
        <v>0</v>
      </c>
      <c r="T1090" s="88">
        <f>SUMIF(月間集計シート!$M$50:$M$69,$G1090,月間集計シート!Q$50:Q$69)*T$2</f>
        <v>0</v>
      </c>
      <c r="U1090" s="88">
        <f>SUMIF(月間集計シート!$M$50:$M$69,$G1090,月間集計シート!R$50:R$69)*U$2</f>
        <v>0</v>
      </c>
      <c r="V1090" s="88">
        <f>SUMIF(月間集計シート!$M$50:$M$69,$G1090,月間集計シート!S$50:S$69)*V$2</f>
        <v>0</v>
      </c>
      <c r="W1090" s="88">
        <f>SUMIF(月間集計シート!$M$50:$M$69,$G1090,月間集計シート!T$50:T$69)*W$2</f>
        <v>0</v>
      </c>
      <c r="X1090" s="88">
        <f>SUMIF(月間集計シート!$M$71:$M$90,$G1090,月間集計シート!N$71:N$90)*X$2</f>
        <v>0</v>
      </c>
      <c r="Y1090" s="88">
        <f>SUMIF(月間集計シート!$M$71:$M$90,$G1090,月間集計シート!O$71:O$90)*Y$2</f>
        <v>0</v>
      </c>
      <c r="Z1090" s="88">
        <f>SUMIF(月間集計シート!$M$71:$M$90,$G1090,月間集計シート!P$71:P$90)*Z$2</f>
        <v>0</v>
      </c>
      <c r="AA1090" s="88">
        <f>SUMIF(月間集計シート!$M$71:$M$90,$G1090,月間集計シート!Q$71:Q$90)*AA$2</f>
        <v>0</v>
      </c>
      <c r="AB1090" s="88">
        <f>SUMIF(月間集計シート!$M$71:$M$90,$G1090,月間集計シート!R$71:R$90)*AB$2</f>
        <v>0</v>
      </c>
      <c r="AC1090" s="88">
        <f>SUMIF(月間集計シート!$M$71:$M$90,$G1090,月間集計シート!S$71:S$90)*AC$2</f>
        <v>0</v>
      </c>
      <c r="AD1090" s="88">
        <f>SUMIF(月間集計シート!$M$71:$M$90,$G1090,月間集計シート!T$71:T$90)*AD$2</f>
        <v>0</v>
      </c>
      <c r="AE1090" s="88">
        <f>SUMIF(月間集計シート!$M$92:$M$111,$G1090,月間集計シート!N$92:N$111)*AE$2</f>
        <v>0</v>
      </c>
      <c r="AF1090" s="88">
        <f>SUMIF(月間集計シート!$M$92:$M$111,$G1090,月間集計シート!O$92:O$111)*AF$2</f>
        <v>0</v>
      </c>
      <c r="AG1090" s="88">
        <f>SUMIF(月間集計シート!$M$92:$M$111,$G1090,月間集計シート!P$92:P$111)*AG$2</f>
        <v>0</v>
      </c>
      <c r="AH1090" s="88">
        <f>SUMIF(月間集計シート!$M$92:$M$111,$G1090,月間集計シート!Q$92:Q$111)*AH$2</f>
        <v>0</v>
      </c>
      <c r="AI1090" s="88">
        <f>SUMIF(月間集計シート!$M$92:$M$111,$G1090,月間集計シート!R$92:R$111)*AI$2</f>
        <v>0</v>
      </c>
      <c r="AJ1090" s="88">
        <f>SUMIF(月間集計シート!$M$92:$M$111,$G1090,月間集計シート!S$92:S$111)*AJ$2</f>
        <v>0</v>
      </c>
      <c r="AK1090" s="88">
        <f>SUMIF(月間集計シート!$M$92:$M$111,$G1090,月間集計シート!T$92:T$111)*AK$2</f>
        <v>0</v>
      </c>
      <c r="AL1090" s="88">
        <f>SUMIF(月間集計シート!$M$113:$M$132,$G1090,月間集計シート!N$113:N$132)*AL$2</f>
        <v>0</v>
      </c>
      <c r="AM1090" s="88">
        <f>SUMIF(月間集計シート!$M$113:$M$132,$G1090,月間集計シート!O$113:O$132)*AM$2</f>
        <v>0</v>
      </c>
      <c r="AN1090" s="88">
        <f>SUMIF(月間集計シート!$M$113:$M$132,$G1090,月間集計シート!P$113:P$132)*AN$2</f>
        <v>0</v>
      </c>
      <c r="AO1090" s="88">
        <f>SUMIF(月間集計シート!$M$113:$M$132,$G1090,月間集計シート!Q$113:Q$132)*AO$2</f>
        <v>0</v>
      </c>
      <c r="AP1090" s="88">
        <f>SUMIF(月間集計シート!$M$113:$M$132,$G1090,月間集計シート!R$113:R$132)*AP$2</f>
        <v>0</v>
      </c>
      <c r="AQ1090" s="88">
        <f>SUMIF(月間集計シート!$M$113:$M$132,$G1090,月間集計シート!S$113:S$132)*AQ$2</f>
        <v>0</v>
      </c>
      <c r="AR1090" s="88">
        <f>SUMIF(月間集計シート!$M$113:$M$132,$G1090,月間集計シート!T$113:T$132)*AR$2</f>
        <v>0</v>
      </c>
      <c r="AS1090" s="88">
        <f>SUMIF(月間集計シート!$M$134:$M$153,$G1090,月間集計シート!N$134:N$153)*AS$2</f>
        <v>0</v>
      </c>
      <c r="AT1090" s="88">
        <f>SUMIF(月間集計シート!$M$134:$M$153,$G1090,月間集計シート!O$134:O$153)*AT$2</f>
        <v>0</v>
      </c>
      <c r="AU1090" s="88">
        <f>SUMIF(月間集計シート!$M$134:$M$153,$G1090,月間集計シート!P$134:P$153)*AU$2</f>
        <v>0</v>
      </c>
      <c r="AV1090" s="88">
        <f>SUMIF(月間集計シート!$M$134:$M$153,$G1090,月間集計シート!Q$134:Q$153)*AV$2</f>
        <v>0</v>
      </c>
      <c r="AW1090" s="88">
        <f>SUMIF(月間集計シート!$M$134:$M$153,$G1090,月間集計シート!R$134:R$153)*AW$2</f>
        <v>0</v>
      </c>
      <c r="AX1090" s="88">
        <f>SUMIF(月間集計シート!$M$134:$M$153,$G1090,月間集計シート!S$134:S$153)*AX$2</f>
        <v>0</v>
      </c>
      <c r="AY1090" s="88">
        <f>SUMIF(月間集計シート!$M$134:$M$153,$G1090,月間集計シート!T$134:T$153)*AY$2</f>
        <v>0</v>
      </c>
    </row>
    <row r="1091" spans="1:51" ht="14.25" thickBot="1">
      <c r="A1091">
        <v>13</v>
      </c>
      <c r="B1091" s="120">
        <f t="shared" si="570"/>
        <v>0</v>
      </c>
      <c r="C1091" s="120" t="str">
        <f t="shared" si="571"/>
        <v/>
      </c>
      <c r="D1091" s="137"/>
      <c r="E1091" s="150" t="str">
        <f>工種!A63</f>
        <v>80105</v>
      </c>
      <c r="F1091" s="119" t="str">
        <f>工種!B63</f>
        <v>保守／ｻﾎﾟｰﾄ：ｲﾝﾄﾗ資料更新</v>
      </c>
      <c r="G1091" s="116" t="str">
        <f t="shared" ref="G1091:G1108" si="573">B1091&amp;E1091</f>
        <v>080105</v>
      </c>
      <c r="H1091" s="88">
        <f t="shared" ref="H1091:H1092" si="574">SUM(J1091:AY1091)</f>
        <v>0</v>
      </c>
      <c r="I1091" s="132"/>
      <c r="J1091" s="88">
        <f>SUMIF(月間集計シート!$M$29:$M$48,$G1091,月間集計シート!N$29:N$48)*J$2</f>
        <v>0</v>
      </c>
      <c r="K1091" s="88">
        <f>SUMIF(月間集計シート!$M$29:$M$48,$G1091,月間集計シート!O$29:O$48)*K$2</f>
        <v>0</v>
      </c>
      <c r="L1091" s="88">
        <f>SUMIF(月間集計シート!$M$29:$M$48,$G1091,月間集計シート!P$29:P$48)*L$2</f>
        <v>0</v>
      </c>
      <c r="M1091" s="88">
        <f>SUMIF(月間集計シート!$M$29:$M$48,$G1091,月間集計シート!Q$29:Q$48)*M$2</f>
        <v>0</v>
      </c>
      <c r="N1091" s="88">
        <f>SUMIF(月間集計シート!$M$29:$M$48,$G1091,月間集計シート!R$29:R$48)*N$2</f>
        <v>0</v>
      </c>
      <c r="O1091" s="88">
        <f>SUMIF(月間集計シート!$M$29:$M$48,$G1091,月間集計シート!S$29:S$48)*O$2</f>
        <v>0</v>
      </c>
      <c r="P1091" s="88">
        <f>SUMIF(月間集計シート!$M$29:$M$48,$G1091,月間集計シート!T$29:T$48)*P$2</f>
        <v>0</v>
      </c>
      <c r="Q1091" s="88">
        <f>SUMIF(月間集計シート!$M$50:$M$69,$G1091,月間集計シート!N$50:N$69)*Q$2</f>
        <v>0</v>
      </c>
      <c r="R1091" s="88">
        <f>SUMIF(月間集計シート!$M$50:$M$69,$G1091,月間集計シート!O$50:O$69)*R$2</f>
        <v>0</v>
      </c>
      <c r="S1091" s="88">
        <f>SUMIF(月間集計シート!$M$50:$M$69,$G1091,月間集計シート!P$50:P$69)*S$2</f>
        <v>0</v>
      </c>
      <c r="T1091" s="88">
        <f>SUMIF(月間集計シート!$M$50:$M$69,$G1091,月間集計シート!Q$50:Q$69)*T$2</f>
        <v>0</v>
      </c>
      <c r="U1091" s="88">
        <f>SUMIF(月間集計シート!$M$50:$M$69,$G1091,月間集計シート!R$50:R$69)*U$2</f>
        <v>0</v>
      </c>
      <c r="V1091" s="88">
        <f>SUMIF(月間集計シート!$M$50:$M$69,$G1091,月間集計シート!S$50:S$69)*V$2</f>
        <v>0</v>
      </c>
      <c r="W1091" s="88">
        <f>SUMIF(月間集計シート!$M$50:$M$69,$G1091,月間集計シート!T$50:T$69)*W$2</f>
        <v>0</v>
      </c>
      <c r="X1091" s="88">
        <f>SUMIF(月間集計シート!$M$71:$M$90,$G1091,月間集計シート!N$71:N$90)*X$2</f>
        <v>0</v>
      </c>
      <c r="Y1091" s="88">
        <f>SUMIF(月間集計シート!$M$71:$M$90,$G1091,月間集計シート!O$71:O$90)*Y$2</f>
        <v>0</v>
      </c>
      <c r="Z1091" s="88">
        <f>SUMIF(月間集計シート!$M$71:$M$90,$G1091,月間集計シート!P$71:P$90)*Z$2</f>
        <v>0</v>
      </c>
      <c r="AA1091" s="88">
        <f>SUMIF(月間集計シート!$M$71:$M$90,$G1091,月間集計シート!Q$71:Q$90)*AA$2</f>
        <v>0</v>
      </c>
      <c r="AB1091" s="88">
        <f>SUMIF(月間集計シート!$M$71:$M$90,$G1091,月間集計シート!R$71:R$90)*AB$2</f>
        <v>0</v>
      </c>
      <c r="AC1091" s="88">
        <f>SUMIF(月間集計シート!$M$71:$M$90,$G1091,月間集計シート!S$71:S$90)*AC$2</f>
        <v>0</v>
      </c>
      <c r="AD1091" s="88">
        <f>SUMIF(月間集計シート!$M$71:$M$90,$G1091,月間集計シート!T$71:T$90)*AD$2</f>
        <v>0</v>
      </c>
      <c r="AE1091" s="88">
        <f>SUMIF(月間集計シート!$M$92:$M$111,$G1091,月間集計シート!N$92:N$111)*AE$2</f>
        <v>0</v>
      </c>
      <c r="AF1091" s="88">
        <f>SUMIF(月間集計シート!$M$92:$M$111,$G1091,月間集計シート!O$92:O$111)*AF$2</f>
        <v>0</v>
      </c>
      <c r="AG1091" s="88">
        <f>SUMIF(月間集計シート!$M$92:$M$111,$G1091,月間集計シート!P$92:P$111)*AG$2</f>
        <v>0</v>
      </c>
      <c r="AH1091" s="88">
        <f>SUMIF(月間集計シート!$M$92:$M$111,$G1091,月間集計シート!Q$92:Q$111)*AH$2</f>
        <v>0</v>
      </c>
      <c r="AI1091" s="88">
        <f>SUMIF(月間集計シート!$M$92:$M$111,$G1091,月間集計シート!R$92:R$111)*AI$2</f>
        <v>0</v>
      </c>
      <c r="AJ1091" s="88">
        <f>SUMIF(月間集計シート!$M$92:$M$111,$G1091,月間集計シート!S$92:S$111)*AJ$2</f>
        <v>0</v>
      </c>
      <c r="AK1091" s="88">
        <f>SUMIF(月間集計シート!$M$92:$M$111,$G1091,月間集計シート!T$92:T$111)*AK$2</f>
        <v>0</v>
      </c>
      <c r="AL1091" s="88">
        <f>SUMIF(月間集計シート!$M$113:$M$132,$G1091,月間集計シート!N$113:N$132)*AL$2</f>
        <v>0</v>
      </c>
      <c r="AM1091" s="88">
        <f>SUMIF(月間集計シート!$M$113:$M$132,$G1091,月間集計シート!O$113:O$132)*AM$2</f>
        <v>0</v>
      </c>
      <c r="AN1091" s="88">
        <f>SUMIF(月間集計シート!$M$113:$M$132,$G1091,月間集計シート!P$113:P$132)*AN$2</f>
        <v>0</v>
      </c>
      <c r="AO1091" s="88">
        <f>SUMIF(月間集計シート!$M$113:$M$132,$G1091,月間集計シート!Q$113:Q$132)*AO$2</f>
        <v>0</v>
      </c>
      <c r="AP1091" s="88">
        <f>SUMIF(月間集計シート!$M$113:$M$132,$G1091,月間集計シート!R$113:R$132)*AP$2</f>
        <v>0</v>
      </c>
      <c r="AQ1091" s="88">
        <f>SUMIF(月間集計シート!$M$113:$M$132,$G1091,月間集計シート!S$113:S$132)*AQ$2</f>
        <v>0</v>
      </c>
      <c r="AR1091" s="88">
        <f>SUMIF(月間集計シート!$M$113:$M$132,$G1091,月間集計シート!T$113:T$132)*AR$2</f>
        <v>0</v>
      </c>
      <c r="AS1091" s="88">
        <f>SUMIF(月間集計シート!$M$134:$M$153,$G1091,月間集計シート!N$134:N$153)*AS$2</f>
        <v>0</v>
      </c>
      <c r="AT1091" s="88">
        <f>SUMIF(月間集計シート!$M$134:$M$153,$G1091,月間集計シート!O$134:O$153)*AT$2</f>
        <v>0</v>
      </c>
      <c r="AU1091" s="88">
        <f>SUMIF(月間集計シート!$M$134:$M$153,$G1091,月間集計シート!P$134:P$153)*AU$2</f>
        <v>0</v>
      </c>
      <c r="AV1091" s="88">
        <f>SUMIF(月間集計シート!$M$134:$M$153,$G1091,月間集計シート!Q$134:Q$153)*AV$2</f>
        <v>0</v>
      </c>
      <c r="AW1091" s="88">
        <f>SUMIF(月間集計シート!$M$134:$M$153,$G1091,月間集計シート!R$134:R$153)*AW$2</f>
        <v>0</v>
      </c>
      <c r="AX1091" s="88">
        <f>SUMIF(月間集計シート!$M$134:$M$153,$G1091,月間集計シート!S$134:S$153)*AX$2</f>
        <v>0</v>
      </c>
      <c r="AY1091" s="88">
        <f>SUMIF(月間集計シート!$M$134:$M$153,$G1091,月間集計シート!T$134:T$153)*AY$2</f>
        <v>0</v>
      </c>
    </row>
    <row r="1092" spans="1:51" ht="14.25" thickBot="1">
      <c r="A1092">
        <v>13</v>
      </c>
      <c r="B1092" s="120">
        <f t="shared" si="570"/>
        <v>0</v>
      </c>
      <c r="C1092" s="120" t="str">
        <f t="shared" si="571"/>
        <v/>
      </c>
      <c r="D1092" s="137"/>
      <c r="E1092" s="150" t="str">
        <f>工種!A64</f>
        <v>80106</v>
      </c>
      <c r="F1092" s="119" t="str">
        <f>工種!B64</f>
        <v>保守／ｻﾎﾟｰﾄ：打合せ</v>
      </c>
      <c r="G1092" s="116" t="str">
        <f t="shared" si="573"/>
        <v>080106</v>
      </c>
      <c r="H1092" s="88">
        <f t="shared" si="574"/>
        <v>0</v>
      </c>
      <c r="I1092" s="132"/>
      <c r="J1092" s="88">
        <f>SUMIF(月間集計シート!$M$29:$M$48,$G1092,月間集計シート!N$29:N$48)*J$2</f>
        <v>0</v>
      </c>
      <c r="K1092" s="88">
        <f>SUMIF(月間集計シート!$M$29:$M$48,$G1092,月間集計シート!O$29:O$48)*K$2</f>
        <v>0</v>
      </c>
      <c r="L1092" s="88">
        <f>SUMIF(月間集計シート!$M$29:$M$48,$G1092,月間集計シート!P$29:P$48)*L$2</f>
        <v>0</v>
      </c>
      <c r="M1092" s="88">
        <f>SUMIF(月間集計シート!$M$29:$M$48,$G1092,月間集計シート!Q$29:Q$48)*M$2</f>
        <v>0</v>
      </c>
      <c r="N1092" s="88">
        <f>SUMIF(月間集計シート!$M$29:$M$48,$G1092,月間集計シート!R$29:R$48)*N$2</f>
        <v>0</v>
      </c>
      <c r="O1092" s="88">
        <f>SUMIF(月間集計シート!$M$29:$M$48,$G1092,月間集計シート!S$29:S$48)*O$2</f>
        <v>0</v>
      </c>
      <c r="P1092" s="88">
        <f>SUMIF(月間集計シート!$M$29:$M$48,$G1092,月間集計シート!T$29:T$48)*P$2</f>
        <v>0</v>
      </c>
      <c r="Q1092" s="88">
        <f>SUMIF(月間集計シート!$M$50:$M$69,$G1092,月間集計シート!N$50:N$69)*Q$2</f>
        <v>0</v>
      </c>
      <c r="R1092" s="88">
        <f>SUMIF(月間集計シート!$M$50:$M$69,$G1092,月間集計シート!O$50:O$69)*R$2</f>
        <v>0</v>
      </c>
      <c r="S1092" s="88">
        <f>SUMIF(月間集計シート!$M$50:$M$69,$G1092,月間集計シート!P$50:P$69)*S$2</f>
        <v>0</v>
      </c>
      <c r="T1092" s="88">
        <f>SUMIF(月間集計シート!$M$50:$M$69,$G1092,月間集計シート!Q$50:Q$69)*T$2</f>
        <v>0</v>
      </c>
      <c r="U1092" s="88">
        <f>SUMIF(月間集計シート!$M$50:$M$69,$G1092,月間集計シート!R$50:R$69)*U$2</f>
        <v>0</v>
      </c>
      <c r="V1092" s="88">
        <f>SUMIF(月間集計シート!$M$50:$M$69,$G1092,月間集計シート!S$50:S$69)*V$2</f>
        <v>0</v>
      </c>
      <c r="W1092" s="88">
        <f>SUMIF(月間集計シート!$M$50:$M$69,$G1092,月間集計シート!T$50:T$69)*W$2</f>
        <v>0</v>
      </c>
      <c r="X1092" s="88">
        <f>SUMIF(月間集計シート!$M$71:$M$90,$G1092,月間集計シート!N$71:N$90)*X$2</f>
        <v>0</v>
      </c>
      <c r="Y1092" s="88">
        <f>SUMIF(月間集計シート!$M$71:$M$90,$G1092,月間集計シート!O$71:O$90)*Y$2</f>
        <v>0</v>
      </c>
      <c r="Z1092" s="88">
        <f>SUMIF(月間集計シート!$M$71:$M$90,$G1092,月間集計シート!P$71:P$90)*Z$2</f>
        <v>0</v>
      </c>
      <c r="AA1092" s="88">
        <f>SUMIF(月間集計シート!$M$71:$M$90,$G1092,月間集計シート!Q$71:Q$90)*AA$2</f>
        <v>0</v>
      </c>
      <c r="AB1092" s="88">
        <f>SUMIF(月間集計シート!$M$71:$M$90,$G1092,月間集計シート!R$71:R$90)*AB$2</f>
        <v>0</v>
      </c>
      <c r="AC1092" s="88">
        <f>SUMIF(月間集計シート!$M$71:$M$90,$G1092,月間集計シート!S$71:S$90)*AC$2</f>
        <v>0</v>
      </c>
      <c r="AD1092" s="88">
        <f>SUMIF(月間集計シート!$M$71:$M$90,$G1092,月間集計シート!T$71:T$90)*AD$2</f>
        <v>0</v>
      </c>
      <c r="AE1092" s="88">
        <f>SUMIF(月間集計シート!$M$92:$M$111,$G1092,月間集計シート!N$92:N$111)*AE$2</f>
        <v>0</v>
      </c>
      <c r="AF1092" s="88">
        <f>SUMIF(月間集計シート!$M$92:$M$111,$G1092,月間集計シート!O$92:O$111)*AF$2</f>
        <v>0</v>
      </c>
      <c r="AG1092" s="88">
        <f>SUMIF(月間集計シート!$M$92:$M$111,$G1092,月間集計シート!P$92:P$111)*AG$2</f>
        <v>0</v>
      </c>
      <c r="AH1092" s="88">
        <f>SUMIF(月間集計シート!$M$92:$M$111,$G1092,月間集計シート!Q$92:Q$111)*AH$2</f>
        <v>0</v>
      </c>
      <c r="AI1092" s="88">
        <f>SUMIF(月間集計シート!$M$92:$M$111,$G1092,月間集計シート!R$92:R$111)*AI$2</f>
        <v>0</v>
      </c>
      <c r="AJ1092" s="88">
        <f>SUMIF(月間集計シート!$M$92:$M$111,$G1092,月間集計シート!S$92:S$111)*AJ$2</f>
        <v>0</v>
      </c>
      <c r="AK1092" s="88">
        <f>SUMIF(月間集計シート!$M$92:$M$111,$G1092,月間集計シート!T$92:T$111)*AK$2</f>
        <v>0</v>
      </c>
      <c r="AL1092" s="88">
        <f>SUMIF(月間集計シート!$M$113:$M$132,$G1092,月間集計シート!N$113:N$132)*AL$2</f>
        <v>0</v>
      </c>
      <c r="AM1092" s="88">
        <f>SUMIF(月間集計シート!$M$113:$M$132,$G1092,月間集計シート!O$113:O$132)*AM$2</f>
        <v>0</v>
      </c>
      <c r="AN1092" s="88">
        <f>SUMIF(月間集計シート!$M$113:$M$132,$G1092,月間集計シート!P$113:P$132)*AN$2</f>
        <v>0</v>
      </c>
      <c r="AO1092" s="88">
        <f>SUMIF(月間集計シート!$M$113:$M$132,$G1092,月間集計シート!Q$113:Q$132)*AO$2</f>
        <v>0</v>
      </c>
      <c r="AP1092" s="88">
        <f>SUMIF(月間集計シート!$M$113:$M$132,$G1092,月間集計シート!R$113:R$132)*AP$2</f>
        <v>0</v>
      </c>
      <c r="AQ1092" s="88">
        <f>SUMIF(月間集計シート!$M$113:$M$132,$G1092,月間集計シート!S$113:S$132)*AQ$2</f>
        <v>0</v>
      </c>
      <c r="AR1092" s="88">
        <f>SUMIF(月間集計シート!$M$113:$M$132,$G1092,月間集計シート!T$113:T$132)*AR$2</f>
        <v>0</v>
      </c>
      <c r="AS1092" s="88">
        <f>SUMIF(月間集計シート!$M$134:$M$153,$G1092,月間集計シート!N$134:N$153)*AS$2</f>
        <v>0</v>
      </c>
      <c r="AT1092" s="88">
        <f>SUMIF(月間集計シート!$M$134:$M$153,$G1092,月間集計シート!O$134:O$153)*AT$2</f>
        <v>0</v>
      </c>
      <c r="AU1092" s="88">
        <f>SUMIF(月間集計シート!$M$134:$M$153,$G1092,月間集計シート!P$134:P$153)*AU$2</f>
        <v>0</v>
      </c>
      <c r="AV1092" s="88">
        <f>SUMIF(月間集計シート!$M$134:$M$153,$G1092,月間集計シート!Q$134:Q$153)*AV$2</f>
        <v>0</v>
      </c>
      <c r="AW1092" s="88">
        <f>SUMIF(月間集計シート!$M$134:$M$153,$G1092,月間集計シート!R$134:R$153)*AW$2</f>
        <v>0</v>
      </c>
      <c r="AX1092" s="88">
        <f>SUMIF(月間集計シート!$M$134:$M$153,$G1092,月間集計シート!S$134:S$153)*AX$2</f>
        <v>0</v>
      </c>
      <c r="AY1092" s="88">
        <f>SUMIF(月間集計シート!$M$134:$M$153,$G1092,月間集計シート!T$134:T$153)*AY$2</f>
        <v>0</v>
      </c>
    </row>
    <row r="1093" spans="1:51" ht="14.25" thickBot="1">
      <c r="A1093">
        <v>13</v>
      </c>
      <c r="B1093" s="120">
        <f t="shared" si="570"/>
        <v>0</v>
      </c>
      <c r="C1093" s="120" t="str">
        <f t="shared" si="571"/>
        <v/>
      </c>
      <c r="D1093" s="137"/>
      <c r="E1093" s="150" t="str">
        <f>工種!A65</f>
        <v>80107</v>
      </c>
      <c r="F1093" s="119" t="str">
        <f>工種!B65</f>
        <v>保守／ｻﾎﾟｰﾄ：ﾚﾋﾞｭｰ</v>
      </c>
      <c r="G1093" s="116" t="str">
        <f t="shared" si="573"/>
        <v>080107</v>
      </c>
      <c r="H1093" s="88">
        <f t="shared" ref="H1093:H1108" si="575">SUM(J1093:AY1093)</f>
        <v>0</v>
      </c>
      <c r="I1093" s="132"/>
      <c r="J1093" s="88">
        <f>SUMIF(月間集計シート!$M$29:$M$48,$G1093,月間集計シート!N$29:N$48)*J$2</f>
        <v>0</v>
      </c>
      <c r="K1093" s="88">
        <f>SUMIF(月間集計シート!$M$29:$M$48,$G1093,月間集計シート!O$29:O$48)*K$2</f>
        <v>0</v>
      </c>
      <c r="L1093" s="88">
        <f>SUMIF(月間集計シート!$M$29:$M$48,$G1093,月間集計シート!P$29:P$48)*L$2</f>
        <v>0</v>
      </c>
      <c r="M1093" s="88">
        <f>SUMIF(月間集計シート!$M$29:$M$48,$G1093,月間集計シート!Q$29:Q$48)*M$2</f>
        <v>0</v>
      </c>
      <c r="N1093" s="88">
        <f>SUMIF(月間集計シート!$M$29:$M$48,$G1093,月間集計シート!R$29:R$48)*N$2</f>
        <v>0</v>
      </c>
      <c r="O1093" s="88">
        <f>SUMIF(月間集計シート!$M$29:$M$48,$G1093,月間集計シート!S$29:S$48)*O$2</f>
        <v>0</v>
      </c>
      <c r="P1093" s="88">
        <f>SUMIF(月間集計シート!$M$29:$M$48,$G1093,月間集計シート!T$29:T$48)*P$2</f>
        <v>0</v>
      </c>
      <c r="Q1093" s="88">
        <f>SUMIF(月間集計シート!$M$50:$M$69,$G1093,月間集計シート!N$50:N$69)*Q$2</f>
        <v>0</v>
      </c>
      <c r="R1093" s="88">
        <f>SUMIF(月間集計シート!$M$50:$M$69,$G1093,月間集計シート!O$50:O$69)*R$2</f>
        <v>0</v>
      </c>
      <c r="S1093" s="88">
        <f>SUMIF(月間集計シート!$M$50:$M$69,$G1093,月間集計シート!P$50:P$69)*S$2</f>
        <v>0</v>
      </c>
      <c r="T1093" s="88">
        <f>SUMIF(月間集計シート!$M$50:$M$69,$G1093,月間集計シート!Q$50:Q$69)*T$2</f>
        <v>0</v>
      </c>
      <c r="U1093" s="88">
        <f>SUMIF(月間集計シート!$M$50:$M$69,$G1093,月間集計シート!R$50:R$69)*U$2</f>
        <v>0</v>
      </c>
      <c r="V1093" s="88">
        <f>SUMIF(月間集計シート!$M$50:$M$69,$G1093,月間集計シート!S$50:S$69)*V$2</f>
        <v>0</v>
      </c>
      <c r="W1093" s="88">
        <f>SUMIF(月間集計シート!$M$50:$M$69,$G1093,月間集計シート!T$50:T$69)*W$2</f>
        <v>0</v>
      </c>
      <c r="X1093" s="88">
        <f>SUMIF(月間集計シート!$M$71:$M$90,$G1093,月間集計シート!N$71:N$90)*X$2</f>
        <v>0</v>
      </c>
      <c r="Y1093" s="88">
        <f>SUMIF(月間集計シート!$M$71:$M$90,$G1093,月間集計シート!O$71:O$90)*Y$2</f>
        <v>0</v>
      </c>
      <c r="Z1093" s="88">
        <f>SUMIF(月間集計シート!$M$71:$M$90,$G1093,月間集計シート!P$71:P$90)*Z$2</f>
        <v>0</v>
      </c>
      <c r="AA1093" s="88">
        <f>SUMIF(月間集計シート!$M$71:$M$90,$G1093,月間集計シート!Q$71:Q$90)*AA$2</f>
        <v>0</v>
      </c>
      <c r="AB1093" s="88">
        <f>SUMIF(月間集計シート!$M$71:$M$90,$G1093,月間集計シート!R$71:R$90)*AB$2</f>
        <v>0</v>
      </c>
      <c r="AC1093" s="88">
        <f>SUMIF(月間集計シート!$M$71:$M$90,$G1093,月間集計シート!S$71:S$90)*AC$2</f>
        <v>0</v>
      </c>
      <c r="AD1093" s="88">
        <f>SUMIF(月間集計シート!$M$71:$M$90,$G1093,月間集計シート!T$71:T$90)*AD$2</f>
        <v>0</v>
      </c>
      <c r="AE1093" s="88">
        <f>SUMIF(月間集計シート!$M$92:$M$111,$G1093,月間集計シート!N$92:N$111)*AE$2</f>
        <v>0</v>
      </c>
      <c r="AF1093" s="88">
        <f>SUMIF(月間集計シート!$M$92:$M$111,$G1093,月間集計シート!O$92:O$111)*AF$2</f>
        <v>0</v>
      </c>
      <c r="AG1093" s="88">
        <f>SUMIF(月間集計シート!$M$92:$M$111,$G1093,月間集計シート!P$92:P$111)*AG$2</f>
        <v>0</v>
      </c>
      <c r="AH1093" s="88">
        <f>SUMIF(月間集計シート!$M$92:$M$111,$G1093,月間集計シート!Q$92:Q$111)*AH$2</f>
        <v>0</v>
      </c>
      <c r="AI1093" s="88">
        <f>SUMIF(月間集計シート!$M$92:$M$111,$G1093,月間集計シート!R$92:R$111)*AI$2</f>
        <v>0</v>
      </c>
      <c r="AJ1093" s="88">
        <f>SUMIF(月間集計シート!$M$92:$M$111,$G1093,月間集計シート!S$92:S$111)*AJ$2</f>
        <v>0</v>
      </c>
      <c r="AK1093" s="88">
        <f>SUMIF(月間集計シート!$M$92:$M$111,$G1093,月間集計シート!T$92:T$111)*AK$2</f>
        <v>0</v>
      </c>
      <c r="AL1093" s="88">
        <f>SUMIF(月間集計シート!$M$113:$M$132,$G1093,月間集計シート!N$113:N$132)*AL$2</f>
        <v>0</v>
      </c>
      <c r="AM1093" s="88">
        <f>SUMIF(月間集計シート!$M$113:$M$132,$G1093,月間集計シート!O$113:O$132)*AM$2</f>
        <v>0</v>
      </c>
      <c r="AN1093" s="88">
        <f>SUMIF(月間集計シート!$M$113:$M$132,$G1093,月間集計シート!P$113:P$132)*AN$2</f>
        <v>0</v>
      </c>
      <c r="AO1093" s="88">
        <f>SUMIF(月間集計シート!$M$113:$M$132,$G1093,月間集計シート!Q$113:Q$132)*AO$2</f>
        <v>0</v>
      </c>
      <c r="AP1093" s="88">
        <f>SUMIF(月間集計シート!$M$113:$M$132,$G1093,月間集計シート!R$113:R$132)*AP$2</f>
        <v>0</v>
      </c>
      <c r="AQ1093" s="88">
        <f>SUMIF(月間集計シート!$M$113:$M$132,$G1093,月間集計シート!S$113:S$132)*AQ$2</f>
        <v>0</v>
      </c>
      <c r="AR1093" s="88">
        <f>SUMIF(月間集計シート!$M$113:$M$132,$G1093,月間集計シート!T$113:T$132)*AR$2</f>
        <v>0</v>
      </c>
      <c r="AS1093" s="88">
        <f>SUMIF(月間集計シート!$M$134:$M$153,$G1093,月間集計シート!N$134:N$153)*AS$2</f>
        <v>0</v>
      </c>
      <c r="AT1093" s="88">
        <f>SUMIF(月間集計シート!$M$134:$M$153,$G1093,月間集計シート!O$134:O$153)*AT$2</f>
        <v>0</v>
      </c>
      <c r="AU1093" s="88">
        <f>SUMIF(月間集計シート!$M$134:$M$153,$G1093,月間集計シート!P$134:P$153)*AU$2</f>
        <v>0</v>
      </c>
      <c r="AV1093" s="88">
        <f>SUMIF(月間集計シート!$M$134:$M$153,$G1093,月間集計シート!Q$134:Q$153)*AV$2</f>
        <v>0</v>
      </c>
      <c r="AW1093" s="88">
        <f>SUMIF(月間集計シート!$M$134:$M$153,$G1093,月間集計シート!R$134:R$153)*AW$2</f>
        <v>0</v>
      </c>
      <c r="AX1093" s="88">
        <f>SUMIF(月間集計シート!$M$134:$M$153,$G1093,月間集計シート!S$134:S$153)*AX$2</f>
        <v>0</v>
      </c>
      <c r="AY1093" s="88">
        <f>SUMIF(月間集計シート!$M$134:$M$153,$G1093,月間集計シート!T$134:T$153)*AY$2</f>
        <v>0</v>
      </c>
    </row>
    <row r="1094" spans="1:51" ht="14.25" thickBot="1">
      <c r="A1094">
        <v>13</v>
      </c>
      <c r="B1094" s="120">
        <f t="shared" si="570"/>
        <v>0</v>
      </c>
      <c r="C1094" s="120" t="str">
        <f t="shared" si="571"/>
        <v/>
      </c>
      <c r="D1094" s="137"/>
      <c r="E1094" s="150" t="str">
        <f>工種!A66</f>
        <v>80199</v>
      </c>
      <c r="F1094" s="119" t="str">
        <f>工種!B66</f>
        <v>保守／ｻﾎﾟｰﾄ：その他</v>
      </c>
      <c r="G1094" s="116" t="str">
        <f t="shared" si="573"/>
        <v>080199</v>
      </c>
      <c r="H1094" s="88">
        <f t="shared" si="575"/>
        <v>0</v>
      </c>
      <c r="I1094" s="132"/>
      <c r="J1094" s="88">
        <f>SUMIF(月間集計シート!$M$29:$M$48,$G1094,月間集計シート!N$29:N$48)*J$2</f>
        <v>0</v>
      </c>
      <c r="K1094" s="88">
        <f>SUMIF(月間集計シート!$M$29:$M$48,$G1094,月間集計シート!O$29:O$48)*K$2</f>
        <v>0</v>
      </c>
      <c r="L1094" s="88">
        <f>SUMIF(月間集計シート!$M$29:$M$48,$G1094,月間集計シート!P$29:P$48)*L$2</f>
        <v>0</v>
      </c>
      <c r="M1094" s="88">
        <f>SUMIF(月間集計シート!$M$29:$M$48,$G1094,月間集計シート!Q$29:Q$48)*M$2</f>
        <v>0</v>
      </c>
      <c r="N1094" s="88">
        <f>SUMIF(月間集計シート!$M$29:$M$48,$G1094,月間集計シート!R$29:R$48)*N$2</f>
        <v>0</v>
      </c>
      <c r="O1094" s="88">
        <f>SUMIF(月間集計シート!$M$29:$M$48,$G1094,月間集計シート!S$29:S$48)*O$2</f>
        <v>0</v>
      </c>
      <c r="P1094" s="88">
        <f>SUMIF(月間集計シート!$M$29:$M$48,$G1094,月間集計シート!T$29:T$48)*P$2</f>
        <v>0</v>
      </c>
      <c r="Q1094" s="88">
        <f>SUMIF(月間集計シート!$M$50:$M$69,$G1094,月間集計シート!N$50:N$69)*Q$2</f>
        <v>0</v>
      </c>
      <c r="R1094" s="88">
        <f>SUMIF(月間集計シート!$M$50:$M$69,$G1094,月間集計シート!O$50:O$69)*R$2</f>
        <v>0</v>
      </c>
      <c r="S1094" s="88">
        <f>SUMIF(月間集計シート!$M$50:$M$69,$G1094,月間集計シート!P$50:P$69)*S$2</f>
        <v>0</v>
      </c>
      <c r="T1094" s="88">
        <f>SUMIF(月間集計シート!$M$50:$M$69,$G1094,月間集計シート!Q$50:Q$69)*T$2</f>
        <v>0</v>
      </c>
      <c r="U1094" s="88">
        <f>SUMIF(月間集計シート!$M$50:$M$69,$G1094,月間集計シート!R$50:R$69)*U$2</f>
        <v>0</v>
      </c>
      <c r="V1094" s="88">
        <f>SUMIF(月間集計シート!$M$50:$M$69,$G1094,月間集計シート!S$50:S$69)*V$2</f>
        <v>0</v>
      </c>
      <c r="W1094" s="88">
        <f>SUMIF(月間集計シート!$M$50:$M$69,$G1094,月間集計シート!T$50:T$69)*W$2</f>
        <v>0</v>
      </c>
      <c r="X1094" s="88">
        <f>SUMIF(月間集計シート!$M$71:$M$90,$G1094,月間集計シート!N$71:N$90)*X$2</f>
        <v>0</v>
      </c>
      <c r="Y1094" s="88">
        <f>SUMIF(月間集計シート!$M$71:$M$90,$G1094,月間集計シート!O$71:O$90)*Y$2</f>
        <v>0</v>
      </c>
      <c r="Z1094" s="88">
        <f>SUMIF(月間集計シート!$M$71:$M$90,$G1094,月間集計シート!P$71:P$90)*Z$2</f>
        <v>0</v>
      </c>
      <c r="AA1094" s="88">
        <f>SUMIF(月間集計シート!$M$71:$M$90,$G1094,月間集計シート!Q$71:Q$90)*AA$2</f>
        <v>0</v>
      </c>
      <c r="AB1094" s="88">
        <f>SUMIF(月間集計シート!$M$71:$M$90,$G1094,月間集計シート!R$71:R$90)*AB$2</f>
        <v>0</v>
      </c>
      <c r="AC1094" s="88">
        <f>SUMIF(月間集計シート!$M$71:$M$90,$G1094,月間集計シート!S$71:S$90)*AC$2</f>
        <v>0</v>
      </c>
      <c r="AD1094" s="88">
        <f>SUMIF(月間集計シート!$M$71:$M$90,$G1094,月間集計シート!T$71:T$90)*AD$2</f>
        <v>0</v>
      </c>
      <c r="AE1094" s="88">
        <f>SUMIF(月間集計シート!$M$92:$M$111,$G1094,月間集計シート!N$92:N$111)*AE$2</f>
        <v>0</v>
      </c>
      <c r="AF1094" s="88">
        <f>SUMIF(月間集計シート!$M$92:$M$111,$G1094,月間集計シート!O$92:O$111)*AF$2</f>
        <v>0</v>
      </c>
      <c r="AG1094" s="88">
        <f>SUMIF(月間集計シート!$M$92:$M$111,$G1094,月間集計シート!P$92:P$111)*AG$2</f>
        <v>0</v>
      </c>
      <c r="AH1094" s="88">
        <f>SUMIF(月間集計シート!$M$92:$M$111,$G1094,月間集計シート!Q$92:Q$111)*AH$2</f>
        <v>0</v>
      </c>
      <c r="AI1094" s="88">
        <f>SUMIF(月間集計シート!$M$92:$M$111,$G1094,月間集計シート!R$92:R$111)*AI$2</f>
        <v>0</v>
      </c>
      <c r="AJ1094" s="88">
        <f>SUMIF(月間集計シート!$M$92:$M$111,$G1094,月間集計シート!S$92:S$111)*AJ$2</f>
        <v>0</v>
      </c>
      <c r="AK1094" s="88">
        <f>SUMIF(月間集計シート!$M$92:$M$111,$G1094,月間集計シート!T$92:T$111)*AK$2</f>
        <v>0</v>
      </c>
      <c r="AL1094" s="88">
        <f>SUMIF(月間集計シート!$M$113:$M$132,$G1094,月間集計シート!N$113:N$132)*AL$2</f>
        <v>0</v>
      </c>
      <c r="AM1094" s="88">
        <f>SUMIF(月間集計シート!$M$113:$M$132,$G1094,月間集計シート!O$113:O$132)*AM$2</f>
        <v>0</v>
      </c>
      <c r="AN1094" s="88">
        <f>SUMIF(月間集計シート!$M$113:$M$132,$G1094,月間集計シート!P$113:P$132)*AN$2</f>
        <v>0</v>
      </c>
      <c r="AO1094" s="88">
        <f>SUMIF(月間集計シート!$M$113:$M$132,$G1094,月間集計シート!Q$113:Q$132)*AO$2</f>
        <v>0</v>
      </c>
      <c r="AP1094" s="88">
        <f>SUMIF(月間集計シート!$M$113:$M$132,$G1094,月間集計シート!R$113:R$132)*AP$2</f>
        <v>0</v>
      </c>
      <c r="AQ1094" s="88">
        <f>SUMIF(月間集計シート!$M$113:$M$132,$G1094,月間集計シート!S$113:S$132)*AQ$2</f>
        <v>0</v>
      </c>
      <c r="AR1094" s="88">
        <f>SUMIF(月間集計シート!$M$113:$M$132,$G1094,月間集計シート!T$113:T$132)*AR$2</f>
        <v>0</v>
      </c>
      <c r="AS1094" s="88">
        <f>SUMIF(月間集計シート!$M$134:$M$153,$G1094,月間集計シート!N$134:N$153)*AS$2</f>
        <v>0</v>
      </c>
      <c r="AT1094" s="88">
        <f>SUMIF(月間集計シート!$M$134:$M$153,$G1094,月間集計シート!O$134:O$153)*AT$2</f>
        <v>0</v>
      </c>
      <c r="AU1094" s="88">
        <f>SUMIF(月間集計シート!$M$134:$M$153,$G1094,月間集計シート!P$134:P$153)*AU$2</f>
        <v>0</v>
      </c>
      <c r="AV1094" s="88">
        <f>SUMIF(月間集計シート!$M$134:$M$153,$G1094,月間集計シート!Q$134:Q$153)*AV$2</f>
        <v>0</v>
      </c>
      <c r="AW1094" s="88">
        <f>SUMIF(月間集計シート!$M$134:$M$153,$G1094,月間集計シート!R$134:R$153)*AW$2</f>
        <v>0</v>
      </c>
      <c r="AX1094" s="88">
        <f>SUMIF(月間集計シート!$M$134:$M$153,$G1094,月間集計シート!S$134:S$153)*AX$2</f>
        <v>0</v>
      </c>
      <c r="AY1094" s="88">
        <f>SUMIF(月間集計シート!$M$134:$M$153,$G1094,月間集計シート!T$134:T$153)*AY$2</f>
        <v>0</v>
      </c>
    </row>
    <row r="1095" spans="1:51" ht="14.25" thickBot="1">
      <c r="A1095">
        <v>13</v>
      </c>
      <c r="B1095" s="120">
        <f t="shared" ref="B1095:C1111" si="576">B1094</f>
        <v>0</v>
      </c>
      <c r="C1095" s="120" t="str">
        <f t="shared" si="576"/>
        <v/>
      </c>
      <c r="D1095" s="137"/>
      <c r="E1095" s="150" t="str">
        <f>工種!A67</f>
        <v>90101</v>
      </c>
      <c r="F1095" s="119" t="str">
        <f>工種!B67</f>
        <v>管理業務：ﾌﾟﾛｼﾞｪｸﾄ管理</v>
      </c>
      <c r="G1095" s="116" t="str">
        <f t="shared" si="573"/>
        <v>090101</v>
      </c>
      <c r="H1095" s="88">
        <f t="shared" si="575"/>
        <v>0</v>
      </c>
      <c r="I1095" s="132"/>
      <c r="J1095" s="88">
        <f>SUMIF(月間集計シート!$M$29:$M$48,$G1095,月間集計シート!N$29:N$48)*J$2</f>
        <v>0</v>
      </c>
      <c r="K1095" s="88">
        <f>SUMIF(月間集計シート!$M$29:$M$48,$G1095,月間集計シート!O$29:O$48)*K$2</f>
        <v>0</v>
      </c>
      <c r="L1095" s="88">
        <f>SUMIF(月間集計シート!$M$29:$M$48,$G1095,月間集計シート!P$29:P$48)*L$2</f>
        <v>0</v>
      </c>
      <c r="M1095" s="88">
        <f>SUMIF(月間集計シート!$M$29:$M$48,$G1095,月間集計シート!Q$29:Q$48)*M$2</f>
        <v>0</v>
      </c>
      <c r="N1095" s="88">
        <f>SUMIF(月間集計シート!$M$29:$M$48,$G1095,月間集計シート!R$29:R$48)*N$2</f>
        <v>0</v>
      </c>
      <c r="O1095" s="88">
        <f>SUMIF(月間集計シート!$M$29:$M$48,$G1095,月間集計シート!S$29:S$48)*O$2</f>
        <v>0</v>
      </c>
      <c r="P1095" s="88">
        <f>SUMIF(月間集計シート!$M$29:$M$48,$G1095,月間集計シート!T$29:T$48)*P$2</f>
        <v>0</v>
      </c>
      <c r="Q1095" s="88">
        <f>SUMIF(月間集計シート!$M$50:$M$69,$G1095,月間集計シート!N$50:N$69)*Q$2</f>
        <v>0</v>
      </c>
      <c r="R1095" s="88">
        <f>SUMIF(月間集計シート!$M$50:$M$69,$G1095,月間集計シート!O$50:O$69)*R$2</f>
        <v>0</v>
      </c>
      <c r="S1095" s="88">
        <f>SUMIF(月間集計シート!$M$50:$M$69,$G1095,月間集計シート!P$50:P$69)*S$2</f>
        <v>0</v>
      </c>
      <c r="T1095" s="88">
        <f>SUMIF(月間集計シート!$M$50:$M$69,$G1095,月間集計シート!Q$50:Q$69)*T$2</f>
        <v>0</v>
      </c>
      <c r="U1095" s="88">
        <f>SUMIF(月間集計シート!$M$50:$M$69,$G1095,月間集計シート!R$50:R$69)*U$2</f>
        <v>0</v>
      </c>
      <c r="V1095" s="88">
        <f>SUMIF(月間集計シート!$M$50:$M$69,$G1095,月間集計シート!S$50:S$69)*V$2</f>
        <v>0</v>
      </c>
      <c r="W1095" s="88">
        <f>SUMIF(月間集計シート!$M$50:$M$69,$G1095,月間集計シート!T$50:T$69)*W$2</f>
        <v>0</v>
      </c>
      <c r="X1095" s="88">
        <f>SUMIF(月間集計シート!$M$71:$M$90,$G1095,月間集計シート!N$71:N$90)*X$2</f>
        <v>0</v>
      </c>
      <c r="Y1095" s="88">
        <f>SUMIF(月間集計シート!$M$71:$M$90,$G1095,月間集計シート!O$71:O$90)*Y$2</f>
        <v>0</v>
      </c>
      <c r="Z1095" s="88">
        <f>SUMIF(月間集計シート!$M$71:$M$90,$G1095,月間集計シート!P$71:P$90)*Z$2</f>
        <v>0</v>
      </c>
      <c r="AA1095" s="88">
        <f>SUMIF(月間集計シート!$M$71:$M$90,$G1095,月間集計シート!Q$71:Q$90)*AA$2</f>
        <v>0</v>
      </c>
      <c r="AB1095" s="88">
        <f>SUMIF(月間集計シート!$M$71:$M$90,$G1095,月間集計シート!R$71:R$90)*AB$2</f>
        <v>0</v>
      </c>
      <c r="AC1095" s="88">
        <f>SUMIF(月間集計シート!$M$71:$M$90,$G1095,月間集計シート!S$71:S$90)*AC$2</f>
        <v>0</v>
      </c>
      <c r="AD1095" s="88">
        <f>SUMIF(月間集計シート!$M$71:$M$90,$G1095,月間集計シート!T$71:T$90)*AD$2</f>
        <v>0</v>
      </c>
      <c r="AE1095" s="88">
        <f>SUMIF(月間集計シート!$M$92:$M$111,$G1095,月間集計シート!N$92:N$111)*AE$2</f>
        <v>0</v>
      </c>
      <c r="AF1095" s="88">
        <f>SUMIF(月間集計シート!$M$92:$M$111,$G1095,月間集計シート!O$92:O$111)*AF$2</f>
        <v>0</v>
      </c>
      <c r="AG1095" s="88">
        <f>SUMIF(月間集計シート!$M$92:$M$111,$G1095,月間集計シート!P$92:P$111)*AG$2</f>
        <v>0</v>
      </c>
      <c r="AH1095" s="88">
        <f>SUMIF(月間集計シート!$M$92:$M$111,$G1095,月間集計シート!Q$92:Q$111)*AH$2</f>
        <v>0</v>
      </c>
      <c r="AI1095" s="88">
        <f>SUMIF(月間集計シート!$M$92:$M$111,$G1095,月間集計シート!R$92:R$111)*AI$2</f>
        <v>0</v>
      </c>
      <c r="AJ1095" s="88">
        <f>SUMIF(月間集計シート!$M$92:$M$111,$G1095,月間集計シート!S$92:S$111)*AJ$2</f>
        <v>0</v>
      </c>
      <c r="AK1095" s="88">
        <f>SUMIF(月間集計シート!$M$92:$M$111,$G1095,月間集計シート!T$92:T$111)*AK$2</f>
        <v>0</v>
      </c>
      <c r="AL1095" s="88">
        <f>SUMIF(月間集計シート!$M$113:$M$132,$G1095,月間集計シート!N$113:N$132)*AL$2</f>
        <v>0</v>
      </c>
      <c r="AM1095" s="88">
        <f>SUMIF(月間集計シート!$M$113:$M$132,$G1095,月間集計シート!O$113:O$132)*AM$2</f>
        <v>0</v>
      </c>
      <c r="AN1095" s="88">
        <f>SUMIF(月間集計シート!$M$113:$M$132,$G1095,月間集計シート!P$113:P$132)*AN$2</f>
        <v>0</v>
      </c>
      <c r="AO1095" s="88">
        <f>SUMIF(月間集計シート!$M$113:$M$132,$G1095,月間集計シート!Q$113:Q$132)*AO$2</f>
        <v>0</v>
      </c>
      <c r="AP1095" s="88">
        <f>SUMIF(月間集計シート!$M$113:$M$132,$G1095,月間集計シート!R$113:R$132)*AP$2</f>
        <v>0</v>
      </c>
      <c r="AQ1095" s="88">
        <f>SUMIF(月間集計シート!$M$113:$M$132,$G1095,月間集計シート!S$113:S$132)*AQ$2</f>
        <v>0</v>
      </c>
      <c r="AR1095" s="88">
        <f>SUMIF(月間集計シート!$M$113:$M$132,$G1095,月間集計シート!T$113:T$132)*AR$2</f>
        <v>0</v>
      </c>
      <c r="AS1095" s="88">
        <f>SUMIF(月間集計シート!$M$134:$M$153,$G1095,月間集計シート!N$134:N$153)*AS$2</f>
        <v>0</v>
      </c>
      <c r="AT1095" s="88">
        <f>SUMIF(月間集計シート!$M$134:$M$153,$G1095,月間集計シート!O$134:O$153)*AT$2</f>
        <v>0</v>
      </c>
      <c r="AU1095" s="88">
        <f>SUMIF(月間集計シート!$M$134:$M$153,$G1095,月間集計シート!P$134:P$153)*AU$2</f>
        <v>0</v>
      </c>
      <c r="AV1095" s="88">
        <f>SUMIF(月間集計シート!$M$134:$M$153,$G1095,月間集計シート!Q$134:Q$153)*AV$2</f>
        <v>0</v>
      </c>
      <c r="AW1095" s="88">
        <f>SUMIF(月間集計シート!$M$134:$M$153,$G1095,月間集計シート!R$134:R$153)*AW$2</f>
        <v>0</v>
      </c>
      <c r="AX1095" s="88">
        <f>SUMIF(月間集計シート!$M$134:$M$153,$G1095,月間集計シート!S$134:S$153)*AX$2</f>
        <v>0</v>
      </c>
      <c r="AY1095" s="88">
        <f>SUMIF(月間集計シート!$M$134:$M$153,$G1095,月間集計シート!T$134:T$153)*AY$2</f>
        <v>0</v>
      </c>
    </row>
    <row r="1096" spans="1:51" ht="14.25" thickBot="1">
      <c r="A1096">
        <v>13</v>
      </c>
      <c r="B1096" s="120">
        <f t="shared" si="576"/>
        <v>0</v>
      </c>
      <c r="C1096" s="120" t="str">
        <f t="shared" si="576"/>
        <v/>
      </c>
      <c r="D1096" s="137"/>
      <c r="E1096" s="150" t="str">
        <f>工種!A68</f>
        <v>90102</v>
      </c>
      <c r="F1096" s="119" t="str">
        <f>工種!B68</f>
        <v>管理業務：開発環境管理</v>
      </c>
      <c r="G1096" s="116" t="str">
        <f t="shared" si="573"/>
        <v>090102</v>
      </c>
      <c r="H1096" s="88">
        <f t="shared" si="575"/>
        <v>0</v>
      </c>
      <c r="I1096" s="132"/>
      <c r="J1096" s="88">
        <f>SUMIF(月間集計シート!$M$29:$M$48,$G1096,月間集計シート!N$29:N$48)*J$2</f>
        <v>0</v>
      </c>
      <c r="K1096" s="88">
        <f>SUMIF(月間集計シート!$M$29:$M$48,$G1096,月間集計シート!O$29:O$48)*K$2</f>
        <v>0</v>
      </c>
      <c r="L1096" s="88">
        <f>SUMIF(月間集計シート!$M$29:$M$48,$G1096,月間集計シート!P$29:P$48)*L$2</f>
        <v>0</v>
      </c>
      <c r="M1096" s="88">
        <f>SUMIF(月間集計シート!$M$29:$M$48,$G1096,月間集計シート!Q$29:Q$48)*M$2</f>
        <v>0</v>
      </c>
      <c r="N1096" s="88">
        <f>SUMIF(月間集計シート!$M$29:$M$48,$G1096,月間集計シート!R$29:R$48)*N$2</f>
        <v>0</v>
      </c>
      <c r="O1096" s="88">
        <f>SUMIF(月間集計シート!$M$29:$M$48,$G1096,月間集計シート!S$29:S$48)*O$2</f>
        <v>0</v>
      </c>
      <c r="P1096" s="88">
        <f>SUMIF(月間集計シート!$M$29:$M$48,$G1096,月間集計シート!T$29:T$48)*P$2</f>
        <v>0</v>
      </c>
      <c r="Q1096" s="88">
        <f>SUMIF(月間集計シート!$M$50:$M$69,$G1096,月間集計シート!N$50:N$69)*Q$2</f>
        <v>0</v>
      </c>
      <c r="R1096" s="88">
        <f>SUMIF(月間集計シート!$M$50:$M$69,$G1096,月間集計シート!O$50:O$69)*R$2</f>
        <v>0</v>
      </c>
      <c r="S1096" s="88">
        <f>SUMIF(月間集計シート!$M$50:$M$69,$G1096,月間集計シート!P$50:P$69)*S$2</f>
        <v>0</v>
      </c>
      <c r="T1096" s="88">
        <f>SUMIF(月間集計シート!$M$50:$M$69,$G1096,月間集計シート!Q$50:Q$69)*T$2</f>
        <v>0</v>
      </c>
      <c r="U1096" s="88">
        <f>SUMIF(月間集計シート!$M$50:$M$69,$G1096,月間集計シート!R$50:R$69)*U$2</f>
        <v>0</v>
      </c>
      <c r="V1096" s="88">
        <f>SUMIF(月間集計シート!$M$50:$M$69,$G1096,月間集計シート!S$50:S$69)*V$2</f>
        <v>0</v>
      </c>
      <c r="W1096" s="88">
        <f>SUMIF(月間集計シート!$M$50:$M$69,$G1096,月間集計シート!T$50:T$69)*W$2</f>
        <v>0</v>
      </c>
      <c r="X1096" s="88">
        <f>SUMIF(月間集計シート!$M$71:$M$90,$G1096,月間集計シート!N$71:N$90)*X$2</f>
        <v>0</v>
      </c>
      <c r="Y1096" s="88">
        <f>SUMIF(月間集計シート!$M$71:$M$90,$G1096,月間集計シート!O$71:O$90)*Y$2</f>
        <v>0</v>
      </c>
      <c r="Z1096" s="88">
        <f>SUMIF(月間集計シート!$M$71:$M$90,$G1096,月間集計シート!P$71:P$90)*Z$2</f>
        <v>0</v>
      </c>
      <c r="AA1096" s="88">
        <f>SUMIF(月間集計シート!$M$71:$M$90,$G1096,月間集計シート!Q$71:Q$90)*AA$2</f>
        <v>0</v>
      </c>
      <c r="AB1096" s="88">
        <f>SUMIF(月間集計シート!$M$71:$M$90,$G1096,月間集計シート!R$71:R$90)*AB$2</f>
        <v>0</v>
      </c>
      <c r="AC1096" s="88">
        <f>SUMIF(月間集計シート!$M$71:$M$90,$G1096,月間集計シート!S$71:S$90)*AC$2</f>
        <v>0</v>
      </c>
      <c r="AD1096" s="88">
        <f>SUMIF(月間集計シート!$M$71:$M$90,$G1096,月間集計シート!T$71:T$90)*AD$2</f>
        <v>0</v>
      </c>
      <c r="AE1096" s="88">
        <f>SUMIF(月間集計シート!$M$92:$M$111,$G1096,月間集計シート!N$92:N$111)*AE$2</f>
        <v>0</v>
      </c>
      <c r="AF1096" s="88">
        <f>SUMIF(月間集計シート!$M$92:$M$111,$G1096,月間集計シート!O$92:O$111)*AF$2</f>
        <v>0</v>
      </c>
      <c r="AG1096" s="88">
        <f>SUMIF(月間集計シート!$M$92:$M$111,$G1096,月間集計シート!P$92:P$111)*AG$2</f>
        <v>0</v>
      </c>
      <c r="AH1096" s="88">
        <f>SUMIF(月間集計シート!$M$92:$M$111,$G1096,月間集計シート!Q$92:Q$111)*AH$2</f>
        <v>0</v>
      </c>
      <c r="AI1096" s="88">
        <f>SUMIF(月間集計シート!$M$92:$M$111,$G1096,月間集計シート!R$92:R$111)*AI$2</f>
        <v>0</v>
      </c>
      <c r="AJ1096" s="88">
        <f>SUMIF(月間集計シート!$M$92:$M$111,$G1096,月間集計シート!S$92:S$111)*AJ$2</f>
        <v>0</v>
      </c>
      <c r="AK1096" s="88">
        <f>SUMIF(月間集計シート!$M$92:$M$111,$G1096,月間集計シート!T$92:T$111)*AK$2</f>
        <v>0</v>
      </c>
      <c r="AL1096" s="88">
        <f>SUMIF(月間集計シート!$M$113:$M$132,$G1096,月間集計シート!N$113:N$132)*AL$2</f>
        <v>0</v>
      </c>
      <c r="AM1096" s="88">
        <f>SUMIF(月間集計シート!$M$113:$M$132,$G1096,月間集計シート!O$113:O$132)*AM$2</f>
        <v>0</v>
      </c>
      <c r="AN1096" s="88">
        <f>SUMIF(月間集計シート!$M$113:$M$132,$G1096,月間集計シート!P$113:P$132)*AN$2</f>
        <v>0</v>
      </c>
      <c r="AO1096" s="88">
        <f>SUMIF(月間集計シート!$M$113:$M$132,$G1096,月間集計シート!Q$113:Q$132)*AO$2</f>
        <v>0</v>
      </c>
      <c r="AP1096" s="88">
        <f>SUMIF(月間集計シート!$M$113:$M$132,$G1096,月間集計シート!R$113:R$132)*AP$2</f>
        <v>0</v>
      </c>
      <c r="AQ1096" s="88">
        <f>SUMIF(月間集計シート!$M$113:$M$132,$G1096,月間集計シート!S$113:S$132)*AQ$2</f>
        <v>0</v>
      </c>
      <c r="AR1096" s="88">
        <f>SUMIF(月間集計シート!$M$113:$M$132,$G1096,月間集計シート!T$113:T$132)*AR$2</f>
        <v>0</v>
      </c>
      <c r="AS1096" s="88">
        <f>SUMIF(月間集計シート!$M$134:$M$153,$G1096,月間集計シート!N$134:N$153)*AS$2</f>
        <v>0</v>
      </c>
      <c r="AT1096" s="88">
        <f>SUMIF(月間集計シート!$M$134:$M$153,$G1096,月間集計シート!O$134:O$153)*AT$2</f>
        <v>0</v>
      </c>
      <c r="AU1096" s="88">
        <f>SUMIF(月間集計シート!$M$134:$M$153,$G1096,月間集計シート!P$134:P$153)*AU$2</f>
        <v>0</v>
      </c>
      <c r="AV1096" s="88">
        <f>SUMIF(月間集計シート!$M$134:$M$153,$G1096,月間集計シート!Q$134:Q$153)*AV$2</f>
        <v>0</v>
      </c>
      <c r="AW1096" s="88">
        <f>SUMIF(月間集計シート!$M$134:$M$153,$G1096,月間集計シート!R$134:R$153)*AW$2</f>
        <v>0</v>
      </c>
      <c r="AX1096" s="88">
        <f>SUMIF(月間集計シート!$M$134:$M$153,$G1096,月間集計シート!S$134:S$153)*AX$2</f>
        <v>0</v>
      </c>
      <c r="AY1096" s="88">
        <f>SUMIF(月間集計シート!$M$134:$M$153,$G1096,月間集計シート!T$134:T$153)*AY$2</f>
        <v>0</v>
      </c>
    </row>
    <row r="1097" spans="1:51" ht="14.25" thickBot="1">
      <c r="A1097">
        <v>13</v>
      </c>
      <c r="B1097" s="120">
        <f t="shared" si="576"/>
        <v>0</v>
      </c>
      <c r="C1097" s="120" t="str">
        <f t="shared" si="576"/>
        <v/>
      </c>
      <c r="D1097" s="137"/>
      <c r="E1097" s="150" t="str">
        <f>工種!A69</f>
        <v>90103</v>
      </c>
      <c r="F1097" s="119" t="str">
        <f>工種!B69</f>
        <v>管理業務：標準化・開発業務改善作業</v>
      </c>
      <c r="G1097" s="116" t="str">
        <f t="shared" si="573"/>
        <v>090103</v>
      </c>
      <c r="H1097" s="88">
        <f t="shared" si="575"/>
        <v>0</v>
      </c>
      <c r="I1097" s="132"/>
      <c r="J1097" s="88">
        <f>SUMIF(月間集計シート!$M$29:$M$48,$G1097,月間集計シート!N$29:N$48)*J$2</f>
        <v>0</v>
      </c>
      <c r="K1097" s="88">
        <f>SUMIF(月間集計シート!$M$29:$M$48,$G1097,月間集計シート!O$29:O$48)*K$2</f>
        <v>0</v>
      </c>
      <c r="L1097" s="88">
        <f>SUMIF(月間集計シート!$M$29:$M$48,$G1097,月間集計シート!P$29:P$48)*L$2</f>
        <v>0</v>
      </c>
      <c r="M1097" s="88">
        <f>SUMIF(月間集計シート!$M$29:$M$48,$G1097,月間集計シート!Q$29:Q$48)*M$2</f>
        <v>0</v>
      </c>
      <c r="N1097" s="88">
        <f>SUMIF(月間集計シート!$M$29:$M$48,$G1097,月間集計シート!R$29:R$48)*N$2</f>
        <v>0</v>
      </c>
      <c r="O1097" s="88">
        <f>SUMIF(月間集計シート!$M$29:$M$48,$G1097,月間集計シート!S$29:S$48)*O$2</f>
        <v>0</v>
      </c>
      <c r="P1097" s="88">
        <f>SUMIF(月間集計シート!$M$29:$M$48,$G1097,月間集計シート!T$29:T$48)*P$2</f>
        <v>0</v>
      </c>
      <c r="Q1097" s="88">
        <f>SUMIF(月間集計シート!$M$50:$M$69,$G1097,月間集計シート!N$50:N$69)*Q$2</f>
        <v>0</v>
      </c>
      <c r="R1097" s="88">
        <f>SUMIF(月間集計シート!$M$50:$M$69,$G1097,月間集計シート!O$50:O$69)*R$2</f>
        <v>0</v>
      </c>
      <c r="S1097" s="88">
        <f>SUMIF(月間集計シート!$M$50:$M$69,$G1097,月間集計シート!P$50:P$69)*S$2</f>
        <v>0</v>
      </c>
      <c r="T1097" s="88">
        <f>SUMIF(月間集計シート!$M$50:$M$69,$G1097,月間集計シート!Q$50:Q$69)*T$2</f>
        <v>0</v>
      </c>
      <c r="U1097" s="88">
        <f>SUMIF(月間集計シート!$M$50:$M$69,$G1097,月間集計シート!R$50:R$69)*U$2</f>
        <v>0</v>
      </c>
      <c r="V1097" s="88">
        <f>SUMIF(月間集計シート!$M$50:$M$69,$G1097,月間集計シート!S$50:S$69)*V$2</f>
        <v>0</v>
      </c>
      <c r="W1097" s="88">
        <f>SUMIF(月間集計シート!$M$50:$M$69,$G1097,月間集計シート!T$50:T$69)*W$2</f>
        <v>0</v>
      </c>
      <c r="X1097" s="88">
        <f>SUMIF(月間集計シート!$M$71:$M$90,$G1097,月間集計シート!N$71:N$90)*X$2</f>
        <v>0</v>
      </c>
      <c r="Y1097" s="88">
        <f>SUMIF(月間集計シート!$M$71:$M$90,$G1097,月間集計シート!O$71:O$90)*Y$2</f>
        <v>0</v>
      </c>
      <c r="Z1097" s="88">
        <f>SUMIF(月間集計シート!$M$71:$M$90,$G1097,月間集計シート!P$71:P$90)*Z$2</f>
        <v>0</v>
      </c>
      <c r="AA1097" s="88">
        <f>SUMIF(月間集計シート!$M$71:$M$90,$G1097,月間集計シート!Q$71:Q$90)*AA$2</f>
        <v>0</v>
      </c>
      <c r="AB1097" s="88">
        <f>SUMIF(月間集計シート!$M$71:$M$90,$G1097,月間集計シート!R$71:R$90)*AB$2</f>
        <v>0</v>
      </c>
      <c r="AC1097" s="88">
        <f>SUMIF(月間集計シート!$M$71:$M$90,$G1097,月間集計シート!S$71:S$90)*AC$2</f>
        <v>0</v>
      </c>
      <c r="AD1097" s="88">
        <f>SUMIF(月間集計シート!$M$71:$M$90,$G1097,月間集計シート!T$71:T$90)*AD$2</f>
        <v>0</v>
      </c>
      <c r="AE1097" s="88">
        <f>SUMIF(月間集計シート!$M$92:$M$111,$G1097,月間集計シート!N$92:N$111)*AE$2</f>
        <v>0</v>
      </c>
      <c r="AF1097" s="88">
        <f>SUMIF(月間集計シート!$M$92:$M$111,$G1097,月間集計シート!O$92:O$111)*AF$2</f>
        <v>0</v>
      </c>
      <c r="AG1097" s="88">
        <f>SUMIF(月間集計シート!$M$92:$M$111,$G1097,月間集計シート!P$92:P$111)*AG$2</f>
        <v>0</v>
      </c>
      <c r="AH1097" s="88">
        <f>SUMIF(月間集計シート!$M$92:$M$111,$G1097,月間集計シート!Q$92:Q$111)*AH$2</f>
        <v>0</v>
      </c>
      <c r="AI1097" s="88">
        <f>SUMIF(月間集計シート!$M$92:$M$111,$G1097,月間集計シート!R$92:R$111)*AI$2</f>
        <v>0</v>
      </c>
      <c r="AJ1097" s="88">
        <f>SUMIF(月間集計シート!$M$92:$M$111,$G1097,月間集計シート!S$92:S$111)*AJ$2</f>
        <v>0</v>
      </c>
      <c r="AK1097" s="88">
        <f>SUMIF(月間集計シート!$M$92:$M$111,$G1097,月間集計シート!T$92:T$111)*AK$2</f>
        <v>0</v>
      </c>
      <c r="AL1097" s="88">
        <f>SUMIF(月間集計シート!$M$113:$M$132,$G1097,月間集計シート!N$113:N$132)*AL$2</f>
        <v>0</v>
      </c>
      <c r="AM1097" s="88">
        <f>SUMIF(月間集計シート!$M$113:$M$132,$G1097,月間集計シート!O$113:O$132)*AM$2</f>
        <v>0</v>
      </c>
      <c r="AN1097" s="88">
        <f>SUMIF(月間集計シート!$M$113:$M$132,$G1097,月間集計シート!P$113:P$132)*AN$2</f>
        <v>0</v>
      </c>
      <c r="AO1097" s="88">
        <f>SUMIF(月間集計シート!$M$113:$M$132,$G1097,月間集計シート!Q$113:Q$132)*AO$2</f>
        <v>0</v>
      </c>
      <c r="AP1097" s="88">
        <f>SUMIF(月間集計シート!$M$113:$M$132,$G1097,月間集計シート!R$113:R$132)*AP$2</f>
        <v>0</v>
      </c>
      <c r="AQ1097" s="88">
        <f>SUMIF(月間集計シート!$M$113:$M$132,$G1097,月間集計シート!S$113:S$132)*AQ$2</f>
        <v>0</v>
      </c>
      <c r="AR1097" s="88">
        <f>SUMIF(月間集計シート!$M$113:$M$132,$G1097,月間集計シート!T$113:T$132)*AR$2</f>
        <v>0</v>
      </c>
      <c r="AS1097" s="88">
        <f>SUMIF(月間集計シート!$M$134:$M$153,$G1097,月間集計シート!N$134:N$153)*AS$2</f>
        <v>0</v>
      </c>
      <c r="AT1097" s="88">
        <f>SUMIF(月間集計シート!$M$134:$M$153,$G1097,月間集計シート!O$134:O$153)*AT$2</f>
        <v>0</v>
      </c>
      <c r="AU1097" s="88">
        <f>SUMIF(月間集計シート!$M$134:$M$153,$G1097,月間集計シート!P$134:P$153)*AU$2</f>
        <v>0</v>
      </c>
      <c r="AV1097" s="88">
        <f>SUMIF(月間集計シート!$M$134:$M$153,$G1097,月間集計シート!Q$134:Q$153)*AV$2</f>
        <v>0</v>
      </c>
      <c r="AW1097" s="88">
        <f>SUMIF(月間集計シート!$M$134:$M$153,$G1097,月間集計シート!R$134:R$153)*AW$2</f>
        <v>0</v>
      </c>
      <c r="AX1097" s="88">
        <f>SUMIF(月間集計シート!$M$134:$M$153,$G1097,月間集計シート!S$134:S$153)*AX$2</f>
        <v>0</v>
      </c>
      <c r="AY1097" s="88">
        <f>SUMIF(月間集計シート!$M$134:$M$153,$G1097,月間集計シート!T$134:T$153)*AY$2</f>
        <v>0</v>
      </c>
    </row>
    <row r="1098" spans="1:51" ht="14.25" thickBot="1">
      <c r="A1098">
        <v>13</v>
      </c>
      <c r="B1098" s="120">
        <f t="shared" si="576"/>
        <v>0</v>
      </c>
      <c r="C1098" s="120" t="str">
        <f t="shared" si="576"/>
        <v/>
      </c>
      <c r="D1098" s="137"/>
      <c r="E1098" s="150" t="str">
        <f>工種!A70</f>
        <v>90104</v>
      </c>
      <c r="F1098" s="119" t="str">
        <f>工種!B70</f>
        <v>管理業務：開発業務の引継ぎ</v>
      </c>
      <c r="G1098" s="116" t="str">
        <f t="shared" si="573"/>
        <v>090104</v>
      </c>
      <c r="H1098" s="88">
        <f t="shared" si="575"/>
        <v>0</v>
      </c>
      <c r="I1098" s="132"/>
      <c r="J1098" s="88">
        <f>SUMIF(月間集計シート!$M$29:$M$48,$G1098,月間集計シート!N$29:N$48)*J$2</f>
        <v>0</v>
      </c>
      <c r="K1098" s="88">
        <f>SUMIF(月間集計シート!$M$29:$M$48,$G1098,月間集計シート!O$29:O$48)*K$2</f>
        <v>0</v>
      </c>
      <c r="L1098" s="88">
        <f>SUMIF(月間集計シート!$M$29:$M$48,$G1098,月間集計シート!P$29:P$48)*L$2</f>
        <v>0</v>
      </c>
      <c r="M1098" s="88">
        <f>SUMIF(月間集計シート!$M$29:$M$48,$G1098,月間集計シート!Q$29:Q$48)*M$2</f>
        <v>0</v>
      </c>
      <c r="N1098" s="88">
        <f>SUMIF(月間集計シート!$M$29:$M$48,$G1098,月間集計シート!R$29:R$48)*N$2</f>
        <v>0</v>
      </c>
      <c r="O1098" s="88">
        <f>SUMIF(月間集計シート!$M$29:$M$48,$G1098,月間集計シート!S$29:S$48)*O$2</f>
        <v>0</v>
      </c>
      <c r="P1098" s="88">
        <f>SUMIF(月間集計シート!$M$29:$M$48,$G1098,月間集計シート!T$29:T$48)*P$2</f>
        <v>0</v>
      </c>
      <c r="Q1098" s="88">
        <f>SUMIF(月間集計シート!$M$50:$M$69,$G1098,月間集計シート!N$50:N$69)*Q$2</f>
        <v>0</v>
      </c>
      <c r="R1098" s="88">
        <f>SUMIF(月間集計シート!$M$50:$M$69,$G1098,月間集計シート!O$50:O$69)*R$2</f>
        <v>0</v>
      </c>
      <c r="S1098" s="88">
        <f>SUMIF(月間集計シート!$M$50:$M$69,$G1098,月間集計シート!P$50:P$69)*S$2</f>
        <v>0</v>
      </c>
      <c r="T1098" s="88">
        <f>SUMIF(月間集計シート!$M$50:$M$69,$G1098,月間集計シート!Q$50:Q$69)*T$2</f>
        <v>0</v>
      </c>
      <c r="U1098" s="88">
        <f>SUMIF(月間集計シート!$M$50:$M$69,$G1098,月間集計シート!R$50:R$69)*U$2</f>
        <v>0</v>
      </c>
      <c r="V1098" s="88">
        <f>SUMIF(月間集計シート!$M$50:$M$69,$G1098,月間集計シート!S$50:S$69)*V$2</f>
        <v>0</v>
      </c>
      <c r="W1098" s="88">
        <f>SUMIF(月間集計シート!$M$50:$M$69,$G1098,月間集計シート!T$50:T$69)*W$2</f>
        <v>0</v>
      </c>
      <c r="X1098" s="88">
        <f>SUMIF(月間集計シート!$M$71:$M$90,$G1098,月間集計シート!N$71:N$90)*X$2</f>
        <v>0</v>
      </c>
      <c r="Y1098" s="88">
        <f>SUMIF(月間集計シート!$M$71:$M$90,$G1098,月間集計シート!O$71:O$90)*Y$2</f>
        <v>0</v>
      </c>
      <c r="Z1098" s="88">
        <f>SUMIF(月間集計シート!$M$71:$M$90,$G1098,月間集計シート!P$71:P$90)*Z$2</f>
        <v>0</v>
      </c>
      <c r="AA1098" s="88">
        <f>SUMIF(月間集計シート!$M$71:$M$90,$G1098,月間集計シート!Q$71:Q$90)*AA$2</f>
        <v>0</v>
      </c>
      <c r="AB1098" s="88">
        <f>SUMIF(月間集計シート!$M$71:$M$90,$G1098,月間集計シート!R$71:R$90)*AB$2</f>
        <v>0</v>
      </c>
      <c r="AC1098" s="88">
        <f>SUMIF(月間集計シート!$M$71:$M$90,$G1098,月間集計シート!S$71:S$90)*AC$2</f>
        <v>0</v>
      </c>
      <c r="AD1098" s="88">
        <f>SUMIF(月間集計シート!$M$71:$M$90,$G1098,月間集計シート!T$71:T$90)*AD$2</f>
        <v>0</v>
      </c>
      <c r="AE1098" s="88">
        <f>SUMIF(月間集計シート!$M$92:$M$111,$G1098,月間集計シート!N$92:N$111)*AE$2</f>
        <v>0</v>
      </c>
      <c r="AF1098" s="88">
        <f>SUMIF(月間集計シート!$M$92:$M$111,$G1098,月間集計シート!O$92:O$111)*AF$2</f>
        <v>0</v>
      </c>
      <c r="AG1098" s="88">
        <f>SUMIF(月間集計シート!$M$92:$M$111,$G1098,月間集計シート!P$92:P$111)*AG$2</f>
        <v>0</v>
      </c>
      <c r="AH1098" s="88">
        <f>SUMIF(月間集計シート!$M$92:$M$111,$G1098,月間集計シート!Q$92:Q$111)*AH$2</f>
        <v>0</v>
      </c>
      <c r="AI1098" s="88">
        <f>SUMIF(月間集計シート!$M$92:$M$111,$G1098,月間集計シート!R$92:R$111)*AI$2</f>
        <v>0</v>
      </c>
      <c r="AJ1098" s="88">
        <f>SUMIF(月間集計シート!$M$92:$M$111,$G1098,月間集計シート!S$92:S$111)*AJ$2</f>
        <v>0</v>
      </c>
      <c r="AK1098" s="88">
        <f>SUMIF(月間集計シート!$M$92:$M$111,$G1098,月間集計シート!T$92:T$111)*AK$2</f>
        <v>0</v>
      </c>
      <c r="AL1098" s="88">
        <f>SUMIF(月間集計シート!$M$113:$M$132,$G1098,月間集計シート!N$113:N$132)*AL$2</f>
        <v>0</v>
      </c>
      <c r="AM1098" s="88">
        <f>SUMIF(月間集計シート!$M$113:$M$132,$G1098,月間集計シート!O$113:O$132)*AM$2</f>
        <v>0</v>
      </c>
      <c r="AN1098" s="88">
        <f>SUMIF(月間集計シート!$M$113:$M$132,$G1098,月間集計シート!P$113:P$132)*AN$2</f>
        <v>0</v>
      </c>
      <c r="AO1098" s="88">
        <f>SUMIF(月間集計シート!$M$113:$M$132,$G1098,月間集計シート!Q$113:Q$132)*AO$2</f>
        <v>0</v>
      </c>
      <c r="AP1098" s="88">
        <f>SUMIF(月間集計シート!$M$113:$M$132,$G1098,月間集計シート!R$113:R$132)*AP$2</f>
        <v>0</v>
      </c>
      <c r="AQ1098" s="88">
        <f>SUMIF(月間集計シート!$M$113:$M$132,$G1098,月間集計シート!S$113:S$132)*AQ$2</f>
        <v>0</v>
      </c>
      <c r="AR1098" s="88">
        <f>SUMIF(月間集計シート!$M$113:$M$132,$G1098,月間集計シート!T$113:T$132)*AR$2</f>
        <v>0</v>
      </c>
      <c r="AS1098" s="88">
        <f>SUMIF(月間集計シート!$M$134:$M$153,$G1098,月間集計シート!N$134:N$153)*AS$2</f>
        <v>0</v>
      </c>
      <c r="AT1098" s="88">
        <f>SUMIF(月間集計シート!$M$134:$M$153,$G1098,月間集計シート!O$134:O$153)*AT$2</f>
        <v>0</v>
      </c>
      <c r="AU1098" s="88">
        <f>SUMIF(月間集計シート!$M$134:$M$153,$G1098,月間集計シート!P$134:P$153)*AU$2</f>
        <v>0</v>
      </c>
      <c r="AV1098" s="88">
        <f>SUMIF(月間集計シート!$M$134:$M$153,$G1098,月間集計シート!Q$134:Q$153)*AV$2</f>
        <v>0</v>
      </c>
      <c r="AW1098" s="88">
        <f>SUMIF(月間集計シート!$M$134:$M$153,$G1098,月間集計シート!R$134:R$153)*AW$2</f>
        <v>0</v>
      </c>
      <c r="AX1098" s="88">
        <f>SUMIF(月間集計シート!$M$134:$M$153,$G1098,月間集計シート!S$134:S$153)*AX$2</f>
        <v>0</v>
      </c>
      <c r="AY1098" s="88">
        <f>SUMIF(月間集計シート!$M$134:$M$153,$G1098,月間集計シート!T$134:T$153)*AY$2</f>
        <v>0</v>
      </c>
    </row>
    <row r="1099" spans="1:51" ht="14.25" thickBot="1">
      <c r="A1099">
        <v>13</v>
      </c>
      <c r="B1099" s="120">
        <f t="shared" si="576"/>
        <v>0</v>
      </c>
      <c r="C1099" s="120" t="str">
        <f t="shared" si="576"/>
        <v/>
      </c>
      <c r="D1099" s="137"/>
      <c r="E1099" s="150" t="str">
        <f>工種!A71</f>
        <v>90105</v>
      </c>
      <c r="F1099" s="119" t="str">
        <f>工種!B71</f>
        <v>管理業務：SRB管理</v>
      </c>
      <c r="G1099" s="116" t="str">
        <f t="shared" si="573"/>
        <v>090105</v>
      </c>
      <c r="H1099" s="88">
        <f t="shared" si="575"/>
        <v>0</v>
      </c>
      <c r="I1099" s="132"/>
      <c r="J1099" s="88">
        <f>SUMIF(月間集計シート!$M$29:$M$48,$G1099,月間集計シート!N$29:N$48)*J$2</f>
        <v>0</v>
      </c>
      <c r="K1099" s="88">
        <f>SUMIF(月間集計シート!$M$29:$M$48,$G1099,月間集計シート!O$29:O$48)*K$2</f>
        <v>0</v>
      </c>
      <c r="L1099" s="88">
        <f>SUMIF(月間集計シート!$M$29:$M$48,$G1099,月間集計シート!P$29:P$48)*L$2</f>
        <v>0</v>
      </c>
      <c r="M1099" s="88">
        <f>SUMIF(月間集計シート!$M$29:$M$48,$G1099,月間集計シート!Q$29:Q$48)*M$2</f>
        <v>0</v>
      </c>
      <c r="N1099" s="88">
        <f>SUMIF(月間集計シート!$M$29:$M$48,$G1099,月間集計シート!R$29:R$48)*N$2</f>
        <v>0</v>
      </c>
      <c r="O1099" s="88">
        <f>SUMIF(月間集計シート!$M$29:$M$48,$G1099,月間集計シート!S$29:S$48)*O$2</f>
        <v>0</v>
      </c>
      <c r="P1099" s="88">
        <f>SUMIF(月間集計シート!$M$29:$M$48,$G1099,月間集計シート!T$29:T$48)*P$2</f>
        <v>0</v>
      </c>
      <c r="Q1099" s="88">
        <f>SUMIF(月間集計シート!$M$50:$M$69,$G1099,月間集計シート!N$50:N$69)*Q$2</f>
        <v>0</v>
      </c>
      <c r="R1099" s="88">
        <f>SUMIF(月間集計シート!$M$50:$M$69,$G1099,月間集計シート!O$50:O$69)*R$2</f>
        <v>0</v>
      </c>
      <c r="S1099" s="88">
        <f>SUMIF(月間集計シート!$M$50:$M$69,$G1099,月間集計シート!P$50:P$69)*S$2</f>
        <v>0</v>
      </c>
      <c r="T1099" s="88">
        <f>SUMIF(月間集計シート!$M$50:$M$69,$G1099,月間集計シート!Q$50:Q$69)*T$2</f>
        <v>0</v>
      </c>
      <c r="U1099" s="88">
        <f>SUMIF(月間集計シート!$M$50:$M$69,$G1099,月間集計シート!R$50:R$69)*U$2</f>
        <v>0</v>
      </c>
      <c r="V1099" s="88">
        <f>SUMIF(月間集計シート!$M$50:$M$69,$G1099,月間集計シート!S$50:S$69)*V$2</f>
        <v>0</v>
      </c>
      <c r="W1099" s="88">
        <f>SUMIF(月間集計シート!$M$50:$M$69,$G1099,月間集計シート!T$50:T$69)*W$2</f>
        <v>0</v>
      </c>
      <c r="X1099" s="88">
        <f>SUMIF(月間集計シート!$M$71:$M$90,$G1099,月間集計シート!N$71:N$90)*X$2</f>
        <v>0</v>
      </c>
      <c r="Y1099" s="88">
        <f>SUMIF(月間集計シート!$M$71:$M$90,$G1099,月間集計シート!O$71:O$90)*Y$2</f>
        <v>0</v>
      </c>
      <c r="Z1099" s="88">
        <f>SUMIF(月間集計シート!$M$71:$M$90,$G1099,月間集計シート!P$71:P$90)*Z$2</f>
        <v>0</v>
      </c>
      <c r="AA1099" s="88">
        <f>SUMIF(月間集計シート!$M$71:$M$90,$G1099,月間集計シート!Q$71:Q$90)*AA$2</f>
        <v>0</v>
      </c>
      <c r="AB1099" s="88">
        <f>SUMIF(月間集計シート!$M$71:$M$90,$G1099,月間集計シート!R$71:R$90)*AB$2</f>
        <v>0</v>
      </c>
      <c r="AC1099" s="88">
        <f>SUMIF(月間集計シート!$M$71:$M$90,$G1099,月間集計シート!S$71:S$90)*AC$2</f>
        <v>0</v>
      </c>
      <c r="AD1099" s="88">
        <f>SUMIF(月間集計シート!$M$71:$M$90,$G1099,月間集計シート!T$71:T$90)*AD$2</f>
        <v>0</v>
      </c>
      <c r="AE1099" s="88">
        <f>SUMIF(月間集計シート!$M$92:$M$111,$G1099,月間集計シート!N$92:N$111)*AE$2</f>
        <v>0</v>
      </c>
      <c r="AF1099" s="88">
        <f>SUMIF(月間集計シート!$M$92:$M$111,$G1099,月間集計シート!O$92:O$111)*AF$2</f>
        <v>0</v>
      </c>
      <c r="AG1099" s="88">
        <f>SUMIF(月間集計シート!$M$92:$M$111,$G1099,月間集計シート!P$92:P$111)*AG$2</f>
        <v>0</v>
      </c>
      <c r="AH1099" s="88">
        <f>SUMIF(月間集計シート!$M$92:$M$111,$G1099,月間集計シート!Q$92:Q$111)*AH$2</f>
        <v>0</v>
      </c>
      <c r="AI1099" s="88">
        <f>SUMIF(月間集計シート!$M$92:$M$111,$G1099,月間集計シート!R$92:R$111)*AI$2</f>
        <v>0</v>
      </c>
      <c r="AJ1099" s="88">
        <f>SUMIF(月間集計シート!$M$92:$M$111,$G1099,月間集計シート!S$92:S$111)*AJ$2</f>
        <v>0</v>
      </c>
      <c r="AK1099" s="88">
        <f>SUMIF(月間集計シート!$M$92:$M$111,$G1099,月間集計シート!T$92:T$111)*AK$2</f>
        <v>0</v>
      </c>
      <c r="AL1099" s="88">
        <f>SUMIF(月間集計シート!$M$113:$M$132,$G1099,月間集計シート!N$113:N$132)*AL$2</f>
        <v>0</v>
      </c>
      <c r="AM1099" s="88">
        <f>SUMIF(月間集計シート!$M$113:$M$132,$G1099,月間集計シート!O$113:O$132)*AM$2</f>
        <v>0</v>
      </c>
      <c r="AN1099" s="88">
        <f>SUMIF(月間集計シート!$M$113:$M$132,$G1099,月間集計シート!P$113:P$132)*AN$2</f>
        <v>0</v>
      </c>
      <c r="AO1099" s="88">
        <f>SUMIF(月間集計シート!$M$113:$M$132,$G1099,月間集計シート!Q$113:Q$132)*AO$2</f>
        <v>0</v>
      </c>
      <c r="AP1099" s="88">
        <f>SUMIF(月間集計シート!$M$113:$M$132,$G1099,月間集計シート!R$113:R$132)*AP$2</f>
        <v>0</v>
      </c>
      <c r="AQ1099" s="88">
        <f>SUMIF(月間集計シート!$M$113:$M$132,$G1099,月間集計シート!S$113:S$132)*AQ$2</f>
        <v>0</v>
      </c>
      <c r="AR1099" s="88">
        <f>SUMIF(月間集計シート!$M$113:$M$132,$G1099,月間集計シート!T$113:T$132)*AR$2</f>
        <v>0</v>
      </c>
      <c r="AS1099" s="88">
        <f>SUMIF(月間集計シート!$M$134:$M$153,$G1099,月間集計シート!N$134:N$153)*AS$2</f>
        <v>0</v>
      </c>
      <c r="AT1099" s="88">
        <f>SUMIF(月間集計シート!$M$134:$M$153,$G1099,月間集計シート!O$134:O$153)*AT$2</f>
        <v>0</v>
      </c>
      <c r="AU1099" s="88">
        <f>SUMIF(月間集計シート!$M$134:$M$153,$G1099,月間集計シート!P$134:P$153)*AU$2</f>
        <v>0</v>
      </c>
      <c r="AV1099" s="88">
        <f>SUMIF(月間集計シート!$M$134:$M$153,$G1099,月間集計シート!Q$134:Q$153)*AV$2</f>
        <v>0</v>
      </c>
      <c r="AW1099" s="88">
        <f>SUMIF(月間集計シート!$M$134:$M$153,$G1099,月間集計シート!R$134:R$153)*AW$2</f>
        <v>0</v>
      </c>
      <c r="AX1099" s="88">
        <f>SUMIF(月間集計シート!$M$134:$M$153,$G1099,月間集計シート!S$134:S$153)*AX$2</f>
        <v>0</v>
      </c>
      <c r="AY1099" s="88">
        <f>SUMIF(月間集計シート!$M$134:$M$153,$G1099,月間集計シート!T$134:T$153)*AY$2</f>
        <v>0</v>
      </c>
    </row>
    <row r="1100" spans="1:51" ht="14.25" thickBot="1">
      <c r="A1100">
        <v>13</v>
      </c>
      <c r="B1100" s="120">
        <f t="shared" si="576"/>
        <v>0</v>
      </c>
      <c r="C1100" s="120" t="str">
        <f t="shared" si="576"/>
        <v/>
      </c>
      <c r="D1100" s="137"/>
      <c r="E1100" s="150" t="str">
        <f>工種!A72</f>
        <v>90107</v>
      </c>
      <c r="F1100" s="119" t="str">
        <f>工種!B72</f>
        <v>管理業務：開発事務作業</v>
      </c>
      <c r="G1100" s="116" t="str">
        <f t="shared" si="573"/>
        <v>090107</v>
      </c>
      <c r="H1100" s="88">
        <f t="shared" si="575"/>
        <v>0</v>
      </c>
      <c r="I1100" s="132"/>
      <c r="J1100" s="88">
        <f>SUMIF(月間集計シート!$M$29:$M$48,$G1100,月間集計シート!N$29:N$48)*J$2</f>
        <v>0</v>
      </c>
      <c r="K1100" s="88">
        <f>SUMIF(月間集計シート!$M$29:$M$48,$G1100,月間集計シート!O$29:O$48)*K$2</f>
        <v>0</v>
      </c>
      <c r="L1100" s="88">
        <f>SUMIF(月間集計シート!$M$29:$M$48,$G1100,月間集計シート!P$29:P$48)*L$2</f>
        <v>0</v>
      </c>
      <c r="M1100" s="88">
        <f>SUMIF(月間集計シート!$M$29:$M$48,$G1100,月間集計シート!Q$29:Q$48)*M$2</f>
        <v>0</v>
      </c>
      <c r="N1100" s="88">
        <f>SUMIF(月間集計シート!$M$29:$M$48,$G1100,月間集計シート!R$29:R$48)*N$2</f>
        <v>0</v>
      </c>
      <c r="O1100" s="88">
        <f>SUMIF(月間集計シート!$M$29:$M$48,$G1100,月間集計シート!S$29:S$48)*O$2</f>
        <v>0</v>
      </c>
      <c r="P1100" s="88">
        <f>SUMIF(月間集計シート!$M$29:$M$48,$G1100,月間集計シート!T$29:T$48)*P$2</f>
        <v>0</v>
      </c>
      <c r="Q1100" s="88">
        <f>SUMIF(月間集計シート!$M$50:$M$69,$G1100,月間集計シート!N$50:N$69)*Q$2</f>
        <v>0</v>
      </c>
      <c r="R1100" s="88">
        <f>SUMIF(月間集計シート!$M$50:$M$69,$G1100,月間集計シート!O$50:O$69)*R$2</f>
        <v>0</v>
      </c>
      <c r="S1100" s="88">
        <f>SUMIF(月間集計シート!$M$50:$M$69,$G1100,月間集計シート!P$50:P$69)*S$2</f>
        <v>0</v>
      </c>
      <c r="T1100" s="88">
        <f>SUMIF(月間集計シート!$M$50:$M$69,$G1100,月間集計シート!Q$50:Q$69)*T$2</f>
        <v>0</v>
      </c>
      <c r="U1100" s="88">
        <f>SUMIF(月間集計シート!$M$50:$M$69,$G1100,月間集計シート!R$50:R$69)*U$2</f>
        <v>0</v>
      </c>
      <c r="V1100" s="88">
        <f>SUMIF(月間集計シート!$M$50:$M$69,$G1100,月間集計シート!S$50:S$69)*V$2</f>
        <v>0</v>
      </c>
      <c r="W1100" s="88">
        <f>SUMIF(月間集計シート!$M$50:$M$69,$G1100,月間集計シート!T$50:T$69)*W$2</f>
        <v>0</v>
      </c>
      <c r="X1100" s="88">
        <f>SUMIF(月間集計シート!$M$71:$M$90,$G1100,月間集計シート!N$71:N$90)*X$2</f>
        <v>0</v>
      </c>
      <c r="Y1100" s="88">
        <f>SUMIF(月間集計シート!$M$71:$M$90,$G1100,月間集計シート!O$71:O$90)*Y$2</f>
        <v>0</v>
      </c>
      <c r="Z1100" s="88">
        <f>SUMIF(月間集計シート!$M$71:$M$90,$G1100,月間集計シート!P$71:P$90)*Z$2</f>
        <v>0</v>
      </c>
      <c r="AA1100" s="88">
        <f>SUMIF(月間集計シート!$M$71:$M$90,$G1100,月間集計シート!Q$71:Q$90)*AA$2</f>
        <v>0</v>
      </c>
      <c r="AB1100" s="88">
        <f>SUMIF(月間集計シート!$M$71:$M$90,$G1100,月間集計シート!R$71:R$90)*AB$2</f>
        <v>0</v>
      </c>
      <c r="AC1100" s="88">
        <f>SUMIF(月間集計シート!$M$71:$M$90,$G1100,月間集計シート!S$71:S$90)*AC$2</f>
        <v>0</v>
      </c>
      <c r="AD1100" s="88">
        <f>SUMIF(月間集計シート!$M$71:$M$90,$G1100,月間集計シート!T$71:T$90)*AD$2</f>
        <v>0</v>
      </c>
      <c r="AE1100" s="88">
        <f>SUMIF(月間集計シート!$M$92:$M$111,$G1100,月間集計シート!N$92:N$111)*AE$2</f>
        <v>0</v>
      </c>
      <c r="AF1100" s="88">
        <f>SUMIF(月間集計シート!$M$92:$M$111,$G1100,月間集計シート!O$92:O$111)*AF$2</f>
        <v>0</v>
      </c>
      <c r="AG1100" s="88">
        <f>SUMIF(月間集計シート!$M$92:$M$111,$G1100,月間集計シート!P$92:P$111)*AG$2</f>
        <v>0</v>
      </c>
      <c r="AH1100" s="88">
        <f>SUMIF(月間集計シート!$M$92:$M$111,$G1100,月間集計シート!Q$92:Q$111)*AH$2</f>
        <v>0</v>
      </c>
      <c r="AI1100" s="88">
        <f>SUMIF(月間集計シート!$M$92:$M$111,$G1100,月間集計シート!R$92:R$111)*AI$2</f>
        <v>0</v>
      </c>
      <c r="AJ1100" s="88">
        <f>SUMIF(月間集計シート!$M$92:$M$111,$G1100,月間集計シート!S$92:S$111)*AJ$2</f>
        <v>0</v>
      </c>
      <c r="AK1100" s="88">
        <f>SUMIF(月間集計シート!$M$92:$M$111,$G1100,月間集計シート!T$92:T$111)*AK$2</f>
        <v>0</v>
      </c>
      <c r="AL1100" s="88">
        <f>SUMIF(月間集計シート!$M$113:$M$132,$G1100,月間集計シート!N$113:N$132)*AL$2</f>
        <v>0</v>
      </c>
      <c r="AM1100" s="88">
        <f>SUMIF(月間集計シート!$M$113:$M$132,$G1100,月間集計シート!O$113:O$132)*AM$2</f>
        <v>0</v>
      </c>
      <c r="AN1100" s="88">
        <f>SUMIF(月間集計シート!$M$113:$M$132,$G1100,月間集計シート!P$113:P$132)*AN$2</f>
        <v>0</v>
      </c>
      <c r="AO1100" s="88">
        <f>SUMIF(月間集計シート!$M$113:$M$132,$G1100,月間集計シート!Q$113:Q$132)*AO$2</f>
        <v>0</v>
      </c>
      <c r="AP1100" s="88">
        <f>SUMIF(月間集計シート!$M$113:$M$132,$G1100,月間集計シート!R$113:R$132)*AP$2</f>
        <v>0</v>
      </c>
      <c r="AQ1100" s="88">
        <f>SUMIF(月間集計シート!$M$113:$M$132,$G1100,月間集計シート!S$113:S$132)*AQ$2</f>
        <v>0</v>
      </c>
      <c r="AR1100" s="88">
        <f>SUMIF(月間集計シート!$M$113:$M$132,$G1100,月間集計シート!T$113:T$132)*AR$2</f>
        <v>0</v>
      </c>
      <c r="AS1100" s="88">
        <f>SUMIF(月間集計シート!$M$134:$M$153,$G1100,月間集計シート!N$134:N$153)*AS$2</f>
        <v>0</v>
      </c>
      <c r="AT1100" s="88">
        <f>SUMIF(月間集計シート!$M$134:$M$153,$G1100,月間集計シート!O$134:O$153)*AT$2</f>
        <v>0</v>
      </c>
      <c r="AU1100" s="88">
        <f>SUMIF(月間集計シート!$M$134:$M$153,$G1100,月間集計シート!P$134:P$153)*AU$2</f>
        <v>0</v>
      </c>
      <c r="AV1100" s="88">
        <f>SUMIF(月間集計シート!$M$134:$M$153,$G1100,月間集計シート!Q$134:Q$153)*AV$2</f>
        <v>0</v>
      </c>
      <c r="AW1100" s="88">
        <f>SUMIF(月間集計シート!$M$134:$M$153,$G1100,月間集計シート!R$134:R$153)*AW$2</f>
        <v>0</v>
      </c>
      <c r="AX1100" s="88">
        <f>SUMIF(月間集計シート!$M$134:$M$153,$G1100,月間集計シート!S$134:S$153)*AX$2</f>
        <v>0</v>
      </c>
      <c r="AY1100" s="88">
        <f>SUMIF(月間集計シート!$M$134:$M$153,$G1100,月間集計シート!T$134:T$153)*AY$2</f>
        <v>0</v>
      </c>
    </row>
    <row r="1101" spans="1:51" ht="14.25" thickBot="1">
      <c r="A1101">
        <v>13</v>
      </c>
      <c r="B1101" s="120">
        <f t="shared" si="576"/>
        <v>0</v>
      </c>
      <c r="C1101" s="120" t="str">
        <f t="shared" si="576"/>
        <v/>
      </c>
      <c r="D1101" s="137"/>
      <c r="E1101" s="150" t="str">
        <f>工種!A73</f>
        <v>90108</v>
      </c>
      <c r="F1101" s="119" t="str">
        <f>工種!B73</f>
        <v>管理業務：外部不具合分析</v>
      </c>
      <c r="G1101" s="116" t="str">
        <f t="shared" si="573"/>
        <v>090108</v>
      </c>
      <c r="H1101" s="88">
        <f t="shared" si="575"/>
        <v>0</v>
      </c>
      <c r="I1101" s="132"/>
      <c r="J1101" s="88">
        <f>SUMIF(月間集計シート!$M$29:$M$48,$G1101,月間集計シート!N$29:N$48)*J$2</f>
        <v>0</v>
      </c>
      <c r="K1101" s="88">
        <f>SUMIF(月間集計シート!$M$29:$M$48,$G1101,月間集計シート!O$29:O$48)*K$2</f>
        <v>0</v>
      </c>
      <c r="L1101" s="88">
        <f>SUMIF(月間集計シート!$M$29:$M$48,$G1101,月間集計シート!P$29:P$48)*L$2</f>
        <v>0</v>
      </c>
      <c r="M1101" s="88">
        <f>SUMIF(月間集計シート!$M$29:$M$48,$G1101,月間集計シート!Q$29:Q$48)*M$2</f>
        <v>0</v>
      </c>
      <c r="N1101" s="88">
        <f>SUMIF(月間集計シート!$M$29:$M$48,$G1101,月間集計シート!R$29:R$48)*N$2</f>
        <v>0</v>
      </c>
      <c r="O1101" s="88">
        <f>SUMIF(月間集計シート!$M$29:$M$48,$G1101,月間集計シート!S$29:S$48)*O$2</f>
        <v>0</v>
      </c>
      <c r="P1101" s="88">
        <f>SUMIF(月間集計シート!$M$29:$M$48,$G1101,月間集計シート!T$29:T$48)*P$2</f>
        <v>0</v>
      </c>
      <c r="Q1101" s="88">
        <f>SUMIF(月間集計シート!$M$50:$M$69,$G1101,月間集計シート!N$50:N$69)*Q$2</f>
        <v>0</v>
      </c>
      <c r="R1101" s="88">
        <f>SUMIF(月間集計シート!$M$50:$M$69,$G1101,月間集計シート!O$50:O$69)*R$2</f>
        <v>0</v>
      </c>
      <c r="S1101" s="88">
        <f>SUMIF(月間集計シート!$M$50:$M$69,$G1101,月間集計シート!P$50:P$69)*S$2</f>
        <v>0</v>
      </c>
      <c r="T1101" s="88">
        <f>SUMIF(月間集計シート!$M$50:$M$69,$G1101,月間集計シート!Q$50:Q$69)*T$2</f>
        <v>0</v>
      </c>
      <c r="U1101" s="88">
        <f>SUMIF(月間集計シート!$M$50:$M$69,$G1101,月間集計シート!R$50:R$69)*U$2</f>
        <v>0</v>
      </c>
      <c r="V1101" s="88">
        <f>SUMIF(月間集計シート!$M$50:$M$69,$G1101,月間集計シート!S$50:S$69)*V$2</f>
        <v>0</v>
      </c>
      <c r="W1101" s="88">
        <f>SUMIF(月間集計シート!$M$50:$M$69,$G1101,月間集計シート!T$50:T$69)*W$2</f>
        <v>0</v>
      </c>
      <c r="X1101" s="88">
        <f>SUMIF(月間集計シート!$M$71:$M$90,$G1101,月間集計シート!N$71:N$90)*X$2</f>
        <v>0</v>
      </c>
      <c r="Y1101" s="88">
        <f>SUMIF(月間集計シート!$M$71:$M$90,$G1101,月間集計シート!O$71:O$90)*Y$2</f>
        <v>0</v>
      </c>
      <c r="Z1101" s="88">
        <f>SUMIF(月間集計シート!$M$71:$M$90,$G1101,月間集計シート!P$71:P$90)*Z$2</f>
        <v>0</v>
      </c>
      <c r="AA1101" s="88">
        <f>SUMIF(月間集計シート!$M$71:$M$90,$G1101,月間集計シート!Q$71:Q$90)*AA$2</f>
        <v>0</v>
      </c>
      <c r="AB1101" s="88">
        <f>SUMIF(月間集計シート!$M$71:$M$90,$G1101,月間集計シート!R$71:R$90)*AB$2</f>
        <v>0</v>
      </c>
      <c r="AC1101" s="88">
        <f>SUMIF(月間集計シート!$M$71:$M$90,$G1101,月間集計シート!S$71:S$90)*AC$2</f>
        <v>0</v>
      </c>
      <c r="AD1101" s="88">
        <f>SUMIF(月間集計シート!$M$71:$M$90,$G1101,月間集計シート!T$71:T$90)*AD$2</f>
        <v>0</v>
      </c>
      <c r="AE1101" s="88">
        <f>SUMIF(月間集計シート!$M$92:$M$111,$G1101,月間集計シート!N$92:N$111)*AE$2</f>
        <v>0</v>
      </c>
      <c r="AF1101" s="88">
        <f>SUMIF(月間集計シート!$M$92:$M$111,$G1101,月間集計シート!O$92:O$111)*AF$2</f>
        <v>0</v>
      </c>
      <c r="AG1101" s="88">
        <f>SUMIF(月間集計シート!$M$92:$M$111,$G1101,月間集計シート!P$92:P$111)*AG$2</f>
        <v>0</v>
      </c>
      <c r="AH1101" s="88">
        <f>SUMIF(月間集計シート!$M$92:$M$111,$G1101,月間集計シート!Q$92:Q$111)*AH$2</f>
        <v>0</v>
      </c>
      <c r="AI1101" s="88">
        <f>SUMIF(月間集計シート!$M$92:$M$111,$G1101,月間集計シート!R$92:R$111)*AI$2</f>
        <v>0</v>
      </c>
      <c r="AJ1101" s="88">
        <f>SUMIF(月間集計シート!$M$92:$M$111,$G1101,月間集計シート!S$92:S$111)*AJ$2</f>
        <v>0</v>
      </c>
      <c r="AK1101" s="88">
        <f>SUMIF(月間集計シート!$M$92:$M$111,$G1101,月間集計シート!T$92:T$111)*AK$2</f>
        <v>0</v>
      </c>
      <c r="AL1101" s="88">
        <f>SUMIF(月間集計シート!$M$113:$M$132,$G1101,月間集計シート!N$113:N$132)*AL$2</f>
        <v>0</v>
      </c>
      <c r="AM1101" s="88">
        <f>SUMIF(月間集計シート!$M$113:$M$132,$G1101,月間集計シート!O$113:O$132)*AM$2</f>
        <v>0</v>
      </c>
      <c r="AN1101" s="88">
        <f>SUMIF(月間集計シート!$M$113:$M$132,$G1101,月間集計シート!P$113:P$132)*AN$2</f>
        <v>0</v>
      </c>
      <c r="AO1101" s="88">
        <f>SUMIF(月間集計シート!$M$113:$M$132,$G1101,月間集計シート!Q$113:Q$132)*AO$2</f>
        <v>0</v>
      </c>
      <c r="AP1101" s="88">
        <f>SUMIF(月間集計シート!$M$113:$M$132,$G1101,月間集計シート!R$113:R$132)*AP$2</f>
        <v>0</v>
      </c>
      <c r="AQ1101" s="88">
        <f>SUMIF(月間集計シート!$M$113:$M$132,$G1101,月間集計シート!S$113:S$132)*AQ$2</f>
        <v>0</v>
      </c>
      <c r="AR1101" s="88">
        <f>SUMIF(月間集計シート!$M$113:$M$132,$G1101,月間集計シート!T$113:T$132)*AR$2</f>
        <v>0</v>
      </c>
      <c r="AS1101" s="88">
        <f>SUMIF(月間集計シート!$M$134:$M$153,$G1101,月間集計シート!N$134:N$153)*AS$2</f>
        <v>0</v>
      </c>
      <c r="AT1101" s="88">
        <f>SUMIF(月間集計シート!$M$134:$M$153,$G1101,月間集計シート!O$134:O$153)*AT$2</f>
        <v>0</v>
      </c>
      <c r="AU1101" s="88">
        <f>SUMIF(月間集計シート!$M$134:$M$153,$G1101,月間集計シート!P$134:P$153)*AU$2</f>
        <v>0</v>
      </c>
      <c r="AV1101" s="88">
        <f>SUMIF(月間集計シート!$M$134:$M$153,$G1101,月間集計シート!Q$134:Q$153)*AV$2</f>
        <v>0</v>
      </c>
      <c r="AW1101" s="88">
        <f>SUMIF(月間集計シート!$M$134:$M$153,$G1101,月間集計シート!R$134:R$153)*AW$2</f>
        <v>0</v>
      </c>
      <c r="AX1101" s="88">
        <f>SUMIF(月間集計シート!$M$134:$M$153,$G1101,月間集計シート!S$134:S$153)*AX$2</f>
        <v>0</v>
      </c>
      <c r="AY1101" s="88">
        <f>SUMIF(月間集計シート!$M$134:$M$153,$G1101,月間集計シート!T$134:T$153)*AY$2</f>
        <v>0</v>
      </c>
    </row>
    <row r="1102" spans="1:51" ht="14.25" thickBot="1">
      <c r="A1102">
        <v>13</v>
      </c>
      <c r="B1102" s="120">
        <f t="shared" si="576"/>
        <v>0</v>
      </c>
      <c r="C1102" s="120" t="str">
        <f t="shared" si="576"/>
        <v/>
      </c>
      <c r="D1102" s="137"/>
      <c r="E1102" s="150" t="str">
        <f>工種!A74</f>
        <v>90110</v>
      </c>
      <c r="F1102" s="119" t="str">
        <f>工種!B74</f>
        <v>管理業務：打合せ</v>
      </c>
      <c r="G1102" s="116" t="str">
        <f t="shared" si="573"/>
        <v>090110</v>
      </c>
      <c r="H1102" s="88">
        <f t="shared" si="575"/>
        <v>0</v>
      </c>
      <c r="I1102" s="132"/>
      <c r="J1102" s="88">
        <f>SUMIF(月間集計シート!$M$29:$M$48,$G1102,月間集計シート!N$29:N$48)*J$2</f>
        <v>0</v>
      </c>
      <c r="K1102" s="88">
        <f>SUMIF(月間集計シート!$M$29:$M$48,$G1102,月間集計シート!O$29:O$48)*K$2</f>
        <v>0</v>
      </c>
      <c r="L1102" s="88">
        <f>SUMIF(月間集計シート!$M$29:$M$48,$G1102,月間集計シート!P$29:P$48)*L$2</f>
        <v>0</v>
      </c>
      <c r="M1102" s="88">
        <f>SUMIF(月間集計シート!$M$29:$M$48,$G1102,月間集計シート!Q$29:Q$48)*M$2</f>
        <v>0</v>
      </c>
      <c r="N1102" s="88">
        <f>SUMIF(月間集計シート!$M$29:$M$48,$G1102,月間集計シート!R$29:R$48)*N$2</f>
        <v>0</v>
      </c>
      <c r="O1102" s="88">
        <f>SUMIF(月間集計シート!$M$29:$M$48,$G1102,月間集計シート!S$29:S$48)*O$2</f>
        <v>0</v>
      </c>
      <c r="P1102" s="88">
        <f>SUMIF(月間集計シート!$M$29:$M$48,$G1102,月間集計シート!T$29:T$48)*P$2</f>
        <v>0</v>
      </c>
      <c r="Q1102" s="88">
        <f>SUMIF(月間集計シート!$M$50:$M$69,$G1102,月間集計シート!N$50:N$69)*Q$2</f>
        <v>0</v>
      </c>
      <c r="R1102" s="88">
        <f>SUMIF(月間集計シート!$M$50:$M$69,$G1102,月間集計シート!O$50:O$69)*R$2</f>
        <v>0</v>
      </c>
      <c r="S1102" s="88">
        <f>SUMIF(月間集計シート!$M$50:$M$69,$G1102,月間集計シート!P$50:P$69)*S$2</f>
        <v>0</v>
      </c>
      <c r="T1102" s="88">
        <f>SUMIF(月間集計シート!$M$50:$M$69,$G1102,月間集計シート!Q$50:Q$69)*T$2</f>
        <v>0</v>
      </c>
      <c r="U1102" s="88">
        <f>SUMIF(月間集計シート!$M$50:$M$69,$G1102,月間集計シート!R$50:R$69)*U$2</f>
        <v>0</v>
      </c>
      <c r="V1102" s="88">
        <f>SUMIF(月間集計シート!$M$50:$M$69,$G1102,月間集計シート!S$50:S$69)*V$2</f>
        <v>0</v>
      </c>
      <c r="W1102" s="88">
        <f>SUMIF(月間集計シート!$M$50:$M$69,$G1102,月間集計シート!T$50:T$69)*W$2</f>
        <v>0</v>
      </c>
      <c r="X1102" s="88">
        <f>SUMIF(月間集計シート!$M$71:$M$90,$G1102,月間集計シート!N$71:N$90)*X$2</f>
        <v>0</v>
      </c>
      <c r="Y1102" s="88">
        <f>SUMIF(月間集計シート!$M$71:$M$90,$G1102,月間集計シート!O$71:O$90)*Y$2</f>
        <v>0</v>
      </c>
      <c r="Z1102" s="88">
        <f>SUMIF(月間集計シート!$M$71:$M$90,$G1102,月間集計シート!P$71:P$90)*Z$2</f>
        <v>0</v>
      </c>
      <c r="AA1102" s="88">
        <f>SUMIF(月間集計シート!$M$71:$M$90,$G1102,月間集計シート!Q$71:Q$90)*AA$2</f>
        <v>0</v>
      </c>
      <c r="AB1102" s="88">
        <f>SUMIF(月間集計シート!$M$71:$M$90,$G1102,月間集計シート!R$71:R$90)*AB$2</f>
        <v>0</v>
      </c>
      <c r="AC1102" s="88">
        <f>SUMIF(月間集計シート!$M$71:$M$90,$G1102,月間集計シート!S$71:S$90)*AC$2</f>
        <v>0</v>
      </c>
      <c r="AD1102" s="88">
        <f>SUMIF(月間集計シート!$M$71:$M$90,$G1102,月間集計シート!T$71:T$90)*AD$2</f>
        <v>0</v>
      </c>
      <c r="AE1102" s="88">
        <f>SUMIF(月間集計シート!$M$92:$M$111,$G1102,月間集計シート!N$92:N$111)*AE$2</f>
        <v>0</v>
      </c>
      <c r="AF1102" s="88">
        <f>SUMIF(月間集計シート!$M$92:$M$111,$G1102,月間集計シート!O$92:O$111)*AF$2</f>
        <v>0</v>
      </c>
      <c r="AG1102" s="88">
        <f>SUMIF(月間集計シート!$M$92:$M$111,$G1102,月間集計シート!P$92:P$111)*AG$2</f>
        <v>0</v>
      </c>
      <c r="AH1102" s="88">
        <f>SUMIF(月間集計シート!$M$92:$M$111,$G1102,月間集計シート!Q$92:Q$111)*AH$2</f>
        <v>0</v>
      </c>
      <c r="AI1102" s="88">
        <f>SUMIF(月間集計シート!$M$92:$M$111,$G1102,月間集計シート!R$92:R$111)*AI$2</f>
        <v>0</v>
      </c>
      <c r="AJ1102" s="88">
        <f>SUMIF(月間集計シート!$M$92:$M$111,$G1102,月間集計シート!S$92:S$111)*AJ$2</f>
        <v>0</v>
      </c>
      <c r="AK1102" s="88">
        <f>SUMIF(月間集計シート!$M$92:$M$111,$G1102,月間集計シート!T$92:T$111)*AK$2</f>
        <v>0</v>
      </c>
      <c r="AL1102" s="88">
        <f>SUMIF(月間集計シート!$M$113:$M$132,$G1102,月間集計シート!N$113:N$132)*AL$2</f>
        <v>0</v>
      </c>
      <c r="AM1102" s="88">
        <f>SUMIF(月間集計シート!$M$113:$M$132,$G1102,月間集計シート!O$113:O$132)*AM$2</f>
        <v>0</v>
      </c>
      <c r="AN1102" s="88">
        <f>SUMIF(月間集計シート!$M$113:$M$132,$G1102,月間集計シート!P$113:P$132)*AN$2</f>
        <v>0</v>
      </c>
      <c r="AO1102" s="88">
        <f>SUMIF(月間集計シート!$M$113:$M$132,$G1102,月間集計シート!Q$113:Q$132)*AO$2</f>
        <v>0</v>
      </c>
      <c r="AP1102" s="88">
        <f>SUMIF(月間集計シート!$M$113:$M$132,$G1102,月間集計シート!R$113:R$132)*AP$2</f>
        <v>0</v>
      </c>
      <c r="AQ1102" s="88">
        <f>SUMIF(月間集計シート!$M$113:$M$132,$G1102,月間集計シート!S$113:S$132)*AQ$2</f>
        <v>0</v>
      </c>
      <c r="AR1102" s="88">
        <f>SUMIF(月間集計シート!$M$113:$M$132,$G1102,月間集計シート!T$113:T$132)*AR$2</f>
        <v>0</v>
      </c>
      <c r="AS1102" s="88">
        <f>SUMIF(月間集計シート!$M$134:$M$153,$G1102,月間集計シート!N$134:N$153)*AS$2</f>
        <v>0</v>
      </c>
      <c r="AT1102" s="88">
        <f>SUMIF(月間集計シート!$M$134:$M$153,$G1102,月間集計シート!O$134:O$153)*AT$2</f>
        <v>0</v>
      </c>
      <c r="AU1102" s="88">
        <f>SUMIF(月間集計シート!$M$134:$M$153,$G1102,月間集計シート!P$134:P$153)*AU$2</f>
        <v>0</v>
      </c>
      <c r="AV1102" s="88">
        <f>SUMIF(月間集計シート!$M$134:$M$153,$G1102,月間集計シート!Q$134:Q$153)*AV$2</f>
        <v>0</v>
      </c>
      <c r="AW1102" s="88">
        <f>SUMIF(月間集計シート!$M$134:$M$153,$G1102,月間集計シート!R$134:R$153)*AW$2</f>
        <v>0</v>
      </c>
      <c r="AX1102" s="88">
        <f>SUMIF(月間集計シート!$M$134:$M$153,$G1102,月間集計シート!S$134:S$153)*AX$2</f>
        <v>0</v>
      </c>
      <c r="AY1102" s="88">
        <f>SUMIF(月間集計シート!$M$134:$M$153,$G1102,月間集計シート!T$134:T$153)*AY$2</f>
        <v>0</v>
      </c>
    </row>
    <row r="1103" spans="1:51" ht="14.25" thickBot="1">
      <c r="A1103">
        <v>13</v>
      </c>
      <c r="B1103" s="120">
        <f t="shared" si="576"/>
        <v>0</v>
      </c>
      <c r="C1103" s="120" t="str">
        <f t="shared" si="576"/>
        <v/>
      </c>
      <c r="D1103" s="137"/>
      <c r="E1103" s="150" t="str">
        <f>工種!A75</f>
        <v>90111</v>
      </c>
      <c r="F1103" s="119" t="str">
        <f>工種!B75</f>
        <v>管理業務：レビュー</v>
      </c>
      <c r="G1103" s="116" t="str">
        <f t="shared" si="573"/>
        <v>090111</v>
      </c>
      <c r="H1103" s="88">
        <f t="shared" si="575"/>
        <v>0</v>
      </c>
      <c r="I1103" s="132"/>
      <c r="J1103" s="88">
        <f>SUMIF(月間集計シート!$M$29:$M$48,$G1103,月間集計シート!N$29:N$48)*J$2</f>
        <v>0</v>
      </c>
      <c r="K1103" s="88">
        <f>SUMIF(月間集計シート!$M$29:$M$48,$G1103,月間集計シート!O$29:O$48)*K$2</f>
        <v>0</v>
      </c>
      <c r="L1103" s="88">
        <f>SUMIF(月間集計シート!$M$29:$M$48,$G1103,月間集計シート!P$29:P$48)*L$2</f>
        <v>0</v>
      </c>
      <c r="M1103" s="88">
        <f>SUMIF(月間集計シート!$M$29:$M$48,$G1103,月間集計シート!Q$29:Q$48)*M$2</f>
        <v>0</v>
      </c>
      <c r="N1103" s="88">
        <f>SUMIF(月間集計シート!$M$29:$M$48,$G1103,月間集計シート!R$29:R$48)*N$2</f>
        <v>0</v>
      </c>
      <c r="O1103" s="88">
        <f>SUMIF(月間集計シート!$M$29:$M$48,$G1103,月間集計シート!S$29:S$48)*O$2</f>
        <v>0</v>
      </c>
      <c r="P1103" s="88">
        <f>SUMIF(月間集計シート!$M$29:$M$48,$G1103,月間集計シート!T$29:T$48)*P$2</f>
        <v>0</v>
      </c>
      <c r="Q1103" s="88">
        <f>SUMIF(月間集計シート!$M$50:$M$69,$G1103,月間集計シート!N$50:N$69)*Q$2</f>
        <v>0</v>
      </c>
      <c r="R1103" s="88">
        <f>SUMIF(月間集計シート!$M$50:$M$69,$G1103,月間集計シート!O$50:O$69)*R$2</f>
        <v>0</v>
      </c>
      <c r="S1103" s="88">
        <f>SUMIF(月間集計シート!$M$50:$M$69,$G1103,月間集計シート!P$50:P$69)*S$2</f>
        <v>0</v>
      </c>
      <c r="T1103" s="88">
        <f>SUMIF(月間集計シート!$M$50:$M$69,$G1103,月間集計シート!Q$50:Q$69)*T$2</f>
        <v>0</v>
      </c>
      <c r="U1103" s="88">
        <f>SUMIF(月間集計シート!$M$50:$M$69,$G1103,月間集計シート!R$50:R$69)*U$2</f>
        <v>0</v>
      </c>
      <c r="V1103" s="88">
        <f>SUMIF(月間集計シート!$M$50:$M$69,$G1103,月間集計シート!S$50:S$69)*V$2</f>
        <v>0</v>
      </c>
      <c r="W1103" s="88">
        <f>SUMIF(月間集計シート!$M$50:$M$69,$G1103,月間集計シート!T$50:T$69)*W$2</f>
        <v>0</v>
      </c>
      <c r="X1103" s="88">
        <f>SUMIF(月間集計シート!$M$71:$M$90,$G1103,月間集計シート!N$71:N$90)*X$2</f>
        <v>0</v>
      </c>
      <c r="Y1103" s="88">
        <f>SUMIF(月間集計シート!$M$71:$M$90,$G1103,月間集計シート!O$71:O$90)*Y$2</f>
        <v>0</v>
      </c>
      <c r="Z1103" s="88">
        <f>SUMIF(月間集計シート!$M$71:$M$90,$G1103,月間集計シート!P$71:P$90)*Z$2</f>
        <v>0</v>
      </c>
      <c r="AA1103" s="88">
        <f>SUMIF(月間集計シート!$M$71:$M$90,$G1103,月間集計シート!Q$71:Q$90)*AA$2</f>
        <v>0</v>
      </c>
      <c r="AB1103" s="88">
        <f>SUMIF(月間集計シート!$M$71:$M$90,$G1103,月間集計シート!R$71:R$90)*AB$2</f>
        <v>0</v>
      </c>
      <c r="AC1103" s="88">
        <f>SUMIF(月間集計シート!$M$71:$M$90,$G1103,月間集計シート!S$71:S$90)*AC$2</f>
        <v>0</v>
      </c>
      <c r="AD1103" s="88">
        <f>SUMIF(月間集計シート!$M$71:$M$90,$G1103,月間集計シート!T$71:T$90)*AD$2</f>
        <v>0</v>
      </c>
      <c r="AE1103" s="88">
        <f>SUMIF(月間集計シート!$M$92:$M$111,$G1103,月間集計シート!N$92:N$111)*AE$2</f>
        <v>0</v>
      </c>
      <c r="AF1103" s="88">
        <f>SUMIF(月間集計シート!$M$92:$M$111,$G1103,月間集計シート!O$92:O$111)*AF$2</f>
        <v>0</v>
      </c>
      <c r="AG1103" s="88">
        <f>SUMIF(月間集計シート!$M$92:$M$111,$G1103,月間集計シート!P$92:P$111)*AG$2</f>
        <v>0</v>
      </c>
      <c r="AH1103" s="88">
        <f>SUMIF(月間集計シート!$M$92:$M$111,$G1103,月間集計シート!Q$92:Q$111)*AH$2</f>
        <v>0</v>
      </c>
      <c r="AI1103" s="88">
        <f>SUMIF(月間集計シート!$M$92:$M$111,$G1103,月間集計シート!R$92:R$111)*AI$2</f>
        <v>0</v>
      </c>
      <c r="AJ1103" s="88">
        <f>SUMIF(月間集計シート!$M$92:$M$111,$G1103,月間集計シート!S$92:S$111)*AJ$2</f>
        <v>0</v>
      </c>
      <c r="AK1103" s="88">
        <f>SUMIF(月間集計シート!$M$92:$M$111,$G1103,月間集計シート!T$92:T$111)*AK$2</f>
        <v>0</v>
      </c>
      <c r="AL1103" s="88">
        <f>SUMIF(月間集計シート!$M$113:$M$132,$G1103,月間集計シート!N$113:N$132)*AL$2</f>
        <v>0</v>
      </c>
      <c r="AM1103" s="88">
        <f>SUMIF(月間集計シート!$M$113:$M$132,$G1103,月間集計シート!O$113:O$132)*AM$2</f>
        <v>0</v>
      </c>
      <c r="AN1103" s="88">
        <f>SUMIF(月間集計シート!$M$113:$M$132,$G1103,月間集計シート!P$113:P$132)*AN$2</f>
        <v>0</v>
      </c>
      <c r="AO1103" s="88">
        <f>SUMIF(月間集計シート!$M$113:$M$132,$G1103,月間集計シート!Q$113:Q$132)*AO$2</f>
        <v>0</v>
      </c>
      <c r="AP1103" s="88">
        <f>SUMIF(月間集計シート!$M$113:$M$132,$G1103,月間集計シート!R$113:R$132)*AP$2</f>
        <v>0</v>
      </c>
      <c r="AQ1103" s="88">
        <f>SUMIF(月間集計シート!$M$113:$M$132,$G1103,月間集計シート!S$113:S$132)*AQ$2</f>
        <v>0</v>
      </c>
      <c r="AR1103" s="88">
        <f>SUMIF(月間集計シート!$M$113:$M$132,$G1103,月間集計シート!T$113:T$132)*AR$2</f>
        <v>0</v>
      </c>
      <c r="AS1103" s="88">
        <f>SUMIF(月間集計シート!$M$134:$M$153,$G1103,月間集計シート!N$134:N$153)*AS$2</f>
        <v>0</v>
      </c>
      <c r="AT1103" s="88">
        <f>SUMIF(月間集計シート!$M$134:$M$153,$G1103,月間集計シート!O$134:O$153)*AT$2</f>
        <v>0</v>
      </c>
      <c r="AU1103" s="88">
        <f>SUMIF(月間集計シート!$M$134:$M$153,$G1103,月間集計シート!P$134:P$153)*AU$2</f>
        <v>0</v>
      </c>
      <c r="AV1103" s="88">
        <f>SUMIF(月間集計シート!$M$134:$M$153,$G1103,月間集計シート!Q$134:Q$153)*AV$2</f>
        <v>0</v>
      </c>
      <c r="AW1103" s="88">
        <f>SUMIF(月間集計シート!$M$134:$M$153,$G1103,月間集計シート!R$134:R$153)*AW$2</f>
        <v>0</v>
      </c>
      <c r="AX1103" s="88">
        <f>SUMIF(月間集計シート!$M$134:$M$153,$G1103,月間集計シート!S$134:S$153)*AX$2</f>
        <v>0</v>
      </c>
      <c r="AY1103" s="88">
        <f>SUMIF(月間集計シート!$M$134:$M$153,$G1103,月間集計シート!T$134:T$153)*AY$2</f>
        <v>0</v>
      </c>
    </row>
    <row r="1104" spans="1:51" ht="14.25" thickBot="1">
      <c r="A1104">
        <v>13</v>
      </c>
      <c r="B1104" s="120">
        <f t="shared" si="576"/>
        <v>0</v>
      </c>
      <c r="C1104" s="120" t="str">
        <f t="shared" si="576"/>
        <v/>
      </c>
      <c r="D1104" s="137"/>
      <c r="E1104" s="150" t="str">
        <f>工種!A76</f>
        <v>90199</v>
      </c>
      <c r="F1104" s="119" t="str">
        <f>工種!B76</f>
        <v>管理業務：その他</v>
      </c>
      <c r="G1104" s="116" t="str">
        <f t="shared" si="573"/>
        <v>090199</v>
      </c>
      <c r="H1104" s="88">
        <f t="shared" si="575"/>
        <v>0</v>
      </c>
      <c r="I1104" s="132"/>
      <c r="J1104" s="88">
        <f>SUMIF(月間集計シート!$M$29:$M$48,$G1104,月間集計シート!N$29:N$48)*J$2</f>
        <v>0</v>
      </c>
      <c r="K1104" s="88">
        <f>SUMIF(月間集計シート!$M$29:$M$48,$G1104,月間集計シート!O$29:O$48)*K$2</f>
        <v>0</v>
      </c>
      <c r="L1104" s="88">
        <f>SUMIF(月間集計シート!$M$29:$M$48,$G1104,月間集計シート!P$29:P$48)*L$2</f>
        <v>0</v>
      </c>
      <c r="M1104" s="88">
        <f>SUMIF(月間集計シート!$M$29:$M$48,$G1104,月間集計シート!Q$29:Q$48)*M$2</f>
        <v>0</v>
      </c>
      <c r="N1104" s="88">
        <f>SUMIF(月間集計シート!$M$29:$M$48,$G1104,月間集計シート!R$29:R$48)*N$2</f>
        <v>0</v>
      </c>
      <c r="O1104" s="88">
        <f>SUMIF(月間集計シート!$M$29:$M$48,$G1104,月間集計シート!S$29:S$48)*O$2</f>
        <v>0</v>
      </c>
      <c r="P1104" s="88">
        <f>SUMIF(月間集計シート!$M$29:$M$48,$G1104,月間集計シート!T$29:T$48)*P$2</f>
        <v>0</v>
      </c>
      <c r="Q1104" s="88">
        <f>SUMIF(月間集計シート!$M$50:$M$69,$G1104,月間集計シート!N$50:N$69)*Q$2</f>
        <v>0</v>
      </c>
      <c r="R1104" s="88">
        <f>SUMIF(月間集計シート!$M$50:$M$69,$G1104,月間集計シート!O$50:O$69)*R$2</f>
        <v>0</v>
      </c>
      <c r="S1104" s="88">
        <f>SUMIF(月間集計シート!$M$50:$M$69,$G1104,月間集計シート!P$50:P$69)*S$2</f>
        <v>0</v>
      </c>
      <c r="T1104" s="88">
        <f>SUMIF(月間集計シート!$M$50:$M$69,$G1104,月間集計シート!Q$50:Q$69)*T$2</f>
        <v>0</v>
      </c>
      <c r="U1104" s="88">
        <f>SUMIF(月間集計シート!$M$50:$M$69,$G1104,月間集計シート!R$50:R$69)*U$2</f>
        <v>0</v>
      </c>
      <c r="V1104" s="88">
        <f>SUMIF(月間集計シート!$M$50:$M$69,$G1104,月間集計シート!S$50:S$69)*V$2</f>
        <v>0</v>
      </c>
      <c r="W1104" s="88">
        <f>SUMIF(月間集計シート!$M$50:$M$69,$G1104,月間集計シート!T$50:T$69)*W$2</f>
        <v>0</v>
      </c>
      <c r="X1104" s="88">
        <f>SUMIF(月間集計シート!$M$71:$M$90,$G1104,月間集計シート!N$71:N$90)*X$2</f>
        <v>0</v>
      </c>
      <c r="Y1104" s="88">
        <f>SUMIF(月間集計シート!$M$71:$M$90,$G1104,月間集計シート!O$71:O$90)*Y$2</f>
        <v>0</v>
      </c>
      <c r="Z1104" s="88">
        <f>SUMIF(月間集計シート!$M$71:$M$90,$G1104,月間集計シート!P$71:P$90)*Z$2</f>
        <v>0</v>
      </c>
      <c r="AA1104" s="88">
        <f>SUMIF(月間集計シート!$M$71:$M$90,$G1104,月間集計シート!Q$71:Q$90)*AA$2</f>
        <v>0</v>
      </c>
      <c r="AB1104" s="88">
        <f>SUMIF(月間集計シート!$M$71:$M$90,$G1104,月間集計シート!R$71:R$90)*AB$2</f>
        <v>0</v>
      </c>
      <c r="AC1104" s="88">
        <f>SUMIF(月間集計シート!$M$71:$M$90,$G1104,月間集計シート!S$71:S$90)*AC$2</f>
        <v>0</v>
      </c>
      <c r="AD1104" s="88">
        <f>SUMIF(月間集計シート!$M$71:$M$90,$G1104,月間集計シート!T$71:T$90)*AD$2</f>
        <v>0</v>
      </c>
      <c r="AE1104" s="88">
        <f>SUMIF(月間集計シート!$M$92:$M$111,$G1104,月間集計シート!N$92:N$111)*AE$2</f>
        <v>0</v>
      </c>
      <c r="AF1104" s="88">
        <f>SUMIF(月間集計シート!$M$92:$M$111,$G1104,月間集計シート!O$92:O$111)*AF$2</f>
        <v>0</v>
      </c>
      <c r="AG1104" s="88">
        <f>SUMIF(月間集計シート!$M$92:$M$111,$G1104,月間集計シート!P$92:P$111)*AG$2</f>
        <v>0</v>
      </c>
      <c r="AH1104" s="88">
        <f>SUMIF(月間集計シート!$M$92:$M$111,$G1104,月間集計シート!Q$92:Q$111)*AH$2</f>
        <v>0</v>
      </c>
      <c r="AI1104" s="88">
        <f>SUMIF(月間集計シート!$M$92:$M$111,$G1104,月間集計シート!R$92:R$111)*AI$2</f>
        <v>0</v>
      </c>
      <c r="AJ1104" s="88">
        <f>SUMIF(月間集計シート!$M$92:$M$111,$G1104,月間集計シート!S$92:S$111)*AJ$2</f>
        <v>0</v>
      </c>
      <c r="AK1104" s="88">
        <f>SUMIF(月間集計シート!$M$92:$M$111,$G1104,月間集計シート!T$92:T$111)*AK$2</f>
        <v>0</v>
      </c>
      <c r="AL1104" s="88">
        <f>SUMIF(月間集計シート!$M$113:$M$132,$G1104,月間集計シート!N$113:N$132)*AL$2</f>
        <v>0</v>
      </c>
      <c r="AM1104" s="88">
        <f>SUMIF(月間集計シート!$M$113:$M$132,$G1104,月間集計シート!O$113:O$132)*AM$2</f>
        <v>0</v>
      </c>
      <c r="AN1104" s="88">
        <f>SUMIF(月間集計シート!$M$113:$M$132,$G1104,月間集計シート!P$113:P$132)*AN$2</f>
        <v>0</v>
      </c>
      <c r="AO1104" s="88">
        <f>SUMIF(月間集計シート!$M$113:$M$132,$G1104,月間集計シート!Q$113:Q$132)*AO$2</f>
        <v>0</v>
      </c>
      <c r="AP1104" s="88">
        <f>SUMIF(月間集計シート!$M$113:$M$132,$G1104,月間集計シート!R$113:R$132)*AP$2</f>
        <v>0</v>
      </c>
      <c r="AQ1104" s="88">
        <f>SUMIF(月間集計シート!$M$113:$M$132,$G1104,月間集計シート!S$113:S$132)*AQ$2</f>
        <v>0</v>
      </c>
      <c r="AR1104" s="88">
        <f>SUMIF(月間集計シート!$M$113:$M$132,$G1104,月間集計シート!T$113:T$132)*AR$2</f>
        <v>0</v>
      </c>
      <c r="AS1104" s="88">
        <f>SUMIF(月間集計シート!$M$134:$M$153,$G1104,月間集計シート!N$134:N$153)*AS$2</f>
        <v>0</v>
      </c>
      <c r="AT1104" s="88">
        <f>SUMIF(月間集計シート!$M$134:$M$153,$G1104,月間集計シート!O$134:O$153)*AT$2</f>
        <v>0</v>
      </c>
      <c r="AU1104" s="88">
        <f>SUMIF(月間集計シート!$M$134:$M$153,$G1104,月間集計シート!P$134:P$153)*AU$2</f>
        <v>0</v>
      </c>
      <c r="AV1104" s="88">
        <f>SUMIF(月間集計シート!$M$134:$M$153,$G1104,月間集計シート!Q$134:Q$153)*AV$2</f>
        <v>0</v>
      </c>
      <c r="AW1104" s="88">
        <f>SUMIF(月間集計シート!$M$134:$M$153,$G1104,月間集計シート!R$134:R$153)*AW$2</f>
        <v>0</v>
      </c>
      <c r="AX1104" s="88">
        <f>SUMIF(月間集計シート!$M$134:$M$153,$G1104,月間集計シート!S$134:S$153)*AX$2</f>
        <v>0</v>
      </c>
      <c r="AY1104" s="88">
        <f>SUMIF(月間集計シート!$M$134:$M$153,$G1104,月間集計シート!T$134:T$153)*AY$2</f>
        <v>0</v>
      </c>
    </row>
    <row r="1105" spans="1:51" ht="14.25" thickBot="1">
      <c r="A1105">
        <v>13</v>
      </c>
      <c r="B1105" s="120">
        <f t="shared" si="576"/>
        <v>0</v>
      </c>
      <c r="C1105" s="120" t="str">
        <f t="shared" si="576"/>
        <v/>
      </c>
      <c r="D1105" s="137"/>
      <c r="E1105" s="150">
        <f>工種!A77</f>
        <v>99102</v>
      </c>
      <c r="F1105" s="119" t="str">
        <f>工種!B77</f>
        <v>間接業務：業務環境管理（PCｾｯﾄｱｯﾌﾟ等）</v>
      </c>
      <c r="G1105" s="116" t="str">
        <f t="shared" si="573"/>
        <v>099102</v>
      </c>
      <c r="H1105" s="88">
        <f t="shared" si="575"/>
        <v>0</v>
      </c>
      <c r="I1105" s="132"/>
      <c r="J1105" s="88">
        <f>SUMIF(月間集計シート!$M$29:$M$48,$G1105,月間集計シート!N$29:N$48)*J$2</f>
        <v>0</v>
      </c>
      <c r="K1105" s="88">
        <f>SUMIF(月間集計シート!$M$29:$M$48,$G1105,月間集計シート!O$29:O$48)*K$2</f>
        <v>0</v>
      </c>
      <c r="L1105" s="88">
        <f>SUMIF(月間集計シート!$M$29:$M$48,$G1105,月間集計シート!P$29:P$48)*L$2</f>
        <v>0</v>
      </c>
      <c r="M1105" s="88">
        <f>SUMIF(月間集計シート!$M$29:$M$48,$G1105,月間集計シート!Q$29:Q$48)*M$2</f>
        <v>0</v>
      </c>
      <c r="N1105" s="88">
        <f>SUMIF(月間集計シート!$M$29:$M$48,$G1105,月間集計シート!R$29:R$48)*N$2</f>
        <v>0</v>
      </c>
      <c r="O1105" s="88">
        <f>SUMIF(月間集計シート!$M$29:$M$48,$G1105,月間集計シート!S$29:S$48)*O$2</f>
        <v>0</v>
      </c>
      <c r="P1105" s="88">
        <f>SUMIF(月間集計シート!$M$29:$M$48,$G1105,月間集計シート!T$29:T$48)*P$2</f>
        <v>0</v>
      </c>
      <c r="Q1105" s="88">
        <f>SUMIF(月間集計シート!$M$50:$M$69,$G1105,月間集計シート!N$50:N$69)*Q$2</f>
        <v>0</v>
      </c>
      <c r="R1105" s="88">
        <f>SUMIF(月間集計シート!$M$50:$M$69,$G1105,月間集計シート!O$50:O$69)*R$2</f>
        <v>0</v>
      </c>
      <c r="S1105" s="88">
        <f>SUMIF(月間集計シート!$M$50:$M$69,$G1105,月間集計シート!P$50:P$69)*S$2</f>
        <v>0</v>
      </c>
      <c r="T1105" s="88">
        <f>SUMIF(月間集計シート!$M$50:$M$69,$G1105,月間集計シート!Q$50:Q$69)*T$2</f>
        <v>0</v>
      </c>
      <c r="U1105" s="88">
        <f>SUMIF(月間集計シート!$M$50:$M$69,$G1105,月間集計シート!R$50:R$69)*U$2</f>
        <v>0</v>
      </c>
      <c r="V1105" s="88">
        <f>SUMIF(月間集計シート!$M$50:$M$69,$G1105,月間集計シート!S$50:S$69)*V$2</f>
        <v>0</v>
      </c>
      <c r="W1105" s="88">
        <f>SUMIF(月間集計シート!$M$50:$M$69,$G1105,月間集計シート!T$50:T$69)*W$2</f>
        <v>0</v>
      </c>
      <c r="X1105" s="88">
        <f>SUMIF(月間集計シート!$M$71:$M$90,$G1105,月間集計シート!N$71:N$90)*X$2</f>
        <v>0</v>
      </c>
      <c r="Y1105" s="88">
        <f>SUMIF(月間集計シート!$M$71:$M$90,$G1105,月間集計シート!O$71:O$90)*Y$2</f>
        <v>0</v>
      </c>
      <c r="Z1105" s="88">
        <f>SUMIF(月間集計シート!$M$71:$M$90,$G1105,月間集計シート!P$71:P$90)*Z$2</f>
        <v>0</v>
      </c>
      <c r="AA1105" s="88">
        <f>SUMIF(月間集計シート!$M$71:$M$90,$G1105,月間集計シート!Q$71:Q$90)*AA$2</f>
        <v>0</v>
      </c>
      <c r="AB1105" s="88">
        <f>SUMIF(月間集計シート!$M$71:$M$90,$G1105,月間集計シート!R$71:R$90)*AB$2</f>
        <v>0</v>
      </c>
      <c r="AC1105" s="88">
        <f>SUMIF(月間集計シート!$M$71:$M$90,$G1105,月間集計シート!S$71:S$90)*AC$2</f>
        <v>0</v>
      </c>
      <c r="AD1105" s="88">
        <f>SUMIF(月間集計シート!$M$71:$M$90,$G1105,月間集計シート!T$71:T$90)*AD$2</f>
        <v>0</v>
      </c>
      <c r="AE1105" s="88">
        <f>SUMIF(月間集計シート!$M$92:$M$111,$G1105,月間集計シート!N$92:N$111)*AE$2</f>
        <v>0</v>
      </c>
      <c r="AF1105" s="88">
        <f>SUMIF(月間集計シート!$M$92:$M$111,$G1105,月間集計シート!O$92:O$111)*AF$2</f>
        <v>0</v>
      </c>
      <c r="AG1105" s="88">
        <f>SUMIF(月間集計シート!$M$92:$M$111,$G1105,月間集計シート!P$92:P$111)*AG$2</f>
        <v>0</v>
      </c>
      <c r="AH1105" s="88">
        <f>SUMIF(月間集計シート!$M$92:$M$111,$G1105,月間集計シート!Q$92:Q$111)*AH$2</f>
        <v>0</v>
      </c>
      <c r="AI1105" s="88">
        <f>SUMIF(月間集計シート!$M$92:$M$111,$G1105,月間集計シート!R$92:R$111)*AI$2</f>
        <v>0</v>
      </c>
      <c r="AJ1105" s="88">
        <f>SUMIF(月間集計シート!$M$92:$M$111,$G1105,月間集計シート!S$92:S$111)*AJ$2</f>
        <v>0</v>
      </c>
      <c r="AK1105" s="88">
        <f>SUMIF(月間集計シート!$M$92:$M$111,$G1105,月間集計シート!T$92:T$111)*AK$2</f>
        <v>0</v>
      </c>
      <c r="AL1105" s="88">
        <f>SUMIF(月間集計シート!$M$113:$M$132,$G1105,月間集計シート!N$113:N$132)*AL$2</f>
        <v>0</v>
      </c>
      <c r="AM1105" s="88">
        <f>SUMIF(月間集計シート!$M$113:$M$132,$G1105,月間集計シート!O$113:O$132)*AM$2</f>
        <v>0</v>
      </c>
      <c r="AN1105" s="88">
        <f>SUMIF(月間集計シート!$M$113:$M$132,$G1105,月間集計シート!P$113:P$132)*AN$2</f>
        <v>0</v>
      </c>
      <c r="AO1105" s="88">
        <f>SUMIF(月間集計シート!$M$113:$M$132,$G1105,月間集計シート!Q$113:Q$132)*AO$2</f>
        <v>0</v>
      </c>
      <c r="AP1105" s="88">
        <f>SUMIF(月間集計シート!$M$113:$M$132,$G1105,月間集計シート!R$113:R$132)*AP$2</f>
        <v>0</v>
      </c>
      <c r="AQ1105" s="88">
        <f>SUMIF(月間集計シート!$M$113:$M$132,$G1105,月間集計シート!S$113:S$132)*AQ$2</f>
        <v>0</v>
      </c>
      <c r="AR1105" s="88">
        <f>SUMIF(月間集計シート!$M$113:$M$132,$G1105,月間集計シート!T$113:T$132)*AR$2</f>
        <v>0</v>
      </c>
      <c r="AS1105" s="88">
        <f>SUMIF(月間集計シート!$M$134:$M$153,$G1105,月間集計シート!N$134:N$153)*AS$2</f>
        <v>0</v>
      </c>
      <c r="AT1105" s="88">
        <f>SUMIF(月間集計シート!$M$134:$M$153,$G1105,月間集計シート!O$134:O$153)*AT$2</f>
        <v>0</v>
      </c>
      <c r="AU1105" s="88">
        <f>SUMIF(月間集計シート!$M$134:$M$153,$G1105,月間集計シート!P$134:P$153)*AU$2</f>
        <v>0</v>
      </c>
      <c r="AV1105" s="88">
        <f>SUMIF(月間集計シート!$M$134:$M$153,$G1105,月間集計シート!Q$134:Q$153)*AV$2</f>
        <v>0</v>
      </c>
      <c r="AW1105" s="88">
        <f>SUMIF(月間集計シート!$M$134:$M$153,$G1105,月間集計シート!R$134:R$153)*AW$2</f>
        <v>0</v>
      </c>
      <c r="AX1105" s="88">
        <f>SUMIF(月間集計シート!$M$134:$M$153,$G1105,月間集計シート!S$134:S$153)*AX$2</f>
        <v>0</v>
      </c>
      <c r="AY1105" s="88">
        <f>SUMIF(月間集計シート!$M$134:$M$153,$G1105,月間集計シート!T$134:T$153)*AY$2</f>
        <v>0</v>
      </c>
    </row>
    <row r="1106" spans="1:51" ht="14.25" thickBot="1">
      <c r="A1106">
        <v>13</v>
      </c>
      <c r="B1106" s="120">
        <f t="shared" si="576"/>
        <v>0</v>
      </c>
      <c r="C1106" s="120" t="str">
        <f t="shared" si="576"/>
        <v/>
      </c>
      <c r="D1106" s="137"/>
      <c r="E1106" s="150" t="str">
        <f>工種!A78</f>
        <v>99103</v>
      </c>
      <c r="F1106" s="119" t="str">
        <f>工種!B78</f>
        <v>間接業務：標準化・業務改善作業（開発以外）</v>
      </c>
      <c r="G1106" s="116" t="str">
        <f t="shared" si="573"/>
        <v>099103</v>
      </c>
      <c r="H1106" s="88">
        <f t="shared" si="575"/>
        <v>0</v>
      </c>
      <c r="I1106" s="132"/>
      <c r="J1106" s="88">
        <f>SUMIF(月間集計シート!$M$29:$M$48,$G1106,月間集計シート!N$29:N$48)*J$2</f>
        <v>0</v>
      </c>
      <c r="K1106" s="88">
        <f>SUMIF(月間集計シート!$M$29:$M$48,$G1106,月間集計シート!O$29:O$48)*K$2</f>
        <v>0</v>
      </c>
      <c r="L1106" s="88">
        <f>SUMIF(月間集計シート!$M$29:$M$48,$G1106,月間集計シート!P$29:P$48)*L$2</f>
        <v>0</v>
      </c>
      <c r="M1106" s="88">
        <f>SUMIF(月間集計シート!$M$29:$M$48,$G1106,月間集計シート!Q$29:Q$48)*M$2</f>
        <v>0</v>
      </c>
      <c r="N1106" s="88">
        <f>SUMIF(月間集計シート!$M$29:$M$48,$G1106,月間集計シート!R$29:R$48)*N$2</f>
        <v>0</v>
      </c>
      <c r="O1106" s="88">
        <f>SUMIF(月間集計シート!$M$29:$M$48,$G1106,月間集計シート!S$29:S$48)*O$2</f>
        <v>0</v>
      </c>
      <c r="P1106" s="88">
        <f>SUMIF(月間集計シート!$M$29:$M$48,$G1106,月間集計シート!T$29:T$48)*P$2</f>
        <v>0</v>
      </c>
      <c r="Q1106" s="88">
        <f>SUMIF(月間集計シート!$M$50:$M$69,$G1106,月間集計シート!N$50:N$69)*Q$2</f>
        <v>0</v>
      </c>
      <c r="R1106" s="88">
        <f>SUMIF(月間集計シート!$M$50:$M$69,$G1106,月間集計シート!O$50:O$69)*R$2</f>
        <v>0</v>
      </c>
      <c r="S1106" s="88">
        <f>SUMIF(月間集計シート!$M$50:$M$69,$G1106,月間集計シート!P$50:P$69)*S$2</f>
        <v>0</v>
      </c>
      <c r="T1106" s="88">
        <f>SUMIF(月間集計シート!$M$50:$M$69,$G1106,月間集計シート!Q$50:Q$69)*T$2</f>
        <v>0</v>
      </c>
      <c r="U1106" s="88">
        <f>SUMIF(月間集計シート!$M$50:$M$69,$G1106,月間集計シート!R$50:R$69)*U$2</f>
        <v>0</v>
      </c>
      <c r="V1106" s="88">
        <f>SUMIF(月間集計シート!$M$50:$M$69,$G1106,月間集計シート!S$50:S$69)*V$2</f>
        <v>0</v>
      </c>
      <c r="W1106" s="88">
        <f>SUMIF(月間集計シート!$M$50:$M$69,$G1106,月間集計シート!T$50:T$69)*W$2</f>
        <v>0</v>
      </c>
      <c r="X1106" s="88">
        <f>SUMIF(月間集計シート!$M$71:$M$90,$G1106,月間集計シート!N$71:N$90)*X$2</f>
        <v>0</v>
      </c>
      <c r="Y1106" s="88">
        <f>SUMIF(月間集計シート!$M$71:$M$90,$G1106,月間集計シート!O$71:O$90)*Y$2</f>
        <v>0</v>
      </c>
      <c r="Z1106" s="88">
        <f>SUMIF(月間集計シート!$M$71:$M$90,$G1106,月間集計シート!P$71:P$90)*Z$2</f>
        <v>0</v>
      </c>
      <c r="AA1106" s="88">
        <f>SUMIF(月間集計シート!$M$71:$M$90,$G1106,月間集計シート!Q$71:Q$90)*AA$2</f>
        <v>0</v>
      </c>
      <c r="AB1106" s="88">
        <f>SUMIF(月間集計シート!$M$71:$M$90,$G1106,月間集計シート!R$71:R$90)*AB$2</f>
        <v>0</v>
      </c>
      <c r="AC1106" s="88">
        <f>SUMIF(月間集計シート!$M$71:$M$90,$G1106,月間集計シート!S$71:S$90)*AC$2</f>
        <v>0</v>
      </c>
      <c r="AD1106" s="88">
        <f>SUMIF(月間集計シート!$M$71:$M$90,$G1106,月間集計シート!T$71:T$90)*AD$2</f>
        <v>0</v>
      </c>
      <c r="AE1106" s="88">
        <f>SUMIF(月間集計シート!$M$92:$M$111,$G1106,月間集計シート!N$92:N$111)*AE$2</f>
        <v>0</v>
      </c>
      <c r="AF1106" s="88">
        <f>SUMIF(月間集計シート!$M$92:$M$111,$G1106,月間集計シート!O$92:O$111)*AF$2</f>
        <v>0</v>
      </c>
      <c r="AG1106" s="88">
        <f>SUMIF(月間集計シート!$M$92:$M$111,$G1106,月間集計シート!P$92:P$111)*AG$2</f>
        <v>0</v>
      </c>
      <c r="AH1106" s="88">
        <f>SUMIF(月間集計シート!$M$92:$M$111,$G1106,月間集計シート!Q$92:Q$111)*AH$2</f>
        <v>0</v>
      </c>
      <c r="AI1106" s="88">
        <f>SUMIF(月間集計シート!$M$92:$M$111,$G1106,月間集計シート!R$92:R$111)*AI$2</f>
        <v>0</v>
      </c>
      <c r="AJ1106" s="88">
        <f>SUMIF(月間集計シート!$M$92:$M$111,$G1106,月間集計シート!S$92:S$111)*AJ$2</f>
        <v>0</v>
      </c>
      <c r="AK1106" s="88">
        <f>SUMIF(月間集計シート!$M$92:$M$111,$G1106,月間集計シート!T$92:T$111)*AK$2</f>
        <v>0</v>
      </c>
      <c r="AL1106" s="88">
        <f>SUMIF(月間集計シート!$M$113:$M$132,$G1106,月間集計シート!N$113:N$132)*AL$2</f>
        <v>0</v>
      </c>
      <c r="AM1106" s="88">
        <f>SUMIF(月間集計シート!$M$113:$M$132,$G1106,月間集計シート!O$113:O$132)*AM$2</f>
        <v>0</v>
      </c>
      <c r="AN1106" s="88">
        <f>SUMIF(月間集計シート!$M$113:$M$132,$G1106,月間集計シート!P$113:P$132)*AN$2</f>
        <v>0</v>
      </c>
      <c r="AO1106" s="88">
        <f>SUMIF(月間集計シート!$M$113:$M$132,$G1106,月間集計シート!Q$113:Q$132)*AO$2</f>
        <v>0</v>
      </c>
      <c r="AP1106" s="88">
        <f>SUMIF(月間集計シート!$M$113:$M$132,$G1106,月間集計シート!R$113:R$132)*AP$2</f>
        <v>0</v>
      </c>
      <c r="AQ1106" s="88">
        <f>SUMIF(月間集計シート!$M$113:$M$132,$G1106,月間集計シート!S$113:S$132)*AQ$2</f>
        <v>0</v>
      </c>
      <c r="AR1106" s="88">
        <f>SUMIF(月間集計シート!$M$113:$M$132,$G1106,月間集計シート!T$113:T$132)*AR$2</f>
        <v>0</v>
      </c>
      <c r="AS1106" s="88">
        <f>SUMIF(月間集計シート!$M$134:$M$153,$G1106,月間集計シート!N$134:N$153)*AS$2</f>
        <v>0</v>
      </c>
      <c r="AT1106" s="88">
        <f>SUMIF(月間集計シート!$M$134:$M$153,$G1106,月間集計シート!O$134:O$153)*AT$2</f>
        <v>0</v>
      </c>
      <c r="AU1106" s="88">
        <f>SUMIF(月間集計シート!$M$134:$M$153,$G1106,月間集計シート!P$134:P$153)*AU$2</f>
        <v>0</v>
      </c>
      <c r="AV1106" s="88">
        <f>SUMIF(月間集計シート!$M$134:$M$153,$G1106,月間集計シート!Q$134:Q$153)*AV$2</f>
        <v>0</v>
      </c>
      <c r="AW1106" s="88">
        <f>SUMIF(月間集計シート!$M$134:$M$153,$G1106,月間集計シート!R$134:R$153)*AW$2</f>
        <v>0</v>
      </c>
      <c r="AX1106" s="88">
        <f>SUMIF(月間集計シート!$M$134:$M$153,$G1106,月間集計シート!S$134:S$153)*AX$2</f>
        <v>0</v>
      </c>
      <c r="AY1106" s="88">
        <f>SUMIF(月間集計シート!$M$134:$M$153,$G1106,月間集計シート!T$134:T$153)*AY$2</f>
        <v>0</v>
      </c>
    </row>
    <row r="1107" spans="1:51" ht="14.25" thickBot="1">
      <c r="A1107">
        <v>13</v>
      </c>
      <c r="B1107" s="120">
        <f t="shared" si="576"/>
        <v>0</v>
      </c>
      <c r="C1107" s="120" t="str">
        <f t="shared" si="576"/>
        <v/>
      </c>
      <c r="D1107" s="137"/>
      <c r="E1107" s="150" t="str">
        <f>工種!A79</f>
        <v>99104</v>
      </c>
      <c r="F1107" s="119" t="str">
        <f>工種!B79</f>
        <v>間接業務：業務の引継ぎ（開発以外）</v>
      </c>
      <c r="G1107" s="116" t="str">
        <f t="shared" si="573"/>
        <v>099104</v>
      </c>
      <c r="H1107" s="88">
        <f t="shared" si="575"/>
        <v>0</v>
      </c>
      <c r="I1107" s="132"/>
      <c r="J1107" s="88">
        <f>SUMIF(月間集計シート!$M$29:$M$48,$G1107,月間集計シート!N$29:N$48)*J$2</f>
        <v>0</v>
      </c>
      <c r="K1107" s="88">
        <f>SUMIF(月間集計シート!$M$29:$M$48,$G1107,月間集計シート!O$29:O$48)*K$2</f>
        <v>0</v>
      </c>
      <c r="L1107" s="88">
        <f>SUMIF(月間集計シート!$M$29:$M$48,$G1107,月間集計シート!P$29:P$48)*L$2</f>
        <v>0</v>
      </c>
      <c r="M1107" s="88">
        <f>SUMIF(月間集計シート!$M$29:$M$48,$G1107,月間集計シート!Q$29:Q$48)*M$2</f>
        <v>0</v>
      </c>
      <c r="N1107" s="88">
        <f>SUMIF(月間集計シート!$M$29:$M$48,$G1107,月間集計シート!R$29:R$48)*N$2</f>
        <v>0</v>
      </c>
      <c r="O1107" s="88">
        <f>SUMIF(月間集計シート!$M$29:$M$48,$G1107,月間集計シート!S$29:S$48)*O$2</f>
        <v>0</v>
      </c>
      <c r="P1107" s="88">
        <f>SUMIF(月間集計シート!$M$29:$M$48,$G1107,月間集計シート!T$29:T$48)*P$2</f>
        <v>0</v>
      </c>
      <c r="Q1107" s="88">
        <f>SUMIF(月間集計シート!$M$50:$M$69,$G1107,月間集計シート!N$50:N$69)*Q$2</f>
        <v>0</v>
      </c>
      <c r="R1107" s="88">
        <f>SUMIF(月間集計シート!$M$50:$M$69,$G1107,月間集計シート!O$50:O$69)*R$2</f>
        <v>0</v>
      </c>
      <c r="S1107" s="88">
        <f>SUMIF(月間集計シート!$M$50:$M$69,$G1107,月間集計シート!P$50:P$69)*S$2</f>
        <v>0</v>
      </c>
      <c r="T1107" s="88">
        <f>SUMIF(月間集計シート!$M$50:$M$69,$G1107,月間集計シート!Q$50:Q$69)*T$2</f>
        <v>0</v>
      </c>
      <c r="U1107" s="88">
        <f>SUMIF(月間集計シート!$M$50:$M$69,$G1107,月間集計シート!R$50:R$69)*U$2</f>
        <v>0</v>
      </c>
      <c r="V1107" s="88">
        <f>SUMIF(月間集計シート!$M$50:$M$69,$G1107,月間集計シート!S$50:S$69)*V$2</f>
        <v>0</v>
      </c>
      <c r="W1107" s="88">
        <f>SUMIF(月間集計シート!$M$50:$M$69,$G1107,月間集計シート!T$50:T$69)*W$2</f>
        <v>0</v>
      </c>
      <c r="X1107" s="88">
        <f>SUMIF(月間集計シート!$M$71:$M$90,$G1107,月間集計シート!N$71:N$90)*X$2</f>
        <v>0</v>
      </c>
      <c r="Y1107" s="88">
        <f>SUMIF(月間集計シート!$M$71:$M$90,$G1107,月間集計シート!O$71:O$90)*Y$2</f>
        <v>0</v>
      </c>
      <c r="Z1107" s="88">
        <f>SUMIF(月間集計シート!$M$71:$M$90,$G1107,月間集計シート!P$71:P$90)*Z$2</f>
        <v>0</v>
      </c>
      <c r="AA1107" s="88">
        <f>SUMIF(月間集計シート!$M$71:$M$90,$G1107,月間集計シート!Q$71:Q$90)*AA$2</f>
        <v>0</v>
      </c>
      <c r="AB1107" s="88">
        <f>SUMIF(月間集計シート!$M$71:$M$90,$G1107,月間集計シート!R$71:R$90)*AB$2</f>
        <v>0</v>
      </c>
      <c r="AC1107" s="88">
        <f>SUMIF(月間集計シート!$M$71:$M$90,$G1107,月間集計シート!S$71:S$90)*AC$2</f>
        <v>0</v>
      </c>
      <c r="AD1107" s="88">
        <f>SUMIF(月間集計シート!$M$71:$M$90,$G1107,月間集計シート!T$71:T$90)*AD$2</f>
        <v>0</v>
      </c>
      <c r="AE1107" s="88">
        <f>SUMIF(月間集計シート!$M$92:$M$111,$G1107,月間集計シート!N$92:N$111)*AE$2</f>
        <v>0</v>
      </c>
      <c r="AF1107" s="88">
        <f>SUMIF(月間集計シート!$M$92:$M$111,$G1107,月間集計シート!O$92:O$111)*AF$2</f>
        <v>0</v>
      </c>
      <c r="AG1107" s="88">
        <f>SUMIF(月間集計シート!$M$92:$M$111,$G1107,月間集計シート!P$92:P$111)*AG$2</f>
        <v>0</v>
      </c>
      <c r="AH1107" s="88">
        <f>SUMIF(月間集計シート!$M$92:$M$111,$G1107,月間集計シート!Q$92:Q$111)*AH$2</f>
        <v>0</v>
      </c>
      <c r="AI1107" s="88">
        <f>SUMIF(月間集計シート!$M$92:$M$111,$G1107,月間集計シート!R$92:R$111)*AI$2</f>
        <v>0</v>
      </c>
      <c r="AJ1107" s="88">
        <f>SUMIF(月間集計シート!$M$92:$M$111,$G1107,月間集計シート!S$92:S$111)*AJ$2</f>
        <v>0</v>
      </c>
      <c r="AK1107" s="88">
        <f>SUMIF(月間集計シート!$M$92:$M$111,$G1107,月間集計シート!T$92:T$111)*AK$2</f>
        <v>0</v>
      </c>
      <c r="AL1107" s="88">
        <f>SUMIF(月間集計シート!$M$113:$M$132,$G1107,月間集計シート!N$113:N$132)*AL$2</f>
        <v>0</v>
      </c>
      <c r="AM1107" s="88">
        <f>SUMIF(月間集計シート!$M$113:$M$132,$G1107,月間集計シート!O$113:O$132)*AM$2</f>
        <v>0</v>
      </c>
      <c r="AN1107" s="88">
        <f>SUMIF(月間集計シート!$M$113:$M$132,$G1107,月間集計シート!P$113:P$132)*AN$2</f>
        <v>0</v>
      </c>
      <c r="AO1107" s="88">
        <f>SUMIF(月間集計シート!$M$113:$M$132,$G1107,月間集計シート!Q$113:Q$132)*AO$2</f>
        <v>0</v>
      </c>
      <c r="AP1107" s="88">
        <f>SUMIF(月間集計シート!$M$113:$M$132,$G1107,月間集計シート!R$113:R$132)*AP$2</f>
        <v>0</v>
      </c>
      <c r="AQ1107" s="88">
        <f>SUMIF(月間集計シート!$M$113:$M$132,$G1107,月間集計シート!S$113:S$132)*AQ$2</f>
        <v>0</v>
      </c>
      <c r="AR1107" s="88">
        <f>SUMIF(月間集計シート!$M$113:$M$132,$G1107,月間集計シート!T$113:T$132)*AR$2</f>
        <v>0</v>
      </c>
      <c r="AS1107" s="88">
        <f>SUMIF(月間集計シート!$M$134:$M$153,$G1107,月間集計シート!N$134:N$153)*AS$2</f>
        <v>0</v>
      </c>
      <c r="AT1107" s="88">
        <f>SUMIF(月間集計シート!$M$134:$M$153,$G1107,月間集計シート!O$134:O$153)*AT$2</f>
        <v>0</v>
      </c>
      <c r="AU1107" s="88">
        <f>SUMIF(月間集計シート!$M$134:$M$153,$G1107,月間集計シート!P$134:P$153)*AU$2</f>
        <v>0</v>
      </c>
      <c r="AV1107" s="88">
        <f>SUMIF(月間集計シート!$M$134:$M$153,$G1107,月間集計シート!Q$134:Q$153)*AV$2</f>
        <v>0</v>
      </c>
      <c r="AW1107" s="88">
        <f>SUMIF(月間集計シート!$M$134:$M$153,$G1107,月間集計シート!R$134:R$153)*AW$2</f>
        <v>0</v>
      </c>
      <c r="AX1107" s="88">
        <f>SUMIF(月間集計シート!$M$134:$M$153,$G1107,月間集計シート!S$134:S$153)*AX$2</f>
        <v>0</v>
      </c>
      <c r="AY1107" s="88">
        <f>SUMIF(月間集計シート!$M$134:$M$153,$G1107,月間集計シート!T$134:T$153)*AY$2</f>
        <v>0</v>
      </c>
    </row>
    <row r="1108" spans="1:51" ht="14.25" thickBot="1">
      <c r="A1108">
        <v>13</v>
      </c>
      <c r="B1108" s="120">
        <f t="shared" si="576"/>
        <v>0</v>
      </c>
      <c r="C1108" s="120" t="str">
        <f t="shared" si="576"/>
        <v/>
      </c>
      <c r="D1108" s="137"/>
      <c r="E1108" s="150" t="str">
        <f>工種!A80</f>
        <v>99106</v>
      </c>
      <c r="F1108" s="119" t="str">
        <f>工種!B80</f>
        <v>間接業務：研修・学習</v>
      </c>
      <c r="G1108" s="116" t="str">
        <f t="shared" si="573"/>
        <v>099106</v>
      </c>
      <c r="H1108" s="88">
        <f t="shared" si="575"/>
        <v>0</v>
      </c>
      <c r="I1108" s="132"/>
      <c r="J1108" s="88">
        <f>SUMIF(月間集計シート!$M$29:$M$48,$G1108,月間集計シート!N$29:N$48)*J$2</f>
        <v>0</v>
      </c>
      <c r="K1108" s="88">
        <f>SUMIF(月間集計シート!$M$29:$M$48,$G1108,月間集計シート!O$29:O$48)*K$2</f>
        <v>0</v>
      </c>
      <c r="L1108" s="88">
        <f>SUMIF(月間集計シート!$M$29:$M$48,$G1108,月間集計シート!P$29:P$48)*L$2</f>
        <v>0</v>
      </c>
      <c r="M1108" s="88">
        <f>SUMIF(月間集計シート!$M$29:$M$48,$G1108,月間集計シート!Q$29:Q$48)*M$2</f>
        <v>0</v>
      </c>
      <c r="N1108" s="88">
        <f>SUMIF(月間集計シート!$M$29:$M$48,$G1108,月間集計シート!R$29:R$48)*N$2</f>
        <v>0</v>
      </c>
      <c r="O1108" s="88">
        <f>SUMIF(月間集計シート!$M$29:$M$48,$G1108,月間集計シート!S$29:S$48)*O$2</f>
        <v>0</v>
      </c>
      <c r="P1108" s="88">
        <f>SUMIF(月間集計シート!$M$29:$M$48,$G1108,月間集計シート!T$29:T$48)*P$2</f>
        <v>0</v>
      </c>
      <c r="Q1108" s="88">
        <f>SUMIF(月間集計シート!$M$50:$M$69,$G1108,月間集計シート!N$50:N$69)*Q$2</f>
        <v>0</v>
      </c>
      <c r="R1108" s="88">
        <f>SUMIF(月間集計シート!$M$50:$M$69,$G1108,月間集計シート!O$50:O$69)*R$2</f>
        <v>0</v>
      </c>
      <c r="S1108" s="88">
        <f>SUMIF(月間集計シート!$M$50:$M$69,$G1108,月間集計シート!P$50:P$69)*S$2</f>
        <v>0</v>
      </c>
      <c r="T1108" s="88">
        <f>SUMIF(月間集計シート!$M$50:$M$69,$G1108,月間集計シート!Q$50:Q$69)*T$2</f>
        <v>0</v>
      </c>
      <c r="U1108" s="88">
        <f>SUMIF(月間集計シート!$M$50:$M$69,$G1108,月間集計シート!R$50:R$69)*U$2</f>
        <v>0</v>
      </c>
      <c r="V1108" s="88">
        <f>SUMIF(月間集計シート!$M$50:$M$69,$G1108,月間集計シート!S$50:S$69)*V$2</f>
        <v>0</v>
      </c>
      <c r="W1108" s="88">
        <f>SUMIF(月間集計シート!$M$50:$M$69,$G1108,月間集計シート!T$50:T$69)*W$2</f>
        <v>0</v>
      </c>
      <c r="X1108" s="88">
        <f>SUMIF(月間集計シート!$M$71:$M$90,$G1108,月間集計シート!N$71:N$90)*X$2</f>
        <v>0</v>
      </c>
      <c r="Y1108" s="88">
        <f>SUMIF(月間集計シート!$M$71:$M$90,$G1108,月間集計シート!O$71:O$90)*Y$2</f>
        <v>0</v>
      </c>
      <c r="Z1108" s="88">
        <f>SUMIF(月間集計シート!$M$71:$M$90,$G1108,月間集計シート!P$71:P$90)*Z$2</f>
        <v>0</v>
      </c>
      <c r="AA1108" s="88">
        <f>SUMIF(月間集計シート!$M$71:$M$90,$G1108,月間集計シート!Q$71:Q$90)*AA$2</f>
        <v>0</v>
      </c>
      <c r="AB1108" s="88">
        <f>SUMIF(月間集計シート!$M$71:$M$90,$G1108,月間集計シート!R$71:R$90)*AB$2</f>
        <v>0</v>
      </c>
      <c r="AC1108" s="88">
        <f>SUMIF(月間集計シート!$M$71:$M$90,$G1108,月間集計シート!S$71:S$90)*AC$2</f>
        <v>0</v>
      </c>
      <c r="AD1108" s="88">
        <f>SUMIF(月間集計シート!$M$71:$M$90,$G1108,月間集計シート!T$71:T$90)*AD$2</f>
        <v>0</v>
      </c>
      <c r="AE1108" s="88">
        <f>SUMIF(月間集計シート!$M$92:$M$111,$G1108,月間集計シート!N$92:N$111)*AE$2</f>
        <v>0</v>
      </c>
      <c r="AF1108" s="88">
        <f>SUMIF(月間集計シート!$M$92:$M$111,$G1108,月間集計シート!O$92:O$111)*AF$2</f>
        <v>0</v>
      </c>
      <c r="AG1108" s="88">
        <f>SUMIF(月間集計シート!$M$92:$M$111,$G1108,月間集計シート!P$92:P$111)*AG$2</f>
        <v>0</v>
      </c>
      <c r="AH1108" s="88">
        <f>SUMIF(月間集計シート!$M$92:$M$111,$G1108,月間集計シート!Q$92:Q$111)*AH$2</f>
        <v>0</v>
      </c>
      <c r="AI1108" s="88">
        <f>SUMIF(月間集計シート!$M$92:$M$111,$G1108,月間集計シート!R$92:R$111)*AI$2</f>
        <v>0</v>
      </c>
      <c r="AJ1108" s="88">
        <f>SUMIF(月間集計シート!$M$92:$M$111,$G1108,月間集計シート!S$92:S$111)*AJ$2</f>
        <v>0</v>
      </c>
      <c r="AK1108" s="88">
        <f>SUMIF(月間集計シート!$M$92:$M$111,$G1108,月間集計シート!T$92:T$111)*AK$2</f>
        <v>0</v>
      </c>
      <c r="AL1108" s="88">
        <f>SUMIF(月間集計シート!$M$113:$M$132,$G1108,月間集計シート!N$113:N$132)*AL$2</f>
        <v>0</v>
      </c>
      <c r="AM1108" s="88">
        <f>SUMIF(月間集計シート!$M$113:$M$132,$G1108,月間集計シート!O$113:O$132)*AM$2</f>
        <v>0</v>
      </c>
      <c r="AN1108" s="88">
        <f>SUMIF(月間集計シート!$M$113:$M$132,$G1108,月間集計シート!P$113:P$132)*AN$2</f>
        <v>0</v>
      </c>
      <c r="AO1108" s="88">
        <f>SUMIF(月間集計シート!$M$113:$M$132,$G1108,月間集計シート!Q$113:Q$132)*AO$2</f>
        <v>0</v>
      </c>
      <c r="AP1108" s="88">
        <f>SUMIF(月間集計シート!$M$113:$M$132,$G1108,月間集計シート!R$113:R$132)*AP$2</f>
        <v>0</v>
      </c>
      <c r="AQ1108" s="88">
        <f>SUMIF(月間集計シート!$M$113:$M$132,$G1108,月間集計シート!S$113:S$132)*AQ$2</f>
        <v>0</v>
      </c>
      <c r="AR1108" s="88">
        <f>SUMIF(月間集計シート!$M$113:$M$132,$G1108,月間集計シート!T$113:T$132)*AR$2</f>
        <v>0</v>
      </c>
      <c r="AS1108" s="88">
        <f>SUMIF(月間集計シート!$M$134:$M$153,$G1108,月間集計シート!N$134:N$153)*AS$2</f>
        <v>0</v>
      </c>
      <c r="AT1108" s="88">
        <f>SUMIF(月間集計シート!$M$134:$M$153,$G1108,月間集計シート!O$134:O$153)*AT$2</f>
        <v>0</v>
      </c>
      <c r="AU1108" s="88">
        <f>SUMIF(月間集計シート!$M$134:$M$153,$G1108,月間集計シート!P$134:P$153)*AU$2</f>
        <v>0</v>
      </c>
      <c r="AV1108" s="88">
        <f>SUMIF(月間集計シート!$M$134:$M$153,$G1108,月間集計シート!Q$134:Q$153)*AV$2</f>
        <v>0</v>
      </c>
      <c r="AW1108" s="88">
        <f>SUMIF(月間集計シート!$M$134:$M$153,$G1108,月間集計シート!R$134:R$153)*AW$2</f>
        <v>0</v>
      </c>
      <c r="AX1108" s="88">
        <f>SUMIF(月間集計シート!$M$134:$M$153,$G1108,月間集計シート!S$134:S$153)*AX$2</f>
        <v>0</v>
      </c>
      <c r="AY1108" s="88">
        <f>SUMIF(月間集計シート!$M$134:$M$153,$G1108,月間集計シート!T$134:T$153)*AY$2</f>
        <v>0</v>
      </c>
    </row>
    <row r="1109" spans="1:51" ht="14.25" thickBot="1">
      <c r="A1109">
        <v>13</v>
      </c>
      <c r="B1109" s="120">
        <f t="shared" si="576"/>
        <v>0</v>
      </c>
      <c r="C1109" s="120" t="str">
        <f t="shared" si="576"/>
        <v/>
      </c>
      <c r="D1109" s="137"/>
      <c r="E1109" s="150" t="str">
        <f>工種!A81</f>
        <v>99107</v>
      </c>
      <c r="F1109" s="119" t="str">
        <f>工種!B81</f>
        <v>間接業務：事務作業（開発以外）</v>
      </c>
      <c r="G1109" s="116" t="str">
        <f t="shared" ref="G1109:G1110" si="577">B1109&amp;E1109</f>
        <v>099107</v>
      </c>
      <c r="H1109" s="88">
        <f t="shared" ref="H1109:H1110" si="578">SUM(J1109:AY1109)</f>
        <v>0</v>
      </c>
      <c r="I1109" s="132"/>
      <c r="J1109" s="88">
        <f>SUMIF(月間集計シート!$M$29:$M$48,$G1109,月間集計シート!N$29:N$48)*J$2</f>
        <v>0</v>
      </c>
      <c r="K1109" s="88">
        <f>SUMIF(月間集計シート!$M$29:$M$48,$G1109,月間集計シート!O$29:O$48)*K$2</f>
        <v>0</v>
      </c>
      <c r="L1109" s="88">
        <f>SUMIF(月間集計シート!$M$29:$M$48,$G1109,月間集計シート!P$29:P$48)*L$2</f>
        <v>0</v>
      </c>
      <c r="M1109" s="88">
        <f>SUMIF(月間集計シート!$M$29:$M$48,$G1109,月間集計シート!Q$29:Q$48)*M$2</f>
        <v>0</v>
      </c>
      <c r="N1109" s="88">
        <f>SUMIF(月間集計シート!$M$29:$M$48,$G1109,月間集計シート!R$29:R$48)*N$2</f>
        <v>0</v>
      </c>
      <c r="O1109" s="88">
        <f>SUMIF(月間集計シート!$M$29:$M$48,$G1109,月間集計シート!S$29:S$48)*O$2</f>
        <v>0</v>
      </c>
      <c r="P1109" s="88">
        <f>SUMIF(月間集計シート!$M$29:$M$48,$G1109,月間集計シート!T$29:T$48)*P$2</f>
        <v>0</v>
      </c>
      <c r="Q1109" s="88">
        <f>SUMIF(月間集計シート!$M$50:$M$69,$G1109,月間集計シート!N$50:N$69)*Q$2</f>
        <v>0</v>
      </c>
      <c r="R1109" s="88">
        <f>SUMIF(月間集計シート!$M$50:$M$69,$G1109,月間集計シート!O$50:O$69)*R$2</f>
        <v>0</v>
      </c>
      <c r="S1109" s="88">
        <f>SUMIF(月間集計シート!$M$50:$M$69,$G1109,月間集計シート!P$50:P$69)*S$2</f>
        <v>0</v>
      </c>
      <c r="T1109" s="88">
        <f>SUMIF(月間集計シート!$M$50:$M$69,$G1109,月間集計シート!Q$50:Q$69)*T$2</f>
        <v>0</v>
      </c>
      <c r="U1109" s="88">
        <f>SUMIF(月間集計シート!$M$50:$M$69,$G1109,月間集計シート!R$50:R$69)*U$2</f>
        <v>0</v>
      </c>
      <c r="V1109" s="88">
        <f>SUMIF(月間集計シート!$M$50:$M$69,$G1109,月間集計シート!S$50:S$69)*V$2</f>
        <v>0</v>
      </c>
      <c r="W1109" s="88">
        <f>SUMIF(月間集計シート!$M$50:$M$69,$G1109,月間集計シート!T$50:T$69)*W$2</f>
        <v>0</v>
      </c>
      <c r="X1109" s="88">
        <f>SUMIF(月間集計シート!$M$71:$M$90,$G1109,月間集計シート!N$71:N$90)*X$2</f>
        <v>0</v>
      </c>
      <c r="Y1109" s="88">
        <f>SUMIF(月間集計シート!$M$71:$M$90,$G1109,月間集計シート!O$71:O$90)*Y$2</f>
        <v>0</v>
      </c>
      <c r="Z1109" s="88">
        <f>SUMIF(月間集計シート!$M$71:$M$90,$G1109,月間集計シート!P$71:P$90)*Z$2</f>
        <v>0</v>
      </c>
      <c r="AA1109" s="88">
        <f>SUMIF(月間集計シート!$M$71:$M$90,$G1109,月間集計シート!Q$71:Q$90)*AA$2</f>
        <v>0</v>
      </c>
      <c r="AB1109" s="88">
        <f>SUMIF(月間集計シート!$M$71:$M$90,$G1109,月間集計シート!R$71:R$90)*AB$2</f>
        <v>0</v>
      </c>
      <c r="AC1109" s="88">
        <f>SUMIF(月間集計シート!$M$71:$M$90,$G1109,月間集計シート!S$71:S$90)*AC$2</f>
        <v>0</v>
      </c>
      <c r="AD1109" s="88">
        <f>SUMIF(月間集計シート!$M$71:$M$90,$G1109,月間集計シート!T$71:T$90)*AD$2</f>
        <v>0</v>
      </c>
      <c r="AE1109" s="88">
        <f>SUMIF(月間集計シート!$M$92:$M$111,$G1109,月間集計シート!N$92:N$111)*AE$2</f>
        <v>0</v>
      </c>
      <c r="AF1109" s="88">
        <f>SUMIF(月間集計シート!$M$92:$M$111,$G1109,月間集計シート!O$92:O$111)*AF$2</f>
        <v>0</v>
      </c>
      <c r="AG1109" s="88">
        <f>SUMIF(月間集計シート!$M$92:$M$111,$G1109,月間集計シート!P$92:P$111)*AG$2</f>
        <v>0</v>
      </c>
      <c r="AH1109" s="88">
        <f>SUMIF(月間集計シート!$M$92:$M$111,$G1109,月間集計シート!Q$92:Q$111)*AH$2</f>
        <v>0</v>
      </c>
      <c r="AI1109" s="88">
        <f>SUMIF(月間集計シート!$M$92:$M$111,$G1109,月間集計シート!R$92:R$111)*AI$2</f>
        <v>0</v>
      </c>
      <c r="AJ1109" s="88">
        <f>SUMIF(月間集計シート!$M$92:$M$111,$G1109,月間集計シート!S$92:S$111)*AJ$2</f>
        <v>0</v>
      </c>
      <c r="AK1109" s="88">
        <f>SUMIF(月間集計シート!$M$92:$M$111,$G1109,月間集計シート!T$92:T$111)*AK$2</f>
        <v>0</v>
      </c>
      <c r="AL1109" s="88">
        <f>SUMIF(月間集計シート!$M$113:$M$132,$G1109,月間集計シート!N$113:N$132)*AL$2</f>
        <v>0</v>
      </c>
      <c r="AM1109" s="88">
        <f>SUMIF(月間集計シート!$M$113:$M$132,$G1109,月間集計シート!O$113:O$132)*AM$2</f>
        <v>0</v>
      </c>
      <c r="AN1109" s="88">
        <f>SUMIF(月間集計シート!$M$113:$M$132,$G1109,月間集計シート!P$113:P$132)*AN$2</f>
        <v>0</v>
      </c>
      <c r="AO1109" s="88">
        <f>SUMIF(月間集計シート!$M$113:$M$132,$G1109,月間集計シート!Q$113:Q$132)*AO$2</f>
        <v>0</v>
      </c>
      <c r="AP1109" s="88">
        <f>SUMIF(月間集計シート!$M$113:$M$132,$G1109,月間集計シート!R$113:R$132)*AP$2</f>
        <v>0</v>
      </c>
      <c r="AQ1109" s="88">
        <f>SUMIF(月間集計シート!$M$113:$M$132,$G1109,月間集計シート!S$113:S$132)*AQ$2</f>
        <v>0</v>
      </c>
      <c r="AR1109" s="88">
        <f>SUMIF(月間集計シート!$M$113:$M$132,$G1109,月間集計シート!T$113:T$132)*AR$2</f>
        <v>0</v>
      </c>
      <c r="AS1109" s="88">
        <f>SUMIF(月間集計シート!$M$134:$M$153,$G1109,月間集計シート!N$134:N$153)*AS$2</f>
        <v>0</v>
      </c>
      <c r="AT1109" s="88">
        <f>SUMIF(月間集計シート!$M$134:$M$153,$G1109,月間集計シート!O$134:O$153)*AT$2</f>
        <v>0</v>
      </c>
      <c r="AU1109" s="88">
        <f>SUMIF(月間集計シート!$M$134:$M$153,$G1109,月間集計シート!P$134:P$153)*AU$2</f>
        <v>0</v>
      </c>
      <c r="AV1109" s="88">
        <f>SUMIF(月間集計シート!$M$134:$M$153,$G1109,月間集計シート!Q$134:Q$153)*AV$2</f>
        <v>0</v>
      </c>
      <c r="AW1109" s="88">
        <f>SUMIF(月間集計シート!$M$134:$M$153,$G1109,月間集計シート!R$134:R$153)*AW$2</f>
        <v>0</v>
      </c>
      <c r="AX1109" s="88">
        <f>SUMIF(月間集計シート!$M$134:$M$153,$G1109,月間集計シート!S$134:S$153)*AX$2</f>
        <v>0</v>
      </c>
      <c r="AY1109" s="88">
        <f>SUMIF(月間集計シート!$M$134:$M$153,$G1109,月間集計シート!T$134:T$153)*AY$2</f>
        <v>0</v>
      </c>
    </row>
    <row r="1110" spans="1:51" ht="14.25" thickBot="1">
      <c r="A1110">
        <v>13</v>
      </c>
      <c r="B1110" s="120">
        <f t="shared" si="576"/>
        <v>0</v>
      </c>
      <c r="C1110" s="120" t="str">
        <f t="shared" si="576"/>
        <v/>
      </c>
      <c r="D1110" s="137"/>
      <c r="E1110" s="150" t="str">
        <f>工種!A82</f>
        <v>99110</v>
      </c>
      <c r="F1110" s="119" t="str">
        <f>工種!B82</f>
        <v>間接業務：打合せ</v>
      </c>
      <c r="G1110" s="116" t="str">
        <f t="shared" si="577"/>
        <v>099110</v>
      </c>
      <c r="H1110" s="88">
        <f t="shared" si="578"/>
        <v>0</v>
      </c>
      <c r="I1110" s="132"/>
      <c r="J1110" s="88">
        <f>SUMIF(月間集計シート!$M$29:$M$48,$G1110,月間集計シート!N$29:N$48)*J$2</f>
        <v>0</v>
      </c>
      <c r="K1110" s="88">
        <f>SUMIF(月間集計シート!$M$29:$M$48,$G1110,月間集計シート!O$29:O$48)*K$2</f>
        <v>0</v>
      </c>
      <c r="L1110" s="88">
        <f>SUMIF(月間集計シート!$M$29:$M$48,$G1110,月間集計シート!P$29:P$48)*L$2</f>
        <v>0</v>
      </c>
      <c r="M1110" s="88">
        <f>SUMIF(月間集計シート!$M$29:$M$48,$G1110,月間集計シート!Q$29:Q$48)*M$2</f>
        <v>0</v>
      </c>
      <c r="N1110" s="88">
        <f>SUMIF(月間集計シート!$M$29:$M$48,$G1110,月間集計シート!R$29:R$48)*N$2</f>
        <v>0</v>
      </c>
      <c r="O1110" s="88">
        <f>SUMIF(月間集計シート!$M$29:$M$48,$G1110,月間集計シート!S$29:S$48)*O$2</f>
        <v>0</v>
      </c>
      <c r="P1110" s="88">
        <f>SUMIF(月間集計シート!$M$29:$M$48,$G1110,月間集計シート!T$29:T$48)*P$2</f>
        <v>0</v>
      </c>
      <c r="Q1110" s="88">
        <f>SUMIF(月間集計シート!$M$50:$M$69,$G1110,月間集計シート!N$50:N$69)*Q$2</f>
        <v>0</v>
      </c>
      <c r="R1110" s="88">
        <f>SUMIF(月間集計シート!$M$50:$M$69,$G1110,月間集計シート!O$50:O$69)*R$2</f>
        <v>0</v>
      </c>
      <c r="S1110" s="88">
        <f>SUMIF(月間集計シート!$M$50:$M$69,$G1110,月間集計シート!P$50:P$69)*S$2</f>
        <v>0</v>
      </c>
      <c r="T1110" s="88">
        <f>SUMIF(月間集計シート!$M$50:$M$69,$G1110,月間集計シート!Q$50:Q$69)*T$2</f>
        <v>0</v>
      </c>
      <c r="U1110" s="88">
        <f>SUMIF(月間集計シート!$M$50:$M$69,$G1110,月間集計シート!R$50:R$69)*U$2</f>
        <v>0</v>
      </c>
      <c r="V1110" s="88">
        <f>SUMIF(月間集計シート!$M$50:$M$69,$G1110,月間集計シート!S$50:S$69)*V$2</f>
        <v>0</v>
      </c>
      <c r="W1110" s="88">
        <f>SUMIF(月間集計シート!$M$50:$M$69,$G1110,月間集計シート!T$50:T$69)*W$2</f>
        <v>0</v>
      </c>
      <c r="X1110" s="88">
        <f>SUMIF(月間集計シート!$M$71:$M$90,$G1110,月間集計シート!N$71:N$90)*X$2</f>
        <v>0</v>
      </c>
      <c r="Y1110" s="88">
        <f>SUMIF(月間集計シート!$M$71:$M$90,$G1110,月間集計シート!O$71:O$90)*Y$2</f>
        <v>0</v>
      </c>
      <c r="Z1110" s="88">
        <f>SUMIF(月間集計シート!$M$71:$M$90,$G1110,月間集計シート!P$71:P$90)*Z$2</f>
        <v>0</v>
      </c>
      <c r="AA1110" s="88">
        <f>SUMIF(月間集計シート!$M$71:$M$90,$G1110,月間集計シート!Q$71:Q$90)*AA$2</f>
        <v>0</v>
      </c>
      <c r="AB1110" s="88">
        <f>SUMIF(月間集計シート!$M$71:$M$90,$G1110,月間集計シート!R$71:R$90)*AB$2</f>
        <v>0</v>
      </c>
      <c r="AC1110" s="88">
        <f>SUMIF(月間集計シート!$M$71:$M$90,$G1110,月間集計シート!S$71:S$90)*AC$2</f>
        <v>0</v>
      </c>
      <c r="AD1110" s="88">
        <f>SUMIF(月間集計シート!$M$71:$M$90,$G1110,月間集計シート!T$71:T$90)*AD$2</f>
        <v>0</v>
      </c>
      <c r="AE1110" s="88">
        <f>SUMIF(月間集計シート!$M$92:$M$111,$G1110,月間集計シート!N$92:N$111)*AE$2</f>
        <v>0</v>
      </c>
      <c r="AF1110" s="88">
        <f>SUMIF(月間集計シート!$M$92:$M$111,$G1110,月間集計シート!O$92:O$111)*AF$2</f>
        <v>0</v>
      </c>
      <c r="AG1110" s="88">
        <f>SUMIF(月間集計シート!$M$92:$M$111,$G1110,月間集計シート!P$92:P$111)*AG$2</f>
        <v>0</v>
      </c>
      <c r="AH1110" s="88">
        <f>SUMIF(月間集計シート!$M$92:$M$111,$G1110,月間集計シート!Q$92:Q$111)*AH$2</f>
        <v>0</v>
      </c>
      <c r="AI1110" s="88">
        <f>SUMIF(月間集計シート!$M$92:$M$111,$G1110,月間集計シート!R$92:R$111)*AI$2</f>
        <v>0</v>
      </c>
      <c r="AJ1110" s="88">
        <f>SUMIF(月間集計シート!$M$92:$M$111,$G1110,月間集計シート!S$92:S$111)*AJ$2</f>
        <v>0</v>
      </c>
      <c r="AK1110" s="88">
        <f>SUMIF(月間集計シート!$M$92:$M$111,$G1110,月間集計シート!T$92:T$111)*AK$2</f>
        <v>0</v>
      </c>
      <c r="AL1110" s="88">
        <f>SUMIF(月間集計シート!$M$113:$M$132,$G1110,月間集計シート!N$113:N$132)*AL$2</f>
        <v>0</v>
      </c>
      <c r="AM1110" s="88">
        <f>SUMIF(月間集計シート!$M$113:$M$132,$G1110,月間集計シート!O$113:O$132)*AM$2</f>
        <v>0</v>
      </c>
      <c r="AN1110" s="88">
        <f>SUMIF(月間集計シート!$M$113:$M$132,$G1110,月間集計シート!P$113:P$132)*AN$2</f>
        <v>0</v>
      </c>
      <c r="AO1110" s="88">
        <f>SUMIF(月間集計シート!$M$113:$M$132,$G1110,月間集計シート!Q$113:Q$132)*AO$2</f>
        <v>0</v>
      </c>
      <c r="AP1110" s="88">
        <f>SUMIF(月間集計シート!$M$113:$M$132,$G1110,月間集計シート!R$113:R$132)*AP$2</f>
        <v>0</v>
      </c>
      <c r="AQ1110" s="88">
        <f>SUMIF(月間集計シート!$M$113:$M$132,$G1110,月間集計シート!S$113:S$132)*AQ$2</f>
        <v>0</v>
      </c>
      <c r="AR1110" s="88">
        <f>SUMIF(月間集計シート!$M$113:$M$132,$G1110,月間集計シート!T$113:T$132)*AR$2</f>
        <v>0</v>
      </c>
      <c r="AS1110" s="88">
        <f>SUMIF(月間集計シート!$M$134:$M$153,$G1110,月間集計シート!N$134:N$153)*AS$2</f>
        <v>0</v>
      </c>
      <c r="AT1110" s="88">
        <f>SUMIF(月間集計シート!$M$134:$M$153,$G1110,月間集計シート!O$134:O$153)*AT$2</f>
        <v>0</v>
      </c>
      <c r="AU1110" s="88">
        <f>SUMIF(月間集計シート!$M$134:$M$153,$G1110,月間集計シート!P$134:P$153)*AU$2</f>
        <v>0</v>
      </c>
      <c r="AV1110" s="88">
        <f>SUMIF(月間集計シート!$M$134:$M$153,$G1110,月間集計シート!Q$134:Q$153)*AV$2</f>
        <v>0</v>
      </c>
      <c r="AW1110" s="88">
        <f>SUMIF(月間集計シート!$M$134:$M$153,$G1110,月間集計シート!R$134:R$153)*AW$2</f>
        <v>0</v>
      </c>
      <c r="AX1110" s="88">
        <f>SUMIF(月間集計シート!$M$134:$M$153,$G1110,月間集計シート!S$134:S$153)*AX$2</f>
        <v>0</v>
      </c>
      <c r="AY1110" s="88">
        <f>SUMIF(月間集計シート!$M$134:$M$153,$G1110,月間集計シート!T$134:T$153)*AY$2</f>
        <v>0</v>
      </c>
    </row>
    <row r="1111" spans="1:51" ht="14.25" thickBot="1">
      <c r="A1111">
        <v>13</v>
      </c>
      <c r="B1111" s="120">
        <f t="shared" si="576"/>
        <v>0</v>
      </c>
      <c r="C1111" s="120" t="str">
        <f t="shared" si="576"/>
        <v/>
      </c>
      <c r="D1111" s="137"/>
      <c r="E1111" s="150" t="str">
        <f>工種!A83</f>
        <v>99199</v>
      </c>
      <c r="F1111" s="119" t="str">
        <f>工種!B83</f>
        <v>間接業務：その他</v>
      </c>
      <c r="G1111" s="116" t="str">
        <f t="shared" si="572"/>
        <v>099199</v>
      </c>
      <c r="H1111" s="88">
        <f t="shared" si="569"/>
        <v>0</v>
      </c>
      <c r="I1111" s="132"/>
      <c r="J1111" s="88">
        <f>SUMIF(月間集計シート!$M$29:$M$48,$G1111,月間集計シート!N$29:N$48)*J$2</f>
        <v>0</v>
      </c>
      <c r="K1111" s="88">
        <f>SUMIF(月間集計シート!$M$29:$M$48,$G1111,月間集計シート!O$29:O$48)*K$2</f>
        <v>0</v>
      </c>
      <c r="L1111" s="88">
        <f>SUMIF(月間集計シート!$M$29:$M$48,$G1111,月間集計シート!P$29:P$48)*L$2</f>
        <v>0</v>
      </c>
      <c r="M1111" s="88">
        <f>SUMIF(月間集計シート!$M$29:$M$48,$G1111,月間集計シート!Q$29:Q$48)*M$2</f>
        <v>0</v>
      </c>
      <c r="N1111" s="88">
        <f>SUMIF(月間集計シート!$M$29:$M$48,$G1111,月間集計シート!R$29:R$48)*N$2</f>
        <v>0</v>
      </c>
      <c r="O1111" s="88">
        <f>SUMIF(月間集計シート!$M$29:$M$48,$G1111,月間集計シート!S$29:S$48)*O$2</f>
        <v>0</v>
      </c>
      <c r="P1111" s="88">
        <f>SUMIF(月間集計シート!$M$29:$M$48,$G1111,月間集計シート!T$29:T$48)*P$2</f>
        <v>0</v>
      </c>
      <c r="Q1111" s="88">
        <f>SUMIF(月間集計シート!$M$50:$M$69,$G1111,月間集計シート!N$50:N$69)*Q$2</f>
        <v>0</v>
      </c>
      <c r="R1111" s="88">
        <f>SUMIF(月間集計シート!$M$50:$M$69,$G1111,月間集計シート!O$50:O$69)*R$2</f>
        <v>0</v>
      </c>
      <c r="S1111" s="88">
        <f>SUMIF(月間集計シート!$M$50:$M$69,$G1111,月間集計シート!P$50:P$69)*S$2</f>
        <v>0</v>
      </c>
      <c r="T1111" s="88">
        <f>SUMIF(月間集計シート!$M$50:$M$69,$G1111,月間集計シート!Q$50:Q$69)*T$2</f>
        <v>0</v>
      </c>
      <c r="U1111" s="88">
        <f>SUMIF(月間集計シート!$M$50:$M$69,$G1111,月間集計シート!R$50:R$69)*U$2</f>
        <v>0</v>
      </c>
      <c r="V1111" s="88">
        <f>SUMIF(月間集計シート!$M$50:$M$69,$G1111,月間集計シート!S$50:S$69)*V$2</f>
        <v>0</v>
      </c>
      <c r="W1111" s="88">
        <f>SUMIF(月間集計シート!$M$50:$M$69,$G1111,月間集計シート!T$50:T$69)*W$2</f>
        <v>0</v>
      </c>
      <c r="X1111" s="88">
        <f>SUMIF(月間集計シート!$M$71:$M$90,$G1111,月間集計シート!N$71:N$90)*X$2</f>
        <v>0</v>
      </c>
      <c r="Y1111" s="88">
        <f>SUMIF(月間集計シート!$M$71:$M$90,$G1111,月間集計シート!O$71:O$90)*Y$2</f>
        <v>0</v>
      </c>
      <c r="Z1111" s="88">
        <f>SUMIF(月間集計シート!$M$71:$M$90,$G1111,月間集計シート!P$71:P$90)*Z$2</f>
        <v>0</v>
      </c>
      <c r="AA1111" s="88">
        <f>SUMIF(月間集計シート!$M$71:$M$90,$G1111,月間集計シート!Q$71:Q$90)*AA$2</f>
        <v>0</v>
      </c>
      <c r="AB1111" s="88">
        <f>SUMIF(月間集計シート!$M$71:$M$90,$G1111,月間集計シート!R$71:R$90)*AB$2</f>
        <v>0</v>
      </c>
      <c r="AC1111" s="88">
        <f>SUMIF(月間集計シート!$M$71:$M$90,$G1111,月間集計シート!S$71:S$90)*AC$2</f>
        <v>0</v>
      </c>
      <c r="AD1111" s="88">
        <f>SUMIF(月間集計シート!$M$71:$M$90,$G1111,月間集計シート!T$71:T$90)*AD$2</f>
        <v>0</v>
      </c>
      <c r="AE1111" s="88">
        <f>SUMIF(月間集計シート!$M$92:$M$111,$G1111,月間集計シート!N$92:N$111)*AE$2</f>
        <v>0</v>
      </c>
      <c r="AF1111" s="88">
        <f>SUMIF(月間集計シート!$M$92:$M$111,$G1111,月間集計シート!O$92:O$111)*AF$2</f>
        <v>0</v>
      </c>
      <c r="AG1111" s="88">
        <f>SUMIF(月間集計シート!$M$92:$M$111,$G1111,月間集計シート!P$92:P$111)*AG$2</f>
        <v>0</v>
      </c>
      <c r="AH1111" s="88">
        <f>SUMIF(月間集計シート!$M$92:$M$111,$G1111,月間集計シート!Q$92:Q$111)*AH$2</f>
        <v>0</v>
      </c>
      <c r="AI1111" s="88">
        <f>SUMIF(月間集計シート!$M$92:$M$111,$G1111,月間集計シート!R$92:R$111)*AI$2</f>
        <v>0</v>
      </c>
      <c r="AJ1111" s="88">
        <f>SUMIF(月間集計シート!$M$92:$M$111,$G1111,月間集計シート!S$92:S$111)*AJ$2</f>
        <v>0</v>
      </c>
      <c r="AK1111" s="88">
        <f>SUMIF(月間集計シート!$M$92:$M$111,$G1111,月間集計シート!T$92:T$111)*AK$2</f>
        <v>0</v>
      </c>
      <c r="AL1111" s="88">
        <f>SUMIF(月間集計シート!$M$113:$M$132,$G1111,月間集計シート!N$113:N$132)*AL$2</f>
        <v>0</v>
      </c>
      <c r="AM1111" s="88">
        <f>SUMIF(月間集計シート!$M$113:$M$132,$G1111,月間集計シート!O$113:O$132)*AM$2</f>
        <v>0</v>
      </c>
      <c r="AN1111" s="88">
        <f>SUMIF(月間集計シート!$M$113:$M$132,$G1111,月間集計シート!P$113:P$132)*AN$2</f>
        <v>0</v>
      </c>
      <c r="AO1111" s="88">
        <f>SUMIF(月間集計シート!$M$113:$M$132,$G1111,月間集計シート!Q$113:Q$132)*AO$2</f>
        <v>0</v>
      </c>
      <c r="AP1111" s="88">
        <f>SUMIF(月間集計シート!$M$113:$M$132,$G1111,月間集計シート!R$113:R$132)*AP$2</f>
        <v>0</v>
      </c>
      <c r="AQ1111" s="88">
        <f>SUMIF(月間集計シート!$M$113:$M$132,$G1111,月間集計シート!S$113:S$132)*AQ$2</f>
        <v>0</v>
      </c>
      <c r="AR1111" s="88">
        <f>SUMIF(月間集計シート!$M$113:$M$132,$G1111,月間集計シート!T$113:T$132)*AR$2</f>
        <v>0</v>
      </c>
      <c r="AS1111" s="88">
        <f>SUMIF(月間集計シート!$M$134:$M$153,$G1111,月間集計シート!N$134:N$153)*AS$2</f>
        <v>0</v>
      </c>
      <c r="AT1111" s="88">
        <f>SUMIF(月間集計シート!$M$134:$M$153,$G1111,月間集計シート!O$134:O$153)*AT$2</f>
        <v>0</v>
      </c>
      <c r="AU1111" s="88">
        <f>SUMIF(月間集計シート!$M$134:$M$153,$G1111,月間集計シート!P$134:P$153)*AU$2</f>
        <v>0</v>
      </c>
      <c r="AV1111" s="88">
        <f>SUMIF(月間集計シート!$M$134:$M$153,$G1111,月間集計シート!Q$134:Q$153)*AV$2</f>
        <v>0</v>
      </c>
      <c r="AW1111" s="88">
        <f>SUMIF(月間集計シート!$M$134:$M$153,$G1111,月間集計シート!R$134:R$153)*AW$2</f>
        <v>0</v>
      </c>
      <c r="AX1111" s="88">
        <f>SUMIF(月間集計シート!$M$134:$M$153,$G1111,月間集計シート!S$134:S$153)*AX$2</f>
        <v>0</v>
      </c>
      <c r="AY1111" s="88">
        <f>SUMIF(月間集計シート!$M$134:$M$153,$G1111,月間集計シート!T$134:T$153)*AY$2</f>
        <v>0</v>
      </c>
    </row>
    <row r="1112" spans="1:51">
      <c r="B1112" s="120"/>
      <c r="C1112" s="120"/>
      <c r="D1112" s="127"/>
      <c r="E1112" s="115"/>
      <c r="F1112" s="119"/>
      <c r="G1112" s="116"/>
      <c r="H1112" s="88"/>
      <c r="I1112" s="132"/>
      <c r="J1112" s="88"/>
      <c r="K1112" s="88"/>
      <c r="L1112" s="88"/>
      <c r="M1112" s="88"/>
      <c r="N1112" s="88"/>
      <c r="O1112" s="88"/>
      <c r="P1112" s="88"/>
      <c r="Q1112" s="88"/>
      <c r="R1112" s="88"/>
      <c r="S1112" s="88"/>
      <c r="T1112" s="88"/>
      <c r="U1112" s="88"/>
      <c r="V1112" s="88"/>
      <c r="W1112" s="88"/>
      <c r="X1112" s="88"/>
      <c r="Y1112" s="88"/>
      <c r="Z1112" s="88"/>
      <c r="AA1112" s="88"/>
      <c r="AB1112" s="88"/>
      <c r="AC1112" s="88"/>
      <c r="AD1112" s="88"/>
      <c r="AE1112" s="88"/>
      <c r="AF1112" s="88"/>
      <c r="AG1112" s="88"/>
      <c r="AH1112" s="88"/>
      <c r="AI1112" s="88"/>
      <c r="AJ1112" s="88"/>
      <c r="AK1112" s="88"/>
      <c r="AL1112" s="88"/>
      <c r="AM1112" s="88"/>
      <c r="AN1112" s="88"/>
      <c r="AO1112" s="88"/>
      <c r="AP1112" s="88"/>
      <c r="AQ1112" s="88"/>
      <c r="AR1112" s="88"/>
      <c r="AS1112" s="88"/>
      <c r="AT1112" s="88"/>
      <c r="AU1112" s="88"/>
      <c r="AV1112" s="88"/>
      <c r="AW1112" s="88"/>
      <c r="AX1112" s="88"/>
      <c r="AY1112" s="88"/>
    </row>
    <row r="1113" spans="1:51" ht="14.25" thickBot="1">
      <c r="A1113">
        <v>14</v>
      </c>
      <c r="B1113">
        <f>月間集計シート!I17</f>
        <v>0</v>
      </c>
      <c r="C1113" s="116" t="str">
        <f>月間集計シート!J17</f>
        <v/>
      </c>
      <c r="D1113" s="147">
        <v>1</v>
      </c>
      <c r="E1113" s="115" t="s">
        <v>451</v>
      </c>
      <c r="F1113" s="119" t="s">
        <v>29</v>
      </c>
      <c r="G1113" s="116"/>
      <c r="H1113" s="88">
        <f t="shared" ref="H1113:H1198" si="579">SUM(J1113:AY1113)</f>
        <v>0</v>
      </c>
      <c r="I1113" s="132"/>
      <c r="J1113" s="88">
        <f>SUM(J1115:J1196)</f>
        <v>0</v>
      </c>
      <c r="K1113" s="88">
        <f t="shared" ref="K1113:AY1113" si="580">SUM(K1115:K1196)</f>
        <v>0</v>
      </c>
      <c r="L1113" s="88">
        <f t="shared" si="580"/>
        <v>0</v>
      </c>
      <c r="M1113" s="88">
        <f t="shared" si="580"/>
        <v>0</v>
      </c>
      <c r="N1113" s="88">
        <f t="shared" si="580"/>
        <v>0</v>
      </c>
      <c r="O1113" s="88">
        <f t="shared" si="580"/>
        <v>0</v>
      </c>
      <c r="P1113" s="88">
        <f t="shared" si="580"/>
        <v>0</v>
      </c>
      <c r="Q1113" s="88">
        <f t="shared" si="580"/>
        <v>0</v>
      </c>
      <c r="R1113" s="88">
        <f t="shared" si="580"/>
        <v>0</v>
      </c>
      <c r="S1113" s="88">
        <f t="shared" si="580"/>
        <v>0</v>
      </c>
      <c r="T1113" s="88">
        <f t="shared" si="580"/>
        <v>0</v>
      </c>
      <c r="U1113" s="88">
        <f t="shared" si="580"/>
        <v>0</v>
      </c>
      <c r="V1113" s="88">
        <f t="shared" si="580"/>
        <v>0</v>
      </c>
      <c r="W1113" s="88">
        <f t="shared" si="580"/>
        <v>0</v>
      </c>
      <c r="X1113" s="88">
        <f t="shared" si="580"/>
        <v>0</v>
      </c>
      <c r="Y1113" s="88">
        <f t="shared" si="580"/>
        <v>0</v>
      </c>
      <c r="Z1113" s="88">
        <f t="shared" si="580"/>
        <v>0</v>
      </c>
      <c r="AA1113" s="88">
        <f t="shared" si="580"/>
        <v>0</v>
      </c>
      <c r="AB1113" s="88">
        <f t="shared" si="580"/>
        <v>0</v>
      </c>
      <c r="AC1113" s="88">
        <f t="shared" si="580"/>
        <v>0</v>
      </c>
      <c r="AD1113" s="88">
        <f t="shared" si="580"/>
        <v>0</v>
      </c>
      <c r="AE1113" s="88">
        <f t="shared" si="580"/>
        <v>0</v>
      </c>
      <c r="AF1113" s="88">
        <f t="shared" si="580"/>
        <v>0</v>
      </c>
      <c r="AG1113" s="88">
        <f t="shared" si="580"/>
        <v>0</v>
      </c>
      <c r="AH1113" s="88">
        <f t="shared" si="580"/>
        <v>0</v>
      </c>
      <c r="AI1113" s="88">
        <f t="shared" si="580"/>
        <v>0</v>
      </c>
      <c r="AJ1113" s="88">
        <f t="shared" si="580"/>
        <v>0</v>
      </c>
      <c r="AK1113" s="88">
        <f t="shared" si="580"/>
        <v>0</v>
      </c>
      <c r="AL1113" s="88">
        <f t="shared" si="580"/>
        <v>0</v>
      </c>
      <c r="AM1113" s="88">
        <f t="shared" si="580"/>
        <v>0</v>
      </c>
      <c r="AN1113" s="88">
        <f t="shared" si="580"/>
        <v>0</v>
      </c>
      <c r="AO1113" s="88">
        <f t="shared" si="580"/>
        <v>0</v>
      </c>
      <c r="AP1113" s="88">
        <f t="shared" si="580"/>
        <v>0</v>
      </c>
      <c r="AQ1113" s="88">
        <f t="shared" si="580"/>
        <v>0</v>
      </c>
      <c r="AR1113" s="88">
        <f t="shared" si="580"/>
        <v>0</v>
      </c>
      <c r="AS1113" s="88">
        <f t="shared" si="580"/>
        <v>0</v>
      </c>
      <c r="AT1113" s="88">
        <f t="shared" si="580"/>
        <v>0</v>
      </c>
      <c r="AU1113" s="88">
        <f t="shared" si="580"/>
        <v>0</v>
      </c>
      <c r="AV1113" s="88">
        <f t="shared" si="580"/>
        <v>0</v>
      </c>
      <c r="AW1113" s="88">
        <f t="shared" si="580"/>
        <v>0</v>
      </c>
      <c r="AX1113" s="88">
        <f t="shared" si="580"/>
        <v>0</v>
      </c>
      <c r="AY1113" s="88">
        <f t="shared" si="580"/>
        <v>0</v>
      </c>
    </row>
    <row r="1114" spans="1:51" ht="14.25" customHeight="1" thickBot="1">
      <c r="A1114">
        <v>14</v>
      </c>
      <c r="B1114">
        <f>B1113</f>
        <v>0</v>
      </c>
      <c r="C1114" s="116" t="str">
        <f>C1113</f>
        <v/>
      </c>
      <c r="D1114" s="147">
        <v>1</v>
      </c>
      <c r="E1114" s="115" t="s">
        <v>453</v>
      </c>
      <c r="F1114" s="119" t="s">
        <v>454</v>
      </c>
      <c r="G1114" s="116"/>
      <c r="H1114" s="129">
        <f t="shared" ref="H1114" si="581">SUM(J1114:AY1114)</f>
        <v>0</v>
      </c>
      <c r="I1114" s="132"/>
      <c r="J1114" s="88">
        <f>SUMIF($D1115:$D1196,1,J1115:J1196)</f>
        <v>0</v>
      </c>
      <c r="K1114" s="88">
        <f t="shared" ref="K1114" si="582">SUMIF($D1115:$D1196,1,K1115:K1196)</f>
        <v>0</v>
      </c>
      <c r="L1114" s="88">
        <f t="shared" ref="L1114" si="583">SUMIF($D1115:$D1196,1,L1115:L1196)</f>
        <v>0</v>
      </c>
      <c r="M1114" s="88">
        <f t="shared" ref="M1114" si="584">SUMIF($D1115:$D1196,1,M1115:M1196)</f>
        <v>0</v>
      </c>
      <c r="N1114" s="88">
        <f t="shared" ref="N1114" si="585">SUMIF($D1115:$D1196,1,N1115:N1196)</f>
        <v>0</v>
      </c>
      <c r="O1114" s="88">
        <f t="shared" ref="O1114" si="586">SUMIF($D1115:$D1196,1,O1115:O1196)</f>
        <v>0</v>
      </c>
      <c r="P1114" s="88">
        <f t="shared" ref="P1114" si="587">SUMIF($D1115:$D1196,1,P1115:P1196)</f>
        <v>0</v>
      </c>
      <c r="Q1114" s="88">
        <f t="shared" ref="Q1114" si="588">SUMIF($D1115:$D1196,1,Q1115:Q1196)</f>
        <v>0</v>
      </c>
      <c r="R1114" s="88">
        <f t="shared" ref="R1114" si="589">SUMIF($D1115:$D1196,1,R1115:R1196)</f>
        <v>0</v>
      </c>
      <c r="S1114" s="88">
        <f t="shared" ref="S1114" si="590">SUMIF($D1115:$D1196,1,S1115:S1196)</f>
        <v>0</v>
      </c>
      <c r="T1114" s="88">
        <f t="shared" ref="T1114" si="591">SUMIF($D1115:$D1196,1,T1115:T1196)</f>
        <v>0</v>
      </c>
      <c r="U1114" s="88">
        <f t="shared" ref="U1114" si="592">SUMIF($D1115:$D1196,1,U1115:U1196)</f>
        <v>0</v>
      </c>
      <c r="V1114" s="88">
        <f t="shared" ref="V1114" si="593">SUMIF($D1115:$D1196,1,V1115:V1196)</f>
        <v>0</v>
      </c>
      <c r="W1114" s="88">
        <f t="shared" ref="W1114" si="594">SUMIF($D1115:$D1196,1,W1115:W1196)</f>
        <v>0</v>
      </c>
      <c r="X1114" s="88">
        <f t="shared" ref="X1114" si="595">SUMIF($D1115:$D1196,1,X1115:X1196)</f>
        <v>0</v>
      </c>
      <c r="Y1114" s="88">
        <f t="shared" ref="Y1114" si="596">SUMIF($D1115:$D1196,1,Y1115:Y1196)</f>
        <v>0</v>
      </c>
      <c r="Z1114" s="88">
        <f t="shared" ref="Z1114" si="597">SUMIF($D1115:$D1196,1,Z1115:Z1196)</f>
        <v>0</v>
      </c>
      <c r="AA1114" s="88">
        <f t="shared" ref="AA1114" si="598">SUMIF($D1115:$D1196,1,AA1115:AA1196)</f>
        <v>0</v>
      </c>
      <c r="AB1114" s="88">
        <f t="shared" ref="AB1114" si="599">SUMIF($D1115:$D1196,1,AB1115:AB1196)</f>
        <v>0</v>
      </c>
      <c r="AC1114" s="88">
        <f t="shared" ref="AC1114" si="600">SUMIF($D1115:$D1196,1,AC1115:AC1196)</f>
        <v>0</v>
      </c>
      <c r="AD1114" s="88">
        <f t="shared" ref="AD1114" si="601">SUMIF($D1115:$D1196,1,AD1115:AD1196)</f>
        <v>0</v>
      </c>
      <c r="AE1114" s="88">
        <f t="shared" ref="AE1114" si="602">SUMIF($D1115:$D1196,1,AE1115:AE1196)</f>
        <v>0</v>
      </c>
      <c r="AF1114" s="88">
        <f t="shared" ref="AF1114" si="603">SUMIF($D1115:$D1196,1,AF1115:AF1196)</f>
        <v>0</v>
      </c>
      <c r="AG1114" s="88">
        <f t="shared" ref="AG1114" si="604">SUMIF($D1115:$D1196,1,AG1115:AG1196)</f>
        <v>0</v>
      </c>
      <c r="AH1114" s="88">
        <f t="shared" ref="AH1114" si="605">SUMIF($D1115:$D1196,1,AH1115:AH1196)</f>
        <v>0</v>
      </c>
      <c r="AI1114" s="88">
        <f t="shared" ref="AI1114" si="606">SUMIF($D1115:$D1196,1,AI1115:AI1196)</f>
        <v>0</v>
      </c>
      <c r="AJ1114" s="88">
        <f t="shared" ref="AJ1114" si="607">SUMIF($D1115:$D1196,1,AJ1115:AJ1196)</f>
        <v>0</v>
      </c>
      <c r="AK1114" s="88">
        <f t="shared" ref="AK1114" si="608">SUMIF($D1115:$D1196,1,AK1115:AK1196)</f>
        <v>0</v>
      </c>
      <c r="AL1114" s="88">
        <f t="shared" ref="AL1114" si="609">SUMIF($D1115:$D1196,1,AL1115:AL1196)</f>
        <v>0</v>
      </c>
      <c r="AM1114" s="88">
        <f t="shared" ref="AM1114" si="610">SUMIF($D1115:$D1196,1,AM1115:AM1196)</f>
        <v>0</v>
      </c>
      <c r="AN1114" s="88">
        <f t="shared" ref="AN1114" si="611">SUMIF($D1115:$D1196,1,AN1115:AN1196)</f>
        <v>0</v>
      </c>
      <c r="AO1114" s="88">
        <f t="shared" ref="AO1114" si="612">SUMIF($D1115:$D1196,1,AO1115:AO1196)</f>
        <v>0</v>
      </c>
      <c r="AP1114" s="88">
        <f t="shared" ref="AP1114" si="613">SUMIF($D1115:$D1196,1,AP1115:AP1196)</f>
        <v>0</v>
      </c>
      <c r="AQ1114" s="88">
        <f t="shared" ref="AQ1114" si="614">SUMIF($D1115:$D1196,1,AQ1115:AQ1196)</f>
        <v>0</v>
      </c>
      <c r="AR1114" s="88">
        <f t="shared" ref="AR1114" si="615">SUMIF($D1115:$D1196,1,AR1115:AR1196)</f>
        <v>0</v>
      </c>
      <c r="AS1114" s="88">
        <f t="shared" ref="AS1114" si="616">SUMIF($D1115:$D1196,1,AS1115:AS1196)</f>
        <v>0</v>
      </c>
      <c r="AT1114" s="88">
        <f t="shared" ref="AT1114" si="617">SUMIF($D1115:$D1196,1,AT1115:AT1196)</f>
        <v>0</v>
      </c>
      <c r="AU1114" s="88">
        <f t="shared" ref="AU1114" si="618">SUMIF($D1115:$D1196,1,AU1115:AU1196)</f>
        <v>0</v>
      </c>
      <c r="AV1114" s="88">
        <f t="shared" ref="AV1114" si="619">SUMIF($D1115:$D1196,1,AV1115:AV1196)</f>
        <v>0</v>
      </c>
      <c r="AW1114" s="88">
        <f t="shared" ref="AW1114" si="620">SUMIF($D1115:$D1196,1,AW1115:AW1196)</f>
        <v>0</v>
      </c>
      <c r="AX1114" s="88">
        <f t="shared" ref="AX1114" si="621">SUMIF($D1115:$D1196,1,AX1115:AX1196)</f>
        <v>0</v>
      </c>
      <c r="AY1114" s="88">
        <f t="shared" ref="AY1114" si="622">SUMIF($D1115:$D1196,1,AY1115:AY1196)</f>
        <v>0</v>
      </c>
    </row>
    <row r="1115" spans="1:51" ht="14.25" thickBot="1">
      <c r="A1115">
        <v>14</v>
      </c>
      <c r="B1115" s="120">
        <f>B1113</f>
        <v>0</v>
      </c>
      <c r="C1115" s="120" t="str">
        <f>C1113</f>
        <v/>
      </c>
      <c r="D1115" s="137"/>
      <c r="E1115" s="150" t="str">
        <f>工種!A2</f>
        <v>10102</v>
      </c>
      <c r="F1115" s="119" t="str">
        <f>工種!B2</f>
        <v>SRS：調査・分析・開発計画の準備・実施作業</v>
      </c>
      <c r="G1115" s="116" t="str">
        <f t="shared" si="572"/>
        <v>010102</v>
      </c>
      <c r="H1115" s="88">
        <f t="shared" si="579"/>
        <v>0</v>
      </c>
      <c r="I1115" s="132"/>
      <c r="J1115" s="88">
        <f>SUMIF(月間集計シート!$M$29:$M$48,$G1115,月間集計シート!N$29:N$48)*J$2</f>
        <v>0</v>
      </c>
      <c r="K1115" s="88">
        <f>SUMIF(月間集計シート!$M$29:$M$48,$G1115,月間集計シート!O$29:O$48)*K$2</f>
        <v>0</v>
      </c>
      <c r="L1115" s="88">
        <f>SUMIF(月間集計シート!$M$29:$M$48,$G1115,月間集計シート!P$29:P$48)*L$2</f>
        <v>0</v>
      </c>
      <c r="M1115" s="88">
        <f>SUMIF(月間集計シート!$M$29:$M$48,$G1115,月間集計シート!Q$29:Q$48)*M$2</f>
        <v>0</v>
      </c>
      <c r="N1115" s="88">
        <f>SUMIF(月間集計シート!$M$29:$M$48,$G1115,月間集計シート!R$29:R$48)*N$2</f>
        <v>0</v>
      </c>
      <c r="O1115" s="88">
        <f>SUMIF(月間集計シート!$M$29:$M$48,$G1115,月間集計シート!S$29:S$48)*O$2</f>
        <v>0</v>
      </c>
      <c r="P1115" s="88">
        <f>SUMIF(月間集計シート!$M$29:$M$48,$G1115,月間集計シート!T$29:T$48)*P$2</f>
        <v>0</v>
      </c>
      <c r="Q1115" s="88">
        <f>SUMIF(月間集計シート!$M$50:$M$69,$G1115,月間集計シート!N$50:N$69)*Q$2</f>
        <v>0</v>
      </c>
      <c r="R1115" s="88">
        <f>SUMIF(月間集計シート!$M$50:$M$69,$G1115,月間集計シート!O$50:O$69)*R$2</f>
        <v>0</v>
      </c>
      <c r="S1115" s="88">
        <f>SUMIF(月間集計シート!$M$50:$M$69,$G1115,月間集計シート!P$50:P$69)*S$2</f>
        <v>0</v>
      </c>
      <c r="T1115" s="88">
        <f>SUMIF(月間集計シート!$M$50:$M$69,$G1115,月間集計シート!Q$50:Q$69)*T$2</f>
        <v>0</v>
      </c>
      <c r="U1115" s="88">
        <f>SUMIF(月間集計シート!$M$50:$M$69,$G1115,月間集計シート!R$50:R$69)*U$2</f>
        <v>0</v>
      </c>
      <c r="V1115" s="88">
        <f>SUMIF(月間集計シート!$M$50:$M$69,$G1115,月間集計シート!S$50:S$69)*V$2</f>
        <v>0</v>
      </c>
      <c r="W1115" s="88">
        <f>SUMIF(月間集計シート!$M$50:$M$69,$G1115,月間集計シート!T$50:T$69)*W$2</f>
        <v>0</v>
      </c>
      <c r="X1115" s="88">
        <f>SUMIF(月間集計シート!$M$71:$M$90,$G1115,月間集計シート!N$71:N$90)*X$2</f>
        <v>0</v>
      </c>
      <c r="Y1115" s="88">
        <f>SUMIF(月間集計シート!$M$71:$M$90,$G1115,月間集計シート!O$71:O$90)*Y$2</f>
        <v>0</v>
      </c>
      <c r="Z1115" s="88">
        <f>SUMIF(月間集計シート!$M$71:$M$90,$G1115,月間集計シート!P$71:P$90)*Z$2</f>
        <v>0</v>
      </c>
      <c r="AA1115" s="88">
        <f>SUMIF(月間集計シート!$M$71:$M$90,$G1115,月間集計シート!Q$71:Q$90)*AA$2</f>
        <v>0</v>
      </c>
      <c r="AB1115" s="88">
        <f>SUMIF(月間集計シート!$M$71:$M$90,$G1115,月間集計シート!R$71:R$90)*AB$2</f>
        <v>0</v>
      </c>
      <c r="AC1115" s="88">
        <f>SUMIF(月間集計シート!$M$71:$M$90,$G1115,月間集計シート!S$71:S$90)*AC$2</f>
        <v>0</v>
      </c>
      <c r="AD1115" s="88">
        <f>SUMIF(月間集計シート!$M$71:$M$90,$G1115,月間集計シート!T$71:T$90)*AD$2</f>
        <v>0</v>
      </c>
      <c r="AE1115" s="88">
        <f>SUMIF(月間集計シート!$M$92:$M$111,$G1115,月間集計シート!N$92:N$111)*AE$2</f>
        <v>0</v>
      </c>
      <c r="AF1115" s="88">
        <f>SUMIF(月間集計シート!$M$92:$M$111,$G1115,月間集計シート!O$92:O$111)*AF$2</f>
        <v>0</v>
      </c>
      <c r="AG1115" s="88">
        <f>SUMIF(月間集計シート!$M$92:$M$111,$G1115,月間集計シート!P$92:P$111)*AG$2</f>
        <v>0</v>
      </c>
      <c r="AH1115" s="88">
        <f>SUMIF(月間集計シート!$M$92:$M$111,$G1115,月間集計シート!Q$92:Q$111)*AH$2</f>
        <v>0</v>
      </c>
      <c r="AI1115" s="88">
        <f>SUMIF(月間集計シート!$M$92:$M$111,$G1115,月間集計シート!R$92:R$111)*AI$2</f>
        <v>0</v>
      </c>
      <c r="AJ1115" s="88">
        <f>SUMIF(月間集計シート!$M$92:$M$111,$G1115,月間集計シート!S$92:S$111)*AJ$2</f>
        <v>0</v>
      </c>
      <c r="AK1115" s="88">
        <f>SUMIF(月間集計シート!$M$92:$M$111,$G1115,月間集計シート!T$92:T$111)*AK$2</f>
        <v>0</v>
      </c>
      <c r="AL1115" s="88">
        <f>SUMIF(月間集計シート!$M$113:$M$132,$G1115,月間集計シート!N$113:N$132)*AL$2</f>
        <v>0</v>
      </c>
      <c r="AM1115" s="88">
        <f>SUMIF(月間集計シート!$M$113:$M$132,$G1115,月間集計シート!O$113:O$132)*AM$2</f>
        <v>0</v>
      </c>
      <c r="AN1115" s="88">
        <f>SUMIF(月間集計シート!$M$113:$M$132,$G1115,月間集計シート!P$113:P$132)*AN$2</f>
        <v>0</v>
      </c>
      <c r="AO1115" s="88">
        <f>SUMIF(月間集計シート!$M$113:$M$132,$G1115,月間集計シート!Q$113:Q$132)*AO$2</f>
        <v>0</v>
      </c>
      <c r="AP1115" s="88">
        <f>SUMIF(月間集計シート!$M$113:$M$132,$G1115,月間集計シート!R$113:R$132)*AP$2</f>
        <v>0</v>
      </c>
      <c r="AQ1115" s="88">
        <f>SUMIF(月間集計シート!$M$113:$M$132,$G1115,月間集計シート!S$113:S$132)*AQ$2</f>
        <v>0</v>
      </c>
      <c r="AR1115" s="88">
        <f>SUMIF(月間集計シート!$M$113:$M$132,$G1115,月間集計シート!T$113:T$132)*AR$2</f>
        <v>0</v>
      </c>
      <c r="AS1115" s="88">
        <f>SUMIF(月間集計シート!$M$134:$M$153,$G1115,月間集計シート!N$134:N$153)*AS$2</f>
        <v>0</v>
      </c>
      <c r="AT1115" s="88">
        <f>SUMIF(月間集計シート!$M$134:$M$153,$G1115,月間集計シート!O$134:O$153)*AT$2</f>
        <v>0</v>
      </c>
      <c r="AU1115" s="88">
        <f>SUMIF(月間集計シート!$M$134:$M$153,$G1115,月間集計シート!P$134:P$153)*AU$2</f>
        <v>0</v>
      </c>
      <c r="AV1115" s="88">
        <f>SUMIF(月間集計シート!$M$134:$M$153,$G1115,月間集計シート!Q$134:Q$153)*AV$2</f>
        <v>0</v>
      </c>
      <c r="AW1115" s="88">
        <f>SUMIF(月間集計シート!$M$134:$M$153,$G1115,月間集計シート!R$134:R$153)*AW$2</f>
        <v>0</v>
      </c>
      <c r="AX1115" s="88">
        <f>SUMIF(月間集計シート!$M$134:$M$153,$G1115,月間集計シート!S$134:S$153)*AX$2</f>
        <v>0</v>
      </c>
      <c r="AY1115" s="88">
        <f>SUMIF(月間集計シート!$M$134:$M$153,$G1115,月間集計シート!T$134:T$153)*AY$2</f>
        <v>0</v>
      </c>
    </row>
    <row r="1116" spans="1:51" ht="14.25" thickBot="1">
      <c r="A1116">
        <v>14</v>
      </c>
      <c r="B1116" s="120">
        <f t="shared" ref="B1116:B1179" si="623">B1115</f>
        <v>0</v>
      </c>
      <c r="C1116" s="120" t="str">
        <f t="shared" ref="C1116:C1179" si="624">C1115</f>
        <v/>
      </c>
      <c r="D1116" s="137"/>
      <c r="E1116" s="150" t="str">
        <f>工種!A3</f>
        <v>10103</v>
      </c>
      <c r="F1116" s="119" t="str">
        <f>工種!B3</f>
        <v>SRS：企画書・計画書・報告書等資料作成・修正</v>
      </c>
      <c r="G1116" s="116" t="str">
        <f t="shared" si="572"/>
        <v>010103</v>
      </c>
      <c r="H1116" s="88">
        <f t="shared" si="579"/>
        <v>0</v>
      </c>
      <c r="I1116" s="132"/>
      <c r="J1116" s="88">
        <f>SUMIF(月間集計シート!$M$29:$M$48,$G1116,月間集計シート!N$29:N$48)*J$2</f>
        <v>0</v>
      </c>
      <c r="K1116" s="88">
        <f>SUMIF(月間集計シート!$M$29:$M$48,$G1116,月間集計シート!O$29:O$48)*K$2</f>
        <v>0</v>
      </c>
      <c r="L1116" s="88">
        <f>SUMIF(月間集計シート!$M$29:$M$48,$G1116,月間集計シート!P$29:P$48)*L$2</f>
        <v>0</v>
      </c>
      <c r="M1116" s="88">
        <f>SUMIF(月間集計シート!$M$29:$M$48,$G1116,月間集計シート!Q$29:Q$48)*M$2</f>
        <v>0</v>
      </c>
      <c r="N1116" s="88">
        <f>SUMIF(月間集計シート!$M$29:$M$48,$G1116,月間集計シート!R$29:R$48)*N$2</f>
        <v>0</v>
      </c>
      <c r="O1116" s="88">
        <f>SUMIF(月間集計シート!$M$29:$M$48,$G1116,月間集計シート!S$29:S$48)*O$2</f>
        <v>0</v>
      </c>
      <c r="P1116" s="88">
        <f>SUMIF(月間集計シート!$M$29:$M$48,$G1116,月間集計シート!T$29:T$48)*P$2</f>
        <v>0</v>
      </c>
      <c r="Q1116" s="88">
        <f>SUMIF(月間集計シート!$M$50:$M$69,$G1116,月間集計シート!N$50:N$69)*Q$2</f>
        <v>0</v>
      </c>
      <c r="R1116" s="88">
        <f>SUMIF(月間集計シート!$M$50:$M$69,$G1116,月間集計シート!O$50:O$69)*R$2</f>
        <v>0</v>
      </c>
      <c r="S1116" s="88">
        <f>SUMIF(月間集計シート!$M$50:$M$69,$G1116,月間集計シート!P$50:P$69)*S$2</f>
        <v>0</v>
      </c>
      <c r="T1116" s="88">
        <f>SUMIF(月間集計シート!$M$50:$M$69,$G1116,月間集計シート!Q$50:Q$69)*T$2</f>
        <v>0</v>
      </c>
      <c r="U1116" s="88">
        <f>SUMIF(月間集計シート!$M$50:$M$69,$G1116,月間集計シート!R$50:R$69)*U$2</f>
        <v>0</v>
      </c>
      <c r="V1116" s="88">
        <f>SUMIF(月間集計シート!$M$50:$M$69,$G1116,月間集計シート!S$50:S$69)*V$2</f>
        <v>0</v>
      </c>
      <c r="W1116" s="88">
        <f>SUMIF(月間集計シート!$M$50:$M$69,$G1116,月間集計シート!T$50:T$69)*W$2</f>
        <v>0</v>
      </c>
      <c r="X1116" s="88">
        <f>SUMIF(月間集計シート!$M$71:$M$90,$G1116,月間集計シート!N$71:N$90)*X$2</f>
        <v>0</v>
      </c>
      <c r="Y1116" s="88">
        <f>SUMIF(月間集計シート!$M$71:$M$90,$G1116,月間集計シート!O$71:O$90)*Y$2</f>
        <v>0</v>
      </c>
      <c r="Z1116" s="88">
        <f>SUMIF(月間集計シート!$M$71:$M$90,$G1116,月間集計シート!P$71:P$90)*Z$2</f>
        <v>0</v>
      </c>
      <c r="AA1116" s="88">
        <f>SUMIF(月間集計シート!$M$71:$M$90,$G1116,月間集計シート!Q$71:Q$90)*AA$2</f>
        <v>0</v>
      </c>
      <c r="AB1116" s="88">
        <f>SUMIF(月間集計シート!$M$71:$M$90,$G1116,月間集計シート!R$71:R$90)*AB$2</f>
        <v>0</v>
      </c>
      <c r="AC1116" s="88">
        <f>SUMIF(月間集計シート!$M$71:$M$90,$G1116,月間集計シート!S$71:S$90)*AC$2</f>
        <v>0</v>
      </c>
      <c r="AD1116" s="88">
        <f>SUMIF(月間集計シート!$M$71:$M$90,$G1116,月間集計シート!T$71:T$90)*AD$2</f>
        <v>0</v>
      </c>
      <c r="AE1116" s="88">
        <f>SUMIF(月間集計シート!$M$92:$M$111,$G1116,月間集計シート!N$92:N$111)*AE$2</f>
        <v>0</v>
      </c>
      <c r="AF1116" s="88">
        <f>SUMIF(月間集計シート!$M$92:$M$111,$G1116,月間集計シート!O$92:O$111)*AF$2</f>
        <v>0</v>
      </c>
      <c r="AG1116" s="88">
        <f>SUMIF(月間集計シート!$M$92:$M$111,$G1116,月間集計シート!P$92:P$111)*AG$2</f>
        <v>0</v>
      </c>
      <c r="AH1116" s="88">
        <f>SUMIF(月間集計シート!$M$92:$M$111,$G1116,月間集計シート!Q$92:Q$111)*AH$2</f>
        <v>0</v>
      </c>
      <c r="AI1116" s="88">
        <f>SUMIF(月間集計シート!$M$92:$M$111,$G1116,月間集計シート!R$92:R$111)*AI$2</f>
        <v>0</v>
      </c>
      <c r="AJ1116" s="88">
        <f>SUMIF(月間集計シート!$M$92:$M$111,$G1116,月間集計シート!S$92:S$111)*AJ$2</f>
        <v>0</v>
      </c>
      <c r="AK1116" s="88">
        <f>SUMIF(月間集計シート!$M$92:$M$111,$G1116,月間集計シート!T$92:T$111)*AK$2</f>
        <v>0</v>
      </c>
      <c r="AL1116" s="88">
        <f>SUMIF(月間集計シート!$M$113:$M$132,$G1116,月間集計シート!N$113:N$132)*AL$2</f>
        <v>0</v>
      </c>
      <c r="AM1116" s="88">
        <f>SUMIF(月間集計シート!$M$113:$M$132,$G1116,月間集計シート!O$113:O$132)*AM$2</f>
        <v>0</v>
      </c>
      <c r="AN1116" s="88">
        <f>SUMIF(月間集計シート!$M$113:$M$132,$G1116,月間集計シート!P$113:P$132)*AN$2</f>
        <v>0</v>
      </c>
      <c r="AO1116" s="88">
        <f>SUMIF(月間集計シート!$M$113:$M$132,$G1116,月間集計シート!Q$113:Q$132)*AO$2</f>
        <v>0</v>
      </c>
      <c r="AP1116" s="88">
        <f>SUMIF(月間集計シート!$M$113:$M$132,$G1116,月間集計シート!R$113:R$132)*AP$2</f>
        <v>0</v>
      </c>
      <c r="AQ1116" s="88">
        <f>SUMIF(月間集計シート!$M$113:$M$132,$G1116,月間集計シート!S$113:S$132)*AQ$2</f>
        <v>0</v>
      </c>
      <c r="AR1116" s="88">
        <f>SUMIF(月間集計シート!$M$113:$M$132,$G1116,月間集計シート!T$113:T$132)*AR$2</f>
        <v>0</v>
      </c>
      <c r="AS1116" s="88">
        <f>SUMIF(月間集計シート!$M$134:$M$153,$G1116,月間集計シート!N$134:N$153)*AS$2</f>
        <v>0</v>
      </c>
      <c r="AT1116" s="88">
        <f>SUMIF(月間集計シート!$M$134:$M$153,$G1116,月間集計シート!O$134:O$153)*AT$2</f>
        <v>0</v>
      </c>
      <c r="AU1116" s="88">
        <f>SUMIF(月間集計シート!$M$134:$M$153,$G1116,月間集計シート!P$134:P$153)*AU$2</f>
        <v>0</v>
      </c>
      <c r="AV1116" s="88">
        <f>SUMIF(月間集計シート!$M$134:$M$153,$G1116,月間集計シート!Q$134:Q$153)*AV$2</f>
        <v>0</v>
      </c>
      <c r="AW1116" s="88">
        <f>SUMIF(月間集計シート!$M$134:$M$153,$G1116,月間集計シート!R$134:R$153)*AW$2</f>
        <v>0</v>
      </c>
      <c r="AX1116" s="88">
        <f>SUMIF(月間集計シート!$M$134:$M$153,$G1116,月間集計シート!S$134:S$153)*AX$2</f>
        <v>0</v>
      </c>
      <c r="AY1116" s="88">
        <f>SUMIF(月間集計シート!$M$134:$M$153,$G1116,月間集計シート!T$134:T$153)*AY$2</f>
        <v>0</v>
      </c>
    </row>
    <row r="1117" spans="1:51" ht="14.25" thickBot="1">
      <c r="A1117">
        <v>14</v>
      </c>
      <c r="B1117" s="120">
        <f t="shared" si="623"/>
        <v>0</v>
      </c>
      <c r="C1117" s="120" t="str">
        <f t="shared" si="624"/>
        <v/>
      </c>
      <c r="D1117" s="137"/>
      <c r="E1117" s="150" t="str">
        <f>工種!A4</f>
        <v>10104</v>
      </c>
      <c r="F1117" s="119" t="str">
        <f>工種!B4</f>
        <v>SRS：打合せ</v>
      </c>
      <c r="G1117" s="116" t="str">
        <f t="shared" si="572"/>
        <v>010104</v>
      </c>
      <c r="H1117" s="88">
        <f t="shared" si="579"/>
        <v>0</v>
      </c>
      <c r="I1117" s="132"/>
      <c r="J1117" s="88">
        <f>SUMIF(月間集計シート!$M$29:$M$48,$G1117,月間集計シート!N$29:N$48)*J$2</f>
        <v>0</v>
      </c>
      <c r="K1117" s="88">
        <f>SUMIF(月間集計シート!$M$29:$M$48,$G1117,月間集計シート!O$29:O$48)*K$2</f>
        <v>0</v>
      </c>
      <c r="L1117" s="88">
        <f>SUMIF(月間集計シート!$M$29:$M$48,$G1117,月間集計シート!P$29:P$48)*L$2</f>
        <v>0</v>
      </c>
      <c r="M1117" s="88">
        <f>SUMIF(月間集計シート!$M$29:$M$48,$G1117,月間集計シート!Q$29:Q$48)*M$2</f>
        <v>0</v>
      </c>
      <c r="N1117" s="88">
        <f>SUMIF(月間集計シート!$M$29:$M$48,$G1117,月間集計シート!R$29:R$48)*N$2</f>
        <v>0</v>
      </c>
      <c r="O1117" s="88">
        <f>SUMIF(月間集計シート!$M$29:$M$48,$G1117,月間集計シート!S$29:S$48)*O$2</f>
        <v>0</v>
      </c>
      <c r="P1117" s="88">
        <f>SUMIF(月間集計シート!$M$29:$M$48,$G1117,月間集計シート!T$29:T$48)*P$2</f>
        <v>0</v>
      </c>
      <c r="Q1117" s="88">
        <f>SUMIF(月間集計シート!$M$50:$M$69,$G1117,月間集計シート!N$50:N$69)*Q$2</f>
        <v>0</v>
      </c>
      <c r="R1117" s="88">
        <f>SUMIF(月間集計シート!$M$50:$M$69,$G1117,月間集計シート!O$50:O$69)*R$2</f>
        <v>0</v>
      </c>
      <c r="S1117" s="88">
        <f>SUMIF(月間集計シート!$M$50:$M$69,$G1117,月間集計シート!P$50:P$69)*S$2</f>
        <v>0</v>
      </c>
      <c r="T1117" s="88">
        <f>SUMIF(月間集計シート!$M$50:$M$69,$G1117,月間集計シート!Q$50:Q$69)*T$2</f>
        <v>0</v>
      </c>
      <c r="U1117" s="88">
        <f>SUMIF(月間集計シート!$M$50:$M$69,$G1117,月間集計シート!R$50:R$69)*U$2</f>
        <v>0</v>
      </c>
      <c r="V1117" s="88">
        <f>SUMIF(月間集計シート!$M$50:$M$69,$G1117,月間集計シート!S$50:S$69)*V$2</f>
        <v>0</v>
      </c>
      <c r="W1117" s="88">
        <f>SUMIF(月間集計シート!$M$50:$M$69,$G1117,月間集計シート!T$50:T$69)*W$2</f>
        <v>0</v>
      </c>
      <c r="X1117" s="88">
        <f>SUMIF(月間集計シート!$M$71:$M$90,$G1117,月間集計シート!N$71:N$90)*X$2</f>
        <v>0</v>
      </c>
      <c r="Y1117" s="88">
        <f>SUMIF(月間集計シート!$M$71:$M$90,$G1117,月間集計シート!O$71:O$90)*Y$2</f>
        <v>0</v>
      </c>
      <c r="Z1117" s="88">
        <f>SUMIF(月間集計シート!$M$71:$M$90,$G1117,月間集計シート!P$71:P$90)*Z$2</f>
        <v>0</v>
      </c>
      <c r="AA1117" s="88">
        <f>SUMIF(月間集計シート!$M$71:$M$90,$G1117,月間集計シート!Q$71:Q$90)*AA$2</f>
        <v>0</v>
      </c>
      <c r="AB1117" s="88">
        <f>SUMIF(月間集計シート!$M$71:$M$90,$G1117,月間集計シート!R$71:R$90)*AB$2</f>
        <v>0</v>
      </c>
      <c r="AC1117" s="88">
        <f>SUMIF(月間集計シート!$M$71:$M$90,$G1117,月間集計シート!S$71:S$90)*AC$2</f>
        <v>0</v>
      </c>
      <c r="AD1117" s="88">
        <f>SUMIF(月間集計シート!$M$71:$M$90,$G1117,月間集計シート!T$71:T$90)*AD$2</f>
        <v>0</v>
      </c>
      <c r="AE1117" s="88">
        <f>SUMIF(月間集計シート!$M$92:$M$111,$G1117,月間集計シート!N$92:N$111)*AE$2</f>
        <v>0</v>
      </c>
      <c r="AF1117" s="88">
        <f>SUMIF(月間集計シート!$M$92:$M$111,$G1117,月間集計シート!O$92:O$111)*AF$2</f>
        <v>0</v>
      </c>
      <c r="AG1117" s="88">
        <f>SUMIF(月間集計シート!$M$92:$M$111,$G1117,月間集計シート!P$92:P$111)*AG$2</f>
        <v>0</v>
      </c>
      <c r="AH1117" s="88">
        <f>SUMIF(月間集計シート!$M$92:$M$111,$G1117,月間集計シート!Q$92:Q$111)*AH$2</f>
        <v>0</v>
      </c>
      <c r="AI1117" s="88">
        <f>SUMIF(月間集計シート!$M$92:$M$111,$G1117,月間集計シート!R$92:R$111)*AI$2</f>
        <v>0</v>
      </c>
      <c r="AJ1117" s="88">
        <f>SUMIF(月間集計シート!$M$92:$M$111,$G1117,月間集計シート!S$92:S$111)*AJ$2</f>
        <v>0</v>
      </c>
      <c r="AK1117" s="88">
        <f>SUMIF(月間集計シート!$M$92:$M$111,$G1117,月間集計シート!T$92:T$111)*AK$2</f>
        <v>0</v>
      </c>
      <c r="AL1117" s="88">
        <f>SUMIF(月間集計シート!$M$113:$M$132,$G1117,月間集計シート!N$113:N$132)*AL$2</f>
        <v>0</v>
      </c>
      <c r="AM1117" s="88">
        <f>SUMIF(月間集計シート!$M$113:$M$132,$G1117,月間集計シート!O$113:O$132)*AM$2</f>
        <v>0</v>
      </c>
      <c r="AN1117" s="88">
        <f>SUMIF(月間集計シート!$M$113:$M$132,$G1117,月間集計シート!P$113:P$132)*AN$2</f>
        <v>0</v>
      </c>
      <c r="AO1117" s="88">
        <f>SUMIF(月間集計シート!$M$113:$M$132,$G1117,月間集計シート!Q$113:Q$132)*AO$2</f>
        <v>0</v>
      </c>
      <c r="AP1117" s="88">
        <f>SUMIF(月間集計シート!$M$113:$M$132,$G1117,月間集計シート!R$113:R$132)*AP$2</f>
        <v>0</v>
      </c>
      <c r="AQ1117" s="88">
        <f>SUMIF(月間集計シート!$M$113:$M$132,$G1117,月間集計シート!S$113:S$132)*AQ$2</f>
        <v>0</v>
      </c>
      <c r="AR1117" s="88">
        <f>SUMIF(月間集計シート!$M$113:$M$132,$G1117,月間集計シート!T$113:T$132)*AR$2</f>
        <v>0</v>
      </c>
      <c r="AS1117" s="88">
        <f>SUMIF(月間集計シート!$M$134:$M$153,$G1117,月間集計シート!N$134:N$153)*AS$2</f>
        <v>0</v>
      </c>
      <c r="AT1117" s="88">
        <f>SUMIF(月間集計シート!$M$134:$M$153,$G1117,月間集計シート!O$134:O$153)*AT$2</f>
        <v>0</v>
      </c>
      <c r="AU1117" s="88">
        <f>SUMIF(月間集計シート!$M$134:$M$153,$G1117,月間集計シート!P$134:P$153)*AU$2</f>
        <v>0</v>
      </c>
      <c r="AV1117" s="88">
        <f>SUMIF(月間集計シート!$M$134:$M$153,$G1117,月間集計シート!Q$134:Q$153)*AV$2</f>
        <v>0</v>
      </c>
      <c r="AW1117" s="88">
        <f>SUMIF(月間集計シート!$M$134:$M$153,$G1117,月間集計シート!R$134:R$153)*AW$2</f>
        <v>0</v>
      </c>
      <c r="AX1117" s="88">
        <f>SUMIF(月間集計シート!$M$134:$M$153,$G1117,月間集計シート!S$134:S$153)*AX$2</f>
        <v>0</v>
      </c>
      <c r="AY1117" s="88">
        <f>SUMIF(月間集計シート!$M$134:$M$153,$G1117,月間集計シート!T$134:T$153)*AY$2</f>
        <v>0</v>
      </c>
    </row>
    <row r="1118" spans="1:51" ht="14.25" thickBot="1">
      <c r="A1118">
        <v>14</v>
      </c>
      <c r="B1118" s="120">
        <f t="shared" si="623"/>
        <v>0</v>
      </c>
      <c r="C1118" s="120" t="str">
        <f t="shared" si="624"/>
        <v/>
      </c>
      <c r="D1118" s="137"/>
      <c r="E1118" s="150" t="str">
        <f>工種!A5</f>
        <v>10105</v>
      </c>
      <c r="F1118" s="119" t="str">
        <f>工種!B5</f>
        <v>SRS：レビュー</v>
      </c>
      <c r="G1118" s="116" t="str">
        <f t="shared" si="572"/>
        <v>010105</v>
      </c>
      <c r="H1118" s="88">
        <f t="shared" si="579"/>
        <v>0</v>
      </c>
      <c r="I1118" s="132"/>
      <c r="J1118" s="88">
        <f>SUMIF(月間集計シート!$M$29:$M$48,$G1118,月間集計シート!N$29:N$48)*J$2</f>
        <v>0</v>
      </c>
      <c r="K1118" s="88">
        <f>SUMIF(月間集計シート!$M$29:$M$48,$G1118,月間集計シート!O$29:O$48)*K$2</f>
        <v>0</v>
      </c>
      <c r="L1118" s="88">
        <f>SUMIF(月間集計シート!$M$29:$M$48,$G1118,月間集計シート!P$29:P$48)*L$2</f>
        <v>0</v>
      </c>
      <c r="M1118" s="88">
        <f>SUMIF(月間集計シート!$M$29:$M$48,$G1118,月間集計シート!Q$29:Q$48)*M$2</f>
        <v>0</v>
      </c>
      <c r="N1118" s="88">
        <f>SUMIF(月間集計シート!$M$29:$M$48,$G1118,月間集計シート!R$29:R$48)*N$2</f>
        <v>0</v>
      </c>
      <c r="O1118" s="88">
        <f>SUMIF(月間集計シート!$M$29:$M$48,$G1118,月間集計シート!S$29:S$48)*O$2</f>
        <v>0</v>
      </c>
      <c r="P1118" s="88">
        <f>SUMIF(月間集計シート!$M$29:$M$48,$G1118,月間集計シート!T$29:T$48)*P$2</f>
        <v>0</v>
      </c>
      <c r="Q1118" s="88">
        <f>SUMIF(月間集計シート!$M$50:$M$69,$G1118,月間集計シート!N$50:N$69)*Q$2</f>
        <v>0</v>
      </c>
      <c r="R1118" s="88">
        <f>SUMIF(月間集計シート!$M$50:$M$69,$G1118,月間集計シート!O$50:O$69)*R$2</f>
        <v>0</v>
      </c>
      <c r="S1118" s="88">
        <f>SUMIF(月間集計シート!$M$50:$M$69,$G1118,月間集計シート!P$50:P$69)*S$2</f>
        <v>0</v>
      </c>
      <c r="T1118" s="88">
        <f>SUMIF(月間集計シート!$M$50:$M$69,$G1118,月間集計シート!Q$50:Q$69)*T$2</f>
        <v>0</v>
      </c>
      <c r="U1118" s="88">
        <f>SUMIF(月間集計シート!$M$50:$M$69,$G1118,月間集計シート!R$50:R$69)*U$2</f>
        <v>0</v>
      </c>
      <c r="V1118" s="88">
        <f>SUMIF(月間集計シート!$M$50:$M$69,$G1118,月間集計シート!S$50:S$69)*V$2</f>
        <v>0</v>
      </c>
      <c r="W1118" s="88">
        <f>SUMIF(月間集計シート!$M$50:$M$69,$G1118,月間集計シート!T$50:T$69)*W$2</f>
        <v>0</v>
      </c>
      <c r="X1118" s="88">
        <f>SUMIF(月間集計シート!$M$71:$M$90,$G1118,月間集計シート!N$71:N$90)*X$2</f>
        <v>0</v>
      </c>
      <c r="Y1118" s="88">
        <f>SUMIF(月間集計シート!$M$71:$M$90,$G1118,月間集計シート!O$71:O$90)*Y$2</f>
        <v>0</v>
      </c>
      <c r="Z1118" s="88">
        <f>SUMIF(月間集計シート!$M$71:$M$90,$G1118,月間集計シート!P$71:P$90)*Z$2</f>
        <v>0</v>
      </c>
      <c r="AA1118" s="88">
        <f>SUMIF(月間集計シート!$M$71:$M$90,$G1118,月間集計シート!Q$71:Q$90)*AA$2</f>
        <v>0</v>
      </c>
      <c r="AB1118" s="88">
        <f>SUMIF(月間集計シート!$M$71:$M$90,$G1118,月間集計シート!R$71:R$90)*AB$2</f>
        <v>0</v>
      </c>
      <c r="AC1118" s="88">
        <f>SUMIF(月間集計シート!$M$71:$M$90,$G1118,月間集計シート!S$71:S$90)*AC$2</f>
        <v>0</v>
      </c>
      <c r="AD1118" s="88">
        <f>SUMIF(月間集計シート!$M$71:$M$90,$G1118,月間集計シート!T$71:T$90)*AD$2</f>
        <v>0</v>
      </c>
      <c r="AE1118" s="88">
        <f>SUMIF(月間集計シート!$M$92:$M$111,$G1118,月間集計シート!N$92:N$111)*AE$2</f>
        <v>0</v>
      </c>
      <c r="AF1118" s="88">
        <f>SUMIF(月間集計シート!$M$92:$M$111,$G1118,月間集計シート!O$92:O$111)*AF$2</f>
        <v>0</v>
      </c>
      <c r="AG1118" s="88">
        <f>SUMIF(月間集計シート!$M$92:$M$111,$G1118,月間集計シート!P$92:P$111)*AG$2</f>
        <v>0</v>
      </c>
      <c r="AH1118" s="88">
        <f>SUMIF(月間集計シート!$M$92:$M$111,$G1118,月間集計シート!Q$92:Q$111)*AH$2</f>
        <v>0</v>
      </c>
      <c r="AI1118" s="88">
        <f>SUMIF(月間集計シート!$M$92:$M$111,$G1118,月間集計シート!R$92:R$111)*AI$2</f>
        <v>0</v>
      </c>
      <c r="AJ1118" s="88">
        <f>SUMIF(月間集計シート!$M$92:$M$111,$G1118,月間集計シート!S$92:S$111)*AJ$2</f>
        <v>0</v>
      </c>
      <c r="AK1118" s="88">
        <f>SUMIF(月間集計シート!$M$92:$M$111,$G1118,月間集計シート!T$92:T$111)*AK$2</f>
        <v>0</v>
      </c>
      <c r="AL1118" s="88">
        <f>SUMIF(月間集計シート!$M$113:$M$132,$G1118,月間集計シート!N$113:N$132)*AL$2</f>
        <v>0</v>
      </c>
      <c r="AM1118" s="88">
        <f>SUMIF(月間集計シート!$M$113:$M$132,$G1118,月間集計シート!O$113:O$132)*AM$2</f>
        <v>0</v>
      </c>
      <c r="AN1118" s="88">
        <f>SUMIF(月間集計シート!$M$113:$M$132,$G1118,月間集計シート!P$113:P$132)*AN$2</f>
        <v>0</v>
      </c>
      <c r="AO1118" s="88">
        <f>SUMIF(月間集計シート!$M$113:$M$132,$G1118,月間集計シート!Q$113:Q$132)*AO$2</f>
        <v>0</v>
      </c>
      <c r="AP1118" s="88">
        <f>SUMIF(月間集計シート!$M$113:$M$132,$G1118,月間集計シート!R$113:R$132)*AP$2</f>
        <v>0</v>
      </c>
      <c r="AQ1118" s="88">
        <f>SUMIF(月間集計シート!$M$113:$M$132,$G1118,月間集計シート!S$113:S$132)*AQ$2</f>
        <v>0</v>
      </c>
      <c r="AR1118" s="88">
        <f>SUMIF(月間集計シート!$M$113:$M$132,$G1118,月間集計シート!T$113:T$132)*AR$2</f>
        <v>0</v>
      </c>
      <c r="AS1118" s="88">
        <f>SUMIF(月間集計シート!$M$134:$M$153,$G1118,月間集計シート!N$134:N$153)*AS$2</f>
        <v>0</v>
      </c>
      <c r="AT1118" s="88">
        <f>SUMIF(月間集計シート!$M$134:$M$153,$G1118,月間集計シート!O$134:O$153)*AT$2</f>
        <v>0</v>
      </c>
      <c r="AU1118" s="88">
        <f>SUMIF(月間集計シート!$M$134:$M$153,$G1118,月間集計シート!P$134:P$153)*AU$2</f>
        <v>0</v>
      </c>
      <c r="AV1118" s="88">
        <f>SUMIF(月間集計シート!$M$134:$M$153,$G1118,月間集計シート!Q$134:Q$153)*AV$2</f>
        <v>0</v>
      </c>
      <c r="AW1118" s="88">
        <f>SUMIF(月間集計シート!$M$134:$M$153,$G1118,月間集計シート!R$134:R$153)*AW$2</f>
        <v>0</v>
      </c>
      <c r="AX1118" s="88">
        <f>SUMIF(月間集計シート!$M$134:$M$153,$G1118,月間集計シート!S$134:S$153)*AX$2</f>
        <v>0</v>
      </c>
      <c r="AY1118" s="88">
        <f>SUMIF(月間集計シート!$M$134:$M$153,$G1118,月間集計シート!T$134:T$153)*AY$2</f>
        <v>0</v>
      </c>
    </row>
    <row r="1119" spans="1:51" ht="14.25" thickBot="1">
      <c r="A1119">
        <v>14</v>
      </c>
      <c r="B1119" s="120">
        <f t="shared" si="623"/>
        <v>0</v>
      </c>
      <c r="C1119" s="120" t="str">
        <f t="shared" si="624"/>
        <v/>
      </c>
      <c r="D1119" s="137"/>
      <c r="E1119" s="150" t="str">
        <f>工種!A6</f>
        <v>10199</v>
      </c>
      <c r="F1119" s="119" t="str">
        <f>工種!B6</f>
        <v>SRS：その他</v>
      </c>
      <c r="G1119" s="116" t="str">
        <f t="shared" si="572"/>
        <v>010199</v>
      </c>
      <c r="H1119" s="88">
        <f t="shared" si="579"/>
        <v>0</v>
      </c>
      <c r="I1119" s="132"/>
      <c r="J1119" s="88">
        <f>SUMIF(月間集計シート!$M$29:$M$48,$G1119,月間集計シート!N$29:N$48)*J$2</f>
        <v>0</v>
      </c>
      <c r="K1119" s="88">
        <f>SUMIF(月間集計シート!$M$29:$M$48,$G1119,月間集計シート!O$29:O$48)*K$2</f>
        <v>0</v>
      </c>
      <c r="L1119" s="88">
        <f>SUMIF(月間集計シート!$M$29:$M$48,$G1119,月間集計シート!P$29:P$48)*L$2</f>
        <v>0</v>
      </c>
      <c r="M1119" s="88">
        <f>SUMIF(月間集計シート!$M$29:$M$48,$G1119,月間集計シート!Q$29:Q$48)*M$2</f>
        <v>0</v>
      </c>
      <c r="N1119" s="88">
        <f>SUMIF(月間集計シート!$M$29:$M$48,$G1119,月間集計シート!R$29:R$48)*N$2</f>
        <v>0</v>
      </c>
      <c r="O1119" s="88">
        <f>SUMIF(月間集計シート!$M$29:$M$48,$G1119,月間集計シート!S$29:S$48)*O$2</f>
        <v>0</v>
      </c>
      <c r="P1119" s="88">
        <f>SUMIF(月間集計シート!$M$29:$M$48,$G1119,月間集計シート!T$29:T$48)*P$2</f>
        <v>0</v>
      </c>
      <c r="Q1119" s="88">
        <f>SUMIF(月間集計シート!$M$50:$M$69,$G1119,月間集計シート!N$50:N$69)*Q$2</f>
        <v>0</v>
      </c>
      <c r="R1119" s="88">
        <f>SUMIF(月間集計シート!$M$50:$M$69,$G1119,月間集計シート!O$50:O$69)*R$2</f>
        <v>0</v>
      </c>
      <c r="S1119" s="88">
        <f>SUMIF(月間集計シート!$M$50:$M$69,$G1119,月間集計シート!P$50:P$69)*S$2</f>
        <v>0</v>
      </c>
      <c r="T1119" s="88">
        <f>SUMIF(月間集計シート!$M$50:$M$69,$G1119,月間集計シート!Q$50:Q$69)*T$2</f>
        <v>0</v>
      </c>
      <c r="U1119" s="88">
        <f>SUMIF(月間集計シート!$M$50:$M$69,$G1119,月間集計シート!R$50:R$69)*U$2</f>
        <v>0</v>
      </c>
      <c r="V1119" s="88">
        <f>SUMIF(月間集計シート!$M$50:$M$69,$G1119,月間集計シート!S$50:S$69)*V$2</f>
        <v>0</v>
      </c>
      <c r="W1119" s="88">
        <f>SUMIF(月間集計シート!$M$50:$M$69,$G1119,月間集計シート!T$50:T$69)*W$2</f>
        <v>0</v>
      </c>
      <c r="X1119" s="88">
        <f>SUMIF(月間集計シート!$M$71:$M$90,$G1119,月間集計シート!N$71:N$90)*X$2</f>
        <v>0</v>
      </c>
      <c r="Y1119" s="88">
        <f>SUMIF(月間集計シート!$M$71:$M$90,$G1119,月間集計シート!O$71:O$90)*Y$2</f>
        <v>0</v>
      </c>
      <c r="Z1119" s="88">
        <f>SUMIF(月間集計シート!$M$71:$M$90,$G1119,月間集計シート!P$71:P$90)*Z$2</f>
        <v>0</v>
      </c>
      <c r="AA1119" s="88">
        <f>SUMIF(月間集計シート!$M$71:$M$90,$G1119,月間集計シート!Q$71:Q$90)*AA$2</f>
        <v>0</v>
      </c>
      <c r="AB1119" s="88">
        <f>SUMIF(月間集計シート!$M$71:$M$90,$G1119,月間集計シート!R$71:R$90)*AB$2</f>
        <v>0</v>
      </c>
      <c r="AC1119" s="88">
        <f>SUMIF(月間集計シート!$M$71:$M$90,$G1119,月間集計シート!S$71:S$90)*AC$2</f>
        <v>0</v>
      </c>
      <c r="AD1119" s="88">
        <f>SUMIF(月間集計シート!$M$71:$M$90,$G1119,月間集計シート!T$71:T$90)*AD$2</f>
        <v>0</v>
      </c>
      <c r="AE1119" s="88">
        <f>SUMIF(月間集計シート!$M$92:$M$111,$G1119,月間集計シート!N$92:N$111)*AE$2</f>
        <v>0</v>
      </c>
      <c r="AF1119" s="88">
        <f>SUMIF(月間集計シート!$M$92:$M$111,$G1119,月間集計シート!O$92:O$111)*AF$2</f>
        <v>0</v>
      </c>
      <c r="AG1119" s="88">
        <f>SUMIF(月間集計シート!$M$92:$M$111,$G1119,月間集計シート!P$92:P$111)*AG$2</f>
        <v>0</v>
      </c>
      <c r="AH1119" s="88">
        <f>SUMIF(月間集計シート!$M$92:$M$111,$G1119,月間集計シート!Q$92:Q$111)*AH$2</f>
        <v>0</v>
      </c>
      <c r="AI1119" s="88">
        <f>SUMIF(月間集計シート!$M$92:$M$111,$G1119,月間集計シート!R$92:R$111)*AI$2</f>
        <v>0</v>
      </c>
      <c r="AJ1119" s="88">
        <f>SUMIF(月間集計シート!$M$92:$M$111,$G1119,月間集計シート!S$92:S$111)*AJ$2</f>
        <v>0</v>
      </c>
      <c r="AK1119" s="88">
        <f>SUMIF(月間集計シート!$M$92:$M$111,$G1119,月間集計シート!T$92:T$111)*AK$2</f>
        <v>0</v>
      </c>
      <c r="AL1119" s="88">
        <f>SUMIF(月間集計シート!$M$113:$M$132,$G1119,月間集計シート!N$113:N$132)*AL$2</f>
        <v>0</v>
      </c>
      <c r="AM1119" s="88">
        <f>SUMIF(月間集計シート!$M$113:$M$132,$G1119,月間集計シート!O$113:O$132)*AM$2</f>
        <v>0</v>
      </c>
      <c r="AN1119" s="88">
        <f>SUMIF(月間集計シート!$M$113:$M$132,$G1119,月間集計シート!P$113:P$132)*AN$2</f>
        <v>0</v>
      </c>
      <c r="AO1119" s="88">
        <f>SUMIF(月間集計シート!$M$113:$M$132,$G1119,月間集計シート!Q$113:Q$132)*AO$2</f>
        <v>0</v>
      </c>
      <c r="AP1119" s="88">
        <f>SUMIF(月間集計シート!$M$113:$M$132,$G1119,月間集計シート!R$113:R$132)*AP$2</f>
        <v>0</v>
      </c>
      <c r="AQ1119" s="88">
        <f>SUMIF(月間集計シート!$M$113:$M$132,$G1119,月間集計シート!S$113:S$132)*AQ$2</f>
        <v>0</v>
      </c>
      <c r="AR1119" s="88">
        <f>SUMIF(月間集計シート!$M$113:$M$132,$G1119,月間集計シート!T$113:T$132)*AR$2</f>
        <v>0</v>
      </c>
      <c r="AS1119" s="88">
        <f>SUMIF(月間集計シート!$M$134:$M$153,$G1119,月間集計シート!N$134:N$153)*AS$2</f>
        <v>0</v>
      </c>
      <c r="AT1119" s="88">
        <f>SUMIF(月間集計シート!$M$134:$M$153,$G1119,月間集計シート!O$134:O$153)*AT$2</f>
        <v>0</v>
      </c>
      <c r="AU1119" s="88">
        <f>SUMIF(月間集計シート!$M$134:$M$153,$G1119,月間集計シート!P$134:P$153)*AU$2</f>
        <v>0</v>
      </c>
      <c r="AV1119" s="88">
        <f>SUMIF(月間集計シート!$M$134:$M$153,$G1119,月間集計シート!Q$134:Q$153)*AV$2</f>
        <v>0</v>
      </c>
      <c r="AW1119" s="88">
        <f>SUMIF(月間集計シート!$M$134:$M$153,$G1119,月間集計シート!R$134:R$153)*AW$2</f>
        <v>0</v>
      </c>
      <c r="AX1119" s="88">
        <f>SUMIF(月間集計シート!$M$134:$M$153,$G1119,月間集計シート!S$134:S$153)*AX$2</f>
        <v>0</v>
      </c>
      <c r="AY1119" s="88">
        <f>SUMIF(月間集計シート!$M$134:$M$153,$G1119,月間集計シート!T$134:T$153)*AY$2</f>
        <v>0</v>
      </c>
    </row>
    <row r="1120" spans="1:51" ht="14.25" thickBot="1">
      <c r="A1120">
        <v>14</v>
      </c>
      <c r="B1120" s="120">
        <f t="shared" si="623"/>
        <v>0</v>
      </c>
      <c r="C1120" s="120" t="str">
        <f t="shared" si="624"/>
        <v/>
      </c>
      <c r="D1120" s="137"/>
      <c r="E1120" s="150" t="str">
        <f>工種!A7</f>
        <v>20101</v>
      </c>
      <c r="F1120" s="119" t="str">
        <f>工種!B7</f>
        <v>設計：外部設計書作成</v>
      </c>
      <c r="G1120" s="116" t="str">
        <f t="shared" si="572"/>
        <v>020101</v>
      </c>
      <c r="H1120" s="88">
        <f t="shared" si="579"/>
        <v>0</v>
      </c>
      <c r="I1120" s="132"/>
      <c r="J1120" s="88">
        <f>SUMIF(月間集計シート!$M$29:$M$48,$G1120,月間集計シート!N$29:N$48)*J$2</f>
        <v>0</v>
      </c>
      <c r="K1120" s="88">
        <f>SUMIF(月間集計シート!$M$29:$M$48,$G1120,月間集計シート!O$29:O$48)*K$2</f>
        <v>0</v>
      </c>
      <c r="L1120" s="88">
        <f>SUMIF(月間集計シート!$M$29:$M$48,$G1120,月間集計シート!P$29:P$48)*L$2</f>
        <v>0</v>
      </c>
      <c r="M1120" s="88">
        <f>SUMIF(月間集計シート!$M$29:$M$48,$G1120,月間集計シート!Q$29:Q$48)*M$2</f>
        <v>0</v>
      </c>
      <c r="N1120" s="88">
        <f>SUMIF(月間集計シート!$M$29:$M$48,$G1120,月間集計シート!R$29:R$48)*N$2</f>
        <v>0</v>
      </c>
      <c r="O1120" s="88">
        <f>SUMIF(月間集計シート!$M$29:$M$48,$G1120,月間集計シート!S$29:S$48)*O$2</f>
        <v>0</v>
      </c>
      <c r="P1120" s="88">
        <f>SUMIF(月間集計シート!$M$29:$M$48,$G1120,月間集計シート!T$29:T$48)*P$2</f>
        <v>0</v>
      </c>
      <c r="Q1120" s="88">
        <f>SUMIF(月間集計シート!$M$50:$M$69,$G1120,月間集計シート!N$50:N$69)*Q$2</f>
        <v>0</v>
      </c>
      <c r="R1120" s="88">
        <f>SUMIF(月間集計シート!$M$50:$M$69,$G1120,月間集計シート!O$50:O$69)*R$2</f>
        <v>0</v>
      </c>
      <c r="S1120" s="88">
        <f>SUMIF(月間集計シート!$M$50:$M$69,$G1120,月間集計シート!P$50:P$69)*S$2</f>
        <v>0</v>
      </c>
      <c r="T1120" s="88">
        <f>SUMIF(月間集計シート!$M$50:$M$69,$G1120,月間集計シート!Q$50:Q$69)*T$2</f>
        <v>0</v>
      </c>
      <c r="U1120" s="88">
        <f>SUMIF(月間集計シート!$M$50:$M$69,$G1120,月間集計シート!R$50:R$69)*U$2</f>
        <v>0</v>
      </c>
      <c r="V1120" s="88">
        <f>SUMIF(月間集計シート!$M$50:$M$69,$G1120,月間集計シート!S$50:S$69)*V$2</f>
        <v>0</v>
      </c>
      <c r="W1120" s="88">
        <f>SUMIF(月間集計シート!$M$50:$M$69,$G1120,月間集計シート!T$50:T$69)*W$2</f>
        <v>0</v>
      </c>
      <c r="X1120" s="88">
        <f>SUMIF(月間集計シート!$M$71:$M$90,$G1120,月間集計シート!N$71:N$90)*X$2</f>
        <v>0</v>
      </c>
      <c r="Y1120" s="88">
        <f>SUMIF(月間集計シート!$M$71:$M$90,$G1120,月間集計シート!O$71:O$90)*Y$2</f>
        <v>0</v>
      </c>
      <c r="Z1120" s="88">
        <f>SUMIF(月間集計シート!$M$71:$M$90,$G1120,月間集計シート!P$71:P$90)*Z$2</f>
        <v>0</v>
      </c>
      <c r="AA1120" s="88">
        <f>SUMIF(月間集計シート!$M$71:$M$90,$G1120,月間集計シート!Q$71:Q$90)*AA$2</f>
        <v>0</v>
      </c>
      <c r="AB1120" s="88">
        <f>SUMIF(月間集計シート!$M$71:$M$90,$G1120,月間集計シート!R$71:R$90)*AB$2</f>
        <v>0</v>
      </c>
      <c r="AC1120" s="88">
        <f>SUMIF(月間集計シート!$M$71:$M$90,$G1120,月間集計シート!S$71:S$90)*AC$2</f>
        <v>0</v>
      </c>
      <c r="AD1120" s="88">
        <f>SUMIF(月間集計シート!$M$71:$M$90,$G1120,月間集計シート!T$71:T$90)*AD$2</f>
        <v>0</v>
      </c>
      <c r="AE1120" s="88">
        <f>SUMIF(月間集計シート!$M$92:$M$111,$G1120,月間集計シート!N$92:N$111)*AE$2</f>
        <v>0</v>
      </c>
      <c r="AF1120" s="88">
        <f>SUMIF(月間集計シート!$M$92:$M$111,$G1120,月間集計シート!O$92:O$111)*AF$2</f>
        <v>0</v>
      </c>
      <c r="AG1120" s="88">
        <f>SUMIF(月間集計シート!$M$92:$M$111,$G1120,月間集計シート!P$92:P$111)*AG$2</f>
        <v>0</v>
      </c>
      <c r="AH1120" s="88">
        <f>SUMIF(月間集計シート!$M$92:$M$111,$G1120,月間集計シート!Q$92:Q$111)*AH$2</f>
        <v>0</v>
      </c>
      <c r="AI1120" s="88">
        <f>SUMIF(月間集計シート!$M$92:$M$111,$G1120,月間集計シート!R$92:R$111)*AI$2</f>
        <v>0</v>
      </c>
      <c r="AJ1120" s="88">
        <f>SUMIF(月間集計シート!$M$92:$M$111,$G1120,月間集計シート!S$92:S$111)*AJ$2</f>
        <v>0</v>
      </c>
      <c r="AK1120" s="88">
        <f>SUMIF(月間集計シート!$M$92:$M$111,$G1120,月間集計シート!T$92:T$111)*AK$2</f>
        <v>0</v>
      </c>
      <c r="AL1120" s="88">
        <f>SUMIF(月間集計シート!$M$113:$M$132,$G1120,月間集計シート!N$113:N$132)*AL$2</f>
        <v>0</v>
      </c>
      <c r="AM1120" s="88">
        <f>SUMIF(月間集計シート!$M$113:$M$132,$G1120,月間集計シート!O$113:O$132)*AM$2</f>
        <v>0</v>
      </c>
      <c r="AN1120" s="88">
        <f>SUMIF(月間集計シート!$M$113:$M$132,$G1120,月間集計シート!P$113:P$132)*AN$2</f>
        <v>0</v>
      </c>
      <c r="AO1120" s="88">
        <f>SUMIF(月間集計シート!$M$113:$M$132,$G1120,月間集計シート!Q$113:Q$132)*AO$2</f>
        <v>0</v>
      </c>
      <c r="AP1120" s="88">
        <f>SUMIF(月間集計シート!$M$113:$M$132,$G1120,月間集計シート!R$113:R$132)*AP$2</f>
        <v>0</v>
      </c>
      <c r="AQ1120" s="88">
        <f>SUMIF(月間集計シート!$M$113:$M$132,$G1120,月間集計シート!S$113:S$132)*AQ$2</f>
        <v>0</v>
      </c>
      <c r="AR1120" s="88">
        <f>SUMIF(月間集計シート!$M$113:$M$132,$G1120,月間集計シート!T$113:T$132)*AR$2</f>
        <v>0</v>
      </c>
      <c r="AS1120" s="88">
        <f>SUMIF(月間集計シート!$M$134:$M$153,$G1120,月間集計シート!N$134:N$153)*AS$2</f>
        <v>0</v>
      </c>
      <c r="AT1120" s="88">
        <f>SUMIF(月間集計シート!$M$134:$M$153,$G1120,月間集計シート!O$134:O$153)*AT$2</f>
        <v>0</v>
      </c>
      <c r="AU1120" s="88">
        <f>SUMIF(月間集計シート!$M$134:$M$153,$G1120,月間集計シート!P$134:P$153)*AU$2</f>
        <v>0</v>
      </c>
      <c r="AV1120" s="88">
        <f>SUMIF(月間集計シート!$M$134:$M$153,$G1120,月間集計シート!Q$134:Q$153)*AV$2</f>
        <v>0</v>
      </c>
      <c r="AW1120" s="88">
        <f>SUMIF(月間集計シート!$M$134:$M$153,$G1120,月間集計シート!R$134:R$153)*AW$2</f>
        <v>0</v>
      </c>
      <c r="AX1120" s="88">
        <f>SUMIF(月間集計シート!$M$134:$M$153,$G1120,月間集計シート!S$134:S$153)*AX$2</f>
        <v>0</v>
      </c>
      <c r="AY1120" s="88">
        <f>SUMIF(月間集計シート!$M$134:$M$153,$G1120,月間集計シート!T$134:T$153)*AY$2</f>
        <v>0</v>
      </c>
    </row>
    <row r="1121" spans="1:51" ht="14.25" thickBot="1">
      <c r="A1121">
        <v>14</v>
      </c>
      <c r="B1121" s="120">
        <f t="shared" si="623"/>
        <v>0</v>
      </c>
      <c r="C1121" s="120" t="str">
        <f t="shared" si="624"/>
        <v/>
      </c>
      <c r="D1121" s="137"/>
      <c r="E1121" s="150" t="str">
        <f>工種!A8</f>
        <v>20103</v>
      </c>
      <c r="F1121" s="119" t="str">
        <f>工種!B8</f>
        <v>設計：打合せ</v>
      </c>
      <c r="G1121" s="116" t="str">
        <f t="shared" si="572"/>
        <v>020103</v>
      </c>
      <c r="H1121" s="88">
        <f t="shared" si="579"/>
        <v>0</v>
      </c>
      <c r="I1121" s="132"/>
      <c r="J1121" s="88">
        <f>SUMIF(月間集計シート!$M$29:$M$48,$G1121,月間集計シート!N$29:N$48)*J$2</f>
        <v>0</v>
      </c>
      <c r="K1121" s="88">
        <f>SUMIF(月間集計シート!$M$29:$M$48,$G1121,月間集計シート!O$29:O$48)*K$2</f>
        <v>0</v>
      </c>
      <c r="L1121" s="88">
        <f>SUMIF(月間集計シート!$M$29:$M$48,$G1121,月間集計シート!P$29:P$48)*L$2</f>
        <v>0</v>
      </c>
      <c r="M1121" s="88">
        <f>SUMIF(月間集計シート!$M$29:$M$48,$G1121,月間集計シート!Q$29:Q$48)*M$2</f>
        <v>0</v>
      </c>
      <c r="N1121" s="88">
        <f>SUMIF(月間集計シート!$M$29:$M$48,$G1121,月間集計シート!R$29:R$48)*N$2</f>
        <v>0</v>
      </c>
      <c r="O1121" s="88">
        <f>SUMIF(月間集計シート!$M$29:$M$48,$G1121,月間集計シート!S$29:S$48)*O$2</f>
        <v>0</v>
      </c>
      <c r="P1121" s="88">
        <f>SUMIF(月間集計シート!$M$29:$M$48,$G1121,月間集計シート!T$29:T$48)*P$2</f>
        <v>0</v>
      </c>
      <c r="Q1121" s="88">
        <f>SUMIF(月間集計シート!$M$50:$M$69,$G1121,月間集計シート!N$50:N$69)*Q$2</f>
        <v>0</v>
      </c>
      <c r="R1121" s="88">
        <f>SUMIF(月間集計シート!$M$50:$M$69,$G1121,月間集計シート!O$50:O$69)*R$2</f>
        <v>0</v>
      </c>
      <c r="S1121" s="88">
        <f>SUMIF(月間集計シート!$M$50:$M$69,$G1121,月間集計シート!P$50:P$69)*S$2</f>
        <v>0</v>
      </c>
      <c r="T1121" s="88">
        <f>SUMIF(月間集計シート!$M$50:$M$69,$G1121,月間集計シート!Q$50:Q$69)*T$2</f>
        <v>0</v>
      </c>
      <c r="U1121" s="88">
        <f>SUMIF(月間集計シート!$M$50:$M$69,$G1121,月間集計シート!R$50:R$69)*U$2</f>
        <v>0</v>
      </c>
      <c r="V1121" s="88">
        <f>SUMIF(月間集計シート!$M$50:$M$69,$G1121,月間集計シート!S$50:S$69)*V$2</f>
        <v>0</v>
      </c>
      <c r="W1121" s="88">
        <f>SUMIF(月間集計シート!$M$50:$M$69,$G1121,月間集計シート!T$50:T$69)*W$2</f>
        <v>0</v>
      </c>
      <c r="X1121" s="88">
        <f>SUMIF(月間集計シート!$M$71:$M$90,$G1121,月間集計シート!N$71:N$90)*X$2</f>
        <v>0</v>
      </c>
      <c r="Y1121" s="88">
        <f>SUMIF(月間集計シート!$M$71:$M$90,$G1121,月間集計シート!O$71:O$90)*Y$2</f>
        <v>0</v>
      </c>
      <c r="Z1121" s="88">
        <f>SUMIF(月間集計シート!$M$71:$M$90,$G1121,月間集計シート!P$71:P$90)*Z$2</f>
        <v>0</v>
      </c>
      <c r="AA1121" s="88">
        <f>SUMIF(月間集計シート!$M$71:$M$90,$G1121,月間集計シート!Q$71:Q$90)*AA$2</f>
        <v>0</v>
      </c>
      <c r="AB1121" s="88">
        <f>SUMIF(月間集計シート!$M$71:$M$90,$G1121,月間集計シート!R$71:R$90)*AB$2</f>
        <v>0</v>
      </c>
      <c r="AC1121" s="88">
        <f>SUMIF(月間集計シート!$M$71:$M$90,$G1121,月間集計シート!S$71:S$90)*AC$2</f>
        <v>0</v>
      </c>
      <c r="AD1121" s="88">
        <f>SUMIF(月間集計シート!$M$71:$M$90,$G1121,月間集計シート!T$71:T$90)*AD$2</f>
        <v>0</v>
      </c>
      <c r="AE1121" s="88">
        <f>SUMIF(月間集計シート!$M$92:$M$111,$G1121,月間集計シート!N$92:N$111)*AE$2</f>
        <v>0</v>
      </c>
      <c r="AF1121" s="88">
        <f>SUMIF(月間集計シート!$M$92:$M$111,$G1121,月間集計シート!O$92:O$111)*AF$2</f>
        <v>0</v>
      </c>
      <c r="AG1121" s="88">
        <f>SUMIF(月間集計シート!$M$92:$M$111,$G1121,月間集計シート!P$92:P$111)*AG$2</f>
        <v>0</v>
      </c>
      <c r="AH1121" s="88">
        <f>SUMIF(月間集計シート!$M$92:$M$111,$G1121,月間集計シート!Q$92:Q$111)*AH$2</f>
        <v>0</v>
      </c>
      <c r="AI1121" s="88">
        <f>SUMIF(月間集計シート!$M$92:$M$111,$G1121,月間集計シート!R$92:R$111)*AI$2</f>
        <v>0</v>
      </c>
      <c r="AJ1121" s="88">
        <f>SUMIF(月間集計シート!$M$92:$M$111,$G1121,月間集計シート!S$92:S$111)*AJ$2</f>
        <v>0</v>
      </c>
      <c r="AK1121" s="88">
        <f>SUMIF(月間集計シート!$M$92:$M$111,$G1121,月間集計シート!T$92:T$111)*AK$2</f>
        <v>0</v>
      </c>
      <c r="AL1121" s="88">
        <f>SUMIF(月間集計シート!$M$113:$M$132,$G1121,月間集計シート!N$113:N$132)*AL$2</f>
        <v>0</v>
      </c>
      <c r="AM1121" s="88">
        <f>SUMIF(月間集計シート!$M$113:$M$132,$G1121,月間集計シート!O$113:O$132)*AM$2</f>
        <v>0</v>
      </c>
      <c r="AN1121" s="88">
        <f>SUMIF(月間集計シート!$M$113:$M$132,$G1121,月間集計シート!P$113:P$132)*AN$2</f>
        <v>0</v>
      </c>
      <c r="AO1121" s="88">
        <f>SUMIF(月間集計シート!$M$113:$M$132,$G1121,月間集計シート!Q$113:Q$132)*AO$2</f>
        <v>0</v>
      </c>
      <c r="AP1121" s="88">
        <f>SUMIF(月間集計シート!$M$113:$M$132,$G1121,月間集計シート!R$113:R$132)*AP$2</f>
        <v>0</v>
      </c>
      <c r="AQ1121" s="88">
        <f>SUMIF(月間集計シート!$M$113:$M$132,$G1121,月間集計シート!S$113:S$132)*AQ$2</f>
        <v>0</v>
      </c>
      <c r="AR1121" s="88">
        <f>SUMIF(月間集計シート!$M$113:$M$132,$G1121,月間集計シート!T$113:T$132)*AR$2</f>
        <v>0</v>
      </c>
      <c r="AS1121" s="88">
        <f>SUMIF(月間集計シート!$M$134:$M$153,$G1121,月間集計シート!N$134:N$153)*AS$2</f>
        <v>0</v>
      </c>
      <c r="AT1121" s="88">
        <f>SUMIF(月間集計シート!$M$134:$M$153,$G1121,月間集計シート!O$134:O$153)*AT$2</f>
        <v>0</v>
      </c>
      <c r="AU1121" s="88">
        <f>SUMIF(月間集計シート!$M$134:$M$153,$G1121,月間集計シート!P$134:P$153)*AU$2</f>
        <v>0</v>
      </c>
      <c r="AV1121" s="88">
        <f>SUMIF(月間集計シート!$M$134:$M$153,$G1121,月間集計シート!Q$134:Q$153)*AV$2</f>
        <v>0</v>
      </c>
      <c r="AW1121" s="88">
        <f>SUMIF(月間集計シート!$M$134:$M$153,$G1121,月間集計シート!R$134:R$153)*AW$2</f>
        <v>0</v>
      </c>
      <c r="AX1121" s="88">
        <f>SUMIF(月間集計シート!$M$134:$M$153,$G1121,月間集計シート!S$134:S$153)*AX$2</f>
        <v>0</v>
      </c>
      <c r="AY1121" s="88">
        <f>SUMIF(月間集計シート!$M$134:$M$153,$G1121,月間集計シート!T$134:T$153)*AY$2</f>
        <v>0</v>
      </c>
    </row>
    <row r="1122" spans="1:51" ht="14.25" thickBot="1">
      <c r="A1122">
        <v>14</v>
      </c>
      <c r="B1122" s="120">
        <f t="shared" si="623"/>
        <v>0</v>
      </c>
      <c r="C1122" s="120" t="str">
        <f t="shared" si="624"/>
        <v/>
      </c>
      <c r="D1122" s="137"/>
      <c r="E1122" s="150">
        <f>工種!A9</f>
        <v>20105</v>
      </c>
      <c r="F1122" s="119" t="str">
        <f>工種!B9</f>
        <v>設計：原因調査・影響範囲分析・変更仕様作成</v>
      </c>
      <c r="G1122" s="116" t="str">
        <f t="shared" si="572"/>
        <v>020105</v>
      </c>
      <c r="H1122" s="88">
        <f t="shared" si="579"/>
        <v>0</v>
      </c>
      <c r="I1122" s="132"/>
      <c r="J1122" s="88">
        <f>SUMIF(月間集計シート!$M$29:$M$48,$G1122,月間集計シート!N$29:N$48)*J$2</f>
        <v>0</v>
      </c>
      <c r="K1122" s="88">
        <f>SUMIF(月間集計シート!$M$29:$M$48,$G1122,月間集計シート!O$29:O$48)*K$2</f>
        <v>0</v>
      </c>
      <c r="L1122" s="88">
        <f>SUMIF(月間集計シート!$M$29:$M$48,$G1122,月間集計シート!P$29:P$48)*L$2</f>
        <v>0</v>
      </c>
      <c r="M1122" s="88">
        <f>SUMIF(月間集計シート!$M$29:$M$48,$G1122,月間集計シート!Q$29:Q$48)*M$2</f>
        <v>0</v>
      </c>
      <c r="N1122" s="88">
        <f>SUMIF(月間集計シート!$M$29:$M$48,$G1122,月間集計シート!R$29:R$48)*N$2</f>
        <v>0</v>
      </c>
      <c r="O1122" s="88">
        <f>SUMIF(月間集計シート!$M$29:$M$48,$G1122,月間集計シート!S$29:S$48)*O$2</f>
        <v>0</v>
      </c>
      <c r="P1122" s="88">
        <f>SUMIF(月間集計シート!$M$29:$M$48,$G1122,月間集計シート!T$29:T$48)*P$2</f>
        <v>0</v>
      </c>
      <c r="Q1122" s="88">
        <f>SUMIF(月間集計シート!$M$50:$M$69,$G1122,月間集計シート!N$50:N$69)*Q$2</f>
        <v>0</v>
      </c>
      <c r="R1122" s="88">
        <f>SUMIF(月間集計シート!$M$50:$M$69,$G1122,月間集計シート!O$50:O$69)*R$2</f>
        <v>0</v>
      </c>
      <c r="S1122" s="88">
        <f>SUMIF(月間集計シート!$M$50:$M$69,$G1122,月間集計シート!P$50:P$69)*S$2</f>
        <v>0</v>
      </c>
      <c r="T1122" s="88">
        <f>SUMIF(月間集計シート!$M$50:$M$69,$G1122,月間集計シート!Q$50:Q$69)*T$2</f>
        <v>0</v>
      </c>
      <c r="U1122" s="88">
        <f>SUMIF(月間集計シート!$M$50:$M$69,$G1122,月間集計シート!R$50:R$69)*U$2</f>
        <v>0</v>
      </c>
      <c r="V1122" s="88">
        <f>SUMIF(月間集計シート!$M$50:$M$69,$G1122,月間集計シート!S$50:S$69)*V$2</f>
        <v>0</v>
      </c>
      <c r="W1122" s="88">
        <f>SUMIF(月間集計シート!$M$50:$M$69,$G1122,月間集計シート!T$50:T$69)*W$2</f>
        <v>0</v>
      </c>
      <c r="X1122" s="88">
        <f>SUMIF(月間集計シート!$M$71:$M$90,$G1122,月間集計シート!N$71:N$90)*X$2</f>
        <v>0</v>
      </c>
      <c r="Y1122" s="88">
        <f>SUMIF(月間集計シート!$M$71:$M$90,$G1122,月間集計シート!O$71:O$90)*Y$2</f>
        <v>0</v>
      </c>
      <c r="Z1122" s="88">
        <f>SUMIF(月間集計シート!$M$71:$M$90,$G1122,月間集計シート!P$71:P$90)*Z$2</f>
        <v>0</v>
      </c>
      <c r="AA1122" s="88">
        <f>SUMIF(月間集計シート!$M$71:$M$90,$G1122,月間集計シート!Q$71:Q$90)*AA$2</f>
        <v>0</v>
      </c>
      <c r="AB1122" s="88">
        <f>SUMIF(月間集計シート!$M$71:$M$90,$G1122,月間集計シート!R$71:R$90)*AB$2</f>
        <v>0</v>
      </c>
      <c r="AC1122" s="88">
        <f>SUMIF(月間集計シート!$M$71:$M$90,$G1122,月間集計シート!S$71:S$90)*AC$2</f>
        <v>0</v>
      </c>
      <c r="AD1122" s="88">
        <f>SUMIF(月間集計シート!$M$71:$M$90,$G1122,月間集計シート!T$71:T$90)*AD$2</f>
        <v>0</v>
      </c>
      <c r="AE1122" s="88">
        <f>SUMIF(月間集計シート!$M$92:$M$111,$G1122,月間集計シート!N$92:N$111)*AE$2</f>
        <v>0</v>
      </c>
      <c r="AF1122" s="88">
        <f>SUMIF(月間集計シート!$M$92:$M$111,$G1122,月間集計シート!O$92:O$111)*AF$2</f>
        <v>0</v>
      </c>
      <c r="AG1122" s="88">
        <f>SUMIF(月間集計シート!$M$92:$M$111,$G1122,月間集計シート!P$92:P$111)*AG$2</f>
        <v>0</v>
      </c>
      <c r="AH1122" s="88">
        <f>SUMIF(月間集計シート!$M$92:$M$111,$G1122,月間集計シート!Q$92:Q$111)*AH$2</f>
        <v>0</v>
      </c>
      <c r="AI1122" s="88">
        <f>SUMIF(月間集計シート!$M$92:$M$111,$G1122,月間集計シート!R$92:R$111)*AI$2</f>
        <v>0</v>
      </c>
      <c r="AJ1122" s="88">
        <f>SUMIF(月間集計シート!$M$92:$M$111,$G1122,月間集計シート!S$92:S$111)*AJ$2</f>
        <v>0</v>
      </c>
      <c r="AK1122" s="88">
        <f>SUMIF(月間集計シート!$M$92:$M$111,$G1122,月間集計シート!T$92:T$111)*AK$2</f>
        <v>0</v>
      </c>
      <c r="AL1122" s="88">
        <f>SUMIF(月間集計シート!$M$113:$M$132,$G1122,月間集計シート!N$113:N$132)*AL$2</f>
        <v>0</v>
      </c>
      <c r="AM1122" s="88">
        <f>SUMIF(月間集計シート!$M$113:$M$132,$G1122,月間集計シート!O$113:O$132)*AM$2</f>
        <v>0</v>
      </c>
      <c r="AN1122" s="88">
        <f>SUMIF(月間集計シート!$M$113:$M$132,$G1122,月間集計シート!P$113:P$132)*AN$2</f>
        <v>0</v>
      </c>
      <c r="AO1122" s="88">
        <f>SUMIF(月間集計シート!$M$113:$M$132,$G1122,月間集計シート!Q$113:Q$132)*AO$2</f>
        <v>0</v>
      </c>
      <c r="AP1122" s="88">
        <f>SUMIF(月間集計シート!$M$113:$M$132,$G1122,月間集計シート!R$113:R$132)*AP$2</f>
        <v>0</v>
      </c>
      <c r="AQ1122" s="88">
        <f>SUMIF(月間集計シート!$M$113:$M$132,$G1122,月間集計シート!S$113:S$132)*AQ$2</f>
        <v>0</v>
      </c>
      <c r="AR1122" s="88">
        <f>SUMIF(月間集計シート!$M$113:$M$132,$G1122,月間集計シート!T$113:T$132)*AR$2</f>
        <v>0</v>
      </c>
      <c r="AS1122" s="88">
        <f>SUMIF(月間集計シート!$M$134:$M$153,$G1122,月間集計シート!N$134:N$153)*AS$2</f>
        <v>0</v>
      </c>
      <c r="AT1122" s="88">
        <f>SUMIF(月間集計シート!$M$134:$M$153,$G1122,月間集計シート!O$134:O$153)*AT$2</f>
        <v>0</v>
      </c>
      <c r="AU1122" s="88">
        <f>SUMIF(月間集計シート!$M$134:$M$153,$G1122,月間集計シート!P$134:P$153)*AU$2</f>
        <v>0</v>
      </c>
      <c r="AV1122" s="88">
        <f>SUMIF(月間集計シート!$M$134:$M$153,$G1122,月間集計シート!Q$134:Q$153)*AV$2</f>
        <v>0</v>
      </c>
      <c r="AW1122" s="88">
        <f>SUMIF(月間集計シート!$M$134:$M$153,$G1122,月間集計シート!R$134:R$153)*AW$2</f>
        <v>0</v>
      </c>
      <c r="AX1122" s="88">
        <f>SUMIF(月間集計シート!$M$134:$M$153,$G1122,月間集計シート!S$134:S$153)*AX$2</f>
        <v>0</v>
      </c>
      <c r="AY1122" s="88">
        <f>SUMIF(月間集計シート!$M$134:$M$153,$G1122,月間集計シート!T$134:T$153)*AY$2</f>
        <v>0</v>
      </c>
    </row>
    <row r="1123" spans="1:51" ht="14.25" thickBot="1">
      <c r="A1123">
        <v>14</v>
      </c>
      <c r="B1123" s="120">
        <f t="shared" si="623"/>
        <v>0</v>
      </c>
      <c r="C1123" s="120" t="str">
        <f t="shared" si="624"/>
        <v/>
      </c>
      <c r="D1123" s="137"/>
      <c r="E1123" s="150" t="str">
        <f>工種!A10</f>
        <v>20106</v>
      </c>
      <c r="F1123" s="119" t="str">
        <f>工種!B10</f>
        <v>設計：設計書修正（手戻り分）</v>
      </c>
      <c r="G1123" s="116" t="str">
        <f t="shared" si="572"/>
        <v>020106</v>
      </c>
      <c r="H1123" s="88">
        <f t="shared" si="579"/>
        <v>0</v>
      </c>
      <c r="I1123" s="132"/>
      <c r="J1123" s="88">
        <f>SUMIF(月間集計シート!$M$29:$M$48,$G1123,月間集計シート!N$29:N$48)*J$2</f>
        <v>0</v>
      </c>
      <c r="K1123" s="88">
        <f>SUMIF(月間集計シート!$M$29:$M$48,$G1123,月間集計シート!O$29:O$48)*K$2</f>
        <v>0</v>
      </c>
      <c r="L1123" s="88">
        <f>SUMIF(月間集計シート!$M$29:$M$48,$G1123,月間集計シート!P$29:P$48)*L$2</f>
        <v>0</v>
      </c>
      <c r="M1123" s="88">
        <f>SUMIF(月間集計シート!$M$29:$M$48,$G1123,月間集計シート!Q$29:Q$48)*M$2</f>
        <v>0</v>
      </c>
      <c r="N1123" s="88">
        <f>SUMIF(月間集計シート!$M$29:$M$48,$G1123,月間集計シート!R$29:R$48)*N$2</f>
        <v>0</v>
      </c>
      <c r="O1123" s="88">
        <f>SUMIF(月間集計シート!$M$29:$M$48,$G1123,月間集計シート!S$29:S$48)*O$2</f>
        <v>0</v>
      </c>
      <c r="P1123" s="88">
        <f>SUMIF(月間集計シート!$M$29:$M$48,$G1123,月間集計シート!T$29:T$48)*P$2</f>
        <v>0</v>
      </c>
      <c r="Q1123" s="88">
        <f>SUMIF(月間集計シート!$M$50:$M$69,$G1123,月間集計シート!N$50:N$69)*Q$2</f>
        <v>0</v>
      </c>
      <c r="R1123" s="88">
        <f>SUMIF(月間集計シート!$M$50:$M$69,$G1123,月間集計シート!O$50:O$69)*R$2</f>
        <v>0</v>
      </c>
      <c r="S1123" s="88">
        <f>SUMIF(月間集計シート!$M$50:$M$69,$G1123,月間集計シート!P$50:P$69)*S$2</f>
        <v>0</v>
      </c>
      <c r="T1123" s="88">
        <f>SUMIF(月間集計シート!$M$50:$M$69,$G1123,月間集計シート!Q$50:Q$69)*T$2</f>
        <v>0</v>
      </c>
      <c r="U1123" s="88">
        <f>SUMIF(月間集計シート!$M$50:$M$69,$G1123,月間集計シート!R$50:R$69)*U$2</f>
        <v>0</v>
      </c>
      <c r="V1123" s="88">
        <f>SUMIF(月間集計シート!$M$50:$M$69,$G1123,月間集計シート!S$50:S$69)*V$2</f>
        <v>0</v>
      </c>
      <c r="W1123" s="88">
        <f>SUMIF(月間集計シート!$M$50:$M$69,$G1123,月間集計シート!T$50:T$69)*W$2</f>
        <v>0</v>
      </c>
      <c r="X1123" s="88">
        <f>SUMIF(月間集計シート!$M$71:$M$90,$G1123,月間集計シート!N$71:N$90)*X$2</f>
        <v>0</v>
      </c>
      <c r="Y1123" s="88">
        <f>SUMIF(月間集計シート!$M$71:$M$90,$G1123,月間集計シート!O$71:O$90)*Y$2</f>
        <v>0</v>
      </c>
      <c r="Z1123" s="88">
        <f>SUMIF(月間集計シート!$M$71:$M$90,$G1123,月間集計シート!P$71:P$90)*Z$2</f>
        <v>0</v>
      </c>
      <c r="AA1123" s="88">
        <f>SUMIF(月間集計シート!$M$71:$M$90,$G1123,月間集計シート!Q$71:Q$90)*AA$2</f>
        <v>0</v>
      </c>
      <c r="AB1123" s="88">
        <f>SUMIF(月間集計シート!$M$71:$M$90,$G1123,月間集計シート!R$71:R$90)*AB$2</f>
        <v>0</v>
      </c>
      <c r="AC1123" s="88">
        <f>SUMIF(月間集計シート!$M$71:$M$90,$G1123,月間集計シート!S$71:S$90)*AC$2</f>
        <v>0</v>
      </c>
      <c r="AD1123" s="88">
        <f>SUMIF(月間集計シート!$M$71:$M$90,$G1123,月間集計シート!T$71:T$90)*AD$2</f>
        <v>0</v>
      </c>
      <c r="AE1123" s="88">
        <f>SUMIF(月間集計シート!$M$92:$M$111,$G1123,月間集計シート!N$92:N$111)*AE$2</f>
        <v>0</v>
      </c>
      <c r="AF1123" s="88">
        <f>SUMIF(月間集計シート!$M$92:$M$111,$G1123,月間集計シート!O$92:O$111)*AF$2</f>
        <v>0</v>
      </c>
      <c r="AG1123" s="88">
        <f>SUMIF(月間集計シート!$M$92:$M$111,$G1123,月間集計シート!P$92:P$111)*AG$2</f>
        <v>0</v>
      </c>
      <c r="AH1123" s="88">
        <f>SUMIF(月間集計シート!$M$92:$M$111,$G1123,月間集計シート!Q$92:Q$111)*AH$2</f>
        <v>0</v>
      </c>
      <c r="AI1123" s="88">
        <f>SUMIF(月間集計シート!$M$92:$M$111,$G1123,月間集計シート!R$92:R$111)*AI$2</f>
        <v>0</v>
      </c>
      <c r="AJ1123" s="88">
        <f>SUMIF(月間集計シート!$M$92:$M$111,$G1123,月間集計シート!S$92:S$111)*AJ$2</f>
        <v>0</v>
      </c>
      <c r="AK1123" s="88">
        <f>SUMIF(月間集計シート!$M$92:$M$111,$G1123,月間集計シート!T$92:T$111)*AK$2</f>
        <v>0</v>
      </c>
      <c r="AL1123" s="88">
        <f>SUMIF(月間集計シート!$M$113:$M$132,$G1123,月間集計シート!N$113:N$132)*AL$2</f>
        <v>0</v>
      </c>
      <c r="AM1123" s="88">
        <f>SUMIF(月間集計シート!$M$113:$M$132,$G1123,月間集計シート!O$113:O$132)*AM$2</f>
        <v>0</v>
      </c>
      <c r="AN1123" s="88">
        <f>SUMIF(月間集計シート!$M$113:$M$132,$G1123,月間集計シート!P$113:P$132)*AN$2</f>
        <v>0</v>
      </c>
      <c r="AO1123" s="88">
        <f>SUMIF(月間集計シート!$M$113:$M$132,$G1123,月間集計シート!Q$113:Q$132)*AO$2</f>
        <v>0</v>
      </c>
      <c r="AP1123" s="88">
        <f>SUMIF(月間集計シート!$M$113:$M$132,$G1123,月間集計シート!R$113:R$132)*AP$2</f>
        <v>0</v>
      </c>
      <c r="AQ1123" s="88">
        <f>SUMIF(月間集計シート!$M$113:$M$132,$G1123,月間集計シート!S$113:S$132)*AQ$2</f>
        <v>0</v>
      </c>
      <c r="AR1123" s="88">
        <f>SUMIF(月間集計シート!$M$113:$M$132,$G1123,月間集計シート!T$113:T$132)*AR$2</f>
        <v>0</v>
      </c>
      <c r="AS1123" s="88">
        <f>SUMIF(月間集計シート!$M$134:$M$153,$G1123,月間集計シート!N$134:N$153)*AS$2</f>
        <v>0</v>
      </c>
      <c r="AT1123" s="88">
        <f>SUMIF(月間集計シート!$M$134:$M$153,$G1123,月間集計シート!O$134:O$153)*AT$2</f>
        <v>0</v>
      </c>
      <c r="AU1123" s="88">
        <f>SUMIF(月間集計シート!$M$134:$M$153,$G1123,月間集計シート!P$134:P$153)*AU$2</f>
        <v>0</v>
      </c>
      <c r="AV1123" s="88">
        <f>SUMIF(月間集計シート!$M$134:$M$153,$G1123,月間集計シート!Q$134:Q$153)*AV$2</f>
        <v>0</v>
      </c>
      <c r="AW1123" s="88">
        <f>SUMIF(月間集計シート!$M$134:$M$153,$G1123,月間集計シート!R$134:R$153)*AW$2</f>
        <v>0</v>
      </c>
      <c r="AX1123" s="88">
        <f>SUMIF(月間集計シート!$M$134:$M$153,$G1123,月間集計シート!S$134:S$153)*AX$2</f>
        <v>0</v>
      </c>
      <c r="AY1123" s="88">
        <f>SUMIF(月間集計シート!$M$134:$M$153,$G1123,月間集計シート!T$134:T$153)*AY$2</f>
        <v>0</v>
      </c>
    </row>
    <row r="1124" spans="1:51" ht="14.25" thickBot="1">
      <c r="A1124">
        <v>14</v>
      </c>
      <c r="B1124" s="120">
        <f t="shared" si="623"/>
        <v>0</v>
      </c>
      <c r="C1124" s="120" t="str">
        <f t="shared" si="624"/>
        <v/>
      </c>
      <c r="D1124" s="137"/>
      <c r="E1124" s="150" t="str">
        <f>工種!A11</f>
        <v>20107</v>
      </c>
      <c r="F1124" s="119" t="str">
        <f>工種!B11</f>
        <v>設計：その他の設計書作成</v>
      </c>
      <c r="G1124" s="116" t="str">
        <f t="shared" si="572"/>
        <v>020107</v>
      </c>
      <c r="H1124" s="88">
        <f t="shared" si="579"/>
        <v>0</v>
      </c>
      <c r="I1124" s="132"/>
      <c r="J1124" s="88">
        <f>SUMIF(月間集計シート!$M$29:$M$48,$G1124,月間集計シート!N$29:N$48)*J$2</f>
        <v>0</v>
      </c>
      <c r="K1124" s="88">
        <f>SUMIF(月間集計シート!$M$29:$M$48,$G1124,月間集計シート!O$29:O$48)*K$2</f>
        <v>0</v>
      </c>
      <c r="L1124" s="88">
        <f>SUMIF(月間集計シート!$M$29:$M$48,$G1124,月間集計シート!P$29:P$48)*L$2</f>
        <v>0</v>
      </c>
      <c r="M1124" s="88">
        <f>SUMIF(月間集計シート!$M$29:$M$48,$G1124,月間集計シート!Q$29:Q$48)*M$2</f>
        <v>0</v>
      </c>
      <c r="N1124" s="88">
        <f>SUMIF(月間集計シート!$M$29:$M$48,$G1124,月間集計シート!R$29:R$48)*N$2</f>
        <v>0</v>
      </c>
      <c r="O1124" s="88">
        <f>SUMIF(月間集計シート!$M$29:$M$48,$G1124,月間集計シート!S$29:S$48)*O$2</f>
        <v>0</v>
      </c>
      <c r="P1124" s="88">
        <f>SUMIF(月間集計シート!$M$29:$M$48,$G1124,月間集計シート!T$29:T$48)*P$2</f>
        <v>0</v>
      </c>
      <c r="Q1124" s="88">
        <f>SUMIF(月間集計シート!$M$50:$M$69,$G1124,月間集計シート!N$50:N$69)*Q$2</f>
        <v>0</v>
      </c>
      <c r="R1124" s="88">
        <f>SUMIF(月間集計シート!$M$50:$M$69,$G1124,月間集計シート!O$50:O$69)*R$2</f>
        <v>0</v>
      </c>
      <c r="S1124" s="88">
        <f>SUMIF(月間集計シート!$M$50:$M$69,$G1124,月間集計シート!P$50:P$69)*S$2</f>
        <v>0</v>
      </c>
      <c r="T1124" s="88">
        <f>SUMIF(月間集計シート!$M$50:$M$69,$G1124,月間集計シート!Q$50:Q$69)*T$2</f>
        <v>0</v>
      </c>
      <c r="U1124" s="88">
        <f>SUMIF(月間集計シート!$M$50:$M$69,$G1124,月間集計シート!R$50:R$69)*U$2</f>
        <v>0</v>
      </c>
      <c r="V1124" s="88">
        <f>SUMIF(月間集計シート!$M$50:$M$69,$G1124,月間集計シート!S$50:S$69)*V$2</f>
        <v>0</v>
      </c>
      <c r="W1124" s="88">
        <f>SUMIF(月間集計シート!$M$50:$M$69,$G1124,月間集計シート!T$50:T$69)*W$2</f>
        <v>0</v>
      </c>
      <c r="X1124" s="88">
        <f>SUMIF(月間集計シート!$M$71:$M$90,$G1124,月間集計シート!N$71:N$90)*X$2</f>
        <v>0</v>
      </c>
      <c r="Y1124" s="88">
        <f>SUMIF(月間集計シート!$M$71:$M$90,$G1124,月間集計シート!O$71:O$90)*Y$2</f>
        <v>0</v>
      </c>
      <c r="Z1124" s="88">
        <f>SUMIF(月間集計シート!$M$71:$M$90,$G1124,月間集計シート!P$71:P$90)*Z$2</f>
        <v>0</v>
      </c>
      <c r="AA1124" s="88">
        <f>SUMIF(月間集計シート!$M$71:$M$90,$G1124,月間集計シート!Q$71:Q$90)*AA$2</f>
        <v>0</v>
      </c>
      <c r="AB1124" s="88">
        <f>SUMIF(月間集計シート!$M$71:$M$90,$G1124,月間集計シート!R$71:R$90)*AB$2</f>
        <v>0</v>
      </c>
      <c r="AC1124" s="88">
        <f>SUMIF(月間集計シート!$M$71:$M$90,$G1124,月間集計シート!S$71:S$90)*AC$2</f>
        <v>0</v>
      </c>
      <c r="AD1124" s="88">
        <f>SUMIF(月間集計シート!$M$71:$M$90,$G1124,月間集計シート!T$71:T$90)*AD$2</f>
        <v>0</v>
      </c>
      <c r="AE1124" s="88">
        <f>SUMIF(月間集計シート!$M$92:$M$111,$G1124,月間集計シート!N$92:N$111)*AE$2</f>
        <v>0</v>
      </c>
      <c r="AF1124" s="88">
        <f>SUMIF(月間集計シート!$M$92:$M$111,$G1124,月間集計シート!O$92:O$111)*AF$2</f>
        <v>0</v>
      </c>
      <c r="AG1124" s="88">
        <f>SUMIF(月間集計シート!$M$92:$M$111,$G1124,月間集計シート!P$92:P$111)*AG$2</f>
        <v>0</v>
      </c>
      <c r="AH1124" s="88">
        <f>SUMIF(月間集計シート!$M$92:$M$111,$G1124,月間集計シート!Q$92:Q$111)*AH$2</f>
        <v>0</v>
      </c>
      <c r="AI1124" s="88">
        <f>SUMIF(月間集計シート!$M$92:$M$111,$G1124,月間集計シート!R$92:R$111)*AI$2</f>
        <v>0</v>
      </c>
      <c r="AJ1124" s="88">
        <f>SUMIF(月間集計シート!$M$92:$M$111,$G1124,月間集計シート!S$92:S$111)*AJ$2</f>
        <v>0</v>
      </c>
      <c r="AK1124" s="88">
        <f>SUMIF(月間集計シート!$M$92:$M$111,$G1124,月間集計シート!T$92:T$111)*AK$2</f>
        <v>0</v>
      </c>
      <c r="AL1124" s="88">
        <f>SUMIF(月間集計シート!$M$113:$M$132,$G1124,月間集計シート!N$113:N$132)*AL$2</f>
        <v>0</v>
      </c>
      <c r="AM1124" s="88">
        <f>SUMIF(月間集計シート!$M$113:$M$132,$G1124,月間集計シート!O$113:O$132)*AM$2</f>
        <v>0</v>
      </c>
      <c r="AN1124" s="88">
        <f>SUMIF(月間集計シート!$M$113:$M$132,$G1124,月間集計シート!P$113:P$132)*AN$2</f>
        <v>0</v>
      </c>
      <c r="AO1124" s="88">
        <f>SUMIF(月間集計シート!$M$113:$M$132,$G1124,月間集計シート!Q$113:Q$132)*AO$2</f>
        <v>0</v>
      </c>
      <c r="AP1124" s="88">
        <f>SUMIF(月間集計シート!$M$113:$M$132,$G1124,月間集計シート!R$113:R$132)*AP$2</f>
        <v>0</v>
      </c>
      <c r="AQ1124" s="88">
        <f>SUMIF(月間集計シート!$M$113:$M$132,$G1124,月間集計シート!S$113:S$132)*AQ$2</f>
        <v>0</v>
      </c>
      <c r="AR1124" s="88">
        <f>SUMIF(月間集計シート!$M$113:$M$132,$G1124,月間集計シート!T$113:T$132)*AR$2</f>
        <v>0</v>
      </c>
      <c r="AS1124" s="88">
        <f>SUMIF(月間集計シート!$M$134:$M$153,$G1124,月間集計シート!N$134:N$153)*AS$2</f>
        <v>0</v>
      </c>
      <c r="AT1124" s="88">
        <f>SUMIF(月間集計シート!$M$134:$M$153,$G1124,月間集計シート!O$134:O$153)*AT$2</f>
        <v>0</v>
      </c>
      <c r="AU1124" s="88">
        <f>SUMIF(月間集計シート!$M$134:$M$153,$G1124,月間集計シート!P$134:P$153)*AU$2</f>
        <v>0</v>
      </c>
      <c r="AV1124" s="88">
        <f>SUMIF(月間集計シート!$M$134:$M$153,$G1124,月間集計シート!Q$134:Q$153)*AV$2</f>
        <v>0</v>
      </c>
      <c r="AW1124" s="88">
        <f>SUMIF(月間集計シート!$M$134:$M$153,$G1124,月間集計シート!R$134:R$153)*AW$2</f>
        <v>0</v>
      </c>
      <c r="AX1124" s="88">
        <f>SUMIF(月間集計シート!$M$134:$M$153,$G1124,月間集計シート!S$134:S$153)*AX$2</f>
        <v>0</v>
      </c>
      <c r="AY1124" s="88">
        <f>SUMIF(月間集計シート!$M$134:$M$153,$G1124,月間集計シート!T$134:T$153)*AY$2</f>
        <v>0</v>
      </c>
    </row>
    <row r="1125" spans="1:51" ht="14.25" thickBot="1">
      <c r="A1125">
        <v>14</v>
      </c>
      <c r="B1125" s="120">
        <f t="shared" si="623"/>
        <v>0</v>
      </c>
      <c r="C1125" s="120" t="str">
        <f t="shared" si="624"/>
        <v/>
      </c>
      <c r="D1125" s="137"/>
      <c r="E1125" s="150" t="str">
        <f>工種!A12</f>
        <v>20108</v>
      </c>
      <c r="F1125" s="119" t="str">
        <f>工種!B12</f>
        <v>設計：レビュー</v>
      </c>
      <c r="G1125" s="116" t="str">
        <f t="shared" si="572"/>
        <v>020108</v>
      </c>
      <c r="H1125" s="88">
        <f t="shared" si="579"/>
        <v>0</v>
      </c>
      <c r="I1125" s="132"/>
      <c r="J1125" s="88">
        <f>SUMIF(月間集計シート!$M$29:$M$48,$G1125,月間集計シート!N$29:N$48)*J$2</f>
        <v>0</v>
      </c>
      <c r="K1125" s="88">
        <f>SUMIF(月間集計シート!$M$29:$M$48,$G1125,月間集計シート!O$29:O$48)*K$2</f>
        <v>0</v>
      </c>
      <c r="L1125" s="88">
        <f>SUMIF(月間集計シート!$M$29:$M$48,$G1125,月間集計シート!P$29:P$48)*L$2</f>
        <v>0</v>
      </c>
      <c r="M1125" s="88">
        <f>SUMIF(月間集計シート!$M$29:$M$48,$G1125,月間集計シート!Q$29:Q$48)*M$2</f>
        <v>0</v>
      </c>
      <c r="N1125" s="88">
        <f>SUMIF(月間集計シート!$M$29:$M$48,$G1125,月間集計シート!R$29:R$48)*N$2</f>
        <v>0</v>
      </c>
      <c r="O1125" s="88">
        <f>SUMIF(月間集計シート!$M$29:$M$48,$G1125,月間集計シート!S$29:S$48)*O$2</f>
        <v>0</v>
      </c>
      <c r="P1125" s="88">
        <f>SUMIF(月間集計シート!$M$29:$M$48,$G1125,月間集計シート!T$29:T$48)*P$2</f>
        <v>0</v>
      </c>
      <c r="Q1125" s="88">
        <f>SUMIF(月間集計シート!$M$50:$M$69,$G1125,月間集計シート!N$50:N$69)*Q$2</f>
        <v>0</v>
      </c>
      <c r="R1125" s="88">
        <f>SUMIF(月間集計シート!$M$50:$M$69,$G1125,月間集計シート!O$50:O$69)*R$2</f>
        <v>0</v>
      </c>
      <c r="S1125" s="88">
        <f>SUMIF(月間集計シート!$M$50:$M$69,$G1125,月間集計シート!P$50:P$69)*S$2</f>
        <v>0</v>
      </c>
      <c r="T1125" s="88">
        <f>SUMIF(月間集計シート!$M$50:$M$69,$G1125,月間集計シート!Q$50:Q$69)*T$2</f>
        <v>0</v>
      </c>
      <c r="U1125" s="88">
        <f>SUMIF(月間集計シート!$M$50:$M$69,$G1125,月間集計シート!R$50:R$69)*U$2</f>
        <v>0</v>
      </c>
      <c r="V1125" s="88">
        <f>SUMIF(月間集計シート!$M$50:$M$69,$G1125,月間集計シート!S$50:S$69)*V$2</f>
        <v>0</v>
      </c>
      <c r="W1125" s="88">
        <f>SUMIF(月間集計シート!$M$50:$M$69,$G1125,月間集計シート!T$50:T$69)*W$2</f>
        <v>0</v>
      </c>
      <c r="X1125" s="88">
        <f>SUMIF(月間集計シート!$M$71:$M$90,$G1125,月間集計シート!N$71:N$90)*X$2</f>
        <v>0</v>
      </c>
      <c r="Y1125" s="88">
        <f>SUMIF(月間集計シート!$M$71:$M$90,$G1125,月間集計シート!O$71:O$90)*Y$2</f>
        <v>0</v>
      </c>
      <c r="Z1125" s="88">
        <f>SUMIF(月間集計シート!$M$71:$M$90,$G1125,月間集計シート!P$71:P$90)*Z$2</f>
        <v>0</v>
      </c>
      <c r="AA1125" s="88">
        <f>SUMIF(月間集計シート!$M$71:$M$90,$G1125,月間集計シート!Q$71:Q$90)*AA$2</f>
        <v>0</v>
      </c>
      <c r="AB1125" s="88">
        <f>SUMIF(月間集計シート!$M$71:$M$90,$G1125,月間集計シート!R$71:R$90)*AB$2</f>
        <v>0</v>
      </c>
      <c r="AC1125" s="88">
        <f>SUMIF(月間集計シート!$M$71:$M$90,$G1125,月間集計シート!S$71:S$90)*AC$2</f>
        <v>0</v>
      </c>
      <c r="AD1125" s="88">
        <f>SUMIF(月間集計シート!$M$71:$M$90,$G1125,月間集計シート!T$71:T$90)*AD$2</f>
        <v>0</v>
      </c>
      <c r="AE1125" s="88">
        <f>SUMIF(月間集計シート!$M$92:$M$111,$G1125,月間集計シート!N$92:N$111)*AE$2</f>
        <v>0</v>
      </c>
      <c r="AF1125" s="88">
        <f>SUMIF(月間集計シート!$M$92:$M$111,$G1125,月間集計シート!O$92:O$111)*AF$2</f>
        <v>0</v>
      </c>
      <c r="AG1125" s="88">
        <f>SUMIF(月間集計シート!$M$92:$M$111,$G1125,月間集計シート!P$92:P$111)*AG$2</f>
        <v>0</v>
      </c>
      <c r="AH1125" s="88">
        <f>SUMIF(月間集計シート!$M$92:$M$111,$G1125,月間集計シート!Q$92:Q$111)*AH$2</f>
        <v>0</v>
      </c>
      <c r="AI1125" s="88">
        <f>SUMIF(月間集計シート!$M$92:$M$111,$G1125,月間集計シート!R$92:R$111)*AI$2</f>
        <v>0</v>
      </c>
      <c r="AJ1125" s="88">
        <f>SUMIF(月間集計シート!$M$92:$M$111,$G1125,月間集計シート!S$92:S$111)*AJ$2</f>
        <v>0</v>
      </c>
      <c r="AK1125" s="88">
        <f>SUMIF(月間集計シート!$M$92:$M$111,$G1125,月間集計シート!T$92:T$111)*AK$2</f>
        <v>0</v>
      </c>
      <c r="AL1125" s="88">
        <f>SUMIF(月間集計シート!$M$113:$M$132,$G1125,月間集計シート!N$113:N$132)*AL$2</f>
        <v>0</v>
      </c>
      <c r="AM1125" s="88">
        <f>SUMIF(月間集計シート!$M$113:$M$132,$G1125,月間集計シート!O$113:O$132)*AM$2</f>
        <v>0</v>
      </c>
      <c r="AN1125" s="88">
        <f>SUMIF(月間集計シート!$M$113:$M$132,$G1125,月間集計シート!P$113:P$132)*AN$2</f>
        <v>0</v>
      </c>
      <c r="AO1125" s="88">
        <f>SUMIF(月間集計シート!$M$113:$M$132,$G1125,月間集計シート!Q$113:Q$132)*AO$2</f>
        <v>0</v>
      </c>
      <c r="AP1125" s="88">
        <f>SUMIF(月間集計シート!$M$113:$M$132,$G1125,月間集計シート!R$113:R$132)*AP$2</f>
        <v>0</v>
      </c>
      <c r="AQ1125" s="88">
        <f>SUMIF(月間集計シート!$M$113:$M$132,$G1125,月間集計シート!S$113:S$132)*AQ$2</f>
        <v>0</v>
      </c>
      <c r="AR1125" s="88">
        <f>SUMIF(月間集計シート!$M$113:$M$132,$G1125,月間集計シート!T$113:T$132)*AR$2</f>
        <v>0</v>
      </c>
      <c r="AS1125" s="88">
        <f>SUMIF(月間集計シート!$M$134:$M$153,$G1125,月間集計シート!N$134:N$153)*AS$2</f>
        <v>0</v>
      </c>
      <c r="AT1125" s="88">
        <f>SUMIF(月間集計シート!$M$134:$M$153,$G1125,月間集計シート!O$134:O$153)*AT$2</f>
        <v>0</v>
      </c>
      <c r="AU1125" s="88">
        <f>SUMIF(月間集計シート!$M$134:$M$153,$G1125,月間集計シート!P$134:P$153)*AU$2</f>
        <v>0</v>
      </c>
      <c r="AV1125" s="88">
        <f>SUMIF(月間集計シート!$M$134:$M$153,$G1125,月間集計シート!Q$134:Q$153)*AV$2</f>
        <v>0</v>
      </c>
      <c r="AW1125" s="88">
        <f>SUMIF(月間集計シート!$M$134:$M$153,$G1125,月間集計シート!R$134:R$153)*AW$2</f>
        <v>0</v>
      </c>
      <c r="AX1125" s="88">
        <f>SUMIF(月間集計シート!$M$134:$M$153,$G1125,月間集計シート!S$134:S$153)*AX$2</f>
        <v>0</v>
      </c>
      <c r="AY1125" s="88">
        <f>SUMIF(月間集計シート!$M$134:$M$153,$G1125,月間集計シート!T$134:T$153)*AY$2</f>
        <v>0</v>
      </c>
    </row>
    <row r="1126" spans="1:51" ht="14.25" thickBot="1">
      <c r="A1126">
        <v>14</v>
      </c>
      <c r="B1126" s="120">
        <f t="shared" si="623"/>
        <v>0</v>
      </c>
      <c r="C1126" s="120" t="str">
        <f t="shared" si="624"/>
        <v/>
      </c>
      <c r="D1126" s="137"/>
      <c r="E1126" s="150" t="str">
        <f>工種!A13</f>
        <v>20109</v>
      </c>
      <c r="F1126" s="119" t="str">
        <f>工種!B13</f>
        <v>設計：QA対応</v>
      </c>
      <c r="G1126" s="116" t="str">
        <f t="shared" si="572"/>
        <v>020109</v>
      </c>
      <c r="H1126" s="88">
        <f t="shared" si="579"/>
        <v>0</v>
      </c>
      <c r="I1126" s="132"/>
      <c r="J1126" s="88">
        <f>SUMIF(月間集計シート!$M$29:$M$48,$G1126,月間集計シート!N$29:N$48)*J$2</f>
        <v>0</v>
      </c>
      <c r="K1126" s="88">
        <f>SUMIF(月間集計シート!$M$29:$M$48,$G1126,月間集計シート!O$29:O$48)*K$2</f>
        <v>0</v>
      </c>
      <c r="L1126" s="88">
        <f>SUMIF(月間集計シート!$M$29:$M$48,$G1126,月間集計シート!P$29:P$48)*L$2</f>
        <v>0</v>
      </c>
      <c r="M1126" s="88">
        <f>SUMIF(月間集計シート!$M$29:$M$48,$G1126,月間集計シート!Q$29:Q$48)*M$2</f>
        <v>0</v>
      </c>
      <c r="N1126" s="88">
        <f>SUMIF(月間集計シート!$M$29:$M$48,$G1126,月間集計シート!R$29:R$48)*N$2</f>
        <v>0</v>
      </c>
      <c r="O1126" s="88">
        <f>SUMIF(月間集計シート!$M$29:$M$48,$G1126,月間集計シート!S$29:S$48)*O$2</f>
        <v>0</v>
      </c>
      <c r="P1126" s="88">
        <f>SUMIF(月間集計シート!$M$29:$M$48,$G1126,月間集計シート!T$29:T$48)*P$2</f>
        <v>0</v>
      </c>
      <c r="Q1126" s="88">
        <f>SUMIF(月間集計シート!$M$50:$M$69,$G1126,月間集計シート!N$50:N$69)*Q$2</f>
        <v>0</v>
      </c>
      <c r="R1126" s="88">
        <f>SUMIF(月間集計シート!$M$50:$M$69,$G1126,月間集計シート!O$50:O$69)*R$2</f>
        <v>0</v>
      </c>
      <c r="S1126" s="88">
        <f>SUMIF(月間集計シート!$M$50:$M$69,$G1126,月間集計シート!P$50:P$69)*S$2</f>
        <v>0</v>
      </c>
      <c r="T1126" s="88">
        <f>SUMIF(月間集計シート!$M$50:$M$69,$G1126,月間集計シート!Q$50:Q$69)*T$2</f>
        <v>0</v>
      </c>
      <c r="U1126" s="88">
        <f>SUMIF(月間集計シート!$M$50:$M$69,$G1126,月間集計シート!R$50:R$69)*U$2</f>
        <v>0</v>
      </c>
      <c r="V1126" s="88">
        <f>SUMIF(月間集計シート!$M$50:$M$69,$G1126,月間集計シート!S$50:S$69)*V$2</f>
        <v>0</v>
      </c>
      <c r="W1126" s="88">
        <f>SUMIF(月間集計シート!$M$50:$M$69,$G1126,月間集計シート!T$50:T$69)*W$2</f>
        <v>0</v>
      </c>
      <c r="X1126" s="88">
        <f>SUMIF(月間集計シート!$M$71:$M$90,$G1126,月間集計シート!N$71:N$90)*X$2</f>
        <v>0</v>
      </c>
      <c r="Y1126" s="88">
        <f>SUMIF(月間集計シート!$M$71:$M$90,$G1126,月間集計シート!O$71:O$90)*Y$2</f>
        <v>0</v>
      </c>
      <c r="Z1126" s="88">
        <f>SUMIF(月間集計シート!$M$71:$M$90,$G1126,月間集計シート!P$71:P$90)*Z$2</f>
        <v>0</v>
      </c>
      <c r="AA1126" s="88">
        <f>SUMIF(月間集計シート!$M$71:$M$90,$G1126,月間集計シート!Q$71:Q$90)*AA$2</f>
        <v>0</v>
      </c>
      <c r="AB1126" s="88">
        <f>SUMIF(月間集計シート!$M$71:$M$90,$G1126,月間集計シート!R$71:R$90)*AB$2</f>
        <v>0</v>
      </c>
      <c r="AC1126" s="88">
        <f>SUMIF(月間集計シート!$M$71:$M$90,$G1126,月間集計シート!S$71:S$90)*AC$2</f>
        <v>0</v>
      </c>
      <c r="AD1126" s="88">
        <f>SUMIF(月間集計シート!$M$71:$M$90,$G1126,月間集計シート!T$71:T$90)*AD$2</f>
        <v>0</v>
      </c>
      <c r="AE1126" s="88">
        <f>SUMIF(月間集計シート!$M$92:$M$111,$G1126,月間集計シート!N$92:N$111)*AE$2</f>
        <v>0</v>
      </c>
      <c r="AF1126" s="88">
        <f>SUMIF(月間集計シート!$M$92:$M$111,$G1126,月間集計シート!O$92:O$111)*AF$2</f>
        <v>0</v>
      </c>
      <c r="AG1126" s="88">
        <f>SUMIF(月間集計シート!$M$92:$M$111,$G1126,月間集計シート!P$92:P$111)*AG$2</f>
        <v>0</v>
      </c>
      <c r="AH1126" s="88">
        <f>SUMIF(月間集計シート!$M$92:$M$111,$G1126,月間集計シート!Q$92:Q$111)*AH$2</f>
        <v>0</v>
      </c>
      <c r="AI1126" s="88">
        <f>SUMIF(月間集計シート!$M$92:$M$111,$G1126,月間集計シート!R$92:R$111)*AI$2</f>
        <v>0</v>
      </c>
      <c r="AJ1126" s="88">
        <f>SUMIF(月間集計シート!$M$92:$M$111,$G1126,月間集計シート!S$92:S$111)*AJ$2</f>
        <v>0</v>
      </c>
      <c r="AK1126" s="88">
        <f>SUMIF(月間集計シート!$M$92:$M$111,$G1126,月間集計シート!T$92:T$111)*AK$2</f>
        <v>0</v>
      </c>
      <c r="AL1126" s="88">
        <f>SUMIF(月間集計シート!$M$113:$M$132,$G1126,月間集計シート!N$113:N$132)*AL$2</f>
        <v>0</v>
      </c>
      <c r="AM1126" s="88">
        <f>SUMIF(月間集計シート!$M$113:$M$132,$G1126,月間集計シート!O$113:O$132)*AM$2</f>
        <v>0</v>
      </c>
      <c r="AN1126" s="88">
        <f>SUMIF(月間集計シート!$M$113:$M$132,$G1126,月間集計シート!P$113:P$132)*AN$2</f>
        <v>0</v>
      </c>
      <c r="AO1126" s="88">
        <f>SUMIF(月間集計シート!$M$113:$M$132,$G1126,月間集計シート!Q$113:Q$132)*AO$2</f>
        <v>0</v>
      </c>
      <c r="AP1126" s="88">
        <f>SUMIF(月間集計シート!$M$113:$M$132,$G1126,月間集計シート!R$113:R$132)*AP$2</f>
        <v>0</v>
      </c>
      <c r="AQ1126" s="88">
        <f>SUMIF(月間集計シート!$M$113:$M$132,$G1126,月間集計シート!S$113:S$132)*AQ$2</f>
        <v>0</v>
      </c>
      <c r="AR1126" s="88">
        <f>SUMIF(月間集計シート!$M$113:$M$132,$G1126,月間集計シート!T$113:T$132)*AR$2</f>
        <v>0</v>
      </c>
      <c r="AS1126" s="88">
        <f>SUMIF(月間集計シート!$M$134:$M$153,$G1126,月間集計シート!N$134:N$153)*AS$2</f>
        <v>0</v>
      </c>
      <c r="AT1126" s="88">
        <f>SUMIF(月間集計シート!$M$134:$M$153,$G1126,月間集計シート!O$134:O$153)*AT$2</f>
        <v>0</v>
      </c>
      <c r="AU1126" s="88">
        <f>SUMIF(月間集計シート!$M$134:$M$153,$G1126,月間集計シート!P$134:P$153)*AU$2</f>
        <v>0</v>
      </c>
      <c r="AV1126" s="88">
        <f>SUMIF(月間集計シート!$M$134:$M$153,$G1126,月間集計シート!Q$134:Q$153)*AV$2</f>
        <v>0</v>
      </c>
      <c r="AW1126" s="88">
        <f>SUMIF(月間集計シート!$M$134:$M$153,$G1126,月間集計シート!R$134:R$153)*AW$2</f>
        <v>0</v>
      </c>
      <c r="AX1126" s="88">
        <f>SUMIF(月間集計シート!$M$134:$M$153,$G1126,月間集計シート!S$134:S$153)*AX$2</f>
        <v>0</v>
      </c>
      <c r="AY1126" s="88">
        <f>SUMIF(月間集計シート!$M$134:$M$153,$G1126,月間集計シート!T$134:T$153)*AY$2</f>
        <v>0</v>
      </c>
    </row>
    <row r="1127" spans="1:51" ht="14.25" thickBot="1">
      <c r="A1127">
        <v>14</v>
      </c>
      <c r="B1127" s="120">
        <f t="shared" si="623"/>
        <v>0</v>
      </c>
      <c r="C1127" s="120" t="str">
        <f t="shared" si="624"/>
        <v/>
      </c>
      <c r="D1127" s="137"/>
      <c r="E1127" s="150" t="str">
        <f>工種!A14</f>
        <v>20199</v>
      </c>
      <c r="F1127" s="119" t="str">
        <f>工種!B14</f>
        <v>設計：その他</v>
      </c>
      <c r="G1127" s="116" t="str">
        <f t="shared" si="572"/>
        <v>020199</v>
      </c>
      <c r="H1127" s="88">
        <f t="shared" si="579"/>
        <v>0</v>
      </c>
      <c r="I1127" s="132"/>
      <c r="J1127" s="88">
        <f>SUMIF(月間集計シート!$M$29:$M$48,$G1127,月間集計シート!N$29:N$48)*J$2</f>
        <v>0</v>
      </c>
      <c r="K1127" s="88">
        <f>SUMIF(月間集計シート!$M$29:$M$48,$G1127,月間集計シート!O$29:O$48)*K$2</f>
        <v>0</v>
      </c>
      <c r="L1127" s="88">
        <f>SUMIF(月間集計シート!$M$29:$M$48,$G1127,月間集計シート!P$29:P$48)*L$2</f>
        <v>0</v>
      </c>
      <c r="M1127" s="88">
        <f>SUMIF(月間集計シート!$M$29:$M$48,$G1127,月間集計シート!Q$29:Q$48)*M$2</f>
        <v>0</v>
      </c>
      <c r="N1127" s="88">
        <f>SUMIF(月間集計シート!$M$29:$M$48,$G1127,月間集計シート!R$29:R$48)*N$2</f>
        <v>0</v>
      </c>
      <c r="O1127" s="88">
        <f>SUMIF(月間集計シート!$M$29:$M$48,$G1127,月間集計シート!S$29:S$48)*O$2</f>
        <v>0</v>
      </c>
      <c r="P1127" s="88">
        <f>SUMIF(月間集計シート!$M$29:$M$48,$G1127,月間集計シート!T$29:T$48)*P$2</f>
        <v>0</v>
      </c>
      <c r="Q1127" s="88">
        <f>SUMIF(月間集計シート!$M$50:$M$69,$G1127,月間集計シート!N$50:N$69)*Q$2</f>
        <v>0</v>
      </c>
      <c r="R1127" s="88">
        <f>SUMIF(月間集計シート!$M$50:$M$69,$G1127,月間集計シート!O$50:O$69)*R$2</f>
        <v>0</v>
      </c>
      <c r="S1127" s="88">
        <f>SUMIF(月間集計シート!$M$50:$M$69,$G1127,月間集計シート!P$50:P$69)*S$2</f>
        <v>0</v>
      </c>
      <c r="T1127" s="88">
        <f>SUMIF(月間集計シート!$M$50:$M$69,$G1127,月間集計シート!Q$50:Q$69)*T$2</f>
        <v>0</v>
      </c>
      <c r="U1127" s="88">
        <f>SUMIF(月間集計シート!$M$50:$M$69,$G1127,月間集計シート!R$50:R$69)*U$2</f>
        <v>0</v>
      </c>
      <c r="V1127" s="88">
        <f>SUMIF(月間集計シート!$M$50:$M$69,$G1127,月間集計シート!S$50:S$69)*V$2</f>
        <v>0</v>
      </c>
      <c r="W1127" s="88">
        <f>SUMIF(月間集計シート!$M$50:$M$69,$G1127,月間集計シート!T$50:T$69)*W$2</f>
        <v>0</v>
      </c>
      <c r="X1127" s="88">
        <f>SUMIF(月間集計シート!$M$71:$M$90,$G1127,月間集計シート!N$71:N$90)*X$2</f>
        <v>0</v>
      </c>
      <c r="Y1127" s="88">
        <f>SUMIF(月間集計シート!$M$71:$M$90,$G1127,月間集計シート!O$71:O$90)*Y$2</f>
        <v>0</v>
      </c>
      <c r="Z1127" s="88">
        <f>SUMIF(月間集計シート!$M$71:$M$90,$G1127,月間集計シート!P$71:P$90)*Z$2</f>
        <v>0</v>
      </c>
      <c r="AA1127" s="88">
        <f>SUMIF(月間集計シート!$M$71:$M$90,$G1127,月間集計シート!Q$71:Q$90)*AA$2</f>
        <v>0</v>
      </c>
      <c r="AB1127" s="88">
        <f>SUMIF(月間集計シート!$M$71:$M$90,$G1127,月間集計シート!R$71:R$90)*AB$2</f>
        <v>0</v>
      </c>
      <c r="AC1127" s="88">
        <f>SUMIF(月間集計シート!$M$71:$M$90,$G1127,月間集計シート!S$71:S$90)*AC$2</f>
        <v>0</v>
      </c>
      <c r="AD1127" s="88">
        <f>SUMIF(月間集計シート!$M$71:$M$90,$G1127,月間集計シート!T$71:T$90)*AD$2</f>
        <v>0</v>
      </c>
      <c r="AE1127" s="88">
        <f>SUMIF(月間集計シート!$M$92:$M$111,$G1127,月間集計シート!N$92:N$111)*AE$2</f>
        <v>0</v>
      </c>
      <c r="AF1127" s="88">
        <f>SUMIF(月間集計シート!$M$92:$M$111,$G1127,月間集計シート!O$92:O$111)*AF$2</f>
        <v>0</v>
      </c>
      <c r="AG1127" s="88">
        <f>SUMIF(月間集計シート!$M$92:$M$111,$G1127,月間集計シート!P$92:P$111)*AG$2</f>
        <v>0</v>
      </c>
      <c r="AH1127" s="88">
        <f>SUMIF(月間集計シート!$M$92:$M$111,$G1127,月間集計シート!Q$92:Q$111)*AH$2</f>
        <v>0</v>
      </c>
      <c r="AI1127" s="88">
        <f>SUMIF(月間集計シート!$M$92:$M$111,$G1127,月間集計シート!R$92:R$111)*AI$2</f>
        <v>0</v>
      </c>
      <c r="AJ1127" s="88">
        <f>SUMIF(月間集計シート!$M$92:$M$111,$G1127,月間集計シート!S$92:S$111)*AJ$2</f>
        <v>0</v>
      </c>
      <c r="AK1127" s="88">
        <f>SUMIF(月間集計シート!$M$92:$M$111,$G1127,月間集計シート!T$92:T$111)*AK$2</f>
        <v>0</v>
      </c>
      <c r="AL1127" s="88">
        <f>SUMIF(月間集計シート!$M$113:$M$132,$G1127,月間集計シート!N$113:N$132)*AL$2</f>
        <v>0</v>
      </c>
      <c r="AM1127" s="88">
        <f>SUMIF(月間集計シート!$M$113:$M$132,$G1127,月間集計シート!O$113:O$132)*AM$2</f>
        <v>0</v>
      </c>
      <c r="AN1127" s="88">
        <f>SUMIF(月間集計シート!$M$113:$M$132,$G1127,月間集計シート!P$113:P$132)*AN$2</f>
        <v>0</v>
      </c>
      <c r="AO1127" s="88">
        <f>SUMIF(月間集計シート!$M$113:$M$132,$G1127,月間集計シート!Q$113:Q$132)*AO$2</f>
        <v>0</v>
      </c>
      <c r="AP1127" s="88">
        <f>SUMIF(月間集計シート!$M$113:$M$132,$G1127,月間集計シート!R$113:R$132)*AP$2</f>
        <v>0</v>
      </c>
      <c r="AQ1127" s="88">
        <f>SUMIF(月間集計シート!$M$113:$M$132,$G1127,月間集計シート!S$113:S$132)*AQ$2</f>
        <v>0</v>
      </c>
      <c r="AR1127" s="88">
        <f>SUMIF(月間集計シート!$M$113:$M$132,$G1127,月間集計シート!T$113:T$132)*AR$2</f>
        <v>0</v>
      </c>
      <c r="AS1127" s="88">
        <f>SUMIF(月間集計シート!$M$134:$M$153,$G1127,月間集計シート!N$134:N$153)*AS$2</f>
        <v>0</v>
      </c>
      <c r="AT1127" s="88">
        <f>SUMIF(月間集計シート!$M$134:$M$153,$G1127,月間集計シート!O$134:O$153)*AT$2</f>
        <v>0</v>
      </c>
      <c r="AU1127" s="88">
        <f>SUMIF(月間集計シート!$M$134:$M$153,$G1127,月間集計シート!P$134:P$153)*AU$2</f>
        <v>0</v>
      </c>
      <c r="AV1127" s="88">
        <f>SUMIF(月間集計シート!$M$134:$M$153,$G1127,月間集計シート!Q$134:Q$153)*AV$2</f>
        <v>0</v>
      </c>
      <c r="AW1127" s="88">
        <f>SUMIF(月間集計シート!$M$134:$M$153,$G1127,月間集計シート!R$134:R$153)*AW$2</f>
        <v>0</v>
      </c>
      <c r="AX1127" s="88">
        <f>SUMIF(月間集計シート!$M$134:$M$153,$G1127,月間集計シート!S$134:S$153)*AX$2</f>
        <v>0</v>
      </c>
      <c r="AY1127" s="88">
        <f>SUMIF(月間集計シート!$M$134:$M$153,$G1127,月間集計シート!T$134:T$153)*AY$2</f>
        <v>0</v>
      </c>
    </row>
    <row r="1128" spans="1:51" ht="14.25" thickBot="1">
      <c r="A1128">
        <v>14</v>
      </c>
      <c r="B1128" s="120">
        <f t="shared" si="623"/>
        <v>0</v>
      </c>
      <c r="C1128" s="120" t="str">
        <f t="shared" si="624"/>
        <v/>
      </c>
      <c r="D1128" s="137"/>
      <c r="E1128" s="150" t="str">
        <f>工種!A15</f>
        <v>30101</v>
      </c>
      <c r="F1128" s="119" t="str">
        <f>工種!B15</f>
        <v>製造：内部設計書作成</v>
      </c>
      <c r="G1128" s="116" t="str">
        <f t="shared" si="572"/>
        <v>030101</v>
      </c>
      <c r="H1128" s="88">
        <f t="shared" si="579"/>
        <v>0</v>
      </c>
      <c r="I1128" s="132"/>
      <c r="J1128" s="88">
        <f>SUMIF(月間集計シート!$M$29:$M$48,$G1128,月間集計シート!N$29:N$48)*J$2</f>
        <v>0</v>
      </c>
      <c r="K1128" s="88">
        <f>SUMIF(月間集計シート!$M$29:$M$48,$G1128,月間集計シート!O$29:O$48)*K$2</f>
        <v>0</v>
      </c>
      <c r="L1128" s="88">
        <f>SUMIF(月間集計シート!$M$29:$M$48,$G1128,月間集計シート!P$29:P$48)*L$2</f>
        <v>0</v>
      </c>
      <c r="M1128" s="88">
        <f>SUMIF(月間集計シート!$M$29:$M$48,$G1128,月間集計シート!Q$29:Q$48)*M$2</f>
        <v>0</v>
      </c>
      <c r="N1128" s="88">
        <f>SUMIF(月間集計シート!$M$29:$M$48,$G1128,月間集計シート!R$29:R$48)*N$2</f>
        <v>0</v>
      </c>
      <c r="O1128" s="88">
        <f>SUMIF(月間集計シート!$M$29:$M$48,$G1128,月間集計シート!S$29:S$48)*O$2</f>
        <v>0</v>
      </c>
      <c r="P1128" s="88">
        <f>SUMIF(月間集計シート!$M$29:$M$48,$G1128,月間集計シート!T$29:T$48)*P$2</f>
        <v>0</v>
      </c>
      <c r="Q1128" s="88">
        <f>SUMIF(月間集計シート!$M$50:$M$69,$G1128,月間集計シート!N$50:N$69)*Q$2</f>
        <v>0</v>
      </c>
      <c r="R1128" s="88">
        <f>SUMIF(月間集計シート!$M$50:$M$69,$G1128,月間集計シート!O$50:O$69)*R$2</f>
        <v>0</v>
      </c>
      <c r="S1128" s="88">
        <f>SUMIF(月間集計シート!$M$50:$M$69,$G1128,月間集計シート!P$50:P$69)*S$2</f>
        <v>0</v>
      </c>
      <c r="T1128" s="88">
        <f>SUMIF(月間集計シート!$M$50:$M$69,$G1128,月間集計シート!Q$50:Q$69)*T$2</f>
        <v>0</v>
      </c>
      <c r="U1128" s="88">
        <f>SUMIF(月間集計シート!$M$50:$M$69,$G1128,月間集計シート!R$50:R$69)*U$2</f>
        <v>0</v>
      </c>
      <c r="V1128" s="88">
        <f>SUMIF(月間集計シート!$M$50:$M$69,$G1128,月間集計シート!S$50:S$69)*V$2</f>
        <v>0</v>
      </c>
      <c r="W1128" s="88">
        <f>SUMIF(月間集計シート!$M$50:$M$69,$G1128,月間集計シート!T$50:T$69)*W$2</f>
        <v>0</v>
      </c>
      <c r="X1128" s="88">
        <f>SUMIF(月間集計シート!$M$71:$M$90,$G1128,月間集計シート!N$71:N$90)*X$2</f>
        <v>0</v>
      </c>
      <c r="Y1128" s="88">
        <f>SUMIF(月間集計シート!$M$71:$M$90,$G1128,月間集計シート!O$71:O$90)*Y$2</f>
        <v>0</v>
      </c>
      <c r="Z1128" s="88">
        <f>SUMIF(月間集計シート!$M$71:$M$90,$G1128,月間集計シート!P$71:P$90)*Z$2</f>
        <v>0</v>
      </c>
      <c r="AA1128" s="88">
        <f>SUMIF(月間集計シート!$M$71:$M$90,$G1128,月間集計シート!Q$71:Q$90)*AA$2</f>
        <v>0</v>
      </c>
      <c r="AB1128" s="88">
        <f>SUMIF(月間集計シート!$M$71:$M$90,$G1128,月間集計シート!R$71:R$90)*AB$2</f>
        <v>0</v>
      </c>
      <c r="AC1128" s="88">
        <f>SUMIF(月間集計シート!$M$71:$M$90,$G1128,月間集計シート!S$71:S$90)*AC$2</f>
        <v>0</v>
      </c>
      <c r="AD1128" s="88">
        <f>SUMIF(月間集計シート!$M$71:$M$90,$G1128,月間集計シート!T$71:T$90)*AD$2</f>
        <v>0</v>
      </c>
      <c r="AE1128" s="88">
        <f>SUMIF(月間集計シート!$M$92:$M$111,$G1128,月間集計シート!N$92:N$111)*AE$2</f>
        <v>0</v>
      </c>
      <c r="AF1128" s="88">
        <f>SUMIF(月間集計シート!$M$92:$M$111,$G1128,月間集計シート!O$92:O$111)*AF$2</f>
        <v>0</v>
      </c>
      <c r="AG1128" s="88">
        <f>SUMIF(月間集計シート!$M$92:$M$111,$G1128,月間集計シート!P$92:P$111)*AG$2</f>
        <v>0</v>
      </c>
      <c r="AH1128" s="88">
        <f>SUMIF(月間集計シート!$M$92:$M$111,$G1128,月間集計シート!Q$92:Q$111)*AH$2</f>
        <v>0</v>
      </c>
      <c r="AI1128" s="88">
        <f>SUMIF(月間集計シート!$M$92:$M$111,$G1128,月間集計シート!R$92:R$111)*AI$2</f>
        <v>0</v>
      </c>
      <c r="AJ1128" s="88">
        <f>SUMIF(月間集計シート!$M$92:$M$111,$G1128,月間集計シート!S$92:S$111)*AJ$2</f>
        <v>0</v>
      </c>
      <c r="AK1128" s="88">
        <f>SUMIF(月間集計シート!$M$92:$M$111,$G1128,月間集計シート!T$92:T$111)*AK$2</f>
        <v>0</v>
      </c>
      <c r="AL1128" s="88">
        <f>SUMIF(月間集計シート!$M$113:$M$132,$G1128,月間集計シート!N$113:N$132)*AL$2</f>
        <v>0</v>
      </c>
      <c r="AM1128" s="88">
        <f>SUMIF(月間集計シート!$M$113:$M$132,$G1128,月間集計シート!O$113:O$132)*AM$2</f>
        <v>0</v>
      </c>
      <c r="AN1128" s="88">
        <f>SUMIF(月間集計シート!$M$113:$M$132,$G1128,月間集計シート!P$113:P$132)*AN$2</f>
        <v>0</v>
      </c>
      <c r="AO1128" s="88">
        <f>SUMIF(月間集計シート!$M$113:$M$132,$G1128,月間集計シート!Q$113:Q$132)*AO$2</f>
        <v>0</v>
      </c>
      <c r="AP1128" s="88">
        <f>SUMIF(月間集計シート!$M$113:$M$132,$G1128,月間集計シート!R$113:R$132)*AP$2</f>
        <v>0</v>
      </c>
      <c r="AQ1128" s="88">
        <f>SUMIF(月間集計シート!$M$113:$M$132,$G1128,月間集計シート!S$113:S$132)*AQ$2</f>
        <v>0</v>
      </c>
      <c r="AR1128" s="88">
        <f>SUMIF(月間集計シート!$M$113:$M$132,$G1128,月間集計シート!T$113:T$132)*AR$2</f>
        <v>0</v>
      </c>
      <c r="AS1128" s="88">
        <f>SUMIF(月間集計シート!$M$134:$M$153,$G1128,月間集計シート!N$134:N$153)*AS$2</f>
        <v>0</v>
      </c>
      <c r="AT1128" s="88">
        <f>SUMIF(月間集計シート!$M$134:$M$153,$G1128,月間集計シート!O$134:O$153)*AT$2</f>
        <v>0</v>
      </c>
      <c r="AU1128" s="88">
        <f>SUMIF(月間集計シート!$M$134:$M$153,$G1128,月間集計シート!P$134:P$153)*AU$2</f>
        <v>0</v>
      </c>
      <c r="AV1128" s="88">
        <f>SUMIF(月間集計シート!$M$134:$M$153,$G1128,月間集計シート!Q$134:Q$153)*AV$2</f>
        <v>0</v>
      </c>
      <c r="AW1128" s="88">
        <f>SUMIF(月間集計シート!$M$134:$M$153,$G1128,月間集計シート!R$134:R$153)*AW$2</f>
        <v>0</v>
      </c>
      <c r="AX1128" s="88">
        <f>SUMIF(月間集計シート!$M$134:$M$153,$G1128,月間集計シート!S$134:S$153)*AX$2</f>
        <v>0</v>
      </c>
      <c r="AY1128" s="88">
        <f>SUMIF(月間集計シート!$M$134:$M$153,$G1128,月間集計シート!T$134:T$153)*AY$2</f>
        <v>0</v>
      </c>
    </row>
    <row r="1129" spans="1:51" ht="14.25" thickBot="1">
      <c r="A1129">
        <v>14</v>
      </c>
      <c r="B1129" s="120">
        <f t="shared" si="623"/>
        <v>0</v>
      </c>
      <c r="C1129" s="120" t="str">
        <f t="shared" si="624"/>
        <v/>
      </c>
      <c r="D1129" s="137"/>
      <c r="E1129" s="150" t="str">
        <f>工種!A16</f>
        <v>30102</v>
      </c>
      <c r="F1129" s="119" t="str">
        <f>工種!B16</f>
        <v>製造：コーディング</v>
      </c>
      <c r="G1129" s="116" t="str">
        <f t="shared" ref="G1129:G1214" si="625">B1129&amp;E1129</f>
        <v>030102</v>
      </c>
      <c r="H1129" s="88">
        <f t="shared" si="579"/>
        <v>0</v>
      </c>
      <c r="I1129" s="132"/>
      <c r="J1129" s="88">
        <f>SUMIF(月間集計シート!$M$29:$M$48,$G1129,月間集計シート!N$29:N$48)*J$2</f>
        <v>0</v>
      </c>
      <c r="K1129" s="88">
        <f>SUMIF(月間集計シート!$M$29:$M$48,$G1129,月間集計シート!O$29:O$48)*K$2</f>
        <v>0</v>
      </c>
      <c r="L1129" s="88">
        <f>SUMIF(月間集計シート!$M$29:$M$48,$G1129,月間集計シート!P$29:P$48)*L$2</f>
        <v>0</v>
      </c>
      <c r="M1129" s="88">
        <f>SUMIF(月間集計シート!$M$29:$M$48,$G1129,月間集計シート!Q$29:Q$48)*M$2</f>
        <v>0</v>
      </c>
      <c r="N1129" s="88">
        <f>SUMIF(月間集計シート!$M$29:$M$48,$G1129,月間集計シート!R$29:R$48)*N$2</f>
        <v>0</v>
      </c>
      <c r="O1129" s="88">
        <f>SUMIF(月間集計シート!$M$29:$M$48,$G1129,月間集計シート!S$29:S$48)*O$2</f>
        <v>0</v>
      </c>
      <c r="P1129" s="88">
        <f>SUMIF(月間集計シート!$M$29:$M$48,$G1129,月間集計シート!T$29:T$48)*P$2</f>
        <v>0</v>
      </c>
      <c r="Q1129" s="88">
        <f>SUMIF(月間集計シート!$M$50:$M$69,$G1129,月間集計シート!N$50:N$69)*Q$2</f>
        <v>0</v>
      </c>
      <c r="R1129" s="88">
        <f>SUMIF(月間集計シート!$M$50:$M$69,$G1129,月間集計シート!O$50:O$69)*R$2</f>
        <v>0</v>
      </c>
      <c r="S1129" s="88">
        <f>SUMIF(月間集計シート!$M$50:$M$69,$G1129,月間集計シート!P$50:P$69)*S$2</f>
        <v>0</v>
      </c>
      <c r="T1129" s="88">
        <f>SUMIF(月間集計シート!$M$50:$M$69,$G1129,月間集計シート!Q$50:Q$69)*T$2</f>
        <v>0</v>
      </c>
      <c r="U1129" s="88">
        <f>SUMIF(月間集計シート!$M$50:$M$69,$G1129,月間集計シート!R$50:R$69)*U$2</f>
        <v>0</v>
      </c>
      <c r="V1129" s="88">
        <f>SUMIF(月間集計シート!$M$50:$M$69,$G1129,月間集計シート!S$50:S$69)*V$2</f>
        <v>0</v>
      </c>
      <c r="W1129" s="88">
        <f>SUMIF(月間集計シート!$M$50:$M$69,$G1129,月間集計シート!T$50:T$69)*W$2</f>
        <v>0</v>
      </c>
      <c r="X1129" s="88">
        <f>SUMIF(月間集計シート!$M$71:$M$90,$G1129,月間集計シート!N$71:N$90)*X$2</f>
        <v>0</v>
      </c>
      <c r="Y1129" s="88">
        <f>SUMIF(月間集計シート!$M$71:$M$90,$G1129,月間集計シート!O$71:O$90)*Y$2</f>
        <v>0</v>
      </c>
      <c r="Z1129" s="88">
        <f>SUMIF(月間集計シート!$M$71:$M$90,$G1129,月間集計シート!P$71:P$90)*Z$2</f>
        <v>0</v>
      </c>
      <c r="AA1129" s="88">
        <f>SUMIF(月間集計シート!$M$71:$M$90,$G1129,月間集計シート!Q$71:Q$90)*AA$2</f>
        <v>0</v>
      </c>
      <c r="AB1129" s="88">
        <f>SUMIF(月間集計シート!$M$71:$M$90,$G1129,月間集計シート!R$71:R$90)*AB$2</f>
        <v>0</v>
      </c>
      <c r="AC1129" s="88">
        <f>SUMIF(月間集計シート!$M$71:$M$90,$G1129,月間集計シート!S$71:S$90)*AC$2</f>
        <v>0</v>
      </c>
      <c r="AD1129" s="88">
        <f>SUMIF(月間集計シート!$M$71:$M$90,$G1129,月間集計シート!T$71:T$90)*AD$2</f>
        <v>0</v>
      </c>
      <c r="AE1129" s="88">
        <f>SUMIF(月間集計シート!$M$92:$M$111,$G1129,月間集計シート!N$92:N$111)*AE$2</f>
        <v>0</v>
      </c>
      <c r="AF1129" s="88">
        <f>SUMIF(月間集計シート!$M$92:$M$111,$G1129,月間集計シート!O$92:O$111)*AF$2</f>
        <v>0</v>
      </c>
      <c r="AG1129" s="88">
        <f>SUMIF(月間集計シート!$M$92:$M$111,$G1129,月間集計シート!P$92:P$111)*AG$2</f>
        <v>0</v>
      </c>
      <c r="AH1129" s="88">
        <f>SUMIF(月間集計シート!$M$92:$M$111,$G1129,月間集計シート!Q$92:Q$111)*AH$2</f>
        <v>0</v>
      </c>
      <c r="AI1129" s="88">
        <f>SUMIF(月間集計シート!$M$92:$M$111,$G1129,月間集計シート!R$92:R$111)*AI$2</f>
        <v>0</v>
      </c>
      <c r="AJ1129" s="88">
        <f>SUMIF(月間集計シート!$M$92:$M$111,$G1129,月間集計シート!S$92:S$111)*AJ$2</f>
        <v>0</v>
      </c>
      <c r="AK1129" s="88">
        <f>SUMIF(月間集計シート!$M$92:$M$111,$G1129,月間集計シート!T$92:T$111)*AK$2</f>
        <v>0</v>
      </c>
      <c r="AL1129" s="88">
        <f>SUMIF(月間集計シート!$M$113:$M$132,$G1129,月間集計シート!N$113:N$132)*AL$2</f>
        <v>0</v>
      </c>
      <c r="AM1129" s="88">
        <f>SUMIF(月間集計シート!$M$113:$M$132,$G1129,月間集計シート!O$113:O$132)*AM$2</f>
        <v>0</v>
      </c>
      <c r="AN1129" s="88">
        <f>SUMIF(月間集計シート!$M$113:$M$132,$G1129,月間集計シート!P$113:P$132)*AN$2</f>
        <v>0</v>
      </c>
      <c r="AO1129" s="88">
        <f>SUMIF(月間集計シート!$M$113:$M$132,$G1129,月間集計シート!Q$113:Q$132)*AO$2</f>
        <v>0</v>
      </c>
      <c r="AP1129" s="88">
        <f>SUMIF(月間集計シート!$M$113:$M$132,$G1129,月間集計シート!R$113:R$132)*AP$2</f>
        <v>0</v>
      </c>
      <c r="AQ1129" s="88">
        <f>SUMIF(月間集計シート!$M$113:$M$132,$G1129,月間集計シート!S$113:S$132)*AQ$2</f>
        <v>0</v>
      </c>
      <c r="AR1129" s="88">
        <f>SUMIF(月間集計シート!$M$113:$M$132,$G1129,月間集計シート!T$113:T$132)*AR$2</f>
        <v>0</v>
      </c>
      <c r="AS1129" s="88">
        <f>SUMIF(月間集計シート!$M$134:$M$153,$G1129,月間集計シート!N$134:N$153)*AS$2</f>
        <v>0</v>
      </c>
      <c r="AT1129" s="88">
        <f>SUMIF(月間集計シート!$M$134:$M$153,$G1129,月間集計シート!O$134:O$153)*AT$2</f>
        <v>0</v>
      </c>
      <c r="AU1129" s="88">
        <f>SUMIF(月間集計シート!$M$134:$M$153,$G1129,月間集計シート!P$134:P$153)*AU$2</f>
        <v>0</v>
      </c>
      <c r="AV1129" s="88">
        <f>SUMIF(月間集計シート!$M$134:$M$153,$G1129,月間集計シート!Q$134:Q$153)*AV$2</f>
        <v>0</v>
      </c>
      <c r="AW1129" s="88">
        <f>SUMIF(月間集計シート!$M$134:$M$153,$G1129,月間集計シート!R$134:R$153)*AW$2</f>
        <v>0</v>
      </c>
      <c r="AX1129" s="88">
        <f>SUMIF(月間集計シート!$M$134:$M$153,$G1129,月間集計シート!S$134:S$153)*AX$2</f>
        <v>0</v>
      </c>
      <c r="AY1129" s="88">
        <f>SUMIF(月間集計シート!$M$134:$M$153,$G1129,月間集計シート!T$134:T$153)*AY$2</f>
        <v>0</v>
      </c>
    </row>
    <row r="1130" spans="1:51" ht="14.25" thickBot="1">
      <c r="A1130">
        <v>14</v>
      </c>
      <c r="B1130" s="120">
        <f t="shared" si="623"/>
        <v>0</v>
      </c>
      <c r="C1130" s="120" t="str">
        <f t="shared" si="624"/>
        <v/>
      </c>
      <c r="D1130" s="137"/>
      <c r="E1130" s="150" t="str">
        <f>工種!A17</f>
        <v>30103</v>
      </c>
      <c r="F1130" s="119" t="str">
        <f>工種!B17</f>
        <v>製造：単体テスト設計書作成</v>
      </c>
      <c r="G1130" s="116" t="str">
        <f t="shared" si="625"/>
        <v>030103</v>
      </c>
      <c r="H1130" s="88">
        <f t="shared" si="579"/>
        <v>0</v>
      </c>
      <c r="I1130" s="132"/>
      <c r="J1130" s="88">
        <f>SUMIF(月間集計シート!$M$29:$M$48,$G1130,月間集計シート!N$29:N$48)*J$2</f>
        <v>0</v>
      </c>
      <c r="K1130" s="88">
        <f>SUMIF(月間集計シート!$M$29:$M$48,$G1130,月間集計シート!O$29:O$48)*K$2</f>
        <v>0</v>
      </c>
      <c r="L1130" s="88">
        <f>SUMIF(月間集計シート!$M$29:$M$48,$G1130,月間集計シート!P$29:P$48)*L$2</f>
        <v>0</v>
      </c>
      <c r="M1130" s="88">
        <f>SUMIF(月間集計シート!$M$29:$M$48,$G1130,月間集計シート!Q$29:Q$48)*M$2</f>
        <v>0</v>
      </c>
      <c r="N1130" s="88">
        <f>SUMIF(月間集計シート!$M$29:$M$48,$G1130,月間集計シート!R$29:R$48)*N$2</f>
        <v>0</v>
      </c>
      <c r="O1130" s="88">
        <f>SUMIF(月間集計シート!$M$29:$M$48,$G1130,月間集計シート!S$29:S$48)*O$2</f>
        <v>0</v>
      </c>
      <c r="P1130" s="88">
        <f>SUMIF(月間集計シート!$M$29:$M$48,$G1130,月間集計シート!T$29:T$48)*P$2</f>
        <v>0</v>
      </c>
      <c r="Q1130" s="88">
        <f>SUMIF(月間集計シート!$M$50:$M$69,$G1130,月間集計シート!N$50:N$69)*Q$2</f>
        <v>0</v>
      </c>
      <c r="R1130" s="88">
        <f>SUMIF(月間集計シート!$M$50:$M$69,$G1130,月間集計シート!O$50:O$69)*R$2</f>
        <v>0</v>
      </c>
      <c r="S1130" s="88">
        <f>SUMIF(月間集計シート!$M$50:$M$69,$G1130,月間集計シート!P$50:P$69)*S$2</f>
        <v>0</v>
      </c>
      <c r="T1130" s="88">
        <f>SUMIF(月間集計シート!$M$50:$M$69,$G1130,月間集計シート!Q$50:Q$69)*T$2</f>
        <v>0</v>
      </c>
      <c r="U1130" s="88">
        <f>SUMIF(月間集計シート!$M$50:$M$69,$G1130,月間集計シート!R$50:R$69)*U$2</f>
        <v>0</v>
      </c>
      <c r="V1130" s="88">
        <f>SUMIF(月間集計シート!$M$50:$M$69,$G1130,月間集計シート!S$50:S$69)*V$2</f>
        <v>0</v>
      </c>
      <c r="W1130" s="88">
        <f>SUMIF(月間集計シート!$M$50:$M$69,$G1130,月間集計シート!T$50:T$69)*W$2</f>
        <v>0</v>
      </c>
      <c r="X1130" s="88">
        <f>SUMIF(月間集計シート!$M$71:$M$90,$G1130,月間集計シート!N$71:N$90)*X$2</f>
        <v>0</v>
      </c>
      <c r="Y1130" s="88">
        <f>SUMIF(月間集計シート!$M$71:$M$90,$G1130,月間集計シート!O$71:O$90)*Y$2</f>
        <v>0</v>
      </c>
      <c r="Z1130" s="88">
        <f>SUMIF(月間集計シート!$M$71:$M$90,$G1130,月間集計シート!P$71:P$90)*Z$2</f>
        <v>0</v>
      </c>
      <c r="AA1130" s="88">
        <f>SUMIF(月間集計シート!$M$71:$M$90,$G1130,月間集計シート!Q$71:Q$90)*AA$2</f>
        <v>0</v>
      </c>
      <c r="AB1130" s="88">
        <f>SUMIF(月間集計シート!$M$71:$M$90,$G1130,月間集計シート!R$71:R$90)*AB$2</f>
        <v>0</v>
      </c>
      <c r="AC1130" s="88">
        <f>SUMIF(月間集計シート!$M$71:$M$90,$G1130,月間集計シート!S$71:S$90)*AC$2</f>
        <v>0</v>
      </c>
      <c r="AD1130" s="88">
        <f>SUMIF(月間集計シート!$M$71:$M$90,$G1130,月間集計シート!T$71:T$90)*AD$2</f>
        <v>0</v>
      </c>
      <c r="AE1130" s="88">
        <f>SUMIF(月間集計シート!$M$92:$M$111,$G1130,月間集計シート!N$92:N$111)*AE$2</f>
        <v>0</v>
      </c>
      <c r="AF1130" s="88">
        <f>SUMIF(月間集計シート!$M$92:$M$111,$G1130,月間集計シート!O$92:O$111)*AF$2</f>
        <v>0</v>
      </c>
      <c r="AG1130" s="88">
        <f>SUMIF(月間集計シート!$M$92:$M$111,$G1130,月間集計シート!P$92:P$111)*AG$2</f>
        <v>0</v>
      </c>
      <c r="AH1130" s="88">
        <f>SUMIF(月間集計シート!$M$92:$M$111,$G1130,月間集計シート!Q$92:Q$111)*AH$2</f>
        <v>0</v>
      </c>
      <c r="AI1130" s="88">
        <f>SUMIF(月間集計シート!$M$92:$M$111,$G1130,月間集計シート!R$92:R$111)*AI$2</f>
        <v>0</v>
      </c>
      <c r="AJ1130" s="88">
        <f>SUMIF(月間集計シート!$M$92:$M$111,$G1130,月間集計シート!S$92:S$111)*AJ$2</f>
        <v>0</v>
      </c>
      <c r="AK1130" s="88">
        <f>SUMIF(月間集計シート!$M$92:$M$111,$G1130,月間集計シート!T$92:T$111)*AK$2</f>
        <v>0</v>
      </c>
      <c r="AL1130" s="88">
        <f>SUMIF(月間集計シート!$M$113:$M$132,$G1130,月間集計シート!N$113:N$132)*AL$2</f>
        <v>0</v>
      </c>
      <c r="AM1130" s="88">
        <f>SUMIF(月間集計シート!$M$113:$M$132,$G1130,月間集計シート!O$113:O$132)*AM$2</f>
        <v>0</v>
      </c>
      <c r="AN1130" s="88">
        <f>SUMIF(月間集計シート!$M$113:$M$132,$G1130,月間集計シート!P$113:P$132)*AN$2</f>
        <v>0</v>
      </c>
      <c r="AO1130" s="88">
        <f>SUMIF(月間集計シート!$M$113:$M$132,$G1130,月間集計シート!Q$113:Q$132)*AO$2</f>
        <v>0</v>
      </c>
      <c r="AP1130" s="88">
        <f>SUMIF(月間集計シート!$M$113:$M$132,$G1130,月間集計シート!R$113:R$132)*AP$2</f>
        <v>0</v>
      </c>
      <c r="AQ1130" s="88">
        <f>SUMIF(月間集計シート!$M$113:$M$132,$G1130,月間集計シート!S$113:S$132)*AQ$2</f>
        <v>0</v>
      </c>
      <c r="AR1130" s="88">
        <f>SUMIF(月間集計シート!$M$113:$M$132,$G1130,月間集計シート!T$113:T$132)*AR$2</f>
        <v>0</v>
      </c>
      <c r="AS1130" s="88">
        <f>SUMIF(月間集計シート!$M$134:$M$153,$G1130,月間集計シート!N$134:N$153)*AS$2</f>
        <v>0</v>
      </c>
      <c r="AT1130" s="88">
        <f>SUMIF(月間集計シート!$M$134:$M$153,$G1130,月間集計シート!O$134:O$153)*AT$2</f>
        <v>0</v>
      </c>
      <c r="AU1130" s="88">
        <f>SUMIF(月間集計シート!$M$134:$M$153,$G1130,月間集計シート!P$134:P$153)*AU$2</f>
        <v>0</v>
      </c>
      <c r="AV1130" s="88">
        <f>SUMIF(月間集計シート!$M$134:$M$153,$G1130,月間集計シート!Q$134:Q$153)*AV$2</f>
        <v>0</v>
      </c>
      <c r="AW1130" s="88">
        <f>SUMIF(月間集計シート!$M$134:$M$153,$G1130,月間集計シート!R$134:R$153)*AW$2</f>
        <v>0</v>
      </c>
      <c r="AX1130" s="88">
        <f>SUMIF(月間集計シート!$M$134:$M$153,$G1130,月間集計シート!S$134:S$153)*AX$2</f>
        <v>0</v>
      </c>
      <c r="AY1130" s="88">
        <f>SUMIF(月間集計シート!$M$134:$M$153,$G1130,月間集計シート!T$134:T$153)*AY$2</f>
        <v>0</v>
      </c>
    </row>
    <row r="1131" spans="1:51" ht="14.25" thickBot="1">
      <c r="A1131">
        <v>14</v>
      </c>
      <c r="B1131" s="120">
        <f t="shared" si="623"/>
        <v>0</v>
      </c>
      <c r="C1131" s="120" t="str">
        <f t="shared" si="624"/>
        <v/>
      </c>
      <c r="D1131" s="137"/>
      <c r="E1131" s="150" t="str">
        <f>工種!A18</f>
        <v>30104</v>
      </c>
      <c r="F1131" s="119" t="str">
        <f>工種!B18</f>
        <v>製造：単体テスト実施</v>
      </c>
      <c r="G1131" s="116" t="str">
        <f t="shared" si="625"/>
        <v>030104</v>
      </c>
      <c r="H1131" s="88">
        <f t="shared" si="579"/>
        <v>0</v>
      </c>
      <c r="I1131" s="132"/>
      <c r="J1131" s="88">
        <f>SUMIF(月間集計シート!$M$29:$M$48,$G1131,月間集計シート!N$29:N$48)*J$2</f>
        <v>0</v>
      </c>
      <c r="K1131" s="88">
        <f>SUMIF(月間集計シート!$M$29:$M$48,$G1131,月間集計シート!O$29:O$48)*K$2</f>
        <v>0</v>
      </c>
      <c r="L1131" s="88">
        <f>SUMIF(月間集計シート!$M$29:$M$48,$G1131,月間集計シート!P$29:P$48)*L$2</f>
        <v>0</v>
      </c>
      <c r="M1131" s="88">
        <f>SUMIF(月間集計シート!$M$29:$M$48,$G1131,月間集計シート!Q$29:Q$48)*M$2</f>
        <v>0</v>
      </c>
      <c r="N1131" s="88">
        <f>SUMIF(月間集計シート!$M$29:$M$48,$G1131,月間集計シート!R$29:R$48)*N$2</f>
        <v>0</v>
      </c>
      <c r="O1131" s="88">
        <f>SUMIF(月間集計シート!$M$29:$M$48,$G1131,月間集計シート!S$29:S$48)*O$2</f>
        <v>0</v>
      </c>
      <c r="P1131" s="88">
        <f>SUMIF(月間集計シート!$M$29:$M$48,$G1131,月間集計シート!T$29:T$48)*P$2</f>
        <v>0</v>
      </c>
      <c r="Q1131" s="88">
        <f>SUMIF(月間集計シート!$M$50:$M$69,$G1131,月間集計シート!N$50:N$69)*Q$2</f>
        <v>0</v>
      </c>
      <c r="R1131" s="88">
        <f>SUMIF(月間集計シート!$M$50:$M$69,$G1131,月間集計シート!O$50:O$69)*R$2</f>
        <v>0</v>
      </c>
      <c r="S1131" s="88">
        <f>SUMIF(月間集計シート!$M$50:$M$69,$G1131,月間集計シート!P$50:P$69)*S$2</f>
        <v>0</v>
      </c>
      <c r="T1131" s="88">
        <f>SUMIF(月間集計シート!$M$50:$M$69,$G1131,月間集計シート!Q$50:Q$69)*T$2</f>
        <v>0</v>
      </c>
      <c r="U1131" s="88">
        <f>SUMIF(月間集計シート!$M$50:$M$69,$G1131,月間集計シート!R$50:R$69)*U$2</f>
        <v>0</v>
      </c>
      <c r="V1131" s="88">
        <f>SUMIF(月間集計シート!$M$50:$M$69,$G1131,月間集計シート!S$50:S$69)*V$2</f>
        <v>0</v>
      </c>
      <c r="W1131" s="88">
        <f>SUMIF(月間集計シート!$M$50:$M$69,$G1131,月間集計シート!T$50:T$69)*W$2</f>
        <v>0</v>
      </c>
      <c r="X1131" s="88">
        <f>SUMIF(月間集計シート!$M$71:$M$90,$G1131,月間集計シート!N$71:N$90)*X$2</f>
        <v>0</v>
      </c>
      <c r="Y1131" s="88">
        <f>SUMIF(月間集計シート!$M$71:$M$90,$G1131,月間集計シート!O$71:O$90)*Y$2</f>
        <v>0</v>
      </c>
      <c r="Z1131" s="88">
        <f>SUMIF(月間集計シート!$M$71:$M$90,$G1131,月間集計シート!P$71:P$90)*Z$2</f>
        <v>0</v>
      </c>
      <c r="AA1131" s="88">
        <f>SUMIF(月間集計シート!$M$71:$M$90,$G1131,月間集計シート!Q$71:Q$90)*AA$2</f>
        <v>0</v>
      </c>
      <c r="AB1131" s="88">
        <f>SUMIF(月間集計シート!$M$71:$M$90,$G1131,月間集計シート!R$71:R$90)*AB$2</f>
        <v>0</v>
      </c>
      <c r="AC1131" s="88">
        <f>SUMIF(月間集計シート!$M$71:$M$90,$G1131,月間集計シート!S$71:S$90)*AC$2</f>
        <v>0</v>
      </c>
      <c r="AD1131" s="88">
        <f>SUMIF(月間集計シート!$M$71:$M$90,$G1131,月間集計シート!T$71:T$90)*AD$2</f>
        <v>0</v>
      </c>
      <c r="AE1131" s="88">
        <f>SUMIF(月間集計シート!$M$92:$M$111,$G1131,月間集計シート!N$92:N$111)*AE$2</f>
        <v>0</v>
      </c>
      <c r="AF1131" s="88">
        <f>SUMIF(月間集計シート!$M$92:$M$111,$G1131,月間集計シート!O$92:O$111)*AF$2</f>
        <v>0</v>
      </c>
      <c r="AG1131" s="88">
        <f>SUMIF(月間集計シート!$M$92:$M$111,$G1131,月間集計シート!P$92:P$111)*AG$2</f>
        <v>0</v>
      </c>
      <c r="AH1131" s="88">
        <f>SUMIF(月間集計シート!$M$92:$M$111,$G1131,月間集計シート!Q$92:Q$111)*AH$2</f>
        <v>0</v>
      </c>
      <c r="AI1131" s="88">
        <f>SUMIF(月間集計シート!$M$92:$M$111,$G1131,月間集計シート!R$92:R$111)*AI$2</f>
        <v>0</v>
      </c>
      <c r="AJ1131" s="88">
        <f>SUMIF(月間集計シート!$M$92:$M$111,$G1131,月間集計シート!S$92:S$111)*AJ$2</f>
        <v>0</v>
      </c>
      <c r="AK1131" s="88">
        <f>SUMIF(月間集計シート!$M$92:$M$111,$G1131,月間集計シート!T$92:T$111)*AK$2</f>
        <v>0</v>
      </c>
      <c r="AL1131" s="88">
        <f>SUMIF(月間集計シート!$M$113:$M$132,$G1131,月間集計シート!N$113:N$132)*AL$2</f>
        <v>0</v>
      </c>
      <c r="AM1131" s="88">
        <f>SUMIF(月間集計シート!$M$113:$M$132,$G1131,月間集計シート!O$113:O$132)*AM$2</f>
        <v>0</v>
      </c>
      <c r="AN1131" s="88">
        <f>SUMIF(月間集計シート!$M$113:$M$132,$G1131,月間集計シート!P$113:P$132)*AN$2</f>
        <v>0</v>
      </c>
      <c r="AO1131" s="88">
        <f>SUMIF(月間集計シート!$M$113:$M$132,$G1131,月間集計シート!Q$113:Q$132)*AO$2</f>
        <v>0</v>
      </c>
      <c r="AP1131" s="88">
        <f>SUMIF(月間集計シート!$M$113:$M$132,$G1131,月間集計シート!R$113:R$132)*AP$2</f>
        <v>0</v>
      </c>
      <c r="AQ1131" s="88">
        <f>SUMIF(月間集計シート!$M$113:$M$132,$G1131,月間集計シート!S$113:S$132)*AQ$2</f>
        <v>0</v>
      </c>
      <c r="AR1131" s="88">
        <f>SUMIF(月間集計シート!$M$113:$M$132,$G1131,月間集計シート!T$113:T$132)*AR$2</f>
        <v>0</v>
      </c>
      <c r="AS1131" s="88">
        <f>SUMIF(月間集計シート!$M$134:$M$153,$G1131,月間集計シート!N$134:N$153)*AS$2</f>
        <v>0</v>
      </c>
      <c r="AT1131" s="88">
        <f>SUMIF(月間集計シート!$M$134:$M$153,$G1131,月間集計シート!O$134:O$153)*AT$2</f>
        <v>0</v>
      </c>
      <c r="AU1131" s="88">
        <f>SUMIF(月間集計シート!$M$134:$M$153,$G1131,月間集計シート!P$134:P$153)*AU$2</f>
        <v>0</v>
      </c>
      <c r="AV1131" s="88">
        <f>SUMIF(月間集計シート!$M$134:$M$153,$G1131,月間集計シート!Q$134:Q$153)*AV$2</f>
        <v>0</v>
      </c>
      <c r="AW1131" s="88">
        <f>SUMIF(月間集計シート!$M$134:$M$153,$G1131,月間集計シート!R$134:R$153)*AW$2</f>
        <v>0</v>
      </c>
      <c r="AX1131" s="88">
        <f>SUMIF(月間集計シート!$M$134:$M$153,$G1131,月間集計シート!S$134:S$153)*AX$2</f>
        <v>0</v>
      </c>
      <c r="AY1131" s="88">
        <f>SUMIF(月間集計シート!$M$134:$M$153,$G1131,月間集計シート!T$134:T$153)*AY$2</f>
        <v>0</v>
      </c>
    </row>
    <row r="1132" spans="1:51" ht="14.25" thickBot="1">
      <c r="A1132">
        <v>14</v>
      </c>
      <c r="B1132" s="120">
        <f t="shared" si="623"/>
        <v>0</v>
      </c>
      <c r="C1132" s="120" t="str">
        <f t="shared" si="624"/>
        <v/>
      </c>
      <c r="D1132" s="137"/>
      <c r="E1132" s="150" t="str">
        <f>工種!A19</f>
        <v>30105</v>
      </c>
      <c r="F1132" s="119" t="str">
        <f>工種!B19</f>
        <v>製造：打合せ</v>
      </c>
      <c r="G1132" s="116" t="str">
        <f t="shared" si="625"/>
        <v>030105</v>
      </c>
      <c r="H1132" s="88">
        <f t="shared" si="579"/>
        <v>0</v>
      </c>
      <c r="I1132" s="132"/>
      <c r="J1132" s="88">
        <f>SUMIF(月間集計シート!$M$29:$M$48,$G1132,月間集計シート!N$29:N$48)*J$2</f>
        <v>0</v>
      </c>
      <c r="K1132" s="88">
        <f>SUMIF(月間集計シート!$M$29:$M$48,$G1132,月間集計シート!O$29:O$48)*K$2</f>
        <v>0</v>
      </c>
      <c r="L1132" s="88">
        <f>SUMIF(月間集計シート!$M$29:$M$48,$G1132,月間集計シート!P$29:P$48)*L$2</f>
        <v>0</v>
      </c>
      <c r="M1132" s="88">
        <f>SUMIF(月間集計シート!$M$29:$M$48,$G1132,月間集計シート!Q$29:Q$48)*M$2</f>
        <v>0</v>
      </c>
      <c r="N1132" s="88">
        <f>SUMIF(月間集計シート!$M$29:$M$48,$G1132,月間集計シート!R$29:R$48)*N$2</f>
        <v>0</v>
      </c>
      <c r="O1132" s="88">
        <f>SUMIF(月間集計シート!$M$29:$M$48,$G1132,月間集計シート!S$29:S$48)*O$2</f>
        <v>0</v>
      </c>
      <c r="P1132" s="88">
        <f>SUMIF(月間集計シート!$M$29:$M$48,$G1132,月間集計シート!T$29:T$48)*P$2</f>
        <v>0</v>
      </c>
      <c r="Q1132" s="88">
        <f>SUMIF(月間集計シート!$M$50:$M$69,$G1132,月間集計シート!N$50:N$69)*Q$2</f>
        <v>0</v>
      </c>
      <c r="R1132" s="88">
        <f>SUMIF(月間集計シート!$M$50:$M$69,$G1132,月間集計シート!O$50:O$69)*R$2</f>
        <v>0</v>
      </c>
      <c r="S1132" s="88">
        <f>SUMIF(月間集計シート!$M$50:$M$69,$G1132,月間集計シート!P$50:P$69)*S$2</f>
        <v>0</v>
      </c>
      <c r="T1132" s="88">
        <f>SUMIF(月間集計シート!$M$50:$M$69,$G1132,月間集計シート!Q$50:Q$69)*T$2</f>
        <v>0</v>
      </c>
      <c r="U1132" s="88">
        <f>SUMIF(月間集計シート!$M$50:$M$69,$G1132,月間集計シート!R$50:R$69)*U$2</f>
        <v>0</v>
      </c>
      <c r="V1132" s="88">
        <f>SUMIF(月間集計シート!$M$50:$M$69,$G1132,月間集計シート!S$50:S$69)*V$2</f>
        <v>0</v>
      </c>
      <c r="W1132" s="88">
        <f>SUMIF(月間集計シート!$M$50:$M$69,$G1132,月間集計シート!T$50:T$69)*W$2</f>
        <v>0</v>
      </c>
      <c r="X1132" s="88">
        <f>SUMIF(月間集計シート!$M$71:$M$90,$G1132,月間集計シート!N$71:N$90)*X$2</f>
        <v>0</v>
      </c>
      <c r="Y1132" s="88">
        <f>SUMIF(月間集計シート!$M$71:$M$90,$G1132,月間集計シート!O$71:O$90)*Y$2</f>
        <v>0</v>
      </c>
      <c r="Z1132" s="88">
        <f>SUMIF(月間集計シート!$M$71:$M$90,$G1132,月間集計シート!P$71:P$90)*Z$2</f>
        <v>0</v>
      </c>
      <c r="AA1132" s="88">
        <f>SUMIF(月間集計シート!$M$71:$M$90,$G1132,月間集計シート!Q$71:Q$90)*AA$2</f>
        <v>0</v>
      </c>
      <c r="AB1132" s="88">
        <f>SUMIF(月間集計シート!$M$71:$M$90,$G1132,月間集計シート!R$71:R$90)*AB$2</f>
        <v>0</v>
      </c>
      <c r="AC1132" s="88">
        <f>SUMIF(月間集計シート!$M$71:$M$90,$G1132,月間集計シート!S$71:S$90)*AC$2</f>
        <v>0</v>
      </c>
      <c r="AD1132" s="88">
        <f>SUMIF(月間集計シート!$M$71:$M$90,$G1132,月間集計シート!T$71:T$90)*AD$2</f>
        <v>0</v>
      </c>
      <c r="AE1132" s="88">
        <f>SUMIF(月間集計シート!$M$92:$M$111,$G1132,月間集計シート!N$92:N$111)*AE$2</f>
        <v>0</v>
      </c>
      <c r="AF1132" s="88">
        <f>SUMIF(月間集計シート!$M$92:$M$111,$G1132,月間集計シート!O$92:O$111)*AF$2</f>
        <v>0</v>
      </c>
      <c r="AG1132" s="88">
        <f>SUMIF(月間集計シート!$M$92:$M$111,$G1132,月間集計シート!P$92:P$111)*AG$2</f>
        <v>0</v>
      </c>
      <c r="AH1132" s="88">
        <f>SUMIF(月間集計シート!$M$92:$M$111,$G1132,月間集計シート!Q$92:Q$111)*AH$2</f>
        <v>0</v>
      </c>
      <c r="AI1132" s="88">
        <f>SUMIF(月間集計シート!$M$92:$M$111,$G1132,月間集計シート!R$92:R$111)*AI$2</f>
        <v>0</v>
      </c>
      <c r="AJ1132" s="88">
        <f>SUMIF(月間集計シート!$M$92:$M$111,$G1132,月間集計シート!S$92:S$111)*AJ$2</f>
        <v>0</v>
      </c>
      <c r="AK1132" s="88">
        <f>SUMIF(月間集計シート!$M$92:$M$111,$G1132,月間集計シート!T$92:T$111)*AK$2</f>
        <v>0</v>
      </c>
      <c r="AL1132" s="88">
        <f>SUMIF(月間集計シート!$M$113:$M$132,$G1132,月間集計シート!N$113:N$132)*AL$2</f>
        <v>0</v>
      </c>
      <c r="AM1132" s="88">
        <f>SUMIF(月間集計シート!$M$113:$M$132,$G1132,月間集計シート!O$113:O$132)*AM$2</f>
        <v>0</v>
      </c>
      <c r="AN1132" s="88">
        <f>SUMIF(月間集計シート!$M$113:$M$132,$G1132,月間集計シート!P$113:P$132)*AN$2</f>
        <v>0</v>
      </c>
      <c r="AO1132" s="88">
        <f>SUMIF(月間集計シート!$M$113:$M$132,$G1132,月間集計シート!Q$113:Q$132)*AO$2</f>
        <v>0</v>
      </c>
      <c r="AP1132" s="88">
        <f>SUMIF(月間集計シート!$M$113:$M$132,$G1132,月間集計シート!R$113:R$132)*AP$2</f>
        <v>0</v>
      </c>
      <c r="AQ1132" s="88">
        <f>SUMIF(月間集計シート!$M$113:$M$132,$G1132,月間集計シート!S$113:S$132)*AQ$2</f>
        <v>0</v>
      </c>
      <c r="AR1132" s="88">
        <f>SUMIF(月間集計シート!$M$113:$M$132,$G1132,月間集計シート!T$113:T$132)*AR$2</f>
        <v>0</v>
      </c>
      <c r="AS1132" s="88">
        <f>SUMIF(月間集計シート!$M$134:$M$153,$G1132,月間集計シート!N$134:N$153)*AS$2</f>
        <v>0</v>
      </c>
      <c r="AT1132" s="88">
        <f>SUMIF(月間集計シート!$M$134:$M$153,$G1132,月間集計シート!O$134:O$153)*AT$2</f>
        <v>0</v>
      </c>
      <c r="AU1132" s="88">
        <f>SUMIF(月間集計シート!$M$134:$M$153,$G1132,月間集計シート!P$134:P$153)*AU$2</f>
        <v>0</v>
      </c>
      <c r="AV1132" s="88">
        <f>SUMIF(月間集計シート!$M$134:$M$153,$G1132,月間集計シート!Q$134:Q$153)*AV$2</f>
        <v>0</v>
      </c>
      <c r="AW1132" s="88">
        <f>SUMIF(月間集計シート!$M$134:$M$153,$G1132,月間集計シート!R$134:R$153)*AW$2</f>
        <v>0</v>
      </c>
      <c r="AX1132" s="88">
        <f>SUMIF(月間集計シート!$M$134:$M$153,$G1132,月間集計シート!S$134:S$153)*AX$2</f>
        <v>0</v>
      </c>
      <c r="AY1132" s="88">
        <f>SUMIF(月間集計シート!$M$134:$M$153,$G1132,月間集計シート!T$134:T$153)*AY$2</f>
        <v>0</v>
      </c>
    </row>
    <row r="1133" spans="1:51" ht="14.25" thickBot="1">
      <c r="A1133">
        <v>14</v>
      </c>
      <c r="B1133" s="120">
        <f t="shared" si="623"/>
        <v>0</v>
      </c>
      <c r="C1133" s="120" t="str">
        <f t="shared" si="624"/>
        <v/>
      </c>
      <c r="D1133" s="137"/>
      <c r="E1133" s="150" t="str">
        <f>工種!A20</f>
        <v>30106</v>
      </c>
      <c r="F1133" s="119" t="str">
        <f>工種!B20</f>
        <v>製造：PG修正（手戻り分）</v>
      </c>
      <c r="G1133" s="116" t="str">
        <f t="shared" si="625"/>
        <v>030106</v>
      </c>
      <c r="H1133" s="88">
        <f t="shared" si="579"/>
        <v>0</v>
      </c>
      <c r="I1133" s="132"/>
      <c r="J1133" s="88">
        <f>SUMIF(月間集計シート!$M$29:$M$48,$G1133,月間集計シート!N$29:N$48)*J$2</f>
        <v>0</v>
      </c>
      <c r="K1133" s="88">
        <f>SUMIF(月間集計シート!$M$29:$M$48,$G1133,月間集計シート!O$29:O$48)*K$2</f>
        <v>0</v>
      </c>
      <c r="L1133" s="88">
        <f>SUMIF(月間集計シート!$M$29:$M$48,$G1133,月間集計シート!P$29:P$48)*L$2</f>
        <v>0</v>
      </c>
      <c r="M1133" s="88">
        <f>SUMIF(月間集計シート!$M$29:$M$48,$G1133,月間集計シート!Q$29:Q$48)*M$2</f>
        <v>0</v>
      </c>
      <c r="N1133" s="88">
        <f>SUMIF(月間集計シート!$M$29:$M$48,$G1133,月間集計シート!R$29:R$48)*N$2</f>
        <v>0</v>
      </c>
      <c r="O1133" s="88">
        <f>SUMIF(月間集計シート!$M$29:$M$48,$G1133,月間集計シート!S$29:S$48)*O$2</f>
        <v>0</v>
      </c>
      <c r="P1133" s="88">
        <f>SUMIF(月間集計シート!$M$29:$M$48,$G1133,月間集計シート!T$29:T$48)*P$2</f>
        <v>0</v>
      </c>
      <c r="Q1133" s="88">
        <f>SUMIF(月間集計シート!$M$50:$M$69,$G1133,月間集計シート!N$50:N$69)*Q$2</f>
        <v>0</v>
      </c>
      <c r="R1133" s="88">
        <f>SUMIF(月間集計シート!$M$50:$M$69,$G1133,月間集計シート!O$50:O$69)*R$2</f>
        <v>0</v>
      </c>
      <c r="S1133" s="88">
        <f>SUMIF(月間集計シート!$M$50:$M$69,$G1133,月間集計シート!P$50:P$69)*S$2</f>
        <v>0</v>
      </c>
      <c r="T1133" s="88">
        <f>SUMIF(月間集計シート!$M$50:$M$69,$G1133,月間集計シート!Q$50:Q$69)*T$2</f>
        <v>0</v>
      </c>
      <c r="U1133" s="88">
        <f>SUMIF(月間集計シート!$M$50:$M$69,$G1133,月間集計シート!R$50:R$69)*U$2</f>
        <v>0</v>
      </c>
      <c r="V1133" s="88">
        <f>SUMIF(月間集計シート!$M$50:$M$69,$G1133,月間集計シート!S$50:S$69)*V$2</f>
        <v>0</v>
      </c>
      <c r="W1133" s="88">
        <f>SUMIF(月間集計シート!$M$50:$M$69,$G1133,月間集計シート!T$50:T$69)*W$2</f>
        <v>0</v>
      </c>
      <c r="X1133" s="88">
        <f>SUMIF(月間集計シート!$M$71:$M$90,$G1133,月間集計シート!N$71:N$90)*X$2</f>
        <v>0</v>
      </c>
      <c r="Y1133" s="88">
        <f>SUMIF(月間集計シート!$M$71:$M$90,$G1133,月間集計シート!O$71:O$90)*Y$2</f>
        <v>0</v>
      </c>
      <c r="Z1133" s="88">
        <f>SUMIF(月間集計シート!$M$71:$M$90,$G1133,月間集計シート!P$71:P$90)*Z$2</f>
        <v>0</v>
      </c>
      <c r="AA1133" s="88">
        <f>SUMIF(月間集計シート!$M$71:$M$90,$G1133,月間集計シート!Q$71:Q$90)*AA$2</f>
        <v>0</v>
      </c>
      <c r="AB1133" s="88">
        <f>SUMIF(月間集計シート!$M$71:$M$90,$G1133,月間集計シート!R$71:R$90)*AB$2</f>
        <v>0</v>
      </c>
      <c r="AC1133" s="88">
        <f>SUMIF(月間集計シート!$M$71:$M$90,$G1133,月間集計シート!S$71:S$90)*AC$2</f>
        <v>0</v>
      </c>
      <c r="AD1133" s="88">
        <f>SUMIF(月間集計シート!$M$71:$M$90,$G1133,月間集計シート!T$71:T$90)*AD$2</f>
        <v>0</v>
      </c>
      <c r="AE1133" s="88">
        <f>SUMIF(月間集計シート!$M$92:$M$111,$G1133,月間集計シート!N$92:N$111)*AE$2</f>
        <v>0</v>
      </c>
      <c r="AF1133" s="88">
        <f>SUMIF(月間集計シート!$M$92:$M$111,$G1133,月間集計シート!O$92:O$111)*AF$2</f>
        <v>0</v>
      </c>
      <c r="AG1133" s="88">
        <f>SUMIF(月間集計シート!$M$92:$M$111,$G1133,月間集計シート!P$92:P$111)*AG$2</f>
        <v>0</v>
      </c>
      <c r="AH1133" s="88">
        <f>SUMIF(月間集計シート!$M$92:$M$111,$G1133,月間集計シート!Q$92:Q$111)*AH$2</f>
        <v>0</v>
      </c>
      <c r="AI1133" s="88">
        <f>SUMIF(月間集計シート!$M$92:$M$111,$G1133,月間集計シート!R$92:R$111)*AI$2</f>
        <v>0</v>
      </c>
      <c r="AJ1133" s="88">
        <f>SUMIF(月間集計シート!$M$92:$M$111,$G1133,月間集計シート!S$92:S$111)*AJ$2</f>
        <v>0</v>
      </c>
      <c r="AK1133" s="88">
        <f>SUMIF(月間集計シート!$M$92:$M$111,$G1133,月間集計シート!T$92:T$111)*AK$2</f>
        <v>0</v>
      </c>
      <c r="AL1133" s="88">
        <f>SUMIF(月間集計シート!$M$113:$M$132,$G1133,月間集計シート!N$113:N$132)*AL$2</f>
        <v>0</v>
      </c>
      <c r="AM1133" s="88">
        <f>SUMIF(月間集計シート!$M$113:$M$132,$G1133,月間集計シート!O$113:O$132)*AM$2</f>
        <v>0</v>
      </c>
      <c r="AN1133" s="88">
        <f>SUMIF(月間集計シート!$M$113:$M$132,$G1133,月間集計シート!P$113:P$132)*AN$2</f>
        <v>0</v>
      </c>
      <c r="AO1133" s="88">
        <f>SUMIF(月間集計シート!$M$113:$M$132,$G1133,月間集計シート!Q$113:Q$132)*AO$2</f>
        <v>0</v>
      </c>
      <c r="AP1133" s="88">
        <f>SUMIF(月間集計シート!$M$113:$M$132,$G1133,月間集計シート!R$113:R$132)*AP$2</f>
        <v>0</v>
      </c>
      <c r="AQ1133" s="88">
        <f>SUMIF(月間集計シート!$M$113:$M$132,$G1133,月間集計シート!S$113:S$132)*AQ$2</f>
        <v>0</v>
      </c>
      <c r="AR1133" s="88">
        <f>SUMIF(月間集計シート!$M$113:$M$132,$G1133,月間集計シート!T$113:T$132)*AR$2</f>
        <v>0</v>
      </c>
      <c r="AS1133" s="88">
        <f>SUMIF(月間集計シート!$M$134:$M$153,$G1133,月間集計シート!N$134:N$153)*AS$2</f>
        <v>0</v>
      </c>
      <c r="AT1133" s="88">
        <f>SUMIF(月間集計シート!$M$134:$M$153,$G1133,月間集計シート!O$134:O$153)*AT$2</f>
        <v>0</v>
      </c>
      <c r="AU1133" s="88">
        <f>SUMIF(月間集計シート!$M$134:$M$153,$G1133,月間集計シート!P$134:P$153)*AU$2</f>
        <v>0</v>
      </c>
      <c r="AV1133" s="88">
        <f>SUMIF(月間集計シート!$M$134:$M$153,$G1133,月間集計シート!Q$134:Q$153)*AV$2</f>
        <v>0</v>
      </c>
      <c r="AW1133" s="88">
        <f>SUMIF(月間集計シート!$M$134:$M$153,$G1133,月間集計シート!R$134:R$153)*AW$2</f>
        <v>0</v>
      </c>
      <c r="AX1133" s="88">
        <f>SUMIF(月間集計シート!$M$134:$M$153,$G1133,月間集計シート!S$134:S$153)*AX$2</f>
        <v>0</v>
      </c>
      <c r="AY1133" s="88">
        <f>SUMIF(月間集計シート!$M$134:$M$153,$G1133,月間集計シート!T$134:T$153)*AY$2</f>
        <v>0</v>
      </c>
    </row>
    <row r="1134" spans="1:51" ht="14.25" thickBot="1">
      <c r="A1134">
        <v>14</v>
      </c>
      <c r="B1134" s="120">
        <f t="shared" si="623"/>
        <v>0</v>
      </c>
      <c r="C1134" s="120" t="str">
        <f t="shared" si="624"/>
        <v/>
      </c>
      <c r="D1134" s="137"/>
      <c r="E1134" s="150" t="str">
        <f>工種!A21</f>
        <v>30109</v>
      </c>
      <c r="F1134" s="119" t="str">
        <f>工種!B21</f>
        <v>製造：レビュー</v>
      </c>
      <c r="G1134" s="116" t="str">
        <f t="shared" si="625"/>
        <v>030109</v>
      </c>
      <c r="H1134" s="88">
        <f t="shared" si="579"/>
        <v>0</v>
      </c>
      <c r="I1134" s="132"/>
      <c r="J1134" s="88">
        <f>SUMIF(月間集計シート!$M$29:$M$48,$G1134,月間集計シート!N$29:N$48)*J$2</f>
        <v>0</v>
      </c>
      <c r="K1134" s="88">
        <f>SUMIF(月間集計シート!$M$29:$M$48,$G1134,月間集計シート!O$29:O$48)*K$2</f>
        <v>0</v>
      </c>
      <c r="L1134" s="88">
        <f>SUMIF(月間集計シート!$M$29:$M$48,$G1134,月間集計シート!P$29:P$48)*L$2</f>
        <v>0</v>
      </c>
      <c r="M1134" s="88">
        <f>SUMIF(月間集計シート!$M$29:$M$48,$G1134,月間集計シート!Q$29:Q$48)*M$2</f>
        <v>0</v>
      </c>
      <c r="N1134" s="88">
        <f>SUMIF(月間集計シート!$M$29:$M$48,$G1134,月間集計シート!R$29:R$48)*N$2</f>
        <v>0</v>
      </c>
      <c r="O1134" s="88">
        <f>SUMIF(月間集計シート!$M$29:$M$48,$G1134,月間集計シート!S$29:S$48)*O$2</f>
        <v>0</v>
      </c>
      <c r="P1134" s="88">
        <f>SUMIF(月間集計シート!$M$29:$M$48,$G1134,月間集計シート!T$29:T$48)*P$2</f>
        <v>0</v>
      </c>
      <c r="Q1134" s="88">
        <f>SUMIF(月間集計シート!$M$50:$M$69,$G1134,月間集計シート!N$50:N$69)*Q$2</f>
        <v>0</v>
      </c>
      <c r="R1134" s="88">
        <f>SUMIF(月間集計シート!$M$50:$M$69,$G1134,月間集計シート!O$50:O$69)*R$2</f>
        <v>0</v>
      </c>
      <c r="S1134" s="88">
        <f>SUMIF(月間集計シート!$M$50:$M$69,$G1134,月間集計シート!P$50:P$69)*S$2</f>
        <v>0</v>
      </c>
      <c r="T1134" s="88">
        <f>SUMIF(月間集計シート!$M$50:$M$69,$G1134,月間集計シート!Q$50:Q$69)*T$2</f>
        <v>0</v>
      </c>
      <c r="U1134" s="88">
        <f>SUMIF(月間集計シート!$M$50:$M$69,$G1134,月間集計シート!R$50:R$69)*U$2</f>
        <v>0</v>
      </c>
      <c r="V1134" s="88">
        <f>SUMIF(月間集計シート!$M$50:$M$69,$G1134,月間集計シート!S$50:S$69)*V$2</f>
        <v>0</v>
      </c>
      <c r="W1134" s="88">
        <f>SUMIF(月間集計シート!$M$50:$M$69,$G1134,月間集計シート!T$50:T$69)*W$2</f>
        <v>0</v>
      </c>
      <c r="X1134" s="88">
        <f>SUMIF(月間集計シート!$M$71:$M$90,$G1134,月間集計シート!N$71:N$90)*X$2</f>
        <v>0</v>
      </c>
      <c r="Y1134" s="88">
        <f>SUMIF(月間集計シート!$M$71:$M$90,$G1134,月間集計シート!O$71:O$90)*Y$2</f>
        <v>0</v>
      </c>
      <c r="Z1134" s="88">
        <f>SUMIF(月間集計シート!$M$71:$M$90,$G1134,月間集計シート!P$71:P$90)*Z$2</f>
        <v>0</v>
      </c>
      <c r="AA1134" s="88">
        <f>SUMIF(月間集計シート!$M$71:$M$90,$G1134,月間集計シート!Q$71:Q$90)*AA$2</f>
        <v>0</v>
      </c>
      <c r="AB1134" s="88">
        <f>SUMIF(月間集計シート!$M$71:$M$90,$G1134,月間集計シート!R$71:R$90)*AB$2</f>
        <v>0</v>
      </c>
      <c r="AC1134" s="88">
        <f>SUMIF(月間集計シート!$M$71:$M$90,$G1134,月間集計シート!S$71:S$90)*AC$2</f>
        <v>0</v>
      </c>
      <c r="AD1134" s="88">
        <f>SUMIF(月間集計シート!$M$71:$M$90,$G1134,月間集計シート!T$71:T$90)*AD$2</f>
        <v>0</v>
      </c>
      <c r="AE1134" s="88">
        <f>SUMIF(月間集計シート!$M$92:$M$111,$G1134,月間集計シート!N$92:N$111)*AE$2</f>
        <v>0</v>
      </c>
      <c r="AF1134" s="88">
        <f>SUMIF(月間集計シート!$M$92:$M$111,$G1134,月間集計シート!O$92:O$111)*AF$2</f>
        <v>0</v>
      </c>
      <c r="AG1134" s="88">
        <f>SUMIF(月間集計シート!$M$92:$M$111,$G1134,月間集計シート!P$92:P$111)*AG$2</f>
        <v>0</v>
      </c>
      <c r="AH1134" s="88">
        <f>SUMIF(月間集計シート!$M$92:$M$111,$G1134,月間集計シート!Q$92:Q$111)*AH$2</f>
        <v>0</v>
      </c>
      <c r="AI1134" s="88">
        <f>SUMIF(月間集計シート!$M$92:$M$111,$G1134,月間集計シート!R$92:R$111)*AI$2</f>
        <v>0</v>
      </c>
      <c r="AJ1134" s="88">
        <f>SUMIF(月間集計シート!$M$92:$M$111,$G1134,月間集計シート!S$92:S$111)*AJ$2</f>
        <v>0</v>
      </c>
      <c r="AK1134" s="88">
        <f>SUMIF(月間集計シート!$M$92:$M$111,$G1134,月間集計シート!T$92:T$111)*AK$2</f>
        <v>0</v>
      </c>
      <c r="AL1134" s="88">
        <f>SUMIF(月間集計シート!$M$113:$M$132,$G1134,月間集計シート!N$113:N$132)*AL$2</f>
        <v>0</v>
      </c>
      <c r="AM1134" s="88">
        <f>SUMIF(月間集計シート!$M$113:$M$132,$G1134,月間集計シート!O$113:O$132)*AM$2</f>
        <v>0</v>
      </c>
      <c r="AN1134" s="88">
        <f>SUMIF(月間集計シート!$M$113:$M$132,$G1134,月間集計シート!P$113:P$132)*AN$2</f>
        <v>0</v>
      </c>
      <c r="AO1134" s="88">
        <f>SUMIF(月間集計シート!$M$113:$M$132,$G1134,月間集計シート!Q$113:Q$132)*AO$2</f>
        <v>0</v>
      </c>
      <c r="AP1134" s="88">
        <f>SUMIF(月間集計シート!$M$113:$M$132,$G1134,月間集計シート!R$113:R$132)*AP$2</f>
        <v>0</v>
      </c>
      <c r="AQ1134" s="88">
        <f>SUMIF(月間集計シート!$M$113:$M$132,$G1134,月間集計シート!S$113:S$132)*AQ$2</f>
        <v>0</v>
      </c>
      <c r="AR1134" s="88">
        <f>SUMIF(月間集計シート!$M$113:$M$132,$G1134,月間集計シート!T$113:T$132)*AR$2</f>
        <v>0</v>
      </c>
      <c r="AS1134" s="88">
        <f>SUMIF(月間集計シート!$M$134:$M$153,$G1134,月間集計シート!N$134:N$153)*AS$2</f>
        <v>0</v>
      </c>
      <c r="AT1134" s="88">
        <f>SUMIF(月間集計シート!$M$134:$M$153,$G1134,月間集計シート!O$134:O$153)*AT$2</f>
        <v>0</v>
      </c>
      <c r="AU1134" s="88">
        <f>SUMIF(月間集計シート!$M$134:$M$153,$G1134,月間集計シート!P$134:P$153)*AU$2</f>
        <v>0</v>
      </c>
      <c r="AV1134" s="88">
        <f>SUMIF(月間集計シート!$M$134:$M$153,$G1134,月間集計シート!Q$134:Q$153)*AV$2</f>
        <v>0</v>
      </c>
      <c r="AW1134" s="88">
        <f>SUMIF(月間集計シート!$M$134:$M$153,$G1134,月間集計シート!R$134:R$153)*AW$2</f>
        <v>0</v>
      </c>
      <c r="AX1134" s="88">
        <f>SUMIF(月間集計シート!$M$134:$M$153,$G1134,月間集計シート!S$134:S$153)*AX$2</f>
        <v>0</v>
      </c>
      <c r="AY1134" s="88">
        <f>SUMIF(月間集計シート!$M$134:$M$153,$G1134,月間集計シート!T$134:T$153)*AY$2</f>
        <v>0</v>
      </c>
    </row>
    <row r="1135" spans="1:51" ht="14.25" thickBot="1">
      <c r="A1135">
        <v>14</v>
      </c>
      <c r="B1135" s="120">
        <f t="shared" si="623"/>
        <v>0</v>
      </c>
      <c r="C1135" s="120" t="str">
        <f t="shared" si="624"/>
        <v/>
      </c>
      <c r="D1135" s="137"/>
      <c r="E1135" s="150" t="str">
        <f>工種!A22</f>
        <v>30199</v>
      </c>
      <c r="F1135" s="119" t="str">
        <f>工種!B22</f>
        <v>製造：その他</v>
      </c>
      <c r="G1135" s="116" t="str">
        <f t="shared" si="625"/>
        <v>030199</v>
      </c>
      <c r="H1135" s="88">
        <f t="shared" si="579"/>
        <v>0</v>
      </c>
      <c r="I1135" s="132"/>
      <c r="J1135" s="88">
        <f>SUMIF(月間集計シート!$M$29:$M$48,$G1135,月間集計シート!N$29:N$48)*J$2</f>
        <v>0</v>
      </c>
      <c r="K1135" s="88">
        <f>SUMIF(月間集計シート!$M$29:$M$48,$G1135,月間集計シート!O$29:O$48)*K$2</f>
        <v>0</v>
      </c>
      <c r="L1135" s="88">
        <f>SUMIF(月間集計シート!$M$29:$M$48,$G1135,月間集計シート!P$29:P$48)*L$2</f>
        <v>0</v>
      </c>
      <c r="M1135" s="88">
        <f>SUMIF(月間集計シート!$M$29:$M$48,$G1135,月間集計シート!Q$29:Q$48)*M$2</f>
        <v>0</v>
      </c>
      <c r="N1135" s="88">
        <f>SUMIF(月間集計シート!$M$29:$M$48,$G1135,月間集計シート!R$29:R$48)*N$2</f>
        <v>0</v>
      </c>
      <c r="O1135" s="88">
        <f>SUMIF(月間集計シート!$M$29:$M$48,$G1135,月間集計シート!S$29:S$48)*O$2</f>
        <v>0</v>
      </c>
      <c r="P1135" s="88">
        <f>SUMIF(月間集計シート!$M$29:$M$48,$G1135,月間集計シート!T$29:T$48)*P$2</f>
        <v>0</v>
      </c>
      <c r="Q1135" s="88">
        <f>SUMIF(月間集計シート!$M$50:$M$69,$G1135,月間集計シート!N$50:N$69)*Q$2</f>
        <v>0</v>
      </c>
      <c r="R1135" s="88">
        <f>SUMIF(月間集計シート!$M$50:$M$69,$G1135,月間集計シート!O$50:O$69)*R$2</f>
        <v>0</v>
      </c>
      <c r="S1135" s="88">
        <f>SUMIF(月間集計シート!$M$50:$M$69,$G1135,月間集計シート!P$50:P$69)*S$2</f>
        <v>0</v>
      </c>
      <c r="T1135" s="88">
        <f>SUMIF(月間集計シート!$M$50:$M$69,$G1135,月間集計シート!Q$50:Q$69)*T$2</f>
        <v>0</v>
      </c>
      <c r="U1135" s="88">
        <f>SUMIF(月間集計シート!$M$50:$M$69,$G1135,月間集計シート!R$50:R$69)*U$2</f>
        <v>0</v>
      </c>
      <c r="V1135" s="88">
        <f>SUMIF(月間集計シート!$M$50:$M$69,$G1135,月間集計シート!S$50:S$69)*V$2</f>
        <v>0</v>
      </c>
      <c r="W1135" s="88">
        <f>SUMIF(月間集計シート!$M$50:$M$69,$G1135,月間集計シート!T$50:T$69)*W$2</f>
        <v>0</v>
      </c>
      <c r="X1135" s="88">
        <f>SUMIF(月間集計シート!$M$71:$M$90,$G1135,月間集計シート!N$71:N$90)*X$2</f>
        <v>0</v>
      </c>
      <c r="Y1135" s="88">
        <f>SUMIF(月間集計シート!$M$71:$M$90,$G1135,月間集計シート!O$71:O$90)*Y$2</f>
        <v>0</v>
      </c>
      <c r="Z1135" s="88">
        <f>SUMIF(月間集計シート!$M$71:$M$90,$G1135,月間集計シート!P$71:P$90)*Z$2</f>
        <v>0</v>
      </c>
      <c r="AA1135" s="88">
        <f>SUMIF(月間集計シート!$M$71:$M$90,$G1135,月間集計シート!Q$71:Q$90)*AA$2</f>
        <v>0</v>
      </c>
      <c r="AB1135" s="88">
        <f>SUMIF(月間集計シート!$M$71:$M$90,$G1135,月間集計シート!R$71:R$90)*AB$2</f>
        <v>0</v>
      </c>
      <c r="AC1135" s="88">
        <f>SUMIF(月間集計シート!$M$71:$M$90,$G1135,月間集計シート!S$71:S$90)*AC$2</f>
        <v>0</v>
      </c>
      <c r="AD1135" s="88">
        <f>SUMIF(月間集計シート!$M$71:$M$90,$G1135,月間集計シート!T$71:T$90)*AD$2</f>
        <v>0</v>
      </c>
      <c r="AE1135" s="88">
        <f>SUMIF(月間集計シート!$M$92:$M$111,$G1135,月間集計シート!N$92:N$111)*AE$2</f>
        <v>0</v>
      </c>
      <c r="AF1135" s="88">
        <f>SUMIF(月間集計シート!$M$92:$M$111,$G1135,月間集計シート!O$92:O$111)*AF$2</f>
        <v>0</v>
      </c>
      <c r="AG1135" s="88">
        <f>SUMIF(月間集計シート!$M$92:$M$111,$G1135,月間集計シート!P$92:P$111)*AG$2</f>
        <v>0</v>
      </c>
      <c r="AH1135" s="88">
        <f>SUMIF(月間集計シート!$M$92:$M$111,$G1135,月間集計シート!Q$92:Q$111)*AH$2</f>
        <v>0</v>
      </c>
      <c r="AI1135" s="88">
        <f>SUMIF(月間集計シート!$M$92:$M$111,$G1135,月間集計シート!R$92:R$111)*AI$2</f>
        <v>0</v>
      </c>
      <c r="AJ1135" s="88">
        <f>SUMIF(月間集計シート!$M$92:$M$111,$G1135,月間集計シート!S$92:S$111)*AJ$2</f>
        <v>0</v>
      </c>
      <c r="AK1135" s="88">
        <f>SUMIF(月間集計シート!$M$92:$M$111,$G1135,月間集計シート!T$92:T$111)*AK$2</f>
        <v>0</v>
      </c>
      <c r="AL1135" s="88">
        <f>SUMIF(月間集計シート!$M$113:$M$132,$G1135,月間集計シート!N$113:N$132)*AL$2</f>
        <v>0</v>
      </c>
      <c r="AM1135" s="88">
        <f>SUMIF(月間集計シート!$M$113:$M$132,$G1135,月間集計シート!O$113:O$132)*AM$2</f>
        <v>0</v>
      </c>
      <c r="AN1135" s="88">
        <f>SUMIF(月間集計シート!$M$113:$M$132,$G1135,月間集計シート!P$113:P$132)*AN$2</f>
        <v>0</v>
      </c>
      <c r="AO1135" s="88">
        <f>SUMIF(月間集計シート!$M$113:$M$132,$G1135,月間集計シート!Q$113:Q$132)*AO$2</f>
        <v>0</v>
      </c>
      <c r="AP1135" s="88">
        <f>SUMIF(月間集計シート!$M$113:$M$132,$G1135,月間集計シート!R$113:R$132)*AP$2</f>
        <v>0</v>
      </c>
      <c r="AQ1135" s="88">
        <f>SUMIF(月間集計シート!$M$113:$M$132,$G1135,月間集計シート!S$113:S$132)*AQ$2</f>
        <v>0</v>
      </c>
      <c r="AR1135" s="88">
        <f>SUMIF(月間集計シート!$M$113:$M$132,$G1135,月間集計シート!T$113:T$132)*AR$2</f>
        <v>0</v>
      </c>
      <c r="AS1135" s="88">
        <f>SUMIF(月間集計シート!$M$134:$M$153,$G1135,月間集計シート!N$134:N$153)*AS$2</f>
        <v>0</v>
      </c>
      <c r="AT1135" s="88">
        <f>SUMIF(月間集計シート!$M$134:$M$153,$G1135,月間集計シート!O$134:O$153)*AT$2</f>
        <v>0</v>
      </c>
      <c r="AU1135" s="88">
        <f>SUMIF(月間集計シート!$M$134:$M$153,$G1135,月間集計シート!P$134:P$153)*AU$2</f>
        <v>0</v>
      </c>
      <c r="AV1135" s="88">
        <f>SUMIF(月間集計シート!$M$134:$M$153,$G1135,月間集計シート!Q$134:Q$153)*AV$2</f>
        <v>0</v>
      </c>
      <c r="AW1135" s="88">
        <f>SUMIF(月間集計シート!$M$134:$M$153,$G1135,月間集計シート!R$134:R$153)*AW$2</f>
        <v>0</v>
      </c>
      <c r="AX1135" s="88">
        <f>SUMIF(月間集計シート!$M$134:$M$153,$G1135,月間集計シート!S$134:S$153)*AX$2</f>
        <v>0</v>
      </c>
      <c r="AY1135" s="88">
        <f>SUMIF(月間集計シート!$M$134:$M$153,$G1135,月間集計シート!T$134:T$153)*AY$2</f>
        <v>0</v>
      </c>
    </row>
    <row r="1136" spans="1:51" ht="14.25" thickBot="1">
      <c r="A1136">
        <v>14</v>
      </c>
      <c r="B1136" s="120">
        <f t="shared" si="623"/>
        <v>0</v>
      </c>
      <c r="C1136" s="120" t="str">
        <f t="shared" si="624"/>
        <v/>
      </c>
      <c r="D1136" s="137"/>
      <c r="E1136" s="150" t="str">
        <f>工種!A23</f>
        <v>40101</v>
      </c>
      <c r="F1136" s="119" t="str">
        <f>工種!B23</f>
        <v>テスト：結合テスト実施</v>
      </c>
      <c r="G1136" s="116" t="str">
        <f t="shared" si="625"/>
        <v>040101</v>
      </c>
      <c r="H1136" s="88">
        <f t="shared" si="579"/>
        <v>0</v>
      </c>
      <c r="I1136" s="132"/>
      <c r="J1136" s="88">
        <f>SUMIF(月間集計シート!$M$29:$M$48,$G1136,月間集計シート!N$29:N$48)*J$2</f>
        <v>0</v>
      </c>
      <c r="K1136" s="88">
        <f>SUMIF(月間集計シート!$M$29:$M$48,$G1136,月間集計シート!O$29:O$48)*K$2</f>
        <v>0</v>
      </c>
      <c r="L1136" s="88">
        <f>SUMIF(月間集計シート!$M$29:$M$48,$G1136,月間集計シート!P$29:P$48)*L$2</f>
        <v>0</v>
      </c>
      <c r="M1136" s="88">
        <f>SUMIF(月間集計シート!$M$29:$M$48,$G1136,月間集計シート!Q$29:Q$48)*M$2</f>
        <v>0</v>
      </c>
      <c r="N1136" s="88">
        <f>SUMIF(月間集計シート!$M$29:$M$48,$G1136,月間集計シート!R$29:R$48)*N$2</f>
        <v>0</v>
      </c>
      <c r="O1136" s="88">
        <f>SUMIF(月間集計シート!$M$29:$M$48,$G1136,月間集計シート!S$29:S$48)*O$2</f>
        <v>0</v>
      </c>
      <c r="P1136" s="88">
        <f>SUMIF(月間集計シート!$M$29:$M$48,$G1136,月間集計シート!T$29:T$48)*P$2</f>
        <v>0</v>
      </c>
      <c r="Q1136" s="88">
        <f>SUMIF(月間集計シート!$M$50:$M$69,$G1136,月間集計シート!N$50:N$69)*Q$2</f>
        <v>0</v>
      </c>
      <c r="R1136" s="88">
        <f>SUMIF(月間集計シート!$M$50:$M$69,$G1136,月間集計シート!O$50:O$69)*R$2</f>
        <v>0</v>
      </c>
      <c r="S1136" s="88">
        <f>SUMIF(月間集計シート!$M$50:$M$69,$G1136,月間集計シート!P$50:P$69)*S$2</f>
        <v>0</v>
      </c>
      <c r="T1136" s="88">
        <f>SUMIF(月間集計シート!$M$50:$M$69,$G1136,月間集計シート!Q$50:Q$69)*T$2</f>
        <v>0</v>
      </c>
      <c r="U1136" s="88">
        <f>SUMIF(月間集計シート!$M$50:$M$69,$G1136,月間集計シート!R$50:R$69)*U$2</f>
        <v>0</v>
      </c>
      <c r="V1136" s="88">
        <f>SUMIF(月間集計シート!$M$50:$M$69,$G1136,月間集計シート!S$50:S$69)*V$2</f>
        <v>0</v>
      </c>
      <c r="W1136" s="88">
        <f>SUMIF(月間集計シート!$M$50:$M$69,$G1136,月間集計シート!T$50:T$69)*W$2</f>
        <v>0</v>
      </c>
      <c r="X1136" s="88">
        <f>SUMIF(月間集計シート!$M$71:$M$90,$G1136,月間集計シート!N$71:N$90)*X$2</f>
        <v>0</v>
      </c>
      <c r="Y1136" s="88">
        <f>SUMIF(月間集計シート!$M$71:$M$90,$G1136,月間集計シート!O$71:O$90)*Y$2</f>
        <v>0</v>
      </c>
      <c r="Z1136" s="88">
        <f>SUMIF(月間集計シート!$M$71:$M$90,$G1136,月間集計シート!P$71:P$90)*Z$2</f>
        <v>0</v>
      </c>
      <c r="AA1136" s="88">
        <f>SUMIF(月間集計シート!$M$71:$M$90,$G1136,月間集計シート!Q$71:Q$90)*AA$2</f>
        <v>0</v>
      </c>
      <c r="AB1136" s="88">
        <f>SUMIF(月間集計シート!$M$71:$M$90,$G1136,月間集計シート!R$71:R$90)*AB$2</f>
        <v>0</v>
      </c>
      <c r="AC1136" s="88">
        <f>SUMIF(月間集計シート!$M$71:$M$90,$G1136,月間集計シート!S$71:S$90)*AC$2</f>
        <v>0</v>
      </c>
      <c r="AD1136" s="88">
        <f>SUMIF(月間集計シート!$M$71:$M$90,$G1136,月間集計シート!T$71:T$90)*AD$2</f>
        <v>0</v>
      </c>
      <c r="AE1136" s="88">
        <f>SUMIF(月間集計シート!$M$92:$M$111,$G1136,月間集計シート!N$92:N$111)*AE$2</f>
        <v>0</v>
      </c>
      <c r="AF1136" s="88">
        <f>SUMIF(月間集計シート!$M$92:$M$111,$G1136,月間集計シート!O$92:O$111)*AF$2</f>
        <v>0</v>
      </c>
      <c r="AG1136" s="88">
        <f>SUMIF(月間集計シート!$M$92:$M$111,$G1136,月間集計シート!P$92:P$111)*AG$2</f>
        <v>0</v>
      </c>
      <c r="AH1136" s="88">
        <f>SUMIF(月間集計シート!$M$92:$M$111,$G1136,月間集計シート!Q$92:Q$111)*AH$2</f>
        <v>0</v>
      </c>
      <c r="AI1136" s="88">
        <f>SUMIF(月間集計シート!$M$92:$M$111,$G1136,月間集計シート!R$92:R$111)*AI$2</f>
        <v>0</v>
      </c>
      <c r="AJ1136" s="88">
        <f>SUMIF(月間集計シート!$M$92:$M$111,$G1136,月間集計シート!S$92:S$111)*AJ$2</f>
        <v>0</v>
      </c>
      <c r="AK1136" s="88">
        <f>SUMIF(月間集計シート!$M$92:$M$111,$G1136,月間集計シート!T$92:T$111)*AK$2</f>
        <v>0</v>
      </c>
      <c r="AL1136" s="88">
        <f>SUMIF(月間集計シート!$M$113:$M$132,$G1136,月間集計シート!N$113:N$132)*AL$2</f>
        <v>0</v>
      </c>
      <c r="AM1136" s="88">
        <f>SUMIF(月間集計シート!$M$113:$M$132,$G1136,月間集計シート!O$113:O$132)*AM$2</f>
        <v>0</v>
      </c>
      <c r="AN1136" s="88">
        <f>SUMIF(月間集計シート!$M$113:$M$132,$G1136,月間集計シート!P$113:P$132)*AN$2</f>
        <v>0</v>
      </c>
      <c r="AO1136" s="88">
        <f>SUMIF(月間集計シート!$M$113:$M$132,$G1136,月間集計シート!Q$113:Q$132)*AO$2</f>
        <v>0</v>
      </c>
      <c r="AP1136" s="88">
        <f>SUMIF(月間集計シート!$M$113:$M$132,$G1136,月間集計シート!R$113:R$132)*AP$2</f>
        <v>0</v>
      </c>
      <c r="AQ1136" s="88">
        <f>SUMIF(月間集計シート!$M$113:$M$132,$G1136,月間集計シート!S$113:S$132)*AQ$2</f>
        <v>0</v>
      </c>
      <c r="AR1136" s="88">
        <f>SUMIF(月間集計シート!$M$113:$M$132,$G1136,月間集計シート!T$113:T$132)*AR$2</f>
        <v>0</v>
      </c>
      <c r="AS1136" s="88">
        <f>SUMIF(月間集計シート!$M$134:$M$153,$G1136,月間集計シート!N$134:N$153)*AS$2</f>
        <v>0</v>
      </c>
      <c r="AT1136" s="88">
        <f>SUMIF(月間集計シート!$M$134:$M$153,$G1136,月間集計シート!O$134:O$153)*AT$2</f>
        <v>0</v>
      </c>
      <c r="AU1136" s="88">
        <f>SUMIF(月間集計シート!$M$134:$M$153,$G1136,月間集計シート!P$134:P$153)*AU$2</f>
        <v>0</v>
      </c>
      <c r="AV1136" s="88">
        <f>SUMIF(月間集計シート!$M$134:$M$153,$G1136,月間集計シート!Q$134:Q$153)*AV$2</f>
        <v>0</v>
      </c>
      <c r="AW1136" s="88">
        <f>SUMIF(月間集計シート!$M$134:$M$153,$G1136,月間集計シート!R$134:R$153)*AW$2</f>
        <v>0</v>
      </c>
      <c r="AX1136" s="88">
        <f>SUMIF(月間集計シート!$M$134:$M$153,$G1136,月間集計シート!S$134:S$153)*AX$2</f>
        <v>0</v>
      </c>
      <c r="AY1136" s="88">
        <f>SUMIF(月間集計シート!$M$134:$M$153,$G1136,月間集計シート!T$134:T$153)*AY$2</f>
        <v>0</v>
      </c>
    </row>
    <row r="1137" spans="1:51" ht="14.25" thickBot="1">
      <c r="A1137">
        <v>14</v>
      </c>
      <c r="B1137" s="120">
        <f t="shared" si="623"/>
        <v>0</v>
      </c>
      <c r="C1137" s="120" t="str">
        <f t="shared" si="624"/>
        <v/>
      </c>
      <c r="D1137" s="137"/>
      <c r="E1137" s="150" t="str">
        <f>工種!A24</f>
        <v>40102</v>
      </c>
      <c r="F1137" s="119" t="str">
        <f>工種!B24</f>
        <v>テスト：システムテスト実施</v>
      </c>
      <c r="G1137" s="116" t="str">
        <f t="shared" si="625"/>
        <v>040102</v>
      </c>
      <c r="H1137" s="88">
        <f t="shared" si="579"/>
        <v>0</v>
      </c>
      <c r="I1137" s="132"/>
      <c r="J1137" s="88">
        <f>SUMIF(月間集計シート!$M$29:$M$48,$G1137,月間集計シート!N$29:N$48)*J$2</f>
        <v>0</v>
      </c>
      <c r="K1137" s="88">
        <f>SUMIF(月間集計シート!$M$29:$M$48,$G1137,月間集計シート!O$29:O$48)*K$2</f>
        <v>0</v>
      </c>
      <c r="L1137" s="88">
        <f>SUMIF(月間集計シート!$M$29:$M$48,$G1137,月間集計シート!P$29:P$48)*L$2</f>
        <v>0</v>
      </c>
      <c r="M1137" s="88">
        <f>SUMIF(月間集計シート!$M$29:$M$48,$G1137,月間集計シート!Q$29:Q$48)*M$2</f>
        <v>0</v>
      </c>
      <c r="N1137" s="88">
        <f>SUMIF(月間集計シート!$M$29:$M$48,$G1137,月間集計シート!R$29:R$48)*N$2</f>
        <v>0</v>
      </c>
      <c r="O1137" s="88">
        <f>SUMIF(月間集計シート!$M$29:$M$48,$G1137,月間集計シート!S$29:S$48)*O$2</f>
        <v>0</v>
      </c>
      <c r="P1137" s="88">
        <f>SUMIF(月間集計シート!$M$29:$M$48,$G1137,月間集計シート!T$29:T$48)*P$2</f>
        <v>0</v>
      </c>
      <c r="Q1137" s="88">
        <f>SUMIF(月間集計シート!$M$50:$M$69,$G1137,月間集計シート!N$50:N$69)*Q$2</f>
        <v>0</v>
      </c>
      <c r="R1137" s="88">
        <f>SUMIF(月間集計シート!$M$50:$M$69,$G1137,月間集計シート!O$50:O$69)*R$2</f>
        <v>0</v>
      </c>
      <c r="S1137" s="88">
        <f>SUMIF(月間集計シート!$M$50:$M$69,$G1137,月間集計シート!P$50:P$69)*S$2</f>
        <v>0</v>
      </c>
      <c r="T1137" s="88">
        <f>SUMIF(月間集計シート!$M$50:$M$69,$G1137,月間集計シート!Q$50:Q$69)*T$2</f>
        <v>0</v>
      </c>
      <c r="U1137" s="88">
        <f>SUMIF(月間集計シート!$M$50:$M$69,$G1137,月間集計シート!R$50:R$69)*U$2</f>
        <v>0</v>
      </c>
      <c r="V1137" s="88">
        <f>SUMIF(月間集計シート!$M$50:$M$69,$G1137,月間集計シート!S$50:S$69)*V$2</f>
        <v>0</v>
      </c>
      <c r="W1137" s="88">
        <f>SUMIF(月間集計シート!$M$50:$M$69,$G1137,月間集計シート!T$50:T$69)*W$2</f>
        <v>0</v>
      </c>
      <c r="X1137" s="88">
        <f>SUMIF(月間集計シート!$M$71:$M$90,$G1137,月間集計シート!N$71:N$90)*X$2</f>
        <v>0</v>
      </c>
      <c r="Y1137" s="88">
        <f>SUMIF(月間集計シート!$M$71:$M$90,$G1137,月間集計シート!O$71:O$90)*Y$2</f>
        <v>0</v>
      </c>
      <c r="Z1137" s="88">
        <f>SUMIF(月間集計シート!$M$71:$M$90,$G1137,月間集計シート!P$71:P$90)*Z$2</f>
        <v>0</v>
      </c>
      <c r="AA1137" s="88">
        <f>SUMIF(月間集計シート!$M$71:$M$90,$G1137,月間集計シート!Q$71:Q$90)*AA$2</f>
        <v>0</v>
      </c>
      <c r="AB1137" s="88">
        <f>SUMIF(月間集計シート!$M$71:$M$90,$G1137,月間集計シート!R$71:R$90)*AB$2</f>
        <v>0</v>
      </c>
      <c r="AC1137" s="88">
        <f>SUMIF(月間集計シート!$M$71:$M$90,$G1137,月間集計シート!S$71:S$90)*AC$2</f>
        <v>0</v>
      </c>
      <c r="AD1137" s="88">
        <f>SUMIF(月間集計シート!$M$71:$M$90,$G1137,月間集計シート!T$71:T$90)*AD$2</f>
        <v>0</v>
      </c>
      <c r="AE1137" s="88">
        <f>SUMIF(月間集計シート!$M$92:$M$111,$G1137,月間集計シート!N$92:N$111)*AE$2</f>
        <v>0</v>
      </c>
      <c r="AF1137" s="88">
        <f>SUMIF(月間集計シート!$M$92:$M$111,$G1137,月間集計シート!O$92:O$111)*AF$2</f>
        <v>0</v>
      </c>
      <c r="AG1137" s="88">
        <f>SUMIF(月間集計シート!$M$92:$M$111,$G1137,月間集計シート!P$92:P$111)*AG$2</f>
        <v>0</v>
      </c>
      <c r="AH1137" s="88">
        <f>SUMIF(月間集計シート!$M$92:$M$111,$G1137,月間集計シート!Q$92:Q$111)*AH$2</f>
        <v>0</v>
      </c>
      <c r="AI1137" s="88">
        <f>SUMIF(月間集計シート!$M$92:$M$111,$G1137,月間集計シート!R$92:R$111)*AI$2</f>
        <v>0</v>
      </c>
      <c r="AJ1137" s="88">
        <f>SUMIF(月間集計シート!$M$92:$M$111,$G1137,月間集計シート!S$92:S$111)*AJ$2</f>
        <v>0</v>
      </c>
      <c r="AK1137" s="88">
        <f>SUMIF(月間集計シート!$M$92:$M$111,$G1137,月間集計シート!T$92:T$111)*AK$2</f>
        <v>0</v>
      </c>
      <c r="AL1137" s="88">
        <f>SUMIF(月間集計シート!$M$113:$M$132,$G1137,月間集計シート!N$113:N$132)*AL$2</f>
        <v>0</v>
      </c>
      <c r="AM1137" s="88">
        <f>SUMIF(月間集計シート!$M$113:$M$132,$G1137,月間集計シート!O$113:O$132)*AM$2</f>
        <v>0</v>
      </c>
      <c r="AN1137" s="88">
        <f>SUMIF(月間集計シート!$M$113:$M$132,$G1137,月間集計シート!P$113:P$132)*AN$2</f>
        <v>0</v>
      </c>
      <c r="AO1137" s="88">
        <f>SUMIF(月間集計シート!$M$113:$M$132,$G1137,月間集計シート!Q$113:Q$132)*AO$2</f>
        <v>0</v>
      </c>
      <c r="AP1137" s="88">
        <f>SUMIF(月間集計シート!$M$113:$M$132,$G1137,月間集計シート!R$113:R$132)*AP$2</f>
        <v>0</v>
      </c>
      <c r="AQ1137" s="88">
        <f>SUMIF(月間集計シート!$M$113:$M$132,$G1137,月間集計シート!S$113:S$132)*AQ$2</f>
        <v>0</v>
      </c>
      <c r="AR1137" s="88">
        <f>SUMIF(月間集計シート!$M$113:$M$132,$G1137,月間集計シート!T$113:T$132)*AR$2</f>
        <v>0</v>
      </c>
      <c r="AS1137" s="88">
        <f>SUMIF(月間集計シート!$M$134:$M$153,$G1137,月間集計シート!N$134:N$153)*AS$2</f>
        <v>0</v>
      </c>
      <c r="AT1137" s="88">
        <f>SUMIF(月間集計シート!$M$134:$M$153,$G1137,月間集計シート!O$134:O$153)*AT$2</f>
        <v>0</v>
      </c>
      <c r="AU1137" s="88">
        <f>SUMIF(月間集計シート!$M$134:$M$153,$G1137,月間集計シート!P$134:P$153)*AU$2</f>
        <v>0</v>
      </c>
      <c r="AV1137" s="88">
        <f>SUMIF(月間集計シート!$M$134:$M$153,$G1137,月間集計シート!Q$134:Q$153)*AV$2</f>
        <v>0</v>
      </c>
      <c r="AW1137" s="88">
        <f>SUMIF(月間集計シート!$M$134:$M$153,$G1137,月間集計シート!R$134:R$153)*AW$2</f>
        <v>0</v>
      </c>
      <c r="AX1137" s="88">
        <f>SUMIF(月間集計シート!$M$134:$M$153,$G1137,月間集計シート!S$134:S$153)*AX$2</f>
        <v>0</v>
      </c>
      <c r="AY1137" s="88">
        <f>SUMIF(月間集計シート!$M$134:$M$153,$G1137,月間集計シート!T$134:T$153)*AY$2</f>
        <v>0</v>
      </c>
    </row>
    <row r="1138" spans="1:51" ht="14.25" thickBot="1">
      <c r="A1138">
        <v>14</v>
      </c>
      <c r="B1138" s="120">
        <f t="shared" si="623"/>
        <v>0</v>
      </c>
      <c r="C1138" s="120" t="str">
        <f t="shared" si="624"/>
        <v/>
      </c>
      <c r="D1138" s="137"/>
      <c r="E1138" s="150" t="str">
        <f>工種!A25</f>
        <v>40103</v>
      </c>
      <c r="F1138" s="119" t="str">
        <f>工種!B25</f>
        <v>テスト：テスト計画書作成</v>
      </c>
      <c r="G1138" s="116" t="str">
        <f t="shared" si="625"/>
        <v>040103</v>
      </c>
      <c r="H1138" s="88">
        <f t="shared" si="579"/>
        <v>0</v>
      </c>
      <c r="I1138" s="132"/>
      <c r="J1138" s="88">
        <f>SUMIF(月間集計シート!$M$29:$M$48,$G1138,月間集計シート!N$29:N$48)*J$2</f>
        <v>0</v>
      </c>
      <c r="K1138" s="88">
        <f>SUMIF(月間集計シート!$M$29:$M$48,$G1138,月間集計シート!O$29:O$48)*K$2</f>
        <v>0</v>
      </c>
      <c r="L1138" s="88">
        <f>SUMIF(月間集計シート!$M$29:$M$48,$G1138,月間集計シート!P$29:P$48)*L$2</f>
        <v>0</v>
      </c>
      <c r="M1138" s="88">
        <f>SUMIF(月間集計シート!$M$29:$M$48,$G1138,月間集計シート!Q$29:Q$48)*M$2</f>
        <v>0</v>
      </c>
      <c r="N1138" s="88">
        <f>SUMIF(月間集計シート!$M$29:$M$48,$G1138,月間集計シート!R$29:R$48)*N$2</f>
        <v>0</v>
      </c>
      <c r="O1138" s="88">
        <f>SUMIF(月間集計シート!$M$29:$M$48,$G1138,月間集計シート!S$29:S$48)*O$2</f>
        <v>0</v>
      </c>
      <c r="P1138" s="88">
        <f>SUMIF(月間集計シート!$M$29:$M$48,$G1138,月間集計シート!T$29:T$48)*P$2</f>
        <v>0</v>
      </c>
      <c r="Q1138" s="88">
        <f>SUMIF(月間集計シート!$M$50:$M$69,$G1138,月間集計シート!N$50:N$69)*Q$2</f>
        <v>0</v>
      </c>
      <c r="R1138" s="88">
        <f>SUMIF(月間集計シート!$M$50:$M$69,$G1138,月間集計シート!O$50:O$69)*R$2</f>
        <v>0</v>
      </c>
      <c r="S1138" s="88">
        <f>SUMIF(月間集計シート!$M$50:$M$69,$G1138,月間集計シート!P$50:P$69)*S$2</f>
        <v>0</v>
      </c>
      <c r="T1138" s="88">
        <f>SUMIF(月間集計シート!$M$50:$M$69,$G1138,月間集計シート!Q$50:Q$69)*T$2</f>
        <v>0</v>
      </c>
      <c r="U1138" s="88">
        <f>SUMIF(月間集計シート!$M$50:$M$69,$G1138,月間集計シート!R$50:R$69)*U$2</f>
        <v>0</v>
      </c>
      <c r="V1138" s="88">
        <f>SUMIF(月間集計シート!$M$50:$M$69,$G1138,月間集計シート!S$50:S$69)*V$2</f>
        <v>0</v>
      </c>
      <c r="W1138" s="88">
        <f>SUMIF(月間集計シート!$M$50:$M$69,$G1138,月間集計シート!T$50:T$69)*W$2</f>
        <v>0</v>
      </c>
      <c r="X1138" s="88">
        <f>SUMIF(月間集計シート!$M$71:$M$90,$G1138,月間集計シート!N$71:N$90)*X$2</f>
        <v>0</v>
      </c>
      <c r="Y1138" s="88">
        <f>SUMIF(月間集計シート!$M$71:$M$90,$G1138,月間集計シート!O$71:O$90)*Y$2</f>
        <v>0</v>
      </c>
      <c r="Z1138" s="88">
        <f>SUMIF(月間集計シート!$M$71:$M$90,$G1138,月間集計シート!P$71:P$90)*Z$2</f>
        <v>0</v>
      </c>
      <c r="AA1138" s="88">
        <f>SUMIF(月間集計シート!$M$71:$M$90,$G1138,月間集計シート!Q$71:Q$90)*AA$2</f>
        <v>0</v>
      </c>
      <c r="AB1138" s="88">
        <f>SUMIF(月間集計シート!$M$71:$M$90,$G1138,月間集計シート!R$71:R$90)*AB$2</f>
        <v>0</v>
      </c>
      <c r="AC1138" s="88">
        <f>SUMIF(月間集計シート!$M$71:$M$90,$G1138,月間集計シート!S$71:S$90)*AC$2</f>
        <v>0</v>
      </c>
      <c r="AD1138" s="88">
        <f>SUMIF(月間集計シート!$M$71:$M$90,$G1138,月間集計シート!T$71:T$90)*AD$2</f>
        <v>0</v>
      </c>
      <c r="AE1138" s="88">
        <f>SUMIF(月間集計シート!$M$92:$M$111,$G1138,月間集計シート!N$92:N$111)*AE$2</f>
        <v>0</v>
      </c>
      <c r="AF1138" s="88">
        <f>SUMIF(月間集計シート!$M$92:$M$111,$G1138,月間集計シート!O$92:O$111)*AF$2</f>
        <v>0</v>
      </c>
      <c r="AG1138" s="88">
        <f>SUMIF(月間集計シート!$M$92:$M$111,$G1138,月間集計シート!P$92:P$111)*AG$2</f>
        <v>0</v>
      </c>
      <c r="AH1138" s="88">
        <f>SUMIF(月間集計シート!$M$92:$M$111,$G1138,月間集計シート!Q$92:Q$111)*AH$2</f>
        <v>0</v>
      </c>
      <c r="AI1138" s="88">
        <f>SUMIF(月間集計シート!$M$92:$M$111,$G1138,月間集計シート!R$92:R$111)*AI$2</f>
        <v>0</v>
      </c>
      <c r="AJ1138" s="88">
        <f>SUMIF(月間集計シート!$M$92:$M$111,$G1138,月間集計シート!S$92:S$111)*AJ$2</f>
        <v>0</v>
      </c>
      <c r="AK1138" s="88">
        <f>SUMIF(月間集計シート!$M$92:$M$111,$G1138,月間集計シート!T$92:T$111)*AK$2</f>
        <v>0</v>
      </c>
      <c r="AL1138" s="88">
        <f>SUMIF(月間集計シート!$M$113:$M$132,$G1138,月間集計シート!N$113:N$132)*AL$2</f>
        <v>0</v>
      </c>
      <c r="AM1138" s="88">
        <f>SUMIF(月間集計シート!$M$113:$M$132,$G1138,月間集計シート!O$113:O$132)*AM$2</f>
        <v>0</v>
      </c>
      <c r="AN1138" s="88">
        <f>SUMIF(月間集計シート!$M$113:$M$132,$G1138,月間集計シート!P$113:P$132)*AN$2</f>
        <v>0</v>
      </c>
      <c r="AO1138" s="88">
        <f>SUMIF(月間集計シート!$M$113:$M$132,$G1138,月間集計シート!Q$113:Q$132)*AO$2</f>
        <v>0</v>
      </c>
      <c r="AP1138" s="88">
        <f>SUMIF(月間集計シート!$M$113:$M$132,$G1138,月間集計シート!R$113:R$132)*AP$2</f>
        <v>0</v>
      </c>
      <c r="AQ1138" s="88">
        <f>SUMIF(月間集計シート!$M$113:$M$132,$G1138,月間集計シート!S$113:S$132)*AQ$2</f>
        <v>0</v>
      </c>
      <c r="AR1138" s="88">
        <f>SUMIF(月間集計シート!$M$113:$M$132,$G1138,月間集計シート!T$113:T$132)*AR$2</f>
        <v>0</v>
      </c>
      <c r="AS1138" s="88">
        <f>SUMIF(月間集計シート!$M$134:$M$153,$G1138,月間集計シート!N$134:N$153)*AS$2</f>
        <v>0</v>
      </c>
      <c r="AT1138" s="88">
        <f>SUMIF(月間集計シート!$M$134:$M$153,$G1138,月間集計シート!O$134:O$153)*AT$2</f>
        <v>0</v>
      </c>
      <c r="AU1138" s="88">
        <f>SUMIF(月間集計シート!$M$134:$M$153,$G1138,月間集計シート!P$134:P$153)*AU$2</f>
        <v>0</v>
      </c>
      <c r="AV1138" s="88">
        <f>SUMIF(月間集計シート!$M$134:$M$153,$G1138,月間集計シート!Q$134:Q$153)*AV$2</f>
        <v>0</v>
      </c>
      <c r="AW1138" s="88">
        <f>SUMIF(月間集計シート!$M$134:$M$153,$G1138,月間集計シート!R$134:R$153)*AW$2</f>
        <v>0</v>
      </c>
      <c r="AX1138" s="88">
        <f>SUMIF(月間集計シート!$M$134:$M$153,$G1138,月間集計シート!S$134:S$153)*AX$2</f>
        <v>0</v>
      </c>
      <c r="AY1138" s="88">
        <f>SUMIF(月間集計シート!$M$134:$M$153,$G1138,月間集計シート!T$134:T$153)*AY$2</f>
        <v>0</v>
      </c>
    </row>
    <row r="1139" spans="1:51" ht="14.25" thickBot="1">
      <c r="A1139">
        <v>14</v>
      </c>
      <c r="B1139" s="120">
        <f t="shared" si="623"/>
        <v>0</v>
      </c>
      <c r="C1139" s="120" t="str">
        <f t="shared" si="624"/>
        <v/>
      </c>
      <c r="D1139" s="137"/>
      <c r="E1139" s="150" t="str">
        <f>工種!A26</f>
        <v>40104</v>
      </c>
      <c r="F1139" s="119" t="str">
        <f>工種!B26</f>
        <v>テスト：結合テスト設計書作成</v>
      </c>
      <c r="G1139" s="116" t="str">
        <f t="shared" si="625"/>
        <v>040104</v>
      </c>
      <c r="H1139" s="88">
        <f t="shared" si="579"/>
        <v>0</v>
      </c>
      <c r="I1139" s="132"/>
      <c r="J1139" s="88">
        <f>SUMIF(月間集計シート!$M$29:$M$48,$G1139,月間集計シート!N$29:N$48)*J$2</f>
        <v>0</v>
      </c>
      <c r="K1139" s="88">
        <f>SUMIF(月間集計シート!$M$29:$M$48,$G1139,月間集計シート!O$29:O$48)*K$2</f>
        <v>0</v>
      </c>
      <c r="L1139" s="88">
        <f>SUMIF(月間集計シート!$M$29:$M$48,$G1139,月間集計シート!P$29:P$48)*L$2</f>
        <v>0</v>
      </c>
      <c r="M1139" s="88">
        <f>SUMIF(月間集計シート!$M$29:$M$48,$G1139,月間集計シート!Q$29:Q$48)*M$2</f>
        <v>0</v>
      </c>
      <c r="N1139" s="88">
        <f>SUMIF(月間集計シート!$M$29:$M$48,$G1139,月間集計シート!R$29:R$48)*N$2</f>
        <v>0</v>
      </c>
      <c r="O1139" s="88">
        <f>SUMIF(月間集計シート!$M$29:$M$48,$G1139,月間集計シート!S$29:S$48)*O$2</f>
        <v>0</v>
      </c>
      <c r="P1139" s="88">
        <f>SUMIF(月間集計シート!$M$29:$M$48,$G1139,月間集計シート!T$29:T$48)*P$2</f>
        <v>0</v>
      </c>
      <c r="Q1139" s="88">
        <f>SUMIF(月間集計シート!$M$50:$M$69,$G1139,月間集計シート!N$50:N$69)*Q$2</f>
        <v>0</v>
      </c>
      <c r="R1139" s="88">
        <f>SUMIF(月間集計シート!$M$50:$M$69,$G1139,月間集計シート!O$50:O$69)*R$2</f>
        <v>0</v>
      </c>
      <c r="S1139" s="88">
        <f>SUMIF(月間集計シート!$M$50:$M$69,$G1139,月間集計シート!P$50:P$69)*S$2</f>
        <v>0</v>
      </c>
      <c r="T1139" s="88">
        <f>SUMIF(月間集計シート!$M$50:$M$69,$G1139,月間集計シート!Q$50:Q$69)*T$2</f>
        <v>0</v>
      </c>
      <c r="U1139" s="88">
        <f>SUMIF(月間集計シート!$M$50:$M$69,$G1139,月間集計シート!R$50:R$69)*U$2</f>
        <v>0</v>
      </c>
      <c r="V1139" s="88">
        <f>SUMIF(月間集計シート!$M$50:$M$69,$G1139,月間集計シート!S$50:S$69)*V$2</f>
        <v>0</v>
      </c>
      <c r="W1139" s="88">
        <f>SUMIF(月間集計シート!$M$50:$M$69,$G1139,月間集計シート!T$50:T$69)*W$2</f>
        <v>0</v>
      </c>
      <c r="X1139" s="88">
        <f>SUMIF(月間集計シート!$M$71:$M$90,$G1139,月間集計シート!N$71:N$90)*X$2</f>
        <v>0</v>
      </c>
      <c r="Y1139" s="88">
        <f>SUMIF(月間集計シート!$M$71:$M$90,$G1139,月間集計シート!O$71:O$90)*Y$2</f>
        <v>0</v>
      </c>
      <c r="Z1139" s="88">
        <f>SUMIF(月間集計シート!$M$71:$M$90,$G1139,月間集計シート!P$71:P$90)*Z$2</f>
        <v>0</v>
      </c>
      <c r="AA1139" s="88">
        <f>SUMIF(月間集計シート!$M$71:$M$90,$G1139,月間集計シート!Q$71:Q$90)*AA$2</f>
        <v>0</v>
      </c>
      <c r="AB1139" s="88">
        <f>SUMIF(月間集計シート!$M$71:$M$90,$G1139,月間集計シート!R$71:R$90)*AB$2</f>
        <v>0</v>
      </c>
      <c r="AC1139" s="88">
        <f>SUMIF(月間集計シート!$M$71:$M$90,$G1139,月間集計シート!S$71:S$90)*AC$2</f>
        <v>0</v>
      </c>
      <c r="AD1139" s="88">
        <f>SUMIF(月間集計シート!$M$71:$M$90,$G1139,月間集計シート!T$71:T$90)*AD$2</f>
        <v>0</v>
      </c>
      <c r="AE1139" s="88">
        <f>SUMIF(月間集計シート!$M$92:$M$111,$G1139,月間集計シート!N$92:N$111)*AE$2</f>
        <v>0</v>
      </c>
      <c r="AF1139" s="88">
        <f>SUMIF(月間集計シート!$M$92:$M$111,$G1139,月間集計シート!O$92:O$111)*AF$2</f>
        <v>0</v>
      </c>
      <c r="AG1139" s="88">
        <f>SUMIF(月間集計シート!$M$92:$M$111,$G1139,月間集計シート!P$92:P$111)*AG$2</f>
        <v>0</v>
      </c>
      <c r="AH1139" s="88">
        <f>SUMIF(月間集計シート!$M$92:$M$111,$G1139,月間集計シート!Q$92:Q$111)*AH$2</f>
        <v>0</v>
      </c>
      <c r="AI1139" s="88">
        <f>SUMIF(月間集計シート!$M$92:$M$111,$G1139,月間集計シート!R$92:R$111)*AI$2</f>
        <v>0</v>
      </c>
      <c r="AJ1139" s="88">
        <f>SUMIF(月間集計シート!$M$92:$M$111,$G1139,月間集計シート!S$92:S$111)*AJ$2</f>
        <v>0</v>
      </c>
      <c r="AK1139" s="88">
        <f>SUMIF(月間集計シート!$M$92:$M$111,$G1139,月間集計シート!T$92:T$111)*AK$2</f>
        <v>0</v>
      </c>
      <c r="AL1139" s="88">
        <f>SUMIF(月間集計シート!$M$113:$M$132,$G1139,月間集計シート!N$113:N$132)*AL$2</f>
        <v>0</v>
      </c>
      <c r="AM1139" s="88">
        <f>SUMIF(月間集計シート!$M$113:$M$132,$G1139,月間集計シート!O$113:O$132)*AM$2</f>
        <v>0</v>
      </c>
      <c r="AN1139" s="88">
        <f>SUMIF(月間集計シート!$M$113:$M$132,$G1139,月間集計シート!P$113:P$132)*AN$2</f>
        <v>0</v>
      </c>
      <c r="AO1139" s="88">
        <f>SUMIF(月間集計シート!$M$113:$M$132,$G1139,月間集計シート!Q$113:Q$132)*AO$2</f>
        <v>0</v>
      </c>
      <c r="AP1139" s="88">
        <f>SUMIF(月間集計シート!$M$113:$M$132,$G1139,月間集計シート!R$113:R$132)*AP$2</f>
        <v>0</v>
      </c>
      <c r="AQ1139" s="88">
        <f>SUMIF(月間集計シート!$M$113:$M$132,$G1139,月間集計シート!S$113:S$132)*AQ$2</f>
        <v>0</v>
      </c>
      <c r="AR1139" s="88">
        <f>SUMIF(月間集計シート!$M$113:$M$132,$G1139,月間集計シート!T$113:T$132)*AR$2</f>
        <v>0</v>
      </c>
      <c r="AS1139" s="88">
        <f>SUMIF(月間集計シート!$M$134:$M$153,$G1139,月間集計シート!N$134:N$153)*AS$2</f>
        <v>0</v>
      </c>
      <c r="AT1139" s="88">
        <f>SUMIF(月間集計シート!$M$134:$M$153,$G1139,月間集計シート!O$134:O$153)*AT$2</f>
        <v>0</v>
      </c>
      <c r="AU1139" s="88">
        <f>SUMIF(月間集計シート!$M$134:$M$153,$G1139,月間集計シート!P$134:P$153)*AU$2</f>
        <v>0</v>
      </c>
      <c r="AV1139" s="88">
        <f>SUMIF(月間集計シート!$M$134:$M$153,$G1139,月間集計シート!Q$134:Q$153)*AV$2</f>
        <v>0</v>
      </c>
      <c r="AW1139" s="88">
        <f>SUMIF(月間集計シート!$M$134:$M$153,$G1139,月間集計シート!R$134:R$153)*AW$2</f>
        <v>0</v>
      </c>
      <c r="AX1139" s="88">
        <f>SUMIF(月間集計シート!$M$134:$M$153,$G1139,月間集計シート!S$134:S$153)*AX$2</f>
        <v>0</v>
      </c>
      <c r="AY1139" s="88">
        <f>SUMIF(月間集計シート!$M$134:$M$153,$G1139,月間集計シート!T$134:T$153)*AY$2</f>
        <v>0</v>
      </c>
    </row>
    <row r="1140" spans="1:51" ht="14.25" thickBot="1">
      <c r="A1140">
        <v>14</v>
      </c>
      <c r="B1140" s="120">
        <f t="shared" si="623"/>
        <v>0</v>
      </c>
      <c r="C1140" s="120" t="str">
        <f t="shared" si="624"/>
        <v/>
      </c>
      <c r="D1140" s="137"/>
      <c r="E1140" s="150" t="str">
        <f>工種!A27</f>
        <v>40105</v>
      </c>
      <c r="F1140" s="119" t="str">
        <f>工種!B27</f>
        <v>テスト：システムテスト設計書作成</v>
      </c>
      <c r="G1140" s="116" t="str">
        <f t="shared" si="625"/>
        <v>040105</v>
      </c>
      <c r="H1140" s="88">
        <f t="shared" si="579"/>
        <v>0</v>
      </c>
      <c r="I1140" s="132"/>
      <c r="J1140" s="88">
        <f>SUMIF(月間集計シート!$M$29:$M$48,$G1140,月間集計シート!N$29:N$48)*J$2</f>
        <v>0</v>
      </c>
      <c r="K1140" s="88">
        <f>SUMIF(月間集計シート!$M$29:$M$48,$G1140,月間集計シート!O$29:O$48)*K$2</f>
        <v>0</v>
      </c>
      <c r="L1140" s="88">
        <f>SUMIF(月間集計シート!$M$29:$M$48,$G1140,月間集計シート!P$29:P$48)*L$2</f>
        <v>0</v>
      </c>
      <c r="M1140" s="88">
        <f>SUMIF(月間集計シート!$M$29:$M$48,$G1140,月間集計シート!Q$29:Q$48)*M$2</f>
        <v>0</v>
      </c>
      <c r="N1140" s="88">
        <f>SUMIF(月間集計シート!$M$29:$M$48,$G1140,月間集計シート!R$29:R$48)*N$2</f>
        <v>0</v>
      </c>
      <c r="O1140" s="88">
        <f>SUMIF(月間集計シート!$M$29:$M$48,$G1140,月間集計シート!S$29:S$48)*O$2</f>
        <v>0</v>
      </c>
      <c r="P1140" s="88">
        <f>SUMIF(月間集計シート!$M$29:$M$48,$G1140,月間集計シート!T$29:T$48)*P$2</f>
        <v>0</v>
      </c>
      <c r="Q1140" s="88">
        <f>SUMIF(月間集計シート!$M$50:$M$69,$G1140,月間集計シート!N$50:N$69)*Q$2</f>
        <v>0</v>
      </c>
      <c r="R1140" s="88">
        <f>SUMIF(月間集計シート!$M$50:$M$69,$G1140,月間集計シート!O$50:O$69)*R$2</f>
        <v>0</v>
      </c>
      <c r="S1140" s="88">
        <f>SUMIF(月間集計シート!$M$50:$M$69,$G1140,月間集計シート!P$50:P$69)*S$2</f>
        <v>0</v>
      </c>
      <c r="T1140" s="88">
        <f>SUMIF(月間集計シート!$M$50:$M$69,$G1140,月間集計シート!Q$50:Q$69)*T$2</f>
        <v>0</v>
      </c>
      <c r="U1140" s="88">
        <f>SUMIF(月間集計シート!$M$50:$M$69,$G1140,月間集計シート!R$50:R$69)*U$2</f>
        <v>0</v>
      </c>
      <c r="V1140" s="88">
        <f>SUMIF(月間集計シート!$M$50:$M$69,$G1140,月間集計シート!S$50:S$69)*V$2</f>
        <v>0</v>
      </c>
      <c r="W1140" s="88">
        <f>SUMIF(月間集計シート!$M$50:$M$69,$G1140,月間集計シート!T$50:T$69)*W$2</f>
        <v>0</v>
      </c>
      <c r="X1140" s="88">
        <f>SUMIF(月間集計シート!$M$71:$M$90,$G1140,月間集計シート!N$71:N$90)*X$2</f>
        <v>0</v>
      </c>
      <c r="Y1140" s="88">
        <f>SUMIF(月間集計シート!$M$71:$M$90,$G1140,月間集計シート!O$71:O$90)*Y$2</f>
        <v>0</v>
      </c>
      <c r="Z1140" s="88">
        <f>SUMIF(月間集計シート!$M$71:$M$90,$G1140,月間集計シート!P$71:P$90)*Z$2</f>
        <v>0</v>
      </c>
      <c r="AA1140" s="88">
        <f>SUMIF(月間集計シート!$M$71:$M$90,$G1140,月間集計シート!Q$71:Q$90)*AA$2</f>
        <v>0</v>
      </c>
      <c r="AB1140" s="88">
        <f>SUMIF(月間集計シート!$M$71:$M$90,$G1140,月間集計シート!R$71:R$90)*AB$2</f>
        <v>0</v>
      </c>
      <c r="AC1140" s="88">
        <f>SUMIF(月間集計シート!$M$71:$M$90,$G1140,月間集計シート!S$71:S$90)*AC$2</f>
        <v>0</v>
      </c>
      <c r="AD1140" s="88">
        <f>SUMIF(月間集計シート!$M$71:$M$90,$G1140,月間集計シート!T$71:T$90)*AD$2</f>
        <v>0</v>
      </c>
      <c r="AE1140" s="88">
        <f>SUMIF(月間集計シート!$M$92:$M$111,$G1140,月間集計シート!N$92:N$111)*AE$2</f>
        <v>0</v>
      </c>
      <c r="AF1140" s="88">
        <f>SUMIF(月間集計シート!$M$92:$M$111,$G1140,月間集計シート!O$92:O$111)*AF$2</f>
        <v>0</v>
      </c>
      <c r="AG1140" s="88">
        <f>SUMIF(月間集計シート!$M$92:$M$111,$G1140,月間集計シート!P$92:P$111)*AG$2</f>
        <v>0</v>
      </c>
      <c r="AH1140" s="88">
        <f>SUMIF(月間集計シート!$M$92:$M$111,$G1140,月間集計シート!Q$92:Q$111)*AH$2</f>
        <v>0</v>
      </c>
      <c r="AI1140" s="88">
        <f>SUMIF(月間集計シート!$M$92:$M$111,$G1140,月間集計シート!R$92:R$111)*AI$2</f>
        <v>0</v>
      </c>
      <c r="AJ1140" s="88">
        <f>SUMIF(月間集計シート!$M$92:$M$111,$G1140,月間集計シート!S$92:S$111)*AJ$2</f>
        <v>0</v>
      </c>
      <c r="AK1140" s="88">
        <f>SUMIF(月間集計シート!$M$92:$M$111,$G1140,月間集計シート!T$92:T$111)*AK$2</f>
        <v>0</v>
      </c>
      <c r="AL1140" s="88">
        <f>SUMIF(月間集計シート!$M$113:$M$132,$G1140,月間集計シート!N$113:N$132)*AL$2</f>
        <v>0</v>
      </c>
      <c r="AM1140" s="88">
        <f>SUMIF(月間集計シート!$M$113:$M$132,$G1140,月間集計シート!O$113:O$132)*AM$2</f>
        <v>0</v>
      </c>
      <c r="AN1140" s="88">
        <f>SUMIF(月間集計シート!$M$113:$M$132,$G1140,月間集計シート!P$113:P$132)*AN$2</f>
        <v>0</v>
      </c>
      <c r="AO1140" s="88">
        <f>SUMIF(月間集計シート!$M$113:$M$132,$G1140,月間集計シート!Q$113:Q$132)*AO$2</f>
        <v>0</v>
      </c>
      <c r="AP1140" s="88">
        <f>SUMIF(月間集計シート!$M$113:$M$132,$G1140,月間集計シート!R$113:R$132)*AP$2</f>
        <v>0</v>
      </c>
      <c r="AQ1140" s="88">
        <f>SUMIF(月間集計シート!$M$113:$M$132,$G1140,月間集計シート!S$113:S$132)*AQ$2</f>
        <v>0</v>
      </c>
      <c r="AR1140" s="88">
        <f>SUMIF(月間集計シート!$M$113:$M$132,$G1140,月間集計シート!T$113:T$132)*AR$2</f>
        <v>0</v>
      </c>
      <c r="AS1140" s="88">
        <f>SUMIF(月間集計シート!$M$134:$M$153,$G1140,月間集計シート!N$134:N$153)*AS$2</f>
        <v>0</v>
      </c>
      <c r="AT1140" s="88">
        <f>SUMIF(月間集計シート!$M$134:$M$153,$G1140,月間集計シート!O$134:O$153)*AT$2</f>
        <v>0</v>
      </c>
      <c r="AU1140" s="88">
        <f>SUMIF(月間集計シート!$M$134:$M$153,$G1140,月間集計シート!P$134:P$153)*AU$2</f>
        <v>0</v>
      </c>
      <c r="AV1140" s="88">
        <f>SUMIF(月間集計シート!$M$134:$M$153,$G1140,月間集計シート!Q$134:Q$153)*AV$2</f>
        <v>0</v>
      </c>
      <c r="AW1140" s="88">
        <f>SUMIF(月間集計シート!$M$134:$M$153,$G1140,月間集計シート!R$134:R$153)*AW$2</f>
        <v>0</v>
      </c>
      <c r="AX1140" s="88">
        <f>SUMIF(月間集計シート!$M$134:$M$153,$G1140,月間集計シート!S$134:S$153)*AX$2</f>
        <v>0</v>
      </c>
      <c r="AY1140" s="88">
        <f>SUMIF(月間集計シート!$M$134:$M$153,$G1140,月間集計シート!T$134:T$153)*AY$2</f>
        <v>0</v>
      </c>
    </row>
    <row r="1141" spans="1:51" ht="14.25" thickBot="1">
      <c r="A1141">
        <v>14</v>
      </c>
      <c r="B1141" s="120">
        <f t="shared" si="623"/>
        <v>0</v>
      </c>
      <c r="C1141" s="120" t="str">
        <f t="shared" si="624"/>
        <v/>
      </c>
      <c r="D1141" s="137"/>
      <c r="E1141" s="150" t="str">
        <f>工種!A28</f>
        <v>40106</v>
      </c>
      <c r="F1141" s="119" t="str">
        <f>工種!B28</f>
        <v>テスト：総合評価設計書作成</v>
      </c>
      <c r="G1141" s="116" t="str">
        <f t="shared" si="625"/>
        <v>040106</v>
      </c>
      <c r="H1141" s="88">
        <f t="shared" si="579"/>
        <v>0</v>
      </c>
      <c r="I1141" s="132"/>
      <c r="J1141" s="88">
        <f>SUMIF(月間集計シート!$M$29:$M$48,$G1141,月間集計シート!N$29:N$48)*J$2</f>
        <v>0</v>
      </c>
      <c r="K1141" s="88">
        <f>SUMIF(月間集計シート!$M$29:$M$48,$G1141,月間集計シート!O$29:O$48)*K$2</f>
        <v>0</v>
      </c>
      <c r="L1141" s="88">
        <f>SUMIF(月間集計シート!$M$29:$M$48,$G1141,月間集計シート!P$29:P$48)*L$2</f>
        <v>0</v>
      </c>
      <c r="M1141" s="88">
        <f>SUMIF(月間集計シート!$M$29:$M$48,$G1141,月間集計シート!Q$29:Q$48)*M$2</f>
        <v>0</v>
      </c>
      <c r="N1141" s="88">
        <f>SUMIF(月間集計シート!$M$29:$M$48,$G1141,月間集計シート!R$29:R$48)*N$2</f>
        <v>0</v>
      </c>
      <c r="O1141" s="88">
        <f>SUMIF(月間集計シート!$M$29:$M$48,$G1141,月間集計シート!S$29:S$48)*O$2</f>
        <v>0</v>
      </c>
      <c r="P1141" s="88">
        <f>SUMIF(月間集計シート!$M$29:$M$48,$G1141,月間集計シート!T$29:T$48)*P$2</f>
        <v>0</v>
      </c>
      <c r="Q1141" s="88">
        <f>SUMIF(月間集計シート!$M$50:$M$69,$G1141,月間集計シート!N$50:N$69)*Q$2</f>
        <v>0</v>
      </c>
      <c r="R1141" s="88">
        <f>SUMIF(月間集計シート!$M$50:$M$69,$G1141,月間集計シート!O$50:O$69)*R$2</f>
        <v>0</v>
      </c>
      <c r="S1141" s="88">
        <f>SUMIF(月間集計シート!$M$50:$M$69,$G1141,月間集計シート!P$50:P$69)*S$2</f>
        <v>0</v>
      </c>
      <c r="T1141" s="88">
        <f>SUMIF(月間集計シート!$M$50:$M$69,$G1141,月間集計シート!Q$50:Q$69)*T$2</f>
        <v>0</v>
      </c>
      <c r="U1141" s="88">
        <f>SUMIF(月間集計シート!$M$50:$M$69,$G1141,月間集計シート!R$50:R$69)*U$2</f>
        <v>0</v>
      </c>
      <c r="V1141" s="88">
        <f>SUMIF(月間集計シート!$M$50:$M$69,$G1141,月間集計シート!S$50:S$69)*V$2</f>
        <v>0</v>
      </c>
      <c r="W1141" s="88">
        <f>SUMIF(月間集計シート!$M$50:$M$69,$G1141,月間集計シート!T$50:T$69)*W$2</f>
        <v>0</v>
      </c>
      <c r="X1141" s="88">
        <f>SUMIF(月間集計シート!$M$71:$M$90,$G1141,月間集計シート!N$71:N$90)*X$2</f>
        <v>0</v>
      </c>
      <c r="Y1141" s="88">
        <f>SUMIF(月間集計シート!$M$71:$M$90,$G1141,月間集計シート!O$71:O$90)*Y$2</f>
        <v>0</v>
      </c>
      <c r="Z1141" s="88">
        <f>SUMIF(月間集計シート!$M$71:$M$90,$G1141,月間集計シート!P$71:P$90)*Z$2</f>
        <v>0</v>
      </c>
      <c r="AA1141" s="88">
        <f>SUMIF(月間集計シート!$M$71:$M$90,$G1141,月間集計シート!Q$71:Q$90)*AA$2</f>
        <v>0</v>
      </c>
      <c r="AB1141" s="88">
        <f>SUMIF(月間集計シート!$M$71:$M$90,$G1141,月間集計シート!R$71:R$90)*AB$2</f>
        <v>0</v>
      </c>
      <c r="AC1141" s="88">
        <f>SUMIF(月間集計シート!$M$71:$M$90,$G1141,月間集計シート!S$71:S$90)*AC$2</f>
        <v>0</v>
      </c>
      <c r="AD1141" s="88">
        <f>SUMIF(月間集計シート!$M$71:$M$90,$G1141,月間集計シート!T$71:T$90)*AD$2</f>
        <v>0</v>
      </c>
      <c r="AE1141" s="88">
        <f>SUMIF(月間集計シート!$M$92:$M$111,$G1141,月間集計シート!N$92:N$111)*AE$2</f>
        <v>0</v>
      </c>
      <c r="AF1141" s="88">
        <f>SUMIF(月間集計シート!$M$92:$M$111,$G1141,月間集計シート!O$92:O$111)*AF$2</f>
        <v>0</v>
      </c>
      <c r="AG1141" s="88">
        <f>SUMIF(月間集計シート!$M$92:$M$111,$G1141,月間集計シート!P$92:P$111)*AG$2</f>
        <v>0</v>
      </c>
      <c r="AH1141" s="88">
        <f>SUMIF(月間集計シート!$M$92:$M$111,$G1141,月間集計シート!Q$92:Q$111)*AH$2</f>
        <v>0</v>
      </c>
      <c r="AI1141" s="88">
        <f>SUMIF(月間集計シート!$M$92:$M$111,$G1141,月間集計シート!R$92:R$111)*AI$2</f>
        <v>0</v>
      </c>
      <c r="AJ1141" s="88">
        <f>SUMIF(月間集計シート!$M$92:$M$111,$G1141,月間集計シート!S$92:S$111)*AJ$2</f>
        <v>0</v>
      </c>
      <c r="AK1141" s="88">
        <f>SUMIF(月間集計シート!$M$92:$M$111,$G1141,月間集計シート!T$92:T$111)*AK$2</f>
        <v>0</v>
      </c>
      <c r="AL1141" s="88">
        <f>SUMIF(月間集計シート!$M$113:$M$132,$G1141,月間集計シート!N$113:N$132)*AL$2</f>
        <v>0</v>
      </c>
      <c r="AM1141" s="88">
        <f>SUMIF(月間集計シート!$M$113:$M$132,$G1141,月間集計シート!O$113:O$132)*AM$2</f>
        <v>0</v>
      </c>
      <c r="AN1141" s="88">
        <f>SUMIF(月間集計シート!$M$113:$M$132,$G1141,月間集計シート!P$113:P$132)*AN$2</f>
        <v>0</v>
      </c>
      <c r="AO1141" s="88">
        <f>SUMIF(月間集計シート!$M$113:$M$132,$G1141,月間集計シート!Q$113:Q$132)*AO$2</f>
        <v>0</v>
      </c>
      <c r="AP1141" s="88">
        <f>SUMIF(月間集計シート!$M$113:$M$132,$G1141,月間集計シート!R$113:R$132)*AP$2</f>
        <v>0</v>
      </c>
      <c r="AQ1141" s="88">
        <f>SUMIF(月間集計シート!$M$113:$M$132,$G1141,月間集計シート!S$113:S$132)*AQ$2</f>
        <v>0</v>
      </c>
      <c r="AR1141" s="88">
        <f>SUMIF(月間集計シート!$M$113:$M$132,$G1141,月間集計シート!T$113:T$132)*AR$2</f>
        <v>0</v>
      </c>
      <c r="AS1141" s="88">
        <f>SUMIF(月間集計シート!$M$134:$M$153,$G1141,月間集計シート!N$134:N$153)*AS$2</f>
        <v>0</v>
      </c>
      <c r="AT1141" s="88">
        <f>SUMIF(月間集計シート!$M$134:$M$153,$G1141,月間集計シート!O$134:O$153)*AT$2</f>
        <v>0</v>
      </c>
      <c r="AU1141" s="88">
        <f>SUMIF(月間集計シート!$M$134:$M$153,$G1141,月間集計シート!P$134:P$153)*AU$2</f>
        <v>0</v>
      </c>
      <c r="AV1141" s="88">
        <f>SUMIF(月間集計シート!$M$134:$M$153,$G1141,月間集計シート!Q$134:Q$153)*AV$2</f>
        <v>0</v>
      </c>
      <c r="AW1141" s="88">
        <f>SUMIF(月間集計シート!$M$134:$M$153,$G1141,月間集計シート!R$134:R$153)*AW$2</f>
        <v>0</v>
      </c>
      <c r="AX1141" s="88">
        <f>SUMIF(月間集計シート!$M$134:$M$153,$G1141,月間集計シート!S$134:S$153)*AX$2</f>
        <v>0</v>
      </c>
      <c r="AY1141" s="88">
        <f>SUMIF(月間集計シート!$M$134:$M$153,$G1141,月間集計シート!T$134:T$153)*AY$2</f>
        <v>0</v>
      </c>
    </row>
    <row r="1142" spans="1:51" ht="14.25" thickBot="1">
      <c r="A1142">
        <v>14</v>
      </c>
      <c r="B1142" s="120">
        <f t="shared" si="623"/>
        <v>0</v>
      </c>
      <c r="C1142" s="120" t="str">
        <f t="shared" si="624"/>
        <v/>
      </c>
      <c r="D1142" s="137"/>
      <c r="E1142" s="150" t="str">
        <f>工種!A29</f>
        <v>40107</v>
      </c>
      <c r="F1142" s="119" t="str">
        <f>工種!B29</f>
        <v>テスト：評価報告書作成</v>
      </c>
      <c r="G1142" s="116" t="str">
        <f t="shared" si="625"/>
        <v>040107</v>
      </c>
      <c r="H1142" s="88">
        <f t="shared" si="579"/>
        <v>0</v>
      </c>
      <c r="I1142" s="132"/>
      <c r="J1142" s="88">
        <f>SUMIF(月間集計シート!$M$29:$M$48,$G1142,月間集計シート!N$29:N$48)*J$2</f>
        <v>0</v>
      </c>
      <c r="K1142" s="88">
        <f>SUMIF(月間集計シート!$M$29:$M$48,$G1142,月間集計シート!O$29:O$48)*K$2</f>
        <v>0</v>
      </c>
      <c r="L1142" s="88">
        <f>SUMIF(月間集計シート!$M$29:$M$48,$G1142,月間集計シート!P$29:P$48)*L$2</f>
        <v>0</v>
      </c>
      <c r="M1142" s="88">
        <f>SUMIF(月間集計シート!$M$29:$M$48,$G1142,月間集計シート!Q$29:Q$48)*M$2</f>
        <v>0</v>
      </c>
      <c r="N1142" s="88">
        <f>SUMIF(月間集計シート!$M$29:$M$48,$G1142,月間集計シート!R$29:R$48)*N$2</f>
        <v>0</v>
      </c>
      <c r="O1142" s="88">
        <f>SUMIF(月間集計シート!$M$29:$M$48,$G1142,月間集計シート!S$29:S$48)*O$2</f>
        <v>0</v>
      </c>
      <c r="P1142" s="88">
        <f>SUMIF(月間集計シート!$M$29:$M$48,$G1142,月間集計シート!T$29:T$48)*P$2</f>
        <v>0</v>
      </c>
      <c r="Q1142" s="88">
        <f>SUMIF(月間集計シート!$M$50:$M$69,$G1142,月間集計シート!N$50:N$69)*Q$2</f>
        <v>0</v>
      </c>
      <c r="R1142" s="88">
        <f>SUMIF(月間集計シート!$M$50:$M$69,$G1142,月間集計シート!O$50:O$69)*R$2</f>
        <v>0</v>
      </c>
      <c r="S1142" s="88">
        <f>SUMIF(月間集計シート!$M$50:$M$69,$G1142,月間集計シート!P$50:P$69)*S$2</f>
        <v>0</v>
      </c>
      <c r="T1142" s="88">
        <f>SUMIF(月間集計シート!$M$50:$M$69,$G1142,月間集計シート!Q$50:Q$69)*T$2</f>
        <v>0</v>
      </c>
      <c r="U1142" s="88">
        <f>SUMIF(月間集計シート!$M$50:$M$69,$G1142,月間集計シート!R$50:R$69)*U$2</f>
        <v>0</v>
      </c>
      <c r="V1142" s="88">
        <f>SUMIF(月間集計シート!$M$50:$M$69,$G1142,月間集計シート!S$50:S$69)*V$2</f>
        <v>0</v>
      </c>
      <c r="W1142" s="88">
        <f>SUMIF(月間集計シート!$M$50:$M$69,$G1142,月間集計シート!T$50:T$69)*W$2</f>
        <v>0</v>
      </c>
      <c r="X1142" s="88">
        <f>SUMIF(月間集計シート!$M$71:$M$90,$G1142,月間集計シート!N$71:N$90)*X$2</f>
        <v>0</v>
      </c>
      <c r="Y1142" s="88">
        <f>SUMIF(月間集計シート!$M$71:$M$90,$G1142,月間集計シート!O$71:O$90)*Y$2</f>
        <v>0</v>
      </c>
      <c r="Z1142" s="88">
        <f>SUMIF(月間集計シート!$M$71:$M$90,$G1142,月間集計シート!P$71:P$90)*Z$2</f>
        <v>0</v>
      </c>
      <c r="AA1142" s="88">
        <f>SUMIF(月間集計シート!$M$71:$M$90,$G1142,月間集計シート!Q$71:Q$90)*AA$2</f>
        <v>0</v>
      </c>
      <c r="AB1142" s="88">
        <f>SUMIF(月間集計シート!$M$71:$M$90,$G1142,月間集計シート!R$71:R$90)*AB$2</f>
        <v>0</v>
      </c>
      <c r="AC1142" s="88">
        <f>SUMIF(月間集計シート!$M$71:$M$90,$G1142,月間集計シート!S$71:S$90)*AC$2</f>
        <v>0</v>
      </c>
      <c r="AD1142" s="88">
        <f>SUMIF(月間集計シート!$M$71:$M$90,$G1142,月間集計シート!T$71:T$90)*AD$2</f>
        <v>0</v>
      </c>
      <c r="AE1142" s="88">
        <f>SUMIF(月間集計シート!$M$92:$M$111,$G1142,月間集計シート!N$92:N$111)*AE$2</f>
        <v>0</v>
      </c>
      <c r="AF1142" s="88">
        <f>SUMIF(月間集計シート!$M$92:$M$111,$G1142,月間集計シート!O$92:O$111)*AF$2</f>
        <v>0</v>
      </c>
      <c r="AG1142" s="88">
        <f>SUMIF(月間集計シート!$M$92:$M$111,$G1142,月間集計シート!P$92:P$111)*AG$2</f>
        <v>0</v>
      </c>
      <c r="AH1142" s="88">
        <f>SUMIF(月間集計シート!$M$92:$M$111,$G1142,月間集計シート!Q$92:Q$111)*AH$2</f>
        <v>0</v>
      </c>
      <c r="AI1142" s="88">
        <f>SUMIF(月間集計シート!$M$92:$M$111,$G1142,月間集計シート!R$92:R$111)*AI$2</f>
        <v>0</v>
      </c>
      <c r="AJ1142" s="88">
        <f>SUMIF(月間集計シート!$M$92:$M$111,$G1142,月間集計シート!S$92:S$111)*AJ$2</f>
        <v>0</v>
      </c>
      <c r="AK1142" s="88">
        <f>SUMIF(月間集計シート!$M$92:$M$111,$G1142,月間集計シート!T$92:T$111)*AK$2</f>
        <v>0</v>
      </c>
      <c r="AL1142" s="88">
        <f>SUMIF(月間集計シート!$M$113:$M$132,$G1142,月間集計シート!N$113:N$132)*AL$2</f>
        <v>0</v>
      </c>
      <c r="AM1142" s="88">
        <f>SUMIF(月間集計シート!$M$113:$M$132,$G1142,月間集計シート!O$113:O$132)*AM$2</f>
        <v>0</v>
      </c>
      <c r="AN1142" s="88">
        <f>SUMIF(月間集計シート!$M$113:$M$132,$G1142,月間集計シート!P$113:P$132)*AN$2</f>
        <v>0</v>
      </c>
      <c r="AO1142" s="88">
        <f>SUMIF(月間集計シート!$M$113:$M$132,$G1142,月間集計シート!Q$113:Q$132)*AO$2</f>
        <v>0</v>
      </c>
      <c r="AP1142" s="88">
        <f>SUMIF(月間集計シート!$M$113:$M$132,$G1142,月間集計シート!R$113:R$132)*AP$2</f>
        <v>0</v>
      </c>
      <c r="AQ1142" s="88">
        <f>SUMIF(月間集計シート!$M$113:$M$132,$G1142,月間集計シート!S$113:S$132)*AQ$2</f>
        <v>0</v>
      </c>
      <c r="AR1142" s="88">
        <f>SUMIF(月間集計シート!$M$113:$M$132,$G1142,月間集計シート!T$113:T$132)*AR$2</f>
        <v>0</v>
      </c>
      <c r="AS1142" s="88">
        <f>SUMIF(月間集計シート!$M$134:$M$153,$G1142,月間集計シート!N$134:N$153)*AS$2</f>
        <v>0</v>
      </c>
      <c r="AT1142" s="88">
        <f>SUMIF(月間集計シート!$M$134:$M$153,$G1142,月間集計シート!O$134:O$153)*AT$2</f>
        <v>0</v>
      </c>
      <c r="AU1142" s="88">
        <f>SUMIF(月間集計シート!$M$134:$M$153,$G1142,月間集計シート!P$134:P$153)*AU$2</f>
        <v>0</v>
      </c>
      <c r="AV1142" s="88">
        <f>SUMIF(月間集計シート!$M$134:$M$153,$G1142,月間集計シート!Q$134:Q$153)*AV$2</f>
        <v>0</v>
      </c>
      <c r="AW1142" s="88">
        <f>SUMIF(月間集計シート!$M$134:$M$153,$G1142,月間集計シート!R$134:R$153)*AW$2</f>
        <v>0</v>
      </c>
      <c r="AX1142" s="88">
        <f>SUMIF(月間集計シート!$M$134:$M$153,$G1142,月間集計シート!S$134:S$153)*AX$2</f>
        <v>0</v>
      </c>
      <c r="AY1142" s="88">
        <f>SUMIF(月間集計シート!$M$134:$M$153,$G1142,月間集計シート!T$134:T$153)*AY$2</f>
        <v>0</v>
      </c>
    </row>
    <row r="1143" spans="1:51" ht="14.25" thickBot="1">
      <c r="A1143">
        <v>14</v>
      </c>
      <c r="B1143" s="120">
        <f t="shared" si="623"/>
        <v>0</v>
      </c>
      <c r="C1143" s="120" t="str">
        <f t="shared" si="624"/>
        <v/>
      </c>
      <c r="D1143" s="137"/>
      <c r="E1143" s="150" t="str">
        <f>工種!A30</f>
        <v>40108</v>
      </c>
      <c r="F1143" s="119" t="str">
        <f>工種!B30</f>
        <v>テスト：総合評価実施</v>
      </c>
      <c r="G1143" s="116" t="str">
        <f t="shared" si="625"/>
        <v>040108</v>
      </c>
      <c r="H1143" s="88">
        <f t="shared" si="579"/>
        <v>0</v>
      </c>
      <c r="I1143" s="132"/>
      <c r="J1143" s="88">
        <f>SUMIF(月間集計シート!$M$29:$M$48,$G1143,月間集計シート!N$29:N$48)*J$2</f>
        <v>0</v>
      </c>
      <c r="K1143" s="88">
        <f>SUMIF(月間集計シート!$M$29:$M$48,$G1143,月間集計シート!O$29:O$48)*K$2</f>
        <v>0</v>
      </c>
      <c r="L1143" s="88">
        <f>SUMIF(月間集計シート!$M$29:$M$48,$G1143,月間集計シート!P$29:P$48)*L$2</f>
        <v>0</v>
      </c>
      <c r="M1143" s="88">
        <f>SUMIF(月間集計シート!$M$29:$M$48,$G1143,月間集計シート!Q$29:Q$48)*M$2</f>
        <v>0</v>
      </c>
      <c r="N1143" s="88">
        <f>SUMIF(月間集計シート!$M$29:$M$48,$G1143,月間集計シート!R$29:R$48)*N$2</f>
        <v>0</v>
      </c>
      <c r="O1143" s="88">
        <f>SUMIF(月間集計シート!$M$29:$M$48,$G1143,月間集計シート!S$29:S$48)*O$2</f>
        <v>0</v>
      </c>
      <c r="P1143" s="88">
        <f>SUMIF(月間集計シート!$M$29:$M$48,$G1143,月間集計シート!T$29:T$48)*P$2</f>
        <v>0</v>
      </c>
      <c r="Q1143" s="88">
        <f>SUMIF(月間集計シート!$M$50:$M$69,$G1143,月間集計シート!N$50:N$69)*Q$2</f>
        <v>0</v>
      </c>
      <c r="R1143" s="88">
        <f>SUMIF(月間集計シート!$M$50:$M$69,$G1143,月間集計シート!O$50:O$69)*R$2</f>
        <v>0</v>
      </c>
      <c r="S1143" s="88">
        <f>SUMIF(月間集計シート!$M$50:$M$69,$G1143,月間集計シート!P$50:P$69)*S$2</f>
        <v>0</v>
      </c>
      <c r="T1143" s="88">
        <f>SUMIF(月間集計シート!$M$50:$M$69,$G1143,月間集計シート!Q$50:Q$69)*T$2</f>
        <v>0</v>
      </c>
      <c r="U1143" s="88">
        <f>SUMIF(月間集計シート!$M$50:$M$69,$G1143,月間集計シート!R$50:R$69)*U$2</f>
        <v>0</v>
      </c>
      <c r="V1143" s="88">
        <f>SUMIF(月間集計シート!$M$50:$M$69,$G1143,月間集計シート!S$50:S$69)*V$2</f>
        <v>0</v>
      </c>
      <c r="W1143" s="88">
        <f>SUMIF(月間集計シート!$M$50:$M$69,$G1143,月間集計シート!T$50:T$69)*W$2</f>
        <v>0</v>
      </c>
      <c r="X1143" s="88">
        <f>SUMIF(月間集計シート!$M$71:$M$90,$G1143,月間集計シート!N$71:N$90)*X$2</f>
        <v>0</v>
      </c>
      <c r="Y1143" s="88">
        <f>SUMIF(月間集計シート!$M$71:$M$90,$G1143,月間集計シート!O$71:O$90)*Y$2</f>
        <v>0</v>
      </c>
      <c r="Z1143" s="88">
        <f>SUMIF(月間集計シート!$M$71:$M$90,$G1143,月間集計シート!P$71:P$90)*Z$2</f>
        <v>0</v>
      </c>
      <c r="AA1143" s="88">
        <f>SUMIF(月間集計シート!$M$71:$M$90,$G1143,月間集計シート!Q$71:Q$90)*AA$2</f>
        <v>0</v>
      </c>
      <c r="AB1143" s="88">
        <f>SUMIF(月間集計シート!$M$71:$M$90,$G1143,月間集計シート!R$71:R$90)*AB$2</f>
        <v>0</v>
      </c>
      <c r="AC1143" s="88">
        <f>SUMIF(月間集計シート!$M$71:$M$90,$G1143,月間集計シート!S$71:S$90)*AC$2</f>
        <v>0</v>
      </c>
      <c r="AD1143" s="88">
        <f>SUMIF(月間集計シート!$M$71:$M$90,$G1143,月間集計シート!T$71:T$90)*AD$2</f>
        <v>0</v>
      </c>
      <c r="AE1143" s="88">
        <f>SUMIF(月間集計シート!$M$92:$M$111,$G1143,月間集計シート!N$92:N$111)*AE$2</f>
        <v>0</v>
      </c>
      <c r="AF1143" s="88">
        <f>SUMIF(月間集計シート!$M$92:$M$111,$G1143,月間集計シート!O$92:O$111)*AF$2</f>
        <v>0</v>
      </c>
      <c r="AG1143" s="88">
        <f>SUMIF(月間集計シート!$M$92:$M$111,$G1143,月間集計シート!P$92:P$111)*AG$2</f>
        <v>0</v>
      </c>
      <c r="AH1143" s="88">
        <f>SUMIF(月間集計シート!$M$92:$M$111,$G1143,月間集計シート!Q$92:Q$111)*AH$2</f>
        <v>0</v>
      </c>
      <c r="AI1143" s="88">
        <f>SUMIF(月間集計シート!$M$92:$M$111,$G1143,月間集計シート!R$92:R$111)*AI$2</f>
        <v>0</v>
      </c>
      <c r="AJ1143" s="88">
        <f>SUMIF(月間集計シート!$M$92:$M$111,$G1143,月間集計シート!S$92:S$111)*AJ$2</f>
        <v>0</v>
      </c>
      <c r="AK1143" s="88">
        <f>SUMIF(月間集計シート!$M$92:$M$111,$G1143,月間集計シート!T$92:T$111)*AK$2</f>
        <v>0</v>
      </c>
      <c r="AL1143" s="88">
        <f>SUMIF(月間集計シート!$M$113:$M$132,$G1143,月間集計シート!N$113:N$132)*AL$2</f>
        <v>0</v>
      </c>
      <c r="AM1143" s="88">
        <f>SUMIF(月間集計シート!$M$113:$M$132,$G1143,月間集計シート!O$113:O$132)*AM$2</f>
        <v>0</v>
      </c>
      <c r="AN1143" s="88">
        <f>SUMIF(月間集計シート!$M$113:$M$132,$G1143,月間集計シート!P$113:P$132)*AN$2</f>
        <v>0</v>
      </c>
      <c r="AO1143" s="88">
        <f>SUMIF(月間集計シート!$M$113:$M$132,$G1143,月間集計シート!Q$113:Q$132)*AO$2</f>
        <v>0</v>
      </c>
      <c r="AP1143" s="88">
        <f>SUMIF(月間集計シート!$M$113:$M$132,$G1143,月間集計シート!R$113:R$132)*AP$2</f>
        <v>0</v>
      </c>
      <c r="AQ1143" s="88">
        <f>SUMIF(月間集計シート!$M$113:$M$132,$G1143,月間集計シート!S$113:S$132)*AQ$2</f>
        <v>0</v>
      </c>
      <c r="AR1143" s="88">
        <f>SUMIF(月間集計シート!$M$113:$M$132,$G1143,月間集計シート!T$113:T$132)*AR$2</f>
        <v>0</v>
      </c>
      <c r="AS1143" s="88">
        <f>SUMIF(月間集計シート!$M$134:$M$153,$G1143,月間集計シート!N$134:N$153)*AS$2</f>
        <v>0</v>
      </c>
      <c r="AT1143" s="88">
        <f>SUMIF(月間集計シート!$M$134:$M$153,$G1143,月間集計シート!O$134:O$153)*AT$2</f>
        <v>0</v>
      </c>
      <c r="AU1143" s="88">
        <f>SUMIF(月間集計シート!$M$134:$M$153,$G1143,月間集計シート!P$134:P$153)*AU$2</f>
        <v>0</v>
      </c>
      <c r="AV1143" s="88">
        <f>SUMIF(月間集計シート!$M$134:$M$153,$G1143,月間集計シート!Q$134:Q$153)*AV$2</f>
        <v>0</v>
      </c>
      <c r="AW1143" s="88">
        <f>SUMIF(月間集計シート!$M$134:$M$153,$G1143,月間集計シート!R$134:R$153)*AW$2</f>
        <v>0</v>
      </c>
      <c r="AX1143" s="88">
        <f>SUMIF(月間集計シート!$M$134:$M$153,$G1143,月間集計シート!S$134:S$153)*AX$2</f>
        <v>0</v>
      </c>
      <c r="AY1143" s="88">
        <f>SUMIF(月間集計シート!$M$134:$M$153,$G1143,月間集計シート!T$134:T$153)*AY$2</f>
        <v>0</v>
      </c>
    </row>
    <row r="1144" spans="1:51" ht="14.25" thickBot="1">
      <c r="A1144">
        <v>14</v>
      </c>
      <c r="B1144" s="120">
        <f t="shared" si="623"/>
        <v>0</v>
      </c>
      <c r="C1144" s="120" t="str">
        <f t="shared" si="624"/>
        <v/>
      </c>
      <c r="D1144" s="137"/>
      <c r="E1144" s="150" t="str">
        <f>工種!A31</f>
        <v>40109</v>
      </c>
      <c r="F1144" s="119" t="str">
        <f>工種!B31</f>
        <v>テスト：打合せ</v>
      </c>
      <c r="G1144" s="116" t="str">
        <f t="shared" si="625"/>
        <v>040109</v>
      </c>
      <c r="H1144" s="88">
        <f t="shared" si="579"/>
        <v>0</v>
      </c>
      <c r="I1144" s="132"/>
      <c r="J1144" s="88">
        <f>SUMIF(月間集計シート!$M$29:$M$48,$G1144,月間集計シート!N$29:N$48)*J$2</f>
        <v>0</v>
      </c>
      <c r="K1144" s="88">
        <f>SUMIF(月間集計シート!$M$29:$M$48,$G1144,月間集計シート!O$29:O$48)*K$2</f>
        <v>0</v>
      </c>
      <c r="L1144" s="88">
        <f>SUMIF(月間集計シート!$M$29:$M$48,$G1144,月間集計シート!P$29:P$48)*L$2</f>
        <v>0</v>
      </c>
      <c r="M1144" s="88">
        <f>SUMIF(月間集計シート!$M$29:$M$48,$G1144,月間集計シート!Q$29:Q$48)*M$2</f>
        <v>0</v>
      </c>
      <c r="N1144" s="88">
        <f>SUMIF(月間集計シート!$M$29:$M$48,$G1144,月間集計シート!R$29:R$48)*N$2</f>
        <v>0</v>
      </c>
      <c r="O1144" s="88">
        <f>SUMIF(月間集計シート!$M$29:$M$48,$G1144,月間集計シート!S$29:S$48)*O$2</f>
        <v>0</v>
      </c>
      <c r="P1144" s="88">
        <f>SUMIF(月間集計シート!$M$29:$M$48,$G1144,月間集計シート!T$29:T$48)*P$2</f>
        <v>0</v>
      </c>
      <c r="Q1144" s="88">
        <f>SUMIF(月間集計シート!$M$50:$M$69,$G1144,月間集計シート!N$50:N$69)*Q$2</f>
        <v>0</v>
      </c>
      <c r="R1144" s="88">
        <f>SUMIF(月間集計シート!$M$50:$M$69,$G1144,月間集計シート!O$50:O$69)*R$2</f>
        <v>0</v>
      </c>
      <c r="S1144" s="88">
        <f>SUMIF(月間集計シート!$M$50:$M$69,$G1144,月間集計シート!P$50:P$69)*S$2</f>
        <v>0</v>
      </c>
      <c r="T1144" s="88">
        <f>SUMIF(月間集計シート!$M$50:$M$69,$G1144,月間集計シート!Q$50:Q$69)*T$2</f>
        <v>0</v>
      </c>
      <c r="U1144" s="88">
        <f>SUMIF(月間集計シート!$M$50:$M$69,$G1144,月間集計シート!R$50:R$69)*U$2</f>
        <v>0</v>
      </c>
      <c r="V1144" s="88">
        <f>SUMIF(月間集計シート!$M$50:$M$69,$G1144,月間集計シート!S$50:S$69)*V$2</f>
        <v>0</v>
      </c>
      <c r="W1144" s="88">
        <f>SUMIF(月間集計シート!$M$50:$M$69,$G1144,月間集計シート!T$50:T$69)*W$2</f>
        <v>0</v>
      </c>
      <c r="X1144" s="88">
        <f>SUMIF(月間集計シート!$M$71:$M$90,$G1144,月間集計シート!N$71:N$90)*X$2</f>
        <v>0</v>
      </c>
      <c r="Y1144" s="88">
        <f>SUMIF(月間集計シート!$M$71:$M$90,$G1144,月間集計シート!O$71:O$90)*Y$2</f>
        <v>0</v>
      </c>
      <c r="Z1144" s="88">
        <f>SUMIF(月間集計シート!$M$71:$M$90,$G1144,月間集計シート!P$71:P$90)*Z$2</f>
        <v>0</v>
      </c>
      <c r="AA1144" s="88">
        <f>SUMIF(月間集計シート!$M$71:$M$90,$G1144,月間集計シート!Q$71:Q$90)*AA$2</f>
        <v>0</v>
      </c>
      <c r="AB1144" s="88">
        <f>SUMIF(月間集計シート!$M$71:$M$90,$G1144,月間集計シート!R$71:R$90)*AB$2</f>
        <v>0</v>
      </c>
      <c r="AC1144" s="88">
        <f>SUMIF(月間集計シート!$M$71:$M$90,$G1144,月間集計シート!S$71:S$90)*AC$2</f>
        <v>0</v>
      </c>
      <c r="AD1144" s="88">
        <f>SUMIF(月間集計シート!$M$71:$M$90,$G1144,月間集計シート!T$71:T$90)*AD$2</f>
        <v>0</v>
      </c>
      <c r="AE1144" s="88">
        <f>SUMIF(月間集計シート!$M$92:$M$111,$G1144,月間集計シート!N$92:N$111)*AE$2</f>
        <v>0</v>
      </c>
      <c r="AF1144" s="88">
        <f>SUMIF(月間集計シート!$M$92:$M$111,$G1144,月間集計シート!O$92:O$111)*AF$2</f>
        <v>0</v>
      </c>
      <c r="AG1144" s="88">
        <f>SUMIF(月間集計シート!$M$92:$M$111,$G1144,月間集計シート!P$92:P$111)*AG$2</f>
        <v>0</v>
      </c>
      <c r="AH1144" s="88">
        <f>SUMIF(月間集計シート!$M$92:$M$111,$G1144,月間集計シート!Q$92:Q$111)*AH$2</f>
        <v>0</v>
      </c>
      <c r="AI1144" s="88">
        <f>SUMIF(月間集計シート!$M$92:$M$111,$G1144,月間集計シート!R$92:R$111)*AI$2</f>
        <v>0</v>
      </c>
      <c r="AJ1144" s="88">
        <f>SUMIF(月間集計シート!$M$92:$M$111,$G1144,月間集計シート!S$92:S$111)*AJ$2</f>
        <v>0</v>
      </c>
      <c r="AK1144" s="88">
        <f>SUMIF(月間集計シート!$M$92:$M$111,$G1144,月間集計シート!T$92:T$111)*AK$2</f>
        <v>0</v>
      </c>
      <c r="AL1144" s="88">
        <f>SUMIF(月間集計シート!$M$113:$M$132,$G1144,月間集計シート!N$113:N$132)*AL$2</f>
        <v>0</v>
      </c>
      <c r="AM1144" s="88">
        <f>SUMIF(月間集計シート!$M$113:$M$132,$G1144,月間集計シート!O$113:O$132)*AM$2</f>
        <v>0</v>
      </c>
      <c r="AN1144" s="88">
        <f>SUMIF(月間集計シート!$M$113:$M$132,$G1144,月間集計シート!P$113:P$132)*AN$2</f>
        <v>0</v>
      </c>
      <c r="AO1144" s="88">
        <f>SUMIF(月間集計シート!$M$113:$M$132,$G1144,月間集計シート!Q$113:Q$132)*AO$2</f>
        <v>0</v>
      </c>
      <c r="AP1144" s="88">
        <f>SUMIF(月間集計シート!$M$113:$M$132,$G1144,月間集計シート!R$113:R$132)*AP$2</f>
        <v>0</v>
      </c>
      <c r="AQ1144" s="88">
        <f>SUMIF(月間集計シート!$M$113:$M$132,$G1144,月間集計シート!S$113:S$132)*AQ$2</f>
        <v>0</v>
      </c>
      <c r="AR1144" s="88">
        <f>SUMIF(月間集計シート!$M$113:$M$132,$G1144,月間集計シート!T$113:T$132)*AR$2</f>
        <v>0</v>
      </c>
      <c r="AS1144" s="88">
        <f>SUMIF(月間集計シート!$M$134:$M$153,$G1144,月間集計シート!N$134:N$153)*AS$2</f>
        <v>0</v>
      </c>
      <c r="AT1144" s="88">
        <f>SUMIF(月間集計シート!$M$134:$M$153,$G1144,月間集計シート!O$134:O$153)*AT$2</f>
        <v>0</v>
      </c>
      <c r="AU1144" s="88">
        <f>SUMIF(月間集計シート!$M$134:$M$153,$G1144,月間集計シート!P$134:P$153)*AU$2</f>
        <v>0</v>
      </c>
      <c r="AV1144" s="88">
        <f>SUMIF(月間集計シート!$M$134:$M$153,$G1144,月間集計シート!Q$134:Q$153)*AV$2</f>
        <v>0</v>
      </c>
      <c r="AW1144" s="88">
        <f>SUMIF(月間集計シート!$M$134:$M$153,$G1144,月間集計シート!R$134:R$153)*AW$2</f>
        <v>0</v>
      </c>
      <c r="AX1144" s="88">
        <f>SUMIF(月間集計シート!$M$134:$M$153,$G1144,月間集計シート!S$134:S$153)*AX$2</f>
        <v>0</v>
      </c>
      <c r="AY1144" s="88">
        <f>SUMIF(月間集計シート!$M$134:$M$153,$G1144,月間集計シート!T$134:T$153)*AY$2</f>
        <v>0</v>
      </c>
    </row>
    <row r="1145" spans="1:51" ht="14.25" thickBot="1">
      <c r="A1145">
        <v>14</v>
      </c>
      <c r="B1145" s="120">
        <f t="shared" si="623"/>
        <v>0</v>
      </c>
      <c r="C1145" s="120" t="str">
        <f t="shared" si="624"/>
        <v/>
      </c>
      <c r="D1145" s="137"/>
      <c r="E1145" s="150" t="str">
        <f>工種!A32</f>
        <v>40110</v>
      </c>
      <c r="F1145" s="119" t="str">
        <f>工種!B32</f>
        <v>テスト：レビュー</v>
      </c>
      <c r="G1145" s="116" t="str">
        <f t="shared" si="625"/>
        <v>040110</v>
      </c>
      <c r="H1145" s="88">
        <f t="shared" si="579"/>
        <v>0</v>
      </c>
      <c r="I1145" s="132"/>
      <c r="J1145" s="88">
        <f>SUMIF(月間集計シート!$M$29:$M$48,$G1145,月間集計シート!N$29:N$48)*J$2</f>
        <v>0</v>
      </c>
      <c r="K1145" s="88">
        <f>SUMIF(月間集計シート!$M$29:$M$48,$G1145,月間集計シート!O$29:O$48)*K$2</f>
        <v>0</v>
      </c>
      <c r="L1145" s="88">
        <f>SUMIF(月間集計シート!$M$29:$M$48,$G1145,月間集計シート!P$29:P$48)*L$2</f>
        <v>0</v>
      </c>
      <c r="M1145" s="88">
        <f>SUMIF(月間集計シート!$M$29:$M$48,$G1145,月間集計シート!Q$29:Q$48)*M$2</f>
        <v>0</v>
      </c>
      <c r="N1145" s="88">
        <f>SUMIF(月間集計シート!$M$29:$M$48,$G1145,月間集計シート!R$29:R$48)*N$2</f>
        <v>0</v>
      </c>
      <c r="O1145" s="88">
        <f>SUMIF(月間集計シート!$M$29:$M$48,$G1145,月間集計シート!S$29:S$48)*O$2</f>
        <v>0</v>
      </c>
      <c r="P1145" s="88">
        <f>SUMIF(月間集計シート!$M$29:$M$48,$G1145,月間集計シート!T$29:T$48)*P$2</f>
        <v>0</v>
      </c>
      <c r="Q1145" s="88">
        <f>SUMIF(月間集計シート!$M$50:$M$69,$G1145,月間集計シート!N$50:N$69)*Q$2</f>
        <v>0</v>
      </c>
      <c r="R1145" s="88">
        <f>SUMIF(月間集計シート!$M$50:$M$69,$G1145,月間集計シート!O$50:O$69)*R$2</f>
        <v>0</v>
      </c>
      <c r="S1145" s="88">
        <f>SUMIF(月間集計シート!$M$50:$M$69,$G1145,月間集計シート!P$50:P$69)*S$2</f>
        <v>0</v>
      </c>
      <c r="T1145" s="88">
        <f>SUMIF(月間集計シート!$M$50:$M$69,$G1145,月間集計シート!Q$50:Q$69)*T$2</f>
        <v>0</v>
      </c>
      <c r="U1145" s="88">
        <f>SUMIF(月間集計シート!$M$50:$M$69,$G1145,月間集計シート!R$50:R$69)*U$2</f>
        <v>0</v>
      </c>
      <c r="V1145" s="88">
        <f>SUMIF(月間集計シート!$M$50:$M$69,$G1145,月間集計シート!S$50:S$69)*V$2</f>
        <v>0</v>
      </c>
      <c r="W1145" s="88">
        <f>SUMIF(月間集計シート!$M$50:$M$69,$G1145,月間集計シート!T$50:T$69)*W$2</f>
        <v>0</v>
      </c>
      <c r="X1145" s="88">
        <f>SUMIF(月間集計シート!$M$71:$M$90,$G1145,月間集計シート!N$71:N$90)*X$2</f>
        <v>0</v>
      </c>
      <c r="Y1145" s="88">
        <f>SUMIF(月間集計シート!$M$71:$M$90,$G1145,月間集計シート!O$71:O$90)*Y$2</f>
        <v>0</v>
      </c>
      <c r="Z1145" s="88">
        <f>SUMIF(月間集計シート!$M$71:$M$90,$G1145,月間集計シート!P$71:P$90)*Z$2</f>
        <v>0</v>
      </c>
      <c r="AA1145" s="88">
        <f>SUMIF(月間集計シート!$M$71:$M$90,$G1145,月間集計シート!Q$71:Q$90)*AA$2</f>
        <v>0</v>
      </c>
      <c r="AB1145" s="88">
        <f>SUMIF(月間集計シート!$M$71:$M$90,$G1145,月間集計シート!R$71:R$90)*AB$2</f>
        <v>0</v>
      </c>
      <c r="AC1145" s="88">
        <f>SUMIF(月間集計シート!$M$71:$M$90,$G1145,月間集計シート!S$71:S$90)*AC$2</f>
        <v>0</v>
      </c>
      <c r="AD1145" s="88">
        <f>SUMIF(月間集計シート!$M$71:$M$90,$G1145,月間集計シート!T$71:T$90)*AD$2</f>
        <v>0</v>
      </c>
      <c r="AE1145" s="88">
        <f>SUMIF(月間集計シート!$M$92:$M$111,$G1145,月間集計シート!N$92:N$111)*AE$2</f>
        <v>0</v>
      </c>
      <c r="AF1145" s="88">
        <f>SUMIF(月間集計シート!$M$92:$M$111,$G1145,月間集計シート!O$92:O$111)*AF$2</f>
        <v>0</v>
      </c>
      <c r="AG1145" s="88">
        <f>SUMIF(月間集計シート!$M$92:$M$111,$G1145,月間集計シート!P$92:P$111)*AG$2</f>
        <v>0</v>
      </c>
      <c r="AH1145" s="88">
        <f>SUMIF(月間集計シート!$M$92:$M$111,$G1145,月間集計シート!Q$92:Q$111)*AH$2</f>
        <v>0</v>
      </c>
      <c r="AI1145" s="88">
        <f>SUMIF(月間集計シート!$M$92:$M$111,$G1145,月間集計シート!R$92:R$111)*AI$2</f>
        <v>0</v>
      </c>
      <c r="AJ1145" s="88">
        <f>SUMIF(月間集計シート!$M$92:$M$111,$G1145,月間集計シート!S$92:S$111)*AJ$2</f>
        <v>0</v>
      </c>
      <c r="AK1145" s="88">
        <f>SUMIF(月間集計シート!$M$92:$M$111,$G1145,月間集計シート!T$92:T$111)*AK$2</f>
        <v>0</v>
      </c>
      <c r="AL1145" s="88">
        <f>SUMIF(月間集計シート!$M$113:$M$132,$G1145,月間集計シート!N$113:N$132)*AL$2</f>
        <v>0</v>
      </c>
      <c r="AM1145" s="88">
        <f>SUMIF(月間集計シート!$M$113:$M$132,$G1145,月間集計シート!O$113:O$132)*AM$2</f>
        <v>0</v>
      </c>
      <c r="AN1145" s="88">
        <f>SUMIF(月間集計シート!$M$113:$M$132,$G1145,月間集計シート!P$113:P$132)*AN$2</f>
        <v>0</v>
      </c>
      <c r="AO1145" s="88">
        <f>SUMIF(月間集計シート!$M$113:$M$132,$G1145,月間集計シート!Q$113:Q$132)*AO$2</f>
        <v>0</v>
      </c>
      <c r="AP1145" s="88">
        <f>SUMIF(月間集計シート!$M$113:$M$132,$G1145,月間集計シート!R$113:R$132)*AP$2</f>
        <v>0</v>
      </c>
      <c r="AQ1145" s="88">
        <f>SUMIF(月間集計シート!$M$113:$M$132,$G1145,月間集計シート!S$113:S$132)*AQ$2</f>
        <v>0</v>
      </c>
      <c r="AR1145" s="88">
        <f>SUMIF(月間集計シート!$M$113:$M$132,$G1145,月間集計シート!T$113:T$132)*AR$2</f>
        <v>0</v>
      </c>
      <c r="AS1145" s="88">
        <f>SUMIF(月間集計シート!$M$134:$M$153,$G1145,月間集計シート!N$134:N$153)*AS$2</f>
        <v>0</v>
      </c>
      <c r="AT1145" s="88">
        <f>SUMIF(月間集計シート!$M$134:$M$153,$G1145,月間集計シート!O$134:O$153)*AT$2</f>
        <v>0</v>
      </c>
      <c r="AU1145" s="88">
        <f>SUMIF(月間集計シート!$M$134:$M$153,$G1145,月間集計シート!P$134:P$153)*AU$2</f>
        <v>0</v>
      </c>
      <c r="AV1145" s="88">
        <f>SUMIF(月間集計シート!$M$134:$M$153,$G1145,月間集計シート!Q$134:Q$153)*AV$2</f>
        <v>0</v>
      </c>
      <c r="AW1145" s="88">
        <f>SUMIF(月間集計シート!$M$134:$M$153,$G1145,月間集計シート!R$134:R$153)*AW$2</f>
        <v>0</v>
      </c>
      <c r="AX1145" s="88">
        <f>SUMIF(月間集計シート!$M$134:$M$153,$G1145,月間集計シート!S$134:S$153)*AX$2</f>
        <v>0</v>
      </c>
      <c r="AY1145" s="88">
        <f>SUMIF(月間集計シート!$M$134:$M$153,$G1145,月間集計シート!T$134:T$153)*AY$2</f>
        <v>0</v>
      </c>
    </row>
    <row r="1146" spans="1:51" ht="14.25" thickBot="1">
      <c r="A1146">
        <v>14</v>
      </c>
      <c r="B1146" s="120">
        <f t="shared" si="623"/>
        <v>0</v>
      </c>
      <c r="C1146" s="120" t="str">
        <f t="shared" si="624"/>
        <v/>
      </c>
      <c r="D1146" s="137"/>
      <c r="E1146" s="150" t="str">
        <f>工種!A33</f>
        <v>40111</v>
      </c>
      <c r="F1146" s="119" t="str">
        <f>工種!B33</f>
        <v>テスト：PG修正（手戻り分）</v>
      </c>
      <c r="G1146" s="116" t="str">
        <f t="shared" si="625"/>
        <v>040111</v>
      </c>
      <c r="H1146" s="88">
        <f t="shared" si="579"/>
        <v>0</v>
      </c>
      <c r="I1146" s="132"/>
      <c r="J1146" s="88">
        <f>SUMIF(月間集計シート!$M$29:$M$48,$G1146,月間集計シート!N$29:N$48)*J$2</f>
        <v>0</v>
      </c>
      <c r="K1146" s="88">
        <f>SUMIF(月間集計シート!$M$29:$M$48,$G1146,月間集計シート!O$29:O$48)*K$2</f>
        <v>0</v>
      </c>
      <c r="L1146" s="88">
        <f>SUMIF(月間集計シート!$M$29:$M$48,$G1146,月間集計シート!P$29:P$48)*L$2</f>
        <v>0</v>
      </c>
      <c r="M1146" s="88">
        <f>SUMIF(月間集計シート!$M$29:$M$48,$G1146,月間集計シート!Q$29:Q$48)*M$2</f>
        <v>0</v>
      </c>
      <c r="N1146" s="88">
        <f>SUMIF(月間集計シート!$M$29:$M$48,$G1146,月間集計シート!R$29:R$48)*N$2</f>
        <v>0</v>
      </c>
      <c r="O1146" s="88">
        <f>SUMIF(月間集計シート!$M$29:$M$48,$G1146,月間集計シート!S$29:S$48)*O$2</f>
        <v>0</v>
      </c>
      <c r="P1146" s="88">
        <f>SUMIF(月間集計シート!$M$29:$M$48,$G1146,月間集計シート!T$29:T$48)*P$2</f>
        <v>0</v>
      </c>
      <c r="Q1146" s="88">
        <f>SUMIF(月間集計シート!$M$50:$M$69,$G1146,月間集計シート!N$50:N$69)*Q$2</f>
        <v>0</v>
      </c>
      <c r="R1146" s="88">
        <f>SUMIF(月間集計シート!$M$50:$M$69,$G1146,月間集計シート!O$50:O$69)*R$2</f>
        <v>0</v>
      </c>
      <c r="S1146" s="88">
        <f>SUMIF(月間集計シート!$M$50:$M$69,$G1146,月間集計シート!P$50:P$69)*S$2</f>
        <v>0</v>
      </c>
      <c r="T1146" s="88">
        <f>SUMIF(月間集計シート!$M$50:$M$69,$G1146,月間集計シート!Q$50:Q$69)*T$2</f>
        <v>0</v>
      </c>
      <c r="U1146" s="88">
        <f>SUMIF(月間集計シート!$M$50:$M$69,$G1146,月間集計シート!R$50:R$69)*U$2</f>
        <v>0</v>
      </c>
      <c r="V1146" s="88">
        <f>SUMIF(月間集計シート!$M$50:$M$69,$G1146,月間集計シート!S$50:S$69)*V$2</f>
        <v>0</v>
      </c>
      <c r="W1146" s="88">
        <f>SUMIF(月間集計シート!$M$50:$M$69,$G1146,月間集計シート!T$50:T$69)*W$2</f>
        <v>0</v>
      </c>
      <c r="X1146" s="88">
        <f>SUMIF(月間集計シート!$M$71:$M$90,$G1146,月間集計シート!N$71:N$90)*X$2</f>
        <v>0</v>
      </c>
      <c r="Y1146" s="88">
        <f>SUMIF(月間集計シート!$M$71:$M$90,$G1146,月間集計シート!O$71:O$90)*Y$2</f>
        <v>0</v>
      </c>
      <c r="Z1146" s="88">
        <f>SUMIF(月間集計シート!$M$71:$M$90,$G1146,月間集計シート!P$71:P$90)*Z$2</f>
        <v>0</v>
      </c>
      <c r="AA1146" s="88">
        <f>SUMIF(月間集計シート!$M$71:$M$90,$G1146,月間集計シート!Q$71:Q$90)*AA$2</f>
        <v>0</v>
      </c>
      <c r="AB1146" s="88">
        <f>SUMIF(月間集計シート!$M$71:$M$90,$G1146,月間集計シート!R$71:R$90)*AB$2</f>
        <v>0</v>
      </c>
      <c r="AC1146" s="88">
        <f>SUMIF(月間集計シート!$M$71:$M$90,$G1146,月間集計シート!S$71:S$90)*AC$2</f>
        <v>0</v>
      </c>
      <c r="AD1146" s="88">
        <f>SUMIF(月間集計シート!$M$71:$M$90,$G1146,月間集計シート!T$71:T$90)*AD$2</f>
        <v>0</v>
      </c>
      <c r="AE1146" s="88">
        <f>SUMIF(月間集計シート!$M$92:$M$111,$G1146,月間集計シート!N$92:N$111)*AE$2</f>
        <v>0</v>
      </c>
      <c r="AF1146" s="88">
        <f>SUMIF(月間集計シート!$M$92:$M$111,$G1146,月間集計シート!O$92:O$111)*AF$2</f>
        <v>0</v>
      </c>
      <c r="AG1146" s="88">
        <f>SUMIF(月間集計シート!$M$92:$M$111,$G1146,月間集計シート!P$92:P$111)*AG$2</f>
        <v>0</v>
      </c>
      <c r="AH1146" s="88">
        <f>SUMIF(月間集計シート!$M$92:$M$111,$G1146,月間集計シート!Q$92:Q$111)*AH$2</f>
        <v>0</v>
      </c>
      <c r="AI1146" s="88">
        <f>SUMIF(月間集計シート!$M$92:$M$111,$G1146,月間集計シート!R$92:R$111)*AI$2</f>
        <v>0</v>
      </c>
      <c r="AJ1146" s="88">
        <f>SUMIF(月間集計シート!$M$92:$M$111,$G1146,月間集計シート!S$92:S$111)*AJ$2</f>
        <v>0</v>
      </c>
      <c r="AK1146" s="88">
        <f>SUMIF(月間集計シート!$M$92:$M$111,$G1146,月間集計シート!T$92:T$111)*AK$2</f>
        <v>0</v>
      </c>
      <c r="AL1146" s="88">
        <f>SUMIF(月間集計シート!$M$113:$M$132,$G1146,月間集計シート!N$113:N$132)*AL$2</f>
        <v>0</v>
      </c>
      <c r="AM1146" s="88">
        <f>SUMIF(月間集計シート!$M$113:$M$132,$G1146,月間集計シート!O$113:O$132)*AM$2</f>
        <v>0</v>
      </c>
      <c r="AN1146" s="88">
        <f>SUMIF(月間集計シート!$M$113:$M$132,$G1146,月間集計シート!P$113:P$132)*AN$2</f>
        <v>0</v>
      </c>
      <c r="AO1146" s="88">
        <f>SUMIF(月間集計シート!$M$113:$M$132,$G1146,月間集計シート!Q$113:Q$132)*AO$2</f>
        <v>0</v>
      </c>
      <c r="AP1146" s="88">
        <f>SUMIF(月間集計シート!$M$113:$M$132,$G1146,月間集計シート!R$113:R$132)*AP$2</f>
        <v>0</v>
      </c>
      <c r="AQ1146" s="88">
        <f>SUMIF(月間集計シート!$M$113:$M$132,$G1146,月間集計シート!S$113:S$132)*AQ$2</f>
        <v>0</v>
      </c>
      <c r="AR1146" s="88">
        <f>SUMIF(月間集計シート!$M$113:$M$132,$G1146,月間集計シート!T$113:T$132)*AR$2</f>
        <v>0</v>
      </c>
      <c r="AS1146" s="88">
        <f>SUMIF(月間集計シート!$M$134:$M$153,$G1146,月間集計シート!N$134:N$153)*AS$2</f>
        <v>0</v>
      </c>
      <c r="AT1146" s="88">
        <f>SUMIF(月間集計シート!$M$134:$M$153,$G1146,月間集計シート!O$134:O$153)*AT$2</f>
        <v>0</v>
      </c>
      <c r="AU1146" s="88">
        <f>SUMIF(月間集計シート!$M$134:$M$153,$G1146,月間集計シート!P$134:P$153)*AU$2</f>
        <v>0</v>
      </c>
      <c r="AV1146" s="88">
        <f>SUMIF(月間集計シート!$M$134:$M$153,$G1146,月間集計シート!Q$134:Q$153)*AV$2</f>
        <v>0</v>
      </c>
      <c r="AW1146" s="88">
        <f>SUMIF(月間集計シート!$M$134:$M$153,$G1146,月間集計シート!R$134:R$153)*AW$2</f>
        <v>0</v>
      </c>
      <c r="AX1146" s="88">
        <f>SUMIF(月間集計シート!$M$134:$M$153,$G1146,月間集計シート!S$134:S$153)*AX$2</f>
        <v>0</v>
      </c>
      <c r="AY1146" s="88">
        <f>SUMIF(月間集計シート!$M$134:$M$153,$G1146,月間集計シート!T$134:T$153)*AY$2</f>
        <v>0</v>
      </c>
    </row>
    <row r="1147" spans="1:51" ht="14.25" thickBot="1">
      <c r="A1147">
        <v>14</v>
      </c>
      <c r="B1147" s="120">
        <f t="shared" si="623"/>
        <v>0</v>
      </c>
      <c r="C1147" s="120" t="str">
        <f t="shared" si="624"/>
        <v/>
      </c>
      <c r="D1147" s="137"/>
      <c r="E1147" s="150" t="str">
        <f>工種!A34</f>
        <v>40112</v>
      </c>
      <c r="F1147" s="119" t="str">
        <f>工種!B34</f>
        <v>テスト：再テスト（手戻り分）</v>
      </c>
      <c r="G1147" s="116" t="str">
        <f t="shared" si="625"/>
        <v>040112</v>
      </c>
      <c r="H1147" s="88">
        <f t="shared" si="579"/>
        <v>0</v>
      </c>
      <c r="I1147" s="132"/>
      <c r="J1147" s="88">
        <f>SUMIF(月間集計シート!$M$29:$M$48,$G1147,月間集計シート!N$29:N$48)*J$2</f>
        <v>0</v>
      </c>
      <c r="K1147" s="88">
        <f>SUMIF(月間集計シート!$M$29:$M$48,$G1147,月間集計シート!O$29:O$48)*K$2</f>
        <v>0</v>
      </c>
      <c r="L1147" s="88">
        <f>SUMIF(月間集計シート!$M$29:$M$48,$G1147,月間集計シート!P$29:P$48)*L$2</f>
        <v>0</v>
      </c>
      <c r="M1147" s="88">
        <f>SUMIF(月間集計シート!$M$29:$M$48,$G1147,月間集計シート!Q$29:Q$48)*M$2</f>
        <v>0</v>
      </c>
      <c r="N1147" s="88">
        <f>SUMIF(月間集計シート!$M$29:$M$48,$G1147,月間集計シート!R$29:R$48)*N$2</f>
        <v>0</v>
      </c>
      <c r="O1147" s="88">
        <f>SUMIF(月間集計シート!$M$29:$M$48,$G1147,月間集計シート!S$29:S$48)*O$2</f>
        <v>0</v>
      </c>
      <c r="P1147" s="88">
        <f>SUMIF(月間集計シート!$M$29:$M$48,$G1147,月間集計シート!T$29:T$48)*P$2</f>
        <v>0</v>
      </c>
      <c r="Q1147" s="88">
        <f>SUMIF(月間集計シート!$M$50:$M$69,$G1147,月間集計シート!N$50:N$69)*Q$2</f>
        <v>0</v>
      </c>
      <c r="R1147" s="88">
        <f>SUMIF(月間集計シート!$M$50:$M$69,$G1147,月間集計シート!O$50:O$69)*R$2</f>
        <v>0</v>
      </c>
      <c r="S1147" s="88">
        <f>SUMIF(月間集計シート!$M$50:$M$69,$G1147,月間集計シート!P$50:P$69)*S$2</f>
        <v>0</v>
      </c>
      <c r="T1147" s="88">
        <f>SUMIF(月間集計シート!$M$50:$M$69,$G1147,月間集計シート!Q$50:Q$69)*T$2</f>
        <v>0</v>
      </c>
      <c r="U1147" s="88">
        <f>SUMIF(月間集計シート!$M$50:$M$69,$G1147,月間集計シート!R$50:R$69)*U$2</f>
        <v>0</v>
      </c>
      <c r="V1147" s="88">
        <f>SUMIF(月間集計シート!$M$50:$M$69,$G1147,月間集計シート!S$50:S$69)*V$2</f>
        <v>0</v>
      </c>
      <c r="W1147" s="88">
        <f>SUMIF(月間集計シート!$M$50:$M$69,$G1147,月間集計シート!T$50:T$69)*W$2</f>
        <v>0</v>
      </c>
      <c r="X1147" s="88">
        <f>SUMIF(月間集計シート!$M$71:$M$90,$G1147,月間集計シート!N$71:N$90)*X$2</f>
        <v>0</v>
      </c>
      <c r="Y1147" s="88">
        <f>SUMIF(月間集計シート!$M$71:$M$90,$G1147,月間集計シート!O$71:O$90)*Y$2</f>
        <v>0</v>
      </c>
      <c r="Z1147" s="88">
        <f>SUMIF(月間集計シート!$M$71:$M$90,$G1147,月間集計シート!P$71:P$90)*Z$2</f>
        <v>0</v>
      </c>
      <c r="AA1147" s="88">
        <f>SUMIF(月間集計シート!$M$71:$M$90,$G1147,月間集計シート!Q$71:Q$90)*AA$2</f>
        <v>0</v>
      </c>
      <c r="AB1147" s="88">
        <f>SUMIF(月間集計シート!$M$71:$M$90,$G1147,月間集計シート!R$71:R$90)*AB$2</f>
        <v>0</v>
      </c>
      <c r="AC1147" s="88">
        <f>SUMIF(月間集計シート!$M$71:$M$90,$G1147,月間集計シート!S$71:S$90)*AC$2</f>
        <v>0</v>
      </c>
      <c r="AD1147" s="88">
        <f>SUMIF(月間集計シート!$M$71:$M$90,$G1147,月間集計シート!T$71:T$90)*AD$2</f>
        <v>0</v>
      </c>
      <c r="AE1147" s="88">
        <f>SUMIF(月間集計シート!$M$92:$M$111,$G1147,月間集計シート!N$92:N$111)*AE$2</f>
        <v>0</v>
      </c>
      <c r="AF1147" s="88">
        <f>SUMIF(月間集計シート!$M$92:$M$111,$G1147,月間集計シート!O$92:O$111)*AF$2</f>
        <v>0</v>
      </c>
      <c r="AG1147" s="88">
        <f>SUMIF(月間集計シート!$M$92:$M$111,$G1147,月間集計シート!P$92:P$111)*AG$2</f>
        <v>0</v>
      </c>
      <c r="AH1147" s="88">
        <f>SUMIF(月間集計シート!$M$92:$M$111,$G1147,月間集計シート!Q$92:Q$111)*AH$2</f>
        <v>0</v>
      </c>
      <c r="AI1147" s="88">
        <f>SUMIF(月間集計シート!$M$92:$M$111,$G1147,月間集計シート!R$92:R$111)*AI$2</f>
        <v>0</v>
      </c>
      <c r="AJ1147" s="88">
        <f>SUMIF(月間集計シート!$M$92:$M$111,$G1147,月間集計シート!S$92:S$111)*AJ$2</f>
        <v>0</v>
      </c>
      <c r="AK1147" s="88">
        <f>SUMIF(月間集計シート!$M$92:$M$111,$G1147,月間集計シート!T$92:T$111)*AK$2</f>
        <v>0</v>
      </c>
      <c r="AL1147" s="88">
        <f>SUMIF(月間集計シート!$M$113:$M$132,$G1147,月間集計シート!N$113:N$132)*AL$2</f>
        <v>0</v>
      </c>
      <c r="AM1147" s="88">
        <f>SUMIF(月間集計シート!$M$113:$M$132,$G1147,月間集計シート!O$113:O$132)*AM$2</f>
        <v>0</v>
      </c>
      <c r="AN1147" s="88">
        <f>SUMIF(月間集計シート!$M$113:$M$132,$G1147,月間集計シート!P$113:P$132)*AN$2</f>
        <v>0</v>
      </c>
      <c r="AO1147" s="88">
        <f>SUMIF(月間集計シート!$M$113:$M$132,$G1147,月間集計シート!Q$113:Q$132)*AO$2</f>
        <v>0</v>
      </c>
      <c r="AP1147" s="88">
        <f>SUMIF(月間集計シート!$M$113:$M$132,$G1147,月間集計シート!R$113:R$132)*AP$2</f>
        <v>0</v>
      </c>
      <c r="AQ1147" s="88">
        <f>SUMIF(月間集計シート!$M$113:$M$132,$G1147,月間集計シート!S$113:S$132)*AQ$2</f>
        <v>0</v>
      </c>
      <c r="AR1147" s="88">
        <f>SUMIF(月間集計シート!$M$113:$M$132,$G1147,月間集計シート!T$113:T$132)*AR$2</f>
        <v>0</v>
      </c>
      <c r="AS1147" s="88">
        <f>SUMIF(月間集計シート!$M$134:$M$153,$G1147,月間集計シート!N$134:N$153)*AS$2</f>
        <v>0</v>
      </c>
      <c r="AT1147" s="88">
        <f>SUMIF(月間集計シート!$M$134:$M$153,$G1147,月間集計シート!O$134:O$153)*AT$2</f>
        <v>0</v>
      </c>
      <c r="AU1147" s="88">
        <f>SUMIF(月間集計シート!$M$134:$M$153,$G1147,月間集計シート!P$134:P$153)*AU$2</f>
        <v>0</v>
      </c>
      <c r="AV1147" s="88">
        <f>SUMIF(月間集計シート!$M$134:$M$153,$G1147,月間集計シート!Q$134:Q$153)*AV$2</f>
        <v>0</v>
      </c>
      <c r="AW1147" s="88">
        <f>SUMIF(月間集計シート!$M$134:$M$153,$G1147,月間集計シート!R$134:R$153)*AW$2</f>
        <v>0</v>
      </c>
      <c r="AX1147" s="88">
        <f>SUMIF(月間集計シート!$M$134:$M$153,$G1147,月間集計シート!S$134:S$153)*AX$2</f>
        <v>0</v>
      </c>
      <c r="AY1147" s="88">
        <f>SUMIF(月間集計シート!$M$134:$M$153,$G1147,月間集計シート!T$134:T$153)*AY$2</f>
        <v>0</v>
      </c>
    </row>
    <row r="1148" spans="1:51" ht="14.25" thickBot="1">
      <c r="A1148">
        <v>14</v>
      </c>
      <c r="B1148" s="120">
        <f t="shared" si="623"/>
        <v>0</v>
      </c>
      <c r="C1148" s="120" t="str">
        <f t="shared" si="624"/>
        <v/>
      </c>
      <c r="D1148" s="137"/>
      <c r="E1148" s="150" t="str">
        <f>工種!A35</f>
        <v>40113</v>
      </c>
      <c r="F1148" s="119" t="str">
        <f>工種!B35</f>
        <v>テスト：QA対応</v>
      </c>
      <c r="G1148" s="116" t="str">
        <f t="shared" si="625"/>
        <v>040113</v>
      </c>
      <c r="H1148" s="88">
        <f t="shared" si="579"/>
        <v>0</v>
      </c>
      <c r="I1148" s="132"/>
      <c r="J1148" s="88">
        <f>SUMIF(月間集計シート!$M$29:$M$48,$G1148,月間集計シート!N$29:N$48)*J$2</f>
        <v>0</v>
      </c>
      <c r="K1148" s="88">
        <f>SUMIF(月間集計シート!$M$29:$M$48,$G1148,月間集計シート!O$29:O$48)*K$2</f>
        <v>0</v>
      </c>
      <c r="L1148" s="88">
        <f>SUMIF(月間集計シート!$M$29:$M$48,$G1148,月間集計シート!P$29:P$48)*L$2</f>
        <v>0</v>
      </c>
      <c r="M1148" s="88">
        <f>SUMIF(月間集計シート!$M$29:$M$48,$G1148,月間集計シート!Q$29:Q$48)*M$2</f>
        <v>0</v>
      </c>
      <c r="N1148" s="88">
        <f>SUMIF(月間集計シート!$M$29:$M$48,$G1148,月間集計シート!R$29:R$48)*N$2</f>
        <v>0</v>
      </c>
      <c r="O1148" s="88">
        <f>SUMIF(月間集計シート!$M$29:$M$48,$G1148,月間集計シート!S$29:S$48)*O$2</f>
        <v>0</v>
      </c>
      <c r="P1148" s="88">
        <f>SUMIF(月間集計シート!$M$29:$M$48,$G1148,月間集計シート!T$29:T$48)*P$2</f>
        <v>0</v>
      </c>
      <c r="Q1148" s="88">
        <f>SUMIF(月間集計シート!$M$50:$M$69,$G1148,月間集計シート!N$50:N$69)*Q$2</f>
        <v>0</v>
      </c>
      <c r="R1148" s="88">
        <f>SUMIF(月間集計シート!$M$50:$M$69,$G1148,月間集計シート!O$50:O$69)*R$2</f>
        <v>0</v>
      </c>
      <c r="S1148" s="88">
        <f>SUMIF(月間集計シート!$M$50:$M$69,$G1148,月間集計シート!P$50:P$69)*S$2</f>
        <v>0</v>
      </c>
      <c r="T1148" s="88">
        <f>SUMIF(月間集計シート!$M$50:$M$69,$G1148,月間集計シート!Q$50:Q$69)*T$2</f>
        <v>0</v>
      </c>
      <c r="U1148" s="88">
        <f>SUMIF(月間集計シート!$M$50:$M$69,$G1148,月間集計シート!R$50:R$69)*U$2</f>
        <v>0</v>
      </c>
      <c r="V1148" s="88">
        <f>SUMIF(月間集計シート!$M$50:$M$69,$G1148,月間集計シート!S$50:S$69)*V$2</f>
        <v>0</v>
      </c>
      <c r="W1148" s="88">
        <f>SUMIF(月間集計シート!$M$50:$M$69,$G1148,月間集計シート!T$50:T$69)*W$2</f>
        <v>0</v>
      </c>
      <c r="X1148" s="88">
        <f>SUMIF(月間集計シート!$M$71:$M$90,$G1148,月間集計シート!N$71:N$90)*X$2</f>
        <v>0</v>
      </c>
      <c r="Y1148" s="88">
        <f>SUMIF(月間集計シート!$M$71:$M$90,$G1148,月間集計シート!O$71:O$90)*Y$2</f>
        <v>0</v>
      </c>
      <c r="Z1148" s="88">
        <f>SUMIF(月間集計シート!$M$71:$M$90,$G1148,月間集計シート!P$71:P$90)*Z$2</f>
        <v>0</v>
      </c>
      <c r="AA1148" s="88">
        <f>SUMIF(月間集計シート!$M$71:$M$90,$G1148,月間集計シート!Q$71:Q$90)*AA$2</f>
        <v>0</v>
      </c>
      <c r="AB1148" s="88">
        <f>SUMIF(月間集計シート!$M$71:$M$90,$G1148,月間集計シート!R$71:R$90)*AB$2</f>
        <v>0</v>
      </c>
      <c r="AC1148" s="88">
        <f>SUMIF(月間集計シート!$M$71:$M$90,$G1148,月間集計シート!S$71:S$90)*AC$2</f>
        <v>0</v>
      </c>
      <c r="AD1148" s="88">
        <f>SUMIF(月間集計シート!$M$71:$M$90,$G1148,月間集計シート!T$71:T$90)*AD$2</f>
        <v>0</v>
      </c>
      <c r="AE1148" s="88">
        <f>SUMIF(月間集計シート!$M$92:$M$111,$G1148,月間集計シート!N$92:N$111)*AE$2</f>
        <v>0</v>
      </c>
      <c r="AF1148" s="88">
        <f>SUMIF(月間集計シート!$M$92:$M$111,$G1148,月間集計シート!O$92:O$111)*AF$2</f>
        <v>0</v>
      </c>
      <c r="AG1148" s="88">
        <f>SUMIF(月間集計シート!$M$92:$M$111,$G1148,月間集計シート!P$92:P$111)*AG$2</f>
        <v>0</v>
      </c>
      <c r="AH1148" s="88">
        <f>SUMIF(月間集計シート!$M$92:$M$111,$G1148,月間集計シート!Q$92:Q$111)*AH$2</f>
        <v>0</v>
      </c>
      <c r="AI1148" s="88">
        <f>SUMIF(月間集計シート!$M$92:$M$111,$G1148,月間集計シート!R$92:R$111)*AI$2</f>
        <v>0</v>
      </c>
      <c r="AJ1148" s="88">
        <f>SUMIF(月間集計シート!$M$92:$M$111,$G1148,月間集計シート!S$92:S$111)*AJ$2</f>
        <v>0</v>
      </c>
      <c r="AK1148" s="88">
        <f>SUMIF(月間集計シート!$M$92:$M$111,$G1148,月間集計シート!T$92:T$111)*AK$2</f>
        <v>0</v>
      </c>
      <c r="AL1148" s="88">
        <f>SUMIF(月間集計シート!$M$113:$M$132,$G1148,月間集計シート!N$113:N$132)*AL$2</f>
        <v>0</v>
      </c>
      <c r="AM1148" s="88">
        <f>SUMIF(月間集計シート!$M$113:$M$132,$G1148,月間集計シート!O$113:O$132)*AM$2</f>
        <v>0</v>
      </c>
      <c r="AN1148" s="88">
        <f>SUMIF(月間集計シート!$M$113:$M$132,$G1148,月間集計シート!P$113:P$132)*AN$2</f>
        <v>0</v>
      </c>
      <c r="AO1148" s="88">
        <f>SUMIF(月間集計シート!$M$113:$M$132,$G1148,月間集計シート!Q$113:Q$132)*AO$2</f>
        <v>0</v>
      </c>
      <c r="AP1148" s="88">
        <f>SUMIF(月間集計シート!$M$113:$M$132,$G1148,月間集計シート!R$113:R$132)*AP$2</f>
        <v>0</v>
      </c>
      <c r="AQ1148" s="88">
        <f>SUMIF(月間集計シート!$M$113:$M$132,$G1148,月間集計シート!S$113:S$132)*AQ$2</f>
        <v>0</v>
      </c>
      <c r="AR1148" s="88">
        <f>SUMIF(月間集計シート!$M$113:$M$132,$G1148,月間集計シート!T$113:T$132)*AR$2</f>
        <v>0</v>
      </c>
      <c r="AS1148" s="88">
        <f>SUMIF(月間集計シート!$M$134:$M$153,$G1148,月間集計シート!N$134:N$153)*AS$2</f>
        <v>0</v>
      </c>
      <c r="AT1148" s="88">
        <f>SUMIF(月間集計シート!$M$134:$M$153,$G1148,月間集計シート!O$134:O$153)*AT$2</f>
        <v>0</v>
      </c>
      <c r="AU1148" s="88">
        <f>SUMIF(月間集計シート!$M$134:$M$153,$G1148,月間集計シート!P$134:P$153)*AU$2</f>
        <v>0</v>
      </c>
      <c r="AV1148" s="88">
        <f>SUMIF(月間集計シート!$M$134:$M$153,$G1148,月間集計シート!Q$134:Q$153)*AV$2</f>
        <v>0</v>
      </c>
      <c r="AW1148" s="88">
        <f>SUMIF(月間集計シート!$M$134:$M$153,$G1148,月間集計シート!R$134:R$153)*AW$2</f>
        <v>0</v>
      </c>
      <c r="AX1148" s="88">
        <f>SUMIF(月間集計シート!$M$134:$M$153,$G1148,月間集計シート!S$134:S$153)*AX$2</f>
        <v>0</v>
      </c>
      <c r="AY1148" s="88">
        <f>SUMIF(月間集計シート!$M$134:$M$153,$G1148,月間集計シート!T$134:T$153)*AY$2</f>
        <v>0</v>
      </c>
    </row>
    <row r="1149" spans="1:51" ht="14.25" thickBot="1">
      <c r="A1149">
        <v>14</v>
      </c>
      <c r="B1149" s="120">
        <f t="shared" si="623"/>
        <v>0</v>
      </c>
      <c r="C1149" s="120" t="str">
        <f t="shared" si="624"/>
        <v/>
      </c>
      <c r="D1149" s="137"/>
      <c r="E1149" s="150" t="str">
        <f>工種!A36</f>
        <v>40189</v>
      </c>
      <c r="F1149" s="119" t="str">
        <f>工種!B36</f>
        <v>テスト：内部不具合分析</v>
      </c>
      <c r="G1149" s="116" t="str">
        <f t="shared" si="625"/>
        <v>040189</v>
      </c>
      <c r="H1149" s="88">
        <f t="shared" si="579"/>
        <v>0</v>
      </c>
      <c r="I1149" s="132"/>
      <c r="J1149" s="88">
        <f>SUMIF(月間集計シート!$M$29:$M$48,$G1149,月間集計シート!N$29:N$48)*J$2</f>
        <v>0</v>
      </c>
      <c r="K1149" s="88">
        <f>SUMIF(月間集計シート!$M$29:$M$48,$G1149,月間集計シート!O$29:O$48)*K$2</f>
        <v>0</v>
      </c>
      <c r="L1149" s="88">
        <f>SUMIF(月間集計シート!$M$29:$M$48,$G1149,月間集計シート!P$29:P$48)*L$2</f>
        <v>0</v>
      </c>
      <c r="M1149" s="88">
        <f>SUMIF(月間集計シート!$M$29:$M$48,$G1149,月間集計シート!Q$29:Q$48)*M$2</f>
        <v>0</v>
      </c>
      <c r="N1149" s="88">
        <f>SUMIF(月間集計シート!$M$29:$M$48,$G1149,月間集計シート!R$29:R$48)*N$2</f>
        <v>0</v>
      </c>
      <c r="O1149" s="88">
        <f>SUMIF(月間集計シート!$M$29:$M$48,$G1149,月間集計シート!S$29:S$48)*O$2</f>
        <v>0</v>
      </c>
      <c r="P1149" s="88">
        <f>SUMIF(月間集計シート!$M$29:$M$48,$G1149,月間集計シート!T$29:T$48)*P$2</f>
        <v>0</v>
      </c>
      <c r="Q1149" s="88">
        <f>SUMIF(月間集計シート!$M$50:$M$69,$G1149,月間集計シート!N$50:N$69)*Q$2</f>
        <v>0</v>
      </c>
      <c r="R1149" s="88">
        <f>SUMIF(月間集計シート!$M$50:$M$69,$G1149,月間集計シート!O$50:O$69)*R$2</f>
        <v>0</v>
      </c>
      <c r="S1149" s="88">
        <f>SUMIF(月間集計シート!$M$50:$M$69,$G1149,月間集計シート!P$50:P$69)*S$2</f>
        <v>0</v>
      </c>
      <c r="T1149" s="88">
        <f>SUMIF(月間集計シート!$M$50:$M$69,$G1149,月間集計シート!Q$50:Q$69)*T$2</f>
        <v>0</v>
      </c>
      <c r="U1149" s="88">
        <f>SUMIF(月間集計シート!$M$50:$M$69,$G1149,月間集計シート!R$50:R$69)*U$2</f>
        <v>0</v>
      </c>
      <c r="V1149" s="88">
        <f>SUMIF(月間集計シート!$M$50:$M$69,$G1149,月間集計シート!S$50:S$69)*V$2</f>
        <v>0</v>
      </c>
      <c r="W1149" s="88">
        <f>SUMIF(月間集計シート!$M$50:$M$69,$G1149,月間集計シート!T$50:T$69)*W$2</f>
        <v>0</v>
      </c>
      <c r="X1149" s="88">
        <f>SUMIF(月間集計シート!$M$71:$M$90,$G1149,月間集計シート!N$71:N$90)*X$2</f>
        <v>0</v>
      </c>
      <c r="Y1149" s="88">
        <f>SUMIF(月間集計シート!$M$71:$M$90,$G1149,月間集計シート!O$71:O$90)*Y$2</f>
        <v>0</v>
      </c>
      <c r="Z1149" s="88">
        <f>SUMIF(月間集計シート!$M$71:$M$90,$G1149,月間集計シート!P$71:P$90)*Z$2</f>
        <v>0</v>
      </c>
      <c r="AA1149" s="88">
        <f>SUMIF(月間集計シート!$M$71:$M$90,$G1149,月間集計シート!Q$71:Q$90)*AA$2</f>
        <v>0</v>
      </c>
      <c r="AB1149" s="88">
        <f>SUMIF(月間集計シート!$M$71:$M$90,$G1149,月間集計シート!R$71:R$90)*AB$2</f>
        <v>0</v>
      </c>
      <c r="AC1149" s="88">
        <f>SUMIF(月間集計シート!$M$71:$M$90,$G1149,月間集計シート!S$71:S$90)*AC$2</f>
        <v>0</v>
      </c>
      <c r="AD1149" s="88">
        <f>SUMIF(月間集計シート!$M$71:$M$90,$G1149,月間集計シート!T$71:T$90)*AD$2</f>
        <v>0</v>
      </c>
      <c r="AE1149" s="88">
        <f>SUMIF(月間集計シート!$M$92:$M$111,$G1149,月間集計シート!N$92:N$111)*AE$2</f>
        <v>0</v>
      </c>
      <c r="AF1149" s="88">
        <f>SUMIF(月間集計シート!$M$92:$M$111,$G1149,月間集計シート!O$92:O$111)*AF$2</f>
        <v>0</v>
      </c>
      <c r="AG1149" s="88">
        <f>SUMIF(月間集計シート!$M$92:$M$111,$G1149,月間集計シート!P$92:P$111)*AG$2</f>
        <v>0</v>
      </c>
      <c r="AH1149" s="88">
        <f>SUMIF(月間集計シート!$M$92:$M$111,$G1149,月間集計シート!Q$92:Q$111)*AH$2</f>
        <v>0</v>
      </c>
      <c r="AI1149" s="88">
        <f>SUMIF(月間集計シート!$M$92:$M$111,$G1149,月間集計シート!R$92:R$111)*AI$2</f>
        <v>0</v>
      </c>
      <c r="AJ1149" s="88">
        <f>SUMIF(月間集計シート!$M$92:$M$111,$G1149,月間集計シート!S$92:S$111)*AJ$2</f>
        <v>0</v>
      </c>
      <c r="AK1149" s="88">
        <f>SUMIF(月間集計シート!$M$92:$M$111,$G1149,月間集計シート!T$92:T$111)*AK$2</f>
        <v>0</v>
      </c>
      <c r="AL1149" s="88">
        <f>SUMIF(月間集計シート!$M$113:$M$132,$G1149,月間集計シート!N$113:N$132)*AL$2</f>
        <v>0</v>
      </c>
      <c r="AM1149" s="88">
        <f>SUMIF(月間集計シート!$M$113:$M$132,$G1149,月間集計シート!O$113:O$132)*AM$2</f>
        <v>0</v>
      </c>
      <c r="AN1149" s="88">
        <f>SUMIF(月間集計シート!$M$113:$M$132,$G1149,月間集計シート!P$113:P$132)*AN$2</f>
        <v>0</v>
      </c>
      <c r="AO1149" s="88">
        <f>SUMIF(月間集計シート!$M$113:$M$132,$G1149,月間集計シート!Q$113:Q$132)*AO$2</f>
        <v>0</v>
      </c>
      <c r="AP1149" s="88">
        <f>SUMIF(月間集計シート!$M$113:$M$132,$G1149,月間集計シート!R$113:R$132)*AP$2</f>
        <v>0</v>
      </c>
      <c r="AQ1149" s="88">
        <f>SUMIF(月間集計シート!$M$113:$M$132,$G1149,月間集計シート!S$113:S$132)*AQ$2</f>
        <v>0</v>
      </c>
      <c r="AR1149" s="88">
        <f>SUMIF(月間集計シート!$M$113:$M$132,$G1149,月間集計シート!T$113:T$132)*AR$2</f>
        <v>0</v>
      </c>
      <c r="AS1149" s="88">
        <f>SUMIF(月間集計シート!$M$134:$M$153,$G1149,月間集計シート!N$134:N$153)*AS$2</f>
        <v>0</v>
      </c>
      <c r="AT1149" s="88">
        <f>SUMIF(月間集計シート!$M$134:$M$153,$G1149,月間集計シート!O$134:O$153)*AT$2</f>
        <v>0</v>
      </c>
      <c r="AU1149" s="88">
        <f>SUMIF(月間集計シート!$M$134:$M$153,$G1149,月間集計シート!P$134:P$153)*AU$2</f>
        <v>0</v>
      </c>
      <c r="AV1149" s="88">
        <f>SUMIF(月間集計シート!$M$134:$M$153,$G1149,月間集計シート!Q$134:Q$153)*AV$2</f>
        <v>0</v>
      </c>
      <c r="AW1149" s="88">
        <f>SUMIF(月間集計シート!$M$134:$M$153,$G1149,月間集計シート!R$134:R$153)*AW$2</f>
        <v>0</v>
      </c>
      <c r="AX1149" s="88">
        <f>SUMIF(月間集計シート!$M$134:$M$153,$G1149,月間集計シート!S$134:S$153)*AX$2</f>
        <v>0</v>
      </c>
      <c r="AY1149" s="88">
        <f>SUMIF(月間集計シート!$M$134:$M$153,$G1149,月間集計シート!T$134:T$153)*AY$2</f>
        <v>0</v>
      </c>
    </row>
    <row r="1150" spans="1:51" ht="14.25" thickBot="1">
      <c r="A1150">
        <v>14</v>
      </c>
      <c r="B1150" s="120">
        <f t="shared" si="623"/>
        <v>0</v>
      </c>
      <c r="C1150" s="120" t="str">
        <f t="shared" si="624"/>
        <v/>
      </c>
      <c r="D1150" s="137"/>
      <c r="E1150" s="150" t="str">
        <f>工種!A37</f>
        <v>40199</v>
      </c>
      <c r="F1150" s="119" t="str">
        <f>工種!B37</f>
        <v>テスト：その他</v>
      </c>
      <c r="G1150" s="116" t="str">
        <f t="shared" si="625"/>
        <v>040199</v>
      </c>
      <c r="H1150" s="88">
        <f t="shared" si="579"/>
        <v>0</v>
      </c>
      <c r="I1150" s="132"/>
      <c r="J1150" s="88">
        <f>SUMIF(月間集計シート!$M$29:$M$48,$G1150,月間集計シート!N$29:N$48)*J$2</f>
        <v>0</v>
      </c>
      <c r="K1150" s="88">
        <f>SUMIF(月間集計シート!$M$29:$M$48,$G1150,月間集計シート!O$29:O$48)*K$2</f>
        <v>0</v>
      </c>
      <c r="L1150" s="88">
        <f>SUMIF(月間集計シート!$M$29:$M$48,$G1150,月間集計シート!P$29:P$48)*L$2</f>
        <v>0</v>
      </c>
      <c r="M1150" s="88">
        <f>SUMIF(月間集計シート!$M$29:$M$48,$G1150,月間集計シート!Q$29:Q$48)*M$2</f>
        <v>0</v>
      </c>
      <c r="N1150" s="88">
        <f>SUMIF(月間集計シート!$M$29:$M$48,$G1150,月間集計シート!R$29:R$48)*N$2</f>
        <v>0</v>
      </c>
      <c r="O1150" s="88">
        <f>SUMIF(月間集計シート!$M$29:$M$48,$G1150,月間集計シート!S$29:S$48)*O$2</f>
        <v>0</v>
      </c>
      <c r="P1150" s="88">
        <f>SUMIF(月間集計シート!$M$29:$M$48,$G1150,月間集計シート!T$29:T$48)*P$2</f>
        <v>0</v>
      </c>
      <c r="Q1150" s="88">
        <f>SUMIF(月間集計シート!$M$50:$M$69,$G1150,月間集計シート!N$50:N$69)*Q$2</f>
        <v>0</v>
      </c>
      <c r="R1150" s="88">
        <f>SUMIF(月間集計シート!$M$50:$M$69,$G1150,月間集計シート!O$50:O$69)*R$2</f>
        <v>0</v>
      </c>
      <c r="S1150" s="88">
        <f>SUMIF(月間集計シート!$M$50:$M$69,$G1150,月間集計シート!P$50:P$69)*S$2</f>
        <v>0</v>
      </c>
      <c r="T1150" s="88">
        <f>SUMIF(月間集計シート!$M$50:$M$69,$G1150,月間集計シート!Q$50:Q$69)*T$2</f>
        <v>0</v>
      </c>
      <c r="U1150" s="88">
        <f>SUMIF(月間集計シート!$M$50:$M$69,$G1150,月間集計シート!R$50:R$69)*U$2</f>
        <v>0</v>
      </c>
      <c r="V1150" s="88">
        <f>SUMIF(月間集計シート!$M$50:$M$69,$G1150,月間集計シート!S$50:S$69)*V$2</f>
        <v>0</v>
      </c>
      <c r="W1150" s="88">
        <f>SUMIF(月間集計シート!$M$50:$M$69,$G1150,月間集計シート!T$50:T$69)*W$2</f>
        <v>0</v>
      </c>
      <c r="X1150" s="88">
        <f>SUMIF(月間集計シート!$M$71:$M$90,$G1150,月間集計シート!N$71:N$90)*X$2</f>
        <v>0</v>
      </c>
      <c r="Y1150" s="88">
        <f>SUMIF(月間集計シート!$M$71:$M$90,$G1150,月間集計シート!O$71:O$90)*Y$2</f>
        <v>0</v>
      </c>
      <c r="Z1150" s="88">
        <f>SUMIF(月間集計シート!$M$71:$M$90,$G1150,月間集計シート!P$71:P$90)*Z$2</f>
        <v>0</v>
      </c>
      <c r="AA1150" s="88">
        <f>SUMIF(月間集計シート!$M$71:$M$90,$G1150,月間集計シート!Q$71:Q$90)*AA$2</f>
        <v>0</v>
      </c>
      <c r="AB1150" s="88">
        <f>SUMIF(月間集計シート!$M$71:$M$90,$G1150,月間集計シート!R$71:R$90)*AB$2</f>
        <v>0</v>
      </c>
      <c r="AC1150" s="88">
        <f>SUMIF(月間集計シート!$M$71:$M$90,$G1150,月間集計シート!S$71:S$90)*AC$2</f>
        <v>0</v>
      </c>
      <c r="AD1150" s="88">
        <f>SUMIF(月間集計シート!$M$71:$M$90,$G1150,月間集計シート!T$71:T$90)*AD$2</f>
        <v>0</v>
      </c>
      <c r="AE1150" s="88">
        <f>SUMIF(月間集計シート!$M$92:$M$111,$G1150,月間集計シート!N$92:N$111)*AE$2</f>
        <v>0</v>
      </c>
      <c r="AF1150" s="88">
        <f>SUMIF(月間集計シート!$M$92:$M$111,$G1150,月間集計シート!O$92:O$111)*AF$2</f>
        <v>0</v>
      </c>
      <c r="AG1150" s="88">
        <f>SUMIF(月間集計シート!$M$92:$M$111,$G1150,月間集計シート!P$92:P$111)*AG$2</f>
        <v>0</v>
      </c>
      <c r="AH1150" s="88">
        <f>SUMIF(月間集計シート!$M$92:$M$111,$G1150,月間集計シート!Q$92:Q$111)*AH$2</f>
        <v>0</v>
      </c>
      <c r="AI1150" s="88">
        <f>SUMIF(月間集計シート!$M$92:$M$111,$G1150,月間集計シート!R$92:R$111)*AI$2</f>
        <v>0</v>
      </c>
      <c r="AJ1150" s="88">
        <f>SUMIF(月間集計シート!$M$92:$M$111,$G1150,月間集計シート!S$92:S$111)*AJ$2</f>
        <v>0</v>
      </c>
      <c r="AK1150" s="88">
        <f>SUMIF(月間集計シート!$M$92:$M$111,$G1150,月間集計シート!T$92:T$111)*AK$2</f>
        <v>0</v>
      </c>
      <c r="AL1150" s="88">
        <f>SUMIF(月間集計シート!$M$113:$M$132,$G1150,月間集計シート!N$113:N$132)*AL$2</f>
        <v>0</v>
      </c>
      <c r="AM1150" s="88">
        <f>SUMIF(月間集計シート!$M$113:$M$132,$G1150,月間集計シート!O$113:O$132)*AM$2</f>
        <v>0</v>
      </c>
      <c r="AN1150" s="88">
        <f>SUMIF(月間集計シート!$M$113:$M$132,$G1150,月間集計シート!P$113:P$132)*AN$2</f>
        <v>0</v>
      </c>
      <c r="AO1150" s="88">
        <f>SUMIF(月間集計シート!$M$113:$M$132,$G1150,月間集計シート!Q$113:Q$132)*AO$2</f>
        <v>0</v>
      </c>
      <c r="AP1150" s="88">
        <f>SUMIF(月間集計シート!$M$113:$M$132,$G1150,月間集計シート!R$113:R$132)*AP$2</f>
        <v>0</v>
      </c>
      <c r="AQ1150" s="88">
        <f>SUMIF(月間集計シート!$M$113:$M$132,$G1150,月間集計シート!S$113:S$132)*AQ$2</f>
        <v>0</v>
      </c>
      <c r="AR1150" s="88">
        <f>SUMIF(月間集計シート!$M$113:$M$132,$G1150,月間集計シート!T$113:T$132)*AR$2</f>
        <v>0</v>
      </c>
      <c r="AS1150" s="88">
        <f>SUMIF(月間集計シート!$M$134:$M$153,$G1150,月間集計シート!N$134:N$153)*AS$2</f>
        <v>0</v>
      </c>
      <c r="AT1150" s="88">
        <f>SUMIF(月間集計シート!$M$134:$M$153,$G1150,月間集計シート!O$134:O$153)*AT$2</f>
        <v>0</v>
      </c>
      <c r="AU1150" s="88">
        <f>SUMIF(月間集計シート!$M$134:$M$153,$G1150,月間集計シート!P$134:P$153)*AU$2</f>
        <v>0</v>
      </c>
      <c r="AV1150" s="88">
        <f>SUMIF(月間集計シート!$M$134:$M$153,$G1150,月間集計シート!Q$134:Q$153)*AV$2</f>
        <v>0</v>
      </c>
      <c r="AW1150" s="88">
        <f>SUMIF(月間集計シート!$M$134:$M$153,$G1150,月間集計シート!R$134:R$153)*AW$2</f>
        <v>0</v>
      </c>
      <c r="AX1150" s="88">
        <f>SUMIF(月間集計シート!$M$134:$M$153,$G1150,月間集計シート!S$134:S$153)*AX$2</f>
        <v>0</v>
      </c>
      <c r="AY1150" s="88">
        <f>SUMIF(月間集計シート!$M$134:$M$153,$G1150,月間集計シート!T$134:T$153)*AY$2</f>
        <v>0</v>
      </c>
    </row>
    <row r="1151" spans="1:51" ht="14.25" thickBot="1">
      <c r="A1151">
        <v>14</v>
      </c>
      <c r="B1151" s="120">
        <f t="shared" si="623"/>
        <v>0</v>
      </c>
      <c r="C1151" s="120" t="str">
        <f t="shared" si="624"/>
        <v/>
      </c>
      <c r="D1151" s="137"/>
      <c r="E1151" s="150" t="str">
        <f>工種!A38</f>
        <v>50101</v>
      </c>
      <c r="F1151" s="119" t="str">
        <f>工種!B38</f>
        <v>ﾏﾆｭｱﾙ作成：原稿作成</v>
      </c>
      <c r="G1151" s="116" t="str">
        <f t="shared" si="625"/>
        <v>050101</v>
      </c>
      <c r="H1151" s="88">
        <f t="shared" si="579"/>
        <v>0</v>
      </c>
      <c r="I1151" s="132"/>
      <c r="J1151" s="88">
        <f>SUMIF(月間集計シート!$M$29:$M$48,$G1151,月間集計シート!N$29:N$48)*J$2</f>
        <v>0</v>
      </c>
      <c r="K1151" s="88">
        <f>SUMIF(月間集計シート!$M$29:$M$48,$G1151,月間集計シート!O$29:O$48)*K$2</f>
        <v>0</v>
      </c>
      <c r="L1151" s="88">
        <f>SUMIF(月間集計シート!$M$29:$M$48,$G1151,月間集計シート!P$29:P$48)*L$2</f>
        <v>0</v>
      </c>
      <c r="M1151" s="88">
        <f>SUMIF(月間集計シート!$M$29:$M$48,$G1151,月間集計シート!Q$29:Q$48)*M$2</f>
        <v>0</v>
      </c>
      <c r="N1151" s="88">
        <f>SUMIF(月間集計シート!$M$29:$M$48,$G1151,月間集計シート!R$29:R$48)*N$2</f>
        <v>0</v>
      </c>
      <c r="O1151" s="88">
        <f>SUMIF(月間集計シート!$M$29:$M$48,$G1151,月間集計シート!S$29:S$48)*O$2</f>
        <v>0</v>
      </c>
      <c r="P1151" s="88">
        <f>SUMIF(月間集計シート!$M$29:$M$48,$G1151,月間集計シート!T$29:T$48)*P$2</f>
        <v>0</v>
      </c>
      <c r="Q1151" s="88">
        <f>SUMIF(月間集計シート!$M$50:$M$69,$G1151,月間集計シート!N$50:N$69)*Q$2</f>
        <v>0</v>
      </c>
      <c r="R1151" s="88">
        <f>SUMIF(月間集計シート!$M$50:$M$69,$G1151,月間集計シート!O$50:O$69)*R$2</f>
        <v>0</v>
      </c>
      <c r="S1151" s="88">
        <f>SUMIF(月間集計シート!$M$50:$M$69,$G1151,月間集計シート!P$50:P$69)*S$2</f>
        <v>0</v>
      </c>
      <c r="T1151" s="88">
        <f>SUMIF(月間集計シート!$M$50:$M$69,$G1151,月間集計シート!Q$50:Q$69)*T$2</f>
        <v>0</v>
      </c>
      <c r="U1151" s="88">
        <f>SUMIF(月間集計シート!$M$50:$M$69,$G1151,月間集計シート!R$50:R$69)*U$2</f>
        <v>0</v>
      </c>
      <c r="V1151" s="88">
        <f>SUMIF(月間集計シート!$M$50:$M$69,$G1151,月間集計シート!S$50:S$69)*V$2</f>
        <v>0</v>
      </c>
      <c r="W1151" s="88">
        <f>SUMIF(月間集計シート!$M$50:$M$69,$G1151,月間集計シート!T$50:T$69)*W$2</f>
        <v>0</v>
      </c>
      <c r="X1151" s="88">
        <f>SUMIF(月間集計シート!$M$71:$M$90,$G1151,月間集計シート!N$71:N$90)*X$2</f>
        <v>0</v>
      </c>
      <c r="Y1151" s="88">
        <f>SUMIF(月間集計シート!$M$71:$M$90,$G1151,月間集計シート!O$71:O$90)*Y$2</f>
        <v>0</v>
      </c>
      <c r="Z1151" s="88">
        <f>SUMIF(月間集計シート!$M$71:$M$90,$G1151,月間集計シート!P$71:P$90)*Z$2</f>
        <v>0</v>
      </c>
      <c r="AA1151" s="88">
        <f>SUMIF(月間集計シート!$M$71:$M$90,$G1151,月間集計シート!Q$71:Q$90)*AA$2</f>
        <v>0</v>
      </c>
      <c r="AB1151" s="88">
        <f>SUMIF(月間集計シート!$M$71:$M$90,$G1151,月間集計シート!R$71:R$90)*AB$2</f>
        <v>0</v>
      </c>
      <c r="AC1151" s="88">
        <f>SUMIF(月間集計シート!$M$71:$M$90,$G1151,月間集計シート!S$71:S$90)*AC$2</f>
        <v>0</v>
      </c>
      <c r="AD1151" s="88">
        <f>SUMIF(月間集計シート!$M$71:$M$90,$G1151,月間集計シート!T$71:T$90)*AD$2</f>
        <v>0</v>
      </c>
      <c r="AE1151" s="88">
        <f>SUMIF(月間集計シート!$M$92:$M$111,$G1151,月間集計シート!N$92:N$111)*AE$2</f>
        <v>0</v>
      </c>
      <c r="AF1151" s="88">
        <f>SUMIF(月間集計シート!$M$92:$M$111,$G1151,月間集計シート!O$92:O$111)*AF$2</f>
        <v>0</v>
      </c>
      <c r="AG1151" s="88">
        <f>SUMIF(月間集計シート!$M$92:$M$111,$G1151,月間集計シート!P$92:P$111)*AG$2</f>
        <v>0</v>
      </c>
      <c r="AH1151" s="88">
        <f>SUMIF(月間集計シート!$M$92:$M$111,$G1151,月間集計シート!Q$92:Q$111)*AH$2</f>
        <v>0</v>
      </c>
      <c r="AI1151" s="88">
        <f>SUMIF(月間集計シート!$M$92:$M$111,$G1151,月間集計シート!R$92:R$111)*AI$2</f>
        <v>0</v>
      </c>
      <c r="AJ1151" s="88">
        <f>SUMIF(月間集計シート!$M$92:$M$111,$G1151,月間集計シート!S$92:S$111)*AJ$2</f>
        <v>0</v>
      </c>
      <c r="AK1151" s="88">
        <f>SUMIF(月間集計シート!$M$92:$M$111,$G1151,月間集計シート!T$92:T$111)*AK$2</f>
        <v>0</v>
      </c>
      <c r="AL1151" s="88">
        <f>SUMIF(月間集計シート!$M$113:$M$132,$G1151,月間集計シート!N$113:N$132)*AL$2</f>
        <v>0</v>
      </c>
      <c r="AM1151" s="88">
        <f>SUMIF(月間集計シート!$M$113:$M$132,$G1151,月間集計シート!O$113:O$132)*AM$2</f>
        <v>0</v>
      </c>
      <c r="AN1151" s="88">
        <f>SUMIF(月間集計シート!$M$113:$M$132,$G1151,月間集計シート!P$113:P$132)*AN$2</f>
        <v>0</v>
      </c>
      <c r="AO1151" s="88">
        <f>SUMIF(月間集計シート!$M$113:$M$132,$G1151,月間集計シート!Q$113:Q$132)*AO$2</f>
        <v>0</v>
      </c>
      <c r="AP1151" s="88">
        <f>SUMIF(月間集計シート!$M$113:$M$132,$G1151,月間集計シート!R$113:R$132)*AP$2</f>
        <v>0</v>
      </c>
      <c r="AQ1151" s="88">
        <f>SUMIF(月間集計シート!$M$113:$M$132,$G1151,月間集計シート!S$113:S$132)*AQ$2</f>
        <v>0</v>
      </c>
      <c r="AR1151" s="88">
        <f>SUMIF(月間集計シート!$M$113:$M$132,$G1151,月間集計シート!T$113:T$132)*AR$2</f>
        <v>0</v>
      </c>
      <c r="AS1151" s="88">
        <f>SUMIF(月間集計シート!$M$134:$M$153,$G1151,月間集計シート!N$134:N$153)*AS$2</f>
        <v>0</v>
      </c>
      <c r="AT1151" s="88">
        <f>SUMIF(月間集計シート!$M$134:$M$153,$G1151,月間集計シート!O$134:O$153)*AT$2</f>
        <v>0</v>
      </c>
      <c r="AU1151" s="88">
        <f>SUMIF(月間集計シート!$M$134:$M$153,$G1151,月間集計シート!P$134:P$153)*AU$2</f>
        <v>0</v>
      </c>
      <c r="AV1151" s="88">
        <f>SUMIF(月間集計シート!$M$134:$M$153,$G1151,月間集計シート!Q$134:Q$153)*AV$2</f>
        <v>0</v>
      </c>
      <c r="AW1151" s="88">
        <f>SUMIF(月間集計シート!$M$134:$M$153,$G1151,月間集計シート!R$134:R$153)*AW$2</f>
        <v>0</v>
      </c>
      <c r="AX1151" s="88">
        <f>SUMIF(月間集計シート!$M$134:$M$153,$G1151,月間集計シート!S$134:S$153)*AX$2</f>
        <v>0</v>
      </c>
      <c r="AY1151" s="88">
        <f>SUMIF(月間集計シート!$M$134:$M$153,$G1151,月間集計シート!T$134:T$153)*AY$2</f>
        <v>0</v>
      </c>
    </row>
    <row r="1152" spans="1:51" ht="14.25" thickBot="1">
      <c r="A1152">
        <v>14</v>
      </c>
      <c r="B1152" s="120">
        <f t="shared" si="623"/>
        <v>0</v>
      </c>
      <c r="C1152" s="120" t="str">
        <f t="shared" si="624"/>
        <v/>
      </c>
      <c r="D1152" s="137"/>
      <c r="E1152" s="150" t="str">
        <f>工種!A39</f>
        <v>50105</v>
      </c>
      <c r="F1152" s="119" t="str">
        <f>工種!B39</f>
        <v>ﾏﾆｭｱﾙ作成：打合せ</v>
      </c>
      <c r="G1152" s="116" t="str">
        <f t="shared" si="625"/>
        <v>050105</v>
      </c>
      <c r="H1152" s="88">
        <f t="shared" si="579"/>
        <v>0</v>
      </c>
      <c r="I1152" s="132"/>
      <c r="J1152" s="88">
        <f>SUMIF(月間集計シート!$M$29:$M$48,$G1152,月間集計シート!N$29:N$48)*J$2</f>
        <v>0</v>
      </c>
      <c r="K1152" s="88">
        <f>SUMIF(月間集計シート!$M$29:$M$48,$G1152,月間集計シート!O$29:O$48)*K$2</f>
        <v>0</v>
      </c>
      <c r="L1152" s="88">
        <f>SUMIF(月間集計シート!$M$29:$M$48,$G1152,月間集計シート!P$29:P$48)*L$2</f>
        <v>0</v>
      </c>
      <c r="M1152" s="88">
        <f>SUMIF(月間集計シート!$M$29:$M$48,$G1152,月間集計シート!Q$29:Q$48)*M$2</f>
        <v>0</v>
      </c>
      <c r="N1152" s="88">
        <f>SUMIF(月間集計シート!$M$29:$M$48,$G1152,月間集計シート!R$29:R$48)*N$2</f>
        <v>0</v>
      </c>
      <c r="O1152" s="88">
        <f>SUMIF(月間集計シート!$M$29:$M$48,$G1152,月間集計シート!S$29:S$48)*O$2</f>
        <v>0</v>
      </c>
      <c r="P1152" s="88">
        <f>SUMIF(月間集計シート!$M$29:$M$48,$G1152,月間集計シート!T$29:T$48)*P$2</f>
        <v>0</v>
      </c>
      <c r="Q1152" s="88">
        <f>SUMIF(月間集計シート!$M$50:$M$69,$G1152,月間集計シート!N$50:N$69)*Q$2</f>
        <v>0</v>
      </c>
      <c r="R1152" s="88">
        <f>SUMIF(月間集計シート!$M$50:$M$69,$G1152,月間集計シート!O$50:O$69)*R$2</f>
        <v>0</v>
      </c>
      <c r="S1152" s="88">
        <f>SUMIF(月間集計シート!$M$50:$M$69,$G1152,月間集計シート!P$50:P$69)*S$2</f>
        <v>0</v>
      </c>
      <c r="T1152" s="88">
        <f>SUMIF(月間集計シート!$M$50:$M$69,$G1152,月間集計シート!Q$50:Q$69)*T$2</f>
        <v>0</v>
      </c>
      <c r="U1152" s="88">
        <f>SUMIF(月間集計シート!$M$50:$M$69,$G1152,月間集計シート!R$50:R$69)*U$2</f>
        <v>0</v>
      </c>
      <c r="V1152" s="88">
        <f>SUMIF(月間集計シート!$M$50:$M$69,$G1152,月間集計シート!S$50:S$69)*V$2</f>
        <v>0</v>
      </c>
      <c r="W1152" s="88">
        <f>SUMIF(月間集計シート!$M$50:$M$69,$G1152,月間集計シート!T$50:T$69)*W$2</f>
        <v>0</v>
      </c>
      <c r="X1152" s="88">
        <f>SUMIF(月間集計シート!$M$71:$M$90,$G1152,月間集計シート!N$71:N$90)*X$2</f>
        <v>0</v>
      </c>
      <c r="Y1152" s="88">
        <f>SUMIF(月間集計シート!$M$71:$M$90,$G1152,月間集計シート!O$71:O$90)*Y$2</f>
        <v>0</v>
      </c>
      <c r="Z1152" s="88">
        <f>SUMIF(月間集計シート!$M$71:$M$90,$G1152,月間集計シート!P$71:P$90)*Z$2</f>
        <v>0</v>
      </c>
      <c r="AA1152" s="88">
        <f>SUMIF(月間集計シート!$M$71:$M$90,$G1152,月間集計シート!Q$71:Q$90)*AA$2</f>
        <v>0</v>
      </c>
      <c r="AB1152" s="88">
        <f>SUMIF(月間集計シート!$M$71:$M$90,$G1152,月間集計シート!R$71:R$90)*AB$2</f>
        <v>0</v>
      </c>
      <c r="AC1152" s="88">
        <f>SUMIF(月間集計シート!$M$71:$M$90,$G1152,月間集計シート!S$71:S$90)*AC$2</f>
        <v>0</v>
      </c>
      <c r="AD1152" s="88">
        <f>SUMIF(月間集計シート!$M$71:$M$90,$G1152,月間集計シート!T$71:T$90)*AD$2</f>
        <v>0</v>
      </c>
      <c r="AE1152" s="88">
        <f>SUMIF(月間集計シート!$M$92:$M$111,$G1152,月間集計シート!N$92:N$111)*AE$2</f>
        <v>0</v>
      </c>
      <c r="AF1152" s="88">
        <f>SUMIF(月間集計シート!$M$92:$M$111,$G1152,月間集計シート!O$92:O$111)*AF$2</f>
        <v>0</v>
      </c>
      <c r="AG1152" s="88">
        <f>SUMIF(月間集計シート!$M$92:$M$111,$G1152,月間集計シート!P$92:P$111)*AG$2</f>
        <v>0</v>
      </c>
      <c r="AH1152" s="88">
        <f>SUMIF(月間集計シート!$M$92:$M$111,$G1152,月間集計シート!Q$92:Q$111)*AH$2</f>
        <v>0</v>
      </c>
      <c r="AI1152" s="88">
        <f>SUMIF(月間集計シート!$M$92:$M$111,$G1152,月間集計シート!R$92:R$111)*AI$2</f>
        <v>0</v>
      </c>
      <c r="AJ1152" s="88">
        <f>SUMIF(月間集計シート!$M$92:$M$111,$G1152,月間集計シート!S$92:S$111)*AJ$2</f>
        <v>0</v>
      </c>
      <c r="AK1152" s="88">
        <f>SUMIF(月間集計シート!$M$92:$M$111,$G1152,月間集計シート!T$92:T$111)*AK$2</f>
        <v>0</v>
      </c>
      <c r="AL1152" s="88">
        <f>SUMIF(月間集計シート!$M$113:$M$132,$G1152,月間集計シート!N$113:N$132)*AL$2</f>
        <v>0</v>
      </c>
      <c r="AM1152" s="88">
        <f>SUMIF(月間集計シート!$M$113:$M$132,$G1152,月間集計シート!O$113:O$132)*AM$2</f>
        <v>0</v>
      </c>
      <c r="AN1152" s="88">
        <f>SUMIF(月間集計シート!$M$113:$M$132,$G1152,月間集計シート!P$113:P$132)*AN$2</f>
        <v>0</v>
      </c>
      <c r="AO1152" s="88">
        <f>SUMIF(月間集計シート!$M$113:$M$132,$G1152,月間集計シート!Q$113:Q$132)*AO$2</f>
        <v>0</v>
      </c>
      <c r="AP1152" s="88">
        <f>SUMIF(月間集計シート!$M$113:$M$132,$G1152,月間集計シート!R$113:R$132)*AP$2</f>
        <v>0</v>
      </c>
      <c r="AQ1152" s="88">
        <f>SUMIF(月間集計シート!$M$113:$M$132,$G1152,月間集計シート!S$113:S$132)*AQ$2</f>
        <v>0</v>
      </c>
      <c r="AR1152" s="88">
        <f>SUMIF(月間集計シート!$M$113:$M$132,$G1152,月間集計シート!T$113:T$132)*AR$2</f>
        <v>0</v>
      </c>
      <c r="AS1152" s="88">
        <f>SUMIF(月間集計シート!$M$134:$M$153,$G1152,月間集計シート!N$134:N$153)*AS$2</f>
        <v>0</v>
      </c>
      <c r="AT1152" s="88">
        <f>SUMIF(月間集計シート!$M$134:$M$153,$G1152,月間集計シート!O$134:O$153)*AT$2</f>
        <v>0</v>
      </c>
      <c r="AU1152" s="88">
        <f>SUMIF(月間集計シート!$M$134:$M$153,$G1152,月間集計シート!P$134:P$153)*AU$2</f>
        <v>0</v>
      </c>
      <c r="AV1152" s="88">
        <f>SUMIF(月間集計シート!$M$134:$M$153,$G1152,月間集計シート!Q$134:Q$153)*AV$2</f>
        <v>0</v>
      </c>
      <c r="AW1152" s="88">
        <f>SUMIF(月間集計シート!$M$134:$M$153,$G1152,月間集計シート!R$134:R$153)*AW$2</f>
        <v>0</v>
      </c>
      <c r="AX1152" s="88">
        <f>SUMIF(月間集計シート!$M$134:$M$153,$G1152,月間集計シート!S$134:S$153)*AX$2</f>
        <v>0</v>
      </c>
      <c r="AY1152" s="88">
        <f>SUMIF(月間集計シート!$M$134:$M$153,$G1152,月間集計シート!T$134:T$153)*AY$2</f>
        <v>0</v>
      </c>
    </row>
    <row r="1153" spans="1:51" ht="14.25" thickBot="1">
      <c r="A1153">
        <v>14</v>
      </c>
      <c r="B1153" s="120">
        <f t="shared" si="623"/>
        <v>0</v>
      </c>
      <c r="C1153" s="120" t="str">
        <f t="shared" si="624"/>
        <v/>
      </c>
      <c r="D1153" s="137"/>
      <c r="E1153" s="150" t="str">
        <f>工種!A40</f>
        <v>50106</v>
      </c>
      <c r="F1153" s="119" t="str">
        <f>工種!B40</f>
        <v>ﾏﾆｭｱﾙ作成：ﾚﾋﾞｭｰ</v>
      </c>
      <c r="G1153" s="116" t="str">
        <f t="shared" si="625"/>
        <v>050106</v>
      </c>
      <c r="H1153" s="88">
        <f t="shared" si="579"/>
        <v>0</v>
      </c>
      <c r="I1153" s="132"/>
      <c r="J1153" s="88">
        <f>SUMIF(月間集計シート!$M$29:$M$48,$G1153,月間集計シート!N$29:N$48)*J$2</f>
        <v>0</v>
      </c>
      <c r="K1153" s="88">
        <f>SUMIF(月間集計シート!$M$29:$M$48,$G1153,月間集計シート!O$29:O$48)*K$2</f>
        <v>0</v>
      </c>
      <c r="L1153" s="88">
        <f>SUMIF(月間集計シート!$M$29:$M$48,$G1153,月間集計シート!P$29:P$48)*L$2</f>
        <v>0</v>
      </c>
      <c r="M1153" s="88">
        <f>SUMIF(月間集計シート!$M$29:$M$48,$G1153,月間集計シート!Q$29:Q$48)*M$2</f>
        <v>0</v>
      </c>
      <c r="N1153" s="88">
        <f>SUMIF(月間集計シート!$M$29:$M$48,$G1153,月間集計シート!R$29:R$48)*N$2</f>
        <v>0</v>
      </c>
      <c r="O1153" s="88">
        <f>SUMIF(月間集計シート!$M$29:$M$48,$G1153,月間集計シート!S$29:S$48)*O$2</f>
        <v>0</v>
      </c>
      <c r="P1153" s="88">
        <f>SUMIF(月間集計シート!$M$29:$M$48,$G1153,月間集計シート!T$29:T$48)*P$2</f>
        <v>0</v>
      </c>
      <c r="Q1153" s="88">
        <f>SUMIF(月間集計シート!$M$50:$M$69,$G1153,月間集計シート!N$50:N$69)*Q$2</f>
        <v>0</v>
      </c>
      <c r="R1153" s="88">
        <f>SUMIF(月間集計シート!$M$50:$M$69,$G1153,月間集計シート!O$50:O$69)*R$2</f>
        <v>0</v>
      </c>
      <c r="S1153" s="88">
        <f>SUMIF(月間集計シート!$M$50:$M$69,$G1153,月間集計シート!P$50:P$69)*S$2</f>
        <v>0</v>
      </c>
      <c r="T1153" s="88">
        <f>SUMIF(月間集計シート!$M$50:$M$69,$G1153,月間集計シート!Q$50:Q$69)*T$2</f>
        <v>0</v>
      </c>
      <c r="U1153" s="88">
        <f>SUMIF(月間集計シート!$M$50:$M$69,$G1153,月間集計シート!R$50:R$69)*U$2</f>
        <v>0</v>
      </c>
      <c r="V1153" s="88">
        <f>SUMIF(月間集計シート!$M$50:$M$69,$G1153,月間集計シート!S$50:S$69)*V$2</f>
        <v>0</v>
      </c>
      <c r="W1153" s="88">
        <f>SUMIF(月間集計シート!$M$50:$M$69,$G1153,月間集計シート!T$50:T$69)*W$2</f>
        <v>0</v>
      </c>
      <c r="X1153" s="88">
        <f>SUMIF(月間集計シート!$M$71:$M$90,$G1153,月間集計シート!N$71:N$90)*X$2</f>
        <v>0</v>
      </c>
      <c r="Y1153" s="88">
        <f>SUMIF(月間集計シート!$M$71:$M$90,$G1153,月間集計シート!O$71:O$90)*Y$2</f>
        <v>0</v>
      </c>
      <c r="Z1153" s="88">
        <f>SUMIF(月間集計シート!$M$71:$M$90,$G1153,月間集計シート!P$71:P$90)*Z$2</f>
        <v>0</v>
      </c>
      <c r="AA1153" s="88">
        <f>SUMIF(月間集計シート!$M$71:$M$90,$G1153,月間集計シート!Q$71:Q$90)*AA$2</f>
        <v>0</v>
      </c>
      <c r="AB1153" s="88">
        <f>SUMIF(月間集計シート!$M$71:$M$90,$G1153,月間集計シート!R$71:R$90)*AB$2</f>
        <v>0</v>
      </c>
      <c r="AC1153" s="88">
        <f>SUMIF(月間集計シート!$M$71:$M$90,$G1153,月間集計シート!S$71:S$90)*AC$2</f>
        <v>0</v>
      </c>
      <c r="AD1153" s="88">
        <f>SUMIF(月間集計シート!$M$71:$M$90,$G1153,月間集計シート!T$71:T$90)*AD$2</f>
        <v>0</v>
      </c>
      <c r="AE1153" s="88">
        <f>SUMIF(月間集計シート!$M$92:$M$111,$G1153,月間集計シート!N$92:N$111)*AE$2</f>
        <v>0</v>
      </c>
      <c r="AF1153" s="88">
        <f>SUMIF(月間集計シート!$M$92:$M$111,$G1153,月間集計シート!O$92:O$111)*AF$2</f>
        <v>0</v>
      </c>
      <c r="AG1153" s="88">
        <f>SUMIF(月間集計シート!$M$92:$M$111,$G1153,月間集計シート!P$92:P$111)*AG$2</f>
        <v>0</v>
      </c>
      <c r="AH1153" s="88">
        <f>SUMIF(月間集計シート!$M$92:$M$111,$G1153,月間集計シート!Q$92:Q$111)*AH$2</f>
        <v>0</v>
      </c>
      <c r="AI1153" s="88">
        <f>SUMIF(月間集計シート!$M$92:$M$111,$G1153,月間集計シート!R$92:R$111)*AI$2</f>
        <v>0</v>
      </c>
      <c r="AJ1153" s="88">
        <f>SUMIF(月間集計シート!$M$92:$M$111,$G1153,月間集計シート!S$92:S$111)*AJ$2</f>
        <v>0</v>
      </c>
      <c r="AK1153" s="88">
        <f>SUMIF(月間集計シート!$M$92:$M$111,$G1153,月間集計シート!T$92:T$111)*AK$2</f>
        <v>0</v>
      </c>
      <c r="AL1153" s="88">
        <f>SUMIF(月間集計シート!$M$113:$M$132,$G1153,月間集計シート!N$113:N$132)*AL$2</f>
        <v>0</v>
      </c>
      <c r="AM1153" s="88">
        <f>SUMIF(月間集計シート!$M$113:$M$132,$G1153,月間集計シート!O$113:O$132)*AM$2</f>
        <v>0</v>
      </c>
      <c r="AN1153" s="88">
        <f>SUMIF(月間集計シート!$M$113:$M$132,$G1153,月間集計シート!P$113:P$132)*AN$2</f>
        <v>0</v>
      </c>
      <c r="AO1153" s="88">
        <f>SUMIF(月間集計シート!$M$113:$M$132,$G1153,月間集計シート!Q$113:Q$132)*AO$2</f>
        <v>0</v>
      </c>
      <c r="AP1153" s="88">
        <f>SUMIF(月間集計シート!$M$113:$M$132,$G1153,月間集計シート!R$113:R$132)*AP$2</f>
        <v>0</v>
      </c>
      <c r="AQ1153" s="88">
        <f>SUMIF(月間集計シート!$M$113:$M$132,$G1153,月間集計シート!S$113:S$132)*AQ$2</f>
        <v>0</v>
      </c>
      <c r="AR1153" s="88">
        <f>SUMIF(月間集計シート!$M$113:$M$132,$G1153,月間集計シート!T$113:T$132)*AR$2</f>
        <v>0</v>
      </c>
      <c r="AS1153" s="88">
        <f>SUMIF(月間集計シート!$M$134:$M$153,$G1153,月間集計シート!N$134:N$153)*AS$2</f>
        <v>0</v>
      </c>
      <c r="AT1153" s="88">
        <f>SUMIF(月間集計シート!$M$134:$M$153,$G1153,月間集計シート!O$134:O$153)*AT$2</f>
        <v>0</v>
      </c>
      <c r="AU1153" s="88">
        <f>SUMIF(月間集計シート!$M$134:$M$153,$G1153,月間集計シート!P$134:P$153)*AU$2</f>
        <v>0</v>
      </c>
      <c r="AV1153" s="88">
        <f>SUMIF(月間集計シート!$M$134:$M$153,$G1153,月間集計シート!Q$134:Q$153)*AV$2</f>
        <v>0</v>
      </c>
      <c r="AW1153" s="88">
        <f>SUMIF(月間集計シート!$M$134:$M$153,$G1153,月間集計シート!R$134:R$153)*AW$2</f>
        <v>0</v>
      </c>
      <c r="AX1153" s="88">
        <f>SUMIF(月間集計シート!$M$134:$M$153,$G1153,月間集計シート!S$134:S$153)*AX$2</f>
        <v>0</v>
      </c>
      <c r="AY1153" s="88">
        <f>SUMIF(月間集計シート!$M$134:$M$153,$G1153,月間集計シート!T$134:T$153)*AY$2</f>
        <v>0</v>
      </c>
    </row>
    <row r="1154" spans="1:51" ht="14.25" thickBot="1">
      <c r="A1154">
        <v>14</v>
      </c>
      <c r="B1154" s="120">
        <f t="shared" si="623"/>
        <v>0</v>
      </c>
      <c r="C1154" s="120" t="str">
        <f t="shared" si="624"/>
        <v/>
      </c>
      <c r="D1154" s="137"/>
      <c r="E1154" s="150" t="str">
        <f>工種!A41</f>
        <v>50199</v>
      </c>
      <c r="F1154" s="119" t="str">
        <f>工種!B41</f>
        <v>ﾏﾆｭｱﾙ作成：その他</v>
      </c>
      <c r="G1154" s="116" t="str">
        <f t="shared" si="625"/>
        <v>050199</v>
      </c>
      <c r="H1154" s="88">
        <f t="shared" si="579"/>
        <v>0</v>
      </c>
      <c r="I1154" s="132"/>
      <c r="J1154" s="88">
        <f>SUMIF(月間集計シート!$M$29:$M$48,$G1154,月間集計シート!N$29:N$48)*J$2</f>
        <v>0</v>
      </c>
      <c r="K1154" s="88">
        <f>SUMIF(月間集計シート!$M$29:$M$48,$G1154,月間集計シート!O$29:O$48)*K$2</f>
        <v>0</v>
      </c>
      <c r="L1154" s="88">
        <f>SUMIF(月間集計シート!$M$29:$M$48,$G1154,月間集計シート!P$29:P$48)*L$2</f>
        <v>0</v>
      </c>
      <c r="M1154" s="88">
        <f>SUMIF(月間集計シート!$M$29:$M$48,$G1154,月間集計シート!Q$29:Q$48)*M$2</f>
        <v>0</v>
      </c>
      <c r="N1154" s="88">
        <f>SUMIF(月間集計シート!$M$29:$M$48,$G1154,月間集計シート!R$29:R$48)*N$2</f>
        <v>0</v>
      </c>
      <c r="O1154" s="88">
        <f>SUMIF(月間集計シート!$M$29:$M$48,$G1154,月間集計シート!S$29:S$48)*O$2</f>
        <v>0</v>
      </c>
      <c r="P1154" s="88">
        <f>SUMIF(月間集計シート!$M$29:$M$48,$G1154,月間集計シート!T$29:T$48)*P$2</f>
        <v>0</v>
      </c>
      <c r="Q1154" s="88">
        <f>SUMIF(月間集計シート!$M$50:$M$69,$G1154,月間集計シート!N$50:N$69)*Q$2</f>
        <v>0</v>
      </c>
      <c r="R1154" s="88">
        <f>SUMIF(月間集計シート!$M$50:$M$69,$G1154,月間集計シート!O$50:O$69)*R$2</f>
        <v>0</v>
      </c>
      <c r="S1154" s="88">
        <f>SUMIF(月間集計シート!$M$50:$M$69,$G1154,月間集計シート!P$50:P$69)*S$2</f>
        <v>0</v>
      </c>
      <c r="T1154" s="88">
        <f>SUMIF(月間集計シート!$M$50:$M$69,$G1154,月間集計シート!Q$50:Q$69)*T$2</f>
        <v>0</v>
      </c>
      <c r="U1154" s="88">
        <f>SUMIF(月間集計シート!$M$50:$M$69,$G1154,月間集計シート!R$50:R$69)*U$2</f>
        <v>0</v>
      </c>
      <c r="V1154" s="88">
        <f>SUMIF(月間集計シート!$M$50:$M$69,$G1154,月間集計シート!S$50:S$69)*V$2</f>
        <v>0</v>
      </c>
      <c r="W1154" s="88">
        <f>SUMIF(月間集計シート!$M$50:$M$69,$G1154,月間集計シート!T$50:T$69)*W$2</f>
        <v>0</v>
      </c>
      <c r="X1154" s="88">
        <f>SUMIF(月間集計シート!$M$71:$M$90,$G1154,月間集計シート!N$71:N$90)*X$2</f>
        <v>0</v>
      </c>
      <c r="Y1154" s="88">
        <f>SUMIF(月間集計シート!$M$71:$M$90,$G1154,月間集計シート!O$71:O$90)*Y$2</f>
        <v>0</v>
      </c>
      <c r="Z1154" s="88">
        <f>SUMIF(月間集計シート!$M$71:$M$90,$G1154,月間集計シート!P$71:P$90)*Z$2</f>
        <v>0</v>
      </c>
      <c r="AA1154" s="88">
        <f>SUMIF(月間集計シート!$M$71:$M$90,$G1154,月間集計シート!Q$71:Q$90)*AA$2</f>
        <v>0</v>
      </c>
      <c r="AB1154" s="88">
        <f>SUMIF(月間集計シート!$M$71:$M$90,$G1154,月間集計シート!R$71:R$90)*AB$2</f>
        <v>0</v>
      </c>
      <c r="AC1154" s="88">
        <f>SUMIF(月間集計シート!$M$71:$M$90,$G1154,月間集計シート!S$71:S$90)*AC$2</f>
        <v>0</v>
      </c>
      <c r="AD1154" s="88">
        <f>SUMIF(月間集計シート!$M$71:$M$90,$G1154,月間集計シート!T$71:T$90)*AD$2</f>
        <v>0</v>
      </c>
      <c r="AE1154" s="88">
        <f>SUMIF(月間集計シート!$M$92:$M$111,$G1154,月間集計シート!N$92:N$111)*AE$2</f>
        <v>0</v>
      </c>
      <c r="AF1154" s="88">
        <f>SUMIF(月間集計シート!$M$92:$M$111,$G1154,月間集計シート!O$92:O$111)*AF$2</f>
        <v>0</v>
      </c>
      <c r="AG1154" s="88">
        <f>SUMIF(月間集計シート!$M$92:$M$111,$G1154,月間集計シート!P$92:P$111)*AG$2</f>
        <v>0</v>
      </c>
      <c r="AH1154" s="88">
        <f>SUMIF(月間集計シート!$M$92:$M$111,$G1154,月間集計シート!Q$92:Q$111)*AH$2</f>
        <v>0</v>
      </c>
      <c r="AI1154" s="88">
        <f>SUMIF(月間集計シート!$M$92:$M$111,$G1154,月間集計シート!R$92:R$111)*AI$2</f>
        <v>0</v>
      </c>
      <c r="AJ1154" s="88">
        <f>SUMIF(月間集計シート!$M$92:$M$111,$G1154,月間集計シート!S$92:S$111)*AJ$2</f>
        <v>0</v>
      </c>
      <c r="AK1154" s="88">
        <f>SUMIF(月間集計シート!$M$92:$M$111,$G1154,月間集計シート!T$92:T$111)*AK$2</f>
        <v>0</v>
      </c>
      <c r="AL1154" s="88">
        <f>SUMIF(月間集計シート!$M$113:$M$132,$G1154,月間集計シート!N$113:N$132)*AL$2</f>
        <v>0</v>
      </c>
      <c r="AM1154" s="88">
        <f>SUMIF(月間集計シート!$M$113:$M$132,$G1154,月間集計シート!O$113:O$132)*AM$2</f>
        <v>0</v>
      </c>
      <c r="AN1154" s="88">
        <f>SUMIF(月間集計シート!$M$113:$M$132,$G1154,月間集計シート!P$113:P$132)*AN$2</f>
        <v>0</v>
      </c>
      <c r="AO1154" s="88">
        <f>SUMIF(月間集計シート!$M$113:$M$132,$G1154,月間集計シート!Q$113:Q$132)*AO$2</f>
        <v>0</v>
      </c>
      <c r="AP1154" s="88">
        <f>SUMIF(月間集計シート!$M$113:$M$132,$G1154,月間集計シート!R$113:R$132)*AP$2</f>
        <v>0</v>
      </c>
      <c r="AQ1154" s="88">
        <f>SUMIF(月間集計シート!$M$113:$M$132,$G1154,月間集計シート!S$113:S$132)*AQ$2</f>
        <v>0</v>
      </c>
      <c r="AR1154" s="88">
        <f>SUMIF(月間集計シート!$M$113:$M$132,$G1154,月間集計シート!T$113:T$132)*AR$2</f>
        <v>0</v>
      </c>
      <c r="AS1154" s="88">
        <f>SUMIF(月間集計シート!$M$134:$M$153,$G1154,月間集計シート!N$134:N$153)*AS$2</f>
        <v>0</v>
      </c>
      <c r="AT1154" s="88">
        <f>SUMIF(月間集計シート!$M$134:$M$153,$G1154,月間集計シート!O$134:O$153)*AT$2</f>
        <v>0</v>
      </c>
      <c r="AU1154" s="88">
        <f>SUMIF(月間集計シート!$M$134:$M$153,$G1154,月間集計シート!P$134:P$153)*AU$2</f>
        <v>0</v>
      </c>
      <c r="AV1154" s="88">
        <f>SUMIF(月間集計シート!$M$134:$M$153,$G1154,月間集計シート!Q$134:Q$153)*AV$2</f>
        <v>0</v>
      </c>
      <c r="AW1154" s="88">
        <f>SUMIF(月間集計シート!$M$134:$M$153,$G1154,月間集計シート!R$134:R$153)*AW$2</f>
        <v>0</v>
      </c>
      <c r="AX1154" s="88">
        <f>SUMIF(月間集計シート!$M$134:$M$153,$G1154,月間集計シート!S$134:S$153)*AX$2</f>
        <v>0</v>
      </c>
      <c r="AY1154" s="88">
        <f>SUMIF(月間集計シート!$M$134:$M$153,$G1154,月間集計シート!T$134:T$153)*AY$2</f>
        <v>0</v>
      </c>
    </row>
    <row r="1155" spans="1:51" ht="14.25" thickBot="1">
      <c r="A1155">
        <v>14</v>
      </c>
      <c r="B1155" s="120">
        <f t="shared" si="623"/>
        <v>0</v>
      </c>
      <c r="C1155" s="120" t="str">
        <f t="shared" si="624"/>
        <v/>
      </c>
      <c r="D1155" s="137"/>
      <c r="E1155" s="150" t="str">
        <f>工種!A42</f>
        <v>60101</v>
      </c>
      <c r="F1155" s="119" t="str">
        <f>工種!B42</f>
        <v>ﾘﾘｰｽ：ﾘﾘｰｽ・ﾃﾞﾘﾊﾞﾘ作業</v>
      </c>
      <c r="G1155" s="116" t="str">
        <f t="shared" si="625"/>
        <v>060101</v>
      </c>
      <c r="H1155" s="88">
        <f t="shared" si="579"/>
        <v>0</v>
      </c>
      <c r="I1155" s="132"/>
      <c r="J1155" s="88">
        <f>SUMIF(月間集計シート!$M$29:$M$48,$G1155,月間集計シート!N$29:N$48)*J$2</f>
        <v>0</v>
      </c>
      <c r="K1155" s="88">
        <f>SUMIF(月間集計シート!$M$29:$M$48,$G1155,月間集計シート!O$29:O$48)*K$2</f>
        <v>0</v>
      </c>
      <c r="L1155" s="88">
        <f>SUMIF(月間集計シート!$M$29:$M$48,$G1155,月間集計シート!P$29:P$48)*L$2</f>
        <v>0</v>
      </c>
      <c r="M1155" s="88">
        <f>SUMIF(月間集計シート!$M$29:$M$48,$G1155,月間集計シート!Q$29:Q$48)*M$2</f>
        <v>0</v>
      </c>
      <c r="N1155" s="88">
        <f>SUMIF(月間集計シート!$M$29:$M$48,$G1155,月間集計シート!R$29:R$48)*N$2</f>
        <v>0</v>
      </c>
      <c r="O1155" s="88">
        <f>SUMIF(月間集計シート!$M$29:$M$48,$G1155,月間集計シート!S$29:S$48)*O$2</f>
        <v>0</v>
      </c>
      <c r="P1155" s="88">
        <f>SUMIF(月間集計シート!$M$29:$M$48,$G1155,月間集計シート!T$29:T$48)*P$2</f>
        <v>0</v>
      </c>
      <c r="Q1155" s="88">
        <f>SUMIF(月間集計シート!$M$50:$M$69,$G1155,月間集計シート!N$50:N$69)*Q$2</f>
        <v>0</v>
      </c>
      <c r="R1155" s="88">
        <f>SUMIF(月間集計シート!$M$50:$M$69,$G1155,月間集計シート!O$50:O$69)*R$2</f>
        <v>0</v>
      </c>
      <c r="S1155" s="88">
        <f>SUMIF(月間集計シート!$M$50:$M$69,$G1155,月間集計シート!P$50:P$69)*S$2</f>
        <v>0</v>
      </c>
      <c r="T1155" s="88">
        <f>SUMIF(月間集計シート!$M$50:$M$69,$G1155,月間集計シート!Q$50:Q$69)*T$2</f>
        <v>0</v>
      </c>
      <c r="U1155" s="88">
        <f>SUMIF(月間集計シート!$M$50:$M$69,$G1155,月間集計シート!R$50:R$69)*U$2</f>
        <v>0</v>
      </c>
      <c r="V1155" s="88">
        <f>SUMIF(月間集計シート!$M$50:$M$69,$G1155,月間集計シート!S$50:S$69)*V$2</f>
        <v>0</v>
      </c>
      <c r="W1155" s="88">
        <f>SUMIF(月間集計シート!$M$50:$M$69,$G1155,月間集計シート!T$50:T$69)*W$2</f>
        <v>0</v>
      </c>
      <c r="X1155" s="88">
        <f>SUMIF(月間集計シート!$M$71:$M$90,$G1155,月間集計シート!N$71:N$90)*X$2</f>
        <v>0</v>
      </c>
      <c r="Y1155" s="88">
        <f>SUMIF(月間集計シート!$M$71:$M$90,$G1155,月間集計シート!O$71:O$90)*Y$2</f>
        <v>0</v>
      </c>
      <c r="Z1155" s="88">
        <f>SUMIF(月間集計シート!$M$71:$M$90,$G1155,月間集計シート!P$71:P$90)*Z$2</f>
        <v>0</v>
      </c>
      <c r="AA1155" s="88">
        <f>SUMIF(月間集計シート!$M$71:$M$90,$G1155,月間集計シート!Q$71:Q$90)*AA$2</f>
        <v>0</v>
      </c>
      <c r="AB1155" s="88">
        <f>SUMIF(月間集計シート!$M$71:$M$90,$G1155,月間集計シート!R$71:R$90)*AB$2</f>
        <v>0</v>
      </c>
      <c r="AC1155" s="88">
        <f>SUMIF(月間集計シート!$M$71:$M$90,$G1155,月間集計シート!S$71:S$90)*AC$2</f>
        <v>0</v>
      </c>
      <c r="AD1155" s="88">
        <f>SUMIF(月間集計シート!$M$71:$M$90,$G1155,月間集計シート!T$71:T$90)*AD$2</f>
        <v>0</v>
      </c>
      <c r="AE1155" s="88">
        <f>SUMIF(月間集計シート!$M$92:$M$111,$G1155,月間集計シート!N$92:N$111)*AE$2</f>
        <v>0</v>
      </c>
      <c r="AF1155" s="88">
        <f>SUMIF(月間集計シート!$M$92:$M$111,$G1155,月間集計シート!O$92:O$111)*AF$2</f>
        <v>0</v>
      </c>
      <c r="AG1155" s="88">
        <f>SUMIF(月間集計シート!$M$92:$M$111,$G1155,月間集計シート!P$92:P$111)*AG$2</f>
        <v>0</v>
      </c>
      <c r="AH1155" s="88">
        <f>SUMIF(月間集計シート!$M$92:$M$111,$G1155,月間集計シート!Q$92:Q$111)*AH$2</f>
        <v>0</v>
      </c>
      <c r="AI1155" s="88">
        <f>SUMIF(月間集計シート!$M$92:$M$111,$G1155,月間集計シート!R$92:R$111)*AI$2</f>
        <v>0</v>
      </c>
      <c r="AJ1155" s="88">
        <f>SUMIF(月間集計シート!$M$92:$M$111,$G1155,月間集計シート!S$92:S$111)*AJ$2</f>
        <v>0</v>
      </c>
      <c r="AK1155" s="88">
        <f>SUMIF(月間集計シート!$M$92:$M$111,$G1155,月間集計シート!T$92:T$111)*AK$2</f>
        <v>0</v>
      </c>
      <c r="AL1155" s="88">
        <f>SUMIF(月間集計シート!$M$113:$M$132,$G1155,月間集計シート!N$113:N$132)*AL$2</f>
        <v>0</v>
      </c>
      <c r="AM1155" s="88">
        <f>SUMIF(月間集計シート!$M$113:$M$132,$G1155,月間集計シート!O$113:O$132)*AM$2</f>
        <v>0</v>
      </c>
      <c r="AN1155" s="88">
        <f>SUMIF(月間集計シート!$M$113:$M$132,$G1155,月間集計シート!P$113:P$132)*AN$2</f>
        <v>0</v>
      </c>
      <c r="AO1155" s="88">
        <f>SUMIF(月間集計シート!$M$113:$M$132,$G1155,月間集計シート!Q$113:Q$132)*AO$2</f>
        <v>0</v>
      </c>
      <c r="AP1155" s="88">
        <f>SUMIF(月間集計シート!$M$113:$M$132,$G1155,月間集計シート!R$113:R$132)*AP$2</f>
        <v>0</v>
      </c>
      <c r="AQ1155" s="88">
        <f>SUMIF(月間集計シート!$M$113:$M$132,$G1155,月間集計シート!S$113:S$132)*AQ$2</f>
        <v>0</v>
      </c>
      <c r="AR1155" s="88">
        <f>SUMIF(月間集計シート!$M$113:$M$132,$G1155,月間集計シート!T$113:T$132)*AR$2</f>
        <v>0</v>
      </c>
      <c r="AS1155" s="88">
        <f>SUMIF(月間集計シート!$M$134:$M$153,$G1155,月間集計シート!N$134:N$153)*AS$2</f>
        <v>0</v>
      </c>
      <c r="AT1155" s="88">
        <f>SUMIF(月間集計シート!$M$134:$M$153,$G1155,月間集計シート!O$134:O$153)*AT$2</f>
        <v>0</v>
      </c>
      <c r="AU1155" s="88">
        <f>SUMIF(月間集計シート!$M$134:$M$153,$G1155,月間集計シート!P$134:P$153)*AU$2</f>
        <v>0</v>
      </c>
      <c r="AV1155" s="88">
        <f>SUMIF(月間集計シート!$M$134:$M$153,$G1155,月間集計シート!Q$134:Q$153)*AV$2</f>
        <v>0</v>
      </c>
      <c r="AW1155" s="88">
        <f>SUMIF(月間集計シート!$M$134:$M$153,$G1155,月間集計シート!R$134:R$153)*AW$2</f>
        <v>0</v>
      </c>
      <c r="AX1155" s="88">
        <f>SUMIF(月間集計シート!$M$134:$M$153,$G1155,月間集計シート!S$134:S$153)*AX$2</f>
        <v>0</v>
      </c>
      <c r="AY1155" s="88">
        <f>SUMIF(月間集計シート!$M$134:$M$153,$G1155,月間集計シート!T$134:T$153)*AY$2</f>
        <v>0</v>
      </c>
    </row>
    <row r="1156" spans="1:51" ht="14.25" thickBot="1">
      <c r="A1156">
        <v>14</v>
      </c>
      <c r="B1156" s="120">
        <f t="shared" si="623"/>
        <v>0</v>
      </c>
      <c r="C1156" s="120" t="str">
        <f t="shared" si="624"/>
        <v/>
      </c>
      <c r="D1156" s="137"/>
      <c r="E1156" s="150" t="str">
        <f>工種!A43</f>
        <v>60102</v>
      </c>
      <c r="F1156" s="119" t="str">
        <f>工種!B43</f>
        <v>ﾘﾘｰｽ：ﾘﾘｰｽ関連業務</v>
      </c>
      <c r="G1156" s="116" t="str">
        <f t="shared" si="625"/>
        <v>060102</v>
      </c>
      <c r="H1156" s="88">
        <f t="shared" si="579"/>
        <v>0</v>
      </c>
      <c r="I1156" s="132"/>
      <c r="J1156" s="88">
        <f>SUMIF(月間集計シート!$M$29:$M$48,$G1156,月間集計シート!N$29:N$48)*J$2</f>
        <v>0</v>
      </c>
      <c r="K1156" s="88">
        <f>SUMIF(月間集計シート!$M$29:$M$48,$G1156,月間集計シート!O$29:O$48)*K$2</f>
        <v>0</v>
      </c>
      <c r="L1156" s="88">
        <f>SUMIF(月間集計シート!$M$29:$M$48,$G1156,月間集計シート!P$29:P$48)*L$2</f>
        <v>0</v>
      </c>
      <c r="M1156" s="88">
        <f>SUMIF(月間集計シート!$M$29:$M$48,$G1156,月間集計シート!Q$29:Q$48)*M$2</f>
        <v>0</v>
      </c>
      <c r="N1156" s="88">
        <f>SUMIF(月間集計シート!$M$29:$M$48,$G1156,月間集計シート!R$29:R$48)*N$2</f>
        <v>0</v>
      </c>
      <c r="O1156" s="88">
        <f>SUMIF(月間集計シート!$M$29:$M$48,$G1156,月間集計シート!S$29:S$48)*O$2</f>
        <v>0</v>
      </c>
      <c r="P1156" s="88">
        <f>SUMIF(月間集計シート!$M$29:$M$48,$G1156,月間集計シート!T$29:T$48)*P$2</f>
        <v>0</v>
      </c>
      <c r="Q1156" s="88">
        <f>SUMIF(月間集計シート!$M$50:$M$69,$G1156,月間集計シート!N$50:N$69)*Q$2</f>
        <v>0</v>
      </c>
      <c r="R1156" s="88">
        <f>SUMIF(月間集計シート!$M$50:$M$69,$G1156,月間集計シート!O$50:O$69)*R$2</f>
        <v>0</v>
      </c>
      <c r="S1156" s="88">
        <f>SUMIF(月間集計シート!$M$50:$M$69,$G1156,月間集計シート!P$50:P$69)*S$2</f>
        <v>0</v>
      </c>
      <c r="T1156" s="88">
        <f>SUMIF(月間集計シート!$M$50:$M$69,$G1156,月間集計シート!Q$50:Q$69)*T$2</f>
        <v>0</v>
      </c>
      <c r="U1156" s="88">
        <f>SUMIF(月間集計シート!$M$50:$M$69,$G1156,月間集計シート!R$50:R$69)*U$2</f>
        <v>0</v>
      </c>
      <c r="V1156" s="88">
        <f>SUMIF(月間集計シート!$M$50:$M$69,$G1156,月間集計シート!S$50:S$69)*V$2</f>
        <v>0</v>
      </c>
      <c r="W1156" s="88">
        <f>SUMIF(月間集計シート!$M$50:$M$69,$G1156,月間集計シート!T$50:T$69)*W$2</f>
        <v>0</v>
      </c>
      <c r="X1156" s="88">
        <f>SUMIF(月間集計シート!$M$71:$M$90,$G1156,月間集計シート!N$71:N$90)*X$2</f>
        <v>0</v>
      </c>
      <c r="Y1156" s="88">
        <f>SUMIF(月間集計シート!$M$71:$M$90,$G1156,月間集計シート!O$71:O$90)*Y$2</f>
        <v>0</v>
      </c>
      <c r="Z1156" s="88">
        <f>SUMIF(月間集計シート!$M$71:$M$90,$G1156,月間集計シート!P$71:P$90)*Z$2</f>
        <v>0</v>
      </c>
      <c r="AA1156" s="88">
        <f>SUMIF(月間集計シート!$M$71:$M$90,$G1156,月間集計シート!Q$71:Q$90)*AA$2</f>
        <v>0</v>
      </c>
      <c r="AB1156" s="88">
        <f>SUMIF(月間集計シート!$M$71:$M$90,$G1156,月間集計シート!R$71:R$90)*AB$2</f>
        <v>0</v>
      </c>
      <c r="AC1156" s="88">
        <f>SUMIF(月間集計シート!$M$71:$M$90,$G1156,月間集計シート!S$71:S$90)*AC$2</f>
        <v>0</v>
      </c>
      <c r="AD1156" s="88">
        <f>SUMIF(月間集計シート!$M$71:$M$90,$G1156,月間集計シート!T$71:T$90)*AD$2</f>
        <v>0</v>
      </c>
      <c r="AE1156" s="88">
        <f>SUMIF(月間集計シート!$M$92:$M$111,$G1156,月間集計シート!N$92:N$111)*AE$2</f>
        <v>0</v>
      </c>
      <c r="AF1156" s="88">
        <f>SUMIF(月間集計シート!$M$92:$M$111,$G1156,月間集計シート!O$92:O$111)*AF$2</f>
        <v>0</v>
      </c>
      <c r="AG1156" s="88">
        <f>SUMIF(月間集計シート!$M$92:$M$111,$G1156,月間集計シート!P$92:P$111)*AG$2</f>
        <v>0</v>
      </c>
      <c r="AH1156" s="88">
        <f>SUMIF(月間集計シート!$M$92:$M$111,$G1156,月間集計シート!Q$92:Q$111)*AH$2</f>
        <v>0</v>
      </c>
      <c r="AI1156" s="88">
        <f>SUMIF(月間集計シート!$M$92:$M$111,$G1156,月間集計シート!R$92:R$111)*AI$2</f>
        <v>0</v>
      </c>
      <c r="AJ1156" s="88">
        <f>SUMIF(月間集計シート!$M$92:$M$111,$G1156,月間集計シート!S$92:S$111)*AJ$2</f>
        <v>0</v>
      </c>
      <c r="AK1156" s="88">
        <f>SUMIF(月間集計シート!$M$92:$M$111,$G1156,月間集計シート!T$92:T$111)*AK$2</f>
        <v>0</v>
      </c>
      <c r="AL1156" s="88">
        <f>SUMIF(月間集計シート!$M$113:$M$132,$G1156,月間集計シート!N$113:N$132)*AL$2</f>
        <v>0</v>
      </c>
      <c r="AM1156" s="88">
        <f>SUMIF(月間集計シート!$M$113:$M$132,$G1156,月間集計シート!O$113:O$132)*AM$2</f>
        <v>0</v>
      </c>
      <c r="AN1156" s="88">
        <f>SUMIF(月間集計シート!$M$113:$M$132,$G1156,月間集計シート!P$113:P$132)*AN$2</f>
        <v>0</v>
      </c>
      <c r="AO1156" s="88">
        <f>SUMIF(月間集計シート!$M$113:$M$132,$G1156,月間集計シート!Q$113:Q$132)*AO$2</f>
        <v>0</v>
      </c>
      <c r="AP1156" s="88">
        <f>SUMIF(月間集計シート!$M$113:$M$132,$G1156,月間集計シート!R$113:R$132)*AP$2</f>
        <v>0</v>
      </c>
      <c r="AQ1156" s="88">
        <f>SUMIF(月間集計シート!$M$113:$M$132,$G1156,月間集計シート!S$113:S$132)*AQ$2</f>
        <v>0</v>
      </c>
      <c r="AR1156" s="88">
        <f>SUMIF(月間集計シート!$M$113:$M$132,$G1156,月間集計シート!T$113:T$132)*AR$2</f>
        <v>0</v>
      </c>
      <c r="AS1156" s="88">
        <f>SUMIF(月間集計シート!$M$134:$M$153,$G1156,月間集計シート!N$134:N$153)*AS$2</f>
        <v>0</v>
      </c>
      <c r="AT1156" s="88">
        <f>SUMIF(月間集計シート!$M$134:$M$153,$G1156,月間集計シート!O$134:O$153)*AT$2</f>
        <v>0</v>
      </c>
      <c r="AU1156" s="88">
        <f>SUMIF(月間集計シート!$M$134:$M$153,$G1156,月間集計シート!P$134:P$153)*AU$2</f>
        <v>0</v>
      </c>
      <c r="AV1156" s="88">
        <f>SUMIF(月間集計シート!$M$134:$M$153,$G1156,月間集計シート!Q$134:Q$153)*AV$2</f>
        <v>0</v>
      </c>
      <c r="AW1156" s="88">
        <f>SUMIF(月間集計シート!$M$134:$M$153,$G1156,月間集計シート!R$134:R$153)*AW$2</f>
        <v>0</v>
      </c>
      <c r="AX1156" s="88">
        <f>SUMIF(月間集計シート!$M$134:$M$153,$G1156,月間集計シート!S$134:S$153)*AX$2</f>
        <v>0</v>
      </c>
      <c r="AY1156" s="88">
        <f>SUMIF(月間集計シート!$M$134:$M$153,$G1156,月間集計シート!T$134:T$153)*AY$2</f>
        <v>0</v>
      </c>
    </row>
    <row r="1157" spans="1:51" ht="14.25" thickBot="1">
      <c r="A1157">
        <v>14</v>
      </c>
      <c r="B1157" s="120">
        <f t="shared" si="623"/>
        <v>0</v>
      </c>
      <c r="C1157" s="120" t="str">
        <f t="shared" si="624"/>
        <v/>
      </c>
      <c r="D1157" s="137"/>
      <c r="E1157" s="150" t="str">
        <f>工種!A44</f>
        <v>60103</v>
      </c>
      <c r="F1157" s="119" t="str">
        <f>工種!B44</f>
        <v>ﾘﾘｰｽ：ﾏﾆｭｱﾙPDF作成・修正</v>
      </c>
      <c r="G1157" s="116" t="str">
        <f t="shared" si="625"/>
        <v>060103</v>
      </c>
      <c r="H1157" s="88">
        <f t="shared" si="579"/>
        <v>0</v>
      </c>
      <c r="I1157" s="132"/>
      <c r="J1157" s="88">
        <f>SUMIF(月間集計シート!$M$29:$M$48,$G1157,月間集計シート!N$29:N$48)*J$2</f>
        <v>0</v>
      </c>
      <c r="K1157" s="88">
        <f>SUMIF(月間集計シート!$M$29:$M$48,$G1157,月間集計シート!O$29:O$48)*K$2</f>
        <v>0</v>
      </c>
      <c r="L1157" s="88">
        <f>SUMIF(月間集計シート!$M$29:$M$48,$G1157,月間集計シート!P$29:P$48)*L$2</f>
        <v>0</v>
      </c>
      <c r="M1157" s="88">
        <f>SUMIF(月間集計シート!$M$29:$M$48,$G1157,月間集計シート!Q$29:Q$48)*M$2</f>
        <v>0</v>
      </c>
      <c r="N1157" s="88">
        <f>SUMIF(月間集計シート!$M$29:$M$48,$G1157,月間集計シート!R$29:R$48)*N$2</f>
        <v>0</v>
      </c>
      <c r="O1157" s="88">
        <f>SUMIF(月間集計シート!$M$29:$M$48,$G1157,月間集計シート!S$29:S$48)*O$2</f>
        <v>0</v>
      </c>
      <c r="P1157" s="88">
        <f>SUMIF(月間集計シート!$M$29:$M$48,$G1157,月間集計シート!T$29:T$48)*P$2</f>
        <v>0</v>
      </c>
      <c r="Q1157" s="88">
        <f>SUMIF(月間集計シート!$M$50:$M$69,$G1157,月間集計シート!N$50:N$69)*Q$2</f>
        <v>0</v>
      </c>
      <c r="R1157" s="88">
        <f>SUMIF(月間集計シート!$M$50:$M$69,$G1157,月間集計シート!O$50:O$69)*R$2</f>
        <v>0</v>
      </c>
      <c r="S1157" s="88">
        <f>SUMIF(月間集計シート!$M$50:$M$69,$G1157,月間集計シート!P$50:P$69)*S$2</f>
        <v>0</v>
      </c>
      <c r="T1157" s="88">
        <f>SUMIF(月間集計シート!$M$50:$M$69,$G1157,月間集計シート!Q$50:Q$69)*T$2</f>
        <v>0</v>
      </c>
      <c r="U1157" s="88">
        <f>SUMIF(月間集計シート!$M$50:$M$69,$G1157,月間集計シート!R$50:R$69)*U$2</f>
        <v>0</v>
      </c>
      <c r="V1157" s="88">
        <f>SUMIF(月間集計シート!$M$50:$M$69,$G1157,月間集計シート!S$50:S$69)*V$2</f>
        <v>0</v>
      </c>
      <c r="W1157" s="88">
        <f>SUMIF(月間集計シート!$M$50:$M$69,$G1157,月間集計シート!T$50:T$69)*W$2</f>
        <v>0</v>
      </c>
      <c r="X1157" s="88">
        <f>SUMIF(月間集計シート!$M$71:$M$90,$G1157,月間集計シート!N$71:N$90)*X$2</f>
        <v>0</v>
      </c>
      <c r="Y1157" s="88">
        <f>SUMIF(月間集計シート!$M$71:$M$90,$G1157,月間集計シート!O$71:O$90)*Y$2</f>
        <v>0</v>
      </c>
      <c r="Z1157" s="88">
        <f>SUMIF(月間集計シート!$M$71:$M$90,$G1157,月間集計シート!P$71:P$90)*Z$2</f>
        <v>0</v>
      </c>
      <c r="AA1157" s="88">
        <f>SUMIF(月間集計シート!$M$71:$M$90,$G1157,月間集計シート!Q$71:Q$90)*AA$2</f>
        <v>0</v>
      </c>
      <c r="AB1157" s="88">
        <f>SUMIF(月間集計シート!$M$71:$M$90,$G1157,月間集計シート!R$71:R$90)*AB$2</f>
        <v>0</v>
      </c>
      <c r="AC1157" s="88">
        <f>SUMIF(月間集計シート!$M$71:$M$90,$G1157,月間集計シート!S$71:S$90)*AC$2</f>
        <v>0</v>
      </c>
      <c r="AD1157" s="88">
        <f>SUMIF(月間集計シート!$M$71:$M$90,$G1157,月間集計シート!T$71:T$90)*AD$2</f>
        <v>0</v>
      </c>
      <c r="AE1157" s="88">
        <f>SUMIF(月間集計シート!$M$92:$M$111,$G1157,月間集計シート!N$92:N$111)*AE$2</f>
        <v>0</v>
      </c>
      <c r="AF1157" s="88">
        <f>SUMIF(月間集計シート!$M$92:$M$111,$G1157,月間集計シート!O$92:O$111)*AF$2</f>
        <v>0</v>
      </c>
      <c r="AG1157" s="88">
        <f>SUMIF(月間集計シート!$M$92:$M$111,$G1157,月間集計シート!P$92:P$111)*AG$2</f>
        <v>0</v>
      </c>
      <c r="AH1157" s="88">
        <f>SUMIF(月間集計シート!$M$92:$M$111,$G1157,月間集計シート!Q$92:Q$111)*AH$2</f>
        <v>0</v>
      </c>
      <c r="AI1157" s="88">
        <f>SUMIF(月間集計シート!$M$92:$M$111,$G1157,月間集計シート!R$92:R$111)*AI$2</f>
        <v>0</v>
      </c>
      <c r="AJ1157" s="88">
        <f>SUMIF(月間集計シート!$M$92:$M$111,$G1157,月間集計シート!S$92:S$111)*AJ$2</f>
        <v>0</v>
      </c>
      <c r="AK1157" s="88">
        <f>SUMIF(月間集計シート!$M$92:$M$111,$G1157,月間集計シート!T$92:T$111)*AK$2</f>
        <v>0</v>
      </c>
      <c r="AL1157" s="88">
        <f>SUMIF(月間集計シート!$M$113:$M$132,$G1157,月間集計シート!N$113:N$132)*AL$2</f>
        <v>0</v>
      </c>
      <c r="AM1157" s="88">
        <f>SUMIF(月間集計シート!$M$113:$M$132,$G1157,月間集計シート!O$113:O$132)*AM$2</f>
        <v>0</v>
      </c>
      <c r="AN1157" s="88">
        <f>SUMIF(月間集計シート!$M$113:$M$132,$G1157,月間集計シート!P$113:P$132)*AN$2</f>
        <v>0</v>
      </c>
      <c r="AO1157" s="88">
        <f>SUMIF(月間集計シート!$M$113:$M$132,$G1157,月間集計シート!Q$113:Q$132)*AO$2</f>
        <v>0</v>
      </c>
      <c r="AP1157" s="88">
        <f>SUMIF(月間集計シート!$M$113:$M$132,$G1157,月間集計シート!R$113:R$132)*AP$2</f>
        <v>0</v>
      </c>
      <c r="AQ1157" s="88">
        <f>SUMIF(月間集計シート!$M$113:$M$132,$G1157,月間集計シート!S$113:S$132)*AQ$2</f>
        <v>0</v>
      </c>
      <c r="AR1157" s="88">
        <f>SUMIF(月間集計シート!$M$113:$M$132,$G1157,月間集計シート!T$113:T$132)*AR$2</f>
        <v>0</v>
      </c>
      <c r="AS1157" s="88">
        <f>SUMIF(月間集計シート!$M$134:$M$153,$G1157,月間集計シート!N$134:N$153)*AS$2</f>
        <v>0</v>
      </c>
      <c r="AT1157" s="88">
        <f>SUMIF(月間集計シート!$M$134:$M$153,$G1157,月間集計シート!O$134:O$153)*AT$2</f>
        <v>0</v>
      </c>
      <c r="AU1157" s="88">
        <f>SUMIF(月間集計シート!$M$134:$M$153,$G1157,月間集計シート!P$134:P$153)*AU$2</f>
        <v>0</v>
      </c>
      <c r="AV1157" s="88">
        <f>SUMIF(月間集計シート!$M$134:$M$153,$G1157,月間集計シート!Q$134:Q$153)*AV$2</f>
        <v>0</v>
      </c>
      <c r="AW1157" s="88">
        <f>SUMIF(月間集計シート!$M$134:$M$153,$G1157,月間集計シート!R$134:R$153)*AW$2</f>
        <v>0</v>
      </c>
      <c r="AX1157" s="88">
        <f>SUMIF(月間集計シート!$M$134:$M$153,$G1157,月間集計シート!S$134:S$153)*AX$2</f>
        <v>0</v>
      </c>
      <c r="AY1157" s="88">
        <f>SUMIF(月間集計シート!$M$134:$M$153,$G1157,月間集計シート!T$134:T$153)*AY$2</f>
        <v>0</v>
      </c>
    </row>
    <row r="1158" spans="1:51" ht="14.25" thickBot="1">
      <c r="A1158">
        <v>14</v>
      </c>
      <c r="B1158" s="120">
        <f t="shared" si="623"/>
        <v>0</v>
      </c>
      <c r="C1158" s="120" t="str">
        <f t="shared" si="624"/>
        <v/>
      </c>
      <c r="D1158" s="137"/>
      <c r="E1158" s="150" t="str">
        <f>工種!A45</f>
        <v>60104</v>
      </c>
      <c r="F1158" s="119" t="str">
        <f>工種!B45</f>
        <v>ﾘﾘｰｽ：ﾍﾙﾌﾟ作成・修正</v>
      </c>
      <c r="G1158" s="116" t="str">
        <f t="shared" si="625"/>
        <v>060104</v>
      </c>
      <c r="H1158" s="88">
        <f t="shared" si="579"/>
        <v>0</v>
      </c>
      <c r="I1158" s="132"/>
      <c r="J1158" s="88">
        <f>SUMIF(月間集計シート!$M$29:$M$48,$G1158,月間集計シート!N$29:N$48)*J$2</f>
        <v>0</v>
      </c>
      <c r="K1158" s="88">
        <f>SUMIF(月間集計シート!$M$29:$M$48,$G1158,月間集計シート!O$29:O$48)*K$2</f>
        <v>0</v>
      </c>
      <c r="L1158" s="88">
        <f>SUMIF(月間集計シート!$M$29:$M$48,$G1158,月間集計シート!P$29:P$48)*L$2</f>
        <v>0</v>
      </c>
      <c r="M1158" s="88">
        <f>SUMIF(月間集計シート!$M$29:$M$48,$G1158,月間集計シート!Q$29:Q$48)*M$2</f>
        <v>0</v>
      </c>
      <c r="N1158" s="88">
        <f>SUMIF(月間集計シート!$M$29:$M$48,$G1158,月間集計シート!R$29:R$48)*N$2</f>
        <v>0</v>
      </c>
      <c r="O1158" s="88">
        <f>SUMIF(月間集計シート!$M$29:$M$48,$G1158,月間集計シート!S$29:S$48)*O$2</f>
        <v>0</v>
      </c>
      <c r="P1158" s="88">
        <f>SUMIF(月間集計シート!$M$29:$M$48,$G1158,月間集計シート!T$29:T$48)*P$2</f>
        <v>0</v>
      </c>
      <c r="Q1158" s="88">
        <f>SUMIF(月間集計シート!$M$50:$M$69,$G1158,月間集計シート!N$50:N$69)*Q$2</f>
        <v>0</v>
      </c>
      <c r="R1158" s="88">
        <f>SUMIF(月間集計シート!$M$50:$M$69,$G1158,月間集計シート!O$50:O$69)*R$2</f>
        <v>0</v>
      </c>
      <c r="S1158" s="88">
        <f>SUMIF(月間集計シート!$M$50:$M$69,$G1158,月間集計シート!P$50:P$69)*S$2</f>
        <v>0</v>
      </c>
      <c r="T1158" s="88">
        <f>SUMIF(月間集計シート!$M$50:$M$69,$G1158,月間集計シート!Q$50:Q$69)*T$2</f>
        <v>0</v>
      </c>
      <c r="U1158" s="88">
        <f>SUMIF(月間集計シート!$M$50:$M$69,$G1158,月間集計シート!R$50:R$69)*U$2</f>
        <v>0</v>
      </c>
      <c r="V1158" s="88">
        <f>SUMIF(月間集計シート!$M$50:$M$69,$G1158,月間集計シート!S$50:S$69)*V$2</f>
        <v>0</v>
      </c>
      <c r="W1158" s="88">
        <f>SUMIF(月間集計シート!$M$50:$M$69,$G1158,月間集計シート!T$50:T$69)*W$2</f>
        <v>0</v>
      </c>
      <c r="X1158" s="88">
        <f>SUMIF(月間集計シート!$M$71:$M$90,$G1158,月間集計シート!N$71:N$90)*X$2</f>
        <v>0</v>
      </c>
      <c r="Y1158" s="88">
        <f>SUMIF(月間集計シート!$M$71:$M$90,$G1158,月間集計シート!O$71:O$90)*Y$2</f>
        <v>0</v>
      </c>
      <c r="Z1158" s="88">
        <f>SUMIF(月間集計シート!$M$71:$M$90,$G1158,月間集計シート!P$71:P$90)*Z$2</f>
        <v>0</v>
      </c>
      <c r="AA1158" s="88">
        <f>SUMIF(月間集計シート!$M$71:$M$90,$G1158,月間集計シート!Q$71:Q$90)*AA$2</f>
        <v>0</v>
      </c>
      <c r="AB1158" s="88">
        <f>SUMIF(月間集計シート!$M$71:$M$90,$G1158,月間集計シート!R$71:R$90)*AB$2</f>
        <v>0</v>
      </c>
      <c r="AC1158" s="88">
        <f>SUMIF(月間集計シート!$M$71:$M$90,$G1158,月間集計シート!S$71:S$90)*AC$2</f>
        <v>0</v>
      </c>
      <c r="AD1158" s="88">
        <f>SUMIF(月間集計シート!$M$71:$M$90,$G1158,月間集計シート!T$71:T$90)*AD$2</f>
        <v>0</v>
      </c>
      <c r="AE1158" s="88">
        <f>SUMIF(月間集計シート!$M$92:$M$111,$G1158,月間集計シート!N$92:N$111)*AE$2</f>
        <v>0</v>
      </c>
      <c r="AF1158" s="88">
        <f>SUMIF(月間集計シート!$M$92:$M$111,$G1158,月間集計シート!O$92:O$111)*AF$2</f>
        <v>0</v>
      </c>
      <c r="AG1158" s="88">
        <f>SUMIF(月間集計シート!$M$92:$M$111,$G1158,月間集計シート!P$92:P$111)*AG$2</f>
        <v>0</v>
      </c>
      <c r="AH1158" s="88">
        <f>SUMIF(月間集計シート!$M$92:$M$111,$G1158,月間集計シート!Q$92:Q$111)*AH$2</f>
        <v>0</v>
      </c>
      <c r="AI1158" s="88">
        <f>SUMIF(月間集計シート!$M$92:$M$111,$G1158,月間集計シート!R$92:R$111)*AI$2</f>
        <v>0</v>
      </c>
      <c r="AJ1158" s="88">
        <f>SUMIF(月間集計シート!$M$92:$M$111,$G1158,月間集計シート!S$92:S$111)*AJ$2</f>
        <v>0</v>
      </c>
      <c r="AK1158" s="88">
        <f>SUMIF(月間集計シート!$M$92:$M$111,$G1158,月間集計シート!T$92:T$111)*AK$2</f>
        <v>0</v>
      </c>
      <c r="AL1158" s="88">
        <f>SUMIF(月間集計シート!$M$113:$M$132,$G1158,月間集計シート!N$113:N$132)*AL$2</f>
        <v>0</v>
      </c>
      <c r="AM1158" s="88">
        <f>SUMIF(月間集計シート!$M$113:$M$132,$G1158,月間集計シート!O$113:O$132)*AM$2</f>
        <v>0</v>
      </c>
      <c r="AN1158" s="88">
        <f>SUMIF(月間集計シート!$M$113:$M$132,$G1158,月間集計シート!P$113:P$132)*AN$2</f>
        <v>0</v>
      </c>
      <c r="AO1158" s="88">
        <f>SUMIF(月間集計シート!$M$113:$M$132,$G1158,月間集計シート!Q$113:Q$132)*AO$2</f>
        <v>0</v>
      </c>
      <c r="AP1158" s="88">
        <f>SUMIF(月間集計シート!$M$113:$M$132,$G1158,月間集計シート!R$113:R$132)*AP$2</f>
        <v>0</v>
      </c>
      <c r="AQ1158" s="88">
        <f>SUMIF(月間集計シート!$M$113:$M$132,$G1158,月間集計シート!S$113:S$132)*AQ$2</f>
        <v>0</v>
      </c>
      <c r="AR1158" s="88">
        <f>SUMIF(月間集計シート!$M$113:$M$132,$G1158,月間集計シート!T$113:T$132)*AR$2</f>
        <v>0</v>
      </c>
      <c r="AS1158" s="88">
        <f>SUMIF(月間集計シート!$M$134:$M$153,$G1158,月間集計シート!N$134:N$153)*AS$2</f>
        <v>0</v>
      </c>
      <c r="AT1158" s="88">
        <f>SUMIF(月間集計シート!$M$134:$M$153,$G1158,月間集計シート!O$134:O$153)*AT$2</f>
        <v>0</v>
      </c>
      <c r="AU1158" s="88">
        <f>SUMIF(月間集計シート!$M$134:$M$153,$G1158,月間集計シート!P$134:P$153)*AU$2</f>
        <v>0</v>
      </c>
      <c r="AV1158" s="88">
        <f>SUMIF(月間集計シート!$M$134:$M$153,$G1158,月間集計シート!Q$134:Q$153)*AV$2</f>
        <v>0</v>
      </c>
      <c r="AW1158" s="88">
        <f>SUMIF(月間集計シート!$M$134:$M$153,$G1158,月間集計シート!R$134:R$153)*AW$2</f>
        <v>0</v>
      </c>
      <c r="AX1158" s="88">
        <f>SUMIF(月間集計シート!$M$134:$M$153,$G1158,月間集計シート!S$134:S$153)*AX$2</f>
        <v>0</v>
      </c>
      <c r="AY1158" s="88">
        <f>SUMIF(月間集計シート!$M$134:$M$153,$G1158,月間集計シート!T$134:T$153)*AY$2</f>
        <v>0</v>
      </c>
    </row>
    <row r="1159" spans="1:51" ht="14.25" thickBot="1">
      <c r="A1159">
        <v>14</v>
      </c>
      <c r="B1159" s="120">
        <f t="shared" si="623"/>
        <v>0</v>
      </c>
      <c r="C1159" s="120" t="str">
        <f t="shared" si="624"/>
        <v/>
      </c>
      <c r="D1159" s="137"/>
      <c r="E1159" s="150" t="str">
        <f>工種!A46</f>
        <v>60105</v>
      </c>
      <c r="F1159" s="119" t="str">
        <f>工種!B46</f>
        <v>ﾘﾘｰｽ：締め作業</v>
      </c>
      <c r="G1159" s="116" t="str">
        <f t="shared" si="625"/>
        <v>060105</v>
      </c>
      <c r="H1159" s="88">
        <f t="shared" si="579"/>
        <v>0</v>
      </c>
      <c r="I1159" s="132"/>
      <c r="J1159" s="88">
        <f>SUMIF(月間集計シート!$M$29:$M$48,$G1159,月間集計シート!N$29:N$48)*J$2</f>
        <v>0</v>
      </c>
      <c r="K1159" s="88">
        <f>SUMIF(月間集計シート!$M$29:$M$48,$G1159,月間集計シート!O$29:O$48)*K$2</f>
        <v>0</v>
      </c>
      <c r="L1159" s="88">
        <f>SUMIF(月間集計シート!$M$29:$M$48,$G1159,月間集計シート!P$29:P$48)*L$2</f>
        <v>0</v>
      </c>
      <c r="M1159" s="88">
        <f>SUMIF(月間集計シート!$M$29:$M$48,$G1159,月間集計シート!Q$29:Q$48)*M$2</f>
        <v>0</v>
      </c>
      <c r="N1159" s="88">
        <f>SUMIF(月間集計シート!$M$29:$M$48,$G1159,月間集計シート!R$29:R$48)*N$2</f>
        <v>0</v>
      </c>
      <c r="O1159" s="88">
        <f>SUMIF(月間集計シート!$M$29:$M$48,$G1159,月間集計シート!S$29:S$48)*O$2</f>
        <v>0</v>
      </c>
      <c r="P1159" s="88">
        <f>SUMIF(月間集計シート!$M$29:$M$48,$G1159,月間集計シート!T$29:T$48)*P$2</f>
        <v>0</v>
      </c>
      <c r="Q1159" s="88">
        <f>SUMIF(月間集計シート!$M$50:$M$69,$G1159,月間集計シート!N$50:N$69)*Q$2</f>
        <v>0</v>
      </c>
      <c r="R1159" s="88">
        <f>SUMIF(月間集計シート!$M$50:$M$69,$G1159,月間集計シート!O$50:O$69)*R$2</f>
        <v>0</v>
      </c>
      <c r="S1159" s="88">
        <f>SUMIF(月間集計シート!$M$50:$M$69,$G1159,月間集計シート!P$50:P$69)*S$2</f>
        <v>0</v>
      </c>
      <c r="T1159" s="88">
        <f>SUMIF(月間集計シート!$M$50:$M$69,$G1159,月間集計シート!Q$50:Q$69)*T$2</f>
        <v>0</v>
      </c>
      <c r="U1159" s="88">
        <f>SUMIF(月間集計シート!$M$50:$M$69,$G1159,月間集計シート!R$50:R$69)*U$2</f>
        <v>0</v>
      </c>
      <c r="V1159" s="88">
        <f>SUMIF(月間集計シート!$M$50:$M$69,$G1159,月間集計シート!S$50:S$69)*V$2</f>
        <v>0</v>
      </c>
      <c r="W1159" s="88">
        <f>SUMIF(月間集計シート!$M$50:$M$69,$G1159,月間集計シート!T$50:T$69)*W$2</f>
        <v>0</v>
      </c>
      <c r="X1159" s="88">
        <f>SUMIF(月間集計シート!$M$71:$M$90,$G1159,月間集計シート!N$71:N$90)*X$2</f>
        <v>0</v>
      </c>
      <c r="Y1159" s="88">
        <f>SUMIF(月間集計シート!$M$71:$M$90,$G1159,月間集計シート!O$71:O$90)*Y$2</f>
        <v>0</v>
      </c>
      <c r="Z1159" s="88">
        <f>SUMIF(月間集計シート!$M$71:$M$90,$G1159,月間集計シート!P$71:P$90)*Z$2</f>
        <v>0</v>
      </c>
      <c r="AA1159" s="88">
        <f>SUMIF(月間集計シート!$M$71:$M$90,$G1159,月間集計シート!Q$71:Q$90)*AA$2</f>
        <v>0</v>
      </c>
      <c r="AB1159" s="88">
        <f>SUMIF(月間集計シート!$M$71:$M$90,$G1159,月間集計シート!R$71:R$90)*AB$2</f>
        <v>0</v>
      </c>
      <c r="AC1159" s="88">
        <f>SUMIF(月間集計シート!$M$71:$M$90,$G1159,月間集計シート!S$71:S$90)*AC$2</f>
        <v>0</v>
      </c>
      <c r="AD1159" s="88">
        <f>SUMIF(月間集計シート!$M$71:$M$90,$G1159,月間集計シート!T$71:T$90)*AD$2</f>
        <v>0</v>
      </c>
      <c r="AE1159" s="88">
        <f>SUMIF(月間集計シート!$M$92:$M$111,$G1159,月間集計シート!N$92:N$111)*AE$2</f>
        <v>0</v>
      </c>
      <c r="AF1159" s="88">
        <f>SUMIF(月間集計シート!$M$92:$M$111,$G1159,月間集計シート!O$92:O$111)*AF$2</f>
        <v>0</v>
      </c>
      <c r="AG1159" s="88">
        <f>SUMIF(月間集計シート!$M$92:$M$111,$G1159,月間集計シート!P$92:P$111)*AG$2</f>
        <v>0</v>
      </c>
      <c r="AH1159" s="88">
        <f>SUMIF(月間集計シート!$M$92:$M$111,$G1159,月間集計シート!Q$92:Q$111)*AH$2</f>
        <v>0</v>
      </c>
      <c r="AI1159" s="88">
        <f>SUMIF(月間集計シート!$M$92:$M$111,$G1159,月間集計シート!R$92:R$111)*AI$2</f>
        <v>0</v>
      </c>
      <c r="AJ1159" s="88">
        <f>SUMIF(月間集計シート!$M$92:$M$111,$G1159,月間集計シート!S$92:S$111)*AJ$2</f>
        <v>0</v>
      </c>
      <c r="AK1159" s="88">
        <f>SUMIF(月間集計シート!$M$92:$M$111,$G1159,月間集計シート!T$92:T$111)*AK$2</f>
        <v>0</v>
      </c>
      <c r="AL1159" s="88">
        <f>SUMIF(月間集計シート!$M$113:$M$132,$G1159,月間集計シート!N$113:N$132)*AL$2</f>
        <v>0</v>
      </c>
      <c r="AM1159" s="88">
        <f>SUMIF(月間集計シート!$M$113:$M$132,$G1159,月間集計シート!O$113:O$132)*AM$2</f>
        <v>0</v>
      </c>
      <c r="AN1159" s="88">
        <f>SUMIF(月間集計シート!$M$113:$M$132,$G1159,月間集計シート!P$113:P$132)*AN$2</f>
        <v>0</v>
      </c>
      <c r="AO1159" s="88">
        <f>SUMIF(月間集計シート!$M$113:$M$132,$G1159,月間集計シート!Q$113:Q$132)*AO$2</f>
        <v>0</v>
      </c>
      <c r="AP1159" s="88">
        <f>SUMIF(月間集計シート!$M$113:$M$132,$G1159,月間集計シート!R$113:R$132)*AP$2</f>
        <v>0</v>
      </c>
      <c r="AQ1159" s="88">
        <f>SUMIF(月間集計シート!$M$113:$M$132,$G1159,月間集計シート!S$113:S$132)*AQ$2</f>
        <v>0</v>
      </c>
      <c r="AR1159" s="88">
        <f>SUMIF(月間集計シート!$M$113:$M$132,$G1159,月間集計シート!T$113:T$132)*AR$2</f>
        <v>0</v>
      </c>
      <c r="AS1159" s="88">
        <f>SUMIF(月間集計シート!$M$134:$M$153,$G1159,月間集計シート!N$134:N$153)*AS$2</f>
        <v>0</v>
      </c>
      <c r="AT1159" s="88">
        <f>SUMIF(月間集計シート!$M$134:$M$153,$G1159,月間集計シート!O$134:O$153)*AT$2</f>
        <v>0</v>
      </c>
      <c r="AU1159" s="88">
        <f>SUMIF(月間集計シート!$M$134:$M$153,$G1159,月間集計シート!P$134:P$153)*AU$2</f>
        <v>0</v>
      </c>
      <c r="AV1159" s="88">
        <f>SUMIF(月間集計シート!$M$134:$M$153,$G1159,月間集計シート!Q$134:Q$153)*AV$2</f>
        <v>0</v>
      </c>
      <c r="AW1159" s="88">
        <f>SUMIF(月間集計シート!$M$134:$M$153,$G1159,月間集計シート!R$134:R$153)*AW$2</f>
        <v>0</v>
      </c>
      <c r="AX1159" s="88">
        <f>SUMIF(月間集計シート!$M$134:$M$153,$G1159,月間集計シート!S$134:S$153)*AX$2</f>
        <v>0</v>
      </c>
      <c r="AY1159" s="88">
        <f>SUMIF(月間集計シート!$M$134:$M$153,$G1159,月間集計シート!T$134:T$153)*AY$2</f>
        <v>0</v>
      </c>
    </row>
    <row r="1160" spans="1:51" ht="14.25" thickBot="1">
      <c r="A1160">
        <v>14</v>
      </c>
      <c r="B1160" s="120">
        <f t="shared" si="623"/>
        <v>0</v>
      </c>
      <c r="C1160" s="120" t="str">
        <f t="shared" si="624"/>
        <v/>
      </c>
      <c r="D1160" s="137"/>
      <c r="E1160" s="150" t="str">
        <f>工種!A47</f>
        <v>60107</v>
      </c>
      <c r="F1160" s="119" t="str">
        <f>工種!B47</f>
        <v>ﾘﾘｰｽ：打合せ</v>
      </c>
      <c r="G1160" s="116" t="str">
        <f t="shared" si="625"/>
        <v>060107</v>
      </c>
      <c r="H1160" s="88">
        <f t="shared" si="579"/>
        <v>0</v>
      </c>
      <c r="I1160" s="132"/>
      <c r="J1160" s="88">
        <f>SUMIF(月間集計シート!$M$29:$M$48,$G1160,月間集計シート!N$29:N$48)*J$2</f>
        <v>0</v>
      </c>
      <c r="K1160" s="88">
        <f>SUMIF(月間集計シート!$M$29:$M$48,$G1160,月間集計シート!O$29:O$48)*K$2</f>
        <v>0</v>
      </c>
      <c r="L1160" s="88">
        <f>SUMIF(月間集計シート!$M$29:$M$48,$G1160,月間集計シート!P$29:P$48)*L$2</f>
        <v>0</v>
      </c>
      <c r="M1160" s="88">
        <f>SUMIF(月間集計シート!$M$29:$M$48,$G1160,月間集計シート!Q$29:Q$48)*M$2</f>
        <v>0</v>
      </c>
      <c r="N1160" s="88">
        <f>SUMIF(月間集計シート!$M$29:$M$48,$G1160,月間集計シート!R$29:R$48)*N$2</f>
        <v>0</v>
      </c>
      <c r="O1160" s="88">
        <f>SUMIF(月間集計シート!$M$29:$M$48,$G1160,月間集計シート!S$29:S$48)*O$2</f>
        <v>0</v>
      </c>
      <c r="P1160" s="88">
        <f>SUMIF(月間集計シート!$M$29:$M$48,$G1160,月間集計シート!T$29:T$48)*P$2</f>
        <v>0</v>
      </c>
      <c r="Q1160" s="88">
        <f>SUMIF(月間集計シート!$M$50:$M$69,$G1160,月間集計シート!N$50:N$69)*Q$2</f>
        <v>0</v>
      </c>
      <c r="R1160" s="88">
        <f>SUMIF(月間集計シート!$M$50:$M$69,$G1160,月間集計シート!O$50:O$69)*R$2</f>
        <v>0</v>
      </c>
      <c r="S1160" s="88">
        <f>SUMIF(月間集計シート!$M$50:$M$69,$G1160,月間集計シート!P$50:P$69)*S$2</f>
        <v>0</v>
      </c>
      <c r="T1160" s="88">
        <f>SUMIF(月間集計シート!$M$50:$M$69,$G1160,月間集計シート!Q$50:Q$69)*T$2</f>
        <v>0</v>
      </c>
      <c r="U1160" s="88">
        <f>SUMIF(月間集計シート!$M$50:$M$69,$G1160,月間集計シート!R$50:R$69)*U$2</f>
        <v>0</v>
      </c>
      <c r="V1160" s="88">
        <f>SUMIF(月間集計シート!$M$50:$M$69,$G1160,月間集計シート!S$50:S$69)*V$2</f>
        <v>0</v>
      </c>
      <c r="W1160" s="88">
        <f>SUMIF(月間集計シート!$M$50:$M$69,$G1160,月間集計シート!T$50:T$69)*W$2</f>
        <v>0</v>
      </c>
      <c r="X1160" s="88">
        <f>SUMIF(月間集計シート!$M$71:$M$90,$G1160,月間集計シート!N$71:N$90)*X$2</f>
        <v>0</v>
      </c>
      <c r="Y1160" s="88">
        <f>SUMIF(月間集計シート!$M$71:$M$90,$G1160,月間集計シート!O$71:O$90)*Y$2</f>
        <v>0</v>
      </c>
      <c r="Z1160" s="88">
        <f>SUMIF(月間集計シート!$M$71:$M$90,$G1160,月間集計シート!P$71:P$90)*Z$2</f>
        <v>0</v>
      </c>
      <c r="AA1160" s="88">
        <f>SUMIF(月間集計シート!$M$71:$M$90,$G1160,月間集計シート!Q$71:Q$90)*AA$2</f>
        <v>0</v>
      </c>
      <c r="AB1160" s="88">
        <f>SUMIF(月間集計シート!$M$71:$M$90,$G1160,月間集計シート!R$71:R$90)*AB$2</f>
        <v>0</v>
      </c>
      <c r="AC1160" s="88">
        <f>SUMIF(月間集計シート!$M$71:$M$90,$G1160,月間集計シート!S$71:S$90)*AC$2</f>
        <v>0</v>
      </c>
      <c r="AD1160" s="88">
        <f>SUMIF(月間集計シート!$M$71:$M$90,$G1160,月間集計シート!T$71:T$90)*AD$2</f>
        <v>0</v>
      </c>
      <c r="AE1160" s="88">
        <f>SUMIF(月間集計シート!$M$92:$M$111,$G1160,月間集計シート!N$92:N$111)*AE$2</f>
        <v>0</v>
      </c>
      <c r="AF1160" s="88">
        <f>SUMIF(月間集計シート!$M$92:$M$111,$G1160,月間集計シート!O$92:O$111)*AF$2</f>
        <v>0</v>
      </c>
      <c r="AG1160" s="88">
        <f>SUMIF(月間集計シート!$M$92:$M$111,$G1160,月間集計シート!P$92:P$111)*AG$2</f>
        <v>0</v>
      </c>
      <c r="AH1160" s="88">
        <f>SUMIF(月間集計シート!$M$92:$M$111,$G1160,月間集計シート!Q$92:Q$111)*AH$2</f>
        <v>0</v>
      </c>
      <c r="AI1160" s="88">
        <f>SUMIF(月間集計シート!$M$92:$M$111,$G1160,月間集計シート!R$92:R$111)*AI$2</f>
        <v>0</v>
      </c>
      <c r="AJ1160" s="88">
        <f>SUMIF(月間集計シート!$M$92:$M$111,$G1160,月間集計シート!S$92:S$111)*AJ$2</f>
        <v>0</v>
      </c>
      <c r="AK1160" s="88">
        <f>SUMIF(月間集計シート!$M$92:$M$111,$G1160,月間集計シート!T$92:T$111)*AK$2</f>
        <v>0</v>
      </c>
      <c r="AL1160" s="88">
        <f>SUMIF(月間集計シート!$M$113:$M$132,$G1160,月間集計シート!N$113:N$132)*AL$2</f>
        <v>0</v>
      </c>
      <c r="AM1160" s="88">
        <f>SUMIF(月間集計シート!$M$113:$M$132,$G1160,月間集計シート!O$113:O$132)*AM$2</f>
        <v>0</v>
      </c>
      <c r="AN1160" s="88">
        <f>SUMIF(月間集計シート!$M$113:$M$132,$G1160,月間集計シート!P$113:P$132)*AN$2</f>
        <v>0</v>
      </c>
      <c r="AO1160" s="88">
        <f>SUMIF(月間集計シート!$M$113:$M$132,$G1160,月間集計シート!Q$113:Q$132)*AO$2</f>
        <v>0</v>
      </c>
      <c r="AP1160" s="88">
        <f>SUMIF(月間集計シート!$M$113:$M$132,$G1160,月間集計シート!R$113:R$132)*AP$2</f>
        <v>0</v>
      </c>
      <c r="AQ1160" s="88">
        <f>SUMIF(月間集計シート!$M$113:$M$132,$G1160,月間集計シート!S$113:S$132)*AQ$2</f>
        <v>0</v>
      </c>
      <c r="AR1160" s="88">
        <f>SUMIF(月間集計シート!$M$113:$M$132,$G1160,月間集計シート!T$113:T$132)*AR$2</f>
        <v>0</v>
      </c>
      <c r="AS1160" s="88">
        <f>SUMIF(月間集計シート!$M$134:$M$153,$G1160,月間集計シート!N$134:N$153)*AS$2</f>
        <v>0</v>
      </c>
      <c r="AT1160" s="88">
        <f>SUMIF(月間集計シート!$M$134:$M$153,$G1160,月間集計シート!O$134:O$153)*AT$2</f>
        <v>0</v>
      </c>
      <c r="AU1160" s="88">
        <f>SUMIF(月間集計シート!$M$134:$M$153,$G1160,月間集計シート!P$134:P$153)*AU$2</f>
        <v>0</v>
      </c>
      <c r="AV1160" s="88">
        <f>SUMIF(月間集計シート!$M$134:$M$153,$G1160,月間集計シート!Q$134:Q$153)*AV$2</f>
        <v>0</v>
      </c>
      <c r="AW1160" s="88">
        <f>SUMIF(月間集計シート!$M$134:$M$153,$G1160,月間集計シート!R$134:R$153)*AW$2</f>
        <v>0</v>
      </c>
      <c r="AX1160" s="88">
        <f>SUMIF(月間集計シート!$M$134:$M$153,$G1160,月間集計シート!S$134:S$153)*AX$2</f>
        <v>0</v>
      </c>
      <c r="AY1160" s="88">
        <f>SUMIF(月間集計シート!$M$134:$M$153,$G1160,月間集計シート!T$134:T$153)*AY$2</f>
        <v>0</v>
      </c>
    </row>
    <row r="1161" spans="1:51" ht="14.25" thickBot="1">
      <c r="A1161">
        <v>14</v>
      </c>
      <c r="B1161" s="120">
        <f t="shared" si="623"/>
        <v>0</v>
      </c>
      <c r="C1161" s="120" t="str">
        <f t="shared" si="624"/>
        <v/>
      </c>
      <c r="D1161" s="137"/>
      <c r="E1161" s="150" t="str">
        <f>工種!A48</f>
        <v>60108</v>
      </c>
      <c r="F1161" s="119" t="str">
        <f>工種!B48</f>
        <v>ﾘﾘｰｽ：ﾚﾋﾞｭｰ</v>
      </c>
      <c r="G1161" s="116" t="str">
        <f t="shared" si="625"/>
        <v>060108</v>
      </c>
      <c r="H1161" s="88">
        <f t="shared" si="579"/>
        <v>0</v>
      </c>
      <c r="I1161" s="132"/>
      <c r="J1161" s="88">
        <f>SUMIF(月間集計シート!$M$29:$M$48,$G1161,月間集計シート!N$29:N$48)*J$2</f>
        <v>0</v>
      </c>
      <c r="K1161" s="88">
        <f>SUMIF(月間集計シート!$M$29:$M$48,$G1161,月間集計シート!O$29:O$48)*K$2</f>
        <v>0</v>
      </c>
      <c r="L1161" s="88">
        <f>SUMIF(月間集計シート!$M$29:$M$48,$G1161,月間集計シート!P$29:P$48)*L$2</f>
        <v>0</v>
      </c>
      <c r="M1161" s="88">
        <f>SUMIF(月間集計シート!$M$29:$M$48,$G1161,月間集計シート!Q$29:Q$48)*M$2</f>
        <v>0</v>
      </c>
      <c r="N1161" s="88">
        <f>SUMIF(月間集計シート!$M$29:$M$48,$G1161,月間集計シート!R$29:R$48)*N$2</f>
        <v>0</v>
      </c>
      <c r="O1161" s="88">
        <f>SUMIF(月間集計シート!$M$29:$M$48,$G1161,月間集計シート!S$29:S$48)*O$2</f>
        <v>0</v>
      </c>
      <c r="P1161" s="88">
        <f>SUMIF(月間集計シート!$M$29:$M$48,$G1161,月間集計シート!T$29:T$48)*P$2</f>
        <v>0</v>
      </c>
      <c r="Q1161" s="88">
        <f>SUMIF(月間集計シート!$M$50:$M$69,$G1161,月間集計シート!N$50:N$69)*Q$2</f>
        <v>0</v>
      </c>
      <c r="R1161" s="88">
        <f>SUMIF(月間集計シート!$M$50:$M$69,$G1161,月間集計シート!O$50:O$69)*R$2</f>
        <v>0</v>
      </c>
      <c r="S1161" s="88">
        <f>SUMIF(月間集計シート!$M$50:$M$69,$G1161,月間集計シート!P$50:P$69)*S$2</f>
        <v>0</v>
      </c>
      <c r="T1161" s="88">
        <f>SUMIF(月間集計シート!$M$50:$M$69,$G1161,月間集計シート!Q$50:Q$69)*T$2</f>
        <v>0</v>
      </c>
      <c r="U1161" s="88">
        <f>SUMIF(月間集計シート!$M$50:$M$69,$G1161,月間集計シート!R$50:R$69)*U$2</f>
        <v>0</v>
      </c>
      <c r="V1161" s="88">
        <f>SUMIF(月間集計シート!$M$50:$M$69,$G1161,月間集計シート!S$50:S$69)*V$2</f>
        <v>0</v>
      </c>
      <c r="W1161" s="88">
        <f>SUMIF(月間集計シート!$M$50:$M$69,$G1161,月間集計シート!T$50:T$69)*W$2</f>
        <v>0</v>
      </c>
      <c r="X1161" s="88">
        <f>SUMIF(月間集計シート!$M$71:$M$90,$G1161,月間集計シート!N$71:N$90)*X$2</f>
        <v>0</v>
      </c>
      <c r="Y1161" s="88">
        <f>SUMIF(月間集計シート!$M$71:$M$90,$G1161,月間集計シート!O$71:O$90)*Y$2</f>
        <v>0</v>
      </c>
      <c r="Z1161" s="88">
        <f>SUMIF(月間集計シート!$M$71:$M$90,$G1161,月間集計シート!P$71:P$90)*Z$2</f>
        <v>0</v>
      </c>
      <c r="AA1161" s="88">
        <f>SUMIF(月間集計シート!$M$71:$M$90,$G1161,月間集計シート!Q$71:Q$90)*AA$2</f>
        <v>0</v>
      </c>
      <c r="AB1161" s="88">
        <f>SUMIF(月間集計シート!$M$71:$M$90,$G1161,月間集計シート!R$71:R$90)*AB$2</f>
        <v>0</v>
      </c>
      <c r="AC1161" s="88">
        <f>SUMIF(月間集計シート!$M$71:$M$90,$G1161,月間集計シート!S$71:S$90)*AC$2</f>
        <v>0</v>
      </c>
      <c r="AD1161" s="88">
        <f>SUMIF(月間集計シート!$M$71:$M$90,$G1161,月間集計シート!T$71:T$90)*AD$2</f>
        <v>0</v>
      </c>
      <c r="AE1161" s="88">
        <f>SUMIF(月間集計シート!$M$92:$M$111,$G1161,月間集計シート!N$92:N$111)*AE$2</f>
        <v>0</v>
      </c>
      <c r="AF1161" s="88">
        <f>SUMIF(月間集計シート!$M$92:$M$111,$G1161,月間集計シート!O$92:O$111)*AF$2</f>
        <v>0</v>
      </c>
      <c r="AG1161" s="88">
        <f>SUMIF(月間集計シート!$M$92:$M$111,$G1161,月間集計シート!P$92:P$111)*AG$2</f>
        <v>0</v>
      </c>
      <c r="AH1161" s="88">
        <f>SUMIF(月間集計シート!$M$92:$M$111,$G1161,月間集計シート!Q$92:Q$111)*AH$2</f>
        <v>0</v>
      </c>
      <c r="AI1161" s="88">
        <f>SUMIF(月間集計シート!$M$92:$M$111,$G1161,月間集計シート!R$92:R$111)*AI$2</f>
        <v>0</v>
      </c>
      <c r="AJ1161" s="88">
        <f>SUMIF(月間集計シート!$M$92:$M$111,$G1161,月間集計シート!S$92:S$111)*AJ$2</f>
        <v>0</v>
      </c>
      <c r="AK1161" s="88">
        <f>SUMIF(月間集計シート!$M$92:$M$111,$G1161,月間集計シート!T$92:T$111)*AK$2</f>
        <v>0</v>
      </c>
      <c r="AL1161" s="88">
        <f>SUMIF(月間集計シート!$M$113:$M$132,$G1161,月間集計シート!N$113:N$132)*AL$2</f>
        <v>0</v>
      </c>
      <c r="AM1161" s="88">
        <f>SUMIF(月間集計シート!$M$113:$M$132,$G1161,月間集計シート!O$113:O$132)*AM$2</f>
        <v>0</v>
      </c>
      <c r="AN1161" s="88">
        <f>SUMIF(月間集計シート!$M$113:$M$132,$G1161,月間集計シート!P$113:P$132)*AN$2</f>
        <v>0</v>
      </c>
      <c r="AO1161" s="88">
        <f>SUMIF(月間集計シート!$M$113:$M$132,$G1161,月間集計シート!Q$113:Q$132)*AO$2</f>
        <v>0</v>
      </c>
      <c r="AP1161" s="88">
        <f>SUMIF(月間集計シート!$M$113:$M$132,$G1161,月間集計シート!R$113:R$132)*AP$2</f>
        <v>0</v>
      </c>
      <c r="AQ1161" s="88">
        <f>SUMIF(月間集計シート!$M$113:$M$132,$G1161,月間集計シート!S$113:S$132)*AQ$2</f>
        <v>0</v>
      </c>
      <c r="AR1161" s="88">
        <f>SUMIF(月間集計シート!$M$113:$M$132,$G1161,月間集計シート!T$113:T$132)*AR$2</f>
        <v>0</v>
      </c>
      <c r="AS1161" s="88">
        <f>SUMIF(月間集計シート!$M$134:$M$153,$G1161,月間集計シート!N$134:N$153)*AS$2</f>
        <v>0</v>
      </c>
      <c r="AT1161" s="88">
        <f>SUMIF(月間集計シート!$M$134:$M$153,$G1161,月間集計シート!O$134:O$153)*AT$2</f>
        <v>0</v>
      </c>
      <c r="AU1161" s="88">
        <f>SUMIF(月間集計シート!$M$134:$M$153,$G1161,月間集計シート!P$134:P$153)*AU$2</f>
        <v>0</v>
      </c>
      <c r="AV1161" s="88">
        <f>SUMIF(月間集計シート!$M$134:$M$153,$G1161,月間集計シート!Q$134:Q$153)*AV$2</f>
        <v>0</v>
      </c>
      <c r="AW1161" s="88">
        <f>SUMIF(月間集計シート!$M$134:$M$153,$G1161,月間集計シート!R$134:R$153)*AW$2</f>
        <v>0</v>
      </c>
      <c r="AX1161" s="88">
        <f>SUMIF(月間集計シート!$M$134:$M$153,$G1161,月間集計シート!S$134:S$153)*AX$2</f>
        <v>0</v>
      </c>
      <c r="AY1161" s="88">
        <f>SUMIF(月間集計シート!$M$134:$M$153,$G1161,月間集計シート!T$134:T$153)*AY$2</f>
        <v>0</v>
      </c>
    </row>
    <row r="1162" spans="1:51" ht="14.25" thickBot="1">
      <c r="A1162">
        <v>14</v>
      </c>
      <c r="B1162" s="120">
        <f t="shared" si="623"/>
        <v>0</v>
      </c>
      <c r="C1162" s="120" t="str">
        <f t="shared" si="624"/>
        <v/>
      </c>
      <c r="D1162" s="137"/>
      <c r="E1162" s="150" t="str">
        <f>工種!A49</f>
        <v>60199</v>
      </c>
      <c r="F1162" s="119" t="str">
        <f>工種!B49</f>
        <v>ﾘﾘｰｽ：その他</v>
      </c>
      <c r="G1162" s="116" t="str">
        <f t="shared" si="625"/>
        <v>060199</v>
      </c>
      <c r="H1162" s="88">
        <f t="shared" si="579"/>
        <v>0</v>
      </c>
      <c r="I1162" s="132"/>
      <c r="J1162" s="88">
        <f>SUMIF(月間集計シート!$M$29:$M$48,$G1162,月間集計シート!N$29:N$48)*J$2</f>
        <v>0</v>
      </c>
      <c r="K1162" s="88">
        <f>SUMIF(月間集計シート!$M$29:$M$48,$G1162,月間集計シート!O$29:O$48)*K$2</f>
        <v>0</v>
      </c>
      <c r="L1162" s="88">
        <f>SUMIF(月間集計シート!$M$29:$M$48,$G1162,月間集計シート!P$29:P$48)*L$2</f>
        <v>0</v>
      </c>
      <c r="M1162" s="88">
        <f>SUMIF(月間集計シート!$M$29:$M$48,$G1162,月間集計シート!Q$29:Q$48)*M$2</f>
        <v>0</v>
      </c>
      <c r="N1162" s="88">
        <f>SUMIF(月間集計シート!$M$29:$M$48,$G1162,月間集計シート!R$29:R$48)*N$2</f>
        <v>0</v>
      </c>
      <c r="O1162" s="88">
        <f>SUMIF(月間集計シート!$M$29:$M$48,$G1162,月間集計シート!S$29:S$48)*O$2</f>
        <v>0</v>
      </c>
      <c r="P1162" s="88">
        <f>SUMIF(月間集計シート!$M$29:$M$48,$G1162,月間集計シート!T$29:T$48)*P$2</f>
        <v>0</v>
      </c>
      <c r="Q1162" s="88">
        <f>SUMIF(月間集計シート!$M$50:$M$69,$G1162,月間集計シート!N$50:N$69)*Q$2</f>
        <v>0</v>
      </c>
      <c r="R1162" s="88">
        <f>SUMIF(月間集計シート!$M$50:$M$69,$G1162,月間集計シート!O$50:O$69)*R$2</f>
        <v>0</v>
      </c>
      <c r="S1162" s="88">
        <f>SUMIF(月間集計シート!$M$50:$M$69,$G1162,月間集計シート!P$50:P$69)*S$2</f>
        <v>0</v>
      </c>
      <c r="T1162" s="88">
        <f>SUMIF(月間集計シート!$M$50:$M$69,$G1162,月間集計シート!Q$50:Q$69)*T$2</f>
        <v>0</v>
      </c>
      <c r="U1162" s="88">
        <f>SUMIF(月間集計シート!$M$50:$M$69,$G1162,月間集計シート!R$50:R$69)*U$2</f>
        <v>0</v>
      </c>
      <c r="V1162" s="88">
        <f>SUMIF(月間集計シート!$M$50:$M$69,$G1162,月間集計シート!S$50:S$69)*V$2</f>
        <v>0</v>
      </c>
      <c r="W1162" s="88">
        <f>SUMIF(月間集計シート!$M$50:$M$69,$G1162,月間集計シート!T$50:T$69)*W$2</f>
        <v>0</v>
      </c>
      <c r="X1162" s="88">
        <f>SUMIF(月間集計シート!$M$71:$M$90,$G1162,月間集計シート!N$71:N$90)*X$2</f>
        <v>0</v>
      </c>
      <c r="Y1162" s="88">
        <f>SUMIF(月間集計シート!$M$71:$M$90,$G1162,月間集計シート!O$71:O$90)*Y$2</f>
        <v>0</v>
      </c>
      <c r="Z1162" s="88">
        <f>SUMIF(月間集計シート!$M$71:$M$90,$G1162,月間集計シート!P$71:P$90)*Z$2</f>
        <v>0</v>
      </c>
      <c r="AA1162" s="88">
        <f>SUMIF(月間集計シート!$M$71:$M$90,$G1162,月間集計シート!Q$71:Q$90)*AA$2</f>
        <v>0</v>
      </c>
      <c r="AB1162" s="88">
        <f>SUMIF(月間集計シート!$M$71:$M$90,$G1162,月間集計シート!R$71:R$90)*AB$2</f>
        <v>0</v>
      </c>
      <c r="AC1162" s="88">
        <f>SUMIF(月間集計シート!$M$71:$M$90,$G1162,月間集計シート!S$71:S$90)*AC$2</f>
        <v>0</v>
      </c>
      <c r="AD1162" s="88">
        <f>SUMIF(月間集計シート!$M$71:$M$90,$G1162,月間集計シート!T$71:T$90)*AD$2</f>
        <v>0</v>
      </c>
      <c r="AE1162" s="88">
        <f>SUMIF(月間集計シート!$M$92:$M$111,$G1162,月間集計シート!N$92:N$111)*AE$2</f>
        <v>0</v>
      </c>
      <c r="AF1162" s="88">
        <f>SUMIF(月間集計シート!$M$92:$M$111,$G1162,月間集計シート!O$92:O$111)*AF$2</f>
        <v>0</v>
      </c>
      <c r="AG1162" s="88">
        <f>SUMIF(月間集計シート!$M$92:$M$111,$G1162,月間集計シート!P$92:P$111)*AG$2</f>
        <v>0</v>
      </c>
      <c r="AH1162" s="88">
        <f>SUMIF(月間集計シート!$M$92:$M$111,$G1162,月間集計シート!Q$92:Q$111)*AH$2</f>
        <v>0</v>
      </c>
      <c r="AI1162" s="88">
        <f>SUMIF(月間集計シート!$M$92:$M$111,$G1162,月間集計シート!R$92:R$111)*AI$2</f>
        <v>0</v>
      </c>
      <c r="AJ1162" s="88">
        <f>SUMIF(月間集計シート!$M$92:$M$111,$G1162,月間集計シート!S$92:S$111)*AJ$2</f>
        <v>0</v>
      </c>
      <c r="AK1162" s="88">
        <f>SUMIF(月間集計シート!$M$92:$M$111,$G1162,月間集計シート!T$92:T$111)*AK$2</f>
        <v>0</v>
      </c>
      <c r="AL1162" s="88">
        <f>SUMIF(月間集計シート!$M$113:$M$132,$G1162,月間集計シート!N$113:N$132)*AL$2</f>
        <v>0</v>
      </c>
      <c r="AM1162" s="88">
        <f>SUMIF(月間集計シート!$M$113:$M$132,$G1162,月間集計シート!O$113:O$132)*AM$2</f>
        <v>0</v>
      </c>
      <c r="AN1162" s="88">
        <f>SUMIF(月間集計シート!$M$113:$M$132,$G1162,月間集計シート!P$113:P$132)*AN$2</f>
        <v>0</v>
      </c>
      <c r="AO1162" s="88">
        <f>SUMIF(月間集計シート!$M$113:$M$132,$G1162,月間集計シート!Q$113:Q$132)*AO$2</f>
        <v>0</v>
      </c>
      <c r="AP1162" s="88">
        <f>SUMIF(月間集計シート!$M$113:$M$132,$G1162,月間集計シート!R$113:R$132)*AP$2</f>
        <v>0</v>
      </c>
      <c r="AQ1162" s="88">
        <f>SUMIF(月間集計シート!$M$113:$M$132,$G1162,月間集計シート!S$113:S$132)*AQ$2</f>
        <v>0</v>
      </c>
      <c r="AR1162" s="88">
        <f>SUMIF(月間集計シート!$M$113:$M$132,$G1162,月間集計シート!T$113:T$132)*AR$2</f>
        <v>0</v>
      </c>
      <c r="AS1162" s="88">
        <f>SUMIF(月間集計シート!$M$134:$M$153,$G1162,月間集計シート!N$134:N$153)*AS$2</f>
        <v>0</v>
      </c>
      <c r="AT1162" s="88">
        <f>SUMIF(月間集計シート!$M$134:$M$153,$G1162,月間集計シート!O$134:O$153)*AT$2</f>
        <v>0</v>
      </c>
      <c r="AU1162" s="88">
        <f>SUMIF(月間集計シート!$M$134:$M$153,$G1162,月間集計シート!P$134:P$153)*AU$2</f>
        <v>0</v>
      </c>
      <c r="AV1162" s="88">
        <f>SUMIF(月間集計シート!$M$134:$M$153,$G1162,月間集計シート!Q$134:Q$153)*AV$2</f>
        <v>0</v>
      </c>
      <c r="AW1162" s="88">
        <f>SUMIF(月間集計シート!$M$134:$M$153,$G1162,月間集計シート!R$134:R$153)*AW$2</f>
        <v>0</v>
      </c>
      <c r="AX1162" s="88">
        <f>SUMIF(月間集計シート!$M$134:$M$153,$G1162,月間集計シート!S$134:S$153)*AX$2</f>
        <v>0</v>
      </c>
      <c r="AY1162" s="88">
        <f>SUMIF(月間集計シート!$M$134:$M$153,$G1162,月間集計シート!T$134:T$153)*AY$2</f>
        <v>0</v>
      </c>
    </row>
    <row r="1163" spans="1:51" ht="14.25" thickBot="1">
      <c r="A1163">
        <v>14</v>
      </c>
      <c r="B1163" s="120">
        <f t="shared" si="623"/>
        <v>0</v>
      </c>
      <c r="C1163" s="120" t="str">
        <f t="shared" si="624"/>
        <v/>
      </c>
      <c r="D1163" s="137"/>
      <c r="E1163" s="150">
        <f>工種!A50</f>
        <v>70101</v>
      </c>
      <c r="F1163" s="119" t="str">
        <f>工種!B50</f>
        <v>外部不具合修正：調査・設計</v>
      </c>
      <c r="G1163" s="116" t="str">
        <f t="shared" si="625"/>
        <v>070101</v>
      </c>
      <c r="H1163" s="88">
        <f t="shared" si="579"/>
        <v>0</v>
      </c>
      <c r="I1163" s="132"/>
      <c r="J1163" s="88">
        <f>SUMIF(月間集計シート!$M$29:$M$48,$G1163,月間集計シート!N$29:N$48)*J$2</f>
        <v>0</v>
      </c>
      <c r="K1163" s="88">
        <f>SUMIF(月間集計シート!$M$29:$M$48,$G1163,月間集計シート!O$29:O$48)*K$2</f>
        <v>0</v>
      </c>
      <c r="L1163" s="88">
        <f>SUMIF(月間集計シート!$M$29:$M$48,$G1163,月間集計シート!P$29:P$48)*L$2</f>
        <v>0</v>
      </c>
      <c r="M1163" s="88">
        <f>SUMIF(月間集計シート!$M$29:$M$48,$G1163,月間集計シート!Q$29:Q$48)*M$2</f>
        <v>0</v>
      </c>
      <c r="N1163" s="88">
        <f>SUMIF(月間集計シート!$M$29:$M$48,$G1163,月間集計シート!R$29:R$48)*N$2</f>
        <v>0</v>
      </c>
      <c r="O1163" s="88">
        <f>SUMIF(月間集計シート!$M$29:$M$48,$G1163,月間集計シート!S$29:S$48)*O$2</f>
        <v>0</v>
      </c>
      <c r="P1163" s="88">
        <f>SUMIF(月間集計シート!$M$29:$M$48,$G1163,月間集計シート!T$29:T$48)*P$2</f>
        <v>0</v>
      </c>
      <c r="Q1163" s="88">
        <f>SUMIF(月間集計シート!$M$50:$M$69,$G1163,月間集計シート!N$50:N$69)*Q$2</f>
        <v>0</v>
      </c>
      <c r="R1163" s="88">
        <f>SUMIF(月間集計シート!$M$50:$M$69,$G1163,月間集計シート!O$50:O$69)*R$2</f>
        <v>0</v>
      </c>
      <c r="S1163" s="88">
        <f>SUMIF(月間集計シート!$M$50:$M$69,$G1163,月間集計シート!P$50:P$69)*S$2</f>
        <v>0</v>
      </c>
      <c r="T1163" s="88">
        <f>SUMIF(月間集計シート!$M$50:$M$69,$G1163,月間集計シート!Q$50:Q$69)*T$2</f>
        <v>0</v>
      </c>
      <c r="U1163" s="88">
        <f>SUMIF(月間集計シート!$M$50:$M$69,$G1163,月間集計シート!R$50:R$69)*U$2</f>
        <v>0</v>
      </c>
      <c r="V1163" s="88">
        <f>SUMIF(月間集計シート!$M$50:$M$69,$G1163,月間集計シート!S$50:S$69)*V$2</f>
        <v>0</v>
      </c>
      <c r="W1163" s="88">
        <f>SUMIF(月間集計シート!$M$50:$M$69,$G1163,月間集計シート!T$50:T$69)*W$2</f>
        <v>0</v>
      </c>
      <c r="X1163" s="88">
        <f>SUMIF(月間集計シート!$M$71:$M$90,$G1163,月間集計シート!N$71:N$90)*X$2</f>
        <v>0</v>
      </c>
      <c r="Y1163" s="88">
        <f>SUMIF(月間集計シート!$M$71:$M$90,$G1163,月間集計シート!O$71:O$90)*Y$2</f>
        <v>0</v>
      </c>
      <c r="Z1163" s="88">
        <f>SUMIF(月間集計シート!$M$71:$M$90,$G1163,月間集計シート!P$71:P$90)*Z$2</f>
        <v>0</v>
      </c>
      <c r="AA1163" s="88">
        <f>SUMIF(月間集計シート!$M$71:$M$90,$G1163,月間集計シート!Q$71:Q$90)*AA$2</f>
        <v>0</v>
      </c>
      <c r="AB1163" s="88">
        <f>SUMIF(月間集計シート!$M$71:$M$90,$G1163,月間集計シート!R$71:R$90)*AB$2</f>
        <v>0</v>
      </c>
      <c r="AC1163" s="88">
        <f>SUMIF(月間集計シート!$M$71:$M$90,$G1163,月間集計シート!S$71:S$90)*AC$2</f>
        <v>0</v>
      </c>
      <c r="AD1163" s="88">
        <f>SUMIF(月間集計シート!$M$71:$M$90,$G1163,月間集計シート!T$71:T$90)*AD$2</f>
        <v>0</v>
      </c>
      <c r="AE1163" s="88">
        <f>SUMIF(月間集計シート!$M$92:$M$111,$G1163,月間集計シート!N$92:N$111)*AE$2</f>
        <v>0</v>
      </c>
      <c r="AF1163" s="88">
        <f>SUMIF(月間集計シート!$M$92:$M$111,$G1163,月間集計シート!O$92:O$111)*AF$2</f>
        <v>0</v>
      </c>
      <c r="AG1163" s="88">
        <f>SUMIF(月間集計シート!$M$92:$M$111,$G1163,月間集計シート!P$92:P$111)*AG$2</f>
        <v>0</v>
      </c>
      <c r="AH1163" s="88">
        <f>SUMIF(月間集計シート!$M$92:$M$111,$G1163,月間集計シート!Q$92:Q$111)*AH$2</f>
        <v>0</v>
      </c>
      <c r="AI1163" s="88">
        <f>SUMIF(月間集計シート!$M$92:$M$111,$G1163,月間集計シート!R$92:R$111)*AI$2</f>
        <v>0</v>
      </c>
      <c r="AJ1163" s="88">
        <f>SUMIF(月間集計シート!$M$92:$M$111,$G1163,月間集計シート!S$92:S$111)*AJ$2</f>
        <v>0</v>
      </c>
      <c r="AK1163" s="88">
        <f>SUMIF(月間集計シート!$M$92:$M$111,$G1163,月間集計シート!T$92:T$111)*AK$2</f>
        <v>0</v>
      </c>
      <c r="AL1163" s="88">
        <f>SUMIF(月間集計シート!$M$113:$M$132,$G1163,月間集計シート!N$113:N$132)*AL$2</f>
        <v>0</v>
      </c>
      <c r="AM1163" s="88">
        <f>SUMIF(月間集計シート!$M$113:$M$132,$G1163,月間集計シート!O$113:O$132)*AM$2</f>
        <v>0</v>
      </c>
      <c r="AN1163" s="88">
        <f>SUMIF(月間集計シート!$M$113:$M$132,$G1163,月間集計シート!P$113:P$132)*AN$2</f>
        <v>0</v>
      </c>
      <c r="AO1163" s="88">
        <f>SUMIF(月間集計シート!$M$113:$M$132,$G1163,月間集計シート!Q$113:Q$132)*AO$2</f>
        <v>0</v>
      </c>
      <c r="AP1163" s="88">
        <f>SUMIF(月間集計シート!$M$113:$M$132,$G1163,月間集計シート!R$113:R$132)*AP$2</f>
        <v>0</v>
      </c>
      <c r="AQ1163" s="88">
        <f>SUMIF(月間集計シート!$M$113:$M$132,$G1163,月間集計シート!S$113:S$132)*AQ$2</f>
        <v>0</v>
      </c>
      <c r="AR1163" s="88">
        <f>SUMIF(月間集計シート!$M$113:$M$132,$G1163,月間集計シート!T$113:T$132)*AR$2</f>
        <v>0</v>
      </c>
      <c r="AS1163" s="88">
        <f>SUMIF(月間集計シート!$M$134:$M$153,$G1163,月間集計シート!N$134:N$153)*AS$2</f>
        <v>0</v>
      </c>
      <c r="AT1163" s="88">
        <f>SUMIF(月間集計シート!$M$134:$M$153,$G1163,月間集計シート!O$134:O$153)*AT$2</f>
        <v>0</v>
      </c>
      <c r="AU1163" s="88">
        <f>SUMIF(月間集計シート!$M$134:$M$153,$G1163,月間集計シート!P$134:P$153)*AU$2</f>
        <v>0</v>
      </c>
      <c r="AV1163" s="88">
        <f>SUMIF(月間集計シート!$M$134:$M$153,$G1163,月間集計シート!Q$134:Q$153)*AV$2</f>
        <v>0</v>
      </c>
      <c r="AW1163" s="88">
        <f>SUMIF(月間集計シート!$M$134:$M$153,$G1163,月間集計シート!R$134:R$153)*AW$2</f>
        <v>0</v>
      </c>
      <c r="AX1163" s="88">
        <f>SUMIF(月間集計シート!$M$134:$M$153,$G1163,月間集計シート!S$134:S$153)*AX$2</f>
        <v>0</v>
      </c>
      <c r="AY1163" s="88">
        <f>SUMIF(月間集計シート!$M$134:$M$153,$G1163,月間集計シート!T$134:T$153)*AY$2</f>
        <v>0</v>
      </c>
    </row>
    <row r="1164" spans="1:51" ht="14.25" thickBot="1">
      <c r="A1164">
        <v>14</v>
      </c>
      <c r="B1164" s="120">
        <f t="shared" si="623"/>
        <v>0</v>
      </c>
      <c r="C1164" s="120" t="str">
        <f t="shared" si="624"/>
        <v/>
      </c>
      <c r="D1164" s="137"/>
      <c r="E1164" s="150">
        <f>工種!A51</f>
        <v>70102</v>
      </c>
      <c r="F1164" s="119" t="str">
        <f>工種!B51</f>
        <v>外部不具合修正：コーディング</v>
      </c>
      <c r="G1164" s="116" t="str">
        <f t="shared" si="625"/>
        <v>070102</v>
      </c>
      <c r="H1164" s="88">
        <f t="shared" si="579"/>
        <v>0</v>
      </c>
      <c r="I1164" s="132"/>
      <c r="J1164" s="88">
        <f>SUMIF(月間集計シート!$M$29:$M$48,$G1164,月間集計シート!N$29:N$48)*J$2</f>
        <v>0</v>
      </c>
      <c r="K1164" s="88">
        <f>SUMIF(月間集計シート!$M$29:$M$48,$G1164,月間集計シート!O$29:O$48)*K$2</f>
        <v>0</v>
      </c>
      <c r="L1164" s="88">
        <f>SUMIF(月間集計シート!$M$29:$M$48,$G1164,月間集計シート!P$29:P$48)*L$2</f>
        <v>0</v>
      </c>
      <c r="M1164" s="88">
        <f>SUMIF(月間集計シート!$M$29:$M$48,$G1164,月間集計シート!Q$29:Q$48)*M$2</f>
        <v>0</v>
      </c>
      <c r="N1164" s="88">
        <f>SUMIF(月間集計シート!$M$29:$M$48,$G1164,月間集計シート!R$29:R$48)*N$2</f>
        <v>0</v>
      </c>
      <c r="O1164" s="88">
        <f>SUMIF(月間集計シート!$M$29:$M$48,$G1164,月間集計シート!S$29:S$48)*O$2</f>
        <v>0</v>
      </c>
      <c r="P1164" s="88">
        <f>SUMIF(月間集計シート!$M$29:$M$48,$G1164,月間集計シート!T$29:T$48)*P$2</f>
        <v>0</v>
      </c>
      <c r="Q1164" s="88">
        <f>SUMIF(月間集計シート!$M$50:$M$69,$G1164,月間集計シート!N$50:N$69)*Q$2</f>
        <v>0</v>
      </c>
      <c r="R1164" s="88">
        <f>SUMIF(月間集計シート!$M$50:$M$69,$G1164,月間集計シート!O$50:O$69)*R$2</f>
        <v>0</v>
      </c>
      <c r="S1164" s="88">
        <f>SUMIF(月間集計シート!$M$50:$M$69,$G1164,月間集計シート!P$50:P$69)*S$2</f>
        <v>0</v>
      </c>
      <c r="T1164" s="88">
        <f>SUMIF(月間集計シート!$M$50:$M$69,$G1164,月間集計シート!Q$50:Q$69)*T$2</f>
        <v>0</v>
      </c>
      <c r="U1164" s="88">
        <f>SUMIF(月間集計シート!$M$50:$M$69,$G1164,月間集計シート!R$50:R$69)*U$2</f>
        <v>0</v>
      </c>
      <c r="V1164" s="88">
        <f>SUMIF(月間集計シート!$M$50:$M$69,$G1164,月間集計シート!S$50:S$69)*V$2</f>
        <v>0</v>
      </c>
      <c r="W1164" s="88">
        <f>SUMIF(月間集計シート!$M$50:$M$69,$G1164,月間集計シート!T$50:T$69)*W$2</f>
        <v>0</v>
      </c>
      <c r="X1164" s="88">
        <f>SUMIF(月間集計シート!$M$71:$M$90,$G1164,月間集計シート!N$71:N$90)*X$2</f>
        <v>0</v>
      </c>
      <c r="Y1164" s="88">
        <f>SUMIF(月間集計シート!$M$71:$M$90,$G1164,月間集計シート!O$71:O$90)*Y$2</f>
        <v>0</v>
      </c>
      <c r="Z1164" s="88">
        <f>SUMIF(月間集計シート!$M$71:$M$90,$G1164,月間集計シート!P$71:P$90)*Z$2</f>
        <v>0</v>
      </c>
      <c r="AA1164" s="88">
        <f>SUMIF(月間集計シート!$M$71:$M$90,$G1164,月間集計シート!Q$71:Q$90)*AA$2</f>
        <v>0</v>
      </c>
      <c r="AB1164" s="88">
        <f>SUMIF(月間集計シート!$M$71:$M$90,$G1164,月間集計シート!R$71:R$90)*AB$2</f>
        <v>0</v>
      </c>
      <c r="AC1164" s="88">
        <f>SUMIF(月間集計シート!$M$71:$M$90,$G1164,月間集計シート!S$71:S$90)*AC$2</f>
        <v>0</v>
      </c>
      <c r="AD1164" s="88">
        <f>SUMIF(月間集計シート!$M$71:$M$90,$G1164,月間集計シート!T$71:T$90)*AD$2</f>
        <v>0</v>
      </c>
      <c r="AE1164" s="88">
        <f>SUMIF(月間集計シート!$M$92:$M$111,$G1164,月間集計シート!N$92:N$111)*AE$2</f>
        <v>0</v>
      </c>
      <c r="AF1164" s="88">
        <f>SUMIF(月間集計シート!$M$92:$M$111,$G1164,月間集計シート!O$92:O$111)*AF$2</f>
        <v>0</v>
      </c>
      <c r="AG1164" s="88">
        <f>SUMIF(月間集計シート!$M$92:$M$111,$G1164,月間集計シート!P$92:P$111)*AG$2</f>
        <v>0</v>
      </c>
      <c r="AH1164" s="88">
        <f>SUMIF(月間集計シート!$M$92:$M$111,$G1164,月間集計シート!Q$92:Q$111)*AH$2</f>
        <v>0</v>
      </c>
      <c r="AI1164" s="88">
        <f>SUMIF(月間集計シート!$M$92:$M$111,$G1164,月間集計シート!R$92:R$111)*AI$2</f>
        <v>0</v>
      </c>
      <c r="AJ1164" s="88">
        <f>SUMIF(月間集計シート!$M$92:$M$111,$G1164,月間集計シート!S$92:S$111)*AJ$2</f>
        <v>0</v>
      </c>
      <c r="AK1164" s="88">
        <f>SUMIF(月間集計シート!$M$92:$M$111,$G1164,月間集計シート!T$92:T$111)*AK$2</f>
        <v>0</v>
      </c>
      <c r="AL1164" s="88">
        <f>SUMIF(月間集計シート!$M$113:$M$132,$G1164,月間集計シート!N$113:N$132)*AL$2</f>
        <v>0</v>
      </c>
      <c r="AM1164" s="88">
        <f>SUMIF(月間集計シート!$M$113:$M$132,$G1164,月間集計シート!O$113:O$132)*AM$2</f>
        <v>0</v>
      </c>
      <c r="AN1164" s="88">
        <f>SUMIF(月間集計シート!$M$113:$M$132,$G1164,月間集計シート!P$113:P$132)*AN$2</f>
        <v>0</v>
      </c>
      <c r="AO1164" s="88">
        <f>SUMIF(月間集計シート!$M$113:$M$132,$G1164,月間集計シート!Q$113:Q$132)*AO$2</f>
        <v>0</v>
      </c>
      <c r="AP1164" s="88">
        <f>SUMIF(月間集計シート!$M$113:$M$132,$G1164,月間集計シート!R$113:R$132)*AP$2</f>
        <v>0</v>
      </c>
      <c r="AQ1164" s="88">
        <f>SUMIF(月間集計シート!$M$113:$M$132,$G1164,月間集計シート!S$113:S$132)*AQ$2</f>
        <v>0</v>
      </c>
      <c r="AR1164" s="88">
        <f>SUMIF(月間集計シート!$M$113:$M$132,$G1164,月間集計シート!T$113:T$132)*AR$2</f>
        <v>0</v>
      </c>
      <c r="AS1164" s="88">
        <f>SUMIF(月間集計シート!$M$134:$M$153,$G1164,月間集計シート!N$134:N$153)*AS$2</f>
        <v>0</v>
      </c>
      <c r="AT1164" s="88">
        <f>SUMIF(月間集計シート!$M$134:$M$153,$G1164,月間集計シート!O$134:O$153)*AT$2</f>
        <v>0</v>
      </c>
      <c r="AU1164" s="88">
        <f>SUMIF(月間集計シート!$M$134:$M$153,$G1164,月間集計シート!P$134:P$153)*AU$2</f>
        <v>0</v>
      </c>
      <c r="AV1164" s="88">
        <f>SUMIF(月間集計シート!$M$134:$M$153,$G1164,月間集計シート!Q$134:Q$153)*AV$2</f>
        <v>0</v>
      </c>
      <c r="AW1164" s="88">
        <f>SUMIF(月間集計シート!$M$134:$M$153,$G1164,月間集計シート!R$134:R$153)*AW$2</f>
        <v>0</v>
      </c>
      <c r="AX1164" s="88">
        <f>SUMIF(月間集計シート!$M$134:$M$153,$G1164,月間集計シート!S$134:S$153)*AX$2</f>
        <v>0</v>
      </c>
      <c r="AY1164" s="88">
        <f>SUMIF(月間集計シート!$M$134:$M$153,$G1164,月間集計シート!T$134:T$153)*AY$2</f>
        <v>0</v>
      </c>
    </row>
    <row r="1165" spans="1:51" ht="14.25" thickBot="1">
      <c r="A1165">
        <v>14</v>
      </c>
      <c r="B1165" s="120">
        <f t="shared" si="623"/>
        <v>0</v>
      </c>
      <c r="C1165" s="120" t="str">
        <f t="shared" si="624"/>
        <v/>
      </c>
      <c r="D1165" s="137"/>
      <c r="E1165" s="150">
        <f>工種!A52</f>
        <v>70103</v>
      </c>
      <c r="F1165" s="119" t="str">
        <f>工種!B52</f>
        <v>外部不具合修正：テスト</v>
      </c>
      <c r="G1165" s="116" t="str">
        <f t="shared" si="625"/>
        <v>070103</v>
      </c>
      <c r="H1165" s="88">
        <f t="shared" si="579"/>
        <v>0</v>
      </c>
      <c r="I1165" s="132"/>
      <c r="J1165" s="88">
        <f>SUMIF(月間集計シート!$M$29:$M$48,$G1165,月間集計シート!N$29:N$48)*J$2</f>
        <v>0</v>
      </c>
      <c r="K1165" s="88">
        <f>SUMIF(月間集計シート!$M$29:$M$48,$G1165,月間集計シート!O$29:O$48)*K$2</f>
        <v>0</v>
      </c>
      <c r="L1165" s="88">
        <f>SUMIF(月間集計シート!$M$29:$M$48,$G1165,月間集計シート!P$29:P$48)*L$2</f>
        <v>0</v>
      </c>
      <c r="M1165" s="88">
        <f>SUMIF(月間集計シート!$M$29:$M$48,$G1165,月間集計シート!Q$29:Q$48)*M$2</f>
        <v>0</v>
      </c>
      <c r="N1165" s="88">
        <f>SUMIF(月間集計シート!$M$29:$M$48,$G1165,月間集計シート!R$29:R$48)*N$2</f>
        <v>0</v>
      </c>
      <c r="O1165" s="88">
        <f>SUMIF(月間集計シート!$M$29:$M$48,$G1165,月間集計シート!S$29:S$48)*O$2</f>
        <v>0</v>
      </c>
      <c r="P1165" s="88">
        <f>SUMIF(月間集計シート!$M$29:$M$48,$G1165,月間集計シート!T$29:T$48)*P$2</f>
        <v>0</v>
      </c>
      <c r="Q1165" s="88">
        <f>SUMIF(月間集計シート!$M$50:$M$69,$G1165,月間集計シート!N$50:N$69)*Q$2</f>
        <v>0</v>
      </c>
      <c r="R1165" s="88">
        <f>SUMIF(月間集計シート!$M$50:$M$69,$G1165,月間集計シート!O$50:O$69)*R$2</f>
        <v>0</v>
      </c>
      <c r="S1165" s="88">
        <f>SUMIF(月間集計シート!$M$50:$M$69,$G1165,月間集計シート!P$50:P$69)*S$2</f>
        <v>0</v>
      </c>
      <c r="T1165" s="88">
        <f>SUMIF(月間集計シート!$M$50:$M$69,$G1165,月間集計シート!Q$50:Q$69)*T$2</f>
        <v>0</v>
      </c>
      <c r="U1165" s="88">
        <f>SUMIF(月間集計シート!$M$50:$M$69,$G1165,月間集計シート!R$50:R$69)*U$2</f>
        <v>0</v>
      </c>
      <c r="V1165" s="88">
        <f>SUMIF(月間集計シート!$M$50:$M$69,$G1165,月間集計シート!S$50:S$69)*V$2</f>
        <v>0</v>
      </c>
      <c r="W1165" s="88">
        <f>SUMIF(月間集計シート!$M$50:$M$69,$G1165,月間集計シート!T$50:T$69)*W$2</f>
        <v>0</v>
      </c>
      <c r="X1165" s="88">
        <f>SUMIF(月間集計シート!$M$71:$M$90,$G1165,月間集計シート!N$71:N$90)*X$2</f>
        <v>0</v>
      </c>
      <c r="Y1165" s="88">
        <f>SUMIF(月間集計シート!$M$71:$M$90,$G1165,月間集計シート!O$71:O$90)*Y$2</f>
        <v>0</v>
      </c>
      <c r="Z1165" s="88">
        <f>SUMIF(月間集計シート!$M$71:$M$90,$G1165,月間集計シート!P$71:P$90)*Z$2</f>
        <v>0</v>
      </c>
      <c r="AA1165" s="88">
        <f>SUMIF(月間集計シート!$M$71:$M$90,$G1165,月間集計シート!Q$71:Q$90)*AA$2</f>
        <v>0</v>
      </c>
      <c r="AB1165" s="88">
        <f>SUMIF(月間集計シート!$M$71:$M$90,$G1165,月間集計シート!R$71:R$90)*AB$2</f>
        <v>0</v>
      </c>
      <c r="AC1165" s="88">
        <f>SUMIF(月間集計シート!$M$71:$M$90,$G1165,月間集計シート!S$71:S$90)*AC$2</f>
        <v>0</v>
      </c>
      <c r="AD1165" s="88">
        <f>SUMIF(月間集計シート!$M$71:$M$90,$G1165,月間集計シート!T$71:T$90)*AD$2</f>
        <v>0</v>
      </c>
      <c r="AE1165" s="88">
        <f>SUMIF(月間集計シート!$M$92:$M$111,$G1165,月間集計シート!N$92:N$111)*AE$2</f>
        <v>0</v>
      </c>
      <c r="AF1165" s="88">
        <f>SUMIF(月間集計シート!$M$92:$M$111,$G1165,月間集計シート!O$92:O$111)*AF$2</f>
        <v>0</v>
      </c>
      <c r="AG1165" s="88">
        <f>SUMIF(月間集計シート!$M$92:$M$111,$G1165,月間集計シート!P$92:P$111)*AG$2</f>
        <v>0</v>
      </c>
      <c r="AH1165" s="88">
        <f>SUMIF(月間集計シート!$M$92:$M$111,$G1165,月間集計シート!Q$92:Q$111)*AH$2</f>
        <v>0</v>
      </c>
      <c r="AI1165" s="88">
        <f>SUMIF(月間集計シート!$M$92:$M$111,$G1165,月間集計シート!R$92:R$111)*AI$2</f>
        <v>0</v>
      </c>
      <c r="AJ1165" s="88">
        <f>SUMIF(月間集計シート!$M$92:$M$111,$G1165,月間集計シート!S$92:S$111)*AJ$2</f>
        <v>0</v>
      </c>
      <c r="AK1165" s="88">
        <f>SUMIF(月間集計シート!$M$92:$M$111,$G1165,月間集計シート!T$92:T$111)*AK$2</f>
        <v>0</v>
      </c>
      <c r="AL1165" s="88">
        <f>SUMIF(月間集計シート!$M$113:$M$132,$G1165,月間集計シート!N$113:N$132)*AL$2</f>
        <v>0</v>
      </c>
      <c r="AM1165" s="88">
        <f>SUMIF(月間集計シート!$M$113:$M$132,$G1165,月間集計シート!O$113:O$132)*AM$2</f>
        <v>0</v>
      </c>
      <c r="AN1165" s="88">
        <f>SUMIF(月間集計シート!$M$113:$M$132,$G1165,月間集計シート!P$113:P$132)*AN$2</f>
        <v>0</v>
      </c>
      <c r="AO1165" s="88">
        <f>SUMIF(月間集計シート!$M$113:$M$132,$G1165,月間集計シート!Q$113:Q$132)*AO$2</f>
        <v>0</v>
      </c>
      <c r="AP1165" s="88">
        <f>SUMIF(月間集計シート!$M$113:$M$132,$G1165,月間集計シート!R$113:R$132)*AP$2</f>
        <v>0</v>
      </c>
      <c r="AQ1165" s="88">
        <f>SUMIF(月間集計シート!$M$113:$M$132,$G1165,月間集計シート!S$113:S$132)*AQ$2</f>
        <v>0</v>
      </c>
      <c r="AR1165" s="88">
        <f>SUMIF(月間集計シート!$M$113:$M$132,$G1165,月間集計シート!T$113:T$132)*AR$2</f>
        <v>0</v>
      </c>
      <c r="AS1165" s="88">
        <f>SUMIF(月間集計シート!$M$134:$M$153,$G1165,月間集計シート!N$134:N$153)*AS$2</f>
        <v>0</v>
      </c>
      <c r="AT1165" s="88">
        <f>SUMIF(月間集計シート!$M$134:$M$153,$G1165,月間集計シート!O$134:O$153)*AT$2</f>
        <v>0</v>
      </c>
      <c r="AU1165" s="88">
        <f>SUMIF(月間集計シート!$M$134:$M$153,$G1165,月間集計シート!P$134:P$153)*AU$2</f>
        <v>0</v>
      </c>
      <c r="AV1165" s="88">
        <f>SUMIF(月間集計シート!$M$134:$M$153,$G1165,月間集計シート!Q$134:Q$153)*AV$2</f>
        <v>0</v>
      </c>
      <c r="AW1165" s="88">
        <f>SUMIF(月間集計シート!$M$134:$M$153,$G1165,月間集計シート!R$134:R$153)*AW$2</f>
        <v>0</v>
      </c>
      <c r="AX1165" s="88">
        <f>SUMIF(月間集計シート!$M$134:$M$153,$G1165,月間集計シート!S$134:S$153)*AX$2</f>
        <v>0</v>
      </c>
      <c r="AY1165" s="88">
        <f>SUMIF(月間集計シート!$M$134:$M$153,$G1165,月間集計シート!T$134:T$153)*AY$2</f>
        <v>0</v>
      </c>
    </row>
    <row r="1166" spans="1:51" ht="14.25" thickBot="1">
      <c r="A1166">
        <v>14</v>
      </c>
      <c r="B1166" s="120">
        <f t="shared" si="623"/>
        <v>0</v>
      </c>
      <c r="C1166" s="120" t="str">
        <f t="shared" si="624"/>
        <v/>
      </c>
      <c r="D1166" s="137"/>
      <c r="E1166" s="150">
        <f>工種!A53</f>
        <v>70104</v>
      </c>
      <c r="F1166" s="119" t="str">
        <f>工種!B53</f>
        <v>外部不具合修正：不具合連絡作成</v>
      </c>
      <c r="G1166" s="116" t="str">
        <f t="shared" si="625"/>
        <v>070104</v>
      </c>
      <c r="H1166" s="88">
        <f t="shared" si="579"/>
        <v>0</v>
      </c>
      <c r="I1166" s="132"/>
      <c r="J1166" s="88">
        <f>SUMIF(月間集計シート!$M$29:$M$48,$G1166,月間集計シート!N$29:N$48)*J$2</f>
        <v>0</v>
      </c>
      <c r="K1166" s="88">
        <f>SUMIF(月間集計シート!$M$29:$M$48,$G1166,月間集計シート!O$29:O$48)*K$2</f>
        <v>0</v>
      </c>
      <c r="L1166" s="88">
        <f>SUMIF(月間集計シート!$M$29:$M$48,$G1166,月間集計シート!P$29:P$48)*L$2</f>
        <v>0</v>
      </c>
      <c r="M1166" s="88">
        <f>SUMIF(月間集計シート!$M$29:$M$48,$G1166,月間集計シート!Q$29:Q$48)*M$2</f>
        <v>0</v>
      </c>
      <c r="N1166" s="88">
        <f>SUMIF(月間集計シート!$M$29:$M$48,$G1166,月間集計シート!R$29:R$48)*N$2</f>
        <v>0</v>
      </c>
      <c r="O1166" s="88">
        <f>SUMIF(月間集計シート!$M$29:$M$48,$G1166,月間集計シート!S$29:S$48)*O$2</f>
        <v>0</v>
      </c>
      <c r="P1166" s="88">
        <f>SUMIF(月間集計シート!$M$29:$M$48,$G1166,月間集計シート!T$29:T$48)*P$2</f>
        <v>0</v>
      </c>
      <c r="Q1166" s="88">
        <f>SUMIF(月間集計シート!$M$50:$M$69,$G1166,月間集計シート!N$50:N$69)*Q$2</f>
        <v>0</v>
      </c>
      <c r="R1166" s="88">
        <f>SUMIF(月間集計シート!$M$50:$M$69,$G1166,月間集計シート!O$50:O$69)*R$2</f>
        <v>0</v>
      </c>
      <c r="S1166" s="88">
        <f>SUMIF(月間集計シート!$M$50:$M$69,$G1166,月間集計シート!P$50:P$69)*S$2</f>
        <v>0</v>
      </c>
      <c r="T1166" s="88">
        <f>SUMIF(月間集計シート!$M$50:$M$69,$G1166,月間集計シート!Q$50:Q$69)*T$2</f>
        <v>0</v>
      </c>
      <c r="U1166" s="88">
        <f>SUMIF(月間集計シート!$M$50:$M$69,$G1166,月間集計シート!R$50:R$69)*U$2</f>
        <v>0</v>
      </c>
      <c r="V1166" s="88">
        <f>SUMIF(月間集計シート!$M$50:$M$69,$G1166,月間集計シート!S$50:S$69)*V$2</f>
        <v>0</v>
      </c>
      <c r="W1166" s="88">
        <f>SUMIF(月間集計シート!$M$50:$M$69,$G1166,月間集計シート!T$50:T$69)*W$2</f>
        <v>0</v>
      </c>
      <c r="X1166" s="88">
        <f>SUMIF(月間集計シート!$M$71:$M$90,$G1166,月間集計シート!N$71:N$90)*X$2</f>
        <v>0</v>
      </c>
      <c r="Y1166" s="88">
        <f>SUMIF(月間集計シート!$M$71:$M$90,$G1166,月間集計シート!O$71:O$90)*Y$2</f>
        <v>0</v>
      </c>
      <c r="Z1166" s="88">
        <f>SUMIF(月間集計シート!$M$71:$M$90,$G1166,月間集計シート!P$71:P$90)*Z$2</f>
        <v>0</v>
      </c>
      <c r="AA1166" s="88">
        <f>SUMIF(月間集計シート!$M$71:$M$90,$G1166,月間集計シート!Q$71:Q$90)*AA$2</f>
        <v>0</v>
      </c>
      <c r="AB1166" s="88">
        <f>SUMIF(月間集計シート!$M$71:$M$90,$G1166,月間集計シート!R$71:R$90)*AB$2</f>
        <v>0</v>
      </c>
      <c r="AC1166" s="88">
        <f>SUMIF(月間集計シート!$M$71:$M$90,$G1166,月間集計シート!S$71:S$90)*AC$2</f>
        <v>0</v>
      </c>
      <c r="AD1166" s="88">
        <f>SUMIF(月間集計シート!$M$71:$M$90,$G1166,月間集計シート!T$71:T$90)*AD$2</f>
        <v>0</v>
      </c>
      <c r="AE1166" s="88">
        <f>SUMIF(月間集計シート!$M$92:$M$111,$G1166,月間集計シート!N$92:N$111)*AE$2</f>
        <v>0</v>
      </c>
      <c r="AF1166" s="88">
        <f>SUMIF(月間集計シート!$M$92:$M$111,$G1166,月間集計シート!O$92:O$111)*AF$2</f>
        <v>0</v>
      </c>
      <c r="AG1166" s="88">
        <f>SUMIF(月間集計シート!$M$92:$M$111,$G1166,月間集計シート!P$92:P$111)*AG$2</f>
        <v>0</v>
      </c>
      <c r="AH1166" s="88">
        <f>SUMIF(月間集計シート!$M$92:$M$111,$G1166,月間集計シート!Q$92:Q$111)*AH$2</f>
        <v>0</v>
      </c>
      <c r="AI1166" s="88">
        <f>SUMIF(月間集計シート!$M$92:$M$111,$G1166,月間集計シート!R$92:R$111)*AI$2</f>
        <v>0</v>
      </c>
      <c r="AJ1166" s="88">
        <f>SUMIF(月間集計シート!$M$92:$M$111,$G1166,月間集計シート!S$92:S$111)*AJ$2</f>
        <v>0</v>
      </c>
      <c r="AK1166" s="88">
        <f>SUMIF(月間集計シート!$M$92:$M$111,$G1166,月間集計シート!T$92:T$111)*AK$2</f>
        <v>0</v>
      </c>
      <c r="AL1166" s="88">
        <f>SUMIF(月間集計シート!$M$113:$M$132,$G1166,月間集計シート!N$113:N$132)*AL$2</f>
        <v>0</v>
      </c>
      <c r="AM1166" s="88">
        <f>SUMIF(月間集計シート!$M$113:$M$132,$G1166,月間集計シート!O$113:O$132)*AM$2</f>
        <v>0</v>
      </c>
      <c r="AN1166" s="88">
        <f>SUMIF(月間集計シート!$M$113:$M$132,$G1166,月間集計シート!P$113:P$132)*AN$2</f>
        <v>0</v>
      </c>
      <c r="AO1166" s="88">
        <f>SUMIF(月間集計シート!$M$113:$M$132,$G1166,月間集計シート!Q$113:Q$132)*AO$2</f>
        <v>0</v>
      </c>
      <c r="AP1166" s="88">
        <f>SUMIF(月間集計シート!$M$113:$M$132,$G1166,月間集計シート!R$113:R$132)*AP$2</f>
        <v>0</v>
      </c>
      <c r="AQ1166" s="88">
        <f>SUMIF(月間集計シート!$M$113:$M$132,$G1166,月間集計シート!S$113:S$132)*AQ$2</f>
        <v>0</v>
      </c>
      <c r="AR1166" s="88">
        <f>SUMIF(月間集計シート!$M$113:$M$132,$G1166,月間集計シート!T$113:T$132)*AR$2</f>
        <v>0</v>
      </c>
      <c r="AS1166" s="88">
        <f>SUMIF(月間集計シート!$M$134:$M$153,$G1166,月間集計シート!N$134:N$153)*AS$2</f>
        <v>0</v>
      </c>
      <c r="AT1166" s="88">
        <f>SUMIF(月間集計シート!$M$134:$M$153,$G1166,月間集計シート!O$134:O$153)*AT$2</f>
        <v>0</v>
      </c>
      <c r="AU1166" s="88">
        <f>SUMIF(月間集計シート!$M$134:$M$153,$G1166,月間集計シート!P$134:P$153)*AU$2</f>
        <v>0</v>
      </c>
      <c r="AV1166" s="88">
        <f>SUMIF(月間集計シート!$M$134:$M$153,$G1166,月間集計シート!Q$134:Q$153)*AV$2</f>
        <v>0</v>
      </c>
      <c r="AW1166" s="88">
        <f>SUMIF(月間集計シート!$M$134:$M$153,$G1166,月間集計シート!R$134:R$153)*AW$2</f>
        <v>0</v>
      </c>
      <c r="AX1166" s="88">
        <f>SUMIF(月間集計シート!$M$134:$M$153,$G1166,月間集計シート!S$134:S$153)*AX$2</f>
        <v>0</v>
      </c>
      <c r="AY1166" s="88">
        <f>SUMIF(月間集計シート!$M$134:$M$153,$G1166,月間集計シート!T$134:T$153)*AY$2</f>
        <v>0</v>
      </c>
    </row>
    <row r="1167" spans="1:51" ht="14.25" thickBot="1">
      <c r="A1167">
        <v>14</v>
      </c>
      <c r="B1167" s="120">
        <f t="shared" si="623"/>
        <v>0</v>
      </c>
      <c r="C1167" s="120" t="str">
        <f t="shared" si="624"/>
        <v/>
      </c>
      <c r="D1167" s="137"/>
      <c r="E1167" s="150">
        <f>工種!A54</f>
        <v>70105</v>
      </c>
      <c r="F1167" s="119" t="str">
        <f>工種!B54</f>
        <v>外部不具合修正：差分PGイントラ掲載</v>
      </c>
      <c r="G1167" s="116" t="str">
        <f t="shared" si="625"/>
        <v>070105</v>
      </c>
      <c r="H1167" s="88">
        <f t="shared" si="579"/>
        <v>0</v>
      </c>
      <c r="I1167" s="132"/>
      <c r="J1167" s="88">
        <f>SUMIF(月間集計シート!$M$29:$M$48,$G1167,月間集計シート!N$29:N$48)*J$2</f>
        <v>0</v>
      </c>
      <c r="K1167" s="88">
        <f>SUMIF(月間集計シート!$M$29:$M$48,$G1167,月間集計シート!O$29:O$48)*K$2</f>
        <v>0</v>
      </c>
      <c r="L1167" s="88">
        <f>SUMIF(月間集計シート!$M$29:$M$48,$G1167,月間集計シート!P$29:P$48)*L$2</f>
        <v>0</v>
      </c>
      <c r="M1167" s="88">
        <f>SUMIF(月間集計シート!$M$29:$M$48,$G1167,月間集計シート!Q$29:Q$48)*M$2</f>
        <v>0</v>
      </c>
      <c r="N1167" s="88">
        <f>SUMIF(月間集計シート!$M$29:$M$48,$G1167,月間集計シート!R$29:R$48)*N$2</f>
        <v>0</v>
      </c>
      <c r="O1167" s="88">
        <f>SUMIF(月間集計シート!$M$29:$M$48,$G1167,月間集計シート!S$29:S$48)*O$2</f>
        <v>0</v>
      </c>
      <c r="P1167" s="88">
        <f>SUMIF(月間集計シート!$M$29:$M$48,$G1167,月間集計シート!T$29:T$48)*P$2</f>
        <v>0</v>
      </c>
      <c r="Q1167" s="88">
        <f>SUMIF(月間集計シート!$M$50:$M$69,$G1167,月間集計シート!N$50:N$69)*Q$2</f>
        <v>0</v>
      </c>
      <c r="R1167" s="88">
        <f>SUMIF(月間集計シート!$M$50:$M$69,$G1167,月間集計シート!O$50:O$69)*R$2</f>
        <v>0</v>
      </c>
      <c r="S1167" s="88">
        <f>SUMIF(月間集計シート!$M$50:$M$69,$G1167,月間集計シート!P$50:P$69)*S$2</f>
        <v>0</v>
      </c>
      <c r="T1167" s="88">
        <f>SUMIF(月間集計シート!$M$50:$M$69,$G1167,月間集計シート!Q$50:Q$69)*T$2</f>
        <v>0</v>
      </c>
      <c r="U1167" s="88">
        <f>SUMIF(月間集計シート!$M$50:$M$69,$G1167,月間集計シート!R$50:R$69)*U$2</f>
        <v>0</v>
      </c>
      <c r="V1167" s="88">
        <f>SUMIF(月間集計シート!$M$50:$M$69,$G1167,月間集計シート!S$50:S$69)*V$2</f>
        <v>0</v>
      </c>
      <c r="W1167" s="88">
        <f>SUMIF(月間集計シート!$M$50:$M$69,$G1167,月間集計シート!T$50:T$69)*W$2</f>
        <v>0</v>
      </c>
      <c r="X1167" s="88">
        <f>SUMIF(月間集計シート!$M$71:$M$90,$G1167,月間集計シート!N$71:N$90)*X$2</f>
        <v>0</v>
      </c>
      <c r="Y1167" s="88">
        <f>SUMIF(月間集計シート!$M$71:$M$90,$G1167,月間集計シート!O$71:O$90)*Y$2</f>
        <v>0</v>
      </c>
      <c r="Z1167" s="88">
        <f>SUMIF(月間集計シート!$M$71:$M$90,$G1167,月間集計シート!P$71:P$90)*Z$2</f>
        <v>0</v>
      </c>
      <c r="AA1167" s="88">
        <f>SUMIF(月間集計シート!$M$71:$M$90,$G1167,月間集計シート!Q$71:Q$90)*AA$2</f>
        <v>0</v>
      </c>
      <c r="AB1167" s="88">
        <f>SUMIF(月間集計シート!$M$71:$M$90,$G1167,月間集計シート!R$71:R$90)*AB$2</f>
        <v>0</v>
      </c>
      <c r="AC1167" s="88">
        <f>SUMIF(月間集計シート!$M$71:$M$90,$G1167,月間集計シート!S$71:S$90)*AC$2</f>
        <v>0</v>
      </c>
      <c r="AD1167" s="88">
        <f>SUMIF(月間集計シート!$M$71:$M$90,$G1167,月間集計シート!T$71:T$90)*AD$2</f>
        <v>0</v>
      </c>
      <c r="AE1167" s="88">
        <f>SUMIF(月間集計シート!$M$92:$M$111,$G1167,月間集計シート!N$92:N$111)*AE$2</f>
        <v>0</v>
      </c>
      <c r="AF1167" s="88">
        <f>SUMIF(月間集計シート!$M$92:$M$111,$G1167,月間集計シート!O$92:O$111)*AF$2</f>
        <v>0</v>
      </c>
      <c r="AG1167" s="88">
        <f>SUMIF(月間集計シート!$M$92:$M$111,$G1167,月間集計シート!P$92:P$111)*AG$2</f>
        <v>0</v>
      </c>
      <c r="AH1167" s="88">
        <f>SUMIF(月間集計シート!$M$92:$M$111,$G1167,月間集計シート!Q$92:Q$111)*AH$2</f>
        <v>0</v>
      </c>
      <c r="AI1167" s="88">
        <f>SUMIF(月間集計シート!$M$92:$M$111,$G1167,月間集計シート!R$92:R$111)*AI$2</f>
        <v>0</v>
      </c>
      <c r="AJ1167" s="88">
        <f>SUMIF(月間集計シート!$M$92:$M$111,$G1167,月間集計シート!S$92:S$111)*AJ$2</f>
        <v>0</v>
      </c>
      <c r="AK1167" s="88">
        <f>SUMIF(月間集計シート!$M$92:$M$111,$G1167,月間集計シート!T$92:T$111)*AK$2</f>
        <v>0</v>
      </c>
      <c r="AL1167" s="88">
        <f>SUMIF(月間集計シート!$M$113:$M$132,$G1167,月間集計シート!N$113:N$132)*AL$2</f>
        <v>0</v>
      </c>
      <c r="AM1167" s="88">
        <f>SUMIF(月間集計シート!$M$113:$M$132,$G1167,月間集計シート!O$113:O$132)*AM$2</f>
        <v>0</v>
      </c>
      <c r="AN1167" s="88">
        <f>SUMIF(月間集計シート!$M$113:$M$132,$G1167,月間集計シート!P$113:P$132)*AN$2</f>
        <v>0</v>
      </c>
      <c r="AO1167" s="88">
        <f>SUMIF(月間集計シート!$M$113:$M$132,$G1167,月間集計シート!Q$113:Q$132)*AO$2</f>
        <v>0</v>
      </c>
      <c r="AP1167" s="88">
        <f>SUMIF(月間集計シート!$M$113:$M$132,$G1167,月間集計シート!R$113:R$132)*AP$2</f>
        <v>0</v>
      </c>
      <c r="AQ1167" s="88">
        <f>SUMIF(月間集計シート!$M$113:$M$132,$G1167,月間集計シート!S$113:S$132)*AQ$2</f>
        <v>0</v>
      </c>
      <c r="AR1167" s="88">
        <f>SUMIF(月間集計シート!$M$113:$M$132,$G1167,月間集計シート!T$113:T$132)*AR$2</f>
        <v>0</v>
      </c>
      <c r="AS1167" s="88">
        <f>SUMIF(月間集計シート!$M$134:$M$153,$G1167,月間集計シート!N$134:N$153)*AS$2</f>
        <v>0</v>
      </c>
      <c r="AT1167" s="88">
        <f>SUMIF(月間集計シート!$M$134:$M$153,$G1167,月間集計シート!O$134:O$153)*AT$2</f>
        <v>0</v>
      </c>
      <c r="AU1167" s="88">
        <f>SUMIF(月間集計シート!$M$134:$M$153,$G1167,月間集計シート!P$134:P$153)*AU$2</f>
        <v>0</v>
      </c>
      <c r="AV1167" s="88">
        <f>SUMIF(月間集計シート!$M$134:$M$153,$G1167,月間集計シート!Q$134:Q$153)*AV$2</f>
        <v>0</v>
      </c>
      <c r="AW1167" s="88">
        <f>SUMIF(月間集計シート!$M$134:$M$153,$G1167,月間集計シート!R$134:R$153)*AW$2</f>
        <v>0</v>
      </c>
      <c r="AX1167" s="88">
        <f>SUMIF(月間集計シート!$M$134:$M$153,$G1167,月間集計シート!S$134:S$153)*AX$2</f>
        <v>0</v>
      </c>
      <c r="AY1167" s="88">
        <f>SUMIF(月間集計シート!$M$134:$M$153,$G1167,月間集計シート!T$134:T$153)*AY$2</f>
        <v>0</v>
      </c>
    </row>
    <row r="1168" spans="1:51" ht="14.25" thickBot="1">
      <c r="A1168">
        <v>14</v>
      </c>
      <c r="B1168" s="120">
        <f t="shared" si="623"/>
        <v>0</v>
      </c>
      <c r="C1168" s="120" t="str">
        <f t="shared" si="624"/>
        <v/>
      </c>
      <c r="D1168" s="137"/>
      <c r="E1168" s="150">
        <f>工種!A55</f>
        <v>70106</v>
      </c>
      <c r="F1168" s="119" t="str">
        <f>工種!B55</f>
        <v>外部不具合修正：打合せ</v>
      </c>
      <c r="G1168" s="116" t="str">
        <f t="shared" si="625"/>
        <v>070106</v>
      </c>
      <c r="H1168" s="88">
        <f t="shared" si="579"/>
        <v>0</v>
      </c>
      <c r="I1168" s="132"/>
      <c r="J1168" s="88">
        <f>SUMIF(月間集計シート!$M$29:$M$48,$G1168,月間集計シート!N$29:N$48)*J$2</f>
        <v>0</v>
      </c>
      <c r="K1168" s="88">
        <f>SUMIF(月間集計シート!$M$29:$M$48,$G1168,月間集計シート!O$29:O$48)*K$2</f>
        <v>0</v>
      </c>
      <c r="L1168" s="88">
        <f>SUMIF(月間集計シート!$M$29:$M$48,$G1168,月間集計シート!P$29:P$48)*L$2</f>
        <v>0</v>
      </c>
      <c r="M1168" s="88">
        <f>SUMIF(月間集計シート!$M$29:$M$48,$G1168,月間集計シート!Q$29:Q$48)*M$2</f>
        <v>0</v>
      </c>
      <c r="N1168" s="88">
        <f>SUMIF(月間集計シート!$M$29:$M$48,$G1168,月間集計シート!R$29:R$48)*N$2</f>
        <v>0</v>
      </c>
      <c r="O1168" s="88">
        <f>SUMIF(月間集計シート!$M$29:$M$48,$G1168,月間集計シート!S$29:S$48)*O$2</f>
        <v>0</v>
      </c>
      <c r="P1168" s="88">
        <f>SUMIF(月間集計シート!$M$29:$M$48,$G1168,月間集計シート!T$29:T$48)*P$2</f>
        <v>0</v>
      </c>
      <c r="Q1168" s="88">
        <f>SUMIF(月間集計シート!$M$50:$M$69,$G1168,月間集計シート!N$50:N$69)*Q$2</f>
        <v>0</v>
      </c>
      <c r="R1168" s="88">
        <f>SUMIF(月間集計シート!$M$50:$M$69,$G1168,月間集計シート!O$50:O$69)*R$2</f>
        <v>0</v>
      </c>
      <c r="S1168" s="88">
        <f>SUMIF(月間集計シート!$M$50:$M$69,$G1168,月間集計シート!P$50:P$69)*S$2</f>
        <v>0</v>
      </c>
      <c r="T1168" s="88">
        <f>SUMIF(月間集計シート!$M$50:$M$69,$G1168,月間集計シート!Q$50:Q$69)*T$2</f>
        <v>0</v>
      </c>
      <c r="U1168" s="88">
        <f>SUMIF(月間集計シート!$M$50:$M$69,$G1168,月間集計シート!R$50:R$69)*U$2</f>
        <v>0</v>
      </c>
      <c r="V1168" s="88">
        <f>SUMIF(月間集計シート!$M$50:$M$69,$G1168,月間集計シート!S$50:S$69)*V$2</f>
        <v>0</v>
      </c>
      <c r="W1168" s="88">
        <f>SUMIF(月間集計シート!$M$50:$M$69,$G1168,月間集計シート!T$50:T$69)*W$2</f>
        <v>0</v>
      </c>
      <c r="X1168" s="88">
        <f>SUMIF(月間集計シート!$M$71:$M$90,$G1168,月間集計シート!N$71:N$90)*X$2</f>
        <v>0</v>
      </c>
      <c r="Y1168" s="88">
        <f>SUMIF(月間集計シート!$M$71:$M$90,$G1168,月間集計シート!O$71:O$90)*Y$2</f>
        <v>0</v>
      </c>
      <c r="Z1168" s="88">
        <f>SUMIF(月間集計シート!$M$71:$M$90,$G1168,月間集計シート!P$71:P$90)*Z$2</f>
        <v>0</v>
      </c>
      <c r="AA1168" s="88">
        <f>SUMIF(月間集計シート!$M$71:$M$90,$G1168,月間集計シート!Q$71:Q$90)*AA$2</f>
        <v>0</v>
      </c>
      <c r="AB1168" s="88">
        <f>SUMIF(月間集計シート!$M$71:$M$90,$G1168,月間集計シート!R$71:R$90)*AB$2</f>
        <v>0</v>
      </c>
      <c r="AC1168" s="88">
        <f>SUMIF(月間集計シート!$M$71:$M$90,$G1168,月間集計シート!S$71:S$90)*AC$2</f>
        <v>0</v>
      </c>
      <c r="AD1168" s="88">
        <f>SUMIF(月間集計シート!$M$71:$M$90,$G1168,月間集計シート!T$71:T$90)*AD$2</f>
        <v>0</v>
      </c>
      <c r="AE1168" s="88">
        <f>SUMIF(月間集計シート!$M$92:$M$111,$G1168,月間集計シート!N$92:N$111)*AE$2</f>
        <v>0</v>
      </c>
      <c r="AF1168" s="88">
        <f>SUMIF(月間集計シート!$M$92:$M$111,$G1168,月間集計シート!O$92:O$111)*AF$2</f>
        <v>0</v>
      </c>
      <c r="AG1168" s="88">
        <f>SUMIF(月間集計シート!$M$92:$M$111,$G1168,月間集計シート!P$92:P$111)*AG$2</f>
        <v>0</v>
      </c>
      <c r="AH1168" s="88">
        <f>SUMIF(月間集計シート!$M$92:$M$111,$G1168,月間集計シート!Q$92:Q$111)*AH$2</f>
        <v>0</v>
      </c>
      <c r="AI1168" s="88">
        <f>SUMIF(月間集計シート!$M$92:$M$111,$G1168,月間集計シート!R$92:R$111)*AI$2</f>
        <v>0</v>
      </c>
      <c r="AJ1168" s="88">
        <f>SUMIF(月間集計シート!$M$92:$M$111,$G1168,月間集計シート!S$92:S$111)*AJ$2</f>
        <v>0</v>
      </c>
      <c r="AK1168" s="88">
        <f>SUMIF(月間集計シート!$M$92:$M$111,$G1168,月間集計シート!T$92:T$111)*AK$2</f>
        <v>0</v>
      </c>
      <c r="AL1168" s="88">
        <f>SUMIF(月間集計シート!$M$113:$M$132,$G1168,月間集計シート!N$113:N$132)*AL$2</f>
        <v>0</v>
      </c>
      <c r="AM1168" s="88">
        <f>SUMIF(月間集計シート!$M$113:$M$132,$G1168,月間集計シート!O$113:O$132)*AM$2</f>
        <v>0</v>
      </c>
      <c r="AN1168" s="88">
        <f>SUMIF(月間集計シート!$M$113:$M$132,$G1168,月間集計シート!P$113:P$132)*AN$2</f>
        <v>0</v>
      </c>
      <c r="AO1168" s="88">
        <f>SUMIF(月間集計シート!$M$113:$M$132,$G1168,月間集計シート!Q$113:Q$132)*AO$2</f>
        <v>0</v>
      </c>
      <c r="AP1168" s="88">
        <f>SUMIF(月間集計シート!$M$113:$M$132,$G1168,月間集計シート!R$113:R$132)*AP$2</f>
        <v>0</v>
      </c>
      <c r="AQ1168" s="88">
        <f>SUMIF(月間集計シート!$M$113:$M$132,$G1168,月間集計シート!S$113:S$132)*AQ$2</f>
        <v>0</v>
      </c>
      <c r="AR1168" s="88">
        <f>SUMIF(月間集計シート!$M$113:$M$132,$G1168,月間集計シート!T$113:T$132)*AR$2</f>
        <v>0</v>
      </c>
      <c r="AS1168" s="88">
        <f>SUMIF(月間集計シート!$M$134:$M$153,$G1168,月間集計シート!N$134:N$153)*AS$2</f>
        <v>0</v>
      </c>
      <c r="AT1168" s="88">
        <f>SUMIF(月間集計シート!$M$134:$M$153,$G1168,月間集計シート!O$134:O$153)*AT$2</f>
        <v>0</v>
      </c>
      <c r="AU1168" s="88">
        <f>SUMIF(月間集計シート!$M$134:$M$153,$G1168,月間集計シート!P$134:P$153)*AU$2</f>
        <v>0</v>
      </c>
      <c r="AV1168" s="88">
        <f>SUMIF(月間集計シート!$M$134:$M$153,$G1168,月間集計シート!Q$134:Q$153)*AV$2</f>
        <v>0</v>
      </c>
      <c r="AW1168" s="88">
        <f>SUMIF(月間集計シート!$M$134:$M$153,$G1168,月間集計シート!R$134:R$153)*AW$2</f>
        <v>0</v>
      </c>
      <c r="AX1168" s="88">
        <f>SUMIF(月間集計シート!$M$134:$M$153,$G1168,月間集計シート!S$134:S$153)*AX$2</f>
        <v>0</v>
      </c>
      <c r="AY1168" s="88">
        <f>SUMIF(月間集計シート!$M$134:$M$153,$G1168,月間集計シート!T$134:T$153)*AY$2</f>
        <v>0</v>
      </c>
    </row>
    <row r="1169" spans="1:51" ht="14.25" thickBot="1">
      <c r="A1169">
        <v>14</v>
      </c>
      <c r="B1169" s="120">
        <f t="shared" si="623"/>
        <v>0</v>
      </c>
      <c r="C1169" s="120" t="str">
        <f t="shared" si="624"/>
        <v/>
      </c>
      <c r="D1169" s="137"/>
      <c r="E1169" s="150">
        <f>工種!A56</f>
        <v>70109</v>
      </c>
      <c r="F1169" s="119" t="str">
        <f>工種!B56</f>
        <v>外部不具合修正：レビュー</v>
      </c>
      <c r="G1169" s="116" t="str">
        <f t="shared" si="625"/>
        <v>070109</v>
      </c>
      <c r="H1169" s="88">
        <f t="shared" si="579"/>
        <v>0</v>
      </c>
      <c r="I1169" s="132"/>
      <c r="J1169" s="88">
        <f>SUMIF(月間集計シート!$M$29:$M$48,$G1169,月間集計シート!N$29:N$48)*J$2</f>
        <v>0</v>
      </c>
      <c r="K1169" s="88">
        <f>SUMIF(月間集計シート!$M$29:$M$48,$G1169,月間集計シート!O$29:O$48)*K$2</f>
        <v>0</v>
      </c>
      <c r="L1169" s="88">
        <f>SUMIF(月間集計シート!$M$29:$M$48,$G1169,月間集計シート!P$29:P$48)*L$2</f>
        <v>0</v>
      </c>
      <c r="M1169" s="88">
        <f>SUMIF(月間集計シート!$M$29:$M$48,$G1169,月間集計シート!Q$29:Q$48)*M$2</f>
        <v>0</v>
      </c>
      <c r="N1169" s="88">
        <f>SUMIF(月間集計シート!$M$29:$M$48,$G1169,月間集計シート!R$29:R$48)*N$2</f>
        <v>0</v>
      </c>
      <c r="O1169" s="88">
        <f>SUMIF(月間集計シート!$M$29:$M$48,$G1169,月間集計シート!S$29:S$48)*O$2</f>
        <v>0</v>
      </c>
      <c r="P1169" s="88">
        <f>SUMIF(月間集計シート!$M$29:$M$48,$G1169,月間集計シート!T$29:T$48)*P$2</f>
        <v>0</v>
      </c>
      <c r="Q1169" s="88">
        <f>SUMIF(月間集計シート!$M$50:$M$69,$G1169,月間集計シート!N$50:N$69)*Q$2</f>
        <v>0</v>
      </c>
      <c r="R1169" s="88">
        <f>SUMIF(月間集計シート!$M$50:$M$69,$G1169,月間集計シート!O$50:O$69)*R$2</f>
        <v>0</v>
      </c>
      <c r="S1169" s="88">
        <f>SUMIF(月間集計シート!$M$50:$M$69,$G1169,月間集計シート!P$50:P$69)*S$2</f>
        <v>0</v>
      </c>
      <c r="T1169" s="88">
        <f>SUMIF(月間集計シート!$M$50:$M$69,$G1169,月間集計シート!Q$50:Q$69)*T$2</f>
        <v>0</v>
      </c>
      <c r="U1169" s="88">
        <f>SUMIF(月間集計シート!$M$50:$M$69,$G1169,月間集計シート!R$50:R$69)*U$2</f>
        <v>0</v>
      </c>
      <c r="V1169" s="88">
        <f>SUMIF(月間集計シート!$M$50:$M$69,$G1169,月間集計シート!S$50:S$69)*V$2</f>
        <v>0</v>
      </c>
      <c r="W1169" s="88">
        <f>SUMIF(月間集計シート!$M$50:$M$69,$G1169,月間集計シート!T$50:T$69)*W$2</f>
        <v>0</v>
      </c>
      <c r="X1169" s="88">
        <f>SUMIF(月間集計シート!$M$71:$M$90,$G1169,月間集計シート!N$71:N$90)*X$2</f>
        <v>0</v>
      </c>
      <c r="Y1169" s="88">
        <f>SUMIF(月間集計シート!$M$71:$M$90,$G1169,月間集計シート!O$71:O$90)*Y$2</f>
        <v>0</v>
      </c>
      <c r="Z1169" s="88">
        <f>SUMIF(月間集計シート!$M$71:$M$90,$G1169,月間集計シート!P$71:P$90)*Z$2</f>
        <v>0</v>
      </c>
      <c r="AA1169" s="88">
        <f>SUMIF(月間集計シート!$M$71:$M$90,$G1169,月間集計シート!Q$71:Q$90)*AA$2</f>
        <v>0</v>
      </c>
      <c r="AB1169" s="88">
        <f>SUMIF(月間集計シート!$M$71:$M$90,$G1169,月間集計シート!R$71:R$90)*AB$2</f>
        <v>0</v>
      </c>
      <c r="AC1169" s="88">
        <f>SUMIF(月間集計シート!$M$71:$M$90,$G1169,月間集計シート!S$71:S$90)*AC$2</f>
        <v>0</v>
      </c>
      <c r="AD1169" s="88">
        <f>SUMIF(月間集計シート!$M$71:$M$90,$G1169,月間集計シート!T$71:T$90)*AD$2</f>
        <v>0</v>
      </c>
      <c r="AE1169" s="88">
        <f>SUMIF(月間集計シート!$M$92:$M$111,$G1169,月間集計シート!N$92:N$111)*AE$2</f>
        <v>0</v>
      </c>
      <c r="AF1169" s="88">
        <f>SUMIF(月間集計シート!$M$92:$M$111,$G1169,月間集計シート!O$92:O$111)*AF$2</f>
        <v>0</v>
      </c>
      <c r="AG1169" s="88">
        <f>SUMIF(月間集計シート!$M$92:$M$111,$G1169,月間集計シート!P$92:P$111)*AG$2</f>
        <v>0</v>
      </c>
      <c r="AH1169" s="88">
        <f>SUMIF(月間集計シート!$M$92:$M$111,$G1169,月間集計シート!Q$92:Q$111)*AH$2</f>
        <v>0</v>
      </c>
      <c r="AI1169" s="88">
        <f>SUMIF(月間集計シート!$M$92:$M$111,$G1169,月間集計シート!R$92:R$111)*AI$2</f>
        <v>0</v>
      </c>
      <c r="AJ1169" s="88">
        <f>SUMIF(月間集計シート!$M$92:$M$111,$G1169,月間集計シート!S$92:S$111)*AJ$2</f>
        <v>0</v>
      </c>
      <c r="AK1169" s="88">
        <f>SUMIF(月間集計シート!$M$92:$M$111,$G1169,月間集計シート!T$92:T$111)*AK$2</f>
        <v>0</v>
      </c>
      <c r="AL1169" s="88">
        <f>SUMIF(月間集計シート!$M$113:$M$132,$G1169,月間集計シート!N$113:N$132)*AL$2</f>
        <v>0</v>
      </c>
      <c r="AM1169" s="88">
        <f>SUMIF(月間集計シート!$M$113:$M$132,$G1169,月間集計シート!O$113:O$132)*AM$2</f>
        <v>0</v>
      </c>
      <c r="AN1169" s="88">
        <f>SUMIF(月間集計シート!$M$113:$M$132,$G1169,月間集計シート!P$113:P$132)*AN$2</f>
        <v>0</v>
      </c>
      <c r="AO1169" s="88">
        <f>SUMIF(月間集計シート!$M$113:$M$132,$G1169,月間集計シート!Q$113:Q$132)*AO$2</f>
        <v>0</v>
      </c>
      <c r="AP1169" s="88">
        <f>SUMIF(月間集計シート!$M$113:$M$132,$G1169,月間集計シート!R$113:R$132)*AP$2</f>
        <v>0</v>
      </c>
      <c r="AQ1169" s="88">
        <f>SUMIF(月間集計シート!$M$113:$M$132,$G1169,月間集計シート!S$113:S$132)*AQ$2</f>
        <v>0</v>
      </c>
      <c r="AR1169" s="88">
        <f>SUMIF(月間集計シート!$M$113:$M$132,$G1169,月間集計シート!T$113:T$132)*AR$2</f>
        <v>0</v>
      </c>
      <c r="AS1169" s="88">
        <f>SUMIF(月間集計シート!$M$134:$M$153,$G1169,月間集計シート!N$134:N$153)*AS$2</f>
        <v>0</v>
      </c>
      <c r="AT1169" s="88">
        <f>SUMIF(月間集計シート!$M$134:$M$153,$G1169,月間集計シート!O$134:O$153)*AT$2</f>
        <v>0</v>
      </c>
      <c r="AU1169" s="88">
        <f>SUMIF(月間集計シート!$M$134:$M$153,$G1169,月間集計シート!P$134:P$153)*AU$2</f>
        <v>0</v>
      </c>
      <c r="AV1169" s="88">
        <f>SUMIF(月間集計シート!$M$134:$M$153,$G1169,月間集計シート!Q$134:Q$153)*AV$2</f>
        <v>0</v>
      </c>
      <c r="AW1169" s="88">
        <f>SUMIF(月間集計シート!$M$134:$M$153,$G1169,月間集計シート!R$134:R$153)*AW$2</f>
        <v>0</v>
      </c>
      <c r="AX1169" s="88">
        <f>SUMIF(月間集計シート!$M$134:$M$153,$G1169,月間集計シート!S$134:S$153)*AX$2</f>
        <v>0</v>
      </c>
      <c r="AY1169" s="88">
        <f>SUMIF(月間集計シート!$M$134:$M$153,$G1169,月間集計シート!T$134:T$153)*AY$2</f>
        <v>0</v>
      </c>
    </row>
    <row r="1170" spans="1:51" ht="14.25" thickBot="1">
      <c r="A1170">
        <v>14</v>
      </c>
      <c r="B1170" s="120">
        <f t="shared" si="623"/>
        <v>0</v>
      </c>
      <c r="C1170" s="120" t="str">
        <f t="shared" si="624"/>
        <v/>
      </c>
      <c r="D1170" s="137"/>
      <c r="E1170" s="150">
        <f>工種!A57</f>
        <v>70189</v>
      </c>
      <c r="F1170" s="119" t="str">
        <f>工種!B57</f>
        <v>外部不具合修正：外部不具合分析</v>
      </c>
      <c r="G1170" s="116" t="str">
        <f t="shared" si="625"/>
        <v>070189</v>
      </c>
      <c r="H1170" s="88">
        <f t="shared" si="579"/>
        <v>0</v>
      </c>
      <c r="I1170" s="132"/>
      <c r="J1170" s="88">
        <f>SUMIF(月間集計シート!$M$29:$M$48,$G1170,月間集計シート!N$29:N$48)*J$2</f>
        <v>0</v>
      </c>
      <c r="K1170" s="88">
        <f>SUMIF(月間集計シート!$M$29:$M$48,$G1170,月間集計シート!O$29:O$48)*K$2</f>
        <v>0</v>
      </c>
      <c r="L1170" s="88">
        <f>SUMIF(月間集計シート!$M$29:$M$48,$G1170,月間集計シート!P$29:P$48)*L$2</f>
        <v>0</v>
      </c>
      <c r="M1170" s="88">
        <f>SUMIF(月間集計シート!$M$29:$M$48,$G1170,月間集計シート!Q$29:Q$48)*M$2</f>
        <v>0</v>
      </c>
      <c r="N1170" s="88">
        <f>SUMIF(月間集計シート!$M$29:$M$48,$G1170,月間集計シート!R$29:R$48)*N$2</f>
        <v>0</v>
      </c>
      <c r="O1170" s="88">
        <f>SUMIF(月間集計シート!$M$29:$M$48,$G1170,月間集計シート!S$29:S$48)*O$2</f>
        <v>0</v>
      </c>
      <c r="P1170" s="88">
        <f>SUMIF(月間集計シート!$M$29:$M$48,$G1170,月間集計シート!T$29:T$48)*P$2</f>
        <v>0</v>
      </c>
      <c r="Q1170" s="88">
        <f>SUMIF(月間集計シート!$M$50:$M$69,$G1170,月間集計シート!N$50:N$69)*Q$2</f>
        <v>0</v>
      </c>
      <c r="R1170" s="88">
        <f>SUMIF(月間集計シート!$M$50:$M$69,$G1170,月間集計シート!O$50:O$69)*R$2</f>
        <v>0</v>
      </c>
      <c r="S1170" s="88">
        <f>SUMIF(月間集計シート!$M$50:$M$69,$G1170,月間集計シート!P$50:P$69)*S$2</f>
        <v>0</v>
      </c>
      <c r="T1170" s="88">
        <f>SUMIF(月間集計シート!$M$50:$M$69,$G1170,月間集計シート!Q$50:Q$69)*T$2</f>
        <v>0</v>
      </c>
      <c r="U1170" s="88">
        <f>SUMIF(月間集計シート!$M$50:$M$69,$G1170,月間集計シート!R$50:R$69)*U$2</f>
        <v>0</v>
      </c>
      <c r="V1170" s="88">
        <f>SUMIF(月間集計シート!$M$50:$M$69,$G1170,月間集計シート!S$50:S$69)*V$2</f>
        <v>0</v>
      </c>
      <c r="W1170" s="88">
        <f>SUMIF(月間集計シート!$M$50:$M$69,$G1170,月間集計シート!T$50:T$69)*W$2</f>
        <v>0</v>
      </c>
      <c r="X1170" s="88">
        <f>SUMIF(月間集計シート!$M$71:$M$90,$G1170,月間集計シート!N$71:N$90)*X$2</f>
        <v>0</v>
      </c>
      <c r="Y1170" s="88">
        <f>SUMIF(月間集計シート!$M$71:$M$90,$G1170,月間集計シート!O$71:O$90)*Y$2</f>
        <v>0</v>
      </c>
      <c r="Z1170" s="88">
        <f>SUMIF(月間集計シート!$M$71:$M$90,$G1170,月間集計シート!P$71:P$90)*Z$2</f>
        <v>0</v>
      </c>
      <c r="AA1170" s="88">
        <f>SUMIF(月間集計シート!$M$71:$M$90,$G1170,月間集計シート!Q$71:Q$90)*AA$2</f>
        <v>0</v>
      </c>
      <c r="AB1170" s="88">
        <f>SUMIF(月間集計シート!$M$71:$M$90,$G1170,月間集計シート!R$71:R$90)*AB$2</f>
        <v>0</v>
      </c>
      <c r="AC1170" s="88">
        <f>SUMIF(月間集計シート!$M$71:$M$90,$G1170,月間集計シート!S$71:S$90)*AC$2</f>
        <v>0</v>
      </c>
      <c r="AD1170" s="88">
        <f>SUMIF(月間集計シート!$M$71:$M$90,$G1170,月間集計シート!T$71:T$90)*AD$2</f>
        <v>0</v>
      </c>
      <c r="AE1170" s="88">
        <f>SUMIF(月間集計シート!$M$92:$M$111,$G1170,月間集計シート!N$92:N$111)*AE$2</f>
        <v>0</v>
      </c>
      <c r="AF1170" s="88">
        <f>SUMIF(月間集計シート!$M$92:$M$111,$G1170,月間集計シート!O$92:O$111)*AF$2</f>
        <v>0</v>
      </c>
      <c r="AG1170" s="88">
        <f>SUMIF(月間集計シート!$M$92:$M$111,$G1170,月間集計シート!P$92:P$111)*AG$2</f>
        <v>0</v>
      </c>
      <c r="AH1170" s="88">
        <f>SUMIF(月間集計シート!$M$92:$M$111,$G1170,月間集計シート!Q$92:Q$111)*AH$2</f>
        <v>0</v>
      </c>
      <c r="AI1170" s="88">
        <f>SUMIF(月間集計シート!$M$92:$M$111,$G1170,月間集計シート!R$92:R$111)*AI$2</f>
        <v>0</v>
      </c>
      <c r="AJ1170" s="88">
        <f>SUMIF(月間集計シート!$M$92:$M$111,$G1170,月間集計シート!S$92:S$111)*AJ$2</f>
        <v>0</v>
      </c>
      <c r="AK1170" s="88">
        <f>SUMIF(月間集計シート!$M$92:$M$111,$G1170,月間集計シート!T$92:T$111)*AK$2</f>
        <v>0</v>
      </c>
      <c r="AL1170" s="88">
        <f>SUMIF(月間集計シート!$M$113:$M$132,$G1170,月間集計シート!N$113:N$132)*AL$2</f>
        <v>0</v>
      </c>
      <c r="AM1170" s="88">
        <f>SUMIF(月間集計シート!$M$113:$M$132,$G1170,月間集計シート!O$113:O$132)*AM$2</f>
        <v>0</v>
      </c>
      <c r="AN1170" s="88">
        <f>SUMIF(月間集計シート!$M$113:$M$132,$G1170,月間集計シート!P$113:P$132)*AN$2</f>
        <v>0</v>
      </c>
      <c r="AO1170" s="88">
        <f>SUMIF(月間集計シート!$M$113:$M$132,$G1170,月間集計シート!Q$113:Q$132)*AO$2</f>
        <v>0</v>
      </c>
      <c r="AP1170" s="88">
        <f>SUMIF(月間集計シート!$M$113:$M$132,$G1170,月間集計シート!R$113:R$132)*AP$2</f>
        <v>0</v>
      </c>
      <c r="AQ1170" s="88">
        <f>SUMIF(月間集計シート!$M$113:$M$132,$G1170,月間集計シート!S$113:S$132)*AQ$2</f>
        <v>0</v>
      </c>
      <c r="AR1170" s="88">
        <f>SUMIF(月間集計シート!$M$113:$M$132,$G1170,月間集計シート!T$113:T$132)*AR$2</f>
        <v>0</v>
      </c>
      <c r="AS1170" s="88">
        <f>SUMIF(月間集計シート!$M$134:$M$153,$G1170,月間集計シート!N$134:N$153)*AS$2</f>
        <v>0</v>
      </c>
      <c r="AT1170" s="88">
        <f>SUMIF(月間集計シート!$M$134:$M$153,$G1170,月間集計シート!O$134:O$153)*AT$2</f>
        <v>0</v>
      </c>
      <c r="AU1170" s="88">
        <f>SUMIF(月間集計シート!$M$134:$M$153,$G1170,月間集計シート!P$134:P$153)*AU$2</f>
        <v>0</v>
      </c>
      <c r="AV1170" s="88">
        <f>SUMIF(月間集計シート!$M$134:$M$153,$G1170,月間集計シート!Q$134:Q$153)*AV$2</f>
        <v>0</v>
      </c>
      <c r="AW1170" s="88">
        <f>SUMIF(月間集計シート!$M$134:$M$153,$G1170,月間集計シート!R$134:R$153)*AW$2</f>
        <v>0</v>
      </c>
      <c r="AX1170" s="88">
        <f>SUMIF(月間集計シート!$M$134:$M$153,$G1170,月間集計シート!S$134:S$153)*AX$2</f>
        <v>0</v>
      </c>
      <c r="AY1170" s="88">
        <f>SUMIF(月間集計シート!$M$134:$M$153,$G1170,月間集計シート!T$134:T$153)*AY$2</f>
        <v>0</v>
      </c>
    </row>
    <row r="1171" spans="1:51" ht="14.25" thickBot="1">
      <c r="A1171">
        <v>14</v>
      </c>
      <c r="B1171" s="120">
        <f t="shared" si="623"/>
        <v>0</v>
      </c>
      <c r="C1171" s="120" t="str">
        <f t="shared" si="624"/>
        <v/>
      </c>
      <c r="D1171" s="137"/>
      <c r="E1171" s="150">
        <f>工種!A58</f>
        <v>70199</v>
      </c>
      <c r="F1171" s="119" t="str">
        <f>工種!B58</f>
        <v>外部不具合修正：その他</v>
      </c>
      <c r="G1171" s="116" t="str">
        <f t="shared" si="625"/>
        <v>070199</v>
      </c>
      <c r="H1171" s="88">
        <f t="shared" si="579"/>
        <v>0</v>
      </c>
      <c r="I1171" s="132"/>
      <c r="J1171" s="88">
        <f>SUMIF(月間集計シート!$M$29:$M$48,$G1171,月間集計シート!N$29:N$48)*J$2</f>
        <v>0</v>
      </c>
      <c r="K1171" s="88">
        <f>SUMIF(月間集計シート!$M$29:$M$48,$G1171,月間集計シート!O$29:O$48)*K$2</f>
        <v>0</v>
      </c>
      <c r="L1171" s="88">
        <f>SUMIF(月間集計シート!$M$29:$M$48,$G1171,月間集計シート!P$29:P$48)*L$2</f>
        <v>0</v>
      </c>
      <c r="M1171" s="88">
        <f>SUMIF(月間集計シート!$M$29:$M$48,$G1171,月間集計シート!Q$29:Q$48)*M$2</f>
        <v>0</v>
      </c>
      <c r="N1171" s="88">
        <f>SUMIF(月間集計シート!$M$29:$M$48,$G1171,月間集計シート!R$29:R$48)*N$2</f>
        <v>0</v>
      </c>
      <c r="O1171" s="88">
        <f>SUMIF(月間集計シート!$M$29:$M$48,$G1171,月間集計シート!S$29:S$48)*O$2</f>
        <v>0</v>
      </c>
      <c r="P1171" s="88">
        <f>SUMIF(月間集計シート!$M$29:$M$48,$G1171,月間集計シート!T$29:T$48)*P$2</f>
        <v>0</v>
      </c>
      <c r="Q1171" s="88">
        <f>SUMIF(月間集計シート!$M$50:$M$69,$G1171,月間集計シート!N$50:N$69)*Q$2</f>
        <v>0</v>
      </c>
      <c r="R1171" s="88">
        <f>SUMIF(月間集計シート!$M$50:$M$69,$G1171,月間集計シート!O$50:O$69)*R$2</f>
        <v>0</v>
      </c>
      <c r="S1171" s="88">
        <f>SUMIF(月間集計シート!$M$50:$M$69,$G1171,月間集計シート!P$50:P$69)*S$2</f>
        <v>0</v>
      </c>
      <c r="T1171" s="88">
        <f>SUMIF(月間集計シート!$M$50:$M$69,$G1171,月間集計シート!Q$50:Q$69)*T$2</f>
        <v>0</v>
      </c>
      <c r="U1171" s="88">
        <f>SUMIF(月間集計シート!$M$50:$M$69,$G1171,月間集計シート!R$50:R$69)*U$2</f>
        <v>0</v>
      </c>
      <c r="V1171" s="88">
        <f>SUMIF(月間集計シート!$M$50:$M$69,$G1171,月間集計シート!S$50:S$69)*V$2</f>
        <v>0</v>
      </c>
      <c r="W1171" s="88">
        <f>SUMIF(月間集計シート!$M$50:$M$69,$G1171,月間集計シート!T$50:T$69)*W$2</f>
        <v>0</v>
      </c>
      <c r="X1171" s="88">
        <f>SUMIF(月間集計シート!$M$71:$M$90,$G1171,月間集計シート!N$71:N$90)*X$2</f>
        <v>0</v>
      </c>
      <c r="Y1171" s="88">
        <f>SUMIF(月間集計シート!$M$71:$M$90,$G1171,月間集計シート!O$71:O$90)*Y$2</f>
        <v>0</v>
      </c>
      <c r="Z1171" s="88">
        <f>SUMIF(月間集計シート!$M$71:$M$90,$G1171,月間集計シート!P$71:P$90)*Z$2</f>
        <v>0</v>
      </c>
      <c r="AA1171" s="88">
        <f>SUMIF(月間集計シート!$M$71:$M$90,$G1171,月間集計シート!Q$71:Q$90)*AA$2</f>
        <v>0</v>
      </c>
      <c r="AB1171" s="88">
        <f>SUMIF(月間集計シート!$M$71:$M$90,$G1171,月間集計シート!R$71:R$90)*AB$2</f>
        <v>0</v>
      </c>
      <c r="AC1171" s="88">
        <f>SUMIF(月間集計シート!$M$71:$M$90,$G1171,月間集計シート!S$71:S$90)*AC$2</f>
        <v>0</v>
      </c>
      <c r="AD1171" s="88">
        <f>SUMIF(月間集計シート!$M$71:$M$90,$G1171,月間集計シート!T$71:T$90)*AD$2</f>
        <v>0</v>
      </c>
      <c r="AE1171" s="88">
        <f>SUMIF(月間集計シート!$M$92:$M$111,$G1171,月間集計シート!N$92:N$111)*AE$2</f>
        <v>0</v>
      </c>
      <c r="AF1171" s="88">
        <f>SUMIF(月間集計シート!$M$92:$M$111,$G1171,月間集計シート!O$92:O$111)*AF$2</f>
        <v>0</v>
      </c>
      <c r="AG1171" s="88">
        <f>SUMIF(月間集計シート!$M$92:$M$111,$G1171,月間集計シート!P$92:P$111)*AG$2</f>
        <v>0</v>
      </c>
      <c r="AH1171" s="88">
        <f>SUMIF(月間集計シート!$M$92:$M$111,$G1171,月間集計シート!Q$92:Q$111)*AH$2</f>
        <v>0</v>
      </c>
      <c r="AI1171" s="88">
        <f>SUMIF(月間集計シート!$M$92:$M$111,$G1171,月間集計シート!R$92:R$111)*AI$2</f>
        <v>0</v>
      </c>
      <c r="AJ1171" s="88">
        <f>SUMIF(月間集計シート!$M$92:$M$111,$G1171,月間集計シート!S$92:S$111)*AJ$2</f>
        <v>0</v>
      </c>
      <c r="AK1171" s="88">
        <f>SUMIF(月間集計シート!$M$92:$M$111,$G1171,月間集計シート!T$92:T$111)*AK$2</f>
        <v>0</v>
      </c>
      <c r="AL1171" s="88">
        <f>SUMIF(月間集計シート!$M$113:$M$132,$G1171,月間集計シート!N$113:N$132)*AL$2</f>
        <v>0</v>
      </c>
      <c r="AM1171" s="88">
        <f>SUMIF(月間集計シート!$M$113:$M$132,$G1171,月間集計シート!O$113:O$132)*AM$2</f>
        <v>0</v>
      </c>
      <c r="AN1171" s="88">
        <f>SUMIF(月間集計シート!$M$113:$M$132,$G1171,月間集計シート!P$113:P$132)*AN$2</f>
        <v>0</v>
      </c>
      <c r="AO1171" s="88">
        <f>SUMIF(月間集計シート!$M$113:$M$132,$G1171,月間集計シート!Q$113:Q$132)*AO$2</f>
        <v>0</v>
      </c>
      <c r="AP1171" s="88">
        <f>SUMIF(月間集計シート!$M$113:$M$132,$G1171,月間集計シート!R$113:R$132)*AP$2</f>
        <v>0</v>
      </c>
      <c r="AQ1171" s="88">
        <f>SUMIF(月間集計シート!$M$113:$M$132,$G1171,月間集計シート!S$113:S$132)*AQ$2</f>
        <v>0</v>
      </c>
      <c r="AR1171" s="88">
        <f>SUMIF(月間集計シート!$M$113:$M$132,$G1171,月間集計シート!T$113:T$132)*AR$2</f>
        <v>0</v>
      </c>
      <c r="AS1171" s="88">
        <f>SUMIF(月間集計シート!$M$134:$M$153,$G1171,月間集計シート!N$134:N$153)*AS$2</f>
        <v>0</v>
      </c>
      <c r="AT1171" s="88">
        <f>SUMIF(月間集計シート!$M$134:$M$153,$G1171,月間集計シート!O$134:O$153)*AT$2</f>
        <v>0</v>
      </c>
      <c r="AU1171" s="88">
        <f>SUMIF(月間集計シート!$M$134:$M$153,$G1171,月間集計シート!P$134:P$153)*AU$2</f>
        <v>0</v>
      </c>
      <c r="AV1171" s="88">
        <f>SUMIF(月間集計シート!$M$134:$M$153,$G1171,月間集計シート!Q$134:Q$153)*AV$2</f>
        <v>0</v>
      </c>
      <c r="AW1171" s="88">
        <f>SUMIF(月間集計シート!$M$134:$M$153,$G1171,月間集計シート!R$134:R$153)*AW$2</f>
        <v>0</v>
      </c>
      <c r="AX1171" s="88">
        <f>SUMIF(月間集計シート!$M$134:$M$153,$G1171,月間集計シート!S$134:S$153)*AX$2</f>
        <v>0</v>
      </c>
      <c r="AY1171" s="88">
        <f>SUMIF(月間集計シート!$M$134:$M$153,$G1171,月間集計シート!T$134:T$153)*AY$2</f>
        <v>0</v>
      </c>
    </row>
    <row r="1172" spans="1:51" ht="14.25" thickBot="1">
      <c r="A1172">
        <v>14</v>
      </c>
      <c r="B1172" s="120">
        <f t="shared" si="623"/>
        <v>0</v>
      </c>
      <c r="C1172" s="120" t="str">
        <f t="shared" si="624"/>
        <v/>
      </c>
      <c r="D1172" s="137"/>
      <c r="E1172" s="150" t="str">
        <f>工種!A59</f>
        <v>80101</v>
      </c>
      <c r="F1172" s="119" t="str">
        <f>工種!B59</f>
        <v>保守／ｻﾎﾟｰﾄ：調査</v>
      </c>
      <c r="G1172" s="116" t="str">
        <f t="shared" si="625"/>
        <v>080101</v>
      </c>
      <c r="H1172" s="88">
        <f t="shared" si="579"/>
        <v>0</v>
      </c>
      <c r="I1172" s="132"/>
      <c r="J1172" s="88">
        <f>SUMIF(月間集計シート!$M$29:$M$48,$G1172,月間集計シート!N$29:N$48)*J$2</f>
        <v>0</v>
      </c>
      <c r="K1172" s="88">
        <f>SUMIF(月間集計シート!$M$29:$M$48,$G1172,月間集計シート!O$29:O$48)*K$2</f>
        <v>0</v>
      </c>
      <c r="L1172" s="88">
        <f>SUMIF(月間集計シート!$M$29:$M$48,$G1172,月間集計シート!P$29:P$48)*L$2</f>
        <v>0</v>
      </c>
      <c r="M1172" s="88">
        <f>SUMIF(月間集計シート!$M$29:$M$48,$G1172,月間集計シート!Q$29:Q$48)*M$2</f>
        <v>0</v>
      </c>
      <c r="N1172" s="88">
        <f>SUMIF(月間集計シート!$M$29:$M$48,$G1172,月間集計シート!R$29:R$48)*N$2</f>
        <v>0</v>
      </c>
      <c r="O1172" s="88">
        <f>SUMIF(月間集計シート!$M$29:$M$48,$G1172,月間集計シート!S$29:S$48)*O$2</f>
        <v>0</v>
      </c>
      <c r="P1172" s="88">
        <f>SUMIF(月間集計シート!$M$29:$M$48,$G1172,月間集計シート!T$29:T$48)*P$2</f>
        <v>0</v>
      </c>
      <c r="Q1172" s="88">
        <f>SUMIF(月間集計シート!$M$50:$M$69,$G1172,月間集計シート!N$50:N$69)*Q$2</f>
        <v>0</v>
      </c>
      <c r="R1172" s="88">
        <f>SUMIF(月間集計シート!$M$50:$M$69,$G1172,月間集計シート!O$50:O$69)*R$2</f>
        <v>0</v>
      </c>
      <c r="S1172" s="88">
        <f>SUMIF(月間集計シート!$M$50:$M$69,$G1172,月間集計シート!P$50:P$69)*S$2</f>
        <v>0</v>
      </c>
      <c r="T1172" s="88">
        <f>SUMIF(月間集計シート!$M$50:$M$69,$G1172,月間集計シート!Q$50:Q$69)*T$2</f>
        <v>0</v>
      </c>
      <c r="U1172" s="88">
        <f>SUMIF(月間集計シート!$M$50:$M$69,$G1172,月間集計シート!R$50:R$69)*U$2</f>
        <v>0</v>
      </c>
      <c r="V1172" s="88">
        <f>SUMIF(月間集計シート!$M$50:$M$69,$G1172,月間集計シート!S$50:S$69)*V$2</f>
        <v>0</v>
      </c>
      <c r="W1172" s="88">
        <f>SUMIF(月間集計シート!$M$50:$M$69,$G1172,月間集計シート!T$50:T$69)*W$2</f>
        <v>0</v>
      </c>
      <c r="X1172" s="88">
        <f>SUMIF(月間集計シート!$M$71:$M$90,$G1172,月間集計シート!N$71:N$90)*X$2</f>
        <v>0</v>
      </c>
      <c r="Y1172" s="88">
        <f>SUMIF(月間集計シート!$M$71:$M$90,$G1172,月間集計シート!O$71:O$90)*Y$2</f>
        <v>0</v>
      </c>
      <c r="Z1172" s="88">
        <f>SUMIF(月間集計シート!$M$71:$M$90,$G1172,月間集計シート!P$71:P$90)*Z$2</f>
        <v>0</v>
      </c>
      <c r="AA1172" s="88">
        <f>SUMIF(月間集計シート!$M$71:$M$90,$G1172,月間集計シート!Q$71:Q$90)*AA$2</f>
        <v>0</v>
      </c>
      <c r="AB1172" s="88">
        <f>SUMIF(月間集計シート!$M$71:$M$90,$G1172,月間集計シート!R$71:R$90)*AB$2</f>
        <v>0</v>
      </c>
      <c r="AC1172" s="88">
        <f>SUMIF(月間集計シート!$M$71:$M$90,$G1172,月間集計シート!S$71:S$90)*AC$2</f>
        <v>0</v>
      </c>
      <c r="AD1172" s="88">
        <f>SUMIF(月間集計シート!$M$71:$M$90,$G1172,月間集計シート!T$71:T$90)*AD$2</f>
        <v>0</v>
      </c>
      <c r="AE1172" s="88">
        <f>SUMIF(月間集計シート!$M$92:$M$111,$G1172,月間集計シート!N$92:N$111)*AE$2</f>
        <v>0</v>
      </c>
      <c r="AF1172" s="88">
        <f>SUMIF(月間集計シート!$M$92:$M$111,$G1172,月間集計シート!O$92:O$111)*AF$2</f>
        <v>0</v>
      </c>
      <c r="AG1172" s="88">
        <f>SUMIF(月間集計シート!$M$92:$M$111,$G1172,月間集計シート!P$92:P$111)*AG$2</f>
        <v>0</v>
      </c>
      <c r="AH1172" s="88">
        <f>SUMIF(月間集計シート!$M$92:$M$111,$G1172,月間集計シート!Q$92:Q$111)*AH$2</f>
        <v>0</v>
      </c>
      <c r="AI1172" s="88">
        <f>SUMIF(月間集計シート!$M$92:$M$111,$G1172,月間集計シート!R$92:R$111)*AI$2</f>
        <v>0</v>
      </c>
      <c r="AJ1172" s="88">
        <f>SUMIF(月間集計シート!$M$92:$M$111,$G1172,月間集計シート!S$92:S$111)*AJ$2</f>
        <v>0</v>
      </c>
      <c r="AK1172" s="88">
        <f>SUMIF(月間集計シート!$M$92:$M$111,$G1172,月間集計シート!T$92:T$111)*AK$2</f>
        <v>0</v>
      </c>
      <c r="AL1172" s="88">
        <f>SUMIF(月間集計シート!$M$113:$M$132,$G1172,月間集計シート!N$113:N$132)*AL$2</f>
        <v>0</v>
      </c>
      <c r="AM1172" s="88">
        <f>SUMIF(月間集計シート!$M$113:$M$132,$G1172,月間集計シート!O$113:O$132)*AM$2</f>
        <v>0</v>
      </c>
      <c r="AN1172" s="88">
        <f>SUMIF(月間集計シート!$M$113:$M$132,$G1172,月間集計シート!P$113:P$132)*AN$2</f>
        <v>0</v>
      </c>
      <c r="AO1172" s="88">
        <f>SUMIF(月間集計シート!$M$113:$M$132,$G1172,月間集計シート!Q$113:Q$132)*AO$2</f>
        <v>0</v>
      </c>
      <c r="AP1172" s="88">
        <f>SUMIF(月間集計シート!$M$113:$M$132,$G1172,月間集計シート!R$113:R$132)*AP$2</f>
        <v>0</v>
      </c>
      <c r="AQ1172" s="88">
        <f>SUMIF(月間集計シート!$M$113:$M$132,$G1172,月間集計シート!S$113:S$132)*AQ$2</f>
        <v>0</v>
      </c>
      <c r="AR1172" s="88">
        <f>SUMIF(月間集計シート!$M$113:$M$132,$G1172,月間集計シート!T$113:T$132)*AR$2</f>
        <v>0</v>
      </c>
      <c r="AS1172" s="88">
        <f>SUMIF(月間集計シート!$M$134:$M$153,$G1172,月間集計シート!N$134:N$153)*AS$2</f>
        <v>0</v>
      </c>
      <c r="AT1172" s="88">
        <f>SUMIF(月間集計シート!$M$134:$M$153,$G1172,月間集計シート!O$134:O$153)*AT$2</f>
        <v>0</v>
      </c>
      <c r="AU1172" s="88">
        <f>SUMIF(月間集計シート!$M$134:$M$153,$G1172,月間集計シート!P$134:P$153)*AU$2</f>
        <v>0</v>
      </c>
      <c r="AV1172" s="88">
        <f>SUMIF(月間集計シート!$M$134:$M$153,$G1172,月間集計シート!Q$134:Q$153)*AV$2</f>
        <v>0</v>
      </c>
      <c r="AW1172" s="88">
        <f>SUMIF(月間集計シート!$M$134:$M$153,$G1172,月間集計シート!R$134:R$153)*AW$2</f>
        <v>0</v>
      </c>
      <c r="AX1172" s="88">
        <f>SUMIF(月間集計シート!$M$134:$M$153,$G1172,月間集計シート!S$134:S$153)*AX$2</f>
        <v>0</v>
      </c>
      <c r="AY1172" s="88">
        <f>SUMIF(月間集計シート!$M$134:$M$153,$G1172,月間集計シート!T$134:T$153)*AY$2</f>
        <v>0</v>
      </c>
    </row>
    <row r="1173" spans="1:51" ht="14.25" thickBot="1">
      <c r="A1173">
        <v>14</v>
      </c>
      <c r="B1173" s="120">
        <f t="shared" si="623"/>
        <v>0</v>
      </c>
      <c r="C1173" s="120" t="str">
        <f t="shared" si="624"/>
        <v/>
      </c>
      <c r="D1173" s="137"/>
      <c r="E1173" s="150" t="str">
        <f>工種!A60</f>
        <v>80102</v>
      </c>
      <c r="F1173" s="119" t="str">
        <f>工種!B60</f>
        <v>保守／ｻﾎﾟｰﾄ：社内問い合わせ</v>
      </c>
      <c r="G1173" s="116" t="str">
        <f t="shared" si="625"/>
        <v>080102</v>
      </c>
      <c r="H1173" s="88">
        <f t="shared" si="579"/>
        <v>0</v>
      </c>
      <c r="I1173" s="132"/>
      <c r="J1173" s="88">
        <f>SUMIF(月間集計シート!$M$29:$M$48,$G1173,月間集計シート!N$29:N$48)*J$2</f>
        <v>0</v>
      </c>
      <c r="K1173" s="88">
        <f>SUMIF(月間集計シート!$M$29:$M$48,$G1173,月間集計シート!O$29:O$48)*K$2</f>
        <v>0</v>
      </c>
      <c r="L1173" s="88">
        <f>SUMIF(月間集計シート!$M$29:$M$48,$G1173,月間集計シート!P$29:P$48)*L$2</f>
        <v>0</v>
      </c>
      <c r="M1173" s="88">
        <f>SUMIF(月間集計シート!$M$29:$M$48,$G1173,月間集計シート!Q$29:Q$48)*M$2</f>
        <v>0</v>
      </c>
      <c r="N1173" s="88">
        <f>SUMIF(月間集計シート!$M$29:$M$48,$G1173,月間集計シート!R$29:R$48)*N$2</f>
        <v>0</v>
      </c>
      <c r="O1173" s="88">
        <f>SUMIF(月間集計シート!$M$29:$M$48,$G1173,月間集計シート!S$29:S$48)*O$2</f>
        <v>0</v>
      </c>
      <c r="P1173" s="88">
        <f>SUMIF(月間集計シート!$M$29:$M$48,$G1173,月間集計シート!T$29:T$48)*P$2</f>
        <v>0</v>
      </c>
      <c r="Q1173" s="88">
        <f>SUMIF(月間集計シート!$M$50:$M$69,$G1173,月間集計シート!N$50:N$69)*Q$2</f>
        <v>0</v>
      </c>
      <c r="R1173" s="88">
        <f>SUMIF(月間集計シート!$M$50:$M$69,$G1173,月間集計シート!O$50:O$69)*R$2</f>
        <v>0</v>
      </c>
      <c r="S1173" s="88">
        <f>SUMIF(月間集計シート!$M$50:$M$69,$G1173,月間集計シート!P$50:P$69)*S$2</f>
        <v>0</v>
      </c>
      <c r="T1173" s="88">
        <f>SUMIF(月間集計シート!$M$50:$M$69,$G1173,月間集計シート!Q$50:Q$69)*T$2</f>
        <v>0</v>
      </c>
      <c r="U1173" s="88">
        <f>SUMIF(月間集計シート!$M$50:$M$69,$G1173,月間集計シート!R$50:R$69)*U$2</f>
        <v>0</v>
      </c>
      <c r="V1173" s="88">
        <f>SUMIF(月間集計シート!$M$50:$M$69,$G1173,月間集計シート!S$50:S$69)*V$2</f>
        <v>0</v>
      </c>
      <c r="W1173" s="88">
        <f>SUMIF(月間集計シート!$M$50:$M$69,$G1173,月間集計シート!T$50:T$69)*W$2</f>
        <v>0</v>
      </c>
      <c r="X1173" s="88">
        <f>SUMIF(月間集計シート!$M$71:$M$90,$G1173,月間集計シート!N$71:N$90)*X$2</f>
        <v>0</v>
      </c>
      <c r="Y1173" s="88">
        <f>SUMIF(月間集計シート!$M$71:$M$90,$G1173,月間集計シート!O$71:O$90)*Y$2</f>
        <v>0</v>
      </c>
      <c r="Z1173" s="88">
        <f>SUMIF(月間集計シート!$M$71:$M$90,$G1173,月間集計シート!P$71:P$90)*Z$2</f>
        <v>0</v>
      </c>
      <c r="AA1173" s="88">
        <f>SUMIF(月間集計シート!$M$71:$M$90,$G1173,月間集計シート!Q$71:Q$90)*AA$2</f>
        <v>0</v>
      </c>
      <c r="AB1173" s="88">
        <f>SUMIF(月間集計シート!$M$71:$M$90,$G1173,月間集計シート!R$71:R$90)*AB$2</f>
        <v>0</v>
      </c>
      <c r="AC1173" s="88">
        <f>SUMIF(月間集計シート!$M$71:$M$90,$G1173,月間集計シート!S$71:S$90)*AC$2</f>
        <v>0</v>
      </c>
      <c r="AD1173" s="88">
        <f>SUMIF(月間集計シート!$M$71:$M$90,$G1173,月間集計シート!T$71:T$90)*AD$2</f>
        <v>0</v>
      </c>
      <c r="AE1173" s="88">
        <f>SUMIF(月間集計シート!$M$92:$M$111,$G1173,月間集計シート!N$92:N$111)*AE$2</f>
        <v>0</v>
      </c>
      <c r="AF1173" s="88">
        <f>SUMIF(月間集計シート!$M$92:$M$111,$G1173,月間集計シート!O$92:O$111)*AF$2</f>
        <v>0</v>
      </c>
      <c r="AG1173" s="88">
        <f>SUMIF(月間集計シート!$M$92:$M$111,$G1173,月間集計シート!P$92:P$111)*AG$2</f>
        <v>0</v>
      </c>
      <c r="AH1173" s="88">
        <f>SUMIF(月間集計シート!$M$92:$M$111,$G1173,月間集計シート!Q$92:Q$111)*AH$2</f>
        <v>0</v>
      </c>
      <c r="AI1173" s="88">
        <f>SUMIF(月間集計シート!$M$92:$M$111,$G1173,月間集計シート!R$92:R$111)*AI$2</f>
        <v>0</v>
      </c>
      <c r="AJ1173" s="88">
        <f>SUMIF(月間集計シート!$M$92:$M$111,$G1173,月間集計シート!S$92:S$111)*AJ$2</f>
        <v>0</v>
      </c>
      <c r="AK1173" s="88">
        <f>SUMIF(月間集計シート!$M$92:$M$111,$G1173,月間集計シート!T$92:T$111)*AK$2</f>
        <v>0</v>
      </c>
      <c r="AL1173" s="88">
        <f>SUMIF(月間集計シート!$M$113:$M$132,$G1173,月間集計シート!N$113:N$132)*AL$2</f>
        <v>0</v>
      </c>
      <c r="AM1173" s="88">
        <f>SUMIF(月間集計シート!$M$113:$M$132,$G1173,月間集計シート!O$113:O$132)*AM$2</f>
        <v>0</v>
      </c>
      <c r="AN1173" s="88">
        <f>SUMIF(月間集計シート!$M$113:$M$132,$G1173,月間集計シート!P$113:P$132)*AN$2</f>
        <v>0</v>
      </c>
      <c r="AO1173" s="88">
        <f>SUMIF(月間集計シート!$M$113:$M$132,$G1173,月間集計シート!Q$113:Q$132)*AO$2</f>
        <v>0</v>
      </c>
      <c r="AP1173" s="88">
        <f>SUMIF(月間集計シート!$M$113:$M$132,$G1173,月間集計シート!R$113:R$132)*AP$2</f>
        <v>0</v>
      </c>
      <c r="AQ1173" s="88">
        <f>SUMIF(月間集計シート!$M$113:$M$132,$G1173,月間集計シート!S$113:S$132)*AQ$2</f>
        <v>0</v>
      </c>
      <c r="AR1173" s="88">
        <f>SUMIF(月間集計シート!$M$113:$M$132,$G1173,月間集計シート!T$113:T$132)*AR$2</f>
        <v>0</v>
      </c>
      <c r="AS1173" s="88">
        <f>SUMIF(月間集計シート!$M$134:$M$153,$G1173,月間集計シート!N$134:N$153)*AS$2</f>
        <v>0</v>
      </c>
      <c r="AT1173" s="88">
        <f>SUMIF(月間集計シート!$M$134:$M$153,$G1173,月間集計シート!O$134:O$153)*AT$2</f>
        <v>0</v>
      </c>
      <c r="AU1173" s="88">
        <f>SUMIF(月間集計シート!$M$134:$M$153,$G1173,月間集計シート!P$134:P$153)*AU$2</f>
        <v>0</v>
      </c>
      <c r="AV1173" s="88">
        <f>SUMIF(月間集計シート!$M$134:$M$153,$G1173,月間集計シート!Q$134:Q$153)*AV$2</f>
        <v>0</v>
      </c>
      <c r="AW1173" s="88">
        <f>SUMIF(月間集計シート!$M$134:$M$153,$G1173,月間集計シート!R$134:R$153)*AW$2</f>
        <v>0</v>
      </c>
      <c r="AX1173" s="88">
        <f>SUMIF(月間集計シート!$M$134:$M$153,$G1173,月間集計シート!S$134:S$153)*AX$2</f>
        <v>0</v>
      </c>
      <c r="AY1173" s="88">
        <f>SUMIF(月間集計シート!$M$134:$M$153,$G1173,月間集計シート!T$134:T$153)*AY$2</f>
        <v>0</v>
      </c>
    </row>
    <row r="1174" spans="1:51" ht="14.25" thickBot="1">
      <c r="A1174">
        <v>14</v>
      </c>
      <c r="B1174" s="120">
        <f t="shared" si="623"/>
        <v>0</v>
      </c>
      <c r="C1174" s="120" t="str">
        <f t="shared" si="624"/>
        <v/>
      </c>
      <c r="D1174" s="137"/>
      <c r="E1174" s="150" t="str">
        <f>工種!A61</f>
        <v>80103</v>
      </c>
      <c r="F1174" s="119" t="str">
        <f>工種!B61</f>
        <v>保守／ｻﾎﾟｰﾄ：支社・他部門支援</v>
      </c>
      <c r="G1174" s="116" t="str">
        <f t="shared" si="625"/>
        <v>080103</v>
      </c>
      <c r="H1174" s="88">
        <f t="shared" si="579"/>
        <v>0</v>
      </c>
      <c r="I1174" s="132"/>
      <c r="J1174" s="88">
        <f>SUMIF(月間集計シート!$M$29:$M$48,$G1174,月間集計シート!N$29:N$48)*J$2</f>
        <v>0</v>
      </c>
      <c r="K1174" s="88">
        <f>SUMIF(月間集計シート!$M$29:$M$48,$G1174,月間集計シート!O$29:O$48)*K$2</f>
        <v>0</v>
      </c>
      <c r="L1174" s="88">
        <f>SUMIF(月間集計シート!$M$29:$M$48,$G1174,月間集計シート!P$29:P$48)*L$2</f>
        <v>0</v>
      </c>
      <c r="M1174" s="88">
        <f>SUMIF(月間集計シート!$M$29:$M$48,$G1174,月間集計シート!Q$29:Q$48)*M$2</f>
        <v>0</v>
      </c>
      <c r="N1174" s="88">
        <f>SUMIF(月間集計シート!$M$29:$M$48,$G1174,月間集計シート!R$29:R$48)*N$2</f>
        <v>0</v>
      </c>
      <c r="O1174" s="88">
        <f>SUMIF(月間集計シート!$M$29:$M$48,$G1174,月間集計シート!S$29:S$48)*O$2</f>
        <v>0</v>
      </c>
      <c r="P1174" s="88">
        <f>SUMIF(月間集計シート!$M$29:$M$48,$G1174,月間集計シート!T$29:T$48)*P$2</f>
        <v>0</v>
      </c>
      <c r="Q1174" s="88">
        <f>SUMIF(月間集計シート!$M$50:$M$69,$G1174,月間集計シート!N$50:N$69)*Q$2</f>
        <v>0</v>
      </c>
      <c r="R1174" s="88">
        <f>SUMIF(月間集計シート!$M$50:$M$69,$G1174,月間集計シート!O$50:O$69)*R$2</f>
        <v>0</v>
      </c>
      <c r="S1174" s="88">
        <f>SUMIF(月間集計シート!$M$50:$M$69,$G1174,月間集計シート!P$50:P$69)*S$2</f>
        <v>0</v>
      </c>
      <c r="T1174" s="88">
        <f>SUMIF(月間集計シート!$M$50:$M$69,$G1174,月間集計シート!Q$50:Q$69)*T$2</f>
        <v>0</v>
      </c>
      <c r="U1174" s="88">
        <f>SUMIF(月間集計シート!$M$50:$M$69,$G1174,月間集計シート!R$50:R$69)*U$2</f>
        <v>0</v>
      </c>
      <c r="V1174" s="88">
        <f>SUMIF(月間集計シート!$M$50:$M$69,$G1174,月間集計シート!S$50:S$69)*V$2</f>
        <v>0</v>
      </c>
      <c r="W1174" s="88">
        <f>SUMIF(月間集計シート!$M$50:$M$69,$G1174,月間集計シート!T$50:T$69)*W$2</f>
        <v>0</v>
      </c>
      <c r="X1174" s="88">
        <f>SUMIF(月間集計シート!$M$71:$M$90,$G1174,月間集計シート!N$71:N$90)*X$2</f>
        <v>0</v>
      </c>
      <c r="Y1174" s="88">
        <f>SUMIF(月間集計シート!$M$71:$M$90,$G1174,月間集計シート!O$71:O$90)*Y$2</f>
        <v>0</v>
      </c>
      <c r="Z1174" s="88">
        <f>SUMIF(月間集計シート!$M$71:$M$90,$G1174,月間集計シート!P$71:P$90)*Z$2</f>
        <v>0</v>
      </c>
      <c r="AA1174" s="88">
        <f>SUMIF(月間集計シート!$M$71:$M$90,$G1174,月間集計シート!Q$71:Q$90)*AA$2</f>
        <v>0</v>
      </c>
      <c r="AB1174" s="88">
        <f>SUMIF(月間集計シート!$M$71:$M$90,$G1174,月間集計シート!R$71:R$90)*AB$2</f>
        <v>0</v>
      </c>
      <c r="AC1174" s="88">
        <f>SUMIF(月間集計シート!$M$71:$M$90,$G1174,月間集計シート!S$71:S$90)*AC$2</f>
        <v>0</v>
      </c>
      <c r="AD1174" s="88">
        <f>SUMIF(月間集計シート!$M$71:$M$90,$G1174,月間集計シート!T$71:T$90)*AD$2</f>
        <v>0</v>
      </c>
      <c r="AE1174" s="88">
        <f>SUMIF(月間集計シート!$M$92:$M$111,$G1174,月間集計シート!N$92:N$111)*AE$2</f>
        <v>0</v>
      </c>
      <c r="AF1174" s="88">
        <f>SUMIF(月間集計シート!$M$92:$M$111,$G1174,月間集計シート!O$92:O$111)*AF$2</f>
        <v>0</v>
      </c>
      <c r="AG1174" s="88">
        <f>SUMIF(月間集計シート!$M$92:$M$111,$G1174,月間集計シート!P$92:P$111)*AG$2</f>
        <v>0</v>
      </c>
      <c r="AH1174" s="88">
        <f>SUMIF(月間集計シート!$M$92:$M$111,$G1174,月間集計シート!Q$92:Q$111)*AH$2</f>
        <v>0</v>
      </c>
      <c r="AI1174" s="88">
        <f>SUMIF(月間集計シート!$M$92:$M$111,$G1174,月間集計シート!R$92:R$111)*AI$2</f>
        <v>0</v>
      </c>
      <c r="AJ1174" s="88">
        <f>SUMIF(月間集計シート!$M$92:$M$111,$G1174,月間集計シート!S$92:S$111)*AJ$2</f>
        <v>0</v>
      </c>
      <c r="AK1174" s="88">
        <f>SUMIF(月間集計シート!$M$92:$M$111,$G1174,月間集計シート!T$92:T$111)*AK$2</f>
        <v>0</v>
      </c>
      <c r="AL1174" s="88">
        <f>SUMIF(月間集計シート!$M$113:$M$132,$G1174,月間集計シート!N$113:N$132)*AL$2</f>
        <v>0</v>
      </c>
      <c r="AM1174" s="88">
        <f>SUMIF(月間集計シート!$M$113:$M$132,$G1174,月間集計シート!O$113:O$132)*AM$2</f>
        <v>0</v>
      </c>
      <c r="AN1174" s="88">
        <f>SUMIF(月間集計シート!$M$113:$M$132,$G1174,月間集計シート!P$113:P$132)*AN$2</f>
        <v>0</v>
      </c>
      <c r="AO1174" s="88">
        <f>SUMIF(月間集計シート!$M$113:$M$132,$G1174,月間集計シート!Q$113:Q$132)*AO$2</f>
        <v>0</v>
      </c>
      <c r="AP1174" s="88">
        <f>SUMIF(月間集計シート!$M$113:$M$132,$G1174,月間集計シート!R$113:R$132)*AP$2</f>
        <v>0</v>
      </c>
      <c r="AQ1174" s="88">
        <f>SUMIF(月間集計シート!$M$113:$M$132,$G1174,月間集計シート!S$113:S$132)*AQ$2</f>
        <v>0</v>
      </c>
      <c r="AR1174" s="88">
        <f>SUMIF(月間集計シート!$M$113:$M$132,$G1174,月間集計シート!T$113:T$132)*AR$2</f>
        <v>0</v>
      </c>
      <c r="AS1174" s="88">
        <f>SUMIF(月間集計シート!$M$134:$M$153,$G1174,月間集計シート!N$134:N$153)*AS$2</f>
        <v>0</v>
      </c>
      <c r="AT1174" s="88">
        <f>SUMIF(月間集計シート!$M$134:$M$153,$G1174,月間集計シート!O$134:O$153)*AT$2</f>
        <v>0</v>
      </c>
      <c r="AU1174" s="88">
        <f>SUMIF(月間集計シート!$M$134:$M$153,$G1174,月間集計シート!P$134:P$153)*AU$2</f>
        <v>0</v>
      </c>
      <c r="AV1174" s="88">
        <f>SUMIF(月間集計シート!$M$134:$M$153,$G1174,月間集計シート!Q$134:Q$153)*AV$2</f>
        <v>0</v>
      </c>
      <c r="AW1174" s="88">
        <f>SUMIF(月間集計シート!$M$134:$M$153,$G1174,月間集計シート!R$134:R$153)*AW$2</f>
        <v>0</v>
      </c>
      <c r="AX1174" s="88">
        <f>SUMIF(月間集計シート!$M$134:$M$153,$G1174,月間集計シート!S$134:S$153)*AX$2</f>
        <v>0</v>
      </c>
      <c r="AY1174" s="88">
        <f>SUMIF(月間集計シート!$M$134:$M$153,$G1174,月間集計シート!T$134:T$153)*AY$2</f>
        <v>0</v>
      </c>
    </row>
    <row r="1175" spans="1:51" ht="14.25" thickBot="1">
      <c r="A1175">
        <v>14</v>
      </c>
      <c r="B1175" s="120">
        <f t="shared" si="623"/>
        <v>0</v>
      </c>
      <c r="C1175" s="120" t="str">
        <f t="shared" si="624"/>
        <v/>
      </c>
      <c r="D1175" s="137"/>
      <c r="E1175" s="150" t="str">
        <f>工種!A62</f>
        <v>80104</v>
      </c>
      <c r="F1175" s="119" t="str">
        <f>工種!B62</f>
        <v>保守／ｻﾎﾟｰﾄ：連絡文書作成・更新</v>
      </c>
      <c r="G1175" s="116" t="str">
        <f t="shared" si="625"/>
        <v>080104</v>
      </c>
      <c r="H1175" s="88">
        <f t="shared" si="579"/>
        <v>0</v>
      </c>
      <c r="I1175" s="132"/>
      <c r="J1175" s="88">
        <f>SUMIF(月間集計シート!$M$29:$M$48,$G1175,月間集計シート!N$29:N$48)*J$2</f>
        <v>0</v>
      </c>
      <c r="K1175" s="88">
        <f>SUMIF(月間集計シート!$M$29:$M$48,$G1175,月間集計シート!O$29:O$48)*K$2</f>
        <v>0</v>
      </c>
      <c r="L1175" s="88">
        <f>SUMIF(月間集計シート!$M$29:$M$48,$G1175,月間集計シート!P$29:P$48)*L$2</f>
        <v>0</v>
      </c>
      <c r="M1175" s="88">
        <f>SUMIF(月間集計シート!$M$29:$M$48,$G1175,月間集計シート!Q$29:Q$48)*M$2</f>
        <v>0</v>
      </c>
      <c r="N1175" s="88">
        <f>SUMIF(月間集計シート!$M$29:$M$48,$G1175,月間集計シート!R$29:R$48)*N$2</f>
        <v>0</v>
      </c>
      <c r="O1175" s="88">
        <f>SUMIF(月間集計シート!$M$29:$M$48,$G1175,月間集計シート!S$29:S$48)*O$2</f>
        <v>0</v>
      </c>
      <c r="P1175" s="88">
        <f>SUMIF(月間集計シート!$M$29:$M$48,$G1175,月間集計シート!T$29:T$48)*P$2</f>
        <v>0</v>
      </c>
      <c r="Q1175" s="88">
        <f>SUMIF(月間集計シート!$M$50:$M$69,$G1175,月間集計シート!N$50:N$69)*Q$2</f>
        <v>0</v>
      </c>
      <c r="R1175" s="88">
        <f>SUMIF(月間集計シート!$M$50:$M$69,$G1175,月間集計シート!O$50:O$69)*R$2</f>
        <v>0</v>
      </c>
      <c r="S1175" s="88">
        <f>SUMIF(月間集計シート!$M$50:$M$69,$G1175,月間集計シート!P$50:P$69)*S$2</f>
        <v>0</v>
      </c>
      <c r="T1175" s="88">
        <f>SUMIF(月間集計シート!$M$50:$M$69,$G1175,月間集計シート!Q$50:Q$69)*T$2</f>
        <v>0</v>
      </c>
      <c r="U1175" s="88">
        <f>SUMIF(月間集計シート!$M$50:$M$69,$G1175,月間集計シート!R$50:R$69)*U$2</f>
        <v>0</v>
      </c>
      <c r="V1175" s="88">
        <f>SUMIF(月間集計シート!$M$50:$M$69,$G1175,月間集計シート!S$50:S$69)*V$2</f>
        <v>0</v>
      </c>
      <c r="W1175" s="88">
        <f>SUMIF(月間集計シート!$M$50:$M$69,$G1175,月間集計シート!T$50:T$69)*W$2</f>
        <v>0</v>
      </c>
      <c r="X1175" s="88">
        <f>SUMIF(月間集計シート!$M$71:$M$90,$G1175,月間集計シート!N$71:N$90)*X$2</f>
        <v>0</v>
      </c>
      <c r="Y1175" s="88">
        <f>SUMIF(月間集計シート!$M$71:$M$90,$G1175,月間集計シート!O$71:O$90)*Y$2</f>
        <v>0</v>
      </c>
      <c r="Z1175" s="88">
        <f>SUMIF(月間集計シート!$M$71:$M$90,$G1175,月間集計シート!P$71:P$90)*Z$2</f>
        <v>0</v>
      </c>
      <c r="AA1175" s="88">
        <f>SUMIF(月間集計シート!$M$71:$M$90,$G1175,月間集計シート!Q$71:Q$90)*AA$2</f>
        <v>0</v>
      </c>
      <c r="AB1175" s="88">
        <f>SUMIF(月間集計シート!$M$71:$M$90,$G1175,月間集計シート!R$71:R$90)*AB$2</f>
        <v>0</v>
      </c>
      <c r="AC1175" s="88">
        <f>SUMIF(月間集計シート!$M$71:$M$90,$G1175,月間集計シート!S$71:S$90)*AC$2</f>
        <v>0</v>
      </c>
      <c r="AD1175" s="88">
        <f>SUMIF(月間集計シート!$M$71:$M$90,$G1175,月間集計シート!T$71:T$90)*AD$2</f>
        <v>0</v>
      </c>
      <c r="AE1175" s="88">
        <f>SUMIF(月間集計シート!$M$92:$M$111,$G1175,月間集計シート!N$92:N$111)*AE$2</f>
        <v>0</v>
      </c>
      <c r="AF1175" s="88">
        <f>SUMIF(月間集計シート!$M$92:$M$111,$G1175,月間集計シート!O$92:O$111)*AF$2</f>
        <v>0</v>
      </c>
      <c r="AG1175" s="88">
        <f>SUMIF(月間集計シート!$M$92:$M$111,$G1175,月間集計シート!P$92:P$111)*AG$2</f>
        <v>0</v>
      </c>
      <c r="AH1175" s="88">
        <f>SUMIF(月間集計シート!$M$92:$M$111,$G1175,月間集計シート!Q$92:Q$111)*AH$2</f>
        <v>0</v>
      </c>
      <c r="AI1175" s="88">
        <f>SUMIF(月間集計シート!$M$92:$M$111,$G1175,月間集計シート!R$92:R$111)*AI$2</f>
        <v>0</v>
      </c>
      <c r="AJ1175" s="88">
        <f>SUMIF(月間集計シート!$M$92:$M$111,$G1175,月間集計シート!S$92:S$111)*AJ$2</f>
        <v>0</v>
      </c>
      <c r="AK1175" s="88">
        <f>SUMIF(月間集計シート!$M$92:$M$111,$G1175,月間集計シート!T$92:T$111)*AK$2</f>
        <v>0</v>
      </c>
      <c r="AL1175" s="88">
        <f>SUMIF(月間集計シート!$M$113:$M$132,$G1175,月間集計シート!N$113:N$132)*AL$2</f>
        <v>0</v>
      </c>
      <c r="AM1175" s="88">
        <f>SUMIF(月間集計シート!$M$113:$M$132,$G1175,月間集計シート!O$113:O$132)*AM$2</f>
        <v>0</v>
      </c>
      <c r="AN1175" s="88">
        <f>SUMIF(月間集計シート!$M$113:$M$132,$G1175,月間集計シート!P$113:P$132)*AN$2</f>
        <v>0</v>
      </c>
      <c r="AO1175" s="88">
        <f>SUMIF(月間集計シート!$M$113:$M$132,$G1175,月間集計シート!Q$113:Q$132)*AO$2</f>
        <v>0</v>
      </c>
      <c r="AP1175" s="88">
        <f>SUMIF(月間集計シート!$M$113:$M$132,$G1175,月間集計シート!R$113:R$132)*AP$2</f>
        <v>0</v>
      </c>
      <c r="AQ1175" s="88">
        <f>SUMIF(月間集計シート!$M$113:$M$132,$G1175,月間集計シート!S$113:S$132)*AQ$2</f>
        <v>0</v>
      </c>
      <c r="AR1175" s="88">
        <f>SUMIF(月間集計シート!$M$113:$M$132,$G1175,月間集計シート!T$113:T$132)*AR$2</f>
        <v>0</v>
      </c>
      <c r="AS1175" s="88">
        <f>SUMIF(月間集計シート!$M$134:$M$153,$G1175,月間集計シート!N$134:N$153)*AS$2</f>
        <v>0</v>
      </c>
      <c r="AT1175" s="88">
        <f>SUMIF(月間集計シート!$M$134:$M$153,$G1175,月間集計シート!O$134:O$153)*AT$2</f>
        <v>0</v>
      </c>
      <c r="AU1175" s="88">
        <f>SUMIF(月間集計シート!$M$134:$M$153,$G1175,月間集計シート!P$134:P$153)*AU$2</f>
        <v>0</v>
      </c>
      <c r="AV1175" s="88">
        <f>SUMIF(月間集計シート!$M$134:$M$153,$G1175,月間集計シート!Q$134:Q$153)*AV$2</f>
        <v>0</v>
      </c>
      <c r="AW1175" s="88">
        <f>SUMIF(月間集計シート!$M$134:$M$153,$G1175,月間集計シート!R$134:R$153)*AW$2</f>
        <v>0</v>
      </c>
      <c r="AX1175" s="88">
        <f>SUMIF(月間集計シート!$M$134:$M$153,$G1175,月間集計シート!S$134:S$153)*AX$2</f>
        <v>0</v>
      </c>
      <c r="AY1175" s="88">
        <f>SUMIF(月間集計シート!$M$134:$M$153,$G1175,月間集計シート!T$134:T$153)*AY$2</f>
        <v>0</v>
      </c>
    </row>
    <row r="1176" spans="1:51" ht="14.25" thickBot="1">
      <c r="A1176">
        <v>14</v>
      </c>
      <c r="B1176" s="120">
        <f t="shared" si="623"/>
        <v>0</v>
      </c>
      <c r="C1176" s="120" t="str">
        <f t="shared" si="624"/>
        <v/>
      </c>
      <c r="D1176" s="137"/>
      <c r="E1176" s="150" t="str">
        <f>工種!A63</f>
        <v>80105</v>
      </c>
      <c r="F1176" s="119" t="str">
        <f>工種!B63</f>
        <v>保守／ｻﾎﾟｰﾄ：ｲﾝﾄﾗ資料更新</v>
      </c>
      <c r="G1176" s="116" t="str">
        <f t="shared" ref="G1176:G1193" si="626">B1176&amp;E1176</f>
        <v>080105</v>
      </c>
      <c r="H1176" s="88">
        <f t="shared" ref="H1176:H1177" si="627">SUM(J1176:AY1176)</f>
        <v>0</v>
      </c>
      <c r="I1176" s="132"/>
      <c r="J1176" s="88">
        <f>SUMIF(月間集計シート!$M$29:$M$48,$G1176,月間集計シート!N$29:N$48)*J$2</f>
        <v>0</v>
      </c>
      <c r="K1176" s="88">
        <f>SUMIF(月間集計シート!$M$29:$M$48,$G1176,月間集計シート!O$29:O$48)*K$2</f>
        <v>0</v>
      </c>
      <c r="L1176" s="88">
        <f>SUMIF(月間集計シート!$M$29:$M$48,$G1176,月間集計シート!P$29:P$48)*L$2</f>
        <v>0</v>
      </c>
      <c r="M1176" s="88">
        <f>SUMIF(月間集計シート!$M$29:$M$48,$G1176,月間集計シート!Q$29:Q$48)*M$2</f>
        <v>0</v>
      </c>
      <c r="N1176" s="88">
        <f>SUMIF(月間集計シート!$M$29:$M$48,$G1176,月間集計シート!R$29:R$48)*N$2</f>
        <v>0</v>
      </c>
      <c r="O1176" s="88">
        <f>SUMIF(月間集計シート!$M$29:$M$48,$G1176,月間集計シート!S$29:S$48)*O$2</f>
        <v>0</v>
      </c>
      <c r="P1176" s="88">
        <f>SUMIF(月間集計シート!$M$29:$M$48,$G1176,月間集計シート!T$29:T$48)*P$2</f>
        <v>0</v>
      </c>
      <c r="Q1176" s="88">
        <f>SUMIF(月間集計シート!$M$50:$M$69,$G1176,月間集計シート!N$50:N$69)*Q$2</f>
        <v>0</v>
      </c>
      <c r="R1176" s="88">
        <f>SUMIF(月間集計シート!$M$50:$M$69,$G1176,月間集計シート!O$50:O$69)*R$2</f>
        <v>0</v>
      </c>
      <c r="S1176" s="88">
        <f>SUMIF(月間集計シート!$M$50:$M$69,$G1176,月間集計シート!P$50:P$69)*S$2</f>
        <v>0</v>
      </c>
      <c r="T1176" s="88">
        <f>SUMIF(月間集計シート!$M$50:$M$69,$G1176,月間集計シート!Q$50:Q$69)*T$2</f>
        <v>0</v>
      </c>
      <c r="U1176" s="88">
        <f>SUMIF(月間集計シート!$M$50:$M$69,$G1176,月間集計シート!R$50:R$69)*U$2</f>
        <v>0</v>
      </c>
      <c r="V1176" s="88">
        <f>SUMIF(月間集計シート!$M$50:$M$69,$G1176,月間集計シート!S$50:S$69)*V$2</f>
        <v>0</v>
      </c>
      <c r="W1176" s="88">
        <f>SUMIF(月間集計シート!$M$50:$M$69,$G1176,月間集計シート!T$50:T$69)*W$2</f>
        <v>0</v>
      </c>
      <c r="X1176" s="88">
        <f>SUMIF(月間集計シート!$M$71:$M$90,$G1176,月間集計シート!N$71:N$90)*X$2</f>
        <v>0</v>
      </c>
      <c r="Y1176" s="88">
        <f>SUMIF(月間集計シート!$M$71:$M$90,$G1176,月間集計シート!O$71:O$90)*Y$2</f>
        <v>0</v>
      </c>
      <c r="Z1176" s="88">
        <f>SUMIF(月間集計シート!$M$71:$M$90,$G1176,月間集計シート!P$71:P$90)*Z$2</f>
        <v>0</v>
      </c>
      <c r="AA1176" s="88">
        <f>SUMIF(月間集計シート!$M$71:$M$90,$G1176,月間集計シート!Q$71:Q$90)*AA$2</f>
        <v>0</v>
      </c>
      <c r="AB1176" s="88">
        <f>SUMIF(月間集計シート!$M$71:$M$90,$G1176,月間集計シート!R$71:R$90)*AB$2</f>
        <v>0</v>
      </c>
      <c r="AC1176" s="88">
        <f>SUMIF(月間集計シート!$M$71:$M$90,$G1176,月間集計シート!S$71:S$90)*AC$2</f>
        <v>0</v>
      </c>
      <c r="AD1176" s="88">
        <f>SUMIF(月間集計シート!$M$71:$M$90,$G1176,月間集計シート!T$71:T$90)*AD$2</f>
        <v>0</v>
      </c>
      <c r="AE1176" s="88">
        <f>SUMIF(月間集計シート!$M$92:$M$111,$G1176,月間集計シート!N$92:N$111)*AE$2</f>
        <v>0</v>
      </c>
      <c r="AF1176" s="88">
        <f>SUMIF(月間集計シート!$M$92:$M$111,$G1176,月間集計シート!O$92:O$111)*AF$2</f>
        <v>0</v>
      </c>
      <c r="AG1176" s="88">
        <f>SUMIF(月間集計シート!$M$92:$M$111,$G1176,月間集計シート!P$92:P$111)*AG$2</f>
        <v>0</v>
      </c>
      <c r="AH1176" s="88">
        <f>SUMIF(月間集計シート!$M$92:$M$111,$G1176,月間集計シート!Q$92:Q$111)*AH$2</f>
        <v>0</v>
      </c>
      <c r="AI1176" s="88">
        <f>SUMIF(月間集計シート!$M$92:$M$111,$G1176,月間集計シート!R$92:R$111)*AI$2</f>
        <v>0</v>
      </c>
      <c r="AJ1176" s="88">
        <f>SUMIF(月間集計シート!$M$92:$M$111,$G1176,月間集計シート!S$92:S$111)*AJ$2</f>
        <v>0</v>
      </c>
      <c r="AK1176" s="88">
        <f>SUMIF(月間集計シート!$M$92:$M$111,$G1176,月間集計シート!T$92:T$111)*AK$2</f>
        <v>0</v>
      </c>
      <c r="AL1176" s="88">
        <f>SUMIF(月間集計シート!$M$113:$M$132,$G1176,月間集計シート!N$113:N$132)*AL$2</f>
        <v>0</v>
      </c>
      <c r="AM1176" s="88">
        <f>SUMIF(月間集計シート!$M$113:$M$132,$G1176,月間集計シート!O$113:O$132)*AM$2</f>
        <v>0</v>
      </c>
      <c r="AN1176" s="88">
        <f>SUMIF(月間集計シート!$M$113:$M$132,$G1176,月間集計シート!P$113:P$132)*AN$2</f>
        <v>0</v>
      </c>
      <c r="AO1176" s="88">
        <f>SUMIF(月間集計シート!$M$113:$M$132,$G1176,月間集計シート!Q$113:Q$132)*AO$2</f>
        <v>0</v>
      </c>
      <c r="AP1176" s="88">
        <f>SUMIF(月間集計シート!$M$113:$M$132,$G1176,月間集計シート!R$113:R$132)*AP$2</f>
        <v>0</v>
      </c>
      <c r="AQ1176" s="88">
        <f>SUMIF(月間集計シート!$M$113:$M$132,$G1176,月間集計シート!S$113:S$132)*AQ$2</f>
        <v>0</v>
      </c>
      <c r="AR1176" s="88">
        <f>SUMIF(月間集計シート!$M$113:$M$132,$G1176,月間集計シート!T$113:T$132)*AR$2</f>
        <v>0</v>
      </c>
      <c r="AS1176" s="88">
        <f>SUMIF(月間集計シート!$M$134:$M$153,$G1176,月間集計シート!N$134:N$153)*AS$2</f>
        <v>0</v>
      </c>
      <c r="AT1176" s="88">
        <f>SUMIF(月間集計シート!$M$134:$M$153,$G1176,月間集計シート!O$134:O$153)*AT$2</f>
        <v>0</v>
      </c>
      <c r="AU1176" s="88">
        <f>SUMIF(月間集計シート!$M$134:$M$153,$G1176,月間集計シート!P$134:P$153)*AU$2</f>
        <v>0</v>
      </c>
      <c r="AV1176" s="88">
        <f>SUMIF(月間集計シート!$M$134:$M$153,$G1176,月間集計シート!Q$134:Q$153)*AV$2</f>
        <v>0</v>
      </c>
      <c r="AW1176" s="88">
        <f>SUMIF(月間集計シート!$M$134:$M$153,$G1176,月間集計シート!R$134:R$153)*AW$2</f>
        <v>0</v>
      </c>
      <c r="AX1176" s="88">
        <f>SUMIF(月間集計シート!$M$134:$M$153,$G1176,月間集計シート!S$134:S$153)*AX$2</f>
        <v>0</v>
      </c>
      <c r="AY1176" s="88">
        <f>SUMIF(月間集計シート!$M$134:$M$153,$G1176,月間集計シート!T$134:T$153)*AY$2</f>
        <v>0</v>
      </c>
    </row>
    <row r="1177" spans="1:51" ht="14.25" thickBot="1">
      <c r="A1177">
        <v>14</v>
      </c>
      <c r="B1177" s="120">
        <f t="shared" si="623"/>
        <v>0</v>
      </c>
      <c r="C1177" s="120" t="str">
        <f t="shared" si="624"/>
        <v/>
      </c>
      <c r="D1177" s="137"/>
      <c r="E1177" s="150" t="str">
        <f>工種!A64</f>
        <v>80106</v>
      </c>
      <c r="F1177" s="119" t="str">
        <f>工種!B64</f>
        <v>保守／ｻﾎﾟｰﾄ：打合せ</v>
      </c>
      <c r="G1177" s="116" t="str">
        <f t="shared" si="626"/>
        <v>080106</v>
      </c>
      <c r="H1177" s="88">
        <f t="shared" si="627"/>
        <v>0</v>
      </c>
      <c r="I1177" s="132"/>
      <c r="J1177" s="88">
        <f>SUMIF(月間集計シート!$M$29:$M$48,$G1177,月間集計シート!N$29:N$48)*J$2</f>
        <v>0</v>
      </c>
      <c r="K1177" s="88">
        <f>SUMIF(月間集計シート!$M$29:$M$48,$G1177,月間集計シート!O$29:O$48)*K$2</f>
        <v>0</v>
      </c>
      <c r="L1177" s="88">
        <f>SUMIF(月間集計シート!$M$29:$M$48,$G1177,月間集計シート!P$29:P$48)*L$2</f>
        <v>0</v>
      </c>
      <c r="M1177" s="88">
        <f>SUMIF(月間集計シート!$M$29:$M$48,$G1177,月間集計シート!Q$29:Q$48)*M$2</f>
        <v>0</v>
      </c>
      <c r="N1177" s="88">
        <f>SUMIF(月間集計シート!$M$29:$M$48,$G1177,月間集計シート!R$29:R$48)*N$2</f>
        <v>0</v>
      </c>
      <c r="O1177" s="88">
        <f>SUMIF(月間集計シート!$M$29:$M$48,$G1177,月間集計シート!S$29:S$48)*O$2</f>
        <v>0</v>
      </c>
      <c r="P1177" s="88">
        <f>SUMIF(月間集計シート!$M$29:$M$48,$G1177,月間集計シート!T$29:T$48)*P$2</f>
        <v>0</v>
      </c>
      <c r="Q1177" s="88">
        <f>SUMIF(月間集計シート!$M$50:$M$69,$G1177,月間集計シート!N$50:N$69)*Q$2</f>
        <v>0</v>
      </c>
      <c r="R1177" s="88">
        <f>SUMIF(月間集計シート!$M$50:$M$69,$G1177,月間集計シート!O$50:O$69)*R$2</f>
        <v>0</v>
      </c>
      <c r="S1177" s="88">
        <f>SUMIF(月間集計シート!$M$50:$M$69,$G1177,月間集計シート!P$50:P$69)*S$2</f>
        <v>0</v>
      </c>
      <c r="T1177" s="88">
        <f>SUMIF(月間集計シート!$M$50:$M$69,$G1177,月間集計シート!Q$50:Q$69)*T$2</f>
        <v>0</v>
      </c>
      <c r="U1177" s="88">
        <f>SUMIF(月間集計シート!$M$50:$M$69,$G1177,月間集計シート!R$50:R$69)*U$2</f>
        <v>0</v>
      </c>
      <c r="V1177" s="88">
        <f>SUMIF(月間集計シート!$M$50:$M$69,$G1177,月間集計シート!S$50:S$69)*V$2</f>
        <v>0</v>
      </c>
      <c r="W1177" s="88">
        <f>SUMIF(月間集計シート!$M$50:$M$69,$G1177,月間集計シート!T$50:T$69)*W$2</f>
        <v>0</v>
      </c>
      <c r="X1177" s="88">
        <f>SUMIF(月間集計シート!$M$71:$M$90,$G1177,月間集計シート!N$71:N$90)*X$2</f>
        <v>0</v>
      </c>
      <c r="Y1177" s="88">
        <f>SUMIF(月間集計シート!$M$71:$M$90,$G1177,月間集計シート!O$71:O$90)*Y$2</f>
        <v>0</v>
      </c>
      <c r="Z1177" s="88">
        <f>SUMIF(月間集計シート!$M$71:$M$90,$G1177,月間集計シート!P$71:P$90)*Z$2</f>
        <v>0</v>
      </c>
      <c r="AA1177" s="88">
        <f>SUMIF(月間集計シート!$M$71:$M$90,$G1177,月間集計シート!Q$71:Q$90)*AA$2</f>
        <v>0</v>
      </c>
      <c r="AB1177" s="88">
        <f>SUMIF(月間集計シート!$M$71:$M$90,$G1177,月間集計シート!R$71:R$90)*AB$2</f>
        <v>0</v>
      </c>
      <c r="AC1177" s="88">
        <f>SUMIF(月間集計シート!$M$71:$M$90,$G1177,月間集計シート!S$71:S$90)*AC$2</f>
        <v>0</v>
      </c>
      <c r="AD1177" s="88">
        <f>SUMIF(月間集計シート!$M$71:$M$90,$G1177,月間集計シート!T$71:T$90)*AD$2</f>
        <v>0</v>
      </c>
      <c r="AE1177" s="88">
        <f>SUMIF(月間集計シート!$M$92:$M$111,$G1177,月間集計シート!N$92:N$111)*AE$2</f>
        <v>0</v>
      </c>
      <c r="AF1177" s="88">
        <f>SUMIF(月間集計シート!$M$92:$M$111,$G1177,月間集計シート!O$92:O$111)*AF$2</f>
        <v>0</v>
      </c>
      <c r="AG1177" s="88">
        <f>SUMIF(月間集計シート!$M$92:$M$111,$G1177,月間集計シート!P$92:P$111)*AG$2</f>
        <v>0</v>
      </c>
      <c r="AH1177" s="88">
        <f>SUMIF(月間集計シート!$M$92:$M$111,$G1177,月間集計シート!Q$92:Q$111)*AH$2</f>
        <v>0</v>
      </c>
      <c r="AI1177" s="88">
        <f>SUMIF(月間集計シート!$M$92:$M$111,$G1177,月間集計シート!R$92:R$111)*AI$2</f>
        <v>0</v>
      </c>
      <c r="AJ1177" s="88">
        <f>SUMIF(月間集計シート!$M$92:$M$111,$G1177,月間集計シート!S$92:S$111)*AJ$2</f>
        <v>0</v>
      </c>
      <c r="AK1177" s="88">
        <f>SUMIF(月間集計シート!$M$92:$M$111,$G1177,月間集計シート!T$92:T$111)*AK$2</f>
        <v>0</v>
      </c>
      <c r="AL1177" s="88">
        <f>SUMIF(月間集計シート!$M$113:$M$132,$G1177,月間集計シート!N$113:N$132)*AL$2</f>
        <v>0</v>
      </c>
      <c r="AM1177" s="88">
        <f>SUMIF(月間集計シート!$M$113:$M$132,$G1177,月間集計シート!O$113:O$132)*AM$2</f>
        <v>0</v>
      </c>
      <c r="AN1177" s="88">
        <f>SUMIF(月間集計シート!$M$113:$M$132,$G1177,月間集計シート!P$113:P$132)*AN$2</f>
        <v>0</v>
      </c>
      <c r="AO1177" s="88">
        <f>SUMIF(月間集計シート!$M$113:$M$132,$G1177,月間集計シート!Q$113:Q$132)*AO$2</f>
        <v>0</v>
      </c>
      <c r="AP1177" s="88">
        <f>SUMIF(月間集計シート!$M$113:$M$132,$G1177,月間集計シート!R$113:R$132)*AP$2</f>
        <v>0</v>
      </c>
      <c r="AQ1177" s="88">
        <f>SUMIF(月間集計シート!$M$113:$M$132,$G1177,月間集計シート!S$113:S$132)*AQ$2</f>
        <v>0</v>
      </c>
      <c r="AR1177" s="88">
        <f>SUMIF(月間集計シート!$M$113:$M$132,$G1177,月間集計シート!T$113:T$132)*AR$2</f>
        <v>0</v>
      </c>
      <c r="AS1177" s="88">
        <f>SUMIF(月間集計シート!$M$134:$M$153,$G1177,月間集計シート!N$134:N$153)*AS$2</f>
        <v>0</v>
      </c>
      <c r="AT1177" s="88">
        <f>SUMIF(月間集計シート!$M$134:$M$153,$G1177,月間集計シート!O$134:O$153)*AT$2</f>
        <v>0</v>
      </c>
      <c r="AU1177" s="88">
        <f>SUMIF(月間集計シート!$M$134:$M$153,$G1177,月間集計シート!P$134:P$153)*AU$2</f>
        <v>0</v>
      </c>
      <c r="AV1177" s="88">
        <f>SUMIF(月間集計シート!$M$134:$M$153,$G1177,月間集計シート!Q$134:Q$153)*AV$2</f>
        <v>0</v>
      </c>
      <c r="AW1177" s="88">
        <f>SUMIF(月間集計シート!$M$134:$M$153,$G1177,月間集計シート!R$134:R$153)*AW$2</f>
        <v>0</v>
      </c>
      <c r="AX1177" s="88">
        <f>SUMIF(月間集計シート!$M$134:$M$153,$G1177,月間集計シート!S$134:S$153)*AX$2</f>
        <v>0</v>
      </c>
      <c r="AY1177" s="88">
        <f>SUMIF(月間集計シート!$M$134:$M$153,$G1177,月間集計シート!T$134:T$153)*AY$2</f>
        <v>0</v>
      </c>
    </row>
    <row r="1178" spans="1:51" ht="14.25" thickBot="1">
      <c r="A1178">
        <v>14</v>
      </c>
      <c r="B1178" s="120">
        <f t="shared" si="623"/>
        <v>0</v>
      </c>
      <c r="C1178" s="120" t="str">
        <f t="shared" si="624"/>
        <v/>
      </c>
      <c r="D1178" s="137"/>
      <c r="E1178" s="150" t="str">
        <f>工種!A65</f>
        <v>80107</v>
      </c>
      <c r="F1178" s="119" t="str">
        <f>工種!B65</f>
        <v>保守／ｻﾎﾟｰﾄ：ﾚﾋﾞｭｰ</v>
      </c>
      <c r="G1178" s="116" t="str">
        <f t="shared" si="626"/>
        <v>080107</v>
      </c>
      <c r="H1178" s="88">
        <f t="shared" ref="H1178:H1193" si="628">SUM(J1178:AY1178)</f>
        <v>0</v>
      </c>
      <c r="I1178" s="132"/>
      <c r="J1178" s="88">
        <f>SUMIF(月間集計シート!$M$29:$M$48,$G1178,月間集計シート!N$29:N$48)*J$2</f>
        <v>0</v>
      </c>
      <c r="K1178" s="88">
        <f>SUMIF(月間集計シート!$M$29:$M$48,$G1178,月間集計シート!O$29:O$48)*K$2</f>
        <v>0</v>
      </c>
      <c r="L1178" s="88">
        <f>SUMIF(月間集計シート!$M$29:$M$48,$G1178,月間集計シート!P$29:P$48)*L$2</f>
        <v>0</v>
      </c>
      <c r="M1178" s="88">
        <f>SUMIF(月間集計シート!$M$29:$M$48,$G1178,月間集計シート!Q$29:Q$48)*M$2</f>
        <v>0</v>
      </c>
      <c r="N1178" s="88">
        <f>SUMIF(月間集計シート!$M$29:$M$48,$G1178,月間集計シート!R$29:R$48)*N$2</f>
        <v>0</v>
      </c>
      <c r="O1178" s="88">
        <f>SUMIF(月間集計シート!$M$29:$M$48,$G1178,月間集計シート!S$29:S$48)*O$2</f>
        <v>0</v>
      </c>
      <c r="P1178" s="88">
        <f>SUMIF(月間集計シート!$M$29:$M$48,$G1178,月間集計シート!T$29:T$48)*P$2</f>
        <v>0</v>
      </c>
      <c r="Q1178" s="88">
        <f>SUMIF(月間集計シート!$M$50:$M$69,$G1178,月間集計シート!N$50:N$69)*Q$2</f>
        <v>0</v>
      </c>
      <c r="R1178" s="88">
        <f>SUMIF(月間集計シート!$M$50:$M$69,$G1178,月間集計シート!O$50:O$69)*R$2</f>
        <v>0</v>
      </c>
      <c r="S1178" s="88">
        <f>SUMIF(月間集計シート!$M$50:$M$69,$G1178,月間集計シート!P$50:P$69)*S$2</f>
        <v>0</v>
      </c>
      <c r="T1178" s="88">
        <f>SUMIF(月間集計シート!$M$50:$M$69,$G1178,月間集計シート!Q$50:Q$69)*T$2</f>
        <v>0</v>
      </c>
      <c r="U1178" s="88">
        <f>SUMIF(月間集計シート!$M$50:$M$69,$G1178,月間集計シート!R$50:R$69)*U$2</f>
        <v>0</v>
      </c>
      <c r="V1178" s="88">
        <f>SUMIF(月間集計シート!$M$50:$M$69,$G1178,月間集計シート!S$50:S$69)*V$2</f>
        <v>0</v>
      </c>
      <c r="W1178" s="88">
        <f>SUMIF(月間集計シート!$M$50:$M$69,$G1178,月間集計シート!T$50:T$69)*W$2</f>
        <v>0</v>
      </c>
      <c r="X1178" s="88">
        <f>SUMIF(月間集計シート!$M$71:$M$90,$G1178,月間集計シート!N$71:N$90)*X$2</f>
        <v>0</v>
      </c>
      <c r="Y1178" s="88">
        <f>SUMIF(月間集計シート!$M$71:$M$90,$G1178,月間集計シート!O$71:O$90)*Y$2</f>
        <v>0</v>
      </c>
      <c r="Z1178" s="88">
        <f>SUMIF(月間集計シート!$M$71:$M$90,$G1178,月間集計シート!P$71:P$90)*Z$2</f>
        <v>0</v>
      </c>
      <c r="AA1178" s="88">
        <f>SUMIF(月間集計シート!$M$71:$M$90,$G1178,月間集計シート!Q$71:Q$90)*AA$2</f>
        <v>0</v>
      </c>
      <c r="AB1178" s="88">
        <f>SUMIF(月間集計シート!$M$71:$M$90,$G1178,月間集計シート!R$71:R$90)*AB$2</f>
        <v>0</v>
      </c>
      <c r="AC1178" s="88">
        <f>SUMIF(月間集計シート!$M$71:$M$90,$G1178,月間集計シート!S$71:S$90)*AC$2</f>
        <v>0</v>
      </c>
      <c r="AD1178" s="88">
        <f>SUMIF(月間集計シート!$M$71:$M$90,$G1178,月間集計シート!T$71:T$90)*AD$2</f>
        <v>0</v>
      </c>
      <c r="AE1178" s="88">
        <f>SUMIF(月間集計シート!$M$92:$M$111,$G1178,月間集計シート!N$92:N$111)*AE$2</f>
        <v>0</v>
      </c>
      <c r="AF1178" s="88">
        <f>SUMIF(月間集計シート!$M$92:$M$111,$G1178,月間集計シート!O$92:O$111)*AF$2</f>
        <v>0</v>
      </c>
      <c r="AG1178" s="88">
        <f>SUMIF(月間集計シート!$M$92:$M$111,$G1178,月間集計シート!P$92:P$111)*AG$2</f>
        <v>0</v>
      </c>
      <c r="AH1178" s="88">
        <f>SUMIF(月間集計シート!$M$92:$M$111,$G1178,月間集計シート!Q$92:Q$111)*AH$2</f>
        <v>0</v>
      </c>
      <c r="AI1178" s="88">
        <f>SUMIF(月間集計シート!$M$92:$M$111,$G1178,月間集計シート!R$92:R$111)*AI$2</f>
        <v>0</v>
      </c>
      <c r="AJ1178" s="88">
        <f>SUMIF(月間集計シート!$M$92:$M$111,$G1178,月間集計シート!S$92:S$111)*AJ$2</f>
        <v>0</v>
      </c>
      <c r="AK1178" s="88">
        <f>SUMIF(月間集計シート!$M$92:$M$111,$G1178,月間集計シート!T$92:T$111)*AK$2</f>
        <v>0</v>
      </c>
      <c r="AL1178" s="88">
        <f>SUMIF(月間集計シート!$M$113:$M$132,$G1178,月間集計シート!N$113:N$132)*AL$2</f>
        <v>0</v>
      </c>
      <c r="AM1178" s="88">
        <f>SUMIF(月間集計シート!$M$113:$M$132,$G1178,月間集計シート!O$113:O$132)*AM$2</f>
        <v>0</v>
      </c>
      <c r="AN1178" s="88">
        <f>SUMIF(月間集計シート!$M$113:$M$132,$G1178,月間集計シート!P$113:P$132)*AN$2</f>
        <v>0</v>
      </c>
      <c r="AO1178" s="88">
        <f>SUMIF(月間集計シート!$M$113:$M$132,$G1178,月間集計シート!Q$113:Q$132)*AO$2</f>
        <v>0</v>
      </c>
      <c r="AP1178" s="88">
        <f>SUMIF(月間集計シート!$M$113:$M$132,$G1178,月間集計シート!R$113:R$132)*AP$2</f>
        <v>0</v>
      </c>
      <c r="AQ1178" s="88">
        <f>SUMIF(月間集計シート!$M$113:$M$132,$G1178,月間集計シート!S$113:S$132)*AQ$2</f>
        <v>0</v>
      </c>
      <c r="AR1178" s="88">
        <f>SUMIF(月間集計シート!$M$113:$M$132,$G1178,月間集計シート!T$113:T$132)*AR$2</f>
        <v>0</v>
      </c>
      <c r="AS1178" s="88">
        <f>SUMIF(月間集計シート!$M$134:$M$153,$G1178,月間集計シート!N$134:N$153)*AS$2</f>
        <v>0</v>
      </c>
      <c r="AT1178" s="88">
        <f>SUMIF(月間集計シート!$M$134:$M$153,$G1178,月間集計シート!O$134:O$153)*AT$2</f>
        <v>0</v>
      </c>
      <c r="AU1178" s="88">
        <f>SUMIF(月間集計シート!$M$134:$M$153,$G1178,月間集計シート!P$134:P$153)*AU$2</f>
        <v>0</v>
      </c>
      <c r="AV1178" s="88">
        <f>SUMIF(月間集計シート!$M$134:$M$153,$G1178,月間集計シート!Q$134:Q$153)*AV$2</f>
        <v>0</v>
      </c>
      <c r="AW1178" s="88">
        <f>SUMIF(月間集計シート!$M$134:$M$153,$G1178,月間集計シート!R$134:R$153)*AW$2</f>
        <v>0</v>
      </c>
      <c r="AX1178" s="88">
        <f>SUMIF(月間集計シート!$M$134:$M$153,$G1178,月間集計シート!S$134:S$153)*AX$2</f>
        <v>0</v>
      </c>
      <c r="AY1178" s="88">
        <f>SUMIF(月間集計シート!$M$134:$M$153,$G1178,月間集計シート!T$134:T$153)*AY$2</f>
        <v>0</v>
      </c>
    </row>
    <row r="1179" spans="1:51" ht="14.25" thickBot="1">
      <c r="A1179">
        <v>14</v>
      </c>
      <c r="B1179" s="120">
        <f t="shared" si="623"/>
        <v>0</v>
      </c>
      <c r="C1179" s="120" t="str">
        <f t="shared" si="624"/>
        <v/>
      </c>
      <c r="D1179" s="137"/>
      <c r="E1179" s="150" t="str">
        <f>工種!A66</f>
        <v>80199</v>
      </c>
      <c r="F1179" s="119" t="str">
        <f>工種!B66</f>
        <v>保守／ｻﾎﾟｰﾄ：その他</v>
      </c>
      <c r="G1179" s="116" t="str">
        <f t="shared" si="626"/>
        <v>080199</v>
      </c>
      <c r="H1179" s="88">
        <f t="shared" si="628"/>
        <v>0</v>
      </c>
      <c r="I1179" s="132"/>
      <c r="J1179" s="88">
        <f>SUMIF(月間集計シート!$M$29:$M$48,$G1179,月間集計シート!N$29:N$48)*J$2</f>
        <v>0</v>
      </c>
      <c r="K1179" s="88">
        <f>SUMIF(月間集計シート!$M$29:$M$48,$G1179,月間集計シート!O$29:O$48)*K$2</f>
        <v>0</v>
      </c>
      <c r="L1179" s="88">
        <f>SUMIF(月間集計シート!$M$29:$M$48,$G1179,月間集計シート!P$29:P$48)*L$2</f>
        <v>0</v>
      </c>
      <c r="M1179" s="88">
        <f>SUMIF(月間集計シート!$M$29:$M$48,$G1179,月間集計シート!Q$29:Q$48)*M$2</f>
        <v>0</v>
      </c>
      <c r="N1179" s="88">
        <f>SUMIF(月間集計シート!$M$29:$M$48,$G1179,月間集計シート!R$29:R$48)*N$2</f>
        <v>0</v>
      </c>
      <c r="O1179" s="88">
        <f>SUMIF(月間集計シート!$M$29:$M$48,$G1179,月間集計シート!S$29:S$48)*O$2</f>
        <v>0</v>
      </c>
      <c r="P1179" s="88">
        <f>SUMIF(月間集計シート!$M$29:$M$48,$G1179,月間集計シート!T$29:T$48)*P$2</f>
        <v>0</v>
      </c>
      <c r="Q1179" s="88">
        <f>SUMIF(月間集計シート!$M$50:$M$69,$G1179,月間集計シート!N$50:N$69)*Q$2</f>
        <v>0</v>
      </c>
      <c r="R1179" s="88">
        <f>SUMIF(月間集計シート!$M$50:$M$69,$G1179,月間集計シート!O$50:O$69)*R$2</f>
        <v>0</v>
      </c>
      <c r="S1179" s="88">
        <f>SUMIF(月間集計シート!$M$50:$M$69,$G1179,月間集計シート!P$50:P$69)*S$2</f>
        <v>0</v>
      </c>
      <c r="T1179" s="88">
        <f>SUMIF(月間集計シート!$M$50:$M$69,$G1179,月間集計シート!Q$50:Q$69)*T$2</f>
        <v>0</v>
      </c>
      <c r="U1179" s="88">
        <f>SUMIF(月間集計シート!$M$50:$M$69,$G1179,月間集計シート!R$50:R$69)*U$2</f>
        <v>0</v>
      </c>
      <c r="V1179" s="88">
        <f>SUMIF(月間集計シート!$M$50:$M$69,$G1179,月間集計シート!S$50:S$69)*V$2</f>
        <v>0</v>
      </c>
      <c r="W1179" s="88">
        <f>SUMIF(月間集計シート!$M$50:$M$69,$G1179,月間集計シート!T$50:T$69)*W$2</f>
        <v>0</v>
      </c>
      <c r="X1179" s="88">
        <f>SUMIF(月間集計シート!$M$71:$M$90,$G1179,月間集計シート!N$71:N$90)*X$2</f>
        <v>0</v>
      </c>
      <c r="Y1179" s="88">
        <f>SUMIF(月間集計シート!$M$71:$M$90,$G1179,月間集計シート!O$71:O$90)*Y$2</f>
        <v>0</v>
      </c>
      <c r="Z1179" s="88">
        <f>SUMIF(月間集計シート!$M$71:$M$90,$G1179,月間集計シート!P$71:P$90)*Z$2</f>
        <v>0</v>
      </c>
      <c r="AA1179" s="88">
        <f>SUMIF(月間集計シート!$M$71:$M$90,$G1179,月間集計シート!Q$71:Q$90)*AA$2</f>
        <v>0</v>
      </c>
      <c r="AB1179" s="88">
        <f>SUMIF(月間集計シート!$M$71:$M$90,$G1179,月間集計シート!R$71:R$90)*AB$2</f>
        <v>0</v>
      </c>
      <c r="AC1179" s="88">
        <f>SUMIF(月間集計シート!$M$71:$M$90,$G1179,月間集計シート!S$71:S$90)*AC$2</f>
        <v>0</v>
      </c>
      <c r="AD1179" s="88">
        <f>SUMIF(月間集計シート!$M$71:$M$90,$G1179,月間集計シート!T$71:T$90)*AD$2</f>
        <v>0</v>
      </c>
      <c r="AE1179" s="88">
        <f>SUMIF(月間集計シート!$M$92:$M$111,$G1179,月間集計シート!N$92:N$111)*AE$2</f>
        <v>0</v>
      </c>
      <c r="AF1179" s="88">
        <f>SUMIF(月間集計シート!$M$92:$M$111,$G1179,月間集計シート!O$92:O$111)*AF$2</f>
        <v>0</v>
      </c>
      <c r="AG1179" s="88">
        <f>SUMIF(月間集計シート!$M$92:$M$111,$G1179,月間集計シート!P$92:P$111)*AG$2</f>
        <v>0</v>
      </c>
      <c r="AH1179" s="88">
        <f>SUMIF(月間集計シート!$M$92:$M$111,$G1179,月間集計シート!Q$92:Q$111)*AH$2</f>
        <v>0</v>
      </c>
      <c r="AI1179" s="88">
        <f>SUMIF(月間集計シート!$M$92:$M$111,$G1179,月間集計シート!R$92:R$111)*AI$2</f>
        <v>0</v>
      </c>
      <c r="AJ1179" s="88">
        <f>SUMIF(月間集計シート!$M$92:$M$111,$G1179,月間集計シート!S$92:S$111)*AJ$2</f>
        <v>0</v>
      </c>
      <c r="AK1179" s="88">
        <f>SUMIF(月間集計シート!$M$92:$M$111,$G1179,月間集計シート!T$92:T$111)*AK$2</f>
        <v>0</v>
      </c>
      <c r="AL1179" s="88">
        <f>SUMIF(月間集計シート!$M$113:$M$132,$G1179,月間集計シート!N$113:N$132)*AL$2</f>
        <v>0</v>
      </c>
      <c r="AM1179" s="88">
        <f>SUMIF(月間集計シート!$M$113:$M$132,$G1179,月間集計シート!O$113:O$132)*AM$2</f>
        <v>0</v>
      </c>
      <c r="AN1179" s="88">
        <f>SUMIF(月間集計シート!$M$113:$M$132,$G1179,月間集計シート!P$113:P$132)*AN$2</f>
        <v>0</v>
      </c>
      <c r="AO1179" s="88">
        <f>SUMIF(月間集計シート!$M$113:$M$132,$G1179,月間集計シート!Q$113:Q$132)*AO$2</f>
        <v>0</v>
      </c>
      <c r="AP1179" s="88">
        <f>SUMIF(月間集計シート!$M$113:$M$132,$G1179,月間集計シート!R$113:R$132)*AP$2</f>
        <v>0</v>
      </c>
      <c r="AQ1179" s="88">
        <f>SUMIF(月間集計シート!$M$113:$M$132,$G1179,月間集計シート!S$113:S$132)*AQ$2</f>
        <v>0</v>
      </c>
      <c r="AR1179" s="88">
        <f>SUMIF(月間集計シート!$M$113:$M$132,$G1179,月間集計シート!T$113:T$132)*AR$2</f>
        <v>0</v>
      </c>
      <c r="AS1179" s="88">
        <f>SUMIF(月間集計シート!$M$134:$M$153,$G1179,月間集計シート!N$134:N$153)*AS$2</f>
        <v>0</v>
      </c>
      <c r="AT1179" s="88">
        <f>SUMIF(月間集計シート!$M$134:$M$153,$G1179,月間集計シート!O$134:O$153)*AT$2</f>
        <v>0</v>
      </c>
      <c r="AU1179" s="88">
        <f>SUMIF(月間集計シート!$M$134:$M$153,$G1179,月間集計シート!P$134:P$153)*AU$2</f>
        <v>0</v>
      </c>
      <c r="AV1179" s="88">
        <f>SUMIF(月間集計シート!$M$134:$M$153,$G1179,月間集計シート!Q$134:Q$153)*AV$2</f>
        <v>0</v>
      </c>
      <c r="AW1179" s="88">
        <f>SUMIF(月間集計シート!$M$134:$M$153,$G1179,月間集計シート!R$134:R$153)*AW$2</f>
        <v>0</v>
      </c>
      <c r="AX1179" s="88">
        <f>SUMIF(月間集計シート!$M$134:$M$153,$G1179,月間集計シート!S$134:S$153)*AX$2</f>
        <v>0</v>
      </c>
      <c r="AY1179" s="88">
        <f>SUMIF(月間集計シート!$M$134:$M$153,$G1179,月間集計シート!T$134:T$153)*AY$2</f>
        <v>0</v>
      </c>
    </row>
    <row r="1180" spans="1:51" ht="14.25" thickBot="1">
      <c r="A1180">
        <v>14</v>
      </c>
      <c r="B1180" s="120">
        <f t="shared" ref="B1180:C1196" si="629">B1179</f>
        <v>0</v>
      </c>
      <c r="C1180" s="120" t="str">
        <f t="shared" si="629"/>
        <v/>
      </c>
      <c r="D1180" s="137"/>
      <c r="E1180" s="150" t="str">
        <f>工種!A67</f>
        <v>90101</v>
      </c>
      <c r="F1180" s="119" t="str">
        <f>工種!B67</f>
        <v>管理業務：ﾌﾟﾛｼﾞｪｸﾄ管理</v>
      </c>
      <c r="G1180" s="116" t="str">
        <f t="shared" si="626"/>
        <v>090101</v>
      </c>
      <c r="H1180" s="88">
        <f t="shared" si="628"/>
        <v>0</v>
      </c>
      <c r="I1180" s="132"/>
      <c r="J1180" s="88">
        <f>SUMIF(月間集計シート!$M$29:$M$48,$G1180,月間集計シート!N$29:N$48)*J$2</f>
        <v>0</v>
      </c>
      <c r="K1180" s="88">
        <f>SUMIF(月間集計シート!$M$29:$M$48,$G1180,月間集計シート!O$29:O$48)*K$2</f>
        <v>0</v>
      </c>
      <c r="L1180" s="88">
        <f>SUMIF(月間集計シート!$M$29:$M$48,$G1180,月間集計シート!P$29:P$48)*L$2</f>
        <v>0</v>
      </c>
      <c r="M1180" s="88">
        <f>SUMIF(月間集計シート!$M$29:$M$48,$G1180,月間集計シート!Q$29:Q$48)*M$2</f>
        <v>0</v>
      </c>
      <c r="N1180" s="88">
        <f>SUMIF(月間集計シート!$M$29:$M$48,$G1180,月間集計シート!R$29:R$48)*N$2</f>
        <v>0</v>
      </c>
      <c r="O1180" s="88">
        <f>SUMIF(月間集計シート!$M$29:$M$48,$G1180,月間集計シート!S$29:S$48)*O$2</f>
        <v>0</v>
      </c>
      <c r="P1180" s="88">
        <f>SUMIF(月間集計シート!$M$29:$M$48,$G1180,月間集計シート!T$29:T$48)*P$2</f>
        <v>0</v>
      </c>
      <c r="Q1180" s="88">
        <f>SUMIF(月間集計シート!$M$50:$M$69,$G1180,月間集計シート!N$50:N$69)*Q$2</f>
        <v>0</v>
      </c>
      <c r="R1180" s="88">
        <f>SUMIF(月間集計シート!$M$50:$M$69,$G1180,月間集計シート!O$50:O$69)*R$2</f>
        <v>0</v>
      </c>
      <c r="S1180" s="88">
        <f>SUMIF(月間集計シート!$M$50:$M$69,$G1180,月間集計シート!P$50:P$69)*S$2</f>
        <v>0</v>
      </c>
      <c r="T1180" s="88">
        <f>SUMIF(月間集計シート!$M$50:$M$69,$G1180,月間集計シート!Q$50:Q$69)*T$2</f>
        <v>0</v>
      </c>
      <c r="U1180" s="88">
        <f>SUMIF(月間集計シート!$M$50:$M$69,$G1180,月間集計シート!R$50:R$69)*U$2</f>
        <v>0</v>
      </c>
      <c r="V1180" s="88">
        <f>SUMIF(月間集計シート!$M$50:$M$69,$G1180,月間集計シート!S$50:S$69)*V$2</f>
        <v>0</v>
      </c>
      <c r="W1180" s="88">
        <f>SUMIF(月間集計シート!$M$50:$M$69,$G1180,月間集計シート!T$50:T$69)*W$2</f>
        <v>0</v>
      </c>
      <c r="X1180" s="88">
        <f>SUMIF(月間集計シート!$M$71:$M$90,$G1180,月間集計シート!N$71:N$90)*X$2</f>
        <v>0</v>
      </c>
      <c r="Y1180" s="88">
        <f>SUMIF(月間集計シート!$M$71:$M$90,$G1180,月間集計シート!O$71:O$90)*Y$2</f>
        <v>0</v>
      </c>
      <c r="Z1180" s="88">
        <f>SUMIF(月間集計シート!$M$71:$M$90,$G1180,月間集計シート!P$71:P$90)*Z$2</f>
        <v>0</v>
      </c>
      <c r="AA1180" s="88">
        <f>SUMIF(月間集計シート!$M$71:$M$90,$G1180,月間集計シート!Q$71:Q$90)*AA$2</f>
        <v>0</v>
      </c>
      <c r="AB1180" s="88">
        <f>SUMIF(月間集計シート!$M$71:$M$90,$G1180,月間集計シート!R$71:R$90)*AB$2</f>
        <v>0</v>
      </c>
      <c r="AC1180" s="88">
        <f>SUMIF(月間集計シート!$M$71:$M$90,$G1180,月間集計シート!S$71:S$90)*AC$2</f>
        <v>0</v>
      </c>
      <c r="AD1180" s="88">
        <f>SUMIF(月間集計シート!$M$71:$M$90,$G1180,月間集計シート!T$71:T$90)*AD$2</f>
        <v>0</v>
      </c>
      <c r="AE1180" s="88">
        <f>SUMIF(月間集計シート!$M$92:$M$111,$G1180,月間集計シート!N$92:N$111)*AE$2</f>
        <v>0</v>
      </c>
      <c r="AF1180" s="88">
        <f>SUMIF(月間集計シート!$M$92:$M$111,$G1180,月間集計シート!O$92:O$111)*AF$2</f>
        <v>0</v>
      </c>
      <c r="AG1180" s="88">
        <f>SUMIF(月間集計シート!$M$92:$M$111,$G1180,月間集計シート!P$92:P$111)*AG$2</f>
        <v>0</v>
      </c>
      <c r="AH1180" s="88">
        <f>SUMIF(月間集計シート!$M$92:$M$111,$G1180,月間集計シート!Q$92:Q$111)*AH$2</f>
        <v>0</v>
      </c>
      <c r="AI1180" s="88">
        <f>SUMIF(月間集計シート!$M$92:$M$111,$G1180,月間集計シート!R$92:R$111)*AI$2</f>
        <v>0</v>
      </c>
      <c r="AJ1180" s="88">
        <f>SUMIF(月間集計シート!$M$92:$M$111,$G1180,月間集計シート!S$92:S$111)*AJ$2</f>
        <v>0</v>
      </c>
      <c r="AK1180" s="88">
        <f>SUMIF(月間集計シート!$M$92:$M$111,$G1180,月間集計シート!T$92:T$111)*AK$2</f>
        <v>0</v>
      </c>
      <c r="AL1180" s="88">
        <f>SUMIF(月間集計シート!$M$113:$M$132,$G1180,月間集計シート!N$113:N$132)*AL$2</f>
        <v>0</v>
      </c>
      <c r="AM1180" s="88">
        <f>SUMIF(月間集計シート!$M$113:$M$132,$G1180,月間集計シート!O$113:O$132)*AM$2</f>
        <v>0</v>
      </c>
      <c r="AN1180" s="88">
        <f>SUMIF(月間集計シート!$M$113:$M$132,$G1180,月間集計シート!P$113:P$132)*AN$2</f>
        <v>0</v>
      </c>
      <c r="AO1180" s="88">
        <f>SUMIF(月間集計シート!$M$113:$M$132,$G1180,月間集計シート!Q$113:Q$132)*AO$2</f>
        <v>0</v>
      </c>
      <c r="AP1180" s="88">
        <f>SUMIF(月間集計シート!$M$113:$M$132,$G1180,月間集計シート!R$113:R$132)*AP$2</f>
        <v>0</v>
      </c>
      <c r="AQ1180" s="88">
        <f>SUMIF(月間集計シート!$M$113:$M$132,$G1180,月間集計シート!S$113:S$132)*AQ$2</f>
        <v>0</v>
      </c>
      <c r="AR1180" s="88">
        <f>SUMIF(月間集計シート!$M$113:$M$132,$G1180,月間集計シート!T$113:T$132)*AR$2</f>
        <v>0</v>
      </c>
      <c r="AS1180" s="88">
        <f>SUMIF(月間集計シート!$M$134:$M$153,$G1180,月間集計シート!N$134:N$153)*AS$2</f>
        <v>0</v>
      </c>
      <c r="AT1180" s="88">
        <f>SUMIF(月間集計シート!$M$134:$M$153,$G1180,月間集計シート!O$134:O$153)*AT$2</f>
        <v>0</v>
      </c>
      <c r="AU1180" s="88">
        <f>SUMIF(月間集計シート!$M$134:$M$153,$G1180,月間集計シート!P$134:P$153)*AU$2</f>
        <v>0</v>
      </c>
      <c r="AV1180" s="88">
        <f>SUMIF(月間集計シート!$M$134:$M$153,$G1180,月間集計シート!Q$134:Q$153)*AV$2</f>
        <v>0</v>
      </c>
      <c r="AW1180" s="88">
        <f>SUMIF(月間集計シート!$M$134:$M$153,$G1180,月間集計シート!R$134:R$153)*AW$2</f>
        <v>0</v>
      </c>
      <c r="AX1180" s="88">
        <f>SUMIF(月間集計シート!$M$134:$M$153,$G1180,月間集計シート!S$134:S$153)*AX$2</f>
        <v>0</v>
      </c>
      <c r="AY1180" s="88">
        <f>SUMIF(月間集計シート!$M$134:$M$153,$G1180,月間集計シート!T$134:T$153)*AY$2</f>
        <v>0</v>
      </c>
    </row>
    <row r="1181" spans="1:51" ht="14.25" thickBot="1">
      <c r="A1181">
        <v>14</v>
      </c>
      <c r="B1181" s="120">
        <f t="shared" si="629"/>
        <v>0</v>
      </c>
      <c r="C1181" s="120" t="str">
        <f t="shared" si="629"/>
        <v/>
      </c>
      <c r="D1181" s="137"/>
      <c r="E1181" s="150" t="str">
        <f>工種!A68</f>
        <v>90102</v>
      </c>
      <c r="F1181" s="119" t="str">
        <f>工種!B68</f>
        <v>管理業務：開発環境管理</v>
      </c>
      <c r="G1181" s="116" t="str">
        <f t="shared" si="626"/>
        <v>090102</v>
      </c>
      <c r="H1181" s="88">
        <f t="shared" si="628"/>
        <v>0</v>
      </c>
      <c r="I1181" s="132"/>
      <c r="J1181" s="88">
        <f>SUMIF(月間集計シート!$M$29:$M$48,$G1181,月間集計シート!N$29:N$48)*J$2</f>
        <v>0</v>
      </c>
      <c r="K1181" s="88">
        <f>SUMIF(月間集計シート!$M$29:$M$48,$G1181,月間集計シート!O$29:O$48)*K$2</f>
        <v>0</v>
      </c>
      <c r="L1181" s="88">
        <f>SUMIF(月間集計シート!$M$29:$M$48,$G1181,月間集計シート!P$29:P$48)*L$2</f>
        <v>0</v>
      </c>
      <c r="M1181" s="88">
        <f>SUMIF(月間集計シート!$M$29:$M$48,$G1181,月間集計シート!Q$29:Q$48)*M$2</f>
        <v>0</v>
      </c>
      <c r="N1181" s="88">
        <f>SUMIF(月間集計シート!$M$29:$M$48,$G1181,月間集計シート!R$29:R$48)*N$2</f>
        <v>0</v>
      </c>
      <c r="O1181" s="88">
        <f>SUMIF(月間集計シート!$M$29:$M$48,$G1181,月間集計シート!S$29:S$48)*O$2</f>
        <v>0</v>
      </c>
      <c r="P1181" s="88">
        <f>SUMIF(月間集計シート!$M$29:$M$48,$G1181,月間集計シート!T$29:T$48)*P$2</f>
        <v>0</v>
      </c>
      <c r="Q1181" s="88">
        <f>SUMIF(月間集計シート!$M$50:$M$69,$G1181,月間集計シート!N$50:N$69)*Q$2</f>
        <v>0</v>
      </c>
      <c r="R1181" s="88">
        <f>SUMIF(月間集計シート!$M$50:$M$69,$G1181,月間集計シート!O$50:O$69)*R$2</f>
        <v>0</v>
      </c>
      <c r="S1181" s="88">
        <f>SUMIF(月間集計シート!$M$50:$M$69,$G1181,月間集計シート!P$50:P$69)*S$2</f>
        <v>0</v>
      </c>
      <c r="T1181" s="88">
        <f>SUMIF(月間集計シート!$M$50:$M$69,$G1181,月間集計シート!Q$50:Q$69)*T$2</f>
        <v>0</v>
      </c>
      <c r="U1181" s="88">
        <f>SUMIF(月間集計シート!$M$50:$M$69,$G1181,月間集計シート!R$50:R$69)*U$2</f>
        <v>0</v>
      </c>
      <c r="V1181" s="88">
        <f>SUMIF(月間集計シート!$M$50:$M$69,$G1181,月間集計シート!S$50:S$69)*V$2</f>
        <v>0</v>
      </c>
      <c r="W1181" s="88">
        <f>SUMIF(月間集計シート!$M$50:$M$69,$G1181,月間集計シート!T$50:T$69)*W$2</f>
        <v>0</v>
      </c>
      <c r="X1181" s="88">
        <f>SUMIF(月間集計シート!$M$71:$M$90,$G1181,月間集計シート!N$71:N$90)*X$2</f>
        <v>0</v>
      </c>
      <c r="Y1181" s="88">
        <f>SUMIF(月間集計シート!$M$71:$M$90,$G1181,月間集計シート!O$71:O$90)*Y$2</f>
        <v>0</v>
      </c>
      <c r="Z1181" s="88">
        <f>SUMIF(月間集計シート!$M$71:$M$90,$G1181,月間集計シート!P$71:P$90)*Z$2</f>
        <v>0</v>
      </c>
      <c r="AA1181" s="88">
        <f>SUMIF(月間集計シート!$M$71:$M$90,$G1181,月間集計シート!Q$71:Q$90)*AA$2</f>
        <v>0</v>
      </c>
      <c r="AB1181" s="88">
        <f>SUMIF(月間集計シート!$M$71:$M$90,$G1181,月間集計シート!R$71:R$90)*AB$2</f>
        <v>0</v>
      </c>
      <c r="AC1181" s="88">
        <f>SUMIF(月間集計シート!$M$71:$M$90,$G1181,月間集計シート!S$71:S$90)*AC$2</f>
        <v>0</v>
      </c>
      <c r="AD1181" s="88">
        <f>SUMIF(月間集計シート!$M$71:$M$90,$G1181,月間集計シート!T$71:T$90)*AD$2</f>
        <v>0</v>
      </c>
      <c r="AE1181" s="88">
        <f>SUMIF(月間集計シート!$M$92:$M$111,$G1181,月間集計シート!N$92:N$111)*AE$2</f>
        <v>0</v>
      </c>
      <c r="AF1181" s="88">
        <f>SUMIF(月間集計シート!$M$92:$M$111,$G1181,月間集計シート!O$92:O$111)*AF$2</f>
        <v>0</v>
      </c>
      <c r="AG1181" s="88">
        <f>SUMIF(月間集計シート!$M$92:$M$111,$G1181,月間集計シート!P$92:P$111)*AG$2</f>
        <v>0</v>
      </c>
      <c r="AH1181" s="88">
        <f>SUMIF(月間集計シート!$M$92:$M$111,$G1181,月間集計シート!Q$92:Q$111)*AH$2</f>
        <v>0</v>
      </c>
      <c r="AI1181" s="88">
        <f>SUMIF(月間集計シート!$M$92:$M$111,$G1181,月間集計シート!R$92:R$111)*AI$2</f>
        <v>0</v>
      </c>
      <c r="AJ1181" s="88">
        <f>SUMIF(月間集計シート!$M$92:$M$111,$G1181,月間集計シート!S$92:S$111)*AJ$2</f>
        <v>0</v>
      </c>
      <c r="AK1181" s="88">
        <f>SUMIF(月間集計シート!$M$92:$M$111,$G1181,月間集計シート!T$92:T$111)*AK$2</f>
        <v>0</v>
      </c>
      <c r="AL1181" s="88">
        <f>SUMIF(月間集計シート!$M$113:$M$132,$G1181,月間集計シート!N$113:N$132)*AL$2</f>
        <v>0</v>
      </c>
      <c r="AM1181" s="88">
        <f>SUMIF(月間集計シート!$M$113:$M$132,$G1181,月間集計シート!O$113:O$132)*AM$2</f>
        <v>0</v>
      </c>
      <c r="AN1181" s="88">
        <f>SUMIF(月間集計シート!$M$113:$M$132,$G1181,月間集計シート!P$113:P$132)*AN$2</f>
        <v>0</v>
      </c>
      <c r="AO1181" s="88">
        <f>SUMIF(月間集計シート!$M$113:$M$132,$G1181,月間集計シート!Q$113:Q$132)*AO$2</f>
        <v>0</v>
      </c>
      <c r="AP1181" s="88">
        <f>SUMIF(月間集計シート!$M$113:$M$132,$G1181,月間集計シート!R$113:R$132)*AP$2</f>
        <v>0</v>
      </c>
      <c r="AQ1181" s="88">
        <f>SUMIF(月間集計シート!$M$113:$M$132,$G1181,月間集計シート!S$113:S$132)*AQ$2</f>
        <v>0</v>
      </c>
      <c r="AR1181" s="88">
        <f>SUMIF(月間集計シート!$M$113:$M$132,$G1181,月間集計シート!T$113:T$132)*AR$2</f>
        <v>0</v>
      </c>
      <c r="AS1181" s="88">
        <f>SUMIF(月間集計シート!$M$134:$M$153,$G1181,月間集計シート!N$134:N$153)*AS$2</f>
        <v>0</v>
      </c>
      <c r="AT1181" s="88">
        <f>SUMIF(月間集計シート!$M$134:$M$153,$G1181,月間集計シート!O$134:O$153)*AT$2</f>
        <v>0</v>
      </c>
      <c r="AU1181" s="88">
        <f>SUMIF(月間集計シート!$M$134:$M$153,$G1181,月間集計シート!P$134:P$153)*AU$2</f>
        <v>0</v>
      </c>
      <c r="AV1181" s="88">
        <f>SUMIF(月間集計シート!$M$134:$M$153,$G1181,月間集計シート!Q$134:Q$153)*AV$2</f>
        <v>0</v>
      </c>
      <c r="AW1181" s="88">
        <f>SUMIF(月間集計シート!$M$134:$M$153,$G1181,月間集計シート!R$134:R$153)*AW$2</f>
        <v>0</v>
      </c>
      <c r="AX1181" s="88">
        <f>SUMIF(月間集計シート!$M$134:$M$153,$G1181,月間集計シート!S$134:S$153)*AX$2</f>
        <v>0</v>
      </c>
      <c r="AY1181" s="88">
        <f>SUMIF(月間集計シート!$M$134:$M$153,$G1181,月間集計シート!T$134:T$153)*AY$2</f>
        <v>0</v>
      </c>
    </row>
    <row r="1182" spans="1:51" ht="14.25" thickBot="1">
      <c r="A1182">
        <v>14</v>
      </c>
      <c r="B1182" s="120">
        <f t="shared" si="629"/>
        <v>0</v>
      </c>
      <c r="C1182" s="120" t="str">
        <f t="shared" si="629"/>
        <v/>
      </c>
      <c r="D1182" s="137"/>
      <c r="E1182" s="150" t="str">
        <f>工種!A69</f>
        <v>90103</v>
      </c>
      <c r="F1182" s="119" t="str">
        <f>工種!B69</f>
        <v>管理業務：標準化・開発業務改善作業</v>
      </c>
      <c r="G1182" s="116" t="str">
        <f t="shared" si="626"/>
        <v>090103</v>
      </c>
      <c r="H1182" s="88">
        <f t="shared" si="628"/>
        <v>0</v>
      </c>
      <c r="I1182" s="132"/>
      <c r="J1182" s="88">
        <f>SUMIF(月間集計シート!$M$29:$M$48,$G1182,月間集計シート!N$29:N$48)*J$2</f>
        <v>0</v>
      </c>
      <c r="K1182" s="88">
        <f>SUMIF(月間集計シート!$M$29:$M$48,$G1182,月間集計シート!O$29:O$48)*K$2</f>
        <v>0</v>
      </c>
      <c r="L1182" s="88">
        <f>SUMIF(月間集計シート!$M$29:$M$48,$G1182,月間集計シート!P$29:P$48)*L$2</f>
        <v>0</v>
      </c>
      <c r="M1182" s="88">
        <f>SUMIF(月間集計シート!$M$29:$M$48,$G1182,月間集計シート!Q$29:Q$48)*M$2</f>
        <v>0</v>
      </c>
      <c r="N1182" s="88">
        <f>SUMIF(月間集計シート!$M$29:$M$48,$G1182,月間集計シート!R$29:R$48)*N$2</f>
        <v>0</v>
      </c>
      <c r="O1182" s="88">
        <f>SUMIF(月間集計シート!$M$29:$M$48,$G1182,月間集計シート!S$29:S$48)*O$2</f>
        <v>0</v>
      </c>
      <c r="P1182" s="88">
        <f>SUMIF(月間集計シート!$M$29:$M$48,$G1182,月間集計シート!T$29:T$48)*P$2</f>
        <v>0</v>
      </c>
      <c r="Q1182" s="88">
        <f>SUMIF(月間集計シート!$M$50:$M$69,$G1182,月間集計シート!N$50:N$69)*Q$2</f>
        <v>0</v>
      </c>
      <c r="R1182" s="88">
        <f>SUMIF(月間集計シート!$M$50:$M$69,$G1182,月間集計シート!O$50:O$69)*R$2</f>
        <v>0</v>
      </c>
      <c r="S1182" s="88">
        <f>SUMIF(月間集計シート!$M$50:$M$69,$G1182,月間集計シート!P$50:P$69)*S$2</f>
        <v>0</v>
      </c>
      <c r="T1182" s="88">
        <f>SUMIF(月間集計シート!$M$50:$M$69,$G1182,月間集計シート!Q$50:Q$69)*T$2</f>
        <v>0</v>
      </c>
      <c r="U1182" s="88">
        <f>SUMIF(月間集計シート!$M$50:$M$69,$G1182,月間集計シート!R$50:R$69)*U$2</f>
        <v>0</v>
      </c>
      <c r="V1182" s="88">
        <f>SUMIF(月間集計シート!$M$50:$M$69,$G1182,月間集計シート!S$50:S$69)*V$2</f>
        <v>0</v>
      </c>
      <c r="W1182" s="88">
        <f>SUMIF(月間集計シート!$M$50:$M$69,$G1182,月間集計シート!T$50:T$69)*W$2</f>
        <v>0</v>
      </c>
      <c r="X1182" s="88">
        <f>SUMIF(月間集計シート!$M$71:$M$90,$G1182,月間集計シート!N$71:N$90)*X$2</f>
        <v>0</v>
      </c>
      <c r="Y1182" s="88">
        <f>SUMIF(月間集計シート!$M$71:$M$90,$G1182,月間集計シート!O$71:O$90)*Y$2</f>
        <v>0</v>
      </c>
      <c r="Z1182" s="88">
        <f>SUMIF(月間集計シート!$M$71:$M$90,$G1182,月間集計シート!P$71:P$90)*Z$2</f>
        <v>0</v>
      </c>
      <c r="AA1182" s="88">
        <f>SUMIF(月間集計シート!$M$71:$M$90,$G1182,月間集計シート!Q$71:Q$90)*AA$2</f>
        <v>0</v>
      </c>
      <c r="AB1182" s="88">
        <f>SUMIF(月間集計シート!$M$71:$M$90,$G1182,月間集計シート!R$71:R$90)*AB$2</f>
        <v>0</v>
      </c>
      <c r="AC1182" s="88">
        <f>SUMIF(月間集計シート!$M$71:$M$90,$G1182,月間集計シート!S$71:S$90)*AC$2</f>
        <v>0</v>
      </c>
      <c r="AD1182" s="88">
        <f>SUMIF(月間集計シート!$M$71:$M$90,$G1182,月間集計シート!T$71:T$90)*AD$2</f>
        <v>0</v>
      </c>
      <c r="AE1182" s="88">
        <f>SUMIF(月間集計シート!$M$92:$M$111,$G1182,月間集計シート!N$92:N$111)*AE$2</f>
        <v>0</v>
      </c>
      <c r="AF1182" s="88">
        <f>SUMIF(月間集計シート!$M$92:$M$111,$G1182,月間集計シート!O$92:O$111)*AF$2</f>
        <v>0</v>
      </c>
      <c r="AG1182" s="88">
        <f>SUMIF(月間集計シート!$M$92:$M$111,$G1182,月間集計シート!P$92:P$111)*AG$2</f>
        <v>0</v>
      </c>
      <c r="AH1182" s="88">
        <f>SUMIF(月間集計シート!$M$92:$M$111,$G1182,月間集計シート!Q$92:Q$111)*AH$2</f>
        <v>0</v>
      </c>
      <c r="AI1182" s="88">
        <f>SUMIF(月間集計シート!$M$92:$M$111,$G1182,月間集計シート!R$92:R$111)*AI$2</f>
        <v>0</v>
      </c>
      <c r="AJ1182" s="88">
        <f>SUMIF(月間集計シート!$M$92:$M$111,$G1182,月間集計シート!S$92:S$111)*AJ$2</f>
        <v>0</v>
      </c>
      <c r="AK1182" s="88">
        <f>SUMIF(月間集計シート!$M$92:$M$111,$G1182,月間集計シート!T$92:T$111)*AK$2</f>
        <v>0</v>
      </c>
      <c r="AL1182" s="88">
        <f>SUMIF(月間集計シート!$M$113:$M$132,$G1182,月間集計シート!N$113:N$132)*AL$2</f>
        <v>0</v>
      </c>
      <c r="AM1182" s="88">
        <f>SUMIF(月間集計シート!$M$113:$M$132,$G1182,月間集計シート!O$113:O$132)*AM$2</f>
        <v>0</v>
      </c>
      <c r="AN1182" s="88">
        <f>SUMIF(月間集計シート!$M$113:$M$132,$G1182,月間集計シート!P$113:P$132)*AN$2</f>
        <v>0</v>
      </c>
      <c r="AO1182" s="88">
        <f>SUMIF(月間集計シート!$M$113:$M$132,$G1182,月間集計シート!Q$113:Q$132)*AO$2</f>
        <v>0</v>
      </c>
      <c r="AP1182" s="88">
        <f>SUMIF(月間集計シート!$M$113:$M$132,$G1182,月間集計シート!R$113:R$132)*AP$2</f>
        <v>0</v>
      </c>
      <c r="AQ1182" s="88">
        <f>SUMIF(月間集計シート!$M$113:$M$132,$G1182,月間集計シート!S$113:S$132)*AQ$2</f>
        <v>0</v>
      </c>
      <c r="AR1182" s="88">
        <f>SUMIF(月間集計シート!$M$113:$M$132,$G1182,月間集計シート!T$113:T$132)*AR$2</f>
        <v>0</v>
      </c>
      <c r="AS1182" s="88">
        <f>SUMIF(月間集計シート!$M$134:$M$153,$G1182,月間集計シート!N$134:N$153)*AS$2</f>
        <v>0</v>
      </c>
      <c r="AT1182" s="88">
        <f>SUMIF(月間集計シート!$M$134:$M$153,$G1182,月間集計シート!O$134:O$153)*AT$2</f>
        <v>0</v>
      </c>
      <c r="AU1182" s="88">
        <f>SUMIF(月間集計シート!$M$134:$M$153,$G1182,月間集計シート!P$134:P$153)*AU$2</f>
        <v>0</v>
      </c>
      <c r="AV1182" s="88">
        <f>SUMIF(月間集計シート!$M$134:$M$153,$G1182,月間集計シート!Q$134:Q$153)*AV$2</f>
        <v>0</v>
      </c>
      <c r="AW1182" s="88">
        <f>SUMIF(月間集計シート!$M$134:$M$153,$G1182,月間集計シート!R$134:R$153)*AW$2</f>
        <v>0</v>
      </c>
      <c r="AX1182" s="88">
        <f>SUMIF(月間集計シート!$M$134:$M$153,$G1182,月間集計シート!S$134:S$153)*AX$2</f>
        <v>0</v>
      </c>
      <c r="AY1182" s="88">
        <f>SUMIF(月間集計シート!$M$134:$M$153,$G1182,月間集計シート!T$134:T$153)*AY$2</f>
        <v>0</v>
      </c>
    </row>
    <row r="1183" spans="1:51" ht="14.25" thickBot="1">
      <c r="A1183">
        <v>14</v>
      </c>
      <c r="B1183" s="120">
        <f t="shared" si="629"/>
        <v>0</v>
      </c>
      <c r="C1183" s="120" t="str">
        <f t="shared" si="629"/>
        <v/>
      </c>
      <c r="D1183" s="137"/>
      <c r="E1183" s="150" t="str">
        <f>工種!A70</f>
        <v>90104</v>
      </c>
      <c r="F1183" s="119" t="str">
        <f>工種!B70</f>
        <v>管理業務：開発業務の引継ぎ</v>
      </c>
      <c r="G1183" s="116" t="str">
        <f t="shared" si="626"/>
        <v>090104</v>
      </c>
      <c r="H1183" s="88">
        <f t="shared" si="628"/>
        <v>0</v>
      </c>
      <c r="I1183" s="132"/>
      <c r="J1183" s="88">
        <f>SUMIF(月間集計シート!$M$29:$M$48,$G1183,月間集計シート!N$29:N$48)*J$2</f>
        <v>0</v>
      </c>
      <c r="K1183" s="88">
        <f>SUMIF(月間集計シート!$M$29:$M$48,$G1183,月間集計シート!O$29:O$48)*K$2</f>
        <v>0</v>
      </c>
      <c r="L1183" s="88">
        <f>SUMIF(月間集計シート!$M$29:$M$48,$G1183,月間集計シート!P$29:P$48)*L$2</f>
        <v>0</v>
      </c>
      <c r="M1183" s="88">
        <f>SUMIF(月間集計シート!$M$29:$M$48,$G1183,月間集計シート!Q$29:Q$48)*M$2</f>
        <v>0</v>
      </c>
      <c r="N1183" s="88">
        <f>SUMIF(月間集計シート!$M$29:$M$48,$G1183,月間集計シート!R$29:R$48)*N$2</f>
        <v>0</v>
      </c>
      <c r="O1183" s="88">
        <f>SUMIF(月間集計シート!$M$29:$M$48,$G1183,月間集計シート!S$29:S$48)*O$2</f>
        <v>0</v>
      </c>
      <c r="P1183" s="88">
        <f>SUMIF(月間集計シート!$M$29:$M$48,$G1183,月間集計シート!T$29:T$48)*P$2</f>
        <v>0</v>
      </c>
      <c r="Q1183" s="88">
        <f>SUMIF(月間集計シート!$M$50:$M$69,$G1183,月間集計シート!N$50:N$69)*Q$2</f>
        <v>0</v>
      </c>
      <c r="R1183" s="88">
        <f>SUMIF(月間集計シート!$M$50:$M$69,$G1183,月間集計シート!O$50:O$69)*R$2</f>
        <v>0</v>
      </c>
      <c r="S1183" s="88">
        <f>SUMIF(月間集計シート!$M$50:$M$69,$G1183,月間集計シート!P$50:P$69)*S$2</f>
        <v>0</v>
      </c>
      <c r="T1183" s="88">
        <f>SUMIF(月間集計シート!$M$50:$M$69,$G1183,月間集計シート!Q$50:Q$69)*T$2</f>
        <v>0</v>
      </c>
      <c r="U1183" s="88">
        <f>SUMIF(月間集計シート!$M$50:$M$69,$G1183,月間集計シート!R$50:R$69)*U$2</f>
        <v>0</v>
      </c>
      <c r="V1183" s="88">
        <f>SUMIF(月間集計シート!$M$50:$M$69,$G1183,月間集計シート!S$50:S$69)*V$2</f>
        <v>0</v>
      </c>
      <c r="W1183" s="88">
        <f>SUMIF(月間集計シート!$M$50:$M$69,$G1183,月間集計シート!T$50:T$69)*W$2</f>
        <v>0</v>
      </c>
      <c r="X1183" s="88">
        <f>SUMIF(月間集計シート!$M$71:$M$90,$G1183,月間集計シート!N$71:N$90)*X$2</f>
        <v>0</v>
      </c>
      <c r="Y1183" s="88">
        <f>SUMIF(月間集計シート!$M$71:$M$90,$G1183,月間集計シート!O$71:O$90)*Y$2</f>
        <v>0</v>
      </c>
      <c r="Z1183" s="88">
        <f>SUMIF(月間集計シート!$M$71:$M$90,$G1183,月間集計シート!P$71:P$90)*Z$2</f>
        <v>0</v>
      </c>
      <c r="AA1183" s="88">
        <f>SUMIF(月間集計シート!$M$71:$M$90,$G1183,月間集計シート!Q$71:Q$90)*AA$2</f>
        <v>0</v>
      </c>
      <c r="AB1183" s="88">
        <f>SUMIF(月間集計シート!$M$71:$M$90,$G1183,月間集計シート!R$71:R$90)*AB$2</f>
        <v>0</v>
      </c>
      <c r="AC1183" s="88">
        <f>SUMIF(月間集計シート!$M$71:$M$90,$G1183,月間集計シート!S$71:S$90)*AC$2</f>
        <v>0</v>
      </c>
      <c r="AD1183" s="88">
        <f>SUMIF(月間集計シート!$M$71:$M$90,$G1183,月間集計シート!T$71:T$90)*AD$2</f>
        <v>0</v>
      </c>
      <c r="AE1183" s="88">
        <f>SUMIF(月間集計シート!$M$92:$M$111,$G1183,月間集計シート!N$92:N$111)*AE$2</f>
        <v>0</v>
      </c>
      <c r="AF1183" s="88">
        <f>SUMIF(月間集計シート!$M$92:$M$111,$G1183,月間集計シート!O$92:O$111)*AF$2</f>
        <v>0</v>
      </c>
      <c r="AG1183" s="88">
        <f>SUMIF(月間集計シート!$M$92:$M$111,$G1183,月間集計シート!P$92:P$111)*AG$2</f>
        <v>0</v>
      </c>
      <c r="AH1183" s="88">
        <f>SUMIF(月間集計シート!$M$92:$M$111,$G1183,月間集計シート!Q$92:Q$111)*AH$2</f>
        <v>0</v>
      </c>
      <c r="AI1183" s="88">
        <f>SUMIF(月間集計シート!$M$92:$M$111,$G1183,月間集計シート!R$92:R$111)*AI$2</f>
        <v>0</v>
      </c>
      <c r="AJ1183" s="88">
        <f>SUMIF(月間集計シート!$M$92:$M$111,$G1183,月間集計シート!S$92:S$111)*AJ$2</f>
        <v>0</v>
      </c>
      <c r="AK1183" s="88">
        <f>SUMIF(月間集計シート!$M$92:$M$111,$G1183,月間集計シート!T$92:T$111)*AK$2</f>
        <v>0</v>
      </c>
      <c r="AL1183" s="88">
        <f>SUMIF(月間集計シート!$M$113:$M$132,$G1183,月間集計シート!N$113:N$132)*AL$2</f>
        <v>0</v>
      </c>
      <c r="AM1183" s="88">
        <f>SUMIF(月間集計シート!$M$113:$M$132,$G1183,月間集計シート!O$113:O$132)*AM$2</f>
        <v>0</v>
      </c>
      <c r="AN1183" s="88">
        <f>SUMIF(月間集計シート!$M$113:$M$132,$G1183,月間集計シート!P$113:P$132)*AN$2</f>
        <v>0</v>
      </c>
      <c r="AO1183" s="88">
        <f>SUMIF(月間集計シート!$M$113:$M$132,$G1183,月間集計シート!Q$113:Q$132)*AO$2</f>
        <v>0</v>
      </c>
      <c r="AP1183" s="88">
        <f>SUMIF(月間集計シート!$M$113:$M$132,$G1183,月間集計シート!R$113:R$132)*AP$2</f>
        <v>0</v>
      </c>
      <c r="AQ1183" s="88">
        <f>SUMIF(月間集計シート!$M$113:$M$132,$G1183,月間集計シート!S$113:S$132)*AQ$2</f>
        <v>0</v>
      </c>
      <c r="AR1183" s="88">
        <f>SUMIF(月間集計シート!$M$113:$M$132,$G1183,月間集計シート!T$113:T$132)*AR$2</f>
        <v>0</v>
      </c>
      <c r="AS1183" s="88">
        <f>SUMIF(月間集計シート!$M$134:$M$153,$G1183,月間集計シート!N$134:N$153)*AS$2</f>
        <v>0</v>
      </c>
      <c r="AT1183" s="88">
        <f>SUMIF(月間集計シート!$M$134:$M$153,$G1183,月間集計シート!O$134:O$153)*AT$2</f>
        <v>0</v>
      </c>
      <c r="AU1183" s="88">
        <f>SUMIF(月間集計シート!$M$134:$M$153,$G1183,月間集計シート!P$134:P$153)*AU$2</f>
        <v>0</v>
      </c>
      <c r="AV1183" s="88">
        <f>SUMIF(月間集計シート!$M$134:$M$153,$G1183,月間集計シート!Q$134:Q$153)*AV$2</f>
        <v>0</v>
      </c>
      <c r="AW1183" s="88">
        <f>SUMIF(月間集計シート!$M$134:$M$153,$G1183,月間集計シート!R$134:R$153)*AW$2</f>
        <v>0</v>
      </c>
      <c r="AX1183" s="88">
        <f>SUMIF(月間集計シート!$M$134:$M$153,$G1183,月間集計シート!S$134:S$153)*AX$2</f>
        <v>0</v>
      </c>
      <c r="AY1183" s="88">
        <f>SUMIF(月間集計シート!$M$134:$M$153,$G1183,月間集計シート!T$134:T$153)*AY$2</f>
        <v>0</v>
      </c>
    </row>
    <row r="1184" spans="1:51" ht="14.25" thickBot="1">
      <c r="A1184">
        <v>14</v>
      </c>
      <c r="B1184" s="120">
        <f t="shared" si="629"/>
        <v>0</v>
      </c>
      <c r="C1184" s="120" t="str">
        <f t="shared" si="629"/>
        <v/>
      </c>
      <c r="D1184" s="137"/>
      <c r="E1184" s="150" t="str">
        <f>工種!A71</f>
        <v>90105</v>
      </c>
      <c r="F1184" s="119" t="str">
        <f>工種!B71</f>
        <v>管理業務：SRB管理</v>
      </c>
      <c r="G1184" s="116" t="str">
        <f t="shared" si="626"/>
        <v>090105</v>
      </c>
      <c r="H1184" s="88">
        <f t="shared" si="628"/>
        <v>0</v>
      </c>
      <c r="I1184" s="132"/>
      <c r="J1184" s="88">
        <f>SUMIF(月間集計シート!$M$29:$M$48,$G1184,月間集計シート!N$29:N$48)*J$2</f>
        <v>0</v>
      </c>
      <c r="K1184" s="88">
        <f>SUMIF(月間集計シート!$M$29:$M$48,$G1184,月間集計シート!O$29:O$48)*K$2</f>
        <v>0</v>
      </c>
      <c r="L1184" s="88">
        <f>SUMIF(月間集計シート!$M$29:$M$48,$G1184,月間集計シート!P$29:P$48)*L$2</f>
        <v>0</v>
      </c>
      <c r="M1184" s="88">
        <f>SUMIF(月間集計シート!$M$29:$M$48,$G1184,月間集計シート!Q$29:Q$48)*M$2</f>
        <v>0</v>
      </c>
      <c r="N1184" s="88">
        <f>SUMIF(月間集計シート!$M$29:$M$48,$G1184,月間集計シート!R$29:R$48)*N$2</f>
        <v>0</v>
      </c>
      <c r="O1184" s="88">
        <f>SUMIF(月間集計シート!$M$29:$M$48,$G1184,月間集計シート!S$29:S$48)*O$2</f>
        <v>0</v>
      </c>
      <c r="P1184" s="88">
        <f>SUMIF(月間集計シート!$M$29:$M$48,$G1184,月間集計シート!T$29:T$48)*P$2</f>
        <v>0</v>
      </c>
      <c r="Q1184" s="88">
        <f>SUMIF(月間集計シート!$M$50:$M$69,$G1184,月間集計シート!N$50:N$69)*Q$2</f>
        <v>0</v>
      </c>
      <c r="R1184" s="88">
        <f>SUMIF(月間集計シート!$M$50:$M$69,$G1184,月間集計シート!O$50:O$69)*R$2</f>
        <v>0</v>
      </c>
      <c r="S1184" s="88">
        <f>SUMIF(月間集計シート!$M$50:$M$69,$G1184,月間集計シート!P$50:P$69)*S$2</f>
        <v>0</v>
      </c>
      <c r="T1184" s="88">
        <f>SUMIF(月間集計シート!$M$50:$M$69,$G1184,月間集計シート!Q$50:Q$69)*T$2</f>
        <v>0</v>
      </c>
      <c r="U1184" s="88">
        <f>SUMIF(月間集計シート!$M$50:$M$69,$G1184,月間集計シート!R$50:R$69)*U$2</f>
        <v>0</v>
      </c>
      <c r="V1184" s="88">
        <f>SUMIF(月間集計シート!$M$50:$M$69,$G1184,月間集計シート!S$50:S$69)*V$2</f>
        <v>0</v>
      </c>
      <c r="W1184" s="88">
        <f>SUMIF(月間集計シート!$M$50:$M$69,$G1184,月間集計シート!T$50:T$69)*W$2</f>
        <v>0</v>
      </c>
      <c r="X1184" s="88">
        <f>SUMIF(月間集計シート!$M$71:$M$90,$G1184,月間集計シート!N$71:N$90)*X$2</f>
        <v>0</v>
      </c>
      <c r="Y1184" s="88">
        <f>SUMIF(月間集計シート!$M$71:$M$90,$G1184,月間集計シート!O$71:O$90)*Y$2</f>
        <v>0</v>
      </c>
      <c r="Z1184" s="88">
        <f>SUMIF(月間集計シート!$M$71:$M$90,$G1184,月間集計シート!P$71:P$90)*Z$2</f>
        <v>0</v>
      </c>
      <c r="AA1184" s="88">
        <f>SUMIF(月間集計シート!$M$71:$M$90,$G1184,月間集計シート!Q$71:Q$90)*AA$2</f>
        <v>0</v>
      </c>
      <c r="AB1184" s="88">
        <f>SUMIF(月間集計シート!$M$71:$M$90,$G1184,月間集計シート!R$71:R$90)*AB$2</f>
        <v>0</v>
      </c>
      <c r="AC1184" s="88">
        <f>SUMIF(月間集計シート!$M$71:$M$90,$G1184,月間集計シート!S$71:S$90)*AC$2</f>
        <v>0</v>
      </c>
      <c r="AD1184" s="88">
        <f>SUMIF(月間集計シート!$M$71:$M$90,$G1184,月間集計シート!T$71:T$90)*AD$2</f>
        <v>0</v>
      </c>
      <c r="AE1184" s="88">
        <f>SUMIF(月間集計シート!$M$92:$M$111,$G1184,月間集計シート!N$92:N$111)*AE$2</f>
        <v>0</v>
      </c>
      <c r="AF1184" s="88">
        <f>SUMIF(月間集計シート!$M$92:$M$111,$G1184,月間集計シート!O$92:O$111)*AF$2</f>
        <v>0</v>
      </c>
      <c r="AG1184" s="88">
        <f>SUMIF(月間集計シート!$M$92:$M$111,$G1184,月間集計シート!P$92:P$111)*AG$2</f>
        <v>0</v>
      </c>
      <c r="AH1184" s="88">
        <f>SUMIF(月間集計シート!$M$92:$M$111,$G1184,月間集計シート!Q$92:Q$111)*AH$2</f>
        <v>0</v>
      </c>
      <c r="AI1184" s="88">
        <f>SUMIF(月間集計シート!$M$92:$M$111,$G1184,月間集計シート!R$92:R$111)*AI$2</f>
        <v>0</v>
      </c>
      <c r="AJ1184" s="88">
        <f>SUMIF(月間集計シート!$M$92:$M$111,$G1184,月間集計シート!S$92:S$111)*AJ$2</f>
        <v>0</v>
      </c>
      <c r="AK1184" s="88">
        <f>SUMIF(月間集計シート!$M$92:$M$111,$G1184,月間集計シート!T$92:T$111)*AK$2</f>
        <v>0</v>
      </c>
      <c r="AL1184" s="88">
        <f>SUMIF(月間集計シート!$M$113:$M$132,$G1184,月間集計シート!N$113:N$132)*AL$2</f>
        <v>0</v>
      </c>
      <c r="AM1184" s="88">
        <f>SUMIF(月間集計シート!$M$113:$M$132,$G1184,月間集計シート!O$113:O$132)*AM$2</f>
        <v>0</v>
      </c>
      <c r="AN1184" s="88">
        <f>SUMIF(月間集計シート!$M$113:$M$132,$G1184,月間集計シート!P$113:P$132)*AN$2</f>
        <v>0</v>
      </c>
      <c r="AO1184" s="88">
        <f>SUMIF(月間集計シート!$M$113:$M$132,$G1184,月間集計シート!Q$113:Q$132)*AO$2</f>
        <v>0</v>
      </c>
      <c r="AP1184" s="88">
        <f>SUMIF(月間集計シート!$M$113:$M$132,$G1184,月間集計シート!R$113:R$132)*AP$2</f>
        <v>0</v>
      </c>
      <c r="AQ1184" s="88">
        <f>SUMIF(月間集計シート!$M$113:$M$132,$G1184,月間集計シート!S$113:S$132)*AQ$2</f>
        <v>0</v>
      </c>
      <c r="AR1184" s="88">
        <f>SUMIF(月間集計シート!$M$113:$M$132,$G1184,月間集計シート!T$113:T$132)*AR$2</f>
        <v>0</v>
      </c>
      <c r="AS1184" s="88">
        <f>SUMIF(月間集計シート!$M$134:$M$153,$G1184,月間集計シート!N$134:N$153)*AS$2</f>
        <v>0</v>
      </c>
      <c r="AT1184" s="88">
        <f>SUMIF(月間集計シート!$M$134:$M$153,$G1184,月間集計シート!O$134:O$153)*AT$2</f>
        <v>0</v>
      </c>
      <c r="AU1184" s="88">
        <f>SUMIF(月間集計シート!$M$134:$M$153,$G1184,月間集計シート!P$134:P$153)*AU$2</f>
        <v>0</v>
      </c>
      <c r="AV1184" s="88">
        <f>SUMIF(月間集計シート!$M$134:$M$153,$G1184,月間集計シート!Q$134:Q$153)*AV$2</f>
        <v>0</v>
      </c>
      <c r="AW1184" s="88">
        <f>SUMIF(月間集計シート!$M$134:$M$153,$G1184,月間集計シート!R$134:R$153)*AW$2</f>
        <v>0</v>
      </c>
      <c r="AX1184" s="88">
        <f>SUMIF(月間集計シート!$M$134:$M$153,$G1184,月間集計シート!S$134:S$153)*AX$2</f>
        <v>0</v>
      </c>
      <c r="AY1184" s="88">
        <f>SUMIF(月間集計シート!$M$134:$M$153,$G1184,月間集計シート!T$134:T$153)*AY$2</f>
        <v>0</v>
      </c>
    </row>
    <row r="1185" spans="1:51" ht="14.25" thickBot="1">
      <c r="A1185">
        <v>14</v>
      </c>
      <c r="B1185" s="120">
        <f t="shared" si="629"/>
        <v>0</v>
      </c>
      <c r="C1185" s="120" t="str">
        <f t="shared" si="629"/>
        <v/>
      </c>
      <c r="D1185" s="137"/>
      <c r="E1185" s="150" t="str">
        <f>工種!A72</f>
        <v>90107</v>
      </c>
      <c r="F1185" s="119" t="str">
        <f>工種!B72</f>
        <v>管理業務：開発事務作業</v>
      </c>
      <c r="G1185" s="116" t="str">
        <f t="shared" si="626"/>
        <v>090107</v>
      </c>
      <c r="H1185" s="88">
        <f t="shared" si="628"/>
        <v>0</v>
      </c>
      <c r="I1185" s="132"/>
      <c r="J1185" s="88">
        <f>SUMIF(月間集計シート!$M$29:$M$48,$G1185,月間集計シート!N$29:N$48)*J$2</f>
        <v>0</v>
      </c>
      <c r="K1185" s="88">
        <f>SUMIF(月間集計シート!$M$29:$M$48,$G1185,月間集計シート!O$29:O$48)*K$2</f>
        <v>0</v>
      </c>
      <c r="L1185" s="88">
        <f>SUMIF(月間集計シート!$M$29:$M$48,$G1185,月間集計シート!P$29:P$48)*L$2</f>
        <v>0</v>
      </c>
      <c r="M1185" s="88">
        <f>SUMIF(月間集計シート!$M$29:$M$48,$G1185,月間集計シート!Q$29:Q$48)*M$2</f>
        <v>0</v>
      </c>
      <c r="N1185" s="88">
        <f>SUMIF(月間集計シート!$M$29:$M$48,$G1185,月間集計シート!R$29:R$48)*N$2</f>
        <v>0</v>
      </c>
      <c r="O1185" s="88">
        <f>SUMIF(月間集計シート!$M$29:$M$48,$G1185,月間集計シート!S$29:S$48)*O$2</f>
        <v>0</v>
      </c>
      <c r="P1185" s="88">
        <f>SUMIF(月間集計シート!$M$29:$M$48,$G1185,月間集計シート!T$29:T$48)*P$2</f>
        <v>0</v>
      </c>
      <c r="Q1185" s="88">
        <f>SUMIF(月間集計シート!$M$50:$M$69,$G1185,月間集計シート!N$50:N$69)*Q$2</f>
        <v>0</v>
      </c>
      <c r="R1185" s="88">
        <f>SUMIF(月間集計シート!$M$50:$M$69,$G1185,月間集計シート!O$50:O$69)*R$2</f>
        <v>0</v>
      </c>
      <c r="S1185" s="88">
        <f>SUMIF(月間集計シート!$M$50:$M$69,$G1185,月間集計シート!P$50:P$69)*S$2</f>
        <v>0</v>
      </c>
      <c r="T1185" s="88">
        <f>SUMIF(月間集計シート!$M$50:$M$69,$G1185,月間集計シート!Q$50:Q$69)*T$2</f>
        <v>0</v>
      </c>
      <c r="U1185" s="88">
        <f>SUMIF(月間集計シート!$M$50:$M$69,$G1185,月間集計シート!R$50:R$69)*U$2</f>
        <v>0</v>
      </c>
      <c r="V1185" s="88">
        <f>SUMIF(月間集計シート!$M$50:$M$69,$G1185,月間集計シート!S$50:S$69)*V$2</f>
        <v>0</v>
      </c>
      <c r="W1185" s="88">
        <f>SUMIF(月間集計シート!$M$50:$M$69,$G1185,月間集計シート!T$50:T$69)*W$2</f>
        <v>0</v>
      </c>
      <c r="X1185" s="88">
        <f>SUMIF(月間集計シート!$M$71:$M$90,$G1185,月間集計シート!N$71:N$90)*X$2</f>
        <v>0</v>
      </c>
      <c r="Y1185" s="88">
        <f>SUMIF(月間集計シート!$M$71:$M$90,$G1185,月間集計シート!O$71:O$90)*Y$2</f>
        <v>0</v>
      </c>
      <c r="Z1185" s="88">
        <f>SUMIF(月間集計シート!$M$71:$M$90,$G1185,月間集計シート!P$71:P$90)*Z$2</f>
        <v>0</v>
      </c>
      <c r="AA1185" s="88">
        <f>SUMIF(月間集計シート!$M$71:$M$90,$G1185,月間集計シート!Q$71:Q$90)*AA$2</f>
        <v>0</v>
      </c>
      <c r="AB1185" s="88">
        <f>SUMIF(月間集計シート!$M$71:$M$90,$G1185,月間集計シート!R$71:R$90)*AB$2</f>
        <v>0</v>
      </c>
      <c r="AC1185" s="88">
        <f>SUMIF(月間集計シート!$M$71:$M$90,$G1185,月間集計シート!S$71:S$90)*AC$2</f>
        <v>0</v>
      </c>
      <c r="AD1185" s="88">
        <f>SUMIF(月間集計シート!$M$71:$M$90,$G1185,月間集計シート!T$71:T$90)*AD$2</f>
        <v>0</v>
      </c>
      <c r="AE1185" s="88">
        <f>SUMIF(月間集計シート!$M$92:$M$111,$G1185,月間集計シート!N$92:N$111)*AE$2</f>
        <v>0</v>
      </c>
      <c r="AF1185" s="88">
        <f>SUMIF(月間集計シート!$M$92:$M$111,$G1185,月間集計シート!O$92:O$111)*AF$2</f>
        <v>0</v>
      </c>
      <c r="AG1185" s="88">
        <f>SUMIF(月間集計シート!$M$92:$M$111,$G1185,月間集計シート!P$92:P$111)*AG$2</f>
        <v>0</v>
      </c>
      <c r="AH1185" s="88">
        <f>SUMIF(月間集計シート!$M$92:$M$111,$G1185,月間集計シート!Q$92:Q$111)*AH$2</f>
        <v>0</v>
      </c>
      <c r="AI1185" s="88">
        <f>SUMIF(月間集計シート!$M$92:$M$111,$G1185,月間集計シート!R$92:R$111)*AI$2</f>
        <v>0</v>
      </c>
      <c r="AJ1185" s="88">
        <f>SUMIF(月間集計シート!$M$92:$M$111,$G1185,月間集計シート!S$92:S$111)*AJ$2</f>
        <v>0</v>
      </c>
      <c r="AK1185" s="88">
        <f>SUMIF(月間集計シート!$M$92:$M$111,$G1185,月間集計シート!T$92:T$111)*AK$2</f>
        <v>0</v>
      </c>
      <c r="AL1185" s="88">
        <f>SUMIF(月間集計シート!$M$113:$M$132,$G1185,月間集計シート!N$113:N$132)*AL$2</f>
        <v>0</v>
      </c>
      <c r="AM1185" s="88">
        <f>SUMIF(月間集計シート!$M$113:$M$132,$G1185,月間集計シート!O$113:O$132)*AM$2</f>
        <v>0</v>
      </c>
      <c r="AN1185" s="88">
        <f>SUMIF(月間集計シート!$M$113:$M$132,$G1185,月間集計シート!P$113:P$132)*AN$2</f>
        <v>0</v>
      </c>
      <c r="AO1185" s="88">
        <f>SUMIF(月間集計シート!$M$113:$M$132,$G1185,月間集計シート!Q$113:Q$132)*AO$2</f>
        <v>0</v>
      </c>
      <c r="AP1185" s="88">
        <f>SUMIF(月間集計シート!$M$113:$M$132,$G1185,月間集計シート!R$113:R$132)*AP$2</f>
        <v>0</v>
      </c>
      <c r="AQ1185" s="88">
        <f>SUMIF(月間集計シート!$M$113:$M$132,$G1185,月間集計シート!S$113:S$132)*AQ$2</f>
        <v>0</v>
      </c>
      <c r="AR1185" s="88">
        <f>SUMIF(月間集計シート!$M$113:$M$132,$G1185,月間集計シート!T$113:T$132)*AR$2</f>
        <v>0</v>
      </c>
      <c r="AS1185" s="88">
        <f>SUMIF(月間集計シート!$M$134:$M$153,$G1185,月間集計シート!N$134:N$153)*AS$2</f>
        <v>0</v>
      </c>
      <c r="AT1185" s="88">
        <f>SUMIF(月間集計シート!$M$134:$M$153,$G1185,月間集計シート!O$134:O$153)*AT$2</f>
        <v>0</v>
      </c>
      <c r="AU1185" s="88">
        <f>SUMIF(月間集計シート!$M$134:$M$153,$G1185,月間集計シート!P$134:P$153)*AU$2</f>
        <v>0</v>
      </c>
      <c r="AV1185" s="88">
        <f>SUMIF(月間集計シート!$M$134:$M$153,$G1185,月間集計シート!Q$134:Q$153)*AV$2</f>
        <v>0</v>
      </c>
      <c r="AW1185" s="88">
        <f>SUMIF(月間集計シート!$M$134:$M$153,$G1185,月間集計シート!R$134:R$153)*AW$2</f>
        <v>0</v>
      </c>
      <c r="AX1185" s="88">
        <f>SUMIF(月間集計シート!$M$134:$M$153,$G1185,月間集計シート!S$134:S$153)*AX$2</f>
        <v>0</v>
      </c>
      <c r="AY1185" s="88">
        <f>SUMIF(月間集計シート!$M$134:$M$153,$G1185,月間集計シート!T$134:T$153)*AY$2</f>
        <v>0</v>
      </c>
    </row>
    <row r="1186" spans="1:51" ht="14.25" thickBot="1">
      <c r="A1186">
        <v>14</v>
      </c>
      <c r="B1186" s="120">
        <f t="shared" si="629"/>
        <v>0</v>
      </c>
      <c r="C1186" s="120" t="str">
        <f t="shared" si="629"/>
        <v/>
      </c>
      <c r="D1186" s="137"/>
      <c r="E1186" s="150" t="str">
        <f>工種!A73</f>
        <v>90108</v>
      </c>
      <c r="F1186" s="119" t="str">
        <f>工種!B73</f>
        <v>管理業務：外部不具合分析</v>
      </c>
      <c r="G1186" s="116" t="str">
        <f t="shared" si="626"/>
        <v>090108</v>
      </c>
      <c r="H1186" s="88">
        <f t="shared" si="628"/>
        <v>0</v>
      </c>
      <c r="I1186" s="132"/>
      <c r="J1186" s="88">
        <f>SUMIF(月間集計シート!$M$29:$M$48,$G1186,月間集計シート!N$29:N$48)*J$2</f>
        <v>0</v>
      </c>
      <c r="K1186" s="88">
        <f>SUMIF(月間集計シート!$M$29:$M$48,$G1186,月間集計シート!O$29:O$48)*K$2</f>
        <v>0</v>
      </c>
      <c r="L1186" s="88">
        <f>SUMIF(月間集計シート!$M$29:$M$48,$G1186,月間集計シート!P$29:P$48)*L$2</f>
        <v>0</v>
      </c>
      <c r="M1186" s="88">
        <f>SUMIF(月間集計シート!$M$29:$M$48,$G1186,月間集計シート!Q$29:Q$48)*M$2</f>
        <v>0</v>
      </c>
      <c r="N1186" s="88">
        <f>SUMIF(月間集計シート!$M$29:$M$48,$G1186,月間集計シート!R$29:R$48)*N$2</f>
        <v>0</v>
      </c>
      <c r="O1186" s="88">
        <f>SUMIF(月間集計シート!$M$29:$M$48,$G1186,月間集計シート!S$29:S$48)*O$2</f>
        <v>0</v>
      </c>
      <c r="P1186" s="88">
        <f>SUMIF(月間集計シート!$M$29:$M$48,$G1186,月間集計シート!T$29:T$48)*P$2</f>
        <v>0</v>
      </c>
      <c r="Q1186" s="88">
        <f>SUMIF(月間集計シート!$M$50:$M$69,$G1186,月間集計シート!N$50:N$69)*Q$2</f>
        <v>0</v>
      </c>
      <c r="R1186" s="88">
        <f>SUMIF(月間集計シート!$M$50:$M$69,$G1186,月間集計シート!O$50:O$69)*R$2</f>
        <v>0</v>
      </c>
      <c r="S1186" s="88">
        <f>SUMIF(月間集計シート!$M$50:$M$69,$G1186,月間集計シート!P$50:P$69)*S$2</f>
        <v>0</v>
      </c>
      <c r="T1186" s="88">
        <f>SUMIF(月間集計シート!$M$50:$M$69,$G1186,月間集計シート!Q$50:Q$69)*T$2</f>
        <v>0</v>
      </c>
      <c r="U1186" s="88">
        <f>SUMIF(月間集計シート!$M$50:$M$69,$G1186,月間集計シート!R$50:R$69)*U$2</f>
        <v>0</v>
      </c>
      <c r="V1186" s="88">
        <f>SUMIF(月間集計シート!$M$50:$M$69,$G1186,月間集計シート!S$50:S$69)*V$2</f>
        <v>0</v>
      </c>
      <c r="W1186" s="88">
        <f>SUMIF(月間集計シート!$M$50:$M$69,$G1186,月間集計シート!T$50:T$69)*W$2</f>
        <v>0</v>
      </c>
      <c r="X1186" s="88">
        <f>SUMIF(月間集計シート!$M$71:$M$90,$G1186,月間集計シート!N$71:N$90)*X$2</f>
        <v>0</v>
      </c>
      <c r="Y1186" s="88">
        <f>SUMIF(月間集計シート!$M$71:$M$90,$G1186,月間集計シート!O$71:O$90)*Y$2</f>
        <v>0</v>
      </c>
      <c r="Z1186" s="88">
        <f>SUMIF(月間集計シート!$M$71:$M$90,$G1186,月間集計シート!P$71:P$90)*Z$2</f>
        <v>0</v>
      </c>
      <c r="AA1186" s="88">
        <f>SUMIF(月間集計シート!$M$71:$M$90,$G1186,月間集計シート!Q$71:Q$90)*AA$2</f>
        <v>0</v>
      </c>
      <c r="AB1186" s="88">
        <f>SUMIF(月間集計シート!$M$71:$M$90,$G1186,月間集計シート!R$71:R$90)*AB$2</f>
        <v>0</v>
      </c>
      <c r="AC1186" s="88">
        <f>SUMIF(月間集計シート!$M$71:$M$90,$G1186,月間集計シート!S$71:S$90)*AC$2</f>
        <v>0</v>
      </c>
      <c r="AD1186" s="88">
        <f>SUMIF(月間集計シート!$M$71:$M$90,$G1186,月間集計シート!T$71:T$90)*AD$2</f>
        <v>0</v>
      </c>
      <c r="AE1186" s="88">
        <f>SUMIF(月間集計シート!$M$92:$M$111,$G1186,月間集計シート!N$92:N$111)*AE$2</f>
        <v>0</v>
      </c>
      <c r="AF1186" s="88">
        <f>SUMIF(月間集計シート!$M$92:$M$111,$G1186,月間集計シート!O$92:O$111)*AF$2</f>
        <v>0</v>
      </c>
      <c r="AG1186" s="88">
        <f>SUMIF(月間集計シート!$M$92:$M$111,$G1186,月間集計シート!P$92:P$111)*AG$2</f>
        <v>0</v>
      </c>
      <c r="AH1186" s="88">
        <f>SUMIF(月間集計シート!$M$92:$M$111,$G1186,月間集計シート!Q$92:Q$111)*AH$2</f>
        <v>0</v>
      </c>
      <c r="AI1186" s="88">
        <f>SUMIF(月間集計シート!$M$92:$M$111,$G1186,月間集計シート!R$92:R$111)*AI$2</f>
        <v>0</v>
      </c>
      <c r="AJ1186" s="88">
        <f>SUMIF(月間集計シート!$M$92:$M$111,$G1186,月間集計シート!S$92:S$111)*AJ$2</f>
        <v>0</v>
      </c>
      <c r="AK1186" s="88">
        <f>SUMIF(月間集計シート!$M$92:$M$111,$G1186,月間集計シート!T$92:T$111)*AK$2</f>
        <v>0</v>
      </c>
      <c r="AL1186" s="88">
        <f>SUMIF(月間集計シート!$M$113:$M$132,$G1186,月間集計シート!N$113:N$132)*AL$2</f>
        <v>0</v>
      </c>
      <c r="AM1186" s="88">
        <f>SUMIF(月間集計シート!$M$113:$M$132,$G1186,月間集計シート!O$113:O$132)*AM$2</f>
        <v>0</v>
      </c>
      <c r="AN1186" s="88">
        <f>SUMIF(月間集計シート!$M$113:$M$132,$G1186,月間集計シート!P$113:P$132)*AN$2</f>
        <v>0</v>
      </c>
      <c r="AO1186" s="88">
        <f>SUMIF(月間集計シート!$M$113:$M$132,$G1186,月間集計シート!Q$113:Q$132)*AO$2</f>
        <v>0</v>
      </c>
      <c r="AP1186" s="88">
        <f>SUMIF(月間集計シート!$M$113:$M$132,$G1186,月間集計シート!R$113:R$132)*AP$2</f>
        <v>0</v>
      </c>
      <c r="AQ1186" s="88">
        <f>SUMIF(月間集計シート!$M$113:$M$132,$G1186,月間集計シート!S$113:S$132)*AQ$2</f>
        <v>0</v>
      </c>
      <c r="AR1186" s="88">
        <f>SUMIF(月間集計シート!$M$113:$M$132,$G1186,月間集計シート!T$113:T$132)*AR$2</f>
        <v>0</v>
      </c>
      <c r="AS1186" s="88">
        <f>SUMIF(月間集計シート!$M$134:$M$153,$G1186,月間集計シート!N$134:N$153)*AS$2</f>
        <v>0</v>
      </c>
      <c r="AT1186" s="88">
        <f>SUMIF(月間集計シート!$M$134:$M$153,$G1186,月間集計シート!O$134:O$153)*AT$2</f>
        <v>0</v>
      </c>
      <c r="AU1186" s="88">
        <f>SUMIF(月間集計シート!$M$134:$M$153,$G1186,月間集計シート!P$134:P$153)*AU$2</f>
        <v>0</v>
      </c>
      <c r="AV1186" s="88">
        <f>SUMIF(月間集計シート!$M$134:$M$153,$G1186,月間集計シート!Q$134:Q$153)*AV$2</f>
        <v>0</v>
      </c>
      <c r="AW1186" s="88">
        <f>SUMIF(月間集計シート!$M$134:$M$153,$G1186,月間集計シート!R$134:R$153)*AW$2</f>
        <v>0</v>
      </c>
      <c r="AX1186" s="88">
        <f>SUMIF(月間集計シート!$M$134:$M$153,$G1186,月間集計シート!S$134:S$153)*AX$2</f>
        <v>0</v>
      </c>
      <c r="AY1186" s="88">
        <f>SUMIF(月間集計シート!$M$134:$M$153,$G1186,月間集計シート!T$134:T$153)*AY$2</f>
        <v>0</v>
      </c>
    </row>
    <row r="1187" spans="1:51" ht="14.25" thickBot="1">
      <c r="A1187">
        <v>14</v>
      </c>
      <c r="B1187" s="120">
        <f t="shared" si="629"/>
        <v>0</v>
      </c>
      <c r="C1187" s="120" t="str">
        <f t="shared" si="629"/>
        <v/>
      </c>
      <c r="D1187" s="137"/>
      <c r="E1187" s="150" t="str">
        <f>工種!A74</f>
        <v>90110</v>
      </c>
      <c r="F1187" s="119" t="str">
        <f>工種!B74</f>
        <v>管理業務：打合せ</v>
      </c>
      <c r="G1187" s="116" t="str">
        <f t="shared" si="626"/>
        <v>090110</v>
      </c>
      <c r="H1187" s="88">
        <f t="shared" si="628"/>
        <v>0</v>
      </c>
      <c r="I1187" s="132"/>
      <c r="J1187" s="88">
        <f>SUMIF(月間集計シート!$M$29:$M$48,$G1187,月間集計シート!N$29:N$48)*J$2</f>
        <v>0</v>
      </c>
      <c r="K1187" s="88">
        <f>SUMIF(月間集計シート!$M$29:$M$48,$G1187,月間集計シート!O$29:O$48)*K$2</f>
        <v>0</v>
      </c>
      <c r="L1187" s="88">
        <f>SUMIF(月間集計シート!$M$29:$M$48,$G1187,月間集計シート!P$29:P$48)*L$2</f>
        <v>0</v>
      </c>
      <c r="M1187" s="88">
        <f>SUMIF(月間集計シート!$M$29:$M$48,$G1187,月間集計シート!Q$29:Q$48)*M$2</f>
        <v>0</v>
      </c>
      <c r="N1187" s="88">
        <f>SUMIF(月間集計シート!$M$29:$M$48,$G1187,月間集計シート!R$29:R$48)*N$2</f>
        <v>0</v>
      </c>
      <c r="O1187" s="88">
        <f>SUMIF(月間集計シート!$M$29:$M$48,$G1187,月間集計シート!S$29:S$48)*O$2</f>
        <v>0</v>
      </c>
      <c r="P1187" s="88">
        <f>SUMIF(月間集計シート!$M$29:$M$48,$G1187,月間集計シート!T$29:T$48)*P$2</f>
        <v>0</v>
      </c>
      <c r="Q1187" s="88">
        <f>SUMIF(月間集計シート!$M$50:$M$69,$G1187,月間集計シート!N$50:N$69)*Q$2</f>
        <v>0</v>
      </c>
      <c r="R1187" s="88">
        <f>SUMIF(月間集計シート!$M$50:$M$69,$G1187,月間集計シート!O$50:O$69)*R$2</f>
        <v>0</v>
      </c>
      <c r="S1187" s="88">
        <f>SUMIF(月間集計シート!$M$50:$M$69,$G1187,月間集計シート!P$50:P$69)*S$2</f>
        <v>0</v>
      </c>
      <c r="T1187" s="88">
        <f>SUMIF(月間集計シート!$M$50:$M$69,$G1187,月間集計シート!Q$50:Q$69)*T$2</f>
        <v>0</v>
      </c>
      <c r="U1187" s="88">
        <f>SUMIF(月間集計シート!$M$50:$M$69,$G1187,月間集計シート!R$50:R$69)*U$2</f>
        <v>0</v>
      </c>
      <c r="V1187" s="88">
        <f>SUMIF(月間集計シート!$M$50:$M$69,$G1187,月間集計シート!S$50:S$69)*V$2</f>
        <v>0</v>
      </c>
      <c r="W1187" s="88">
        <f>SUMIF(月間集計シート!$M$50:$M$69,$G1187,月間集計シート!T$50:T$69)*W$2</f>
        <v>0</v>
      </c>
      <c r="X1187" s="88">
        <f>SUMIF(月間集計シート!$M$71:$M$90,$G1187,月間集計シート!N$71:N$90)*X$2</f>
        <v>0</v>
      </c>
      <c r="Y1187" s="88">
        <f>SUMIF(月間集計シート!$M$71:$M$90,$G1187,月間集計シート!O$71:O$90)*Y$2</f>
        <v>0</v>
      </c>
      <c r="Z1187" s="88">
        <f>SUMIF(月間集計シート!$M$71:$M$90,$G1187,月間集計シート!P$71:P$90)*Z$2</f>
        <v>0</v>
      </c>
      <c r="AA1187" s="88">
        <f>SUMIF(月間集計シート!$M$71:$M$90,$G1187,月間集計シート!Q$71:Q$90)*AA$2</f>
        <v>0</v>
      </c>
      <c r="AB1187" s="88">
        <f>SUMIF(月間集計シート!$M$71:$M$90,$G1187,月間集計シート!R$71:R$90)*AB$2</f>
        <v>0</v>
      </c>
      <c r="AC1187" s="88">
        <f>SUMIF(月間集計シート!$M$71:$M$90,$G1187,月間集計シート!S$71:S$90)*AC$2</f>
        <v>0</v>
      </c>
      <c r="AD1187" s="88">
        <f>SUMIF(月間集計シート!$M$71:$M$90,$G1187,月間集計シート!T$71:T$90)*AD$2</f>
        <v>0</v>
      </c>
      <c r="AE1187" s="88">
        <f>SUMIF(月間集計シート!$M$92:$M$111,$G1187,月間集計シート!N$92:N$111)*AE$2</f>
        <v>0</v>
      </c>
      <c r="AF1187" s="88">
        <f>SUMIF(月間集計シート!$M$92:$M$111,$G1187,月間集計シート!O$92:O$111)*AF$2</f>
        <v>0</v>
      </c>
      <c r="AG1187" s="88">
        <f>SUMIF(月間集計シート!$M$92:$M$111,$G1187,月間集計シート!P$92:P$111)*AG$2</f>
        <v>0</v>
      </c>
      <c r="AH1187" s="88">
        <f>SUMIF(月間集計シート!$M$92:$M$111,$G1187,月間集計シート!Q$92:Q$111)*AH$2</f>
        <v>0</v>
      </c>
      <c r="AI1187" s="88">
        <f>SUMIF(月間集計シート!$M$92:$M$111,$G1187,月間集計シート!R$92:R$111)*AI$2</f>
        <v>0</v>
      </c>
      <c r="AJ1187" s="88">
        <f>SUMIF(月間集計シート!$M$92:$M$111,$G1187,月間集計シート!S$92:S$111)*AJ$2</f>
        <v>0</v>
      </c>
      <c r="AK1187" s="88">
        <f>SUMIF(月間集計シート!$M$92:$M$111,$G1187,月間集計シート!T$92:T$111)*AK$2</f>
        <v>0</v>
      </c>
      <c r="AL1187" s="88">
        <f>SUMIF(月間集計シート!$M$113:$M$132,$G1187,月間集計シート!N$113:N$132)*AL$2</f>
        <v>0</v>
      </c>
      <c r="AM1187" s="88">
        <f>SUMIF(月間集計シート!$M$113:$M$132,$G1187,月間集計シート!O$113:O$132)*AM$2</f>
        <v>0</v>
      </c>
      <c r="AN1187" s="88">
        <f>SUMIF(月間集計シート!$M$113:$M$132,$G1187,月間集計シート!P$113:P$132)*AN$2</f>
        <v>0</v>
      </c>
      <c r="AO1187" s="88">
        <f>SUMIF(月間集計シート!$M$113:$M$132,$G1187,月間集計シート!Q$113:Q$132)*AO$2</f>
        <v>0</v>
      </c>
      <c r="AP1187" s="88">
        <f>SUMIF(月間集計シート!$M$113:$M$132,$G1187,月間集計シート!R$113:R$132)*AP$2</f>
        <v>0</v>
      </c>
      <c r="AQ1187" s="88">
        <f>SUMIF(月間集計シート!$M$113:$M$132,$G1187,月間集計シート!S$113:S$132)*AQ$2</f>
        <v>0</v>
      </c>
      <c r="AR1187" s="88">
        <f>SUMIF(月間集計シート!$M$113:$M$132,$G1187,月間集計シート!T$113:T$132)*AR$2</f>
        <v>0</v>
      </c>
      <c r="AS1187" s="88">
        <f>SUMIF(月間集計シート!$M$134:$M$153,$G1187,月間集計シート!N$134:N$153)*AS$2</f>
        <v>0</v>
      </c>
      <c r="AT1187" s="88">
        <f>SUMIF(月間集計シート!$M$134:$M$153,$G1187,月間集計シート!O$134:O$153)*AT$2</f>
        <v>0</v>
      </c>
      <c r="AU1187" s="88">
        <f>SUMIF(月間集計シート!$M$134:$M$153,$G1187,月間集計シート!P$134:P$153)*AU$2</f>
        <v>0</v>
      </c>
      <c r="AV1187" s="88">
        <f>SUMIF(月間集計シート!$M$134:$M$153,$G1187,月間集計シート!Q$134:Q$153)*AV$2</f>
        <v>0</v>
      </c>
      <c r="AW1187" s="88">
        <f>SUMIF(月間集計シート!$M$134:$M$153,$G1187,月間集計シート!R$134:R$153)*AW$2</f>
        <v>0</v>
      </c>
      <c r="AX1187" s="88">
        <f>SUMIF(月間集計シート!$M$134:$M$153,$G1187,月間集計シート!S$134:S$153)*AX$2</f>
        <v>0</v>
      </c>
      <c r="AY1187" s="88">
        <f>SUMIF(月間集計シート!$M$134:$M$153,$G1187,月間集計シート!T$134:T$153)*AY$2</f>
        <v>0</v>
      </c>
    </row>
    <row r="1188" spans="1:51" ht="14.25" thickBot="1">
      <c r="A1188">
        <v>14</v>
      </c>
      <c r="B1188" s="120">
        <f t="shared" si="629"/>
        <v>0</v>
      </c>
      <c r="C1188" s="120" t="str">
        <f t="shared" si="629"/>
        <v/>
      </c>
      <c r="D1188" s="137"/>
      <c r="E1188" s="150" t="str">
        <f>工種!A75</f>
        <v>90111</v>
      </c>
      <c r="F1188" s="119" t="str">
        <f>工種!B75</f>
        <v>管理業務：レビュー</v>
      </c>
      <c r="G1188" s="116" t="str">
        <f t="shared" si="626"/>
        <v>090111</v>
      </c>
      <c r="H1188" s="88">
        <f t="shared" si="628"/>
        <v>0</v>
      </c>
      <c r="I1188" s="132"/>
      <c r="J1188" s="88">
        <f>SUMIF(月間集計シート!$M$29:$M$48,$G1188,月間集計シート!N$29:N$48)*J$2</f>
        <v>0</v>
      </c>
      <c r="K1188" s="88">
        <f>SUMIF(月間集計シート!$M$29:$M$48,$G1188,月間集計シート!O$29:O$48)*K$2</f>
        <v>0</v>
      </c>
      <c r="L1188" s="88">
        <f>SUMIF(月間集計シート!$M$29:$M$48,$G1188,月間集計シート!P$29:P$48)*L$2</f>
        <v>0</v>
      </c>
      <c r="M1188" s="88">
        <f>SUMIF(月間集計シート!$M$29:$M$48,$G1188,月間集計シート!Q$29:Q$48)*M$2</f>
        <v>0</v>
      </c>
      <c r="N1188" s="88">
        <f>SUMIF(月間集計シート!$M$29:$M$48,$G1188,月間集計シート!R$29:R$48)*N$2</f>
        <v>0</v>
      </c>
      <c r="O1188" s="88">
        <f>SUMIF(月間集計シート!$M$29:$M$48,$G1188,月間集計シート!S$29:S$48)*O$2</f>
        <v>0</v>
      </c>
      <c r="P1188" s="88">
        <f>SUMIF(月間集計シート!$M$29:$M$48,$G1188,月間集計シート!T$29:T$48)*P$2</f>
        <v>0</v>
      </c>
      <c r="Q1188" s="88">
        <f>SUMIF(月間集計シート!$M$50:$M$69,$G1188,月間集計シート!N$50:N$69)*Q$2</f>
        <v>0</v>
      </c>
      <c r="R1188" s="88">
        <f>SUMIF(月間集計シート!$M$50:$M$69,$G1188,月間集計シート!O$50:O$69)*R$2</f>
        <v>0</v>
      </c>
      <c r="S1188" s="88">
        <f>SUMIF(月間集計シート!$M$50:$M$69,$G1188,月間集計シート!P$50:P$69)*S$2</f>
        <v>0</v>
      </c>
      <c r="T1188" s="88">
        <f>SUMIF(月間集計シート!$M$50:$M$69,$G1188,月間集計シート!Q$50:Q$69)*T$2</f>
        <v>0</v>
      </c>
      <c r="U1188" s="88">
        <f>SUMIF(月間集計シート!$M$50:$M$69,$G1188,月間集計シート!R$50:R$69)*U$2</f>
        <v>0</v>
      </c>
      <c r="V1188" s="88">
        <f>SUMIF(月間集計シート!$M$50:$M$69,$G1188,月間集計シート!S$50:S$69)*V$2</f>
        <v>0</v>
      </c>
      <c r="W1188" s="88">
        <f>SUMIF(月間集計シート!$M$50:$M$69,$G1188,月間集計シート!T$50:T$69)*W$2</f>
        <v>0</v>
      </c>
      <c r="X1188" s="88">
        <f>SUMIF(月間集計シート!$M$71:$M$90,$G1188,月間集計シート!N$71:N$90)*X$2</f>
        <v>0</v>
      </c>
      <c r="Y1188" s="88">
        <f>SUMIF(月間集計シート!$M$71:$M$90,$G1188,月間集計シート!O$71:O$90)*Y$2</f>
        <v>0</v>
      </c>
      <c r="Z1188" s="88">
        <f>SUMIF(月間集計シート!$M$71:$M$90,$G1188,月間集計シート!P$71:P$90)*Z$2</f>
        <v>0</v>
      </c>
      <c r="AA1188" s="88">
        <f>SUMIF(月間集計シート!$M$71:$M$90,$G1188,月間集計シート!Q$71:Q$90)*AA$2</f>
        <v>0</v>
      </c>
      <c r="AB1188" s="88">
        <f>SUMIF(月間集計シート!$M$71:$M$90,$G1188,月間集計シート!R$71:R$90)*AB$2</f>
        <v>0</v>
      </c>
      <c r="AC1188" s="88">
        <f>SUMIF(月間集計シート!$M$71:$M$90,$G1188,月間集計シート!S$71:S$90)*AC$2</f>
        <v>0</v>
      </c>
      <c r="AD1188" s="88">
        <f>SUMIF(月間集計シート!$M$71:$M$90,$G1188,月間集計シート!T$71:T$90)*AD$2</f>
        <v>0</v>
      </c>
      <c r="AE1188" s="88">
        <f>SUMIF(月間集計シート!$M$92:$M$111,$G1188,月間集計シート!N$92:N$111)*AE$2</f>
        <v>0</v>
      </c>
      <c r="AF1188" s="88">
        <f>SUMIF(月間集計シート!$M$92:$M$111,$G1188,月間集計シート!O$92:O$111)*AF$2</f>
        <v>0</v>
      </c>
      <c r="AG1188" s="88">
        <f>SUMIF(月間集計シート!$M$92:$M$111,$G1188,月間集計シート!P$92:P$111)*AG$2</f>
        <v>0</v>
      </c>
      <c r="AH1188" s="88">
        <f>SUMIF(月間集計シート!$M$92:$M$111,$G1188,月間集計シート!Q$92:Q$111)*AH$2</f>
        <v>0</v>
      </c>
      <c r="AI1188" s="88">
        <f>SUMIF(月間集計シート!$M$92:$M$111,$G1188,月間集計シート!R$92:R$111)*AI$2</f>
        <v>0</v>
      </c>
      <c r="AJ1188" s="88">
        <f>SUMIF(月間集計シート!$M$92:$M$111,$G1188,月間集計シート!S$92:S$111)*AJ$2</f>
        <v>0</v>
      </c>
      <c r="AK1188" s="88">
        <f>SUMIF(月間集計シート!$M$92:$M$111,$G1188,月間集計シート!T$92:T$111)*AK$2</f>
        <v>0</v>
      </c>
      <c r="AL1188" s="88">
        <f>SUMIF(月間集計シート!$M$113:$M$132,$G1188,月間集計シート!N$113:N$132)*AL$2</f>
        <v>0</v>
      </c>
      <c r="AM1188" s="88">
        <f>SUMIF(月間集計シート!$M$113:$M$132,$G1188,月間集計シート!O$113:O$132)*AM$2</f>
        <v>0</v>
      </c>
      <c r="AN1188" s="88">
        <f>SUMIF(月間集計シート!$M$113:$M$132,$G1188,月間集計シート!P$113:P$132)*AN$2</f>
        <v>0</v>
      </c>
      <c r="AO1188" s="88">
        <f>SUMIF(月間集計シート!$M$113:$M$132,$G1188,月間集計シート!Q$113:Q$132)*AO$2</f>
        <v>0</v>
      </c>
      <c r="AP1188" s="88">
        <f>SUMIF(月間集計シート!$M$113:$M$132,$G1188,月間集計シート!R$113:R$132)*AP$2</f>
        <v>0</v>
      </c>
      <c r="AQ1188" s="88">
        <f>SUMIF(月間集計シート!$M$113:$M$132,$G1188,月間集計シート!S$113:S$132)*AQ$2</f>
        <v>0</v>
      </c>
      <c r="AR1188" s="88">
        <f>SUMIF(月間集計シート!$M$113:$M$132,$G1188,月間集計シート!T$113:T$132)*AR$2</f>
        <v>0</v>
      </c>
      <c r="AS1188" s="88">
        <f>SUMIF(月間集計シート!$M$134:$M$153,$G1188,月間集計シート!N$134:N$153)*AS$2</f>
        <v>0</v>
      </c>
      <c r="AT1188" s="88">
        <f>SUMIF(月間集計シート!$M$134:$M$153,$G1188,月間集計シート!O$134:O$153)*AT$2</f>
        <v>0</v>
      </c>
      <c r="AU1188" s="88">
        <f>SUMIF(月間集計シート!$M$134:$M$153,$G1188,月間集計シート!P$134:P$153)*AU$2</f>
        <v>0</v>
      </c>
      <c r="AV1188" s="88">
        <f>SUMIF(月間集計シート!$M$134:$M$153,$G1188,月間集計シート!Q$134:Q$153)*AV$2</f>
        <v>0</v>
      </c>
      <c r="AW1188" s="88">
        <f>SUMIF(月間集計シート!$M$134:$M$153,$G1188,月間集計シート!R$134:R$153)*AW$2</f>
        <v>0</v>
      </c>
      <c r="AX1188" s="88">
        <f>SUMIF(月間集計シート!$M$134:$M$153,$G1188,月間集計シート!S$134:S$153)*AX$2</f>
        <v>0</v>
      </c>
      <c r="AY1188" s="88">
        <f>SUMIF(月間集計シート!$M$134:$M$153,$G1188,月間集計シート!T$134:T$153)*AY$2</f>
        <v>0</v>
      </c>
    </row>
    <row r="1189" spans="1:51" ht="14.25" thickBot="1">
      <c r="A1189">
        <v>14</v>
      </c>
      <c r="B1189" s="120">
        <f t="shared" si="629"/>
        <v>0</v>
      </c>
      <c r="C1189" s="120" t="str">
        <f t="shared" si="629"/>
        <v/>
      </c>
      <c r="D1189" s="137"/>
      <c r="E1189" s="150" t="str">
        <f>工種!A76</f>
        <v>90199</v>
      </c>
      <c r="F1189" s="119" t="str">
        <f>工種!B76</f>
        <v>管理業務：その他</v>
      </c>
      <c r="G1189" s="116" t="str">
        <f t="shared" si="626"/>
        <v>090199</v>
      </c>
      <c r="H1189" s="88">
        <f t="shared" si="628"/>
        <v>0</v>
      </c>
      <c r="I1189" s="132"/>
      <c r="J1189" s="88">
        <f>SUMIF(月間集計シート!$M$29:$M$48,$G1189,月間集計シート!N$29:N$48)*J$2</f>
        <v>0</v>
      </c>
      <c r="K1189" s="88">
        <f>SUMIF(月間集計シート!$M$29:$M$48,$G1189,月間集計シート!O$29:O$48)*K$2</f>
        <v>0</v>
      </c>
      <c r="L1189" s="88">
        <f>SUMIF(月間集計シート!$M$29:$M$48,$G1189,月間集計シート!P$29:P$48)*L$2</f>
        <v>0</v>
      </c>
      <c r="M1189" s="88">
        <f>SUMIF(月間集計シート!$M$29:$M$48,$G1189,月間集計シート!Q$29:Q$48)*M$2</f>
        <v>0</v>
      </c>
      <c r="N1189" s="88">
        <f>SUMIF(月間集計シート!$M$29:$M$48,$G1189,月間集計シート!R$29:R$48)*N$2</f>
        <v>0</v>
      </c>
      <c r="O1189" s="88">
        <f>SUMIF(月間集計シート!$M$29:$M$48,$G1189,月間集計シート!S$29:S$48)*O$2</f>
        <v>0</v>
      </c>
      <c r="P1189" s="88">
        <f>SUMIF(月間集計シート!$M$29:$M$48,$G1189,月間集計シート!T$29:T$48)*P$2</f>
        <v>0</v>
      </c>
      <c r="Q1189" s="88">
        <f>SUMIF(月間集計シート!$M$50:$M$69,$G1189,月間集計シート!N$50:N$69)*Q$2</f>
        <v>0</v>
      </c>
      <c r="R1189" s="88">
        <f>SUMIF(月間集計シート!$M$50:$M$69,$G1189,月間集計シート!O$50:O$69)*R$2</f>
        <v>0</v>
      </c>
      <c r="S1189" s="88">
        <f>SUMIF(月間集計シート!$M$50:$M$69,$G1189,月間集計シート!P$50:P$69)*S$2</f>
        <v>0</v>
      </c>
      <c r="T1189" s="88">
        <f>SUMIF(月間集計シート!$M$50:$M$69,$G1189,月間集計シート!Q$50:Q$69)*T$2</f>
        <v>0</v>
      </c>
      <c r="U1189" s="88">
        <f>SUMIF(月間集計シート!$M$50:$M$69,$G1189,月間集計シート!R$50:R$69)*U$2</f>
        <v>0</v>
      </c>
      <c r="V1189" s="88">
        <f>SUMIF(月間集計シート!$M$50:$M$69,$G1189,月間集計シート!S$50:S$69)*V$2</f>
        <v>0</v>
      </c>
      <c r="W1189" s="88">
        <f>SUMIF(月間集計シート!$M$50:$M$69,$G1189,月間集計シート!T$50:T$69)*W$2</f>
        <v>0</v>
      </c>
      <c r="X1189" s="88">
        <f>SUMIF(月間集計シート!$M$71:$M$90,$G1189,月間集計シート!N$71:N$90)*X$2</f>
        <v>0</v>
      </c>
      <c r="Y1189" s="88">
        <f>SUMIF(月間集計シート!$M$71:$M$90,$G1189,月間集計シート!O$71:O$90)*Y$2</f>
        <v>0</v>
      </c>
      <c r="Z1189" s="88">
        <f>SUMIF(月間集計シート!$M$71:$M$90,$G1189,月間集計シート!P$71:P$90)*Z$2</f>
        <v>0</v>
      </c>
      <c r="AA1189" s="88">
        <f>SUMIF(月間集計シート!$M$71:$M$90,$G1189,月間集計シート!Q$71:Q$90)*AA$2</f>
        <v>0</v>
      </c>
      <c r="AB1189" s="88">
        <f>SUMIF(月間集計シート!$M$71:$M$90,$G1189,月間集計シート!R$71:R$90)*AB$2</f>
        <v>0</v>
      </c>
      <c r="AC1189" s="88">
        <f>SUMIF(月間集計シート!$M$71:$M$90,$G1189,月間集計シート!S$71:S$90)*AC$2</f>
        <v>0</v>
      </c>
      <c r="AD1189" s="88">
        <f>SUMIF(月間集計シート!$M$71:$M$90,$G1189,月間集計シート!T$71:T$90)*AD$2</f>
        <v>0</v>
      </c>
      <c r="AE1189" s="88">
        <f>SUMIF(月間集計シート!$M$92:$M$111,$G1189,月間集計シート!N$92:N$111)*AE$2</f>
        <v>0</v>
      </c>
      <c r="AF1189" s="88">
        <f>SUMIF(月間集計シート!$M$92:$M$111,$G1189,月間集計シート!O$92:O$111)*AF$2</f>
        <v>0</v>
      </c>
      <c r="AG1189" s="88">
        <f>SUMIF(月間集計シート!$M$92:$M$111,$G1189,月間集計シート!P$92:P$111)*AG$2</f>
        <v>0</v>
      </c>
      <c r="AH1189" s="88">
        <f>SUMIF(月間集計シート!$M$92:$M$111,$G1189,月間集計シート!Q$92:Q$111)*AH$2</f>
        <v>0</v>
      </c>
      <c r="AI1189" s="88">
        <f>SUMIF(月間集計シート!$M$92:$M$111,$G1189,月間集計シート!R$92:R$111)*AI$2</f>
        <v>0</v>
      </c>
      <c r="AJ1189" s="88">
        <f>SUMIF(月間集計シート!$M$92:$M$111,$G1189,月間集計シート!S$92:S$111)*AJ$2</f>
        <v>0</v>
      </c>
      <c r="AK1189" s="88">
        <f>SUMIF(月間集計シート!$M$92:$M$111,$G1189,月間集計シート!T$92:T$111)*AK$2</f>
        <v>0</v>
      </c>
      <c r="AL1189" s="88">
        <f>SUMIF(月間集計シート!$M$113:$M$132,$G1189,月間集計シート!N$113:N$132)*AL$2</f>
        <v>0</v>
      </c>
      <c r="AM1189" s="88">
        <f>SUMIF(月間集計シート!$M$113:$M$132,$G1189,月間集計シート!O$113:O$132)*AM$2</f>
        <v>0</v>
      </c>
      <c r="AN1189" s="88">
        <f>SUMIF(月間集計シート!$M$113:$M$132,$G1189,月間集計シート!P$113:P$132)*AN$2</f>
        <v>0</v>
      </c>
      <c r="AO1189" s="88">
        <f>SUMIF(月間集計シート!$M$113:$M$132,$G1189,月間集計シート!Q$113:Q$132)*AO$2</f>
        <v>0</v>
      </c>
      <c r="AP1189" s="88">
        <f>SUMIF(月間集計シート!$M$113:$M$132,$G1189,月間集計シート!R$113:R$132)*AP$2</f>
        <v>0</v>
      </c>
      <c r="AQ1189" s="88">
        <f>SUMIF(月間集計シート!$M$113:$M$132,$G1189,月間集計シート!S$113:S$132)*AQ$2</f>
        <v>0</v>
      </c>
      <c r="AR1189" s="88">
        <f>SUMIF(月間集計シート!$M$113:$M$132,$G1189,月間集計シート!T$113:T$132)*AR$2</f>
        <v>0</v>
      </c>
      <c r="AS1189" s="88">
        <f>SUMIF(月間集計シート!$M$134:$M$153,$G1189,月間集計シート!N$134:N$153)*AS$2</f>
        <v>0</v>
      </c>
      <c r="AT1189" s="88">
        <f>SUMIF(月間集計シート!$M$134:$M$153,$G1189,月間集計シート!O$134:O$153)*AT$2</f>
        <v>0</v>
      </c>
      <c r="AU1189" s="88">
        <f>SUMIF(月間集計シート!$M$134:$M$153,$G1189,月間集計シート!P$134:P$153)*AU$2</f>
        <v>0</v>
      </c>
      <c r="AV1189" s="88">
        <f>SUMIF(月間集計シート!$M$134:$M$153,$G1189,月間集計シート!Q$134:Q$153)*AV$2</f>
        <v>0</v>
      </c>
      <c r="AW1189" s="88">
        <f>SUMIF(月間集計シート!$M$134:$M$153,$G1189,月間集計シート!R$134:R$153)*AW$2</f>
        <v>0</v>
      </c>
      <c r="AX1189" s="88">
        <f>SUMIF(月間集計シート!$M$134:$M$153,$G1189,月間集計シート!S$134:S$153)*AX$2</f>
        <v>0</v>
      </c>
      <c r="AY1189" s="88">
        <f>SUMIF(月間集計シート!$M$134:$M$153,$G1189,月間集計シート!T$134:T$153)*AY$2</f>
        <v>0</v>
      </c>
    </row>
    <row r="1190" spans="1:51" ht="14.25" thickBot="1">
      <c r="A1190">
        <v>14</v>
      </c>
      <c r="B1190" s="120">
        <f t="shared" si="629"/>
        <v>0</v>
      </c>
      <c r="C1190" s="120" t="str">
        <f t="shared" si="629"/>
        <v/>
      </c>
      <c r="D1190" s="137"/>
      <c r="E1190" s="150">
        <f>工種!A77</f>
        <v>99102</v>
      </c>
      <c r="F1190" s="119" t="str">
        <f>工種!B77</f>
        <v>間接業務：業務環境管理（PCｾｯﾄｱｯﾌﾟ等）</v>
      </c>
      <c r="G1190" s="116" t="str">
        <f t="shared" si="626"/>
        <v>099102</v>
      </c>
      <c r="H1190" s="88">
        <f t="shared" si="628"/>
        <v>0</v>
      </c>
      <c r="I1190" s="132"/>
      <c r="J1190" s="88">
        <f>SUMIF(月間集計シート!$M$29:$M$48,$G1190,月間集計シート!N$29:N$48)*J$2</f>
        <v>0</v>
      </c>
      <c r="K1190" s="88">
        <f>SUMIF(月間集計シート!$M$29:$M$48,$G1190,月間集計シート!O$29:O$48)*K$2</f>
        <v>0</v>
      </c>
      <c r="L1190" s="88">
        <f>SUMIF(月間集計シート!$M$29:$M$48,$G1190,月間集計シート!P$29:P$48)*L$2</f>
        <v>0</v>
      </c>
      <c r="M1190" s="88">
        <f>SUMIF(月間集計シート!$M$29:$M$48,$G1190,月間集計シート!Q$29:Q$48)*M$2</f>
        <v>0</v>
      </c>
      <c r="N1190" s="88">
        <f>SUMIF(月間集計シート!$M$29:$M$48,$G1190,月間集計シート!R$29:R$48)*N$2</f>
        <v>0</v>
      </c>
      <c r="O1190" s="88">
        <f>SUMIF(月間集計シート!$M$29:$M$48,$G1190,月間集計シート!S$29:S$48)*O$2</f>
        <v>0</v>
      </c>
      <c r="P1190" s="88">
        <f>SUMIF(月間集計シート!$M$29:$M$48,$G1190,月間集計シート!T$29:T$48)*P$2</f>
        <v>0</v>
      </c>
      <c r="Q1190" s="88">
        <f>SUMIF(月間集計シート!$M$50:$M$69,$G1190,月間集計シート!N$50:N$69)*Q$2</f>
        <v>0</v>
      </c>
      <c r="R1190" s="88">
        <f>SUMIF(月間集計シート!$M$50:$M$69,$G1190,月間集計シート!O$50:O$69)*R$2</f>
        <v>0</v>
      </c>
      <c r="S1190" s="88">
        <f>SUMIF(月間集計シート!$M$50:$M$69,$G1190,月間集計シート!P$50:P$69)*S$2</f>
        <v>0</v>
      </c>
      <c r="T1190" s="88">
        <f>SUMIF(月間集計シート!$M$50:$M$69,$G1190,月間集計シート!Q$50:Q$69)*T$2</f>
        <v>0</v>
      </c>
      <c r="U1190" s="88">
        <f>SUMIF(月間集計シート!$M$50:$M$69,$G1190,月間集計シート!R$50:R$69)*U$2</f>
        <v>0</v>
      </c>
      <c r="V1190" s="88">
        <f>SUMIF(月間集計シート!$M$50:$M$69,$G1190,月間集計シート!S$50:S$69)*V$2</f>
        <v>0</v>
      </c>
      <c r="W1190" s="88">
        <f>SUMIF(月間集計シート!$M$50:$M$69,$G1190,月間集計シート!T$50:T$69)*W$2</f>
        <v>0</v>
      </c>
      <c r="X1190" s="88">
        <f>SUMIF(月間集計シート!$M$71:$M$90,$G1190,月間集計シート!N$71:N$90)*X$2</f>
        <v>0</v>
      </c>
      <c r="Y1190" s="88">
        <f>SUMIF(月間集計シート!$M$71:$M$90,$G1190,月間集計シート!O$71:O$90)*Y$2</f>
        <v>0</v>
      </c>
      <c r="Z1190" s="88">
        <f>SUMIF(月間集計シート!$M$71:$M$90,$G1190,月間集計シート!P$71:P$90)*Z$2</f>
        <v>0</v>
      </c>
      <c r="AA1190" s="88">
        <f>SUMIF(月間集計シート!$M$71:$M$90,$G1190,月間集計シート!Q$71:Q$90)*AA$2</f>
        <v>0</v>
      </c>
      <c r="AB1190" s="88">
        <f>SUMIF(月間集計シート!$M$71:$M$90,$G1190,月間集計シート!R$71:R$90)*AB$2</f>
        <v>0</v>
      </c>
      <c r="AC1190" s="88">
        <f>SUMIF(月間集計シート!$M$71:$M$90,$G1190,月間集計シート!S$71:S$90)*AC$2</f>
        <v>0</v>
      </c>
      <c r="AD1190" s="88">
        <f>SUMIF(月間集計シート!$M$71:$M$90,$G1190,月間集計シート!T$71:T$90)*AD$2</f>
        <v>0</v>
      </c>
      <c r="AE1190" s="88">
        <f>SUMIF(月間集計シート!$M$92:$M$111,$G1190,月間集計シート!N$92:N$111)*AE$2</f>
        <v>0</v>
      </c>
      <c r="AF1190" s="88">
        <f>SUMIF(月間集計シート!$M$92:$M$111,$G1190,月間集計シート!O$92:O$111)*AF$2</f>
        <v>0</v>
      </c>
      <c r="AG1190" s="88">
        <f>SUMIF(月間集計シート!$M$92:$M$111,$G1190,月間集計シート!P$92:P$111)*AG$2</f>
        <v>0</v>
      </c>
      <c r="AH1190" s="88">
        <f>SUMIF(月間集計シート!$M$92:$M$111,$G1190,月間集計シート!Q$92:Q$111)*AH$2</f>
        <v>0</v>
      </c>
      <c r="AI1190" s="88">
        <f>SUMIF(月間集計シート!$M$92:$M$111,$G1190,月間集計シート!R$92:R$111)*AI$2</f>
        <v>0</v>
      </c>
      <c r="AJ1190" s="88">
        <f>SUMIF(月間集計シート!$M$92:$M$111,$G1190,月間集計シート!S$92:S$111)*AJ$2</f>
        <v>0</v>
      </c>
      <c r="AK1190" s="88">
        <f>SUMIF(月間集計シート!$M$92:$M$111,$G1190,月間集計シート!T$92:T$111)*AK$2</f>
        <v>0</v>
      </c>
      <c r="AL1190" s="88">
        <f>SUMIF(月間集計シート!$M$113:$M$132,$G1190,月間集計シート!N$113:N$132)*AL$2</f>
        <v>0</v>
      </c>
      <c r="AM1190" s="88">
        <f>SUMIF(月間集計シート!$M$113:$M$132,$G1190,月間集計シート!O$113:O$132)*AM$2</f>
        <v>0</v>
      </c>
      <c r="AN1190" s="88">
        <f>SUMIF(月間集計シート!$M$113:$M$132,$G1190,月間集計シート!P$113:P$132)*AN$2</f>
        <v>0</v>
      </c>
      <c r="AO1190" s="88">
        <f>SUMIF(月間集計シート!$M$113:$M$132,$G1190,月間集計シート!Q$113:Q$132)*AO$2</f>
        <v>0</v>
      </c>
      <c r="AP1190" s="88">
        <f>SUMIF(月間集計シート!$M$113:$M$132,$G1190,月間集計シート!R$113:R$132)*AP$2</f>
        <v>0</v>
      </c>
      <c r="AQ1190" s="88">
        <f>SUMIF(月間集計シート!$M$113:$M$132,$G1190,月間集計シート!S$113:S$132)*AQ$2</f>
        <v>0</v>
      </c>
      <c r="AR1190" s="88">
        <f>SUMIF(月間集計シート!$M$113:$M$132,$G1190,月間集計シート!T$113:T$132)*AR$2</f>
        <v>0</v>
      </c>
      <c r="AS1190" s="88">
        <f>SUMIF(月間集計シート!$M$134:$M$153,$G1190,月間集計シート!N$134:N$153)*AS$2</f>
        <v>0</v>
      </c>
      <c r="AT1190" s="88">
        <f>SUMIF(月間集計シート!$M$134:$M$153,$G1190,月間集計シート!O$134:O$153)*AT$2</f>
        <v>0</v>
      </c>
      <c r="AU1190" s="88">
        <f>SUMIF(月間集計シート!$M$134:$M$153,$G1190,月間集計シート!P$134:P$153)*AU$2</f>
        <v>0</v>
      </c>
      <c r="AV1190" s="88">
        <f>SUMIF(月間集計シート!$M$134:$M$153,$G1190,月間集計シート!Q$134:Q$153)*AV$2</f>
        <v>0</v>
      </c>
      <c r="AW1190" s="88">
        <f>SUMIF(月間集計シート!$M$134:$M$153,$G1190,月間集計シート!R$134:R$153)*AW$2</f>
        <v>0</v>
      </c>
      <c r="AX1190" s="88">
        <f>SUMIF(月間集計シート!$M$134:$M$153,$G1190,月間集計シート!S$134:S$153)*AX$2</f>
        <v>0</v>
      </c>
      <c r="AY1190" s="88">
        <f>SUMIF(月間集計シート!$M$134:$M$153,$G1190,月間集計シート!T$134:T$153)*AY$2</f>
        <v>0</v>
      </c>
    </row>
    <row r="1191" spans="1:51" ht="14.25" thickBot="1">
      <c r="A1191">
        <v>14</v>
      </c>
      <c r="B1191" s="120">
        <f t="shared" si="629"/>
        <v>0</v>
      </c>
      <c r="C1191" s="120" t="str">
        <f t="shared" si="629"/>
        <v/>
      </c>
      <c r="D1191" s="137"/>
      <c r="E1191" s="150" t="str">
        <f>工種!A78</f>
        <v>99103</v>
      </c>
      <c r="F1191" s="119" t="str">
        <f>工種!B78</f>
        <v>間接業務：標準化・業務改善作業（開発以外）</v>
      </c>
      <c r="G1191" s="116" t="str">
        <f t="shared" si="626"/>
        <v>099103</v>
      </c>
      <c r="H1191" s="88">
        <f t="shared" si="628"/>
        <v>0</v>
      </c>
      <c r="I1191" s="132"/>
      <c r="J1191" s="88">
        <f>SUMIF(月間集計シート!$M$29:$M$48,$G1191,月間集計シート!N$29:N$48)*J$2</f>
        <v>0</v>
      </c>
      <c r="K1191" s="88">
        <f>SUMIF(月間集計シート!$M$29:$M$48,$G1191,月間集計シート!O$29:O$48)*K$2</f>
        <v>0</v>
      </c>
      <c r="L1191" s="88">
        <f>SUMIF(月間集計シート!$M$29:$M$48,$G1191,月間集計シート!P$29:P$48)*L$2</f>
        <v>0</v>
      </c>
      <c r="M1191" s="88">
        <f>SUMIF(月間集計シート!$M$29:$M$48,$G1191,月間集計シート!Q$29:Q$48)*M$2</f>
        <v>0</v>
      </c>
      <c r="N1191" s="88">
        <f>SUMIF(月間集計シート!$M$29:$M$48,$G1191,月間集計シート!R$29:R$48)*N$2</f>
        <v>0</v>
      </c>
      <c r="O1191" s="88">
        <f>SUMIF(月間集計シート!$M$29:$M$48,$G1191,月間集計シート!S$29:S$48)*O$2</f>
        <v>0</v>
      </c>
      <c r="P1191" s="88">
        <f>SUMIF(月間集計シート!$M$29:$M$48,$G1191,月間集計シート!T$29:T$48)*P$2</f>
        <v>0</v>
      </c>
      <c r="Q1191" s="88">
        <f>SUMIF(月間集計シート!$M$50:$M$69,$G1191,月間集計シート!N$50:N$69)*Q$2</f>
        <v>0</v>
      </c>
      <c r="R1191" s="88">
        <f>SUMIF(月間集計シート!$M$50:$M$69,$G1191,月間集計シート!O$50:O$69)*R$2</f>
        <v>0</v>
      </c>
      <c r="S1191" s="88">
        <f>SUMIF(月間集計シート!$M$50:$M$69,$G1191,月間集計シート!P$50:P$69)*S$2</f>
        <v>0</v>
      </c>
      <c r="T1191" s="88">
        <f>SUMIF(月間集計シート!$M$50:$M$69,$G1191,月間集計シート!Q$50:Q$69)*T$2</f>
        <v>0</v>
      </c>
      <c r="U1191" s="88">
        <f>SUMIF(月間集計シート!$M$50:$M$69,$G1191,月間集計シート!R$50:R$69)*U$2</f>
        <v>0</v>
      </c>
      <c r="V1191" s="88">
        <f>SUMIF(月間集計シート!$M$50:$M$69,$G1191,月間集計シート!S$50:S$69)*V$2</f>
        <v>0</v>
      </c>
      <c r="W1191" s="88">
        <f>SUMIF(月間集計シート!$M$50:$M$69,$G1191,月間集計シート!T$50:T$69)*W$2</f>
        <v>0</v>
      </c>
      <c r="X1191" s="88">
        <f>SUMIF(月間集計シート!$M$71:$M$90,$G1191,月間集計シート!N$71:N$90)*X$2</f>
        <v>0</v>
      </c>
      <c r="Y1191" s="88">
        <f>SUMIF(月間集計シート!$M$71:$M$90,$G1191,月間集計シート!O$71:O$90)*Y$2</f>
        <v>0</v>
      </c>
      <c r="Z1191" s="88">
        <f>SUMIF(月間集計シート!$M$71:$M$90,$G1191,月間集計シート!P$71:P$90)*Z$2</f>
        <v>0</v>
      </c>
      <c r="AA1191" s="88">
        <f>SUMIF(月間集計シート!$M$71:$M$90,$G1191,月間集計シート!Q$71:Q$90)*AA$2</f>
        <v>0</v>
      </c>
      <c r="AB1191" s="88">
        <f>SUMIF(月間集計シート!$M$71:$M$90,$G1191,月間集計シート!R$71:R$90)*AB$2</f>
        <v>0</v>
      </c>
      <c r="AC1191" s="88">
        <f>SUMIF(月間集計シート!$M$71:$M$90,$G1191,月間集計シート!S$71:S$90)*AC$2</f>
        <v>0</v>
      </c>
      <c r="AD1191" s="88">
        <f>SUMIF(月間集計シート!$M$71:$M$90,$G1191,月間集計シート!T$71:T$90)*AD$2</f>
        <v>0</v>
      </c>
      <c r="AE1191" s="88">
        <f>SUMIF(月間集計シート!$M$92:$M$111,$G1191,月間集計シート!N$92:N$111)*AE$2</f>
        <v>0</v>
      </c>
      <c r="AF1191" s="88">
        <f>SUMIF(月間集計シート!$M$92:$M$111,$G1191,月間集計シート!O$92:O$111)*AF$2</f>
        <v>0</v>
      </c>
      <c r="AG1191" s="88">
        <f>SUMIF(月間集計シート!$M$92:$M$111,$G1191,月間集計シート!P$92:P$111)*AG$2</f>
        <v>0</v>
      </c>
      <c r="AH1191" s="88">
        <f>SUMIF(月間集計シート!$M$92:$M$111,$G1191,月間集計シート!Q$92:Q$111)*AH$2</f>
        <v>0</v>
      </c>
      <c r="AI1191" s="88">
        <f>SUMIF(月間集計シート!$M$92:$M$111,$G1191,月間集計シート!R$92:R$111)*AI$2</f>
        <v>0</v>
      </c>
      <c r="AJ1191" s="88">
        <f>SUMIF(月間集計シート!$M$92:$M$111,$G1191,月間集計シート!S$92:S$111)*AJ$2</f>
        <v>0</v>
      </c>
      <c r="AK1191" s="88">
        <f>SUMIF(月間集計シート!$M$92:$M$111,$G1191,月間集計シート!T$92:T$111)*AK$2</f>
        <v>0</v>
      </c>
      <c r="AL1191" s="88">
        <f>SUMIF(月間集計シート!$M$113:$M$132,$G1191,月間集計シート!N$113:N$132)*AL$2</f>
        <v>0</v>
      </c>
      <c r="AM1191" s="88">
        <f>SUMIF(月間集計シート!$M$113:$M$132,$G1191,月間集計シート!O$113:O$132)*AM$2</f>
        <v>0</v>
      </c>
      <c r="AN1191" s="88">
        <f>SUMIF(月間集計シート!$M$113:$M$132,$G1191,月間集計シート!P$113:P$132)*AN$2</f>
        <v>0</v>
      </c>
      <c r="AO1191" s="88">
        <f>SUMIF(月間集計シート!$M$113:$M$132,$G1191,月間集計シート!Q$113:Q$132)*AO$2</f>
        <v>0</v>
      </c>
      <c r="AP1191" s="88">
        <f>SUMIF(月間集計シート!$M$113:$M$132,$G1191,月間集計シート!R$113:R$132)*AP$2</f>
        <v>0</v>
      </c>
      <c r="AQ1191" s="88">
        <f>SUMIF(月間集計シート!$M$113:$M$132,$G1191,月間集計シート!S$113:S$132)*AQ$2</f>
        <v>0</v>
      </c>
      <c r="AR1191" s="88">
        <f>SUMIF(月間集計シート!$M$113:$M$132,$G1191,月間集計シート!T$113:T$132)*AR$2</f>
        <v>0</v>
      </c>
      <c r="AS1191" s="88">
        <f>SUMIF(月間集計シート!$M$134:$M$153,$G1191,月間集計シート!N$134:N$153)*AS$2</f>
        <v>0</v>
      </c>
      <c r="AT1191" s="88">
        <f>SUMIF(月間集計シート!$M$134:$M$153,$G1191,月間集計シート!O$134:O$153)*AT$2</f>
        <v>0</v>
      </c>
      <c r="AU1191" s="88">
        <f>SUMIF(月間集計シート!$M$134:$M$153,$G1191,月間集計シート!P$134:P$153)*AU$2</f>
        <v>0</v>
      </c>
      <c r="AV1191" s="88">
        <f>SUMIF(月間集計シート!$M$134:$M$153,$G1191,月間集計シート!Q$134:Q$153)*AV$2</f>
        <v>0</v>
      </c>
      <c r="AW1191" s="88">
        <f>SUMIF(月間集計シート!$M$134:$M$153,$G1191,月間集計シート!R$134:R$153)*AW$2</f>
        <v>0</v>
      </c>
      <c r="AX1191" s="88">
        <f>SUMIF(月間集計シート!$M$134:$M$153,$G1191,月間集計シート!S$134:S$153)*AX$2</f>
        <v>0</v>
      </c>
      <c r="AY1191" s="88">
        <f>SUMIF(月間集計シート!$M$134:$M$153,$G1191,月間集計シート!T$134:T$153)*AY$2</f>
        <v>0</v>
      </c>
    </row>
    <row r="1192" spans="1:51" ht="14.25" thickBot="1">
      <c r="A1192">
        <v>14</v>
      </c>
      <c r="B1192" s="120">
        <f t="shared" si="629"/>
        <v>0</v>
      </c>
      <c r="C1192" s="120" t="str">
        <f t="shared" si="629"/>
        <v/>
      </c>
      <c r="D1192" s="137"/>
      <c r="E1192" s="150" t="str">
        <f>工種!A79</f>
        <v>99104</v>
      </c>
      <c r="F1192" s="119" t="str">
        <f>工種!B79</f>
        <v>間接業務：業務の引継ぎ（開発以外）</v>
      </c>
      <c r="G1192" s="116" t="str">
        <f t="shared" si="626"/>
        <v>099104</v>
      </c>
      <c r="H1192" s="88">
        <f t="shared" si="628"/>
        <v>0</v>
      </c>
      <c r="I1192" s="132"/>
      <c r="J1192" s="88">
        <f>SUMIF(月間集計シート!$M$29:$M$48,$G1192,月間集計シート!N$29:N$48)*J$2</f>
        <v>0</v>
      </c>
      <c r="K1192" s="88">
        <f>SUMIF(月間集計シート!$M$29:$M$48,$G1192,月間集計シート!O$29:O$48)*K$2</f>
        <v>0</v>
      </c>
      <c r="L1192" s="88">
        <f>SUMIF(月間集計シート!$M$29:$M$48,$G1192,月間集計シート!P$29:P$48)*L$2</f>
        <v>0</v>
      </c>
      <c r="M1192" s="88">
        <f>SUMIF(月間集計シート!$M$29:$M$48,$G1192,月間集計シート!Q$29:Q$48)*M$2</f>
        <v>0</v>
      </c>
      <c r="N1192" s="88">
        <f>SUMIF(月間集計シート!$M$29:$M$48,$G1192,月間集計シート!R$29:R$48)*N$2</f>
        <v>0</v>
      </c>
      <c r="O1192" s="88">
        <f>SUMIF(月間集計シート!$M$29:$M$48,$G1192,月間集計シート!S$29:S$48)*O$2</f>
        <v>0</v>
      </c>
      <c r="P1192" s="88">
        <f>SUMIF(月間集計シート!$M$29:$M$48,$G1192,月間集計シート!T$29:T$48)*P$2</f>
        <v>0</v>
      </c>
      <c r="Q1192" s="88">
        <f>SUMIF(月間集計シート!$M$50:$M$69,$G1192,月間集計シート!N$50:N$69)*Q$2</f>
        <v>0</v>
      </c>
      <c r="R1192" s="88">
        <f>SUMIF(月間集計シート!$M$50:$M$69,$G1192,月間集計シート!O$50:O$69)*R$2</f>
        <v>0</v>
      </c>
      <c r="S1192" s="88">
        <f>SUMIF(月間集計シート!$M$50:$M$69,$G1192,月間集計シート!P$50:P$69)*S$2</f>
        <v>0</v>
      </c>
      <c r="T1192" s="88">
        <f>SUMIF(月間集計シート!$M$50:$M$69,$G1192,月間集計シート!Q$50:Q$69)*T$2</f>
        <v>0</v>
      </c>
      <c r="U1192" s="88">
        <f>SUMIF(月間集計シート!$M$50:$M$69,$G1192,月間集計シート!R$50:R$69)*U$2</f>
        <v>0</v>
      </c>
      <c r="V1192" s="88">
        <f>SUMIF(月間集計シート!$M$50:$M$69,$G1192,月間集計シート!S$50:S$69)*V$2</f>
        <v>0</v>
      </c>
      <c r="W1192" s="88">
        <f>SUMIF(月間集計シート!$M$50:$M$69,$G1192,月間集計シート!T$50:T$69)*W$2</f>
        <v>0</v>
      </c>
      <c r="X1192" s="88">
        <f>SUMIF(月間集計シート!$M$71:$M$90,$G1192,月間集計シート!N$71:N$90)*X$2</f>
        <v>0</v>
      </c>
      <c r="Y1192" s="88">
        <f>SUMIF(月間集計シート!$M$71:$M$90,$G1192,月間集計シート!O$71:O$90)*Y$2</f>
        <v>0</v>
      </c>
      <c r="Z1192" s="88">
        <f>SUMIF(月間集計シート!$M$71:$M$90,$G1192,月間集計シート!P$71:P$90)*Z$2</f>
        <v>0</v>
      </c>
      <c r="AA1192" s="88">
        <f>SUMIF(月間集計シート!$M$71:$M$90,$G1192,月間集計シート!Q$71:Q$90)*AA$2</f>
        <v>0</v>
      </c>
      <c r="AB1192" s="88">
        <f>SUMIF(月間集計シート!$M$71:$M$90,$G1192,月間集計シート!R$71:R$90)*AB$2</f>
        <v>0</v>
      </c>
      <c r="AC1192" s="88">
        <f>SUMIF(月間集計シート!$M$71:$M$90,$G1192,月間集計シート!S$71:S$90)*AC$2</f>
        <v>0</v>
      </c>
      <c r="AD1192" s="88">
        <f>SUMIF(月間集計シート!$M$71:$M$90,$G1192,月間集計シート!T$71:T$90)*AD$2</f>
        <v>0</v>
      </c>
      <c r="AE1192" s="88">
        <f>SUMIF(月間集計シート!$M$92:$M$111,$G1192,月間集計シート!N$92:N$111)*AE$2</f>
        <v>0</v>
      </c>
      <c r="AF1192" s="88">
        <f>SUMIF(月間集計シート!$M$92:$M$111,$G1192,月間集計シート!O$92:O$111)*AF$2</f>
        <v>0</v>
      </c>
      <c r="AG1192" s="88">
        <f>SUMIF(月間集計シート!$M$92:$M$111,$G1192,月間集計シート!P$92:P$111)*AG$2</f>
        <v>0</v>
      </c>
      <c r="AH1192" s="88">
        <f>SUMIF(月間集計シート!$M$92:$M$111,$G1192,月間集計シート!Q$92:Q$111)*AH$2</f>
        <v>0</v>
      </c>
      <c r="AI1192" s="88">
        <f>SUMIF(月間集計シート!$M$92:$M$111,$G1192,月間集計シート!R$92:R$111)*AI$2</f>
        <v>0</v>
      </c>
      <c r="AJ1192" s="88">
        <f>SUMIF(月間集計シート!$M$92:$M$111,$G1192,月間集計シート!S$92:S$111)*AJ$2</f>
        <v>0</v>
      </c>
      <c r="AK1192" s="88">
        <f>SUMIF(月間集計シート!$M$92:$M$111,$G1192,月間集計シート!T$92:T$111)*AK$2</f>
        <v>0</v>
      </c>
      <c r="AL1192" s="88">
        <f>SUMIF(月間集計シート!$M$113:$M$132,$G1192,月間集計シート!N$113:N$132)*AL$2</f>
        <v>0</v>
      </c>
      <c r="AM1192" s="88">
        <f>SUMIF(月間集計シート!$M$113:$M$132,$G1192,月間集計シート!O$113:O$132)*AM$2</f>
        <v>0</v>
      </c>
      <c r="AN1192" s="88">
        <f>SUMIF(月間集計シート!$M$113:$M$132,$G1192,月間集計シート!P$113:P$132)*AN$2</f>
        <v>0</v>
      </c>
      <c r="AO1192" s="88">
        <f>SUMIF(月間集計シート!$M$113:$M$132,$G1192,月間集計シート!Q$113:Q$132)*AO$2</f>
        <v>0</v>
      </c>
      <c r="AP1192" s="88">
        <f>SUMIF(月間集計シート!$M$113:$M$132,$G1192,月間集計シート!R$113:R$132)*AP$2</f>
        <v>0</v>
      </c>
      <c r="AQ1192" s="88">
        <f>SUMIF(月間集計シート!$M$113:$M$132,$G1192,月間集計シート!S$113:S$132)*AQ$2</f>
        <v>0</v>
      </c>
      <c r="AR1192" s="88">
        <f>SUMIF(月間集計シート!$M$113:$M$132,$G1192,月間集計シート!T$113:T$132)*AR$2</f>
        <v>0</v>
      </c>
      <c r="AS1192" s="88">
        <f>SUMIF(月間集計シート!$M$134:$M$153,$G1192,月間集計シート!N$134:N$153)*AS$2</f>
        <v>0</v>
      </c>
      <c r="AT1192" s="88">
        <f>SUMIF(月間集計シート!$M$134:$M$153,$G1192,月間集計シート!O$134:O$153)*AT$2</f>
        <v>0</v>
      </c>
      <c r="AU1192" s="88">
        <f>SUMIF(月間集計シート!$M$134:$M$153,$G1192,月間集計シート!P$134:P$153)*AU$2</f>
        <v>0</v>
      </c>
      <c r="AV1192" s="88">
        <f>SUMIF(月間集計シート!$M$134:$M$153,$G1192,月間集計シート!Q$134:Q$153)*AV$2</f>
        <v>0</v>
      </c>
      <c r="AW1192" s="88">
        <f>SUMIF(月間集計シート!$M$134:$M$153,$G1192,月間集計シート!R$134:R$153)*AW$2</f>
        <v>0</v>
      </c>
      <c r="AX1192" s="88">
        <f>SUMIF(月間集計シート!$M$134:$M$153,$G1192,月間集計シート!S$134:S$153)*AX$2</f>
        <v>0</v>
      </c>
      <c r="AY1192" s="88">
        <f>SUMIF(月間集計シート!$M$134:$M$153,$G1192,月間集計シート!T$134:T$153)*AY$2</f>
        <v>0</v>
      </c>
    </row>
    <row r="1193" spans="1:51" ht="14.25" thickBot="1">
      <c r="A1193">
        <v>14</v>
      </c>
      <c r="B1193" s="120">
        <f t="shared" si="629"/>
        <v>0</v>
      </c>
      <c r="C1193" s="120" t="str">
        <f t="shared" si="629"/>
        <v/>
      </c>
      <c r="D1193" s="137"/>
      <c r="E1193" s="150" t="str">
        <f>工種!A80</f>
        <v>99106</v>
      </c>
      <c r="F1193" s="119" t="str">
        <f>工種!B80</f>
        <v>間接業務：研修・学習</v>
      </c>
      <c r="G1193" s="116" t="str">
        <f t="shared" si="626"/>
        <v>099106</v>
      </c>
      <c r="H1193" s="88">
        <f t="shared" si="628"/>
        <v>0</v>
      </c>
      <c r="I1193" s="132"/>
      <c r="J1193" s="88">
        <f>SUMIF(月間集計シート!$M$29:$M$48,$G1193,月間集計シート!N$29:N$48)*J$2</f>
        <v>0</v>
      </c>
      <c r="K1193" s="88">
        <f>SUMIF(月間集計シート!$M$29:$M$48,$G1193,月間集計シート!O$29:O$48)*K$2</f>
        <v>0</v>
      </c>
      <c r="L1193" s="88">
        <f>SUMIF(月間集計シート!$M$29:$M$48,$G1193,月間集計シート!P$29:P$48)*L$2</f>
        <v>0</v>
      </c>
      <c r="M1193" s="88">
        <f>SUMIF(月間集計シート!$M$29:$M$48,$G1193,月間集計シート!Q$29:Q$48)*M$2</f>
        <v>0</v>
      </c>
      <c r="N1193" s="88">
        <f>SUMIF(月間集計シート!$M$29:$M$48,$G1193,月間集計シート!R$29:R$48)*N$2</f>
        <v>0</v>
      </c>
      <c r="O1193" s="88">
        <f>SUMIF(月間集計シート!$M$29:$M$48,$G1193,月間集計シート!S$29:S$48)*O$2</f>
        <v>0</v>
      </c>
      <c r="P1193" s="88">
        <f>SUMIF(月間集計シート!$M$29:$M$48,$G1193,月間集計シート!T$29:T$48)*P$2</f>
        <v>0</v>
      </c>
      <c r="Q1193" s="88">
        <f>SUMIF(月間集計シート!$M$50:$M$69,$G1193,月間集計シート!N$50:N$69)*Q$2</f>
        <v>0</v>
      </c>
      <c r="R1193" s="88">
        <f>SUMIF(月間集計シート!$M$50:$M$69,$G1193,月間集計シート!O$50:O$69)*R$2</f>
        <v>0</v>
      </c>
      <c r="S1193" s="88">
        <f>SUMIF(月間集計シート!$M$50:$M$69,$G1193,月間集計シート!P$50:P$69)*S$2</f>
        <v>0</v>
      </c>
      <c r="T1193" s="88">
        <f>SUMIF(月間集計シート!$M$50:$M$69,$G1193,月間集計シート!Q$50:Q$69)*T$2</f>
        <v>0</v>
      </c>
      <c r="U1193" s="88">
        <f>SUMIF(月間集計シート!$M$50:$M$69,$G1193,月間集計シート!R$50:R$69)*U$2</f>
        <v>0</v>
      </c>
      <c r="V1193" s="88">
        <f>SUMIF(月間集計シート!$M$50:$M$69,$G1193,月間集計シート!S$50:S$69)*V$2</f>
        <v>0</v>
      </c>
      <c r="W1193" s="88">
        <f>SUMIF(月間集計シート!$M$50:$M$69,$G1193,月間集計シート!T$50:T$69)*W$2</f>
        <v>0</v>
      </c>
      <c r="X1193" s="88">
        <f>SUMIF(月間集計シート!$M$71:$M$90,$G1193,月間集計シート!N$71:N$90)*X$2</f>
        <v>0</v>
      </c>
      <c r="Y1193" s="88">
        <f>SUMIF(月間集計シート!$M$71:$M$90,$G1193,月間集計シート!O$71:O$90)*Y$2</f>
        <v>0</v>
      </c>
      <c r="Z1193" s="88">
        <f>SUMIF(月間集計シート!$M$71:$M$90,$G1193,月間集計シート!P$71:P$90)*Z$2</f>
        <v>0</v>
      </c>
      <c r="AA1193" s="88">
        <f>SUMIF(月間集計シート!$M$71:$M$90,$G1193,月間集計シート!Q$71:Q$90)*AA$2</f>
        <v>0</v>
      </c>
      <c r="AB1193" s="88">
        <f>SUMIF(月間集計シート!$M$71:$M$90,$G1193,月間集計シート!R$71:R$90)*AB$2</f>
        <v>0</v>
      </c>
      <c r="AC1193" s="88">
        <f>SUMIF(月間集計シート!$M$71:$M$90,$G1193,月間集計シート!S$71:S$90)*AC$2</f>
        <v>0</v>
      </c>
      <c r="AD1193" s="88">
        <f>SUMIF(月間集計シート!$M$71:$M$90,$G1193,月間集計シート!T$71:T$90)*AD$2</f>
        <v>0</v>
      </c>
      <c r="AE1193" s="88">
        <f>SUMIF(月間集計シート!$M$92:$M$111,$G1193,月間集計シート!N$92:N$111)*AE$2</f>
        <v>0</v>
      </c>
      <c r="AF1193" s="88">
        <f>SUMIF(月間集計シート!$M$92:$M$111,$G1193,月間集計シート!O$92:O$111)*AF$2</f>
        <v>0</v>
      </c>
      <c r="AG1193" s="88">
        <f>SUMIF(月間集計シート!$M$92:$M$111,$G1193,月間集計シート!P$92:P$111)*AG$2</f>
        <v>0</v>
      </c>
      <c r="AH1193" s="88">
        <f>SUMIF(月間集計シート!$M$92:$M$111,$G1193,月間集計シート!Q$92:Q$111)*AH$2</f>
        <v>0</v>
      </c>
      <c r="AI1193" s="88">
        <f>SUMIF(月間集計シート!$M$92:$M$111,$G1193,月間集計シート!R$92:R$111)*AI$2</f>
        <v>0</v>
      </c>
      <c r="AJ1193" s="88">
        <f>SUMIF(月間集計シート!$M$92:$M$111,$G1193,月間集計シート!S$92:S$111)*AJ$2</f>
        <v>0</v>
      </c>
      <c r="AK1193" s="88">
        <f>SUMIF(月間集計シート!$M$92:$M$111,$G1193,月間集計シート!T$92:T$111)*AK$2</f>
        <v>0</v>
      </c>
      <c r="AL1193" s="88">
        <f>SUMIF(月間集計シート!$M$113:$M$132,$G1193,月間集計シート!N$113:N$132)*AL$2</f>
        <v>0</v>
      </c>
      <c r="AM1193" s="88">
        <f>SUMIF(月間集計シート!$M$113:$M$132,$G1193,月間集計シート!O$113:O$132)*AM$2</f>
        <v>0</v>
      </c>
      <c r="AN1193" s="88">
        <f>SUMIF(月間集計シート!$M$113:$M$132,$G1193,月間集計シート!P$113:P$132)*AN$2</f>
        <v>0</v>
      </c>
      <c r="AO1193" s="88">
        <f>SUMIF(月間集計シート!$M$113:$M$132,$G1193,月間集計シート!Q$113:Q$132)*AO$2</f>
        <v>0</v>
      </c>
      <c r="AP1193" s="88">
        <f>SUMIF(月間集計シート!$M$113:$M$132,$G1193,月間集計シート!R$113:R$132)*AP$2</f>
        <v>0</v>
      </c>
      <c r="AQ1193" s="88">
        <f>SUMIF(月間集計シート!$M$113:$M$132,$G1193,月間集計シート!S$113:S$132)*AQ$2</f>
        <v>0</v>
      </c>
      <c r="AR1193" s="88">
        <f>SUMIF(月間集計シート!$M$113:$M$132,$G1193,月間集計シート!T$113:T$132)*AR$2</f>
        <v>0</v>
      </c>
      <c r="AS1193" s="88">
        <f>SUMIF(月間集計シート!$M$134:$M$153,$G1193,月間集計シート!N$134:N$153)*AS$2</f>
        <v>0</v>
      </c>
      <c r="AT1193" s="88">
        <f>SUMIF(月間集計シート!$M$134:$M$153,$G1193,月間集計シート!O$134:O$153)*AT$2</f>
        <v>0</v>
      </c>
      <c r="AU1193" s="88">
        <f>SUMIF(月間集計シート!$M$134:$M$153,$G1193,月間集計シート!P$134:P$153)*AU$2</f>
        <v>0</v>
      </c>
      <c r="AV1193" s="88">
        <f>SUMIF(月間集計シート!$M$134:$M$153,$G1193,月間集計シート!Q$134:Q$153)*AV$2</f>
        <v>0</v>
      </c>
      <c r="AW1193" s="88">
        <f>SUMIF(月間集計シート!$M$134:$M$153,$G1193,月間集計シート!R$134:R$153)*AW$2</f>
        <v>0</v>
      </c>
      <c r="AX1193" s="88">
        <f>SUMIF(月間集計シート!$M$134:$M$153,$G1193,月間集計シート!S$134:S$153)*AX$2</f>
        <v>0</v>
      </c>
      <c r="AY1193" s="88">
        <f>SUMIF(月間集計シート!$M$134:$M$153,$G1193,月間集計シート!T$134:T$153)*AY$2</f>
        <v>0</v>
      </c>
    </row>
    <row r="1194" spans="1:51" ht="14.25" thickBot="1">
      <c r="A1194">
        <v>14</v>
      </c>
      <c r="B1194" s="120">
        <f t="shared" si="629"/>
        <v>0</v>
      </c>
      <c r="C1194" s="120" t="str">
        <f t="shared" si="629"/>
        <v/>
      </c>
      <c r="D1194" s="137"/>
      <c r="E1194" s="150" t="str">
        <f>工種!A81</f>
        <v>99107</v>
      </c>
      <c r="F1194" s="119" t="str">
        <f>工種!B81</f>
        <v>間接業務：事務作業（開発以外）</v>
      </c>
      <c r="G1194" s="116" t="str">
        <f t="shared" ref="G1194:G1195" si="630">B1194&amp;E1194</f>
        <v>099107</v>
      </c>
      <c r="H1194" s="88">
        <f t="shared" ref="H1194:H1195" si="631">SUM(J1194:AY1194)</f>
        <v>0</v>
      </c>
      <c r="I1194" s="132"/>
      <c r="J1194" s="88">
        <f>SUMIF(月間集計シート!$M$29:$M$48,$G1194,月間集計シート!N$29:N$48)*J$2</f>
        <v>0</v>
      </c>
      <c r="K1194" s="88">
        <f>SUMIF(月間集計シート!$M$29:$M$48,$G1194,月間集計シート!O$29:O$48)*K$2</f>
        <v>0</v>
      </c>
      <c r="L1194" s="88">
        <f>SUMIF(月間集計シート!$M$29:$M$48,$G1194,月間集計シート!P$29:P$48)*L$2</f>
        <v>0</v>
      </c>
      <c r="M1194" s="88">
        <f>SUMIF(月間集計シート!$M$29:$M$48,$G1194,月間集計シート!Q$29:Q$48)*M$2</f>
        <v>0</v>
      </c>
      <c r="N1194" s="88">
        <f>SUMIF(月間集計シート!$M$29:$M$48,$G1194,月間集計シート!R$29:R$48)*N$2</f>
        <v>0</v>
      </c>
      <c r="O1194" s="88">
        <f>SUMIF(月間集計シート!$M$29:$M$48,$G1194,月間集計シート!S$29:S$48)*O$2</f>
        <v>0</v>
      </c>
      <c r="P1194" s="88">
        <f>SUMIF(月間集計シート!$M$29:$M$48,$G1194,月間集計シート!T$29:T$48)*P$2</f>
        <v>0</v>
      </c>
      <c r="Q1194" s="88">
        <f>SUMIF(月間集計シート!$M$50:$M$69,$G1194,月間集計シート!N$50:N$69)*Q$2</f>
        <v>0</v>
      </c>
      <c r="R1194" s="88">
        <f>SUMIF(月間集計シート!$M$50:$M$69,$G1194,月間集計シート!O$50:O$69)*R$2</f>
        <v>0</v>
      </c>
      <c r="S1194" s="88">
        <f>SUMIF(月間集計シート!$M$50:$M$69,$G1194,月間集計シート!P$50:P$69)*S$2</f>
        <v>0</v>
      </c>
      <c r="T1194" s="88">
        <f>SUMIF(月間集計シート!$M$50:$M$69,$G1194,月間集計シート!Q$50:Q$69)*T$2</f>
        <v>0</v>
      </c>
      <c r="U1194" s="88">
        <f>SUMIF(月間集計シート!$M$50:$M$69,$G1194,月間集計シート!R$50:R$69)*U$2</f>
        <v>0</v>
      </c>
      <c r="V1194" s="88">
        <f>SUMIF(月間集計シート!$M$50:$M$69,$G1194,月間集計シート!S$50:S$69)*V$2</f>
        <v>0</v>
      </c>
      <c r="W1194" s="88">
        <f>SUMIF(月間集計シート!$M$50:$M$69,$G1194,月間集計シート!T$50:T$69)*W$2</f>
        <v>0</v>
      </c>
      <c r="X1194" s="88">
        <f>SUMIF(月間集計シート!$M$71:$M$90,$G1194,月間集計シート!N$71:N$90)*X$2</f>
        <v>0</v>
      </c>
      <c r="Y1194" s="88">
        <f>SUMIF(月間集計シート!$M$71:$M$90,$G1194,月間集計シート!O$71:O$90)*Y$2</f>
        <v>0</v>
      </c>
      <c r="Z1194" s="88">
        <f>SUMIF(月間集計シート!$M$71:$M$90,$G1194,月間集計シート!P$71:P$90)*Z$2</f>
        <v>0</v>
      </c>
      <c r="AA1194" s="88">
        <f>SUMIF(月間集計シート!$M$71:$M$90,$G1194,月間集計シート!Q$71:Q$90)*AA$2</f>
        <v>0</v>
      </c>
      <c r="AB1194" s="88">
        <f>SUMIF(月間集計シート!$M$71:$M$90,$G1194,月間集計シート!R$71:R$90)*AB$2</f>
        <v>0</v>
      </c>
      <c r="AC1194" s="88">
        <f>SUMIF(月間集計シート!$M$71:$M$90,$G1194,月間集計シート!S$71:S$90)*AC$2</f>
        <v>0</v>
      </c>
      <c r="AD1194" s="88">
        <f>SUMIF(月間集計シート!$M$71:$M$90,$G1194,月間集計シート!T$71:T$90)*AD$2</f>
        <v>0</v>
      </c>
      <c r="AE1194" s="88">
        <f>SUMIF(月間集計シート!$M$92:$M$111,$G1194,月間集計シート!N$92:N$111)*AE$2</f>
        <v>0</v>
      </c>
      <c r="AF1194" s="88">
        <f>SUMIF(月間集計シート!$M$92:$M$111,$G1194,月間集計シート!O$92:O$111)*AF$2</f>
        <v>0</v>
      </c>
      <c r="AG1194" s="88">
        <f>SUMIF(月間集計シート!$M$92:$M$111,$G1194,月間集計シート!P$92:P$111)*AG$2</f>
        <v>0</v>
      </c>
      <c r="AH1194" s="88">
        <f>SUMIF(月間集計シート!$M$92:$M$111,$G1194,月間集計シート!Q$92:Q$111)*AH$2</f>
        <v>0</v>
      </c>
      <c r="AI1194" s="88">
        <f>SUMIF(月間集計シート!$M$92:$M$111,$G1194,月間集計シート!R$92:R$111)*AI$2</f>
        <v>0</v>
      </c>
      <c r="AJ1194" s="88">
        <f>SUMIF(月間集計シート!$M$92:$M$111,$G1194,月間集計シート!S$92:S$111)*AJ$2</f>
        <v>0</v>
      </c>
      <c r="AK1194" s="88">
        <f>SUMIF(月間集計シート!$M$92:$M$111,$G1194,月間集計シート!T$92:T$111)*AK$2</f>
        <v>0</v>
      </c>
      <c r="AL1194" s="88">
        <f>SUMIF(月間集計シート!$M$113:$M$132,$G1194,月間集計シート!N$113:N$132)*AL$2</f>
        <v>0</v>
      </c>
      <c r="AM1194" s="88">
        <f>SUMIF(月間集計シート!$M$113:$M$132,$G1194,月間集計シート!O$113:O$132)*AM$2</f>
        <v>0</v>
      </c>
      <c r="AN1194" s="88">
        <f>SUMIF(月間集計シート!$M$113:$M$132,$G1194,月間集計シート!P$113:P$132)*AN$2</f>
        <v>0</v>
      </c>
      <c r="AO1194" s="88">
        <f>SUMIF(月間集計シート!$M$113:$M$132,$G1194,月間集計シート!Q$113:Q$132)*AO$2</f>
        <v>0</v>
      </c>
      <c r="AP1194" s="88">
        <f>SUMIF(月間集計シート!$M$113:$M$132,$G1194,月間集計シート!R$113:R$132)*AP$2</f>
        <v>0</v>
      </c>
      <c r="AQ1194" s="88">
        <f>SUMIF(月間集計シート!$M$113:$M$132,$G1194,月間集計シート!S$113:S$132)*AQ$2</f>
        <v>0</v>
      </c>
      <c r="AR1194" s="88">
        <f>SUMIF(月間集計シート!$M$113:$M$132,$G1194,月間集計シート!T$113:T$132)*AR$2</f>
        <v>0</v>
      </c>
      <c r="AS1194" s="88">
        <f>SUMIF(月間集計シート!$M$134:$M$153,$G1194,月間集計シート!N$134:N$153)*AS$2</f>
        <v>0</v>
      </c>
      <c r="AT1194" s="88">
        <f>SUMIF(月間集計シート!$M$134:$M$153,$G1194,月間集計シート!O$134:O$153)*AT$2</f>
        <v>0</v>
      </c>
      <c r="AU1194" s="88">
        <f>SUMIF(月間集計シート!$M$134:$M$153,$G1194,月間集計シート!P$134:P$153)*AU$2</f>
        <v>0</v>
      </c>
      <c r="AV1194" s="88">
        <f>SUMIF(月間集計シート!$M$134:$M$153,$G1194,月間集計シート!Q$134:Q$153)*AV$2</f>
        <v>0</v>
      </c>
      <c r="AW1194" s="88">
        <f>SUMIF(月間集計シート!$M$134:$M$153,$G1194,月間集計シート!R$134:R$153)*AW$2</f>
        <v>0</v>
      </c>
      <c r="AX1194" s="88">
        <f>SUMIF(月間集計シート!$M$134:$M$153,$G1194,月間集計シート!S$134:S$153)*AX$2</f>
        <v>0</v>
      </c>
      <c r="AY1194" s="88">
        <f>SUMIF(月間集計シート!$M$134:$M$153,$G1194,月間集計シート!T$134:T$153)*AY$2</f>
        <v>0</v>
      </c>
    </row>
    <row r="1195" spans="1:51" ht="14.25" thickBot="1">
      <c r="A1195">
        <v>14</v>
      </c>
      <c r="B1195" s="120">
        <f t="shared" si="629"/>
        <v>0</v>
      </c>
      <c r="C1195" s="120" t="str">
        <f t="shared" si="629"/>
        <v/>
      </c>
      <c r="D1195" s="137"/>
      <c r="E1195" s="150" t="str">
        <f>工種!A82</f>
        <v>99110</v>
      </c>
      <c r="F1195" s="119" t="str">
        <f>工種!B82</f>
        <v>間接業務：打合せ</v>
      </c>
      <c r="G1195" s="116" t="str">
        <f t="shared" si="630"/>
        <v>099110</v>
      </c>
      <c r="H1195" s="88">
        <f t="shared" si="631"/>
        <v>0</v>
      </c>
      <c r="I1195" s="132"/>
      <c r="J1195" s="88">
        <f>SUMIF(月間集計シート!$M$29:$M$48,$G1195,月間集計シート!N$29:N$48)*J$2</f>
        <v>0</v>
      </c>
      <c r="K1195" s="88">
        <f>SUMIF(月間集計シート!$M$29:$M$48,$G1195,月間集計シート!O$29:O$48)*K$2</f>
        <v>0</v>
      </c>
      <c r="L1195" s="88">
        <f>SUMIF(月間集計シート!$M$29:$M$48,$G1195,月間集計シート!P$29:P$48)*L$2</f>
        <v>0</v>
      </c>
      <c r="M1195" s="88">
        <f>SUMIF(月間集計シート!$M$29:$M$48,$G1195,月間集計シート!Q$29:Q$48)*M$2</f>
        <v>0</v>
      </c>
      <c r="N1195" s="88">
        <f>SUMIF(月間集計シート!$M$29:$M$48,$G1195,月間集計シート!R$29:R$48)*N$2</f>
        <v>0</v>
      </c>
      <c r="O1195" s="88">
        <f>SUMIF(月間集計シート!$M$29:$M$48,$G1195,月間集計シート!S$29:S$48)*O$2</f>
        <v>0</v>
      </c>
      <c r="P1195" s="88">
        <f>SUMIF(月間集計シート!$M$29:$M$48,$G1195,月間集計シート!T$29:T$48)*P$2</f>
        <v>0</v>
      </c>
      <c r="Q1195" s="88">
        <f>SUMIF(月間集計シート!$M$50:$M$69,$G1195,月間集計シート!N$50:N$69)*Q$2</f>
        <v>0</v>
      </c>
      <c r="R1195" s="88">
        <f>SUMIF(月間集計シート!$M$50:$M$69,$G1195,月間集計シート!O$50:O$69)*R$2</f>
        <v>0</v>
      </c>
      <c r="S1195" s="88">
        <f>SUMIF(月間集計シート!$M$50:$M$69,$G1195,月間集計シート!P$50:P$69)*S$2</f>
        <v>0</v>
      </c>
      <c r="T1195" s="88">
        <f>SUMIF(月間集計シート!$M$50:$M$69,$G1195,月間集計シート!Q$50:Q$69)*T$2</f>
        <v>0</v>
      </c>
      <c r="U1195" s="88">
        <f>SUMIF(月間集計シート!$M$50:$M$69,$G1195,月間集計シート!R$50:R$69)*U$2</f>
        <v>0</v>
      </c>
      <c r="V1195" s="88">
        <f>SUMIF(月間集計シート!$M$50:$M$69,$G1195,月間集計シート!S$50:S$69)*V$2</f>
        <v>0</v>
      </c>
      <c r="W1195" s="88">
        <f>SUMIF(月間集計シート!$M$50:$M$69,$G1195,月間集計シート!T$50:T$69)*W$2</f>
        <v>0</v>
      </c>
      <c r="X1195" s="88">
        <f>SUMIF(月間集計シート!$M$71:$M$90,$G1195,月間集計シート!N$71:N$90)*X$2</f>
        <v>0</v>
      </c>
      <c r="Y1195" s="88">
        <f>SUMIF(月間集計シート!$M$71:$M$90,$G1195,月間集計シート!O$71:O$90)*Y$2</f>
        <v>0</v>
      </c>
      <c r="Z1195" s="88">
        <f>SUMIF(月間集計シート!$M$71:$M$90,$G1195,月間集計シート!P$71:P$90)*Z$2</f>
        <v>0</v>
      </c>
      <c r="AA1195" s="88">
        <f>SUMIF(月間集計シート!$M$71:$M$90,$G1195,月間集計シート!Q$71:Q$90)*AA$2</f>
        <v>0</v>
      </c>
      <c r="AB1195" s="88">
        <f>SUMIF(月間集計シート!$M$71:$M$90,$G1195,月間集計シート!R$71:R$90)*AB$2</f>
        <v>0</v>
      </c>
      <c r="AC1195" s="88">
        <f>SUMIF(月間集計シート!$M$71:$M$90,$G1195,月間集計シート!S$71:S$90)*AC$2</f>
        <v>0</v>
      </c>
      <c r="AD1195" s="88">
        <f>SUMIF(月間集計シート!$M$71:$M$90,$G1195,月間集計シート!T$71:T$90)*AD$2</f>
        <v>0</v>
      </c>
      <c r="AE1195" s="88">
        <f>SUMIF(月間集計シート!$M$92:$M$111,$G1195,月間集計シート!N$92:N$111)*AE$2</f>
        <v>0</v>
      </c>
      <c r="AF1195" s="88">
        <f>SUMIF(月間集計シート!$M$92:$M$111,$G1195,月間集計シート!O$92:O$111)*AF$2</f>
        <v>0</v>
      </c>
      <c r="AG1195" s="88">
        <f>SUMIF(月間集計シート!$M$92:$M$111,$G1195,月間集計シート!P$92:P$111)*AG$2</f>
        <v>0</v>
      </c>
      <c r="AH1195" s="88">
        <f>SUMIF(月間集計シート!$M$92:$M$111,$G1195,月間集計シート!Q$92:Q$111)*AH$2</f>
        <v>0</v>
      </c>
      <c r="AI1195" s="88">
        <f>SUMIF(月間集計シート!$M$92:$M$111,$G1195,月間集計シート!R$92:R$111)*AI$2</f>
        <v>0</v>
      </c>
      <c r="AJ1195" s="88">
        <f>SUMIF(月間集計シート!$M$92:$M$111,$G1195,月間集計シート!S$92:S$111)*AJ$2</f>
        <v>0</v>
      </c>
      <c r="AK1195" s="88">
        <f>SUMIF(月間集計シート!$M$92:$M$111,$G1195,月間集計シート!T$92:T$111)*AK$2</f>
        <v>0</v>
      </c>
      <c r="AL1195" s="88">
        <f>SUMIF(月間集計シート!$M$113:$M$132,$G1195,月間集計シート!N$113:N$132)*AL$2</f>
        <v>0</v>
      </c>
      <c r="AM1195" s="88">
        <f>SUMIF(月間集計シート!$M$113:$M$132,$G1195,月間集計シート!O$113:O$132)*AM$2</f>
        <v>0</v>
      </c>
      <c r="AN1195" s="88">
        <f>SUMIF(月間集計シート!$M$113:$M$132,$G1195,月間集計シート!P$113:P$132)*AN$2</f>
        <v>0</v>
      </c>
      <c r="AO1195" s="88">
        <f>SUMIF(月間集計シート!$M$113:$M$132,$G1195,月間集計シート!Q$113:Q$132)*AO$2</f>
        <v>0</v>
      </c>
      <c r="AP1195" s="88">
        <f>SUMIF(月間集計シート!$M$113:$M$132,$G1195,月間集計シート!R$113:R$132)*AP$2</f>
        <v>0</v>
      </c>
      <c r="AQ1195" s="88">
        <f>SUMIF(月間集計シート!$M$113:$M$132,$G1195,月間集計シート!S$113:S$132)*AQ$2</f>
        <v>0</v>
      </c>
      <c r="AR1195" s="88">
        <f>SUMIF(月間集計シート!$M$113:$M$132,$G1195,月間集計シート!T$113:T$132)*AR$2</f>
        <v>0</v>
      </c>
      <c r="AS1195" s="88">
        <f>SUMIF(月間集計シート!$M$134:$M$153,$G1195,月間集計シート!N$134:N$153)*AS$2</f>
        <v>0</v>
      </c>
      <c r="AT1195" s="88">
        <f>SUMIF(月間集計シート!$M$134:$M$153,$G1195,月間集計シート!O$134:O$153)*AT$2</f>
        <v>0</v>
      </c>
      <c r="AU1195" s="88">
        <f>SUMIF(月間集計シート!$M$134:$M$153,$G1195,月間集計シート!P$134:P$153)*AU$2</f>
        <v>0</v>
      </c>
      <c r="AV1195" s="88">
        <f>SUMIF(月間集計シート!$M$134:$M$153,$G1195,月間集計シート!Q$134:Q$153)*AV$2</f>
        <v>0</v>
      </c>
      <c r="AW1195" s="88">
        <f>SUMIF(月間集計シート!$M$134:$M$153,$G1195,月間集計シート!R$134:R$153)*AW$2</f>
        <v>0</v>
      </c>
      <c r="AX1195" s="88">
        <f>SUMIF(月間集計シート!$M$134:$M$153,$G1195,月間集計シート!S$134:S$153)*AX$2</f>
        <v>0</v>
      </c>
      <c r="AY1195" s="88">
        <f>SUMIF(月間集計シート!$M$134:$M$153,$G1195,月間集計シート!T$134:T$153)*AY$2</f>
        <v>0</v>
      </c>
    </row>
    <row r="1196" spans="1:51" ht="14.25" thickBot="1">
      <c r="A1196">
        <v>14</v>
      </c>
      <c r="B1196" s="120">
        <f t="shared" si="629"/>
        <v>0</v>
      </c>
      <c r="C1196" s="120" t="str">
        <f t="shared" si="629"/>
        <v/>
      </c>
      <c r="D1196" s="137"/>
      <c r="E1196" s="150" t="str">
        <f>工種!A83</f>
        <v>99199</v>
      </c>
      <c r="F1196" s="119" t="str">
        <f>工種!B83</f>
        <v>間接業務：その他</v>
      </c>
      <c r="G1196" s="116" t="str">
        <f t="shared" si="625"/>
        <v>099199</v>
      </c>
      <c r="H1196" s="88">
        <f t="shared" si="579"/>
        <v>0</v>
      </c>
      <c r="I1196" s="132"/>
      <c r="J1196" s="88">
        <f>SUMIF(月間集計シート!$M$29:$M$48,$G1196,月間集計シート!N$29:N$48)*J$2</f>
        <v>0</v>
      </c>
      <c r="K1196" s="88">
        <f>SUMIF(月間集計シート!$M$29:$M$48,$G1196,月間集計シート!O$29:O$48)*K$2</f>
        <v>0</v>
      </c>
      <c r="L1196" s="88">
        <f>SUMIF(月間集計シート!$M$29:$M$48,$G1196,月間集計シート!P$29:P$48)*L$2</f>
        <v>0</v>
      </c>
      <c r="M1196" s="88">
        <f>SUMIF(月間集計シート!$M$29:$M$48,$G1196,月間集計シート!Q$29:Q$48)*M$2</f>
        <v>0</v>
      </c>
      <c r="N1196" s="88">
        <f>SUMIF(月間集計シート!$M$29:$M$48,$G1196,月間集計シート!R$29:R$48)*N$2</f>
        <v>0</v>
      </c>
      <c r="O1196" s="88">
        <f>SUMIF(月間集計シート!$M$29:$M$48,$G1196,月間集計シート!S$29:S$48)*O$2</f>
        <v>0</v>
      </c>
      <c r="P1196" s="88">
        <f>SUMIF(月間集計シート!$M$29:$M$48,$G1196,月間集計シート!T$29:T$48)*P$2</f>
        <v>0</v>
      </c>
      <c r="Q1196" s="88">
        <f>SUMIF(月間集計シート!$M$50:$M$69,$G1196,月間集計シート!N$50:N$69)*Q$2</f>
        <v>0</v>
      </c>
      <c r="R1196" s="88">
        <f>SUMIF(月間集計シート!$M$50:$M$69,$G1196,月間集計シート!O$50:O$69)*R$2</f>
        <v>0</v>
      </c>
      <c r="S1196" s="88">
        <f>SUMIF(月間集計シート!$M$50:$M$69,$G1196,月間集計シート!P$50:P$69)*S$2</f>
        <v>0</v>
      </c>
      <c r="T1196" s="88">
        <f>SUMIF(月間集計シート!$M$50:$M$69,$G1196,月間集計シート!Q$50:Q$69)*T$2</f>
        <v>0</v>
      </c>
      <c r="U1196" s="88">
        <f>SUMIF(月間集計シート!$M$50:$M$69,$G1196,月間集計シート!R$50:R$69)*U$2</f>
        <v>0</v>
      </c>
      <c r="V1196" s="88">
        <f>SUMIF(月間集計シート!$M$50:$M$69,$G1196,月間集計シート!S$50:S$69)*V$2</f>
        <v>0</v>
      </c>
      <c r="W1196" s="88">
        <f>SUMIF(月間集計シート!$M$50:$M$69,$G1196,月間集計シート!T$50:T$69)*W$2</f>
        <v>0</v>
      </c>
      <c r="X1196" s="88">
        <f>SUMIF(月間集計シート!$M$71:$M$90,$G1196,月間集計シート!N$71:N$90)*X$2</f>
        <v>0</v>
      </c>
      <c r="Y1196" s="88">
        <f>SUMIF(月間集計シート!$M$71:$M$90,$G1196,月間集計シート!O$71:O$90)*Y$2</f>
        <v>0</v>
      </c>
      <c r="Z1196" s="88">
        <f>SUMIF(月間集計シート!$M$71:$M$90,$G1196,月間集計シート!P$71:P$90)*Z$2</f>
        <v>0</v>
      </c>
      <c r="AA1196" s="88">
        <f>SUMIF(月間集計シート!$M$71:$M$90,$G1196,月間集計シート!Q$71:Q$90)*AA$2</f>
        <v>0</v>
      </c>
      <c r="AB1196" s="88">
        <f>SUMIF(月間集計シート!$M$71:$M$90,$G1196,月間集計シート!R$71:R$90)*AB$2</f>
        <v>0</v>
      </c>
      <c r="AC1196" s="88">
        <f>SUMIF(月間集計シート!$M$71:$M$90,$G1196,月間集計シート!S$71:S$90)*AC$2</f>
        <v>0</v>
      </c>
      <c r="AD1196" s="88">
        <f>SUMIF(月間集計シート!$M$71:$M$90,$G1196,月間集計シート!T$71:T$90)*AD$2</f>
        <v>0</v>
      </c>
      <c r="AE1196" s="88">
        <f>SUMIF(月間集計シート!$M$92:$M$111,$G1196,月間集計シート!N$92:N$111)*AE$2</f>
        <v>0</v>
      </c>
      <c r="AF1196" s="88">
        <f>SUMIF(月間集計シート!$M$92:$M$111,$G1196,月間集計シート!O$92:O$111)*AF$2</f>
        <v>0</v>
      </c>
      <c r="AG1196" s="88">
        <f>SUMIF(月間集計シート!$M$92:$M$111,$G1196,月間集計シート!P$92:P$111)*AG$2</f>
        <v>0</v>
      </c>
      <c r="AH1196" s="88">
        <f>SUMIF(月間集計シート!$M$92:$M$111,$G1196,月間集計シート!Q$92:Q$111)*AH$2</f>
        <v>0</v>
      </c>
      <c r="AI1196" s="88">
        <f>SUMIF(月間集計シート!$M$92:$M$111,$G1196,月間集計シート!R$92:R$111)*AI$2</f>
        <v>0</v>
      </c>
      <c r="AJ1196" s="88">
        <f>SUMIF(月間集計シート!$M$92:$M$111,$G1196,月間集計シート!S$92:S$111)*AJ$2</f>
        <v>0</v>
      </c>
      <c r="AK1196" s="88">
        <f>SUMIF(月間集計シート!$M$92:$M$111,$G1196,月間集計シート!T$92:T$111)*AK$2</f>
        <v>0</v>
      </c>
      <c r="AL1196" s="88">
        <f>SUMIF(月間集計シート!$M$113:$M$132,$G1196,月間集計シート!N$113:N$132)*AL$2</f>
        <v>0</v>
      </c>
      <c r="AM1196" s="88">
        <f>SUMIF(月間集計シート!$M$113:$M$132,$G1196,月間集計シート!O$113:O$132)*AM$2</f>
        <v>0</v>
      </c>
      <c r="AN1196" s="88">
        <f>SUMIF(月間集計シート!$M$113:$M$132,$G1196,月間集計シート!P$113:P$132)*AN$2</f>
        <v>0</v>
      </c>
      <c r="AO1196" s="88">
        <f>SUMIF(月間集計シート!$M$113:$M$132,$G1196,月間集計シート!Q$113:Q$132)*AO$2</f>
        <v>0</v>
      </c>
      <c r="AP1196" s="88">
        <f>SUMIF(月間集計シート!$M$113:$M$132,$G1196,月間集計シート!R$113:R$132)*AP$2</f>
        <v>0</v>
      </c>
      <c r="AQ1196" s="88">
        <f>SUMIF(月間集計シート!$M$113:$M$132,$G1196,月間集計シート!S$113:S$132)*AQ$2</f>
        <v>0</v>
      </c>
      <c r="AR1196" s="88">
        <f>SUMIF(月間集計シート!$M$113:$M$132,$G1196,月間集計シート!T$113:T$132)*AR$2</f>
        <v>0</v>
      </c>
      <c r="AS1196" s="88">
        <f>SUMIF(月間集計シート!$M$134:$M$153,$G1196,月間集計シート!N$134:N$153)*AS$2</f>
        <v>0</v>
      </c>
      <c r="AT1196" s="88">
        <f>SUMIF(月間集計シート!$M$134:$M$153,$G1196,月間集計シート!O$134:O$153)*AT$2</f>
        <v>0</v>
      </c>
      <c r="AU1196" s="88">
        <f>SUMIF(月間集計シート!$M$134:$M$153,$G1196,月間集計シート!P$134:P$153)*AU$2</f>
        <v>0</v>
      </c>
      <c r="AV1196" s="88">
        <f>SUMIF(月間集計シート!$M$134:$M$153,$G1196,月間集計シート!Q$134:Q$153)*AV$2</f>
        <v>0</v>
      </c>
      <c r="AW1196" s="88">
        <f>SUMIF(月間集計シート!$M$134:$M$153,$G1196,月間集計シート!R$134:R$153)*AW$2</f>
        <v>0</v>
      </c>
      <c r="AX1196" s="88">
        <f>SUMIF(月間集計シート!$M$134:$M$153,$G1196,月間集計シート!S$134:S$153)*AX$2</f>
        <v>0</v>
      </c>
      <c r="AY1196" s="88">
        <f>SUMIF(月間集計シート!$M$134:$M$153,$G1196,月間集計シート!T$134:T$153)*AY$2</f>
        <v>0</v>
      </c>
    </row>
    <row r="1197" spans="1:51">
      <c r="B1197" s="120"/>
      <c r="C1197" s="120"/>
      <c r="D1197" s="127"/>
      <c r="E1197" s="115"/>
      <c r="F1197" s="119"/>
      <c r="G1197" s="116"/>
      <c r="H1197" s="88"/>
      <c r="I1197" s="132"/>
      <c r="J1197" s="88"/>
      <c r="K1197" s="88"/>
      <c r="L1197" s="88"/>
      <c r="M1197" s="88"/>
      <c r="N1197" s="88"/>
      <c r="O1197" s="88"/>
      <c r="P1197" s="88"/>
      <c r="Q1197" s="88"/>
      <c r="R1197" s="88"/>
      <c r="S1197" s="88"/>
      <c r="T1197" s="88"/>
      <c r="U1197" s="88"/>
      <c r="V1197" s="88"/>
      <c r="W1197" s="88"/>
      <c r="X1197" s="88"/>
      <c r="Y1197" s="88"/>
      <c r="Z1197" s="88"/>
      <c r="AA1197" s="88"/>
      <c r="AB1197" s="88"/>
      <c r="AC1197" s="88"/>
      <c r="AD1197" s="88"/>
      <c r="AE1197" s="88"/>
      <c r="AF1197" s="88"/>
      <c r="AG1197" s="88"/>
      <c r="AH1197" s="88"/>
      <c r="AI1197" s="88"/>
      <c r="AJ1197" s="88"/>
      <c r="AK1197" s="88"/>
      <c r="AL1197" s="88"/>
      <c r="AM1197" s="88"/>
      <c r="AN1197" s="88"/>
      <c r="AO1197" s="88"/>
      <c r="AP1197" s="88"/>
      <c r="AQ1197" s="88"/>
      <c r="AR1197" s="88"/>
      <c r="AS1197" s="88"/>
      <c r="AT1197" s="88"/>
      <c r="AU1197" s="88"/>
      <c r="AV1197" s="88"/>
      <c r="AW1197" s="88"/>
      <c r="AX1197" s="88"/>
      <c r="AY1197" s="88"/>
    </row>
    <row r="1198" spans="1:51" ht="14.25" thickBot="1">
      <c r="A1198">
        <v>15</v>
      </c>
      <c r="B1198">
        <f>月間集計シート!I18</f>
        <v>0</v>
      </c>
      <c r="C1198" s="116" t="str">
        <f>月間集計シート!J18</f>
        <v/>
      </c>
      <c r="D1198" s="147">
        <v>1</v>
      </c>
      <c r="E1198" s="115" t="s">
        <v>451</v>
      </c>
      <c r="F1198" s="119" t="s">
        <v>29</v>
      </c>
      <c r="G1198" s="116"/>
      <c r="H1198" s="88">
        <f t="shared" si="579"/>
        <v>0</v>
      </c>
      <c r="I1198" s="132"/>
      <c r="J1198" s="88">
        <f>SUM(J1200:J1281)</f>
        <v>0</v>
      </c>
      <c r="K1198" s="88">
        <f t="shared" ref="K1198:AY1198" si="632">SUM(K1200:K1281)</f>
        <v>0</v>
      </c>
      <c r="L1198" s="88">
        <f t="shared" si="632"/>
        <v>0</v>
      </c>
      <c r="M1198" s="88">
        <f t="shared" si="632"/>
        <v>0</v>
      </c>
      <c r="N1198" s="88">
        <f t="shared" si="632"/>
        <v>0</v>
      </c>
      <c r="O1198" s="88">
        <f t="shared" si="632"/>
        <v>0</v>
      </c>
      <c r="P1198" s="88">
        <f t="shared" si="632"/>
        <v>0</v>
      </c>
      <c r="Q1198" s="88">
        <f t="shared" si="632"/>
        <v>0</v>
      </c>
      <c r="R1198" s="88">
        <f t="shared" si="632"/>
        <v>0</v>
      </c>
      <c r="S1198" s="88">
        <f t="shared" si="632"/>
        <v>0</v>
      </c>
      <c r="T1198" s="88">
        <f t="shared" si="632"/>
        <v>0</v>
      </c>
      <c r="U1198" s="88">
        <f t="shared" si="632"/>
        <v>0</v>
      </c>
      <c r="V1198" s="88">
        <f t="shared" si="632"/>
        <v>0</v>
      </c>
      <c r="W1198" s="88">
        <f t="shared" si="632"/>
        <v>0</v>
      </c>
      <c r="X1198" s="88">
        <f t="shared" si="632"/>
        <v>0</v>
      </c>
      <c r="Y1198" s="88">
        <f t="shared" si="632"/>
        <v>0</v>
      </c>
      <c r="Z1198" s="88">
        <f t="shared" si="632"/>
        <v>0</v>
      </c>
      <c r="AA1198" s="88">
        <f t="shared" si="632"/>
        <v>0</v>
      </c>
      <c r="AB1198" s="88">
        <f t="shared" si="632"/>
        <v>0</v>
      </c>
      <c r="AC1198" s="88">
        <f t="shared" si="632"/>
        <v>0</v>
      </c>
      <c r="AD1198" s="88">
        <f t="shared" si="632"/>
        <v>0</v>
      </c>
      <c r="AE1198" s="88">
        <f t="shared" si="632"/>
        <v>0</v>
      </c>
      <c r="AF1198" s="88">
        <f t="shared" si="632"/>
        <v>0</v>
      </c>
      <c r="AG1198" s="88">
        <f t="shared" si="632"/>
        <v>0</v>
      </c>
      <c r="AH1198" s="88">
        <f t="shared" si="632"/>
        <v>0</v>
      </c>
      <c r="AI1198" s="88">
        <f t="shared" si="632"/>
        <v>0</v>
      </c>
      <c r="AJ1198" s="88">
        <f t="shared" si="632"/>
        <v>0</v>
      </c>
      <c r="AK1198" s="88">
        <f t="shared" si="632"/>
        <v>0</v>
      </c>
      <c r="AL1198" s="88">
        <f t="shared" si="632"/>
        <v>0</v>
      </c>
      <c r="AM1198" s="88">
        <f t="shared" si="632"/>
        <v>0</v>
      </c>
      <c r="AN1198" s="88">
        <f t="shared" si="632"/>
        <v>0</v>
      </c>
      <c r="AO1198" s="88">
        <f t="shared" si="632"/>
        <v>0</v>
      </c>
      <c r="AP1198" s="88">
        <f t="shared" si="632"/>
        <v>0</v>
      </c>
      <c r="AQ1198" s="88">
        <f t="shared" si="632"/>
        <v>0</v>
      </c>
      <c r="AR1198" s="88">
        <f t="shared" si="632"/>
        <v>0</v>
      </c>
      <c r="AS1198" s="88">
        <f t="shared" si="632"/>
        <v>0</v>
      </c>
      <c r="AT1198" s="88">
        <f t="shared" si="632"/>
        <v>0</v>
      </c>
      <c r="AU1198" s="88">
        <f t="shared" si="632"/>
        <v>0</v>
      </c>
      <c r="AV1198" s="88">
        <f t="shared" si="632"/>
        <v>0</v>
      </c>
      <c r="AW1198" s="88">
        <f t="shared" si="632"/>
        <v>0</v>
      </c>
      <c r="AX1198" s="88">
        <f t="shared" si="632"/>
        <v>0</v>
      </c>
      <c r="AY1198" s="88">
        <f t="shared" si="632"/>
        <v>0</v>
      </c>
    </row>
    <row r="1199" spans="1:51" ht="14.25" customHeight="1" thickBot="1">
      <c r="A1199">
        <v>15</v>
      </c>
      <c r="B1199">
        <f>B1198</f>
        <v>0</v>
      </c>
      <c r="C1199" s="116" t="str">
        <f>C1198</f>
        <v/>
      </c>
      <c r="D1199" s="147">
        <v>1</v>
      </c>
      <c r="E1199" s="115" t="s">
        <v>453</v>
      </c>
      <c r="F1199" s="119" t="s">
        <v>454</v>
      </c>
      <c r="G1199" s="116"/>
      <c r="H1199" s="129">
        <f t="shared" ref="H1199" si="633">SUM(J1199:AY1199)</f>
        <v>0</v>
      </c>
      <c r="I1199" s="132"/>
      <c r="J1199" s="88">
        <f>SUMIF($D1200:$D1281,1,J1200:J1281)</f>
        <v>0</v>
      </c>
      <c r="K1199" s="88">
        <f t="shared" ref="K1199" si="634">SUMIF($D1200:$D1281,1,K1200:K1281)</f>
        <v>0</v>
      </c>
      <c r="L1199" s="88">
        <f t="shared" ref="L1199" si="635">SUMIF($D1200:$D1281,1,L1200:L1281)</f>
        <v>0</v>
      </c>
      <c r="M1199" s="88">
        <f t="shared" ref="M1199" si="636">SUMIF($D1200:$D1281,1,M1200:M1281)</f>
        <v>0</v>
      </c>
      <c r="N1199" s="88">
        <f t="shared" ref="N1199" si="637">SUMIF($D1200:$D1281,1,N1200:N1281)</f>
        <v>0</v>
      </c>
      <c r="O1199" s="88">
        <f t="shared" ref="O1199" si="638">SUMIF($D1200:$D1281,1,O1200:O1281)</f>
        <v>0</v>
      </c>
      <c r="P1199" s="88">
        <f t="shared" ref="P1199" si="639">SUMIF($D1200:$D1281,1,P1200:P1281)</f>
        <v>0</v>
      </c>
      <c r="Q1199" s="88">
        <f t="shared" ref="Q1199" si="640">SUMIF($D1200:$D1281,1,Q1200:Q1281)</f>
        <v>0</v>
      </c>
      <c r="R1199" s="88">
        <f t="shared" ref="R1199" si="641">SUMIF($D1200:$D1281,1,R1200:R1281)</f>
        <v>0</v>
      </c>
      <c r="S1199" s="88">
        <f t="shared" ref="S1199" si="642">SUMIF($D1200:$D1281,1,S1200:S1281)</f>
        <v>0</v>
      </c>
      <c r="T1199" s="88">
        <f t="shared" ref="T1199" si="643">SUMIF($D1200:$D1281,1,T1200:T1281)</f>
        <v>0</v>
      </c>
      <c r="U1199" s="88">
        <f t="shared" ref="U1199" si="644">SUMIF($D1200:$D1281,1,U1200:U1281)</f>
        <v>0</v>
      </c>
      <c r="V1199" s="88">
        <f t="shared" ref="V1199" si="645">SUMIF($D1200:$D1281,1,V1200:V1281)</f>
        <v>0</v>
      </c>
      <c r="W1199" s="88">
        <f t="shared" ref="W1199" si="646">SUMIF($D1200:$D1281,1,W1200:W1281)</f>
        <v>0</v>
      </c>
      <c r="X1199" s="88">
        <f t="shared" ref="X1199" si="647">SUMIF($D1200:$D1281,1,X1200:X1281)</f>
        <v>0</v>
      </c>
      <c r="Y1199" s="88">
        <f t="shared" ref="Y1199" si="648">SUMIF($D1200:$D1281,1,Y1200:Y1281)</f>
        <v>0</v>
      </c>
      <c r="Z1199" s="88">
        <f t="shared" ref="Z1199" si="649">SUMIF($D1200:$D1281,1,Z1200:Z1281)</f>
        <v>0</v>
      </c>
      <c r="AA1199" s="88">
        <f t="shared" ref="AA1199" si="650">SUMIF($D1200:$D1281,1,AA1200:AA1281)</f>
        <v>0</v>
      </c>
      <c r="AB1199" s="88">
        <f t="shared" ref="AB1199" si="651">SUMIF($D1200:$D1281,1,AB1200:AB1281)</f>
        <v>0</v>
      </c>
      <c r="AC1199" s="88">
        <f t="shared" ref="AC1199" si="652">SUMIF($D1200:$D1281,1,AC1200:AC1281)</f>
        <v>0</v>
      </c>
      <c r="AD1199" s="88">
        <f t="shared" ref="AD1199" si="653">SUMIF($D1200:$D1281,1,AD1200:AD1281)</f>
        <v>0</v>
      </c>
      <c r="AE1199" s="88">
        <f t="shared" ref="AE1199" si="654">SUMIF($D1200:$D1281,1,AE1200:AE1281)</f>
        <v>0</v>
      </c>
      <c r="AF1199" s="88">
        <f t="shared" ref="AF1199" si="655">SUMIF($D1200:$D1281,1,AF1200:AF1281)</f>
        <v>0</v>
      </c>
      <c r="AG1199" s="88">
        <f t="shared" ref="AG1199" si="656">SUMIF($D1200:$D1281,1,AG1200:AG1281)</f>
        <v>0</v>
      </c>
      <c r="AH1199" s="88">
        <f t="shared" ref="AH1199" si="657">SUMIF($D1200:$D1281,1,AH1200:AH1281)</f>
        <v>0</v>
      </c>
      <c r="AI1199" s="88">
        <f t="shared" ref="AI1199" si="658">SUMIF($D1200:$D1281,1,AI1200:AI1281)</f>
        <v>0</v>
      </c>
      <c r="AJ1199" s="88">
        <f t="shared" ref="AJ1199" si="659">SUMIF($D1200:$D1281,1,AJ1200:AJ1281)</f>
        <v>0</v>
      </c>
      <c r="AK1199" s="88">
        <f t="shared" ref="AK1199" si="660">SUMIF($D1200:$D1281,1,AK1200:AK1281)</f>
        <v>0</v>
      </c>
      <c r="AL1199" s="88">
        <f t="shared" ref="AL1199" si="661">SUMIF($D1200:$D1281,1,AL1200:AL1281)</f>
        <v>0</v>
      </c>
      <c r="AM1199" s="88">
        <f t="shared" ref="AM1199" si="662">SUMIF($D1200:$D1281,1,AM1200:AM1281)</f>
        <v>0</v>
      </c>
      <c r="AN1199" s="88">
        <f t="shared" ref="AN1199" si="663">SUMIF($D1200:$D1281,1,AN1200:AN1281)</f>
        <v>0</v>
      </c>
      <c r="AO1199" s="88">
        <f t="shared" ref="AO1199" si="664">SUMIF($D1200:$D1281,1,AO1200:AO1281)</f>
        <v>0</v>
      </c>
      <c r="AP1199" s="88">
        <f t="shared" ref="AP1199" si="665">SUMIF($D1200:$D1281,1,AP1200:AP1281)</f>
        <v>0</v>
      </c>
      <c r="AQ1199" s="88">
        <f t="shared" ref="AQ1199" si="666">SUMIF($D1200:$D1281,1,AQ1200:AQ1281)</f>
        <v>0</v>
      </c>
      <c r="AR1199" s="88">
        <f t="shared" ref="AR1199" si="667">SUMIF($D1200:$D1281,1,AR1200:AR1281)</f>
        <v>0</v>
      </c>
      <c r="AS1199" s="88">
        <f t="shared" ref="AS1199" si="668">SUMIF($D1200:$D1281,1,AS1200:AS1281)</f>
        <v>0</v>
      </c>
      <c r="AT1199" s="88">
        <f t="shared" ref="AT1199" si="669">SUMIF($D1200:$D1281,1,AT1200:AT1281)</f>
        <v>0</v>
      </c>
      <c r="AU1199" s="88">
        <f t="shared" ref="AU1199" si="670">SUMIF($D1200:$D1281,1,AU1200:AU1281)</f>
        <v>0</v>
      </c>
      <c r="AV1199" s="88">
        <f t="shared" ref="AV1199" si="671">SUMIF($D1200:$D1281,1,AV1200:AV1281)</f>
        <v>0</v>
      </c>
      <c r="AW1199" s="88">
        <f t="shared" ref="AW1199" si="672">SUMIF($D1200:$D1281,1,AW1200:AW1281)</f>
        <v>0</v>
      </c>
      <c r="AX1199" s="88">
        <f t="shared" ref="AX1199" si="673">SUMIF($D1200:$D1281,1,AX1200:AX1281)</f>
        <v>0</v>
      </c>
      <c r="AY1199" s="88">
        <f t="shared" ref="AY1199" si="674">SUMIF($D1200:$D1281,1,AY1200:AY1281)</f>
        <v>0</v>
      </c>
    </row>
    <row r="1200" spans="1:51" ht="14.25" thickBot="1">
      <c r="A1200">
        <v>15</v>
      </c>
      <c r="B1200" s="120">
        <f>B1198</f>
        <v>0</v>
      </c>
      <c r="C1200" s="120" t="str">
        <f>C1198</f>
        <v/>
      </c>
      <c r="D1200" s="137"/>
      <c r="E1200" s="150" t="str">
        <f>工種!A2</f>
        <v>10102</v>
      </c>
      <c r="F1200" s="119" t="str">
        <f>工種!B2</f>
        <v>SRS：調査・分析・開発計画の準備・実施作業</v>
      </c>
      <c r="G1200" s="116" t="str">
        <f t="shared" si="625"/>
        <v>010102</v>
      </c>
      <c r="H1200" s="88">
        <f t="shared" ref="H1200:H1281" si="675">SUM(J1200:AY1200)</f>
        <v>0</v>
      </c>
      <c r="I1200" s="132"/>
      <c r="J1200" s="88">
        <f>SUMIF(月間集計シート!$M$29:$M$48,$G1200,月間集計シート!N$29:N$48)*J$2</f>
        <v>0</v>
      </c>
      <c r="K1200" s="88">
        <f>SUMIF(月間集計シート!$M$29:$M$48,$G1200,月間集計シート!O$29:O$48)*K$2</f>
        <v>0</v>
      </c>
      <c r="L1200" s="88">
        <f>SUMIF(月間集計シート!$M$29:$M$48,$G1200,月間集計シート!P$29:P$48)*L$2</f>
        <v>0</v>
      </c>
      <c r="M1200" s="88">
        <f>SUMIF(月間集計シート!$M$29:$M$48,$G1200,月間集計シート!Q$29:Q$48)*M$2</f>
        <v>0</v>
      </c>
      <c r="N1200" s="88">
        <f>SUMIF(月間集計シート!$M$29:$M$48,$G1200,月間集計シート!R$29:R$48)*N$2</f>
        <v>0</v>
      </c>
      <c r="O1200" s="88">
        <f>SUMIF(月間集計シート!$M$29:$M$48,$G1200,月間集計シート!S$29:S$48)*O$2</f>
        <v>0</v>
      </c>
      <c r="P1200" s="88">
        <f>SUMIF(月間集計シート!$M$29:$M$48,$G1200,月間集計シート!T$29:T$48)*P$2</f>
        <v>0</v>
      </c>
      <c r="Q1200" s="88">
        <f>SUMIF(月間集計シート!$M$50:$M$69,$G1200,月間集計シート!N$50:N$69)*Q$2</f>
        <v>0</v>
      </c>
      <c r="R1200" s="88">
        <f>SUMIF(月間集計シート!$M$50:$M$69,$G1200,月間集計シート!O$50:O$69)*R$2</f>
        <v>0</v>
      </c>
      <c r="S1200" s="88">
        <f>SUMIF(月間集計シート!$M$50:$M$69,$G1200,月間集計シート!P$50:P$69)*S$2</f>
        <v>0</v>
      </c>
      <c r="T1200" s="88">
        <f>SUMIF(月間集計シート!$M$50:$M$69,$G1200,月間集計シート!Q$50:Q$69)*T$2</f>
        <v>0</v>
      </c>
      <c r="U1200" s="88">
        <f>SUMIF(月間集計シート!$M$50:$M$69,$G1200,月間集計シート!R$50:R$69)*U$2</f>
        <v>0</v>
      </c>
      <c r="V1200" s="88">
        <f>SUMIF(月間集計シート!$M$50:$M$69,$G1200,月間集計シート!S$50:S$69)*V$2</f>
        <v>0</v>
      </c>
      <c r="W1200" s="88">
        <f>SUMIF(月間集計シート!$M$50:$M$69,$G1200,月間集計シート!T$50:T$69)*W$2</f>
        <v>0</v>
      </c>
      <c r="X1200" s="88">
        <f>SUMIF(月間集計シート!$M$71:$M$90,$G1200,月間集計シート!N$71:N$90)*X$2</f>
        <v>0</v>
      </c>
      <c r="Y1200" s="88">
        <f>SUMIF(月間集計シート!$M$71:$M$90,$G1200,月間集計シート!O$71:O$90)*Y$2</f>
        <v>0</v>
      </c>
      <c r="Z1200" s="88">
        <f>SUMIF(月間集計シート!$M$71:$M$90,$G1200,月間集計シート!P$71:P$90)*Z$2</f>
        <v>0</v>
      </c>
      <c r="AA1200" s="88">
        <f>SUMIF(月間集計シート!$M$71:$M$90,$G1200,月間集計シート!Q$71:Q$90)*AA$2</f>
        <v>0</v>
      </c>
      <c r="AB1200" s="88">
        <f>SUMIF(月間集計シート!$M$71:$M$90,$G1200,月間集計シート!R$71:R$90)*AB$2</f>
        <v>0</v>
      </c>
      <c r="AC1200" s="88">
        <f>SUMIF(月間集計シート!$M$71:$M$90,$G1200,月間集計シート!S$71:S$90)*AC$2</f>
        <v>0</v>
      </c>
      <c r="AD1200" s="88">
        <f>SUMIF(月間集計シート!$M$71:$M$90,$G1200,月間集計シート!T$71:T$90)*AD$2</f>
        <v>0</v>
      </c>
      <c r="AE1200" s="88">
        <f>SUMIF(月間集計シート!$M$92:$M$111,$G1200,月間集計シート!N$92:N$111)*AE$2</f>
        <v>0</v>
      </c>
      <c r="AF1200" s="88">
        <f>SUMIF(月間集計シート!$M$92:$M$111,$G1200,月間集計シート!O$92:O$111)*AF$2</f>
        <v>0</v>
      </c>
      <c r="AG1200" s="88">
        <f>SUMIF(月間集計シート!$M$92:$M$111,$G1200,月間集計シート!P$92:P$111)*AG$2</f>
        <v>0</v>
      </c>
      <c r="AH1200" s="88">
        <f>SUMIF(月間集計シート!$M$92:$M$111,$G1200,月間集計シート!Q$92:Q$111)*AH$2</f>
        <v>0</v>
      </c>
      <c r="AI1200" s="88">
        <f>SUMIF(月間集計シート!$M$92:$M$111,$G1200,月間集計シート!R$92:R$111)*AI$2</f>
        <v>0</v>
      </c>
      <c r="AJ1200" s="88">
        <f>SUMIF(月間集計シート!$M$92:$M$111,$G1200,月間集計シート!S$92:S$111)*AJ$2</f>
        <v>0</v>
      </c>
      <c r="AK1200" s="88">
        <f>SUMIF(月間集計シート!$M$92:$M$111,$G1200,月間集計シート!T$92:T$111)*AK$2</f>
        <v>0</v>
      </c>
      <c r="AL1200" s="88">
        <f>SUMIF(月間集計シート!$M$113:$M$132,$G1200,月間集計シート!N$113:N$132)*AL$2</f>
        <v>0</v>
      </c>
      <c r="AM1200" s="88">
        <f>SUMIF(月間集計シート!$M$113:$M$132,$G1200,月間集計シート!O$113:O$132)*AM$2</f>
        <v>0</v>
      </c>
      <c r="AN1200" s="88">
        <f>SUMIF(月間集計シート!$M$113:$M$132,$G1200,月間集計シート!P$113:P$132)*AN$2</f>
        <v>0</v>
      </c>
      <c r="AO1200" s="88">
        <f>SUMIF(月間集計シート!$M$113:$M$132,$G1200,月間集計シート!Q$113:Q$132)*AO$2</f>
        <v>0</v>
      </c>
      <c r="AP1200" s="88">
        <f>SUMIF(月間集計シート!$M$113:$M$132,$G1200,月間集計シート!R$113:R$132)*AP$2</f>
        <v>0</v>
      </c>
      <c r="AQ1200" s="88">
        <f>SUMIF(月間集計シート!$M$113:$M$132,$G1200,月間集計シート!S$113:S$132)*AQ$2</f>
        <v>0</v>
      </c>
      <c r="AR1200" s="88">
        <f>SUMIF(月間集計シート!$M$113:$M$132,$G1200,月間集計シート!T$113:T$132)*AR$2</f>
        <v>0</v>
      </c>
      <c r="AS1200" s="88">
        <f>SUMIF(月間集計シート!$M$134:$M$153,$G1200,月間集計シート!N$134:N$153)*AS$2</f>
        <v>0</v>
      </c>
      <c r="AT1200" s="88">
        <f>SUMIF(月間集計シート!$M$134:$M$153,$G1200,月間集計シート!O$134:O$153)*AT$2</f>
        <v>0</v>
      </c>
      <c r="AU1200" s="88">
        <f>SUMIF(月間集計シート!$M$134:$M$153,$G1200,月間集計シート!P$134:P$153)*AU$2</f>
        <v>0</v>
      </c>
      <c r="AV1200" s="88">
        <f>SUMIF(月間集計シート!$M$134:$M$153,$G1200,月間集計シート!Q$134:Q$153)*AV$2</f>
        <v>0</v>
      </c>
      <c r="AW1200" s="88">
        <f>SUMIF(月間集計シート!$M$134:$M$153,$G1200,月間集計シート!R$134:R$153)*AW$2</f>
        <v>0</v>
      </c>
      <c r="AX1200" s="88">
        <f>SUMIF(月間集計シート!$M$134:$M$153,$G1200,月間集計シート!S$134:S$153)*AX$2</f>
        <v>0</v>
      </c>
      <c r="AY1200" s="88">
        <f>SUMIF(月間集計シート!$M$134:$M$153,$G1200,月間集計シート!T$134:T$153)*AY$2</f>
        <v>0</v>
      </c>
    </row>
    <row r="1201" spans="1:51" ht="14.25" thickBot="1">
      <c r="A1201">
        <v>15</v>
      </c>
      <c r="B1201" s="120">
        <f t="shared" ref="B1201:B1264" si="676">B1200</f>
        <v>0</v>
      </c>
      <c r="C1201" s="120" t="str">
        <f t="shared" ref="C1201:C1264" si="677">C1200</f>
        <v/>
      </c>
      <c r="D1201" s="137"/>
      <c r="E1201" s="150" t="str">
        <f>工種!A3</f>
        <v>10103</v>
      </c>
      <c r="F1201" s="119" t="str">
        <f>工種!B3</f>
        <v>SRS：企画書・計画書・報告書等資料作成・修正</v>
      </c>
      <c r="G1201" s="116" t="str">
        <f t="shared" si="625"/>
        <v>010103</v>
      </c>
      <c r="H1201" s="88">
        <f t="shared" si="675"/>
        <v>0</v>
      </c>
      <c r="I1201" s="132"/>
      <c r="J1201" s="88">
        <f>SUMIF(月間集計シート!$M$29:$M$48,$G1201,月間集計シート!N$29:N$48)*J$2</f>
        <v>0</v>
      </c>
      <c r="K1201" s="88">
        <f>SUMIF(月間集計シート!$M$29:$M$48,$G1201,月間集計シート!O$29:O$48)*K$2</f>
        <v>0</v>
      </c>
      <c r="L1201" s="88">
        <f>SUMIF(月間集計シート!$M$29:$M$48,$G1201,月間集計シート!P$29:P$48)*L$2</f>
        <v>0</v>
      </c>
      <c r="M1201" s="88">
        <f>SUMIF(月間集計シート!$M$29:$M$48,$G1201,月間集計シート!Q$29:Q$48)*M$2</f>
        <v>0</v>
      </c>
      <c r="N1201" s="88">
        <f>SUMIF(月間集計シート!$M$29:$M$48,$G1201,月間集計シート!R$29:R$48)*N$2</f>
        <v>0</v>
      </c>
      <c r="O1201" s="88">
        <f>SUMIF(月間集計シート!$M$29:$M$48,$G1201,月間集計シート!S$29:S$48)*O$2</f>
        <v>0</v>
      </c>
      <c r="P1201" s="88">
        <f>SUMIF(月間集計シート!$M$29:$M$48,$G1201,月間集計シート!T$29:T$48)*P$2</f>
        <v>0</v>
      </c>
      <c r="Q1201" s="88">
        <f>SUMIF(月間集計シート!$M$50:$M$69,$G1201,月間集計シート!N$50:N$69)*Q$2</f>
        <v>0</v>
      </c>
      <c r="R1201" s="88">
        <f>SUMIF(月間集計シート!$M$50:$M$69,$G1201,月間集計シート!O$50:O$69)*R$2</f>
        <v>0</v>
      </c>
      <c r="S1201" s="88">
        <f>SUMIF(月間集計シート!$M$50:$M$69,$G1201,月間集計シート!P$50:P$69)*S$2</f>
        <v>0</v>
      </c>
      <c r="T1201" s="88">
        <f>SUMIF(月間集計シート!$M$50:$M$69,$G1201,月間集計シート!Q$50:Q$69)*T$2</f>
        <v>0</v>
      </c>
      <c r="U1201" s="88">
        <f>SUMIF(月間集計シート!$M$50:$M$69,$G1201,月間集計シート!R$50:R$69)*U$2</f>
        <v>0</v>
      </c>
      <c r="V1201" s="88">
        <f>SUMIF(月間集計シート!$M$50:$M$69,$G1201,月間集計シート!S$50:S$69)*V$2</f>
        <v>0</v>
      </c>
      <c r="W1201" s="88">
        <f>SUMIF(月間集計シート!$M$50:$M$69,$G1201,月間集計シート!T$50:T$69)*W$2</f>
        <v>0</v>
      </c>
      <c r="X1201" s="88">
        <f>SUMIF(月間集計シート!$M$71:$M$90,$G1201,月間集計シート!N$71:N$90)*X$2</f>
        <v>0</v>
      </c>
      <c r="Y1201" s="88">
        <f>SUMIF(月間集計シート!$M$71:$M$90,$G1201,月間集計シート!O$71:O$90)*Y$2</f>
        <v>0</v>
      </c>
      <c r="Z1201" s="88">
        <f>SUMIF(月間集計シート!$M$71:$M$90,$G1201,月間集計シート!P$71:P$90)*Z$2</f>
        <v>0</v>
      </c>
      <c r="AA1201" s="88">
        <f>SUMIF(月間集計シート!$M$71:$M$90,$G1201,月間集計シート!Q$71:Q$90)*AA$2</f>
        <v>0</v>
      </c>
      <c r="AB1201" s="88">
        <f>SUMIF(月間集計シート!$M$71:$M$90,$G1201,月間集計シート!R$71:R$90)*AB$2</f>
        <v>0</v>
      </c>
      <c r="AC1201" s="88">
        <f>SUMIF(月間集計シート!$M$71:$M$90,$G1201,月間集計シート!S$71:S$90)*AC$2</f>
        <v>0</v>
      </c>
      <c r="AD1201" s="88">
        <f>SUMIF(月間集計シート!$M$71:$M$90,$G1201,月間集計シート!T$71:T$90)*AD$2</f>
        <v>0</v>
      </c>
      <c r="AE1201" s="88">
        <f>SUMIF(月間集計シート!$M$92:$M$111,$G1201,月間集計シート!N$92:N$111)*AE$2</f>
        <v>0</v>
      </c>
      <c r="AF1201" s="88">
        <f>SUMIF(月間集計シート!$M$92:$M$111,$G1201,月間集計シート!O$92:O$111)*AF$2</f>
        <v>0</v>
      </c>
      <c r="AG1201" s="88">
        <f>SUMIF(月間集計シート!$M$92:$M$111,$G1201,月間集計シート!P$92:P$111)*AG$2</f>
        <v>0</v>
      </c>
      <c r="AH1201" s="88">
        <f>SUMIF(月間集計シート!$M$92:$M$111,$G1201,月間集計シート!Q$92:Q$111)*AH$2</f>
        <v>0</v>
      </c>
      <c r="AI1201" s="88">
        <f>SUMIF(月間集計シート!$M$92:$M$111,$G1201,月間集計シート!R$92:R$111)*AI$2</f>
        <v>0</v>
      </c>
      <c r="AJ1201" s="88">
        <f>SUMIF(月間集計シート!$M$92:$M$111,$G1201,月間集計シート!S$92:S$111)*AJ$2</f>
        <v>0</v>
      </c>
      <c r="AK1201" s="88">
        <f>SUMIF(月間集計シート!$M$92:$M$111,$G1201,月間集計シート!T$92:T$111)*AK$2</f>
        <v>0</v>
      </c>
      <c r="AL1201" s="88">
        <f>SUMIF(月間集計シート!$M$113:$M$132,$G1201,月間集計シート!N$113:N$132)*AL$2</f>
        <v>0</v>
      </c>
      <c r="AM1201" s="88">
        <f>SUMIF(月間集計シート!$M$113:$M$132,$G1201,月間集計シート!O$113:O$132)*AM$2</f>
        <v>0</v>
      </c>
      <c r="AN1201" s="88">
        <f>SUMIF(月間集計シート!$M$113:$M$132,$G1201,月間集計シート!P$113:P$132)*AN$2</f>
        <v>0</v>
      </c>
      <c r="AO1201" s="88">
        <f>SUMIF(月間集計シート!$M$113:$M$132,$G1201,月間集計シート!Q$113:Q$132)*AO$2</f>
        <v>0</v>
      </c>
      <c r="AP1201" s="88">
        <f>SUMIF(月間集計シート!$M$113:$M$132,$G1201,月間集計シート!R$113:R$132)*AP$2</f>
        <v>0</v>
      </c>
      <c r="AQ1201" s="88">
        <f>SUMIF(月間集計シート!$M$113:$M$132,$G1201,月間集計シート!S$113:S$132)*AQ$2</f>
        <v>0</v>
      </c>
      <c r="AR1201" s="88">
        <f>SUMIF(月間集計シート!$M$113:$M$132,$G1201,月間集計シート!T$113:T$132)*AR$2</f>
        <v>0</v>
      </c>
      <c r="AS1201" s="88">
        <f>SUMIF(月間集計シート!$M$134:$M$153,$G1201,月間集計シート!N$134:N$153)*AS$2</f>
        <v>0</v>
      </c>
      <c r="AT1201" s="88">
        <f>SUMIF(月間集計シート!$M$134:$M$153,$G1201,月間集計シート!O$134:O$153)*AT$2</f>
        <v>0</v>
      </c>
      <c r="AU1201" s="88">
        <f>SUMIF(月間集計シート!$M$134:$M$153,$G1201,月間集計シート!P$134:P$153)*AU$2</f>
        <v>0</v>
      </c>
      <c r="AV1201" s="88">
        <f>SUMIF(月間集計シート!$M$134:$M$153,$G1201,月間集計シート!Q$134:Q$153)*AV$2</f>
        <v>0</v>
      </c>
      <c r="AW1201" s="88">
        <f>SUMIF(月間集計シート!$M$134:$M$153,$G1201,月間集計シート!R$134:R$153)*AW$2</f>
        <v>0</v>
      </c>
      <c r="AX1201" s="88">
        <f>SUMIF(月間集計シート!$M$134:$M$153,$G1201,月間集計シート!S$134:S$153)*AX$2</f>
        <v>0</v>
      </c>
      <c r="AY1201" s="88">
        <f>SUMIF(月間集計シート!$M$134:$M$153,$G1201,月間集計シート!T$134:T$153)*AY$2</f>
        <v>0</v>
      </c>
    </row>
    <row r="1202" spans="1:51" ht="14.25" thickBot="1">
      <c r="A1202">
        <v>15</v>
      </c>
      <c r="B1202" s="120">
        <f t="shared" si="676"/>
        <v>0</v>
      </c>
      <c r="C1202" s="120" t="str">
        <f t="shared" si="677"/>
        <v/>
      </c>
      <c r="D1202" s="137"/>
      <c r="E1202" s="150" t="str">
        <f>工種!A4</f>
        <v>10104</v>
      </c>
      <c r="F1202" s="119" t="str">
        <f>工種!B4</f>
        <v>SRS：打合せ</v>
      </c>
      <c r="G1202" s="116" t="str">
        <f t="shared" si="625"/>
        <v>010104</v>
      </c>
      <c r="H1202" s="88">
        <f t="shared" si="675"/>
        <v>0</v>
      </c>
      <c r="I1202" s="132"/>
      <c r="J1202" s="88">
        <f>SUMIF(月間集計シート!$M$29:$M$48,$G1202,月間集計シート!N$29:N$48)*J$2</f>
        <v>0</v>
      </c>
      <c r="K1202" s="88">
        <f>SUMIF(月間集計シート!$M$29:$M$48,$G1202,月間集計シート!O$29:O$48)*K$2</f>
        <v>0</v>
      </c>
      <c r="L1202" s="88">
        <f>SUMIF(月間集計シート!$M$29:$M$48,$G1202,月間集計シート!P$29:P$48)*L$2</f>
        <v>0</v>
      </c>
      <c r="M1202" s="88">
        <f>SUMIF(月間集計シート!$M$29:$M$48,$G1202,月間集計シート!Q$29:Q$48)*M$2</f>
        <v>0</v>
      </c>
      <c r="N1202" s="88">
        <f>SUMIF(月間集計シート!$M$29:$M$48,$G1202,月間集計シート!R$29:R$48)*N$2</f>
        <v>0</v>
      </c>
      <c r="O1202" s="88">
        <f>SUMIF(月間集計シート!$M$29:$M$48,$G1202,月間集計シート!S$29:S$48)*O$2</f>
        <v>0</v>
      </c>
      <c r="P1202" s="88">
        <f>SUMIF(月間集計シート!$M$29:$M$48,$G1202,月間集計シート!T$29:T$48)*P$2</f>
        <v>0</v>
      </c>
      <c r="Q1202" s="88">
        <f>SUMIF(月間集計シート!$M$50:$M$69,$G1202,月間集計シート!N$50:N$69)*Q$2</f>
        <v>0</v>
      </c>
      <c r="R1202" s="88">
        <f>SUMIF(月間集計シート!$M$50:$M$69,$G1202,月間集計シート!O$50:O$69)*R$2</f>
        <v>0</v>
      </c>
      <c r="S1202" s="88">
        <f>SUMIF(月間集計シート!$M$50:$M$69,$G1202,月間集計シート!P$50:P$69)*S$2</f>
        <v>0</v>
      </c>
      <c r="T1202" s="88">
        <f>SUMIF(月間集計シート!$M$50:$M$69,$G1202,月間集計シート!Q$50:Q$69)*T$2</f>
        <v>0</v>
      </c>
      <c r="U1202" s="88">
        <f>SUMIF(月間集計シート!$M$50:$M$69,$G1202,月間集計シート!R$50:R$69)*U$2</f>
        <v>0</v>
      </c>
      <c r="V1202" s="88">
        <f>SUMIF(月間集計シート!$M$50:$M$69,$G1202,月間集計シート!S$50:S$69)*V$2</f>
        <v>0</v>
      </c>
      <c r="W1202" s="88">
        <f>SUMIF(月間集計シート!$M$50:$M$69,$G1202,月間集計シート!T$50:T$69)*W$2</f>
        <v>0</v>
      </c>
      <c r="X1202" s="88">
        <f>SUMIF(月間集計シート!$M$71:$M$90,$G1202,月間集計シート!N$71:N$90)*X$2</f>
        <v>0</v>
      </c>
      <c r="Y1202" s="88">
        <f>SUMIF(月間集計シート!$M$71:$M$90,$G1202,月間集計シート!O$71:O$90)*Y$2</f>
        <v>0</v>
      </c>
      <c r="Z1202" s="88">
        <f>SUMIF(月間集計シート!$M$71:$M$90,$G1202,月間集計シート!P$71:P$90)*Z$2</f>
        <v>0</v>
      </c>
      <c r="AA1202" s="88">
        <f>SUMIF(月間集計シート!$M$71:$M$90,$G1202,月間集計シート!Q$71:Q$90)*AA$2</f>
        <v>0</v>
      </c>
      <c r="AB1202" s="88">
        <f>SUMIF(月間集計シート!$M$71:$M$90,$G1202,月間集計シート!R$71:R$90)*AB$2</f>
        <v>0</v>
      </c>
      <c r="AC1202" s="88">
        <f>SUMIF(月間集計シート!$M$71:$M$90,$G1202,月間集計シート!S$71:S$90)*AC$2</f>
        <v>0</v>
      </c>
      <c r="AD1202" s="88">
        <f>SUMIF(月間集計シート!$M$71:$M$90,$G1202,月間集計シート!T$71:T$90)*AD$2</f>
        <v>0</v>
      </c>
      <c r="AE1202" s="88">
        <f>SUMIF(月間集計シート!$M$92:$M$111,$G1202,月間集計シート!N$92:N$111)*AE$2</f>
        <v>0</v>
      </c>
      <c r="AF1202" s="88">
        <f>SUMIF(月間集計シート!$M$92:$M$111,$G1202,月間集計シート!O$92:O$111)*AF$2</f>
        <v>0</v>
      </c>
      <c r="AG1202" s="88">
        <f>SUMIF(月間集計シート!$M$92:$M$111,$G1202,月間集計シート!P$92:P$111)*AG$2</f>
        <v>0</v>
      </c>
      <c r="AH1202" s="88">
        <f>SUMIF(月間集計シート!$M$92:$M$111,$G1202,月間集計シート!Q$92:Q$111)*AH$2</f>
        <v>0</v>
      </c>
      <c r="AI1202" s="88">
        <f>SUMIF(月間集計シート!$M$92:$M$111,$G1202,月間集計シート!R$92:R$111)*AI$2</f>
        <v>0</v>
      </c>
      <c r="AJ1202" s="88">
        <f>SUMIF(月間集計シート!$M$92:$M$111,$G1202,月間集計シート!S$92:S$111)*AJ$2</f>
        <v>0</v>
      </c>
      <c r="AK1202" s="88">
        <f>SUMIF(月間集計シート!$M$92:$M$111,$G1202,月間集計シート!T$92:T$111)*AK$2</f>
        <v>0</v>
      </c>
      <c r="AL1202" s="88">
        <f>SUMIF(月間集計シート!$M$113:$M$132,$G1202,月間集計シート!N$113:N$132)*AL$2</f>
        <v>0</v>
      </c>
      <c r="AM1202" s="88">
        <f>SUMIF(月間集計シート!$M$113:$M$132,$G1202,月間集計シート!O$113:O$132)*AM$2</f>
        <v>0</v>
      </c>
      <c r="AN1202" s="88">
        <f>SUMIF(月間集計シート!$M$113:$M$132,$G1202,月間集計シート!P$113:P$132)*AN$2</f>
        <v>0</v>
      </c>
      <c r="AO1202" s="88">
        <f>SUMIF(月間集計シート!$M$113:$M$132,$G1202,月間集計シート!Q$113:Q$132)*AO$2</f>
        <v>0</v>
      </c>
      <c r="AP1202" s="88">
        <f>SUMIF(月間集計シート!$M$113:$M$132,$G1202,月間集計シート!R$113:R$132)*AP$2</f>
        <v>0</v>
      </c>
      <c r="AQ1202" s="88">
        <f>SUMIF(月間集計シート!$M$113:$M$132,$G1202,月間集計シート!S$113:S$132)*AQ$2</f>
        <v>0</v>
      </c>
      <c r="AR1202" s="88">
        <f>SUMIF(月間集計シート!$M$113:$M$132,$G1202,月間集計シート!T$113:T$132)*AR$2</f>
        <v>0</v>
      </c>
      <c r="AS1202" s="88">
        <f>SUMIF(月間集計シート!$M$134:$M$153,$G1202,月間集計シート!N$134:N$153)*AS$2</f>
        <v>0</v>
      </c>
      <c r="AT1202" s="88">
        <f>SUMIF(月間集計シート!$M$134:$M$153,$G1202,月間集計シート!O$134:O$153)*AT$2</f>
        <v>0</v>
      </c>
      <c r="AU1202" s="88">
        <f>SUMIF(月間集計シート!$M$134:$M$153,$G1202,月間集計シート!P$134:P$153)*AU$2</f>
        <v>0</v>
      </c>
      <c r="AV1202" s="88">
        <f>SUMIF(月間集計シート!$M$134:$M$153,$G1202,月間集計シート!Q$134:Q$153)*AV$2</f>
        <v>0</v>
      </c>
      <c r="AW1202" s="88">
        <f>SUMIF(月間集計シート!$M$134:$M$153,$G1202,月間集計シート!R$134:R$153)*AW$2</f>
        <v>0</v>
      </c>
      <c r="AX1202" s="88">
        <f>SUMIF(月間集計シート!$M$134:$M$153,$G1202,月間集計シート!S$134:S$153)*AX$2</f>
        <v>0</v>
      </c>
      <c r="AY1202" s="88">
        <f>SUMIF(月間集計シート!$M$134:$M$153,$G1202,月間集計シート!T$134:T$153)*AY$2</f>
        <v>0</v>
      </c>
    </row>
    <row r="1203" spans="1:51" ht="14.25" thickBot="1">
      <c r="A1203">
        <v>15</v>
      </c>
      <c r="B1203" s="120">
        <f t="shared" si="676"/>
        <v>0</v>
      </c>
      <c r="C1203" s="120" t="str">
        <f t="shared" si="677"/>
        <v/>
      </c>
      <c r="D1203" s="137"/>
      <c r="E1203" s="150" t="str">
        <f>工種!A5</f>
        <v>10105</v>
      </c>
      <c r="F1203" s="119" t="str">
        <f>工種!B5</f>
        <v>SRS：レビュー</v>
      </c>
      <c r="G1203" s="116" t="str">
        <f t="shared" si="625"/>
        <v>010105</v>
      </c>
      <c r="H1203" s="88">
        <f t="shared" si="675"/>
        <v>0</v>
      </c>
      <c r="I1203" s="132"/>
      <c r="J1203" s="88">
        <f>SUMIF(月間集計シート!$M$29:$M$48,$G1203,月間集計シート!N$29:N$48)*J$2</f>
        <v>0</v>
      </c>
      <c r="K1203" s="88">
        <f>SUMIF(月間集計シート!$M$29:$M$48,$G1203,月間集計シート!O$29:O$48)*K$2</f>
        <v>0</v>
      </c>
      <c r="L1203" s="88">
        <f>SUMIF(月間集計シート!$M$29:$M$48,$G1203,月間集計シート!P$29:P$48)*L$2</f>
        <v>0</v>
      </c>
      <c r="M1203" s="88">
        <f>SUMIF(月間集計シート!$M$29:$M$48,$G1203,月間集計シート!Q$29:Q$48)*M$2</f>
        <v>0</v>
      </c>
      <c r="N1203" s="88">
        <f>SUMIF(月間集計シート!$M$29:$M$48,$G1203,月間集計シート!R$29:R$48)*N$2</f>
        <v>0</v>
      </c>
      <c r="O1203" s="88">
        <f>SUMIF(月間集計シート!$M$29:$M$48,$G1203,月間集計シート!S$29:S$48)*O$2</f>
        <v>0</v>
      </c>
      <c r="P1203" s="88">
        <f>SUMIF(月間集計シート!$M$29:$M$48,$G1203,月間集計シート!T$29:T$48)*P$2</f>
        <v>0</v>
      </c>
      <c r="Q1203" s="88">
        <f>SUMIF(月間集計シート!$M$50:$M$69,$G1203,月間集計シート!N$50:N$69)*Q$2</f>
        <v>0</v>
      </c>
      <c r="R1203" s="88">
        <f>SUMIF(月間集計シート!$M$50:$M$69,$G1203,月間集計シート!O$50:O$69)*R$2</f>
        <v>0</v>
      </c>
      <c r="S1203" s="88">
        <f>SUMIF(月間集計シート!$M$50:$M$69,$G1203,月間集計シート!P$50:P$69)*S$2</f>
        <v>0</v>
      </c>
      <c r="T1203" s="88">
        <f>SUMIF(月間集計シート!$M$50:$M$69,$G1203,月間集計シート!Q$50:Q$69)*T$2</f>
        <v>0</v>
      </c>
      <c r="U1203" s="88">
        <f>SUMIF(月間集計シート!$M$50:$M$69,$G1203,月間集計シート!R$50:R$69)*U$2</f>
        <v>0</v>
      </c>
      <c r="V1203" s="88">
        <f>SUMIF(月間集計シート!$M$50:$M$69,$G1203,月間集計シート!S$50:S$69)*V$2</f>
        <v>0</v>
      </c>
      <c r="W1203" s="88">
        <f>SUMIF(月間集計シート!$M$50:$M$69,$G1203,月間集計シート!T$50:T$69)*W$2</f>
        <v>0</v>
      </c>
      <c r="X1203" s="88">
        <f>SUMIF(月間集計シート!$M$71:$M$90,$G1203,月間集計シート!N$71:N$90)*X$2</f>
        <v>0</v>
      </c>
      <c r="Y1203" s="88">
        <f>SUMIF(月間集計シート!$M$71:$M$90,$G1203,月間集計シート!O$71:O$90)*Y$2</f>
        <v>0</v>
      </c>
      <c r="Z1203" s="88">
        <f>SUMIF(月間集計シート!$M$71:$M$90,$G1203,月間集計シート!P$71:P$90)*Z$2</f>
        <v>0</v>
      </c>
      <c r="AA1203" s="88">
        <f>SUMIF(月間集計シート!$M$71:$M$90,$G1203,月間集計シート!Q$71:Q$90)*AA$2</f>
        <v>0</v>
      </c>
      <c r="AB1203" s="88">
        <f>SUMIF(月間集計シート!$M$71:$M$90,$G1203,月間集計シート!R$71:R$90)*AB$2</f>
        <v>0</v>
      </c>
      <c r="AC1203" s="88">
        <f>SUMIF(月間集計シート!$M$71:$M$90,$G1203,月間集計シート!S$71:S$90)*AC$2</f>
        <v>0</v>
      </c>
      <c r="AD1203" s="88">
        <f>SUMIF(月間集計シート!$M$71:$M$90,$G1203,月間集計シート!T$71:T$90)*AD$2</f>
        <v>0</v>
      </c>
      <c r="AE1203" s="88">
        <f>SUMIF(月間集計シート!$M$92:$M$111,$G1203,月間集計シート!N$92:N$111)*AE$2</f>
        <v>0</v>
      </c>
      <c r="AF1203" s="88">
        <f>SUMIF(月間集計シート!$M$92:$M$111,$G1203,月間集計シート!O$92:O$111)*AF$2</f>
        <v>0</v>
      </c>
      <c r="AG1203" s="88">
        <f>SUMIF(月間集計シート!$M$92:$M$111,$G1203,月間集計シート!P$92:P$111)*AG$2</f>
        <v>0</v>
      </c>
      <c r="AH1203" s="88">
        <f>SUMIF(月間集計シート!$M$92:$M$111,$G1203,月間集計シート!Q$92:Q$111)*AH$2</f>
        <v>0</v>
      </c>
      <c r="AI1203" s="88">
        <f>SUMIF(月間集計シート!$M$92:$M$111,$G1203,月間集計シート!R$92:R$111)*AI$2</f>
        <v>0</v>
      </c>
      <c r="AJ1203" s="88">
        <f>SUMIF(月間集計シート!$M$92:$M$111,$G1203,月間集計シート!S$92:S$111)*AJ$2</f>
        <v>0</v>
      </c>
      <c r="AK1203" s="88">
        <f>SUMIF(月間集計シート!$M$92:$M$111,$G1203,月間集計シート!T$92:T$111)*AK$2</f>
        <v>0</v>
      </c>
      <c r="AL1203" s="88">
        <f>SUMIF(月間集計シート!$M$113:$M$132,$G1203,月間集計シート!N$113:N$132)*AL$2</f>
        <v>0</v>
      </c>
      <c r="AM1203" s="88">
        <f>SUMIF(月間集計シート!$M$113:$M$132,$G1203,月間集計シート!O$113:O$132)*AM$2</f>
        <v>0</v>
      </c>
      <c r="AN1203" s="88">
        <f>SUMIF(月間集計シート!$M$113:$M$132,$G1203,月間集計シート!P$113:P$132)*AN$2</f>
        <v>0</v>
      </c>
      <c r="AO1203" s="88">
        <f>SUMIF(月間集計シート!$M$113:$M$132,$G1203,月間集計シート!Q$113:Q$132)*AO$2</f>
        <v>0</v>
      </c>
      <c r="AP1203" s="88">
        <f>SUMIF(月間集計シート!$M$113:$M$132,$G1203,月間集計シート!R$113:R$132)*AP$2</f>
        <v>0</v>
      </c>
      <c r="AQ1203" s="88">
        <f>SUMIF(月間集計シート!$M$113:$M$132,$G1203,月間集計シート!S$113:S$132)*AQ$2</f>
        <v>0</v>
      </c>
      <c r="AR1203" s="88">
        <f>SUMIF(月間集計シート!$M$113:$M$132,$G1203,月間集計シート!T$113:T$132)*AR$2</f>
        <v>0</v>
      </c>
      <c r="AS1203" s="88">
        <f>SUMIF(月間集計シート!$M$134:$M$153,$G1203,月間集計シート!N$134:N$153)*AS$2</f>
        <v>0</v>
      </c>
      <c r="AT1203" s="88">
        <f>SUMIF(月間集計シート!$M$134:$M$153,$G1203,月間集計シート!O$134:O$153)*AT$2</f>
        <v>0</v>
      </c>
      <c r="AU1203" s="88">
        <f>SUMIF(月間集計シート!$M$134:$M$153,$G1203,月間集計シート!P$134:P$153)*AU$2</f>
        <v>0</v>
      </c>
      <c r="AV1203" s="88">
        <f>SUMIF(月間集計シート!$M$134:$M$153,$G1203,月間集計シート!Q$134:Q$153)*AV$2</f>
        <v>0</v>
      </c>
      <c r="AW1203" s="88">
        <f>SUMIF(月間集計シート!$M$134:$M$153,$G1203,月間集計シート!R$134:R$153)*AW$2</f>
        <v>0</v>
      </c>
      <c r="AX1203" s="88">
        <f>SUMIF(月間集計シート!$M$134:$M$153,$G1203,月間集計シート!S$134:S$153)*AX$2</f>
        <v>0</v>
      </c>
      <c r="AY1203" s="88">
        <f>SUMIF(月間集計シート!$M$134:$M$153,$G1203,月間集計シート!T$134:T$153)*AY$2</f>
        <v>0</v>
      </c>
    </row>
    <row r="1204" spans="1:51" ht="14.25" thickBot="1">
      <c r="A1204">
        <v>15</v>
      </c>
      <c r="B1204" s="120">
        <f t="shared" si="676"/>
        <v>0</v>
      </c>
      <c r="C1204" s="120" t="str">
        <f t="shared" si="677"/>
        <v/>
      </c>
      <c r="D1204" s="137"/>
      <c r="E1204" s="150" t="str">
        <f>工種!A6</f>
        <v>10199</v>
      </c>
      <c r="F1204" s="119" t="str">
        <f>工種!B6</f>
        <v>SRS：その他</v>
      </c>
      <c r="G1204" s="116" t="str">
        <f t="shared" si="625"/>
        <v>010199</v>
      </c>
      <c r="H1204" s="88">
        <f t="shared" si="675"/>
        <v>0</v>
      </c>
      <c r="I1204" s="132"/>
      <c r="J1204" s="88">
        <f>SUMIF(月間集計シート!$M$29:$M$48,$G1204,月間集計シート!N$29:N$48)*J$2</f>
        <v>0</v>
      </c>
      <c r="K1204" s="88">
        <f>SUMIF(月間集計シート!$M$29:$M$48,$G1204,月間集計シート!O$29:O$48)*K$2</f>
        <v>0</v>
      </c>
      <c r="L1204" s="88">
        <f>SUMIF(月間集計シート!$M$29:$M$48,$G1204,月間集計シート!P$29:P$48)*L$2</f>
        <v>0</v>
      </c>
      <c r="M1204" s="88">
        <f>SUMIF(月間集計シート!$M$29:$M$48,$G1204,月間集計シート!Q$29:Q$48)*M$2</f>
        <v>0</v>
      </c>
      <c r="N1204" s="88">
        <f>SUMIF(月間集計シート!$M$29:$M$48,$G1204,月間集計シート!R$29:R$48)*N$2</f>
        <v>0</v>
      </c>
      <c r="O1204" s="88">
        <f>SUMIF(月間集計シート!$M$29:$M$48,$G1204,月間集計シート!S$29:S$48)*O$2</f>
        <v>0</v>
      </c>
      <c r="P1204" s="88">
        <f>SUMIF(月間集計シート!$M$29:$M$48,$G1204,月間集計シート!T$29:T$48)*P$2</f>
        <v>0</v>
      </c>
      <c r="Q1204" s="88">
        <f>SUMIF(月間集計シート!$M$50:$M$69,$G1204,月間集計シート!N$50:N$69)*Q$2</f>
        <v>0</v>
      </c>
      <c r="R1204" s="88">
        <f>SUMIF(月間集計シート!$M$50:$M$69,$G1204,月間集計シート!O$50:O$69)*R$2</f>
        <v>0</v>
      </c>
      <c r="S1204" s="88">
        <f>SUMIF(月間集計シート!$M$50:$M$69,$G1204,月間集計シート!P$50:P$69)*S$2</f>
        <v>0</v>
      </c>
      <c r="T1204" s="88">
        <f>SUMIF(月間集計シート!$M$50:$M$69,$G1204,月間集計シート!Q$50:Q$69)*T$2</f>
        <v>0</v>
      </c>
      <c r="U1204" s="88">
        <f>SUMIF(月間集計シート!$M$50:$M$69,$G1204,月間集計シート!R$50:R$69)*U$2</f>
        <v>0</v>
      </c>
      <c r="V1204" s="88">
        <f>SUMIF(月間集計シート!$M$50:$M$69,$G1204,月間集計シート!S$50:S$69)*V$2</f>
        <v>0</v>
      </c>
      <c r="W1204" s="88">
        <f>SUMIF(月間集計シート!$M$50:$M$69,$G1204,月間集計シート!T$50:T$69)*W$2</f>
        <v>0</v>
      </c>
      <c r="X1204" s="88">
        <f>SUMIF(月間集計シート!$M$71:$M$90,$G1204,月間集計シート!N$71:N$90)*X$2</f>
        <v>0</v>
      </c>
      <c r="Y1204" s="88">
        <f>SUMIF(月間集計シート!$M$71:$M$90,$G1204,月間集計シート!O$71:O$90)*Y$2</f>
        <v>0</v>
      </c>
      <c r="Z1204" s="88">
        <f>SUMIF(月間集計シート!$M$71:$M$90,$G1204,月間集計シート!P$71:P$90)*Z$2</f>
        <v>0</v>
      </c>
      <c r="AA1204" s="88">
        <f>SUMIF(月間集計シート!$M$71:$M$90,$G1204,月間集計シート!Q$71:Q$90)*AA$2</f>
        <v>0</v>
      </c>
      <c r="AB1204" s="88">
        <f>SUMIF(月間集計シート!$M$71:$M$90,$G1204,月間集計シート!R$71:R$90)*AB$2</f>
        <v>0</v>
      </c>
      <c r="AC1204" s="88">
        <f>SUMIF(月間集計シート!$M$71:$M$90,$G1204,月間集計シート!S$71:S$90)*AC$2</f>
        <v>0</v>
      </c>
      <c r="AD1204" s="88">
        <f>SUMIF(月間集計シート!$M$71:$M$90,$G1204,月間集計シート!T$71:T$90)*AD$2</f>
        <v>0</v>
      </c>
      <c r="AE1204" s="88">
        <f>SUMIF(月間集計シート!$M$92:$M$111,$G1204,月間集計シート!N$92:N$111)*AE$2</f>
        <v>0</v>
      </c>
      <c r="AF1204" s="88">
        <f>SUMIF(月間集計シート!$M$92:$M$111,$G1204,月間集計シート!O$92:O$111)*AF$2</f>
        <v>0</v>
      </c>
      <c r="AG1204" s="88">
        <f>SUMIF(月間集計シート!$M$92:$M$111,$G1204,月間集計シート!P$92:P$111)*AG$2</f>
        <v>0</v>
      </c>
      <c r="AH1204" s="88">
        <f>SUMIF(月間集計シート!$M$92:$M$111,$G1204,月間集計シート!Q$92:Q$111)*AH$2</f>
        <v>0</v>
      </c>
      <c r="AI1204" s="88">
        <f>SUMIF(月間集計シート!$M$92:$M$111,$G1204,月間集計シート!R$92:R$111)*AI$2</f>
        <v>0</v>
      </c>
      <c r="AJ1204" s="88">
        <f>SUMIF(月間集計シート!$M$92:$M$111,$G1204,月間集計シート!S$92:S$111)*AJ$2</f>
        <v>0</v>
      </c>
      <c r="AK1204" s="88">
        <f>SUMIF(月間集計シート!$M$92:$M$111,$G1204,月間集計シート!T$92:T$111)*AK$2</f>
        <v>0</v>
      </c>
      <c r="AL1204" s="88">
        <f>SUMIF(月間集計シート!$M$113:$M$132,$G1204,月間集計シート!N$113:N$132)*AL$2</f>
        <v>0</v>
      </c>
      <c r="AM1204" s="88">
        <f>SUMIF(月間集計シート!$M$113:$M$132,$G1204,月間集計シート!O$113:O$132)*AM$2</f>
        <v>0</v>
      </c>
      <c r="AN1204" s="88">
        <f>SUMIF(月間集計シート!$M$113:$M$132,$G1204,月間集計シート!P$113:P$132)*AN$2</f>
        <v>0</v>
      </c>
      <c r="AO1204" s="88">
        <f>SUMIF(月間集計シート!$M$113:$M$132,$G1204,月間集計シート!Q$113:Q$132)*AO$2</f>
        <v>0</v>
      </c>
      <c r="AP1204" s="88">
        <f>SUMIF(月間集計シート!$M$113:$M$132,$G1204,月間集計シート!R$113:R$132)*AP$2</f>
        <v>0</v>
      </c>
      <c r="AQ1204" s="88">
        <f>SUMIF(月間集計シート!$M$113:$M$132,$G1204,月間集計シート!S$113:S$132)*AQ$2</f>
        <v>0</v>
      </c>
      <c r="AR1204" s="88">
        <f>SUMIF(月間集計シート!$M$113:$M$132,$G1204,月間集計シート!T$113:T$132)*AR$2</f>
        <v>0</v>
      </c>
      <c r="AS1204" s="88">
        <f>SUMIF(月間集計シート!$M$134:$M$153,$G1204,月間集計シート!N$134:N$153)*AS$2</f>
        <v>0</v>
      </c>
      <c r="AT1204" s="88">
        <f>SUMIF(月間集計シート!$M$134:$M$153,$G1204,月間集計シート!O$134:O$153)*AT$2</f>
        <v>0</v>
      </c>
      <c r="AU1204" s="88">
        <f>SUMIF(月間集計シート!$M$134:$M$153,$G1204,月間集計シート!P$134:P$153)*AU$2</f>
        <v>0</v>
      </c>
      <c r="AV1204" s="88">
        <f>SUMIF(月間集計シート!$M$134:$M$153,$G1204,月間集計シート!Q$134:Q$153)*AV$2</f>
        <v>0</v>
      </c>
      <c r="AW1204" s="88">
        <f>SUMIF(月間集計シート!$M$134:$M$153,$G1204,月間集計シート!R$134:R$153)*AW$2</f>
        <v>0</v>
      </c>
      <c r="AX1204" s="88">
        <f>SUMIF(月間集計シート!$M$134:$M$153,$G1204,月間集計シート!S$134:S$153)*AX$2</f>
        <v>0</v>
      </c>
      <c r="AY1204" s="88">
        <f>SUMIF(月間集計シート!$M$134:$M$153,$G1204,月間集計シート!T$134:T$153)*AY$2</f>
        <v>0</v>
      </c>
    </row>
    <row r="1205" spans="1:51" ht="14.25" thickBot="1">
      <c r="A1205">
        <v>15</v>
      </c>
      <c r="B1205" s="120">
        <f t="shared" si="676"/>
        <v>0</v>
      </c>
      <c r="C1205" s="120" t="str">
        <f t="shared" si="677"/>
        <v/>
      </c>
      <c r="D1205" s="137"/>
      <c r="E1205" s="150" t="str">
        <f>工種!A7</f>
        <v>20101</v>
      </c>
      <c r="F1205" s="119" t="str">
        <f>工種!B7</f>
        <v>設計：外部設計書作成</v>
      </c>
      <c r="G1205" s="116" t="str">
        <f t="shared" si="625"/>
        <v>020101</v>
      </c>
      <c r="H1205" s="88">
        <f t="shared" si="675"/>
        <v>0</v>
      </c>
      <c r="I1205" s="132"/>
      <c r="J1205" s="88">
        <f>SUMIF(月間集計シート!$M$29:$M$48,$G1205,月間集計シート!N$29:N$48)*J$2</f>
        <v>0</v>
      </c>
      <c r="K1205" s="88">
        <f>SUMIF(月間集計シート!$M$29:$M$48,$G1205,月間集計シート!O$29:O$48)*K$2</f>
        <v>0</v>
      </c>
      <c r="L1205" s="88">
        <f>SUMIF(月間集計シート!$M$29:$M$48,$G1205,月間集計シート!P$29:P$48)*L$2</f>
        <v>0</v>
      </c>
      <c r="M1205" s="88">
        <f>SUMIF(月間集計シート!$M$29:$M$48,$G1205,月間集計シート!Q$29:Q$48)*M$2</f>
        <v>0</v>
      </c>
      <c r="N1205" s="88">
        <f>SUMIF(月間集計シート!$M$29:$M$48,$G1205,月間集計シート!R$29:R$48)*N$2</f>
        <v>0</v>
      </c>
      <c r="O1205" s="88">
        <f>SUMIF(月間集計シート!$M$29:$M$48,$G1205,月間集計シート!S$29:S$48)*O$2</f>
        <v>0</v>
      </c>
      <c r="P1205" s="88">
        <f>SUMIF(月間集計シート!$M$29:$M$48,$G1205,月間集計シート!T$29:T$48)*P$2</f>
        <v>0</v>
      </c>
      <c r="Q1205" s="88">
        <f>SUMIF(月間集計シート!$M$50:$M$69,$G1205,月間集計シート!N$50:N$69)*Q$2</f>
        <v>0</v>
      </c>
      <c r="R1205" s="88">
        <f>SUMIF(月間集計シート!$M$50:$M$69,$G1205,月間集計シート!O$50:O$69)*R$2</f>
        <v>0</v>
      </c>
      <c r="S1205" s="88">
        <f>SUMIF(月間集計シート!$M$50:$M$69,$G1205,月間集計シート!P$50:P$69)*S$2</f>
        <v>0</v>
      </c>
      <c r="T1205" s="88">
        <f>SUMIF(月間集計シート!$M$50:$M$69,$G1205,月間集計シート!Q$50:Q$69)*T$2</f>
        <v>0</v>
      </c>
      <c r="U1205" s="88">
        <f>SUMIF(月間集計シート!$M$50:$M$69,$G1205,月間集計シート!R$50:R$69)*U$2</f>
        <v>0</v>
      </c>
      <c r="V1205" s="88">
        <f>SUMIF(月間集計シート!$M$50:$M$69,$G1205,月間集計シート!S$50:S$69)*V$2</f>
        <v>0</v>
      </c>
      <c r="W1205" s="88">
        <f>SUMIF(月間集計シート!$M$50:$M$69,$G1205,月間集計シート!T$50:T$69)*W$2</f>
        <v>0</v>
      </c>
      <c r="X1205" s="88">
        <f>SUMIF(月間集計シート!$M$71:$M$90,$G1205,月間集計シート!N$71:N$90)*X$2</f>
        <v>0</v>
      </c>
      <c r="Y1205" s="88">
        <f>SUMIF(月間集計シート!$M$71:$M$90,$G1205,月間集計シート!O$71:O$90)*Y$2</f>
        <v>0</v>
      </c>
      <c r="Z1205" s="88">
        <f>SUMIF(月間集計シート!$M$71:$M$90,$G1205,月間集計シート!P$71:P$90)*Z$2</f>
        <v>0</v>
      </c>
      <c r="AA1205" s="88">
        <f>SUMIF(月間集計シート!$M$71:$M$90,$G1205,月間集計シート!Q$71:Q$90)*AA$2</f>
        <v>0</v>
      </c>
      <c r="AB1205" s="88">
        <f>SUMIF(月間集計シート!$M$71:$M$90,$G1205,月間集計シート!R$71:R$90)*AB$2</f>
        <v>0</v>
      </c>
      <c r="AC1205" s="88">
        <f>SUMIF(月間集計シート!$M$71:$M$90,$G1205,月間集計シート!S$71:S$90)*AC$2</f>
        <v>0</v>
      </c>
      <c r="AD1205" s="88">
        <f>SUMIF(月間集計シート!$M$71:$M$90,$G1205,月間集計シート!T$71:T$90)*AD$2</f>
        <v>0</v>
      </c>
      <c r="AE1205" s="88">
        <f>SUMIF(月間集計シート!$M$92:$M$111,$G1205,月間集計シート!N$92:N$111)*AE$2</f>
        <v>0</v>
      </c>
      <c r="AF1205" s="88">
        <f>SUMIF(月間集計シート!$M$92:$M$111,$G1205,月間集計シート!O$92:O$111)*AF$2</f>
        <v>0</v>
      </c>
      <c r="AG1205" s="88">
        <f>SUMIF(月間集計シート!$M$92:$M$111,$G1205,月間集計シート!P$92:P$111)*AG$2</f>
        <v>0</v>
      </c>
      <c r="AH1205" s="88">
        <f>SUMIF(月間集計シート!$M$92:$M$111,$G1205,月間集計シート!Q$92:Q$111)*AH$2</f>
        <v>0</v>
      </c>
      <c r="AI1205" s="88">
        <f>SUMIF(月間集計シート!$M$92:$M$111,$G1205,月間集計シート!R$92:R$111)*AI$2</f>
        <v>0</v>
      </c>
      <c r="AJ1205" s="88">
        <f>SUMIF(月間集計シート!$M$92:$M$111,$G1205,月間集計シート!S$92:S$111)*AJ$2</f>
        <v>0</v>
      </c>
      <c r="AK1205" s="88">
        <f>SUMIF(月間集計シート!$M$92:$M$111,$G1205,月間集計シート!T$92:T$111)*AK$2</f>
        <v>0</v>
      </c>
      <c r="AL1205" s="88">
        <f>SUMIF(月間集計シート!$M$113:$M$132,$G1205,月間集計シート!N$113:N$132)*AL$2</f>
        <v>0</v>
      </c>
      <c r="AM1205" s="88">
        <f>SUMIF(月間集計シート!$M$113:$M$132,$G1205,月間集計シート!O$113:O$132)*AM$2</f>
        <v>0</v>
      </c>
      <c r="AN1205" s="88">
        <f>SUMIF(月間集計シート!$M$113:$M$132,$G1205,月間集計シート!P$113:P$132)*AN$2</f>
        <v>0</v>
      </c>
      <c r="AO1205" s="88">
        <f>SUMIF(月間集計シート!$M$113:$M$132,$G1205,月間集計シート!Q$113:Q$132)*AO$2</f>
        <v>0</v>
      </c>
      <c r="AP1205" s="88">
        <f>SUMIF(月間集計シート!$M$113:$M$132,$G1205,月間集計シート!R$113:R$132)*AP$2</f>
        <v>0</v>
      </c>
      <c r="AQ1205" s="88">
        <f>SUMIF(月間集計シート!$M$113:$M$132,$G1205,月間集計シート!S$113:S$132)*AQ$2</f>
        <v>0</v>
      </c>
      <c r="AR1205" s="88">
        <f>SUMIF(月間集計シート!$M$113:$M$132,$G1205,月間集計シート!T$113:T$132)*AR$2</f>
        <v>0</v>
      </c>
      <c r="AS1205" s="88">
        <f>SUMIF(月間集計シート!$M$134:$M$153,$G1205,月間集計シート!N$134:N$153)*AS$2</f>
        <v>0</v>
      </c>
      <c r="AT1205" s="88">
        <f>SUMIF(月間集計シート!$M$134:$M$153,$G1205,月間集計シート!O$134:O$153)*AT$2</f>
        <v>0</v>
      </c>
      <c r="AU1205" s="88">
        <f>SUMIF(月間集計シート!$M$134:$M$153,$G1205,月間集計シート!P$134:P$153)*AU$2</f>
        <v>0</v>
      </c>
      <c r="AV1205" s="88">
        <f>SUMIF(月間集計シート!$M$134:$M$153,$G1205,月間集計シート!Q$134:Q$153)*AV$2</f>
        <v>0</v>
      </c>
      <c r="AW1205" s="88">
        <f>SUMIF(月間集計シート!$M$134:$M$153,$G1205,月間集計シート!R$134:R$153)*AW$2</f>
        <v>0</v>
      </c>
      <c r="AX1205" s="88">
        <f>SUMIF(月間集計シート!$M$134:$M$153,$G1205,月間集計シート!S$134:S$153)*AX$2</f>
        <v>0</v>
      </c>
      <c r="AY1205" s="88">
        <f>SUMIF(月間集計シート!$M$134:$M$153,$G1205,月間集計シート!T$134:T$153)*AY$2</f>
        <v>0</v>
      </c>
    </row>
    <row r="1206" spans="1:51" ht="14.25" thickBot="1">
      <c r="A1206">
        <v>15</v>
      </c>
      <c r="B1206" s="120">
        <f t="shared" si="676"/>
        <v>0</v>
      </c>
      <c r="C1206" s="120" t="str">
        <f t="shared" si="677"/>
        <v/>
      </c>
      <c r="D1206" s="137"/>
      <c r="E1206" s="150" t="str">
        <f>工種!A8</f>
        <v>20103</v>
      </c>
      <c r="F1206" s="119" t="str">
        <f>工種!B8</f>
        <v>設計：打合せ</v>
      </c>
      <c r="G1206" s="116" t="str">
        <f t="shared" si="625"/>
        <v>020103</v>
      </c>
      <c r="H1206" s="88">
        <f t="shared" si="675"/>
        <v>0</v>
      </c>
      <c r="I1206" s="132"/>
      <c r="J1206" s="88">
        <f>SUMIF(月間集計シート!$M$29:$M$48,$G1206,月間集計シート!N$29:N$48)*J$2</f>
        <v>0</v>
      </c>
      <c r="K1206" s="88">
        <f>SUMIF(月間集計シート!$M$29:$M$48,$G1206,月間集計シート!O$29:O$48)*K$2</f>
        <v>0</v>
      </c>
      <c r="L1206" s="88">
        <f>SUMIF(月間集計シート!$M$29:$M$48,$G1206,月間集計シート!P$29:P$48)*L$2</f>
        <v>0</v>
      </c>
      <c r="M1206" s="88">
        <f>SUMIF(月間集計シート!$M$29:$M$48,$G1206,月間集計シート!Q$29:Q$48)*M$2</f>
        <v>0</v>
      </c>
      <c r="N1206" s="88">
        <f>SUMIF(月間集計シート!$M$29:$M$48,$G1206,月間集計シート!R$29:R$48)*N$2</f>
        <v>0</v>
      </c>
      <c r="O1206" s="88">
        <f>SUMIF(月間集計シート!$M$29:$M$48,$G1206,月間集計シート!S$29:S$48)*O$2</f>
        <v>0</v>
      </c>
      <c r="P1206" s="88">
        <f>SUMIF(月間集計シート!$M$29:$M$48,$G1206,月間集計シート!T$29:T$48)*P$2</f>
        <v>0</v>
      </c>
      <c r="Q1206" s="88">
        <f>SUMIF(月間集計シート!$M$50:$M$69,$G1206,月間集計シート!N$50:N$69)*Q$2</f>
        <v>0</v>
      </c>
      <c r="R1206" s="88">
        <f>SUMIF(月間集計シート!$M$50:$M$69,$G1206,月間集計シート!O$50:O$69)*R$2</f>
        <v>0</v>
      </c>
      <c r="S1206" s="88">
        <f>SUMIF(月間集計シート!$M$50:$M$69,$G1206,月間集計シート!P$50:P$69)*S$2</f>
        <v>0</v>
      </c>
      <c r="T1206" s="88">
        <f>SUMIF(月間集計シート!$M$50:$M$69,$G1206,月間集計シート!Q$50:Q$69)*T$2</f>
        <v>0</v>
      </c>
      <c r="U1206" s="88">
        <f>SUMIF(月間集計シート!$M$50:$M$69,$G1206,月間集計シート!R$50:R$69)*U$2</f>
        <v>0</v>
      </c>
      <c r="V1206" s="88">
        <f>SUMIF(月間集計シート!$M$50:$M$69,$G1206,月間集計シート!S$50:S$69)*V$2</f>
        <v>0</v>
      </c>
      <c r="W1206" s="88">
        <f>SUMIF(月間集計シート!$M$50:$M$69,$G1206,月間集計シート!T$50:T$69)*W$2</f>
        <v>0</v>
      </c>
      <c r="X1206" s="88">
        <f>SUMIF(月間集計シート!$M$71:$M$90,$G1206,月間集計シート!N$71:N$90)*X$2</f>
        <v>0</v>
      </c>
      <c r="Y1206" s="88">
        <f>SUMIF(月間集計シート!$M$71:$M$90,$G1206,月間集計シート!O$71:O$90)*Y$2</f>
        <v>0</v>
      </c>
      <c r="Z1206" s="88">
        <f>SUMIF(月間集計シート!$M$71:$M$90,$G1206,月間集計シート!P$71:P$90)*Z$2</f>
        <v>0</v>
      </c>
      <c r="AA1206" s="88">
        <f>SUMIF(月間集計シート!$M$71:$M$90,$G1206,月間集計シート!Q$71:Q$90)*AA$2</f>
        <v>0</v>
      </c>
      <c r="AB1206" s="88">
        <f>SUMIF(月間集計シート!$M$71:$M$90,$G1206,月間集計シート!R$71:R$90)*AB$2</f>
        <v>0</v>
      </c>
      <c r="AC1206" s="88">
        <f>SUMIF(月間集計シート!$M$71:$M$90,$G1206,月間集計シート!S$71:S$90)*AC$2</f>
        <v>0</v>
      </c>
      <c r="AD1206" s="88">
        <f>SUMIF(月間集計シート!$M$71:$M$90,$G1206,月間集計シート!T$71:T$90)*AD$2</f>
        <v>0</v>
      </c>
      <c r="AE1206" s="88">
        <f>SUMIF(月間集計シート!$M$92:$M$111,$G1206,月間集計シート!N$92:N$111)*AE$2</f>
        <v>0</v>
      </c>
      <c r="AF1206" s="88">
        <f>SUMIF(月間集計シート!$M$92:$M$111,$G1206,月間集計シート!O$92:O$111)*AF$2</f>
        <v>0</v>
      </c>
      <c r="AG1206" s="88">
        <f>SUMIF(月間集計シート!$M$92:$M$111,$G1206,月間集計シート!P$92:P$111)*AG$2</f>
        <v>0</v>
      </c>
      <c r="AH1206" s="88">
        <f>SUMIF(月間集計シート!$M$92:$M$111,$G1206,月間集計シート!Q$92:Q$111)*AH$2</f>
        <v>0</v>
      </c>
      <c r="AI1206" s="88">
        <f>SUMIF(月間集計シート!$M$92:$M$111,$G1206,月間集計シート!R$92:R$111)*AI$2</f>
        <v>0</v>
      </c>
      <c r="AJ1206" s="88">
        <f>SUMIF(月間集計シート!$M$92:$M$111,$G1206,月間集計シート!S$92:S$111)*AJ$2</f>
        <v>0</v>
      </c>
      <c r="AK1206" s="88">
        <f>SUMIF(月間集計シート!$M$92:$M$111,$G1206,月間集計シート!T$92:T$111)*AK$2</f>
        <v>0</v>
      </c>
      <c r="AL1206" s="88">
        <f>SUMIF(月間集計シート!$M$113:$M$132,$G1206,月間集計シート!N$113:N$132)*AL$2</f>
        <v>0</v>
      </c>
      <c r="AM1206" s="88">
        <f>SUMIF(月間集計シート!$M$113:$M$132,$G1206,月間集計シート!O$113:O$132)*AM$2</f>
        <v>0</v>
      </c>
      <c r="AN1206" s="88">
        <f>SUMIF(月間集計シート!$M$113:$M$132,$G1206,月間集計シート!P$113:P$132)*AN$2</f>
        <v>0</v>
      </c>
      <c r="AO1206" s="88">
        <f>SUMIF(月間集計シート!$M$113:$M$132,$G1206,月間集計シート!Q$113:Q$132)*AO$2</f>
        <v>0</v>
      </c>
      <c r="AP1206" s="88">
        <f>SUMIF(月間集計シート!$M$113:$M$132,$G1206,月間集計シート!R$113:R$132)*AP$2</f>
        <v>0</v>
      </c>
      <c r="AQ1206" s="88">
        <f>SUMIF(月間集計シート!$M$113:$M$132,$G1206,月間集計シート!S$113:S$132)*AQ$2</f>
        <v>0</v>
      </c>
      <c r="AR1206" s="88">
        <f>SUMIF(月間集計シート!$M$113:$M$132,$G1206,月間集計シート!T$113:T$132)*AR$2</f>
        <v>0</v>
      </c>
      <c r="AS1206" s="88">
        <f>SUMIF(月間集計シート!$M$134:$M$153,$G1206,月間集計シート!N$134:N$153)*AS$2</f>
        <v>0</v>
      </c>
      <c r="AT1206" s="88">
        <f>SUMIF(月間集計シート!$M$134:$M$153,$G1206,月間集計シート!O$134:O$153)*AT$2</f>
        <v>0</v>
      </c>
      <c r="AU1206" s="88">
        <f>SUMIF(月間集計シート!$M$134:$M$153,$G1206,月間集計シート!P$134:P$153)*AU$2</f>
        <v>0</v>
      </c>
      <c r="AV1206" s="88">
        <f>SUMIF(月間集計シート!$M$134:$M$153,$G1206,月間集計シート!Q$134:Q$153)*AV$2</f>
        <v>0</v>
      </c>
      <c r="AW1206" s="88">
        <f>SUMIF(月間集計シート!$M$134:$M$153,$G1206,月間集計シート!R$134:R$153)*AW$2</f>
        <v>0</v>
      </c>
      <c r="AX1206" s="88">
        <f>SUMIF(月間集計シート!$M$134:$M$153,$G1206,月間集計シート!S$134:S$153)*AX$2</f>
        <v>0</v>
      </c>
      <c r="AY1206" s="88">
        <f>SUMIF(月間集計シート!$M$134:$M$153,$G1206,月間集計シート!T$134:T$153)*AY$2</f>
        <v>0</v>
      </c>
    </row>
    <row r="1207" spans="1:51" ht="14.25" thickBot="1">
      <c r="A1207">
        <v>15</v>
      </c>
      <c r="B1207" s="120">
        <f t="shared" si="676"/>
        <v>0</v>
      </c>
      <c r="C1207" s="120" t="str">
        <f t="shared" si="677"/>
        <v/>
      </c>
      <c r="D1207" s="137"/>
      <c r="E1207" s="150">
        <f>工種!A9</f>
        <v>20105</v>
      </c>
      <c r="F1207" s="119" t="str">
        <f>工種!B9</f>
        <v>設計：原因調査・影響範囲分析・変更仕様作成</v>
      </c>
      <c r="G1207" s="116" t="str">
        <f t="shared" si="625"/>
        <v>020105</v>
      </c>
      <c r="H1207" s="88">
        <f t="shared" si="675"/>
        <v>0</v>
      </c>
      <c r="I1207" s="132"/>
      <c r="J1207" s="88">
        <f>SUMIF(月間集計シート!$M$29:$M$48,$G1207,月間集計シート!N$29:N$48)*J$2</f>
        <v>0</v>
      </c>
      <c r="K1207" s="88">
        <f>SUMIF(月間集計シート!$M$29:$M$48,$G1207,月間集計シート!O$29:O$48)*K$2</f>
        <v>0</v>
      </c>
      <c r="L1207" s="88">
        <f>SUMIF(月間集計シート!$M$29:$M$48,$G1207,月間集計シート!P$29:P$48)*L$2</f>
        <v>0</v>
      </c>
      <c r="M1207" s="88">
        <f>SUMIF(月間集計シート!$M$29:$M$48,$G1207,月間集計シート!Q$29:Q$48)*M$2</f>
        <v>0</v>
      </c>
      <c r="N1207" s="88">
        <f>SUMIF(月間集計シート!$M$29:$M$48,$G1207,月間集計シート!R$29:R$48)*N$2</f>
        <v>0</v>
      </c>
      <c r="O1207" s="88">
        <f>SUMIF(月間集計シート!$M$29:$M$48,$G1207,月間集計シート!S$29:S$48)*O$2</f>
        <v>0</v>
      </c>
      <c r="P1207" s="88">
        <f>SUMIF(月間集計シート!$M$29:$M$48,$G1207,月間集計シート!T$29:T$48)*P$2</f>
        <v>0</v>
      </c>
      <c r="Q1207" s="88">
        <f>SUMIF(月間集計シート!$M$50:$M$69,$G1207,月間集計シート!N$50:N$69)*Q$2</f>
        <v>0</v>
      </c>
      <c r="R1207" s="88">
        <f>SUMIF(月間集計シート!$M$50:$M$69,$G1207,月間集計シート!O$50:O$69)*R$2</f>
        <v>0</v>
      </c>
      <c r="S1207" s="88">
        <f>SUMIF(月間集計シート!$M$50:$M$69,$G1207,月間集計シート!P$50:P$69)*S$2</f>
        <v>0</v>
      </c>
      <c r="T1207" s="88">
        <f>SUMIF(月間集計シート!$M$50:$M$69,$G1207,月間集計シート!Q$50:Q$69)*T$2</f>
        <v>0</v>
      </c>
      <c r="U1207" s="88">
        <f>SUMIF(月間集計シート!$M$50:$M$69,$G1207,月間集計シート!R$50:R$69)*U$2</f>
        <v>0</v>
      </c>
      <c r="V1207" s="88">
        <f>SUMIF(月間集計シート!$M$50:$M$69,$G1207,月間集計シート!S$50:S$69)*V$2</f>
        <v>0</v>
      </c>
      <c r="W1207" s="88">
        <f>SUMIF(月間集計シート!$M$50:$M$69,$G1207,月間集計シート!T$50:T$69)*W$2</f>
        <v>0</v>
      </c>
      <c r="X1207" s="88">
        <f>SUMIF(月間集計シート!$M$71:$M$90,$G1207,月間集計シート!N$71:N$90)*X$2</f>
        <v>0</v>
      </c>
      <c r="Y1207" s="88">
        <f>SUMIF(月間集計シート!$M$71:$M$90,$G1207,月間集計シート!O$71:O$90)*Y$2</f>
        <v>0</v>
      </c>
      <c r="Z1207" s="88">
        <f>SUMIF(月間集計シート!$M$71:$M$90,$G1207,月間集計シート!P$71:P$90)*Z$2</f>
        <v>0</v>
      </c>
      <c r="AA1207" s="88">
        <f>SUMIF(月間集計シート!$M$71:$M$90,$G1207,月間集計シート!Q$71:Q$90)*AA$2</f>
        <v>0</v>
      </c>
      <c r="AB1207" s="88">
        <f>SUMIF(月間集計シート!$M$71:$M$90,$G1207,月間集計シート!R$71:R$90)*AB$2</f>
        <v>0</v>
      </c>
      <c r="AC1207" s="88">
        <f>SUMIF(月間集計シート!$M$71:$M$90,$G1207,月間集計シート!S$71:S$90)*AC$2</f>
        <v>0</v>
      </c>
      <c r="AD1207" s="88">
        <f>SUMIF(月間集計シート!$M$71:$M$90,$G1207,月間集計シート!T$71:T$90)*AD$2</f>
        <v>0</v>
      </c>
      <c r="AE1207" s="88">
        <f>SUMIF(月間集計シート!$M$92:$M$111,$G1207,月間集計シート!N$92:N$111)*AE$2</f>
        <v>0</v>
      </c>
      <c r="AF1207" s="88">
        <f>SUMIF(月間集計シート!$M$92:$M$111,$G1207,月間集計シート!O$92:O$111)*AF$2</f>
        <v>0</v>
      </c>
      <c r="AG1207" s="88">
        <f>SUMIF(月間集計シート!$M$92:$M$111,$G1207,月間集計シート!P$92:P$111)*AG$2</f>
        <v>0</v>
      </c>
      <c r="AH1207" s="88">
        <f>SUMIF(月間集計シート!$M$92:$M$111,$G1207,月間集計シート!Q$92:Q$111)*AH$2</f>
        <v>0</v>
      </c>
      <c r="AI1207" s="88">
        <f>SUMIF(月間集計シート!$M$92:$M$111,$G1207,月間集計シート!R$92:R$111)*AI$2</f>
        <v>0</v>
      </c>
      <c r="AJ1207" s="88">
        <f>SUMIF(月間集計シート!$M$92:$M$111,$G1207,月間集計シート!S$92:S$111)*AJ$2</f>
        <v>0</v>
      </c>
      <c r="AK1207" s="88">
        <f>SUMIF(月間集計シート!$M$92:$M$111,$G1207,月間集計シート!T$92:T$111)*AK$2</f>
        <v>0</v>
      </c>
      <c r="AL1207" s="88">
        <f>SUMIF(月間集計シート!$M$113:$M$132,$G1207,月間集計シート!N$113:N$132)*AL$2</f>
        <v>0</v>
      </c>
      <c r="AM1207" s="88">
        <f>SUMIF(月間集計シート!$M$113:$M$132,$G1207,月間集計シート!O$113:O$132)*AM$2</f>
        <v>0</v>
      </c>
      <c r="AN1207" s="88">
        <f>SUMIF(月間集計シート!$M$113:$M$132,$G1207,月間集計シート!P$113:P$132)*AN$2</f>
        <v>0</v>
      </c>
      <c r="AO1207" s="88">
        <f>SUMIF(月間集計シート!$M$113:$M$132,$G1207,月間集計シート!Q$113:Q$132)*AO$2</f>
        <v>0</v>
      </c>
      <c r="AP1207" s="88">
        <f>SUMIF(月間集計シート!$M$113:$M$132,$G1207,月間集計シート!R$113:R$132)*AP$2</f>
        <v>0</v>
      </c>
      <c r="AQ1207" s="88">
        <f>SUMIF(月間集計シート!$M$113:$M$132,$G1207,月間集計シート!S$113:S$132)*AQ$2</f>
        <v>0</v>
      </c>
      <c r="AR1207" s="88">
        <f>SUMIF(月間集計シート!$M$113:$M$132,$G1207,月間集計シート!T$113:T$132)*AR$2</f>
        <v>0</v>
      </c>
      <c r="AS1207" s="88">
        <f>SUMIF(月間集計シート!$M$134:$M$153,$G1207,月間集計シート!N$134:N$153)*AS$2</f>
        <v>0</v>
      </c>
      <c r="AT1207" s="88">
        <f>SUMIF(月間集計シート!$M$134:$M$153,$G1207,月間集計シート!O$134:O$153)*AT$2</f>
        <v>0</v>
      </c>
      <c r="AU1207" s="88">
        <f>SUMIF(月間集計シート!$M$134:$M$153,$G1207,月間集計シート!P$134:P$153)*AU$2</f>
        <v>0</v>
      </c>
      <c r="AV1207" s="88">
        <f>SUMIF(月間集計シート!$M$134:$M$153,$G1207,月間集計シート!Q$134:Q$153)*AV$2</f>
        <v>0</v>
      </c>
      <c r="AW1207" s="88">
        <f>SUMIF(月間集計シート!$M$134:$M$153,$G1207,月間集計シート!R$134:R$153)*AW$2</f>
        <v>0</v>
      </c>
      <c r="AX1207" s="88">
        <f>SUMIF(月間集計シート!$M$134:$M$153,$G1207,月間集計シート!S$134:S$153)*AX$2</f>
        <v>0</v>
      </c>
      <c r="AY1207" s="88">
        <f>SUMIF(月間集計シート!$M$134:$M$153,$G1207,月間集計シート!T$134:T$153)*AY$2</f>
        <v>0</v>
      </c>
    </row>
    <row r="1208" spans="1:51" ht="14.25" thickBot="1">
      <c r="A1208">
        <v>15</v>
      </c>
      <c r="B1208" s="120">
        <f t="shared" si="676"/>
        <v>0</v>
      </c>
      <c r="C1208" s="120" t="str">
        <f t="shared" si="677"/>
        <v/>
      </c>
      <c r="D1208" s="137"/>
      <c r="E1208" s="150" t="str">
        <f>工種!A10</f>
        <v>20106</v>
      </c>
      <c r="F1208" s="119" t="str">
        <f>工種!B10</f>
        <v>設計：設計書修正（手戻り分）</v>
      </c>
      <c r="G1208" s="116" t="str">
        <f t="shared" si="625"/>
        <v>020106</v>
      </c>
      <c r="H1208" s="88">
        <f t="shared" si="675"/>
        <v>0</v>
      </c>
      <c r="I1208" s="132"/>
      <c r="J1208" s="88">
        <f>SUMIF(月間集計シート!$M$29:$M$48,$G1208,月間集計シート!N$29:N$48)*J$2</f>
        <v>0</v>
      </c>
      <c r="K1208" s="88">
        <f>SUMIF(月間集計シート!$M$29:$M$48,$G1208,月間集計シート!O$29:O$48)*K$2</f>
        <v>0</v>
      </c>
      <c r="L1208" s="88">
        <f>SUMIF(月間集計シート!$M$29:$M$48,$G1208,月間集計シート!P$29:P$48)*L$2</f>
        <v>0</v>
      </c>
      <c r="M1208" s="88">
        <f>SUMIF(月間集計シート!$M$29:$M$48,$G1208,月間集計シート!Q$29:Q$48)*M$2</f>
        <v>0</v>
      </c>
      <c r="N1208" s="88">
        <f>SUMIF(月間集計シート!$M$29:$M$48,$G1208,月間集計シート!R$29:R$48)*N$2</f>
        <v>0</v>
      </c>
      <c r="O1208" s="88">
        <f>SUMIF(月間集計シート!$M$29:$M$48,$G1208,月間集計シート!S$29:S$48)*O$2</f>
        <v>0</v>
      </c>
      <c r="P1208" s="88">
        <f>SUMIF(月間集計シート!$M$29:$M$48,$G1208,月間集計シート!T$29:T$48)*P$2</f>
        <v>0</v>
      </c>
      <c r="Q1208" s="88">
        <f>SUMIF(月間集計シート!$M$50:$M$69,$G1208,月間集計シート!N$50:N$69)*Q$2</f>
        <v>0</v>
      </c>
      <c r="R1208" s="88">
        <f>SUMIF(月間集計シート!$M$50:$M$69,$G1208,月間集計シート!O$50:O$69)*R$2</f>
        <v>0</v>
      </c>
      <c r="S1208" s="88">
        <f>SUMIF(月間集計シート!$M$50:$M$69,$G1208,月間集計シート!P$50:P$69)*S$2</f>
        <v>0</v>
      </c>
      <c r="T1208" s="88">
        <f>SUMIF(月間集計シート!$M$50:$M$69,$G1208,月間集計シート!Q$50:Q$69)*T$2</f>
        <v>0</v>
      </c>
      <c r="U1208" s="88">
        <f>SUMIF(月間集計シート!$M$50:$M$69,$G1208,月間集計シート!R$50:R$69)*U$2</f>
        <v>0</v>
      </c>
      <c r="V1208" s="88">
        <f>SUMIF(月間集計シート!$M$50:$M$69,$G1208,月間集計シート!S$50:S$69)*V$2</f>
        <v>0</v>
      </c>
      <c r="W1208" s="88">
        <f>SUMIF(月間集計シート!$M$50:$M$69,$G1208,月間集計シート!T$50:T$69)*W$2</f>
        <v>0</v>
      </c>
      <c r="X1208" s="88">
        <f>SUMIF(月間集計シート!$M$71:$M$90,$G1208,月間集計シート!N$71:N$90)*X$2</f>
        <v>0</v>
      </c>
      <c r="Y1208" s="88">
        <f>SUMIF(月間集計シート!$M$71:$M$90,$G1208,月間集計シート!O$71:O$90)*Y$2</f>
        <v>0</v>
      </c>
      <c r="Z1208" s="88">
        <f>SUMIF(月間集計シート!$M$71:$M$90,$G1208,月間集計シート!P$71:P$90)*Z$2</f>
        <v>0</v>
      </c>
      <c r="AA1208" s="88">
        <f>SUMIF(月間集計シート!$M$71:$M$90,$G1208,月間集計シート!Q$71:Q$90)*AA$2</f>
        <v>0</v>
      </c>
      <c r="AB1208" s="88">
        <f>SUMIF(月間集計シート!$M$71:$M$90,$G1208,月間集計シート!R$71:R$90)*AB$2</f>
        <v>0</v>
      </c>
      <c r="AC1208" s="88">
        <f>SUMIF(月間集計シート!$M$71:$M$90,$G1208,月間集計シート!S$71:S$90)*AC$2</f>
        <v>0</v>
      </c>
      <c r="AD1208" s="88">
        <f>SUMIF(月間集計シート!$M$71:$M$90,$G1208,月間集計シート!T$71:T$90)*AD$2</f>
        <v>0</v>
      </c>
      <c r="AE1208" s="88">
        <f>SUMIF(月間集計シート!$M$92:$M$111,$G1208,月間集計シート!N$92:N$111)*AE$2</f>
        <v>0</v>
      </c>
      <c r="AF1208" s="88">
        <f>SUMIF(月間集計シート!$M$92:$M$111,$G1208,月間集計シート!O$92:O$111)*AF$2</f>
        <v>0</v>
      </c>
      <c r="AG1208" s="88">
        <f>SUMIF(月間集計シート!$M$92:$M$111,$G1208,月間集計シート!P$92:P$111)*AG$2</f>
        <v>0</v>
      </c>
      <c r="AH1208" s="88">
        <f>SUMIF(月間集計シート!$M$92:$M$111,$G1208,月間集計シート!Q$92:Q$111)*AH$2</f>
        <v>0</v>
      </c>
      <c r="AI1208" s="88">
        <f>SUMIF(月間集計シート!$M$92:$M$111,$G1208,月間集計シート!R$92:R$111)*AI$2</f>
        <v>0</v>
      </c>
      <c r="AJ1208" s="88">
        <f>SUMIF(月間集計シート!$M$92:$M$111,$G1208,月間集計シート!S$92:S$111)*AJ$2</f>
        <v>0</v>
      </c>
      <c r="AK1208" s="88">
        <f>SUMIF(月間集計シート!$M$92:$M$111,$G1208,月間集計シート!T$92:T$111)*AK$2</f>
        <v>0</v>
      </c>
      <c r="AL1208" s="88">
        <f>SUMIF(月間集計シート!$M$113:$M$132,$G1208,月間集計シート!N$113:N$132)*AL$2</f>
        <v>0</v>
      </c>
      <c r="AM1208" s="88">
        <f>SUMIF(月間集計シート!$M$113:$M$132,$G1208,月間集計シート!O$113:O$132)*AM$2</f>
        <v>0</v>
      </c>
      <c r="AN1208" s="88">
        <f>SUMIF(月間集計シート!$M$113:$M$132,$G1208,月間集計シート!P$113:P$132)*AN$2</f>
        <v>0</v>
      </c>
      <c r="AO1208" s="88">
        <f>SUMIF(月間集計シート!$M$113:$M$132,$G1208,月間集計シート!Q$113:Q$132)*AO$2</f>
        <v>0</v>
      </c>
      <c r="AP1208" s="88">
        <f>SUMIF(月間集計シート!$M$113:$M$132,$G1208,月間集計シート!R$113:R$132)*AP$2</f>
        <v>0</v>
      </c>
      <c r="AQ1208" s="88">
        <f>SUMIF(月間集計シート!$M$113:$M$132,$G1208,月間集計シート!S$113:S$132)*AQ$2</f>
        <v>0</v>
      </c>
      <c r="AR1208" s="88">
        <f>SUMIF(月間集計シート!$M$113:$M$132,$G1208,月間集計シート!T$113:T$132)*AR$2</f>
        <v>0</v>
      </c>
      <c r="AS1208" s="88">
        <f>SUMIF(月間集計シート!$M$134:$M$153,$G1208,月間集計シート!N$134:N$153)*AS$2</f>
        <v>0</v>
      </c>
      <c r="AT1208" s="88">
        <f>SUMIF(月間集計シート!$M$134:$M$153,$G1208,月間集計シート!O$134:O$153)*AT$2</f>
        <v>0</v>
      </c>
      <c r="AU1208" s="88">
        <f>SUMIF(月間集計シート!$M$134:$M$153,$G1208,月間集計シート!P$134:P$153)*AU$2</f>
        <v>0</v>
      </c>
      <c r="AV1208" s="88">
        <f>SUMIF(月間集計シート!$M$134:$M$153,$G1208,月間集計シート!Q$134:Q$153)*AV$2</f>
        <v>0</v>
      </c>
      <c r="AW1208" s="88">
        <f>SUMIF(月間集計シート!$M$134:$M$153,$G1208,月間集計シート!R$134:R$153)*AW$2</f>
        <v>0</v>
      </c>
      <c r="AX1208" s="88">
        <f>SUMIF(月間集計シート!$M$134:$M$153,$G1208,月間集計シート!S$134:S$153)*AX$2</f>
        <v>0</v>
      </c>
      <c r="AY1208" s="88">
        <f>SUMIF(月間集計シート!$M$134:$M$153,$G1208,月間集計シート!T$134:T$153)*AY$2</f>
        <v>0</v>
      </c>
    </row>
    <row r="1209" spans="1:51" ht="14.25" thickBot="1">
      <c r="A1209">
        <v>15</v>
      </c>
      <c r="B1209" s="120">
        <f t="shared" si="676"/>
        <v>0</v>
      </c>
      <c r="C1209" s="120" t="str">
        <f t="shared" si="677"/>
        <v/>
      </c>
      <c r="D1209" s="137"/>
      <c r="E1209" s="150" t="str">
        <f>工種!A11</f>
        <v>20107</v>
      </c>
      <c r="F1209" s="119" t="str">
        <f>工種!B11</f>
        <v>設計：その他の設計書作成</v>
      </c>
      <c r="G1209" s="116" t="str">
        <f t="shared" si="625"/>
        <v>020107</v>
      </c>
      <c r="H1209" s="88">
        <f t="shared" si="675"/>
        <v>0</v>
      </c>
      <c r="I1209" s="132"/>
      <c r="J1209" s="88">
        <f>SUMIF(月間集計シート!$M$29:$M$48,$G1209,月間集計シート!N$29:N$48)*J$2</f>
        <v>0</v>
      </c>
      <c r="K1209" s="88">
        <f>SUMIF(月間集計シート!$M$29:$M$48,$G1209,月間集計シート!O$29:O$48)*K$2</f>
        <v>0</v>
      </c>
      <c r="L1209" s="88">
        <f>SUMIF(月間集計シート!$M$29:$M$48,$G1209,月間集計シート!P$29:P$48)*L$2</f>
        <v>0</v>
      </c>
      <c r="M1209" s="88">
        <f>SUMIF(月間集計シート!$M$29:$M$48,$G1209,月間集計シート!Q$29:Q$48)*M$2</f>
        <v>0</v>
      </c>
      <c r="N1209" s="88">
        <f>SUMIF(月間集計シート!$M$29:$M$48,$G1209,月間集計シート!R$29:R$48)*N$2</f>
        <v>0</v>
      </c>
      <c r="O1209" s="88">
        <f>SUMIF(月間集計シート!$M$29:$M$48,$G1209,月間集計シート!S$29:S$48)*O$2</f>
        <v>0</v>
      </c>
      <c r="P1209" s="88">
        <f>SUMIF(月間集計シート!$M$29:$M$48,$G1209,月間集計シート!T$29:T$48)*P$2</f>
        <v>0</v>
      </c>
      <c r="Q1209" s="88">
        <f>SUMIF(月間集計シート!$M$50:$M$69,$G1209,月間集計シート!N$50:N$69)*Q$2</f>
        <v>0</v>
      </c>
      <c r="R1209" s="88">
        <f>SUMIF(月間集計シート!$M$50:$M$69,$G1209,月間集計シート!O$50:O$69)*R$2</f>
        <v>0</v>
      </c>
      <c r="S1209" s="88">
        <f>SUMIF(月間集計シート!$M$50:$M$69,$G1209,月間集計シート!P$50:P$69)*S$2</f>
        <v>0</v>
      </c>
      <c r="T1209" s="88">
        <f>SUMIF(月間集計シート!$M$50:$M$69,$G1209,月間集計シート!Q$50:Q$69)*T$2</f>
        <v>0</v>
      </c>
      <c r="U1209" s="88">
        <f>SUMIF(月間集計シート!$M$50:$M$69,$G1209,月間集計シート!R$50:R$69)*U$2</f>
        <v>0</v>
      </c>
      <c r="V1209" s="88">
        <f>SUMIF(月間集計シート!$M$50:$M$69,$G1209,月間集計シート!S$50:S$69)*V$2</f>
        <v>0</v>
      </c>
      <c r="W1209" s="88">
        <f>SUMIF(月間集計シート!$M$50:$M$69,$G1209,月間集計シート!T$50:T$69)*W$2</f>
        <v>0</v>
      </c>
      <c r="X1209" s="88">
        <f>SUMIF(月間集計シート!$M$71:$M$90,$G1209,月間集計シート!N$71:N$90)*X$2</f>
        <v>0</v>
      </c>
      <c r="Y1209" s="88">
        <f>SUMIF(月間集計シート!$M$71:$M$90,$G1209,月間集計シート!O$71:O$90)*Y$2</f>
        <v>0</v>
      </c>
      <c r="Z1209" s="88">
        <f>SUMIF(月間集計シート!$M$71:$M$90,$G1209,月間集計シート!P$71:P$90)*Z$2</f>
        <v>0</v>
      </c>
      <c r="AA1209" s="88">
        <f>SUMIF(月間集計シート!$M$71:$M$90,$G1209,月間集計シート!Q$71:Q$90)*AA$2</f>
        <v>0</v>
      </c>
      <c r="AB1209" s="88">
        <f>SUMIF(月間集計シート!$M$71:$M$90,$G1209,月間集計シート!R$71:R$90)*AB$2</f>
        <v>0</v>
      </c>
      <c r="AC1209" s="88">
        <f>SUMIF(月間集計シート!$M$71:$M$90,$G1209,月間集計シート!S$71:S$90)*AC$2</f>
        <v>0</v>
      </c>
      <c r="AD1209" s="88">
        <f>SUMIF(月間集計シート!$M$71:$M$90,$G1209,月間集計シート!T$71:T$90)*AD$2</f>
        <v>0</v>
      </c>
      <c r="AE1209" s="88">
        <f>SUMIF(月間集計シート!$M$92:$M$111,$G1209,月間集計シート!N$92:N$111)*AE$2</f>
        <v>0</v>
      </c>
      <c r="AF1209" s="88">
        <f>SUMIF(月間集計シート!$M$92:$M$111,$G1209,月間集計シート!O$92:O$111)*AF$2</f>
        <v>0</v>
      </c>
      <c r="AG1209" s="88">
        <f>SUMIF(月間集計シート!$M$92:$M$111,$G1209,月間集計シート!P$92:P$111)*AG$2</f>
        <v>0</v>
      </c>
      <c r="AH1209" s="88">
        <f>SUMIF(月間集計シート!$M$92:$M$111,$G1209,月間集計シート!Q$92:Q$111)*AH$2</f>
        <v>0</v>
      </c>
      <c r="AI1209" s="88">
        <f>SUMIF(月間集計シート!$M$92:$M$111,$G1209,月間集計シート!R$92:R$111)*AI$2</f>
        <v>0</v>
      </c>
      <c r="AJ1209" s="88">
        <f>SUMIF(月間集計シート!$M$92:$M$111,$G1209,月間集計シート!S$92:S$111)*AJ$2</f>
        <v>0</v>
      </c>
      <c r="AK1209" s="88">
        <f>SUMIF(月間集計シート!$M$92:$M$111,$G1209,月間集計シート!T$92:T$111)*AK$2</f>
        <v>0</v>
      </c>
      <c r="AL1209" s="88">
        <f>SUMIF(月間集計シート!$M$113:$M$132,$G1209,月間集計シート!N$113:N$132)*AL$2</f>
        <v>0</v>
      </c>
      <c r="AM1209" s="88">
        <f>SUMIF(月間集計シート!$M$113:$M$132,$G1209,月間集計シート!O$113:O$132)*AM$2</f>
        <v>0</v>
      </c>
      <c r="AN1209" s="88">
        <f>SUMIF(月間集計シート!$M$113:$M$132,$G1209,月間集計シート!P$113:P$132)*AN$2</f>
        <v>0</v>
      </c>
      <c r="AO1209" s="88">
        <f>SUMIF(月間集計シート!$M$113:$M$132,$G1209,月間集計シート!Q$113:Q$132)*AO$2</f>
        <v>0</v>
      </c>
      <c r="AP1209" s="88">
        <f>SUMIF(月間集計シート!$M$113:$M$132,$G1209,月間集計シート!R$113:R$132)*AP$2</f>
        <v>0</v>
      </c>
      <c r="AQ1209" s="88">
        <f>SUMIF(月間集計シート!$M$113:$M$132,$G1209,月間集計シート!S$113:S$132)*AQ$2</f>
        <v>0</v>
      </c>
      <c r="AR1209" s="88">
        <f>SUMIF(月間集計シート!$M$113:$M$132,$G1209,月間集計シート!T$113:T$132)*AR$2</f>
        <v>0</v>
      </c>
      <c r="AS1209" s="88">
        <f>SUMIF(月間集計シート!$M$134:$M$153,$G1209,月間集計シート!N$134:N$153)*AS$2</f>
        <v>0</v>
      </c>
      <c r="AT1209" s="88">
        <f>SUMIF(月間集計シート!$M$134:$M$153,$G1209,月間集計シート!O$134:O$153)*AT$2</f>
        <v>0</v>
      </c>
      <c r="AU1209" s="88">
        <f>SUMIF(月間集計シート!$M$134:$M$153,$G1209,月間集計シート!P$134:P$153)*AU$2</f>
        <v>0</v>
      </c>
      <c r="AV1209" s="88">
        <f>SUMIF(月間集計シート!$M$134:$M$153,$G1209,月間集計シート!Q$134:Q$153)*AV$2</f>
        <v>0</v>
      </c>
      <c r="AW1209" s="88">
        <f>SUMIF(月間集計シート!$M$134:$M$153,$G1209,月間集計シート!R$134:R$153)*AW$2</f>
        <v>0</v>
      </c>
      <c r="AX1209" s="88">
        <f>SUMIF(月間集計シート!$M$134:$M$153,$G1209,月間集計シート!S$134:S$153)*AX$2</f>
        <v>0</v>
      </c>
      <c r="AY1209" s="88">
        <f>SUMIF(月間集計シート!$M$134:$M$153,$G1209,月間集計シート!T$134:T$153)*AY$2</f>
        <v>0</v>
      </c>
    </row>
    <row r="1210" spans="1:51" ht="14.25" thickBot="1">
      <c r="A1210">
        <v>15</v>
      </c>
      <c r="B1210" s="120">
        <f t="shared" si="676"/>
        <v>0</v>
      </c>
      <c r="C1210" s="120" t="str">
        <f t="shared" si="677"/>
        <v/>
      </c>
      <c r="D1210" s="137"/>
      <c r="E1210" s="150" t="str">
        <f>工種!A12</f>
        <v>20108</v>
      </c>
      <c r="F1210" s="119" t="str">
        <f>工種!B12</f>
        <v>設計：レビュー</v>
      </c>
      <c r="G1210" s="116" t="str">
        <f t="shared" si="625"/>
        <v>020108</v>
      </c>
      <c r="H1210" s="88">
        <f t="shared" si="675"/>
        <v>0</v>
      </c>
      <c r="I1210" s="132"/>
      <c r="J1210" s="88">
        <f>SUMIF(月間集計シート!$M$29:$M$48,$G1210,月間集計シート!N$29:N$48)*J$2</f>
        <v>0</v>
      </c>
      <c r="K1210" s="88">
        <f>SUMIF(月間集計シート!$M$29:$M$48,$G1210,月間集計シート!O$29:O$48)*K$2</f>
        <v>0</v>
      </c>
      <c r="L1210" s="88">
        <f>SUMIF(月間集計シート!$M$29:$M$48,$G1210,月間集計シート!P$29:P$48)*L$2</f>
        <v>0</v>
      </c>
      <c r="M1210" s="88">
        <f>SUMIF(月間集計シート!$M$29:$M$48,$G1210,月間集計シート!Q$29:Q$48)*M$2</f>
        <v>0</v>
      </c>
      <c r="N1210" s="88">
        <f>SUMIF(月間集計シート!$M$29:$M$48,$G1210,月間集計シート!R$29:R$48)*N$2</f>
        <v>0</v>
      </c>
      <c r="O1210" s="88">
        <f>SUMIF(月間集計シート!$M$29:$M$48,$G1210,月間集計シート!S$29:S$48)*O$2</f>
        <v>0</v>
      </c>
      <c r="P1210" s="88">
        <f>SUMIF(月間集計シート!$M$29:$M$48,$G1210,月間集計シート!T$29:T$48)*P$2</f>
        <v>0</v>
      </c>
      <c r="Q1210" s="88">
        <f>SUMIF(月間集計シート!$M$50:$M$69,$G1210,月間集計シート!N$50:N$69)*Q$2</f>
        <v>0</v>
      </c>
      <c r="R1210" s="88">
        <f>SUMIF(月間集計シート!$M$50:$M$69,$G1210,月間集計シート!O$50:O$69)*R$2</f>
        <v>0</v>
      </c>
      <c r="S1210" s="88">
        <f>SUMIF(月間集計シート!$M$50:$M$69,$G1210,月間集計シート!P$50:P$69)*S$2</f>
        <v>0</v>
      </c>
      <c r="T1210" s="88">
        <f>SUMIF(月間集計シート!$M$50:$M$69,$G1210,月間集計シート!Q$50:Q$69)*T$2</f>
        <v>0</v>
      </c>
      <c r="U1210" s="88">
        <f>SUMIF(月間集計シート!$M$50:$M$69,$G1210,月間集計シート!R$50:R$69)*U$2</f>
        <v>0</v>
      </c>
      <c r="V1210" s="88">
        <f>SUMIF(月間集計シート!$M$50:$M$69,$G1210,月間集計シート!S$50:S$69)*V$2</f>
        <v>0</v>
      </c>
      <c r="W1210" s="88">
        <f>SUMIF(月間集計シート!$M$50:$M$69,$G1210,月間集計シート!T$50:T$69)*W$2</f>
        <v>0</v>
      </c>
      <c r="X1210" s="88">
        <f>SUMIF(月間集計シート!$M$71:$M$90,$G1210,月間集計シート!N$71:N$90)*X$2</f>
        <v>0</v>
      </c>
      <c r="Y1210" s="88">
        <f>SUMIF(月間集計シート!$M$71:$M$90,$G1210,月間集計シート!O$71:O$90)*Y$2</f>
        <v>0</v>
      </c>
      <c r="Z1210" s="88">
        <f>SUMIF(月間集計シート!$M$71:$M$90,$G1210,月間集計シート!P$71:P$90)*Z$2</f>
        <v>0</v>
      </c>
      <c r="AA1210" s="88">
        <f>SUMIF(月間集計シート!$M$71:$M$90,$G1210,月間集計シート!Q$71:Q$90)*AA$2</f>
        <v>0</v>
      </c>
      <c r="AB1210" s="88">
        <f>SUMIF(月間集計シート!$M$71:$M$90,$G1210,月間集計シート!R$71:R$90)*AB$2</f>
        <v>0</v>
      </c>
      <c r="AC1210" s="88">
        <f>SUMIF(月間集計シート!$M$71:$M$90,$G1210,月間集計シート!S$71:S$90)*AC$2</f>
        <v>0</v>
      </c>
      <c r="AD1210" s="88">
        <f>SUMIF(月間集計シート!$M$71:$M$90,$G1210,月間集計シート!T$71:T$90)*AD$2</f>
        <v>0</v>
      </c>
      <c r="AE1210" s="88">
        <f>SUMIF(月間集計シート!$M$92:$M$111,$G1210,月間集計シート!N$92:N$111)*AE$2</f>
        <v>0</v>
      </c>
      <c r="AF1210" s="88">
        <f>SUMIF(月間集計シート!$M$92:$M$111,$G1210,月間集計シート!O$92:O$111)*AF$2</f>
        <v>0</v>
      </c>
      <c r="AG1210" s="88">
        <f>SUMIF(月間集計シート!$M$92:$M$111,$G1210,月間集計シート!P$92:P$111)*AG$2</f>
        <v>0</v>
      </c>
      <c r="AH1210" s="88">
        <f>SUMIF(月間集計シート!$M$92:$M$111,$G1210,月間集計シート!Q$92:Q$111)*AH$2</f>
        <v>0</v>
      </c>
      <c r="AI1210" s="88">
        <f>SUMIF(月間集計シート!$M$92:$M$111,$G1210,月間集計シート!R$92:R$111)*AI$2</f>
        <v>0</v>
      </c>
      <c r="AJ1210" s="88">
        <f>SUMIF(月間集計シート!$M$92:$M$111,$G1210,月間集計シート!S$92:S$111)*AJ$2</f>
        <v>0</v>
      </c>
      <c r="AK1210" s="88">
        <f>SUMIF(月間集計シート!$M$92:$M$111,$G1210,月間集計シート!T$92:T$111)*AK$2</f>
        <v>0</v>
      </c>
      <c r="AL1210" s="88">
        <f>SUMIF(月間集計シート!$M$113:$M$132,$G1210,月間集計シート!N$113:N$132)*AL$2</f>
        <v>0</v>
      </c>
      <c r="AM1210" s="88">
        <f>SUMIF(月間集計シート!$M$113:$M$132,$G1210,月間集計シート!O$113:O$132)*AM$2</f>
        <v>0</v>
      </c>
      <c r="AN1210" s="88">
        <f>SUMIF(月間集計シート!$M$113:$M$132,$G1210,月間集計シート!P$113:P$132)*AN$2</f>
        <v>0</v>
      </c>
      <c r="AO1210" s="88">
        <f>SUMIF(月間集計シート!$M$113:$M$132,$G1210,月間集計シート!Q$113:Q$132)*AO$2</f>
        <v>0</v>
      </c>
      <c r="AP1210" s="88">
        <f>SUMIF(月間集計シート!$M$113:$M$132,$G1210,月間集計シート!R$113:R$132)*AP$2</f>
        <v>0</v>
      </c>
      <c r="AQ1210" s="88">
        <f>SUMIF(月間集計シート!$M$113:$M$132,$G1210,月間集計シート!S$113:S$132)*AQ$2</f>
        <v>0</v>
      </c>
      <c r="AR1210" s="88">
        <f>SUMIF(月間集計シート!$M$113:$M$132,$G1210,月間集計シート!T$113:T$132)*AR$2</f>
        <v>0</v>
      </c>
      <c r="AS1210" s="88">
        <f>SUMIF(月間集計シート!$M$134:$M$153,$G1210,月間集計シート!N$134:N$153)*AS$2</f>
        <v>0</v>
      </c>
      <c r="AT1210" s="88">
        <f>SUMIF(月間集計シート!$M$134:$M$153,$G1210,月間集計シート!O$134:O$153)*AT$2</f>
        <v>0</v>
      </c>
      <c r="AU1210" s="88">
        <f>SUMIF(月間集計シート!$M$134:$M$153,$G1210,月間集計シート!P$134:P$153)*AU$2</f>
        <v>0</v>
      </c>
      <c r="AV1210" s="88">
        <f>SUMIF(月間集計シート!$M$134:$M$153,$G1210,月間集計シート!Q$134:Q$153)*AV$2</f>
        <v>0</v>
      </c>
      <c r="AW1210" s="88">
        <f>SUMIF(月間集計シート!$M$134:$M$153,$G1210,月間集計シート!R$134:R$153)*AW$2</f>
        <v>0</v>
      </c>
      <c r="AX1210" s="88">
        <f>SUMIF(月間集計シート!$M$134:$M$153,$G1210,月間集計シート!S$134:S$153)*AX$2</f>
        <v>0</v>
      </c>
      <c r="AY1210" s="88">
        <f>SUMIF(月間集計シート!$M$134:$M$153,$G1210,月間集計シート!T$134:T$153)*AY$2</f>
        <v>0</v>
      </c>
    </row>
    <row r="1211" spans="1:51" ht="14.25" thickBot="1">
      <c r="A1211">
        <v>15</v>
      </c>
      <c r="B1211" s="120">
        <f t="shared" si="676"/>
        <v>0</v>
      </c>
      <c r="C1211" s="120" t="str">
        <f t="shared" si="677"/>
        <v/>
      </c>
      <c r="D1211" s="137"/>
      <c r="E1211" s="150" t="str">
        <f>工種!A13</f>
        <v>20109</v>
      </c>
      <c r="F1211" s="119" t="str">
        <f>工種!B13</f>
        <v>設計：QA対応</v>
      </c>
      <c r="G1211" s="116" t="str">
        <f t="shared" si="625"/>
        <v>020109</v>
      </c>
      <c r="H1211" s="88">
        <f t="shared" si="675"/>
        <v>0</v>
      </c>
      <c r="I1211" s="132"/>
      <c r="J1211" s="88">
        <f>SUMIF(月間集計シート!$M$29:$M$48,$G1211,月間集計シート!N$29:N$48)*J$2</f>
        <v>0</v>
      </c>
      <c r="K1211" s="88">
        <f>SUMIF(月間集計シート!$M$29:$M$48,$G1211,月間集計シート!O$29:O$48)*K$2</f>
        <v>0</v>
      </c>
      <c r="L1211" s="88">
        <f>SUMIF(月間集計シート!$M$29:$M$48,$G1211,月間集計シート!P$29:P$48)*L$2</f>
        <v>0</v>
      </c>
      <c r="M1211" s="88">
        <f>SUMIF(月間集計シート!$M$29:$M$48,$G1211,月間集計シート!Q$29:Q$48)*M$2</f>
        <v>0</v>
      </c>
      <c r="N1211" s="88">
        <f>SUMIF(月間集計シート!$M$29:$M$48,$G1211,月間集計シート!R$29:R$48)*N$2</f>
        <v>0</v>
      </c>
      <c r="O1211" s="88">
        <f>SUMIF(月間集計シート!$M$29:$M$48,$G1211,月間集計シート!S$29:S$48)*O$2</f>
        <v>0</v>
      </c>
      <c r="P1211" s="88">
        <f>SUMIF(月間集計シート!$M$29:$M$48,$G1211,月間集計シート!T$29:T$48)*P$2</f>
        <v>0</v>
      </c>
      <c r="Q1211" s="88">
        <f>SUMIF(月間集計シート!$M$50:$M$69,$G1211,月間集計シート!N$50:N$69)*Q$2</f>
        <v>0</v>
      </c>
      <c r="R1211" s="88">
        <f>SUMIF(月間集計シート!$M$50:$M$69,$G1211,月間集計シート!O$50:O$69)*R$2</f>
        <v>0</v>
      </c>
      <c r="S1211" s="88">
        <f>SUMIF(月間集計シート!$M$50:$M$69,$G1211,月間集計シート!P$50:P$69)*S$2</f>
        <v>0</v>
      </c>
      <c r="T1211" s="88">
        <f>SUMIF(月間集計シート!$M$50:$M$69,$G1211,月間集計シート!Q$50:Q$69)*T$2</f>
        <v>0</v>
      </c>
      <c r="U1211" s="88">
        <f>SUMIF(月間集計シート!$M$50:$M$69,$G1211,月間集計シート!R$50:R$69)*U$2</f>
        <v>0</v>
      </c>
      <c r="V1211" s="88">
        <f>SUMIF(月間集計シート!$M$50:$M$69,$G1211,月間集計シート!S$50:S$69)*V$2</f>
        <v>0</v>
      </c>
      <c r="W1211" s="88">
        <f>SUMIF(月間集計シート!$M$50:$M$69,$G1211,月間集計シート!T$50:T$69)*W$2</f>
        <v>0</v>
      </c>
      <c r="X1211" s="88">
        <f>SUMIF(月間集計シート!$M$71:$M$90,$G1211,月間集計シート!N$71:N$90)*X$2</f>
        <v>0</v>
      </c>
      <c r="Y1211" s="88">
        <f>SUMIF(月間集計シート!$M$71:$M$90,$G1211,月間集計シート!O$71:O$90)*Y$2</f>
        <v>0</v>
      </c>
      <c r="Z1211" s="88">
        <f>SUMIF(月間集計シート!$M$71:$M$90,$G1211,月間集計シート!P$71:P$90)*Z$2</f>
        <v>0</v>
      </c>
      <c r="AA1211" s="88">
        <f>SUMIF(月間集計シート!$M$71:$M$90,$G1211,月間集計シート!Q$71:Q$90)*AA$2</f>
        <v>0</v>
      </c>
      <c r="AB1211" s="88">
        <f>SUMIF(月間集計シート!$M$71:$M$90,$G1211,月間集計シート!R$71:R$90)*AB$2</f>
        <v>0</v>
      </c>
      <c r="AC1211" s="88">
        <f>SUMIF(月間集計シート!$M$71:$M$90,$G1211,月間集計シート!S$71:S$90)*AC$2</f>
        <v>0</v>
      </c>
      <c r="AD1211" s="88">
        <f>SUMIF(月間集計シート!$M$71:$M$90,$G1211,月間集計シート!T$71:T$90)*AD$2</f>
        <v>0</v>
      </c>
      <c r="AE1211" s="88">
        <f>SUMIF(月間集計シート!$M$92:$M$111,$G1211,月間集計シート!N$92:N$111)*AE$2</f>
        <v>0</v>
      </c>
      <c r="AF1211" s="88">
        <f>SUMIF(月間集計シート!$M$92:$M$111,$G1211,月間集計シート!O$92:O$111)*AF$2</f>
        <v>0</v>
      </c>
      <c r="AG1211" s="88">
        <f>SUMIF(月間集計シート!$M$92:$M$111,$G1211,月間集計シート!P$92:P$111)*AG$2</f>
        <v>0</v>
      </c>
      <c r="AH1211" s="88">
        <f>SUMIF(月間集計シート!$M$92:$M$111,$G1211,月間集計シート!Q$92:Q$111)*AH$2</f>
        <v>0</v>
      </c>
      <c r="AI1211" s="88">
        <f>SUMIF(月間集計シート!$M$92:$M$111,$G1211,月間集計シート!R$92:R$111)*AI$2</f>
        <v>0</v>
      </c>
      <c r="AJ1211" s="88">
        <f>SUMIF(月間集計シート!$M$92:$M$111,$G1211,月間集計シート!S$92:S$111)*AJ$2</f>
        <v>0</v>
      </c>
      <c r="AK1211" s="88">
        <f>SUMIF(月間集計シート!$M$92:$M$111,$G1211,月間集計シート!T$92:T$111)*AK$2</f>
        <v>0</v>
      </c>
      <c r="AL1211" s="88">
        <f>SUMIF(月間集計シート!$M$113:$M$132,$G1211,月間集計シート!N$113:N$132)*AL$2</f>
        <v>0</v>
      </c>
      <c r="AM1211" s="88">
        <f>SUMIF(月間集計シート!$M$113:$M$132,$G1211,月間集計シート!O$113:O$132)*AM$2</f>
        <v>0</v>
      </c>
      <c r="AN1211" s="88">
        <f>SUMIF(月間集計シート!$M$113:$M$132,$G1211,月間集計シート!P$113:P$132)*AN$2</f>
        <v>0</v>
      </c>
      <c r="AO1211" s="88">
        <f>SUMIF(月間集計シート!$M$113:$M$132,$G1211,月間集計シート!Q$113:Q$132)*AO$2</f>
        <v>0</v>
      </c>
      <c r="AP1211" s="88">
        <f>SUMIF(月間集計シート!$M$113:$M$132,$G1211,月間集計シート!R$113:R$132)*AP$2</f>
        <v>0</v>
      </c>
      <c r="AQ1211" s="88">
        <f>SUMIF(月間集計シート!$M$113:$M$132,$G1211,月間集計シート!S$113:S$132)*AQ$2</f>
        <v>0</v>
      </c>
      <c r="AR1211" s="88">
        <f>SUMIF(月間集計シート!$M$113:$M$132,$G1211,月間集計シート!T$113:T$132)*AR$2</f>
        <v>0</v>
      </c>
      <c r="AS1211" s="88">
        <f>SUMIF(月間集計シート!$M$134:$M$153,$G1211,月間集計シート!N$134:N$153)*AS$2</f>
        <v>0</v>
      </c>
      <c r="AT1211" s="88">
        <f>SUMIF(月間集計シート!$M$134:$M$153,$G1211,月間集計シート!O$134:O$153)*AT$2</f>
        <v>0</v>
      </c>
      <c r="AU1211" s="88">
        <f>SUMIF(月間集計シート!$M$134:$M$153,$G1211,月間集計シート!P$134:P$153)*AU$2</f>
        <v>0</v>
      </c>
      <c r="AV1211" s="88">
        <f>SUMIF(月間集計シート!$M$134:$M$153,$G1211,月間集計シート!Q$134:Q$153)*AV$2</f>
        <v>0</v>
      </c>
      <c r="AW1211" s="88">
        <f>SUMIF(月間集計シート!$M$134:$M$153,$G1211,月間集計シート!R$134:R$153)*AW$2</f>
        <v>0</v>
      </c>
      <c r="AX1211" s="88">
        <f>SUMIF(月間集計シート!$M$134:$M$153,$G1211,月間集計シート!S$134:S$153)*AX$2</f>
        <v>0</v>
      </c>
      <c r="AY1211" s="88">
        <f>SUMIF(月間集計シート!$M$134:$M$153,$G1211,月間集計シート!T$134:T$153)*AY$2</f>
        <v>0</v>
      </c>
    </row>
    <row r="1212" spans="1:51" ht="14.25" thickBot="1">
      <c r="A1212">
        <v>15</v>
      </c>
      <c r="B1212" s="120">
        <f t="shared" si="676"/>
        <v>0</v>
      </c>
      <c r="C1212" s="120" t="str">
        <f t="shared" si="677"/>
        <v/>
      </c>
      <c r="D1212" s="137"/>
      <c r="E1212" s="150" t="str">
        <f>工種!A14</f>
        <v>20199</v>
      </c>
      <c r="F1212" s="119" t="str">
        <f>工種!B14</f>
        <v>設計：その他</v>
      </c>
      <c r="G1212" s="116" t="str">
        <f t="shared" si="625"/>
        <v>020199</v>
      </c>
      <c r="H1212" s="88">
        <f t="shared" si="675"/>
        <v>0</v>
      </c>
      <c r="I1212" s="132"/>
      <c r="J1212" s="88">
        <f>SUMIF(月間集計シート!$M$29:$M$48,$G1212,月間集計シート!N$29:N$48)*J$2</f>
        <v>0</v>
      </c>
      <c r="K1212" s="88">
        <f>SUMIF(月間集計シート!$M$29:$M$48,$G1212,月間集計シート!O$29:O$48)*K$2</f>
        <v>0</v>
      </c>
      <c r="L1212" s="88">
        <f>SUMIF(月間集計シート!$M$29:$M$48,$G1212,月間集計シート!P$29:P$48)*L$2</f>
        <v>0</v>
      </c>
      <c r="M1212" s="88">
        <f>SUMIF(月間集計シート!$M$29:$M$48,$G1212,月間集計シート!Q$29:Q$48)*M$2</f>
        <v>0</v>
      </c>
      <c r="N1212" s="88">
        <f>SUMIF(月間集計シート!$M$29:$M$48,$G1212,月間集計シート!R$29:R$48)*N$2</f>
        <v>0</v>
      </c>
      <c r="O1212" s="88">
        <f>SUMIF(月間集計シート!$M$29:$M$48,$G1212,月間集計シート!S$29:S$48)*O$2</f>
        <v>0</v>
      </c>
      <c r="P1212" s="88">
        <f>SUMIF(月間集計シート!$M$29:$M$48,$G1212,月間集計シート!T$29:T$48)*P$2</f>
        <v>0</v>
      </c>
      <c r="Q1212" s="88">
        <f>SUMIF(月間集計シート!$M$50:$M$69,$G1212,月間集計シート!N$50:N$69)*Q$2</f>
        <v>0</v>
      </c>
      <c r="R1212" s="88">
        <f>SUMIF(月間集計シート!$M$50:$M$69,$G1212,月間集計シート!O$50:O$69)*R$2</f>
        <v>0</v>
      </c>
      <c r="S1212" s="88">
        <f>SUMIF(月間集計シート!$M$50:$M$69,$G1212,月間集計シート!P$50:P$69)*S$2</f>
        <v>0</v>
      </c>
      <c r="T1212" s="88">
        <f>SUMIF(月間集計シート!$M$50:$M$69,$G1212,月間集計シート!Q$50:Q$69)*T$2</f>
        <v>0</v>
      </c>
      <c r="U1212" s="88">
        <f>SUMIF(月間集計シート!$M$50:$M$69,$G1212,月間集計シート!R$50:R$69)*U$2</f>
        <v>0</v>
      </c>
      <c r="V1212" s="88">
        <f>SUMIF(月間集計シート!$M$50:$M$69,$G1212,月間集計シート!S$50:S$69)*V$2</f>
        <v>0</v>
      </c>
      <c r="W1212" s="88">
        <f>SUMIF(月間集計シート!$M$50:$M$69,$G1212,月間集計シート!T$50:T$69)*W$2</f>
        <v>0</v>
      </c>
      <c r="X1212" s="88">
        <f>SUMIF(月間集計シート!$M$71:$M$90,$G1212,月間集計シート!N$71:N$90)*X$2</f>
        <v>0</v>
      </c>
      <c r="Y1212" s="88">
        <f>SUMIF(月間集計シート!$M$71:$M$90,$G1212,月間集計シート!O$71:O$90)*Y$2</f>
        <v>0</v>
      </c>
      <c r="Z1212" s="88">
        <f>SUMIF(月間集計シート!$M$71:$M$90,$G1212,月間集計シート!P$71:P$90)*Z$2</f>
        <v>0</v>
      </c>
      <c r="AA1212" s="88">
        <f>SUMIF(月間集計シート!$M$71:$M$90,$G1212,月間集計シート!Q$71:Q$90)*AA$2</f>
        <v>0</v>
      </c>
      <c r="AB1212" s="88">
        <f>SUMIF(月間集計シート!$M$71:$M$90,$G1212,月間集計シート!R$71:R$90)*AB$2</f>
        <v>0</v>
      </c>
      <c r="AC1212" s="88">
        <f>SUMIF(月間集計シート!$M$71:$M$90,$G1212,月間集計シート!S$71:S$90)*AC$2</f>
        <v>0</v>
      </c>
      <c r="AD1212" s="88">
        <f>SUMIF(月間集計シート!$M$71:$M$90,$G1212,月間集計シート!T$71:T$90)*AD$2</f>
        <v>0</v>
      </c>
      <c r="AE1212" s="88">
        <f>SUMIF(月間集計シート!$M$92:$M$111,$G1212,月間集計シート!N$92:N$111)*AE$2</f>
        <v>0</v>
      </c>
      <c r="AF1212" s="88">
        <f>SUMIF(月間集計シート!$M$92:$M$111,$G1212,月間集計シート!O$92:O$111)*AF$2</f>
        <v>0</v>
      </c>
      <c r="AG1212" s="88">
        <f>SUMIF(月間集計シート!$M$92:$M$111,$G1212,月間集計シート!P$92:P$111)*AG$2</f>
        <v>0</v>
      </c>
      <c r="AH1212" s="88">
        <f>SUMIF(月間集計シート!$M$92:$M$111,$G1212,月間集計シート!Q$92:Q$111)*AH$2</f>
        <v>0</v>
      </c>
      <c r="AI1212" s="88">
        <f>SUMIF(月間集計シート!$M$92:$M$111,$G1212,月間集計シート!R$92:R$111)*AI$2</f>
        <v>0</v>
      </c>
      <c r="AJ1212" s="88">
        <f>SUMIF(月間集計シート!$M$92:$M$111,$G1212,月間集計シート!S$92:S$111)*AJ$2</f>
        <v>0</v>
      </c>
      <c r="AK1212" s="88">
        <f>SUMIF(月間集計シート!$M$92:$M$111,$G1212,月間集計シート!T$92:T$111)*AK$2</f>
        <v>0</v>
      </c>
      <c r="AL1212" s="88">
        <f>SUMIF(月間集計シート!$M$113:$M$132,$G1212,月間集計シート!N$113:N$132)*AL$2</f>
        <v>0</v>
      </c>
      <c r="AM1212" s="88">
        <f>SUMIF(月間集計シート!$M$113:$M$132,$G1212,月間集計シート!O$113:O$132)*AM$2</f>
        <v>0</v>
      </c>
      <c r="AN1212" s="88">
        <f>SUMIF(月間集計シート!$M$113:$M$132,$G1212,月間集計シート!P$113:P$132)*AN$2</f>
        <v>0</v>
      </c>
      <c r="AO1212" s="88">
        <f>SUMIF(月間集計シート!$M$113:$M$132,$G1212,月間集計シート!Q$113:Q$132)*AO$2</f>
        <v>0</v>
      </c>
      <c r="AP1212" s="88">
        <f>SUMIF(月間集計シート!$M$113:$M$132,$G1212,月間集計シート!R$113:R$132)*AP$2</f>
        <v>0</v>
      </c>
      <c r="AQ1212" s="88">
        <f>SUMIF(月間集計シート!$M$113:$M$132,$G1212,月間集計シート!S$113:S$132)*AQ$2</f>
        <v>0</v>
      </c>
      <c r="AR1212" s="88">
        <f>SUMIF(月間集計シート!$M$113:$M$132,$G1212,月間集計シート!T$113:T$132)*AR$2</f>
        <v>0</v>
      </c>
      <c r="AS1212" s="88">
        <f>SUMIF(月間集計シート!$M$134:$M$153,$G1212,月間集計シート!N$134:N$153)*AS$2</f>
        <v>0</v>
      </c>
      <c r="AT1212" s="88">
        <f>SUMIF(月間集計シート!$M$134:$M$153,$G1212,月間集計シート!O$134:O$153)*AT$2</f>
        <v>0</v>
      </c>
      <c r="AU1212" s="88">
        <f>SUMIF(月間集計シート!$M$134:$M$153,$G1212,月間集計シート!P$134:P$153)*AU$2</f>
        <v>0</v>
      </c>
      <c r="AV1212" s="88">
        <f>SUMIF(月間集計シート!$M$134:$M$153,$G1212,月間集計シート!Q$134:Q$153)*AV$2</f>
        <v>0</v>
      </c>
      <c r="AW1212" s="88">
        <f>SUMIF(月間集計シート!$M$134:$M$153,$G1212,月間集計シート!R$134:R$153)*AW$2</f>
        <v>0</v>
      </c>
      <c r="AX1212" s="88">
        <f>SUMIF(月間集計シート!$M$134:$M$153,$G1212,月間集計シート!S$134:S$153)*AX$2</f>
        <v>0</v>
      </c>
      <c r="AY1212" s="88">
        <f>SUMIF(月間集計シート!$M$134:$M$153,$G1212,月間集計シート!T$134:T$153)*AY$2</f>
        <v>0</v>
      </c>
    </row>
    <row r="1213" spans="1:51" ht="14.25" thickBot="1">
      <c r="A1213">
        <v>15</v>
      </c>
      <c r="B1213" s="120">
        <f t="shared" si="676"/>
        <v>0</v>
      </c>
      <c r="C1213" s="120" t="str">
        <f t="shared" si="677"/>
        <v/>
      </c>
      <c r="D1213" s="137"/>
      <c r="E1213" s="150" t="str">
        <f>工種!A15</f>
        <v>30101</v>
      </c>
      <c r="F1213" s="119" t="str">
        <f>工種!B15</f>
        <v>製造：内部設計書作成</v>
      </c>
      <c r="G1213" s="116" t="str">
        <f t="shared" si="625"/>
        <v>030101</v>
      </c>
      <c r="H1213" s="88">
        <f t="shared" si="675"/>
        <v>0</v>
      </c>
      <c r="I1213" s="132"/>
      <c r="J1213" s="88">
        <f>SUMIF(月間集計シート!$M$29:$M$48,$G1213,月間集計シート!N$29:N$48)*J$2</f>
        <v>0</v>
      </c>
      <c r="K1213" s="88">
        <f>SUMIF(月間集計シート!$M$29:$M$48,$G1213,月間集計シート!O$29:O$48)*K$2</f>
        <v>0</v>
      </c>
      <c r="L1213" s="88">
        <f>SUMIF(月間集計シート!$M$29:$M$48,$G1213,月間集計シート!P$29:P$48)*L$2</f>
        <v>0</v>
      </c>
      <c r="M1213" s="88">
        <f>SUMIF(月間集計シート!$M$29:$M$48,$G1213,月間集計シート!Q$29:Q$48)*M$2</f>
        <v>0</v>
      </c>
      <c r="N1213" s="88">
        <f>SUMIF(月間集計シート!$M$29:$M$48,$G1213,月間集計シート!R$29:R$48)*N$2</f>
        <v>0</v>
      </c>
      <c r="O1213" s="88">
        <f>SUMIF(月間集計シート!$M$29:$M$48,$G1213,月間集計シート!S$29:S$48)*O$2</f>
        <v>0</v>
      </c>
      <c r="P1213" s="88">
        <f>SUMIF(月間集計シート!$M$29:$M$48,$G1213,月間集計シート!T$29:T$48)*P$2</f>
        <v>0</v>
      </c>
      <c r="Q1213" s="88">
        <f>SUMIF(月間集計シート!$M$50:$M$69,$G1213,月間集計シート!N$50:N$69)*Q$2</f>
        <v>0</v>
      </c>
      <c r="R1213" s="88">
        <f>SUMIF(月間集計シート!$M$50:$M$69,$G1213,月間集計シート!O$50:O$69)*R$2</f>
        <v>0</v>
      </c>
      <c r="S1213" s="88">
        <f>SUMIF(月間集計シート!$M$50:$M$69,$G1213,月間集計シート!P$50:P$69)*S$2</f>
        <v>0</v>
      </c>
      <c r="T1213" s="88">
        <f>SUMIF(月間集計シート!$M$50:$M$69,$G1213,月間集計シート!Q$50:Q$69)*T$2</f>
        <v>0</v>
      </c>
      <c r="U1213" s="88">
        <f>SUMIF(月間集計シート!$M$50:$M$69,$G1213,月間集計シート!R$50:R$69)*U$2</f>
        <v>0</v>
      </c>
      <c r="V1213" s="88">
        <f>SUMIF(月間集計シート!$M$50:$M$69,$G1213,月間集計シート!S$50:S$69)*V$2</f>
        <v>0</v>
      </c>
      <c r="W1213" s="88">
        <f>SUMIF(月間集計シート!$M$50:$M$69,$G1213,月間集計シート!T$50:T$69)*W$2</f>
        <v>0</v>
      </c>
      <c r="X1213" s="88">
        <f>SUMIF(月間集計シート!$M$71:$M$90,$G1213,月間集計シート!N$71:N$90)*X$2</f>
        <v>0</v>
      </c>
      <c r="Y1213" s="88">
        <f>SUMIF(月間集計シート!$M$71:$M$90,$G1213,月間集計シート!O$71:O$90)*Y$2</f>
        <v>0</v>
      </c>
      <c r="Z1213" s="88">
        <f>SUMIF(月間集計シート!$M$71:$M$90,$G1213,月間集計シート!P$71:P$90)*Z$2</f>
        <v>0</v>
      </c>
      <c r="AA1213" s="88">
        <f>SUMIF(月間集計シート!$M$71:$M$90,$G1213,月間集計シート!Q$71:Q$90)*AA$2</f>
        <v>0</v>
      </c>
      <c r="AB1213" s="88">
        <f>SUMIF(月間集計シート!$M$71:$M$90,$G1213,月間集計シート!R$71:R$90)*AB$2</f>
        <v>0</v>
      </c>
      <c r="AC1213" s="88">
        <f>SUMIF(月間集計シート!$M$71:$M$90,$G1213,月間集計シート!S$71:S$90)*AC$2</f>
        <v>0</v>
      </c>
      <c r="AD1213" s="88">
        <f>SUMIF(月間集計シート!$M$71:$M$90,$G1213,月間集計シート!T$71:T$90)*AD$2</f>
        <v>0</v>
      </c>
      <c r="AE1213" s="88">
        <f>SUMIF(月間集計シート!$M$92:$M$111,$G1213,月間集計シート!N$92:N$111)*AE$2</f>
        <v>0</v>
      </c>
      <c r="AF1213" s="88">
        <f>SUMIF(月間集計シート!$M$92:$M$111,$G1213,月間集計シート!O$92:O$111)*AF$2</f>
        <v>0</v>
      </c>
      <c r="AG1213" s="88">
        <f>SUMIF(月間集計シート!$M$92:$M$111,$G1213,月間集計シート!P$92:P$111)*AG$2</f>
        <v>0</v>
      </c>
      <c r="AH1213" s="88">
        <f>SUMIF(月間集計シート!$M$92:$M$111,$G1213,月間集計シート!Q$92:Q$111)*AH$2</f>
        <v>0</v>
      </c>
      <c r="AI1213" s="88">
        <f>SUMIF(月間集計シート!$M$92:$M$111,$G1213,月間集計シート!R$92:R$111)*AI$2</f>
        <v>0</v>
      </c>
      <c r="AJ1213" s="88">
        <f>SUMIF(月間集計シート!$M$92:$M$111,$G1213,月間集計シート!S$92:S$111)*AJ$2</f>
        <v>0</v>
      </c>
      <c r="AK1213" s="88">
        <f>SUMIF(月間集計シート!$M$92:$M$111,$G1213,月間集計シート!T$92:T$111)*AK$2</f>
        <v>0</v>
      </c>
      <c r="AL1213" s="88">
        <f>SUMIF(月間集計シート!$M$113:$M$132,$G1213,月間集計シート!N$113:N$132)*AL$2</f>
        <v>0</v>
      </c>
      <c r="AM1213" s="88">
        <f>SUMIF(月間集計シート!$M$113:$M$132,$G1213,月間集計シート!O$113:O$132)*AM$2</f>
        <v>0</v>
      </c>
      <c r="AN1213" s="88">
        <f>SUMIF(月間集計シート!$M$113:$M$132,$G1213,月間集計シート!P$113:P$132)*AN$2</f>
        <v>0</v>
      </c>
      <c r="AO1213" s="88">
        <f>SUMIF(月間集計シート!$M$113:$M$132,$G1213,月間集計シート!Q$113:Q$132)*AO$2</f>
        <v>0</v>
      </c>
      <c r="AP1213" s="88">
        <f>SUMIF(月間集計シート!$M$113:$M$132,$G1213,月間集計シート!R$113:R$132)*AP$2</f>
        <v>0</v>
      </c>
      <c r="AQ1213" s="88">
        <f>SUMIF(月間集計シート!$M$113:$M$132,$G1213,月間集計シート!S$113:S$132)*AQ$2</f>
        <v>0</v>
      </c>
      <c r="AR1213" s="88">
        <f>SUMIF(月間集計シート!$M$113:$M$132,$G1213,月間集計シート!T$113:T$132)*AR$2</f>
        <v>0</v>
      </c>
      <c r="AS1213" s="88">
        <f>SUMIF(月間集計シート!$M$134:$M$153,$G1213,月間集計シート!N$134:N$153)*AS$2</f>
        <v>0</v>
      </c>
      <c r="AT1213" s="88">
        <f>SUMIF(月間集計シート!$M$134:$M$153,$G1213,月間集計シート!O$134:O$153)*AT$2</f>
        <v>0</v>
      </c>
      <c r="AU1213" s="88">
        <f>SUMIF(月間集計シート!$M$134:$M$153,$G1213,月間集計シート!P$134:P$153)*AU$2</f>
        <v>0</v>
      </c>
      <c r="AV1213" s="88">
        <f>SUMIF(月間集計シート!$M$134:$M$153,$G1213,月間集計シート!Q$134:Q$153)*AV$2</f>
        <v>0</v>
      </c>
      <c r="AW1213" s="88">
        <f>SUMIF(月間集計シート!$M$134:$M$153,$G1213,月間集計シート!R$134:R$153)*AW$2</f>
        <v>0</v>
      </c>
      <c r="AX1213" s="88">
        <f>SUMIF(月間集計シート!$M$134:$M$153,$G1213,月間集計シート!S$134:S$153)*AX$2</f>
        <v>0</v>
      </c>
      <c r="AY1213" s="88">
        <f>SUMIF(月間集計シート!$M$134:$M$153,$G1213,月間集計シート!T$134:T$153)*AY$2</f>
        <v>0</v>
      </c>
    </row>
    <row r="1214" spans="1:51" ht="14.25" thickBot="1">
      <c r="A1214">
        <v>15</v>
      </c>
      <c r="B1214" s="120">
        <f t="shared" si="676"/>
        <v>0</v>
      </c>
      <c r="C1214" s="120" t="str">
        <f t="shared" si="677"/>
        <v/>
      </c>
      <c r="D1214" s="137"/>
      <c r="E1214" s="150" t="str">
        <f>工種!A16</f>
        <v>30102</v>
      </c>
      <c r="F1214" s="119" t="str">
        <f>工種!B16</f>
        <v>製造：コーディング</v>
      </c>
      <c r="G1214" s="116" t="str">
        <f t="shared" si="625"/>
        <v>030102</v>
      </c>
      <c r="H1214" s="88">
        <f t="shared" si="675"/>
        <v>0</v>
      </c>
      <c r="I1214" s="132"/>
      <c r="J1214" s="88">
        <f>SUMIF(月間集計シート!$M$29:$M$48,$G1214,月間集計シート!N$29:N$48)*J$2</f>
        <v>0</v>
      </c>
      <c r="K1214" s="88">
        <f>SUMIF(月間集計シート!$M$29:$M$48,$G1214,月間集計シート!O$29:O$48)*K$2</f>
        <v>0</v>
      </c>
      <c r="L1214" s="88">
        <f>SUMIF(月間集計シート!$M$29:$M$48,$G1214,月間集計シート!P$29:P$48)*L$2</f>
        <v>0</v>
      </c>
      <c r="M1214" s="88">
        <f>SUMIF(月間集計シート!$M$29:$M$48,$G1214,月間集計シート!Q$29:Q$48)*M$2</f>
        <v>0</v>
      </c>
      <c r="N1214" s="88">
        <f>SUMIF(月間集計シート!$M$29:$M$48,$G1214,月間集計シート!R$29:R$48)*N$2</f>
        <v>0</v>
      </c>
      <c r="O1214" s="88">
        <f>SUMIF(月間集計シート!$M$29:$M$48,$G1214,月間集計シート!S$29:S$48)*O$2</f>
        <v>0</v>
      </c>
      <c r="P1214" s="88">
        <f>SUMIF(月間集計シート!$M$29:$M$48,$G1214,月間集計シート!T$29:T$48)*P$2</f>
        <v>0</v>
      </c>
      <c r="Q1214" s="88">
        <f>SUMIF(月間集計シート!$M$50:$M$69,$G1214,月間集計シート!N$50:N$69)*Q$2</f>
        <v>0</v>
      </c>
      <c r="R1214" s="88">
        <f>SUMIF(月間集計シート!$M$50:$M$69,$G1214,月間集計シート!O$50:O$69)*R$2</f>
        <v>0</v>
      </c>
      <c r="S1214" s="88">
        <f>SUMIF(月間集計シート!$M$50:$M$69,$G1214,月間集計シート!P$50:P$69)*S$2</f>
        <v>0</v>
      </c>
      <c r="T1214" s="88">
        <f>SUMIF(月間集計シート!$M$50:$M$69,$G1214,月間集計シート!Q$50:Q$69)*T$2</f>
        <v>0</v>
      </c>
      <c r="U1214" s="88">
        <f>SUMIF(月間集計シート!$M$50:$M$69,$G1214,月間集計シート!R$50:R$69)*U$2</f>
        <v>0</v>
      </c>
      <c r="V1214" s="88">
        <f>SUMIF(月間集計シート!$M$50:$M$69,$G1214,月間集計シート!S$50:S$69)*V$2</f>
        <v>0</v>
      </c>
      <c r="W1214" s="88">
        <f>SUMIF(月間集計シート!$M$50:$M$69,$G1214,月間集計シート!T$50:T$69)*W$2</f>
        <v>0</v>
      </c>
      <c r="X1214" s="88">
        <f>SUMIF(月間集計シート!$M$71:$M$90,$G1214,月間集計シート!N$71:N$90)*X$2</f>
        <v>0</v>
      </c>
      <c r="Y1214" s="88">
        <f>SUMIF(月間集計シート!$M$71:$M$90,$G1214,月間集計シート!O$71:O$90)*Y$2</f>
        <v>0</v>
      </c>
      <c r="Z1214" s="88">
        <f>SUMIF(月間集計シート!$M$71:$M$90,$G1214,月間集計シート!P$71:P$90)*Z$2</f>
        <v>0</v>
      </c>
      <c r="AA1214" s="88">
        <f>SUMIF(月間集計シート!$M$71:$M$90,$G1214,月間集計シート!Q$71:Q$90)*AA$2</f>
        <v>0</v>
      </c>
      <c r="AB1214" s="88">
        <f>SUMIF(月間集計シート!$M$71:$M$90,$G1214,月間集計シート!R$71:R$90)*AB$2</f>
        <v>0</v>
      </c>
      <c r="AC1214" s="88">
        <f>SUMIF(月間集計シート!$M$71:$M$90,$G1214,月間集計シート!S$71:S$90)*AC$2</f>
        <v>0</v>
      </c>
      <c r="AD1214" s="88">
        <f>SUMIF(月間集計シート!$M$71:$M$90,$G1214,月間集計シート!T$71:T$90)*AD$2</f>
        <v>0</v>
      </c>
      <c r="AE1214" s="88">
        <f>SUMIF(月間集計シート!$M$92:$M$111,$G1214,月間集計シート!N$92:N$111)*AE$2</f>
        <v>0</v>
      </c>
      <c r="AF1214" s="88">
        <f>SUMIF(月間集計シート!$M$92:$M$111,$G1214,月間集計シート!O$92:O$111)*AF$2</f>
        <v>0</v>
      </c>
      <c r="AG1214" s="88">
        <f>SUMIF(月間集計シート!$M$92:$M$111,$G1214,月間集計シート!P$92:P$111)*AG$2</f>
        <v>0</v>
      </c>
      <c r="AH1214" s="88">
        <f>SUMIF(月間集計シート!$M$92:$M$111,$G1214,月間集計シート!Q$92:Q$111)*AH$2</f>
        <v>0</v>
      </c>
      <c r="AI1214" s="88">
        <f>SUMIF(月間集計シート!$M$92:$M$111,$G1214,月間集計シート!R$92:R$111)*AI$2</f>
        <v>0</v>
      </c>
      <c r="AJ1214" s="88">
        <f>SUMIF(月間集計シート!$M$92:$M$111,$G1214,月間集計シート!S$92:S$111)*AJ$2</f>
        <v>0</v>
      </c>
      <c r="AK1214" s="88">
        <f>SUMIF(月間集計シート!$M$92:$M$111,$G1214,月間集計シート!T$92:T$111)*AK$2</f>
        <v>0</v>
      </c>
      <c r="AL1214" s="88">
        <f>SUMIF(月間集計シート!$M$113:$M$132,$G1214,月間集計シート!N$113:N$132)*AL$2</f>
        <v>0</v>
      </c>
      <c r="AM1214" s="88">
        <f>SUMIF(月間集計シート!$M$113:$M$132,$G1214,月間集計シート!O$113:O$132)*AM$2</f>
        <v>0</v>
      </c>
      <c r="AN1214" s="88">
        <f>SUMIF(月間集計シート!$M$113:$M$132,$G1214,月間集計シート!P$113:P$132)*AN$2</f>
        <v>0</v>
      </c>
      <c r="AO1214" s="88">
        <f>SUMIF(月間集計シート!$M$113:$M$132,$G1214,月間集計シート!Q$113:Q$132)*AO$2</f>
        <v>0</v>
      </c>
      <c r="AP1214" s="88">
        <f>SUMIF(月間集計シート!$M$113:$M$132,$G1214,月間集計シート!R$113:R$132)*AP$2</f>
        <v>0</v>
      </c>
      <c r="AQ1214" s="88">
        <f>SUMIF(月間集計シート!$M$113:$M$132,$G1214,月間集計シート!S$113:S$132)*AQ$2</f>
        <v>0</v>
      </c>
      <c r="AR1214" s="88">
        <f>SUMIF(月間集計シート!$M$113:$M$132,$G1214,月間集計シート!T$113:T$132)*AR$2</f>
        <v>0</v>
      </c>
      <c r="AS1214" s="88">
        <f>SUMIF(月間集計シート!$M$134:$M$153,$G1214,月間集計シート!N$134:N$153)*AS$2</f>
        <v>0</v>
      </c>
      <c r="AT1214" s="88">
        <f>SUMIF(月間集計シート!$M$134:$M$153,$G1214,月間集計シート!O$134:O$153)*AT$2</f>
        <v>0</v>
      </c>
      <c r="AU1214" s="88">
        <f>SUMIF(月間集計シート!$M$134:$M$153,$G1214,月間集計シート!P$134:P$153)*AU$2</f>
        <v>0</v>
      </c>
      <c r="AV1214" s="88">
        <f>SUMIF(月間集計シート!$M$134:$M$153,$G1214,月間集計シート!Q$134:Q$153)*AV$2</f>
        <v>0</v>
      </c>
      <c r="AW1214" s="88">
        <f>SUMIF(月間集計シート!$M$134:$M$153,$G1214,月間集計シート!R$134:R$153)*AW$2</f>
        <v>0</v>
      </c>
      <c r="AX1214" s="88">
        <f>SUMIF(月間集計シート!$M$134:$M$153,$G1214,月間集計シート!S$134:S$153)*AX$2</f>
        <v>0</v>
      </c>
      <c r="AY1214" s="88">
        <f>SUMIF(月間集計シート!$M$134:$M$153,$G1214,月間集計シート!T$134:T$153)*AY$2</f>
        <v>0</v>
      </c>
    </row>
    <row r="1215" spans="1:51" ht="14.25" thickBot="1">
      <c r="A1215">
        <v>15</v>
      </c>
      <c r="B1215" s="120">
        <f t="shared" si="676"/>
        <v>0</v>
      </c>
      <c r="C1215" s="120" t="str">
        <f t="shared" si="677"/>
        <v/>
      </c>
      <c r="D1215" s="137"/>
      <c r="E1215" s="150" t="str">
        <f>工種!A17</f>
        <v>30103</v>
      </c>
      <c r="F1215" s="119" t="str">
        <f>工種!B17</f>
        <v>製造：単体テスト設計書作成</v>
      </c>
      <c r="G1215" s="116" t="str">
        <f t="shared" ref="G1215:G1300" si="678">B1215&amp;E1215</f>
        <v>030103</v>
      </c>
      <c r="H1215" s="88">
        <f t="shared" si="675"/>
        <v>0</v>
      </c>
      <c r="I1215" s="132"/>
      <c r="J1215" s="88">
        <f>SUMIF(月間集計シート!$M$29:$M$48,$G1215,月間集計シート!N$29:N$48)*J$2</f>
        <v>0</v>
      </c>
      <c r="K1215" s="88">
        <f>SUMIF(月間集計シート!$M$29:$M$48,$G1215,月間集計シート!O$29:O$48)*K$2</f>
        <v>0</v>
      </c>
      <c r="L1215" s="88">
        <f>SUMIF(月間集計シート!$M$29:$M$48,$G1215,月間集計シート!P$29:P$48)*L$2</f>
        <v>0</v>
      </c>
      <c r="M1215" s="88">
        <f>SUMIF(月間集計シート!$M$29:$M$48,$G1215,月間集計シート!Q$29:Q$48)*M$2</f>
        <v>0</v>
      </c>
      <c r="N1215" s="88">
        <f>SUMIF(月間集計シート!$M$29:$M$48,$G1215,月間集計シート!R$29:R$48)*N$2</f>
        <v>0</v>
      </c>
      <c r="O1215" s="88">
        <f>SUMIF(月間集計シート!$M$29:$M$48,$G1215,月間集計シート!S$29:S$48)*O$2</f>
        <v>0</v>
      </c>
      <c r="P1215" s="88">
        <f>SUMIF(月間集計シート!$M$29:$M$48,$G1215,月間集計シート!T$29:T$48)*P$2</f>
        <v>0</v>
      </c>
      <c r="Q1215" s="88">
        <f>SUMIF(月間集計シート!$M$50:$M$69,$G1215,月間集計シート!N$50:N$69)*Q$2</f>
        <v>0</v>
      </c>
      <c r="R1215" s="88">
        <f>SUMIF(月間集計シート!$M$50:$M$69,$G1215,月間集計シート!O$50:O$69)*R$2</f>
        <v>0</v>
      </c>
      <c r="S1215" s="88">
        <f>SUMIF(月間集計シート!$M$50:$M$69,$G1215,月間集計シート!P$50:P$69)*S$2</f>
        <v>0</v>
      </c>
      <c r="T1215" s="88">
        <f>SUMIF(月間集計シート!$M$50:$M$69,$G1215,月間集計シート!Q$50:Q$69)*T$2</f>
        <v>0</v>
      </c>
      <c r="U1215" s="88">
        <f>SUMIF(月間集計シート!$M$50:$M$69,$G1215,月間集計シート!R$50:R$69)*U$2</f>
        <v>0</v>
      </c>
      <c r="V1215" s="88">
        <f>SUMIF(月間集計シート!$M$50:$M$69,$G1215,月間集計シート!S$50:S$69)*V$2</f>
        <v>0</v>
      </c>
      <c r="W1215" s="88">
        <f>SUMIF(月間集計シート!$M$50:$M$69,$G1215,月間集計シート!T$50:T$69)*W$2</f>
        <v>0</v>
      </c>
      <c r="X1215" s="88">
        <f>SUMIF(月間集計シート!$M$71:$M$90,$G1215,月間集計シート!N$71:N$90)*X$2</f>
        <v>0</v>
      </c>
      <c r="Y1215" s="88">
        <f>SUMIF(月間集計シート!$M$71:$M$90,$G1215,月間集計シート!O$71:O$90)*Y$2</f>
        <v>0</v>
      </c>
      <c r="Z1215" s="88">
        <f>SUMIF(月間集計シート!$M$71:$M$90,$G1215,月間集計シート!P$71:P$90)*Z$2</f>
        <v>0</v>
      </c>
      <c r="AA1215" s="88">
        <f>SUMIF(月間集計シート!$M$71:$M$90,$G1215,月間集計シート!Q$71:Q$90)*AA$2</f>
        <v>0</v>
      </c>
      <c r="AB1215" s="88">
        <f>SUMIF(月間集計シート!$M$71:$M$90,$G1215,月間集計シート!R$71:R$90)*AB$2</f>
        <v>0</v>
      </c>
      <c r="AC1215" s="88">
        <f>SUMIF(月間集計シート!$M$71:$M$90,$G1215,月間集計シート!S$71:S$90)*AC$2</f>
        <v>0</v>
      </c>
      <c r="AD1215" s="88">
        <f>SUMIF(月間集計シート!$M$71:$M$90,$G1215,月間集計シート!T$71:T$90)*AD$2</f>
        <v>0</v>
      </c>
      <c r="AE1215" s="88">
        <f>SUMIF(月間集計シート!$M$92:$M$111,$G1215,月間集計シート!N$92:N$111)*AE$2</f>
        <v>0</v>
      </c>
      <c r="AF1215" s="88">
        <f>SUMIF(月間集計シート!$M$92:$M$111,$G1215,月間集計シート!O$92:O$111)*AF$2</f>
        <v>0</v>
      </c>
      <c r="AG1215" s="88">
        <f>SUMIF(月間集計シート!$M$92:$M$111,$G1215,月間集計シート!P$92:P$111)*AG$2</f>
        <v>0</v>
      </c>
      <c r="AH1215" s="88">
        <f>SUMIF(月間集計シート!$M$92:$M$111,$G1215,月間集計シート!Q$92:Q$111)*AH$2</f>
        <v>0</v>
      </c>
      <c r="AI1215" s="88">
        <f>SUMIF(月間集計シート!$M$92:$M$111,$G1215,月間集計シート!R$92:R$111)*AI$2</f>
        <v>0</v>
      </c>
      <c r="AJ1215" s="88">
        <f>SUMIF(月間集計シート!$M$92:$M$111,$G1215,月間集計シート!S$92:S$111)*AJ$2</f>
        <v>0</v>
      </c>
      <c r="AK1215" s="88">
        <f>SUMIF(月間集計シート!$M$92:$M$111,$G1215,月間集計シート!T$92:T$111)*AK$2</f>
        <v>0</v>
      </c>
      <c r="AL1215" s="88">
        <f>SUMIF(月間集計シート!$M$113:$M$132,$G1215,月間集計シート!N$113:N$132)*AL$2</f>
        <v>0</v>
      </c>
      <c r="AM1215" s="88">
        <f>SUMIF(月間集計シート!$M$113:$M$132,$G1215,月間集計シート!O$113:O$132)*AM$2</f>
        <v>0</v>
      </c>
      <c r="AN1215" s="88">
        <f>SUMIF(月間集計シート!$M$113:$M$132,$G1215,月間集計シート!P$113:P$132)*AN$2</f>
        <v>0</v>
      </c>
      <c r="AO1215" s="88">
        <f>SUMIF(月間集計シート!$M$113:$M$132,$G1215,月間集計シート!Q$113:Q$132)*AO$2</f>
        <v>0</v>
      </c>
      <c r="AP1215" s="88">
        <f>SUMIF(月間集計シート!$M$113:$M$132,$G1215,月間集計シート!R$113:R$132)*AP$2</f>
        <v>0</v>
      </c>
      <c r="AQ1215" s="88">
        <f>SUMIF(月間集計シート!$M$113:$M$132,$G1215,月間集計シート!S$113:S$132)*AQ$2</f>
        <v>0</v>
      </c>
      <c r="AR1215" s="88">
        <f>SUMIF(月間集計シート!$M$113:$M$132,$G1215,月間集計シート!T$113:T$132)*AR$2</f>
        <v>0</v>
      </c>
      <c r="AS1215" s="88">
        <f>SUMIF(月間集計シート!$M$134:$M$153,$G1215,月間集計シート!N$134:N$153)*AS$2</f>
        <v>0</v>
      </c>
      <c r="AT1215" s="88">
        <f>SUMIF(月間集計シート!$M$134:$M$153,$G1215,月間集計シート!O$134:O$153)*AT$2</f>
        <v>0</v>
      </c>
      <c r="AU1215" s="88">
        <f>SUMIF(月間集計シート!$M$134:$M$153,$G1215,月間集計シート!P$134:P$153)*AU$2</f>
        <v>0</v>
      </c>
      <c r="AV1215" s="88">
        <f>SUMIF(月間集計シート!$M$134:$M$153,$G1215,月間集計シート!Q$134:Q$153)*AV$2</f>
        <v>0</v>
      </c>
      <c r="AW1215" s="88">
        <f>SUMIF(月間集計シート!$M$134:$M$153,$G1215,月間集計シート!R$134:R$153)*AW$2</f>
        <v>0</v>
      </c>
      <c r="AX1215" s="88">
        <f>SUMIF(月間集計シート!$M$134:$M$153,$G1215,月間集計シート!S$134:S$153)*AX$2</f>
        <v>0</v>
      </c>
      <c r="AY1215" s="88">
        <f>SUMIF(月間集計シート!$M$134:$M$153,$G1215,月間集計シート!T$134:T$153)*AY$2</f>
        <v>0</v>
      </c>
    </row>
    <row r="1216" spans="1:51" ht="14.25" thickBot="1">
      <c r="A1216">
        <v>15</v>
      </c>
      <c r="B1216" s="120">
        <f t="shared" si="676"/>
        <v>0</v>
      </c>
      <c r="C1216" s="120" t="str">
        <f t="shared" si="677"/>
        <v/>
      </c>
      <c r="D1216" s="137"/>
      <c r="E1216" s="150" t="str">
        <f>工種!A18</f>
        <v>30104</v>
      </c>
      <c r="F1216" s="119" t="str">
        <f>工種!B18</f>
        <v>製造：単体テスト実施</v>
      </c>
      <c r="G1216" s="116" t="str">
        <f t="shared" si="678"/>
        <v>030104</v>
      </c>
      <c r="H1216" s="88">
        <f t="shared" si="675"/>
        <v>0</v>
      </c>
      <c r="I1216" s="132"/>
      <c r="J1216" s="88">
        <f>SUMIF(月間集計シート!$M$29:$M$48,$G1216,月間集計シート!N$29:N$48)*J$2</f>
        <v>0</v>
      </c>
      <c r="K1216" s="88">
        <f>SUMIF(月間集計シート!$M$29:$M$48,$G1216,月間集計シート!O$29:O$48)*K$2</f>
        <v>0</v>
      </c>
      <c r="L1216" s="88">
        <f>SUMIF(月間集計シート!$M$29:$M$48,$G1216,月間集計シート!P$29:P$48)*L$2</f>
        <v>0</v>
      </c>
      <c r="M1216" s="88">
        <f>SUMIF(月間集計シート!$M$29:$M$48,$G1216,月間集計シート!Q$29:Q$48)*M$2</f>
        <v>0</v>
      </c>
      <c r="N1216" s="88">
        <f>SUMIF(月間集計シート!$M$29:$M$48,$G1216,月間集計シート!R$29:R$48)*N$2</f>
        <v>0</v>
      </c>
      <c r="O1216" s="88">
        <f>SUMIF(月間集計シート!$M$29:$M$48,$G1216,月間集計シート!S$29:S$48)*O$2</f>
        <v>0</v>
      </c>
      <c r="P1216" s="88">
        <f>SUMIF(月間集計シート!$M$29:$M$48,$G1216,月間集計シート!T$29:T$48)*P$2</f>
        <v>0</v>
      </c>
      <c r="Q1216" s="88">
        <f>SUMIF(月間集計シート!$M$50:$M$69,$G1216,月間集計シート!N$50:N$69)*Q$2</f>
        <v>0</v>
      </c>
      <c r="R1216" s="88">
        <f>SUMIF(月間集計シート!$M$50:$M$69,$G1216,月間集計シート!O$50:O$69)*R$2</f>
        <v>0</v>
      </c>
      <c r="S1216" s="88">
        <f>SUMIF(月間集計シート!$M$50:$M$69,$G1216,月間集計シート!P$50:P$69)*S$2</f>
        <v>0</v>
      </c>
      <c r="T1216" s="88">
        <f>SUMIF(月間集計シート!$M$50:$M$69,$G1216,月間集計シート!Q$50:Q$69)*T$2</f>
        <v>0</v>
      </c>
      <c r="U1216" s="88">
        <f>SUMIF(月間集計シート!$M$50:$M$69,$G1216,月間集計シート!R$50:R$69)*U$2</f>
        <v>0</v>
      </c>
      <c r="V1216" s="88">
        <f>SUMIF(月間集計シート!$M$50:$M$69,$G1216,月間集計シート!S$50:S$69)*V$2</f>
        <v>0</v>
      </c>
      <c r="W1216" s="88">
        <f>SUMIF(月間集計シート!$M$50:$M$69,$G1216,月間集計シート!T$50:T$69)*W$2</f>
        <v>0</v>
      </c>
      <c r="X1216" s="88">
        <f>SUMIF(月間集計シート!$M$71:$M$90,$G1216,月間集計シート!N$71:N$90)*X$2</f>
        <v>0</v>
      </c>
      <c r="Y1216" s="88">
        <f>SUMIF(月間集計シート!$M$71:$M$90,$G1216,月間集計シート!O$71:O$90)*Y$2</f>
        <v>0</v>
      </c>
      <c r="Z1216" s="88">
        <f>SUMIF(月間集計シート!$M$71:$M$90,$G1216,月間集計シート!P$71:P$90)*Z$2</f>
        <v>0</v>
      </c>
      <c r="AA1216" s="88">
        <f>SUMIF(月間集計シート!$M$71:$M$90,$G1216,月間集計シート!Q$71:Q$90)*AA$2</f>
        <v>0</v>
      </c>
      <c r="AB1216" s="88">
        <f>SUMIF(月間集計シート!$M$71:$M$90,$G1216,月間集計シート!R$71:R$90)*AB$2</f>
        <v>0</v>
      </c>
      <c r="AC1216" s="88">
        <f>SUMIF(月間集計シート!$M$71:$M$90,$G1216,月間集計シート!S$71:S$90)*AC$2</f>
        <v>0</v>
      </c>
      <c r="AD1216" s="88">
        <f>SUMIF(月間集計シート!$M$71:$M$90,$G1216,月間集計シート!T$71:T$90)*AD$2</f>
        <v>0</v>
      </c>
      <c r="AE1216" s="88">
        <f>SUMIF(月間集計シート!$M$92:$M$111,$G1216,月間集計シート!N$92:N$111)*AE$2</f>
        <v>0</v>
      </c>
      <c r="AF1216" s="88">
        <f>SUMIF(月間集計シート!$M$92:$M$111,$G1216,月間集計シート!O$92:O$111)*AF$2</f>
        <v>0</v>
      </c>
      <c r="AG1216" s="88">
        <f>SUMIF(月間集計シート!$M$92:$M$111,$G1216,月間集計シート!P$92:P$111)*AG$2</f>
        <v>0</v>
      </c>
      <c r="AH1216" s="88">
        <f>SUMIF(月間集計シート!$M$92:$M$111,$G1216,月間集計シート!Q$92:Q$111)*AH$2</f>
        <v>0</v>
      </c>
      <c r="AI1216" s="88">
        <f>SUMIF(月間集計シート!$M$92:$M$111,$G1216,月間集計シート!R$92:R$111)*AI$2</f>
        <v>0</v>
      </c>
      <c r="AJ1216" s="88">
        <f>SUMIF(月間集計シート!$M$92:$M$111,$G1216,月間集計シート!S$92:S$111)*AJ$2</f>
        <v>0</v>
      </c>
      <c r="AK1216" s="88">
        <f>SUMIF(月間集計シート!$M$92:$M$111,$G1216,月間集計シート!T$92:T$111)*AK$2</f>
        <v>0</v>
      </c>
      <c r="AL1216" s="88">
        <f>SUMIF(月間集計シート!$M$113:$M$132,$G1216,月間集計シート!N$113:N$132)*AL$2</f>
        <v>0</v>
      </c>
      <c r="AM1216" s="88">
        <f>SUMIF(月間集計シート!$M$113:$M$132,$G1216,月間集計シート!O$113:O$132)*AM$2</f>
        <v>0</v>
      </c>
      <c r="AN1216" s="88">
        <f>SUMIF(月間集計シート!$M$113:$M$132,$G1216,月間集計シート!P$113:P$132)*AN$2</f>
        <v>0</v>
      </c>
      <c r="AO1216" s="88">
        <f>SUMIF(月間集計シート!$M$113:$M$132,$G1216,月間集計シート!Q$113:Q$132)*AO$2</f>
        <v>0</v>
      </c>
      <c r="AP1216" s="88">
        <f>SUMIF(月間集計シート!$M$113:$M$132,$G1216,月間集計シート!R$113:R$132)*AP$2</f>
        <v>0</v>
      </c>
      <c r="AQ1216" s="88">
        <f>SUMIF(月間集計シート!$M$113:$M$132,$G1216,月間集計シート!S$113:S$132)*AQ$2</f>
        <v>0</v>
      </c>
      <c r="AR1216" s="88">
        <f>SUMIF(月間集計シート!$M$113:$M$132,$G1216,月間集計シート!T$113:T$132)*AR$2</f>
        <v>0</v>
      </c>
      <c r="AS1216" s="88">
        <f>SUMIF(月間集計シート!$M$134:$M$153,$G1216,月間集計シート!N$134:N$153)*AS$2</f>
        <v>0</v>
      </c>
      <c r="AT1216" s="88">
        <f>SUMIF(月間集計シート!$M$134:$M$153,$G1216,月間集計シート!O$134:O$153)*AT$2</f>
        <v>0</v>
      </c>
      <c r="AU1216" s="88">
        <f>SUMIF(月間集計シート!$M$134:$M$153,$G1216,月間集計シート!P$134:P$153)*AU$2</f>
        <v>0</v>
      </c>
      <c r="AV1216" s="88">
        <f>SUMIF(月間集計シート!$M$134:$M$153,$G1216,月間集計シート!Q$134:Q$153)*AV$2</f>
        <v>0</v>
      </c>
      <c r="AW1216" s="88">
        <f>SUMIF(月間集計シート!$M$134:$M$153,$G1216,月間集計シート!R$134:R$153)*AW$2</f>
        <v>0</v>
      </c>
      <c r="AX1216" s="88">
        <f>SUMIF(月間集計シート!$M$134:$M$153,$G1216,月間集計シート!S$134:S$153)*AX$2</f>
        <v>0</v>
      </c>
      <c r="AY1216" s="88">
        <f>SUMIF(月間集計シート!$M$134:$M$153,$G1216,月間集計シート!T$134:T$153)*AY$2</f>
        <v>0</v>
      </c>
    </row>
    <row r="1217" spans="1:51" ht="14.25" thickBot="1">
      <c r="A1217">
        <v>15</v>
      </c>
      <c r="B1217" s="120">
        <f t="shared" si="676"/>
        <v>0</v>
      </c>
      <c r="C1217" s="120" t="str">
        <f t="shared" si="677"/>
        <v/>
      </c>
      <c r="D1217" s="137"/>
      <c r="E1217" s="150" t="str">
        <f>工種!A19</f>
        <v>30105</v>
      </c>
      <c r="F1217" s="119" t="str">
        <f>工種!B19</f>
        <v>製造：打合せ</v>
      </c>
      <c r="G1217" s="116" t="str">
        <f t="shared" si="678"/>
        <v>030105</v>
      </c>
      <c r="H1217" s="88">
        <f t="shared" si="675"/>
        <v>0</v>
      </c>
      <c r="I1217" s="132"/>
      <c r="J1217" s="88">
        <f>SUMIF(月間集計シート!$M$29:$M$48,$G1217,月間集計シート!N$29:N$48)*J$2</f>
        <v>0</v>
      </c>
      <c r="K1217" s="88">
        <f>SUMIF(月間集計シート!$M$29:$M$48,$G1217,月間集計シート!O$29:O$48)*K$2</f>
        <v>0</v>
      </c>
      <c r="L1217" s="88">
        <f>SUMIF(月間集計シート!$M$29:$M$48,$G1217,月間集計シート!P$29:P$48)*L$2</f>
        <v>0</v>
      </c>
      <c r="M1217" s="88">
        <f>SUMIF(月間集計シート!$M$29:$M$48,$G1217,月間集計シート!Q$29:Q$48)*M$2</f>
        <v>0</v>
      </c>
      <c r="N1217" s="88">
        <f>SUMIF(月間集計シート!$M$29:$M$48,$G1217,月間集計シート!R$29:R$48)*N$2</f>
        <v>0</v>
      </c>
      <c r="O1217" s="88">
        <f>SUMIF(月間集計シート!$M$29:$M$48,$G1217,月間集計シート!S$29:S$48)*O$2</f>
        <v>0</v>
      </c>
      <c r="P1217" s="88">
        <f>SUMIF(月間集計シート!$M$29:$M$48,$G1217,月間集計シート!T$29:T$48)*P$2</f>
        <v>0</v>
      </c>
      <c r="Q1217" s="88">
        <f>SUMIF(月間集計シート!$M$50:$M$69,$G1217,月間集計シート!N$50:N$69)*Q$2</f>
        <v>0</v>
      </c>
      <c r="R1217" s="88">
        <f>SUMIF(月間集計シート!$M$50:$M$69,$G1217,月間集計シート!O$50:O$69)*R$2</f>
        <v>0</v>
      </c>
      <c r="S1217" s="88">
        <f>SUMIF(月間集計シート!$M$50:$M$69,$G1217,月間集計シート!P$50:P$69)*S$2</f>
        <v>0</v>
      </c>
      <c r="T1217" s="88">
        <f>SUMIF(月間集計シート!$M$50:$M$69,$G1217,月間集計シート!Q$50:Q$69)*T$2</f>
        <v>0</v>
      </c>
      <c r="U1217" s="88">
        <f>SUMIF(月間集計シート!$M$50:$M$69,$G1217,月間集計シート!R$50:R$69)*U$2</f>
        <v>0</v>
      </c>
      <c r="V1217" s="88">
        <f>SUMIF(月間集計シート!$M$50:$M$69,$G1217,月間集計シート!S$50:S$69)*V$2</f>
        <v>0</v>
      </c>
      <c r="W1217" s="88">
        <f>SUMIF(月間集計シート!$M$50:$M$69,$G1217,月間集計シート!T$50:T$69)*W$2</f>
        <v>0</v>
      </c>
      <c r="X1217" s="88">
        <f>SUMIF(月間集計シート!$M$71:$M$90,$G1217,月間集計シート!N$71:N$90)*X$2</f>
        <v>0</v>
      </c>
      <c r="Y1217" s="88">
        <f>SUMIF(月間集計シート!$M$71:$M$90,$G1217,月間集計シート!O$71:O$90)*Y$2</f>
        <v>0</v>
      </c>
      <c r="Z1217" s="88">
        <f>SUMIF(月間集計シート!$M$71:$M$90,$G1217,月間集計シート!P$71:P$90)*Z$2</f>
        <v>0</v>
      </c>
      <c r="AA1217" s="88">
        <f>SUMIF(月間集計シート!$M$71:$M$90,$G1217,月間集計シート!Q$71:Q$90)*AA$2</f>
        <v>0</v>
      </c>
      <c r="AB1217" s="88">
        <f>SUMIF(月間集計シート!$M$71:$M$90,$G1217,月間集計シート!R$71:R$90)*AB$2</f>
        <v>0</v>
      </c>
      <c r="AC1217" s="88">
        <f>SUMIF(月間集計シート!$M$71:$M$90,$G1217,月間集計シート!S$71:S$90)*AC$2</f>
        <v>0</v>
      </c>
      <c r="AD1217" s="88">
        <f>SUMIF(月間集計シート!$M$71:$M$90,$G1217,月間集計シート!T$71:T$90)*AD$2</f>
        <v>0</v>
      </c>
      <c r="AE1217" s="88">
        <f>SUMIF(月間集計シート!$M$92:$M$111,$G1217,月間集計シート!N$92:N$111)*AE$2</f>
        <v>0</v>
      </c>
      <c r="AF1217" s="88">
        <f>SUMIF(月間集計シート!$M$92:$M$111,$G1217,月間集計シート!O$92:O$111)*AF$2</f>
        <v>0</v>
      </c>
      <c r="AG1217" s="88">
        <f>SUMIF(月間集計シート!$M$92:$M$111,$G1217,月間集計シート!P$92:P$111)*AG$2</f>
        <v>0</v>
      </c>
      <c r="AH1217" s="88">
        <f>SUMIF(月間集計シート!$M$92:$M$111,$G1217,月間集計シート!Q$92:Q$111)*AH$2</f>
        <v>0</v>
      </c>
      <c r="AI1217" s="88">
        <f>SUMIF(月間集計シート!$M$92:$M$111,$G1217,月間集計シート!R$92:R$111)*AI$2</f>
        <v>0</v>
      </c>
      <c r="AJ1217" s="88">
        <f>SUMIF(月間集計シート!$M$92:$M$111,$G1217,月間集計シート!S$92:S$111)*AJ$2</f>
        <v>0</v>
      </c>
      <c r="AK1217" s="88">
        <f>SUMIF(月間集計シート!$M$92:$M$111,$G1217,月間集計シート!T$92:T$111)*AK$2</f>
        <v>0</v>
      </c>
      <c r="AL1217" s="88">
        <f>SUMIF(月間集計シート!$M$113:$M$132,$G1217,月間集計シート!N$113:N$132)*AL$2</f>
        <v>0</v>
      </c>
      <c r="AM1217" s="88">
        <f>SUMIF(月間集計シート!$M$113:$M$132,$G1217,月間集計シート!O$113:O$132)*AM$2</f>
        <v>0</v>
      </c>
      <c r="AN1217" s="88">
        <f>SUMIF(月間集計シート!$M$113:$M$132,$G1217,月間集計シート!P$113:P$132)*AN$2</f>
        <v>0</v>
      </c>
      <c r="AO1217" s="88">
        <f>SUMIF(月間集計シート!$M$113:$M$132,$G1217,月間集計シート!Q$113:Q$132)*AO$2</f>
        <v>0</v>
      </c>
      <c r="AP1217" s="88">
        <f>SUMIF(月間集計シート!$M$113:$M$132,$G1217,月間集計シート!R$113:R$132)*AP$2</f>
        <v>0</v>
      </c>
      <c r="AQ1217" s="88">
        <f>SUMIF(月間集計シート!$M$113:$M$132,$G1217,月間集計シート!S$113:S$132)*AQ$2</f>
        <v>0</v>
      </c>
      <c r="AR1217" s="88">
        <f>SUMIF(月間集計シート!$M$113:$M$132,$G1217,月間集計シート!T$113:T$132)*AR$2</f>
        <v>0</v>
      </c>
      <c r="AS1217" s="88">
        <f>SUMIF(月間集計シート!$M$134:$M$153,$G1217,月間集計シート!N$134:N$153)*AS$2</f>
        <v>0</v>
      </c>
      <c r="AT1217" s="88">
        <f>SUMIF(月間集計シート!$M$134:$M$153,$G1217,月間集計シート!O$134:O$153)*AT$2</f>
        <v>0</v>
      </c>
      <c r="AU1217" s="88">
        <f>SUMIF(月間集計シート!$M$134:$M$153,$G1217,月間集計シート!P$134:P$153)*AU$2</f>
        <v>0</v>
      </c>
      <c r="AV1217" s="88">
        <f>SUMIF(月間集計シート!$M$134:$M$153,$G1217,月間集計シート!Q$134:Q$153)*AV$2</f>
        <v>0</v>
      </c>
      <c r="AW1217" s="88">
        <f>SUMIF(月間集計シート!$M$134:$M$153,$G1217,月間集計シート!R$134:R$153)*AW$2</f>
        <v>0</v>
      </c>
      <c r="AX1217" s="88">
        <f>SUMIF(月間集計シート!$M$134:$M$153,$G1217,月間集計シート!S$134:S$153)*AX$2</f>
        <v>0</v>
      </c>
      <c r="AY1217" s="88">
        <f>SUMIF(月間集計シート!$M$134:$M$153,$G1217,月間集計シート!T$134:T$153)*AY$2</f>
        <v>0</v>
      </c>
    </row>
    <row r="1218" spans="1:51" ht="14.25" thickBot="1">
      <c r="A1218">
        <v>15</v>
      </c>
      <c r="B1218" s="120">
        <f t="shared" si="676"/>
        <v>0</v>
      </c>
      <c r="C1218" s="120" t="str">
        <f t="shared" si="677"/>
        <v/>
      </c>
      <c r="D1218" s="137"/>
      <c r="E1218" s="150" t="str">
        <f>工種!A20</f>
        <v>30106</v>
      </c>
      <c r="F1218" s="119" t="str">
        <f>工種!B20</f>
        <v>製造：PG修正（手戻り分）</v>
      </c>
      <c r="G1218" s="116" t="str">
        <f t="shared" si="678"/>
        <v>030106</v>
      </c>
      <c r="H1218" s="88">
        <f t="shared" si="675"/>
        <v>0</v>
      </c>
      <c r="I1218" s="132"/>
      <c r="J1218" s="88">
        <f>SUMIF(月間集計シート!$M$29:$M$48,$G1218,月間集計シート!N$29:N$48)*J$2</f>
        <v>0</v>
      </c>
      <c r="K1218" s="88">
        <f>SUMIF(月間集計シート!$M$29:$M$48,$G1218,月間集計シート!O$29:O$48)*K$2</f>
        <v>0</v>
      </c>
      <c r="L1218" s="88">
        <f>SUMIF(月間集計シート!$M$29:$M$48,$G1218,月間集計シート!P$29:P$48)*L$2</f>
        <v>0</v>
      </c>
      <c r="M1218" s="88">
        <f>SUMIF(月間集計シート!$M$29:$M$48,$G1218,月間集計シート!Q$29:Q$48)*M$2</f>
        <v>0</v>
      </c>
      <c r="N1218" s="88">
        <f>SUMIF(月間集計シート!$M$29:$M$48,$G1218,月間集計シート!R$29:R$48)*N$2</f>
        <v>0</v>
      </c>
      <c r="O1218" s="88">
        <f>SUMIF(月間集計シート!$M$29:$M$48,$G1218,月間集計シート!S$29:S$48)*O$2</f>
        <v>0</v>
      </c>
      <c r="P1218" s="88">
        <f>SUMIF(月間集計シート!$M$29:$M$48,$G1218,月間集計シート!T$29:T$48)*P$2</f>
        <v>0</v>
      </c>
      <c r="Q1218" s="88">
        <f>SUMIF(月間集計シート!$M$50:$M$69,$G1218,月間集計シート!N$50:N$69)*Q$2</f>
        <v>0</v>
      </c>
      <c r="R1218" s="88">
        <f>SUMIF(月間集計シート!$M$50:$M$69,$G1218,月間集計シート!O$50:O$69)*R$2</f>
        <v>0</v>
      </c>
      <c r="S1218" s="88">
        <f>SUMIF(月間集計シート!$M$50:$M$69,$G1218,月間集計シート!P$50:P$69)*S$2</f>
        <v>0</v>
      </c>
      <c r="T1218" s="88">
        <f>SUMIF(月間集計シート!$M$50:$M$69,$G1218,月間集計シート!Q$50:Q$69)*T$2</f>
        <v>0</v>
      </c>
      <c r="U1218" s="88">
        <f>SUMIF(月間集計シート!$M$50:$M$69,$G1218,月間集計シート!R$50:R$69)*U$2</f>
        <v>0</v>
      </c>
      <c r="V1218" s="88">
        <f>SUMIF(月間集計シート!$M$50:$M$69,$G1218,月間集計シート!S$50:S$69)*V$2</f>
        <v>0</v>
      </c>
      <c r="W1218" s="88">
        <f>SUMIF(月間集計シート!$M$50:$M$69,$G1218,月間集計シート!T$50:T$69)*W$2</f>
        <v>0</v>
      </c>
      <c r="X1218" s="88">
        <f>SUMIF(月間集計シート!$M$71:$M$90,$G1218,月間集計シート!N$71:N$90)*X$2</f>
        <v>0</v>
      </c>
      <c r="Y1218" s="88">
        <f>SUMIF(月間集計シート!$M$71:$M$90,$G1218,月間集計シート!O$71:O$90)*Y$2</f>
        <v>0</v>
      </c>
      <c r="Z1218" s="88">
        <f>SUMIF(月間集計シート!$M$71:$M$90,$G1218,月間集計シート!P$71:P$90)*Z$2</f>
        <v>0</v>
      </c>
      <c r="AA1218" s="88">
        <f>SUMIF(月間集計シート!$M$71:$M$90,$G1218,月間集計シート!Q$71:Q$90)*AA$2</f>
        <v>0</v>
      </c>
      <c r="AB1218" s="88">
        <f>SUMIF(月間集計シート!$M$71:$M$90,$G1218,月間集計シート!R$71:R$90)*AB$2</f>
        <v>0</v>
      </c>
      <c r="AC1218" s="88">
        <f>SUMIF(月間集計シート!$M$71:$M$90,$G1218,月間集計シート!S$71:S$90)*AC$2</f>
        <v>0</v>
      </c>
      <c r="AD1218" s="88">
        <f>SUMIF(月間集計シート!$M$71:$M$90,$G1218,月間集計シート!T$71:T$90)*AD$2</f>
        <v>0</v>
      </c>
      <c r="AE1218" s="88">
        <f>SUMIF(月間集計シート!$M$92:$M$111,$G1218,月間集計シート!N$92:N$111)*AE$2</f>
        <v>0</v>
      </c>
      <c r="AF1218" s="88">
        <f>SUMIF(月間集計シート!$M$92:$M$111,$G1218,月間集計シート!O$92:O$111)*AF$2</f>
        <v>0</v>
      </c>
      <c r="AG1218" s="88">
        <f>SUMIF(月間集計シート!$M$92:$M$111,$G1218,月間集計シート!P$92:P$111)*AG$2</f>
        <v>0</v>
      </c>
      <c r="AH1218" s="88">
        <f>SUMIF(月間集計シート!$M$92:$M$111,$G1218,月間集計シート!Q$92:Q$111)*AH$2</f>
        <v>0</v>
      </c>
      <c r="AI1218" s="88">
        <f>SUMIF(月間集計シート!$M$92:$M$111,$G1218,月間集計シート!R$92:R$111)*AI$2</f>
        <v>0</v>
      </c>
      <c r="AJ1218" s="88">
        <f>SUMIF(月間集計シート!$M$92:$M$111,$G1218,月間集計シート!S$92:S$111)*AJ$2</f>
        <v>0</v>
      </c>
      <c r="AK1218" s="88">
        <f>SUMIF(月間集計シート!$M$92:$M$111,$G1218,月間集計シート!T$92:T$111)*AK$2</f>
        <v>0</v>
      </c>
      <c r="AL1218" s="88">
        <f>SUMIF(月間集計シート!$M$113:$M$132,$G1218,月間集計シート!N$113:N$132)*AL$2</f>
        <v>0</v>
      </c>
      <c r="AM1218" s="88">
        <f>SUMIF(月間集計シート!$M$113:$M$132,$G1218,月間集計シート!O$113:O$132)*AM$2</f>
        <v>0</v>
      </c>
      <c r="AN1218" s="88">
        <f>SUMIF(月間集計シート!$M$113:$M$132,$G1218,月間集計シート!P$113:P$132)*AN$2</f>
        <v>0</v>
      </c>
      <c r="AO1218" s="88">
        <f>SUMIF(月間集計シート!$M$113:$M$132,$G1218,月間集計シート!Q$113:Q$132)*AO$2</f>
        <v>0</v>
      </c>
      <c r="AP1218" s="88">
        <f>SUMIF(月間集計シート!$M$113:$M$132,$G1218,月間集計シート!R$113:R$132)*AP$2</f>
        <v>0</v>
      </c>
      <c r="AQ1218" s="88">
        <f>SUMIF(月間集計シート!$M$113:$M$132,$G1218,月間集計シート!S$113:S$132)*AQ$2</f>
        <v>0</v>
      </c>
      <c r="AR1218" s="88">
        <f>SUMIF(月間集計シート!$M$113:$M$132,$G1218,月間集計シート!T$113:T$132)*AR$2</f>
        <v>0</v>
      </c>
      <c r="AS1218" s="88">
        <f>SUMIF(月間集計シート!$M$134:$M$153,$G1218,月間集計シート!N$134:N$153)*AS$2</f>
        <v>0</v>
      </c>
      <c r="AT1218" s="88">
        <f>SUMIF(月間集計シート!$M$134:$M$153,$G1218,月間集計シート!O$134:O$153)*AT$2</f>
        <v>0</v>
      </c>
      <c r="AU1218" s="88">
        <f>SUMIF(月間集計シート!$M$134:$M$153,$G1218,月間集計シート!P$134:P$153)*AU$2</f>
        <v>0</v>
      </c>
      <c r="AV1218" s="88">
        <f>SUMIF(月間集計シート!$M$134:$M$153,$G1218,月間集計シート!Q$134:Q$153)*AV$2</f>
        <v>0</v>
      </c>
      <c r="AW1218" s="88">
        <f>SUMIF(月間集計シート!$M$134:$M$153,$G1218,月間集計シート!R$134:R$153)*AW$2</f>
        <v>0</v>
      </c>
      <c r="AX1218" s="88">
        <f>SUMIF(月間集計シート!$M$134:$M$153,$G1218,月間集計シート!S$134:S$153)*AX$2</f>
        <v>0</v>
      </c>
      <c r="AY1218" s="88">
        <f>SUMIF(月間集計シート!$M$134:$M$153,$G1218,月間集計シート!T$134:T$153)*AY$2</f>
        <v>0</v>
      </c>
    </row>
    <row r="1219" spans="1:51" ht="14.25" thickBot="1">
      <c r="A1219">
        <v>15</v>
      </c>
      <c r="B1219" s="120">
        <f t="shared" si="676"/>
        <v>0</v>
      </c>
      <c r="C1219" s="120" t="str">
        <f t="shared" si="677"/>
        <v/>
      </c>
      <c r="D1219" s="137"/>
      <c r="E1219" s="150" t="str">
        <f>工種!A21</f>
        <v>30109</v>
      </c>
      <c r="F1219" s="119" t="str">
        <f>工種!B21</f>
        <v>製造：レビュー</v>
      </c>
      <c r="G1219" s="116" t="str">
        <f t="shared" si="678"/>
        <v>030109</v>
      </c>
      <c r="H1219" s="88">
        <f t="shared" si="675"/>
        <v>0</v>
      </c>
      <c r="I1219" s="132"/>
      <c r="J1219" s="88">
        <f>SUMIF(月間集計シート!$M$29:$M$48,$G1219,月間集計シート!N$29:N$48)*J$2</f>
        <v>0</v>
      </c>
      <c r="K1219" s="88">
        <f>SUMIF(月間集計シート!$M$29:$M$48,$G1219,月間集計シート!O$29:O$48)*K$2</f>
        <v>0</v>
      </c>
      <c r="L1219" s="88">
        <f>SUMIF(月間集計シート!$M$29:$M$48,$G1219,月間集計シート!P$29:P$48)*L$2</f>
        <v>0</v>
      </c>
      <c r="M1219" s="88">
        <f>SUMIF(月間集計シート!$M$29:$M$48,$G1219,月間集計シート!Q$29:Q$48)*M$2</f>
        <v>0</v>
      </c>
      <c r="N1219" s="88">
        <f>SUMIF(月間集計シート!$M$29:$M$48,$G1219,月間集計シート!R$29:R$48)*N$2</f>
        <v>0</v>
      </c>
      <c r="O1219" s="88">
        <f>SUMIF(月間集計シート!$M$29:$M$48,$G1219,月間集計シート!S$29:S$48)*O$2</f>
        <v>0</v>
      </c>
      <c r="P1219" s="88">
        <f>SUMIF(月間集計シート!$M$29:$M$48,$G1219,月間集計シート!T$29:T$48)*P$2</f>
        <v>0</v>
      </c>
      <c r="Q1219" s="88">
        <f>SUMIF(月間集計シート!$M$50:$M$69,$G1219,月間集計シート!N$50:N$69)*Q$2</f>
        <v>0</v>
      </c>
      <c r="R1219" s="88">
        <f>SUMIF(月間集計シート!$M$50:$M$69,$G1219,月間集計シート!O$50:O$69)*R$2</f>
        <v>0</v>
      </c>
      <c r="S1219" s="88">
        <f>SUMIF(月間集計シート!$M$50:$M$69,$G1219,月間集計シート!P$50:P$69)*S$2</f>
        <v>0</v>
      </c>
      <c r="T1219" s="88">
        <f>SUMIF(月間集計シート!$M$50:$M$69,$G1219,月間集計シート!Q$50:Q$69)*T$2</f>
        <v>0</v>
      </c>
      <c r="U1219" s="88">
        <f>SUMIF(月間集計シート!$M$50:$M$69,$G1219,月間集計シート!R$50:R$69)*U$2</f>
        <v>0</v>
      </c>
      <c r="V1219" s="88">
        <f>SUMIF(月間集計シート!$M$50:$M$69,$G1219,月間集計シート!S$50:S$69)*V$2</f>
        <v>0</v>
      </c>
      <c r="W1219" s="88">
        <f>SUMIF(月間集計シート!$M$50:$M$69,$G1219,月間集計シート!T$50:T$69)*W$2</f>
        <v>0</v>
      </c>
      <c r="X1219" s="88">
        <f>SUMIF(月間集計シート!$M$71:$M$90,$G1219,月間集計シート!N$71:N$90)*X$2</f>
        <v>0</v>
      </c>
      <c r="Y1219" s="88">
        <f>SUMIF(月間集計シート!$M$71:$M$90,$G1219,月間集計シート!O$71:O$90)*Y$2</f>
        <v>0</v>
      </c>
      <c r="Z1219" s="88">
        <f>SUMIF(月間集計シート!$M$71:$M$90,$G1219,月間集計シート!P$71:P$90)*Z$2</f>
        <v>0</v>
      </c>
      <c r="AA1219" s="88">
        <f>SUMIF(月間集計シート!$M$71:$M$90,$G1219,月間集計シート!Q$71:Q$90)*AA$2</f>
        <v>0</v>
      </c>
      <c r="AB1219" s="88">
        <f>SUMIF(月間集計シート!$M$71:$M$90,$G1219,月間集計シート!R$71:R$90)*AB$2</f>
        <v>0</v>
      </c>
      <c r="AC1219" s="88">
        <f>SUMIF(月間集計シート!$M$71:$M$90,$G1219,月間集計シート!S$71:S$90)*AC$2</f>
        <v>0</v>
      </c>
      <c r="AD1219" s="88">
        <f>SUMIF(月間集計シート!$M$71:$M$90,$G1219,月間集計シート!T$71:T$90)*AD$2</f>
        <v>0</v>
      </c>
      <c r="AE1219" s="88">
        <f>SUMIF(月間集計シート!$M$92:$M$111,$G1219,月間集計シート!N$92:N$111)*AE$2</f>
        <v>0</v>
      </c>
      <c r="AF1219" s="88">
        <f>SUMIF(月間集計シート!$M$92:$M$111,$G1219,月間集計シート!O$92:O$111)*AF$2</f>
        <v>0</v>
      </c>
      <c r="AG1219" s="88">
        <f>SUMIF(月間集計シート!$M$92:$M$111,$G1219,月間集計シート!P$92:P$111)*AG$2</f>
        <v>0</v>
      </c>
      <c r="AH1219" s="88">
        <f>SUMIF(月間集計シート!$M$92:$M$111,$G1219,月間集計シート!Q$92:Q$111)*AH$2</f>
        <v>0</v>
      </c>
      <c r="AI1219" s="88">
        <f>SUMIF(月間集計シート!$M$92:$M$111,$G1219,月間集計シート!R$92:R$111)*AI$2</f>
        <v>0</v>
      </c>
      <c r="AJ1219" s="88">
        <f>SUMIF(月間集計シート!$M$92:$M$111,$G1219,月間集計シート!S$92:S$111)*AJ$2</f>
        <v>0</v>
      </c>
      <c r="AK1219" s="88">
        <f>SUMIF(月間集計シート!$M$92:$M$111,$G1219,月間集計シート!T$92:T$111)*AK$2</f>
        <v>0</v>
      </c>
      <c r="AL1219" s="88">
        <f>SUMIF(月間集計シート!$M$113:$M$132,$G1219,月間集計シート!N$113:N$132)*AL$2</f>
        <v>0</v>
      </c>
      <c r="AM1219" s="88">
        <f>SUMIF(月間集計シート!$M$113:$M$132,$G1219,月間集計シート!O$113:O$132)*AM$2</f>
        <v>0</v>
      </c>
      <c r="AN1219" s="88">
        <f>SUMIF(月間集計シート!$M$113:$M$132,$G1219,月間集計シート!P$113:P$132)*AN$2</f>
        <v>0</v>
      </c>
      <c r="AO1219" s="88">
        <f>SUMIF(月間集計シート!$M$113:$M$132,$G1219,月間集計シート!Q$113:Q$132)*AO$2</f>
        <v>0</v>
      </c>
      <c r="AP1219" s="88">
        <f>SUMIF(月間集計シート!$M$113:$M$132,$G1219,月間集計シート!R$113:R$132)*AP$2</f>
        <v>0</v>
      </c>
      <c r="AQ1219" s="88">
        <f>SUMIF(月間集計シート!$M$113:$M$132,$G1219,月間集計シート!S$113:S$132)*AQ$2</f>
        <v>0</v>
      </c>
      <c r="AR1219" s="88">
        <f>SUMIF(月間集計シート!$M$113:$M$132,$G1219,月間集計シート!T$113:T$132)*AR$2</f>
        <v>0</v>
      </c>
      <c r="AS1219" s="88">
        <f>SUMIF(月間集計シート!$M$134:$M$153,$G1219,月間集計シート!N$134:N$153)*AS$2</f>
        <v>0</v>
      </c>
      <c r="AT1219" s="88">
        <f>SUMIF(月間集計シート!$M$134:$M$153,$G1219,月間集計シート!O$134:O$153)*AT$2</f>
        <v>0</v>
      </c>
      <c r="AU1219" s="88">
        <f>SUMIF(月間集計シート!$M$134:$M$153,$G1219,月間集計シート!P$134:P$153)*AU$2</f>
        <v>0</v>
      </c>
      <c r="AV1219" s="88">
        <f>SUMIF(月間集計シート!$M$134:$M$153,$G1219,月間集計シート!Q$134:Q$153)*AV$2</f>
        <v>0</v>
      </c>
      <c r="AW1219" s="88">
        <f>SUMIF(月間集計シート!$M$134:$M$153,$G1219,月間集計シート!R$134:R$153)*AW$2</f>
        <v>0</v>
      </c>
      <c r="AX1219" s="88">
        <f>SUMIF(月間集計シート!$M$134:$M$153,$G1219,月間集計シート!S$134:S$153)*AX$2</f>
        <v>0</v>
      </c>
      <c r="AY1219" s="88">
        <f>SUMIF(月間集計シート!$M$134:$M$153,$G1219,月間集計シート!T$134:T$153)*AY$2</f>
        <v>0</v>
      </c>
    </row>
    <row r="1220" spans="1:51" ht="14.25" thickBot="1">
      <c r="A1220">
        <v>15</v>
      </c>
      <c r="B1220" s="120">
        <f t="shared" si="676"/>
        <v>0</v>
      </c>
      <c r="C1220" s="120" t="str">
        <f t="shared" si="677"/>
        <v/>
      </c>
      <c r="D1220" s="137"/>
      <c r="E1220" s="150" t="str">
        <f>工種!A22</f>
        <v>30199</v>
      </c>
      <c r="F1220" s="119" t="str">
        <f>工種!B22</f>
        <v>製造：その他</v>
      </c>
      <c r="G1220" s="116" t="str">
        <f t="shared" si="678"/>
        <v>030199</v>
      </c>
      <c r="H1220" s="88">
        <f t="shared" si="675"/>
        <v>0</v>
      </c>
      <c r="I1220" s="132"/>
      <c r="J1220" s="88">
        <f>SUMIF(月間集計シート!$M$29:$M$48,$G1220,月間集計シート!N$29:N$48)*J$2</f>
        <v>0</v>
      </c>
      <c r="K1220" s="88">
        <f>SUMIF(月間集計シート!$M$29:$M$48,$G1220,月間集計シート!O$29:O$48)*K$2</f>
        <v>0</v>
      </c>
      <c r="L1220" s="88">
        <f>SUMIF(月間集計シート!$M$29:$M$48,$G1220,月間集計シート!P$29:P$48)*L$2</f>
        <v>0</v>
      </c>
      <c r="M1220" s="88">
        <f>SUMIF(月間集計シート!$M$29:$M$48,$G1220,月間集計シート!Q$29:Q$48)*M$2</f>
        <v>0</v>
      </c>
      <c r="N1220" s="88">
        <f>SUMIF(月間集計シート!$M$29:$M$48,$G1220,月間集計シート!R$29:R$48)*N$2</f>
        <v>0</v>
      </c>
      <c r="O1220" s="88">
        <f>SUMIF(月間集計シート!$M$29:$M$48,$G1220,月間集計シート!S$29:S$48)*O$2</f>
        <v>0</v>
      </c>
      <c r="P1220" s="88">
        <f>SUMIF(月間集計シート!$M$29:$M$48,$G1220,月間集計シート!T$29:T$48)*P$2</f>
        <v>0</v>
      </c>
      <c r="Q1220" s="88">
        <f>SUMIF(月間集計シート!$M$50:$M$69,$G1220,月間集計シート!N$50:N$69)*Q$2</f>
        <v>0</v>
      </c>
      <c r="R1220" s="88">
        <f>SUMIF(月間集計シート!$M$50:$M$69,$G1220,月間集計シート!O$50:O$69)*R$2</f>
        <v>0</v>
      </c>
      <c r="S1220" s="88">
        <f>SUMIF(月間集計シート!$M$50:$M$69,$G1220,月間集計シート!P$50:P$69)*S$2</f>
        <v>0</v>
      </c>
      <c r="T1220" s="88">
        <f>SUMIF(月間集計シート!$M$50:$M$69,$G1220,月間集計シート!Q$50:Q$69)*T$2</f>
        <v>0</v>
      </c>
      <c r="U1220" s="88">
        <f>SUMIF(月間集計シート!$M$50:$M$69,$G1220,月間集計シート!R$50:R$69)*U$2</f>
        <v>0</v>
      </c>
      <c r="V1220" s="88">
        <f>SUMIF(月間集計シート!$M$50:$M$69,$G1220,月間集計シート!S$50:S$69)*V$2</f>
        <v>0</v>
      </c>
      <c r="W1220" s="88">
        <f>SUMIF(月間集計シート!$M$50:$M$69,$G1220,月間集計シート!T$50:T$69)*W$2</f>
        <v>0</v>
      </c>
      <c r="X1220" s="88">
        <f>SUMIF(月間集計シート!$M$71:$M$90,$G1220,月間集計シート!N$71:N$90)*X$2</f>
        <v>0</v>
      </c>
      <c r="Y1220" s="88">
        <f>SUMIF(月間集計シート!$M$71:$M$90,$G1220,月間集計シート!O$71:O$90)*Y$2</f>
        <v>0</v>
      </c>
      <c r="Z1220" s="88">
        <f>SUMIF(月間集計シート!$M$71:$M$90,$G1220,月間集計シート!P$71:P$90)*Z$2</f>
        <v>0</v>
      </c>
      <c r="AA1220" s="88">
        <f>SUMIF(月間集計シート!$M$71:$M$90,$G1220,月間集計シート!Q$71:Q$90)*AA$2</f>
        <v>0</v>
      </c>
      <c r="AB1220" s="88">
        <f>SUMIF(月間集計シート!$M$71:$M$90,$G1220,月間集計シート!R$71:R$90)*AB$2</f>
        <v>0</v>
      </c>
      <c r="AC1220" s="88">
        <f>SUMIF(月間集計シート!$M$71:$M$90,$G1220,月間集計シート!S$71:S$90)*AC$2</f>
        <v>0</v>
      </c>
      <c r="AD1220" s="88">
        <f>SUMIF(月間集計シート!$M$71:$M$90,$G1220,月間集計シート!T$71:T$90)*AD$2</f>
        <v>0</v>
      </c>
      <c r="AE1220" s="88">
        <f>SUMIF(月間集計シート!$M$92:$M$111,$G1220,月間集計シート!N$92:N$111)*AE$2</f>
        <v>0</v>
      </c>
      <c r="AF1220" s="88">
        <f>SUMIF(月間集計シート!$M$92:$M$111,$G1220,月間集計シート!O$92:O$111)*AF$2</f>
        <v>0</v>
      </c>
      <c r="AG1220" s="88">
        <f>SUMIF(月間集計シート!$M$92:$M$111,$G1220,月間集計シート!P$92:P$111)*AG$2</f>
        <v>0</v>
      </c>
      <c r="AH1220" s="88">
        <f>SUMIF(月間集計シート!$M$92:$M$111,$G1220,月間集計シート!Q$92:Q$111)*AH$2</f>
        <v>0</v>
      </c>
      <c r="AI1220" s="88">
        <f>SUMIF(月間集計シート!$M$92:$M$111,$G1220,月間集計シート!R$92:R$111)*AI$2</f>
        <v>0</v>
      </c>
      <c r="AJ1220" s="88">
        <f>SUMIF(月間集計シート!$M$92:$M$111,$G1220,月間集計シート!S$92:S$111)*AJ$2</f>
        <v>0</v>
      </c>
      <c r="AK1220" s="88">
        <f>SUMIF(月間集計シート!$M$92:$M$111,$G1220,月間集計シート!T$92:T$111)*AK$2</f>
        <v>0</v>
      </c>
      <c r="AL1220" s="88">
        <f>SUMIF(月間集計シート!$M$113:$M$132,$G1220,月間集計シート!N$113:N$132)*AL$2</f>
        <v>0</v>
      </c>
      <c r="AM1220" s="88">
        <f>SUMIF(月間集計シート!$M$113:$M$132,$G1220,月間集計シート!O$113:O$132)*AM$2</f>
        <v>0</v>
      </c>
      <c r="AN1220" s="88">
        <f>SUMIF(月間集計シート!$M$113:$M$132,$G1220,月間集計シート!P$113:P$132)*AN$2</f>
        <v>0</v>
      </c>
      <c r="AO1220" s="88">
        <f>SUMIF(月間集計シート!$M$113:$M$132,$G1220,月間集計シート!Q$113:Q$132)*AO$2</f>
        <v>0</v>
      </c>
      <c r="AP1220" s="88">
        <f>SUMIF(月間集計シート!$M$113:$M$132,$G1220,月間集計シート!R$113:R$132)*AP$2</f>
        <v>0</v>
      </c>
      <c r="AQ1220" s="88">
        <f>SUMIF(月間集計シート!$M$113:$M$132,$G1220,月間集計シート!S$113:S$132)*AQ$2</f>
        <v>0</v>
      </c>
      <c r="AR1220" s="88">
        <f>SUMIF(月間集計シート!$M$113:$M$132,$G1220,月間集計シート!T$113:T$132)*AR$2</f>
        <v>0</v>
      </c>
      <c r="AS1220" s="88">
        <f>SUMIF(月間集計シート!$M$134:$M$153,$G1220,月間集計シート!N$134:N$153)*AS$2</f>
        <v>0</v>
      </c>
      <c r="AT1220" s="88">
        <f>SUMIF(月間集計シート!$M$134:$M$153,$G1220,月間集計シート!O$134:O$153)*AT$2</f>
        <v>0</v>
      </c>
      <c r="AU1220" s="88">
        <f>SUMIF(月間集計シート!$M$134:$M$153,$G1220,月間集計シート!P$134:P$153)*AU$2</f>
        <v>0</v>
      </c>
      <c r="AV1220" s="88">
        <f>SUMIF(月間集計シート!$M$134:$M$153,$G1220,月間集計シート!Q$134:Q$153)*AV$2</f>
        <v>0</v>
      </c>
      <c r="AW1220" s="88">
        <f>SUMIF(月間集計シート!$M$134:$M$153,$G1220,月間集計シート!R$134:R$153)*AW$2</f>
        <v>0</v>
      </c>
      <c r="AX1220" s="88">
        <f>SUMIF(月間集計シート!$M$134:$M$153,$G1220,月間集計シート!S$134:S$153)*AX$2</f>
        <v>0</v>
      </c>
      <c r="AY1220" s="88">
        <f>SUMIF(月間集計シート!$M$134:$M$153,$G1220,月間集計シート!T$134:T$153)*AY$2</f>
        <v>0</v>
      </c>
    </row>
    <row r="1221" spans="1:51" ht="14.25" thickBot="1">
      <c r="A1221">
        <v>15</v>
      </c>
      <c r="B1221" s="120">
        <f t="shared" si="676"/>
        <v>0</v>
      </c>
      <c r="C1221" s="120" t="str">
        <f t="shared" si="677"/>
        <v/>
      </c>
      <c r="D1221" s="137"/>
      <c r="E1221" s="150" t="str">
        <f>工種!A23</f>
        <v>40101</v>
      </c>
      <c r="F1221" s="119" t="str">
        <f>工種!B23</f>
        <v>テスト：結合テスト実施</v>
      </c>
      <c r="G1221" s="116" t="str">
        <f t="shared" si="678"/>
        <v>040101</v>
      </c>
      <c r="H1221" s="88">
        <f t="shared" si="675"/>
        <v>0</v>
      </c>
      <c r="I1221" s="132"/>
      <c r="J1221" s="88">
        <f>SUMIF(月間集計シート!$M$29:$M$48,$G1221,月間集計シート!N$29:N$48)*J$2</f>
        <v>0</v>
      </c>
      <c r="K1221" s="88">
        <f>SUMIF(月間集計シート!$M$29:$M$48,$G1221,月間集計シート!O$29:O$48)*K$2</f>
        <v>0</v>
      </c>
      <c r="L1221" s="88">
        <f>SUMIF(月間集計シート!$M$29:$M$48,$G1221,月間集計シート!P$29:P$48)*L$2</f>
        <v>0</v>
      </c>
      <c r="M1221" s="88">
        <f>SUMIF(月間集計シート!$M$29:$M$48,$G1221,月間集計シート!Q$29:Q$48)*M$2</f>
        <v>0</v>
      </c>
      <c r="N1221" s="88">
        <f>SUMIF(月間集計シート!$M$29:$M$48,$G1221,月間集計シート!R$29:R$48)*N$2</f>
        <v>0</v>
      </c>
      <c r="O1221" s="88">
        <f>SUMIF(月間集計シート!$M$29:$M$48,$G1221,月間集計シート!S$29:S$48)*O$2</f>
        <v>0</v>
      </c>
      <c r="P1221" s="88">
        <f>SUMIF(月間集計シート!$M$29:$M$48,$G1221,月間集計シート!T$29:T$48)*P$2</f>
        <v>0</v>
      </c>
      <c r="Q1221" s="88">
        <f>SUMIF(月間集計シート!$M$50:$M$69,$G1221,月間集計シート!N$50:N$69)*Q$2</f>
        <v>0</v>
      </c>
      <c r="R1221" s="88">
        <f>SUMIF(月間集計シート!$M$50:$M$69,$G1221,月間集計シート!O$50:O$69)*R$2</f>
        <v>0</v>
      </c>
      <c r="S1221" s="88">
        <f>SUMIF(月間集計シート!$M$50:$M$69,$G1221,月間集計シート!P$50:P$69)*S$2</f>
        <v>0</v>
      </c>
      <c r="T1221" s="88">
        <f>SUMIF(月間集計シート!$M$50:$M$69,$G1221,月間集計シート!Q$50:Q$69)*T$2</f>
        <v>0</v>
      </c>
      <c r="U1221" s="88">
        <f>SUMIF(月間集計シート!$M$50:$M$69,$G1221,月間集計シート!R$50:R$69)*U$2</f>
        <v>0</v>
      </c>
      <c r="V1221" s="88">
        <f>SUMIF(月間集計シート!$M$50:$M$69,$G1221,月間集計シート!S$50:S$69)*V$2</f>
        <v>0</v>
      </c>
      <c r="W1221" s="88">
        <f>SUMIF(月間集計シート!$M$50:$M$69,$G1221,月間集計シート!T$50:T$69)*W$2</f>
        <v>0</v>
      </c>
      <c r="X1221" s="88">
        <f>SUMIF(月間集計シート!$M$71:$M$90,$G1221,月間集計シート!N$71:N$90)*X$2</f>
        <v>0</v>
      </c>
      <c r="Y1221" s="88">
        <f>SUMIF(月間集計シート!$M$71:$M$90,$G1221,月間集計シート!O$71:O$90)*Y$2</f>
        <v>0</v>
      </c>
      <c r="Z1221" s="88">
        <f>SUMIF(月間集計シート!$M$71:$M$90,$G1221,月間集計シート!P$71:P$90)*Z$2</f>
        <v>0</v>
      </c>
      <c r="AA1221" s="88">
        <f>SUMIF(月間集計シート!$M$71:$M$90,$G1221,月間集計シート!Q$71:Q$90)*AA$2</f>
        <v>0</v>
      </c>
      <c r="AB1221" s="88">
        <f>SUMIF(月間集計シート!$M$71:$M$90,$G1221,月間集計シート!R$71:R$90)*AB$2</f>
        <v>0</v>
      </c>
      <c r="AC1221" s="88">
        <f>SUMIF(月間集計シート!$M$71:$M$90,$G1221,月間集計シート!S$71:S$90)*AC$2</f>
        <v>0</v>
      </c>
      <c r="AD1221" s="88">
        <f>SUMIF(月間集計シート!$M$71:$M$90,$G1221,月間集計シート!T$71:T$90)*AD$2</f>
        <v>0</v>
      </c>
      <c r="AE1221" s="88">
        <f>SUMIF(月間集計シート!$M$92:$M$111,$G1221,月間集計シート!N$92:N$111)*AE$2</f>
        <v>0</v>
      </c>
      <c r="AF1221" s="88">
        <f>SUMIF(月間集計シート!$M$92:$M$111,$G1221,月間集計シート!O$92:O$111)*AF$2</f>
        <v>0</v>
      </c>
      <c r="AG1221" s="88">
        <f>SUMIF(月間集計シート!$M$92:$M$111,$G1221,月間集計シート!P$92:P$111)*AG$2</f>
        <v>0</v>
      </c>
      <c r="AH1221" s="88">
        <f>SUMIF(月間集計シート!$M$92:$M$111,$G1221,月間集計シート!Q$92:Q$111)*AH$2</f>
        <v>0</v>
      </c>
      <c r="AI1221" s="88">
        <f>SUMIF(月間集計シート!$M$92:$M$111,$G1221,月間集計シート!R$92:R$111)*AI$2</f>
        <v>0</v>
      </c>
      <c r="AJ1221" s="88">
        <f>SUMIF(月間集計シート!$M$92:$M$111,$G1221,月間集計シート!S$92:S$111)*AJ$2</f>
        <v>0</v>
      </c>
      <c r="AK1221" s="88">
        <f>SUMIF(月間集計シート!$M$92:$M$111,$G1221,月間集計シート!T$92:T$111)*AK$2</f>
        <v>0</v>
      </c>
      <c r="AL1221" s="88">
        <f>SUMIF(月間集計シート!$M$113:$M$132,$G1221,月間集計シート!N$113:N$132)*AL$2</f>
        <v>0</v>
      </c>
      <c r="AM1221" s="88">
        <f>SUMIF(月間集計シート!$M$113:$M$132,$G1221,月間集計シート!O$113:O$132)*AM$2</f>
        <v>0</v>
      </c>
      <c r="AN1221" s="88">
        <f>SUMIF(月間集計シート!$M$113:$M$132,$G1221,月間集計シート!P$113:P$132)*AN$2</f>
        <v>0</v>
      </c>
      <c r="AO1221" s="88">
        <f>SUMIF(月間集計シート!$M$113:$M$132,$G1221,月間集計シート!Q$113:Q$132)*AO$2</f>
        <v>0</v>
      </c>
      <c r="AP1221" s="88">
        <f>SUMIF(月間集計シート!$M$113:$M$132,$G1221,月間集計シート!R$113:R$132)*AP$2</f>
        <v>0</v>
      </c>
      <c r="AQ1221" s="88">
        <f>SUMIF(月間集計シート!$M$113:$M$132,$G1221,月間集計シート!S$113:S$132)*AQ$2</f>
        <v>0</v>
      </c>
      <c r="AR1221" s="88">
        <f>SUMIF(月間集計シート!$M$113:$M$132,$G1221,月間集計シート!T$113:T$132)*AR$2</f>
        <v>0</v>
      </c>
      <c r="AS1221" s="88">
        <f>SUMIF(月間集計シート!$M$134:$M$153,$G1221,月間集計シート!N$134:N$153)*AS$2</f>
        <v>0</v>
      </c>
      <c r="AT1221" s="88">
        <f>SUMIF(月間集計シート!$M$134:$M$153,$G1221,月間集計シート!O$134:O$153)*AT$2</f>
        <v>0</v>
      </c>
      <c r="AU1221" s="88">
        <f>SUMIF(月間集計シート!$M$134:$M$153,$G1221,月間集計シート!P$134:P$153)*AU$2</f>
        <v>0</v>
      </c>
      <c r="AV1221" s="88">
        <f>SUMIF(月間集計シート!$M$134:$M$153,$G1221,月間集計シート!Q$134:Q$153)*AV$2</f>
        <v>0</v>
      </c>
      <c r="AW1221" s="88">
        <f>SUMIF(月間集計シート!$M$134:$M$153,$G1221,月間集計シート!R$134:R$153)*AW$2</f>
        <v>0</v>
      </c>
      <c r="AX1221" s="88">
        <f>SUMIF(月間集計シート!$M$134:$M$153,$G1221,月間集計シート!S$134:S$153)*AX$2</f>
        <v>0</v>
      </c>
      <c r="AY1221" s="88">
        <f>SUMIF(月間集計シート!$M$134:$M$153,$G1221,月間集計シート!T$134:T$153)*AY$2</f>
        <v>0</v>
      </c>
    </row>
    <row r="1222" spans="1:51" ht="14.25" thickBot="1">
      <c r="A1222">
        <v>15</v>
      </c>
      <c r="B1222" s="120">
        <f t="shared" si="676"/>
        <v>0</v>
      </c>
      <c r="C1222" s="120" t="str">
        <f t="shared" si="677"/>
        <v/>
      </c>
      <c r="D1222" s="137"/>
      <c r="E1222" s="150" t="str">
        <f>工種!A24</f>
        <v>40102</v>
      </c>
      <c r="F1222" s="119" t="str">
        <f>工種!B24</f>
        <v>テスト：システムテスト実施</v>
      </c>
      <c r="G1222" s="116" t="str">
        <f t="shared" si="678"/>
        <v>040102</v>
      </c>
      <c r="H1222" s="88">
        <f t="shared" si="675"/>
        <v>0</v>
      </c>
      <c r="I1222" s="132"/>
      <c r="J1222" s="88">
        <f>SUMIF(月間集計シート!$M$29:$M$48,$G1222,月間集計シート!N$29:N$48)*J$2</f>
        <v>0</v>
      </c>
      <c r="K1222" s="88">
        <f>SUMIF(月間集計シート!$M$29:$M$48,$G1222,月間集計シート!O$29:O$48)*K$2</f>
        <v>0</v>
      </c>
      <c r="L1222" s="88">
        <f>SUMIF(月間集計シート!$M$29:$M$48,$G1222,月間集計シート!P$29:P$48)*L$2</f>
        <v>0</v>
      </c>
      <c r="M1222" s="88">
        <f>SUMIF(月間集計シート!$M$29:$M$48,$G1222,月間集計シート!Q$29:Q$48)*M$2</f>
        <v>0</v>
      </c>
      <c r="N1222" s="88">
        <f>SUMIF(月間集計シート!$M$29:$M$48,$G1222,月間集計シート!R$29:R$48)*N$2</f>
        <v>0</v>
      </c>
      <c r="O1222" s="88">
        <f>SUMIF(月間集計シート!$M$29:$M$48,$G1222,月間集計シート!S$29:S$48)*O$2</f>
        <v>0</v>
      </c>
      <c r="P1222" s="88">
        <f>SUMIF(月間集計シート!$M$29:$M$48,$G1222,月間集計シート!T$29:T$48)*P$2</f>
        <v>0</v>
      </c>
      <c r="Q1222" s="88">
        <f>SUMIF(月間集計シート!$M$50:$M$69,$G1222,月間集計シート!N$50:N$69)*Q$2</f>
        <v>0</v>
      </c>
      <c r="R1222" s="88">
        <f>SUMIF(月間集計シート!$M$50:$M$69,$G1222,月間集計シート!O$50:O$69)*R$2</f>
        <v>0</v>
      </c>
      <c r="S1222" s="88">
        <f>SUMIF(月間集計シート!$M$50:$M$69,$G1222,月間集計シート!P$50:P$69)*S$2</f>
        <v>0</v>
      </c>
      <c r="T1222" s="88">
        <f>SUMIF(月間集計シート!$M$50:$M$69,$G1222,月間集計シート!Q$50:Q$69)*T$2</f>
        <v>0</v>
      </c>
      <c r="U1222" s="88">
        <f>SUMIF(月間集計シート!$M$50:$M$69,$G1222,月間集計シート!R$50:R$69)*U$2</f>
        <v>0</v>
      </c>
      <c r="V1222" s="88">
        <f>SUMIF(月間集計シート!$M$50:$M$69,$G1222,月間集計シート!S$50:S$69)*V$2</f>
        <v>0</v>
      </c>
      <c r="W1222" s="88">
        <f>SUMIF(月間集計シート!$M$50:$M$69,$G1222,月間集計シート!T$50:T$69)*W$2</f>
        <v>0</v>
      </c>
      <c r="X1222" s="88">
        <f>SUMIF(月間集計シート!$M$71:$M$90,$G1222,月間集計シート!N$71:N$90)*X$2</f>
        <v>0</v>
      </c>
      <c r="Y1222" s="88">
        <f>SUMIF(月間集計シート!$M$71:$M$90,$G1222,月間集計シート!O$71:O$90)*Y$2</f>
        <v>0</v>
      </c>
      <c r="Z1222" s="88">
        <f>SUMIF(月間集計シート!$M$71:$M$90,$G1222,月間集計シート!P$71:P$90)*Z$2</f>
        <v>0</v>
      </c>
      <c r="AA1222" s="88">
        <f>SUMIF(月間集計シート!$M$71:$M$90,$G1222,月間集計シート!Q$71:Q$90)*AA$2</f>
        <v>0</v>
      </c>
      <c r="AB1222" s="88">
        <f>SUMIF(月間集計シート!$M$71:$M$90,$G1222,月間集計シート!R$71:R$90)*AB$2</f>
        <v>0</v>
      </c>
      <c r="AC1222" s="88">
        <f>SUMIF(月間集計シート!$M$71:$M$90,$G1222,月間集計シート!S$71:S$90)*AC$2</f>
        <v>0</v>
      </c>
      <c r="AD1222" s="88">
        <f>SUMIF(月間集計シート!$M$71:$M$90,$G1222,月間集計シート!T$71:T$90)*AD$2</f>
        <v>0</v>
      </c>
      <c r="AE1222" s="88">
        <f>SUMIF(月間集計シート!$M$92:$M$111,$G1222,月間集計シート!N$92:N$111)*AE$2</f>
        <v>0</v>
      </c>
      <c r="AF1222" s="88">
        <f>SUMIF(月間集計シート!$M$92:$M$111,$G1222,月間集計シート!O$92:O$111)*AF$2</f>
        <v>0</v>
      </c>
      <c r="AG1222" s="88">
        <f>SUMIF(月間集計シート!$M$92:$M$111,$G1222,月間集計シート!P$92:P$111)*AG$2</f>
        <v>0</v>
      </c>
      <c r="AH1222" s="88">
        <f>SUMIF(月間集計シート!$M$92:$M$111,$G1222,月間集計シート!Q$92:Q$111)*AH$2</f>
        <v>0</v>
      </c>
      <c r="AI1222" s="88">
        <f>SUMIF(月間集計シート!$M$92:$M$111,$G1222,月間集計シート!R$92:R$111)*AI$2</f>
        <v>0</v>
      </c>
      <c r="AJ1222" s="88">
        <f>SUMIF(月間集計シート!$M$92:$M$111,$G1222,月間集計シート!S$92:S$111)*AJ$2</f>
        <v>0</v>
      </c>
      <c r="AK1222" s="88">
        <f>SUMIF(月間集計シート!$M$92:$M$111,$G1222,月間集計シート!T$92:T$111)*AK$2</f>
        <v>0</v>
      </c>
      <c r="AL1222" s="88">
        <f>SUMIF(月間集計シート!$M$113:$M$132,$G1222,月間集計シート!N$113:N$132)*AL$2</f>
        <v>0</v>
      </c>
      <c r="AM1222" s="88">
        <f>SUMIF(月間集計シート!$M$113:$M$132,$G1222,月間集計シート!O$113:O$132)*AM$2</f>
        <v>0</v>
      </c>
      <c r="AN1222" s="88">
        <f>SUMIF(月間集計シート!$M$113:$M$132,$G1222,月間集計シート!P$113:P$132)*AN$2</f>
        <v>0</v>
      </c>
      <c r="AO1222" s="88">
        <f>SUMIF(月間集計シート!$M$113:$M$132,$G1222,月間集計シート!Q$113:Q$132)*AO$2</f>
        <v>0</v>
      </c>
      <c r="AP1222" s="88">
        <f>SUMIF(月間集計シート!$M$113:$M$132,$G1222,月間集計シート!R$113:R$132)*AP$2</f>
        <v>0</v>
      </c>
      <c r="AQ1222" s="88">
        <f>SUMIF(月間集計シート!$M$113:$M$132,$G1222,月間集計シート!S$113:S$132)*AQ$2</f>
        <v>0</v>
      </c>
      <c r="AR1222" s="88">
        <f>SUMIF(月間集計シート!$M$113:$M$132,$G1222,月間集計シート!T$113:T$132)*AR$2</f>
        <v>0</v>
      </c>
      <c r="AS1222" s="88">
        <f>SUMIF(月間集計シート!$M$134:$M$153,$G1222,月間集計シート!N$134:N$153)*AS$2</f>
        <v>0</v>
      </c>
      <c r="AT1222" s="88">
        <f>SUMIF(月間集計シート!$M$134:$M$153,$G1222,月間集計シート!O$134:O$153)*AT$2</f>
        <v>0</v>
      </c>
      <c r="AU1222" s="88">
        <f>SUMIF(月間集計シート!$M$134:$M$153,$G1222,月間集計シート!P$134:P$153)*AU$2</f>
        <v>0</v>
      </c>
      <c r="AV1222" s="88">
        <f>SUMIF(月間集計シート!$M$134:$M$153,$G1222,月間集計シート!Q$134:Q$153)*AV$2</f>
        <v>0</v>
      </c>
      <c r="AW1222" s="88">
        <f>SUMIF(月間集計シート!$M$134:$M$153,$G1222,月間集計シート!R$134:R$153)*AW$2</f>
        <v>0</v>
      </c>
      <c r="AX1222" s="88">
        <f>SUMIF(月間集計シート!$M$134:$M$153,$G1222,月間集計シート!S$134:S$153)*AX$2</f>
        <v>0</v>
      </c>
      <c r="AY1222" s="88">
        <f>SUMIF(月間集計シート!$M$134:$M$153,$G1222,月間集計シート!T$134:T$153)*AY$2</f>
        <v>0</v>
      </c>
    </row>
    <row r="1223" spans="1:51" ht="14.25" thickBot="1">
      <c r="A1223">
        <v>15</v>
      </c>
      <c r="B1223" s="120">
        <f t="shared" si="676"/>
        <v>0</v>
      </c>
      <c r="C1223" s="120" t="str">
        <f t="shared" si="677"/>
        <v/>
      </c>
      <c r="D1223" s="137"/>
      <c r="E1223" s="150" t="str">
        <f>工種!A25</f>
        <v>40103</v>
      </c>
      <c r="F1223" s="119" t="str">
        <f>工種!B25</f>
        <v>テスト：テスト計画書作成</v>
      </c>
      <c r="G1223" s="116" t="str">
        <f t="shared" si="678"/>
        <v>040103</v>
      </c>
      <c r="H1223" s="88">
        <f t="shared" si="675"/>
        <v>0</v>
      </c>
      <c r="I1223" s="132"/>
      <c r="J1223" s="88">
        <f>SUMIF(月間集計シート!$M$29:$M$48,$G1223,月間集計シート!N$29:N$48)*J$2</f>
        <v>0</v>
      </c>
      <c r="K1223" s="88">
        <f>SUMIF(月間集計シート!$M$29:$M$48,$G1223,月間集計シート!O$29:O$48)*K$2</f>
        <v>0</v>
      </c>
      <c r="L1223" s="88">
        <f>SUMIF(月間集計シート!$M$29:$M$48,$G1223,月間集計シート!P$29:P$48)*L$2</f>
        <v>0</v>
      </c>
      <c r="M1223" s="88">
        <f>SUMIF(月間集計シート!$M$29:$M$48,$G1223,月間集計シート!Q$29:Q$48)*M$2</f>
        <v>0</v>
      </c>
      <c r="N1223" s="88">
        <f>SUMIF(月間集計シート!$M$29:$M$48,$G1223,月間集計シート!R$29:R$48)*N$2</f>
        <v>0</v>
      </c>
      <c r="O1223" s="88">
        <f>SUMIF(月間集計シート!$M$29:$M$48,$G1223,月間集計シート!S$29:S$48)*O$2</f>
        <v>0</v>
      </c>
      <c r="P1223" s="88">
        <f>SUMIF(月間集計シート!$M$29:$M$48,$G1223,月間集計シート!T$29:T$48)*P$2</f>
        <v>0</v>
      </c>
      <c r="Q1223" s="88">
        <f>SUMIF(月間集計シート!$M$50:$M$69,$G1223,月間集計シート!N$50:N$69)*Q$2</f>
        <v>0</v>
      </c>
      <c r="R1223" s="88">
        <f>SUMIF(月間集計シート!$M$50:$M$69,$G1223,月間集計シート!O$50:O$69)*R$2</f>
        <v>0</v>
      </c>
      <c r="S1223" s="88">
        <f>SUMIF(月間集計シート!$M$50:$M$69,$G1223,月間集計シート!P$50:P$69)*S$2</f>
        <v>0</v>
      </c>
      <c r="T1223" s="88">
        <f>SUMIF(月間集計シート!$M$50:$M$69,$G1223,月間集計シート!Q$50:Q$69)*T$2</f>
        <v>0</v>
      </c>
      <c r="U1223" s="88">
        <f>SUMIF(月間集計シート!$M$50:$M$69,$G1223,月間集計シート!R$50:R$69)*U$2</f>
        <v>0</v>
      </c>
      <c r="V1223" s="88">
        <f>SUMIF(月間集計シート!$M$50:$M$69,$G1223,月間集計シート!S$50:S$69)*V$2</f>
        <v>0</v>
      </c>
      <c r="W1223" s="88">
        <f>SUMIF(月間集計シート!$M$50:$M$69,$G1223,月間集計シート!T$50:T$69)*W$2</f>
        <v>0</v>
      </c>
      <c r="X1223" s="88">
        <f>SUMIF(月間集計シート!$M$71:$M$90,$G1223,月間集計シート!N$71:N$90)*X$2</f>
        <v>0</v>
      </c>
      <c r="Y1223" s="88">
        <f>SUMIF(月間集計シート!$M$71:$M$90,$G1223,月間集計シート!O$71:O$90)*Y$2</f>
        <v>0</v>
      </c>
      <c r="Z1223" s="88">
        <f>SUMIF(月間集計シート!$M$71:$M$90,$G1223,月間集計シート!P$71:P$90)*Z$2</f>
        <v>0</v>
      </c>
      <c r="AA1223" s="88">
        <f>SUMIF(月間集計シート!$M$71:$M$90,$G1223,月間集計シート!Q$71:Q$90)*AA$2</f>
        <v>0</v>
      </c>
      <c r="AB1223" s="88">
        <f>SUMIF(月間集計シート!$M$71:$M$90,$G1223,月間集計シート!R$71:R$90)*AB$2</f>
        <v>0</v>
      </c>
      <c r="AC1223" s="88">
        <f>SUMIF(月間集計シート!$M$71:$M$90,$G1223,月間集計シート!S$71:S$90)*AC$2</f>
        <v>0</v>
      </c>
      <c r="AD1223" s="88">
        <f>SUMIF(月間集計シート!$M$71:$M$90,$G1223,月間集計シート!T$71:T$90)*AD$2</f>
        <v>0</v>
      </c>
      <c r="AE1223" s="88">
        <f>SUMIF(月間集計シート!$M$92:$M$111,$G1223,月間集計シート!N$92:N$111)*AE$2</f>
        <v>0</v>
      </c>
      <c r="AF1223" s="88">
        <f>SUMIF(月間集計シート!$M$92:$M$111,$G1223,月間集計シート!O$92:O$111)*AF$2</f>
        <v>0</v>
      </c>
      <c r="AG1223" s="88">
        <f>SUMIF(月間集計シート!$M$92:$M$111,$G1223,月間集計シート!P$92:P$111)*AG$2</f>
        <v>0</v>
      </c>
      <c r="AH1223" s="88">
        <f>SUMIF(月間集計シート!$M$92:$M$111,$G1223,月間集計シート!Q$92:Q$111)*AH$2</f>
        <v>0</v>
      </c>
      <c r="AI1223" s="88">
        <f>SUMIF(月間集計シート!$M$92:$M$111,$G1223,月間集計シート!R$92:R$111)*AI$2</f>
        <v>0</v>
      </c>
      <c r="AJ1223" s="88">
        <f>SUMIF(月間集計シート!$M$92:$M$111,$G1223,月間集計シート!S$92:S$111)*AJ$2</f>
        <v>0</v>
      </c>
      <c r="AK1223" s="88">
        <f>SUMIF(月間集計シート!$M$92:$M$111,$G1223,月間集計シート!T$92:T$111)*AK$2</f>
        <v>0</v>
      </c>
      <c r="AL1223" s="88">
        <f>SUMIF(月間集計シート!$M$113:$M$132,$G1223,月間集計シート!N$113:N$132)*AL$2</f>
        <v>0</v>
      </c>
      <c r="AM1223" s="88">
        <f>SUMIF(月間集計シート!$M$113:$M$132,$G1223,月間集計シート!O$113:O$132)*AM$2</f>
        <v>0</v>
      </c>
      <c r="AN1223" s="88">
        <f>SUMIF(月間集計シート!$M$113:$M$132,$G1223,月間集計シート!P$113:P$132)*AN$2</f>
        <v>0</v>
      </c>
      <c r="AO1223" s="88">
        <f>SUMIF(月間集計シート!$M$113:$M$132,$G1223,月間集計シート!Q$113:Q$132)*AO$2</f>
        <v>0</v>
      </c>
      <c r="AP1223" s="88">
        <f>SUMIF(月間集計シート!$M$113:$M$132,$G1223,月間集計シート!R$113:R$132)*AP$2</f>
        <v>0</v>
      </c>
      <c r="AQ1223" s="88">
        <f>SUMIF(月間集計シート!$M$113:$M$132,$G1223,月間集計シート!S$113:S$132)*AQ$2</f>
        <v>0</v>
      </c>
      <c r="AR1223" s="88">
        <f>SUMIF(月間集計シート!$M$113:$M$132,$G1223,月間集計シート!T$113:T$132)*AR$2</f>
        <v>0</v>
      </c>
      <c r="AS1223" s="88">
        <f>SUMIF(月間集計シート!$M$134:$M$153,$G1223,月間集計シート!N$134:N$153)*AS$2</f>
        <v>0</v>
      </c>
      <c r="AT1223" s="88">
        <f>SUMIF(月間集計シート!$M$134:$M$153,$G1223,月間集計シート!O$134:O$153)*AT$2</f>
        <v>0</v>
      </c>
      <c r="AU1223" s="88">
        <f>SUMIF(月間集計シート!$M$134:$M$153,$G1223,月間集計シート!P$134:P$153)*AU$2</f>
        <v>0</v>
      </c>
      <c r="AV1223" s="88">
        <f>SUMIF(月間集計シート!$M$134:$M$153,$G1223,月間集計シート!Q$134:Q$153)*AV$2</f>
        <v>0</v>
      </c>
      <c r="AW1223" s="88">
        <f>SUMIF(月間集計シート!$M$134:$M$153,$G1223,月間集計シート!R$134:R$153)*AW$2</f>
        <v>0</v>
      </c>
      <c r="AX1223" s="88">
        <f>SUMIF(月間集計シート!$M$134:$M$153,$G1223,月間集計シート!S$134:S$153)*AX$2</f>
        <v>0</v>
      </c>
      <c r="AY1223" s="88">
        <f>SUMIF(月間集計シート!$M$134:$M$153,$G1223,月間集計シート!T$134:T$153)*AY$2</f>
        <v>0</v>
      </c>
    </row>
    <row r="1224" spans="1:51" ht="14.25" thickBot="1">
      <c r="A1224">
        <v>15</v>
      </c>
      <c r="B1224" s="120">
        <f t="shared" si="676"/>
        <v>0</v>
      </c>
      <c r="C1224" s="120" t="str">
        <f t="shared" si="677"/>
        <v/>
      </c>
      <c r="D1224" s="137"/>
      <c r="E1224" s="150" t="str">
        <f>工種!A26</f>
        <v>40104</v>
      </c>
      <c r="F1224" s="119" t="str">
        <f>工種!B26</f>
        <v>テスト：結合テスト設計書作成</v>
      </c>
      <c r="G1224" s="116" t="str">
        <f t="shared" si="678"/>
        <v>040104</v>
      </c>
      <c r="H1224" s="88">
        <f t="shared" si="675"/>
        <v>0</v>
      </c>
      <c r="I1224" s="132"/>
      <c r="J1224" s="88">
        <f>SUMIF(月間集計シート!$M$29:$M$48,$G1224,月間集計シート!N$29:N$48)*J$2</f>
        <v>0</v>
      </c>
      <c r="K1224" s="88">
        <f>SUMIF(月間集計シート!$M$29:$M$48,$G1224,月間集計シート!O$29:O$48)*K$2</f>
        <v>0</v>
      </c>
      <c r="L1224" s="88">
        <f>SUMIF(月間集計シート!$M$29:$M$48,$G1224,月間集計シート!P$29:P$48)*L$2</f>
        <v>0</v>
      </c>
      <c r="M1224" s="88">
        <f>SUMIF(月間集計シート!$M$29:$M$48,$G1224,月間集計シート!Q$29:Q$48)*M$2</f>
        <v>0</v>
      </c>
      <c r="N1224" s="88">
        <f>SUMIF(月間集計シート!$M$29:$M$48,$G1224,月間集計シート!R$29:R$48)*N$2</f>
        <v>0</v>
      </c>
      <c r="O1224" s="88">
        <f>SUMIF(月間集計シート!$M$29:$M$48,$G1224,月間集計シート!S$29:S$48)*O$2</f>
        <v>0</v>
      </c>
      <c r="P1224" s="88">
        <f>SUMIF(月間集計シート!$M$29:$M$48,$G1224,月間集計シート!T$29:T$48)*P$2</f>
        <v>0</v>
      </c>
      <c r="Q1224" s="88">
        <f>SUMIF(月間集計シート!$M$50:$M$69,$G1224,月間集計シート!N$50:N$69)*Q$2</f>
        <v>0</v>
      </c>
      <c r="R1224" s="88">
        <f>SUMIF(月間集計シート!$M$50:$M$69,$G1224,月間集計シート!O$50:O$69)*R$2</f>
        <v>0</v>
      </c>
      <c r="S1224" s="88">
        <f>SUMIF(月間集計シート!$M$50:$M$69,$G1224,月間集計シート!P$50:P$69)*S$2</f>
        <v>0</v>
      </c>
      <c r="T1224" s="88">
        <f>SUMIF(月間集計シート!$M$50:$M$69,$G1224,月間集計シート!Q$50:Q$69)*T$2</f>
        <v>0</v>
      </c>
      <c r="U1224" s="88">
        <f>SUMIF(月間集計シート!$M$50:$M$69,$G1224,月間集計シート!R$50:R$69)*U$2</f>
        <v>0</v>
      </c>
      <c r="V1224" s="88">
        <f>SUMIF(月間集計シート!$M$50:$M$69,$G1224,月間集計シート!S$50:S$69)*V$2</f>
        <v>0</v>
      </c>
      <c r="W1224" s="88">
        <f>SUMIF(月間集計シート!$M$50:$M$69,$G1224,月間集計シート!T$50:T$69)*W$2</f>
        <v>0</v>
      </c>
      <c r="X1224" s="88">
        <f>SUMIF(月間集計シート!$M$71:$M$90,$G1224,月間集計シート!N$71:N$90)*X$2</f>
        <v>0</v>
      </c>
      <c r="Y1224" s="88">
        <f>SUMIF(月間集計シート!$M$71:$M$90,$G1224,月間集計シート!O$71:O$90)*Y$2</f>
        <v>0</v>
      </c>
      <c r="Z1224" s="88">
        <f>SUMIF(月間集計シート!$M$71:$M$90,$G1224,月間集計シート!P$71:P$90)*Z$2</f>
        <v>0</v>
      </c>
      <c r="AA1224" s="88">
        <f>SUMIF(月間集計シート!$M$71:$M$90,$G1224,月間集計シート!Q$71:Q$90)*AA$2</f>
        <v>0</v>
      </c>
      <c r="AB1224" s="88">
        <f>SUMIF(月間集計シート!$M$71:$M$90,$G1224,月間集計シート!R$71:R$90)*AB$2</f>
        <v>0</v>
      </c>
      <c r="AC1224" s="88">
        <f>SUMIF(月間集計シート!$M$71:$M$90,$G1224,月間集計シート!S$71:S$90)*AC$2</f>
        <v>0</v>
      </c>
      <c r="AD1224" s="88">
        <f>SUMIF(月間集計シート!$M$71:$M$90,$G1224,月間集計シート!T$71:T$90)*AD$2</f>
        <v>0</v>
      </c>
      <c r="AE1224" s="88">
        <f>SUMIF(月間集計シート!$M$92:$M$111,$G1224,月間集計シート!N$92:N$111)*AE$2</f>
        <v>0</v>
      </c>
      <c r="AF1224" s="88">
        <f>SUMIF(月間集計シート!$M$92:$M$111,$G1224,月間集計シート!O$92:O$111)*AF$2</f>
        <v>0</v>
      </c>
      <c r="AG1224" s="88">
        <f>SUMIF(月間集計シート!$M$92:$M$111,$G1224,月間集計シート!P$92:P$111)*AG$2</f>
        <v>0</v>
      </c>
      <c r="AH1224" s="88">
        <f>SUMIF(月間集計シート!$M$92:$M$111,$G1224,月間集計シート!Q$92:Q$111)*AH$2</f>
        <v>0</v>
      </c>
      <c r="AI1224" s="88">
        <f>SUMIF(月間集計シート!$M$92:$M$111,$G1224,月間集計シート!R$92:R$111)*AI$2</f>
        <v>0</v>
      </c>
      <c r="AJ1224" s="88">
        <f>SUMIF(月間集計シート!$M$92:$M$111,$G1224,月間集計シート!S$92:S$111)*AJ$2</f>
        <v>0</v>
      </c>
      <c r="AK1224" s="88">
        <f>SUMIF(月間集計シート!$M$92:$M$111,$G1224,月間集計シート!T$92:T$111)*AK$2</f>
        <v>0</v>
      </c>
      <c r="AL1224" s="88">
        <f>SUMIF(月間集計シート!$M$113:$M$132,$G1224,月間集計シート!N$113:N$132)*AL$2</f>
        <v>0</v>
      </c>
      <c r="AM1224" s="88">
        <f>SUMIF(月間集計シート!$M$113:$M$132,$G1224,月間集計シート!O$113:O$132)*AM$2</f>
        <v>0</v>
      </c>
      <c r="AN1224" s="88">
        <f>SUMIF(月間集計シート!$M$113:$M$132,$G1224,月間集計シート!P$113:P$132)*AN$2</f>
        <v>0</v>
      </c>
      <c r="AO1224" s="88">
        <f>SUMIF(月間集計シート!$M$113:$M$132,$G1224,月間集計シート!Q$113:Q$132)*AO$2</f>
        <v>0</v>
      </c>
      <c r="AP1224" s="88">
        <f>SUMIF(月間集計シート!$M$113:$M$132,$G1224,月間集計シート!R$113:R$132)*AP$2</f>
        <v>0</v>
      </c>
      <c r="AQ1224" s="88">
        <f>SUMIF(月間集計シート!$M$113:$M$132,$G1224,月間集計シート!S$113:S$132)*AQ$2</f>
        <v>0</v>
      </c>
      <c r="AR1224" s="88">
        <f>SUMIF(月間集計シート!$M$113:$M$132,$G1224,月間集計シート!T$113:T$132)*AR$2</f>
        <v>0</v>
      </c>
      <c r="AS1224" s="88">
        <f>SUMIF(月間集計シート!$M$134:$M$153,$G1224,月間集計シート!N$134:N$153)*AS$2</f>
        <v>0</v>
      </c>
      <c r="AT1224" s="88">
        <f>SUMIF(月間集計シート!$M$134:$M$153,$G1224,月間集計シート!O$134:O$153)*AT$2</f>
        <v>0</v>
      </c>
      <c r="AU1224" s="88">
        <f>SUMIF(月間集計シート!$M$134:$M$153,$G1224,月間集計シート!P$134:P$153)*AU$2</f>
        <v>0</v>
      </c>
      <c r="AV1224" s="88">
        <f>SUMIF(月間集計シート!$M$134:$M$153,$G1224,月間集計シート!Q$134:Q$153)*AV$2</f>
        <v>0</v>
      </c>
      <c r="AW1224" s="88">
        <f>SUMIF(月間集計シート!$M$134:$M$153,$G1224,月間集計シート!R$134:R$153)*AW$2</f>
        <v>0</v>
      </c>
      <c r="AX1224" s="88">
        <f>SUMIF(月間集計シート!$M$134:$M$153,$G1224,月間集計シート!S$134:S$153)*AX$2</f>
        <v>0</v>
      </c>
      <c r="AY1224" s="88">
        <f>SUMIF(月間集計シート!$M$134:$M$153,$G1224,月間集計シート!T$134:T$153)*AY$2</f>
        <v>0</v>
      </c>
    </row>
    <row r="1225" spans="1:51" ht="14.25" thickBot="1">
      <c r="A1225">
        <v>15</v>
      </c>
      <c r="B1225" s="120">
        <f t="shared" si="676"/>
        <v>0</v>
      </c>
      <c r="C1225" s="120" t="str">
        <f t="shared" si="677"/>
        <v/>
      </c>
      <c r="D1225" s="137"/>
      <c r="E1225" s="150" t="str">
        <f>工種!A27</f>
        <v>40105</v>
      </c>
      <c r="F1225" s="119" t="str">
        <f>工種!B27</f>
        <v>テスト：システムテスト設計書作成</v>
      </c>
      <c r="G1225" s="116" t="str">
        <f t="shared" si="678"/>
        <v>040105</v>
      </c>
      <c r="H1225" s="88">
        <f t="shared" si="675"/>
        <v>0</v>
      </c>
      <c r="I1225" s="132"/>
      <c r="J1225" s="88">
        <f>SUMIF(月間集計シート!$M$29:$M$48,$G1225,月間集計シート!N$29:N$48)*J$2</f>
        <v>0</v>
      </c>
      <c r="K1225" s="88">
        <f>SUMIF(月間集計シート!$M$29:$M$48,$G1225,月間集計シート!O$29:O$48)*K$2</f>
        <v>0</v>
      </c>
      <c r="L1225" s="88">
        <f>SUMIF(月間集計シート!$M$29:$M$48,$G1225,月間集計シート!P$29:P$48)*L$2</f>
        <v>0</v>
      </c>
      <c r="M1225" s="88">
        <f>SUMIF(月間集計シート!$M$29:$M$48,$G1225,月間集計シート!Q$29:Q$48)*M$2</f>
        <v>0</v>
      </c>
      <c r="N1225" s="88">
        <f>SUMIF(月間集計シート!$M$29:$M$48,$G1225,月間集計シート!R$29:R$48)*N$2</f>
        <v>0</v>
      </c>
      <c r="O1225" s="88">
        <f>SUMIF(月間集計シート!$M$29:$M$48,$G1225,月間集計シート!S$29:S$48)*O$2</f>
        <v>0</v>
      </c>
      <c r="P1225" s="88">
        <f>SUMIF(月間集計シート!$M$29:$M$48,$G1225,月間集計シート!T$29:T$48)*P$2</f>
        <v>0</v>
      </c>
      <c r="Q1225" s="88">
        <f>SUMIF(月間集計シート!$M$50:$M$69,$G1225,月間集計シート!N$50:N$69)*Q$2</f>
        <v>0</v>
      </c>
      <c r="R1225" s="88">
        <f>SUMIF(月間集計シート!$M$50:$M$69,$G1225,月間集計シート!O$50:O$69)*R$2</f>
        <v>0</v>
      </c>
      <c r="S1225" s="88">
        <f>SUMIF(月間集計シート!$M$50:$M$69,$G1225,月間集計シート!P$50:P$69)*S$2</f>
        <v>0</v>
      </c>
      <c r="T1225" s="88">
        <f>SUMIF(月間集計シート!$M$50:$M$69,$G1225,月間集計シート!Q$50:Q$69)*T$2</f>
        <v>0</v>
      </c>
      <c r="U1225" s="88">
        <f>SUMIF(月間集計シート!$M$50:$M$69,$G1225,月間集計シート!R$50:R$69)*U$2</f>
        <v>0</v>
      </c>
      <c r="V1225" s="88">
        <f>SUMIF(月間集計シート!$M$50:$M$69,$G1225,月間集計シート!S$50:S$69)*V$2</f>
        <v>0</v>
      </c>
      <c r="W1225" s="88">
        <f>SUMIF(月間集計シート!$M$50:$M$69,$G1225,月間集計シート!T$50:T$69)*W$2</f>
        <v>0</v>
      </c>
      <c r="X1225" s="88">
        <f>SUMIF(月間集計シート!$M$71:$M$90,$G1225,月間集計シート!N$71:N$90)*X$2</f>
        <v>0</v>
      </c>
      <c r="Y1225" s="88">
        <f>SUMIF(月間集計シート!$M$71:$M$90,$G1225,月間集計シート!O$71:O$90)*Y$2</f>
        <v>0</v>
      </c>
      <c r="Z1225" s="88">
        <f>SUMIF(月間集計シート!$M$71:$M$90,$G1225,月間集計シート!P$71:P$90)*Z$2</f>
        <v>0</v>
      </c>
      <c r="AA1225" s="88">
        <f>SUMIF(月間集計シート!$M$71:$M$90,$G1225,月間集計シート!Q$71:Q$90)*AA$2</f>
        <v>0</v>
      </c>
      <c r="AB1225" s="88">
        <f>SUMIF(月間集計シート!$M$71:$M$90,$G1225,月間集計シート!R$71:R$90)*AB$2</f>
        <v>0</v>
      </c>
      <c r="AC1225" s="88">
        <f>SUMIF(月間集計シート!$M$71:$M$90,$G1225,月間集計シート!S$71:S$90)*AC$2</f>
        <v>0</v>
      </c>
      <c r="AD1225" s="88">
        <f>SUMIF(月間集計シート!$M$71:$M$90,$G1225,月間集計シート!T$71:T$90)*AD$2</f>
        <v>0</v>
      </c>
      <c r="AE1225" s="88">
        <f>SUMIF(月間集計シート!$M$92:$M$111,$G1225,月間集計シート!N$92:N$111)*AE$2</f>
        <v>0</v>
      </c>
      <c r="AF1225" s="88">
        <f>SUMIF(月間集計シート!$M$92:$M$111,$G1225,月間集計シート!O$92:O$111)*AF$2</f>
        <v>0</v>
      </c>
      <c r="AG1225" s="88">
        <f>SUMIF(月間集計シート!$M$92:$M$111,$G1225,月間集計シート!P$92:P$111)*AG$2</f>
        <v>0</v>
      </c>
      <c r="AH1225" s="88">
        <f>SUMIF(月間集計シート!$M$92:$M$111,$G1225,月間集計シート!Q$92:Q$111)*AH$2</f>
        <v>0</v>
      </c>
      <c r="AI1225" s="88">
        <f>SUMIF(月間集計シート!$M$92:$M$111,$G1225,月間集計シート!R$92:R$111)*AI$2</f>
        <v>0</v>
      </c>
      <c r="AJ1225" s="88">
        <f>SUMIF(月間集計シート!$M$92:$M$111,$G1225,月間集計シート!S$92:S$111)*AJ$2</f>
        <v>0</v>
      </c>
      <c r="AK1225" s="88">
        <f>SUMIF(月間集計シート!$M$92:$M$111,$G1225,月間集計シート!T$92:T$111)*AK$2</f>
        <v>0</v>
      </c>
      <c r="AL1225" s="88">
        <f>SUMIF(月間集計シート!$M$113:$M$132,$G1225,月間集計シート!N$113:N$132)*AL$2</f>
        <v>0</v>
      </c>
      <c r="AM1225" s="88">
        <f>SUMIF(月間集計シート!$M$113:$M$132,$G1225,月間集計シート!O$113:O$132)*AM$2</f>
        <v>0</v>
      </c>
      <c r="AN1225" s="88">
        <f>SUMIF(月間集計シート!$M$113:$M$132,$G1225,月間集計シート!P$113:P$132)*AN$2</f>
        <v>0</v>
      </c>
      <c r="AO1225" s="88">
        <f>SUMIF(月間集計シート!$M$113:$M$132,$G1225,月間集計シート!Q$113:Q$132)*AO$2</f>
        <v>0</v>
      </c>
      <c r="AP1225" s="88">
        <f>SUMIF(月間集計シート!$M$113:$M$132,$G1225,月間集計シート!R$113:R$132)*AP$2</f>
        <v>0</v>
      </c>
      <c r="AQ1225" s="88">
        <f>SUMIF(月間集計シート!$M$113:$M$132,$G1225,月間集計シート!S$113:S$132)*AQ$2</f>
        <v>0</v>
      </c>
      <c r="AR1225" s="88">
        <f>SUMIF(月間集計シート!$M$113:$M$132,$G1225,月間集計シート!T$113:T$132)*AR$2</f>
        <v>0</v>
      </c>
      <c r="AS1225" s="88">
        <f>SUMIF(月間集計シート!$M$134:$M$153,$G1225,月間集計シート!N$134:N$153)*AS$2</f>
        <v>0</v>
      </c>
      <c r="AT1225" s="88">
        <f>SUMIF(月間集計シート!$M$134:$M$153,$G1225,月間集計シート!O$134:O$153)*AT$2</f>
        <v>0</v>
      </c>
      <c r="AU1225" s="88">
        <f>SUMIF(月間集計シート!$M$134:$M$153,$G1225,月間集計シート!P$134:P$153)*AU$2</f>
        <v>0</v>
      </c>
      <c r="AV1225" s="88">
        <f>SUMIF(月間集計シート!$M$134:$M$153,$G1225,月間集計シート!Q$134:Q$153)*AV$2</f>
        <v>0</v>
      </c>
      <c r="AW1225" s="88">
        <f>SUMIF(月間集計シート!$M$134:$M$153,$G1225,月間集計シート!R$134:R$153)*AW$2</f>
        <v>0</v>
      </c>
      <c r="AX1225" s="88">
        <f>SUMIF(月間集計シート!$M$134:$M$153,$G1225,月間集計シート!S$134:S$153)*AX$2</f>
        <v>0</v>
      </c>
      <c r="AY1225" s="88">
        <f>SUMIF(月間集計シート!$M$134:$M$153,$G1225,月間集計シート!T$134:T$153)*AY$2</f>
        <v>0</v>
      </c>
    </row>
    <row r="1226" spans="1:51" ht="14.25" thickBot="1">
      <c r="A1226">
        <v>15</v>
      </c>
      <c r="B1226" s="120">
        <f t="shared" si="676"/>
        <v>0</v>
      </c>
      <c r="C1226" s="120" t="str">
        <f t="shared" si="677"/>
        <v/>
      </c>
      <c r="D1226" s="137"/>
      <c r="E1226" s="150" t="str">
        <f>工種!A28</f>
        <v>40106</v>
      </c>
      <c r="F1226" s="119" t="str">
        <f>工種!B28</f>
        <v>テスト：総合評価設計書作成</v>
      </c>
      <c r="G1226" s="116" t="str">
        <f t="shared" si="678"/>
        <v>040106</v>
      </c>
      <c r="H1226" s="88">
        <f t="shared" si="675"/>
        <v>0</v>
      </c>
      <c r="I1226" s="132"/>
      <c r="J1226" s="88">
        <f>SUMIF(月間集計シート!$M$29:$M$48,$G1226,月間集計シート!N$29:N$48)*J$2</f>
        <v>0</v>
      </c>
      <c r="K1226" s="88">
        <f>SUMIF(月間集計シート!$M$29:$M$48,$G1226,月間集計シート!O$29:O$48)*K$2</f>
        <v>0</v>
      </c>
      <c r="L1226" s="88">
        <f>SUMIF(月間集計シート!$M$29:$M$48,$G1226,月間集計シート!P$29:P$48)*L$2</f>
        <v>0</v>
      </c>
      <c r="M1226" s="88">
        <f>SUMIF(月間集計シート!$M$29:$M$48,$G1226,月間集計シート!Q$29:Q$48)*M$2</f>
        <v>0</v>
      </c>
      <c r="N1226" s="88">
        <f>SUMIF(月間集計シート!$M$29:$M$48,$G1226,月間集計シート!R$29:R$48)*N$2</f>
        <v>0</v>
      </c>
      <c r="O1226" s="88">
        <f>SUMIF(月間集計シート!$M$29:$M$48,$G1226,月間集計シート!S$29:S$48)*O$2</f>
        <v>0</v>
      </c>
      <c r="P1226" s="88">
        <f>SUMIF(月間集計シート!$M$29:$M$48,$G1226,月間集計シート!T$29:T$48)*P$2</f>
        <v>0</v>
      </c>
      <c r="Q1226" s="88">
        <f>SUMIF(月間集計シート!$M$50:$M$69,$G1226,月間集計シート!N$50:N$69)*Q$2</f>
        <v>0</v>
      </c>
      <c r="R1226" s="88">
        <f>SUMIF(月間集計シート!$M$50:$M$69,$G1226,月間集計シート!O$50:O$69)*R$2</f>
        <v>0</v>
      </c>
      <c r="S1226" s="88">
        <f>SUMIF(月間集計シート!$M$50:$M$69,$G1226,月間集計シート!P$50:P$69)*S$2</f>
        <v>0</v>
      </c>
      <c r="T1226" s="88">
        <f>SUMIF(月間集計シート!$M$50:$M$69,$G1226,月間集計シート!Q$50:Q$69)*T$2</f>
        <v>0</v>
      </c>
      <c r="U1226" s="88">
        <f>SUMIF(月間集計シート!$M$50:$M$69,$G1226,月間集計シート!R$50:R$69)*U$2</f>
        <v>0</v>
      </c>
      <c r="V1226" s="88">
        <f>SUMIF(月間集計シート!$M$50:$M$69,$G1226,月間集計シート!S$50:S$69)*V$2</f>
        <v>0</v>
      </c>
      <c r="W1226" s="88">
        <f>SUMIF(月間集計シート!$M$50:$M$69,$G1226,月間集計シート!T$50:T$69)*W$2</f>
        <v>0</v>
      </c>
      <c r="X1226" s="88">
        <f>SUMIF(月間集計シート!$M$71:$M$90,$G1226,月間集計シート!N$71:N$90)*X$2</f>
        <v>0</v>
      </c>
      <c r="Y1226" s="88">
        <f>SUMIF(月間集計シート!$M$71:$M$90,$G1226,月間集計シート!O$71:O$90)*Y$2</f>
        <v>0</v>
      </c>
      <c r="Z1226" s="88">
        <f>SUMIF(月間集計シート!$M$71:$M$90,$G1226,月間集計シート!P$71:P$90)*Z$2</f>
        <v>0</v>
      </c>
      <c r="AA1226" s="88">
        <f>SUMIF(月間集計シート!$M$71:$M$90,$G1226,月間集計シート!Q$71:Q$90)*AA$2</f>
        <v>0</v>
      </c>
      <c r="AB1226" s="88">
        <f>SUMIF(月間集計シート!$M$71:$M$90,$G1226,月間集計シート!R$71:R$90)*AB$2</f>
        <v>0</v>
      </c>
      <c r="AC1226" s="88">
        <f>SUMIF(月間集計シート!$M$71:$M$90,$G1226,月間集計シート!S$71:S$90)*AC$2</f>
        <v>0</v>
      </c>
      <c r="AD1226" s="88">
        <f>SUMIF(月間集計シート!$M$71:$M$90,$G1226,月間集計シート!T$71:T$90)*AD$2</f>
        <v>0</v>
      </c>
      <c r="AE1226" s="88">
        <f>SUMIF(月間集計シート!$M$92:$M$111,$G1226,月間集計シート!N$92:N$111)*AE$2</f>
        <v>0</v>
      </c>
      <c r="AF1226" s="88">
        <f>SUMIF(月間集計シート!$M$92:$M$111,$G1226,月間集計シート!O$92:O$111)*AF$2</f>
        <v>0</v>
      </c>
      <c r="AG1226" s="88">
        <f>SUMIF(月間集計シート!$M$92:$M$111,$G1226,月間集計シート!P$92:P$111)*AG$2</f>
        <v>0</v>
      </c>
      <c r="AH1226" s="88">
        <f>SUMIF(月間集計シート!$M$92:$M$111,$G1226,月間集計シート!Q$92:Q$111)*AH$2</f>
        <v>0</v>
      </c>
      <c r="AI1226" s="88">
        <f>SUMIF(月間集計シート!$M$92:$M$111,$G1226,月間集計シート!R$92:R$111)*AI$2</f>
        <v>0</v>
      </c>
      <c r="AJ1226" s="88">
        <f>SUMIF(月間集計シート!$M$92:$M$111,$G1226,月間集計シート!S$92:S$111)*AJ$2</f>
        <v>0</v>
      </c>
      <c r="AK1226" s="88">
        <f>SUMIF(月間集計シート!$M$92:$M$111,$G1226,月間集計シート!T$92:T$111)*AK$2</f>
        <v>0</v>
      </c>
      <c r="AL1226" s="88">
        <f>SUMIF(月間集計シート!$M$113:$M$132,$G1226,月間集計シート!N$113:N$132)*AL$2</f>
        <v>0</v>
      </c>
      <c r="AM1226" s="88">
        <f>SUMIF(月間集計シート!$M$113:$M$132,$G1226,月間集計シート!O$113:O$132)*AM$2</f>
        <v>0</v>
      </c>
      <c r="AN1226" s="88">
        <f>SUMIF(月間集計シート!$M$113:$M$132,$G1226,月間集計シート!P$113:P$132)*AN$2</f>
        <v>0</v>
      </c>
      <c r="AO1226" s="88">
        <f>SUMIF(月間集計シート!$M$113:$M$132,$G1226,月間集計シート!Q$113:Q$132)*AO$2</f>
        <v>0</v>
      </c>
      <c r="AP1226" s="88">
        <f>SUMIF(月間集計シート!$M$113:$M$132,$G1226,月間集計シート!R$113:R$132)*AP$2</f>
        <v>0</v>
      </c>
      <c r="AQ1226" s="88">
        <f>SUMIF(月間集計シート!$M$113:$M$132,$G1226,月間集計シート!S$113:S$132)*AQ$2</f>
        <v>0</v>
      </c>
      <c r="AR1226" s="88">
        <f>SUMIF(月間集計シート!$M$113:$M$132,$G1226,月間集計シート!T$113:T$132)*AR$2</f>
        <v>0</v>
      </c>
      <c r="AS1226" s="88">
        <f>SUMIF(月間集計シート!$M$134:$M$153,$G1226,月間集計シート!N$134:N$153)*AS$2</f>
        <v>0</v>
      </c>
      <c r="AT1226" s="88">
        <f>SUMIF(月間集計シート!$M$134:$M$153,$G1226,月間集計シート!O$134:O$153)*AT$2</f>
        <v>0</v>
      </c>
      <c r="AU1226" s="88">
        <f>SUMIF(月間集計シート!$M$134:$M$153,$G1226,月間集計シート!P$134:P$153)*AU$2</f>
        <v>0</v>
      </c>
      <c r="AV1226" s="88">
        <f>SUMIF(月間集計シート!$M$134:$M$153,$G1226,月間集計シート!Q$134:Q$153)*AV$2</f>
        <v>0</v>
      </c>
      <c r="AW1226" s="88">
        <f>SUMIF(月間集計シート!$M$134:$M$153,$G1226,月間集計シート!R$134:R$153)*AW$2</f>
        <v>0</v>
      </c>
      <c r="AX1226" s="88">
        <f>SUMIF(月間集計シート!$M$134:$M$153,$G1226,月間集計シート!S$134:S$153)*AX$2</f>
        <v>0</v>
      </c>
      <c r="AY1226" s="88">
        <f>SUMIF(月間集計シート!$M$134:$M$153,$G1226,月間集計シート!T$134:T$153)*AY$2</f>
        <v>0</v>
      </c>
    </row>
    <row r="1227" spans="1:51" ht="14.25" thickBot="1">
      <c r="A1227">
        <v>15</v>
      </c>
      <c r="B1227" s="120">
        <f t="shared" si="676"/>
        <v>0</v>
      </c>
      <c r="C1227" s="120" t="str">
        <f t="shared" si="677"/>
        <v/>
      </c>
      <c r="D1227" s="137"/>
      <c r="E1227" s="150" t="str">
        <f>工種!A29</f>
        <v>40107</v>
      </c>
      <c r="F1227" s="119" t="str">
        <f>工種!B29</f>
        <v>テスト：評価報告書作成</v>
      </c>
      <c r="G1227" s="116" t="str">
        <f t="shared" si="678"/>
        <v>040107</v>
      </c>
      <c r="H1227" s="88">
        <f t="shared" si="675"/>
        <v>0</v>
      </c>
      <c r="I1227" s="132"/>
      <c r="J1227" s="88">
        <f>SUMIF(月間集計シート!$M$29:$M$48,$G1227,月間集計シート!N$29:N$48)*J$2</f>
        <v>0</v>
      </c>
      <c r="K1227" s="88">
        <f>SUMIF(月間集計シート!$M$29:$M$48,$G1227,月間集計シート!O$29:O$48)*K$2</f>
        <v>0</v>
      </c>
      <c r="L1227" s="88">
        <f>SUMIF(月間集計シート!$M$29:$M$48,$G1227,月間集計シート!P$29:P$48)*L$2</f>
        <v>0</v>
      </c>
      <c r="M1227" s="88">
        <f>SUMIF(月間集計シート!$M$29:$M$48,$G1227,月間集計シート!Q$29:Q$48)*M$2</f>
        <v>0</v>
      </c>
      <c r="N1227" s="88">
        <f>SUMIF(月間集計シート!$M$29:$M$48,$G1227,月間集計シート!R$29:R$48)*N$2</f>
        <v>0</v>
      </c>
      <c r="O1227" s="88">
        <f>SUMIF(月間集計シート!$M$29:$M$48,$G1227,月間集計シート!S$29:S$48)*O$2</f>
        <v>0</v>
      </c>
      <c r="P1227" s="88">
        <f>SUMIF(月間集計シート!$M$29:$M$48,$G1227,月間集計シート!T$29:T$48)*P$2</f>
        <v>0</v>
      </c>
      <c r="Q1227" s="88">
        <f>SUMIF(月間集計シート!$M$50:$M$69,$G1227,月間集計シート!N$50:N$69)*Q$2</f>
        <v>0</v>
      </c>
      <c r="R1227" s="88">
        <f>SUMIF(月間集計シート!$M$50:$M$69,$G1227,月間集計シート!O$50:O$69)*R$2</f>
        <v>0</v>
      </c>
      <c r="S1227" s="88">
        <f>SUMIF(月間集計シート!$M$50:$M$69,$G1227,月間集計シート!P$50:P$69)*S$2</f>
        <v>0</v>
      </c>
      <c r="T1227" s="88">
        <f>SUMIF(月間集計シート!$M$50:$M$69,$G1227,月間集計シート!Q$50:Q$69)*T$2</f>
        <v>0</v>
      </c>
      <c r="U1227" s="88">
        <f>SUMIF(月間集計シート!$M$50:$M$69,$G1227,月間集計シート!R$50:R$69)*U$2</f>
        <v>0</v>
      </c>
      <c r="V1227" s="88">
        <f>SUMIF(月間集計シート!$M$50:$M$69,$G1227,月間集計シート!S$50:S$69)*V$2</f>
        <v>0</v>
      </c>
      <c r="W1227" s="88">
        <f>SUMIF(月間集計シート!$M$50:$M$69,$G1227,月間集計シート!T$50:T$69)*W$2</f>
        <v>0</v>
      </c>
      <c r="X1227" s="88">
        <f>SUMIF(月間集計シート!$M$71:$M$90,$G1227,月間集計シート!N$71:N$90)*X$2</f>
        <v>0</v>
      </c>
      <c r="Y1227" s="88">
        <f>SUMIF(月間集計シート!$M$71:$M$90,$G1227,月間集計シート!O$71:O$90)*Y$2</f>
        <v>0</v>
      </c>
      <c r="Z1227" s="88">
        <f>SUMIF(月間集計シート!$M$71:$M$90,$G1227,月間集計シート!P$71:P$90)*Z$2</f>
        <v>0</v>
      </c>
      <c r="AA1227" s="88">
        <f>SUMIF(月間集計シート!$M$71:$M$90,$G1227,月間集計シート!Q$71:Q$90)*AA$2</f>
        <v>0</v>
      </c>
      <c r="AB1227" s="88">
        <f>SUMIF(月間集計シート!$M$71:$M$90,$G1227,月間集計シート!R$71:R$90)*AB$2</f>
        <v>0</v>
      </c>
      <c r="AC1227" s="88">
        <f>SUMIF(月間集計シート!$M$71:$M$90,$G1227,月間集計シート!S$71:S$90)*AC$2</f>
        <v>0</v>
      </c>
      <c r="AD1227" s="88">
        <f>SUMIF(月間集計シート!$M$71:$M$90,$G1227,月間集計シート!T$71:T$90)*AD$2</f>
        <v>0</v>
      </c>
      <c r="AE1227" s="88">
        <f>SUMIF(月間集計シート!$M$92:$M$111,$G1227,月間集計シート!N$92:N$111)*AE$2</f>
        <v>0</v>
      </c>
      <c r="AF1227" s="88">
        <f>SUMIF(月間集計シート!$M$92:$M$111,$G1227,月間集計シート!O$92:O$111)*AF$2</f>
        <v>0</v>
      </c>
      <c r="AG1227" s="88">
        <f>SUMIF(月間集計シート!$M$92:$M$111,$G1227,月間集計シート!P$92:P$111)*AG$2</f>
        <v>0</v>
      </c>
      <c r="AH1227" s="88">
        <f>SUMIF(月間集計シート!$M$92:$M$111,$G1227,月間集計シート!Q$92:Q$111)*AH$2</f>
        <v>0</v>
      </c>
      <c r="AI1227" s="88">
        <f>SUMIF(月間集計シート!$M$92:$M$111,$G1227,月間集計シート!R$92:R$111)*AI$2</f>
        <v>0</v>
      </c>
      <c r="AJ1227" s="88">
        <f>SUMIF(月間集計シート!$M$92:$M$111,$G1227,月間集計シート!S$92:S$111)*AJ$2</f>
        <v>0</v>
      </c>
      <c r="AK1227" s="88">
        <f>SUMIF(月間集計シート!$M$92:$M$111,$G1227,月間集計シート!T$92:T$111)*AK$2</f>
        <v>0</v>
      </c>
      <c r="AL1227" s="88">
        <f>SUMIF(月間集計シート!$M$113:$M$132,$G1227,月間集計シート!N$113:N$132)*AL$2</f>
        <v>0</v>
      </c>
      <c r="AM1227" s="88">
        <f>SUMIF(月間集計シート!$M$113:$M$132,$G1227,月間集計シート!O$113:O$132)*AM$2</f>
        <v>0</v>
      </c>
      <c r="AN1227" s="88">
        <f>SUMIF(月間集計シート!$M$113:$M$132,$G1227,月間集計シート!P$113:P$132)*AN$2</f>
        <v>0</v>
      </c>
      <c r="AO1227" s="88">
        <f>SUMIF(月間集計シート!$M$113:$M$132,$G1227,月間集計シート!Q$113:Q$132)*AO$2</f>
        <v>0</v>
      </c>
      <c r="AP1227" s="88">
        <f>SUMIF(月間集計シート!$M$113:$M$132,$G1227,月間集計シート!R$113:R$132)*AP$2</f>
        <v>0</v>
      </c>
      <c r="AQ1227" s="88">
        <f>SUMIF(月間集計シート!$M$113:$M$132,$G1227,月間集計シート!S$113:S$132)*AQ$2</f>
        <v>0</v>
      </c>
      <c r="AR1227" s="88">
        <f>SUMIF(月間集計シート!$M$113:$M$132,$G1227,月間集計シート!T$113:T$132)*AR$2</f>
        <v>0</v>
      </c>
      <c r="AS1227" s="88">
        <f>SUMIF(月間集計シート!$M$134:$M$153,$G1227,月間集計シート!N$134:N$153)*AS$2</f>
        <v>0</v>
      </c>
      <c r="AT1227" s="88">
        <f>SUMIF(月間集計シート!$M$134:$M$153,$G1227,月間集計シート!O$134:O$153)*AT$2</f>
        <v>0</v>
      </c>
      <c r="AU1227" s="88">
        <f>SUMIF(月間集計シート!$M$134:$M$153,$G1227,月間集計シート!P$134:P$153)*AU$2</f>
        <v>0</v>
      </c>
      <c r="AV1227" s="88">
        <f>SUMIF(月間集計シート!$M$134:$M$153,$G1227,月間集計シート!Q$134:Q$153)*AV$2</f>
        <v>0</v>
      </c>
      <c r="AW1227" s="88">
        <f>SUMIF(月間集計シート!$M$134:$M$153,$G1227,月間集計シート!R$134:R$153)*AW$2</f>
        <v>0</v>
      </c>
      <c r="AX1227" s="88">
        <f>SUMIF(月間集計シート!$M$134:$M$153,$G1227,月間集計シート!S$134:S$153)*AX$2</f>
        <v>0</v>
      </c>
      <c r="AY1227" s="88">
        <f>SUMIF(月間集計シート!$M$134:$M$153,$G1227,月間集計シート!T$134:T$153)*AY$2</f>
        <v>0</v>
      </c>
    </row>
    <row r="1228" spans="1:51" ht="14.25" thickBot="1">
      <c r="A1228">
        <v>15</v>
      </c>
      <c r="B1228" s="120">
        <f t="shared" si="676"/>
        <v>0</v>
      </c>
      <c r="C1228" s="120" t="str">
        <f t="shared" si="677"/>
        <v/>
      </c>
      <c r="D1228" s="137"/>
      <c r="E1228" s="150" t="str">
        <f>工種!A30</f>
        <v>40108</v>
      </c>
      <c r="F1228" s="119" t="str">
        <f>工種!B30</f>
        <v>テスト：総合評価実施</v>
      </c>
      <c r="G1228" s="116" t="str">
        <f t="shared" si="678"/>
        <v>040108</v>
      </c>
      <c r="H1228" s="88">
        <f t="shared" si="675"/>
        <v>0</v>
      </c>
      <c r="I1228" s="132"/>
      <c r="J1228" s="88">
        <f>SUMIF(月間集計シート!$M$29:$M$48,$G1228,月間集計シート!N$29:N$48)*J$2</f>
        <v>0</v>
      </c>
      <c r="K1228" s="88">
        <f>SUMIF(月間集計シート!$M$29:$M$48,$G1228,月間集計シート!O$29:O$48)*K$2</f>
        <v>0</v>
      </c>
      <c r="L1228" s="88">
        <f>SUMIF(月間集計シート!$M$29:$M$48,$G1228,月間集計シート!P$29:P$48)*L$2</f>
        <v>0</v>
      </c>
      <c r="M1228" s="88">
        <f>SUMIF(月間集計シート!$M$29:$M$48,$G1228,月間集計シート!Q$29:Q$48)*M$2</f>
        <v>0</v>
      </c>
      <c r="N1228" s="88">
        <f>SUMIF(月間集計シート!$M$29:$M$48,$G1228,月間集計シート!R$29:R$48)*N$2</f>
        <v>0</v>
      </c>
      <c r="O1228" s="88">
        <f>SUMIF(月間集計シート!$M$29:$M$48,$G1228,月間集計シート!S$29:S$48)*O$2</f>
        <v>0</v>
      </c>
      <c r="P1228" s="88">
        <f>SUMIF(月間集計シート!$M$29:$M$48,$G1228,月間集計シート!T$29:T$48)*P$2</f>
        <v>0</v>
      </c>
      <c r="Q1228" s="88">
        <f>SUMIF(月間集計シート!$M$50:$M$69,$G1228,月間集計シート!N$50:N$69)*Q$2</f>
        <v>0</v>
      </c>
      <c r="R1228" s="88">
        <f>SUMIF(月間集計シート!$M$50:$M$69,$G1228,月間集計シート!O$50:O$69)*R$2</f>
        <v>0</v>
      </c>
      <c r="S1228" s="88">
        <f>SUMIF(月間集計シート!$M$50:$M$69,$G1228,月間集計シート!P$50:P$69)*S$2</f>
        <v>0</v>
      </c>
      <c r="T1228" s="88">
        <f>SUMIF(月間集計シート!$M$50:$M$69,$G1228,月間集計シート!Q$50:Q$69)*T$2</f>
        <v>0</v>
      </c>
      <c r="U1228" s="88">
        <f>SUMIF(月間集計シート!$M$50:$M$69,$G1228,月間集計シート!R$50:R$69)*U$2</f>
        <v>0</v>
      </c>
      <c r="V1228" s="88">
        <f>SUMIF(月間集計シート!$M$50:$M$69,$G1228,月間集計シート!S$50:S$69)*V$2</f>
        <v>0</v>
      </c>
      <c r="W1228" s="88">
        <f>SUMIF(月間集計シート!$M$50:$M$69,$G1228,月間集計シート!T$50:T$69)*W$2</f>
        <v>0</v>
      </c>
      <c r="X1228" s="88">
        <f>SUMIF(月間集計シート!$M$71:$M$90,$G1228,月間集計シート!N$71:N$90)*X$2</f>
        <v>0</v>
      </c>
      <c r="Y1228" s="88">
        <f>SUMIF(月間集計シート!$M$71:$M$90,$G1228,月間集計シート!O$71:O$90)*Y$2</f>
        <v>0</v>
      </c>
      <c r="Z1228" s="88">
        <f>SUMIF(月間集計シート!$M$71:$M$90,$G1228,月間集計シート!P$71:P$90)*Z$2</f>
        <v>0</v>
      </c>
      <c r="AA1228" s="88">
        <f>SUMIF(月間集計シート!$M$71:$M$90,$G1228,月間集計シート!Q$71:Q$90)*AA$2</f>
        <v>0</v>
      </c>
      <c r="AB1228" s="88">
        <f>SUMIF(月間集計シート!$M$71:$M$90,$G1228,月間集計シート!R$71:R$90)*AB$2</f>
        <v>0</v>
      </c>
      <c r="AC1228" s="88">
        <f>SUMIF(月間集計シート!$M$71:$M$90,$G1228,月間集計シート!S$71:S$90)*AC$2</f>
        <v>0</v>
      </c>
      <c r="AD1228" s="88">
        <f>SUMIF(月間集計シート!$M$71:$M$90,$G1228,月間集計シート!T$71:T$90)*AD$2</f>
        <v>0</v>
      </c>
      <c r="AE1228" s="88">
        <f>SUMIF(月間集計シート!$M$92:$M$111,$G1228,月間集計シート!N$92:N$111)*AE$2</f>
        <v>0</v>
      </c>
      <c r="AF1228" s="88">
        <f>SUMIF(月間集計シート!$M$92:$M$111,$G1228,月間集計シート!O$92:O$111)*AF$2</f>
        <v>0</v>
      </c>
      <c r="AG1228" s="88">
        <f>SUMIF(月間集計シート!$M$92:$M$111,$G1228,月間集計シート!P$92:P$111)*AG$2</f>
        <v>0</v>
      </c>
      <c r="AH1228" s="88">
        <f>SUMIF(月間集計シート!$M$92:$M$111,$G1228,月間集計シート!Q$92:Q$111)*AH$2</f>
        <v>0</v>
      </c>
      <c r="AI1228" s="88">
        <f>SUMIF(月間集計シート!$M$92:$M$111,$G1228,月間集計シート!R$92:R$111)*AI$2</f>
        <v>0</v>
      </c>
      <c r="AJ1228" s="88">
        <f>SUMIF(月間集計シート!$M$92:$M$111,$G1228,月間集計シート!S$92:S$111)*AJ$2</f>
        <v>0</v>
      </c>
      <c r="AK1228" s="88">
        <f>SUMIF(月間集計シート!$M$92:$M$111,$G1228,月間集計シート!T$92:T$111)*AK$2</f>
        <v>0</v>
      </c>
      <c r="AL1228" s="88">
        <f>SUMIF(月間集計シート!$M$113:$M$132,$G1228,月間集計シート!N$113:N$132)*AL$2</f>
        <v>0</v>
      </c>
      <c r="AM1228" s="88">
        <f>SUMIF(月間集計シート!$M$113:$M$132,$G1228,月間集計シート!O$113:O$132)*AM$2</f>
        <v>0</v>
      </c>
      <c r="AN1228" s="88">
        <f>SUMIF(月間集計シート!$M$113:$M$132,$G1228,月間集計シート!P$113:P$132)*AN$2</f>
        <v>0</v>
      </c>
      <c r="AO1228" s="88">
        <f>SUMIF(月間集計シート!$M$113:$M$132,$G1228,月間集計シート!Q$113:Q$132)*AO$2</f>
        <v>0</v>
      </c>
      <c r="AP1228" s="88">
        <f>SUMIF(月間集計シート!$M$113:$M$132,$G1228,月間集計シート!R$113:R$132)*AP$2</f>
        <v>0</v>
      </c>
      <c r="AQ1228" s="88">
        <f>SUMIF(月間集計シート!$M$113:$M$132,$G1228,月間集計シート!S$113:S$132)*AQ$2</f>
        <v>0</v>
      </c>
      <c r="AR1228" s="88">
        <f>SUMIF(月間集計シート!$M$113:$M$132,$G1228,月間集計シート!T$113:T$132)*AR$2</f>
        <v>0</v>
      </c>
      <c r="AS1228" s="88">
        <f>SUMIF(月間集計シート!$M$134:$M$153,$G1228,月間集計シート!N$134:N$153)*AS$2</f>
        <v>0</v>
      </c>
      <c r="AT1228" s="88">
        <f>SUMIF(月間集計シート!$M$134:$M$153,$G1228,月間集計シート!O$134:O$153)*AT$2</f>
        <v>0</v>
      </c>
      <c r="AU1228" s="88">
        <f>SUMIF(月間集計シート!$M$134:$M$153,$G1228,月間集計シート!P$134:P$153)*AU$2</f>
        <v>0</v>
      </c>
      <c r="AV1228" s="88">
        <f>SUMIF(月間集計シート!$M$134:$M$153,$G1228,月間集計シート!Q$134:Q$153)*AV$2</f>
        <v>0</v>
      </c>
      <c r="AW1228" s="88">
        <f>SUMIF(月間集計シート!$M$134:$M$153,$G1228,月間集計シート!R$134:R$153)*AW$2</f>
        <v>0</v>
      </c>
      <c r="AX1228" s="88">
        <f>SUMIF(月間集計シート!$M$134:$M$153,$G1228,月間集計シート!S$134:S$153)*AX$2</f>
        <v>0</v>
      </c>
      <c r="AY1228" s="88">
        <f>SUMIF(月間集計シート!$M$134:$M$153,$G1228,月間集計シート!T$134:T$153)*AY$2</f>
        <v>0</v>
      </c>
    </row>
    <row r="1229" spans="1:51" ht="14.25" thickBot="1">
      <c r="A1229">
        <v>15</v>
      </c>
      <c r="B1229" s="120">
        <f t="shared" si="676"/>
        <v>0</v>
      </c>
      <c r="C1229" s="120" t="str">
        <f t="shared" si="677"/>
        <v/>
      </c>
      <c r="D1229" s="137"/>
      <c r="E1229" s="150" t="str">
        <f>工種!A31</f>
        <v>40109</v>
      </c>
      <c r="F1229" s="119" t="str">
        <f>工種!B31</f>
        <v>テスト：打合せ</v>
      </c>
      <c r="G1229" s="116" t="str">
        <f t="shared" si="678"/>
        <v>040109</v>
      </c>
      <c r="H1229" s="88">
        <f t="shared" si="675"/>
        <v>0</v>
      </c>
      <c r="I1229" s="132"/>
      <c r="J1229" s="88">
        <f>SUMIF(月間集計シート!$M$29:$M$48,$G1229,月間集計シート!N$29:N$48)*J$2</f>
        <v>0</v>
      </c>
      <c r="K1229" s="88">
        <f>SUMIF(月間集計シート!$M$29:$M$48,$G1229,月間集計シート!O$29:O$48)*K$2</f>
        <v>0</v>
      </c>
      <c r="L1229" s="88">
        <f>SUMIF(月間集計シート!$M$29:$M$48,$G1229,月間集計シート!P$29:P$48)*L$2</f>
        <v>0</v>
      </c>
      <c r="M1229" s="88">
        <f>SUMIF(月間集計シート!$M$29:$M$48,$G1229,月間集計シート!Q$29:Q$48)*M$2</f>
        <v>0</v>
      </c>
      <c r="N1229" s="88">
        <f>SUMIF(月間集計シート!$M$29:$M$48,$G1229,月間集計シート!R$29:R$48)*N$2</f>
        <v>0</v>
      </c>
      <c r="O1229" s="88">
        <f>SUMIF(月間集計シート!$M$29:$M$48,$G1229,月間集計シート!S$29:S$48)*O$2</f>
        <v>0</v>
      </c>
      <c r="P1229" s="88">
        <f>SUMIF(月間集計シート!$M$29:$M$48,$G1229,月間集計シート!T$29:T$48)*P$2</f>
        <v>0</v>
      </c>
      <c r="Q1229" s="88">
        <f>SUMIF(月間集計シート!$M$50:$M$69,$G1229,月間集計シート!N$50:N$69)*Q$2</f>
        <v>0</v>
      </c>
      <c r="R1229" s="88">
        <f>SUMIF(月間集計シート!$M$50:$M$69,$G1229,月間集計シート!O$50:O$69)*R$2</f>
        <v>0</v>
      </c>
      <c r="S1229" s="88">
        <f>SUMIF(月間集計シート!$M$50:$M$69,$G1229,月間集計シート!P$50:P$69)*S$2</f>
        <v>0</v>
      </c>
      <c r="T1229" s="88">
        <f>SUMIF(月間集計シート!$M$50:$M$69,$G1229,月間集計シート!Q$50:Q$69)*T$2</f>
        <v>0</v>
      </c>
      <c r="U1229" s="88">
        <f>SUMIF(月間集計シート!$M$50:$M$69,$G1229,月間集計シート!R$50:R$69)*U$2</f>
        <v>0</v>
      </c>
      <c r="V1229" s="88">
        <f>SUMIF(月間集計シート!$M$50:$M$69,$G1229,月間集計シート!S$50:S$69)*V$2</f>
        <v>0</v>
      </c>
      <c r="W1229" s="88">
        <f>SUMIF(月間集計シート!$M$50:$M$69,$G1229,月間集計シート!T$50:T$69)*W$2</f>
        <v>0</v>
      </c>
      <c r="X1229" s="88">
        <f>SUMIF(月間集計シート!$M$71:$M$90,$G1229,月間集計シート!N$71:N$90)*X$2</f>
        <v>0</v>
      </c>
      <c r="Y1229" s="88">
        <f>SUMIF(月間集計シート!$M$71:$M$90,$G1229,月間集計シート!O$71:O$90)*Y$2</f>
        <v>0</v>
      </c>
      <c r="Z1229" s="88">
        <f>SUMIF(月間集計シート!$M$71:$M$90,$G1229,月間集計シート!P$71:P$90)*Z$2</f>
        <v>0</v>
      </c>
      <c r="AA1229" s="88">
        <f>SUMIF(月間集計シート!$M$71:$M$90,$G1229,月間集計シート!Q$71:Q$90)*AA$2</f>
        <v>0</v>
      </c>
      <c r="AB1229" s="88">
        <f>SUMIF(月間集計シート!$M$71:$M$90,$G1229,月間集計シート!R$71:R$90)*AB$2</f>
        <v>0</v>
      </c>
      <c r="AC1229" s="88">
        <f>SUMIF(月間集計シート!$M$71:$M$90,$G1229,月間集計シート!S$71:S$90)*AC$2</f>
        <v>0</v>
      </c>
      <c r="AD1229" s="88">
        <f>SUMIF(月間集計シート!$M$71:$M$90,$G1229,月間集計シート!T$71:T$90)*AD$2</f>
        <v>0</v>
      </c>
      <c r="AE1229" s="88">
        <f>SUMIF(月間集計シート!$M$92:$M$111,$G1229,月間集計シート!N$92:N$111)*AE$2</f>
        <v>0</v>
      </c>
      <c r="AF1229" s="88">
        <f>SUMIF(月間集計シート!$M$92:$M$111,$G1229,月間集計シート!O$92:O$111)*AF$2</f>
        <v>0</v>
      </c>
      <c r="AG1229" s="88">
        <f>SUMIF(月間集計シート!$M$92:$M$111,$G1229,月間集計シート!P$92:P$111)*AG$2</f>
        <v>0</v>
      </c>
      <c r="AH1229" s="88">
        <f>SUMIF(月間集計シート!$M$92:$M$111,$G1229,月間集計シート!Q$92:Q$111)*AH$2</f>
        <v>0</v>
      </c>
      <c r="AI1229" s="88">
        <f>SUMIF(月間集計シート!$M$92:$M$111,$G1229,月間集計シート!R$92:R$111)*AI$2</f>
        <v>0</v>
      </c>
      <c r="AJ1229" s="88">
        <f>SUMIF(月間集計シート!$M$92:$M$111,$G1229,月間集計シート!S$92:S$111)*AJ$2</f>
        <v>0</v>
      </c>
      <c r="AK1229" s="88">
        <f>SUMIF(月間集計シート!$M$92:$M$111,$G1229,月間集計シート!T$92:T$111)*AK$2</f>
        <v>0</v>
      </c>
      <c r="AL1229" s="88">
        <f>SUMIF(月間集計シート!$M$113:$M$132,$G1229,月間集計シート!N$113:N$132)*AL$2</f>
        <v>0</v>
      </c>
      <c r="AM1229" s="88">
        <f>SUMIF(月間集計シート!$M$113:$M$132,$G1229,月間集計シート!O$113:O$132)*AM$2</f>
        <v>0</v>
      </c>
      <c r="AN1229" s="88">
        <f>SUMIF(月間集計シート!$M$113:$M$132,$G1229,月間集計シート!P$113:P$132)*AN$2</f>
        <v>0</v>
      </c>
      <c r="AO1229" s="88">
        <f>SUMIF(月間集計シート!$M$113:$M$132,$G1229,月間集計シート!Q$113:Q$132)*AO$2</f>
        <v>0</v>
      </c>
      <c r="AP1229" s="88">
        <f>SUMIF(月間集計シート!$M$113:$M$132,$G1229,月間集計シート!R$113:R$132)*AP$2</f>
        <v>0</v>
      </c>
      <c r="AQ1229" s="88">
        <f>SUMIF(月間集計シート!$M$113:$M$132,$G1229,月間集計シート!S$113:S$132)*AQ$2</f>
        <v>0</v>
      </c>
      <c r="AR1229" s="88">
        <f>SUMIF(月間集計シート!$M$113:$M$132,$G1229,月間集計シート!T$113:T$132)*AR$2</f>
        <v>0</v>
      </c>
      <c r="AS1229" s="88">
        <f>SUMIF(月間集計シート!$M$134:$M$153,$G1229,月間集計シート!N$134:N$153)*AS$2</f>
        <v>0</v>
      </c>
      <c r="AT1229" s="88">
        <f>SUMIF(月間集計シート!$M$134:$M$153,$G1229,月間集計シート!O$134:O$153)*AT$2</f>
        <v>0</v>
      </c>
      <c r="AU1229" s="88">
        <f>SUMIF(月間集計シート!$M$134:$M$153,$G1229,月間集計シート!P$134:P$153)*AU$2</f>
        <v>0</v>
      </c>
      <c r="AV1229" s="88">
        <f>SUMIF(月間集計シート!$M$134:$M$153,$G1229,月間集計シート!Q$134:Q$153)*AV$2</f>
        <v>0</v>
      </c>
      <c r="AW1229" s="88">
        <f>SUMIF(月間集計シート!$M$134:$M$153,$G1229,月間集計シート!R$134:R$153)*AW$2</f>
        <v>0</v>
      </c>
      <c r="AX1229" s="88">
        <f>SUMIF(月間集計シート!$M$134:$M$153,$G1229,月間集計シート!S$134:S$153)*AX$2</f>
        <v>0</v>
      </c>
      <c r="AY1229" s="88">
        <f>SUMIF(月間集計シート!$M$134:$M$153,$G1229,月間集計シート!T$134:T$153)*AY$2</f>
        <v>0</v>
      </c>
    </row>
    <row r="1230" spans="1:51" ht="14.25" thickBot="1">
      <c r="A1230">
        <v>15</v>
      </c>
      <c r="B1230" s="120">
        <f t="shared" si="676"/>
        <v>0</v>
      </c>
      <c r="C1230" s="120" t="str">
        <f t="shared" si="677"/>
        <v/>
      </c>
      <c r="D1230" s="137"/>
      <c r="E1230" s="150" t="str">
        <f>工種!A32</f>
        <v>40110</v>
      </c>
      <c r="F1230" s="119" t="str">
        <f>工種!B32</f>
        <v>テスト：レビュー</v>
      </c>
      <c r="G1230" s="116" t="str">
        <f t="shared" si="678"/>
        <v>040110</v>
      </c>
      <c r="H1230" s="88">
        <f t="shared" si="675"/>
        <v>0</v>
      </c>
      <c r="I1230" s="132"/>
      <c r="J1230" s="88">
        <f>SUMIF(月間集計シート!$M$29:$M$48,$G1230,月間集計シート!N$29:N$48)*J$2</f>
        <v>0</v>
      </c>
      <c r="K1230" s="88">
        <f>SUMIF(月間集計シート!$M$29:$M$48,$G1230,月間集計シート!O$29:O$48)*K$2</f>
        <v>0</v>
      </c>
      <c r="L1230" s="88">
        <f>SUMIF(月間集計シート!$M$29:$M$48,$G1230,月間集計シート!P$29:P$48)*L$2</f>
        <v>0</v>
      </c>
      <c r="M1230" s="88">
        <f>SUMIF(月間集計シート!$M$29:$M$48,$G1230,月間集計シート!Q$29:Q$48)*M$2</f>
        <v>0</v>
      </c>
      <c r="N1230" s="88">
        <f>SUMIF(月間集計シート!$M$29:$M$48,$G1230,月間集計シート!R$29:R$48)*N$2</f>
        <v>0</v>
      </c>
      <c r="O1230" s="88">
        <f>SUMIF(月間集計シート!$M$29:$M$48,$G1230,月間集計シート!S$29:S$48)*O$2</f>
        <v>0</v>
      </c>
      <c r="P1230" s="88">
        <f>SUMIF(月間集計シート!$M$29:$M$48,$G1230,月間集計シート!T$29:T$48)*P$2</f>
        <v>0</v>
      </c>
      <c r="Q1230" s="88">
        <f>SUMIF(月間集計シート!$M$50:$M$69,$G1230,月間集計シート!N$50:N$69)*Q$2</f>
        <v>0</v>
      </c>
      <c r="R1230" s="88">
        <f>SUMIF(月間集計シート!$M$50:$M$69,$G1230,月間集計シート!O$50:O$69)*R$2</f>
        <v>0</v>
      </c>
      <c r="S1230" s="88">
        <f>SUMIF(月間集計シート!$M$50:$M$69,$G1230,月間集計シート!P$50:P$69)*S$2</f>
        <v>0</v>
      </c>
      <c r="T1230" s="88">
        <f>SUMIF(月間集計シート!$M$50:$M$69,$G1230,月間集計シート!Q$50:Q$69)*T$2</f>
        <v>0</v>
      </c>
      <c r="U1230" s="88">
        <f>SUMIF(月間集計シート!$M$50:$M$69,$G1230,月間集計シート!R$50:R$69)*U$2</f>
        <v>0</v>
      </c>
      <c r="V1230" s="88">
        <f>SUMIF(月間集計シート!$M$50:$M$69,$G1230,月間集計シート!S$50:S$69)*V$2</f>
        <v>0</v>
      </c>
      <c r="W1230" s="88">
        <f>SUMIF(月間集計シート!$M$50:$M$69,$G1230,月間集計シート!T$50:T$69)*W$2</f>
        <v>0</v>
      </c>
      <c r="X1230" s="88">
        <f>SUMIF(月間集計シート!$M$71:$M$90,$G1230,月間集計シート!N$71:N$90)*X$2</f>
        <v>0</v>
      </c>
      <c r="Y1230" s="88">
        <f>SUMIF(月間集計シート!$M$71:$M$90,$G1230,月間集計シート!O$71:O$90)*Y$2</f>
        <v>0</v>
      </c>
      <c r="Z1230" s="88">
        <f>SUMIF(月間集計シート!$M$71:$M$90,$G1230,月間集計シート!P$71:P$90)*Z$2</f>
        <v>0</v>
      </c>
      <c r="AA1230" s="88">
        <f>SUMIF(月間集計シート!$M$71:$M$90,$G1230,月間集計シート!Q$71:Q$90)*AA$2</f>
        <v>0</v>
      </c>
      <c r="AB1230" s="88">
        <f>SUMIF(月間集計シート!$M$71:$M$90,$G1230,月間集計シート!R$71:R$90)*AB$2</f>
        <v>0</v>
      </c>
      <c r="AC1230" s="88">
        <f>SUMIF(月間集計シート!$M$71:$M$90,$G1230,月間集計シート!S$71:S$90)*AC$2</f>
        <v>0</v>
      </c>
      <c r="AD1230" s="88">
        <f>SUMIF(月間集計シート!$M$71:$M$90,$G1230,月間集計シート!T$71:T$90)*AD$2</f>
        <v>0</v>
      </c>
      <c r="AE1230" s="88">
        <f>SUMIF(月間集計シート!$M$92:$M$111,$G1230,月間集計シート!N$92:N$111)*AE$2</f>
        <v>0</v>
      </c>
      <c r="AF1230" s="88">
        <f>SUMIF(月間集計シート!$M$92:$M$111,$G1230,月間集計シート!O$92:O$111)*AF$2</f>
        <v>0</v>
      </c>
      <c r="AG1230" s="88">
        <f>SUMIF(月間集計シート!$M$92:$M$111,$G1230,月間集計シート!P$92:P$111)*AG$2</f>
        <v>0</v>
      </c>
      <c r="AH1230" s="88">
        <f>SUMIF(月間集計シート!$M$92:$M$111,$G1230,月間集計シート!Q$92:Q$111)*AH$2</f>
        <v>0</v>
      </c>
      <c r="AI1230" s="88">
        <f>SUMIF(月間集計シート!$M$92:$M$111,$G1230,月間集計シート!R$92:R$111)*AI$2</f>
        <v>0</v>
      </c>
      <c r="AJ1230" s="88">
        <f>SUMIF(月間集計シート!$M$92:$M$111,$G1230,月間集計シート!S$92:S$111)*AJ$2</f>
        <v>0</v>
      </c>
      <c r="AK1230" s="88">
        <f>SUMIF(月間集計シート!$M$92:$M$111,$G1230,月間集計シート!T$92:T$111)*AK$2</f>
        <v>0</v>
      </c>
      <c r="AL1230" s="88">
        <f>SUMIF(月間集計シート!$M$113:$M$132,$G1230,月間集計シート!N$113:N$132)*AL$2</f>
        <v>0</v>
      </c>
      <c r="AM1230" s="88">
        <f>SUMIF(月間集計シート!$M$113:$M$132,$G1230,月間集計シート!O$113:O$132)*AM$2</f>
        <v>0</v>
      </c>
      <c r="AN1230" s="88">
        <f>SUMIF(月間集計シート!$M$113:$M$132,$G1230,月間集計シート!P$113:P$132)*AN$2</f>
        <v>0</v>
      </c>
      <c r="AO1230" s="88">
        <f>SUMIF(月間集計シート!$M$113:$M$132,$G1230,月間集計シート!Q$113:Q$132)*AO$2</f>
        <v>0</v>
      </c>
      <c r="AP1230" s="88">
        <f>SUMIF(月間集計シート!$M$113:$M$132,$G1230,月間集計シート!R$113:R$132)*AP$2</f>
        <v>0</v>
      </c>
      <c r="AQ1230" s="88">
        <f>SUMIF(月間集計シート!$M$113:$M$132,$G1230,月間集計シート!S$113:S$132)*AQ$2</f>
        <v>0</v>
      </c>
      <c r="AR1230" s="88">
        <f>SUMIF(月間集計シート!$M$113:$M$132,$G1230,月間集計シート!T$113:T$132)*AR$2</f>
        <v>0</v>
      </c>
      <c r="AS1230" s="88">
        <f>SUMIF(月間集計シート!$M$134:$M$153,$G1230,月間集計シート!N$134:N$153)*AS$2</f>
        <v>0</v>
      </c>
      <c r="AT1230" s="88">
        <f>SUMIF(月間集計シート!$M$134:$M$153,$G1230,月間集計シート!O$134:O$153)*AT$2</f>
        <v>0</v>
      </c>
      <c r="AU1230" s="88">
        <f>SUMIF(月間集計シート!$M$134:$M$153,$G1230,月間集計シート!P$134:P$153)*AU$2</f>
        <v>0</v>
      </c>
      <c r="AV1230" s="88">
        <f>SUMIF(月間集計シート!$M$134:$M$153,$G1230,月間集計シート!Q$134:Q$153)*AV$2</f>
        <v>0</v>
      </c>
      <c r="AW1230" s="88">
        <f>SUMIF(月間集計シート!$M$134:$M$153,$G1230,月間集計シート!R$134:R$153)*AW$2</f>
        <v>0</v>
      </c>
      <c r="AX1230" s="88">
        <f>SUMIF(月間集計シート!$M$134:$M$153,$G1230,月間集計シート!S$134:S$153)*AX$2</f>
        <v>0</v>
      </c>
      <c r="AY1230" s="88">
        <f>SUMIF(月間集計シート!$M$134:$M$153,$G1230,月間集計シート!T$134:T$153)*AY$2</f>
        <v>0</v>
      </c>
    </row>
    <row r="1231" spans="1:51" ht="14.25" thickBot="1">
      <c r="A1231">
        <v>15</v>
      </c>
      <c r="B1231" s="120">
        <f t="shared" si="676"/>
        <v>0</v>
      </c>
      <c r="C1231" s="120" t="str">
        <f t="shared" si="677"/>
        <v/>
      </c>
      <c r="D1231" s="137"/>
      <c r="E1231" s="150" t="str">
        <f>工種!A33</f>
        <v>40111</v>
      </c>
      <c r="F1231" s="119" t="str">
        <f>工種!B33</f>
        <v>テスト：PG修正（手戻り分）</v>
      </c>
      <c r="G1231" s="116" t="str">
        <f t="shared" si="678"/>
        <v>040111</v>
      </c>
      <c r="H1231" s="88">
        <f t="shared" si="675"/>
        <v>0</v>
      </c>
      <c r="I1231" s="132"/>
      <c r="J1231" s="88">
        <f>SUMIF(月間集計シート!$M$29:$M$48,$G1231,月間集計シート!N$29:N$48)*J$2</f>
        <v>0</v>
      </c>
      <c r="K1231" s="88">
        <f>SUMIF(月間集計シート!$M$29:$M$48,$G1231,月間集計シート!O$29:O$48)*K$2</f>
        <v>0</v>
      </c>
      <c r="L1231" s="88">
        <f>SUMIF(月間集計シート!$M$29:$M$48,$G1231,月間集計シート!P$29:P$48)*L$2</f>
        <v>0</v>
      </c>
      <c r="M1231" s="88">
        <f>SUMIF(月間集計シート!$M$29:$M$48,$G1231,月間集計シート!Q$29:Q$48)*M$2</f>
        <v>0</v>
      </c>
      <c r="N1231" s="88">
        <f>SUMIF(月間集計シート!$M$29:$M$48,$G1231,月間集計シート!R$29:R$48)*N$2</f>
        <v>0</v>
      </c>
      <c r="O1231" s="88">
        <f>SUMIF(月間集計シート!$M$29:$M$48,$G1231,月間集計シート!S$29:S$48)*O$2</f>
        <v>0</v>
      </c>
      <c r="P1231" s="88">
        <f>SUMIF(月間集計シート!$M$29:$M$48,$G1231,月間集計シート!T$29:T$48)*P$2</f>
        <v>0</v>
      </c>
      <c r="Q1231" s="88">
        <f>SUMIF(月間集計シート!$M$50:$M$69,$G1231,月間集計シート!N$50:N$69)*Q$2</f>
        <v>0</v>
      </c>
      <c r="R1231" s="88">
        <f>SUMIF(月間集計シート!$M$50:$M$69,$G1231,月間集計シート!O$50:O$69)*R$2</f>
        <v>0</v>
      </c>
      <c r="S1231" s="88">
        <f>SUMIF(月間集計シート!$M$50:$M$69,$G1231,月間集計シート!P$50:P$69)*S$2</f>
        <v>0</v>
      </c>
      <c r="T1231" s="88">
        <f>SUMIF(月間集計シート!$M$50:$M$69,$G1231,月間集計シート!Q$50:Q$69)*T$2</f>
        <v>0</v>
      </c>
      <c r="U1231" s="88">
        <f>SUMIF(月間集計シート!$M$50:$M$69,$G1231,月間集計シート!R$50:R$69)*U$2</f>
        <v>0</v>
      </c>
      <c r="V1231" s="88">
        <f>SUMIF(月間集計シート!$M$50:$M$69,$G1231,月間集計シート!S$50:S$69)*V$2</f>
        <v>0</v>
      </c>
      <c r="W1231" s="88">
        <f>SUMIF(月間集計シート!$M$50:$M$69,$G1231,月間集計シート!T$50:T$69)*W$2</f>
        <v>0</v>
      </c>
      <c r="X1231" s="88">
        <f>SUMIF(月間集計シート!$M$71:$M$90,$G1231,月間集計シート!N$71:N$90)*X$2</f>
        <v>0</v>
      </c>
      <c r="Y1231" s="88">
        <f>SUMIF(月間集計シート!$M$71:$M$90,$G1231,月間集計シート!O$71:O$90)*Y$2</f>
        <v>0</v>
      </c>
      <c r="Z1231" s="88">
        <f>SUMIF(月間集計シート!$M$71:$M$90,$G1231,月間集計シート!P$71:P$90)*Z$2</f>
        <v>0</v>
      </c>
      <c r="AA1231" s="88">
        <f>SUMIF(月間集計シート!$M$71:$M$90,$G1231,月間集計シート!Q$71:Q$90)*AA$2</f>
        <v>0</v>
      </c>
      <c r="AB1231" s="88">
        <f>SUMIF(月間集計シート!$M$71:$M$90,$G1231,月間集計シート!R$71:R$90)*AB$2</f>
        <v>0</v>
      </c>
      <c r="AC1231" s="88">
        <f>SUMIF(月間集計シート!$M$71:$M$90,$G1231,月間集計シート!S$71:S$90)*AC$2</f>
        <v>0</v>
      </c>
      <c r="AD1231" s="88">
        <f>SUMIF(月間集計シート!$M$71:$M$90,$G1231,月間集計シート!T$71:T$90)*AD$2</f>
        <v>0</v>
      </c>
      <c r="AE1231" s="88">
        <f>SUMIF(月間集計シート!$M$92:$M$111,$G1231,月間集計シート!N$92:N$111)*AE$2</f>
        <v>0</v>
      </c>
      <c r="AF1231" s="88">
        <f>SUMIF(月間集計シート!$M$92:$M$111,$G1231,月間集計シート!O$92:O$111)*AF$2</f>
        <v>0</v>
      </c>
      <c r="AG1231" s="88">
        <f>SUMIF(月間集計シート!$M$92:$M$111,$G1231,月間集計シート!P$92:P$111)*AG$2</f>
        <v>0</v>
      </c>
      <c r="AH1231" s="88">
        <f>SUMIF(月間集計シート!$M$92:$M$111,$G1231,月間集計シート!Q$92:Q$111)*AH$2</f>
        <v>0</v>
      </c>
      <c r="AI1231" s="88">
        <f>SUMIF(月間集計シート!$M$92:$M$111,$G1231,月間集計シート!R$92:R$111)*AI$2</f>
        <v>0</v>
      </c>
      <c r="AJ1231" s="88">
        <f>SUMIF(月間集計シート!$M$92:$M$111,$G1231,月間集計シート!S$92:S$111)*AJ$2</f>
        <v>0</v>
      </c>
      <c r="AK1231" s="88">
        <f>SUMIF(月間集計シート!$M$92:$M$111,$G1231,月間集計シート!T$92:T$111)*AK$2</f>
        <v>0</v>
      </c>
      <c r="AL1231" s="88">
        <f>SUMIF(月間集計シート!$M$113:$M$132,$G1231,月間集計シート!N$113:N$132)*AL$2</f>
        <v>0</v>
      </c>
      <c r="AM1231" s="88">
        <f>SUMIF(月間集計シート!$M$113:$M$132,$G1231,月間集計シート!O$113:O$132)*AM$2</f>
        <v>0</v>
      </c>
      <c r="AN1231" s="88">
        <f>SUMIF(月間集計シート!$M$113:$M$132,$G1231,月間集計シート!P$113:P$132)*AN$2</f>
        <v>0</v>
      </c>
      <c r="AO1231" s="88">
        <f>SUMIF(月間集計シート!$M$113:$M$132,$G1231,月間集計シート!Q$113:Q$132)*AO$2</f>
        <v>0</v>
      </c>
      <c r="AP1231" s="88">
        <f>SUMIF(月間集計シート!$M$113:$M$132,$G1231,月間集計シート!R$113:R$132)*AP$2</f>
        <v>0</v>
      </c>
      <c r="AQ1231" s="88">
        <f>SUMIF(月間集計シート!$M$113:$M$132,$G1231,月間集計シート!S$113:S$132)*AQ$2</f>
        <v>0</v>
      </c>
      <c r="AR1231" s="88">
        <f>SUMIF(月間集計シート!$M$113:$M$132,$G1231,月間集計シート!T$113:T$132)*AR$2</f>
        <v>0</v>
      </c>
      <c r="AS1231" s="88">
        <f>SUMIF(月間集計シート!$M$134:$M$153,$G1231,月間集計シート!N$134:N$153)*AS$2</f>
        <v>0</v>
      </c>
      <c r="AT1231" s="88">
        <f>SUMIF(月間集計シート!$M$134:$M$153,$G1231,月間集計シート!O$134:O$153)*AT$2</f>
        <v>0</v>
      </c>
      <c r="AU1231" s="88">
        <f>SUMIF(月間集計シート!$M$134:$M$153,$G1231,月間集計シート!P$134:P$153)*AU$2</f>
        <v>0</v>
      </c>
      <c r="AV1231" s="88">
        <f>SUMIF(月間集計シート!$M$134:$M$153,$G1231,月間集計シート!Q$134:Q$153)*AV$2</f>
        <v>0</v>
      </c>
      <c r="AW1231" s="88">
        <f>SUMIF(月間集計シート!$M$134:$M$153,$G1231,月間集計シート!R$134:R$153)*AW$2</f>
        <v>0</v>
      </c>
      <c r="AX1231" s="88">
        <f>SUMIF(月間集計シート!$M$134:$M$153,$G1231,月間集計シート!S$134:S$153)*AX$2</f>
        <v>0</v>
      </c>
      <c r="AY1231" s="88">
        <f>SUMIF(月間集計シート!$M$134:$M$153,$G1231,月間集計シート!T$134:T$153)*AY$2</f>
        <v>0</v>
      </c>
    </row>
    <row r="1232" spans="1:51" ht="14.25" thickBot="1">
      <c r="A1232">
        <v>15</v>
      </c>
      <c r="B1232" s="120">
        <f t="shared" si="676"/>
        <v>0</v>
      </c>
      <c r="C1232" s="120" t="str">
        <f t="shared" si="677"/>
        <v/>
      </c>
      <c r="D1232" s="137"/>
      <c r="E1232" s="150" t="str">
        <f>工種!A34</f>
        <v>40112</v>
      </c>
      <c r="F1232" s="119" t="str">
        <f>工種!B34</f>
        <v>テスト：再テスト（手戻り分）</v>
      </c>
      <c r="G1232" s="116" t="str">
        <f t="shared" si="678"/>
        <v>040112</v>
      </c>
      <c r="H1232" s="88">
        <f t="shared" si="675"/>
        <v>0</v>
      </c>
      <c r="I1232" s="132"/>
      <c r="J1232" s="88">
        <f>SUMIF(月間集計シート!$M$29:$M$48,$G1232,月間集計シート!N$29:N$48)*J$2</f>
        <v>0</v>
      </c>
      <c r="K1232" s="88">
        <f>SUMIF(月間集計シート!$M$29:$M$48,$G1232,月間集計シート!O$29:O$48)*K$2</f>
        <v>0</v>
      </c>
      <c r="L1232" s="88">
        <f>SUMIF(月間集計シート!$M$29:$M$48,$G1232,月間集計シート!P$29:P$48)*L$2</f>
        <v>0</v>
      </c>
      <c r="M1232" s="88">
        <f>SUMIF(月間集計シート!$M$29:$M$48,$G1232,月間集計シート!Q$29:Q$48)*M$2</f>
        <v>0</v>
      </c>
      <c r="N1232" s="88">
        <f>SUMIF(月間集計シート!$M$29:$M$48,$G1232,月間集計シート!R$29:R$48)*N$2</f>
        <v>0</v>
      </c>
      <c r="O1232" s="88">
        <f>SUMIF(月間集計シート!$M$29:$M$48,$G1232,月間集計シート!S$29:S$48)*O$2</f>
        <v>0</v>
      </c>
      <c r="P1232" s="88">
        <f>SUMIF(月間集計シート!$M$29:$M$48,$G1232,月間集計シート!T$29:T$48)*P$2</f>
        <v>0</v>
      </c>
      <c r="Q1232" s="88">
        <f>SUMIF(月間集計シート!$M$50:$M$69,$G1232,月間集計シート!N$50:N$69)*Q$2</f>
        <v>0</v>
      </c>
      <c r="R1232" s="88">
        <f>SUMIF(月間集計シート!$M$50:$M$69,$G1232,月間集計シート!O$50:O$69)*R$2</f>
        <v>0</v>
      </c>
      <c r="S1232" s="88">
        <f>SUMIF(月間集計シート!$M$50:$M$69,$G1232,月間集計シート!P$50:P$69)*S$2</f>
        <v>0</v>
      </c>
      <c r="T1232" s="88">
        <f>SUMIF(月間集計シート!$M$50:$M$69,$G1232,月間集計シート!Q$50:Q$69)*T$2</f>
        <v>0</v>
      </c>
      <c r="U1232" s="88">
        <f>SUMIF(月間集計シート!$M$50:$M$69,$G1232,月間集計シート!R$50:R$69)*U$2</f>
        <v>0</v>
      </c>
      <c r="V1232" s="88">
        <f>SUMIF(月間集計シート!$M$50:$M$69,$G1232,月間集計シート!S$50:S$69)*V$2</f>
        <v>0</v>
      </c>
      <c r="W1232" s="88">
        <f>SUMIF(月間集計シート!$M$50:$M$69,$G1232,月間集計シート!T$50:T$69)*W$2</f>
        <v>0</v>
      </c>
      <c r="X1232" s="88">
        <f>SUMIF(月間集計シート!$M$71:$M$90,$G1232,月間集計シート!N$71:N$90)*X$2</f>
        <v>0</v>
      </c>
      <c r="Y1232" s="88">
        <f>SUMIF(月間集計シート!$M$71:$M$90,$G1232,月間集計シート!O$71:O$90)*Y$2</f>
        <v>0</v>
      </c>
      <c r="Z1232" s="88">
        <f>SUMIF(月間集計シート!$M$71:$M$90,$G1232,月間集計シート!P$71:P$90)*Z$2</f>
        <v>0</v>
      </c>
      <c r="AA1232" s="88">
        <f>SUMIF(月間集計シート!$M$71:$M$90,$G1232,月間集計シート!Q$71:Q$90)*AA$2</f>
        <v>0</v>
      </c>
      <c r="AB1232" s="88">
        <f>SUMIF(月間集計シート!$M$71:$M$90,$G1232,月間集計シート!R$71:R$90)*AB$2</f>
        <v>0</v>
      </c>
      <c r="AC1232" s="88">
        <f>SUMIF(月間集計シート!$M$71:$M$90,$G1232,月間集計シート!S$71:S$90)*AC$2</f>
        <v>0</v>
      </c>
      <c r="AD1232" s="88">
        <f>SUMIF(月間集計シート!$M$71:$M$90,$G1232,月間集計シート!T$71:T$90)*AD$2</f>
        <v>0</v>
      </c>
      <c r="AE1232" s="88">
        <f>SUMIF(月間集計シート!$M$92:$M$111,$G1232,月間集計シート!N$92:N$111)*AE$2</f>
        <v>0</v>
      </c>
      <c r="AF1232" s="88">
        <f>SUMIF(月間集計シート!$M$92:$M$111,$G1232,月間集計シート!O$92:O$111)*AF$2</f>
        <v>0</v>
      </c>
      <c r="AG1232" s="88">
        <f>SUMIF(月間集計シート!$M$92:$M$111,$G1232,月間集計シート!P$92:P$111)*AG$2</f>
        <v>0</v>
      </c>
      <c r="AH1232" s="88">
        <f>SUMIF(月間集計シート!$M$92:$M$111,$G1232,月間集計シート!Q$92:Q$111)*AH$2</f>
        <v>0</v>
      </c>
      <c r="AI1232" s="88">
        <f>SUMIF(月間集計シート!$M$92:$M$111,$G1232,月間集計シート!R$92:R$111)*AI$2</f>
        <v>0</v>
      </c>
      <c r="AJ1232" s="88">
        <f>SUMIF(月間集計シート!$M$92:$M$111,$G1232,月間集計シート!S$92:S$111)*AJ$2</f>
        <v>0</v>
      </c>
      <c r="AK1232" s="88">
        <f>SUMIF(月間集計シート!$M$92:$M$111,$G1232,月間集計シート!T$92:T$111)*AK$2</f>
        <v>0</v>
      </c>
      <c r="AL1232" s="88">
        <f>SUMIF(月間集計シート!$M$113:$M$132,$G1232,月間集計シート!N$113:N$132)*AL$2</f>
        <v>0</v>
      </c>
      <c r="AM1232" s="88">
        <f>SUMIF(月間集計シート!$M$113:$M$132,$G1232,月間集計シート!O$113:O$132)*AM$2</f>
        <v>0</v>
      </c>
      <c r="AN1232" s="88">
        <f>SUMIF(月間集計シート!$M$113:$M$132,$G1232,月間集計シート!P$113:P$132)*AN$2</f>
        <v>0</v>
      </c>
      <c r="AO1232" s="88">
        <f>SUMIF(月間集計シート!$M$113:$M$132,$G1232,月間集計シート!Q$113:Q$132)*AO$2</f>
        <v>0</v>
      </c>
      <c r="AP1232" s="88">
        <f>SUMIF(月間集計シート!$M$113:$M$132,$G1232,月間集計シート!R$113:R$132)*AP$2</f>
        <v>0</v>
      </c>
      <c r="AQ1232" s="88">
        <f>SUMIF(月間集計シート!$M$113:$M$132,$G1232,月間集計シート!S$113:S$132)*AQ$2</f>
        <v>0</v>
      </c>
      <c r="AR1232" s="88">
        <f>SUMIF(月間集計シート!$M$113:$M$132,$G1232,月間集計シート!T$113:T$132)*AR$2</f>
        <v>0</v>
      </c>
      <c r="AS1232" s="88">
        <f>SUMIF(月間集計シート!$M$134:$M$153,$G1232,月間集計シート!N$134:N$153)*AS$2</f>
        <v>0</v>
      </c>
      <c r="AT1232" s="88">
        <f>SUMIF(月間集計シート!$M$134:$M$153,$G1232,月間集計シート!O$134:O$153)*AT$2</f>
        <v>0</v>
      </c>
      <c r="AU1232" s="88">
        <f>SUMIF(月間集計シート!$M$134:$M$153,$G1232,月間集計シート!P$134:P$153)*AU$2</f>
        <v>0</v>
      </c>
      <c r="AV1232" s="88">
        <f>SUMIF(月間集計シート!$M$134:$M$153,$G1232,月間集計シート!Q$134:Q$153)*AV$2</f>
        <v>0</v>
      </c>
      <c r="AW1232" s="88">
        <f>SUMIF(月間集計シート!$M$134:$M$153,$G1232,月間集計シート!R$134:R$153)*AW$2</f>
        <v>0</v>
      </c>
      <c r="AX1232" s="88">
        <f>SUMIF(月間集計シート!$M$134:$M$153,$G1232,月間集計シート!S$134:S$153)*AX$2</f>
        <v>0</v>
      </c>
      <c r="AY1232" s="88">
        <f>SUMIF(月間集計シート!$M$134:$M$153,$G1232,月間集計シート!T$134:T$153)*AY$2</f>
        <v>0</v>
      </c>
    </row>
    <row r="1233" spans="1:51" ht="14.25" thickBot="1">
      <c r="A1233">
        <v>15</v>
      </c>
      <c r="B1233" s="120">
        <f t="shared" si="676"/>
        <v>0</v>
      </c>
      <c r="C1233" s="120" t="str">
        <f t="shared" si="677"/>
        <v/>
      </c>
      <c r="D1233" s="137"/>
      <c r="E1233" s="150" t="str">
        <f>工種!A35</f>
        <v>40113</v>
      </c>
      <c r="F1233" s="119" t="str">
        <f>工種!B35</f>
        <v>テスト：QA対応</v>
      </c>
      <c r="G1233" s="116" t="str">
        <f t="shared" si="678"/>
        <v>040113</v>
      </c>
      <c r="H1233" s="88">
        <f t="shared" si="675"/>
        <v>0</v>
      </c>
      <c r="I1233" s="132"/>
      <c r="J1233" s="88">
        <f>SUMIF(月間集計シート!$M$29:$M$48,$G1233,月間集計シート!N$29:N$48)*J$2</f>
        <v>0</v>
      </c>
      <c r="K1233" s="88">
        <f>SUMIF(月間集計シート!$M$29:$M$48,$G1233,月間集計シート!O$29:O$48)*K$2</f>
        <v>0</v>
      </c>
      <c r="L1233" s="88">
        <f>SUMIF(月間集計シート!$M$29:$M$48,$G1233,月間集計シート!P$29:P$48)*L$2</f>
        <v>0</v>
      </c>
      <c r="M1233" s="88">
        <f>SUMIF(月間集計シート!$M$29:$M$48,$G1233,月間集計シート!Q$29:Q$48)*M$2</f>
        <v>0</v>
      </c>
      <c r="N1233" s="88">
        <f>SUMIF(月間集計シート!$M$29:$M$48,$G1233,月間集計シート!R$29:R$48)*N$2</f>
        <v>0</v>
      </c>
      <c r="O1233" s="88">
        <f>SUMIF(月間集計シート!$M$29:$M$48,$G1233,月間集計シート!S$29:S$48)*O$2</f>
        <v>0</v>
      </c>
      <c r="P1233" s="88">
        <f>SUMIF(月間集計シート!$M$29:$M$48,$G1233,月間集計シート!T$29:T$48)*P$2</f>
        <v>0</v>
      </c>
      <c r="Q1233" s="88">
        <f>SUMIF(月間集計シート!$M$50:$M$69,$G1233,月間集計シート!N$50:N$69)*Q$2</f>
        <v>0</v>
      </c>
      <c r="R1233" s="88">
        <f>SUMIF(月間集計シート!$M$50:$M$69,$G1233,月間集計シート!O$50:O$69)*R$2</f>
        <v>0</v>
      </c>
      <c r="S1233" s="88">
        <f>SUMIF(月間集計シート!$M$50:$M$69,$G1233,月間集計シート!P$50:P$69)*S$2</f>
        <v>0</v>
      </c>
      <c r="T1233" s="88">
        <f>SUMIF(月間集計シート!$M$50:$M$69,$G1233,月間集計シート!Q$50:Q$69)*T$2</f>
        <v>0</v>
      </c>
      <c r="U1233" s="88">
        <f>SUMIF(月間集計シート!$M$50:$M$69,$G1233,月間集計シート!R$50:R$69)*U$2</f>
        <v>0</v>
      </c>
      <c r="V1233" s="88">
        <f>SUMIF(月間集計シート!$M$50:$M$69,$G1233,月間集計シート!S$50:S$69)*V$2</f>
        <v>0</v>
      </c>
      <c r="W1233" s="88">
        <f>SUMIF(月間集計シート!$M$50:$M$69,$G1233,月間集計シート!T$50:T$69)*W$2</f>
        <v>0</v>
      </c>
      <c r="X1233" s="88">
        <f>SUMIF(月間集計シート!$M$71:$M$90,$G1233,月間集計シート!N$71:N$90)*X$2</f>
        <v>0</v>
      </c>
      <c r="Y1233" s="88">
        <f>SUMIF(月間集計シート!$M$71:$M$90,$G1233,月間集計シート!O$71:O$90)*Y$2</f>
        <v>0</v>
      </c>
      <c r="Z1233" s="88">
        <f>SUMIF(月間集計シート!$M$71:$M$90,$G1233,月間集計シート!P$71:P$90)*Z$2</f>
        <v>0</v>
      </c>
      <c r="AA1233" s="88">
        <f>SUMIF(月間集計シート!$M$71:$M$90,$G1233,月間集計シート!Q$71:Q$90)*AA$2</f>
        <v>0</v>
      </c>
      <c r="AB1233" s="88">
        <f>SUMIF(月間集計シート!$M$71:$M$90,$G1233,月間集計シート!R$71:R$90)*AB$2</f>
        <v>0</v>
      </c>
      <c r="AC1233" s="88">
        <f>SUMIF(月間集計シート!$M$71:$M$90,$G1233,月間集計シート!S$71:S$90)*AC$2</f>
        <v>0</v>
      </c>
      <c r="AD1233" s="88">
        <f>SUMIF(月間集計シート!$M$71:$M$90,$G1233,月間集計シート!T$71:T$90)*AD$2</f>
        <v>0</v>
      </c>
      <c r="AE1233" s="88">
        <f>SUMIF(月間集計シート!$M$92:$M$111,$G1233,月間集計シート!N$92:N$111)*AE$2</f>
        <v>0</v>
      </c>
      <c r="AF1233" s="88">
        <f>SUMIF(月間集計シート!$M$92:$M$111,$G1233,月間集計シート!O$92:O$111)*AF$2</f>
        <v>0</v>
      </c>
      <c r="AG1233" s="88">
        <f>SUMIF(月間集計シート!$M$92:$M$111,$G1233,月間集計シート!P$92:P$111)*AG$2</f>
        <v>0</v>
      </c>
      <c r="AH1233" s="88">
        <f>SUMIF(月間集計シート!$M$92:$M$111,$G1233,月間集計シート!Q$92:Q$111)*AH$2</f>
        <v>0</v>
      </c>
      <c r="AI1233" s="88">
        <f>SUMIF(月間集計シート!$M$92:$M$111,$G1233,月間集計シート!R$92:R$111)*AI$2</f>
        <v>0</v>
      </c>
      <c r="AJ1233" s="88">
        <f>SUMIF(月間集計シート!$M$92:$M$111,$G1233,月間集計シート!S$92:S$111)*AJ$2</f>
        <v>0</v>
      </c>
      <c r="AK1233" s="88">
        <f>SUMIF(月間集計シート!$M$92:$M$111,$G1233,月間集計シート!T$92:T$111)*AK$2</f>
        <v>0</v>
      </c>
      <c r="AL1233" s="88">
        <f>SUMIF(月間集計シート!$M$113:$M$132,$G1233,月間集計シート!N$113:N$132)*AL$2</f>
        <v>0</v>
      </c>
      <c r="AM1233" s="88">
        <f>SUMIF(月間集計シート!$M$113:$M$132,$G1233,月間集計シート!O$113:O$132)*AM$2</f>
        <v>0</v>
      </c>
      <c r="AN1233" s="88">
        <f>SUMIF(月間集計シート!$M$113:$M$132,$G1233,月間集計シート!P$113:P$132)*AN$2</f>
        <v>0</v>
      </c>
      <c r="AO1233" s="88">
        <f>SUMIF(月間集計シート!$M$113:$M$132,$G1233,月間集計シート!Q$113:Q$132)*AO$2</f>
        <v>0</v>
      </c>
      <c r="AP1233" s="88">
        <f>SUMIF(月間集計シート!$M$113:$M$132,$G1233,月間集計シート!R$113:R$132)*AP$2</f>
        <v>0</v>
      </c>
      <c r="AQ1233" s="88">
        <f>SUMIF(月間集計シート!$M$113:$M$132,$G1233,月間集計シート!S$113:S$132)*AQ$2</f>
        <v>0</v>
      </c>
      <c r="AR1233" s="88">
        <f>SUMIF(月間集計シート!$M$113:$M$132,$G1233,月間集計シート!T$113:T$132)*AR$2</f>
        <v>0</v>
      </c>
      <c r="AS1233" s="88">
        <f>SUMIF(月間集計シート!$M$134:$M$153,$G1233,月間集計シート!N$134:N$153)*AS$2</f>
        <v>0</v>
      </c>
      <c r="AT1233" s="88">
        <f>SUMIF(月間集計シート!$M$134:$M$153,$G1233,月間集計シート!O$134:O$153)*AT$2</f>
        <v>0</v>
      </c>
      <c r="AU1233" s="88">
        <f>SUMIF(月間集計シート!$M$134:$M$153,$G1233,月間集計シート!P$134:P$153)*AU$2</f>
        <v>0</v>
      </c>
      <c r="AV1233" s="88">
        <f>SUMIF(月間集計シート!$M$134:$M$153,$G1233,月間集計シート!Q$134:Q$153)*AV$2</f>
        <v>0</v>
      </c>
      <c r="AW1233" s="88">
        <f>SUMIF(月間集計シート!$M$134:$M$153,$G1233,月間集計シート!R$134:R$153)*AW$2</f>
        <v>0</v>
      </c>
      <c r="AX1233" s="88">
        <f>SUMIF(月間集計シート!$M$134:$M$153,$G1233,月間集計シート!S$134:S$153)*AX$2</f>
        <v>0</v>
      </c>
      <c r="AY1233" s="88">
        <f>SUMIF(月間集計シート!$M$134:$M$153,$G1233,月間集計シート!T$134:T$153)*AY$2</f>
        <v>0</v>
      </c>
    </row>
    <row r="1234" spans="1:51" ht="14.25" thickBot="1">
      <c r="A1234">
        <v>15</v>
      </c>
      <c r="B1234" s="120">
        <f t="shared" si="676"/>
        <v>0</v>
      </c>
      <c r="C1234" s="120" t="str">
        <f t="shared" si="677"/>
        <v/>
      </c>
      <c r="D1234" s="137"/>
      <c r="E1234" s="150" t="str">
        <f>工種!A36</f>
        <v>40189</v>
      </c>
      <c r="F1234" s="119" t="str">
        <f>工種!B36</f>
        <v>テスト：内部不具合分析</v>
      </c>
      <c r="G1234" s="116" t="str">
        <f t="shared" si="678"/>
        <v>040189</v>
      </c>
      <c r="H1234" s="88">
        <f t="shared" si="675"/>
        <v>0</v>
      </c>
      <c r="I1234" s="132"/>
      <c r="J1234" s="88">
        <f>SUMIF(月間集計シート!$M$29:$M$48,$G1234,月間集計シート!N$29:N$48)*J$2</f>
        <v>0</v>
      </c>
      <c r="K1234" s="88">
        <f>SUMIF(月間集計シート!$M$29:$M$48,$G1234,月間集計シート!O$29:O$48)*K$2</f>
        <v>0</v>
      </c>
      <c r="L1234" s="88">
        <f>SUMIF(月間集計シート!$M$29:$M$48,$G1234,月間集計シート!P$29:P$48)*L$2</f>
        <v>0</v>
      </c>
      <c r="M1234" s="88">
        <f>SUMIF(月間集計シート!$M$29:$M$48,$G1234,月間集計シート!Q$29:Q$48)*M$2</f>
        <v>0</v>
      </c>
      <c r="N1234" s="88">
        <f>SUMIF(月間集計シート!$M$29:$M$48,$G1234,月間集計シート!R$29:R$48)*N$2</f>
        <v>0</v>
      </c>
      <c r="O1234" s="88">
        <f>SUMIF(月間集計シート!$M$29:$M$48,$G1234,月間集計シート!S$29:S$48)*O$2</f>
        <v>0</v>
      </c>
      <c r="P1234" s="88">
        <f>SUMIF(月間集計シート!$M$29:$M$48,$G1234,月間集計シート!T$29:T$48)*P$2</f>
        <v>0</v>
      </c>
      <c r="Q1234" s="88">
        <f>SUMIF(月間集計シート!$M$50:$M$69,$G1234,月間集計シート!N$50:N$69)*Q$2</f>
        <v>0</v>
      </c>
      <c r="R1234" s="88">
        <f>SUMIF(月間集計シート!$M$50:$M$69,$G1234,月間集計シート!O$50:O$69)*R$2</f>
        <v>0</v>
      </c>
      <c r="S1234" s="88">
        <f>SUMIF(月間集計シート!$M$50:$M$69,$G1234,月間集計シート!P$50:P$69)*S$2</f>
        <v>0</v>
      </c>
      <c r="T1234" s="88">
        <f>SUMIF(月間集計シート!$M$50:$M$69,$G1234,月間集計シート!Q$50:Q$69)*T$2</f>
        <v>0</v>
      </c>
      <c r="U1234" s="88">
        <f>SUMIF(月間集計シート!$M$50:$M$69,$G1234,月間集計シート!R$50:R$69)*U$2</f>
        <v>0</v>
      </c>
      <c r="V1234" s="88">
        <f>SUMIF(月間集計シート!$M$50:$M$69,$G1234,月間集計シート!S$50:S$69)*V$2</f>
        <v>0</v>
      </c>
      <c r="W1234" s="88">
        <f>SUMIF(月間集計シート!$M$50:$M$69,$G1234,月間集計シート!T$50:T$69)*W$2</f>
        <v>0</v>
      </c>
      <c r="X1234" s="88">
        <f>SUMIF(月間集計シート!$M$71:$M$90,$G1234,月間集計シート!N$71:N$90)*X$2</f>
        <v>0</v>
      </c>
      <c r="Y1234" s="88">
        <f>SUMIF(月間集計シート!$M$71:$M$90,$G1234,月間集計シート!O$71:O$90)*Y$2</f>
        <v>0</v>
      </c>
      <c r="Z1234" s="88">
        <f>SUMIF(月間集計シート!$M$71:$M$90,$G1234,月間集計シート!P$71:P$90)*Z$2</f>
        <v>0</v>
      </c>
      <c r="AA1234" s="88">
        <f>SUMIF(月間集計シート!$M$71:$M$90,$G1234,月間集計シート!Q$71:Q$90)*AA$2</f>
        <v>0</v>
      </c>
      <c r="AB1234" s="88">
        <f>SUMIF(月間集計シート!$M$71:$M$90,$G1234,月間集計シート!R$71:R$90)*AB$2</f>
        <v>0</v>
      </c>
      <c r="AC1234" s="88">
        <f>SUMIF(月間集計シート!$M$71:$M$90,$G1234,月間集計シート!S$71:S$90)*AC$2</f>
        <v>0</v>
      </c>
      <c r="AD1234" s="88">
        <f>SUMIF(月間集計シート!$M$71:$M$90,$G1234,月間集計シート!T$71:T$90)*AD$2</f>
        <v>0</v>
      </c>
      <c r="AE1234" s="88">
        <f>SUMIF(月間集計シート!$M$92:$M$111,$G1234,月間集計シート!N$92:N$111)*AE$2</f>
        <v>0</v>
      </c>
      <c r="AF1234" s="88">
        <f>SUMIF(月間集計シート!$M$92:$M$111,$G1234,月間集計シート!O$92:O$111)*AF$2</f>
        <v>0</v>
      </c>
      <c r="AG1234" s="88">
        <f>SUMIF(月間集計シート!$M$92:$M$111,$G1234,月間集計シート!P$92:P$111)*AG$2</f>
        <v>0</v>
      </c>
      <c r="AH1234" s="88">
        <f>SUMIF(月間集計シート!$M$92:$M$111,$G1234,月間集計シート!Q$92:Q$111)*AH$2</f>
        <v>0</v>
      </c>
      <c r="AI1234" s="88">
        <f>SUMIF(月間集計シート!$M$92:$M$111,$G1234,月間集計シート!R$92:R$111)*AI$2</f>
        <v>0</v>
      </c>
      <c r="AJ1234" s="88">
        <f>SUMIF(月間集計シート!$M$92:$M$111,$G1234,月間集計シート!S$92:S$111)*AJ$2</f>
        <v>0</v>
      </c>
      <c r="AK1234" s="88">
        <f>SUMIF(月間集計シート!$M$92:$M$111,$G1234,月間集計シート!T$92:T$111)*AK$2</f>
        <v>0</v>
      </c>
      <c r="AL1234" s="88">
        <f>SUMIF(月間集計シート!$M$113:$M$132,$G1234,月間集計シート!N$113:N$132)*AL$2</f>
        <v>0</v>
      </c>
      <c r="AM1234" s="88">
        <f>SUMIF(月間集計シート!$M$113:$M$132,$G1234,月間集計シート!O$113:O$132)*AM$2</f>
        <v>0</v>
      </c>
      <c r="AN1234" s="88">
        <f>SUMIF(月間集計シート!$M$113:$M$132,$G1234,月間集計シート!P$113:P$132)*AN$2</f>
        <v>0</v>
      </c>
      <c r="AO1234" s="88">
        <f>SUMIF(月間集計シート!$M$113:$M$132,$G1234,月間集計シート!Q$113:Q$132)*AO$2</f>
        <v>0</v>
      </c>
      <c r="AP1234" s="88">
        <f>SUMIF(月間集計シート!$M$113:$M$132,$G1234,月間集計シート!R$113:R$132)*AP$2</f>
        <v>0</v>
      </c>
      <c r="AQ1234" s="88">
        <f>SUMIF(月間集計シート!$M$113:$M$132,$G1234,月間集計シート!S$113:S$132)*AQ$2</f>
        <v>0</v>
      </c>
      <c r="AR1234" s="88">
        <f>SUMIF(月間集計シート!$M$113:$M$132,$G1234,月間集計シート!T$113:T$132)*AR$2</f>
        <v>0</v>
      </c>
      <c r="AS1234" s="88">
        <f>SUMIF(月間集計シート!$M$134:$M$153,$G1234,月間集計シート!N$134:N$153)*AS$2</f>
        <v>0</v>
      </c>
      <c r="AT1234" s="88">
        <f>SUMIF(月間集計シート!$M$134:$M$153,$G1234,月間集計シート!O$134:O$153)*AT$2</f>
        <v>0</v>
      </c>
      <c r="AU1234" s="88">
        <f>SUMIF(月間集計シート!$M$134:$M$153,$G1234,月間集計シート!P$134:P$153)*AU$2</f>
        <v>0</v>
      </c>
      <c r="AV1234" s="88">
        <f>SUMIF(月間集計シート!$M$134:$M$153,$G1234,月間集計シート!Q$134:Q$153)*AV$2</f>
        <v>0</v>
      </c>
      <c r="AW1234" s="88">
        <f>SUMIF(月間集計シート!$M$134:$M$153,$G1234,月間集計シート!R$134:R$153)*AW$2</f>
        <v>0</v>
      </c>
      <c r="AX1234" s="88">
        <f>SUMIF(月間集計シート!$M$134:$M$153,$G1234,月間集計シート!S$134:S$153)*AX$2</f>
        <v>0</v>
      </c>
      <c r="AY1234" s="88">
        <f>SUMIF(月間集計シート!$M$134:$M$153,$G1234,月間集計シート!T$134:T$153)*AY$2</f>
        <v>0</v>
      </c>
    </row>
    <row r="1235" spans="1:51" ht="14.25" thickBot="1">
      <c r="A1235">
        <v>15</v>
      </c>
      <c r="B1235" s="120">
        <f t="shared" si="676"/>
        <v>0</v>
      </c>
      <c r="C1235" s="120" t="str">
        <f t="shared" si="677"/>
        <v/>
      </c>
      <c r="D1235" s="137"/>
      <c r="E1235" s="150" t="str">
        <f>工種!A37</f>
        <v>40199</v>
      </c>
      <c r="F1235" s="119" t="str">
        <f>工種!B37</f>
        <v>テスト：その他</v>
      </c>
      <c r="G1235" s="116" t="str">
        <f t="shared" si="678"/>
        <v>040199</v>
      </c>
      <c r="H1235" s="88">
        <f t="shared" si="675"/>
        <v>0</v>
      </c>
      <c r="I1235" s="132"/>
      <c r="J1235" s="88">
        <f>SUMIF(月間集計シート!$M$29:$M$48,$G1235,月間集計シート!N$29:N$48)*J$2</f>
        <v>0</v>
      </c>
      <c r="K1235" s="88">
        <f>SUMIF(月間集計シート!$M$29:$M$48,$G1235,月間集計シート!O$29:O$48)*K$2</f>
        <v>0</v>
      </c>
      <c r="L1235" s="88">
        <f>SUMIF(月間集計シート!$M$29:$M$48,$G1235,月間集計シート!P$29:P$48)*L$2</f>
        <v>0</v>
      </c>
      <c r="M1235" s="88">
        <f>SUMIF(月間集計シート!$M$29:$M$48,$G1235,月間集計シート!Q$29:Q$48)*M$2</f>
        <v>0</v>
      </c>
      <c r="N1235" s="88">
        <f>SUMIF(月間集計シート!$M$29:$M$48,$G1235,月間集計シート!R$29:R$48)*N$2</f>
        <v>0</v>
      </c>
      <c r="O1235" s="88">
        <f>SUMIF(月間集計シート!$M$29:$M$48,$G1235,月間集計シート!S$29:S$48)*O$2</f>
        <v>0</v>
      </c>
      <c r="P1235" s="88">
        <f>SUMIF(月間集計シート!$M$29:$M$48,$G1235,月間集計シート!T$29:T$48)*P$2</f>
        <v>0</v>
      </c>
      <c r="Q1235" s="88">
        <f>SUMIF(月間集計シート!$M$50:$M$69,$G1235,月間集計シート!N$50:N$69)*Q$2</f>
        <v>0</v>
      </c>
      <c r="R1235" s="88">
        <f>SUMIF(月間集計シート!$M$50:$M$69,$G1235,月間集計シート!O$50:O$69)*R$2</f>
        <v>0</v>
      </c>
      <c r="S1235" s="88">
        <f>SUMIF(月間集計シート!$M$50:$M$69,$G1235,月間集計シート!P$50:P$69)*S$2</f>
        <v>0</v>
      </c>
      <c r="T1235" s="88">
        <f>SUMIF(月間集計シート!$M$50:$M$69,$G1235,月間集計シート!Q$50:Q$69)*T$2</f>
        <v>0</v>
      </c>
      <c r="U1235" s="88">
        <f>SUMIF(月間集計シート!$M$50:$M$69,$G1235,月間集計シート!R$50:R$69)*U$2</f>
        <v>0</v>
      </c>
      <c r="V1235" s="88">
        <f>SUMIF(月間集計シート!$M$50:$M$69,$G1235,月間集計シート!S$50:S$69)*V$2</f>
        <v>0</v>
      </c>
      <c r="W1235" s="88">
        <f>SUMIF(月間集計シート!$M$50:$M$69,$G1235,月間集計シート!T$50:T$69)*W$2</f>
        <v>0</v>
      </c>
      <c r="X1235" s="88">
        <f>SUMIF(月間集計シート!$M$71:$M$90,$G1235,月間集計シート!N$71:N$90)*X$2</f>
        <v>0</v>
      </c>
      <c r="Y1235" s="88">
        <f>SUMIF(月間集計シート!$M$71:$M$90,$G1235,月間集計シート!O$71:O$90)*Y$2</f>
        <v>0</v>
      </c>
      <c r="Z1235" s="88">
        <f>SUMIF(月間集計シート!$M$71:$M$90,$G1235,月間集計シート!P$71:P$90)*Z$2</f>
        <v>0</v>
      </c>
      <c r="AA1235" s="88">
        <f>SUMIF(月間集計シート!$M$71:$M$90,$G1235,月間集計シート!Q$71:Q$90)*AA$2</f>
        <v>0</v>
      </c>
      <c r="AB1235" s="88">
        <f>SUMIF(月間集計シート!$M$71:$M$90,$G1235,月間集計シート!R$71:R$90)*AB$2</f>
        <v>0</v>
      </c>
      <c r="AC1235" s="88">
        <f>SUMIF(月間集計シート!$M$71:$M$90,$G1235,月間集計シート!S$71:S$90)*AC$2</f>
        <v>0</v>
      </c>
      <c r="AD1235" s="88">
        <f>SUMIF(月間集計シート!$M$71:$M$90,$G1235,月間集計シート!T$71:T$90)*AD$2</f>
        <v>0</v>
      </c>
      <c r="AE1235" s="88">
        <f>SUMIF(月間集計シート!$M$92:$M$111,$G1235,月間集計シート!N$92:N$111)*AE$2</f>
        <v>0</v>
      </c>
      <c r="AF1235" s="88">
        <f>SUMIF(月間集計シート!$M$92:$M$111,$G1235,月間集計シート!O$92:O$111)*AF$2</f>
        <v>0</v>
      </c>
      <c r="AG1235" s="88">
        <f>SUMIF(月間集計シート!$M$92:$M$111,$G1235,月間集計シート!P$92:P$111)*AG$2</f>
        <v>0</v>
      </c>
      <c r="AH1235" s="88">
        <f>SUMIF(月間集計シート!$M$92:$M$111,$G1235,月間集計シート!Q$92:Q$111)*AH$2</f>
        <v>0</v>
      </c>
      <c r="AI1235" s="88">
        <f>SUMIF(月間集計シート!$M$92:$M$111,$G1235,月間集計シート!R$92:R$111)*AI$2</f>
        <v>0</v>
      </c>
      <c r="AJ1235" s="88">
        <f>SUMIF(月間集計シート!$M$92:$M$111,$G1235,月間集計シート!S$92:S$111)*AJ$2</f>
        <v>0</v>
      </c>
      <c r="AK1235" s="88">
        <f>SUMIF(月間集計シート!$M$92:$M$111,$G1235,月間集計シート!T$92:T$111)*AK$2</f>
        <v>0</v>
      </c>
      <c r="AL1235" s="88">
        <f>SUMIF(月間集計シート!$M$113:$M$132,$G1235,月間集計シート!N$113:N$132)*AL$2</f>
        <v>0</v>
      </c>
      <c r="AM1235" s="88">
        <f>SUMIF(月間集計シート!$M$113:$M$132,$G1235,月間集計シート!O$113:O$132)*AM$2</f>
        <v>0</v>
      </c>
      <c r="AN1235" s="88">
        <f>SUMIF(月間集計シート!$M$113:$M$132,$G1235,月間集計シート!P$113:P$132)*AN$2</f>
        <v>0</v>
      </c>
      <c r="AO1235" s="88">
        <f>SUMIF(月間集計シート!$M$113:$M$132,$G1235,月間集計シート!Q$113:Q$132)*AO$2</f>
        <v>0</v>
      </c>
      <c r="AP1235" s="88">
        <f>SUMIF(月間集計シート!$M$113:$M$132,$G1235,月間集計シート!R$113:R$132)*AP$2</f>
        <v>0</v>
      </c>
      <c r="AQ1235" s="88">
        <f>SUMIF(月間集計シート!$M$113:$M$132,$G1235,月間集計シート!S$113:S$132)*AQ$2</f>
        <v>0</v>
      </c>
      <c r="AR1235" s="88">
        <f>SUMIF(月間集計シート!$M$113:$M$132,$G1235,月間集計シート!T$113:T$132)*AR$2</f>
        <v>0</v>
      </c>
      <c r="AS1235" s="88">
        <f>SUMIF(月間集計シート!$M$134:$M$153,$G1235,月間集計シート!N$134:N$153)*AS$2</f>
        <v>0</v>
      </c>
      <c r="AT1235" s="88">
        <f>SUMIF(月間集計シート!$M$134:$M$153,$G1235,月間集計シート!O$134:O$153)*AT$2</f>
        <v>0</v>
      </c>
      <c r="AU1235" s="88">
        <f>SUMIF(月間集計シート!$M$134:$M$153,$G1235,月間集計シート!P$134:P$153)*AU$2</f>
        <v>0</v>
      </c>
      <c r="AV1235" s="88">
        <f>SUMIF(月間集計シート!$M$134:$M$153,$G1235,月間集計シート!Q$134:Q$153)*AV$2</f>
        <v>0</v>
      </c>
      <c r="AW1235" s="88">
        <f>SUMIF(月間集計シート!$M$134:$M$153,$G1235,月間集計シート!R$134:R$153)*AW$2</f>
        <v>0</v>
      </c>
      <c r="AX1235" s="88">
        <f>SUMIF(月間集計シート!$M$134:$M$153,$G1235,月間集計シート!S$134:S$153)*AX$2</f>
        <v>0</v>
      </c>
      <c r="AY1235" s="88">
        <f>SUMIF(月間集計シート!$M$134:$M$153,$G1235,月間集計シート!T$134:T$153)*AY$2</f>
        <v>0</v>
      </c>
    </row>
    <row r="1236" spans="1:51" ht="14.25" thickBot="1">
      <c r="A1236">
        <v>15</v>
      </c>
      <c r="B1236" s="120">
        <f t="shared" si="676"/>
        <v>0</v>
      </c>
      <c r="C1236" s="120" t="str">
        <f t="shared" si="677"/>
        <v/>
      </c>
      <c r="D1236" s="137"/>
      <c r="E1236" s="150" t="str">
        <f>工種!A38</f>
        <v>50101</v>
      </c>
      <c r="F1236" s="119" t="str">
        <f>工種!B38</f>
        <v>ﾏﾆｭｱﾙ作成：原稿作成</v>
      </c>
      <c r="G1236" s="116" t="str">
        <f t="shared" si="678"/>
        <v>050101</v>
      </c>
      <c r="H1236" s="88">
        <f t="shared" si="675"/>
        <v>0</v>
      </c>
      <c r="I1236" s="132"/>
      <c r="J1236" s="88">
        <f>SUMIF(月間集計シート!$M$29:$M$48,$G1236,月間集計シート!N$29:N$48)*J$2</f>
        <v>0</v>
      </c>
      <c r="K1236" s="88">
        <f>SUMIF(月間集計シート!$M$29:$M$48,$G1236,月間集計シート!O$29:O$48)*K$2</f>
        <v>0</v>
      </c>
      <c r="L1236" s="88">
        <f>SUMIF(月間集計シート!$M$29:$M$48,$G1236,月間集計シート!P$29:P$48)*L$2</f>
        <v>0</v>
      </c>
      <c r="M1236" s="88">
        <f>SUMIF(月間集計シート!$M$29:$M$48,$G1236,月間集計シート!Q$29:Q$48)*M$2</f>
        <v>0</v>
      </c>
      <c r="N1236" s="88">
        <f>SUMIF(月間集計シート!$M$29:$M$48,$G1236,月間集計シート!R$29:R$48)*N$2</f>
        <v>0</v>
      </c>
      <c r="O1236" s="88">
        <f>SUMIF(月間集計シート!$M$29:$M$48,$G1236,月間集計シート!S$29:S$48)*O$2</f>
        <v>0</v>
      </c>
      <c r="P1236" s="88">
        <f>SUMIF(月間集計シート!$M$29:$M$48,$G1236,月間集計シート!T$29:T$48)*P$2</f>
        <v>0</v>
      </c>
      <c r="Q1236" s="88">
        <f>SUMIF(月間集計シート!$M$50:$M$69,$G1236,月間集計シート!N$50:N$69)*Q$2</f>
        <v>0</v>
      </c>
      <c r="R1236" s="88">
        <f>SUMIF(月間集計シート!$M$50:$M$69,$G1236,月間集計シート!O$50:O$69)*R$2</f>
        <v>0</v>
      </c>
      <c r="S1236" s="88">
        <f>SUMIF(月間集計シート!$M$50:$M$69,$G1236,月間集計シート!P$50:P$69)*S$2</f>
        <v>0</v>
      </c>
      <c r="T1236" s="88">
        <f>SUMIF(月間集計シート!$M$50:$M$69,$G1236,月間集計シート!Q$50:Q$69)*T$2</f>
        <v>0</v>
      </c>
      <c r="U1236" s="88">
        <f>SUMIF(月間集計シート!$M$50:$M$69,$G1236,月間集計シート!R$50:R$69)*U$2</f>
        <v>0</v>
      </c>
      <c r="V1236" s="88">
        <f>SUMIF(月間集計シート!$M$50:$M$69,$G1236,月間集計シート!S$50:S$69)*V$2</f>
        <v>0</v>
      </c>
      <c r="W1236" s="88">
        <f>SUMIF(月間集計シート!$M$50:$M$69,$G1236,月間集計シート!T$50:T$69)*W$2</f>
        <v>0</v>
      </c>
      <c r="X1236" s="88">
        <f>SUMIF(月間集計シート!$M$71:$M$90,$G1236,月間集計シート!N$71:N$90)*X$2</f>
        <v>0</v>
      </c>
      <c r="Y1236" s="88">
        <f>SUMIF(月間集計シート!$M$71:$M$90,$G1236,月間集計シート!O$71:O$90)*Y$2</f>
        <v>0</v>
      </c>
      <c r="Z1236" s="88">
        <f>SUMIF(月間集計シート!$M$71:$M$90,$G1236,月間集計シート!P$71:P$90)*Z$2</f>
        <v>0</v>
      </c>
      <c r="AA1236" s="88">
        <f>SUMIF(月間集計シート!$M$71:$M$90,$G1236,月間集計シート!Q$71:Q$90)*AA$2</f>
        <v>0</v>
      </c>
      <c r="AB1236" s="88">
        <f>SUMIF(月間集計シート!$M$71:$M$90,$G1236,月間集計シート!R$71:R$90)*AB$2</f>
        <v>0</v>
      </c>
      <c r="AC1236" s="88">
        <f>SUMIF(月間集計シート!$M$71:$M$90,$G1236,月間集計シート!S$71:S$90)*AC$2</f>
        <v>0</v>
      </c>
      <c r="AD1236" s="88">
        <f>SUMIF(月間集計シート!$M$71:$M$90,$G1236,月間集計シート!T$71:T$90)*AD$2</f>
        <v>0</v>
      </c>
      <c r="AE1236" s="88">
        <f>SUMIF(月間集計シート!$M$92:$M$111,$G1236,月間集計シート!N$92:N$111)*AE$2</f>
        <v>0</v>
      </c>
      <c r="AF1236" s="88">
        <f>SUMIF(月間集計シート!$M$92:$M$111,$G1236,月間集計シート!O$92:O$111)*AF$2</f>
        <v>0</v>
      </c>
      <c r="AG1236" s="88">
        <f>SUMIF(月間集計シート!$M$92:$M$111,$G1236,月間集計シート!P$92:P$111)*AG$2</f>
        <v>0</v>
      </c>
      <c r="AH1236" s="88">
        <f>SUMIF(月間集計シート!$M$92:$M$111,$G1236,月間集計シート!Q$92:Q$111)*AH$2</f>
        <v>0</v>
      </c>
      <c r="AI1236" s="88">
        <f>SUMIF(月間集計シート!$M$92:$M$111,$G1236,月間集計シート!R$92:R$111)*AI$2</f>
        <v>0</v>
      </c>
      <c r="AJ1236" s="88">
        <f>SUMIF(月間集計シート!$M$92:$M$111,$G1236,月間集計シート!S$92:S$111)*AJ$2</f>
        <v>0</v>
      </c>
      <c r="AK1236" s="88">
        <f>SUMIF(月間集計シート!$M$92:$M$111,$G1236,月間集計シート!T$92:T$111)*AK$2</f>
        <v>0</v>
      </c>
      <c r="AL1236" s="88">
        <f>SUMIF(月間集計シート!$M$113:$M$132,$G1236,月間集計シート!N$113:N$132)*AL$2</f>
        <v>0</v>
      </c>
      <c r="AM1236" s="88">
        <f>SUMIF(月間集計シート!$M$113:$M$132,$G1236,月間集計シート!O$113:O$132)*AM$2</f>
        <v>0</v>
      </c>
      <c r="AN1236" s="88">
        <f>SUMIF(月間集計シート!$M$113:$M$132,$G1236,月間集計シート!P$113:P$132)*AN$2</f>
        <v>0</v>
      </c>
      <c r="AO1236" s="88">
        <f>SUMIF(月間集計シート!$M$113:$M$132,$G1236,月間集計シート!Q$113:Q$132)*AO$2</f>
        <v>0</v>
      </c>
      <c r="AP1236" s="88">
        <f>SUMIF(月間集計シート!$M$113:$M$132,$G1236,月間集計シート!R$113:R$132)*AP$2</f>
        <v>0</v>
      </c>
      <c r="AQ1236" s="88">
        <f>SUMIF(月間集計シート!$M$113:$M$132,$G1236,月間集計シート!S$113:S$132)*AQ$2</f>
        <v>0</v>
      </c>
      <c r="AR1236" s="88">
        <f>SUMIF(月間集計シート!$M$113:$M$132,$G1236,月間集計シート!T$113:T$132)*AR$2</f>
        <v>0</v>
      </c>
      <c r="AS1236" s="88">
        <f>SUMIF(月間集計シート!$M$134:$M$153,$G1236,月間集計シート!N$134:N$153)*AS$2</f>
        <v>0</v>
      </c>
      <c r="AT1236" s="88">
        <f>SUMIF(月間集計シート!$M$134:$M$153,$G1236,月間集計シート!O$134:O$153)*AT$2</f>
        <v>0</v>
      </c>
      <c r="AU1236" s="88">
        <f>SUMIF(月間集計シート!$M$134:$M$153,$G1236,月間集計シート!P$134:P$153)*AU$2</f>
        <v>0</v>
      </c>
      <c r="AV1236" s="88">
        <f>SUMIF(月間集計シート!$M$134:$M$153,$G1236,月間集計シート!Q$134:Q$153)*AV$2</f>
        <v>0</v>
      </c>
      <c r="AW1236" s="88">
        <f>SUMIF(月間集計シート!$M$134:$M$153,$G1236,月間集計シート!R$134:R$153)*AW$2</f>
        <v>0</v>
      </c>
      <c r="AX1236" s="88">
        <f>SUMIF(月間集計シート!$M$134:$M$153,$G1236,月間集計シート!S$134:S$153)*AX$2</f>
        <v>0</v>
      </c>
      <c r="AY1236" s="88">
        <f>SUMIF(月間集計シート!$M$134:$M$153,$G1236,月間集計シート!T$134:T$153)*AY$2</f>
        <v>0</v>
      </c>
    </row>
    <row r="1237" spans="1:51" ht="14.25" thickBot="1">
      <c r="A1237">
        <v>15</v>
      </c>
      <c r="B1237" s="120">
        <f t="shared" si="676"/>
        <v>0</v>
      </c>
      <c r="C1237" s="120" t="str">
        <f t="shared" si="677"/>
        <v/>
      </c>
      <c r="D1237" s="137"/>
      <c r="E1237" s="150" t="str">
        <f>工種!A39</f>
        <v>50105</v>
      </c>
      <c r="F1237" s="119" t="str">
        <f>工種!B39</f>
        <v>ﾏﾆｭｱﾙ作成：打合せ</v>
      </c>
      <c r="G1237" s="116" t="str">
        <f t="shared" si="678"/>
        <v>050105</v>
      </c>
      <c r="H1237" s="88">
        <f t="shared" si="675"/>
        <v>0</v>
      </c>
      <c r="I1237" s="132"/>
      <c r="J1237" s="88">
        <f>SUMIF(月間集計シート!$M$29:$M$48,$G1237,月間集計シート!N$29:N$48)*J$2</f>
        <v>0</v>
      </c>
      <c r="K1237" s="88">
        <f>SUMIF(月間集計シート!$M$29:$M$48,$G1237,月間集計シート!O$29:O$48)*K$2</f>
        <v>0</v>
      </c>
      <c r="L1237" s="88">
        <f>SUMIF(月間集計シート!$M$29:$M$48,$G1237,月間集計シート!P$29:P$48)*L$2</f>
        <v>0</v>
      </c>
      <c r="M1237" s="88">
        <f>SUMIF(月間集計シート!$M$29:$M$48,$G1237,月間集計シート!Q$29:Q$48)*M$2</f>
        <v>0</v>
      </c>
      <c r="N1237" s="88">
        <f>SUMIF(月間集計シート!$M$29:$M$48,$G1237,月間集計シート!R$29:R$48)*N$2</f>
        <v>0</v>
      </c>
      <c r="O1237" s="88">
        <f>SUMIF(月間集計シート!$M$29:$M$48,$G1237,月間集計シート!S$29:S$48)*O$2</f>
        <v>0</v>
      </c>
      <c r="P1237" s="88">
        <f>SUMIF(月間集計シート!$M$29:$M$48,$G1237,月間集計シート!T$29:T$48)*P$2</f>
        <v>0</v>
      </c>
      <c r="Q1237" s="88">
        <f>SUMIF(月間集計シート!$M$50:$M$69,$G1237,月間集計シート!N$50:N$69)*Q$2</f>
        <v>0</v>
      </c>
      <c r="R1237" s="88">
        <f>SUMIF(月間集計シート!$M$50:$M$69,$G1237,月間集計シート!O$50:O$69)*R$2</f>
        <v>0</v>
      </c>
      <c r="S1237" s="88">
        <f>SUMIF(月間集計シート!$M$50:$M$69,$G1237,月間集計シート!P$50:P$69)*S$2</f>
        <v>0</v>
      </c>
      <c r="T1237" s="88">
        <f>SUMIF(月間集計シート!$M$50:$M$69,$G1237,月間集計シート!Q$50:Q$69)*T$2</f>
        <v>0</v>
      </c>
      <c r="U1237" s="88">
        <f>SUMIF(月間集計シート!$M$50:$M$69,$G1237,月間集計シート!R$50:R$69)*U$2</f>
        <v>0</v>
      </c>
      <c r="V1237" s="88">
        <f>SUMIF(月間集計シート!$M$50:$M$69,$G1237,月間集計シート!S$50:S$69)*V$2</f>
        <v>0</v>
      </c>
      <c r="W1237" s="88">
        <f>SUMIF(月間集計シート!$M$50:$M$69,$G1237,月間集計シート!T$50:T$69)*W$2</f>
        <v>0</v>
      </c>
      <c r="X1237" s="88">
        <f>SUMIF(月間集計シート!$M$71:$M$90,$G1237,月間集計シート!N$71:N$90)*X$2</f>
        <v>0</v>
      </c>
      <c r="Y1237" s="88">
        <f>SUMIF(月間集計シート!$M$71:$M$90,$G1237,月間集計シート!O$71:O$90)*Y$2</f>
        <v>0</v>
      </c>
      <c r="Z1237" s="88">
        <f>SUMIF(月間集計シート!$M$71:$M$90,$G1237,月間集計シート!P$71:P$90)*Z$2</f>
        <v>0</v>
      </c>
      <c r="AA1237" s="88">
        <f>SUMIF(月間集計シート!$M$71:$M$90,$G1237,月間集計シート!Q$71:Q$90)*AA$2</f>
        <v>0</v>
      </c>
      <c r="AB1237" s="88">
        <f>SUMIF(月間集計シート!$M$71:$M$90,$G1237,月間集計シート!R$71:R$90)*AB$2</f>
        <v>0</v>
      </c>
      <c r="AC1237" s="88">
        <f>SUMIF(月間集計シート!$M$71:$M$90,$G1237,月間集計シート!S$71:S$90)*AC$2</f>
        <v>0</v>
      </c>
      <c r="AD1237" s="88">
        <f>SUMIF(月間集計シート!$M$71:$M$90,$G1237,月間集計シート!T$71:T$90)*AD$2</f>
        <v>0</v>
      </c>
      <c r="AE1237" s="88">
        <f>SUMIF(月間集計シート!$M$92:$M$111,$G1237,月間集計シート!N$92:N$111)*AE$2</f>
        <v>0</v>
      </c>
      <c r="AF1237" s="88">
        <f>SUMIF(月間集計シート!$M$92:$M$111,$G1237,月間集計シート!O$92:O$111)*AF$2</f>
        <v>0</v>
      </c>
      <c r="AG1237" s="88">
        <f>SUMIF(月間集計シート!$M$92:$M$111,$G1237,月間集計シート!P$92:P$111)*AG$2</f>
        <v>0</v>
      </c>
      <c r="AH1237" s="88">
        <f>SUMIF(月間集計シート!$M$92:$M$111,$G1237,月間集計シート!Q$92:Q$111)*AH$2</f>
        <v>0</v>
      </c>
      <c r="AI1237" s="88">
        <f>SUMIF(月間集計シート!$M$92:$M$111,$G1237,月間集計シート!R$92:R$111)*AI$2</f>
        <v>0</v>
      </c>
      <c r="AJ1237" s="88">
        <f>SUMIF(月間集計シート!$M$92:$M$111,$G1237,月間集計シート!S$92:S$111)*AJ$2</f>
        <v>0</v>
      </c>
      <c r="AK1237" s="88">
        <f>SUMIF(月間集計シート!$M$92:$M$111,$G1237,月間集計シート!T$92:T$111)*AK$2</f>
        <v>0</v>
      </c>
      <c r="AL1237" s="88">
        <f>SUMIF(月間集計シート!$M$113:$M$132,$G1237,月間集計シート!N$113:N$132)*AL$2</f>
        <v>0</v>
      </c>
      <c r="AM1237" s="88">
        <f>SUMIF(月間集計シート!$M$113:$M$132,$G1237,月間集計シート!O$113:O$132)*AM$2</f>
        <v>0</v>
      </c>
      <c r="AN1237" s="88">
        <f>SUMIF(月間集計シート!$M$113:$M$132,$G1237,月間集計シート!P$113:P$132)*AN$2</f>
        <v>0</v>
      </c>
      <c r="AO1237" s="88">
        <f>SUMIF(月間集計シート!$M$113:$M$132,$G1237,月間集計シート!Q$113:Q$132)*AO$2</f>
        <v>0</v>
      </c>
      <c r="AP1237" s="88">
        <f>SUMIF(月間集計シート!$M$113:$M$132,$G1237,月間集計シート!R$113:R$132)*AP$2</f>
        <v>0</v>
      </c>
      <c r="AQ1237" s="88">
        <f>SUMIF(月間集計シート!$M$113:$M$132,$G1237,月間集計シート!S$113:S$132)*AQ$2</f>
        <v>0</v>
      </c>
      <c r="AR1237" s="88">
        <f>SUMIF(月間集計シート!$M$113:$M$132,$G1237,月間集計シート!T$113:T$132)*AR$2</f>
        <v>0</v>
      </c>
      <c r="AS1237" s="88">
        <f>SUMIF(月間集計シート!$M$134:$M$153,$G1237,月間集計シート!N$134:N$153)*AS$2</f>
        <v>0</v>
      </c>
      <c r="AT1237" s="88">
        <f>SUMIF(月間集計シート!$M$134:$M$153,$G1237,月間集計シート!O$134:O$153)*AT$2</f>
        <v>0</v>
      </c>
      <c r="AU1237" s="88">
        <f>SUMIF(月間集計シート!$M$134:$M$153,$G1237,月間集計シート!P$134:P$153)*AU$2</f>
        <v>0</v>
      </c>
      <c r="AV1237" s="88">
        <f>SUMIF(月間集計シート!$M$134:$M$153,$G1237,月間集計シート!Q$134:Q$153)*AV$2</f>
        <v>0</v>
      </c>
      <c r="AW1237" s="88">
        <f>SUMIF(月間集計シート!$M$134:$M$153,$G1237,月間集計シート!R$134:R$153)*AW$2</f>
        <v>0</v>
      </c>
      <c r="AX1237" s="88">
        <f>SUMIF(月間集計シート!$M$134:$M$153,$G1237,月間集計シート!S$134:S$153)*AX$2</f>
        <v>0</v>
      </c>
      <c r="AY1237" s="88">
        <f>SUMIF(月間集計シート!$M$134:$M$153,$G1237,月間集計シート!T$134:T$153)*AY$2</f>
        <v>0</v>
      </c>
    </row>
    <row r="1238" spans="1:51" ht="14.25" thickBot="1">
      <c r="A1238">
        <v>15</v>
      </c>
      <c r="B1238" s="120">
        <f t="shared" si="676"/>
        <v>0</v>
      </c>
      <c r="C1238" s="120" t="str">
        <f t="shared" si="677"/>
        <v/>
      </c>
      <c r="D1238" s="137"/>
      <c r="E1238" s="150" t="str">
        <f>工種!A40</f>
        <v>50106</v>
      </c>
      <c r="F1238" s="119" t="str">
        <f>工種!B40</f>
        <v>ﾏﾆｭｱﾙ作成：ﾚﾋﾞｭｰ</v>
      </c>
      <c r="G1238" s="116" t="str">
        <f t="shared" si="678"/>
        <v>050106</v>
      </c>
      <c r="H1238" s="88">
        <f t="shared" si="675"/>
        <v>0</v>
      </c>
      <c r="I1238" s="132"/>
      <c r="J1238" s="88">
        <f>SUMIF(月間集計シート!$M$29:$M$48,$G1238,月間集計シート!N$29:N$48)*J$2</f>
        <v>0</v>
      </c>
      <c r="K1238" s="88">
        <f>SUMIF(月間集計シート!$M$29:$M$48,$G1238,月間集計シート!O$29:O$48)*K$2</f>
        <v>0</v>
      </c>
      <c r="L1238" s="88">
        <f>SUMIF(月間集計シート!$M$29:$M$48,$G1238,月間集計シート!P$29:P$48)*L$2</f>
        <v>0</v>
      </c>
      <c r="M1238" s="88">
        <f>SUMIF(月間集計シート!$M$29:$M$48,$G1238,月間集計シート!Q$29:Q$48)*M$2</f>
        <v>0</v>
      </c>
      <c r="N1238" s="88">
        <f>SUMIF(月間集計シート!$M$29:$M$48,$G1238,月間集計シート!R$29:R$48)*N$2</f>
        <v>0</v>
      </c>
      <c r="O1238" s="88">
        <f>SUMIF(月間集計シート!$M$29:$M$48,$G1238,月間集計シート!S$29:S$48)*O$2</f>
        <v>0</v>
      </c>
      <c r="P1238" s="88">
        <f>SUMIF(月間集計シート!$M$29:$M$48,$G1238,月間集計シート!T$29:T$48)*P$2</f>
        <v>0</v>
      </c>
      <c r="Q1238" s="88">
        <f>SUMIF(月間集計シート!$M$50:$M$69,$G1238,月間集計シート!N$50:N$69)*Q$2</f>
        <v>0</v>
      </c>
      <c r="R1238" s="88">
        <f>SUMIF(月間集計シート!$M$50:$M$69,$G1238,月間集計シート!O$50:O$69)*R$2</f>
        <v>0</v>
      </c>
      <c r="S1238" s="88">
        <f>SUMIF(月間集計シート!$M$50:$M$69,$G1238,月間集計シート!P$50:P$69)*S$2</f>
        <v>0</v>
      </c>
      <c r="T1238" s="88">
        <f>SUMIF(月間集計シート!$M$50:$M$69,$G1238,月間集計シート!Q$50:Q$69)*T$2</f>
        <v>0</v>
      </c>
      <c r="U1238" s="88">
        <f>SUMIF(月間集計シート!$M$50:$M$69,$G1238,月間集計シート!R$50:R$69)*U$2</f>
        <v>0</v>
      </c>
      <c r="V1238" s="88">
        <f>SUMIF(月間集計シート!$M$50:$M$69,$G1238,月間集計シート!S$50:S$69)*V$2</f>
        <v>0</v>
      </c>
      <c r="W1238" s="88">
        <f>SUMIF(月間集計シート!$M$50:$M$69,$G1238,月間集計シート!T$50:T$69)*W$2</f>
        <v>0</v>
      </c>
      <c r="X1238" s="88">
        <f>SUMIF(月間集計シート!$M$71:$M$90,$G1238,月間集計シート!N$71:N$90)*X$2</f>
        <v>0</v>
      </c>
      <c r="Y1238" s="88">
        <f>SUMIF(月間集計シート!$M$71:$M$90,$G1238,月間集計シート!O$71:O$90)*Y$2</f>
        <v>0</v>
      </c>
      <c r="Z1238" s="88">
        <f>SUMIF(月間集計シート!$M$71:$M$90,$G1238,月間集計シート!P$71:P$90)*Z$2</f>
        <v>0</v>
      </c>
      <c r="AA1238" s="88">
        <f>SUMIF(月間集計シート!$M$71:$M$90,$G1238,月間集計シート!Q$71:Q$90)*AA$2</f>
        <v>0</v>
      </c>
      <c r="AB1238" s="88">
        <f>SUMIF(月間集計シート!$M$71:$M$90,$G1238,月間集計シート!R$71:R$90)*AB$2</f>
        <v>0</v>
      </c>
      <c r="AC1238" s="88">
        <f>SUMIF(月間集計シート!$M$71:$M$90,$G1238,月間集計シート!S$71:S$90)*AC$2</f>
        <v>0</v>
      </c>
      <c r="AD1238" s="88">
        <f>SUMIF(月間集計シート!$M$71:$M$90,$G1238,月間集計シート!T$71:T$90)*AD$2</f>
        <v>0</v>
      </c>
      <c r="AE1238" s="88">
        <f>SUMIF(月間集計シート!$M$92:$M$111,$G1238,月間集計シート!N$92:N$111)*AE$2</f>
        <v>0</v>
      </c>
      <c r="AF1238" s="88">
        <f>SUMIF(月間集計シート!$M$92:$M$111,$G1238,月間集計シート!O$92:O$111)*AF$2</f>
        <v>0</v>
      </c>
      <c r="AG1238" s="88">
        <f>SUMIF(月間集計シート!$M$92:$M$111,$G1238,月間集計シート!P$92:P$111)*AG$2</f>
        <v>0</v>
      </c>
      <c r="AH1238" s="88">
        <f>SUMIF(月間集計シート!$M$92:$M$111,$G1238,月間集計シート!Q$92:Q$111)*AH$2</f>
        <v>0</v>
      </c>
      <c r="AI1238" s="88">
        <f>SUMIF(月間集計シート!$M$92:$M$111,$G1238,月間集計シート!R$92:R$111)*AI$2</f>
        <v>0</v>
      </c>
      <c r="AJ1238" s="88">
        <f>SUMIF(月間集計シート!$M$92:$M$111,$G1238,月間集計シート!S$92:S$111)*AJ$2</f>
        <v>0</v>
      </c>
      <c r="AK1238" s="88">
        <f>SUMIF(月間集計シート!$M$92:$M$111,$G1238,月間集計シート!T$92:T$111)*AK$2</f>
        <v>0</v>
      </c>
      <c r="AL1238" s="88">
        <f>SUMIF(月間集計シート!$M$113:$M$132,$G1238,月間集計シート!N$113:N$132)*AL$2</f>
        <v>0</v>
      </c>
      <c r="AM1238" s="88">
        <f>SUMIF(月間集計シート!$M$113:$M$132,$G1238,月間集計シート!O$113:O$132)*AM$2</f>
        <v>0</v>
      </c>
      <c r="AN1238" s="88">
        <f>SUMIF(月間集計シート!$M$113:$M$132,$G1238,月間集計シート!P$113:P$132)*AN$2</f>
        <v>0</v>
      </c>
      <c r="AO1238" s="88">
        <f>SUMIF(月間集計シート!$M$113:$M$132,$G1238,月間集計シート!Q$113:Q$132)*AO$2</f>
        <v>0</v>
      </c>
      <c r="AP1238" s="88">
        <f>SUMIF(月間集計シート!$M$113:$M$132,$G1238,月間集計シート!R$113:R$132)*AP$2</f>
        <v>0</v>
      </c>
      <c r="AQ1238" s="88">
        <f>SUMIF(月間集計シート!$M$113:$M$132,$G1238,月間集計シート!S$113:S$132)*AQ$2</f>
        <v>0</v>
      </c>
      <c r="AR1238" s="88">
        <f>SUMIF(月間集計シート!$M$113:$M$132,$G1238,月間集計シート!T$113:T$132)*AR$2</f>
        <v>0</v>
      </c>
      <c r="AS1238" s="88">
        <f>SUMIF(月間集計シート!$M$134:$M$153,$G1238,月間集計シート!N$134:N$153)*AS$2</f>
        <v>0</v>
      </c>
      <c r="AT1238" s="88">
        <f>SUMIF(月間集計シート!$M$134:$M$153,$G1238,月間集計シート!O$134:O$153)*AT$2</f>
        <v>0</v>
      </c>
      <c r="AU1238" s="88">
        <f>SUMIF(月間集計シート!$M$134:$M$153,$G1238,月間集計シート!P$134:P$153)*AU$2</f>
        <v>0</v>
      </c>
      <c r="AV1238" s="88">
        <f>SUMIF(月間集計シート!$M$134:$M$153,$G1238,月間集計シート!Q$134:Q$153)*AV$2</f>
        <v>0</v>
      </c>
      <c r="AW1238" s="88">
        <f>SUMIF(月間集計シート!$M$134:$M$153,$G1238,月間集計シート!R$134:R$153)*AW$2</f>
        <v>0</v>
      </c>
      <c r="AX1238" s="88">
        <f>SUMIF(月間集計シート!$M$134:$M$153,$G1238,月間集計シート!S$134:S$153)*AX$2</f>
        <v>0</v>
      </c>
      <c r="AY1238" s="88">
        <f>SUMIF(月間集計シート!$M$134:$M$153,$G1238,月間集計シート!T$134:T$153)*AY$2</f>
        <v>0</v>
      </c>
    </row>
    <row r="1239" spans="1:51" ht="14.25" thickBot="1">
      <c r="A1239">
        <v>15</v>
      </c>
      <c r="B1239" s="120">
        <f t="shared" si="676"/>
        <v>0</v>
      </c>
      <c r="C1239" s="120" t="str">
        <f t="shared" si="677"/>
        <v/>
      </c>
      <c r="D1239" s="137"/>
      <c r="E1239" s="150" t="str">
        <f>工種!A41</f>
        <v>50199</v>
      </c>
      <c r="F1239" s="119" t="str">
        <f>工種!B41</f>
        <v>ﾏﾆｭｱﾙ作成：その他</v>
      </c>
      <c r="G1239" s="116" t="str">
        <f t="shared" si="678"/>
        <v>050199</v>
      </c>
      <c r="H1239" s="88">
        <f t="shared" si="675"/>
        <v>0</v>
      </c>
      <c r="I1239" s="132"/>
      <c r="J1239" s="88">
        <f>SUMIF(月間集計シート!$M$29:$M$48,$G1239,月間集計シート!N$29:N$48)*J$2</f>
        <v>0</v>
      </c>
      <c r="K1239" s="88">
        <f>SUMIF(月間集計シート!$M$29:$M$48,$G1239,月間集計シート!O$29:O$48)*K$2</f>
        <v>0</v>
      </c>
      <c r="L1239" s="88">
        <f>SUMIF(月間集計シート!$M$29:$M$48,$G1239,月間集計シート!P$29:P$48)*L$2</f>
        <v>0</v>
      </c>
      <c r="M1239" s="88">
        <f>SUMIF(月間集計シート!$M$29:$M$48,$G1239,月間集計シート!Q$29:Q$48)*M$2</f>
        <v>0</v>
      </c>
      <c r="N1239" s="88">
        <f>SUMIF(月間集計シート!$M$29:$M$48,$G1239,月間集計シート!R$29:R$48)*N$2</f>
        <v>0</v>
      </c>
      <c r="O1239" s="88">
        <f>SUMIF(月間集計シート!$M$29:$M$48,$G1239,月間集計シート!S$29:S$48)*O$2</f>
        <v>0</v>
      </c>
      <c r="P1239" s="88">
        <f>SUMIF(月間集計シート!$M$29:$M$48,$G1239,月間集計シート!T$29:T$48)*P$2</f>
        <v>0</v>
      </c>
      <c r="Q1239" s="88">
        <f>SUMIF(月間集計シート!$M$50:$M$69,$G1239,月間集計シート!N$50:N$69)*Q$2</f>
        <v>0</v>
      </c>
      <c r="R1239" s="88">
        <f>SUMIF(月間集計シート!$M$50:$M$69,$G1239,月間集計シート!O$50:O$69)*R$2</f>
        <v>0</v>
      </c>
      <c r="S1239" s="88">
        <f>SUMIF(月間集計シート!$M$50:$M$69,$G1239,月間集計シート!P$50:P$69)*S$2</f>
        <v>0</v>
      </c>
      <c r="T1239" s="88">
        <f>SUMIF(月間集計シート!$M$50:$M$69,$G1239,月間集計シート!Q$50:Q$69)*T$2</f>
        <v>0</v>
      </c>
      <c r="U1239" s="88">
        <f>SUMIF(月間集計シート!$M$50:$M$69,$G1239,月間集計シート!R$50:R$69)*U$2</f>
        <v>0</v>
      </c>
      <c r="V1239" s="88">
        <f>SUMIF(月間集計シート!$M$50:$M$69,$G1239,月間集計シート!S$50:S$69)*V$2</f>
        <v>0</v>
      </c>
      <c r="W1239" s="88">
        <f>SUMIF(月間集計シート!$M$50:$M$69,$G1239,月間集計シート!T$50:T$69)*W$2</f>
        <v>0</v>
      </c>
      <c r="X1239" s="88">
        <f>SUMIF(月間集計シート!$M$71:$M$90,$G1239,月間集計シート!N$71:N$90)*X$2</f>
        <v>0</v>
      </c>
      <c r="Y1239" s="88">
        <f>SUMIF(月間集計シート!$M$71:$M$90,$G1239,月間集計シート!O$71:O$90)*Y$2</f>
        <v>0</v>
      </c>
      <c r="Z1239" s="88">
        <f>SUMIF(月間集計シート!$M$71:$M$90,$G1239,月間集計シート!P$71:P$90)*Z$2</f>
        <v>0</v>
      </c>
      <c r="AA1239" s="88">
        <f>SUMIF(月間集計シート!$M$71:$M$90,$G1239,月間集計シート!Q$71:Q$90)*AA$2</f>
        <v>0</v>
      </c>
      <c r="AB1239" s="88">
        <f>SUMIF(月間集計シート!$M$71:$M$90,$G1239,月間集計シート!R$71:R$90)*AB$2</f>
        <v>0</v>
      </c>
      <c r="AC1239" s="88">
        <f>SUMIF(月間集計シート!$M$71:$M$90,$G1239,月間集計シート!S$71:S$90)*AC$2</f>
        <v>0</v>
      </c>
      <c r="AD1239" s="88">
        <f>SUMIF(月間集計シート!$M$71:$M$90,$G1239,月間集計シート!T$71:T$90)*AD$2</f>
        <v>0</v>
      </c>
      <c r="AE1239" s="88">
        <f>SUMIF(月間集計シート!$M$92:$M$111,$G1239,月間集計シート!N$92:N$111)*AE$2</f>
        <v>0</v>
      </c>
      <c r="AF1239" s="88">
        <f>SUMIF(月間集計シート!$M$92:$M$111,$G1239,月間集計シート!O$92:O$111)*AF$2</f>
        <v>0</v>
      </c>
      <c r="AG1239" s="88">
        <f>SUMIF(月間集計シート!$M$92:$M$111,$G1239,月間集計シート!P$92:P$111)*AG$2</f>
        <v>0</v>
      </c>
      <c r="AH1239" s="88">
        <f>SUMIF(月間集計シート!$M$92:$M$111,$G1239,月間集計シート!Q$92:Q$111)*AH$2</f>
        <v>0</v>
      </c>
      <c r="AI1239" s="88">
        <f>SUMIF(月間集計シート!$M$92:$M$111,$G1239,月間集計シート!R$92:R$111)*AI$2</f>
        <v>0</v>
      </c>
      <c r="AJ1239" s="88">
        <f>SUMIF(月間集計シート!$M$92:$M$111,$G1239,月間集計シート!S$92:S$111)*AJ$2</f>
        <v>0</v>
      </c>
      <c r="AK1239" s="88">
        <f>SUMIF(月間集計シート!$M$92:$M$111,$G1239,月間集計シート!T$92:T$111)*AK$2</f>
        <v>0</v>
      </c>
      <c r="AL1239" s="88">
        <f>SUMIF(月間集計シート!$M$113:$M$132,$G1239,月間集計シート!N$113:N$132)*AL$2</f>
        <v>0</v>
      </c>
      <c r="AM1239" s="88">
        <f>SUMIF(月間集計シート!$M$113:$M$132,$G1239,月間集計シート!O$113:O$132)*AM$2</f>
        <v>0</v>
      </c>
      <c r="AN1239" s="88">
        <f>SUMIF(月間集計シート!$M$113:$M$132,$G1239,月間集計シート!P$113:P$132)*AN$2</f>
        <v>0</v>
      </c>
      <c r="AO1239" s="88">
        <f>SUMIF(月間集計シート!$M$113:$M$132,$G1239,月間集計シート!Q$113:Q$132)*AO$2</f>
        <v>0</v>
      </c>
      <c r="AP1239" s="88">
        <f>SUMIF(月間集計シート!$M$113:$M$132,$G1239,月間集計シート!R$113:R$132)*AP$2</f>
        <v>0</v>
      </c>
      <c r="AQ1239" s="88">
        <f>SUMIF(月間集計シート!$M$113:$M$132,$G1239,月間集計シート!S$113:S$132)*AQ$2</f>
        <v>0</v>
      </c>
      <c r="AR1239" s="88">
        <f>SUMIF(月間集計シート!$M$113:$M$132,$G1239,月間集計シート!T$113:T$132)*AR$2</f>
        <v>0</v>
      </c>
      <c r="AS1239" s="88">
        <f>SUMIF(月間集計シート!$M$134:$M$153,$G1239,月間集計シート!N$134:N$153)*AS$2</f>
        <v>0</v>
      </c>
      <c r="AT1239" s="88">
        <f>SUMIF(月間集計シート!$M$134:$M$153,$G1239,月間集計シート!O$134:O$153)*AT$2</f>
        <v>0</v>
      </c>
      <c r="AU1239" s="88">
        <f>SUMIF(月間集計シート!$M$134:$M$153,$G1239,月間集計シート!P$134:P$153)*AU$2</f>
        <v>0</v>
      </c>
      <c r="AV1239" s="88">
        <f>SUMIF(月間集計シート!$M$134:$M$153,$G1239,月間集計シート!Q$134:Q$153)*AV$2</f>
        <v>0</v>
      </c>
      <c r="AW1239" s="88">
        <f>SUMIF(月間集計シート!$M$134:$M$153,$G1239,月間集計シート!R$134:R$153)*AW$2</f>
        <v>0</v>
      </c>
      <c r="AX1239" s="88">
        <f>SUMIF(月間集計シート!$M$134:$M$153,$G1239,月間集計シート!S$134:S$153)*AX$2</f>
        <v>0</v>
      </c>
      <c r="AY1239" s="88">
        <f>SUMIF(月間集計シート!$M$134:$M$153,$G1239,月間集計シート!T$134:T$153)*AY$2</f>
        <v>0</v>
      </c>
    </row>
    <row r="1240" spans="1:51" ht="14.25" thickBot="1">
      <c r="A1240">
        <v>15</v>
      </c>
      <c r="B1240" s="120">
        <f t="shared" si="676"/>
        <v>0</v>
      </c>
      <c r="C1240" s="120" t="str">
        <f t="shared" si="677"/>
        <v/>
      </c>
      <c r="D1240" s="137"/>
      <c r="E1240" s="150" t="str">
        <f>工種!A42</f>
        <v>60101</v>
      </c>
      <c r="F1240" s="119" t="str">
        <f>工種!B42</f>
        <v>ﾘﾘｰｽ：ﾘﾘｰｽ・ﾃﾞﾘﾊﾞﾘ作業</v>
      </c>
      <c r="G1240" s="116" t="str">
        <f t="shared" si="678"/>
        <v>060101</v>
      </c>
      <c r="H1240" s="88">
        <f t="shared" si="675"/>
        <v>0</v>
      </c>
      <c r="I1240" s="132"/>
      <c r="J1240" s="88">
        <f>SUMIF(月間集計シート!$M$29:$M$48,$G1240,月間集計シート!N$29:N$48)*J$2</f>
        <v>0</v>
      </c>
      <c r="K1240" s="88">
        <f>SUMIF(月間集計シート!$M$29:$M$48,$G1240,月間集計シート!O$29:O$48)*K$2</f>
        <v>0</v>
      </c>
      <c r="L1240" s="88">
        <f>SUMIF(月間集計シート!$M$29:$M$48,$G1240,月間集計シート!P$29:P$48)*L$2</f>
        <v>0</v>
      </c>
      <c r="M1240" s="88">
        <f>SUMIF(月間集計シート!$M$29:$M$48,$G1240,月間集計シート!Q$29:Q$48)*M$2</f>
        <v>0</v>
      </c>
      <c r="N1240" s="88">
        <f>SUMIF(月間集計シート!$M$29:$M$48,$G1240,月間集計シート!R$29:R$48)*N$2</f>
        <v>0</v>
      </c>
      <c r="O1240" s="88">
        <f>SUMIF(月間集計シート!$M$29:$M$48,$G1240,月間集計シート!S$29:S$48)*O$2</f>
        <v>0</v>
      </c>
      <c r="P1240" s="88">
        <f>SUMIF(月間集計シート!$M$29:$M$48,$G1240,月間集計シート!T$29:T$48)*P$2</f>
        <v>0</v>
      </c>
      <c r="Q1240" s="88">
        <f>SUMIF(月間集計シート!$M$50:$M$69,$G1240,月間集計シート!N$50:N$69)*Q$2</f>
        <v>0</v>
      </c>
      <c r="R1240" s="88">
        <f>SUMIF(月間集計シート!$M$50:$M$69,$G1240,月間集計シート!O$50:O$69)*R$2</f>
        <v>0</v>
      </c>
      <c r="S1240" s="88">
        <f>SUMIF(月間集計シート!$M$50:$M$69,$G1240,月間集計シート!P$50:P$69)*S$2</f>
        <v>0</v>
      </c>
      <c r="T1240" s="88">
        <f>SUMIF(月間集計シート!$M$50:$M$69,$G1240,月間集計シート!Q$50:Q$69)*T$2</f>
        <v>0</v>
      </c>
      <c r="U1240" s="88">
        <f>SUMIF(月間集計シート!$M$50:$M$69,$G1240,月間集計シート!R$50:R$69)*U$2</f>
        <v>0</v>
      </c>
      <c r="V1240" s="88">
        <f>SUMIF(月間集計シート!$M$50:$M$69,$G1240,月間集計シート!S$50:S$69)*V$2</f>
        <v>0</v>
      </c>
      <c r="W1240" s="88">
        <f>SUMIF(月間集計シート!$M$50:$M$69,$G1240,月間集計シート!T$50:T$69)*W$2</f>
        <v>0</v>
      </c>
      <c r="X1240" s="88">
        <f>SUMIF(月間集計シート!$M$71:$M$90,$G1240,月間集計シート!N$71:N$90)*X$2</f>
        <v>0</v>
      </c>
      <c r="Y1240" s="88">
        <f>SUMIF(月間集計シート!$M$71:$M$90,$G1240,月間集計シート!O$71:O$90)*Y$2</f>
        <v>0</v>
      </c>
      <c r="Z1240" s="88">
        <f>SUMIF(月間集計シート!$M$71:$M$90,$G1240,月間集計シート!P$71:P$90)*Z$2</f>
        <v>0</v>
      </c>
      <c r="AA1240" s="88">
        <f>SUMIF(月間集計シート!$M$71:$M$90,$G1240,月間集計シート!Q$71:Q$90)*AA$2</f>
        <v>0</v>
      </c>
      <c r="AB1240" s="88">
        <f>SUMIF(月間集計シート!$M$71:$M$90,$G1240,月間集計シート!R$71:R$90)*AB$2</f>
        <v>0</v>
      </c>
      <c r="AC1240" s="88">
        <f>SUMIF(月間集計シート!$M$71:$M$90,$G1240,月間集計シート!S$71:S$90)*AC$2</f>
        <v>0</v>
      </c>
      <c r="AD1240" s="88">
        <f>SUMIF(月間集計シート!$M$71:$M$90,$G1240,月間集計シート!T$71:T$90)*AD$2</f>
        <v>0</v>
      </c>
      <c r="AE1240" s="88">
        <f>SUMIF(月間集計シート!$M$92:$M$111,$G1240,月間集計シート!N$92:N$111)*AE$2</f>
        <v>0</v>
      </c>
      <c r="AF1240" s="88">
        <f>SUMIF(月間集計シート!$M$92:$M$111,$G1240,月間集計シート!O$92:O$111)*AF$2</f>
        <v>0</v>
      </c>
      <c r="AG1240" s="88">
        <f>SUMIF(月間集計シート!$M$92:$M$111,$G1240,月間集計シート!P$92:P$111)*AG$2</f>
        <v>0</v>
      </c>
      <c r="AH1240" s="88">
        <f>SUMIF(月間集計シート!$M$92:$M$111,$G1240,月間集計シート!Q$92:Q$111)*AH$2</f>
        <v>0</v>
      </c>
      <c r="AI1240" s="88">
        <f>SUMIF(月間集計シート!$M$92:$M$111,$G1240,月間集計シート!R$92:R$111)*AI$2</f>
        <v>0</v>
      </c>
      <c r="AJ1240" s="88">
        <f>SUMIF(月間集計シート!$M$92:$M$111,$G1240,月間集計シート!S$92:S$111)*AJ$2</f>
        <v>0</v>
      </c>
      <c r="AK1240" s="88">
        <f>SUMIF(月間集計シート!$M$92:$M$111,$G1240,月間集計シート!T$92:T$111)*AK$2</f>
        <v>0</v>
      </c>
      <c r="AL1240" s="88">
        <f>SUMIF(月間集計シート!$M$113:$M$132,$G1240,月間集計シート!N$113:N$132)*AL$2</f>
        <v>0</v>
      </c>
      <c r="AM1240" s="88">
        <f>SUMIF(月間集計シート!$M$113:$M$132,$G1240,月間集計シート!O$113:O$132)*AM$2</f>
        <v>0</v>
      </c>
      <c r="AN1240" s="88">
        <f>SUMIF(月間集計シート!$M$113:$M$132,$G1240,月間集計シート!P$113:P$132)*AN$2</f>
        <v>0</v>
      </c>
      <c r="AO1240" s="88">
        <f>SUMIF(月間集計シート!$M$113:$M$132,$G1240,月間集計シート!Q$113:Q$132)*AO$2</f>
        <v>0</v>
      </c>
      <c r="AP1240" s="88">
        <f>SUMIF(月間集計シート!$M$113:$M$132,$G1240,月間集計シート!R$113:R$132)*AP$2</f>
        <v>0</v>
      </c>
      <c r="AQ1240" s="88">
        <f>SUMIF(月間集計シート!$M$113:$M$132,$G1240,月間集計シート!S$113:S$132)*AQ$2</f>
        <v>0</v>
      </c>
      <c r="AR1240" s="88">
        <f>SUMIF(月間集計シート!$M$113:$M$132,$G1240,月間集計シート!T$113:T$132)*AR$2</f>
        <v>0</v>
      </c>
      <c r="AS1240" s="88">
        <f>SUMIF(月間集計シート!$M$134:$M$153,$G1240,月間集計シート!N$134:N$153)*AS$2</f>
        <v>0</v>
      </c>
      <c r="AT1240" s="88">
        <f>SUMIF(月間集計シート!$M$134:$M$153,$G1240,月間集計シート!O$134:O$153)*AT$2</f>
        <v>0</v>
      </c>
      <c r="AU1240" s="88">
        <f>SUMIF(月間集計シート!$M$134:$M$153,$G1240,月間集計シート!P$134:P$153)*AU$2</f>
        <v>0</v>
      </c>
      <c r="AV1240" s="88">
        <f>SUMIF(月間集計シート!$M$134:$M$153,$G1240,月間集計シート!Q$134:Q$153)*AV$2</f>
        <v>0</v>
      </c>
      <c r="AW1240" s="88">
        <f>SUMIF(月間集計シート!$M$134:$M$153,$G1240,月間集計シート!R$134:R$153)*AW$2</f>
        <v>0</v>
      </c>
      <c r="AX1240" s="88">
        <f>SUMIF(月間集計シート!$M$134:$M$153,$G1240,月間集計シート!S$134:S$153)*AX$2</f>
        <v>0</v>
      </c>
      <c r="AY1240" s="88">
        <f>SUMIF(月間集計シート!$M$134:$M$153,$G1240,月間集計シート!T$134:T$153)*AY$2</f>
        <v>0</v>
      </c>
    </row>
    <row r="1241" spans="1:51" ht="14.25" thickBot="1">
      <c r="A1241">
        <v>15</v>
      </c>
      <c r="B1241" s="120">
        <f t="shared" si="676"/>
        <v>0</v>
      </c>
      <c r="C1241" s="120" t="str">
        <f t="shared" si="677"/>
        <v/>
      </c>
      <c r="D1241" s="137"/>
      <c r="E1241" s="150" t="str">
        <f>工種!A43</f>
        <v>60102</v>
      </c>
      <c r="F1241" s="119" t="str">
        <f>工種!B43</f>
        <v>ﾘﾘｰｽ：ﾘﾘｰｽ関連業務</v>
      </c>
      <c r="G1241" s="116" t="str">
        <f t="shared" si="678"/>
        <v>060102</v>
      </c>
      <c r="H1241" s="88">
        <f t="shared" si="675"/>
        <v>0</v>
      </c>
      <c r="I1241" s="132"/>
      <c r="J1241" s="88">
        <f>SUMIF(月間集計シート!$M$29:$M$48,$G1241,月間集計シート!N$29:N$48)*J$2</f>
        <v>0</v>
      </c>
      <c r="K1241" s="88">
        <f>SUMIF(月間集計シート!$M$29:$M$48,$G1241,月間集計シート!O$29:O$48)*K$2</f>
        <v>0</v>
      </c>
      <c r="L1241" s="88">
        <f>SUMIF(月間集計シート!$M$29:$M$48,$G1241,月間集計シート!P$29:P$48)*L$2</f>
        <v>0</v>
      </c>
      <c r="M1241" s="88">
        <f>SUMIF(月間集計シート!$M$29:$M$48,$G1241,月間集計シート!Q$29:Q$48)*M$2</f>
        <v>0</v>
      </c>
      <c r="N1241" s="88">
        <f>SUMIF(月間集計シート!$M$29:$M$48,$G1241,月間集計シート!R$29:R$48)*N$2</f>
        <v>0</v>
      </c>
      <c r="O1241" s="88">
        <f>SUMIF(月間集計シート!$M$29:$M$48,$G1241,月間集計シート!S$29:S$48)*O$2</f>
        <v>0</v>
      </c>
      <c r="P1241" s="88">
        <f>SUMIF(月間集計シート!$M$29:$M$48,$G1241,月間集計シート!T$29:T$48)*P$2</f>
        <v>0</v>
      </c>
      <c r="Q1241" s="88">
        <f>SUMIF(月間集計シート!$M$50:$M$69,$G1241,月間集計シート!N$50:N$69)*Q$2</f>
        <v>0</v>
      </c>
      <c r="R1241" s="88">
        <f>SUMIF(月間集計シート!$M$50:$M$69,$G1241,月間集計シート!O$50:O$69)*R$2</f>
        <v>0</v>
      </c>
      <c r="S1241" s="88">
        <f>SUMIF(月間集計シート!$M$50:$M$69,$G1241,月間集計シート!P$50:P$69)*S$2</f>
        <v>0</v>
      </c>
      <c r="T1241" s="88">
        <f>SUMIF(月間集計シート!$M$50:$M$69,$G1241,月間集計シート!Q$50:Q$69)*T$2</f>
        <v>0</v>
      </c>
      <c r="U1241" s="88">
        <f>SUMIF(月間集計シート!$M$50:$M$69,$G1241,月間集計シート!R$50:R$69)*U$2</f>
        <v>0</v>
      </c>
      <c r="V1241" s="88">
        <f>SUMIF(月間集計シート!$M$50:$M$69,$G1241,月間集計シート!S$50:S$69)*V$2</f>
        <v>0</v>
      </c>
      <c r="W1241" s="88">
        <f>SUMIF(月間集計シート!$M$50:$M$69,$G1241,月間集計シート!T$50:T$69)*W$2</f>
        <v>0</v>
      </c>
      <c r="X1241" s="88">
        <f>SUMIF(月間集計シート!$M$71:$M$90,$G1241,月間集計シート!N$71:N$90)*X$2</f>
        <v>0</v>
      </c>
      <c r="Y1241" s="88">
        <f>SUMIF(月間集計シート!$M$71:$M$90,$G1241,月間集計シート!O$71:O$90)*Y$2</f>
        <v>0</v>
      </c>
      <c r="Z1241" s="88">
        <f>SUMIF(月間集計シート!$M$71:$M$90,$G1241,月間集計シート!P$71:P$90)*Z$2</f>
        <v>0</v>
      </c>
      <c r="AA1241" s="88">
        <f>SUMIF(月間集計シート!$M$71:$M$90,$G1241,月間集計シート!Q$71:Q$90)*AA$2</f>
        <v>0</v>
      </c>
      <c r="AB1241" s="88">
        <f>SUMIF(月間集計シート!$M$71:$M$90,$G1241,月間集計シート!R$71:R$90)*AB$2</f>
        <v>0</v>
      </c>
      <c r="AC1241" s="88">
        <f>SUMIF(月間集計シート!$M$71:$M$90,$G1241,月間集計シート!S$71:S$90)*AC$2</f>
        <v>0</v>
      </c>
      <c r="AD1241" s="88">
        <f>SUMIF(月間集計シート!$M$71:$M$90,$G1241,月間集計シート!T$71:T$90)*AD$2</f>
        <v>0</v>
      </c>
      <c r="AE1241" s="88">
        <f>SUMIF(月間集計シート!$M$92:$M$111,$G1241,月間集計シート!N$92:N$111)*AE$2</f>
        <v>0</v>
      </c>
      <c r="AF1241" s="88">
        <f>SUMIF(月間集計シート!$M$92:$M$111,$G1241,月間集計シート!O$92:O$111)*AF$2</f>
        <v>0</v>
      </c>
      <c r="AG1241" s="88">
        <f>SUMIF(月間集計シート!$M$92:$M$111,$G1241,月間集計シート!P$92:P$111)*AG$2</f>
        <v>0</v>
      </c>
      <c r="AH1241" s="88">
        <f>SUMIF(月間集計シート!$M$92:$M$111,$G1241,月間集計シート!Q$92:Q$111)*AH$2</f>
        <v>0</v>
      </c>
      <c r="AI1241" s="88">
        <f>SUMIF(月間集計シート!$M$92:$M$111,$G1241,月間集計シート!R$92:R$111)*AI$2</f>
        <v>0</v>
      </c>
      <c r="AJ1241" s="88">
        <f>SUMIF(月間集計シート!$M$92:$M$111,$G1241,月間集計シート!S$92:S$111)*AJ$2</f>
        <v>0</v>
      </c>
      <c r="AK1241" s="88">
        <f>SUMIF(月間集計シート!$M$92:$M$111,$G1241,月間集計シート!T$92:T$111)*AK$2</f>
        <v>0</v>
      </c>
      <c r="AL1241" s="88">
        <f>SUMIF(月間集計シート!$M$113:$M$132,$G1241,月間集計シート!N$113:N$132)*AL$2</f>
        <v>0</v>
      </c>
      <c r="AM1241" s="88">
        <f>SUMIF(月間集計シート!$M$113:$M$132,$G1241,月間集計シート!O$113:O$132)*AM$2</f>
        <v>0</v>
      </c>
      <c r="AN1241" s="88">
        <f>SUMIF(月間集計シート!$M$113:$M$132,$G1241,月間集計シート!P$113:P$132)*AN$2</f>
        <v>0</v>
      </c>
      <c r="AO1241" s="88">
        <f>SUMIF(月間集計シート!$M$113:$M$132,$G1241,月間集計シート!Q$113:Q$132)*AO$2</f>
        <v>0</v>
      </c>
      <c r="AP1241" s="88">
        <f>SUMIF(月間集計シート!$M$113:$M$132,$G1241,月間集計シート!R$113:R$132)*AP$2</f>
        <v>0</v>
      </c>
      <c r="AQ1241" s="88">
        <f>SUMIF(月間集計シート!$M$113:$M$132,$G1241,月間集計シート!S$113:S$132)*AQ$2</f>
        <v>0</v>
      </c>
      <c r="AR1241" s="88">
        <f>SUMIF(月間集計シート!$M$113:$M$132,$G1241,月間集計シート!T$113:T$132)*AR$2</f>
        <v>0</v>
      </c>
      <c r="AS1241" s="88">
        <f>SUMIF(月間集計シート!$M$134:$M$153,$G1241,月間集計シート!N$134:N$153)*AS$2</f>
        <v>0</v>
      </c>
      <c r="AT1241" s="88">
        <f>SUMIF(月間集計シート!$M$134:$M$153,$G1241,月間集計シート!O$134:O$153)*AT$2</f>
        <v>0</v>
      </c>
      <c r="AU1241" s="88">
        <f>SUMIF(月間集計シート!$M$134:$M$153,$G1241,月間集計シート!P$134:P$153)*AU$2</f>
        <v>0</v>
      </c>
      <c r="AV1241" s="88">
        <f>SUMIF(月間集計シート!$M$134:$M$153,$G1241,月間集計シート!Q$134:Q$153)*AV$2</f>
        <v>0</v>
      </c>
      <c r="AW1241" s="88">
        <f>SUMIF(月間集計シート!$M$134:$M$153,$G1241,月間集計シート!R$134:R$153)*AW$2</f>
        <v>0</v>
      </c>
      <c r="AX1241" s="88">
        <f>SUMIF(月間集計シート!$M$134:$M$153,$G1241,月間集計シート!S$134:S$153)*AX$2</f>
        <v>0</v>
      </c>
      <c r="AY1241" s="88">
        <f>SUMIF(月間集計シート!$M$134:$M$153,$G1241,月間集計シート!T$134:T$153)*AY$2</f>
        <v>0</v>
      </c>
    </row>
    <row r="1242" spans="1:51" ht="14.25" thickBot="1">
      <c r="A1242">
        <v>15</v>
      </c>
      <c r="B1242" s="120">
        <f t="shared" si="676"/>
        <v>0</v>
      </c>
      <c r="C1242" s="120" t="str">
        <f t="shared" si="677"/>
        <v/>
      </c>
      <c r="D1242" s="137"/>
      <c r="E1242" s="150" t="str">
        <f>工種!A44</f>
        <v>60103</v>
      </c>
      <c r="F1242" s="119" t="str">
        <f>工種!B44</f>
        <v>ﾘﾘｰｽ：ﾏﾆｭｱﾙPDF作成・修正</v>
      </c>
      <c r="G1242" s="116" t="str">
        <f t="shared" si="678"/>
        <v>060103</v>
      </c>
      <c r="H1242" s="88">
        <f t="shared" si="675"/>
        <v>0</v>
      </c>
      <c r="I1242" s="132"/>
      <c r="J1242" s="88">
        <f>SUMIF(月間集計シート!$M$29:$M$48,$G1242,月間集計シート!N$29:N$48)*J$2</f>
        <v>0</v>
      </c>
      <c r="K1242" s="88">
        <f>SUMIF(月間集計シート!$M$29:$M$48,$G1242,月間集計シート!O$29:O$48)*K$2</f>
        <v>0</v>
      </c>
      <c r="L1242" s="88">
        <f>SUMIF(月間集計シート!$M$29:$M$48,$G1242,月間集計シート!P$29:P$48)*L$2</f>
        <v>0</v>
      </c>
      <c r="M1242" s="88">
        <f>SUMIF(月間集計シート!$M$29:$M$48,$G1242,月間集計シート!Q$29:Q$48)*M$2</f>
        <v>0</v>
      </c>
      <c r="N1242" s="88">
        <f>SUMIF(月間集計シート!$M$29:$M$48,$G1242,月間集計シート!R$29:R$48)*N$2</f>
        <v>0</v>
      </c>
      <c r="O1242" s="88">
        <f>SUMIF(月間集計シート!$M$29:$M$48,$G1242,月間集計シート!S$29:S$48)*O$2</f>
        <v>0</v>
      </c>
      <c r="P1242" s="88">
        <f>SUMIF(月間集計シート!$M$29:$M$48,$G1242,月間集計シート!T$29:T$48)*P$2</f>
        <v>0</v>
      </c>
      <c r="Q1242" s="88">
        <f>SUMIF(月間集計シート!$M$50:$M$69,$G1242,月間集計シート!N$50:N$69)*Q$2</f>
        <v>0</v>
      </c>
      <c r="R1242" s="88">
        <f>SUMIF(月間集計シート!$M$50:$M$69,$G1242,月間集計シート!O$50:O$69)*R$2</f>
        <v>0</v>
      </c>
      <c r="S1242" s="88">
        <f>SUMIF(月間集計シート!$M$50:$M$69,$G1242,月間集計シート!P$50:P$69)*S$2</f>
        <v>0</v>
      </c>
      <c r="T1242" s="88">
        <f>SUMIF(月間集計シート!$M$50:$M$69,$G1242,月間集計シート!Q$50:Q$69)*T$2</f>
        <v>0</v>
      </c>
      <c r="U1242" s="88">
        <f>SUMIF(月間集計シート!$M$50:$M$69,$G1242,月間集計シート!R$50:R$69)*U$2</f>
        <v>0</v>
      </c>
      <c r="V1242" s="88">
        <f>SUMIF(月間集計シート!$M$50:$M$69,$G1242,月間集計シート!S$50:S$69)*V$2</f>
        <v>0</v>
      </c>
      <c r="W1242" s="88">
        <f>SUMIF(月間集計シート!$M$50:$M$69,$G1242,月間集計シート!T$50:T$69)*W$2</f>
        <v>0</v>
      </c>
      <c r="X1242" s="88">
        <f>SUMIF(月間集計シート!$M$71:$M$90,$G1242,月間集計シート!N$71:N$90)*X$2</f>
        <v>0</v>
      </c>
      <c r="Y1242" s="88">
        <f>SUMIF(月間集計シート!$M$71:$M$90,$G1242,月間集計シート!O$71:O$90)*Y$2</f>
        <v>0</v>
      </c>
      <c r="Z1242" s="88">
        <f>SUMIF(月間集計シート!$M$71:$M$90,$G1242,月間集計シート!P$71:P$90)*Z$2</f>
        <v>0</v>
      </c>
      <c r="AA1242" s="88">
        <f>SUMIF(月間集計シート!$M$71:$M$90,$G1242,月間集計シート!Q$71:Q$90)*AA$2</f>
        <v>0</v>
      </c>
      <c r="AB1242" s="88">
        <f>SUMIF(月間集計シート!$M$71:$M$90,$G1242,月間集計シート!R$71:R$90)*AB$2</f>
        <v>0</v>
      </c>
      <c r="AC1242" s="88">
        <f>SUMIF(月間集計シート!$M$71:$M$90,$G1242,月間集計シート!S$71:S$90)*AC$2</f>
        <v>0</v>
      </c>
      <c r="AD1242" s="88">
        <f>SUMIF(月間集計シート!$M$71:$M$90,$G1242,月間集計シート!T$71:T$90)*AD$2</f>
        <v>0</v>
      </c>
      <c r="AE1242" s="88">
        <f>SUMIF(月間集計シート!$M$92:$M$111,$G1242,月間集計シート!N$92:N$111)*AE$2</f>
        <v>0</v>
      </c>
      <c r="AF1242" s="88">
        <f>SUMIF(月間集計シート!$M$92:$M$111,$G1242,月間集計シート!O$92:O$111)*AF$2</f>
        <v>0</v>
      </c>
      <c r="AG1242" s="88">
        <f>SUMIF(月間集計シート!$M$92:$M$111,$G1242,月間集計シート!P$92:P$111)*AG$2</f>
        <v>0</v>
      </c>
      <c r="AH1242" s="88">
        <f>SUMIF(月間集計シート!$M$92:$M$111,$G1242,月間集計シート!Q$92:Q$111)*AH$2</f>
        <v>0</v>
      </c>
      <c r="AI1242" s="88">
        <f>SUMIF(月間集計シート!$M$92:$M$111,$G1242,月間集計シート!R$92:R$111)*AI$2</f>
        <v>0</v>
      </c>
      <c r="AJ1242" s="88">
        <f>SUMIF(月間集計シート!$M$92:$M$111,$G1242,月間集計シート!S$92:S$111)*AJ$2</f>
        <v>0</v>
      </c>
      <c r="AK1242" s="88">
        <f>SUMIF(月間集計シート!$M$92:$M$111,$G1242,月間集計シート!T$92:T$111)*AK$2</f>
        <v>0</v>
      </c>
      <c r="AL1242" s="88">
        <f>SUMIF(月間集計シート!$M$113:$M$132,$G1242,月間集計シート!N$113:N$132)*AL$2</f>
        <v>0</v>
      </c>
      <c r="AM1242" s="88">
        <f>SUMIF(月間集計シート!$M$113:$M$132,$G1242,月間集計シート!O$113:O$132)*AM$2</f>
        <v>0</v>
      </c>
      <c r="AN1242" s="88">
        <f>SUMIF(月間集計シート!$M$113:$M$132,$G1242,月間集計シート!P$113:P$132)*AN$2</f>
        <v>0</v>
      </c>
      <c r="AO1242" s="88">
        <f>SUMIF(月間集計シート!$M$113:$M$132,$G1242,月間集計シート!Q$113:Q$132)*AO$2</f>
        <v>0</v>
      </c>
      <c r="AP1242" s="88">
        <f>SUMIF(月間集計シート!$M$113:$M$132,$G1242,月間集計シート!R$113:R$132)*AP$2</f>
        <v>0</v>
      </c>
      <c r="AQ1242" s="88">
        <f>SUMIF(月間集計シート!$M$113:$M$132,$G1242,月間集計シート!S$113:S$132)*AQ$2</f>
        <v>0</v>
      </c>
      <c r="AR1242" s="88">
        <f>SUMIF(月間集計シート!$M$113:$M$132,$G1242,月間集計シート!T$113:T$132)*AR$2</f>
        <v>0</v>
      </c>
      <c r="AS1242" s="88">
        <f>SUMIF(月間集計シート!$M$134:$M$153,$G1242,月間集計シート!N$134:N$153)*AS$2</f>
        <v>0</v>
      </c>
      <c r="AT1242" s="88">
        <f>SUMIF(月間集計シート!$M$134:$M$153,$G1242,月間集計シート!O$134:O$153)*AT$2</f>
        <v>0</v>
      </c>
      <c r="AU1242" s="88">
        <f>SUMIF(月間集計シート!$M$134:$M$153,$G1242,月間集計シート!P$134:P$153)*AU$2</f>
        <v>0</v>
      </c>
      <c r="AV1242" s="88">
        <f>SUMIF(月間集計シート!$M$134:$M$153,$G1242,月間集計シート!Q$134:Q$153)*AV$2</f>
        <v>0</v>
      </c>
      <c r="AW1242" s="88">
        <f>SUMIF(月間集計シート!$M$134:$M$153,$G1242,月間集計シート!R$134:R$153)*AW$2</f>
        <v>0</v>
      </c>
      <c r="AX1242" s="88">
        <f>SUMIF(月間集計シート!$M$134:$M$153,$G1242,月間集計シート!S$134:S$153)*AX$2</f>
        <v>0</v>
      </c>
      <c r="AY1242" s="88">
        <f>SUMIF(月間集計シート!$M$134:$M$153,$G1242,月間集計シート!T$134:T$153)*AY$2</f>
        <v>0</v>
      </c>
    </row>
    <row r="1243" spans="1:51" ht="14.25" thickBot="1">
      <c r="A1243">
        <v>15</v>
      </c>
      <c r="B1243" s="120">
        <f t="shared" si="676"/>
        <v>0</v>
      </c>
      <c r="C1243" s="120" t="str">
        <f t="shared" si="677"/>
        <v/>
      </c>
      <c r="D1243" s="137"/>
      <c r="E1243" s="150" t="str">
        <f>工種!A45</f>
        <v>60104</v>
      </c>
      <c r="F1243" s="119" t="str">
        <f>工種!B45</f>
        <v>ﾘﾘｰｽ：ﾍﾙﾌﾟ作成・修正</v>
      </c>
      <c r="G1243" s="116" t="str">
        <f t="shared" si="678"/>
        <v>060104</v>
      </c>
      <c r="H1243" s="88">
        <f t="shared" si="675"/>
        <v>0</v>
      </c>
      <c r="I1243" s="132"/>
      <c r="J1243" s="88">
        <f>SUMIF(月間集計シート!$M$29:$M$48,$G1243,月間集計シート!N$29:N$48)*J$2</f>
        <v>0</v>
      </c>
      <c r="K1243" s="88">
        <f>SUMIF(月間集計シート!$M$29:$M$48,$G1243,月間集計シート!O$29:O$48)*K$2</f>
        <v>0</v>
      </c>
      <c r="L1243" s="88">
        <f>SUMIF(月間集計シート!$M$29:$M$48,$G1243,月間集計シート!P$29:P$48)*L$2</f>
        <v>0</v>
      </c>
      <c r="M1243" s="88">
        <f>SUMIF(月間集計シート!$M$29:$M$48,$G1243,月間集計シート!Q$29:Q$48)*M$2</f>
        <v>0</v>
      </c>
      <c r="N1243" s="88">
        <f>SUMIF(月間集計シート!$M$29:$M$48,$G1243,月間集計シート!R$29:R$48)*N$2</f>
        <v>0</v>
      </c>
      <c r="O1243" s="88">
        <f>SUMIF(月間集計シート!$M$29:$M$48,$G1243,月間集計シート!S$29:S$48)*O$2</f>
        <v>0</v>
      </c>
      <c r="P1243" s="88">
        <f>SUMIF(月間集計シート!$M$29:$M$48,$G1243,月間集計シート!T$29:T$48)*P$2</f>
        <v>0</v>
      </c>
      <c r="Q1243" s="88">
        <f>SUMIF(月間集計シート!$M$50:$M$69,$G1243,月間集計シート!N$50:N$69)*Q$2</f>
        <v>0</v>
      </c>
      <c r="R1243" s="88">
        <f>SUMIF(月間集計シート!$M$50:$M$69,$G1243,月間集計シート!O$50:O$69)*R$2</f>
        <v>0</v>
      </c>
      <c r="S1243" s="88">
        <f>SUMIF(月間集計シート!$M$50:$M$69,$G1243,月間集計シート!P$50:P$69)*S$2</f>
        <v>0</v>
      </c>
      <c r="T1243" s="88">
        <f>SUMIF(月間集計シート!$M$50:$M$69,$G1243,月間集計シート!Q$50:Q$69)*T$2</f>
        <v>0</v>
      </c>
      <c r="U1243" s="88">
        <f>SUMIF(月間集計シート!$M$50:$M$69,$G1243,月間集計シート!R$50:R$69)*U$2</f>
        <v>0</v>
      </c>
      <c r="V1243" s="88">
        <f>SUMIF(月間集計シート!$M$50:$M$69,$G1243,月間集計シート!S$50:S$69)*V$2</f>
        <v>0</v>
      </c>
      <c r="W1243" s="88">
        <f>SUMIF(月間集計シート!$M$50:$M$69,$G1243,月間集計シート!T$50:T$69)*W$2</f>
        <v>0</v>
      </c>
      <c r="X1243" s="88">
        <f>SUMIF(月間集計シート!$M$71:$M$90,$G1243,月間集計シート!N$71:N$90)*X$2</f>
        <v>0</v>
      </c>
      <c r="Y1243" s="88">
        <f>SUMIF(月間集計シート!$M$71:$M$90,$G1243,月間集計シート!O$71:O$90)*Y$2</f>
        <v>0</v>
      </c>
      <c r="Z1243" s="88">
        <f>SUMIF(月間集計シート!$M$71:$M$90,$G1243,月間集計シート!P$71:P$90)*Z$2</f>
        <v>0</v>
      </c>
      <c r="AA1243" s="88">
        <f>SUMIF(月間集計シート!$M$71:$M$90,$G1243,月間集計シート!Q$71:Q$90)*AA$2</f>
        <v>0</v>
      </c>
      <c r="AB1243" s="88">
        <f>SUMIF(月間集計シート!$M$71:$M$90,$G1243,月間集計シート!R$71:R$90)*AB$2</f>
        <v>0</v>
      </c>
      <c r="AC1243" s="88">
        <f>SUMIF(月間集計シート!$M$71:$M$90,$G1243,月間集計シート!S$71:S$90)*AC$2</f>
        <v>0</v>
      </c>
      <c r="AD1243" s="88">
        <f>SUMIF(月間集計シート!$M$71:$M$90,$G1243,月間集計シート!T$71:T$90)*AD$2</f>
        <v>0</v>
      </c>
      <c r="AE1243" s="88">
        <f>SUMIF(月間集計シート!$M$92:$M$111,$G1243,月間集計シート!N$92:N$111)*AE$2</f>
        <v>0</v>
      </c>
      <c r="AF1243" s="88">
        <f>SUMIF(月間集計シート!$M$92:$M$111,$G1243,月間集計シート!O$92:O$111)*AF$2</f>
        <v>0</v>
      </c>
      <c r="AG1243" s="88">
        <f>SUMIF(月間集計シート!$M$92:$M$111,$G1243,月間集計シート!P$92:P$111)*AG$2</f>
        <v>0</v>
      </c>
      <c r="AH1243" s="88">
        <f>SUMIF(月間集計シート!$M$92:$M$111,$G1243,月間集計シート!Q$92:Q$111)*AH$2</f>
        <v>0</v>
      </c>
      <c r="AI1243" s="88">
        <f>SUMIF(月間集計シート!$M$92:$M$111,$G1243,月間集計シート!R$92:R$111)*AI$2</f>
        <v>0</v>
      </c>
      <c r="AJ1243" s="88">
        <f>SUMIF(月間集計シート!$M$92:$M$111,$G1243,月間集計シート!S$92:S$111)*AJ$2</f>
        <v>0</v>
      </c>
      <c r="AK1243" s="88">
        <f>SUMIF(月間集計シート!$M$92:$M$111,$G1243,月間集計シート!T$92:T$111)*AK$2</f>
        <v>0</v>
      </c>
      <c r="AL1243" s="88">
        <f>SUMIF(月間集計シート!$M$113:$M$132,$G1243,月間集計シート!N$113:N$132)*AL$2</f>
        <v>0</v>
      </c>
      <c r="AM1243" s="88">
        <f>SUMIF(月間集計シート!$M$113:$M$132,$G1243,月間集計シート!O$113:O$132)*AM$2</f>
        <v>0</v>
      </c>
      <c r="AN1243" s="88">
        <f>SUMIF(月間集計シート!$M$113:$M$132,$G1243,月間集計シート!P$113:P$132)*AN$2</f>
        <v>0</v>
      </c>
      <c r="AO1243" s="88">
        <f>SUMIF(月間集計シート!$M$113:$M$132,$G1243,月間集計シート!Q$113:Q$132)*AO$2</f>
        <v>0</v>
      </c>
      <c r="AP1243" s="88">
        <f>SUMIF(月間集計シート!$M$113:$M$132,$G1243,月間集計シート!R$113:R$132)*AP$2</f>
        <v>0</v>
      </c>
      <c r="AQ1243" s="88">
        <f>SUMIF(月間集計シート!$M$113:$M$132,$G1243,月間集計シート!S$113:S$132)*AQ$2</f>
        <v>0</v>
      </c>
      <c r="AR1243" s="88">
        <f>SUMIF(月間集計シート!$M$113:$M$132,$G1243,月間集計シート!T$113:T$132)*AR$2</f>
        <v>0</v>
      </c>
      <c r="AS1243" s="88">
        <f>SUMIF(月間集計シート!$M$134:$M$153,$G1243,月間集計シート!N$134:N$153)*AS$2</f>
        <v>0</v>
      </c>
      <c r="AT1243" s="88">
        <f>SUMIF(月間集計シート!$M$134:$M$153,$G1243,月間集計シート!O$134:O$153)*AT$2</f>
        <v>0</v>
      </c>
      <c r="AU1243" s="88">
        <f>SUMIF(月間集計シート!$M$134:$M$153,$G1243,月間集計シート!P$134:P$153)*AU$2</f>
        <v>0</v>
      </c>
      <c r="AV1243" s="88">
        <f>SUMIF(月間集計シート!$M$134:$M$153,$G1243,月間集計シート!Q$134:Q$153)*AV$2</f>
        <v>0</v>
      </c>
      <c r="AW1243" s="88">
        <f>SUMIF(月間集計シート!$M$134:$M$153,$G1243,月間集計シート!R$134:R$153)*AW$2</f>
        <v>0</v>
      </c>
      <c r="AX1243" s="88">
        <f>SUMIF(月間集計シート!$M$134:$M$153,$G1243,月間集計シート!S$134:S$153)*AX$2</f>
        <v>0</v>
      </c>
      <c r="AY1243" s="88">
        <f>SUMIF(月間集計シート!$M$134:$M$153,$G1243,月間集計シート!T$134:T$153)*AY$2</f>
        <v>0</v>
      </c>
    </row>
    <row r="1244" spans="1:51" ht="14.25" thickBot="1">
      <c r="A1244">
        <v>15</v>
      </c>
      <c r="B1244" s="120">
        <f t="shared" si="676"/>
        <v>0</v>
      </c>
      <c r="C1244" s="120" t="str">
        <f t="shared" si="677"/>
        <v/>
      </c>
      <c r="D1244" s="137"/>
      <c r="E1244" s="150" t="str">
        <f>工種!A46</f>
        <v>60105</v>
      </c>
      <c r="F1244" s="119" t="str">
        <f>工種!B46</f>
        <v>ﾘﾘｰｽ：締め作業</v>
      </c>
      <c r="G1244" s="116" t="str">
        <f t="shared" si="678"/>
        <v>060105</v>
      </c>
      <c r="H1244" s="88">
        <f t="shared" si="675"/>
        <v>0</v>
      </c>
      <c r="I1244" s="132"/>
      <c r="J1244" s="88">
        <f>SUMIF(月間集計シート!$M$29:$M$48,$G1244,月間集計シート!N$29:N$48)*J$2</f>
        <v>0</v>
      </c>
      <c r="K1244" s="88">
        <f>SUMIF(月間集計シート!$M$29:$M$48,$G1244,月間集計シート!O$29:O$48)*K$2</f>
        <v>0</v>
      </c>
      <c r="L1244" s="88">
        <f>SUMIF(月間集計シート!$M$29:$M$48,$G1244,月間集計シート!P$29:P$48)*L$2</f>
        <v>0</v>
      </c>
      <c r="M1244" s="88">
        <f>SUMIF(月間集計シート!$M$29:$M$48,$G1244,月間集計シート!Q$29:Q$48)*M$2</f>
        <v>0</v>
      </c>
      <c r="N1244" s="88">
        <f>SUMIF(月間集計シート!$M$29:$M$48,$G1244,月間集計シート!R$29:R$48)*N$2</f>
        <v>0</v>
      </c>
      <c r="O1244" s="88">
        <f>SUMIF(月間集計シート!$M$29:$M$48,$G1244,月間集計シート!S$29:S$48)*O$2</f>
        <v>0</v>
      </c>
      <c r="P1244" s="88">
        <f>SUMIF(月間集計シート!$M$29:$M$48,$G1244,月間集計シート!T$29:T$48)*P$2</f>
        <v>0</v>
      </c>
      <c r="Q1244" s="88">
        <f>SUMIF(月間集計シート!$M$50:$M$69,$G1244,月間集計シート!N$50:N$69)*Q$2</f>
        <v>0</v>
      </c>
      <c r="R1244" s="88">
        <f>SUMIF(月間集計シート!$M$50:$M$69,$G1244,月間集計シート!O$50:O$69)*R$2</f>
        <v>0</v>
      </c>
      <c r="S1244" s="88">
        <f>SUMIF(月間集計シート!$M$50:$M$69,$G1244,月間集計シート!P$50:P$69)*S$2</f>
        <v>0</v>
      </c>
      <c r="T1244" s="88">
        <f>SUMIF(月間集計シート!$M$50:$M$69,$G1244,月間集計シート!Q$50:Q$69)*T$2</f>
        <v>0</v>
      </c>
      <c r="U1244" s="88">
        <f>SUMIF(月間集計シート!$M$50:$M$69,$G1244,月間集計シート!R$50:R$69)*U$2</f>
        <v>0</v>
      </c>
      <c r="V1244" s="88">
        <f>SUMIF(月間集計シート!$M$50:$M$69,$G1244,月間集計シート!S$50:S$69)*V$2</f>
        <v>0</v>
      </c>
      <c r="W1244" s="88">
        <f>SUMIF(月間集計シート!$M$50:$M$69,$G1244,月間集計シート!T$50:T$69)*W$2</f>
        <v>0</v>
      </c>
      <c r="X1244" s="88">
        <f>SUMIF(月間集計シート!$M$71:$M$90,$G1244,月間集計シート!N$71:N$90)*X$2</f>
        <v>0</v>
      </c>
      <c r="Y1244" s="88">
        <f>SUMIF(月間集計シート!$M$71:$M$90,$G1244,月間集計シート!O$71:O$90)*Y$2</f>
        <v>0</v>
      </c>
      <c r="Z1244" s="88">
        <f>SUMIF(月間集計シート!$M$71:$M$90,$G1244,月間集計シート!P$71:P$90)*Z$2</f>
        <v>0</v>
      </c>
      <c r="AA1244" s="88">
        <f>SUMIF(月間集計シート!$M$71:$M$90,$G1244,月間集計シート!Q$71:Q$90)*AA$2</f>
        <v>0</v>
      </c>
      <c r="AB1244" s="88">
        <f>SUMIF(月間集計シート!$M$71:$M$90,$G1244,月間集計シート!R$71:R$90)*AB$2</f>
        <v>0</v>
      </c>
      <c r="AC1244" s="88">
        <f>SUMIF(月間集計シート!$M$71:$M$90,$G1244,月間集計シート!S$71:S$90)*AC$2</f>
        <v>0</v>
      </c>
      <c r="AD1244" s="88">
        <f>SUMIF(月間集計シート!$M$71:$M$90,$G1244,月間集計シート!T$71:T$90)*AD$2</f>
        <v>0</v>
      </c>
      <c r="AE1244" s="88">
        <f>SUMIF(月間集計シート!$M$92:$M$111,$G1244,月間集計シート!N$92:N$111)*AE$2</f>
        <v>0</v>
      </c>
      <c r="AF1244" s="88">
        <f>SUMIF(月間集計シート!$M$92:$M$111,$G1244,月間集計シート!O$92:O$111)*AF$2</f>
        <v>0</v>
      </c>
      <c r="AG1244" s="88">
        <f>SUMIF(月間集計シート!$M$92:$M$111,$G1244,月間集計シート!P$92:P$111)*AG$2</f>
        <v>0</v>
      </c>
      <c r="AH1244" s="88">
        <f>SUMIF(月間集計シート!$M$92:$M$111,$G1244,月間集計シート!Q$92:Q$111)*AH$2</f>
        <v>0</v>
      </c>
      <c r="AI1244" s="88">
        <f>SUMIF(月間集計シート!$M$92:$M$111,$G1244,月間集計シート!R$92:R$111)*AI$2</f>
        <v>0</v>
      </c>
      <c r="AJ1244" s="88">
        <f>SUMIF(月間集計シート!$M$92:$M$111,$G1244,月間集計シート!S$92:S$111)*AJ$2</f>
        <v>0</v>
      </c>
      <c r="AK1244" s="88">
        <f>SUMIF(月間集計シート!$M$92:$M$111,$G1244,月間集計シート!T$92:T$111)*AK$2</f>
        <v>0</v>
      </c>
      <c r="AL1244" s="88">
        <f>SUMIF(月間集計シート!$M$113:$M$132,$G1244,月間集計シート!N$113:N$132)*AL$2</f>
        <v>0</v>
      </c>
      <c r="AM1244" s="88">
        <f>SUMIF(月間集計シート!$M$113:$M$132,$G1244,月間集計シート!O$113:O$132)*AM$2</f>
        <v>0</v>
      </c>
      <c r="AN1244" s="88">
        <f>SUMIF(月間集計シート!$M$113:$M$132,$G1244,月間集計シート!P$113:P$132)*AN$2</f>
        <v>0</v>
      </c>
      <c r="AO1244" s="88">
        <f>SUMIF(月間集計シート!$M$113:$M$132,$G1244,月間集計シート!Q$113:Q$132)*AO$2</f>
        <v>0</v>
      </c>
      <c r="AP1244" s="88">
        <f>SUMIF(月間集計シート!$M$113:$M$132,$G1244,月間集計シート!R$113:R$132)*AP$2</f>
        <v>0</v>
      </c>
      <c r="AQ1244" s="88">
        <f>SUMIF(月間集計シート!$M$113:$M$132,$G1244,月間集計シート!S$113:S$132)*AQ$2</f>
        <v>0</v>
      </c>
      <c r="AR1244" s="88">
        <f>SUMIF(月間集計シート!$M$113:$M$132,$G1244,月間集計シート!T$113:T$132)*AR$2</f>
        <v>0</v>
      </c>
      <c r="AS1244" s="88">
        <f>SUMIF(月間集計シート!$M$134:$M$153,$G1244,月間集計シート!N$134:N$153)*AS$2</f>
        <v>0</v>
      </c>
      <c r="AT1244" s="88">
        <f>SUMIF(月間集計シート!$M$134:$M$153,$G1244,月間集計シート!O$134:O$153)*AT$2</f>
        <v>0</v>
      </c>
      <c r="AU1244" s="88">
        <f>SUMIF(月間集計シート!$M$134:$M$153,$G1244,月間集計シート!P$134:P$153)*AU$2</f>
        <v>0</v>
      </c>
      <c r="AV1244" s="88">
        <f>SUMIF(月間集計シート!$M$134:$M$153,$G1244,月間集計シート!Q$134:Q$153)*AV$2</f>
        <v>0</v>
      </c>
      <c r="AW1244" s="88">
        <f>SUMIF(月間集計シート!$M$134:$M$153,$G1244,月間集計シート!R$134:R$153)*AW$2</f>
        <v>0</v>
      </c>
      <c r="AX1244" s="88">
        <f>SUMIF(月間集計シート!$M$134:$M$153,$G1244,月間集計シート!S$134:S$153)*AX$2</f>
        <v>0</v>
      </c>
      <c r="AY1244" s="88">
        <f>SUMIF(月間集計シート!$M$134:$M$153,$G1244,月間集計シート!T$134:T$153)*AY$2</f>
        <v>0</v>
      </c>
    </row>
    <row r="1245" spans="1:51" ht="14.25" thickBot="1">
      <c r="A1245">
        <v>15</v>
      </c>
      <c r="B1245" s="120">
        <f t="shared" si="676"/>
        <v>0</v>
      </c>
      <c r="C1245" s="120" t="str">
        <f t="shared" si="677"/>
        <v/>
      </c>
      <c r="D1245" s="137"/>
      <c r="E1245" s="150" t="str">
        <f>工種!A47</f>
        <v>60107</v>
      </c>
      <c r="F1245" s="119" t="str">
        <f>工種!B47</f>
        <v>ﾘﾘｰｽ：打合せ</v>
      </c>
      <c r="G1245" s="116" t="str">
        <f t="shared" si="678"/>
        <v>060107</v>
      </c>
      <c r="H1245" s="88">
        <f t="shared" si="675"/>
        <v>0</v>
      </c>
      <c r="I1245" s="132"/>
      <c r="J1245" s="88">
        <f>SUMIF(月間集計シート!$M$29:$M$48,$G1245,月間集計シート!N$29:N$48)*J$2</f>
        <v>0</v>
      </c>
      <c r="K1245" s="88">
        <f>SUMIF(月間集計シート!$M$29:$M$48,$G1245,月間集計シート!O$29:O$48)*K$2</f>
        <v>0</v>
      </c>
      <c r="L1245" s="88">
        <f>SUMIF(月間集計シート!$M$29:$M$48,$G1245,月間集計シート!P$29:P$48)*L$2</f>
        <v>0</v>
      </c>
      <c r="M1245" s="88">
        <f>SUMIF(月間集計シート!$M$29:$M$48,$G1245,月間集計シート!Q$29:Q$48)*M$2</f>
        <v>0</v>
      </c>
      <c r="N1245" s="88">
        <f>SUMIF(月間集計シート!$M$29:$M$48,$G1245,月間集計シート!R$29:R$48)*N$2</f>
        <v>0</v>
      </c>
      <c r="O1245" s="88">
        <f>SUMIF(月間集計シート!$M$29:$M$48,$G1245,月間集計シート!S$29:S$48)*O$2</f>
        <v>0</v>
      </c>
      <c r="P1245" s="88">
        <f>SUMIF(月間集計シート!$M$29:$M$48,$G1245,月間集計シート!T$29:T$48)*P$2</f>
        <v>0</v>
      </c>
      <c r="Q1245" s="88">
        <f>SUMIF(月間集計シート!$M$50:$M$69,$G1245,月間集計シート!N$50:N$69)*Q$2</f>
        <v>0</v>
      </c>
      <c r="R1245" s="88">
        <f>SUMIF(月間集計シート!$M$50:$M$69,$G1245,月間集計シート!O$50:O$69)*R$2</f>
        <v>0</v>
      </c>
      <c r="S1245" s="88">
        <f>SUMIF(月間集計シート!$M$50:$M$69,$G1245,月間集計シート!P$50:P$69)*S$2</f>
        <v>0</v>
      </c>
      <c r="T1245" s="88">
        <f>SUMIF(月間集計シート!$M$50:$M$69,$G1245,月間集計シート!Q$50:Q$69)*T$2</f>
        <v>0</v>
      </c>
      <c r="U1245" s="88">
        <f>SUMIF(月間集計シート!$M$50:$M$69,$G1245,月間集計シート!R$50:R$69)*U$2</f>
        <v>0</v>
      </c>
      <c r="V1245" s="88">
        <f>SUMIF(月間集計シート!$M$50:$M$69,$G1245,月間集計シート!S$50:S$69)*V$2</f>
        <v>0</v>
      </c>
      <c r="W1245" s="88">
        <f>SUMIF(月間集計シート!$M$50:$M$69,$G1245,月間集計シート!T$50:T$69)*W$2</f>
        <v>0</v>
      </c>
      <c r="X1245" s="88">
        <f>SUMIF(月間集計シート!$M$71:$M$90,$G1245,月間集計シート!N$71:N$90)*X$2</f>
        <v>0</v>
      </c>
      <c r="Y1245" s="88">
        <f>SUMIF(月間集計シート!$M$71:$M$90,$G1245,月間集計シート!O$71:O$90)*Y$2</f>
        <v>0</v>
      </c>
      <c r="Z1245" s="88">
        <f>SUMIF(月間集計シート!$M$71:$M$90,$G1245,月間集計シート!P$71:P$90)*Z$2</f>
        <v>0</v>
      </c>
      <c r="AA1245" s="88">
        <f>SUMIF(月間集計シート!$M$71:$M$90,$G1245,月間集計シート!Q$71:Q$90)*AA$2</f>
        <v>0</v>
      </c>
      <c r="AB1245" s="88">
        <f>SUMIF(月間集計シート!$M$71:$M$90,$G1245,月間集計シート!R$71:R$90)*AB$2</f>
        <v>0</v>
      </c>
      <c r="AC1245" s="88">
        <f>SUMIF(月間集計シート!$M$71:$M$90,$G1245,月間集計シート!S$71:S$90)*AC$2</f>
        <v>0</v>
      </c>
      <c r="AD1245" s="88">
        <f>SUMIF(月間集計シート!$M$71:$M$90,$G1245,月間集計シート!T$71:T$90)*AD$2</f>
        <v>0</v>
      </c>
      <c r="AE1245" s="88">
        <f>SUMIF(月間集計シート!$M$92:$M$111,$G1245,月間集計シート!N$92:N$111)*AE$2</f>
        <v>0</v>
      </c>
      <c r="AF1245" s="88">
        <f>SUMIF(月間集計シート!$M$92:$M$111,$G1245,月間集計シート!O$92:O$111)*AF$2</f>
        <v>0</v>
      </c>
      <c r="AG1245" s="88">
        <f>SUMIF(月間集計シート!$M$92:$M$111,$G1245,月間集計シート!P$92:P$111)*AG$2</f>
        <v>0</v>
      </c>
      <c r="AH1245" s="88">
        <f>SUMIF(月間集計シート!$M$92:$M$111,$G1245,月間集計シート!Q$92:Q$111)*AH$2</f>
        <v>0</v>
      </c>
      <c r="AI1245" s="88">
        <f>SUMIF(月間集計シート!$M$92:$M$111,$G1245,月間集計シート!R$92:R$111)*AI$2</f>
        <v>0</v>
      </c>
      <c r="AJ1245" s="88">
        <f>SUMIF(月間集計シート!$M$92:$M$111,$G1245,月間集計シート!S$92:S$111)*AJ$2</f>
        <v>0</v>
      </c>
      <c r="AK1245" s="88">
        <f>SUMIF(月間集計シート!$M$92:$M$111,$G1245,月間集計シート!T$92:T$111)*AK$2</f>
        <v>0</v>
      </c>
      <c r="AL1245" s="88">
        <f>SUMIF(月間集計シート!$M$113:$M$132,$G1245,月間集計シート!N$113:N$132)*AL$2</f>
        <v>0</v>
      </c>
      <c r="AM1245" s="88">
        <f>SUMIF(月間集計シート!$M$113:$M$132,$G1245,月間集計シート!O$113:O$132)*AM$2</f>
        <v>0</v>
      </c>
      <c r="AN1245" s="88">
        <f>SUMIF(月間集計シート!$M$113:$M$132,$G1245,月間集計シート!P$113:P$132)*AN$2</f>
        <v>0</v>
      </c>
      <c r="AO1245" s="88">
        <f>SUMIF(月間集計シート!$M$113:$M$132,$G1245,月間集計シート!Q$113:Q$132)*AO$2</f>
        <v>0</v>
      </c>
      <c r="AP1245" s="88">
        <f>SUMIF(月間集計シート!$M$113:$M$132,$G1245,月間集計シート!R$113:R$132)*AP$2</f>
        <v>0</v>
      </c>
      <c r="AQ1245" s="88">
        <f>SUMIF(月間集計シート!$M$113:$M$132,$G1245,月間集計シート!S$113:S$132)*AQ$2</f>
        <v>0</v>
      </c>
      <c r="AR1245" s="88">
        <f>SUMIF(月間集計シート!$M$113:$M$132,$G1245,月間集計シート!T$113:T$132)*AR$2</f>
        <v>0</v>
      </c>
      <c r="AS1245" s="88">
        <f>SUMIF(月間集計シート!$M$134:$M$153,$G1245,月間集計シート!N$134:N$153)*AS$2</f>
        <v>0</v>
      </c>
      <c r="AT1245" s="88">
        <f>SUMIF(月間集計シート!$M$134:$M$153,$G1245,月間集計シート!O$134:O$153)*AT$2</f>
        <v>0</v>
      </c>
      <c r="AU1245" s="88">
        <f>SUMIF(月間集計シート!$M$134:$M$153,$G1245,月間集計シート!P$134:P$153)*AU$2</f>
        <v>0</v>
      </c>
      <c r="AV1245" s="88">
        <f>SUMIF(月間集計シート!$M$134:$M$153,$G1245,月間集計シート!Q$134:Q$153)*AV$2</f>
        <v>0</v>
      </c>
      <c r="AW1245" s="88">
        <f>SUMIF(月間集計シート!$M$134:$M$153,$G1245,月間集計シート!R$134:R$153)*AW$2</f>
        <v>0</v>
      </c>
      <c r="AX1245" s="88">
        <f>SUMIF(月間集計シート!$M$134:$M$153,$G1245,月間集計シート!S$134:S$153)*AX$2</f>
        <v>0</v>
      </c>
      <c r="AY1245" s="88">
        <f>SUMIF(月間集計シート!$M$134:$M$153,$G1245,月間集計シート!T$134:T$153)*AY$2</f>
        <v>0</v>
      </c>
    </row>
    <row r="1246" spans="1:51" ht="14.25" thickBot="1">
      <c r="A1246">
        <v>15</v>
      </c>
      <c r="B1246" s="120">
        <f t="shared" si="676"/>
        <v>0</v>
      </c>
      <c r="C1246" s="120" t="str">
        <f t="shared" si="677"/>
        <v/>
      </c>
      <c r="D1246" s="137"/>
      <c r="E1246" s="150" t="str">
        <f>工種!A48</f>
        <v>60108</v>
      </c>
      <c r="F1246" s="119" t="str">
        <f>工種!B48</f>
        <v>ﾘﾘｰｽ：ﾚﾋﾞｭｰ</v>
      </c>
      <c r="G1246" s="116" t="str">
        <f t="shared" si="678"/>
        <v>060108</v>
      </c>
      <c r="H1246" s="88">
        <f t="shared" si="675"/>
        <v>0</v>
      </c>
      <c r="I1246" s="132"/>
      <c r="J1246" s="88">
        <f>SUMIF(月間集計シート!$M$29:$M$48,$G1246,月間集計シート!N$29:N$48)*J$2</f>
        <v>0</v>
      </c>
      <c r="K1246" s="88">
        <f>SUMIF(月間集計シート!$M$29:$M$48,$G1246,月間集計シート!O$29:O$48)*K$2</f>
        <v>0</v>
      </c>
      <c r="L1246" s="88">
        <f>SUMIF(月間集計シート!$M$29:$M$48,$G1246,月間集計シート!P$29:P$48)*L$2</f>
        <v>0</v>
      </c>
      <c r="M1246" s="88">
        <f>SUMIF(月間集計シート!$M$29:$M$48,$G1246,月間集計シート!Q$29:Q$48)*M$2</f>
        <v>0</v>
      </c>
      <c r="N1246" s="88">
        <f>SUMIF(月間集計シート!$M$29:$M$48,$G1246,月間集計シート!R$29:R$48)*N$2</f>
        <v>0</v>
      </c>
      <c r="O1246" s="88">
        <f>SUMIF(月間集計シート!$M$29:$M$48,$G1246,月間集計シート!S$29:S$48)*O$2</f>
        <v>0</v>
      </c>
      <c r="P1246" s="88">
        <f>SUMIF(月間集計シート!$M$29:$M$48,$G1246,月間集計シート!T$29:T$48)*P$2</f>
        <v>0</v>
      </c>
      <c r="Q1246" s="88">
        <f>SUMIF(月間集計シート!$M$50:$M$69,$G1246,月間集計シート!N$50:N$69)*Q$2</f>
        <v>0</v>
      </c>
      <c r="R1246" s="88">
        <f>SUMIF(月間集計シート!$M$50:$M$69,$G1246,月間集計シート!O$50:O$69)*R$2</f>
        <v>0</v>
      </c>
      <c r="S1246" s="88">
        <f>SUMIF(月間集計シート!$M$50:$M$69,$G1246,月間集計シート!P$50:P$69)*S$2</f>
        <v>0</v>
      </c>
      <c r="T1246" s="88">
        <f>SUMIF(月間集計シート!$M$50:$M$69,$G1246,月間集計シート!Q$50:Q$69)*T$2</f>
        <v>0</v>
      </c>
      <c r="U1246" s="88">
        <f>SUMIF(月間集計シート!$M$50:$M$69,$G1246,月間集計シート!R$50:R$69)*U$2</f>
        <v>0</v>
      </c>
      <c r="V1246" s="88">
        <f>SUMIF(月間集計シート!$M$50:$M$69,$G1246,月間集計シート!S$50:S$69)*V$2</f>
        <v>0</v>
      </c>
      <c r="W1246" s="88">
        <f>SUMIF(月間集計シート!$M$50:$M$69,$G1246,月間集計シート!T$50:T$69)*W$2</f>
        <v>0</v>
      </c>
      <c r="X1246" s="88">
        <f>SUMIF(月間集計シート!$M$71:$M$90,$G1246,月間集計シート!N$71:N$90)*X$2</f>
        <v>0</v>
      </c>
      <c r="Y1246" s="88">
        <f>SUMIF(月間集計シート!$M$71:$M$90,$G1246,月間集計シート!O$71:O$90)*Y$2</f>
        <v>0</v>
      </c>
      <c r="Z1246" s="88">
        <f>SUMIF(月間集計シート!$M$71:$M$90,$G1246,月間集計シート!P$71:P$90)*Z$2</f>
        <v>0</v>
      </c>
      <c r="AA1246" s="88">
        <f>SUMIF(月間集計シート!$M$71:$M$90,$G1246,月間集計シート!Q$71:Q$90)*AA$2</f>
        <v>0</v>
      </c>
      <c r="AB1246" s="88">
        <f>SUMIF(月間集計シート!$M$71:$M$90,$G1246,月間集計シート!R$71:R$90)*AB$2</f>
        <v>0</v>
      </c>
      <c r="AC1246" s="88">
        <f>SUMIF(月間集計シート!$M$71:$M$90,$G1246,月間集計シート!S$71:S$90)*AC$2</f>
        <v>0</v>
      </c>
      <c r="AD1246" s="88">
        <f>SUMIF(月間集計シート!$M$71:$M$90,$G1246,月間集計シート!T$71:T$90)*AD$2</f>
        <v>0</v>
      </c>
      <c r="AE1246" s="88">
        <f>SUMIF(月間集計シート!$M$92:$M$111,$G1246,月間集計シート!N$92:N$111)*AE$2</f>
        <v>0</v>
      </c>
      <c r="AF1246" s="88">
        <f>SUMIF(月間集計シート!$M$92:$M$111,$G1246,月間集計シート!O$92:O$111)*AF$2</f>
        <v>0</v>
      </c>
      <c r="AG1246" s="88">
        <f>SUMIF(月間集計シート!$M$92:$M$111,$G1246,月間集計シート!P$92:P$111)*AG$2</f>
        <v>0</v>
      </c>
      <c r="AH1246" s="88">
        <f>SUMIF(月間集計シート!$M$92:$M$111,$G1246,月間集計シート!Q$92:Q$111)*AH$2</f>
        <v>0</v>
      </c>
      <c r="AI1246" s="88">
        <f>SUMIF(月間集計シート!$M$92:$M$111,$G1246,月間集計シート!R$92:R$111)*AI$2</f>
        <v>0</v>
      </c>
      <c r="AJ1246" s="88">
        <f>SUMIF(月間集計シート!$M$92:$M$111,$G1246,月間集計シート!S$92:S$111)*AJ$2</f>
        <v>0</v>
      </c>
      <c r="AK1246" s="88">
        <f>SUMIF(月間集計シート!$M$92:$M$111,$G1246,月間集計シート!T$92:T$111)*AK$2</f>
        <v>0</v>
      </c>
      <c r="AL1246" s="88">
        <f>SUMIF(月間集計シート!$M$113:$M$132,$G1246,月間集計シート!N$113:N$132)*AL$2</f>
        <v>0</v>
      </c>
      <c r="AM1246" s="88">
        <f>SUMIF(月間集計シート!$M$113:$M$132,$G1246,月間集計シート!O$113:O$132)*AM$2</f>
        <v>0</v>
      </c>
      <c r="AN1246" s="88">
        <f>SUMIF(月間集計シート!$M$113:$M$132,$G1246,月間集計シート!P$113:P$132)*AN$2</f>
        <v>0</v>
      </c>
      <c r="AO1246" s="88">
        <f>SUMIF(月間集計シート!$M$113:$M$132,$G1246,月間集計シート!Q$113:Q$132)*AO$2</f>
        <v>0</v>
      </c>
      <c r="AP1246" s="88">
        <f>SUMIF(月間集計シート!$M$113:$M$132,$G1246,月間集計シート!R$113:R$132)*AP$2</f>
        <v>0</v>
      </c>
      <c r="AQ1246" s="88">
        <f>SUMIF(月間集計シート!$M$113:$M$132,$G1246,月間集計シート!S$113:S$132)*AQ$2</f>
        <v>0</v>
      </c>
      <c r="AR1246" s="88">
        <f>SUMIF(月間集計シート!$M$113:$M$132,$G1246,月間集計シート!T$113:T$132)*AR$2</f>
        <v>0</v>
      </c>
      <c r="AS1246" s="88">
        <f>SUMIF(月間集計シート!$M$134:$M$153,$G1246,月間集計シート!N$134:N$153)*AS$2</f>
        <v>0</v>
      </c>
      <c r="AT1246" s="88">
        <f>SUMIF(月間集計シート!$M$134:$M$153,$G1246,月間集計シート!O$134:O$153)*AT$2</f>
        <v>0</v>
      </c>
      <c r="AU1246" s="88">
        <f>SUMIF(月間集計シート!$M$134:$M$153,$G1246,月間集計シート!P$134:P$153)*AU$2</f>
        <v>0</v>
      </c>
      <c r="AV1246" s="88">
        <f>SUMIF(月間集計シート!$M$134:$M$153,$G1246,月間集計シート!Q$134:Q$153)*AV$2</f>
        <v>0</v>
      </c>
      <c r="AW1246" s="88">
        <f>SUMIF(月間集計シート!$M$134:$M$153,$G1246,月間集計シート!R$134:R$153)*AW$2</f>
        <v>0</v>
      </c>
      <c r="AX1246" s="88">
        <f>SUMIF(月間集計シート!$M$134:$M$153,$G1246,月間集計シート!S$134:S$153)*AX$2</f>
        <v>0</v>
      </c>
      <c r="AY1246" s="88">
        <f>SUMIF(月間集計シート!$M$134:$M$153,$G1246,月間集計シート!T$134:T$153)*AY$2</f>
        <v>0</v>
      </c>
    </row>
    <row r="1247" spans="1:51" ht="14.25" thickBot="1">
      <c r="A1247">
        <v>15</v>
      </c>
      <c r="B1247" s="120">
        <f t="shared" si="676"/>
        <v>0</v>
      </c>
      <c r="C1247" s="120" t="str">
        <f t="shared" si="677"/>
        <v/>
      </c>
      <c r="D1247" s="137"/>
      <c r="E1247" s="150" t="str">
        <f>工種!A49</f>
        <v>60199</v>
      </c>
      <c r="F1247" s="119" t="str">
        <f>工種!B49</f>
        <v>ﾘﾘｰｽ：その他</v>
      </c>
      <c r="G1247" s="116" t="str">
        <f t="shared" si="678"/>
        <v>060199</v>
      </c>
      <c r="H1247" s="88">
        <f t="shared" si="675"/>
        <v>0</v>
      </c>
      <c r="I1247" s="132"/>
      <c r="J1247" s="88">
        <f>SUMIF(月間集計シート!$M$29:$M$48,$G1247,月間集計シート!N$29:N$48)*J$2</f>
        <v>0</v>
      </c>
      <c r="K1247" s="88">
        <f>SUMIF(月間集計シート!$M$29:$M$48,$G1247,月間集計シート!O$29:O$48)*K$2</f>
        <v>0</v>
      </c>
      <c r="L1247" s="88">
        <f>SUMIF(月間集計シート!$M$29:$M$48,$G1247,月間集計シート!P$29:P$48)*L$2</f>
        <v>0</v>
      </c>
      <c r="M1247" s="88">
        <f>SUMIF(月間集計シート!$M$29:$M$48,$G1247,月間集計シート!Q$29:Q$48)*M$2</f>
        <v>0</v>
      </c>
      <c r="N1247" s="88">
        <f>SUMIF(月間集計シート!$M$29:$M$48,$G1247,月間集計シート!R$29:R$48)*N$2</f>
        <v>0</v>
      </c>
      <c r="O1247" s="88">
        <f>SUMIF(月間集計シート!$M$29:$M$48,$G1247,月間集計シート!S$29:S$48)*O$2</f>
        <v>0</v>
      </c>
      <c r="P1247" s="88">
        <f>SUMIF(月間集計シート!$M$29:$M$48,$G1247,月間集計シート!T$29:T$48)*P$2</f>
        <v>0</v>
      </c>
      <c r="Q1247" s="88">
        <f>SUMIF(月間集計シート!$M$50:$M$69,$G1247,月間集計シート!N$50:N$69)*Q$2</f>
        <v>0</v>
      </c>
      <c r="R1247" s="88">
        <f>SUMIF(月間集計シート!$M$50:$M$69,$G1247,月間集計シート!O$50:O$69)*R$2</f>
        <v>0</v>
      </c>
      <c r="S1247" s="88">
        <f>SUMIF(月間集計シート!$M$50:$M$69,$G1247,月間集計シート!P$50:P$69)*S$2</f>
        <v>0</v>
      </c>
      <c r="T1247" s="88">
        <f>SUMIF(月間集計シート!$M$50:$M$69,$G1247,月間集計シート!Q$50:Q$69)*T$2</f>
        <v>0</v>
      </c>
      <c r="U1247" s="88">
        <f>SUMIF(月間集計シート!$M$50:$M$69,$G1247,月間集計シート!R$50:R$69)*U$2</f>
        <v>0</v>
      </c>
      <c r="V1247" s="88">
        <f>SUMIF(月間集計シート!$M$50:$M$69,$G1247,月間集計シート!S$50:S$69)*V$2</f>
        <v>0</v>
      </c>
      <c r="W1247" s="88">
        <f>SUMIF(月間集計シート!$M$50:$M$69,$G1247,月間集計シート!T$50:T$69)*W$2</f>
        <v>0</v>
      </c>
      <c r="X1247" s="88">
        <f>SUMIF(月間集計シート!$M$71:$M$90,$G1247,月間集計シート!N$71:N$90)*X$2</f>
        <v>0</v>
      </c>
      <c r="Y1247" s="88">
        <f>SUMIF(月間集計シート!$M$71:$M$90,$G1247,月間集計シート!O$71:O$90)*Y$2</f>
        <v>0</v>
      </c>
      <c r="Z1247" s="88">
        <f>SUMIF(月間集計シート!$M$71:$M$90,$G1247,月間集計シート!P$71:P$90)*Z$2</f>
        <v>0</v>
      </c>
      <c r="AA1247" s="88">
        <f>SUMIF(月間集計シート!$M$71:$M$90,$G1247,月間集計シート!Q$71:Q$90)*AA$2</f>
        <v>0</v>
      </c>
      <c r="AB1247" s="88">
        <f>SUMIF(月間集計シート!$M$71:$M$90,$G1247,月間集計シート!R$71:R$90)*AB$2</f>
        <v>0</v>
      </c>
      <c r="AC1247" s="88">
        <f>SUMIF(月間集計シート!$M$71:$M$90,$G1247,月間集計シート!S$71:S$90)*AC$2</f>
        <v>0</v>
      </c>
      <c r="AD1247" s="88">
        <f>SUMIF(月間集計シート!$M$71:$M$90,$G1247,月間集計シート!T$71:T$90)*AD$2</f>
        <v>0</v>
      </c>
      <c r="AE1247" s="88">
        <f>SUMIF(月間集計シート!$M$92:$M$111,$G1247,月間集計シート!N$92:N$111)*AE$2</f>
        <v>0</v>
      </c>
      <c r="AF1247" s="88">
        <f>SUMIF(月間集計シート!$M$92:$M$111,$G1247,月間集計シート!O$92:O$111)*AF$2</f>
        <v>0</v>
      </c>
      <c r="AG1247" s="88">
        <f>SUMIF(月間集計シート!$M$92:$M$111,$G1247,月間集計シート!P$92:P$111)*AG$2</f>
        <v>0</v>
      </c>
      <c r="AH1247" s="88">
        <f>SUMIF(月間集計シート!$M$92:$M$111,$G1247,月間集計シート!Q$92:Q$111)*AH$2</f>
        <v>0</v>
      </c>
      <c r="AI1247" s="88">
        <f>SUMIF(月間集計シート!$M$92:$M$111,$G1247,月間集計シート!R$92:R$111)*AI$2</f>
        <v>0</v>
      </c>
      <c r="AJ1247" s="88">
        <f>SUMIF(月間集計シート!$M$92:$M$111,$G1247,月間集計シート!S$92:S$111)*AJ$2</f>
        <v>0</v>
      </c>
      <c r="AK1247" s="88">
        <f>SUMIF(月間集計シート!$M$92:$M$111,$G1247,月間集計シート!T$92:T$111)*AK$2</f>
        <v>0</v>
      </c>
      <c r="AL1247" s="88">
        <f>SUMIF(月間集計シート!$M$113:$M$132,$G1247,月間集計シート!N$113:N$132)*AL$2</f>
        <v>0</v>
      </c>
      <c r="AM1247" s="88">
        <f>SUMIF(月間集計シート!$M$113:$M$132,$G1247,月間集計シート!O$113:O$132)*AM$2</f>
        <v>0</v>
      </c>
      <c r="AN1247" s="88">
        <f>SUMIF(月間集計シート!$M$113:$M$132,$G1247,月間集計シート!P$113:P$132)*AN$2</f>
        <v>0</v>
      </c>
      <c r="AO1247" s="88">
        <f>SUMIF(月間集計シート!$M$113:$M$132,$G1247,月間集計シート!Q$113:Q$132)*AO$2</f>
        <v>0</v>
      </c>
      <c r="AP1247" s="88">
        <f>SUMIF(月間集計シート!$M$113:$M$132,$G1247,月間集計シート!R$113:R$132)*AP$2</f>
        <v>0</v>
      </c>
      <c r="AQ1247" s="88">
        <f>SUMIF(月間集計シート!$M$113:$M$132,$G1247,月間集計シート!S$113:S$132)*AQ$2</f>
        <v>0</v>
      </c>
      <c r="AR1247" s="88">
        <f>SUMIF(月間集計シート!$M$113:$M$132,$G1247,月間集計シート!T$113:T$132)*AR$2</f>
        <v>0</v>
      </c>
      <c r="AS1247" s="88">
        <f>SUMIF(月間集計シート!$M$134:$M$153,$G1247,月間集計シート!N$134:N$153)*AS$2</f>
        <v>0</v>
      </c>
      <c r="AT1247" s="88">
        <f>SUMIF(月間集計シート!$M$134:$M$153,$G1247,月間集計シート!O$134:O$153)*AT$2</f>
        <v>0</v>
      </c>
      <c r="AU1247" s="88">
        <f>SUMIF(月間集計シート!$M$134:$M$153,$G1247,月間集計シート!P$134:P$153)*AU$2</f>
        <v>0</v>
      </c>
      <c r="AV1247" s="88">
        <f>SUMIF(月間集計シート!$M$134:$M$153,$G1247,月間集計シート!Q$134:Q$153)*AV$2</f>
        <v>0</v>
      </c>
      <c r="AW1247" s="88">
        <f>SUMIF(月間集計シート!$M$134:$M$153,$G1247,月間集計シート!R$134:R$153)*AW$2</f>
        <v>0</v>
      </c>
      <c r="AX1247" s="88">
        <f>SUMIF(月間集計シート!$M$134:$M$153,$G1247,月間集計シート!S$134:S$153)*AX$2</f>
        <v>0</v>
      </c>
      <c r="AY1247" s="88">
        <f>SUMIF(月間集計シート!$M$134:$M$153,$G1247,月間集計シート!T$134:T$153)*AY$2</f>
        <v>0</v>
      </c>
    </row>
    <row r="1248" spans="1:51" ht="14.25" thickBot="1">
      <c r="A1248">
        <v>15</v>
      </c>
      <c r="B1248" s="120">
        <f t="shared" si="676"/>
        <v>0</v>
      </c>
      <c r="C1248" s="120" t="str">
        <f t="shared" si="677"/>
        <v/>
      </c>
      <c r="D1248" s="137"/>
      <c r="E1248" s="150">
        <f>工種!A50</f>
        <v>70101</v>
      </c>
      <c r="F1248" s="119" t="str">
        <f>工種!B50</f>
        <v>外部不具合修正：調査・設計</v>
      </c>
      <c r="G1248" s="116" t="str">
        <f t="shared" si="678"/>
        <v>070101</v>
      </c>
      <c r="H1248" s="88">
        <f t="shared" si="675"/>
        <v>0</v>
      </c>
      <c r="I1248" s="132"/>
      <c r="J1248" s="88">
        <f>SUMIF(月間集計シート!$M$29:$M$48,$G1248,月間集計シート!N$29:N$48)*J$2</f>
        <v>0</v>
      </c>
      <c r="K1248" s="88">
        <f>SUMIF(月間集計シート!$M$29:$M$48,$G1248,月間集計シート!O$29:O$48)*K$2</f>
        <v>0</v>
      </c>
      <c r="L1248" s="88">
        <f>SUMIF(月間集計シート!$M$29:$M$48,$G1248,月間集計シート!P$29:P$48)*L$2</f>
        <v>0</v>
      </c>
      <c r="M1248" s="88">
        <f>SUMIF(月間集計シート!$M$29:$M$48,$G1248,月間集計シート!Q$29:Q$48)*M$2</f>
        <v>0</v>
      </c>
      <c r="N1248" s="88">
        <f>SUMIF(月間集計シート!$M$29:$M$48,$G1248,月間集計シート!R$29:R$48)*N$2</f>
        <v>0</v>
      </c>
      <c r="O1248" s="88">
        <f>SUMIF(月間集計シート!$M$29:$M$48,$G1248,月間集計シート!S$29:S$48)*O$2</f>
        <v>0</v>
      </c>
      <c r="P1248" s="88">
        <f>SUMIF(月間集計シート!$M$29:$M$48,$G1248,月間集計シート!T$29:T$48)*P$2</f>
        <v>0</v>
      </c>
      <c r="Q1248" s="88">
        <f>SUMIF(月間集計シート!$M$50:$M$69,$G1248,月間集計シート!N$50:N$69)*Q$2</f>
        <v>0</v>
      </c>
      <c r="R1248" s="88">
        <f>SUMIF(月間集計シート!$M$50:$M$69,$G1248,月間集計シート!O$50:O$69)*R$2</f>
        <v>0</v>
      </c>
      <c r="S1248" s="88">
        <f>SUMIF(月間集計シート!$M$50:$M$69,$G1248,月間集計シート!P$50:P$69)*S$2</f>
        <v>0</v>
      </c>
      <c r="T1248" s="88">
        <f>SUMIF(月間集計シート!$M$50:$M$69,$G1248,月間集計シート!Q$50:Q$69)*T$2</f>
        <v>0</v>
      </c>
      <c r="U1248" s="88">
        <f>SUMIF(月間集計シート!$M$50:$M$69,$G1248,月間集計シート!R$50:R$69)*U$2</f>
        <v>0</v>
      </c>
      <c r="V1248" s="88">
        <f>SUMIF(月間集計シート!$M$50:$M$69,$G1248,月間集計シート!S$50:S$69)*V$2</f>
        <v>0</v>
      </c>
      <c r="W1248" s="88">
        <f>SUMIF(月間集計シート!$M$50:$M$69,$G1248,月間集計シート!T$50:T$69)*W$2</f>
        <v>0</v>
      </c>
      <c r="X1248" s="88">
        <f>SUMIF(月間集計シート!$M$71:$M$90,$G1248,月間集計シート!N$71:N$90)*X$2</f>
        <v>0</v>
      </c>
      <c r="Y1248" s="88">
        <f>SUMIF(月間集計シート!$M$71:$M$90,$G1248,月間集計シート!O$71:O$90)*Y$2</f>
        <v>0</v>
      </c>
      <c r="Z1248" s="88">
        <f>SUMIF(月間集計シート!$M$71:$M$90,$G1248,月間集計シート!P$71:P$90)*Z$2</f>
        <v>0</v>
      </c>
      <c r="AA1248" s="88">
        <f>SUMIF(月間集計シート!$M$71:$M$90,$G1248,月間集計シート!Q$71:Q$90)*AA$2</f>
        <v>0</v>
      </c>
      <c r="AB1248" s="88">
        <f>SUMIF(月間集計シート!$M$71:$M$90,$G1248,月間集計シート!R$71:R$90)*AB$2</f>
        <v>0</v>
      </c>
      <c r="AC1248" s="88">
        <f>SUMIF(月間集計シート!$M$71:$M$90,$G1248,月間集計シート!S$71:S$90)*AC$2</f>
        <v>0</v>
      </c>
      <c r="AD1248" s="88">
        <f>SUMIF(月間集計シート!$M$71:$M$90,$G1248,月間集計シート!T$71:T$90)*AD$2</f>
        <v>0</v>
      </c>
      <c r="AE1248" s="88">
        <f>SUMIF(月間集計シート!$M$92:$M$111,$G1248,月間集計シート!N$92:N$111)*AE$2</f>
        <v>0</v>
      </c>
      <c r="AF1248" s="88">
        <f>SUMIF(月間集計シート!$M$92:$M$111,$G1248,月間集計シート!O$92:O$111)*AF$2</f>
        <v>0</v>
      </c>
      <c r="AG1248" s="88">
        <f>SUMIF(月間集計シート!$M$92:$M$111,$G1248,月間集計シート!P$92:P$111)*AG$2</f>
        <v>0</v>
      </c>
      <c r="AH1248" s="88">
        <f>SUMIF(月間集計シート!$M$92:$M$111,$G1248,月間集計シート!Q$92:Q$111)*AH$2</f>
        <v>0</v>
      </c>
      <c r="AI1248" s="88">
        <f>SUMIF(月間集計シート!$M$92:$M$111,$G1248,月間集計シート!R$92:R$111)*AI$2</f>
        <v>0</v>
      </c>
      <c r="AJ1248" s="88">
        <f>SUMIF(月間集計シート!$M$92:$M$111,$G1248,月間集計シート!S$92:S$111)*AJ$2</f>
        <v>0</v>
      </c>
      <c r="AK1248" s="88">
        <f>SUMIF(月間集計シート!$M$92:$M$111,$G1248,月間集計シート!T$92:T$111)*AK$2</f>
        <v>0</v>
      </c>
      <c r="AL1248" s="88">
        <f>SUMIF(月間集計シート!$M$113:$M$132,$G1248,月間集計シート!N$113:N$132)*AL$2</f>
        <v>0</v>
      </c>
      <c r="AM1248" s="88">
        <f>SUMIF(月間集計シート!$M$113:$M$132,$G1248,月間集計シート!O$113:O$132)*AM$2</f>
        <v>0</v>
      </c>
      <c r="AN1248" s="88">
        <f>SUMIF(月間集計シート!$M$113:$M$132,$G1248,月間集計シート!P$113:P$132)*AN$2</f>
        <v>0</v>
      </c>
      <c r="AO1248" s="88">
        <f>SUMIF(月間集計シート!$M$113:$M$132,$G1248,月間集計シート!Q$113:Q$132)*AO$2</f>
        <v>0</v>
      </c>
      <c r="AP1248" s="88">
        <f>SUMIF(月間集計シート!$M$113:$M$132,$G1248,月間集計シート!R$113:R$132)*AP$2</f>
        <v>0</v>
      </c>
      <c r="AQ1248" s="88">
        <f>SUMIF(月間集計シート!$M$113:$M$132,$G1248,月間集計シート!S$113:S$132)*AQ$2</f>
        <v>0</v>
      </c>
      <c r="AR1248" s="88">
        <f>SUMIF(月間集計シート!$M$113:$M$132,$G1248,月間集計シート!T$113:T$132)*AR$2</f>
        <v>0</v>
      </c>
      <c r="AS1248" s="88">
        <f>SUMIF(月間集計シート!$M$134:$M$153,$G1248,月間集計シート!N$134:N$153)*AS$2</f>
        <v>0</v>
      </c>
      <c r="AT1248" s="88">
        <f>SUMIF(月間集計シート!$M$134:$M$153,$G1248,月間集計シート!O$134:O$153)*AT$2</f>
        <v>0</v>
      </c>
      <c r="AU1248" s="88">
        <f>SUMIF(月間集計シート!$M$134:$M$153,$G1248,月間集計シート!P$134:P$153)*AU$2</f>
        <v>0</v>
      </c>
      <c r="AV1248" s="88">
        <f>SUMIF(月間集計シート!$M$134:$M$153,$G1248,月間集計シート!Q$134:Q$153)*AV$2</f>
        <v>0</v>
      </c>
      <c r="AW1248" s="88">
        <f>SUMIF(月間集計シート!$M$134:$M$153,$G1248,月間集計シート!R$134:R$153)*AW$2</f>
        <v>0</v>
      </c>
      <c r="AX1248" s="88">
        <f>SUMIF(月間集計シート!$M$134:$M$153,$G1248,月間集計シート!S$134:S$153)*AX$2</f>
        <v>0</v>
      </c>
      <c r="AY1248" s="88">
        <f>SUMIF(月間集計シート!$M$134:$M$153,$G1248,月間集計シート!T$134:T$153)*AY$2</f>
        <v>0</v>
      </c>
    </row>
    <row r="1249" spans="1:51" ht="14.25" thickBot="1">
      <c r="A1249">
        <v>15</v>
      </c>
      <c r="B1249" s="120">
        <f t="shared" si="676"/>
        <v>0</v>
      </c>
      <c r="C1249" s="120" t="str">
        <f t="shared" si="677"/>
        <v/>
      </c>
      <c r="D1249" s="137"/>
      <c r="E1249" s="150">
        <f>工種!A51</f>
        <v>70102</v>
      </c>
      <c r="F1249" s="119" t="str">
        <f>工種!B51</f>
        <v>外部不具合修正：コーディング</v>
      </c>
      <c r="G1249" s="116" t="str">
        <f t="shared" si="678"/>
        <v>070102</v>
      </c>
      <c r="H1249" s="88">
        <f t="shared" si="675"/>
        <v>0</v>
      </c>
      <c r="I1249" s="132"/>
      <c r="J1249" s="88">
        <f>SUMIF(月間集計シート!$M$29:$M$48,$G1249,月間集計シート!N$29:N$48)*J$2</f>
        <v>0</v>
      </c>
      <c r="K1249" s="88">
        <f>SUMIF(月間集計シート!$M$29:$M$48,$G1249,月間集計シート!O$29:O$48)*K$2</f>
        <v>0</v>
      </c>
      <c r="L1249" s="88">
        <f>SUMIF(月間集計シート!$M$29:$M$48,$G1249,月間集計シート!P$29:P$48)*L$2</f>
        <v>0</v>
      </c>
      <c r="M1249" s="88">
        <f>SUMIF(月間集計シート!$M$29:$M$48,$G1249,月間集計シート!Q$29:Q$48)*M$2</f>
        <v>0</v>
      </c>
      <c r="N1249" s="88">
        <f>SUMIF(月間集計シート!$M$29:$M$48,$G1249,月間集計シート!R$29:R$48)*N$2</f>
        <v>0</v>
      </c>
      <c r="O1249" s="88">
        <f>SUMIF(月間集計シート!$M$29:$M$48,$G1249,月間集計シート!S$29:S$48)*O$2</f>
        <v>0</v>
      </c>
      <c r="P1249" s="88">
        <f>SUMIF(月間集計シート!$M$29:$M$48,$G1249,月間集計シート!T$29:T$48)*P$2</f>
        <v>0</v>
      </c>
      <c r="Q1249" s="88">
        <f>SUMIF(月間集計シート!$M$50:$M$69,$G1249,月間集計シート!N$50:N$69)*Q$2</f>
        <v>0</v>
      </c>
      <c r="R1249" s="88">
        <f>SUMIF(月間集計シート!$M$50:$M$69,$G1249,月間集計シート!O$50:O$69)*R$2</f>
        <v>0</v>
      </c>
      <c r="S1249" s="88">
        <f>SUMIF(月間集計シート!$M$50:$M$69,$G1249,月間集計シート!P$50:P$69)*S$2</f>
        <v>0</v>
      </c>
      <c r="T1249" s="88">
        <f>SUMIF(月間集計シート!$M$50:$M$69,$G1249,月間集計シート!Q$50:Q$69)*T$2</f>
        <v>0</v>
      </c>
      <c r="U1249" s="88">
        <f>SUMIF(月間集計シート!$M$50:$M$69,$G1249,月間集計シート!R$50:R$69)*U$2</f>
        <v>0</v>
      </c>
      <c r="V1249" s="88">
        <f>SUMIF(月間集計シート!$M$50:$M$69,$G1249,月間集計シート!S$50:S$69)*V$2</f>
        <v>0</v>
      </c>
      <c r="W1249" s="88">
        <f>SUMIF(月間集計シート!$M$50:$M$69,$G1249,月間集計シート!T$50:T$69)*W$2</f>
        <v>0</v>
      </c>
      <c r="X1249" s="88">
        <f>SUMIF(月間集計シート!$M$71:$M$90,$G1249,月間集計シート!N$71:N$90)*X$2</f>
        <v>0</v>
      </c>
      <c r="Y1249" s="88">
        <f>SUMIF(月間集計シート!$M$71:$M$90,$G1249,月間集計シート!O$71:O$90)*Y$2</f>
        <v>0</v>
      </c>
      <c r="Z1249" s="88">
        <f>SUMIF(月間集計シート!$M$71:$M$90,$G1249,月間集計シート!P$71:P$90)*Z$2</f>
        <v>0</v>
      </c>
      <c r="AA1249" s="88">
        <f>SUMIF(月間集計シート!$M$71:$M$90,$G1249,月間集計シート!Q$71:Q$90)*AA$2</f>
        <v>0</v>
      </c>
      <c r="AB1249" s="88">
        <f>SUMIF(月間集計シート!$M$71:$M$90,$G1249,月間集計シート!R$71:R$90)*AB$2</f>
        <v>0</v>
      </c>
      <c r="AC1249" s="88">
        <f>SUMIF(月間集計シート!$M$71:$M$90,$G1249,月間集計シート!S$71:S$90)*AC$2</f>
        <v>0</v>
      </c>
      <c r="AD1249" s="88">
        <f>SUMIF(月間集計シート!$M$71:$M$90,$G1249,月間集計シート!T$71:T$90)*AD$2</f>
        <v>0</v>
      </c>
      <c r="AE1249" s="88">
        <f>SUMIF(月間集計シート!$M$92:$M$111,$G1249,月間集計シート!N$92:N$111)*AE$2</f>
        <v>0</v>
      </c>
      <c r="AF1249" s="88">
        <f>SUMIF(月間集計シート!$M$92:$M$111,$G1249,月間集計シート!O$92:O$111)*AF$2</f>
        <v>0</v>
      </c>
      <c r="AG1249" s="88">
        <f>SUMIF(月間集計シート!$M$92:$M$111,$G1249,月間集計シート!P$92:P$111)*AG$2</f>
        <v>0</v>
      </c>
      <c r="AH1249" s="88">
        <f>SUMIF(月間集計シート!$M$92:$M$111,$G1249,月間集計シート!Q$92:Q$111)*AH$2</f>
        <v>0</v>
      </c>
      <c r="AI1249" s="88">
        <f>SUMIF(月間集計シート!$M$92:$M$111,$G1249,月間集計シート!R$92:R$111)*AI$2</f>
        <v>0</v>
      </c>
      <c r="AJ1249" s="88">
        <f>SUMIF(月間集計シート!$M$92:$M$111,$G1249,月間集計シート!S$92:S$111)*AJ$2</f>
        <v>0</v>
      </c>
      <c r="AK1249" s="88">
        <f>SUMIF(月間集計シート!$M$92:$M$111,$G1249,月間集計シート!T$92:T$111)*AK$2</f>
        <v>0</v>
      </c>
      <c r="AL1249" s="88">
        <f>SUMIF(月間集計シート!$M$113:$M$132,$G1249,月間集計シート!N$113:N$132)*AL$2</f>
        <v>0</v>
      </c>
      <c r="AM1249" s="88">
        <f>SUMIF(月間集計シート!$M$113:$M$132,$G1249,月間集計シート!O$113:O$132)*AM$2</f>
        <v>0</v>
      </c>
      <c r="AN1249" s="88">
        <f>SUMIF(月間集計シート!$M$113:$M$132,$G1249,月間集計シート!P$113:P$132)*AN$2</f>
        <v>0</v>
      </c>
      <c r="AO1249" s="88">
        <f>SUMIF(月間集計シート!$M$113:$M$132,$G1249,月間集計シート!Q$113:Q$132)*AO$2</f>
        <v>0</v>
      </c>
      <c r="AP1249" s="88">
        <f>SUMIF(月間集計シート!$M$113:$M$132,$G1249,月間集計シート!R$113:R$132)*AP$2</f>
        <v>0</v>
      </c>
      <c r="AQ1249" s="88">
        <f>SUMIF(月間集計シート!$M$113:$M$132,$G1249,月間集計シート!S$113:S$132)*AQ$2</f>
        <v>0</v>
      </c>
      <c r="AR1249" s="88">
        <f>SUMIF(月間集計シート!$M$113:$M$132,$G1249,月間集計シート!T$113:T$132)*AR$2</f>
        <v>0</v>
      </c>
      <c r="AS1249" s="88">
        <f>SUMIF(月間集計シート!$M$134:$M$153,$G1249,月間集計シート!N$134:N$153)*AS$2</f>
        <v>0</v>
      </c>
      <c r="AT1249" s="88">
        <f>SUMIF(月間集計シート!$M$134:$M$153,$G1249,月間集計シート!O$134:O$153)*AT$2</f>
        <v>0</v>
      </c>
      <c r="AU1249" s="88">
        <f>SUMIF(月間集計シート!$M$134:$M$153,$G1249,月間集計シート!P$134:P$153)*AU$2</f>
        <v>0</v>
      </c>
      <c r="AV1249" s="88">
        <f>SUMIF(月間集計シート!$M$134:$M$153,$G1249,月間集計シート!Q$134:Q$153)*AV$2</f>
        <v>0</v>
      </c>
      <c r="AW1249" s="88">
        <f>SUMIF(月間集計シート!$M$134:$M$153,$G1249,月間集計シート!R$134:R$153)*AW$2</f>
        <v>0</v>
      </c>
      <c r="AX1249" s="88">
        <f>SUMIF(月間集計シート!$M$134:$M$153,$G1249,月間集計シート!S$134:S$153)*AX$2</f>
        <v>0</v>
      </c>
      <c r="AY1249" s="88">
        <f>SUMIF(月間集計シート!$M$134:$M$153,$G1249,月間集計シート!T$134:T$153)*AY$2</f>
        <v>0</v>
      </c>
    </row>
    <row r="1250" spans="1:51" ht="14.25" thickBot="1">
      <c r="A1250">
        <v>15</v>
      </c>
      <c r="B1250" s="120">
        <f t="shared" si="676"/>
        <v>0</v>
      </c>
      <c r="C1250" s="120" t="str">
        <f t="shared" si="677"/>
        <v/>
      </c>
      <c r="D1250" s="137"/>
      <c r="E1250" s="150">
        <f>工種!A52</f>
        <v>70103</v>
      </c>
      <c r="F1250" s="119" t="str">
        <f>工種!B52</f>
        <v>外部不具合修正：テスト</v>
      </c>
      <c r="G1250" s="116" t="str">
        <f t="shared" si="678"/>
        <v>070103</v>
      </c>
      <c r="H1250" s="88">
        <f t="shared" si="675"/>
        <v>0</v>
      </c>
      <c r="I1250" s="132"/>
      <c r="J1250" s="88">
        <f>SUMIF(月間集計シート!$M$29:$M$48,$G1250,月間集計シート!N$29:N$48)*J$2</f>
        <v>0</v>
      </c>
      <c r="K1250" s="88">
        <f>SUMIF(月間集計シート!$M$29:$M$48,$G1250,月間集計シート!O$29:O$48)*K$2</f>
        <v>0</v>
      </c>
      <c r="L1250" s="88">
        <f>SUMIF(月間集計シート!$M$29:$M$48,$G1250,月間集計シート!P$29:P$48)*L$2</f>
        <v>0</v>
      </c>
      <c r="M1250" s="88">
        <f>SUMIF(月間集計シート!$M$29:$M$48,$G1250,月間集計シート!Q$29:Q$48)*M$2</f>
        <v>0</v>
      </c>
      <c r="N1250" s="88">
        <f>SUMIF(月間集計シート!$M$29:$M$48,$G1250,月間集計シート!R$29:R$48)*N$2</f>
        <v>0</v>
      </c>
      <c r="O1250" s="88">
        <f>SUMIF(月間集計シート!$M$29:$M$48,$G1250,月間集計シート!S$29:S$48)*O$2</f>
        <v>0</v>
      </c>
      <c r="P1250" s="88">
        <f>SUMIF(月間集計シート!$M$29:$M$48,$G1250,月間集計シート!T$29:T$48)*P$2</f>
        <v>0</v>
      </c>
      <c r="Q1250" s="88">
        <f>SUMIF(月間集計シート!$M$50:$M$69,$G1250,月間集計シート!N$50:N$69)*Q$2</f>
        <v>0</v>
      </c>
      <c r="R1250" s="88">
        <f>SUMIF(月間集計シート!$M$50:$M$69,$G1250,月間集計シート!O$50:O$69)*R$2</f>
        <v>0</v>
      </c>
      <c r="S1250" s="88">
        <f>SUMIF(月間集計シート!$M$50:$M$69,$G1250,月間集計シート!P$50:P$69)*S$2</f>
        <v>0</v>
      </c>
      <c r="T1250" s="88">
        <f>SUMIF(月間集計シート!$M$50:$M$69,$G1250,月間集計シート!Q$50:Q$69)*T$2</f>
        <v>0</v>
      </c>
      <c r="U1250" s="88">
        <f>SUMIF(月間集計シート!$M$50:$M$69,$G1250,月間集計シート!R$50:R$69)*U$2</f>
        <v>0</v>
      </c>
      <c r="V1250" s="88">
        <f>SUMIF(月間集計シート!$M$50:$M$69,$G1250,月間集計シート!S$50:S$69)*V$2</f>
        <v>0</v>
      </c>
      <c r="W1250" s="88">
        <f>SUMIF(月間集計シート!$M$50:$M$69,$G1250,月間集計シート!T$50:T$69)*W$2</f>
        <v>0</v>
      </c>
      <c r="X1250" s="88">
        <f>SUMIF(月間集計シート!$M$71:$M$90,$G1250,月間集計シート!N$71:N$90)*X$2</f>
        <v>0</v>
      </c>
      <c r="Y1250" s="88">
        <f>SUMIF(月間集計シート!$M$71:$M$90,$G1250,月間集計シート!O$71:O$90)*Y$2</f>
        <v>0</v>
      </c>
      <c r="Z1250" s="88">
        <f>SUMIF(月間集計シート!$M$71:$M$90,$G1250,月間集計シート!P$71:P$90)*Z$2</f>
        <v>0</v>
      </c>
      <c r="AA1250" s="88">
        <f>SUMIF(月間集計シート!$M$71:$M$90,$G1250,月間集計シート!Q$71:Q$90)*AA$2</f>
        <v>0</v>
      </c>
      <c r="AB1250" s="88">
        <f>SUMIF(月間集計シート!$M$71:$M$90,$G1250,月間集計シート!R$71:R$90)*AB$2</f>
        <v>0</v>
      </c>
      <c r="AC1250" s="88">
        <f>SUMIF(月間集計シート!$M$71:$M$90,$G1250,月間集計シート!S$71:S$90)*AC$2</f>
        <v>0</v>
      </c>
      <c r="AD1250" s="88">
        <f>SUMIF(月間集計シート!$M$71:$M$90,$G1250,月間集計シート!T$71:T$90)*AD$2</f>
        <v>0</v>
      </c>
      <c r="AE1250" s="88">
        <f>SUMIF(月間集計シート!$M$92:$M$111,$G1250,月間集計シート!N$92:N$111)*AE$2</f>
        <v>0</v>
      </c>
      <c r="AF1250" s="88">
        <f>SUMIF(月間集計シート!$M$92:$M$111,$G1250,月間集計シート!O$92:O$111)*AF$2</f>
        <v>0</v>
      </c>
      <c r="AG1250" s="88">
        <f>SUMIF(月間集計シート!$M$92:$M$111,$G1250,月間集計シート!P$92:P$111)*AG$2</f>
        <v>0</v>
      </c>
      <c r="AH1250" s="88">
        <f>SUMIF(月間集計シート!$M$92:$M$111,$G1250,月間集計シート!Q$92:Q$111)*AH$2</f>
        <v>0</v>
      </c>
      <c r="AI1250" s="88">
        <f>SUMIF(月間集計シート!$M$92:$M$111,$G1250,月間集計シート!R$92:R$111)*AI$2</f>
        <v>0</v>
      </c>
      <c r="AJ1250" s="88">
        <f>SUMIF(月間集計シート!$M$92:$M$111,$G1250,月間集計シート!S$92:S$111)*AJ$2</f>
        <v>0</v>
      </c>
      <c r="AK1250" s="88">
        <f>SUMIF(月間集計シート!$M$92:$M$111,$G1250,月間集計シート!T$92:T$111)*AK$2</f>
        <v>0</v>
      </c>
      <c r="AL1250" s="88">
        <f>SUMIF(月間集計シート!$M$113:$M$132,$G1250,月間集計シート!N$113:N$132)*AL$2</f>
        <v>0</v>
      </c>
      <c r="AM1250" s="88">
        <f>SUMIF(月間集計シート!$M$113:$M$132,$G1250,月間集計シート!O$113:O$132)*AM$2</f>
        <v>0</v>
      </c>
      <c r="AN1250" s="88">
        <f>SUMIF(月間集計シート!$M$113:$M$132,$G1250,月間集計シート!P$113:P$132)*AN$2</f>
        <v>0</v>
      </c>
      <c r="AO1250" s="88">
        <f>SUMIF(月間集計シート!$M$113:$M$132,$G1250,月間集計シート!Q$113:Q$132)*AO$2</f>
        <v>0</v>
      </c>
      <c r="AP1250" s="88">
        <f>SUMIF(月間集計シート!$M$113:$M$132,$G1250,月間集計シート!R$113:R$132)*AP$2</f>
        <v>0</v>
      </c>
      <c r="AQ1250" s="88">
        <f>SUMIF(月間集計シート!$M$113:$M$132,$G1250,月間集計シート!S$113:S$132)*AQ$2</f>
        <v>0</v>
      </c>
      <c r="AR1250" s="88">
        <f>SUMIF(月間集計シート!$M$113:$M$132,$G1250,月間集計シート!T$113:T$132)*AR$2</f>
        <v>0</v>
      </c>
      <c r="AS1250" s="88">
        <f>SUMIF(月間集計シート!$M$134:$M$153,$G1250,月間集計シート!N$134:N$153)*AS$2</f>
        <v>0</v>
      </c>
      <c r="AT1250" s="88">
        <f>SUMIF(月間集計シート!$M$134:$M$153,$G1250,月間集計シート!O$134:O$153)*AT$2</f>
        <v>0</v>
      </c>
      <c r="AU1250" s="88">
        <f>SUMIF(月間集計シート!$M$134:$M$153,$G1250,月間集計シート!P$134:P$153)*AU$2</f>
        <v>0</v>
      </c>
      <c r="AV1250" s="88">
        <f>SUMIF(月間集計シート!$M$134:$M$153,$G1250,月間集計シート!Q$134:Q$153)*AV$2</f>
        <v>0</v>
      </c>
      <c r="AW1250" s="88">
        <f>SUMIF(月間集計シート!$M$134:$M$153,$G1250,月間集計シート!R$134:R$153)*AW$2</f>
        <v>0</v>
      </c>
      <c r="AX1250" s="88">
        <f>SUMIF(月間集計シート!$M$134:$M$153,$G1250,月間集計シート!S$134:S$153)*AX$2</f>
        <v>0</v>
      </c>
      <c r="AY1250" s="88">
        <f>SUMIF(月間集計シート!$M$134:$M$153,$G1250,月間集計シート!T$134:T$153)*AY$2</f>
        <v>0</v>
      </c>
    </row>
    <row r="1251" spans="1:51" ht="14.25" thickBot="1">
      <c r="A1251">
        <v>15</v>
      </c>
      <c r="B1251" s="120">
        <f t="shared" si="676"/>
        <v>0</v>
      </c>
      <c r="C1251" s="120" t="str">
        <f t="shared" si="677"/>
        <v/>
      </c>
      <c r="D1251" s="137"/>
      <c r="E1251" s="150">
        <f>工種!A53</f>
        <v>70104</v>
      </c>
      <c r="F1251" s="119" t="str">
        <f>工種!B53</f>
        <v>外部不具合修正：不具合連絡作成</v>
      </c>
      <c r="G1251" s="116" t="str">
        <f t="shared" si="678"/>
        <v>070104</v>
      </c>
      <c r="H1251" s="88">
        <f t="shared" si="675"/>
        <v>0</v>
      </c>
      <c r="I1251" s="132"/>
      <c r="J1251" s="88">
        <f>SUMIF(月間集計シート!$M$29:$M$48,$G1251,月間集計シート!N$29:N$48)*J$2</f>
        <v>0</v>
      </c>
      <c r="K1251" s="88">
        <f>SUMIF(月間集計シート!$M$29:$M$48,$G1251,月間集計シート!O$29:O$48)*K$2</f>
        <v>0</v>
      </c>
      <c r="L1251" s="88">
        <f>SUMIF(月間集計シート!$M$29:$M$48,$G1251,月間集計シート!P$29:P$48)*L$2</f>
        <v>0</v>
      </c>
      <c r="M1251" s="88">
        <f>SUMIF(月間集計シート!$M$29:$M$48,$G1251,月間集計シート!Q$29:Q$48)*M$2</f>
        <v>0</v>
      </c>
      <c r="N1251" s="88">
        <f>SUMIF(月間集計シート!$M$29:$M$48,$G1251,月間集計シート!R$29:R$48)*N$2</f>
        <v>0</v>
      </c>
      <c r="O1251" s="88">
        <f>SUMIF(月間集計シート!$M$29:$M$48,$G1251,月間集計シート!S$29:S$48)*O$2</f>
        <v>0</v>
      </c>
      <c r="P1251" s="88">
        <f>SUMIF(月間集計シート!$M$29:$M$48,$G1251,月間集計シート!T$29:T$48)*P$2</f>
        <v>0</v>
      </c>
      <c r="Q1251" s="88">
        <f>SUMIF(月間集計シート!$M$50:$M$69,$G1251,月間集計シート!N$50:N$69)*Q$2</f>
        <v>0</v>
      </c>
      <c r="R1251" s="88">
        <f>SUMIF(月間集計シート!$M$50:$M$69,$G1251,月間集計シート!O$50:O$69)*R$2</f>
        <v>0</v>
      </c>
      <c r="S1251" s="88">
        <f>SUMIF(月間集計シート!$M$50:$M$69,$G1251,月間集計シート!P$50:P$69)*S$2</f>
        <v>0</v>
      </c>
      <c r="T1251" s="88">
        <f>SUMIF(月間集計シート!$M$50:$M$69,$G1251,月間集計シート!Q$50:Q$69)*T$2</f>
        <v>0</v>
      </c>
      <c r="U1251" s="88">
        <f>SUMIF(月間集計シート!$M$50:$M$69,$G1251,月間集計シート!R$50:R$69)*U$2</f>
        <v>0</v>
      </c>
      <c r="V1251" s="88">
        <f>SUMIF(月間集計シート!$M$50:$M$69,$G1251,月間集計シート!S$50:S$69)*V$2</f>
        <v>0</v>
      </c>
      <c r="W1251" s="88">
        <f>SUMIF(月間集計シート!$M$50:$M$69,$G1251,月間集計シート!T$50:T$69)*W$2</f>
        <v>0</v>
      </c>
      <c r="X1251" s="88">
        <f>SUMIF(月間集計シート!$M$71:$M$90,$G1251,月間集計シート!N$71:N$90)*X$2</f>
        <v>0</v>
      </c>
      <c r="Y1251" s="88">
        <f>SUMIF(月間集計シート!$M$71:$M$90,$G1251,月間集計シート!O$71:O$90)*Y$2</f>
        <v>0</v>
      </c>
      <c r="Z1251" s="88">
        <f>SUMIF(月間集計シート!$M$71:$M$90,$G1251,月間集計シート!P$71:P$90)*Z$2</f>
        <v>0</v>
      </c>
      <c r="AA1251" s="88">
        <f>SUMIF(月間集計シート!$M$71:$M$90,$G1251,月間集計シート!Q$71:Q$90)*AA$2</f>
        <v>0</v>
      </c>
      <c r="AB1251" s="88">
        <f>SUMIF(月間集計シート!$M$71:$M$90,$G1251,月間集計シート!R$71:R$90)*AB$2</f>
        <v>0</v>
      </c>
      <c r="AC1251" s="88">
        <f>SUMIF(月間集計シート!$M$71:$M$90,$G1251,月間集計シート!S$71:S$90)*AC$2</f>
        <v>0</v>
      </c>
      <c r="AD1251" s="88">
        <f>SUMIF(月間集計シート!$M$71:$M$90,$G1251,月間集計シート!T$71:T$90)*AD$2</f>
        <v>0</v>
      </c>
      <c r="AE1251" s="88">
        <f>SUMIF(月間集計シート!$M$92:$M$111,$G1251,月間集計シート!N$92:N$111)*AE$2</f>
        <v>0</v>
      </c>
      <c r="AF1251" s="88">
        <f>SUMIF(月間集計シート!$M$92:$M$111,$G1251,月間集計シート!O$92:O$111)*AF$2</f>
        <v>0</v>
      </c>
      <c r="AG1251" s="88">
        <f>SUMIF(月間集計シート!$M$92:$M$111,$G1251,月間集計シート!P$92:P$111)*AG$2</f>
        <v>0</v>
      </c>
      <c r="AH1251" s="88">
        <f>SUMIF(月間集計シート!$M$92:$M$111,$G1251,月間集計シート!Q$92:Q$111)*AH$2</f>
        <v>0</v>
      </c>
      <c r="AI1251" s="88">
        <f>SUMIF(月間集計シート!$M$92:$M$111,$G1251,月間集計シート!R$92:R$111)*AI$2</f>
        <v>0</v>
      </c>
      <c r="AJ1251" s="88">
        <f>SUMIF(月間集計シート!$M$92:$M$111,$G1251,月間集計シート!S$92:S$111)*AJ$2</f>
        <v>0</v>
      </c>
      <c r="AK1251" s="88">
        <f>SUMIF(月間集計シート!$M$92:$M$111,$G1251,月間集計シート!T$92:T$111)*AK$2</f>
        <v>0</v>
      </c>
      <c r="AL1251" s="88">
        <f>SUMIF(月間集計シート!$M$113:$M$132,$G1251,月間集計シート!N$113:N$132)*AL$2</f>
        <v>0</v>
      </c>
      <c r="AM1251" s="88">
        <f>SUMIF(月間集計シート!$M$113:$M$132,$G1251,月間集計シート!O$113:O$132)*AM$2</f>
        <v>0</v>
      </c>
      <c r="AN1251" s="88">
        <f>SUMIF(月間集計シート!$M$113:$M$132,$G1251,月間集計シート!P$113:P$132)*AN$2</f>
        <v>0</v>
      </c>
      <c r="AO1251" s="88">
        <f>SUMIF(月間集計シート!$M$113:$M$132,$G1251,月間集計シート!Q$113:Q$132)*AO$2</f>
        <v>0</v>
      </c>
      <c r="AP1251" s="88">
        <f>SUMIF(月間集計シート!$M$113:$M$132,$G1251,月間集計シート!R$113:R$132)*AP$2</f>
        <v>0</v>
      </c>
      <c r="AQ1251" s="88">
        <f>SUMIF(月間集計シート!$M$113:$M$132,$G1251,月間集計シート!S$113:S$132)*AQ$2</f>
        <v>0</v>
      </c>
      <c r="AR1251" s="88">
        <f>SUMIF(月間集計シート!$M$113:$M$132,$G1251,月間集計シート!T$113:T$132)*AR$2</f>
        <v>0</v>
      </c>
      <c r="AS1251" s="88">
        <f>SUMIF(月間集計シート!$M$134:$M$153,$G1251,月間集計シート!N$134:N$153)*AS$2</f>
        <v>0</v>
      </c>
      <c r="AT1251" s="88">
        <f>SUMIF(月間集計シート!$M$134:$M$153,$G1251,月間集計シート!O$134:O$153)*AT$2</f>
        <v>0</v>
      </c>
      <c r="AU1251" s="88">
        <f>SUMIF(月間集計シート!$M$134:$M$153,$G1251,月間集計シート!P$134:P$153)*AU$2</f>
        <v>0</v>
      </c>
      <c r="AV1251" s="88">
        <f>SUMIF(月間集計シート!$M$134:$M$153,$G1251,月間集計シート!Q$134:Q$153)*AV$2</f>
        <v>0</v>
      </c>
      <c r="AW1251" s="88">
        <f>SUMIF(月間集計シート!$M$134:$M$153,$G1251,月間集計シート!R$134:R$153)*AW$2</f>
        <v>0</v>
      </c>
      <c r="AX1251" s="88">
        <f>SUMIF(月間集計シート!$M$134:$M$153,$G1251,月間集計シート!S$134:S$153)*AX$2</f>
        <v>0</v>
      </c>
      <c r="AY1251" s="88">
        <f>SUMIF(月間集計シート!$M$134:$M$153,$G1251,月間集計シート!T$134:T$153)*AY$2</f>
        <v>0</v>
      </c>
    </row>
    <row r="1252" spans="1:51" ht="14.25" thickBot="1">
      <c r="A1252">
        <v>15</v>
      </c>
      <c r="B1252" s="120">
        <f t="shared" si="676"/>
        <v>0</v>
      </c>
      <c r="C1252" s="120" t="str">
        <f t="shared" si="677"/>
        <v/>
      </c>
      <c r="D1252" s="137"/>
      <c r="E1252" s="150">
        <f>工種!A54</f>
        <v>70105</v>
      </c>
      <c r="F1252" s="119" t="str">
        <f>工種!B54</f>
        <v>外部不具合修正：差分PGイントラ掲載</v>
      </c>
      <c r="G1252" s="116" t="str">
        <f t="shared" si="678"/>
        <v>070105</v>
      </c>
      <c r="H1252" s="88">
        <f t="shared" si="675"/>
        <v>0</v>
      </c>
      <c r="I1252" s="132"/>
      <c r="J1252" s="88">
        <f>SUMIF(月間集計シート!$M$29:$M$48,$G1252,月間集計シート!N$29:N$48)*J$2</f>
        <v>0</v>
      </c>
      <c r="K1252" s="88">
        <f>SUMIF(月間集計シート!$M$29:$M$48,$G1252,月間集計シート!O$29:O$48)*K$2</f>
        <v>0</v>
      </c>
      <c r="L1252" s="88">
        <f>SUMIF(月間集計シート!$M$29:$M$48,$G1252,月間集計シート!P$29:P$48)*L$2</f>
        <v>0</v>
      </c>
      <c r="M1252" s="88">
        <f>SUMIF(月間集計シート!$M$29:$M$48,$G1252,月間集計シート!Q$29:Q$48)*M$2</f>
        <v>0</v>
      </c>
      <c r="N1252" s="88">
        <f>SUMIF(月間集計シート!$M$29:$M$48,$G1252,月間集計シート!R$29:R$48)*N$2</f>
        <v>0</v>
      </c>
      <c r="O1252" s="88">
        <f>SUMIF(月間集計シート!$M$29:$M$48,$G1252,月間集計シート!S$29:S$48)*O$2</f>
        <v>0</v>
      </c>
      <c r="P1252" s="88">
        <f>SUMIF(月間集計シート!$M$29:$M$48,$G1252,月間集計シート!T$29:T$48)*P$2</f>
        <v>0</v>
      </c>
      <c r="Q1252" s="88">
        <f>SUMIF(月間集計シート!$M$50:$M$69,$G1252,月間集計シート!N$50:N$69)*Q$2</f>
        <v>0</v>
      </c>
      <c r="R1252" s="88">
        <f>SUMIF(月間集計シート!$M$50:$M$69,$G1252,月間集計シート!O$50:O$69)*R$2</f>
        <v>0</v>
      </c>
      <c r="S1252" s="88">
        <f>SUMIF(月間集計シート!$M$50:$M$69,$G1252,月間集計シート!P$50:P$69)*S$2</f>
        <v>0</v>
      </c>
      <c r="T1252" s="88">
        <f>SUMIF(月間集計シート!$M$50:$M$69,$G1252,月間集計シート!Q$50:Q$69)*T$2</f>
        <v>0</v>
      </c>
      <c r="U1252" s="88">
        <f>SUMIF(月間集計シート!$M$50:$M$69,$G1252,月間集計シート!R$50:R$69)*U$2</f>
        <v>0</v>
      </c>
      <c r="V1252" s="88">
        <f>SUMIF(月間集計シート!$M$50:$M$69,$G1252,月間集計シート!S$50:S$69)*V$2</f>
        <v>0</v>
      </c>
      <c r="W1252" s="88">
        <f>SUMIF(月間集計シート!$M$50:$M$69,$G1252,月間集計シート!T$50:T$69)*W$2</f>
        <v>0</v>
      </c>
      <c r="X1252" s="88">
        <f>SUMIF(月間集計シート!$M$71:$M$90,$G1252,月間集計シート!N$71:N$90)*X$2</f>
        <v>0</v>
      </c>
      <c r="Y1252" s="88">
        <f>SUMIF(月間集計シート!$M$71:$M$90,$G1252,月間集計シート!O$71:O$90)*Y$2</f>
        <v>0</v>
      </c>
      <c r="Z1252" s="88">
        <f>SUMIF(月間集計シート!$M$71:$M$90,$G1252,月間集計シート!P$71:P$90)*Z$2</f>
        <v>0</v>
      </c>
      <c r="AA1252" s="88">
        <f>SUMIF(月間集計シート!$M$71:$M$90,$G1252,月間集計シート!Q$71:Q$90)*AA$2</f>
        <v>0</v>
      </c>
      <c r="AB1252" s="88">
        <f>SUMIF(月間集計シート!$M$71:$M$90,$G1252,月間集計シート!R$71:R$90)*AB$2</f>
        <v>0</v>
      </c>
      <c r="AC1252" s="88">
        <f>SUMIF(月間集計シート!$M$71:$M$90,$G1252,月間集計シート!S$71:S$90)*AC$2</f>
        <v>0</v>
      </c>
      <c r="AD1252" s="88">
        <f>SUMIF(月間集計シート!$M$71:$M$90,$G1252,月間集計シート!T$71:T$90)*AD$2</f>
        <v>0</v>
      </c>
      <c r="AE1252" s="88">
        <f>SUMIF(月間集計シート!$M$92:$M$111,$G1252,月間集計シート!N$92:N$111)*AE$2</f>
        <v>0</v>
      </c>
      <c r="AF1252" s="88">
        <f>SUMIF(月間集計シート!$M$92:$M$111,$G1252,月間集計シート!O$92:O$111)*AF$2</f>
        <v>0</v>
      </c>
      <c r="AG1252" s="88">
        <f>SUMIF(月間集計シート!$M$92:$M$111,$G1252,月間集計シート!P$92:P$111)*AG$2</f>
        <v>0</v>
      </c>
      <c r="AH1252" s="88">
        <f>SUMIF(月間集計シート!$M$92:$M$111,$G1252,月間集計シート!Q$92:Q$111)*AH$2</f>
        <v>0</v>
      </c>
      <c r="AI1252" s="88">
        <f>SUMIF(月間集計シート!$M$92:$M$111,$G1252,月間集計シート!R$92:R$111)*AI$2</f>
        <v>0</v>
      </c>
      <c r="AJ1252" s="88">
        <f>SUMIF(月間集計シート!$M$92:$M$111,$G1252,月間集計シート!S$92:S$111)*AJ$2</f>
        <v>0</v>
      </c>
      <c r="AK1252" s="88">
        <f>SUMIF(月間集計シート!$M$92:$M$111,$G1252,月間集計シート!T$92:T$111)*AK$2</f>
        <v>0</v>
      </c>
      <c r="AL1252" s="88">
        <f>SUMIF(月間集計シート!$M$113:$M$132,$G1252,月間集計シート!N$113:N$132)*AL$2</f>
        <v>0</v>
      </c>
      <c r="AM1252" s="88">
        <f>SUMIF(月間集計シート!$M$113:$M$132,$G1252,月間集計シート!O$113:O$132)*AM$2</f>
        <v>0</v>
      </c>
      <c r="AN1252" s="88">
        <f>SUMIF(月間集計シート!$M$113:$M$132,$G1252,月間集計シート!P$113:P$132)*AN$2</f>
        <v>0</v>
      </c>
      <c r="AO1252" s="88">
        <f>SUMIF(月間集計シート!$M$113:$M$132,$G1252,月間集計シート!Q$113:Q$132)*AO$2</f>
        <v>0</v>
      </c>
      <c r="AP1252" s="88">
        <f>SUMIF(月間集計シート!$M$113:$M$132,$G1252,月間集計シート!R$113:R$132)*AP$2</f>
        <v>0</v>
      </c>
      <c r="AQ1252" s="88">
        <f>SUMIF(月間集計シート!$M$113:$M$132,$G1252,月間集計シート!S$113:S$132)*AQ$2</f>
        <v>0</v>
      </c>
      <c r="AR1252" s="88">
        <f>SUMIF(月間集計シート!$M$113:$M$132,$G1252,月間集計シート!T$113:T$132)*AR$2</f>
        <v>0</v>
      </c>
      <c r="AS1252" s="88">
        <f>SUMIF(月間集計シート!$M$134:$M$153,$G1252,月間集計シート!N$134:N$153)*AS$2</f>
        <v>0</v>
      </c>
      <c r="AT1252" s="88">
        <f>SUMIF(月間集計シート!$M$134:$M$153,$G1252,月間集計シート!O$134:O$153)*AT$2</f>
        <v>0</v>
      </c>
      <c r="AU1252" s="88">
        <f>SUMIF(月間集計シート!$M$134:$M$153,$G1252,月間集計シート!P$134:P$153)*AU$2</f>
        <v>0</v>
      </c>
      <c r="AV1252" s="88">
        <f>SUMIF(月間集計シート!$M$134:$M$153,$G1252,月間集計シート!Q$134:Q$153)*AV$2</f>
        <v>0</v>
      </c>
      <c r="AW1252" s="88">
        <f>SUMIF(月間集計シート!$M$134:$M$153,$G1252,月間集計シート!R$134:R$153)*AW$2</f>
        <v>0</v>
      </c>
      <c r="AX1252" s="88">
        <f>SUMIF(月間集計シート!$M$134:$M$153,$G1252,月間集計シート!S$134:S$153)*AX$2</f>
        <v>0</v>
      </c>
      <c r="AY1252" s="88">
        <f>SUMIF(月間集計シート!$M$134:$M$153,$G1252,月間集計シート!T$134:T$153)*AY$2</f>
        <v>0</v>
      </c>
    </row>
    <row r="1253" spans="1:51" ht="14.25" thickBot="1">
      <c r="A1253">
        <v>15</v>
      </c>
      <c r="B1253" s="120">
        <f t="shared" si="676"/>
        <v>0</v>
      </c>
      <c r="C1253" s="120" t="str">
        <f t="shared" si="677"/>
        <v/>
      </c>
      <c r="D1253" s="137"/>
      <c r="E1253" s="150">
        <f>工種!A55</f>
        <v>70106</v>
      </c>
      <c r="F1253" s="119" t="str">
        <f>工種!B55</f>
        <v>外部不具合修正：打合せ</v>
      </c>
      <c r="G1253" s="116" t="str">
        <f t="shared" si="678"/>
        <v>070106</v>
      </c>
      <c r="H1253" s="88">
        <f t="shared" si="675"/>
        <v>0</v>
      </c>
      <c r="I1253" s="132"/>
      <c r="J1253" s="88">
        <f>SUMIF(月間集計シート!$M$29:$M$48,$G1253,月間集計シート!N$29:N$48)*J$2</f>
        <v>0</v>
      </c>
      <c r="K1253" s="88">
        <f>SUMIF(月間集計シート!$M$29:$M$48,$G1253,月間集計シート!O$29:O$48)*K$2</f>
        <v>0</v>
      </c>
      <c r="L1253" s="88">
        <f>SUMIF(月間集計シート!$M$29:$M$48,$G1253,月間集計シート!P$29:P$48)*L$2</f>
        <v>0</v>
      </c>
      <c r="M1253" s="88">
        <f>SUMIF(月間集計シート!$M$29:$M$48,$G1253,月間集計シート!Q$29:Q$48)*M$2</f>
        <v>0</v>
      </c>
      <c r="N1253" s="88">
        <f>SUMIF(月間集計シート!$M$29:$M$48,$G1253,月間集計シート!R$29:R$48)*N$2</f>
        <v>0</v>
      </c>
      <c r="O1253" s="88">
        <f>SUMIF(月間集計シート!$M$29:$M$48,$G1253,月間集計シート!S$29:S$48)*O$2</f>
        <v>0</v>
      </c>
      <c r="P1253" s="88">
        <f>SUMIF(月間集計シート!$M$29:$M$48,$G1253,月間集計シート!T$29:T$48)*P$2</f>
        <v>0</v>
      </c>
      <c r="Q1253" s="88">
        <f>SUMIF(月間集計シート!$M$50:$M$69,$G1253,月間集計シート!N$50:N$69)*Q$2</f>
        <v>0</v>
      </c>
      <c r="R1253" s="88">
        <f>SUMIF(月間集計シート!$M$50:$M$69,$G1253,月間集計シート!O$50:O$69)*R$2</f>
        <v>0</v>
      </c>
      <c r="S1253" s="88">
        <f>SUMIF(月間集計シート!$M$50:$M$69,$G1253,月間集計シート!P$50:P$69)*S$2</f>
        <v>0</v>
      </c>
      <c r="T1253" s="88">
        <f>SUMIF(月間集計シート!$M$50:$M$69,$G1253,月間集計シート!Q$50:Q$69)*T$2</f>
        <v>0</v>
      </c>
      <c r="U1253" s="88">
        <f>SUMIF(月間集計シート!$M$50:$M$69,$G1253,月間集計シート!R$50:R$69)*U$2</f>
        <v>0</v>
      </c>
      <c r="V1253" s="88">
        <f>SUMIF(月間集計シート!$M$50:$M$69,$G1253,月間集計シート!S$50:S$69)*V$2</f>
        <v>0</v>
      </c>
      <c r="W1253" s="88">
        <f>SUMIF(月間集計シート!$M$50:$M$69,$G1253,月間集計シート!T$50:T$69)*W$2</f>
        <v>0</v>
      </c>
      <c r="X1253" s="88">
        <f>SUMIF(月間集計シート!$M$71:$M$90,$G1253,月間集計シート!N$71:N$90)*X$2</f>
        <v>0</v>
      </c>
      <c r="Y1253" s="88">
        <f>SUMIF(月間集計シート!$M$71:$M$90,$G1253,月間集計シート!O$71:O$90)*Y$2</f>
        <v>0</v>
      </c>
      <c r="Z1253" s="88">
        <f>SUMIF(月間集計シート!$M$71:$M$90,$G1253,月間集計シート!P$71:P$90)*Z$2</f>
        <v>0</v>
      </c>
      <c r="AA1253" s="88">
        <f>SUMIF(月間集計シート!$M$71:$M$90,$G1253,月間集計シート!Q$71:Q$90)*AA$2</f>
        <v>0</v>
      </c>
      <c r="AB1253" s="88">
        <f>SUMIF(月間集計シート!$M$71:$M$90,$G1253,月間集計シート!R$71:R$90)*AB$2</f>
        <v>0</v>
      </c>
      <c r="AC1253" s="88">
        <f>SUMIF(月間集計シート!$M$71:$M$90,$G1253,月間集計シート!S$71:S$90)*AC$2</f>
        <v>0</v>
      </c>
      <c r="AD1253" s="88">
        <f>SUMIF(月間集計シート!$M$71:$M$90,$G1253,月間集計シート!T$71:T$90)*AD$2</f>
        <v>0</v>
      </c>
      <c r="AE1253" s="88">
        <f>SUMIF(月間集計シート!$M$92:$M$111,$G1253,月間集計シート!N$92:N$111)*AE$2</f>
        <v>0</v>
      </c>
      <c r="AF1253" s="88">
        <f>SUMIF(月間集計シート!$M$92:$M$111,$G1253,月間集計シート!O$92:O$111)*AF$2</f>
        <v>0</v>
      </c>
      <c r="AG1253" s="88">
        <f>SUMIF(月間集計シート!$M$92:$M$111,$G1253,月間集計シート!P$92:P$111)*AG$2</f>
        <v>0</v>
      </c>
      <c r="AH1253" s="88">
        <f>SUMIF(月間集計シート!$M$92:$M$111,$G1253,月間集計シート!Q$92:Q$111)*AH$2</f>
        <v>0</v>
      </c>
      <c r="AI1253" s="88">
        <f>SUMIF(月間集計シート!$M$92:$M$111,$G1253,月間集計シート!R$92:R$111)*AI$2</f>
        <v>0</v>
      </c>
      <c r="AJ1253" s="88">
        <f>SUMIF(月間集計シート!$M$92:$M$111,$G1253,月間集計シート!S$92:S$111)*AJ$2</f>
        <v>0</v>
      </c>
      <c r="AK1253" s="88">
        <f>SUMIF(月間集計シート!$M$92:$M$111,$G1253,月間集計シート!T$92:T$111)*AK$2</f>
        <v>0</v>
      </c>
      <c r="AL1253" s="88">
        <f>SUMIF(月間集計シート!$M$113:$M$132,$G1253,月間集計シート!N$113:N$132)*AL$2</f>
        <v>0</v>
      </c>
      <c r="AM1253" s="88">
        <f>SUMIF(月間集計シート!$M$113:$M$132,$G1253,月間集計シート!O$113:O$132)*AM$2</f>
        <v>0</v>
      </c>
      <c r="AN1253" s="88">
        <f>SUMIF(月間集計シート!$M$113:$M$132,$G1253,月間集計シート!P$113:P$132)*AN$2</f>
        <v>0</v>
      </c>
      <c r="AO1253" s="88">
        <f>SUMIF(月間集計シート!$M$113:$M$132,$G1253,月間集計シート!Q$113:Q$132)*AO$2</f>
        <v>0</v>
      </c>
      <c r="AP1253" s="88">
        <f>SUMIF(月間集計シート!$M$113:$M$132,$G1253,月間集計シート!R$113:R$132)*AP$2</f>
        <v>0</v>
      </c>
      <c r="AQ1253" s="88">
        <f>SUMIF(月間集計シート!$M$113:$M$132,$G1253,月間集計シート!S$113:S$132)*AQ$2</f>
        <v>0</v>
      </c>
      <c r="AR1253" s="88">
        <f>SUMIF(月間集計シート!$M$113:$M$132,$G1253,月間集計シート!T$113:T$132)*AR$2</f>
        <v>0</v>
      </c>
      <c r="AS1253" s="88">
        <f>SUMIF(月間集計シート!$M$134:$M$153,$G1253,月間集計シート!N$134:N$153)*AS$2</f>
        <v>0</v>
      </c>
      <c r="AT1253" s="88">
        <f>SUMIF(月間集計シート!$M$134:$M$153,$G1253,月間集計シート!O$134:O$153)*AT$2</f>
        <v>0</v>
      </c>
      <c r="AU1253" s="88">
        <f>SUMIF(月間集計シート!$M$134:$M$153,$G1253,月間集計シート!P$134:P$153)*AU$2</f>
        <v>0</v>
      </c>
      <c r="AV1253" s="88">
        <f>SUMIF(月間集計シート!$M$134:$M$153,$G1253,月間集計シート!Q$134:Q$153)*AV$2</f>
        <v>0</v>
      </c>
      <c r="AW1253" s="88">
        <f>SUMIF(月間集計シート!$M$134:$M$153,$G1253,月間集計シート!R$134:R$153)*AW$2</f>
        <v>0</v>
      </c>
      <c r="AX1253" s="88">
        <f>SUMIF(月間集計シート!$M$134:$M$153,$G1253,月間集計シート!S$134:S$153)*AX$2</f>
        <v>0</v>
      </c>
      <c r="AY1253" s="88">
        <f>SUMIF(月間集計シート!$M$134:$M$153,$G1253,月間集計シート!T$134:T$153)*AY$2</f>
        <v>0</v>
      </c>
    </row>
    <row r="1254" spans="1:51" ht="14.25" thickBot="1">
      <c r="A1254">
        <v>15</v>
      </c>
      <c r="B1254" s="120">
        <f t="shared" si="676"/>
        <v>0</v>
      </c>
      <c r="C1254" s="120" t="str">
        <f t="shared" si="677"/>
        <v/>
      </c>
      <c r="D1254" s="137"/>
      <c r="E1254" s="150">
        <f>工種!A56</f>
        <v>70109</v>
      </c>
      <c r="F1254" s="119" t="str">
        <f>工種!B56</f>
        <v>外部不具合修正：レビュー</v>
      </c>
      <c r="G1254" s="116" t="str">
        <f t="shared" si="678"/>
        <v>070109</v>
      </c>
      <c r="H1254" s="88">
        <f t="shared" si="675"/>
        <v>0</v>
      </c>
      <c r="I1254" s="132"/>
      <c r="J1254" s="88">
        <f>SUMIF(月間集計シート!$M$29:$M$48,$G1254,月間集計シート!N$29:N$48)*J$2</f>
        <v>0</v>
      </c>
      <c r="K1254" s="88">
        <f>SUMIF(月間集計シート!$M$29:$M$48,$G1254,月間集計シート!O$29:O$48)*K$2</f>
        <v>0</v>
      </c>
      <c r="L1254" s="88">
        <f>SUMIF(月間集計シート!$M$29:$M$48,$G1254,月間集計シート!P$29:P$48)*L$2</f>
        <v>0</v>
      </c>
      <c r="M1254" s="88">
        <f>SUMIF(月間集計シート!$M$29:$M$48,$G1254,月間集計シート!Q$29:Q$48)*M$2</f>
        <v>0</v>
      </c>
      <c r="N1254" s="88">
        <f>SUMIF(月間集計シート!$M$29:$M$48,$G1254,月間集計シート!R$29:R$48)*N$2</f>
        <v>0</v>
      </c>
      <c r="O1254" s="88">
        <f>SUMIF(月間集計シート!$M$29:$M$48,$G1254,月間集計シート!S$29:S$48)*O$2</f>
        <v>0</v>
      </c>
      <c r="P1254" s="88">
        <f>SUMIF(月間集計シート!$M$29:$M$48,$G1254,月間集計シート!T$29:T$48)*P$2</f>
        <v>0</v>
      </c>
      <c r="Q1254" s="88">
        <f>SUMIF(月間集計シート!$M$50:$M$69,$G1254,月間集計シート!N$50:N$69)*Q$2</f>
        <v>0</v>
      </c>
      <c r="R1254" s="88">
        <f>SUMIF(月間集計シート!$M$50:$M$69,$G1254,月間集計シート!O$50:O$69)*R$2</f>
        <v>0</v>
      </c>
      <c r="S1254" s="88">
        <f>SUMIF(月間集計シート!$M$50:$M$69,$G1254,月間集計シート!P$50:P$69)*S$2</f>
        <v>0</v>
      </c>
      <c r="T1254" s="88">
        <f>SUMIF(月間集計シート!$M$50:$M$69,$G1254,月間集計シート!Q$50:Q$69)*T$2</f>
        <v>0</v>
      </c>
      <c r="U1254" s="88">
        <f>SUMIF(月間集計シート!$M$50:$M$69,$G1254,月間集計シート!R$50:R$69)*U$2</f>
        <v>0</v>
      </c>
      <c r="V1254" s="88">
        <f>SUMIF(月間集計シート!$M$50:$M$69,$G1254,月間集計シート!S$50:S$69)*V$2</f>
        <v>0</v>
      </c>
      <c r="W1254" s="88">
        <f>SUMIF(月間集計シート!$M$50:$M$69,$G1254,月間集計シート!T$50:T$69)*W$2</f>
        <v>0</v>
      </c>
      <c r="X1254" s="88">
        <f>SUMIF(月間集計シート!$M$71:$M$90,$G1254,月間集計シート!N$71:N$90)*X$2</f>
        <v>0</v>
      </c>
      <c r="Y1254" s="88">
        <f>SUMIF(月間集計シート!$M$71:$M$90,$G1254,月間集計シート!O$71:O$90)*Y$2</f>
        <v>0</v>
      </c>
      <c r="Z1254" s="88">
        <f>SUMIF(月間集計シート!$M$71:$M$90,$G1254,月間集計シート!P$71:P$90)*Z$2</f>
        <v>0</v>
      </c>
      <c r="AA1254" s="88">
        <f>SUMIF(月間集計シート!$M$71:$M$90,$G1254,月間集計シート!Q$71:Q$90)*AA$2</f>
        <v>0</v>
      </c>
      <c r="AB1254" s="88">
        <f>SUMIF(月間集計シート!$M$71:$M$90,$G1254,月間集計シート!R$71:R$90)*AB$2</f>
        <v>0</v>
      </c>
      <c r="AC1254" s="88">
        <f>SUMIF(月間集計シート!$M$71:$M$90,$G1254,月間集計シート!S$71:S$90)*AC$2</f>
        <v>0</v>
      </c>
      <c r="AD1254" s="88">
        <f>SUMIF(月間集計シート!$M$71:$M$90,$G1254,月間集計シート!T$71:T$90)*AD$2</f>
        <v>0</v>
      </c>
      <c r="AE1254" s="88">
        <f>SUMIF(月間集計シート!$M$92:$M$111,$G1254,月間集計シート!N$92:N$111)*AE$2</f>
        <v>0</v>
      </c>
      <c r="AF1254" s="88">
        <f>SUMIF(月間集計シート!$M$92:$M$111,$G1254,月間集計シート!O$92:O$111)*AF$2</f>
        <v>0</v>
      </c>
      <c r="AG1254" s="88">
        <f>SUMIF(月間集計シート!$M$92:$M$111,$G1254,月間集計シート!P$92:P$111)*AG$2</f>
        <v>0</v>
      </c>
      <c r="AH1254" s="88">
        <f>SUMIF(月間集計シート!$M$92:$M$111,$G1254,月間集計シート!Q$92:Q$111)*AH$2</f>
        <v>0</v>
      </c>
      <c r="AI1254" s="88">
        <f>SUMIF(月間集計シート!$M$92:$M$111,$G1254,月間集計シート!R$92:R$111)*AI$2</f>
        <v>0</v>
      </c>
      <c r="AJ1254" s="88">
        <f>SUMIF(月間集計シート!$M$92:$M$111,$G1254,月間集計シート!S$92:S$111)*AJ$2</f>
        <v>0</v>
      </c>
      <c r="AK1254" s="88">
        <f>SUMIF(月間集計シート!$M$92:$M$111,$G1254,月間集計シート!T$92:T$111)*AK$2</f>
        <v>0</v>
      </c>
      <c r="AL1254" s="88">
        <f>SUMIF(月間集計シート!$M$113:$M$132,$G1254,月間集計シート!N$113:N$132)*AL$2</f>
        <v>0</v>
      </c>
      <c r="AM1254" s="88">
        <f>SUMIF(月間集計シート!$M$113:$M$132,$G1254,月間集計シート!O$113:O$132)*AM$2</f>
        <v>0</v>
      </c>
      <c r="AN1254" s="88">
        <f>SUMIF(月間集計シート!$M$113:$M$132,$G1254,月間集計シート!P$113:P$132)*AN$2</f>
        <v>0</v>
      </c>
      <c r="AO1254" s="88">
        <f>SUMIF(月間集計シート!$M$113:$M$132,$G1254,月間集計シート!Q$113:Q$132)*AO$2</f>
        <v>0</v>
      </c>
      <c r="AP1254" s="88">
        <f>SUMIF(月間集計シート!$M$113:$M$132,$G1254,月間集計シート!R$113:R$132)*AP$2</f>
        <v>0</v>
      </c>
      <c r="AQ1254" s="88">
        <f>SUMIF(月間集計シート!$M$113:$M$132,$G1254,月間集計シート!S$113:S$132)*AQ$2</f>
        <v>0</v>
      </c>
      <c r="AR1254" s="88">
        <f>SUMIF(月間集計シート!$M$113:$M$132,$G1254,月間集計シート!T$113:T$132)*AR$2</f>
        <v>0</v>
      </c>
      <c r="AS1254" s="88">
        <f>SUMIF(月間集計シート!$M$134:$M$153,$G1254,月間集計シート!N$134:N$153)*AS$2</f>
        <v>0</v>
      </c>
      <c r="AT1254" s="88">
        <f>SUMIF(月間集計シート!$M$134:$M$153,$G1254,月間集計シート!O$134:O$153)*AT$2</f>
        <v>0</v>
      </c>
      <c r="AU1254" s="88">
        <f>SUMIF(月間集計シート!$M$134:$M$153,$G1254,月間集計シート!P$134:P$153)*AU$2</f>
        <v>0</v>
      </c>
      <c r="AV1254" s="88">
        <f>SUMIF(月間集計シート!$M$134:$M$153,$G1254,月間集計シート!Q$134:Q$153)*AV$2</f>
        <v>0</v>
      </c>
      <c r="AW1254" s="88">
        <f>SUMIF(月間集計シート!$M$134:$M$153,$G1254,月間集計シート!R$134:R$153)*AW$2</f>
        <v>0</v>
      </c>
      <c r="AX1254" s="88">
        <f>SUMIF(月間集計シート!$M$134:$M$153,$G1254,月間集計シート!S$134:S$153)*AX$2</f>
        <v>0</v>
      </c>
      <c r="AY1254" s="88">
        <f>SUMIF(月間集計シート!$M$134:$M$153,$G1254,月間集計シート!T$134:T$153)*AY$2</f>
        <v>0</v>
      </c>
    </row>
    <row r="1255" spans="1:51" ht="14.25" thickBot="1">
      <c r="A1255">
        <v>15</v>
      </c>
      <c r="B1255" s="120">
        <f t="shared" si="676"/>
        <v>0</v>
      </c>
      <c r="C1255" s="120" t="str">
        <f t="shared" si="677"/>
        <v/>
      </c>
      <c r="D1255" s="137"/>
      <c r="E1255" s="150">
        <f>工種!A57</f>
        <v>70189</v>
      </c>
      <c r="F1255" s="119" t="str">
        <f>工種!B57</f>
        <v>外部不具合修正：外部不具合分析</v>
      </c>
      <c r="G1255" s="116" t="str">
        <f t="shared" si="678"/>
        <v>070189</v>
      </c>
      <c r="H1255" s="88">
        <f t="shared" si="675"/>
        <v>0</v>
      </c>
      <c r="I1255" s="132"/>
      <c r="J1255" s="88">
        <f>SUMIF(月間集計シート!$M$29:$M$48,$G1255,月間集計シート!N$29:N$48)*J$2</f>
        <v>0</v>
      </c>
      <c r="K1255" s="88">
        <f>SUMIF(月間集計シート!$M$29:$M$48,$G1255,月間集計シート!O$29:O$48)*K$2</f>
        <v>0</v>
      </c>
      <c r="L1255" s="88">
        <f>SUMIF(月間集計シート!$M$29:$M$48,$G1255,月間集計シート!P$29:P$48)*L$2</f>
        <v>0</v>
      </c>
      <c r="M1255" s="88">
        <f>SUMIF(月間集計シート!$M$29:$M$48,$G1255,月間集計シート!Q$29:Q$48)*M$2</f>
        <v>0</v>
      </c>
      <c r="N1255" s="88">
        <f>SUMIF(月間集計シート!$M$29:$M$48,$G1255,月間集計シート!R$29:R$48)*N$2</f>
        <v>0</v>
      </c>
      <c r="O1255" s="88">
        <f>SUMIF(月間集計シート!$M$29:$M$48,$G1255,月間集計シート!S$29:S$48)*O$2</f>
        <v>0</v>
      </c>
      <c r="P1255" s="88">
        <f>SUMIF(月間集計シート!$M$29:$M$48,$G1255,月間集計シート!T$29:T$48)*P$2</f>
        <v>0</v>
      </c>
      <c r="Q1255" s="88">
        <f>SUMIF(月間集計シート!$M$50:$M$69,$G1255,月間集計シート!N$50:N$69)*Q$2</f>
        <v>0</v>
      </c>
      <c r="R1255" s="88">
        <f>SUMIF(月間集計シート!$M$50:$M$69,$G1255,月間集計シート!O$50:O$69)*R$2</f>
        <v>0</v>
      </c>
      <c r="S1255" s="88">
        <f>SUMIF(月間集計シート!$M$50:$M$69,$G1255,月間集計シート!P$50:P$69)*S$2</f>
        <v>0</v>
      </c>
      <c r="T1255" s="88">
        <f>SUMIF(月間集計シート!$M$50:$M$69,$G1255,月間集計シート!Q$50:Q$69)*T$2</f>
        <v>0</v>
      </c>
      <c r="U1255" s="88">
        <f>SUMIF(月間集計シート!$M$50:$M$69,$G1255,月間集計シート!R$50:R$69)*U$2</f>
        <v>0</v>
      </c>
      <c r="V1255" s="88">
        <f>SUMIF(月間集計シート!$M$50:$M$69,$G1255,月間集計シート!S$50:S$69)*V$2</f>
        <v>0</v>
      </c>
      <c r="W1255" s="88">
        <f>SUMIF(月間集計シート!$M$50:$M$69,$G1255,月間集計シート!T$50:T$69)*W$2</f>
        <v>0</v>
      </c>
      <c r="X1255" s="88">
        <f>SUMIF(月間集計シート!$M$71:$M$90,$G1255,月間集計シート!N$71:N$90)*X$2</f>
        <v>0</v>
      </c>
      <c r="Y1255" s="88">
        <f>SUMIF(月間集計シート!$M$71:$M$90,$G1255,月間集計シート!O$71:O$90)*Y$2</f>
        <v>0</v>
      </c>
      <c r="Z1255" s="88">
        <f>SUMIF(月間集計シート!$M$71:$M$90,$G1255,月間集計シート!P$71:P$90)*Z$2</f>
        <v>0</v>
      </c>
      <c r="AA1255" s="88">
        <f>SUMIF(月間集計シート!$M$71:$M$90,$G1255,月間集計シート!Q$71:Q$90)*AA$2</f>
        <v>0</v>
      </c>
      <c r="AB1255" s="88">
        <f>SUMIF(月間集計シート!$M$71:$M$90,$G1255,月間集計シート!R$71:R$90)*AB$2</f>
        <v>0</v>
      </c>
      <c r="AC1255" s="88">
        <f>SUMIF(月間集計シート!$M$71:$M$90,$G1255,月間集計シート!S$71:S$90)*AC$2</f>
        <v>0</v>
      </c>
      <c r="AD1255" s="88">
        <f>SUMIF(月間集計シート!$M$71:$M$90,$G1255,月間集計シート!T$71:T$90)*AD$2</f>
        <v>0</v>
      </c>
      <c r="AE1255" s="88">
        <f>SUMIF(月間集計シート!$M$92:$M$111,$G1255,月間集計シート!N$92:N$111)*AE$2</f>
        <v>0</v>
      </c>
      <c r="AF1255" s="88">
        <f>SUMIF(月間集計シート!$M$92:$M$111,$G1255,月間集計シート!O$92:O$111)*AF$2</f>
        <v>0</v>
      </c>
      <c r="AG1255" s="88">
        <f>SUMIF(月間集計シート!$M$92:$M$111,$G1255,月間集計シート!P$92:P$111)*AG$2</f>
        <v>0</v>
      </c>
      <c r="AH1255" s="88">
        <f>SUMIF(月間集計シート!$M$92:$M$111,$G1255,月間集計シート!Q$92:Q$111)*AH$2</f>
        <v>0</v>
      </c>
      <c r="AI1255" s="88">
        <f>SUMIF(月間集計シート!$M$92:$M$111,$G1255,月間集計シート!R$92:R$111)*AI$2</f>
        <v>0</v>
      </c>
      <c r="AJ1255" s="88">
        <f>SUMIF(月間集計シート!$M$92:$M$111,$G1255,月間集計シート!S$92:S$111)*AJ$2</f>
        <v>0</v>
      </c>
      <c r="AK1255" s="88">
        <f>SUMIF(月間集計シート!$M$92:$M$111,$G1255,月間集計シート!T$92:T$111)*AK$2</f>
        <v>0</v>
      </c>
      <c r="AL1255" s="88">
        <f>SUMIF(月間集計シート!$M$113:$M$132,$G1255,月間集計シート!N$113:N$132)*AL$2</f>
        <v>0</v>
      </c>
      <c r="AM1255" s="88">
        <f>SUMIF(月間集計シート!$M$113:$M$132,$G1255,月間集計シート!O$113:O$132)*AM$2</f>
        <v>0</v>
      </c>
      <c r="AN1255" s="88">
        <f>SUMIF(月間集計シート!$M$113:$M$132,$G1255,月間集計シート!P$113:P$132)*AN$2</f>
        <v>0</v>
      </c>
      <c r="AO1255" s="88">
        <f>SUMIF(月間集計シート!$M$113:$M$132,$G1255,月間集計シート!Q$113:Q$132)*AO$2</f>
        <v>0</v>
      </c>
      <c r="AP1255" s="88">
        <f>SUMIF(月間集計シート!$M$113:$M$132,$G1255,月間集計シート!R$113:R$132)*AP$2</f>
        <v>0</v>
      </c>
      <c r="AQ1255" s="88">
        <f>SUMIF(月間集計シート!$M$113:$M$132,$G1255,月間集計シート!S$113:S$132)*AQ$2</f>
        <v>0</v>
      </c>
      <c r="AR1255" s="88">
        <f>SUMIF(月間集計シート!$M$113:$M$132,$G1255,月間集計シート!T$113:T$132)*AR$2</f>
        <v>0</v>
      </c>
      <c r="AS1255" s="88">
        <f>SUMIF(月間集計シート!$M$134:$M$153,$G1255,月間集計シート!N$134:N$153)*AS$2</f>
        <v>0</v>
      </c>
      <c r="AT1255" s="88">
        <f>SUMIF(月間集計シート!$M$134:$M$153,$G1255,月間集計シート!O$134:O$153)*AT$2</f>
        <v>0</v>
      </c>
      <c r="AU1255" s="88">
        <f>SUMIF(月間集計シート!$M$134:$M$153,$G1255,月間集計シート!P$134:P$153)*AU$2</f>
        <v>0</v>
      </c>
      <c r="AV1255" s="88">
        <f>SUMIF(月間集計シート!$M$134:$M$153,$G1255,月間集計シート!Q$134:Q$153)*AV$2</f>
        <v>0</v>
      </c>
      <c r="AW1255" s="88">
        <f>SUMIF(月間集計シート!$M$134:$M$153,$G1255,月間集計シート!R$134:R$153)*AW$2</f>
        <v>0</v>
      </c>
      <c r="AX1255" s="88">
        <f>SUMIF(月間集計シート!$M$134:$M$153,$G1255,月間集計シート!S$134:S$153)*AX$2</f>
        <v>0</v>
      </c>
      <c r="AY1255" s="88">
        <f>SUMIF(月間集計シート!$M$134:$M$153,$G1255,月間集計シート!T$134:T$153)*AY$2</f>
        <v>0</v>
      </c>
    </row>
    <row r="1256" spans="1:51" ht="14.25" thickBot="1">
      <c r="A1256">
        <v>15</v>
      </c>
      <c r="B1256" s="120">
        <f t="shared" si="676"/>
        <v>0</v>
      </c>
      <c r="C1256" s="120" t="str">
        <f t="shared" si="677"/>
        <v/>
      </c>
      <c r="D1256" s="137"/>
      <c r="E1256" s="150">
        <f>工種!A58</f>
        <v>70199</v>
      </c>
      <c r="F1256" s="119" t="str">
        <f>工種!B58</f>
        <v>外部不具合修正：その他</v>
      </c>
      <c r="G1256" s="116" t="str">
        <f t="shared" si="678"/>
        <v>070199</v>
      </c>
      <c r="H1256" s="88">
        <f t="shared" si="675"/>
        <v>0</v>
      </c>
      <c r="I1256" s="132"/>
      <c r="J1256" s="88">
        <f>SUMIF(月間集計シート!$M$29:$M$48,$G1256,月間集計シート!N$29:N$48)*J$2</f>
        <v>0</v>
      </c>
      <c r="K1256" s="88">
        <f>SUMIF(月間集計シート!$M$29:$M$48,$G1256,月間集計シート!O$29:O$48)*K$2</f>
        <v>0</v>
      </c>
      <c r="L1256" s="88">
        <f>SUMIF(月間集計シート!$M$29:$M$48,$G1256,月間集計シート!P$29:P$48)*L$2</f>
        <v>0</v>
      </c>
      <c r="M1256" s="88">
        <f>SUMIF(月間集計シート!$M$29:$M$48,$G1256,月間集計シート!Q$29:Q$48)*M$2</f>
        <v>0</v>
      </c>
      <c r="N1256" s="88">
        <f>SUMIF(月間集計シート!$M$29:$M$48,$G1256,月間集計シート!R$29:R$48)*N$2</f>
        <v>0</v>
      </c>
      <c r="O1256" s="88">
        <f>SUMIF(月間集計シート!$M$29:$M$48,$G1256,月間集計シート!S$29:S$48)*O$2</f>
        <v>0</v>
      </c>
      <c r="P1256" s="88">
        <f>SUMIF(月間集計シート!$M$29:$M$48,$G1256,月間集計シート!T$29:T$48)*P$2</f>
        <v>0</v>
      </c>
      <c r="Q1256" s="88">
        <f>SUMIF(月間集計シート!$M$50:$M$69,$G1256,月間集計シート!N$50:N$69)*Q$2</f>
        <v>0</v>
      </c>
      <c r="R1256" s="88">
        <f>SUMIF(月間集計シート!$M$50:$M$69,$G1256,月間集計シート!O$50:O$69)*R$2</f>
        <v>0</v>
      </c>
      <c r="S1256" s="88">
        <f>SUMIF(月間集計シート!$M$50:$M$69,$G1256,月間集計シート!P$50:P$69)*S$2</f>
        <v>0</v>
      </c>
      <c r="T1256" s="88">
        <f>SUMIF(月間集計シート!$M$50:$M$69,$G1256,月間集計シート!Q$50:Q$69)*T$2</f>
        <v>0</v>
      </c>
      <c r="U1256" s="88">
        <f>SUMIF(月間集計シート!$M$50:$M$69,$G1256,月間集計シート!R$50:R$69)*U$2</f>
        <v>0</v>
      </c>
      <c r="V1256" s="88">
        <f>SUMIF(月間集計シート!$M$50:$M$69,$G1256,月間集計シート!S$50:S$69)*V$2</f>
        <v>0</v>
      </c>
      <c r="W1256" s="88">
        <f>SUMIF(月間集計シート!$M$50:$M$69,$G1256,月間集計シート!T$50:T$69)*W$2</f>
        <v>0</v>
      </c>
      <c r="X1256" s="88">
        <f>SUMIF(月間集計シート!$M$71:$M$90,$G1256,月間集計シート!N$71:N$90)*X$2</f>
        <v>0</v>
      </c>
      <c r="Y1256" s="88">
        <f>SUMIF(月間集計シート!$M$71:$M$90,$G1256,月間集計シート!O$71:O$90)*Y$2</f>
        <v>0</v>
      </c>
      <c r="Z1256" s="88">
        <f>SUMIF(月間集計シート!$M$71:$M$90,$G1256,月間集計シート!P$71:P$90)*Z$2</f>
        <v>0</v>
      </c>
      <c r="AA1256" s="88">
        <f>SUMIF(月間集計シート!$M$71:$M$90,$G1256,月間集計シート!Q$71:Q$90)*AA$2</f>
        <v>0</v>
      </c>
      <c r="AB1256" s="88">
        <f>SUMIF(月間集計シート!$M$71:$M$90,$G1256,月間集計シート!R$71:R$90)*AB$2</f>
        <v>0</v>
      </c>
      <c r="AC1256" s="88">
        <f>SUMIF(月間集計シート!$M$71:$M$90,$G1256,月間集計シート!S$71:S$90)*AC$2</f>
        <v>0</v>
      </c>
      <c r="AD1256" s="88">
        <f>SUMIF(月間集計シート!$M$71:$M$90,$G1256,月間集計シート!T$71:T$90)*AD$2</f>
        <v>0</v>
      </c>
      <c r="AE1256" s="88">
        <f>SUMIF(月間集計シート!$M$92:$M$111,$G1256,月間集計シート!N$92:N$111)*AE$2</f>
        <v>0</v>
      </c>
      <c r="AF1256" s="88">
        <f>SUMIF(月間集計シート!$M$92:$M$111,$G1256,月間集計シート!O$92:O$111)*AF$2</f>
        <v>0</v>
      </c>
      <c r="AG1256" s="88">
        <f>SUMIF(月間集計シート!$M$92:$M$111,$G1256,月間集計シート!P$92:P$111)*AG$2</f>
        <v>0</v>
      </c>
      <c r="AH1256" s="88">
        <f>SUMIF(月間集計シート!$M$92:$M$111,$G1256,月間集計シート!Q$92:Q$111)*AH$2</f>
        <v>0</v>
      </c>
      <c r="AI1256" s="88">
        <f>SUMIF(月間集計シート!$M$92:$M$111,$G1256,月間集計シート!R$92:R$111)*AI$2</f>
        <v>0</v>
      </c>
      <c r="AJ1256" s="88">
        <f>SUMIF(月間集計シート!$M$92:$M$111,$G1256,月間集計シート!S$92:S$111)*AJ$2</f>
        <v>0</v>
      </c>
      <c r="AK1256" s="88">
        <f>SUMIF(月間集計シート!$M$92:$M$111,$G1256,月間集計シート!T$92:T$111)*AK$2</f>
        <v>0</v>
      </c>
      <c r="AL1256" s="88">
        <f>SUMIF(月間集計シート!$M$113:$M$132,$G1256,月間集計シート!N$113:N$132)*AL$2</f>
        <v>0</v>
      </c>
      <c r="AM1256" s="88">
        <f>SUMIF(月間集計シート!$M$113:$M$132,$G1256,月間集計シート!O$113:O$132)*AM$2</f>
        <v>0</v>
      </c>
      <c r="AN1256" s="88">
        <f>SUMIF(月間集計シート!$M$113:$M$132,$G1256,月間集計シート!P$113:P$132)*AN$2</f>
        <v>0</v>
      </c>
      <c r="AO1256" s="88">
        <f>SUMIF(月間集計シート!$M$113:$M$132,$G1256,月間集計シート!Q$113:Q$132)*AO$2</f>
        <v>0</v>
      </c>
      <c r="AP1256" s="88">
        <f>SUMIF(月間集計シート!$M$113:$M$132,$G1256,月間集計シート!R$113:R$132)*AP$2</f>
        <v>0</v>
      </c>
      <c r="AQ1256" s="88">
        <f>SUMIF(月間集計シート!$M$113:$M$132,$G1256,月間集計シート!S$113:S$132)*AQ$2</f>
        <v>0</v>
      </c>
      <c r="AR1256" s="88">
        <f>SUMIF(月間集計シート!$M$113:$M$132,$G1256,月間集計シート!T$113:T$132)*AR$2</f>
        <v>0</v>
      </c>
      <c r="AS1256" s="88">
        <f>SUMIF(月間集計シート!$M$134:$M$153,$G1256,月間集計シート!N$134:N$153)*AS$2</f>
        <v>0</v>
      </c>
      <c r="AT1256" s="88">
        <f>SUMIF(月間集計シート!$M$134:$M$153,$G1256,月間集計シート!O$134:O$153)*AT$2</f>
        <v>0</v>
      </c>
      <c r="AU1256" s="88">
        <f>SUMIF(月間集計シート!$M$134:$M$153,$G1256,月間集計シート!P$134:P$153)*AU$2</f>
        <v>0</v>
      </c>
      <c r="AV1256" s="88">
        <f>SUMIF(月間集計シート!$M$134:$M$153,$G1256,月間集計シート!Q$134:Q$153)*AV$2</f>
        <v>0</v>
      </c>
      <c r="AW1256" s="88">
        <f>SUMIF(月間集計シート!$M$134:$M$153,$G1256,月間集計シート!R$134:R$153)*AW$2</f>
        <v>0</v>
      </c>
      <c r="AX1256" s="88">
        <f>SUMIF(月間集計シート!$M$134:$M$153,$G1256,月間集計シート!S$134:S$153)*AX$2</f>
        <v>0</v>
      </c>
      <c r="AY1256" s="88">
        <f>SUMIF(月間集計シート!$M$134:$M$153,$G1256,月間集計シート!T$134:T$153)*AY$2</f>
        <v>0</v>
      </c>
    </row>
    <row r="1257" spans="1:51" ht="14.25" thickBot="1">
      <c r="A1257">
        <v>15</v>
      </c>
      <c r="B1257" s="120">
        <f t="shared" si="676"/>
        <v>0</v>
      </c>
      <c r="C1257" s="120" t="str">
        <f t="shared" si="677"/>
        <v/>
      </c>
      <c r="D1257" s="137"/>
      <c r="E1257" s="150" t="str">
        <f>工種!A59</f>
        <v>80101</v>
      </c>
      <c r="F1257" s="119" t="str">
        <f>工種!B59</f>
        <v>保守／ｻﾎﾟｰﾄ：調査</v>
      </c>
      <c r="G1257" s="116" t="str">
        <f t="shared" si="678"/>
        <v>080101</v>
      </c>
      <c r="H1257" s="88">
        <f t="shared" si="675"/>
        <v>0</v>
      </c>
      <c r="I1257" s="132"/>
      <c r="J1257" s="88">
        <f>SUMIF(月間集計シート!$M$29:$M$48,$G1257,月間集計シート!N$29:N$48)*J$2</f>
        <v>0</v>
      </c>
      <c r="K1257" s="88">
        <f>SUMIF(月間集計シート!$M$29:$M$48,$G1257,月間集計シート!O$29:O$48)*K$2</f>
        <v>0</v>
      </c>
      <c r="L1257" s="88">
        <f>SUMIF(月間集計シート!$M$29:$M$48,$G1257,月間集計シート!P$29:P$48)*L$2</f>
        <v>0</v>
      </c>
      <c r="M1257" s="88">
        <f>SUMIF(月間集計シート!$M$29:$M$48,$G1257,月間集計シート!Q$29:Q$48)*M$2</f>
        <v>0</v>
      </c>
      <c r="N1257" s="88">
        <f>SUMIF(月間集計シート!$M$29:$M$48,$G1257,月間集計シート!R$29:R$48)*N$2</f>
        <v>0</v>
      </c>
      <c r="O1257" s="88">
        <f>SUMIF(月間集計シート!$M$29:$M$48,$G1257,月間集計シート!S$29:S$48)*O$2</f>
        <v>0</v>
      </c>
      <c r="P1257" s="88">
        <f>SUMIF(月間集計シート!$M$29:$M$48,$G1257,月間集計シート!T$29:T$48)*P$2</f>
        <v>0</v>
      </c>
      <c r="Q1257" s="88">
        <f>SUMIF(月間集計シート!$M$50:$M$69,$G1257,月間集計シート!N$50:N$69)*Q$2</f>
        <v>0</v>
      </c>
      <c r="R1257" s="88">
        <f>SUMIF(月間集計シート!$M$50:$M$69,$G1257,月間集計シート!O$50:O$69)*R$2</f>
        <v>0</v>
      </c>
      <c r="S1257" s="88">
        <f>SUMIF(月間集計シート!$M$50:$M$69,$G1257,月間集計シート!P$50:P$69)*S$2</f>
        <v>0</v>
      </c>
      <c r="T1257" s="88">
        <f>SUMIF(月間集計シート!$M$50:$M$69,$G1257,月間集計シート!Q$50:Q$69)*T$2</f>
        <v>0</v>
      </c>
      <c r="U1257" s="88">
        <f>SUMIF(月間集計シート!$M$50:$M$69,$G1257,月間集計シート!R$50:R$69)*U$2</f>
        <v>0</v>
      </c>
      <c r="V1257" s="88">
        <f>SUMIF(月間集計シート!$M$50:$M$69,$G1257,月間集計シート!S$50:S$69)*V$2</f>
        <v>0</v>
      </c>
      <c r="W1257" s="88">
        <f>SUMIF(月間集計シート!$M$50:$M$69,$G1257,月間集計シート!T$50:T$69)*W$2</f>
        <v>0</v>
      </c>
      <c r="X1257" s="88">
        <f>SUMIF(月間集計シート!$M$71:$M$90,$G1257,月間集計シート!N$71:N$90)*X$2</f>
        <v>0</v>
      </c>
      <c r="Y1257" s="88">
        <f>SUMIF(月間集計シート!$M$71:$M$90,$G1257,月間集計シート!O$71:O$90)*Y$2</f>
        <v>0</v>
      </c>
      <c r="Z1257" s="88">
        <f>SUMIF(月間集計シート!$M$71:$M$90,$G1257,月間集計シート!P$71:P$90)*Z$2</f>
        <v>0</v>
      </c>
      <c r="AA1257" s="88">
        <f>SUMIF(月間集計シート!$M$71:$M$90,$G1257,月間集計シート!Q$71:Q$90)*AA$2</f>
        <v>0</v>
      </c>
      <c r="AB1257" s="88">
        <f>SUMIF(月間集計シート!$M$71:$M$90,$G1257,月間集計シート!R$71:R$90)*AB$2</f>
        <v>0</v>
      </c>
      <c r="AC1257" s="88">
        <f>SUMIF(月間集計シート!$M$71:$M$90,$G1257,月間集計シート!S$71:S$90)*AC$2</f>
        <v>0</v>
      </c>
      <c r="AD1257" s="88">
        <f>SUMIF(月間集計シート!$M$71:$M$90,$G1257,月間集計シート!T$71:T$90)*AD$2</f>
        <v>0</v>
      </c>
      <c r="AE1257" s="88">
        <f>SUMIF(月間集計シート!$M$92:$M$111,$G1257,月間集計シート!N$92:N$111)*AE$2</f>
        <v>0</v>
      </c>
      <c r="AF1257" s="88">
        <f>SUMIF(月間集計シート!$M$92:$M$111,$G1257,月間集計シート!O$92:O$111)*AF$2</f>
        <v>0</v>
      </c>
      <c r="AG1257" s="88">
        <f>SUMIF(月間集計シート!$M$92:$M$111,$G1257,月間集計シート!P$92:P$111)*AG$2</f>
        <v>0</v>
      </c>
      <c r="AH1257" s="88">
        <f>SUMIF(月間集計シート!$M$92:$M$111,$G1257,月間集計シート!Q$92:Q$111)*AH$2</f>
        <v>0</v>
      </c>
      <c r="AI1257" s="88">
        <f>SUMIF(月間集計シート!$M$92:$M$111,$G1257,月間集計シート!R$92:R$111)*AI$2</f>
        <v>0</v>
      </c>
      <c r="AJ1257" s="88">
        <f>SUMIF(月間集計シート!$M$92:$M$111,$G1257,月間集計シート!S$92:S$111)*AJ$2</f>
        <v>0</v>
      </c>
      <c r="AK1257" s="88">
        <f>SUMIF(月間集計シート!$M$92:$M$111,$G1257,月間集計シート!T$92:T$111)*AK$2</f>
        <v>0</v>
      </c>
      <c r="AL1257" s="88">
        <f>SUMIF(月間集計シート!$M$113:$M$132,$G1257,月間集計シート!N$113:N$132)*AL$2</f>
        <v>0</v>
      </c>
      <c r="AM1257" s="88">
        <f>SUMIF(月間集計シート!$M$113:$M$132,$G1257,月間集計シート!O$113:O$132)*AM$2</f>
        <v>0</v>
      </c>
      <c r="AN1257" s="88">
        <f>SUMIF(月間集計シート!$M$113:$M$132,$G1257,月間集計シート!P$113:P$132)*AN$2</f>
        <v>0</v>
      </c>
      <c r="AO1257" s="88">
        <f>SUMIF(月間集計シート!$M$113:$M$132,$G1257,月間集計シート!Q$113:Q$132)*AO$2</f>
        <v>0</v>
      </c>
      <c r="AP1257" s="88">
        <f>SUMIF(月間集計シート!$M$113:$M$132,$G1257,月間集計シート!R$113:R$132)*AP$2</f>
        <v>0</v>
      </c>
      <c r="AQ1257" s="88">
        <f>SUMIF(月間集計シート!$M$113:$M$132,$G1257,月間集計シート!S$113:S$132)*AQ$2</f>
        <v>0</v>
      </c>
      <c r="AR1257" s="88">
        <f>SUMIF(月間集計シート!$M$113:$M$132,$G1257,月間集計シート!T$113:T$132)*AR$2</f>
        <v>0</v>
      </c>
      <c r="AS1257" s="88">
        <f>SUMIF(月間集計シート!$M$134:$M$153,$G1257,月間集計シート!N$134:N$153)*AS$2</f>
        <v>0</v>
      </c>
      <c r="AT1257" s="88">
        <f>SUMIF(月間集計シート!$M$134:$M$153,$G1257,月間集計シート!O$134:O$153)*AT$2</f>
        <v>0</v>
      </c>
      <c r="AU1257" s="88">
        <f>SUMIF(月間集計シート!$M$134:$M$153,$G1257,月間集計シート!P$134:P$153)*AU$2</f>
        <v>0</v>
      </c>
      <c r="AV1257" s="88">
        <f>SUMIF(月間集計シート!$M$134:$M$153,$G1257,月間集計シート!Q$134:Q$153)*AV$2</f>
        <v>0</v>
      </c>
      <c r="AW1257" s="88">
        <f>SUMIF(月間集計シート!$M$134:$M$153,$G1257,月間集計シート!R$134:R$153)*AW$2</f>
        <v>0</v>
      </c>
      <c r="AX1257" s="88">
        <f>SUMIF(月間集計シート!$M$134:$M$153,$G1257,月間集計シート!S$134:S$153)*AX$2</f>
        <v>0</v>
      </c>
      <c r="AY1257" s="88">
        <f>SUMIF(月間集計シート!$M$134:$M$153,$G1257,月間集計シート!T$134:T$153)*AY$2</f>
        <v>0</v>
      </c>
    </row>
    <row r="1258" spans="1:51" ht="14.25" thickBot="1">
      <c r="A1258">
        <v>15</v>
      </c>
      <c r="B1258" s="120">
        <f t="shared" si="676"/>
        <v>0</v>
      </c>
      <c r="C1258" s="120" t="str">
        <f t="shared" si="677"/>
        <v/>
      </c>
      <c r="D1258" s="137"/>
      <c r="E1258" s="150" t="str">
        <f>工種!A60</f>
        <v>80102</v>
      </c>
      <c r="F1258" s="119" t="str">
        <f>工種!B60</f>
        <v>保守／ｻﾎﾟｰﾄ：社内問い合わせ</v>
      </c>
      <c r="G1258" s="116" t="str">
        <f t="shared" si="678"/>
        <v>080102</v>
      </c>
      <c r="H1258" s="88">
        <f t="shared" si="675"/>
        <v>0</v>
      </c>
      <c r="I1258" s="132"/>
      <c r="J1258" s="88">
        <f>SUMIF(月間集計シート!$M$29:$M$48,$G1258,月間集計シート!N$29:N$48)*J$2</f>
        <v>0</v>
      </c>
      <c r="K1258" s="88">
        <f>SUMIF(月間集計シート!$M$29:$M$48,$G1258,月間集計シート!O$29:O$48)*K$2</f>
        <v>0</v>
      </c>
      <c r="L1258" s="88">
        <f>SUMIF(月間集計シート!$M$29:$M$48,$G1258,月間集計シート!P$29:P$48)*L$2</f>
        <v>0</v>
      </c>
      <c r="M1258" s="88">
        <f>SUMIF(月間集計シート!$M$29:$M$48,$G1258,月間集計シート!Q$29:Q$48)*M$2</f>
        <v>0</v>
      </c>
      <c r="N1258" s="88">
        <f>SUMIF(月間集計シート!$M$29:$M$48,$G1258,月間集計シート!R$29:R$48)*N$2</f>
        <v>0</v>
      </c>
      <c r="O1258" s="88">
        <f>SUMIF(月間集計シート!$M$29:$M$48,$G1258,月間集計シート!S$29:S$48)*O$2</f>
        <v>0</v>
      </c>
      <c r="P1258" s="88">
        <f>SUMIF(月間集計シート!$M$29:$M$48,$G1258,月間集計シート!T$29:T$48)*P$2</f>
        <v>0</v>
      </c>
      <c r="Q1258" s="88">
        <f>SUMIF(月間集計シート!$M$50:$M$69,$G1258,月間集計シート!N$50:N$69)*Q$2</f>
        <v>0</v>
      </c>
      <c r="R1258" s="88">
        <f>SUMIF(月間集計シート!$M$50:$M$69,$G1258,月間集計シート!O$50:O$69)*R$2</f>
        <v>0</v>
      </c>
      <c r="S1258" s="88">
        <f>SUMIF(月間集計シート!$M$50:$M$69,$G1258,月間集計シート!P$50:P$69)*S$2</f>
        <v>0</v>
      </c>
      <c r="T1258" s="88">
        <f>SUMIF(月間集計シート!$M$50:$M$69,$G1258,月間集計シート!Q$50:Q$69)*T$2</f>
        <v>0</v>
      </c>
      <c r="U1258" s="88">
        <f>SUMIF(月間集計シート!$M$50:$M$69,$G1258,月間集計シート!R$50:R$69)*U$2</f>
        <v>0</v>
      </c>
      <c r="V1258" s="88">
        <f>SUMIF(月間集計シート!$M$50:$M$69,$G1258,月間集計シート!S$50:S$69)*V$2</f>
        <v>0</v>
      </c>
      <c r="W1258" s="88">
        <f>SUMIF(月間集計シート!$M$50:$M$69,$G1258,月間集計シート!T$50:T$69)*W$2</f>
        <v>0</v>
      </c>
      <c r="X1258" s="88">
        <f>SUMIF(月間集計シート!$M$71:$M$90,$G1258,月間集計シート!N$71:N$90)*X$2</f>
        <v>0</v>
      </c>
      <c r="Y1258" s="88">
        <f>SUMIF(月間集計シート!$M$71:$M$90,$G1258,月間集計シート!O$71:O$90)*Y$2</f>
        <v>0</v>
      </c>
      <c r="Z1258" s="88">
        <f>SUMIF(月間集計シート!$M$71:$M$90,$G1258,月間集計シート!P$71:P$90)*Z$2</f>
        <v>0</v>
      </c>
      <c r="AA1258" s="88">
        <f>SUMIF(月間集計シート!$M$71:$M$90,$G1258,月間集計シート!Q$71:Q$90)*AA$2</f>
        <v>0</v>
      </c>
      <c r="AB1258" s="88">
        <f>SUMIF(月間集計シート!$M$71:$M$90,$G1258,月間集計シート!R$71:R$90)*AB$2</f>
        <v>0</v>
      </c>
      <c r="AC1258" s="88">
        <f>SUMIF(月間集計シート!$M$71:$M$90,$G1258,月間集計シート!S$71:S$90)*AC$2</f>
        <v>0</v>
      </c>
      <c r="AD1258" s="88">
        <f>SUMIF(月間集計シート!$M$71:$M$90,$G1258,月間集計シート!T$71:T$90)*AD$2</f>
        <v>0</v>
      </c>
      <c r="AE1258" s="88">
        <f>SUMIF(月間集計シート!$M$92:$M$111,$G1258,月間集計シート!N$92:N$111)*AE$2</f>
        <v>0</v>
      </c>
      <c r="AF1258" s="88">
        <f>SUMIF(月間集計シート!$M$92:$M$111,$G1258,月間集計シート!O$92:O$111)*AF$2</f>
        <v>0</v>
      </c>
      <c r="AG1258" s="88">
        <f>SUMIF(月間集計シート!$M$92:$M$111,$G1258,月間集計シート!P$92:P$111)*AG$2</f>
        <v>0</v>
      </c>
      <c r="AH1258" s="88">
        <f>SUMIF(月間集計シート!$M$92:$M$111,$G1258,月間集計シート!Q$92:Q$111)*AH$2</f>
        <v>0</v>
      </c>
      <c r="AI1258" s="88">
        <f>SUMIF(月間集計シート!$M$92:$M$111,$G1258,月間集計シート!R$92:R$111)*AI$2</f>
        <v>0</v>
      </c>
      <c r="AJ1258" s="88">
        <f>SUMIF(月間集計シート!$M$92:$M$111,$G1258,月間集計シート!S$92:S$111)*AJ$2</f>
        <v>0</v>
      </c>
      <c r="AK1258" s="88">
        <f>SUMIF(月間集計シート!$M$92:$M$111,$G1258,月間集計シート!T$92:T$111)*AK$2</f>
        <v>0</v>
      </c>
      <c r="AL1258" s="88">
        <f>SUMIF(月間集計シート!$M$113:$M$132,$G1258,月間集計シート!N$113:N$132)*AL$2</f>
        <v>0</v>
      </c>
      <c r="AM1258" s="88">
        <f>SUMIF(月間集計シート!$M$113:$M$132,$G1258,月間集計シート!O$113:O$132)*AM$2</f>
        <v>0</v>
      </c>
      <c r="AN1258" s="88">
        <f>SUMIF(月間集計シート!$M$113:$M$132,$G1258,月間集計シート!P$113:P$132)*AN$2</f>
        <v>0</v>
      </c>
      <c r="AO1258" s="88">
        <f>SUMIF(月間集計シート!$M$113:$M$132,$G1258,月間集計シート!Q$113:Q$132)*AO$2</f>
        <v>0</v>
      </c>
      <c r="AP1258" s="88">
        <f>SUMIF(月間集計シート!$M$113:$M$132,$G1258,月間集計シート!R$113:R$132)*AP$2</f>
        <v>0</v>
      </c>
      <c r="AQ1258" s="88">
        <f>SUMIF(月間集計シート!$M$113:$M$132,$G1258,月間集計シート!S$113:S$132)*AQ$2</f>
        <v>0</v>
      </c>
      <c r="AR1258" s="88">
        <f>SUMIF(月間集計シート!$M$113:$M$132,$G1258,月間集計シート!T$113:T$132)*AR$2</f>
        <v>0</v>
      </c>
      <c r="AS1258" s="88">
        <f>SUMIF(月間集計シート!$M$134:$M$153,$G1258,月間集計シート!N$134:N$153)*AS$2</f>
        <v>0</v>
      </c>
      <c r="AT1258" s="88">
        <f>SUMIF(月間集計シート!$M$134:$M$153,$G1258,月間集計シート!O$134:O$153)*AT$2</f>
        <v>0</v>
      </c>
      <c r="AU1258" s="88">
        <f>SUMIF(月間集計シート!$M$134:$M$153,$G1258,月間集計シート!P$134:P$153)*AU$2</f>
        <v>0</v>
      </c>
      <c r="AV1258" s="88">
        <f>SUMIF(月間集計シート!$M$134:$M$153,$G1258,月間集計シート!Q$134:Q$153)*AV$2</f>
        <v>0</v>
      </c>
      <c r="AW1258" s="88">
        <f>SUMIF(月間集計シート!$M$134:$M$153,$G1258,月間集計シート!R$134:R$153)*AW$2</f>
        <v>0</v>
      </c>
      <c r="AX1258" s="88">
        <f>SUMIF(月間集計シート!$M$134:$M$153,$G1258,月間集計シート!S$134:S$153)*AX$2</f>
        <v>0</v>
      </c>
      <c r="AY1258" s="88">
        <f>SUMIF(月間集計シート!$M$134:$M$153,$G1258,月間集計シート!T$134:T$153)*AY$2</f>
        <v>0</v>
      </c>
    </row>
    <row r="1259" spans="1:51" ht="14.25" thickBot="1">
      <c r="A1259">
        <v>15</v>
      </c>
      <c r="B1259" s="120">
        <f t="shared" si="676"/>
        <v>0</v>
      </c>
      <c r="C1259" s="120" t="str">
        <f t="shared" si="677"/>
        <v/>
      </c>
      <c r="D1259" s="137"/>
      <c r="E1259" s="150" t="str">
        <f>工種!A61</f>
        <v>80103</v>
      </c>
      <c r="F1259" s="119" t="str">
        <f>工種!B61</f>
        <v>保守／ｻﾎﾟｰﾄ：支社・他部門支援</v>
      </c>
      <c r="G1259" s="116" t="str">
        <f t="shared" si="678"/>
        <v>080103</v>
      </c>
      <c r="H1259" s="88">
        <f t="shared" si="675"/>
        <v>0</v>
      </c>
      <c r="I1259" s="132"/>
      <c r="J1259" s="88">
        <f>SUMIF(月間集計シート!$M$29:$M$48,$G1259,月間集計シート!N$29:N$48)*J$2</f>
        <v>0</v>
      </c>
      <c r="K1259" s="88">
        <f>SUMIF(月間集計シート!$M$29:$M$48,$G1259,月間集計シート!O$29:O$48)*K$2</f>
        <v>0</v>
      </c>
      <c r="L1259" s="88">
        <f>SUMIF(月間集計シート!$M$29:$M$48,$G1259,月間集計シート!P$29:P$48)*L$2</f>
        <v>0</v>
      </c>
      <c r="M1259" s="88">
        <f>SUMIF(月間集計シート!$M$29:$M$48,$G1259,月間集計シート!Q$29:Q$48)*M$2</f>
        <v>0</v>
      </c>
      <c r="N1259" s="88">
        <f>SUMIF(月間集計シート!$M$29:$M$48,$G1259,月間集計シート!R$29:R$48)*N$2</f>
        <v>0</v>
      </c>
      <c r="O1259" s="88">
        <f>SUMIF(月間集計シート!$M$29:$M$48,$G1259,月間集計シート!S$29:S$48)*O$2</f>
        <v>0</v>
      </c>
      <c r="P1259" s="88">
        <f>SUMIF(月間集計シート!$M$29:$M$48,$G1259,月間集計シート!T$29:T$48)*P$2</f>
        <v>0</v>
      </c>
      <c r="Q1259" s="88">
        <f>SUMIF(月間集計シート!$M$50:$M$69,$G1259,月間集計シート!N$50:N$69)*Q$2</f>
        <v>0</v>
      </c>
      <c r="R1259" s="88">
        <f>SUMIF(月間集計シート!$M$50:$M$69,$G1259,月間集計シート!O$50:O$69)*R$2</f>
        <v>0</v>
      </c>
      <c r="S1259" s="88">
        <f>SUMIF(月間集計シート!$M$50:$M$69,$G1259,月間集計シート!P$50:P$69)*S$2</f>
        <v>0</v>
      </c>
      <c r="T1259" s="88">
        <f>SUMIF(月間集計シート!$M$50:$M$69,$G1259,月間集計シート!Q$50:Q$69)*T$2</f>
        <v>0</v>
      </c>
      <c r="U1259" s="88">
        <f>SUMIF(月間集計シート!$M$50:$M$69,$G1259,月間集計シート!R$50:R$69)*U$2</f>
        <v>0</v>
      </c>
      <c r="V1259" s="88">
        <f>SUMIF(月間集計シート!$M$50:$M$69,$G1259,月間集計シート!S$50:S$69)*V$2</f>
        <v>0</v>
      </c>
      <c r="W1259" s="88">
        <f>SUMIF(月間集計シート!$M$50:$M$69,$G1259,月間集計シート!T$50:T$69)*W$2</f>
        <v>0</v>
      </c>
      <c r="X1259" s="88">
        <f>SUMIF(月間集計シート!$M$71:$M$90,$G1259,月間集計シート!N$71:N$90)*X$2</f>
        <v>0</v>
      </c>
      <c r="Y1259" s="88">
        <f>SUMIF(月間集計シート!$M$71:$M$90,$G1259,月間集計シート!O$71:O$90)*Y$2</f>
        <v>0</v>
      </c>
      <c r="Z1259" s="88">
        <f>SUMIF(月間集計シート!$M$71:$M$90,$G1259,月間集計シート!P$71:P$90)*Z$2</f>
        <v>0</v>
      </c>
      <c r="AA1259" s="88">
        <f>SUMIF(月間集計シート!$M$71:$M$90,$G1259,月間集計シート!Q$71:Q$90)*AA$2</f>
        <v>0</v>
      </c>
      <c r="AB1259" s="88">
        <f>SUMIF(月間集計シート!$M$71:$M$90,$G1259,月間集計シート!R$71:R$90)*AB$2</f>
        <v>0</v>
      </c>
      <c r="AC1259" s="88">
        <f>SUMIF(月間集計シート!$M$71:$M$90,$G1259,月間集計シート!S$71:S$90)*AC$2</f>
        <v>0</v>
      </c>
      <c r="AD1259" s="88">
        <f>SUMIF(月間集計シート!$M$71:$M$90,$G1259,月間集計シート!T$71:T$90)*AD$2</f>
        <v>0</v>
      </c>
      <c r="AE1259" s="88">
        <f>SUMIF(月間集計シート!$M$92:$M$111,$G1259,月間集計シート!N$92:N$111)*AE$2</f>
        <v>0</v>
      </c>
      <c r="AF1259" s="88">
        <f>SUMIF(月間集計シート!$M$92:$M$111,$G1259,月間集計シート!O$92:O$111)*AF$2</f>
        <v>0</v>
      </c>
      <c r="AG1259" s="88">
        <f>SUMIF(月間集計シート!$M$92:$M$111,$G1259,月間集計シート!P$92:P$111)*AG$2</f>
        <v>0</v>
      </c>
      <c r="AH1259" s="88">
        <f>SUMIF(月間集計シート!$M$92:$M$111,$G1259,月間集計シート!Q$92:Q$111)*AH$2</f>
        <v>0</v>
      </c>
      <c r="AI1259" s="88">
        <f>SUMIF(月間集計シート!$M$92:$M$111,$G1259,月間集計シート!R$92:R$111)*AI$2</f>
        <v>0</v>
      </c>
      <c r="AJ1259" s="88">
        <f>SUMIF(月間集計シート!$M$92:$M$111,$G1259,月間集計シート!S$92:S$111)*AJ$2</f>
        <v>0</v>
      </c>
      <c r="AK1259" s="88">
        <f>SUMIF(月間集計シート!$M$92:$M$111,$G1259,月間集計シート!T$92:T$111)*AK$2</f>
        <v>0</v>
      </c>
      <c r="AL1259" s="88">
        <f>SUMIF(月間集計シート!$M$113:$M$132,$G1259,月間集計シート!N$113:N$132)*AL$2</f>
        <v>0</v>
      </c>
      <c r="AM1259" s="88">
        <f>SUMIF(月間集計シート!$M$113:$M$132,$G1259,月間集計シート!O$113:O$132)*AM$2</f>
        <v>0</v>
      </c>
      <c r="AN1259" s="88">
        <f>SUMIF(月間集計シート!$M$113:$M$132,$G1259,月間集計シート!P$113:P$132)*AN$2</f>
        <v>0</v>
      </c>
      <c r="AO1259" s="88">
        <f>SUMIF(月間集計シート!$M$113:$M$132,$G1259,月間集計シート!Q$113:Q$132)*AO$2</f>
        <v>0</v>
      </c>
      <c r="AP1259" s="88">
        <f>SUMIF(月間集計シート!$M$113:$M$132,$G1259,月間集計シート!R$113:R$132)*AP$2</f>
        <v>0</v>
      </c>
      <c r="AQ1259" s="88">
        <f>SUMIF(月間集計シート!$M$113:$M$132,$G1259,月間集計シート!S$113:S$132)*AQ$2</f>
        <v>0</v>
      </c>
      <c r="AR1259" s="88">
        <f>SUMIF(月間集計シート!$M$113:$M$132,$G1259,月間集計シート!T$113:T$132)*AR$2</f>
        <v>0</v>
      </c>
      <c r="AS1259" s="88">
        <f>SUMIF(月間集計シート!$M$134:$M$153,$G1259,月間集計シート!N$134:N$153)*AS$2</f>
        <v>0</v>
      </c>
      <c r="AT1259" s="88">
        <f>SUMIF(月間集計シート!$M$134:$M$153,$G1259,月間集計シート!O$134:O$153)*AT$2</f>
        <v>0</v>
      </c>
      <c r="AU1259" s="88">
        <f>SUMIF(月間集計シート!$M$134:$M$153,$G1259,月間集計シート!P$134:P$153)*AU$2</f>
        <v>0</v>
      </c>
      <c r="AV1259" s="88">
        <f>SUMIF(月間集計シート!$M$134:$M$153,$G1259,月間集計シート!Q$134:Q$153)*AV$2</f>
        <v>0</v>
      </c>
      <c r="AW1259" s="88">
        <f>SUMIF(月間集計シート!$M$134:$M$153,$G1259,月間集計シート!R$134:R$153)*AW$2</f>
        <v>0</v>
      </c>
      <c r="AX1259" s="88">
        <f>SUMIF(月間集計シート!$M$134:$M$153,$G1259,月間集計シート!S$134:S$153)*AX$2</f>
        <v>0</v>
      </c>
      <c r="AY1259" s="88">
        <f>SUMIF(月間集計シート!$M$134:$M$153,$G1259,月間集計シート!T$134:T$153)*AY$2</f>
        <v>0</v>
      </c>
    </row>
    <row r="1260" spans="1:51" ht="14.25" thickBot="1">
      <c r="A1260">
        <v>15</v>
      </c>
      <c r="B1260" s="120">
        <f t="shared" si="676"/>
        <v>0</v>
      </c>
      <c r="C1260" s="120" t="str">
        <f t="shared" si="677"/>
        <v/>
      </c>
      <c r="D1260" s="137"/>
      <c r="E1260" s="150" t="str">
        <f>工種!A62</f>
        <v>80104</v>
      </c>
      <c r="F1260" s="119" t="str">
        <f>工種!B62</f>
        <v>保守／ｻﾎﾟｰﾄ：連絡文書作成・更新</v>
      </c>
      <c r="G1260" s="116" t="str">
        <f t="shared" si="678"/>
        <v>080104</v>
      </c>
      <c r="H1260" s="88">
        <f t="shared" si="675"/>
        <v>0</v>
      </c>
      <c r="I1260" s="132"/>
      <c r="J1260" s="88">
        <f>SUMIF(月間集計シート!$M$29:$M$48,$G1260,月間集計シート!N$29:N$48)*J$2</f>
        <v>0</v>
      </c>
      <c r="K1260" s="88">
        <f>SUMIF(月間集計シート!$M$29:$M$48,$G1260,月間集計シート!O$29:O$48)*K$2</f>
        <v>0</v>
      </c>
      <c r="L1260" s="88">
        <f>SUMIF(月間集計シート!$M$29:$M$48,$G1260,月間集計シート!P$29:P$48)*L$2</f>
        <v>0</v>
      </c>
      <c r="M1260" s="88">
        <f>SUMIF(月間集計シート!$M$29:$M$48,$G1260,月間集計シート!Q$29:Q$48)*M$2</f>
        <v>0</v>
      </c>
      <c r="N1260" s="88">
        <f>SUMIF(月間集計シート!$M$29:$M$48,$G1260,月間集計シート!R$29:R$48)*N$2</f>
        <v>0</v>
      </c>
      <c r="O1260" s="88">
        <f>SUMIF(月間集計シート!$M$29:$M$48,$G1260,月間集計シート!S$29:S$48)*O$2</f>
        <v>0</v>
      </c>
      <c r="P1260" s="88">
        <f>SUMIF(月間集計シート!$M$29:$M$48,$G1260,月間集計シート!T$29:T$48)*P$2</f>
        <v>0</v>
      </c>
      <c r="Q1260" s="88">
        <f>SUMIF(月間集計シート!$M$50:$M$69,$G1260,月間集計シート!N$50:N$69)*Q$2</f>
        <v>0</v>
      </c>
      <c r="R1260" s="88">
        <f>SUMIF(月間集計シート!$M$50:$M$69,$G1260,月間集計シート!O$50:O$69)*R$2</f>
        <v>0</v>
      </c>
      <c r="S1260" s="88">
        <f>SUMIF(月間集計シート!$M$50:$M$69,$G1260,月間集計シート!P$50:P$69)*S$2</f>
        <v>0</v>
      </c>
      <c r="T1260" s="88">
        <f>SUMIF(月間集計シート!$M$50:$M$69,$G1260,月間集計シート!Q$50:Q$69)*T$2</f>
        <v>0</v>
      </c>
      <c r="U1260" s="88">
        <f>SUMIF(月間集計シート!$M$50:$M$69,$G1260,月間集計シート!R$50:R$69)*U$2</f>
        <v>0</v>
      </c>
      <c r="V1260" s="88">
        <f>SUMIF(月間集計シート!$M$50:$M$69,$G1260,月間集計シート!S$50:S$69)*V$2</f>
        <v>0</v>
      </c>
      <c r="W1260" s="88">
        <f>SUMIF(月間集計シート!$M$50:$M$69,$G1260,月間集計シート!T$50:T$69)*W$2</f>
        <v>0</v>
      </c>
      <c r="X1260" s="88">
        <f>SUMIF(月間集計シート!$M$71:$M$90,$G1260,月間集計シート!N$71:N$90)*X$2</f>
        <v>0</v>
      </c>
      <c r="Y1260" s="88">
        <f>SUMIF(月間集計シート!$M$71:$M$90,$G1260,月間集計シート!O$71:O$90)*Y$2</f>
        <v>0</v>
      </c>
      <c r="Z1260" s="88">
        <f>SUMIF(月間集計シート!$M$71:$M$90,$G1260,月間集計シート!P$71:P$90)*Z$2</f>
        <v>0</v>
      </c>
      <c r="AA1260" s="88">
        <f>SUMIF(月間集計シート!$M$71:$M$90,$G1260,月間集計シート!Q$71:Q$90)*AA$2</f>
        <v>0</v>
      </c>
      <c r="AB1260" s="88">
        <f>SUMIF(月間集計シート!$M$71:$M$90,$G1260,月間集計シート!R$71:R$90)*AB$2</f>
        <v>0</v>
      </c>
      <c r="AC1260" s="88">
        <f>SUMIF(月間集計シート!$M$71:$M$90,$G1260,月間集計シート!S$71:S$90)*AC$2</f>
        <v>0</v>
      </c>
      <c r="AD1260" s="88">
        <f>SUMIF(月間集計シート!$M$71:$M$90,$G1260,月間集計シート!T$71:T$90)*AD$2</f>
        <v>0</v>
      </c>
      <c r="AE1260" s="88">
        <f>SUMIF(月間集計シート!$M$92:$M$111,$G1260,月間集計シート!N$92:N$111)*AE$2</f>
        <v>0</v>
      </c>
      <c r="AF1260" s="88">
        <f>SUMIF(月間集計シート!$M$92:$M$111,$G1260,月間集計シート!O$92:O$111)*AF$2</f>
        <v>0</v>
      </c>
      <c r="AG1260" s="88">
        <f>SUMIF(月間集計シート!$M$92:$M$111,$G1260,月間集計シート!P$92:P$111)*AG$2</f>
        <v>0</v>
      </c>
      <c r="AH1260" s="88">
        <f>SUMIF(月間集計シート!$M$92:$M$111,$G1260,月間集計シート!Q$92:Q$111)*AH$2</f>
        <v>0</v>
      </c>
      <c r="AI1260" s="88">
        <f>SUMIF(月間集計シート!$M$92:$M$111,$G1260,月間集計シート!R$92:R$111)*AI$2</f>
        <v>0</v>
      </c>
      <c r="AJ1260" s="88">
        <f>SUMIF(月間集計シート!$M$92:$M$111,$G1260,月間集計シート!S$92:S$111)*AJ$2</f>
        <v>0</v>
      </c>
      <c r="AK1260" s="88">
        <f>SUMIF(月間集計シート!$M$92:$M$111,$G1260,月間集計シート!T$92:T$111)*AK$2</f>
        <v>0</v>
      </c>
      <c r="AL1260" s="88">
        <f>SUMIF(月間集計シート!$M$113:$M$132,$G1260,月間集計シート!N$113:N$132)*AL$2</f>
        <v>0</v>
      </c>
      <c r="AM1260" s="88">
        <f>SUMIF(月間集計シート!$M$113:$M$132,$G1260,月間集計シート!O$113:O$132)*AM$2</f>
        <v>0</v>
      </c>
      <c r="AN1260" s="88">
        <f>SUMIF(月間集計シート!$M$113:$M$132,$G1260,月間集計シート!P$113:P$132)*AN$2</f>
        <v>0</v>
      </c>
      <c r="AO1260" s="88">
        <f>SUMIF(月間集計シート!$M$113:$M$132,$G1260,月間集計シート!Q$113:Q$132)*AO$2</f>
        <v>0</v>
      </c>
      <c r="AP1260" s="88">
        <f>SUMIF(月間集計シート!$M$113:$M$132,$G1260,月間集計シート!R$113:R$132)*AP$2</f>
        <v>0</v>
      </c>
      <c r="AQ1260" s="88">
        <f>SUMIF(月間集計シート!$M$113:$M$132,$G1260,月間集計シート!S$113:S$132)*AQ$2</f>
        <v>0</v>
      </c>
      <c r="AR1260" s="88">
        <f>SUMIF(月間集計シート!$M$113:$M$132,$G1260,月間集計シート!T$113:T$132)*AR$2</f>
        <v>0</v>
      </c>
      <c r="AS1260" s="88">
        <f>SUMIF(月間集計シート!$M$134:$M$153,$G1260,月間集計シート!N$134:N$153)*AS$2</f>
        <v>0</v>
      </c>
      <c r="AT1260" s="88">
        <f>SUMIF(月間集計シート!$M$134:$M$153,$G1260,月間集計シート!O$134:O$153)*AT$2</f>
        <v>0</v>
      </c>
      <c r="AU1260" s="88">
        <f>SUMIF(月間集計シート!$M$134:$M$153,$G1260,月間集計シート!P$134:P$153)*AU$2</f>
        <v>0</v>
      </c>
      <c r="AV1260" s="88">
        <f>SUMIF(月間集計シート!$M$134:$M$153,$G1260,月間集計シート!Q$134:Q$153)*AV$2</f>
        <v>0</v>
      </c>
      <c r="AW1260" s="88">
        <f>SUMIF(月間集計シート!$M$134:$M$153,$G1260,月間集計シート!R$134:R$153)*AW$2</f>
        <v>0</v>
      </c>
      <c r="AX1260" s="88">
        <f>SUMIF(月間集計シート!$M$134:$M$153,$G1260,月間集計シート!S$134:S$153)*AX$2</f>
        <v>0</v>
      </c>
      <c r="AY1260" s="88">
        <f>SUMIF(月間集計シート!$M$134:$M$153,$G1260,月間集計シート!T$134:T$153)*AY$2</f>
        <v>0</v>
      </c>
    </row>
    <row r="1261" spans="1:51" ht="14.25" thickBot="1">
      <c r="A1261">
        <v>15</v>
      </c>
      <c r="B1261" s="120">
        <f t="shared" si="676"/>
        <v>0</v>
      </c>
      <c r="C1261" s="120" t="str">
        <f t="shared" si="677"/>
        <v/>
      </c>
      <c r="D1261" s="137"/>
      <c r="E1261" s="150" t="str">
        <f>工種!A63</f>
        <v>80105</v>
      </c>
      <c r="F1261" s="119" t="str">
        <f>工種!B63</f>
        <v>保守／ｻﾎﾟｰﾄ：ｲﾝﾄﾗ資料更新</v>
      </c>
      <c r="G1261" s="116" t="str">
        <f t="shared" ref="G1261:G1278" si="679">B1261&amp;E1261</f>
        <v>080105</v>
      </c>
      <c r="H1261" s="88">
        <f t="shared" ref="H1261:H1262" si="680">SUM(J1261:AY1261)</f>
        <v>0</v>
      </c>
      <c r="I1261" s="132"/>
      <c r="J1261" s="88">
        <f>SUMIF(月間集計シート!$M$29:$M$48,$G1261,月間集計シート!N$29:N$48)*J$2</f>
        <v>0</v>
      </c>
      <c r="K1261" s="88">
        <f>SUMIF(月間集計シート!$M$29:$M$48,$G1261,月間集計シート!O$29:O$48)*K$2</f>
        <v>0</v>
      </c>
      <c r="L1261" s="88">
        <f>SUMIF(月間集計シート!$M$29:$M$48,$G1261,月間集計シート!P$29:P$48)*L$2</f>
        <v>0</v>
      </c>
      <c r="M1261" s="88">
        <f>SUMIF(月間集計シート!$M$29:$M$48,$G1261,月間集計シート!Q$29:Q$48)*M$2</f>
        <v>0</v>
      </c>
      <c r="N1261" s="88">
        <f>SUMIF(月間集計シート!$M$29:$M$48,$G1261,月間集計シート!R$29:R$48)*N$2</f>
        <v>0</v>
      </c>
      <c r="O1261" s="88">
        <f>SUMIF(月間集計シート!$M$29:$M$48,$G1261,月間集計シート!S$29:S$48)*O$2</f>
        <v>0</v>
      </c>
      <c r="P1261" s="88">
        <f>SUMIF(月間集計シート!$M$29:$M$48,$G1261,月間集計シート!T$29:T$48)*P$2</f>
        <v>0</v>
      </c>
      <c r="Q1261" s="88">
        <f>SUMIF(月間集計シート!$M$50:$M$69,$G1261,月間集計シート!N$50:N$69)*Q$2</f>
        <v>0</v>
      </c>
      <c r="R1261" s="88">
        <f>SUMIF(月間集計シート!$M$50:$M$69,$G1261,月間集計シート!O$50:O$69)*R$2</f>
        <v>0</v>
      </c>
      <c r="S1261" s="88">
        <f>SUMIF(月間集計シート!$M$50:$M$69,$G1261,月間集計シート!P$50:P$69)*S$2</f>
        <v>0</v>
      </c>
      <c r="T1261" s="88">
        <f>SUMIF(月間集計シート!$M$50:$M$69,$G1261,月間集計シート!Q$50:Q$69)*T$2</f>
        <v>0</v>
      </c>
      <c r="U1261" s="88">
        <f>SUMIF(月間集計シート!$M$50:$M$69,$G1261,月間集計シート!R$50:R$69)*U$2</f>
        <v>0</v>
      </c>
      <c r="V1261" s="88">
        <f>SUMIF(月間集計シート!$M$50:$M$69,$G1261,月間集計シート!S$50:S$69)*V$2</f>
        <v>0</v>
      </c>
      <c r="W1261" s="88">
        <f>SUMIF(月間集計シート!$M$50:$M$69,$G1261,月間集計シート!T$50:T$69)*W$2</f>
        <v>0</v>
      </c>
      <c r="X1261" s="88">
        <f>SUMIF(月間集計シート!$M$71:$M$90,$G1261,月間集計シート!N$71:N$90)*X$2</f>
        <v>0</v>
      </c>
      <c r="Y1261" s="88">
        <f>SUMIF(月間集計シート!$M$71:$M$90,$G1261,月間集計シート!O$71:O$90)*Y$2</f>
        <v>0</v>
      </c>
      <c r="Z1261" s="88">
        <f>SUMIF(月間集計シート!$M$71:$M$90,$G1261,月間集計シート!P$71:P$90)*Z$2</f>
        <v>0</v>
      </c>
      <c r="AA1261" s="88">
        <f>SUMIF(月間集計シート!$M$71:$M$90,$G1261,月間集計シート!Q$71:Q$90)*AA$2</f>
        <v>0</v>
      </c>
      <c r="AB1261" s="88">
        <f>SUMIF(月間集計シート!$M$71:$M$90,$G1261,月間集計シート!R$71:R$90)*AB$2</f>
        <v>0</v>
      </c>
      <c r="AC1261" s="88">
        <f>SUMIF(月間集計シート!$M$71:$M$90,$G1261,月間集計シート!S$71:S$90)*AC$2</f>
        <v>0</v>
      </c>
      <c r="AD1261" s="88">
        <f>SUMIF(月間集計シート!$M$71:$M$90,$G1261,月間集計シート!T$71:T$90)*AD$2</f>
        <v>0</v>
      </c>
      <c r="AE1261" s="88">
        <f>SUMIF(月間集計シート!$M$92:$M$111,$G1261,月間集計シート!N$92:N$111)*AE$2</f>
        <v>0</v>
      </c>
      <c r="AF1261" s="88">
        <f>SUMIF(月間集計シート!$M$92:$M$111,$G1261,月間集計シート!O$92:O$111)*AF$2</f>
        <v>0</v>
      </c>
      <c r="AG1261" s="88">
        <f>SUMIF(月間集計シート!$M$92:$M$111,$G1261,月間集計シート!P$92:P$111)*AG$2</f>
        <v>0</v>
      </c>
      <c r="AH1261" s="88">
        <f>SUMIF(月間集計シート!$M$92:$M$111,$G1261,月間集計シート!Q$92:Q$111)*AH$2</f>
        <v>0</v>
      </c>
      <c r="AI1261" s="88">
        <f>SUMIF(月間集計シート!$M$92:$M$111,$G1261,月間集計シート!R$92:R$111)*AI$2</f>
        <v>0</v>
      </c>
      <c r="AJ1261" s="88">
        <f>SUMIF(月間集計シート!$M$92:$M$111,$G1261,月間集計シート!S$92:S$111)*AJ$2</f>
        <v>0</v>
      </c>
      <c r="AK1261" s="88">
        <f>SUMIF(月間集計シート!$M$92:$M$111,$G1261,月間集計シート!T$92:T$111)*AK$2</f>
        <v>0</v>
      </c>
      <c r="AL1261" s="88">
        <f>SUMIF(月間集計シート!$M$113:$M$132,$G1261,月間集計シート!N$113:N$132)*AL$2</f>
        <v>0</v>
      </c>
      <c r="AM1261" s="88">
        <f>SUMIF(月間集計シート!$M$113:$M$132,$G1261,月間集計シート!O$113:O$132)*AM$2</f>
        <v>0</v>
      </c>
      <c r="AN1261" s="88">
        <f>SUMIF(月間集計シート!$M$113:$M$132,$G1261,月間集計シート!P$113:P$132)*AN$2</f>
        <v>0</v>
      </c>
      <c r="AO1261" s="88">
        <f>SUMIF(月間集計シート!$M$113:$M$132,$G1261,月間集計シート!Q$113:Q$132)*AO$2</f>
        <v>0</v>
      </c>
      <c r="AP1261" s="88">
        <f>SUMIF(月間集計シート!$M$113:$M$132,$G1261,月間集計シート!R$113:R$132)*AP$2</f>
        <v>0</v>
      </c>
      <c r="AQ1261" s="88">
        <f>SUMIF(月間集計シート!$M$113:$M$132,$G1261,月間集計シート!S$113:S$132)*AQ$2</f>
        <v>0</v>
      </c>
      <c r="AR1261" s="88">
        <f>SUMIF(月間集計シート!$M$113:$M$132,$G1261,月間集計シート!T$113:T$132)*AR$2</f>
        <v>0</v>
      </c>
      <c r="AS1261" s="88">
        <f>SUMIF(月間集計シート!$M$134:$M$153,$G1261,月間集計シート!N$134:N$153)*AS$2</f>
        <v>0</v>
      </c>
      <c r="AT1261" s="88">
        <f>SUMIF(月間集計シート!$M$134:$M$153,$G1261,月間集計シート!O$134:O$153)*AT$2</f>
        <v>0</v>
      </c>
      <c r="AU1261" s="88">
        <f>SUMIF(月間集計シート!$M$134:$M$153,$G1261,月間集計シート!P$134:P$153)*AU$2</f>
        <v>0</v>
      </c>
      <c r="AV1261" s="88">
        <f>SUMIF(月間集計シート!$M$134:$M$153,$G1261,月間集計シート!Q$134:Q$153)*AV$2</f>
        <v>0</v>
      </c>
      <c r="AW1261" s="88">
        <f>SUMIF(月間集計シート!$M$134:$M$153,$G1261,月間集計シート!R$134:R$153)*AW$2</f>
        <v>0</v>
      </c>
      <c r="AX1261" s="88">
        <f>SUMIF(月間集計シート!$M$134:$M$153,$G1261,月間集計シート!S$134:S$153)*AX$2</f>
        <v>0</v>
      </c>
      <c r="AY1261" s="88">
        <f>SUMIF(月間集計シート!$M$134:$M$153,$G1261,月間集計シート!T$134:T$153)*AY$2</f>
        <v>0</v>
      </c>
    </row>
    <row r="1262" spans="1:51" ht="14.25" thickBot="1">
      <c r="A1262">
        <v>15</v>
      </c>
      <c r="B1262" s="120">
        <f t="shared" si="676"/>
        <v>0</v>
      </c>
      <c r="C1262" s="120" t="str">
        <f t="shared" si="677"/>
        <v/>
      </c>
      <c r="D1262" s="137"/>
      <c r="E1262" s="150" t="str">
        <f>工種!A64</f>
        <v>80106</v>
      </c>
      <c r="F1262" s="119" t="str">
        <f>工種!B64</f>
        <v>保守／ｻﾎﾟｰﾄ：打合せ</v>
      </c>
      <c r="G1262" s="116" t="str">
        <f t="shared" si="679"/>
        <v>080106</v>
      </c>
      <c r="H1262" s="88">
        <f t="shared" si="680"/>
        <v>0</v>
      </c>
      <c r="I1262" s="132"/>
      <c r="J1262" s="88">
        <f>SUMIF(月間集計シート!$M$29:$M$48,$G1262,月間集計シート!N$29:N$48)*J$2</f>
        <v>0</v>
      </c>
      <c r="K1262" s="88">
        <f>SUMIF(月間集計シート!$M$29:$M$48,$G1262,月間集計シート!O$29:O$48)*K$2</f>
        <v>0</v>
      </c>
      <c r="L1262" s="88">
        <f>SUMIF(月間集計シート!$M$29:$M$48,$G1262,月間集計シート!P$29:P$48)*L$2</f>
        <v>0</v>
      </c>
      <c r="M1262" s="88">
        <f>SUMIF(月間集計シート!$M$29:$M$48,$G1262,月間集計シート!Q$29:Q$48)*M$2</f>
        <v>0</v>
      </c>
      <c r="N1262" s="88">
        <f>SUMIF(月間集計シート!$M$29:$M$48,$G1262,月間集計シート!R$29:R$48)*N$2</f>
        <v>0</v>
      </c>
      <c r="O1262" s="88">
        <f>SUMIF(月間集計シート!$M$29:$M$48,$G1262,月間集計シート!S$29:S$48)*O$2</f>
        <v>0</v>
      </c>
      <c r="P1262" s="88">
        <f>SUMIF(月間集計シート!$M$29:$M$48,$G1262,月間集計シート!T$29:T$48)*P$2</f>
        <v>0</v>
      </c>
      <c r="Q1262" s="88">
        <f>SUMIF(月間集計シート!$M$50:$M$69,$G1262,月間集計シート!N$50:N$69)*Q$2</f>
        <v>0</v>
      </c>
      <c r="R1262" s="88">
        <f>SUMIF(月間集計シート!$M$50:$M$69,$G1262,月間集計シート!O$50:O$69)*R$2</f>
        <v>0</v>
      </c>
      <c r="S1262" s="88">
        <f>SUMIF(月間集計シート!$M$50:$M$69,$G1262,月間集計シート!P$50:P$69)*S$2</f>
        <v>0</v>
      </c>
      <c r="T1262" s="88">
        <f>SUMIF(月間集計シート!$M$50:$M$69,$G1262,月間集計シート!Q$50:Q$69)*T$2</f>
        <v>0</v>
      </c>
      <c r="U1262" s="88">
        <f>SUMIF(月間集計シート!$M$50:$M$69,$G1262,月間集計シート!R$50:R$69)*U$2</f>
        <v>0</v>
      </c>
      <c r="V1262" s="88">
        <f>SUMIF(月間集計シート!$M$50:$M$69,$G1262,月間集計シート!S$50:S$69)*V$2</f>
        <v>0</v>
      </c>
      <c r="W1262" s="88">
        <f>SUMIF(月間集計シート!$M$50:$M$69,$G1262,月間集計シート!T$50:T$69)*W$2</f>
        <v>0</v>
      </c>
      <c r="X1262" s="88">
        <f>SUMIF(月間集計シート!$M$71:$M$90,$G1262,月間集計シート!N$71:N$90)*X$2</f>
        <v>0</v>
      </c>
      <c r="Y1262" s="88">
        <f>SUMIF(月間集計シート!$M$71:$M$90,$G1262,月間集計シート!O$71:O$90)*Y$2</f>
        <v>0</v>
      </c>
      <c r="Z1262" s="88">
        <f>SUMIF(月間集計シート!$M$71:$M$90,$G1262,月間集計シート!P$71:P$90)*Z$2</f>
        <v>0</v>
      </c>
      <c r="AA1262" s="88">
        <f>SUMIF(月間集計シート!$M$71:$M$90,$G1262,月間集計シート!Q$71:Q$90)*AA$2</f>
        <v>0</v>
      </c>
      <c r="AB1262" s="88">
        <f>SUMIF(月間集計シート!$M$71:$M$90,$G1262,月間集計シート!R$71:R$90)*AB$2</f>
        <v>0</v>
      </c>
      <c r="AC1262" s="88">
        <f>SUMIF(月間集計シート!$M$71:$M$90,$G1262,月間集計シート!S$71:S$90)*AC$2</f>
        <v>0</v>
      </c>
      <c r="AD1262" s="88">
        <f>SUMIF(月間集計シート!$M$71:$M$90,$G1262,月間集計シート!T$71:T$90)*AD$2</f>
        <v>0</v>
      </c>
      <c r="AE1262" s="88">
        <f>SUMIF(月間集計シート!$M$92:$M$111,$G1262,月間集計シート!N$92:N$111)*AE$2</f>
        <v>0</v>
      </c>
      <c r="AF1262" s="88">
        <f>SUMIF(月間集計シート!$M$92:$M$111,$G1262,月間集計シート!O$92:O$111)*AF$2</f>
        <v>0</v>
      </c>
      <c r="AG1262" s="88">
        <f>SUMIF(月間集計シート!$M$92:$M$111,$G1262,月間集計シート!P$92:P$111)*AG$2</f>
        <v>0</v>
      </c>
      <c r="AH1262" s="88">
        <f>SUMIF(月間集計シート!$M$92:$M$111,$G1262,月間集計シート!Q$92:Q$111)*AH$2</f>
        <v>0</v>
      </c>
      <c r="AI1262" s="88">
        <f>SUMIF(月間集計シート!$M$92:$M$111,$G1262,月間集計シート!R$92:R$111)*AI$2</f>
        <v>0</v>
      </c>
      <c r="AJ1262" s="88">
        <f>SUMIF(月間集計シート!$M$92:$M$111,$G1262,月間集計シート!S$92:S$111)*AJ$2</f>
        <v>0</v>
      </c>
      <c r="AK1262" s="88">
        <f>SUMIF(月間集計シート!$M$92:$M$111,$G1262,月間集計シート!T$92:T$111)*AK$2</f>
        <v>0</v>
      </c>
      <c r="AL1262" s="88">
        <f>SUMIF(月間集計シート!$M$113:$M$132,$G1262,月間集計シート!N$113:N$132)*AL$2</f>
        <v>0</v>
      </c>
      <c r="AM1262" s="88">
        <f>SUMIF(月間集計シート!$M$113:$M$132,$G1262,月間集計シート!O$113:O$132)*AM$2</f>
        <v>0</v>
      </c>
      <c r="AN1262" s="88">
        <f>SUMIF(月間集計シート!$M$113:$M$132,$G1262,月間集計シート!P$113:P$132)*AN$2</f>
        <v>0</v>
      </c>
      <c r="AO1262" s="88">
        <f>SUMIF(月間集計シート!$M$113:$M$132,$G1262,月間集計シート!Q$113:Q$132)*AO$2</f>
        <v>0</v>
      </c>
      <c r="AP1262" s="88">
        <f>SUMIF(月間集計シート!$M$113:$M$132,$G1262,月間集計シート!R$113:R$132)*AP$2</f>
        <v>0</v>
      </c>
      <c r="AQ1262" s="88">
        <f>SUMIF(月間集計シート!$M$113:$M$132,$G1262,月間集計シート!S$113:S$132)*AQ$2</f>
        <v>0</v>
      </c>
      <c r="AR1262" s="88">
        <f>SUMIF(月間集計シート!$M$113:$M$132,$G1262,月間集計シート!T$113:T$132)*AR$2</f>
        <v>0</v>
      </c>
      <c r="AS1262" s="88">
        <f>SUMIF(月間集計シート!$M$134:$M$153,$G1262,月間集計シート!N$134:N$153)*AS$2</f>
        <v>0</v>
      </c>
      <c r="AT1262" s="88">
        <f>SUMIF(月間集計シート!$M$134:$M$153,$G1262,月間集計シート!O$134:O$153)*AT$2</f>
        <v>0</v>
      </c>
      <c r="AU1262" s="88">
        <f>SUMIF(月間集計シート!$M$134:$M$153,$G1262,月間集計シート!P$134:P$153)*AU$2</f>
        <v>0</v>
      </c>
      <c r="AV1262" s="88">
        <f>SUMIF(月間集計シート!$M$134:$M$153,$G1262,月間集計シート!Q$134:Q$153)*AV$2</f>
        <v>0</v>
      </c>
      <c r="AW1262" s="88">
        <f>SUMIF(月間集計シート!$M$134:$M$153,$G1262,月間集計シート!R$134:R$153)*AW$2</f>
        <v>0</v>
      </c>
      <c r="AX1262" s="88">
        <f>SUMIF(月間集計シート!$M$134:$M$153,$G1262,月間集計シート!S$134:S$153)*AX$2</f>
        <v>0</v>
      </c>
      <c r="AY1262" s="88">
        <f>SUMIF(月間集計シート!$M$134:$M$153,$G1262,月間集計シート!T$134:T$153)*AY$2</f>
        <v>0</v>
      </c>
    </row>
    <row r="1263" spans="1:51" ht="14.25" thickBot="1">
      <c r="A1263">
        <v>15</v>
      </c>
      <c r="B1263" s="120">
        <f t="shared" si="676"/>
        <v>0</v>
      </c>
      <c r="C1263" s="120" t="str">
        <f t="shared" si="677"/>
        <v/>
      </c>
      <c r="D1263" s="137"/>
      <c r="E1263" s="150" t="str">
        <f>工種!A65</f>
        <v>80107</v>
      </c>
      <c r="F1263" s="119" t="str">
        <f>工種!B65</f>
        <v>保守／ｻﾎﾟｰﾄ：ﾚﾋﾞｭｰ</v>
      </c>
      <c r="G1263" s="116" t="str">
        <f t="shared" si="679"/>
        <v>080107</v>
      </c>
      <c r="H1263" s="88">
        <f t="shared" ref="H1263:H1278" si="681">SUM(J1263:AY1263)</f>
        <v>0</v>
      </c>
      <c r="I1263" s="132"/>
      <c r="J1263" s="88">
        <f>SUMIF(月間集計シート!$M$29:$M$48,$G1263,月間集計シート!N$29:N$48)*J$2</f>
        <v>0</v>
      </c>
      <c r="K1263" s="88">
        <f>SUMIF(月間集計シート!$M$29:$M$48,$G1263,月間集計シート!O$29:O$48)*K$2</f>
        <v>0</v>
      </c>
      <c r="L1263" s="88">
        <f>SUMIF(月間集計シート!$M$29:$M$48,$G1263,月間集計シート!P$29:P$48)*L$2</f>
        <v>0</v>
      </c>
      <c r="M1263" s="88">
        <f>SUMIF(月間集計シート!$M$29:$M$48,$G1263,月間集計シート!Q$29:Q$48)*M$2</f>
        <v>0</v>
      </c>
      <c r="N1263" s="88">
        <f>SUMIF(月間集計シート!$M$29:$M$48,$G1263,月間集計シート!R$29:R$48)*N$2</f>
        <v>0</v>
      </c>
      <c r="O1263" s="88">
        <f>SUMIF(月間集計シート!$M$29:$M$48,$G1263,月間集計シート!S$29:S$48)*O$2</f>
        <v>0</v>
      </c>
      <c r="P1263" s="88">
        <f>SUMIF(月間集計シート!$M$29:$M$48,$G1263,月間集計シート!T$29:T$48)*P$2</f>
        <v>0</v>
      </c>
      <c r="Q1263" s="88">
        <f>SUMIF(月間集計シート!$M$50:$M$69,$G1263,月間集計シート!N$50:N$69)*Q$2</f>
        <v>0</v>
      </c>
      <c r="R1263" s="88">
        <f>SUMIF(月間集計シート!$M$50:$M$69,$G1263,月間集計シート!O$50:O$69)*R$2</f>
        <v>0</v>
      </c>
      <c r="S1263" s="88">
        <f>SUMIF(月間集計シート!$M$50:$M$69,$G1263,月間集計シート!P$50:P$69)*S$2</f>
        <v>0</v>
      </c>
      <c r="T1263" s="88">
        <f>SUMIF(月間集計シート!$M$50:$M$69,$G1263,月間集計シート!Q$50:Q$69)*T$2</f>
        <v>0</v>
      </c>
      <c r="U1263" s="88">
        <f>SUMIF(月間集計シート!$M$50:$M$69,$G1263,月間集計シート!R$50:R$69)*U$2</f>
        <v>0</v>
      </c>
      <c r="V1263" s="88">
        <f>SUMIF(月間集計シート!$M$50:$M$69,$G1263,月間集計シート!S$50:S$69)*V$2</f>
        <v>0</v>
      </c>
      <c r="W1263" s="88">
        <f>SUMIF(月間集計シート!$M$50:$M$69,$G1263,月間集計シート!T$50:T$69)*W$2</f>
        <v>0</v>
      </c>
      <c r="X1263" s="88">
        <f>SUMIF(月間集計シート!$M$71:$M$90,$G1263,月間集計シート!N$71:N$90)*X$2</f>
        <v>0</v>
      </c>
      <c r="Y1263" s="88">
        <f>SUMIF(月間集計シート!$M$71:$M$90,$G1263,月間集計シート!O$71:O$90)*Y$2</f>
        <v>0</v>
      </c>
      <c r="Z1263" s="88">
        <f>SUMIF(月間集計シート!$M$71:$M$90,$G1263,月間集計シート!P$71:P$90)*Z$2</f>
        <v>0</v>
      </c>
      <c r="AA1263" s="88">
        <f>SUMIF(月間集計シート!$M$71:$M$90,$G1263,月間集計シート!Q$71:Q$90)*AA$2</f>
        <v>0</v>
      </c>
      <c r="AB1263" s="88">
        <f>SUMIF(月間集計シート!$M$71:$M$90,$G1263,月間集計シート!R$71:R$90)*AB$2</f>
        <v>0</v>
      </c>
      <c r="AC1263" s="88">
        <f>SUMIF(月間集計シート!$M$71:$M$90,$G1263,月間集計シート!S$71:S$90)*AC$2</f>
        <v>0</v>
      </c>
      <c r="AD1263" s="88">
        <f>SUMIF(月間集計シート!$M$71:$M$90,$G1263,月間集計シート!T$71:T$90)*AD$2</f>
        <v>0</v>
      </c>
      <c r="AE1263" s="88">
        <f>SUMIF(月間集計シート!$M$92:$M$111,$G1263,月間集計シート!N$92:N$111)*AE$2</f>
        <v>0</v>
      </c>
      <c r="AF1263" s="88">
        <f>SUMIF(月間集計シート!$M$92:$M$111,$G1263,月間集計シート!O$92:O$111)*AF$2</f>
        <v>0</v>
      </c>
      <c r="AG1263" s="88">
        <f>SUMIF(月間集計シート!$M$92:$M$111,$G1263,月間集計シート!P$92:P$111)*AG$2</f>
        <v>0</v>
      </c>
      <c r="AH1263" s="88">
        <f>SUMIF(月間集計シート!$M$92:$M$111,$G1263,月間集計シート!Q$92:Q$111)*AH$2</f>
        <v>0</v>
      </c>
      <c r="AI1263" s="88">
        <f>SUMIF(月間集計シート!$M$92:$M$111,$G1263,月間集計シート!R$92:R$111)*AI$2</f>
        <v>0</v>
      </c>
      <c r="AJ1263" s="88">
        <f>SUMIF(月間集計シート!$M$92:$M$111,$G1263,月間集計シート!S$92:S$111)*AJ$2</f>
        <v>0</v>
      </c>
      <c r="AK1263" s="88">
        <f>SUMIF(月間集計シート!$M$92:$M$111,$G1263,月間集計シート!T$92:T$111)*AK$2</f>
        <v>0</v>
      </c>
      <c r="AL1263" s="88">
        <f>SUMIF(月間集計シート!$M$113:$M$132,$G1263,月間集計シート!N$113:N$132)*AL$2</f>
        <v>0</v>
      </c>
      <c r="AM1263" s="88">
        <f>SUMIF(月間集計シート!$M$113:$M$132,$G1263,月間集計シート!O$113:O$132)*AM$2</f>
        <v>0</v>
      </c>
      <c r="AN1263" s="88">
        <f>SUMIF(月間集計シート!$M$113:$M$132,$G1263,月間集計シート!P$113:P$132)*AN$2</f>
        <v>0</v>
      </c>
      <c r="AO1263" s="88">
        <f>SUMIF(月間集計シート!$M$113:$M$132,$G1263,月間集計シート!Q$113:Q$132)*AO$2</f>
        <v>0</v>
      </c>
      <c r="AP1263" s="88">
        <f>SUMIF(月間集計シート!$M$113:$M$132,$G1263,月間集計シート!R$113:R$132)*AP$2</f>
        <v>0</v>
      </c>
      <c r="AQ1263" s="88">
        <f>SUMIF(月間集計シート!$M$113:$M$132,$G1263,月間集計シート!S$113:S$132)*AQ$2</f>
        <v>0</v>
      </c>
      <c r="AR1263" s="88">
        <f>SUMIF(月間集計シート!$M$113:$M$132,$G1263,月間集計シート!T$113:T$132)*AR$2</f>
        <v>0</v>
      </c>
      <c r="AS1263" s="88">
        <f>SUMIF(月間集計シート!$M$134:$M$153,$G1263,月間集計シート!N$134:N$153)*AS$2</f>
        <v>0</v>
      </c>
      <c r="AT1263" s="88">
        <f>SUMIF(月間集計シート!$M$134:$M$153,$G1263,月間集計シート!O$134:O$153)*AT$2</f>
        <v>0</v>
      </c>
      <c r="AU1263" s="88">
        <f>SUMIF(月間集計シート!$M$134:$M$153,$G1263,月間集計シート!P$134:P$153)*AU$2</f>
        <v>0</v>
      </c>
      <c r="AV1263" s="88">
        <f>SUMIF(月間集計シート!$M$134:$M$153,$G1263,月間集計シート!Q$134:Q$153)*AV$2</f>
        <v>0</v>
      </c>
      <c r="AW1263" s="88">
        <f>SUMIF(月間集計シート!$M$134:$M$153,$G1263,月間集計シート!R$134:R$153)*AW$2</f>
        <v>0</v>
      </c>
      <c r="AX1263" s="88">
        <f>SUMIF(月間集計シート!$M$134:$M$153,$G1263,月間集計シート!S$134:S$153)*AX$2</f>
        <v>0</v>
      </c>
      <c r="AY1263" s="88">
        <f>SUMIF(月間集計シート!$M$134:$M$153,$G1263,月間集計シート!T$134:T$153)*AY$2</f>
        <v>0</v>
      </c>
    </row>
    <row r="1264" spans="1:51" ht="14.25" thickBot="1">
      <c r="A1264">
        <v>15</v>
      </c>
      <c r="B1264" s="120">
        <f t="shared" si="676"/>
        <v>0</v>
      </c>
      <c r="C1264" s="120" t="str">
        <f t="shared" si="677"/>
        <v/>
      </c>
      <c r="D1264" s="137"/>
      <c r="E1264" s="150" t="str">
        <f>工種!A66</f>
        <v>80199</v>
      </c>
      <c r="F1264" s="119" t="str">
        <f>工種!B66</f>
        <v>保守／ｻﾎﾟｰﾄ：その他</v>
      </c>
      <c r="G1264" s="116" t="str">
        <f t="shared" si="679"/>
        <v>080199</v>
      </c>
      <c r="H1264" s="88">
        <f t="shared" si="681"/>
        <v>0</v>
      </c>
      <c r="I1264" s="132"/>
      <c r="J1264" s="88">
        <f>SUMIF(月間集計シート!$M$29:$M$48,$G1264,月間集計シート!N$29:N$48)*J$2</f>
        <v>0</v>
      </c>
      <c r="K1264" s="88">
        <f>SUMIF(月間集計シート!$M$29:$M$48,$G1264,月間集計シート!O$29:O$48)*K$2</f>
        <v>0</v>
      </c>
      <c r="L1264" s="88">
        <f>SUMIF(月間集計シート!$M$29:$M$48,$G1264,月間集計シート!P$29:P$48)*L$2</f>
        <v>0</v>
      </c>
      <c r="M1264" s="88">
        <f>SUMIF(月間集計シート!$M$29:$M$48,$G1264,月間集計シート!Q$29:Q$48)*M$2</f>
        <v>0</v>
      </c>
      <c r="N1264" s="88">
        <f>SUMIF(月間集計シート!$M$29:$M$48,$G1264,月間集計シート!R$29:R$48)*N$2</f>
        <v>0</v>
      </c>
      <c r="O1264" s="88">
        <f>SUMIF(月間集計シート!$M$29:$M$48,$G1264,月間集計シート!S$29:S$48)*O$2</f>
        <v>0</v>
      </c>
      <c r="P1264" s="88">
        <f>SUMIF(月間集計シート!$M$29:$M$48,$G1264,月間集計シート!T$29:T$48)*P$2</f>
        <v>0</v>
      </c>
      <c r="Q1264" s="88">
        <f>SUMIF(月間集計シート!$M$50:$M$69,$G1264,月間集計シート!N$50:N$69)*Q$2</f>
        <v>0</v>
      </c>
      <c r="R1264" s="88">
        <f>SUMIF(月間集計シート!$M$50:$M$69,$G1264,月間集計シート!O$50:O$69)*R$2</f>
        <v>0</v>
      </c>
      <c r="S1264" s="88">
        <f>SUMIF(月間集計シート!$M$50:$M$69,$G1264,月間集計シート!P$50:P$69)*S$2</f>
        <v>0</v>
      </c>
      <c r="T1264" s="88">
        <f>SUMIF(月間集計シート!$M$50:$M$69,$G1264,月間集計シート!Q$50:Q$69)*T$2</f>
        <v>0</v>
      </c>
      <c r="U1264" s="88">
        <f>SUMIF(月間集計シート!$M$50:$M$69,$G1264,月間集計シート!R$50:R$69)*U$2</f>
        <v>0</v>
      </c>
      <c r="V1264" s="88">
        <f>SUMIF(月間集計シート!$M$50:$M$69,$G1264,月間集計シート!S$50:S$69)*V$2</f>
        <v>0</v>
      </c>
      <c r="W1264" s="88">
        <f>SUMIF(月間集計シート!$M$50:$M$69,$G1264,月間集計シート!T$50:T$69)*W$2</f>
        <v>0</v>
      </c>
      <c r="X1264" s="88">
        <f>SUMIF(月間集計シート!$M$71:$M$90,$G1264,月間集計シート!N$71:N$90)*X$2</f>
        <v>0</v>
      </c>
      <c r="Y1264" s="88">
        <f>SUMIF(月間集計シート!$M$71:$M$90,$G1264,月間集計シート!O$71:O$90)*Y$2</f>
        <v>0</v>
      </c>
      <c r="Z1264" s="88">
        <f>SUMIF(月間集計シート!$M$71:$M$90,$G1264,月間集計シート!P$71:P$90)*Z$2</f>
        <v>0</v>
      </c>
      <c r="AA1264" s="88">
        <f>SUMIF(月間集計シート!$M$71:$M$90,$G1264,月間集計シート!Q$71:Q$90)*AA$2</f>
        <v>0</v>
      </c>
      <c r="AB1264" s="88">
        <f>SUMIF(月間集計シート!$M$71:$M$90,$G1264,月間集計シート!R$71:R$90)*AB$2</f>
        <v>0</v>
      </c>
      <c r="AC1264" s="88">
        <f>SUMIF(月間集計シート!$M$71:$M$90,$G1264,月間集計シート!S$71:S$90)*AC$2</f>
        <v>0</v>
      </c>
      <c r="AD1264" s="88">
        <f>SUMIF(月間集計シート!$M$71:$M$90,$G1264,月間集計シート!T$71:T$90)*AD$2</f>
        <v>0</v>
      </c>
      <c r="AE1264" s="88">
        <f>SUMIF(月間集計シート!$M$92:$M$111,$G1264,月間集計シート!N$92:N$111)*AE$2</f>
        <v>0</v>
      </c>
      <c r="AF1264" s="88">
        <f>SUMIF(月間集計シート!$M$92:$M$111,$G1264,月間集計シート!O$92:O$111)*AF$2</f>
        <v>0</v>
      </c>
      <c r="AG1264" s="88">
        <f>SUMIF(月間集計シート!$M$92:$M$111,$G1264,月間集計シート!P$92:P$111)*AG$2</f>
        <v>0</v>
      </c>
      <c r="AH1264" s="88">
        <f>SUMIF(月間集計シート!$M$92:$M$111,$G1264,月間集計シート!Q$92:Q$111)*AH$2</f>
        <v>0</v>
      </c>
      <c r="AI1264" s="88">
        <f>SUMIF(月間集計シート!$M$92:$M$111,$G1264,月間集計シート!R$92:R$111)*AI$2</f>
        <v>0</v>
      </c>
      <c r="AJ1264" s="88">
        <f>SUMIF(月間集計シート!$M$92:$M$111,$G1264,月間集計シート!S$92:S$111)*AJ$2</f>
        <v>0</v>
      </c>
      <c r="AK1264" s="88">
        <f>SUMIF(月間集計シート!$M$92:$M$111,$G1264,月間集計シート!T$92:T$111)*AK$2</f>
        <v>0</v>
      </c>
      <c r="AL1264" s="88">
        <f>SUMIF(月間集計シート!$M$113:$M$132,$G1264,月間集計シート!N$113:N$132)*AL$2</f>
        <v>0</v>
      </c>
      <c r="AM1264" s="88">
        <f>SUMIF(月間集計シート!$M$113:$M$132,$G1264,月間集計シート!O$113:O$132)*AM$2</f>
        <v>0</v>
      </c>
      <c r="AN1264" s="88">
        <f>SUMIF(月間集計シート!$M$113:$M$132,$G1264,月間集計シート!P$113:P$132)*AN$2</f>
        <v>0</v>
      </c>
      <c r="AO1264" s="88">
        <f>SUMIF(月間集計シート!$M$113:$M$132,$G1264,月間集計シート!Q$113:Q$132)*AO$2</f>
        <v>0</v>
      </c>
      <c r="AP1264" s="88">
        <f>SUMIF(月間集計シート!$M$113:$M$132,$G1264,月間集計シート!R$113:R$132)*AP$2</f>
        <v>0</v>
      </c>
      <c r="AQ1264" s="88">
        <f>SUMIF(月間集計シート!$M$113:$M$132,$G1264,月間集計シート!S$113:S$132)*AQ$2</f>
        <v>0</v>
      </c>
      <c r="AR1264" s="88">
        <f>SUMIF(月間集計シート!$M$113:$M$132,$G1264,月間集計シート!T$113:T$132)*AR$2</f>
        <v>0</v>
      </c>
      <c r="AS1264" s="88">
        <f>SUMIF(月間集計シート!$M$134:$M$153,$G1264,月間集計シート!N$134:N$153)*AS$2</f>
        <v>0</v>
      </c>
      <c r="AT1264" s="88">
        <f>SUMIF(月間集計シート!$M$134:$M$153,$G1264,月間集計シート!O$134:O$153)*AT$2</f>
        <v>0</v>
      </c>
      <c r="AU1264" s="88">
        <f>SUMIF(月間集計シート!$M$134:$M$153,$G1264,月間集計シート!P$134:P$153)*AU$2</f>
        <v>0</v>
      </c>
      <c r="AV1264" s="88">
        <f>SUMIF(月間集計シート!$M$134:$M$153,$G1264,月間集計シート!Q$134:Q$153)*AV$2</f>
        <v>0</v>
      </c>
      <c r="AW1264" s="88">
        <f>SUMIF(月間集計シート!$M$134:$M$153,$G1264,月間集計シート!R$134:R$153)*AW$2</f>
        <v>0</v>
      </c>
      <c r="AX1264" s="88">
        <f>SUMIF(月間集計シート!$M$134:$M$153,$G1264,月間集計シート!S$134:S$153)*AX$2</f>
        <v>0</v>
      </c>
      <c r="AY1264" s="88">
        <f>SUMIF(月間集計シート!$M$134:$M$153,$G1264,月間集計シート!T$134:T$153)*AY$2</f>
        <v>0</v>
      </c>
    </row>
    <row r="1265" spans="1:51" ht="14.25" thickBot="1">
      <c r="A1265">
        <v>15</v>
      </c>
      <c r="B1265" s="120">
        <f t="shared" ref="B1265:C1281" si="682">B1264</f>
        <v>0</v>
      </c>
      <c r="C1265" s="120" t="str">
        <f t="shared" si="682"/>
        <v/>
      </c>
      <c r="D1265" s="137"/>
      <c r="E1265" s="150" t="str">
        <f>工種!A67</f>
        <v>90101</v>
      </c>
      <c r="F1265" s="119" t="str">
        <f>工種!B67</f>
        <v>管理業務：ﾌﾟﾛｼﾞｪｸﾄ管理</v>
      </c>
      <c r="G1265" s="116" t="str">
        <f t="shared" si="679"/>
        <v>090101</v>
      </c>
      <c r="H1265" s="88">
        <f t="shared" si="681"/>
        <v>0</v>
      </c>
      <c r="I1265" s="132"/>
      <c r="J1265" s="88">
        <f>SUMIF(月間集計シート!$M$29:$M$48,$G1265,月間集計シート!N$29:N$48)*J$2</f>
        <v>0</v>
      </c>
      <c r="K1265" s="88">
        <f>SUMIF(月間集計シート!$M$29:$M$48,$G1265,月間集計シート!O$29:O$48)*K$2</f>
        <v>0</v>
      </c>
      <c r="L1265" s="88">
        <f>SUMIF(月間集計シート!$M$29:$M$48,$G1265,月間集計シート!P$29:P$48)*L$2</f>
        <v>0</v>
      </c>
      <c r="M1265" s="88">
        <f>SUMIF(月間集計シート!$M$29:$M$48,$G1265,月間集計シート!Q$29:Q$48)*M$2</f>
        <v>0</v>
      </c>
      <c r="N1265" s="88">
        <f>SUMIF(月間集計シート!$M$29:$M$48,$G1265,月間集計シート!R$29:R$48)*N$2</f>
        <v>0</v>
      </c>
      <c r="O1265" s="88">
        <f>SUMIF(月間集計シート!$M$29:$M$48,$G1265,月間集計シート!S$29:S$48)*O$2</f>
        <v>0</v>
      </c>
      <c r="P1265" s="88">
        <f>SUMIF(月間集計シート!$M$29:$M$48,$G1265,月間集計シート!T$29:T$48)*P$2</f>
        <v>0</v>
      </c>
      <c r="Q1265" s="88">
        <f>SUMIF(月間集計シート!$M$50:$M$69,$G1265,月間集計シート!N$50:N$69)*Q$2</f>
        <v>0</v>
      </c>
      <c r="R1265" s="88">
        <f>SUMIF(月間集計シート!$M$50:$M$69,$G1265,月間集計シート!O$50:O$69)*R$2</f>
        <v>0</v>
      </c>
      <c r="S1265" s="88">
        <f>SUMIF(月間集計シート!$M$50:$M$69,$G1265,月間集計シート!P$50:P$69)*S$2</f>
        <v>0</v>
      </c>
      <c r="T1265" s="88">
        <f>SUMIF(月間集計シート!$M$50:$M$69,$G1265,月間集計シート!Q$50:Q$69)*T$2</f>
        <v>0</v>
      </c>
      <c r="U1265" s="88">
        <f>SUMIF(月間集計シート!$M$50:$M$69,$G1265,月間集計シート!R$50:R$69)*U$2</f>
        <v>0</v>
      </c>
      <c r="V1265" s="88">
        <f>SUMIF(月間集計シート!$M$50:$M$69,$G1265,月間集計シート!S$50:S$69)*V$2</f>
        <v>0</v>
      </c>
      <c r="W1265" s="88">
        <f>SUMIF(月間集計シート!$M$50:$M$69,$G1265,月間集計シート!T$50:T$69)*W$2</f>
        <v>0</v>
      </c>
      <c r="X1265" s="88">
        <f>SUMIF(月間集計シート!$M$71:$M$90,$G1265,月間集計シート!N$71:N$90)*X$2</f>
        <v>0</v>
      </c>
      <c r="Y1265" s="88">
        <f>SUMIF(月間集計シート!$M$71:$M$90,$G1265,月間集計シート!O$71:O$90)*Y$2</f>
        <v>0</v>
      </c>
      <c r="Z1265" s="88">
        <f>SUMIF(月間集計シート!$M$71:$M$90,$G1265,月間集計シート!P$71:P$90)*Z$2</f>
        <v>0</v>
      </c>
      <c r="AA1265" s="88">
        <f>SUMIF(月間集計シート!$M$71:$M$90,$G1265,月間集計シート!Q$71:Q$90)*AA$2</f>
        <v>0</v>
      </c>
      <c r="AB1265" s="88">
        <f>SUMIF(月間集計シート!$M$71:$M$90,$G1265,月間集計シート!R$71:R$90)*AB$2</f>
        <v>0</v>
      </c>
      <c r="AC1265" s="88">
        <f>SUMIF(月間集計シート!$M$71:$M$90,$G1265,月間集計シート!S$71:S$90)*AC$2</f>
        <v>0</v>
      </c>
      <c r="AD1265" s="88">
        <f>SUMIF(月間集計シート!$M$71:$M$90,$G1265,月間集計シート!T$71:T$90)*AD$2</f>
        <v>0</v>
      </c>
      <c r="AE1265" s="88">
        <f>SUMIF(月間集計シート!$M$92:$M$111,$G1265,月間集計シート!N$92:N$111)*AE$2</f>
        <v>0</v>
      </c>
      <c r="AF1265" s="88">
        <f>SUMIF(月間集計シート!$M$92:$M$111,$G1265,月間集計シート!O$92:O$111)*AF$2</f>
        <v>0</v>
      </c>
      <c r="AG1265" s="88">
        <f>SUMIF(月間集計シート!$M$92:$M$111,$G1265,月間集計シート!P$92:P$111)*AG$2</f>
        <v>0</v>
      </c>
      <c r="AH1265" s="88">
        <f>SUMIF(月間集計シート!$M$92:$M$111,$G1265,月間集計シート!Q$92:Q$111)*AH$2</f>
        <v>0</v>
      </c>
      <c r="AI1265" s="88">
        <f>SUMIF(月間集計シート!$M$92:$M$111,$G1265,月間集計シート!R$92:R$111)*AI$2</f>
        <v>0</v>
      </c>
      <c r="AJ1265" s="88">
        <f>SUMIF(月間集計シート!$M$92:$M$111,$G1265,月間集計シート!S$92:S$111)*AJ$2</f>
        <v>0</v>
      </c>
      <c r="AK1265" s="88">
        <f>SUMIF(月間集計シート!$M$92:$M$111,$G1265,月間集計シート!T$92:T$111)*AK$2</f>
        <v>0</v>
      </c>
      <c r="AL1265" s="88">
        <f>SUMIF(月間集計シート!$M$113:$M$132,$G1265,月間集計シート!N$113:N$132)*AL$2</f>
        <v>0</v>
      </c>
      <c r="AM1265" s="88">
        <f>SUMIF(月間集計シート!$M$113:$M$132,$G1265,月間集計シート!O$113:O$132)*AM$2</f>
        <v>0</v>
      </c>
      <c r="AN1265" s="88">
        <f>SUMIF(月間集計シート!$M$113:$M$132,$G1265,月間集計シート!P$113:P$132)*AN$2</f>
        <v>0</v>
      </c>
      <c r="AO1265" s="88">
        <f>SUMIF(月間集計シート!$M$113:$M$132,$G1265,月間集計シート!Q$113:Q$132)*AO$2</f>
        <v>0</v>
      </c>
      <c r="AP1265" s="88">
        <f>SUMIF(月間集計シート!$M$113:$M$132,$G1265,月間集計シート!R$113:R$132)*AP$2</f>
        <v>0</v>
      </c>
      <c r="AQ1265" s="88">
        <f>SUMIF(月間集計シート!$M$113:$M$132,$G1265,月間集計シート!S$113:S$132)*AQ$2</f>
        <v>0</v>
      </c>
      <c r="AR1265" s="88">
        <f>SUMIF(月間集計シート!$M$113:$M$132,$G1265,月間集計シート!T$113:T$132)*AR$2</f>
        <v>0</v>
      </c>
      <c r="AS1265" s="88">
        <f>SUMIF(月間集計シート!$M$134:$M$153,$G1265,月間集計シート!N$134:N$153)*AS$2</f>
        <v>0</v>
      </c>
      <c r="AT1265" s="88">
        <f>SUMIF(月間集計シート!$M$134:$M$153,$G1265,月間集計シート!O$134:O$153)*AT$2</f>
        <v>0</v>
      </c>
      <c r="AU1265" s="88">
        <f>SUMIF(月間集計シート!$M$134:$M$153,$G1265,月間集計シート!P$134:P$153)*AU$2</f>
        <v>0</v>
      </c>
      <c r="AV1265" s="88">
        <f>SUMIF(月間集計シート!$M$134:$M$153,$G1265,月間集計シート!Q$134:Q$153)*AV$2</f>
        <v>0</v>
      </c>
      <c r="AW1265" s="88">
        <f>SUMIF(月間集計シート!$M$134:$M$153,$G1265,月間集計シート!R$134:R$153)*AW$2</f>
        <v>0</v>
      </c>
      <c r="AX1265" s="88">
        <f>SUMIF(月間集計シート!$M$134:$M$153,$G1265,月間集計シート!S$134:S$153)*AX$2</f>
        <v>0</v>
      </c>
      <c r="AY1265" s="88">
        <f>SUMIF(月間集計シート!$M$134:$M$153,$G1265,月間集計シート!T$134:T$153)*AY$2</f>
        <v>0</v>
      </c>
    </row>
    <row r="1266" spans="1:51" ht="14.25" thickBot="1">
      <c r="A1266">
        <v>15</v>
      </c>
      <c r="B1266" s="120">
        <f t="shared" si="682"/>
        <v>0</v>
      </c>
      <c r="C1266" s="120" t="str">
        <f t="shared" si="682"/>
        <v/>
      </c>
      <c r="D1266" s="137"/>
      <c r="E1266" s="150" t="str">
        <f>工種!A68</f>
        <v>90102</v>
      </c>
      <c r="F1266" s="119" t="str">
        <f>工種!B68</f>
        <v>管理業務：開発環境管理</v>
      </c>
      <c r="G1266" s="116" t="str">
        <f t="shared" si="679"/>
        <v>090102</v>
      </c>
      <c r="H1266" s="88">
        <f t="shared" si="681"/>
        <v>0</v>
      </c>
      <c r="I1266" s="132"/>
      <c r="J1266" s="88">
        <f>SUMIF(月間集計シート!$M$29:$M$48,$G1266,月間集計シート!N$29:N$48)*J$2</f>
        <v>0</v>
      </c>
      <c r="K1266" s="88">
        <f>SUMIF(月間集計シート!$M$29:$M$48,$G1266,月間集計シート!O$29:O$48)*K$2</f>
        <v>0</v>
      </c>
      <c r="L1266" s="88">
        <f>SUMIF(月間集計シート!$M$29:$M$48,$G1266,月間集計シート!P$29:P$48)*L$2</f>
        <v>0</v>
      </c>
      <c r="M1266" s="88">
        <f>SUMIF(月間集計シート!$M$29:$M$48,$G1266,月間集計シート!Q$29:Q$48)*M$2</f>
        <v>0</v>
      </c>
      <c r="N1266" s="88">
        <f>SUMIF(月間集計シート!$M$29:$M$48,$G1266,月間集計シート!R$29:R$48)*N$2</f>
        <v>0</v>
      </c>
      <c r="O1266" s="88">
        <f>SUMIF(月間集計シート!$M$29:$M$48,$G1266,月間集計シート!S$29:S$48)*O$2</f>
        <v>0</v>
      </c>
      <c r="P1266" s="88">
        <f>SUMIF(月間集計シート!$M$29:$M$48,$G1266,月間集計シート!T$29:T$48)*P$2</f>
        <v>0</v>
      </c>
      <c r="Q1266" s="88">
        <f>SUMIF(月間集計シート!$M$50:$M$69,$G1266,月間集計シート!N$50:N$69)*Q$2</f>
        <v>0</v>
      </c>
      <c r="R1266" s="88">
        <f>SUMIF(月間集計シート!$M$50:$M$69,$G1266,月間集計シート!O$50:O$69)*R$2</f>
        <v>0</v>
      </c>
      <c r="S1266" s="88">
        <f>SUMIF(月間集計シート!$M$50:$M$69,$G1266,月間集計シート!P$50:P$69)*S$2</f>
        <v>0</v>
      </c>
      <c r="T1266" s="88">
        <f>SUMIF(月間集計シート!$M$50:$M$69,$G1266,月間集計シート!Q$50:Q$69)*T$2</f>
        <v>0</v>
      </c>
      <c r="U1266" s="88">
        <f>SUMIF(月間集計シート!$M$50:$M$69,$G1266,月間集計シート!R$50:R$69)*U$2</f>
        <v>0</v>
      </c>
      <c r="V1266" s="88">
        <f>SUMIF(月間集計シート!$M$50:$M$69,$G1266,月間集計シート!S$50:S$69)*V$2</f>
        <v>0</v>
      </c>
      <c r="W1266" s="88">
        <f>SUMIF(月間集計シート!$M$50:$M$69,$G1266,月間集計シート!T$50:T$69)*W$2</f>
        <v>0</v>
      </c>
      <c r="X1266" s="88">
        <f>SUMIF(月間集計シート!$M$71:$M$90,$G1266,月間集計シート!N$71:N$90)*X$2</f>
        <v>0</v>
      </c>
      <c r="Y1266" s="88">
        <f>SUMIF(月間集計シート!$M$71:$M$90,$G1266,月間集計シート!O$71:O$90)*Y$2</f>
        <v>0</v>
      </c>
      <c r="Z1266" s="88">
        <f>SUMIF(月間集計シート!$M$71:$M$90,$G1266,月間集計シート!P$71:P$90)*Z$2</f>
        <v>0</v>
      </c>
      <c r="AA1266" s="88">
        <f>SUMIF(月間集計シート!$M$71:$M$90,$G1266,月間集計シート!Q$71:Q$90)*AA$2</f>
        <v>0</v>
      </c>
      <c r="AB1266" s="88">
        <f>SUMIF(月間集計シート!$M$71:$M$90,$G1266,月間集計シート!R$71:R$90)*AB$2</f>
        <v>0</v>
      </c>
      <c r="AC1266" s="88">
        <f>SUMIF(月間集計シート!$M$71:$M$90,$G1266,月間集計シート!S$71:S$90)*AC$2</f>
        <v>0</v>
      </c>
      <c r="AD1266" s="88">
        <f>SUMIF(月間集計シート!$M$71:$M$90,$G1266,月間集計シート!T$71:T$90)*AD$2</f>
        <v>0</v>
      </c>
      <c r="AE1266" s="88">
        <f>SUMIF(月間集計シート!$M$92:$M$111,$G1266,月間集計シート!N$92:N$111)*AE$2</f>
        <v>0</v>
      </c>
      <c r="AF1266" s="88">
        <f>SUMIF(月間集計シート!$M$92:$M$111,$G1266,月間集計シート!O$92:O$111)*AF$2</f>
        <v>0</v>
      </c>
      <c r="AG1266" s="88">
        <f>SUMIF(月間集計シート!$M$92:$M$111,$G1266,月間集計シート!P$92:P$111)*AG$2</f>
        <v>0</v>
      </c>
      <c r="AH1266" s="88">
        <f>SUMIF(月間集計シート!$M$92:$M$111,$G1266,月間集計シート!Q$92:Q$111)*AH$2</f>
        <v>0</v>
      </c>
      <c r="AI1266" s="88">
        <f>SUMIF(月間集計シート!$M$92:$M$111,$G1266,月間集計シート!R$92:R$111)*AI$2</f>
        <v>0</v>
      </c>
      <c r="AJ1266" s="88">
        <f>SUMIF(月間集計シート!$M$92:$M$111,$G1266,月間集計シート!S$92:S$111)*AJ$2</f>
        <v>0</v>
      </c>
      <c r="AK1266" s="88">
        <f>SUMIF(月間集計シート!$M$92:$M$111,$G1266,月間集計シート!T$92:T$111)*AK$2</f>
        <v>0</v>
      </c>
      <c r="AL1266" s="88">
        <f>SUMIF(月間集計シート!$M$113:$M$132,$G1266,月間集計シート!N$113:N$132)*AL$2</f>
        <v>0</v>
      </c>
      <c r="AM1266" s="88">
        <f>SUMIF(月間集計シート!$M$113:$M$132,$G1266,月間集計シート!O$113:O$132)*AM$2</f>
        <v>0</v>
      </c>
      <c r="AN1266" s="88">
        <f>SUMIF(月間集計シート!$M$113:$M$132,$G1266,月間集計シート!P$113:P$132)*AN$2</f>
        <v>0</v>
      </c>
      <c r="AO1266" s="88">
        <f>SUMIF(月間集計シート!$M$113:$M$132,$G1266,月間集計シート!Q$113:Q$132)*AO$2</f>
        <v>0</v>
      </c>
      <c r="AP1266" s="88">
        <f>SUMIF(月間集計シート!$M$113:$M$132,$G1266,月間集計シート!R$113:R$132)*AP$2</f>
        <v>0</v>
      </c>
      <c r="AQ1266" s="88">
        <f>SUMIF(月間集計シート!$M$113:$M$132,$G1266,月間集計シート!S$113:S$132)*AQ$2</f>
        <v>0</v>
      </c>
      <c r="AR1266" s="88">
        <f>SUMIF(月間集計シート!$M$113:$M$132,$G1266,月間集計シート!T$113:T$132)*AR$2</f>
        <v>0</v>
      </c>
      <c r="AS1266" s="88">
        <f>SUMIF(月間集計シート!$M$134:$M$153,$G1266,月間集計シート!N$134:N$153)*AS$2</f>
        <v>0</v>
      </c>
      <c r="AT1266" s="88">
        <f>SUMIF(月間集計シート!$M$134:$M$153,$G1266,月間集計シート!O$134:O$153)*AT$2</f>
        <v>0</v>
      </c>
      <c r="AU1266" s="88">
        <f>SUMIF(月間集計シート!$M$134:$M$153,$G1266,月間集計シート!P$134:P$153)*AU$2</f>
        <v>0</v>
      </c>
      <c r="AV1266" s="88">
        <f>SUMIF(月間集計シート!$M$134:$M$153,$G1266,月間集計シート!Q$134:Q$153)*AV$2</f>
        <v>0</v>
      </c>
      <c r="AW1266" s="88">
        <f>SUMIF(月間集計シート!$M$134:$M$153,$G1266,月間集計シート!R$134:R$153)*AW$2</f>
        <v>0</v>
      </c>
      <c r="AX1266" s="88">
        <f>SUMIF(月間集計シート!$M$134:$M$153,$G1266,月間集計シート!S$134:S$153)*AX$2</f>
        <v>0</v>
      </c>
      <c r="AY1266" s="88">
        <f>SUMIF(月間集計シート!$M$134:$M$153,$G1266,月間集計シート!T$134:T$153)*AY$2</f>
        <v>0</v>
      </c>
    </row>
    <row r="1267" spans="1:51" ht="14.25" thickBot="1">
      <c r="A1267">
        <v>15</v>
      </c>
      <c r="B1267" s="120">
        <f t="shared" si="682"/>
        <v>0</v>
      </c>
      <c r="C1267" s="120" t="str">
        <f t="shared" si="682"/>
        <v/>
      </c>
      <c r="D1267" s="137"/>
      <c r="E1267" s="150" t="str">
        <f>工種!A69</f>
        <v>90103</v>
      </c>
      <c r="F1267" s="119" t="str">
        <f>工種!B69</f>
        <v>管理業務：標準化・開発業務改善作業</v>
      </c>
      <c r="G1267" s="116" t="str">
        <f t="shared" si="679"/>
        <v>090103</v>
      </c>
      <c r="H1267" s="88">
        <f t="shared" si="681"/>
        <v>0</v>
      </c>
      <c r="I1267" s="132"/>
      <c r="J1267" s="88">
        <f>SUMIF(月間集計シート!$M$29:$M$48,$G1267,月間集計シート!N$29:N$48)*J$2</f>
        <v>0</v>
      </c>
      <c r="K1267" s="88">
        <f>SUMIF(月間集計シート!$M$29:$M$48,$G1267,月間集計シート!O$29:O$48)*K$2</f>
        <v>0</v>
      </c>
      <c r="L1267" s="88">
        <f>SUMIF(月間集計シート!$M$29:$M$48,$G1267,月間集計シート!P$29:P$48)*L$2</f>
        <v>0</v>
      </c>
      <c r="M1267" s="88">
        <f>SUMIF(月間集計シート!$M$29:$M$48,$G1267,月間集計シート!Q$29:Q$48)*M$2</f>
        <v>0</v>
      </c>
      <c r="N1267" s="88">
        <f>SUMIF(月間集計シート!$M$29:$M$48,$G1267,月間集計シート!R$29:R$48)*N$2</f>
        <v>0</v>
      </c>
      <c r="O1267" s="88">
        <f>SUMIF(月間集計シート!$M$29:$M$48,$G1267,月間集計シート!S$29:S$48)*O$2</f>
        <v>0</v>
      </c>
      <c r="P1267" s="88">
        <f>SUMIF(月間集計シート!$M$29:$M$48,$G1267,月間集計シート!T$29:T$48)*P$2</f>
        <v>0</v>
      </c>
      <c r="Q1267" s="88">
        <f>SUMIF(月間集計シート!$M$50:$M$69,$G1267,月間集計シート!N$50:N$69)*Q$2</f>
        <v>0</v>
      </c>
      <c r="R1267" s="88">
        <f>SUMIF(月間集計シート!$M$50:$M$69,$G1267,月間集計シート!O$50:O$69)*R$2</f>
        <v>0</v>
      </c>
      <c r="S1267" s="88">
        <f>SUMIF(月間集計シート!$M$50:$M$69,$G1267,月間集計シート!P$50:P$69)*S$2</f>
        <v>0</v>
      </c>
      <c r="T1267" s="88">
        <f>SUMIF(月間集計シート!$M$50:$M$69,$G1267,月間集計シート!Q$50:Q$69)*T$2</f>
        <v>0</v>
      </c>
      <c r="U1267" s="88">
        <f>SUMIF(月間集計シート!$M$50:$M$69,$G1267,月間集計シート!R$50:R$69)*U$2</f>
        <v>0</v>
      </c>
      <c r="V1267" s="88">
        <f>SUMIF(月間集計シート!$M$50:$M$69,$G1267,月間集計シート!S$50:S$69)*V$2</f>
        <v>0</v>
      </c>
      <c r="W1267" s="88">
        <f>SUMIF(月間集計シート!$M$50:$M$69,$G1267,月間集計シート!T$50:T$69)*W$2</f>
        <v>0</v>
      </c>
      <c r="X1267" s="88">
        <f>SUMIF(月間集計シート!$M$71:$M$90,$G1267,月間集計シート!N$71:N$90)*X$2</f>
        <v>0</v>
      </c>
      <c r="Y1267" s="88">
        <f>SUMIF(月間集計シート!$M$71:$M$90,$G1267,月間集計シート!O$71:O$90)*Y$2</f>
        <v>0</v>
      </c>
      <c r="Z1267" s="88">
        <f>SUMIF(月間集計シート!$M$71:$M$90,$G1267,月間集計シート!P$71:P$90)*Z$2</f>
        <v>0</v>
      </c>
      <c r="AA1267" s="88">
        <f>SUMIF(月間集計シート!$M$71:$M$90,$G1267,月間集計シート!Q$71:Q$90)*AA$2</f>
        <v>0</v>
      </c>
      <c r="AB1267" s="88">
        <f>SUMIF(月間集計シート!$M$71:$M$90,$G1267,月間集計シート!R$71:R$90)*AB$2</f>
        <v>0</v>
      </c>
      <c r="AC1267" s="88">
        <f>SUMIF(月間集計シート!$M$71:$M$90,$G1267,月間集計シート!S$71:S$90)*AC$2</f>
        <v>0</v>
      </c>
      <c r="AD1267" s="88">
        <f>SUMIF(月間集計シート!$M$71:$M$90,$G1267,月間集計シート!T$71:T$90)*AD$2</f>
        <v>0</v>
      </c>
      <c r="AE1267" s="88">
        <f>SUMIF(月間集計シート!$M$92:$M$111,$G1267,月間集計シート!N$92:N$111)*AE$2</f>
        <v>0</v>
      </c>
      <c r="AF1267" s="88">
        <f>SUMIF(月間集計シート!$M$92:$M$111,$G1267,月間集計シート!O$92:O$111)*AF$2</f>
        <v>0</v>
      </c>
      <c r="AG1267" s="88">
        <f>SUMIF(月間集計シート!$M$92:$M$111,$G1267,月間集計シート!P$92:P$111)*AG$2</f>
        <v>0</v>
      </c>
      <c r="AH1267" s="88">
        <f>SUMIF(月間集計シート!$M$92:$M$111,$G1267,月間集計シート!Q$92:Q$111)*AH$2</f>
        <v>0</v>
      </c>
      <c r="AI1267" s="88">
        <f>SUMIF(月間集計シート!$M$92:$M$111,$G1267,月間集計シート!R$92:R$111)*AI$2</f>
        <v>0</v>
      </c>
      <c r="AJ1267" s="88">
        <f>SUMIF(月間集計シート!$M$92:$M$111,$G1267,月間集計シート!S$92:S$111)*AJ$2</f>
        <v>0</v>
      </c>
      <c r="AK1267" s="88">
        <f>SUMIF(月間集計シート!$M$92:$M$111,$G1267,月間集計シート!T$92:T$111)*AK$2</f>
        <v>0</v>
      </c>
      <c r="AL1267" s="88">
        <f>SUMIF(月間集計シート!$M$113:$M$132,$G1267,月間集計シート!N$113:N$132)*AL$2</f>
        <v>0</v>
      </c>
      <c r="AM1267" s="88">
        <f>SUMIF(月間集計シート!$M$113:$M$132,$G1267,月間集計シート!O$113:O$132)*AM$2</f>
        <v>0</v>
      </c>
      <c r="AN1267" s="88">
        <f>SUMIF(月間集計シート!$M$113:$M$132,$G1267,月間集計シート!P$113:P$132)*AN$2</f>
        <v>0</v>
      </c>
      <c r="AO1267" s="88">
        <f>SUMIF(月間集計シート!$M$113:$M$132,$G1267,月間集計シート!Q$113:Q$132)*AO$2</f>
        <v>0</v>
      </c>
      <c r="AP1267" s="88">
        <f>SUMIF(月間集計シート!$M$113:$M$132,$G1267,月間集計シート!R$113:R$132)*AP$2</f>
        <v>0</v>
      </c>
      <c r="AQ1267" s="88">
        <f>SUMIF(月間集計シート!$M$113:$M$132,$G1267,月間集計シート!S$113:S$132)*AQ$2</f>
        <v>0</v>
      </c>
      <c r="AR1267" s="88">
        <f>SUMIF(月間集計シート!$M$113:$M$132,$G1267,月間集計シート!T$113:T$132)*AR$2</f>
        <v>0</v>
      </c>
      <c r="AS1267" s="88">
        <f>SUMIF(月間集計シート!$M$134:$M$153,$G1267,月間集計シート!N$134:N$153)*AS$2</f>
        <v>0</v>
      </c>
      <c r="AT1267" s="88">
        <f>SUMIF(月間集計シート!$M$134:$M$153,$G1267,月間集計シート!O$134:O$153)*AT$2</f>
        <v>0</v>
      </c>
      <c r="AU1267" s="88">
        <f>SUMIF(月間集計シート!$M$134:$M$153,$G1267,月間集計シート!P$134:P$153)*AU$2</f>
        <v>0</v>
      </c>
      <c r="AV1267" s="88">
        <f>SUMIF(月間集計シート!$M$134:$M$153,$G1267,月間集計シート!Q$134:Q$153)*AV$2</f>
        <v>0</v>
      </c>
      <c r="AW1267" s="88">
        <f>SUMIF(月間集計シート!$M$134:$M$153,$G1267,月間集計シート!R$134:R$153)*AW$2</f>
        <v>0</v>
      </c>
      <c r="AX1267" s="88">
        <f>SUMIF(月間集計シート!$M$134:$M$153,$G1267,月間集計シート!S$134:S$153)*AX$2</f>
        <v>0</v>
      </c>
      <c r="AY1267" s="88">
        <f>SUMIF(月間集計シート!$M$134:$M$153,$G1267,月間集計シート!T$134:T$153)*AY$2</f>
        <v>0</v>
      </c>
    </row>
    <row r="1268" spans="1:51" ht="14.25" thickBot="1">
      <c r="A1268">
        <v>15</v>
      </c>
      <c r="B1268" s="120">
        <f t="shared" si="682"/>
        <v>0</v>
      </c>
      <c r="C1268" s="120" t="str">
        <f t="shared" si="682"/>
        <v/>
      </c>
      <c r="D1268" s="137"/>
      <c r="E1268" s="150" t="str">
        <f>工種!A70</f>
        <v>90104</v>
      </c>
      <c r="F1268" s="119" t="str">
        <f>工種!B70</f>
        <v>管理業務：開発業務の引継ぎ</v>
      </c>
      <c r="G1268" s="116" t="str">
        <f t="shared" si="679"/>
        <v>090104</v>
      </c>
      <c r="H1268" s="88">
        <f t="shared" si="681"/>
        <v>0</v>
      </c>
      <c r="I1268" s="132"/>
      <c r="J1268" s="88">
        <f>SUMIF(月間集計シート!$M$29:$M$48,$G1268,月間集計シート!N$29:N$48)*J$2</f>
        <v>0</v>
      </c>
      <c r="K1268" s="88">
        <f>SUMIF(月間集計シート!$M$29:$M$48,$G1268,月間集計シート!O$29:O$48)*K$2</f>
        <v>0</v>
      </c>
      <c r="L1268" s="88">
        <f>SUMIF(月間集計シート!$M$29:$M$48,$G1268,月間集計シート!P$29:P$48)*L$2</f>
        <v>0</v>
      </c>
      <c r="M1268" s="88">
        <f>SUMIF(月間集計シート!$M$29:$M$48,$G1268,月間集計シート!Q$29:Q$48)*M$2</f>
        <v>0</v>
      </c>
      <c r="N1268" s="88">
        <f>SUMIF(月間集計シート!$M$29:$M$48,$G1268,月間集計シート!R$29:R$48)*N$2</f>
        <v>0</v>
      </c>
      <c r="O1268" s="88">
        <f>SUMIF(月間集計シート!$M$29:$M$48,$G1268,月間集計シート!S$29:S$48)*O$2</f>
        <v>0</v>
      </c>
      <c r="P1268" s="88">
        <f>SUMIF(月間集計シート!$M$29:$M$48,$G1268,月間集計シート!T$29:T$48)*P$2</f>
        <v>0</v>
      </c>
      <c r="Q1268" s="88">
        <f>SUMIF(月間集計シート!$M$50:$M$69,$G1268,月間集計シート!N$50:N$69)*Q$2</f>
        <v>0</v>
      </c>
      <c r="R1268" s="88">
        <f>SUMIF(月間集計シート!$M$50:$M$69,$G1268,月間集計シート!O$50:O$69)*R$2</f>
        <v>0</v>
      </c>
      <c r="S1268" s="88">
        <f>SUMIF(月間集計シート!$M$50:$M$69,$G1268,月間集計シート!P$50:P$69)*S$2</f>
        <v>0</v>
      </c>
      <c r="T1268" s="88">
        <f>SUMIF(月間集計シート!$M$50:$M$69,$G1268,月間集計シート!Q$50:Q$69)*T$2</f>
        <v>0</v>
      </c>
      <c r="U1268" s="88">
        <f>SUMIF(月間集計シート!$M$50:$M$69,$G1268,月間集計シート!R$50:R$69)*U$2</f>
        <v>0</v>
      </c>
      <c r="V1268" s="88">
        <f>SUMIF(月間集計シート!$M$50:$M$69,$G1268,月間集計シート!S$50:S$69)*V$2</f>
        <v>0</v>
      </c>
      <c r="W1268" s="88">
        <f>SUMIF(月間集計シート!$M$50:$M$69,$G1268,月間集計シート!T$50:T$69)*W$2</f>
        <v>0</v>
      </c>
      <c r="X1268" s="88">
        <f>SUMIF(月間集計シート!$M$71:$M$90,$G1268,月間集計シート!N$71:N$90)*X$2</f>
        <v>0</v>
      </c>
      <c r="Y1268" s="88">
        <f>SUMIF(月間集計シート!$M$71:$M$90,$G1268,月間集計シート!O$71:O$90)*Y$2</f>
        <v>0</v>
      </c>
      <c r="Z1268" s="88">
        <f>SUMIF(月間集計シート!$M$71:$M$90,$G1268,月間集計シート!P$71:P$90)*Z$2</f>
        <v>0</v>
      </c>
      <c r="AA1268" s="88">
        <f>SUMIF(月間集計シート!$M$71:$M$90,$G1268,月間集計シート!Q$71:Q$90)*AA$2</f>
        <v>0</v>
      </c>
      <c r="AB1268" s="88">
        <f>SUMIF(月間集計シート!$M$71:$M$90,$G1268,月間集計シート!R$71:R$90)*AB$2</f>
        <v>0</v>
      </c>
      <c r="AC1268" s="88">
        <f>SUMIF(月間集計シート!$M$71:$M$90,$G1268,月間集計シート!S$71:S$90)*AC$2</f>
        <v>0</v>
      </c>
      <c r="AD1268" s="88">
        <f>SUMIF(月間集計シート!$M$71:$M$90,$G1268,月間集計シート!T$71:T$90)*AD$2</f>
        <v>0</v>
      </c>
      <c r="AE1268" s="88">
        <f>SUMIF(月間集計シート!$M$92:$M$111,$G1268,月間集計シート!N$92:N$111)*AE$2</f>
        <v>0</v>
      </c>
      <c r="AF1268" s="88">
        <f>SUMIF(月間集計シート!$M$92:$M$111,$G1268,月間集計シート!O$92:O$111)*AF$2</f>
        <v>0</v>
      </c>
      <c r="AG1268" s="88">
        <f>SUMIF(月間集計シート!$M$92:$M$111,$G1268,月間集計シート!P$92:P$111)*AG$2</f>
        <v>0</v>
      </c>
      <c r="AH1268" s="88">
        <f>SUMIF(月間集計シート!$M$92:$M$111,$G1268,月間集計シート!Q$92:Q$111)*AH$2</f>
        <v>0</v>
      </c>
      <c r="AI1268" s="88">
        <f>SUMIF(月間集計シート!$M$92:$M$111,$G1268,月間集計シート!R$92:R$111)*AI$2</f>
        <v>0</v>
      </c>
      <c r="AJ1268" s="88">
        <f>SUMIF(月間集計シート!$M$92:$M$111,$G1268,月間集計シート!S$92:S$111)*AJ$2</f>
        <v>0</v>
      </c>
      <c r="AK1268" s="88">
        <f>SUMIF(月間集計シート!$M$92:$M$111,$G1268,月間集計シート!T$92:T$111)*AK$2</f>
        <v>0</v>
      </c>
      <c r="AL1268" s="88">
        <f>SUMIF(月間集計シート!$M$113:$M$132,$G1268,月間集計シート!N$113:N$132)*AL$2</f>
        <v>0</v>
      </c>
      <c r="AM1268" s="88">
        <f>SUMIF(月間集計シート!$M$113:$M$132,$G1268,月間集計シート!O$113:O$132)*AM$2</f>
        <v>0</v>
      </c>
      <c r="AN1268" s="88">
        <f>SUMIF(月間集計シート!$M$113:$M$132,$G1268,月間集計シート!P$113:P$132)*AN$2</f>
        <v>0</v>
      </c>
      <c r="AO1268" s="88">
        <f>SUMIF(月間集計シート!$M$113:$M$132,$G1268,月間集計シート!Q$113:Q$132)*AO$2</f>
        <v>0</v>
      </c>
      <c r="AP1268" s="88">
        <f>SUMIF(月間集計シート!$M$113:$M$132,$G1268,月間集計シート!R$113:R$132)*AP$2</f>
        <v>0</v>
      </c>
      <c r="AQ1268" s="88">
        <f>SUMIF(月間集計シート!$M$113:$M$132,$G1268,月間集計シート!S$113:S$132)*AQ$2</f>
        <v>0</v>
      </c>
      <c r="AR1268" s="88">
        <f>SUMIF(月間集計シート!$M$113:$M$132,$G1268,月間集計シート!T$113:T$132)*AR$2</f>
        <v>0</v>
      </c>
      <c r="AS1268" s="88">
        <f>SUMIF(月間集計シート!$M$134:$M$153,$G1268,月間集計シート!N$134:N$153)*AS$2</f>
        <v>0</v>
      </c>
      <c r="AT1268" s="88">
        <f>SUMIF(月間集計シート!$M$134:$M$153,$G1268,月間集計シート!O$134:O$153)*AT$2</f>
        <v>0</v>
      </c>
      <c r="AU1268" s="88">
        <f>SUMIF(月間集計シート!$M$134:$M$153,$G1268,月間集計シート!P$134:P$153)*AU$2</f>
        <v>0</v>
      </c>
      <c r="AV1268" s="88">
        <f>SUMIF(月間集計シート!$M$134:$M$153,$G1268,月間集計シート!Q$134:Q$153)*AV$2</f>
        <v>0</v>
      </c>
      <c r="AW1268" s="88">
        <f>SUMIF(月間集計シート!$M$134:$M$153,$G1268,月間集計シート!R$134:R$153)*AW$2</f>
        <v>0</v>
      </c>
      <c r="AX1268" s="88">
        <f>SUMIF(月間集計シート!$M$134:$M$153,$G1268,月間集計シート!S$134:S$153)*AX$2</f>
        <v>0</v>
      </c>
      <c r="AY1268" s="88">
        <f>SUMIF(月間集計シート!$M$134:$M$153,$G1268,月間集計シート!T$134:T$153)*AY$2</f>
        <v>0</v>
      </c>
    </row>
    <row r="1269" spans="1:51" ht="14.25" thickBot="1">
      <c r="A1269">
        <v>15</v>
      </c>
      <c r="B1269" s="120">
        <f t="shared" si="682"/>
        <v>0</v>
      </c>
      <c r="C1269" s="120" t="str">
        <f t="shared" si="682"/>
        <v/>
      </c>
      <c r="D1269" s="137"/>
      <c r="E1269" s="150" t="str">
        <f>工種!A71</f>
        <v>90105</v>
      </c>
      <c r="F1269" s="119" t="str">
        <f>工種!B71</f>
        <v>管理業務：SRB管理</v>
      </c>
      <c r="G1269" s="116" t="str">
        <f t="shared" si="679"/>
        <v>090105</v>
      </c>
      <c r="H1269" s="88">
        <f t="shared" si="681"/>
        <v>0</v>
      </c>
      <c r="I1269" s="132"/>
      <c r="J1269" s="88">
        <f>SUMIF(月間集計シート!$M$29:$M$48,$G1269,月間集計シート!N$29:N$48)*J$2</f>
        <v>0</v>
      </c>
      <c r="K1269" s="88">
        <f>SUMIF(月間集計シート!$M$29:$M$48,$G1269,月間集計シート!O$29:O$48)*K$2</f>
        <v>0</v>
      </c>
      <c r="L1269" s="88">
        <f>SUMIF(月間集計シート!$M$29:$M$48,$G1269,月間集計シート!P$29:P$48)*L$2</f>
        <v>0</v>
      </c>
      <c r="M1269" s="88">
        <f>SUMIF(月間集計シート!$M$29:$M$48,$G1269,月間集計シート!Q$29:Q$48)*M$2</f>
        <v>0</v>
      </c>
      <c r="N1269" s="88">
        <f>SUMIF(月間集計シート!$M$29:$M$48,$G1269,月間集計シート!R$29:R$48)*N$2</f>
        <v>0</v>
      </c>
      <c r="O1269" s="88">
        <f>SUMIF(月間集計シート!$M$29:$M$48,$G1269,月間集計シート!S$29:S$48)*O$2</f>
        <v>0</v>
      </c>
      <c r="P1269" s="88">
        <f>SUMIF(月間集計シート!$M$29:$M$48,$G1269,月間集計シート!T$29:T$48)*P$2</f>
        <v>0</v>
      </c>
      <c r="Q1269" s="88">
        <f>SUMIF(月間集計シート!$M$50:$M$69,$G1269,月間集計シート!N$50:N$69)*Q$2</f>
        <v>0</v>
      </c>
      <c r="R1269" s="88">
        <f>SUMIF(月間集計シート!$M$50:$M$69,$G1269,月間集計シート!O$50:O$69)*R$2</f>
        <v>0</v>
      </c>
      <c r="S1269" s="88">
        <f>SUMIF(月間集計シート!$M$50:$M$69,$G1269,月間集計シート!P$50:P$69)*S$2</f>
        <v>0</v>
      </c>
      <c r="T1269" s="88">
        <f>SUMIF(月間集計シート!$M$50:$M$69,$G1269,月間集計シート!Q$50:Q$69)*T$2</f>
        <v>0</v>
      </c>
      <c r="U1269" s="88">
        <f>SUMIF(月間集計シート!$M$50:$M$69,$G1269,月間集計シート!R$50:R$69)*U$2</f>
        <v>0</v>
      </c>
      <c r="V1269" s="88">
        <f>SUMIF(月間集計シート!$M$50:$M$69,$G1269,月間集計シート!S$50:S$69)*V$2</f>
        <v>0</v>
      </c>
      <c r="W1269" s="88">
        <f>SUMIF(月間集計シート!$M$50:$M$69,$G1269,月間集計シート!T$50:T$69)*W$2</f>
        <v>0</v>
      </c>
      <c r="X1269" s="88">
        <f>SUMIF(月間集計シート!$M$71:$M$90,$G1269,月間集計シート!N$71:N$90)*X$2</f>
        <v>0</v>
      </c>
      <c r="Y1269" s="88">
        <f>SUMIF(月間集計シート!$M$71:$M$90,$G1269,月間集計シート!O$71:O$90)*Y$2</f>
        <v>0</v>
      </c>
      <c r="Z1269" s="88">
        <f>SUMIF(月間集計シート!$M$71:$M$90,$G1269,月間集計シート!P$71:P$90)*Z$2</f>
        <v>0</v>
      </c>
      <c r="AA1269" s="88">
        <f>SUMIF(月間集計シート!$M$71:$M$90,$G1269,月間集計シート!Q$71:Q$90)*AA$2</f>
        <v>0</v>
      </c>
      <c r="AB1269" s="88">
        <f>SUMIF(月間集計シート!$M$71:$M$90,$G1269,月間集計シート!R$71:R$90)*AB$2</f>
        <v>0</v>
      </c>
      <c r="AC1269" s="88">
        <f>SUMIF(月間集計シート!$M$71:$M$90,$G1269,月間集計シート!S$71:S$90)*AC$2</f>
        <v>0</v>
      </c>
      <c r="AD1269" s="88">
        <f>SUMIF(月間集計シート!$M$71:$M$90,$G1269,月間集計シート!T$71:T$90)*AD$2</f>
        <v>0</v>
      </c>
      <c r="AE1269" s="88">
        <f>SUMIF(月間集計シート!$M$92:$M$111,$G1269,月間集計シート!N$92:N$111)*AE$2</f>
        <v>0</v>
      </c>
      <c r="AF1269" s="88">
        <f>SUMIF(月間集計シート!$M$92:$M$111,$G1269,月間集計シート!O$92:O$111)*AF$2</f>
        <v>0</v>
      </c>
      <c r="AG1269" s="88">
        <f>SUMIF(月間集計シート!$M$92:$M$111,$G1269,月間集計シート!P$92:P$111)*AG$2</f>
        <v>0</v>
      </c>
      <c r="AH1269" s="88">
        <f>SUMIF(月間集計シート!$M$92:$M$111,$G1269,月間集計シート!Q$92:Q$111)*AH$2</f>
        <v>0</v>
      </c>
      <c r="AI1269" s="88">
        <f>SUMIF(月間集計シート!$M$92:$M$111,$G1269,月間集計シート!R$92:R$111)*AI$2</f>
        <v>0</v>
      </c>
      <c r="AJ1269" s="88">
        <f>SUMIF(月間集計シート!$M$92:$M$111,$G1269,月間集計シート!S$92:S$111)*AJ$2</f>
        <v>0</v>
      </c>
      <c r="AK1269" s="88">
        <f>SUMIF(月間集計シート!$M$92:$M$111,$G1269,月間集計シート!T$92:T$111)*AK$2</f>
        <v>0</v>
      </c>
      <c r="AL1269" s="88">
        <f>SUMIF(月間集計シート!$M$113:$M$132,$G1269,月間集計シート!N$113:N$132)*AL$2</f>
        <v>0</v>
      </c>
      <c r="AM1269" s="88">
        <f>SUMIF(月間集計シート!$M$113:$M$132,$G1269,月間集計シート!O$113:O$132)*AM$2</f>
        <v>0</v>
      </c>
      <c r="AN1269" s="88">
        <f>SUMIF(月間集計シート!$M$113:$M$132,$G1269,月間集計シート!P$113:P$132)*AN$2</f>
        <v>0</v>
      </c>
      <c r="AO1269" s="88">
        <f>SUMIF(月間集計シート!$M$113:$M$132,$G1269,月間集計シート!Q$113:Q$132)*AO$2</f>
        <v>0</v>
      </c>
      <c r="AP1269" s="88">
        <f>SUMIF(月間集計シート!$M$113:$M$132,$G1269,月間集計シート!R$113:R$132)*AP$2</f>
        <v>0</v>
      </c>
      <c r="AQ1269" s="88">
        <f>SUMIF(月間集計シート!$M$113:$M$132,$G1269,月間集計シート!S$113:S$132)*AQ$2</f>
        <v>0</v>
      </c>
      <c r="AR1269" s="88">
        <f>SUMIF(月間集計シート!$M$113:$M$132,$G1269,月間集計シート!T$113:T$132)*AR$2</f>
        <v>0</v>
      </c>
      <c r="AS1269" s="88">
        <f>SUMIF(月間集計シート!$M$134:$M$153,$G1269,月間集計シート!N$134:N$153)*AS$2</f>
        <v>0</v>
      </c>
      <c r="AT1269" s="88">
        <f>SUMIF(月間集計シート!$M$134:$M$153,$G1269,月間集計シート!O$134:O$153)*AT$2</f>
        <v>0</v>
      </c>
      <c r="AU1269" s="88">
        <f>SUMIF(月間集計シート!$M$134:$M$153,$G1269,月間集計シート!P$134:P$153)*AU$2</f>
        <v>0</v>
      </c>
      <c r="AV1269" s="88">
        <f>SUMIF(月間集計シート!$M$134:$M$153,$G1269,月間集計シート!Q$134:Q$153)*AV$2</f>
        <v>0</v>
      </c>
      <c r="AW1269" s="88">
        <f>SUMIF(月間集計シート!$M$134:$M$153,$G1269,月間集計シート!R$134:R$153)*AW$2</f>
        <v>0</v>
      </c>
      <c r="AX1269" s="88">
        <f>SUMIF(月間集計シート!$M$134:$M$153,$G1269,月間集計シート!S$134:S$153)*AX$2</f>
        <v>0</v>
      </c>
      <c r="AY1269" s="88">
        <f>SUMIF(月間集計シート!$M$134:$M$153,$G1269,月間集計シート!T$134:T$153)*AY$2</f>
        <v>0</v>
      </c>
    </row>
    <row r="1270" spans="1:51" ht="14.25" thickBot="1">
      <c r="A1270">
        <v>15</v>
      </c>
      <c r="B1270" s="120">
        <f t="shared" si="682"/>
        <v>0</v>
      </c>
      <c r="C1270" s="120" t="str">
        <f t="shared" si="682"/>
        <v/>
      </c>
      <c r="D1270" s="137"/>
      <c r="E1270" s="150" t="str">
        <f>工種!A72</f>
        <v>90107</v>
      </c>
      <c r="F1270" s="119" t="str">
        <f>工種!B72</f>
        <v>管理業務：開発事務作業</v>
      </c>
      <c r="G1270" s="116" t="str">
        <f t="shared" si="679"/>
        <v>090107</v>
      </c>
      <c r="H1270" s="88">
        <f t="shared" si="681"/>
        <v>0</v>
      </c>
      <c r="I1270" s="132"/>
      <c r="J1270" s="88">
        <f>SUMIF(月間集計シート!$M$29:$M$48,$G1270,月間集計シート!N$29:N$48)*J$2</f>
        <v>0</v>
      </c>
      <c r="K1270" s="88">
        <f>SUMIF(月間集計シート!$M$29:$M$48,$G1270,月間集計シート!O$29:O$48)*K$2</f>
        <v>0</v>
      </c>
      <c r="L1270" s="88">
        <f>SUMIF(月間集計シート!$M$29:$M$48,$G1270,月間集計シート!P$29:P$48)*L$2</f>
        <v>0</v>
      </c>
      <c r="M1270" s="88">
        <f>SUMIF(月間集計シート!$M$29:$M$48,$G1270,月間集計シート!Q$29:Q$48)*M$2</f>
        <v>0</v>
      </c>
      <c r="N1270" s="88">
        <f>SUMIF(月間集計シート!$M$29:$M$48,$G1270,月間集計シート!R$29:R$48)*N$2</f>
        <v>0</v>
      </c>
      <c r="O1270" s="88">
        <f>SUMIF(月間集計シート!$M$29:$M$48,$G1270,月間集計シート!S$29:S$48)*O$2</f>
        <v>0</v>
      </c>
      <c r="P1270" s="88">
        <f>SUMIF(月間集計シート!$M$29:$M$48,$G1270,月間集計シート!T$29:T$48)*P$2</f>
        <v>0</v>
      </c>
      <c r="Q1270" s="88">
        <f>SUMIF(月間集計シート!$M$50:$M$69,$G1270,月間集計シート!N$50:N$69)*Q$2</f>
        <v>0</v>
      </c>
      <c r="R1270" s="88">
        <f>SUMIF(月間集計シート!$M$50:$M$69,$G1270,月間集計シート!O$50:O$69)*R$2</f>
        <v>0</v>
      </c>
      <c r="S1270" s="88">
        <f>SUMIF(月間集計シート!$M$50:$M$69,$G1270,月間集計シート!P$50:P$69)*S$2</f>
        <v>0</v>
      </c>
      <c r="T1270" s="88">
        <f>SUMIF(月間集計シート!$M$50:$M$69,$G1270,月間集計シート!Q$50:Q$69)*T$2</f>
        <v>0</v>
      </c>
      <c r="U1270" s="88">
        <f>SUMIF(月間集計シート!$M$50:$M$69,$G1270,月間集計シート!R$50:R$69)*U$2</f>
        <v>0</v>
      </c>
      <c r="V1270" s="88">
        <f>SUMIF(月間集計シート!$M$50:$M$69,$G1270,月間集計シート!S$50:S$69)*V$2</f>
        <v>0</v>
      </c>
      <c r="W1270" s="88">
        <f>SUMIF(月間集計シート!$M$50:$M$69,$G1270,月間集計シート!T$50:T$69)*W$2</f>
        <v>0</v>
      </c>
      <c r="X1270" s="88">
        <f>SUMIF(月間集計シート!$M$71:$M$90,$G1270,月間集計シート!N$71:N$90)*X$2</f>
        <v>0</v>
      </c>
      <c r="Y1270" s="88">
        <f>SUMIF(月間集計シート!$M$71:$M$90,$G1270,月間集計シート!O$71:O$90)*Y$2</f>
        <v>0</v>
      </c>
      <c r="Z1270" s="88">
        <f>SUMIF(月間集計シート!$M$71:$M$90,$G1270,月間集計シート!P$71:P$90)*Z$2</f>
        <v>0</v>
      </c>
      <c r="AA1270" s="88">
        <f>SUMIF(月間集計シート!$M$71:$M$90,$G1270,月間集計シート!Q$71:Q$90)*AA$2</f>
        <v>0</v>
      </c>
      <c r="AB1270" s="88">
        <f>SUMIF(月間集計シート!$M$71:$M$90,$G1270,月間集計シート!R$71:R$90)*AB$2</f>
        <v>0</v>
      </c>
      <c r="AC1270" s="88">
        <f>SUMIF(月間集計シート!$M$71:$M$90,$G1270,月間集計シート!S$71:S$90)*AC$2</f>
        <v>0</v>
      </c>
      <c r="AD1270" s="88">
        <f>SUMIF(月間集計シート!$M$71:$M$90,$G1270,月間集計シート!T$71:T$90)*AD$2</f>
        <v>0</v>
      </c>
      <c r="AE1270" s="88">
        <f>SUMIF(月間集計シート!$M$92:$M$111,$G1270,月間集計シート!N$92:N$111)*AE$2</f>
        <v>0</v>
      </c>
      <c r="AF1270" s="88">
        <f>SUMIF(月間集計シート!$M$92:$M$111,$G1270,月間集計シート!O$92:O$111)*AF$2</f>
        <v>0</v>
      </c>
      <c r="AG1270" s="88">
        <f>SUMIF(月間集計シート!$M$92:$M$111,$G1270,月間集計シート!P$92:P$111)*AG$2</f>
        <v>0</v>
      </c>
      <c r="AH1270" s="88">
        <f>SUMIF(月間集計シート!$M$92:$M$111,$G1270,月間集計シート!Q$92:Q$111)*AH$2</f>
        <v>0</v>
      </c>
      <c r="AI1270" s="88">
        <f>SUMIF(月間集計シート!$M$92:$M$111,$G1270,月間集計シート!R$92:R$111)*AI$2</f>
        <v>0</v>
      </c>
      <c r="AJ1270" s="88">
        <f>SUMIF(月間集計シート!$M$92:$M$111,$G1270,月間集計シート!S$92:S$111)*AJ$2</f>
        <v>0</v>
      </c>
      <c r="AK1270" s="88">
        <f>SUMIF(月間集計シート!$M$92:$M$111,$G1270,月間集計シート!T$92:T$111)*AK$2</f>
        <v>0</v>
      </c>
      <c r="AL1270" s="88">
        <f>SUMIF(月間集計シート!$M$113:$M$132,$G1270,月間集計シート!N$113:N$132)*AL$2</f>
        <v>0</v>
      </c>
      <c r="AM1270" s="88">
        <f>SUMIF(月間集計シート!$M$113:$M$132,$G1270,月間集計シート!O$113:O$132)*AM$2</f>
        <v>0</v>
      </c>
      <c r="AN1270" s="88">
        <f>SUMIF(月間集計シート!$M$113:$M$132,$G1270,月間集計シート!P$113:P$132)*AN$2</f>
        <v>0</v>
      </c>
      <c r="AO1270" s="88">
        <f>SUMIF(月間集計シート!$M$113:$M$132,$G1270,月間集計シート!Q$113:Q$132)*AO$2</f>
        <v>0</v>
      </c>
      <c r="AP1270" s="88">
        <f>SUMIF(月間集計シート!$M$113:$M$132,$G1270,月間集計シート!R$113:R$132)*AP$2</f>
        <v>0</v>
      </c>
      <c r="AQ1270" s="88">
        <f>SUMIF(月間集計シート!$M$113:$M$132,$G1270,月間集計シート!S$113:S$132)*AQ$2</f>
        <v>0</v>
      </c>
      <c r="AR1270" s="88">
        <f>SUMIF(月間集計シート!$M$113:$M$132,$G1270,月間集計シート!T$113:T$132)*AR$2</f>
        <v>0</v>
      </c>
      <c r="AS1270" s="88">
        <f>SUMIF(月間集計シート!$M$134:$M$153,$G1270,月間集計シート!N$134:N$153)*AS$2</f>
        <v>0</v>
      </c>
      <c r="AT1270" s="88">
        <f>SUMIF(月間集計シート!$M$134:$M$153,$G1270,月間集計シート!O$134:O$153)*AT$2</f>
        <v>0</v>
      </c>
      <c r="AU1270" s="88">
        <f>SUMIF(月間集計シート!$M$134:$M$153,$G1270,月間集計シート!P$134:P$153)*AU$2</f>
        <v>0</v>
      </c>
      <c r="AV1270" s="88">
        <f>SUMIF(月間集計シート!$M$134:$M$153,$G1270,月間集計シート!Q$134:Q$153)*AV$2</f>
        <v>0</v>
      </c>
      <c r="AW1270" s="88">
        <f>SUMIF(月間集計シート!$M$134:$M$153,$G1270,月間集計シート!R$134:R$153)*AW$2</f>
        <v>0</v>
      </c>
      <c r="AX1270" s="88">
        <f>SUMIF(月間集計シート!$M$134:$M$153,$G1270,月間集計シート!S$134:S$153)*AX$2</f>
        <v>0</v>
      </c>
      <c r="AY1270" s="88">
        <f>SUMIF(月間集計シート!$M$134:$M$153,$G1270,月間集計シート!T$134:T$153)*AY$2</f>
        <v>0</v>
      </c>
    </row>
    <row r="1271" spans="1:51" ht="14.25" thickBot="1">
      <c r="A1271">
        <v>15</v>
      </c>
      <c r="B1271" s="120">
        <f t="shared" si="682"/>
        <v>0</v>
      </c>
      <c r="C1271" s="120" t="str">
        <f t="shared" si="682"/>
        <v/>
      </c>
      <c r="D1271" s="137"/>
      <c r="E1271" s="150" t="str">
        <f>工種!A73</f>
        <v>90108</v>
      </c>
      <c r="F1271" s="119" t="str">
        <f>工種!B73</f>
        <v>管理業務：外部不具合分析</v>
      </c>
      <c r="G1271" s="116" t="str">
        <f t="shared" si="679"/>
        <v>090108</v>
      </c>
      <c r="H1271" s="88">
        <f t="shared" si="681"/>
        <v>0</v>
      </c>
      <c r="I1271" s="132"/>
      <c r="J1271" s="88">
        <f>SUMIF(月間集計シート!$M$29:$M$48,$G1271,月間集計シート!N$29:N$48)*J$2</f>
        <v>0</v>
      </c>
      <c r="K1271" s="88">
        <f>SUMIF(月間集計シート!$M$29:$M$48,$G1271,月間集計シート!O$29:O$48)*K$2</f>
        <v>0</v>
      </c>
      <c r="L1271" s="88">
        <f>SUMIF(月間集計シート!$M$29:$M$48,$G1271,月間集計シート!P$29:P$48)*L$2</f>
        <v>0</v>
      </c>
      <c r="M1271" s="88">
        <f>SUMIF(月間集計シート!$M$29:$M$48,$G1271,月間集計シート!Q$29:Q$48)*M$2</f>
        <v>0</v>
      </c>
      <c r="N1271" s="88">
        <f>SUMIF(月間集計シート!$M$29:$M$48,$G1271,月間集計シート!R$29:R$48)*N$2</f>
        <v>0</v>
      </c>
      <c r="O1271" s="88">
        <f>SUMIF(月間集計シート!$M$29:$M$48,$G1271,月間集計シート!S$29:S$48)*O$2</f>
        <v>0</v>
      </c>
      <c r="P1271" s="88">
        <f>SUMIF(月間集計シート!$M$29:$M$48,$G1271,月間集計シート!T$29:T$48)*P$2</f>
        <v>0</v>
      </c>
      <c r="Q1271" s="88">
        <f>SUMIF(月間集計シート!$M$50:$M$69,$G1271,月間集計シート!N$50:N$69)*Q$2</f>
        <v>0</v>
      </c>
      <c r="R1271" s="88">
        <f>SUMIF(月間集計シート!$M$50:$M$69,$G1271,月間集計シート!O$50:O$69)*R$2</f>
        <v>0</v>
      </c>
      <c r="S1271" s="88">
        <f>SUMIF(月間集計シート!$M$50:$M$69,$G1271,月間集計シート!P$50:P$69)*S$2</f>
        <v>0</v>
      </c>
      <c r="T1271" s="88">
        <f>SUMIF(月間集計シート!$M$50:$M$69,$G1271,月間集計シート!Q$50:Q$69)*T$2</f>
        <v>0</v>
      </c>
      <c r="U1271" s="88">
        <f>SUMIF(月間集計シート!$M$50:$M$69,$G1271,月間集計シート!R$50:R$69)*U$2</f>
        <v>0</v>
      </c>
      <c r="V1271" s="88">
        <f>SUMIF(月間集計シート!$M$50:$M$69,$G1271,月間集計シート!S$50:S$69)*V$2</f>
        <v>0</v>
      </c>
      <c r="W1271" s="88">
        <f>SUMIF(月間集計シート!$M$50:$M$69,$G1271,月間集計シート!T$50:T$69)*W$2</f>
        <v>0</v>
      </c>
      <c r="X1271" s="88">
        <f>SUMIF(月間集計シート!$M$71:$M$90,$G1271,月間集計シート!N$71:N$90)*X$2</f>
        <v>0</v>
      </c>
      <c r="Y1271" s="88">
        <f>SUMIF(月間集計シート!$M$71:$M$90,$G1271,月間集計シート!O$71:O$90)*Y$2</f>
        <v>0</v>
      </c>
      <c r="Z1271" s="88">
        <f>SUMIF(月間集計シート!$M$71:$M$90,$G1271,月間集計シート!P$71:P$90)*Z$2</f>
        <v>0</v>
      </c>
      <c r="AA1271" s="88">
        <f>SUMIF(月間集計シート!$M$71:$M$90,$G1271,月間集計シート!Q$71:Q$90)*AA$2</f>
        <v>0</v>
      </c>
      <c r="AB1271" s="88">
        <f>SUMIF(月間集計シート!$M$71:$M$90,$G1271,月間集計シート!R$71:R$90)*AB$2</f>
        <v>0</v>
      </c>
      <c r="AC1271" s="88">
        <f>SUMIF(月間集計シート!$M$71:$M$90,$G1271,月間集計シート!S$71:S$90)*AC$2</f>
        <v>0</v>
      </c>
      <c r="AD1271" s="88">
        <f>SUMIF(月間集計シート!$M$71:$M$90,$G1271,月間集計シート!T$71:T$90)*AD$2</f>
        <v>0</v>
      </c>
      <c r="AE1271" s="88">
        <f>SUMIF(月間集計シート!$M$92:$M$111,$G1271,月間集計シート!N$92:N$111)*AE$2</f>
        <v>0</v>
      </c>
      <c r="AF1271" s="88">
        <f>SUMIF(月間集計シート!$M$92:$M$111,$G1271,月間集計シート!O$92:O$111)*AF$2</f>
        <v>0</v>
      </c>
      <c r="AG1271" s="88">
        <f>SUMIF(月間集計シート!$M$92:$M$111,$G1271,月間集計シート!P$92:P$111)*AG$2</f>
        <v>0</v>
      </c>
      <c r="AH1271" s="88">
        <f>SUMIF(月間集計シート!$M$92:$M$111,$G1271,月間集計シート!Q$92:Q$111)*AH$2</f>
        <v>0</v>
      </c>
      <c r="AI1271" s="88">
        <f>SUMIF(月間集計シート!$M$92:$M$111,$G1271,月間集計シート!R$92:R$111)*AI$2</f>
        <v>0</v>
      </c>
      <c r="AJ1271" s="88">
        <f>SUMIF(月間集計シート!$M$92:$M$111,$G1271,月間集計シート!S$92:S$111)*AJ$2</f>
        <v>0</v>
      </c>
      <c r="AK1271" s="88">
        <f>SUMIF(月間集計シート!$M$92:$M$111,$G1271,月間集計シート!T$92:T$111)*AK$2</f>
        <v>0</v>
      </c>
      <c r="AL1271" s="88">
        <f>SUMIF(月間集計シート!$M$113:$M$132,$G1271,月間集計シート!N$113:N$132)*AL$2</f>
        <v>0</v>
      </c>
      <c r="AM1271" s="88">
        <f>SUMIF(月間集計シート!$M$113:$M$132,$G1271,月間集計シート!O$113:O$132)*AM$2</f>
        <v>0</v>
      </c>
      <c r="AN1271" s="88">
        <f>SUMIF(月間集計シート!$M$113:$M$132,$G1271,月間集計シート!P$113:P$132)*AN$2</f>
        <v>0</v>
      </c>
      <c r="AO1271" s="88">
        <f>SUMIF(月間集計シート!$M$113:$M$132,$G1271,月間集計シート!Q$113:Q$132)*AO$2</f>
        <v>0</v>
      </c>
      <c r="AP1271" s="88">
        <f>SUMIF(月間集計シート!$M$113:$M$132,$G1271,月間集計シート!R$113:R$132)*AP$2</f>
        <v>0</v>
      </c>
      <c r="AQ1271" s="88">
        <f>SUMIF(月間集計シート!$M$113:$M$132,$G1271,月間集計シート!S$113:S$132)*AQ$2</f>
        <v>0</v>
      </c>
      <c r="AR1271" s="88">
        <f>SUMIF(月間集計シート!$M$113:$M$132,$G1271,月間集計シート!T$113:T$132)*AR$2</f>
        <v>0</v>
      </c>
      <c r="AS1271" s="88">
        <f>SUMIF(月間集計シート!$M$134:$M$153,$G1271,月間集計シート!N$134:N$153)*AS$2</f>
        <v>0</v>
      </c>
      <c r="AT1271" s="88">
        <f>SUMIF(月間集計シート!$M$134:$M$153,$G1271,月間集計シート!O$134:O$153)*AT$2</f>
        <v>0</v>
      </c>
      <c r="AU1271" s="88">
        <f>SUMIF(月間集計シート!$M$134:$M$153,$G1271,月間集計シート!P$134:P$153)*AU$2</f>
        <v>0</v>
      </c>
      <c r="AV1271" s="88">
        <f>SUMIF(月間集計シート!$M$134:$M$153,$G1271,月間集計シート!Q$134:Q$153)*AV$2</f>
        <v>0</v>
      </c>
      <c r="AW1271" s="88">
        <f>SUMIF(月間集計シート!$M$134:$M$153,$G1271,月間集計シート!R$134:R$153)*AW$2</f>
        <v>0</v>
      </c>
      <c r="AX1271" s="88">
        <f>SUMIF(月間集計シート!$M$134:$M$153,$G1271,月間集計シート!S$134:S$153)*AX$2</f>
        <v>0</v>
      </c>
      <c r="AY1271" s="88">
        <f>SUMIF(月間集計シート!$M$134:$M$153,$G1271,月間集計シート!T$134:T$153)*AY$2</f>
        <v>0</v>
      </c>
    </row>
    <row r="1272" spans="1:51" ht="14.25" thickBot="1">
      <c r="A1272">
        <v>15</v>
      </c>
      <c r="B1272" s="120">
        <f t="shared" si="682"/>
        <v>0</v>
      </c>
      <c r="C1272" s="120" t="str">
        <f t="shared" si="682"/>
        <v/>
      </c>
      <c r="D1272" s="137"/>
      <c r="E1272" s="150" t="str">
        <f>工種!A74</f>
        <v>90110</v>
      </c>
      <c r="F1272" s="119" t="str">
        <f>工種!B74</f>
        <v>管理業務：打合せ</v>
      </c>
      <c r="G1272" s="116" t="str">
        <f t="shared" si="679"/>
        <v>090110</v>
      </c>
      <c r="H1272" s="88">
        <f t="shared" si="681"/>
        <v>0</v>
      </c>
      <c r="I1272" s="132"/>
      <c r="J1272" s="88">
        <f>SUMIF(月間集計シート!$M$29:$M$48,$G1272,月間集計シート!N$29:N$48)*J$2</f>
        <v>0</v>
      </c>
      <c r="K1272" s="88">
        <f>SUMIF(月間集計シート!$M$29:$M$48,$G1272,月間集計シート!O$29:O$48)*K$2</f>
        <v>0</v>
      </c>
      <c r="L1272" s="88">
        <f>SUMIF(月間集計シート!$M$29:$M$48,$G1272,月間集計シート!P$29:P$48)*L$2</f>
        <v>0</v>
      </c>
      <c r="M1272" s="88">
        <f>SUMIF(月間集計シート!$M$29:$M$48,$G1272,月間集計シート!Q$29:Q$48)*M$2</f>
        <v>0</v>
      </c>
      <c r="N1272" s="88">
        <f>SUMIF(月間集計シート!$M$29:$M$48,$G1272,月間集計シート!R$29:R$48)*N$2</f>
        <v>0</v>
      </c>
      <c r="O1272" s="88">
        <f>SUMIF(月間集計シート!$M$29:$M$48,$G1272,月間集計シート!S$29:S$48)*O$2</f>
        <v>0</v>
      </c>
      <c r="P1272" s="88">
        <f>SUMIF(月間集計シート!$M$29:$M$48,$G1272,月間集計シート!T$29:T$48)*P$2</f>
        <v>0</v>
      </c>
      <c r="Q1272" s="88">
        <f>SUMIF(月間集計シート!$M$50:$M$69,$G1272,月間集計シート!N$50:N$69)*Q$2</f>
        <v>0</v>
      </c>
      <c r="R1272" s="88">
        <f>SUMIF(月間集計シート!$M$50:$M$69,$G1272,月間集計シート!O$50:O$69)*R$2</f>
        <v>0</v>
      </c>
      <c r="S1272" s="88">
        <f>SUMIF(月間集計シート!$M$50:$M$69,$G1272,月間集計シート!P$50:P$69)*S$2</f>
        <v>0</v>
      </c>
      <c r="T1272" s="88">
        <f>SUMIF(月間集計シート!$M$50:$M$69,$G1272,月間集計シート!Q$50:Q$69)*T$2</f>
        <v>0</v>
      </c>
      <c r="U1272" s="88">
        <f>SUMIF(月間集計シート!$M$50:$M$69,$G1272,月間集計シート!R$50:R$69)*U$2</f>
        <v>0</v>
      </c>
      <c r="V1272" s="88">
        <f>SUMIF(月間集計シート!$M$50:$M$69,$G1272,月間集計シート!S$50:S$69)*V$2</f>
        <v>0</v>
      </c>
      <c r="W1272" s="88">
        <f>SUMIF(月間集計シート!$M$50:$M$69,$G1272,月間集計シート!T$50:T$69)*W$2</f>
        <v>0</v>
      </c>
      <c r="X1272" s="88">
        <f>SUMIF(月間集計シート!$M$71:$M$90,$G1272,月間集計シート!N$71:N$90)*X$2</f>
        <v>0</v>
      </c>
      <c r="Y1272" s="88">
        <f>SUMIF(月間集計シート!$M$71:$M$90,$G1272,月間集計シート!O$71:O$90)*Y$2</f>
        <v>0</v>
      </c>
      <c r="Z1272" s="88">
        <f>SUMIF(月間集計シート!$M$71:$M$90,$G1272,月間集計シート!P$71:P$90)*Z$2</f>
        <v>0</v>
      </c>
      <c r="AA1272" s="88">
        <f>SUMIF(月間集計シート!$M$71:$M$90,$G1272,月間集計シート!Q$71:Q$90)*AA$2</f>
        <v>0</v>
      </c>
      <c r="AB1272" s="88">
        <f>SUMIF(月間集計シート!$M$71:$M$90,$G1272,月間集計シート!R$71:R$90)*AB$2</f>
        <v>0</v>
      </c>
      <c r="AC1272" s="88">
        <f>SUMIF(月間集計シート!$M$71:$M$90,$G1272,月間集計シート!S$71:S$90)*AC$2</f>
        <v>0</v>
      </c>
      <c r="AD1272" s="88">
        <f>SUMIF(月間集計シート!$M$71:$M$90,$G1272,月間集計シート!T$71:T$90)*AD$2</f>
        <v>0</v>
      </c>
      <c r="AE1272" s="88">
        <f>SUMIF(月間集計シート!$M$92:$M$111,$G1272,月間集計シート!N$92:N$111)*AE$2</f>
        <v>0</v>
      </c>
      <c r="AF1272" s="88">
        <f>SUMIF(月間集計シート!$M$92:$M$111,$G1272,月間集計シート!O$92:O$111)*AF$2</f>
        <v>0</v>
      </c>
      <c r="AG1272" s="88">
        <f>SUMIF(月間集計シート!$M$92:$M$111,$G1272,月間集計シート!P$92:P$111)*AG$2</f>
        <v>0</v>
      </c>
      <c r="AH1272" s="88">
        <f>SUMIF(月間集計シート!$M$92:$M$111,$G1272,月間集計シート!Q$92:Q$111)*AH$2</f>
        <v>0</v>
      </c>
      <c r="AI1272" s="88">
        <f>SUMIF(月間集計シート!$M$92:$M$111,$G1272,月間集計シート!R$92:R$111)*AI$2</f>
        <v>0</v>
      </c>
      <c r="AJ1272" s="88">
        <f>SUMIF(月間集計シート!$M$92:$M$111,$G1272,月間集計シート!S$92:S$111)*AJ$2</f>
        <v>0</v>
      </c>
      <c r="AK1272" s="88">
        <f>SUMIF(月間集計シート!$M$92:$M$111,$G1272,月間集計シート!T$92:T$111)*AK$2</f>
        <v>0</v>
      </c>
      <c r="AL1272" s="88">
        <f>SUMIF(月間集計シート!$M$113:$M$132,$G1272,月間集計シート!N$113:N$132)*AL$2</f>
        <v>0</v>
      </c>
      <c r="AM1272" s="88">
        <f>SUMIF(月間集計シート!$M$113:$M$132,$G1272,月間集計シート!O$113:O$132)*AM$2</f>
        <v>0</v>
      </c>
      <c r="AN1272" s="88">
        <f>SUMIF(月間集計シート!$M$113:$M$132,$G1272,月間集計シート!P$113:P$132)*AN$2</f>
        <v>0</v>
      </c>
      <c r="AO1272" s="88">
        <f>SUMIF(月間集計シート!$M$113:$M$132,$G1272,月間集計シート!Q$113:Q$132)*AO$2</f>
        <v>0</v>
      </c>
      <c r="AP1272" s="88">
        <f>SUMIF(月間集計シート!$M$113:$M$132,$G1272,月間集計シート!R$113:R$132)*AP$2</f>
        <v>0</v>
      </c>
      <c r="AQ1272" s="88">
        <f>SUMIF(月間集計シート!$M$113:$M$132,$G1272,月間集計シート!S$113:S$132)*AQ$2</f>
        <v>0</v>
      </c>
      <c r="AR1272" s="88">
        <f>SUMIF(月間集計シート!$M$113:$M$132,$G1272,月間集計シート!T$113:T$132)*AR$2</f>
        <v>0</v>
      </c>
      <c r="AS1272" s="88">
        <f>SUMIF(月間集計シート!$M$134:$M$153,$G1272,月間集計シート!N$134:N$153)*AS$2</f>
        <v>0</v>
      </c>
      <c r="AT1272" s="88">
        <f>SUMIF(月間集計シート!$M$134:$M$153,$G1272,月間集計シート!O$134:O$153)*AT$2</f>
        <v>0</v>
      </c>
      <c r="AU1272" s="88">
        <f>SUMIF(月間集計シート!$M$134:$M$153,$G1272,月間集計シート!P$134:P$153)*AU$2</f>
        <v>0</v>
      </c>
      <c r="AV1272" s="88">
        <f>SUMIF(月間集計シート!$M$134:$M$153,$G1272,月間集計シート!Q$134:Q$153)*AV$2</f>
        <v>0</v>
      </c>
      <c r="AW1272" s="88">
        <f>SUMIF(月間集計シート!$M$134:$M$153,$G1272,月間集計シート!R$134:R$153)*AW$2</f>
        <v>0</v>
      </c>
      <c r="AX1272" s="88">
        <f>SUMIF(月間集計シート!$M$134:$M$153,$G1272,月間集計シート!S$134:S$153)*AX$2</f>
        <v>0</v>
      </c>
      <c r="AY1272" s="88">
        <f>SUMIF(月間集計シート!$M$134:$M$153,$G1272,月間集計シート!T$134:T$153)*AY$2</f>
        <v>0</v>
      </c>
    </row>
    <row r="1273" spans="1:51" ht="14.25" thickBot="1">
      <c r="A1273">
        <v>15</v>
      </c>
      <c r="B1273" s="120">
        <f t="shared" si="682"/>
        <v>0</v>
      </c>
      <c r="C1273" s="120" t="str">
        <f t="shared" si="682"/>
        <v/>
      </c>
      <c r="D1273" s="137"/>
      <c r="E1273" s="150" t="str">
        <f>工種!A75</f>
        <v>90111</v>
      </c>
      <c r="F1273" s="119" t="str">
        <f>工種!B75</f>
        <v>管理業務：レビュー</v>
      </c>
      <c r="G1273" s="116" t="str">
        <f t="shared" si="679"/>
        <v>090111</v>
      </c>
      <c r="H1273" s="88">
        <f t="shared" si="681"/>
        <v>0</v>
      </c>
      <c r="I1273" s="132"/>
      <c r="J1273" s="88">
        <f>SUMIF(月間集計シート!$M$29:$M$48,$G1273,月間集計シート!N$29:N$48)*J$2</f>
        <v>0</v>
      </c>
      <c r="K1273" s="88">
        <f>SUMIF(月間集計シート!$M$29:$M$48,$G1273,月間集計シート!O$29:O$48)*K$2</f>
        <v>0</v>
      </c>
      <c r="L1273" s="88">
        <f>SUMIF(月間集計シート!$M$29:$M$48,$G1273,月間集計シート!P$29:P$48)*L$2</f>
        <v>0</v>
      </c>
      <c r="M1273" s="88">
        <f>SUMIF(月間集計シート!$M$29:$M$48,$G1273,月間集計シート!Q$29:Q$48)*M$2</f>
        <v>0</v>
      </c>
      <c r="N1273" s="88">
        <f>SUMIF(月間集計シート!$M$29:$M$48,$G1273,月間集計シート!R$29:R$48)*N$2</f>
        <v>0</v>
      </c>
      <c r="O1273" s="88">
        <f>SUMIF(月間集計シート!$M$29:$M$48,$G1273,月間集計シート!S$29:S$48)*O$2</f>
        <v>0</v>
      </c>
      <c r="P1273" s="88">
        <f>SUMIF(月間集計シート!$M$29:$M$48,$G1273,月間集計シート!T$29:T$48)*P$2</f>
        <v>0</v>
      </c>
      <c r="Q1273" s="88">
        <f>SUMIF(月間集計シート!$M$50:$M$69,$G1273,月間集計シート!N$50:N$69)*Q$2</f>
        <v>0</v>
      </c>
      <c r="R1273" s="88">
        <f>SUMIF(月間集計シート!$M$50:$M$69,$G1273,月間集計シート!O$50:O$69)*R$2</f>
        <v>0</v>
      </c>
      <c r="S1273" s="88">
        <f>SUMIF(月間集計シート!$M$50:$M$69,$G1273,月間集計シート!P$50:P$69)*S$2</f>
        <v>0</v>
      </c>
      <c r="T1273" s="88">
        <f>SUMIF(月間集計シート!$M$50:$M$69,$G1273,月間集計シート!Q$50:Q$69)*T$2</f>
        <v>0</v>
      </c>
      <c r="U1273" s="88">
        <f>SUMIF(月間集計シート!$M$50:$M$69,$G1273,月間集計シート!R$50:R$69)*U$2</f>
        <v>0</v>
      </c>
      <c r="V1273" s="88">
        <f>SUMIF(月間集計シート!$M$50:$M$69,$G1273,月間集計シート!S$50:S$69)*V$2</f>
        <v>0</v>
      </c>
      <c r="W1273" s="88">
        <f>SUMIF(月間集計シート!$M$50:$M$69,$G1273,月間集計シート!T$50:T$69)*W$2</f>
        <v>0</v>
      </c>
      <c r="X1273" s="88">
        <f>SUMIF(月間集計シート!$M$71:$M$90,$G1273,月間集計シート!N$71:N$90)*X$2</f>
        <v>0</v>
      </c>
      <c r="Y1273" s="88">
        <f>SUMIF(月間集計シート!$M$71:$M$90,$G1273,月間集計シート!O$71:O$90)*Y$2</f>
        <v>0</v>
      </c>
      <c r="Z1273" s="88">
        <f>SUMIF(月間集計シート!$M$71:$M$90,$G1273,月間集計シート!P$71:P$90)*Z$2</f>
        <v>0</v>
      </c>
      <c r="AA1273" s="88">
        <f>SUMIF(月間集計シート!$M$71:$M$90,$G1273,月間集計シート!Q$71:Q$90)*AA$2</f>
        <v>0</v>
      </c>
      <c r="AB1273" s="88">
        <f>SUMIF(月間集計シート!$M$71:$M$90,$G1273,月間集計シート!R$71:R$90)*AB$2</f>
        <v>0</v>
      </c>
      <c r="AC1273" s="88">
        <f>SUMIF(月間集計シート!$M$71:$M$90,$G1273,月間集計シート!S$71:S$90)*AC$2</f>
        <v>0</v>
      </c>
      <c r="AD1273" s="88">
        <f>SUMIF(月間集計シート!$M$71:$M$90,$G1273,月間集計シート!T$71:T$90)*AD$2</f>
        <v>0</v>
      </c>
      <c r="AE1273" s="88">
        <f>SUMIF(月間集計シート!$M$92:$M$111,$G1273,月間集計シート!N$92:N$111)*AE$2</f>
        <v>0</v>
      </c>
      <c r="AF1273" s="88">
        <f>SUMIF(月間集計シート!$M$92:$M$111,$G1273,月間集計シート!O$92:O$111)*AF$2</f>
        <v>0</v>
      </c>
      <c r="AG1273" s="88">
        <f>SUMIF(月間集計シート!$M$92:$M$111,$G1273,月間集計シート!P$92:P$111)*AG$2</f>
        <v>0</v>
      </c>
      <c r="AH1273" s="88">
        <f>SUMIF(月間集計シート!$M$92:$M$111,$G1273,月間集計シート!Q$92:Q$111)*AH$2</f>
        <v>0</v>
      </c>
      <c r="AI1273" s="88">
        <f>SUMIF(月間集計シート!$M$92:$M$111,$G1273,月間集計シート!R$92:R$111)*AI$2</f>
        <v>0</v>
      </c>
      <c r="AJ1273" s="88">
        <f>SUMIF(月間集計シート!$M$92:$M$111,$G1273,月間集計シート!S$92:S$111)*AJ$2</f>
        <v>0</v>
      </c>
      <c r="AK1273" s="88">
        <f>SUMIF(月間集計シート!$M$92:$M$111,$G1273,月間集計シート!T$92:T$111)*AK$2</f>
        <v>0</v>
      </c>
      <c r="AL1273" s="88">
        <f>SUMIF(月間集計シート!$M$113:$M$132,$G1273,月間集計シート!N$113:N$132)*AL$2</f>
        <v>0</v>
      </c>
      <c r="AM1273" s="88">
        <f>SUMIF(月間集計シート!$M$113:$M$132,$G1273,月間集計シート!O$113:O$132)*AM$2</f>
        <v>0</v>
      </c>
      <c r="AN1273" s="88">
        <f>SUMIF(月間集計シート!$M$113:$M$132,$G1273,月間集計シート!P$113:P$132)*AN$2</f>
        <v>0</v>
      </c>
      <c r="AO1273" s="88">
        <f>SUMIF(月間集計シート!$M$113:$M$132,$G1273,月間集計シート!Q$113:Q$132)*AO$2</f>
        <v>0</v>
      </c>
      <c r="AP1273" s="88">
        <f>SUMIF(月間集計シート!$M$113:$M$132,$G1273,月間集計シート!R$113:R$132)*AP$2</f>
        <v>0</v>
      </c>
      <c r="AQ1273" s="88">
        <f>SUMIF(月間集計シート!$M$113:$M$132,$G1273,月間集計シート!S$113:S$132)*AQ$2</f>
        <v>0</v>
      </c>
      <c r="AR1273" s="88">
        <f>SUMIF(月間集計シート!$M$113:$M$132,$G1273,月間集計シート!T$113:T$132)*AR$2</f>
        <v>0</v>
      </c>
      <c r="AS1273" s="88">
        <f>SUMIF(月間集計シート!$M$134:$M$153,$G1273,月間集計シート!N$134:N$153)*AS$2</f>
        <v>0</v>
      </c>
      <c r="AT1273" s="88">
        <f>SUMIF(月間集計シート!$M$134:$M$153,$G1273,月間集計シート!O$134:O$153)*AT$2</f>
        <v>0</v>
      </c>
      <c r="AU1273" s="88">
        <f>SUMIF(月間集計シート!$M$134:$M$153,$G1273,月間集計シート!P$134:P$153)*AU$2</f>
        <v>0</v>
      </c>
      <c r="AV1273" s="88">
        <f>SUMIF(月間集計シート!$M$134:$M$153,$G1273,月間集計シート!Q$134:Q$153)*AV$2</f>
        <v>0</v>
      </c>
      <c r="AW1273" s="88">
        <f>SUMIF(月間集計シート!$M$134:$M$153,$G1273,月間集計シート!R$134:R$153)*AW$2</f>
        <v>0</v>
      </c>
      <c r="AX1273" s="88">
        <f>SUMIF(月間集計シート!$M$134:$M$153,$G1273,月間集計シート!S$134:S$153)*AX$2</f>
        <v>0</v>
      </c>
      <c r="AY1273" s="88">
        <f>SUMIF(月間集計シート!$M$134:$M$153,$G1273,月間集計シート!T$134:T$153)*AY$2</f>
        <v>0</v>
      </c>
    </row>
    <row r="1274" spans="1:51" ht="14.25" thickBot="1">
      <c r="A1274">
        <v>15</v>
      </c>
      <c r="B1274" s="120">
        <f t="shared" si="682"/>
        <v>0</v>
      </c>
      <c r="C1274" s="120" t="str">
        <f t="shared" si="682"/>
        <v/>
      </c>
      <c r="D1274" s="137"/>
      <c r="E1274" s="150" t="str">
        <f>工種!A76</f>
        <v>90199</v>
      </c>
      <c r="F1274" s="119" t="str">
        <f>工種!B76</f>
        <v>管理業務：その他</v>
      </c>
      <c r="G1274" s="116" t="str">
        <f t="shared" si="679"/>
        <v>090199</v>
      </c>
      <c r="H1274" s="88">
        <f t="shared" si="681"/>
        <v>0</v>
      </c>
      <c r="I1274" s="132"/>
      <c r="J1274" s="88">
        <f>SUMIF(月間集計シート!$M$29:$M$48,$G1274,月間集計シート!N$29:N$48)*J$2</f>
        <v>0</v>
      </c>
      <c r="K1274" s="88">
        <f>SUMIF(月間集計シート!$M$29:$M$48,$G1274,月間集計シート!O$29:O$48)*K$2</f>
        <v>0</v>
      </c>
      <c r="L1274" s="88">
        <f>SUMIF(月間集計シート!$M$29:$M$48,$G1274,月間集計シート!P$29:P$48)*L$2</f>
        <v>0</v>
      </c>
      <c r="M1274" s="88">
        <f>SUMIF(月間集計シート!$M$29:$M$48,$G1274,月間集計シート!Q$29:Q$48)*M$2</f>
        <v>0</v>
      </c>
      <c r="N1274" s="88">
        <f>SUMIF(月間集計シート!$M$29:$M$48,$G1274,月間集計シート!R$29:R$48)*N$2</f>
        <v>0</v>
      </c>
      <c r="O1274" s="88">
        <f>SUMIF(月間集計シート!$M$29:$M$48,$G1274,月間集計シート!S$29:S$48)*O$2</f>
        <v>0</v>
      </c>
      <c r="P1274" s="88">
        <f>SUMIF(月間集計シート!$M$29:$M$48,$G1274,月間集計シート!T$29:T$48)*P$2</f>
        <v>0</v>
      </c>
      <c r="Q1274" s="88">
        <f>SUMIF(月間集計シート!$M$50:$M$69,$G1274,月間集計シート!N$50:N$69)*Q$2</f>
        <v>0</v>
      </c>
      <c r="R1274" s="88">
        <f>SUMIF(月間集計シート!$M$50:$M$69,$G1274,月間集計シート!O$50:O$69)*R$2</f>
        <v>0</v>
      </c>
      <c r="S1274" s="88">
        <f>SUMIF(月間集計シート!$M$50:$M$69,$G1274,月間集計シート!P$50:P$69)*S$2</f>
        <v>0</v>
      </c>
      <c r="T1274" s="88">
        <f>SUMIF(月間集計シート!$M$50:$M$69,$G1274,月間集計シート!Q$50:Q$69)*T$2</f>
        <v>0</v>
      </c>
      <c r="U1274" s="88">
        <f>SUMIF(月間集計シート!$M$50:$M$69,$G1274,月間集計シート!R$50:R$69)*U$2</f>
        <v>0</v>
      </c>
      <c r="V1274" s="88">
        <f>SUMIF(月間集計シート!$M$50:$M$69,$G1274,月間集計シート!S$50:S$69)*V$2</f>
        <v>0</v>
      </c>
      <c r="W1274" s="88">
        <f>SUMIF(月間集計シート!$M$50:$M$69,$G1274,月間集計シート!T$50:T$69)*W$2</f>
        <v>0</v>
      </c>
      <c r="X1274" s="88">
        <f>SUMIF(月間集計シート!$M$71:$M$90,$G1274,月間集計シート!N$71:N$90)*X$2</f>
        <v>0</v>
      </c>
      <c r="Y1274" s="88">
        <f>SUMIF(月間集計シート!$M$71:$M$90,$G1274,月間集計シート!O$71:O$90)*Y$2</f>
        <v>0</v>
      </c>
      <c r="Z1274" s="88">
        <f>SUMIF(月間集計シート!$M$71:$M$90,$G1274,月間集計シート!P$71:P$90)*Z$2</f>
        <v>0</v>
      </c>
      <c r="AA1274" s="88">
        <f>SUMIF(月間集計シート!$M$71:$M$90,$G1274,月間集計シート!Q$71:Q$90)*AA$2</f>
        <v>0</v>
      </c>
      <c r="AB1274" s="88">
        <f>SUMIF(月間集計シート!$M$71:$M$90,$G1274,月間集計シート!R$71:R$90)*AB$2</f>
        <v>0</v>
      </c>
      <c r="AC1274" s="88">
        <f>SUMIF(月間集計シート!$M$71:$M$90,$G1274,月間集計シート!S$71:S$90)*AC$2</f>
        <v>0</v>
      </c>
      <c r="AD1274" s="88">
        <f>SUMIF(月間集計シート!$M$71:$M$90,$G1274,月間集計シート!T$71:T$90)*AD$2</f>
        <v>0</v>
      </c>
      <c r="AE1274" s="88">
        <f>SUMIF(月間集計シート!$M$92:$M$111,$G1274,月間集計シート!N$92:N$111)*AE$2</f>
        <v>0</v>
      </c>
      <c r="AF1274" s="88">
        <f>SUMIF(月間集計シート!$M$92:$M$111,$G1274,月間集計シート!O$92:O$111)*AF$2</f>
        <v>0</v>
      </c>
      <c r="AG1274" s="88">
        <f>SUMIF(月間集計シート!$M$92:$M$111,$G1274,月間集計シート!P$92:P$111)*AG$2</f>
        <v>0</v>
      </c>
      <c r="AH1274" s="88">
        <f>SUMIF(月間集計シート!$M$92:$M$111,$G1274,月間集計シート!Q$92:Q$111)*AH$2</f>
        <v>0</v>
      </c>
      <c r="AI1274" s="88">
        <f>SUMIF(月間集計シート!$M$92:$M$111,$G1274,月間集計シート!R$92:R$111)*AI$2</f>
        <v>0</v>
      </c>
      <c r="AJ1274" s="88">
        <f>SUMIF(月間集計シート!$M$92:$M$111,$G1274,月間集計シート!S$92:S$111)*AJ$2</f>
        <v>0</v>
      </c>
      <c r="AK1274" s="88">
        <f>SUMIF(月間集計シート!$M$92:$M$111,$G1274,月間集計シート!T$92:T$111)*AK$2</f>
        <v>0</v>
      </c>
      <c r="AL1274" s="88">
        <f>SUMIF(月間集計シート!$M$113:$M$132,$G1274,月間集計シート!N$113:N$132)*AL$2</f>
        <v>0</v>
      </c>
      <c r="AM1274" s="88">
        <f>SUMIF(月間集計シート!$M$113:$M$132,$G1274,月間集計シート!O$113:O$132)*AM$2</f>
        <v>0</v>
      </c>
      <c r="AN1274" s="88">
        <f>SUMIF(月間集計シート!$M$113:$M$132,$G1274,月間集計シート!P$113:P$132)*AN$2</f>
        <v>0</v>
      </c>
      <c r="AO1274" s="88">
        <f>SUMIF(月間集計シート!$M$113:$M$132,$G1274,月間集計シート!Q$113:Q$132)*AO$2</f>
        <v>0</v>
      </c>
      <c r="AP1274" s="88">
        <f>SUMIF(月間集計シート!$M$113:$M$132,$G1274,月間集計シート!R$113:R$132)*AP$2</f>
        <v>0</v>
      </c>
      <c r="AQ1274" s="88">
        <f>SUMIF(月間集計シート!$M$113:$M$132,$G1274,月間集計シート!S$113:S$132)*AQ$2</f>
        <v>0</v>
      </c>
      <c r="AR1274" s="88">
        <f>SUMIF(月間集計シート!$M$113:$M$132,$G1274,月間集計シート!T$113:T$132)*AR$2</f>
        <v>0</v>
      </c>
      <c r="AS1274" s="88">
        <f>SUMIF(月間集計シート!$M$134:$M$153,$G1274,月間集計シート!N$134:N$153)*AS$2</f>
        <v>0</v>
      </c>
      <c r="AT1274" s="88">
        <f>SUMIF(月間集計シート!$M$134:$M$153,$G1274,月間集計シート!O$134:O$153)*AT$2</f>
        <v>0</v>
      </c>
      <c r="AU1274" s="88">
        <f>SUMIF(月間集計シート!$M$134:$M$153,$G1274,月間集計シート!P$134:P$153)*AU$2</f>
        <v>0</v>
      </c>
      <c r="AV1274" s="88">
        <f>SUMIF(月間集計シート!$M$134:$M$153,$G1274,月間集計シート!Q$134:Q$153)*AV$2</f>
        <v>0</v>
      </c>
      <c r="AW1274" s="88">
        <f>SUMIF(月間集計シート!$M$134:$M$153,$G1274,月間集計シート!R$134:R$153)*AW$2</f>
        <v>0</v>
      </c>
      <c r="AX1274" s="88">
        <f>SUMIF(月間集計シート!$M$134:$M$153,$G1274,月間集計シート!S$134:S$153)*AX$2</f>
        <v>0</v>
      </c>
      <c r="AY1274" s="88">
        <f>SUMIF(月間集計シート!$M$134:$M$153,$G1274,月間集計シート!T$134:T$153)*AY$2</f>
        <v>0</v>
      </c>
    </row>
    <row r="1275" spans="1:51" ht="14.25" thickBot="1">
      <c r="A1275">
        <v>15</v>
      </c>
      <c r="B1275" s="120">
        <f t="shared" si="682"/>
        <v>0</v>
      </c>
      <c r="C1275" s="120" t="str">
        <f t="shared" si="682"/>
        <v/>
      </c>
      <c r="D1275" s="137"/>
      <c r="E1275" s="150">
        <f>工種!A77</f>
        <v>99102</v>
      </c>
      <c r="F1275" s="119" t="str">
        <f>工種!B77</f>
        <v>間接業務：業務環境管理（PCｾｯﾄｱｯﾌﾟ等）</v>
      </c>
      <c r="G1275" s="116" t="str">
        <f t="shared" si="679"/>
        <v>099102</v>
      </c>
      <c r="H1275" s="88">
        <f t="shared" si="681"/>
        <v>0</v>
      </c>
      <c r="I1275" s="132"/>
      <c r="J1275" s="88">
        <f>SUMIF(月間集計シート!$M$29:$M$48,$G1275,月間集計シート!N$29:N$48)*J$2</f>
        <v>0</v>
      </c>
      <c r="K1275" s="88">
        <f>SUMIF(月間集計シート!$M$29:$M$48,$G1275,月間集計シート!O$29:O$48)*K$2</f>
        <v>0</v>
      </c>
      <c r="L1275" s="88">
        <f>SUMIF(月間集計シート!$M$29:$M$48,$G1275,月間集計シート!P$29:P$48)*L$2</f>
        <v>0</v>
      </c>
      <c r="M1275" s="88">
        <f>SUMIF(月間集計シート!$M$29:$M$48,$G1275,月間集計シート!Q$29:Q$48)*M$2</f>
        <v>0</v>
      </c>
      <c r="N1275" s="88">
        <f>SUMIF(月間集計シート!$M$29:$M$48,$G1275,月間集計シート!R$29:R$48)*N$2</f>
        <v>0</v>
      </c>
      <c r="O1275" s="88">
        <f>SUMIF(月間集計シート!$M$29:$M$48,$G1275,月間集計シート!S$29:S$48)*O$2</f>
        <v>0</v>
      </c>
      <c r="P1275" s="88">
        <f>SUMIF(月間集計シート!$M$29:$M$48,$G1275,月間集計シート!T$29:T$48)*P$2</f>
        <v>0</v>
      </c>
      <c r="Q1275" s="88">
        <f>SUMIF(月間集計シート!$M$50:$M$69,$G1275,月間集計シート!N$50:N$69)*Q$2</f>
        <v>0</v>
      </c>
      <c r="R1275" s="88">
        <f>SUMIF(月間集計シート!$M$50:$M$69,$G1275,月間集計シート!O$50:O$69)*R$2</f>
        <v>0</v>
      </c>
      <c r="S1275" s="88">
        <f>SUMIF(月間集計シート!$M$50:$M$69,$G1275,月間集計シート!P$50:P$69)*S$2</f>
        <v>0</v>
      </c>
      <c r="T1275" s="88">
        <f>SUMIF(月間集計シート!$M$50:$M$69,$G1275,月間集計シート!Q$50:Q$69)*T$2</f>
        <v>0</v>
      </c>
      <c r="U1275" s="88">
        <f>SUMIF(月間集計シート!$M$50:$M$69,$G1275,月間集計シート!R$50:R$69)*U$2</f>
        <v>0</v>
      </c>
      <c r="V1275" s="88">
        <f>SUMIF(月間集計シート!$M$50:$M$69,$G1275,月間集計シート!S$50:S$69)*V$2</f>
        <v>0</v>
      </c>
      <c r="W1275" s="88">
        <f>SUMIF(月間集計シート!$M$50:$M$69,$G1275,月間集計シート!T$50:T$69)*W$2</f>
        <v>0</v>
      </c>
      <c r="X1275" s="88">
        <f>SUMIF(月間集計シート!$M$71:$M$90,$G1275,月間集計シート!N$71:N$90)*X$2</f>
        <v>0</v>
      </c>
      <c r="Y1275" s="88">
        <f>SUMIF(月間集計シート!$M$71:$M$90,$G1275,月間集計シート!O$71:O$90)*Y$2</f>
        <v>0</v>
      </c>
      <c r="Z1275" s="88">
        <f>SUMIF(月間集計シート!$M$71:$M$90,$G1275,月間集計シート!P$71:P$90)*Z$2</f>
        <v>0</v>
      </c>
      <c r="AA1275" s="88">
        <f>SUMIF(月間集計シート!$M$71:$M$90,$G1275,月間集計シート!Q$71:Q$90)*AA$2</f>
        <v>0</v>
      </c>
      <c r="AB1275" s="88">
        <f>SUMIF(月間集計シート!$M$71:$M$90,$G1275,月間集計シート!R$71:R$90)*AB$2</f>
        <v>0</v>
      </c>
      <c r="AC1275" s="88">
        <f>SUMIF(月間集計シート!$M$71:$M$90,$G1275,月間集計シート!S$71:S$90)*AC$2</f>
        <v>0</v>
      </c>
      <c r="AD1275" s="88">
        <f>SUMIF(月間集計シート!$M$71:$M$90,$G1275,月間集計シート!T$71:T$90)*AD$2</f>
        <v>0</v>
      </c>
      <c r="AE1275" s="88">
        <f>SUMIF(月間集計シート!$M$92:$M$111,$G1275,月間集計シート!N$92:N$111)*AE$2</f>
        <v>0</v>
      </c>
      <c r="AF1275" s="88">
        <f>SUMIF(月間集計シート!$M$92:$M$111,$G1275,月間集計シート!O$92:O$111)*AF$2</f>
        <v>0</v>
      </c>
      <c r="AG1275" s="88">
        <f>SUMIF(月間集計シート!$M$92:$M$111,$G1275,月間集計シート!P$92:P$111)*AG$2</f>
        <v>0</v>
      </c>
      <c r="AH1275" s="88">
        <f>SUMIF(月間集計シート!$M$92:$M$111,$G1275,月間集計シート!Q$92:Q$111)*AH$2</f>
        <v>0</v>
      </c>
      <c r="AI1275" s="88">
        <f>SUMIF(月間集計シート!$M$92:$M$111,$G1275,月間集計シート!R$92:R$111)*AI$2</f>
        <v>0</v>
      </c>
      <c r="AJ1275" s="88">
        <f>SUMIF(月間集計シート!$M$92:$M$111,$G1275,月間集計シート!S$92:S$111)*AJ$2</f>
        <v>0</v>
      </c>
      <c r="AK1275" s="88">
        <f>SUMIF(月間集計シート!$M$92:$M$111,$G1275,月間集計シート!T$92:T$111)*AK$2</f>
        <v>0</v>
      </c>
      <c r="AL1275" s="88">
        <f>SUMIF(月間集計シート!$M$113:$M$132,$G1275,月間集計シート!N$113:N$132)*AL$2</f>
        <v>0</v>
      </c>
      <c r="AM1275" s="88">
        <f>SUMIF(月間集計シート!$M$113:$M$132,$G1275,月間集計シート!O$113:O$132)*AM$2</f>
        <v>0</v>
      </c>
      <c r="AN1275" s="88">
        <f>SUMIF(月間集計シート!$M$113:$M$132,$G1275,月間集計シート!P$113:P$132)*AN$2</f>
        <v>0</v>
      </c>
      <c r="AO1275" s="88">
        <f>SUMIF(月間集計シート!$M$113:$M$132,$G1275,月間集計シート!Q$113:Q$132)*AO$2</f>
        <v>0</v>
      </c>
      <c r="AP1275" s="88">
        <f>SUMIF(月間集計シート!$M$113:$M$132,$G1275,月間集計シート!R$113:R$132)*AP$2</f>
        <v>0</v>
      </c>
      <c r="AQ1275" s="88">
        <f>SUMIF(月間集計シート!$M$113:$M$132,$G1275,月間集計シート!S$113:S$132)*AQ$2</f>
        <v>0</v>
      </c>
      <c r="AR1275" s="88">
        <f>SUMIF(月間集計シート!$M$113:$M$132,$G1275,月間集計シート!T$113:T$132)*AR$2</f>
        <v>0</v>
      </c>
      <c r="AS1275" s="88">
        <f>SUMIF(月間集計シート!$M$134:$M$153,$G1275,月間集計シート!N$134:N$153)*AS$2</f>
        <v>0</v>
      </c>
      <c r="AT1275" s="88">
        <f>SUMIF(月間集計シート!$M$134:$M$153,$G1275,月間集計シート!O$134:O$153)*AT$2</f>
        <v>0</v>
      </c>
      <c r="AU1275" s="88">
        <f>SUMIF(月間集計シート!$M$134:$M$153,$G1275,月間集計シート!P$134:P$153)*AU$2</f>
        <v>0</v>
      </c>
      <c r="AV1275" s="88">
        <f>SUMIF(月間集計シート!$M$134:$M$153,$G1275,月間集計シート!Q$134:Q$153)*AV$2</f>
        <v>0</v>
      </c>
      <c r="AW1275" s="88">
        <f>SUMIF(月間集計シート!$M$134:$M$153,$G1275,月間集計シート!R$134:R$153)*AW$2</f>
        <v>0</v>
      </c>
      <c r="AX1275" s="88">
        <f>SUMIF(月間集計シート!$M$134:$M$153,$G1275,月間集計シート!S$134:S$153)*AX$2</f>
        <v>0</v>
      </c>
      <c r="AY1275" s="88">
        <f>SUMIF(月間集計シート!$M$134:$M$153,$G1275,月間集計シート!T$134:T$153)*AY$2</f>
        <v>0</v>
      </c>
    </row>
    <row r="1276" spans="1:51" ht="14.25" thickBot="1">
      <c r="A1276">
        <v>15</v>
      </c>
      <c r="B1276" s="120">
        <f t="shared" si="682"/>
        <v>0</v>
      </c>
      <c r="C1276" s="120" t="str">
        <f t="shared" si="682"/>
        <v/>
      </c>
      <c r="D1276" s="137"/>
      <c r="E1276" s="150" t="str">
        <f>工種!A78</f>
        <v>99103</v>
      </c>
      <c r="F1276" s="119" t="str">
        <f>工種!B78</f>
        <v>間接業務：標準化・業務改善作業（開発以外）</v>
      </c>
      <c r="G1276" s="116" t="str">
        <f t="shared" si="679"/>
        <v>099103</v>
      </c>
      <c r="H1276" s="88">
        <f t="shared" si="681"/>
        <v>0</v>
      </c>
      <c r="I1276" s="132"/>
      <c r="J1276" s="88">
        <f>SUMIF(月間集計シート!$M$29:$M$48,$G1276,月間集計シート!N$29:N$48)*J$2</f>
        <v>0</v>
      </c>
      <c r="K1276" s="88">
        <f>SUMIF(月間集計シート!$M$29:$M$48,$G1276,月間集計シート!O$29:O$48)*K$2</f>
        <v>0</v>
      </c>
      <c r="L1276" s="88">
        <f>SUMIF(月間集計シート!$M$29:$M$48,$G1276,月間集計シート!P$29:P$48)*L$2</f>
        <v>0</v>
      </c>
      <c r="M1276" s="88">
        <f>SUMIF(月間集計シート!$M$29:$M$48,$G1276,月間集計シート!Q$29:Q$48)*M$2</f>
        <v>0</v>
      </c>
      <c r="N1276" s="88">
        <f>SUMIF(月間集計シート!$M$29:$M$48,$G1276,月間集計シート!R$29:R$48)*N$2</f>
        <v>0</v>
      </c>
      <c r="O1276" s="88">
        <f>SUMIF(月間集計シート!$M$29:$M$48,$G1276,月間集計シート!S$29:S$48)*O$2</f>
        <v>0</v>
      </c>
      <c r="P1276" s="88">
        <f>SUMIF(月間集計シート!$M$29:$M$48,$G1276,月間集計シート!T$29:T$48)*P$2</f>
        <v>0</v>
      </c>
      <c r="Q1276" s="88">
        <f>SUMIF(月間集計シート!$M$50:$M$69,$G1276,月間集計シート!N$50:N$69)*Q$2</f>
        <v>0</v>
      </c>
      <c r="R1276" s="88">
        <f>SUMIF(月間集計シート!$M$50:$M$69,$G1276,月間集計シート!O$50:O$69)*R$2</f>
        <v>0</v>
      </c>
      <c r="S1276" s="88">
        <f>SUMIF(月間集計シート!$M$50:$M$69,$G1276,月間集計シート!P$50:P$69)*S$2</f>
        <v>0</v>
      </c>
      <c r="T1276" s="88">
        <f>SUMIF(月間集計シート!$M$50:$M$69,$G1276,月間集計シート!Q$50:Q$69)*T$2</f>
        <v>0</v>
      </c>
      <c r="U1276" s="88">
        <f>SUMIF(月間集計シート!$M$50:$M$69,$G1276,月間集計シート!R$50:R$69)*U$2</f>
        <v>0</v>
      </c>
      <c r="V1276" s="88">
        <f>SUMIF(月間集計シート!$M$50:$M$69,$G1276,月間集計シート!S$50:S$69)*V$2</f>
        <v>0</v>
      </c>
      <c r="W1276" s="88">
        <f>SUMIF(月間集計シート!$M$50:$M$69,$G1276,月間集計シート!T$50:T$69)*W$2</f>
        <v>0</v>
      </c>
      <c r="X1276" s="88">
        <f>SUMIF(月間集計シート!$M$71:$M$90,$G1276,月間集計シート!N$71:N$90)*X$2</f>
        <v>0</v>
      </c>
      <c r="Y1276" s="88">
        <f>SUMIF(月間集計シート!$M$71:$M$90,$G1276,月間集計シート!O$71:O$90)*Y$2</f>
        <v>0</v>
      </c>
      <c r="Z1276" s="88">
        <f>SUMIF(月間集計シート!$M$71:$M$90,$G1276,月間集計シート!P$71:P$90)*Z$2</f>
        <v>0</v>
      </c>
      <c r="AA1276" s="88">
        <f>SUMIF(月間集計シート!$M$71:$M$90,$G1276,月間集計シート!Q$71:Q$90)*AA$2</f>
        <v>0</v>
      </c>
      <c r="AB1276" s="88">
        <f>SUMIF(月間集計シート!$M$71:$M$90,$G1276,月間集計シート!R$71:R$90)*AB$2</f>
        <v>0</v>
      </c>
      <c r="AC1276" s="88">
        <f>SUMIF(月間集計シート!$M$71:$M$90,$G1276,月間集計シート!S$71:S$90)*AC$2</f>
        <v>0</v>
      </c>
      <c r="AD1276" s="88">
        <f>SUMIF(月間集計シート!$M$71:$M$90,$G1276,月間集計シート!T$71:T$90)*AD$2</f>
        <v>0</v>
      </c>
      <c r="AE1276" s="88">
        <f>SUMIF(月間集計シート!$M$92:$M$111,$G1276,月間集計シート!N$92:N$111)*AE$2</f>
        <v>0</v>
      </c>
      <c r="AF1276" s="88">
        <f>SUMIF(月間集計シート!$M$92:$M$111,$G1276,月間集計シート!O$92:O$111)*AF$2</f>
        <v>0</v>
      </c>
      <c r="AG1276" s="88">
        <f>SUMIF(月間集計シート!$M$92:$M$111,$G1276,月間集計シート!P$92:P$111)*AG$2</f>
        <v>0</v>
      </c>
      <c r="AH1276" s="88">
        <f>SUMIF(月間集計シート!$M$92:$M$111,$G1276,月間集計シート!Q$92:Q$111)*AH$2</f>
        <v>0</v>
      </c>
      <c r="AI1276" s="88">
        <f>SUMIF(月間集計シート!$M$92:$M$111,$G1276,月間集計シート!R$92:R$111)*AI$2</f>
        <v>0</v>
      </c>
      <c r="AJ1276" s="88">
        <f>SUMIF(月間集計シート!$M$92:$M$111,$G1276,月間集計シート!S$92:S$111)*AJ$2</f>
        <v>0</v>
      </c>
      <c r="AK1276" s="88">
        <f>SUMIF(月間集計シート!$M$92:$M$111,$G1276,月間集計シート!T$92:T$111)*AK$2</f>
        <v>0</v>
      </c>
      <c r="AL1276" s="88">
        <f>SUMIF(月間集計シート!$M$113:$M$132,$G1276,月間集計シート!N$113:N$132)*AL$2</f>
        <v>0</v>
      </c>
      <c r="AM1276" s="88">
        <f>SUMIF(月間集計シート!$M$113:$M$132,$G1276,月間集計シート!O$113:O$132)*AM$2</f>
        <v>0</v>
      </c>
      <c r="AN1276" s="88">
        <f>SUMIF(月間集計シート!$M$113:$M$132,$G1276,月間集計シート!P$113:P$132)*AN$2</f>
        <v>0</v>
      </c>
      <c r="AO1276" s="88">
        <f>SUMIF(月間集計シート!$M$113:$M$132,$G1276,月間集計シート!Q$113:Q$132)*AO$2</f>
        <v>0</v>
      </c>
      <c r="AP1276" s="88">
        <f>SUMIF(月間集計シート!$M$113:$M$132,$G1276,月間集計シート!R$113:R$132)*AP$2</f>
        <v>0</v>
      </c>
      <c r="AQ1276" s="88">
        <f>SUMIF(月間集計シート!$M$113:$M$132,$G1276,月間集計シート!S$113:S$132)*AQ$2</f>
        <v>0</v>
      </c>
      <c r="AR1276" s="88">
        <f>SUMIF(月間集計シート!$M$113:$M$132,$G1276,月間集計シート!T$113:T$132)*AR$2</f>
        <v>0</v>
      </c>
      <c r="AS1276" s="88">
        <f>SUMIF(月間集計シート!$M$134:$M$153,$G1276,月間集計シート!N$134:N$153)*AS$2</f>
        <v>0</v>
      </c>
      <c r="AT1276" s="88">
        <f>SUMIF(月間集計シート!$M$134:$M$153,$G1276,月間集計シート!O$134:O$153)*AT$2</f>
        <v>0</v>
      </c>
      <c r="AU1276" s="88">
        <f>SUMIF(月間集計シート!$M$134:$M$153,$G1276,月間集計シート!P$134:P$153)*AU$2</f>
        <v>0</v>
      </c>
      <c r="AV1276" s="88">
        <f>SUMIF(月間集計シート!$M$134:$M$153,$G1276,月間集計シート!Q$134:Q$153)*AV$2</f>
        <v>0</v>
      </c>
      <c r="AW1276" s="88">
        <f>SUMIF(月間集計シート!$M$134:$M$153,$G1276,月間集計シート!R$134:R$153)*AW$2</f>
        <v>0</v>
      </c>
      <c r="AX1276" s="88">
        <f>SUMIF(月間集計シート!$M$134:$M$153,$G1276,月間集計シート!S$134:S$153)*AX$2</f>
        <v>0</v>
      </c>
      <c r="AY1276" s="88">
        <f>SUMIF(月間集計シート!$M$134:$M$153,$G1276,月間集計シート!T$134:T$153)*AY$2</f>
        <v>0</v>
      </c>
    </row>
    <row r="1277" spans="1:51" ht="14.25" thickBot="1">
      <c r="A1277">
        <v>15</v>
      </c>
      <c r="B1277" s="120">
        <f t="shared" si="682"/>
        <v>0</v>
      </c>
      <c r="C1277" s="120" t="str">
        <f t="shared" si="682"/>
        <v/>
      </c>
      <c r="D1277" s="137"/>
      <c r="E1277" s="150" t="str">
        <f>工種!A79</f>
        <v>99104</v>
      </c>
      <c r="F1277" s="119" t="str">
        <f>工種!B79</f>
        <v>間接業務：業務の引継ぎ（開発以外）</v>
      </c>
      <c r="G1277" s="116" t="str">
        <f t="shared" si="679"/>
        <v>099104</v>
      </c>
      <c r="H1277" s="88">
        <f t="shared" si="681"/>
        <v>0</v>
      </c>
      <c r="I1277" s="132"/>
      <c r="J1277" s="88">
        <f>SUMIF(月間集計シート!$M$29:$M$48,$G1277,月間集計シート!N$29:N$48)*J$2</f>
        <v>0</v>
      </c>
      <c r="K1277" s="88">
        <f>SUMIF(月間集計シート!$M$29:$M$48,$G1277,月間集計シート!O$29:O$48)*K$2</f>
        <v>0</v>
      </c>
      <c r="L1277" s="88">
        <f>SUMIF(月間集計シート!$M$29:$M$48,$G1277,月間集計シート!P$29:P$48)*L$2</f>
        <v>0</v>
      </c>
      <c r="M1277" s="88">
        <f>SUMIF(月間集計シート!$M$29:$M$48,$G1277,月間集計シート!Q$29:Q$48)*M$2</f>
        <v>0</v>
      </c>
      <c r="N1277" s="88">
        <f>SUMIF(月間集計シート!$M$29:$M$48,$G1277,月間集計シート!R$29:R$48)*N$2</f>
        <v>0</v>
      </c>
      <c r="O1277" s="88">
        <f>SUMIF(月間集計シート!$M$29:$M$48,$G1277,月間集計シート!S$29:S$48)*O$2</f>
        <v>0</v>
      </c>
      <c r="P1277" s="88">
        <f>SUMIF(月間集計シート!$M$29:$M$48,$G1277,月間集計シート!T$29:T$48)*P$2</f>
        <v>0</v>
      </c>
      <c r="Q1277" s="88">
        <f>SUMIF(月間集計シート!$M$50:$M$69,$G1277,月間集計シート!N$50:N$69)*Q$2</f>
        <v>0</v>
      </c>
      <c r="R1277" s="88">
        <f>SUMIF(月間集計シート!$M$50:$M$69,$G1277,月間集計シート!O$50:O$69)*R$2</f>
        <v>0</v>
      </c>
      <c r="S1277" s="88">
        <f>SUMIF(月間集計シート!$M$50:$M$69,$G1277,月間集計シート!P$50:P$69)*S$2</f>
        <v>0</v>
      </c>
      <c r="T1277" s="88">
        <f>SUMIF(月間集計シート!$M$50:$M$69,$G1277,月間集計シート!Q$50:Q$69)*T$2</f>
        <v>0</v>
      </c>
      <c r="U1277" s="88">
        <f>SUMIF(月間集計シート!$M$50:$M$69,$G1277,月間集計シート!R$50:R$69)*U$2</f>
        <v>0</v>
      </c>
      <c r="V1277" s="88">
        <f>SUMIF(月間集計シート!$M$50:$M$69,$G1277,月間集計シート!S$50:S$69)*V$2</f>
        <v>0</v>
      </c>
      <c r="W1277" s="88">
        <f>SUMIF(月間集計シート!$M$50:$M$69,$G1277,月間集計シート!T$50:T$69)*W$2</f>
        <v>0</v>
      </c>
      <c r="X1277" s="88">
        <f>SUMIF(月間集計シート!$M$71:$M$90,$G1277,月間集計シート!N$71:N$90)*X$2</f>
        <v>0</v>
      </c>
      <c r="Y1277" s="88">
        <f>SUMIF(月間集計シート!$M$71:$M$90,$G1277,月間集計シート!O$71:O$90)*Y$2</f>
        <v>0</v>
      </c>
      <c r="Z1277" s="88">
        <f>SUMIF(月間集計シート!$M$71:$M$90,$G1277,月間集計シート!P$71:P$90)*Z$2</f>
        <v>0</v>
      </c>
      <c r="AA1277" s="88">
        <f>SUMIF(月間集計シート!$M$71:$M$90,$G1277,月間集計シート!Q$71:Q$90)*AA$2</f>
        <v>0</v>
      </c>
      <c r="AB1277" s="88">
        <f>SUMIF(月間集計シート!$M$71:$M$90,$G1277,月間集計シート!R$71:R$90)*AB$2</f>
        <v>0</v>
      </c>
      <c r="AC1277" s="88">
        <f>SUMIF(月間集計シート!$M$71:$M$90,$G1277,月間集計シート!S$71:S$90)*AC$2</f>
        <v>0</v>
      </c>
      <c r="AD1277" s="88">
        <f>SUMIF(月間集計シート!$M$71:$M$90,$G1277,月間集計シート!T$71:T$90)*AD$2</f>
        <v>0</v>
      </c>
      <c r="AE1277" s="88">
        <f>SUMIF(月間集計シート!$M$92:$M$111,$G1277,月間集計シート!N$92:N$111)*AE$2</f>
        <v>0</v>
      </c>
      <c r="AF1277" s="88">
        <f>SUMIF(月間集計シート!$M$92:$M$111,$G1277,月間集計シート!O$92:O$111)*AF$2</f>
        <v>0</v>
      </c>
      <c r="AG1277" s="88">
        <f>SUMIF(月間集計シート!$M$92:$M$111,$G1277,月間集計シート!P$92:P$111)*AG$2</f>
        <v>0</v>
      </c>
      <c r="AH1277" s="88">
        <f>SUMIF(月間集計シート!$M$92:$M$111,$G1277,月間集計シート!Q$92:Q$111)*AH$2</f>
        <v>0</v>
      </c>
      <c r="AI1277" s="88">
        <f>SUMIF(月間集計シート!$M$92:$M$111,$G1277,月間集計シート!R$92:R$111)*AI$2</f>
        <v>0</v>
      </c>
      <c r="AJ1277" s="88">
        <f>SUMIF(月間集計シート!$M$92:$M$111,$G1277,月間集計シート!S$92:S$111)*AJ$2</f>
        <v>0</v>
      </c>
      <c r="AK1277" s="88">
        <f>SUMIF(月間集計シート!$M$92:$M$111,$G1277,月間集計シート!T$92:T$111)*AK$2</f>
        <v>0</v>
      </c>
      <c r="AL1277" s="88">
        <f>SUMIF(月間集計シート!$M$113:$M$132,$G1277,月間集計シート!N$113:N$132)*AL$2</f>
        <v>0</v>
      </c>
      <c r="AM1277" s="88">
        <f>SUMIF(月間集計シート!$M$113:$M$132,$G1277,月間集計シート!O$113:O$132)*AM$2</f>
        <v>0</v>
      </c>
      <c r="AN1277" s="88">
        <f>SUMIF(月間集計シート!$M$113:$M$132,$G1277,月間集計シート!P$113:P$132)*AN$2</f>
        <v>0</v>
      </c>
      <c r="AO1277" s="88">
        <f>SUMIF(月間集計シート!$M$113:$M$132,$G1277,月間集計シート!Q$113:Q$132)*AO$2</f>
        <v>0</v>
      </c>
      <c r="AP1277" s="88">
        <f>SUMIF(月間集計シート!$M$113:$M$132,$G1277,月間集計シート!R$113:R$132)*AP$2</f>
        <v>0</v>
      </c>
      <c r="AQ1277" s="88">
        <f>SUMIF(月間集計シート!$M$113:$M$132,$G1277,月間集計シート!S$113:S$132)*AQ$2</f>
        <v>0</v>
      </c>
      <c r="AR1277" s="88">
        <f>SUMIF(月間集計シート!$M$113:$M$132,$G1277,月間集計シート!T$113:T$132)*AR$2</f>
        <v>0</v>
      </c>
      <c r="AS1277" s="88">
        <f>SUMIF(月間集計シート!$M$134:$M$153,$G1277,月間集計シート!N$134:N$153)*AS$2</f>
        <v>0</v>
      </c>
      <c r="AT1277" s="88">
        <f>SUMIF(月間集計シート!$M$134:$M$153,$G1277,月間集計シート!O$134:O$153)*AT$2</f>
        <v>0</v>
      </c>
      <c r="AU1277" s="88">
        <f>SUMIF(月間集計シート!$M$134:$M$153,$G1277,月間集計シート!P$134:P$153)*AU$2</f>
        <v>0</v>
      </c>
      <c r="AV1277" s="88">
        <f>SUMIF(月間集計シート!$M$134:$M$153,$G1277,月間集計シート!Q$134:Q$153)*AV$2</f>
        <v>0</v>
      </c>
      <c r="AW1277" s="88">
        <f>SUMIF(月間集計シート!$M$134:$M$153,$G1277,月間集計シート!R$134:R$153)*AW$2</f>
        <v>0</v>
      </c>
      <c r="AX1277" s="88">
        <f>SUMIF(月間集計シート!$M$134:$M$153,$G1277,月間集計シート!S$134:S$153)*AX$2</f>
        <v>0</v>
      </c>
      <c r="AY1277" s="88">
        <f>SUMIF(月間集計シート!$M$134:$M$153,$G1277,月間集計シート!T$134:T$153)*AY$2</f>
        <v>0</v>
      </c>
    </row>
    <row r="1278" spans="1:51" ht="14.25" thickBot="1">
      <c r="A1278">
        <v>15</v>
      </c>
      <c r="B1278" s="120">
        <f t="shared" si="682"/>
        <v>0</v>
      </c>
      <c r="C1278" s="120" t="str">
        <f t="shared" si="682"/>
        <v/>
      </c>
      <c r="D1278" s="137"/>
      <c r="E1278" s="150" t="str">
        <f>工種!A80</f>
        <v>99106</v>
      </c>
      <c r="F1278" s="119" t="str">
        <f>工種!B80</f>
        <v>間接業務：研修・学習</v>
      </c>
      <c r="G1278" s="116" t="str">
        <f t="shared" si="679"/>
        <v>099106</v>
      </c>
      <c r="H1278" s="88">
        <f t="shared" si="681"/>
        <v>0</v>
      </c>
      <c r="I1278" s="132"/>
      <c r="J1278" s="88">
        <f>SUMIF(月間集計シート!$M$29:$M$48,$G1278,月間集計シート!N$29:N$48)*J$2</f>
        <v>0</v>
      </c>
      <c r="K1278" s="88">
        <f>SUMIF(月間集計シート!$M$29:$M$48,$G1278,月間集計シート!O$29:O$48)*K$2</f>
        <v>0</v>
      </c>
      <c r="L1278" s="88">
        <f>SUMIF(月間集計シート!$M$29:$M$48,$G1278,月間集計シート!P$29:P$48)*L$2</f>
        <v>0</v>
      </c>
      <c r="M1278" s="88">
        <f>SUMIF(月間集計シート!$M$29:$M$48,$G1278,月間集計シート!Q$29:Q$48)*M$2</f>
        <v>0</v>
      </c>
      <c r="N1278" s="88">
        <f>SUMIF(月間集計シート!$M$29:$M$48,$G1278,月間集計シート!R$29:R$48)*N$2</f>
        <v>0</v>
      </c>
      <c r="O1278" s="88">
        <f>SUMIF(月間集計シート!$M$29:$M$48,$G1278,月間集計シート!S$29:S$48)*O$2</f>
        <v>0</v>
      </c>
      <c r="P1278" s="88">
        <f>SUMIF(月間集計シート!$M$29:$M$48,$G1278,月間集計シート!T$29:T$48)*P$2</f>
        <v>0</v>
      </c>
      <c r="Q1278" s="88">
        <f>SUMIF(月間集計シート!$M$50:$M$69,$G1278,月間集計シート!N$50:N$69)*Q$2</f>
        <v>0</v>
      </c>
      <c r="R1278" s="88">
        <f>SUMIF(月間集計シート!$M$50:$M$69,$G1278,月間集計シート!O$50:O$69)*R$2</f>
        <v>0</v>
      </c>
      <c r="S1278" s="88">
        <f>SUMIF(月間集計シート!$M$50:$M$69,$G1278,月間集計シート!P$50:P$69)*S$2</f>
        <v>0</v>
      </c>
      <c r="T1278" s="88">
        <f>SUMIF(月間集計シート!$M$50:$M$69,$G1278,月間集計シート!Q$50:Q$69)*T$2</f>
        <v>0</v>
      </c>
      <c r="U1278" s="88">
        <f>SUMIF(月間集計シート!$M$50:$M$69,$G1278,月間集計シート!R$50:R$69)*U$2</f>
        <v>0</v>
      </c>
      <c r="V1278" s="88">
        <f>SUMIF(月間集計シート!$M$50:$M$69,$G1278,月間集計シート!S$50:S$69)*V$2</f>
        <v>0</v>
      </c>
      <c r="W1278" s="88">
        <f>SUMIF(月間集計シート!$M$50:$M$69,$G1278,月間集計シート!T$50:T$69)*W$2</f>
        <v>0</v>
      </c>
      <c r="X1278" s="88">
        <f>SUMIF(月間集計シート!$M$71:$M$90,$G1278,月間集計シート!N$71:N$90)*X$2</f>
        <v>0</v>
      </c>
      <c r="Y1278" s="88">
        <f>SUMIF(月間集計シート!$M$71:$M$90,$G1278,月間集計シート!O$71:O$90)*Y$2</f>
        <v>0</v>
      </c>
      <c r="Z1278" s="88">
        <f>SUMIF(月間集計シート!$M$71:$M$90,$G1278,月間集計シート!P$71:P$90)*Z$2</f>
        <v>0</v>
      </c>
      <c r="AA1278" s="88">
        <f>SUMIF(月間集計シート!$M$71:$M$90,$G1278,月間集計シート!Q$71:Q$90)*AA$2</f>
        <v>0</v>
      </c>
      <c r="AB1278" s="88">
        <f>SUMIF(月間集計シート!$M$71:$M$90,$G1278,月間集計シート!R$71:R$90)*AB$2</f>
        <v>0</v>
      </c>
      <c r="AC1278" s="88">
        <f>SUMIF(月間集計シート!$M$71:$M$90,$G1278,月間集計シート!S$71:S$90)*AC$2</f>
        <v>0</v>
      </c>
      <c r="AD1278" s="88">
        <f>SUMIF(月間集計シート!$M$71:$M$90,$G1278,月間集計シート!T$71:T$90)*AD$2</f>
        <v>0</v>
      </c>
      <c r="AE1278" s="88">
        <f>SUMIF(月間集計シート!$M$92:$M$111,$G1278,月間集計シート!N$92:N$111)*AE$2</f>
        <v>0</v>
      </c>
      <c r="AF1278" s="88">
        <f>SUMIF(月間集計シート!$M$92:$M$111,$G1278,月間集計シート!O$92:O$111)*AF$2</f>
        <v>0</v>
      </c>
      <c r="AG1278" s="88">
        <f>SUMIF(月間集計シート!$M$92:$M$111,$G1278,月間集計シート!P$92:P$111)*AG$2</f>
        <v>0</v>
      </c>
      <c r="AH1278" s="88">
        <f>SUMIF(月間集計シート!$M$92:$M$111,$G1278,月間集計シート!Q$92:Q$111)*AH$2</f>
        <v>0</v>
      </c>
      <c r="AI1278" s="88">
        <f>SUMIF(月間集計シート!$M$92:$M$111,$G1278,月間集計シート!R$92:R$111)*AI$2</f>
        <v>0</v>
      </c>
      <c r="AJ1278" s="88">
        <f>SUMIF(月間集計シート!$M$92:$M$111,$G1278,月間集計シート!S$92:S$111)*AJ$2</f>
        <v>0</v>
      </c>
      <c r="AK1278" s="88">
        <f>SUMIF(月間集計シート!$M$92:$M$111,$G1278,月間集計シート!T$92:T$111)*AK$2</f>
        <v>0</v>
      </c>
      <c r="AL1278" s="88">
        <f>SUMIF(月間集計シート!$M$113:$M$132,$G1278,月間集計シート!N$113:N$132)*AL$2</f>
        <v>0</v>
      </c>
      <c r="AM1278" s="88">
        <f>SUMIF(月間集計シート!$M$113:$M$132,$G1278,月間集計シート!O$113:O$132)*AM$2</f>
        <v>0</v>
      </c>
      <c r="AN1278" s="88">
        <f>SUMIF(月間集計シート!$M$113:$M$132,$G1278,月間集計シート!P$113:P$132)*AN$2</f>
        <v>0</v>
      </c>
      <c r="AO1278" s="88">
        <f>SUMIF(月間集計シート!$M$113:$M$132,$G1278,月間集計シート!Q$113:Q$132)*AO$2</f>
        <v>0</v>
      </c>
      <c r="AP1278" s="88">
        <f>SUMIF(月間集計シート!$M$113:$M$132,$G1278,月間集計シート!R$113:R$132)*AP$2</f>
        <v>0</v>
      </c>
      <c r="AQ1278" s="88">
        <f>SUMIF(月間集計シート!$M$113:$M$132,$G1278,月間集計シート!S$113:S$132)*AQ$2</f>
        <v>0</v>
      </c>
      <c r="AR1278" s="88">
        <f>SUMIF(月間集計シート!$M$113:$M$132,$G1278,月間集計シート!T$113:T$132)*AR$2</f>
        <v>0</v>
      </c>
      <c r="AS1278" s="88">
        <f>SUMIF(月間集計シート!$M$134:$M$153,$G1278,月間集計シート!N$134:N$153)*AS$2</f>
        <v>0</v>
      </c>
      <c r="AT1278" s="88">
        <f>SUMIF(月間集計シート!$M$134:$M$153,$G1278,月間集計シート!O$134:O$153)*AT$2</f>
        <v>0</v>
      </c>
      <c r="AU1278" s="88">
        <f>SUMIF(月間集計シート!$M$134:$M$153,$G1278,月間集計シート!P$134:P$153)*AU$2</f>
        <v>0</v>
      </c>
      <c r="AV1278" s="88">
        <f>SUMIF(月間集計シート!$M$134:$M$153,$G1278,月間集計シート!Q$134:Q$153)*AV$2</f>
        <v>0</v>
      </c>
      <c r="AW1278" s="88">
        <f>SUMIF(月間集計シート!$M$134:$M$153,$G1278,月間集計シート!R$134:R$153)*AW$2</f>
        <v>0</v>
      </c>
      <c r="AX1278" s="88">
        <f>SUMIF(月間集計シート!$M$134:$M$153,$G1278,月間集計シート!S$134:S$153)*AX$2</f>
        <v>0</v>
      </c>
      <c r="AY1278" s="88">
        <f>SUMIF(月間集計シート!$M$134:$M$153,$G1278,月間集計シート!T$134:T$153)*AY$2</f>
        <v>0</v>
      </c>
    </row>
    <row r="1279" spans="1:51" ht="14.25" thickBot="1">
      <c r="A1279">
        <v>15</v>
      </c>
      <c r="B1279" s="120">
        <f t="shared" si="682"/>
        <v>0</v>
      </c>
      <c r="C1279" s="120" t="str">
        <f t="shared" si="682"/>
        <v/>
      </c>
      <c r="D1279" s="137"/>
      <c r="E1279" s="150" t="str">
        <f>工種!A81</f>
        <v>99107</v>
      </c>
      <c r="F1279" s="119" t="str">
        <f>工種!B81</f>
        <v>間接業務：事務作業（開発以外）</v>
      </c>
      <c r="G1279" s="116" t="str">
        <f t="shared" ref="G1279:G1280" si="683">B1279&amp;E1279</f>
        <v>099107</v>
      </c>
      <c r="H1279" s="88">
        <f t="shared" ref="H1279:H1280" si="684">SUM(J1279:AY1279)</f>
        <v>0</v>
      </c>
      <c r="I1279" s="132"/>
      <c r="J1279" s="88">
        <f>SUMIF(月間集計シート!$M$29:$M$48,$G1279,月間集計シート!N$29:N$48)*J$2</f>
        <v>0</v>
      </c>
      <c r="K1279" s="88">
        <f>SUMIF(月間集計シート!$M$29:$M$48,$G1279,月間集計シート!O$29:O$48)*K$2</f>
        <v>0</v>
      </c>
      <c r="L1279" s="88">
        <f>SUMIF(月間集計シート!$M$29:$M$48,$G1279,月間集計シート!P$29:P$48)*L$2</f>
        <v>0</v>
      </c>
      <c r="M1279" s="88">
        <f>SUMIF(月間集計シート!$M$29:$M$48,$G1279,月間集計シート!Q$29:Q$48)*M$2</f>
        <v>0</v>
      </c>
      <c r="N1279" s="88">
        <f>SUMIF(月間集計シート!$M$29:$M$48,$G1279,月間集計シート!R$29:R$48)*N$2</f>
        <v>0</v>
      </c>
      <c r="O1279" s="88">
        <f>SUMIF(月間集計シート!$M$29:$M$48,$G1279,月間集計シート!S$29:S$48)*O$2</f>
        <v>0</v>
      </c>
      <c r="P1279" s="88">
        <f>SUMIF(月間集計シート!$M$29:$M$48,$G1279,月間集計シート!T$29:T$48)*P$2</f>
        <v>0</v>
      </c>
      <c r="Q1279" s="88">
        <f>SUMIF(月間集計シート!$M$50:$M$69,$G1279,月間集計シート!N$50:N$69)*Q$2</f>
        <v>0</v>
      </c>
      <c r="R1279" s="88">
        <f>SUMIF(月間集計シート!$M$50:$M$69,$G1279,月間集計シート!O$50:O$69)*R$2</f>
        <v>0</v>
      </c>
      <c r="S1279" s="88">
        <f>SUMIF(月間集計シート!$M$50:$M$69,$G1279,月間集計シート!P$50:P$69)*S$2</f>
        <v>0</v>
      </c>
      <c r="T1279" s="88">
        <f>SUMIF(月間集計シート!$M$50:$M$69,$G1279,月間集計シート!Q$50:Q$69)*T$2</f>
        <v>0</v>
      </c>
      <c r="U1279" s="88">
        <f>SUMIF(月間集計シート!$M$50:$M$69,$G1279,月間集計シート!R$50:R$69)*U$2</f>
        <v>0</v>
      </c>
      <c r="V1279" s="88">
        <f>SUMIF(月間集計シート!$M$50:$M$69,$G1279,月間集計シート!S$50:S$69)*V$2</f>
        <v>0</v>
      </c>
      <c r="W1279" s="88">
        <f>SUMIF(月間集計シート!$M$50:$M$69,$G1279,月間集計シート!T$50:T$69)*W$2</f>
        <v>0</v>
      </c>
      <c r="X1279" s="88">
        <f>SUMIF(月間集計シート!$M$71:$M$90,$G1279,月間集計シート!N$71:N$90)*X$2</f>
        <v>0</v>
      </c>
      <c r="Y1279" s="88">
        <f>SUMIF(月間集計シート!$M$71:$M$90,$G1279,月間集計シート!O$71:O$90)*Y$2</f>
        <v>0</v>
      </c>
      <c r="Z1279" s="88">
        <f>SUMIF(月間集計シート!$M$71:$M$90,$G1279,月間集計シート!P$71:P$90)*Z$2</f>
        <v>0</v>
      </c>
      <c r="AA1279" s="88">
        <f>SUMIF(月間集計シート!$M$71:$M$90,$G1279,月間集計シート!Q$71:Q$90)*AA$2</f>
        <v>0</v>
      </c>
      <c r="AB1279" s="88">
        <f>SUMIF(月間集計シート!$M$71:$M$90,$G1279,月間集計シート!R$71:R$90)*AB$2</f>
        <v>0</v>
      </c>
      <c r="AC1279" s="88">
        <f>SUMIF(月間集計シート!$M$71:$M$90,$G1279,月間集計シート!S$71:S$90)*AC$2</f>
        <v>0</v>
      </c>
      <c r="AD1279" s="88">
        <f>SUMIF(月間集計シート!$M$71:$M$90,$G1279,月間集計シート!T$71:T$90)*AD$2</f>
        <v>0</v>
      </c>
      <c r="AE1279" s="88">
        <f>SUMIF(月間集計シート!$M$92:$M$111,$G1279,月間集計シート!N$92:N$111)*AE$2</f>
        <v>0</v>
      </c>
      <c r="AF1279" s="88">
        <f>SUMIF(月間集計シート!$M$92:$M$111,$G1279,月間集計シート!O$92:O$111)*AF$2</f>
        <v>0</v>
      </c>
      <c r="AG1279" s="88">
        <f>SUMIF(月間集計シート!$M$92:$M$111,$G1279,月間集計シート!P$92:P$111)*AG$2</f>
        <v>0</v>
      </c>
      <c r="AH1279" s="88">
        <f>SUMIF(月間集計シート!$M$92:$M$111,$G1279,月間集計シート!Q$92:Q$111)*AH$2</f>
        <v>0</v>
      </c>
      <c r="AI1279" s="88">
        <f>SUMIF(月間集計シート!$M$92:$M$111,$G1279,月間集計シート!R$92:R$111)*AI$2</f>
        <v>0</v>
      </c>
      <c r="AJ1279" s="88">
        <f>SUMIF(月間集計シート!$M$92:$M$111,$G1279,月間集計シート!S$92:S$111)*AJ$2</f>
        <v>0</v>
      </c>
      <c r="AK1279" s="88">
        <f>SUMIF(月間集計シート!$M$92:$M$111,$G1279,月間集計シート!T$92:T$111)*AK$2</f>
        <v>0</v>
      </c>
      <c r="AL1279" s="88">
        <f>SUMIF(月間集計シート!$M$113:$M$132,$G1279,月間集計シート!N$113:N$132)*AL$2</f>
        <v>0</v>
      </c>
      <c r="AM1279" s="88">
        <f>SUMIF(月間集計シート!$M$113:$M$132,$G1279,月間集計シート!O$113:O$132)*AM$2</f>
        <v>0</v>
      </c>
      <c r="AN1279" s="88">
        <f>SUMIF(月間集計シート!$M$113:$M$132,$G1279,月間集計シート!P$113:P$132)*AN$2</f>
        <v>0</v>
      </c>
      <c r="AO1279" s="88">
        <f>SUMIF(月間集計シート!$M$113:$M$132,$G1279,月間集計シート!Q$113:Q$132)*AO$2</f>
        <v>0</v>
      </c>
      <c r="AP1279" s="88">
        <f>SUMIF(月間集計シート!$M$113:$M$132,$G1279,月間集計シート!R$113:R$132)*AP$2</f>
        <v>0</v>
      </c>
      <c r="AQ1279" s="88">
        <f>SUMIF(月間集計シート!$M$113:$M$132,$G1279,月間集計シート!S$113:S$132)*AQ$2</f>
        <v>0</v>
      </c>
      <c r="AR1279" s="88">
        <f>SUMIF(月間集計シート!$M$113:$M$132,$G1279,月間集計シート!T$113:T$132)*AR$2</f>
        <v>0</v>
      </c>
      <c r="AS1279" s="88">
        <f>SUMIF(月間集計シート!$M$134:$M$153,$G1279,月間集計シート!N$134:N$153)*AS$2</f>
        <v>0</v>
      </c>
      <c r="AT1279" s="88">
        <f>SUMIF(月間集計シート!$M$134:$M$153,$G1279,月間集計シート!O$134:O$153)*AT$2</f>
        <v>0</v>
      </c>
      <c r="AU1279" s="88">
        <f>SUMIF(月間集計シート!$M$134:$M$153,$G1279,月間集計シート!P$134:P$153)*AU$2</f>
        <v>0</v>
      </c>
      <c r="AV1279" s="88">
        <f>SUMIF(月間集計シート!$M$134:$M$153,$G1279,月間集計シート!Q$134:Q$153)*AV$2</f>
        <v>0</v>
      </c>
      <c r="AW1279" s="88">
        <f>SUMIF(月間集計シート!$M$134:$M$153,$G1279,月間集計シート!R$134:R$153)*AW$2</f>
        <v>0</v>
      </c>
      <c r="AX1279" s="88">
        <f>SUMIF(月間集計シート!$M$134:$M$153,$G1279,月間集計シート!S$134:S$153)*AX$2</f>
        <v>0</v>
      </c>
      <c r="AY1279" s="88">
        <f>SUMIF(月間集計シート!$M$134:$M$153,$G1279,月間集計シート!T$134:T$153)*AY$2</f>
        <v>0</v>
      </c>
    </row>
    <row r="1280" spans="1:51" ht="14.25" thickBot="1">
      <c r="A1280">
        <v>15</v>
      </c>
      <c r="B1280" s="120">
        <f t="shared" si="682"/>
        <v>0</v>
      </c>
      <c r="C1280" s="120" t="str">
        <f t="shared" si="682"/>
        <v/>
      </c>
      <c r="D1280" s="137"/>
      <c r="E1280" s="150" t="str">
        <f>工種!A82</f>
        <v>99110</v>
      </c>
      <c r="F1280" s="119" t="str">
        <f>工種!B82</f>
        <v>間接業務：打合せ</v>
      </c>
      <c r="G1280" s="116" t="str">
        <f t="shared" si="683"/>
        <v>099110</v>
      </c>
      <c r="H1280" s="88">
        <f t="shared" si="684"/>
        <v>0</v>
      </c>
      <c r="I1280" s="132"/>
      <c r="J1280" s="88">
        <f>SUMIF(月間集計シート!$M$29:$M$48,$G1280,月間集計シート!N$29:N$48)*J$2</f>
        <v>0</v>
      </c>
      <c r="K1280" s="88">
        <f>SUMIF(月間集計シート!$M$29:$M$48,$G1280,月間集計シート!O$29:O$48)*K$2</f>
        <v>0</v>
      </c>
      <c r="L1280" s="88">
        <f>SUMIF(月間集計シート!$M$29:$M$48,$G1280,月間集計シート!P$29:P$48)*L$2</f>
        <v>0</v>
      </c>
      <c r="M1280" s="88">
        <f>SUMIF(月間集計シート!$M$29:$M$48,$G1280,月間集計シート!Q$29:Q$48)*M$2</f>
        <v>0</v>
      </c>
      <c r="N1280" s="88">
        <f>SUMIF(月間集計シート!$M$29:$M$48,$G1280,月間集計シート!R$29:R$48)*N$2</f>
        <v>0</v>
      </c>
      <c r="O1280" s="88">
        <f>SUMIF(月間集計シート!$M$29:$M$48,$G1280,月間集計シート!S$29:S$48)*O$2</f>
        <v>0</v>
      </c>
      <c r="P1280" s="88">
        <f>SUMIF(月間集計シート!$M$29:$M$48,$G1280,月間集計シート!T$29:T$48)*P$2</f>
        <v>0</v>
      </c>
      <c r="Q1280" s="88">
        <f>SUMIF(月間集計シート!$M$50:$M$69,$G1280,月間集計シート!N$50:N$69)*Q$2</f>
        <v>0</v>
      </c>
      <c r="R1280" s="88">
        <f>SUMIF(月間集計シート!$M$50:$M$69,$G1280,月間集計シート!O$50:O$69)*R$2</f>
        <v>0</v>
      </c>
      <c r="S1280" s="88">
        <f>SUMIF(月間集計シート!$M$50:$M$69,$G1280,月間集計シート!P$50:P$69)*S$2</f>
        <v>0</v>
      </c>
      <c r="T1280" s="88">
        <f>SUMIF(月間集計シート!$M$50:$M$69,$G1280,月間集計シート!Q$50:Q$69)*T$2</f>
        <v>0</v>
      </c>
      <c r="U1280" s="88">
        <f>SUMIF(月間集計シート!$M$50:$M$69,$G1280,月間集計シート!R$50:R$69)*U$2</f>
        <v>0</v>
      </c>
      <c r="V1280" s="88">
        <f>SUMIF(月間集計シート!$M$50:$M$69,$G1280,月間集計シート!S$50:S$69)*V$2</f>
        <v>0</v>
      </c>
      <c r="W1280" s="88">
        <f>SUMIF(月間集計シート!$M$50:$M$69,$G1280,月間集計シート!T$50:T$69)*W$2</f>
        <v>0</v>
      </c>
      <c r="X1280" s="88">
        <f>SUMIF(月間集計シート!$M$71:$M$90,$G1280,月間集計シート!N$71:N$90)*X$2</f>
        <v>0</v>
      </c>
      <c r="Y1280" s="88">
        <f>SUMIF(月間集計シート!$M$71:$M$90,$G1280,月間集計シート!O$71:O$90)*Y$2</f>
        <v>0</v>
      </c>
      <c r="Z1280" s="88">
        <f>SUMIF(月間集計シート!$M$71:$M$90,$G1280,月間集計シート!P$71:P$90)*Z$2</f>
        <v>0</v>
      </c>
      <c r="AA1280" s="88">
        <f>SUMIF(月間集計シート!$M$71:$M$90,$G1280,月間集計シート!Q$71:Q$90)*AA$2</f>
        <v>0</v>
      </c>
      <c r="AB1280" s="88">
        <f>SUMIF(月間集計シート!$M$71:$M$90,$G1280,月間集計シート!R$71:R$90)*AB$2</f>
        <v>0</v>
      </c>
      <c r="AC1280" s="88">
        <f>SUMIF(月間集計シート!$M$71:$M$90,$G1280,月間集計シート!S$71:S$90)*AC$2</f>
        <v>0</v>
      </c>
      <c r="AD1280" s="88">
        <f>SUMIF(月間集計シート!$M$71:$M$90,$G1280,月間集計シート!T$71:T$90)*AD$2</f>
        <v>0</v>
      </c>
      <c r="AE1280" s="88">
        <f>SUMIF(月間集計シート!$M$92:$M$111,$G1280,月間集計シート!N$92:N$111)*AE$2</f>
        <v>0</v>
      </c>
      <c r="AF1280" s="88">
        <f>SUMIF(月間集計シート!$M$92:$M$111,$G1280,月間集計シート!O$92:O$111)*AF$2</f>
        <v>0</v>
      </c>
      <c r="AG1280" s="88">
        <f>SUMIF(月間集計シート!$M$92:$M$111,$G1280,月間集計シート!P$92:P$111)*AG$2</f>
        <v>0</v>
      </c>
      <c r="AH1280" s="88">
        <f>SUMIF(月間集計シート!$M$92:$M$111,$G1280,月間集計シート!Q$92:Q$111)*AH$2</f>
        <v>0</v>
      </c>
      <c r="AI1280" s="88">
        <f>SUMIF(月間集計シート!$M$92:$M$111,$G1280,月間集計シート!R$92:R$111)*AI$2</f>
        <v>0</v>
      </c>
      <c r="AJ1280" s="88">
        <f>SUMIF(月間集計シート!$M$92:$M$111,$G1280,月間集計シート!S$92:S$111)*AJ$2</f>
        <v>0</v>
      </c>
      <c r="AK1280" s="88">
        <f>SUMIF(月間集計シート!$M$92:$M$111,$G1280,月間集計シート!T$92:T$111)*AK$2</f>
        <v>0</v>
      </c>
      <c r="AL1280" s="88">
        <f>SUMIF(月間集計シート!$M$113:$M$132,$G1280,月間集計シート!N$113:N$132)*AL$2</f>
        <v>0</v>
      </c>
      <c r="AM1280" s="88">
        <f>SUMIF(月間集計シート!$M$113:$M$132,$G1280,月間集計シート!O$113:O$132)*AM$2</f>
        <v>0</v>
      </c>
      <c r="AN1280" s="88">
        <f>SUMIF(月間集計シート!$M$113:$M$132,$G1280,月間集計シート!P$113:P$132)*AN$2</f>
        <v>0</v>
      </c>
      <c r="AO1280" s="88">
        <f>SUMIF(月間集計シート!$M$113:$M$132,$G1280,月間集計シート!Q$113:Q$132)*AO$2</f>
        <v>0</v>
      </c>
      <c r="AP1280" s="88">
        <f>SUMIF(月間集計シート!$M$113:$M$132,$G1280,月間集計シート!R$113:R$132)*AP$2</f>
        <v>0</v>
      </c>
      <c r="AQ1280" s="88">
        <f>SUMIF(月間集計シート!$M$113:$M$132,$G1280,月間集計シート!S$113:S$132)*AQ$2</f>
        <v>0</v>
      </c>
      <c r="AR1280" s="88">
        <f>SUMIF(月間集計シート!$M$113:$M$132,$G1280,月間集計シート!T$113:T$132)*AR$2</f>
        <v>0</v>
      </c>
      <c r="AS1280" s="88">
        <f>SUMIF(月間集計シート!$M$134:$M$153,$G1280,月間集計シート!N$134:N$153)*AS$2</f>
        <v>0</v>
      </c>
      <c r="AT1280" s="88">
        <f>SUMIF(月間集計シート!$M$134:$M$153,$G1280,月間集計シート!O$134:O$153)*AT$2</f>
        <v>0</v>
      </c>
      <c r="AU1280" s="88">
        <f>SUMIF(月間集計シート!$M$134:$M$153,$G1280,月間集計シート!P$134:P$153)*AU$2</f>
        <v>0</v>
      </c>
      <c r="AV1280" s="88">
        <f>SUMIF(月間集計シート!$M$134:$M$153,$G1280,月間集計シート!Q$134:Q$153)*AV$2</f>
        <v>0</v>
      </c>
      <c r="AW1280" s="88">
        <f>SUMIF(月間集計シート!$M$134:$M$153,$G1280,月間集計シート!R$134:R$153)*AW$2</f>
        <v>0</v>
      </c>
      <c r="AX1280" s="88">
        <f>SUMIF(月間集計シート!$M$134:$M$153,$G1280,月間集計シート!S$134:S$153)*AX$2</f>
        <v>0</v>
      </c>
      <c r="AY1280" s="88">
        <f>SUMIF(月間集計シート!$M$134:$M$153,$G1280,月間集計シート!T$134:T$153)*AY$2</f>
        <v>0</v>
      </c>
    </row>
    <row r="1281" spans="1:51" ht="14.25" thickBot="1">
      <c r="A1281">
        <v>15</v>
      </c>
      <c r="B1281" s="120">
        <f t="shared" si="682"/>
        <v>0</v>
      </c>
      <c r="C1281" s="120" t="str">
        <f t="shared" si="682"/>
        <v/>
      </c>
      <c r="D1281" s="137"/>
      <c r="E1281" s="150" t="str">
        <f>工種!A83</f>
        <v>99199</v>
      </c>
      <c r="F1281" s="119" t="str">
        <f>工種!B83</f>
        <v>間接業務：その他</v>
      </c>
      <c r="G1281" s="116" t="str">
        <f t="shared" si="678"/>
        <v>099199</v>
      </c>
      <c r="H1281" s="88">
        <f t="shared" si="675"/>
        <v>0</v>
      </c>
      <c r="I1281" s="132"/>
      <c r="J1281" s="88">
        <f>SUMIF(月間集計シート!$M$29:$M$48,$G1281,月間集計シート!N$29:N$48)*J$2</f>
        <v>0</v>
      </c>
      <c r="K1281" s="88">
        <f>SUMIF(月間集計シート!$M$29:$M$48,$G1281,月間集計シート!O$29:O$48)*K$2</f>
        <v>0</v>
      </c>
      <c r="L1281" s="88">
        <f>SUMIF(月間集計シート!$M$29:$M$48,$G1281,月間集計シート!P$29:P$48)*L$2</f>
        <v>0</v>
      </c>
      <c r="M1281" s="88">
        <f>SUMIF(月間集計シート!$M$29:$M$48,$G1281,月間集計シート!Q$29:Q$48)*M$2</f>
        <v>0</v>
      </c>
      <c r="N1281" s="88">
        <f>SUMIF(月間集計シート!$M$29:$M$48,$G1281,月間集計シート!R$29:R$48)*N$2</f>
        <v>0</v>
      </c>
      <c r="O1281" s="88">
        <f>SUMIF(月間集計シート!$M$29:$M$48,$G1281,月間集計シート!S$29:S$48)*O$2</f>
        <v>0</v>
      </c>
      <c r="P1281" s="88">
        <f>SUMIF(月間集計シート!$M$29:$M$48,$G1281,月間集計シート!T$29:T$48)*P$2</f>
        <v>0</v>
      </c>
      <c r="Q1281" s="88">
        <f>SUMIF(月間集計シート!$M$50:$M$69,$G1281,月間集計シート!N$50:N$69)*Q$2</f>
        <v>0</v>
      </c>
      <c r="R1281" s="88">
        <f>SUMIF(月間集計シート!$M$50:$M$69,$G1281,月間集計シート!O$50:O$69)*R$2</f>
        <v>0</v>
      </c>
      <c r="S1281" s="88">
        <f>SUMIF(月間集計シート!$M$50:$M$69,$G1281,月間集計シート!P$50:P$69)*S$2</f>
        <v>0</v>
      </c>
      <c r="T1281" s="88">
        <f>SUMIF(月間集計シート!$M$50:$M$69,$G1281,月間集計シート!Q$50:Q$69)*T$2</f>
        <v>0</v>
      </c>
      <c r="U1281" s="88">
        <f>SUMIF(月間集計シート!$M$50:$M$69,$G1281,月間集計シート!R$50:R$69)*U$2</f>
        <v>0</v>
      </c>
      <c r="V1281" s="88">
        <f>SUMIF(月間集計シート!$M$50:$M$69,$G1281,月間集計シート!S$50:S$69)*V$2</f>
        <v>0</v>
      </c>
      <c r="W1281" s="88">
        <f>SUMIF(月間集計シート!$M$50:$M$69,$G1281,月間集計シート!T$50:T$69)*W$2</f>
        <v>0</v>
      </c>
      <c r="X1281" s="88">
        <f>SUMIF(月間集計シート!$M$71:$M$90,$G1281,月間集計シート!N$71:N$90)*X$2</f>
        <v>0</v>
      </c>
      <c r="Y1281" s="88">
        <f>SUMIF(月間集計シート!$M$71:$M$90,$G1281,月間集計シート!O$71:O$90)*Y$2</f>
        <v>0</v>
      </c>
      <c r="Z1281" s="88">
        <f>SUMIF(月間集計シート!$M$71:$M$90,$G1281,月間集計シート!P$71:P$90)*Z$2</f>
        <v>0</v>
      </c>
      <c r="AA1281" s="88">
        <f>SUMIF(月間集計シート!$M$71:$M$90,$G1281,月間集計シート!Q$71:Q$90)*AA$2</f>
        <v>0</v>
      </c>
      <c r="AB1281" s="88">
        <f>SUMIF(月間集計シート!$M$71:$M$90,$G1281,月間集計シート!R$71:R$90)*AB$2</f>
        <v>0</v>
      </c>
      <c r="AC1281" s="88">
        <f>SUMIF(月間集計シート!$M$71:$M$90,$G1281,月間集計シート!S$71:S$90)*AC$2</f>
        <v>0</v>
      </c>
      <c r="AD1281" s="88">
        <f>SUMIF(月間集計シート!$M$71:$M$90,$G1281,月間集計シート!T$71:T$90)*AD$2</f>
        <v>0</v>
      </c>
      <c r="AE1281" s="88">
        <f>SUMIF(月間集計シート!$M$92:$M$111,$G1281,月間集計シート!N$92:N$111)*AE$2</f>
        <v>0</v>
      </c>
      <c r="AF1281" s="88">
        <f>SUMIF(月間集計シート!$M$92:$M$111,$G1281,月間集計シート!O$92:O$111)*AF$2</f>
        <v>0</v>
      </c>
      <c r="AG1281" s="88">
        <f>SUMIF(月間集計シート!$M$92:$M$111,$G1281,月間集計シート!P$92:P$111)*AG$2</f>
        <v>0</v>
      </c>
      <c r="AH1281" s="88">
        <f>SUMIF(月間集計シート!$M$92:$M$111,$G1281,月間集計シート!Q$92:Q$111)*AH$2</f>
        <v>0</v>
      </c>
      <c r="AI1281" s="88">
        <f>SUMIF(月間集計シート!$M$92:$M$111,$G1281,月間集計シート!R$92:R$111)*AI$2</f>
        <v>0</v>
      </c>
      <c r="AJ1281" s="88">
        <f>SUMIF(月間集計シート!$M$92:$M$111,$G1281,月間集計シート!S$92:S$111)*AJ$2</f>
        <v>0</v>
      </c>
      <c r="AK1281" s="88">
        <f>SUMIF(月間集計シート!$M$92:$M$111,$G1281,月間集計シート!T$92:T$111)*AK$2</f>
        <v>0</v>
      </c>
      <c r="AL1281" s="88">
        <f>SUMIF(月間集計シート!$M$113:$M$132,$G1281,月間集計シート!N$113:N$132)*AL$2</f>
        <v>0</v>
      </c>
      <c r="AM1281" s="88">
        <f>SUMIF(月間集計シート!$M$113:$M$132,$G1281,月間集計シート!O$113:O$132)*AM$2</f>
        <v>0</v>
      </c>
      <c r="AN1281" s="88">
        <f>SUMIF(月間集計シート!$M$113:$M$132,$G1281,月間集計シート!P$113:P$132)*AN$2</f>
        <v>0</v>
      </c>
      <c r="AO1281" s="88">
        <f>SUMIF(月間集計シート!$M$113:$M$132,$G1281,月間集計シート!Q$113:Q$132)*AO$2</f>
        <v>0</v>
      </c>
      <c r="AP1281" s="88">
        <f>SUMIF(月間集計シート!$M$113:$M$132,$G1281,月間集計シート!R$113:R$132)*AP$2</f>
        <v>0</v>
      </c>
      <c r="AQ1281" s="88">
        <f>SUMIF(月間集計シート!$M$113:$M$132,$G1281,月間集計シート!S$113:S$132)*AQ$2</f>
        <v>0</v>
      </c>
      <c r="AR1281" s="88">
        <f>SUMIF(月間集計シート!$M$113:$M$132,$G1281,月間集計シート!T$113:T$132)*AR$2</f>
        <v>0</v>
      </c>
      <c r="AS1281" s="88">
        <f>SUMIF(月間集計シート!$M$134:$M$153,$G1281,月間集計シート!N$134:N$153)*AS$2</f>
        <v>0</v>
      </c>
      <c r="AT1281" s="88">
        <f>SUMIF(月間集計シート!$M$134:$M$153,$G1281,月間集計シート!O$134:O$153)*AT$2</f>
        <v>0</v>
      </c>
      <c r="AU1281" s="88">
        <f>SUMIF(月間集計シート!$M$134:$M$153,$G1281,月間集計シート!P$134:P$153)*AU$2</f>
        <v>0</v>
      </c>
      <c r="AV1281" s="88">
        <f>SUMIF(月間集計シート!$M$134:$M$153,$G1281,月間集計シート!Q$134:Q$153)*AV$2</f>
        <v>0</v>
      </c>
      <c r="AW1281" s="88">
        <f>SUMIF(月間集計シート!$M$134:$M$153,$G1281,月間集計シート!R$134:R$153)*AW$2</f>
        <v>0</v>
      </c>
      <c r="AX1281" s="88">
        <f>SUMIF(月間集計シート!$M$134:$M$153,$G1281,月間集計シート!S$134:S$153)*AX$2</f>
        <v>0</v>
      </c>
      <c r="AY1281" s="88">
        <f>SUMIF(月間集計シート!$M$134:$M$153,$G1281,月間集計シート!T$134:T$153)*AY$2</f>
        <v>0</v>
      </c>
    </row>
    <row r="1282" spans="1:51">
      <c r="B1282" s="120"/>
      <c r="C1282" s="120"/>
      <c r="D1282" s="127"/>
      <c r="E1282" s="115"/>
      <c r="F1282" s="119"/>
      <c r="G1282" s="116"/>
      <c r="H1282" s="88"/>
      <c r="I1282" s="132"/>
      <c r="J1282" s="88"/>
      <c r="K1282" s="88"/>
      <c r="L1282" s="88"/>
      <c r="M1282" s="88"/>
      <c r="N1282" s="88"/>
      <c r="O1282" s="88"/>
      <c r="P1282" s="88"/>
      <c r="Q1282" s="88"/>
      <c r="R1282" s="88"/>
      <c r="S1282" s="88"/>
      <c r="T1282" s="88"/>
      <c r="U1282" s="88"/>
      <c r="V1282" s="88"/>
      <c r="W1282" s="88"/>
      <c r="X1282" s="88"/>
      <c r="Y1282" s="88"/>
      <c r="Z1282" s="88"/>
      <c r="AA1282" s="88"/>
      <c r="AB1282" s="88"/>
      <c r="AC1282" s="88"/>
      <c r="AD1282" s="88"/>
      <c r="AE1282" s="88"/>
      <c r="AF1282" s="88"/>
      <c r="AG1282" s="88"/>
      <c r="AH1282" s="88"/>
      <c r="AI1282" s="88"/>
      <c r="AJ1282" s="88"/>
      <c r="AK1282" s="88"/>
      <c r="AL1282" s="88"/>
      <c r="AM1282" s="88"/>
      <c r="AN1282" s="88"/>
      <c r="AO1282" s="88"/>
      <c r="AP1282" s="88"/>
      <c r="AQ1282" s="88"/>
      <c r="AR1282" s="88"/>
      <c r="AS1282" s="88"/>
      <c r="AT1282" s="88"/>
      <c r="AU1282" s="88"/>
      <c r="AV1282" s="88"/>
      <c r="AW1282" s="88"/>
      <c r="AX1282" s="88"/>
      <c r="AY1282" s="88"/>
    </row>
    <row r="1283" spans="1:51" ht="14.25" thickBot="1">
      <c r="A1283">
        <v>16</v>
      </c>
      <c r="B1283">
        <f>月間集計シート!I19</f>
        <v>0</v>
      </c>
      <c r="C1283" s="116" t="str">
        <f>月間集計シート!J19</f>
        <v/>
      </c>
      <c r="D1283" s="147">
        <v>1</v>
      </c>
      <c r="E1283" s="115" t="s">
        <v>451</v>
      </c>
      <c r="F1283" s="119" t="s">
        <v>29</v>
      </c>
      <c r="G1283" s="116"/>
      <c r="H1283" s="88">
        <f t="shared" ref="H1283:H1366" si="685">SUM(J1283:AY1283)</f>
        <v>0</v>
      </c>
      <c r="I1283" s="132"/>
      <c r="J1283" s="88">
        <f>SUM(J1285:J1366)</f>
        <v>0</v>
      </c>
      <c r="K1283" s="88">
        <f t="shared" ref="K1283:AY1283" si="686">SUM(K1285:K1366)</f>
        <v>0</v>
      </c>
      <c r="L1283" s="88">
        <f t="shared" si="686"/>
        <v>0</v>
      </c>
      <c r="M1283" s="88">
        <f t="shared" si="686"/>
        <v>0</v>
      </c>
      <c r="N1283" s="88">
        <f t="shared" si="686"/>
        <v>0</v>
      </c>
      <c r="O1283" s="88">
        <f t="shared" si="686"/>
        <v>0</v>
      </c>
      <c r="P1283" s="88">
        <f t="shared" si="686"/>
        <v>0</v>
      </c>
      <c r="Q1283" s="88">
        <f t="shared" si="686"/>
        <v>0</v>
      </c>
      <c r="R1283" s="88">
        <f t="shared" si="686"/>
        <v>0</v>
      </c>
      <c r="S1283" s="88">
        <f t="shared" si="686"/>
        <v>0</v>
      </c>
      <c r="T1283" s="88">
        <f t="shared" si="686"/>
        <v>0</v>
      </c>
      <c r="U1283" s="88">
        <f t="shared" si="686"/>
        <v>0</v>
      </c>
      <c r="V1283" s="88">
        <f t="shared" si="686"/>
        <v>0</v>
      </c>
      <c r="W1283" s="88">
        <f t="shared" si="686"/>
        <v>0</v>
      </c>
      <c r="X1283" s="88">
        <f t="shared" si="686"/>
        <v>0</v>
      </c>
      <c r="Y1283" s="88">
        <f t="shared" si="686"/>
        <v>0</v>
      </c>
      <c r="Z1283" s="88">
        <f t="shared" si="686"/>
        <v>0</v>
      </c>
      <c r="AA1283" s="88">
        <f t="shared" si="686"/>
        <v>0</v>
      </c>
      <c r="AB1283" s="88">
        <f t="shared" si="686"/>
        <v>0</v>
      </c>
      <c r="AC1283" s="88">
        <f t="shared" si="686"/>
        <v>0</v>
      </c>
      <c r="AD1283" s="88">
        <f t="shared" si="686"/>
        <v>0</v>
      </c>
      <c r="AE1283" s="88">
        <f t="shared" si="686"/>
        <v>0</v>
      </c>
      <c r="AF1283" s="88">
        <f t="shared" si="686"/>
        <v>0</v>
      </c>
      <c r="AG1283" s="88">
        <f t="shared" si="686"/>
        <v>0</v>
      </c>
      <c r="AH1283" s="88">
        <f t="shared" si="686"/>
        <v>0</v>
      </c>
      <c r="AI1283" s="88">
        <f t="shared" si="686"/>
        <v>0</v>
      </c>
      <c r="AJ1283" s="88">
        <f t="shared" si="686"/>
        <v>0</v>
      </c>
      <c r="AK1283" s="88">
        <f t="shared" si="686"/>
        <v>0</v>
      </c>
      <c r="AL1283" s="88">
        <f t="shared" si="686"/>
        <v>0</v>
      </c>
      <c r="AM1283" s="88">
        <f t="shared" si="686"/>
        <v>0</v>
      </c>
      <c r="AN1283" s="88">
        <f t="shared" si="686"/>
        <v>0</v>
      </c>
      <c r="AO1283" s="88">
        <f t="shared" si="686"/>
        <v>0</v>
      </c>
      <c r="AP1283" s="88">
        <f t="shared" si="686"/>
        <v>0</v>
      </c>
      <c r="AQ1283" s="88">
        <f t="shared" si="686"/>
        <v>0</v>
      </c>
      <c r="AR1283" s="88">
        <f t="shared" si="686"/>
        <v>0</v>
      </c>
      <c r="AS1283" s="88">
        <f t="shared" si="686"/>
        <v>0</v>
      </c>
      <c r="AT1283" s="88">
        <f t="shared" si="686"/>
        <v>0</v>
      </c>
      <c r="AU1283" s="88">
        <f t="shared" si="686"/>
        <v>0</v>
      </c>
      <c r="AV1283" s="88">
        <f t="shared" si="686"/>
        <v>0</v>
      </c>
      <c r="AW1283" s="88">
        <f t="shared" si="686"/>
        <v>0</v>
      </c>
      <c r="AX1283" s="88">
        <f t="shared" si="686"/>
        <v>0</v>
      </c>
      <c r="AY1283" s="88">
        <f t="shared" si="686"/>
        <v>0</v>
      </c>
    </row>
    <row r="1284" spans="1:51" ht="14.25" customHeight="1" thickBot="1">
      <c r="A1284">
        <v>16</v>
      </c>
      <c r="B1284">
        <f>B1283</f>
        <v>0</v>
      </c>
      <c r="C1284" s="116" t="str">
        <f>C1283</f>
        <v/>
      </c>
      <c r="D1284" s="147">
        <v>1</v>
      </c>
      <c r="E1284" s="115" t="s">
        <v>453</v>
      </c>
      <c r="F1284" s="119" t="s">
        <v>454</v>
      </c>
      <c r="G1284" s="116"/>
      <c r="H1284" s="129">
        <f t="shared" ref="H1284" si="687">SUM(J1284:AY1284)</f>
        <v>0</v>
      </c>
      <c r="I1284" s="132"/>
      <c r="J1284" s="88">
        <f>SUMIF($D1285:$D1366,1,J1285:J1366)</f>
        <v>0</v>
      </c>
      <c r="K1284" s="88">
        <f t="shared" ref="K1284" si="688">SUMIF($D1285:$D1366,1,K1285:K1366)</f>
        <v>0</v>
      </c>
      <c r="L1284" s="88">
        <f t="shared" ref="L1284" si="689">SUMIF($D1285:$D1366,1,L1285:L1366)</f>
        <v>0</v>
      </c>
      <c r="M1284" s="88">
        <f t="shared" ref="M1284" si="690">SUMIF($D1285:$D1366,1,M1285:M1366)</f>
        <v>0</v>
      </c>
      <c r="N1284" s="88">
        <f t="shared" ref="N1284" si="691">SUMIF($D1285:$D1366,1,N1285:N1366)</f>
        <v>0</v>
      </c>
      <c r="O1284" s="88">
        <f t="shared" ref="O1284" si="692">SUMIF($D1285:$D1366,1,O1285:O1366)</f>
        <v>0</v>
      </c>
      <c r="P1284" s="88">
        <f t="shared" ref="P1284" si="693">SUMIF($D1285:$D1366,1,P1285:P1366)</f>
        <v>0</v>
      </c>
      <c r="Q1284" s="88">
        <f t="shared" ref="Q1284" si="694">SUMIF($D1285:$D1366,1,Q1285:Q1366)</f>
        <v>0</v>
      </c>
      <c r="R1284" s="88">
        <f t="shared" ref="R1284" si="695">SUMIF($D1285:$D1366,1,R1285:R1366)</f>
        <v>0</v>
      </c>
      <c r="S1284" s="88">
        <f t="shared" ref="S1284" si="696">SUMIF($D1285:$D1366,1,S1285:S1366)</f>
        <v>0</v>
      </c>
      <c r="T1284" s="88">
        <f t="shared" ref="T1284" si="697">SUMIF($D1285:$D1366,1,T1285:T1366)</f>
        <v>0</v>
      </c>
      <c r="U1284" s="88">
        <f t="shared" ref="U1284" si="698">SUMIF($D1285:$D1366,1,U1285:U1366)</f>
        <v>0</v>
      </c>
      <c r="V1284" s="88">
        <f t="shared" ref="V1284" si="699">SUMIF($D1285:$D1366,1,V1285:V1366)</f>
        <v>0</v>
      </c>
      <c r="W1284" s="88">
        <f t="shared" ref="W1284" si="700">SUMIF($D1285:$D1366,1,W1285:W1366)</f>
        <v>0</v>
      </c>
      <c r="X1284" s="88">
        <f t="shared" ref="X1284" si="701">SUMIF($D1285:$D1366,1,X1285:X1366)</f>
        <v>0</v>
      </c>
      <c r="Y1284" s="88">
        <f t="shared" ref="Y1284" si="702">SUMIF($D1285:$D1366,1,Y1285:Y1366)</f>
        <v>0</v>
      </c>
      <c r="Z1284" s="88">
        <f t="shared" ref="Z1284" si="703">SUMIF($D1285:$D1366,1,Z1285:Z1366)</f>
        <v>0</v>
      </c>
      <c r="AA1284" s="88">
        <f t="shared" ref="AA1284" si="704">SUMIF($D1285:$D1366,1,AA1285:AA1366)</f>
        <v>0</v>
      </c>
      <c r="AB1284" s="88">
        <f t="shared" ref="AB1284" si="705">SUMIF($D1285:$D1366,1,AB1285:AB1366)</f>
        <v>0</v>
      </c>
      <c r="AC1284" s="88">
        <f t="shared" ref="AC1284" si="706">SUMIF($D1285:$D1366,1,AC1285:AC1366)</f>
        <v>0</v>
      </c>
      <c r="AD1284" s="88">
        <f t="shared" ref="AD1284" si="707">SUMIF($D1285:$D1366,1,AD1285:AD1366)</f>
        <v>0</v>
      </c>
      <c r="AE1284" s="88">
        <f t="shared" ref="AE1284" si="708">SUMIF($D1285:$D1366,1,AE1285:AE1366)</f>
        <v>0</v>
      </c>
      <c r="AF1284" s="88">
        <f t="shared" ref="AF1284" si="709">SUMIF($D1285:$D1366,1,AF1285:AF1366)</f>
        <v>0</v>
      </c>
      <c r="AG1284" s="88">
        <f t="shared" ref="AG1284" si="710">SUMIF($D1285:$D1366,1,AG1285:AG1366)</f>
        <v>0</v>
      </c>
      <c r="AH1284" s="88">
        <f t="shared" ref="AH1284" si="711">SUMIF($D1285:$D1366,1,AH1285:AH1366)</f>
        <v>0</v>
      </c>
      <c r="AI1284" s="88">
        <f t="shared" ref="AI1284" si="712">SUMIF($D1285:$D1366,1,AI1285:AI1366)</f>
        <v>0</v>
      </c>
      <c r="AJ1284" s="88">
        <f t="shared" ref="AJ1284" si="713">SUMIF($D1285:$D1366,1,AJ1285:AJ1366)</f>
        <v>0</v>
      </c>
      <c r="AK1284" s="88">
        <f t="shared" ref="AK1284" si="714">SUMIF($D1285:$D1366,1,AK1285:AK1366)</f>
        <v>0</v>
      </c>
      <c r="AL1284" s="88">
        <f t="shared" ref="AL1284" si="715">SUMIF($D1285:$D1366,1,AL1285:AL1366)</f>
        <v>0</v>
      </c>
      <c r="AM1284" s="88">
        <f t="shared" ref="AM1284" si="716">SUMIF($D1285:$D1366,1,AM1285:AM1366)</f>
        <v>0</v>
      </c>
      <c r="AN1284" s="88">
        <f t="shared" ref="AN1284" si="717">SUMIF($D1285:$D1366,1,AN1285:AN1366)</f>
        <v>0</v>
      </c>
      <c r="AO1284" s="88">
        <f t="shared" ref="AO1284" si="718">SUMIF($D1285:$D1366,1,AO1285:AO1366)</f>
        <v>0</v>
      </c>
      <c r="AP1284" s="88">
        <f t="shared" ref="AP1284" si="719">SUMIF($D1285:$D1366,1,AP1285:AP1366)</f>
        <v>0</v>
      </c>
      <c r="AQ1284" s="88">
        <f t="shared" ref="AQ1284" si="720">SUMIF($D1285:$D1366,1,AQ1285:AQ1366)</f>
        <v>0</v>
      </c>
      <c r="AR1284" s="88">
        <f t="shared" ref="AR1284" si="721">SUMIF($D1285:$D1366,1,AR1285:AR1366)</f>
        <v>0</v>
      </c>
      <c r="AS1284" s="88">
        <f t="shared" ref="AS1284" si="722">SUMIF($D1285:$D1366,1,AS1285:AS1366)</f>
        <v>0</v>
      </c>
      <c r="AT1284" s="88">
        <f t="shared" ref="AT1284" si="723">SUMIF($D1285:$D1366,1,AT1285:AT1366)</f>
        <v>0</v>
      </c>
      <c r="AU1284" s="88">
        <f t="shared" ref="AU1284" si="724">SUMIF($D1285:$D1366,1,AU1285:AU1366)</f>
        <v>0</v>
      </c>
      <c r="AV1284" s="88">
        <f t="shared" ref="AV1284" si="725">SUMIF($D1285:$D1366,1,AV1285:AV1366)</f>
        <v>0</v>
      </c>
      <c r="AW1284" s="88">
        <f t="shared" ref="AW1284" si="726">SUMIF($D1285:$D1366,1,AW1285:AW1366)</f>
        <v>0</v>
      </c>
      <c r="AX1284" s="88">
        <f t="shared" ref="AX1284" si="727">SUMIF($D1285:$D1366,1,AX1285:AX1366)</f>
        <v>0</v>
      </c>
      <c r="AY1284" s="88">
        <f t="shared" ref="AY1284" si="728">SUMIF($D1285:$D1366,1,AY1285:AY1366)</f>
        <v>0</v>
      </c>
    </row>
    <row r="1285" spans="1:51" ht="14.25" thickBot="1">
      <c r="A1285">
        <v>16</v>
      </c>
      <c r="B1285" s="120">
        <f>B1283</f>
        <v>0</v>
      </c>
      <c r="C1285" s="120" t="str">
        <f>C1283</f>
        <v/>
      </c>
      <c r="D1285" s="137"/>
      <c r="E1285" s="150" t="str">
        <f>工種!A2</f>
        <v>10102</v>
      </c>
      <c r="F1285" s="119" t="str">
        <f>工種!B2</f>
        <v>SRS：調査・分析・開発計画の準備・実施作業</v>
      </c>
      <c r="G1285" s="116" t="str">
        <f t="shared" si="678"/>
        <v>010102</v>
      </c>
      <c r="H1285" s="88">
        <f t="shared" si="685"/>
        <v>0</v>
      </c>
      <c r="I1285" s="132"/>
      <c r="J1285" s="88">
        <f>SUMIF(月間集計シート!$M$29:$M$48,$G1285,月間集計シート!N$29:N$48)*J$2</f>
        <v>0</v>
      </c>
      <c r="K1285" s="88">
        <f>SUMIF(月間集計シート!$M$29:$M$48,$G1285,月間集計シート!O$29:O$48)*K$2</f>
        <v>0</v>
      </c>
      <c r="L1285" s="88">
        <f>SUMIF(月間集計シート!$M$29:$M$48,$G1285,月間集計シート!P$29:P$48)*L$2</f>
        <v>0</v>
      </c>
      <c r="M1285" s="88">
        <f>SUMIF(月間集計シート!$M$29:$M$48,$G1285,月間集計シート!Q$29:Q$48)*M$2</f>
        <v>0</v>
      </c>
      <c r="N1285" s="88">
        <f>SUMIF(月間集計シート!$M$29:$M$48,$G1285,月間集計シート!R$29:R$48)*N$2</f>
        <v>0</v>
      </c>
      <c r="O1285" s="88">
        <f>SUMIF(月間集計シート!$M$29:$M$48,$G1285,月間集計シート!S$29:S$48)*O$2</f>
        <v>0</v>
      </c>
      <c r="P1285" s="88">
        <f>SUMIF(月間集計シート!$M$29:$M$48,$G1285,月間集計シート!T$29:T$48)*P$2</f>
        <v>0</v>
      </c>
      <c r="Q1285" s="88">
        <f>SUMIF(月間集計シート!$M$50:$M$69,$G1285,月間集計シート!N$50:N$69)*Q$2</f>
        <v>0</v>
      </c>
      <c r="R1285" s="88">
        <f>SUMIF(月間集計シート!$M$50:$M$69,$G1285,月間集計シート!O$50:O$69)*R$2</f>
        <v>0</v>
      </c>
      <c r="S1285" s="88">
        <f>SUMIF(月間集計シート!$M$50:$M$69,$G1285,月間集計シート!P$50:P$69)*S$2</f>
        <v>0</v>
      </c>
      <c r="T1285" s="88">
        <f>SUMIF(月間集計シート!$M$50:$M$69,$G1285,月間集計シート!Q$50:Q$69)*T$2</f>
        <v>0</v>
      </c>
      <c r="U1285" s="88">
        <f>SUMIF(月間集計シート!$M$50:$M$69,$G1285,月間集計シート!R$50:R$69)*U$2</f>
        <v>0</v>
      </c>
      <c r="V1285" s="88">
        <f>SUMIF(月間集計シート!$M$50:$M$69,$G1285,月間集計シート!S$50:S$69)*V$2</f>
        <v>0</v>
      </c>
      <c r="W1285" s="88">
        <f>SUMIF(月間集計シート!$M$50:$M$69,$G1285,月間集計シート!T$50:T$69)*W$2</f>
        <v>0</v>
      </c>
      <c r="X1285" s="88">
        <f>SUMIF(月間集計シート!$M$71:$M$90,$G1285,月間集計シート!N$71:N$90)*X$2</f>
        <v>0</v>
      </c>
      <c r="Y1285" s="88">
        <f>SUMIF(月間集計シート!$M$71:$M$90,$G1285,月間集計シート!O$71:O$90)*Y$2</f>
        <v>0</v>
      </c>
      <c r="Z1285" s="88">
        <f>SUMIF(月間集計シート!$M$71:$M$90,$G1285,月間集計シート!P$71:P$90)*Z$2</f>
        <v>0</v>
      </c>
      <c r="AA1285" s="88">
        <f>SUMIF(月間集計シート!$M$71:$M$90,$G1285,月間集計シート!Q$71:Q$90)*AA$2</f>
        <v>0</v>
      </c>
      <c r="AB1285" s="88">
        <f>SUMIF(月間集計シート!$M$71:$M$90,$G1285,月間集計シート!R$71:R$90)*AB$2</f>
        <v>0</v>
      </c>
      <c r="AC1285" s="88">
        <f>SUMIF(月間集計シート!$M$71:$M$90,$G1285,月間集計シート!S$71:S$90)*AC$2</f>
        <v>0</v>
      </c>
      <c r="AD1285" s="88">
        <f>SUMIF(月間集計シート!$M$71:$M$90,$G1285,月間集計シート!T$71:T$90)*AD$2</f>
        <v>0</v>
      </c>
      <c r="AE1285" s="88">
        <f>SUMIF(月間集計シート!$M$92:$M$111,$G1285,月間集計シート!N$92:N$111)*AE$2</f>
        <v>0</v>
      </c>
      <c r="AF1285" s="88">
        <f>SUMIF(月間集計シート!$M$92:$M$111,$G1285,月間集計シート!O$92:O$111)*AF$2</f>
        <v>0</v>
      </c>
      <c r="AG1285" s="88">
        <f>SUMIF(月間集計シート!$M$92:$M$111,$G1285,月間集計シート!P$92:P$111)*AG$2</f>
        <v>0</v>
      </c>
      <c r="AH1285" s="88">
        <f>SUMIF(月間集計シート!$M$92:$M$111,$G1285,月間集計シート!Q$92:Q$111)*AH$2</f>
        <v>0</v>
      </c>
      <c r="AI1285" s="88">
        <f>SUMIF(月間集計シート!$M$92:$M$111,$G1285,月間集計シート!R$92:R$111)*AI$2</f>
        <v>0</v>
      </c>
      <c r="AJ1285" s="88">
        <f>SUMIF(月間集計シート!$M$92:$M$111,$G1285,月間集計シート!S$92:S$111)*AJ$2</f>
        <v>0</v>
      </c>
      <c r="AK1285" s="88">
        <f>SUMIF(月間集計シート!$M$92:$M$111,$G1285,月間集計シート!T$92:T$111)*AK$2</f>
        <v>0</v>
      </c>
      <c r="AL1285" s="88">
        <f>SUMIF(月間集計シート!$M$113:$M$132,$G1285,月間集計シート!N$113:N$132)*AL$2</f>
        <v>0</v>
      </c>
      <c r="AM1285" s="88">
        <f>SUMIF(月間集計シート!$M$113:$M$132,$G1285,月間集計シート!O$113:O$132)*AM$2</f>
        <v>0</v>
      </c>
      <c r="AN1285" s="88">
        <f>SUMIF(月間集計シート!$M$113:$M$132,$G1285,月間集計シート!P$113:P$132)*AN$2</f>
        <v>0</v>
      </c>
      <c r="AO1285" s="88">
        <f>SUMIF(月間集計シート!$M$113:$M$132,$G1285,月間集計シート!Q$113:Q$132)*AO$2</f>
        <v>0</v>
      </c>
      <c r="AP1285" s="88">
        <f>SUMIF(月間集計シート!$M$113:$M$132,$G1285,月間集計シート!R$113:R$132)*AP$2</f>
        <v>0</v>
      </c>
      <c r="AQ1285" s="88">
        <f>SUMIF(月間集計シート!$M$113:$M$132,$G1285,月間集計シート!S$113:S$132)*AQ$2</f>
        <v>0</v>
      </c>
      <c r="AR1285" s="88">
        <f>SUMIF(月間集計シート!$M$113:$M$132,$G1285,月間集計シート!T$113:T$132)*AR$2</f>
        <v>0</v>
      </c>
      <c r="AS1285" s="88">
        <f>SUMIF(月間集計シート!$M$134:$M$153,$G1285,月間集計シート!N$134:N$153)*AS$2</f>
        <v>0</v>
      </c>
      <c r="AT1285" s="88">
        <f>SUMIF(月間集計シート!$M$134:$M$153,$G1285,月間集計シート!O$134:O$153)*AT$2</f>
        <v>0</v>
      </c>
      <c r="AU1285" s="88">
        <f>SUMIF(月間集計シート!$M$134:$M$153,$G1285,月間集計シート!P$134:P$153)*AU$2</f>
        <v>0</v>
      </c>
      <c r="AV1285" s="88">
        <f>SUMIF(月間集計シート!$M$134:$M$153,$G1285,月間集計シート!Q$134:Q$153)*AV$2</f>
        <v>0</v>
      </c>
      <c r="AW1285" s="88">
        <f>SUMIF(月間集計シート!$M$134:$M$153,$G1285,月間集計シート!R$134:R$153)*AW$2</f>
        <v>0</v>
      </c>
      <c r="AX1285" s="88">
        <f>SUMIF(月間集計シート!$M$134:$M$153,$G1285,月間集計シート!S$134:S$153)*AX$2</f>
        <v>0</v>
      </c>
      <c r="AY1285" s="88">
        <f>SUMIF(月間集計シート!$M$134:$M$153,$G1285,月間集計シート!T$134:T$153)*AY$2</f>
        <v>0</v>
      </c>
    </row>
    <row r="1286" spans="1:51" ht="14.25" thickBot="1">
      <c r="A1286">
        <v>16</v>
      </c>
      <c r="B1286" s="120">
        <f t="shared" ref="B1286:B1349" si="729">B1285</f>
        <v>0</v>
      </c>
      <c r="C1286" s="120" t="str">
        <f t="shared" ref="C1286:C1349" si="730">C1285</f>
        <v/>
      </c>
      <c r="D1286" s="137"/>
      <c r="E1286" s="150" t="str">
        <f>工種!A3</f>
        <v>10103</v>
      </c>
      <c r="F1286" s="119" t="str">
        <f>工種!B3</f>
        <v>SRS：企画書・計画書・報告書等資料作成・修正</v>
      </c>
      <c r="G1286" s="116" t="str">
        <f t="shared" si="678"/>
        <v>010103</v>
      </c>
      <c r="H1286" s="88">
        <f t="shared" si="685"/>
        <v>0</v>
      </c>
      <c r="I1286" s="132"/>
      <c r="J1286" s="88">
        <f>SUMIF(月間集計シート!$M$29:$M$48,$G1286,月間集計シート!N$29:N$48)*J$2</f>
        <v>0</v>
      </c>
      <c r="K1286" s="88">
        <f>SUMIF(月間集計シート!$M$29:$M$48,$G1286,月間集計シート!O$29:O$48)*K$2</f>
        <v>0</v>
      </c>
      <c r="L1286" s="88">
        <f>SUMIF(月間集計シート!$M$29:$M$48,$G1286,月間集計シート!P$29:P$48)*L$2</f>
        <v>0</v>
      </c>
      <c r="M1286" s="88">
        <f>SUMIF(月間集計シート!$M$29:$M$48,$G1286,月間集計シート!Q$29:Q$48)*M$2</f>
        <v>0</v>
      </c>
      <c r="N1286" s="88">
        <f>SUMIF(月間集計シート!$M$29:$M$48,$G1286,月間集計シート!R$29:R$48)*N$2</f>
        <v>0</v>
      </c>
      <c r="O1286" s="88">
        <f>SUMIF(月間集計シート!$M$29:$M$48,$G1286,月間集計シート!S$29:S$48)*O$2</f>
        <v>0</v>
      </c>
      <c r="P1286" s="88">
        <f>SUMIF(月間集計シート!$M$29:$M$48,$G1286,月間集計シート!T$29:T$48)*P$2</f>
        <v>0</v>
      </c>
      <c r="Q1286" s="88">
        <f>SUMIF(月間集計シート!$M$50:$M$69,$G1286,月間集計シート!N$50:N$69)*Q$2</f>
        <v>0</v>
      </c>
      <c r="R1286" s="88">
        <f>SUMIF(月間集計シート!$M$50:$M$69,$G1286,月間集計シート!O$50:O$69)*R$2</f>
        <v>0</v>
      </c>
      <c r="S1286" s="88">
        <f>SUMIF(月間集計シート!$M$50:$M$69,$G1286,月間集計シート!P$50:P$69)*S$2</f>
        <v>0</v>
      </c>
      <c r="T1286" s="88">
        <f>SUMIF(月間集計シート!$M$50:$M$69,$G1286,月間集計シート!Q$50:Q$69)*T$2</f>
        <v>0</v>
      </c>
      <c r="U1286" s="88">
        <f>SUMIF(月間集計シート!$M$50:$M$69,$G1286,月間集計シート!R$50:R$69)*U$2</f>
        <v>0</v>
      </c>
      <c r="V1286" s="88">
        <f>SUMIF(月間集計シート!$M$50:$M$69,$G1286,月間集計シート!S$50:S$69)*V$2</f>
        <v>0</v>
      </c>
      <c r="W1286" s="88">
        <f>SUMIF(月間集計シート!$M$50:$M$69,$G1286,月間集計シート!T$50:T$69)*W$2</f>
        <v>0</v>
      </c>
      <c r="X1286" s="88">
        <f>SUMIF(月間集計シート!$M$71:$M$90,$G1286,月間集計シート!N$71:N$90)*X$2</f>
        <v>0</v>
      </c>
      <c r="Y1286" s="88">
        <f>SUMIF(月間集計シート!$M$71:$M$90,$G1286,月間集計シート!O$71:O$90)*Y$2</f>
        <v>0</v>
      </c>
      <c r="Z1286" s="88">
        <f>SUMIF(月間集計シート!$M$71:$M$90,$G1286,月間集計シート!P$71:P$90)*Z$2</f>
        <v>0</v>
      </c>
      <c r="AA1286" s="88">
        <f>SUMIF(月間集計シート!$M$71:$M$90,$G1286,月間集計シート!Q$71:Q$90)*AA$2</f>
        <v>0</v>
      </c>
      <c r="AB1286" s="88">
        <f>SUMIF(月間集計シート!$M$71:$M$90,$G1286,月間集計シート!R$71:R$90)*AB$2</f>
        <v>0</v>
      </c>
      <c r="AC1286" s="88">
        <f>SUMIF(月間集計シート!$M$71:$M$90,$G1286,月間集計シート!S$71:S$90)*AC$2</f>
        <v>0</v>
      </c>
      <c r="AD1286" s="88">
        <f>SUMIF(月間集計シート!$M$71:$M$90,$G1286,月間集計シート!T$71:T$90)*AD$2</f>
        <v>0</v>
      </c>
      <c r="AE1286" s="88">
        <f>SUMIF(月間集計シート!$M$92:$M$111,$G1286,月間集計シート!N$92:N$111)*AE$2</f>
        <v>0</v>
      </c>
      <c r="AF1286" s="88">
        <f>SUMIF(月間集計シート!$M$92:$M$111,$G1286,月間集計シート!O$92:O$111)*AF$2</f>
        <v>0</v>
      </c>
      <c r="AG1286" s="88">
        <f>SUMIF(月間集計シート!$M$92:$M$111,$G1286,月間集計シート!P$92:P$111)*AG$2</f>
        <v>0</v>
      </c>
      <c r="AH1286" s="88">
        <f>SUMIF(月間集計シート!$M$92:$M$111,$G1286,月間集計シート!Q$92:Q$111)*AH$2</f>
        <v>0</v>
      </c>
      <c r="AI1286" s="88">
        <f>SUMIF(月間集計シート!$M$92:$M$111,$G1286,月間集計シート!R$92:R$111)*AI$2</f>
        <v>0</v>
      </c>
      <c r="AJ1286" s="88">
        <f>SUMIF(月間集計シート!$M$92:$M$111,$G1286,月間集計シート!S$92:S$111)*AJ$2</f>
        <v>0</v>
      </c>
      <c r="AK1286" s="88">
        <f>SUMIF(月間集計シート!$M$92:$M$111,$G1286,月間集計シート!T$92:T$111)*AK$2</f>
        <v>0</v>
      </c>
      <c r="AL1286" s="88">
        <f>SUMIF(月間集計シート!$M$113:$M$132,$G1286,月間集計シート!N$113:N$132)*AL$2</f>
        <v>0</v>
      </c>
      <c r="AM1286" s="88">
        <f>SUMIF(月間集計シート!$M$113:$M$132,$G1286,月間集計シート!O$113:O$132)*AM$2</f>
        <v>0</v>
      </c>
      <c r="AN1286" s="88">
        <f>SUMIF(月間集計シート!$M$113:$M$132,$G1286,月間集計シート!P$113:P$132)*AN$2</f>
        <v>0</v>
      </c>
      <c r="AO1286" s="88">
        <f>SUMIF(月間集計シート!$M$113:$M$132,$G1286,月間集計シート!Q$113:Q$132)*AO$2</f>
        <v>0</v>
      </c>
      <c r="AP1286" s="88">
        <f>SUMIF(月間集計シート!$M$113:$M$132,$G1286,月間集計シート!R$113:R$132)*AP$2</f>
        <v>0</v>
      </c>
      <c r="AQ1286" s="88">
        <f>SUMIF(月間集計シート!$M$113:$M$132,$G1286,月間集計シート!S$113:S$132)*AQ$2</f>
        <v>0</v>
      </c>
      <c r="AR1286" s="88">
        <f>SUMIF(月間集計シート!$M$113:$M$132,$G1286,月間集計シート!T$113:T$132)*AR$2</f>
        <v>0</v>
      </c>
      <c r="AS1286" s="88">
        <f>SUMIF(月間集計シート!$M$134:$M$153,$G1286,月間集計シート!N$134:N$153)*AS$2</f>
        <v>0</v>
      </c>
      <c r="AT1286" s="88">
        <f>SUMIF(月間集計シート!$M$134:$M$153,$G1286,月間集計シート!O$134:O$153)*AT$2</f>
        <v>0</v>
      </c>
      <c r="AU1286" s="88">
        <f>SUMIF(月間集計シート!$M$134:$M$153,$G1286,月間集計シート!P$134:P$153)*AU$2</f>
        <v>0</v>
      </c>
      <c r="AV1286" s="88">
        <f>SUMIF(月間集計シート!$M$134:$M$153,$G1286,月間集計シート!Q$134:Q$153)*AV$2</f>
        <v>0</v>
      </c>
      <c r="AW1286" s="88">
        <f>SUMIF(月間集計シート!$M$134:$M$153,$G1286,月間集計シート!R$134:R$153)*AW$2</f>
        <v>0</v>
      </c>
      <c r="AX1286" s="88">
        <f>SUMIF(月間集計シート!$M$134:$M$153,$G1286,月間集計シート!S$134:S$153)*AX$2</f>
        <v>0</v>
      </c>
      <c r="AY1286" s="88">
        <f>SUMIF(月間集計シート!$M$134:$M$153,$G1286,月間集計シート!T$134:T$153)*AY$2</f>
        <v>0</v>
      </c>
    </row>
    <row r="1287" spans="1:51" ht="14.25" thickBot="1">
      <c r="A1287">
        <v>16</v>
      </c>
      <c r="B1287" s="120">
        <f t="shared" si="729"/>
        <v>0</v>
      </c>
      <c r="C1287" s="120" t="str">
        <f t="shared" si="730"/>
        <v/>
      </c>
      <c r="D1287" s="137"/>
      <c r="E1287" s="150" t="str">
        <f>工種!A4</f>
        <v>10104</v>
      </c>
      <c r="F1287" s="119" t="str">
        <f>工種!B4</f>
        <v>SRS：打合せ</v>
      </c>
      <c r="G1287" s="116" t="str">
        <f t="shared" si="678"/>
        <v>010104</v>
      </c>
      <c r="H1287" s="88">
        <f t="shared" si="685"/>
        <v>0</v>
      </c>
      <c r="I1287" s="132"/>
      <c r="J1287" s="88">
        <f>SUMIF(月間集計シート!$M$29:$M$48,$G1287,月間集計シート!N$29:N$48)*J$2</f>
        <v>0</v>
      </c>
      <c r="K1287" s="88">
        <f>SUMIF(月間集計シート!$M$29:$M$48,$G1287,月間集計シート!O$29:O$48)*K$2</f>
        <v>0</v>
      </c>
      <c r="L1287" s="88">
        <f>SUMIF(月間集計シート!$M$29:$M$48,$G1287,月間集計シート!P$29:P$48)*L$2</f>
        <v>0</v>
      </c>
      <c r="M1287" s="88">
        <f>SUMIF(月間集計シート!$M$29:$M$48,$G1287,月間集計シート!Q$29:Q$48)*M$2</f>
        <v>0</v>
      </c>
      <c r="N1287" s="88">
        <f>SUMIF(月間集計シート!$M$29:$M$48,$G1287,月間集計シート!R$29:R$48)*N$2</f>
        <v>0</v>
      </c>
      <c r="O1287" s="88">
        <f>SUMIF(月間集計シート!$M$29:$M$48,$G1287,月間集計シート!S$29:S$48)*O$2</f>
        <v>0</v>
      </c>
      <c r="P1287" s="88">
        <f>SUMIF(月間集計シート!$M$29:$M$48,$G1287,月間集計シート!T$29:T$48)*P$2</f>
        <v>0</v>
      </c>
      <c r="Q1287" s="88">
        <f>SUMIF(月間集計シート!$M$50:$M$69,$G1287,月間集計シート!N$50:N$69)*Q$2</f>
        <v>0</v>
      </c>
      <c r="R1287" s="88">
        <f>SUMIF(月間集計シート!$M$50:$M$69,$G1287,月間集計シート!O$50:O$69)*R$2</f>
        <v>0</v>
      </c>
      <c r="S1287" s="88">
        <f>SUMIF(月間集計シート!$M$50:$M$69,$G1287,月間集計シート!P$50:P$69)*S$2</f>
        <v>0</v>
      </c>
      <c r="T1287" s="88">
        <f>SUMIF(月間集計シート!$M$50:$M$69,$G1287,月間集計シート!Q$50:Q$69)*T$2</f>
        <v>0</v>
      </c>
      <c r="U1287" s="88">
        <f>SUMIF(月間集計シート!$M$50:$M$69,$G1287,月間集計シート!R$50:R$69)*U$2</f>
        <v>0</v>
      </c>
      <c r="V1287" s="88">
        <f>SUMIF(月間集計シート!$M$50:$M$69,$G1287,月間集計シート!S$50:S$69)*V$2</f>
        <v>0</v>
      </c>
      <c r="W1287" s="88">
        <f>SUMIF(月間集計シート!$M$50:$M$69,$G1287,月間集計シート!T$50:T$69)*W$2</f>
        <v>0</v>
      </c>
      <c r="X1287" s="88">
        <f>SUMIF(月間集計シート!$M$71:$M$90,$G1287,月間集計シート!N$71:N$90)*X$2</f>
        <v>0</v>
      </c>
      <c r="Y1287" s="88">
        <f>SUMIF(月間集計シート!$M$71:$M$90,$G1287,月間集計シート!O$71:O$90)*Y$2</f>
        <v>0</v>
      </c>
      <c r="Z1287" s="88">
        <f>SUMIF(月間集計シート!$M$71:$M$90,$G1287,月間集計シート!P$71:P$90)*Z$2</f>
        <v>0</v>
      </c>
      <c r="AA1287" s="88">
        <f>SUMIF(月間集計シート!$M$71:$M$90,$G1287,月間集計シート!Q$71:Q$90)*AA$2</f>
        <v>0</v>
      </c>
      <c r="AB1287" s="88">
        <f>SUMIF(月間集計シート!$M$71:$M$90,$G1287,月間集計シート!R$71:R$90)*AB$2</f>
        <v>0</v>
      </c>
      <c r="AC1287" s="88">
        <f>SUMIF(月間集計シート!$M$71:$M$90,$G1287,月間集計シート!S$71:S$90)*AC$2</f>
        <v>0</v>
      </c>
      <c r="AD1287" s="88">
        <f>SUMIF(月間集計シート!$M$71:$M$90,$G1287,月間集計シート!T$71:T$90)*AD$2</f>
        <v>0</v>
      </c>
      <c r="AE1287" s="88">
        <f>SUMIF(月間集計シート!$M$92:$M$111,$G1287,月間集計シート!N$92:N$111)*AE$2</f>
        <v>0</v>
      </c>
      <c r="AF1287" s="88">
        <f>SUMIF(月間集計シート!$M$92:$M$111,$G1287,月間集計シート!O$92:O$111)*AF$2</f>
        <v>0</v>
      </c>
      <c r="AG1287" s="88">
        <f>SUMIF(月間集計シート!$M$92:$M$111,$G1287,月間集計シート!P$92:P$111)*AG$2</f>
        <v>0</v>
      </c>
      <c r="AH1287" s="88">
        <f>SUMIF(月間集計シート!$M$92:$M$111,$G1287,月間集計シート!Q$92:Q$111)*AH$2</f>
        <v>0</v>
      </c>
      <c r="AI1287" s="88">
        <f>SUMIF(月間集計シート!$M$92:$M$111,$G1287,月間集計シート!R$92:R$111)*AI$2</f>
        <v>0</v>
      </c>
      <c r="AJ1287" s="88">
        <f>SUMIF(月間集計シート!$M$92:$M$111,$G1287,月間集計シート!S$92:S$111)*AJ$2</f>
        <v>0</v>
      </c>
      <c r="AK1287" s="88">
        <f>SUMIF(月間集計シート!$M$92:$M$111,$G1287,月間集計シート!T$92:T$111)*AK$2</f>
        <v>0</v>
      </c>
      <c r="AL1287" s="88">
        <f>SUMIF(月間集計シート!$M$113:$M$132,$G1287,月間集計シート!N$113:N$132)*AL$2</f>
        <v>0</v>
      </c>
      <c r="AM1287" s="88">
        <f>SUMIF(月間集計シート!$M$113:$M$132,$G1287,月間集計シート!O$113:O$132)*AM$2</f>
        <v>0</v>
      </c>
      <c r="AN1287" s="88">
        <f>SUMIF(月間集計シート!$M$113:$M$132,$G1287,月間集計シート!P$113:P$132)*AN$2</f>
        <v>0</v>
      </c>
      <c r="AO1287" s="88">
        <f>SUMIF(月間集計シート!$M$113:$M$132,$G1287,月間集計シート!Q$113:Q$132)*AO$2</f>
        <v>0</v>
      </c>
      <c r="AP1287" s="88">
        <f>SUMIF(月間集計シート!$M$113:$M$132,$G1287,月間集計シート!R$113:R$132)*AP$2</f>
        <v>0</v>
      </c>
      <c r="AQ1287" s="88">
        <f>SUMIF(月間集計シート!$M$113:$M$132,$G1287,月間集計シート!S$113:S$132)*AQ$2</f>
        <v>0</v>
      </c>
      <c r="AR1287" s="88">
        <f>SUMIF(月間集計シート!$M$113:$M$132,$G1287,月間集計シート!T$113:T$132)*AR$2</f>
        <v>0</v>
      </c>
      <c r="AS1287" s="88">
        <f>SUMIF(月間集計シート!$M$134:$M$153,$G1287,月間集計シート!N$134:N$153)*AS$2</f>
        <v>0</v>
      </c>
      <c r="AT1287" s="88">
        <f>SUMIF(月間集計シート!$M$134:$M$153,$G1287,月間集計シート!O$134:O$153)*AT$2</f>
        <v>0</v>
      </c>
      <c r="AU1287" s="88">
        <f>SUMIF(月間集計シート!$M$134:$M$153,$G1287,月間集計シート!P$134:P$153)*AU$2</f>
        <v>0</v>
      </c>
      <c r="AV1287" s="88">
        <f>SUMIF(月間集計シート!$M$134:$M$153,$G1287,月間集計シート!Q$134:Q$153)*AV$2</f>
        <v>0</v>
      </c>
      <c r="AW1287" s="88">
        <f>SUMIF(月間集計シート!$M$134:$M$153,$G1287,月間集計シート!R$134:R$153)*AW$2</f>
        <v>0</v>
      </c>
      <c r="AX1287" s="88">
        <f>SUMIF(月間集計シート!$M$134:$M$153,$G1287,月間集計シート!S$134:S$153)*AX$2</f>
        <v>0</v>
      </c>
      <c r="AY1287" s="88">
        <f>SUMIF(月間集計シート!$M$134:$M$153,$G1287,月間集計シート!T$134:T$153)*AY$2</f>
        <v>0</v>
      </c>
    </row>
    <row r="1288" spans="1:51" ht="14.25" thickBot="1">
      <c r="A1288">
        <v>16</v>
      </c>
      <c r="B1288" s="120">
        <f t="shared" si="729"/>
        <v>0</v>
      </c>
      <c r="C1288" s="120" t="str">
        <f t="shared" si="730"/>
        <v/>
      </c>
      <c r="D1288" s="137"/>
      <c r="E1288" s="150" t="str">
        <f>工種!A5</f>
        <v>10105</v>
      </c>
      <c r="F1288" s="119" t="str">
        <f>工種!B5</f>
        <v>SRS：レビュー</v>
      </c>
      <c r="G1288" s="116" t="str">
        <f t="shared" si="678"/>
        <v>010105</v>
      </c>
      <c r="H1288" s="88">
        <f t="shared" si="685"/>
        <v>0</v>
      </c>
      <c r="I1288" s="132"/>
      <c r="J1288" s="88">
        <f>SUMIF(月間集計シート!$M$29:$M$48,$G1288,月間集計シート!N$29:N$48)*J$2</f>
        <v>0</v>
      </c>
      <c r="K1288" s="88">
        <f>SUMIF(月間集計シート!$M$29:$M$48,$G1288,月間集計シート!O$29:O$48)*K$2</f>
        <v>0</v>
      </c>
      <c r="L1288" s="88">
        <f>SUMIF(月間集計シート!$M$29:$M$48,$G1288,月間集計シート!P$29:P$48)*L$2</f>
        <v>0</v>
      </c>
      <c r="M1288" s="88">
        <f>SUMIF(月間集計シート!$M$29:$M$48,$G1288,月間集計シート!Q$29:Q$48)*M$2</f>
        <v>0</v>
      </c>
      <c r="N1288" s="88">
        <f>SUMIF(月間集計シート!$M$29:$M$48,$G1288,月間集計シート!R$29:R$48)*N$2</f>
        <v>0</v>
      </c>
      <c r="O1288" s="88">
        <f>SUMIF(月間集計シート!$M$29:$M$48,$G1288,月間集計シート!S$29:S$48)*O$2</f>
        <v>0</v>
      </c>
      <c r="P1288" s="88">
        <f>SUMIF(月間集計シート!$M$29:$M$48,$G1288,月間集計シート!T$29:T$48)*P$2</f>
        <v>0</v>
      </c>
      <c r="Q1288" s="88">
        <f>SUMIF(月間集計シート!$M$50:$M$69,$G1288,月間集計シート!N$50:N$69)*Q$2</f>
        <v>0</v>
      </c>
      <c r="R1288" s="88">
        <f>SUMIF(月間集計シート!$M$50:$M$69,$G1288,月間集計シート!O$50:O$69)*R$2</f>
        <v>0</v>
      </c>
      <c r="S1288" s="88">
        <f>SUMIF(月間集計シート!$M$50:$M$69,$G1288,月間集計シート!P$50:P$69)*S$2</f>
        <v>0</v>
      </c>
      <c r="T1288" s="88">
        <f>SUMIF(月間集計シート!$M$50:$M$69,$G1288,月間集計シート!Q$50:Q$69)*T$2</f>
        <v>0</v>
      </c>
      <c r="U1288" s="88">
        <f>SUMIF(月間集計シート!$M$50:$M$69,$G1288,月間集計シート!R$50:R$69)*U$2</f>
        <v>0</v>
      </c>
      <c r="V1288" s="88">
        <f>SUMIF(月間集計シート!$M$50:$M$69,$G1288,月間集計シート!S$50:S$69)*V$2</f>
        <v>0</v>
      </c>
      <c r="W1288" s="88">
        <f>SUMIF(月間集計シート!$M$50:$M$69,$G1288,月間集計シート!T$50:T$69)*W$2</f>
        <v>0</v>
      </c>
      <c r="X1288" s="88">
        <f>SUMIF(月間集計シート!$M$71:$M$90,$G1288,月間集計シート!N$71:N$90)*X$2</f>
        <v>0</v>
      </c>
      <c r="Y1288" s="88">
        <f>SUMIF(月間集計シート!$M$71:$M$90,$G1288,月間集計シート!O$71:O$90)*Y$2</f>
        <v>0</v>
      </c>
      <c r="Z1288" s="88">
        <f>SUMIF(月間集計シート!$M$71:$M$90,$G1288,月間集計シート!P$71:P$90)*Z$2</f>
        <v>0</v>
      </c>
      <c r="AA1288" s="88">
        <f>SUMIF(月間集計シート!$M$71:$M$90,$G1288,月間集計シート!Q$71:Q$90)*AA$2</f>
        <v>0</v>
      </c>
      <c r="AB1288" s="88">
        <f>SUMIF(月間集計シート!$M$71:$M$90,$G1288,月間集計シート!R$71:R$90)*AB$2</f>
        <v>0</v>
      </c>
      <c r="AC1288" s="88">
        <f>SUMIF(月間集計シート!$M$71:$M$90,$G1288,月間集計シート!S$71:S$90)*AC$2</f>
        <v>0</v>
      </c>
      <c r="AD1288" s="88">
        <f>SUMIF(月間集計シート!$M$71:$M$90,$G1288,月間集計シート!T$71:T$90)*AD$2</f>
        <v>0</v>
      </c>
      <c r="AE1288" s="88">
        <f>SUMIF(月間集計シート!$M$92:$M$111,$G1288,月間集計シート!N$92:N$111)*AE$2</f>
        <v>0</v>
      </c>
      <c r="AF1288" s="88">
        <f>SUMIF(月間集計シート!$M$92:$M$111,$G1288,月間集計シート!O$92:O$111)*AF$2</f>
        <v>0</v>
      </c>
      <c r="AG1288" s="88">
        <f>SUMIF(月間集計シート!$M$92:$M$111,$G1288,月間集計シート!P$92:P$111)*AG$2</f>
        <v>0</v>
      </c>
      <c r="AH1288" s="88">
        <f>SUMIF(月間集計シート!$M$92:$M$111,$G1288,月間集計シート!Q$92:Q$111)*AH$2</f>
        <v>0</v>
      </c>
      <c r="AI1288" s="88">
        <f>SUMIF(月間集計シート!$M$92:$M$111,$G1288,月間集計シート!R$92:R$111)*AI$2</f>
        <v>0</v>
      </c>
      <c r="AJ1288" s="88">
        <f>SUMIF(月間集計シート!$M$92:$M$111,$G1288,月間集計シート!S$92:S$111)*AJ$2</f>
        <v>0</v>
      </c>
      <c r="AK1288" s="88">
        <f>SUMIF(月間集計シート!$M$92:$M$111,$G1288,月間集計シート!T$92:T$111)*AK$2</f>
        <v>0</v>
      </c>
      <c r="AL1288" s="88">
        <f>SUMIF(月間集計シート!$M$113:$M$132,$G1288,月間集計シート!N$113:N$132)*AL$2</f>
        <v>0</v>
      </c>
      <c r="AM1288" s="88">
        <f>SUMIF(月間集計シート!$M$113:$M$132,$G1288,月間集計シート!O$113:O$132)*AM$2</f>
        <v>0</v>
      </c>
      <c r="AN1288" s="88">
        <f>SUMIF(月間集計シート!$M$113:$M$132,$G1288,月間集計シート!P$113:P$132)*AN$2</f>
        <v>0</v>
      </c>
      <c r="AO1288" s="88">
        <f>SUMIF(月間集計シート!$M$113:$M$132,$G1288,月間集計シート!Q$113:Q$132)*AO$2</f>
        <v>0</v>
      </c>
      <c r="AP1288" s="88">
        <f>SUMIF(月間集計シート!$M$113:$M$132,$G1288,月間集計シート!R$113:R$132)*AP$2</f>
        <v>0</v>
      </c>
      <c r="AQ1288" s="88">
        <f>SUMIF(月間集計シート!$M$113:$M$132,$G1288,月間集計シート!S$113:S$132)*AQ$2</f>
        <v>0</v>
      </c>
      <c r="AR1288" s="88">
        <f>SUMIF(月間集計シート!$M$113:$M$132,$G1288,月間集計シート!T$113:T$132)*AR$2</f>
        <v>0</v>
      </c>
      <c r="AS1288" s="88">
        <f>SUMIF(月間集計シート!$M$134:$M$153,$G1288,月間集計シート!N$134:N$153)*AS$2</f>
        <v>0</v>
      </c>
      <c r="AT1288" s="88">
        <f>SUMIF(月間集計シート!$M$134:$M$153,$G1288,月間集計シート!O$134:O$153)*AT$2</f>
        <v>0</v>
      </c>
      <c r="AU1288" s="88">
        <f>SUMIF(月間集計シート!$M$134:$M$153,$G1288,月間集計シート!P$134:P$153)*AU$2</f>
        <v>0</v>
      </c>
      <c r="AV1288" s="88">
        <f>SUMIF(月間集計シート!$M$134:$M$153,$G1288,月間集計シート!Q$134:Q$153)*AV$2</f>
        <v>0</v>
      </c>
      <c r="AW1288" s="88">
        <f>SUMIF(月間集計シート!$M$134:$M$153,$G1288,月間集計シート!R$134:R$153)*AW$2</f>
        <v>0</v>
      </c>
      <c r="AX1288" s="88">
        <f>SUMIF(月間集計シート!$M$134:$M$153,$G1288,月間集計シート!S$134:S$153)*AX$2</f>
        <v>0</v>
      </c>
      <c r="AY1288" s="88">
        <f>SUMIF(月間集計シート!$M$134:$M$153,$G1288,月間集計シート!T$134:T$153)*AY$2</f>
        <v>0</v>
      </c>
    </row>
    <row r="1289" spans="1:51" ht="14.25" thickBot="1">
      <c r="A1289">
        <v>16</v>
      </c>
      <c r="B1289" s="120">
        <f t="shared" si="729"/>
        <v>0</v>
      </c>
      <c r="C1289" s="120" t="str">
        <f t="shared" si="730"/>
        <v/>
      </c>
      <c r="D1289" s="137"/>
      <c r="E1289" s="150" t="str">
        <f>工種!A6</f>
        <v>10199</v>
      </c>
      <c r="F1289" s="119" t="str">
        <f>工種!B6</f>
        <v>SRS：その他</v>
      </c>
      <c r="G1289" s="116" t="str">
        <f t="shared" si="678"/>
        <v>010199</v>
      </c>
      <c r="H1289" s="88">
        <f t="shared" si="685"/>
        <v>0</v>
      </c>
      <c r="I1289" s="132"/>
      <c r="J1289" s="88">
        <f>SUMIF(月間集計シート!$M$29:$M$48,$G1289,月間集計シート!N$29:N$48)*J$2</f>
        <v>0</v>
      </c>
      <c r="K1289" s="88">
        <f>SUMIF(月間集計シート!$M$29:$M$48,$G1289,月間集計シート!O$29:O$48)*K$2</f>
        <v>0</v>
      </c>
      <c r="L1289" s="88">
        <f>SUMIF(月間集計シート!$M$29:$M$48,$G1289,月間集計シート!P$29:P$48)*L$2</f>
        <v>0</v>
      </c>
      <c r="M1289" s="88">
        <f>SUMIF(月間集計シート!$M$29:$M$48,$G1289,月間集計シート!Q$29:Q$48)*M$2</f>
        <v>0</v>
      </c>
      <c r="N1289" s="88">
        <f>SUMIF(月間集計シート!$M$29:$M$48,$G1289,月間集計シート!R$29:R$48)*N$2</f>
        <v>0</v>
      </c>
      <c r="O1289" s="88">
        <f>SUMIF(月間集計シート!$M$29:$M$48,$G1289,月間集計シート!S$29:S$48)*O$2</f>
        <v>0</v>
      </c>
      <c r="P1289" s="88">
        <f>SUMIF(月間集計シート!$M$29:$M$48,$G1289,月間集計シート!T$29:T$48)*P$2</f>
        <v>0</v>
      </c>
      <c r="Q1289" s="88">
        <f>SUMIF(月間集計シート!$M$50:$M$69,$G1289,月間集計シート!N$50:N$69)*Q$2</f>
        <v>0</v>
      </c>
      <c r="R1289" s="88">
        <f>SUMIF(月間集計シート!$M$50:$M$69,$G1289,月間集計シート!O$50:O$69)*R$2</f>
        <v>0</v>
      </c>
      <c r="S1289" s="88">
        <f>SUMIF(月間集計シート!$M$50:$M$69,$G1289,月間集計シート!P$50:P$69)*S$2</f>
        <v>0</v>
      </c>
      <c r="T1289" s="88">
        <f>SUMIF(月間集計シート!$M$50:$M$69,$G1289,月間集計シート!Q$50:Q$69)*T$2</f>
        <v>0</v>
      </c>
      <c r="U1289" s="88">
        <f>SUMIF(月間集計シート!$M$50:$M$69,$G1289,月間集計シート!R$50:R$69)*U$2</f>
        <v>0</v>
      </c>
      <c r="V1289" s="88">
        <f>SUMIF(月間集計シート!$M$50:$M$69,$G1289,月間集計シート!S$50:S$69)*V$2</f>
        <v>0</v>
      </c>
      <c r="W1289" s="88">
        <f>SUMIF(月間集計シート!$M$50:$M$69,$G1289,月間集計シート!T$50:T$69)*W$2</f>
        <v>0</v>
      </c>
      <c r="X1289" s="88">
        <f>SUMIF(月間集計シート!$M$71:$M$90,$G1289,月間集計シート!N$71:N$90)*X$2</f>
        <v>0</v>
      </c>
      <c r="Y1289" s="88">
        <f>SUMIF(月間集計シート!$M$71:$M$90,$G1289,月間集計シート!O$71:O$90)*Y$2</f>
        <v>0</v>
      </c>
      <c r="Z1289" s="88">
        <f>SUMIF(月間集計シート!$M$71:$M$90,$G1289,月間集計シート!P$71:P$90)*Z$2</f>
        <v>0</v>
      </c>
      <c r="AA1289" s="88">
        <f>SUMIF(月間集計シート!$M$71:$M$90,$G1289,月間集計シート!Q$71:Q$90)*AA$2</f>
        <v>0</v>
      </c>
      <c r="AB1289" s="88">
        <f>SUMIF(月間集計シート!$M$71:$M$90,$G1289,月間集計シート!R$71:R$90)*AB$2</f>
        <v>0</v>
      </c>
      <c r="AC1289" s="88">
        <f>SUMIF(月間集計シート!$M$71:$M$90,$G1289,月間集計シート!S$71:S$90)*AC$2</f>
        <v>0</v>
      </c>
      <c r="AD1289" s="88">
        <f>SUMIF(月間集計シート!$M$71:$M$90,$G1289,月間集計シート!T$71:T$90)*AD$2</f>
        <v>0</v>
      </c>
      <c r="AE1289" s="88">
        <f>SUMIF(月間集計シート!$M$92:$M$111,$G1289,月間集計シート!N$92:N$111)*AE$2</f>
        <v>0</v>
      </c>
      <c r="AF1289" s="88">
        <f>SUMIF(月間集計シート!$M$92:$M$111,$G1289,月間集計シート!O$92:O$111)*AF$2</f>
        <v>0</v>
      </c>
      <c r="AG1289" s="88">
        <f>SUMIF(月間集計シート!$M$92:$M$111,$G1289,月間集計シート!P$92:P$111)*AG$2</f>
        <v>0</v>
      </c>
      <c r="AH1289" s="88">
        <f>SUMIF(月間集計シート!$M$92:$M$111,$G1289,月間集計シート!Q$92:Q$111)*AH$2</f>
        <v>0</v>
      </c>
      <c r="AI1289" s="88">
        <f>SUMIF(月間集計シート!$M$92:$M$111,$G1289,月間集計シート!R$92:R$111)*AI$2</f>
        <v>0</v>
      </c>
      <c r="AJ1289" s="88">
        <f>SUMIF(月間集計シート!$M$92:$M$111,$G1289,月間集計シート!S$92:S$111)*AJ$2</f>
        <v>0</v>
      </c>
      <c r="AK1289" s="88">
        <f>SUMIF(月間集計シート!$M$92:$M$111,$G1289,月間集計シート!T$92:T$111)*AK$2</f>
        <v>0</v>
      </c>
      <c r="AL1289" s="88">
        <f>SUMIF(月間集計シート!$M$113:$M$132,$G1289,月間集計シート!N$113:N$132)*AL$2</f>
        <v>0</v>
      </c>
      <c r="AM1289" s="88">
        <f>SUMIF(月間集計シート!$M$113:$M$132,$G1289,月間集計シート!O$113:O$132)*AM$2</f>
        <v>0</v>
      </c>
      <c r="AN1289" s="88">
        <f>SUMIF(月間集計シート!$M$113:$M$132,$G1289,月間集計シート!P$113:P$132)*AN$2</f>
        <v>0</v>
      </c>
      <c r="AO1289" s="88">
        <f>SUMIF(月間集計シート!$M$113:$M$132,$G1289,月間集計シート!Q$113:Q$132)*AO$2</f>
        <v>0</v>
      </c>
      <c r="AP1289" s="88">
        <f>SUMIF(月間集計シート!$M$113:$M$132,$G1289,月間集計シート!R$113:R$132)*AP$2</f>
        <v>0</v>
      </c>
      <c r="AQ1289" s="88">
        <f>SUMIF(月間集計シート!$M$113:$M$132,$G1289,月間集計シート!S$113:S$132)*AQ$2</f>
        <v>0</v>
      </c>
      <c r="AR1289" s="88">
        <f>SUMIF(月間集計シート!$M$113:$M$132,$G1289,月間集計シート!T$113:T$132)*AR$2</f>
        <v>0</v>
      </c>
      <c r="AS1289" s="88">
        <f>SUMIF(月間集計シート!$M$134:$M$153,$G1289,月間集計シート!N$134:N$153)*AS$2</f>
        <v>0</v>
      </c>
      <c r="AT1289" s="88">
        <f>SUMIF(月間集計シート!$M$134:$M$153,$G1289,月間集計シート!O$134:O$153)*AT$2</f>
        <v>0</v>
      </c>
      <c r="AU1289" s="88">
        <f>SUMIF(月間集計シート!$M$134:$M$153,$G1289,月間集計シート!P$134:P$153)*AU$2</f>
        <v>0</v>
      </c>
      <c r="AV1289" s="88">
        <f>SUMIF(月間集計シート!$M$134:$M$153,$G1289,月間集計シート!Q$134:Q$153)*AV$2</f>
        <v>0</v>
      </c>
      <c r="AW1289" s="88">
        <f>SUMIF(月間集計シート!$M$134:$M$153,$G1289,月間集計シート!R$134:R$153)*AW$2</f>
        <v>0</v>
      </c>
      <c r="AX1289" s="88">
        <f>SUMIF(月間集計シート!$M$134:$M$153,$G1289,月間集計シート!S$134:S$153)*AX$2</f>
        <v>0</v>
      </c>
      <c r="AY1289" s="88">
        <f>SUMIF(月間集計シート!$M$134:$M$153,$G1289,月間集計シート!T$134:T$153)*AY$2</f>
        <v>0</v>
      </c>
    </row>
    <row r="1290" spans="1:51" ht="14.25" thickBot="1">
      <c r="A1290">
        <v>16</v>
      </c>
      <c r="B1290" s="120">
        <f t="shared" si="729"/>
        <v>0</v>
      </c>
      <c r="C1290" s="120" t="str">
        <f t="shared" si="730"/>
        <v/>
      </c>
      <c r="D1290" s="137"/>
      <c r="E1290" s="150" t="str">
        <f>工種!A7</f>
        <v>20101</v>
      </c>
      <c r="F1290" s="119" t="str">
        <f>工種!B7</f>
        <v>設計：外部設計書作成</v>
      </c>
      <c r="G1290" s="116" t="str">
        <f t="shared" si="678"/>
        <v>020101</v>
      </c>
      <c r="H1290" s="88">
        <f t="shared" si="685"/>
        <v>0</v>
      </c>
      <c r="I1290" s="132"/>
      <c r="J1290" s="88">
        <f>SUMIF(月間集計シート!$M$29:$M$48,$G1290,月間集計シート!N$29:N$48)*J$2</f>
        <v>0</v>
      </c>
      <c r="K1290" s="88">
        <f>SUMIF(月間集計シート!$M$29:$M$48,$G1290,月間集計シート!O$29:O$48)*K$2</f>
        <v>0</v>
      </c>
      <c r="L1290" s="88">
        <f>SUMIF(月間集計シート!$M$29:$M$48,$G1290,月間集計シート!P$29:P$48)*L$2</f>
        <v>0</v>
      </c>
      <c r="M1290" s="88">
        <f>SUMIF(月間集計シート!$M$29:$M$48,$G1290,月間集計シート!Q$29:Q$48)*M$2</f>
        <v>0</v>
      </c>
      <c r="N1290" s="88">
        <f>SUMIF(月間集計シート!$M$29:$M$48,$G1290,月間集計シート!R$29:R$48)*N$2</f>
        <v>0</v>
      </c>
      <c r="O1290" s="88">
        <f>SUMIF(月間集計シート!$M$29:$M$48,$G1290,月間集計シート!S$29:S$48)*O$2</f>
        <v>0</v>
      </c>
      <c r="P1290" s="88">
        <f>SUMIF(月間集計シート!$M$29:$M$48,$G1290,月間集計シート!T$29:T$48)*P$2</f>
        <v>0</v>
      </c>
      <c r="Q1290" s="88">
        <f>SUMIF(月間集計シート!$M$50:$M$69,$G1290,月間集計シート!N$50:N$69)*Q$2</f>
        <v>0</v>
      </c>
      <c r="R1290" s="88">
        <f>SUMIF(月間集計シート!$M$50:$M$69,$G1290,月間集計シート!O$50:O$69)*R$2</f>
        <v>0</v>
      </c>
      <c r="S1290" s="88">
        <f>SUMIF(月間集計シート!$M$50:$M$69,$G1290,月間集計シート!P$50:P$69)*S$2</f>
        <v>0</v>
      </c>
      <c r="T1290" s="88">
        <f>SUMIF(月間集計シート!$M$50:$M$69,$G1290,月間集計シート!Q$50:Q$69)*T$2</f>
        <v>0</v>
      </c>
      <c r="U1290" s="88">
        <f>SUMIF(月間集計シート!$M$50:$M$69,$G1290,月間集計シート!R$50:R$69)*U$2</f>
        <v>0</v>
      </c>
      <c r="V1290" s="88">
        <f>SUMIF(月間集計シート!$M$50:$M$69,$G1290,月間集計シート!S$50:S$69)*V$2</f>
        <v>0</v>
      </c>
      <c r="W1290" s="88">
        <f>SUMIF(月間集計シート!$M$50:$M$69,$G1290,月間集計シート!T$50:T$69)*W$2</f>
        <v>0</v>
      </c>
      <c r="X1290" s="88">
        <f>SUMIF(月間集計シート!$M$71:$M$90,$G1290,月間集計シート!N$71:N$90)*X$2</f>
        <v>0</v>
      </c>
      <c r="Y1290" s="88">
        <f>SUMIF(月間集計シート!$M$71:$M$90,$G1290,月間集計シート!O$71:O$90)*Y$2</f>
        <v>0</v>
      </c>
      <c r="Z1290" s="88">
        <f>SUMIF(月間集計シート!$M$71:$M$90,$G1290,月間集計シート!P$71:P$90)*Z$2</f>
        <v>0</v>
      </c>
      <c r="AA1290" s="88">
        <f>SUMIF(月間集計シート!$M$71:$M$90,$G1290,月間集計シート!Q$71:Q$90)*AA$2</f>
        <v>0</v>
      </c>
      <c r="AB1290" s="88">
        <f>SUMIF(月間集計シート!$M$71:$M$90,$G1290,月間集計シート!R$71:R$90)*AB$2</f>
        <v>0</v>
      </c>
      <c r="AC1290" s="88">
        <f>SUMIF(月間集計シート!$M$71:$M$90,$G1290,月間集計シート!S$71:S$90)*AC$2</f>
        <v>0</v>
      </c>
      <c r="AD1290" s="88">
        <f>SUMIF(月間集計シート!$M$71:$M$90,$G1290,月間集計シート!T$71:T$90)*AD$2</f>
        <v>0</v>
      </c>
      <c r="AE1290" s="88">
        <f>SUMIF(月間集計シート!$M$92:$M$111,$G1290,月間集計シート!N$92:N$111)*AE$2</f>
        <v>0</v>
      </c>
      <c r="AF1290" s="88">
        <f>SUMIF(月間集計シート!$M$92:$M$111,$G1290,月間集計シート!O$92:O$111)*AF$2</f>
        <v>0</v>
      </c>
      <c r="AG1290" s="88">
        <f>SUMIF(月間集計シート!$M$92:$M$111,$G1290,月間集計シート!P$92:P$111)*AG$2</f>
        <v>0</v>
      </c>
      <c r="AH1290" s="88">
        <f>SUMIF(月間集計シート!$M$92:$M$111,$G1290,月間集計シート!Q$92:Q$111)*AH$2</f>
        <v>0</v>
      </c>
      <c r="AI1290" s="88">
        <f>SUMIF(月間集計シート!$M$92:$M$111,$G1290,月間集計シート!R$92:R$111)*AI$2</f>
        <v>0</v>
      </c>
      <c r="AJ1290" s="88">
        <f>SUMIF(月間集計シート!$M$92:$M$111,$G1290,月間集計シート!S$92:S$111)*AJ$2</f>
        <v>0</v>
      </c>
      <c r="AK1290" s="88">
        <f>SUMIF(月間集計シート!$M$92:$M$111,$G1290,月間集計シート!T$92:T$111)*AK$2</f>
        <v>0</v>
      </c>
      <c r="AL1290" s="88">
        <f>SUMIF(月間集計シート!$M$113:$M$132,$G1290,月間集計シート!N$113:N$132)*AL$2</f>
        <v>0</v>
      </c>
      <c r="AM1290" s="88">
        <f>SUMIF(月間集計シート!$M$113:$M$132,$G1290,月間集計シート!O$113:O$132)*AM$2</f>
        <v>0</v>
      </c>
      <c r="AN1290" s="88">
        <f>SUMIF(月間集計シート!$M$113:$M$132,$G1290,月間集計シート!P$113:P$132)*AN$2</f>
        <v>0</v>
      </c>
      <c r="AO1290" s="88">
        <f>SUMIF(月間集計シート!$M$113:$M$132,$G1290,月間集計シート!Q$113:Q$132)*AO$2</f>
        <v>0</v>
      </c>
      <c r="AP1290" s="88">
        <f>SUMIF(月間集計シート!$M$113:$M$132,$G1290,月間集計シート!R$113:R$132)*AP$2</f>
        <v>0</v>
      </c>
      <c r="AQ1290" s="88">
        <f>SUMIF(月間集計シート!$M$113:$M$132,$G1290,月間集計シート!S$113:S$132)*AQ$2</f>
        <v>0</v>
      </c>
      <c r="AR1290" s="88">
        <f>SUMIF(月間集計シート!$M$113:$M$132,$G1290,月間集計シート!T$113:T$132)*AR$2</f>
        <v>0</v>
      </c>
      <c r="AS1290" s="88">
        <f>SUMIF(月間集計シート!$M$134:$M$153,$G1290,月間集計シート!N$134:N$153)*AS$2</f>
        <v>0</v>
      </c>
      <c r="AT1290" s="88">
        <f>SUMIF(月間集計シート!$M$134:$M$153,$G1290,月間集計シート!O$134:O$153)*AT$2</f>
        <v>0</v>
      </c>
      <c r="AU1290" s="88">
        <f>SUMIF(月間集計シート!$M$134:$M$153,$G1290,月間集計シート!P$134:P$153)*AU$2</f>
        <v>0</v>
      </c>
      <c r="AV1290" s="88">
        <f>SUMIF(月間集計シート!$M$134:$M$153,$G1290,月間集計シート!Q$134:Q$153)*AV$2</f>
        <v>0</v>
      </c>
      <c r="AW1290" s="88">
        <f>SUMIF(月間集計シート!$M$134:$M$153,$G1290,月間集計シート!R$134:R$153)*AW$2</f>
        <v>0</v>
      </c>
      <c r="AX1290" s="88">
        <f>SUMIF(月間集計シート!$M$134:$M$153,$G1290,月間集計シート!S$134:S$153)*AX$2</f>
        <v>0</v>
      </c>
      <c r="AY1290" s="88">
        <f>SUMIF(月間集計シート!$M$134:$M$153,$G1290,月間集計シート!T$134:T$153)*AY$2</f>
        <v>0</v>
      </c>
    </row>
    <row r="1291" spans="1:51" ht="14.25" thickBot="1">
      <c r="A1291">
        <v>16</v>
      </c>
      <c r="B1291" s="120">
        <f t="shared" si="729"/>
        <v>0</v>
      </c>
      <c r="C1291" s="120" t="str">
        <f t="shared" si="730"/>
        <v/>
      </c>
      <c r="D1291" s="137"/>
      <c r="E1291" s="150" t="str">
        <f>工種!A8</f>
        <v>20103</v>
      </c>
      <c r="F1291" s="119" t="str">
        <f>工種!B8</f>
        <v>設計：打合せ</v>
      </c>
      <c r="G1291" s="116" t="str">
        <f t="shared" si="678"/>
        <v>020103</v>
      </c>
      <c r="H1291" s="88">
        <f t="shared" si="685"/>
        <v>0</v>
      </c>
      <c r="I1291" s="132"/>
      <c r="J1291" s="88">
        <f>SUMIF(月間集計シート!$M$29:$M$48,$G1291,月間集計シート!N$29:N$48)*J$2</f>
        <v>0</v>
      </c>
      <c r="K1291" s="88">
        <f>SUMIF(月間集計シート!$M$29:$M$48,$G1291,月間集計シート!O$29:O$48)*K$2</f>
        <v>0</v>
      </c>
      <c r="L1291" s="88">
        <f>SUMIF(月間集計シート!$M$29:$M$48,$G1291,月間集計シート!P$29:P$48)*L$2</f>
        <v>0</v>
      </c>
      <c r="M1291" s="88">
        <f>SUMIF(月間集計シート!$M$29:$M$48,$G1291,月間集計シート!Q$29:Q$48)*M$2</f>
        <v>0</v>
      </c>
      <c r="N1291" s="88">
        <f>SUMIF(月間集計シート!$M$29:$M$48,$G1291,月間集計シート!R$29:R$48)*N$2</f>
        <v>0</v>
      </c>
      <c r="O1291" s="88">
        <f>SUMIF(月間集計シート!$M$29:$M$48,$G1291,月間集計シート!S$29:S$48)*O$2</f>
        <v>0</v>
      </c>
      <c r="P1291" s="88">
        <f>SUMIF(月間集計シート!$M$29:$M$48,$G1291,月間集計シート!T$29:T$48)*P$2</f>
        <v>0</v>
      </c>
      <c r="Q1291" s="88">
        <f>SUMIF(月間集計シート!$M$50:$M$69,$G1291,月間集計シート!N$50:N$69)*Q$2</f>
        <v>0</v>
      </c>
      <c r="R1291" s="88">
        <f>SUMIF(月間集計シート!$M$50:$M$69,$G1291,月間集計シート!O$50:O$69)*R$2</f>
        <v>0</v>
      </c>
      <c r="S1291" s="88">
        <f>SUMIF(月間集計シート!$M$50:$M$69,$G1291,月間集計シート!P$50:P$69)*S$2</f>
        <v>0</v>
      </c>
      <c r="T1291" s="88">
        <f>SUMIF(月間集計シート!$M$50:$M$69,$G1291,月間集計シート!Q$50:Q$69)*T$2</f>
        <v>0</v>
      </c>
      <c r="U1291" s="88">
        <f>SUMIF(月間集計シート!$M$50:$M$69,$G1291,月間集計シート!R$50:R$69)*U$2</f>
        <v>0</v>
      </c>
      <c r="V1291" s="88">
        <f>SUMIF(月間集計シート!$M$50:$M$69,$G1291,月間集計シート!S$50:S$69)*V$2</f>
        <v>0</v>
      </c>
      <c r="W1291" s="88">
        <f>SUMIF(月間集計シート!$M$50:$M$69,$G1291,月間集計シート!T$50:T$69)*W$2</f>
        <v>0</v>
      </c>
      <c r="X1291" s="88">
        <f>SUMIF(月間集計シート!$M$71:$M$90,$G1291,月間集計シート!N$71:N$90)*X$2</f>
        <v>0</v>
      </c>
      <c r="Y1291" s="88">
        <f>SUMIF(月間集計シート!$M$71:$M$90,$G1291,月間集計シート!O$71:O$90)*Y$2</f>
        <v>0</v>
      </c>
      <c r="Z1291" s="88">
        <f>SUMIF(月間集計シート!$M$71:$M$90,$G1291,月間集計シート!P$71:P$90)*Z$2</f>
        <v>0</v>
      </c>
      <c r="AA1291" s="88">
        <f>SUMIF(月間集計シート!$M$71:$M$90,$G1291,月間集計シート!Q$71:Q$90)*AA$2</f>
        <v>0</v>
      </c>
      <c r="AB1291" s="88">
        <f>SUMIF(月間集計シート!$M$71:$M$90,$G1291,月間集計シート!R$71:R$90)*AB$2</f>
        <v>0</v>
      </c>
      <c r="AC1291" s="88">
        <f>SUMIF(月間集計シート!$M$71:$M$90,$G1291,月間集計シート!S$71:S$90)*AC$2</f>
        <v>0</v>
      </c>
      <c r="AD1291" s="88">
        <f>SUMIF(月間集計シート!$M$71:$M$90,$G1291,月間集計シート!T$71:T$90)*AD$2</f>
        <v>0</v>
      </c>
      <c r="AE1291" s="88">
        <f>SUMIF(月間集計シート!$M$92:$M$111,$G1291,月間集計シート!N$92:N$111)*AE$2</f>
        <v>0</v>
      </c>
      <c r="AF1291" s="88">
        <f>SUMIF(月間集計シート!$M$92:$M$111,$G1291,月間集計シート!O$92:O$111)*AF$2</f>
        <v>0</v>
      </c>
      <c r="AG1291" s="88">
        <f>SUMIF(月間集計シート!$M$92:$M$111,$G1291,月間集計シート!P$92:P$111)*AG$2</f>
        <v>0</v>
      </c>
      <c r="AH1291" s="88">
        <f>SUMIF(月間集計シート!$M$92:$M$111,$G1291,月間集計シート!Q$92:Q$111)*AH$2</f>
        <v>0</v>
      </c>
      <c r="AI1291" s="88">
        <f>SUMIF(月間集計シート!$M$92:$M$111,$G1291,月間集計シート!R$92:R$111)*AI$2</f>
        <v>0</v>
      </c>
      <c r="AJ1291" s="88">
        <f>SUMIF(月間集計シート!$M$92:$M$111,$G1291,月間集計シート!S$92:S$111)*AJ$2</f>
        <v>0</v>
      </c>
      <c r="AK1291" s="88">
        <f>SUMIF(月間集計シート!$M$92:$M$111,$G1291,月間集計シート!T$92:T$111)*AK$2</f>
        <v>0</v>
      </c>
      <c r="AL1291" s="88">
        <f>SUMIF(月間集計シート!$M$113:$M$132,$G1291,月間集計シート!N$113:N$132)*AL$2</f>
        <v>0</v>
      </c>
      <c r="AM1291" s="88">
        <f>SUMIF(月間集計シート!$M$113:$M$132,$G1291,月間集計シート!O$113:O$132)*AM$2</f>
        <v>0</v>
      </c>
      <c r="AN1291" s="88">
        <f>SUMIF(月間集計シート!$M$113:$M$132,$G1291,月間集計シート!P$113:P$132)*AN$2</f>
        <v>0</v>
      </c>
      <c r="AO1291" s="88">
        <f>SUMIF(月間集計シート!$M$113:$M$132,$G1291,月間集計シート!Q$113:Q$132)*AO$2</f>
        <v>0</v>
      </c>
      <c r="AP1291" s="88">
        <f>SUMIF(月間集計シート!$M$113:$M$132,$G1291,月間集計シート!R$113:R$132)*AP$2</f>
        <v>0</v>
      </c>
      <c r="AQ1291" s="88">
        <f>SUMIF(月間集計シート!$M$113:$M$132,$G1291,月間集計シート!S$113:S$132)*AQ$2</f>
        <v>0</v>
      </c>
      <c r="AR1291" s="88">
        <f>SUMIF(月間集計シート!$M$113:$M$132,$G1291,月間集計シート!T$113:T$132)*AR$2</f>
        <v>0</v>
      </c>
      <c r="AS1291" s="88">
        <f>SUMIF(月間集計シート!$M$134:$M$153,$G1291,月間集計シート!N$134:N$153)*AS$2</f>
        <v>0</v>
      </c>
      <c r="AT1291" s="88">
        <f>SUMIF(月間集計シート!$M$134:$M$153,$G1291,月間集計シート!O$134:O$153)*AT$2</f>
        <v>0</v>
      </c>
      <c r="AU1291" s="88">
        <f>SUMIF(月間集計シート!$M$134:$M$153,$G1291,月間集計シート!P$134:P$153)*AU$2</f>
        <v>0</v>
      </c>
      <c r="AV1291" s="88">
        <f>SUMIF(月間集計シート!$M$134:$M$153,$G1291,月間集計シート!Q$134:Q$153)*AV$2</f>
        <v>0</v>
      </c>
      <c r="AW1291" s="88">
        <f>SUMIF(月間集計シート!$M$134:$M$153,$G1291,月間集計シート!R$134:R$153)*AW$2</f>
        <v>0</v>
      </c>
      <c r="AX1291" s="88">
        <f>SUMIF(月間集計シート!$M$134:$M$153,$G1291,月間集計シート!S$134:S$153)*AX$2</f>
        <v>0</v>
      </c>
      <c r="AY1291" s="88">
        <f>SUMIF(月間集計シート!$M$134:$M$153,$G1291,月間集計シート!T$134:T$153)*AY$2</f>
        <v>0</v>
      </c>
    </row>
    <row r="1292" spans="1:51" ht="14.25" thickBot="1">
      <c r="A1292">
        <v>16</v>
      </c>
      <c r="B1292" s="120">
        <f t="shared" si="729"/>
        <v>0</v>
      </c>
      <c r="C1292" s="120" t="str">
        <f t="shared" si="730"/>
        <v/>
      </c>
      <c r="D1292" s="137"/>
      <c r="E1292" s="150">
        <f>工種!A9</f>
        <v>20105</v>
      </c>
      <c r="F1292" s="119" t="str">
        <f>工種!B9</f>
        <v>設計：原因調査・影響範囲分析・変更仕様作成</v>
      </c>
      <c r="G1292" s="116" t="str">
        <f t="shared" si="678"/>
        <v>020105</v>
      </c>
      <c r="H1292" s="88">
        <f t="shared" si="685"/>
        <v>0</v>
      </c>
      <c r="I1292" s="132"/>
      <c r="J1292" s="88">
        <f>SUMIF(月間集計シート!$M$29:$M$48,$G1292,月間集計シート!N$29:N$48)*J$2</f>
        <v>0</v>
      </c>
      <c r="K1292" s="88">
        <f>SUMIF(月間集計シート!$M$29:$M$48,$G1292,月間集計シート!O$29:O$48)*K$2</f>
        <v>0</v>
      </c>
      <c r="L1292" s="88">
        <f>SUMIF(月間集計シート!$M$29:$M$48,$G1292,月間集計シート!P$29:P$48)*L$2</f>
        <v>0</v>
      </c>
      <c r="M1292" s="88">
        <f>SUMIF(月間集計シート!$M$29:$M$48,$G1292,月間集計シート!Q$29:Q$48)*M$2</f>
        <v>0</v>
      </c>
      <c r="N1292" s="88">
        <f>SUMIF(月間集計シート!$M$29:$M$48,$G1292,月間集計シート!R$29:R$48)*N$2</f>
        <v>0</v>
      </c>
      <c r="O1292" s="88">
        <f>SUMIF(月間集計シート!$M$29:$M$48,$G1292,月間集計シート!S$29:S$48)*O$2</f>
        <v>0</v>
      </c>
      <c r="P1292" s="88">
        <f>SUMIF(月間集計シート!$M$29:$M$48,$G1292,月間集計シート!T$29:T$48)*P$2</f>
        <v>0</v>
      </c>
      <c r="Q1292" s="88">
        <f>SUMIF(月間集計シート!$M$50:$M$69,$G1292,月間集計シート!N$50:N$69)*Q$2</f>
        <v>0</v>
      </c>
      <c r="R1292" s="88">
        <f>SUMIF(月間集計シート!$M$50:$M$69,$G1292,月間集計シート!O$50:O$69)*R$2</f>
        <v>0</v>
      </c>
      <c r="S1292" s="88">
        <f>SUMIF(月間集計シート!$M$50:$M$69,$G1292,月間集計シート!P$50:P$69)*S$2</f>
        <v>0</v>
      </c>
      <c r="T1292" s="88">
        <f>SUMIF(月間集計シート!$M$50:$M$69,$G1292,月間集計シート!Q$50:Q$69)*T$2</f>
        <v>0</v>
      </c>
      <c r="U1292" s="88">
        <f>SUMIF(月間集計シート!$M$50:$M$69,$G1292,月間集計シート!R$50:R$69)*U$2</f>
        <v>0</v>
      </c>
      <c r="V1292" s="88">
        <f>SUMIF(月間集計シート!$M$50:$M$69,$G1292,月間集計シート!S$50:S$69)*V$2</f>
        <v>0</v>
      </c>
      <c r="W1292" s="88">
        <f>SUMIF(月間集計シート!$M$50:$M$69,$G1292,月間集計シート!T$50:T$69)*W$2</f>
        <v>0</v>
      </c>
      <c r="X1292" s="88">
        <f>SUMIF(月間集計シート!$M$71:$M$90,$G1292,月間集計シート!N$71:N$90)*X$2</f>
        <v>0</v>
      </c>
      <c r="Y1292" s="88">
        <f>SUMIF(月間集計シート!$M$71:$M$90,$G1292,月間集計シート!O$71:O$90)*Y$2</f>
        <v>0</v>
      </c>
      <c r="Z1292" s="88">
        <f>SUMIF(月間集計シート!$M$71:$M$90,$G1292,月間集計シート!P$71:P$90)*Z$2</f>
        <v>0</v>
      </c>
      <c r="AA1292" s="88">
        <f>SUMIF(月間集計シート!$M$71:$M$90,$G1292,月間集計シート!Q$71:Q$90)*AA$2</f>
        <v>0</v>
      </c>
      <c r="AB1292" s="88">
        <f>SUMIF(月間集計シート!$M$71:$M$90,$G1292,月間集計シート!R$71:R$90)*AB$2</f>
        <v>0</v>
      </c>
      <c r="AC1292" s="88">
        <f>SUMIF(月間集計シート!$M$71:$M$90,$G1292,月間集計シート!S$71:S$90)*AC$2</f>
        <v>0</v>
      </c>
      <c r="AD1292" s="88">
        <f>SUMIF(月間集計シート!$M$71:$M$90,$G1292,月間集計シート!T$71:T$90)*AD$2</f>
        <v>0</v>
      </c>
      <c r="AE1292" s="88">
        <f>SUMIF(月間集計シート!$M$92:$M$111,$G1292,月間集計シート!N$92:N$111)*AE$2</f>
        <v>0</v>
      </c>
      <c r="AF1292" s="88">
        <f>SUMIF(月間集計シート!$M$92:$M$111,$G1292,月間集計シート!O$92:O$111)*AF$2</f>
        <v>0</v>
      </c>
      <c r="AG1292" s="88">
        <f>SUMIF(月間集計シート!$M$92:$M$111,$G1292,月間集計シート!P$92:P$111)*AG$2</f>
        <v>0</v>
      </c>
      <c r="AH1292" s="88">
        <f>SUMIF(月間集計シート!$M$92:$M$111,$G1292,月間集計シート!Q$92:Q$111)*AH$2</f>
        <v>0</v>
      </c>
      <c r="AI1292" s="88">
        <f>SUMIF(月間集計シート!$M$92:$M$111,$G1292,月間集計シート!R$92:R$111)*AI$2</f>
        <v>0</v>
      </c>
      <c r="AJ1292" s="88">
        <f>SUMIF(月間集計シート!$M$92:$M$111,$G1292,月間集計シート!S$92:S$111)*AJ$2</f>
        <v>0</v>
      </c>
      <c r="AK1292" s="88">
        <f>SUMIF(月間集計シート!$M$92:$M$111,$G1292,月間集計シート!T$92:T$111)*AK$2</f>
        <v>0</v>
      </c>
      <c r="AL1292" s="88">
        <f>SUMIF(月間集計シート!$M$113:$M$132,$G1292,月間集計シート!N$113:N$132)*AL$2</f>
        <v>0</v>
      </c>
      <c r="AM1292" s="88">
        <f>SUMIF(月間集計シート!$M$113:$M$132,$G1292,月間集計シート!O$113:O$132)*AM$2</f>
        <v>0</v>
      </c>
      <c r="AN1292" s="88">
        <f>SUMIF(月間集計シート!$M$113:$M$132,$G1292,月間集計シート!P$113:P$132)*AN$2</f>
        <v>0</v>
      </c>
      <c r="AO1292" s="88">
        <f>SUMIF(月間集計シート!$M$113:$M$132,$G1292,月間集計シート!Q$113:Q$132)*AO$2</f>
        <v>0</v>
      </c>
      <c r="AP1292" s="88">
        <f>SUMIF(月間集計シート!$M$113:$M$132,$G1292,月間集計シート!R$113:R$132)*AP$2</f>
        <v>0</v>
      </c>
      <c r="AQ1292" s="88">
        <f>SUMIF(月間集計シート!$M$113:$M$132,$G1292,月間集計シート!S$113:S$132)*AQ$2</f>
        <v>0</v>
      </c>
      <c r="AR1292" s="88">
        <f>SUMIF(月間集計シート!$M$113:$M$132,$G1292,月間集計シート!T$113:T$132)*AR$2</f>
        <v>0</v>
      </c>
      <c r="AS1292" s="88">
        <f>SUMIF(月間集計シート!$M$134:$M$153,$G1292,月間集計シート!N$134:N$153)*AS$2</f>
        <v>0</v>
      </c>
      <c r="AT1292" s="88">
        <f>SUMIF(月間集計シート!$M$134:$M$153,$G1292,月間集計シート!O$134:O$153)*AT$2</f>
        <v>0</v>
      </c>
      <c r="AU1292" s="88">
        <f>SUMIF(月間集計シート!$M$134:$M$153,$G1292,月間集計シート!P$134:P$153)*AU$2</f>
        <v>0</v>
      </c>
      <c r="AV1292" s="88">
        <f>SUMIF(月間集計シート!$M$134:$M$153,$G1292,月間集計シート!Q$134:Q$153)*AV$2</f>
        <v>0</v>
      </c>
      <c r="AW1292" s="88">
        <f>SUMIF(月間集計シート!$M$134:$M$153,$G1292,月間集計シート!R$134:R$153)*AW$2</f>
        <v>0</v>
      </c>
      <c r="AX1292" s="88">
        <f>SUMIF(月間集計シート!$M$134:$M$153,$G1292,月間集計シート!S$134:S$153)*AX$2</f>
        <v>0</v>
      </c>
      <c r="AY1292" s="88">
        <f>SUMIF(月間集計シート!$M$134:$M$153,$G1292,月間集計シート!T$134:T$153)*AY$2</f>
        <v>0</v>
      </c>
    </row>
    <row r="1293" spans="1:51" ht="14.25" thickBot="1">
      <c r="A1293">
        <v>16</v>
      </c>
      <c r="B1293" s="120">
        <f t="shared" si="729"/>
        <v>0</v>
      </c>
      <c r="C1293" s="120" t="str">
        <f t="shared" si="730"/>
        <v/>
      </c>
      <c r="D1293" s="137"/>
      <c r="E1293" s="150" t="str">
        <f>工種!A10</f>
        <v>20106</v>
      </c>
      <c r="F1293" s="119" t="str">
        <f>工種!B10</f>
        <v>設計：設計書修正（手戻り分）</v>
      </c>
      <c r="G1293" s="116" t="str">
        <f t="shared" si="678"/>
        <v>020106</v>
      </c>
      <c r="H1293" s="88">
        <f t="shared" si="685"/>
        <v>0</v>
      </c>
      <c r="I1293" s="132"/>
      <c r="J1293" s="88">
        <f>SUMIF(月間集計シート!$M$29:$M$48,$G1293,月間集計シート!N$29:N$48)*J$2</f>
        <v>0</v>
      </c>
      <c r="K1293" s="88">
        <f>SUMIF(月間集計シート!$M$29:$M$48,$G1293,月間集計シート!O$29:O$48)*K$2</f>
        <v>0</v>
      </c>
      <c r="L1293" s="88">
        <f>SUMIF(月間集計シート!$M$29:$M$48,$G1293,月間集計シート!P$29:P$48)*L$2</f>
        <v>0</v>
      </c>
      <c r="M1293" s="88">
        <f>SUMIF(月間集計シート!$M$29:$M$48,$G1293,月間集計シート!Q$29:Q$48)*M$2</f>
        <v>0</v>
      </c>
      <c r="N1293" s="88">
        <f>SUMIF(月間集計シート!$M$29:$M$48,$G1293,月間集計シート!R$29:R$48)*N$2</f>
        <v>0</v>
      </c>
      <c r="O1293" s="88">
        <f>SUMIF(月間集計シート!$M$29:$M$48,$G1293,月間集計シート!S$29:S$48)*O$2</f>
        <v>0</v>
      </c>
      <c r="P1293" s="88">
        <f>SUMIF(月間集計シート!$M$29:$M$48,$G1293,月間集計シート!T$29:T$48)*P$2</f>
        <v>0</v>
      </c>
      <c r="Q1293" s="88">
        <f>SUMIF(月間集計シート!$M$50:$M$69,$G1293,月間集計シート!N$50:N$69)*Q$2</f>
        <v>0</v>
      </c>
      <c r="R1293" s="88">
        <f>SUMIF(月間集計シート!$M$50:$M$69,$G1293,月間集計シート!O$50:O$69)*R$2</f>
        <v>0</v>
      </c>
      <c r="S1293" s="88">
        <f>SUMIF(月間集計シート!$M$50:$M$69,$G1293,月間集計シート!P$50:P$69)*S$2</f>
        <v>0</v>
      </c>
      <c r="T1293" s="88">
        <f>SUMIF(月間集計シート!$M$50:$M$69,$G1293,月間集計シート!Q$50:Q$69)*T$2</f>
        <v>0</v>
      </c>
      <c r="U1293" s="88">
        <f>SUMIF(月間集計シート!$M$50:$M$69,$G1293,月間集計シート!R$50:R$69)*U$2</f>
        <v>0</v>
      </c>
      <c r="V1293" s="88">
        <f>SUMIF(月間集計シート!$M$50:$M$69,$G1293,月間集計シート!S$50:S$69)*V$2</f>
        <v>0</v>
      </c>
      <c r="W1293" s="88">
        <f>SUMIF(月間集計シート!$M$50:$M$69,$G1293,月間集計シート!T$50:T$69)*W$2</f>
        <v>0</v>
      </c>
      <c r="X1293" s="88">
        <f>SUMIF(月間集計シート!$M$71:$M$90,$G1293,月間集計シート!N$71:N$90)*X$2</f>
        <v>0</v>
      </c>
      <c r="Y1293" s="88">
        <f>SUMIF(月間集計シート!$M$71:$M$90,$G1293,月間集計シート!O$71:O$90)*Y$2</f>
        <v>0</v>
      </c>
      <c r="Z1293" s="88">
        <f>SUMIF(月間集計シート!$M$71:$M$90,$G1293,月間集計シート!P$71:P$90)*Z$2</f>
        <v>0</v>
      </c>
      <c r="AA1293" s="88">
        <f>SUMIF(月間集計シート!$M$71:$M$90,$G1293,月間集計シート!Q$71:Q$90)*AA$2</f>
        <v>0</v>
      </c>
      <c r="AB1293" s="88">
        <f>SUMIF(月間集計シート!$M$71:$M$90,$G1293,月間集計シート!R$71:R$90)*AB$2</f>
        <v>0</v>
      </c>
      <c r="AC1293" s="88">
        <f>SUMIF(月間集計シート!$M$71:$M$90,$G1293,月間集計シート!S$71:S$90)*AC$2</f>
        <v>0</v>
      </c>
      <c r="AD1293" s="88">
        <f>SUMIF(月間集計シート!$M$71:$M$90,$G1293,月間集計シート!T$71:T$90)*AD$2</f>
        <v>0</v>
      </c>
      <c r="AE1293" s="88">
        <f>SUMIF(月間集計シート!$M$92:$M$111,$G1293,月間集計シート!N$92:N$111)*AE$2</f>
        <v>0</v>
      </c>
      <c r="AF1293" s="88">
        <f>SUMIF(月間集計シート!$M$92:$M$111,$G1293,月間集計シート!O$92:O$111)*AF$2</f>
        <v>0</v>
      </c>
      <c r="AG1293" s="88">
        <f>SUMIF(月間集計シート!$M$92:$M$111,$G1293,月間集計シート!P$92:P$111)*AG$2</f>
        <v>0</v>
      </c>
      <c r="AH1293" s="88">
        <f>SUMIF(月間集計シート!$M$92:$M$111,$G1293,月間集計シート!Q$92:Q$111)*AH$2</f>
        <v>0</v>
      </c>
      <c r="AI1293" s="88">
        <f>SUMIF(月間集計シート!$M$92:$M$111,$G1293,月間集計シート!R$92:R$111)*AI$2</f>
        <v>0</v>
      </c>
      <c r="AJ1293" s="88">
        <f>SUMIF(月間集計シート!$M$92:$M$111,$G1293,月間集計シート!S$92:S$111)*AJ$2</f>
        <v>0</v>
      </c>
      <c r="AK1293" s="88">
        <f>SUMIF(月間集計シート!$M$92:$M$111,$G1293,月間集計シート!T$92:T$111)*AK$2</f>
        <v>0</v>
      </c>
      <c r="AL1293" s="88">
        <f>SUMIF(月間集計シート!$M$113:$M$132,$G1293,月間集計シート!N$113:N$132)*AL$2</f>
        <v>0</v>
      </c>
      <c r="AM1293" s="88">
        <f>SUMIF(月間集計シート!$M$113:$M$132,$G1293,月間集計シート!O$113:O$132)*AM$2</f>
        <v>0</v>
      </c>
      <c r="AN1293" s="88">
        <f>SUMIF(月間集計シート!$M$113:$M$132,$G1293,月間集計シート!P$113:P$132)*AN$2</f>
        <v>0</v>
      </c>
      <c r="AO1293" s="88">
        <f>SUMIF(月間集計シート!$M$113:$M$132,$G1293,月間集計シート!Q$113:Q$132)*AO$2</f>
        <v>0</v>
      </c>
      <c r="AP1293" s="88">
        <f>SUMIF(月間集計シート!$M$113:$M$132,$G1293,月間集計シート!R$113:R$132)*AP$2</f>
        <v>0</v>
      </c>
      <c r="AQ1293" s="88">
        <f>SUMIF(月間集計シート!$M$113:$M$132,$G1293,月間集計シート!S$113:S$132)*AQ$2</f>
        <v>0</v>
      </c>
      <c r="AR1293" s="88">
        <f>SUMIF(月間集計シート!$M$113:$M$132,$G1293,月間集計シート!T$113:T$132)*AR$2</f>
        <v>0</v>
      </c>
      <c r="AS1293" s="88">
        <f>SUMIF(月間集計シート!$M$134:$M$153,$G1293,月間集計シート!N$134:N$153)*AS$2</f>
        <v>0</v>
      </c>
      <c r="AT1293" s="88">
        <f>SUMIF(月間集計シート!$M$134:$M$153,$G1293,月間集計シート!O$134:O$153)*AT$2</f>
        <v>0</v>
      </c>
      <c r="AU1293" s="88">
        <f>SUMIF(月間集計シート!$M$134:$M$153,$G1293,月間集計シート!P$134:P$153)*AU$2</f>
        <v>0</v>
      </c>
      <c r="AV1293" s="88">
        <f>SUMIF(月間集計シート!$M$134:$M$153,$G1293,月間集計シート!Q$134:Q$153)*AV$2</f>
        <v>0</v>
      </c>
      <c r="AW1293" s="88">
        <f>SUMIF(月間集計シート!$M$134:$M$153,$G1293,月間集計シート!R$134:R$153)*AW$2</f>
        <v>0</v>
      </c>
      <c r="AX1293" s="88">
        <f>SUMIF(月間集計シート!$M$134:$M$153,$G1293,月間集計シート!S$134:S$153)*AX$2</f>
        <v>0</v>
      </c>
      <c r="AY1293" s="88">
        <f>SUMIF(月間集計シート!$M$134:$M$153,$G1293,月間集計シート!T$134:T$153)*AY$2</f>
        <v>0</v>
      </c>
    </row>
    <row r="1294" spans="1:51" ht="14.25" thickBot="1">
      <c r="A1294">
        <v>16</v>
      </c>
      <c r="B1294" s="120">
        <f t="shared" si="729"/>
        <v>0</v>
      </c>
      <c r="C1294" s="120" t="str">
        <f t="shared" si="730"/>
        <v/>
      </c>
      <c r="D1294" s="137"/>
      <c r="E1294" s="150" t="str">
        <f>工種!A11</f>
        <v>20107</v>
      </c>
      <c r="F1294" s="119" t="str">
        <f>工種!B11</f>
        <v>設計：その他の設計書作成</v>
      </c>
      <c r="G1294" s="116" t="str">
        <f t="shared" si="678"/>
        <v>020107</v>
      </c>
      <c r="H1294" s="88">
        <f t="shared" si="685"/>
        <v>0</v>
      </c>
      <c r="I1294" s="132"/>
      <c r="J1294" s="88">
        <f>SUMIF(月間集計シート!$M$29:$M$48,$G1294,月間集計シート!N$29:N$48)*J$2</f>
        <v>0</v>
      </c>
      <c r="K1294" s="88">
        <f>SUMIF(月間集計シート!$M$29:$M$48,$G1294,月間集計シート!O$29:O$48)*K$2</f>
        <v>0</v>
      </c>
      <c r="L1294" s="88">
        <f>SUMIF(月間集計シート!$M$29:$M$48,$G1294,月間集計シート!P$29:P$48)*L$2</f>
        <v>0</v>
      </c>
      <c r="M1294" s="88">
        <f>SUMIF(月間集計シート!$M$29:$M$48,$G1294,月間集計シート!Q$29:Q$48)*M$2</f>
        <v>0</v>
      </c>
      <c r="N1294" s="88">
        <f>SUMIF(月間集計シート!$M$29:$M$48,$G1294,月間集計シート!R$29:R$48)*N$2</f>
        <v>0</v>
      </c>
      <c r="O1294" s="88">
        <f>SUMIF(月間集計シート!$M$29:$M$48,$G1294,月間集計シート!S$29:S$48)*O$2</f>
        <v>0</v>
      </c>
      <c r="P1294" s="88">
        <f>SUMIF(月間集計シート!$M$29:$M$48,$G1294,月間集計シート!T$29:T$48)*P$2</f>
        <v>0</v>
      </c>
      <c r="Q1294" s="88">
        <f>SUMIF(月間集計シート!$M$50:$M$69,$G1294,月間集計シート!N$50:N$69)*Q$2</f>
        <v>0</v>
      </c>
      <c r="R1294" s="88">
        <f>SUMIF(月間集計シート!$M$50:$M$69,$G1294,月間集計シート!O$50:O$69)*R$2</f>
        <v>0</v>
      </c>
      <c r="S1294" s="88">
        <f>SUMIF(月間集計シート!$M$50:$M$69,$G1294,月間集計シート!P$50:P$69)*S$2</f>
        <v>0</v>
      </c>
      <c r="T1294" s="88">
        <f>SUMIF(月間集計シート!$M$50:$M$69,$G1294,月間集計シート!Q$50:Q$69)*T$2</f>
        <v>0</v>
      </c>
      <c r="U1294" s="88">
        <f>SUMIF(月間集計シート!$M$50:$M$69,$G1294,月間集計シート!R$50:R$69)*U$2</f>
        <v>0</v>
      </c>
      <c r="V1294" s="88">
        <f>SUMIF(月間集計シート!$M$50:$M$69,$G1294,月間集計シート!S$50:S$69)*V$2</f>
        <v>0</v>
      </c>
      <c r="W1294" s="88">
        <f>SUMIF(月間集計シート!$M$50:$M$69,$G1294,月間集計シート!T$50:T$69)*W$2</f>
        <v>0</v>
      </c>
      <c r="X1294" s="88">
        <f>SUMIF(月間集計シート!$M$71:$M$90,$G1294,月間集計シート!N$71:N$90)*X$2</f>
        <v>0</v>
      </c>
      <c r="Y1294" s="88">
        <f>SUMIF(月間集計シート!$M$71:$M$90,$G1294,月間集計シート!O$71:O$90)*Y$2</f>
        <v>0</v>
      </c>
      <c r="Z1294" s="88">
        <f>SUMIF(月間集計シート!$M$71:$M$90,$G1294,月間集計シート!P$71:P$90)*Z$2</f>
        <v>0</v>
      </c>
      <c r="AA1294" s="88">
        <f>SUMIF(月間集計シート!$M$71:$M$90,$G1294,月間集計シート!Q$71:Q$90)*AA$2</f>
        <v>0</v>
      </c>
      <c r="AB1294" s="88">
        <f>SUMIF(月間集計シート!$M$71:$M$90,$G1294,月間集計シート!R$71:R$90)*AB$2</f>
        <v>0</v>
      </c>
      <c r="AC1294" s="88">
        <f>SUMIF(月間集計シート!$M$71:$M$90,$G1294,月間集計シート!S$71:S$90)*AC$2</f>
        <v>0</v>
      </c>
      <c r="AD1294" s="88">
        <f>SUMIF(月間集計シート!$M$71:$M$90,$G1294,月間集計シート!T$71:T$90)*AD$2</f>
        <v>0</v>
      </c>
      <c r="AE1294" s="88">
        <f>SUMIF(月間集計シート!$M$92:$M$111,$G1294,月間集計シート!N$92:N$111)*AE$2</f>
        <v>0</v>
      </c>
      <c r="AF1294" s="88">
        <f>SUMIF(月間集計シート!$M$92:$M$111,$G1294,月間集計シート!O$92:O$111)*AF$2</f>
        <v>0</v>
      </c>
      <c r="AG1294" s="88">
        <f>SUMIF(月間集計シート!$M$92:$M$111,$G1294,月間集計シート!P$92:P$111)*AG$2</f>
        <v>0</v>
      </c>
      <c r="AH1294" s="88">
        <f>SUMIF(月間集計シート!$M$92:$M$111,$G1294,月間集計シート!Q$92:Q$111)*AH$2</f>
        <v>0</v>
      </c>
      <c r="AI1294" s="88">
        <f>SUMIF(月間集計シート!$M$92:$M$111,$G1294,月間集計シート!R$92:R$111)*AI$2</f>
        <v>0</v>
      </c>
      <c r="AJ1294" s="88">
        <f>SUMIF(月間集計シート!$M$92:$M$111,$G1294,月間集計シート!S$92:S$111)*AJ$2</f>
        <v>0</v>
      </c>
      <c r="AK1294" s="88">
        <f>SUMIF(月間集計シート!$M$92:$M$111,$G1294,月間集計シート!T$92:T$111)*AK$2</f>
        <v>0</v>
      </c>
      <c r="AL1294" s="88">
        <f>SUMIF(月間集計シート!$M$113:$M$132,$G1294,月間集計シート!N$113:N$132)*AL$2</f>
        <v>0</v>
      </c>
      <c r="AM1294" s="88">
        <f>SUMIF(月間集計シート!$M$113:$M$132,$G1294,月間集計シート!O$113:O$132)*AM$2</f>
        <v>0</v>
      </c>
      <c r="AN1294" s="88">
        <f>SUMIF(月間集計シート!$M$113:$M$132,$G1294,月間集計シート!P$113:P$132)*AN$2</f>
        <v>0</v>
      </c>
      <c r="AO1294" s="88">
        <f>SUMIF(月間集計シート!$M$113:$M$132,$G1294,月間集計シート!Q$113:Q$132)*AO$2</f>
        <v>0</v>
      </c>
      <c r="AP1294" s="88">
        <f>SUMIF(月間集計シート!$M$113:$M$132,$G1294,月間集計シート!R$113:R$132)*AP$2</f>
        <v>0</v>
      </c>
      <c r="AQ1294" s="88">
        <f>SUMIF(月間集計シート!$M$113:$M$132,$G1294,月間集計シート!S$113:S$132)*AQ$2</f>
        <v>0</v>
      </c>
      <c r="AR1294" s="88">
        <f>SUMIF(月間集計シート!$M$113:$M$132,$G1294,月間集計シート!T$113:T$132)*AR$2</f>
        <v>0</v>
      </c>
      <c r="AS1294" s="88">
        <f>SUMIF(月間集計シート!$M$134:$M$153,$G1294,月間集計シート!N$134:N$153)*AS$2</f>
        <v>0</v>
      </c>
      <c r="AT1294" s="88">
        <f>SUMIF(月間集計シート!$M$134:$M$153,$G1294,月間集計シート!O$134:O$153)*AT$2</f>
        <v>0</v>
      </c>
      <c r="AU1294" s="88">
        <f>SUMIF(月間集計シート!$M$134:$M$153,$G1294,月間集計シート!P$134:P$153)*AU$2</f>
        <v>0</v>
      </c>
      <c r="AV1294" s="88">
        <f>SUMIF(月間集計シート!$M$134:$M$153,$G1294,月間集計シート!Q$134:Q$153)*AV$2</f>
        <v>0</v>
      </c>
      <c r="AW1294" s="88">
        <f>SUMIF(月間集計シート!$M$134:$M$153,$G1294,月間集計シート!R$134:R$153)*AW$2</f>
        <v>0</v>
      </c>
      <c r="AX1294" s="88">
        <f>SUMIF(月間集計シート!$M$134:$M$153,$G1294,月間集計シート!S$134:S$153)*AX$2</f>
        <v>0</v>
      </c>
      <c r="AY1294" s="88">
        <f>SUMIF(月間集計シート!$M$134:$M$153,$G1294,月間集計シート!T$134:T$153)*AY$2</f>
        <v>0</v>
      </c>
    </row>
    <row r="1295" spans="1:51" ht="14.25" thickBot="1">
      <c r="A1295">
        <v>16</v>
      </c>
      <c r="B1295" s="120">
        <f t="shared" si="729"/>
        <v>0</v>
      </c>
      <c r="C1295" s="120" t="str">
        <f t="shared" si="730"/>
        <v/>
      </c>
      <c r="D1295" s="137"/>
      <c r="E1295" s="150" t="str">
        <f>工種!A12</f>
        <v>20108</v>
      </c>
      <c r="F1295" s="119" t="str">
        <f>工種!B12</f>
        <v>設計：レビュー</v>
      </c>
      <c r="G1295" s="116" t="str">
        <f t="shared" si="678"/>
        <v>020108</v>
      </c>
      <c r="H1295" s="88">
        <f t="shared" si="685"/>
        <v>0</v>
      </c>
      <c r="I1295" s="132"/>
      <c r="J1295" s="88">
        <f>SUMIF(月間集計シート!$M$29:$M$48,$G1295,月間集計シート!N$29:N$48)*J$2</f>
        <v>0</v>
      </c>
      <c r="K1295" s="88">
        <f>SUMIF(月間集計シート!$M$29:$M$48,$G1295,月間集計シート!O$29:O$48)*K$2</f>
        <v>0</v>
      </c>
      <c r="L1295" s="88">
        <f>SUMIF(月間集計シート!$M$29:$M$48,$G1295,月間集計シート!P$29:P$48)*L$2</f>
        <v>0</v>
      </c>
      <c r="M1295" s="88">
        <f>SUMIF(月間集計シート!$M$29:$M$48,$G1295,月間集計シート!Q$29:Q$48)*M$2</f>
        <v>0</v>
      </c>
      <c r="N1295" s="88">
        <f>SUMIF(月間集計シート!$M$29:$M$48,$G1295,月間集計シート!R$29:R$48)*N$2</f>
        <v>0</v>
      </c>
      <c r="O1295" s="88">
        <f>SUMIF(月間集計シート!$M$29:$M$48,$G1295,月間集計シート!S$29:S$48)*O$2</f>
        <v>0</v>
      </c>
      <c r="P1295" s="88">
        <f>SUMIF(月間集計シート!$M$29:$M$48,$G1295,月間集計シート!T$29:T$48)*P$2</f>
        <v>0</v>
      </c>
      <c r="Q1295" s="88">
        <f>SUMIF(月間集計シート!$M$50:$M$69,$G1295,月間集計シート!N$50:N$69)*Q$2</f>
        <v>0</v>
      </c>
      <c r="R1295" s="88">
        <f>SUMIF(月間集計シート!$M$50:$M$69,$G1295,月間集計シート!O$50:O$69)*R$2</f>
        <v>0</v>
      </c>
      <c r="S1295" s="88">
        <f>SUMIF(月間集計シート!$M$50:$M$69,$G1295,月間集計シート!P$50:P$69)*S$2</f>
        <v>0</v>
      </c>
      <c r="T1295" s="88">
        <f>SUMIF(月間集計シート!$M$50:$M$69,$G1295,月間集計シート!Q$50:Q$69)*T$2</f>
        <v>0</v>
      </c>
      <c r="U1295" s="88">
        <f>SUMIF(月間集計シート!$M$50:$M$69,$G1295,月間集計シート!R$50:R$69)*U$2</f>
        <v>0</v>
      </c>
      <c r="V1295" s="88">
        <f>SUMIF(月間集計シート!$M$50:$M$69,$G1295,月間集計シート!S$50:S$69)*V$2</f>
        <v>0</v>
      </c>
      <c r="W1295" s="88">
        <f>SUMIF(月間集計シート!$M$50:$M$69,$G1295,月間集計シート!T$50:T$69)*W$2</f>
        <v>0</v>
      </c>
      <c r="X1295" s="88">
        <f>SUMIF(月間集計シート!$M$71:$M$90,$G1295,月間集計シート!N$71:N$90)*X$2</f>
        <v>0</v>
      </c>
      <c r="Y1295" s="88">
        <f>SUMIF(月間集計シート!$M$71:$M$90,$G1295,月間集計シート!O$71:O$90)*Y$2</f>
        <v>0</v>
      </c>
      <c r="Z1295" s="88">
        <f>SUMIF(月間集計シート!$M$71:$M$90,$G1295,月間集計シート!P$71:P$90)*Z$2</f>
        <v>0</v>
      </c>
      <c r="AA1295" s="88">
        <f>SUMIF(月間集計シート!$M$71:$M$90,$G1295,月間集計シート!Q$71:Q$90)*AA$2</f>
        <v>0</v>
      </c>
      <c r="AB1295" s="88">
        <f>SUMIF(月間集計シート!$M$71:$M$90,$G1295,月間集計シート!R$71:R$90)*AB$2</f>
        <v>0</v>
      </c>
      <c r="AC1295" s="88">
        <f>SUMIF(月間集計シート!$M$71:$M$90,$G1295,月間集計シート!S$71:S$90)*AC$2</f>
        <v>0</v>
      </c>
      <c r="AD1295" s="88">
        <f>SUMIF(月間集計シート!$M$71:$M$90,$G1295,月間集計シート!T$71:T$90)*AD$2</f>
        <v>0</v>
      </c>
      <c r="AE1295" s="88">
        <f>SUMIF(月間集計シート!$M$92:$M$111,$G1295,月間集計シート!N$92:N$111)*AE$2</f>
        <v>0</v>
      </c>
      <c r="AF1295" s="88">
        <f>SUMIF(月間集計シート!$M$92:$M$111,$G1295,月間集計シート!O$92:O$111)*AF$2</f>
        <v>0</v>
      </c>
      <c r="AG1295" s="88">
        <f>SUMIF(月間集計シート!$M$92:$M$111,$G1295,月間集計シート!P$92:P$111)*AG$2</f>
        <v>0</v>
      </c>
      <c r="AH1295" s="88">
        <f>SUMIF(月間集計シート!$M$92:$M$111,$G1295,月間集計シート!Q$92:Q$111)*AH$2</f>
        <v>0</v>
      </c>
      <c r="AI1295" s="88">
        <f>SUMIF(月間集計シート!$M$92:$M$111,$G1295,月間集計シート!R$92:R$111)*AI$2</f>
        <v>0</v>
      </c>
      <c r="AJ1295" s="88">
        <f>SUMIF(月間集計シート!$M$92:$M$111,$G1295,月間集計シート!S$92:S$111)*AJ$2</f>
        <v>0</v>
      </c>
      <c r="AK1295" s="88">
        <f>SUMIF(月間集計シート!$M$92:$M$111,$G1295,月間集計シート!T$92:T$111)*AK$2</f>
        <v>0</v>
      </c>
      <c r="AL1295" s="88">
        <f>SUMIF(月間集計シート!$M$113:$M$132,$G1295,月間集計シート!N$113:N$132)*AL$2</f>
        <v>0</v>
      </c>
      <c r="AM1295" s="88">
        <f>SUMIF(月間集計シート!$M$113:$M$132,$G1295,月間集計シート!O$113:O$132)*AM$2</f>
        <v>0</v>
      </c>
      <c r="AN1295" s="88">
        <f>SUMIF(月間集計シート!$M$113:$M$132,$G1295,月間集計シート!P$113:P$132)*AN$2</f>
        <v>0</v>
      </c>
      <c r="AO1295" s="88">
        <f>SUMIF(月間集計シート!$M$113:$M$132,$G1295,月間集計シート!Q$113:Q$132)*AO$2</f>
        <v>0</v>
      </c>
      <c r="AP1295" s="88">
        <f>SUMIF(月間集計シート!$M$113:$M$132,$G1295,月間集計シート!R$113:R$132)*AP$2</f>
        <v>0</v>
      </c>
      <c r="AQ1295" s="88">
        <f>SUMIF(月間集計シート!$M$113:$M$132,$G1295,月間集計シート!S$113:S$132)*AQ$2</f>
        <v>0</v>
      </c>
      <c r="AR1295" s="88">
        <f>SUMIF(月間集計シート!$M$113:$M$132,$G1295,月間集計シート!T$113:T$132)*AR$2</f>
        <v>0</v>
      </c>
      <c r="AS1295" s="88">
        <f>SUMIF(月間集計シート!$M$134:$M$153,$G1295,月間集計シート!N$134:N$153)*AS$2</f>
        <v>0</v>
      </c>
      <c r="AT1295" s="88">
        <f>SUMIF(月間集計シート!$M$134:$M$153,$G1295,月間集計シート!O$134:O$153)*AT$2</f>
        <v>0</v>
      </c>
      <c r="AU1295" s="88">
        <f>SUMIF(月間集計シート!$M$134:$M$153,$G1295,月間集計シート!P$134:P$153)*AU$2</f>
        <v>0</v>
      </c>
      <c r="AV1295" s="88">
        <f>SUMIF(月間集計シート!$M$134:$M$153,$G1295,月間集計シート!Q$134:Q$153)*AV$2</f>
        <v>0</v>
      </c>
      <c r="AW1295" s="88">
        <f>SUMIF(月間集計シート!$M$134:$M$153,$G1295,月間集計シート!R$134:R$153)*AW$2</f>
        <v>0</v>
      </c>
      <c r="AX1295" s="88">
        <f>SUMIF(月間集計シート!$M$134:$M$153,$G1295,月間集計シート!S$134:S$153)*AX$2</f>
        <v>0</v>
      </c>
      <c r="AY1295" s="88">
        <f>SUMIF(月間集計シート!$M$134:$M$153,$G1295,月間集計シート!T$134:T$153)*AY$2</f>
        <v>0</v>
      </c>
    </row>
    <row r="1296" spans="1:51" ht="14.25" thickBot="1">
      <c r="A1296">
        <v>16</v>
      </c>
      <c r="B1296" s="120">
        <f t="shared" si="729"/>
        <v>0</v>
      </c>
      <c r="C1296" s="120" t="str">
        <f t="shared" si="730"/>
        <v/>
      </c>
      <c r="D1296" s="137"/>
      <c r="E1296" s="150" t="str">
        <f>工種!A13</f>
        <v>20109</v>
      </c>
      <c r="F1296" s="119" t="str">
        <f>工種!B13</f>
        <v>設計：QA対応</v>
      </c>
      <c r="G1296" s="116" t="str">
        <f t="shared" si="678"/>
        <v>020109</v>
      </c>
      <c r="H1296" s="88">
        <f t="shared" si="685"/>
        <v>0</v>
      </c>
      <c r="I1296" s="132"/>
      <c r="J1296" s="88">
        <f>SUMIF(月間集計シート!$M$29:$M$48,$G1296,月間集計シート!N$29:N$48)*J$2</f>
        <v>0</v>
      </c>
      <c r="K1296" s="88">
        <f>SUMIF(月間集計シート!$M$29:$M$48,$G1296,月間集計シート!O$29:O$48)*K$2</f>
        <v>0</v>
      </c>
      <c r="L1296" s="88">
        <f>SUMIF(月間集計シート!$M$29:$M$48,$G1296,月間集計シート!P$29:P$48)*L$2</f>
        <v>0</v>
      </c>
      <c r="M1296" s="88">
        <f>SUMIF(月間集計シート!$M$29:$M$48,$G1296,月間集計シート!Q$29:Q$48)*M$2</f>
        <v>0</v>
      </c>
      <c r="N1296" s="88">
        <f>SUMIF(月間集計シート!$M$29:$M$48,$G1296,月間集計シート!R$29:R$48)*N$2</f>
        <v>0</v>
      </c>
      <c r="O1296" s="88">
        <f>SUMIF(月間集計シート!$M$29:$M$48,$G1296,月間集計シート!S$29:S$48)*O$2</f>
        <v>0</v>
      </c>
      <c r="P1296" s="88">
        <f>SUMIF(月間集計シート!$M$29:$M$48,$G1296,月間集計シート!T$29:T$48)*P$2</f>
        <v>0</v>
      </c>
      <c r="Q1296" s="88">
        <f>SUMIF(月間集計シート!$M$50:$M$69,$G1296,月間集計シート!N$50:N$69)*Q$2</f>
        <v>0</v>
      </c>
      <c r="R1296" s="88">
        <f>SUMIF(月間集計シート!$M$50:$M$69,$G1296,月間集計シート!O$50:O$69)*R$2</f>
        <v>0</v>
      </c>
      <c r="S1296" s="88">
        <f>SUMIF(月間集計シート!$M$50:$M$69,$G1296,月間集計シート!P$50:P$69)*S$2</f>
        <v>0</v>
      </c>
      <c r="T1296" s="88">
        <f>SUMIF(月間集計シート!$M$50:$M$69,$G1296,月間集計シート!Q$50:Q$69)*T$2</f>
        <v>0</v>
      </c>
      <c r="U1296" s="88">
        <f>SUMIF(月間集計シート!$M$50:$M$69,$G1296,月間集計シート!R$50:R$69)*U$2</f>
        <v>0</v>
      </c>
      <c r="V1296" s="88">
        <f>SUMIF(月間集計シート!$M$50:$M$69,$G1296,月間集計シート!S$50:S$69)*V$2</f>
        <v>0</v>
      </c>
      <c r="W1296" s="88">
        <f>SUMIF(月間集計シート!$M$50:$M$69,$G1296,月間集計シート!T$50:T$69)*W$2</f>
        <v>0</v>
      </c>
      <c r="X1296" s="88">
        <f>SUMIF(月間集計シート!$M$71:$M$90,$G1296,月間集計シート!N$71:N$90)*X$2</f>
        <v>0</v>
      </c>
      <c r="Y1296" s="88">
        <f>SUMIF(月間集計シート!$M$71:$M$90,$G1296,月間集計シート!O$71:O$90)*Y$2</f>
        <v>0</v>
      </c>
      <c r="Z1296" s="88">
        <f>SUMIF(月間集計シート!$M$71:$M$90,$G1296,月間集計シート!P$71:P$90)*Z$2</f>
        <v>0</v>
      </c>
      <c r="AA1296" s="88">
        <f>SUMIF(月間集計シート!$M$71:$M$90,$G1296,月間集計シート!Q$71:Q$90)*AA$2</f>
        <v>0</v>
      </c>
      <c r="AB1296" s="88">
        <f>SUMIF(月間集計シート!$M$71:$M$90,$G1296,月間集計シート!R$71:R$90)*AB$2</f>
        <v>0</v>
      </c>
      <c r="AC1296" s="88">
        <f>SUMIF(月間集計シート!$M$71:$M$90,$G1296,月間集計シート!S$71:S$90)*AC$2</f>
        <v>0</v>
      </c>
      <c r="AD1296" s="88">
        <f>SUMIF(月間集計シート!$M$71:$M$90,$G1296,月間集計シート!T$71:T$90)*AD$2</f>
        <v>0</v>
      </c>
      <c r="AE1296" s="88">
        <f>SUMIF(月間集計シート!$M$92:$M$111,$G1296,月間集計シート!N$92:N$111)*AE$2</f>
        <v>0</v>
      </c>
      <c r="AF1296" s="88">
        <f>SUMIF(月間集計シート!$M$92:$M$111,$G1296,月間集計シート!O$92:O$111)*AF$2</f>
        <v>0</v>
      </c>
      <c r="AG1296" s="88">
        <f>SUMIF(月間集計シート!$M$92:$M$111,$G1296,月間集計シート!P$92:P$111)*AG$2</f>
        <v>0</v>
      </c>
      <c r="AH1296" s="88">
        <f>SUMIF(月間集計シート!$M$92:$M$111,$G1296,月間集計シート!Q$92:Q$111)*AH$2</f>
        <v>0</v>
      </c>
      <c r="AI1296" s="88">
        <f>SUMIF(月間集計シート!$M$92:$M$111,$G1296,月間集計シート!R$92:R$111)*AI$2</f>
        <v>0</v>
      </c>
      <c r="AJ1296" s="88">
        <f>SUMIF(月間集計シート!$M$92:$M$111,$G1296,月間集計シート!S$92:S$111)*AJ$2</f>
        <v>0</v>
      </c>
      <c r="AK1296" s="88">
        <f>SUMIF(月間集計シート!$M$92:$M$111,$G1296,月間集計シート!T$92:T$111)*AK$2</f>
        <v>0</v>
      </c>
      <c r="AL1296" s="88">
        <f>SUMIF(月間集計シート!$M$113:$M$132,$G1296,月間集計シート!N$113:N$132)*AL$2</f>
        <v>0</v>
      </c>
      <c r="AM1296" s="88">
        <f>SUMIF(月間集計シート!$M$113:$M$132,$G1296,月間集計シート!O$113:O$132)*AM$2</f>
        <v>0</v>
      </c>
      <c r="AN1296" s="88">
        <f>SUMIF(月間集計シート!$M$113:$M$132,$G1296,月間集計シート!P$113:P$132)*AN$2</f>
        <v>0</v>
      </c>
      <c r="AO1296" s="88">
        <f>SUMIF(月間集計シート!$M$113:$M$132,$G1296,月間集計シート!Q$113:Q$132)*AO$2</f>
        <v>0</v>
      </c>
      <c r="AP1296" s="88">
        <f>SUMIF(月間集計シート!$M$113:$M$132,$G1296,月間集計シート!R$113:R$132)*AP$2</f>
        <v>0</v>
      </c>
      <c r="AQ1296" s="88">
        <f>SUMIF(月間集計シート!$M$113:$M$132,$G1296,月間集計シート!S$113:S$132)*AQ$2</f>
        <v>0</v>
      </c>
      <c r="AR1296" s="88">
        <f>SUMIF(月間集計シート!$M$113:$M$132,$G1296,月間集計シート!T$113:T$132)*AR$2</f>
        <v>0</v>
      </c>
      <c r="AS1296" s="88">
        <f>SUMIF(月間集計シート!$M$134:$M$153,$G1296,月間集計シート!N$134:N$153)*AS$2</f>
        <v>0</v>
      </c>
      <c r="AT1296" s="88">
        <f>SUMIF(月間集計シート!$M$134:$M$153,$G1296,月間集計シート!O$134:O$153)*AT$2</f>
        <v>0</v>
      </c>
      <c r="AU1296" s="88">
        <f>SUMIF(月間集計シート!$M$134:$M$153,$G1296,月間集計シート!P$134:P$153)*AU$2</f>
        <v>0</v>
      </c>
      <c r="AV1296" s="88">
        <f>SUMIF(月間集計シート!$M$134:$M$153,$G1296,月間集計シート!Q$134:Q$153)*AV$2</f>
        <v>0</v>
      </c>
      <c r="AW1296" s="88">
        <f>SUMIF(月間集計シート!$M$134:$M$153,$G1296,月間集計シート!R$134:R$153)*AW$2</f>
        <v>0</v>
      </c>
      <c r="AX1296" s="88">
        <f>SUMIF(月間集計シート!$M$134:$M$153,$G1296,月間集計シート!S$134:S$153)*AX$2</f>
        <v>0</v>
      </c>
      <c r="AY1296" s="88">
        <f>SUMIF(月間集計シート!$M$134:$M$153,$G1296,月間集計シート!T$134:T$153)*AY$2</f>
        <v>0</v>
      </c>
    </row>
    <row r="1297" spans="1:51" ht="14.25" thickBot="1">
      <c r="A1297">
        <v>16</v>
      </c>
      <c r="B1297" s="120">
        <f t="shared" si="729"/>
        <v>0</v>
      </c>
      <c r="C1297" s="120" t="str">
        <f t="shared" si="730"/>
        <v/>
      </c>
      <c r="D1297" s="137"/>
      <c r="E1297" s="150" t="str">
        <f>工種!A14</f>
        <v>20199</v>
      </c>
      <c r="F1297" s="119" t="str">
        <f>工種!B14</f>
        <v>設計：その他</v>
      </c>
      <c r="G1297" s="116" t="str">
        <f t="shared" si="678"/>
        <v>020199</v>
      </c>
      <c r="H1297" s="88">
        <f t="shared" si="685"/>
        <v>0</v>
      </c>
      <c r="I1297" s="132"/>
      <c r="J1297" s="88">
        <f>SUMIF(月間集計シート!$M$29:$M$48,$G1297,月間集計シート!N$29:N$48)*J$2</f>
        <v>0</v>
      </c>
      <c r="K1297" s="88">
        <f>SUMIF(月間集計シート!$M$29:$M$48,$G1297,月間集計シート!O$29:O$48)*K$2</f>
        <v>0</v>
      </c>
      <c r="L1297" s="88">
        <f>SUMIF(月間集計シート!$M$29:$M$48,$G1297,月間集計シート!P$29:P$48)*L$2</f>
        <v>0</v>
      </c>
      <c r="M1297" s="88">
        <f>SUMIF(月間集計シート!$M$29:$M$48,$G1297,月間集計シート!Q$29:Q$48)*M$2</f>
        <v>0</v>
      </c>
      <c r="N1297" s="88">
        <f>SUMIF(月間集計シート!$M$29:$M$48,$G1297,月間集計シート!R$29:R$48)*N$2</f>
        <v>0</v>
      </c>
      <c r="O1297" s="88">
        <f>SUMIF(月間集計シート!$M$29:$M$48,$G1297,月間集計シート!S$29:S$48)*O$2</f>
        <v>0</v>
      </c>
      <c r="P1297" s="88">
        <f>SUMIF(月間集計シート!$M$29:$M$48,$G1297,月間集計シート!T$29:T$48)*P$2</f>
        <v>0</v>
      </c>
      <c r="Q1297" s="88">
        <f>SUMIF(月間集計シート!$M$50:$M$69,$G1297,月間集計シート!N$50:N$69)*Q$2</f>
        <v>0</v>
      </c>
      <c r="R1297" s="88">
        <f>SUMIF(月間集計シート!$M$50:$M$69,$G1297,月間集計シート!O$50:O$69)*R$2</f>
        <v>0</v>
      </c>
      <c r="S1297" s="88">
        <f>SUMIF(月間集計シート!$M$50:$M$69,$G1297,月間集計シート!P$50:P$69)*S$2</f>
        <v>0</v>
      </c>
      <c r="T1297" s="88">
        <f>SUMIF(月間集計シート!$M$50:$M$69,$G1297,月間集計シート!Q$50:Q$69)*T$2</f>
        <v>0</v>
      </c>
      <c r="U1297" s="88">
        <f>SUMIF(月間集計シート!$M$50:$M$69,$G1297,月間集計シート!R$50:R$69)*U$2</f>
        <v>0</v>
      </c>
      <c r="V1297" s="88">
        <f>SUMIF(月間集計シート!$M$50:$M$69,$G1297,月間集計シート!S$50:S$69)*V$2</f>
        <v>0</v>
      </c>
      <c r="W1297" s="88">
        <f>SUMIF(月間集計シート!$M$50:$M$69,$G1297,月間集計シート!T$50:T$69)*W$2</f>
        <v>0</v>
      </c>
      <c r="X1297" s="88">
        <f>SUMIF(月間集計シート!$M$71:$M$90,$G1297,月間集計シート!N$71:N$90)*X$2</f>
        <v>0</v>
      </c>
      <c r="Y1297" s="88">
        <f>SUMIF(月間集計シート!$M$71:$M$90,$G1297,月間集計シート!O$71:O$90)*Y$2</f>
        <v>0</v>
      </c>
      <c r="Z1297" s="88">
        <f>SUMIF(月間集計シート!$M$71:$M$90,$G1297,月間集計シート!P$71:P$90)*Z$2</f>
        <v>0</v>
      </c>
      <c r="AA1297" s="88">
        <f>SUMIF(月間集計シート!$M$71:$M$90,$G1297,月間集計シート!Q$71:Q$90)*AA$2</f>
        <v>0</v>
      </c>
      <c r="AB1297" s="88">
        <f>SUMIF(月間集計シート!$M$71:$M$90,$G1297,月間集計シート!R$71:R$90)*AB$2</f>
        <v>0</v>
      </c>
      <c r="AC1297" s="88">
        <f>SUMIF(月間集計シート!$M$71:$M$90,$G1297,月間集計シート!S$71:S$90)*AC$2</f>
        <v>0</v>
      </c>
      <c r="AD1297" s="88">
        <f>SUMIF(月間集計シート!$M$71:$M$90,$G1297,月間集計シート!T$71:T$90)*AD$2</f>
        <v>0</v>
      </c>
      <c r="AE1297" s="88">
        <f>SUMIF(月間集計シート!$M$92:$M$111,$G1297,月間集計シート!N$92:N$111)*AE$2</f>
        <v>0</v>
      </c>
      <c r="AF1297" s="88">
        <f>SUMIF(月間集計シート!$M$92:$M$111,$G1297,月間集計シート!O$92:O$111)*AF$2</f>
        <v>0</v>
      </c>
      <c r="AG1297" s="88">
        <f>SUMIF(月間集計シート!$M$92:$M$111,$G1297,月間集計シート!P$92:P$111)*AG$2</f>
        <v>0</v>
      </c>
      <c r="AH1297" s="88">
        <f>SUMIF(月間集計シート!$M$92:$M$111,$G1297,月間集計シート!Q$92:Q$111)*AH$2</f>
        <v>0</v>
      </c>
      <c r="AI1297" s="88">
        <f>SUMIF(月間集計シート!$M$92:$M$111,$G1297,月間集計シート!R$92:R$111)*AI$2</f>
        <v>0</v>
      </c>
      <c r="AJ1297" s="88">
        <f>SUMIF(月間集計シート!$M$92:$M$111,$G1297,月間集計シート!S$92:S$111)*AJ$2</f>
        <v>0</v>
      </c>
      <c r="AK1297" s="88">
        <f>SUMIF(月間集計シート!$M$92:$M$111,$G1297,月間集計シート!T$92:T$111)*AK$2</f>
        <v>0</v>
      </c>
      <c r="AL1297" s="88">
        <f>SUMIF(月間集計シート!$M$113:$M$132,$G1297,月間集計シート!N$113:N$132)*AL$2</f>
        <v>0</v>
      </c>
      <c r="AM1297" s="88">
        <f>SUMIF(月間集計シート!$M$113:$M$132,$G1297,月間集計シート!O$113:O$132)*AM$2</f>
        <v>0</v>
      </c>
      <c r="AN1297" s="88">
        <f>SUMIF(月間集計シート!$M$113:$M$132,$G1297,月間集計シート!P$113:P$132)*AN$2</f>
        <v>0</v>
      </c>
      <c r="AO1297" s="88">
        <f>SUMIF(月間集計シート!$M$113:$M$132,$G1297,月間集計シート!Q$113:Q$132)*AO$2</f>
        <v>0</v>
      </c>
      <c r="AP1297" s="88">
        <f>SUMIF(月間集計シート!$M$113:$M$132,$G1297,月間集計シート!R$113:R$132)*AP$2</f>
        <v>0</v>
      </c>
      <c r="AQ1297" s="88">
        <f>SUMIF(月間集計シート!$M$113:$M$132,$G1297,月間集計シート!S$113:S$132)*AQ$2</f>
        <v>0</v>
      </c>
      <c r="AR1297" s="88">
        <f>SUMIF(月間集計シート!$M$113:$M$132,$G1297,月間集計シート!T$113:T$132)*AR$2</f>
        <v>0</v>
      </c>
      <c r="AS1297" s="88">
        <f>SUMIF(月間集計シート!$M$134:$M$153,$G1297,月間集計シート!N$134:N$153)*AS$2</f>
        <v>0</v>
      </c>
      <c r="AT1297" s="88">
        <f>SUMIF(月間集計シート!$M$134:$M$153,$G1297,月間集計シート!O$134:O$153)*AT$2</f>
        <v>0</v>
      </c>
      <c r="AU1297" s="88">
        <f>SUMIF(月間集計シート!$M$134:$M$153,$G1297,月間集計シート!P$134:P$153)*AU$2</f>
        <v>0</v>
      </c>
      <c r="AV1297" s="88">
        <f>SUMIF(月間集計シート!$M$134:$M$153,$G1297,月間集計シート!Q$134:Q$153)*AV$2</f>
        <v>0</v>
      </c>
      <c r="AW1297" s="88">
        <f>SUMIF(月間集計シート!$M$134:$M$153,$G1297,月間集計シート!R$134:R$153)*AW$2</f>
        <v>0</v>
      </c>
      <c r="AX1297" s="88">
        <f>SUMIF(月間集計シート!$M$134:$M$153,$G1297,月間集計シート!S$134:S$153)*AX$2</f>
        <v>0</v>
      </c>
      <c r="AY1297" s="88">
        <f>SUMIF(月間集計シート!$M$134:$M$153,$G1297,月間集計シート!T$134:T$153)*AY$2</f>
        <v>0</v>
      </c>
    </row>
    <row r="1298" spans="1:51" ht="14.25" thickBot="1">
      <c r="A1298">
        <v>16</v>
      </c>
      <c r="B1298" s="120">
        <f t="shared" si="729"/>
        <v>0</v>
      </c>
      <c r="C1298" s="120" t="str">
        <f t="shared" si="730"/>
        <v/>
      </c>
      <c r="D1298" s="137"/>
      <c r="E1298" s="150" t="str">
        <f>工種!A15</f>
        <v>30101</v>
      </c>
      <c r="F1298" s="119" t="str">
        <f>工種!B15</f>
        <v>製造：内部設計書作成</v>
      </c>
      <c r="G1298" s="116" t="str">
        <f t="shared" si="678"/>
        <v>030101</v>
      </c>
      <c r="H1298" s="88">
        <f t="shared" si="685"/>
        <v>0</v>
      </c>
      <c r="I1298" s="132"/>
      <c r="J1298" s="88">
        <f>SUMIF(月間集計シート!$M$29:$M$48,$G1298,月間集計シート!N$29:N$48)*J$2</f>
        <v>0</v>
      </c>
      <c r="K1298" s="88">
        <f>SUMIF(月間集計シート!$M$29:$M$48,$G1298,月間集計シート!O$29:O$48)*K$2</f>
        <v>0</v>
      </c>
      <c r="L1298" s="88">
        <f>SUMIF(月間集計シート!$M$29:$M$48,$G1298,月間集計シート!P$29:P$48)*L$2</f>
        <v>0</v>
      </c>
      <c r="M1298" s="88">
        <f>SUMIF(月間集計シート!$M$29:$M$48,$G1298,月間集計シート!Q$29:Q$48)*M$2</f>
        <v>0</v>
      </c>
      <c r="N1298" s="88">
        <f>SUMIF(月間集計シート!$M$29:$M$48,$G1298,月間集計シート!R$29:R$48)*N$2</f>
        <v>0</v>
      </c>
      <c r="O1298" s="88">
        <f>SUMIF(月間集計シート!$M$29:$M$48,$G1298,月間集計シート!S$29:S$48)*O$2</f>
        <v>0</v>
      </c>
      <c r="P1298" s="88">
        <f>SUMIF(月間集計シート!$M$29:$M$48,$G1298,月間集計シート!T$29:T$48)*P$2</f>
        <v>0</v>
      </c>
      <c r="Q1298" s="88">
        <f>SUMIF(月間集計シート!$M$50:$M$69,$G1298,月間集計シート!N$50:N$69)*Q$2</f>
        <v>0</v>
      </c>
      <c r="R1298" s="88">
        <f>SUMIF(月間集計シート!$M$50:$M$69,$G1298,月間集計シート!O$50:O$69)*R$2</f>
        <v>0</v>
      </c>
      <c r="S1298" s="88">
        <f>SUMIF(月間集計シート!$M$50:$M$69,$G1298,月間集計シート!P$50:P$69)*S$2</f>
        <v>0</v>
      </c>
      <c r="T1298" s="88">
        <f>SUMIF(月間集計シート!$M$50:$M$69,$G1298,月間集計シート!Q$50:Q$69)*T$2</f>
        <v>0</v>
      </c>
      <c r="U1298" s="88">
        <f>SUMIF(月間集計シート!$M$50:$M$69,$G1298,月間集計シート!R$50:R$69)*U$2</f>
        <v>0</v>
      </c>
      <c r="V1298" s="88">
        <f>SUMIF(月間集計シート!$M$50:$M$69,$G1298,月間集計シート!S$50:S$69)*V$2</f>
        <v>0</v>
      </c>
      <c r="W1298" s="88">
        <f>SUMIF(月間集計シート!$M$50:$M$69,$G1298,月間集計シート!T$50:T$69)*W$2</f>
        <v>0</v>
      </c>
      <c r="X1298" s="88">
        <f>SUMIF(月間集計シート!$M$71:$M$90,$G1298,月間集計シート!N$71:N$90)*X$2</f>
        <v>0</v>
      </c>
      <c r="Y1298" s="88">
        <f>SUMIF(月間集計シート!$M$71:$M$90,$G1298,月間集計シート!O$71:O$90)*Y$2</f>
        <v>0</v>
      </c>
      <c r="Z1298" s="88">
        <f>SUMIF(月間集計シート!$M$71:$M$90,$G1298,月間集計シート!P$71:P$90)*Z$2</f>
        <v>0</v>
      </c>
      <c r="AA1298" s="88">
        <f>SUMIF(月間集計シート!$M$71:$M$90,$G1298,月間集計シート!Q$71:Q$90)*AA$2</f>
        <v>0</v>
      </c>
      <c r="AB1298" s="88">
        <f>SUMIF(月間集計シート!$M$71:$M$90,$G1298,月間集計シート!R$71:R$90)*AB$2</f>
        <v>0</v>
      </c>
      <c r="AC1298" s="88">
        <f>SUMIF(月間集計シート!$M$71:$M$90,$G1298,月間集計シート!S$71:S$90)*AC$2</f>
        <v>0</v>
      </c>
      <c r="AD1298" s="88">
        <f>SUMIF(月間集計シート!$M$71:$M$90,$G1298,月間集計シート!T$71:T$90)*AD$2</f>
        <v>0</v>
      </c>
      <c r="AE1298" s="88">
        <f>SUMIF(月間集計シート!$M$92:$M$111,$G1298,月間集計シート!N$92:N$111)*AE$2</f>
        <v>0</v>
      </c>
      <c r="AF1298" s="88">
        <f>SUMIF(月間集計シート!$M$92:$M$111,$G1298,月間集計シート!O$92:O$111)*AF$2</f>
        <v>0</v>
      </c>
      <c r="AG1298" s="88">
        <f>SUMIF(月間集計シート!$M$92:$M$111,$G1298,月間集計シート!P$92:P$111)*AG$2</f>
        <v>0</v>
      </c>
      <c r="AH1298" s="88">
        <f>SUMIF(月間集計シート!$M$92:$M$111,$G1298,月間集計シート!Q$92:Q$111)*AH$2</f>
        <v>0</v>
      </c>
      <c r="AI1298" s="88">
        <f>SUMIF(月間集計シート!$M$92:$M$111,$G1298,月間集計シート!R$92:R$111)*AI$2</f>
        <v>0</v>
      </c>
      <c r="AJ1298" s="88">
        <f>SUMIF(月間集計シート!$M$92:$M$111,$G1298,月間集計シート!S$92:S$111)*AJ$2</f>
        <v>0</v>
      </c>
      <c r="AK1298" s="88">
        <f>SUMIF(月間集計シート!$M$92:$M$111,$G1298,月間集計シート!T$92:T$111)*AK$2</f>
        <v>0</v>
      </c>
      <c r="AL1298" s="88">
        <f>SUMIF(月間集計シート!$M$113:$M$132,$G1298,月間集計シート!N$113:N$132)*AL$2</f>
        <v>0</v>
      </c>
      <c r="AM1298" s="88">
        <f>SUMIF(月間集計シート!$M$113:$M$132,$G1298,月間集計シート!O$113:O$132)*AM$2</f>
        <v>0</v>
      </c>
      <c r="AN1298" s="88">
        <f>SUMIF(月間集計シート!$M$113:$M$132,$G1298,月間集計シート!P$113:P$132)*AN$2</f>
        <v>0</v>
      </c>
      <c r="AO1298" s="88">
        <f>SUMIF(月間集計シート!$M$113:$M$132,$G1298,月間集計シート!Q$113:Q$132)*AO$2</f>
        <v>0</v>
      </c>
      <c r="AP1298" s="88">
        <f>SUMIF(月間集計シート!$M$113:$M$132,$G1298,月間集計シート!R$113:R$132)*AP$2</f>
        <v>0</v>
      </c>
      <c r="AQ1298" s="88">
        <f>SUMIF(月間集計シート!$M$113:$M$132,$G1298,月間集計シート!S$113:S$132)*AQ$2</f>
        <v>0</v>
      </c>
      <c r="AR1298" s="88">
        <f>SUMIF(月間集計シート!$M$113:$M$132,$G1298,月間集計シート!T$113:T$132)*AR$2</f>
        <v>0</v>
      </c>
      <c r="AS1298" s="88">
        <f>SUMIF(月間集計シート!$M$134:$M$153,$G1298,月間集計シート!N$134:N$153)*AS$2</f>
        <v>0</v>
      </c>
      <c r="AT1298" s="88">
        <f>SUMIF(月間集計シート!$M$134:$M$153,$G1298,月間集計シート!O$134:O$153)*AT$2</f>
        <v>0</v>
      </c>
      <c r="AU1298" s="88">
        <f>SUMIF(月間集計シート!$M$134:$M$153,$G1298,月間集計シート!P$134:P$153)*AU$2</f>
        <v>0</v>
      </c>
      <c r="AV1298" s="88">
        <f>SUMIF(月間集計シート!$M$134:$M$153,$G1298,月間集計シート!Q$134:Q$153)*AV$2</f>
        <v>0</v>
      </c>
      <c r="AW1298" s="88">
        <f>SUMIF(月間集計シート!$M$134:$M$153,$G1298,月間集計シート!R$134:R$153)*AW$2</f>
        <v>0</v>
      </c>
      <c r="AX1298" s="88">
        <f>SUMIF(月間集計シート!$M$134:$M$153,$G1298,月間集計シート!S$134:S$153)*AX$2</f>
        <v>0</v>
      </c>
      <c r="AY1298" s="88">
        <f>SUMIF(月間集計シート!$M$134:$M$153,$G1298,月間集計シート!T$134:T$153)*AY$2</f>
        <v>0</v>
      </c>
    </row>
    <row r="1299" spans="1:51" ht="14.25" thickBot="1">
      <c r="A1299">
        <v>16</v>
      </c>
      <c r="B1299" s="120">
        <f t="shared" si="729"/>
        <v>0</v>
      </c>
      <c r="C1299" s="120" t="str">
        <f t="shared" si="730"/>
        <v/>
      </c>
      <c r="D1299" s="137"/>
      <c r="E1299" s="150" t="str">
        <f>工種!A16</f>
        <v>30102</v>
      </c>
      <c r="F1299" s="119" t="str">
        <f>工種!B16</f>
        <v>製造：コーディング</v>
      </c>
      <c r="G1299" s="116" t="str">
        <f t="shared" si="678"/>
        <v>030102</v>
      </c>
      <c r="H1299" s="88">
        <f t="shared" si="685"/>
        <v>0</v>
      </c>
      <c r="I1299" s="132"/>
      <c r="J1299" s="88">
        <f>SUMIF(月間集計シート!$M$29:$M$48,$G1299,月間集計シート!N$29:N$48)*J$2</f>
        <v>0</v>
      </c>
      <c r="K1299" s="88">
        <f>SUMIF(月間集計シート!$M$29:$M$48,$G1299,月間集計シート!O$29:O$48)*K$2</f>
        <v>0</v>
      </c>
      <c r="L1299" s="88">
        <f>SUMIF(月間集計シート!$M$29:$M$48,$G1299,月間集計シート!P$29:P$48)*L$2</f>
        <v>0</v>
      </c>
      <c r="M1299" s="88">
        <f>SUMIF(月間集計シート!$M$29:$M$48,$G1299,月間集計シート!Q$29:Q$48)*M$2</f>
        <v>0</v>
      </c>
      <c r="N1299" s="88">
        <f>SUMIF(月間集計シート!$M$29:$M$48,$G1299,月間集計シート!R$29:R$48)*N$2</f>
        <v>0</v>
      </c>
      <c r="O1299" s="88">
        <f>SUMIF(月間集計シート!$M$29:$M$48,$G1299,月間集計シート!S$29:S$48)*O$2</f>
        <v>0</v>
      </c>
      <c r="P1299" s="88">
        <f>SUMIF(月間集計シート!$M$29:$M$48,$G1299,月間集計シート!T$29:T$48)*P$2</f>
        <v>0</v>
      </c>
      <c r="Q1299" s="88">
        <f>SUMIF(月間集計シート!$M$50:$M$69,$G1299,月間集計シート!N$50:N$69)*Q$2</f>
        <v>0</v>
      </c>
      <c r="R1299" s="88">
        <f>SUMIF(月間集計シート!$M$50:$M$69,$G1299,月間集計シート!O$50:O$69)*R$2</f>
        <v>0</v>
      </c>
      <c r="S1299" s="88">
        <f>SUMIF(月間集計シート!$M$50:$M$69,$G1299,月間集計シート!P$50:P$69)*S$2</f>
        <v>0</v>
      </c>
      <c r="T1299" s="88">
        <f>SUMIF(月間集計シート!$M$50:$M$69,$G1299,月間集計シート!Q$50:Q$69)*T$2</f>
        <v>0</v>
      </c>
      <c r="U1299" s="88">
        <f>SUMIF(月間集計シート!$M$50:$M$69,$G1299,月間集計シート!R$50:R$69)*U$2</f>
        <v>0</v>
      </c>
      <c r="V1299" s="88">
        <f>SUMIF(月間集計シート!$M$50:$M$69,$G1299,月間集計シート!S$50:S$69)*V$2</f>
        <v>0</v>
      </c>
      <c r="W1299" s="88">
        <f>SUMIF(月間集計シート!$M$50:$M$69,$G1299,月間集計シート!T$50:T$69)*W$2</f>
        <v>0</v>
      </c>
      <c r="X1299" s="88">
        <f>SUMIF(月間集計シート!$M$71:$M$90,$G1299,月間集計シート!N$71:N$90)*X$2</f>
        <v>0</v>
      </c>
      <c r="Y1299" s="88">
        <f>SUMIF(月間集計シート!$M$71:$M$90,$G1299,月間集計シート!O$71:O$90)*Y$2</f>
        <v>0</v>
      </c>
      <c r="Z1299" s="88">
        <f>SUMIF(月間集計シート!$M$71:$M$90,$G1299,月間集計シート!P$71:P$90)*Z$2</f>
        <v>0</v>
      </c>
      <c r="AA1299" s="88">
        <f>SUMIF(月間集計シート!$M$71:$M$90,$G1299,月間集計シート!Q$71:Q$90)*AA$2</f>
        <v>0</v>
      </c>
      <c r="AB1299" s="88">
        <f>SUMIF(月間集計シート!$M$71:$M$90,$G1299,月間集計シート!R$71:R$90)*AB$2</f>
        <v>0</v>
      </c>
      <c r="AC1299" s="88">
        <f>SUMIF(月間集計シート!$M$71:$M$90,$G1299,月間集計シート!S$71:S$90)*AC$2</f>
        <v>0</v>
      </c>
      <c r="AD1299" s="88">
        <f>SUMIF(月間集計シート!$M$71:$M$90,$G1299,月間集計シート!T$71:T$90)*AD$2</f>
        <v>0</v>
      </c>
      <c r="AE1299" s="88">
        <f>SUMIF(月間集計シート!$M$92:$M$111,$G1299,月間集計シート!N$92:N$111)*AE$2</f>
        <v>0</v>
      </c>
      <c r="AF1299" s="88">
        <f>SUMIF(月間集計シート!$M$92:$M$111,$G1299,月間集計シート!O$92:O$111)*AF$2</f>
        <v>0</v>
      </c>
      <c r="AG1299" s="88">
        <f>SUMIF(月間集計シート!$M$92:$M$111,$G1299,月間集計シート!P$92:P$111)*AG$2</f>
        <v>0</v>
      </c>
      <c r="AH1299" s="88">
        <f>SUMIF(月間集計シート!$M$92:$M$111,$G1299,月間集計シート!Q$92:Q$111)*AH$2</f>
        <v>0</v>
      </c>
      <c r="AI1299" s="88">
        <f>SUMIF(月間集計シート!$M$92:$M$111,$G1299,月間集計シート!R$92:R$111)*AI$2</f>
        <v>0</v>
      </c>
      <c r="AJ1299" s="88">
        <f>SUMIF(月間集計シート!$M$92:$M$111,$G1299,月間集計シート!S$92:S$111)*AJ$2</f>
        <v>0</v>
      </c>
      <c r="AK1299" s="88">
        <f>SUMIF(月間集計シート!$M$92:$M$111,$G1299,月間集計シート!T$92:T$111)*AK$2</f>
        <v>0</v>
      </c>
      <c r="AL1299" s="88">
        <f>SUMIF(月間集計シート!$M$113:$M$132,$G1299,月間集計シート!N$113:N$132)*AL$2</f>
        <v>0</v>
      </c>
      <c r="AM1299" s="88">
        <f>SUMIF(月間集計シート!$M$113:$M$132,$G1299,月間集計シート!O$113:O$132)*AM$2</f>
        <v>0</v>
      </c>
      <c r="AN1299" s="88">
        <f>SUMIF(月間集計シート!$M$113:$M$132,$G1299,月間集計シート!P$113:P$132)*AN$2</f>
        <v>0</v>
      </c>
      <c r="AO1299" s="88">
        <f>SUMIF(月間集計シート!$M$113:$M$132,$G1299,月間集計シート!Q$113:Q$132)*AO$2</f>
        <v>0</v>
      </c>
      <c r="AP1299" s="88">
        <f>SUMIF(月間集計シート!$M$113:$M$132,$G1299,月間集計シート!R$113:R$132)*AP$2</f>
        <v>0</v>
      </c>
      <c r="AQ1299" s="88">
        <f>SUMIF(月間集計シート!$M$113:$M$132,$G1299,月間集計シート!S$113:S$132)*AQ$2</f>
        <v>0</v>
      </c>
      <c r="AR1299" s="88">
        <f>SUMIF(月間集計シート!$M$113:$M$132,$G1299,月間集計シート!T$113:T$132)*AR$2</f>
        <v>0</v>
      </c>
      <c r="AS1299" s="88">
        <f>SUMIF(月間集計シート!$M$134:$M$153,$G1299,月間集計シート!N$134:N$153)*AS$2</f>
        <v>0</v>
      </c>
      <c r="AT1299" s="88">
        <f>SUMIF(月間集計シート!$M$134:$M$153,$G1299,月間集計シート!O$134:O$153)*AT$2</f>
        <v>0</v>
      </c>
      <c r="AU1299" s="88">
        <f>SUMIF(月間集計シート!$M$134:$M$153,$G1299,月間集計シート!P$134:P$153)*AU$2</f>
        <v>0</v>
      </c>
      <c r="AV1299" s="88">
        <f>SUMIF(月間集計シート!$M$134:$M$153,$G1299,月間集計シート!Q$134:Q$153)*AV$2</f>
        <v>0</v>
      </c>
      <c r="AW1299" s="88">
        <f>SUMIF(月間集計シート!$M$134:$M$153,$G1299,月間集計シート!R$134:R$153)*AW$2</f>
        <v>0</v>
      </c>
      <c r="AX1299" s="88">
        <f>SUMIF(月間集計シート!$M$134:$M$153,$G1299,月間集計シート!S$134:S$153)*AX$2</f>
        <v>0</v>
      </c>
      <c r="AY1299" s="88">
        <f>SUMIF(月間集計シート!$M$134:$M$153,$G1299,月間集計シート!T$134:T$153)*AY$2</f>
        <v>0</v>
      </c>
    </row>
    <row r="1300" spans="1:51" ht="14.25" thickBot="1">
      <c r="A1300">
        <v>16</v>
      </c>
      <c r="B1300" s="120">
        <f t="shared" si="729"/>
        <v>0</v>
      </c>
      <c r="C1300" s="120" t="str">
        <f t="shared" si="730"/>
        <v/>
      </c>
      <c r="D1300" s="137"/>
      <c r="E1300" s="150" t="str">
        <f>工種!A17</f>
        <v>30103</v>
      </c>
      <c r="F1300" s="119" t="str">
        <f>工種!B17</f>
        <v>製造：単体テスト設計書作成</v>
      </c>
      <c r="G1300" s="116" t="str">
        <f t="shared" si="678"/>
        <v>030103</v>
      </c>
      <c r="H1300" s="88">
        <f t="shared" si="685"/>
        <v>0</v>
      </c>
      <c r="I1300" s="132"/>
      <c r="J1300" s="88">
        <f>SUMIF(月間集計シート!$M$29:$M$48,$G1300,月間集計シート!N$29:N$48)*J$2</f>
        <v>0</v>
      </c>
      <c r="K1300" s="88">
        <f>SUMIF(月間集計シート!$M$29:$M$48,$G1300,月間集計シート!O$29:O$48)*K$2</f>
        <v>0</v>
      </c>
      <c r="L1300" s="88">
        <f>SUMIF(月間集計シート!$M$29:$M$48,$G1300,月間集計シート!P$29:P$48)*L$2</f>
        <v>0</v>
      </c>
      <c r="M1300" s="88">
        <f>SUMIF(月間集計シート!$M$29:$M$48,$G1300,月間集計シート!Q$29:Q$48)*M$2</f>
        <v>0</v>
      </c>
      <c r="N1300" s="88">
        <f>SUMIF(月間集計シート!$M$29:$M$48,$G1300,月間集計シート!R$29:R$48)*N$2</f>
        <v>0</v>
      </c>
      <c r="O1300" s="88">
        <f>SUMIF(月間集計シート!$M$29:$M$48,$G1300,月間集計シート!S$29:S$48)*O$2</f>
        <v>0</v>
      </c>
      <c r="P1300" s="88">
        <f>SUMIF(月間集計シート!$M$29:$M$48,$G1300,月間集計シート!T$29:T$48)*P$2</f>
        <v>0</v>
      </c>
      <c r="Q1300" s="88">
        <f>SUMIF(月間集計シート!$M$50:$M$69,$G1300,月間集計シート!N$50:N$69)*Q$2</f>
        <v>0</v>
      </c>
      <c r="R1300" s="88">
        <f>SUMIF(月間集計シート!$M$50:$M$69,$G1300,月間集計シート!O$50:O$69)*R$2</f>
        <v>0</v>
      </c>
      <c r="S1300" s="88">
        <f>SUMIF(月間集計シート!$M$50:$M$69,$G1300,月間集計シート!P$50:P$69)*S$2</f>
        <v>0</v>
      </c>
      <c r="T1300" s="88">
        <f>SUMIF(月間集計シート!$M$50:$M$69,$G1300,月間集計シート!Q$50:Q$69)*T$2</f>
        <v>0</v>
      </c>
      <c r="U1300" s="88">
        <f>SUMIF(月間集計シート!$M$50:$M$69,$G1300,月間集計シート!R$50:R$69)*U$2</f>
        <v>0</v>
      </c>
      <c r="V1300" s="88">
        <f>SUMIF(月間集計シート!$M$50:$M$69,$G1300,月間集計シート!S$50:S$69)*V$2</f>
        <v>0</v>
      </c>
      <c r="W1300" s="88">
        <f>SUMIF(月間集計シート!$M$50:$M$69,$G1300,月間集計シート!T$50:T$69)*W$2</f>
        <v>0</v>
      </c>
      <c r="X1300" s="88">
        <f>SUMIF(月間集計シート!$M$71:$M$90,$G1300,月間集計シート!N$71:N$90)*X$2</f>
        <v>0</v>
      </c>
      <c r="Y1300" s="88">
        <f>SUMIF(月間集計シート!$M$71:$M$90,$G1300,月間集計シート!O$71:O$90)*Y$2</f>
        <v>0</v>
      </c>
      <c r="Z1300" s="88">
        <f>SUMIF(月間集計シート!$M$71:$M$90,$G1300,月間集計シート!P$71:P$90)*Z$2</f>
        <v>0</v>
      </c>
      <c r="AA1300" s="88">
        <f>SUMIF(月間集計シート!$M$71:$M$90,$G1300,月間集計シート!Q$71:Q$90)*AA$2</f>
        <v>0</v>
      </c>
      <c r="AB1300" s="88">
        <f>SUMIF(月間集計シート!$M$71:$M$90,$G1300,月間集計シート!R$71:R$90)*AB$2</f>
        <v>0</v>
      </c>
      <c r="AC1300" s="88">
        <f>SUMIF(月間集計シート!$M$71:$M$90,$G1300,月間集計シート!S$71:S$90)*AC$2</f>
        <v>0</v>
      </c>
      <c r="AD1300" s="88">
        <f>SUMIF(月間集計シート!$M$71:$M$90,$G1300,月間集計シート!T$71:T$90)*AD$2</f>
        <v>0</v>
      </c>
      <c r="AE1300" s="88">
        <f>SUMIF(月間集計シート!$M$92:$M$111,$G1300,月間集計シート!N$92:N$111)*AE$2</f>
        <v>0</v>
      </c>
      <c r="AF1300" s="88">
        <f>SUMIF(月間集計シート!$M$92:$M$111,$G1300,月間集計シート!O$92:O$111)*AF$2</f>
        <v>0</v>
      </c>
      <c r="AG1300" s="88">
        <f>SUMIF(月間集計シート!$M$92:$M$111,$G1300,月間集計シート!P$92:P$111)*AG$2</f>
        <v>0</v>
      </c>
      <c r="AH1300" s="88">
        <f>SUMIF(月間集計シート!$M$92:$M$111,$G1300,月間集計シート!Q$92:Q$111)*AH$2</f>
        <v>0</v>
      </c>
      <c r="AI1300" s="88">
        <f>SUMIF(月間集計シート!$M$92:$M$111,$G1300,月間集計シート!R$92:R$111)*AI$2</f>
        <v>0</v>
      </c>
      <c r="AJ1300" s="88">
        <f>SUMIF(月間集計シート!$M$92:$M$111,$G1300,月間集計シート!S$92:S$111)*AJ$2</f>
        <v>0</v>
      </c>
      <c r="AK1300" s="88">
        <f>SUMIF(月間集計シート!$M$92:$M$111,$G1300,月間集計シート!T$92:T$111)*AK$2</f>
        <v>0</v>
      </c>
      <c r="AL1300" s="88">
        <f>SUMIF(月間集計シート!$M$113:$M$132,$G1300,月間集計シート!N$113:N$132)*AL$2</f>
        <v>0</v>
      </c>
      <c r="AM1300" s="88">
        <f>SUMIF(月間集計シート!$M$113:$M$132,$G1300,月間集計シート!O$113:O$132)*AM$2</f>
        <v>0</v>
      </c>
      <c r="AN1300" s="88">
        <f>SUMIF(月間集計シート!$M$113:$M$132,$G1300,月間集計シート!P$113:P$132)*AN$2</f>
        <v>0</v>
      </c>
      <c r="AO1300" s="88">
        <f>SUMIF(月間集計シート!$M$113:$M$132,$G1300,月間集計シート!Q$113:Q$132)*AO$2</f>
        <v>0</v>
      </c>
      <c r="AP1300" s="88">
        <f>SUMIF(月間集計シート!$M$113:$M$132,$G1300,月間集計シート!R$113:R$132)*AP$2</f>
        <v>0</v>
      </c>
      <c r="AQ1300" s="88">
        <f>SUMIF(月間集計シート!$M$113:$M$132,$G1300,月間集計シート!S$113:S$132)*AQ$2</f>
        <v>0</v>
      </c>
      <c r="AR1300" s="88">
        <f>SUMIF(月間集計シート!$M$113:$M$132,$G1300,月間集計シート!T$113:T$132)*AR$2</f>
        <v>0</v>
      </c>
      <c r="AS1300" s="88">
        <f>SUMIF(月間集計シート!$M$134:$M$153,$G1300,月間集計シート!N$134:N$153)*AS$2</f>
        <v>0</v>
      </c>
      <c r="AT1300" s="88">
        <f>SUMIF(月間集計シート!$M$134:$M$153,$G1300,月間集計シート!O$134:O$153)*AT$2</f>
        <v>0</v>
      </c>
      <c r="AU1300" s="88">
        <f>SUMIF(月間集計シート!$M$134:$M$153,$G1300,月間集計シート!P$134:P$153)*AU$2</f>
        <v>0</v>
      </c>
      <c r="AV1300" s="88">
        <f>SUMIF(月間集計シート!$M$134:$M$153,$G1300,月間集計シート!Q$134:Q$153)*AV$2</f>
        <v>0</v>
      </c>
      <c r="AW1300" s="88">
        <f>SUMIF(月間集計シート!$M$134:$M$153,$G1300,月間集計シート!R$134:R$153)*AW$2</f>
        <v>0</v>
      </c>
      <c r="AX1300" s="88">
        <f>SUMIF(月間集計シート!$M$134:$M$153,$G1300,月間集計シート!S$134:S$153)*AX$2</f>
        <v>0</v>
      </c>
      <c r="AY1300" s="88">
        <f>SUMIF(月間集計シート!$M$134:$M$153,$G1300,月間集計シート!T$134:T$153)*AY$2</f>
        <v>0</v>
      </c>
    </row>
    <row r="1301" spans="1:51" ht="14.25" thickBot="1">
      <c r="A1301">
        <v>16</v>
      </c>
      <c r="B1301" s="120">
        <f t="shared" si="729"/>
        <v>0</v>
      </c>
      <c r="C1301" s="120" t="str">
        <f t="shared" si="730"/>
        <v/>
      </c>
      <c r="D1301" s="137"/>
      <c r="E1301" s="150" t="str">
        <f>工種!A18</f>
        <v>30104</v>
      </c>
      <c r="F1301" s="119" t="str">
        <f>工種!B18</f>
        <v>製造：単体テスト実施</v>
      </c>
      <c r="G1301" s="116" t="str">
        <f t="shared" ref="G1301:G1386" si="731">B1301&amp;E1301</f>
        <v>030104</v>
      </c>
      <c r="H1301" s="88">
        <f t="shared" si="685"/>
        <v>0</v>
      </c>
      <c r="I1301" s="132"/>
      <c r="J1301" s="88">
        <f>SUMIF(月間集計シート!$M$29:$M$48,$G1301,月間集計シート!N$29:N$48)*J$2</f>
        <v>0</v>
      </c>
      <c r="K1301" s="88">
        <f>SUMIF(月間集計シート!$M$29:$M$48,$G1301,月間集計シート!O$29:O$48)*K$2</f>
        <v>0</v>
      </c>
      <c r="L1301" s="88">
        <f>SUMIF(月間集計シート!$M$29:$M$48,$G1301,月間集計シート!P$29:P$48)*L$2</f>
        <v>0</v>
      </c>
      <c r="M1301" s="88">
        <f>SUMIF(月間集計シート!$M$29:$M$48,$G1301,月間集計シート!Q$29:Q$48)*M$2</f>
        <v>0</v>
      </c>
      <c r="N1301" s="88">
        <f>SUMIF(月間集計シート!$M$29:$M$48,$G1301,月間集計シート!R$29:R$48)*N$2</f>
        <v>0</v>
      </c>
      <c r="O1301" s="88">
        <f>SUMIF(月間集計シート!$M$29:$M$48,$G1301,月間集計シート!S$29:S$48)*O$2</f>
        <v>0</v>
      </c>
      <c r="P1301" s="88">
        <f>SUMIF(月間集計シート!$M$29:$M$48,$G1301,月間集計シート!T$29:T$48)*P$2</f>
        <v>0</v>
      </c>
      <c r="Q1301" s="88">
        <f>SUMIF(月間集計シート!$M$50:$M$69,$G1301,月間集計シート!N$50:N$69)*Q$2</f>
        <v>0</v>
      </c>
      <c r="R1301" s="88">
        <f>SUMIF(月間集計シート!$M$50:$M$69,$G1301,月間集計シート!O$50:O$69)*R$2</f>
        <v>0</v>
      </c>
      <c r="S1301" s="88">
        <f>SUMIF(月間集計シート!$M$50:$M$69,$G1301,月間集計シート!P$50:P$69)*S$2</f>
        <v>0</v>
      </c>
      <c r="T1301" s="88">
        <f>SUMIF(月間集計シート!$M$50:$M$69,$G1301,月間集計シート!Q$50:Q$69)*T$2</f>
        <v>0</v>
      </c>
      <c r="U1301" s="88">
        <f>SUMIF(月間集計シート!$M$50:$M$69,$G1301,月間集計シート!R$50:R$69)*U$2</f>
        <v>0</v>
      </c>
      <c r="V1301" s="88">
        <f>SUMIF(月間集計シート!$M$50:$M$69,$G1301,月間集計シート!S$50:S$69)*V$2</f>
        <v>0</v>
      </c>
      <c r="W1301" s="88">
        <f>SUMIF(月間集計シート!$M$50:$M$69,$G1301,月間集計シート!T$50:T$69)*W$2</f>
        <v>0</v>
      </c>
      <c r="X1301" s="88">
        <f>SUMIF(月間集計シート!$M$71:$M$90,$G1301,月間集計シート!N$71:N$90)*X$2</f>
        <v>0</v>
      </c>
      <c r="Y1301" s="88">
        <f>SUMIF(月間集計シート!$M$71:$M$90,$G1301,月間集計シート!O$71:O$90)*Y$2</f>
        <v>0</v>
      </c>
      <c r="Z1301" s="88">
        <f>SUMIF(月間集計シート!$M$71:$M$90,$G1301,月間集計シート!P$71:P$90)*Z$2</f>
        <v>0</v>
      </c>
      <c r="AA1301" s="88">
        <f>SUMIF(月間集計シート!$M$71:$M$90,$G1301,月間集計シート!Q$71:Q$90)*AA$2</f>
        <v>0</v>
      </c>
      <c r="AB1301" s="88">
        <f>SUMIF(月間集計シート!$M$71:$M$90,$G1301,月間集計シート!R$71:R$90)*AB$2</f>
        <v>0</v>
      </c>
      <c r="AC1301" s="88">
        <f>SUMIF(月間集計シート!$M$71:$M$90,$G1301,月間集計シート!S$71:S$90)*AC$2</f>
        <v>0</v>
      </c>
      <c r="AD1301" s="88">
        <f>SUMIF(月間集計シート!$M$71:$M$90,$G1301,月間集計シート!T$71:T$90)*AD$2</f>
        <v>0</v>
      </c>
      <c r="AE1301" s="88">
        <f>SUMIF(月間集計シート!$M$92:$M$111,$G1301,月間集計シート!N$92:N$111)*AE$2</f>
        <v>0</v>
      </c>
      <c r="AF1301" s="88">
        <f>SUMIF(月間集計シート!$M$92:$M$111,$G1301,月間集計シート!O$92:O$111)*AF$2</f>
        <v>0</v>
      </c>
      <c r="AG1301" s="88">
        <f>SUMIF(月間集計シート!$M$92:$M$111,$G1301,月間集計シート!P$92:P$111)*AG$2</f>
        <v>0</v>
      </c>
      <c r="AH1301" s="88">
        <f>SUMIF(月間集計シート!$M$92:$M$111,$G1301,月間集計シート!Q$92:Q$111)*AH$2</f>
        <v>0</v>
      </c>
      <c r="AI1301" s="88">
        <f>SUMIF(月間集計シート!$M$92:$M$111,$G1301,月間集計シート!R$92:R$111)*AI$2</f>
        <v>0</v>
      </c>
      <c r="AJ1301" s="88">
        <f>SUMIF(月間集計シート!$M$92:$M$111,$G1301,月間集計シート!S$92:S$111)*AJ$2</f>
        <v>0</v>
      </c>
      <c r="AK1301" s="88">
        <f>SUMIF(月間集計シート!$M$92:$M$111,$G1301,月間集計シート!T$92:T$111)*AK$2</f>
        <v>0</v>
      </c>
      <c r="AL1301" s="88">
        <f>SUMIF(月間集計シート!$M$113:$M$132,$G1301,月間集計シート!N$113:N$132)*AL$2</f>
        <v>0</v>
      </c>
      <c r="AM1301" s="88">
        <f>SUMIF(月間集計シート!$M$113:$M$132,$G1301,月間集計シート!O$113:O$132)*AM$2</f>
        <v>0</v>
      </c>
      <c r="AN1301" s="88">
        <f>SUMIF(月間集計シート!$M$113:$M$132,$G1301,月間集計シート!P$113:P$132)*AN$2</f>
        <v>0</v>
      </c>
      <c r="AO1301" s="88">
        <f>SUMIF(月間集計シート!$M$113:$M$132,$G1301,月間集計シート!Q$113:Q$132)*AO$2</f>
        <v>0</v>
      </c>
      <c r="AP1301" s="88">
        <f>SUMIF(月間集計シート!$M$113:$M$132,$G1301,月間集計シート!R$113:R$132)*AP$2</f>
        <v>0</v>
      </c>
      <c r="AQ1301" s="88">
        <f>SUMIF(月間集計シート!$M$113:$M$132,$G1301,月間集計シート!S$113:S$132)*AQ$2</f>
        <v>0</v>
      </c>
      <c r="AR1301" s="88">
        <f>SUMIF(月間集計シート!$M$113:$M$132,$G1301,月間集計シート!T$113:T$132)*AR$2</f>
        <v>0</v>
      </c>
      <c r="AS1301" s="88">
        <f>SUMIF(月間集計シート!$M$134:$M$153,$G1301,月間集計シート!N$134:N$153)*AS$2</f>
        <v>0</v>
      </c>
      <c r="AT1301" s="88">
        <f>SUMIF(月間集計シート!$M$134:$M$153,$G1301,月間集計シート!O$134:O$153)*AT$2</f>
        <v>0</v>
      </c>
      <c r="AU1301" s="88">
        <f>SUMIF(月間集計シート!$M$134:$M$153,$G1301,月間集計シート!P$134:P$153)*AU$2</f>
        <v>0</v>
      </c>
      <c r="AV1301" s="88">
        <f>SUMIF(月間集計シート!$M$134:$M$153,$G1301,月間集計シート!Q$134:Q$153)*AV$2</f>
        <v>0</v>
      </c>
      <c r="AW1301" s="88">
        <f>SUMIF(月間集計シート!$M$134:$M$153,$G1301,月間集計シート!R$134:R$153)*AW$2</f>
        <v>0</v>
      </c>
      <c r="AX1301" s="88">
        <f>SUMIF(月間集計シート!$M$134:$M$153,$G1301,月間集計シート!S$134:S$153)*AX$2</f>
        <v>0</v>
      </c>
      <c r="AY1301" s="88">
        <f>SUMIF(月間集計シート!$M$134:$M$153,$G1301,月間集計シート!T$134:T$153)*AY$2</f>
        <v>0</v>
      </c>
    </row>
    <row r="1302" spans="1:51" ht="14.25" thickBot="1">
      <c r="A1302">
        <v>16</v>
      </c>
      <c r="B1302" s="120">
        <f t="shared" si="729"/>
        <v>0</v>
      </c>
      <c r="C1302" s="120" t="str">
        <f t="shared" si="730"/>
        <v/>
      </c>
      <c r="D1302" s="137"/>
      <c r="E1302" s="150" t="str">
        <f>工種!A19</f>
        <v>30105</v>
      </c>
      <c r="F1302" s="119" t="str">
        <f>工種!B19</f>
        <v>製造：打合せ</v>
      </c>
      <c r="G1302" s="116" t="str">
        <f t="shared" si="731"/>
        <v>030105</v>
      </c>
      <c r="H1302" s="88">
        <f t="shared" si="685"/>
        <v>0</v>
      </c>
      <c r="I1302" s="132"/>
      <c r="J1302" s="88">
        <f>SUMIF(月間集計シート!$M$29:$M$48,$G1302,月間集計シート!N$29:N$48)*J$2</f>
        <v>0</v>
      </c>
      <c r="K1302" s="88">
        <f>SUMIF(月間集計シート!$M$29:$M$48,$G1302,月間集計シート!O$29:O$48)*K$2</f>
        <v>0</v>
      </c>
      <c r="L1302" s="88">
        <f>SUMIF(月間集計シート!$M$29:$M$48,$G1302,月間集計シート!P$29:P$48)*L$2</f>
        <v>0</v>
      </c>
      <c r="M1302" s="88">
        <f>SUMIF(月間集計シート!$M$29:$M$48,$G1302,月間集計シート!Q$29:Q$48)*M$2</f>
        <v>0</v>
      </c>
      <c r="N1302" s="88">
        <f>SUMIF(月間集計シート!$M$29:$M$48,$G1302,月間集計シート!R$29:R$48)*N$2</f>
        <v>0</v>
      </c>
      <c r="O1302" s="88">
        <f>SUMIF(月間集計シート!$M$29:$M$48,$G1302,月間集計シート!S$29:S$48)*O$2</f>
        <v>0</v>
      </c>
      <c r="P1302" s="88">
        <f>SUMIF(月間集計シート!$M$29:$M$48,$G1302,月間集計シート!T$29:T$48)*P$2</f>
        <v>0</v>
      </c>
      <c r="Q1302" s="88">
        <f>SUMIF(月間集計シート!$M$50:$M$69,$G1302,月間集計シート!N$50:N$69)*Q$2</f>
        <v>0</v>
      </c>
      <c r="R1302" s="88">
        <f>SUMIF(月間集計シート!$M$50:$M$69,$G1302,月間集計シート!O$50:O$69)*R$2</f>
        <v>0</v>
      </c>
      <c r="S1302" s="88">
        <f>SUMIF(月間集計シート!$M$50:$M$69,$G1302,月間集計シート!P$50:P$69)*S$2</f>
        <v>0</v>
      </c>
      <c r="T1302" s="88">
        <f>SUMIF(月間集計シート!$M$50:$M$69,$G1302,月間集計シート!Q$50:Q$69)*T$2</f>
        <v>0</v>
      </c>
      <c r="U1302" s="88">
        <f>SUMIF(月間集計シート!$M$50:$M$69,$G1302,月間集計シート!R$50:R$69)*U$2</f>
        <v>0</v>
      </c>
      <c r="V1302" s="88">
        <f>SUMIF(月間集計シート!$M$50:$M$69,$G1302,月間集計シート!S$50:S$69)*V$2</f>
        <v>0</v>
      </c>
      <c r="W1302" s="88">
        <f>SUMIF(月間集計シート!$M$50:$M$69,$G1302,月間集計シート!T$50:T$69)*W$2</f>
        <v>0</v>
      </c>
      <c r="X1302" s="88">
        <f>SUMIF(月間集計シート!$M$71:$M$90,$G1302,月間集計シート!N$71:N$90)*X$2</f>
        <v>0</v>
      </c>
      <c r="Y1302" s="88">
        <f>SUMIF(月間集計シート!$M$71:$M$90,$G1302,月間集計シート!O$71:O$90)*Y$2</f>
        <v>0</v>
      </c>
      <c r="Z1302" s="88">
        <f>SUMIF(月間集計シート!$M$71:$M$90,$G1302,月間集計シート!P$71:P$90)*Z$2</f>
        <v>0</v>
      </c>
      <c r="AA1302" s="88">
        <f>SUMIF(月間集計シート!$M$71:$M$90,$G1302,月間集計シート!Q$71:Q$90)*AA$2</f>
        <v>0</v>
      </c>
      <c r="AB1302" s="88">
        <f>SUMIF(月間集計シート!$M$71:$M$90,$G1302,月間集計シート!R$71:R$90)*AB$2</f>
        <v>0</v>
      </c>
      <c r="AC1302" s="88">
        <f>SUMIF(月間集計シート!$M$71:$M$90,$G1302,月間集計シート!S$71:S$90)*AC$2</f>
        <v>0</v>
      </c>
      <c r="AD1302" s="88">
        <f>SUMIF(月間集計シート!$M$71:$M$90,$G1302,月間集計シート!T$71:T$90)*AD$2</f>
        <v>0</v>
      </c>
      <c r="AE1302" s="88">
        <f>SUMIF(月間集計シート!$M$92:$M$111,$G1302,月間集計シート!N$92:N$111)*AE$2</f>
        <v>0</v>
      </c>
      <c r="AF1302" s="88">
        <f>SUMIF(月間集計シート!$M$92:$M$111,$G1302,月間集計シート!O$92:O$111)*AF$2</f>
        <v>0</v>
      </c>
      <c r="AG1302" s="88">
        <f>SUMIF(月間集計シート!$M$92:$M$111,$G1302,月間集計シート!P$92:P$111)*AG$2</f>
        <v>0</v>
      </c>
      <c r="AH1302" s="88">
        <f>SUMIF(月間集計シート!$M$92:$M$111,$G1302,月間集計シート!Q$92:Q$111)*AH$2</f>
        <v>0</v>
      </c>
      <c r="AI1302" s="88">
        <f>SUMIF(月間集計シート!$M$92:$M$111,$G1302,月間集計シート!R$92:R$111)*AI$2</f>
        <v>0</v>
      </c>
      <c r="AJ1302" s="88">
        <f>SUMIF(月間集計シート!$M$92:$M$111,$G1302,月間集計シート!S$92:S$111)*AJ$2</f>
        <v>0</v>
      </c>
      <c r="AK1302" s="88">
        <f>SUMIF(月間集計シート!$M$92:$M$111,$G1302,月間集計シート!T$92:T$111)*AK$2</f>
        <v>0</v>
      </c>
      <c r="AL1302" s="88">
        <f>SUMIF(月間集計シート!$M$113:$M$132,$G1302,月間集計シート!N$113:N$132)*AL$2</f>
        <v>0</v>
      </c>
      <c r="AM1302" s="88">
        <f>SUMIF(月間集計シート!$M$113:$M$132,$G1302,月間集計シート!O$113:O$132)*AM$2</f>
        <v>0</v>
      </c>
      <c r="AN1302" s="88">
        <f>SUMIF(月間集計シート!$M$113:$M$132,$G1302,月間集計シート!P$113:P$132)*AN$2</f>
        <v>0</v>
      </c>
      <c r="AO1302" s="88">
        <f>SUMIF(月間集計シート!$M$113:$M$132,$G1302,月間集計シート!Q$113:Q$132)*AO$2</f>
        <v>0</v>
      </c>
      <c r="AP1302" s="88">
        <f>SUMIF(月間集計シート!$M$113:$M$132,$G1302,月間集計シート!R$113:R$132)*AP$2</f>
        <v>0</v>
      </c>
      <c r="AQ1302" s="88">
        <f>SUMIF(月間集計シート!$M$113:$M$132,$G1302,月間集計シート!S$113:S$132)*AQ$2</f>
        <v>0</v>
      </c>
      <c r="AR1302" s="88">
        <f>SUMIF(月間集計シート!$M$113:$M$132,$G1302,月間集計シート!T$113:T$132)*AR$2</f>
        <v>0</v>
      </c>
      <c r="AS1302" s="88">
        <f>SUMIF(月間集計シート!$M$134:$M$153,$G1302,月間集計シート!N$134:N$153)*AS$2</f>
        <v>0</v>
      </c>
      <c r="AT1302" s="88">
        <f>SUMIF(月間集計シート!$M$134:$M$153,$G1302,月間集計シート!O$134:O$153)*AT$2</f>
        <v>0</v>
      </c>
      <c r="AU1302" s="88">
        <f>SUMIF(月間集計シート!$M$134:$M$153,$G1302,月間集計シート!P$134:P$153)*AU$2</f>
        <v>0</v>
      </c>
      <c r="AV1302" s="88">
        <f>SUMIF(月間集計シート!$M$134:$M$153,$G1302,月間集計シート!Q$134:Q$153)*AV$2</f>
        <v>0</v>
      </c>
      <c r="AW1302" s="88">
        <f>SUMIF(月間集計シート!$M$134:$M$153,$G1302,月間集計シート!R$134:R$153)*AW$2</f>
        <v>0</v>
      </c>
      <c r="AX1302" s="88">
        <f>SUMIF(月間集計シート!$M$134:$M$153,$G1302,月間集計シート!S$134:S$153)*AX$2</f>
        <v>0</v>
      </c>
      <c r="AY1302" s="88">
        <f>SUMIF(月間集計シート!$M$134:$M$153,$G1302,月間集計シート!T$134:T$153)*AY$2</f>
        <v>0</v>
      </c>
    </row>
    <row r="1303" spans="1:51" ht="14.25" thickBot="1">
      <c r="A1303">
        <v>16</v>
      </c>
      <c r="B1303" s="120">
        <f t="shared" si="729"/>
        <v>0</v>
      </c>
      <c r="C1303" s="120" t="str">
        <f t="shared" si="730"/>
        <v/>
      </c>
      <c r="D1303" s="137"/>
      <c r="E1303" s="150" t="str">
        <f>工種!A20</f>
        <v>30106</v>
      </c>
      <c r="F1303" s="119" t="str">
        <f>工種!B20</f>
        <v>製造：PG修正（手戻り分）</v>
      </c>
      <c r="G1303" s="116" t="str">
        <f t="shared" si="731"/>
        <v>030106</v>
      </c>
      <c r="H1303" s="88">
        <f t="shared" si="685"/>
        <v>0</v>
      </c>
      <c r="I1303" s="132"/>
      <c r="J1303" s="88">
        <f>SUMIF(月間集計シート!$M$29:$M$48,$G1303,月間集計シート!N$29:N$48)*J$2</f>
        <v>0</v>
      </c>
      <c r="K1303" s="88">
        <f>SUMIF(月間集計シート!$M$29:$M$48,$G1303,月間集計シート!O$29:O$48)*K$2</f>
        <v>0</v>
      </c>
      <c r="L1303" s="88">
        <f>SUMIF(月間集計シート!$M$29:$M$48,$G1303,月間集計シート!P$29:P$48)*L$2</f>
        <v>0</v>
      </c>
      <c r="M1303" s="88">
        <f>SUMIF(月間集計シート!$M$29:$M$48,$G1303,月間集計シート!Q$29:Q$48)*M$2</f>
        <v>0</v>
      </c>
      <c r="N1303" s="88">
        <f>SUMIF(月間集計シート!$M$29:$M$48,$G1303,月間集計シート!R$29:R$48)*N$2</f>
        <v>0</v>
      </c>
      <c r="O1303" s="88">
        <f>SUMIF(月間集計シート!$M$29:$M$48,$G1303,月間集計シート!S$29:S$48)*O$2</f>
        <v>0</v>
      </c>
      <c r="P1303" s="88">
        <f>SUMIF(月間集計シート!$M$29:$M$48,$G1303,月間集計シート!T$29:T$48)*P$2</f>
        <v>0</v>
      </c>
      <c r="Q1303" s="88">
        <f>SUMIF(月間集計シート!$M$50:$M$69,$G1303,月間集計シート!N$50:N$69)*Q$2</f>
        <v>0</v>
      </c>
      <c r="R1303" s="88">
        <f>SUMIF(月間集計シート!$M$50:$M$69,$G1303,月間集計シート!O$50:O$69)*R$2</f>
        <v>0</v>
      </c>
      <c r="S1303" s="88">
        <f>SUMIF(月間集計シート!$M$50:$M$69,$G1303,月間集計シート!P$50:P$69)*S$2</f>
        <v>0</v>
      </c>
      <c r="T1303" s="88">
        <f>SUMIF(月間集計シート!$M$50:$M$69,$G1303,月間集計シート!Q$50:Q$69)*T$2</f>
        <v>0</v>
      </c>
      <c r="U1303" s="88">
        <f>SUMIF(月間集計シート!$M$50:$M$69,$G1303,月間集計シート!R$50:R$69)*U$2</f>
        <v>0</v>
      </c>
      <c r="V1303" s="88">
        <f>SUMIF(月間集計シート!$M$50:$M$69,$G1303,月間集計シート!S$50:S$69)*V$2</f>
        <v>0</v>
      </c>
      <c r="W1303" s="88">
        <f>SUMIF(月間集計シート!$M$50:$M$69,$G1303,月間集計シート!T$50:T$69)*W$2</f>
        <v>0</v>
      </c>
      <c r="X1303" s="88">
        <f>SUMIF(月間集計シート!$M$71:$M$90,$G1303,月間集計シート!N$71:N$90)*X$2</f>
        <v>0</v>
      </c>
      <c r="Y1303" s="88">
        <f>SUMIF(月間集計シート!$M$71:$M$90,$G1303,月間集計シート!O$71:O$90)*Y$2</f>
        <v>0</v>
      </c>
      <c r="Z1303" s="88">
        <f>SUMIF(月間集計シート!$M$71:$M$90,$G1303,月間集計シート!P$71:P$90)*Z$2</f>
        <v>0</v>
      </c>
      <c r="AA1303" s="88">
        <f>SUMIF(月間集計シート!$M$71:$M$90,$G1303,月間集計シート!Q$71:Q$90)*AA$2</f>
        <v>0</v>
      </c>
      <c r="AB1303" s="88">
        <f>SUMIF(月間集計シート!$M$71:$M$90,$G1303,月間集計シート!R$71:R$90)*AB$2</f>
        <v>0</v>
      </c>
      <c r="AC1303" s="88">
        <f>SUMIF(月間集計シート!$M$71:$M$90,$G1303,月間集計シート!S$71:S$90)*AC$2</f>
        <v>0</v>
      </c>
      <c r="AD1303" s="88">
        <f>SUMIF(月間集計シート!$M$71:$M$90,$G1303,月間集計シート!T$71:T$90)*AD$2</f>
        <v>0</v>
      </c>
      <c r="AE1303" s="88">
        <f>SUMIF(月間集計シート!$M$92:$M$111,$G1303,月間集計シート!N$92:N$111)*AE$2</f>
        <v>0</v>
      </c>
      <c r="AF1303" s="88">
        <f>SUMIF(月間集計シート!$M$92:$M$111,$G1303,月間集計シート!O$92:O$111)*AF$2</f>
        <v>0</v>
      </c>
      <c r="AG1303" s="88">
        <f>SUMIF(月間集計シート!$M$92:$M$111,$G1303,月間集計シート!P$92:P$111)*AG$2</f>
        <v>0</v>
      </c>
      <c r="AH1303" s="88">
        <f>SUMIF(月間集計シート!$M$92:$M$111,$G1303,月間集計シート!Q$92:Q$111)*AH$2</f>
        <v>0</v>
      </c>
      <c r="AI1303" s="88">
        <f>SUMIF(月間集計シート!$M$92:$M$111,$G1303,月間集計シート!R$92:R$111)*AI$2</f>
        <v>0</v>
      </c>
      <c r="AJ1303" s="88">
        <f>SUMIF(月間集計シート!$M$92:$M$111,$G1303,月間集計シート!S$92:S$111)*AJ$2</f>
        <v>0</v>
      </c>
      <c r="AK1303" s="88">
        <f>SUMIF(月間集計シート!$M$92:$M$111,$G1303,月間集計シート!T$92:T$111)*AK$2</f>
        <v>0</v>
      </c>
      <c r="AL1303" s="88">
        <f>SUMIF(月間集計シート!$M$113:$M$132,$G1303,月間集計シート!N$113:N$132)*AL$2</f>
        <v>0</v>
      </c>
      <c r="AM1303" s="88">
        <f>SUMIF(月間集計シート!$M$113:$M$132,$G1303,月間集計シート!O$113:O$132)*AM$2</f>
        <v>0</v>
      </c>
      <c r="AN1303" s="88">
        <f>SUMIF(月間集計シート!$M$113:$M$132,$G1303,月間集計シート!P$113:P$132)*AN$2</f>
        <v>0</v>
      </c>
      <c r="AO1303" s="88">
        <f>SUMIF(月間集計シート!$M$113:$M$132,$G1303,月間集計シート!Q$113:Q$132)*AO$2</f>
        <v>0</v>
      </c>
      <c r="AP1303" s="88">
        <f>SUMIF(月間集計シート!$M$113:$M$132,$G1303,月間集計シート!R$113:R$132)*AP$2</f>
        <v>0</v>
      </c>
      <c r="AQ1303" s="88">
        <f>SUMIF(月間集計シート!$M$113:$M$132,$G1303,月間集計シート!S$113:S$132)*AQ$2</f>
        <v>0</v>
      </c>
      <c r="AR1303" s="88">
        <f>SUMIF(月間集計シート!$M$113:$M$132,$G1303,月間集計シート!T$113:T$132)*AR$2</f>
        <v>0</v>
      </c>
      <c r="AS1303" s="88">
        <f>SUMIF(月間集計シート!$M$134:$M$153,$G1303,月間集計シート!N$134:N$153)*AS$2</f>
        <v>0</v>
      </c>
      <c r="AT1303" s="88">
        <f>SUMIF(月間集計シート!$M$134:$M$153,$G1303,月間集計シート!O$134:O$153)*AT$2</f>
        <v>0</v>
      </c>
      <c r="AU1303" s="88">
        <f>SUMIF(月間集計シート!$M$134:$M$153,$G1303,月間集計シート!P$134:P$153)*AU$2</f>
        <v>0</v>
      </c>
      <c r="AV1303" s="88">
        <f>SUMIF(月間集計シート!$M$134:$M$153,$G1303,月間集計シート!Q$134:Q$153)*AV$2</f>
        <v>0</v>
      </c>
      <c r="AW1303" s="88">
        <f>SUMIF(月間集計シート!$M$134:$M$153,$G1303,月間集計シート!R$134:R$153)*AW$2</f>
        <v>0</v>
      </c>
      <c r="AX1303" s="88">
        <f>SUMIF(月間集計シート!$M$134:$M$153,$G1303,月間集計シート!S$134:S$153)*AX$2</f>
        <v>0</v>
      </c>
      <c r="AY1303" s="88">
        <f>SUMIF(月間集計シート!$M$134:$M$153,$G1303,月間集計シート!T$134:T$153)*AY$2</f>
        <v>0</v>
      </c>
    </row>
    <row r="1304" spans="1:51" ht="14.25" thickBot="1">
      <c r="A1304">
        <v>16</v>
      </c>
      <c r="B1304" s="120">
        <f t="shared" si="729"/>
        <v>0</v>
      </c>
      <c r="C1304" s="120" t="str">
        <f t="shared" si="730"/>
        <v/>
      </c>
      <c r="D1304" s="137"/>
      <c r="E1304" s="150" t="str">
        <f>工種!A21</f>
        <v>30109</v>
      </c>
      <c r="F1304" s="119" t="str">
        <f>工種!B21</f>
        <v>製造：レビュー</v>
      </c>
      <c r="G1304" s="116" t="str">
        <f t="shared" si="731"/>
        <v>030109</v>
      </c>
      <c r="H1304" s="88">
        <f t="shared" si="685"/>
        <v>0</v>
      </c>
      <c r="I1304" s="132"/>
      <c r="J1304" s="88">
        <f>SUMIF(月間集計シート!$M$29:$M$48,$G1304,月間集計シート!N$29:N$48)*J$2</f>
        <v>0</v>
      </c>
      <c r="K1304" s="88">
        <f>SUMIF(月間集計シート!$M$29:$M$48,$G1304,月間集計シート!O$29:O$48)*K$2</f>
        <v>0</v>
      </c>
      <c r="L1304" s="88">
        <f>SUMIF(月間集計シート!$M$29:$M$48,$G1304,月間集計シート!P$29:P$48)*L$2</f>
        <v>0</v>
      </c>
      <c r="M1304" s="88">
        <f>SUMIF(月間集計シート!$M$29:$M$48,$G1304,月間集計シート!Q$29:Q$48)*M$2</f>
        <v>0</v>
      </c>
      <c r="N1304" s="88">
        <f>SUMIF(月間集計シート!$M$29:$M$48,$G1304,月間集計シート!R$29:R$48)*N$2</f>
        <v>0</v>
      </c>
      <c r="O1304" s="88">
        <f>SUMIF(月間集計シート!$M$29:$M$48,$G1304,月間集計シート!S$29:S$48)*O$2</f>
        <v>0</v>
      </c>
      <c r="P1304" s="88">
        <f>SUMIF(月間集計シート!$M$29:$M$48,$G1304,月間集計シート!T$29:T$48)*P$2</f>
        <v>0</v>
      </c>
      <c r="Q1304" s="88">
        <f>SUMIF(月間集計シート!$M$50:$M$69,$G1304,月間集計シート!N$50:N$69)*Q$2</f>
        <v>0</v>
      </c>
      <c r="R1304" s="88">
        <f>SUMIF(月間集計シート!$M$50:$M$69,$G1304,月間集計シート!O$50:O$69)*R$2</f>
        <v>0</v>
      </c>
      <c r="S1304" s="88">
        <f>SUMIF(月間集計シート!$M$50:$M$69,$G1304,月間集計シート!P$50:P$69)*S$2</f>
        <v>0</v>
      </c>
      <c r="T1304" s="88">
        <f>SUMIF(月間集計シート!$M$50:$M$69,$G1304,月間集計シート!Q$50:Q$69)*T$2</f>
        <v>0</v>
      </c>
      <c r="U1304" s="88">
        <f>SUMIF(月間集計シート!$M$50:$M$69,$G1304,月間集計シート!R$50:R$69)*U$2</f>
        <v>0</v>
      </c>
      <c r="V1304" s="88">
        <f>SUMIF(月間集計シート!$M$50:$M$69,$G1304,月間集計シート!S$50:S$69)*V$2</f>
        <v>0</v>
      </c>
      <c r="W1304" s="88">
        <f>SUMIF(月間集計シート!$M$50:$M$69,$G1304,月間集計シート!T$50:T$69)*W$2</f>
        <v>0</v>
      </c>
      <c r="X1304" s="88">
        <f>SUMIF(月間集計シート!$M$71:$M$90,$G1304,月間集計シート!N$71:N$90)*X$2</f>
        <v>0</v>
      </c>
      <c r="Y1304" s="88">
        <f>SUMIF(月間集計シート!$M$71:$M$90,$G1304,月間集計シート!O$71:O$90)*Y$2</f>
        <v>0</v>
      </c>
      <c r="Z1304" s="88">
        <f>SUMIF(月間集計シート!$M$71:$M$90,$G1304,月間集計シート!P$71:P$90)*Z$2</f>
        <v>0</v>
      </c>
      <c r="AA1304" s="88">
        <f>SUMIF(月間集計シート!$M$71:$M$90,$G1304,月間集計シート!Q$71:Q$90)*AA$2</f>
        <v>0</v>
      </c>
      <c r="AB1304" s="88">
        <f>SUMIF(月間集計シート!$M$71:$M$90,$G1304,月間集計シート!R$71:R$90)*AB$2</f>
        <v>0</v>
      </c>
      <c r="AC1304" s="88">
        <f>SUMIF(月間集計シート!$M$71:$M$90,$G1304,月間集計シート!S$71:S$90)*AC$2</f>
        <v>0</v>
      </c>
      <c r="AD1304" s="88">
        <f>SUMIF(月間集計シート!$M$71:$M$90,$G1304,月間集計シート!T$71:T$90)*AD$2</f>
        <v>0</v>
      </c>
      <c r="AE1304" s="88">
        <f>SUMIF(月間集計シート!$M$92:$M$111,$G1304,月間集計シート!N$92:N$111)*AE$2</f>
        <v>0</v>
      </c>
      <c r="AF1304" s="88">
        <f>SUMIF(月間集計シート!$M$92:$M$111,$G1304,月間集計シート!O$92:O$111)*AF$2</f>
        <v>0</v>
      </c>
      <c r="AG1304" s="88">
        <f>SUMIF(月間集計シート!$M$92:$M$111,$G1304,月間集計シート!P$92:P$111)*AG$2</f>
        <v>0</v>
      </c>
      <c r="AH1304" s="88">
        <f>SUMIF(月間集計シート!$M$92:$M$111,$G1304,月間集計シート!Q$92:Q$111)*AH$2</f>
        <v>0</v>
      </c>
      <c r="AI1304" s="88">
        <f>SUMIF(月間集計シート!$M$92:$M$111,$G1304,月間集計シート!R$92:R$111)*AI$2</f>
        <v>0</v>
      </c>
      <c r="AJ1304" s="88">
        <f>SUMIF(月間集計シート!$M$92:$M$111,$G1304,月間集計シート!S$92:S$111)*AJ$2</f>
        <v>0</v>
      </c>
      <c r="AK1304" s="88">
        <f>SUMIF(月間集計シート!$M$92:$M$111,$G1304,月間集計シート!T$92:T$111)*AK$2</f>
        <v>0</v>
      </c>
      <c r="AL1304" s="88">
        <f>SUMIF(月間集計シート!$M$113:$M$132,$G1304,月間集計シート!N$113:N$132)*AL$2</f>
        <v>0</v>
      </c>
      <c r="AM1304" s="88">
        <f>SUMIF(月間集計シート!$M$113:$M$132,$G1304,月間集計シート!O$113:O$132)*AM$2</f>
        <v>0</v>
      </c>
      <c r="AN1304" s="88">
        <f>SUMIF(月間集計シート!$M$113:$M$132,$G1304,月間集計シート!P$113:P$132)*AN$2</f>
        <v>0</v>
      </c>
      <c r="AO1304" s="88">
        <f>SUMIF(月間集計シート!$M$113:$M$132,$G1304,月間集計シート!Q$113:Q$132)*AO$2</f>
        <v>0</v>
      </c>
      <c r="AP1304" s="88">
        <f>SUMIF(月間集計シート!$M$113:$M$132,$G1304,月間集計シート!R$113:R$132)*AP$2</f>
        <v>0</v>
      </c>
      <c r="AQ1304" s="88">
        <f>SUMIF(月間集計シート!$M$113:$M$132,$G1304,月間集計シート!S$113:S$132)*AQ$2</f>
        <v>0</v>
      </c>
      <c r="AR1304" s="88">
        <f>SUMIF(月間集計シート!$M$113:$M$132,$G1304,月間集計シート!T$113:T$132)*AR$2</f>
        <v>0</v>
      </c>
      <c r="AS1304" s="88">
        <f>SUMIF(月間集計シート!$M$134:$M$153,$G1304,月間集計シート!N$134:N$153)*AS$2</f>
        <v>0</v>
      </c>
      <c r="AT1304" s="88">
        <f>SUMIF(月間集計シート!$M$134:$M$153,$G1304,月間集計シート!O$134:O$153)*AT$2</f>
        <v>0</v>
      </c>
      <c r="AU1304" s="88">
        <f>SUMIF(月間集計シート!$M$134:$M$153,$G1304,月間集計シート!P$134:P$153)*AU$2</f>
        <v>0</v>
      </c>
      <c r="AV1304" s="88">
        <f>SUMIF(月間集計シート!$M$134:$M$153,$G1304,月間集計シート!Q$134:Q$153)*AV$2</f>
        <v>0</v>
      </c>
      <c r="AW1304" s="88">
        <f>SUMIF(月間集計シート!$M$134:$M$153,$G1304,月間集計シート!R$134:R$153)*AW$2</f>
        <v>0</v>
      </c>
      <c r="AX1304" s="88">
        <f>SUMIF(月間集計シート!$M$134:$M$153,$G1304,月間集計シート!S$134:S$153)*AX$2</f>
        <v>0</v>
      </c>
      <c r="AY1304" s="88">
        <f>SUMIF(月間集計シート!$M$134:$M$153,$G1304,月間集計シート!T$134:T$153)*AY$2</f>
        <v>0</v>
      </c>
    </row>
    <row r="1305" spans="1:51" ht="14.25" thickBot="1">
      <c r="A1305">
        <v>16</v>
      </c>
      <c r="B1305" s="120">
        <f t="shared" si="729"/>
        <v>0</v>
      </c>
      <c r="C1305" s="120" t="str">
        <f t="shared" si="730"/>
        <v/>
      </c>
      <c r="D1305" s="137"/>
      <c r="E1305" s="150" t="str">
        <f>工種!A22</f>
        <v>30199</v>
      </c>
      <c r="F1305" s="119" t="str">
        <f>工種!B22</f>
        <v>製造：その他</v>
      </c>
      <c r="G1305" s="116" t="str">
        <f t="shared" si="731"/>
        <v>030199</v>
      </c>
      <c r="H1305" s="88">
        <f t="shared" si="685"/>
        <v>0</v>
      </c>
      <c r="I1305" s="132"/>
      <c r="J1305" s="88">
        <f>SUMIF(月間集計シート!$M$29:$M$48,$G1305,月間集計シート!N$29:N$48)*J$2</f>
        <v>0</v>
      </c>
      <c r="K1305" s="88">
        <f>SUMIF(月間集計シート!$M$29:$M$48,$G1305,月間集計シート!O$29:O$48)*K$2</f>
        <v>0</v>
      </c>
      <c r="L1305" s="88">
        <f>SUMIF(月間集計シート!$M$29:$M$48,$G1305,月間集計シート!P$29:P$48)*L$2</f>
        <v>0</v>
      </c>
      <c r="M1305" s="88">
        <f>SUMIF(月間集計シート!$M$29:$M$48,$G1305,月間集計シート!Q$29:Q$48)*M$2</f>
        <v>0</v>
      </c>
      <c r="N1305" s="88">
        <f>SUMIF(月間集計シート!$M$29:$M$48,$G1305,月間集計シート!R$29:R$48)*N$2</f>
        <v>0</v>
      </c>
      <c r="O1305" s="88">
        <f>SUMIF(月間集計シート!$M$29:$M$48,$G1305,月間集計シート!S$29:S$48)*O$2</f>
        <v>0</v>
      </c>
      <c r="P1305" s="88">
        <f>SUMIF(月間集計シート!$M$29:$M$48,$G1305,月間集計シート!T$29:T$48)*P$2</f>
        <v>0</v>
      </c>
      <c r="Q1305" s="88">
        <f>SUMIF(月間集計シート!$M$50:$M$69,$G1305,月間集計シート!N$50:N$69)*Q$2</f>
        <v>0</v>
      </c>
      <c r="R1305" s="88">
        <f>SUMIF(月間集計シート!$M$50:$M$69,$G1305,月間集計シート!O$50:O$69)*R$2</f>
        <v>0</v>
      </c>
      <c r="S1305" s="88">
        <f>SUMIF(月間集計シート!$M$50:$M$69,$G1305,月間集計シート!P$50:P$69)*S$2</f>
        <v>0</v>
      </c>
      <c r="T1305" s="88">
        <f>SUMIF(月間集計シート!$M$50:$M$69,$G1305,月間集計シート!Q$50:Q$69)*T$2</f>
        <v>0</v>
      </c>
      <c r="U1305" s="88">
        <f>SUMIF(月間集計シート!$M$50:$M$69,$G1305,月間集計シート!R$50:R$69)*U$2</f>
        <v>0</v>
      </c>
      <c r="V1305" s="88">
        <f>SUMIF(月間集計シート!$M$50:$M$69,$G1305,月間集計シート!S$50:S$69)*V$2</f>
        <v>0</v>
      </c>
      <c r="W1305" s="88">
        <f>SUMIF(月間集計シート!$M$50:$M$69,$G1305,月間集計シート!T$50:T$69)*W$2</f>
        <v>0</v>
      </c>
      <c r="X1305" s="88">
        <f>SUMIF(月間集計シート!$M$71:$M$90,$G1305,月間集計シート!N$71:N$90)*X$2</f>
        <v>0</v>
      </c>
      <c r="Y1305" s="88">
        <f>SUMIF(月間集計シート!$M$71:$M$90,$G1305,月間集計シート!O$71:O$90)*Y$2</f>
        <v>0</v>
      </c>
      <c r="Z1305" s="88">
        <f>SUMIF(月間集計シート!$M$71:$M$90,$G1305,月間集計シート!P$71:P$90)*Z$2</f>
        <v>0</v>
      </c>
      <c r="AA1305" s="88">
        <f>SUMIF(月間集計シート!$M$71:$M$90,$G1305,月間集計シート!Q$71:Q$90)*AA$2</f>
        <v>0</v>
      </c>
      <c r="AB1305" s="88">
        <f>SUMIF(月間集計シート!$M$71:$M$90,$G1305,月間集計シート!R$71:R$90)*AB$2</f>
        <v>0</v>
      </c>
      <c r="AC1305" s="88">
        <f>SUMIF(月間集計シート!$M$71:$M$90,$G1305,月間集計シート!S$71:S$90)*AC$2</f>
        <v>0</v>
      </c>
      <c r="AD1305" s="88">
        <f>SUMIF(月間集計シート!$M$71:$M$90,$G1305,月間集計シート!T$71:T$90)*AD$2</f>
        <v>0</v>
      </c>
      <c r="AE1305" s="88">
        <f>SUMIF(月間集計シート!$M$92:$M$111,$G1305,月間集計シート!N$92:N$111)*AE$2</f>
        <v>0</v>
      </c>
      <c r="AF1305" s="88">
        <f>SUMIF(月間集計シート!$M$92:$M$111,$G1305,月間集計シート!O$92:O$111)*AF$2</f>
        <v>0</v>
      </c>
      <c r="AG1305" s="88">
        <f>SUMIF(月間集計シート!$M$92:$M$111,$G1305,月間集計シート!P$92:P$111)*AG$2</f>
        <v>0</v>
      </c>
      <c r="AH1305" s="88">
        <f>SUMIF(月間集計シート!$M$92:$M$111,$G1305,月間集計シート!Q$92:Q$111)*AH$2</f>
        <v>0</v>
      </c>
      <c r="AI1305" s="88">
        <f>SUMIF(月間集計シート!$M$92:$M$111,$G1305,月間集計シート!R$92:R$111)*AI$2</f>
        <v>0</v>
      </c>
      <c r="AJ1305" s="88">
        <f>SUMIF(月間集計シート!$M$92:$M$111,$G1305,月間集計シート!S$92:S$111)*AJ$2</f>
        <v>0</v>
      </c>
      <c r="AK1305" s="88">
        <f>SUMIF(月間集計シート!$M$92:$M$111,$G1305,月間集計シート!T$92:T$111)*AK$2</f>
        <v>0</v>
      </c>
      <c r="AL1305" s="88">
        <f>SUMIF(月間集計シート!$M$113:$M$132,$G1305,月間集計シート!N$113:N$132)*AL$2</f>
        <v>0</v>
      </c>
      <c r="AM1305" s="88">
        <f>SUMIF(月間集計シート!$M$113:$M$132,$G1305,月間集計シート!O$113:O$132)*AM$2</f>
        <v>0</v>
      </c>
      <c r="AN1305" s="88">
        <f>SUMIF(月間集計シート!$M$113:$M$132,$G1305,月間集計シート!P$113:P$132)*AN$2</f>
        <v>0</v>
      </c>
      <c r="AO1305" s="88">
        <f>SUMIF(月間集計シート!$M$113:$M$132,$G1305,月間集計シート!Q$113:Q$132)*AO$2</f>
        <v>0</v>
      </c>
      <c r="AP1305" s="88">
        <f>SUMIF(月間集計シート!$M$113:$M$132,$G1305,月間集計シート!R$113:R$132)*AP$2</f>
        <v>0</v>
      </c>
      <c r="AQ1305" s="88">
        <f>SUMIF(月間集計シート!$M$113:$M$132,$G1305,月間集計シート!S$113:S$132)*AQ$2</f>
        <v>0</v>
      </c>
      <c r="AR1305" s="88">
        <f>SUMIF(月間集計シート!$M$113:$M$132,$G1305,月間集計シート!T$113:T$132)*AR$2</f>
        <v>0</v>
      </c>
      <c r="AS1305" s="88">
        <f>SUMIF(月間集計シート!$M$134:$M$153,$G1305,月間集計シート!N$134:N$153)*AS$2</f>
        <v>0</v>
      </c>
      <c r="AT1305" s="88">
        <f>SUMIF(月間集計シート!$M$134:$M$153,$G1305,月間集計シート!O$134:O$153)*AT$2</f>
        <v>0</v>
      </c>
      <c r="AU1305" s="88">
        <f>SUMIF(月間集計シート!$M$134:$M$153,$G1305,月間集計シート!P$134:P$153)*AU$2</f>
        <v>0</v>
      </c>
      <c r="AV1305" s="88">
        <f>SUMIF(月間集計シート!$M$134:$M$153,$G1305,月間集計シート!Q$134:Q$153)*AV$2</f>
        <v>0</v>
      </c>
      <c r="AW1305" s="88">
        <f>SUMIF(月間集計シート!$M$134:$M$153,$G1305,月間集計シート!R$134:R$153)*AW$2</f>
        <v>0</v>
      </c>
      <c r="AX1305" s="88">
        <f>SUMIF(月間集計シート!$M$134:$M$153,$G1305,月間集計シート!S$134:S$153)*AX$2</f>
        <v>0</v>
      </c>
      <c r="AY1305" s="88">
        <f>SUMIF(月間集計シート!$M$134:$M$153,$G1305,月間集計シート!T$134:T$153)*AY$2</f>
        <v>0</v>
      </c>
    </row>
    <row r="1306" spans="1:51" ht="14.25" thickBot="1">
      <c r="A1306">
        <v>16</v>
      </c>
      <c r="B1306" s="120">
        <f t="shared" si="729"/>
        <v>0</v>
      </c>
      <c r="C1306" s="120" t="str">
        <f t="shared" si="730"/>
        <v/>
      </c>
      <c r="D1306" s="137"/>
      <c r="E1306" s="150" t="str">
        <f>工種!A23</f>
        <v>40101</v>
      </c>
      <c r="F1306" s="119" t="str">
        <f>工種!B23</f>
        <v>テスト：結合テスト実施</v>
      </c>
      <c r="G1306" s="116" t="str">
        <f t="shared" si="731"/>
        <v>040101</v>
      </c>
      <c r="H1306" s="88">
        <f t="shared" si="685"/>
        <v>0</v>
      </c>
      <c r="I1306" s="132"/>
      <c r="J1306" s="88">
        <f>SUMIF(月間集計シート!$M$29:$M$48,$G1306,月間集計シート!N$29:N$48)*J$2</f>
        <v>0</v>
      </c>
      <c r="K1306" s="88">
        <f>SUMIF(月間集計シート!$M$29:$M$48,$G1306,月間集計シート!O$29:O$48)*K$2</f>
        <v>0</v>
      </c>
      <c r="L1306" s="88">
        <f>SUMIF(月間集計シート!$M$29:$M$48,$G1306,月間集計シート!P$29:P$48)*L$2</f>
        <v>0</v>
      </c>
      <c r="M1306" s="88">
        <f>SUMIF(月間集計シート!$M$29:$M$48,$G1306,月間集計シート!Q$29:Q$48)*M$2</f>
        <v>0</v>
      </c>
      <c r="N1306" s="88">
        <f>SUMIF(月間集計シート!$M$29:$M$48,$G1306,月間集計シート!R$29:R$48)*N$2</f>
        <v>0</v>
      </c>
      <c r="O1306" s="88">
        <f>SUMIF(月間集計シート!$M$29:$M$48,$G1306,月間集計シート!S$29:S$48)*O$2</f>
        <v>0</v>
      </c>
      <c r="P1306" s="88">
        <f>SUMIF(月間集計シート!$M$29:$M$48,$G1306,月間集計シート!T$29:T$48)*P$2</f>
        <v>0</v>
      </c>
      <c r="Q1306" s="88">
        <f>SUMIF(月間集計シート!$M$50:$M$69,$G1306,月間集計シート!N$50:N$69)*Q$2</f>
        <v>0</v>
      </c>
      <c r="R1306" s="88">
        <f>SUMIF(月間集計シート!$M$50:$M$69,$G1306,月間集計シート!O$50:O$69)*R$2</f>
        <v>0</v>
      </c>
      <c r="S1306" s="88">
        <f>SUMIF(月間集計シート!$M$50:$M$69,$G1306,月間集計シート!P$50:P$69)*S$2</f>
        <v>0</v>
      </c>
      <c r="T1306" s="88">
        <f>SUMIF(月間集計シート!$M$50:$M$69,$G1306,月間集計シート!Q$50:Q$69)*T$2</f>
        <v>0</v>
      </c>
      <c r="U1306" s="88">
        <f>SUMIF(月間集計シート!$M$50:$M$69,$G1306,月間集計シート!R$50:R$69)*U$2</f>
        <v>0</v>
      </c>
      <c r="V1306" s="88">
        <f>SUMIF(月間集計シート!$M$50:$M$69,$G1306,月間集計シート!S$50:S$69)*V$2</f>
        <v>0</v>
      </c>
      <c r="W1306" s="88">
        <f>SUMIF(月間集計シート!$M$50:$M$69,$G1306,月間集計シート!T$50:T$69)*W$2</f>
        <v>0</v>
      </c>
      <c r="X1306" s="88">
        <f>SUMIF(月間集計シート!$M$71:$M$90,$G1306,月間集計シート!N$71:N$90)*X$2</f>
        <v>0</v>
      </c>
      <c r="Y1306" s="88">
        <f>SUMIF(月間集計シート!$M$71:$M$90,$G1306,月間集計シート!O$71:O$90)*Y$2</f>
        <v>0</v>
      </c>
      <c r="Z1306" s="88">
        <f>SUMIF(月間集計シート!$M$71:$M$90,$G1306,月間集計シート!P$71:P$90)*Z$2</f>
        <v>0</v>
      </c>
      <c r="AA1306" s="88">
        <f>SUMIF(月間集計シート!$M$71:$M$90,$G1306,月間集計シート!Q$71:Q$90)*AA$2</f>
        <v>0</v>
      </c>
      <c r="AB1306" s="88">
        <f>SUMIF(月間集計シート!$M$71:$M$90,$G1306,月間集計シート!R$71:R$90)*AB$2</f>
        <v>0</v>
      </c>
      <c r="AC1306" s="88">
        <f>SUMIF(月間集計シート!$M$71:$M$90,$G1306,月間集計シート!S$71:S$90)*AC$2</f>
        <v>0</v>
      </c>
      <c r="AD1306" s="88">
        <f>SUMIF(月間集計シート!$M$71:$M$90,$G1306,月間集計シート!T$71:T$90)*AD$2</f>
        <v>0</v>
      </c>
      <c r="AE1306" s="88">
        <f>SUMIF(月間集計シート!$M$92:$M$111,$G1306,月間集計シート!N$92:N$111)*AE$2</f>
        <v>0</v>
      </c>
      <c r="AF1306" s="88">
        <f>SUMIF(月間集計シート!$M$92:$M$111,$G1306,月間集計シート!O$92:O$111)*AF$2</f>
        <v>0</v>
      </c>
      <c r="AG1306" s="88">
        <f>SUMIF(月間集計シート!$M$92:$M$111,$G1306,月間集計シート!P$92:P$111)*AG$2</f>
        <v>0</v>
      </c>
      <c r="AH1306" s="88">
        <f>SUMIF(月間集計シート!$M$92:$M$111,$G1306,月間集計シート!Q$92:Q$111)*AH$2</f>
        <v>0</v>
      </c>
      <c r="AI1306" s="88">
        <f>SUMIF(月間集計シート!$M$92:$M$111,$G1306,月間集計シート!R$92:R$111)*AI$2</f>
        <v>0</v>
      </c>
      <c r="AJ1306" s="88">
        <f>SUMIF(月間集計シート!$M$92:$M$111,$G1306,月間集計シート!S$92:S$111)*AJ$2</f>
        <v>0</v>
      </c>
      <c r="AK1306" s="88">
        <f>SUMIF(月間集計シート!$M$92:$M$111,$G1306,月間集計シート!T$92:T$111)*AK$2</f>
        <v>0</v>
      </c>
      <c r="AL1306" s="88">
        <f>SUMIF(月間集計シート!$M$113:$M$132,$G1306,月間集計シート!N$113:N$132)*AL$2</f>
        <v>0</v>
      </c>
      <c r="AM1306" s="88">
        <f>SUMIF(月間集計シート!$M$113:$M$132,$G1306,月間集計シート!O$113:O$132)*AM$2</f>
        <v>0</v>
      </c>
      <c r="AN1306" s="88">
        <f>SUMIF(月間集計シート!$M$113:$M$132,$G1306,月間集計シート!P$113:P$132)*AN$2</f>
        <v>0</v>
      </c>
      <c r="AO1306" s="88">
        <f>SUMIF(月間集計シート!$M$113:$M$132,$G1306,月間集計シート!Q$113:Q$132)*AO$2</f>
        <v>0</v>
      </c>
      <c r="AP1306" s="88">
        <f>SUMIF(月間集計シート!$M$113:$M$132,$G1306,月間集計シート!R$113:R$132)*AP$2</f>
        <v>0</v>
      </c>
      <c r="AQ1306" s="88">
        <f>SUMIF(月間集計シート!$M$113:$M$132,$G1306,月間集計シート!S$113:S$132)*AQ$2</f>
        <v>0</v>
      </c>
      <c r="AR1306" s="88">
        <f>SUMIF(月間集計シート!$M$113:$M$132,$G1306,月間集計シート!T$113:T$132)*AR$2</f>
        <v>0</v>
      </c>
      <c r="AS1306" s="88">
        <f>SUMIF(月間集計シート!$M$134:$M$153,$G1306,月間集計シート!N$134:N$153)*AS$2</f>
        <v>0</v>
      </c>
      <c r="AT1306" s="88">
        <f>SUMIF(月間集計シート!$M$134:$M$153,$G1306,月間集計シート!O$134:O$153)*AT$2</f>
        <v>0</v>
      </c>
      <c r="AU1306" s="88">
        <f>SUMIF(月間集計シート!$M$134:$M$153,$G1306,月間集計シート!P$134:P$153)*AU$2</f>
        <v>0</v>
      </c>
      <c r="AV1306" s="88">
        <f>SUMIF(月間集計シート!$M$134:$M$153,$G1306,月間集計シート!Q$134:Q$153)*AV$2</f>
        <v>0</v>
      </c>
      <c r="AW1306" s="88">
        <f>SUMIF(月間集計シート!$M$134:$M$153,$G1306,月間集計シート!R$134:R$153)*AW$2</f>
        <v>0</v>
      </c>
      <c r="AX1306" s="88">
        <f>SUMIF(月間集計シート!$M$134:$M$153,$G1306,月間集計シート!S$134:S$153)*AX$2</f>
        <v>0</v>
      </c>
      <c r="AY1306" s="88">
        <f>SUMIF(月間集計シート!$M$134:$M$153,$G1306,月間集計シート!T$134:T$153)*AY$2</f>
        <v>0</v>
      </c>
    </row>
    <row r="1307" spans="1:51" ht="14.25" thickBot="1">
      <c r="A1307">
        <v>16</v>
      </c>
      <c r="B1307" s="120">
        <f t="shared" si="729"/>
        <v>0</v>
      </c>
      <c r="C1307" s="120" t="str">
        <f t="shared" si="730"/>
        <v/>
      </c>
      <c r="D1307" s="137"/>
      <c r="E1307" s="150" t="str">
        <f>工種!A24</f>
        <v>40102</v>
      </c>
      <c r="F1307" s="119" t="str">
        <f>工種!B24</f>
        <v>テスト：システムテスト実施</v>
      </c>
      <c r="G1307" s="116" t="str">
        <f t="shared" si="731"/>
        <v>040102</v>
      </c>
      <c r="H1307" s="88">
        <f t="shared" si="685"/>
        <v>0</v>
      </c>
      <c r="I1307" s="132"/>
      <c r="J1307" s="88">
        <f>SUMIF(月間集計シート!$M$29:$M$48,$G1307,月間集計シート!N$29:N$48)*J$2</f>
        <v>0</v>
      </c>
      <c r="K1307" s="88">
        <f>SUMIF(月間集計シート!$M$29:$M$48,$G1307,月間集計シート!O$29:O$48)*K$2</f>
        <v>0</v>
      </c>
      <c r="L1307" s="88">
        <f>SUMIF(月間集計シート!$M$29:$M$48,$G1307,月間集計シート!P$29:P$48)*L$2</f>
        <v>0</v>
      </c>
      <c r="M1307" s="88">
        <f>SUMIF(月間集計シート!$M$29:$M$48,$G1307,月間集計シート!Q$29:Q$48)*M$2</f>
        <v>0</v>
      </c>
      <c r="N1307" s="88">
        <f>SUMIF(月間集計シート!$M$29:$M$48,$G1307,月間集計シート!R$29:R$48)*N$2</f>
        <v>0</v>
      </c>
      <c r="O1307" s="88">
        <f>SUMIF(月間集計シート!$M$29:$M$48,$G1307,月間集計シート!S$29:S$48)*O$2</f>
        <v>0</v>
      </c>
      <c r="P1307" s="88">
        <f>SUMIF(月間集計シート!$M$29:$M$48,$G1307,月間集計シート!T$29:T$48)*P$2</f>
        <v>0</v>
      </c>
      <c r="Q1307" s="88">
        <f>SUMIF(月間集計シート!$M$50:$M$69,$G1307,月間集計シート!N$50:N$69)*Q$2</f>
        <v>0</v>
      </c>
      <c r="R1307" s="88">
        <f>SUMIF(月間集計シート!$M$50:$M$69,$G1307,月間集計シート!O$50:O$69)*R$2</f>
        <v>0</v>
      </c>
      <c r="S1307" s="88">
        <f>SUMIF(月間集計シート!$M$50:$M$69,$G1307,月間集計シート!P$50:P$69)*S$2</f>
        <v>0</v>
      </c>
      <c r="T1307" s="88">
        <f>SUMIF(月間集計シート!$M$50:$M$69,$G1307,月間集計シート!Q$50:Q$69)*T$2</f>
        <v>0</v>
      </c>
      <c r="U1307" s="88">
        <f>SUMIF(月間集計シート!$M$50:$M$69,$G1307,月間集計シート!R$50:R$69)*U$2</f>
        <v>0</v>
      </c>
      <c r="V1307" s="88">
        <f>SUMIF(月間集計シート!$M$50:$M$69,$G1307,月間集計シート!S$50:S$69)*V$2</f>
        <v>0</v>
      </c>
      <c r="W1307" s="88">
        <f>SUMIF(月間集計シート!$M$50:$M$69,$G1307,月間集計シート!T$50:T$69)*W$2</f>
        <v>0</v>
      </c>
      <c r="X1307" s="88">
        <f>SUMIF(月間集計シート!$M$71:$M$90,$G1307,月間集計シート!N$71:N$90)*X$2</f>
        <v>0</v>
      </c>
      <c r="Y1307" s="88">
        <f>SUMIF(月間集計シート!$M$71:$M$90,$G1307,月間集計シート!O$71:O$90)*Y$2</f>
        <v>0</v>
      </c>
      <c r="Z1307" s="88">
        <f>SUMIF(月間集計シート!$M$71:$M$90,$G1307,月間集計シート!P$71:P$90)*Z$2</f>
        <v>0</v>
      </c>
      <c r="AA1307" s="88">
        <f>SUMIF(月間集計シート!$M$71:$M$90,$G1307,月間集計シート!Q$71:Q$90)*AA$2</f>
        <v>0</v>
      </c>
      <c r="AB1307" s="88">
        <f>SUMIF(月間集計シート!$M$71:$M$90,$G1307,月間集計シート!R$71:R$90)*AB$2</f>
        <v>0</v>
      </c>
      <c r="AC1307" s="88">
        <f>SUMIF(月間集計シート!$M$71:$M$90,$G1307,月間集計シート!S$71:S$90)*AC$2</f>
        <v>0</v>
      </c>
      <c r="AD1307" s="88">
        <f>SUMIF(月間集計シート!$M$71:$M$90,$G1307,月間集計シート!T$71:T$90)*AD$2</f>
        <v>0</v>
      </c>
      <c r="AE1307" s="88">
        <f>SUMIF(月間集計シート!$M$92:$M$111,$G1307,月間集計シート!N$92:N$111)*AE$2</f>
        <v>0</v>
      </c>
      <c r="AF1307" s="88">
        <f>SUMIF(月間集計シート!$M$92:$M$111,$G1307,月間集計シート!O$92:O$111)*AF$2</f>
        <v>0</v>
      </c>
      <c r="AG1307" s="88">
        <f>SUMIF(月間集計シート!$M$92:$M$111,$G1307,月間集計シート!P$92:P$111)*AG$2</f>
        <v>0</v>
      </c>
      <c r="AH1307" s="88">
        <f>SUMIF(月間集計シート!$M$92:$M$111,$G1307,月間集計シート!Q$92:Q$111)*AH$2</f>
        <v>0</v>
      </c>
      <c r="AI1307" s="88">
        <f>SUMIF(月間集計シート!$M$92:$M$111,$G1307,月間集計シート!R$92:R$111)*AI$2</f>
        <v>0</v>
      </c>
      <c r="AJ1307" s="88">
        <f>SUMIF(月間集計シート!$M$92:$M$111,$G1307,月間集計シート!S$92:S$111)*AJ$2</f>
        <v>0</v>
      </c>
      <c r="AK1307" s="88">
        <f>SUMIF(月間集計シート!$M$92:$M$111,$G1307,月間集計シート!T$92:T$111)*AK$2</f>
        <v>0</v>
      </c>
      <c r="AL1307" s="88">
        <f>SUMIF(月間集計シート!$M$113:$M$132,$G1307,月間集計シート!N$113:N$132)*AL$2</f>
        <v>0</v>
      </c>
      <c r="AM1307" s="88">
        <f>SUMIF(月間集計シート!$M$113:$M$132,$G1307,月間集計シート!O$113:O$132)*AM$2</f>
        <v>0</v>
      </c>
      <c r="AN1307" s="88">
        <f>SUMIF(月間集計シート!$M$113:$M$132,$G1307,月間集計シート!P$113:P$132)*AN$2</f>
        <v>0</v>
      </c>
      <c r="AO1307" s="88">
        <f>SUMIF(月間集計シート!$M$113:$M$132,$G1307,月間集計シート!Q$113:Q$132)*AO$2</f>
        <v>0</v>
      </c>
      <c r="AP1307" s="88">
        <f>SUMIF(月間集計シート!$M$113:$M$132,$G1307,月間集計シート!R$113:R$132)*AP$2</f>
        <v>0</v>
      </c>
      <c r="AQ1307" s="88">
        <f>SUMIF(月間集計シート!$M$113:$M$132,$G1307,月間集計シート!S$113:S$132)*AQ$2</f>
        <v>0</v>
      </c>
      <c r="AR1307" s="88">
        <f>SUMIF(月間集計シート!$M$113:$M$132,$G1307,月間集計シート!T$113:T$132)*AR$2</f>
        <v>0</v>
      </c>
      <c r="AS1307" s="88">
        <f>SUMIF(月間集計シート!$M$134:$M$153,$G1307,月間集計シート!N$134:N$153)*AS$2</f>
        <v>0</v>
      </c>
      <c r="AT1307" s="88">
        <f>SUMIF(月間集計シート!$M$134:$M$153,$G1307,月間集計シート!O$134:O$153)*AT$2</f>
        <v>0</v>
      </c>
      <c r="AU1307" s="88">
        <f>SUMIF(月間集計シート!$M$134:$M$153,$G1307,月間集計シート!P$134:P$153)*AU$2</f>
        <v>0</v>
      </c>
      <c r="AV1307" s="88">
        <f>SUMIF(月間集計シート!$M$134:$M$153,$G1307,月間集計シート!Q$134:Q$153)*AV$2</f>
        <v>0</v>
      </c>
      <c r="AW1307" s="88">
        <f>SUMIF(月間集計シート!$M$134:$M$153,$G1307,月間集計シート!R$134:R$153)*AW$2</f>
        <v>0</v>
      </c>
      <c r="AX1307" s="88">
        <f>SUMIF(月間集計シート!$M$134:$M$153,$G1307,月間集計シート!S$134:S$153)*AX$2</f>
        <v>0</v>
      </c>
      <c r="AY1307" s="88">
        <f>SUMIF(月間集計シート!$M$134:$M$153,$G1307,月間集計シート!T$134:T$153)*AY$2</f>
        <v>0</v>
      </c>
    </row>
    <row r="1308" spans="1:51" ht="14.25" thickBot="1">
      <c r="A1308">
        <v>16</v>
      </c>
      <c r="B1308" s="120">
        <f t="shared" si="729"/>
        <v>0</v>
      </c>
      <c r="C1308" s="120" t="str">
        <f t="shared" si="730"/>
        <v/>
      </c>
      <c r="D1308" s="137"/>
      <c r="E1308" s="150" t="str">
        <f>工種!A25</f>
        <v>40103</v>
      </c>
      <c r="F1308" s="119" t="str">
        <f>工種!B25</f>
        <v>テスト：テスト計画書作成</v>
      </c>
      <c r="G1308" s="116" t="str">
        <f t="shared" si="731"/>
        <v>040103</v>
      </c>
      <c r="H1308" s="88">
        <f t="shared" si="685"/>
        <v>0</v>
      </c>
      <c r="I1308" s="132"/>
      <c r="J1308" s="88">
        <f>SUMIF(月間集計シート!$M$29:$M$48,$G1308,月間集計シート!N$29:N$48)*J$2</f>
        <v>0</v>
      </c>
      <c r="K1308" s="88">
        <f>SUMIF(月間集計シート!$M$29:$M$48,$G1308,月間集計シート!O$29:O$48)*K$2</f>
        <v>0</v>
      </c>
      <c r="L1308" s="88">
        <f>SUMIF(月間集計シート!$M$29:$M$48,$G1308,月間集計シート!P$29:P$48)*L$2</f>
        <v>0</v>
      </c>
      <c r="M1308" s="88">
        <f>SUMIF(月間集計シート!$M$29:$M$48,$G1308,月間集計シート!Q$29:Q$48)*M$2</f>
        <v>0</v>
      </c>
      <c r="N1308" s="88">
        <f>SUMIF(月間集計シート!$M$29:$M$48,$G1308,月間集計シート!R$29:R$48)*N$2</f>
        <v>0</v>
      </c>
      <c r="O1308" s="88">
        <f>SUMIF(月間集計シート!$M$29:$M$48,$G1308,月間集計シート!S$29:S$48)*O$2</f>
        <v>0</v>
      </c>
      <c r="P1308" s="88">
        <f>SUMIF(月間集計シート!$M$29:$M$48,$G1308,月間集計シート!T$29:T$48)*P$2</f>
        <v>0</v>
      </c>
      <c r="Q1308" s="88">
        <f>SUMIF(月間集計シート!$M$50:$M$69,$G1308,月間集計シート!N$50:N$69)*Q$2</f>
        <v>0</v>
      </c>
      <c r="R1308" s="88">
        <f>SUMIF(月間集計シート!$M$50:$M$69,$G1308,月間集計シート!O$50:O$69)*R$2</f>
        <v>0</v>
      </c>
      <c r="S1308" s="88">
        <f>SUMIF(月間集計シート!$M$50:$M$69,$G1308,月間集計シート!P$50:P$69)*S$2</f>
        <v>0</v>
      </c>
      <c r="T1308" s="88">
        <f>SUMIF(月間集計シート!$M$50:$M$69,$G1308,月間集計シート!Q$50:Q$69)*T$2</f>
        <v>0</v>
      </c>
      <c r="U1308" s="88">
        <f>SUMIF(月間集計シート!$M$50:$M$69,$G1308,月間集計シート!R$50:R$69)*U$2</f>
        <v>0</v>
      </c>
      <c r="V1308" s="88">
        <f>SUMIF(月間集計シート!$M$50:$M$69,$G1308,月間集計シート!S$50:S$69)*V$2</f>
        <v>0</v>
      </c>
      <c r="W1308" s="88">
        <f>SUMIF(月間集計シート!$M$50:$M$69,$G1308,月間集計シート!T$50:T$69)*W$2</f>
        <v>0</v>
      </c>
      <c r="X1308" s="88">
        <f>SUMIF(月間集計シート!$M$71:$M$90,$G1308,月間集計シート!N$71:N$90)*X$2</f>
        <v>0</v>
      </c>
      <c r="Y1308" s="88">
        <f>SUMIF(月間集計シート!$M$71:$M$90,$G1308,月間集計シート!O$71:O$90)*Y$2</f>
        <v>0</v>
      </c>
      <c r="Z1308" s="88">
        <f>SUMIF(月間集計シート!$M$71:$M$90,$G1308,月間集計シート!P$71:P$90)*Z$2</f>
        <v>0</v>
      </c>
      <c r="AA1308" s="88">
        <f>SUMIF(月間集計シート!$M$71:$M$90,$G1308,月間集計シート!Q$71:Q$90)*AA$2</f>
        <v>0</v>
      </c>
      <c r="AB1308" s="88">
        <f>SUMIF(月間集計シート!$M$71:$M$90,$G1308,月間集計シート!R$71:R$90)*AB$2</f>
        <v>0</v>
      </c>
      <c r="AC1308" s="88">
        <f>SUMIF(月間集計シート!$M$71:$M$90,$G1308,月間集計シート!S$71:S$90)*AC$2</f>
        <v>0</v>
      </c>
      <c r="AD1308" s="88">
        <f>SUMIF(月間集計シート!$M$71:$M$90,$G1308,月間集計シート!T$71:T$90)*AD$2</f>
        <v>0</v>
      </c>
      <c r="AE1308" s="88">
        <f>SUMIF(月間集計シート!$M$92:$M$111,$G1308,月間集計シート!N$92:N$111)*AE$2</f>
        <v>0</v>
      </c>
      <c r="AF1308" s="88">
        <f>SUMIF(月間集計シート!$M$92:$M$111,$G1308,月間集計シート!O$92:O$111)*AF$2</f>
        <v>0</v>
      </c>
      <c r="AG1308" s="88">
        <f>SUMIF(月間集計シート!$M$92:$M$111,$G1308,月間集計シート!P$92:P$111)*AG$2</f>
        <v>0</v>
      </c>
      <c r="AH1308" s="88">
        <f>SUMIF(月間集計シート!$M$92:$M$111,$G1308,月間集計シート!Q$92:Q$111)*AH$2</f>
        <v>0</v>
      </c>
      <c r="AI1308" s="88">
        <f>SUMIF(月間集計シート!$M$92:$M$111,$G1308,月間集計シート!R$92:R$111)*AI$2</f>
        <v>0</v>
      </c>
      <c r="AJ1308" s="88">
        <f>SUMIF(月間集計シート!$M$92:$M$111,$G1308,月間集計シート!S$92:S$111)*AJ$2</f>
        <v>0</v>
      </c>
      <c r="AK1308" s="88">
        <f>SUMIF(月間集計シート!$M$92:$M$111,$G1308,月間集計シート!T$92:T$111)*AK$2</f>
        <v>0</v>
      </c>
      <c r="AL1308" s="88">
        <f>SUMIF(月間集計シート!$M$113:$M$132,$G1308,月間集計シート!N$113:N$132)*AL$2</f>
        <v>0</v>
      </c>
      <c r="AM1308" s="88">
        <f>SUMIF(月間集計シート!$M$113:$M$132,$G1308,月間集計シート!O$113:O$132)*AM$2</f>
        <v>0</v>
      </c>
      <c r="AN1308" s="88">
        <f>SUMIF(月間集計シート!$M$113:$M$132,$G1308,月間集計シート!P$113:P$132)*AN$2</f>
        <v>0</v>
      </c>
      <c r="AO1308" s="88">
        <f>SUMIF(月間集計シート!$M$113:$M$132,$G1308,月間集計シート!Q$113:Q$132)*AO$2</f>
        <v>0</v>
      </c>
      <c r="AP1308" s="88">
        <f>SUMIF(月間集計シート!$M$113:$M$132,$G1308,月間集計シート!R$113:R$132)*AP$2</f>
        <v>0</v>
      </c>
      <c r="AQ1308" s="88">
        <f>SUMIF(月間集計シート!$M$113:$M$132,$G1308,月間集計シート!S$113:S$132)*AQ$2</f>
        <v>0</v>
      </c>
      <c r="AR1308" s="88">
        <f>SUMIF(月間集計シート!$M$113:$M$132,$G1308,月間集計シート!T$113:T$132)*AR$2</f>
        <v>0</v>
      </c>
      <c r="AS1308" s="88">
        <f>SUMIF(月間集計シート!$M$134:$M$153,$G1308,月間集計シート!N$134:N$153)*AS$2</f>
        <v>0</v>
      </c>
      <c r="AT1308" s="88">
        <f>SUMIF(月間集計シート!$M$134:$M$153,$G1308,月間集計シート!O$134:O$153)*AT$2</f>
        <v>0</v>
      </c>
      <c r="AU1308" s="88">
        <f>SUMIF(月間集計シート!$M$134:$M$153,$G1308,月間集計シート!P$134:P$153)*AU$2</f>
        <v>0</v>
      </c>
      <c r="AV1308" s="88">
        <f>SUMIF(月間集計シート!$M$134:$M$153,$G1308,月間集計シート!Q$134:Q$153)*AV$2</f>
        <v>0</v>
      </c>
      <c r="AW1308" s="88">
        <f>SUMIF(月間集計シート!$M$134:$M$153,$G1308,月間集計シート!R$134:R$153)*AW$2</f>
        <v>0</v>
      </c>
      <c r="AX1308" s="88">
        <f>SUMIF(月間集計シート!$M$134:$M$153,$G1308,月間集計シート!S$134:S$153)*AX$2</f>
        <v>0</v>
      </c>
      <c r="AY1308" s="88">
        <f>SUMIF(月間集計シート!$M$134:$M$153,$G1308,月間集計シート!T$134:T$153)*AY$2</f>
        <v>0</v>
      </c>
    </row>
    <row r="1309" spans="1:51" ht="14.25" thickBot="1">
      <c r="A1309">
        <v>16</v>
      </c>
      <c r="B1309" s="120">
        <f t="shared" si="729"/>
        <v>0</v>
      </c>
      <c r="C1309" s="120" t="str">
        <f t="shared" si="730"/>
        <v/>
      </c>
      <c r="D1309" s="137"/>
      <c r="E1309" s="150" t="str">
        <f>工種!A26</f>
        <v>40104</v>
      </c>
      <c r="F1309" s="119" t="str">
        <f>工種!B26</f>
        <v>テスト：結合テスト設計書作成</v>
      </c>
      <c r="G1309" s="116" t="str">
        <f t="shared" si="731"/>
        <v>040104</v>
      </c>
      <c r="H1309" s="88">
        <f t="shared" si="685"/>
        <v>0</v>
      </c>
      <c r="I1309" s="132"/>
      <c r="J1309" s="88">
        <f>SUMIF(月間集計シート!$M$29:$M$48,$G1309,月間集計シート!N$29:N$48)*J$2</f>
        <v>0</v>
      </c>
      <c r="K1309" s="88">
        <f>SUMIF(月間集計シート!$M$29:$M$48,$G1309,月間集計シート!O$29:O$48)*K$2</f>
        <v>0</v>
      </c>
      <c r="L1309" s="88">
        <f>SUMIF(月間集計シート!$M$29:$M$48,$G1309,月間集計シート!P$29:P$48)*L$2</f>
        <v>0</v>
      </c>
      <c r="M1309" s="88">
        <f>SUMIF(月間集計シート!$M$29:$M$48,$G1309,月間集計シート!Q$29:Q$48)*M$2</f>
        <v>0</v>
      </c>
      <c r="N1309" s="88">
        <f>SUMIF(月間集計シート!$M$29:$M$48,$G1309,月間集計シート!R$29:R$48)*N$2</f>
        <v>0</v>
      </c>
      <c r="O1309" s="88">
        <f>SUMIF(月間集計シート!$M$29:$M$48,$G1309,月間集計シート!S$29:S$48)*O$2</f>
        <v>0</v>
      </c>
      <c r="P1309" s="88">
        <f>SUMIF(月間集計シート!$M$29:$M$48,$G1309,月間集計シート!T$29:T$48)*P$2</f>
        <v>0</v>
      </c>
      <c r="Q1309" s="88">
        <f>SUMIF(月間集計シート!$M$50:$M$69,$G1309,月間集計シート!N$50:N$69)*Q$2</f>
        <v>0</v>
      </c>
      <c r="R1309" s="88">
        <f>SUMIF(月間集計シート!$M$50:$M$69,$G1309,月間集計シート!O$50:O$69)*R$2</f>
        <v>0</v>
      </c>
      <c r="S1309" s="88">
        <f>SUMIF(月間集計シート!$M$50:$M$69,$G1309,月間集計シート!P$50:P$69)*S$2</f>
        <v>0</v>
      </c>
      <c r="T1309" s="88">
        <f>SUMIF(月間集計シート!$M$50:$M$69,$G1309,月間集計シート!Q$50:Q$69)*T$2</f>
        <v>0</v>
      </c>
      <c r="U1309" s="88">
        <f>SUMIF(月間集計シート!$M$50:$M$69,$G1309,月間集計シート!R$50:R$69)*U$2</f>
        <v>0</v>
      </c>
      <c r="V1309" s="88">
        <f>SUMIF(月間集計シート!$M$50:$M$69,$G1309,月間集計シート!S$50:S$69)*V$2</f>
        <v>0</v>
      </c>
      <c r="W1309" s="88">
        <f>SUMIF(月間集計シート!$M$50:$M$69,$G1309,月間集計シート!T$50:T$69)*W$2</f>
        <v>0</v>
      </c>
      <c r="X1309" s="88">
        <f>SUMIF(月間集計シート!$M$71:$M$90,$G1309,月間集計シート!N$71:N$90)*X$2</f>
        <v>0</v>
      </c>
      <c r="Y1309" s="88">
        <f>SUMIF(月間集計シート!$M$71:$M$90,$G1309,月間集計シート!O$71:O$90)*Y$2</f>
        <v>0</v>
      </c>
      <c r="Z1309" s="88">
        <f>SUMIF(月間集計シート!$M$71:$M$90,$G1309,月間集計シート!P$71:P$90)*Z$2</f>
        <v>0</v>
      </c>
      <c r="AA1309" s="88">
        <f>SUMIF(月間集計シート!$M$71:$M$90,$G1309,月間集計シート!Q$71:Q$90)*AA$2</f>
        <v>0</v>
      </c>
      <c r="AB1309" s="88">
        <f>SUMIF(月間集計シート!$M$71:$M$90,$G1309,月間集計シート!R$71:R$90)*AB$2</f>
        <v>0</v>
      </c>
      <c r="AC1309" s="88">
        <f>SUMIF(月間集計シート!$M$71:$M$90,$G1309,月間集計シート!S$71:S$90)*AC$2</f>
        <v>0</v>
      </c>
      <c r="AD1309" s="88">
        <f>SUMIF(月間集計シート!$M$71:$M$90,$G1309,月間集計シート!T$71:T$90)*AD$2</f>
        <v>0</v>
      </c>
      <c r="AE1309" s="88">
        <f>SUMIF(月間集計シート!$M$92:$M$111,$G1309,月間集計シート!N$92:N$111)*AE$2</f>
        <v>0</v>
      </c>
      <c r="AF1309" s="88">
        <f>SUMIF(月間集計シート!$M$92:$M$111,$G1309,月間集計シート!O$92:O$111)*AF$2</f>
        <v>0</v>
      </c>
      <c r="AG1309" s="88">
        <f>SUMIF(月間集計シート!$M$92:$M$111,$G1309,月間集計シート!P$92:P$111)*AG$2</f>
        <v>0</v>
      </c>
      <c r="AH1309" s="88">
        <f>SUMIF(月間集計シート!$M$92:$M$111,$G1309,月間集計シート!Q$92:Q$111)*AH$2</f>
        <v>0</v>
      </c>
      <c r="AI1309" s="88">
        <f>SUMIF(月間集計シート!$M$92:$M$111,$G1309,月間集計シート!R$92:R$111)*AI$2</f>
        <v>0</v>
      </c>
      <c r="AJ1309" s="88">
        <f>SUMIF(月間集計シート!$M$92:$M$111,$G1309,月間集計シート!S$92:S$111)*AJ$2</f>
        <v>0</v>
      </c>
      <c r="AK1309" s="88">
        <f>SUMIF(月間集計シート!$M$92:$M$111,$G1309,月間集計シート!T$92:T$111)*AK$2</f>
        <v>0</v>
      </c>
      <c r="AL1309" s="88">
        <f>SUMIF(月間集計シート!$M$113:$M$132,$G1309,月間集計シート!N$113:N$132)*AL$2</f>
        <v>0</v>
      </c>
      <c r="AM1309" s="88">
        <f>SUMIF(月間集計シート!$M$113:$M$132,$G1309,月間集計シート!O$113:O$132)*AM$2</f>
        <v>0</v>
      </c>
      <c r="AN1309" s="88">
        <f>SUMIF(月間集計シート!$M$113:$M$132,$G1309,月間集計シート!P$113:P$132)*AN$2</f>
        <v>0</v>
      </c>
      <c r="AO1309" s="88">
        <f>SUMIF(月間集計シート!$M$113:$M$132,$G1309,月間集計シート!Q$113:Q$132)*AO$2</f>
        <v>0</v>
      </c>
      <c r="AP1309" s="88">
        <f>SUMIF(月間集計シート!$M$113:$M$132,$G1309,月間集計シート!R$113:R$132)*AP$2</f>
        <v>0</v>
      </c>
      <c r="AQ1309" s="88">
        <f>SUMIF(月間集計シート!$M$113:$M$132,$G1309,月間集計シート!S$113:S$132)*AQ$2</f>
        <v>0</v>
      </c>
      <c r="AR1309" s="88">
        <f>SUMIF(月間集計シート!$M$113:$M$132,$G1309,月間集計シート!T$113:T$132)*AR$2</f>
        <v>0</v>
      </c>
      <c r="AS1309" s="88">
        <f>SUMIF(月間集計シート!$M$134:$M$153,$G1309,月間集計シート!N$134:N$153)*AS$2</f>
        <v>0</v>
      </c>
      <c r="AT1309" s="88">
        <f>SUMIF(月間集計シート!$M$134:$M$153,$G1309,月間集計シート!O$134:O$153)*AT$2</f>
        <v>0</v>
      </c>
      <c r="AU1309" s="88">
        <f>SUMIF(月間集計シート!$M$134:$M$153,$G1309,月間集計シート!P$134:P$153)*AU$2</f>
        <v>0</v>
      </c>
      <c r="AV1309" s="88">
        <f>SUMIF(月間集計シート!$M$134:$M$153,$G1309,月間集計シート!Q$134:Q$153)*AV$2</f>
        <v>0</v>
      </c>
      <c r="AW1309" s="88">
        <f>SUMIF(月間集計シート!$M$134:$M$153,$G1309,月間集計シート!R$134:R$153)*AW$2</f>
        <v>0</v>
      </c>
      <c r="AX1309" s="88">
        <f>SUMIF(月間集計シート!$M$134:$M$153,$G1309,月間集計シート!S$134:S$153)*AX$2</f>
        <v>0</v>
      </c>
      <c r="AY1309" s="88">
        <f>SUMIF(月間集計シート!$M$134:$M$153,$G1309,月間集計シート!T$134:T$153)*AY$2</f>
        <v>0</v>
      </c>
    </row>
    <row r="1310" spans="1:51" ht="14.25" thickBot="1">
      <c r="A1310">
        <v>16</v>
      </c>
      <c r="B1310" s="120">
        <f t="shared" si="729"/>
        <v>0</v>
      </c>
      <c r="C1310" s="120" t="str">
        <f t="shared" si="730"/>
        <v/>
      </c>
      <c r="D1310" s="137"/>
      <c r="E1310" s="150" t="str">
        <f>工種!A27</f>
        <v>40105</v>
      </c>
      <c r="F1310" s="119" t="str">
        <f>工種!B27</f>
        <v>テスト：システムテスト設計書作成</v>
      </c>
      <c r="G1310" s="116" t="str">
        <f t="shared" si="731"/>
        <v>040105</v>
      </c>
      <c r="H1310" s="88">
        <f t="shared" si="685"/>
        <v>0</v>
      </c>
      <c r="I1310" s="132"/>
      <c r="J1310" s="88">
        <f>SUMIF(月間集計シート!$M$29:$M$48,$G1310,月間集計シート!N$29:N$48)*J$2</f>
        <v>0</v>
      </c>
      <c r="K1310" s="88">
        <f>SUMIF(月間集計シート!$M$29:$M$48,$G1310,月間集計シート!O$29:O$48)*K$2</f>
        <v>0</v>
      </c>
      <c r="L1310" s="88">
        <f>SUMIF(月間集計シート!$M$29:$M$48,$G1310,月間集計シート!P$29:P$48)*L$2</f>
        <v>0</v>
      </c>
      <c r="M1310" s="88">
        <f>SUMIF(月間集計シート!$M$29:$M$48,$G1310,月間集計シート!Q$29:Q$48)*M$2</f>
        <v>0</v>
      </c>
      <c r="N1310" s="88">
        <f>SUMIF(月間集計シート!$M$29:$M$48,$G1310,月間集計シート!R$29:R$48)*N$2</f>
        <v>0</v>
      </c>
      <c r="O1310" s="88">
        <f>SUMIF(月間集計シート!$M$29:$M$48,$G1310,月間集計シート!S$29:S$48)*O$2</f>
        <v>0</v>
      </c>
      <c r="P1310" s="88">
        <f>SUMIF(月間集計シート!$M$29:$M$48,$G1310,月間集計シート!T$29:T$48)*P$2</f>
        <v>0</v>
      </c>
      <c r="Q1310" s="88">
        <f>SUMIF(月間集計シート!$M$50:$M$69,$G1310,月間集計シート!N$50:N$69)*Q$2</f>
        <v>0</v>
      </c>
      <c r="R1310" s="88">
        <f>SUMIF(月間集計シート!$M$50:$M$69,$G1310,月間集計シート!O$50:O$69)*R$2</f>
        <v>0</v>
      </c>
      <c r="S1310" s="88">
        <f>SUMIF(月間集計シート!$M$50:$M$69,$G1310,月間集計シート!P$50:P$69)*S$2</f>
        <v>0</v>
      </c>
      <c r="T1310" s="88">
        <f>SUMIF(月間集計シート!$M$50:$M$69,$G1310,月間集計シート!Q$50:Q$69)*T$2</f>
        <v>0</v>
      </c>
      <c r="U1310" s="88">
        <f>SUMIF(月間集計シート!$M$50:$M$69,$G1310,月間集計シート!R$50:R$69)*U$2</f>
        <v>0</v>
      </c>
      <c r="V1310" s="88">
        <f>SUMIF(月間集計シート!$M$50:$M$69,$G1310,月間集計シート!S$50:S$69)*V$2</f>
        <v>0</v>
      </c>
      <c r="W1310" s="88">
        <f>SUMIF(月間集計シート!$M$50:$M$69,$G1310,月間集計シート!T$50:T$69)*W$2</f>
        <v>0</v>
      </c>
      <c r="X1310" s="88">
        <f>SUMIF(月間集計シート!$M$71:$M$90,$G1310,月間集計シート!N$71:N$90)*X$2</f>
        <v>0</v>
      </c>
      <c r="Y1310" s="88">
        <f>SUMIF(月間集計シート!$M$71:$M$90,$G1310,月間集計シート!O$71:O$90)*Y$2</f>
        <v>0</v>
      </c>
      <c r="Z1310" s="88">
        <f>SUMIF(月間集計シート!$M$71:$M$90,$G1310,月間集計シート!P$71:P$90)*Z$2</f>
        <v>0</v>
      </c>
      <c r="AA1310" s="88">
        <f>SUMIF(月間集計シート!$M$71:$M$90,$G1310,月間集計シート!Q$71:Q$90)*AA$2</f>
        <v>0</v>
      </c>
      <c r="AB1310" s="88">
        <f>SUMIF(月間集計シート!$M$71:$M$90,$G1310,月間集計シート!R$71:R$90)*AB$2</f>
        <v>0</v>
      </c>
      <c r="AC1310" s="88">
        <f>SUMIF(月間集計シート!$M$71:$M$90,$G1310,月間集計シート!S$71:S$90)*AC$2</f>
        <v>0</v>
      </c>
      <c r="AD1310" s="88">
        <f>SUMIF(月間集計シート!$M$71:$M$90,$G1310,月間集計シート!T$71:T$90)*AD$2</f>
        <v>0</v>
      </c>
      <c r="AE1310" s="88">
        <f>SUMIF(月間集計シート!$M$92:$M$111,$G1310,月間集計シート!N$92:N$111)*AE$2</f>
        <v>0</v>
      </c>
      <c r="AF1310" s="88">
        <f>SUMIF(月間集計シート!$M$92:$M$111,$G1310,月間集計シート!O$92:O$111)*AF$2</f>
        <v>0</v>
      </c>
      <c r="AG1310" s="88">
        <f>SUMIF(月間集計シート!$M$92:$M$111,$G1310,月間集計シート!P$92:P$111)*AG$2</f>
        <v>0</v>
      </c>
      <c r="AH1310" s="88">
        <f>SUMIF(月間集計シート!$M$92:$M$111,$G1310,月間集計シート!Q$92:Q$111)*AH$2</f>
        <v>0</v>
      </c>
      <c r="AI1310" s="88">
        <f>SUMIF(月間集計シート!$M$92:$M$111,$G1310,月間集計シート!R$92:R$111)*AI$2</f>
        <v>0</v>
      </c>
      <c r="AJ1310" s="88">
        <f>SUMIF(月間集計シート!$M$92:$M$111,$G1310,月間集計シート!S$92:S$111)*AJ$2</f>
        <v>0</v>
      </c>
      <c r="AK1310" s="88">
        <f>SUMIF(月間集計シート!$M$92:$M$111,$G1310,月間集計シート!T$92:T$111)*AK$2</f>
        <v>0</v>
      </c>
      <c r="AL1310" s="88">
        <f>SUMIF(月間集計シート!$M$113:$M$132,$G1310,月間集計シート!N$113:N$132)*AL$2</f>
        <v>0</v>
      </c>
      <c r="AM1310" s="88">
        <f>SUMIF(月間集計シート!$M$113:$M$132,$G1310,月間集計シート!O$113:O$132)*AM$2</f>
        <v>0</v>
      </c>
      <c r="AN1310" s="88">
        <f>SUMIF(月間集計シート!$M$113:$M$132,$G1310,月間集計シート!P$113:P$132)*AN$2</f>
        <v>0</v>
      </c>
      <c r="AO1310" s="88">
        <f>SUMIF(月間集計シート!$M$113:$M$132,$G1310,月間集計シート!Q$113:Q$132)*AO$2</f>
        <v>0</v>
      </c>
      <c r="AP1310" s="88">
        <f>SUMIF(月間集計シート!$M$113:$M$132,$G1310,月間集計シート!R$113:R$132)*AP$2</f>
        <v>0</v>
      </c>
      <c r="AQ1310" s="88">
        <f>SUMIF(月間集計シート!$M$113:$M$132,$G1310,月間集計シート!S$113:S$132)*AQ$2</f>
        <v>0</v>
      </c>
      <c r="AR1310" s="88">
        <f>SUMIF(月間集計シート!$M$113:$M$132,$G1310,月間集計シート!T$113:T$132)*AR$2</f>
        <v>0</v>
      </c>
      <c r="AS1310" s="88">
        <f>SUMIF(月間集計シート!$M$134:$M$153,$G1310,月間集計シート!N$134:N$153)*AS$2</f>
        <v>0</v>
      </c>
      <c r="AT1310" s="88">
        <f>SUMIF(月間集計シート!$M$134:$M$153,$G1310,月間集計シート!O$134:O$153)*AT$2</f>
        <v>0</v>
      </c>
      <c r="AU1310" s="88">
        <f>SUMIF(月間集計シート!$M$134:$M$153,$G1310,月間集計シート!P$134:P$153)*AU$2</f>
        <v>0</v>
      </c>
      <c r="AV1310" s="88">
        <f>SUMIF(月間集計シート!$M$134:$M$153,$G1310,月間集計シート!Q$134:Q$153)*AV$2</f>
        <v>0</v>
      </c>
      <c r="AW1310" s="88">
        <f>SUMIF(月間集計シート!$M$134:$M$153,$G1310,月間集計シート!R$134:R$153)*AW$2</f>
        <v>0</v>
      </c>
      <c r="AX1310" s="88">
        <f>SUMIF(月間集計シート!$M$134:$M$153,$G1310,月間集計シート!S$134:S$153)*AX$2</f>
        <v>0</v>
      </c>
      <c r="AY1310" s="88">
        <f>SUMIF(月間集計シート!$M$134:$M$153,$G1310,月間集計シート!T$134:T$153)*AY$2</f>
        <v>0</v>
      </c>
    </row>
    <row r="1311" spans="1:51" ht="14.25" thickBot="1">
      <c r="A1311">
        <v>16</v>
      </c>
      <c r="B1311" s="120">
        <f t="shared" si="729"/>
        <v>0</v>
      </c>
      <c r="C1311" s="120" t="str">
        <f t="shared" si="730"/>
        <v/>
      </c>
      <c r="D1311" s="137"/>
      <c r="E1311" s="150" t="str">
        <f>工種!A28</f>
        <v>40106</v>
      </c>
      <c r="F1311" s="119" t="str">
        <f>工種!B28</f>
        <v>テスト：総合評価設計書作成</v>
      </c>
      <c r="G1311" s="116" t="str">
        <f t="shared" si="731"/>
        <v>040106</v>
      </c>
      <c r="H1311" s="88">
        <f t="shared" si="685"/>
        <v>0</v>
      </c>
      <c r="I1311" s="132"/>
      <c r="J1311" s="88">
        <f>SUMIF(月間集計シート!$M$29:$M$48,$G1311,月間集計シート!N$29:N$48)*J$2</f>
        <v>0</v>
      </c>
      <c r="K1311" s="88">
        <f>SUMIF(月間集計シート!$M$29:$M$48,$G1311,月間集計シート!O$29:O$48)*K$2</f>
        <v>0</v>
      </c>
      <c r="L1311" s="88">
        <f>SUMIF(月間集計シート!$M$29:$M$48,$G1311,月間集計シート!P$29:P$48)*L$2</f>
        <v>0</v>
      </c>
      <c r="M1311" s="88">
        <f>SUMIF(月間集計シート!$M$29:$M$48,$G1311,月間集計シート!Q$29:Q$48)*M$2</f>
        <v>0</v>
      </c>
      <c r="N1311" s="88">
        <f>SUMIF(月間集計シート!$M$29:$M$48,$G1311,月間集計シート!R$29:R$48)*N$2</f>
        <v>0</v>
      </c>
      <c r="O1311" s="88">
        <f>SUMIF(月間集計シート!$M$29:$M$48,$G1311,月間集計シート!S$29:S$48)*O$2</f>
        <v>0</v>
      </c>
      <c r="P1311" s="88">
        <f>SUMIF(月間集計シート!$M$29:$M$48,$G1311,月間集計シート!T$29:T$48)*P$2</f>
        <v>0</v>
      </c>
      <c r="Q1311" s="88">
        <f>SUMIF(月間集計シート!$M$50:$M$69,$G1311,月間集計シート!N$50:N$69)*Q$2</f>
        <v>0</v>
      </c>
      <c r="R1311" s="88">
        <f>SUMIF(月間集計シート!$M$50:$M$69,$G1311,月間集計シート!O$50:O$69)*R$2</f>
        <v>0</v>
      </c>
      <c r="S1311" s="88">
        <f>SUMIF(月間集計シート!$M$50:$M$69,$G1311,月間集計シート!P$50:P$69)*S$2</f>
        <v>0</v>
      </c>
      <c r="T1311" s="88">
        <f>SUMIF(月間集計シート!$M$50:$M$69,$G1311,月間集計シート!Q$50:Q$69)*T$2</f>
        <v>0</v>
      </c>
      <c r="U1311" s="88">
        <f>SUMIF(月間集計シート!$M$50:$M$69,$G1311,月間集計シート!R$50:R$69)*U$2</f>
        <v>0</v>
      </c>
      <c r="V1311" s="88">
        <f>SUMIF(月間集計シート!$M$50:$M$69,$G1311,月間集計シート!S$50:S$69)*V$2</f>
        <v>0</v>
      </c>
      <c r="W1311" s="88">
        <f>SUMIF(月間集計シート!$M$50:$M$69,$G1311,月間集計シート!T$50:T$69)*W$2</f>
        <v>0</v>
      </c>
      <c r="X1311" s="88">
        <f>SUMIF(月間集計シート!$M$71:$M$90,$G1311,月間集計シート!N$71:N$90)*X$2</f>
        <v>0</v>
      </c>
      <c r="Y1311" s="88">
        <f>SUMIF(月間集計シート!$M$71:$M$90,$G1311,月間集計シート!O$71:O$90)*Y$2</f>
        <v>0</v>
      </c>
      <c r="Z1311" s="88">
        <f>SUMIF(月間集計シート!$M$71:$M$90,$G1311,月間集計シート!P$71:P$90)*Z$2</f>
        <v>0</v>
      </c>
      <c r="AA1311" s="88">
        <f>SUMIF(月間集計シート!$M$71:$M$90,$G1311,月間集計シート!Q$71:Q$90)*AA$2</f>
        <v>0</v>
      </c>
      <c r="AB1311" s="88">
        <f>SUMIF(月間集計シート!$M$71:$M$90,$G1311,月間集計シート!R$71:R$90)*AB$2</f>
        <v>0</v>
      </c>
      <c r="AC1311" s="88">
        <f>SUMIF(月間集計シート!$M$71:$M$90,$G1311,月間集計シート!S$71:S$90)*AC$2</f>
        <v>0</v>
      </c>
      <c r="AD1311" s="88">
        <f>SUMIF(月間集計シート!$M$71:$M$90,$G1311,月間集計シート!T$71:T$90)*AD$2</f>
        <v>0</v>
      </c>
      <c r="AE1311" s="88">
        <f>SUMIF(月間集計シート!$M$92:$M$111,$G1311,月間集計シート!N$92:N$111)*AE$2</f>
        <v>0</v>
      </c>
      <c r="AF1311" s="88">
        <f>SUMIF(月間集計シート!$M$92:$M$111,$G1311,月間集計シート!O$92:O$111)*AF$2</f>
        <v>0</v>
      </c>
      <c r="AG1311" s="88">
        <f>SUMIF(月間集計シート!$M$92:$M$111,$G1311,月間集計シート!P$92:P$111)*AG$2</f>
        <v>0</v>
      </c>
      <c r="AH1311" s="88">
        <f>SUMIF(月間集計シート!$M$92:$M$111,$G1311,月間集計シート!Q$92:Q$111)*AH$2</f>
        <v>0</v>
      </c>
      <c r="AI1311" s="88">
        <f>SUMIF(月間集計シート!$M$92:$M$111,$G1311,月間集計シート!R$92:R$111)*AI$2</f>
        <v>0</v>
      </c>
      <c r="AJ1311" s="88">
        <f>SUMIF(月間集計シート!$M$92:$M$111,$G1311,月間集計シート!S$92:S$111)*AJ$2</f>
        <v>0</v>
      </c>
      <c r="AK1311" s="88">
        <f>SUMIF(月間集計シート!$M$92:$M$111,$G1311,月間集計シート!T$92:T$111)*AK$2</f>
        <v>0</v>
      </c>
      <c r="AL1311" s="88">
        <f>SUMIF(月間集計シート!$M$113:$M$132,$G1311,月間集計シート!N$113:N$132)*AL$2</f>
        <v>0</v>
      </c>
      <c r="AM1311" s="88">
        <f>SUMIF(月間集計シート!$M$113:$M$132,$G1311,月間集計シート!O$113:O$132)*AM$2</f>
        <v>0</v>
      </c>
      <c r="AN1311" s="88">
        <f>SUMIF(月間集計シート!$M$113:$M$132,$G1311,月間集計シート!P$113:P$132)*AN$2</f>
        <v>0</v>
      </c>
      <c r="AO1311" s="88">
        <f>SUMIF(月間集計シート!$M$113:$M$132,$G1311,月間集計シート!Q$113:Q$132)*AO$2</f>
        <v>0</v>
      </c>
      <c r="AP1311" s="88">
        <f>SUMIF(月間集計シート!$M$113:$M$132,$G1311,月間集計シート!R$113:R$132)*AP$2</f>
        <v>0</v>
      </c>
      <c r="AQ1311" s="88">
        <f>SUMIF(月間集計シート!$M$113:$M$132,$G1311,月間集計シート!S$113:S$132)*AQ$2</f>
        <v>0</v>
      </c>
      <c r="AR1311" s="88">
        <f>SUMIF(月間集計シート!$M$113:$M$132,$G1311,月間集計シート!T$113:T$132)*AR$2</f>
        <v>0</v>
      </c>
      <c r="AS1311" s="88">
        <f>SUMIF(月間集計シート!$M$134:$M$153,$G1311,月間集計シート!N$134:N$153)*AS$2</f>
        <v>0</v>
      </c>
      <c r="AT1311" s="88">
        <f>SUMIF(月間集計シート!$M$134:$M$153,$G1311,月間集計シート!O$134:O$153)*AT$2</f>
        <v>0</v>
      </c>
      <c r="AU1311" s="88">
        <f>SUMIF(月間集計シート!$M$134:$M$153,$G1311,月間集計シート!P$134:P$153)*AU$2</f>
        <v>0</v>
      </c>
      <c r="AV1311" s="88">
        <f>SUMIF(月間集計シート!$M$134:$M$153,$G1311,月間集計シート!Q$134:Q$153)*AV$2</f>
        <v>0</v>
      </c>
      <c r="AW1311" s="88">
        <f>SUMIF(月間集計シート!$M$134:$M$153,$G1311,月間集計シート!R$134:R$153)*AW$2</f>
        <v>0</v>
      </c>
      <c r="AX1311" s="88">
        <f>SUMIF(月間集計シート!$M$134:$M$153,$G1311,月間集計シート!S$134:S$153)*AX$2</f>
        <v>0</v>
      </c>
      <c r="AY1311" s="88">
        <f>SUMIF(月間集計シート!$M$134:$M$153,$G1311,月間集計シート!T$134:T$153)*AY$2</f>
        <v>0</v>
      </c>
    </row>
    <row r="1312" spans="1:51" ht="14.25" thickBot="1">
      <c r="A1312">
        <v>16</v>
      </c>
      <c r="B1312" s="120">
        <f t="shared" si="729"/>
        <v>0</v>
      </c>
      <c r="C1312" s="120" t="str">
        <f t="shared" si="730"/>
        <v/>
      </c>
      <c r="D1312" s="137"/>
      <c r="E1312" s="150" t="str">
        <f>工種!A29</f>
        <v>40107</v>
      </c>
      <c r="F1312" s="119" t="str">
        <f>工種!B29</f>
        <v>テスト：評価報告書作成</v>
      </c>
      <c r="G1312" s="116" t="str">
        <f t="shared" si="731"/>
        <v>040107</v>
      </c>
      <c r="H1312" s="88">
        <f t="shared" si="685"/>
        <v>0</v>
      </c>
      <c r="I1312" s="132"/>
      <c r="J1312" s="88">
        <f>SUMIF(月間集計シート!$M$29:$M$48,$G1312,月間集計シート!N$29:N$48)*J$2</f>
        <v>0</v>
      </c>
      <c r="K1312" s="88">
        <f>SUMIF(月間集計シート!$M$29:$M$48,$G1312,月間集計シート!O$29:O$48)*K$2</f>
        <v>0</v>
      </c>
      <c r="L1312" s="88">
        <f>SUMIF(月間集計シート!$M$29:$M$48,$G1312,月間集計シート!P$29:P$48)*L$2</f>
        <v>0</v>
      </c>
      <c r="M1312" s="88">
        <f>SUMIF(月間集計シート!$M$29:$M$48,$G1312,月間集計シート!Q$29:Q$48)*M$2</f>
        <v>0</v>
      </c>
      <c r="N1312" s="88">
        <f>SUMIF(月間集計シート!$M$29:$M$48,$G1312,月間集計シート!R$29:R$48)*N$2</f>
        <v>0</v>
      </c>
      <c r="O1312" s="88">
        <f>SUMIF(月間集計シート!$M$29:$M$48,$G1312,月間集計シート!S$29:S$48)*O$2</f>
        <v>0</v>
      </c>
      <c r="P1312" s="88">
        <f>SUMIF(月間集計シート!$M$29:$M$48,$G1312,月間集計シート!T$29:T$48)*P$2</f>
        <v>0</v>
      </c>
      <c r="Q1312" s="88">
        <f>SUMIF(月間集計シート!$M$50:$M$69,$G1312,月間集計シート!N$50:N$69)*Q$2</f>
        <v>0</v>
      </c>
      <c r="R1312" s="88">
        <f>SUMIF(月間集計シート!$M$50:$M$69,$G1312,月間集計シート!O$50:O$69)*R$2</f>
        <v>0</v>
      </c>
      <c r="S1312" s="88">
        <f>SUMIF(月間集計シート!$M$50:$M$69,$G1312,月間集計シート!P$50:P$69)*S$2</f>
        <v>0</v>
      </c>
      <c r="T1312" s="88">
        <f>SUMIF(月間集計シート!$M$50:$M$69,$G1312,月間集計シート!Q$50:Q$69)*T$2</f>
        <v>0</v>
      </c>
      <c r="U1312" s="88">
        <f>SUMIF(月間集計シート!$M$50:$M$69,$G1312,月間集計シート!R$50:R$69)*U$2</f>
        <v>0</v>
      </c>
      <c r="V1312" s="88">
        <f>SUMIF(月間集計シート!$M$50:$M$69,$G1312,月間集計シート!S$50:S$69)*V$2</f>
        <v>0</v>
      </c>
      <c r="W1312" s="88">
        <f>SUMIF(月間集計シート!$M$50:$M$69,$G1312,月間集計シート!T$50:T$69)*W$2</f>
        <v>0</v>
      </c>
      <c r="X1312" s="88">
        <f>SUMIF(月間集計シート!$M$71:$M$90,$G1312,月間集計シート!N$71:N$90)*X$2</f>
        <v>0</v>
      </c>
      <c r="Y1312" s="88">
        <f>SUMIF(月間集計シート!$M$71:$M$90,$G1312,月間集計シート!O$71:O$90)*Y$2</f>
        <v>0</v>
      </c>
      <c r="Z1312" s="88">
        <f>SUMIF(月間集計シート!$M$71:$M$90,$G1312,月間集計シート!P$71:P$90)*Z$2</f>
        <v>0</v>
      </c>
      <c r="AA1312" s="88">
        <f>SUMIF(月間集計シート!$M$71:$M$90,$G1312,月間集計シート!Q$71:Q$90)*AA$2</f>
        <v>0</v>
      </c>
      <c r="AB1312" s="88">
        <f>SUMIF(月間集計シート!$M$71:$M$90,$G1312,月間集計シート!R$71:R$90)*AB$2</f>
        <v>0</v>
      </c>
      <c r="AC1312" s="88">
        <f>SUMIF(月間集計シート!$M$71:$M$90,$G1312,月間集計シート!S$71:S$90)*AC$2</f>
        <v>0</v>
      </c>
      <c r="AD1312" s="88">
        <f>SUMIF(月間集計シート!$M$71:$M$90,$G1312,月間集計シート!T$71:T$90)*AD$2</f>
        <v>0</v>
      </c>
      <c r="AE1312" s="88">
        <f>SUMIF(月間集計シート!$M$92:$M$111,$G1312,月間集計シート!N$92:N$111)*AE$2</f>
        <v>0</v>
      </c>
      <c r="AF1312" s="88">
        <f>SUMIF(月間集計シート!$M$92:$M$111,$G1312,月間集計シート!O$92:O$111)*AF$2</f>
        <v>0</v>
      </c>
      <c r="AG1312" s="88">
        <f>SUMIF(月間集計シート!$M$92:$M$111,$G1312,月間集計シート!P$92:P$111)*AG$2</f>
        <v>0</v>
      </c>
      <c r="AH1312" s="88">
        <f>SUMIF(月間集計シート!$M$92:$M$111,$G1312,月間集計シート!Q$92:Q$111)*AH$2</f>
        <v>0</v>
      </c>
      <c r="AI1312" s="88">
        <f>SUMIF(月間集計シート!$M$92:$M$111,$G1312,月間集計シート!R$92:R$111)*AI$2</f>
        <v>0</v>
      </c>
      <c r="AJ1312" s="88">
        <f>SUMIF(月間集計シート!$M$92:$M$111,$G1312,月間集計シート!S$92:S$111)*AJ$2</f>
        <v>0</v>
      </c>
      <c r="AK1312" s="88">
        <f>SUMIF(月間集計シート!$M$92:$M$111,$G1312,月間集計シート!T$92:T$111)*AK$2</f>
        <v>0</v>
      </c>
      <c r="AL1312" s="88">
        <f>SUMIF(月間集計シート!$M$113:$M$132,$G1312,月間集計シート!N$113:N$132)*AL$2</f>
        <v>0</v>
      </c>
      <c r="AM1312" s="88">
        <f>SUMIF(月間集計シート!$M$113:$M$132,$G1312,月間集計シート!O$113:O$132)*AM$2</f>
        <v>0</v>
      </c>
      <c r="AN1312" s="88">
        <f>SUMIF(月間集計シート!$M$113:$M$132,$G1312,月間集計シート!P$113:P$132)*AN$2</f>
        <v>0</v>
      </c>
      <c r="AO1312" s="88">
        <f>SUMIF(月間集計シート!$M$113:$M$132,$G1312,月間集計シート!Q$113:Q$132)*AO$2</f>
        <v>0</v>
      </c>
      <c r="AP1312" s="88">
        <f>SUMIF(月間集計シート!$M$113:$M$132,$G1312,月間集計シート!R$113:R$132)*AP$2</f>
        <v>0</v>
      </c>
      <c r="AQ1312" s="88">
        <f>SUMIF(月間集計シート!$M$113:$M$132,$G1312,月間集計シート!S$113:S$132)*AQ$2</f>
        <v>0</v>
      </c>
      <c r="AR1312" s="88">
        <f>SUMIF(月間集計シート!$M$113:$M$132,$G1312,月間集計シート!T$113:T$132)*AR$2</f>
        <v>0</v>
      </c>
      <c r="AS1312" s="88">
        <f>SUMIF(月間集計シート!$M$134:$M$153,$G1312,月間集計シート!N$134:N$153)*AS$2</f>
        <v>0</v>
      </c>
      <c r="AT1312" s="88">
        <f>SUMIF(月間集計シート!$M$134:$M$153,$G1312,月間集計シート!O$134:O$153)*AT$2</f>
        <v>0</v>
      </c>
      <c r="AU1312" s="88">
        <f>SUMIF(月間集計シート!$M$134:$M$153,$G1312,月間集計シート!P$134:P$153)*AU$2</f>
        <v>0</v>
      </c>
      <c r="AV1312" s="88">
        <f>SUMIF(月間集計シート!$M$134:$M$153,$G1312,月間集計シート!Q$134:Q$153)*AV$2</f>
        <v>0</v>
      </c>
      <c r="AW1312" s="88">
        <f>SUMIF(月間集計シート!$M$134:$M$153,$G1312,月間集計シート!R$134:R$153)*AW$2</f>
        <v>0</v>
      </c>
      <c r="AX1312" s="88">
        <f>SUMIF(月間集計シート!$M$134:$M$153,$G1312,月間集計シート!S$134:S$153)*AX$2</f>
        <v>0</v>
      </c>
      <c r="AY1312" s="88">
        <f>SUMIF(月間集計シート!$M$134:$M$153,$G1312,月間集計シート!T$134:T$153)*AY$2</f>
        <v>0</v>
      </c>
    </row>
    <row r="1313" spans="1:51" ht="14.25" thickBot="1">
      <c r="A1313">
        <v>16</v>
      </c>
      <c r="B1313" s="120">
        <f t="shared" si="729"/>
        <v>0</v>
      </c>
      <c r="C1313" s="120" t="str">
        <f t="shared" si="730"/>
        <v/>
      </c>
      <c r="D1313" s="137"/>
      <c r="E1313" s="150" t="str">
        <f>工種!A30</f>
        <v>40108</v>
      </c>
      <c r="F1313" s="119" t="str">
        <f>工種!B30</f>
        <v>テスト：総合評価実施</v>
      </c>
      <c r="G1313" s="116" t="str">
        <f t="shared" si="731"/>
        <v>040108</v>
      </c>
      <c r="H1313" s="88">
        <f t="shared" si="685"/>
        <v>0</v>
      </c>
      <c r="I1313" s="132"/>
      <c r="J1313" s="88">
        <f>SUMIF(月間集計シート!$M$29:$M$48,$G1313,月間集計シート!N$29:N$48)*J$2</f>
        <v>0</v>
      </c>
      <c r="K1313" s="88">
        <f>SUMIF(月間集計シート!$M$29:$M$48,$G1313,月間集計シート!O$29:O$48)*K$2</f>
        <v>0</v>
      </c>
      <c r="L1313" s="88">
        <f>SUMIF(月間集計シート!$M$29:$M$48,$G1313,月間集計シート!P$29:P$48)*L$2</f>
        <v>0</v>
      </c>
      <c r="M1313" s="88">
        <f>SUMIF(月間集計シート!$M$29:$M$48,$G1313,月間集計シート!Q$29:Q$48)*M$2</f>
        <v>0</v>
      </c>
      <c r="N1313" s="88">
        <f>SUMIF(月間集計シート!$M$29:$M$48,$G1313,月間集計シート!R$29:R$48)*N$2</f>
        <v>0</v>
      </c>
      <c r="O1313" s="88">
        <f>SUMIF(月間集計シート!$M$29:$M$48,$G1313,月間集計シート!S$29:S$48)*O$2</f>
        <v>0</v>
      </c>
      <c r="P1313" s="88">
        <f>SUMIF(月間集計シート!$M$29:$M$48,$G1313,月間集計シート!T$29:T$48)*P$2</f>
        <v>0</v>
      </c>
      <c r="Q1313" s="88">
        <f>SUMIF(月間集計シート!$M$50:$M$69,$G1313,月間集計シート!N$50:N$69)*Q$2</f>
        <v>0</v>
      </c>
      <c r="R1313" s="88">
        <f>SUMIF(月間集計シート!$M$50:$M$69,$G1313,月間集計シート!O$50:O$69)*R$2</f>
        <v>0</v>
      </c>
      <c r="S1313" s="88">
        <f>SUMIF(月間集計シート!$M$50:$M$69,$G1313,月間集計シート!P$50:P$69)*S$2</f>
        <v>0</v>
      </c>
      <c r="T1313" s="88">
        <f>SUMIF(月間集計シート!$M$50:$M$69,$G1313,月間集計シート!Q$50:Q$69)*T$2</f>
        <v>0</v>
      </c>
      <c r="U1313" s="88">
        <f>SUMIF(月間集計シート!$M$50:$M$69,$G1313,月間集計シート!R$50:R$69)*U$2</f>
        <v>0</v>
      </c>
      <c r="V1313" s="88">
        <f>SUMIF(月間集計シート!$M$50:$M$69,$G1313,月間集計シート!S$50:S$69)*V$2</f>
        <v>0</v>
      </c>
      <c r="W1313" s="88">
        <f>SUMIF(月間集計シート!$M$50:$M$69,$G1313,月間集計シート!T$50:T$69)*W$2</f>
        <v>0</v>
      </c>
      <c r="X1313" s="88">
        <f>SUMIF(月間集計シート!$M$71:$M$90,$G1313,月間集計シート!N$71:N$90)*X$2</f>
        <v>0</v>
      </c>
      <c r="Y1313" s="88">
        <f>SUMIF(月間集計シート!$M$71:$M$90,$G1313,月間集計シート!O$71:O$90)*Y$2</f>
        <v>0</v>
      </c>
      <c r="Z1313" s="88">
        <f>SUMIF(月間集計シート!$M$71:$M$90,$G1313,月間集計シート!P$71:P$90)*Z$2</f>
        <v>0</v>
      </c>
      <c r="AA1313" s="88">
        <f>SUMIF(月間集計シート!$M$71:$M$90,$G1313,月間集計シート!Q$71:Q$90)*AA$2</f>
        <v>0</v>
      </c>
      <c r="AB1313" s="88">
        <f>SUMIF(月間集計シート!$M$71:$M$90,$G1313,月間集計シート!R$71:R$90)*AB$2</f>
        <v>0</v>
      </c>
      <c r="AC1313" s="88">
        <f>SUMIF(月間集計シート!$M$71:$M$90,$G1313,月間集計シート!S$71:S$90)*AC$2</f>
        <v>0</v>
      </c>
      <c r="AD1313" s="88">
        <f>SUMIF(月間集計シート!$M$71:$M$90,$G1313,月間集計シート!T$71:T$90)*AD$2</f>
        <v>0</v>
      </c>
      <c r="AE1313" s="88">
        <f>SUMIF(月間集計シート!$M$92:$M$111,$G1313,月間集計シート!N$92:N$111)*AE$2</f>
        <v>0</v>
      </c>
      <c r="AF1313" s="88">
        <f>SUMIF(月間集計シート!$M$92:$M$111,$G1313,月間集計シート!O$92:O$111)*AF$2</f>
        <v>0</v>
      </c>
      <c r="AG1313" s="88">
        <f>SUMIF(月間集計シート!$M$92:$M$111,$G1313,月間集計シート!P$92:P$111)*AG$2</f>
        <v>0</v>
      </c>
      <c r="AH1313" s="88">
        <f>SUMIF(月間集計シート!$M$92:$M$111,$G1313,月間集計シート!Q$92:Q$111)*AH$2</f>
        <v>0</v>
      </c>
      <c r="AI1313" s="88">
        <f>SUMIF(月間集計シート!$M$92:$M$111,$G1313,月間集計シート!R$92:R$111)*AI$2</f>
        <v>0</v>
      </c>
      <c r="AJ1313" s="88">
        <f>SUMIF(月間集計シート!$M$92:$M$111,$G1313,月間集計シート!S$92:S$111)*AJ$2</f>
        <v>0</v>
      </c>
      <c r="AK1313" s="88">
        <f>SUMIF(月間集計シート!$M$92:$M$111,$G1313,月間集計シート!T$92:T$111)*AK$2</f>
        <v>0</v>
      </c>
      <c r="AL1313" s="88">
        <f>SUMIF(月間集計シート!$M$113:$M$132,$G1313,月間集計シート!N$113:N$132)*AL$2</f>
        <v>0</v>
      </c>
      <c r="AM1313" s="88">
        <f>SUMIF(月間集計シート!$M$113:$M$132,$G1313,月間集計シート!O$113:O$132)*AM$2</f>
        <v>0</v>
      </c>
      <c r="AN1313" s="88">
        <f>SUMIF(月間集計シート!$M$113:$M$132,$G1313,月間集計シート!P$113:P$132)*AN$2</f>
        <v>0</v>
      </c>
      <c r="AO1313" s="88">
        <f>SUMIF(月間集計シート!$M$113:$M$132,$G1313,月間集計シート!Q$113:Q$132)*AO$2</f>
        <v>0</v>
      </c>
      <c r="AP1313" s="88">
        <f>SUMIF(月間集計シート!$M$113:$M$132,$G1313,月間集計シート!R$113:R$132)*AP$2</f>
        <v>0</v>
      </c>
      <c r="AQ1313" s="88">
        <f>SUMIF(月間集計シート!$M$113:$M$132,$G1313,月間集計シート!S$113:S$132)*AQ$2</f>
        <v>0</v>
      </c>
      <c r="AR1313" s="88">
        <f>SUMIF(月間集計シート!$M$113:$M$132,$G1313,月間集計シート!T$113:T$132)*AR$2</f>
        <v>0</v>
      </c>
      <c r="AS1313" s="88">
        <f>SUMIF(月間集計シート!$M$134:$M$153,$G1313,月間集計シート!N$134:N$153)*AS$2</f>
        <v>0</v>
      </c>
      <c r="AT1313" s="88">
        <f>SUMIF(月間集計シート!$M$134:$M$153,$G1313,月間集計シート!O$134:O$153)*AT$2</f>
        <v>0</v>
      </c>
      <c r="AU1313" s="88">
        <f>SUMIF(月間集計シート!$M$134:$M$153,$G1313,月間集計シート!P$134:P$153)*AU$2</f>
        <v>0</v>
      </c>
      <c r="AV1313" s="88">
        <f>SUMIF(月間集計シート!$M$134:$M$153,$G1313,月間集計シート!Q$134:Q$153)*AV$2</f>
        <v>0</v>
      </c>
      <c r="AW1313" s="88">
        <f>SUMIF(月間集計シート!$M$134:$M$153,$G1313,月間集計シート!R$134:R$153)*AW$2</f>
        <v>0</v>
      </c>
      <c r="AX1313" s="88">
        <f>SUMIF(月間集計シート!$M$134:$M$153,$G1313,月間集計シート!S$134:S$153)*AX$2</f>
        <v>0</v>
      </c>
      <c r="AY1313" s="88">
        <f>SUMIF(月間集計シート!$M$134:$M$153,$G1313,月間集計シート!T$134:T$153)*AY$2</f>
        <v>0</v>
      </c>
    </row>
    <row r="1314" spans="1:51" ht="14.25" thickBot="1">
      <c r="A1314">
        <v>16</v>
      </c>
      <c r="B1314" s="120">
        <f t="shared" si="729"/>
        <v>0</v>
      </c>
      <c r="C1314" s="120" t="str">
        <f t="shared" si="730"/>
        <v/>
      </c>
      <c r="D1314" s="137"/>
      <c r="E1314" s="150" t="str">
        <f>工種!A31</f>
        <v>40109</v>
      </c>
      <c r="F1314" s="119" t="str">
        <f>工種!B31</f>
        <v>テスト：打合せ</v>
      </c>
      <c r="G1314" s="116" t="str">
        <f t="shared" si="731"/>
        <v>040109</v>
      </c>
      <c r="H1314" s="88">
        <f t="shared" si="685"/>
        <v>0</v>
      </c>
      <c r="I1314" s="132"/>
      <c r="J1314" s="88">
        <f>SUMIF(月間集計シート!$M$29:$M$48,$G1314,月間集計シート!N$29:N$48)*J$2</f>
        <v>0</v>
      </c>
      <c r="K1314" s="88">
        <f>SUMIF(月間集計シート!$M$29:$M$48,$G1314,月間集計シート!O$29:O$48)*K$2</f>
        <v>0</v>
      </c>
      <c r="L1314" s="88">
        <f>SUMIF(月間集計シート!$M$29:$M$48,$G1314,月間集計シート!P$29:P$48)*L$2</f>
        <v>0</v>
      </c>
      <c r="M1314" s="88">
        <f>SUMIF(月間集計シート!$M$29:$M$48,$G1314,月間集計シート!Q$29:Q$48)*M$2</f>
        <v>0</v>
      </c>
      <c r="N1314" s="88">
        <f>SUMIF(月間集計シート!$M$29:$M$48,$G1314,月間集計シート!R$29:R$48)*N$2</f>
        <v>0</v>
      </c>
      <c r="O1314" s="88">
        <f>SUMIF(月間集計シート!$M$29:$M$48,$G1314,月間集計シート!S$29:S$48)*O$2</f>
        <v>0</v>
      </c>
      <c r="P1314" s="88">
        <f>SUMIF(月間集計シート!$M$29:$M$48,$G1314,月間集計シート!T$29:T$48)*P$2</f>
        <v>0</v>
      </c>
      <c r="Q1314" s="88">
        <f>SUMIF(月間集計シート!$M$50:$M$69,$G1314,月間集計シート!N$50:N$69)*Q$2</f>
        <v>0</v>
      </c>
      <c r="R1314" s="88">
        <f>SUMIF(月間集計シート!$M$50:$M$69,$G1314,月間集計シート!O$50:O$69)*R$2</f>
        <v>0</v>
      </c>
      <c r="S1314" s="88">
        <f>SUMIF(月間集計シート!$M$50:$M$69,$G1314,月間集計シート!P$50:P$69)*S$2</f>
        <v>0</v>
      </c>
      <c r="T1314" s="88">
        <f>SUMIF(月間集計シート!$M$50:$M$69,$G1314,月間集計シート!Q$50:Q$69)*T$2</f>
        <v>0</v>
      </c>
      <c r="U1314" s="88">
        <f>SUMIF(月間集計シート!$M$50:$M$69,$G1314,月間集計シート!R$50:R$69)*U$2</f>
        <v>0</v>
      </c>
      <c r="V1314" s="88">
        <f>SUMIF(月間集計シート!$M$50:$M$69,$G1314,月間集計シート!S$50:S$69)*V$2</f>
        <v>0</v>
      </c>
      <c r="W1314" s="88">
        <f>SUMIF(月間集計シート!$M$50:$M$69,$G1314,月間集計シート!T$50:T$69)*W$2</f>
        <v>0</v>
      </c>
      <c r="X1314" s="88">
        <f>SUMIF(月間集計シート!$M$71:$M$90,$G1314,月間集計シート!N$71:N$90)*X$2</f>
        <v>0</v>
      </c>
      <c r="Y1314" s="88">
        <f>SUMIF(月間集計シート!$M$71:$M$90,$G1314,月間集計シート!O$71:O$90)*Y$2</f>
        <v>0</v>
      </c>
      <c r="Z1314" s="88">
        <f>SUMIF(月間集計シート!$M$71:$M$90,$G1314,月間集計シート!P$71:P$90)*Z$2</f>
        <v>0</v>
      </c>
      <c r="AA1314" s="88">
        <f>SUMIF(月間集計シート!$M$71:$M$90,$G1314,月間集計シート!Q$71:Q$90)*AA$2</f>
        <v>0</v>
      </c>
      <c r="AB1314" s="88">
        <f>SUMIF(月間集計シート!$M$71:$M$90,$G1314,月間集計シート!R$71:R$90)*AB$2</f>
        <v>0</v>
      </c>
      <c r="AC1314" s="88">
        <f>SUMIF(月間集計シート!$M$71:$M$90,$G1314,月間集計シート!S$71:S$90)*AC$2</f>
        <v>0</v>
      </c>
      <c r="AD1314" s="88">
        <f>SUMIF(月間集計シート!$M$71:$M$90,$G1314,月間集計シート!T$71:T$90)*AD$2</f>
        <v>0</v>
      </c>
      <c r="AE1314" s="88">
        <f>SUMIF(月間集計シート!$M$92:$M$111,$G1314,月間集計シート!N$92:N$111)*AE$2</f>
        <v>0</v>
      </c>
      <c r="AF1314" s="88">
        <f>SUMIF(月間集計シート!$M$92:$M$111,$G1314,月間集計シート!O$92:O$111)*AF$2</f>
        <v>0</v>
      </c>
      <c r="AG1314" s="88">
        <f>SUMIF(月間集計シート!$M$92:$M$111,$G1314,月間集計シート!P$92:P$111)*AG$2</f>
        <v>0</v>
      </c>
      <c r="AH1314" s="88">
        <f>SUMIF(月間集計シート!$M$92:$M$111,$G1314,月間集計シート!Q$92:Q$111)*AH$2</f>
        <v>0</v>
      </c>
      <c r="AI1314" s="88">
        <f>SUMIF(月間集計シート!$M$92:$M$111,$G1314,月間集計シート!R$92:R$111)*AI$2</f>
        <v>0</v>
      </c>
      <c r="AJ1314" s="88">
        <f>SUMIF(月間集計シート!$M$92:$M$111,$G1314,月間集計シート!S$92:S$111)*AJ$2</f>
        <v>0</v>
      </c>
      <c r="AK1314" s="88">
        <f>SUMIF(月間集計シート!$M$92:$M$111,$G1314,月間集計シート!T$92:T$111)*AK$2</f>
        <v>0</v>
      </c>
      <c r="AL1314" s="88">
        <f>SUMIF(月間集計シート!$M$113:$M$132,$G1314,月間集計シート!N$113:N$132)*AL$2</f>
        <v>0</v>
      </c>
      <c r="AM1314" s="88">
        <f>SUMIF(月間集計シート!$M$113:$M$132,$G1314,月間集計シート!O$113:O$132)*AM$2</f>
        <v>0</v>
      </c>
      <c r="AN1314" s="88">
        <f>SUMIF(月間集計シート!$M$113:$M$132,$G1314,月間集計シート!P$113:P$132)*AN$2</f>
        <v>0</v>
      </c>
      <c r="AO1314" s="88">
        <f>SUMIF(月間集計シート!$M$113:$M$132,$G1314,月間集計シート!Q$113:Q$132)*AO$2</f>
        <v>0</v>
      </c>
      <c r="AP1314" s="88">
        <f>SUMIF(月間集計シート!$M$113:$M$132,$G1314,月間集計シート!R$113:R$132)*AP$2</f>
        <v>0</v>
      </c>
      <c r="AQ1314" s="88">
        <f>SUMIF(月間集計シート!$M$113:$M$132,$G1314,月間集計シート!S$113:S$132)*AQ$2</f>
        <v>0</v>
      </c>
      <c r="AR1314" s="88">
        <f>SUMIF(月間集計シート!$M$113:$M$132,$G1314,月間集計シート!T$113:T$132)*AR$2</f>
        <v>0</v>
      </c>
      <c r="AS1314" s="88">
        <f>SUMIF(月間集計シート!$M$134:$M$153,$G1314,月間集計シート!N$134:N$153)*AS$2</f>
        <v>0</v>
      </c>
      <c r="AT1314" s="88">
        <f>SUMIF(月間集計シート!$M$134:$M$153,$G1314,月間集計シート!O$134:O$153)*AT$2</f>
        <v>0</v>
      </c>
      <c r="AU1314" s="88">
        <f>SUMIF(月間集計シート!$M$134:$M$153,$G1314,月間集計シート!P$134:P$153)*AU$2</f>
        <v>0</v>
      </c>
      <c r="AV1314" s="88">
        <f>SUMIF(月間集計シート!$M$134:$M$153,$G1314,月間集計シート!Q$134:Q$153)*AV$2</f>
        <v>0</v>
      </c>
      <c r="AW1314" s="88">
        <f>SUMIF(月間集計シート!$M$134:$M$153,$G1314,月間集計シート!R$134:R$153)*AW$2</f>
        <v>0</v>
      </c>
      <c r="AX1314" s="88">
        <f>SUMIF(月間集計シート!$M$134:$M$153,$G1314,月間集計シート!S$134:S$153)*AX$2</f>
        <v>0</v>
      </c>
      <c r="AY1314" s="88">
        <f>SUMIF(月間集計シート!$M$134:$M$153,$G1314,月間集計シート!T$134:T$153)*AY$2</f>
        <v>0</v>
      </c>
    </row>
    <row r="1315" spans="1:51" ht="14.25" thickBot="1">
      <c r="A1315">
        <v>16</v>
      </c>
      <c r="B1315" s="120">
        <f t="shared" si="729"/>
        <v>0</v>
      </c>
      <c r="C1315" s="120" t="str">
        <f t="shared" si="730"/>
        <v/>
      </c>
      <c r="D1315" s="137"/>
      <c r="E1315" s="150" t="str">
        <f>工種!A32</f>
        <v>40110</v>
      </c>
      <c r="F1315" s="119" t="str">
        <f>工種!B32</f>
        <v>テスト：レビュー</v>
      </c>
      <c r="G1315" s="116" t="str">
        <f t="shared" si="731"/>
        <v>040110</v>
      </c>
      <c r="H1315" s="88">
        <f t="shared" si="685"/>
        <v>0</v>
      </c>
      <c r="I1315" s="132"/>
      <c r="J1315" s="88">
        <f>SUMIF(月間集計シート!$M$29:$M$48,$G1315,月間集計シート!N$29:N$48)*J$2</f>
        <v>0</v>
      </c>
      <c r="K1315" s="88">
        <f>SUMIF(月間集計シート!$M$29:$M$48,$G1315,月間集計シート!O$29:O$48)*K$2</f>
        <v>0</v>
      </c>
      <c r="L1315" s="88">
        <f>SUMIF(月間集計シート!$M$29:$M$48,$G1315,月間集計シート!P$29:P$48)*L$2</f>
        <v>0</v>
      </c>
      <c r="M1315" s="88">
        <f>SUMIF(月間集計シート!$M$29:$M$48,$G1315,月間集計シート!Q$29:Q$48)*M$2</f>
        <v>0</v>
      </c>
      <c r="N1315" s="88">
        <f>SUMIF(月間集計シート!$M$29:$M$48,$G1315,月間集計シート!R$29:R$48)*N$2</f>
        <v>0</v>
      </c>
      <c r="O1315" s="88">
        <f>SUMIF(月間集計シート!$M$29:$M$48,$G1315,月間集計シート!S$29:S$48)*O$2</f>
        <v>0</v>
      </c>
      <c r="P1315" s="88">
        <f>SUMIF(月間集計シート!$M$29:$M$48,$G1315,月間集計シート!T$29:T$48)*P$2</f>
        <v>0</v>
      </c>
      <c r="Q1315" s="88">
        <f>SUMIF(月間集計シート!$M$50:$M$69,$G1315,月間集計シート!N$50:N$69)*Q$2</f>
        <v>0</v>
      </c>
      <c r="R1315" s="88">
        <f>SUMIF(月間集計シート!$M$50:$M$69,$G1315,月間集計シート!O$50:O$69)*R$2</f>
        <v>0</v>
      </c>
      <c r="S1315" s="88">
        <f>SUMIF(月間集計シート!$M$50:$M$69,$G1315,月間集計シート!P$50:P$69)*S$2</f>
        <v>0</v>
      </c>
      <c r="T1315" s="88">
        <f>SUMIF(月間集計シート!$M$50:$M$69,$G1315,月間集計シート!Q$50:Q$69)*T$2</f>
        <v>0</v>
      </c>
      <c r="U1315" s="88">
        <f>SUMIF(月間集計シート!$M$50:$M$69,$G1315,月間集計シート!R$50:R$69)*U$2</f>
        <v>0</v>
      </c>
      <c r="V1315" s="88">
        <f>SUMIF(月間集計シート!$M$50:$M$69,$G1315,月間集計シート!S$50:S$69)*V$2</f>
        <v>0</v>
      </c>
      <c r="W1315" s="88">
        <f>SUMIF(月間集計シート!$M$50:$M$69,$G1315,月間集計シート!T$50:T$69)*W$2</f>
        <v>0</v>
      </c>
      <c r="X1315" s="88">
        <f>SUMIF(月間集計シート!$M$71:$M$90,$G1315,月間集計シート!N$71:N$90)*X$2</f>
        <v>0</v>
      </c>
      <c r="Y1315" s="88">
        <f>SUMIF(月間集計シート!$M$71:$M$90,$G1315,月間集計シート!O$71:O$90)*Y$2</f>
        <v>0</v>
      </c>
      <c r="Z1315" s="88">
        <f>SUMIF(月間集計シート!$M$71:$M$90,$G1315,月間集計シート!P$71:P$90)*Z$2</f>
        <v>0</v>
      </c>
      <c r="AA1315" s="88">
        <f>SUMIF(月間集計シート!$M$71:$M$90,$G1315,月間集計シート!Q$71:Q$90)*AA$2</f>
        <v>0</v>
      </c>
      <c r="AB1315" s="88">
        <f>SUMIF(月間集計シート!$M$71:$M$90,$G1315,月間集計シート!R$71:R$90)*AB$2</f>
        <v>0</v>
      </c>
      <c r="AC1315" s="88">
        <f>SUMIF(月間集計シート!$M$71:$M$90,$G1315,月間集計シート!S$71:S$90)*AC$2</f>
        <v>0</v>
      </c>
      <c r="AD1315" s="88">
        <f>SUMIF(月間集計シート!$M$71:$M$90,$G1315,月間集計シート!T$71:T$90)*AD$2</f>
        <v>0</v>
      </c>
      <c r="AE1315" s="88">
        <f>SUMIF(月間集計シート!$M$92:$M$111,$G1315,月間集計シート!N$92:N$111)*AE$2</f>
        <v>0</v>
      </c>
      <c r="AF1315" s="88">
        <f>SUMIF(月間集計シート!$M$92:$M$111,$G1315,月間集計シート!O$92:O$111)*AF$2</f>
        <v>0</v>
      </c>
      <c r="AG1315" s="88">
        <f>SUMIF(月間集計シート!$M$92:$M$111,$G1315,月間集計シート!P$92:P$111)*AG$2</f>
        <v>0</v>
      </c>
      <c r="AH1315" s="88">
        <f>SUMIF(月間集計シート!$M$92:$M$111,$G1315,月間集計シート!Q$92:Q$111)*AH$2</f>
        <v>0</v>
      </c>
      <c r="AI1315" s="88">
        <f>SUMIF(月間集計シート!$M$92:$M$111,$G1315,月間集計シート!R$92:R$111)*AI$2</f>
        <v>0</v>
      </c>
      <c r="AJ1315" s="88">
        <f>SUMIF(月間集計シート!$M$92:$M$111,$G1315,月間集計シート!S$92:S$111)*AJ$2</f>
        <v>0</v>
      </c>
      <c r="AK1315" s="88">
        <f>SUMIF(月間集計シート!$M$92:$M$111,$G1315,月間集計シート!T$92:T$111)*AK$2</f>
        <v>0</v>
      </c>
      <c r="AL1315" s="88">
        <f>SUMIF(月間集計シート!$M$113:$M$132,$G1315,月間集計シート!N$113:N$132)*AL$2</f>
        <v>0</v>
      </c>
      <c r="AM1315" s="88">
        <f>SUMIF(月間集計シート!$M$113:$M$132,$G1315,月間集計シート!O$113:O$132)*AM$2</f>
        <v>0</v>
      </c>
      <c r="AN1315" s="88">
        <f>SUMIF(月間集計シート!$M$113:$M$132,$G1315,月間集計シート!P$113:P$132)*AN$2</f>
        <v>0</v>
      </c>
      <c r="AO1315" s="88">
        <f>SUMIF(月間集計シート!$M$113:$M$132,$G1315,月間集計シート!Q$113:Q$132)*AO$2</f>
        <v>0</v>
      </c>
      <c r="AP1315" s="88">
        <f>SUMIF(月間集計シート!$M$113:$M$132,$G1315,月間集計シート!R$113:R$132)*AP$2</f>
        <v>0</v>
      </c>
      <c r="AQ1315" s="88">
        <f>SUMIF(月間集計シート!$M$113:$M$132,$G1315,月間集計シート!S$113:S$132)*AQ$2</f>
        <v>0</v>
      </c>
      <c r="AR1315" s="88">
        <f>SUMIF(月間集計シート!$M$113:$M$132,$G1315,月間集計シート!T$113:T$132)*AR$2</f>
        <v>0</v>
      </c>
      <c r="AS1315" s="88">
        <f>SUMIF(月間集計シート!$M$134:$M$153,$G1315,月間集計シート!N$134:N$153)*AS$2</f>
        <v>0</v>
      </c>
      <c r="AT1315" s="88">
        <f>SUMIF(月間集計シート!$M$134:$M$153,$G1315,月間集計シート!O$134:O$153)*AT$2</f>
        <v>0</v>
      </c>
      <c r="AU1315" s="88">
        <f>SUMIF(月間集計シート!$M$134:$M$153,$G1315,月間集計シート!P$134:P$153)*AU$2</f>
        <v>0</v>
      </c>
      <c r="AV1315" s="88">
        <f>SUMIF(月間集計シート!$M$134:$M$153,$G1315,月間集計シート!Q$134:Q$153)*AV$2</f>
        <v>0</v>
      </c>
      <c r="AW1315" s="88">
        <f>SUMIF(月間集計シート!$M$134:$M$153,$G1315,月間集計シート!R$134:R$153)*AW$2</f>
        <v>0</v>
      </c>
      <c r="AX1315" s="88">
        <f>SUMIF(月間集計シート!$M$134:$M$153,$G1315,月間集計シート!S$134:S$153)*AX$2</f>
        <v>0</v>
      </c>
      <c r="AY1315" s="88">
        <f>SUMIF(月間集計シート!$M$134:$M$153,$G1315,月間集計シート!T$134:T$153)*AY$2</f>
        <v>0</v>
      </c>
    </row>
    <row r="1316" spans="1:51" ht="14.25" thickBot="1">
      <c r="A1316">
        <v>16</v>
      </c>
      <c r="B1316" s="120">
        <f t="shared" si="729"/>
        <v>0</v>
      </c>
      <c r="C1316" s="120" t="str">
        <f t="shared" si="730"/>
        <v/>
      </c>
      <c r="D1316" s="137"/>
      <c r="E1316" s="150" t="str">
        <f>工種!A33</f>
        <v>40111</v>
      </c>
      <c r="F1316" s="119" t="str">
        <f>工種!B33</f>
        <v>テスト：PG修正（手戻り分）</v>
      </c>
      <c r="G1316" s="116" t="str">
        <f t="shared" si="731"/>
        <v>040111</v>
      </c>
      <c r="H1316" s="88">
        <f t="shared" si="685"/>
        <v>0</v>
      </c>
      <c r="I1316" s="132"/>
      <c r="J1316" s="88">
        <f>SUMIF(月間集計シート!$M$29:$M$48,$G1316,月間集計シート!N$29:N$48)*J$2</f>
        <v>0</v>
      </c>
      <c r="K1316" s="88">
        <f>SUMIF(月間集計シート!$M$29:$M$48,$G1316,月間集計シート!O$29:O$48)*K$2</f>
        <v>0</v>
      </c>
      <c r="L1316" s="88">
        <f>SUMIF(月間集計シート!$M$29:$M$48,$G1316,月間集計シート!P$29:P$48)*L$2</f>
        <v>0</v>
      </c>
      <c r="M1316" s="88">
        <f>SUMIF(月間集計シート!$M$29:$M$48,$G1316,月間集計シート!Q$29:Q$48)*M$2</f>
        <v>0</v>
      </c>
      <c r="N1316" s="88">
        <f>SUMIF(月間集計シート!$M$29:$M$48,$G1316,月間集計シート!R$29:R$48)*N$2</f>
        <v>0</v>
      </c>
      <c r="O1316" s="88">
        <f>SUMIF(月間集計シート!$M$29:$M$48,$G1316,月間集計シート!S$29:S$48)*O$2</f>
        <v>0</v>
      </c>
      <c r="P1316" s="88">
        <f>SUMIF(月間集計シート!$M$29:$M$48,$G1316,月間集計シート!T$29:T$48)*P$2</f>
        <v>0</v>
      </c>
      <c r="Q1316" s="88">
        <f>SUMIF(月間集計シート!$M$50:$M$69,$G1316,月間集計シート!N$50:N$69)*Q$2</f>
        <v>0</v>
      </c>
      <c r="R1316" s="88">
        <f>SUMIF(月間集計シート!$M$50:$M$69,$G1316,月間集計シート!O$50:O$69)*R$2</f>
        <v>0</v>
      </c>
      <c r="S1316" s="88">
        <f>SUMIF(月間集計シート!$M$50:$M$69,$G1316,月間集計シート!P$50:P$69)*S$2</f>
        <v>0</v>
      </c>
      <c r="T1316" s="88">
        <f>SUMIF(月間集計シート!$M$50:$M$69,$G1316,月間集計シート!Q$50:Q$69)*T$2</f>
        <v>0</v>
      </c>
      <c r="U1316" s="88">
        <f>SUMIF(月間集計シート!$M$50:$M$69,$G1316,月間集計シート!R$50:R$69)*U$2</f>
        <v>0</v>
      </c>
      <c r="V1316" s="88">
        <f>SUMIF(月間集計シート!$M$50:$M$69,$G1316,月間集計シート!S$50:S$69)*V$2</f>
        <v>0</v>
      </c>
      <c r="W1316" s="88">
        <f>SUMIF(月間集計シート!$M$50:$M$69,$G1316,月間集計シート!T$50:T$69)*W$2</f>
        <v>0</v>
      </c>
      <c r="X1316" s="88">
        <f>SUMIF(月間集計シート!$M$71:$M$90,$G1316,月間集計シート!N$71:N$90)*X$2</f>
        <v>0</v>
      </c>
      <c r="Y1316" s="88">
        <f>SUMIF(月間集計シート!$M$71:$M$90,$G1316,月間集計シート!O$71:O$90)*Y$2</f>
        <v>0</v>
      </c>
      <c r="Z1316" s="88">
        <f>SUMIF(月間集計シート!$M$71:$M$90,$G1316,月間集計シート!P$71:P$90)*Z$2</f>
        <v>0</v>
      </c>
      <c r="AA1316" s="88">
        <f>SUMIF(月間集計シート!$M$71:$M$90,$G1316,月間集計シート!Q$71:Q$90)*AA$2</f>
        <v>0</v>
      </c>
      <c r="AB1316" s="88">
        <f>SUMIF(月間集計シート!$M$71:$M$90,$G1316,月間集計シート!R$71:R$90)*AB$2</f>
        <v>0</v>
      </c>
      <c r="AC1316" s="88">
        <f>SUMIF(月間集計シート!$M$71:$M$90,$G1316,月間集計シート!S$71:S$90)*AC$2</f>
        <v>0</v>
      </c>
      <c r="AD1316" s="88">
        <f>SUMIF(月間集計シート!$M$71:$M$90,$G1316,月間集計シート!T$71:T$90)*AD$2</f>
        <v>0</v>
      </c>
      <c r="AE1316" s="88">
        <f>SUMIF(月間集計シート!$M$92:$M$111,$G1316,月間集計シート!N$92:N$111)*AE$2</f>
        <v>0</v>
      </c>
      <c r="AF1316" s="88">
        <f>SUMIF(月間集計シート!$M$92:$M$111,$G1316,月間集計シート!O$92:O$111)*AF$2</f>
        <v>0</v>
      </c>
      <c r="AG1316" s="88">
        <f>SUMIF(月間集計シート!$M$92:$M$111,$G1316,月間集計シート!P$92:P$111)*AG$2</f>
        <v>0</v>
      </c>
      <c r="AH1316" s="88">
        <f>SUMIF(月間集計シート!$M$92:$M$111,$G1316,月間集計シート!Q$92:Q$111)*AH$2</f>
        <v>0</v>
      </c>
      <c r="AI1316" s="88">
        <f>SUMIF(月間集計シート!$M$92:$M$111,$G1316,月間集計シート!R$92:R$111)*AI$2</f>
        <v>0</v>
      </c>
      <c r="AJ1316" s="88">
        <f>SUMIF(月間集計シート!$M$92:$M$111,$G1316,月間集計シート!S$92:S$111)*AJ$2</f>
        <v>0</v>
      </c>
      <c r="AK1316" s="88">
        <f>SUMIF(月間集計シート!$M$92:$M$111,$G1316,月間集計シート!T$92:T$111)*AK$2</f>
        <v>0</v>
      </c>
      <c r="AL1316" s="88">
        <f>SUMIF(月間集計シート!$M$113:$M$132,$G1316,月間集計シート!N$113:N$132)*AL$2</f>
        <v>0</v>
      </c>
      <c r="AM1316" s="88">
        <f>SUMIF(月間集計シート!$M$113:$M$132,$G1316,月間集計シート!O$113:O$132)*AM$2</f>
        <v>0</v>
      </c>
      <c r="AN1316" s="88">
        <f>SUMIF(月間集計シート!$M$113:$M$132,$G1316,月間集計シート!P$113:P$132)*AN$2</f>
        <v>0</v>
      </c>
      <c r="AO1316" s="88">
        <f>SUMIF(月間集計シート!$M$113:$M$132,$G1316,月間集計シート!Q$113:Q$132)*AO$2</f>
        <v>0</v>
      </c>
      <c r="AP1316" s="88">
        <f>SUMIF(月間集計シート!$M$113:$M$132,$G1316,月間集計シート!R$113:R$132)*AP$2</f>
        <v>0</v>
      </c>
      <c r="AQ1316" s="88">
        <f>SUMIF(月間集計シート!$M$113:$M$132,$G1316,月間集計シート!S$113:S$132)*AQ$2</f>
        <v>0</v>
      </c>
      <c r="AR1316" s="88">
        <f>SUMIF(月間集計シート!$M$113:$M$132,$G1316,月間集計シート!T$113:T$132)*AR$2</f>
        <v>0</v>
      </c>
      <c r="AS1316" s="88">
        <f>SUMIF(月間集計シート!$M$134:$M$153,$G1316,月間集計シート!N$134:N$153)*AS$2</f>
        <v>0</v>
      </c>
      <c r="AT1316" s="88">
        <f>SUMIF(月間集計シート!$M$134:$M$153,$G1316,月間集計シート!O$134:O$153)*AT$2</f>
        <v>0</v>
      </c>
      <c r="AU1316" s="88">
        <f>SUMIF(月間集計シート!$M$134:$M$153,$G1316,月間集計シート!P$134:P$153)*AU$2</f>
        <v>0</v>
      </c>
      <c r="AV1316" s="88">
        <f>SUMIF(月間集計シート!$M$134:$M$153,$G1316,月間集計シート!Q$134:Q$153)*AV$2</f>
        <v>0</v>
      </c>
      <c r="AW1316" s="88">
        <f>SUMIF(月間集計シート!$M$134:$M$153,$G1316,月間集計シート!R$134:R$153)*AW$2</f>
        <v>0</v>
      </c>
      <c r="AX1316" s="88">
        <f>SUMIF(月間集計シート!$M$134:$M$153,$G1316,月間集計シート!S$134:S$153)*AX$2</f>
        <v>0</v>
      </c>
      <c r="AY1316" s="88">
        <f>SUMIF(月間集計シート!$M$134:$M$153,$G1316,月間集計シート!T$134:T$153)*AY$2</f>
        <v>0</v>
      </c>
    </row>
    <row r="1317" spans="1:51" ht="14.25" thickBot="1">
      <c r="A1317">
        <v>16</v>
      </c>
      <c r="B1317" s="120">
        <f t="shared" si="729"/>
        <v>0</v>
      </c>
      <c r="C1317" s="120" t="str">
        <f t="shared" si="730"/>
        <v/>
      </c>
      <c r="D1317" s="137"/>
      <c r="E1317" s="150" t="str">
        <f>工種!A34</f>
        <v>40112</v>
      </c>
      <c r="F1317" s="119" t="str">
        <f>工種!B34</f>
        <v>テスト：再テスト（手戻り分）</v>
      </c>
      <c r="G1317" s="116" t="str">
        <f t="shared" si="731"/>
        <v>040112</v>
      </c>
      <c r="H1317" s="88">
        <f t="shared" si="685"/>
        <v>0</v>
      </c>
      <c r="I1317" s="132"/>
      <c r="J1317" s="88">
        <f>SUMIF(月間集計シート!$M$29:$M$48,$G1317,月間集計シート!N$29:N$48)*J$2</f>
        <v>0</v>
      </c>
      <c r="K1317" s="88">
        <f>SUMIF(月間集計シート!$M$29:$M$48,$G1317,月間集計シート!O$29:O$48)*K$2</f>
        <v>0</v>
      </c>
      <c r="L1317" s="88">
        <f>SUMIF(月間集計シート!$M$29:$M$48,$G1317,月間集計シート!P$29:P$48)*L$2</f>
        <v>0</v>
      </c>
      <c r="M1317" s="88">
        <f>SUMIF(月間集計シート!$M$29:$M$48,$G1317,月間集計シート!Q$29:Q$48)*M$2</f>
        <v>0</v>
      </c>
      <c r="N1317" s="88">
        <f>SUMIF(月間集計シート!$M$29:$M$48,$G1317,月間集計シート!R$29:R$48)*N$2</f>
        <v>0</v>
      </c>
      <c r="O1317" s="88">
        <f>SUMIF(月間集計シート!$M$29:$M$48,$G1317,月間集計シート!S$29:S$48)*O$2</f>
        <v>0</v>
      </c>
      <c r="P1317" s="88">
        <f>SUMIF(月間集計シート!$M$29:$M$48,$G1317,月間集計シート!T$29:T$48)*P$2</f>
        <v>0</v>
      </c>
      <c r="Q1317" s="88">
        <f>SUMIF(月間集計シート!$M$50:$M$69,$G1317,月間集計シート!N$50:N$69)*Q$2</f>
        <v>0</v>
      </c>
      <c r="R1317" s="88">
        <f>SUMIF(月間集計シート!$M$50:$M$69,$G1317,月間集計シート!O$50:O$69)*R$2</f>
        <v>0</v>
      </c>
      <c r="S1317" s="88">
        <f>SUMIF(月間集計シート!$M$50:$M$69,$G1317,月間集計シート!P$50:P$69)*S$2</f>
        <v>0</v>
      </c>
      <c r="T1317" s="88">
        <f>SUMIF(月間集計シート!$M$50:$M$69,$G1317,月間集計シート!Q$50:Q$69)*T$2</f>
        <v>0</v>
      </c>
      <c r="U1317" s="88">
        <f>SUMIF(月間集計シート!$M$50:$M$69,$G1317,月間集計シート!R$50:R$69)*U$2</f>
        <v>0</v>
      </c>
      <c r="V1317" s="88">
        <f>SUMIF(月間集計シート!$M$50:$M$69,$G1317,月間集計シート!S$50:S$69)*V$2</f>
        <v>0</v>
      </c>
      <c r="W1317" s="88">
        <f>SUMIF(月間集計シート!$M$50:$M$69,$G1317,月間集計シート!T$50:T$69)*W$2</f>
        <v>0</v>
      </c>
      <c r="X1317" s="88">
        <f>SUMIF(月間集計シート!$M$71:$M$90,$G1317,月間集計シート!N$71:N$90)*X$2</f>
        <v>0</v>
      </c>
      <c r="Y1317" s="88">
        <f>SUMIF(月間集計シート!$M$71:$M$90,$G1317,月間集計シート!O$71:O$90)*Y$2</f>
        <v>0</v>
      </c>
      <c r="Z1317" s="88">
        <f>SUMIF(月間集計シート!$M$71:$M$90,$G1317,月間集計シート!P$71:P$90)*Z$2</f>
        <v>0</v>
      </c>
      <c r="AA1317" s="88">
        <f>SUMIF(月間集計シート!$M$71:$M$90,$G1317,月間集計シート!Q$71:Q$90)*AA$2</f>
        <v>0</v>
      </c>
      <c r="AB1317" s="88">
        <f>SUMIF(月間集計シート!$M$71:$M$90,$G1317,月間集計シート!R$71:R$90)*AB$2</f>
        <v>0</v>
      </c>
      <c r="AC1317" s="88">
        <f>SUMIF(月間集計シート!$M$71:$M$90,$G1317,月間集計シート!S$71:S$90)*AC$2</f>
        <v>0</v>
      </c>
      <c r="AD1317" s="88">
        <f>SUMIF(月間集計シート!$M$71:$M$90,$G1317,月間集計シート!T$71:T$90)*AD$2</f>
        <v>0</v>
      </c>
      <c r="AE1317" s="88">
        <f>SUMIF(月間集計シート!$M$92:$M$111,$G1317,月間集計シート!N$92:N$111)*AE$2</f>
        <v>0</v>
      </c>
      <c r="AF1317" s="88">
        <f>SUMIF(月間集計シート!$M$92:$M$111,$G1317,月間集計シート!O$92:O$111)*AF$2</f>
        <v>0</v>
      </c>
      <c r="AG1317" s="88">
        <f>SUMIF(月間集計シート!$M$92:$M$111,$G1317,月間集計シート!P$92:P$111)*AG$2</f>
        <v>0</v>
      </c>
      <c r="AH1317" s="88">
        <f>SUMIF(月間集計シート!$M$92:$M$111,$G1317,月間集計シート!Q$92:Q$111)*AH$2</f>
        <v>0</v>
      </c>
      <c r="AI1317" s="88">
        <f>SUMIF(月間集計シート!$M$92:$M$111,$G1317,月間集計シート!R$92:R$111)*AI$2</f>
        <v>0</v>
      </c>
      <c r="AJ1317" s="88">
        <f>SUMIF(月間集計シート!$M$92:$M$111,$G1317,月間集計シート!S$92:S$111)*AJ$2</f>
        <v>0</v>
      </c>
      <c r="AK1317" s="88">
        <f>SUMIF(月間集計シート!$M$92:$M$111,$G1317,月間集計シート!T$92:T$111)*AK$2</f>
        <v>0</v>
      </c>
      <c r="AL1317" s="88">
        <f>SUMIF(月間集計シート!$M$113:$M$132,$G1317,月間集計シート!N$113:N$132)*AL$2</f>
        <v>0</v>
      </c>
      <c r="AM1317" s="88">
        <f>SUMIF(月間集計シート!$M$113:$M$132,$G1317,月間集計シート!O$113:O$132)*AM$2</f>
        <v>0</v>
      </c>
      <c r="AN1317" s="88">
        <f>SUMIF(月間集計シート!$M$113:$M$132,$G1317,月間集計シート!P$113:P$132)*AN$2</f>
        <v>0</v>
      </c>
      <c r="AO1317" s="88">
        <f>SUMIF(月間集計シート!$M$113:$M$132,$G1317,月間集計シート!Q$113:Q$132)*AO$2</f>
        <v>0</v>
      </c>
      <c r="AP1317" s="88">
        <f>SUMIF(月間集計シート!$M$113:$M$132,$G1317,月間集計シート!R$113:R$132)*AP$2</f>
        <v>0</v>
      </c>
      <c r="AQ1317" s="88">
        <f>SUMIF(月間集計シート!$M$113:$M$132,$G1317,月間集計シート!S$113:S$132)*AQ$2</f>
        <v>0</v>
      </c>
      <c r="AR1317" s="88">
        <f>SUMIF(月間集計シート!$M$113:$M$132,$G1317,月間集計シート!T$113:T$132)*AR$2</f>
        <v>0</v>
      </c>
      <c r="AS1317" s="88">
        <f>SUMIF(月間集計シート!$M$134:$M$153,$G1317,月間集計シート!N$134:N$153)*AS$2</f>
        <v>0</v>
      </c>
      <c r="AT1317" s="88">
        <f>SUMIF(月間集計シート!$M$134:$M$153,$G1317,月間集計シート!O$134:O$153)*AT$2</f>
        <v>0</v>
      </c>
      <c r="AU1317" s="88">
        <f>SUMIF(月間集計シート!$M$134:$M$153,$G1317,月間集計シート!P$134:P$153)*AU$2</f>
        <v>0</v>
      </c>
      <c r="AV1317" s="88">
        <f>SUMIF(月間集計シート!$M$134:$M$153,$G1317,月間集計シート!Q$134:Q$153)*AV$2</f>
        <v>0</v>
      </c>
      <c r="AW1317" s="88">
        <f>SUMIF(月間集計シート!$M$134:$M$153,$G1317,月間集計シート!R$134:R$153)*AW$2</f>
        <v>0</v>
      </c>
      <c r="AX1317" s="88">
        <f>SUMIF(月間集計シート!$M$134:$M$153,$G1317,月間集計シート!S$134:S$153)*AX$2</f>
        <v>0</v>
      </c>
      <c r="AY1317" s="88">
        <f>SUMIF(月間集計シート!$M$134:$M$153,$G1317,月間集計シート!T$134:T$153)*AY$2</f>
        <v>0</v>
      </c>
    </row>
    <row r="1318" spans="1:51" ht="14.25" thickBot="1">
      <c r="A1318">
        <v>16</v>
      </c>
      <c r="B1318" s="120">
        <f t="shared" si="729"/>
        <v>0</v>
      </c>
      <c r="C1318" s="120" t="str">
        <f t="shared" si="730"/>
        <v/>
      </c>
      <c r="D1318" s="137"/>
      <c r="E1318" s="150" t="str">
        <f>工種!A35</f>
        <v>40113</v>
      </c>
      <c r="F1318" s="119" t="str">
        <f>工種!B35</f>
        <v>テスト：QA対応</v>
      </c>
      <c r="G1318" s="116" t="str">
        <f t="shared" si="731"/>
        <v>040113</v>
      </c>
      <c r="H1318" s="88">
        <f t="shared" si="685"/>
        <v>0</v>
      </c>
      <c r="I1318" s="132"/>
      <c r="J1318" s="88">
        <f>SUMIF(月間集計シート!$M$29:$M$48,$G1318,月間集計シート!N$29:N$48)*J$2</f>
        <v>0</v>
      </c>
      <c r="K1318" s="88">
        <f>SUMIF(月間集計シート!$M$29:$M$48,$G1318,月間集計シート!O$29:O$48)*K$2</f>
        <v>0</v>
      </c>
      <c r="L1318" s="88">
        <f>SUMIF(月間集計シート!$M$29:$M$48,$G1318,月間集計シート!P$29:P$48)*L$2</f>
        <v>0</v>
      </c>
      <c r="M1318" s="88">
        <f>SUMIF(月間集計シート!$M$29:$M$48,$G1318,月間集計シート!Q$29:Q$48)*M$2</f>
        <v>0</v>
      </c>
      <c r="N1318" s="88">
        <f>SUMIF(月間集計シート!$M$29:$M$48,$G1318,月間集計シート!R$29:R$48)*N$2</f>
        <v>0</v>
      </c>
      <c r="O1318" s="88">
        <f>SUMIF(月間集計シート!$M$29:$M$48,$G1318,月間集計シート!S$29:S$48)*O$2</f>
        <v>0</v>
      </c>
      <c r="P1318" s="88">
        <f>SUMIF(月間集計シート!$M$29:$M$48,$G1318,月間集計シート!T$29:T$48)*P$2</f>
        <v>0</v>
      </c>
      <c r="Q1318" s="88">
        <f>SUMIF(月間集計シート!$M$50:$M$69,$G1318,月間集計シート!N$50:N$69)*Q$2</f>
        <v>0</v>
      </c>
      <c r="R1318" s="88">
        <f>SUMIF(月間集計シート!$M$50:$M$69,$G1318,月間集計シート!O$50:O$69)*R$2</f>
        <v>0</v>
      </c>
      <c r="S1318" s="88">
        <f>SUMIF(月間集計シート!$M$50:$M$69,$G1318,月間集計シート!P$50:P$69)*S$2</f>
        <v>0</v>
      </c>
      <c r="T1318" s="88">
        <f>SUMIF(月間集計シート!$M$50:$M$69,$G1318,月間集計シート!Q$50:Q$69)*T$2</f>
        <v>0</v>
      </c>
      <c r="U1318" s="88">
        <f>SUMIF(月間集計シート!$M$50:$M$69,$G1318,月間集計シート!R$50:R$69)*U$2</f>
        <v>0</v>
      </c>
      <c r="V1318" s="88">
        <f>SUMIF(月間集計シート!$M$50:$M$69,$G1318,月間集計シート!S$50:S$69)*V$2</f>
        <v>0</v>
      </c>
      <c r="W1318" s="88">
        <f>SUMIF(月間集計シート!$M$50:$M$69,$G1318,月間集計シート!T$50:T$69)*W$2</f>
        <v>0</v>
      </c>
      <c r="X1318" s="88">
        <f>SUMIF(月間集計シート!$M$71:$M$90,$G1318,月間集計シート!N$71:N$90)*X$2</f>
        <v>0</v>
      </c>
      <c r="Y1318" s="88">
        <f>SUMIF(月間集計シート!$M$71:$M$90,$G1318,月間集計シート!O$71:O$90)*Y$2</f>
        <v>0</v>
      </c>
      <c r="Z1318" s="88">
        <f>SUMIF(月間集計シート!$M$71:$M$90,$G1318,月間集計シート!P$71:P$90)*Z$2</f>
        <v>0</v>
      </c>
      <c r="AA1318" s="88">
        <f>SUMIF(月間集計シート!$M$71:$M$90,$G1318,月間集計シート!Q$71:Q$90)*AA$2</f>
        <v>0</v>
      </c>
      <c r="AB1318" s="88">
        <f>SUMIF(月間集計シート!$M$71:$M$90,$G1318,月間集計シート!R$71:R$90)*AB$2</f>
        <v>0</v>
      </c>
      <c r="AC1318" s="88">
        <f>SUMIF(月間集計シート!$M$71:$M$90,$G1318,月間集計シート!S$71:S$90)*AC$2</f>
        <v>0</v>
      </c>
      <c r="AD1318" s="88">
        <f>SUMIF(月間集計シート!$M$71:$M$90,$G1318,月間集計シート!T$71:T$90)*AD$2</f>
        <v>0</v>
      </c>
      <c r="AE1318" s="88">
        <f>SUMIF(月間集計シート!$M$92:$M$111,$G1318,月間集計シート!N$92:N$111)*AE$2</f>
        <v>0</v>
      </c>
      <c r="AF1318" s="88">
        <f>SUMIF(月間集計シート!$M$92:$M$111,$G1318,月間集計シート!O$92:O$111)*AF$2</f>
        <v>0</v>
      </c>
      <c r="AG1318" s="88">
        <f>SUMIF(月間集計シート!$M$92:$M$111,$G1318,月間集計シート!P$92:P$111)*AG$2</f>
        <v>0</v>
      </c>
      <c r="AH1318" s="88">
        <f>SUMIF(月間集計シート!$M$92:$M$111,$G1318,月間集計シート!Q$92:Q$111)*AH$2</f>
        <v>0</v>
      </c>
      <c r="AI1318" s="88">
        <f>SUMIF(月間集計シート!$M$92:$M$111,$G1318,月間集計シート!R$92:R$111)*AI$2</f>
        <v>0</v>
      </c>
      <c r="AJ1318" s="88">
        <f>SUMIF(月間集計シート!$M$92:$M$111,$G1318,月間集計シート!S$92:S$111)*AJ$2</f>
        <v>0</v>
      </c>
      <c r="AK1318" s="88">
        <f>SUMIF(月間集計シート!$M$92:$M$111,$G1318,月間集計シート!T$92:T$111)*AK$2</f>
        <v>0</v>
      </c>
      <c r="AL1318" s="88">
        <f>SUMIF(月間集計シート!$M$113:$M$132,$G1318,月間集計シート!N$113:N$132)*AL$2</f>
        <v>0</v>
      </c>
      <c r="AM1318" s="88">
        <f>SUMIF(月間集計シート!$M$113:$M$132,$G1318,月間集計シート!O$113:O$132)*AM$2</f>
        <v>0</v>
      </c>
      <c r="AN1318" s="88">
        <f>SUMIF(月間集計シート!$M$113:$M$132,$G1318,月間集計シート!P$113:P$132)*AN$2</f>
        <v>0</v>
      </c>
      <c r="AO1318" s="88">
        <f>SUMIF(月間集計シート!$M$113:$M$132,$G1318,月間集計シート!Q$113:Q$132)*AO$2</f>
        <v>0</v>
      </c>
      <c r="AP1318" s="88">
        <f>SUMIF(月間集計シート!$M$113:$M$132,$G1318,月間集計シート!R$113:R$132)*AP$2</f>
        <v>0</v>
      </c>
      <c r="AQ1318" s="88">
        <f>SUMIF(月間集計シート!$M$113:$M$132,$G1318,月間集計シート!S$113:S$132)*AQ$2</f>
        <v>0</v>
      </c>
      <c r="AR1318" s="88">
        <f>SUMIF(月間集計シート!$M$113:$M$132,$G1318,月間集計シート!T$113:T$132)*AR$2</f>
        <v>0</v>
      </c>
      <c r="AS1318" s="88">
        <f>SUMIF(月間集計シート!$M$134:$M$153,$G1318,月間集計シート!N$134:N$153)*AS$2</f>
        <v>0</v>
      </c>
      <c r="AT1318" s="88">
        <f>SUMIF(月間集計シート!$M$134:$M$153,$G1318,月間集計シート!O$134:O$153)*AT$2</f>
        <v>0</v>
      </c>
      <c r="AU1318" s="88">
        <f>SUMIF(月間集計シート!$M$134:$M$153,$G1318,月間集計シート!P$134:P$153)*AU$2</f>
        <v>0</v>
      </c>
      <c r="AV1318" s="88">
        <f>SUMIF(月間集計シート!$M$134:$M$153,$G1318,月間集計シート!Q$134:Q$153)*AV$2</f>
        <v>0</v>
      </c>
      <c r="AW1318" s="88">
        <f>SUMIF(月間集計シート!$M$134:$M$153,$G1318,月間集計シート!R$134:R$153)*AW$2</f>
        <v>0</v>
      </c>
      <c r="AX1318" s="88">
        <f>SUMIF(月間集計シート!$M$134:$M$153,$G1318,月間集計シート!S$134:S$153)*AX$2</f>
        <v>0</v>
      </c>
      <c r="AY1318" s="88">
        <f>SUMIF(月間集計シート!$M$134:$M$153,$G1318,月間集計シート!T$134:T$153)*AY$2</f>
        <v>0</v>
      </c>
    </row>
    <row r="1319" spans="1:51" ht="14.25" thickBot="1">
      <c r="A1319">
        <v>16</v>
      </c>
      <c r="B1319" s="120">
        <f t="shared" si="729"/>
        <v>0</v>
      </c>
      <c r="C1319" s="120" t="str">
        <f t="shared" si="730"/>
        <v/>
      </c>
      <c r="D1319" s="137"/>
      <c r="E1319" s="150" t="str">
        <f>工種!A36</f>
        <v>40189</v>
      </c>
      <c r="F1319" s="119" t="str">
        <f>工種!B36</f>
        <v>テスト：内部不具合分析</v>
      </c>
      <c r="G1319" s="116" t="str">
        <f t="shared" si="731"/>
        <v>040189</v>
      </c>
      <c r="H1319" s="88">
        <f t="shared" si="685"/>
        <v>0</v>
      </c>
      <c r="I1319" s="132"/>
      <c r="J1319" s="88">
        <f>SUMIF(月間集計シート!$M$29:$M$48,$G1319,月間集計シート!N$29:N$48)*J$2</f>
        <v>0</v>
      </c>
      <c r="K1319" s="88">
        <f>SUMIF(月間集計シート!$M$29:$M$48,$G1319,月間集計シート!O$29:O$48)*K$2</f>
        <v>0</v>
      </c>
      <c r="L1319" s="88">
        <f>SUMIF(月間集計シート!$M$29:$M$48,$G1319,月間集計シート!P$29:P$48)*L$2</f>
        <v>0</v>
      </c>
      <c r="M1319" s="88">
        <f>SUMIF(月間集計シート!$M$29:$M$48,$G1319,月間集計シート!Q$29:Q$48)*M$2</f>
        <v>0</v>
      </c>
      <c r="N1319" s="88">
        <f>SUMIF(月間集計シート!$M$29:$M$48,$G1319,月間集計シート!R$29:R$48)*N$2</f>
        <v>0</v>
      </c>
      <c r="O1319" s="88">
        <f>SUMIF(月間集計シート!$M$29:$M$48,$G1319,月間集計シート!S$29:S$48)*O$2</f>
        <v>0</v>
      </c>
      <c r="P1319" s="88">
        <f>SUMIF(月間集計シート!$M$29:$M$48,$G1319,月間集計シート!T$29:T$48)*P$2</f>
        <v>0</v>
      </c>
      <c r="Q1319" s="88">
        <f>SUMIF(月間集計シート!$M$50:$M$69,$G1319,月間集計シート!N$50:N$69)*Q$2</f>
        <v>0</v>
      </c>
      <c r="R1319" s="88">
        <f>SUMIF(月間集計シート!$M$50:$M$69,$G1319,月間集計シート!O$50:O$69)*R$2</f>
        <v>0</v>
      </c>
      <c r="S1319" s="88">
        <f>SUMIF(月間集計シート!$M$50:$M$69,$G1319,月間集計シート!P$50:P$69)*S$2</f>
        <v>0</v>
      </c>
      <c r="T1319" s="88">
        <f>SUMIF(月間集計シート!$M$50:$M$69,$G1319,月間集計シート!Q$50:Q$69)*T$2</f>
        <v>0</v>
      </c>
      <c r="U1319" s="88">
        <f>SUMIF(月間集計シート!$M$50:$M$69,$G1319,月間集計シート!R$50:R$69)*U$2</f>
        <v>0</v>
      </c>
      <c r="V1319" s="88">
        <f>SUMIF(月間集計シート!$M$50:$M$69,$G1319,月間集計シート!S$50:S$69)*V$2</f>
        <v>0</v>
      </c>
      <c r="W1319" s="88">
        <f>SUMIF(月間集計シート!$M$50:$M$69,$G1319,月間集計シート!T$50:T$69)*W$2</f>
        <v>0</v>
      </c>
      <c r="X1319" s="88">
        <f>SUMIF(月間集計シート!$M$71:$M$90,$G1319,月間集計シート!N$71:N$90)*X$2</f>
        <v>0</v>
      </c>
      <c r="Y1319" s="88">
        <f>SUMIF(月間集計シート!$M$71:$M$90,$G1319,月間集計シート!O$71:O$90)*Y$2</f>
        <v>0</v>
      </c>
      <c r="Z1319" s="88">
        <f>SUMIF(月間集計シート!$M$71:$M$90,$G1319,月間集計シート!P$71:P$90)*Z$2</f>
        <v>0</v>
      </c>
      <c r="AA1319" s="88">
        <f>SUMIF(月間集計シート!$M$71:$M$90,$G1319,月間集計シート!Q$71:Q$90)*AA$2</f>
        <v>0</v>
      </c>
      <c r="AB1319" s="88">
        <f>SUMIF(月間集計シート!$M$71:$M$90,$G1319,月間集計シート!R$71:R$90)*AB$2</f>
        <v>0</v>
      </c>
      <c r="AC1319" s="88">
        <f>SUMIF(月間集計シート!$M$71:$M$90,$G1319,月間集計シート!S$71:S$90)*AC$2</f>
        <v>0</v>
      </c>
      <c r="AD1319" s="88">
        <f>SUMIF(月間集計シート!$M$71:$M$90,$G1319,月間集計シート!T$71:T$90)*AD$2</f>
        <v>0</v>
      </c>
      <c r="AE1319" s="88">
        <f>SUMIF(月間集計シート!$M$92:$M$111,$G1319,月間集計シート!N$92:N$111)*AE$2</f>
        <v>0</v>
      </c>
      <c r="AF1319" s="88">
        <f>SUMIF(月間集計シート!$M$92:$M$111,$G1319,月間集計シート!O$92:O$111)*AF$2</f>
        <v>0</v>
      </c>
      <c r="AG1319" s="88">
        <f>SUMIF(月間集計シート!$M$92:$M$111,$G1319,月間集計シート!P$92:P$111)*AG$2</f>
        <v>0</v>
      </c>
      <c r="AH1319" s="88">
        <f>SUMIF(月間集計シート!$M$92:$M$111,$G1319,月間集計シート!Q$92:Q$111)*AH$2</f>
        <v>0</v>
      </c>
      <c r="AI1319" s="88">
        <f>SUMIF(月間集計シート!$M$92:$M$111,$G1319,月間集計シート!R$92:R$111)*AI$2</f>
        <v>0</v>
      </c>
      <c r="AJ1319" s="88">
        <f>SUMIF(月間集計シート!$M$92:$M$111,$G1319,月間集計シート!S$92:S$111)*AJ$2</f>
        <v>0</v>
      </c>
      <c r="AK1319" s="88">
        <f>SUMIF(月間集計シート!$M$92:$M$111,$G1319,月間集計シート!T$92:T$111)*AK$2</f>
        <v>0</v>
      </c>
      <c r="AL1319" s="88">
        <f>SUMIF(月間集計シート!$M$113:$M$132,$G1319,月間集計シート!N$113:N$132)*AL$2</f>
        <v>0</v>
      </c>
      <c r="AM1319" s="88">
        <f>SUMIF(月間集計シート!$M$113:$M$132,$G1319,月間集計シート!O$113:O$132)*AM$2</f>
        <v>0</v>
      </c>
      <c r="AN1319" s="88">
        <f>SUMIF(月間集計シート!$M$113:$M$132,$G1319,月間集計シート!P$113:P$132)*AN$2</f>
        <v>0</v>
      </c>
      <c r="AO1319" s="88">
        <f>SUMIF(月間集計シート!$M$113:$M$132,$G1319,月間集計シート!Q$113:Q$132)*AO$2</f>
        <v>0</v>
      </c>
      <c r="AP1319" s="88">
        <f>SUMIF(月間集計シート!$M$113:$M$132,$G1319,月間集計シート!R$113:R$132)*AP$2</f>
        <v>0</v>
      </c>
      <c r="AQ1319" s="88">
        <f>SUMIF(月間集計シート!$M$113:$M$132,$G1319,月間集計シート!S$113:S$132)*AQ$2</f>
        <v>0</v>
      </c>
      <c r="AR1319" s="88">
        <f>SUMIF(月間集計シート!$M$113:$M$132,$G1319,月間集計シート!T$113:T$132)*AR$2</f>
        <v>0</v>
      </c>
      <c r="AS1319" s="88">
        <f>SUMIF(月間集計シート!$M$134:$M$153,$G1319,月間集計シート!N$134:N$153)*AS$2</f>
        <v>0</v>
      </c>
      <c r="AT1319" s="88">
        <f>SUMIF(月間集計シート!$M$134:$M$153,$G1319,月間集計シート!O$134:O$153)*AT$2</f>
        <v>0</v>
      </c>
      <c r="AU1319" s="88">
        <f>SUMIF(月間集計シート!$M$134:$M$153,$G1319,月間集計シート!P$134:P$153)*AU$2</f>
        <v>0</v>
      </c>
      <c r="AV1319" s="88">
        <f>SUMIF(月間集計シート!$M$134:$M$153,$G1319,月間集計シート!Q$134:Q$153)*AV$2</f>
        <v>0</v>
      </c>
      <c r="AW1319" s="88">
        <f>SUMIF(月間集計シート!$M$134:$M$153,$G1319,月間集計シート!R$134:R$153)*AW$2</f>
        <v>0</v>
      </c>
      <c r="AX1319" s="88">
        <f>SUMIF(月間集計シート!$M$134:$M$153,$G1319,月間集計シート!S$134:S$153)*AX$2</f>
        <v>0</v>
      </c>
      <c r="AY1319" s="88">
        <f>SUMIF(月間集計シート!$M$134:$M$153,$G1319,月間集計シート!T$134:T$153)*AY$2</f>
        <v>0</v>
      </c>
    </row>
    <row r="1320" spans="1:51" ht="14.25" thickBot="1">
      <c r="A1320">
        <v>16</v>
      </c>
      <c r="B1320" s="120">
        <f t="shared" si="729"/>
        <v>0</v>
      </c>
      <c r="C1320" s="120" t="str">
        <f t="shared" si="730"/>
        <v/>
      </c>
      <c r="D1320" s="137"/>
      <c r="E1320" s="150" t="str">
        <f>工種!A37</f>
        <v>40199</v>
      </c>
      <c r="F1320" s="119" t="str">
        <f>工種!B37</f>
        <v>テスト：その他</v>
      </c>
      <c r="G1320" s="116" t="str">
        <f t="shared" si="731"/>
        <v>040199</v>
      </c>
      <c r="H1320" s="88">
        <f t="shared" si="685"/>
        <v>0</v>
      </c>
      <c r="I1320" s="132"/>
      <c r="J1320" s="88">
        <f>SUMIF(月間集計シート!$M$29:$M$48,$G1320,月間集計シート!N$29:N$48)*J$2</f>
        <v>0</v>
      </c>
      <c r="K1320" s="88">
        <f>SUMIF(月間集計シート!$M$29:$M$48,$G1320,月間集計シート!O$29:O$48)*K$2</f>
        <v>0</v>
      </c>
      <c r="L1320" s="88">
        <f>SUMIF(月間集計シート!$M$29:$M$48,$G1320,月間集計シート!P$29:P$48)*L$2</f>
        <v>0</v>
      </c>
      <c r="M1320" s="88">
        <f>SUMIF(月間集計シート!$M$29:$M$48,$G1320,月間集計シート!Q$29:Q$48)*M$2</f>
        <v>0</v>
      </c>
      <c r="N1320" s="88">
        <f>SUMIF(月間集計シート!$M$29:$M$48,$G1320,月間集計シート!R$29:R$48)*N$2</f>
        <v>0</v>
      </c>
      <c r="O1320" s="88">
        <f>SUMIF(月間集計シート!$M$29:$M$48,$G1320,月間集計シート!S$29:S$48)*O$2</f>
        <v>0</v>
      </c>
      <c r="P1320" s="88">
        <f>SUMIF(月間集計シート!$M$29:$M$48,$G1320,月間集計シート!T$29:T$48)*P$2</f>
        <v>0</v>
      </c>
      <c r="Q1320" s="88">
        <f>SUMIF(月間集計シート!$M$50:$M$69,$G1320,月間集計シート!N$50:N$69)*Q$2</f>
        <v>0</v>
      </c>
      <c r="R1320" s="88">
        <f>SUMIF(月間集計シート!$M$50:$M$69,$G1320,月間集計シート!O$50:O$69)*R$2</f>
        <v>0</v>
      </c>
      <c r="S1320" s="88">
        <f>SUMIF(月間集計シート!$M$50:$M$69,$G1320,月間集計シート!P$50:P$69)*S$2</f>
        <v>0</v>
      </c>
      <c r="T1320" s="88">
        <f>SUMIF(月間集計シート!$M$50:$M$69,$G1320,月間集計シート!Q$50:Q$69)*T$2</f>
        <v>0</v>
      </c>
      <c r="U1320" s="88">
        <f>SUMIF(月間集計シート!$M$50:$M$69,$G1320,月間集計シート!R$50:R$69)*U$2</f>
        <v>0</v>
      </c>
      <c r="V1320" s="88">
        <f>SUMIF(月間集計シート!$M$50:$M$69,$G1320,月間集計シート!S$50:S$69)*V$2</f>
        <v>0</v>
      </c>
      <c r="W1320" s="88">
        <f>SUMIF(月間集計シート!$M$50:$M$69,$G1320,月間集計シート!T$50:T$69)*W$2</f>
        <v>0</v>
      </c>
      <c r="X1320" s="88">
        <f>SUMIF(月間集計シート!$M$71:$M$90,$G1320,月間集計シート!N$71:N$90)*X$2</f>
        <v>0</v>
      </c>
      <c r="Y1320" s="88">
        <f>SUMIF(月間集計シート!$M$71:$M$90,$G1320,月間集計シート!O$71:O$90)*Y$2</f>
        <v>0</v>
      </c>
      <c r="Z1320" s="88">
        <f>SUMIF(月間集計シート!$M$71:$M$90,$G1320,月間集計シート!P$71:P$90)*Z$2</f>
        <v>0</v>
      </c>
      <c r="AA1320" s="88">
        <f>SUMIF(月間集計シート!$M$71:$M$90,$G1320,月間集計シート!Q$71:Q$90)*AA$2</f>
        <v>0</v>
      </c>
      <c r="AB1320" s="88">
        <f>SUMIF(月間集計シート!$M$71:$M$90,$G1320,月間集計シート!R$71:R$90)*AB$2</f>
        <v>0</v>
      </c>
      <c r="AC1320" s="88">
        <f>SUMIF(月間集計シート!$M$71:$M$90,$G1320,月間集計シート!S$71:S$90)*AC$2</f>
        <v>0</v>
      </c>
      <c r="AD1320" s="88">
        <f>SUMIF(月間集計シート!$M$71:$M$90,$G1320,月間集計シート!T$71:T$90)*AD$2</f>
        <v>0</v>
      </c>
      <c r="AE1320" s="88">
        <f>SUMIF(月間集計シート!$M$92:$M$111,$G1320,月間集計シート!N$92:N$111)*AE$2</f>
        <v>0</v>
      </c>
      <c r="AF1320" s="88">
        <f>SUMIF(月間集計シート!$M$92:$M$111,$G1320,月間集計シート!O$92:O$111)*AF$2</f>
        <v>0</v>
      </c>
      <c r="AG1320" s="88">
        <f>SUMIF(月間集計シート!$M$92:$M$111,$G1320,月間集計シート!P$92:P$111)*AG$2</f>
        <v>0</v>
      </c>
      <c r="AH1320" s="88">
        <f>SUMIF(月間集計シート!$M$92:$M$111,$G1320,月間集計シート!Q$92:Q$111)*AH$2</f>
        <v>0</v>
      </c>
      <c r="AI1320" s="88">
        <f>SUMIF(月間集計シート!$M$92:$M$111,$G1320,月間集計シート!R$92:R$111)*AI$2</f>
        <v>0</v>
      </c>
      <c r="AJ1320" s="88">
        <f>SUMIF(月間集計シート!$M$92:$M$111,$G1320,月間集計シート!S$92:S$111)*AJ$2</f>
        <v>0</v>
      </c>
      <c r="AK1320" s="88">
        <f>SUMIF(月間集計シート!$M$92:$M$111,$G1320,月間集計シート!T$92:T$111)*AK$2</f>
        <v>0</v>
      </c>
      <c r="AL1320" s="88">
        <f>SUMIF(月間集計シート!$M$113:$M$132,$G1320,月間集計シート!N$113:N$132)*AL$2</f>
        <v>0</v>
      </c>
      <c r="AM1320" s="88">
        <f>SUMIF(月間集計シート!$M$113:$M$132,$G1320,月間集計シート!O$113:O$132)*AM$2</f>
        <v>0</v>
      </c>
      <c r="AN1320" s="88">
        <f>SUMIF(月間集計シート!$M$113:$M$132,$G1320,月間集計シート!P$113:P$132)*AN$2</f>
        <v>0</v>
      </c>
      <c r="AO1320" s="88">
        <f>SUMIF(月間集計シート!$M$113:$M$132,$G1320,月間集計シート!Q$113:Q$132)*AO$2</f>
        <v>0</v>
      </c>
      <c r="AP1320" s="88">
        <f>SUMIF(月間集計シート!$M$113:$M$132,$G1320,月間集計シート!R$113:R$132)*AP$2</f>
        <v>0</v>
      </c>
      <c r="AQ1320" s="88">
        <f>SUMIF(月間集計シート!$M$113:$M$132,$G1320,月間集計シート!S$113:S$132)*AQ$2</f>
        <v>0</v>
      </c>
      <c r="AR1320" s="88">
        <f>SUMIF(月間集計シート!$M$113:$M$132,$G1320,月間集計シート!T$113:T$132)*AR$2</f>
        <v>0</v>
      </c>
      <c r="AS1320" s="88">
        <f>SUMIF(月間集計シート!$M$134:$M$153,$G1320,月間集計シート!N$134:N$153)*AS$2</f>
        <v>0</v>
      </c>
      <c r="AT1320" s="88">
        <f>SUMIF(月間集計シート!$M$134:$M$153,$G1320,月間集計シート!O$134:O$153)*AT$2</f>
        <v>0</v>
      </c>
      <c r="AU1320" s="88">
        <f>SUMIF(月間集計シート!$M$134:$M$153,$G1320,月間集計シート!P$134:P$153)*AU$2</f>
        <v>0</v>
      </c>
      <c r="AV1320" s="88">
        <f>SUMIF(月間集計シート!$M$134:$M$153,$G1320,月間集計シート!Q$134:Q$153)*AV$2</f>
        <v>0</v>
      </c>
      <c r="AW1320" s="88">
        <f>SUMIF(月間集計シート!$M$134:$M$153,$G1320,月間集計シート!R$134:R$153)*AW$2</f>
        <v>0</v>
      </c>
      <c r="AX1320" s="88">
        <f>SUMIF(月間集計シート!$M$134:$M$153,$G1320,月間集計シート!S$134:S$153)*AX$2</f>
        <v>0</v>
      </c>
      <c r="AY1320" s="88">
        <f>SUMIF(月間集計シート!$M$134:$M$153,$G1320,月間集計シート!T$134:T$153)*AY$2</f>
        <v>0</v>
      </c>
    </row>
    <row r="1321" spans="1:51" ht="14.25" thickBot="1">
      <c r="A1321">
        <v>16</v>
      </c>
      <c r="B1321" s="120">
        <f t="shared" si="729"/>
        <v>0</v>
      </c>
      <c r="C1321" s="120" t="str">
        <f t="shared" si="730"/>
        <v/>
      </c>
      <c r="D1321" s="137"/>
      <c r="E1321" s="150" t="str">
        <f>工種!A38</f>
        <v>50101</v>
      </c>
      <c r="F1321" s="119" t="str">
        <f>工種!B38</f>
        <v>ﾏﾆｭｱﾙ作成：原稿作成</v>
      </c>
      <c r="G1321" s="116" t="str">
        <f t="shared" si="731"/>
        <v>050101</v>
      </c>
      <c r="H1321" s="88">
        <f t="shared" si="685"/>
        <v>0</v>
      </c>
      <c r="I1321" s="132"/>
      <c r="J1321" s="88">
        <f>SUMIF(月間集計シート!$M$29:$M$48,$G1321,月間集計シート!N$29:N$48)*J$2</f>
        <v>0</v>
      </c>
      <c r="K1321" s="88">
        <f>SUMIF(月間集計シート!$M$29:$M$48,$G1321,月間集計シート!O$29:O$48)*K$2</f>
        <v>0</v>
      </c>
      <c r="L1321" s="88">
        <f>SUMIF(月間集計シート!$M$29:$M$48,$G1321,月間集計シート!P$29:P$48)*L$2</f>
        <v>0</v>
      </c>
      <c r="M1321" s="88">
        <f>SUMIF(月間集計シート!$M$29:$M$48,$G1321,月間集計シート!Q$29:Q$48)*M$2</f>
        <v>0</v>
      </c>
      <c r="N1321" s="88">
        <f>SUMIF(月間集計シート!$M$29:$M$48,$G1321,月間集計シート!R$29:R$48)*N$2</f>
        <v>0</v>
      </c>
      <c r="O1321" s="88">
        <f>SUMIF(月間集計シート!$M$29:$M$48,$G1321,月間集計シート!S$29:S$48)*O$2</f>
        <v>0</v>
      </c>
      <c r="P1321" s="88">
        <f>SUMIF(月間集計シート!$M$29:$M$48,$G1321,月間集計シート!T$29:T$48)*P$2</f>
        <v>0</v>
      </c>
      <c r="Q1321" s="88">
        <f>SUMIF(月間集計シート!$M$50:$M$69,$G1321,月間集計シート!N$50:N$69)*Q$2</f>
        <v>0</v>
      </c>
      <c r="R1321" s="88">
        <f>SUMIF(月間集計シート!$M$50:$M$69,$G1321,月間集計シート!O$50:O$69)*R$2</f>
        <v>0</v>
      </c>
      <c r="S1321" s="88">
        <f>SUMIF(月間集計シート!$M$50:$M$69,$G1321,月間集計シート!P$50:P$69)*S$2</f>
        <v>0</v>
      </c>
      <c r="T1321" s="88">
        <f>SUMIF(月間集計シート!$M$50:$M$69,$G1321,月間集計シート!Q$50:Q$69)*T$2</f>
        <v>0</v>
      </c>
      <c r="U1321" s="88">
        <f>SUMIF(月間集計シート!$M$50:$M$69,$G1321,月間集計シート!R$50:R$69)*U$2</f>
        <v>0</v>
      </c>
      <c r="V1321" s="88">
        <f>SUMIF(月間集計シート!$M$50:$M$69,$G1321,月間集計シート!S$50:S$69)*V$2</f>
        <v>0</v>
      </c>
      <c r="W1321" s="88">
        <f>SUMIF(月間集計シート!$M$50:$M$69,$G1321,月間集計シート!T$50:T$69)*W$2</f>
        <v>0</v>
      </c>
      <c r="X1321" s="88">
        <f>SUMIF(月間集計シート!$M$71:$M$90,$G1321,月間集計シート!N$71:N$90)*X$2</f>
        <v>0</v>
      </c>
      <c r="Y1321" s="88">
        <f>SUMIF(月間集計シート!$M$71:$M$90,$G1321,月間集計シート!O$71:O$90)*Y$2</f>
        <v>0</v>
      </c>
      <c r="Z1321" s="88">
        <f>SUMIF(月間集計シート!$M$71:$M$90,$G1321,月間集計シート!P$71:P$90)*Z$2</f>
        <v>0</v>
      </c>
      <c r="AA1321" s="88">
        <f>SUMIF(月間集計シート!$M$71:$M$90,$G1321,月間集計シート!Q$71:Q$90)*AA$2</f>
        <v>0</v>
      </c>
      <c r="AB1321" s="88">
        <f>SUMIF(月間集計シート!$M$71:$M$90,$G1321,月間集計シート!R$71:R$90)*AB$2</f>
        <v>0</v>
      </c>
      <c r="AC1321" s="88">
        <f>SUMIF(月間集計シート!$M$71:$M$90,$G1321,月間集計シート!S$71:S$90)*AC$2</f>
        <v>0</v>
      </c>
      <c r="AD1321" s="88">
        <f>SUMIF(月間集計シート!$M$71:$M$90,$G1321,月間集計シート!T$71:T$90)*AD$2</f>
        <v>0</v>
      </c>
      <c r="AE1321" s="88">
        <f>SUMIF(月間集計シート!$M$92:$M$111,$G1321,月間集計シート!N$92:N$111)*AE$2</f>
        <v>0</v>
      </c>
      <c r="AF1321" s="88">
        <f>SUMIF(月間集計シート!$M$92:$M$111,$G1321,月間集計シート!O$92:O$111)*AF$2</f>
        <v>0</v>
      </c>
      <c r="AG1321" s="88">
        <f>SUMIF(月間集計シート!$M$92:$M$111,$G1321,月間集計シート!P$92:P$111)*AG$2</f>
        <v>0</v>
      </c>
      <c r="AH1321" s="88">
        <f>SUMIF(月間集計シート!$M$92:$M$111,$G1321,月間集計シート!Q$92:Q$111)*AH$2</f>
        <v>0</v>
      </c>
      <c r="AI1321" s="88">
        <f>SUMIF(月間集計シート!$M$92:$M$111,$G1321,月間集計シート!R$92:R$111)*AI$2</f>
        <v>0</v>
      </c>
      <c r="AJ1321" s="88">
        <f>SUMIF(月間集計シート!$M$92:$M$111,$G1321,月間集計シート!S$92:S$111)*AJ$2</f>
        <v>0</v>
      </c>
      <c r="AK1321" s="88">
        <f>SUMIF(月間集計シート!$M$92:$M$111,$G1321,月間集計シート!T$92:T$111)*AK$2</f>
        <v>0</v>
      </c>
      <c r="AL1321" s="88">
        <f>SUMIF(月間集計シート!$M$113:$M$132,$G1321,月間集計シート!N$113:N$132)*AL$2</f>
        <v>0</v>
      </c>
      <c r="AM1321" s="88">
        <f>SUMIF(月間集計シート!$M$113:$M$132,$G1321,月間集計シート!O$113:O$132)*AM$2</f>
        <v>0</v>
      </c>
      <c r="AN1321" s="88">
        <f>SUMIF(月間集計シート!$M$113:$M$132,$G1321,月間集計シート!P$113:P$132)*AN$2</f>
        <v>0</v>
      </c>
      <c r="AO1321" s="88">
        <f>SUMIF(月間集計シート!$M$113:$M$132,$G1321,月間集計シート!Q$113:Q$132)*AO$2</f>
        <v>0</v>
      </c>
      <c r="AP1321" s="88">
        <f>SUMIF(月間集計シート!$M$113:$M$132,$G1321,月間集計シート!R$113:R$132)*AP$2</f>
        <v>0</v>
      </c>
      <c r="AQ1321" s="88">
        <f>SUMIF(月間集計シート!$M$113:$M$132,$G1321,月間集計シート!S$113:S$132)*AQ$2</f>
        <v>0</v>
      </c>
      <c r="AR1321" s="88">
        <f>SUMIF(月間集計シート!$M$113:$M$132,$G1321,月間集計シート!T$113:T$132)*AR$2</f>
        <v>0</v>
      </c>
      <c r="AS1321" s="88">
        <f>SUMIF(月間集計シート!$M$134:$M$153,$G1321,月間集計シート!N$134:N$153)*AS$2</f>
        <v>0</v>
      </c>
      <c r="AT1321" s="88">
        <f>SUMIF(月間集計シート!$M$134:$M$153,$G1321,月間集計シート!O$134:O$153)*AT$2</f>
        <v>0</v>
      </c>
      <c r="AU1321" s="88">
        <f>SUMIF(月間集計シート!$M$134:$M$153,$G1321,月間集計シート!P$134:P$153)*AU$2</f>
        <v>0</v>
      </c>
      <c r="AV1321" s="88">
        <f>SUMIF(月間集計シート!$M$134:$M$153,$G1321,月間集計シート!Q$134:Q$153)*AV$2</f>
        <v>0</v>
      </c>
      <c r="AW1321" s="88">
        <f>SUMIF(月間集計シート!$M$134:$M$153,$G1321,月間集計シート!R$134:R$153)*AW$2</f>
        <v>0</v>
      </c>
      <c r="AX1321" s="88">
        <f>SUMIF(月間集計シート!$M$134:$M$153,$G1321,月間集計シート!S$134:S$153)*AX$2</f>
        <v>0</v>
      </c>
      <c r="AY1321" s="88">
        <f>SUMIF(月間集計シート!$M$134:$M$153,$G1321,月間集計シート!T$134:T$153)*AY$2</f>
        <v>0</v>
      </c>
    </row>
    <row r="1322" spans="1:51" ht="14.25" thickBot="1">
      <c r="A1322">
        <v>16</v>
      </c>
      <c r="B1322" s="120">
        <f t="shared" si="729"/>
        <v>0</v>
      </c>
      <c r="C1322" s="120" t="str">
        <f t="shared" si="730"/>
        <v/>
      </c>
      <c r="D1322" s="137"/>
      <c r="E1322" s="150" t="str">
        <f>工種!A39</f>
        <v>50105</v>
      </c>
      <c r="F1322" s="119" t="str">
        <f>工種!B39</f>
        <v>ﾏﾆｭｱﾙ作成：打合せ</v>
      </c>
      <c r="G1322" s="116" t="str">
        <f t="shared" si="731"/>
        <v>050105</v>
      </c>
      <c r="H1322" s="88">
        <f t="shared" si="685"/>
        <v>0</v>
      </c>
      <c r="I1322" s="132"/>
      <c r="J1322" s="88">
        <f>SUMIF(月間集計シート!$M$29:$M$48,$G1322,月間集計シート!N$29:N$48)*J$2</f>
        <v>0</v>
      </c>
      <c r="K1322" s="88">
        <f>SUMIF(月間集計シート!$M$29:$M$48,$G1322,月間集計シート!O$29:O$48)*K$2</f>
        <v>0</v>
      </c>
      <c r="L1322" s="88">
        <f>SUMIF(月間集計シート!$M$29:$M$48,$G1322,月間集計シート!P$29:P$48)*L$2</f>
        <v>0</v>
      </c>
      <c r="M1322" s="88">
        <f>SUMIF(月間集計シート!$M$29:$M$48,$G1322,月間集計シート!Q$29:Q$48)*M$2</f>
        <v>0</v>
      </c>
      <c r="N1322" s="88">
        <f>SUMIF(月間集計シート!$M$29:$M$48,$G1322,月間集計シート!R$29:R$48)*N$2</f>
        <v>0</v>
      </c>
      <c r="O1322" s="88">
        <f>SUMIF(月間集計シート!$M$29:$M$48,$G1322,月間集計シート!S$29:S$48)*O$2</f>
        <v>0</v>
      </c>
      <c r="P1322" s="88">
        <f>SUMIF(月間集計シート!$M$29:$M$48,$G1322,月間集計シート!T$29:T$48)*P$2</f>
        <v>0</v>
      </c>
      <c r="Q1322" s="88">
        <f>SUMIF(月間集計シート!$M$50:$M$69,$G1322,月間集計シート!N$50:N$69)*Q$2</f>
        <v>0</v>
      </c>
      <c r="R1322" s="88">
        <f>SUMIF(月間集計シート!$M$50:$M$69,$G1322,月間集計シート!O$50:O$69)*R$2</f>
        <v>0</v>
      </c>
      <c r="S1322" s="88">
        <f>SUMIF(月間集計シート!$M$50:$M$69,$G1322,月間集計シート!P$50:P$69)*S$2</f>
        <v>0</v>
      </c>
      <c r="T1322" s="88">
        <f>SUMIF(月間集計シート!$M$50:$M$69,$G1322,月間集計シート!Q$50:Q$69)*T$2</f>
        <v>0</v>
      </c>
      <c r="U1322" s="88">
        <f>SUMIF(月間集計シート!$M$50:$M$69,$G1322,月間集計シート!R$50:R$69)*U$2</f>
        <v>0</v>
      </c>
      <c r="V1322" s="88">
        <f>SUMIF(月間集計シート!$M$50:$M$69,$G1322,月間集計シート!S$50:S$69)*V$2</f>
        <v>0</v>
      </c>
      <c r="W1322" s="88">
        <f>SUMIF(月間集計シート!$M$50:$M$69,$G1322,月間集計シート!T$50:T$69)*W$2</f>
        <v>0</v>
      </c>
      <c r="X1322" s="88">
        <f>SUMIF(月間集計シート!$M$71:$M$90,$G1322,月間集計シート!N$71:N$90)*X$2</f>
        <v>0</v>
      </c>
      <c r="Y1322" s="88">
        <f>SUMIF(月間集計シート!$M$71:$M$90,$G1322,月間集計シート!O$71:O$90)*Y$2</f>
        <v>0</v>
      </c>
      <c r="Z1322" s="88">
        <f>SUMIF(月間集計シート!$M$71:$M$90,$G1322,月間集計シート!P$71:P$90)*Z$2</f>
        <v>0</v>
      </c>
      <c r="AA1322" s="88">
        <f>SUMIF(月間集計シート!$M$71:$M$90,$G1322,月間集計シート!Q$71:Q$90)*AA$2</f>
        <v>0</v>
      </c>
      <c r="AB1322" s="88">
        <f>SUMIF(月間集計シート!$M$71:$M$90,$G1322,月間集計シート!R$71:R$90)*AB$2</f>
        <v>0</v>
      </c>
      <c r="AC1322" s="88">
        <f>SUMIF(月間集計シート!$M$71:$M$90,$G1322,月間集計シート!S$71:S$90)*AC$2</f>
        <v>0</v>
      </c>
      <c r="AD1322" s="88">
        <f>SUMIF(月間集計シート!$M$71:$M$90,$G1322,月間集計シート!T$71:T$90)*AD$2</f>
        <v>0</v>
      </c>
      <c r="AE1322" s="88">
        <f>SUMIF(月間集計シート!$M$92:$M$111,$G1322,月間集計シート!N$92:N$111)*AE$2</f>
        <v>0</v>
      </c>
      <c r="AF1322" s="88">
        <f>SUMIF(月間集計シート!$M$92:$M$111,$G1322,月間集計シート!O$92:O$111)*AF$2</f>
        <v>0</v>
      </c>
      <c r="AG1322" s="88">
        <f>SUMIF(月間集計シート!$M$92:$M$111,$G1322,月間集計シート!P$92:P$111)*AG$2</f>
        <v>0</v>
      </c>
      <c r="AH1322" s="88">
        <f>SUMIF(月間集計シート!$M$92:$M$111,$G1322,月間集計シート!Q$92:Q$111)*AH$2</f>
        <v>0</v>
      </c>
      <c r="AI1322" s="88">
        <f>SUMIF(月間集計シート!$M$92:$M$111,$G1322,月間集計シート!R$92:R$111)*AI$2</f>
        <v>0</v>
      </c>
      <c r="AJ1322" s="88">
        <f>SUMIF(月間集計シート!$M$92:$M$111,$G1322,月間集計シート!S$92:S$111)*AJ$2</f>
        <v>0</v>
      </c>
      <c r="AK1322" s="88">
        <f>SUMIF(月間集計シート!$M$92:$M$111,$G1322,月間集計シート!T$92:T$111)*AK$2</f>
        <v>0</v>
      </c>
      <c r="AL1322" s="88">
        <f>SUMIF(月間集計シート!$M$113:$M$132,$G1322,月間集計シート!N$113:N$132)*AL$2</f>
        <v>0</v>
      </c>
      <c r="AM1322" s="88">
        <f>SUMIF(月間集計シート!$M$113:$M$132,$G1322,月間集計シート!O$113:O$132)*AM$2</f>
        <v>0</v>
      </c>
      <c r="AN1322" s="88">
        <f>SUMIF(月間集計シート!$M$113:$M$132,$G1322,月間集計シート!P$113:P$132)*AN$2</f>
        <v>0</v>
      </c>
      <c r="AO1322" s="88">
        <f>SUMIF(月間集計シート!$M$113:$M$132,$G1322,月間集計シート!Q$113:Q$132)*AO$2</f>
        <v>0</v>
      </c>
      <c r="AP1322" s="88">
        <f>SUMIF(月間集計シート!$M$113:$M$132,$G1322,月間集計シート!R$113:R$132)*AP$2</f>
        <v>0</v>
      </c>
      <c r="AQ1322" s="88">
        <f>SUMIF(月間集計シート!$M$113:$M$132,$G1322,月間集計シート!S$113:S$132)*AQ$2</f>
        <v>0</v>
      </c>
      <c r="AR1322" s="88">
        <f>SUMIF(月間集計シート!$M$113:$M$132,$G1322,月間集計シート!T$113:T$132)*AR$2</f>
        <v>0</v>
      </c>
      <c r="AS1322" s="88">
        <f>SUMIF(月間集計シート!$M$134:$M$153,$G1322,月間集計シート!N$134:N$153)*AS$2</f>
        <v>0</v>
      </c>
      <c r="AT1322" s="88">
        <f>SUMIF(月間集計シート!$M$134:$M$153,$G1322,月間集計シート!O$134:O$153)*AT$2</f>
        <v>0</v>
      </c>
      <c r="AU1322" s="88">
        <f>SUMIF(月間集計シート!$M$134:$M$153,$G1322,月間集計シート!P$134:P$153)*AU$2</f>
        <v>0</v>
      </c>
      <c r="AV1322" s="88">
        <f>SUMIF(月間集計シート!$M$134:$M$153,$G1322,月間集計シート!Q$134:Q$153)*AV$2</f>
        <v>0</v>
      </c>
      <c r="AW1322" s="88">
        <f>SUMIF(月間集計シート!$M$134:$M$153,$G1322,月間集計シート!R$134:R$153)*AW$2</f>
        <v>0</v>
      </c>
      <c r="AX1322" s="88">
        <f>SUMIF(月間集計シート!$M$134:$M$153,$G1322,月間集計シート!S$134:S$153)*AX$2</f>
        <v>0</v>
      </c>
      <c r="AY1322" s="88">
        <f>SUMIF(月間集計シート!$M$134:$M$153,$G1322,月間集計シート!T$134:T$153)*AY$2</f>
        <v>0</v>
      </c>
    </row>
    <row r="1323" spans="1:51" ht="14.25" thickBot="1">
      <c r="A1323">
        <v>16</v>
      </c>
      <c r="B1323" s="120">
        <f t="shared" si="729"/>
        <v>0</v>
      </c>
      <c r="C1323" s="120" t="str">
        <f t="shared" si="730"/>
        <v/>
      </c>
      <c r="D1323" s="137"/>
      <c r="E1323" s="150" t="str">
        <f>工種!A40</f>
        <v>50106</v>
      </c>
      <c r="F1323" s="119" t="str">
        <f>工種!B40</f>
        <v>ﾏﾆｭｱﾙ作成：ﾚﾋﾞｭｰ</v>
      </c>
      <c r="G1323" s="116" t="str">
        <f t="shared" si="731"/>
        <v>050106</v>
      </c>
      <c r="H1323" s="88">
        <f t="shared" si="685"/>
        <v>0</v>
      </c>
      <c r="I1323" s="132"/>
      <c r="J1323" s="88">
        <f>SUMIF(月間集計シート!$M$29:$M$48,$G1323,月間集計シート!N$29:N$48)*J$2</f>
        <v>0</v>
      </c>
      <c r="K1323" s="88">
        <f>SUMIF(月間集計シート!$M$29:$M$48,$G1323,月間集計シート!O$29:O$48)*K$2</f>
        <v>0</v>
      </c>
      <c r="L1323" s="88">
        <f>SUMIF(月間集計シート!$M$29:$M$48,$G1323,月間集計シート!P$29:P$48)*L$2</f>
        <v>0</v>
      </c>
      <c r="M1323" s="88">
        <f>SUMIF(月間集計シート!$M$29:$M$48,$G1323,月間集計シート!Q$29:Q$48)*M$2</f>
        <v>0</v>
      </c>
      <c r="N1323" s="88">
        <f>SUMIF(月間集計シート!$M$29:$M$48,$G1323,月間集計シート!R$29:R$48)*N$2</f>
        <v>0</v>
      </c>
      <c r="O1323" s="88">
        <f>SUMIF(月間集計シート!$M$29:$M$48,$G1323,月間集計シート!S$29:S$48)*O$2</f>
        <v>0</v>
      </c>
      <c r="P1323" s="88">
        <f>SUMIF(月間集計シート!$M$29:$M$48,$G1323,月間集計シート!T$29:T$48)*P$2</f>
        <v>0</v>
      </c>
      <c r="Q1323" s="88">
        <f>SUMIF(月間集計シート!$M$50:$M$69,$G1323,月間集計シート!N$50:N$69)*Q$2</f>
        <v>0</v>
      </c>
      <c r="R1323" s="88">
        <f>SUMIF(月間集計シート!$M$50:$M$69,$G1323,月間集計シート!O$50:O$69)*R$2</f>
        <v>0</v>
      </c>
      <c r="S1323" s="88">
        <f>SUMIF(月間集計シート!$M$50:$M$69,$G1323,月間集計シート!P$50:P$69)*S$2</f>
        <v>0</v>
      </c>
      <c r="T1323" s="88">
        <f>SUMIF(月間集計シート!$M$50:$M$69,$G1323,月間集計シート!Q$50:Q$69)*T$2</f>
        <v>0</v>
      </c>
      <c r="U1323" s="88">
        <f>SUMIF(月間集計シート!$M$50:$M$69,$G1323,月間集計シート!R$50:R$69)*U$2</f>
        <v>0</v>
      </c>
      <c r="V1323" s="88">
        <f>SUMIF(月間集計シート!$M$50:$M$69,$G1323,月間集計シート!S$50:S$69)*V$2</f>
        <v>0</v>
      </c>
      <c r="W1323" s="88">
        <f>SUMIF(月間集計シート!$M$50:$M$69,$G1323,月間集計シート!T$50:T$69)*W$2</f>
        <v>0</v>
      </c>
      <c r="X1323" s="88">
        <f>SUMIF(月間集計シート!$M$71:$M$90,$G1323,月間集計シート!N$71:N$90)*X$2</f>
        <v>0</v>
      </c>
      <c r="Y1323" s="88">
        <f>SUMIF(月間集計シート!$M$71:$M$90,$G1323,月間集計シート!O$71:O$90)*Y$2</f>
        <v>0</v>
      </c>
      <c r="Z1323" s="88">
        <f>SUMIF(月間集計シート!$M$71:$M$90,$G1323,月間集計シート!P$71:P$90)*Z$2</f>
        <v>0</v>
      </c>
      <c r="AA1323" s="88">
        <f>SUMIF(月間集計シート!$M$71:$M$90,$G1323,月間集計シート!Q$71:Q$90)*AA$2</f>
        <v>0</v>
      </c>
      <c r="AB1323" s="88">
        <f>SUMIF(月間集計シート!$M$71:$M$90,$G1323,月間集計シート!R$71:R$90)*AB$2</f>
        <v>0</v>
      </c>
      <c r="AC1323" s="88">
        <f>SUMIF(月間集計シート!$M$71:$M$90,$G1323,月間集計シート!S$71:S$90)*AC$2</f>
        <v>0</v>
      </c>
      <c r="AD1323" s="88">
        <f>SUMIF(月間集計シート!$M$71:$M$90,$G1323,月間集計シート!T$71:T$90)*AD$2</f>
        <v>0</v>
      </c>
      <c r="AE1323" s="88">
        <f>SUMIF(月間集計シート!$M$92:$M$111,$G1323,月間集計シート!N$92:N$111)*AE$2</f>
        <v>0</v>
      </c>
      <c r="AF1323" s="88">
        <f>SUMIF(月間集計シート!$M$92:$M$111,$G1323,月間集計シート!O$92:O$111)*AF$2</f>
        <v>0</v>
      </c>
      <c r="AG1323" s="88">
        <f>SUMIF(月間集計シート!$M$92:$M$111,$G1323,月間集計シート!P$92:P$111)*AG$2</f>
        <v>0</v>
      </c>
      <c r="AH1323" s="88">
        <f>SUMIF(月間集計シート!$M$92:$M$111,$G1323,月間集計シート!Q$92:Q$111)*AH$2</f>
        <v>0</v>
      </c>
      <c r="AI1323" s="88">
        <f>SUMIF(月間集計シート!$M$92:$M$111,$G1323,月間集計シート!R$92:R$111)*AI$2</f>
        <v>0</v>
      </c>
      <c r="AJ1323" s="88">
        <f>SUMIF(月間集計シート!$M$92:$M$111,$G1323,月間集計シート!S$92:S$111)*AJ$2</f>
        <v>0</v>
      </c>
      <c r="AK1323" s="88">
        <f>SUMIF(月間集計シート!$M$92:$M$111,$G1323,月間集計シート!T$92:T$111)*AK$2</f>
        <v>0</v>
      </c>
      <c r="AL1323" s="88">
        <f>SUMIF(月間集計シート!$M$113:$M$132,$G1323,月間集計シート!N$113:N$132)*AL$2</f>
        <v>0</v>
      </c>
      <c r="AM1323" s="88">
        <f>SUMIF(月間集計シート!$M$113:$M$132,$G1323,月間集計シート!O$113:O$132)*AM$2</f>
        <v>0</v>
      </c>
      <c r="AN1323" s="88">
        <f>SUMIF(月間集計シート!$M$113:$M$132,$G1323,月間集計シート!P$113:P$132)*AN$2</f>
        <v>0</v>
      </c>
      <c r="AO1323" s="88">
        <f>SUMIF(月間集計シート!$M$113:$M$132,$G1323,月間集計シート!Q$113:Q$132)*AO$2</f>
        <v>0</v>
      </c>
      <c r="AP1323" s="88">
        <f>SUMIF(月間集計シート!$M$113:$M$132,$G1323,月間集計シート!R$113:R$132)*AP$2</f>
        <v>0</v>
      </c>
      <c r="AQ1323" s="88">
        <f>SUMIF(月間集計シート!$M$113:$M$132,$G1323,月間集計シート!S$113:S$132)*AQ$2</f>
        <v>0</v>
      </c>
      <c r="AR1323" s="88">
        <f>SUMIF(月間集計シート!$M$113:$M$132,$G1323,月間集計シート!T$113:T$132)*AR$2</f>
        <v>0</v>
      </c>
      <c r="AS1323" s="88">
        <f>SUMIF(月間集計シート!$M$134:$M$153,$G1323,月間集計シート!N$134:N$153)*AS$2</f>
        <v>0</v>
      </c>
      <c r="AT1323" s="88">
        <f>SUMIF(月間集計シート!$M$134:$M$153,$G1323,月間集計シート!O$134:O$153)*AT$2</f>
        <v>0</v>
      </c>
      <c r="AU1323" s="88">
        <f>SUMIF(月間集計シート!$M$134:$M$153,$G1323,月間集計シート!P$134:P$153)*AU$2</f>
        <v>0</v>
      </c>
      <c r="AV1323" s="88">
        <f>SUMIF(月間集計シート!$M$134:$M$153,$G1323,月間集計シート!Q$134:Q$153)*AV$2</f>
        <v>0</v>
      </c>
      <c r="AW1323" s="88">
        <f>SUMIF(月間集計シート!$M$134:$M$153,$G1323,月間集計シート!R$134:R$153)*AW$2</f>
        <v>0</v>
      </c>
      <c r="AX1323" s="88">
        <f>SUMIF(月間集計シート!$M$134:$M$153,$G1323,月間集計シート!S$134:S$153)*AX$2</f>
        <v>0</v>
      </c>
      <c r="AY1323" s="88">
        <f>SUMIF(月間集計シート!$M$134:$M$153,$G1323,月間集計シート!T$134:T$153)*AY$2</f>
        <v>0</v>
      </c>
    </row>
    <row r="1324" spans="1:51" ht="14.25" thickBot="1">
      <c r="A1324">
        <v>16</v>
      </c>
      <c r="B1324" s="120">
        <f t="shared" si="729"/>
        <v>0</v>
      </c>
      <c r="C1324" s="120" t="str">
        <f t="shared" si="730"/>
        <v/>
      </c>
      <c r="D1324" s="137"/>
      <c r="E1324" s="150" t="str">
        <f>工種!A41</f>
        <v>50199</v>
      </c>
      <c r="F1324" s="119" t="str">
        <f>工種!B41</f>
        <v>ﾏﾆｭｱﾙ作成：その他</v>
      </c>
      <c r="G1324" s="116" t="str">
        <f t="shared" si="731"/>
        <v>050199</v>
      </c>
      <c r="H1324" s="88">
        <f t="shared" si="685"/>
        <v>0</v>
      </c>
      <c r="I1324" s="132"/>
      <c r="J1324" s="88">
        <f>SUMIF(月間集計シート!$M$29:$M$48,$G1324,月間集計シート!N$29:N$48)*J$2</f>
        <v>0</v>
      </c>
      <c r="K1324" s="88">
        <f>SUMIF(月間集計シート!$M$29:$M$48,$G1324,月間集計シート!O$29:O$48)*K$2</f>
        <v>0</v>
      </c>
      <c r="L1324" s="88">
        <f>SUMIF(月間集計シート!$M$29:$M$48,$G1324,月間集計シート!P$29:P$48)*L$2</f>
        <v>0</v>
      </c>
      <c r="M1324" s="88">
        <f>SUMIF(月間集計シート!$M$29:$M$48,$G1324,月間集計シート!Q$29:Q$48)*M$2</f>
        <v>0</v>
      </c>
      <c r="N1324" s="88">
        <f>SUMIF(月間集計シート!$M$29:$M$48,$G1324,月間集計シート!R$29:R$48)*N$2</f>
        <v>0</v>
      </c>
      <c r="O1324" s="88">
        <f>SUMIF(月間集計シート!$M$29:$M$48,$G1324,月間集計シート!S$29:S$48)*O$2</f>
        <v>0</v>
      </c>
      <c r="P1324" s="88">
        <f>SUMIF(月間集計シート!$M$29:$M$48,$G1324,月間集計シート!T$29:T$48)*P$2</f>
        <v>0</v>
      </c>
      <c r="Q1324" s="88">
        <f>SUMIF(月間集計シート!$M$50:$M$69,$G1324,月間集計シート!N$50:N$69)*Q$2</f>
        <v>0</v>
      </c>
      <c r="R1324" s="88">
        <f>SUMIF(月間集計シート!$M$50:$M$69,$G1324,月間集計シート!O$50:O$69)*R$2</f>
        <v>0</v>
      </c>
      <c r="S1324" s="88">
        <f>SUMIF(月間集計シート!$M$50:$M$69,$G1324,月間集計シート!P$50:P$69)*S$2</f>
        <v>0</v>
      </c>
      <c r="T1324" s="88">
        <f>SUMIF(月間集計シート!$M$50:$M$69,$G1324,月間集計シート!Q$50:Q$69)*T$2</f>
        <v>0</v>
      </c>
      <c r="U1324" s="88">
        <f>SUMIF(月間集計シート!$M$50:$M$69,$G1324,月間集計シート!R$50:R$69)*U$2</f>
        <v>0</v>
      </c>
      <c r="V1324" s="88">
        <f>SUMIF(月間集計シート!$M$50:$M$69,$G1324,月間集計シート!S$50:S$69)*V$2</f>
        <v>0</v>
      </c>
      <c r="W1324" s="88">
        <f>SUMIF(月間集計シート!$M$50:$M$69,$G1324,月間集計シート!T$50:T$69)*W$2</f>
        <v>0</v>
      </c>
      <c r="X1324" s="88">
        <f>SUMIF(月間集計シート!$M$71:$M$90,$G1324,月間集計シート!N$71:N$90)*X$2</f>
        <v>0</v>
      </c>
      <c r="Y1324" s="88">
        <f>SUMIF(月間集計シート!$M$71:$M$90,$G1324,月間集計シート!O$71:O$90)*Y$2</f>
        <v>0</v>
      </c>
      <c r="Z1324" s="88">
        <f>SUMIF(月間集計シート!$M$71:$M$90,$G1324,月間集計シート!P$71:P$90)*Z$2</f>
        <v>0</v>
      </c>
      <c r="AA1324" s="88">
        <f>SUMIF(月間集計シート!$M$71:$M$90,$G1324,月間集計シート!Q$71:Q$90)*AA$2</f>
        <v>0</v>
      </c>
      <c r="AB1324" s="88">
        <f>SUMIF(月間集計シート!$M$71:$M$90,$G1324,月間集計シート!R$71:R$90)*AB$2</f>
        <v>0</v>
      </c>
      <c r="AC1324" s="88">
        <f>SUMIF(月間集計シート!$M$71:$M$90,$G1324,月間集計シート!S$71:S$90)*AC$2</f>
        <v>0</v>
      </c>
      <c r="AD1324" s="88">
        <f>SUMIF(月間集計シート!$M$71:$M$90,$G1324,月間集計シート!T$71:T$90)*AD$2</f>
        <v>0</v>
      </c>
      <c r="AE1324" s="88">
        <f>SUMIF(月間集計シート!$M$92:$M$111,$G1324,月間集計シート!N$92:N$111)*AE$2</f>
        <v>0</v>
      </c>
      <c r="AF1324" s="88">
        <f>SUMIF(月間集計シート!$M$92:$M$111,$G1324,月間集計シート!O$92:O$111)*AF$2</f>
        <v>0</v>
      </c>
      <c r="AG1324" s="88">
        <f>SUMIF(月間集計シート!$M$92:$M$111,$G1324,月間集計シート!P$92:P$111)*AG$2</f>
        <v>0</v>
      </c>
      <c r="AH1324" s="88">
        <f>SUMIF(月間集計シート!$M$92:$M$111,$G1324,月間集計シート!Q$92:Q$111)*AH$2</f>
        <v>0</v>
      </c>
      <c r="AI1324" s="88">
        <f>SUMIF(月間集計シート!$M$92:$M$111,$G1324,月間集計シート!R$92:R$111)*AI$2</f>
        <v>0</v>
      </c>
      <c r="AJ1324" s="88">
        <f>SUMIF(月間集計シート!$M$92:$M$111,$G1324,月間集計シート!S$92:S$111)*AJ$2</f>
        <v>0</v>
      </c>
      <c r="AK1324" s="88">
        <f>SUMIF(月間集計シート!$M$92:$M$111,$G1324,月間集計シート!T$92:T$111)*AK$2</f>
        <v>0</v>
      </c>
      <c r="AL1324" s="88">
        <f>SUMIF(月間集計シート!$M$113:$M$132,$G1324,月間集計シート!N$113:N$132)*AL$2</f>
        <v>0</v>
      </c>
      <c r="AM1324" s="88">
        <f>SUMIF(月間集計シート!$M$113:$M$132,$G1324,月間集計シート!O$113:O$132)*AM$2</f>
        <v>0</v>
      </c>
      <c r="AN1324" s="88">
        <f>SUMIF(月間集計シート!$M$113:$M$132,$G1324,月間集計シート!P$113:P$132)*AN$2</f>
        <v>0</v>
      </c>
      <c r="AO1324" s="88">
        <f>SUMIF(月間集計シート!$M$113:$M$132,$G1324,月間集計シート!Q$113:Q$132)*AO$2</f>
        <v>0</v>
      </c>
      <c r="AP1324" s="88">
        <f>SUMIF(月間集計シート!$M$113:$M$132,$G1324,月間集計シート!R$113:R$132)*AP$2</f>
        <v>0</v>
      </c>
      <c r="AQ1324" s="88">
        <f>SUMIF(月間集計シート!$M$113:$M$132,$G1324,月間集計シート!S$113:S$132)*AQ$2</f>
        <v>0</v>
      </c>
      <c r="AR1324" s="88">
        <f>SUMIF(月間集計シート!$M$113:$M$132,$G1324,月間集計シート!T$113:T$132)*AR$2</f>
        <v>0</v>
      </c>
      <c r="AS1324" s="88">
        <f>SUMIF(月間集計シート!$M$134:$M$153,$G1324,月間集計シート!N$134:N$153)*AS$2</f>
        <v>0</v>
      </c>
      <c r="AT1324" s="88">
        <f>SUMIF(月間集計シート!$M$134:$M$153,$G1324,月間集計シート!O$134:O$153)*AT$2</f>
        <v>0</v>
      </c>
      <c r="AU1324" s="88">
        <f>SUMIF(月間集計シート!$M$134:$M$153,$G1324,月間集計シート!P$134:P$153)*AU$2</f>
        <v>0</v>
      </c>
      <c r="AV1324" s="88">
        <f>SUMIF(月間集計シート!$M$134:$M$153,$G1324,月間集計シート!Q$134:Q$153)*AV$2</f>
        <v>0</v>
      </c>
      <c r="AW1324" s="88">
        <f>SUMIF(月間集計シート!$M$134:$M$153,$G1324,月間集計シート!R$134:R$153)*AW$2</f>
        <v>0</v>
      </c>
      <c r="AX1324" s="88">
        <f>SUMIF(月間集計シート!$M$134:$M$153,$G1324,月間集計シート!S$134:S$153)*AX$2</f>
        <v>0</v>
      </c>
      <c r="AY1324" s="88">
        <f>SUMIF(月間集計シート!$M$134:$M$153,$G1324,月間集計シート!T$134:T$153)*AY$2</f>
        <v>0</v>
      </c>
    </row>
    <row r="1325" spans="1:51" ht="14.25" thickBot="1">
      <c r="A1325">
        <v>16</v>
      </c>
      <c r="B1325" s="120">
        <f t="shared" si="729"/>
        <v>0</v>
      </c>
      <c r="C1325" s="120" t="str">
        <f t="shared" si="730"/>
        <v/>
      </c>
      <c r="D1325" s="137"/>
      <c r="E1325" s="150" t="str">
        <f>工種!A42</f>
        <v>60101</v>
      </c>
      <c r="F1325" s="119" t="str">
        <f>工種!B42</f>
        <v>ﾘﾘｰｽ：ﾘﾘｰｽ・ﾃﾞﾘﾊﾞﾘ作業</v>
      </c>
      <c r="G1325" s="116" t="str">
        <f t="shared" si="731"/>
        <v>060101</v>
      </c>
      <c r="H1325" s="88">
        <f t="shared" si="685"/>
        <v>0</v>
      </c>
      <c r="I1325" s="132"/>
      <c r="J1325" s="88">
        <f>SUMIF(月間集計シート!$M$29:$M$48,$G1325,月間集計シート!N$29:N$48)*J$2</f>
        <v>0</v>
      </c>
      <c r="K1325" s="88">
        <f>SUMIF(月間集計シート!$M$29:$M$48,$G1325,月間集計シート!O$29:O$48)*K$2</f>
        <v>0</v>
      </c>
      <c r="L1325" s="88">
        <f>SUMIF(月間集計シート!$M$29:$M$48,$G1325,月間集計シート!P$29:P$48)*L$2</f>
        <v>0</v>
      </c>
      <c r="M1325" s="88">
        <f>SUMIF(月間集計シート!$M$29:$M$48,$G1325,月間集計シート!Q$29:Q$48)*M$2</f>
        <v>0</v>
      </c>
      <c r="N1325" s="88">
        <f>SUMIF(月間集計シート!$M$29:$M$48,$G1325,月間集計シート!R$29:R$48)*N$2</f>
        <v>0</v>
      </c>
      <c r="O1325" s="88">
        <f>SUMIF(月間集計シート!$M$29:$M$48,$G1325,月間集計シート!S$29:S$48)*O$2</f>
        <v>0</v>
      </c>
      <c r="P1325" s="88">
        <f>SUMIF(月間集計シート!$M$29:$M$48,$G1325,月間集計シート!T$29:T$48)*P$2</f>
        <v>0</v>
      </c>
      <c r="Q1325" s="88">
        <f>SUMIF(月間集計シート!$M$50:$M$69,$G1325,月間集計シート!N$50:N$69)*Q$2</f>
        <v>0</v>
      </c>
      <c r="R1325" s="88">
        <f>SUMIF(月間集計シート!$M$50:$M$69,$G1325,月間集計シート!O$50:O$69)*R$2</f>
        <v>0</v>
      </c>
      <c r="S1325" s="88">
        <f>SUMIF(月間集計シート!$M$50:$M$69,$G1325,月間集計シート!P$50:P$69)*S$2</f>
        <v>0</v>
      </c>
      <c r="T1325" s="88">
        <f>SUMIF(月間集計シート!$M$50:$M$69,$G1325,月間集計シート!Q$50:Q$69)*T$2</f>
        <v>0</v>
      </c>
      <c r="U1325" s="88">
        <f>SUMIF(月間集計シート!$M$50:$M$69,$G1325,月間集計シート!R$50:R$69)*U$2</f>
        <v>0</v>
      </c>
      <c r="V1325" s="88">
        <f>SUMIF(月間集計シート!$M$50:$M$69,$G1325,月間集計シート!S$50:S$69)*V$2</f>
        <v>0</v>
      </c>
      <c r="W1325" s="88">
        <f>SUMIF(月間集計シート!$M$50:$M$69,$G1325,月間集計シート!T$50:T$69)*W$2</f>
        <v>0</v>
      </c>
      <c r="X1325" s="88">
        <f>SUMIF(月間集計シート!$M$71:$M$90,$G1325,月間集計シート!N$71:N$90)*X$2</f>
        <v>0</v>
      </c>
      <c r="Y1325" s="88">
        <f>SUMIF(月間集計シート!$M$71:$M$90,$G1325,月間集計シート!O$71:O$90)*Y$2</f>
        <v>0</v>
      </c>
      <c r="Z1325" s="88">
        <f>SUMIF(月間集計シート!$M$71:$M$90,$G1325,月間集計シート!P$71:P$90)*Z$2</f>
        <v>0</v>
      </c>
      <c r="AA1325" s="88">
        <f>SUMIF(月間集計シート!$M$71:$M$90,$G1325,月間集計シート!Q$71:Q$90)*AA$2</f>
        <v>0</v>
      </c>
      <c r="AB1325" s="88">
        <f>SUMIF(月間集計シート!$M$71:$M$90,$G1325,月間集計シート!R$71:R$90)*AB$2</f>
        <v>0</v>
      </c>
      <c r="AC1325" s="88">
        <f>SUMIF(月間集計シート!$M$71:$M$90,$G1325,月間集計シート!S$71:S$90)*AC$2</f>
        <v>0</v>
      </c>
      <c r="AD1325" s="88">
        <f>SUMIF(月間集計シート!$M$71:$M$90,$G1325,月間集計シート!T$71:T$90)*AD$2</f>
        <v>0</v>
      </c>
      <c r="AE1325" s="88">
        <f>SUMIF(月間集計シート!$M$92:$M$111,$G1325,月間集計シート!N$92:N$111)*AE$2</f>
        <v>0</v>
      </c>
      <c r="AF1325" s="88">
        <f>SUMIF(月間集計シート!$M$92:$M$111,$G1325,月間集計シート!O$92:O$111)*AF$2</f>
        <v>0</v>
      </c>
      <c r="AG1325" s="88">
        <f>SUMIF(月間集計シート!$M$92:$M$111,$G1325,月間集計シート!P$92:P$111)*AG$2</f>
        <v>0</v>
      </c>
      <c r="AH1325" s="88">
        <f>SUMIF(月間集計シート!$M$92:$M$111,$G1325,月間集計シート!Q$92:Q$111)*AH$2</f>
        <v>0</v>
      </c>
      <c r="AI1325" s="88">
        <f>SUMIF(月間集計シート!$M$92:$M$111,$G1325,月間集計シート!R$92:R$111)*AI$2</f>
        <v>0</v>
      </c>
      <c r="AJ1325" s="88">
        <f>SUMIF(月間集計シート!$M$92:$M$111,$G1325,月間集計シート!S$92:S$111)*AJ$2</f>
        <v>0</v>
      </c>
      <c r="AK1325" s="88">
        <f>SUMIF(月間集計シート!$M$92:$M$111,$G1325,月間集計シート!T$92:T$111)*AK$2</f>
        <v>0</v>
      </c>
      <c r="AL1325" s="88">
        <f>SUMIF(月間集計シート!$M$113:$M$132,$G1325,月間集計シート!N$113:N$132)*AL$2</f>
        <v>0</v>
      </c>
      <c r="AM1325" s="88">
        <f>SUMIF(月間集計シート!$M$113:$M$132,$G1325,月間集計シート!O$113:O$132)*AM$2</f>
        <v>0</v>
      </c>
      <c r="AN1325" s="88">
        <f>SUMIF(月間集計シート!$M$113:$M$132,$G1325,月間集計シート!P$113:P$132)*AN$2</f>
        <v>0</v>
      </c>
      <c r="AO1325" s="88">
        <f>SUMIF(月間集計シート!$M$113:$M$132,$G1325,月間集計シート!Q$113:Q$132)*AO$2</f>
        <v>0</v>
      </c>
      <c r="AP1325" s="88">
        <f>SUMIF(月間集計シート!$M$113:$M$132,$G1325,月間集計シート!R$113:R$132)*AP$2</f>
        <v>0</v>
      </c>
      <c r="AQ1325" s="88">
        <f>SUMIF(月間集計シート!$M$113:$M$132,$G1325,月間集計シート!S$113:S$132)*AQ$2</f>
        <v>0</v>
      </c>
      <c r="AR1325" s="88">
        <f>SUMIF(月間集計シート!$M$113:$M$132,$G1325,月間集計シート!T$113:T$132)*AR$2</f>
        <v>0</v>
      </c>
      <c r="AS1325" s="88">
        <f>SUMIF(月間集計シート!$M$134:$M$153,$G1325,月間集計シート!N$134:N$153)*AS$2</f>
        <v>0</v>
      </c>
      <c r="AT1325" s="88">
        <f>SUMIF(月間集計シート!$M$134:$M$153,$G1325,月間集計シート!O$134:O$153)*AT$2</f>
        <v>0</v>
      </c>
      <c r="AU1325" s="88">
        <f>SUMIF(月間集計シート!$M$134:$M$153,$G1325,月間集計シート!P$134:P$153)*AU$2</f>
        <v>0</v>
      </c>
      <c r="AV1325" s="88">
        <f>SUMIF(月間集計シート!$M$134:$M$153,$G1325,月間集計シート!Q$134:Q$153)*AV$2</f>
        <v>0</v>
      </c>
      <c r="AW1325" s="88">
        <f>SUMIF(月間集計シート!$M$134:$M$153,$G1325,月間集計シート!R$134:R$153)*AW$2</f>
        <v>0</v>
      </c>
      <c r="AX1325" s="88">
        <f>SUMIF(月間集計シート!$M$134:$M$153,$G1325,月間集計シート!S$134:S$153)*AX$2</f>
        <v>0</v>
      </c>
      <c r="AY1325" s="88">
        <f>SUMIF(月間集計シート!$M$134:$M$153,$G1325,月間集計シート!T$134:T$153)*AY$2</f>
        <v>0</v>
      </c>
    </row>
    <row r="1326" spans="1:51" ht="14.25" thickBot="1">
      <c r="A1326">
        <v>16</v>
      </c>
      <c r="B1326" s="120">
        <f t="shared" si="729"/>
        <v>0</v>
      </c>
      <c r="C1326" s="120" t="str">
        <f t="shared" si="730"/>
        <v/>
      </c>
      <c r="D1326" s="137"/>
      <c r="E1326" s="150" t="str">
        <f>工種!A43</f>
        <v>60102</v>
      </c>
      <c r="F1326" s="119" t="str">
        <f>工種!B43</f>
        <v>ﾘﾘｰｽ：ﾘﾘｰｽ関連業務</v>
      </c>
      <c r="G1326" s="116" t="str">
        <f t="shared" si="731"/>
        <v>060102</v>
      </c>
      <c r="H1326" s="88">
        <f t="shared" si="685"/>
        <v>0</v>
      </c>
      <c r="I1326" s="132"/>
      <c r="J1326" s="88">
        <f>SUMIF(月間集計シート!$M$29:$M$48,$G1326,月間集計シート!N$29:N$48)*J$2</f>
        <v>0</v>
      </c>
      <c r="K1326" s="88">
        <f>SUMIF(月間集計シート!$M$29:$M$48,$G1326,月間集計シート!O$29:O$48)*K$2</f>
        <v>0</v>
      </c>
      <c r="L1326" s="88">
        <f>SUMIF(月間集計シート!$M$29:$M$48,$G1326,月間集計シート!P$29:P$48)*L$2</f>
        <v>0</v>
      </c>
      <c r="M1326" s="88">
        <f>SUMIF(月間集計シート!$M$29:$M$48,$G1326,月間集計シート!Q$29:Q$48)*M$2</f>
        <v>0</v>
      </c>
      <c r="N1326" s="88">
        <f>SUMIF(月間集計シート!$M$29:$M$48,$G1326,月間集計シート!R$29:R$48)*N$2</f>
        <v>0</v>
      </c>
      <c r="O1326" s="88">
        <f>SUMIF(月間集計シート!$M$29:$M$48,$G1326,月間集計シート!S$29:S$48)*O$2</f>
        <v>0</v>
      </c>
      <c r="P1326" s="88">
        <f>SUMIF(月間集計シート!$M$29:$M$48,$G1326,月間集計シート!T$29:T$48)*P$2</f>
        <v>0</v>
      </c>
      <c r="Q1326" s="88">
        <f>SUMIF(月間集計シート!$M$50:$M$69,$G1326,月間集計シート!N$50:N$69)*Q$2</f>
        <v>0</v>
      </c>
      <c r="R1326" s="88">
        <f>SUMIF(月間集計シート!$M$50:$M$69,$G1326,月間集計シート!O$50:O$69)*R$2</f>
        <v>0</v>
      </c>
      <c r="S1326" s="88">
        <f>SUMIF(月間集計シート!$M$50:$M$69,$G1326,月間集計シート!P$50:P$69)*S$2</f>
        <v>0</v>
      </c>
      <c r="T1326" s="88">
        <f>SUMIF(月間集計シート!$M$50:$M$69,$G1326,月間集計シート!Q$50:Q$69)*T$2</f>
        <v>0</v>
      </c>
      <c r="U1326" s="88">
        <f>SUMIF(月間集計シート!$M$50:$M$69,$G1326,月間集計シート!R$50:R$69)*U$2</f>
        <v>0</v>
      </c>
      <c r="V1326" s="88">
        <f>SUMIF(月間集計シート!$M$50:$M$69,$G1326,月間集計シート!S$50:S$69)*V$2</f>
        <v>0</v>
      </c>
      <c r="W1326" s="88">
        <f>SUMIF(月間集計シート!$M$50:$M$69,$G1326,月間集計シート!T$50:T$69)*W$2</f>
        <v>0</v>
      </c>
      <c r="X1326" s="88">
        <f>SUMIF(月間集計シート!$M$71:$M$90,$G1326,月間集計シート!N$71:N$90)*X$2</f>
        <v>0</v>
      </c>
      <c r="Y1326" s="88">
        <f>SUMIF(月間集計シート!$M$71:$M$90,$G1326,月間集計シート!O$71:O$90)*Y$2</f>
        <v>0</v>
      </c>
      <c r="Z1326" s="88">
        <f>SUMIF(月間集計シート!$M$71:$M$90,$G1326,月間集計シート!P$71:P$90)*Z$2</f>
        <v>0</v>
      </c>
      <c r="AA1326" s="88">
        <f>SUMIF(月間集計シート!$M$71:$M$90,$G1326,月間集計シート!Q$71:Q$90)*AA$2</f>
        <v>0</v>
      </c>
      <c r="AB1326" s="88">
        <f>SUMIF(月間集計シート!$M$71:$M$90,$G1326,月間集計シート!R$71:R$90)*AB$2</f>
        <v>0</v>
      </c>
      <c r="AC1326" s="88">
        <f>SUMIF(月間集計シート!$M$71:$M$90,$G1326,月間集計シート!S$71:S$90)*AC$2</f>
        <v>0</v>
      </c>
      <c r="AD1326" s="88">
        <f>SUMIF(月間集計シート!$M$71:$M$90,$G1326,月間集計シート!T$71:T$90)*AD$2</f>
        <v>0</v>
      </c>
      <c r="AE1326" s="88">
        <f>SUMIF(月間集計シート!$M$92:$M$111,$G1326,月間集計シート!N$92:N$111)*AE$2</f>
        <v>0</v>
      </c>
      <c r="AF1326" s="88">
        <f>SUMIF(月間集計シート!$M$92:$M$111,$G1326,月間集計シート!O$92:O$111)*AF$2</f>
        <v>0</v>
      </c>
      <c r="AG1326" s="88">
        <f>SUMIF(月間集計シート!$M$92:$M$111,$G1326,月間集計シート!P$92:P$111)*AG$2</f>
        <v>0</v>
      </c>
      <c r="AH1326" s="88">
        <f>SUMIF(月間集計シート!$M$92:$M$111,$G1326,月間集計シート!Q$92:Q$111)*AH$2</f>
        <v>0</v>
      </c>
      <c r="AI1326" s="88">
        <f>SUMIF(月間集計シート!$M$92:$M$111,$G1326,月間集計シート!R$92:R$111)*AI$2</f>
        <v>0</v>
      </c>
      <c r="AJ1326" s="88">
        <f>SUMIF(月間集計シート!$M$92:$M$111,$G1326,月間集計シート!S$92:S$111)*AJ$2</f>
        <v>0</v>
      </c>
      <c r="AK1326" s="88">
        <f>SUMIF(月間集計シート!$M$92:$M$111,$G1326,月間集計シート!T$92:T$111)*AK$2</f>
        <v>0</v>
      </c>
      <c r="AL1326" s="88">
        <f>SUMIF(月間集計シート!$M$113:$M$132,$G1326,月間集計シート!N$113:N$132)*AL$2</f>
        <v>0</v>
      </c>
      <c r="AM1326" s="88">
        <f>SUMIF(月間集計シート!$M$113:$M$132,$G1326,月間集計シート!O$113:O$132)*AM$2</f>
        <v>0</v>
      </c>
      <c r="AN1326" s="88">
        <f>SUMIF(月間集計シート!$M$113:$M$132,$G1326,月間集計シート!P$113:P$132)*AN$2</f>
        <v>0</v>
      </c>
      <c r="AO1326" s="88">
        <f>SUMIF(月間集計シート!$M$113:$M$132,$G1326,月間集計シート!Q$113:Q$132)*AO$2</f>
        <v>0</v>
      </c>
      <c r="AP1326" s="88">
        <f>SUMIF(月間集計シート!$M$113:$M$132,$G1326,月間集計シート!R$113:R$132)*AP$2</f>
        <v>0</v>
      </c>
      <c r="AQ1326" s="88">
        <f>SUMIF(月間集計シート!$M$113:$M$132,$G1326,月間集計シート!S$113:S$132)*AQ$2</f>
        <v>0</v>
      </c>
      <c r="AR1326" s="88">
        <f>SUMIF(月間集計シート!$M$113:$M$132,$G1326,月間集計シート!T$113:T$132)*AR$2</f>
        <v>0</v>
      </c>
      <c r="AS1326" s="88">
        <f>SUMIF(月間集計シート!$M$134:$M$153,$G1326,月間集計シート!N$134:N$153)*AS$2</f>
        <v>0</v>
      </c>
      <c r="AT1326" s="88">
        <f>SUMIF(月間集計シート!$M$134:$M$153,$G1326,月間集計シート!O$134:O$153)*AT$2</f>
        <v>0</v>
      </c>
      <c r="AU1326" s="88">
        <f>SUMIF(月間集計シート!$M$134:$M$153,$G1326,月間集計シート!P$134:P$153)*AU$2</f>
        <v>0</v>
      </c>
      <c r="AV1326" s="88">
        <f>SUMIF(月間集計シート!$M$134:$M$153,$G1326,月間集計シート!Q$134:Q$153)*AV$2</f>
        <v>0</v>
      </c>
      <c r="AW1326" s="88">
        <f>SUMIF(月間集計シート!$M$134:$M$153,$G1326,月間集計シート!R$134:R$153)*AW$2</f>
        <v>0</v>
      </c>
      <c r="AX1326" s="88">
        <f>SUMIF(月間集計シート!$M$134:$M$153,$G1326,月間集計シート!S$134:S$153)*AX$2</f>
        <v>0</v>
      </c>
      <c r="AY1326" s="88">
        <f>SUMIF(月間集計シート!$M$134:$M$153,$G1326,月間集計シート!T$134:T$153)*AY$2</f>
        <v>0</v>
      </c>
    </row>
    <row r="1327" spans="1:51" ht="14.25" thickBot="1">
      <c r="A1327">
        <v>16</v>
      </c>
      <c r="B1327" s="120">
        <f t="shared" si="729"/>
        <v>0</v>
      </c>
      <c r="C1327" s="120" t="str">
        <f t="shared" si="730"/>
        <v/>
      </c>
      <c r="D1327" s="137"/>
      <c r="E1327" s="150" t="str">
        <f>工種!A44</f>
        <v>60103</v>
      </c>
      <c r="F1327" s="119" t="str">
        <f>工種!B44</f>
        <v>ﾘﾘｰｽ：ﾏﾆｭｱﾙPDF作成・修正</v>
      </c>
      <c r="G1327" s="116" t="str">
        <f t="shared" si="731"/>
        <v>060103</v>
      </c>
      <c r="H1327" s="88">
        <f t="shared" si="685"/>
        <v>0</v>
      </c>
      <c r="I1327" s="132"/>
      <c r="J1327" s="88">
        <f>SUMIF(月間集計シート!$M$29:$M$48,$G1327,月間集計シート!N$29:N$48)*J$2</f>
        <v>0</v>
      </c>
      <c r="K1327" s="88">
        <f>SUMIF(月間集計シート!$M$29:$M$48,$G1327,月間集計シート!O$29:O$48)*K$2</f>
        <v>0</v>
      </c>
      <c r="L1327" s="88">
        <f>SUMIF(月間集計シート!$M$29:$M$48,$G1327,月間集計シート!P$29:P$48)*L$2</f>
        <v>0</v>
      </c>
      <c r="M1327" s="88">
        <f>SUMIF(月間集計シート!$M$29:$M$48,$G1327,月間集計シート!Q$29:Q$48)*M$2</f>
        <v>0</v>
      </c>
      <c r="N1327" s="88">
        <f>SUMIF(月間集計シート!$M$29:$M$48,$G1327,月間集計シート!R$29:R$48)*N$2</f>
        <v>0</v>
      </c>
      <c r="O1327" s="88">
        <f>SUMIF(月間集計シート!$M$29:$M$48,$G1327,月間集計シート!S$29:S$48)*O$2</f>
        <v>0</v>
      </c>
      <c r="P1327" s="88">
        <f>SUMIF(月間集計シート!$M$29:$M$48,$G1327,月間集計シート!T$29:T$48)*P$2</f>
        <v>0</v>
      </c>
      <c r="Q1327" s="88">
        <f>SUMIF(月間集計シート!$M$50:$M$69,$G1327,月間集計シート!N$50:N$69)*Q$2</f>
        <v>0</v>
      </c>
      <c r="R1327" s="88">
        <f>SUMIF(月間集計シート!$M$50:$M$69,$G1327,月間集計シート!O$50:O$69)*R$2</f>
        <v>0</v>
      </c>
      <c r="S1327" s="88">
        <f>SUMIF(月間集計シート!$M$50:$M$69,$G1327,月間集計シート!P$50:P$69)*S$2</f>
        <v>0</v>
      </c>
      <c r="T1327" s="88">
        <f>SUMIF(月間集計シート!$M$50:$M$69,$G1327,月間集計シート!Q$50:Q$69)*T$2</f>
        <v>0</v>
      </c>
      <c r="U1327" s="88">
        <f>SUMIF(月間集計シート!$M$50:$M$69,$G1327,月間集計シート!R$50:R$69)*U$2</f>
        <v>0</v>
      </c>
      <c r="V1327" s="88">
        <f>SUMIF(月間集計シート!$M$50:$M$69,$G1327,月間集計シート!S$50:S$69)*V$2</f>
        <v>0</v>
      </c>
      <c r="W1327" s="88">
        <f>SUMIF(月間集計シート!$M$50:$M$69,$G1327,月間集計シート!T$50:T$69)*W$2</f>
        <v>0</v>
      </c>
      <c r="X1327" s="88">
        <f>SUMIF(月間集計シート!$M$71:$M$90,$G1327,月間集計シート!N$71:N$90)*X$2</f>
        <v>0</v>
      </c>
      <c r="Y1327" s="88">
        <f>SUMIF(月間集計シート!$M$71:$M$90,$G1327,月間集計シート!O$71:O$90)*Y$2</f>
        <v>0</v>
      </c>
      <c r="Z1327" s="88">
        <f>SUMIF(月間集計シート!$M$71:$M$90,$G1327,月間集計シート!P$71:P$90)*Z$2</f>
        <v>0</v>
      </c>
      <c r="AA1327" s="88">
        <f>SUMIF(月間集計シート!$M$71:$M$90,$G1327,月間集計シート!Q$71:Q$90)*AA$2</f>
        <v>0</v>
      </c>
      <c r="AB1327" s="88">
        <f>SUMIF(月間集計シート!$M$71:$M$90,$G1327,月間集計シート!R$71:R$90)*AB$2</f>
        <v>0</v>
      </c>
      <c r="AC1327" s="88">
        <f>SUMIF(月間集計シート!$M$71:$M$90,$G1327,月間集計シート!S$71:S$90)*AC$2</f>
        <v>0</v>
      </c>
      <c r="AD1327" s="88">
        <f>SUMIF(月間集計シート!$M$71:$M$90,$G1327,月間集計シート!T$71:T$90)*AD$2</f>
        <v>0</v>
      </c>
      <c r="AE1327" s="88">
        <f>SUMIF(月間集計シート!$M$92:$M$111,$G1327,月間集計シート!N$92:N$111)*AE$2</f>
        <v>0</v>
      </c>
      <c r="AF1327" s="88">
        <f>SUMIF(月間集計シート!$M$92:$M$111,$G1327,月間集計シート!O$92:O$111)*AF$2</f>
        <v>0</v>
      </c>
      <c r="AG1327" s="88">
        <f>SUMIF(月間集計シート!$M$92:$M$111,$G1327,月間集計シート!P$92:P$111)*AG$2</f>
        <v>0</v>
      </c>
      <c r="AH1327" s="88">
        <f>SUMIF(月間集計シート!$M$92:$M$111,$G1327,月間集計シート!Q$92:Q$111)*AH$2</f>
        <v>0</v>
      </c>
      <c r="AI1327" s="88">
        <f>SUMIF(月間集計シート!$M$92:$M$111,$G1327,月間集計シート!R$92:R$111)*AI$2</f>
        <v>0</v>
      </c>
      <c r="AJ1327" s="88">
        <f>SUMIF(月間集計シート!$M$92:$M$111,$G1327,月間集計シート!S$92:S$111)*AJ$2</f>
        <v>0</v>
      </c>
      <c r="AK1327" s="88">
        <f>SUMIF(月間集計シート!$M$92:$M$111,$G1327,月間集計シート!T$92:T$111)*AK$2</f>
        <v>0</v>
      </c>
      <c r="AL1327" s="88">
        <f>SUMIF(月間集計シート!$M$113:$M$132,$G1327,月間集計シート!N$113:N$132)*AL$2</f>
        <v>0</v>
      </c>
      <c r="AM1327" s="88">
        <f>SUMIF(月間集計シート!$M$113:$M$132,$G1327,月間集計シート!O$113:O$132)*AM$2</f>
        <v>0</v>
      </c>
      <c r="AN1327" s="88">
        <f>SUMIF(月間集計シート!$M$113:$M$132,$G1327,月間集計シート!P$113:P$132)*AN$2</f>
        <v>0</v>
      </c>
      <c r="AO1327" s="88">
        <f>SUMIF(月間集計シート!$M$113:$M$132,$G1327,月間集計シート!Q$113:Q$132)*AO$2</f>
        <v>0</v>
      </c>
      <c r="AP1327" s="88">
        <f>SUMIF(月間集計シート!$M$113:$M$132,$G1327,月間集計シート!R$113:R$132)*AP$2</f>
        <v>0</v>
      </c>
      <c r="AQ1327" s="88">
        <f>SUMIF(月間集計シート!$M$113:$M$132,$G1327,月間集計シート!S$113:S$132)*AQ$2</f>
        <v>0</v>
      </c>
      <c r="AR1327" s="88">
        <f>SUMIF(月間集計シート!$M$113:$M$132,$G1327,月間集計シート!T$113:T$132)*AR$2</f>
        <v>0</v>
      </c>
      <c r="AS1327" s="88">
        <f>SUMIF(月間集計シート!$M$134:$M$153,$G1327,月間集計シート!N$134:N$153)*AS$2</f>
        <v>0</v>
      </c>
      <c r="AT1327" s="88">
        <f>SUMIF(月間集計シート!$M$134:$M$153,$G1327,月間集計シート!O$134:O$153)*AT$2</f>
        <v>0</v>
      </c>
      <c r="AU1327" s="88">
        <f>SUMIF(月間集計シート!$M$134:$M$153,$G1327,月間集計シート!P$134:P$153)*AU$2</f>
        <v>0</v>
      </c>
      <c r="AV1327" s="88">
        <f>SUMIF(月間集計シート!$M$134:$M$153,$G1327,月間集計シート!Q$134:Q$153)*AV$2</f>
        <v>0</v>
      </c>
      <c r="AW1327" s="88">
        <f>SUMIF(月間集計シート!$M$134:$M$153,$G1327,月間集計シート!R$134:R$153)*AW$2</f>
        <v>0</v>
      </c>
      <c r="AX1327" s="88">
        <f>SUMIF(月間集計シート!$M$134:$M$153,$G1327,月間集計シート!S$134:S$153)*AX$2</f>
        <v>0</v>
      </c>
      <c r="AY1327" s="88">
        <f>SUMIF(月間集計シート!$M$134:$M$153,$G1327,月間集計シート!T$134:T$153)*AY$2</f>
        <v>0</v>
      </c>
    </row>
    <row r="1328" spans="1:51" ht="14.25" thickBot="1">
      <c r="A1328">
        <v>16</v>
      </c>
      <c r="B1328" s="120">
        <f t="shared" si="729"/>
        <v>0</v>
      </c>
      <c r="C1328" s="120" t="str">
        <f t="shared" si="730"/>
        <v/>
      </c>
      <c r="D1328" s="137"/>
      <c r="E1328" s="150" t="str">
        <f>工種!A45</f>
        <v>60104</v>
      </c>
      <c r="F1328" s="119" t="str">
        <f>工種!B45</f>
        <v>ﾘﾘｰｽ：ﾍﾙﾌﾟ作成・修正</v>
      </c>
      <c r="G1328" s="116" t="str">
        <f t="shared" si="731"/>
        <v>060104</v>
      </c>
      <c r="H1328" s="88">
        <f t="shared" si="685"/>
        <v>0</v>
      </c>
      <c r="I1328" s="132"/>
      <c r="J1328" s="88">
        <f>SUMIF(月間集計シート!$M$29:$M$48,$G1328,月間集計シート!N$29:N$48)*J$2</f>
        <v>0</v>
      </c>
      <c r="K1328" s="88">
        <f>SUMIF(月間集計シート!$M$29:$M$48,$G1328,月間集計シート!O$29:O$48)*K$2</f>
        <v>0</v>
      </c>
      <c r="L1328" s="88">
        <f>SUMIF(月間集計シート!$M$29:$M$48,$G1328,月間集計シート!P$29:P$48)*L$2</f>
        <v>0</v>
      </c>
      <c r="M1328" s="88">
        <f>SUMIF(月間集計シート!$M$29:$M$48,$G1328,月間集計シート!Q$29:Q$48)*M$2</f>
        <v>0</v>
      </c>
      <c r="N1328" s="88">
        <f>SUMIF(月間集計シート!$M$29:$M$48,$G1328,月間集計シート!R$29:R$48)*N$2</f>
        <v>0</v>
      </c>
      <c r="O1328" s="88">
        <f>SUMIF(月間集計シート!$M$29:$M$48,$G1328,月間集計シート!S$29:S$48)*O$2</f>
        <v>0</v>
      </c>
      <c r="P1328" s="88">
        <f>SUMIF(月間集計シート!$M$29:$M$48,$G1328,月間集計シート!T$29:T$48)*P$2</f>
        <v>0</v>
      </c>
      <c r="Q1328" s="88">
        <f>SUMIF(月間集計シート!$M$50:$M$69,$G1328,月間集計シート!N$50:N$69)*Q$2</f>
        <v>0</v>
      </c>
      <c r="R1328" s="88">
        <f>SUMIF(月間集計シート!$M$50:$M$69,$G1328,月間集計シート!O$50:O$69)*R$2</f>
        <v>0</v>
      </c>
      <c r="S1328" s="88">
        <f>SUMIF(月間集計シート!$M$50:$M$69,$G1328,月間集計シート!P$50:P$69)*S$2</f>
        <v>0</v>
      </c>
      <c r="T1328" s="88">
        <f>SUMIF(月間集計シート!$M$50:$M$69,$G1328,月間集計シート!Q$50:Q$69)*T$2</f>
        <v>0</v>
      </c>
      <c r="U1328" s="88">
        <f>SUMIF(月間集計シート!$M$50:$M$69,$G1328,月間集計シート!R$50:R$69)*U$2</f>
        <v>0</v>
      </c>
      <c r="V1328" s="88">
        <f>SUMIF(月間集計シート!$M$50:$M$69,$G1328,月間集計シート!S$50:S$69)*V$2</f>
        <v>0</v>
      </c>
      <c r="W1328" s="88">
        <f>SUMIF(月間集計シート!$M$50:$M$69,$G1328,月間集計シート!T$50:T$69)*W$2</f>
        <v>0</v>
      </c>
      <c r="X1328" s="88">
        <f>SUMIF(月間集計シート!$M$71:$M$90,$G1328,月間集計シート!N$71:N$90)*X$2</f>
        <v>0</v>
      </c>
      <c r="Y1328" s="88">
        <f>SUMIF(月間集計シート!$M$71:$M$90,$G1328,月間集計シート!O$71:O$90)*Y$2</f>
        <v>0</v>
      </c>
      <c r="Z1328" s="88">
        <f>SUMIF(月間集計シート!$M$71:$M$90,$G1328,月間集計シート!P$71:P$90)*Z$2</f>
        <v>0</v>
      </c>
      <c r="AA1328" s="88">
        <f>SUMIF(月間集計シート!$M$71:$M$90,$G1328,月間集計シート!Q$71:Q$90)*AA$2</f>
        <v>0</v>
      </c>
      <c r="AB1328" s="88">
        <f>SUMIF(月間集計シート!$M$71:$M$90,$G1328,月間集計シート!R$71:R$90)*AB$2</f>
        <v>0</v>
      </c>
      <c r="AC1328" s="88">
        <f>SUMIF(月間集計シート!$M$71:$M$90,$G1328,月間集計シート!S$71:S$90)*AC$2</f>
        <v>0</v>
      </c>
      <c r="AD1328" s="88">
        <f>SUMIF(月間集計シート!$M$71:$M$90,$G1328,月間集計シート!T$71:T$90)*AD$2</f>
        <v>0</v>
      </c>
      <c r="AE1328" s="88">
        <f>SUMIF(月間集計シート!$M$92:$M$111,$G1328,月間集計シート!N$92:N$111)*AE$2</f>
        <v>0</v>
      </c>
      <c r="AF1328" s="88">
        <f>SUMIF(月間集計シート!$M$92:$M$111,$G1328,月間集計シート!O$92:O$111)*AF$2</f>
        <v>0</v>
      </c>
      <c r="AG1328" s="88">
        <f>SUMIF(月間集計シート!$M$92:$M$111,$G1328,月間集計シート!P$92:P$111)*AG$2</f>
        <v>0</v>
      </c>
      <c r="AH1328" s="88">
        <f>SUMIF(月間集計シート!$M$92:$M$111,$G1328,月間集計シート!Q$92:Q$111)*AH$2</f>
        <v>0</v>
      </c>
      <c r="AI1328" s="88">
        <f>SUMIF(月間集計シート!$M$92:$M$111,$G1328,月間集計シート!R$92:R$111)*AI$2</f>
        <v>0</v>
      </c>
      <c r="AJ1328" s="88">
        <f>SUMIF(月間集計シート!$M$92:$M$111,$G1328,月間集計シート!S$92:S$111)*AJ$2</f>
        <v>0</v>
      </c>
      <c r="AK1328" s="88">
        <f>SUMIF(月間集計シート!$M$92:$M$111,$G1328,月間集計シート!T$92:T$111)*AK$2</f>
        <v>0</v>
      </c>
      <c r="AL1328" s="88">
        <f>SUMIF(月間集計シート!$M$113:$M$132,$G1328,月間集計シート!N$113:N$132)*AL$2</f>
        <v>0</v>
      </c>
      <c r="AM1328" s="88">
        <f>SUMIF(月間集計シート!$M$113:$M$132,$G1328,月間集計シート!O$113:O$132)*AM$2</f>
        <v>0</v>
      </c>
      <c r="AN1328" s="88">
        <f>SUMIF(月間集計シート!$M$113:$M$132,$G1328,月間集計シート!P$113:P$132)*AN$2</f>
        <v>0</v>
      </c>
      <c r="AO1328" s="88">
        <f>SUMIF(月間集計シート!$M$113:$M$132,$G1328,月間集計シート!Q$113:Q$132)*AO$2</f>
        <v>0</v>
      </c>
      <c r="AP1328" s="88">
        <f>SUMIF(月間集計シート!$M$113:$M$132,$G1328,月間集計シート!R$113:R$132)*AP$2</f>
        <v>0</v>
      </c>
      <c r="AQ1328" s="88">
        <f>SUMIF(月間集計シート!$M$113:$M$132,$G1328,月間集計シート!S$113:S$132)*AQ$2</f>
        <v>0</v>
      </c>
      <c r="AR1328" s="88">
        <f>SUMIF(月間集計シート!$M$113:$M$132,$G1328,月間集計シート!T$113:T$132)*AR$2</f>
        <v>0</v>
      </c>
      <c r="AS1328" s="88">
        <f>SUMIF(月間集計シート!$M$134:$M$153,$G1328,月間集計シート!N$134:N$153)*AS$2</f>
        <v>0</v>
      </c>
      <c r="AT1328" s="88">
        <f>SUMIF(月間集計シート!$M$134:$M$153,$G1328,月間集計シート!O$134:O$153)*AT$2</f>
        <v>0</v>
      </c>
      <c r="AU1328" s="88">
        <f>SUMIF(月間集計シート!$M$134:$M$153,$G1328,月間集計シート!P$134:P$153)*AU$2</f>
        <v>0</v>
      </c>
      <c r="AV1328" s="88">
        <f>SUMIF(月間集計シート!$M$134:$M$153,$G1328,月間集計シート!Q$134:Q$153)*AV$2</f>
        <v>0</v>
      </c>
      <c r="AW1328" s="88">
        <f>SUMIF(月間集計シート!$M$134:$M$153,$G1328,月間集計シート!R$134:R$153)*AW$2</f>
        <v>0</v>
      </c>
      <c r="AX1328" s="88">
        <f>SUMIF(月間集計シート!$M$134:$M$153,$G1328,月間集計シート!S$134:S$153)*AX$2</f>
        <v>0</v>
      </c>
      <c r="AY1328" s="88">
        <f>SUMIF(月間集計シート!$M$134:$M$153,$G1328,月間集計シート!T$134:T$153)*AY$2</f>
        <v>0</v>
      </c>
    </row>
    <row r="1329" spans="1:51" ht="14.25" thickBot="1">
      <c r="A1329">
        <v>16</v>
      </c>
      <c r="B1329" s="120">
        <f t="shared" si="729"/>
        <v>0</v>
      </c>
      <c r="C1329" s="120" t="str">
        <f t="shared" si="730"/>
        <v/>
      </c>
      <c r="D1329" s="137"/>
      <c r="E1329" s="150" t="str">
        <f>工種!A46</f>
        <v>60105</v>
      </c>
      <c r="F1329" s="119" t="str">
        <f>工種!B46</f>
        <v>ﾘﾘｰｽ：締め作業</v>
      </c>
      <c r="G1329" s="116" t="str">
        <f t="shared" si="731"/>
        <v>060105</v>
      </c>
      <c r="H1329" s="88">
        <f t="shared" si="685"/>
        <v>0</v>
      </c>
      <c r="I1329" s="132"/>
      <c r="J1329" s="88">
        <f>SUMIF(月間集計シート!$M$29:$M$48,$G1329,月間集計シート!N$29:N$48)*J$2</f>
        <v>0</v>
      </c>
      <c r="K1329" s="88">
        <f>SUMIF(月間集計シート!$M$29:$M$48,$G1329,月間集計シート!O$29:O$48)*K$2</f>
        <v>0</v>
      </c>
      <c r="L1329" s="88">
        <f>SUMIF(月間集計シート!$M$29:$M$48,$G1329,月間集計シート!P$29:P$48)*L$2</f>
        <v>0</v>
      </c>
      <c r="M1329" s="88">
        <f>SUMIF(月間集計シート!$M$29:$M$48,$G1329,月間集計シート!Q$29:Q$48)*M$2</f>
        <v>0</v>
      </c>
      <c r="N1329" s="88">
        <f>SUMIF(月間集計シート!$M$29:$M$48,$G1329,月間集計シート!R$29:R$48)*N$2</f>
        <v>0</v>
      </c>
      <c r="O1329" s="88">
        <f>SUMIF(月間集計シート!$M$29:$M$48,$G1329,月間集計シート!S$29:S$48)*O$2</f>
        <v>0</v>
      </c>
      <c r="P1329" s="88">
        <f>SUMIF(月間集計シート!$M$29:$M$48,$G1329,月間集計シート!T$29:T$48)*P$2</f>
        <v>0</v>
      </c>
      <c r="Q1329" s="88">
        <f>SUMIF(月間集計シート!$M$50:$M$69,$G1329,月間集計シート!N$50:N$69)*Q$2</f>
        <v>0</v>
      </c>
      <c r="R1329" s="88">
        <f>SUMIF(月間集計シート!$M$50:$M$69,$G1329,月間集計シート!O$50:O$69)*R$2</f>
        <v>0</v>
      </c>
      <c r="S1329" s="88">
        <f>SUMIF(月間集計シート!$M$50:$M$69,$G1329,月間集計シート!P$50:P$69)*S$2</f>
        <v>0</v>
      </c>
      <c r="T1329" s="88">
        <f>SUMIF(月間集計シート!$M$50:$M$69,$G1329,月間集計シート!Q$50:Q$69)*T$2</f>
        <v>0</v>
      </c>
      <c r="U1329" s="88">
        <f>SUMIF(月間集計シート!$M$50:$M$69,$G1329,月間集計シート!R$50:R$69)*U$2</f>
        <v>0</v>
      </c>
      <c r="V1329" s="88">
        <f>SUMIF(月間集計シート!$M$50:$M$69,$G1329,月間集計シート!S$50:S$69)*V$2</f>
        <v>0</v>
      </c>
      <c r="W1329" s="88">
        <f>SUMIF(月間集計シート!$M$50:$M$69,$G1329,月間集計シート!T$50:T$69)*W$2</f>
        <v>0</v>
      </c>
      <c r="X1329" s="88">
        <f>SUMIF(月間集計シート!$M$71:$M$90,$G1329,月間集計シート!N$71:N$90)*X$2</f>
        <v>0</v>
      </c>
      <c r="Y1329" s="88">
        <f>SUMIF(月間集計シート!$M$71:$M$90,$G1329,月間集計シート!O$71:O$90)*Y$2</f>
        <v>0</v>
      </c>
      <c r="Z1329" s="88">
        <f>SUMIF(月間集計シート!$M$71:$M$90,$G1329,月間集計シート!P$71:P$90)*Z$2</f>
        <v>0</v>
      </c>
      <c r="AA1329" s="88">
        <f>SUMIF(月間集計シート!$M$71:$M$90,$G1329,月間集計シート!Q$71:Q$90)*AA$2</f>
        <v>0</v>
      </c>
      <c r="AB1329" s="88">
        <f>SUMIF(月間集計シート!$M$71:$M$90,$G1329,月間集計シート!R$71:R$90)*AB$2</f>
        <v>0</v>
      </c>
      <c r="AC1329" s="88">
        <f>SUMIF(月間集計シート!$M$71:$M$90,$G1329,月間集計シート!S$71:S$90)*AC$2</f>
        <v>0</v>
      </c>
      <c r="AD1329" s="88">
        <f>SUMIF(月間集計シート!$M$71:$M$90,$G1329,月間集計シート!T$71:T$90)*AD$2</f>
        <v>0</v>
      </c>
      <c r="AE1329" s="88">
        <f>SUMIF(月間集計シート!$M$92:$M$111,$G1329,月間集計シート!N$92:N$111)*AE$2</f>
        <v>0</v>
      </c>
      <c r="AF1329" s="88">
        <f>SUMIF(月間集計シート!$M$92:$M$111,$G1329,月間集計シート!O$92:O$111)*AF$2</f>
        <v>0</v>
      </c>
      <c r="AG1329" s="88">
        <f>SUMIF(月間集計シート!$M$92:$M$111,$G1329,月間集計シート!P$92:P$111)*AG$2</f>
        <v>0</v>
      </c>
      <c r="AH1329" s="88">
        <f>SUMIF(月間集計シート!$M$92:$M$111,$G1329,月間集計シート!Q$92:Q$111)*AH$2</f>
        <v>0</v>
      </c>
      <c r="AI1329" s="88">
        <f>SUMIF(月間集計シート!$M$92:$M$111,$G1329,月間集計シート!R$92:R$111)*AI$2</f>
        <v>0</v>
      </c>
      <c r="AJ1329" s="88">
        <f>SUMIF(月間集計シート!$M$92:$M$111,$G1329,月間集計シート!S$92:S$111)*AJ$2</f>
        <v>0</v>
      </c>
      <c r="AK1329" s="88">
        <f>SUMIF(月間集計シート!$M$92:$M$111,$G1329,月間集計シート!T$92:T$111)*AK$2</f>
        <v>0</v>
      </c>
      <c r="AL1329" s="88">
        <f>SUMIF(月間集計シート!$M$113:$M$132,$G1329,月間集計シート!N$113:N$132)*AL$2</f>
        <v>0</v>
      </c>
      <c r="AM1329" s="88">
        <f>SUMIF(月間集計シート!$M$113:$M$132,$G1329,月間集計シート!O$113:O$132)*AM$2</f>
        <v>0</v>
      </c>
      <c r="AN1329" s="88">
        <f>SUMIF(月間集計シート!$M$113:$M$132,$G1329,月間集計シート!P$113:P$132)*AN$2</f>
        <v>0</v>
      </c>
      <c r="AO1329" s="88">
        <f>SUMIF(月間集計シート!$M$113:$M$132,$G1329,月間集計シート!Q$113:Q$132)*AO$2</f>
        <v>0</v>
      </c>
      <c r="AP1329" s="88">
        <f>SUMIF(月間集計シート!$M$113:$M$132,$G1329,月間集計シート!R$113:R$132)*AP$2</f>
        <v>0</v>
      </c>
      <c r="AQ1329" s="88">
        <f>SUMIF(月間集計シート!$M$113:$M$132,$G1329,月間集計シート!S$113:S$132)*AQ$2</f>
        <v>0</v>
      </c>
      <c r="AR1329" s="88">
        <f>SUMIF(月間集計シート!$M$113:$M$132,$G1329,月間集計シート!T$113:T$132)*AR$2</f>
        <v>0</v>
      </c>
      <c r="AS1329" s="88">
        <f>SUMIF(月間集計シート!$M$134:$M$153,$G1329,月間集計シート!N$134:N$153)*AS$2</f>
        <v>0</v>
      </c>
      <c r="AT1329" s="88">
        <f>SUMIF(月間集計シート!$M$134:$M$153,$G1329,月間集計シート!O$134:O$153)*AT$2</f>
        <v>0</v>
      </c>
      <c r="AU1329" s="88">
        <f>SUMIF(月間集計シート!$M$134:$M$153,$G1329,月間集計シート!P$134:P$153)*AU$2</f>
        <v>0</v>
      </c>
      <c r="AV1329" s="88">
        <f>SUMIF(月間集計シート!$M$134:$M$153,$G1329,月間集計シート!Q$134:Q$153)*AV$2</f>
        <v>0</v>
      </c>
      <c r="AW1329" s="88">
        <f>SUMIF(月間集計シート!$M$134:$M$153,$G1329,月間集計シート!R$134:R$153)*AW$2</f>
        <v>0</v>
      </c>
      <c r="AX1329" s="88">
        <f>SUMIF(月間集計シート!$M$134:$M$153,$G1329,月間集計シート!S$134:S$153)*AX$2</f>
        <v>0</v>
      </c>
      <c r="AY1329" s="88">
        <f>SUMIF(月間集計シート!$M$134:$M$153,$G1329,月間集計シート!T$134:T$153)*AY$2</f>
        <v>0</v>
      </c>
    </row>
    <row r="1330" spans="1:51" ht="14.25" thickBot="1">
      <c r="A1330">
        <v>16</v>
      </c>
      <c r="B1330" s="120">
        <f t="shared" si="729"/>
        <v>0</v>
      </c>
      <c r="C1330" s="120" t="str">
        <f t="shared" si="730"/>
        <v/>
      </c>
      <c r="D1330" s="137"/>
      <c r="E1330" s="150" t="str">
        <f>工種!A47</f>
        <v>60107</v>
      </c>
      <c r="F1330" s="119" t="str">
        <f>工種!B47</f>
        <v>ﾘﾘｰｽ：打合せ</v>
      </c>
      <c r="G1330" s="116" t="str">
        <f t="shared" si="731"/>
        <v>060107</v>
      </c>
      <c r="H1330" s="88">
        <f t="shared" si="685"/>
        <v>0</v>
      </c>
      <c r="I1330" s="132"/>
      <c r="J1330" s="88">
        <f>SUMIF(月間集計シート!$M$29:$M$48,$G1330,月間集計シート!N$29:N$48)*J$2</f>
        <v>0</v>
      </c>
      <c r="K1330" s="88">
        <f>SUMIF(月間集計シート!$M$29:$M$48,$G1330,月間集計シート!O$29:O$48)*K$2</f>
        <v>0</v>
      </c>
      <c r="L1330" s="88">
        <f>SUMIF(月間集計シート!$M$29:$M$48,$G1330,月間集計シート!P$29:P$48)*L$2</f>
        <v>0</v>
      </c>
      <c r="M1330" s="88">
        <f>SUMIF(月間集計シート!$M$29:$M$48,$G1330,月間集計シート!Q$29:Q$48)*M$2</f>
        <v>0</v>
      </c>
      <c r="N1330" s="88">
        <f>SUMIF(月間集計シート!$M$29:$M$48,$G1330,月間集計シート!R$29:R$48)*N$2</f>
        <v>0</v>
      </c>
      <c r="O1330" s="88">
        <f>SUMIF(月間集計シート!$M$29:$M$48,$G1330,月間集計シート!S$29:S$48)*O$2</f>
        <v>0</v>
      </c>
      <c r="P1330" s="88">
        <f>SUMIF(月間集計シート!$M$29:$M$48,$G1330,月間集計シート!T$29:T$48)*P$2</f>
        <v>0</v>
      </c>
      <c r="Q1330" s="88">
        <f>SUMIF(月間集計シート!$M$50:$M$69,$G1330,月間集計シート!N$50:N$69)*Q$2</f>
        <v>0</v>
      </c>
      <c r="R1330" s="88">
        <f>SUMIF(月間集計シート!$M$50:$M$69,$G1330,月間集計シート!O$50:O$69)*R$2</f>
        <v>0</v>
      </c>
      <c r="S1330" s="88">
        <f>SUMIF(月間集計シート!$M$50:$M$69,$G1330,月間集計シート!P$50:P$69)*S$2</f>
        <v>0</v>
      </c>
      <c r="T1330" s="88">
        <f>SUMIF(月間集計シート!$M$50:$M$69,$G1330,月間集計シート!Q$50:Q$69)*T$2</f>
        <v>0</v>
      </c>
      <c r="U1330" s="88">
        <f>SUMIF(月間集計シート!$M$50:$M$69,$G1330,月間集計シート!R$50:R$69)*U$2</f>
        <v>0</v>
      </c>
      <c r="V1330" s="88">
        <f>SUMIF(月間集計シート!$M$50:$M$69,$G1330,月間集計シート!S$50:S$69)*V$2</f>
        <v>0</v>
      </c>
      <c r="W1330" s="88">
        <f>SUMIF(月間集計シート!$M$50:$M$69,$G1330,月間集計シート!T$50:T$69)*W$2</f>
        <v>0</v>
      </c>
      <c r="X1330" s="88">
        <f>SUMIF(月間集計シート!$M$71:$M$90,$G1330,月間集計シート!N$71:N$90)*X$2</f>
        <v>0</v>
      </c>
      <c r="Y1330" s="88">
        <f>SUMIF(月間集計シート!$M$71:$M$90,$G1330,月間集計シート!O$71:O$90)*Y$2</f>
        <v>0</v>
      </c>
      <c r="Z1330" s="88">
        <f>SUMIF(月間集計シート!$M$71:$M$90,$G1330,月間集計シート!P$71:P$90)*Z$2</f>
        <v>0</v>
      </c>
      <c r="AA1330" s="88">
        <f>SUMIF(月間集計シート!$M$71:$M$90,$G1330,月間集計シート!Q$71:Q$90)*AA$2</f>
        <v>0</v>
      </c>
      <c r="AB1330" s="88">
        <f>SUMIF(月間集計シート!$M$71:$M$90,$G1330,月間集計シート!R$71:R$90)*AB$2</f>
        <v>0</v>
      </c>
      <c r="AC1330" s="88">
        <f>SUMIF(月間集計シート!$M$71:$M$90,$G1330,月間集計シート!S$71:S$90)*AC$2</f>
        <v>0</v>
      </c>
      <c r="AD1330" s="88">
        <f>SUMIF(月間集計シート!$M$71:$M$90,$G1330,月間集計シート!T$71:T$90)*AD$2</f>
        <v>0</v>
      </c>
      <c r="AE1330" s="88">
        <f>SUMIF(月間集計シート!$M$92:$M$111,$G1330,月間集計シート!N$92:N$111)*AE$2</f>
        <v>0</v>
      </c>
      <c r="AF1330" s="88">
        <f>SUMIF(月間集計シート!$M$92:$M$111,$G1330,月間集計シート!O$92:O$111)*AF$2</f>
        <v>0</v>
      </c>
      <c r="AG1330" s="88">
        <f>SUMIF(月間集計シート!$M$92:$M$111,$G1330,月間集計シート!P$92:P$111)*AG$2</f>
        <v>0</v>
      </c>
      <c r="AH1330" s="88">
        <f>SUMIF(月間集計シート!$M$92:$M$111,$G1330,月間集計シート!Q$92:Q$111)*AH$2</f>
        <v>0</v>
      </c>
      <c r="AI1330" s="88">
        <f>SUMIF(月間集計シート!$M$92:$M$111,$G1330,月間集計シート!R$92:R$111)*AI$2</f>
        <v>0</v>
      </c>
      <c r="AJ1330" s="88">
        <f>SUMIF(月間集計シート!$M$92:$M$111,$G1330,月間集計シート!S$92:S$111)*AJ$2</f>
        <v>0</v>
      </c>
      <c r="AK1330" s="88">
        <f>SUMIF(月間集計シート!$M$92:$M$111,$G1330,月間集計シート!T$92:T$111)*AK$2</f>
        <v>0</v>
      </c>
      <c r="AL1330" s="88">
        <f>SUMIF(月間集計シート!$M$113:$M$132,$G1330,月間集計シート!N$113:N$132)*AL$2</f>
        <v>0</v>
      </c>
      <c r="AM1330" s="88">
        <f>SUMIF(月間集計シート!$M$113:$M$132,$G1330,月間集計シート!O$113:O$132)*AM$2</f>
        <v>0</v>
      </c>
      <c r="AN1330" s="88">
        <f>SUMIF(月間集計シート!$M$113:$M$132,$G1330,月間集計シート!P$113:P$132)*AN$2</f>
        <v>0</v>
      </c>
      <c r="AO1330" s="88">
        <f>SUMIF(月間集計シート!$M$113:$M$132,$G1330,月間集計シート!Q$113:Q$132)*AO$2</f>
        <v>0</v>
      </c>
      <c r="AP1330" s="88">
        <f>SUMIF(月間集計シート!$M$113:$M$132,$G1330,月間集計シート!R$113:R$132)*AP$2</f>
        <v>0</v>
      </c>
      <c r="AQ1330" s="88">
        <f>SUMIF(月間集計シート!$M$113:$M$132,$G1330,月間集計シート!S$113:S$132)*AQ$2</f>
        <v>0</v>
      </c>
      <c r="AR1330" s="88">
        <f>SUMIF(月間集計シート!$M$113:$M$132,$G1330,月間集計シート!T$113:T$132)*AR$2</f>
        <v>0</v>
      </c>
      <c r="AS1330" s="88">
        <f>SUMIF(月間集計シート!$M$134:$M$153,$G1330,月間集計シート!N$134:N$153)*AS$2</f>
        <v>0</v>
      </c>
      <c r="AT1330" s="88">
        <f>SUMIF(月間集計シート!$M$134:$M$153,$G1330,月間集計シート!O$134:O$153)*AT$2</f>
        <v>0</v>
      </c>
      <c r="AU1330" s="88">
        <f>SUMIF(月間集計シート!$M$134:$M$153,$G1330,月間集計シート!P$134:P$153)*AU$2</f>
        <v>0</v>
      </c>
      <c r="AV1330" s="88">
        <f>SUMIF(月間集計シート!$M$134:$M$153,$G1330,月間集計シート!Q$134:Q$153)*AV$2</f>
        <v>0</v>
      </c>
      <c r="AW1330" s="88">
        <f>SUMIF(月間集計シート!$M$134:$M$153,$G1330,月間集計シート!R$134:R$153)*AW$2</f>
        <v>0</v>
      </c>
      <c r="AX1330" s="88">
        <f>SUMIF(月間集計シート!$M$134:$M$153,$G1330,月間集計シート!S$134:S$153)*AX$2</f>
        <v>0</v>
      </c>
      <c r="AY1330" s="88">
        <f>SUMIF(月間集計シート!$M$134:$M$153,$G1330,月間集計シート!T$134:T$153)*AY$2</f>
        <v>0</v>
      </c>
    </row>
    <row r="1331" spans="1:51" ht="14.25" thickBot="1">
      <c r="A1331">
        <v>16</v>
      </c>
      <c r="B1331" s="120">
        <f t="shared" si="729"/>
        <v>0</v>
      </c>
      <c r="C1331" s="120" t="str">
        <f t="shared" si="730"/>
        <v/>
      </c>
      <c r="D1331" s="137"/>
      <c r="E1331" s="150" t="str">
        <f>工種!A48</f>
        <v>60108</v>
      </c>
      <c r="F1331" s="119" t="str">
        <f>工種!B48</f>
        <v>ﾘﾘｰｽ：ﾚﾋﾞｭｰ</v>
      </c>
      <c r="G1331" s="116" t="str">
        <f t="shared" si="731"/>
        <v>060108</v>
      </c>
      <c r="H1331" s="88">
        <f t="shared" si="685"/>
        <v>0</v>
      </c>
      <c r="I1331" s="132"/>
      <c r="J1331" s="88">
        <f>SUMIF(月間集計シート!$M$29:$M$48,$G1331,月間集計シート!N$29:N$48)*J$2</f>
        <v>0</v>
      </c>
      <c r="K1331" s="88">
        <f>SUMIF(月間集計シート!$M$29:$M$48,$G1331,月間集計シート!O$29:O$48)*K$2</f>
        <v>0</v>
      </c>
      <c r="L1331" s="88">
        <f>SUMIF(月間集計シート!$M$29:$M$48,$G1331,月間集計シート!P$29:P$48)*L$2</f>
        <v>0</v>
      </c>
      <c r="M1331" s="88">
        <f>SUMIF(月間集計シート!$M$29:$M$48,$G1331,月間集計シート!Q$29:Q$48)*M$2</f>
        <v>0</v>
      </c>
      <c r="N1331" s="88">
        <f>SUMIF(月間集計シート!$M$29:$M$48,$G1331,月間集計シート!R$29:R$48)*N$2</f>
        <v>0</v>
      </c>
      <c r="O1331" s="88">
        <f>SUMIF(月間集計シート!$M$29:$M$48,$G1331,月間集計シート!S$29:S$48)*O$2</f>
        <v>0</v>
      </c>
      <c r="P1331" s="88">
        <f>SUMIF(月間集計シート!$M$29:$M$48,$G1331,月間集計シート!T$29:T$48)*P$2</f>
        <v>0</v>
      </c>
      <c r="Q1331" s="88">
        <f>SUMIF(月間集計シート!$M$50:$M$69,$G1331,月間集計シート!N$50:N$69)*Q$2</f>
        <v>0</v>
      </c>
      <c r="R1331" s="88">
        <f>SUMIF(月間集計シート!$M$50:$M$69,$G1331,月間集計シート!O$50:O$69)*R$2</f>
        <v>0</v>
      </c>
      <c r="S1331" s="88">
        <f>SUMIF(月間集計シート!$M$50:$M$69,$G1331,月間集計シート!P$50:P$69)*S$2</f>
        <v>0</v>
      </c>
      <c r="T1331" s="88">
        <f>SUMIF(月間集計シート!$M$50:$M$69,$G1331,月間集計シート!Q$50:Q$69)*T$2</f>
        <v>0</v>
      </c>
      <c r="U1331" s="88">
        <f>SUMIF(月間集計シート!$M$50:$M$69,$G1331,月間集計シート!R$50:R$69)*U$2</f>
        <v>0</v>
      </c>
      <c r="V1331" s="88">
        <f>SUMIF(月間集計シート!$M$50:$M$69,$G1331,月間集計シート!S$50:S$69)*V$2</f>
        <v>0</v>
      </c>
      <c r="W1331" s="88">
        <f>SUMIF(月間集計シート!$M$50:$M$69,$G1331,月間集計シート!T$50:T$69)*W$2</f>
        <v>0</v>
      </c>
      <c r="X1331" s="88">
        <f>SUMIF(月間集計シート!$M$71:$M$90,$G1331,月間集計シート!N$71:N$90)*X$2</f>
        <v>0</v>
      </c>
      <c r="Y1331" s="88">
        <f>SUMIF(月間集計シート!$M$71:$M$90,$G1331,月間集計シート!O$71:O$90)*Y$2</f>
        <v>0</v>
      </c>
      <c r="Z1331" s="88">
        <f>SUMIF(月間集計シート!$M$71:$M$90,$G1331,月間集計シート!P$71:P$90)*Z$2</f>
        <v>0</v>
      </c>
      <c r="AA1331" s="88">
        <f>SUMIF(月間集計シート!$M$71:$M$90,$G1331,月間集計シート!Q$71:Q$90)*AA$2</f>
        <v>0</v>
      </c>
      <c r="AB1331" s="88">
        <f>SUMIF(月間集計シート!$M$71:$M$90,$G1331,月間集計シート!R$71:R$90)*AB$2</f>
        <v>0</v>
      </c>
      <c r="AC1331" s="88">
        <f>SUMIF(月間集計シート!$M$71:$M$90,$G1331,月間集計シート!S$71:S$90)*AC$2</f>
        <v>0</v>
      </c>
      <c r="AD1331" s="88">
        <f>SUMIF(月間集計シート!$M$71:$M$90,$G1331,月間集計シート!T$71:T$90)*AD$2</f>
        <v>0</v>
      </c>
      <c r="AE1331" s="88">
        <f>SUMIF(月間集計シート!$M$92:$M$111,$G1331,月間集計シート!N$92:N$111)*AE$2</f>
        <v>0</v>
      </c>
      <c r="AF1331" s="88">
        <f>SUMIF(月間集計シート!$M$92:$M$111,$G1331,月間集計シート!O$92:O$111)*AF$2</f>
        <v>0</v>
      </c>
      <c r="AG1331" s="88">
        <f>SUMIF(月間集計シート!$M$92:$M$111,$G1331,月間集計シート!P$92:P$111)*AG$2</f>
        <v>0</v>
      </c>
      <c r="AH1331" s="88">
        <f>SUMIF(月間集計シート!$M$92:$M$111,$G1331,月間集計シート!Q$92:Q$111)*AH$2</f>
        <v>0</v>
      </c>
      <c r="AI1331" s="88">
        <f>SUMIF(月間集計シート!$M$92:$M$111,$G1331,月間集計シート!R$92:R$111)*AI$2</f>
        <v>0</v>
      </c>
      <c r="AJ1331" s="88">
        <f>SUMIF(月間集計シート!$M$92:$M$111,$G1331,月間集計シート!S$92:S$111)*AJ$2</f>
        <v>0</v>
      </c>
      <c r="AK1331" s="88">
        <f>SUMIF(月間集計シート!$M$92:$M$111,$G1331,月間集計シート!T$92:T$111)*AK$2</f>
        <v>0</v>
      </c>
      <c r="AL1331" s="88">
        <f>SUMIF(月間集計シート!$M$113:$M$132,$G1331,月間集計シート!N$113:N$132)*AL$2</f>
        <v>0</v>
      </c>
      <c r="AM1331" s="88">
        <f>SUMIF(月間集計シート!$M$113:$M$132,$G1331,月間集計シート!O$113:O$132)*AM$2</f>
        <v>0</v>
      </c>
      <c r="AN1331" s="88">
        <f>SUMIF(月間集計シート!$M$113:$M$132,$G1331,月間集計シート!P$113:P$132)*AN$2</f>
        <v>0</v>
      </c>
      <c r="AO1331" s="88">
        <f>SUMIF(月間集計シート!$M$113:$M$132,$G1331,月間集計シート!Q$113:Q$132)*AO$2</f>
        <v>0</v>
      </c>
      <c r="AP1331" s="88">
        <f>SUMIF(月間集計シート!$M$113:$M$132,$G1331,月間集計シート!R$113:R$132)*AP$2</f>
        <v>0</v>
      </c>
      <c r="AQ1331" s="88">
        <f>SUMIF(月間集計シート!$M$113:$M$132,$G1331,月間集計シート!S$113:S$132)*AQ$2</f>
        <v>0</v>
      </c>
      <c r="AR1331" s="88">
        <f>SUMIF(月間集計シート!$M$113:$M$132,$G1331,月間集計シート!T$113:T$132)*AR$2</f>
        <v>0</v>
      </c>
      <c r="AS1331" s="88">
        <f>SUMIF(月間集計シート!$M$134:$M$153,$G1331,月間集計シート!N$134:N$153)*AS$2</f>
        <v>0</v>
      </c>
      <c r="AT1331" s="88">
        <f>SUMIF(月間集計シート!$M$134:$M$153,$G1331,月間集計シート!O$134:O$153)*AT$2</f>
        <v>0</v>
      </c>
      <c r="AU1331" s="88">
        <f>SUMIF(月間集計シート!$M$134:$M$153,$G1331,月間集計シート!P$134:P$153)*AU$2</f>
        <v>0</v>
      </c>
      <c r="AV1331" s="88">
        <f>SUMIF(月間集計シート!$M$134:$M$153,$G1331,月間集計シート!Q$134:Q$153)*AV$2</f>
        <v>0</v>
      </c>
      <c r="AW1331" s="88">
        <f>SUMIF(月間集計シート!$M$134:$M$153,$G1331,月間集計シート!R$134:R$153)*AW$2</f>
        <v>0</v>
      </c>
      <c r="AX1331" s="88">
        <f>SUMIF(月間集計シート!$M$134:$M$153,$G1331,月間集計シート!S$134:S$153)*AX$2</f>
        <v>0</v>
      </c>
      <c r="AY1331" s="88">
        <f>SUMIF(月間集計シート!$M$134:$M$153,$G1331,月間集計シート!T$134:T$153)*AY$2</f>
        <v>0</v>
      </c>
    </row>
    <row r="1332" spans="1:51" ht="14.25" thickBot="1">
      <c r="A1332">
        <v>16</v>
      </c>
      <c r="B1332" s="120">
        <f t="shared" si="729"/>
        <v>0</v>
      </c>
      <c r="C1332" s="120" t="str">
        <f t="shared" si="730"/>
        <v/>
      </c>
      <c r="D1332" s="137"/>
      <c r="E1332" s="150" t="str">
        <f>工種!A49</f>
        <v>60199</v>
      </c>
      <c r="F1332" s="119" t="str">
        <f>工種!B49</f>
        <v>ﾘﾘｰｽ：その他</v>
      </c>
      <c r="G1332" s="116" t="str">
        <f t="shared" si="731"/>
        <v>060199</v>
      </c>
      <c r="H1332" s="88">
        <f t="shared" si="685"/>
        <v>0</v>
      </c>
      <c r="I1332" s="132"/>
      <c r="J1332" s="88">
        <f>SUMIF(月間集計シート!$M$29:$M$48,$G1332,月間集計シート!N$29:N$48)*J$2</f>
        <v>0</v>
      </c>
      <c r="K1332" s="88">
        <f>SUMIF(月間集計シート!$M$29:$M$48,$G1332,月間集計シート!O$29:O$48)*K$2</f>
        <v>0</v>
      </c>
      <c r="L1332" s="88">
        <f>SUMIF(月間集計シート!$M$29:$M$48,$G1332,月間集計シート!P$29:P$48)*L$2</f>
        <v>0</v>
      </c>
      <c r="M1332" s="88">
        <f>SUMIF(月間集計シート!$M$29:$M$48,$G1332,月間集計シート!Q$29:Q$48)*M$2</f>
        <v>0</v>
      </c>
      <c r="N1332" s="88">
        <f>SUMIF(月間集計シート!$M$29:$M$48,$G1332,月間集計シート!R$29:R$48)*N$2</f>
        <v>0</v>
      </c>
      <c r="O1332" s="88">
        <f>SUMIF(月間集計シート!$M$29:$M$48,$G1332,月間集計シート!S$29:S$48)*O$2</f>
        <v>0</v>
      </c>
      <c r="P1332" s="88">
        <f>SUMIF(月間集計シート!$M$29:$M$48,$G1332,月間集計シート!T$29:T$48)*P$2</f>
        <v>0</v>
      </c>
      <c r="Q1332" s="88">
        <f>SUMIF(月間集計シート!$M$50:$M$69,$G1332,月間集計シート!N$50:N$69)*Q$2</f>
        <v>0</v>
      </c>
      <c r="R1332" s="88">
        <f>SUMIF(月間集計シート!$M$50:$M$69,$G1332,月間集計シート!O$50:O$69)*R$2</f>
        <v>0</v>
      </c>
      <c r="S1332" s="88">
        <f>SUMIF(月間集計シート!$M$50:$M$69,$G1332,月間集計シート!P$50:P$69)*S$2</f>
        <v>0</v>
      </c>
      <c r="T1332" s="88">
        <f>SUMIF(月間集計シート!$M$50:$M$69,$G1332,月間集計シート!Q$50:Q$69)*T$2</f>
        <v>0</v>
      </c>
      <c r="U1332" s="88">
        <f>SUMIF(月間集計シート!$M$50:$M$69,$G1332,月間集計シート!R$50:R$69)*U$2</f>
        <v>0</v>
      </c>
      <c r="V1332" s="88">
        <f>SUMIF(月間集計シート!$M$50:$M$69,$G1332,月間集計シート!S$50:S$69)*V$2</f>
        <v>0</v>
      </c>
      <c r="W1332" s="88">
        <f>SUMIF(月間集計シート!$M$50:$M$69,$G1332,月間集計シート!T$50:T$69)*W$2</f>
        <v>0</v>
      </c>
      <c r="X1332" s="88">
        <f>SUMIF(月間集計シート!$M$71:$M$90,$G1332,月間集計シート!N$71:N$90)*X$2</f>
        <v>0</v>
      </c>
      <c r="Y1332" s="88">
        <f>SUMIF(月間集計シート!$M$71:$M$90,$G1332,月間集計シート!O$71:O$90)*Y$2</f>
        <v>0</v>
      </c>
      <c r="Z1332" s="88">
        <f>SUMIF(月間集計シート!$M$71:$M$90,$G1332,月間集計シート!P$71:P$90)*Z$2</f>
        <v>0</v>
      </c>
      <c r="AA1332" s="88">
        <f>SUMIF(月間集計シート!$M$71:$M$90,$G1332,月間集計シート!Q$71:Q$90)*AA$2</f>
        <v>0</v>
      </c>
      <c r="AB1332" s="88">
        <f>SUMIF(月間集計シート!$M$71:$M$90,$G1332,月間集計シート!R$71:R$90)*AB$2</f>
        <v>0</v>
      </c>
      <c r="AC1332" s="88">
        <f>SUMIF(月間集計シート!$M$71:$M$90,$G1332,月間集計シート!S$71:S$90)*AC$2</f>
        <v>0</v>
      </c>
      <c r="AD1332" s="88">
        <f>SUMIF(月間集計シート!$M$71:$M$90,$G1332,月間集計シート!T$71:T$90)*AD$2</f>
        <v>0</v>
      </c>
      <c r="AE1332" s="88">
        <f>SUMIF(月間集計シート!$M$92:$M$111,$G1332,月間集計シート!N$92:N$111)*AE$2</f>
        <v>0</v>
      </c>
      <c r="AF1332" s="88">
        <f>SUMIF(月間集計シート!$M$92:$M$111,$G1332,月間集計シート!O$92:O$111)*AF$2</f>
        <v>0</v>
      </c>
      <c r="AG1332" s="88">
        <f>SUMIF(月間集計シート!$M$92:$M$111,$G1332,月間集計シート!P$92:P$111)*AG$2</f>
        <v>0</v>
      </c>
      <c r="AH1332" s="88">
        <f>SUMIF(月間集計シート!$M$92:$M$111,$G1332,月間集計シート!Q$92:Q$111)*AH$2</f>
        <v>0</v>
      </c>
      <c r="AI1332" s="88">
        <f>SUMIF(月間集計シート!$M$92:$M$111,$G1332,月間集計シート!R$92:R$111)*AI$2</f>
        <v>0</v>
      </c>
      <c r="AJ1332" s="88">
        <f>SUMIF(月間集計シート!$M$92:$M$111,$G1332,月間集計シート!S$92:S$111)*AJ$2</f>
        <v>0</v>
      </c>
      <c r="AK1332" s="88">
        <f>SUMIF(月間集計シート!$M$92:$M$111,$G1332,月間集計シート!T$92:T$111)*AK$2</f>
        <v>0</v>
      </c>
      <c r="AL1332" s="88">
        <f>SUMIF(月間集計シート!$M$113:$M$132,$G1332,月間集計シート!N$113:N$132)*AL$2</f>
        <v>0</v>
      </c>
      <c r="AM1332" s="88">
        <f>SUMIF(月間集計シート!$M$113:$M$132,$G1332,月間集計シート!O$113:O$132)*AM$2</f>
        <v>0</v>
      </c>
      <c r="AN1332" s="88">
        <f>SUMIF(月間集計シート!$M$113:$M$132,$G1332,月間集計シート!P$113:P$132)*AN$2</f>
        <v>0</v>
      </c>
      <c r="AO1332" s="88">
        <f>SUMIF(月間集計シート!$M$113:$M$132,$G1332,月間集計シート!Q$113:Q$132)*AO$2</f>
        <v>0</v>
      </c>
      <c r="AP1332" s="88">
        <f>SUMIF(月間集計シート!$M$113:$M$132,$G1332,月間集計シート!R$113:R$132)*AP$2</f>
        <v>0</v>
      </c>
      <c r="AQ1332" s="88">
        <f>SUMIF(月間集計シート!$M$113:$M$132,$G1332,月間集計シート!S$113:S$132)*AQ$2</f>
        <v>0</v>
      </c>
      <c r="AR1332" s="88">
        <f>SUMIF(月間集計シート!$M$113:$M$132,$G1332,月間集計シート!T$113:T$132)*AR$2</f>
        <v>0</v>
      </c>
      <c r="AS1332" s="88">
        <f>SUMIF(月間集計シート!$M$134:$M$153,$G1332,月間集計シート!N$134:N$153)*AS$2</f>
        <v>0</v>
      </c>
      <c r="AT1332" s="88">
        <f>SUMIF(月間集計シート!$M$134:$M$153,$G1332,月間集計シート!O$134:O$153)*AT$2</f>
        <v>0</v>
      </c>
      <c r="AU1332" s="88">
        <f>SUMIF(月間集計シート!$M$134:$M$153,$G1332,月間集計シート!P$134:P$153)*AU$2</f>
        <v>0</v>
      </c>
      <c r="AV1332" s="88">
        <f>SUMIF(月間集計シート!$M$134:$M$153,$G1332,月間集計シート!Q$134:Q$153)*AV$2</f>
        <v>0</v>
      </c>
      <c r="AW1332" s="88">
        <f>SUMIF(月間集計シート!$M$134:$M$153,$G1332,月間集計シート!R$134:R$153)*AW$2</f>
        <v>0</v>
      </c>
      <c r="AX1332" s="88">
        <f>SUMIF(月間集計シート!$M$134:$M$153,$G1332,月間集計シート!S$134:S$153)*AX$2</f>
        <v>0</v>
      </c>
      <c r="AY1332" s="88">
        <f>SUMIF(月間集計シート!$M$134:$M$153,$G1332,月間集計シート!T$134:T$153)*AY$2</f>
        <v>0</v>
      </c>
    </row>
    <row r="1333" spans="1:51" ht="14.25" thickBot="1">
      <c r="A1333">
        <v>16</v>
      </c>
      <c r="B1333" s="120">
        <f t="shared" si="729"/>
        <v>0</v>
      </c>
      <c r="C1333" s="120" t="str">
        <f t="shared" si="730"/>
        <v/>
      </c>
      <c r="D1333" s="137"/>
      <c r="E1333" s="150">
        <f>工種!A50</f>
        <v>70101</v>
      </c>
      <c r="F1333" s="119" t="str">
        <f>工種!B50</f>
        <v>外部不具合修正：調査・設計</v>
      </c>
      <c r="G1333" s="116" t="str">
        <f t="shared" si="731"/>
        <v>070101</v>
      </c>
      <c r="H1333" s="88">
        <f t="shared" si="685"/>
        <v>0</v>
      </c>
      <c r="I1333" s="132"/>
      <c r="J1333" s="88">
        <f>SUMIF(月間集計シート!$M$29:$M$48,$G1333,月間集計シート!N$29:N$48)*J$2</f>
        <v>0</v>
      </c>
      <c r="K1333" s="88">
        <f>SUMIF(月間集計シート!$M$29:$M$48,$G1333,月間集計シート!O$29:O$48)*K$2</f>
        <v>0</v>
      </c>
      <c r="L1333" s="88">
        <f>SUMIF(月間集計シート!$M$29:$M$48,$G1333,月間集計シート!P$29:P$48)*L$2</f>
        <v>0</v>
      </c>
      <c r="M1333" s="88">
        <f>SUMIF(月間集計シート!$M$29:$M$48,$G1333,月間集計シート!Q$29:Q$48)*M$2</f>
        <v>0</v>
      </c>
      <c r="N1333" s="88">
        <f>SUMIF(月間集計シート!$M$29:$M$48,$G1333,月間集計シート!R$29:R$48)*N$2</f>
        <v>0</v>
      </c>
      <c r="O1333" s="88">
        <f>SUMIF(月間集計シート!$M$29:$M$48,$G1333,月間集計シート!S$29:S$48)*O$2</f>
        <v>0</v>
      </c>
      <c r="P1333" s="88">
        <f>SUMIF(月間集計シート!$M$29:$M$48,$G1333,月間集計シート!T$29:T$48)*P$2</f>
        <v>0</v>
      </c>
      <c r="Q1333" s="88">
        <f>SUMIF(月間集計シート!$M$50:$M$69,$G1333,月間集計シート!N$50:N$69)*Q$2</f>
        <v>0</v>
      </c>
      <c r="R1333" s="88">
        <f>SUMIF(月間集計シート!$M$50:$M$69,$G1333,月間集計シート!O$50:O$69)*R$2</f>
        <v>0</v>
      </c>
      <c r="S1333" s="88">
        <f>SUMIF(月間集計シート!$M$50:$M$69,$G1333,月間集計シート!P$50:P$69)*S$2</f>
        <v>0</v>
      </c>
      <c r="T1333" s="88">
        <f>SUMIF(月間集計シート!$M$50:$M$69,$G1333,月間集計シート!Q$50:Q$69)*T$2</f>
        <v>0</v>
      </c>
      <c r="U1333" s="88">
        <f>SUMIF(月間集計シート!$M$50:$M$69,$G1333,月間集計シート!R$50:R$69)*U$2</f>
        <v>0</v>
      </c>
      <c r="V1333" s="88">
        <f>SUMIF(月間集計シート!$M$50:$M$69,$G1333,月間集計シート!S$50:S$69)*V$2</f>
        <v>0</v>
      </c>
      <c r="W1333" s="88">
        <f>SUMIF(月間集計シート!$M$50:$M$69,$G1333,月間集計シート!T$50:T$69)*W$2</f>
        <v>0</v>
      </c>
      <c r="X1333" s="88">
        <f>SUMIF(月間集計シート!$M$71:$M$90,$G1333,月間集計シート!N$71:N$90)*X$2</f>
        <v>0</v>
      </c>
      <c r="Y1333" s="88">
        <f>SUMIF(月間集計シート!$M$71:$M$90,$G1333,月間集計シート!O$71:O$90)*Y$2</f>
        <v>0</v>
      </c>
      <c r="Z1333" s="88">
        <f>SUMIF(月間集計シート!$M$71:$M$90,$G1333,月間集計シート!P$71:P$90)*Z$2</f>
        <v>0</v>
      </c>
      <c r="AA1333" s="88">
        <f>SUMIF(月間集計シート!$M$71:$M$90,$G1333,月間集計シート!Q$71:Q$90)*AA$2</f>
        <v>0</v>
      </c>
      <c r="AB1333" s="88">
        <f>SUMIF(月間集計シート!$M$71:$M$90,$G1333,月間集計シート!R$71:R$90)*AB$2</f>
        <v>0</v>
      </c>
      <c r="AC1333" s="88">
        <f>SUMIF(月間集計シート!$M$71:$M$90,$G1333,月間集計シート!S$71:S$90)*AC$2</f>
        <v>0</v>
      </c>
      <c r="AD1333" s="88">
        <f>SUMIF(月間集計シート!$M$71:$M$90,$G1333,月間集計シート!T$71:T$90)*AD$2</f>
        <v>0</v>
      </c>
      <c r="AE1333" s="88">
        <f>SUMIF(月間集計シート!$M$92:$M$111,$G1333,月間集計シート!N$92:N$111)*AE$2</f>
        <v>0</v>
      </c>
      <c r="AF1333" s="88">
        <f>SUMIF(月間集計シート!$M$92:$M$111,$G1333,月間集計シート!O$92:O$111)*AF$2</f>
        <v>0</v>
      </c>
      <c r="AG1333" s="88">
        <f>SUMIF(月間集計シート!$M$92:$M$111,$G1333,月間集計シート!P$92:P$111)*AG$2</f>
        <v>0</v>
      </c>
      <c r="AH1333" s="88">
        <f>SUMIF(月間集計シート!$M$92:$M$111,$G1333,月間集計シート!Q$92:Q$111)*AH$2</f>
        <v>0</v>
      </c>
      <c r="AI1333" s="88">
        <f>SUMIF(月間集計シート!$M$92:$M$111,$G1333,月間集計シート!R$92:R$111)*AI$2</f>
        <v>0</v>
      </c>
      <c r="AJ1333" s="88">
        <f>SUMIF(月間集計シート!$M$92:$M$111,$G1333,月間集計シート!S$92:S$111)*AJ$2</f>
        <v>0</v>
      </c>
      <c r="AK1333" s="88">
        <f>SUMIF(月間集計シート!$M$92:$M$111,$G1333,月間集計シート!T$92:T$111)*AK$2</f>
        <v>0</v>
      </c>
      <c r="AL1333" s="88">
        <f>SUMIF(月間集計シート!$M$113:$M$132,$G1333,月間集計シート!N$113:N$132)*AL$2</f>
        <v>0</v>
      </c>
      <c r="AM1333" s="88">
        <f>SUMIF(月間集計シート!$M$113:$M$132,$G1333,月間集計シート!O$113:O$132)*AM$2</f>
        <v>0</v>
      </c>
      <c r="AN1333" s="88">
        <f>SUMIF(月間集計シート!$M$113:$M$132,$G1333,月間集計シート!P$113:P$132)*AN$2</f>
        <v>0</v>
      </c>
      <c r="AO1333" s="88">
        <f>SUMIF(月間集計シート!$M$113:$M$132,$G1333,月間集計シート!Q$113:Q$132)*AO$2</f>
        <v>0</v>
      </c>
      <c r="AP1333" s="88">
        <f>SUMIF(月間集計シート!$M$113:$M$132,$G1333,月間集計シート!R$113:R$132)*AP$2</f>
        <v>0</v>
      </c>
      <c r="AQ1333" s="88">
        <f>SUMIF(月間集計シート!$M$113:$M$132,$G1333,月間集計シート!S$113:S$132)*AQ$2</f>
        <v>0</v>
      </c>
      <c r="AR1333" s="88">
        <f>SUMIF(月間集計シート!$M$113:$M$132,$G1333,月間集計シート!T$113:T$132)*AR$2</f>
        <v>0</v>
      </c>
      <c r="AS1333" s="88">
        <f>SUMIF(月間集計シート!$M$134:$M$153,$G1333,月間集計シート!N$134:N$153)*AS$2</f>
        <v>0</v>
      </c>
      <c r="AT1333" s="88">
        <f>SUMIF(月間集計シート!$M$134:$M$153,$G1333,月間集計シート!O$134:O$153)*AT$2</f>
        <v>0</v>
      </c>
      <c r="AU1333" s="88">
        <f>SUMIF(月間集計シート!$M$134:$M$153,$G1333,月間集計シート!P$134:P$153)*AU$2</f>
        <v>0</v>
      </c>
      <c r="AV1333" s="88">
        <f>SUMIF(月間集計シート!$M$134:$M$153,$G1333,月間集計シート!Q$134:Q$153)*AV$2</f>
        <v>0</v>
      </c>
      <c r="AW1333" s="88">
        <f>SUMIF(月間集計シート!$M$134:$M$153,$G1333,月間集計シート!R$134:R$153)*AW$2</f>
        <v>0</v>
      </c>
      <c r="AX1333" s="88">
        <f>SUMIF(月間集計シート!$M$134:$M$153,$G1333,月間集計シート!S$134:S$153)*AX$2</f>
        <v>0</v>
      </c>
      <c r="AY1333" s="88">
        <f>SUMIF(月間集計シート!$M$134:$M$153,$G1333,月間集計シート!T$134:T$153)*AY$2</f>
        <v>0</v>
      </c>
    </row>
    <row r="1334" spans="1:51" ht="14.25" thickBot="1">
      <c r="A1334">
        <v>16</v>
      </c>
      <c r="B1334" s="120">
        <f t="shared" si="729"/>
        <v>0</v>
      </c>
      <c r="C1334" s="120" t="str">
        <f t="shared" si="730"/>
        <v/>
      </c>
      <c r="D1334" s="137"/>
      <c r="E1334" s="150">
        <f>工種!A51</f>
        <v>70102</v>
      </c>
      <c r="F1334" s="119" t="str">
        <f>工種!B51</f>
        <v>外部不具合修正：コーディング</v>
      </c>
      <c r="G1334" s="116" t="str">
        <f t="shared" si="731"/>
        <v>070102</v>
      </c>
      <c r="H1334" s="88">
        <f t="shared" si="685"/>
        <v>0</v>
      </c>
      <c r="I1334" s="132"/>
      <c r="J1334" s="88">
        <f>SUMIF(月間集計シート!$M$29:$M$48,$G1334,月間集計シート!N$29:N$48)*J$2</f>
        <v>0</v>
      </c>
      <c r="K1334" s="88">
        <f>SUMIF(月間集計シート!$M$29:$M$48,$G1334,月間集計シート!O$29:O$48)*K$2</f>
        <v>0</v>
      </c>
      <c r="L1334" s="88">
        <f>SUMIF(月間集計シート!$M$29:$M$48,$G1334,月間集計シート!P$29:P$48)*L$2</f>
        <v>0</v>
      </c>
      <c r="M1334" s="88">
        <f>SUMIF(月間集計シート!$M$29:$M$48,$G1334,月間集計シート!Q$29:Q$48)*M$2</f>
        <v>0</v>
      </c>
      <c r="N1334" s="88">
        <f>SUMIF(月間集計シート!$M$29:$M$48,$G1334,月間集計シート!R$29:R$48)*N$2</f>
        <v>0</v>
      </c>
      <c r="O1334" s="88">
        <f>SUMIF(月間集計シート!$M$29:$M$48,$G1334,月間集計シート!S$29:S$48)*O$2</f>
        <v>0</v>
      </c>
      <c r="P1334" s="88">
        <f>SUMIF(月間集計シート!$M$29:$M$48,$G1334,月間集計シート!T$29:T$48)*P$2</f>
        <v>0</v>
      </c>
      <c r="Q1334" s="88">
        <f>SUMIF(月間集計シート!$M$50:$M$69,$G1334,月間集計シート!N$50:N$69)*Q$2</f>
        <v>0</v>
      </c>
      <c r="R1334" s="88">
        <f>SUMIF(月間集計シート!$M$50:$M$69,$G1334,月間集計シート!O$50:O$69)*R$2</f>
        <v>0</v>
      </c>
      <c r="S1334" s="88">
        <f>SUMIF(月間集計シート!$M$50:$M$69,$G1334,月間集計シート!P$50:P$69)*S$2</f>
        <v>0</v>
      </c>
      <c r="T1334" s="88">
        <f>SUMIF(月間集計シート!$M$50:$M$69,$G1334,月間集計シート!Q$50:Q$69)*T$2</f>
        <v>0</v>
      </c>
      <c r="U1334" s="88">
        <f>SUMIF(月間集計シート!$M$50:$M$69,$G1334,月間集計シート!R$50:R$69)*U$2</f>
        <v>0</v>
      </c>
      <c r="V1334" s="88">
        <f>SUMIF(月間集計シート!$M$50:$M$69,$G1334,月間集計シート!S$50:S$69)*V$2</f>
        <v>0</v>
      </c>
      <c r="W1334" s="88">
        <f>SUMIF(月間集計シート!$M$50:$M$69,$G1334,月間集計シート!T$50:T$69)*W$2</f>
        <v>0</v>
      </c>
      <c r="X1334" s="88">
        <f>SUMIF(月間集計シート!$M$71:$M$90,$G1334,月間集計シート!N$71:N$90)*X$2</f>
        <v>0</v>
      </c>
      <c r="Y1334" s="88">
        <f>SUMIF(月間集計シート!$M$71:$M$90,$G1334,月間集計シート!O$71:O$90)*Y$2</f>
        <v>0</v>
      </c>
      <c r="Z1334" s="88">
        <f>SUMIF(月間集計シート!$M$71:$M$90,$G1334,月間集計シート!P$71:P$90)*Z$2</f>
        <v>0</v>
      </c>
      <c r="AA1334" s="88">
        <f>SUMIF(月間集計シート!$M$71:$M$90,$G1334,月間集計シート!Q$71:Q$90)*AA$2</f>
        <v>0</v>
      </c>
      <c r="AB1334" s="88">
        <f>SUMIF(月間集計シート!$M$71:$M$90,$G1334,月間集計シート!R$71:R$90)*AB$2</f>
        <v>0</v>
      </c>
      <c r="AC1334" s="88">
        <f>SUMIF(月間集計シート!$M$71:$M$90,$G1334,月間集計シート!S$71:S$90)*AC$2</f>
        <v>0</v>
      </c>
      <c r="AD1334" s="88">
        <f>SUMIF(月間集計シート!$M$71:$M$90,$G1334,月間集計シート!T$71:T$90)*AD$2</f>
        <v>0</v>
      </c>
      <c r="AE1334" s="88">
        <f>SUMIF(月間集計シート!$M$92:$M$111,$G1334,月間集計シート!N$92:N$111)*AE$2</f>
        <v>0</v>
      </c>
      <c r="AF1334" s="88">
        <f>SUMIF(月間集計シート!$M$92:$M$111,$G1334,月間集計シート!O$92:O$111)*AF$2</f>
        <v>0</v>
      </c>
      <c r="AG1334" s="88">
        <f>SUMIF(月間集計シート!$M$92:$M$111,$G1334,月間集計シート!P$92:P$111)*AG$2</f>
        <v>0</v>
      </c>
      <c r="AH1334" s="88">
        <f>SUMIF(月間集計シート!$M$92:$M$111,$G1334,月間集計シート!Q$92:Q$111)*AH$2</f>
        <v>0</v>
      </c>
      <c r="AI1334" s="88">
        <f>SUMIF(月間集計シート!$M$92:$M$111,$G1334,月間集計シート!R$92:R$111)*AI$2</f>
        <v>0</v>
      </c>
      <c r="AJ1334" s="88">
        <f>SUMIF(月間集計シート!$M$92:$M$111,$G1334,月間集計シート!S$92:S$111)*AJ$2</f>
        <v>0</v>
      </c>
      <c r="AK1334" s="88">
        <f>SUMIF(月間集計シート!$M$92:$M$111,$G1334,月間集計シート!T$92:T$111)*AK$2</f>
        <v>0</v>
      </c>
      <c r="AL1334" s="88">
        <f>SUMIF(月間集計シート!$M$113:$M$132,$G1334,月間集計シート!N$113:N$132)*AL$2</f>
        <v>0</v>
      </c>
      <c r="AM1334" s="88">
        <f>SUMIF(月間集計シート!$M$113:$M$132,$G1334,月間集計シート!O$113:O$132)*AM$2</f>
        <v>0</v>
      </c>
      <c r="AN1334" s="88">
        <f>SUMIF(月間集計シート!$M$113:$M$132,$G1334,月間集計シート!P$113:P$132)*AN$2</f>
        <v>0</v>
      </c>
      <c r="AO1334" s="88">
        <f>SUMIF(月間集計シート!$M$113:$M$132,$G1334,月間集計シート!Q$113:Q$132)*AO$2</f>
        <v>0</v>
      </c>
      <c r="AP1334" s="88">
        <f>SUMIF(月間集計シート!$M$113:$M$132,$G1334,月間集計シート!R$113:R$132)*AP$2</f>
        <v>0</v>
      </c>
      <c r="AQ1334" s="88">
        <f>SUMIF(月間集計シート!$M$113:$M$132,$G1334,月間集計シート!S$113:S$132)*AQ$2</f>
        <v>0</v>
      </c>
      <c r="AR1334" s="88">
        <f>SUMIF(月間集計シート!$M$113:$M$132,$G1334,月間集計シート!T$113:T$132)*AR$2</f>
        <v>0</v>
      </c>
      <c r="AS1334" s="88">
        <f>SUMIF(月間集計シート!$M$134:$M$153,$G1334,月間集計シート!N$134:N$153)*AS$2</f>
        <v>0</v>
      </c>
      <c r="AT1334" s="88">
        <f>SUMIF(月間集計シート!$M$134:$M$153,$G1334,月間集計シート!O$134:O$153)*AT$2</f>
        <v>0</v>
      </c>
      <c r="AU1334" s="88">
        <f>SUMIF(月間集計シート!$M$134:$M$153,$G1334,月間集計シート!P$134:P$153)*AU$2</f>
        <v>0</v>
      </c>
      <c r="AV1334" s="88">
        <f>SUMIF(月間集計シート!$M$134:$M$153,$G1334,月間集計シート!Q$134:Q$153)*AV$2</f>
        <v>0</v>
      </c>
      <c r="AW1334" s="88">
        <f>SUMIF(月間集計シート!$M$134:$M$153,$G1334,月間集計シート!R$134:R$153)*AW$2</f>
        <v>0</v>
      </c>
      <c r="AX1334" s="88">
        <f>SUMIF(月間集計シート!$M$134:$M$153,$G1334,月間集計シート!S$134:S$153)*AX$2</f>
        <v>0</v>
      </c>
      <c r="AY1334" s="88">
        <f>SUMIF(月間集計シート!$M$134:$M$153,$G1334,月間集計シート!T$134:T$153)*AY$2</f>
        <v>0</v>
      </c>
    </row>
    <row r="1335" spans="1:51" ht="14.25" thickBot="1">
      <c r="A1335">
        <v>16</v>
      </c>
      <c r="B1335" s="120">
        <f t="shared" si="729"/>
        <v>0</v>
      </c>
      <c r="C1335" s="120" t="str">
        <f t="shared" si="730"/>
        <v/>
      </c>
      <c r="D1335" s="137"/>
      <c r="E1335" s="150">
        <f>工種!A52</f>
        <v>70103</v>
      </c>
      <c r="F1335" s="119" t="str">
        <f>工種!B52</f>
        <v>外部不具合修正：テスト</v>
      </c>
      <c r="G1335" s="116" t="str">
        <f t="shared" si="731"/>
        <v>070103</v>
      </c>
      <c r="H1335" s="88">
        <f t="shared" si="685"/>
        <v>0</v>
      </c>
      <c r="I1335" s="132"/>
      <c r="J1335" s="88">
        <f>SUMIF(月間集計シート!$M$29:$M$48,$G1335,月間集計シート!N$29:N$48)*J$2</f>
        <v>0</v>
      </c>
      <c r="K1335" s="88">
        <f>SUMIF(月間集計シート!$M$29:$M$48,$G1335,月間集計シート!O$29:O$48)*K$2</f>
        <v>0</v>
      </c>
      <c r="L1335" s="88">
        <f>SUMIF(月間集計シート!$M$29:$M$48,$G1335,月間集計シート!P$29:P$48)*L$2</f>
        <v>0</v>
      </c>
      <c r="M1335" s="88">
        <f>SUMIF(月間集計シート!$M$29:$M$48,$G1335,月間集計シート!Q$29:Q$48)*M$2</f>
        <v>0</v>
      </c>
      <c r="N1335" s="88">
        <f>SUMIF(月間集計シート!$M$29:$M$48,$G1335,月間集計シート!R$29:R$48)*N$2</f>
        <v>0</v>
      </c>
      <c r="O1335" s="88">
        <f>SUMIF(月間集計シート!$M$29:$M$48,$G1335,月間集計シート!S$29:S$48)*O$2</f>
        <v>0</v>
      </c>
      <c r="P1335" s="88">
        <f>SUMIF(月間集計シート!$M$29:$M$48,$G1335,月間集計シート!T$29:T$48)*P$2</f>
        <v>0</v>
      </c>
      <c r="Q1335" s="88">
        <f>SUMIF(月間集計シート!$M$50:$M$69,$G1335,月間集計シート!N$50:N$69)*Q$2</f>
        <v>0</v>
      </c>
      <c r="R1335" s="88">
        <f>SUMIF(月間集計シート!$M$50:$M$69,$G1335,月間集計シート!O$50:O$69)*R$2</f>
        <v>0</v>
      </c>
      <c r="S1335" s="88">
        <f>SUMIF(月間集計シート!$M$50:$M$69,$G1335,月間集計シート!P$50:P$69)*S$2</f>
        <v>0</v>
      </c>
      <c r="T1335" s="88">
        <f>SUMIF(月間集計シート!$M$50:$M$69,$G1335,月間集計シート!Q$50:Q$69)*T$2</f>
        <v>0</v>
      </c>
      <c r="U1335" s="88">
        <f>SUMIF(月間集計シート!$M$50:$M$69,$G1335,月間集計シート!R$50:R$69)*U$2</f>
        <v>0</v>
      </c>
      <c r="V1335" s="88">
        <f>SUMIF(月間集計シート!$M$50:$M$69,$G1335,月間集計シート!S$50:S$69)*V$2</f>
        <v>0</v>
      </c>
      <c r="W1335" s="88">
        <f>SUMIF(月間集計シート!$M$50:$M$69,$G1335,月間集計シート!T$50:T$69)*W$2</f>
        <v>0</v>
      </c>
      <c r="X1335" s="88">
        <f>SUMIF(月間集計シート!$M$71:$M$90,$G1335,月間集計シート!N$71:N$90)*X$2</f>
        <v>0</v>
      </c>
      <c r="Y1335" s="88">
        <f>SUMIF(月間集計シート!$M$71:$M$90,$G1335,月間集計シート!O$71:O$90)*Y$2</f>
        <v>0</v>
      </c>
      <c r="Z1335" s="88">
        <f>SUMIF(月間集計シート!$M$71:$M$90,$G1335,月間集計シート!P$71:P$90)*Z$2</f>
        <v>0</v>
      </c>
      <c r="AA1335" s="88">
        <f>SUMIF(月間集計シート!$M$71:$M$90,$G1335,月間集計シート!Q$71:Q$90)*AA$2</f>
        <v>0</v>
      </c>
      <c r="AB1335" s="88">
        <f>SUMIF(月間集計シート!$M$71:$M$90,$G1335,月間集計シート!R$71:R$90)*AB$2</f>
        <v>0</v>
      </c>
      <c r="AC1335" s="88">
        <f>SUMIF(月間集計シート!$M$71:$M$90,$G1335,月間集計シート!S$71:S$90)*AC$2</f>
        <v>0</v>
      </c>
      <c r="AD1335" s="88">
        <f>SUMIF(月間集計シート!$M$71:$M$90,$G1335,月間集計シート!T$71:T$90)*AD$2</f>
        <v>0</v>
      </c>
      <c r="AE1335" s="88">
        <f>SUMIF(月間集計シート!$M$92:$M$111,$G1335,月間集計シート!N$92:N$111)*AE$2</f>
        <v>0</v>
      </c>
      <c r="AF1335" s="88">
        <f>SUMIF(月間集計シート!$M$92:$M$111,$G1335,月間集計シート!O$92:O$111)*AF$2</f>
        <v>0</v>
      </c>
      <c r="AG1335" s="88">
        <f>SUMIF(月間集計シート!$M$92:$M$111,$G1335,月間集計シート!P$92:P$111)*AG$2</f>
        <v>0</v>
      </c>
      <c r="AH1335" s="88">
        <f>SUMIF(月間集計シート!$M$92:$M$111,$G1335,月間集計シート!Q$92:Q$111)*AH$2</f>
        <v>0</v>
      </c>
      <c r="AI1335" s="88">
        <f>SUMIF(月間集計シート!$M$92:$M$111,$G1335,月間集計シート!R$92:R$111)*AI$2</f>
        <v>0</v>
      </c>
      <c r="AJ1335" s="88">
        <f>SUMIF(月間集計シート!$M$92:$M$111,$G1335,月間集計シート!S$92:S$111)*AJ$2</f>
        <v>0</v>
      </c>
      <c r="AK1335" s="88">
        <f>SUMIF(月間集計シート!$M$92:$M$111,$G1335,月間集計シート!T$92:T$111)*AK$2</f>
        <v>0</v>
      </c>
      <c r="AL1335" s="88">
        <f>SUMIF(月間集計シート!$M$113:$M$132,$G1335,月間集計シート!N$113:N$132)*AL$2</f>
        <v>0</v>
      </c>
      <c r="AM1335" s="88">
        <f>SUMIF(月間集計シート!$M$113:$M$132,$G1335,月間集計シート!O$113:O$132)*AM$2</f>
        <v>0</v>
      </c>
      <c r="AN1335" s="88">
        <f>SUMIF(月間集計シート!$M$113:$M$132,$G1335,月間集計シート!P$113:P$132)*AN$2</f>
        <v>0</v>
      </c>
      <c r="AO1335" s="88">
        <f>SUMIF(月間集計シート!$M$113:$M$132,$G1335,月間集計シート!Q$113:Q$132)*AO$2</f>
        <v>0</v>
      </c>
      <c r="AP1335" s="88">
        <f>SUMIF(月間集計シート!$M$113:$M$132,$G1335,月間集計シート!R$113:R$132)*AP$2</f>
        <v>0</v>
      </c>
      <c r="AQ1335" s="88">
        <f>SUMIF(月間集計シート!$M$113:$M$132,$G1335,月間集計シート!S$113:S$132)*AQ$2</f>
        <v>0</v>
      </c>
      <c r="AR1335" s="88">
        <f>SUMIF(月間集計シート!$M$113:$M$132,$G1335,月間集計シート!T$113:T$132)*AR$2</f>
        <v>0</v>
      </c>
      <c r="AS1335" s="88">
        <f>SUMIF(月間集計シート!$M$134:$M$153,$G1335,月間集計シート!N$134:N$153)*AS$2</f>
        <v>0</v>
      </c>
      <c r="AT1335" s="88">
        <f>SUMIF(月間集計シート!$M$134:$M$153,$G1335,月間集計シート!O$134:O$153)*AT$2</f>
        <v>0</v>
      </c>
      <c r="AU1335" s="88">
        <f>SUMIF(月間集計シート!$M$134:$M$153,$G1335,月間集計シート!P$134:P$153)*AU$2</f>
        <v>0</v>
      </c>
      <c r="AV1335" s="88">
        <f>SUMIF(月間集計シート!$M$134:$M$153,$G1335,月間集計シート!Q$134:Q$153)*AV$2</f>
        <v>0</v>
      </c>
      <c r="AW1335" s="88">
        <f>SUMIF(月間集計シート!$M$134:$M$153,$G1335,月間集計シート!R$134:R$153)*AW$2</f>
        <v>0</v>
      </c>
      <c r="AX1335" s="88">
        <f>SUMIF(月間集計シート!$M$134:$M$153,$G1335,月間集計シート!S$134:S$153)*AX$2</f>
        <v>0</v>
      </c>
      <c r="AY1335" s="88">
        <f>SUMIF(月間集計シート!$M$134:$M$153,$G1335,月間集計シート!T$134:T$153)*AY$2</f>
        <v>0</v>
      </c>
    </row>
    <row r="1336" spans="1:51" ht="14.25" thickBot="1">
      <c r="A1336">
        <v>16</v>
      </c>
      <c r="B1336" s="120">
        <f t="shared" si="729"/>
        <v>0</v>
      </c>
      <c r="C1336" s="120" t="str">
        <f t="shared" si="730"/>
        <v/>
      </c>
      <c r="D1336" s="137"/>
      <c r="E1336" s="150">
        <f>工種!A53</f>
        <v>70104</v>
      </c>
      <c r="F1336" s="119" t="str">
        <f>工種!B53</f>
        <v>外部不具合修正：不具合連絡作成</v>
      </c>
      <c r="G1336" s="116" t="str">
        <f t="shared" si="731"/>
        <v>070104</v>
      </c>
      <c r="H1336" s="88">
        <f t="shared" si="685"/>
        <v>0</v>
      </c>
      <c r="I1336" s="132"/>
      <c r="J1336" s="88">
        <f>SUMIF(月間集計シート!$M$29:$M$48,$G1336,月間集計シート!N$29:N$48)*J$2</f>
        <v>0</v>
      </c>
      <c r="K1336" s="88">
        <f>SUMIF(月間集計シート!$M$29:$M$48,$G1336,月間集計シート!O$29:O$48)*K$2</f>
        <v>0</v>
      </c>
      <c r="L1336" s="88">
        <f>SUMIF(月間集計シート!$M$29:$M$48,$G1336,月間集計シート!P$29:P$48)*L$2</f>
        <v>0</v>
      </c>
      <c r="M1336" s="88">
        <f>SUMIF(月間集計シート!$M$29:$M$48,$G1336,月間集計シート!Q$29:Q$48)*M$2</f>
        <v>0</v>
      </c>
      <c r="N1336" s="88">
        <f>SUMIF(月間集計シート!$M$29:$M$48,$G1336,月間集計シート!R$29:R$48)*N$2</f>
        <v>0</v>
      </c>
      <c r="O1336" s="88">
        <f>SUMIF(月間集計シート!$M$29:$M$48,$G1336,月間集計シート!S$29:S$48)*O$2</f>
        <v>0</v>
      </c>
      <c r="P1336" s="88">
        <f>SUMIF(月間集計シート!$M$29:$M$48,$G1336,月間集計シート!T$29:T$48)*P$2</f>
        <v>0</v>
      </c>
      <c r="Q1336" s="88">
        <f>SUMIF(月間集計シート!$M$50:$M$69,$G1336,月間集計シート!N$50:N$69)*Q$2</f>
        <v>0</v>
      </c>
      <c r="R1336" s="88">
        <f>SUMIF(月間集計シート!$M$50:$M$69,$G1336,月間集計シート!O$50:O$69)*R$2</f>
        <v>0</v>
      </c>
      <c r="S1336" s="88">
        <f>SUMIF(月間集計シート!$M$50:$M$69,$G1336,月間集計シート!P$50:P$69)*S$2</f>
        <v>0</v>
      </c>
      <c r="T1336" s="88">
        <f>SUMIF(月間集計シート!$M$50:$M$69,$G1336,月間集計シート!Q$50:Q$69)*T$2</f>
        <v>0</v>
      </c>
      <c r="U1336" s="88">
        <f>SUMIF(月間集計シート!$M$50:$M$69,$G1336,月間集計シート!R$50:R$69)*U$2</f>
        <v>0</v>
      </c>
      <c r="V1336" s="88">
        <f>SUMIF(月間集計シート!$M$50:$M$69,$G1336,月間集計シート!S$50:S$69)*V$2</f>
        <v>0</v>
      </c>
      <c r="W1336" s="88">
        <f>SUMIF(月間集計シート!$M$50:$M$69,$G1336,月間集計シート!T$50:T$69)*W$2</f>
        <v>0</v>
      </c>
      <c r="X1336" s="88">
        <f>SUMIF(月間集計シート!$M$71:$M$90,$G1336,月間集計シート!N$71:N$90)*X$2</f>
        <v>0</v>
      </c>
      <c r="Y1336" s="88">
        <f>SUMIF(月間集計シート!$M$71:$M$90,$G1336,月間集計シート!O$71:O$90)*Y$2</f>
        <v>0</v>
      </c>
      <c r="Z1336" s="88">
        <f>SUMIF(月間集計シート!$M$71:$M$90,$G1336,月間集計シート!P$71:P$90)*Z$2</f>
        <v>0</v>
      </c>
      <c r="AA1336" s="88">
        <f>SUMIF(月間集計シート!$M$71:$M$90,$G1336,月間集計シート!Q$71:Q$90)*AA$2</f>
        <v>0</v>
      </c>
      <c r="AB1336" s="88">
        <f>SUMIF(月間集計シート!$M$71:$M$90,$G1336,月間集計シート!R$71:R$90)*AB$2</f>
        <v>0</v>
      </c>
      <c r="AC1336" s="88">
        <f>SUMIF(月間集計シート!$M$71:$M$90,$G1336,月間集計シート!S$71:S$90)*AC$2</f>
        <v>0</v>
      </c>
      <c r="AD1336" s="88">
        <f>SUMIF(月間集計シート!$M$71:$M$90,$G1336,月間集計シート!T$71:T$90)*AD$2</f>
        <v>0</v>
      </c>
      <c r="AE1336" s="88">
        <f>SUMIF(月間集計シート!$M$92:$M$111,$G1336,月間集計シート!N$92:N$111)*AE$2</f>
        <v>0</v>
      </c>
      <c r="AF1336" s="88">
        <f>SUMIF(月間集計シート!$M$92:$M$111,$G1336,月間集計シート!O$92:O$111)*AF$2</f>
        <v>0</v>
      </c>
      <c r="AG1336" s="88">
        <f>SUMIF(月間集計シート!$M$92:$M$111,$G1336,月間集計シート!P$92:P$111)*AG$2</f>
        <v>0</v>
      </c>
      <c r="AH1336" s="88">
        <f>SUMIF(月間集計シート!$M$92:$M$111,$G1336,月間集計シート!Q$92:Q$111)*AH$2</f>
        <v>0</v>
      </c>
      <c r="AI1336" s="88">
        <f>SUMIF(月間集計シート!$M$92:$M$111,$G1336,月間集計シート!R$92:R$111)*AI$2</f>
        <v>0</v>
      </c>
      <c r="AJ1336" s="88">
        <f>SUMIF(月間集計シート!$M$92:$M$111,$G1336,月間集計シート!S$92:S$111)*AJ$2</f>
        <v>0</v>
      </c>
      <c r="AK1336" s="88">
        <f>SUMIF(月間集計シート!$M$92:$M$111,$G1336,月間集計シート!T$92:T$111)*AK$2</f>
        <v>0</v>
      </c>
      <c r="AL1336" s="88">
        <f>SUMIF(月間集計シート!$M$113:$M$132,$G1336,月間集計シート!N$113:N$132)*AL$2</f>
        <v>0</v>
      </c>
      <c r="AM1336" s="88">
        <f>SUMIF(月間集計シート!$M$113:$M$132,$G1336,月間集計シート!O$113:O$132)*AM$2</f>
        <v>0</v>
      </c>
      <c r="AN1336" s="88">
        <f>SUMIF(月間集計シート!$M$113:$M$132,$G1336,月間集計シート!P$113:P$132)*AN$2</f>
        <v>0</v>
      </c>
      <c r="AO1336" s="88">
        <f>SUMIF(月間集計シート!$M$113:$M$132,$G1336,月間集計シート!Q$113:Q$132)*AO$2</f>
        <v>0</v>
      </c>
      <c r="AP1336" s="88">
        <f>SUMIF(月間集計シート!$M$113:$M$132,$G1336,月間集計シート!R$113:R$132)*AP$2</f>
        <v>0</v>
      </c>
      <c r="AQ1336" s="88">
        <f>SUMIF(月間集計シート!$M$113:$M$132,$G1336,月間集計シート!S$113:S$132)*AQ$2</f>
        <v>0</v>
      </c>
      <c r="AR1336" s="88">
        <f>SUMIF(月間集計シート!$M$113:$M$132,$G1336,月間集計シート!T$113:T$132)*AR$2</f>
        <v>0</v>
      </c>
      <c r="AS1336" s="88">
        <f>SUMIF(月間集計シート!$M$134:$M$153,$G1336,月間集計シート!N$134:N$153)*AS$2</f>
        <v>0</v>
      </c>
      <c r="AT1336" s="88">
        <f>SUMIF(月間集計シート!$M$134:$M$153,$G1336,月間集計シート!O$134:O$153)*AT$2</f>
        <v>0</v>
      </c>
      <c r="AU1336" s="88">
        <f>SUMIF(月間集計シート!$M$134:$M$153,$G1336,月間集計シート!P$134:P$153)*AU$2</f>
        <v>0</v>
      </c>
      <c r="AV1336" s="88">
        <f>SUMIF(月間集計シート!$M$134:$M$153,$G1336,月間集計シート!Q$134:Q$153)*AV$2</f>
        <v>0</v>
      </c>
      <c r="AW1336" s="88">
        <f>SUMIF(月間集計シート!$M$134:$M$153,$G1336,月間集計シート!R$134:R$153)*AW$2</f>
        <v>0</v>
      </c>
      <c r="AX1336" s="88">
        <f>SUMIF(月間集計シート!$M$134:$M$153,$G1336,月間集計シート!S$134:S$153)*AX$2</f>
        <v>0</v>
      </c>
      <c r="AY1336" s="88">
        <f>SUMIF(月間集計シート!$M$134:$M$153,$G1336,月間集計シート!T$134:T$153)*AY$2</f>
        <v>0</v>
      </c>
    </row>
    <row r="1337" spans="1:51" ht="14.25" thickBot="1">
      <c r="A1337">
        <v>16</v>
      </c>
      <c r="B1337" s="120">
        <f t="shared" si="729"/>
        <v>0</v>
      </c>
      <c r="C1337" s="120" t="str">
        <f t="shared" si="730"/>
        <v/>
      </c>
      <c r="D1337" s="137"/>
      <c r="E1337" s="150">
        <f>工種!A54</f>
        <v>70105</v>
      </c>
      <c r="F1337" s="119" t="str">
        <f>工種!B54</f>
        <v>外部不具合修正：差分PGイントラ掲載</v>
      </c>
      <c r="G1337" s="116" t="str">
        <f t="shared" si="731"/>
        <v>070105</v>
      </c>
      <c r="H1337" s="88">
        <f t="shared" si="685"/>
        <v>0</v>
      </c>
      <c r="I1337" s="132"/>
      <c r="J1337" s="88">
        <f>SUMIF(月間集計シート!$M$29:$M$48,$G1337,月間集計シート!N$29:N$48)*J$2</f>
        <v>0</v>
      </c>
      <c r="K1337" s="88">
        <f>SUMIF(月間集計シート!$M$29:$M$48,$G1337,月間集計シート!O$29:O$48)*K$2</f>
        <v>0</v>
      </c>
      <c r="L1337" s="88">
        <f>SUMIF(月間集計シート!$M$29:$M$48,$G1337,月間集計シート!P$29:P$48)*L$2</f>
        <v>0</v>
      </c>
      <c r="M1337" s="88">
        <f>SUMIF(月間集計シート!$M$29:$M$48,$G1337,月間集計シート!Q$29:Q$48)*M$2</f>
        <v>0</v>
      </c>
      <c r="N1337" s="88">
        <f>SUMIF(月間集計シート!$M$29:$M$48,$G1337,月間集計シート!R$29:R$48)*N$2</f>
        <v>0</v>
      </c>
      <c r="O1337" s="88">
        <f>SUMIF(月間集計シート!$M$29:$M$48,$G1337,月間集計シート!S$29:S$48)*O$2</f>
        <v>0</v>
      </c>
      <c r="P1337" s="88">
        <f>SUMIF(月間集計シート!$M$29:$M$48,$G1337,月間集計シート!T$29:T$48)*P$2</f>
        <v>0</v>
      </c>
      <c r="Q1337" s="88">
        <f>SUMIF(月間集計シート!$M$50:$M$69,$G1337,月間集計シート!N$50:N$69)*Q$2</f>
        <v>0</v>
      </c>
      <c r="R1337" s="88">
        <f>SUMIF(月間集計シート!$M$50:$M$69,$G1337,月間集計シート!O$50:O$69)*R$2</f>
        <v>0</v>
      </c>
      <c r="S1337" s="88">
        <f>SUMIF(月間集計シート!$M$50:$M$69,$G1337,月間集計シート!P$50:P$69)*S$2</f>
        <v>0</v>
      </c>
      <c r="T1337" s="88">
        <f>SUMIF(月間集計シート!$M$50:$M$69,$G1337,月間集計シート!Q$50:Q$69)*T$2</f>
        <v>0</v>
      </c>
      <c r="U1337" s="88">
        <f>SUMIF(月間集計シート!$M$50:$M$69,$G1337,月間集計シート!R$50:R$69)*U$2</f>
        <v>0</v>
      </c>
      <c r="V1337" s="88">
        <f>SUMIF(月間集計シート!$M$50:$M$69,$G1337,月間集計シート!S$50:S$69)*V$2</f>
        <v>0</v>
      </c>
      <c r="W1337" s="88">
        <f>SUMIF(月間集計シート!$M$50:$M$69,$G1337,月間集計シート!T$50:T$69)*W$2</f>
        <v>0</v>
      </c>
      <c r="X1337" s="88">
        <f>SUMIF(月間集計シート!$M$71:$M$90,$G1337,月間集計シート!N$71:N$90)*X$2</f>
        <v>0</v>
      </c>
      <c r="Y1337" s="88">
        <f>SUMIF(月間集計シート!$M$71:$M$90,$G1337,月間集計シート!O$71:O$90)*Y$2</f>
        <v>0</v>
      </c>
      <c r="Z1337" s="88">
        <f>SUMIF(月間集計シート!$M$71:$M$90,$G1337,月間集計シート!P$71:P$90)*Z$2</f>
        <v>0</v>
      </c>
      <c r="AA1337" s="88">
        <f>SUMIF(月間集計シート!$M$71:$M$90,$G1337,月間集計シート!Q$71:Q$90)*AA$2</f>
        <v>0</v>
      </c>
      <c r="AB1337" s="88">
        <f>SUMIF(月間集計シート!$M$71:$M$90,$G1337,月間集計シート!R$71:R$90)*AB$2</f>
        <v>0</v>
      </c>
      <c r="AC1337" s="88">
        <f>SUMIF(月間集計シート!$M$71:$M$90,$G1337,月間集計シート!S$71:S$90)*AC$2</f>
        <v>0</v>
      </c>
      <c r="AD1337" s="88">
        <f>SUMIF(月間集計シート!$M$71:$M$90,$G1337,月間集計シート!T$71:T$90)*AD$2</f>
        <v>0</v>
      </c>
      <c r="AE1337" s="88">
        <f>SUMIF(月間集計シート!$M$92:$M$111,$G1337,月間集計シート!N$92:N$111)*AE$2</f>
        <v>0</v>
      </c>
      <c r="AF1337" s="88">
        <f>SUMIF(月間集計シート!$M$92:$M$111,$G1337,月間集計シート!O$92:O$111)*AF$2</f>
        <v>0</v>
      </c>
      <c r="AG1337" s="88">
        <f>SUMIF(月間集計シート!$M$92:$M$111,$G1337,月間集計シート!P$92:P$111)*AG$2</f>
        <v>0</v>
      </c>
      <c r="AH1337" s="88">
        <f>SUMIF(月間集計シート!$M$92:$M$111,$G1337,月間集計シート!Q$92:Q$111)*AH$2</f>
        <v>0</v>
      </c>
      <c r="AI1337" s="88">
        <f>SUMIF(月間集計シート!$M$92:$M$111,$G1337,月間集計シート!R$92:R$111)*AI$2</f>
        <v>0</v>
      </c>
      <c r="AJ1337" s="88">
        <f>SUMIF(月間集計シート!$M$92:$M$111,$G1337,月間集計シート!S$92:S$111)*AJ$2</f>
        <v>0</v>
      </c>
      <c r="AK1337" s="88">
        <f>SUMIF(月間集計シート!$M$92:$M$111,$G1337,月間集計シート!T$92:T$111)*AK$2</f>
        <v>0</v>
      </c>
      <c r="AL1337" s="88">
        <f>SUMIF(月間集計シート!$M$113:$M$132,$G1337,月間集計シート!N$113:N$132)*AL$2</f>
        <v>0</v>
      </c>
      <c r="AM1337" s="88">
        <f>SUMIF(月間集計シート!$M$113:$M$132,$G1337,月間集計シート!O$113:O$132)*AM$2</f>
        <v>0</v>
      </c>
      <c r="AN1337" s="88">
        <f>SUMIF(月間集計シート!$M$113:$M$132,$G1337,月間集計シート!P$113:P$132)*AN$2</f>
        <v>0</v>
      </c>
      <c r="AO1337" s="88">
        <f>SUMIF(月間集計シート!$M$113:$M$132,$G1337,月間集計シート!Q$113:Q$132)*AO$2</f>
        <v>0</v>
      </c>
      <c r="AP1337" s="88">
        <f>SUMIF(月間集計シート!$M$113:$M$132,$G1337,月間集計シート!R$113:R$132)*AP$2</f>
        <v>0</v>
      </c>
      <c r="AQ1337" s="88">
        <f>SUMIF(月間集計シート!$M$113:$M$132,$G1337,月間集計シート!S$113:S$132)*AQ$2</f>
        <v>0</v>
      </c>
      <c r="AR1337" s="88">
        <f>SUMIF(月間集計シート!$M$113:$M$132,$G1337,月間集計シート!T$113:T$132)*AR$2</f>
        <v>0</v>
      </c>
      <c r="AS1337" s="88">
        <f>SUMIF(月間集計シート!$M$134:$M$153,$G1337,月間集計シート!N$134:N$153)*AS$2</f>
        <v>0</v>
      </c>
      <c r="AT1337" s="88">
        <f>SUMIF(月間集計シート!$M$134:$M$153,$G1337,月間集計シート!O$134:O$153)*AT$2</f>
        <v>0</v>
      </c>
      <c r="AU1337" s="88">
        <f>SUMIF(月間集計シート!$M$134:$M$153,$G1337,月間集計シート!P$134:P$153)*AU$2</f>
        <v>0</v>
      </c>
      <c r="AV1337" s="88">
        <f>SUMIF(月間集計シート!$M$134:$M$153,$G1337,月間集計シート!Q$134:Q$153)*AV$2</f>
        <v>0</v>
      </c>
      <c r="AW1337" s="88">
        <f>SUMIF(月間集計シート!$M$134:$M$153,$G1337,月間集計シート!R$134:R$153)*AW$2</f>
        <v>0</v>
      </c>
      <c r="AX1337" s="88">
        <f>SUMIF(月間集計シート!$M$134:$M$153,$G1337,月間集計シート!S$134:S$153)*AX$2</f>
        <v>0</v>
      </c>
      <c r="AY1337" s="88">
        <f>SUMIF(月間集計シート!$M$134:$M$153,$G1337,月間集計シート!T$134:T$153)*AY$2</f>
        <v>0</v>
      </c>
    </row>
    <row r="1338" spans="1:51" ht="14.25" thickBot="1">
      <c r="A1338">
        <v>16</v>
      </c>
      <c r="B1338" s="120">
        <f t="shared" si="729"/>
        <v>0</v>
      </c>
      <c r="C1338" s="120" t="str">
        <f t="shared" si="730"/>
        <v/>
      </c>
      <c r="D1338" s="137"/>
      <c r="E1338" s="150">
        <f>工種!A55</f>
        <v>70106</v>
      </c>
      <c r="F1338" s="119" t="str">
        <f>工種!B55</f>
        <v>外部不具合修正：打合せ</v>
      </c>
      <c r="G1338" s="116" t="str">
        <f t="shared" si="731"/>
        <v>070106</v>
      </c>
      <c r="H1338" s="88">
        <f t="shared" si="685"/>
        <v>0</v>
      </c>
      <c r="I1338" s="132"/>
      <c r="J1338" s="88">
        <f>SUMIF(月間集計シート!$M$29:$M$48,$G1338,月間集計シート!N$29:N$48)*J$2</f>
        <v>0</v>
      </c>
      <c r="K1338" s="88">
        <f>SUMIF(月間集計シート!$M$29:$M$48,$G1338,月間集計シート!O$29:O$48)*K$2</f>
        <v>0</v>
      </c>
      <c r="L1338" s="88">
        <f>SUMIF(月間集計シート!$M$29:$M$48,$G1338,月間集計シート!P$29:P$48)*L$2</f>
        <v>0</v>
      </c>
      <c r="M1338" s="88">
        <f>SUMIF(月間集計シート!$M$29:$M$48,$G1338,月間集計シート!Q$29:Q$48)*M$2</f>
        <v>0</v>
      </c>
      <c r="N1338" s="88">
        <f>SUMIF(月間集計シート!$M$29:$M$48,$G1338,月間集計シート!R$29:R$48)*N$2</f>
        <v>0</v>
      </c>
      <c r="O1338" s="88">
        <f>SUMIF(月間集計シート!$M$29:$M$48,$G1338,月間集計シート!S$29:S$48)*O$2</f>
        <v>0</v>
      </c>
      <c r="P1338" s="88">
        <f>SUMIF(月間集計シート!$M$29:$M$48,$G1338,月間集計シート!T$29:T$48)*P$2</f>
        <v>0</v>
      </c>
      <c r="Q1338" s="88">
        <f>SUMIF(月間集計シート!$M$50:$M$69,$G1338,月間集計シート!N$50:N$69)*Q$2</f>
        <v>0</v>
      </c>
      <c r="R1338" s="88">
        <f>SUMIF(月間集計シート!$M$50:$M$69,$G1338,月間集計シート!O$50:O$69)*R$2</f>
        <v>0</v>
      </c>
      <c r="S1338" s="88">
        <f>SUMIF(月間集計シート!$M$50:$M$69,$G1338,月間集計シート!P$50:P$69)*S$2</f>
        <v>0</v>
      </c>
      <c r="T1338" s="88">
        <f>SUMIF(月間集計シート!$M$50:$M$69,$G1338,月間集計シート!Q$50:Q$69)*T$2</f>
        <v>0</v>
      </c>
      <c r="U1338" s="88">
        <f>SUMIF(月間集計シート!$M$50:$M$69,$G1338,月間集計シート!R$50:R$69)*U$2</f>
        <v>0</v>
      </c>
      <c r="V1338" s="88">
        <f>SUMIF(月間集計シート!$M$50:$M$69,$G1338,月間集計シート!S$50:S$69)*V$2</f>
        <v>0</v>
      </c>
      <c r="W1338" s="88">
        <f>SUMIF(月間集計シート!$M$50:$M$69,$G1338,月間集計シート!T$50:T$69)*W$2</f>
        <v>0</v>
      </c>
      <c r="X1338" s="88">
        <f>SUMIF(月間集計シート!$M$71:$M$90,$G1338,月間集計シート!N$71:N$90)*X$2</f>
        <v>0</v>
      </c>
      <c r="Y1338" s="88">
        <f>SUMIF(月間集計シート!$M$71:$M$90,$G1338,月間集計シート!O$71:O$90)*Y$2</f>
        <v>0</v>
      </c>
      <c r="Z1338" s="88">
        <f>SUMIF(月間集計シート!$M$71:$M$90,$G1338,月間集計シート!P$71:P$90)*Z$2</f>
        <v>0</v>
      </c>
      <c r="AA1338" s="88">
        <f>SUMIF(月間集計シート!$M$71:$M$90,$G1338,月間集計シート!Q$71:Q$90)*AA$2</f>
        <v>0</v>
      </c>
      <c r="AB1338" s="88">
        <f>SUMIF(月間集計シート!$M$71:$M$90,$G1338,月間集計シート!R$71:R$90)*AB$2</f>
        <v>0</v>
      </c>
      <c r="AC1338" s="88">
        <f>SUMIF(月間集計シート!$M$71:$M$90,$G1338,月間集計シート!S$71:S$90)*AC$2</f>
        <v>0</v>
      </c>
      <c r="AD1338" s="88">
        <f>SUMIF(月間集計シート!$M$71:$M$90,$G1338,月間集計シート!T$71:T$90)*AD$2</f>
        <v>0</v>
      </c>
      <c r="AE1338" s="88">
        <f>SUMIF(月間集計シート!$M$92:$M$111,$G1338,月間集計シート!N$92:N$111)*AE$2</f>
        <v>0</v>
      </c>
      <c r="AF1338" s="88">
        <f>SUMIF(月間集計シート!$M$92:$M$111,$G1338,月間集計シート!O$92:O$111)*AF$2</f>
        <v>0</v>
      </c>
      <c r="AG1338" s="88">
        <f>SUMIF(月間集計シート!$M$92:$M$111,$G1338,月間集計シート!P$92:P$111)*AG$2</f>
        <v>0</v>
      </c>
      <c r="AH1338" s="88">
        <f>SUMIF(月間集計シート!$M$92:$M$111,$G1338,月間集計シート!Q$92:Q$111)*AH$2</f>
        <v>0</v>
      </c>
      <c r="AI1338" s="88">
        <f>SUMIF(月間集計シート!$M$92:$M$111,$G1338,月間集計シート!R$92:R$111)*AI$2</f>
        <v>0</v>
      </c>
      <c r="AJ1338" s="88">
        <f>SUMIF(月間集計シート!$M$92:$M$111,$G1338,月間集計シート!S$92:S$111)*AJ$2</f>
        <v>0</v>
      </c>
      <c r="AK1338" s="88">
        <f>SUMIF(月間集計シート!$M$92:$M$111,$G1338,月間集計シート!T$92:T$111)*AK$2</f>
        <v>0</v>
      </c>
      <c r="AL1338" s="88">
        <f>SUMIF(月間集計シート!$M$113:$M$132,$G1338,月間集計シート!N$113:N$132)*AL$2</f>
        <v>0</v>
      </c>
      <c r="AM1338" s="88">
        <f>SUMIF(月間集計シート!$M$113:$M$132,$G1338,月間集計シート!O$113:O$132)*AM$2</f>
        <v>0</v>
      </c>
      <c r="AN1338" s="88">
        <f>SUMIF(月間集計シート!$M$113:$M$132,$G1338,月間集計シート!P$113:P$132)*AN$2</f>
        <v>0</v>
      </c>
      <c r="AO1338" s="88">
        <f>SUMIF(月間集計シート!$M$113:$M$132,$G1338,月間集計シート!Q$113:Q$132)*AO$2</f>
        <v>0</v>
      </c>
      <c r="AP1338" s="88">
        <f>SUMIF(月間集計シート!$M$113:$M$132,$G1338,月間集計シート!R$113:R$132)*AP$2</f>
        <v>0</v>
      </c>
      <c r="AQ1338" s="88">
        <f>SUMIF(月間集計シート!$M$113:$M$132,$G1338,月間集計シート!S$113:S$132)*AQ$2</f>
        <v>0</v>
      </c>
      <c r="AR1338" s="88">
        <f>SUMIF(月間集計シート!$M$113:$M$132,$G1338,月間集計シート!T$113:T$132)*AR$2</f>
        <v>0</v>
      </c>
      <c r="AS1338" s="88">
        <f>SUMIF(月間集計シート!$M$134:$M$153,$G1338,月間集計シート!N$134:N$153)*AS$2</f>
        <v>0</v>
      </c>
      <c r="AT1338" s="88">
        <f>SUMIF(月間集計シート!$M$134:$M$153,$G1338,月間集計シート!O$134:O$153)*AT$2</f>
        <v>0</v>
      </c>
      <c r="AU1338" s="88">
        <f>SUMIF(月間集計シート!$M$134:$M$153,$G1338,月間集計シート!P$134:P$153)*AU$2</f>
        <v>0</v>
      </c>
      <c r="AV1338" s="88">
        <f>SUMIF(月間集計シート!$M$134:$M$153,$G1338,月間集計シート!Q$134:Q$153)*AV$2</f>
        <v>0</v>
      </c>
      <c r="AW1338" s="88">
        <f>SUMIF(月間集計シート!$M$134:$M$153,$G1338,月間集計シート!R$134:R$153)*AW$2</f>
        <v>0</v>
      </c>
      <c r="AX1338" s="88">
        <f>SUMIF(月間集計シート!$M$134:$M$153,$G1338,月間集計シート!S$134:S$153)*AX$2</f>
        <v>0</v>
      </c>
      <c r="AY1338" s="88">
        <f>SUMIF(月間集計シート!$M$134:$M$153,$G1338,月間集計シート!T$134:T$153)*AY$2</f>
        <v>0</v>
      </c>
    </row>
    <row r="1339" spans="1:51" ht="14.25" thickBot="1">
      <c r="A1339">
        <v>16</v>
      </c>
      <c r="B1339" s="120">
        <f t="shared" si="729"/>
        <v>0</v>
      </c>
      <c r="C1339" s="120" t="str">
        <f t="shared" si="730"/>
        <v/>
      </c>
      <c r="D1339" s="137"/>
      <c r="E1339" s="150">
        <f>工種!A56</f>
        <v>70109</v>
      </c>
      <c r="F1339" s="119" t="str">
        <f>工種!B56</f>
        <v>外部不具合修正：レビュー</v>
      </c>
      <c r="G1339" s="116" t="str">
        <f t="shared" si="731"/>
        <v>070109</v>
      </c>
      <c r="H1339" s="88">
        <f t="shared" si="685"/>
        <v>0</v>
      </c>
      <c r="I1339" s="132"/>
      <c r="J1339" s="88">
        <f>SUMIF(月間集計シート!$M$29:$M$48,$G1339,月間集計シート!N$29:N$48)*J$2</f>
        <v>0</v>
      </c>
      <c r="K1339" s="88">
        <f>SUMIF(月間集計シート!$M$29:$M$48,$G1339,月間集計シート!O$29:O$48)*K$2</f>
        <v>0</v>
      </c>
      <c r="L1339" s="88">
        <f>SUMIF(月間集計シート!$M$29:$M$48,$G1339,月間集計シート!P$29:P$48)*L$2</f>
        <v>0</v>
      </c>
      <c r="M1339" s="88">
        <f>SUMIF(月間集計シート!$M$29:$M$48,$G1339,月間集計シート!Q$29:Q$48)*M$2</f>
        <v>0</v>
      </c>
      <c r="N1339" s="88">
        <f>SUMIF(月間集計シート!$M$29:$M$48,$G1339,月間集計シート!R$29:R$48)*N$2</f>
        <v>0</v>
      </c>
      <c r="O1339" s="88">
        <f>SUMIF(月間集計シート!$M$29:$M$48,$G1339,月間集計シート!S$29:S$48)*O$2</f>
        <v>0</v>
      </c>
      <c r="P1339" s="88">
        <f>SUMIF(月間集計シート!$M$29:$M$48,$G1339,月間集計シート!T$29:T$48)*P$2</f>
        <v>0</v>
      </c>
      <c r="Q1339" s="88">
        <f>SUMIF(月間集計シート!$M$50:$M$69,$G1339,月間集計シート!N$50:N$69)*Q$2</f>
        <v>0</v>
      </c>
      <c r="R1339" s="88">
        <f>SUMIF(月間集計シート!$M$50:$M$69,$G1339,月間集計シート!O$50:O$69)*R$2</f>
        <v>0</v>
      </c>
      <c r="S1339" s="88">
        <f>SUMIF(月間集計シート!$M$50:$M$69,$G1339,月間集計シート!P$50:P$69)*S$2</f>
        <v>0</v>
      </c>
      <c r="T1339" s="88">
        <f>SUMIF(月間集計シート!$M$50:$M$69,$G1339,月間集計シート!Q$50:Q$69)*T$2</f>
        <v>0</v>
      </c>
      <c r="U1339" s="88">
        <f>SUMIF(月間集計シート!$M$50:$M$69,$G1339,月間集計シート!R$50:R$69)*U$2</f>
        <v>0</v>
      </c>
      <c r="V1339" s="88">
        <f>SUMIF(月間集計シート!$M$50:$M$69,$G1339,月間集計シート!S$50:S$69)*V$2</f>
        <v>0</v>
      </c>
      <c r="W1339" s="88">
        <f>SUMIF(月間集計シート!$M$50:$M$69,$G1339,月間集計シート!T$50:T$69)*W$2</f>
        <v>0</v>
      </c>
      <c r="X1339" s="88">
        <f>SUMIF(月間集計シート!$M$71:$M$90,$G1339,月間集計シート!N$71:N$90)*X$2</f>
        <v>0</v>
      </c>
      <c r="Y1339" s="88">
        <f>SUMIF(月間集計シート!$M$71:$M$90,$G1339,月間集計シート!O$71:O$90)*Y$2</f>
        <v>0</v>
      </c>
      <c r="Z1339" s="88">
        <f>SUMIF(月間集計シート!$M$71:$M$90,$G1339,月間集計シート!P$71:P$90)*Z$2</f>
        <v>0</v>
      </c>
      <c r="AA1339" s="88">
        <f>SUMIF(月間集計シート!$M$71:$M$90,$G1339,月間集計シート!Q$71:Q$90)*AA$2</f>
        <v>0</v>
      </c>
      <c r="AB1339" s="88">
        <f>SUMIF(月間集計シート!$M$71:$M$90,$G1339,月間集計シート!R$71:R$90)*AB$2</f>
        <v>0</v>
      </c>
      <c r="AC1339" s="88">
        <f>SUMIF(月間集計シート!$M$71:$M$90,$G1339,月間集計シート!S$71:S$90)*AC$2</f>
        <v>0</v>
      </c>
      <c r="AD1339" s="88">
        <f>SUMIF(月間集計シート!$M$71:$M$90,$G1339,月間集計シート!T$71:T$90)*AD$2</f>
        <v>0</v>
      </c>
      <c r="AE1339" s="88">
        <f>SUMIF(月間集計シート!$M$92:$M$111,$G1339,月間集計シート!N$92:N$111)*AE$2</f>
        <v>0</v>
      </c>
      <c r="AF1339" s="88">
        <f>SUMIF(月間集計シート!$M$92:$M$111,$G1339,月間集計シート!O$92:O$111)*AF$2</f>
        <v>0</v>
      </c>
      <c r="AG1339" s="88">
        <f>SUMIF(月間集計シート!$M$92:$M$111,$G1339,月間集計シート!P$92:P$111)*AG$2</f>
        <v>0</v>
      </c>
      <c r="AH1339" s="88">
        <f>SUMIF(月間集計シート!$M$92:$M$111,$G1339,月間集計シート!Q$92:Q$111)*AH$2</f>
        <v>0</v>
      </c>
      <c r="AI1339" s="88">
        <f>SUMIF(月間集計シート!$M$92:$M$111,$G1339,月間集計シート!R$92:R$111)*AI$2</f>
        <v>0</v>
      </c>
      <c r="AJ1339" s="88">
        <f>SUMIF(月間集計シート!$M$92:$M$111,$G1339,月間集計シート!S$92:S$111)*AJ$2</f>
        <v>0</v>
      </c>
      <c r="AK1339" s="88">
        <f>SUMIF(月間集計シート!$M$92:$M$111,$G1339,月間集計シート!T$92:T$111)*AK$2</f>
        <v>0</v>
      </c>
      <c r="AL1339" s="88">
        <f>SUMIF(月間集計シート!$M$113:$M$132,$G1339,月間集計シート!N$113:N$132)*AL$2</f>
        <v>0</v>
      </c>
      <c r="AM1339" s="88">
        <f>SUMIF(月間集計シート!$M$113:$M$132,$G1339,月間集計シート!O$113:O$132)*AM$2</f>
        <v>0</v>
      </c>
      <c r="AN1339" s="88">
        <f>SUMIF(月間集計シート!$M$113:$M$132,$G1339,月間集計シート!P$113:P$132)*AN$2</f>
        <v>0</v>
      </c>
      <c r="AO1339" s="88">
        <f>SUMIF(月間集計シート!$M$113:$M$132,$G1339,月間集計シート!Q$113:Q$132)*AO$2</f>
        <v>0</v>
      </c>
      <c r="AP1339" s="88">
        <f>SUMIF(月間集計シート!$M$113:$M$132,$G1339,月間集計シート!R$113:R$132)*AP$2</f>
        <v>0</v>
      </c>
      <c r="AQ1339" s="88">
        <f>SUMIF(月間集計シート!$M$113:$M$132,$G1339,月間集計シート!S$113:S$132)*AQ$2</f>
        <v>0</v>
      </c>
      <c r="AR1339" s="88">
        <f>SUMIF(月間集計シート!$M$113:$M$132,$G1339,月間集計シート!T$113:T$132)*AR$2</f>
        <v>0</v>
      </c>
      <c r="AS1339" s="88">
        <f>SUMIF(月間集計シート!$M$134:$M$153,$G1339,月間集計シート!N$134:N$153)*AS$2</f>
        <v>0</v>
      </c>
      <c r="AT1339" s="88">
        <f>SUMIF(月間集計シート!$M$134:$M$153,$G1339,月間集計シート!O$134:O$153)*AT$2</f>
        <v>0</v>
      </c>
      <c r="AU1339" s="88">
        <f>SUMIF(月間集計シート!$M$134:$M$153,$G1339,月間集計シート!P$134:P$153)*AU$2</f>
        <v>0</v>
      </c>
      <c r="AV1339" s="88">
        <f>SUMIF(月間集計シート!$M$134:$M$153,$G1339,月間集計シート!Q$134:Q$153)*AV$2</f>
        <v>0</v>
      </c>
      <c r="AW1339" s="88">
        <f>SUMIF(月間集計シート!$M$134:$M$153,$G1339,月間集計シート!R$134:R$153)*AW$2</f>
        <v>0</v>
      </c>
      <c r="AX1339" s="88">
        <f>SUMIF(月間集計シート!$M$134:$M$153,$G1339,月間集計シート!S$134:S$153)*AX$2</f>
        <v>0</v>
      </c>
      <c r="AY1339" s="88">
        <f>SUMIF(月間集計シート!$M$134:$M$153,$G1339,月間集計シート!T$134:T$153)*AY$2</f>
        <v>0</v>
      </c>
    </row>
    <row r="1340" spans="1:51" ht="14.25" thickBot="1">
      <c r="A1340">
        <v>16</v>
      </c>
      <c r="B1340" s="120">
        <f t="shared" si="729"/>
        <v>0</v>
      </c>
      <c r="C1340" s="120" t="str">
        <f t="shared" si="730"/>
        <v/>
      </c>
      <c r="D1340" s="137"/>
      <c r="E1340" s="150">
        <f>工種!A57</f>
        <v>70189</v>
      </c>
      <c r="F1340" s="119" t="str">
        <f>工種!B57</f>
        <v>外部不具合修正：外部不具合分析</v>
      </c>
      <c r="G1340" s="116" t="str">
        <f t="shared" si="731"/>
        <v>070189</v>
      </c>
      <c r="H1340" s="88">
        <f t="shared" si="685"/>
        <v>0</v>
      </c>
      <c r="I1340" s="132"/>
      <c r="J1340" s="88">
        <f>SUMIF(月間集計シート!$M$29:$M$48,$G1340,月間集計シート!N$29:N$48)*J$2</f>
        <v>0</v>
      </c>
      <c r="K1340" s="88">
        <f>SUMIF(月間集計シート!$M$29:$M$48,$G1340,月間集計シート!O$29:O$48)*K$2</f>
        <v>0</v>
      </c>
      <c r="L1340" s="88">
        <f>SUMIF(月間集計シート!$M$29:$M$48,$G1340,月間集計シート!P$29:P$48)*L$2</f>
        <v>0</v>
      </c>
      <c r="M1340" s="88">
        <f>SUMIF(月間集計シート!$M$29:$M$48,$G1340,月間集計シート!Q$29:Q$48)*M$2</f>
        <v>0</v>
      </c>
      <c r="N1340" s="88">
        <f>SUMIF(月間集計シート!$M$29:$M$48,$G1340,月間集計シート!R$29:R$48)*N$2</f>
        <v>0</v>
      </c>
      <c r="O1340" s="88">
        <f>SUMIF(月間集計シート!$M$29:$M$48,$G1340,月間集計シート!S$29:S$48)*O$2</f>
        <v>0</v>
      </c>
      <c r="P1340" s="88">
        <f>SUMIF(月間集計シート!$M$29:$M$48,$G1340,月間集計シート!T$29:T$48)*P$2</f>
        <v>0</v>
      </c>
      <c r="Q1340" s="88">
        <f>SUMIF(月間集計シート!$M$50:$M$69,$G1340,月間集計シート!N$50:N$69)*Q$2</f>
        <v>0</v>
      </c>
      <c r="R1340" s="88">
        <f>SUMIF(月間集計シート!$M$50:$M$69,$G1340,月間集計シート!O$50:O$69)*R$2</f>
        <v>0</v>
      </c>
      <c r="S1340" s="88">
        <f>SUMIF(月間集計シート!$M$50:$M$69,$G1340,月間集計シート!P$50:P$69)*S$2</f>
        <v>0</v>
      </c>
      <c r="T1340" s="88">
        <f>SUMIF(月間集計シート!$M$50:$M$69,$G1340,月間集計シート!Q$50:Q$69)*T$2</f>
        <v>0</v>
      </c>
      <c r="U1340" s="88">
        <f>SUMIF(月間集計シート!$M$50:$M$69,$G1340,月間集計シート!R$50:R$69)*U$2</f>
        <v>0</v>
      </c>
      <c r="V1340" s="88">
        <f>SUMIF(月間集計シート!$M$50:$M$69,$G1340,月間集計シート!S$50:S$69)*V$2</f>
        <v>0</v>
      </c>
      <c r="W1340" s="88">
        <f>SUMIF(月間集計シート!$M$50:$M$69,$G1340,月間集計シート!T$50:T$69)*W$2</f>
        <v>0</v>
      </c>
      <c r="X1340" s="88">
        <f>SUMIF(月間集計シート!$M$71:$M$90,$G1340,月間集計シート!N$71:N$90)*X$2</f>
        <v>0</v>
      </c>
      <c r="Y1340" s="88">
        <f>SUMIF(月間集計シート!$M$71:$M$90,$G1340,月間集計シート!O$71:O$90)*Y$2</f>
        <v>0</v>
      </c>
      <c r="Z1340" s="88">
        <f>SUMIF(月間集計シート!$M$71:$M$90,$G1340,月間集計シート!P$71:P$90)*Z$2</f>
        <v>0</v>
      </c>
      <c r="AA1340" s="88">
        <f>SUMIF(月間集計シート!$M$71:$M$90,$G1340,月間集計シート!Q$71:Q$90)*AA$2</f>
        <v>0</v>
      </c>
      <c r="AB1340" s="88">
        <f>SUMIF(月間集計シート!$M$71:$M$90,$G1340,月間集計シート!R$71:R$90)*AB$2</f>
        <v>0</v>
      </c>
      <c r="AC1340" s="88">
        <f>SUMIF(月間集計シート!$M$71:$M$90,$G1340,月間集計シート!S$71:S$90)*AC$2</f>
        <v>0</v>
      </c>
      <c r="AD1340" s="88">
        <f>SUMIF(月間集計シート!$M$71:$M$90,$G1340,月間集計シート!T$71:T$90)*AD$2</f>
        <v>0</v>
      </c>
      <c r="AE1340" s="88">
        <f>SUMIF(月間集計シート!$M$92:$M$111,$G1340,月間集計シート!N$92:N$111)*AE$2</f>
        <v>0</v>
      </c>
      <c r="AF1340" s="88">
        <f>SUMIF(月間集計シート!$M$92:$M$111,$G1340,月間集計シート!O$92:O$111)*AF$2</f>
        <v>0</v>
      </c>
      <c r="AG1340" s="88">
        <f>SUMIF(月間集計シート!$M$92:$M$111,$G1340,月間集計シート!P$92:P$111)*AG$2</f>
        <v>0</v>
      </c>
      <c r="AH1340" s="88">
        <f>SUMIF(月間集計シート!$M$92:$M$111,$G1340,月間集計シート!Q$92:Q$111)*AH$2</f>
        <v>0</v>
      </c>
      <c r="AI1340" s="88">
        <f>SUMIF(月間集計シート!$M$92:$M$111,$G1340,月間集計シート!R$92:R$111)*AI$2</f>
        <v>0</v>
      </c>
      <c r="AJ1340" s="88">
        <f>SUMIF(月間集計シート!$M$92:$M$111,$G1340,月間集計シート!S$92:S$111)*AJ$2</f>
        <v>0</v>
      </c>
      <c r="AK1340" s="88">
        <f>SUMIF(月間集計シート!$M$92:$M$111,$G1340,月間集計シート!T$92:T$111)*AK$2</f>
        <v>0</v>
      </c>
      <c r="AL1340" s="88">
        <f>SUMIF(月間集計シート!$M$113:$M$132,$G1340,月間集計シート!N$113:N$132)*AL$2</f>
        <v>0</v>
      </c>
      <c r="AM1340" s="88">
        <f>SUMIF(月間集計シート!$M$113:$M$132,$G1340,月間集計シート!O$113:O$132)*AM$2</f>
        <v>0</v>
      </c>
      <c r="AN1340" s="88">
        <f>SUMIF(月間集計シート!$M$113:$M$132,$G1340,月間集計シート!P$113:P$132)*AN$2</f>
        <v>0</v>
      </c>
      <c r="AO1340" s="88">
        <f>SUMIF(月間集計シート!$M$113:$M$132,$G1340,月間集計シート!Q$113:Q$132)*AO$2</f>
        <v>0</v>
      </c>
      <c r="AP1340" s="88">
        <f>SUMIF(月間集計シート!$M$113:$M$132,$G1340,月間集計シート!R$113:R$132)*AP$2</f>
        <v>0</v>
      </c>
      <c r="AQ1340" s="88">
        <f>SUMIF(月間集計シート!$M$113:$M$132,$G1340,月間集計シート!S$113:S$132)*AQ$2</f>
        <v>0</v>
      </c>
      <c r="AR1340" s="88">
        <f>SUMIF(月間集計シート!$M$113:$M$132,$G1340,月間集計シート!T$113:T$132)*AR$2</f>
        <v>0</v>
      </c>
      <c r="AS1340" s="88">
        <f>SUMIF(月間集計シート!$M$134:$M$153,$G1340,月間集計シート!N$134:N$153)*AS$2</f>
        <v>0</v>
      </c>
      <c r="AT1340" s="88">
        <f>SUMIF(月間集計シート!$M$134:$M$153,$G1340,月間集計シート!O$134:O$153)*AT$2</f>
        <v>0</v>
      </c>
      <c r="AU1340" s="88">
        <f>SUMIF(月間集計シート!$M$134:$M$153,$G1340,月間集計シート!P$134:P$153)*AU$2</f>
        <v>0</v>
      </c>
      <c r="AV1340" s="88">
        <f>SUMIF(月間集計シート!$M$134:$M$153,$G1340,月間集計シート!Q$134:Q$153)*AV$2</f>
        <v>0</v>
      </c>
      <c r="AW1340" s="88">
        <f>SUMIF(月間集計シート!$M$134:$M$153,$G1340,月間集計シート!R$134:R$153)*AW$2</f>
        <v>0</v>
      </c>
      <c r="AX1340" s="88">
        <f>SUMIF(月間集計シート!$M$134:$M$153,$G1340,月間集計シート!S$134:S$153)*AX$2</f>
        <v>0</v>
      </c>
      <c r="AY1340" s="88">
        <f>SUMIF(月間集計シート!$M$134:$M$153,$G1340,月間集計シート!T$134:T$153)*AY$2</f>
        <v>0</v>
      </c>
    </row>
    <row r="1341" spans="1:51" ht="14.25" thickBot="1">
      <c r="A1341">
        <v>16</v>
      </c>
      <c r="B1341" s="120">
        <f t="shared" si="729"/>
        <v>0</v>
      </c>
      <c r="C1341" s="120" t="str">
        <f t="shared" si="730"/>
        <v/>
      </c>
      <c r="D1341" s="137"/>
      <c r="E1341" s="150">
        <f>工種!A58</f>
        <v>70199</v>
      </c>
      <c r="F1341" s="119" t="str">
        <f>工種!B58</f>
        <v>外部不具合修正：その他</v>
      </c>
      <c r="G1341" s="116" t="str">
        <f t="shared" si="731"/>
        <v>070199</v>
      </c>
      <c r="H1341" s="88">
        <f t="shared" si="685"/>
        <v>0</v>
      </c>
      <c r="I1341" s="132"/>
      <c r="J1341" s="88">
        <f>SUMIF(月間集計シート!$M$29:$M$48,$G1341,月間集計シート!N$29:N$48)*J$2</f>
        <v>0</v>
      </c>
      <c r="K1341" s="88">
        <f>SUMIF(月間集計シート!$M$29:$M$48,$G1341,月間集計シート!O$29:O$48)*K$2</f>
        <v>0</v>
      </c>
      <c r="L1341" s="88">
        <f>SUMIF(月間集計シート!$M$29:$M$48,$G1341,月間集計シート!P$29:P$48)*L$2</f>
        <v>0</v>
      </c>
      <c r="M1341" s="88">
        <f>SUMIF(月間集計シート!$M$29:$M$48,$G1341,月間集計シート!Q$29:Q$48)*M$2</f>
        <v>0</v>
      </c>
      <c r="N1341" s="88">
        <f>SUMIF(月間集計シート!$M$29:$M$48,$G1341,月間集計シート!R$29:R$48)*N$2</f>
        <v>0</v>
      </c>
      <c r="O1341" s="88">
        <f>SUMIF(月間集計シート!$M$29:$M$48,$G1341,月間集計シート!S$29:S$48)*O$2</f>
        <v>0</v>
      </c>
      <c r="P1341" s="88">
        <f>SUMIF(月間集計シート!$M$29:$M$48,$G1341,月間集計シート!T$29:T$48)*P$2</f>
        <v>0</v>
      </c>
      <c r="Q1341" s="88">
        <f>SUMIF(月間集計シート!$M$50:$M$69,$G1341,月間集計シート!N$50:N$69)*Q$2</f>
        <v>0</v>
      </c>
      <c r="R1341" s="88">
        <f>SUMIF(月間集計シート!$M$50:$M$69,$G1341,月間集計シート!O$50:O$69)*R$2</f>
        <v>0</v>
      </c>
      <c r="S1341" s="88">
        <f>SUMIF(月間集計シート!$M$50:$M$69,$G1341,月間集計シート!P$50:P$69)*S$2</f>
        <v>0</v>
      </c>
      <c r="T1341" s="88">
        <f>SUMIF(月間集計シート!$M$50:$M$69,$G1341,月間集計シート!Q$50:Q$69)*T$2</f>
        <v>0</v>
      </c>
      <c r="U1341" s="88">
        <f>SUMIF(月間集計シート!$M$50:$M$69,$G1341,月間集計シート!R$50:R$69)*U$2</f>
        <v>0</v>
      </c>
      <c r="V1341" s="88">
        <f>SUMIF(月間集計シート!$M$50:$M$69,$G1341,月間集計シート!S$50:S$69)*V$2</f>
        <v>0</v>
      </c>
      <c r="W1341" s="88">
        <f>SUMIF(月間集計シート!$M$50:$M$69,$G1341,月間集計シート!T$50:T$69)*W$2</f>
        <v>0</v>
      </c>
      <c r="X1341" s="88">
        <f>SUMIF(月間集計シート!$M$71:$M$90,$G1341,月間集計シート!N$71:N$90)*X$2</f>
        <v>0</v>
      </c>
      <c r="Y1341" s="88">
        <f>SUMIF(月間集計シート!$M$71:$M$90,$G1341,月間集計シート!O$71:O$90)*Y$2</f>
        <v>0</v>
      </c>
      <c r="Z1341" s="88">
        <f>SUMIF(月間集計シート!$M$71:$M$90,$G1341,月間集計シート!P$71:P$90)*Z$2</f>
        <v>0</v>
      </c>
      <c r="AA1341" s="88">
        <f>SUMIF(月間集計シート!$M$71:$M$90,$G1341,月間集計シート!Q$71:Q$90)*AA$2</f>
        <v>0</v>
      </c>
      <c r="AB1341" s="88">
        <f>SUMIF(月間集計シート!$M$71:$M$90,$G1341,月間集計シート!R$71:R$90)*AB$2</f>
        <v>0</v>
      </c>
      <c r="AC1341" s="88">
        <f>SUMIF(月間集計シート!$M$71:$M$90,$G1341,月間集計シート!S$71:S$90)*AC$2</f>
        <v>0</v>
      </c>
      <c r="AD1341" s="88">
        <f>SUMIF(月間集計シート!$M$71:$M$90,$G1341,月間集計シート!T$71:T$90)*AD$2</f>
        <v>0</v>
      </c>
      <c r="AE1341" s="88">
        <f>SUMIF(月間集計シート!$M$92:$M$111,$G1341,月間集計シート!N$92:N$111)*AE$2</f>
        <v>0</v>
      </c>
      <c r="AF1341" s="88">
        <f>SUMIF(月間集計シート!$M$92:$M$111,$G1341,月間集計シート!O$92:O$111)*AF$2</f>
        <v>0</v>
      </c>
      <c r="AG1341" s="88">
        <f>SUMIF(月間集計シート!$M$92:$M$111,$G1341,月間集計シート!P$92:P$111)*AG$2</f>
        <v>0</v>
      </c>
      <c r="AH1341" s="88">
        <f>SUMIF(月間集計シート!$M$92:$M$111,$G1341,月間集計シート!Q$92:Q$111)*AH$2</f>
        <v>0</v>
      </c>
      <c r="AI1341" s="88">
        <f>SUMIF(月間集計シート!$M$92:$M$111,$G1341,月間集計シート!R$92:R$111)*AI$2</f>
        <v>0</v>
      </c>
      <c r="AJ1341" s="88">
        <f>SUMIF(月間集計シート!$M$92:$M$111,$G1341,月間集計シート!S$92:S$111)*AJ$2</f>
        <v>0</v>
      </c>
      <c r="AK1341" s="88">
        <f>SUMIF(月間集計シート!$M$92:$M$111,$G1341,月間集計シート!T$92:T$111)*AK$2</f>
        <v>0</v>
      </c>
      <c r="AL1341" s="88">
        <f>SUMIF(月間集計シート!$M$113:$M$132,$G1341,月間集計シート!N$113:N$132)*AL$2</f>
        <v>0</v>
      </c>
      <c r="AM1341" s="88">
        <f>SUMIF(月間集計シート!$M$113:$M$132,$G1341,月間集計シート!O$113:O$132)*AM$2</f>
        <v>0</v>
      </c>
      <c r="AN1341" s="88">
        <f>SUMIF(月間集計シート!$M$113:$M$132,$G1341,月間集計シート!P$113:P$132)*AN$2</f>
        <v>0</v>
      </c>
      <c r="AO1341" s="88">
        <f>SUMIF(月間集計シート!$M$113:$M$132,$G1341,月間集計シート!Q$113:Q$132)*AO$2</f>
        <v>0</v>
      </c>
      <c r="AP1341" s="88">
        <f>SUMIF(月間集計シート!$M$113:$M$132,$G1341,月間集計シート!R$113:R$132)*AP$2</f>
        <v>0</v>
      </c>
      <c r="AQ1341" s="88">
        <f>SUMIF(月間集計シート!$M$113:$M$132,$G1341,月間集計シート!S$113:S$132)*AQ$2</f>
        <v>0</v>
      </c>
      <c r="AR1341" s="88">
        <f>SUMIF(月間集計シート!$M$113:$M$132,$G1341,月間集計シート!T$113:T$132)*AR$2</f>
        <v>0</v>
      </c>
      <c r="AS1341" s="88">
        <f>SUMIF(月間集計シート!$M$134:$M$153,$G1341,月間集計シート!N$134:N$153)*AS$2</f>
        <v>0</v>
      </c>
      <c r="AT1341" s="88">
        <f>SUMIF(月間集計シート!$M$134:$M$153,$G1341,月間集計シート!O$134:O$153)*AT$2</f>
        <v>0</v>
      </c>
      <c r="AU1341" s="88">
        <f>SUMIF(月間集計シート!$M$134:$M$153,$G1341,月間集計シート!P$134:P$153)*AU$2</f>
        <v>0</v>
      </c>
      <c r="AV1341" s="88">
        <f>SUMIF(月間集計シート!$M$134:$M$153,$G1341,月間集計シート!Q$134:Q$153)*AV$2</f>
        <v>0</v>
      </c>
      <c r="AW1341" s="88">
        <f>SUMIF(月間集計シート!$M$134:$M$153,$G1341,月間集計シート!R$134:R$153)*AW$2</f>
        <v>0</v>
      </c>
      <c r="AX1341" s="88">
        <f>SUMIF(月間集計シート!$M$134:$M$153,$G1341,月間集計シート!S$134:S$153)*AX$2</f>
        <v>0</v>
      </c>
      <c r="AY1341" s="88">
        <f>SUMIF(月間集計シート!$M$134:$M$153,$G1341,月間集計シート!T$134:T$153)*AY$2</f>
        <v>0</v>
      </c>
    </row>
    <row r="1342" spans="1:51" ht="14.25" thickBot="1">
      <c r="A1342">
        <v>16</v>
      </c>
      <c r="B1342" s="120">
        <f t="shared" si="729"/>
        <v>0</v>
      </c>
      <c r="C1342" s="120" t="str">
        <f t="shared" si="730"/>
        <v/>
      </c>
      <c r="D1342" s="137"/>
      <c r="E1342" s="150" t="str">
        <f>工種!A59</f>
        <v>80101</v>
      </c>
      <c r="F1342" s="119" t="str">
        <f>工種!B59</f>
        <v>保守／ｻﾎﾟｰﾄ：調査</v>
      </c>
      <c r="G1342" s="116" t="str">
        <f t="shared" si="731"/>
        <v>080101</v>
      </c>
      <c r="H1342" s="88">
        <f t="shared" si="685"/>
        <v>0</v>
      </c>
      <c r="I1342" s="132"/>
      <c r="J1342" s="88">
        <f>SUMIF(月間集計シート!$M$29:$M$48,$G1342,月間集計シート!N$29:N$48)*J$2</f>
        <v>0</v>
      </c>
      <c r="K1342" s="88">
        <f>SUMIF(月間集計シート!$M$29:$M$48,$G1342,月間集計シート!O$29:O$48)*K$2</f>
        <v>0</v>
      </c>
      <c r="L1342" s="88">
        <f>SUMIF(月間集計シート!$M$29:$M$48,$G1342,月間集計シート!P$29:P$48)*L$2</f>
        <v>0</v>
      </c>
      <c r="M1342" s="88">
        <f>SUMIF(月間集計シート!$M$29:$M$48,$G1342,月間集計シート!Q$29:Q$48)*M$2</f>
        <v>0</v>
      </c>
      <c r="N1342" s="88">
        <f>SUMIF(月間集計シート!$M$29:$M$48,$G1342,月間集計シート!R$29:R$48)*N$2</f>
        <v>0</v>
      </c>
      <c r="O1342" s="88">
        <f>SUMIF(月間集計シート!$M$29:$M$48,$G1342,月間集計シート!S$29:S$48)*O$2</f>
        <v>0</v>
      </c>
      <c r="P1342" s="88">
        <f>SUMIF(月間集計シート!$M$29:$M$48,$G1342,月間集計シート!T$29:T$48)*P$2</f>
        <v>0</v>
      </c>
      <c r="Q1342" s="88">
        <f>SUMIF(月間集計シート!$M$50:$M$69,$G1342,月間集計シート!N$50:N$69)*Q$2</f>
        <v>0</v>
      </c>
      <c r="R1342" s="88">
        <f>SUMIF(月間集計シート!$M$50:$M$69,$G1342,月間集計シート!O$50:O$69)*R$2</f>
        <v>0</v>
      </c>
      <c r="S1342" s="88">
        <f>SUMIF(月間集計シート!$M$50:$M$69,$G1342,月間集計シート!P$50:P$69)*S$2</f>
        <v>0</v>
      </c>
      <c r="T1342" s="88">
        <f>SUMIF(月間集計シート!$M$50:$M$69,$G1342,月間集計シート!Q$50:Q$69)*T$2</f>
        <v>0</v>
      </c>
      <c r="U1342" s="88">
        <f>SUMIF(月間集計シート!$M$50:$M$69,$G1342,月間集計シート!R$50:R$69)*U$2</f>
        <v>0</v>
      </c>
      <c r="V1342" s="88">
        <f>SUMIF(月間集計シート!$M$50:$M$69,$G1342,月間集計シート!S$50:S$69)*V$2</f>
        <v>0</v>
      </c>
      <c r="W1342" s="88">
        <f>SUMIF(月間集計シート!$M$50:$M$69,$G1342,月間集計シート!T$50:T$69)*W$2</f>
        <v>0</v>
      </c>
      <c r="X1342" s="88">
        <f>SUMIF(月間集計シート!$M$71:$M$90,$G1342,月間集計シート!N$71:N$90)*X$2</f>
        <v>0</v>
      </c>
      <c r="Y1342" s="88">
        <f>SUMIF(月間集計シート!$M$71:$M$90,$G1342,月間集計シート!O$71:O$90)*Y$2</f>
        <v>0</v>
      </c>
      <c r="Z1342" s="88">
        <f>SUMIF(月間集計シート!$M$71:$M$90,$G1342,月間集計シート!P$71:P$90)*Z$2</f>
        <v>0</v>
      </c>
      <c r="AA1342" s="88">
        <f>SUMIF(月間集計シート!$M$71:$M$90,$G1342,月間集計シート!Q$71:Q$90)*AA$2</f>
        <v>0</v>
      </c>
      <c r="AB1342" s="88">
        <f>SUMIF(月間集計シート!$M$71:$M$90,$G1342,月間集計シート!R$71:R$90)*AB$2</f>
        <v>0</v>
      </c>
      <c r="AC1342" s="88">
        <f>SUMIF(月間集計シート!$M$71:$M$90,$G1342,月間集計シート!S$71:S$90)*AC$2</f>
        <v>0</v>
      </c>
      <c r="AD1342" s="88">
        <f>SUMIF(月間集計シート!$M$71:$M$90,$G1342,月間集計シート!T$71:T$90)*AD$2</f>
        <v>0</v>
      </c>
      <c r="AE1342" s="88">
        <f>SUMIF(月間集計シート!$M$92:$M$111,$G1342,月間集計シート!N$92:N$111)*AE$2</f>
        <v>0</v>
      </c>
      <c r="AF1342" s="88">
        <f>SUMIF(月間集計シート!$M$92:$M$111,$G1342,月間集計シート!O$92:O$111)*AF$2</f>
        <v>0</v>
      </c>
      <c r="AG1342" s="88">
        <f>SUMIF(月間集計シート!$M$92:$M$111,$G1342,月間集計シート!P$92:P$111)*AG$2</f>
        <v>0</v>
      </c>
      <c r="AH1342" s="88">
        <f>SUMIF(月間集計シート!$M$92:$M$111,$G1342,月間集計シート!Q$92:Q$111)*AH$2</f>
        <v>0</v>
      </c>
      <c r="AI1342" s="88">
        <f>SUMIF(月間集計シート!$M$92:$M$111,$G1342,月間集計シート!R$92:R$111)*AI$2</f>
        <v>0</v>
      </c>
      <c r="AJ1342" s="88">
        <f>SUMIF(月間集計シート!$M$92:$M$111,$G1342,月間集計シート!S$92:S$111)*AJ$2</f>
        <v>0</v>
      </c>
      <c r="AK1342" s="88">
        <f>SUMIF(月間集計シート!$M$92:$M$111,$G1342,月間集計シート!T$92:T$111)*AK$2</f>
        <v>0</v>
      </c>
      <c r="AL1342" s="88">
        <f>SUMIF(月間集計シート!$M$113:$M$132,$G1342,月間集計シート!N$113:N$132)*AL$2</f>
        <v>0</v>
      </c>
      <c r="AM1342" s="88">
        <f>SUMIF(月間集計シート!$M$113:$M$132,$G1342,月間集計シート!O$113:O$132)*AM$2</f>
        <v>0</v>
      </c>
      <c r="AN1342" s="88">
        <f>SUMIF(月間集計シート!$M$113:$M$132,$G1342,月間集計シート!P$113:P$132)*AN$2</f>
        <v>0</v>
      </c>
      <c r="AO1342" s="88">
        <f>SUMIF(月間集計シート!$M$113:$M$132,$G1342,月間集計シート!Q$113:Q$132)*AO$2</f>
        <v>0</v>
      </c>
      <c r="AP1342" s="88">
        <f>SUMIF(月間集計シート!$M$113:$M$132,$G1342,月間集計シート!R$113:R$132)*AP$2</f>
        <v>0</v>
      </c>
      <c r="AQ1342" s="88">
        <f>SUMIF(月間集計シート!$M$113:$M$132,$G1342,月間集計シート!S$113:S$132)*AQ$2</f>
        <v>0</v>
      </c>
      <c r="AR1342" s="88">
        <f>SUMIF(月間集計シート!$M$113:$M$132,$G1342,月間集計シート!T$113:T$132)*AR$2</f>
        <v>0</v>
      </c>
      <c r="AS1342" s="88">
        <f>SUMIF(月間集計シート!$M$134:$M$153,$G1342,月間集計シート!N$134:N$153)*AS$2</f>
        <v>0</v>
      </c>
      <c r="AT1342" s="88">
        <f>SUMIF(月間集計シート!$M$134:$M$153,$G1342,月間集計シート!O$134:O$153)*AT$2</f>
        <v>0</v>
      </c>
      <c r="AU1342" s="88">
        <f>SUMIF(月間集計シート!$M$134:$M$153,$G1342,月間集計シート!P$134:P$153)*AU$2</f>
        <v>0</v>
      </c>
      <c r="AV1342" s="88">
        <f>SUMIF(月間集計シート!$M$134:$M$153,$G1342,月間集計シート!Q$134:Q$153)*AV$2</f>
        <v>0</v>
      </c>
      <c r="AW1342" s="88">
        <f>SUMIF(月間集計シート!$M$134:$M$153,$G1342,月間集計シート!R$134:R$153)*AW$2</f>
        <v>0</v>
      </c>
      <c r="AX1342" s="88">
        <f>SUMIF(月間集計シート!$M$134:$M$153,$G1342,月間集計シート!S$134:S$153)*AX$2</f>
        <v>0</v>
      </c>
      <c r="AY1342" s="88">
        <f>SUMIF(月間集計シート!$M$134:$M$153,$G1342,月間集計シート!T$134:T$153)*AY$2</f>
        <v>0</v>
      </c>
    </row>
    <row r="1343" spans="1:51" ht="14.25" thickBot="1">
      <c r="A1343">
        <v>16</v>
      </c>
      <c r="B1343" s="120">
        <f t="shared" si="729"/>
        <v>0</v>
      </c>
      <c r="C1343" s="120" t="str">
        <f t="shared" si="730"/>
        <v/>
      </c>
      <c r="D1343" s="137"/>
      <c r="E1343" s="150" t="str">
        <f>工種!A60</f>
        <v>80102</v>
      </c>
      <c r="F1343" s="119" t="str">
        <f>工種!B60</f>
        <v>保守／ｻﾎﾟｰﾄ：社内問い合わせ</v>
      </c>
      <c r="G1343" s="116" t="str">
        <f t="shared" si="731"/>
        <v>080102</v>
      </c>
      <c r="H1343" s="88">
        <f t="shared" si="685"/>
        <v>0</v>
      </c>
      <c r="I1343" s="132"/>
      <c r="J1343" s="88">
        <f>SUMIF(月間集計シート!$M$29:$M$48,$G1343,月間集計シート!N$29:N$48)*J$2</f>
        <v>0</v>
      </c>
      <c r="K1343" s="88">
        <f>SUMIF(月間集計シート!$M$29:$M$48,$G1343,月間集計シート!O$29:O$48)*K$2</f>
        <v>0</v>
      </c>
      <c r="L1343" s="88">
        <f>SUMIF(月間集計シート!$M$29:$M$48,$G1343,月間集計シート!P$29:P$48)*L$2</f>
        <v>0</v>
      </c>
      <c r="M1343" s="88">
        <f>SUMIF(月間集計シート!$M$29:$M$48,$G1343,月間集計シート!Q$29:Q$48)*M$2</f>
        <v>0</v>
      </c>
      <c r="N1343" s="88">
        <f>SUMIF(月間集計シート!$M$29:$M$48,$G1343,月間集計シート!R$29:R$48)*N$2</f>
        <v>0</v>
      </c>
      <c r="O1343" s="88">
        <f>SUMIF(月間集計シート!$M$29:$M$48,$G1343,月間集計シート!S$29:S$48)*O$2</f>
        <v>0</v>
      </c>
      <c r="P1343" s="88">
        <f>SUMIF(月間集計シート!$M$29:$M$48,$G1343,月間集計シート!T$29:T$48)*P$2</f>
        <v>0</v>
      </c>
      <c r="Q1343" s="88">
        <f>SUMIF(月間集計シート!$M$50:$M$69,$G1343,月間集計シート!N$50:N$69)*Q$2</f>
        <v>0</v>
      </c>
      <c r="R1343" s="88">
        <f>SUMIF(月間集計シート!$M$50:$M$69,$G1343,月間集計シート!O$50:O$69)*R$2</f>
        <v>0</v>
      </c>
      <c r="S1343" s="88">
        <f>SUMIF(月間集計シート!$M$50:$M$69,$G1343,月間集計シート!P$50:P$69)*S$2</f>
        <v>0</v>
      </c>
      <c r="T1343" s="88">
        <f>SUMIF(月間集計シート!$M$50:$M$69,$G1343,月間集計シート!Q$50:Q$69)*T$2</f>
        <v>0</v>
      </c>
      <c r="U1343" s="88">
        <f>SUMIF(月間集計シート!$M$50:$M$69,$G1343,月間集計シート!R$50:R$69)*U$2</f>
        <v>0</v>
      </c>
      <c r="V1343" s="88">
        <f>SUMIF(月間集計シート!$M$50:$M$69,$G1343,月間集計シート!S$50:S$69)*V$2</f>
        <v>0</v>
      </c>
      <c r="W1343" s="88">
        <f>SUMIF(月間集計シート!$M$50:$M$69,$G1343,月間集計シート!T$50:T$69)*W$2</f>
        <v>0</v>
      </c>
      <c r="X1343" s="88">
        <f>SUMIF(月間集計シート!$M$71:$M$90,$G1343,月間集計シート!N$71:N$90)*X$2</f>
        <v>0</v>
      </c>
      <c r="Y1343" s="88">
        <f>SUMIF(月間集計シート!$M$71:$M$90,$G1343,月間集計シート!O$71:O$90)*Y$2</f>
        <v>0</v>
      </c>
      <c r="Z1343" s="88">
        <f>SUMIF(月間集計シート!$M$71:$M$90,$G1343,月間集計シート!P$71:P$90)*Z$2</f>
        <v>0</v>
      </c>
      <c r="AA1343" s="88">
        <f>SUMIF(月間集計シート!$M$71:$M$90,$G1343,月間集計シート!Q$71:Q$90)*AA$2</f>
        <v>0</v>
      </c>
      <c r="AB1343" s="88">
        <f>SUMIF(月間集計シート!$M$71:$M$90,$G1343,月間集計シート!R$71:R$90)*AB$2</f>
        <v>0</v>
      </c>
      <c r="AC1343" s="88">
        <f>SUMIF(月間集計シート!$M$71:$M$90,$G1343,月間集計シート!S$71:S$90)*AC$2</f>
        <v>0</v>
      </c>
      <c r="AD1343" s="88">
        <f>SUMIF(月間集計シート!$M$71:$M$90,$G1343,月間集計シート!T$71:T$90)*AD$2</f>
        <v>0</v>
      </c>
      <c r="AE1343" s="88">
        <f>SUMIF(月間集計シート!$M$92:$M$111,$G1343,月間集計シート!N$92:N$111)*AE$2</f>
        <v>0</v>
      </c>
      <c r="AF1343" s="88">
        <f>SUMIF(月間集計シート!$M$92:$M$111,$G1343,月間集計シート!O$92:O$111)*AF$2</f>
        <v>0</v>
      </c>
      <c r="AG1343" s="88">
        <f>SUMIF(月間集計シート!$M$92:$M$111,$G1343,月間集計シート!P$92:P$111)*AG$2</f>
        <v>0</v>
      </c>
      <c r="AH1343" s="88">
        <f>SUMIF(月間集計シート!$M$92:$M$111,$G1343,月間集計シート!Q$92:Q$111)*AH$2</f>
        <v>0</v>
      </c>
      <c r="AI1343" s="88">
        <f>SUMIF(月間集計シート!$M$92:$M$111,$G1343,月間集計シート!R$92:R$111)*AI$2</f>
        <v>0</v>
      </c>
      <c r="AJ1343" s="88">
        <f>SUMIF(月間集計シート!$M$92:$M$111,$G1343,月間集計シート!S$92:S$111)*AJ$2</f>
        <v>0</v>
      </c>
      <c r="AK1343" s="88">
        <f>SUMIF(月間集計シート!$M$92:$M$111,$G1343,月間集計シート!T$92:T$111)*AK$2</f>
        <v>0</v>
      </c>
      <c r="AL1343" s="88">
        <f>SUMIF(月間集計シート!$M$113:$M$132,$G1343,月間集計シート!N$113:N$132)*AL$2</f>
        <v>0</v>
      </c>
      <c r="AM1343" s="88">
        <f>SUMIF(月間集計シート!$M$113:$M$132,$G1343,月間集計シート!O$113:O$132)*AM$2</f>
        <v>0</v>
      </c>
      <c r="AN1343" s="88">
        <f>SUMIF(月間集計シート!$M$113:$M$132,$G1343,月間集計シート!P$113:P$132)*AN$2</f>
        <v>0</v>
      </c>
      <c r="AO1343" s="88">
        <f>SUMIF(月間集計シート!$M$113:$M$132,$G1343,月間集計シート!Q$113:Q$132)*AO$2</f>
        <v>0</v>
      </c>
      <c r="AP1343" s="88">
        <f>SUMIF(月間集計シート!$M$113:$M$132,$G1343,月間集計シート!R$113:R$132)*AP$2</f>
        <v>0</v>
      </c>
      <c r="AQ1343" s="88">
        <f>SUMIF(月間集計シート!$M$113:$M$132,$G1343,月間集計シート!S$113:S$132)*AQ$2</f>
        <v>0</v>
      </c>
      <c r="AR1343" s="88">
        <f>SUMIF(月間集計シート!$M$113:$M$132,$G1343,月間集計シート!T$113:T$132)*AR$2</f>
        <v>0</v>
      </c>
      <c r="AS1343" s="88">
        <f>SUMIF(月間集計シート!$M$134:$M$153,$G1343,月間集計シート!N$134:N$153)*AS$2</f>
        <v>0</v>
      </c>
      <c r="AT1343" s="88">
        <f>SUMIF(月間集計シート!$M$134:$M$153,$G1343,月間集計シート!O$134:O$153)*AT$2</f>
        <v>0</v>
      </c>
      <c r="AU1343" s="88">
        <f>SUMIF(月間集計シート!$M$134:$M$153,$G1343,月間集計シート!P$134:P$153)*AU$2</f>
        <v>0</v>
      </c>
      <c r="AV1343" s="88">
        <f>SUMIF(月間集計シート!$M$134:$M$153,$G1343,月間集計シート!Q$134:Q$153)*AV$2</f>
        <v>0</v>
      </c>
      <c r="AW1343" s="88">
        <f>SUMIF(月間集計シート!$M$134:$M$153,$G1343,月間集計シート!R$134:R$153)*AW$2</f>
        <v>0</v>
      </c>
      <c r="AX1343" s="88">
        <f>SUMIF(月間集計シート!$M$134:$M$153,$G1343,月間集計シート!S$134:S$153)*AX$2</f>
        <v>0</v>
      </c>
      <c r="AY1343" s="88">
        <f>SUMIF(月間集計シート!$M$134:$M$153,$G1343,月間集計シート!T$134:T$153)*AY$2</f>
        <v>0</v>
      </c>
    </row>
    <row r="1344" spans="1:51" ht="14.25" thickBot="1">
      <c r="A1344">
        <v>16</v>
      </c>
      <c r="B1344" s="120">
        <f t="shared" si="729"/>
        <v>0</v>
      </c>
      <c r="C1344" s="120" t="str">
        <f t="shared" si="730"/>
        <v/>
      </c>
      <c r="D1344" s="137"/>
      <c r="E1344" s="150" t="str">
        <f>工種!A61</f>
        <v>80103</v>
      </c>
      <c r="F1344" s="119" t="str">
        <f>工種!B61</f>
        <v>保守／ｻﾎﾟｰﾄ：支社・他部門支援</v>
      </c>
      <c r="G1344" s="116" t="str">
        <f t="shared" si="731"/>
        <v>080103</v>
      </c>
      <c r="H1344" s="88">
        <f t="shared" si="685"/>
        <v>0</v>
      </c>
      <c r="I1344" s="132"/>
      <c r="J1344" s="88">
        <f>SUMIF(月間集計シート!$M$29:$M$48,$G1344,月間集計シート!N$29:N$48)*J$2</f>
        <v>0</v>
      </c>
      <c r="K1344" s="88">
        <f>SUMIF(月間集計シート!$M$29:$M$48,$G1344,月間集計シート!O$29:O$48)*K$2</f>
        <v>0</v>
      </c>
      <c r="L1344" s="88">
        <f>SUMIF(月間集計シート!$M$29:$M$48,$G1344,月間集計シート!P$29:P$48)*L$2</f>
        <v>0</v>
      </c>
      <c r="M1344" s="88">
        <f>SUMIF(月間集計シート!$M$29:$M$48,$G1344,月間集計シート!Q$29:Q$48)*M$2</f>
        <v>0</v>
      </c>
      <c r="N1344" s="88">
        <f>SUMIF(月間集計シート!$M$29:$M$48,$G1344,月間集計シート!R$29:R$48)*N$2</f>
        <v>0</v>
      </c>
      <c r="O1344" s="88">
        <f>SUMIF(月間集計シート!$M$29:$M$48,$G1344,月間集計シート!S$29:S$48)*O$2</f>
        <v>0</v>
      </c>
      <c r="P1344" s="88">
        <f>SUMIF(月間集計シート!$M$29:$M$48,$G1344,月間集計シート!T$29:T$48)*P$2</f>
        <v>0</v>
      </c>
      <c r="Q1344" s="88">
        <f>SUMIF(月間集計シート!$M$50:$M$69,$G1344,月間集計シート!N$50:N$69)*Q$2</f>
        <v>0</v>
      </c>
      <c r="R1344" s="88">
        <f>SUMIF(月間集計シート!$M$50:$M$69,$G1344,月間集計シート!O$50:O$69)*R$2</f>
        <v>0</v>
      </c>
      <c r="S1344" s="88">
        <f>SUMIF(月間集計シート!$M$50:$M$69,$G1344,月間集計シート!P$50:P$69)*S$2</f>
        <v>0</v>
      </c>
      <c r="T1344" s="88">
        <f>SUMIF(月間集計シート!$M$50:$M$69,$G1344,月間集計シート!Q$50:Q$69)*T$2</f>
        <v>0</v>
      </c>
      <c r="U1344" s="88">
        <f>SUMIF(月間集計シート!$M$50:$M$69,$G1344,月間集計シート!R$50:R$69)*U$2</f>
        <v>0</v>
      </c>
      <c r="V1344" s="88">
        <f>SUMIF(月間集計シート!$M$50:$M$69,$G1344,月間集計シート!S$50:S$69)*V$2</f>
        <v>0</v>
      </c>
      <c r="W1344" s="88">
        <f>SUMIF(月間集計シート!$M$50:$M$69,$G1344,月間集計シート!T$50:T$69)*W$2</f>
        <v>0</v>
      </c>
      <c r="X1344" s="88">
        <f>SUMIF(月間集計シート!$M$71:$M$90,$G1344,月間集計シート!N$71:N$90)*X$2</f>
        <v>0</v>
      </c>
      <c r="Y1344" s="88">
        <f>SUMIF(月間集計シート!$M$71:$M$90,$G1344,月間集計シート!O$71:O$90)*Y$2</f>
        <v>0</v>
      </c>
      <c r="Z1344" s="88">
        <f>SUMIF(月間集計シート!$M$71:$M$90,$G1344,月間集計シート!P$71:P$90)*Z$2</f>
        <v>0</v>
      </c>
      <c r="AA1344" s="88">
        <f>SUMIF(月間集計シート!$M$71:$M$90,$G1344,月間集計シート!Q$71:Q$90)*AA$2</f>
        <v>0</v>
      </c>
      <c r="AB1344" s="88">
        <f>SUMIF(月間集計シート!$M$71:$M$90,$G1344,月間集計シート!R$71:R$90)*AB$2</f>
        <v>0</v>
      </c>
      <c r="AC1344" s="88">
        <f>SUMIF(月間集計シート!$M$71:$M$90,$G1344,月間集計シート!S$71:S$90)*AC$2</f>
        <v>0</v>
      </c>
      <c r="AD1344" s="88">
        <f>SUMIF(月間集計シート!$M$71:$M$90,$G1344,月間集計シート!T$71:T$90)*AD$2</f>
        <v>0</v>
      </c>
      <c r="AE1344" s="88">
        <f>SUMIF(月間集計シート!$M$92:$M$111,$G1344,月間集計シート!N$92:N$111)*AE$2</f>
        <v>0</v>
      </c>
      <c r="AF1344" s="88">
        <f>SUMIF(月間集計シート!$M$92:$M$111,$G1344,月間集計シート!O$92:O$111)*AF$2</f>
        <v>0</v>
      </c>
      <c r="AG1344" s="88">
        <f>SUMIF(月間集計シート!$M$92:$M$111,$G1344,月間集計シート!P$92:P$111)*AG$2</f>
        <v>0</v>
      </c>
      <c r="AH1344" s="88">
        <f>SUMIF(月間集計シート!$M$92:$M$111,$G1344,月間集計シート!Q$92:Q$111)*AH$2</f>
        <v>0</v>
      </c>
      <c r="AI1344" s="88">
        <f>SUMIF(月間集計シート!$M$92:$M$111,$G1344,月間集計シート!R$92:R$111)*AI$2</f>
        <v>0</v>
      </c>
      <c r="AJ1344" s="88">
        <f>SUMIF(月間集計シート!$M$92:$M$111,$G1344,月間集計シート!S$92:S$111)*AJ$2</f>
        <v>0</v>
      </c>
      <c r="AK1344" s="88">
        <f>SUMIF(月間集計シート!$M$92:$M$111,$G1344,月間集計シート!T$92:T$111)*AK$2</f>
        <v>0</v>
      </c>
      <c r="AL1344" s="88">
        <f>SUMIF(月間集計シート!$M$113:$M$132,$G1344,月間集計シート!N$113:N$132)*AL$2</f>
        <v>0</v>
      </c>
      <c r="AM1344" s="88">
        <f>SUMIF(月間集計シート!$M$113:$M$132,$G1344,月間集計シート!O$113:O$132)*AM$2</f>
        <v>0</v>
      </c>
      <c r="AN1344" s="88">
        <f>SUMIF(月間集計シート!$M$113:$M$132,$G1344,月間集計シート!P$113:P$132)*AN$2</f>
        <v>0</v>
      </c>
      <c r="AO1344" s="88">
        <f>SUMIF(月間集計シート!$M$113:$M$132,$G1344,月間集計シート!Q$113:Q$132)*AO$2</f>
        <v>0</v>
      </c>
      <c r="AP1344" s="88">
        <f>SUMIF(月間集計シート!$M$113:$M$132,$G1344,月間集計シート!R$113:R$132)*AP$2</f>
        <v>0</v>
      </c>
      <c r="AQ1344" s="88">
        <f>SUMIF(月間集計シート!$M$113:$M$132,$G1344,月間集計シート!S$113:S$132)*AQ$2</f>
        <v>0</v>
      </c>
      <c r="AR1344" s="88">
        <f>SUMIF(月間集計シート!$M$113:$M$132,$G1344,月間集計シート!T$113:T$132)*AR$2</f>
        <v>0</v>
      </c>
      <c r="AS1344" s="88">
        <f>SUMIF(月間集計シート!$M$134:$M$153,$G1344,月間集計シート!N$134:N$153)*AS$2</f>
        <v>0</v>
      </c>
      <c r="AT1344" s="88">
        <f>SUMIF(月間集計シート!$M$134:$M$153,$G1344,月間集計シート!O$134:O$153)*AT$2</f>
        <v>0</v>
      </c>
      <c r="AU1344" s="88">
        <f>SUMIF(月間集計シート!$M$134:$M$153,$G1344,月間集計シート!P$134:P$153)*AU$2</f>
        <v>0</v>
      </c>
      <c r="AV1344" s="88">
        <f>SUMIF(月間集計シート!$M$134:$M$153,$G1344,月間集計シート!Q$134:Q$153)*AV$2</f>
        <v>0</v>
      </c>
      <c r="AW1344" s="88">
        <f>SUMIF(月間集計シート!$M$134:$M$153,$G1344,月間集計シート!R$134:R$153)*AW$2</f>
        <v>0</v>
      </c>
      <c r="AX1344" s="88">
        <f>SUMIF(月間集計シート!$M$134:$M$153,$G1344,月間集計シート!S$134:S$153)*AX$2</f>
        <v>0</v>
      </c>
      <c r="AY1344" s="88">
        <f>SUMIF(月間集計シート!$M$134:$M$153,$G1344,月間集計シート!T$134:T$153)*AY$2</f>
        <v>0</v>
      </c>
    </row>
    <row r="1345" spans="1:51" ht="14.25" thickBot="1">
      <c r="A1345">
        <v>16</v>
      </c>
      <c r="B1345" s="120">
        <f t="shared" si="729"/>
        <v>0</v>
      </c>
      <c r="C1345" s="120" t="str">
        <f t="shared" si="730"/>
        <v/>
      </c>
      <c r="D1345" s="137"/>
      <c r="E1345" s="150" t="str">
        <f>工種!A62</f>
        <v>80104</v>
      </c>
      <c r="F1345" s="119" t="str">
        <f>工種!B62</f>
        <v>保守／ｻﾎﾟｰﾄ：連絡文書作成・更新</v>
      </c>
      <c r="G1345" s="116" t="str">
        <f t="shared" si="731"/>
        <v>080104</v>
      </c>
      <c r="H1345" s="88">
        <f t="shared" si="685"/>
        <v>0</v>
      </c>
      <c r="I1345" s="132"/>
      <c r="J1345" s="88">
        <f>SUMIF(月間集計シート!$M$29:$M$48,$G1345,月間集計シート!N$29:N$48)*J$2</f>
        <v>0</v>
      </c>
      <c r="K1345" s="88">
        <f>SUMIF(月間集計シート!$M$29:$M$48,$G1345,月間集計シート!O$29:O$48)*K$2</f>
        <v>0</v>
      </c>
      <c r="L1345" s="88">
        <f>SUMIF(月間集計シート!$M$29:$M$48,$G1345,月間集計シート!P$29:P$48)*L$2</f>
        <v>0</v>
      </c>
      <c r="M1345" s="88">
        <f>SUMIF(月間集計シート!$M$29:$M$48,$G1345,月間集計シート!Q$29:Q$48)*M$2</f>
        <v>0</v>
      </c>
      <c r="N1345" s="88">
        <f>SUMIF(月間集計シート!$M$29:$M$48,$G1345,月間集計シート!R$29:R$48)*N$2</f>
        <v>0</v>
      </c>
      <c r="O1345" s="88">
        <f>SUMIF(月間集計シート!$M$29:$M$48,$G1345,月間集計シート!S$29:S$48)*O$2</f>
        <v>0</v>
      </c>
      <c r="P1345" s="88">
        <f>SUMIF(月間集計シート!$M$29:$M$48,$G1345,月間集計シート!T$29:T$48)*P$2</f>
        <v>0</v>
      </c>
      <c r="Q1345" s="88">
        <f>SUMIF(月間集計シート!$M$50:$M$69,$G1345,月間集計シート!N$50:N$69)*Q$2</f>
        <v>0</v>
      </c>
      <c r="R1345" s="88">
        <f>SUMIF(月間集計シート!$M$50:$M$69,$G1345,月間集計シート!O$50:O$69)*R$2</f>
        <v>0</v>
      </c>
      <c r="S1345" s="88">
        <f>SUMIF(月間集計シート!$M$50:$M$69,$G1345,月間集計シート!P$50:P$69)*S$2</f>
        <v>0</v>
      </c>
      <c r="T1345" s="88">
        <f>SUMIF(月間集計シート!$M$50:$M$69,$G1345,月間集計シート!Q$50:Q$69)*T$2</f>
        <v>0</v>
      </c>
      <c r="U1345" s="88">
        <f>SUMIF(月間集計シート!$M$50:$M$69,$G1345,月間集計シート!R$50:R$69)*U$2</f>
        <v>0</v>
      </c>
      <c r="V1345" s="88">
        <f>SUMIF(月間集計シート!$M$50:$M$69,$G1345,月間集計シート!S$50:S$69)*V$2</f>
        <v>0</v>
      </c>
      <c r="W1345" s="88">
        <f>SUMIF(月間集計シート!$M$50:$M$69,$G1345,月間集計シート!T$50:T$69)*W$2</f>
        <v>0</v>
      </c>
      <c r="X1345" s="88">
        <f>SUMIF(月間集計シート!$M$71:$M$90,$G1345,月間集計シート!N$71:N$90)*X$2</f>
        <v>0</v>
      </c>
      <c r="Y1345" s="88">
        <f>SUMIF(月間集計シート!$M$71:$M$90,$G1345,月間集計シート!O$71:O$90)*Y$2</f>
        <v>0</v>
      </c>
      <c r="Z1345" s="88">
        <f>SUMIF(月間集計シート!$M$71:$M$90,$G1345,月間集計シート!P$71:P$90)*Z$2</f>
        <v>0</v>
      </c>
      <c r="AA1345" s="88">
        <f>SUMIF(月間集計シート!$M$71:$M$90,$G1345,月間集計シート!Q$71:Q$90)*AA$2</f>
        <v>0</v>
      </c>
      <c r="AB1345" s="88">
        <f>SUMIF(月間集計シート!$M$71:$M$90,$G1345,月間集計シート!R$71:R$90)*AB$2</f>
        <v>0</v>
      </c>
      <c r="AC1345" s="88">
        <f>SUMIF(月間集計シート!$M$71:$M$90,$G1345,月間集計シート!S$71:S$90)*AC$2</f>
        <v>0</v>
      </c>
      <c r="AD1345" s="88">
        <f>SUMIF(月間集計シート!$M$71:$M$90,$G1345,月間集計シート!T$71:T$90)*AD$2</f>
        <v>0</v>
      </c>
      <c r="AE1345" s="88">
        <f>SUMIF(月間集計シート!$M$92:$M$111,$G1345,月間集計シート!N$92:N$111)*AE$2</f>
        <v>0</v>
      </c>
      <c r="AF1345" s="88">
        <f>SUMIF(月間集計シート!$M$92:$M$111,$G1345,月間集計シート!O$92:O$111)*AF$2</f>
        <v>0</v>
      </c>
      <c r="AG1345" s="88">
        <f>SUMIF(月間集計シート!$M$92:$M$111,$G1345,月間集計シート!P$92:P$111)*AG$2</f>
        <v>0</v>
      </c>
      <c r="AH1345" s="88">
        <f>SUMIF(月間集計シート!$M$92:$M$111,$G1345,月間集計シート!Q$92:Q$111)*AH$2</f>
        <v>0</v>
      </c>
      <c r="AI1345" s="88">
        <f>SUMIF(月間集計シート!$M$92:$M$111,$G1345,月間集計シート!R$92:R$111)*AI$2</f>
        <v>0</v>
      </c>
      <c r="AJ1345" s="88">
        <f>SUMIF(月間集計シート!$M$92:$M$111,$G1345,月間集計シート!S$92:S$111)*AJ$2</f>
        <v>0</v>
      </c>
      <c r="AK1345" s="88">
        <f>SUMIF(月間集計シート!$M$92:$M$111,$G1345,月間集計シート!T$92:T$111)*AK$2</f>
        <v>0</v>
      </c>
      <c r="AL1345" s="88">
        <f>SUMIF(月間集計シート!$M$113:$M$132,$G1345,月間集計シート!N$113:N$132)*AL$2</f>
        <v>0</v>
      </c>
      <c r="AM1345" s="88">
        <f>SUMIF(月間集計シート!$M$113:$M$132,$G1345,月間集計シート!O$113:O$132)*AM$2</f>
        <v>0</v>
      </c>
      <c r="AN1345" s="88">
        <f>SUMIF(月間集計シート!$M$113:$M$132,$G1345,月間集計シート!P$113:P$132)*AN$2</f>
        <v>0</v>
      </c>
      <c r="AO1345" s="88">
        <f>SUMIF(月間集計シート!$M$113:$M$132,$G1345,月間集計シート!Q$113:Q$132)*AO$2</f>
        <v>0</v>
      </c>
      <c r="AP1345" s="88">
        <f>SUMIF(月間集計シート!$M$113:$M$132,$G1345,月間集計シート!R$113:R$132)*AP$2</f>
        <v>0</v>
      </c>
      <c r="AQ1345" s="88">
        <f>SUMIF(月間集計シート!$M$113:$M$132,$G1345,月間集計シート!S$113:S$132)*AQ$2</f>
        <v>0</v>
      </c>
      <c r="AR1345" s="88">
        <f>SUMIF(月間集計シート!$M$113:$M$132,$G1345,月間集計シート!T$113:T$132)*AR$2</f>
        <v>0</v>
      </c>
      <c r="AS1345" s="88">
        <f>SUMIF(月間集計シート!$M$134:$M$153,$G1345,月間集計シート!N$134:N$153)*AS$2</f>
        <v>0</v>
      </c>
      <c r="AT1345" s="88">
        <f>SUMIF(月間集計シート!$M$134:$M$153,$G1345,月間集計シート!O$134:O$153)*AT$2</f>
        <v>0</v>
      </c>
      <c r="AU1345" s="88">
        <f>SUMIF(月間集計シート!$M$134:$M$153,$G1345,月間集計シート!P$134:P$153)*AU$2</f>
        <v>0</v>
      </c>
      <c r="AV1345" s="88">
        <f>SUMIF(月間集計シート!$M$134:$M$153,$G1345,月間集計シート!Q$134:Q$153)*AV$2</f>
        <v>0</v>
      </c>
      <c r="AW1345" s="88">
        <f>SUMIF(月間集計シート!$M$134:$M$153,$G1345,月間集計シート!R$134:R$153)*AW$2</f>
        <v>0</v>
      </c>
      <c r="AX1345" s="88">
        <f>SUMIF(月間集計シート!$M$134:$M$153,$G1345,月間集計シート!S$134:S$153)*AX$2</f>
        <v>0</v>
      </c>
      <c r="AY1345" s="88">
        <f>SUMIF(月間集計シート!$M$134:$M$153,$G1345,月間集計シート!T$134:T$153)*AY$2</f>
        <v>0</v>
      </c>
    </row>
    <row r="1346" spans="1:51" ht="14.25" thickBot="1">
      <c r="A1346">
        <v>16</v>
      </c>
      <c r="B1346" s="120">
        <f t="shared" si="729"/>
        <v>0</v>
      </c>
      <c r="C1346" s="120" t="str">
        <f t="shared" si="730"/>
        <v/>
      </c>
      <c r="D1346" s="137"/>
      <c r="E1346" s="150" t="str">
        <f>工種!A63</f>
        <v>80105</v>
      </c>
      <c r="F1346" s="119" t="str">
        <f>工種!B63</f>
        <v>保守／ｻﾎﾟｰﾄ：ｲﾝﾄﾗ資料更新</v>
      </c>
      <c r="G1346" s="116" t="str">
        <f t="shared" ref="G1346:G1363" si="732">B1346&amp;E1346</f>
        <v>080105</v>
      </c>
      <c r="H1346" s="88">
        <f t="shared" ref="H1346:H1347" si="733">SUM(J1346:AY1346)</f>
        <v>0</v>
      </c>
      <c r="I1346" s="132"/>
      <c r="J1346" s="88">
        <f>SUMIF(月間集計シート!$M$29:$M$48,$G1346,月間集計シート!N$29:N$48)*J$2</f>
        <v>0</v>
      </c>
      <c r="K1346" s="88">
        <f>SUMIF(月間集計シート!$M$29:$M$48,$G1346,月間集計シート!O$29:O$48)*K$2</f>
        <v>0</v>
      </c>
      <c r="L1346" s="88">
        <f>SUMIF(月間集計シート!$M$29:$M$48,$G1346,月間集計シート!P$29:P$48)*L$2</f>
        <v>0</v>
      </c>
      <c r="M1346" s="88">
        <f>SUMIF(月間集計シート!$M$29:$M$48,$G1346,月間集計シート!Q$29:Q$48)*M$2</f>
        <v>0</v>
      </c>
      <c r="N1346" s="88">
        <f>SUMIF(月間集計シート!$M$29:$M$48,$G1346,月間集計シート!R$29:R$48)*N$2</f>
        <v>0</v>
      </c>
      <c r="O1346" s="88">
        <f>SUMIF(月間集計シート!$M$29:$M$48,$G1346,月間集計シート!S$29:S$48)*O$2</f>
        <v>0</v>
      </c>
      <c r="P1346" s="88">
        <f>SUMIF(月間集計シート!$M$29:$M$48,$G1346,月間集計シート!T$29:T$48)*P$2</f>
        <v>0</v>
      </c>
      <c r="Q1346" s="88">
        <f>SUMIF(月間集計シート!$M$50:$M$69,$G1346,月間集計シート!N$50:N$69)*Q$2</f>
        <v>0</v>
      </c>
      <c r="R1346" s="88">
        <f>SUMIF(月間集計シート!$M$50:$M$69,$G1346,月間集計シート!O$50:O$69)*R$2</f>
        <v>0</v>
      </c>
      <c r="S1346" s="88">
        <f>SUMIF(月間集計シート!$M$50:$M$69,$G1346,月間集計シート!P$50:P$69)*S$2</f>
        <v>0</v>
      </c>
      <c r="T1346" s="88">
        <f>SUMIF(月間集計シート!$M$50:$M$69,$G1346,月間集計シート!Q$50:Q$69)*T$2</f>
        <v>0</v>
      </c>
      <c r="U1346" s="88">
        <f>SUMIF(月間集計シート!$M$50:$M$69,$G1346,月間集計シート!R$50:R$69)*U$2</f>
        <v>0</v>
      </c>
      <c r="V1346" s="88">
        <f>SUMIF(月間集計シート!$M$50:$M$69,$G1346,月間集計シート!S$50:S$69)*V$2</f>
        <v>0</v>
      </c>
      <c r="W1346" s="88">
        <f>SUMIF(月間集計シート!$M$50:$M$69,$G1346,月間集計シート!T$50:T$69)*W$2</f>
        <v>0</v>
      </c>
      <c r="X1346" s="88">
        <f>SUMIF(月間集計シート!$M$71:$M$90,$G1346,月間集計シート!N$71:N$90)*X$2</f>
        <v>0</v>
      </c>
      <c r="Y1346" s="88">
        <f>SUMIF(月間集計シート!$M$71:$M$90,$G1346,月間集計シート!O$71:O$90)*Y$2</f>
        <v>0</v>
      </c>
      <c r="Z1346" s="88">
        <f>SUMIF(月間集計シート!$M$71:$M$90,$G1346,月間集計シート!P$71:P$90)*Z$2</f>
        <v>0</v>
      </c>
      <c r="AA1346" s="88">
        <f>SUMIF(月間集計シート!$M$71:$M$90,$G1346,月間集計シート!Q$71:Q$90)*AA$2</f>
        <v>0</v>
      </c>
      <c r="AB1346" s="88">
        <f>SUMIF(月間集計シート!$M$71:$M$90,$G1346,月間集計シート!R$71:R$90)*AB$2</f>
        <v>0</v>
      </c>
      <c r="AC1346" s="88">
        <f>SUMIF(月間集計シート!$M$71:$M$90,$G1346,月間集計シート!S$71:S$90)*AC$2</f>
        <v>0</v>
      </c>
      <c r="AD1346" s="88">
        <f>SUMIF(月間集計シート!$M$71:$M$90,$G1346,月間集計シート!T$71:T$90)*AD$2</f>
        <v>0</v>
      </c>
      <c r="AE1346" s="88">
        <f>SUMIF(月間集計シート!$M$92:$M$111,$G1346,月間集計シート!N$92:N$111)*AE$2</f>
        <v>0</v>
      </c>
      <c r="AF1346" s="88">
        <f>SUMIF(月間集計シート!$M$92:$M$111,$G1346,月間集計シート!O$92:O$111)*AF$2</f>
        <v>0</v>
      </c>
      <c r="AG1346" s="88">
        <f>SUMIF(月間集計シート!$M$92:$M$111,$G1346,月間集計シート!P$92:P$111)*AG$2</f>
        <v>0</v>
      </c>
      <c r="AH1346" s="88">
        <f>SUMIF(月間集計シート!$M$92:$M$111,$G1346,月間集計シート!Q$92:Q$111)*AH$2</f>
        <v>0</v>
      </c>
      <c r="AI1346" s="88">
        <f>SUMIF(月間集計シート!$M$92:$M$111,$G1346,月間集計シート!R$92:R$111)*AI$2</f>
        <v>0</v>
      </c>
      <c r="AJ1346" s="88">
        <f>SUMIF(月間集計シート!$M$92:$M$111,$G1346,月間集計シート!S$92:S$111)*AJ$2</f>
        <v>0</v>
      </c>
      <c r="AK1346" s="88">
        <f>SUMIF(月間集計シート!$M$92:$M$111,$G1346,月間集計シート!T$92:T$111)*AK$2</f>
        <v>0</v>
      </c>
      <c r="AL1346" s="88">
        <f>SUMIF(月間集計シート!$M$113:$M$132,$G1346,月間集計シート!N$113:N$132)*AL$2</f>
        <v>0</v>
      </c>
      <c r="AM1346" s="88">
        <f>SUMIF(月間集計シート!$M$113:$M$132,$G1346,月間集計シート!O$113:O$132)*AM$2</f>
        <v>0</v>
      </c>
      <c r="AN1346" s="88">
        <f>SUMIF(月間集計シート!$M$113:$M$132,$G1346,月間集計シート!P$113:P$132)*AN$2</f>
        <v>0</v>
      </c>
      <c r="AO1346" s="88">
        <f>SUMIF(月間集計シート!$M$113:$M$132,$G1346,月間集計シート!Q$113:Q$132)*AO$2</f>
        <v>0</v>
      </c>
      <c r="AP1346" s="88">
        <f>SUMIF(月間集計シート!$M$113:$M$132,$G1346,月間集計シート!R$113:R$132)*AP$2</f>
        <v>0</v>
      </c>
      <c r="AQ1346" s="88">
        <f>SUMIF(月間集計シート!$M$113:$M$132,$G1346,月間集計シート!S$113:S$132)*AQ$2</f>
        <v>0</v>
      </c>
      <c r="AR1346" s="88">
        <f>SUMIF(月間集計シート!$M$113:$M$132,$G1346,月間集計シート!T$113:T$132)*AR$2</f>
        <v>0</v>
      </c>
      <c r="AS1346" s="88">
        <f>SUMIF(月間集計シート!$M$134:$M$153,$G1346,月間集計シート!N$134:N$153)*AS$2</f>
        <v>0</v>
      </c>
      <c r="AT1346" s="88">
        <f>SUMIF(月間集計シート!$M$134:$M$153,$G1346,月間集計シート!O$134:O$153)*AT$2</f>
        <v>0</v>
      </c>
      <c r="AU1346" s="88">
        <f>SUMIF(月間集計シート!$M$134:$M$153,$G1346,月間集計シート!P$134:P$153)*AU$2</f>
        <v>0</v>
      </c>
      <c r="AV1346" s="88">
        <f>SUMIF(月間集計シート!$M$134:$M$153,$G1346,月間集計シート!Q$134:Q$153)*AV$2</f>
        <v>0</v>
      </c>
      <c r="AW1346" s="88">
        <f>SUMIF(月間集計シート!$M$134:$M$153,$G1346,月間集計シート!R$134:R$153)*AW$2</f>
        <v>0</v>
      </c>
      <c r="AX1346" s="88">
        <f>SUMIF(月間集計シート!$M$134:$M$153,$G1346,月間集計シート!S$134:S$153)*AX$2</f>
        <v>0</v>
      </c>
      <c r="AY1346" s="88">
        <f>SUMIF(月間集計シート!$M$134:$M$153,$G1346,月間集計シート!T$134:T$153)*AY$2</f>
        <v>0</v>
      </c>
    </row>
    <row r="1347" spans="1:51" ht="14.25" thickBot="1">
      <c r="A1347">
        <v>16</v>
      </c>
      <c r="B1347" s="120">
        <f t="shared" si="729"/>
        <v>0</v>
      </c>
      <c r="C1347" s="120" t="str">
        <f t="shared" si="730"/>
        <v/>
      </c>
      <c r="D1347" s="137"/>
      <c r="E1347" s="150" t="str">
        <f>工種!A64</f>
        <v>80106</v>
      </c>
      <c r="F1347" s="119" t="str">
        <f>工種!B64</f>
        <v>保守／ｻﾎﾟｰﾄ：打合せ</v>
      </c>
      <c r="G1347" s="116" t="str">
        <f t="shared" si="732"/>
        <v>080106</v>
      </c>
      <c r="H1347" s="88">
        <f t="shared" si="733"/>
        <v>0</v>
      </c>
      <c r="I1347" s="132"/>
      <c r="J1347" s="88">
        <f>SUMIF(月間集計シート!$M$29:$M$48,$G1347,月間集計シート!N$29:N$48)*J$2</f>
        <v>0</v>
      </c>
      <c r="K1347" s="88">
        <f>SUMIF(月間集計シート!$M$29:$M$48,$G1347,月間集計シート!O$29:O$48)*K$2</f>
        <v>0</v>
      </c>
      <c r="L1347" s="88">
        <f>SUMIF(月間集計シート!$M$29:$M$48,$G1347,月間集計シート!P$29:P$48)*L$2</f>
        <v>0</v>
      </c>
      <c r="M1347" s="88">
        <f>SUMIF(月間集計シート!$M$29:$M$48,$G1347,月間集計シート!Q$29:Q$48)*M$2</f>
        <v>0</v>
      </c>
      <c r="N1347" s="88">
        <f>SUMIF(月間集計シート!$M$29:$M$48,$G1347,月間集計シート!R$29:R$48)*N$2</f>
        <v>0</v>
      </c>
      <c r="O1347" s="88">
        <f>SUMIF(月間集計シート!$M$29:$M$48,$G1347,月間集計シート!S$29:S$48)*O$2</f>
        <v>0</v>
      </c>
      <c r="P1347" s="88">
        <f>SUMIF(月間集計シート!$M$29:$M$48,$G1347,月間集計シート!T$29:T$48)*P$2</f>
        <v>0</v>
      </c>
      <c r="Q1347" s="88">
        <f>SUMIF(月間集計シート!$M$50:$M$69,$G1347,月間集計シート!N$50:N$69)*Q$2</f>
        <v>0</v>
      </c>
      <c r="R1347" s="88">
        <f>SUMIF(月間集計シート!$M$50:$M$69,$G1347,月間集計シート!O$50:O$69)*R$2</f>
        <v>0</v>
      </c>
      <c r="S1347" s="88">
        <f>SUMIF(月間集計シート!$M$50:$M$69,$G1347,月間集計シート!P$50:P$69)*S$2</f>
        <v>0</v>
      </c>
      <c r="T1347" s="88">
        <f>SUMIF(月間集計シート!$M$50:$M$69,$G1347,月間集計シート!Q$50:Q$69)*T$2</f>
        <v>0</v>
      </c>
      <c r="U1347" s="88">
        <f>SUMIF(月間集計シート!$M$50:$M$69,$G1347,月間集計シート!R$50:R$69)*U$2</f>
        <v>0</v>
      </c>
      <c r="V1347" s="88">
        <f>SUMIF(月間集計シート!$M$50:$M$69,$G1347,月間集計シート!S$50:S$69)*V$2</f>
        <v>0</v>
      </c>
      <c r="W1347" s="88">
        <f>SUMIF(月間集計シート!$M$50:$M$69,$G1347,月間集計シート!T$50:T$69)*W$2</f>
        <v>0</v>
      </c>
      <c r="X1347" s="88">
        <f>SUMIF(月間集計シート!$M$71:$M$90,$G1347,月間集計シート!N$71:N$90)*X$2</f>
        <v>0</v>
      </c>
      <c r="Y1347" s="88">
        <f>SUMIF(月間集計シート!$M$71:$M$90,$G1347,月間集計シート!O$71:O$90)*Y$2</f>
        <v>0</v>
      </c>
      <c r="Z1347" s="88">
        <f>SUMIF(月間集計シート!$M$71:$M$90,$G1347,月間集計シート!P$71:P$90)*Z$2</f>
        <v>0</v>
      </c>
      <c r="AA1347" s="88">
        <f>SUMIF(月間集計シート!$M$71:$M$90,$G1347,月間集計シート!Q$71:Q$90)*AA$2</f>
        <v>0</v>
      </c>
      <c r="AB1347" s="88">
        <f>SUMIF(月間集計シート!$M$71:$M$90,$G1347,月間集計シート!R$71:R$90)*AB$2</f>
        <v>0</v>
      </c>
      <c r="AC1347" s="88">
        <f>SUMIF(月間集計シート!$M$71:$M$90,$G1347,月間集計シート!S$71:S$90)*AC$2</f>
        <v>0</v>
      </c>
      <c r="AD1347" s="88">
        <f>SUMIF(月間集計シート!$M$71:$M$90,$G1347,月間集計シート!T$71:T$90)*AD$2</f>
        <v>0</v>
      </c>
      <c r="AE1347" s="88">
        <f>SUMIF(月間集計シート!$M$92:$M$111,$G1347,月間集計シート!N$92:N$111)*AE$2</f>
        <v>0</v>
      </c>
      <c r="AF1347" s="88">
        <f>SUMIF(月間集計シート!$M$92:$M$111,$G1347,月間集計シート!O$92:O$111)*AF$2</f>
        <v>0</v>
      </c>
      <c r="AG1347" s="88">
        <f>SUMIF(月間集計シート!$M$92:$M$111,$G1347,月間集計シート!P$92:P$111)*AG$2</f>
        <v>0</v>
      </c>
      <c r="AH1347" s="88">
        <f>SUMIF(月間集計シート!$M$92:$M$111,$G1347,月間集計シート!Q$92:Q$111)*AH$2</f>
        <v>0</v>
      </c>
      <c r="AI1347" s="88">
        <f>SUMIF(月間集計シート!$M$92:$M$111,$G1347,月間集計シート!R$92:R$111)*AI$2</f>
        <v>0</v>
      </c>
      <c r="AJ1347" s="88">
        <f>SUMIF(月間集計シート!$M$92:$M$111,$G1347,月間集計シート!S$92:S$111)*AJ$2</f>
        <v>0</v>
      </c>
      <c r="AK1347" s="88">
        <f>SUMIF(月間集計シート!$M$92:$M$111,$G1347,月間集計シート!T$92:T$111)*AK$2</f>
        <v>0</v>
      </c>
      <c r="AL1347" s="88">
        <f>SUMIF(月間集計シート!$M$113:$M$132,$G1347,月間集計シート!N$113:N$132)*AL$2</f>
        <v>0</v>
      </c>
      <c r="AM1347" s="88">
        <f>SUMIF(月間集計シート!$M$113:$M$132,$G1347,月間集計シート!O$113:O$132)*AM$2</f>
        <v>0</v>
      </c>
      <c r="AN1347" s="88">
        <f>SUMIF(月間集計シート!$M$113:$M$132,$G1347,月間集計シート!P$113:P$132)*AN$2</f>
        <v>0</v>
      </c>
      <c r="AO1347" s="88">
        <f>SUMIF(月間集計シート!$M$113:$M$132,$G1347,月間集計シート!Q$113:Q$132)*AO$2</f>
        <v>0</v>
      </c>
      <c r="AP1347" s="88">
        <f>SUMIF(月間集計シート!$M$113:$M$132,$G1347,月間集計シート!R$113:R$132)*AP$2</f>
        <v>0</v>
      </c>
      <c r="AQ1347" s="88">
        <f>SUMIF(月間集計シート!$M$113:$M$132,$G1347,月間集計シート!S$113:S$132)*AQ$2</f>
        <v>0</v>
      </c>
      <c r="AR1347" s="88">
        <f>SUMIF(月間集計シート!$M$113:$M$132,$G1347,月間集計シート!T$113:T$132)*AR$2</f>
        <v>0</v>
      </c>
      <c r="AS1347" s="88">
        <f>SUMIF(月間集計シート!$M$134:$M$153,$G1347,月間集計シート!N$134:N$153)*AS$2</f>
        <v>0</v>
      </c>
      <c r="AT1347" s="88">
        <f>SUMIF(月間集計シート!$M$134:$M$153,$G1347,月間集計シート!O$134:O$153)*AT$2</f>
        <v>0</v>
      </c>
      <c r="AU1347" s="88">
        <f>SUMIF(月間集計シート!$M$134:$M$153,$G1347,月間集計シート!P$134:P$153)*AU$2</f>
        <v>0</v>
      </c>
      <c r="AV1347" s="88">
        <f>SUMIF(月間集計シート!$M$134:$M$153,$G1347,月間集計シート!Q$134:Q$153)*AV$2</f>
        <v>0</v>
      </c>
      <c r="AW1347" s="88">
        <f>SUMIF(月間集計シート!$M$134:$M$153,$G1347,月間集計シート!R$134:R$153)*AW$2</f>
        <v>0</v>
      </c>
      <c r="AX1347" s="88">
        <f>SUMIF(月間集計シート!$M$134:$M$153,$G1347,月間集計シート!S$134:S$153)*AX$2</f>
        <v>0</v>
      </c>
      <c r="AY1347" s="88">
        <f>SUMIF(月間集計シート!$M$134:$M$153,$G1347,月間集計シート!T$134:T$153)*AY$2</f>
        <v>0</v>
      </c>
    </row>
    <row r="1348" spans="1:51" ht="14.25" thickBot="1">
      <c r="A1348">
        <v>16</v>
      </c>
      <c r="B1348" s="120">
        <f t="shared" si="729"/>
        <v>0</v>
      </c>
      <c r="C1348" s="120" t="str">
        <f t="shared" si="730"/>
        <v/>
      </c>
      <c r="D1348" s="137"/>
      <c r="E1348" s="150" t="str">
        <f>工種!A65</f>
        <v>80107</v>
      </c>
      <c r="F1348" s="119" t="str">
        <f>工種!B65</f>
        <v>保守／ｻﾎﾟｰﾄ：ﾚﾋﾞｭｰ</v>
      </c>
      <c r="G1348" s="116" t="str">
        <f t="shared" si="732"/>
        <v>080107</v>
      </c>
      <c r="H1348" s="88">
        <f t="shared" ref="H1348:H1363" si="734">SUM(J1348:AY1348)</f>
        <v>0</v>
      </c>
      <c r="I1348" s="132"/>
      <c r="J1348" s="88">
        <f>SUMIF(月間集計シート!$M$29:$M$48,$G1348,月間集計シート!N$29:N$48)*J$2</f>
        <v>0</v>
      </c>
      <c r="K1348" s="88">
        <f>SUMIF(月間集計シート!$M$29:$M$48,$G1348,月間集計シート!O$29:O$48)*K$2</f>
        <v>0</v>
      </c>
      <c r="L1348" s="88">
        <f>SUMIF(月間集計シート!$M$29:$M$48,$G1348,月間集計シート!P$29:P$48)*L$2</f>
        <v>0</v>
      </c>
      <c r="M1348" s="88">
        <f>SUMIF(月間集計シート!$M$29:$M$48,$G1348,月間集計シート!Q$29:Q$48)*M$2</f>
        <v>0</v>
      </c>
      <c r="N1348" s="88">
        <f>SUMIF(月間集計シート!$M$29:$M$48,$G1348,月間集計シート!R$29:R$48)*N$2</f>
        <v>0</v>
      </c>
      <c r="O1348" s="88">
        <f>SUMIF(月間集計シート!$M$29:$M$48,$G1348,月間集計シート!S$29:S$48)*O$2</f>
        <v>0</v>
      </c>
      <c r="P1348" s="88">
        <f>SUMIF(月間集計シート!$M$29:$M$48,$G1348,月間集計シート!T$29:T$48)*P$2</f>
        <v>0</v>
      </c>
      <c r="Q1348" s="88">
        <f>SUMIF(月間集計シート!$M$50:$M$69,$G1348,月間集計シート!N$50:N$69)*Q$2</f>
        <v>0</v>
      </c>
      <c r="R1348" s="88">
        <f>SUMIF(月間集計シート!$M$50:$M$69,$G1348,月間集計シート!O$50:O$69)*R$2</f>
        <v>0</v>
      </c>
      <c r="S1348" s="88">
        <f>SUMIF(月間集計シート!$M$50:$M$69,$G1348,月間集計シート!P$50:P$69)*S$2</f>
        <v>0</v>
      </c>
      <c r="T1348" s="88">
        <f>SUMIF(月間集計シート!$M$50:$M$69,$G1348,月間集計シート!Q$50:Q$69)*T$2</f>
        <v>0</v>
      </c>
      <c r="U1348" s="88">
        <f>SUMIF(月間集計シート!$M$50:$M$69,$G1348,月間集計シート!R$50:R$69)*U$2</f>
        <v>0</v>
      </c>
      <c r="V1348" s="88">
        <f>SUMIF(月間集計シート!$M$50:$M$69,$G1348,月間集計シート!S$50:S$69)*V$2</f>
        <v>0</v>
      </c>
      <c r="W1348" s="88">
        <f>SUMIF(月間集計シート!$M$50:$M$69,$G1348,月間集計シート!T$50:T$69)*W$2</f>
        <v>0</v>
      </c>
      <c r="X1348" s="88">
        <f>SUMIF(月間集計シート!$M$71:$M$90,$G1348,月間集計シート!N$71:N$90)*X$2</f>
        <v>0</v>
      </c>
      <c r="Y1348" s="88">
        <f>SUMIF(月間集計シート!$M$71:$M$90,$G1348,月間集計シート!O$71:O$90)*Y$2</f>
        <v>0</v>
      </c>
      <c r="Z1348" s="88">
        <f>SUMIF(月間集計シート!$M$71:$M$90,$G1348,月間集計シート!P$71:P$90)*Z$2</f>
        <v>0</v>
      </c>
      <c r="AA1348" s="88">
        <f>SUMIF(月間集計シート!$M$71:$M$90,$G1348,月間集計シート!Q$71:Q$90)*AA$2</f>
        <v>0</v>
      </c>
      <c r="AB1348" s="88">
        <f>SUMIF(月間集計シート!$M$71:$M$90,$G1348,月間集計シート!R$71:R$90)*AB$2</f>
        <v>0</v>
      </c>
      <c r="AC1348" s="88">
        <f>SUMIF(月間集計シート!$M$71:$M$90,$G1348,月間集計シート!S$71:S$90)*AC$2</f>
        <v>0</v>
      </c>
      <c r="AD1348" s="88">
        <f>SUMIF(月間集計シート!$M$71:$M$90,$G1348,月間集計シート!T$71:T$90)*AD$2</f>
        <v>0</v>
      </c>
      <c r="AE1348" s="88">
        <f>SUMIF(月間集計シート!$M$92:$M$111,$G1348,月間集計シート!N$92:N$111)*AE$2</f>
        <v>0</v>
      </c>
      <c r="AF1348" s="88">
        <f>SUMIF(月間集計シート!$M$92:$M$111,$G1348,月間集計シート!O$92:O$111)*AF$2</f>
        <v>0</v>
      </c>
      <c r="AG1348" s="88">
        <f>SUMIF(月間集計シート!$M$92:$M$111,$G1348,月間集計シート!P$92:P$111)*AG$2</f>
        <v>0</v>
      </c>
      <c r="AH1348" s="88">
        <f>SUMIF(月間集計シート!$M$92:$M$111,$G1348,月間集計シート!Q$92:Q$111)*AH$2</f>
        <v>0</v>
      </c>
      <c r="AI1348" s="88">
        <f>SUMIF(月間集計シート!$M$92:$M$111,$G1348,月間集計シート!R$92:R$111)*AI$2</f>
        <v>0</v>
      </c>
      <c r="AJ1348" s="88">
        <f>SUMIF(月間集計シート!$M$92:$M$111,$G1348,月間集計シート!S$92:S$111)*AJ$2</f>
        <v>0</v>
      </c>
      <c r="AK1348" s="88">
        <f>SUMIF(月間集計シート!$M$92:$M$111,$G1348,月間集計シート!T$92:T$111)*AK$2</f>
        <v>0</v>
      </c>
      <c r="AL1348" s="88">
        <f>SUMIF(月間集計シート!$M$113:$M$132,$G1348,月間集計シート!N$113:N$132)*AL$2</f>
        <v>0</v>
      </c>
      <c r="AM1348" s="88">
        <f>SUMIF(月間集計シート!$M$113:$M$132,$G1348,月間集計シート!O$113:O$132)*AM$2</f>
        <v>0</v>
      </c>
      <c r="AN1348" s="88">
        <f>SUMIF(月間集計シート!$M$113:$M$132,$G1348,月間集計シート!P$113:P$132)*AN$2</f>
        <v>0</v>
      </c>
      <c r="AO1348" s="88">
        <f>SUMIF(月間集計シート!$M$113:$M$132,$G1348,月間集計シート!Q$113:Q$132)*AO$2</f>
        <v>0</v>
      </c>
      <c r="AP1348" s="88">
        <f>SUMIF(月間集計シート!$M$113:$M$132,$G1348,月間集計シート!R$113:R$132)*AP$2</f>
        <v>0</v>
      </c>
      <c r="AQ1348" s="88">
        <f>SUMIF(月間集計シート!$M$113:$M$132,$G1348,月間集計シート!S$113:S$132)*AQ$2</f>
        <v>0</v>
      </c>
      <c r="AR1348" s="88">
        <f>SUMIF(月間集計シート!$M$113:$M$132,$G1348,月間集計シート!T$113:T$132)*AR$2</f>
        <v>0</v>
      </c>
      <c r="AS1348" s="88">
        <f>SUMIF(月間集計シート!$M$134:$M$153,$G1348,月間集計シート!N$134:N$153)*AS$2</f>
        <v>0</v>
      </c>
      <c r="AT1348" s="88">
        <f>SUMIF(月間集計シート!$M$134:$M$153,$G1348,月間集計シート!O$134:O$153)*AT$2</f>
        <v>0</v>
      </c>
      <c r="AU1348" s="88">
        <f>SUMIF(月間集計シート!$M$134:$M$153,$G1348,月間集計シート!P$134:P$153)*AU$2</f>
        <v>0</v>
      </c>
      <c r="AV1348" s="88">
        <f>SUMIF(月間集計シート!$M$134:$M$153,$G1348,月間集計シート!Q$134:Q$153)*AV$2</f>
        <v>0</v>
      </c>
      <c r="AW1348" s="88">
        <f>SUMIF(月間集計シート!$M$134:$M$153,$G1348,月間集計シート!R$134:R$153)*AW$2</f>
        <v>0</v>
      </c>
      <c r="AX1348" s="88">
        <f>SUMIF(月間集計シート!$M$134:$M$153,$G1348,月間集計シート!S$134:S$153)*AX$2</f>
        <v>0</v>
      </c>
      <c r="AY1348" s="88">
        <f>SUMIF(月間集計シート!$M$134:$M$153,$G1348,月間集計シート!T$134:T$153)*AY$2</f>
        <v>0</v>
      </c>
    </row>
    <row r="1349" spans="1:51" ht="14.25" thickBot="1">
      <c r="A1349">
        <v>16</v>
      </c>
      <c r="B1349" s="120">
        <f t="shared" si="729"/>
        <v>0</v>
      </c>
      <c r="C1349" s="120" t="str">
        <f t="shared" si="730"/>
        <v/>
      </c>
      <c r="D1349" s="137"/>
      <c r="E1349" s="150" t="str">
        <f>工種!A66</f>
        <v>80199</v>
      </c>
      <c r="F1349" s="119" t="str">
        <f>工種!B66</f>
        <v>保守／ｻﾎﾟｰﾄ：その他</v>
      </c>
      <c r="G1349" s="116" t="str">
        <f t="shared" si="732"/>
        <v>080199</v>
      </c>
      <c r="H1349" s="88">
        <f t="shared" si="734"/>
        <v>0</v>
      </c>
      <c r="I1349" s="132"/>
      <c r="J1349" s="88">
        <f>SUMIF(月間集計シート!$M$29:$M$48,$G1349,月間集計シート!N$29:N$48)*J$2</f>
        <v>0</v>
      </c>
      <c r="K1349" s="88">
        <f>SUMIF(月間集計シート!$M$29:$M$48,$G1349,月間集計シート!O$29:O$48)*K$2</f>
        <v>0</v>
      </c>
      <c r="L1349" s="88">
        <f>SUMIF(月間集計シート!$M$29:$M$48,$G1349,月間集計シート!P$29:P$48)*L$2</f>
        <v>0</v>
      </c>
      <c r="M1349" s="88">
        <f>SUMIF(月間集計シート!$M$29:$M$48,$G1349,月間集計シート!Q$29:Q$48)*M$2</f>
        <v>0</v>
      </c>
      <c r="N1349" s="88">
        <f>SUMIF(月間集計シート!$M$29:$M$48,$G1349,月間集計シート!R$29:R$48)*N$2</f>
        <v>0</v>
      </c>
      <c r="O1349" s="88">
        <f>SUMIF(月間集計シート!$M$29:$M$48,$G1349,月間集計シート!S$29:S$48)*O$2</f>
        <v>0</v>
      </c>
      <c r="P1349" s="88">
        <f>SUMIF(月間集計シート!$M$29:$M$48,$G1349,月間集計シート!T$29:T$48)*P$2</f>
        <v>0</v>
      </c>
      <c r="Q1349" s="88">
        <f>SUMIF(月間集計シート!$M$50:$M$69,$G1349,月間集計シート!N$50:N$69)*Q$2</f>
        <v>0</v>
      </c>
      <c r="R1349" s="88">
        <f>SUMIF(月間集計シート!$M$50:$M$69,$G1349,月間集計シート!O$50:O$69)*R$2</f>
        <v>0</v>
      </c>
      <c r="S1349" s="88">
        <f>SUMIF(月間集計シート!$M$50:$M$69,$G1349,月間集計シート!P$50:P$69)*S$2</f>
        <v>0</v>
      </c>
      <c r="T1349" s="88">
        <f>SUMIF(月間集計シート!$M$50:$M$69,$G1349,月間集計シート!Q$50:Q$69)*T$2</f>
        <v>0</v>
      </c>
      <c r="U1349" s="88">
        <f>SUMIF(月間集計シート!$M$50:$M$69,$G1349,月間集計シート!R$50:R$69)*U$2</f>
        <v>0</v>
      </c>
      <c r="V1349" s="88">
        <f>SUMIF(月間集計シート!$M$50:$M$69,$G1349,月間集計シート!S$50:S$69)*V$2</f>
        <v>0</v>
      </c>
      <c r="W1349" s="88">
        <f>SUMIF(月間集計シート!$M$50:$M$69,$G1349,月間集計シート!T$50:T$69)*W$2</f>
        <v>0</v>
      </c>
      <c r="X1349" s="88">
        <f>SUMIF(月間集計シート!$M$71:$M$90,$G1349,月間集計シート!N$71:N$90)*X$2</f>
        <v>0</v>
      </c>
      <c r="Y1349" s="88">
        <f>SUMIF(月間集計シート!$M$71:$M$90,$G1349,月間集計シート!O$71:O$90)*Y$2</f>
        <v>0</v>
      </c>
      <c r="Z1349" s="88">
        <f>SUMIF(月間集計シート!$M$71:$M$90,$G1349,月間集計シート!P$71:P$90)*Z$2</f>
        <v>0</v>
      </c>
      <c r="AA1349" s="88">
        <f>SUMIF(月間集計シート!$M$71:$M$90,$G1349,月間集計シート!Q$71:Q$90)*AA$2</f>
        <v>0</v>
      </c>
      <c r="AB1349" s="88">
        <f>SUMIF(月間集計シート!$M$71:$M$90,$G1349,月間集計シート!R$71:R$90)*AB$2</f>
        <v>0</v>
      </c>
      <c r="AC1349" s="88">
        <f>SUMIF(月間集計シート!$M$71:$M$90,$G1349,月間集計シート!S$71:S$90)*AC$2</f>
        <v>0</v>
      </c>
      <c r="AD1349" s="88">
        <f>SUMIF(月間集計シート!$M$71:$M$90,$G1349,月間集計シート!T$71:T$90)*AD$2</f>
        <v>0</v>
      </c>
      <c r="AE1349" s="88">
        <f>SUMIF(月間集計シート!$M$92:$M$111,$G1349,月間集計シート!N$92:N$111)*AE$2</f>
        <v>0</v>
      </c>
      <c r="AF1349" s="88">
        <f>SUMIF(月間集計シート!$M$92:$M$111,$G1349,月間集計シート!O$92:O$111)*AF$2</f>
        <v>0</v>
      </c>
      <c r="AG1349" s="88">
        <f>SUMIF(月間集計シート!$M$92:$M$111,$G1349,月間集計シート!P$92:P$111)*AG$2</f>
        <v>0</v>
      </c>
      <c r="AH1349" s="88">
        <f>SUMIF(月間集計シート!$M$92:$M$111,$G1349,月間集計シート!Q$92:Q$111)*AH$2</f>
        <v>0</v>
      </c>
      <c r="AI1349" s="88">
        <f>SUMIF(月間集計シート!$M$92:$M$111,$G1349,月間集計シート!R$92:R$111)*AI$2</f>
        <v>0</v>
      </c>
      <c r="AJ1349" s="88">
        <f>SUMIF(月間集計シート!$M$92:$M$111,$G1349,月間集計シート!S$92:S$111)*AJ$2</f>
        <v>0</v>
      </c>
      <c r="AK1349" s="88">
        <f>SUMIF(月間集計シート!$M$92:$M$111,$G1349,月間集計シート!T$92:T$111)*AK$2</f>
        <v>0</v>
      </c>
      <c r="AL1349" s="88">
        <f>SUMIF(月間集計シート!$M$113:$M$132,$G1349,月間集計シート!N$113:N$132)*AL$2</f>
        <v>0</v>
      </c>
      <c r="AM1349" s="88">
        <f>SUMIF(月間集計シート!$M$113:$M$132,$G1349,月間集計シート!O$113:O$132)*AM$2</f>
        <v>0</v>
      </c>
      <c r="AN1349" s="88">
        <f>SUMIF(月間集計シート!$M$113:$M$132,$G1349,月間集計シート!P$113:P$132)*AN$2</f>
        <v>0</v>
      </c>
      <c r="AO1349" s="88">
        <f>SUMIF(月間集計シート!$M$113:$M$132,$G1349,月間集計シート!Q$113:Q$132)*AO$2</f>
        <v>0</v>
      </c>
      <c r="AP1349" s="88">
        <f>SUMIF(月間集計シート!$M$113:$M$132,$G1349,月間集計シート!R$113:R$132)*AP$2</f>
        <v>0</v>
      </c>
      <c r="AQ1349" s="88">
        <f>SUMIF(月間集計シート!$M$113:$M$132,$G1349,月間集計シート!S$113:S$132)*AQ$2</f>
        <v>0</v>
      </c>
      <c r="AR1349" s="88">
        <f>SUMIF(月間集計シート!$M$113:$M$132,$G1349,月間集計シート!T$113:T$132)*AR$2</f>
        <v>0</v>
      </c>
      <c r="AS1349" s="88">
        <f>SUMIF(月間集計シート!$M$134:$M$153,$G1349,月間集計シート!N$134:N$153)*AS$2</f>
        <v>0</v>
      </c>
      <c r="AT1349" s="88">
        <f>SUMIF(月間集計シート!$M$134:$M$153,$G1349,月間集計シート!O$134:O$153)*AT$2</f>
        <v>0</v>
      </c>
      <c r="AU1349" s="88">
        <f>SUMIF(月間集計シート!$M$134:$M$153,$G1349,月間集計シート!P$134:P$153)*AU$2</f>
        <v>0</v>
      </c>
      <c r="AV1349" s="88">
        <f>SUMIF(月間集計シート!$M$134:$M$153,$G1349,月間集計シート!Q$134:Q$153)*AV$2</f>
        <v>0</v>
      </c>
      <c r="AW1349" s="88">
        <f>SUMIF(月間集計シート!$M$134:$M$153,$G1349,月間集計シート!R$134:R$153)*AW$2</f>
        <v>0</v>
      </c>
      <c r="AX1349" s="88">
        <f>SUMIF(月間集計シート!$M$134:$M$153,$G1349,月間集計シート!S$134:S$153)*AX$2</f>
        <v>0</v>
      </c>
      <c r="AY1349" s="88">
        <f>SUMIF(月間集計シート!$M$134:$M$153,$G1349,月間集計シート!T$134:T$153)*AY$2</f>
        <v>0</v>
      </c>
    </row>
    <row r="1350" spans="1:51" ht="14.25" thickBot="1">
      <c r="A1350">
        <v>16</v>
      </c>
      <c r="B1350" s="120">
        <f t="shared" ref="B1350:C1366" si="735">B1349</f>
        <v>0</v>
      </c>
      <c r="C1350" s="120" t="str">
        <f t="shared" si="735"/>
        <v/>
      </c>
      <c r="D1350" s="137"/>
      <c r="E1350" s="150" t="str">
        <f>工種!A67</f>
        <v>90101</v>
      </c>
      <c r="F1350" s="119" t="str">
        <f>工種!B67</f>
        <v>管理業務：ﾌﾟﾛｼﾞｪｸﾄ管理</v>
      </c>
      <c r="G1350" s="116" t="str">
        <f t="shared" si="732"/>
        <v>090101</v>
      </c>
      <c r="H1350" s="88">
        <f t="shared" si="734"/>
        <v>0</v>
      </c>
      <c r="I1350" s="132"/>
      <c r="J1350" s="88">
        <f>SUMIF(月間集計シート!$M$29:$M$48,$G1350,月間集計シート!N$29:N$48)*J$2</f>
        <v>0</v>
      </c>
      <c r="K1350" s="88">
        <f>SUMIF(月間集計シート!$M$29:$M$48,$G1350,月間集計シート!O$29:O$48)*K$2</f>
        <v>0</v>
      </c>
      <c r="L1350" s="88">
        <f>SUMIF(月間集計シート!$M$29:$M$48,$G1350,月間集計シート!P$29:P$48)*L$2</f>
        <v>0</v>
      </c>
      <c r="M1350" s="88">
        <f>SUMIF(月間集計シート!$M$29:$M$48,$G1350,月間集計シート!Q$29:Q$48)*M$2</f>
        <v>0</v>
      </c>
      <c r="N1350" s="88">
        <f>SUMIF(月間集計シート!$M$29:$M$48,$G1350,月間集計シート!R$29:R$48)*N$2</f>
        <v>0</v>
      </c>
      <c r="O1350" s="88">
        <f>SUMIF(月間集計シート!$M$29:$M$48,$G1350,月間集計シート!S$29:S$48)*O$2</f>
        <v>0</v>
      </c>
      <c r="P1350" s="88">
        <f>SUMIF(月間集計シート!$M$29:$M$48,$G1350,月間集計シート!T$29:T$48)*P$2</f>
        <v>0</v>
      </c>
      <c r="Q1350" s="88">
        <f>SUMIF(月間集計シート!$M$50:$M$69,$G1350,月間集計シート!N$50:N$69)*Q$2</f>
        <v>0</v>
      </c>
      <c r="R1350" s="88">
        <f>SUMIF(月間集計シート!$M$50:$M$69,$G1350,月間集計シート!O$50:O$69)*R$2</f>
        <v>0</v>
      </c>
      <c r="S1350" s="88">
        <f>SUMIF(月間集計シート!$M$50:$M$69,$G1350,月間集計シート!P$50:P$69)*S$2</f>
        <v>0</v>
      </c>
      <c r="T1350" s="88">
        <f>SUMIF(月間集計シート!$M$50:$M$69,$G1350,月間集計シート!Q$50:Q$69)*T$2</f>
        <v>0</v>
      </c>
      <c r="U1350" s="88">
        <f>SUMIF(月間集計シート!$M$50:$M$69,$G1350,月間集計シート!R$50:R$69)*U$2</f>
        <v>0</v>
      </c>
      <c r="V1350" s="88">
        <f>SUMIF(月間集計シート!$M$50:$M$69,$G1350,月間集計シート!S$50:S$69)*V$2</f>
        <v>0</v>
      </c>
      <c r="W1350" s="88">
        <f>SUMIF(月間集計シート!$M$50:$M$69,$G1350,月間集計シート!T$50:T$69)*W$2</f>
        <v>0</v>
      </c>
      <c r="X1350" s="88">
        <f>SUMIF(月間集計シート!$M$71:$M$90,$G1350,月間集計シート!N$71:N$90)*X$2</f>
        <v>0</v>
      </c>
      <c r="Y1350" s="88">
        <f>SUMIF(月間集計シート!$M$71:$M$90,$G1350,月間集計シート!O$71:O$90)*Y$2</f>
        <v>0</v>
      </c>
      <c r="Z1350" s="88">
        <f>SUMIF(月間集計シート!$M$71:$M$90,$G1350,月間集計シート!P$71:P$90)*Z$2</f>
        <v>0</v>
      </c>
      <c r="AA1350" s="88">
        <f>SUMIF(月間集計シート!$M$71:$M$90,$G1350,月間集計シート!Q$71:Q$90)*AA$2</f>
        <v>0</v>
      </c>
      <c r="AB1350" s="88">
        <f>SUMIF(月間集計シート!$M$71:$M$90,$G1350,月間集計シート!R$71:R$90)*AB$2</f>
        <v>0</v>
      </c>
      <c r="AC1350" s="88">
        <f>SUMIF(月間集計シート!$M$71:$M$90,$G1350,月間集計シート!S$71:S$90)*AC$2</f>
        <v>0</v>
      </c>
      <c r="AD1350" s="88">
        <f>SUMIF(月間集計シート!$M$71:$M$90,$G1350,月間集計シート!T$71:T$90)*AD$2</f>
        <v>0</v>
      </c>
      <c r="AE1350" s="88">
        <f>SUMIF(月間集計シート!$M$92:$M$111,$G1350,月間集計シート!N$92:N$111)*AE$2</f>
        <v>0</v>
      </c>
      <c r="AF1350" s="88">
        <f>SUMIF(月間集計シート!$M$92:$M$111,$G1350,月間集計シート!O$92:O$111)*AF$2</f>
        <v>0</v>
      </c>
      <c r="AG1350" s="88">
        <f>SUMIF(月間集計シート!$M$92:$M$111,$G1350,月間集計シート!P$92:P$111)*AG$2</f>
        <v>0</v>
      </c>
      <c r="AH1350" s="88">
        <f>SUMIF(月間集計シート!$M$92:$M$111,$G1350,月間集計シート!Q$92:Q$111)*AH$2</f>
        <v>0</v>
      </c>
      <c r="AI1350" s="88">
        <f>SUMIF(月間集計シート!$M$92:$M$111,$G1350,月間集計シート!R$92:R$111)*AI$2</f>
        <v>0</v>
      </c>
      <c r="AJ1350" s="88">
        <f>SUMIF(月間集計シート!$M$92:$M$111,$G1350,月間集計シート!S$92:S$111)*AJ$2</f>
        <v>0</v>
      </c>
      <c r="AK1350" s="88">
        <f>SUMIF(月間集計シート!$M$92:$M$111,$G1350,月間集計シート!T$92:T$111)*AK$2</f>
        <v>0</v>
      </c>
      <c r="AL1350" s="88">
        <f>SUMIF(月間集計シート!$M$113:$M$132,$G1350,月間集計シート!N$113:N$132)*AL$2</f>
        <v>0</v>
      </c>
      <c r="AM1350" s="88">
        <f>SUMIF(月間集計シート!$M$113:$M$132,$G1350,月間集計シート!O$113:O$132)*AM$2</f>
        <v>0</v>
      </c>
      <c r="AN1350" s="88">
        <f>SUMIF(月間集計シート!$M$113:$M$132,$G1350,月間集計シート!P$113:P$132)*AN$2</f>
        <v>0</v>
      </c>
      <c r="AO1350" s="88">
        <f>SUMIF(月間集計シート!$M$113:$M$132,$G1350,月間集計シート!Q$113:Q$132)*AO$2</f>
        <v>0</v>
      </c>
      <c r="AP1350" s="88">
        <f>SUMIF(月間集計シート!$M$113:$M$132,$G1350,月間集計シート!R$113:R$132)*AP$2</f>
        <v>0</v>
      </c>
      <c r="AQ1350" s="88">
        <f>SUMIF(月間集計シート!$M$113:$M$132,$G1350,月間集計シート!S$113:S$132)*AQ$2</f>
        <v>0</v>
      </c>
      <c r="AR1350" s="88">
        <f>SUMIF(月間集計シート!$M$113:$M$132,$G1350,月間集計シート!T$113:T$132)*AR$2</f>
        <v>0</v>
      </c>
      <c r="AS1350" s="88">
        <f>SUMIF(月間集計シート!$M$134:$M$153,$G1350,月間集計シート!N$134:N$153)*AS$2</f>
        <v>0</v>
      </c>
      <c r="AT1350" s="88">
        <f>SUMIF(月間集計シート!$M$134:$M$153,$G1350,月間集計シート!O$134:O$153)*AT$2</f>
        <v>0</v>
      </c>
      <c r="AU1350" s="88">
        <f>SUMIF(月間集計シート!$M$134:$M$153,$G1350,月間集計シート!P$134:P$153)*AU$2</f>
        <v>0</v>
      </c>
      <c r="AV1350" s="88">
        <f>SUMIF(月間集計シート!$M$134:$M$153,$G1350,月間集計シート!Q$134:Q$153)*AV$2</f>
        <v>0</v>
      </c>
      <c r="AW1350" s="88">
        <f>SUMIF(月間集計シート!$M$134:$M$153,$G1350,月間集計シート!R$134:R$153)*AW$2</f>
        <v>0</v>
      </c>
      <c r="AX1350" s="88">
        <f>SUMIF(月間集計シート!$M$134:$M$153,$G1350,月間集計シート!S$134:S$153)*AX$2</f>
        <v>0</v>
      </c>
      <c r="AY1350" s="88">
        <f>SUMIF(月間集計シート!$M$134:$M$153,$G1350,月間集計シート!T$134:T$153)*AY$2</f>
        <v>0</v>
      </c>
    </row>
    <row r="1351" spans="1:51" ht="14.25" thickBot="1">
      <c r="A1351">
        <v>16</v>
      </c>
      <c r="B1351" s="120">
        <f t="shared" si="735"/>
        <v>0</v>
      </c>
      <c r="C1351" s="120" t="str">
        <f t="shared" si="735"/>
        <v/>
      </c>
      <c r="D1351" s="137"/>
      <c r="E1351" s="150" t="str">
        <f>工種!A68</f>
        <v>90102</v>
      </c>
      <c r="F1351" s="119" t="str">
        <f>工種!B68</f>
        <v>管理業務：開発環境管理</v>
      </c>
      <c r="G1351" s="116" t="str">
        <f t="shared" si="732"/>
        <v>090102</v>
      </c>
      <c r="H1351" s="88">
        <f t="shared" si="734"/>
        <v>0</v>
      </c>
      <c r="I1351" s="132"/>
      <c r="J1351" s="88">
        <f>SUMIF(月間集計シート!$M$29:$M$48,$G1351,月間集計シート!N$29:N$48)*J$2</f>
        <v>0</v>
      </c>
      <c r="K1351" s="88">
        <f>SUMIF(月間集計シート!$M$29:$M$48,$G1351,月間集計シート!O$29:O$48)*K$2</f>
        <v>0</v>
      </c>
      <c r="L1351" s="88">
        <f>SUMIF(月間集計シート!$M$29:$M$48,$G1351,月間集計シート!P$29:P$48)*L$2</f>
        <v>0</v>
      </c>
      <c r="M1351" s="88">
        <f>SUMIF(月間集計シート!$M$29:$M$48,$G1351,月間集計シート!Q$29:Q$48)*M$2</f>
        <v>0</v>
      </c>
      <c r="N1351" s="88">
        <f>SUMIF(月間集計シート!$M$29:$M$48,$G1351,月間集計シート!R$29:R$48)*N$2</f>
        <v>0</v>
      </c>
      <c r="O1351" s="88">
        <f>SUMIF(月間集計シート!$M$29:$M$48,$G1351,月間集計シート!S$29:S$48)*O$2</f>
        <v>0</v>
      </c>
      <c r="P1351" s="88">
        <f>SUMIF(月間集計シート!$M$29:$M$48,$G1351,月間集計シート!T$29:T$48)*P$2</f>
        <v>0</v>
      </c>
      <c r="Q1351" s="88">
        <f>SUMIF(月間集計シート!$M$50:$M$69,$G1351,月間集計シート!N$50:N$69)*Q$2</f>
        <v>0</v>
      </c>
      <c r="R1351" s="88">
        <f>SUMIF(月間集計シート!$M$50:$M$69,$G1351,月間集計シート!O$50:O$69)*R$2</f>
        <v>0</v>
      </c>
      <c r="S1351" s="88">
        <f>SUMIF(月間集計シート!$M$50:$M$69,$G1351,月間集計シート!P$50:P$69)*S$2</f>
        <v>0</v>
      </c>
      <c r="T1351" s="88">
        <f>SUMIF(月間集計シート!$M$50:$M$69,$G1351,月間集計シート!Q$50:Q$69)*T$2</f>
        <v>0</v>
      </c>
      <c r="U1351" s="88">
        <f>SUMIF(月間集計シート!$M$50:$M$69,$G1351,月間集計シート!R$50:R$69)*U$2</f>
        <v>0</v>
      </c>
      <c r="V1351" s="88">
        <f>SUMIF(月間集計シート!$M$50:$M$69,$G1351,月間集計シート!S$50:S$69)*V$2</f>
        <v>0</v>
      </c>
      <c r="W1351" s="88">
        <f>SUMIF(月間集計シート!$M$50:$M$69,$G1351,月間集計シート!T$50:T$69)*W$2</f>
        <v>0</v>
      </c>
      <c r="X1351" s="88">
        <f>SUMIF(月間集計シート!$M$71:$M$90,$G1351,月間集計シート!N$71:N$90)*X$2</f>
        <v>0</v>
      </c>
      <c r="Y1351" s="88">
        <f>SUMIF(月間集計シート!$M$71:$M$90,$G1351,月間集計シート!O$71:O$90)*Y$2</f>
        <v>0</v>
      </c>
      <c r="Z1351" s="88">
        <f>SUMIF(月間集計シート!$M$71:$M$90,$G1351,月間集計シート!P$71:P$90)*Z$2</f>
        <v>0</v>
      </c>
      <c r="AA1351" s="88">
        <f>SUMIF(月間集計シート!$M$71:$M$90,$G1351,月間集計シート!Q$71:Q$90)*AA$2</f>
        <v>0</v>
      </c>
      <c r="AB1351" s="88">
        <f>SUMIF(月間集計シート!$M$71:$M$90,$G1351,月間集計シート!R$71:R$90)*AB$2</f>
        <v>0</v>
      </c>
      <c r="AC1351" s="88">
        <f>SUMIF(月間集計シート!$M$71:$M$90,$G1351,月間集計シート!S$71:S$90)*AC$2</f>
        <v>0</v>
      </c>
      <c r="AD1351" s="88">
        <f>SUMIF(月間集計シート!$M$71:$M$90,$G1351,月間集計シート!T$71:T$90)*AD$2</f>
        <v>0</v>
      </c>
      <c r="AE1351" s="88">
        <f>SUMIF(月間集計シート!$M$92:$M$111,$G1351,月間集計シート!N$92:N$111)*AE$2</f>
        <v>0</v>
      </c>
      <c r="AF1351" s="88">
        <f>SUMIF(月間集計シート!$M$92:$M$111,$G1351,月間集計シート!O$92:O$111)*AF$2</f>
        <v>0</v>
      </c>
      <c r="AG1351" s="88">
        <f>SUMIF(月間集計シート!$M$92:$M$111,$G1351,月間集計シート!P$92:P$111)*AG$2</f>
        <v>0</v>
      </c>
      <c r="AH1351" s="88">
        <f>SUMIF(月間集計シート!$M$92:$M$111,$G1351,月間集計シート!Q$92:Q$111)*AH$2</f>
        <v>0</v>
      </c>
      <c r="AI1351" s="88">
        <f>SUMIF(月間集計シート!$M$92:$M$111,$G1351,月間集計シート!R$92:R$111)*AI$2</f>
        <v>0</v>
      </c>
      <c r="AJ1351" s="88">
        <f>SUMIF(月間集計シート!$M$92:$M$111,$G1351,月間集計シート!S$92:S$111)*AJ$2</f>
        <v>0</v>
      </c>
      <c r="AK1351" s="88">
        <f>SUMIF(月間集計シート!$M$92:$M$111,$G1351,月間集計シート!T$92:T$111)*AK$2</f>
        <v>0</v>
      </c>
      <c r="AL1351" s="88">
        <f>SUMIF(月間集計シート!$M$113:$M$132,$G1351,月間集計シート!N$113:N$132)*AL$2</f>
        <v>0</v>
      </c>
      <c r="AM1351" s="88">
        <f>SUMIF(月間集計シート!$M$113:$M$132,$G1351,月間集計シート!O$113:O$132)*AM$2</f>
        <v>0</v>
      </c>
      <c r="AN1351" s="88">
        <f>SUMIF(月間集計シート!$M$113:$M$132,$G1351,月間集計シート!P$113:P$132)*AN$2</f>
        <v>0</v>
      </c>
      <c r="AO1351" s="88">
        <f>SUMIF(月間集計シート!$M$113:$M$132,$G1351,月間集計シート!Q$113:Q$132)*AO$2</f>
        <v>0</v>
      </c>
      <c r="AP1351" s="88">
        <f>SUMIF(月間集計シート!$M$113:$M$132,$G1351,月間集計シート!R$113:R$132)*AP$2</f>
        <v>0</v>
      </c>
      <c r="AQ1351" s="88">
        <f>SUMIF(月間集計シート!$M$113:$M$132,$G1351,月間集計シート!S$113:S$132)*AQ$2</f>
        <v>0</v>
      </c>
      <c r="AR1351" s="88">
        <f>SUMIF(月間集計シート!$M$113:$M$132,$G1351,月間集計シート!T$113:T$132)*AR$2</f>
        <v>0</v>
      </c>
      <c r="AS1351" s="88">
        <f>SUMIF(月間集計シート!$M$134:$M$153,$G1351,月間集計シート!N$134:N$153)*AS$2</f>
        <v>0</v>
      </c>
      <c r="AT1351" s="88">
        <f>SUMIF(月間集計シート!$M$134:$M$153,$G1351,月間集計シート!O$134:O$153)*AT$2</f>
        <v>0</v>
      </c>
      <c r="AU1351" s="88">
        <f>SUMIF(月間集計シート!$M$134:$M$153,$G1351,月間集計シート!P$134:P$153)*AU$2</f>
        <v>0</v>
      </c>
      <c r="AV1351" s="88">
        <f>SUMIF(月間集計シート!$M$134:$M$153,$G1351,月間集計シート!Q$134:Q$153)*AV$2</f>
        <v>0</v>
      </c>
      <c r="AW1351" s="88">
        <f>SUMIF(月間集計シート!$M$134:$M$153,$G1351,月間集計シート!R$134:R$153)*AW$2</f>
        <v>0</v>
      </c>
      <c r="AX1351" s="88">
        <f>SUMIF(月間集計シート!$M$134:$M$153,$G1351,月間集計シート!S$134:S$153)*AX$2</f>
        <v>0</v>
      </c>
      <c r="AY1351" s="88">
        <f>SUMIF(月間集計シート!$M$134:$M$153,$G1351,月間集計シート!T$134:T$153)*AY$2</f>
        <v>0</v>
      </c>
    </row>
    <row r="1352" spans="1:51" ht="14.25" thickBot="1">
      <c r="A1352">
        <v>16</v>
      </c>
      <c r="B1352" s="120">
        <f t="shared" si="735"/>
        <v>0</v>
      </c>
      <c r="C1352" s="120" t="str">
        <f t="shared" si="735"/>
        <v/>
      </c>
      <c r="D1352" s="137"/>
      <c r="E1352" s="150" t="str">
        <f>工種!A69</f>
        <v>90103</v>
      </c>
      <c r="F1352" s="119" t="str">
        <f>工種!B69</f>
        <v>管理業務：標準化・開発業務改善作業</v>
      </c>
      <c r="G1352" s="116" t="str">
        <f t="shared" si="732"/>
        <v>090103</v>
      </c>
      <c r="H1352" s="88">
        <f t="shared" si="734"/>
        <v>0</v>
      </c>
      <c r="I1352" s="132"/>
      <c r="J1352" s="88">
        <f>SUMIF(月間集計シート!$M$29:$M$48,$G1352,月間集計シート!N$29:N$48)*J$2</f>
        <v>0</v>
      </c>
      <c r="K1352" s="88">
        <f>SUMIF(月間集計シート!$M$29:$M$48,$G1352,月間集計シート!O$29:O$48)*K$2</f>
        <v>0</v>
      </c>
      <c r="L1352" s="88">
        <f>SUMIF(月間集計シート!$M$29:$M$48,$G1352,月間集計シート!P$29:P$48)*L$2</f>
        <v>0</v>
      </c>
      <c r="M1352" s="88">
        <f>SUMIF(月間集計シート!$M$29:$M$48,$G1352,月間集計シート!Q$29:Q$48)*M$2</f>
        <v>0</v>
      </c>
      <c r="N1352" s="88">
        <f>SUMIF(月間集計シート!$M$29:$M$48,$G1352,月間集計シート!R$29:R$48)*N$2</f>
        <v>0</v>
      </c>
      <c r="O1352" s="88">
        <f>SUMIF(月間集計シート!$M$29:$M$48,$G1352,月間集計シート!S$29:S$48)*O$2</f>
        <v>0</v>
      </c>
      <c r="P1352" s="88">
        <f>SUMIF(月間集計シート!$M$29:$M$48,$G1352,月間集計シート!T$29:T$48)*P$2</f>
        <v>0</v>
      </c>
      <c r="Q1352" s="88">
        <f>SUMIF(月間集計シート!$M$50:$M$69,$G1352,月間集計シート!N$50:N$69)*Q$2</f>
        <v>0</v>
      </c>
      <c r="R1352" s="88">
        <f>SUMIF(月間集計シート!$M$50:$M$69,$G1352,月間集計シート!O$50:O$69)*R$2</f>
        <v>0</v>
      </c>
      <c r="S1352" s="88">
        <f>SUMIF(月間集計シート!$M$50:$M$69,$G1352,月間集計シート!P$50:P$69)*S$2</f>
        <v>0</v>
      </c>
      <c r="T1352" s="88">
        <f>SUMIF(月間集計シート!$M$50:$M$69,$G1352,月間集計シート!Q$50:Q$69)*T$2</f>
        <v>0</v>
      </c>
      <c r="U1352" s="88">
        <f>SUMIF(月間集計シート!$M$50:$M$69,$G1352,月間集計シート!R$50:R$69)*U$2</f>
        <v>0</v>
      </c>
      <c r="V1352" s="88">
        <f>SUMIF(月間集計シート!$M$50:$M$69,$G1352,月間集計シート!S$50:S$69)*V$2</f>
        <v>0</v>
      </c>
      <c r="W1352" s="88">
        <f>SUMIF(月間集計シート!$M$50:$M$69,$G1352,月間集計シート!T$50:T$69)*W$2</f>
        <v>0</v>
      </c>
      <c r="X1352" s="88">
        <f>SUMIF(月間集計シート!$M$71:$M$90,$G1352,月間集計シート!N$71:N$90)*X$2</f>
        <v>0</v>
      </c>
      <c r="Y1352" s="88">
        <f>SUMIF(月間集計シート!$M$71:$M$90,$G1352,月間集計シート!O$71:O$90)*Y$2</f>
        <v>0</v>
      </c>
      <c r="Z1352" s="88">
        <f>SUMIF(月間集計シート!$M$71:$M$90,$G1352,月間集計シート!P$71:P$90)*Z$2</f>
        <v>0</v>
      </c>
      <c r="AA1352" s="88">
        <f>SUMIF(月間集計シート!$M$71:$M$90,$G1352,月間集計シート!Q$71:Q$90)*AA$2</f>
        <v>0</v>
      </c>
      <c r="AB1352" s="88">
        <f>SUMIF(月間集計シート!$M$71:$M$90,$G1352,月間集計シート!R$71:R$90)*AB$2</f>
        <v>0</v>
      </c>
      <c r="AC1352" s="88">
        <f>SUMIF(月間集計シート!$M$71:$M$90,$G1352,月間集計シート!S$71:S$90)*AC$2</f>
        <v>0</v>
      </c>
      <c r="AD1352" s="88">
        <f>SUMIF(月間集計シート!$M$71:$M$90,$G1352,月間集計シート!T$71:T$90)*AD$2</f>
        <v>0</v>
      </c>
      <c r="AE1352" s="88">
        <f>SUMIF(月間集計シート!$M$92:$M$111,$G1352,月間集計シート!N$92:N$111)*AE$2</f>
        <v>0</v>
      </c>
      <c r="AF1352" s="88">
        <f>SUMIF(月間集計シート!$M$92:$M$111,$G1352,月間集計シート!O$92:O$111)*AF$2</f>
        <v>0</v>
      </c>
      <c r="AG1352" s="88">
        <f>SUMIF(月間集計シート!$M$92:$M$111,$G1352,月間集計シート!P$92:P$111)*AG$2</f>
        <v>0</v>
      </c>
      <c r="AH1352" s="88">
        <f>SUMIF(月間集計シート!$M$92:$M$111,$G1352,月間集計シート!Q$92:Q$111)*AH$2</f>
        <v>0</v>
      </c>
      <c r="AI1352" s="88">
        <f>SUMIF(月間集計シート!$M$92:$M$111,$G1352,月間集計シート!R$92:R$111)*AI$2</f>
        <v>0</v>
      </c>
      <c r="AJ1352" s="88">
        <f>SUMIF(月間集計シート!$M$92:$M$111,$G1352,月間集計シート!S$92:S$111)*AJ$2</f>
        <v>0</v>
      </c>
      <c r="AK1352" s="88">
        <f>SUMIF(月間集計シート!$M$92:$M$111,$G1352,月間集計シート!T$92:T$111)*AK$2</f>
        <v>0</v>
      </c>
      <c r="AL1352" s="88">
        <f>SUMIF(月間集計シート!$M$113:$M$132,$G1352,月間集計シート!N$113:N$132)*AL$2</f>
        <v>0</v>
      </c>
      <c r="AM1352" s="88">
        <f>SUMIF(月間集計シート!$M$113:$M$132,$G1352,月間集計シート!O$113:O$132)*AM$2</f>
        <v>0</v>
      </c>
      <c r="AN1352" s="88">
        <f>SUMIF(月間集計シート!$M$113:$M$132,$G1352,月間集計シート!P$113:P$132)*AN$2</f>
        <v>0</v>
      </c>
      <c r="AO1352" s="88">
        <f>SUMIF(月間集計シート!$M$113:$M$132,$G1352,月間集計シート!Q$113:Q$132)*AO$2</f>
        <v>0</v>
      </c>
      <c r="AP1352" s="88">
        <f>SUMIF(月間集計シート!$M$113:$M$132,$G1352,月間集計シート!R$113:R$132)*AP$2</f>
        <v>0</v>
      </c>
      <c r="AQ1352" s="88">
        <f>SUMIF(月間集計シート!$M$113:$M$132,$G1352,月間集計シート!S$113:S$132)*AQ$2</f>
        <v>0</v>
      </c>
      <c r="AR1352" s="88">
        <f>SUMIF(月間集計シート!$M$113:$M$132,$G1352,月間集計シート!T$113:T$132)*AR$2</f>
        <v>0</v>
      </c>
      <c r="AS1352" s="88">
        <f>SUMIF(月間集計シート!$M$134:$M$153,$G1352,月間集計シート!N$134:N$153)*AS$2</f>
        <v>0</v>
      </c>
      <c r="AT1352" s="88">
        <f>SUMIF(月間集計シート!$M$134:$M$153,$G1352,月間集計シート!O$134:O$153)*AT$2</f>
        <v>0</v>
      </c>
      <c r="AU1352" s="88">
        <f>SUMIF(月間集計シート!$M$134:$M$153,$G1352,月間集計シート!P$134:P$153)*AU$2</f>
        <v>0</v>
      </c>
      <c r="AV1352" s="88">
        <f>SUMIF(月間集計シート!$M$134:$M$153,$G1352,月間集計シート!Q$134:Q$153)*AV$2</f>
        <v>0</v>
      </c>
      <c r="AW1352" s="88">
        <f>SUMIF(月間集計シート!$M$134:$M$153,$G1352,月間集計シート!R$134:R$153)*AW$2</f>
        <v>0</v>
      </c>
      <c r="AX1352" s="88">
        <f>SUMIF(月間集計シート!$M$134:$M$153,$G1352,月間集計シート!S$134:S$153)*AX$2</f>
        <v>0</v>
      </c>
      <c r="AY1352" s="88">
        <f>SUMIF(月間集計シート!$M$134:$M$153,$G1352,月間集計シート!T$134:T$153)*AY$2</f>
        <v>0</v>
      </c>
    </row>
    <row r="1353" spans="1:51" ht="14.25" thickBot="1">
      <c r="A1353">
        <v>16</v>
      </c>
      <c r="B1353" s="120">
        <f t="shared" si="735"/>
        <v>0</v>
      </c>
      <c r="C1353" s="120" t="str">
        <f t="shared" si="735"/>
        <v/>
      </c>
      <c r="D1353" s="137"/>
      <c r="E1353" s="150" t="str">
        <f>工種!A70</f>
        <v>90104</v>
      </c>
      <c r="F1353" s="119" t="str">
        <f>工種!B70</f>
        <v>管理業務：開発業務の引継ぎ</v>
      </c>
      <c r="G1353" s="116" t="str">
        <f t="shared" si="732"/>
        <v>090104</v>
      </c>
      <c r="H1353" s="88">
        <f t="shared" si="734"/>
        <v>0</v>
      </c>
      <c r="I1353" s="132"/>
      <c r="J1353" s="88">
        <f>SUMIF(月間集計シート!$M$29:$M$48,$G1353,月間集計シート!N$29:N$48)*J$2</f>
        <v>0</v>
      </c>
      <c r="K1353" s="88">
        <f>SUMIF(月間集計シート!$M$29:$M$48,$G1353,月間集計シート!O$29:O$48)*K$2</f>
        <v>0</v>
      </c>
      <c r="L1353" s="88">
        <f>SUMIF(月間集計シート!$M$29:$M$48,$G1353,月間集計シート!P$29:P$48)*L$2</f>
        <v>0</v>
      </c>
      <c r="M1353" s="88">
        <f>SUMIF(月間集計シート!$M$29:$M$48,$G1353,月間集計シート!Q$29:Q$48)*M$2</f>
        <v>0</v>
      </c>
      <c r="N1353" s="88">
        <f>SUMIF(月間集計シート!$M$29:$M$48,$G1353,月間集計シート!R$29:R$48)*N$2</f>
        <v>0</v>
      </c>
      <c r="O1353" s="88">
        <f>SUMIF(月間集計シート!$M$29:$M$48,$G1353,月間集計シート!S$29:S$48)*O$2</f>
        <v>0</v>
      </c>
      <c r="P1353" s="88">
        <f>SUMIF(月間集計シート!$M$29:$M$48,$G1353,月間集計シート!T$29:T$48)*P$2</f>
        <v>0</v>
      </c>
      <c r="Q1353" s="88">
        <f>SUMIF(月間集計シート!$M$50:$M$69,$G1353,月間集計シート!N$50:N$69)*Q$2</f>
        <v>0</v>
      </c>
      <c r="R1353" s="88">
        <f>SUMIF(月間集計シート!$M$50:$M$69,$G1353,月間集計シート!O$50:O$69)*R$2</f>
        <v>0</v>
      </c>
      <c r="S1353" s="88">
        <f>SUMIF(月間集計シート!$M$50:$M$69,$G1353,月間集計シート!P$50:P$69)*S$2</f>
        <v>0</v>
      </c>
      <c r="T1353" s="88">
        <f>SUMIF(月間集計シート!$M$50:$M$69,$G1353,月間集計シート!Q$50:Q$69)*T$2</f>
        <v>0</v>
      </c>
      <c r="U1353" s="88">
        <f>SUMIF(月間集計シート!$M$50:$M$69,$G1353,月間集計シート!R$50:R$69)*U$2</f>
        <v>0</v>
      </c>
      <c r="V1353" s="88">
        <f>SUMIF(月間集計シート!$M$50:$M$69,$G1353,月間集計シート!S$50:S$69)*V$2</f>
        <v>0</v>
      </c>
      <c r="W1353" s="88">
        <f>SUMIF(月間集計シート!$M$50:$M$69,$G1353,月間集計シート!T$50:T$69)*W$2</f>
        <v>0</v>
      </c>
      <c r="X1353" s="88">
        <f>SUMIF(月間集計シート!$M$71:$M$90,$G1353,月間集計シート!N$71:N$90)*X$2</f>
        <v>0</v>
      </c>
      <c r="Y1353" s="88">
        <f>SUMIF(月間集計シート!$M$71:$M$90,$G1353,月間集計シート!O$71:O$90)*Y$2</f>
        <v>0</v>
      </c>
      <c r="Z1353" s="88">
        <f>SUMIF(月間集計シート!$M$71:$M$90,$G1353,月間集計シート!P$71:P$90)*Z$2</f>
        <v>0</v>
      </c>
      <c r="AA1353" s="88">
        <f>SUMIF(月間集計シート!$M$71:$M$90,$G1353,月間集計シート!Q$71:Q$90)*AA$2</f>
        <v>0</v>
      </c>
      <c r="AB1353" s="88">
        <f>SUMIF(月間集計シート!$M$71:$M$90,$G1353,月間集計シート!R$71:R$90)*AB$2</f>
        <v>0</v>
      </c>
      <c r="AC1353" s="88">
        <f>SUMIF(月間集計シート!$M$71:$M$90,$G1353,月間集計シート!S$71:S$90)*AC$2</f>
        <v>0</v>
      </c>
      <c r="AD1353" s="88">
        <f>SUMIF(月間集計シート!$M$71:$M$90,$G1353,月間集計シート!T$71:T$90)*AD$2</f>
        <v>0</v>
      </c>
      <c r="AE1353" s="88">
        <f>SUMIF(月間集計シート!$M$92:$M$111,$G1353,月間集計シート!N$92:N$111)*AE$2</f>
        <v>0</v>
      </c>
      <c r="AF1353" s="88">
        <f>SUMIF(月間集計シート!$M$92:$M$111,$G1353,月間集計シート!O$92:O$111)*AF$2</f>
        <v>0</v>
      </c>
      <c r="AG1353" s="88">
        <f>SUMIF(月間集計シート!$M$92:$M$111,$G1353,月間集計シート!P$92:P$111)*AG$2</f>
        <v>0</v>
      </c>
      <c r="AH1353" s="88">
        <f>SUMIF(月間集計シート!$M$92:$M$111,$G1353,月間集計シート!Q$92:Q$111)*AH$2</f>
        <v>0</v>
      </c>
      <c r="AI1353" s="88">
        <f>SUMIF(月間集計シート!$M$92:$M$111,$G1353,月間集計シート!R$92:R$111)*AI$2</f>
        <v>0</v>
      </c>
      <c r="AJ1353" s="88">
        <f>SUMIF(月間集計シート!$M$92:$M$111,$G1353,月間集計シート!S$92:S$111)*AJ$2</f>
        <v>0</v>
      </c>
      <c r="AK1353" s="88">
        <f>SUMIF(月間集計シート!$M$92:$M$111,$G1353,月間集計シート!T$92:T$111)*AK$2</f>
        <v>0</v>
      </c>
      <c r="AL1353" s="88">
        <f>SUMIF(月間集計シート!$M$113:$M$132,$G1353,月間集計シート!N$113:N$132)*AL$2</f>
        <v>0</v>
      </c>
      <c r="AM1353" s="88">
        <f>SUMIF(月間集計シート!$M$113:$M$132,$G1353,月間集計シート!O$113:O$132)*AM$2</f>
        <v>0</v>
      </c>
      <c r="AN1353" s="88">
        <f>SUMIF(月間集計シート!$M$113:$M$132,$G1353,月間集計シート!P$113:P$132)*AN$2</f>
        <v>0</v>
      </c>
      <c r="AO1353" s="88">
        <f>SUMIF(月間集計シート!$M$113:$M$132,$G1353,月間集計シート!Q$113:Q$132)*AO$2</f>
        <v>0</v>
      </c>
      <c r="AP1353" s="88">
        <f>SUMIF(月間集計シート!$M$113:$M$132,$G1353,月間集計シート!R$113:R$132)*AP$2</f>
        <v>0</v>
      </c>
      <c r="AQ1353" s="88">
        <f>SUMIF(月間集計シート!$M$113:$M$132,$G1353,月間集計シート!S$113:S$132)*AQ$2</f>
        <v>0</v>
      </c>
      <c r="AR1353" s="88">
        <f>SUMIF(月間集計シート!$M$113:$M$132,$G1353,月間集計シート!T$113:T$132)*AR$2</f>
        <v>0</v>
      </c>
      <c r="AS1353" s="88">
        <f>SUMIF(月間集計シート!$M$134:$M$153,$G1353,月間集計シート!N$134:N$153)*AS$2</f>
        <v>0</v>
      </c>
      <c r="AT1353" s="88">
        <f>SUMIF(月間集計シート!$M$134:$M$153,$G1353,月間集計シート!O$134:O$153)*AT$2</f>
        <v>0</v>
      </c>
      <c r="AU1353" s="88">
        <f>SUMIF(月間集計シート!$M$134:$M$153,$G1353,月間集計シート!P$134:P$153)*AU$2</f>
        <v>0</v>
      </c>
      <c r="AV1353" s="88">
        <f>SUMIF(月間集計シート!$M$134:$M$153,$G1353,月間集計シート!Q$134:Q$153)*AV$2</f>
        <v>0</v>
      </c>
      <c r="AW1353" s="88">
        <f>SUMIF(月間集計シート!$M$134:$M$153,$G1353,月間集計シート!R$134:R$153)*AW$2</f>
        <v>0</v>
      </c>
      <c r="AX1353" s="88">
        <f>SUMIF(月間集計シート!$M$134:$M$153,$G1353,月間集計シート!S$134:S$153)*AX$2</f>
        <v>0</v>
      </c>
      <c r="AY1353" s="88">
        <f>SUMIF(月間集計シート!$M$134:$M$153,$G1353,月間集計シート!T$134:T$153)*AY$2</f>
        <v>0</v>
      </c>
    </row>
    <row r="1354" spans="1:51" ht="14.25" thickBot="1">
      <c r="A1354">
        <v>16</v>
      </c>
      <c r="B1354" s="120">
        <f t="shared" si="735"/>
        <v>0</v>
      </c>
      <c r="C1354" s="120" t="str">
        <f t="shared" si="735"/>
        <v/>
      </c>
      <c r="D1354" s="137"/>
      <c r="E1354" s="150" t="str">
        <f>工種!A71</f>
        <v>90105</v>
      </c>
      <c r="F1354" s="119" t="str">
        <f>工種!B71</f>
        <v>管理業務：SRB管理</v>
      </c>
      <c r="G1354" s="116" t="str">
        <f t="shared" si="732"/>
        <v>090105</v>
      </c>
      <c r="H1354" s="88">
        <f t="shared" si="734"/>
        <v>0</v>
      </c>
      <c r="I1354" s="132"/>
      <c r="J1354" s="88">
        <f>SUMIF(月間集計シート!$M$29:$M$48,$G1354,月間集計シート!N$29:N$48)*J$2</f>
        <v>0</v>
      </c>
      <c r="K1354" s="88">
        <f>SUMIF(月間集計シート!$M$29:$M$48,$G1354,月間集計シート!O$29:O$48)*K$2</f>
        <v>0</v>
      </c>
      <c r="L1354" s="88">
        <f>SUMIF(月間集計シート!$M$29:$M$48,$G1354,月間集計シート!P$29:P$48)*L$2</f>
        <v>0</v>
      </c>
      <c r="M1354" s="88">
        <f>SUMIF(月間集計シート!$M$29:$M$48,$G1354,月間集計シート!Q$29:Q$48)*M$2</f>
        <v>0</v>
      </c>
      <c r="N1354" s="88">
        <f>SUMIF(月間集計シート!$M$29:$M$48,$G1354,月間集計シート!R$29:R$48)*N$2</f>
        <v>0</v>
      </c>
      <c r="O1354" s="88">
        <f>SUMIF(月間集計シート!$M$29:$M$48,$G1354,月間集計シート!S$29:S$48)*O$2</f>
        <v>0</v>
      </c>
      <c r="P1354" s="88">
        <f>SUMIF(月間集計シート!$M$29:$M$48,$G1354,月間集計シート!T$29:T$48)*P$2</f>
        <v>0</v>
      </c>
      <c r="Q1354" s="88">
        <f>SUMIF(月間集計シート!$M$50:$M$69,$G1354,月間集計シート!N$50:N$69)*Q$2</f>
        <v>0</v>
      </c>
      <c r="R1354" s="88">
        <f>SUMIF(月間集計シート!$M$50:$M$69,$G1354,月間集計シート!O$50:O$69)*R$2</f>
        <v>0</v>
      </c>
      <c r="S1354" s="88">
        <f>SUMIF(月間集計シート!$M$50:$M$69,$G1354,月間集計シート!P$50:P$69)*S$2</f>
        <v>0</v>
      </c>
      <c r="T1354" s="88">
        <f>SUMIF(月間集計シート!$M$50:$M$69,$G1354,月間集計シート!Q$50:Q$69)*T$2</f>
        <v>0</v>
      </c>
      <c r="U1354" s="88">
        <f>SUMIF(月間集計シート!$M$50:$M$69,$G1354,月間集計シート!R$50:R$69)*U$2</f>
        <v>0</v>
      </c>
      <c r="V1354" s="88">
        <f>SUMIF(月間集計シート!$M$50:$M$69,$G1354,月間集計シート!S$50:S$69)*V$2</f>
        <v>0</v>
      </c>
      <c r="W1354" s="88">
        <f>SUMIF(月間集計シート!$M$50:$M$69,$G1354,月間集計シート!T$50:T$69)*W$2</f>
        <v>0</v>
      </c>
      <c r="X1354" s="88">
        <f>SUMIF(月間集計シート!$M$71:$M$90,$G1354,月間集計シート!N$71:N$90)*X$2</f>
        <v>0</v>
      </c>
      <c r="Y1354" s="88">
        <f>SUMIF(月間集計シート!$M$71:$M$90,$G1354,月間集計シート!O$71:O$90)*Y$2</f>
        <v>0</v>
      </c>
      <c r="Z1354" s="88">
        <f>SUMIF(月間集計シート!$M$71:$M$90,$G1354,月間集計シート!P$71:P$90)*Z$2</f>
        <v>0</v>
      </c>
      <c r="AA1354" s="88">
        <f>SUMIF(月間集計シート!$M$71:$M$90,$G1354,月間集計シート!Q$71:Q$90)*AA$2</f>
        <v>0</v>
      </c>
      <c r="AB1354" s="88">
        <f>SUMIF(月間集計シート!$M$71:$M$90,$G1354,月間集計シート!R$71:R$90)*AB$2</f>
        <v>0</v>
      </c>
      <c r="AC1354" s="88">
        <f>SUMIF(月間集計シート!$M$71:$M$90,$G1354,月間集計シート!S$71:S$90)*AC$2</f>
        <v>0</v>
      </c>
      <c r="AD1354" s="88">
        <f>SUMIF(月間集計シート!$M$71:$M$90,$G1354,月間集計シート!T$71:T$90)*AD$2</f>
        <v>0</v>
      </c>
      <c r="AE1354" s="88">
        <f>SUMIF(月間集計シート!$M$92:$M$111,$G1354,月間集計シート!N$92:N$111)*AE$2</f>
        <v>0</v>
      </c>
      <c r="AF1354" s="88">
        <f>SUMIF(月間集計シート!$M$92:$M$111,$G1354,月間集計シート!O$92:O$111)*AF$2</f>
        <v>0</v>
      </c>
      <c r="AG1354" s="88">
        <f>SUMIF(月間集計シート!$M$92:$M$111,$G1354,月間集計シート!P$92:P$111)*AG$2</f>
        <v>0</v>
      </c>
      <c r="AH1354" s="88">
        <f>SUMIF(月間集計シート!$M$92:$M$111,$G1354,月間集計シート!Q$92:Q$111)*AH$2</f>
        <v>0</v>
      </c>
      <c r="AI1354" s="88">
        <f>SUMIF(月間集計シート!$M$92:$M$111,$G1354,月間集計シート!R$92:R$111)*AI$2</f>
        <v>0</v>
      </c>
      <c r="AJ1354" s="88">
        <f>SUMIF(月間集計シート!$M$92:$M$111,$G1354,月間集計シート!S$92:S$111)*AJ$2</f>
        <v>0</v>
      </c>
      <c r="AK1354" s="88">
        <f>SUMIF(月間集計シート!$M$92:$M$111,$G1354,月間集計シート!T$92:T$111)*AK$2</f>
        <v>0</v>
      </c>
      <c r="AL1354" s="88">
        <f>SUMIF(月間集計シート!$M$113:$M$132,$G1354,月間集計シート!N$113:N$132)*AL$2</f>
        <v>0</v>
      </c>
      <c r="AM1354" s="88">
        <f>SUMIF(月間集計シート!$M$113:$M$132,$G1354,月間集計シート!O$113:O$132)*AM$2</f>
        <v>0</v>
      </c>
      <c r="AN1354" s="88">
        <f>SUMIF(月間集計シート!$M$113:$M$132,$G1354,月間集計シート!P$113:P$132)*AN$2</f>
        <v>0</v>
      </c>
      <c r="AO1354" s="88">
        <f>SUMIF(月間集計シート!$M$113:$M$132,$G1354,月間集計シート!Q$113:Q$132)*AO$2</f>
        <v>0</v>
      </c>
      <c r="AP1354" s="88">
        <f>SUMIF(月間集計シート!$M$113:$M$132,$G1354,月間集計シート!R$113:R$132)*AP$2</f>
        <v>0</v>
      </c>
      <c r="AQ1354" s="88">
        <f>SUMIF(月間集計シート!$M$113:$M$132,$G1354,月間集計シート!S$113:S$132)*AQ$2</f>
        <v>0</v>
      </c>
      <c r="AR1354" s="88">
        <f>SUMIF(月間集計シート!$M$113:$M$132,$G1354,月間集計シート!T$113:T$132)*AR$2</f>
        <v>0</v>
      </c>
      <c r="AS1354" s="88">
        <f>SUMIF(月間集計シート!$M$134:$M$153,$G1354,月間集計シート!N$134:N$153)*AS$2</f>
        <v>0</v>
      </c>
      <c r="AT1354" s="88">
        <f>SUMIF(月間集計シート!$M$134:$M$153,$G1354,月間集計シート!O$134:O$153)*AT$2</f>
        <v>0</v>
      </c>
      <c r="AU1354" s="88">
        <f>SUMIF(月間集計シート!$M$134:$M$153,$G1354,月間集計シート!P$134:P$153)*AU$2</f>
        <v>0</v>
      </c>
      <c r="AV1354" s="88">
        <f>SUMIF(月間集計シート!$M$134:$M$153,$G1354,月間集計シート!Q$134:Q$153)*AV$2</f>
        <v>0</v>
      </c>
      <c r="AW1354" s="88">
        <f>SUMIF(月間集計シート!$M$134:$M$153,$G1354,月間集計シート!R$134:R$153)*AW$2</f>
        <v>0</v>
      </c>
      <c r="AX1354" s="88">
        <f>SUMIF(月間集計シート!$M$134:$M$153,$G1354,月間集計シート!S$134:S$153)*AX$2</f>
        <v>0</v>
      </c>
      <c r="AY1354" s="88">
        <f>SUMIF(月間集計シート!$M$134:$M$153,$G1354,月間集計シート!T$134:T$153)*AY$2</f>
        <v>0</v>
      </c>
    </row>
    <row r="1355" spans="1:51" ht="14.25" thickBot="1">
      <c r="A1355">
        <v>16</v>
      </c>
      <c r="B1355" s="120">
        <f t="shared" si="735"/>
        <v>0</v>
      </c>
      <c r="C1355" s="120" t="str">
        <f t="shared" si="735"/>
        <v/>
      </c>
      <c r="D1355" s="137"/>
      <c r="E1355" s="150" t="str">
        <f>工種!A72</f>
        <v>90107</v>
      </c>
      <c r="F1355" s="119" t="str">
        <f>工種!B72</f>
        <v>管理業務：開発事務作業</v>
      </c>
      <c r="G1355" s="116" t="str">
        <f t="shared" si="732"/>
        <v>090107</v>
      </c>
      <c r="H1355" s="88">
        <f t="shared" si="734"/>
        <v>0</v>
      </c>
      <c r="I1355" s="132"/>
      <c r="J1355" s="88">
        <f>SUMIF(月間集計シート!$M$29:$M$48,$G1355,月間集計シート!N$29:N$48)*J$2</f>
        <v>0</v>
      </c>
      <c r="K1355" s="88">
        <f>SUMIF(月間集計シート!$M$29:$M$48,$G1355,月間集計シート!O$29:O$48)*K$2</f>
        <v>0</v>
      </c>
      <c r="L1355" s="88">
        <f>SUMIF(月間集計シート!$M$29:$M$48,$G1355,月間集計シート!P$29:P$48)*L$2</f>
        <v>0</v>
      </c>
      <c r="M1355" s="88">
        <f>SUMIF(月間集計シート!$M$29:$M$48,$G1355,月間集計シート!Q$29:Q$48)*M$2</f>
        <v>0</v>
      </c>
      <c r="N1355" s="88">
        <f>SUMIF(月間集計シート!$M$29:$M$48,$G1355,月間集計シート!R$29:R$48)*N$2</f>
        <v>0</v>
      </c>
      <c r="O1355" s="88">
        <f>SUMIF(月間集計シート!$M$29:$M$48,$G1355,月間集計シート!S$29:S$48)*O$2</f>
        <v>0</v>
      </c>
      <c r="P1355" s="88">
        <f>SUMIF(月間集計シート!$M$29:$M$48,$G1355,月間集計シート!T$29:T$48)*P$2</f>
        <v>0</v>
      </c>
      <c r="Q1355" s="88">
        <f>SUMIF(月間集計シート!$M$50:$M$69,$G1355,月間集計シート!N$50:N$69)*Q$2</f>
        <v>0</v>
      </c>
      <c r="R1355" s="88">
        <f>SUMIF(月間集計シート!$M$50:$M$69,$G1355,月間集計シート!O$50:O$69)*R$2</f>
        <v>0</v>
      </c>
      <c r="S1355" s="88">
        <f>SUMIF(月間集計シート!$M$50:$M$69,$G1355,月間集計シート!P$50:P$69)*S$2</f>
        <v>0</v>
      </c>
      <c r="T1355" s="88">
        <f>SUMIF(月間集計シート!$M$50:$M$69,$G1355,月間集計シート!Q$50:Q$69)*T$2</f>
        <v>0</v>
      </c>
      <c r="U1355" s="88">
        <f>SUMIF(月間集計シート!$M$50:$M$69,$G1355,月間集計シート!R$50:R$69)*U$2</f>
        <v>0</v>
      </c>
      <c r="V1355" s="88">
        <f>SUMIF(月間集計シート!$M$50:$M$69,$G1355,月間集計シート!S$50:S$69)*V$2</f>
        <v>0</v>
      </c>
      <c r="W1355" s="88">
        <f>SUMIF(月間集計シート!$M$50:$M$69,$G1355,月間集計シート!T$50:T$69)*W$2</f>
        <v>0</v>
      </c>
      <c r="X1355" s="88">
        <f>SUMIF(月間集計シート!$M$71:$M$90,$G1355,月間集計シート!N$71:N$90)*X$2</f>
        <v>0</v>
      </c>
      <c r="Y1355" s="88">
        <f>SUMIF(月間集計シート!$M$71:$M$90,$G1355,月間集計シート!O$71:O$90)*Y$2</f>
        <v>0</v>
      </c>
      <c r="Z1355" s="88">
        <f>SUMIF(月間集計シート!$M$71:$M$90,$G1355,月間集計シート!P$71:P$90)*Z$2</f>
        <v>0</v>
      </c>
      <c r="AA1355" s="88">
        <f>SUMIF(月間集計シート!$M$71:$M$90,$G1355,月間集計シート!Q$71:Q$90)*AA$2</f>
        <v>0</v>
      </c>
      <c r="AB1355" s="88">
        <f>SUMIF(月間集計シート!$M$71:$M$90,$G1355,月間集計シート!R$71:R$90)*AB$2</f>
        <v>0</v>
      </c>
      <c r="AC1355" s="88">
        <f>SUMIF(月間集計シート!$M$71:$M$90,$G1355,月間集計シート!S$71:S$90)*AC$2</f>
        <v>0</v>
      </c>
      <c r="AD1355" s="88">
        <f>SUMIF(月間集計シート!$M$71:$M$90,$G1355,月間集計シート!T$71:T$90)*AD$2</f>
        <v>0</v>
      </c>
      <c r="AE1355" s="88">
        <f>SUMIF(月間集計シート!$M$92:$M$111,$G1355,月間集計シート!N$92:N$111)*AE$2</f>
        <v>0</v>
      </c>
      <c r="AF1355" s="88">
        <f>SUMIF(月間集計シート!$M$92:$M$111,$G1355,月間集計シート!O$92:O$111)*AF$2</f>
        <v>0</v>
      </c>
      <c r="AG1355" s="88">
        <f>SUMIF(月間集計シート!$M$92:$M$111,$G1355,月間集計シート!P$92:P$111)*AG$2</f>
        <v>0</v>
      </c>
      <c r="AH1355" s="88">
        <f>SUMIF(月間集計シート!$M$92:$M$111,$G1355,月間集計シート!Q$92:Q$111)*AH$2</f>
        <v>0</v>
      </c>
      <c r="AI1355" s="88">
        <f>SUMIF(月間集計シート!$M$92:$M$111,$G1355,月間集計シート!R$92:R$111)*AI$2</f>
        <v>0</v>
      </c>
      <c r="AJ1355" s="88">
        <f>SUMIF(月間集計シート!$M$92:$M$111,$G1355,月間集計シート!S$92:S$111)*AJ$2</f>
        <v>0</v>
      </c>
      <c r="AK1355" s="88">
        <f>SUMIF(月間集計シート!$M$92:$M$111,$G1355,月間集計シート!T$92:T$111)*AK$2</f>
        <v>0</v>
      </c>
      <c r="AL1355" s="88">
        <f>SUMIF(月間集計シート!$M$113:$M$132,$G1355,月間集計シート!N$113:N$132)*AL$2</f>
        <v>0</v>
      </c>
      <c r="AM1355" s="88">
        <f>SUMIF(月間集計シート!$M$113:$M$132,$G1355,月間集計シート!O$113:O$132)*AM$2</f>
        <v>0</v>
      </c>
      <c r="AN1355" s="88">
        <f>SUMIF(月間集計シート!$M$113:$M$132,$G1355,月間集計シート!P$113:P$132)*AN$2</f>
        <v>0</v>
      </c>
      <c r="AO1355" s="88">
        <f>SUMIF(月間集計シート!$M$113:$M$132,$G1355,月間集計シート!Q$113:Q$132)*AO$2</f>
        <v>0</v>
      </c>
      <c r="AP1355" s="88">
        <f>SUMIF(月間集計シート!$M$113:$M$132,$G1355,月間集計シート!R$113:R$132)*AP$2</f>
        <v>0</v>
      </c>
      <c r="AQ1355" s="88">
        <f>SUMIF(月間集計シート!$M$113:$M$132,$G1355,月間集計シート!S$113:S$132)*AQ$2</f>
        <v>0</v>
      </c>
      <c r="AR1355" s="88">
        <f>SUMIF(月間集計シート!$M$113:$M$132,$G1355,月間集計シート!T$113:T$132)*AR$2</f>
        <v>0</v>
      </c>
      <c r="AS1355" s="88">
        <f>SUMIF(月間集計シート!$M$134:$M$153,$G1355,月間集計シート!N$134:N$153)*AS$2</f>
        <v>0</v>
      </c>
      <c r="AT1355" s="88">
        <f>SUMIF(月間集計シート!$M$134:$M$153,$G1355,月間集計シート!O$134:O$153)*AT$2</f>
        <v>0</v>
      </c>
      <c r="AU1355" s="88">
        <f>SUMIF(月間集計シート!$M$134:$M$153,$G1355,月間集計シート!P$134:P$153)*AU$2</f>
        <v>0</v>
      </c>
      <c r="AV1355" s="88">
        <f>SUMIF(月間集計シート!$M$134:$M$153,$G1355,月間集計シート!Q$134:Q$153)*AV$2</f>
        <v>0</v>
      </c>
      <c r="AW1355" s="88">
        <f>SUMIF(月間集計シート!$M$134:$M$153,$G1355,月間集計シート!R$134:R$153)*AW$2</f>
        <v>0</v>
      </c>
      <c r="AX1355" s="88">
        <f>SUMIF(月間集計シート!$M$134:$M$153,$G1355,月間集計シート!S$134:S$153)*AX$2</f>
        <v>0</v>
      </c>
      <c r="AY1355" s="88">
        <f>SUMIF(月間集計シート!$M$134:$M$153,$G1355,月間集計シート!T$134:T$153)*AY$2</f>
        <v>0</v>
      </c>
    </row>
    <row r="1356" spans="1:51" ht="14.25" thickBot="1">
      <c r="A1356">
        <v>16</v>
      </c>
      <c r="B1356" s="120">
        <f t="shared" si="735"/>
        <v>0</v>
      </c>
      <c r="C1356" s="120" t="str">
        <f t="shared" si="735"/>
        <v/>
      </c>
      <c r="D1356" s="137"/>
      <c r="E1356" s="150" t="str">
        <f>工種!A73</f>
        <v>90108</v>
      </c>
      <c r="F1356" s="119" t="str">
        <f>工種!B73</f>
        <v>管理業務：外部不具合分析</v>
      </c>
      <c r="G1356" s="116" t="str">
        <f t="shared" si="732"/>
        <v>090108</v>
      </c>
      <c r="H1356" s="88">
        <f t="shared" si="734"/>
        <v>0</v>
      </c>
      <c r="I1356" s="132"/>
      <c r="J1356" s="88">
        <f>SUMIF(月間集計シート!$M$29:$M$48,$G1356,月間集計シート!N$29:N$48)*J$2</f>
        <v>0</v>
      </c>
      <c r="K1356" s="88">
        <f>SUMIF(月間集計シート!$M$29:$M$48,$G1356,月間集計シート!O$29:O$48)*K$2</f>
        <v>0</v>
      </c>
      <c r="L1356" s="88">
        <f>SUMIF(月間集計シート!$M$29:$M$48,$G1356,月間集計シート!P$29:P$48)*L$2</f>
        <v>0</v>
      </c>
      <c r="M1356" s="88">
        <f>SUMIF(月間集計シート!$M$29:$M$48,$G1356,月間集計シート!Q$29:Q$48)*M$2</f>
        <v>0</v>
      </c>
      <c r="N1356" s="88">
        <f>SUMIF(月間集計シート!$M$29:$M$48,$G1356,月間集計シート!R$29:R$48)*N$2</f>
        <v>0</v>
      </c>
      <c r="O1356" s="88">
        <f>SUMIF(月間集計シート!$M$29:$M$48,$G1356,月間集計シート!S$29:S$48)*O$2</f>
        <v>0</v>
      </c>
      <c r="P1356" s="88">
        <f>SUMIF(月間集計シート!$M$29:$M$48,$G1356,月間集計シート!T$29:T$48)*P$2</f>
        <v>0</v>
      </c>
      <c r="Q1356" s="88">
        <f>SUMIF(月間集計シート!$M$50:$M$69,$G1356,月間集計シート!N$50:N$69)*Q$2</f>
        <v>0</v>
      </c>
      <c r="R1356" s="88">
        <f>SUMIF(月間集計シート!$M$50:$M$69,$G1356,月間集計シート!O$50:O$69)*R$2</f>
        <v>0</v>
      </c>
      <c r="S1356" s="88">
        <f>SUMIF(月間集計シート!$M$50:$M$69,$G1356,月間集計シート!P$50:P$69)*S$2</f>
        <v>0</v>
      </c>
      <c r="T1356" s="88">
        <f>SUMIF(月間集計シート!$M$50:$M$69,$G1356,月間集計シート!Q$50:Q$69)*T$2</f>
        <v>0</v>
      </c>
      <c r="U1356" s="88">
        <f>SUMIF(月間集計シート!$M$50:$M$69,$G1356,月間集計シート!R$50:R$69)*U$2</f>
        <v>0</v>
      </c>
      <c r="V1356" s="88">
        <f>SUMIF(月間集計シート!$M$50:$M$69,$G1356,月間集計シート!S$50:S$69)*V$2</f>
        <v>0</v>
      </c>
      <c r="W1356" s="88">
        <f>SUMIF(月間集計シート!$M$50:$M$69,$G1356,月間集計シート!T$50:T$69)*W$2</f>
        <v>0</v>
      </c>
      <c r="X1356" s="88">
        <f>SUMIF(月間集計シート!$M$71:$M$90,$G1356,月間集計シート!N$71:N$90)*X$2</f>
        <v>0</v>
      </c>
      <c r="Y1356" s="88">
        <f>SUMIF(月間集計シート!$M$71:$M$90,$G1356,月間集計シート!O$71:O$90)*Y$2</f>
        <v>0</v>
      </c>
      <c r="Z1356" s="88">
        <f>SUMIF(月間集計シート!$M$71:$M$90,$G1356,月間集計シート!P$71:P$90)*Z$2</f>
        <v>0</v>
      </c>
      <c r="AA1356" s="88">
        <f>SUMIF(月間集計シート!$M$71:$M$90,$G1356,月間集計シート!Q$71:Q$90)*AA$2</f>
        <v>0</v>
      </c>
      <c r="AB1356" s="88">
        <f>SUMIF(月間集計シート!$M$71:$M$90,$G1356,月間集計シート!R$71:R$90)*AB$2</f>
        <v>0</v>
      </c>
      <c r="AC1356" s="88">
        <f>SUMIF(月間集計シート!$M$71:$M$90,$G1356,月間集計シート!S$71:S$90)*AC$2</f>
        <v>0</v>
      </c>
      <c r="AD1356" s="88">
        <f>SUMIF(月間集計シート!$M$71:$M$90,$G1356,月間集計シート!T$71:T$90)*AD$2</f>
        <v>0</v>
      </c>
      <c r="AE1356" s="88">
        <f>SUMIF(月間集計シート!$M$92:$M$111,$G1356,月間集計シート!N$92:N$111)*AE$2</f>
        <v>0</v>
      </c>
      <c r="AF1356" s="88">
        <f>SUMIF(月間集計シート!$M$92:$M$111,$G1356,月間集計シート!O$92:O$111)*AF$2</f>
        <v>0</v>
      </c>
      <c r="AG1356" s="88">
        <f>SUMIF(月間集計シート!$M$92:$M$111,$G1356,月間集計シート!P$92:P$111)*AG$2</f>
        <v>0</v>
      </c>
      <c r="AH1356" s="88">
        <f>SUMIF(月間集計シート!$M$92:$M$111,$G1356,月間集計シート!Q$92:Q$111)*AH$2</f>
        <v>0</v>
      </c>
      <c r="AI1356" s="88">
        <f>SUMIF(月間集計シート!$M$92:$M$111,$G1356,月間集計シート!R$92:R$111)*AI$2</f>
        <v>0</v>
      </c>
      <c r="AJ1356" s="88">
        <f>SUMIF(月間集計シート!$M$92:$M$111,$G1356,月間集計シート!S$92:S$111)*AJ$2</f>
        <v>0</v>
      </c>
      <c r="AK1356" s="88">
        <f>SUMIF(月間集計シート!$M$92:$M$111,$G1356,月間集計シート!T$92:T$111)*AK$2</f>
        <v>0</v>
      </c>
      <c r="AL1356" s="88">
        <f>SUMIF(月間集計シート!$M$113:$M$132,$G1356,月間集計シート!N$113:N$132)*AL$2</f>
        <v>0</v>
      </c>
      <c r="AM1356" s="88">
        <f>SUMIF(月間集計シート!$M$113:$M$132,$G1356,月間集計シート!O$113:O$132)*AM$2</f>
        <v>0</v>
      </c>
      <c r="AN1356" s="88">
        <f>SUMIF(月間集計シート!$M$113:$M$132,$G1356,月間集計シート!P$113:P$132)*AN$2</f>
        <v>0</v>
      </c>
      <c r="AO1356" s="88">
        <f>SUMIF(月間集計シート!$M$113:$M$132,$G1356,月間集計シート!Q$113:Q$132)*AO$2</f>
        <v>0</v>
      </c>
      <c r="AP1356" s="88">
        <f>SUMIF(月間集計シート!$M$113:$M$132,$G1356,月間集計シート!R$113:R$132)*AP$2</f>
        <v>0</v>
      </c>
      <c r="AQ1356" s="88">
        <f>SUMIF(月間集計シート!$M$113:$M$132,$G1356,月間集計シート!S$113:S$132)*AQ$2</f>
        <v>0</v>
      </c>
      <c r="AR1356" s="88">
        <f>SUMIF(月間集計シート!$M$113:$M$132,$G1356,月間集計シート!T$113:T$132)*AR$2</f>
        <v>0</v>
      </c>
      <c r="AS1356" s="88">
        <f>SUMIF(月間集計シート!$M$134:$M$153,$G1356,月間集計シート!N$134:N$153)*AS$2</f>
        <v>0</v>
      </c>
      <c r="AT1356" s="88">
        <f>SUMIF(月間集計シート!$M$134:$M$153,$G1356,月間集計シート!O$134:O$153)*AT$2</f>
        <v>0</v>
      </c>
      <c r="AU1356" s="88">
        <f>SUMIF(月間集計シート!$M$134:$M$153,$G1356,月間集計シート!P$134:P$153)*AU$2</f>
        <v>0</v>
      </c>
      <c r="AV1356" s="88">
        <f>SUMIF(月間集計シート!$M$134:$M$153,$G1356,月間集計シート!Q$134:Q$153)*AV$2</f>
        <v>0</v>
      </c>
      <c r="AW1356" s="88">
        <f>SUMIF(月間集計シート!$M$134:$M$153,$G1356,月間集計シート!R$134:R$153)*AW$2</f>
        <v>0</v>
      </c>
      <c r="AX1356" s="88">
        <f>SUMIF(月間集計シート!$M$134:$M$153,$G1356,月間集計シート!S$134:S$153)*AX$2</f>
        <v>0</v>
      </c>
      <c r="AY1356" s="88">
        <f>SUMIF(月間集計シート!$M$134:$M$153,$G1356,月間集計シート!T$134:T$153)*AY$2</f>
        <v>0</v>
      </c>
    </row>
    <row r="1357" spans="1:51" ht="14.25" thickBot="1">
      <c r="A1357">
        <v>16</v>
      </c>
      <c r="B1357" s="120">
        <f t="shared" si="735"/>
        <v>0</v>
      </c>
      <c r="C1357" s="120" t="str">
        <f t="shared" si="735"/>
        <v/>
      </c>
      <c r="D1357" s="137"/>
      <c r="E1357" s="150" t="str">
        <f>工種!A74</f>
        <v>90110</v>
      </c>
      <c r="F1357" s="119" t="str">
        <f>工種!B74</f>
        <v>管理業務：打合せ</v>
      </c>
      <c r="G1357" s="116" t="str">
        <f t="shared" si="732"/>
        <v>090110</v>
      </c>
      <c r="H1357" s="88">
        <f t="shared" si="734"/>
        <v>0</v>
      </c>
      <c r="I1357" s="132"/>
      <c r="J1357" s="88">
        <f>SUMIF(月間集計シート!$M$29:$M$48,$G1357,月間集計シート!N$29:N$48)*J$2</f>
        <v>0</v>
      </c>
      <c r="K1357" s="88">
        <f>SUMIF(月間集計シート!$M$29:$M$48,$G1357,月間集計シート!O$29:O$48)*K$2</f>
        <v>0</v>
      </c>
      <c r="L1357" s="88">
        <f>SUMIF(月間集計シート!$M$29:$M$48,$G1357,月間集計シート!P$29:P$48)*L$2</f>
        <v>0</v>
      </c>
      <c r="M1357" s="88">
        <f>SUMIF(月間集計シート!$M$29:$M$48,$G1357,月間集計シート!Q$29:Q$48)*M$2</f>
        <v>0</v>
      </c>
      <c r="N1357" s="88">
        <f>SUMIF(月間集計シート!$M$29:$M$48,$G1357,月間集計シート!R$29:R$48)*N$2</f>
        <v>0</v>
      </c>
      <c r="O1357" s="88">
        <f>SUMIF(月間集計シート!$M$29:$M$48,$G1357,月間集計シート!S$29:S$48)*O$2</f>
        <v>0</v>
      </c>
      <c r="P1357" s="88">
        <f>SUMIF(月間集計シート!$M$29:$M$48,$G1357,月間集計シート!T$29:T$48)*P$2</f>
        <v>0</v>
      </c>
      <c r="Q1357" s="88">
        <f>SUMIF(月間集計シート!$M$50:$M$69,$G1357,月間集計シート!N$50:N$69)*Q$2</f>
        <v>0</v>
      </c>
      <c r="R1357" s="88">
        <f>SUMIF(月間集計シート!$M$50:$M$69,$G1357,月間集計シート!O$50:O$69)*R$2</f>
        <v>0</v>
      </c>
      <c r="S1357" s="88">
        <f>SUMIF(月間集計シート!$M$50:$M$69,$G1357,月間集計シート!P$50:P$69)*S$2</f>
        <v>0</v>
      </c>
      <c r="T1357" s="88">
        <f>SUMIF(月間集計シート!$M$50:$M$69,$G1357,月間集計シート!Q$50:Q$69)*T$2</f>
        <v>0</v>
      </c>
      <c r="U1357" s="88">
        <f>SUMIF(月間集計シート!$M$50:$M$69,$G1357,月間集計シート!R$50:R$69)*U$2</f>
        <v>0</v>
      </c>
      <c r="V1357" s="88">
        <f>SUMIF(月間集計シート!$M$50:$M$69,$G1357,月間集計シート!S$50:S$69)*V$2</f>
        <v>0</v>
      </c>
      <c r="W1357" s="88">
        <f>SUMIF(月間集計シート!$M$50:$M$69,$G1357,月間集計シート!T$50:T$69)*W$2</f>
        <v>0</v>
      </c>
      <c r="X1357" s="88">
        <f>SUMIF(月間集計シート!$M$71:$M$90,$G1357,月間集計シート!N$71:N$90)*X$2</f>
        <v>0</v>
      </c>
      <c r="Y1357" s="88">
        <f>SUMIF(月間集計シート!$M$71:$M$90,$G1357,月間集計シート!O$71:O$90)*Y$2</f>
        <v>0</v>
      </c>
      <c r="Z1357" s="88">
        <f>SUMIF(月間集計シート!$M$71:$M$90,$G1357,月間集計シート!P$71:P$90)*Z$2</f>
        <v>0</v>
      </c>
      <c r="AA1357" s="88">
        <f>SUMIF(月間集計シート!$M$71:$M$90,$G1357,月間集計シート!Q$71:Q$90)*AA$2</f>
        <v>0</v>
      </c>
      <c r="AB1357" s="88">
        <f>SUMIF(月間集計シート!$M$71:$M$90,$G1357,月間集計シート!R$71:R$90)*AB$2</f>
        <v>0</v>
      </c>
      <c r="AC1357" s="88">
        <f>SUMIF(月間集計シート!$M$71:$M$90,$G1357,月間集計シート!S$71:S$90)*AC$2</f>
        <v>0</v>
      </c>
      <c r="AD1357" s="88">
        <f>SUMIF(月間集計シート!$M$71:$M$90,$G1357,月間集計シート!T$71:T$90)*AD$2</f>
        <v>0</v>
      </c>
      <c r="AE1357" s="88">
        <f>SUMIF(月間集計シート!$M$92:$M$111,$G1357,月間集計シート!N$92:N$111)*AE$2</f>
        <v>0</v>
      </c>
      <c r="AF1357" s="88">
        <f>SUMIF(月間集計シート!$M$92:$M$111,$G1357,月間集計シート!O$92:O$111)*AF$2</f>
        <v>0</v>
      </c>
      <c r="AG1357" s="88">
        <f>SUMIF(月間集計シート!$M$92:$M$111,$G1357,月間集計シート!P$92:P$111)*AG$2</f>
        <v>0</v>
      </c>
      <c r="AH1357" s="88">
        <f>SUMIF(月間集計シート!$M$92:$M$111,$G1357,月間集計シート!Q$92:Q$111)*AH$2</f>
        <v>0</v>
      </c>
      <c r="AI1357" s="88">
        <f>SUMIF(月間集計シート!$M$92:$M$111,$G1357,月間集計シート!R$92:R$111)*AI$2</f>
        <v>0</v>
      </c>
      <c r="AJ1357" s="88">
        <f>SUMIF(月間集計シート!$M$92:$M$111,$G1357,月間集計シート!S$92:S$111)*AJ$2</f>
        <v>0</v>
      </c>
      <c r="AK1357" s="88">
        <f>SUMIF(月間集計シート!$M$92:$M$111,$G1357,月間集計シート!T$92:T$111)*AK$2</f>
        <v>0</v>
      </c>
      <c r="AL1357" s="88">
        <f>SUMIF(月間集計シート!$M$113:$M$132,$G1357,月間集計シート!N$113:N$132)*AL$2</f>
        <v>0</v>
      </c>
      <c r="AM1357" s="88">
        <f>SUMIF(月間集計シート!$M$113:$M$132,$G1357,月間集計シート!O$113:O$132)*AM$2</f>
        <v>0</v>
      </c>
      <c r="AN1357" s="88">
        <f>SUMIF(月間集計シート!$M$113:$M$132,$G1357,月間集計シート!P$113:P$132)*AN$2</f>
        <v>0</v>
      </c>
      <c r="AO1357" s="88">
        <f>SUMIF(月間集計シート!$M$113:$M$132,$G1357,月間集計シート!Q$113:Q$132)*AO$2</f>
        <v>0</v>
      </c>
      <c r="AP1357" s="88">
        <f>SUMIF(月間集計シート!$M$113:$M$132,$G1357,月間集計シート!R$113:R$132)*AP$2</f>
        <v>0</v>
      </c>
      <c r="AQ1357" s="88">
        <f>SUMIF(月間集計シート!$M$113:$M$132,$G1357,月間集計シート!S$113:S$132)*AQ$2</f>
        <v>0</v>
      </c>
      <c r="AR1357" s="88">
        <f>SUMIF(月間集計シート!$M$113:$M$132,$G1357,月間集計シート!T$113:T$132)*AR$2</f>
        <v>0</v>
      </c>
      <c r="AS1357" s="88">
        <f>SUMIF(月間集計シート!$M$134:$M$153,$G1357,月間集計シート!N$134:N$153)*AS$2</f>
        <v>0</v>
      </c>
      <c r="AT1357" s="88">
        <f>SUMIF(月間集計シート!$M$134:$M$153,$G1357,月間集計シート!O$134:O$153)*AT$2</f>
        <v>0</v>
      </c>
      <c r="AU1357" s="88">
        <f>SUMIF(月間集計シート!$M$134:$M$153,$G1357,月間集計シート!P$134:P$153)*AU$2</f>
        <v>0</v>
      </c>
      <c r="AV1357" s="88">
        <f>SUMIF(月間集計シート!$M$134:$M$153,$G1357,月間集計シート!Q$134:Q$153)*AV$2</f>
        <v>0</v>
      </c>
      <c r="AW1357" s="88">
        <f>SUMIF(月間集計シート!$M$134:$M$153,$G1357,月間集計シート!R$134:R$153)*AW$2</f>
        <v>0</v>
      </c>
      <c r="AX1357" s="88">
        <f>SUMIF(月間集計シート!$M$134:$M$153,$G1357,月間集計シート!S$134:S$153)*AX$2</f>
        <v>0</v>
      </c>
      <c r="AY1357" s="88">
        <f>SUMIF(月間集計シート!$M$134:$M$153,$G1357,月間集計シート!T$134:T$153)*AY$2</f>
        <v>0</v>
      </c>
    </row>
    <row r="1358" spans="1:51" ht="14.25" thickBot="1">
      <c r="A1358">
        <v>16</v>
      </c>
      <c r="B1358" s="120">
        <f t="shared" si="735"/>
        <v>0</v>
      </c>
      <c r="C1358" s="120" t="str">
        <f t="shared" si="735"/>
        <v/>
      </c>
      <c r="D1358" s="137"/>
      <c r="E1358" s="150" t="str">
        <f>工種!A75</f>
        <v>90111</v>
      </c>
      <c r="F1358" s="119" t="str">
        <f>工種!B75</f>
        <v>管理業務：レビュー</v>
      </c>
      <c r="G1358" s="116" t="str">
        <f t="shared" si="732"/>
        <v>090111</v>
      </c>
      <c r="H1358" s="88">
        <f t="shared" si="734"/>
        <v>0</v>
      </c>
      <c r="I1358" s="132"/>
      <c r="J1358" s="88">
        <f>SUMIF(月間集計シート!$M$29:$M$48,$G1358,月間集計シート!N$29:N$48)*J$2</f>
        <v>0</v>
      </c>
      <c r="K1358" s="88">
        <f>SUMIF(月間集計シート!$M$29:$M$48,$G1358,月間集計シート!O$29:O$48)*K$2</f>
        <v>0</v>
      </c>
      <c r="L1358" s="88">
        <f>SUMIF(月間集計シート!$M$29:$M$48,$G1358,月間集計シート!P$29:P$48)*L$2</f>
        <v>0</v>
      </c>
      <c r="M1358" s="88">
        <f>SUMIF(月間集計シート!$M$29:$M$48,$G1358,月間集計シート!Q$29:Q$48)*M$2</f>
        <v>0</v>
      </c>
      <c r="N1358" s="88">
        <f>SUMIF(月間集計シート!$M$29:$M$48,$G1358,月間集計シート!R$29:R$48)*N$2</f>
        <v>0</v>
      </c>
      <c r="O1358" s="88">
        <f>SUMIF(月間集計シート!$M$29:$M$48,$G1358,月間集計シート!S$29:S$48)*O$2</f>
        <v>0</v>
      </c>
      <c r="P1358" s="88">
        <f>SUMIF(月間集計シート!$M$29:$M$48,$G1358,月間集計シート!T$29:T$48)*P$2</f>
        <v>0</v>
      </c>
      <c r="Q1358" s="88">
        <f>SUMIF(月間集計シート!$M$50:$M$69,$G1358,月間集計シート!N$50:N$69)*Q$2</f>
        <v>0</v>
      </c>
      <c r="R1358" s="88">
        <f>SUMIF(月間集計シート!$M$50:$M$69,$G1358,月間集計シート!O$50:O$69)*R$2</f>
        <v>0</v>
      </c>
      <c r="S1358" s="88">
        <f>SUMIF(月間集計シート!$M$50:$M$69,$G1358,月間集計シート!P$50:P$69)*S$2</f>
        <v>0</v>
      </c>
      <c r="T1358" s="88">
        <f>SUMIF(月間集計シート!$M$50:$M$69,$G1358,月間集計シート!Q$50:Q$69)*T$2</f>
        <v>0</v>
      </c>
      <c r="U1358" s="88">
        <f>SUMIF(月間集計シート!$M$50:$M$69,$G1358,月間集計シート!R$50:R$69)*U$2</f>
        <v>0</v>
      </c>
      <c r="V1358" s="88">
        <f>SUMIF(月間集計シート!$M$50:$M$69,$G1358,月間集計シート!S$50:S$69)*V$2</f>
        <v>0</v>
      </c>
      <c r="W1358" s="88">
        <f>SUMIF(月間集計シート!$M$50:$M$69,$G1358,月間集計シート!T$50:T$69)*W$2</f>
        <v>0</v>
      </c>
      <c r="X1358" s="88">
        <f>SUMIF(月間集計シート!$M$71:$M$90,$G1358,月間集計シート!N$71:N$90)*X$2</f>
        <v>0</v>
      </c>
      <c r="Y1358" s="88">
        <f>SUMIF(月間集計シート!$M$71:$M$90,$G1358,月間集計シート!O$71:O$90)*Y$2</f>
        <v>0</v>
      </c>
      <c r="Z1358" s="88">
        <f>SUMIF(月間集計シート!$M$71:$M$90,$G1358,月間集計シート!P$71:P$90)*Z$2</f>
        <v>0</v>
      </c>
      <c r="AA1358" s="88">
        <f>SUMIF(月間集計シート!$M$71:$M$90,$G1358,月間集計シート!Q$71:Q$90)*AA$2</f>
        <v>0</v>
      </c>
      <c r="AB1358" s="88">
        <f>SUMIF(月間集計シート!$M$71:$M$90,$G1358,月間集計シート!R$71:R$90)*AB$2</f>
        <v>0</v>
      </c>
      <c r="AC1358" s="88">
        <f>SUMIF(月間集計シート!$M$71:$M$90,$G1358,月間集計シート!S$71:S$90)*AC$2</f>
        <v>0</v>
      </c>
      <c r="AD1358" s="88">
        <f>SUMIF(月間集計シート!$M$71:$M$90,$G1358,月間集計シート!T$71:T$90)*AD$2</f>
        <v>0</v>
      </c>
      <c r="AE1358" s="88">
        <f>SUMIF(月間集計シート!$M$92:$M$111,$G1358,月間集計シート!N$92:N$111)*AE$2</f>
        <v>0</v>
      </c>
      <c r="AF1358" s="88">
        <f>SUMIF(月間集計シート!$M$92:$M$111,$G1358,月間集計シート!O$92:O$111)*AF$2</f>
        <v>0</v>
      </c>
      <c r="AG1358" s="88">
        <f>SUMIF(月間集計シート!$M$92:$M$111,$G1358,月間集計シート!P$92:P$111)*AG$2</f>
        <v>0</v>
      </c>
      <c r="AH1358" s="88">
        <f>SUMIF(月間集計シート!$M$92:$M$111,$G1358,月間集計シート!Q$92:Q$111)*AH$2</f>
        <v>0</v>
      </c>
      <c r="AI1358" s="88">
        <f>SUMIF(月間集計シート!$M$92:$M$111,$G1358,月間集計シート!R$92:R$111)*AI$2</f>
        <v>0</v>
      </c>
      <c r="AJ1358" s="88">
        <f>SUMIF(月間集計シート!$M$92:$M$111,$G1358,月間集計シート!S$92:S$111)*AJ$2</f>
        <v>0</v>
      </c>
      <c r="AK1358" s="88">
        <f>SUMIF(月間集計シート!$M$92:$M$111,$G1358,月間集計シート!T$92:T$111)*AK$2</f>
        <v>0</v>
      </c>
      <c r="AL1358" s="88">
        <f>SUMIF(月間集計シート!$M$113:$M$132,$G1358,月間集計シート!N$113:N$132)*AL$2</f>
        <v>0</v>
      </c>
      <c r="AM1358" s="88">
        <f>SUMIF(月間集計シート!$M$113:$M$132,$G1358,月間集計シート!O$113:O$132)*AM$2</f>
        <v>0</v>
      </c>
      <c r="AN1358" s="88">
        <f>SUMIF(月間集計シート!$M$113:$M$132,$G1358,月間集計シート!P$113:P$132)*AN$2</f>
        <v>0</v>
      </c>
      <c r="AO1358" s="88">
        <f>SUMIF(月間集計シート!$M$113:$M$132,$G1358,月間集計シート!Q$113:Q$132)*AO$2</f>
        <v>0</v>
      </c>
      <c r="AP1358" s="88">
        <f>SUMIF(月間集計シート!$M$113:$M$132,$G1358,月間集計シート!R$113:R$132)*AP$2</f>
        <v>0</v>
      </c>
      <c r="AQ1358" s="88">
        <f>SUMIF(月間集計シート!$M$113:$M$132,$G1358,月間集計シート!S$113:S$132)*AQ$2</f>
        <v>0</v>
      </c>
      <c r="AR1358" s="88">
        <f>SUMIF(月間集計シート!$M$113:$M$132,$G1358,月間集計シート!T$113:T$132)*AR$2</f>
        <v>0</v>
      </c>
      <c r="AS1358" s="88">
        <f>SUMIF(月間集計シート!$M$134:$M$153,$G1358,月間集計シート!N$134:N$153)*AS$2</f>
        <v>0</v>
      </c>
      <c r="AT1358" s="88">
        <f>SUMIF(月間集計シート!$M$134:$M$153,$G1358,月間集計シート!O$134:O$153)*AT$2</f>
        <v>0</v>
      </c>
      <c r="AU1358" s="88">
        <f>SUMIF(月間集計シート!$M$134:$M$153,$G1358,月間集計シート!P$134:P$153)*AU$2</f>
        <v>0</v>
      </c>
      <c r="AV1358" s="88">
        <f>SUMIF(月間集計シート!$M$134:$M$153,$G1358,月間集計シート!Q$134:Q$153)*AV$2</f>
        <v>0</v>
      </c>
      <c r="AW1358" s="88">
        <f>SUMIF(月間集計シート!$M$134:$M$153,$G1358,月間集計シート!R$134:R$153)*AW$2</f>
        <v>0</v>
      </c>
      <c r="AX1358" s="88">
        <f>SUMIF(月間集計シート!$M$134:$M$153,$G1358,月間集計シート!S$134:S$153)*AX$2</f>
        <v>0</v>
      </c>
      <c r="AY1358" s="88">
        <f>SUMIF(月間集計シート!$M$134:$M$153,$G1358,月間集計シート!T$134:T$153)*AY$2</f>
        <v>0</v>
      </c>
    </row>
    <row r="1359" spans="1:51" ht="14.25" thickBot="1">
      <c r="A1359">
        <v>16</v>
      </c>
      <c r="B1359" s="120">
        <f t="shared" si="735"/>
        <v>0</v>
      </c>
      <c r="C1359" s="120" t="str">
        <f t="shared" si="735"/>
        <v/>
      </c>
      <c r="D1359" s="137"/>
      <c r="E1359" s="150" t="str">
        <f>工種!A76</f>
        <v>90199</v>
      </c>
      <c r="F1359" s="119" t="str">
        <f>工種!B76</f>
        <v>管理業務：その他</v>
      </c>
      <c r="G1359" s="116" t="str">
        <f t="shared" si="732"/>
        <v>090199</v>
      </c>
      <c r="H1359" s="88">
        <f t="shared" si="734"/>
        <v>0</v>
      </c>
      <c r="I1359" s="132"/>
      <c r="J1359" s="88">
        <f>SUMIF(月間集計シート!$M$29:$M$48,$G1359,月間集計シート!N$29:N$48)*J$2</f>
        <v>0</v>
      </c>
      <c r="K1359" s="88">
        <f>SUMIF(月間集計シート!$M$29:$M$48,$G1359,月間集計シート!O$29:O$48)*K$2</f>
        <v>0</v>
      </c>
      <c r="L1359" s="88">
        <f>SUMIF(月間集計シート!$M$29:$M$48,$G1359,月間集計シート!P$29:P$48)*L$2</f>
        <v>0</v>
      </c>
      <c r="M1359" s="88">
        <f>SUMIF(月間集計シート!$M$29:$M$48,$G1359,月間集計シート!Q$29:Q$48)*M$2</f>
        <v>0</v>
      </c>
      <c r="N1359" s="88">
        <f>SUMIF(月間集計シート!$M$29:$M$48,$G1359,月間集計シート!R$29:R$48)*N$2</f>
        <v>0</v>
      </c>
      <c r="O1359" s="88">
        <f>SUMIF(月間集計シート!$M$29:$M$48,$G1359,月間集計シート!S$29:S$48)*O$2</f>
        <v>0</v>
      </c>
      <c r="P1359" s="88">
        <f>SUMIF(月間集計シート!$M$29:$M$48,$G1359,月間集計シート!T$29:T$48)*P$2</f>
        <v>0</v>
      </c>
      <c r="Q1359" s="88">
        <f>SUMIF(月間集計シート!$M$50:$M$69,$G1359,月間集計シート!N$50:N$69)*Q$2</f>
        <v>0</v>
      </c>
      <c r="R1359" s="88">
        <f>SUMIF(月間集計シート!$M$50:$M$69,$G1359,月間集計シート!O$50:O$69)*R$2</f>
        <v>0</v>
      </c>
      <c r="S1359" s="88">
        <f>SUMIF(月間集計シート!$M$50:$M$69,$G1359,月間集計シート!P$50:P$69)*S$2</f>
        <v>0</v>
      </c>
      <c r="T1359" s="88">
        <f>SUMIF(月間集計シート!$M$50:$M$69,$G1359,月間集計シート!Q$50:Q$69)*T$2</f>
        <v>0</v>
      </c>
      <c r="U1359" s="88">
        <f>SUMIF(月間集計シート!$M$50:$M$69,$G1359,月間集計シート!R$50:R$69)*U$2</f>
        <v>0</v>
      </c>
      <c r="V1359" s="88">
        <f>SUMIF(月間集計シート!$M$50:$M$69,$G1359,月間集計シート!S$50:S$69)*V$2</f>
        <v>0</v>
      </c>
      <c r="W1359" s="88">
        <f>SUMIF(月間集計シート!$M$50:$M$69,$G1359,月間集計シート!T$50:T$69)*W$2</f>
        <v>0</v>
      </c>
      <c r="X1359" s="88">
        <f>SUMIF(月間集計シート!$M$71:$M$90,$G1359,月間集計シート!N$71:N$90)*X$2</f>
        <v>0</v>
      </c>
      <c r="Y1359" s="88">
        <f>SUMIF(月間集計シート!$M$71:$M$90,$G1359,月間集計シート!O$71:O$90)*Y$2</f>
        <v>0</v>
      </c>
      <c r="Z1359" s="88">
        <f>SUMIF(月間集計シート!$M$71:$M$90,$G1359,月間集計シート!P$71:P$90)*Z$2</f>
        <v>0</v>
      </c>
      <c r="AA1359" s="88">
        <f>SUMIF(月間集計シート!$M$71:$M$90,$G1359,月間集計シート!Q$71:Q$90)*AA$2</f>
        <v>0</v>
      </c>
      <c r="AB1359" s="88">
        <f>SUMIF(月間集計シート!$M$71:$M$90,$G1359,月間集計シート!R$71:R$90)*AB$2</f>
        <v>0</v>
      </c>
      <c r="AC1359" s="88">
        <f>SUMIF(月間集計シート!$M$71:$M$90,$G1359,月間集計シート!S$71:S$90)*AC$2</f>
        <v>0</v>
      </c>
      <c r="AD1359" s="88">
        <f>SUMIF(月間集計シート!$M$71:$M$90,$G1359,月間集計シート!T$71:T$90)*AD$2</f>
        <v>0</v>
      </c>
      <c r="AE1359" s="88">
        <f>SUMIF(月間集計シート!$M$92:$M$111,$G1359,月間集計シート!N$92:N$111)*AE$2</f>
        <v>0</v>
      </c>
      <c r="AF1359" s="88">
        <f>SUMIF(月間集計シート!$M$92:$M$111,$G1359,月間集計シート!O$92:O$111)*AF$2</f>
        <v>0</v>
      </c>
      <c r="AG1359" s="88">
        <f>SUMIF(月間集計シート!$M$92:$M$111,$G1359,月間集計シート!P$92:P$111)*AG$2</f>
        <v>0</v>
      </c>
      <c r="AH1359" s="88">
        <f>SUMIF(月間集計シート!$M$92:$M$111,$G1359,月間集計シート!Q$92:Q$111)*AH$2</f>
        <v>0</v>
      </c>
      <c r="AI1359" s="88">
        <f>SUMIF(月間集計シート!$M$92:$M$111,$G1359,月間集計シート!R$92:R$111)*AI$2</f>
        <v>0</v>
      </c>
      <c r="AJ1359" s="88">
        <f>SUMIF(月間集計シート!$M$92:$M$111,$G1359,月間集計シート!S$92:S$111)*AJ$2</f>
        <v>0</v>
      </c>
      <c r="AK1359" s="88">
        <f>SUMIF(月間集計シート!$M$92:$M$111,$G1359,月間集計シート!T$92:T$111)*AK$2</f>
        <v>0</v>
      </c>
      <c r="AL1359" s="88">
        <f>SUMIF(月間集計シート!$M$113:$M$132,$G1359,月間集計シート!N$113:N$132)*AL$2</f>
        <v>0</v>
      </c>
      <c r="AM1359" s="88">
        <f>SUMIF(月間集計シート!$M$113:$M$132,$G1359,月間集計シート!O$113:O$132)*AM$2</f>
        <v>0</v>
      </c>
      <c r="AN1359" s="88">
        <f>SUMIF(月間集計シート!$M$113:$M$132,$G1359,月間集計シート!P$113:P$132)*AN$2</f>
        <v>0</v>
      </c>
      <c r="AO1359" s="88">
        <f>SUMIF(月間集計シート!$M$113:$M$132,$G1359,月間集計シート!Q$113:Q$132)*AO$2</f>
        <v>0</v>
      </c>
      <c r="AP1359" s="88">
        <f>SUMIF(月間集計シート!$M$113:$M$132,$G1359,月間集計シート!R$113:R$132)*AP$2</f>
        <v>0</v>
      </c>
      <c r="AQ1359" s="88">
        <f>SUMIF(月間集計シート!$M$113:$M$132,$G1359,月間集計シート!S$113:S$132)*AQ$2</f>
        <v>0</v>
      </c>
      <c r="AR1359" s="88">
        <f>SUMIF(月間集計シート!$M$113:$M$132,$G1359,月間集計シート!T$113:T$132)*AR$2</f>
        <v>0</v>
      </c>
      <c r="AS1359" s="88">
        <f>SUMIF(月間集計シート!$M$134:$M$153,$G1359,月間集計シート!N$134:N$153)*AS$2</f>
        <v>0</v>
      </c>
      <c r="AT1359" s="88">
        <f>SUMIF(月間集計シート!$M$134:$M$153,$G1359,月間集計シート!O$134:O$153)*AT$2</f>
        <v>0</v>
      </c>
      <c r="AU1359" s="88">
        <f>SUMIF(月間集計シート!$M$134:$M$153,$G1359,月間集計シート!P$134:P$153)*AU$2</f>
        <v>0</v>
      </c>
      <c r="AV1359" s="88">
        <f>SUMIF(月間集計シート!$M$134:$M$153,$G1359,月間集計シート!Q$134:Q$153)*AV$2</f>
        <v>0</v>
      </c>
      <c r="AW1359" s="88">
        <f>SUMIF(月間集計シート!$M$134:$M$153,$G1359,月間集計シート!R$134:R$153)*AW$2</f>
        <v>0</v>
      </c>
      <c r="AX1359" s="88">
        <f>SUMIF(月間集計シート!$M$134:$M$153,$G1359,月間集計シート!S$134:S$153)*AX$2</f>
        <v>0</v>
      </c>
      <c r="AY1359" s="88">
        <f>SUMIF(月間集計シート!$M$134:$M$153,$G1359,月間集計シート!T$134:T$153)*AY$2</f>
        <v>0</v>
      </c>
    </row>
    <row r="1360" spans="1:51" ht="14.25" thickBot="1">
      <c r="A1360">
        <v>16</v>
      </c>
      <c r="B1360" s="120">
        <f t="shared" si="735"/>
        <v>0</v>
      </c>
      <c r="C1360" s="120" t="str">
        <f t="shared" si="735"/>
        <v/>
      </c>
      <c r="D1360" s="137"/>
      <c r="E1360" s="150">
        <f>工種!A77</f>
        <v>99102</v>
      </c>
      <c r="F1360" s="119" t="str">
        <f>工種!B77</f>
        <v>間接業務：業務環境管理（PCｾｯﾄｱｯﾌﾟ等）</v>
      </c>
      <c r="G1360" s="116" t="str">
        <f t="shared" si="732"/>
        <v>099102</v>
      </c>
      <c r="H1360" s="88">
        <f t="shared" si="734"/>
        <v>0</v>
      </c>
      <c r="I1360" s="132"/>
      <c r="J1360" s="88">
        <f>SUMIF(月間集計シート!$M$29:$M$48,$G1360,月間集計シート!N$29:N$48)*J$2</f>
        <v>0</v>
      </c>
      <c r="K1360" s="88">
        <f>SUMIF(月間集計シート!$M$29:$M$48,$G1360,月間集計シート!O$29:O$48)*K$2</f>
        <v>0</v>
      </c>
      <c r="L1360" s="88">
        <f>SUMIF(月間集計シート!$M$29:$M$48,$G1360,月間集計シート!P$29:P$48)*L$2</f>
        <v>0</v>
      </c>
      <c r="M1360" s="88">
        <f>SUMIF(月間集計シート!$M$29:$M$48,$G1360,月間集計シート!Q$29:Q$48)*M$2</f>
        <v>0</v>
      </c>
      <c r="N1360" s="88">
        <f>SUMIF(月間集計シート!$M$29:$M$48,$G1360,月間集計シート!R$29:R$48)*N$2</f>
        <v>0</v>
      </c>
      <c r="O1360" s="88">
        <f>SUMIF(月間集計シート!$M$29:$M$48,$G1360,月間集計シート!S$29:S$48)*O$2</f>
        <v>0</v>
      </c>
      <c r="P1360" s="88">
        <f>SUMIF(月間集計シート!$M$29:$M$48,$G1360,月間集計シート!T$29:T$48)*P$2</f>
        <v>0</v>
      </c>
      <c r="Q1360" s="88">
        <f>SUMIF(月間集計シート!$M$50:$M$69,$G1360,月間集計シート!N$50:N$69)*Q$2</f>
        <v>0</v>
      </c>
      <c r="R1360" s="88">
        <f>SUMIF(月間集計シート!$M$50:$M$69,$G1360,月間集計シート!O$50:O$69)*R$2</f>
        <v>0</v>
      </c>
      <c r="S1360" s="88">
        <f>SUMIF(月間集計シート!$M$50:$M$69,$G1360,月間集計シート!P$50:P$69)*S$2</f>
        <v>0</v>
      </c>
      <c r="T1360" s="88">
        <f>SUMIF(月間集計シート!$M$50:$M$69,$G1360,月間集計シート!Q$50:Q$69)*T$2</f>
        <v>0</v>
      </c>
      <c r="U1360" s="88">
        <f>SUMIF(月間集計シート!$M$50:$M$69,$G1360,月間集計シート!R$50:R$69)*U$2</f>
        <v>0</v>
      </c>
      <c r="V1360" s="88">
        <f>SUMIF(月間集計シート!$M$50:$M$69,$G1360,月間集計シート!S$50:S$69)*V$2</f>
        <v>0</v>
      </c>
      <c r="W1360" s="88">
        <f>SUMIF(月間集計シート!$M$50:$M$69,$G1360,月間集計シート!T$50:T$69)*W$2</f>
        <v>0</v>
      </c>
      <c r="X1360" s="88">
        <f>SUMIF(月間集計シート!$M$71:$M$90,$G1360,月間集計シート!N$71:N$90)*X$2</f>
        <v>0</v>
      </c>
      <c r="Y1360" s="88">
        <f>SUMIF(月間集計シート!$M$71:$M$90,$G1360,月間集計シート!O$71:O$90)*Y$2</f>
        <v>0</v>
      </c>
      <c r="Z1360" s="88">
        <f>SUMIF(月間集計シート!$M$71:$M$90,$G1360,月間集計シート!P$71:P$90)*Z$2</f>
        <v>0</v>
      </c>
      <c r="AA1360" s="88">
        <f>SUMIF(月間集計シート!$M$71:$M$90,$G1360,月間集計シート!Q$71:Q$90)*AA$2</f>
        <v>0</v>
      </c>
      <c r="AB1360" s="88">
        <f>SUMIF(月間集計シート!$M$71:$M$90,$G1360,月間集計シート!R$71:R$90)*AB$2</f>
        <v>0</v>
      </c>
      <c r="AC1360" s="88">
        <f>SUMIF(月間集計シート!$M$71:$M$90,$G1360,月間集計シート!S$71:S$90)*AC$2</f>
        <v>0</v>
      </c>
      <c r="AD1360" s="88">
        <f>SUMIF(月間集計シート!$M$71:$M$90,$G1360,月間集計シート!T$71:T$90)*AD$2</f>
        <v>0</v>
      </c>
      <c r="AE1360" s="88">
        <f>SUMIF(月間集計シート!$M$92:$M$111,$G1360,月間集計シート!N$92:N$111)*AE$2</f>
        <v>0</v>
      </c>
      <c r="AF1360" s="88">
        <f>SUMIF(月間集計シート!$M$92:$M$111,$G1360,月間集計シート!O$92:O$111)*AF$2</f>
        <v>0</v>
      </c>
      <c r="AG1360" s="88">
        <f>SUMIF(月間集計シート!$M$92:$M$111,$G1360,月間集計シート!P$92:P$111)*AG$2</f>
        <v>0</v>
      </c>
      <c r="AH1360" s="88">
        <f>SUMIF(月間集計シート!$M$92:$M$111,$G1360,月間集計シート!Q$92:Q$111)*AH$2</f>
        <v>0</v>
      </c>
      <c r="AI1360" s="88">
        <f>SUMIF(月間集計シート!$M$92:$M$111,$G1360,月間集計シート!R$92:R$111)*AI$2</f>
        <v>0</v>
      </c>
      <c r="AJ1360" s="88">
        <f>SUMIF(月間集計シート!$M$92:$M$111,$G1360,月間集計シート!S$92:S$111)*AJ$2</f>
        <v>0</v>
      </c>
      <c r="AK1360" s="88">
        <f>SUMIF(月間集計シート!$M$92:$M$111,$G1360,月間集計シート!T$92:T$111)*AK$2</f>
        <v>0</v>
      </c>
      <c r="AL1360" s="88">
        <f>SUMIF(月間集計シート!$M$113:$M$132,$G1360,月間集計シート!N$113:N$132)*AL$2</f>
        <v>0</v>
      </c>
      <c r="AM1360" s="88">
        <f>SUMIF(月間集計シート!$M$113:$M$132,$G1360,月間集計シート!O$113:O$132)*AM$2</f>
        <v>0</v>
      </c>
      <c r="AN1360" s="88">
        <f>SUMIF(月間集計シート!$M$113:$M$132,$G1360,月間集計シート!P$113:P$132)*AN$2</f>
        <v>0</v>
      </c>
      <c r="AO1360" s="88">
        <f>SUMIF(月間集計シート!$M$113:$M$132,$G1360,月間集計シート!Q$113:Q$132)*AO$2</f>
        <v>0</v>
      </c>
      <c r="AP1360" s="88">
        <f>SUMIF(月間集計シート!$M$113:$M$132,$G1360,月間集計シート!R$113:R$132)*AP$2</f>
        <v>0</v>
      </c>
      <c r="AQ1360" s="88">
        <f>SUMIF(月間集計シート!$M$113:$M$132,$G1360,月間集計シート!S$113:S$132)*AQ$2</f>
        <v>0</v>
      </c>
      <c r="AR1360" s="88">
        <f>SUMIF(月間集計シート!$M$113:$M$132,$G1360,月間集計シート!T$113:T$132)*AR$2</f>
        <v>0</v>
      </c>
      <c r="AS1360" s="88">
        <f>SUMIF(月間集計シート!$M$134:$M$153,$G1360,月間集計シート!N$134:N$153)*AS$2</f>
        <v>0</v>
      </c>
      <c r="AT1360" s="88">
        <f>SUMIF(月間集計シート!$M$134:$M$153,$G1360,月間集計シート!O$134:O$153)*AT$2</f>
        <v>0</v>
      </c>
      <c r="AU1360" s="88">
        <f>SUMIF(月間集計シート!$M$134:$M$153,$G1360,月間集計シート!P$134:P$153)*AU$2</f>
        <v>0</v>
      </c>
      <c r="AV1360" s="88">
        <f>SUMIF(月間集計シート!$M$134:$M$153,$G1360,月間集計シート!Q$134:Q$153)*AV$2</f>
        <v>0</v>
      </c>
      <c r="AW1360" s="88">
        <f>SUMIF(月間集計シート!$M$134:$M$153,$G1360,月間集計シート!R$134:R$153)*AW$2</f>
        <v>0</v>
      </c>
      <c r="AX1360" s="88">
        <f>SUMIF(月間集計シート!$M$134:$M$153,$G1360,月間集計シート!S$134:S$153)*AX$2</f>
        <v>0</v>
      </c>
      <c r="AY1360" s="88">
        <f>SUMIF(月間集計シート!$M$134:$M$153,$G1360,月間集計シート!T$134:T$153)*AY$2</f>
        <v>0</v>
      </c>
    </row>
    <row r="1361" spans="1:51" ht="14.25" thickBot="1">
      <c r="A1361">
        <v>16</v>
      </c>
      <c r="B1361" s="120">
        <f t="shared" si="735"/>
        <v>0</v>
      </c>
      <c r="C1361" s="120" t="str">
        <f t="shared" si="735"/>
        <v/>
      </c>
      <c r="D1361" s="137"/>
      <c r="E1361" s="150" t="str">
        <f>工種!A78</f>
        <v>99103</v>
      </c>
      <c r="F1361" s="119" t="str">
        <f>工種!B78</f>
        <v>間接業務：標準化・業務改善作業（開発以外）</v>
      </c>
      <c r="G1361" s="116" t="str">
        <f t="shared" si="732"/>
        <v>099103</v>
      </c>
      <c r="H1361" s="88">
        <f t="shared" si="734"/>
        <v>0</v>
      </c>
      <c r="I1361" s="132"/>
      <c r="J1361" s="88">
        <f>SUMIF(月間集計シート!$M$29:$M$48,$G1361,月間集計シート!N$29:N$48)*J$2</f>
        <v>0</v>
      </c>
      <c r="K1361" s="88">
        <f>SUMIF(月間集計シート!$M$29:$M$48,$G1361,月間集計シート!O$29:O$48)*K$2</f>
        <v>0</v>
      </c>
      <c r="L1361" s="88">
        <f>SUMIF(月間集計シート!$M$29:$M$48,$G1361,月間集計シート!P$29:P$48)*L$2</f>
        <v>0</v>
      </c>
      <c r="M1361" s="88">
        <f>SUMIF(月間集計シート!$M$29:$M$48,$G1361,月間集計シート!Q$29:Q$48)*M$2</f>
        <v>0</v>
      </c>
      <c r="N1361" s="88">
        <f>SUMIF(月間集計シート!$M$29:$M$48,$G1361,月間集計シート!R$29:R$48)*N$2</f>
        <v>0</v>
      </c>
      <c r="O1361" s="88">
        <f>SUMIF(月間集計シート!$M$29:$M$48,$G1361,月間集計シート!S$29:S$48)*O$2</f>
        <v>0</v>
      </c>
      <c r="P1361" s="88">
        <f>SUMIF(月間集計シート!$M$29:$M$48,$G1361,月間集計シート!T$29:T$48)*P$2</f>
        <v>0</v>
      </c>
      <c r="Q1361" s="88">
        <f>SUMIF(月間集計シート!$M$50:$M$69,$G1361,月間集計シート!N$50:N$69)*Q$2</f>
        <v>0</v>
      </c>
      <c r="R1361" s="88">
        <f>SUMIF(月間集計シート!$M$50:$M$69,$G1361,月間集計シート!O$50:O$69)*R$2</f>
        <v>0</v>
      </c>
      <c r="S1361" s="88">
        <f>SUMIF(月間集計シート!$M$50:$M$69,$G1361,月間集計シート!P$50:P$69)*S$2</f>
        <v>0</v>
      </c>
      <c r="T1361" s="88">
        <f>SUMIF(月間集計シート!$M$50:$M$69,$G1361,月間集計シート!Q$50:Q$69)*T$2</f>
        <v>0</v>
      </c>
      <c r="U1361" s="88">
        <f>SUMIF(月間集計シート!$M$50:$M$69,$G1361,月間集計シート!R$50:R$69)*U$2</f>
        <v>0</v>
      </c>
      <c r="V1361" s="88">
        <f>SUMIF(月間集計シート!$M$50:$M$69,$G1361,月間集計シート!S$50:S$69)*V$2</f>
        <v>0</v>
      </c>
      <c r="W1361" s="88">
        <f>SUMIF(月間集計シート!$M$50:$M$69,$G1361,月間集計シート!T$50:T$69)*W$2</f>
        <v>0</v>
      </c>
      <c r="X1361" s="88">
        <f>SUMIF(月間集計シート!$M$71:$M$90,$G1361,月間集計シート!N$71:N$90)*X$2</f>
        <v>0</v>
      </c>
      <c r="Y1361" s="88">
        <f>SUMIF(月間集計シート!$M$71:$M$90,$G1361,月間集計シート!O$71:O$90)*Y$2</f>
        <v>0</v>
      </c>
      <c r="Z1361" s="88">
        <f>SUMIF(月間集計シート!$M$71:$M$90,$G1361,月間集計シート!P$71:P$90)*Z$2</f>
        <v>0</v>
      </c>
      <c r="AA1361" s="88">
        <f>SUMIF(月間集計シート!$M$71:$M$90,$G1361,月間集計シート!Q$71:Q$90)*AA$2</f>
        <v>0</v>
      </c>
      <c r="AB1361" s="88">
        <f>SUMIF(月間集計シート!$M$71:$M$90,$G1361,月間集計シート!R$71:R$90)*AB$2</f>
        <v>0</v>
      </c>
      <c r="AC1361" s="88">
        <f>SUMIF(月間集計シート!$M$71:$M$90,$G1361,月間集計シート!S$71:S$90)*AC$2</f>
        <v>0</v>
      </c>
      <c r="AD1361" s="88">
        <f>SUMIF(月間集計シート!$M$71:$M$90,$G1361,月間集計シート!T$71:T$90)*AD$2</f>
        <v>0</v>
      </c>
      <c r="AE1361" s="88">
        <f>SUMIF(月間集計シート!$M$92:$M$111,$G1361,月間集計シート!N$92:N$111)*AE$2</f>
        <v>0</v>
      </c>
      <c r="AF1361" s="88">
        <f>SUMIF(月間集計シート!$M$92:$M$111,$G1361,月間集計シート!O$92:O$111)*AF$2</f>
        <v>0</v>
      </c>
      <c r="AG1361" s="88">
        <f>SUMIF(月間集計シート!$M$92:$M$111,$G1361,月間集計シート!P$92:P$111)*AG$2</f>
        <v>0</v>
      </c>
      <c r="AH1361" s="88">
        <f>SUMIF(月間集計シート!$M$92:$M$111,$G1361,月間集計シート!Q$92:Q$111)*AH$2</f>
        <v>0</v>
      </c>
      <c r="AI1361" s="88">
        <f>SUMIF(月間集計シート!$M$92:$M$111,$G1361,月間集計シート!R$92:R$111)*AI$2</f>
        <v>0</v>
      </c>
      <c r="AJ1361" s="88">
        <f>SUMIF(月間集計シート!$M$92:$M$111,$G1361,月間集計シート!S$92:S$111)*AJ$2</f>
        <v>0</v>
      </c>
      <c r="AK1361" s="88">
        <f>SUMIF(月間集計シート!$M$92:$M$111,$G1361,月間集計シート!T$92:T$111)*AK$2</f>
        <v>0</v>
      </c>
      <c r="AL1361" s="88">
        <f>SUMIF(月間集計シート!$M$113:$M$132,$G1361,月間集計シート!N$113:N$132)*AL$2</f>
        <v>0</v>
      </c>
      <c r="AM1361" s="88">
        <f>SUMIF(月間集計シート!$M$113:$M$132,$G1361,月間集計シート!O$113:O$132)*AM$2</f>
        <v>0</v>
      </c>
      <c r="AN1361" s="88">
        <f>SUMIF(月間集計シート!$M$113:$M$132,$G1361,月間集計シート!P$113:P$132)*AN$2</f>
        <v>0</v>
      </c>
      <c r="AO1361" s="88">
        <f>SUMIF(月間集計シート!$M$113:$M$132,$G1361,月間集計シート!Q$113:Q$132)*AO$2</f>
        <v>0</v>
      </c>
      <c r="AP1361" s="88">
        <f>SUMIF(月間集計シート!$M$113:$M$132,$G1361,月間集計シート!R$113:R$132)*AP$2</f>
        <v>0</v>
      </c>
      <c r="AQ1361" s="88">
        <f>SUMIF(月間集計シート!$M$113:$M$132,$G1361,月間集計シート!S$113:S$132)*AQ$2</f>
        <v>0</v>
      </c>
      <c r="AR1361" s="88">
        <f>SUMIF(月間集計シート!$M$113:$M$132,$G1361,月間集計シート!T$113:T$132)*AR$2</f>
        <v>0</v>
      </c>
      <c r="AS1361" s="88">
        <f>SUMIF(月間集計シート!$M$134:$M$153,$G1361,月間集計シート!N$134:N$153)*AS$2</f>
        <v>0</v>
      </c>
      <c r="AT1361" s="88">
        <f>SUMIF(月間集計シート!$M$134:$M$153,$G1361,月間集計シート!O$134:O$153)*AT$2</f>
        <v>0</v>
      </c>
      <c r="AU1361" s="88">
        <f>SUMIF(月間集計シート!$M$134:$M$153,$G1361,月間集計シート!P$134:P$153)*AU$2</f>
        <v>0</v>
      </c>
      <c r="AV1361" s="88">
        <f>SUMIF(月間集計シート!$M$134:$M$153,$G1361,月間集計シート!Q$134:Q$153)*AV$2</f>
        <v>0</v>
      </c>
      <c r="AW1361" s="88">
        <f>SUMIF(月間集計シート!$M$134:$M$153,$G1361,月間集計シート!R$134:R$153)*AW$2</f>
        <v>0</v>
      </c>
      <c r="AX1361" s="88">
        <f>SUMIF(月間集計シート!$M$134:$M$153,$G1361,月間集計シート!S$134:S$153)*AX$2</f>
        <v>0</v>
      </c>
      <c r="AY1361" s="88">
        <f>SUMIF(月間集計シート!$M$134:$M$153,$G1361,月間集計シート!T$134:T$153)*AY$2</f>
        <v>0</v>
      </c>
    </row>
    <row r="1362" spans="1:51" ht="14.25" thickBot="1">
      <c r="A1362">
        <v>16</v>
      </c>
      <c r="B1362" s="120">
        <f t="shared" si="735"/>
        <v>0</v>
      </c>
      <c r="C1362" s="120" t="str">
        <f t="shared" si="735"/>
        <v/>
      </c>
      <c r="D1362" s="137"/>
      <c r="E1362" s="150" t="str">
        <f>工種!A79</f>
        <v>99104</v>
      </c>
      <c r="F1362" s="119" t="str">
        <f>工種!B79</f>
        <v>間接業務：業務の引継ぎ（開発以外）</v>
      </c>
      <c r="G1362" s="116" t="str">
        <f t="shared" si="732"/>
        <v>099104</v>
      </c>
      <c r="H1362" s="88">
        <f t="shared" si="734"/>
        <v>0</v>
      </c>
      <c r="I1362" s="132"/>
      <c r="J1362" s="88">
        <f>SUMIF(月間集計シート!$M$29:$M$48,$G1362,月間集計シート!N$29:N$48)*J$2</f>
        <v>0</v>
      </c>
      <c r="K1362" s="88">
        <f>SUMIF(月間集計シート!$M$29:$M$48,$G1362,月間集計シート!O$29:O$48)*K$2</f>
        <v>0</v>
      </c>
      <c r="L1362" s="88">
        <f>SUMIF(月間集計シート!$M$29:$M$48,$G1362,月間集計シート!P$29:P$48)*L$2</f>
        <v>0</v>
      </c>
      <c r="M1362" s="88">
        <f>SUMIF(月間集計シート!$M$29:$M$48,$G1362,月間集計シート!Q$29:Q$48)*M$2</f>
        <v>0</v>
      </c>
      <c r="N1362" s="88">
        <f>SUMIF(月間集計シート!$M$29:$M$48,$G1362,月間集計シート!R$29:R$48)*N$2</f>
        <v>0</v>
      </c>
      <c r="O1362" s="88">
        <f>SUMIF(月間集計シート!$M$29:$M$48,$G1362,月間集計シート!S$29:S$48)*O$2</f>
        <v>0</v>
      </c>
      <c r="P1362" s="88">
        <f>SUMIF(月間集計シート!$M$29:$M$48,$G1362,月間集計シート!T$29:T$48)*P$2</f>
        <v>0</v>
      </c>
      <c r="Q1362" s="88">
        <f>SUMIF(月間集計シート!$M$50:$M$69,$G1362,月間集計シート!N$50:N$69)*Q$2</f>
        <v>0</v>
      </c>
      <c r="R1362" s="88">
        <f>SUMIF(月間集計シート!$M$50:$M$69,$G1362,月間集計シート!O$50:O$69)*R$2</f>
        <v>0</v>
      </c>
      <c r="S1362" s="88">
        <f>SUMIF(月間集計シート!$M$50:$M$69,$G1362,月間集計シート!P$50:P$69)*S$2</f>
        <v>0</v>
      </c>
      <c r="T1362" s="88">
        <f>SUMIF(月間集計シート!$M$50:$M$69,$G1362,月間集計シート!Q$50:Q$69)*T$2</f>
        <v>0</v>
      </c>
      <c r="U1362" s="88">
        <f>SUMIF(月間集計シート!$M$50:$M$69,$G1362,月間集計シート!R$50:R$69)*U$2</f>
        <v>0</v>
      </c>
      <c r="V1362" s="88">
        <f>SUMIF(月間集計シート!$M$50:$M$69,$G1362,月間集計シート!S$50:S$69)*V$2</f>
        <v>0</v>
      </c>
      <c r="W1362" s="88">
        <f>SUMIF(月間集計シート!$M$50:$M$69,$G1362,月間集計シート!T$50:T$69)*W$2</f>
        <v>0</v>
      </c>
      <c r="X1362" s="88">
        <f>SUMIF(月間集計シート!$M$71:$M$90,$G1362,月間集計シート!N$71:N$90)*X$2</f>
        <v>0</v>
      </c>
      <c r="Y1362" s="88">
        <f>SUMIF(月間集計シート!$M$71:$M$90,$G1362,月間集計シート!O$71:O$90)*Y$2</f>
        <v>0</v>
      </c>
      <c r="Z1362" s="88">
        <f>SUMIF(月間集計シート!$M$71:$M$90,$G1362,月間集計シート!P$71:P$90)*Z$2</f>
        <v>0</v>
      </c>
      <c r="AA1362" s="88">
        <f>SUMIF(月間集計シート!$M$71:$M$90,$G1362,月間集計シート!Q$71:Q$90)*AA$2</f>
        <v>0</v>
      </c>
      <c r="AB1362" s="88">
        <f>SUMIF(月間集計シート!$M$71:$M$90,$G1362,月間集計シート!R$71:R$90)*AB$2</f>
        <v>0</v>
      </c>
      <c r="AC1362" s="88">
        <f>SUMIF(月間集計シート!$M$71:$M$90,$G1362,月間集計シート!S$71:S$90)*AC$2</f>
        <v>0</v>
      </c>
      <c r="AD1362" s="88">
        <f>SUMIF(月間集計シート!$M$71:$M$90,$G1362,月間集計シート!T$71:T$90)*AD$2</f>
        <v>0</v>
      </c>
      <c r="AE1362" s="88">
        <f>SUMIF(月間集計シート!$M$92:$M$111,$G1362,月間集計シート!N$92:N$111)*AE$2</f>
        <v>0</v>
      </c>
      <c r="AF1362" s="88">
        <f>SUMIF(月間集計シート!$M$92:$M$111,$G1362,月間集計シート!O$92:O$111)*AF$2</f>
        <v>0</v>
      </c>
      <c r="AG1362" s="88">
        <f>SUMIF(月間集計シート!$M$92:$M$111,$G1362,月間集計シート!P$92:P$111)*AG$2</f>
        <v>0</v>
      </c>
      <c r="AH1362" s="88">
        <f>SUMIF(月間集計シート!$M$92:$M$111,$G1362,月間集計シート!Q$92:Q$111)*AH$2</f>
        <v>0</v>
      </c>
      <c r="AI1362" s="88">
        <f>SUMIF(月間集計シート!$M$92:$M$111,$G1362,月間集計シート!R$92:R$111)*AI$2</f>
        <v>0</v>
      </c>
      <c r="AJ1362" s="88">
        <f>SUMIF(月間集計シート!$M$92:$M$111,$G1362,月間集計シート!S$92:S$111)*AJ$2</f>
        <v>0</v>
      </c>
      <c r="AK1362" s="88">
        <f>SUMIF(月間集計シート!$M$92:$M$111,$G1362,月間集計シート!T$92:T$111)*AK$2</f>
        <v>0</v>
      </c>
      <c r="AL1362" s="88">
        <f>SUMIF(月間集計シート!$M$113:$M$132,$G1362,月間集計シート!N$113:N$132)*AL$2</f>
        <v>0</v>
      </c>
      <c r="AM1362" s="88">
        <f>SUMIF(月間集計シート!$M$113:$M$132,$G1362,月間集計シート!O$113:O$132)*AM$2</f>
        <v>0</v>
      </c>
      <c r="AN1362" s="88">
        <f>SUMIF(月間集計シート!$M$113:$M$132,$G1362,月間集計シート!P$113:P$132)*AN$2</f>
        <v>0</v>
      </c>
      <c r="AO1362" s="88">
        <f>SUMIF(月間集計シート!$M$113:$M$132,$G1362,月間集計シート!Q$113:Q$132)*AO$2</f>
        <v>0</v>
      </c>
      <c r="AP1362" s="88">
        <f>SUMIF(月間集計シート!$M$113:$M$132,$G1362,月間集計シート!R$113:R$132)*AP$2</f>
        <v>0</v>
      </c>
      <c r="AQ1362" s="88">
        <f>SUMIF(月間集計シート!$M$113:$M$132,$G1362,月間集計シート!S$113:S$132)*AQ$2</f>
        <v>0</v>
      </c>
      <c r="AR1362" s="88">
        <f>SUMIF(月間集計シート!$M$113:$M$132,$G1362,月間集計シート!T$113:T$132)*AR$2</f>
        <v>0</v>
      </c>
      <c r="AS1362" s="88">
        <f>SUMIF(月間集計シート!$M$134:$M$153,$G1362,月間集計シート!N$134:N$153)*AS$2</f>
        <v>0</v>
      </c>
      <c r="AT1362" s="88">
        <f>SUMIF(月間集計シート!$M$134:$M$153,$G1362,月間集計シート!O$134:O$153)*AT$2</f>
        <v>0</v>
      </c>
      <c r="AU1362" s="88">
        <f>SUMIF(月間集計シート!$M$134:$M$153,$G1362,月間集計シート!P$134:P$153)*AU$2</f>
        <v>0</v>
      </c>
      <c r="AV1362" s="88">
        <f>SUMIF(月間集計シート!$M$134:$M$153,$G1362,月間集計シート!Q$134:Q$153)*AV$2</f>
        <v>0</v>
      </c>
      <c r="AW1362" s="88">
        <f>SUMIF(月間集計シート!$M$134:$M$153,$G1362,月間集計シート!R$134:R$153)*AW$2</f>
        <v>0</v>
      </c>
      <c r="AX1362" s="88">
        <f>SUMIF(月間集計シート!$M$134:$M$153,$G1362,月間集計シート!S$134:S$153)*AX$2</f>
        <v>0</v>
      </c>
      <c r="AY1362" s="88">
        <f>SUMIF(月間集計シート!$M$134:$M$153,$G1362,月間集計シート!T$134:T$153)*AY$2</f>
        <v>0</v>
      </c>
    </row>
    <row r="1363" spans="1:51" ht="14.25" thickBot="1">
      <c r="A1363">
        <v>16</v>
      </c>
      <c r="B1363" s="120">
        <f t="shared" si="735"/>
        <v>0</v>
      </c>
      <c r="C1363" s="120" t="str">
        <f t="shared" si="735"/>
        <v/>
      </c>
      <c r="D1363" s="137"/>
      <c r="E1363" s="150" t="str">
        <f>工種!A80</f>
        <v>99106</v>
      </c>
      <c r="F1363" s="119" t="str">
        <f>工種!B80</f>
        <v>間接業務：研修・学習</v>
      </c>
      <c r="G1363" s="116" t="str">
        <f t="shared" si="732"/>
        <v>099106</v>
      </c>
      <c r="H1363" s="88">
        <f t="shared" si="734"/>
        <v>0</v>
      </c>
      <c r="I1363" s="132"/>
      <c r="J1363" s="88">
        <f>SUMIF(月間集計シート!$M$29:$M$48,$G1363,月間集計シート!N$29:N$48)*J$2</f>
        <v>0</v>
      </c>
      <c r="K1363" s="88">
        <f>SUMIF(月間集計シート!$M$29:$M$48,$G1363,月間集計シート!O$29:O$48)*K$2</f>
        <v>0</v>
      </c>
      <c r="L1363" s="88">
        <f>SUMIF(月間集計シート!$M$29:$M$48,$G1363,月間集計シート!P$29:P$48)*L$2</f>
        <v>0</v>
      </c>
      <c r="M1363" s="88">
        <f>SUMIF(月間集計シート!$M$29:$M$48,$G1363,月間集計シート!Q$29:Q$48)*M$2</f>
        <v>0</v>
      </c>
      <c r="N1363" s="88">
        <f>SUMIF(月間集計シート!$M$29:$M$48,$G1363,月間集計シート!R$29:R$48)*N$2</f>
        <v>0</v>
      </c>
      <c r="O1363" s="88">
        <f>SUMIF(月間集計シート!$M$29:$M$48,$G1363,月間集計シート!S$29:S$48)*O$2</f>
        <v>0</v>
      </c>
      <c r="P1363" s="88">
        <f>SUMIF(月間集計シート!$M$29:$M$48,$G1363,月間集計シート!T$29:T$48)*P$2</f>
        <v>0</v>
      </c>
      <c r="Q1363" s="88">
        <f>SUMIF(月間集計シート!$M$50:$M$69,$G1363,月間集計シート!N$50:N$69)*Q$2</f>
        <v>0</v>
      </c>
      <c r="R1363" s="88">
        <f>SUMIF(月間集計シート!$M$50:$M$69,$G1363,月間集計シート!O$50:O$69)*R$2</f>
        <v>0</v>
      </c>
      <c r="S1363" s="88">
        <f>SUMIF(月間集計シート!$M$50:$M$69,$G1363,月間集計シート!P$50:P$69)*S$2</f>
        <v>0</v>
      </c>
      <c r="T1363" s="88">
        <f>SUMIF(月間集計シート!$M$50:$M$69,$G1363,月間集計シート!Q$50:Q$69)*T$2</f>
        <v>0</v>
      </c>
      <c r="U1363" s="88">
        <f>SUMIF(月間集計シート!$M$50:$M$69,$G1363,月間集計シート!R$50:R$69)*U$2</f>
        <v>0</v>
      </c>
      <c r="V1363" s="88">
        <f>SUMIF(月間集計シート!$M$50:$M$69,$G1363,月間集計シート!S$50:S$69)*V$2</f>
        <v>0</v>
      </c>
      <c r="W1363" s="88">
        <f>SUMIF(月間集計シート!$M$50:$M$69,$G1363,月間集計シート!T$50:T$69)*W$2</f>
        <v>0</v>
      </c>
      <c r="X1363" s="88">
        <f>SUMIF(月間集計シート!$M$71:$M$90,$G1363,月間集計シート!N$71:N$90)*X$2</f>
        <v>0</v>
      </c>
      <c r="Y1363" s="88">
        <f>SUMIF(月間集計シート!$M$71:$M$90,$G1363,月間集計シート!O$71:O$90)*Y$2</f>
        <v>0</v>
      </c>
      <c r="Z1363" s="88">
        <f>SUMIF(月間集計シート!$M$71:$M$90,$G1363,月間集計シート!P$71:P$90)*Z$2</f>
        <v>0</v>
      </c>
      <c r="AA1363" s="88">
        <f>SUMIF(月間集計シート!$M$71:$M$90,$G1363,月間集計シート!Q$71:Q$90)*AA$2</f>
        <v>0</v>
      </c>
      <c r="AB1363" s="88">
        <f>SUMIF(月間集計シート!$M$71:$M$90,$G1363,月間集計シート!R$71:R$90)*AB$2</f>
        <v>0</v>
      </c>
      <c r="AC1363" s="88">
        <f>SUMIF(月間集計シート!$M$71:$M$90,$G1363,月間集計シート!S$71:S$90)*AC$2</f>
        <v>0</v>
      </c>
      <c r="AD1363" s="88">
        <f>SUMIF(月間集計シート!$M$71:$M$90,$G1363,月間集計シート!T$71:T$90)*AD$2</f>
        <v>0</v>
      </c>
      <c r="AE1363" s="88">
        <f>SUMIF(月間集計シート!$M$92:$M$111,$G1363,月間集計シート!N$92:N$111)*AE$2</f>
        <v>0</v>
      </c>
      <c r="AF1363" s="88">
        <f>SUMIF(月間集計シート!$M$92:$M$111,$G1363,月間集計シート!O$92:O$111)*AF$2</f>
        <v>0</v>
      </c>
      <c r="AG1363" s="88">
        <f>SUMIF(月間集計シート!$M$92:$M$111,$G1363,月間集計シート!P$92:P$111)*AG$2</f>
        <v>0</v>
      </c>
      <c r="AH1363" s="88">
        <f>SUMIF(月間集計シート!$M$92:$M$111,$G1363,月間集計シート!Q$92:Q$111)*AH$2</f>
        <v>0</v>
      </c>
      <c r="AI1363" s="88">
        <f>SUMIF(月間集計シート!$M$92:$M$111,$G1363,月間集計シート!R$92:R$111)*AI$2</f>
        <v>0</v>
      </c>
      <c r="AJ1363" s="88">
        <f>SUMIF(月間集計シート!$M$92:$M$111,$G1363,月間集計シート!S$92:S$111)*AJ$2</f>
        <v>0</v>
      </c>
      <c r="AK1363" s="88">
        <f>SUMIF(月間集計シート!$M$92:$M$111,$G1363,月間集計シート!T$92:T$111)*AK$2</f>
        <v>0</v>
      </c>
      <c r="AL1363" s="88">
        <f>SUMIF(月間集計シート!$M$113:$M$132,$G1363,月間集計シート!N$113:N$132)*AL$2</f>
        <v>0</v>
      </c>
      <c r="AM1363" s="88">
        <f>SUMIF(月間集計シート!$M$113:$M$132,$G1363,月間集計シート!O$113:O$132)*AM$2</f>
        <v>0</v>
      </c>
      <c r="AN1363" s="88">
        <f>SUMIF(月間集計シート!$M$113:$M$132,$G1363,月間集計シート!P$113:P$132)*AN$2</f>
        <v>0</v>
      </c>
      <c r="AO1363" s="88">
        <f>SUMIF(月間集計シート!$M$113:$M$132,$G1363,月間集計シート!Q$113:Q$132)*AO$2</f>
        <v>0</v>
      </c>
      <c r="AP1363" s="88">
        <f>SUMIF(月間集計シート!$M$113:$M$132,$G1363,月間集計シート!R$113:R$132)*AP$2</f>
        <v>0</v>
      </c>
      <c r="AQ1363" s="88">
        <f>SUMIF(月間集計シート!$M$113:$M$132,$G1363,月間集計シート!S$113:S$132)*AQ$2</f>
        <v>0</v>
      </c>
      <c r="AR1363" s="88">
        <f>SUMIF(月間集計シート!$M$113:$M$132,$G1363,月間集計シート!T$113:T$132)*AR$2</f>
        <v>0</v>
      </c>
      <c r="AS1363" s="88">
        <f>SUMIF(月間集計シート!$M$134:$M$153,$G1363,月間集計シート!N$134:N$153)*AS$2</f>
        <v>0</v>
      </c>
      <c r="AT1363" s="88">
        <f>SUMIF(月間集計シート!$M$134:$M$153,$G1363,月間集計シート!O$134:O$153)*AT$2</f>
        <v>0</v>
      </c>
      <c r="AU1363" s="88">
        <f>SUMIF(月間集計シート!$M$134:$M$153,$G1363,月間集計シート!P$134:P$153)*AU$2</f>
        <v>0</v>
      </c>
      <c r="AV1363" s="88">
        <f>SUMIF(月間集計シート!$M$134:$M$153,$G1363,月間集計シート!Q$134:Q$153)*AV$2</f>
        <v>0</v>
      </c>
      <c r="AW1363" s="88">
        <f>SUMIF(月間集計シート!$M$134:$M$153,$G1363,月間集計シート!R$134:R$153)*AW$2</f>
        <v>0</v>
      </c>
      <c r="AX1363" s="88">
        <f>SUMIF(月間集計シート!$M$134:$M$153,$G1363,月間集計シート!S$134:S$153)*AX$2</f>
        <v>0</v>
      </c>
      <c r="AY1363" s="88">
        <f>SUMIF(月間集計シート!$M$134:$M$153,$G1363,月間集計シート!T$134:T$153)*AY$2</f>
        <v>0</v>
      </c>
    </row>
    <row r="1364" spans="1:51" ht="14.25" thickBot="1">
      <c r="A1364">
        <v>16</v>
      </c>
      <c r="B1364" s="120">
        <f t="shared" si="735"/>
        <v>0</v>
      </c>
      <c r="C1364" s="120" t="str">
        <f t="shared" si="735"/>
        <v/>
      </c>
      <c r="D1364" s="137"/>
      <c r="E1364" s="150" t="str">
        <f>工種!A81</f>
        <v>99107</v>
      </c>
      <c r="F1364" s="119" t="str">
        <f>工種!B81</f>
        <v>間接業務：事務作業（開発以外）</v>
      </c>
      <c r="G1364" s="116" t="str">
        <f t="shared" ref="G1364:G1365" si="736">B1364&amp;E1364</f>
        <v>099107</v>
      </c>
      <c r="H1364" s="88">
        <f t="shared" ref="H1364:H1365" si="737">SUM(J1364:AY1364)</f>
        <v>0</v>
      </c>
      <c r="I1364" s="132"/>
      <c r="J1364" s="88">
        <f>SUMIF(月間集計シート!$M$29:$M$48,$G1364,月間集計シート!N$29:N$48)*J$2</f>
        <v>0</v>
      </c>
      <c r="K1364" s="88">
        <f>SUMIF(月間集計シート!$M$29:$M$48,$G1364,月間集計シート!O$29:O$48)*K$2</f>
        <v>0</v>
      </c>
      <c r="L1364" s="88">
        <f>SUMIF(月間集計シート!$M$29:$M$48,$G1364,月間集計シート!P$29:P$48)*L$2</f>
        <v>0</v>
      </c>
      <c r="M1364" s="88">
        <f>SUMIF(月間集計シート!$M$29:$M$48,$G1364,月間集計シート!Q$29:Q$48)*M$2</f>
        <v>0</v>
      </c>
      <c r="N1364" s="88">
        <f>SUMIF(月間集計シート!$M$29:$M$48,$G1364,月間集計シート!R$29:R$48)*N$2</f>
        <v>0</v>
      </c>
      <c r="O1364" s="88">
        <f>SUMIF(月間集計シート!$M$29:$M$48,$G1364,月間集計シート!S$29:S$48)*O$2</f>
        <v>0</v>
      </c>
      <c r="P1364" s="88">
        <f>SUMIF(月間集計シート!$M$29:$M$48,$G1364,月間集計シート!T$29:T$48)*P$2</f>
        <v>0</v>
      </c>
      <c r="Q1364" s="88">
        <f>SUMIF(月間集計シート!$M$50:$M$69,$G1364,月間集計シート!N$50:N$69)*Q$2</f>
        <v>0</v>
      </c>
      <c r="R1364" s="88">
        <f>SUMIF(月間集計シート!$M$50:$M$69,$G1364,月間集計シート!O$50:O$69)*R$2</f>
        <v>0</v>
      </c>
      <c r="S1364" s="88">
        <f>SUMIF(月間集計シート!$M$50:$M$69,$G1364,月間集計シート!P$50:P$69)*S$2</f>
        <v>0</v>
      </c>
      <c r="T1364" s="88">
        <f>SUMIF(月間集計シート!$M$50:$M$69,$G1364,月間集計シート!Q$50:Q$69)*T$2</f>
        <v>0</v>
      </c>
      <c r="U1364" s="88">
        <f>SUMIF(月間集計シート!$M$50:$M$69,$G1364,月間集計シート!R$50:R$69)*U$2</f>
        <v>0</v>
      </c>
      <c r="V1364" s="88">
        <f>SUMIF(月間集計シート!$M$50:$M$69,$G1364,月間集計シート!S$50:S$69)*V$2</f>
        <v>0</v>
      </c>
      <c r="W1364" s="88">
        <f>SUMIF(月間集計シート!$M$50:$M$69,$G1364,月間集計シート!T$50:T$69)*W$2</f>
        <v>0</v>
      </c>
      <c r="X1364" s="88">
        <f>SUMIF(月間集計シート!$M$71:$M$90,$G1364,月間集計シート!N$71:N$90)*X$2</f>
        <v>0</v>
      </c>
      <c r="Y1364" s="88">
        <f>SUMIF(月間集計シート!$M$71:$M$90,$G1364,月間集計シート!O$71:O$90)*Y$2</f>
        <v>0</v>
      </c>
      <c r="Z1364" s="88">
        <f>SUMIF(月間集計シート!$M$71:$M$90,$G1364,月間集計シート!P$71:P$90)*Z$2</f>
        <v>0</v>
      </c>
      <c r="AA1364" s="88">
        <f>SUMIF(月間集計シート!$M$71:$M$90,$G1364,月間集計シート!Q$71:Q$90)*AA$2</f>
        <v>0</v>
      </c>
      <c r="AB1364" s="88">
        <f>SUMIF(月間集計シート!$M$71:$M$90,$G1364,月間集計シート!R$71:R$90)*AB$2</f>
        <v>0</v>
      </c>
      <c r="AC1364" s="88">
        <f>SUMIF(月間集計シート!$M$71:$M$90,$G1364,月間集計シート!S$71:S$90)*AC$2</f>
        <v>0</v>
      </c>
      <c r="AD1364" s="88">
        <f>SUMIF(月間集計シート!$M$71:$M$90,$G1364,月間集計シート!T$71:T$90)*AD$2</f>
        <v>0</v>
      </c>
      <c r="AE1364" s="88">
        <f>SUMIF(月間集計シート!$M$92:$M$111,$G1364,月間集計シート!N$92:N$111)*AE$2</f>
        <v>0</v>
      </c>
      <c r="AF1364" s="88">
        <f>SUMIF(月間集計シート!$M$92:$M$111,$G1364,月間集計シート!O$92:O$111)*AF$2</f>
        <v>0</v>
      </c>
      <c r="AG1364" s="88">
        <f>SUMIF(月間集計シート!$M$92:$M$111,$G1364,月間集計シート!P$92:P$111)*AG$2</f>
        <v>0</v>
      </c>
      <c r="AH1364" s="88">
        <f>SUMIF(月間集計シート!$M$92:$M$111,$G1364,月間集計シート!Q$92:Q$111)*AH$2</f>
        <v>0</v>
      </c>
      <c r="AI1364" s="88">
        <f>SUMIF(月間集計シート!$M$92:$M$111,$G1364,月間集計シート!R$92:R$111)*AI$2</f>
        <v>0</v>
      </c>
      <c r="AJ1364" s="88">
        <f>SUMIF(月間集計シート!$M$92:$M$111,$G1364,月間集計シート!S$92:S$111)*AJ$2</f>
        <v>0</v>
      </c>
      <c r="AK1364" s="88">
        <f>SUMIF(月間集計シート!$M$92:$M$111,$G1364,月間集計シート!T$92:T$111)*AK$2</f>
        <v>0</v>
      </c>
      <c r="AL1364" s="88">
        <f>SUMIF(月間集計シート!$M$113:$M$132,$G1364,月間集計シート!N$113:N$132)*AL$2</f>
        <v>0</v>
      </c>
      <c r="AM1364" s="88">
        <f>SUMIF(月間集計シート!$M$113:$M$132,$G1364,月間集計シート!O$113:O$132)*AM$2</f>
        <v>0</v>
      </c>
      <c r="AN1364" s="88">
        <f>SUMIF(月間集計シート!$M$113:$M$132,$G1364,月間集計シート!P$113:P$132)*AN$2</f>
        <v>0</v>
      </c>
      <c r="AO1364" s="88">
        <f>SUMIF(月間集計シート!$M$113:$M$132,$G1364,月間集計シート!Q$113:Q$132)*AO$2</f>
        <v>0</v>
      </c>
      <c r="AP1364" s="88">
        <f>SUMIF(月間集計シート!$M$113:$M$132,$G1364,月間集計シート!R$113:R$132)*AP$2</f>
        <v>0</v>
      </c>
      <c r="AQ1364" s="88">
        <f>SUMIF(月間集計シート!$M$113:$M$132,$G1364,月間集計シート!S$113:S$132)*AQ$2</f>
        <v>0</v>
      </c>
      <c r="AR1364" s="88">
        <f>SUMIF(月間集計シート!$M$113:$M$132,$G1364,月間集計シート!T$113:T$132)*AR$2</f>
        <v>0</v>
      </c>
      <c r="AS1364" s="88">
        <f>SUMIF(月間集計シート!$M$134:$M$153,$G1364,月間集計シート!N$134:N$153)*AS$2</f>
        <v>0</v>
      </c>
      <c r="AT1364" s="88">
        <f>SUMIF(月間集計シート!$M$134:$M$153,$G1364,月間集計シート!O$134:O$153)*AT$2</f>
        <v>0</v>
      </c>
      <c r="AU1364" s="88">
        <f>SUMIF(月間集計シート!$M$134:$M$153,$G1364,月間集計シート!P$134:P$153)*AU$2</f>
        <v>0</v>
      </c>
      <c r="AV1364" s="88">
        <f>SUMIF(月間集計シート!$M$134:$M$153,$G1364,月間集計シート!Q$134:Q$153)*AV$2</f>
        <v>0</v>
      </c>
      <c r="AW1364" s="88">
        <f>SUMIF(月間集計シート!$M$134:$M$153,$G1364,月間集計シート!R$134:R$153)*AW$2</f>
        <v>0</v>
      </c>
      <c r="AX1364" s="88">
        <f>SUMIF(月間集計シート!$M$134:$M$153,$G1364,月間集計シート!S$134:S$153)*AX$2</f>
        <v>0</v>
      </c>
      <c r="AY1364" s="88">
        <f>SUMIF(月間集計シート!$M$134:$M$153,$G1364,月間集計シート!T$134:T$153)*AY$2</f>
        <v>0</v>
      </c>
    </row>
    <row r="1365" spans="1:51" ht="14.25" thickBot="1">
      <c r="A1365">
        <v>16</v>
      </c>
      <c r="B1365" s="120">
        <f t="shared" si="735"/>
        <v>0</v>
      </c>
      <c r="C1365" s="120" t="str">
        <f t="shared" si="735"/>
        <v/>
      </c>
      <c r="D1365" s="137"/>
      <c r="E1365" s="150" t="str">
        <f>工種!A82</f>
        <v>99110</v>
      </c>
      <c r="F1365" s="119" t="str">
        <f>工種!B82</f>
        <v>間接業務：打合せ</v>
      </c>
      <c r="G1365" s="116" t="str">
        <f t="shared" si="736"/>
        <v>099110</v>
      </c>
      <c r="H1365" s="88">
        <f t="shared" si="737"/>
        <v>0</v>
      </c>
      <c r="I1365" s="132"/>
      <c r="J1365" s="88">
        <f>SUMIF(月間集計シート!$M$29:$M$48,$G1365,月間集計シート!N$29:N$48)*J$2</f>
        <v>0</v>
      </c>
      <c r="K1365" s="88">
        <f>SUMIF(月間集計シート!$M$29:$M$48,$G1365,月間集計シート!O$29:O$48)*K$2</f>
        <v>0</v>
      </c>
      <c r="L1365" s="88">
        <f>SUMIF(月間集計シート!$M$29:$M$48,$G1365,月間集計シート!P$29:P$48)*L$2</f>
        <v>0</v>
      </c>
      <c r="M1365" s="88">
        <f>SUMIF(月間集計シート!$M$29:$M$48,$G1365,月間集計シート!Q$29:Q$48)*M$2</f>
        <v>0</v>
      </c>
      <c r="N1365" s="88">
        <f>SUMIF(月間集計シート!$M$29:$M$48,$G1365,月間集計シート!R$29:R$48)*N$2</f>
        <v>0</v>
      </c>
      <c r="O1365" s="88">
        <f>SUMIF(月間集計シート!$M$29:$M$48,$G1365,月間集計シート!S$29:S$48)*O$2</f>
        <v>0</v>
      </c>
      <c r="P1365" s="88">
        <f>SUMIF(月間集計シート!$M$29:$M$48,$G1365,月間集計シート!T$29:T$48)*P$2</f>
        <v>0</v>
      </c>
      <c r="Q1365" s="88">
        <f>SUMIF(月間集計シート!$M$50:$M$69,$G1365,月間集計シート!N$50:N$69)*Q$2</f>
        <v>0</v>
      </c>
      <c r="R1365" s="88">
        <f>SUMIF(月間集計シート!$M$50:$M$69,$G1365,月間集計シート!O$50:O$69)*R$2</f>
        <v>0</v>
      </c>
      <c r="S1365" s="88">
        <f>SUMIF(月間集計シート!$M$50:$M$69,$G1365,月間集計シート!P$50:P$69)*S$2</f>
        <v>0</v>
      </c>
      <c r="T1365" s="88">
        <f>SUMIF(月間集計シート!$M$50:$M$69,$G1365,月間集計シート!Q$50:Q$69)*T$2</f>
        <v>0</v>
      </c>
      <c r="U1365" s="88">
        <f>SUMIF(月間集計シート!$M$50:$M$69,$G1365,月間集計シート!R$50:R$69)*U$2</f>
        <v>0</v>
      </c>
      <c r="V1365" s="88">
        <f>SUMIF(月間集計シート!$M$50:$M$69,$G1365,月間集計シート!S$50:S$69)*V$2</f>
        <v>0</v>
      </c>
      <c r="W1365" s="88">
        <f>SUMIF(月間集計シート!$M$50:$M$69,$G1365,月間集計シート!T$50:T$69)*W$2</f>
        <v>0</v>
      </c>
      <c r="X1365" s="88">
        <f>SUMIF(月間集計シート!$M$71:$M$90,$G1365,月間集計シート!N$71:N$90)*X$2</f>
        <v>0</v>
      </c>
      <c r="Y1365" s="88">
        <f>SUMIF(月間集計シート!$M$71:$M$90,$G1365,月間集計シート!O$71:O$90)*Y$2</f>
        <v>0</v>
      </c>
      <c r="Z1365" s="88">
        <f>SUMIF(月間集計シート!$M$71:$M$90,$G1365,月間集計シート!P$71:P$90)*Z$2</f>
        <v>0</v>
      </c>
      <c r="AA1365" s="88">
        <f>SUMIF(月間集計シート!$M$71:$M$90,$G1365,月間集計シート!Q$71:Q$90)*AA$2</f>
        <v>0</v>
      </c>
      <c r="AB1365" s="88">
        <f>SUMIF(月間集計シート!$M$71:$M$90,$G1365,月間集計シート!R$71:R$90)*AB$2</f>
        <v>0</v>
      </c>
      <c r="AC1365" s="88">
        <f>SUMIF(月間集計シート!$M$71:$M$90,$G1365,月間集計シート!S$71:S$90)*AC$2</f>
        <v>0</v>
      </c>
      <c r="AD1365" s="88">
        <f>SUMIF(月間集計シート!$M$71:$M$90,$G1365,月間集計シート!T$71:T$90)*AD$2</f>
        <v>0</v>
      </c>
      <c r="AE1365" s="88">
        <f>SUMIF(月間集計シート!$M$92:$M$111,$G1365,月間集計シート!N$92:N$111)*AE$2</f>
        <v>0</v>
      </c>
      <c r="AF1365" s="88">
        <f>SUMIF(月間集計シート!$M$92:$M$111,$G1365,月間集計シート!O$92:O$111)*AF$2</f>
        <v>0</v>
      </c>
      <c r="AG1365" s="88">
        <f>SUMIF(月間集計シート!$M$92:$M$111,$G1365,月間集計シート!P$92:P$111)*AG$2</f>
        <v>0</v>
      </c>
      <c r="AH1365" s="88">
        <f>SUMIF(月間集計シート!$M$92:$M$111,$G1365,月間集計シート!Q$92:Q$111)*AH$2</f>
        <v>0</v>
      </c>
      <c r="AI1365" s="88">
        <f>SUMIF(月間集計シート!$M$92:$M$111,$G1365,月間集計シート!R$92:R$111)*AI$2</f>
        <v>0</v>
      </c>
      <c r="AJ1365" s="88">
        <f>SUMIF(月間集計シート!$M$92:$M$111,$G1365,月間集計シート!S$92:S$111)*AJ$2</f>
        <v>0</v>
      </c>
      <c r="AK1365" s="88">
        <f>SUMIF(月間集計シート!$M$92:$M$111,$G1365,月間集計シート!T$92:T$111)*AK$2</f>
        <v>0</v>
      </c>
      <c r="AL1365" s="88">
        <f>SUMIF(月間集計シート!$M$113:$M$132,$G1365,月間集計シート!N$113:N$132)*AL$2</f>
        <v>0</v>
      </c>
      <c r="AM1365" s="88">
        <f>SUMIF(月間集計シート!$M$113:$M$132,$G1365,月間集計シート!O$113:O$132)*AM$2</f>
        <v>0</v>
      </c>
      <c r="AN1365" s="88">
        <f>SUMIF(月間集計シート!$M$113:$M$132,$G1365,月間集計シート!P$113:P$132)*AN$2</f>
        <v>0</v>
      </c>
      <c r="AO1365" s="88">
        <f>SUMIF(月間集計シート!$M$113:$M$132,$G1365,月間集計シート!Q$113:Q$132)*AO$2</f>
        <v>0</v>
      </c>
      <c r="AP1365" s="88">
        <f>SUMIF(月間集計シート!$M$113:$M$132,$G1365,月間集計シート!R$113:R$132)*AP$2</f>
        <v>0</v>
      </c>
      <c r="AQ1365" s="88">
        <f>SUMIF(月間集計シート!$M$113:$M$132,$G1365,月間集計シート!S$113:S$132)*AQ$2</f>
        <v>0</v>
      </c>
      <c r="AR1365" s="88">
        <f>SUMIF(月間集計シート!$M$113:$M$132,$G1365,月間集計シート!T$113:T$132)*AR$2</f>
        <v>0</v>
      </c>
      <c r="AS1365" s="88">
        <f>SUMIF(月間集計シート!$M$134:$M$153,$G1365,月間集計シート!N$134:N$153)*AS$2</f>
        <v>0</v>
      </c>
      <c r="AT1365" s="88">
        <f>SUMIF(月間集計シート!$M$134:$M$153,$G1365,月間集計シート!O$134:O$153)*AT$2</f>
        <v>0</v>
      </c>
      <c r="AU1365" s="88">
        <f>SUMIF(月間集計シート!$M$134:$M$153,$G1365,月間集計シート!P$134:P$153)*AU$2</f>
        <v>0</v>
      </c>
      <c r="AV1365" s="88">
        <f>SUMIF(月間集計シート!$M$134:$M$153,$G1365,月間集計シート!Q$134:Q$153)*AV$2</f>
        <v>0</v>
      </c>
      <c r="AW1365" s="88">
        <f>SUMIF(月間集計シート!$M$134:$M$153,$G1365,月間集計シート!R$134:R$153)*AW$2</f>
        <v>0</v>
      </c>
      <c r="AX1365" s="88">
        <f>SUMIF(月間集計シート!$M$134:$M$153,$G1365,月間集計シート!S$134:S$153)*AX$2</f>
        <v>0</v>
      </c>
      <c r="AY1365" s="88">
        <f>SUMIF(月間集計シート!$M$134:$M$153,$G1365,月間集計シート!T$134:T$153)*AY$2</f>
        <v>0</v>
      </c>
    </row>
    <row r="1366" spans="1:51" ht="14.25" thickBot="1">
      <c r="A1366">
        <v>16</v>
      </c>
      <c r="B1366" s="120">
        <f t="shared" si="735"/>
        <v>0</v>
      </c>
      <c r="C1366" s="120" t="str">
        <f t="shared" si="735"/>
        <v/>
      </c>
      <c r="D1366" s="137"/>
      <c r="E1366" s="150" t="str">
        <f>工種!A83</f>
        <v>99199</v>
      </c>
      <c r="F1366" s="119" t="str">
        <f>工種!B83</f>
        <v>間接業務：その他</v>
      </c>
      <c r="G1366" s="116" t="str">
        <f t="shared" si="731"/>
        <v>099199</v>
      </c>
      <c r="H1366" s="88">
        <f t="shared" si="685"/>
        <v>0</v>
      </c>
      <c r="I1366" s="132"/>
      <c r="J1366" s="88">
        <f>SUMIF(月間集計シート!$M$29:$M$48,$G1366,月間集計シート!N$29:N$48)*J$2</f>
        <v>0</v>
      </c>
      <c r="K1366" s="88">
        <f>SUMIF(月間集計シート!$M$29:$M$48,$G1366,月間集計シート!O$29:O$48)*K$2</f>
        <v>0</v>
      </c>
      <c r="L1366" s="88">
        <f>SUMIF(月間集計シート!$M$29:$M$48,$G1366,月間集計シート!P$29:P$48)*L$2</f>
        <v>0</v>
      </c>
      <c r="M1366" s="88">
        <f>SUMIF(月間集計シート!$M$29:$M$48,$G1366,月間集計シート!Q$29:Q$48)*M$2</f>
        <v>0</v>
      </c>
      <c r="N1366" s="88">
        <f>SUMIF(月間集計シート!$M$29:$M$48,$G1366,月間集計シート!R$29:R$48)*N$2</f>
        <v>0</v>
      </c>
      <c r="O1366" s="88">
        <f>SUMIF(月間集計シート!$M$29:$M$48,$G1366,月間集計シート!S$29:S$48)*O$2</f>
        <v>0</v>
      </c>
      <c r="P1366" s="88">
        <f>SUMIF(月間集計シート!$M$29:$M$48,$G1366,月間集計シート!T$29:T$48)*P$2</f>
        <v>0</v>
      </c>
      <c r="Q1366" s="88">
        <f>SUMIF(月間集計シート!$M$50:$M$69,$G1366,月間集計シート!N$50:N$69)*Q$2</f>
        <v>0</v>
      </c>
      <c r="R1366" s="88">
        <f>SUMIF(月間集計シート!$M$50:$M$69,$G1366,月間集計シート!O$50:O$69)*R$2</f>
        <v>0</v>
      </c>
      <c r="S1366" s="88">
        <f>SUMIF(月間集計シート!$M$50:$M$69,$G1366,月間集計シート!P$50:P$69)*S$2</f>
        <v>0</v>
      </c>
      <c r="T1366" s="88">
        <f>SUMIF(月間集計シート!$M$50:$M$69,$G1366,月間集計シート!Q$50:Q$69)*T$2</f>
        <v>0</v>
      </c>
      <c r="U1366" s="88">
        <f>SUMIF(月間集計シート!$M$50:$M$69,$G1366,月間集計シート!R$50:R$69)*U$2</f>
        <v>0</v>
      </c>
      <c r="V1366" s="88">
        <f>SUMIF(月間集計シート!$M$50:$M$69,$G1366,月間集計シート!S$50:S$69)*V$2</f>
        <v>0</v>
      </c>
      <c r="W1366" s="88">
        <f>SUMIF(月間集計シート!$M$50:$M$69,$G1366,月間集計シート!T$50:T$69)*W$2</f>
        <v>0</v>
      </c>
      <c r="X1366" s="88">
        <f>SUMIF(月間集計シート!$M$71:$M$90,$G1366,月間集計シート!N$71:N$90)*X$2</f>
        <v>0</v>
      </c>
      <c r="Y1366" s="88">
        <f>SUMIF(月間集計シート!$M$71:$M$90,$G1366,月間集計シート!O$71:O$90)*Y$2</f>
        <v>0</v>
      </c>
      <c r="Z1366" s="88">
        <f>SUMIF(月間集計シート!$M$71:$M$90,$G1366,月間集計シート!P$71:P$90)*Z$2</f>
        <v>0</v>
      </c>
      <c r="AA1366" s="88">
        <f>SUMIF(月間集計シート!$M$71:$M$90,$G1366,月間集計シート!Q$71:Q$90)*AA$2</f>
        <v>0</v>
      </c>
      <c r="AB1366" s="88">
        <f>SUMIF(月間集計シート!$M$71:$M$90,$G1366,月間集計シート!R$71:R$90)*AB$2</f>
        <v>0</v>
      </c>
      <c r="AC1366" s="88">
        <f>SUMIF(月間集計シート!$M$71:$M$90,$G1366,月間集計シート!S$71:S$90)*AC$2</f>
        <v>0</v>
      </c>
      <c r="AD1366" s="88">
        <f>SUMIF(月間集計シート!$M$71:$M$90,$G1366,月間集計シート!T$71:T$90)*AD$2</f>
        <v>0</v>
      </c>
      <c r="AE1366" s="88">
        <f>SUMIF(月間集計シート!$M$92:$M$111,$G1366,月間集計シート!N$92:N$111)*AE$2</f>
        <v>0</v>
      </c>
      <c r="AF1366" s="88">
        <f>SUMIF(月間集計シート!$M$92:$M$111,$G1366,月間集計シート!O$92:O$111)*AF$2</f>
        <v>0</v>
      </c>
      <c r="AG1366" s="88">
        <f>SUMIF(月間集計シート!$M$92:$M$111,$G1366,月間集計シート!P$92:P$111)*AG$2</f>
        <v>0</v>
      </c>
      <c r="AH1366" s="88">
        <f>SUMIF(月間集計シート!$M$92:$M$111,$G1366,月間集計シート!Q$92:Q$111)*AH$2</f>
        <v>0</v>
      </c>
      <c r="AI1366" s="88">
        <f>SUMIF(月間集計シート!$M$92:$M$111,$G1366,月間集計シート!R$92:R$111)*AI$2</f>
        <v>0</v>
      </c>
      <c r="AJ1366" s="88">
        <f>SUMIF(月間集計シート!$M$92:$M$111,$G1366,月間集計シート!S$92:S$111)*AJ$2</f>
        <v>0</v>
      </c>
      <c r="AK1366" s="88">
        <f>SUMIF(月間集計シート!$M$92:$M$111,$G1366,月間集計シート!T$92:T$111)*AK$2</f>
        <v>0</v>
      </c>
      <c r="AL1366" s="88">
        <f>SUMIF(月間集計シート!$M$113:$M$132,$G1366,月間集計シート!N$113:N$132)*AL$2</f>
        <v>0</v>
      </c>
      <c r="AM1366" s="88">
        <f>SUMIF(月間集計シート!$M$113:$M$132,$G1366,月間集計シート!O$113:O$132)*AM$2</f>
        <v>0</v>
      </c>
      <c r="AN1366" s="88">
        <f>SUMIF(月間集計シート!$M$113:$M$132,$G1366,月間集計シート!P$113:P$132)*AN$2</f>
        <v>0</v>
      </c>
      <c r="AO1366" s="88">
        <f>SUMIF(月間集計シート!$M$113:$M$132,$G1366,月間集計シート!Q$113:Q$132)*AO$2</f>
        <v>0</v>
      </c>
      <c r="AP1366" s="88">
        <f>SUMIF(月間集計シート!$M$113:$M$132,$G1366,月間集計シート!R$113:R$132)*AP$2</f>
        <v>0</v>
      </c>
      <c r="AQ1366" s="88">
        <f>SUMIF(月間集計シート!$M$113:$M$132,$G1366,月間集計シート!S$113:S$132)*AQ$2</f>
        <v>0</v>
      </c>
      <c r="AR1366" s="88">
        <f>SUMIF(月間集計シート!$M$113:$M$132,$G1366,月間集計シート!T$113:T$132)*AR$2</f>
        <v>0</v>
      </c>
      <c r="AS1366" s="88">
        <f>SUMIF(月間集計シート!$M$134:$M$153,$G1366,月間集計シート!N$134:N$153)*AS$2</f>
        <v>0</v>
      </c>
      <c r="AT1366" s="88">
        <f>SUMIF(月間集計シート!$M$134:$M$153,$G1366,月間集計シート!O$134:O$153)*AT$2</f>
        <v>0</v>
      </c>
      <c r="AU1366" s="88">
        <f>SUMIF(月間集計シート!$M$134:$M$153,$G1366,月間集計シート!P$134:P$153)*AU$2</f>
        <v>0</v>
      </c>
      <c r="AV1366" s="88">
        <f>SUMIF(月間集計シート!$M$134:$M$153,$G1366,月間集計シート!Q$134:Q$153)*AV$2</f>
        <v>0</v>
      </c>
      <c r="AW1366" s="88">
        <f>SUMIF(月間集計シート!$M$134:$M$153,$G1366,月間集計シート!R$134:R$153)*AW$2</f>
        <v>0</v>
      </c>
      <c r="AX1366" s="88">
        <f>SUMIF(月間集計シート!$M$134:$M$153,$G1366,月間集計シート!S$134:S$153)*AX$2</f>
        <v>0</v>
      </c>
      <c r="AY1366" s="88">
        <f>SUMIF(月間集計シート!$M$134:$M$153,$G1366,月間集計シート!T$134:T$153)*AY$2</f>
        <v>0</v>
      </c>
    </row>
    <row r="1367" spans="1:51">
      <c r="B1367" s="120"/>
      <c r="C1367" s="120"/>
      <c r="D1367" s="127"/>
      <c r="E1367" s="115"/>
      <c r="F1367" s="119"/>
      <c r="G1367" s="116"/>
      <c r="H1367" s="88"/>
      <c r="I1367" s="132"/>
      <c r="J1367" s="88"/>
      <c r="K1367" s="88"/>
      <c r="L1367" s="88"/>
      <c r="M1367" s="88"/>
      <c r="N1367" s="88"/>
      <c r="O1367" s="88"/>
      <c r="P1367" s="88"/>
      <c r="Q1367" s="88"/>
      <c r="R1367" s="88"/>
      <c r="S1367" s="88"/>
      <c r="T1367" s="88"/>
      <c r="U1367" s="88"/>
      <c r="V1367" s="88"/>
      <c r="W1367" s="88"/>
      <c r="X1367" s="88"/>
      <c r="Y1367" s="88"/>
      <c r="Z1367" s="88"/>
      <c r="AA1367" s="88"/>
      <c r="AB1367" s="88"/>
      <c r="AC1367" s="88"/>
      <c r="AD1367" s="88"/>
      <c r="AE1367" s="88"/>
      <c r="AF1367" s="88"/>
      <c r="AG1367" s="88"/>
      <c r="AH1367" s="88"/>
      <c r="AI1367" s="88"/>
      <c r="AJ1367" s="88"/>
      <c r="AK1367" s="88"/>
      <c r="AL1367" s="88"/>
      <c r="AM1367" s="88"/>
      <c r="AN1367" s="88"/>
      <c r="AO1367" s="88"/>
      <c r="AP1367" s="88"/>
      <c r="AQ1367" s="88"/>
      <c r="AR1367" s="88"/>
      <c r="AS1367" s="88"/>
      <c r="AT1367" s="88"/>
      <c r="AU1367" s="88"/>
      <c r="AV1367" s="88"/>
      <c r="AW1367" s="88"/>
      <c r="AX1367" s="88"/>
      <c r="AY1367" s="88"/>
    </row>
    <row r="1368" spans="1:51" ht="14.25" thickBot="1">
      <c r="A1368">
        <v>17</v>
      </c>
      <c r="B1368">
        <f>月間集計シート!I20</f>
        <v>0</v>
      </c>
      <c r="C1368" s="116" t="str">
        <f>月間集計シート!J20</f>
        <v/>
      </c>
      <c r="D1368" s="147">
        <v>1</v>
      </c>
      <c r="E1368" s="115" t="s">
        <v>451</v>
      </c>
      <c r="F1368" s="119" t="s">
        <v>29</v>
      </c>
      <c r="G1368" s="116"/>
      <c r="H1368" s="88">
        <f t="shared" ref="H1368:H1451" si="738">SUM(J1368:AY1368)</f>
        <v>0</v>
      </c>
      <c r="I1368" s="132"/>
      <c r="J1368" s="88">
        <f>SUM(J1370:J1451)</f>
        <v>0</v>
      </c>
      <c r="K1368" s="88">
        <f t="shared" ref="K1368:AY1368" si="739">SUM(K1370:K1451)</f>
        <v>0</v>
      </c>
      <c r="L1368" s="88">
        <f t="shared" si="739"/>
        <v>0</v>
      </c>
      <c r="M1368" s="88">
        <f t="shared" si="739"/>
        <v>0</v>
      </c>
      <c r="N1368" s="88">
        <f t="shared" si="739"/>
        <v>0</v>
      </c>
      <c r="O1368" s="88">
        <f t="shared" si="739"/>
        <v>0</v>
      </c>
      <c r="P1368" s="88">
        <f t="shared" si="739"/>
        <v>0</v>
      </c>
      <c r="Q1368" s="88">
        <f t="shared" si="739"/>
        <v>0</v>
      </c>
      <c r="R1368" s="88">
        <f t="shared" si="739"/>
        <v>0</v>
      </c>
      <c r="S1368" s="88">
        <f t="shared" si="739"/>
        <v>0</v>
      </c>
      <c r="T1368" s="88">
        <f t="shared" si="739"/>
        <v>0</v>
      </c>
      <c r="U1368" s="88">
        <f t="shared" si="739"/>
        <v>0</v>
      </c>
      <c r="V1368" s="88">
        <f t="shared" si="739"/>
        <v>0</v>
      </c>
      <c r="W1368" s="88">
        <f t="shared" si="739"/>
        <v>0</v>
      </c>
      <c r="X1368" s="88">
        <f t="shared" si="739"/>
        <v>0</v>
      </c>
      <c r="Y1368" s="88">
        <f t="shared" si="739"/>
        <v>0</v>
      </c>
      <c r="Z1368" s="88">
        <f t="shared" si="739"/>
        <v>0</v>
      </c>
      <c r="AA1368" s="88">
        <f t="shared" si="739"/>
        <v>0</v>
      </c>
      <c r="AB1368" s="88">
        <f t="shared" si="739"/>
        <v>0</v>
      </c>
      <c r="AC1368" s="88">
        <f t="shared" si="739"/>
        <v>0</v>
      </c>
      <c r="AD1368" s="88">
        <f t="shared" si="739"/>
        <v>0</v>
      </c>
      <c r="AE1368" s="88">
        <f t="shared" si="739"/>
        <v>0</v>
      </c>
      <c r="AF1368" s="88">
        <f t="shared" si="739"/>
        <v>0</v>
      </c>
      <c r="AG1368" s="88">
        <f t="shared" si="739"/>
        <v>0</v>
      </c>
      <c r="AH1368" s="88">
        <f t="shared" si="739"/>
        <v>0</v>
      </c>
      <c r="AI1368" s="88">
        <f t="shared" si="739"/>
        <v>0</v>
      </c>
      <c r="AJ1368" s="88">
        <f t="shared" si="739"/>
        <v>0</v>
      </c>
      <c r="AK1368" s="88">
        <f t="shared" si="739"/>
        <v>0</v>
      </c>
      <c r="AL1368" s="88">
        <f t="shared" si="739"/>
        <v>0</v>
      </c>
      <c r="AM1368" s="88">
        <f t="shared" si="739"/>
        <v>0</v>
      </c>
      <c r="AN1368" s="88">
        <f t="shared" si="739"/>
        <v>0</v>
      </c>
      <c r="AO1368" s="88">
        <f t="shared" si="739"/>
        <v>0</v>
      </c>
      <c r="AP1368" s="88">
        <f t="shared" si="739"/>
        <v>0</v>
      </c>
      <c r="AQ1368" s="88">
        <f t="shared" si="739"/>
        <v>0</v>
      </c>
      <c r="AR1368" s="88">
        <f t="shared" si="739"/>
        <v>0</v>
      </c>
      <c r="AS1368" s="88">
        <f t="shared" si="739"/>
        <v>0</v>
      </c>
      <c r="AT1368" s="88">
        <f t="shared" si="739"/>
        <v>0</v>
      </c>
      <c r="AU1368" s="88">
        <f t="shared" si="739"/>
        <v>0</v>
      </c>
      <c r="AV1368" s="88">
        <f t="shared" si="739"/>
        <v>0</v>
      </c>
      <c r="AW1368" s="88">
        <f t="shared" si="739"/>
        <v>0</v>
      </c>
      <c r="AX1368" s="88">
        <f t="shared" si="739"/>
        <v>0</v>
      </c>
      <c r="AY1368" s="88">
        <f t="shared" si="739"/>
        <v>0</v>
      </c>
    </row>
    <row r="1369" spans="1:51" ht="14.25" customHeight="1" thickBot="1">
      <c r="A1369">
        <v>17</v>
      </c>
      <c r="B1369">
        <f>B1368</f>
        <v>0</v>
      </c>
      <c r="C1369" s="116" t="str">
        <f>C1368</f>
        <v/>
      </c>
      <c r="D1369" s="147">
        <v>1</v>
      </c>
      <c r="E1369" s="115" t="s">
        <v>453</v>
      </c>
      <c r="F1369" s="119" t="s">
        <v>454</v>
      </c>
      <c r="G1369" s="116"/>
      <c r="H1369" s="129">
        <f t="shared" ref="H1369" si="740">SUM(J1369:AY1369)</f>
        <v>0</v>
      </c>
      <c r="I1369" s="132"/>
      <c r="J1369" s="88">
        <f>SUMIF($D1370:$D1451,1,J1370:J1451)</f>
        <v>0</v>
      </c>
      <c r="K1369" s="88">
        <f t="shared" ref="K1369" si="741">SUMIF($D1370:$D1451,1,K1370:K1451)</f>
        <v>0</v>
      </c>
      <c r="L1369" s="88">
        <f t="shared" ref="L1369" si="742">SUMIF($D1370:$D1451,1,L1370:L1451)</f>
        <v>0</v>
      </c>
      <c r="M1369" s="88">
        <f t="shared" ref="M1369" si="743">SUMIF($D1370:$D1451,1,M1370:M1451)</f>
        <v>0</v>
      </c>
      <c r="N1369" s="88">
        <f t="shared" ref="N1369" si="744">SUMIF($D1370:$D1451,1,N1370:N1451)</f>
        <v>0</v>
      </c>
      <c r="O1369" s="88">
        <f t="shared" ref="O1369" si="745">SUMIF($D1370:$D1451,1,O1370:O1451)</f>
        <v>0</v>
      </c>
      <c r="P1369" s="88">
        <f t="shared" ref="P1369" si="746">SUMIF($D1370:$D1451,1,P1370:P1451)</f>
        <v>0</v>
      </c>
      <c r="Q1369" s="88">
        <f t="shared" ref="Q1369" si="747">SUMIF($D1370:$D1451,1,Q1370:Q1451)</f>
        <v>0</v>
      </c>
      <c r="R1369" s="88">
        <f t="shared" ref="R1369" si="748">SUMIF($D1370:$D1451,1,R1370:R1451)</f>
        <v>0</v>
      </c>
      <c r="S1369" s="88">
        <f t="shared" ref="S1369" si="749">SUMIF($D1370:$D1451,1,S1370:S1451)</f>
        <v>0</v>
      </c>
      <c r="T1369" s="88">
        <f t="shared" ref="T1369" si="750">SUMIF($D1370:$D1451,1,T1370:T1451)</f>
        <v>0</v>
      </c>
      <c r="U1369" s="88">
        <f t="shared" ref="U1369" si="751">SUMIF($D1370:$D1451,1,U1370:U1451)</f>
        <v>0</v>
      </c>
      <c r="V1369" s="88">
        <f t="shared" ref="V1369" si="752">SUMIF($D1370:$D1451,1,V1370:V1451)</f>
        <v>0</v>
      </c>
      <c r="W1369" s="88">
        <f t="shared" ref="W1369" si="753">SUMIF($D1370:$D1451,1,W1370:W1451)</f>
        <v>0</v>
      </c>
      <c r="X1369" s="88">
        <f t="shared" ref="X1369" si="754">SUMIF($D1370:$D1451,1,X1370:X1451)</f>
        <v>0</v>
      </c>
      <c r="Y1369" s="88">
        <f t="shared" ref="Y1369" si="755">SUMIF($D1370:$D1451,1,Y1370:Y1451)</f>
        <v>0</v>
      </c>
      <c r="Z1369" s="88">
        <f t="shared" ref="Z1369" si="756">SUMIF($D1370:$D1451,1,Z1370:Z1451)</f>
        <v>0</v>
      </c>
      <c r="AA1369" s="88">
        <f t="shared" ref="AA1369" si="757">SUMIF($D1370:$D1451,1,AA1370:AA1451)</f>
        <v>0</v>
      </c>
      <c r="AB1369" s="88">
        <f t="shared" ref="AB1369" si="758">SUMIF($D1370:$D1451,1,AB1370:AB1451)</f>
        <v>0</v>
      </c>
      <c r="AC1369" s="88">
        <f t="shared" ref="AC1369" si="759">SUMIF($D1370:$D1451,1,AC1370:AC1451)</f>
        <v>0</v>
      </c>
      <c r="AD1369" s="88">
        <f t="shared" ref="AD1369" si="760">SUMIF($D1370:$D1451,1,AD1370:AD1451)</f>
        <v>0</v>
      </c>
      <c r="AE1369" s="88">
        <f t="shared" ref="AE1369" si="761">SUMIF($D1370:$D1451,1,AE1370:AE1451)</f>
        <v>0</v>
      </c>
      <c r="AF1369" s="88">
        <f t="shared" ref="AF1369" si="762">SUMIF($D1370:$D1451,1,AF1370:AF1451)</f>
        <v>0</v>
      </c>
      <c r="AG1369" s="88">
        <f t="shared" ref="AG1369" si="763">SUMIF($D1370:$D1451,1,AG1370:AG1451)</f>
        <v>0</v>
      </c>
      <c r="AH1369" s="88">
        <f t="shared" ref="AH1369" si="764">SUMIF($D1370:$D1451,1,AH1370:AH1451)</f>
        <v>0</v>
      </c>
      <c r="AI1369" s="88">
        <f t="shared" ref="AI1369" si="765">SUMIF($D1370:$D1451,1,AI1370:AI1451)</f>
        <v>0</v>
      </c>
      <c r="AJ1369" s="88">
        <f t="shared" ref="AJ1369" si="766">SUMIF($D1370:$D1451,1,AJ1370:AJ1451)</f>
        <v>0</v>
      </c>
      <c r="AK1369" s="88">
        <f t="shared" ref="AK1369" si="767">SUMIF($D1370:$D1451,1,AK1370:AK1451)</f>
        <v>0</v>
      </c>
      <c r="AL1369" s="88">
        <f t="shared" ref="AL1369" si="768">SUMIF($D1370:$D1451,1,AL1370:AL1451)</f>
        <v>0</v>
      </c>
      <c r="AM1369" s="88">
        <f t="shared" ref="AM1369" si="769">SUMIF($D1370:$D1451,1,AM1370:AM1451)</f>
        <v>0</v>
      </c>
      <c r="AN1369" s="88">
        <f t="shared" ref="AN1369" si="770">SUMIF($D1370:$D1451,1,AN1370:AN1451)</f>
        <v>0</v>
      </c>
      <c r="AO1369" s="88">
        <f t="shared" ref="AO1369" si="771">SUMIF($D1370:$D1451,1,AO1370:AO1451)</f>
        <v>0</v>
      </c>
      <c r="AP1369" s="88">
        <f t="shared" ref="AP1369" si="772">SUMIF($D1370:$D1451,1,AP1370:AP1451)</f>
        <v>0</v>
      </c>
      <c r="AQ1369" s="88">
        <f t="shared" ref="AQ1369" si="773">SUMIF($D1370:$D1451,1,AQ1370:AQ1451)</f>
        <v>0</v>
      </c>
      <c r="AR1369" s="88">
        <f t="shared" ref="AR1369" si="774">SUMIF($D1370:$D1451,1,AR1370:AR1451)</f>
        <v>0</v>
      </c>
      <c r="AS1369" s="88">
        <f t="shared" ref="AS1369" si="775">SUMIF($D1370:$D1451,1,AS1370:AS1451)</f>
        <v>0</v>
      </c>
      <c r="AT1369" s="88">
        <f t="shared" ref="AT1369" si="776">SUMIF($D1370:$D1451,1,AT1370:AT1451)</f>
        <v>0</v>
      </c>
      <c r="AU1369" s="88">
        <f t="shared" ref="AU1369" si="777">SUMIF($D1370:$D1451,1,AU1370:AU1451)</f>
        <v>0</v>
      </c>
      <c r="AV1369" s="88">
        <f t="shared" ref="AV1369" si="778">SUMIF($D1370:$D1451,1,AV1370:AV1451)</f>
        <v>0</v>
      </c>
      <c r="AW1369" s="88">
        <f t="shared" ref="AW1369" si="779">SUMIF($D1370:$D1451,1,AW1370:AW1451)</f>
        <v>0</v>
      </c>
      <c r="AX1369" s="88">
        <f t="shared" ref="AX1369" si="780">SUMIF($D1370:$D1451,1,AX1370:AX1451)</f>
        <v>0</v>
      </c>
      <c r="AY1369" s="88">
        <f t="shared" ref="AY1369" si="781">SUMIF($D1370:$D1451,1,AY1370:AY1451)</f>
        <v>0</v>
      </c>
    </row>
    <row r="1370" spans="1:51" ht="14.25" thickBot="1">
      <c r="A1370">
        <v>17</v>
      </c>
      <c r="B1370" s="120">
        <f>B1368</f>
        <v>0</v>
      </c>
      <c r="C1370" s="120" t="str">
        <f>C1368</f>
        <v/>
      </c>
      <c r="D1370" s="137"/>
      <c r="E1370" s="150" t="str">
        <f>工種!A2</f>
        <v>10102</v>
      </c>
      <c r="F1370" s="119" t="str">
        <f>工種!B2</f>
        <v>SRS：調査・分析・開発計画の準備・実施作業</v>
      </c>
      <c r="G1370" s="116" t="str">
        <f t="shared" si="731"/>
        <v>010102</v>
      </c>
      <c r="H1370" s="88">
        <f t="shared" si="738"/>
        <v>0</v>
      </c>
      <c r="I1370" s="132"/>
      <c r="J1370" s="88">
        <f>SUMIF(月間集計シート!$M$29:$M$48,$G1370,月間集計シート!N$29:N$48)*J$2</f>
        <v>0</v>
      </c>
      <c r="K1370" s="88">
        <f>SUMIF(月間集計シート!$M$29:$M$48,$G1370,月間集計シート!O$29:O$48)*K$2</f>
        <v>0</v>
      </c>
      <c r="L1370" s="88">
        <f>SUMIF(月間集計シート!$M$29:$M$48,$G1370,月間集計シート!P$29:P$48)*L$2</f>
        <v>0</v>
      </c>
      <c r="M1370" s="88">
        <f>SUMIF(月間集計シート!$M$29:$M$48,$G1370,月間集計シート!Q$29:Q$48)*M$2</f>
        <v>0</v>
      </c>
      <c r="N1370" s="88">
        <f>SUMIF(月間集計シート!$M$29:$M$48,$G1370,月間集計シート!R$29:R$48)*N$2</f>
        <v>0</v>
      </c>
      <c r="O1370" s="88">
        <f>SUMIF(月間集計シート!$M$29:$M$48,$G1370,月間集計シート!S$29:S$48)*O$2</f>
        <v>0</v>
      </c>
      <c r="P1370" s="88">
        <f>SUMIF(月間集計シート!$M$29:$M$48,$G1370,月間集計シート!T$29:T$48)*P$2</f>
        <v>0</v>
      </c>
      <c r="Q1370" s="88">
        <f>SUMIF(月間集計シート!$M$50:$M$69,$G1370,月間集計シート!N$50:N$69)*Q$2</f>
        <v>0</v>
      </c>
      <c r="R1370" s="88">
        <f>SUMIF(月間集計シート!$M$50:$M$69,$G1370,月間集計シート!O$50:O$69)*R$2</f>
        <v>0</v>
      </c>
      <c r="S1370" s="88">
        <f>SUMIF(月間集計シート!$M$50:$M$69,$G1370,月間集計シート!P$50:P$69)*S$2</f>
        <v>0</v>
      </c>
      <c r="T1370" s="88">
        <f>SUMIF(月間集計シート!$M$50:$M$69,$G1370,月間集計シート!Q$50:Q$69)*T$2</f>
        <v>0</v>
      </c>
      <c r="U1370" s="88">
        <f>SUMIF(月間集計シート!$M$50:$M$69,$G1370,月間集計シート!R$50:R$69)*U$2</f>
        <v>0</v>
      </c>
      <c r="V1370" s="88">
        <f>SUMIF(月間集計シート!$M$50:$M$69,$G1370,月間集計シート!S$50:S$69)*V$2</f>
        <v>0</v>
      </c>
      <c r="W1370" s="88">
        <f>SUMIF(月間集計シート!$M$50:$M$69,$G1370,月間集計シート!T$50:T$69)*W$2</f>
        <v>0</v>
      </c>
      <c r="X1370" s="88">
        <f>SUMIF(月間集計シート!$M$71:$M$90,$G1370,月間集計シート!N$71:N$90)*X$2</f>
        <v>0</v>
      </c>
      <c r="Y1370" s="88">
        <f>SUMIF(月間集計シート!$M$71:$M$90,$G1370,月間集計シート!O$71:O$90)*Y$2</f>
        <v>0</v>
      </c>
      <c r="Z1370" s="88">
        <f>SUMIF(月間集計シート!$M$71:$M$90,$G1370,月間集計シート!P$71:P$90)*Z$2</f>
        <v>0</v>
      </c>
      <c r="AA1370" s="88">
        <f>SUMIF(月間集計シート!$M$71:$M$90,$G1370,月間集計シート!Q$71:Q$90)*AA$2</f>
        <v>0</v>
      </c>
      <c r="AB1370" s="88">
        <f>SUMIF(月間集計シート!$M$71:$M$90,$G1370,月間集計シート!R$71:R$90)*AB$2</f>
        <v>0</v>
      </c>
      <c r="AC1370" s="88">
        <f>SUMIF(月間集計シート!$M$71:$M$90,$G1370,月間集計シート!S$71:S$90)*AC$2</f>
        <v>0</v>
      </c>
      <c r="AD1370" s="88">
        <f>SUMIF(月間集計シート!$M$71:$M$90,$G1370,月間集計シート!T$71:T$90)*AD$2</f>
        <v>0</v>
      </c>
      <c r="AE1370" s="88">
        <f>SUMIF(月間集計シート!$M$92:$M$111,$G1370,月間集計シート!N$92:N$111)*AE$2</f>
        <v>0</v>
      </c>
      <c r="AF1370" s="88">
        <f>SUMIF(月間集計シート!$M$92:$M$111,$G1370,月間集計シート!O$92:O$111)*AF$2</f>
        <v>0</v>
      </c>
      <c r="AG1370" s="88">
        <f>SUMIF(月間集計シート!$M$92:$M$111,$G1370,月間集計シート!P$92:P$111)*AG$2</f>
        <v>0</v>
      </c>
      <c r="AH1370" s="88">
        <f>SUMIF(月間集計シート!$M$92:$M$111,$G1370,月間集計シート!Q$92:Q$111)*AH$2</f>
        <v>0</v>
      </c>
      <c r="AI1370" s="88">
        <f>SUMIF(月間集計シート!$M$92:$M$111,$G1370,月間集計シート!R$92:R$111)*AI$2</f>
        <v>0</v>
      </c>
      <c r="AJ1370" s="88">
        <f>SUMIF(月間集計シート!$M$92:$M$111,$G1370,月間集計シート!S$92:S$111)*AJ$2</f>
        <v>0</v>
      </c>
      <c r="AK1370" s="88">
        <f>SUMIF(月間集計シート!$M$92:$M$111,$G1370,月間集計シート!T$92:T$111)*AK$2</f>
        <v>0</v>
      </c>
      <c r="AL1370" s="88">
        <f>SUMIF(月間集計シート!$M$113:$M$132,$G1370,月間集計シート!N$113:N$132)*AL$2</f>
        <v>0</v>
      </c>
      <c r="AM1370" s="88">
        <f>SUMIF(月間集計シート!$M$113:$M$132,$G1370,月間集計シート!O$113:O$132)*AM$2</f>
        <v>0</v>
      </c>
      <c r="AN1370" s="88">
        <f>SUMIF(月間集計シート!$M$113:$M$132,$G1370,月間集計シート!P$113:P$132)*AN$2</f>
        <v>0</v>
      </c>
      <c r="AO1370" s="88">
        <f>SUMIF(月間集計シート!$M$113:$M$132,$G1370,月間集計シート!Q$113:Q$132)*AO$2</f>
        <v>0</v>
      </c>
      <c r="AP1370" s="88">
        <f>SUMIF(月間集計シート!$M$113:$M$132,$G1370,月間集計シート!R$113:R$132)*AP$2</f>
        <v>0</v>
      </c>
      <c r="AQ1370" s="88">
        <f>SUMIF(月間集計シート!$M$113:$M$132,$G1370,月間集計シート!S$113:S$132)*AQ$2</f>
        <v>0</v>
      </c>
      <c r="AR1370" s="88">
        <f>SUMIF(月間集計シート!$M$113:$M$132,$G1370,月間集計シート!T$113:T$132)*AR$2</f>
        <v>0</v>
      </c>
      <c r="AS1370" s="88">
        <f>SUMIF(月間集計シート!$M$134:$M$153,$G1370,月間集計シート!N$134:N$153)*AS$2</f>
        <v>0</v>
      </c>
      <c r="AT1370" s="88">
        <f>SUMIF(月間集計シート!$M$134:$M$153,$G1370,月間集計シート!O$134:O$153)*AT$2</f>
        <v>0</v>
      </c>
      <c r="AU1370" s="88">
        <f>SUMIF(月間集計シート!$M$134:$M$153,$G1370,月間集計シート!P$134:P$153)*AU$2</f>
        <v>0</v>
      </c>
      <c r="AV1370" s="88">
        <f>SUMIF(月間集計シート!$M$134:$M$153,$G1370,月間集計シート!Q$134:Q$153)*AV$2</f>
        <v>0</v>
      </c>
      <c r="AW1370" s="88">
        <f>SUMIF(月間集計シート!$M$134:$M$153,$G1370,月間集計シート!R$134:R$153)*AW$2</f>
        <v>0</v>
      </c>
      <c r="AX1370" s="88">
        <f>SUMIF(月間集計シート!$M$134:$M$153,$G1370,月間集計シート!S$134:S$153)*AX$2</f>
        <v>0</v>
      </c>
      <c r="AY1370" s="88">
        <f>SUMIF(月間集計シート!$M$134:$M$153,$G1370,月間集計シート!T$134:T$153)*AY$2</f>
        <v>0</v>
      </c>
    </row>
    <row r="1371" spans="1:51" ht="14.25" thickBot="1">
      <c r="A1371">
        <v>17</v>
      </c>
      <c r="B1371" s="120">
        <f t="shared" ref="B1371:B1434" si="782">B1370</f>
        <v>0</v>
      </c>
      <c r="C1371" s="120" t="str">
        <f t="shared" ref="C1371:C1434" si="783">C1370</f>
        <v/>
      </c>
      <c r="D1371" s="137"/>
      <c r="E1371" s="150" t="str">
        <f>工種!A3</f>
        <v>10103</v>
      </c>
      <c r="F1371" s="119" t="str">
        <f>工種!B3</f>
        <v>SRS：企画書・計画書・報告書等資料作成・修正</v>
      </c>
      <c r="G1371" s="116" t="str">
        <f t="shared" si="731"/>
        <v>010103</v>
      </c>
      <c r="H1371" s="88">
        <f t="shared" si="738"/>
        <v>0</v>
      </c>
      <c r="I1371" s="132"/>
      <c r="J1371" s="88">
        <f>SUMIF(月間集計シート!$M$29:$M$48,$G1371,月間集計シート!N$29:N$48)*J$2</f>
        <v>0</v>
      </c>
      <c r="K1371" s="88">
        <f>SUMIF(月間集計シート!$M$29:$M$48,$G1371,月間集計シート!O$29:O$48)*K$2</f>
        <v>0</v>
      </c>
      <c r="L1371" s="88">
        <f>SUMIF(月間集計シート!$M$29:$M$48,$G1371,月間集計シート!P$29:P$48)*L$2</f>
        <v>0</v>
      </c>
      <c r="M1371" s="88">
        <f>SUMIF(月間集計シート!$M$29:$M$48,$G1371,月間集計シート!Q$29:Q$48)*M$2</f>
        <v>0</v>
      </c>
      <c r="N1371" s="88">
        <f>SUMIF(月間集計シート!$M$29:$M$48,$G1371,月間集計シート!R$29:R$48)*N$2</f>
        <v>0</v>
      </c>
      <c r="O1371" s="88">
        <f>SUMIF(月間集計シート!$M$29:$M$48,$G1371,月間集計シート!S$29:S$48)*O$2</f>
        <v>0</v>
      </c>
      <c r="P1371" s="88">
        <f>SUMIF(月間集計シート!$M$29:$M$48,$G1371,月間集計シート!T$29:T$48)*P$2</f>
        <v>0</v>
      </c>
      <c r="Q1371" s="88">
        <f>SUMIF(月間集計シート!$M$50:$M$69,$G1371,月間集計シート!N$50:N$69)*Q$2</f>
        <v>0</v>
      </c>
      <c r="R1371" s="88">
        <f>SUMIF(月間集計シート!$M$50:$M$69,$G1371,月間集計シート!O$50:O$69)*R$2</f>
        <v>0</v>
      </c>
      <c r="S1371" s="88">
        <f>SUMIF(月間集計シート!$M$50:$M$69,$G1371,月間集計シート!P$50:P$69)*S$2</f>
        <v>0</v>
      </c>
      <c r="T1371" s="88">
        <f>SUMIF(月間集計シート!$M$50:$M$69,$G1371,月間集計シート!Q$50:Q$69)*T$2</f>
        <v>0</v>
      </c>
      <c r="U1371" s="88">
        <f>SUMIF(月間集計シート!$M$50:$M$69,$G1371,月間集計シート!R$50:R$69)*U$2</f>
        <v>0</v>
      </c>
      <c r="V1371" s="88">
        <f>SUMIF(月間集計シート!$M$50:$M$69,$G1371,月間集計シート!S$50:S$69)*V$2</f>
        <v>0</v>
      </c>
      <c r="W1371" s="88">
        <f>SUMIF(月間集計シート!$M$50:$M$69,$G1371,月間集計シート!T$50:T$69)*W$2</f>
        <v>0</v>
      </c>
      <c r="X1371" s="88">
        <f>SUMIF(月間集計シート!$M$71:$M$90,$G1371,月間集計シート!N$71:N$90)*X$2</f>
        <v>0</v>
      </c>
      <c r="Y1371" s="88">
        <f>SUMIF(月間集計シート!$M$71:$M$90,$G1371,月間集計シート!O$71:O$90)*Y$2</f>
        <v>0</v>
      </c>
      <c r="Z1371" s="88">
        <f>SUMIF(月間集計シート!$M$71:$M$90,$G1371,月間集計シート!P$71:P$90)*Z$2</f>
        <v>0</v>
      </c>
      <c r="AA1371" s="88">
        <f>SUMIF(月間集計シート!$M$71:$M$90,$G1371,月間集計シート!Q$71:Q$90)*AA$2</f>
        <v>0</v>
      </c>
      <c r="AB1371" s="88">
        <f>SUMIF(月間集計シート!$M$71:$M$90,$G1371,月間集計シート!R$71:R$90)*AB$2</f>
        <v>0</v>
      </c>
      <c r="AC1371" s="88">
        <f>SUMIF(月間集計シート!$M$71:$M$90,$G1371,月間集計シート!S$71:S$90)*AC$2</f>
        <v>0</v>
      </c>
      <c r="AD1371" s="88">
        <f>SUMIF(月間集計シート!$M$71:$M$90,$G1371,月間集計シート!T$71:T$90)*AD$2</f>
        <v>0</v>
      </c>
      <c r="AE1371" s="88">
        <f>SUMIF(月間集計シート!$M$92:$M$111,$G1371,月間集計シート!N$92:N$111)*AE$2</f>
        <v>0</v>
      </c>
      <c r="AF1371" s="88">
        <f>SUMIF(月間集計シート!$M$92:$M$111,$G1371,月間集計シート!O$92:O$111)*AF$2</f>
        <v>0</v>
      </c>
      <c r="AG1371" s="88">
        <f>SUMIF(月間集計シート!$M$92:$M$111,$G1371,月間集計シート!P$92:P$111)*AG$2</f>
        <v>0</v>
      </c>
      <c r="AH1371" s="88">
        <f>SUMIF(月間集計シート!$M$92:$M$111,$G1371,月間集計シート!Q$92:Q$111)*AH$2</f>
        <v>0</v>
      </c>
      <c r="AI1371" s="88">
        <f>SUMIF(月間集計シート!$M$92:$M$111,$G1371,月間集計シート!R$92:R$111)*AI$2</f>
        <v>0</v>
      </c>
      <c r="AJ1371" s="88">
        <f>SUMIF(月間集計シート!$M$92:$M$111,$G1371,月間集計シート!S$92:S$111)*AJ$2</f>
        <v>0</v>
      </c>
      <c r="AK1371" s="88">
        <f>SUMIF(月間集計シート!$M$92:$M$111,$G1371,月間集計シート!T$92:T$111)*AK$2</f>
        <v>0</v>
      </c>
      <c r="AL1371" s="88">
        <f>SUMIF(月間集計シート!$M$113:$M$132,$G1371,月間集計シート!N$113:N$132)*AL$2</f>
        <v>0</v>
      </c>
      <c r="AM1371" s="88">
        <f>SUMIF(月間集計シート!$M$113:$M$132,$G1371,月間集計シート!O$113:O$132)*AM$2</f>
        <v>0</v>
      </c>
      <c r="AN1371" s="88">
        <f>SUMIF(月間集計シート!$M$113:$M$132,$G1371,月間集計シート!P$113:P$132)*AN$2</f>
        <v>0</v>
      </c>
      <c r="AO1371" s="88">
        <f>SUMIF(月間集計シート!$M$113:$M$132,$G1371,月間集計シート!Q$113:Q$132)*AO$2</f>
        <v>0</v>
      </c>
      <c r="AP1371" s="88">
        <f>SUMIF(月間集計シート!$M$113:$M$132,$G1371,月間集計シート!R$113:R$132)*AP$2</f>
        <v>0</v>
      </c>
      <c r="AQ1371" s="88">
        <f>SUMIF(月間集計シート!$M$113:$M$132,$G1371,月間集計シート!S$113:S$132)*AQ$2</f>
        <v>0</v>
      </c>
      <c r="AR1371" s="88">
        <f>SUMIF(月間集計シート!$M$113:$M$132,$G1371,月間集計シート!T$113:T$132)*AR$2</f>
        <v>0</v>
      </c>
      <c r="AS1371" s="88">
        <f>SUMIF(月間集計シート!$M$134:$M$153,$G1371,月間集計シート!N$134:N$153)*AS$2</f>
        <v>0</v>
      </c>
      <c r="AT1371" s="88">
        <f>SUMIF(月間集計シート!$M$134:$M$153,$G1371,月間集計シート!O$134:O$153)*AT$2</f>
        <v>0</v>
      </c>
      <c r="AU1371" s="88">
        <f>SUMIF(月間集計シート!$M$134:$M$153,$G1371,月間集計シート!P$134:P$153)*AU$2</f>
        <v>0</v>
      </c>
      <c r="AV1371" s="88">
        <f>SUMIF(月間集計シート!$M$134:$M$153,$G1371,月間集計シート!Q$134:Q$153)*AV$2</f>
        <v>0</v>
      </c>
      <c r="AW1371" s="88">
        <f>SUMIF(月間集計シート!$M$134:$M$153,$G1371,月間集計シート!R$134:R$153)*AW$2</f>
        <v>0</v>
      </c>
      <c r="AX1371" s="88">
        <f>SUMIF(月間集計シート!$M$134:$M$153,$G1371,月間集計シート!S$134:S$153)*AX$2</f>
        <v>0</v>
      </c>
      <c r="AY1371" s="88">
        <f>SUMIF(月間集計シート!$M$134:$M$153,$G1371,月間集計シート!T$134:T$153)*AY$2</f>
        <v>0</v>
      </c>
    </row>
    <row r="1372" spans="1:51" ht="14.25" thickBot="1">
      <c r="A1372">
        <v>17</v>
      </c>
      <c r="B1372" s="120">
        <f t="shared" si="782"/>
        <v>0</v>
      </c>
      <c r="C1372" s="120" t="str">
        <f t="shared" si="783"/>
        <v/>
      </c>
      <c r="D1372" s="137"/>
      <c r="E1372" s="150" t="str">
        <f>工種!A4</f>
        <v>10104</v>
      </c>
      <c r="F1372" s="119" t="str">
        <f>工種!B4</f>
        <v>SRS：打合せ</v>
      </c>
      <c r="G1372" s="116" t="str">
        <f t="shared" si="731"/>
        <v>010104</v>
      </c>
      <c r="H1372" s="88">
        <f t="shared" si="738"/>
        <v>0</v>
      </c>
      <c r="I1372" s="132"/>
      <c r="J1372" s="88">
        <f>SUMIF(月間集計シート!$M$29:$M$48,$G1372,月間集計シート!N$29:N$48)*J$2</f>
        <v>0</v>
      </c>
      <c r="K1372" s="88">
        <f>SUMIF(月間集計シート!$M$29:$M$48,$G1372,月間集計シート!O$29:O$48)*K$2</f>
        <v>0</v>
      </c>
      <c r="L1372" s="88">
        <f>SUMIF(月間集計シート!$M$29:$M$48,$G1372,月間集計シート!P$29:P$48)*L$2</f>
        <v>0</v>
      </c>
      <c r="M1372" s="88">
        <f>SUMIF(月間集計シート!$M$29:$M$48,$G1372,月間集計シート!Q$29:Q$48)*M$2</f>
        <v>0</v>
      </c>
      <c r="N1372" s="88">
        <f>SUMIF(月間集計シート!$M$29:$M$48,$G1372,月間集計シート!R$29:R$48)*N$2</f>
        <v>0</v>
      </c>
      <c r="O1372" s="88">
        <f>SUMIF(月間集計シート!$M$29:$M$48,$G1372,月間集計シート!S$29:S$48)*O$2</f>
        <v>0</v>
      </c>
      <c r="P1372" s="88">
        <f>SUMIF(月間集計シート!$M$29:$M$48,$G1372,月間集計シート!T$29:T$48)*P$2</f>
        <v>0</v>
      </c>
      <c r="Q1372" s="88">
        <f>SUMIF(月間集計シート!$M$50:$M$69,$G1372,月間集計シート!N$50:N$69)*Q$2</f>
        <v>0</v>
      </c>
      <c r="R1372" s="88">
        <f>SUMIF(月間集計シート!$M$50:$M$69,$G1372,月間集計シート!O$50:O$69)*R$2</f>
        <v>0</v>
      </c>
      <c r="S1372" s="88">
        <f>SUMIF(月間集計シート!$M$50:$M$69,$G1372,月間集計シート!P$50:P$69)*S$2</f>
        <v>0</v>
      </c>
      <c r="T1372" s="88">
        <f>SUMIF(月間集計シート!$M$50:$M$69,$G1372,月間集計シート!Q$50:Q$69)*T$2</f>
        <v>0</v>
      </c>
      <c r="U1372" s="88">
        <f>SUMIF(月間集計シート!$M$50:$M$69,$G1372,月間集計シート!R$50:R$69)*U$2</f>
        <v>0</v>
      </c>
      <c r="V1372" s="88">
        <f>SUMIF(月間集計シート!$M$50:$M$69,$G1372,月間集計シート!S$50:S$69)*V$2</f>
        <v>0</v>
      </c>
      <c r="W1372" s="88">
        <f>SUMIF(月間集計シート!$M$50:$M$69,$G1372,月間集計シート!T$50:T$69)*W$2</f>
        <v>0</v>
      </c>
      <c r="X1372" s="88">
        <f>SUMIF(月間集計シート!$M$71:$M$90,$G1372,月間集計シート!N$71:N$90)*X$2</f>
        <v>0</v>
      </c>
      <c r="Y1372" s="88">
        <f>SUMIF(月間集計シート!$M$71:$M$90,$G1372,月間集計シート!O$71:O$90)*Y$2</f>
        <v>0</v>
      </c>
      <c r="Z1372" s="88">
        <f>SUMIF(月間集計シート!$M$71:$M$90,$G1372,月間集計シート!P$71:P$90)*Z$2</f>
        <v>0</v>
      </c>
      <c r="AA1372" s="88">
        <f>SUMIF(月間集計シート!$M$71:$M$90,$G1372,月間集計シート!Q$71:Q$90)*AA$2</f>
        <v>0</v>
      </c>
      <c r="AB1372" s="88">
        <f>SUMIF(月間集計シート!$M$71:$M$90,$G1372,月間集計シート!R$71:R$90)*AB$2</f>
        <v>0</v>
      </c>
      <c r="AC1372" s="88">
        <f>SUMIF(月間集計シート!$M$71:$M$90,$G1372,月間集計シート!S$71:S$90)*AC$2</f>
        <v>0</v>
      </c>
      <c r="AD1372" s="88">
        <f>SUMIF(月間集計シート!$M$71:$M$90,$G1372,月間集計シート!T$71:T$90)*AD$2</f>
        <v>0</v>
      </c>
      <c r="AE1372" s="88">
        <f>SUMIF(月間集計シート!$M$92:$M$111,$G1372,月間集計シート!N$92:N$111)*AE$2</f>
        <v>0</v>
      </c>
      <c r="AF1372" s="88">
        <f>SUMIF(月間集計シート!$M$92:$M$111,$G1372,月間集計シート!O$92:O$111)*AF$2</f>
        <v>0</v>
      </c>
      <c r="AG1372" s="88">
        <f>SUMIF(月間集計シート!$M$92:$M$111,$G1372,月間集計シート!P$92:P$111)*AG$2</f>
        <v>0</v>
      </c>
      <c r="AH1372" s="88">
        <f>SUMIF(月間集計シート!$M$92:$M$111,$G1372,月間集計シート!Q$92:Q$111)*AH$2</f>
        <v>0</v>
      </c>
      <c r="AI1372" s="88">
        <f>SUMIF(月間集計シート!$M$92:$M$111,$G1372,月間集計シート!R$92:R$111)*AI$2</f>
        <v>0</v>
      </c>
      <c r="AJ1372" s="88">
        <f>SUMIF(月間集計シート!$M$92:$M$111,$G1372,月間集計シート!S$92:S$111)*AJ$2</f>
        <v>0</v>
      </c>
      <c r="AK1372" s="88">
        <f>SUMIF(月間集計シート!$M$92:$M$111,$G1372,月間集計シート!T$92:T$111)*AK$2</f>
        <v>0</v>
      </c>
      <c r="AL1372" s="88">
        <f>SUMIF(月間集計シート!$M$113:$M$132,$G1372,月間集計シート!N$113:N$132)*AL$2</f>
        <v>0</v>
      </c>
      <c r="AM1372" s="88">
        <f>SUMIF(月間集計シート!$M$113:$M$132,$G1372,月間集計シート!O$113:O$132)*AM$2</f>
        <v>0</v>
      </c>
      <c r="AN1372" s="88">
        <f>SUMIF(月間集計シート!$M$113:$M$132,$G1372,月間集計シート!P$113:P$132)*AN$2</f>
        <v>0</v>
      </c>
      <c r="AO1372" s="88">
        <f>SUMIF(月間集計シート!$M$113:$M$132,$G1372,月間集計シート!Q$113:Q$132)*AO$2</f>
        <v>0</v>
      </c>
      <c r="AP1372" s="88">
        <f>SUMIF(月間集計シート!$M$113:$M$132,$G1372,月間集計シート!R$113:R$132)*AP$2</f>
        <v>0</v>
      </c>
      <c r="AQ1372" s="88">
        <f>SUMIF(月間集計シート!$M$113:$M$132,$G1372,月間集計シート!S$113:S$132)*AQ$2</f>
        <v>0</v>
      </c>
      <c r="AR1372" s="88">
        <f>SUMIF(月間集計シート!$M$113:$M$132,$G1372,月間集計シート!T$113:T$132)*AR$2</f>
        <v>0</v>
      </c>
      <c r="AS1372" s="88">
        <f>SUMIF(月間集計シート!$M$134:$M$153,$G1372,月間集計シート!N$134:N$153)*AS$2</f>
        <v>0</v>
      </c>
      <c r="AT1372" s="88">
        <f>SUMIF(月間集計シート!$M$134:$M$153,$G1372,月間集計シート!O$134:O$153)*AT$2</f>
        <v>0</v>
      </c>
      <c r="AU1372" s="88">
        <f>SUMIF(月間集計シート!$M$134:$M$153,$G1372,月間集計シート!P$134:P$153)*AU$2</f>
        <v>0</v>
      </c>
      <c r="AV1372" s="88">
        <f>SUMIF(月間集計シート!$M$134:$M$153,$G1372,月間集計シート!Q$134:Q$153)*AV$2</f>
        <v>0</v>
      </c>
      <c r="AW1372" s="88">
        <f>SUMIF(月間集計シート!$M$134:$M$153,$G1372,月間集計シート!R$134:R$153)*AW$2</f>
        <v>0</v>
      </c>
      <c r="AX1372" s="88">
        <f>SUMIF(月間集計シート!$M$134:$M$153,$G1372,月間集計シート!S$134:S$153)*AX$2</f>
        <v>0</v>
      </c>
      <c r="AY1372" s="88">
        <f>SUMIF(月間集計シート!$M$134:$M$153,$G1372,月間集計シート!T$134:T$153)*AY$2</f>
        <v>0</v>
      </c>
    </row>
    <row r="1373" spans="1:51" ht="14.25" thickBot="1">
      <c r="A1373">
        <v>17</v>
      </c>
      <c r="B1373" s="120">
        <f t="shared" si="782"/>
        <v>0</v>
      </c>
      <c r="C1373" s="120" t="str">
        <f t="shared" si="783"/>
        <v/>
      </c>
      <c r="D1373" s="137"/>
      <c r="E1373" s="150" t="str">
        <f>工種!A5</f>
        <v>10105</v>
      </c>
      <c r="F1373" s="119" t="str">
        <f>工種!B5</f>
        <v>SRS：レビュー</v>
      </c>
      <c r="G1373" s="116" t="str">
        <f t="shared" si="731"/>
        <v>010105</v>
      </c>
      <c r="H1373" s="88">
        <f t="shared" si="738"/>
        <v>0</v>
      </c>
      <c r="I1373" s="132"/>
      <c r="J1373" s="88">
        <f>SUMIF(月間集計シート!$M$29:$M$48,$G1373,月間集計シート!N$29:N$48)*J$2</f>
        <v>0</v>
      </c>
      <c r="K1373" s="88">
        <f>SUMIF(月間集計シート!$M$29:$M$48,$G1373,月間集計シート!O$29:O$48)*K$2</f>
        <v>0</v>
      </c>
      <c r="L1373" s="88">
        <f>SUMIF(月間集計シート!$M$29:$M$48,$G1373,月間集計シート!P$29:P$48)*L$2</f>
        <v>0</v>
      </c>
      <c r="M1373" s="88">
        <f>SUMIF(月間集計シート!$M$29:$M$48,$G1373,月間集計シート!Q$29:Q$48)*M$2</f>
        <v>0</v>
      </c>
      <c r="N1373" s="88">
        <f>SUMIF(月間集計シート!$M$29:$M$48,$G1373,月間集計シート!R$29:R$48)*N$2</f>
        <v>0</v>
      </c>
      <c r="O1373" s="88">
        <f>SUMIF(月間集計シート!$M$29:$M$48,$G1373,月間集計シート!S$29:S$48)*O$2</f>
        <v>0</v>
      </c>
      <c r="P1373" s="88">
        <f>SUMIF(月間集計シート!$M$29:$M$48,$G1373,月間集計シート!T$29:T$48)*P$2</f>
        <v>0</v>
      </c>
      <c r="Q1373" s="88">
        <f>SUMIF(月間集計シート!$M$50:$M$69,$G1373,月間集計シート!N$50:N$69)*Q$2</f>
        <v>0</v>
      </c>
      <c r="R1373" s="88">
        <f>SUMIF(月間集計シート!$M$50:$M$69,$G1373,月間集計シート!O$50:O$69)*R$2</f>
        <v>0</v>
      </c>
      <c r="S1373" s="88">
        <f>SUMIF(月間集計シート!$M$50:$M$69,$G1373,月間集計シート!P$50:P$69)*S$2</f>
        <v>0</v>
      </c>
      <c r="T1373" s="88">
        <f>SUMIF(月間集計シート!$M$50:$M$69,$G1373,月間集計シート!Q$50:Q$69)*T$2</f>
        <v>0</v>
      </c>
      <c r="U1373" s="88">
        <f>SUMIF(月間集計シート!$M$50:$M$69,$G1373,月間集計シート!R$50:R$69)*U$2</f>
        <v>0</v>
      </c>
      <c r="V1373" s="88">
        <f>SUMIF(月間集計シート!$M$50:$M$69,$G1373,月間集計シート!S$50:S$69)*V$2</f>
        <v>0</v>
      </c>
      <c r="W1373" s="88">
        <f>SUMIF(月間集計シート!$M$50:$M$69,$G1373,月間集計シート!T$50:T$69)*W$2</f>
        <v>0</v>
      </c>
      <c r="X1373" s="88">
        <f>SUMIF(月間集計シート!$M$71:$M$90,$G1373,月間集計シート!N$71:N$90)*X$2</f>
        <v>0</v>
      </c>
      <c r="Y1373" s="88">
        <f>SUMIF(月間集計シート!$M$71:$M$90,$G1373,月間集計シート!O$71:O$90)*Y$2</f>
        <v>0</v>
      </c>
      <c r="Z1373" s="88">
        <f>SUMIF(月間集計シート!$M$71:$M$90,$G1373,月間集計シート!P$71:P$90)*Z$2</f>
        <v>0</v>
      </c>
      <c r="AA1373" s="88">
        <f>SUMIF(月間集計シート!$M$71:$M$90,$G1373,月間集計シート!Q$71:Q$90)*AA$2</f>
        <v>0</v>
      </c>
      <c r="AB1373" s="88">
        <f>SUMIF(月間集計シート!$M$71:$M$90,$G1373,月間集計シート!R$71:R$90)*AB$2</f>
        <v>0</v>
      </c>
      <c r="AC1373" s="88">
        <f>SUMIF(月間集計シート!$M$71:$M$90,$G1373,月間集計シート!S$71:S$90)*AC$2</f>
        <v>0</v>
      </c>
      <c r="AD1373" s="88">
        <f>SUMIF(月間集計シート!$M$71:$M$90,$G1373,月間集計シート!T$71:T$90)*AD$2</f>
        <v>0</v>
      </c>
      <c r="AE1373" s="88">
        <f>SUMIF(月間集計シート!$M$92:$M$111,$G1373,月間集計シート!N$92:N$111)*AE$2</f>
        <v>0</v>
      </c>
      <c r="AF1373" s="88">
        <f>SUMIF(月間集計シート!$M$92:$M$111,$G1373,月間集計シート!O$92:O$111)*AF$2</f>
        <v>0</v>
      </c>
      <c r="AG1373" s="88">
        <f>SUMIF(月間集計シート!$M$92:$M$111,$G1373,月間集計シート!P$92:P$111)*AG$2</f>
        <v>0</v>
      </c>
      <c r="AH1373" s="88">
        <f>SUMIF(月間集計シート!$M$92:$M$111,$G1373,月間集計シート!Q$92:Q$111)*AH$2</f>
        <v>0</v>
      </c>
      <c r="AI1373" s="88">
        <f>SUMIF(月間集計シート!$M$92:$M$111,$G1373,月間集計シート!R$92:R$111)*AI$2</f>
        <v>0</v>
      </c>
      <c r="AJ1373" s="88">
        <f>SUMIF(月間集計シート!$M$92:$M$111,$G1373,月間集計シート!S$92:S$111)*AJ$2</f>
        <v>0</v>
      </c>
      <c r="AK1373" s="88">
        <f>SUMIF(月間集計シート!$M$92:$M$111,$G1373,月間集計シート!T$92:T$111)*AK$2</f>
        <v>0</v>
      </c>
      <c r="AL1373" s="88">
        <f>SUMIF(月間集計シート!$M$113:$M$132,$G1373,月間集計シート!N$113:N$132)*AL$2</f>
        <v>0</v>
      </c>
      <c r="AM1373" s="88">
        <f>SUMIF(月間集計シート!$M$113:$M$132,$G1373,月間集計シート!O$113:O$132)*AM$2</f>
        <v>0</v>
      </c>
      <c r="AN1373" s="88">
        <f>SUMIF(月間集計シート!$M$113:$M$132,$G1373,月間集計シート!P$113:P$132)*AN$2</f>
        <v>0</v>
      </c>
      <c r="AO1373" s="88">
        <f>SUMIF(月間集計シート!$M$113:$M$132,$G1373,月間集計シート!Q$113:Q$132)*AO$2</f>
        <v>0</v>
      </c>
      <c r="AP1373" s="88">
        <f>SUMIF(月間集計シート!$M$113:$M$132,$G1373,月間集計シート!R$113:R$132)*AP$2</f>
        <v>0</v>
      </c>
      <c r="AQ1373" s="88">
        <f>SUMIF(月間集計シート!$M$113:$M$132,$G1373,月間集計シート!S$113:S$132)*AQ$2</f>
        <v>0</v>
      </c>
      <c r="AR1373" s="88">
        <f>SUMIF(月間集計シート!$M$113:$M$132,$G1373,月間集計シート!T$113:T$132)*AR$2</f>
        <v>0</v>
      </c>
      <c r="AS1373" s="88">
        <f>SUMIF(月間集計シート!$M$134:$M$153,$G1373,月間集計シート!N$134:N$153)*AS$2</f>
        <v>0</v>
      </c>
      <c r="AT1373" s="88">
        <f>SUMIF(月間集計シート!$M$134:$M$153,$G1373,月間集計シート!O$134:O$153)*AT$2</f>
        <v>0</v>
      </c>
      <c r="AU1373" s="88">
        <f>SUMIF(月間集計シート!$M$134:$M$153,$G1373,月間集計シート!P$134:P$153)*AU$2</f>
        <v>0</v>
      </c>
      <c r="AV1373" s="88">
        <f>SUMIF(月間集計シート!$M$134:$M$153,$G1373,月間集計シート!Q$134:Q$153)*AV$2</f>
        <v>0</v>
      </c>
      <c r="AW1373" s="88">
        <f>SUMIF(月間集計シート!$M$134:$M$153,$G1373,月間集計シート!R$134:R$153)*AW$2</f>
        <v>0</v>
      </c>
      <c r="AX1373" s="88">
        <f>SUMIF(月間集計シート!$M$134:$M$153,$G1373,月間集計シート!S$134:S$153)*AX$2</f>
        <v>0</v>
      </c>
      <c r="AY1373" s="88">
        <f>SUMIF(月間集計シート!$M$134:$M$153,$G1373,月間集計シート!T$134:T$153)*AY$2</f>
        <v>0</v>
      </c>
    </row>
    <row r="1374" spans="1:51" ht="14.25" thickBot="1">
      <c r="A1374">
        <v>17</v>
      </c>
      <c r="B1374" s="120">
        <f t="shared" si="782"/>
        <v>0</v>
      </c>
      <c r="C1374" s="120" t="str">
        <f t="shared" si="783"/>
        <v/>
      </c>
      <c r="D1374" s="137"/>
      <c r="E1374" s="150" t="str">
        <f>工種!A6</f>
        <v>10199</v>
      </c>
      <c r="F1374" s="119" t="str">
        <f>工種!B6</f>
        <v>SRS：その他</v>
      </c>
      <c r="G1374" s="116" t="str">
        <f t="shared" si="731"/>
        <v>010199</v>
      </c>
      <c r="H1374" s="88">
        <f t="shared" si="738"/>
        <v>0</v>
      </c>
      <c r="I1374" s="132"/>
      <c r="J1374" s="88">
        <f>SUMIF(月間集計シート!$M$29:$M$48,$G1374,月間集計シート!N$29:N$48)*J$2</f>
        <v>0</v>
      </c>
      <c r="K1374" s="88">
        <f>SUMIF(月間集計シート!$M$29:$M$48,$G1374,月間集計シート!O$29:O$48)*K$2</f>
        <v>0</v>
      </c>
      <c r="L1374" s="88">
        <f>SUMIF(月間集計シート!$M$29:$M$48,$G1374,月間集計シート!P$29:P$48)*L$2</f>
        <v>0</v>
      </c>
      <c r="M1374" s="88">
        <f>SUMIF(月間集計シート!$M$29:$M$48,$G1374,月間集計シート!Q$29:Q$48)*M$2</f>
        <v>0</v>
      </c>
      <c r="N1374" s="88">
        <f>SUMIF(月間集計シート!$M$29:$M$48,$G1374,月間集計シート!R$29:R$48)*N$2</f>
        <v>0</v>
      </c>
      <c r="O1374" s="88">
        <f>SUMIF(月間集計シート!$M$29:$M$48,$G1374,月間集計シート!S$29:S$48)*O$2</f>
        <v>0</v>
      </c>
      <c r="P1374" s="88">
        <f>SUMIF(月間集計シート!$M$29:$M$48,$G1374,月間集計シート!T$29:T$48)*P$2</f>
        <v>0</v>
      </c>
      <c r="Q1374" s="88">
        <f>SUMIF(月間集計シート!$M$50:$M$69,$G1374,月間集計シート!N$50:N$69)*Q$2</f>
        <v>0</v>
      </c>
      <c r="R1374" s="88">
        <f>SUMIF(月間集計シート!$M$50:$M$69,$G1374,月間集計シート!O$50:O$69)*R$2</f>
        <v>0</v>
      </c>
      <c r="S1374" s="88">
        <f>SUMIF(月間集計シート!$M$50:$M$69,$G1374,月間集計シート!P$50:P$69)*S$2</f>
        <v>0</v>
      </c>
      <c r="T1374" s="88">
        <f>SUMIF(月間集計シート!$M$50:$M$69,$G1374,月間集計シート!Q$50:Q$69)*T$2</f>
        <v>0</v>
      </c>
      <c r="U1374" s="88">
        <f>SUMIF(月間集計シート!$M$50:$M$69,$G1374,月間集計シート!R$50:R$69)*U$2</f>
        <v>0</v>
      </c>
      <c r="V1374" s="88">
        <f>SUMIF(月間集計シート!$M$50:$M$69,$G1374,月間集計シート!S$50:S$69)*V$2</f>
        <v>0</v>
      </c>
      <c r="W1374" s="88">
        <f>SUMIF(月間集計シート!$M$50:$M$69,$G1374,月間集計シート!T$50:T$69)*W$2</f>
        <v>0</v>
      </c>
      <c r="X1374" s="88">
        <f>SUMIF(月間集計シート!$M$71:$M$90,$G1374,月間集計シート!N$71:N$90)*X$2</f>
        <v>0</v>
      </c>
      <c r="Y1374" s="88">
        <f>SUMIF(月間集計シート!$M$71:$M$90,$G1374,月間集計シート!O$71:O$90)*Y$2</f>
        <v>0</v>
      </c>
      <c r="Z1374" s="88">
        <f>SUMIF(月間集計シート!$M$71:$M$90,$G1374,月間集計シート!P$71:P$90)*Z$2</f>
        <v>0</v>
      </c>
      <c r="AA1374" s="88">
        <f>SUMIF(月間集計シート!$M$71:$M$90,$G1374,月間集計シート!Q$71:Q$90)*AA$2</f>
        <v>0</v>
      </c>
      <c r="AB1374" s="88">
        <f>SUMIF(月間集計シート!$M$71:$M$90,$G1374,月間集計シート!R$71:R$90)*AB$2</f>
        <v>0</v>
      </c>
      <c r="AC1374" s="88">
        <f>SUMIF(月間集計シート!$M$71:$M$90,$G1374,月間集計シート!S$71:S$90)*AC$2</f>
        <v>0</v>
      </c>
      <c r="AD1374" s="88">
        <f>SUMIF(月間集計シート!$M$71:$M$90,$G1374,月間集計シート!T$71:T$90)*AD$2</f>
        <v>0</v>
      </c>
      <c r="AE1374" s="88">
        <f>SUMIF(月間集計シート!$M$92:$M$111,$G1374,月間集計シート!N$92:N$111)*AE$2</f>
        <v>0</v>
      </c>
      <c r="AF1374" s="88">
        <f>SUMIF(月間集計シート!$M$92:$M$111,$G1374,月間集計シート!O$92:O$111)*AF$2</f>
        <v>0</v>
      </c>
      <c r="AG1374" s="88">
        <f>SUMIF(月間集計シート!$M$92:$M$111,$G1374,月間集計シート!P$92:P$111)*AG$2</f>
        <v>0</v>
      </c>
      <c r="AH1374" s="88">
        <f>SUMIF(月間集計シート!$M$92:$M$111,$G1374,月間集計シート!Q$92:Q$111)*AH$2</f>
        <v>0</v>
      </c>
      <c r="AI1374" s="88">
        <f>SUMIF(月間集計シート!$M$92:$M$111,$G1374,月間集計シート!R$92:R$111)*AI$2</f>
        <v>0</v>
      </c>
      <c r="AJ1374" s="88">
        <f>SUMIF(月間集計シート!$M$92:$M$111,$G1374,月間集計シート!S$92:S$111)*AJ$2</f>
        <v>0</v>
      </c>
      <c r="AK1374" s="88">
        <f>SUMIF(月間集計シート!$M$92:$M$111,$G1374,月間集計シート!T$92:T$111)*AK$2</f>
        <v>0</v>
      </c>
      <c r="AL1374" s="88">
        <f>SUMIF(月間集計シート!$M$113:$M$132,$G1374,月間集計シート!N$113:N$132)*AL$2</f>
        <v>0</v>
      </c>
      <c r="AM1374" s="88">
        <f>SUMIF(月間集計シート!$M$113:$M$132,$G1374,月間集計シート!O$113:O$132)*AM$2</f>
        <v>0</v>
      </c>
      <c r="AN1374" s="88">
        <f>SUMIF(月間集計シート!$M$113:$M$132,$G1374,月間集計シート!P$113:P$132)*AN$2</f>
        <v>0</v>
      </c>
      <c r="AO1374" s="88">
        <f>SUMIF(月間集計シート!$M$113:$M$132,$G1374,月間集計シート!Q$113:Q$132)*AO$2</f>
        <v>0</v>
      </c>
      <c r="AP1374" s="88">
        <f>SUMIF(月間集計シート!$M$113:$M$132,$G1374,月間集計シート!R$113:R$132)*AP$2</f>
        <v>0</v>
      </c>
      <c r="AQ1374" s="88">
        <f>SUMIF(月間集計シート!$M$113:$M$132,$G1374,月間集計シート!S$113:S$132)*AQ$2</f>
        <v>0</v>
      </c>
      <c r="AR1374" s="88">
        <f>SUMIF(月間集計シート!$M$113:$M$132,$G1374,月間集計シート!T$113:T$132)*AR$2</f>
        <v>0</v>
      </c>
      <c r="AS1374" s="88">
        <f>SUMIF(月間集計シート!$M$134:$M$153,$G1374,月間集計シート!N$134:N$153)*AS$2</f>
        <v>0</v>
      </c>
      <c r="AT1374" s="88">
        <f>SUMIF(月間集計シート!$M$134:$M$153,$G1374,月間集計シート!O$134:O$153)*AT$2</f>
        <v>0</v>
      </c>
      <c r="AU1374" s="88">
        <f>SUMIF(月間集計シート!$M$134:$M$153,$G1374,月間集計シート!P$134:P$153)*AU$2</f>
        <v>0</v>
      </c>
      <c r="AV1374" s="88">
        <f>SUMIF(月間集計シート!$M$134:$M$153,$G1374,月間集計シート!Q$134:Q$153)*AV$2</f>
        <v>0</v>
      </c>
      <c r="AW1374" s="88">
        <f>SUMIF(月間集計シート!$M$134:$M$153,$G1374,月間集計シート!R$134:R$153)*AW$2</f>
        <v>0</v>
      </c>
      <c r="AX1374" s="88">
        <f>SUMIF(月間集計シート!$M$134:$M$153,$G1374,月間集計シート!S$134:S$153)*AX$2</f>
        <v>0</v>
      </c>
      <c r="AY1374" s="88">
        <f>SUMIF(月間集計シート!$M$134:$M$153,$G1374,月間集計シート!T$134:T$153)*AY$2</f>
        <v>0</v>
      </c>
    </row>
    <row r="1375" spans="1:51" ht="14.25" thickBot="1">
      <c r="A1375">
        <v>17</v>
      </c>
      <c r="B1375" s="120">
        <f t="shared" si="782"/>
        <v>0</v>
      </c>
      <c r="C1375" s="120" t="str">
        <f t="shared" si="783"/>
        <v/>
      </c>
      <c r="D1375" s="137"/>
      <c r="E1375" s="150" t="str">
        <f>工種!A7</f>
        <v>20101</v>
      </c>
      <c r="F1375" s="119" t="str">
        <f>工種!B7</f>
        <v>設計：外部設計書作成</v>
      </c>
      <c r="G1375" s="116" t="str">
        <f t="shared" si="731"/>
        <v>020101</v>
      </c>
      <c r="H1375" s="88">
        <f t="shared" si="738"/>
        <v>0</v>
      </c>
      <c r="I1375" s="132"/>
      <c r="J1375" s="88">
        <f>SUMIF(月間集計シート!$M$29:$M$48,$G1375,月間集計シート!N$29:N$48)*J$2</f>
        <v>0</v>
      </c>
      <c r="K1375" s="88">
        <f>SUMIF(月間集計シート!$M$29:$M$48,$G1375,月間集計シート!O$29:O$48)*K$2</f>
        <v>0</v>
      </c>
      <c r="L1375" s="88">
        <f>SUMIF(月間集計シート!$M$29:$M$48,$G1375,月間集計シート!P$29:P$48)*L$2</f>
        <v>0</v>
      </c>
      <c r="M1375" s="88">
        <f>SUMIF(月間集計シート!$M$29:$M$48,$G1375,月間集計シート!Q$29:Q$48)*M$2</f>
        <v>0</v>
      </c>
      <c r="N1375" s="88">
        <f>SUMIF(月間集計シート!$M$29:$M$48,$G1375,月間集計シート!R$29:R$48)*N$2</f>
        <v>0</v>
      </c>
      <c r="O1375" s="88">
        <f>SUMIF(月間集計シート!$M$29:$M$48,$G1375,月間集計シート!S$29:S$48)*O$2</f>
        <v>0</v>
      </c>
      <c r="P1375" s="88">
        <f>SUMIF(月間集計シート!$M$29:$M$48,$G1375,月間集計シート!T$29:T$48)*P$2</f>
        <v>0</v>
      </c>
      <c r="Q1375" s="88">
        <f>SUMIF(月間集計シート!$M$50:$M$69,$G1375,月間集計シート!N$50:N$69)*Q$2</f>
        <v>0</v>
      </c>
      <c r="R1375" s="88">
        <f>SUMIF(月間集計シート!$M$50:$M$69,$G1375,月間集計シート!O$50:O$69)*R$2</f>
        <v>0</v>
      </c>
      <c r="S1375" s="88">
        <f>SUMIF(月間集計シート!$M$50:$M$69,$G1375,月間集計シート!P$50:P$69)*S$2</f>
        <v>0</v>
      </c>
      <c r="T1375" s="88">
        <f>SUMIF(月間集計シート!$M$50:$M$69,$G1375,月間集計シート!Q$50:Q$69)*T$2</f>
        <v>0</v>
      </c>
      <c r="U1375" s="88">
        <f>SUMIF(月間集計シート!$M$50:$M$69,$G1375,月間集計シート!R$50:R$69)*U$2</f>
        <v>0</v>
      </c>
      <c r="V1375" s="88">
        <f>SUMIF(月間集計シート!$M$50:$M$69,$G1375,月間集計シート!S$50:S$69)*V$2</f>
        <v>0</v>
      </c>
      <c r="W1375" s="88">
        <f>SUMIF(月間集計シート!$M$50:$M$69,$G1375,月間集計シート!T$50:T$69)*W$2</f>
        <v>0</v>
      </c>
      <c r="X1375" s="88">
        <f>SUMIF(月間集計シート!$M$71:$M$90,$G1375,月間集計シート!N$71:N$90)*X$2</f>
        <v>0</v>
      </c>
      <c r="Y1375" s="88">
        <f>SUMIF(月間集計シート!$M$71:$M$90,$G1375,月間集計シート!O$71:O$90)*Y$2</f>
        <v>0</v>
      </c>
      <c r="Z1375" s="88">
        <f>SUMIF(月間集計シート!$M$71:$M$90,$G1375,月間集計シート!P$71:P$90)*Z$2</f>
        <v>0</v>
      </c>
      <c r="AA1375" s="88">
        <f>SUMIF(月間集計シート!$M$71:$M$90,$G1375,月間集計シート!Q$71:Q$90)*AA$2</f>
        <v>0</v>
      </c>
      <c r="AB1375" s="88">
        <f>SUMIF(月間集計シート!$M$71:$M$90,$G1375,月間集計シート!R$71:R$90)*AB$2</f>
        <v>0</v>
      </c>
      <c r="AC1375" s="88">
        <f>SUMIF(月間集計シート!$M$71:$M$90,$G1375,月間集計シート!S$71:S$90)*AC$2</f>
        <v>0</v>
      </c>
      <c r="AD1375" s="88">
        <f>SUMIF(月間集計シート!$M$71:$M$90,$G1375,月間集計シート!T$71:T$90)*AD$2</f>
        <v>0</v>
      </c>
      <c r="AE1375" s="88">
        <f>SUMIF(月間集計シート!$M$92:$M$111,$G1375,月間集計シート!N$92:N$111)*AE$2</f>
        <v>0</v>
      </c>
      <c r="AF1375" s="88">
        <f>SUMIF(月間集計シート!$M$92:$M$111,$G1375,月間集計シート!O$92:O$111)*AF$2</f>
        <v>0</v>
      </c>
      <c r="AG1375" s="88">
        <f>SUMIF(月間集計シート!$M$92:$M$111,$G1375,月間集計シート!P$92:P$111)*AG$2</f>
        <v>0</v>
      </c>
      <c r="AH1375" s="88">
        <f>SUMIF(月間集計シート!$M$92:$M$111,$G1375,月間集計シート!Q$92:Q$111)*AH$2</f>
        <v>0</v>
      </c>
      <c r="AI1375" s="88">
        <f>SUMIF(月間集計シート!$M$92:$M$111,$G1375,月間集計シート!R$92:R$111)*AI$2</f>
        <v>0</v>
      </c>
      <c r="AJ1375" s="88">
        <f>SUMIF(月間集計シート!$M$92:$M$111,$G1375,月間集計シート!S$92:S$111)*AJ$2</f>
        <v>0</v>
      </c>
      <c r="AK1375" s="88">
        <f>SUMIF(月間集計シート!$M$92:$M$111,$G1375,月間集計シート!T$92:T$111)*AK$2</f>
        <v>0</v>
      </c>
      <c r="AL1375" s="88">
        <f>SUMIF(月間集計シート!$M$113:$M$132,$G1375,月間集計シート!N$113:N$132)*AL$2</f>
        <v>0</v>
      </c>
      <c r="AM1375" s="88">
        <f>SUMIF(月間集計シート!$M$113:$M$132,$G1375,月間集計シート!O$113:O$132)*AM$2</f>
        <v>0</v>
      </c>
      <c r="AN1375" s="88">
        <f>SUMIF(月間集計シート!$M$113:$M$132,$G1375,月間集計シート!P$113:P$132)*AN$2</f>
        <v>0</v>
      </c>
      <c r="AO1375" s="88">
        <f>SUMIF(月間集計シート!$M$113:$M$132,$G1375,月間集計シート!Q$113:Q$132)*AO$2</f>
        <v>0</v>
      </c>
      <c r="AP1375" s="88">
        <f>SUMIF(月間集計シート!$M$113:$M$132,$G1375,月間集計シート!R$113:R$132)*AP$2</f>
        <v>0</v>
      </c>
      <c r="AQ1375" s="88">
        <f>SUMIF(月間集計シート!$M$113:$M$132,$G1375,月間集計シート!S$113:S$132)*AQ$2</f>
        <v>0</v>
      </c>
      <c r="AR1375" s="88">
        <f>SUMIF(月間集計シート!$M$113:$M$132,$G1375,月間集計シート!T$113:T$132)*AR$2</f>
        <v>0</v>
      </c>
      <c r="AS1375" s="88">
        <f>SUMIF(月間集計シート!$M$134:$M$153,$G1375,月間集計シート!N$134:N$153)*AS$2</f>
        <v>0</v>
      </c>
      <c r="AT1375" s="88">
        <f>SUMIF(月間集計シート!$M$134:$M$153,$G1375,月間集計シート!O$134:O$153)*AT$2</f>
        <v>0</v>
      </c>
      <c r="AU1375" s="88">
        <f>SUMIF(月間集計シート!$M$134:$M$153,$G1375,月間集計シート!P$134:P$153)*AU$2</f>
        <v>0</v>
      </c>
      <c r="AV1375" s="88">
        <f>SUMIF(月間集計シート!$M$134:$M$153,$G1375,月間集計シート!Q$134:Q$153)*AV$2</f>
        <v>0</v>
      </c>
      <c r="AW1375" s="88">
        <f>SUMIF(月間集計シート!$M$134:$M$153,$G1375,月間集計シート!R$134:R$153)*AW$2</f>
        <v>0</v>
      </c>
      <c r="AX1375" s="88">
        <f>SUMIF(月間集計シート!$M$134:$M$153,$G1375,月間集計シート!S$134:S$153)*AX$2</f>
        <v>0</v>
      </c>
      <c r="AY1375" s="88">
        <f>SUMIF(月間集計シート!$M$134:$M$153,$G1375,月間集計シート!T$134:T$153)*AY$2</f>
        <v>0</v>
      </c>
    </row>
    <row r="1376" spans="1:51" ht="14.25" thickBot="1">
      <c r="A1376">
        <v>17</v>
      </c>
      <c r="B1376" s="120">
        <f t="shared" si="782"/>
        <v>0</v>
      </c>
      <c r="C1376" s="120" t="str">
        <f t="shared" si="783"/>
        <v/>
      </c>
      <c r="D1376" s="137"/>
      <c r="E1376" s="150" t="str">
        <f>工種!A8</f>
        <v>20103</v>
      </c>
      <c r="F1376" s="119" t="str">
        <f>工種!B8</f>
        <v>設計：打合せ</v>
      </c>
      <c r="G1376" s="116" t="str">
        <f t="shared" si="731"/>
        <v>020103</v>
      </c>
      <c r="H1376" s="88">
        <f t="shared" si="738"/>
        <v>0</v>
      </c>
      <c r="I1376" s="132"/>
      <c r="J1376" s="88">
        <f>SUMIF(月間集計シート!$M$29:$M$48,$G1376,月間集計シート!N$29:N$48)*J$2</f>
        <v>0</v>
      </c>
      <c r="K1376" s="88">
        <f>SUMIF(月間集計シート!$M$29:$M$48,$G1376,月間集計シート!O$29:O$48)*K$2</f>
        <v>0</v>
      </c>
      <c r="L1376" s="88">
        <f>SUMIF(月間集計シート!$M$29:$M$48,$G1376,月間集計シート!P$29:P$48)*L$2</f>
        <v>0</v>
      </c>
      <c r="M1376" s="88">
        <f>SUMIF(月間集計シート!$M$29:$M$48,$G1376,月間集計シート!Q$29:Q$48)*M$2</f>
        <v>0</v>
      </c>
      <c r="N1376" s="88">
        <f>SUMIF(月間集計シート!$M$29:$M$48,$G1376,月間集計シート!R$29:R$48)*N$2</f>
        <v>0</v>
      </c>
      <c r="O1376" s="88">
        <f>SUMIF(月間集計シート!$M$29:$M$48,$G1376,月間集計シート!S$29:S$48)*O$2</f>
        <v>0</v>
      </c>
      <c r="P1376" s="88">
        <f>SUMIF(月間集計シート!$M$29:$M$48,$G1376,月間集計シート!T$29:T$48)*P$2</f>
        <v>0</v>
      </c>
      <c r="Q1376" s="88">
        <f>SUMIF(月間集計シート!$M$50:$M$69,$G1376,月間集計シート!N$50:N$69)*Q$2</f>
        <v>0</v>
      </c>
      <c r="R1376" s="88">
        <f>SUMIF(月間集計シート!$M$50:$M$69,$G1376,月間集計シート!O$50:O$69)*R$2</f>
        <v>0</v>
      </c>
      <c r="S1376" s="88">
        <f>SUMIF(月間集計シート!$M$50:$M$69,$G1376,月間集計シート!P$50:P$69)*S$2</f>
        <v>0</v>
      </c>
      <c r="T1376" s="88">
        <f>SUMIF(月間集計シート!$M$50:$M$69,$G1376,月間集計シート!Q$50:Q$69)*T$2</f>
        <v>0</v>
      </c>
      <c r="U1376" s="88">
        <f>SUMIF(月間集計シート!$M$50:$M$69,$G1376,月間集計シート!R$50:R$69)*U$2</f>
        <v>0</v>
      </c>
      <c r="V1376" s="88">
        <f>SUMIF(月間集計シート!$M$50:$M$69,$G1376,月間集計シート!S$50:S$69)*V$2</f>
        <v>0</v>
      </c>
      <c r="W1376" s="88">
        <f>SUMIF(月間集計シート!$M$50:$M$69,$G1376,月間集計シート!T$50:T$69)*W$2</f>
        <v>0</v>
      </c>
      <c r="X1376" s="88">
        <f>SUMIF(月間集計シート!$M$71:$M$90,$G1376,月間集計シート!N$71:N$90)*X$2</f>
        <v>0</v>
      </c>
      <c r="Y1376" s="88">
        <f>SUMIF(月間集計シート!$M$71:$M$90,$G1376,月間集計シート!O$71:O$90)*Y$2</f>
        <v>0</v>
      </c>
      <c r="Z1376" s="88">
        <f>SUMIF(月間集計シート!$M$71:$M$90,$G1376,月間集計シート!P$71:P$90)*Z$2</f>
        <v>0</v>
      </c>
      <c r="AA1376" s="88">
        <f>SUMIF(月間集計シート!$M$71:$M$90,$G1376,月間集計シート!Q$71:Q$90)*AA$2</f>
        <v>0</v>
      </c>
      <c r="AB1376" s="88">
        <f>SUMIF(月間集計シート!$M$71:$M$90,$G1376,月間集計シート!R$71:R$90)*AB$2</f>
        <v>0</v>
      </c>
      <c r="AC1376" s="88">
        <f>SUMIF(月間集計シート!$M$71:$M$90,$G1376,月間集計シート!S$71:S$90)*AC$2</f>
        <v>0</v>
      </c>
      <c r="AD1376" s="88">
        <f>SUMIF(月間集計シート!$M$71:$M$90,$G1376,月間集計シート!T$71:T$90)*AD$2</f>
        <v>0</v>
      </c>
      <c r="AE1376" s="88">
        <f>SUMIF(月間集計シート!$M$92:$M$111,$G1376,月間集計シート!N$92:N$111)*AE$2</f>
        <v>0</v>
      </c>
      <c r="AF1376" s="88">
        <f>SUMIF(月間集計シート!$M$92:$M$111,$G1376,月間集計シート!O$92:O$111)*AF$2</f>
        <v>0</v>
      </c>
      <c r="AG1376" s="88">
        <f>SUMIF(月間集計シート!$M$92:$M$111,$G1376,月間集計シート!P$92:P$111)*AG$2</f>
        <v>0</v>
      </c>
      <c r="AH1376" s="88">
        <f>SUMIF(月間集計シート!$M$92:$M$111,$G1376,月間集計シート!Q$92:Q$111)*AH$2</f>
        <v>0</v>
      </c>
      <c r="AI1376" s="88">
        <f>SUMIF(月間集計シート!$M$92:$M$111,$G1376,月間集計シート!R$92:R$111)*AI$2</f>
        <v>0</v>
      </c>
      <c r="AJ1376" s="88">
        <f>SUMIF(月間集計シート!$M$92:$M$111,$G1376,月間集計シート!S$92:S$111)*AJ$2</f>
        <v>0</v>
      </c>
      <c r="AK1376" s="88">
        <f>SUMIF(月間集計シート!$M$92:$M$111,$G1376,月間集計シート!T$92:T$111)*AK$2</f>
        <v>0</v>
      </c>
      <c r="AL1376" s="88">
        <f>SUMIF(月間集計シート!$M$113:$M$132,$G1376,月間集計シート!N$113:N$132)*AL$2</f>
        <v>0</v>
      </c>
      <c r="AM1376" s="88">
        <f>SUMIF(月間集計シート!$M$113:$M$132,$G1376,月間集計シート!O$113:O$132)*AM$2</f>
        <v>0</v>
      </c>
      <c r="AN1376" s="88">
        <f>SUMIF(月間集計シート!$M$113:$M$132,$G1376,月間集計シート!P$113:P$132)*AN$2</f>
        <v>0</v>
      </c>
      <c r="AO1376" s="88">
        <f>SUMIF(月間集計シート!$M$113:$M$132,$G1376,月間集計シート!Q$113:Q$132)*AO$2</f>
        <v>0</v>
      </c>
      <c r="AP1376" s="88">
        <f>SUMIF(月間集計シート!$M$113:$M$132,$G1376,月間集計シート!R$113:R$132)*AP$2</f>
        <v>0</v>
      </c>
      <c r="AQ1376" s="88">
        <f>SUMIF(月間集計シート!$M$113:$M$132,$G1376,月間集計シート!S$113:S$132)*AQ$2</f>
        <v>0</v>
      </c>
      <c r="AR1376" s="88">
        <f>SUMIF(月間集計シート!$M$113:$M$132,$G1376,月間集計シート!T$113:T$132)*AR$2</f>
        <v>0</v>
      </c>
      <c r="AS1376" s="88">
        <f>SUMIF(月間集計シート!$M$134:$M$153,$G1376,月間集計シート!N$134:N$153)*AS$2</f>
        <v>0</v>
      </c>
      <c r="AT1376" s="88">
        <f>SUMIF(月間集計シート!$M$134:$M$153,$G1376,月間集計シート!O$134:O$153)*AT$2</f>
        <v>0</v>
      </c>
      <c r="AU1376" s="88">
        <f>SUMIF(月間集計シート!$M$134:$M$153,$G1376,月間集計シート!P$134:P$153)*AU$2</f>
        <v>0</v>
      </c>
      <c r="AV1376" s="88">
        <f>SUMIF(月間集計シート!$M$134:$M$153,$G1376,月間集計シート!Q$134:Q$153)*AV$2</f>
        <v>0</v>
      </c>
      <c r="AW1376" s="88">
        <f>SUMIF(月間集計シート!$M$134:$M$153,$G1376,月間集計シート!R$134:R$153)*AW$2</f>
        <v>0</v>
      </c>
      <c r="AX1376" s="88">
        <f>SUMIF(月間集計シート!$M$134:$M$153,$G1376,月間集計シート!S$134:S$153)*AX$2</f>
        <v>0</v>
      </c>
      <c r="AY1376" s="88">
        <f>SUMIF(月間集計シート!$M$134:$M$153,$G1376,月間集計シート!T$134:T$153)*AY$2</f>
        <v>0</v>
      </c>
    </row>
    <row r="1377" spans="1:51" ht="14.25" thickBot="1">
      <c r="A1377">
        <v>17</v>
      </c>
      <c r="B1377" s="120">
        <f t="shared" si="782"/>
        <v>0</v>
      </c>
      <c r="C1377" s="120" t="str">
        <f t="shared" si="783"/>
        <v/>
      </c>
      <c r="D1377" s="137"/>
      <c r="E1377" s="150">
        <f>工種!A9</f>
        <v>20105</v>
      </c>
      <c r="F1377" s="119" t="str">
        <f>工種!B9</f>
        <v>設計：原因調査・影響範囲分析・変更仕様作成</v>
      </c>
      <c r="G1377" s="116" t="str">
        <f t="shared" si="731"/>
        <v>020105</v>
      </c>
      <c r="H1377" s="88">
        <f t="shared" si="738"/>
        <v>0</v>
      </c>
      <c r="I1377" s="132"/>
      <c r="J1377" s="88">
        <f>SUMIF(月間集計シート!$M$29:$M$48,$G1377,月間集計シート!N$29:N$48)*J$2</f>
        <v>0</v>
      </c>
      <c r="K1377" s="88">
        <f>SUMIF(月間集計シート!$M$29:$M$48,$G1377,月間集計シート!O$29:O$48)*K$2</f>
        <v>0</v>
      </c>
      <c r="L1377" s="88">
        <f>SUMIF(月間集計シート!$M$29:$M$48,$G1377,月間集計シート!P$29:P$48)*L$2</f>
        <v>0</v>
      </c>
      <c r="M1377" s="88">
        <f>SUMIF(月間集計シート!$M$29:$M$48,$G1377,月間集計シート!Q$29:Q$48)*M$2</f>
        <v>0</v>
      </c>
      <c r="N1377" s="88">
        <f>SUMIF(月間集計シート!$M$29:$M$48,$G1377,月間集計シート!R$29:R$48)*N$2</f>
        <v>0</v>
      </c>
      <c r="O1377" s="88">
        <f>SUMIF(月間集計シート!$M$29:$M$48,$G1377,月間集計シート!S$29:S$48)*O$2</f>
        <v>0</v>
      </c>
      <c r="P1377" s="88">
        <f>SUMIF(月間集計シート!$M$29:$M$48,$G1377,月間集計シート!T$29:T$48)*P$2</f>
        <v>0</v>
      </c>
      <c r="Q1377" s="88">
        <f>SUMIF(月間集計シート!$M$50:$M$69,$G1377,月間集計シート!N$50:N$69)*Q$2</f>
        <v>0</v>
      </c>
      <c r="R1377" s="88">
        <f>SUMIF(月間集計シート!$M$50:$M$69,$G1377,月間集計シート!O$50:O$69)*R$2</f>
        <v>0</v>
      </c>
      <c r="S1377" s="88">
        <f>SUMIF(月間集計シート!$M$50:$M$69,$G1377,月間集計シート!P$50:P$69)*S$2</f>
        <v>0</v>
      </c>
      <c r="T1377" s="88">
        <f>SUMIF(月間集計シート!$M$50:$M$69,$G1377,月間集計シート!Q$50:Q$69)*T$2</f>
        <v>0</v>
      </c>
      <c r="U1377" s="88">
        <f>SUMIF(月間集計シート!$M$50:$M$69,$G1377,月間集計シート!R$50:R$69)*U$2</f>
        <v>0</v>
      </c>
      <c r="V1377" s="88">
        <f>SUMIF(月間集計シート!$M$50:$M$69,$G1377,月間集計シート!S$50:S$69)*V$2</f>
        <v>0</v>
      </c>
      <c r="W1377" s="88">
        <f>SUMIF(月間集計シート!$M$50:$M$69,$G1377,月間集計シート!T$50:T$69)*W$2</f>
        <v>0</v>
      </c>
      <c r="X1377" s="88">
        <f>SUMIF(月間集計シート!$M$71:$M$90,$G1377,月間集計シート!N$71:N$90)*X$2</f>
        <v>0</v>
      </c>
      <c r="Y1377" s="88">
        <f>SUMIF(月間集計シート!$M$71:$M$90,$G1377,月間集計シート!O$71:O$90)*Y$2</f>
        <v>0</v>
      </c>
      <c r="Z1377" s="88">
        <f>SUMIF(月間集計シート!$M$71:$M$90,$G1377,月間集計シート!P$71:P$90)*Z$2</f>
        <v>0</v>
      </c>
      <c r="AA1377" s="88">
        <f>SUMIF(月間集計シート!$M$71:$M$90,$G1377,月間集計シート!Q$71:Q$90)*AA$2</f>
        <v>0</v>
      </c>
      <c r="AB1377" s="88">
        <f>SUMIF(月間集計シート!$M$71:$M$90,$G1377,月間集計シート!R$71:R$90)*AB$2</f>
        <v>0</v>
      </c>
      <c r="AC1377" s="88">
        <f>SUMIF(月間集計シート!$M$71:$M$90,$G1377,月間集計シート!S$71:S$90)*AC$2</f>
        <v>0</v>
      </c>
      <c r="AD1377" s="88">
        <f>SUMIF(月間集計シート!$M$71:$M$90,$G1377,月間集計シート!T$71:T$90)*AD$2</f>
        <v>0</v>
      </c>
      <c r="AE1377" s="88">
        <f>SUMIF(月間集計シート!$M$92:$M$111,$G1377,月間集計シート!N$92:N$111)*AE$2</f>
        <v>0</v>
      </c>
      <c r="AF1377" s="88">
        <f>SUMIF(月間集計シート!$M$92:$M$111,$G1377,月間集計シート!O$92:O$111)*AF$2</f>
        <v>0</v>
      </c>
      <c r="AG1377" s="88">
        <f>SUMIF(月間集計シート!$M$92:$M$111,$G1377,月間集計シート!P$92:P$111)*AG$2</f>
        <v>0</v>
      </c>
      <c r="AH1377" s="88">
        <f>SUMIF(月間集計シート!$M$92:$M$111,$G1377,月間集計シート!Q$92:Q$111)*AH$2</f>
        <v>0</v>
      </c>
      <c r="AI1377" s="88">
        <f>SUMIF(月間集計シート!$M$92:$M$111,$G1377,月間集計シート!R$92:R$111)*AI$2</f>
        <v>0</v>
      </c>
      <c r="AJ1377" s="88">
        <f>SUMIF(月間集計シート!$M$92:$M$111,$G1377,月間集計シート!S$92:S$111)*AJ$2</f>
        <v>0</v>
      </c>
      <c r="AK1377" s="88">
        <f>SUMIF(月間集計シート!$M$92:$M$111,$G1377,月間集計シート!T$92:T$111)*AK$2</f>
        <v>0</v>
      </c>
      <c r="AL1377" s="88">
        <f>SUMIF(月間集計シート!$M$113:$M$132,$G1377,月間集計シート!N$113:N$132)*AL$2</f>
        <v>0</v>
      </c>
      <c r="AM1377" s="88">
        <f>SUMIF(月間集計シート!$M$113:$M$132,$G1377,月間集計シート!O$113:O$132)*AM$2</f>
        <v>0</v>
      </c>
      <c r="AN1377" s="88">
        <f>SUMIF(月間集計シート!$M$113:$M$132,$G1377,月間集計シート!P$113:P$132)*AN$2</f>
        <v>0</v>
      </c>
      <c r="AO1377" s="88">
        <f>SUMIF(月間集計シート!$M$113:$M$132,$G1377,月間集計シート!Q$113:Q$132)*AO$2</f>
        <v>0</v>
      </c>
      <c r="AP1377" s="88">
        <f>SUMIF(月間集計シート!$M$113:$M$132,$G1377,月間集計シート!R$113:R$132)*AP$2</f>
        <v>0</v>
      </c>
      <c r="AQ1377" s="88">
        <f>SUMIF(月間集計シート!$M$113:$M$132,$G1377,月間集計シート!S$113:S$132)*AQ$2</f>
        <v>0</v>
      </c>
      <c r="AR1377" s="88">
        <f>SUMIF(月間集計シート!$M$113:$M$132,$G1377,月間集計シート!T$113:T$132)*AR$2</f>
        <v>0</v>
      </c>
      <c r="AS1377" s="88">
        <f>SUMIF(月間集計シート!$M$134:$M$153,$G1377,月間集計シート!N$134:N$153)*AS$2</f>
        <v>0</v>
      </c>
      <c r="AT1377" s="88">
        <f>SUMIF(月間集計シート!$M$134:$M$153,$G1377,月間集計シート!O$134:O$153)*AT$2</f>
        <v>0</v>
      </c>
      <c r="AU1377" s="88">
        <f>SUMIF(月間集計シート!$M$134:$M$153,$G1377,月間集計シート!P$134:P$153)*AU$2</f>
        <v>0</v>
      </c>
      <c r="AV1377" s="88">
        <f>SUMIF(月間集計シート!$M$134:$M$153,$G1377,月間集計シート!Q$134:Q$153)*AV$2</f>
        <v>0</v>
      </c>
      <c r="AW1377" s="88">
        <f>SUMIF(月間集計シート!$M$134:$M$153,$G1377,月間集計シート!R$134:R$153)*AW$2</f>
        <v>0</v>
      </c>
      <c r="AX1377" s="88">
        <f>SUMIF(月間集計シート!$M$134:$M$153,$G1377,月間集計シート!S$134:S$153)*AX$2</f>
        <v>0</v>
      </c>
      <c r="AY1377" s="88">
        <f>SUMIF(月間集計シート!$M$134:$M$153,$G1377,月間集計シート!T$134:T$153)*AY$2</f>
        <v>0</v>
      </c>
    </row>
    <row r="1378" spans="1:51" ht="14.25" thickBot="1">
      <c r="A1378">
        <v>17</v>
      </c>
      <c r="B1378" s="120">
        <f t="shared" si="782"/>
        <v>0</v>
      </c>
      <c r="C1378" s="120" t="str">
        <f t="shared" si="783"/>
        <v/>
      </c>
      <c r="D1378" s="137"/>
      <c r="E1378" s="150" t="str">
        <f>工種!A10</f>
        <v>20106</v>
      </c>
      <c r="F1378" s="119" t="str">
        <f>工種!B10</f>
        <v>設計：設計書修正（手戻り分）</v>
      </c>
      <c r="G1378" s="116" t="str">
        <f t="shared" si="731"/>
        <v>020106</v>
      </c>
      <c r="H1378" s="88">
        <f t="shared" si="738"/>
        <v>0</v>
      </c>
      <c r="I1378" s="132"/>
      <c r="J1378" s="88">
        <f>SUMIF(月間集計シート!$M$29:$M$48,$G1378,月間集計シート!N$29:N$48)*J$2</f>
        <v>0</v>
      </c>
      <c r="K1378" s="88">
        <f>SUMIF(月間集計シート!$M$29:$M$48,$G1378,月間集計シート!O$29:O$48)*K$2</f>
        <v>0</v>
      </c>
      <c r="L1378" s="88">
        <f>SUMIF(月間集計シート!$M$29:$M$48,$G1378,月間集計シート!P$29:P$48)*L$2</f>
        <v>0</v>
      </c>
      <c r="M1378" s="88">
        <f>SUMIF(月間集計シート!$M$29:$M$48,$G1378,月間集計シート!Q$29:Q$48)*M$2</f>
        <v>0</v>
      </c>
      <c r="N1378" s="88">
        <f>SUMIF(月間集計シート!$M$29:$M$48,$G1378,月間集計シート!R$29:R$48)*N$2</f>
        <v>0</v>
      </c>
      <c r="O1378" s="88">
        <f>SUMIF(月間集計シート!$M$29:$M$48,$G1378,月間集計シート!S$29:S$48)*O$2</f>
        <v>0</v>
      </c>
      <c r="P1378" s="88">
        <f>SUMIF(月間集計シート!$M$29:$M$48,$G1378,月間集計シート!T$29:T$48)*P$2</f>
        <v>0</v>
      </c>
      <c r="Q1378" s="88">
        <f>SUMIF(月間集計シート!$M$50:$M$69,$G1378,月間集計シート!N$50:N$69)*Q$2</f>
        <v>0</v>
      </c>
      <c r="R1378" s="88">
        <f>SUMIF(月間集計シート!$M$50:$M$69,$G1378,月間集計シート!O$50:O$69)*R$2</f>
        <v>0</v>
      </c>
      <c r="S1378" s="88">
        <f>SUMIF(月間集計シート!$M$50:$M$69,$G1378,月間集計シート!P$50:P$69)*S$2</f>
        <v>0</v>
      </c>
      <c r="T1378" s="88">
        <f>SUMIF(月間集計シート!$M$50:$M$69,$G1378,月間集計シート!Q$50:Q$69)*T$2</f>
        <v>0</v>
      </c>
      <c r="U1378" s="88">
        <f>SUMIF(月間集計シート!$M$50:$M$69,$G1378,月間集計シート!R$50:R$69)*U$2</f>
        <v>0</v>
      </c>
      <c r="V1378" s="88">
        <f>SUMIF(月間集計シート!$M$50:$M$69,$G1378,月間集計シート!S$50:S$69)*V$2</f>
        <v>0</v>
      </c>
      <c r="W1378" s="88">
        <f>SUMIF(月間集計シート!$M$50:$M$69,$G1378,月間集計シート!T$50:T$69)*W$2</f>
        <v>0</v>
      </c>
      <c r="X1378" s="88">
        <f>SUMIF(月間集計シート!$M$71:$M$90,$G1378,月間集計シート!N$71:N$90)*X$2</f>
        <v>0</v>
      </c>
      <c r="Y1378" s="88">
        <f>SUMIF(月間集計シート!$M$71:$M$90,$G1378,月間集計シート!O$71:O$90)*Y$2</f>
        <v>0</v>
      </c>
      <c r="Z1378" s="88">
        <f>SUMIF(月間集計シート!$M$71:$M$90,$G1378,月間集計シート!P$71:P$90)*Z$2</f>
        <v>0</v>
      </c>
      <c r="AA1378" s="88">
        <f>SUMIF(月間集計シート!$M$71:$M$90,$G1378,月間集計シート!Q$71:Q$90)*AA$2</f>
        <v>0</v>
      </c>
      <c r="AB1378" s="88">
        <f>SUMIF(月間集計シート!$M$71:$M$90,$G1378,月間集計シート!R$71:R$90)*AB$2</f>
        <v>0</v>
      </c>
      <c r="AC1378" s="88">
        <f>SUMIF(月間集計シート!$M$71:$M$90,$G1378,月間集計シート!S$71:S$90)*AC$2</f>
        <v>0</v>
      </c>
      <c r="AD1378" s="88">
        <f>SUMIF(月間集計シート!$M$71:$M$90,$G1378,月間集計シート!T$71:T$90)*AD$2</f>
        <v>0</v>
      </c>
      <c r="AE1378" s="88">
        <f>SUMIF(月間集計シート!$M$92:$M$111,$G1378,月間集計シート!N$92:N$111)*AE$2</f>
        <v>0</v>
      </c>
      <c r="AF1378" s="88">
        <f>SUMIF(月間集計シート!$M$92:$M$111,$G1378,月間集計シート!O$92:O$111)*AF$2</f>
        <v>0</v>
      </c>
      <c r="AG1378" s="88">
        <f>SUMIF(月間集計シート!$M$92:$M$111,$G1378,月間集計シート!P$92:P$111)*AG$2</f>
        <v>0</v>
      </c>
      <c r="AH1378" s="88">
        <f>SUMIF(月間集計シート!$M$92:$M$111,$G1378,月間集計シート!Q$92:Q$111)*AH$2</f>
        <v>0</v>
      </c>
      <c r="AI1378" s="88">
        <f>SUMIF(月間集計シート!$M$92:$M$111,$G1378,月間集計シート!R$92:R$111)*AI$2</f>
        <v>0</v>
      </c>
      <c r="AJ1378" s="88">
        <f>SUMIF(月間集計シート!$M$92:$M$111,$G1378,月間集計シート!S$92:S$111)*AJ$2</f>
        <v>0</v>
      </c>
      <c r="AK1378" s="88">
        <f>SUMIF(月間集計シート!$M$92:$M$111,$G1378,月間集計シート!T$92:T$111)*AK$2</f>
        <v>0</v>
      </c>
      <c r="AL1378" s="88">
        <f>SUMIF(月間集計シート!$M$113:$M$132,$G1378,月間集計シート!N$113:N$132)*AL$2</f>
        <v>0</v>
      </c>
      <c r="AM1378" s="88">
        <f>SUMIF(月間集計シート!$M$113:$M$132,$G1378,月間集計シート!O$113:O$132)*AM$2</f>
        <v>0</v>
      </c>
      <c r="AN1378" s="88">
        <f>SUMIF(月間集計シート!$M$113:$M$132,$G1378,月間集計シート!P$113:P$132)*AN$2</f>
        <v>0</v>
      </c>
      <c r="AO1378" s="88">
        <f>SUMIF(月間集計シート!$M$113:$M$132,$G1378,月間集計シート!Q$113:Q$132)*AO$2</f>
        <v>0</v>
      </c>
      <c r="AP1378" s="88">
        <f>SUMIF(月間集計シート!$M$113:$M$132,$G1378,月間集計シート!R$113:R$132)*AP$2</f>
        <v>0</v>
      </c>
      <c r="AQ1378" s="88">
        <f>SUMIF(月間集計シート!$M$113:$M$132,$G1378,月間集計シート!S$113:S$132)*AQ$2</f>
        <v>0</v>
      </c>
      <c r="AR1378" s="88">
        <f>SUMIF(月間集計シート!$M$113:$M$132,$G1378,月間集計シート!T$113:T$132)*AR$2</f>
        <v>0</v>
      </c>
      <c r="AS1378" s="88">
        <f>SUMIF(月間集計シート!$M$134:$M$153,$G1378,月間集計シート!N$134:N$153)*AS$2</f>
        <v>0</v>
      </c>
      <c r="AT1378" s="88">
        <f>SUMIF(月間集計シート!$M$134:$M$153,$G1378,月間集計シート!O$134:O$153)*AT$2</f>
        <v>0</v>
      </c>
      <c r="AU1378" s="88">
        <f>SUMIF(月間集計シート!$M$134:$M$153,$G1378,月間集計シート!P$134:P$153)*AU$2</f>
        <v>0</v>
      </c>
      <c r="AV1378" s="88">
        <f>SUMIF(月間集計シート!$M$134:$M$153,$G1378,月間集計シート!Q$134:Q$153)*AV$2</f>
        <v>0</v>
      </c>
      <c r="AW1378" s="88">
        <f>SUMIF(月間集計シート!$M$134:$M$153,$G1378,月間集計シート!R$134:R$153)*AW$2</f>
        <v>0</v>
      </c>
      <c r="AX1378" s="88">
        <f>SUMIF(月間集計シート!$M$134:$M$153,$G1378,月間集計シート!S$134:S$153)*AX$2</f>
        <v>0</v>
      </c>
      <c r="AY1378" s="88">
        <f>SUMIF(月間集計シート!$M$134:$M$153,$G1378,月間集計シート!T$134:T$153)*AY$2</f>
        <v>0</v>
      </c>
    </row>
    <row r="1379" spans="1:51" ht="14.25" thickBot="1">
      <c r="A1379">
        <v>17</v>
      </c>
      <c r="B1379" s="120">
        <f t="shared" si="782"/>
        <v>0</v>
      </c>
      <c r="C1379" s="120" t="str">
        <f t="shared" si="783"/>
        <v/>
      </c>
      <c r="D1379" s="137"/>
      <c r="E1379" s="150" t="str">
        <f>工種!A11</f>
        <v>20107</v>
      </c>
      <c r="F1379" s="119" t="str">
        <f>工種!B11</f>
        <v>設計：その他の設計書作成</v>
      </c>
      <c r="G1379" s="116" t="str">
        <f t="shared" si="731"/>
        <v>020107</v>
      </c>
      <c r="H1379" s="88">
        <f t="shared" si="738"/>
        <v>0</v>
      </c>
      <c r="I1379" s="132"/>
      <c r="J1379" s="88">
        <f>SUMIF(月間集計シート!$M$29:$M$48,$G1379,月間集計シート!N$29:N$48)*J$2</f>
        <v>0</v>
      </c>
      <c r="K1379" s="88">
        <f>SUMIF(月間集計シート!$M$29:$M$48,$G1379,月間集計シート!O$29:O$48)*K$2</f>
        <v>0</v>
      </c>
      <c r="L1379" s="88">
        <f>SUMIF(月間集計シート!$M$29:$M$48,$G1379,月間集計シート!P$29:P$48)*L$2</f>
        <v>0</v>
      </c>
      <c r="M1379" s="88">
        <f>SUMIF(月間集計シート!$M$29:$M$48,$G1379,月間集計シート!Q$29:Q$48)*M$2</f>
        <v>0</v>
      </c>
      <c r="N1379" s="88">
        <f>SUMIF(月間集計シート!$M$29:$M$48,$G1379,月間集計シート!R$29:R$48)*N$2</f>
        <v>0</v>
      </c>
      <c r="O1379" s="88">
        <f>SUMIF(月間集計シート!$M$29:$M$48,$G1379,月間集計シート!S$29:S$48)*O$2</f>
        <v>0</v>
      </c>
      <c r="P1379" s="88">
        <f>SUMIF(月間集計シート!$M$29:$M$48,$G1379,月間集計シート!T$29:T$48)*P$2</f>
        <v>0</v>
      </c>
      <c r="Q1379" s="88">
        <f>SUMIF(月間集計シート!$M$50:$M$69,$G1379,月間集計シート!N$50:N$69)*Q$2</f>
        <v>0</v>
      </c>
      <c r="R1379" s="88">
        <f>SUMIF(月間集計シート!$M$50:$M$69,$G1379,月間集計シート!O$50:O$69)*R$2</f>
        <v>0</v>
      </c>
      <c r="S1379" s="88">
        <f>SUMIF(月間集計シート!$M$50:$M$69,$G1379,月間集計シート!P$50:P$69)*S$2</f>
        <v>0</v>
      </c>
      <c r="T1379" s="88">
        <f>SUMIF(月間集計シート!$M$50:$M$69,$G1379,月間集計シート!Q$50:Q$69)*T$2</f>
        <v>0</v>
      </c>
      <c r="U1379" s="88">
        <f>SUMIF(月間集計シート!$M$50:$M$69,$G1379,月間集計シート!R$50:R$69)*U$2</f>
        <v>0</v>
      </c>
      <c r="V1379" s="88">
        <f>SUMIF(月間集計シート!$M$50:$M$69,$G1379,月間集計シート!S$50:S$69)*V$2</f>
        <v>0</v>
      </c>
      <c r="W1379" s="88">
        <f>SUMIF(月間集計シート!$M$50:$M$69,$G1379,月間集計シート!T$50:T$69)*W$2</f>
        <v>0</v>
      </c>
      <c r="X1379" s="88">
        <f>SUMIF(月間集計シート!$M$71:$M$90,$G1379,月間集計シート!N$71:N$90)*X$2</f>
        <v>0</v>
      </c>
      <c r="Y1379" s="88">
        <f>SUMIF(月間集計シート!$M$71:$M$90,$G1379,月間集計シート!O$71:O$90)*Y$2</f>
        <v>0</v>
      </c>
      <c r="Z1379" s="88">
        <f>SUMIF(月間集計シート!$M$71:$M$90,$G1379,月間集計シート!P$71:P$90)*Z$2</f>
        <v>0</v>
      </c>
      <c r="AA1379" s="88">
        <f>SUMIF(月間集計シート!$M$71:$M$90,$G1379,月間集計シート!Q$71:Q$90)*AA$2</f>
        <v>0</v>
      </c>
      <c r="AB1379" s="88">
        <f>SUMIF(月間集計シート!$M$71:$M$90,$G1379,月間集計シート!R$71:R$90)*AB$2</f>
        <v>0</v>
      </c>
      <c r="AC1379" s="88">
        <f>SUMIF(月間集計シート!$M$71:$M$90,$G1379,月間集計シート!S$71:S$90)*AC$2</f>
        <v>0</v>
      </c>
      <c r="AD1379" s="88">
        <f>SUMIF(月間集計シート!$M$71:$M$90,$G1379,月間集計シート!T$71:T$90)*AD$2</f>
        <v>0</v>
      </c>
      <c r="AE1379" s="88">
        <f>SUMIF(月間集計シート!$M$92:$M$111,$G1379,月間集計シート!N$92:N$111)*AE$2</f>
        <v>0</v>
      </c>
      <c r="AF1379" s="88">
        <f>SUMIF(月間集計シート!$M$92:$M$111,$G1379,月間集計シート!O$92:O$111)*AF$2</f>
        <v>0</v>
      </c>
      <c r="AG1379" s="88">
        <f>SUMIF(月間集計シート!$M$92:$M$111,$G1379,月間集計シート!P$92:P$111)*AG$2</f>
        <v>0</v>
      </c>
      <c r="AH1379" s="88">
        <f>SUMIF(月間集計シート!$M$92:$M$111,$G1379,月間集計シート!Q$92:Q$111)*AH$2</f>
        <v>0</v>
      </c>
      <c r="AI1379" s="88">
        <f>SUMIF(月間集計シート!$M$92:$M$111,$G1379,月間集計シート!R$92:R$111)*AI$2</f>
        <v>0</v>
      </c>
      <c r="AJ1379" s="88">
        <f>SUMIF(月間集計シート!$M$92:$M$111,$G1379,月間集計シート!S$92:S$111)*AJ$2</f>
        <v>0</v>
      </c>
      <c r="AK1379" s="88">
        <f>SUMIF(月間集計シート!$M$92:$M$111,$G1379,月間集計シート!T$92:T$111)*AK$2</f>
        <v>0</v>
      </c>
      <c r="AL1379" s="88">
        <f>SUMIF(月間集計シート!$M$113:$M$132,$G1379,月間集計シート!N$113:N$132)*AL$2</f>
        <v>0</v>
      </c>
      <c r="AM1379" s="88">
        <f>SUMIF(月間集計シート!$M$113:$M$132,$G1379,月間集計シート!O$113:O$132)*AM$2</f>
        <v>0</v>
      </c>
      <c r="AN1379" s="88">
        <f>SUMIF(月間集計シート!$M$113:$M$132,$G1379,月間集計シート!P$113:P$132)*AN$2</f>
        <v>0</v>
      </c>
      <c r="AO1379" s="88">
        <f>SUMIF(月間集計シート!$M$113:$M$132,$G1379,月間集計シート!Q$113:Q$132)*AO$2</f>
        <v>0</v>
      </c>
      <c r="AP1379" s="88">
        <f>SUMIF(月間集計シート!$M$113:$M$132,$G1379,月間集計シート!R$113:R$132)*AP$2</f>
        <v>0</v>
      </c>
      <c r="AQ1379" s="88">
        <f>SUMIF(月間集計シート!$M$113:$M$132,$G1379,月間集計シート!S$113:S$132)*AQ$2</f>
        <v>0</v>
      </c>
      <c r="AR1379" s="88">
        <f>SUMIF(月間集計シート!$M$113:$M$132,$G1379,月間集計シート!T$113:T$132)*AR$2</f>
        <v>0</v>
      </c>
      <c r="AS1379" s="88">
        <f>SUMIF(月間集計シート!$M$134:$M$153,$G1379,月間集計シート!N$134:N$153)*AS$2</f>
        <v>0</v>
      </c>
      <c r="AT1379" s="88">
        <f>SUMIF(月間集計シート!$M$134:$M$153,$G1379,月間集計シート!O$134:O$153)*AT$2</f>
        <v>0</v>
      </c>
      <c r="AU1379" s="88">
        <f>SUMIF(月間集計シート!$M$134:$M$153,$G1379,月間集計シート!P$134:P$153)*AU$2</f>
        <v>0</v>
      </c>
      <c r="AV1379" s="88">
        <f>SUMIF(月間集計シート!$M$134:$M$153,$G1379,月間集計シート!Q$134:Q$153)*AV$2</f>
        <v>0</v>
      </c>
      <c r="AW1379" s="88">
        <f>SUMIF(月間集計シート!$M$134:$M$153,$G1379,月間集計シート!R$134:R$153)*AW$2</f>
        <v>0</v>
      </c>
      <c r="AX1379" s="88">
        <f>SUMIF(月間集計シート!$M$134:$M$153,$G1379,月間集計シート!S$134:S$153)*AX$2</f>
        <v>0</v>
      </c>
      <c r="AY1379" s="88">
        <f>SUMIF(月間集計シート!$M$134:$M$153,$G1379,月間集計シート!T$134:T$153)*AY$2</f>
        <v>0</v>
      </c>
    </row>
    <row r="1380" spans="1:51" ht="14.25" thickBot="1">
      <c r="A1380">
        <v>17</v>
      </c>
      <c r="B1380" s="120">
        <f t="shared" si="782"/>
        <v>0</v>
      </c>
      <c r="C1380" s="120" t="str">
        <f t="shared" si="783"/>
        <v/>
      </c>
      <c r="D1380" s="137"/>
      <c r="E1380" s="150" t="str">
        <f>工種!A12</f>
        <v>20108</v>
      </c>
      <c r="F1380" s="119" t="str">
        <f>工種!B12</f>
        <v>設計：レビュー</v>
      </c>
      <c r="G1380" s="116" t="str">
        <f t="shared" si="731"/>
        <v>020108</v>
      </c>
      <c r="H1380" s="88">
        <f t="shared" si="738"/>
        <v>0</v>
      </c>
      <c r="I1380" s="132"/>
      <c r="J1380" s="88">
        <f>SUMIF(月間集計シート!$M$29:$M$48,$G1380,月間集計シート!N$29:N$48)*J$2</f>
        <v>0</v>
      </c>
      <c r="K1380" s="88">
        <f>SUMIF(月間集計シート!$M$29:$M$48,$G1380,月間集計シート!O$29:O$48)*K$2</f>
        <v>0</v>
      </c>
      <c r="L1380" s="88">
        <f>SUMIF(月間集計シート!$M$29:$M$48,$G1380,月間集計シート!P$29:P$48)*L$2</f>
        <v>0</v>
      </c>
      <c r="M1380" s="88">
        <f>SUMIF(月間集計シート!$M$29:$M$48,$G1380,月間集計シート!Q$29:Q$48)*M$2</f>
        <v>0</v>
      </c>
      <c r="N1380" s="88">
        <f>SUMIF(月間集計シート!$M$29:$M$48,$G1380,月間集計シート!R$29:R$48)*N$2</f>
        <v>0</v>
      </c>
      <c r="O1380" s="88">
        <f>SUMIF(月間集計シート!$M$29:$M$48,$G1380,月間集計シート!S$29:S$48)*O$2</f>
        <v>0</v>
      </c>
      <c r="P1380" s="88">
        <f>SUMIF(月間集計シート!$M$29:$M$48,$G1380,月間集計シート!T$29:T$48)*P$2</f>
        <v>0</v>
      </c>
      <c r="Q1380" s="88">
        <f>SUMIF(月間集計シート!$M$50:$M$69,$G1380,月間集計シート!N$50:N$69)*Q$2</f>
        <v>0</v>
      </c>
      <c r="R1380" s="88">
        <f>SUMIF(月間集計シート!$M$50:$M$69,$G1380,月間集計シート!O$50:O$69)*R$2</f>
        <v>0</v>
      </c>
      <c r="S1380" s="88">
        <f>SUMIF(月間集計シート!$M$50:$M$69,$G1380,月間集計シート!P$50:P$69)*S$2</f>
        <v>0</v>
      </c>
      <c r="T1380" s="88">
        <f>SUMIF(月間集計シート!$M$50:$M$69,$G1380,月間集計シート!Q$50:Q$69)*T$2</f>
        <v>0</v>
      </c>
      <c r="U1380" s="88">
        <f>SUMIF(月間集計シート!$M$50:$M$69,$G1380,月間集計シート!R$50:R$69)*U$2</f>
        <v>0</v>
      </c>
      <c r="V1380" s="88">
        <f>SUMIF(月間集計シート!$M$50:$M$69,$G1380,月間集計シート!S$50:S$69)*V$2</f>
        <v>0</v>
      </c>
      <c r="W1380" s="88">
        <f>SUMIF(月間集計シート!$M$50:$M$69,$G1380,月間集計シート!T$50:T$69)*W$2</f>
        <v>0</v>
      </c>
      <c r="X1380" s="88">
        <f>SUMIF(月間集計シート!$M$71:$M$90,$G1380,月間集計シート!N$71:N$90)*X$2</f>
        <v>0</v>
      </c>
      <c r="Y1380" s="88">
        <f>SUMIF(月間集計シート!$M$71:$M$90,$G1380,月間集計シート!O$71:O$90)*Y$2</f>
        <v>0</v>
      </c>
      <c r="Z1380" s="88">
        <f>SUMIF(月間集計シート!$M$71:$M$90,$G1380,月間集計シート!P$71:P$90)*Z$2</f>
        <v>0</v>
      </c>
      <c r="AA1380" s="88">
        <f>SUMIF(月間集計シート!$M$71:$M$90,$G1380,月間集計シート!Q$71:Q$90)*AA$2</f>
        <v>0</v>
      </c>
      <c r="AB1380" s="88">
        <f>SUMIF(月間集計シート!$M$71:$M$90,$G1380,月間集計シート!R$71:R$90)*AB$2</f>
        <v>0</v>
      </c>
      <c r="AC1380" s="88">
        <f>SUMIF(月間集計シート!$M$71:$M$90,$G1380,月間集計シート!S$71:S$90)*AC$2</f>
        <v>0</v>
      </c>
      <c r="AD1380" s="88">
        <f>SUMIF(月間集計シート!$M$71:$M$90,$G1380,月間集計シート!T$71:T$90)*AD$2</f>
        <v>0</v>
      </c>
      <c r="AE1380" s="88">
        <f>SUMIF(月間集計シート!$M$92:$M$111,$G1380,月間集計シート!N$92:N$111)*AE$2</f>
        <v>0</v>
      </c>
      <c r="AF1380" s="88">
        <f>SUMIF(月間集計シート!$M$92:$M$111,$G1380,月間集計シート!O$92:O$111)*AF$2</f>
        <v>0</v>
      </c>
      <c r="AG1380" s="88">
        <f>SUMIF(月間集計シート!$M$92:$M$111,$G1380,月間集計シート!P$92:P$111)*AG$2</f>
        <v>0</v>
      </c>
      <c r="AH1380" s="88">
        <f>SUMIF(月間集計シート!$M$92:$M$111,$G1380,月間集計シート!Q$92:Q$111)*AH$2</f>
        <v>0</v>
      </c>
      <c r="AI1380" s="88">
        <f>SUMIF(月間集計シート!$M$92:$M$111,$G1380,月間集計シート!R$92:R$111)*AI$2</f>
        <v>0</v>
      </c>
      <c r="AJ1380" s="88">
        <f>SUMIF(月間集計シート!$M$92:$M$111,$G1380,月間集計シート!S$92:S$111)*AJ$2</f>
        <v>0</v>
      </c>
      <c r="AK1380" s="88">
        <f>SUMIF(月間集計シート!$M$92:$M$111,$G1380,月間集計シート!T$92:T$111)*AK$2</f>
        <v>0</v>
      </c>
      <c r="AL1380" s="88">
        <f>SUMIF(月間集計シート!$M$113:$M$132,$G1380,月間集計シート!N$113:N$132)*AL$2</f>
        <v>0</v>
      </c>
      <c r="AM1380" s="88">
        <f>SUMIF(月間集計シート!$M$113:$M$132,$G1380,月間集計シート!O$113:O$132)*AM$2</f>
        <v>0</v>
      </c>
      <c r="AN1380" s="88">
        <f>SUMIF(月間集計シート!$M$113:$M$132,$G1380,月間集計シート!P$113:P$132)*AN$2</f>
        <v>0</v>
      </c>
      <c r="AO1380" s="88">
        <f>SUMIF(月間集計シート!$M$113:$M$132,$G1380,月間集計シート!Q$113:Q$132)*AO$2</f>
        <v>0</v>
      </c>
      <c r="AP1380" s="88">
        <f>SUMIF(月間集計シート!$M$113:$M$132,$G1380,月間集計シート!R$113:R$132)*AP$2</f>
        <v>0</v>
      </c>
      <c r="AQ1380" s="88">
        <f>SUMIF(月間集計シート!$M$113:$M$132,$G1380,月間集計シート!S$113:S$132)*AQ$2</f>
        <v>0</v>
      </c>
      <c r="AR1380" s="88">
        <f>SUMIF(月間集計シート!$M$113:$M$132,$G1380,月間集計シート!T$113:T$132)*AR$2</f>
        <v>0</v>
      </c>
      <c r="AS1380" s="88">
        <f>SUMIF(月間集計シート!$M$134:$M$153,$G1380,月間集計シート!N$134:N$153)*AS$2</f>
        <v>0</v>
      </c>
      <c r="AT1380" s="88">
        <f>SUMIF(月間集計シート!$M$134:$M$153,$G1380,月間集計シート!O$134:O$153)*AT$2</f>
        <v>0</v>
      </c>
      <c r="AU1380" s="88">
        <f>SUMIF(月間集計シート!$M$134:$M$153,$G1380,月間集計シート!P$134:P$153)*AU$2</f>
        <v>0</v>
      </c>
      <c r="AV1380" s="88">
        <f>SUMIF(月間集計シート!$M$134:$M$153,$G1380,月間集計シート!Q$134:Q$153)*AV$2</f>
        <v>0</v>
      </c>
      <c r="AW1380" s="88">
        <f>SUMIF(月間集計シート!$M$134:$M$153,$G1380,月間集計シート!R$134:R$153)*AW$2</f>
        <v>0</v>
      </c>
      <c r="AX1380" s="88">
        <f>SUMIF(月間集計シート!$M$134:$M$153,$G1380,月間集計シート!S$134:S$153)*AX$2</f>
        <v>0</v>
      </c>
      <c r="AY1380" s="88">
        <f>SUMIF(月間集計シート!$M$134:$M$153,$G1380,月間集計シート!T$134:T$153)*AY$2</f>
        <v>0</v>
      </c>
    </row>
    <row r="1381" spans="1:51" ht="14.25" thickBot="1">
      <c r="A1381">
        <v>17</v>
      </c>
      <c r="B1381" s="120">
        <f t="shared" si="782"/>
        <v>0</v>
      </c>
      <c r="C1381" s="120" t="str">
        <f t="shared" si="783"/>
        <v/>
      </c>
      <c r="D1381" s="137"/>
      <c r="E1381" s="150" t="str">
        <f>工種!A13</f>
        <v>20109</v>
      </c>
      <c r="F1381" s="119" t="str">
        <f>工種!B13</f>
        <v>設計：QA対応</v>
      </c>
      <c r="G1381" s="116" t="str">
        <f t="shared" si="731"/>
        <v>020109</v>
      </c>
      <c r="H1381" s="88">
        <f t="shared" si="738"/>
        <v>0</v>
      </c>
      <c r="I1381" s="132"/>
      <c r="J1381" s="88">
        <f>SUMIF(月間集計シート!$M$29:$M$48,$G1381,月間集計シート!N$29:N$48)*J$2</f>
        <v>0</v>
      </c>
      <c r="K1381" s="88">
        <f>SUMIF(月間集計シート!$M$29:$M$48,$G1381,月間集計シート!O$29:O$48)*K$2</f>
        <v>0</v>
      </c>
      <c r="L1381" s="88">
        <f>SUMIF(月間集計シート!$M$29:$M$48,$G1381,月間集計シート!P$29:P$48)*L$2</f>
        <v>0</v>
      </c>
      <c r="M1381" s="88">
        <f>SUMIF(月間集計シート!$M$29:$M$48,$G1381,月間集計シート!Q$29:Q$48)*M$2</f>
        <v>0</v>
      </c>
      <c r="N1381" s="88">
        <f>SUMIF(月間集計シート!$M$29:$M$48,$G1381,月間集計シート!R$29:R$48)*N$2</f>
        <v>0</v>
      </c>
      <c r="O1381" s="88">
        <f>SUMIF(月間集計シート!$M$29:$M$48,$G1381,月間集計シート!S$29:S$48)*O$2</f>
        <v>0</v>
      </c>
      <c r="P1381" s="88">
        <f>SUMIF(月間集計シート!$M$29:$M$48,$G1381,月間集計シート!T$29:T$48)*P$2</f>
        <v>0</v>
      </c>
      <c r="Q1381" s="88">
        <f>SUMIF(月間集計シート!$M$50:$M$69,$G1381,月間集計シート!N$50:N$69)*Q$2</f>
        <v>0</v>
      </c>
      <c r="R1381" s="88">
        <f>SUMIF(月間集計シート!$M$50:$M$69,$G1381,月間集計シート!O$50:O$69)*R$2</f>
        <v>0</v>
      </c>
      <c r="S1381" s="88">
        <f>SUMIF(月間集計シート!$M$50:$M$69,$G1381,月間集計シート!P$50:P$69)*S$2</f>
        <v>0</v>
      </c>
      <c r="T1381" s="88">
        <f>SUMIF(月間集計シート!$M$50:$M$69,$G1381,月間集計シート!Q$50:Q$69)*T$2</f>
        <v>0</v>
      </c>
      <c r="U1381" s="88">
        <f>SUMIF(月間集計シート!$M$50:$M$69,$G1381,月間集計シート!R$50:R$69)*U$2</f>
        <v>0</v>
      </c>
      <c r="V1381" s="88">
        <f>SUMIF(月間集計シート!$M$50:$M$69,$G1381,月間集計シート!S$50:S$69)*V$2</f>
        <v>0</v>
      </c>
      <c r="W1381" s="88">
        <f>SUMIF(月間集計シート!$M$50:$M$69,$G1381,月間集計シート!T$50:T$69)*W$2</f>
        <v>0</v>
      </c>
      <c r="X1381" s="88">
        <f>SUMIF(月間集計シート!$M$71:$M$90,$G1381,月間集計シート!N$71:N$90)*X$2</f>
        <v>0</v>
      </c>
      <c r="Y1381" s="88">
        <f>SUMIF(月間集計シート!$M$71:$M$90,$G1381,月間集計シート!O$71:O$90)*Y$2</f>
        <v>0</v>
      </c>
      <c r="Z1381" s="88">
        <f>SUMIF(月間集計シート!$M$71:$M$90,$G1381,月間集計シート!P$71:P$90)*Z$2</f>
        <v>0</v>
      </c>
      <c r="AA1381" s="88">
        <f>SUMIF(月間集計シート!$M$71:$M$90,$G1381,月間集計シート!Q$71:Q$90)*AA$2</f>
        <v>0</v>
      </c>
      <c r="AB1381" s="88">
        <f>SUMIF(月間集計シート!$M$71:$M$90,$G1381,月間集計シート!R$71:R$90)*AB$2</f>
        <v>0</v>
      </c>
      <c r="AC1381" s="88">
        <f>SUMIF(月間集計シート!$M$71:$M$90,$G1381,月間集計シート!S$71:S$90)*AC$2</f>
        <v>0</v>
      </c>
      <c r="AD1381" s="88">
        <f>SUMIF(月間集計シート!$M$71:$M$90,$G1381,月間集計シート!T$71:T$90)*AD$2</f>
        <v>0</v>
      </c>
      <c r="AE1381" s="88">
        <f>SUMIF(月間集計シート!$M$92:$M$111,$G1381,月間集計シート!N$92:N$111)*AE$2</f>
        <v>0</v>
      </c>
      <c r="AF1381" s="88">
        <f>SUMIF(月間集計シート!$M$92:$M$111,$G1381,月間集計シート!O$92:O$111)*AF$2</f>
        <v>0</v>
      </c>
      <c r="AG1381" s="88">
        <f>SUMIF(月間集計シート!$M$92:$M$111,$G1381,月間集計シート!P$92:P$111)*AG$2</f>
        <v>0</v>
      </c>
      <c r="AH1381" s="88">
        <f>SUMIF(月間集計シート!$M$92:$M$111,$G1381,月間集計シート!Q$92:Q$111)*AH$2</f>
        <v>0</v>
      </c>
      <c r="AI1381" s="88">
        <f>SUMIF(月間集計シート!$M$92:$M$111,$G1381,月間集計シート!R$92:R$111)*AI$2</f>
        <v>0</v>
      </c>
      <c r="AJ1381" s="88">
        <f>SUMIF(月間集計シート!$M$92:$M$111,$G1381,月間集計シート!S$92:S$111)*AJ$2</f>
        <v>0</v>
      </c>
      <c r="AK1381" s="88">
        <f>SUMIF(月間集計シート!$M$92:$M$111,$G1381,月間集計シート!T$92:T$111)*AK$2</f>
        <v>0</v>
      </c>
      <c r="AL1381" s="88">
        <f>SUMIF(月間集計シート!$M$113:$M$132,$G1381,月間集計シート!N$113:N$132)*AL$2</f>
        <v>0</v>
      </c>
      <c r="AM1381" s="88">
        <f>SUMIF(月間集計シート!$M$113:$M$132,$G1381,月間集計シート!O$113:O$132)*AM$2</f>
        <v>0</v>
      </c>
      <c r="AN1381" s="88">
        <f>SUMIF(月間集計シート!$M$113:$M$132,$G1381,月間集計シート!P$113:P$132)*AN$2</f>
        <v>0</v>
      </c>
      <c r="AO1381" s="88">
        <f>SUMIF(月間集計シート!$M$113:$M$132,$G1381,月間集計シート!Q$113:Q$132)*AO$2</f>
        <v>0</v>
      </c>
      <c r="AP1381" s="88">
        <f>SUMIF(月間集計シート!$M$113:$M$132,$G1381,月間集計シート!R$113:R$132)*AP$2</f>
        <v>0</v>
      </c>
      <c r="AQ1381" s="88">
        <f>SUMIF(月間集計シート!$M$113:$M$132,$G1381,月間集計シート!S$113:S$132)*AQ$2</f>
        <v>0</v>
      </c>
      <c r="AR1381" s="88">
        <f>SUMIF(月間集計シート!$M$113:$M$132,$G1381,月間集計シート!T$113:T$132)*AR$2</f>
        <v>0</v>
      </c>
      <c r="AS1381" s="88">
        <f>SUMIF(月間集計シート!$M$134:$M$153,$G1381,月間集計シート!N$134:N$153)*AS$2</f>
        <v>0</v>
      </c>
      <c r="AT1381" s="88">
        <f>SUMIF(月間集計シート!$M$134:$M$153,$G1381,月間集計シート!O$134:O$153)*AT$2</f>
        <v>0</v>
      </c>
      <c r="AU1381" s="88">
        <f>SUMIF(月間集計シート!$M$134:$M$153,$G1381,月間集計シート!P$134:P$153)*AU$2</f>
        <v>0</v>
      </c>
      <c r="AV1381" s="88">
        <f>SUMIF(月間集計シート!$M$134:$M$153,$G1381,月間集計シート!Q$134:Q$153)*AV$2</f>
        <v>0</v>
      </c>
      <c r="AW1381" s="88">
        <f>SUMIF(月間集計シート!$M$134:$M$153,$G1381,月間集計シート!R$134:R$153)*AW$2</f>
        <v>0</v>
      </c>
      <c r="AX1381" s="88">
        <f>SUMIF(月間集計シート!$M$134:$M$153,$G1381,月間集計シート!S$134:S$153)*AX$2</f>
        <v>0</v>
      </c>
      <c r="AY1381" s="88">
        <f>SUMIF(月間集計シート!$M$134:$M$153,$G1381,月間集計シート!T$134:T$153)*AY$2</f>
        <v>0</v>
      </c>
    </row>
    <row r="1382" spans="1:51" ht="14.25" thickBot="1">
      <c r="A1382">
        <v>17</v>
      </c>
      <c r="B1382" s="120">
        <f t="shared" si="782"/>
        <v>0</v>
      </c>
      <c r="C1382" s="120" t="str">
        <f t="shared" si="783"/>
        <v/>
      </c>
      <c r="D1382" s="137"/>
      <c r="E1382" s="150" t="str">
        <f>工種!A14</f>
        <v>20199</v>
      </c>
      <c r="F1382" s="119" t="str">
        <f>工種!B14</f>
        <v>設計：その他</v>
      </c>
      <c r="G1382" s="116" t="str">
        <f t="shared" si="731"/>
        <v>020199</v>
      </c>
      <c r="H1382" s="88">
        <f t="shared" si="738"/>
        <v>0</v>
      </c>
      <c r="I1382" s="132"/>
      <c r="J1382" s="88">
        <f>SUMIF(月間集計シート!$M$29:$M$48,$G1382,月間集計シート!N$29:N$48)*J$2</f>
        <v>0</v>
      </c>
      <c r="K1382" s="88">
        <f>SUMIF(月間集計シート!$M$29:$M$48,$G1382,月間集計シート!O$29:O$48)*K$2</f>
        <v>0</v>
      </c>
      <c r="L1382" s="88">
        <f>SUMIF(月間集計シート!$M$29:$M$48,$G1382,月間集計シート!P$29:P$48)*L$2</f>
        <v>0</v>
      </c>
      <c r="M1382" s="88">
        <f>SUMIF(月間集計シート!$M$29:$M$48,$G1382,月間集計シート!Q$29:Q$48)*M$2</f>
        <v>0</v>
      </c>
      <c r="N1382" s="88">
        <f>SUMIF(月間集計シート!$M$29:$M$48,$G1382,月間集計シート!R$29:R$48)*N$2</f>
        <v>0</v>
      </c>
      <c r="O1382" s="88">
        <f>SUMIF(月間集計シート!$M$29:$M$48,$G1382,月間集計シート!S$29:S$48)*O$2</f>
        <v>0</v>
      </c>
      <c r="P1382" s="88">
        <f>SUMIF(月間集計シート!$M$29:$M$48,$G1382,月間集計シート!T$29:T$48)*P$2</f>
        <v>0</v>
      </c>
      <c r="Q1382" s="88">
        <f>SUMIF(月間集計シート!$M$50:$M$69,$G1382,月間集計シート!N$50:N$69)*Q$2</f>
        <v>0</v>
      </c>
      <c r="R1382" s="88">
        <f>SUMIF(月間集計シート!$M$50:$M$69,$G1382,月間集計シート!O$50:O$69)*R$2</f>
        <v>0</v>
      </c>
      <c r="S1382" s="88">
        <f>SUMIF(月間集計シート!$M$50:$M$69,$G1382,月間集計シート!P$50:P$69)*S$2</f>
        <v>0</v>
      </c>
      <c r="T1382" s="88">
        <f>SUMIF(月間集計シート!$M$50:$M$69,$G1382,月間集計シート!Q$50:Q$69)*T$2</f>
        <v>0</v>
      </c>
      <c r="U1382" s="88">
        <f>SUMIF(月間集計シート!$M$50:$M$69,$G1382,月間集計シート!R$50:R$69)*U$2</f>
        <v>0</v>
      </c>
      <c r="V1382" s="88">
        <f>SUMIF(月間集計シート!$M$50:$M$69,$G1382,月間集計シート!S$50:S$69)*V$2</f>
        <v>0</v>
      </c>
      <c r="W1382" s="88">
        <f>SUMIF(月間集計シート!$M$50:$M$69,$G1382,月間集計シート!T$50:T$69)*W$2</f>
        <v>0</v>
      </c>
      <c r="X1382" s="88">
        <f>SUMIF(月間集計シート!$M$71:$M$90,$G1382,月間集計シート!N$71:N$90)*X$2</f>
        <v>0</v>
      </c>
      <c r="Y1382" s="88">
        <f>SUMIF(月間集計シート!$M$71:$M$90,$G1382,月間集計シート!O$71:O$90)*Y$2</f>
        <v>0</v>
      </c>
      <c r="Z1382" s="88">
        <f>SUMIF(月間集計シート!$M$71:$M$90,$G1382,月間集計シート!P$71:P$90)*Z$2</f>
        <v>0</v>
      </c>
      <c r="AA1382" s="88">
        <f>SUMIF(月間集計シート!$M$71:$M$90,$G1382,月間集計シート!Q$71:Q$90)*AA$2</f>
        <v>0</v>
      </c>
      <c r="AB1382" s="88">
        <f>SUMIF(月間集計シート!$M$71:$M$90,$G1382,月間集計シート!R$71:R$90)*AB$2</f>
        <v>0</v>
      </c>
      <c r="AC1382" s="88">
        <f>SUMIF(月間集計シート!$M$71:$M$90,$G1382,月間集計シート!S$71:S$90)*AC$2</f>
        <v>0</v>
      </c>
      <c r="AD1382" s="88">
        <f>SUMIF(月間集計シート!$M$71:$M$90,$G1382,月間集計シート!T$71:T$90)*AD$2</f>
        <v>0</v>
      </c>
      <c r="AE1382" s="88">
        <f>SUMIF(月間集計シート!$M$92:$M$111,$G1382,月間集計シート!N$92:N$111)*AE$2</f>
        <v>0</v>
      </c>
      <c r="AF1382" s="88">
        <f>SUMIF(月間集計シート!$M$92:$M$111,$G1382,月間集計シート!O$92:O$111)*AF$2</f>
        <v>0</v>
      </c>
      <c r="AG1382" s="88">
        <f>SUMIF(月間集計シート!$M$92:$M$111,$G1382,月間集計シート!P$92:P$111)*AG$2</f>
        <v>0</v>
      </c>
      <c r="AH1382" s="88">
        <f>SUMIF(月間集計シート!$M$92:$M$111,$G1382,月間集計シート!Q$92:Q$111)*AH$2</f>
        <v>0</v>
      </c>
      <c r="AI1382" s="88">
        <f>SUMIF(月間集計シート!$M$92:$M$111,$G1382,月間集計シート!R$92:R$111)*AI$2</f>
        <v>0</v>
      </c>
      <c r="AJ1382" s="88">
        <f>SUMIF(月間集計シート!$M$92:$M$111,$G1382,月間集計シート!S$92:S$111)*AJ$2</f>
        <v>0</v>
      </c>
      <c r="AK1382" s="88">
        <f>SUMIF(月間集計シート!$M$92:$M$111,$G1382,月間集計シート!T$92:T$111)*AK$2</f>
        <v>0</v>
      </c>
      <c r="AL1382" s="88">
        <f>SUMIF(月間集計シート!$M$113:$M$132,$G1382,月間集計シート!N$113:N$132)*AL$2</f>
        <v>0</v>
      </c>
      <c r="AM1382" s="88">
        <f>SUMIF(月間集計シート!$M$113:$M$132,$G1382,月間集計シート!O$113:O$132)*AM$2</f>
        <v>0</v>
      </c>
      <c r="AN1382" s="88">
        <f>SUMIF(月間集計シート!$M$113:$M$132,$G1382,月間集計シート!P$113:P$132)*AN$2</f>
        <v>0</v>
      </c>
      <c r="AO1382" s="88">
        <f>SUMIF(月間集計シート!$M$113:$M$132,$G1382,月間集計シート!Q$113:Q$132)*AO$2</f>
        <v>0</v>
      </c>
      <c r="AP1382" s="88">
        <f>SUMIF(月間集計シート!$M$113:$M$132,$G1382,月間集計シート!R$113:R$132)*AP$2</f>
        <v>0</v>
      </c>
      <c r="AQ1382" s="88">
        <f>SUMIF(月間集計シート!$M$113:$M$132,$G1382,月間集計シート!S$113:S$132)*AQ$2</f>
        <v>0</v>
      </c>
      <c r="AR1382" s="88">
        <f>SUMIF(月間集計シート!$M$113:$M$132,$G1382,月間集計シート!T$113:T$132)*AR$2</f>
        <v>0</v>
      </c>
      <c r="AS1382" s="88">
        <f>SUMIF(月間集計シート!$M$134:$M$153,$G1382,月間集計シート!N$134:N$153)*AS$2</f>
        <v>0</v>
      </c>
      <c r="AT1382" s="88">
        <f>SUMIF(月間集計シート!$M$134:$M$153,$G1382,月間集計シート!O$134:O$153)*AT$2</f>
        <v>0</v>
      </c>
      <c r="AU1382" s="88">
        <f>SUMIF(月間集計シート!$M$134:$M$153,$G1382,月間集計シート!P$134:P$153)*AU$2</f>
        <v>0</v>
      </c>
      <c r="AV1382" s="88">
        <f>SUMIF(月間集計シート!$M$134:$M$153,$G1382,月間集計シート!Q$134:Q$153)*AV$2</f>
        <v>0</v>
      </c>
      <c r="AW1382" s="88">
        <f>SUMIF(月間集計シート!$M$134:$M$153,$G1382,月間集計シート!R$134:R$153)*AW$2</f>
        <v>0</v>
      </c>
      <c r="AX1382" s="88">
        <f>SUMIF(月間集計シート!$M$134:$M$153,$G1382,月間集計シート!S$134:S$153)*AX$2</f>
        <v>0</v>
      </c>
      <c r="AY1382" s="88">
        <f>SUMIF(月間集計シート!$M$134:$M$153,$G1382,月間集計シート!T$134:T$153)*AY$2</f>
        <v>0</v>
      </c>
    </row>
    <row r="1383" spans="1:51" ht="14.25" thickBot="1">
      <c r="A1383">
        <v>17</v>
      </c>
      <c r="B1383" s="120">
        <f t="shared" si="782"/>
        <v>0</v>
      </c>
      <c r="C1383" s="120" t="str">
        <f t="shared" si="783"/>
        <v/>
      </c>
      <c r="D1383" s="137"/>
      <c r="E1383" s="150" t="str">
        <f>工種!A15</f>
        <v>30101</v>
      </c>
      <c r="F1383" s="119" t="str">
        <f>工種!B15</f>
        <v>製造：内部設計書作成</v>
      </c>
      <c r="G1383" s="116" t="str">
        <f t="shared" si="731"/>
        <v>030101</v>
      </c>
      <c r="H1383" s="88">
        <f t="shared" si="738"/>
        <v>0</v>
      </c>
      <c r="I1383" s="132"/>
      <c r="J1383" s="88">
        <f>SUMIF(月間集計シート!$M$29:$M$48,$G1383,月間集計シート!N$29:N$48)*J$2</f>
        <v>0</v>
      </c>
      <c r="K1383" s="88">
        <f>SUMIF(月間集計シート!$M$29:$M$48,$G1383,月間集計シート!O$29:O$48)*K$2</f>
        <v>0</v>
      </c>
      <c r="L1383" s="88">
        <f>SUMIF(月間集計シート!$M$29:$M$48,$G1383,月間集計シート!P$29:P$48)*L$2</f>
        <v>0</v>
      </c>
      <c r="M1383" s="88">
        <f>SUMIF(月間集計シート!$M$29:$M$48,$G1383,月間集計シート!Q$29:Q$48)*M$2</f>
        <v>0</v>
      </c>
      <c r="N1383" s="88">
        <f>SUMIF(月間集計シート!$M$29:$M$48,$G1383,月間集計シート!R$29:R$48)*N$2</f>
        <v>0</v>
      </c>
      <c r="O1383" s="88">
        <f>SUMIF(月間集計シート!$M$29:$M$48,$G1383,月間集計シート!S$29:S$48)*O$2</f>
        <v>0</v>
      </c>
      <c r="P1383" s="88">
        <f>SUMIF(月間集計シート!$M$29:$M$48,$G1383,月間集計シート!T$29:T$48)*P$2</f>
        <v>0</v>
      </c>
      <c r="Q1383" s="88">
        <f>SUMIF(月間集計シート!$M$50:$M$69,$G1383,月間集計シート!N$50:N$69)*Q$2</f>
        <v>0</v>
      </c>
      <c r="R1383" s="88">
        <f>SUMIF(月間集計シート!$M$50:$M$69,$G1383,月間集計シート!O$50:O$69)*R$2</f>
        <v>0</v>
      </c>
      <c r="S1383" s="88">
        <f>SUMIF(月間集計シート!$M$50:$M$69,$G1383,月間集計シート!P$50:P$69)*S$2</f>
        <v>0</v>
      </c>
      <c r="T1383" s="88">
        <f>SUMIF(月間集計シート!$M$50:$M$69,$G1383,月間集計シート!Q$50:Q$69)*T$2</f>
        <v>0</v>
      </c>
      <c r="U1383" s="88">
        <f>SUMIF(月間集計シート!$M$50:$M$69,$G1383,月間集計シート!R$50:R$69)*U$2</f>
        <v>0</v>
      </c>
      <c r="V1383" s="88">
        <f>SUMIF(月間集計シート!$M$50:$M$69,$G1383,月間集計シート!S$50:S$69)*V$2</f>
        <v>0</v>
      </c>
      <c r="W1383" s="88">
        <f>SUMIF(月間集計シート!$M$50:$M$69,$G1383,月間集計シート!T$50:T$69)*W$2</f>
        <v>0</v>
      </c>
      <c r="X1383" s="88">
        <f>SUMIF(月間集計シート!$M$71:$M$90,$G1383,月間集計シート!N$71:N$90)*X$2</f>
        <v>0</v>
      </c>
      <c r="Y1383" s="88">
        <f>SUMIF(月間集計シート!$M$71:$M$90,$G1383,月間集計シート!O$71:O$90)*Y$2</f>
        <v>0</v>
      </c>
      <c r="Z1383" s="88">
        <f>SUMIF(月間集計シート!$M$71:$M$90,$G1383,月間集計シート!P$71:P$90)*Z$2</f>
        <v>0</v>
      </c>
      <c r="AA1383" s="88">
        <f>SUMIF(月間集計シート!$M$71:$M$90,$G1383,月間集計シート!Q$71:Q$90)*AA$2</f>
        <v>0</v>
      </c>
      <c r="AB1383" s="88">
        <f>SUMIF(月間集計シート!$M$71:$M$90,$G1383,月間集計シート!R$71:R$90)*AB$2</f>
        <v>0</v>
      </c>
      <c r="AC1383" s="88">
        <f>SUMIF(月間集計シート!$M$71:$M$90,$G1383,月間集計シート!S$71:S$90)*AC$2</f>
        <v>0</v>
      </c>
      <c r="AD1383" s="88">
        <f>SUMIF(月間集計シート!$M$71:$M$90,$G1383,月間集計シート!T$71:T$90)*AD$2</f>
        <v>0</v>
      </c>
      <c r="AE1383" s="88">
        <f>SUMIF(月間集計シート!$M$92:$M$111,$G1383,月間集計シート!N$92:N$111)*AE$2</f>
        <v>0</v>
      </c>
      <c r="AF1383" s="88">
        <f>SUMIF(月間集計シート!$M$92:$M$111,$G1383,月間集計シート!O$92:O$111)*AF$2</f>
        <v>0</v>
      </c>
      <c r="AG1383" s="88">
        <f>SUMIF(月間集計シート!$M$92:$M$111,$G1383,月間集計シート!P$92:P$111)*AG$2</f>
        <v>0</v>
      </c>
      <c r="AH1383" s="88">
        <f>SUMIF(月間集計シート!$M$92:$M$111,$G1383,月間集計シート!Q$92:Q$111)*AH$2</f>
        <v>0</v>
      </c>
      <c r="AI1383" s="88">
        <f>SUMIF(月間集計シート!$M$92:$M$111,$G1383,月間集計シート!R$92:R$111)*AI$2</f>
        <v>0</v>
      </c>
      <c r="AJ1383" s="88">
        <f>SUMIF(月間集計シート!$M$92:$M$111,$G1383,月間集計シート!S$92:S$111)*AJ$2</f>
        <v>0</v>
      </c>
      <c r="AK1383" s="88">
        <f>SUMIF(月間集計シート!$M$92:$M$111,$G1383,月間集計シート!T$92:T$111)*AK$2</f>
        <v>0</v>
      </c>
      <c r="AL1383" s="88">
        <f>SUMIF(月間集計シート!$M$113:$M$132,$G1383,月間集計シート!N$113:N$132)*AL$2</f>
        <v>0</v>
      </c>
      <c r="AM1383" s="88">
        <f>SUMIF(月間集計シート!$M$113:$M$132,$G1383,月間集計シート!O$113:O$132)*AM$2</f>
        <v>0</v>
      </c>
      <c r="AN1383" s="88">
        <f>SUMIF(月間集計シート!$M$113:$M$132,$G1383,月間集計シート!P$113:P$132)*AN$2</f>
        <v>0</v>
      </c>
      <c r="AO1383" s="88">
        <f>SUMIF(月間集計シート!$M$113:$M$132,$G1383,月間集計シート!Q$113:Q$132)*AO$2</f>
        <v>0</v>
      </c>
      <c r="AP1383" s="88">
        <f>SUMIF(月間集計シート!$M$113:$M$132,$G1383,月間集計シート!R$113:R$132)*AP$2</f>
        <v>0</v>
      </c>
      <c r="AQ1383" s="88">
        <f>SUMIF(月間集計シート!$M$113:$M$132,$G1383,月間集計シート!S$113:S$132)*AQ$2</f>
        <v>0</v>
      </c>
      <c r="AR1383" s="88">
        <f>SUMIF(月間集計シート!$M$113:$M$132,$G1383,月間集計シート!T$113:T$132)*AR$2</f>
        <v>0</v>
      </c>
      <c r="AS1383" s="88">
        <f>SUMIF(月間集計シート!$M$134:$M$153,$G1383,月間集計シート!N$134:N$153)*AS$2</f>
        <v>0</v>
      </c>
      <c r="AT1383" s="88">
        <f>SUMIF(月間集計シート!$M$134:$M$153,$G1383,月間集計シート!O$134:O$153)*AT$2</f>
        <v>0</v>
      </c>
      <c r="AU1383" s="88">
        <f>SUMIF(月間集計シート!$M$134:$M$153,$G1383,月間集計シート!P$134:P$153)*AU$2</f>
        <v>0</v>
      </c>
      <c r="AV1383" s="88">
        <f>SUMIF(月間集計シート!$M$134:$M$153,$G1383,月間集計シート!Q$134:Q$153)*AV$2</f>
        <v>0</v>
      </c>
      <c r="AW1383" s="88">
        <f>SUMIF(月間集計シート!$M$134:$M$153,$G1383,月間集計シート!R$134:R$153)*AW$2</f>
        <v>0</v>
      </c>
      <c r="AX1383" s="88">
        <f>SUMIF(月間集計シート!$M$134:$M$153,$G1383,月間集計シート!S$134:S$153)*AX$2</f>
        <v>0</v>
      </c>
      <c r="AY1383" s="88">
        <f>SUMIF(月間集計シート!$M$134:$M$153,$G1383,月間集計シート!T$134:T$153)*AY$2</f>
        <v>0</v>
      </c>
    </row>
    <row r="1384" spans="1:51" ht="14.25" thickBot="1">
      <c r="A1384">
        <v>17</v>
      </c>
      <c r="B1384" s="120">
        <f t="shared" si="782"/>
        <v>0</v>
      </c>
      <c r="C1384" s="120" t="str">
        <f t="shared" si="783"/>
        <v/>
      </c>
      <c r="D1384" s="137"/>
      <c r="E1384" s="150" t="str">
        <f>工種!A16</f>
        <v>30102</v>
      </c>
      <c r="F1384" s="119" t="str">
        <f>工種!B16</f>
        <v>製造：コーディング</v>
      </c>
      <c r="G1384" s="116" t="str">
        <f t="shared" si="731"/>
        <v>030102</v>
      </c>
      <c r="H1384" s="88">
        <f t="shared" si="738"/>
        <v>0</v>
      </c>
      <c r="I1384" s="132"/>
      <c r="J1384" s="88">
        <f>SUMIF(月間集計シート!$M$29:$M$48,$G1384,月間集計シート!N$29:N$48)*J$2</f>
        <v>0</v>
      </c>
      <c r="K1384" s="88">
        <f>SUMIF(月間集計シート!$M$29:$M$48,$G1384,月間集計シート!O$29:O$48)*K$2</f>
        <v>0</v>
      </c>
      <c r="L1384" s="88">
        <f>SUMIF(月間集計シート!$M$29:$M$48,$G1384,月間集計シート!P$29:P$48)*L$2</f>
        <v>0</v>
      </c>
      <c r="M1384" s="88">
        <f>SUMIF(月間集計シート!$M$29:$M$48,$G1384,月間集計シート!Q$29:Q$48)*M$2</f>
        <v>0</v>
      </c>
      <c r="N1384" s="88">
        <f>SUMIF(月間集計シート!$M$29:$M$48,$G1384,月間集計シート!R$29:R$48)*N$2</f>
        <v>0</v>
      </c>
      <c r="O1384" s="88">
        <f>SUMIF(月間集計シート!$M$29:$M$48,$G1384,月間集計シート!S$29:S$48)*O$2</f>
        <v>0</v>
      </c>
      <c r="P1384" s="88">
        <f>SUMIF(月間集計シート!$M$29:$M$48,$G1384,月間集計シート!T$29:T$48)*P$2</f>
        <v>0</v>
      </c>
      <c r="Q1384" s="88">
        <f>SUMIF(月間集計シート!$M$50:$M$69,$G1384,月間集計シート!N$50:N$69)*Q$2</f>
        <v>0</v>
      </c>
      <c r="R1384" s="88">
        <f>SUMIF(月間集計シート!$M$50:$M$69,$G1384,月間集計シート!O$50:O$69)*R$2</f>
        <v>0</v>
      </c>
      <c r="S1384" s="88">
        <f>SUMIF(月間集計シート!$M$50:$M$69,$G1384,月間集計シート!P$50:P$69)*S$2</f>
        <v>0</v>
      </c>
      <c r="T1384" s="88">
        <f>SUMIF(月間集計シート!$M$50:$M$69,$G1384,月間集計シート!Q$50:Q$69)*T$2</f>
        <v>0</v>
      </c>
      <c r="U1384" s="88">
        <f>SUMIF(月間集計シート!$M$50:$M$69,$G1384,月間集計シート!R$50:R$69)*U$2</f>
        <v>0</v>
      </c>
      <c r="V1384" s="88">
        <f>SUMIF(月間集計シート!$M$50:$M$69,$G1384,月間集計シート!S$50:S$69)*V$2</f>
        <v>0</v>
      </c>
      <c r="W1384" s="88">
        <f>SUMIF(月間集計シート!$M$50:$M$69,$G1384,月間集計シート!T$50:T$69)*W$2</f>
        <v>0</v>
      </c>
      <c r="X1384" s="88">
        <f>SUMIF(月間集計シート!$M$71:$M$90,$G1384,月間集計シート!N$71:N$90)*X$2</f>
        <v>0</v>
      </c>
      <c r="Y1384" s="88">
        <f>SUMIF(月間集計シート!$M$71:$M$90,$G1384,月間集計シート!O$71:O$90)*Y$2</f>
        <v>0</v>
      </c>
      <c r="Z1384" s="88">
        <f>SUMIF(月間集計シート!$M$71:$M$90,$G1384,月間集計シート!P$71:P$90)*Z$2</f>
        <v>0</v>
      </c>
      <c r="AA1384" s="88">
        <f>SUMIF(月間集計シート!$M$71:$M$90,$G1384,月間集計シート!Q$71:Q$90)*AA$2</f>
        <v>0</v>
      </c>
      <c r="AB1384" s="88">
        <f>SUMIF(月間集計シート!$M$71:$M$90,$G1384,月間集計シート!R$71:R$90)*AB$2</f>
        <v>0</v>
      </c>
      <c r="AC1384" s="88">
        <f>SUMIF(月間集計シート!$M$71:$M$90,$G1384,月間集計シート!S$71:S$90)*AC$2</f>
        <v>0</v>
      </c>
      <c r="AD1384" s="88">
        <f>SUMIF(月間集計シート!$M$71:$M$90,$G1384,月間集計シート!T$71:T$90)*AD$2</f>
        <v>0</v>
      </c>
      <c r="AE1384" s="88">
        <f>SUMIF(月間集計シート!$M$92:$M$111,$G1384,月間集計シート!N$92:N$111)*AE$2</f>
        <v>0</v>
      </c>
      <c r="AF1384" s="88">
        <f>SUMIF(月間集計シート!$M$92:$M$111,$G1384,月間集計シート!O$92:O$111)*AF$2</f>
        <v>0</v>
      </c>
      <c r="AG1384" s="88">
        <f>SUMIF(月間集計シート!$M$92:$M$111,$G1384,月間集計シート!P$92:P$111)*AG$2</f>
        <v>0</v>
      </c>
      <c r="AH1384" s="88">
        <f>SUMIF(月間集計シート!$M$92:$M$111,$G1384,月間集計シート!Q$92:Q$111)*AH$2</f>
        <v>0</v>
      </c>
      <c r="AI1384" s="88">
        <f>SUMIF(月間集計シート!$M$92:$M$111,$G1384,月間集計シート!R$92:R$111)*AI$2</f>
        <v>0</v>
      </c>
      <c r="AJ1384" s="88">
        <f>SUMIF(月間集計シート!$M$92:$M$111,$G1384,月間集計シート!S$92:S$111)*AJ$2</f>
        <v>0</v>
      </c>
      <c r="AK1384" s="88">
        <f>SUMIF(月間集計シート!$M$92:$M$111,$G1384,月間集計シート!T$92:T$111)*AK$2</f>
        <v>0</v>
      </c>
      <c r="AL1384" s="88">
        <f>SUMIF(月間集計シート!$M$113:$M$132,$G1384,月間集計シート!N$113:N$132)*AL$2</f>
        <v>0</v>
      </c>
      <c r="AM1384" s="88">
        <f>SUMIF(月間集計シート!$M$113:$M$132,$G1384,月間集計シート!O$113:O$132)*AM$2</f>
        <v>0</v>
      </c>
      <c r="AN1384" s="88">
        <f>SUMIF(月間集計シート!$M$113:$M$132,$G1384,月間集計シート!P$113:P$132)*AN$2</f>
        <v>0</v>
      </c>
      <c r="AO1384" s="88">
        <f>SUMIF(月間集計シート!$M$113:$M$132,$G1384,月間集計シート!Q$113:Q$132)*AO$2</f>
        <v>0</v>
      </c>
      <c r="AP1384" s="88">
        <f>SUMIF(月間集計シート!$M$113:$M$132,$G1384,月間集計シート!R$113:R$132)*AP$2</f>
        <v>0</v>
      </c>
      <c r="AQ1384" s="88">
        <f>SUMIF(月間集計シート!$M$113:$M$132,$G1384,月間集計シート!S$113:S$132)*AQ$2</f>
        <v>0</v>
      </c>
      <c r="AR1384" s="88">
        <f>SUMIF(月間集計シート!$M$113:$M$132,$G1384,月間集計シート!T$113:T$132)*AR$2</f>
        <v>0</v>
      </c>
      <c r="AS1384" s="88">
        <f>SUMIF(月間集計シート!$M$134:$M$153,$G1384,月間集計シート!N$134:N$153)*AS$2</f>
        <v>0</v>
      </c>
      <c r="AT1384" s="88">
        <f>SUMIF(月間集計シート!$M$134:$M$153,$G1384,月間集計シート!O$134:O$153)*AT$2</f>
        <v>0</v>
      </c>
      <c r="AU1384" s="88">
        <f>SUMIF(月間集計シート!$M$134:$M$153,$G1384,月間集計シート!P$134:P$153)*AU$2</f>
        <v>0</v>
      </c>
      <c r="AV1384" s="88">
        <f>SUMIF(月間集計シート!$M$134:$M$153,$G1384,月間集計シート!Q$134:Q$153)*AV$2</f>
        <v>0</v>
      </c>
      <c r="AW1384" s="88">
        <f>SUMIF(月間集計シート!$M$134:$M$153,$G1384,月間集計シート!R$134:R$153)*AW$2</f>
        <v>0</v>
      </c>
      <c r="AX1384" s="88">
        <f>SUMIF(月間集計シート!$M$134:$M$153,$G1384,月間集計シート!S$134:S$153)*AX$2</f>
        <v>0</v>
      </c>
      <c r="AY1384" s="88">
        <f>SUMIF(月間集計シート!$M$134:$M$153,$G1384,月間集計シート!T$134:T$153)*AY$2</f>
        <v>0</v>
      </c>
    </row>
    <row r="1385" spans="1:51" ht="14.25" thickBot="1">
      <c r="A1385">
        <v>17</v>
      </c>
      <c r="B1385" s="120">
        <f t="shared" si="782"/>
        <v>0</v>
      </c>
      <c r="C1385" s="120" t="str">
        <f t="shared" si="783"/>
        <v/>
      </c>
      <c r="D1385" s="137"/>
      <c r="E1385" s="150" t="str">
        <f>工種!A17</f>
        <v>30103</v>
      </c>
      <c r="F1385" s="119" t="str">
        <f>工種!B17</f>
        <v>製造：単体テスト設計書作成</v>
      </c>
      <c r="G1385" s="116" t="str">
        <f t="shared" si="731"/>
        <v>030103</v>
      </c>
      <c r="H1385" s="88">
        <f t="shared" si="738"/>
        <v>0</v>
      </c>
      <c r="I1385" s="132"/>
      <c r="J1385" s="88">
        <f>SUMIF(月間集計シート!$M$29:$M$48,$G1385,月間集計シート!N$29:N$48)*J$2</f>
        <v>0</v>
      </c>
      <c r="K1385" s="88">
        <f>SUMIF(月間集計シート!$M$29:$M$48,$G1385,月間集計シート!O$29:O$48)*K$2</f>
        <v>0</v>
      </c>
      <c r="L1385" s="88">
        <f>SUMIF(月間集計シート!$M$29:$M$48,$G1385,月間集計シート!P$29:P$48)*L$2</f>
        <v>0</v>
      </c>
      <c r="M1385" s="88">
        <f>SUMIF(月間集計シート!$M$29:$M$48,$G1385,月間集計シート!Q$29:Q$48)*M$2</f>
        <v>0</v>
      </c>
      <c r="N1385" s="88">
        <f>SUMIF(月間集計シート!$M$29:$M$48,$G1385,月間集計シート!R$29:R$48)*N$2</f>
        <v>0</v>
      </c>
      <c r="O1385" s="88">
        <f>SUMIF(月間集計シート!$M$29:$M$48,$G1385,月間集計シート!S$29:S$48)*O$2</f>
        <v>0</v>
      </c>
      <c r="P1385" s="88">
        <f>SUMIF(月間集計シート!$M$29:$M$48,$G1385,月間集計シート!T$29:T$48)*P$2</f>
        <v>0</v>
      </c>
      <c r="Q1385" s="88">
        <f>SUMIF(月間集計シート!$M$50:$M$69,$G1385,月間集計シート!N$50:N$69)*Q$2</f>
        <v>0</v>
      </c>
      <c r="R1385" s="88">
        <f>SUMIF(月間集計シート!$M$50:$M$69,$G1385,月間集計シート!O$50:O$69)*R$2</f>
        <v>0</v>
      </c>
      <c r="S1385" s="88">
        <f>SUMIF(月間集計シート!$M$50:$M$69,$G1385,月間集計シート!P$50:P$69)*S$2</f>
        <v>0</v>
      </c>
      <c r="T1385" s="88">
        <f>SUMIF(月間集計シート!$M$50:$M$69,$G1385,月間集計シート!Q$50:Q$69)*T$2</f>
        <v>0</v>
      </c>
      <c r="U1385" s="88">
        <f>SUMIF(月間集計シート!$M$50:$M$69,$G1385,月間集計シート!R$50:R$69)*U$2</f>
        <v>0</v>
      </c>
      <c r="V1385" s="88">
        <f>SUMIF(月間集計シート!$M$50:$M$69,$G1385,月間集計シート!S$50:S$69)*V$2</f>
        <v>0</v>
      </c>
      <c r="W1385" s="88">
        <f>SUMIF(月間集計シート!$M$50:$M$69,$G1385,月間集計シート!T$50:T$69)*W$2</f>
        <v>0</v>
      </c>
      <c r="X1385" s="88">
        <f>SUMIF(月間集計シート!$M$71:$M$90,$G1385,月間集計シート!N$71:N$90)*X$2</f>
        <v>0</v>
      </c>
      <c r="Y1385" s="88">
        <f>SUMIF(月間集計シート!$M$71:$M$90,$G1385,月間集計シート!O$71:O$90)*Y$2</f>
        <v>0</v>
      </c>
      <c r="Z1385" s="88">
        <f>SUMIF(月間集計シート!$M$71:$M$90,$G1385,月間集計シート!P$71:P$90)*Z$2</f>
        <v>0</v>
      </c>
      <c r="AA1385" s="88">
        <f>SUMIF(月間集計シート!$M$71:$M$90,$G1385,月間集計シート!Q$71:Q$90)*AA$2</f>
        <v>0</v>
      </c>
      <c r="AB1385" s="88">
        <f>SUMIF(月間集計シート!$M$71:$M$90,$G1385,月間集計シート!R$71:R$90)*AB$2</f>
        <v>0</v>
      </c>
      <c r="AC1385" s="88">
        <f>SUMIF(月間集計シート!$M$71:$M$90,$G1385,月間集計シート!S$71:S$90)*AC$2</f>
        <v>0</v>
      </c>
      <c r="AD1385" s="88">
        <f>SUMIF(月間集計シート!$M$71:$M$90,$G1385,月間集計シート!T$71:T$90)*AD$2</f>
        <v>0</v>
      </c>
      <c r="AE1385" s="88">
        <f>SUMIF(月間集計シート!$M$92:$M$111,$G1385,月間集計シート!N$92:N$111)*AE$2</f>
        <v>0</v>
      </c>
      <c r="AF1385" s="88">
        <f>SUMIF(月間集計シート!$M$92:$M$111,$G1385,月間集計シート!O$92:O$111)*AF$2</f>
        <v>0</v>
      </c>
      <c r="AG1385" s="88">
        <f>SUMIF(月間集計シート!$M$92:$M$111,$G1385,月間集計シート!P$92:P$111)*AG$2</f>
        <v>0</v>
      </c>
      <c r="AH1385" s="88">
        <f>SUMIF(月間集計シート!$M$92:$M$111,$G1385,月間集計シート!Q$92:Q$111)*AH$2</f>
        <v>0</v>
      </c>
      <c r="AI1385" s="88">
        <f>SUMIF(月間集計シート!$M$92:$M$111,$G1385,月間集計シート!R$92:R$111)*AI$2</f>
        <v>0</v>
      </c>
      <c r="AJ1385" s="88">
        <f>SUMIF(月間集計シート!$M$92:$M$111,$G1385,月間集計シート!S$92:S$111)*AJ$2</f>
        <v>0</v>
      </c>
      <c r="AK1385" s="88">
        <f>SUMIF(月間集計シート!$M$92:$M$111,$G1385,月間集計シート!T$92:T$111)*AK$2</f>
        <v>0</v>
      </c>
      <c r="AL1385" s="88">
        <f>SUMIF(月間集計シート!$M$113:$M$132,$G1385,月間集計シート!N$113:N$132)*AL$2</f>
        <v>0</v>
      </c>
      <c r="AM1385" s="88">
        <f>SUMIF(月間集計シート!$M$113:$M$132,$G1385,月間集計シート!O$113:O$132)*AM$2</f>
        <v>0</v>
      </c>
      <c r="AN1385" s="88">
        <f>SUMIF(月間集計シート!$M$113:$M$132,$G1385,月間集計シート!P$113:P$132)*AN$2</f>
        <v>0</v>
      </c>
      <c r="AO1385" s="88">
        <f>SUMIF(月間集計シート!$M$113:$M$132,$G1385,月間集計シート!Q$113:Q$132)*AO$2</f>
        <v>0</v>
      </c>
      <c r="AP1385" s="88">
        <f>SUMIF(月間集計シート!$M$113:$M$132,$G1385,月間集計シート!R$113:R$132)*AP$2</f>
        <v>0</v>
      </c>
      <c r="AQ1385" s="88">
        <f>SUMIF(月間集計シート!$M$113:$M$132,$G1385,月間集計シート!S$113:S$132)*AQ$2</f>
        <v>0</v>
      </c>
      <c r="AR1385" s="88">
        <f>SUMIF(月間集計シート!$M$113:$M$132,$G1385,月間集計シート!T$113:T$132)*AR$2</f>
        <v>0</v>
      </c>
      <c r="AS1385" s="88">
        <f>SUMIF(月間集計シート!$M$134:$M$153,$G1385,月間集計シート!N$134:N$153)*AS$2</f>
        <v>0</v>
      </c>
      <c r="AT1385" s="88">
        <f>SUMIF(月間集計シート!$M$134:$M$153,$G1385,月間集計シート!O$134:O$153)*AT$2</f>
        <v>0</v>
      </c>
      <c r="AU1385" s="88">
        <f>SUMIF(月間集計シート!$M$134:$M$153,$G1385,月間集計シート!P$134:P$153)*AU$2</f>
        <v>0</v>
      </c>
      <c r="AV1385" s="88">
        <f>SUMIF(月間集計シート!$M$134:$M$153,$G1385,月間集計シート!Q$134:Q$153)*AV$2</f>
        <v>0</v>
      </c>
      <c r="AW1385" s="88">
        <f>SUMIF(月間集計シート!$M$134:$M$153,$G1385,月間集計シート!R$134:R$153)*AW$2</f>
        <v>0</v>
      </c>
      <c r="AX1385" s="88">
        <f>SUMIF(月間集計シート!$M$134:$M$153,$G1385,月間集計シート!S$134:S$153)*AX$2</f>
        <v>0</v>
      </c>
      <c r="AY1385" s="88">
        <f>SUMIF(月間集計シート!$M$134:$M$153,$G1385,月間集計シート!T$134:T$153)*AY$2</f>
        <v>0</v>
      </c>
    </row>
    <row r="1386" spans="1:51" ht="14.25" thickBot="1">
      <c r="A1386">
        <v>17</v>
      </c>
      <c r="B1386" s="120">
        <f t="shared" si="782"/>
        <v>0</v>
      </c>
      <c r="C1386" s="120" t="str">
        <f t="shared" si="783"/>
        <v/>
      </c>
      <c r="D1386" s="137"/>
      <c r="E1386" s="150" t="str">
        <f>工種!A18</f>
        <v>30104</v>
      </c>
      <c r="F1386" s="119" t="str">
        <f>工種!B18</f>
        <v>製造：単体テスト実施</v>
      </c>
      <c r="G1386" s="116" t="str">
        <f t="shared" si="731"/>
        <v>030104</v>
      </c>
      <c r="H1386" s="88">
        <f t="shared" si="738"/>
        <v>0</v>
      </c>
      <c r="I1386" s="132"/>
      <c r="J1386" s="88">
        <f>SUMIF(月間集計シート!$M$29:$M$48,$G1386,月間集計シート!N$29:N$48)*J$2</f>
        <v>0</v>
      </c>
      <c r="K1386" s="88">
        <f>SUMIF(月間集計シート!$M$29:$M$48,$G1386,月間集計シート!O$29:O$48)*K$2</f>
        <v>0</v>
      </c>
      <c r="L1386" s="88">
        <f>SUMIF(月間集計シート!$M$29:$M$48,$G1386,月間集計シート!P$29:P$48)*L$2</f>
        <v>0</v>
      </c>
      <c r="M1386" s="88">
        <f>SUMIF(月間集計シート!$M$29:$M$48,$G1386,月間集計シート!Q$29:Q$48)*M$2</f>
        <v>0</v>
      </c>
      <c r="N1386" s="88">
        <f>SUMIF(月間集計シート!$M$29:$M$48,$G1386,月間集計シート!R$29:R$48)*N$2</f>
        <v>0</v>
      </c>
      <c r="O1386" s="88">
        <f>SUMIF(月間集計シート!$M$29:$M$48,$G1386,月間集計シート!S$29:S$48)*O$2</f>
        <v>0</v>
      </c>
      <c r="P1386" s="88">
        <f>SUMIF(月間集計シート!$M$29:$M$48,$G1386,月間集計シート!T$29:T$48)*P$2</f>
        <v>0</v>
      </c>
      <c r="Q1386" s="88">
        <f>SUMIF(月間集計シート!$M$50:$M$69,$G1386,月間集計シート!N$50:N$69)*Q$2</f>
        <v>0</v>
      </c>
      <c r="R1386" s="88">
        <f>SUMIF(月間集計シート!$M$50:$M$69,$G1386,月間集計シート!O$50:O$69)*R$2</f>
        <v>0</v>
      </c>
      <c r="S1386" s="88">
        <f>SUMIF(月間集計シート!$M$50:$M$69,$G1386,月間集計シート!P$50:P$69)*S$2</f>
        <v>0</v>
      </c>
      <c r="T1386" s="88">
        <f>SUMIF(月間集計シート!$M$50:$M$69,$G1386,月間集計シート!Q$50:Q$69)*T$2</f>
        <v>0</v>
      </c>
      <c r="U1386" s="88">
        <f>SUMIF(月間集計シート!$M$50:$M$69,$G1386,月間集計シート!R$50:R$69)*U$2</f>
        <v>0</v>
      </c>
      <c r="V1386" s="88">
        <f>SUMIF(月間集計シート!$M$50:$M$69,$G1386,月間集計シート!S$50:S$69)*V$2</f>
        <v>0</v>
      </c>
      <c r="W1386" s="88">
        <f>SUMIF(月間集計シート!$M$50:$M$69,$G1386,月間集計シート!T$50:T$69)*W$2</f>
        <v>0</v>
      </c>
      <c r="X1386" s="88">
        <f>SUMIF(月間集計シート!$M$71:$M$90,$G1386,月間集計シート!N$71:N$90)*X$2</f>
        <v>0</v>
      </c>
      <c r="Y1386" s="88">
        <f>SUMIF(月間集計シート!$M$71:$M$90,$G1386,月間集計シート!O$71:O$90)*Y$2</f>
        <v>0</v>
      </c>
      <c r="Z1386" s="88">
        <f>SUMIF(月間集計シート!$M$71:$M$90,$G1386,月間集計シート!P$71:P$90)*Z$2</f>
        <v>0</v>
      </c>
      <c r="AA1386" s="88">
        <f>SUMIF(月間集計シート!$M$71:$M$90,$G1386,月間集計シート!Q$71:Q$90)*AA$2</f>
        <v>0</v>
      </c>
      <c r="AB1386" s="88">
        <f>SUMIF(月間集計シート!$M$71:$M$90,$G1386,月間集計シート!R$71:R$90)*AB$2</f>
        <v>0</v>
      </c>
      <c r="AC1386" s="88">
        <f>SUMIF(月間集計シート!$M$71:$M$90,$G1386,月間集計シート!S$71:S$90)*AC$2</f>
        <v>0</v>
      </c>
      <c r="AD1386" s="88">
        <f>SUMIF(月間集計シート!$M$71:$M$90,$G1386,月間集計シート!T$71:T$90)*AD$2</f>
        <v>0</v>
      </c>
      <c r="AE1386" s="88">
        <f>SUMIF(月間集計シート!$M$92:$M$111,$G1386,月間集計シート!N$92:N$111)*AE$2</f>
        <v>0</v>
      </c>
      <c r="AF1386" s="88">
        <f>SUMIF(月間集計シート!$M$92:$M$111,$G1386,月間集計シート!O$92:O$111)*AF$2</f>
        <v>0</v>
      </c>
      <c r="AG1386" s="88">
        <f>SUMIF(月間集計シート!$M$92:$M$111,$G1386,月間集計シート!P$92:P$111)*AG$2</f>
        <v>0</v>
      </c>
      <c r="AH1386" s="88">
        <f>SUMIF(月間集計シート!$M$92:$M$111,$G1386,月間集計シート!Q$92:Q$111)*AH$2</f>
        <v>0</v>
      </c>
      <c r="AI1386" s="88">
        <f>SUMIF(月間集計シート!$M$92:$M$111,$G1386,月間集計シート!R$92:R$111)*AI$2</f>
        <v>0</v>
      </c>
      <c r="AJ1386" s="88">
        <f>SUMIF(月間集計シート!$M$92:$M$111,$G1386,月間集計シート!S$92:S$111)*AJ$2</f>
        <v>0</v>
      </c>
      <c r="AK1386" s="88">
        <f>SUMIF(月間集計シート!$M$92:$M$111,$G1386,月間集計シート!T$92:T$111)*AK$2</f>
        <v>0</v>
      </c>
      <c r="AL1386" s="88">
        <f>SUMIF(月間集計シート!$M$113:$M$132,$G1386,月間集計シート!N$113:N$132)*AL$2</f>
        <v>0</v>
      </c>
      <c r="AM1386" s="88">
        <f>SUMIF(月間集計シート!$M$113:$M$132,$G1386,月間集計シート!O$113:O$132)*AM$2</f>
        <v>0</v>
      </c>
      <c r="AN1386" s="88">
        <f>SUMIF(月間集計シート!$M$113:$M$132,$G1386,月間集計シート!P$113:P$132)*AN$2</f>
        <v>0</v>
      </c>
      <c r="AO1386" s="88">
        <f>SUMIF(月間集計シート!$M$113:$M$132,$G1386,月間集計シート!Q$113:Q$132)*AO$2</f>
        <v>0</v>
      </c>
      <c r="AP1386" s="88">
        <f>SUMIF(月間集計シート!$M$113:$M$132,$G1386,月間集計シート!R$113:R$132)*AP$2</f>
        <v>0</v>
      </c>
      <c r="AQ1386" s="88">
        <f>SUMIF(月間集計シート!$M$113:$M$132,$G1386,月間集計シート!S$113:S$132)*AQ$2</f>
        <v>0</v>
      </c>
      <c r="AR1386" s="88">
        <f>SUMIF(月間集計シート!$M$113:$M$132,$G1386,月間集計シート!T$113:T$132)*AR$2</f>
        <v>0</v>
      </c>
      <c r="AS1386" s="88">
        <f>SUMIF(月間集計シート!$M$134:$M$153,$G1386,月間集計シート!N$134:N$153)*AS$2</f>
        <v>0</v>
      </c>
      <c r="AT1386" s="88">
        <f>SUMIF(月間集計シート!$M$134:$M$153,$G1386,月間集計シート!O$134:O$153)*AT$2</f>
        <v>0</v>
      </c>
      <c r="AU1386" s="88">
        <f>SUMIF(月間集計シート!$M$134:$M$153,$G1386,月間集計シート!P$134:P$153)*AU$2</f>
        <v>0</v>
      </c>
      <c r="AV1386" s="88">
        <f>SUMIF(月間集計シート!$M$134:$M$153,$G1386,月間集計シート!Q$134:Q$153)*AV$2</f>
        <v>0</v>
      </c>
      <c r="AW1386" s="88">
        <f>SUMIF(月間集計シート!$M$134:$M$153,$G1386,月間集計シート!R$134:R$153)*AW$2</f>
        <v>0</v>
      </c>
      <c r="AX1386" s="88">
        <f>SUMIF(月間集計シート!$M$134:$M$153,$G1386,月間集計シート!S$134:S$153)*AX$2</f>
        <v>0</v>
      </c>
      <c r="AY1386" s="88">
        <f>SUMIF(月間集計シート!$M$134:$M$153,$G1386,月間集計シート!T$134:T$153)*AY$2</f>
        <v>0</v>
      </c>
    </row>
    <row r="1387" spans="1:51" ht="14.25" thickBot="1">
      <c r="A1387">
        <v>17</v>
      </c>
      <c r="B1387" s="120">
        <f t="shared" si="782"/>
        <v>0</v>
      </c>
      <c r="C1387" s="120" t="str">
        <f t="shared" si="783"/>
        <v/>
      </c>
      <c r="D1387" s="137"/>
      <c r="E1387" s="150" t="str">
        <f>工種!A19</f>
        <v>30105</v>
      </c>
      <c r="F1387" s="119" t="str">
        <f>工種!B19</f>
        <v>製造：打合せ</v>
      </c>
      <c r="G1387" s="116" t="str">
        <f t="shared" ref="G1387:G1472" si="784">B1387&amp;E1387</f>
        <v>030105</v>
      </c>
      <c r="H1387" s="88">
        <f t="shared" si="738"/>
        <v>0</v>
      </c>
      <c r="I1387" s="132"/>
      <c r="J1387" s="88">
        <f>SUMIF(月間集計シート!$M$29:$M$48,$G1387,月間集計シート!N$29:N$48)*J$2</f>
        <v>0</v>
      </c>
      <c r="K1387" s="88">
        <f>SUMIF(月間集計シート!$M$29:$M$48,$G1387,月間集計シート!O$29:O$48)*K$2</f>
        <v>0</v>
      </c>
      <c r="L1387" s="88">
        <f>SUMIF(月間集計シート!$M$29:$M$48,$G1387,月間集計シート!P$29:P$48)*L$2</f>
        <v>0</v>
      </c>
      <c r="M1387" s="88">
        <f>SUMIF(月間集計シート!$M$29:$M$48,$G1387,月間集計シート!Q$29:Q$48)*M$2</f>
        <v>0</v>
      </c>
      <c r="N1387" s="88">
        <f>SUMIF(月間集計シート!$M$29:$M$48,$G1387,月間集計シート!R$29:R$48)*N$2</f>
        <v>0</v>
      </c>
      <c r="O1387" s="88">
        <f>SUMIF(月間集計シート!$M$29:$M$48,$G1387,月間集計シート!S$29:S$48)*O$2</f>
        <v>0</v>
      </c>
      <c r="P1387" s="88">
        <f>SUMIF(月間集計シート!$M$29:$M$48,$G1387,月間集計シート!T$29:T$48)*P$2</f>
        <v>0</v>
      </c>
      <c r="Q1387" s="88">
        <f>SUMIF(月間集計シート!$M$50:$M$69,$G1387,月間集計シート!N$50:N$69)*Q$2</f>
        <v>0</v>
      </c>
      <c r="R1387" s="88">
        <f>SUMIF(月間集計シート!$M$50:$M$69,$G1387,月間集計シート!O$50:O$69)*R$2</f>
        <v>0</v>
      </c>
      <c r="S1387" s="88">
        <f>SUMIF(月間集計シート!$M$50:$M$69,$G1387,月間集計シート!P$50:P$69)*S$2</f>
        <v>0</v>
      </c>
      <c r="T1387" s="88">
        <f>SUMIF(月間集計シート!$M$50:$M$69,$G1387,月間集計シート!Q$50:Q$69)*T$2</f>
        <v>0</v>
      </c>
      <c r="U1387" s="88">
        <f>SUMIF(月間集計シート!$M$50:$M$69,$G1387,月間集計シート!R$50:R$69)*U$2</f>
        <v>0</v>
      </c>
      <c r="V1387" s="88">
        <f>SUMIF(月間集計シート!$M$50:$M$69,$G1387,月間集計シート!S$50:S$69)*V$2</f>
        <v>0</v>
      </c>
      <c r="W1387" s="88">
        <f>SUMIF(月間集計シート!$M$50:$M$69,$G1387,月間集計シート!T$50:T$69)*W$2</f>
        <v>0</v>
      </c>
      <c r="X1387" s="88">
        <f>SUMIF(月間集計シート!$M$71:$M$90,$G1387,月間集計シート!N$71:N$90)*X$2</f>
        <v>0</v>
      </c>
      <c r="Y1387" s="88">
        <f>SUMIF(月間集計シート!$M$71:$M$90,$G1387,月間集計シート!O$71:O$90)*Y$2</f>
        <v>0</v>
      </c>
      <c r="Z1387" s="88">
        <f>SUMIF(月間集計シート!$M$71:$M$90,$G1387,月間集計シート!P$71:P$90)*Z$2</f>
        <v>0</v>
      </c>
      <c r="AA1387" s="88">
        <f>SUMIF(月間集計シート!$M$71:$M$90,$G1387,月間集計シート!Q$71:Q$90)*AA$2</f>
        <v>0</v>
      </c>
      <c r="AB1387" s="88">
        <f>SUMIF(月間集計シート!$M$71:$M$90,$G1387,月間集計シート!R$71:R$90)*AB$2</f>
        <v>0</v>
      </c>
      <c r="AC1387" s="88">
        <f>SUMIF(月間集計シート!$M$71:$M$90,$G1387,月間集計シート!S$71:S$90)*AC$2</f>
        <v>0</v>
      </c>
      <c r="AD1387" s="88">
        <f>SUMIF(月間集計シート!$M$71:$M$90,$G1387,月間集計シート!T$71:T$90)*AD$2</f>
        <v>0</v>
      </c>
      <c r="AE1387" s="88">
        <f>SUMIF(月間集計シート!$M$92:$M$111,$G1387,月間集計シート!N$92:N$111)*AE$2</f>
        <v>0</v>
      </c>
      <c r="AF1387" s="88">
        <f>SUMIF(月間集計シート!$M$92:$M$111,$G1387,月間集計シート!O$92:O$111)*AF$2</f>
        <v>0</v>
      </c>
      <c r="AG1387" s="88">
        <f>SUMIF(月間集計シート!$M$92:$M$111,$G1387,月間集計シート!P$92:P$111)*AG$2</f>
        <v>0</v>
      </c>
      <c r="AH1387" s="88">
        <f>SUMIF(月間集計シート!$M$92:$M$111,$G1387,月間集計シート!Q$92:Q$111)*AH$2</f>
        <v>0</v>
      </c>
      <c r="AI1387" s="88">
        <f>SUMIF(月間集計シート!$M$92:$M$111,$G1387,月間集計シート!R$92:R$111)*AI$2</f>
        <v>0</v>
      </c>
      <c r="AJ1387" s="88">
        <f>SUMIF(月間集計シート!$M$92:$M$111,$G1387,月間集計シート!S$92:S$111)*AJ$2</f>
        <v>0</v>
      </c>
      <c r="AK1387" s="88">
        <f>SUMIF(月間集計シート!$M$92:$M$111,$G1387,月間集計シート!T$92:T$111)*AK$2</f>
        <v>0</v>
      </c>
      <c r="AL1387" s="88">
        <f>SUMIF(月間集計シート!$M$113:$M$132,$G1387,月間集計シート!N$113:N$132)*AL$2</f>
        <v>0</v>
      </c>
      <c r="AM1387" s="88">
        <f>SUMIF(月間集計シート!$M$113:$M$132,$G1387,月間集計シート!O$113:O$132)*AM$2</f>
        <v>0</v>
      </c>
      <c r="AN1387" s="88">
        <f>SUMIF(月間集計シート!$M$113:$M$132,$G1387,月間集計シート!P$113:P$132)*AN$2</f>
        <v>0</v>
      </c>
      <c r="AO1387" s="88">
        <f>SUMIF(月間集計シート!$M$113:$M$132,$G1387,月間集計シート!Q$113:Q$132)*AO$2</f>
        <v>0</v>
      </c>
      <c r="AP1387" s="88">
        <f>SUMIF(月間集計シート!$M$113:$M$132,$G1387,月間集計シート!R$113:R$132)*AP$2</f>
        <v>0</v>
      </c>
      <c r="AQ1387" s="88">
        <f>SUMIF(月間集計シート!$M$113:$M$132,$G1387,月間集計シート!S$113:S$132)*AQ$2</f>
        <v>0</v>
      </c>
      <c r="AR1387" s="88">
        <f>SUMIF(月間集計シート!$M$113:$M$132,$G1387,月間集計シート!T$113:T$132)*AR$2</f>
        <v>0</v>
      </c>
      <c r="AS1387" s="88">
        <f>SUMIF(月間集計シート!$M$134:$M$153,$G1387,月間集計シート!N$134:N$153)*AS$2</f>
        <v>0</v>
      </c>
      <c r="AT1387" s="88">
        <f>SUMIF(月間集計シート!$M$134:$M$153,$G1387,月間集計シート!O$134:O$153)*AT$2</f>
        <v>0</v>
      </c>
      <c r="AU1387" s="88">
        <f>SUMIF(月間集計シート!$M$134:$M$153,$G1387,月間集計シート!P$134:P$153)*AU$2</f>
        <v>0</v>
      </c>
      <c r="AV1387" s="88">
        <f>SUMIF(月間集計シート!$M$134:$M$153,$G1387,月間集計シート!Q$134:Q$153)*AV$2</f>
        <v>0</v>
      </c>
      <c r="AW1387" s="88">
        <f>SUMIF(月間集計シート!$M$134:$M$153,$G1387,月間集計シート!R$134:R$153)*AW$2</f>
        <v>0</v>
      </c>
      <c r="AX1387" s="88">
        <f>SUMIF(月間集計シート!$M$134:$M$153,$G1387,月間集計シート!S$134:S$153)*AX$2</f>
        <v>0</v>
      </c>
      <c r="AY1387" s="88">
        <f>SUMIF(月間集計シート!$M$134:$M$153,$G1387,月間集計シート!T$134:T$153)*AY$2</f>
        <v>0</v>
      </c>
    </row>
    <row r="1388" spans="1:51" ht="14.25" thickBot="1">
      <c r="A1388">
        <v>17</v>
      </c>
      <c r="B1388" s="120">
        <f t="shared" si="782"/>
        <v>0</v>
      </c>
      <c r="C1388" s="120" t="str">
        <f t="shared" si="783"/>
        <v/>
      </c>
      <c r="D1388" s="137"/>
      <c r="E1388" s="150" t="str">
        <f>工種!A20</f>
        <v>30106</v>
      </c>
      <c r="F1388" s="119" t="str">
        <f>工種!B20</f>
        <v>製造：PG修正（手戻り分）</v>
      </c>
      <c r="G1388" s="116" t="str">
        <f t="shared" si="784"/>
        <v>030106</v>
      </c>
      <c r="H1388" s="88">
        <f t="shared" si="738"/>
        <v>0</v>
      </c>
      <c r="I1388" s="132"/>
      <c r="J1388" s="88">
        <f>SUMIF(月間集計シート!$M$29:$M$48,$G1388,月間集計シート!N$29:N$48)*J$2</f>
        <v>0</v>
      </c>
      <c r="K1388" s="88">
        <f>SUMIF(月間集計シート!$M$29:$M$48,$G1388,月間集計シート!O$29:O$48)*K$2</f>
        <v>0</v>
      </c>
      <c r="L1388" s="88">
        <f>SUMIF(月間集計シート!$M$29:$M$48,$G1388,月間集計シート!P$29:P$48)*L$2</f>
        <v>0</v>
      </c>
      <c r="M1388" s="88">
        <f>SUMIF(月間集計シート!$M$29:$M$48,$G1388,月間集計シート!Q$29:Q$48)*M$2</f>
        <v>0</v>
      </c>
      <c r="N1388" s="88">
        <f>SUMIF(月間集計シート!$M$29:$M$48,$G1388,月間集計シート!R$29:R$48)*N$2</f>
        <v>0</v>
      </c>
      <c r="O1388" s="88">
        <f>SUMIF(月間集計シート!$M$29:$M$48,$G1388,月間集計シート!S$29:S$48)*O$2</f>
        <v>0</v>
      </c>
      <c r="P1388" s="88">
        <f>SUMIF(月間集計シート!$M$29:$M$48,$G1388,月間集計シート!T$29:T$48)*P$2</f>
        <v>0</v>
      </c>
      <c r="Q1388" s="88">
        <f>SUMIF(月間集計シート!$M$50:$M$69,$G1388,月間集計シート!N$50:N$69)*Q$2</f>
        <v>0</v>
      </c>
      <c r="R1388" s="88">
        <f>SUMIF(月間集計シート!$M$50:$M$69,$G1388,月間集計シート!O$50:O$69)*R$2</f>
        <v>0</v>
      </c>
      <c r="S1388" s="88">
        <f>SUMIF(月間集計シート!$M$50:$M$69,$G1388,月間集計シート!P$50:P$69)*S$2</f>
        <v>0</v>
      </c>
      <c r="T1388" s="88">
        <f>SUMIF(月間集計シート!$M$50:$M$69,$G1388,月間集計シート!Q$50:Q$69)*T$2</f>
        <v>0</v>
      </c>
      <c r="U1388" s="88">
        <f>SUMIF(月間集計シート!$M$50:$M$69,$G1388,月間集計シート!R$50:R$69)*U$2</f>
        <v>0</v>
      </c>
      <c r="V1388" s="88">
        <f>SUMIF(月間集計シート!$M$50:$M$69,$G1388,月間集計シート!S$50:S$69)*V$2</f>
        <v>0</v>
      </c>
      <c r="W1388" s="88">
        <f>SUMIF(月間集計シート!$M$50:$M$69,$G1388,月間集計シート!T$50:T$69)*W$2</f>
        <v>0</v>
      </c>
      <c r="X1388" s="88">
        <f>SUMIF(月間集計シート!$M$71:$M$90,$G1388,月間集計シート!N$71:N$90)*X$2</f>
        <v>0</v>
      </c>
      <c r="Y1388" s="88">
        <f>SUMIF(月間集計シート!$M$71:$M$90,$G1388,月間集計シート!O$71:O$90)*Y$2</f>
        <v>0</v>
      </c>
      <c r="Z1388" s="88">
        <f>SUMIF(月間集計シート!$M$71:$M$90,$G1388,月間集計シート!P$71:P$90)*Z$2</f>
        <v>0</v>
      </c>
      <c r="AA1388" s="88">
        <f>SUMIF(月間集計シート!$M$71:$M$90,$G1388,月間集計シート!Q$71:Q$90)*AA$2</f>
        <v>0</v>
      </c>
      <c r="AB1388" s="88">
        <f>SUMIF(月間集計シート!$M$71:$M$90,$G1388,月間集計シート!R$71:R$90)*AB$2</f>
        <v>0</v>
      </c>
      <c r="AC1388" s="88">
        <f>SUMIF(月間集計シート!$M$71:$M$90,$G1388,月間集計シート!S$71:S$90)*AC$2</f>
        <v>0</v>
      </c>
      <c r="AD1388" s="88">
        <f>SUMIF(月間集計シート!$M$71:$M$90,$G1388,月間集計シート!T$71:T$90)*AD$2</f>
        <v>0</v>
      </c>
      <c r="AE1388" s="88">
        <f>SUMIF(月間集計シート!$M$92:$M$111,$G1388,月間集計シート!N$92:N$111)*AE$2</f>
        <v>0</v>
      </c>
      <c r="AF1388" s="88">
        <f>SUMIF(月間集計シート!$M$92:$M$111,$G1388,月間集計シート!O$92:O$111)*AF$2</f>
        <v>0</v>
      </c>
      <c r="AG1388" s="88">
        <f>SUMIF(月間集計シート!$M$92:$M$111,$G1388,月間集計シート!P$92:P$111)*AG$2</f>
        <v>0</v>
      </c>
      <c r="AH1388" s="88">
        <f>SUMIF(月間集計シート!$M$92:$M$111,$G1388,月間集計シート!Q$92:Q$111)*AH$2</f>
        <v>0</v>
      </c>
      <c r="AI1388" s="88">
        <f>SUMIF(月間集計シート!$M$92:$M$111,$G1388,月間集計シート!R$92:R$111)*AI$2</f>
        <v>0</v>
      </c>
      <c r="AJ1388" s="88">
        <f>SUMIF(月間集計シート!$M$92:$M$111,$G1388,月間集計シート!S$92:S$111)*AJ$2</f>
        <v>0</v>
      </c>
      <c r="AK1388" s="88">
        <f>SUMIF(月間集計シート!$M$92:$M$111,$G1388,月間集計シート!T$92:T$111)*AK$2</f>
        <v>0</v>
      </c>
      <c r="AL1388" s="88">
        <f>SUMIF(月間集計シート!$M$113:$M$132,$G1388,月間集計シート!N$113:N$132)*AL$2</f>
        <v>0</v>
      </c>
      <c r="AM1388" s="88">
        <f>SUMIF(月間集計シート!$M$113:$M$132,$G1388,月間集計シート!O$113:O$132)*AM$2</f>
        <v>0</v>
      </c>
      <c r="AN1388" s="88">
        <f>SUMIF(月間集計シート!$M$113:$M$132,$G1388,月間集計シート!P$113:P$132)*AN$2</f>
        <v>0</v>
      </c>
      <c r="AO1388" s="88">
        <f>SUMIF(月間集計シート!$M$113:$M$132,$G1388,月間集計シート!Q$113:Q$132)*AO$2</f>
        <v>0</v>
      </c>
      <c r="AP1388" s="88">
        <f>SUMIF(月間集計シート!$M$113:$M$132,$G1388,月間集計シート!R$113:R$132)*AP$2</f>
        <v>0</v>
      </c>
      <c r="AQ1388" s="88">
        <f>SUMIF(月間集計シート!$M$113:$M$132,$G1388,月間集計シート!S$113:S$132)*AQ$2</f>
        <v>0</v>
      </c>
      <c r="AR1388" s="88">
        <f>SUMIF(月間集計シート!$M$113:$M$132,$G1388,月間集計シート!T$113:T$132)*AR$2</f>
        <v>0</v>
      </c>
      <c r="AS1388" s="88">
        <f>SUMIF(月間集計シート!$M$134:$M$153,$G1388,月間集計シート!N$134:N$153)*AS$2</f>
        <v>0</v>
      </c>
      <c r="AT1388" s="88">
        <f>SUMIF(月間集計シート!$M$134:$M$153,$G1388,月間集計シート!O$134:O$153)*AT$2</f>
        <v>0</v>
      </c>
      <c r="AU1388" s="88">
        <f>SUMIF(月間集計シート!$M$134:$M$153,$G1388,月間集計シート!P$134:P$153)*AU$2</f>
        <v>0</v>
      </c>
      <c r="AV1388" s="88">
        <f>SUMIF(月間集計シート!$M$134:$M$153,$G1388,月間集計シート!Q$134:Q$153)*AV$2</f>
        <v>0</v>
      </c>
      <c r="AW1388" s="88">
        <f>SUMIF(月間集計シート!$M$134:$M$153,$G1388,月間集計シート!R$134:R$153)*AW$2</f>
        <v>0</v>
      </c>
      <c r="AX1388" s="88">
        <f>SUMIF(月間集計シート!$M$134:$M$153,$G1388,月間集計シート!S$134:S$153)*AX$2</f>
        <v>0</v>
      </c>
      <c r="AY1388" s="88">
        <f>SUMIF(月間集計シート!$M$134:$M$153,$G1388,月間集計シート!T$134:T$153)*AY$2</f>
        <v>0</v>
      </c>
    </row>
    <row r="1389" spans="1:51" ht="14.25" thickBot="1">
      <c r="A1389">
        <v>17</v>
      </c>
      <c r="B1389" s="120">
        <f t="shared" si="782"/>
        <v>0</v>
      </c>
      <c r="C1389" s="120" t="str">
        <f t="shared" si="783"/>
        <v/>
      </c>
      <c r="D1389" s="137"/>
      <c r="E1389" s="150" t="str">
        <f>工種!A21</f>
        <v>30109</v>
      </c>
      <c r="F1389" s="119" t="str">
        <f>工種!B21</f>
        <v>製造：レビュー</v>
      </c>
      <c r="G1389" s="116" t="str">
        <f t="shared" si="784"/>
        <v>030109</v>
      </c>
      <c r="H1389" s="88">
        <f t="shared" si="738"/>
        <v>0</v>
      </c>
      <c r="I1389" s="132"/>
      <c r="J1389" s="88">
        <f>SUMIF(月間集計シート!$M$29:$M$48,$G1389,月間集計シート!N$29:N$48)*J$2</f>
        <v>0</v>
      </c>
      <c r="K1389" s="88">
        <f>SUMIF(月間集計シート!$M$29:$M$48,$G1389,月間集計シート!O$29:O$48)*K$2</f>
        <v>0</v>
      </c>
      <c r="L1389" s="88">
        <f>SUMIF(月間集計シート!$M$29:$M$48,$G1389,月間集計シート!P$29:P$48)*L$2</f>
        <v>0</v>
      </c>
      <c r="M1389" s="88">
        <f>SUMIF(月間集計シート!$M$29:$M$48,$G1389,月間集計シート!Q$29:Q$48)*M$2</f>
        <v>0</v>
      </c>
      <c r="N1389" s="88">
        <f>SUMIF(月間集計シート!$M$29:$M$48,$G1389,月間集計シート!R$29:R$48)*N$2</f>
        <v>0</v>
      </c>
      <c r="O1389" s="88">
        <f>SUMIF(月間集計シート!$M$29:$M$48,$G1389,月間集計シート!S$29:S$48)*O$2</f>
        <v>0</v>
      </c>
      <c r="P1389" s="88">
        <f>SUMIF(月間集計シート!$M$29:$M$48,$G1389,月間集計シート!T$29:T$48)*P$2</f>
        <v>0</v>
      </c>
      <c r="Q1389" s="88">
        <f>SUMIF(月間集計シート!$M$50:$M$69,$G1389,月間集計シート!N$50:N$69)*Q$2</f>
        <v>0</v>
      </c>
      <c r="R1389" s="88">
        <f>SUMIF(月間集計シート!$M$50:$M$69,$G1389,月間集計シート!O$50:O$69)*R$2</f>
        <v>0</v>
      </c>
      <c r="S1389" s="88">
        <f>SUMIF(月間集計シート!$M$50:$M$69,$G1389,月間集計シート!P$50:P$69)*S$2</f>
        <v>0</v>
      </c>
      <c r="T1389" s="88">
        <f>SUMIF(月間集計シート!$M$50:$M$69,$G1389,月間集計シート!Q$50:Q$69)*T$2</f>
        <v>0</v>
      </c>
      <c r="U1389" s="88">
        <f>SUMIF(月間集計シート!$M$50:$M$69,$G1389,月間集計シート!R$50:R$69)*U$2</f>
        <v>0</v>
      </c>
      <c r="V1389" s="88">
        <f>SUMIF(月間集計シート!$M$50:$M$69,$G1389,月間集計シート!S$50:S$69)*V$2</f>
        <v>0</v>
      </c>
      <c r="W1389" s="88">
        <f>SUMIF(月間集計シート!$M$50:$M$69,$G1389,月間集計シート!T$50:T$69)*W$2</f>
        <v>0</v>
      </c>
      <c r="X1389" s="88">
        <f>SUMIF(月間集計シート!$M$71:$M$90,$G1389,月間集計シート!N$71:N$90)*X$2</f>
        <v>0</v>
      </c>
      <c r="Y1389" s="88">
        <f>SUMIF(月間集計シート!$M$71:$M$90,$G1389,月間集計シート!O$71:O$90)*Y$2</f>
        <v>0</v>
      </c>
      <c r="Z1389" s="88">
        <f>SUMIF(月間集計シート!$M$71:$M$90,$G1389,月間集計シート!P$71:P$90)*Z$2</f>
        <v>0</v>
      </c>
      <c r="AA1389" s="88">
        <f>SUMIF(月間集計シート!$M$71:$M$90,$G1389,月間集計シート!Q$71:Q$90)*AA$2</f>
        <v>0</v>
      </c>
      <c r="AB1389" s="88">
        <f>SUMIF(月間集計シート!$M$71:$M$90,$G1389,月間集計シート!R$71:R$90)*AB$2</f>
        <v>0</v>
      </c>
      <c r="AC1389" s="88">
        <f>SUMIF(月間集計シート!$M$71:$M$90,$G1389,月間集計シート!S$71:S$90)*AC$2</f>
        <v>0</v>
      </c>
      <c r="AD1389" s="88">
        <f>SUMIF(月間集計シート!$M$71:$M$90,$G1389,月間集計シート!T$71:T$90)*AD$2</f>
        <v>0</v>
      </c>
      <c r="AE1389" s="88">
        <f>SUMIF(月間集計シート!$M$92:$M$111,$G1389,月間集計シート!N$92:N$111)*AE$2</f>
        <v>0</v>
      </c>
      <c r="AF1389" s="88">
        <f>SUMIF(月間集計シート!$M$92:$M$111,$G1389,月間集計シート!O$92:O$111)*AF$2</f>
        <v>0</v>
      </c>
      <c r="AG1389" s="88">
        <f>SUMIF(月間集計シート!$M$92:$M$111,$G1389,月間集計シート!P$92:P$111)*AG$2</f>
        <v>0</v>
      </c>
      <c r="AH1389" s="88">
        <f>SUMIF(月間集計シート!$M$92:$M$111,$G1389,月間集計シート!Q$92:Q$111)*AH$2</f>
        <v>0</v>
      </c>
      <c r="AI1389" s="88">
        <f>SUMIF(月間集計シート!$M$92:$M$111,$G1389,月間集計シート!R$92:R$111)*AI$2</f>
        <v>0</v>
      </c>
      <c r="AJ1389" s="88">
        <f>SUMIF(月間集計シート!$M$92:$M$111,$G1389,月間集計シート!S$92:S$111)*AJ$2</f>
        <v>0</v>
      </c>
      <c r="AK1389" s="88">
        <f>SUMIF(月間集計シート!$M$92:$M$111,$G1389,月間集計シート!T$92:T$111)*AK$2</f>
        <v>0</v>
      </c>
      <c r="AL1389" s="88">
        <f>SUMIF(月間集計シート!$M$113:$M$132,$G1389,月間集計シート!N$113:N$132)*AL$2</f>
        <v>0</v>
      </c>
      <c r="AM1389" s="88">
        <f>SUMIF(月間集計シート!$M$113:$M$132,$G1389,月間集計シート!O$113:O$132)*AM$2</f>
        <v>0</v>
      </c>
      <c r="AN1389" s="88">
        <f>SUMIF(月間集計シート!$M$113:$M$132,$G1389,月間集計シート!P$113:P$132)*AN$2</f>
        <v>0</v>
      </c>
      <c r="AO1389" s="88">
        <f>SUMIF(月間集計シート!$M$113:$M$132,$G1389,月間集計シート!Q$113:Q$132)*AO$2</f>
        <v>0</v>
      </c>
      <c r="AP1389" s="88">
        <f>SUMIF(月間集計シート!$M$113:$M$132,$G1389,月間集計シート!R$113:R$132)*AP$2</f>
        <v>0</v>
      </c>
      <c r="AQ1389" s="88">
        <f>SUMIF(月間集計シート!$M$113:$M$132,$G1389,月間集計シート!S$113:S$132)*AQ$2</f>
        <v>0</v>
      </c>
      <c r="AR1389" s="88">
        <f>SUMIF(月間集計シート!$M$113:$M$132,$G1389,月間集計シート!T$113:T$132)*AR$2</f>
        <v>0</v>
      </c>
      <c r="AS1389" s="88">
        <f>SUMIF(月間集計シート!$M$134:$M$153,$G1389,月間集計シート!N$134:N$153)*AS$2</f>
        <v>0</v>
      </c>
      <c r="AT1389" s="88">
        <f>SUMIF(月間集計シート!$M$134:$M$153,$G1389,月間集計シート!O$134:O$153)*AT$2</f>
        <v>0</v>
      </c>
      <c r="AU1389" s="88">
        <f>SUMIF(月間集計シート!$M$134:$M$153,$G1389,月間集計シート!P$134:P$153)*AU$2</f>
        <v>0</v>
      </c>
      <c r="AV1389" s="88">
        <f>SUMIF(月間集計シート!$M$134:$M$153,$G1389,月間集計シート!Q$134:Q$153)*AV$2</f>
        <v>0</v>
      </c>
      <c r="AW1389" s="88">
        <f>SUMIF(月間集計シート!$M$134:$M$153,$G1389,月間集計シート!R$134:R$153)*AW$2</f>
        <v>0</v>
      </c>
      <c r="AX1389" s="88">
        <f>SUMIF(月間集計シート!$M$134:$M$153,$G1389,月間集計シート!S$134:S$153)*AX$2</f>
        <v>0</v>
      </c>
      <c r="AY1389" s="88">
        <f>SUMIF(月間集計シート!$M$134:$M$153,$G1389,月間集計シート!T$134:T$153)*AY$2</f>
        <v>0</v>
      </c>
    </row>
    <row r="1390" spans="1:51" ht="14.25" thickBot="1">
      <c r="A1390">
        <v>17</v>
      </c>
      <c r="B1390" s="120">
        <f t="shared" si="782"/>
        <v>0</v>
      </c>
      <c r="C1390" s="120" t="str">
        <f t="shared" si="783"/>
        <v/>
      </c>
      <c r="D1390" s="137"/>
      <c r="E1390" s="150" t="str">
        <f>工種!A22</f>
        <v>30199</v>
      </c>
      <c r="F1390" s="119" t="str">
        <f>工種!B22</f>
        <v>製造：その他</v>
      </c>
      <c r="G1390" s="116" t="str">
        <f t="shared" si="784"/>
        <v>030199</v>
      </c>
      <c r="H1390" s="88">
        <f t="shared" si="738"/>
        <v>0</v>
      </c>
      <c r="I1390" s="132"/>
      <c r="J1390" s="88">
        <f>SUMIF(月間集計シート!$M$29:$M$48,$G1390,月間集計シート!N$29:N$48)*J$2</f>
        <v>0</v>
      </c>
      <c r="K1390" s="88">
        <f>SUMIF(月間集計シート!$M$29:$M$48,$G1390,月間集計シート!O$29:O$48)*K$2</f>
        <v>0</v>
      </c>
      <c r="L1390" s="88">
        <f>SUMIF(月間集計シート!$M$29:$M$48,$G1390,月間集計シート!P$29:P$48)*L$2</f>
        <v>0</v>
      </c>
      <c r="M1390" s="88">
        <f>SUMIF(月間集計シート!$M$29:$M$48,$G1390,月間集計シート!Q$29:Q$48)*M$2</f>
        <v>0</v>
      </c>
      <c r="N1390" s="88">
        <f>SUMIF(月間集計シート!$M$29:$M$48,$G1390,月間集計シート!R$29:R$48)*N$2</f>
        <v>0</v>
      </c>
      <c r="O1390" s="88">
        <f>SUMIF(月間集計シート!$M$29:$M$48,$G1390,月間集計シート!S$29:S$48)*O$2</f>
        <v>0</v>
      </c>
      <c r="P1390" s="88">
        <f>SUMIF(月間集計シート!$M$29:$M$48,$G1390,月間集計シート!T$29:T$48)*P$2</f>
        <v>0</v>
      </c>
      <c r="Q1390" s="88">
        <f>SUMIF(月間集計シート!$M$50:$M$69,$G1390,月間集計シート!N$50:N$69)*Q$2</f>
        <v>0</v>
      </c>
      <c r="R1390" s="88">
        <f>SUMIF(月間集計シート!$M$50:$M$69,$G1390,月間集計シート!O$50:O$69)*R$2</f>
        <v>0</v>
      </c>
      <c r="S1390" s="88">
        <f>SUMIF(月間集計シート!$M$50:$M$69,$G1390,月間集計シート!P$50:P$69)*S$2</f>
        <v>0</v>
      </c>
      <c r="T1390" s="88">
        <f>SUMIF(月間集計シート!$M$50:$M$69,$G1390,月間集計シート!Q$50:Q$69)*T$2</f>
        <v>0</v>
      </c>
      <c r="U1390" s="88">
        <f>SUMIF(月間集計シート!$M$50:$M$69,$G1390,月間集計シート!R$50:R$69)*U$2</f>
        <v>0</v>
      </c>
      <c r="V1390" s="88">
        <f>SUMIF(月間集計シート!$M$50:$M$69,$G1390,月間集計シート!S$50:S$69)*V$2</f>
        <v>0</v>
      </c>
      <c r="W1390" s="88">
        <f>SUMIF(月間集計シート!$M$50:$M$69,$G1390,月間集計シート!T$50:T$69)*W$2</f>
        <v>0</v>
      </c>
      <c r="X1390" s="88">
        <f>SUMIF(月間集計シート!$M$71:$M$90,$G1390,月間集計シート!N$71:N$90)*X$2</f>
        <v>0</v>
      </c>
      <c r="Y1390" s="88">
        <f>SUMIF(月間集計シート!$M$71:$M$90,$G1390,月間集計シート!O$71:O$90)*Y$2</f>
        <v>0</v>
      </c>
      <c r="Z1390" s="88">
        <f>SUMIF(月間集計シート!$M$71:$M$90,$G1390,月間集計シート!P$71:P$90)*Z$2</f>
        <v>0</v>
      </c>
      <c r="AA1390" s="88">
        <f>SUMIF(月間集計シート!$M$71:$M$90,$G1390,月間集計シート!Q$71:Q$90)*AA$2</f>
        <v>0</v>
      </c>
      <c r="AB1390" s="88">
        <f>SUMIF(月間集計シート!$M$71:$M$90,$G1390,月間集計シート!R$71:R$90)*AB$2</f>
        <v>0</v>
      </c>
      <c r="AC1390" s="88">
        <f>SUMIF(月間集計シート!$M$71:$M$90,$G1390,月間集計シート!S$71:S$90)*AC$2</f>
        <v>0</v>
      </c>
      <c r="AD1390" s="88">
        <f>SUMIF(月間集計シート!$M$71:$M$90,$G1390,月間集計シート!T$71:T$90)*AD$2</f>
        <v>0</v>
      </c>
      <c r="AE1390" s="88">
        <f>SUMIF(月間集計シート!$M$92:$M$111,$G1390,月間集計シート!N$92:N$111)*AE$2</f>
        <v>0</v>
      </c>
      <c r="AF1390" s="88">
        <f>SUMIF(月間集計シート!$M$92:$M$111,$G1390,月間集計シート!O$92:O$111)*AF$2</f>
        <v>0</v>
      </c>
      <c r="AG1390" s="88">
        <f>SUMIF(月間集計シート!$M$92:$M$111,$G1390,月間集計シート!P$92:P$111)*AG$2</f>
        <v>0</v>
      </c>
      <c r="AH1390" s="88">
        <f>SUMIF(月間集計シート!$M$92:$M$111,$G1390,月間集計シート!Q$92:Q$111)*AH$2</f>
        <v>0</v>
      </c>
      <c r="AI1390" s="88">
        <f>SUMIF(月間集計シート!$M$92:$M$111,$G1390,月間集計シート!R$92:R$111)*AI$2</f>
        <v>0</v>
      </c>
      <c r="AJ1390" s="88">
        <f>SUMIF(月間集計シート!$M$92:$M$111,$G1390,月間集計シート!S$92:S$111)*AJ$2</f>
        <v>0</v>
      </c>
      <c r="AK1390" s="88">
        <f>SUMIF(月間集計シート!$M$92:$M$111,$G1390,月間集計シート!T$92:T$111)*AK$2</f>
        <v>0</v>
      </c>
      <c r="AL1390" s="88">
        <f>SUMIF(月間集計シート!$M$113:$M$132,$G1390,月間集計シート!N$113:N$132)*AL$2</f>
        <v>0</v>
      </c>
      <c r="AM1390" s="88">
        <f>SUMIF(月間集計シート!$M$113:$M$132,$G1390,月間集計シート!O$113:O$132)*AM$2</f>
        <v>0</v>
      </c>
      <c r="AN1390" s="88">
        <f>SUMIF(月間集計シート!$M$113:$M$132,$G1390,月間集計シート!P$113:P$132)*AN$2</f>
        <v>0</v>
      </c>
      <c r="AO1390" s="88">
        <f>SUMIF(月間集計シート!$M$113:$M$132,$G1390,月間集計シート!Q$113:Q$132)*AO$2</f>
        <v>0</v>
      </c>
      <c r="AP1390" s="88">
        <f>SUMIF(月間集計シート!$M$113:$M$132,$G1390,月間集計シート!R$113:R$132)*AP$2</f>
        <v>0</v>
      </c>
      <c r="AQ1390" s="88">
        <f>SUMIF(月間集計シート!$M$113:$M$132,$G1390,月間集計シート!S$113:S$132)*AQ$2</f>
        <v>0</v>
      </c>
      <c r="AR1390" s="88">
        <f>SUMIF(月間集計シート!$M$113:$M$132,$G1390,月間集計シート!T$113:T$132)*AR$2</f>
        <v>0</v>
      </c>
      <c r="AS1390" s="88">
        <f>SUMIF(月間集計シート!$M$134:$M$153,$G1390,月間集計シート!N$134:N$153)*AS$2</f>
        <v>0</v>
      </c>
      <c r="AT1390" s="88">
        <f>SUMIF(月間集計シート!$M$134:$M$153,$G1390,月間集計シート!O$134:O$153)*AT$2</f>
        <v>0</v>
      </c>
      <c r="AU1390" s="88">
        <f>SUMIF(月間集計シート!$M$134:$M$153,$G1390,月間集計シート!P$134:P$153)*AU$2</f>
        <v>0</v>
      </c>
      <c r="AV1390" s="88">
        <f>SUMIF(月間集計シート!$M$134:$M$153,$G1390,月間集計シート!Q$134:Q$153)*AV$2</f>
        <v>0</v>
      </c>
      <c r="AW1390" s="88">
        <f>SUMIF(月間集計シート!$M$134:$M$153,$G1390,月間集計シート!R$134:R$153)*AW$2</f>
        <v>0</v>
      </c>
      <c r="AX1390" s="88">
        <f>SUMIF(月間集計シート!$M$134:$M$153,$G1390,月間集計シート!S$134:S$153)*AX$2</f>
        <v>0</v>
      </c>
      <c r="AY1390" s="88">
        <f>SUMIF(月間集計シート!$M$134:$M$153,$G1390,月間集計シート!T$134:T$153)*AY$2</f>
        <v>0</v>
      </c>
    </row>
    <row r="1391" spans="1:51" ht="14.25" thickBot="1">
      <c r="A1391">
        <v>17</v>
      </c>
      <c r="B1391" s="120">
        <f t="shared" si="782"/>
        <v>0</v>
      </c>
      <c r="C1391" s="120" t="str">
        <f t="shared" si="783"/>
        <v/>
      </c>
      <c r="D1391" s="137"/>
      <c r="E1391" s="150" t="str">
        <f>工種!A23</f>
        <v>40101</v>
      </c>
      <c r="F1391" s="119" t="str">
        <f>工種!B23</f>
        <v>テスト：結合テスト実施</v>
      </c>
      <c r="G1391" s="116" t="str">
        <f t="shared" si="784"/>
        <v>040101</v>
      </c>
      <c r="H1391" s="88">
        <f t="shared" si="738"/>
        <v>0</v>
      </c>
      <c r="I1391" s="132"/>
      <c r="J1391" s="88">
        <f>SUMIF(月間集計シート!$M$29:$M$48,$G1391,月間集計シート!N$29:N$48)*J$2</f>
        <v>0</v>
      </c>
      <c r="K1391" s="88">
        <f>SUMIF(月間集計シート!$M$29:$M$48,$G1391,月間集計シート!O$29:O$48)*K$2</f>
        <v>0</v>
      </c>
      <c r="L1391" s="88">
        <f>SUMIF(月間集計シート!$M$29:$M$48,$G1391,月間集計シート!P$29:P$48)*L$2</f>
        <v>0</v>
      </c>
      <c r="M1391" s="88">
        <f>SUMIF(月間集計シート!$M$29:$M$48,$G1391,月間集計シート!Q$29:Q$48)*M$2</f>
        <v>0</v>
      </c>
      <c r="N1391" s="88">
        <f>SUMIF(月間集計シート!$M$29:$M$48,$G1391,月間集計シート!R$29:R$48)*N$2</f>
        <v>0</v>
      </c>
      <c r="O1391" s="88">
        <f>SUMIF(月間集計シート!$M$29:$M$48,$G1391,月間集計シート!S$29:S$48)*O$2</f>
        <v>0</v>
      </c>
      <c r="P1391" s="88">
        <f>SUMIF(月間集計シート!$M$29:$M$48,$G1391,月間集計シート!T$29:T$48)*P$2</f>
        <v>0</v>
      </c>
      <c r="Q1391" s="88">
        <f>SUMIF(月間集計シート!$M$50:$M$69,$G1391,月間集計シート!N$50:N$69)*Q$2</f>
        <v>0</v>
      </c>
      <c r="R1391" s="88">
        <f>SUMIF(月間集計シート!$M$50:$M$69,$G1391,月間集計シート!O$50:O$69)*R$2</f>
        <v>0</v>
      </c>
      <c r="S1391" s="88">
        <f>SUMIF(月間集計シート!$M$50:$M$69,$G1391,月間集計シート!P$50:P$69)*S$2</f>
        <v>0</v>
      </c>
      <c r="T1391" s="88">
        <f>SUMIF(月間集計シート!$M$50:$M$69,$G1391,月間集計シート!Q$50:Q$69)*T$2</f>
        <v>0</v>
      </c>
      <c r="U1391" s="88">
        <f>SUMIF(月間集計シート!$M$50:$M$69,$G1391,月間集計シート!R$50:R$69)*U$2</f>
        <v>0</v>
      </c>
      <c r="V1391" s="88">
        <f>SUMIF(月間集計シート!$M$50:$M$69,$G1391,月間集計シート!S$50:S$69)*V$2</f>
        <v>0</v>
      </c>
      <c r="W1391" s="88">
        <f>SUMIF(月間集計シート!$M$50:$M$69,$G1391,月間集計シート!T$50:T$69)*W$2</f>
        <v>0</v>
      </c>
      <c r="X1391" s="88">
        <f>SUMIF(月間集計シート!$M$71:$M$90,$G1391,月間集計シート!N$71:N$90)*X$2</f>
        <v>0</v>
      </c>
      <c r="Y1391" s="88">
        <f>SUMIF(月間集計シート!$M$71:$M$90,$G1391,月間集計シート!O$71:O$90)*Y$2</f>
        <v>0</v>
      </c>
      <c r="Z1391" s="88">
        <f>SUMIF(月間集計シート!$M$71:$M$90,$G1391,月間集計シート!P$71:P$90)*Z$2</f>
        <v>0</v>
      </c>
      <c r="AA1391" s="88">
        <f>SUMIF(月間集計シート!$M$71:$M$90,$G1391,月間集計シート!Q$71:Q$90)*AA$2</f>
        <v>0</v>
      </c>
      <c r="AB1391" s="88">
        <f>SUMIF(月間集計シート!$M$71:$M$90,$G1391,月間集計シート!R$71:R$90)*AB$2</f>
        <v>0</v>
      </c>
      <c r="AC1391" s="88">
        <f>SUMIF(月間集計シート!$M$71:$M$90,$G1391,月間集計シート!S$71:S$90)*AC$2</f>
        <v>0</v>
      </c>
      <c r="AD1391" s="88">
        <f>SUMIF(月間集計シート!$M$71:$M$90,$G1391,月間集計シート!T$71:T$90)*AD$2</f>
        <v>0</v>
      </c>
      <c r="AE1391" s="88">
        <f>SUMIF(月間集計シート!$M$92:$M$111,$G1391,月間集計シート!N$92:N$111)*AE$2</f>
        <v>0</v>
      </c>
      <c r="AF1391" s="88">
        <f>SUMIF(月間集計シート!$M$92:$M$111,$G1391,月間集計シート!O$92:O$111)*AF$2</f>
        <v>0</v>
      </c>
      <c r="AG1391" s="88">
        <f>SUMIF(月間集計シート!$M$92:$M$111,$G1391,月間集計シート!P$92:P$111)*AG$2</f>
        <v>0</v>
      </c>
      <c r="AH1391" s="88">
        <f>SUMIF(月間集計シート!$M$92:$M$111,$G1391,月間集計シート!Q$92:Q$111)*AH$2</f>
        <v>0</v>
      </c>
      <c r="AI1391" s="88">
        <f>SUMIF(月間集計シート!$M$92:$M$111,$G1391,月間集計シート!R$92:R$111)*AI$2</f>
        <v>0</v>
      </c>
      <c r="AJ1391" s="88">
        <f>SUMIF(月間集計シート!$M$92:$M$111,$G1391,月間集計シート!S$92:S$111)*AJ$2</f>
        <v>0</v>
      </c>
      <c r="AK1391" s="88">
        <f>SUMIF(月間集計シート!$M$92:$M$111,$G1391,月間集計シート!T$92:T$111)*AK$2</f>
        <v>0</v>
      </c>
      <c r="AL1391" s="88">
        <f>SUMIF(月間集計シート!$M$113:$M$132,$G1391,月間集計シート!N$113:N$132)*AL$2</f>
        <v>0</v>
      </c>
      <c r="AM1391" s="88">
        <f>SUMIF(月間集計シート!$M$113:$M$132,$G1391,月間集計シート!O$113:O$132)*AM$2</f>
        <v>0</v>
      </c>
      <c r="AN1391" s="88">
        <f>SUMIF(月間集計シート!$M$113:$M$132,$G1391,月間集計シート!P$113:P$132)*AN$2</f>
        <v>0</v>
      </c>
      <c r="AO1391" s="88">
        <f>SUMIF(月間集計シート!$M$113:$M$132,$G1391,月間集計シート!Q$113:Q$132)*AO$2</f>
        <v>0</v>
      </c>
      <c r="AP1391" s="88">
        <f>SUMIF(月間集計シート!$M$113:$M$132,$G1391,月間集計シート!R$113:R$132)*AP$2</f>
        <v>0</v>
      </c>
      <c r="AQ1391" s="88">
        <f>SUMIF(月間集計シート!$M$113:$M$132,$G1391,月間集計シート!S$113:S$132)*AQ$2</f>
        <v>0</v>
      </c>
      <c r="AR1391" s="88">
        <f>SUMIF(月間集計シート!$M$113:$M$132,$G1391,月間集計シート!T$113:T$132)*AR$2</f>
        <v>0</v>
      </c>
      <c r="AS1391" s="88">
        <f>SUMIF(月間集計シート!$M$134:$M$153,$G1391,月間集計シート!N$134:N$153)*AS$2</f>
        <v>0</v>
      </c>
      <c r="AT1391" s="88">
        <f>SUMIF(月間集計シート!$M$134:$M$153,$G1391,月間集計シート!O$134:O$153)*AT$2</f>
        <v>0</v>
      </c>
      <c r="AU1391" s="88">
        <f>SUMIF(月間集計シート!$M$134:$M$153,$G1391,月間集計シート!P$134:P$153)*AU$2</f>
        <v>0</v>
      </c>
      <c r="AV1391" s="88">
        <f>SUMIF(月間集計シート!$M$134:$M$153,$G1391,月間集計シート!Q$134:Q$153)*AV$2</f>
        <v>0</v>
      </c>
      <c r="AW1391" s="88">
        <f>SUMIF(月間集計シート!$M$134:$M$153,$G1391,月間集計シート!R$134:R$153)*AW$2</f>
        <v>0</v>
      </c>
      <c r="AX1391" s="88">
        <f>SUMIF(月間集計シート!$M$134:$M$153,$G1391,月間集計シート!S$134:S$153)*AX$2</f>
        <v>0</v>
      </c>
      <c r="AY1391" s="88">
        <f>SUMIF(月間集計シート!$M$134:$M$153,$G1391,月間集計シート!T$134:T$153)*AY$2</f>
        <v>0</v>
      </c>
    </row>
    <row r="1392" spans="1:51" ht="14.25" thickBot="1">
      <c r="A1392">
        <v>17</v>
      </c>
      <c r="B1392" s="120">
        <f t="shared" si="782"/>
        <v>0</v>
      </c>
      <c r="C1392" s="120" t="str">
        <f t="shared" si="783"/>
        <v/>
      </c>
      <c r="D1392" s="137"/>
      <c r="E1392" s="150" t="str">
        <f>工種!A24</f>
        <v>40102</v>
      </c>
      <c r="F1392" s="119" t="str">
        <f>工種!B24</f>
        <v>テスト：システムテスト実施</v>
      </c>
      <c r="G1392" s="116" t="str">
        <f t="shared" si="784"/>
        <v>040102</v>
      </c>
      <c r="H1392" s="88">
        <f t="shared" si="738"/>
        <v>0</v>
      </c>
      <c r="I1392" s="132"/>
      <c r="J1392" s="88">
        <f>SUMIF(月間集計シート!$M$29:$M$48,$G1392,月間集計シート!N$29:N$48)*J$2</f>
        <v>0</v>
      </c>
      <c r="K1392" s="88">
        <f>SUMIF(月間集計シート!$M$29:$M$48,$G1392,月間集計シート!O$29:O$48)*K$2</f>
        <v>0</v>
      </c>
      <c r="L1392" s="88">
        <f>SUMIF(月間集計シート!$M$29:$M$48,$G1392,月間集計シート!P$29:P$48)*L$2</f>
        <v>0</v>
      </c>
      <c r="M1392" s="88">
        <f>SUMIF(月間集計シート!$M$29:$M$48,$G1392,月間集計シート!Q$29:Q$48)*M$2</f>
        <v>0</v>
      </c>
      <c r="N1392" s="88">
        <f>SUMIF(月間集計シート!$M$29:$M$48,$G1392,月間集計シート!R$29:R$48)*N$2</f>
        <v>0</v>
      </c>
      <c r="O1392" s="88">
        <f>SUMIF(月間集計シート!$M$29:$M$48,$G1392,月間集計シート!S$29:S$48)*O$2</f>
        <v>0</v>
      </c>
      <c r="P1392" s="88">
        <f>SUMIF(月間集計シート!$M$29:$M$48,$G1392,月間集計シート!T$29:T$48)*P$2</f>
        <v>0</v>
      </c>
      <c r="Q1392" s="88">
        <f>SUMIF(月間集計シート!$M$50:$M$69,$G1392,月間集計シート!N$50:N$69)*Q$2</f>
        <v>0</v>
      </c>
      <c r="R1392" s="88">
        <f>SUMIF(月間集計シート!$M$50:$M$69,$G1392,月間集計シート!O$50:O$69)*R$2</f>
        <v>0</v>
      </c>
      <c r="S1392" s="88">
        <f>SUMIF(月間集計シート!$M$50:$M$69,$G1392,月間集計シート!P$50:P$69)*S$2</f>
        <v>0</v>
      </c>
      <c r="T1392" s="88">
        <f>SUMIF(月間集計シート!$M$50:$M$69,$G1392,月間集計シート!Q$50:Q$69)*T$2</f>
        <v>0</v>
      </c>
      <c r="U1392" s="88">
        <f>SUMIF(月間集計シート!$M$50:$M$69,$G1392,月間集計シート!R$50:R$69)*U$2</f>
        <v>0</v>
      </c>
      <c r="V1392" s="88">
        <f>SUMIF(月間集計シート!$M$50:$M$69,$G1392,月間集計シート!S$50:S$69)*V$2</f>
        <v>0</v>
      </c>
      <c r="W1392" s="88">
        <f>SUMIF(月間集計シート!$M$50:$M$69,$G1392,月間集計シート!T$50:T$69)*W$2</f>
        <v>0</v>
      </c>
      <c r="X1392" s="88">
        <f>SUMIF(月間集計シート!$M$71:$M$90,$G1392,月間集計シート!N$71:N$90)*X$2</f>
        <v>0</v>
      </c>
      <c r="Y1392" s="88">
        <f>SUMIF(月間集計シート!$M$71:$M$90,$G1392,月間集計シート!O$71:O$90)*Y$2</f>
        <v>0</v>
      </c>
      <c r="Z1392" s="88">
        <f>SUMIF(月間集計シート!$M$71:$M$90,$G1392,月間集計シート!P$71:P$90)*Z$2</f>
        <v>0</v>
      </c>
      <c r="AA1392" s="88">
        <f>SUMIF(月間集計シート!$M$71:$M$90,$G1392,月間集計シート!Q$71:Q$90)*AA$2</f>
        <v>0</v>
      </c>
      <c r="AB1392" s="88">
        <f>SUMIF(月間集計シート!$M$71:$M$90,$G1392,月間集計シート!R$71:R$90)*AB$2</f>
        <v>0</v>
      </c>
      <c r="AC1392" s="88">
        <f>SUMIF(月間集計シート!$M$71:$M$90,$G1392,月間集計シート!S$71:S$90)*AC$2</f>
        <v>0</v>
      </c>
      <c r="AD1392" s="88">
        <f>SUMIF(月間集計シート!$M$71:$M$90,$G1392,月間集計シート!T$71:T$90)*AD$2</f>
        <v>0</v>
      </c>
      <c r="AE1392" s="88">
        <f>SUMIF(月間集計シート!$M$92:$M$111,$G1392,月間集計シート!N$92:N$111)*AE$2</f>
        <v>0</v>
      </c>
      <c r="AF1392" s="88">
        <f>SUMIF(月間集計シート!$M$92:$M$111,$G1392,月間集計シート!O$92:O$111)*AF$2</f>
        <v>0</v>
      </c>
      <c r="AG1392" s="88">
        <f>SUMIF(月間集計シート!$M$92:$M$111,$G1392,月間集計シート!P$92:P$111)*AG$2</f>
        <v>0</v>
      </c>
      <c r="AH1392" s="88">
        <f>SUMIF(月間集計シート!$M$92:$M$111,$G1392,月間集計シート!Q$92:Q$111)*AH$2</f>
        <v>0</v>
      </c>
      <c r="AI1392" s="88">
        <f>SUMIF(月間集計シート!$M$92:$M$111,$G1392,月間集計シート!R$92:R$111)*AI$2</f>
        <v>0</v>
      </c>
      <c r="AJ1392" s="88">
        <f>SUMIF(月間集計シート!$M$92:$M$111,$G1392,月間集計シート!S$92:S$111)*AJ$2</f>
        <v>0</v>
      </c>
      <c r="AK1392" s="88">
        <f>SUMIF(月間集計シート!$M$92:$M$111,$G1392,月間集計シート!T$92:T$111)*AK$2</f>
        <v>0</v>
      </c>
      <c r="AL1392" s="88">
        <f>SUMIF(月間集計シート!$M$113:$M$132,$G1392,月間集計シート!N$113:N$132)*AL$2</f>
        <v>0</v>
      </c>
      <c r="AM1392" s="88">
        <f>SUMIF(月間集計シート!$M$113:$M$132,$G1392,月間集計シート!O$113:O$132)*AM$2</f>
        <v>0</v>
      </c>
      <c r="AN1392" s="88">
        <f>SUMIF(月間集計シート!$M$113:$M$132,$G1392,月間集計シート!P$113:P$132)*AN$2</f>
        <v>0</v>
      </c>
      <c r="AO1392" s="88">
        <f>SUMIF(月間集計シート!$M$113:$M$132,$G1392,月間集計シート!Q$113:Q$132)*AO$2</f>
        <v>0</v>
      </c>
      <c r="AP1392" s="88">
        <f>SUMIF(月間集計シート!$M$113:$M$132,$G1392,月間集計シート!R$113:R$132)*AP$2</f>
        <v>0</v>
      </c>
      <c r="AQ1392" s="88">
        <f>SUMIF(月間集計シート!$M$113:$M$132,$G1392,月間集計シート!S$113:S$132)*AQ$2</f>
        <v>0</v>
      </c>
      <c r="AR1392" s="88">
        <f>SUMIF(月間集計シート!$M$113:$M$132,$G1392,月間集計シート!T$113:T$132)*AR$2</f>
        <v>0</v>
      </c>
      <c r="AS1392" s="88">
        <f>SUMIF(月間集計シート!$M$134:$M$153,$G1392,月間集計シート!N$134:N$153)*AS$2</f>
        <v>0</v>
      </c>
      <c r="AT1392" s="88">
        <f>SUMIF(月間集計シート!$M$134:$M$153,$G1392,月間集計シート!O$134:O$153)*AT$2</f>
        <v>0</v>
      </c>
      <c r="AU1392" s="88">
        <f>SUMIF(月間集計シート!$M$134:$M$153,$G1392,月間集計シート!P$134:P$153)*AU$2</f>
        <v>0</v>
      </c>
      <c r="AV1392" s="88">
        <f>SUMIF(月間集計シート!$M$134:$M$153,$G1392,月間集計シート!Q$134:Q$153)*AV$2</f>
        <v>0</v>
      </c>
      <c r="AW1392" s="88">
        <f>SUMIF(月間集計シート!$M$134:$M$153,$G1392,月間集計シート!R$134:R$153)*AW$2</f>
        <v>0</v>
      </c>
      <c r="AX1392" s="88">
        <f>SUMIF(月間集計シート!$M$134:$M$153,$G1392,月間集計シート!S$134:S$153)*AX$2</f>
        <v>0</v>
      </c>
      <c r="AY1392" s="88">
        <f>SUMIF(月間集計シート!$M$134:$M$153,$G1392,月間集計シート!T$134:T$153)*AY$2</f>
        <v>0</v>
      </c>
    </row>
    <row r="1393" spans="1:51" ht="14.25" thickBot="1">
      <c r="A1393">
        <v>17</v>
      </c>
      <c r="B1393" s="120">
        <f t="shared" si="782"/>
        <v>0</v>
      </c>
      <c r="C1393" s="120" t="str">
        <f t="shared" si="783"/>
        <v/>
      </c>
      <c r="D1393" s="137"/>
      <c r="E1393" s="150" t="str">
        <f>工種!A25</f>
        <v>40103</v>
      </c>
      <c r="F1393" s="119" t="str">
        <f>工種!B25</f>
        <v>テスト：テスト計画書作成</v>
      </c>
      <c r="G1393" s="116" t="str">
        <f t="shared" si="784"/>
        <v>040103</v>
      </c>
      <c r="H1393" s="88">
        <f t="shared" si="738"/>
        <v>0</v>
      </c>
      <c r="I1393" s="132"/>
      <c r="J1393" s="88">
        <f>SUMIF(月間集計シート!$M$29:$M$48,$G1393,月間集計シート!N$29:N$48)*J$2</f>
        <v>0</v>
      </c>
      <c r="K1393" s="88">
        <f>SUMIF(月間集計シート!$M$29:$M$48,$G1393,月間集計シート!O$29:O$48)*K$2</f>
        <v>0</v>
      </c>
      <c r="L1393" s="88">
        <f>SUMIF(月間集計シート!$M$29:$M$48,$G1393,月間集計シート!P$29:P$48)*L$2</f>
        <v>0</v>
      </c>
      <c r="M1393" s="88">
        <f>SUMIF(月間集計シート!$M$29:$M$48,$G1393,月間集計シート!Q$29:Q$48)*M$2</f>
        <v>0</v>
      </c>
      <c r="N1393" s="88">
        <f>SUMIF(月間集計シート!$M$29:$M$48,$G1393,月間集計シート!R$29:R$48)*N$2</f>
        <v>0</v>
      </c>
      <c r="O1393" s="88">
        <f>SUMIF(月間集計シート!$M$29:$M$48,$G1393,月間集計シート!S$29:S$48)*O$2</f>
        <v>0</v>
      </c>
      <c r="P1393" s="88">
        <f>SUMIF(月間集計シート!$M$29:$M$48,$G1393,月間集計シート!T$29:T$48)*P$2</f>
        <v>0</v>
      </c>
      <c r="Q1393" s="88">
        <f>SUMIF(月間集計シート!$M$50:$M$69,$G1393,月間集計シート!N$50:N$69)*Q$2</f>
        <v>0</v>
      </c>
      <c r="R1393" s="88">
        <f>SUMIF(月間集計シート!$M$50:$M$69,$G1393,月間集計シート!O$50:O$69)*R$2</f>
        <v>0</v>
      </c>
      <c r="S1393" s="88">
        <f>SUMIF(月間集計シート!$M$50:$M$69,$G1393,月間集計シート!P$50:P$69)*S$2</f>
        <v>0</v>
      </c>
      <c r="T1393" s="88">
        <f>SUMIF(月間集計シート!$M$50:$M$69,$G1393,月間集計シート!Q$50:Q$69)*T$2</f>
        <v>0</v>
      </c>
      <c r="U1393" s="88">
        <f>SUMIF(月間集計シート!$M$50:$M$69,$G1393,月間集計シート!R$50:R$69)*U$2</f>
        <v>0</v>
      </c>
      <c r="V1393" s="88">
        <f>SUMIF(月間集計シート!$M$50:$M$69,$G1393,月間集計シート!S$50:S$69)*V$2</f>
        <v>0</v>
      </c>
      <c r="W1393" s="88">
        <f>SUMIF(月間集計シート!$M$50:$M$69,$G1393,月間集計シート!T$50:T$69)*W$2</f>
        <v>0</v>
      </c>
      <c r="X1393" s="88">
        <f>SUMIF(月間集計シート!$M$71:$M$90,$G1393,月間集計シート!N$71:N$90)*X$2</f>
        <v>0</v>
      </c>
      <c r="Y1393" s="88">
        <f>SUMIF(月間集計シート!$M$71:$M$90,$G1393,月間集計シート!O$71:O$90)*Y$2</f>
        <v>0</v>
      </c>
      <c r="Z1393" s="88">
        <f>SUMIF(月間集計シート!$M$71:$M$90,$G1393,月間集計シート!P$71:P$90)*Z$2</f>
        <v>0</v>
      </c>
      <c r="AA1393" s="88">
        <f>SUMIF(月間集計シート!$M$71:$M$90,$G1393,月間集計シート!Q$71:Q$90)*AA$2</f>
        <v>0</v>
      </c>
      <c r="AB1393" s="88">
        <f>SUMIF(月間集計シート!$M$71:$M$90,$G1393,月間集計シート!R$71:R$90)*AB$2</f>
        <v>0</v>
      </c>
      <c r="AC1393" s="88">
        <f>SUMIF(月間集計シート!$M$71:$M$90,$G1393,月間集計シート!S$71:S$90)*AC$2</f>
        <v>0</v>
      </c>
      <c r="AD1393" s="88">
        <f>SUMIF(月間集計シート!$M$71:$M$90,$G1393,月間集計シート!T$71:T$90)*AD$2</f>
        <v>0</v>
      </c>
      <c r="AE1393" s="88">
        <f>SUMIF(月間集計シート!$M$92:$M$111,$G1393,月間集計シート!N$92:N$111)*AE$2</f>
        <v>0</v>
      </c>
      <c r="AF1393" s="88">
        <f>SUMIF(月間集計シート!$M$92:$M$111,$G1393,月間集計シート!O$92:O$111)*AF$2</f>
        <v>0</v>
      </c>
      <c r="AG1393" s="88">
        <f>SUMIF(月間集計シート!$M$92:$M$111,$G1393,月間集計シート!P$92:P$111)*AG$2</f>
        <v>0</v>
      </c>
      <c r="AH1393" s="88">
        <f>SUMIF(月間集計シート!$M$92:$M$111,$G1393,月間集計シート!Q$92:Q$111)*AH$2</f>
        <v>0</v>
      </c>
      <c r="AI1393" s="88">
        <f>SUMIF(月間集計シート!$M$92:$M$111,$G1393,月間集計シート!R$92:R$111)*AI$2</f>
        <v>0</v>
      </c>
      <c r="AJ1393" s="88">
        <f>SUMIF(月間集計シート!$M$92:$M$111,$G1393,月間集計シート!S$92:S$111)*AJ$2</f>
        <v>0</v>
      </c>
      <c r="AK1393" s="88">
        <f>SUMIF(月間集計シート!$M$92:$M$111,$G1393,月間集計シート!T$92:T$111)*AK$2</f>
        <v>0</v>
      </c>
      <c r="AL1393" s="88">
        <f>SUMIF(月間集計シート!$M$113:$M$132,$G1393,月間集計シート!N$113:N$132)*AL$2</f>
        <v>0</v>
      </c>
      <c r="AM1393" s="88">
        <f>SUMIF(月間集計シート!$M$113:$M$132,$G1393,月間集計シート!O$113:O$132)*AM$2</f>
        <v>0</v>
      </c>
      <c r="AN1393" s="88">
        <f>SUMIF(月間集計シート!$M$113:$M$132,$G1393,月間集計シート!P$113:P$132)*AN$2</f>
        <v>0</v>
      </c>
      <c r="AO1393" s="88">
        <f>SUMIF(月間集計シート!$M$113:$M$132,$G1393,月間集計シート!Q$113:Q$132)*AO$2</f>
        <v>0</v>
      </c>
      <c r="AP1393" s="88">
        <f>SUMIF(月間集計シート!$M$113:$M$132,$G1393,月間集計シート!R$113:R$132)*AP$2</f>
        <v>0</v>
      </c>
      <c r="AQ1393" s="88">
        <f>SUMIF(月間集計シート!$M$113:$M$132,$G1393,月間集計シート!S$113:S$132)*AQ$2</f>
        <v>0</v>
      </c>
      <c r="AR1393" s="88">
        <f>SUMIF(月間集計シート!$M$113:$M$132,$G1393,月間集計シート!T$113:T$132)*AR$2</f>
        <v>0</v>
      </c>
      <c r="AS1393" s="88">
        <f>SUMIF(月間集計シート!$M$134:$M$153,$G1393,月間集計シート!N$134:N$153)*AS$2</f>
        <v>0</v>
      </c>
      <c r="AT1393" s="88">
        <f>SUMIF(月間集計シート!$M$134:$M$153,$G1393,月間集計シート!O$134:O$153)*AT$2</f>
        <v>0</v>
      </c>
      <c r="AU1393" s="88">
        <f>SUMIF(月間集計シート!$M$134:$M$153,$G1393,月間集計シート!P$134:P$153)*AU$2</f>
        <v>0</v>
      </c>
      <c r="AV1393" s="88">
        <f>SUMIF(月間集計シート!$M$134:$M$153,$G1393,月間集計シート!Q$134:Q$153)*AV$2</f>
        <v>0</v>
      </c>
      <c r="AW1393" s="88">
        <f>SUMIF(月間集計シート!$M$134:$M$153,$G1393,月間集計シート!R$134:R$153)*AW$2</f>
        <v>0</v>
      </c>
      <c r="AX1393" s="88">
        <f>SUMIF(月間集計シート!$M$134:$M$153,$G1393,月間集計シート!S$134:S$153)*AX$2</f>
        <v>0</v>
      </c>
      <c r="AY1393" s="88">
        <f>SUMIF(月間集計シート!$M$134:$M$153,$G1393,月間集計シート!T$134:T$153)*AY$2</f>
        <v>0</v>
      </c>
    </row>
    <row r="1394" spans="1:51" ht="14.25" thickBot="1">
      <c r="A1394">
        <v>17</v>
      </c>
      <c r="B1394" s="120">
        <f t="shared" si="782"/>
        <v>0</v>
      </c>
      <c r="C1394" s="120" t="str">
        <f t="shared" si="783"/>
        <v/>
      </c>
      <c r="D1394" s="137"/>
      <c r="E1394" s="150" t="str">
        <f>工種!A26</f>
        <v>40104</v>
      </c>
      <c r="F1394" s="119" t="str">
        <f>工種!B26</f>
        <v>テスト：結合テスト設計書作成</v>
      </c>
      <c r="G1394" s="116" t="str">
        <f t="shared" si="784"/>
        <v>040104</v>
      </c>
      <c r="H1394" s="88">
        <f t="shared" si="738"/>
        <v>0</v>
      </c>
      <c r="I1394" s="132"/>
      <c r="J1394" s="88">
        <f>SUMIF(月間集計シート!$M$29:$M$48,$G1394,月間集計シート!N$29:N$48)*J$2</f>
        <v>0</v>
      </c>
      <c r="K1394" s="88">
        <f>SUMIF(月間集計シート!$M$29:$M$48,$G1394,月間集計シート!O$29:O$48)*K$2</f>
        <v>0</v>
      </c>
      <c r="L1394" s="88">
        <f>SUMIF(月間集計シート!$M$29:$M$48,$G1394,月間集計シート!P$29:P$48)*L$2</f>
        <v>0</v>
      </c>
      <c r="M1394" s="88">
        <f>SUMIF(月間集計シート!$M$29:$M$48,$G1394,月間集計シート!Q$29:Q$48)*M$2</f>
        <v>0</v>
      </c>
      <c r="N1394" s="88">
        <f>SUMIF(月間集計シート!$M$29:$M$48,$G1394,月間集計シート!R$29:R$48)*N$2</f>
        <v>0</v>
      </c>
      <c r="O1394" s="88">
        <f>SUMIF(月間集計シート!$M$29:$M$48,$G1394,月間集計シート!S$29:S$48)*O$2</f>
        <v>0</v>
      </c>
      <c r="P1394" s="88">
        <f>SUMIF(月間集計シート!$M$29:$M$48,$G1394,月間集計シート!T$29:T$48)*P$2</f>
        <v>0</v>
      </c>
      <c r="Q1394" s="88">
        <f>SUMIF(月間集計シート!$M$50:$M$69,$G1394,月間集計シート!N$50:N$69)*Q$2</f>
        <v>0</v>
      </c>
      <c r="R1394" s="88">
        <f>SUMIF(月間集計シート!$M$50:$M$69,$G1394,月間集計シート!O$50:O$69)*R$2</f>
        <v>0</v>
      </c>
      <c r="S1394" s="88">
        <f>SUMIF(月間集計シート!$M$50:$M$69,$G1394,月間集計シート!P$50:P$69)*S$2</f>
        <v>0</v>
      </c>
      <c r="T1394" s="88">
        <f>SUMIF(月間集計シート!$M$50:$M$69,$G1394,月間集計シート!Q$50:Q$69)*T$2</f>
        <v>0</v>
      </c>
      <c r="U1394" s="88">
        <f>SUMIF(月間集計シート!$M$50:$M$69,$G1394,月間集計シート!R$50:R$69)*U$2</f>
        <v>0</v>
      </c>
      <c r="V1394" s="88">
        <f>SUMIF(月間集計シート!$M$50:$M$69,$G1394,月間集計シート!S$50:S$69)*V$2</f>
        <v>0</v>
      </c>
      <c r="W1394" s="88">
        <f>SUMIF(月間集計シート!$M$50:$M$69,$G1394,月間集計シート!T$50:T$69)*W$2</f>
        <v>0</v>
      </c>
      <c r="X1394" s="88">
        <f>SUMIF(月間集計シート!$M$71:$M$90,$G1394,月間集計シート!N$71:N$90)*X$2</f>
        <v>0</v>
      </c>
      <c r="Y1394" s="88">
        <f>SUMIF(月間集計シート!$M$71:$M$90,$G1394,月間集計シート!O$71:O$90)*Y$2</f>
        <v>0</v>
      </c>
      <c r="Z1394" s="88">
        <f>SUMIF(月間集計シート!$M$71:$M$90,$G1394,月間集計シート!P$71:P$90)*Z$2</f>
        <v>0</v>
      </c>
      <c r="AA1394" s="88">
        <f>SUMIF(月間集計シート!$M$71:$M$90,$G1394,月間集計シート!Q$71:Q$90)*AA$2</f>
        <v>0</v>
      </c>
      <c r="AB1394" s="88">
        <f>SUMIF(月間集計シート!$M$71:$M$90,$G1394,月間集計シート!R$71:R$90)*AB$2</f>
        <v>0</v>
      </c>
      <c r="AC1394" s="88">
        <f>SUMIF(月間集計シート!$M$71:$M$90,$G1394,月間集計シート!S$71:S$90)*AC$2</f>
        <v>0</v>
      </c>
      <c r="AD1394" s="88">
        <f>SUMIF(月間集計シート!$M$71:$M$90,$G1394,月間集計シート!T$71:T$90)*AD$2</f>
        <v>0</v>
      </c>
      <c r="AE1394" s="88">
        <f>SUMIF(月間集計シート!$M$92:$M$111,$G1394,月間集計シート!N$92:N$111)*AE$2</f>
        <v>0</v>
      </c>
      <c r="AF1394" s="88">
        <f>SUMIF(月間集計シート!$M$92:$M$111,$G1394,月間集計シート!O$92:O$111)*AF$2</f>
        <v>0</v>
      </c>
      <c r="AG1394" s="88">
        <f>SUMIF(月間集計シート!$M$92:$M$111,$G1394,月間集計シート!P$92:P$111)*AG$2</f>
        <v>0</v>
      </c>
      <c r="AH1394" s="88">
        <f>SUMIF(月間集計シート!$M$92:$M$111,$G1394,月間集計シート!Q$92:Q$111)*AH$2</f>
        <v>0</v>
      </c>
      <c r="AI1394" s="88">
        <f>SUMIF(月間集計シート!$M$92:$M$111,$G1394,月間集計シート!R$92:R$111)*AI$2</f>
        <v>0</v>
      </c>
      <c r="AJ1394" s="88">
        <f>SUMIF(月間集計シート!$M$92:$M$111,$G1394,月間集計シート!S$92:S$111)*AJ$2</f>
        <v>0</v>
      </c>
      <c r="AK1394" s="88">
        <f>SUMIF(月間集計シート!$M$92:$M$111,$G1394,月間集計シート!T$92:T$111)*AK$2</f>
        <v>0</v>
      </c>
      <c r="AL1394" s="88">
        <f>SUMIF(月間集計シート!$M$113:$M$132,$G1394,月間集計シート!N$113:N$132)*AL$2</f>
        <v>0</v>
      </c>
      <c r="AM1394" s="88">
        <f>SUMIF(月間集計シート!$M$113:$M$132,$G1394,月間集計シート!O$113:O$132)*AM$2</f>
        <v>0</v>
      </c>
      <c r="AN1394" s="88">
        <f>SUMIF(月間集計シート!$M$113:$M$132,$G1394,月間集計シート!P$113:P$132)*AN$2</f>
        <v>0</v>
      </c>
      <c r="AO1394" s="88">
        <f>SUMIF(月間集計シート!$M$113:$M$132,$G1394,月間集計シート!Q$113:Q$132)*AO$2</f>
        <v>0</v>
      </c>
      <c r="AP1394" s="88">
        <f>SUMIF(月間集計シート!$M$113:$M$132,$G1394,月間集計シート!R$113:R$132)*AP$2</f>
        <v>0</v>
      </c>
      <c r="AQ1394" s="88">
        <f>SUMIF(月間集計シート!$M$113:$M$132,$G1394,月間集計シート!S$113:S$132)*AQ$2</f>
        <v>0</v>
      </c>
      <c r="AR1394" s="88">
        <f>SUMIF(月間集計シート!$M$113:$M$132,$G1394,月間集計シート!T$113:T$132)*AR$2</f>
        <v>0</v>
      </c>
      <c r="AS1394" s="88">
        <f>SUMIF(月間集計シート!$M$134:$M$153,$G1394,月間集計シート!N$134:N$153)*AS$2</f>
        <v>0</v>
      </c>
      <c r="AT1394" s="88">
        <f>SUMIF(月間集計シート!$M$134:$M$153,$G1394,月間集計シート!O$134:O$153)*AT$2</f>
        <v>0</v>
      </c>
      <c r="AU1394" s="88">
        <f>SUMIF(月間集計シート!$M$134:$M$153,$G1394,月間集計シート!P$134:P$153)*AU$2</f>
        <v>0</v>
      </c>
      <c r="AV1394" s="88">
        <f>SUMIF(月間集計シート!$M$134:$M$153,$G1394,月間集計シート!Q$134:Q$153)*AV$2</f>
        <v>0</v>
      </c>
      <c r="AW1394" s="88">
        <f>SUMIF(月間集計シート!$M$134:$M$153,$G1394,月間集計シート!R$134:R$153)*AW$2</f>
        <v>0</v>
      </c>
      <c r="AX1394" s="88">
        <f>SUMIF(月間集計シート!$M$134:$M$153,$G1394,月間集計シート!S$134:S$153)*AX$2</f>
        <v>0</v>
      </c>
      <c r="AY1394" s="88">
        <f>SUMIF(月間集計シート!$M$134:$M$153,$G1394,月間集計シート!T$134:T$153)*AY$2</f>
        <v>0</v>
      </c>
    </row>
    <row r="1395" spans="1:51" ht="14.25" thickBot="1">
      <c r="A1395">
        <v>17</v>
      </c>
      <c r="B1395" s="120">
        <f t="shared" si="782"/>
        <v>0</v>
      </c>
      <c r="C1395" s="120" t="str">
        <f t="shared" si="783"/>
        <v/>
      </c>
      <c r="D1395" s="137"/>
      <c r="E1395" s="150" t="str">
        <f>工種!A27</f>
        <v>40105</v>
      </c>
      <c r="F1395" s="119" t="str">
        <f>工種!B27</f>
        <v>テスト：システムテスト設計書作成</v>
      </c>
      <c r="G1395" s="116" t="str">
        <f t="shared" si="784"/>
        <v>040105</v>
      </c>
      <c r="H1395" s="88">
        <f t="shared" si="738"/>
        <v>0</v>
      </c>
      <c r="I1395" s="132"/>
      <c r="J1395" s="88">
        <f>SUMIF(月間集計シート!$M$29:$M$48,$G1395,月間集計シート!N$29:N$48)*J$2</f>
        <v>0</v>
      </c>
      <c r="K1395" s="88">
        <f>SUMIF(月間集計シート!$M$29:$M$48,$G1395,月間集計シート!O$29:O$48)*K$2</f>
        <v>0</v>
      </c>
      <c r="L1395" s="88">
        <f>SUMIF(月間集計シート!$M$29:$M$48,$G1395,月間集計シート!P$29:P$48)*L$2</f>
        <v>0</v>
      </c>
      <c r="M1395" s="88">
        <f>SUMIF(月間集計シート!$M$29:$M$48,$G1395,月間集計シート!Q$29:Q$48)*M$2</f>
        <v>0</v>
      </c>
      <c r="N1395" s="88">
        <f>SUMIF(月間集計シート!$M$29:$M$48,$G1395,月間集計シート!R$29:R$48)*N$2</f>
        <v>0</v>
      </c>
      <c r="O1395" s="88">
        <f>SUMIF(月間集計シート!$M$29:$M$48,$G1395,月間集計シート!S$29:S$48)*O$2</f>
        <v>0</v>
      </c>
      <c r="P1395" s="88">
        <f>SUMIF(月間集計シート!$M$29:$M$48,$G1395,月間集計シート!T$29:T$48)*P$2</f>
        <v>0</v>
      </c>
      <c r="Q1395" s="88">
        <f>SUMIF(月間集計シート!$M$50:$M$69,$G1395,月間集計シート!N$50:N$69)*Q$2</f>
        <v>0</v>
      </c>
      <c r="R1395" s="88">
        <f>SUMIF(月間集計シート!$M$50:$M$69,$G1395,月間集計シート!O$50:O$69)*R$2</f>
        <v>0</v>
      </c>
      <c r="S1395" s="88">
        <f>SUMIF(月間集計シート!$M$50:$M$69,$G1395,月間集計シート!P$50:P$69)*S$2</f>
        <v>0</v>
      </c>
      <c r="T1395" s="88">
        <f>SUMIF(月間集計シート!$M$50:$M$69,$G1395,月間集計シート!Q$50:Q$69)*T$2</f>
        <v>0</v>
      </c>
      <c r="U1395" s="88">
        <f>SUMIF(月間集計シート!$M$50:$M$69,$G1395,月間集計シート!R$50:R$69)*U$2</f>
        <v>0</v>
      </c>
      <c r="V1395" s="88">
        <f>SUMIF(月間集計シート!$M$50:$M$69,$G1395,月間集計シート!S$50:S$69)*V$2</f>
        <v>0</v>
      </c>
      <c r="W1395" s="88">
        <f>SUMIF(月間集計シート!$M$50:$M$69,$G1395,月間集計シート!T$50:T$69)*W$2</f>
        <v>0</v>
      </c>
      <c r="X1395" s="88">
        <f>SUMIF(月間集計シート!$M$71:$M$90,$G1395,月間集計シート!N$71:N$90)*X$2</f>
        <v>0</v>
      </c>
      <c r="Y1395" s="88">
        <f>SUMIF(月間集計シート!$M$71:$M$90,$G1395,月間集計シート!O$71:O$90)*Y$2</f>
        <v>0</v>
      </c>
      <c r="Z1395" s="88">
        <f>SUMIF(月間集計シート!$M$71:$M$90,$G1395,月間集計シート!P$71:P$90)*Z$2</f>
        <v>0</v>
      </c>
      <c r="AA1395" s="88">
        <f>SUMIF(月間集計シート!$M$71:$M$90,$G1395,月間集計シート!Q$71:Q$90)*AA$2</f>
        <v>0</v>
      </c>
      <c r="AB1395" s="88">
        <f>SUMIF(月間集計シート!$M$71:$M$90,$G1395,月間集計シート!R$71:R$90)*AB$2</f>
        <v>0</v>
      </c>
      <c r="AC1395" s="88">
        <f>SUMIF(月間集計シート!$M$71:$M$90,$G1395,月間集計シート!S$71:S$90)*AC$2</f>
        <v>0</v>
      </c>
      <c r="AD1395" s="88">
        <f>SUMIF(月間集計シート!$M$71:$M$90,$G1395,月間集計シート!T$71:T$90)*AD$2</f>
        <v>0</v>
      </c>
      <c r="AE1395" s="88">
        <f>SUMIF(月間集計シート!$M$92:$M$111,$G1395,月間集計シート!N$92:N$111)*AE$2</f>
        <v>0</v>
      </c>
      <c r="AF1395" s="88">
        <f>SUMIF(月間集計シート!$M$92:$M$111,$G1395,月間集計シート!O$92:O$111)*AF$2</f>
        <v>0</v>
      </c>
      <c r="AG1395" s="88">
        <f>SUMIF(月間集計シート!$M$92:$M$111,$G1395,月間集計シート!P$92:P$111)*AG$2</f>
        <v>0</v>
      </c>
      <c r="AH1395" s="88">
        <f>SUMIF(月間集計シート!$M$92:$M$111,$G1395,月間集計シート!Q$92:Q$111)*AH$2</f>
        <v>0</v>
      </c>
      <c r="AI1395" s="88">
        <f>SUMIF(月間集計シート!$M$92:$M$111,$G1395,月間集計シート!R$92:R$111)*AI$2</f>
        <v>0</v>
      </c>
      <c r="AJ1395" s="88">
        <f>SUMIF(月間集計シート!$M$92:$M$111,$G1395,月間集計シート!S$92:S$111)*AJ$2</f>
        <v>0</v>
      </c>
      <c r="AK1395" s="88">
        <f>SUMIF(月間集計シート!$M$92:$M$111,$G1395,月間集計シート!T$92:T$111)*AK$2</f>
        <v>0</v>
      </c>
      <c r="AL1395" s="88">
        <f>SUMIF(月間集計シート!$M$113:$M$132,$G1395,月間集計シート!N$113:N$132)*AL$2</f>
        <v>0</v>
      </c>
      <c r="AM1395" s="88">
        <f>SUMIF(月間集計シート!$M$113:$M$132,$G1395,月間集計シート!O$113:O$132)*AM$2</f>
        <v>0</v>
      </c>
      <c r="AN1395" s="88">
        <f>SUMIF(月間集計シート!$M$113:$M$132,$G1395,月間集計シート!P$113:P$132)*AN$2</f>
        <v>0</v>
      </c>
      <c r="AO1395" s="88">
        <f>SUMIF(月間集計シート!$M$113:$M$132,$G1395,月間集計シート!Q$113:Q$132)*AO$2</f>
        <v>0</v>
      </c>
      <c r="AP1395" s="88">
        <f>SUMIF(月間集計シート!$M$113:$M$132,$G1395,月間集計シート!R$113:R$132)*AP$2</f>
        <v>0</v>
      </c>
      <c r="AQ1395" s="88">
        <f>SUMIF(月間集計シート!$M$113:$M$132,$G1395,月間集計シート!S$113:S$132)*AQ$2</f>
        <v>0</v>
      </c>
      <c r="AR1395" s="88">
        <f>SUMIF(月間集計シート!$M$113:$M$132,$G1395,月間集計シート!T$113:T$132)*AR$2</f>
        <v>0</v>
      </c>
      <c r="AS1395" s="88">
        <f>SUMIF(月間集計シート!$M$134:$M$153,$G1395,月間集計シート!N$134:N$153)*AS$2</f>
        <v>0</v>
      </c>
      <c r="AT1395" s="88">
        <f>SUMIF(月間集計シート!$M$134:$M$153,$G1395,月間集計シート!O$134:O$153)*AT$2</f>
        <v>0</v>
      </c>
      <c r="AU1395" s="88">
        <f>SUMIF(月間集計シート!$M$134:$M$153,$G1395,月間集計シート!P$134:P$153)*AU$2</f>
        <v>0</v>
      </c>
      <c r="AV1395" s="88">
        <f>SUMIF(月間集計シート!$M$134:$M$153,$G1395,月間集計シート!Q$134:Q$153)*AV$2</f>
        <v>0</v>
      </c>
      <c r="AW1395" s="88">
        <f>SUMIF(月間集計シート!$M$134:$M$153,$G1395,月間集計シート!R$134:R$153)*AW$2</f>
        <v>0</v>
      </c>
      <c r="AX1395" s="88">
        <f>SUMIF(月間集計シート!$M$134:$M$153,$G1395,月間集計シート!S$134:S$153)*AX$2</f>
        <v>0</v>
      </c>
      <c r="AY1395" s="88">
        <f>SUMIF(月間集計シート!$M$134:$M$153,$G1395,月間集計シート!T$134:T$153)*AY$2</f>
        <v>0</v>
      </c>
    </row>
    <row r="1396" spans="1:51" ht="14.25" thickBot="1">
      <c r="A1396">
        <v>17</v>
      </c>
      <c r="B1396" s="120">
        <f t="shared" si="782"/>
        <v>0</v>
      </c>
      <c r="C1396" s="120" t="str">
        <f t="shared" si="783"/>
        <v/>
      </c>
      <c r="D1396" s="137"/>
      <c r="E1396" s="150" t="str">
        <f>工種!A28</f>
        <v>40106</v>
      </c>
      <c r="F1396" s="119" t="str">
        <f>工種!B28</f>
        <v>テスト：総合評価設計書作成</v>
      </c>
      <c r="G1396" s="116" t="str">
        <f t="shared" si="784"/>
        <v>040106</v>
      </c>
      <c r="H1396" s="88">
        <f t="shared" si="738"/>
        <v>0</v>
      </c>
      <c r="I1396" s="132"/>
      <c r="J1396" s="88">
        <f>SUMIF(月間集計シート!$M$29:$M$48,$G1396,月間集計シート!N$29:N$48)*J$2</f>
        <v>0</v>
      </c>
      <c r="K1396" s="88">
        <f>SUMIF(月間集計シート!$M$29:$M$48,$G1396,月間集計シート!O$29:O$48)*K$2</f>
        <v>0</v>
      </c>
      <c r="L1396" s="88">
        <f>SUMIF(月間集計シート!$M$29:$M$48,$G1396,月間集計シート!P$29:P$48)*L$2</f>
        <v>0</v>
      </c>
      <c r="M1396" s="88">
        <f>SUMIF(月間集計シート!$M$29:$M$48,$G1396,月間集計シート!Q$29:Q$48)*M$2</f>
        <v>0</v>
      </c>
      <c r="N1396" s="88">
        <f>SUMIF(月間集計シート!$M$29:$M$48,$G1396,月間集計シート!R$29:R$48)*N$2</f>
        <v>0</v>
      </c>
      <c r="O1396" s="88">
        <f>SUMIF(月間集計シート!$M$29:$M$48,$G1396,月間集計シート!S$29:S$48)*O$2</f>
        <v>0</v>
      </c>
      <c r="P1396" s="88">
        <f>SUMIF(月間集計シート!$M$29:$M$48,$G1396,月間集計シート!T$29:T$48)*P$2</f>
        <v>0</v>
      </c>
      <c r="Q1396" s="88">
        <f>SUMIF(月間集計シート!$M$50:$M$69,$G1396,月間集計シート!N$50:N$69)*Q$2</f>
        <v>0</v>
      </c>
      <c r="R1396" s="88">
        <f>SUMIF(月間集計シート!$M$50:$M$69,$G1396,月間集計シート!O$50:O$69)*R$2</f>
        <v>0</v>
      </c>
      <c r="S1396" s="88">
        <f>SUMIF(月間集計シート!$M$50:$M$69,$G1396,月間集計シート!P$50:P$69)*S$2</f>
        <v>0</v>
      </c>
      <c r="T1396" s="88">
        <f>SUMIF(月間集計シート!$M$50:$M$69,$G1396,月間集計シート!Q$50:Q$69)*T$2</f>
        <v>0</v>
      </c>
      <c r="U1396" s="88">
        <f>SUMIF(月間集計シート!$M$50:$M$69,$G1396,月間集計シート!R$50:R$69)*U$2</f>
        <v>0</v>
      </c>
      <c r="V1396" s="88">
        <f>SUMIF(月間集計シート!$M$50:$M$69,$G1396,月間集計シート!S$50:S$69)*V$2</f>
        <v>0</v>
      </c>
      <c r="W1396" s="88">
        <f>SUMIF(月間集計シート!$M$50:$M$69,$G1396,月間集計シート!T$50:T$69)*W$2</f>
        <v>0</v>
      </c>
      <c r="X1396" s="88">
        <f>SUMIF(月間集計シート!$M$71:$M$90,$G1396,月間集計シート!N$71:N$90)*X$2</f>
        <v>0</v>
      </c>
      <c r="Y1396" s="88">
        <f>SUMIF(月間集計シート!$M$71:$M$90,$G1396,月間集計シート!O$71:O$90)*Y$2</f>
        <v>0</v>
      </c>
      <c r="Z1396" s="88">
        <f>SUMIF(月間集計シート!$M$71:$M$90,$G1396,月間集計シート!P$71:P$90)*Z$2</f>
        <v>0</v>
      </c>
      <c r="AA1396" s="88">
        <f>SUMIF(月間集計シート!$M$71:$M$90,$G1396,月間集計シート!Q$71:Q$90)*AA$2</f>
        <v>0</v>
      </c>
      <c r="AB1396" s="88">
        <f>SUMIF(月間集計シート!$M$71:$M$90,$G1396,月間集計シート!R$71:R$90)*AB$2</f>
        <v>0</v>
      </c>
      <c r="AC1396" s="88">
        <f>SUMIF(月間集計シート!$M$71:$M$90,$G1396,月間集計シート!S$71:S$90)*AC$2</f>
        <v>0</v>
      </c>
      <c r="AD1396" s="88">
        <f>SUMIF(月間集計シート!$M$71:$M$90,$G1396,月間集計シート!T$71:T$90)*AD$2</f>
        <v>0</v>
      </c>
      <c r="AE1396" s="88">
        <f>SUMIF(月間集計シート!$M$92:$M$111,$G1396,月間集計シート!N$92:N$111)*AE$2</f>
        <v>0</v>
      </c>
      <c r="AF1396" s="88">
        <f>SUMIF(月間集計シート!$M$92:$M$111,$G1396,月間集計シート!O$92:O$111)*AF$2</f>
        <v>0</v>
      </c>
      <c r="AG1396" s="88">
        <f>SUMIF(月間集計シート!$M$92:$M$111,$G1396,月間集計シート!P$92:P$111)*AG$2</f>
        <v>0</v>
      </c>
      <c r="AH1396" s="88">
        <f>SUMIF(月間集計シート!$M$92:$M$111,$G1396,月間集計シート!Q$92:Q$111)*AH$2</f>
        <v>0</v>
      </c>
      <c r="AI1396" s="88">
        <f>SUMIF(月間集計シート!$M$92:$M$111,$G1396,月間集計シート!R$92:R$111)*AI$2</f>
        <v>0</v>
      </c>
      <c r="AJ1396" s="88">
        <f>SUMIF(月間集計シート!$M$92:$M$111,$G1396,月間集計シート!S$92:S$111)*AJ$2</f>
        <v>0</v>
      </c>
      <c r="AK1396" s="88">
        <f>SUMIF(月間集計シート!$M$92:$M$111,$G1396,月間集計シート!T$92:T$111)*AK$2</f>
        <v>0</v>
      </c>
      <c r="AL1396" s="88">
        <f>SUMIF(月間集計シート!$M$113:$M$132,$G1396,月間集計シート!N$113:N$132)*AL$2</f>
        <v>0</v>
      </c>
      <c r="AM1396" s="88">
        <f>SUMIF(月間集計シート!$M$113:$M$132,$G1396,月間集計シート!O$113:O$132)*AM$2</f>
        <v>0</v>
      </c>
      <c r="AN1396" s="88">
        <f>SUMIF(月間集計シート!$M$113:$M$132,$G1396,月間集計シート!P$113:P$132)*AN$2</f>
        <v>0</v>
      </c>
      <c r="AO1396" s="88">
        <f>SUMIF(月間集計シート!$M$113:$M$132,$G1396,月間集計シート!Q$113:Q$132)*AO$2</f>
        <v>0</v>
      </c>
      <c r="AP1396" s="88">
        <f>SUMIF(月間集計シート!$M$113:$M$132,$G1396,月間集計シート!R$113:R$132)*AP$2</f>
        <v>0</v>
      </c>
      <c r="AQ1396" s="88">
        <f>SUMIF(月間集計シート!$M$113:$M$132,$G1396,月間集計シート!S$113:S$132)*AQ$2</f>
        <v>0</v>
      </c>
      <c r="AR1396" s="88">
        <f>SUMIF(月間集計シート!$M$113:$M$132,$G1396,月間集計シート!T$113:T$132)*AR$2</f>
        <v>0</v>
      </c>
      <c r="AS1396" s="88">
        <f>SUMIF(月間集計シート!$M$134:$M$153,$G1396,月間集計シート!N$134:N$153)*AS$2</f>
        <v>0</v>
      </c>
      <c r="AT1396" s="88">
        <f>SUMIF(月間集計シート!$M$134:$M$153,$G1396,月間集計シート!O$134:O$153)*AT$2</f>
        <v>0</v>
      </c>
      <c r="AU1396" s="88">
        <f>SUMIF(月間集計シート!$M$134:$M$153,$G1396,月間集計シート!P$134:P$153)*AU$2</f>
        <v>0</v>
      </c>
      <c r="AV1396" s="88">
        <f>SUMIF(月間集計シート!$M$134:$M$153,$G1396,月間集計シート!Q$134:Q$153)*AV$2</f>
        <v>0</v>
      </c>
      <c r="AW1396" s="88">
        <f>SUMIF(月間集計シート!$M$134:$M$153,$G1396,月間集計シート!R$134:R$153)*AW$2</f>
        <v>0</v>
      </c>
      <c r="AX1396" s="88">
        <f>SUMIF(月間集計シート!$M$134:$M$153,$G1396,月間集計シート!S$134:S$153)*AX$2</f>
        <v>0</v>
      </c>
      <c r="AY1396" s="88">
        <f>SUMIF(月間集計シート!$M$134:$M$153,$G1396,月間集計シート!T$134:T$153)*AY$2</f>
        <v>0</v>
      </c>
    </row>
    <row r="1397" spans="1:51" ht="14.25" thickBot="1">
      <c r="A1397">
        <v>17</v>
      </c>
      <c r="B1397" s="120">
        <f t="shared" si="782"/>
        <v>0</v>
      </c>
      <c r="C1397" s="120" t="str">
        <f t="shared" si="783"/>
        <v/>
      </c>
      <c r="D1397" s="137"/>
      <c r="E1397" s="150" t="str">
        <f>工種!A29</f>
        <v>40107</v>
      </c>
      <c r="F1397" s="119" t="str">
        <f>工種!B29</f>
        <v>テスト：評価報告書作成</v>
      </c>
      <c r="G1397" s="116" t="str">
        <f t="shared" si="784"/>
        <v>040107</v>
      </c>
      <c r="H1397" s="88">
        <f t="shared" si="738"/>
        <v>0</v>
      </c>
      <c r="I1397" s="132"/>
      <c r="J1397" s="88">
        <f>SUMIF(月間集計シート!$M$29:$M$48,$G1397,月間集計シート!N$29:N$48)*J$2</f>
        <v>0</v>
      </c>
      <c r="K1397" s="88">
        <f>SUMIF(月間集計シート!$M$29:$M$48,$G1397,月間集計シート!O$29:O$48)*K$2</f>
        <v>0</v>
      </c>
      <c r="L1397" s="88">
        <f>SUMIF(月間集計シート!$M$29:$M$48,$G1397,月間集計シート!P$29:P$48)*L$2</f>
        <v>0</v>
      </c>
      <c r="M1397" s="88">
        <f>SUMIF(月間集計シート!$M$29:$M$48,$G1397,月間集計シート!Q$29:Q$48)*M$2</f>
        <v>0</v>
      </c>
      <c r="N1397" s="88">
        <f>SUMIF(月間集計シート!$M$29:$M$48,$G1397,月間集計シート!R$29:R$48)*N$2</f>
        <v>0</v>
      </c>
      <c r="O1397" s="88">
        <f>SUMIF(月間集計シート!$M$29:$M$48,$G1397,月間集計シート!S$29:S$48)*O$2</f>
        <v>0</v>
      </c>
      <c r="P1397" s="88">
        <f>SUMIF(月間集計シート!$M$29:$M$48,$G1397,月間集計シート!T$29:T$48)*P$2</f>
        <v>0</v>
      </c>
      <c r="Q1397" s="88">
        <f>SUMIF(月間集計シート!$M$50:$M$69,$G1397,月間集計シート!N$50:N$69)*Q$2</f>
        <v>0</v>
      </c>
      <c r="R1397" s="88">
        <f>SUMIF(月間集計シート!$M$50:$M$69,$G1397,月間集計シート!O$50:O$69)*R$2</f>
        <v>0</v>
      </c>
      <c r="S1397" s="88">
        <f>SUMIF(月間集計シート!$M$50:$M$69,$G1397,月間集計シート!P$50:P$69)*S$2</f>
        <v>0</v>
      </c>
      <c r="T1397" s="88">
        <f>SUMIF(月間集計シート!$M$50:$M$69,$G1397,月間集計シート!Q$50:Q$69)*T$2</f>
        <v>0</v>
      </c>
      <c r="U1397" s="88">
        <f>SUMIF(月間集計シート!$M$50:$M$69,$G1397,月間集計シート!R$50:R$69)*U$2</f>
        <v>0</v>
      </c>
      <c r="V1397" s="88">
        <f>SUMIF(月間集計シート!$M$50:$M$69,$G1397,月間集計シート!S$50:S$69)*V$2</f>
        <v>0</v>
      </c>
      <c r="W1397" s="88">
        <f>SUMIF(月間集計シート!$M$50:$M$69,$G1397,月間集計シート!T$50:T$69)*W$2</f>
        <v>0</v>
      </c>
      <c r="X1397" s="88">
        <f>SUMIF(月間集計シート!$M$71:$M$90,$G1397,月間集計シート!N$71:N$90)*X$2</f>
        <v>0</v>
      </c>
      <c r="Y1397" s="88">
        <f>SUMIF(月間集計シート!$M$71:$M$90,$G1397,月間集計シート!O$71:O$90)*Y$2</f>
        <v>0</v>
      </c>
      <c r="Z1397" s="88">
        <f>SUMIF(月間集計シート!$M$71:$M$90,$G1397,月間集計シート!P$71:P$90)*Z$2</f>
        <v>0</v>
      </c>
      <c r="AA1397" s="88">
        <f>SUMIF(月間集計シート!$M$71:$M$90,$G1397,月間集計シート!Q$71:Q$90)*AA$2</f>
        <v>0</v>
      </c>
      <c r="AB1397" s="88">
        <f>SUMIF(月間集計シート!$M$71:$M$90,$G1397,月間集計シート!R$71:R$90)*AB$2</f>
        <v>0</v>
      </c>
      <c r="AC1397" s="88">
        <f>SUMIF(月間集計シート!$M$71:$M$90,$G1397,月間集計シート!S$71:S$90)*AC$2</f>
        <v>0</v>
      </c>
      <c r="AD1397" s="88">
        <f>SUMIF(月間集計シート!$M$71:$M$90,$G1397,月間集計シート!T$71:T$90)*AD$2</f>
        <v>0</v>
      </c>
      <c r="AE1397" s="88">
        <f>SUMIF(月間集計シート!$M$92:$M$111,$G1397,月間集計シート!N$92:N$111)*AE$2</f>
        <v>0</v>
      </c>
      <c r="AF1397" s="88">
        <f>SUMIF(月間集計シート!$M$92:$M$111,$G1397,月間集計シート!O$92:O$111)*AF$2</f>
        <v>0</v>
      </c>
      <c r="AG1397" s="88">
        <f>SUMIF(月間集計シート!$M$92:$M$111,$G1397,月間集計シート!P$92:P$111)*AG$2</f>
        <v>0</v>
      </c>
      <c r="AH1397" s="88">
        <f>SUMIF(月間集計シート!$M$92:$M$111,$G1397,月間集計シート!Q$92:Q$111)*AH$2</f>
        <v>0</v>
      </c>
      <c r="AI1397" s="88">
        <f>SUMIF(月間集計シート!$M$92:$M$111,$G1397,月間集計シート!R$92:R$111)*AI$2</f>
        <v>0</v>
      </c>
      <c r="AJ1397" s="88">
        <f>SUMIF(月間集計シート!$M$92:$M$111,$G1397,月間集計シート!S$92:S$111)*AJ$2</f>
        <v>0</v>
      </c>
      <c r="AK1397" s="88">
        <f>SUMIF(月間集計シート!$M$92:$M$111,$G1397,月間集計シート!T$92:T$111)*AK$2</f>
        <v>0</v>
      </c>
      <c r="AL1397" s="88">
        <f>SUMIF(月間集計シート!$M$113:$M$132,$G1397,月間集計シート!N$113:N$132)*AL$2</f>
        <v>0</v>
      </c>
      <c r="AM1397" s="88">
        <f>SUMIF(月間集計シート!$M$113:$M$132,$G1397,月間集計シート!O$113:O$132)*AM$2</f>
        <v>0</v>
      </c>
      <c r="AN1397" s="88">
        <f>SUMIF(月間集計シート!$M$113:$M$132,$G1397,月間集計シート!P$113:P$132)*AN$2</f>
        <v>0</v>
      </c>
      <c r="AO1397" s="88">
        <f>SUMIF(月間集計シート!$M$113:$M$132,$G1397,月間集計シート!Q$113:Q$132)*AO$2</f>
        <v>0</v>
      </c>
      <c r="AP1397" s="88">
        <f>SUMIF(月間集計シート!$M$113:$M$132,$G1397,月間集計シート!R$113:R$132)*AP$2</f>
        <v>0</v>
      </c>
      <c r="AQ1397" s="88">
        <f>SUMIF(月間集計シート!$M$113:$M$132,$G1397,月間集計シート!S$113:S$132)*AQ$2</f>
        <v>0</v>
      </c>
      <c r="AR1397" s="88">
        <f>SUMIF(月間集計シート!$M$113:$M$132,$G1397,月間集計シート!T$113:T$132)*AR$2</f>
        <v>0</v>
      </c>
      <c r="AS1397" s="88">
        <f>SUMIF(月間集計シート!$M$134:$M$153,$G1397,月間集計シート!N$134:N$153)*AS$2</f>
        <v>0</v>
      </c>
      <c r="AT1397" s="88">
        <f>SUMIF(月間集計シート!$M$134:$M$153,$G1397,月間集計シート!O$134:O$153)*AT$2</f>
        <v>0</v>
      </c>
      <c r="AU1397" s="88">
        <f>SUMIF(月間集計シート!$M$134:$M$153,$G1397,月間集計シート!P$134:P$153)*AU$2</f>
        <v>0</v>
      </c>
      <c r="AV1397" s="88">
        <f>SUMIF(月間集計シート!$M$134:$M$153,$G1397,月間集計シート!Q$134:Q$153)*AV$2</f>
        <v>0</v>
      </c>
      <c r="AW1397" s="88">
        <f>SUMIF(月間集計シート!$M$134:$M$153,$G1397,月間集計シート!R$134:R$153)*AW$2</f>
        <v>0</v>
      </c>
      <c r="AX1397" s="88">
        <f>SUMIF(月間集計シート!$M$134:$M$153,$G1397,月間集計シート!S$134:S$153)*AX$2</f>
        <v>0</v>
      </c>
      <c r="AY1397" s="88">
        <f>SUMIF(月間集計シート!$M$134:$M$153,$G1397,月間集計シート!T$134:T$153)*AY$2</f>
        <v>0</v>
      </c>
    </row>
    <row r="1398" spans="1:51" ht="14.25" thickBot="1">
      <c r="A1398">
        <v>17</v>
      </c>
      <c r="B1398" s="120">
        <f t="shared" si="782"/>
        <v>0</v>
      </c>
      <c r="C1398" s="120" t="str">
        <f t="shared" si="783"/>
        <v/>
      </c>
      <c r="D1398" s="137"/>
      <c r="E1398" s="150" t="str">
        <f>工種!A30</f>
        <v>40108</v>
      </c>
      <c r="F1398" s="119" t="str">
        <f>工種!B30</f>
        <v>テスト：総合評価実施</v>
      </c>
      <c r="G1398" s="116" t="str">
        <f t="shared" si="784"/>
        <v>040108</v>
      </c>
      <c r="H1398" s="88">
        <f t="shared" si="738"/>
        <v>0</v>
      </c>
      <c r="I1398" s="132"/>
      <c r="J1398" s="88">
        <f>SUMIF(月間集計シート!$M$29:$M$48,$G1398,月間集計シート!N$29:N$48)*J$2</f>
        <v>0</v>
      </c>
      <c r="K1398" s="88">
        <f>SUMIF(月間集計シート!$M$29:$M$48,$G1398,月間集計シート!O$29:O$48)*K$2</f>
        <v>0</v>
      </c>
      <c r="L1398" s="88">
        <f>SUMIF(月間集計シート!$M$29:$M$48,$G1398,月間集計シート!P$29:P$48)*L$2</f>
        <v>0</v>
      </c>
      <c r="M1398" s="88">
        <f>SUMIF(月間集計シート!$M$29:$M$48,$G1398,月間集計シート!Q$29:Q$48)*M$2</f>
        <v>0</v>
      </c>
      <c r="N1398" s="88">
        <f>SUMIF(月間集計シート!$M$29:$M$48,$G1398,月間集計シート!R$29:R$48)*N$2</f>
        <v>0</v>
      </c>
      <c r="O1398" s="88">
        <f>SUMIF(月間集計シート!$M$29:$M$48,$G1398,月間集計シート!S$29:S$48)*O$2</f>
        <v>0</v>
      </c>
      <c r="P1398" s="88">
        <f>SUMIF(月間集計シート!$M$29:$M$48,$G1398,月間集計シート!T$29:T$48)*P$2</f>
        <v>0</v>
      </c>
      <c r="Q1398" s="88">
        <f>SUMIF(月間集計シート!$M$50:$M$69,$G1398,月間集計シート!N$50:N$69)*Q$2</f>
        <v>0</v>
      </c>
      <c r="R1398" s="88">
        <f>SUMIF(月間集計シート!$M$50:$M$69,$G1398,月間集計シート!O$50:O$69)*R$2</f>
        <v>0</v>
      </c>
      <c r="S1398" s="88">
        <f>SUMIF(月間集計シート!$M$50:$M$69,$G1398,月間集計シート!P$50:P$69)*S$2</f>
        <v>0</v>
      </c>
      <c r="T1398" s="88">
        <f>SUMIF(月間集計シート!$M$50:$M$69,$G1398,月間集計シート!Q$50:Q$69)*T$2</f>
        <v>0</v>
      </c>
      <c r="U1398" s="88">
        <f>SUMIF(月間集計シート!$M$50:$M$69,$G1398,月間集計シート!R$50:R$69)*U$2</f>
        <v>0</v>
      </c>
      <c r="V1398" s="88">
        <f>SUMIF(月間集計シート!$M$50:$M$69,$G1398,月間集計シート!S$50:S$69)*V$2</f>
        <v>0</v>
      </c>
      <c r="W1398" s="88">
        <f>SUMIF(月間集計シート!$M$50:$M$69,$G1398,月間集計シート!T$50:T$69)*W$2</f>
        <v>0</v>
      </c>
      <c r="X1398" s="88">
        <f>SUMIF(月間集計シート!$M$71:$M$90,$G1398,月間集計シート!N$71:N$90)*X$2</f>
        <v>0</v>
      </c>
      <c r="Y1398" s="88">
        <f>SUMIF(月間集計シート!$M$71:$M$90,$G1398,月間集計シート!O$71:O$90)*Y$2</f>
        <v>0</v>
      </c>
      <c r="Z1398" s="88">
        <f>SUMIF(月間集計シート!$M$71:$M$90,$G1398,月間集計シート!P$71:P$90)*Z$2</f>
        <v>0</v>
      </c>
      <c r="AA1398" s="88">
        <f>SUMIF(月間集計シート!$M$71:$M$90,$G1398,月間集計シート!Q$71:Q$90)*AA$2</f>
        <v>0</v>
      </c>
      <c r="AB1398" s="88">
        <f>SUMIF(月間集計シート!$M$71:$M$90,$G1398,月間集計シート!R$71:R$90)*AB$2</f>
        <v>0</v>
      </c>
      <c r="AC1398" s="88">
        <f>SUMIF(月間集計シート!$M$71:$M$90,$G1398,月間集計シート!S$71:S$90)*AC$2</f>
        <v>0</v>
      </c>
      <c r="AD1398" s="88">
        <f>SUMIF(月間集計シート!$M$71:$M$90,$G1398,月間集計シート!T$71:T$90)*AD$2</f>
        <v>0</v>
      </c>
      <c r="AE1398" s="88">
        <f>SUMIF(月間集計シート!$M$92:$M$111,$G1398,月間集計シート!N$92:N$111)*AE$2</f>
        <v>0</v>
      </c>
      <c r="AF1398" s="88">
        <f>SUMIF(月間集計シート!$M$92:$M$111,$G1398,月間集計シート!O$92:O$111)*AF$2</f>
        <v>0</v>
      </c>
      <c r="AG1398" s="88">
        <f>SUMIF(月間集計シート!$M$92:$M$111,$G1398,月間集計シート!P$92:P$111)*AG$2</f>
        <v>0</v>
      </c>
      <c r="AH1398" s="88">
        <f>SUMIF(月間集計シート!$M$92:$M$111,$G1398,月間集計シート!Q$92:Q$111)*AH$2</f>
        <v>0</v>
      </c>
      <c r="AI1398" s="88">
        <f>SUMIF(月間集計シート!$M$92:$M$111,$G1398,月間集計シート!R$92:R$111)*AI$2</f>
        <v>0</v>
      </c>
      <c r="AJ1398" s="88">
        <f>SUMIF(月間集計シート!$M$92:$M$111,$G1398,月間集計シート!S$92:S$111)*AJ$2</f>
        <v>0</v>
      </c>
      <c r="AK1398" s="88">
        <f>SUMIF(月間集計シート!$M$92:$M$111,$G1398,月間集計シート!T$92:T$111)*AK$2</f>
        <v>0</v>
      </c>
      <c r="AL1398" s="88">
        <f>SUMIF(月間集計シート!$M$113:$M$132,$G1398,月間集計シート!N$113:N$132)*AL$2</f>
        <v>0</v>
      </c>
      <c r="AM1398" s="88">
        <f>SUMIF(月間集計シート!$M$113:$M$132,$G1398,月間集計シート!O$113:O$132)*AM$2</f>
        <v>0</v>
      </c>
      <c r="AN1398" s="88">
        <f>SUMIF(月間集計シート!$M$113:$M$132,$G1398,月間集計シート!P$113:P$132)*AN$2</f>
        <v>0</v>
      </c>
      <c r="AO1398" s="88">
        <f>SUMIF(月間集計シート!$M$113:$M$132,$G1398,月間集計シート!Q$113:Q$132)*AO$2</f>
        <v>0</v>
      </c>
      <c r="AP1398" s="88">
        <f>SUMIF(月間集計シート!$M$113:$M$132,$G1398,月間集計シート!R$113:R$132)*AP$2</f>
        <v>0</v>
      </c>
      <c r="AQ1398" s="88">
        <f>SUMIF(月間集計シート!$M$113:$M$132,$G1398,月間集計シート!S$113:S$132)*AQ$2</f>
        <v>0</v>
      </c>
      <c r="AR1398" s="88">
        <f>SUMIF(月間集計シート!$M$113:$M$132,$G1398,月間集計シート!T$113:T$132)*AR$2</f>
        <v>0</v>
      </c>
      <c r="AS1398" s="88">
        <f>SUMIF(月間集計シート!$M$134:$M$153,$G1398,月間集計シート!N$134:N$153)*AS$2</f>
        <v>0</v>
      </c>
      <c r="AT1398" s="88">
        <f>SUMIF(月間集計シート!$M$134:$M$153,$G1398,月間集計シート!O$134:O$153)*AT$2</f>
        <v>0</v>
      </c>
      <c r="AU1398" s="88">
        <f>SUMIF(月間集計シート!$M$134:$M$153,$G1398,月間集計シート!P$134:P$153)*AU$2</f>
        <v>0</v>
      </c>
      <c r="AV1398" s="88">
        <f>SUMIF(月間集計シート!$M$134:$M$153,$G1398,月間集計シート!Q$134:Q$153)*AV$2</f>
        <v>0</v>
      </c>
      <c r="AW1398" s="88">
        <f>SUMIF(月間集計シート!$M$134:$M$153,$G1398,月間集計シート!R$134:R$153)*AW$2</f>
        <v>0</v>
      </c>
      <c r="AX1398" s="88">
        <f>SUMIF(月間集計シート!$M$134:$M$153,$G1398,月間集計シート!S$134:S$153)*AX$2</f>
        <v>0</v>
      </c>
      <c r="AY1398" s="88">
        <f>SUMIF(月間集計シート!$M$134:$M$153,$G1398,月間集計シート!T$134:T$153)*AY$2</f>
        <v>0</v>
      </c>
    </row>
    <row r="1399" spans="1:51" ht="14.25" thickBot="1">
      <c r="A1399">
        <v>17</v>
      </c>
      <c r="B1399" s="120">
        <f t="shared" si="782"/>
        <v>0</v>
      </c>
      <c r="C1399" s="120" t="str">
        <f t="shared" si="783"/>
        <v/>
      </c>
      <c r="D1399" s="137"/>
      <c r="E1399" s="150" t="str">
        <f>工種!A31</f>
        <v>40109</v>
      </c>
      <c r="F1399" s="119" t="str">
        <f>工種!B31</f>
        <v>テスト：打合せ</v>
      </c>
      <c r="G1399" s="116" t="str">
        <f t="shared" si="784"/>
        <v>040109</v>
      </c>
      <c r="H1399" s="88">
        <f t="shared" si="738"/>
        <v>0</v>
      </c>
      <c r="I1399" s="132"/>
      <c r="J1399" s="88">
        <f>SUMIF(月間集計シート!$M$29:$M$48,$G1399,月間集計シート!N$29:N$48)*J$2</f>
        <v>0</v>
      </c>
      <c r="K1399" s="88">
        <f>SUMIF(月間集計シート!$M$29:$M$48,$G1399,月間集計シート!O$29:O$48)*K$2</f>
        <v>0</v>
      </c>
      <c r="L1399" s="88">
        <f>SUMIF(月間集計シート!$M$29:$M$48,$G1399,月間集計シート!P$29:P$48)*L$2</f>
        <v>0</v>
      </c>
      <c r="M1399" s="88">
        <f>SUMIF(月間集計シート!$M$29:$M$48,$G1399,月間集計シート!Q$29:Q$48)*M$2</f>
        <v>0</v>
      </c>
      <c r="N1399" s="88">
        <f>SUMIF(月間集計シート!$M$29:$M$48,$G1399,月間集計シート!R$29:R$48)*N$2</f>
        <v>0</v>
      </c>
      <c r="O1399" s="88">
        <f>SUMIF(月間集計シート!$M$29:$M$48,$G1399,月間集計シート!S$29:S$48)*O$2</f>
        <v>0</v>
      </c>
      <c r="P1399" s="88">
        <f>SUMIF(月間集計シート!$M$29:$M$48,$G1399,月間集計シート!T$29:T$48)*P$2</f>
        <v>0</v>
      </c>
      <c r="Q1399" s="88">
        <f>SUMIF(月間集計シート!$M$50:$M$69,$G1399,月間集計シート!N$50:N$69)*Q$2</f>
        <v>0</v>
      </c>
      <c r="R1399" s="88">
        <f>SUMIF(月間集計シート!$M$50:$M$69,$G1399,月間集計シート!O$50:O$69)*R$2</f>
        <v>0</v>
      </c>
      <c r="S1399" s="88">
        <f>SUMIF(月間集計シート!$M$50:$M$69,$G1399,月間集計シート!P$50:P$69)*S$2</f>
        <v>0</v>
      </c>
      <c r="T1399" s="88">
        <f>SUMIF(月間集計シート!$M$50:$M$69,$G1399,月間集計シート!Q$50:Q$69)*T$2</f>
        <v>0</v>
      </c>
      <c r="U1399" s="88">
        <f>SUMIF(月間集計シート!$M$50:$M$69,$G1399,月間集計シート!R$50:R$69)*U$2</f>
        <v>0</v>
      </c>
      <c r="V1399" s="88">
        <f>SUMIF(月間集計シート!$M$50:$M$69,$G1399,月間集計シート!S$50:S$69)*V$2</f>
        <v>0</v>
      </c>
      <c r="W1399" s="88">
        <f>SUMIF(月間集計シート!$M$50:$M$69,$G1399,月間集計シート!T$50:T$69)*W$2</f>
        <v>0</v>
      </c>
      <c r="X1399" s="88">
        <f>SUMIF(月間集計シート!$M$71:$M$90,$G1399,月間集計シート!N$71:N$90)*X$2</f>
        <v>0</v>
      </c>
      <c r="Y1399" s="88">
        <f>SUMIF(月間集計シート!$M$71:$M$90,$G1399,月間集計シート!O$71:O$90)*Y$2</f>
        <v>0</v>
      </c>
      <c r="Z1399" s="88">
        <f>SUMIF(月間集計シート!$M$71:$M$90,$G1399,月間集計シート!P$71:P$90)*Z$2</f>
        <v>0</v>
      </c>
      <c r="AA1399" s="88">
        <f>SUMIF(月間集計シート!$M$71:$M$90,$G1399,月間集計シート!Q$71:Q$90)*AA$2</f>
        <v>0</v>
      </c>
      <c r="AB1399" s="88">
        <f>SUMIF(月間集計シート!$M$71:$M$90,$G1399,月間集計シート!R$71:R$90)*AB$2</f>
        <v>0</v>
      </c>
      <c r="AC1399" s="88">
        <f>SUMIF(月間集計シート!$M$71:$M$90,$G1399,月間集計シート!S$71:S$90)*AC$2</f>
        <v>0</v>
      </c>
      <c r="AD1399" s="88">
        <f>SUMIF(月間集計シート!$M$71:$M$90,$G1399,月間集計シート!T$71:T$90)*AD$2</f>
        <v>0</v>
      </c>
      <c r="AE1399" s="88">
        <f>SUMIF(月間集計シート!$M$92:$M$111,$G1399,月間集計シート!N$92:N$111)*AE$2</f>
        <v>0</v>
      </c>
      <c r="AF1399" s="88">
        <f>SUMIF(月間集計シート!$M$92:$M$111,$G1399,月間集計シート!O$92:O$111)*AF$2</f>
        <v>0</v>
      </c>
      <c r="AG1399" s="88">
        <f>SUMIF(月間集計シート!$M$92:$M$111,$G1399,月間集計シート!P$92:P$111)*AG$2</f>
        <v>0</v>
      </c>
      <c r="AH1399" s="88">
        <f>SUMIF(月間集計シート!$M$92:$M$111,$G1399,月間集計シート!Q$92:Q$111)*AH$2</f>
        <v>0</v>
      </c>
      <c r="AI1399" s="88">
        <f>SUMIF(月間集計シート!$M$92:$M$111,$G1399,月間集計シート!R$92:R$111)*AI$2</f>
        <v>0</v>
      </c>
      <c r="AJ1399" s="88">
        <f>SUMIF(月間集計シート!$M$92:$M$111,$G1399,月間集計シート!S$92:S$111)*AJ$2</f>
        <v>0</v>
      </c>
      <c r="AK1399" s="88">
        <f>SUMIF(月間集計シート!$M$92:$M$111,$G1399,月間集計シート!T$92:T$111)*AK$2</f>
        <v>0</v>
      </c>
      <c r="AL1399" s="88">
        <f>SUMIF(月間集計シート!$M$113:$M$132,$G1399,月間集計シート!N$113:N$132)*AL$2</f>
        <v>0</v>
      </c>
      <c r="AM1399" s="88">
        <f>SUMIF(月間集計シート!$M$113:$M$132,$G1399,月間集計シート!O$113:O$132)*AM$2</f>
        <v>0</v>
      </c>
      <c r="AN1399" s="88">
        <f>SUMIF(月間集計シート!$M$113:$M$132,$G1399,月間集計シート!P$113:P$132)*AN$2</f>
        <v>0</v>
      </c>
      <c r="AO1399" s="88">
        <f>SUMIF(月間集計シート!$M$113:$M$132,$G1399,月間集計シート!Q$113:Q$132)*AO$2</f>
        <v>0</v>
      </c>
      <c r="AP1399" s="88">
        <f>SUMIF(月間集計シート!$M$113:$M$132,$G1399,月間集計シート!R$113:R$132)*AP$2</f>
        <v>0</v>
      </c>
      <c r="AQ1399" s="88">
        <f>SUMIF(月間集計シート!$M$113:$M$132,$G1399,月間集計シート!S$113:S$132)*AQ$2</f>
        <v>0</v>
      </c>
      <c r="AR1399" s="88">
        <f>SUMIF(月間集計シート!$M$113:$M$132,$G1399,月間集計シート!T$113:T$132)*AR$2</f>
        <v>0</v>
      </c>
      <c r="AS1399" s="88">
        <f>SUMIF(月間集計シート!$M$134:$M$153,$G1399,月間集計シート!N$134:N$153)*AS$2</f>
        <v>0</v>
      </c>
      <c r="AT1399" s="88">
        <f>SUMIF(月間集計シート!$M$134:$M$153,$G1399,月間集計シート!O$134:O$153)*AT$2</f>
        <v>0</v>
      </c>
      <c r="AU1399" s="88">
        <f>SUMIF(月間集計シート!$M$134:$M$153,$G1399,月間集計シート!P$134:P$153)*AU$2</f>
        <v>0</v>
      </c>
      <c r="AV1399" s="88">
        <f>SUMIF(月間集計シート!$M$134:$M$153,$G1399,月間集計シート!Q$134:Q$153)*AV$2</f>
        <v>0</v>
      </c>
      <c r="AW1399" s="88">
        <f>SUMIF(月間集計シート!$M$134:$M$153,$G1399,月間集計シート!R$134:R$153)*AW$2</f>
        <v>0</v>
      </c>
      <c r="AX1399" s="88">
        <f>SUMIF(月間集計シート!$M$134:$M$153,$G1399,月間集計シート!S$134:S$153)*AX$2</f>
        <v>0</v>
      </c>
      <c r="AY1399" s="88">
        <f>SUMIF(月間集計シート!$M$134:$M$153,$G1399,月間集計シート!T$134:T$153)*AY$2</f>
        <v>0</v>
      </c>
    </row>
    <row r="1400" spans="1:51" ht="14.25" thickBot="1">
      <c r="A1400">
        <v>17</v>
      </c>
      <c r="B1400" s="120">
        <f t="shared" si="782"/>
        <v>0</v>
      </c>
      <c r="C1400" s="120" t="str">
        <f t="shared" si="783"/>
        <v/>
      </c>
      <c r="D1400" s="137"/>
      <c r="E1400" s="150" t="str">
        <f>工種!A32</f>
        <v>40110</v>
      </c>
      <c r="F1400" s="119" t="str">
        <f>工種!B32</f>
        <v>テスト：レビュー</v>
      </c>
      <c r="G1400" s="116" t="str">
        <f t="shared" si="784"/>
        <v>040110</v>
      </c>
      <c r="H1400" s="88">
        <f t="shared" si="738"/>
        <v>0</v>
      </c>
      <c r="I1400" s="132"/>
      <c r="J1400" s="88">
        <f>SUMIF(月間集計シート!$M$29:$M$48,$G1400,月間集計シート!N$29:N$48)*J$2</f>
        <v>0</v>
      </c>
      <c r="K1400" s="88">
        <f>SUMIF(月間集計シート!$M$29:$M$48,$G1400,月間集計シート!O$29:O$48)*K$2</f>
        <v>0</v>
      </c>
      <c r="L1400" s="88">
        <f>SUMIF(月間集計シート!$M$29:$M$48,$G1400,月間集計シート!P$29:P$48)*L$2</f>
        <v>0</v>
      </c>
      <c r="M1400" s="88">
        <f>SUMIF(月間集計シート!$M$29:$M$48,$G1400,月間集計シート!Q$29:Q$48)*M$2</f>
        <v>0</v>
      </c>
      <c r="N1400" s="88">
        <f>SUMIF(月間集計シート!$M$29:$M$48,$G1400,月間集計シート!R$29:R$48)*N$2</f>
        <v>0</v>
      </c>
      <c r="O1400" s="88">
        <f>SUMIF(月間集計シート!$M$29:$M$48,$G1400,月間集計シート!S$29:S$48)*O$2</f>
        <v>0</v>
      </c>
      <c r="P1400" s="88">
        <f>SUMIF(月間集計シート!$M$29:$M$48,$G1400,月間集計シート!T$29:T$48)*P$2</f>
        <v>0</v>
      </c>
      <c r="Q1400" s="88">
        <f>SUMIF(月間集計シート!$M$50:$M$69,$G1400,月間集計シート!N$50:N$69)*Q$2</f>
        <v>0</v>
      </c>
      <c r="R1400" s="88">
        <f>SUMIF(月間集計シート!$M$50:$M$69,$G1400,月間集計シート!O$50:O$69)*R$2</f>
        <v>0</v>
      </c>
      <c r="S1400" s="88">
        <f>SUMIF(月間集計シート!$M$50:$M$69,$G1400,月間集計シート!P$50:P$69)*S$2</f>
        <v>0</v>
      </c>
      <c r="T1400" s="88">
        <f>SUMIF(月間集計シート!$M$50:$M$69,$G1400,月間集計シート!Q$50:Q$69)*T$2</f>
        <v>0</v>
      </c>
      <c r="U1400" s="88">
        <f>SUMIF(月間集計シート!$M$50:$M$69,$G1400,月間集計シート!R$50:R$69)*U$2</f>
        <v>0</v>
      </c>
      <c r="V1400" s="88">
        <f>SUMIF(月間集計シート!$M$50:$M$69,$G1400,月間集計シート!S$50:S$69)*V$2</f>
        <v>0</v>
      </c>
      <c r="W1400" s="88">
        <f>SUMIF(月間集計シート!$M$50:$M$69,$G1400,月間集計シート!T$50:T$69)*W$2</f>
        <v>0</v>
      </c>
      <c r="X1400" s="88">
        <f>SUMIF(月間集計シート!$M$71:$M$90,$G1400,月間集計シート!N$71:N$90)*X$2</f>
        <v>0</v>
      </c>
      <c r="Y1400" s="88">
        <f>SUMIF(月間集計シート!$M$71:$M$90,$G1400,月間集計シート!O$71:O$90)*Y$2</f>
        <v>0</v>
      </c>
      <c r="Z1400" s="88">
        <f>SUMIF(月間集計シート!$M$71:$M$90,$G1400,月間集計シート!P$71:P$90)*Z$2</f>
        <v>0</v>
      </c>
      <c r="AA1400" s="88">
        <f>SUMIF(月間集計シート!$M$71:$M$90,$G1400,月間集計シート!Q$71:Q$90)*AA$2</f>
        <v>0</v>
      </c>
      <c r="AB1400" s="88">
        <f>SUMIF(月間集計シート!$M$71:$M$90,$G1400,月間集計シート!R$71:R$90)*AB$2</f>
        <v>0</v>
      </c>
      <c r="AC1400" s="88">
        <f>SUMIF(月間集計シート!$M$71:$M$90,$G1400,月間集計シート!S$71:S$90)*AC$2</f>
        <v>0</v>
      </c>
      <c r="AD1400" s="88">
        <f>SUMIF(月間集計シート!$M$71:$M$90,$G1400,月間集計シート!T$71:T$90)*AD$2</f>
        <v>0</v>
      </c>
      <c r="AE1400" s="88">
        <f>SUMIF(月間集計シート!$M$92:$M$111,$G1400,月間集計シート!N$92:N$111)*AE$2</f>
        <v>0</v>
      </c>
      <c r="AF1400" s="88">
        <f>SUMIF(月間集計シート!$M$92:$M$111,$G1400,月間集計シート!O$92:O$111)*AF$2</f>
        <v>0</v>
      </c>
      <c r="AG1400" s="88">
        <f>SUMIF(月間集計シート!$M$92:$M$111,$G1400,月間集計シート!P$92:P$111)*AG$2</f>
        <v>0</v>
      </c>
      <c r="AH1400" s="88">
        <f>SUMIF(月間集計シート!$M$92:$M$111,$G1400,月間集計シート!Q$92:Q$111)*AH$2</f>
        <v>0</v>
      </c>
      <c r="AI1400" s="88">
        <f>SUMIF(月間集計シート!$M$92:$M$111,$G1400,月間集計シート!R$92:R$111)*AI$2</f>
        <v>0</v>
      </c>
      <c r="AJ1400" s="88">
        <f>SUMIF(月間集計シート!$M$92:$M$111,$G1400,月間集計シート!S$92:S$111)*AJ$2</f>
        <v>0</v>
      </c>
      <c r="AK1400" s="88">
        <f>SUMIF(月間集計シート!$M$92:$M$111,$G1400,月間集計シート!T$92:T$111)*AK$2</f>
        <v>0</v>
      </c>
      <c r="AL1400" s="88">
        <f>SUMIF(月間集計シート!$M$113:$M$132,$G1400,月間集計シート!N$113:N$132)*AL$2</f>
        <v>0</v>
      </c>
      <c r="AM1400" s="88">
        <f>SUMIF(月間集計シート!$M$113:$M$132,$G1400,月間集計シート!O$113:O$132)*AM$2</f>
        <v>0</v>
      </c>
      <c r="AN1400" s="88">
        <f>SUMIF(月間集計シート!$M$113:$M$132,$G1400,月間集計シート!P$113:P$132)*AN$2</f>
        <v>0</v>
      </c>
      <c r="AO1400" s="88">
        <f>SUMIF(月間集計シート!$M$113:$M$132,$G1400,月間集計シート!Q$113:Q$132)*AO$2</f>
        <v>0</v>
      </c>
      <c r="AP1400" s="88">
        <f>SUMIF(月間集計シート!$M$113:$M$132,$G1400,月間集計シート!R$113:R$132)*AP$2</f>
        <v>0</v>
      </c>
      <c r="AQ1400" s="88">
        <f>SUMIF(月間集計シート!$M$113:$M$132,$G1400,月間集計シート!S$113:S$132)*AQ$2</f>
        <v>0</v>
      </c>
      <c r="AR1400" s="88">
        <f>SUMIF(月間集計シート!$M$113:$M$132,$G1400,月間集計シート!T$113:T$132)*AR$2</f>
        <v>0</v>
      </c>
      <c r="AS1400" s="88">
        <f>SUMIF(月間集計シート!$M$134:$M$153,$G1400,月間集計シート!N$134:N$153)*AS$2</f>
        <v>0</v>
      </c>
      <c r="AT1400" s="88">
        <f>SUMIF(月間集計シート!$M$134:$M$153,$G1400,月間集計シート!O$134:O$153)*AT$2</f>
        <v>0</v>
      </c>
      <c r="AU1400" s="88">
        <f>SUMIF(月間集計シート!$M$134:$M$153,$G1400,月間集計シート!P$134:P$153)*AU$2</f>
        <v>0</v>
      </c>
      <c r="AV1400" s="88">
        <f>SUMIF(月間集計シート!$M$134:$M$153,$G1400,月間集計シート!Q$134:Q$153)*AV$2</f>
        <v>0</v>
      </c>
      <c r="AW1400" s="88">
        <f>SUMIF(月間集計シート!$M$134:$M$153,$G1400,月間集計シート!R$134:R$153)*AW$2</f>
        <v>0</v>
      </c>
      <c r="AX1400" s="88">
        <f>SUMIF(月間集計シート!$M$134:$M$153,$G1400,月間集計シート!S$134:S$153)*AX$2</f>
        <v>0</v>
      </c>
      <c r="AY1400" s="88">
        <f>SUMIF(月間集計シート!$M$134:$M$153,$G1400,月間集計シート!T$134:T$153)*AY$2</f>
        <v>0</v>
      </c>
    </row>
    <row r="1401" spans="1:51" ht="14.25" thickBot="1">
      <c r="A1401">
        <v>17</v>
      </c>
      <c r="B1401" s="120">
        <f t="shared" si="782"/>
        <v>0</v>
      </c>
      <c r="C1401" s="120" t="str">
        <f t="shared" si="783"/>
        <v/>
      </c>
      <c r="D1401" s="137"/>
      <c r="E1401" s="150" t="str">
        <f>工種!A33</f>
        <v>40111</v>
      </c>
      <c r="F1401" s="119" t="str">
        <f>工種!B33</f>
        <v>テスト：PG修正（手戻り分）</v>
      </c>
      <c r="G1401" s="116" t="str">
        <f t="shared" si="784"/>
        <v>040111</v>
      </c>
      <c r="H1401" s="88">
        <f t="shared" si="738"/>
        <v>0</v>
      </c>
      <c r="I1401" s="132"/>
      <c r="J1401" s="88">
        <f>SUMIF(月間集計シート!$M$29:$M$48,$G1401,月間集計シート!N$29:N$48)*J$2</f>
        <v>0</v>
      </c>
      <c r="K1401" s="88">
        <f>SUMIF(月間集計シート!$M$29:$M$48,$G1401,月間集計シート!O$29:O$48)*K$2</f>
        <v>0</v>
      </c>
      <c r="L1401" s="88">
        <f>SUMIF(月間集計シート!$M$29:$M$48,$G1401,月間集計シート!P$29:P$48)*L$2</f>
        <v>0</v>
      </c>
      <c r="M1401" s="88">
        <f>SUMIF(月間集計シート!$M$29:$M$48,$G1401,月間集計シート!Q$29:Q$48)*M$2</f>
        <v>0</v>
      </c>
      <c r="N1401" s="88">
        <f>SUMIF(月間集計シート!$M$29:$M$48,$G1401,月間集計シート!R$29:R$48)*N$2</f>
        <v>0</v>
      </c>
      <c r="O1401" s="88">
        <f>SUMIF(月間集計シート!$M$29:$M$48,$G1401,月間集計シート!S$29:S$48)*O$2</f>
        <v>0</v>
      </c>
      <c r="P1401" s="88">
        <f>SUMIF(月間集計シート!$M$29:$M$48,$G1401,月間集計シート!T$29:T$48)*P$2</f>
        <v>0</v>
      </c>
      <c r="Q1401" s="88">
        <f>SUMIF(月間集計シート!$M$50:$M$69,$G1401,月間集計シート!N$50:N$69)*Q$2</f>
        <v>0</v>
      </c>
      <c r="R1401" s="88">
        <f>SUMIF(月間集計シート!$M$50:$M$69,$G1401,月間集計シート!O$50:O$69)*R$2</f>
        <v>0</v>
      </c>
      <c r="S1401" s="88">
        <f>SUMIF(月間集計シート!$M$50:$M$69,$G1401,月間集計シート!P$50:P$69)*S$2</f>
        <v>0</v>
      </c>
      <c r="T1401" s="88">
        <f>SUMIF(月間集計シート!$M$50:$M$69,$G1401,月間集計シート!Q$50:Q$69)*T$2</f>
        <v>0</v>
      </c>
      <c r="U1401" s="88">
        <f>SUMIF(月間集計シート!$M$50:$M$69,$G1401,月間集計シート!R$50:R$69)*U$2</f>
        <v>0</v>
      </c>
      <c r="V1401" s="88">
        <f>SUMIF(月間集計シート!$M$50:$M$69,$G1401,月間集計シート!S$50:S$69)*V$2</f>
        <v>0</v>
      </c>
      <c r="W1401" s="88">
        <f>SUMIF(月間集計シート!$M$50:$M$69,$G1401,月間集計シート!T$50:T$69)*W$2</f>
        <v>0</v>
      </c>
      <c r="X1401" s="88">
        <f>SUMIF(月間集計シート!$M$71:$M$90,$G1401,月間集計シート!N$71:N$90)*X$2</f>
        <v>0</v>
      </c>
      <c r="Y1401" s="88">
        <f>SUMIF(月間集計シート!$M$71:$M$90,$G1401,月間集計シート!O$71:O$90)*Y$2</f>
        <v>0</v>
      </c>
      <c r="Z1401" s="88">
        <f>SUMIF(月間集計シート!$M$71:$M$90,$G1401,月間集計シート!P$71:P$90)*Z$2</f>
        <v>0</v>
      </c>
      <c r="AA1401" s="88">
        <f>SUMIF(月間集計シート!$M$71:$M$90,$G1401,月間集計シート!Q$71:Q$90)*AA$2</f>
        <v>0</v>
      </c>
      <c r="AB1401" s="88">
        <f>SUMIF(月間集計シート!$M$71:$M$90,$G1401,月間集計シート!R$71:R$90)*AB$2</f>
        <v>0</v>
      </c>
      <c r="AC1401" s="88">
        <f>SUMIF(月間集計シート!$M$71:$M$90,$G1401,月間集計シート!S$71:S$90)*AC$2</f>
        <v>0</v>
      </c>
      <c r="AD1401" s="88">
        <f>SUMIF(月間集計シート!$M$71:$M$90,$G1401,月間集計シート!T$71:T$90)*AD$2</f>
        <v>0</v>
      </c>
      <c r="AE1401" s="88">
        <f>SUMIF(月間集計シート!$M$92:$M$111,$G1401,月間集計シート!N$92:N$111)*AE$2</f>
        <v>0</v>
      </c>
      <c r="AF1401" s="88">
        <f>SUMIF(月間集計シート!$M$92:$M$111,$G1401,月間集計シート!O$92:O$111)*AF$2</f>
        <v>0</v>
      </c>
      <c r="AG1401" s="88">
        <f>SUMIF(月間集計シート!$M$92:$M$111,$G1401,月間集計シート!P$92:P$111)*AG$2</f>
        <v>0</v>
      </c>
      <c r="AH1401" s="88">
        <f>SUMIF(月間集計シート!$M$92:$M$111,$G1401,月間集計シート!Q$92:Q$111)*AH$2</f>
        <v>0</v>
      </c>
      <c r="AI1401" s="88">
        <f>SUMIF(月間集計シート!$M$92:$M$111,$G1401,月間集計シート!R$92:R$111)*AI$2</f>
        <v>0</v>
      </c>
      <c r="AJ1401" s="88">
        <f>SUMIF(月間集計シート!$M$92:$M$111,$G1401,月間集計シート!S$92:S$111)*AJ$2</f>
        <v>0</v>
      </c>
      <c r="AK1401" s="88">
        <f>SUMIF(月間集計シート!$M$92:$M$111,$G1401,月間集計シート!T$92:T$111)*AK$2</f>
        <v>0</v>
      </c>
      <c r="AL1401" s="88">
        <f>SUMIF(月間集計シート!$M$113:$M$132,$G1401,月間集計シート!N$113:N$132)*AL$2</f>
        <v>0</v>
      </c>
      <c r="AM1401" s="88">
        <f>SUMIF(月間集計シート!$M$113:$M$132,$G1401,月間集計シート!O$113:O$132)*AM$2</f>
        <v>0</v>
      </c>
      <c r="AN1401" s="88">
        <f>SUMIF(月間集計シート!$M$113:$M$132,$G1401,月間集計シート!P$113:P$132)*AN$2</f>
        <v>0</v>
      </c>
      <c r="AO1401" s="88">
        <f>SUMIF(月間集計シート!$M$113:$M$132,$G1401,月間集計シート!Q$113:Q$132)*AO$2</f>
        <v>0</v>
      </c>
      <c r="AP1401" s="88">
        <f>SUMIF(月間集計シート!$M$113:$M$132,$G1401,月間集計シート!R$113:R$132)*AP$2</f>
        <v>0</v>
      </c>
      <c r="AQ1401" s="88">
        <f>SUMIF(月間集計シート!$M$113:$M$132,$G1401,月間集計シート!S$113:S$132)*AQ$2</f>
        <v>0</v>
      </c>
      <c r="AR1401" s="88">
        <f>SUMIF(月間集計シート!$M$113:$M$132,$G1401,月間集計シート!T$113:T$132)*AR$2</f>
        <v>0</v>
      </c>
      <c r="AS1401" s="88">
        <f>SUMIF(月間集計シート!$M$134:$M$153,$G1401,月間集計シート!N$134:N$153)*AS$2</f>
        <v>0</v>
      </c>
      <c r="AT1401" s="88">
        <f>SUMIF(月間集計シート!$M$134:$M$153,$G1401,月間集計シート!O$134:O$153)*AT$2</f>
        <v>0</v>
      </c>
      <c r="AU1401" s="88">
        <f>SUMIF(月間集計シート!$M$134:$M$153,$G1401,月間集計シート!P$134:P$153)*AU$2</f>
        <v>0</v>
      </c>
      <c r="AV1401" s="88">
        <f>SUMIF(月間集計シート!$M$134:$M$153,$G1401,月間集計シート!Q$134:Q$153)*AV$2</f>
        <v>0</v>
      </c>
      <c r="AW1401" s="88">
        <f>SUMIF(月間集計シート!$M$134:$M$153,$G1401,月間集計シート!R$134:R$153)*AW$2</f>
        <v>0</v>
      </c>
      <c r="AX1401" s="88">
        <f>SUMIF(月間集計シート!$M$134:$M$153,$G1401,月間集計シート!S$134:S$153)*AX$2</f>
        <v>0</v>
      </c>
      <c r="AY1401" s="88">
        <f>SUMIF(月間集計シート!$M$134:$M$153,$G1401,月間集計シート!T$134:T$153)*AY$2</f>
        <v>0</v>
      </c>
    </row>
    <row r="1402" spans="1:51" ht="14.25" thickBot="1">
      <c r="A1402">
        <v>17</v>
      </c>
      <c r="B1402" s="120">
        <f t="shared" si="782"/>
        <v>0</v>
      </c>
      <c r="C1402" s="120" t="str">
        <f t="shared" si="783"/>
        <v/>
      </c>
      <c r="D1402" s="137"/>
      <c r="E1402" s="150" t="str">
        <f>工種!A34</f>
        <v>40112</v>
      </c>
      <c r="F1402" s="119" t="str">
        <f>工種!B34</f>
        <v>テスト：再テスト（手戻り分）</v>
      </c>
      <c r="G1402" s="116" t="str">
        <f t="shared" si="784"/>
        <v>040112</v>
      </c>
      <c r="H1402" s="88">
        <f t="shared" si="738"/>
        <v>0</v>
      </c>
      <c r="I1402" s="132"/>
      <c r="J1402" s="88">
        <f>SUMIF(月間集計シート!$M$29:$M$48,$G1402,月間集計シート!N$29:N$48)*J$2</f>
        <v>0</v>
      </c>
      <c r="K1402" s="88">
        <f>SUMIF(月間集計シート!$M$29:$M$48,$G1402,月間集計シート!O$29:O$48)*K$2</f>
        <v>0</v>
      </c>
      <c r="L1402" s="88">
        <f>SUMIF(月間集計シート!$M$29:$M$48,$G1402,月間集計シート!P$29:P$48)*L$2</f>
        <v>0</v>
      </c>
      <c r="M1402" s="88">
        <f>SUMIF(月間集計シート!$M$29:$M$48,$G1402,月間集計シート!Q$29:Q$48)*M$2</f>
        <v>0</v>
      </c>
      <c r="N1402" s="88">
        <f>SUMIF(月間集計シート!$M$29:$M$48,$G1402,月間集計シート!R$29:R$48)*N$2</f>
        <v>0</v>
      </c>
      <c r="O1402" s="88">
        <f>SUMIF(月間集計シート!$M$29:$M$48,$G1402,月間集計シート!S$29:S$48)*O$2</f>
        <v>0</v>
      </c>
      <c r="P1402" s="88">
        <f>SUMIF(月間集計シート!$M$29:$M$48,$G1402,月間集計シート!T$29:T$48)*P$2</f>
        <v>0</v>
      </c>
      <c r="Q1402" s="88">
        <f>SUMIF(月間集計シート!$M$50:$M$69,$G1402,月間集計シート!N$50:N$69)*Q$2</f>
        <v>0</v>
      </c>
      <c r="R1402" s="88">
        <f>SUMIF(月間集計シート!$M$50:$M$69,$G1402,月間集計シート!O$50:O$69)*R$2</f>
        <v>0</v>
      </c>
      <c r="S1402" s="88">
        <f>SUMIF(月間集計シート!$M$50:$M$69,$G1402,月間集計シート!P$50:P$69)*S$2</f>
        <v>0</v>
      </c>
      <c r="T1402" s="88">
        <f>SUMIF(月間集計シート!$M$50:$M$69,$G1402,月間集計シート!Q$50:Q$69)*T$2</f>
        <v>0</v>
      </c>
      <c r="U1402" s="88">
        <f>SUMIF(月間集計シート!$M$50:$M$69,$G1402,月間集計シート!R$50:R$69)*U$2</f>
        <v>0</v>
      </c>
      <c r="V1402" s="88">
        <f>SUMIF(月間集計シート!$M$50:$M$69,$G1402,月間集計シート!S$50:S$69)*V$2</f>
        <v>0</v>
      </c>
      <c r="W1402" s="88">
        <f>SUMIF(月間集計シート!$M$50:$M$69,$G1402,月間集計シート!T$50:T$69)*W$2</f>
        <v>0</v>
      </c>
      <c r="X1402" s="88">
        <f>SUMIF(月間集計シート!$M$71:$M$90,$G1402,月間集計シート!N$71:N$90)*X$2</f>
        <v>0</v>
      </c>
      <c r="Y1402" s="88">
        <f>SUMIF(月間集計シート!$M$71:$M$90,$G1402,月間集計シート!O$71:O$90)*Y$2</f>
        <v>0</v>
      </c>
      <c r="Z1402" s="88">
        <f>SUMIF(月間集計シート!$M$71:$M$90,$G1402,月間集計シート!P$71:P$90)*Z$2</f>
        <v>0</v>
      </c>
      <c r="AA1402" s="88">
        <f>SUMIF(月間集計シート!$M$71:$M$90,$G1402,月間集計シート!Q$71:Q$90)*AA$2</f>
        <v>0</v>
      </c>
      <c r="AB1402" s="88">
        <f>SUMIF(月間集計シート!$M$71:$M$90,$G1402,月間集計シート!R$71:R$90)*AB$2</f>
        <v>0</v>
      </c>
      <c r="AC1402" s="88">
        <f>SUMIF(月間集計シート!$M$71:$M$90,$G1402,月間集計シート!S$71:S$90)*AC$2</f>
        <v>0</v>
      </c>
      <c r="AD1402" s="88">
        <f>SUMIF(月間集計シート!$M$71:$M$90,$G1402,月間集計シート!T$71:T$90)*AD$2</f>
        <v>0</v>
      </c>
      <c r="AE1402" s="88">
        <f>SUMIF(月間集計シート!$M$92:$M$111,$G1402,月間集計シート!N$92:N$111)*AE$2</f>
        <v>0</v>
      </c>
      <c r="AF1402" s="88">
        <f>SUMIF(月間集計シート!$M$92:$M$111,$G1402,月間集計シート!O$92:O$111)*AF$2</f>
        <v>0</v>
      </c>
      <c r="AG1402" s="88">
        <f>SUMIF(月間集計シート!$M$92:$M$111,$G1402,月間集計シート!P$92:P$111)*AG$2</f>
        <v>0</v>
      </c>
      <c r="AH1402" s="88">
        <f>SUMIF(月間集計シート!$M$92:$M$111,$G1402,月間集計シート!Q$92:Q$111)*AH$2</f>
        <v>0</v>
      </c>
      <c r="AI1402" s="88">
        <f>SUMIF(月間集計シート!$M$92:$M$111,$G1402,月間集計シート!R$92:R$111)*AI$2</f>
        <v>0</v>
      </c>
      <c r="AJ1402" s="88">
        <f>SUMIF(月間集計シート!$M$92:$M$111,$G1402,月間集計シート!S$92:S$111)*AJ$2</f>
        <v>0</v>
      </c>
      <c r="AK1402" s="88">
        <f>SUMIF(月間集計シート!$M$92:$M$111,$G1402,月間集計シート!T$92:T$111)*AK$2</f>
        <v>0</v>
      </c>
      <c r="AL1402" s="88">
        <f>SUMIF(月間集計シート!$M$113:$M$132,$G1402,月間集計シート!N$113:N$132)*AL$2</f>
        <v>0</v>
      </c>
      <c r="AM1402" s="88">
        <f>SUMIF(月間集計シート!$M$113:$M$132,$G1402,月間集計シート!O$113:O$132)*AM$2</f>
        <v>0</v>
      </c>
      <c r="AN1402" s="88">
        <f>SUMIF(月間集計シート!$M$113:$M$132,$G1402,月間集計シート!P$113:P$132)*AN$2</f>
        <v>0</v>
      </c>
      <c r="AO1402" s="88">
        <f>SUMIF(月間集計シート!$M$113:$M$132,$G1402,月間集計シート!Q$113:Q$132)*AO$2</f>
        <v>0</v>
      </c>
      <c r="AP1402" s="88">
        <f>SUMIF(月間集計シート!$M$113:$M$132,$G1402,月間集計シート!R$113:R$132)*AP$2</f>
        <v>0</v>
      </c>
      <c r="AQ1402" s="88">
        <f>SUMIF(月間集計シート!$M$113:$M$132,$G1402,月間集計シート!S$113:S$132)*AQ$2</f>
        <v>0</v>
      </c>
      <c r="AR1402" s="88">
        <f>SUMIF(月間集計シート!$M$113:$M$132,$G1402,月間集計シート!T$113:T$132)*AR$2</f>
        <v>0</v>
      </c>
      <c r="AS1402" s="88">
        <f>SUMIF(月間集計シート!$M$134:$M$153,$G1402,月間集計シート!N$134:N$153)*AS$2</f>
        <v>0</v>
      </c>
      <c r="AT1402" s="88">
        <f>SUMIF(月間集計シート!$M$134:$M$153,$G1402,月間集計シート!O$134:O$153)*AT$2</f>
        <v>0</v>
      </c>
      <c r="AU1402" s="88">
        <f>SUMIF(月間集計シート!$M$134:$M$153,$G1402,月間集計シート!P$134:P$153)*AU$2</f>
        <v>0</v>
      </c>
      <c r="AV1402" s="88">
        <f>SUMIF(月間集計シート!$M$134:$M$153,$G1402,月間集計シート!Q$134:Q$153)*AV$2</f>
        <v>0</v>
      </c>
      <c r="AW1402" s="88">
        <f>SUMIF(月間集計シート!$M$134:$M$153,$G1402,月間集計シート!R$134:R$153)*AW$2</f>
        <v>0</v>
      </c>
      <c r="AX1402" s="88">
        <f>SUMIF(月間集計シート!$M$134:$M$153,$G1402,月間集計シート!S$134:S$153)*AX$2</f>
        <v>0</v>
      </c>
      <c r="AY1402" s="88">
        <f>SUMIF(月間集計シート!$M$134:$M$153,$G1402,月間集計シート!T$134:T$153)*AY$2</f>
        <v>0</v>
      </c>
    </row>
    <row r="1403" spans="1:51" ht="14.25" thickBot="1">
      <c r="A1403">
        <v>17</v>
      </c>
      <c r="B1403" s="120">
        <f t="shared" si="782"/>
        <v>0</v>
      </c>
      <c r="C1403" s="120" t="str">
        <f t="shared" si="783"/>
        <v/>
      </c>
      <c r="D1403" s="137"/>
      <c r="E1403" s="150" t="str">
        <f>工種!A35</f>
        <v>40113</v>
      </c>
      <c r="F1403" s="119" t="str">
        <f>工種!B35</f>
        <v>テスト：QA対応</v>
      </c>
      <c r="G1403" s="116" t="str">
        <f t="shared" si="784"/>
        <v>040113</v>
      </c>
      <c r="H1403" s="88">
        <f t="shared" si="738"/>
        <v>0</v>
      </c>
      <c r="I1403" s="132"/>
      <c r="J1403" s="88">
        <f>SUMIF(月間集計シート!$M$29:$M$48,$G1403,月間集計シート!N$29:N$48)*J$2</f>
        <v>0</v>
      </c>
      <c r="K1403" s="88">
        <f>SUMIF(月間集計シート!$M$29:$M$48,$G1403,月間集計シート!O$29:O$48)*K$2</f>
        <v>0</v>
      </c>
      <c r="L1403" s="88">
        <f>SUMIF(月間集計シート!$M$29:$M$48,$G1403,月間集計シート!P$29:P$48)*L$2</f>
        <v>0</v>
      </c>
      <c r="M1403" s="88">
        <f>SUMIF(月間集計シート!$M$29:$M$48,$G1403,月間集計シート!Q$29:Q$48)*M$2</f>
        <v>0</v>
      </c>
      <c r="N1403" s="88">
        <f>SUMIF(月間集計シート!$M$29:$M$48,$G1403,月間集計シート!R$29:R$48)*N$2</f>
        <v>0</v>
      </c>
      <c r="O1403" s="88">
        <f>SUMIF(月間集計シート!$M$29:$M$48,$G1403,月間集計シート!S$29:S$48)*O$2</f>
        <v>0</v>
      </c>
      <c r="P1403" s="88">
        <f>SUMIF(月間集計シート!$M$29:$M$48,$G1403,月間集計シート!T$29:T$48)*P$2</f>
        <v>0</v>
      </c>
      <c r="Q1403" s="88">
        <f>SUMIF(月間集計シート!$M$50:$M$69,$G1403,月間集計シート!N$50:N$69)*Q$2</f>
        <v>0</v>
      </c>
      <c r="R1403" s="88">
        <f>SUMIF(月間集計シート!$M$50:$M$69,$G1403,月間集計シート!O$50:O$69)*R$2</f>
        <v>0</v>
      </c>
      <c r="S1403" s="88">
        <f>SUMIF(月間集計シート!$M$50:$M$69,$G1403,月間集計シート!P$50:P$69)*S$2</f>
        <v>0</v>
      </c>
      <c r="T1403" s="88">
        <f>SUMIF(月間集計シート!$M$50:$M$69,$G1403,月間集計シート!Q$50:Q$69)*T$2</f>
        <v>0</v>
      </c>
      <c r="U1403" s="88">
        <f>SUMIF(月間集計シート!$M$50:$M$69,$G1403,月間集計シート!R$50:R$69)*U$2</f>
        <v>0</v>
      </c>
      <c r="V1403" s="88">
        <f>SUMIF(月間集計シート!$M$50:$M$69,$G1403,月間集計シート!S$50:S$69)*V$2</f>
        <v>0</v>
      </c>
      <c r="W1403" s="88">
        <f>SUMIF(月間集計シート!$M$50:$M$69,$G1403,月間集計シート!T$50:T$69)*W$2</f>
        <v>0</v>
      </c>
      <c r="X1403" s="88">
        <f>SUMIF(月間集計シート!$M$71:$M$90,$G1403,月間集計シート!N$71:N$90)*X$2</f>
        <v>0</v>
      </c>
      <c r="Y1403" s="88">
        <f>SUMIF(月間集計シート!$M$71:$M$90,$G1403,月間集計シート!O$71:O$90)*Y$2</f>
        <v>0</v>
      </c>
      <c r="Z1403" s="88">
        <f>SUMIF(月間集計シート!$M$71:$M$90,$G1403,月間集計シート!P$71:P$90)*Z$2</f>
        <v>0</v>
      </c>
      <c r="AA1403" s="88">
        <f>SUMIF(月間集計シート!$M$71:$M$90,$G1403,月間集計シート!Q$71:Q$90)*AA$2</f>
        <v>0</v>
      </c>
      <c r="AB1403" s="88">
        <f>SUMIF(月間集計シート!$M$71:$M$90,$G1403,月間集計シート!R$71:R$90)*AB$2</f>
        <v>0</v>
      </c>
      <c r="AC1403" s="88">
        <f>SUMIF(月間集計シート!$M$71:$M$90,$G1403,月間集計シート!S$71:S$90)*AC$2</f>
        <v>0</v>
      </c>
      <c r="AD1403" s="88">
        <f>SUMIF(月間集計シート!$M$71:$M$90,$G1403,月間集計シート!T$71:T$90)*AD$2</f>
        <v>0</v>
      </c>
      <c r="AE1403" s="88">
        <f>SUMIF(月間集計シート!$M$92:$M$111,$G1403,月間集計シート!N$92:N$111)*AE$2</f>
        <v>0</v>
      </c>
      <c r="AF1403" s="88">
        <f>SUMIF(月間集計シート!$M$92:$M$111,$G1403,月間集計シート!O$92:O$111)*AF$2</f>
        <v>0</v>
      </c>
      <c r="AG1403" s="88">
        <f>SUMIF(月間集計シート!$M$92:$M$111,$G1403,月間集計シート!P$92:P$111)*AG$2</f>
        <v>0</v>
      </c>
      <c r="AH1403" s="88">
        <f>SUMIF(月間集計シート!$M$92:$M$111,$G1403,月間集計シート!Q$92:Q$111)*AH$2</f>
        <v>0</v>
      </c>
      <c r="AI1403" s="88">
        <f>SUMIF(月間集計シート!$M$92:$M$111,$G1403,月間集計シート!R$92:R$111)*AI$2</f>
        <v>0</v>
      </c>
      <c r="AJ1403" s="88">
        <f>SUMIF(月間集計シート!$M$92:$M$111,$G1403,月間集計シート!S$92:S$111)*AJ$2</f>
        <v>0</v>
      </c>
      <c r="AK1403" s="88">
        <f>SUMIF(月間集計シート!$M$92:$M$111,$G1403,月間集計シート!T$92:T$111)*AK$2</f>
        <v>0</v>
      </c>
      <c r="AL1403" s="88">
        <f>SUMIF(月間集計シート!$M$113:$M$132,$G1403,月間集計シート!N$113:N$132)*AL$2</f>
        <v>0</v>
      </c>
      <c r="AM1403" s="88">
        <f>SUMIF(月間集計シート!$M$113:$M$132,$G1403,月間集計シート!O$113:O$132)*AM$2</f>
        <v>0</v>
      </c>
      <c r="AN1403" s="88">
        <f>SUMIF(月間集計シート!$M$113:$M$132,$G1403,月間集計シート!P$113:P$132)*AN$2</f>
        <v>0</v>
      </c>
      <c r="AO1403" s="88">
        <f>SUMIF(月間集計シート!$M$113:$M$132,$G1403,月間集計シート!Q$113:Q$132)*AO$2</f>
        <v>0</v>
      </c>
      <c r="AP1403" s="88">
        <f>SUMIF(月間集計シート!$M$113:$M$132,$G1403,月間集計シート!R$113:R$132)*AP$2</f>
        <v>0</v>
      </c>
      <c r="AQ1403" s="88">
        <f>SUMIF(月間集計シート!$M$113:$M$132,$G1403,月間集計シート!S$113:S$132)*AQ$2</f>
        <v>0</v>
      </c>
      <c r="AR1403" s="88">
        <f>SUMIF(月間集計シート!$M$113:$M$132,$G1403,月間集計シート!T$113:T$132)*AR$2</f>
        <v>0</v>
      </c>
      <c r="AS1403" s="88">
        <f>SUMIF(月間集計シート!$M$134:$M$153,$G1403,月間集計シート!N$134:N$153)*AS$2</f>
        <v>0</v>
      </c>
      <c r="AT1403" s="88">
        <f>SUMIF(月間集計シート!$M$134:$M$153,$G1403,月間集計シート!O$134:O$153)*AT$2</f>
        <v>0</v>
      </c>
      <c r="AU1403" s="88">
        <f>SUMIF(月間集計シート!$M$134:$M$153,$G1403,月間集計シート!P$134:P$153)*AU$2</f>
        <v>0</v>
      </c>
      <c r="AV1403" s="88">
        <f>SUMIF(月間集計シート!$M$134:$M$153,$G1403,月間集計シート!Q$134:Q$153)*AV$2</f>
        <v>0</v>
      </c>
      <c r="AW1403" s="88">
        <f>SUMIF(月間集計シート!$M$134:$M$153,$G1403,月間集計シート!R$134:R$153)*AW$2</f>
        <v>0</v>
      </c>
      <c r="AX1403" s="88">
        <f>SUMIF(月間集計シート!$M$134:$M$153,$G1403,月間集計シート!S$134:S$153)*AX$2</f>
        <v>0</v>
      </c>
      <c r="AY1403" s="88">
        <f>SUMIF(月間集計シート!$M$134:$M$153,$G1403,月間集計シート!T$134:T$153)*AY$2</f>
        <v>0</v>
      </c>
    </row>
    <row r="1404" spans="1:51" ht="14.25" thickBot="1">
      <c r="A1404">
        <v>17</v>
      </c>
      <c r="B1404" s="120">
        <f t="shared" si="782"/>
        <v>0</v>
      </c>
      <c r="C1404" s="120" t="str">
        <f t="shared" si="783"/>
        <v/>
      </c>
      <c r="D1404" s="137"/>
      <c r="E1404" s="150" t="str">
        <f>工種!A36</f>
        <v>40189</v>
      </c>
      <c r="F1404" s="119" t="str">
        <f>工種!B36</f>
        <v>テスト：内部不具合分析</v>
      </c>
      <c r="G1404" s="116" t="str">
        <f t="shared" si="784"/>
        <v>040189</v>
      </c>
      <c r="H1404" s="88">
        <f t="shared" si="738"/>
        <v>0</v>
      </c>
      <c r="I1404" s="132"/>
      <c r="J1404" s="88">
        <f>SUMIF(月間集計シート!$M$29:$M$48,$G1404,月間集計シート!N$29:N$48)*J$2</f>
        <v>0</v>
      </c>
      <c r="K1404" s="88">
        <f>SUMIF(月間集計シート!$M$29:$M$48,$G1404,月間集計シート!O$29:O$48)*K$2</f>
        <v>0</v>
      </c>
      <c r="L1404" s="88">
        <f>SUMIF(月間集計シート!$M$29:$M$48,$G1404,月間集計シート!P$29:P$48)*L$2</f>
        <v>0</v>
      </c>
      <c r="M1404" s="88">
        <f>SUMIF(月間集計シート!$M$29:$M$48,$G1404,月間集計シート!Q$29:Q$48)*M$2</f>
        <v>0</v>
      </c>
      <c r="N1404" s="88">
        <f>SUMIF(月間集計シート!$M$29:$M$48,$G1404,月間集計シート!R$29:R$48)*N$2</f>
        <v>0</v>
      </c>
      <c r="O1404" s="88">
        <f>SUMIF(月間集計シート!$M$29:$M$48,$G1404,月間集計シート!S$29:S$48)*O$2</f>
        <v>0</v>
      </c>
      <c r="P1404" s="88">
        <f>SUMIF(月間集計シート!$M$29:$M$48,$G1404,月間集計シート!T$29:T$48)*P$2</f>
        <v>0</v>
      </c>
      <c r="Q1404" s="88">
        <f>SUMIF(月間集計シート!$M$50:$M$69,$G1404,月間集計シート!N$50:N$69)*Q$2</f>
        <v>0</v>
      </c>
      <c r="R1404" s="88">
        <f>SUMIF(月間集計シート!$M$50:$M$69,$G1404,月間集計シート!O$50:O$69)*R$2</f>
        <v>0</v>
      </c>
      <c r="S1404" s="88">
        <f>SUMIF(月間集計シート!$M$50:$M$69,$G1404,月間集計シート!P$50:P$69)*S$2</f>
        <v>0</v>
      </c>
      <c r="T1404" s="88">
        <f>SUMIF(月間集計シート!$M$50:$M$69,$G1404,月間集計シート!Q$50:Q$69)*T$2</f>
        <v>0</v>
      </c>
      <c r="U1404" s="88">
        <f>SUMIF(月間集計シート!$M$50:$M$69,$G1404,月間集計シート!R$50:R$69)*U$2</f>
        <v>0</v>
      </c>
      <c r="V1404" s="88">
        <f>SUMIF(月間集計シート!$M$50:$M$69,$G1404,月間集計シート!S$50:S$69)*V$2</f>
        <v>0</v>
      </c>
      <c r="W1404" s="88">
        <f>SUMIF(月間集計シート!$M$50:$M$69,$G1404,月間集計シート!T$50:T$69)*W$2</f>
        <v>0</v>
      </c>
      <c r="X1404" s="88">
        <f>SUMIF(月間集計シート!$M$71:$M$90,$G1404,月間集計シート!N$71:N$90)*X$2</f>
        <v>0</v>
      </c>
      <c r="Y1404" s="88">
        <f>SUMIF(月間集計シート!$M$71:$M$90,$G1404,月間集計シート!O$71:O$90)*Y$2</f>
        <v>0</v>
      </c>
      <c r="Z1404" s="88">
        <f>SUMIF(月間集計シート!$M$71:$M$90,$G1404,月間集計シート!P$71:P$90)*Z$2</f>
        <v>0</v>
      </c>
      <c r="AA1404" s="88">
        <f>SUMIF(月間集計シート!$M$71:$M$90,$G1404,月間集計シート!Q$71:Q$90)*AA$2</f>
        <v>0</v>
      </c>
      <c r="AB1404" s="88">
        <f>SUMIF(月間集計シート!$M$71:$M$90,$G1404,月間集計シート!R$71:R$90)*AB$2</f>
        <v>0</v>
      </c>
      <c r="AC1404" s="88">
        <f>SUMIF(月間集計シート!$M$71:$M$90,$G1404,月間集計シート!S$71:S$90)*AC$2</f>
        <v>0</v>
      </c>
      <c r="AD1404" s="88">
        <f>SUMIF(月間集計シート!$M$71:$M$90,$G1404,月間集計シート!T$71:T$90)*AD$2</f>
        <v>0</v>
      </c>
      <c r="AE1404" s="88">
        <f>SUMIF(月間集計シート!$M$92:$M$111,$G1404,月間集計シート!N$92:N$111)*AE$2</f>
        <v>0</v>
      </c>
      <c r="AF1404" s="88">
        <f>SUMIF(月間集計シート!$M$92:$M$111,$G1404,月間集計シート!O$92:O$111)*AF$2</f>
        <v>0</v>
      </c>
      <c r="AG1404" s="88">
        <f>SUMIF(月間集計シート!$M$92:$M$111,$G1404,月間集計シート!P$92:P$111)*AG$2</f>
        <v>0</v>
      </c>
      <c r="AH1404" s="88">
        <f>SUMIF(月間集計シート!$M$92:$M$111,$G1404,月間集計シート!Q$92:Q$111)*AH$2</f>
        <v>0</v>
      </c>
      <c r="AI1404" s="88">
        <f>SUMIF(月間集計シート!$M$92:$M$111,$G1404,月間集計シート!R$92:R$111)*AI$2</f>
        <v>0</v>
      </c>
      <c r="AJ1404" s="88">
        <f>SUMIF(月間集計シート!$M$92:$M$111,$G1404,月間集計シート!S$92:S$111)*AJ$2</f>
        <v>0</v>
      </c>
      <c r="AK1404" s="88">
        <f>SUMIF(月間集計シート!$M$92:$M$111,$G1404,月間集計シート!T$92:T$111)*AK$2</f>
        <v>0</v>
      </c>
      <c r="AL1404" s="88">
        <f>SUMIF(月間集計シート!$M$113:$M$132,$G1404,月間集計シート!N$113:N$132)*AL$2</f>
        <v>0</v>
      </c>
      <c r="AM1404" s="88">
        <f>SUMIF(月間集計シート!$M$113:$M$132,$G1404,月間集計シート!O$113:O$132)*AM$2</f>
        <v>0</v>
      </c>
      <c r="AN1404" s="88">
        <f>SUMIF(月間集計シート!$M$113:$M$132,$G1404,月間集計シート!P$113:P$132)*AN$2</f>
        <v>0</v>
      </c>
      <c r="AO1404" s="88">
        <f>SUMIF(月間集計シート!$M$113:$M$132,$G1404,月間集計シート!Q$113:Q$132)*AO$2</f>
        <v>0</v>
      </c>
      <c r="AP1404" s="88">
        <f>SUMIF(月間集計シート!$M$113:$M$132,$G1404,月間集計シート!R$113:R$132)*AP$2</f>
        <v>0</v>
      </c>
      <c r="AQ1404" s="88">
        <f>SUMIF(月間集計シート!$M$113:$M$132,$G1404,月間集計シート!S$113:S$132)*AQ$2</f>
        <v>0</v>
      </c>
      <c r="AR1404" s="88">
        <f>SUMIF(月間集計シート!$M$113:$M$132,$G1404,月間集計シート!T$113:T$132)*AR$2</f>
        <v>0</v>
      </c>
      <c r="AS1404" s="88">
        <f>SUMIF(月間集計シート!$M$134:$M$153,$G1404,月間集計シート!N$134:N$153)*AS$2</f>
        <v>0</v>
      </c>
      <c r="AT1404" s="88">
        <f>SUMIF(月間集計シート!$M$134:$M$153,$G1404,月間集計シート!O$134:O$153)*AT$2</f>
        <v>0</v>
      </c>
      <c r="AU1404" s="88">
        <f>SUMIF(月間集計シート!$M$134:$M$153,$G1404,月間集計シート!P$134:P$153)*AU$2</f>
        <v>0</v>
      </c>
      <c r="AV1404" s="88">
        <f>SUMIF(月間集計シート!$M$134:$M$153,$G1404,月間集計シート!Q$134:Q$153)*AV$2</f>
        <v>0</v>
      </c>
      <c r="AW1404" s="88">
        <f>SUMIF(月間集計シート!$M$134:$M$153,$G1404,月間集計シート!R$134:R$153)*AW$2</f>
        <v>0</v>
      </c>
      <c r="AX1404" s="88">
        <f>SUMIF(月間集計シート!$M$134:$M$153,$G1404,月間集計シート!S$134:S$153)*AX$2</f>
        <v>0</v>
      </c>
      <c r="AY1404" s="88">
        <f>SUMIF(月間集計シート!$M$134:$M$153,$G1404,月間集計シート!T$134:T$153)*AY$2</f>
        <v>0</v>
      </c>
    </row>
    <row r="1405" spans="1:51" ht="14.25" thickBot="1">
      <c r="A1405">
        <v>17</v>
      </c>
      <c r="B1405" s="120">
        <f t="shared" si="782"/>
        <v>0</v>
      </c>
      <c r="C1405" s="120" t="str">
        <f t="shared" si="783"/>
        <v/>
      </c>
      <c r="D1405" s="137"/>
      <c r="E1405" s="150" t="str">
        <f>工種!A37</f>
        <v>40199</v>
      </c>
      <c r="F1405" s="119" t="str">
        <f>工種!B37</f>
        <v>テスト：その他</v>
      </c>
      <c r="G1405" s="116" t="str">
        <f t="shared" si="784"/>
        <v>040199</v>
      </c>
      <c r="H1405" s="88">
        <f t="shared" si="738"/>
        <v>0</v>
      </c>
      <c r="I1405" s="132"/>
      <c r="J1405" s="88">
        <f>SUMIF(月間集計シート!$M$29:$M$48,$G1405,月間集計シート!N$29:N$48)*J$2</f>
        <v>0</v>
      </c>
      <c r="K1405" s="88">
        <f>SUMIF(月間集計シート!$M$29:$M$48,$G1405,月間集計シート!O$29:O$48)*K$2</f>
        <v>0</v>
      </c>
      <c r="L1405" s="88">
        <f>SUMIF(月間集計シート!$M$29:$M$48,$G1405,月間集計シート!P$29:P$48)*L$2</f>
        <v>0</v>
      </c>
      <c r="M1405" s="88">
        <f>SUMIF(月間集計シート!$M$29:$M$48,$G1405,月間集計シート!Q$29:Q$48)*M$2</f>
        <v>0</v>
      </c>
      <c r="N1405" s="88">
        <f>SUMIF(月間集計シート!$M$29:$M$48,$G1405,月間集計シート!R$29:R$48)*N$2</f>
        <v>0</v>
      </c>
      <c r="O1405" s="88">
        <f>SUMIF(月間集計シート!$M$29:$M$48,$G1405,月間集計シート!S$29:S$48)*O$2</f>
        <v>0</v>
      </c>
      <c r="P1405" s="88">
        <f>SUMIF(月間集計シート!$M$29:$M$48,$G1405,月間集計シート!T$29:T$48)*P$2</f>
        <v>0</v>
      </c>
      <c r="Q1405" s="88">
        <f>SUMIF(月間集計シート!$M$50:$M$69,$G1405,月間集計シート!N$50:N$69)*Q$2</f>
        <v>0</v>
      </c>
      <c r="R1405" s="88">
        <f>SUMIF(月間集計シート!$M$50:$M$69,$G1405,月間集計シート!O$50:O$69)*R$2</f>
        <v>0</v>
      </c>
      <c r="S1405" s="88">
        <f>SUMIF(月間集計シート!$M$50:$M$69,$G1405,月間集計シート!P$50:P$69)*S$2</f>
        <v>0</v>
      </c>
      <c r="T1405" s="88">
        <f>SUMIF(月間集計シート!$M$50:$M$69,$G1405,月間集計シート!Q$50:Q$69)*T$2</f>
        <v>0</v>
      </c>
      <c r="U1405" s="88">
        <f>SUMIF(月間集計シート!$M$50:$M$69,$G1405,月間集計シート!R$50:R$69)*U$2</f>
        <v>0</v>
      </c>
      <c r="V1405" s="88">
        <f>SUMIF(月間集計シート!$M$50:$M$69,$G1405,月間集計シート!S$50:S$69)*V$2</f>
        <v>0</v>
      </c>
      <c r="W1405" s="88">
        <f>SUMIF(月間集計シート!$M$50:$M$69,$G1405,月間集計シート!T$50:T$69)*W$2</f>
        <v>0</v>
      </c>
      <c r="X1405" s="88">
        <f>SUMIF(月間集計シート!$M$71:$M$90,$G1405,月間集計シート!N$71:N$90)*X$2</f>
        <v>0</v>
      </c>
      <c r="Y1405" s="88">
        <f>SUMIF(月間集計シート!$M$71:$M$90,$G1405,月間集計シート!O$71:O$90)*Y$2</f>
        <v>0</v>
      </c>
      <c r="Z1405" s="88">
        <f>SUMIF(月間集計シート!$M$71:$M$90,$G1405,月間集計シート!P$71:P$90)*Z$2</f>
        <v>0</v>
      </c>
      <c r="AA1405" s="88">
        <f>SUMIF(月間集計シート!$M$71:$M$90,$G1405,月間集計シート!Q$71:Q$90)*AA$2</f>
        <v>0</v>
      </c>
      <c r="AB1405" s="88">
        <f>SUMIF(月間集計シート!$M$71:$M$90,$G1405,月間集計シート!R$71:R$90)*AB$2</f>
        <v>0</v>
      </c>
      <c r="AC1405" s="88">
        <f>SUMIF(月間集計シート!$M$71:$M$90,$G1405,月間集計シート!S$71:S$90)*AC$2</f>
        <v>0</v>
      </c>
      <c r="AD1405" s="88">
        <f>SUMIF(月間集計シート!$M$71:$M$90,$G1405,月間集計シート!T$71:T$90)*AD$2</f>
        <v>0</v>
      </c>
      <c r="AE1405" s="88">
        <f>SUMIF(月間集計シート!$M$92:$M$111,$G1405,月間集計シート!N$92:N$111)*AE$2</f>
        <v>0</v>
      </c>
      <c r="AF1405" s="88">
        <f>SUMIF(月間集計シート!$M$92:$M$111,$G1405,月間集計シート!O$92:O$111)*AF$2</f>
        <v>0</v>
      </c>
      <c r="AG1405" s="88">
        <f>SUMIF(月間集計シート!$M$92:$M$111,$G1405,月間集計シート!P$92:P$111)*AG$2</f>
        <v>0</v>
      </c>
      <c r="AH1405" s="88">
        <f>SUMIF(月間集計シート!$M$92:$M$111,$G1405,月間集計シート!Q$92:Q$111)*AH$2</f>
        <v>0</v>
      </c>
      <c r="AI1405" s="88">
        <f>SUMIF(月間集計シート!$M$92:$M$111,$G1405,月間集計シート!R$92:R$111)*AI$2</f>
        <v>0</v>
      </c>
      <c r="AJ1405" s="88">
        <f>SUMIF(月間集計シート!$M$92:$M$111,$G1405,月間集計シート!S$92:S$111)*AJ$2</f>
        <v>0</v>
      </c>
      <c r="AK1405" s="88">
        <f>SUMIF(月間集計シート!$M$92:$M$111,$G1405,月間集計シート!T$92:T$111)*AK$2</f>
        <v>0</v>
      </c>
      <c r="AL1405" s="88">
        <f>SUMIF(月間集計シート!$M$113:$M$132,$G1405,月間集計シート!N$113:N$132)*AL$2</f>
        <v>0</v>
      </c>
      <c r="AM1405" s="88">
        <f>SUMIF(月間集計シート!$M$113:$M$132,$G1405,月間集計シート!O$113:O$132)*AM$2</f>
        <v>0</v>
      </c>
      <c r="AN1405" s="88">
        <f>SUMIF(月間集計シート!$M$113:$M$132,$G1405,月間集計シート!P$113:P$132)*AN$2</f>
        <v>0</v>
      </c>
      <c r="AO1405" s="88">
        <f>SUMIF(月間集計シート!$M$113:$M$132,$G1405,月間集計シート!Q$113:Q$132)*AO$2</f>
        <v>0</v>
      </c>
      <c r="AP1405" s="88">
        <f>SUMIF(月間集計シート!$M$113:$M$132,$G1405,月間集計シート!R$113:R$132)*AP$2</f>
        <v>0</v>
      </c>
      <c r="AQ1405" s="88">
        <f>SUMIF(月間集計シート!$M$113:$M$132,$G1405,月間集計シート!S$113:S$132)*AQ$2</f>
        <v>0</v>
      </c>
      <c r="AR1405" s="88">
        <f>SUMIF(月間集計シート!$M$113:$M$132,$G1405,月間集計シート!T$113:T$132)*AR$2</f>
        <v>0</v>
      </c>
      <c r="AS1405" s="88">
        <f>SUMIF(月間集計シート!$M$134:$M$153,$G1405,月間集計シート!N$134:N$153)*AS$2</f>
        <v>0</v>
      </c>
      <c r="AT1405" s="88">
        <f>SUMIF(月間集計シート!$M$134:$M$153,$G1405,月間集計シート!O$134:O$153)*AT$2</f>
        <v>0</v>
      </c>
      <c r="AU1405" s="88">
        <f>SUMIF(月間集計シート!$M$134:$M$153,$G1405,月間集計シート!P$134:P$153)*AU$2</f>
        <v>0</v>
      </c>
      <c r="AV1405" s="88">
        <f>SUMIF(月間集計シート!$M$134:$M$153,$G1405,月間集計シート!Q$134:Q$153)*AV$2</f>
        <v>0</v>
      </c>
      <c r="AW1405" s="88">
        <f>SUMIF(月間集計シート!$M$134:$M$153,$G1405,月間集計シート!R$134:R$153)*AW$2</f>
        <v>0</v>
      </c>
      <c r="AX1405" s="88">
        <f>SUMIF(月間集計シート!$M$134:$M$153,$G1405,月間集計シート!S$134:S$153)*AX$2</f>
        <v>0</v>
      </c>
      <c r="AY1405" s="88">
        <f>SUMIF(月間集計シート!$M$134:$M$153,$G1405,月間集計シート!T$134:T$153)*AY$2</f>
        <v>0</v>
      </c>
    </row>
    <row r="1406" spans="1:51" ht="14.25" thickBot="1">
      <c r="A1406">
        <v>17</v>
      </c>
      <c r="B1406" s="120">
        <f t="shared" si="782"/>
        <v>0</v>
      </c>
      <c r="C1406" s="120" t="str">
        <f t="shared" si="783"/>
        <v/>
      </c>
      <c r="D1406" s="137"/>
      <c r="E1406" s="150" t="str">
        <f>工種!A38</f>
        <v>50101</v>
      </c>
      <c r="F1406" s="119" t="str">
        <f>工種!B38</f>
        <v>ﾏﾆｭｱﾙ作成：原稿作成</v>
      </c>
      <c r="G1406" s="116" t="str">
        <f t="shared" si="784"/>
        <v>050101</v>
      </c>
      <c r="H1406" s="88">
        <f t="shared" si="738"/>
        <v>0</v>
      </c>
      <c r="I1406" s="132"/>
      <c r="J1406" s="88">
        <f>SUMIF(月間集計シート!$M$29:$M$48,$G1406,月間集計シート!N$29:N$48)*J$2</f>
        <v>0</v>
      </c>
      <c r="K1406" s="88">
        <f>SUMIF(月間集計シート!$M$29:$M$48,$G1406,月間集計シート!O$29:O$48)*K$2</f>
        <v>0</v>
      </c>
      <c r="L1406" s="88">
        <f>SUMIF(月間集計シート!$M$29:$M$48,$G1406,月間集計シート!P$29:P$48)*L$2</f>
        <v>0</v>
      </c>
      <c r="M1406" s="88">
        <f>SUMIF(月間集計シート!$M$29:$M$48,$G1406,月間集計シート!Q$29:Q$48)*M$2</f>
        <v>0</v>
      </c>
      <c r="N1406" s="88">
        <f>SUMIF(月間集計シート!$M$29:$M$48,$G1406,月間集計シート!R$29:R$48)*N$2</f>
        <v>0</v>
      </c>
      <c r="O1406" s="88">
        <f>SUMIF(月間集計シート!$M$29:$M$48,$G1406,月間集計シート!S$29:S$48)*O$2</f>
        <v>0</v>
      </c>
      <c r="P1406" s="88">
        <f>SUMIF(月間集計シート!$M$29:$M$48,$G1406,月間集計シート!T$29:T$48)*P$2</f>
        <v>0</v>
      </c>
      <c r="Q1406" s="88">
        <f>SUMIF(月間集計シート!$M$50:$M$69,$G1406,月間集計シート!N$50:N$69)*Q$2</f>
        <v>0</v>
      </c>
      <c r="R1406" s="88">
        <f>SUMIF(月間集計シート!$M$50:$M$69,$G1406,月間集計シート!O$50:O$69)*R$2</f>
        <v>0</v>
      </c>
      <c r="S1406" s="88">
        <f>SUMIF(月間集計シート!$M$50:$M$69,$G1406,月間集計シート!P$50:P$69)*S$2</f>
        <v>0</v>
      </c>
      <c r="T1406" s="88">
        <f>SUMIF(月間集計シート!$M$50:$M$69,$G1406,月間集計シート!Q$50:Q$69)*T$2</f>
        <v>0</v>
      </c>
      <c r="U1406" s="88">
        <f>SUMIF(月間集計シート!$M$50:$M$69,$G1406,月間集計シート!R$50:R$69)*U$2</f>
        <v>0</v>
      </c>
      <c r="V1406" s="88">
        <f>SUMIF(月間集計シート!$M$50:$M$69,$G1406,月間集計シート!S$50:S$69)*V$2</f>
        <v>0</v>
      </c>
      <c r="W1406" s="88">
        <f>SUMIF(月間集計シート!$M$50:$M$69,$G1406,月間集計シート!T$50:T$69)*W$2</f>
        <v>0</v>
      </c>
      <c r="X1406" s="88">
        <f>SUMIF(月間集計シート!$M$71:$M$90,$G1406,月間集計シート!N$71:N$90)*X$2</f>
        <v>0</v>
      </c>
      <c r="Y1406" s="88">
        <f>SUMIF(月間集計シート!$M$71:$M$90,$G1406,月間集計シート!O$71:O$90)*Y$2</f>
        <v>0</v>
      </c>
      <c r="Z1406" s="88">
        <f>SUMIF(月間集計シート!$M$71:$M$90,$G1406,月間集計シート!P$71:P$90)*Z$2</f>
        <v>0</v>
      </c>
      <c r="AA1406" s="88">
        <f>SUMIF(月間集計シート!$M$71:$M$90,$G1406,月間集計シート!Q$71:Q$90)*AA$2</f>
        <v>0</v>
      </c>
      <c r="AB1406" s="88">
        <f>SUMIF(月間集計シート!$M$71:$M$90,$G1406,月間集計シート!R$71:R$90)*AB$2</f>
        <v>0</v>
      </c>
      <c r="AC1406" s="88">
        <f>SUMIF(月間集計シート!$M$71:$M$90,$G1406,月間集計シート!S$71:S$90)*AC$2</f>
        <v>0</v>
      </c>
      <c r="AD1406" s="88">
        <f>SUMIF(月間集計シート!$M$71:$M$90,$G1406,月間集計シート!T$71:T$90)*AD$2</f>
        <v>0</v>
      </c>
      <c r="AE1406" s="88">
        <f>SUMIF(月間集計シート!$M$92:$M$111,$G1406,月間集計シート!N$92:N$111)*AE$2</f>
        <v>0</v>
      </c>
      <c r="AF1406" s="88">
        <f>SUMIF(月間集計シート!$M$92:$M$111,$G1406,月間集計シート!O$92:O$111)*AF$2</f>
        <v>0</v>
      </c>
      <c r="AG1406" s="88">
        <f>SUMIF(月間集計シート!$M$92:$M$111,$G1406,月間集計シート!P$92:P$111)*AG$2</f>
        <v>0</v>
      </c>
      <c r="AH1406" s="88">
        <f>SUMIF(月間集計シート!$M$92:$M$111,$G1406,月間集計シート!Q$92:Q$111)*AH$2</f>
        <v>0</v>
      </c>
      <c r="AI1406" s="88">
        <f>SUMIF(月間集計シート!$M$92:$M$111,$G1406,月間集計シート!R$92:R$111)*AI$2</f>
        <v>0</v>
      </c>
      <c r="AJ1406" s="88">
        <f>SUMIF(月間集計シート!$M$92:$M$111,$G1406,月間集計シート!S$92:S$111)*AJ$2</f>
        <v>0</v>
      </c>
      <c r="AK1406" s="88">
        <f>SUMIF(月間集計シート!$M$92:$M$111,$G1406,月間集計シート!T$92:T$111)*AK$2</f>
        <v>0</v>
      </c>
      <c r="AL1406" s="88">
        <f>SUMIF(月間集計シート!$M$113:$M$132,$G1406,月間集計シート!N$113:N$132)*AL$2</f>
        <v>0</v>
      </c>
      <c r="AM1406" s="88">
        <f>SUMIF(月間集計シート!$M$113:$M$132,$G1406,月間集計シート!O$113:O$132)*AM$2</f>
        <v>0</v>
      </c>
      <c r="AN1406" s="88">
        <f>SUMIF(月間集計シート!$M$113:$M$132,$G1406,月間集計シート!P$113:P$132)*AN$2</f>
        <v>0</v>
      </c>
      <c r="AO1406" s="88">
        <f>SUMIF(月間集計シート!$M$113:$M$132,$G1406,月間集計シート!Q$113:Q$132)*AO$2</f>
        <v>0</v>
      </c>
      <c r="AP1406" s="88">
        <f>SUMIF(月間集計シート!$M$113:$M$132,$G1406,月間集計シート!R$113:R$132)*AP$2</f>
        <v>0</v>
      </c>
      <c r="AQ1406" s="88">
        <f>SUMIF(月間集計シート!$M$113:$M$132,$G1406,月間集計シート!S$113:S$132)*AQ$2</f>
        <v>0</v>
      </c>
      <c r="AR1406" s="88">
        <f>SUMIF(月間集計シート!$M$113:$M$132,$G1406,月間集計シート!T$113:T$132)*AR$2</f>
        <v>0</v>
      </c>
      <c r="AS1406" s="88">
        <f>SUMIF(月間集計シート!$M$134:$M$153,$G1406,月間集計シート!N$134:N$153)*AS$2</f>
        <v>0</v>
      </c>
      <c r="AT1406" s="88">
        <f>SUMIF(月間集計シート!$M$134:$M$153,$G1406,月間集計シート!O$134:O$153)*AT$2</f>
        <v>0</v>
      </c>
      <c r="AU1406" s="88">
        <f>SUMIF(月間集計シート!$M$134:$M$153,$G1406,月間集計シート!P$134:P$153)*AU$2</f>
        <v>0</v>
      </c>
      <c r="AV1406" s="88">
        <f>SUMIF(月間集計シート!$M$134:$M$153,$G1406,月間集計シート!Q$134:Q$153)*AV$2</f>
        <v>0</v>
      </c>
      <c r="AW1406" s="88">
        <f>SUMIF(月間集計シート!$M$134:$M$153,$G1406,月間集計シート!R$134:R$153)*AW$2</f>
        <v>0</v>
      </c>
      <c r="AX1406" s="88">
        <f>SUMIF(月間集計シート!$M$134:$M$153,$G1406,月間集計シート!S$134:S$153)*AX$2</f>
        <v>0</v>
      </c>
      <c r="AY1406" s="88">
        <f>SUMIF(月間集計シート!$M$134:$M$153,$G1406,月間集計シート!T$134:T$153)*AY$2</f>
        <v>0</v>
      </c>
    </row>
    <row r="1407" spans="1:51" ht="14.25" thickBot="1">
      <c r="A1407">
        <v>17</v>
      </c>
      <c r="B1407" s="120">
        <f t="shared" si="782"/>
        <v>0</v>
      </c>
      <c r="C1407" s="120" t="str">
        <f t="shared" si="783"/>
        <v/>
      </c>
      <c r="D1407" s="137"/>
      <c r="E1407" s="150" t="str">
        <f>工種!A39</f>
        <v>50105</v>
      </c>
      <c r="F1407" s="119" t="str">
        <f>工種!B39</f>
        <v>ﾏﾆｭｱﾙ作成：打合せ</v>
      </c>
      <c r="G1407" s="116" t="str">
        <f t="shared" si="784"/>
        <v>050105</v>
      </c>
      <c r="H1407" s="88">
        <f t="shared" si="738"/>
        <v>0</v>
      </c>
      <c r="I1407" s="132"/>
      <c r="J1407" s="88">
        <f>SUMIF(月間集計シート!$M$29:$M$48,$G1407,月間集計シート!N$29:N$48)*J$2</f>
        <v>0</v>
      </c>
      <c r="K1407" s="88">
        <f>SUMIF(月間集計シート!$M$29:$M$48,$G1407,月間集計シート!O$29:O$48)*K$2</f>
        <v>0</v>
      </c>
      <c r="L1407" s="88">
        <f>SUMIF(月間集計シート!$M$29:$M$48,$G1407,月間集計シート!P$29:P$48)*L$2</f>
        <v>0</v>
      </c>
      <c r="M1407" s="88">
        <f>SUMIF(月間集計シート!$M$29:$M$48,$G1407,月間集計シート!Q$29:Q$48)*M$2</f>
        <v>0</v>
      </c>
      <c r="N1407" s="88">
        <f>SUMIF(月間集計シート!$M$29:$M$48,$G1407,月間集計シート!R$29:R$48)*N$2</f>
        <v>0</v>
      </c>
      <c r="O1407" s="88">
        <f>SUMIF(月間集計シート!$M$29:$M$48,$G1407,月間集計シート!S$29:S$48)*O$2</f>
        <v>0</v>
      </c>
      <c r="P1407" s="88">
        <f>SUMIF(月間集計シート!$M$29:$M$48,$G1407,月間集計シート!T$29:T$48)*P$2</f>
        <v>0</v>
      </c>
      <c r="Q1407" s="88">
        <f>SUMIF(月間集計シート!$M$50:$M$69,$G1407,月間集計シート!N$50:N$69)*Q$2</f>
        <v>0</v>
      </c>
      <c r="R1407" s="88">
        <f>SUMIF(月間集計シート!$M$50:$M$69,$G1407,月間集計シート!O$50:O$69)*R$2</f>
        <v>0</v>
      </c>
      <c r="S1407" s="88">
        <f>SUMIF(月間集計シート!$M$50:$M$69,$G1407,月間集計シート!P$50:P$69)*S$2</f>
        <v>0</v>
      </c>
      <c r="T1407" s="88">
        <f>SUMIF(月間集計シート!$M$50:$M$69,$G1407,月間集計シート!Q$50:Q$69)*T$2</f>
        <v>0</v>
      </c>
      <c r="U1407" s="88">
        <f>SUMIF(月間集計シート!$M$50:$M$69,$G1407,月間集計シート!R$50:R$69)*U$2</f>
        <v>0</v>
      </c>
      <c r="V1407" s="88">
        <f>SUMIF(月間集計シート!$M$50:$M$69,$G1407,月間集計シート!S$50:S$69)*V$2</f>
        <v>0</v>
      </c>
      <c r="W1407" s="88">
        <f>SUMIF(月間集計シート!$M$50:$M$69,$G1407,月間集計シート!T$50:T$69)*W$2</f>
        <v>0</v>
      </c>
      <c r="X1407" s="88">
        <f>SUMIF(月間集計シート!$M$71:$M$90,$G1407,月間集計シート!N$71:N$90)*X$2</f>
        <v>0</v>
      </c>
      <c r="Y1407" s="88">
        <f>SUMIF(月間集計シート!$M$71:$M$90,$G1407,月間集計シート!O$71:O$90)*Y$2</f>
        <v>0</v>
      </c>
      <c r="Z1407" s="88">
        <f>SUMIF(月間集計シート!$M$71:$M$90,$G1407,月間集計シート!P$71:P$90)*Z$2</f>
        <v>0</v>
      </c>
      <c r="AA1407" s="88">
        <f>SUMIF(月間集計シート!$M$71:$M$90,$G1407,月間集計シート!Q$71:Q$90)*AA$2</f>
        <v>0</v>
      </c>
      <c r="AB1407" s="88">
        <f>SUMIF(月間集計シート!$M$71:$M$90,$G1407,月間集計シート!R$71:R$90)*AB$2</f>
        <v>0</v>
      </c>
      <c r="AC1407" s="88">
        <f>SUMIF(月間集計シート!$M$71:$M$90,$G1407,月間集計シート!S$71:S$90)*AC$2</f>
        <v>0</v>
      </c>
      <c r="AD1407" s="88">
        <f>SUMIF(月間集計シート!$M$71:$M$90,$G1407,月間集計シート!T$71:T$90)*AD$2</f>
        <v>0</v>
      </c>
      <c r="AE1407" s="88">
        <f>SUMIF(月間集計シート!$M$92:$M$111,$G1407,月間集計シート!N$92:N$111)*AE$2</f>
        <v>0</v>
      </c>
      <c r="AF1407" s="88">
        <f>SUMIF(月間集計シート!$M$92:$M$111,$G1407,月間集計シート!O$92:O$111)*AF$2</f>
        <v>0</v>
      </c>
      <c r="AG1407" s="88">
        <f>SUMIF(月間集計シート!$M$92:$M$111,$G1407,月間集計シート!P$92:P$111)*AG$2</f>
        <v>0</v>
      </c>
      <c r="AH1407" s="88">
        <f>SUMIF(月間集計シート!$M$92:$M$111,$G1407,月間集計シート!Q$92:Q$111)*AH$2</f>
        <v>0</v>
      </c>
      <c r="AI1407" s="88">
        <f>SUMIF(月間集計シート!$M$92:$M$111,$G1407,月間集計シート!R$92:R$111)*AI$2</f>
        <v>0</v>
      </c>
      <c r="AJ1407" s="88">
        <f>SUMIF(月間集計シート!$M$92:$M$111,$G1407,月間集計シート!S$92:S$111)*AJ$2</f>
        <v>0</v>
      </c>
      <c r="AK1407" s="88">
        <f>SUMIF(月間集計シート!$M$92:$M$111,$G1407,月間集計シート!T$92:T$111)*AK$2</f>
        <v>0</v>
      </c>
      <c r="AL1407" s="88">
        <f>SUMIF(月間集計シート!$M$113:$M$132,$G1407,月間集計シート!N$113:N$132)*AL$2</f>
        <v>0</v>
      </c>
      <c r="AM1407" s="88">
        <f>SUMIF(月間集計シート!$M$113:$M$132,$G1407,月間集計シート!O$113:O$132)*AM$2</f>
        <v>0</v>
      </c>
      <c r="AN1407" s="88">
        <f>SUMIF(月間集計シート!$M$113:$M$132,$G1407,月間集計シート!P$113:P$132)*AN$2</f>
        <v>0</v>
      </c>
      <c r="AO1407" s="88">
        <f>SUMIF(月間集計シート!$M$113:$M$132,$G1407,月間集計シート!Q$113:Q$132)*AO$2</f>
        <v>0</v>
      </c>
      <c r="AP1407" s="88">
        <f>SUMIF(月間集計シート!$M$113:$M$132,$G1407,月間集計シート!R$113:R$132)*AP$2</f>
        <v>0</v>
      </c>
      <c r="AQ1407" s="88">
        <f>SUMIF(月間集計シート!$M$113:$M$132,$G1407,月間集計シート!S$113:S$132)*AQ$2</f>
        <v>0</v>
      </c>
      <c r="AR1407" s="88">
        <f>SUMIF(月間集計シート!$M$113:$M$132,$G1407,月間集計シート!T$113:T$132)*AR$2</f>
        <v>0</v>
      </c>
      <c r="AS1407" s="88">
        <f>SUMIF(月間集計シート!$M$134:$M$153,$G1407,月間集計シート!N$134:N$153)*AS$2</f>
        <v>0</v>
      </c>
      <c r="AT1407" s="88">
        <f>SUMIF(月間集計シート!$M$134:$M$153,$G1407,月間集計シート!O$134:O$153)*AT$2</f>
        <v>0</v>
      </c>
      <c r="AU1407" s="88">
        <f>SUMIF(月間集計シート!$M$134:$M$153,$G1407,月間集計シート!P$134:P$153)*AU$2</f>
        <v>0</v>
      </c>
      <c r="AV1407" s="88">
        <f>SUMIF(月間集計シート!$M$134:$M$153,$G1407,月間集計シート!Q$134:Q$153)*AV$2</f>
        <v>0</v>
      </c>
      <c r="AW1407" s="88">
        <f>SUMIF(月間集計シート!$M$134:$M$153,$G1407,月間集計シート!R$134:R$153)*AW$2</f>
        <v>0</v>
      </c>
      <c r="AX1407" s="88">
        <f>SUMIF(月間集計シート!$M$134:$M$153,$G1407,月間集計シート!S$134:S$153)*AX$2</f>
        <v>0</v>
      </c>
      <c r="AY1407" s="88">
        <f>SUMIF(月間集計シート!$M$134:$M$153,$G1407,月間集計シート!T$134:T$153)*AY$2</f>
        <v>0</v>
      </c>
    </row>
    <row r="1408" spans="1:51" ht="14.25" thickBot="1">
      <c r="A1408">
        <v>17</v>
      </c>
      <c r="B1408" s="120">
        <f t="shared" si="782"/>
        <v>0</v>
      </c>
      <c r="C1408" s="120" t="str">
        <f t="shared" si="783"/>
        <v/>
      </c>
      <c r="D1408" s="137"/>
      <c r="E1408" s="150" t="str">
        <f>工種!A40</f>
        <v>50106</v>
      </c>
      <c r="F1408" s="119" t="str">
        <f>工種!B40</f>
        <v>ﾏﾆｭｱﾙ作成：ﾚﾋﾞｭｰ</v>
      </c>
      <c r="G1408" s="116" t="str">
        <f t="shared" si="784"/>
        <v>050106</v>
      </c>
      <c r="H1408" s="88">
        <f t="shared" si="738"/>
        <v>0</v>
      </c>
      <c r="I1408" s="132"/>
      <c r="J1408" s="88">
        <f>SUMIF(月間集計シート!$M$29:$M$48,$G1408,月間集計シート!N$29:N$48)*J$2</f>
        <v>0</v>
      </c>
      <c r="K1408" s="88">
        <f>SUMIF(月間集計シート!$M$29:$M$48,$G1408,月間集計シート!O$29:O$48)*K$2</f>
        <v>0</v>
      </c>
      <c r="L1408" s="88">
        <f>SUMIF(月間集計シート!$M$29:$M$48,$G1408,月間集計シート!P$29:P$48)*L$2</f>
        <v>0</v>
      </c>
      <c r="M1408" s="88">
        <f>SUMIF(月間集計シート!$M$29:$M$48,$G1408,月間集計シート!Q$29:Q$48)*M$2</f>
        <v>0</v>
      </c>
      <c r="N1408" s="88">
        <f>SUMIF(月間集計シート!$M$29:$M$48,$G1408,月間集計シート!R$29:R$48)*N$2</f>
        <v>0</v>
      </c>
      <c r="O1408" s="88">
        <f>SUMIF(月間集計シート!$M$29:$M$48,$G1408,月間集計シート!S$29:S$48)*O$2</f>
        <v>0</v>
      </c>
      <c r="P1408" s="88">
        <f>SUMIF(月間集計シート!$M$29:$M$48,$G1408,月間集計シート!T$29:T$48)*P$2</f>
        <v>0</v>
      </c>
      <c r="Q1408" s="88">
        <f>SUMIF(月間集計シート!$M$50:$M$69,$G1408,月間集計シート!N$50:N$69)*Q$2</f>
        <v>0</v>
      </c>
      <c r="R1408" s="88">
        <f>SUMIF(月間集計シート!$M$50:$M$69,$G1408,月間集計シート!O$50:O$69)*R$2</f>
        <v>0</v>
      </c>
      <c r="S1408" s="88">
        <f>SUMIF(月間集計シート!$M$50:$M$69,$G1408,月間集計シート!P$50:P$69)*S$2</f>
        <v>0</v>
      </c>
      <c r="T1408" s="88">
        <f>SUMIF(月間集計シート!$M$50:$M$69,$G1408,月間集計シート!Q$50:Q$69)*T$2</f>
        <v>0</v>
      </c>
      <c r="U1408" s="88">
        <f>SUMIF(月間集計シート!$M$50:$M$69,$G1408,月間集計シート!R$50:R$69)*U$2</f>
        <v>0</v>
      </c>
      <c r="V1408" s="88">
        <f>SUMIF(月間集計シート!$M$50:$M$69,$G1408,月間集計シート!S$50:S$69)*V$2</f>
        <v>0</v>
      </c>
      <c r="W1408" s="88">
        <f>SUMIF(月間集計シート!$M$50:$M$69,$G1408,月間集計シート!T$50:T$69)*W$2</f>
        <v>0</v>
      </c>
      <c r="X1408" s="88">
        <f>SUMIF(月間集計シート!$M$71:$M$90,$G1408,月間集計シート!N$71:N$90)*X$2</f>
        <v>0</v>
      </c>
      <c r="Y1408" s="88">
        <f>SUMIF(月間集計シート!$M$71:$M$90,$G1408,月間集計シート!O$71:O$90)*Y$2</f>
        <v>0</v>
      </c>
      <c r="Z1408" s="88">
        <f>SUMIF(月間集計シート!$M$71:$M$90,$G1408,月間集計シート!P$71:P$90)*Z$2</f>
        <v>0</v>
      </c>
      <c r="AA1408" s="88">
        <f>SUMIF(月間集計シート!$M$71:$M$90,$G1408,月間集計シート!Q$71:Q$90)*AA$2</f>
        <v>0</v>
      </c>
      <c r="AB1408" s="88">
        <f>SUMIF(月間集計シート!$M$71:$M$90,$G1408,月間集計シート!R$71:R$90)*AB$2</f>
        <v>0</v>
      </c>
      <c r="AC1408" s="88">
        <f>SUMIF(月間集計シート!$M$71:$M$90,$G1408,月間集計シート!S$71:S$90)*AC$2</f>
        <v>0</v>
      </c>
      <c r="AD1408" s="88">
        <f>SUMIF(月間集計シート!$M$71:$M$90,$G1408,月間集計シート!T$71:T$90)*AD$2</f>
        <v>0</v>
      </c>
      <c r="AE1408" s="88">
        <f>SUMIF(月間集計シート!$M$92:$M$111,$G1408,月間集計シート!N$92:N$111)*AE$2</f>
        <v>0</v>
      </c>
      <c r="AF1408" s="88">
        <f>SUMIF(月間集計シート!$M$92:$M$111,$G1408,月間集計シート!O$92:O$111)*AF$2</f>
        <v>0</v>
      </c>
      <c r="AG1408" s="88">
        <f>SUMIF(月間集計シート!$M$92:$M$111,$G1408,月間集計シート!P$92:P$111)*AG$2</f>
        <v>0</v>
      </c>
      <c r="AH1408" s="88">
        <f>SUMIF(月間集計シート!$M$92:$M$111,$G1408,月間集計シート!Q$92:Q$111)*AH$2</f>
        <v>0</v>
      </c>
      <c r="AI1408" s="88">
        <f>SUMIF(月間集計シート!$M$92:$M$111,$G1408,月間集計シート!R$92:R$111)*AI$2</f>
        <v>0</v>
      </c>
      <c r="AJ1408" s="88">
        <f>SUMIF(月間集計シート!$M$92:$M$111,$G1408,月間集計シート!S$92:S$111)*AJ$2</f>
        <v>0</v>
      </c>
      <c r="AK1408" s="88">
        <f>SUMIF(月間集計シート!$M$92:$M$111,$G1408,月間集計シート!T$92:T$111)*AK$2</f>
        <v>0</v>
      </c>
      <c r="AL1408" s="88">
        <f>SUMIF(月間集計シート!$M$113:$M$132,$G1408,月間集計シート!N$113:N$132)*AL$2</f>
        <v>0</v>
      </c>
      <c r="AM1408" s="88">
        <f>SUMIF(月間集計シート!$M$113:$M$132,$G1408,月間集計シート!O$113:O$132)*AM$2</f>
        <v>0</v>
      </c>
      <c r="AN1408" s="88">
        <f>SUMIF(月間集計シート!$M$113:$M$132,$G1408,月間集計シート!P$113:P$132)*AN$2</f>
        <v>0</v>
      </c>
      <c r="AO1408" s="88">
        <f>SUMIF(月間集計シート!$M$113:$M$132,$G1408,月間集計シート!Q$113:Q$132)*AO$2</f>
        <v>0</v>
      </c>
      <c r="AP1408" s="88">
        <f>SUMIF(月間集計シート!$M$113:$M$132,$G1408,月間集計シート!R$113:R$132)*AP$2</f>
        <v>0</v>
      </c>
      <c r="AQ1408" s="88">
        <f>SUMIF(月間集計シート!$M$113:$M$132,$G1408,月間集計シート!S$113:S$132)*AQ$2</f>
        <v>0</v>
      </c>
      <c r="AR1408" s="88">
        <f>SUMIF(月間集計シート!$M$113:$M$132,$G1408,月間集計シート!T$113:T$132)*AR$2</f>
        <v>0</v>
      </c>
      <c r="AS1408" s="88">
        <f>SUMIF(月間集計シート!$M$134:$M$153,$G1408,月間集計シート!N$134:N$153)*AS$2</f>
        <v>0</v>
      </c>
      <c r="AT1408" s="88">
        <f>SUMIF(月間集計シート!$M$134:$M$153,$G1408,月間集計シート!O$134:O$153)*AT$2</f>
        <v>0</v>
      </c>
      <c r="AU1408" s="88">
        <f>SUMIF(月間集計シート!$M$134:$M$153,$G1408,月間集計シート!P$134:P$153)*AU$2</f>
        <v>0</v>
      </c>
      <c r="AV1408" s="88">
        <f>SUMIF(月間集計シート!$M$134:$M$153,$G1408,月間集計シート!Q$134:Q$153)*AV$2</f>
        <v>0</v>
      </c>
      <c r="AW1408" s="88">
        <f>SUMIF(月間集計シート!$M$134:$M$153,$G1408,月間集計シート!R$134:R$153)*AW$2</f>
        <v>0</v>
      </c>
      <c r="AX1408" s="88">
        <f>SUMIF(月間集計シート!$M$134:$M$153,$G1408,月間集計シート!S$134:S$153)*AX$2</f>
        <v>0</v>
      </c>
      <c r="AY1408" s="88">
        <f>SUMIF(月間集計シート!$M$134:$M$153,$G1408,月間集計シート!T$134:T$153)*AY$2</f>
        <v>0</v>
      </c>
    </row>
    <row r="1409" spans="1:51" ht="14.25" thickBot="1">
      <c r="A1409">
        <v>17</v>
      </c>
      <c r="B1409" s="120">
        <f t="shared" si="782"/>
        <v>0</v>
      </c>
      <c r="C1409" s="120" t="str">
        <f t="shared" si="783"/>
        <v/>
      </c>
      <c r="D1409" s="137"/>
      <c r="E1409" s="150" t="str">
        <f>工種!A41</f>
        <v>50199</v>
      </c>
      <c r="F1409" s="119" t="str">
        <f>工種!B41</f>
        <v>ﾏﾆｭｱﾙ作成：その他</v>
      </c>
      <c r="G1409" s="116" t="str">
        <f t="shared" si="784"/>
        <v>050199</v>
      </c>
      <c r="H1409" s="88">
        <f t="shared" si="738"/>
        <v>0</v>
      </c>
      <c r="I1409" s="132"/>
      <c r="J1409" s="88">
        <f>SUMIF(月間集計シート!$M$29:$M$48,$G1409,月間集計シート!N$29:N$48)*J$2</f>
        <v>0</v>
      </c>
      <c r="K1409" s="88">
        <f>SUMIF(月間集計シート!$M$29:$M$48,$G1409,月間集計シート!O$29:O$48)*K$2</f>
        <v>0</v>
      </c>
      <c r="L1409" s="88">
        <f>SUMIF(月間集計シート!$M$29:$M$48,$G1409,月間集計シート!P$29:P$48)*L$2</f>
        <v>0</v>
      </c>
      <c r="M1409" s="88">
        <f>SUMIF(月間集計シート!$M$29:$M$48,$G1409,月間集計シート!Q$29:Q$48)*M$2</f>
        <v>0</v>
      </c>
      <c r="N1409" s="88">
        <f>SUMIF(月間集計シート!$M$29:$M$48,$G1409,月間集計シート!R$29:R$48)*N$2</f>
        <v>0</v>
      </c>
      <c r="O1409" s="88">
        <f>SUMIF(月間集計シート!$M$29:$M$48,$G1409,月間集計シート!S$29:S$48)*O$2</f>
        <v>0</v>
      </c>
      <c r="P1409" s="88">
        <f>SUMIF(月間集計シート!$M$29:$M$48,$G1409,月間集計シート!T$29:T$48)*P$2</f>
        <v>0</v>
      </c>
      <c r="Q1409" s="88">
        <f>SUMIF(月間集計シート!$M$50:$M$69,$G1409,月間集計シート!N$50:N$69)*Q$2</f>
        <v>0</v>
      </c>
      <c r="R1409" s="88">
        <f>SUMIF(月間集計シート!$M$50:$M$69,$G1409,月間集計シート!O$50:O$69)*R$2</f>
        <v>0</v>
      </c>
      <c r="S1409" s="88">
        <f>SUMIF(月間集計シート!$M$50:$M$69,$G1409,月間集計シート!P$50:P$69)*S$2</f>
        <v>0</v>
      </c>
      <c r="T1409" s="88">
        <f>SUMIF(月間集計シート!$M$50:$M$69,$G1409,月間集計シート!Q$50:Q$69)*T$2</f>
        <v>0</v>
      </c>
      <c r="U1409" s="88">
        <f>SUMIF(月間集計シート!$M$50:$M$69,$G1409,月間集計シート!R$50:R$69)*U$2</f>
        <v>0</v>
      </c>
      <c r="V1409" s="88">
        <f>SUMIF(月間集計シート!$M$50:$M$69,$G1409,月間集計シート!S$50:S$69)*V$2</f>
        <v>0</v>
      </c>
      <c r="W1409" s="88">
        <f>SUMIF(月間集計シート!$M$50:$M$69,$G1409,月間集計シート!T$50:T$69)*W$2</f>
        <v>0</v>
      </c>
      <c r="X1409" s="88">
        <f>SUMIF(月間集計シート!$M$71:$M$90,$G1409,月間集計シート!N$71:N$90)*X$2</f>
        <v>0</v>
      </c>
      <c r="Y1409" s="88">
        <f>SUMIF(月間集計シート!$M$71:$M$90,$G1409,月間集計シート!O$71:O$90)*Y$2</f>
        <v>0</v>
      </c>
      <c r="Z1409" s="88">
        <f>SUMIF(月間集計シート!$M$71:$M$90,$G1409,月間集計シート!P$71:P$90)*Z$2</f>
        <v>0</v>
      </c>
      <c r="AA1409" s="88">
        <f>SUMIF(月間集計シート!$M$71:$M$90,$G1409,月間集計シート!Q$71:Q$90)*AA$2</f>
        <v>0</v>
      </c>
      <c r="AB1409" s="88">
        <f>SUMIF(月間集計シート!$M$71:$M$90,$G1409,月間集計シート!R$71:R$90)*AB$2</f>
        <v>0</v>
      </c>
      <c r="AC1409" s="88">
        <f>SUMIF(月間集計シート!$M$71:$M$90,$G1409,月間集計シート!S$71:S$90)*AC$2</f>
        <v>0</v>
      </c>
      <c r="AD1409" s="88">
        <f>SUMIF(月間集計シート!$M$71:$M$90,$G1409,月間集計シート!T$71:T$90)*AD$2</f>
        <v>0</v>
      </c>
      <c r="AE1409" s="88">
        <f>SUMIF(月間集計シート!$M$92:$M$111,$G1409,月間集計シート!N$92:N$111)*AE$2</f>
        <v>0</v>
      </c>
      <c r="AF1409" s="88">
        <f>SUMIF(月間集計シート!$M$92:$M$111,$G1409,月間集計シート!O$92:O$111)*AF$2</f>
        <v>0</v>
      </c>
      <c r="AG1409" s="88">
        <f>SUMIF(月間集計シート!$M$92:$M$111,$G1409,月間集計シート!P$92:P$111)*AG$2</f>
        <v>0</v>
      </c>
      <c r="AH1409" s="88">
        <f>SUMIF(月間集計シート!$M$92:$M$111,$G1409,月間集計シート!Q$92:Q$111)*AH$2</f>
        <v>0</v>
      </c>
      <c r="AI1409" s="88">
        <f>SUMIF(月間集計シート!$M$92:$M$111,$G1409,月間集計シート!R$92:R$111)*AI$2</f>
        <v>0</v>
      </c>
      <c r="AJ1409" s="88">
        <f>SUMIF(月間集計シート!$M$92:$M$111,$G1409,月間集計シート!S$92:S$111)*AJ$2</f>
        <v>0</v>
      </c>
      <c r="AK1409" s="88">
        <f>SUMIF(月間集計シート!$M$92:$M$111,$G1409,月間集計シート!T$92:T$111)*AK$2</f>
        <v>0</v>
      </c>
      <c r="AL1409" s="88">
        <f>SUMIF(月間集計シート!$M$113:$M$132,$G1409,月間集計シート!N$113:N$132)*AL$2</f>
        <v>0</v>
      </c>
      <c r="AM1409" s="88">
        <f>SUMIF(月間集計シート!$M$113:$M$132,$G1409,月間集計シート!O$113:O$132)*AM$2</f>
        <v>0</v>
      </c>
      <c r="AN1409" s="88">
        <f>SUMIF(月間集計シート!$M$113:$M$132,$G1409,月間集計シート!P$113:P$132)*AN$2</f>
        <v>0</v>
      </c>
      <c r="AO1409" s="88">
        <f>SUMIF(月間集計シート!$M$113:$M$132,$G1409,月間集計シート!Q$113:Q$132)*AO$2</f>
        <v>0</v>
      </c>
      <c r="AP1409" s="88">
        <f>SUMIF(月間集計シート!$M$113:$M$132,$G1409,月間集計シート!R$113:R$132)*AP$2</f>
        <v>0</v>
      </c>
      <c r="AQ1409" s="88">
        <f>SUMIF(月間集計シート!$M$113:$M$132,$G1409,月間集計シート!S$113:S$132)*AQ$2</f>
        <v>0</v>
      </c>
      <c r="AR1409" s="88">
        <f>SUMIF(月間集計シート!$M$113:$M$132,$G1409,月間集計シート!T$113:T$132)*AR$2</f>
        <v>0</v>
      </c>
      <c r="AS1409" s="88">
        <f>SUMIF(月間集計シート!$M$134:$M$153,$G1409,月間集計シート!N$134:N$153)*AS$2</f>
        <v>0</v>
      </c>
      <c r="AT1409" s="88">
        <f>SUMIF(月間集計シート!$M$134:$M$153,$G1409,月間集計シート!O$134:O$153)*AT$2</f>
        <v>0</v>
      </c>
      <c r="AU1409" s="88">
        <f>SUMIF(月間集計シート!$M$134:$M$153,$G1409,月間集計シート!P$134:P$153)*AU$2</f>
        <v>0</v>
      </c>
      <c r="AV1409" s="88">
        <f>SUMIF(月間集計シート!$M$134:$M$153,$G1409,月間集計シート!Q$134:Q$153)*AV$2</f>
        <v>0</v>
      </c>
      <c r="AW1409" s="88">
        <f>SUMIF(月間集計シート!$M$134:$M$153,$G1409,月間集計シート!R$134:R$153)*AW$2</f>
        <v>0</v>
      </c>
      <c r="AX1409" s="88">
        <f>SUMIF(月間集計シート!$M$134:$M$153,$G1409,月間集計シート!S$134:S$153)*AX$2</f>
        <v>0</v>
      </c>
      <c r="AY1409" s="88">
        <f>SUMIF(月間集計シート!$M$134:$M$153,$G1409,月間集計シート!T$134:T$153)*AY$2</f>
        <v>0</v>
      </c>
    </row>
    <row r="1410" spans="1:51" ht="14.25" thickBot="1">
      <c r="A1410">
        <v>17</v>
      </c>
      <c r="B1410" s="120">
        <f t="shared" si="782"/>
        <v>0</v>
      </c>
      <c r="C1410" s="120" t="str">
        <f t="shared" si="783"/>
        <v/>
      </c>
      <c r="D1410" s="137"/>
      <c r="E1410" s="150" t="str">
        <f>工種!A42</f>
        <v>60101</v>
      </c>
      <c r="F1410" s="119" t="str">
        <f>工種!B42</f>
        <v>ﾘﾘｰｽ：ﾘﾘｰｽ・ﾃﾞﾘﾊﾞﾘ作業</v>
      </c>
      <c r="G1410" s="116" t="str">
        <f t="shared" si="784"/>
        <v>060101</v>
      </c>
      <c r="H1410" s="88">
        <f t="shared" si="738"/>
        <v>0</v>
      </c>
      <c r="I1410" s="132"/>
      <c r="J1410" s="88">
        <f>SUMIF(月間集計シート!$M$29:$M$48,$G1410,月間集計シート!N$29:N$48)*J$2</f>
        <v>0</v>
      </c>
      <c r="K1410" s="88">
        <f>SUMIF(月間集計シート!$M$29:$M$48,$G1410,月間集計シート!O$29:O$48)*K$2</f>
        <v>0</v>
      </c>
      <c r="L1410" s="88">
        <f>SUMIF(月間集計シート!$M$29:$M$48,$G1410,月間集計シート!P$29:P$48)*L$2</f>
        <v>0</v>
      </c>
      <c r="M1410" s="88">
        <f>SUMIF(月間集計シート!$M$29:$M$48,$G1410,月間集計シート!Q$29:Q$48)*M$2</f>
        <v>0</v>
      </c>
      <c r="N1410" s="88">
        <f>SUMIF(月間集計シート!$M$29:$M$48,$G1410,月間集計シート!R$29:R$48)*N$2</f>
        <v>0</v>
      </c>
      <c r="O1410" s="88">
        <f>SUMIF(月間集計シート!$M$29:$M$48,$G1410,月間集計シート!S$29:S$48)*O$2</f>
        <v>0</v>
      </c>
      <c r="P1410" s="88">
        <f>SUMIF(月間集計シート!$M$29:$M$48,$G1410,月間集計シート!T$29:T$48)*P$2</f>
        <v>0</v>
      </c>
      <c r="Q1410" s="88">
        <f>SUMIF(月間集計シート!$M$50:$M$69,$G1410,月間集計シート!N$50:N$69)*Q$2</f>
        <v>0</v>
      </c>
      <c r="R1410" s="88">
        <f>SUMIF(月間集計シート!$M$50:$M$69,$G1410,月間集計シート!O$50:O$69)*R$2</f>
        <v>0</v>
      </c>
      <c r="S1410" s="88">
        <f>SUMIF(月間集計シート!$M$50:$M$69,$G1410,月間集計シート!P$50:P$69)*S$2</f>
        <v>0</v>
      </c>
      <c r="T1410" s="88">
        <f>SUMIF(月間集計シート!$M$50:$M$69,$G1410,月間集計シート!Q$50:Q$69)*T$2</f>
        <v>0</v>
      </c>
      <c r="U1410" s="88">
        <f>SUMIF(月間集計シート!$M$50:$M$69,$G1410,月間集計シート!R$50:R$69)*U$2</f>
        <v>0</v>
      </c>
      <c r="V1410" s="88">
        <f>SUMIF(月間集計シート!$M$50:$M$69,$G1410,月間集計シート!S$50:S$69)*V$2</f>
        <v>0</v>
      </c>
      <c r="W1410" s="88">
        <f>SUMIF(月間集計シート!$M$50:$M$69,$G1410,月間集計シート!T$50:T$69)*W$2</f>
        <v>0</v>
      </c>
      <c r="X1410" s="88">
        <f>SUMIF(月間集計シート!$M$71:$M$90,$G1410,月間集計シート!N$71:N$90)*X$2</f>
        <v>0</v>
      </c>
      <c r="Y1410" s="88">
        <f>SUMIF(月間集計シート!$M$71:$M$90,$G1410,月間集計シート!O$71:O$90)*Y$2</f>
        <v>0</v>
      </c>
      <c r="Z1410" s="88">
        <f>SUMIF(月間集計シート!$M$71:$M$90,$G1410,月間集計シート!P$71:P$90)*Z$2</f>
        <v>0</v>
      </c>
      <c r="AA1410" s="88">
        <f>SUMIF(月間集計シート!$M$71:$M$90,$G1410,月間集計シート!Q$71:Q$90)*AA$2</f>
        <v>0</v>
      </c>
      <c r="AB1410" s="88">
        <f>SUMIF(月間集計シート!$M$71:$M$90,$G1410,月間集計シート!R$71:R$90)*AB$2</f>
        <v>0</v>
      </c>
      <c r="AC1410" s="88">
        <f>SUMIF(月間集計シート!$M$71:$M$90,$G1410,月間集計シート!S$71:S$90)*AC$2</f>
        <v>0</v>
      </c>
      <c r="AD1410" s="88">
        <f>SUMIF(月間集計シート!$M$71:$M$90,$G1410,月間集計シート!T$71:T$90)*AD$2</f>
        <v>0</v>
      </c>
      <c r="AE1410" s="88">
        <f>SUMIF(月間集計シート!$M$92:$M$111,$G1410,月間集計シート!N$92:N$111)*AE$2</f>
        <v>0</v>
      </c>
      <c r="AF1410" s="88">
        <f>SUMIF(月間集計シート!$M$92:$M$111,$G1410,月間集計シート!O$92:O$111)*AF$2</f>
        <v>0</v>
      </c>
      <c r="AG1410" s="88">
        <f>SUMIF(月間集計シート!$M$92:$M$111,$G1410,月間集計シート!P$92:P$111)*AG$2</f>
        <v>0</v>
      </c>
      <c r="AH1410" s="88">
        <f>SUMIF(月間集計シート!$M$92:$M$111,$G1410,月間集計シート!Q$92:Q$111)*AH$2</f>
        <v>0</v>
      </c>
      <c r="AI1410" s="88">
        <f>SUMIF(月間集計シート!$M$92:$M$111,$G1410,月間集計シート!R$92:R$111)*AI$2</f>
        <v>0</v>
      </c>
      <c r="AJ1410" s="88">
        <f>SUMIF(月間集計シート!$M$92:$M$111,$G1410,月間集計シート!S$92:S$111)*AJ$2</f>
        <v>0</v>
      </c>
      <c r="AK1410" s="88">
        <f>SUMIF(月間集計シート!$M$92:$M$111,$G1410,月間集計シート!T$92:T$111)*AK$2</f>
        <v>0</v>
      </c>
      <c r="AL1410" s="88">
        <f>SUMIF(月間集計シート!$M$113:$M$132,$G1410,月間集計シート!N$113:N$132)*AL$2</f>
        <v>0</v>
      </c>
      <c r="AM1410" s="88">
        <f>SUMIF(月間集計シート!$M$113:$M$132,$G1410,月間集計シート!O$113:O$132)*AM$2</f>
        <v>0</v>
      </c>
      <c r="AN1410" s="88">
        <f>SUMIF(月間集計シート!$M$113:$M$132,$G1410,月間集計シート!P$113:P$132)*AN$2</f>
        <v>0</v>
      </c>
      <c r="AO1410" s="88">
        <f>SUMIF(月間集計シート!$M$113:$M$132,$G1410,月間集計シート!Q$113:Q$132)*AO$2</f>
        <v>0</v>
      </c>
      <c r="AP1410" s="88">
        <f>SUMIF(月間集計シート!$M$113:$M$132,$G1410,月間集計シート!R$113:R$132)*AP$2</f>
        <v>0</v>
      </c>
      <c r="AQ1410" s="88">
        <f>SUMIF(月間集計シート!$M$113:$M$132,$G1410,月間集計シート!S$113:S$132)*AQ$2</f>
        <v>0</v>
      </c>
      <c r="AR1410" s="88">
        <f>SUMIF(月間集計シート!$M$113:$M$132,$G1410,月間集計シート!T$113:T$132)*AR$2</f>
        <v>0</v>
      </c>
      <c r="AS1410" s="88">
        <f>SUMIF(月間集計シート!$M$134:$M$153,$G1410,月間集計シート!N$134:N$153)*AS$2</f>
        <v>0</v>
      </c>
      <c r="AT1410" s="88">
        <f>SUMIF(月間集計シート!$M$134:$M$153,$G1410,月間集計シート!O$134:O$153)*AT$2</f>
        <v>0</v>
      </c>
      <c r="AU1410" s="88">
        <f>SUMIF(月間集計シート!$M$134:$M$153,$G1410,月間集計シート!P$134:P$153)*AU$2</f>
        <v>0</v>
      </c>
      <c r="AV1410" s="88">
        <f>SUMIF(月間集計シート!$M$134:$M$153,$G1410,月間集計シート!Q$134:Q$153)*AV$2</f>
        <v>0</v>
      </c>
      <c r="AW1410" s="88">
        <f>SUMIF(月間集計シート!$M$134:$M$153,$G1410,月間集計シート!R$134:R$153)*AW$2</f>
        <v>0</v>
      </c>
      <c r="AX1410" s="88">
        <f>SUMIF(月間集計シート!$M$134:$M$153,$G1410,月間集計シート!S$134:S$153)*AX$2</f>
        <v>0</v>
      </c>
      <c r="AY1410" s="88">
        <f>SUMIF(月間集計シート!$M$134:$M$153,$G1410,月間集計シート!T$134:T$153)*AY$2</f>
        <v>0</v>
      </c>
    </row>
    <row r="1411" spans="1:51" ht="14.25" thickBot="1">
      <c r="A1411">
        <v>17</v>
      </c>
      <c r="B1411" s="120">
        <f t="shared" si="782"/>
        <v>0</v>
      </c>
      <c r="C1411" s="120" t="str">
        <f t="shared" si="783"/>
        <v/>
      </c>
      <c r="D1411" s="137"/>
      <c r="E1411" s="150" t="str">
        <f>工種!A43</f>
        <v>60102</v>
      </c>
      <c r="F1411" s="119" t="str">
        <f>工種!B43</f>
        <v>ﾘﾘｰｽ：ﾘﾘｰｽ関連業務</v>
      </c>
      <c r="G1411" s="116" t="str">
        <f t="shared" si="784"/>
        <v>060102</v>
      </c>
      <c r="H1411" s="88">
        <f t="shared" si="738"/>
        <v>0</v>
      </c>
      <c r="I1411" s="132"/>
      <c r="J1411" s="88">
        <f>SUMIF(月間集計シート!$M$29:$M$48,$G1411,月間集計シート!N$29:N$48)*J$2</f>
        <v>0</v>
      </c>
      <c r="K1411" s="88">
        <f>SUMIF(月間集計シート!$M$29:$M$48,$G1411,月間集計シート!O$29:O$48)*K$2</f>
        <v>0</v>
      </c>
      <c r="L1411" s="88">
        <f>SUMIF(月間集計シート!$M$29:$M$48,$G1411,月間集計シート!P$29:P$48)*L$2</f>
        <v>0</v>
      </c>
      <c r="M1411" s="88">
        <f>SUMIF(月間集計シート!$M$29:$M$48,$G1411,月間集計シート!Q$29:Q$48)*M$2</f>
        <v>0</v>
      </c>
      <c r="N1411" s="88">
        <f>SUMIF(月間集計シート!$M$29:$M$48,$G1411,月間集計シート!R$29:R$48)*N$2</f>
        <v>0</v>
      </c>
      <c r="O1411" s="88">
        <f>SUMIF(月間集計シート!$M$29:$M$48,$G1411,月間集計シート!S$29:S$48)*O$2</f>
        <v>0</v>
      </c>
      <c r="P1411" s="88">
        <f>SUMIF(月間集計シート!$M$29:$M$48,$G1411,月間集計シート!T$29:T$48)*P$2</f>
        <v>0</v>
      </c>
      <c r="Q1411" s="88">
        <f>SUMIF(月間集計シート!$M$50:$M$69,$G1411,月間集計シート!N$50:N$69)*Q$2</f>
        <v>0</v>
      </c>
      <c r="R1411" s="88">
        <f>SUMIF(月間集計シート!$M$50:$M$69,$G1411,月間集計シート!O$50:O$69)*R$2</f>
        <v>0</v>
      </c>
      <c r="S1411" s="88">
        <f>SUMIF(月間集計シート!$M$50:$M$69,$G1411,月間集計シート!P$50:P$69)*S$2</f>
        <v>0</v>
      </c>
      <c r="T1411" s="88">
        <f>SUMIF(月間集計シート!$M$50:$M$69,$G1411,月間集計シート!Q$50:Q$69)*T$2</f>
        <v>0</v>
      </c>
      <c r="U1411" s="88">
        <f>SUMIF(月間集計シート!$M$50:$M$69,$G1411,月間集計シート!R$50:R$69)*U$2</f>
        <v>0</v>
      </c>
      <c r="V1411" s="88">
        <f>SUMIF(月間集計シート!$M$50:$M$69,$G1411,月間集計シート!S$50:S$69)*V$2</f>
        <v>0</v>
      </c>
      <c r="W1411" s="88">
        <f>SUMIF(月間集計シート!$M$50:$M$69,$G1411,月間集計シート!T$50:T$69)*W$2</f>
        <v>0</v>
      </c>
      <c r="X1411" s="88">
        <f>SUMIF(月間集計シート!$M$71:$M$90,$G1411,月間集計シート!N$71:N$90)*X$2</f>
        <v>0</v>
      </c>
      <c r="Y1411" s="88">
        <f>SUMIF(月間集計シート!$M$71:$M$90,$G1411,月間集計シート!O$71:O$90)*Y$2</f>
        <v>0</v>
      </c>
      <c r="Z1411" s="88">
        <f>SUMIF(月間集計シート!$M$71:$M$90,$G1411,月間集計シート!P$71:P$90)*Z$2</f>
        <v>0</v>
      </c>
      <c r="AA1411" s="88">
        <f>SUMIF(月間集計シート!$M$71:$M$90,$G1411,月間集計シート!Q$71:Q$90)*AA$2</f>
        <v>0</v>
      </c>
      <c r="AB1411" s="88">
        <f>SUMIF(月間集計シート!$M$71:$M$90,$G1411,月間集計シート!R$71:R$90)*AB$2</f>
        <v>0</v>
      </c>
      <c r="AC1411" s="88">
        <f>SUMIF(月間集計シート!$M$71:$M$90,$G1411,月間集計シート!S$71:S$90)*AC$2</f>
        <v>0</v>
      </c>
      <c r="AD1411" s="88">
        <f>SUMIF(月間集計シート!$M$71:$M$90,$G1411,月間集計シート!T$71:T$90)*AD$2</f>
        <v>0</v>
      </c>
      <c r="AE1411" s="88">
        <f>SUMIF(月間集計シート!$M$92:$M$111,$G1411,月間集計シート!N$92:N$111)*AE$2</f>
        <v>0</v>
      </c>
      <c r="AF1411" s="88">
        <f>SUMIF(月間集計シート!$M$92:$M$111,$G1411,月間集計シート!O$92:O$111)*AF$2</f>
        <v>0</v>
      </c>
      <c r="AG1411" s="88">
        <f>SUMIF(月間集計シート!$M$92:$M$111,$G1411,月間集計シート!P$92:P$111)*AG$2</f>
        <v>0</v>
      </c>
      <c r="AH1411" s="88">
        <f>SUMIF(月間集計シート!$M$92:$M$111,$G1411,月間集計シート!Q$92:Q$111)*AH$2</f>
        <v>0</v>
      </c>
      <c r="AI1411" s="88">
        <f>SUMIF(月間集計シート!$M$92:$M$111,$G1411,月間集計シート!R$92:R$111)*AI$2</f>
        <v>0</v>
      </c>
      <c r="AJ1411" s="88">
        <f>SUMIF(月間集計シート!$M$92:$M$111,$G1411,月間集計シート!S$92:S$111)*AJ$2</f>
        <v>0</v>
      </c>
      <c r="AK1411" s="88">
        <f>SUMIF(月間集計シート!$M$92:$M$111,$G1411,月間集計シート!T$92:T$111)*AK$2</f>
        <v>0</v>
      </c>
      <c r="AL1411" s="88">
        <f>SUMIF(月間集計シート!$M$113:$M$132,$G1411,月間集計シート!N$113:N$132)*AL$2</f>
        <v>0</v>
      </c>
      <c r="AM1411" s="88">
        <f>SUMIF(月間集計シート!$M$113:$M$132,$G1411,月間集計シート!O$113:O$132)*AM$2</f>
        <v>0</v>
      </c>
      <c r="AN1411" s="88">
        <f>SUMIF(月間集計シート!$M$113:$M$132,$G1411,月間集計シート!P$113:P$132)*AN$2</f>
        <v>0</v>
      </c>
      <c r="AO1411" s="88">
        <f>SUMIF(月間集計シート!$M$113:$M$132,$G1411,月間集計シート!Q$113:Q$132)*AO$2</f>
        <v>0</v>
      </c>
      <c r="AP1411" s="88">
        <f>SUMIF(月間集計シート!$M$113:$M$132,$G1411,月間集計シート!R$113:R$132)*AP$2</f>
        <v>0</v>
      </c>
      <c r="AQ1411" s="88">
        <f>SUMIF(月間集計シート!$M$113:$M$132,$G1411,月間集計シート!S$113:S$132)*AQ$2</f>
        <v>0</v>
      </c>
      <c r="AR1411" s="88">
        <f>SUMIF(月間集計シート!$M$113:$M$132,$G1411,月間集計シート!T$113:T$132)*AR$2</f>
        <v>0</v>
      </c>
      <c r="AS1411" s="88">
        <f>SUMIF(月間集計シート!$M$134:$M$153,$G1411,月間集計シート!N$134:N$153)*AS$2</f>
        <v>0</v>
      </c>
      <c r="AT1411" s="88">
        <f>SUMIF(月間集計シート!$M$134:$M$153,$G1411,月間集計シート!O$134:O$153)*AT$2</f>
        <v>0</v>
      </c>
      <c r="AU1411" s="88">
        <f>SUMIF(月間集計シート!$M$134:$M$153,$G1411,月間集計シート!P$134:P$153)*AU$2</f>
        <v>0</v>
      </c>
      <c r="AV1411" s="88">
        <f>SUMIF(月間集計シート!$M$134:$M$153,$G1411,月間集計シート!Q$134:Q$153)*AV$2</f>
        <v>0</v>
      </c>
      <c r="AW1411" s="88">
        <f>SUMIF(月間集計シート!$M$134:$M$153,$G1411,月間集計シート!R$134:R$153)*AW$2</f>
        <v>0</v>
      </c>
      <c r="AX1411" s="88">
        <f>SUMIF(月間集計シート!$M$134:$M$153,$G1411,月間集計シート!S$134:S$153)*AX$2</f>
        <v>0</v>
      </c>
      <c r="AY1411" s="88">
        <f>SUMIF(月間集計シート!$M$134:$M$153,$G1411,月間集計シート!T$134:T$153)*AY$2</f>
        <v>0</v>
      </c>
    </row>
    <row r="1412" spans="1:51" ht="14.25" thickBot="1">
      <c r="A1412">
        <v>17</v>
      </c>
      <c r="B1412" s="120">
        <f t="shared" si="782"/>
        <v>0</v>
      </c>
      <c r="C1412" s="120" t="str">
        <f t="shared" si="783"/>
        <v/>
      </c>
      <c r="D1412" s="137"/>
      <c r="E1412" s="150" t="str">
        <f>工種!A44</f>
        <v>60103</v>
      </c>
      <c r="F1412" s="119" t="str">
        <f>工種!B44</f>
        <v>ﾘﾘｰｽ：ﾏﾆｭｱﾙPDF作成・修正</v>
      </c>
      <c r="G1412" s="116" t="str">
        <f t="shared" si="784"/>
        <v>060103</v>
      </c>
      <c r="H1412" s="88">
        <f t="shared" si="738"/>
        <v>0</v>
      </c>
      <c r="I1412" s="132"/>
      <c r="J1412" s="88">
        <f>SUMIF(月間集計シート!$M$29:$M$48,$G1412,月間集計シート!N$29:N$48)*J$2</f>
        <v>0</v>
      </c>
      <c r="K1412" s="88">
        <f>SUMIF(月間集計シート!$M$29:$M$48,$G1412,月間集計シート!O$29:O$48)*K$2</f>
        <v>0</v>
      </c>
      <c r="L1412" s="88">
        <f>SUMIF(月間集計シート!$M$29:$M$48,$G1412,月間集計シート!P$29:P$48)*L$2</f>
        <v>0</v>
      </c>
      <c r="M1412" s="88">
        <f>SUMIF(月間集計シート!$M$29:$M$48,$G1412,月間集計シート!Q$29:Q$48)*M$2</f>
        <v>0</v>
      </c>
      <c r="N1412" s="88">
        <f>SUMIF(月間集計シート!$M$29:$M$48,$G1412,月間集計シート!R$29:R$48)*N$2</f>
        <v>0</v>
      </c>
      <c r="O1412" s="88">
        <f>SUMIF(月間集計シート!$M$29:$M$48,$G1412,月間集計シート!S$29:S$48)*O$2</f>
        <v>0</v>
      </c>
      <c r="P1412" s="88">
        <f>SUMIF(月間集計シート!$M$29:$M$48,$G1412,月間集計シート!T$29:T$48)*P$2</f>
        <v>0</v>
      </c>
      <c r="Q1412" s="88">
        <f>SUMIF(月間集計シート!$M$50:$M$69,$G1412,月間集計シート!N$50:N$69)*Q$2</f>
        <v>0</v>
      </c>
      <c r="R1412" s="88">
        <f>SUMIF(月間集計シート!$M$50:$M$69,$G1412,月間集計シート!O$50:O$69)*R$2</f>
        <v>0</v>
      </c>
      <c r="S1412" s="88">
        <f>SUMIF(月間集計シート!$M$50:$M$69,$G1412,月間集計シート!P$50:P$69)*S$2</f>
        <v>0</v>
      </c>
      <c r="T1412" s="88">
        <f>SUMIF(月間集計シート!$M$50:$M$69,$G1412,月間集計シート!Q$50:Q$69)*T$2</f>
        <v>0</v>
      </c>
      <c r="U1412" s="88">
        <f>SUMIF(月間集計シート!$M$50:$M$69,$G1412,月間集計シート!R$50:R$69)*U$2</f>
        <v>0</v>
      </c>
      <c r="V1412" s="88">
        <f>SUMIF(月間集計シート!$M$50:$M$69,$G1412,月間集計シート!S$50:S$69)*V$2</f>
        <v>0</v>
      </c>
      <c r="W1412" s="88">
        <f>SUMIF(月間集計シート!$M$50:$M$69,$G1412,月間集計シート!T$50:T$69)*W$2</f>
        <v>0</v>
      </c>
      <c r="X1412" s="88">
        <f>SUMIF(月間集計シート!$M$71:$M$90,$G1412,月間集計シート!N$71:N$90)*X$2</f>
        <v>0</v>
      </c>
      <c r="Y1412" s="88">
        <f>SUMIF(月間集計シート!$M$71:$M$90,$G1412,月間集計シート!O$71:O$90)*Y$2</f>
        <v>0</v>
      </c>
      <c r="Z1412" s="88">
        <f>SUMIF(月間集計シート!$M$71:$M$90,$G1412,月間集計シート!P$71:P$90)*Z$2</f>
        <v>0</v>
      </c>
      <c r="AA1412" s="88">
        <f>SUMIF(月間集計シート!$M$71:$M$90,$G1412,月間集計シート!Q$71:Q$90)*AA$2</f>
        <v>0</v>
      </c>
      <c r="AB1412" s="88">
        <f>SUMIF(月間集計シート!$M$71:$M$90,$G1412,月間集計シート!R$71:R$90)*AB$2</f>
        <v>0</v>
      </c>
      <c r="AC1412" s="88">
        <f>SUMIF(月間集計シート!$M$71:$M$90,$G1412,月間集計シート!S$71:S$90)*AC$2</f>
        <v>0</v>
      </c>
      <c r="AD1412" s="88">
        <f>SUMIF(月間集計シート!$M$71:$M$90,$G1412,月間集計シート!T$71:T$90)*AD$2</f>
        <v>0</v>
      </c>
      <c r="AE1412" s="88">
        <f>SUMIF(月間集計シート!$M$92:$M$111,$G1412,月間集計シート!N$92:N$111)*AE$2</f>
        <v>0</v>
      </c>
      <c r="AF1412" s="88">
        <f>SUMIF(月間集計シート!$M$92:$M$111,$G1412,月間集計シート!O$92:O$111)*AF$2</f>
        <v>0</v>
      </c>
      <c r="AG1412" s="88">
        <f>SUMIF(月間集計シート!$M$92:$M$111,$G1412,月間集計シート!P$92:P$111)*AG$2</f>
        <v>0</v>
      </c>
      <c r="AH1412" s="88">
        <f>SUMIF(月間集計シート!$M$92:$M$111,$G1412,月間集計シート!Q$92:Q$111)*AH$2</f>
        <v>0</v>
      </c>
      <c r="AI1412" s="88">
        <f>SUMIF(月間集計シート!$M$92:$M$111,$G1412,月間集計シート!R$92:R$111)*AI$2</f>
        <v>0</v>
      </c>
      <c r="AJ1412" s="88">
        <f>SUMIF(月間集計シート!$M$92:$M$111,$G1412,月間集計シート!S$92:S$111)*AJ$2</f>
        <v>0</v>
      </c>
      <c r="AK1412" s="88">
        <f>SUMIF(月間集計シート!$M$92:$M$111,$G1412,月間集計シート!T$92:T$111)*AK$2</f>
        <v>0</v>
      </c>
      <c r="AL1412" s="88">
        <f>SUMIF(月間集計シート!$M$113:$M$132,$G1412,月間集計シート!N$113:N$132)*AL$2</f>
        <v>0</v>
      </c>
      <c r="AM1412" s="88">
        <f>SUMIF(月間集計シート!$M$113:$M$132,$G1412,月間集計シート!O$113:O$132)*AM$2</f>
        <v>0</v>
      </c>
      <c r="AN1412" s="88">
        <f>SUMIF(月間集計シート!$M$113:$M$132,$G1412,月間集計シート!P$113:P$132)*AN$2</f>
        <v>0</v>
      </c>
      <c r="AO1412" s="88">
        <f>SUMIF(月間集計シート!$M$113:$M$132,$G1412,月間集計シート!Q$113:Q$132)*AO$2</f>
        <v>0</v>
      </c>
      <c r="AP1412" s="88">
        <f>SUMIF(月間集計シート!$M$113:$M$132,$G1412,月間集計シート!R$113:R$132)*AP$2</f>
        <v>0</v>
      </c>
      <c r="AQ1412" s="88">
        <f>SUMIF(月間集計シート!$M$113:$M$132,$G1412,月間集計シート!S$113:S$132)*AQ$2</f>
        <v>0</v>
      </c>
      <c r="AR1412" s="88">
        <f>SUMIF(月間集計シート!$M$113:$M$132,$G1412,月間集計シート!T$113:T$132)*AR$2</f>
        <v>0</v>
      </c>
      <c r="AS1412" s="88">
        <f>SUMIF(月間集計シート!$M$134:$M$153,$G1412,月間集計シート!N$134:N$153)*AS$2</f>
        <v>0</v>
      </c>
      <c r="AT1412" s="88">
        <f>SUMIF(月間集計シート!$M$134:$M$153,$G1412,月間集計シート!O$134:O$153)*AT$2</f>
        <v>0</v>
      </c>
      <c r="AU1412" s="88">
        <f>SUMIF(月間集計シート!$M$134:$M$153,$G1412,月間集計シート!P$134:P$153)*AU$2</f>
        <v>0</v>
      </c>
      <c r="AV1412" s="88">
        <f>SUMIF(月間集計シート!$M$134:$M$153,$G1412,月間集計シート!Q$134:Q$153)*AV$2</f>
        <v>0</v>
      </c>
      <c r="AW1412" s="88">
        <f>SUMIF(月間集計シート!$M$134:$M$153,$G1412,月間集計シート!R$134:R$153)*AW$2</f>
        <v>0</v>
      </c>
      <c r="AX1412" s="88">
        <f>SUMIF(月間集計シート!$M$134:$M$153,$G1412,月間集計シート!S$134:S$153)*AX$2</f>
        <v>0</v>
      </c>
      <c r="AY1412" s="88">
        <f>SUMIF(月間集計シート!$M$134:$M$153,$G1412,月間集計シート!T$134:T$153)*AY$2</f>
        <v>0</v>
      </c>
    </row>
    <row r="1413" spans="1:51" ht="14.25" thickBot="1">
      <c r="A1413">
        <v>17</v>
      </c>
      <c r="B1413" s="120">
        <f t="shared" si="782"/>
        <v>0</v>
      </c>
      <c r="C1413" s="120" t="str">
        <f t="shared" si="783"/>
        <v/>
      </c>
      <c r="D1413" s="137"/>
      <c r="E1413" s="150" t="str">
        <f>工種!A45</f>
        <v>60104</v>
      </c>
      <c r="F1413" s="119" t="str">
        <f>工種!B45</f>
        <v>ﾘﾘｰｽ：ﾍﾙﾌﾟ作成・修正</v>
      </c>
      <c r="G1413" s="116" t="str">
        <f t="shared" si="784"/>
        <v>060104</v>
      </c>
      <c r="H1413" s="88">
        <f t="shared" si="738"/>
        <v>0</v>
      </c>
      <c r="I1413" s="132"/>
      <c r="J1413" s="88">
        <f>SUMIF(月間集計シート!$M$29:$M$48,$G1413,月間集計シート!N$29:N$48)*J$2</f>
        <v>0</v>
      </c>
      <c r="K1413" s="88">
        <f>SUMIF(月間集計シート!$M$29:$M$48,$G1413,月間集計シート!O$29:O$48)*K$2</f>
        <v>0</v>
      </c>
      <c r="L1413" s="88">
        <f>SUMIF(月間集計シート!$M$29:$M$48,$G1413,月間集計シート!P$29:P$48)*L$2</f>
        <v>0</v>
      </c>
      <c r="M1413" s="88">
        <f>SUMIF(月間集計シート!$M$29:$M$48,$G1413,月間集計シート!Q$29:Q$48)*M$2</f>
        <v>0</v>
      </c>
      <c r="N1413" s="88">
        <f>SUMIF(月間集計シート!$M$29:$M$48,$G1413,月間集計シート!R$29:R$48)*N$2</f>
        <v>0</v>
      </c>
      <c r="O1413" s="88">
        <f>SUMIF(月間集計シート!$M$29:$M$48,$G1413,月間集計シート!S$29:S$48)*O$2</f>
        <v>0</v>
      </c>
      <c r="P1413" s="88">
        <f>SUMIF(月間集計シート!$M$29:$M$48,$G1413,月間集計シート!T$29:T$48)*P$2</f>
        <v>0</v>
      </c>
      <c r="Q1413" s="88">
        <f>SUMIF(月間集計シート!$M$50:$M$69,$G1413,月間集計シート!N$50:N$69)*Q$2</f>
        <v>0</v>
      </c>
      <c r="R1413" s="88">
        <f>SUMIF(月間集計シート!$M$50:$M$69,$G1413,月間集計シート!O$50:O$69)*R$2</f>
        <v>0</v>
      </c>
      <c r="S1413" s="88">
        <f>SUMIF(月間集計シート!$M$50:$M$69,$G1413,月間集計シート!P$50:P$69)*S$2</f>
        <v>0</v>
      </c>
      <c r="T1413" s="88">
        <f>SUMIF(月間集計シート!$M$50:$M$69,$G1413,月間集計シート!Q$50:Q$69)*T$2</f>
        <v>0</v>
      </c>
      <c r="U1413" s="88">
        <f>SUMIF(月間集計シート!$M$50:$M$69,$G1413,月間集計シート!R$50:R$69)*U$2</f>
        <v>0</v>
      </c>
      <c r="V1413" s="88">
        <f>SUMIF(月間集計シート!$M$50:$M$69,$G1413,月間集計シート!S$50:S$69)*V$2</f>
        <v>0</v>
      </c>
      <c r="W1413" s="88">
        <f>SUMIF(月間集計シート!$M$50:$M$69,$G1413,月間集計シート!T$50:T$69)*W$2</f>
        <v>0</v>
      </c>
      <c r="X1413" s="88">
        <f>SUMIF(月間集計シート!$M$71:$M$90,$G1413,月間集計シート!N$71:N$90)*X$2</f>
        <v>0</v>
      </c>
      <c r="Y1413" s="88">
        <f>SUMIF(月間集計シート!$M$71:$M$90,$G1413,月間集計シート!O$71:O$90)*Y$2</f>
        <v>0</v>
      </c>
      <c r="Z1413" s="88">
        <f>SUMIF(月間集計シート!$M$71:$M$90,$G1413,月間集計シート!P$71:P$90)*Z$2</f>
        <v>0</v>
      </c>
      <c r="AA1413" s="88">
        <f>SUMIF(月間集計シート!$M$71:$M$90,$G1413,月間集計シート!Q$71:Q$90)*AA$2</f>
        <v>0</v>
      </c>
      <c r="AB1413" s="88">
        <f>SUMIF(月間集計シート!$M$71:$M$90,$G1413,月間集計シート!R$71:R$90)*AB$2</f>
        <v>0</v>
      </c>
      <c r="AC1413" s="88">
        <f>SUMIF(月間集計シート!$M$71:$M$90,$G1413,月間集計シート!S$71:S$90)*AC$2</f>
        <v>0</v>
      </c>
      <c r="AD1413" s="88">
        <f>SUMIF(月間集計シート!$M$71:$M$90,$G1413,月間集計シート!T$71:T$90)*AD$2</f>
        <v>0</v>
      </c>
      <c r="AE1413" s="88">
        <f>SUMIF(月間集計シート!$M$92:$M$111,$G1413,月間集計シート!N$92:N$111)*AE$2</f>
        <v>0</v>
      </c>
      <c r="AF1413" s="88">
        <f>SUMIF(月間集計シート!$M$92:$M$111,$G1413,月間集計シート!O$92:O$111)*AF$2</f>
        <v>0</v>
      </c>
      <c r="AG1413" s="88">
        <f>SUMIF(月間集計シート!$M$92:$M$111,$G1413,月間集計シート!P$92:P$111)*AG$2</f>
        <v>0</v>
      </c>
      <c r="AH1413" s="88">
        <f>SUMIF(月間集計シート!$M$92:$M$111,$G1413,月間集計シート!Q$92:Q$111)*AH$2</f>
        <v>0</v>
      </c>
      <c r="AI1413" s="88">
        <f>SUMIF(月間集計シート!$M$92:$M$111,$G1413,月間集計シート!R$92:R$111)*AI$2</f>
        <v>0</v>
      </c>
      <c r="AJ1413" s="88">
        <f>SUMIF(月間集計シート!$M$92:$M$111,$G1413,月間集計シート!S$92:S$111)*AJ$2</f>
        <v>0</v>
      </c>
      <c r="AK1413" s="88">
        <f>SUMIF(月間集計シート!$M$92:$M$111,$G1413,月間集計シート!T$92:T$111)*AK$2</f>
        <v>0</v>
      </c>
      <c r="AL1413" s="88">
        <f>SUMIF(月間集計シート!$M$113:$M$132,$G1413,月間集計シート!N$113:N$132)*AL$2</f>
        <v>0</v>
      </c>
      <c r="AM1413" s="88">
        <f>SUMIF(月間集計シート!$M$113:$M$132,$G1413,月間集計シート!O$113:O$132)*AM$2</f>
        <v>0</v>
      </c>
      <c r="AN1413" s="88">
        <f>SUMIF(月間集計シート!$M$113:$M$132,$G1413,月間集計シート!P$113:P$132)*AN$2</f>
        <v>0</v>
      </c>
      <c r="AO1413" s="88">
        <f>SUMIF(月間集計シート!$M$113:$M$132,$G1413,月間集計シート!Q$113:Q$132)*AO$2</f>
        <v>0</v>
      </c>
      <c r="AP1413" s="88">
        <f>SUMIF(月間集計シート!$M$113:$M$132,$G1413,月間集計シート!R$113:R$132)*AP$2</f>
        <v>0</v>
      </c>
      <c r="AQ1413" s="88">
        <f>SUMIF(月間集計シート!$M$113:$M$132,$G1413,月間集計シート!S$113:S$132)*AQ$2</f>
        <v>0</v>
      </c>
      <c r="AR1413" s="88">
        <f>SUMIF(月間集計シート!$M$113:$M$132,$G1413,月間集計シート!T$113:T$132)*AR$2</f>
        <v>0</v>
      </c>
      <c r="AS1413" s="88">
        <f>SUMIF(月間集計シート!$M$134:$M$153,$G1413,月間集計シート!N$134:N$153)*AS$2</f>
        <v>0</v>
      </c>
      <c r="AT1413" s="88">
        <f>SUMIF(月間集計シート!$M$134:$M$153,$G1413,月間集計シート!O$134:O$153)*AT$2</f>
        <v>0</v>
      </c>
      <c r="AU1413" s="88">
        <f>SUMIF(月間集計シート!$M$134:$M$153,$G1413,月間集計シート!P$134:P$153)*AU$2</f>
        <v>0</v>
      </c>
      <c r="AV1413" s="88">
        <f>SUMIF(月間集計シート!$M$134:$M$153,$G1413,月間集計シート!Q$134:Q$153)*AV$2</f>
        <v>0</v>
      </c>
      <c r="AW1413" s="88">
        <f>SUMIF(月間集計シート!$M$134:$M$153,$G1413,月間集計シート!R$134:R$153)*AW$2</f>
        <v>0</v>
      </c>
      <c r="AX1413" s="88">
        <f>SUMIF(月間集計シート!$M$134:$M$153,$G1413,月間集計シート!S$134:S$153)*AX$2</f>
        <v>0</v>
      </c>
      <c r="AY1413" s="88">
        <f>SUMIF(月間集計シート!$M$134:$M$153,$G1413,月間集計シート!T$134:T$153)*AY$2</f>
        <v>0</v>
      </c>
    </row>
    <row r="1414" spans="1:51" ht="14.25" thickBot="1">
      <c r="A1414">
        <v>17</v>
      </c>
      <c r="B1414" s="120">
        <f t="shared" si="782"/>
        <v>0</v>
      </c>
      <c r="C1414" s="120" t="str">
        <f t="shared" si="783"/>
        <v/>
      </c>
      <c r="D1414" s="137"/>
      <c r="E1414" s="150" t="str">
        <f>工種!A46</f>
        <v>60105</v>
      </c>
      <c r="F1414" s="119" t="str">
        <f>工種!B46</f>
        <v>ﾘﾘｰｽ：締め作業</v>
      </c>
      <c r="G1414" s="116" t="str">
        <f t="shared" si="784"/>
        <v>060105</v>
      </c>
      <c r="H1414" s="88">
        <f t="shared" si="738"/>
        <v>0</v>
      </c>
      <c r="I1414" s="132"/>
      <c r="J1414" s="88">
        <f>SUMIF(月間集計シート!$M$29:$M$48,$G1414,月間集計シート!N$29:N$48)*J$2</f>
        <v>0</v>
      </c>
      <c r="K1414" s="88">
        <f>SUMIF(月間集計シート!$M$29:$M$48,$G1414,月間集計シート!O$29:O$48)*K$2</f>
        <v>0</v>
      </c>
      <c r="L1414" s="88">
        <f>SUMIF(月間集計シート!$M$29:$M$48,$G1414,月間集計シート!P$29:P$48)*L$2</f>
        <v>0</v>
      </c>
      <c r="M1414" s="88">
        <f>SUMIF(月間集計シート!$M$29:$M$48,$G1414,月間集計シート!Q$29:Q$48)*M$2</f>
        <v>0</v>
      </c>
      <c r="N1414" s="88">
        <f>SUMIF(月間集計シート!$M$29:$M$48,$G1414,月間集計シート!R$29:R$48)*N$2</f>
        <v>0</v>
      </c>
      <c r="O1414" s="88">
        <f>SUMIF(月間集計シート!$M$29:$M$48,$G1414,月間集計シート!S$29:S$48)*O$2</f>
        <v>0</v>
      </c>
      <c r="P1414" s="88">
        <f>SUMIF(月間集計シート!$M$29:$M$48,$G1414,月間集計シート!T$29:T$48)*P$2</f>
        <v>0</v>
      </c>
      <c r="Q1414" s="88">
        <f>SUMIF(月間集計シート!$M$50:$M$69,$G1414,月間集計シート!N$50:N$69)*Q$2</f>
        <v>0</v>
      </c>
      <c r="R1414" s="88">
        <f>SUMIF(月間集計シート!$M$50:$M$69,$G1414,月間集計シート!O$50:O$69)*R$2</f>
        <v>0</v>
      </c>
      <c r="S1414" s="88">
        <f>SUMIF(月間集計シート!$M$50:$M$69,$G1414,月間集計シート!P$50:P$69)*S$2</f>
        <v>0</v>
      </c>
      <c r="T1414" s="88">
        <f>SUMIF(月間集計シート!$M$50:$M$69,$G1414,月間集計シート!Q$50:Q$69)*T$2</f>
        <v>0</v>
      </c>
      <c r="U1414" s="88">
        <f>SUMIF(月間集計シート!$M$50:$M$69,$G1414,月間集計シート!R$50:R$69)*U$2</f>
        <v>0</v>
      </c>
      <c r="V1414" s="88">
        <f>SUMIF(月間集計シート!$M$50:$M$69,$G1414,月間集計シート!S$50:S$69)*V$2</f>
        <v>0</v>
      </c>
      <c r="W1414" s="88">
        <f>SUMIF(月間集計シート!$M$50:$M$69,$G1414,月間集計シート!T$50:T$69)*W$2</f>
        <v>0</v>
      </c>
      <c r="X1414" s="88">
        <f>SUMIF(月間集計シート!$M$71:$M$90,$G1414,月間集計シート!N$71:N$90)*X$2</f>
        <v>0</v>
      </c>
      <c r="Y1414" s="88">
        <f>SUMIF(月間集計シート!$M$71:$M$90,$G1414,月間集計シート!O$71:O$90)*Y$2</f>
        <v>0</v>
      </c>
      <c r="Z1414" s="88">
        <f>SUMIF(月間集計シート!$M$71:$M$90,$G1414,月間集計シート!P$71:P$90)*Z$2</f>
        <v>0</v>
      </c>
      <c r="AA1414" s="88">
        <f>SUMIF(月間集計シート!$M$71:$M$90,$G1414,月間集計シート!Q$71:Q$90)*AA$2</f>
        <v>0</v>
      </c>
      <c r="AB1414" s="88">
        <f>SUMIF(月間集計シート!$M$71:$M$90,$G1414,月間集計シート!R$71:R$90)*AB$2</f>
        <v>0</v>
      </c>
      <c r="AC1414" s="88">
        <f>SUMIF(月間集計シート!$M$71:$M$90,$G1414,月間集計シート!S$71:S$90)*AC$2</f>
        <v>0</v>
      </c>
      <c r="AD1414" s="88">
        <f>SUMIF(月間集計シート!$M$71:$M$90,$G1414,月間集計シート!T$71:T$90)*AD$2</f>
        <v>0</v>
      </c>
      <c r="AE1414" s="88">
        <f>SUMIF(月間集計シート!$M$92:$M$111,$G1414,月間集計シート!N$92:N$111)*AE$2</f>
        <v>0</v>
      </c>
      <c r="AF1414" s="88">
        <f>SUMIF(月間集計シート!$M$92:$M$111,$G1414,月間集計シート!O$92:O$111)*AF$2</f>
        <v>0</v>
      </c>
      <c r="AG1414" s="88">
        <f>SUMIF(月間集計シート!$M$92:$M$111,$G1414,月間集計シート!P$92:P$111)*AG$2</f>
        <v>0</v>
      </c>
      <c r="AH1414" s="88">
        <f>SUMIF(月間集計シート!$M$92:$M$111,$G1414,月間集計シート!Q$92:Q$111)*AH$2</f>
        <v>0</v>
      </c>
      <c r="AI1414" s="88">
        <f>SUMIF(月間集計シート!$M$92:$M$111,$G1414,月間集計シート!R$92:R$111)*AI$2</f>
        <v>0</v>
      </c>
      <c r="AJ1414" s="88">
        <f>SUMIF(月間集計シート!$M$92:$M$111,$G1414,月間集計シート!S$92:S$111)*AJ$2</f>
        <v>0</v>
      </c>
      <c r="AK1414" s="88">
        <f>SUMIF(月間集計シート!$M$92:$M$111,$G1414,月間集計シート!T$92:T$111)*AK$2</f>
        <v>0</v>
      </c>
      <c r="AL1414" s="88">
        <f>SUMIF(月間集計シート!$M$113:$M$132,$G1414,月間集計シート!N$113:N$132)*AL$2</f>
        <v>0</v>
      </c>
      <c r="AM1414" s="88">
        <f>SUMIF(月間集計シート!$M$113:$M$132,$G1414,月間集計シート!O$113:O$132)*AM$2</f>
        <v>0</v>
      </c>
      <c r="AN1414" s="88">
        <f>SUMIF(月間集計シート!$M$113:$M$132,$G1414,月間集計シート!P$113:P$132)*AN$2</f>
        <v>0</v>
      </c>
      <c r="AO1414" s="88">
        <f>SUMIF(月間集計シート!$M$113:$M$132,$G1414,月間集計シート!Q$113:Q$132)*AO$2</f>
        <v>0</v>
      </c>
      <c r="AP1414" s="88">
        <f>SUMIF(月間集計シート!$M$113:$M$132,$G1414,月間集計シート!R$113:R$132)*AP$2</f>
        <v>0</v>
      </c>
      <c r="AQ1414" s="88">
        <f>SUMIF(月間集計シート!$M$113:$M$132,$G1414,月間集計シート!S$113:S$132)*AQ$2</f>
        <v>0</v>
      </c>
      <c r="AR1414" s="88">
        <f>SUMIF(月間集計シート!$M$113:$M$132,$G1414,月間集計シート!T$113:T$132)*AR$2</f>
        <v>0</v>
      </c>
      <c r="AS1414" s="88">
        <f>SUMIF(月間集計シート!$M$134:$M$153,$G1414,月間集計シート!N$134:N$153)*AS$2</f>
        <v>0</v>
      </c>
      <c r="AT1414" s="88">
        <f>SUMIF(月間集計シート!$M$134:$M$153,$G1414,月間集計シート!O$134:O$153)*AT$2</f>
        <v>0</v>
      </c>
      <c r="AU1414" s="88">
        <f>SUMIF(月間集計シート!$M$134:$M$153,$G1414,月間集計シート!P$134:P$153)*AU$2</f>
        <v>0</v>
      </c>
      <c r="AV1414" s="88">
        <f>SUMIF(月間集計シート!$M$134:$M$153,$G1414,月間集計シート!Q$134:Q$153)*AV$2</f>
        <v>0</v>
      </c>
      <c r="AW1414" s="88">
        <f>SUMIF(月間集計シート!$M$134:$M$153,$G1414,月間集計シート!R$134:R$153)*AW$2</f>
        <v>0</v>
      </c>
      <c r="AX1414" s="88">
        <f>SUMIF(月間集計シート!$M$134:$M$153,$G1414,月間集計シート!S$134:S$153)*AX$2</f>
        <v>0</v>
      </c>
      <c r="AY1414" s="88">
        <f>SUMIF(月間集計シート!$M$134:$M$153,$G1414,月間集計シート!T$134:T$153)*AY$2</f>
        <v>0</v>
      </c>
    </row>
    <row r="1415" spans="1:51" ht="14.25" thickBot="1">
      <c r="A1415">
        <v>17</v>
      </c>
      <c r="B1415" s="120">
        <f t="shared" si="782"/>
        <v>0</v>
      </c>
      <c r="C1415" s="120" t="str">
        <f t="shared" si="783"/>
        <v/>
      </c>
      <c r="D1415" s="137"/>
      <c r="E1415" s="150" t="str">
        <f>工種!A47</f>
        <v>60107</v>
      </c>
      <c r="F1415" s="119" t="str">
        <f>工種!B47</f>
        <v>ﾘﾘｰｽ：打合せ</v>
      </c>
      <c r="G1415" s="116" t="str">
        <f t="shared" si="784"/>
        <v>060107</v>
      </c>
      <c r="H1415" s="88">
        <f t="shared" si="738"/>
        <v>0</v>
      </c>
      <c r="I1415" s="132"/>
      <c r="J1415" s="88">
        <f>SUMIF(月間集計シート!$M$29:$M$48,$G1415,月間集計シート!N$29:N$48)*J$2</f>
        <v>0</v>
      </c>
      <c r="K1415" s="88">
        <f>SUMIF(月間集計シート!$M$29:$M$48,$G1415,月間集計シート!O$29:O$48)*K$2</f>
        <v>0</v>
      </c>
      <c r="L1415" s="88">
        <f>SUMIF(月間集計シート!$M$29:$M$48,$G1415,月間集計シート!P$29:P$48)*L$2</f>
        <v>0</v>
      </c>
      <c r="M1415" s="88">
        <f>SUMIF(月間集計シート!$M$29:$M$48,$G1415,月間集計シート!Q$29:Q$48)*M$2</f>
        <v>0</v>
      </c>
      <c r="N1415" s="88">
        <f>SUMIF(月間集計シート!$M$29:$M$48,$G1415,月間集計シート!R$29:R$48)*N$2</f>
        <v>0</v>
      </c>
      <c r="O1415" s="88">
        <f>SUMIF(月間集計シート!$M$29:$M$48,$G1415,月間集計シート!S$29:S$48)*O$2</f>
        <v>0</v>
      </c>
      <c r="P1415" s="88">
        <f>SUMIF(月間集計シート!$M$29:$M$48,$G1415,月間集計シート!T$29:T$48)*P$2</f>
        <v>0</v>
      </c>
      <c r="Q1415" s="88">
        <f>SUMIF(月間集計シート!$M$50:$M$69,$G1415,月間集計シート!N$50:N$69)*Q$2</f>
        <v>0</v>
      </c>
      <c r="R1415" s="88">
        <f>SUMIF(月間集計シート!$M$50:$M$69,$G1415,月間集計シート!O$50:O$69)*R$2</f>
        <v>0</v>
      </c>
      <c r="S1415" s="88">
        <f>SUMIF(月間集計シート!$M$50:$M$69,$G1415,月間集計シート!P$50:P$69)*S$2</f>
        <v>0</v>
      </c>
      <c r="T1415" s="88">
        <f>SUMIF(月間集計シート!$M$50:$M$69,$G1415,月間集計シート!Q$50:Q$69)*T$2</f>
        <v>0</v>
      </c>
      <c r="U1415" s="88">
        <f>SUMIF(月間集計シート!$M$50:$M$69,$G1415,月間集計シート!R$50:R$69)*U$2</f>
        <v>0</v>
      </c>
      <c r="V1415" s="88">
        <f>SUMIF(月間集計シート!$M$50:$M$69,$G1415,月間集計シート!S$50:S$69)*V$2</f>
        <v>0</v>
      </c>
      <c r="W1415" s="88">
        <f>SUMIF(月間集計シート!$M$50:$M$69,$G1415,月間集計シート!T$50:T$69)*W$2</f>
        <v>0</v>
      </c>
      <c r="X1415" s="88">
        <f>SUMIF(月間集計シート!$M$71:$M$90,$G1415,月間集計シート!N$71:N$90)*X$2</f>
        <v>0</v>
      </c>
      <c r="Y1415" s="88">
        <f>SUMIF(月間集計シート!$M$71:$M$90,$G1415,月間集計シート!O$71:O$90)*Y$2</f>
        <v>0</v>
      </c>
      <c r="Z1415" s="88">
        <f>SUMIF(月間集計シート!$M$71:$M$90,$G1415,月間集計シート!P$71:P$90)*Z$2</f>
        <v>0</v>
      </c>
      <c r="AA1415" s="88">
        <f>SUMIF(月間集計シート!$M$71:$M$90,$G1415,月間集計シート!Q$71:Q$90)*AA$2</f>
        <v>0</v>
      </c>
      <c r="AB1415" s="88">
        <f>SUMIF(月間集計シート!$M$71:$M$90,$G1415,月間集計シート!R$71:R$90)*AB$2</f>
        <v>0</v>
      </c>
      <c r="AC1415" s="88">
        <f>SUMIF(月間集計シート!$M$71:$M$90,$G1415,月間集計シート!S$71:S$90)*AC$2</f>
        <v>0</v>
      </c>
      <c r="AD1415" s="88">
        <f>SUMIF(月間集計シート!$M$71:$M$90,$G1415,月間集計シート!T$71:T$90)*AD$2</f>
        <v>0</v>
      </c>
      <c r="AE1415" s="88">
        <f>SUMIF(月間集計シート!$M$92:$M$111,$G1415,月間集計シート!N$92:N$111)*AE$2</f>
        <v>0</v>
      </c>
      <c r="AF1415" s="88">
        <f>SUMIF(月間集計シート!$M$92:$M$111,$G1415,月間集計シート!O$92:O$111)*AF$2</f>
        <v>0</v>
      </c>
      <c r="AG1415" s="88">
        <f>SUMIF(月間集計シート!$M$92:$M$111,$G1415,月間集計シート!P$92:P$111)*AG$2</f>
        <v>0</v>
      </c>
      <c r="AH1415" s="88">
        <f>SUMIF(月間集計シート!$M$92:$M$111,$G1415,月間集計シート!Q$92:Q$111)*AH$2</f>
        <v>0</v>
      </c>
      <c r="AI1415" s="88">
        <f>SUMIF(月間集計シート!$M$92:$M$111,$G1415,月間集計シート!R$92:R$111)*AI$2</f>
        <v>0</v>
      </c>
      <c r="AJ1415" s="88">
        <f>SUMIF(月間集計シート!$M$92:$M$111,$G1415,月間集計シート!S$92:S$111)*AJ$2</f>
        <v>0</v>
      </c>
      <c r="AK1415" s="88">
        <f>SUMIF(月間集計シート!$M$92:$M$111,$G1415,月間集計シート!T$92:T$111)*AK$2</f>
        <v>0</v>
      </c>
      <c r="AL1415" s="88">
        <f>SUMIF(月間集計シート!$M$113:$M$132,$G1415,月間集計シート!N$113:N$132)*AL$2</f>
        <v>0</v>
      </c>
      <c r="AM1415" s="88">
        <f>SUMIF(月間集計シート!$M$113:$M$132,$G1415,月間集計シート!O$113:O$132)*AM$2</f>
        <v>0</v>
      </c>
      <c r="AN1415" s="88">
        <f>SUMIF(月間集計シート!$M$113:$M$132,$G1415,月間集計シート!P$113:P$132)*AN$2</f>
        <v>0</v>
      </c>
      <c r="AO1415" s="88">
        <f>SUMIF(月間集計シート!$M$113:$M$132,$G1415,月間集計シート!Q$113:Q$132)*AO$2</f>
        <v>0</v>
      </c>
      <c r="AP1415" s="88">
        <f>SUMIF(月間集計シート!$M$113:$M$132,$G1415,月間集計シート!R$113:R$132)*AP$2</f>
        <v>0</v>
      </c>
      <c r="AQ1415" s="88">
        <f>SUMIF(月間集計シート!$M$113:$M$132,$G1415,月間集計シート!S$113:S$132)*AQ$2</f>
        <v>0</v>
      </c>
      <c r="AR1415" s="88">
        <f>SUMIF(月間集計シート!$M$113:$M$132,$G1415,月間集計シート!T$113:T$132)*AR$2</f>
        <v>0</v>
      </c>
      <c r="AS1415" s="88">
        <f>SUMIF(月間集計シート!$M$134:$M$153,$G1415,月間集計シート!N$134:N$153)*AS$2</f>
        <v>0</v>
      </c>
      <c r="AT1415" s="88">
        <f>SUMIF(月間集計シート!$M$134:$M$153,$G1415,月間集計シート!O$134:O$153)*AT$2</f>
        <v>0</v>
      </c>
      <c r="AU1415" s="88">
        <f>SUMIF(月間集計シート!$M$134:$M$153,$G1415,月間集計シート!P$134:P$153)*AU$2</f>
        <v>0</v>
      </c>
      <c r="AV1415" s="88">
        <f>SUMIF(月間集計シート!$M$134:$M$153,$G1415,月間集計シート!Q$134:Q$153)*AV$2</f>
        <v>0</v>
      </c>
      <c r="AW1415" s="88">
        <f>SUMIF(月間集計シート!$M$134:$M$153,$G1415,月間集計シート!R$134:R$153)*AW$2</f>
        <v>0</v>
      </c>
      <c r="AX1415" s="88">
        <f>SUMIF(月間集計シート!$M$134:$M$153,$G1415,月間集計シート!S$134:S$153)*AX$2</f>
        <v>0</v>
      </c>
      <c r="AY1415" s="88">
        <f>SUMIF(月間集計シート!$M$134:$M$153,$G1415,月間集計シート!T$134:T$153)*AY$2</f>
        <v>0</v>
      </c>
    </row>
    <row r="1416" spans="1:51" ht="14.25" thickBot="1">
      <c r="A1416">
        <v>17</v>
      </c>
      <c r="B1416" s="120">
        <f t="shared" si="782"/>
        <v>0</v>
      </c>
      <c r="C1416" s="120" t="str">
        <f t="shared" si="783"/>
        <v/>
      </c>
      <c r="D1416" s="137"/>
      <c r="E1416" s="150" t="str">
        <f>工種!A48</f>
        <v>60108</v>
      </c>
      <c r="F1416" s="119" t="str">
        <f>工種!B48</f>
        <v>ﾘﾘｰｽ：ﾚﾋﾞｭｰ</v>
      </c>
      <c r="G1416" s="116" t="str">
        <f t="shared" si="784"/>
        <v>060108</v>
      </c>
      <c r="H1416" s="88">
        <f t="shared" si="738"/>
        <v>0</v>
      </c>
      <c r="I1416" s="132"/>
      <c r="J1416" s="88">
        <f>SUMIF(月間集計シート!$M$29:$M$48,$G1416,月間集計シート!N$29:N$48)*J$2</f>
        <v>0</v>
      </c>
      <c r="K1416" s="88">
        <f>SUMIF(月間集計シート!$M$29:$M$48,$G1416,月間集計シート!O$29:O$48)*K$2</f>
        <v>0</v>
      </c>
      <c r="L1416" s="88">
        <f>SUMIF(月間集計シート!$M$29:$M$48,$G1416,月間集計シート!P$29:P$48)*L$2</f>
        <v>0</v>
      </c>
      <c r="M1416" s="88">
        <f>SUMIF(月間集計シート!$M$29:$M$48,$G1416,月間集計シート!Q$29:Q$48)*M$2</f>
        <v>0</v>
      </c>
      <c r="N1416" s="88">
        <f>SUMIF(月間集計シート!$M$29:$M$48,$G1416,月間集計シート!R$29:R$48)*N$2</f>
        <v>0</v>
      </c>
      <c r="O1416" s="88">
        <f>SUMIF(月間集計シート!$M$29:$M$48,$G1416,月間集計シート!S$29:S$48)*O$2</f>
        <v>0</v>
      </c>
      <c r="P1416" s="88">
        <f>SUMIF(月間集計シート!$M$29:$M$48,$G1416,月間集計シート!T$29:T$48)*P$2</f>
        <v>0</v>
      </c>
      <c r="Q1416" s="88">
        <f>SUMIF(月間集計シート!$M$50:$M$69,$G1416,月間集計シート!N$50:N$69)*Q$2</f>
        <v>0</v>
      </c>
      <c r="R1416" s="88">
        <f>SUMIF(月間集計シート!$M$50:$M$69,$G1416,月間集計シート!O$50:O$69)*R$2</f>
        <v>0</v>
      </c>
      <c r="S1416" s="88">
        <f>SUMIF(月間集計シート!$M$50:$M$69,$G1416,月間集計シート!P$50:P$69)*S$2</f>
        <v>0</v>
      </c>
      <c r="T1416" s="88">
        <f>SUMIF(月間集計シート!$M$50:$M$69,$G1416,月間集計シート!Q$50:Q$69)*T$2</f>
        <v>0</v>
      </c>
      <c r="U1416" s="88">
        <f>SUMIF(月間集計シート!$M$50:$M$69,$G1416,月間集計シート!R$50:R$69)*U$2</f>
        <v>0</v>
      </c>
      <c r="V1416" s="88">
        <f>SUMIF(月間集計シート!$M$50:$M$69,$G1416,月間集計シート!S$50:S$69)*V$2</f>
        <v>0</v>
      </c>
      <c r="W1416" s="88">
        <f>SUMIF(月間集計シート!$M$50:$M$69,$G1416,月間集計シート!T$50:T$69)*W$2</f>
        <v>0</v>
      </c>
      <c r="X1416" s="88">
        <f>SUMIF(月間集計シート!$M$71:$M$90,$G1416,月間集計シート!N$71:N$90)*X$2</f>
        <v>0</v>
      </c>
      <c r="Y1416" s="88">
        <f>SUMIF(月間集計シート!$M$71:$M$90,$G1416,月間集計シート!O$71:O$90)*Y$2</f>
        <v>0</v>
      </c>
      <c r="Z1416" s="88">
        <f>SUMIF(月間集計シート!$M$71:$M$90,$G1416,月間集計シート!P$71:P$90)*Z$2</f>
        <v>0</v>
      </c>
      <c r="AA1416" s="88">
        <f>SUMIF(月間集計シート!$M$71:$M$90,$G1416,月間集計シート!Q$71:Q$90)*AA$2</f>
        <v>0</v>
      </c>
      <c r="AB1416" s="88">
        <f>SUMIF(月間集計シート!$M$71:$M$90,$G1416,月間集計シート!R$71:R$90)*AB$2</f>
        <v>0</v>
      </c>
      <c r="AC1416" s="88">
        <f>SUMIF(月間集計シート!$M$71:$M$90,$G1416,月間集計シート!S$71:S$90)*AC$2</f>
        <v>0</v>
      </c>
      <c r="AD1416" s="88">
        <f>SUMIF(月間集計シート!$M$71:$M$90,$G1416,月間集計シート!T$71:T$90)*AD$2</f>
        <v>0</v>
      </c>
      <c r="AE1416" s="88">
        <f>SUMIF(月間集計シート!$M$92:$M$111,$G1416,月間集計シート!N$92:N$111)*AE$2</f>
        <v>0</v>
      </c>
      <c r="AF1416" s="88">
        <f>SUMIF(月間集計シート!$M$92:$M$111,$G1416,月間集計シート!O$92:O$111)*AF$2</f>
        <v>0</v>
      </c>
      <c r="AG1416" s="88">
        <f>SUMIF(月間集計シート!$M$92:$M$111,$G1416,月間集計シート!P$92:P$111)*AG$2</f>
        <v>0</v>
      </c>
      <c r="AH1416" s="88">
        <f>SUMIF(月間集計シート!$M$92:$M$111,$G1416,月間集計シート!Q$92:Q$111)*AH$2</f>
        <v>0</v>
      </c>
      <c r="AI1416" s="88">
        <f>SUMIF(月間集計シート!$M$92:$M$111,$G1416,月間集計シート!R$92:R$111)*AI$2</f>
        <v>0</v>
      </c>
      <c r="AJ1416" s="88">
        <f>SUMIF(月間集計シート!$M$92:$M$111,$G1416,月間集計シート!S$92:S$111)*AJ$2</f>
        <v>0</v>
      </c>
      <c r="AK1416" s="88">
        <f>SUMIF(月間集計シート!$M$92:$M$111,$G1416,月間集計シート!T$92:T$111)*AK$2</f>
        <v>0</v>
      </c>
      <c r="AL1416" s="88">
        <f>SUMIF(月間集計シート!$M$113:$M$132,$G1416,月間集計シート!N$113:N$132)*AL$2</f>
        <v>0</v>
      </c>
      <c r="AM1416" s="88">
        <f>SUMIF(月間集計シート!$M$113:$M$132,$G1416,月間集計シート!O$113:O$132)*AM$2</f>
        <v>0</v>
      </c>
      <c r="AN1416" s="88">
        <f>SUMIF(月間集計シート!$M$113:$M$132,$G1416,月間集計シート!P$113:P$132)*AN$2</f>
        <v>0</v>
      </c>
      <c r="AO1416" s="88">
        <f>SUMIF(月間集計シート!$M$113:$M$132,$G1416,月間集計シート!Q$113:Q$132)*AO$2</f>
        <v>0</v>
      </c>
      <c r="AP1416" s="88">
        <f>SUMIF(月間集計シート!$M$113:$M$132,$G1416,月間集計シート!R$113:R$132)*AP$2</f>
        <v>0</v>
      </c>
      <c r="AQ1416" s="88">
        <f>SUMIF(月間集計シート!$M$113:$M$132,$G1416,月間集計シート!S$113:S$132)*AQ$2</f>
        <v>0</v>
      </c>
      <c r="AR1416" s="88">
        <f>SUMIF(月間集計シート!$M$113:$M$132,$G1416,月間集計シート!T$113:T$132)*AR$2</f>
        <v>0</v>
      </c>
      <c r="AS1416" s="88">
        <f>SUMIF(月間集計シート!$M$134:$M$153,$G1416,月間集計シート!N$134:N$153)*AS$2</f>
        <v>0</v>
      </c>
      <c r="AT1416" s="88">
        <f>SUMIF(月間集計シート!$M$134:$M$153,$G1416,月間集計シート!O$134:O$153)*AT$2</f>
        <v>0</v>
      </c>
      <c r="AU1416" s="88">
        <f>SUMIF(月間集計シート!$M$134:$M$153,$G1416,月間集計シート!P$134:P$153)*AU$2</f>
        <v>0</v>
      </c>
      <c r="AV1416" s="88">
        <f>SUMIF(月間集計シート!$M$134:$M$153,$G1416,月間集計シート!Q$134:Q$153)*AV$2</f>
        <v>0</v>
      </c>
      <c r="AW1416" s="88">
        <f>SUMIF(月間集計シート!$M$134:$M$153,$G1416,月間集計シート!R$134:R$153)*AW$2</f>
        <v>0</v>
      </c>
      <c r="AX1416" s="88">
        <f>SUMIF(月間集計シート!$M$134:$M$153,$G1416,月間集計シート!S$134:S$153)*AX$2</f>
        <v>0</v>
      </c>
      <c r="AY1416" s="88">
        <f>SUMIF(月間集計シート!$M$134:$M$153,$G1416,月間集計シート!T$134:T$153)*AY$2</f>
        <v>0</v>
      </c>
    </row>
    <row r="1417" spans="1:51" ht="14.25" thickBot="1">
      <c r="A1417">
        <v>17</v>
      </c>
      <c r="B1417" s="120">
        <f t="shared" si="782"/>
        <v>0</v>
      </c>
      <c r="C1417" s="120" t="str">
        <f t="shared" si="783"/>
        <v/>
      </c>
      <c r="D1417" s="137"/>
      <c r="E1417" s="150" t="str">
        <f>工種!A49</f>
        <v>60199</v>
      </c>
      <c r="F1417" s="119" t="str">
        <f>工種!B49</f>
        <v>ﾘﾘｰｽ：その他</v>
      </c>
      <c r="G1417" s="116" t="str">
        <f t="shared" si="784"/>
        <v>060199</v>
      </c>
      <c r="H1417" s="88">
        <f t="shared" si="738"/>
        <v>0</v>
      </c>
      <c r="I1417" s="132"/>
      <c r="J1417" s="88">
        <f>SUMIF(月間集計シート!$M$29:$M$48,$G1417,月間集計シート!N$29:N$48)*J$2</f>
        <v>0</v>
      </c>
      <c r="K1417" s="88">
        <f>SUMIF(月間集計シート!$M$29:$M$48,$G1417,月間集計シート!O$29:O$48)*K$2</f>
        <v>0</v>
      </c>
      <c r="L1417" s="88">
        <f>SUMIF(月間集計シート!$M$29:$M$48,$G1417,月間集計シート!P$29:P$48)*L$2</f>
        <v>0</v>
      </c>
      <c r="M1417" s="88">
        <f>SUMIF(月間集計シート!$M$29:$M$48,$G1417,月間集計シート!Q$29:Q$48)*M$2</f>
        <v>0</v>
      </c>
      <c r="N1417" s="88">
        <f>SUMIF(月間集計シート!$M$29:$M$48,$G1417,月間集計シート!R$29:R$48)*N$2</f>
        <v>0</v>
      </c>
      <c r="O1417" s="88">
        <f>SUMIF(月間集計シート!$M$29:$M$48,$G1417,月間集計シート!S$29:S$48)*O$2</f>
        <v>0</v>
      </c>
      <c r="P1417" s="88">
        <f>SUMIF(月間集計シート!$M$29:$M$48,$G1417,月間集計シート!T$29:T$48)*P$2</f>
        <v>0</v>
      </c>
      <c r="Q1417" s="88">
        <f>SUMIF(月間集計シート!$M$50:$M$69,$G1417,月間集計シート!N$50:N$69)*Q$2</f>
        <v>0</v>
      </c>
      <c r="R1417" s="88">
        <f>SUMIF(月間集計シート!$M$50:$M$69,$G1417,月間集計シート!O$50:O$69)*R$2</f>
        <v>0</v>
      </c>
      <c r="S1417" s="88">
        <f>SUMIF(月間集計シート!$M$50:$M$69,$G1417,月間集計シート!P$50:P$69)*S$2</f>
        <v>0</v>
      </c>
      <c r="T1417" s="88">
        <f>SUMIF(月間集計シート!$M$50:$M$69,$G1417,月間集計シート!Q$50:Q$69)*T$2</f>
        <v>0</v>
      </c>
      <c r="U1417" s="88">
        <f>SUMIF(月間集計シート!$M$50:$M$69,$G1417,月間集計シート!R$50:R$69)*U$2</f>
        <v>0</v>
      </c>
      <c r="V1417" s="88">
        <f>SUMIF(月間集計シート!$M$50:$M$69,$G1417,月間集計シート!S$50:S$69)*V$2</f>
        <v>0</v>
      </c>
      <c r="W1417" s="88">
        <f>SUMIF(月間集計シート!$M$50:$M$69,$G1417,月間集計シート!T$50:T$69)*W$2</f>
        <v>0</v>
      </c>
      <c r="X1417" s="88">
        <f>SUMIF(月間集計シート!$M$71:$M$90,$G1417,月間集計シート!N$71:N$90)*X$2</f>
        <v>0</v>
      </c>
      <c r="Y1417" s="88">
        <f>SUMIF(月間集計シート!$M$71:$M$90,$G1417,月間集計シート!O$71:O$90)*Y$2</f>
        <v>0</v>
      </c>
      <c r="Z1417" s="88">
        <f>SUMIF(月間集計シート!$M$71:$M$90,$G1417,月間集計シート!P$71:P$90)*Z$2</f>
        <v>0</v>
      </c>
      <c r="AA1417" s="88">
        <f>SUMIF(月間集計シート!$M$71:$M$90,$G1417,月間集計シート!Q$71:Q$90)*AA$2</f>
        <v>0</v>
      </c>
      <c r="AB1417" s="88">
        <f>SUMIF(月間集計シート!$M$71:$M$90,$G1417,月間集計シート!R$71:R$90)*AB$2</f>
        <v>0</v>
      </c>
      <c r="AC1417" s="88">
        <f>SUMIF(月間集計シート!$M$71:$M$90,$G1417,月間集計シート!S$71:S$90)*AC$2</f>
        <v>0</v>
      </c>
      <c r="AD1417" s="88">
        <f>SUMIF(月間集計シート!$M$71:$M$90,$G1417,月間集計シート!T$71:T$90)*AD$2</f>
        <v>0</v>
      </c>
      <c r="AE1417" s="88">
        <f>SUMIF(月間集計シート!$M$92:$M$111,$G1417,月間集計シート!N$92:N$111)*AE$2</f>
        <v>0</v>
      </c>
      <c r="AF1417" s="88">
        <f>SUMIF(月間集計シート!$M$92:$M$111,$G1417,月間集計シート!O$92:O$111)*AF$2</f>
        <v>0</v>
      </c>
      <c r="AG1417" s="88">
        <f>SUMIF(月間集計シート!$M$92:$M$111,$G1417,月間集計シート!P$92:P$111)*AG$2</f>
        <v>0</v>
      </c>
      <c r="AH1417" s="88">
        <f>SUMIF(月間集計シート!$M$92:$M$111,$G1417,月間集計シート!Q$92:Q$111)*AH$2</f>
        <v>0</v>
      </c>
      <c r="AI1417" s="88">
        <f>SUMIF(月間集計シート!$M$92:$M$111,$G1417,月間集計シート!R$92:R$111)*AI$2</f>
        <v>0</v>
      </c>
      <c r="AJ1417" s="88">
        <f>SUMIF(月間集計シート!$M$92:$M$111,$G1417,月間集計シート!S$92:S$111)*AJ$2</f>
        <v>0</v>
      </c>
      <c r="AK1417" s="88">
        <f>SUMIF(月間集計シート!$M$92:$M$111,$G1417,月間集計シート!T$92:T$111)*AK$2</f>
        <v>0</v>
      </c>
      <c r="AL1417" s="88">
        <f>SUMIF(月間集計シート!$M$113:$M$132,$G1417,月間集計シート!N$113:N$132)*AL$2</f>
        <v>0</v>
      </c>
      <c r="AM1417" s="88">
        <f>SUMIF(月間集計シート!$M$113:$M$132,$G1417,月間集計シート!O$113:O$132)*AM$2</f>
        <v>0</v>
      </c>
      <c r="AN1417" s="88">
        <f>SUMIF(月間集計シート!$M$113:$M$132,$G1417,月間集計シート!P$113:P$132)*AN$2</f>
        <v>0</v>
      </c>
      <c r="AO1417" s="88">
        <f>SUMIF(月間集計シート!$M$113:$M$132,$G1417,月間集計シート!Q$113:Q$132)*AO$2</f>
        <v>0</v>
      </c>
      <c r="AP1417" s="88">
        <f>SUMIF(月間集計シート!$M$113:$M$132,$G1417,月間集計シート!R$113:R$132)*AP$2</f>
        <v>0</v>
      </c>
      <c r="AQ1417" s="88">
        <f>SUMIF(月間集計シート!$M$113:$M$132,$G1417,月間集計シート!S$113:S$132)*AQ$2</f>
        <v>0</v>
      </c>
      <c r="AR1417" s="88">
        <f>SUMIF(月間集計シート!$M$113:$M$132,$G1417,月間集計シート!T$113:T$132)*AR$2</f>
        <v>0</v>
      </c>
      <c r="AS1417" s="88">
        <f>SUMIF(月間集計シート!$M$134:$M$153,$G1417,月間集計シート!N$134:N$153)*AS$2</f>
        <v>0</v>
      </c>
      <c r="AT1417" s="88">
        <f>SUMIF(月間集計シート!$M$134:$M$153,$G1417,月間集計シート!O$134:O$153)*AT$2</f>
        <v>0</v>
      </c>
      <c r="AU1417" s="88">
        <f>SUMIF(月間集計シート!$M$134:$M$153,$G1417,月間集計シート!P$134:P$153)*AU$2</f>
        <v>0</v>
      </c>
      <c r="AV1417" s="88">
        <f>SUMIF(月間集計シート!$M$134:$M$153,$G1417,月間集計シート!Q$134:Q$153)*AV$2</f>
        <v>0</v>
      </c>
      <c r="AW1417" s="88">
        <f>SUMIF(月間集計シート!$M$134:$M$153,$G1417,月間集計シート!R$134:R$153)*AW$2</f>
        <v>0</v>
      </c>
      <c r="AX1417" s="88">
        <f>SUMIF(月間集計シート!$M$134:$M$153,$G1417,月間集計シート!S$134:S$153)*AX$2</f>
        <v>0</v>
      </c>
      <c r="AY1417" s="88">
        <f>SUMIF(月間集計シート!$M$134:$M$153,$G1417,月間集計シート!T$134:T$153)*AY$2</f>
        <v>0</v>
      </c>
    </row>
    <row r="1418" spans="1:51" ht="14.25" thickBot="1">
      <c r="A1418">
        <v>17</v>
      </c>
      <c r="B1418" s="120">
        <f t="shared" si="782"/>
        <v>0</v>
      </c>
      <c r="C1418" s="120" t="str">
        <f t="shared" si="783"/>
        <v/>
      </c>
      <c r="D1418" s="137"/>
      <c r="E1418" s="150">
        <f>工種!A50</f>
        <v>70101</v>
      </c>
      <c r="F1418" s="119" t="str">
        <f>工種!B50</f>
        <v>外部不具合修正：調査・設計</v>
      </c>
      <c r="G1418" s="116" t="str">
        <f t="shared" si="784"/>
        <v>070101</v>
      </c>
      <c r="H1418" s="88">
        <f t="shared" si="738"/>
        <v>0</v>
      </c>
      <c r="I1418" s="132"/>
      <c r="J1418" s="88">
        <f>SUMIF(月間集計シート!$M$29:$M$48,$G1418,月間集計シート!N$29:N$48)*J$2</f>
        <v>0</v>
      </c>
      <c r="K1418" s="88">
        <f>SUMIF(月間集計シート!$M$29:$M$48,$G1418,月間集計シート!O$29:O$48)*K$2</f>
        <v>0</v>
      </c>
      <c r="L1418" s="88">
        <f>SUMIF(月間集計シート!$M$29:$M$48,$G1418,月間集計シート!P$29:P$48)*L$2</f>
        <v>0</v>
      </c>
      <c r="M1418" s="88">
        <f>SUMIF(月間集計シート!$M$29:$M$48,$G1418,月間集計シート!Q$29:Q$48)*M$2</f>
        <v>0</v>
      </c>
      <c r="N1418" s="88">
        <f>SUMIF(月間集計シート!$M$29:$M$48,$G1418,月間集計シート!R$29:R$48)*N$2</f>
        <v>0</v>
      </c>
      <c r="O1418" s="88">
        <f>SUMIF(月間集計シート!$M$29:$M$48,$G1418,月間集計シート!S$29:S$48)*O$2</f>
        <v>0</v>
      </c>
      <c r="P1418" s="88">
        <f>SUMIF(月間集計シート!$M$29:$M$48,$G1418,月間集計シート!T$29:T$48)*P$2</f>
        <v>0</v>
      </c>
      <c r="Q1418" s="88">
        <f>SUMIF(月間集計シート!$M$50:$M$69,$G1418,月間集計シート!N$50:N$69)*Q$2</f>
        <v>0</v>
      </c>
      <c r="R1418" s="88">
        <f>SUMIF(月間集計シート!$M$50:$M$69,$G1418,月間集計シート!O$50:O$69)*R$2</f>
        <v>0</v>
      </c>
      <c r="S1418" s="88">
        <f>SUMIF(月間集計シート!$M$50:$M$69,$G1418,月間集計シート!P$50:P$69)*S$2</f>
        <v>0</v>
      </c>
      <c r="T1418" s="88">
        <f>SUMIF(月間集計シート!$M$50:$M$69,$G1418,月間集計シート!Q$50:Q$69)*T$2</f>
        <v>0</v>
      </c>
      <c r="U1418" s="88">
        <f>SUMIF(月間集計シート!$M$50:$M$69,$G1418,月間集計シート!R$50:R$69)*U$2</f>
        <v>0</v>
      </c>
      <c r="V1418" s="88">
        <f>SUMIF(月間集計シート!$M$50:$M$69,$G1418,月間集計シート!S$50:S$69)*V$2</f>
        <v>0</v>
      </c>
      <c r="W1418" s="88">
        <f>SUMIF(月間集計シート!$M$50:$M$69,$G1418,月間集計シート!T$50:T$69)*W$2</f>
        <v>0</v>
      </c>
      <c r="X1418" s="88">
        <f>SUMIF(月間集計シート!$M$71:$M$90,$G1418,月間集計シート!N$71:N$90)*X$2</f>
        <v>0</v>
      </c>
      <c r="Y1418" s="88">
        <f>SUMIF(月間集計シート!$M$71:$M$90,$G1418,月間集計シート!O$71:O$90)*Y$2</f>
        <v>0</v>
      </c>
      <c r="Z1418" s="88">
        <f>SUMIF(月間集計シート!$M$71:$M$90,$G1418,月間集計シート!P$71:P$90)*Z$2</f>
        <v>0</v>
      </c>
      <c r="AA1418" s="88">
        <f>SUMIF(月間集計シート!$M$71:$M$90,$G1418,月間集計シート!Q$71:Q$90)*AA$2</f>
        <v>0</v>
      </c>
      <c r="AB1418" s="88">
        <f>SUMIF(月間集計シート!$M$71:$M$90,$G1418,月間集計シート!R$71:R$90)*AB$2</f>
        <v>0</v>
      </c>
      <c r="AC1418" s="88">
        <f>SUMIF(月間集計シート!$M$71:$M$90,$G1418,月間集計シート!S$71:S$90)*AC$2</f>
        <v>0</v>
      </c>
      <c r="AD1418" s="88">
        <f>SUMIF(月間集計シート!$M$71:$M$90,$G1418,月間集計シート!T$71:T$90)*AD$2</f>
        <v>0</v>
      </c>
      <c r="AE1418" s="88">
        <f>SUMIF(月間集計シート!$M$92:$M$111,$G1418,月間集計シート!N$92:N$111)*AE$2</f>
        <v>0</v>
      </c>
      <c r="AF1418" s="88">
        <f>SUMIF(月間集計シート!$M$92:$M$111,$G1418,月間集計シート!O$92:O$111)*AF$2</f>
        <v>0</v>
      </c>
      <c r="AG1418" s="88">
        <f>SUMIF(月間集計シート!$M$92:$M$111,$G1418,月間集計シート!P$92:P$111)*AG$2</f>
        <v>0</v>
      </c>
      <c r="AH1418" s="88">
        <f>SUMIF(月間集計シート!$M$92:$M$111,$G1418,月間集計シート!Q$92:Q$111)*AH$2</f>
        <v>0</v>
      </c>
      <c r="AI1418" s="88">
        <f>SUMIF(月間集計シート!$M$92:$M$111,$G1418,月間集計シート!R$92:R$111)*AI$2</f>
        <v>0</v>
      </c>
      <c r="AJ1418" s="88">
        <f>SUMIF(月間集計シート!$M$92:$M$111,$G1418,月間集計シート!S$92:S$111)*AJ$2</f>
        <v>0</v>
      </c>
      <c r="AK1418" s="88">
        <f>SUMIF(月間集計シート!$M$92:$M$111,$G1418,月間集計シート!T$92:T$111)*AK$2</f>
        <v>0</v>
      </c>
      <c r="AL1418" s="88">
        <f>SUMIF(月間集計シート!$M$113:$M$132,$G1418,月間集計シート!N$113:N$132)*AL$2</f>
        <v>0</v>
      </c>
      <c r="AM1418" s="88">
        <f>SUMIF(月間集計シート!$M$113:$M$132,$G1418,月間集計シート!O$113:O$132)*AM$2</f>
        <v>0</v>
      </c>
      <c r="AN1418" s="88">
        <f>SUMIF(月間集計シート!$M$113:$M$132,$G1418,月間集計シート!P$113:P$132)*AN$2</f>
        <v>0</v>
      </c>
      <c r="AO1418" s="88">
        <f>SUMIF(月間集計シート!$M$113:$M$132,$G1418,月間集計シート!Q$113:Q$132)*AO$2</f>
        <v>0</v>
      </c>
      <c r="AP1418" s="88">
        <f>SUMIF(月間集計シート!$M$113:$M$132,$G1418,月間集計シート!R$113:R$132)*AP$2</f>
        <v>0</v>
      </c>
      <c r="AQ1418" s="88">
        <f>SUMIF(月間集計シート!$M$113:$M$132,$G1418,月間集計シート!S$113:S$132)*AQ$2</f>
        <v>0</v>
      </c>
      <c r="AR1418" s="88">
        <f>SUMIF(月間集計シート!$M$113:$M$132,$G1418,月間集計シート!T$113:T$132)*AR$2</f>
        <v>0</v>
      </c>
      <c r="AS1418" s="88">
        <f>SUMIF(月間集計シート!$M$134:$M$153,$G1418,月間集計シート!N$134:N$153)*AS$2</f>
        <v>0</v>
      </c>
      <c r="AT1418" s="88">
        <f>SUMIF(月間集計シート!$M$134:$M$153,$G1418,月間集計シート!O$134:O$153)*AT$2</f>
        <v>0</v>
      </c>
      <c r="AU1418" s="88">
        <f>SUMIF(月間集計シート!$M$134:$M$153,$G1418,月間集計シート!P$134:P$153)*AU$2</f>
        <v>0</v>
      </c>
      <c r="AV1418" s="88">
        <f>SUMIF(月間集計シート!$M$134:$M$153,$G1418,月間集計シート!Q$134:Q$153)*AV$2</f>
        <v>0</v>
      </c>
      <c r="AW1418" s="88">
        <f>SUMIF(月間集計シート!$M$134:$M$153,$G1418,月間集計シート!R$134:R$153)*AW$2</f>
        <v>0</v>
      </c>
      <c r="AX1418" s="88">
        <f>SUMIF(月間集計シート!$M$134:$M$153,$G1418,月間集計シート!S$134:S$153)*AX$2</f>
        <v>0</v>
      </c>
      <c r="AY1418" s="88">
        <f>SUMIF(月間集計シート!$M$134:$M$153,$G1418,月間集計シート!T$134:T$153)*AY$2</f>
        <v>0</v>
      </c>
    </row>
    <row r="1419" spans="1:51" ht="14.25" thickBot="1">
      <c r="A1419">
        <v>17</v>
      </c>
      <c r="B1419" s="120">
        <f t="shared" si="782"/>
        <v>0</v>
      </c>
      <c r="C1419" s="120" t="str">
        <f t="shared" si="783"/>
        <v/>
      </c>
      <c r="D1419" s="137"/>
      <c r="E1419" s="150">
        <f>工種!A51</f>
        <v>70102</v>
      </c>
      <c r="F1419" s="119" t="str">
        <f>工種!B51</f>
        <v>外部不具合修正：コーディング</v>
      </c>
      <c r="G1419" s="116" t="str">
        <f t="shared" si="784"/>
        <v>070102</v>
      </c>
      <c r="H1419" s="88">
        <f t="shared" si="738"/>
        <v>0</v>
      </c>
      <c r="I1419" s="132"/>
      <c r="J1419" s="88">
        <f>SUMIF(月間集計シート!$M$29:$M$48,$G1419,月間集計シート!N$29:N$48)*J$2</f>
        <v>0</v>
      </c>
      <c r="K1419" s="88">
        <f>SUMIF(月間集計シート!$M$29:$M$48,$G1419,月間集計シート!O$29:O$48)*K$2</f>
        <v>0</v>
      </c>
      <c r="L1419" s="88">
        <f>SUMIF(月間集計シート!$M$29:$M$48,$G1419,月間集計シート!P$29:P$48)*L$2</f>
        <v>0</v>
      </c>
      <c r="M1419" s="88">
        <f>SUMIF(月間集計シート!$M$29:$M$48,$G1419,月間集計シート!Q$29:Q$48)*M$2</f>
        <v>0</v>
      </c>
      <c r="N1419" s="88">
        <f>SUMIF(月間集計シート!$M$29:$M$48,$G1419,月間集計シート!R$29:R$48)*N$2</f>
        <v>0</v>
      </c>
      <c r="O1419" s="88">
        <f>SUMIF(月間集計シート!$M$29:$M$48,$G1419,月間集計シート!S$29:S$48)*O$2</f>
        <v>0</v>
      </c>
      <c r="P1419" s="88">
        <f>SUMIF(月間集計シート!$M$29:$M$48,$G1419,月間集計シート!T$29:T$48)*P$2</f>
        <v>0</v>
      </c>
      <c r="Q1419" s="88">
        <f>SUMIF(月間集計シート!$M$50:$M$69,$G1419,月間集計シート!N$50:N$69)*Q$2</f>
        <v>0</v>
      </c>
      <c r="R1419" s="88">
        <f>SUMIF(月間集計シート!$M$50:$M$69,$G1419,月間集計シート!O$50:O$69)*R$2</f>
        <v>0</v>
      </c>
      <c r="S1419" s="88">
        <f>SUMIF(月間集計シート!$M$50:$M$69,$G1419,月間集計シート!P$50:P$69)*S$2</f>
        <v>0</v>
      </c>
      <c r="T1419" s="88">
        <f>SUMIF(月間集計シート!$M$50:$M$69,$G1419,月間集計シート!Q$50:Q$69)*T$2</f>
        <v>0</v>
      </c>
      <c r="U1419" s="88">
        <f>SUMIF(月間集計シート!$M$50:$M$69,$G1419,月間集計シート!R$50:R$69)*U$2</f>
        <v>0</v>
      </c>
      <c r="V1419" s="88">
        <f>SUMIF(月間集計シート!$M$50:$M$69,$G1419,月間集計シート!S$50:S$69)*V$2</f>
        <v>0</v>
      </c>
      <c r="W1419" s="88">
        <f>SUMIF(月間集計シート!$M$50:$M$69,$G1419,月間集計シート!T$50:T$69)*W$2</f>
        <v>0</v>
      </c>
      <c r="X1419" s="88">
        <f>SUMIF(月間集計シート!$M$71:$M$90,$G1419,月間集計シート!N$71:N$90)*X$2</f>
        <v>0</v>
      </c>
      <c r="Y1419" s="88">
        <f>SUMIF(月間集計シート!$M$71:$M$90,$G1419,月間集計シート!O$71:O$90)*Y$2</f>
        <v>0</v>
      </c>
      <c r="Z1419" s="88">
        <f>SUMIF(月間集計シート!$M$71:$M$90,$G1419,月間集計シート!P$71:P$90)*Z$2</f>
        <v>0</v>
      </c>
      <c r="AA1419" s="88">
        <f>SUMIF(月間集計シート!$M$71:$M$90,$G1419,月間集計シート!Q$71:Q$90)*AA$2</f>
        <v>0</v>
      </c>
      <c r="AB1419" s="88">
        <f>SUMIF(月間集計シート!$M$71:$M$90,$G1419,月間集計シート!R$71:R$90)*AB$2</f>
        <v>0</v>
      </c>
      <c r="AC1419" s="88">
        <f>SUMIF(月間集計シート!$M$71:$M$90,$G1419,月間集計シート!S$71:S$90)*AC$2</f>
        <v>0</v>
      </c>
      <c r="AD1419" s="88">
        <f>SUMIF(月間集計シート!$M$71:$M$90,$G1419,月間集計シート!T$71:T$90)*AD$2</f>
        <v>0</v>
      </c>
      <c r="AE1419" s="88">
        <f>SUMIF(月間集計シート!$M$92:$M$111,$G1419,月間集計シート!N$92:N$111)*AE$2</f>
        <v>0</v>
      </c>
      <c r="AF1419" s="88">
        <f>SUMIF(月間集計シート!$M$92:$M$111,$G1419,月間集計シート!O$92:O$111)*AF$2</f>
        <v>0</v>
      </c>
      <c r="AG1419" s="88">
        <f>SUMIF(月間集計シート!$M$92:$M$111,$G1419,月間集計シート!P$92:P$111)*AG$2</f>
        <v>0</v>
      </c>
      <c r="AH1419" s="88">
        <f>SUMIF(月間集計シート!$M$92:$M$111,$G1419,月間集計シート!Q$92:Q$111)*AH$2</f>
        <v>0</v>
      </c>
      <c r="AI1419" s="88">
        <f>SUMIF(月間集計シート!$M$92:$M$111,$G1419,月間集計シート!R$92:R$111)*AI$2</f>
        <v>0</v>
      </c>
      <c r="AJ1419" s="88">
        <f>SUMIF(月間集計シート!$M$92:$M$111,$G1419,月間集計シート!S$92:S$111)*AJ$2</f>
        <v>0</v>
      </c>
      <c r="AK1419" s="88">
        <f>SUMIF(月間集計シート!$M$92:$M$111,$G1419,月間集計シート!T$92:T$111)*AK$2</f>
        <v>0</v>
      </c>
      <c r="AL1419" s="88">
        <f>SUMIF(月間集計シート!$M$113:$M$132,$G1419,月間集計シート!N$113:N$132)*AL$2</f>
        <v>0</v>
      </c>
      <c r="AM1419" s="88">
        <f>SUMIF(月間集計シート!$M$113:$M$132,$G1419,月間集計シート!O$113:O$132)*AM$2</f>
        <v>0</v>
      </c>
      <c r="AN1419" s="88">
        <f>SUMIF(月間集計シート!$M$113:$M$132,$G1419,月間集計シート!P$113:P$132)*AN$2</f>
        <v>0</v>
      </c>
      <c r="AO1419" s="88">
        <f>SUMIF(月間集計シート!$M$113:$M$132,$G1419,月間集計シート!Q$113:Q$132)*AO$2</f>
        <v>0</v>
      </c>
      <c r="AP1419" s="88">
        <f>SUMIF(月間集計シート!$M$113:$M$132,$G1419,月間集計シート!R$113:R$132)*AP$2</f>
        <v>0</v>
      </c>
      <c r="AQ1419" s="88">
        <f>SUMIF(月間集計シート!$M$113:$M$132,$G1419,月間集計シート!S$113:S$132)*AQ$2</f>
        <v>0</v>
      </c>
      <c r="AR1419" s="88">
        <f>SUMIF(月間集計シート!$M$113:$M$132,$G1419,月間集計シート!T$113:T$132)*AR$2</f>
        <v>0</v>
      </c>
      <c r="AS1419" s="88">
        <f>SUMIF(月間集計シート!$M$134:$M$153,$G1419,月間集計シート!N$134:N$153)*AS$2</f>
        <v>0</v>
      </c>
      <c r="AT1419" s="88">
        <f>SUMIF(月間集計シート!$M$134:$M$153,$G1419,月間集計シート!O$134:O$153)*AT$2</f>
        <v>0</v>
      </c>
      <c r="AU1419" s="88">
        <f>SUMIF(月間集計シート!$M$134:$M$153,$G1419,月間集計シート!P$134:P$153)*AU$2</f>
        <v>0</v>
      </c>
      <c r="AV1419" s="88">
        <f>SUMIF(月間集計シート!$M$134:$M$153,$G1419,月間集計シート!Q$134:Q$153)*AV$2</f>
        <v>0</v>
      </c>
      <c r="AW1419" s="88">
        <f>SUMIF(月間集計シート!$M$134:$M$153,$G1419,月間集計シート!R$134:R$153)*AW$2</f>
        <v>0</v>
      </c>
      <c r="AX1419" s="88">
        <f>SUMIF(月間集計シート!$M$134:$M$153,$G1419,月間集計シート!S$134:S$153)*AX$2</f>
        <v>0</v>
      </c>
      <c r="AY1419" s="88">
        <f>SUMIF(月間集計シート!$M$134:$M$153,$G1419,月間集計シート!T$134:T$153)*AY$2</f>
        <v>0</v>
      </c>
    </row>
    <row r="1420" spans="1:51" ht="14.25" thickBot="1">
      <c r="A1420">
        <v>17</v>
      </c>
      <c r="B1420" s="120">
        <f t="shared" si="782"/>
        <v>0</v>
      </c>
      <c r="C1420" s="120" t="str">
        <f t="shared" si="783"/>
        <v/>
      </c>
      <c r="D1420" s="137"/>
      <c r="E1420" s="150">
        <f>工種!A52</f>
        <v>70103</v>
      </c>
      <c r="F1420" s="119" t="str">
        <f>工種!B52</f>
        <v>外部不具合修正：テスト</v>
      </c>
      <c r="G1420" s="116" t="str">
        <f t="shared" si="784"/>
        <v>070103</v>
      </c>
      <c r="H1420" s="88">
        <f t="shared" si="738"/>
        <v>0</v>
      </c>
      <c r="I1420" s="132"/>
      <c r="J1420" s="88">
        <f>SUMIF(月間集計シート!$M$29:$M$48,$G1420,月間集計シート!N$29:N$48)*J$2</f>
        <v>0</v>
      </c>
      <c r="K1420" s="88">
        <f>SUMIF(月間集計シート!$M$29:$M$48,$G1420,月間集計シート!O$29:O$48)*K$2</f>
        <v>0</v>
      </c>
      <c r="L1420" s="88">
        <f>SUMIF(月間集計シート!$M$29:$M$48,$G1420,月間集計シート!P$29:P$48)*L$2</f>
        <v>0</v>
      </c>
      <c r="M1420" s="88">
        <f>SUMIF(月間集計シート!$M$29:$M$48,$G1420,月間集計シート!Q$29:Q$48)*M$2</f>
        <v>0</v>
      </c>
      <c r="N1420" s="88">
        <f>SUMIF(月間集計シート!$M$29:$M$48,$G1420,月間集計シート!R$29:R$48)*N$2</f>
        <v>0</v>
      </c>
      <c r="O1420" s="88">
        <f>SUMIF(月間集計シート!$M$29:$M$48,$G1420,月間集計シート!S$29:S$48)*O$2</f>
        <v>0</v>
      </c>
      <c r="P1420" s="88">
        <f>SUMIF(月間集計シート!$M$29:$M$48,$G1420,月間集計シート!T$29:T$48)*P$2</f>
        <v>0</v>
      </c>
      <c r="Q1420" s="88">
        <f>SUMIF(月間集計シート!$M$50:$M$69,$G1420,月間集計シート!N$50:N$69)*Q$2</f>
        <v>0</v>
      </c>
      <c r="R1420" s="88">
        <f>SUMIF(月間集計シート!$M$50:$M$69,$G1420,月間集計シート!O$50:O$69)*R$2</f>
        <v>0</v>
      </c>
      <c r="S1420" s="88">
        <f>SUMIF(月間集計シート!$M$50:$M$69,$G1420,月間集計シート!P$50:P$69)*S$2</f>
        <v>0</v>
      </c>
      <c r="T1420" s="88">
        <f>SUMIF(月間集計シート!$M$50:$M$69,$G1420,月間集計シート!Q$50:Q$69)*T$2</f>
        <v>0</v>
      </c>
      <c r="U1420" s="88">
        <f>SUMIF(月間集計シート!$M$50:$M$69,$G1420,月間集計シート!R$50:R$69)*U$2</f>
        <v>0</v>
      </c>
      <c r="V1420" s="88">
        <f>SUMIF(月間集計シート!$M$50:$M$69,$G1420,月間集計シート!S$50:S$69)*V$2</f>
        <v>0</v>
      </c>
      <c r="W1420" s="88">
        <f>SUMIF(月間集計シート!$M$50:$M$69,$G1420,月間集計シート!T$50:T$69)*W$2</f>
        <v>0</v>
      </c>
      <c r="X1420" s="88">
        <f>SUMIF(月間集計シート!$M$71:$M$90,$G1420,月間集計シート!N$71:N$90)*X$2</f>
        <v>0</v>
      </c>
      <c r="Y1420" s="88">
        <f>SUMIF(月間集計シート!$M$71:$M$90,$G1420,月間集計シート!O$71:O$90)*Y$2</f>
        <v>0</v>
      </c>
      <c r="Z1420" s="88">
        <f>SUMIF(月間集計シート!$M$71:$M$90,$G1420,月間集計シート!P$71:P$90)*Z$2</f>
        <v>0</v>
      </c>
      <c r="AA1420" s="88">
        <f>SUMIF(月間集計シート!$M$71:$M$90,$G1420,月間集計シート!Q$71:Q$90)*AA$2</f>
        <v>0</v>
      </c>
      <c r="AB1420" s="88">
        <f>SUMIF(月間集計シート!$M$71:$M$90,$G1420,月間集計シート!R$71:R$90)*AB$2</f>
        <v>0</v>
      </c>
      <c r="AC1420" s="88">
        <f>SUMIF(月間集計シート!$M$71:$M$90,$G1420,月間集計シート!S$71:S$90)*AC$2</f>
        <v>0</v>
      </c>
      <c r="AD1420" s="88">
        <f>SUMIF(月間集計シート!$M$71:$M$90,$G1420,月間集計シート!T$71:T$90)*AD$2</f>
        <v>0</v>
      </c>
      <c r="AE1420" s="88">
        <f>SUMIF(月間集計シート!$M$92:$M$111,$G1420,月間集計シート!N$92:N$111)*AE$2</f>
        <v>0</v>
      </c>
      <c r="AF1420" s="88">
        <f>SUMIF(月間集計シート!$M$92:$M$111,$G1420,月間集計シート!O$92:O$111)*AF$2</f>
        <v>0</v>
      </c>
      <c r="AG1420" s="88">
        <f>SUMIF(月間集計シート!$M$92:$M$111,$G1420,月間集計シート!P$92:P$111)*AG$2</f>
        <v>0</v>
      </c>
      <c r="AH1420" s="88">
        <f>SUMIF(月間集計シート!$M$92:$M$111,$G1420,月間集計シート!Q$92:Q$111)*AH$2</f>
        <v>0</v>
      </c>
      <c r="AI1420" s="88">
        <f>SUMIF(月間集計シート!$M$92:$M$111,$G1420,月間集計シート!R$92:R$111)*AI$2</f>
        <v>0</v>
      </c>
      <c r="AJ1420" s="88">
        <f>SUMIF(月間集計シート!$M$92:$M$111,$G1420,月間集計シート!S$92:S$111)*AJ$2</f>
        <v>0</v>
      </c>
      <c r="AK1420" s="88">
        <f>SUMIF(月間集計シート!$M$92:$M$111,$G1420,月間集計シート!T$92:T$111)*AK$2</f>
        <v>0</v>
      </c>
      <c r="AL1420" s="88">
        <f>SUMIF(月間集計シート!$M$113:$M$132,$G1420,月間集計シート!N$113:N$132)*AL$2</f>
        <v>0</v>
      </c>
      <c r="AM1420" s="88">
        <f>SUMIF(月間集計シート!$M$113:$M$132,$G1420,月間集計シート!O$113:O$132)*AM$2</f>
        <v>0</v>
      </c>
      <c r="AN1420" s="88">
        <f>SUMIF(月間集計シート!$M$113:$M$132,$G1420,月間集計シート!P$113:P$132)*AN$2</f>
        <v>0</v>
      </c>
      <c r="AO1420" s="88">
        <f>SUMIF(月間集計シート!$M$113:$M$132,$G1420,月間集計シート!Q$113:Q$132)*AO$2</f>
        <v>0</v>
      </c>
      <c r="AP1420" s="88">
        <f>SUMIF(月間集計シート!$M$113:$M$132,$G1420,月間集計シート!R$113:R$132)*AP$2</f>
        <v>0</v>
      </c>
      <c r="AQ1420" s="88">
        <f>SUMIF(月間集計シート!$M$113:$M$132,$G1420,月間集計シート!S$113:S$132)*AQ$2</f>
        <v>0</v>
      </c>
      <c r="AR1420" s="88">
        <f>SUMIF(月間集計シート!$M$113:$M$132,$G1420,月間集計シート!T$113:T$132)*AR$2</f>
        <v>0</v>
      </c>
      <c r="AS1420" s="88">
        <f>SUMIF(月間集計シート!$M$134:$M$153,$G1420,月間集計シート!N$134:N$153)*AS$2</f>
        <v>0</v>
      </c>
      <c r="AT1420" s="88">
        <f>SUMIF(月間集計シート!$M$134:$M$153,$G1420,月間集計シート!O$134:O$153)*AT$2</f>
        <v>0</v>
      </c>
      <c r="AU1420" s="88">
        <f>SUMIF(月間集計シート!$M$134:$M$153,$G1420,月間集計シート!P$134:P$153)*AU$2</f>
        <v>0</v>
      </c>
      <c r="AV1420" s="88">
        <f>SUMIF(月間集計シート!$M$134:$M$153,$G1420,月間集計シート!Q$134:Q$153)*AV$2</f>
        <v>0</v>
      </c>
      <c r="AW1420" s="88">
        <f>SUMIF(月間集計シート!$M$134:$M$153,$G1420,月間集計シート!R$134:R$153)*AW$2</f>
        <v>0</v>
      </c>
      <c r="AX1420" s="88">
        <f>SUMIF(月間集計シート!$M$134:$M$153,$G1420,月間集計シート!S$134:S$153)*AX$2</f>
        <v>0</v>
      </c>
      <c r="AY1420" s="88">
        <f>SUMIF(月間集計シート!$M$134:$M$153,$G1420,月間集計シート!T$134:T$153)*AY$2</f>
        <v>0</v>
      </c>
    </row>
    <row r="1421" spans="1:51" ht="14.25" thickBot="1">
      <c r="A1421">
        <v>17</v>
      </c>
      <c r="B1421" s="120">
        <f t="shared" si="782"/>
        <v>0</v>
      </c>
      <c r="C1421" s="120" t="str">
        <f t="shared" si="783"/>
        <v/>
      </c>
      <c r="D1421" s="137"/>
      <c r="E1421" s="150">
        <f>工種!A53</f>
        <v>70104</v>
      </c>
      <c r="F1421" s="119" t="str">
        <f>工種!B53</f>
        <v>外部不具合修正：不具合連絡作成</v>
      </c>
      <c r="G1421" s="116" t="str">
        <f t="shared" si="784"/>
        <v>070104</v>
      </c>
      <c r="H1421" s="88">
        <f t="shared" si="738"/>
        <v>0</v>
      </c>
      <c r="I1421" s="132"/>
      <c r="J1421" s="88">
        <f>SUMIF(月間集計シート!$M$29:$M$48,$G1421,月間集計シート!N$29:N$48)*J$2</f>
        <v>0</v>
      </c>
      <c r="K1421" s="88">
        <f>SUMIF(月間集計シート!$M$29:$M$48,$G1421,月間集計シート!O$29:O$48)*K$2</f>
        <v>0</v>
      </c>
      <c r="L1421" s="88">
        <f>SUMIF(月間集計シート!$M$29:$M$48,$G1421,月間集計シート!P$29:P$48)*L$2</f>
        <v>0</v>
      </c>
      <c r="M1421" s="88">
        <f>SUMIF(月間集計シート!$M$29:$M$48,$G1421,月間集計シート!Q$29:Q$48)*M$2</f>
        <v>0</v>
      </c>
      <c r="N1421" s="88">
        <f>SUMIF(月間集計シート!$M$29:$M$48,$G1421,月間集計シート!R$29:R$48)*N$2</f>
        <v>0</v>
      </c>
      <c r="O1421" s="88">
        <f>SUMIF(月間集計シート!$M$29:$M$48,$G1421,月間集計シート!S$29:S$48)*O$2</f>
        <v>0</v>
      </c>
      <c r="P1421" s="88">
        <f>SUMIF(月間集計シート!$M$29:$M$48,$G1421,月間集計シート!T$29:T$48)*P$2</f>
        <v>0</v>
      </c>
      <c r="Q1421" s="88">
        <f>SUMIF(月間集計シート!$M$50:$M$69,$G1421,月間集計シート!N$50:N$69)*Q$2</f>
        <v>0</v>
      </c>
      <c r="R1421" s="88">
        <f>SUMIF(月間集計シート!$M$50:$M$69,$G1421,月間集計シート!O$50:O$69)*R$2</f>
        <v>0</v>
      </c>
      <c r="S1421" s="88">
        <f>SUMIF(月間集計シート!$M$50:$M$69,$G1421,月間集計シート!P$50:P$69)*S$2</f>
        <v>0</v>
      </c>
      <c r="T1421" s="88">
        <f>SUMIF(月間集計シート!$M$50:$M$69,$G1421,月間集計シート!Q$50:Q$69)*T$2</f>
        <v>0</v>
      </c>
      <c r="U1421" s="88">
        <f>SUMIF(月間集計シート!$M$50:$M$69,$G1421,月間集計シート!R$50:R$69)*U$2</f>
        <v>0</v>
      </c>
      <c r="V1421" s="88">
        <f>SUMIF(月間集計シート!$M$50:$M$69,$G1421,月間集計シート!S$50:S$69)*V$2</f>
        <v>0</v>
      </c>
      <c r="W1421" s="88">
        <f>SUMIF(月間集計シート!$M$50:$M$69,$G1421,月間集計シート!T$50:T$69)*W$2</f>
        <v>0</v>
      </c>
      <c r="X1421" s="88">
        <f>SUMIF(月間集計シート!$M$71:$M$90,$G1421,月間集計シート!N$71:N$90)*X$2</f>
        <v>0</v>
      </c>
      <c r="Y1421" s="88">
        <f>SUMIF(月間集計シート!$M$71:$M$90,$G1421,月間集計シート!O$71:O$90)*Y$2</f>
        <v>0</v>
      </c>
      <c r="Z1421" s="88">
        <f>SUMIF(月間集計シート!$M$71:$M$90,$G1421,月間集計シート!P$71:P$90)*Z$2</f>
        <v>0</v>
      </c>
      <c r="AA1421" s="88">
        <f>SUMIF(月間集計シート!$M$71:$M$90,$G1421,月間集計シート!Q$71:Q$90)*AA$2</f>
        <v>0</v>
      </c>
      <c r="AB1421" s="88">
        <f>SUMIF(月間集計シート!$M$71:$M$90,$G1421,月間集計シート!R$71:R$90)*AB$2</f>
        <v>0</v>
      </c>
      <c r="AC1421" s="88">
        <f>SUMIF(月間集計シート!$M$71:$M$90,$G1421,月間集計シート!S$71:S$90)*AC$2</f>
        <v>0</v>
      </c>
      <c r="AD1421" s="88">
        <f>SUMIF(月間集計シート!$M$71:$M$90,$G1421,月間集計シート!T$71:T$90)*AD$2</f>
        <v>0</v>
      </c>
      <c r="AE1421" s="88">
        <f>SUMIF(月間集計シート!$M$92:$M$111,$G1421,月間集計シート!N$92:N$111)*AE$2</f>
        <v>0</v>
      </c>
      <c r="AF1421" s="88">
        <f>SUMIF(月間集計シート!$M$92:$M$111,$G1421,月間集計シート!O$92:O$111)*AF$2</f>
        <v>0</v>
      </c>
      <c r="AG1421" s="88">
        <f>SUMIF(月間集計シート!$M$92:$M$111,$G1421,月間集計シート!P$92:P$111)*AG$2</f>
        <v>0</v>
      </c>
      <c r="AH1421" s="88">
        <f>SUMIF(月間集計シート!$M$92:$M$111,$G1421,月間集計シート!Q$92:Q$111)*AH$2</f>
        <v>0</v>
      </c>
      <c r="AI1421" s="88">
        <f>SUMIF(月間集計シート!$M$92:$M$111,$G1421,月間集計シート!R$92:R$111)*AI$2</f>
        <v>0</v>
      </c>
      <c r="AJ1421" s="88">
        <f>SUMIF(月間集計シート!$M$92:$M$111,$G1421,月間集計シート!S$92:S$111)*AJ$2</f>
        <v>0</v>
      </c>
      <c r="AK1421" s="88">
        <f>SUMIF(月間集計シート!$M$92:$M$111,$G1421,月間集計シート!T$92:T$111)*AK$2</f>
        <v>0</v>
      </c>
      <c r="AL1421" s="88">
        <f>SUMIF(月間集計シート!$M$113:$M$132,$G1421,月間集計シート!N$113:N$132)*AL$2</f>
        <v>0</v>
      </c>
      <c r="AM1421" s="88">
        <f>SUMIF(月間集計シート!$M$113:$M$132,$G1421,月間集計シート!O$113:O$132)*AM$2</f>
        <v>0</v>
      </c>
      <c r="AN1421" s="88">
        <f>SUMIF(月間集計シート!$M$113:$M$132,$G1421,月間集計シート!P$113:P$132)*AN$2</f>
        <v>0</v>
      </c>
      <c r="AO1421" s="88">
        <f>SUMIF(月間集計シート!$M$113:$M$132,$G1421,月間集計シート!Q$113:Q$132)*AO$2</f>
        <v>0</v>
      </c>
      <c r="AP1421" s="88">
        <f>SUMIF(月間集計シート!$M$113:$M$132,$G1421,月間集計シート!R$113:R$132)*AP$2</f>
        <v>0</v>
      </c>
      <c r="AQ1421" s="88">
        <f>SUMIF(月間集計シート!$M$113:$M$132,$G1421,月間集計シート!S$113:S$132)*AQ$2</f>
        <v>0</v>
      </c>
      <c r="AR1421" s="88">
        <f>SUMIF(月間集計シート!$M$113:$M$132,$G1421,月間集計シート!T$113:T$132)*AR$2</f>
        <v>0</v>
      </c>
      <c r="AS1421" s="88">
        <f>SUMIF(月間集計シート!$M$134:$M$153,$G1421,月間集計シート!N$134:N$153)*AS$2</f>
        <v>0</v>
      </c>
      <c r="AT1421" s="88">
        <f>SUMIF(月間集計シート!$M$134:$M$153,$G1421,月間集計シート!O$134:O$153)*AT$2</f>
        <v>0</v>
      </c>
      <c r="AU1421" s="88">
        <f>SUMIF(月間集計シート!$M$134:$M$153,$G1421,月間集計シート!P$134:P$153)*AU$2</f>
        <v>0</v>
      </c>
      <c r="AV1421" s="88">
        <f>SUMIF(月間集計シート!$M$134:$M$153,$G1421,月間集計シート!Q$134:Q$153)*AV$2</f>
        <v>0</v>
      </c>
      <c r="AW1421" s="88">
        <f>SUMIF(月間集計シート!$M$134:$M$153,$G1421,月間集計シート!R$134:R$153)*AW$2</f>
        <v>0</v>
      </c>
      <c r="AX1421" s="88">
        <f>SUMIF(月間集計シート!$M$134:$M$153,$G1421,月間集計シート!S$134:S$153)*AX$2</f>
        <v>0</v>
      </c>
      <c r="AY1421" s="88">
        <f>SUMIF(月間集計シート!$M$134:$M$153,$G1421,月間集計シート!T$134:T$153)*AY$2</f>
        <v>0</v>
      </c>
    </row>
    <row r="1422" spans="1:51" ht="14.25" thickBot="1">
      <c r="A1422">
        <v>17</v>
      </c>
      <c r="B1422" s="120">
        <f t="shared" si="782"/>
        <v>0</v>
      </c>
      <c r="C1422" s="120" t="str">
        <f t="shared" si="783"/>
        <v/>
      </c>
      <c r="D1422" s="137"/>
      <c r="E1422" s="150">
        <f>工種!A54</f>
        <v>70105</v>
      </c>
      <c r="F1422" s="119" t="str">
        <f>工種!B54</f>
        <v>外部不具合修正：差分PGイントラ掲載</v>
      </c>
      <c r="G1422" s="116" t="str">
        <f t="shared" si="784"/>
        <v>070105</v>
      </c>
      <c r="H1422" s="88">
        <f t="shared" si="738"/>
        <v>0</v>
      </c>
      <c r="I1422" s="132"/>
      <c r="J1422" s="88">
        <f>SUMIF(月間集計シート!$M$29:$M$48,$G1422,月間集計シート!N$29:N$48)*J$2</f>
        <v>0</v>
      </c>
      <c r="K1422" s="88">
        <f>SUMIF(月間集計シート!$M$29:$M$48,$G1422,月間集計シート!O$29:O$48)*K$2</f>
        <v>0</v>
      </c>
      <c r="L1422" s="88">
        <f>SUMIF(月間集計シート!$M$29:$M$48,$G1422,月間集計シート!P$29:P$48)*L$2</f>
        <v>0</v>
      </c>
      <c r="M1422" s="88">
        <f>SUMIF(月間集計シート!$M$29:$M$48,$G1422,月間集計シート!Q$29:Q$48)*M$2</f>
        <v>0</v>
      </c>
      <c r="N1422" s="88">
        <f>SUMIF(月間集計シート!$M$29:$M$48,$G1422,月間集計シート!R$29:R$48)*N$2</f>
        <v>0</v>
      </c>
      <c r="O1422" s="88">
        <f>SUMIF(月間集計シート!$M$29:$M$48,$G1422,月間集計シート!S$29:S$48)*O$2</f>
        <v>0</v>
      </c>
      <c r="P1422" s="88">
        <f>SUMIF(月間集計シート!$M$29:$M$48,$G1422,月間集計シート!T$29:T$48)*P$2</f>
        <v>0</v>
      </c>
      <c r="Q1422" s="88">
        <f>SUMIF(月間集計シート!$M$50:$M$69,$G1422,月間集計シート!N$50:N$69)*Q$2</f>
        <v>0</v>
      </c>
      <c r="R1422" s="88">
        <f>SUMIF(月間集計シート!$M$50:$M$69,$G1422,月間集計シート!O$50:O$69)*R$2</f>
        <v>0</v>
      </c>
      <c r="S1422" s="88">
        <f>SUMIF(月間集計シート!$M$50:$M$69,$G1422,月間集計シート!P$50:P$69)*S$2</f>
        <v>0</v>
      </c>
      <c r="T1422" s="88">
        <f>SUMIF(月間集計シート!$M$50:$M$69,$G1422,月間集計シート!Q$50:Q$69)*T$2</f>
        <v>0</v>
      </c>
      <c r="U1422" s="88">
        <f>SUMIF(月間集計シート!$M$50:$M$69,$G1422,月間集計シート!R$50:R$69)*U$2</f>
        <v>0</v>
      </c>
      <c r="V1422" s="88">
        <f>SUMIF(月間集計シート!$M$50:$M$69,$G1422,月間集計シート!S$50:S$69)*V$2</f>
        <v>0</v>
      </c>
      <c r="W1422" s="88">
        <f>SUMIF(月間集計シート!$M$50:$M$69,$G1422,月間集計シート!T$50:T$69)*W$2</f>
        <v>0</v>
      </c>
      <c r="X1422" s="88">
        <f>SUMIF(月間集計シート!$M$71:$M$90,$G1422,月間集計シート!N$71:N$90)*X$2</f>
        <v>0</v>
      </c>
      <c r="Y1422" s="88">
        <f>SUMIF(月間集計シート!$M$71:$M$90,$G1422,月間集計シート!O$71:O$90)*Y$2</f>
        <v>0</v>
      </c>
      <c r="Z1422" s="88">
        <f>SUMIF(月間集計シート!$M$71:$M$90,$G1422,月間集計シート!P$71:P$90)*Z$2</f>
        <v>0</v>
      </c>
      <c r="AA1422" s="88">
        <f>SUMIF(月間集計シート!$M$71:$M$90,$G1422,月間集計シート!Q$71:Q$90)*AA$2</f>
        <v>0</v>
      </c>
      <c r="AB1422" s="88">
        <f>SUMIF(月間集計シート!$M$71:$M$90,$G1422,月間集計シート!R$71:R$90)*AB$2</f>
        <v>0</v>
      </c>
      <c r="AC1422" s="88">
        <f>SUMIF(月間集計シート!$M$71:$M$90,$G1422,月間集計シート!S$71:S$90)*AC$2</f>
        <v>0</v>
      </c>
      <c r="AD1422" s="88">
        <f>SUMIF(月間集計シート!$M$71:$M$90,$G1422,月間集計シート!T$71:T$90)*AD$2</f>
        <v>0</v>
      </c>
      <c r="AE1422" s="88">
        <f>SUMIF(月間集計シート!$M$92:$M$111,$G1422,月間集計シート!N$92:N$111)*AE$2</f>
        <v>0</v>
      </c>
      <c r="AF1422" s="88">
        <f>SUMIF(月間集計シート!$M$92:$M$111,$G1422,月間集計シート!O$92:O$111)*AF$2</f>
        <v>0</v>
      </c>
      <c r="AG1422" s="88">
        <f>SUMIF(月間集計シート!$M$92:$M$111,$G1422,月間集計シート!P$92:P$111)*AG$2</f>
        <v>0</v>
      </c>
      <c r="AH1422" s="88">
        <f>SUMIF(月間集計シート!$M$92:$M$111,$G1422,月間集計シート!Q$92:Q$111)*AH$2</f>
        <v>0</v>
      </c>
      <c r="AI1422" s="88">
        <f>SUMIF(月間集計シート!$M$92:$M$111,$G1422,月間集計シート!R$92:R$111)*AI$2</f>
        <v>0</v>
      </c>
      <c r="AJ1422" s="88">
        <f>SUMIF(月間集計シート!$M$92:$M$111,$G1422,月間集計シート!S$92:S$111)*AJ$2</f>
        <v>0</v>
      </c>
      <c r="AK1422" s="88">
        <f>SUMIF(月間集計シート!$M$92:$M$111,$G1422,月間集計シート!T$92:T$111)*AK$2</f>
        <v>0</v>
      </c>
      <c r="AL1422" s="88">
        <f>SUMIF(月間集計シート!$M$113:$M$132,$G1422,月間集計シート!N$113:N$132)*AL$2</f>
        <v>0</v>
      </c>
      <c r="AM1422" s="88">
        <f>SUMIF(月間集計シート!$M$113:$M$132,$G1422,月間集計シート!O$113:O$132)*AM$2</f>
        <v>0</v>
      </c>
      <c r="AN1422" s="88">
        <f>SUMIF(月間集計シート!$M$113:$M$132,$G1422,月間集計シート!P$113:P$132)*AN$2</f>
        <v>0</v>
      </c>
      <c r="AO1422" s="88">
        <f>SUMIF(月間集計シート!$M$113:$M$132,$G1422,月間集計シート!Q$113:Q$132)*AO$2</f>
        <v>0</v>
      </c>
      <c r="AP1422" s="88">
        <f>SUMIF(月間集計シート!$M$113:$M$132,$G1422,月間集計シート!R$113:R$132)*AP$2</f>
        <v>0</v>
      </c>
      <c r="AQ1422" s="88">
        <f>SUMIF(月間集計シート!$M$113:$M$132,$G1422,月間集計シート!S$113:S$132)*AQ$2</f>
        <v>0</v>
      </c>
      <c r="AR1422" s="88">
        <f>SUMIF(月間集計シート!$M$113:$M$132,$G1422,月間集計シート!T$113:T$132)*AR$2</f>
        <v>0</v>
      </c>
      <c r="AS1422" s="88">
        <f>SUMIF(月間集計シート!$M$134:$M$153,$G1422,月間集計シート!N$134:N$153)*AS$2</f>
        <v>0</v>
      </c>
      <c r="AT1422" s="88">
        <f>SUMIF(月間集計シート!$M$134:$M$153,$G1422,月間集計シート!O$134:O$153)*AT$2</f>
        <v>0</v>
      </c>
      <c r="AU1422" s="88">
        <f>SUMIF(月間集計シート!$M$134:$M$153,$G1422,月間集計シート!P$134:P$153)*AU$2</f>
        <v>0</v>
      </c>
      <c r="AV1422" s="88">
        <f>SUMIF(月間集計シート!$M$134:$M$153,$G1422,月間集計シート!Q$134:Q$153)*AV$2</f>
        <v>0</v>
      </c>
      <c r="AW1422" s="88">
        <f>SUMIF(月間集計シート!$M$134:$M$153,$G1422,月間集計シート!R$134:R$153)*AW$2</f>
        <v>0</v>
      </c>
      <c r="AX1422" s="88">
        <f>SUMIF(月間集計シート!$M$134:$M$153,$G1422,月間集計シート!S$134:S$153)*AX$2</f>
        <v>0</v>
      </c>
      <c r="AY1422" s="88">
        <f>SUMIF(月間集計シート!$M$134:$M$153,$G1422,月間集計シート!T$134:T$153)*AY$2</f>
        <v>0</v>
      </c>
    </row>
    <row r="1423" spans="1:51" ht="14.25" thickBot="1">
      <c r="A1423">
        <v>17</v>
      </c>
      <c r="B1423" s="120">
        <f t="shared" si="782"/>
        <v>0</v>
      </c>
      <c r="C1423" s="120" t="str">
        <f t="shared" si="783"/>
        <v/>
      </c>
      <c r="D1423" s="137"/>
      <c r="E1423" s="150">
        <f>工種!A55</f>
        <v>70106</v>
      </c>
      <c r="F1423" s="119" t="str">
        <f>工種!B55</f>
        <v>外部不具合修正：打合せ</v>
      </c>
      <c r="G1423" s="116" t="str">
        <f t="shared" si="784"/>
        <v>070106</v>
      </c>
      <c r="H1423" s="88">
        <f t="shared" si="738"/>
        <v>0</v>
      </c>
      <c r="I1423" s="132"/>
      <c r="J1423" s="88">
        <f>SUMIF(月間集計シート!$M$29:$M$48,$G1423,月間集計シート!N$29:N$48)*J$2</f>
        <v>0</v>
      </c>
      <c r="K1423" s="88">
        <f>SUMIF(月間集計シート!$M$29:$M$48,$G1423,月間集計シート!O$29:O$48)*K$2</f>
        <v>0</v>
      </c>
      <c r="L1423" s="88">
        <f>SUMIF(月間集計シート!$M$29:$M$48,$G1423,月間集計シート!P$29:P$48)*L$2</f>
        <v>0</v>
      </c>
      <c r="M1423" s="88">
        <f>SUMIF(月間集計シート!$M$29:$M$48,$G1423,月間集計シート!Q$29:Q$48)*M$2</f>
        <v>0</v>
      </c>
      <c r="N1423" s="88">
        <f>SUMIF(月間集計シート!$M$29:$M$48,$G1423,月間集計シート!R$29:R$48)*N$2</f>
        <v>0</v>
      </c>
      <c r="O1423" s="88">
        <f>SUMIF(月間集計シート!$M$29:$M$48,$G1423,月間集計シート!S$29:S$48)*O$2</f>
        <v>0</v>
      </c>
      <c r="P1423" s="88">
        <f>SUMIF(月間集計シート!$M$29:$M$48,$G1423,月間集計シート!T$29:T$48)*P$2</f>
        <v>0</v>
      </c>
      <c r="Q1423" s="88">
        <f>SUMIF(月間集計シート!$M$50:$M$69,$G1423,月間集計シート!N$50:N$69)*Q$2</f>
        <v>0</v>
      </c>
      <c r="R1423" s="88">
        <f>SUMIF(月間集計シート!$M$50:$M$69,$G1423,月間集計シート!O$50:O$69)*R$2</f>
        <v>0</v>
      </c>
      <c r="S1423" s="88">
        <f>SUMIF(月間集計シート!$M$50:$M$69,$G1423,月間集計シート!P$50:P$69)*S$2</f>
        <v>0</v>
      </c>
      <c r="T1423" s="88">
        <f>SUMIF(月間集計シート!$M$50:$M$69,$G1423,月間集計シート!Q$50:Q$69)*T$2</f>
        <v>0</v>
      </c>
      <c r="U1423" s="88">
        <f>SUMIF(月間集計シート!$M$50:$M$69,$G1423,月間集計シート!R$50:R$69)*U$2</f>
        <v>0</v>
      </c>
      <c r="V1423" s="88">
        <f>SUMIF(月間集計シート!$M$50:$M$69,$G1423,月間集計シート!S$50:S$69)*V$2</f>
        <v>0</v>
      </c>
      <c r="W1423" s="88">
        <f>SUMIF(月間集計シート!$M$50:$M$69,$G1423,月間集計シート!T$50:T$69)*W$2</f>
        <v>0</v>
      </c>
      <c r="X1423" s="88">
        <f>SUMIF(月間集計シート!$M$71:$M$90,$G1423,月間集計シート!N$71:N$90)*X$2</f>
        <v>0</v>
      </c>
      <c r="Y1423" s="88">
        <f>SUMIF(月間集計シート!$M$71:$M$90,$G1423,月間集計シート!O$71:O$90)*Y$2</f>
        <v>0</v>
      </c>
      <c r="Z1423" s="88">
        <f>SUMIF(月間集計シート!$M$71:$M$90,$G1423,月間集計シート!P$71:P$90)*Z$2</f>
        <v>0</v>
      </c>
      <c r="AA1423" s="88">
        <f>SUMIF(月間集計シート!$M$71:$M$90,$G1423,月間集計シート!Q$71:Q$90)*AA$2</f>
        <v>0</v>
      </c>
      <c r="AB1423" s="88">
        <f>SUMIF(月間集計シート!$M$71:$M$90,$G1423,月間集計シート!R$71:R$90)*AB$2</f>
        <v>0</v>
      </c>
      <c r="AC1423" s="88">
        <f>SUMIF(月間集計シート!$M$71:$M$90,$G1423,月間集計シート!S$71:S$90)*AC$2</f>
        <v>0</v>
      </c>
      <c r="AD1423" s="88">
        <f>SUMIF(月間集計シート!$M$71:$M$90,$G1423,月間集計シート!T$71:T$90)*AD$2</f>
        <v>0</v>
      </c>
      <c r="AE1423" s="88">
        <f>SUMIF(月間集計シート!$M$92:$M$111,$G1423,月間集計シート!N$92:N$111)*AE$2</f>
        <v>0</v>
      </c>
      <c r="AF1423" s="88">
        <f>SUMIF(月間集計シート!$M$92:$M$111,$G1423,月間集計シート!O$92:O$111)*AF$2</f>
        <v>0</v>
      </c>
      <c r="AG1423" s="88">
        <f>SUMIF(月間集計シート!$M$92:$M$111,$G1423,月間集計シート!P$92:P$111)*AG$2</f>
        <v>0</v>
      </c>
      <c r="AH1423" s="88">
        <f>SUMIF(月間集計シート!$M$92:$M$111,$G1423,月間集計シート!Q$92:Q$111)*AH$2</f>
        <v>0</v>
      </c>
      <c r="AI1423" s="88">
        <f>SUMIF(月間集計シート!$M$92:$M$111,$G1423,月間集計シート!R$92:R$111)*AI$2</f>
        <v>0</v>
      </c>
      <c r="AJ1423" s="88">
        <f>SUMIF(月間集計シート!$M$92:$M$111,$G1423,月間集計シート!S$92:S$111)*AJ$2</f>
        <v>0</v>
      </c>
      <c r="AK1423" s="88">
        <f>SUMIF(月間集計シート!$M$92:$M$111,$G1423,月間集計シート!T$92:T$111)*AK$2</f>
        <v>0</v>
      </c>
      <c r="AL1423" s="88">
        <f>SUMIF(月間集計シート!$M$113:$M$132,$G1423,月間集計シート!N$113:N$132)*AL$2</f>
        <v>0</v>
      </c>
      <c r="AM1423" s="88">
        <f>SUMIF(月間集計シート!$M$113:$M$132,$G1423,月間集計シート!O$113:O$132)*AM$2</f>
        <v>0</v>
      </c>
      <c r="AN1423" s="88">
        <f>SUMIF(月間集計シート!$M$113:$M$132,$G1423,月間集計シート!P$113:P$132)*AN$2</f>
        <v>0</v>
      </c>
      <c r="AO1423" s="88">
        <f>SUMIF(月間集計シート!$M$113:$M$132,$G1423,月間集計シート!Q$113:Q$132)*AO$2</f>
        <v>0</v>
      </c>
      <c r="AP1423" s="88">
        <f>SUMIF(月間集計シート!$M$113:$M$132,$G1423,月間集計シート!R$113:R$132)*AP$2</f>
        <v>0</v>
      </c>
      <c r="AQ1423" s="88">
        <f>SUMIF(月間集計シート!$M$113:$M$132,$G1423,月間集計シート!S$113:S$132)*AQ$2</f>
        <v>0</v>
      </c>
      <c r="AR1423" s="88">
        <f>SUMIF(月間集計シート!$M$113:$M$132,$G1423,月間集計シート!T$113:T$132)*AR$2</f>
        <v>0</v>
      </c>
      <c r="AS1423" s="88">
        <f>SUMIF(月間集計シート!$M$134:$M$153,$G1423,月間集計シート!N$134:N$153)*AS$2</f>
        <v>0</v>
      </c>
      <c r="AT1423" s="88">
        <f>SUMIF(月間集計シート!$M$134:$M$153,$G1423,月間集計シート!O$134:O$153)*AT$2</f>
        <v>0</v>
      </c>
      <c r="AU1423" s="88">
        <f>SUMIF(月間集計シート!$M$134:$M$153,$G1423,月間集計シート!P$134:P$153)*AU$2</f>
        <v>0</v>
      </c>
      <c r="AV1423" s="88">
        <f>SUMIF(月間集計シート!$M$134:$M$153,$G1423,月間集計シート!Q$134:Q$153)*AV$2</f>
        <v>0</v>
      </c>
      <c r="AW1423" s="88">
        <f>SUMIF(月間集計シート!$M$134:$M$153,$G1423,月間集計シート!R$134:R$153)*AW$2</f>
        <v>0</v>
      </c>
      <c r="AX1423" s="88">
        <f>SUMIF(月間集計シート!$M$134:$M$153,$G1423,月間集計シート!S$134:S$153)*AX$2</f>
        <v>0</v>
      </c>
      <c r="AY1423" s="88">
        <f>SUMIF(月間集計シート!$M$134:$M$153,$G1423,月間集計シート!T$134:T$153)*AY$2</f>
        <v>0</v>
      </c>
    </row>
    <row r="1424" spans="1:51" ht="14.25" thickBot="1">
      <c r="A1424">
        <v>17</v>
      </c>
      <c r="B1424" s="120">
        <f t="shared" si="782"/>
        <v>0</v>
      </c>
      <c r="C1424" s="120" t="str">
        <f t="shared" si="783"/>
        <v/>
      </c>
      <c r="D1424" s="137"/>
      <c r="E1424" s="150">
        <f>工種!A56</f>
        <v>70109</v>
      </c>
      <c r="F1424" s="119" t="str">
        <f>工種!B56</f>
        <v>外部不具合修正：レビュー</v>
      </c>
      <c r="G1424" s="116" t="str">
        <f t="shared" si="784"/>
        <v>070109</v>
      </c>
      <c r="H1424" s="88">
        <f t="shared" si="738"/>
        <v>0</v>
      </c>
      <c r="I1424" s="132"/>
      <c r="J1424" s="88">
        <f>SUMIF(月間集計シート!$M$29:$M$48,$G1424,月間集計シート!N$29:N$48)*J$2</f>
        <v>0</v>
      </c>
      <c r="K1424" s="88">
        <f>SUMIF(月間集計シート!$M$29:$M$48,$G1424,月間集計シート!O$29:O$48)*K$2</f>
        <v>0</v>
      </c>
      <c r="L1424" s="88">
        <f>SUMIF(月間集計シート!$M$29:$M$48,$G1424,月間集計シート!P$29:P$48)*L$2</f>
        <v>0</v>
      </c>
      <c r="M1424" s="88">
        <f>SUMIF(月間集計シート!$M$29:$M$48,$G1424,月間集計シート!Q$29:Q$48)*M$2</f>
        <v>0</v>
      </c>
      <c r="N1424" s="88">
        <f>SUMIF(月間集計シート!$M$29:$M$48,$G1424,月間集計シート!R$29:R$48)*N$2</f>
        <v>0</v>
      </c>
      <c r="O1424" s="88">
        <f>SUMIF(月間集計シート!$M$29:$M$48,$G1424,月間集計シート!S$29:S$48)*O$2</f>
        <v>0</v>
      </c>
      <c r="P1424" s="88">
        <f>SUMIF(月間集計シート!$M$29:$M$48,$G1424,月間集計シート!T$29:T$48)*P$2</f>
        <v>0</v>
      </c>
      <c r="Q1424" s="88">
        <f>SUMIF(月間集計シート!$M$50:$M$69,$G1424,月間集計シート!N$50:N$69)*Q$2</f>
        <v>0</v>
      </c>
      <c r="R1424" s="88">
        <f>SUMIF(月間集計シート!$M$50:$M$69,$G1424,月間集計シート!O$50:O$69)*R$2</f>
        <v>0</v>
      </c>
      <c r="S1424" s="88">
        <f>SUMIF(月間集計シート!$M$50:$M$69,$G1424,月間集計シート!P$50:P$69)*S$2</f>
        <v>0</v>
      </c>
      <c r="T1424" s="88">
        <f>SUMIF(月間集計シート!$M$50:$M$69,$G1424,月間集計シート!Q$50:Q$69)*T$2</f>
        <v>0</v>
      </c>
      <c r="U1424" s="88">
        <f>SUMIF(月間集計シート!$M$50:$M$69,$G1424,月間集計シート!R$50:R$69)*U$2</f>
        <v>0</v>
      </c>
      <c r="V1424" s="88">
        <f>SUMIF(月間集計シート!$M$50:$M$69,$G1424,月間集計シート!S$50:S$69)*V$2</f>
        <v>0</v>
      </c>
      <c r="W1424" s="88">
        <f>SUMIF(月間集計シート!$M$50:$M$69,$G1424,月間集計シート!T$50:T$69)*W$2</f>
        <v>0</v>
      </c>
      <c r="X1424" s="88">
        <f>SUMIF(月間集計シート!$M$71:$M$90,$G1424,月間集計シート!N$71:N$90)*X$2</f>
        <v>0</v>
      </c>
      <c r="Y1424" s="88">
        <f>SUMIF(月間集計シート!$M$71:$M$90,$G1424,月間集計シート!O$71:O$90)*Y$2</f>
        <v>0</v>
      </c>
      <c r="Z1424" s="88">
        <f>SUMIF(月間集計シート!$M$71:$M$90,$G1424,月間集計シート!P$71:P$90)*Z$2</f>
        <v>0</v>
      </c>
      <c r="AA1424" s="88">
        <f>SUMIF(月間集計シート!$M$71:$M$90,$G1424,月間集計シート!Q$71:Q$90)*AA$2</f>
        <v>0</v>
      </c>
      <c r="AB1424" s="88">
        <f>SUMIF(月間集計シート!$M$71:$M$90,$G1424,月間集計シート!R$71:R$90)*AB$2</f>
        <v>0</v>
      </c>
      <c r="AC1424" s="88">
        <f>SUMIF(月間集計シート!$M$71:$M$90,$G1424,月間集計シート!S$71:S$90)*AC$2</f>
        <v>0</v>
      </c>
      <c r="AD1424" s="88">
        <f>SUMIF(月間集計シート!$M$71:$M$90,$G1424,月間集計シート!T$71:T$90)*AD$2</f>
        <v>0</v>
      </c>
      <c r="AE1424" s="88">
        <f>SUMIF(月間集計シート!$M$92:$M$111,$G1424,月間集計シート!N$92:N$111)*AE$2</f>
        <v>0</v>
      </c>
      <c r="AF1424" s="88">
        <f>SUMIF(月間集計シート!$M$92:$M$111,$G1424,月間集計シート!O$92:O$111)*AF$2</f>
        <v>0</v>
      </c>
      <c r="AG1424" s="88">
        <f>SUMIF(月間集計シート!$M$92:$M$111,$G1424,月間集計シート!P$92:P$111)*AG$2</f>
        <v>0</v>
      </c>
      <c r="AH1424" s="88">
        <f>SUMIF(月間集計シート!$M$92:$M$111,$G1424,月間集計シート!Q$92:Q$111)*AH$2</f>
        <v>0</v>
      </c>
      <c r="AI1424" s="88">
        <f>SUMIF(月間集計シート!$M$92:$M$111,$G1424,月間集計シート!R$92:R$111)*AI$2</f>
        <v>0</v>
      </c>
      <c r="AJ1424" s="88">
        <f>SUMIF(月間集計シート!$M$92:$M$111,$G1424,月間集計シート!S$92:S$111)*AJ$2</f>
        <v>0</v>
      </c>
      <c r="AK1424" s="88">
        <f>SUMIF(月間集計シート!$M$92:$M$111,$G1424,月間集計シート!T$92:T$111)*AK$2</f>
        <v>0</v>
      </c>
      <c r="AL1424" s="88">
        <f>SUMIF(月間集計シート!$M$113:$M$132,$G1424,月間集計シート!N$113:N$132)*AL$2</f>
        <v>0</v>
      </c>
      <c r="AM1424" s="88">
        <f>SUMIF(月間集計シート!$M$113:$M$132,$G1424,月間集計シート!O$113:O$132)*AM$2</f>
        <v>0</v>
      </c>
      <c r="AN1424" s="88">
        <f>SUMIF(月間集計シート!$M$113:$M$132,$G1424,月間集計シート!P$113:P$132)*AN$2</f>
        <v>0</v>
      </c>
      <c r="AO1424" s="88">
        <f>SUMIF(月間集計シート!$M$113:$M$132,$G1424,月間集計シート!Q$113:Q$132)*AO$2</f>
        <v>0</v>
      </c>
      <c r="AP1424" s="88">
        <f>SUMIF(月間集計シート!$M$113:$M$132,$G1424,月間集計シート!R$113:R$132)*AP$2</f>
        <v>0</v>
      </c>
      <c r="AQ1424" s="88">
        <f>SUMIF(月間集計シート!$M$113:$M$132,$G1424,月間集計シート!S$113:S$132)*AQ$2</f>
        <v>0</v>
      </c>
      <c r="AR1424" s="88">
        <f>SUMIF(月間集計シート!$M$113:$M$132,$G1424,月間集計シート!T$113:T$132)*AR$2</f>
        <v>0</v>
      </c>
      <c r="AS1424" s="88">
        <f>SUMIF(月間集計シート!$M$134:$M$153,$G1424,月間集計シート!N$134:N$153)*AS$2</f>
        <v>0</v>
      </c>
      <c r="AT1424" s="88">
        <f>SUMIF(月間集計シート!$M$134:$M$153,$G1424,月間集計シート!O$134:O$153)*AT$2</f>
        <v>0</v>
      </c>
      <c r="AU1424" s="88">
        <f>SUMIF(月間集計シート!$M$134:$M$153,$G1424,月間集計シート!P$134:P$153)*AU$2</f>
        <v>0</v>
      </c>
      <c r="AV1424" s="88">
        <f>SUMIF(月間集計シート!$M$134:$M$153,$G1424,月間集計シート!Q$134:Q$153)*AV$2</f>
        <v>0</v>
      </c>
      <c r="AW1424" s="88">
        <f>SUMIF(月間集計シート!$M$134:$M$153,$G1424,月間集計シート!R$134:R$153)*AW$2</f>
        <v>0</v>
      </c>
      <c r="AX1424" s="88">
        <f>SUMIF(月間集計シート!$M$134:$M$153,$G1424,月間集計シート!S$134:S$153)*AX$2</f>
        <v>0</v>
      </c>
      <c r="AY1424" s="88">
        <f>SUMIF(月間集計シート!$M$134:$M$153,$G1424,月間集計シート!T$134:T$153)*AY$2</f>
        <v>0</v>
      </c>
    </row>
    <row r="1425" spans="1:51" ht="14.25" thickBot="1">
      <c r="A1425">
        <v>17</v>
      </c>
      <c r="B1425" s="120">
        <f t="shared" si="782"/>
        <v>0</v>
      </c>
      <c r="C1425" s="120" t="str">
        <f t="shared" si="783"/>
        <v/>
      </c>
      <c r="D1425" s="137"/>
      <c r="E1425" s="150">
        <f>工種!A57</f>
        <v>70189</v>
      </c>
      <c r="F1425" s="119" t="str">
        <f>工種!B57</f>
        <v>外部不具合修正：外部不具合分析</v>
      </c>
      <c r="G1425" s="116" t="str">
        <f t="shared" si="784"/>
        <v>070189</v>
      </c>
      <c r="H1425" s="88">
        <f t="shared" si="738"/>
        <v>0</v>
      </c>
      <c r="I1425" s="132"/>
      <c r="J1425" s="88">
        <f>SUMIF(月間集計シート!$M$29:$M$48,$G1425,月間集計シート!N$29:N$48)*J$2</f>
        <v>0</v>
      </c>
      <c r="K1425" s="88">
        <f>SUMIF(月間集計シート!$M$29:$M$48,$G1425,月間集計シート!O$29:O$48)*K$2</f>
        <v>0</v>
      </c>
      <c r="L1425" s="88">
        <f>SUMIF(月間集計シート!$M$29:$M$48,$G1425,月間集計シート!P$29:P$48)*L$2</f>
        <v>0</v>
      </c>
      <c r="M1425" s="88">
        <f>SUMIF(月間集計シート!$M$29:$M$48,$G1425,月間集計シート!Q$29:Q$48)*M$2</f>
        <v>0</v>
      </c>
      <c r="N1425" s="88">
        <f>SUMIF(月間集計シート!$M$29:$M$48,$G1425,月間集計シート!R$29:R$48)*N$2</f>
        <v>0</v>
      </c>
      <c r="O1425" s="88">
        <f>SUMIF(月間集計シート!$M$29:$M$48,$G1425,月間集計シート!S$29:S$48)*O$2</f>
        <v>0</v>
      </c>
      <c r="P1425" s="88">
        <f>SUMIF(月間集計シート!$M$29:$M$48,$G1425,月間集計シート!T$29:T$48)*P$2</f>
        <v>0</v>
      </c>
      <c r="Q1425" s="88">
        <f>SUMIF(月間集計シート!$M$50:$M$69,$G1425,月間集計シート!N$50:N$69)*Q$2</f>
        <v>0</v>
      </c>
      <c r="R1425" s="88">
        <f>SUMIF(月間集計シート!$M$50:$M$69,$G1425,月間集計シート!O$50:O$69)*R$2</f>
        <v>0</v>
      </c>
      <c r="S1425" s="88">
        <f>SUMIF(月間集計シート!$M$50:$M$69,$G1425,月間集計シート!P$50:P$69)*S$2</f>
        <v>0</v>
      </c>
      <c r="T1425" s="88">
        <f>SUMIF(月間集計シート!$M$50:$M$69,$G1425,月間集計シート!Q$50:Q$69)*T$2</f>
        <v>0</v>
      </c>
      <c r="U1425" s="88">
        <f>SUMIF(月間集計シート!$M$50:$M$69,$G1425,月間集計シート!R$50:R$69)*U$2</f>
        <v>0</v>
      </c>
      <c r="V1425" s="88">
        <f>SUMIF(月間集計シート!$M$50:$M$69,$G1425,月間集計シート!S$50:S$69)*V$2</f>
        <v>0</v>
      </c>
      <c r="W1425" s="88">
        <f>SUMIF(月間集計シート!$M$50:$M$69,$G1425,月間集計シート!T$50:T$69)*W$2</f>
        <v>0</v>
      </c>
      <c r="X1425" s="88">
        <f>SUMIF(月間集計シート!$M$71:$M$90,$G1425,月間集計シート!N$71:N$90)*X$2</f>
        <v>0</v>
      </c>
      <c r="Y1425" s="88">
        <f>SUMIF(月間集計シート!$M$71:$M$90,$G1425,月間集計シート!O$71:O$90)*Y$2</f>
        <v>0</v>
      </c>
      <c r="Z1425" s="88">
        <f>SUMIF(月間集計シート!$M$71:$M$90,$G1425,月間集計シート!P$71:P$90)*Z$2</f>
        <v>0</v>
      </c>
      <c r="AA1425" s="88">
        <f>SUMIF(月間集計シート!$M$71:$M$90,$G1425,月間集計シート!Q$71:Q$90)*AA$2</f>
        <v>0</v>
      </c>
      <c r="AB1425" s="88">
        <f>SUMIF(月間集計シート!$M$71:$M$90,$G1425,月間集計シート!R$71:R$90)*AB$2</f>
        <v>0</v>
      </c>
      <c r="AC1425" s="88">
        <f>SUMIF(月間集計シート!$M$71:$M$90,$G1425,月間集計シート!S$71:S$90)*AC$2</f>
        <v>0</v>
      </c>
      <c r="AD1425" s="88">
        <f>SUMIF(月間集計シート!$M$71:$M$90,$G1425,月間集計シート!T$71:T$90)*AD$2</f>
        <v>0</v>
      </c>
      <c r="AE1425" s="88">
        <f>SUMIF(月間集計シート!$M$92:$M$111,$G1425,月間集計シート!N$92:N$111)*AE$2</f>
        <v>0</v>
      </c>
      <c r="AF1425" s="88">
        <f>SUMIF(月間集計シート!$M$92:$M$111,$G1425,月間集計シート!O$92:O$111)*AF$2</f>
        <v>0</v>
      </c>
      <c r="AG1425" s="88">
        <f>SUMIF(月間集計シート!$M$92:$M$111,$G1425,月間集計シート!P$92:P$111)*AG$2</f>
        <v>0</v>
      </c>
      <c r="AH1425" s="88">
        <f>SUMIF(月間集計シート!$M$92:$M$111,$G1425,月間集計シート!Q$92:Q$111)*AH$2</f>
        <v>0</v>
      </c>
      <c r="AI1425" s="88">
        <f>SUMIF(月間集計シート!$M$92:$M$111,$G1425,月間集計シート!R$92:R$111)*AI$2</f>
        <v>0</v>
      </c>
      <c r="AJ1425" s="88">
        <f>SUMIF(月間集計シート!$M$92:$M$111,$G1425,月間集計シート!S$92:S$111)*AJ$2</f>
        <v>0</v>
      </c>
      <c r="AK1425" s="88">
        <f>SUMIF(月間集計シート!$M$92:$M$111,$G1425,月間集計シート!T$92:T$111)*AK$2</f>
        <v>0</v>
      </c>
      <c r="AL1425" s="88">
        <f>SUMIF(月間集計シート!$M$113:$M$132,$G1425,月間集計シート!N$113:N$132)*AL$2</f>
        <v>0</v>
      </c>
      <c r="AM1425" s="88">
        <f>SUMIF(月間集計シート!$M$113:$M$132,$G1425,月間集計シート!O$113:O$132)*AM$2</f>
        <v>0</v>
      </c>
      <c r="AN1425" s="88">
        <f>SUMIF(月間集計シート!$M$113:$M$132,$G1425,月間集計シート!P$113:P$132)*AN$2</f>
        <v>0</v>
      </c>
      <c r="AO1425" s="88">
        <f>SUMIF(月間集計シート!$M$113:$M$132,$G1425,月間集計シート!Q$113:Q$132)*AO$2</f>
        <v>0</v>
      </c>
      <c r="AP1425" s="88">
        <f>SUMIF(月間集計シート!$M$113:$M$132,$G1425,月間集計シート!R$113:R$132)*AP$2</f>
        <v>0</v>
      </c>
      <c r="AQ1425" s="88">
        <f>SUMIF(月間集計シート!$M$113:$M$132,$G1425,月間集計シート!S$113:S$132)*AQ$2</f>
        <v>0</v>
      </c>
      <c r="AR1425" s="88">
        <f>SUMIF(月間集計シート!$M$113:$M$132,$G1425,月間集計シート!T$113:T$132)*AR$2</f>
        <v>0</v>
      </c>
      <c r="AS1425" s="88">
        <f>SUMIF(月間集計シート!$M$134:$M$153,$G1425,月間集計シート!N$134:N$153)*AS$2</f>
        <v>0</v>
      </c>
      <c r="AT1425" s="88">
        <f>SUMIF(月間集計シート!$M$134:$M$153,$G1425,月間集計シート!O$134:O$153)*AT$2</f>
        <v>0</v>
      </c>
      <c r="AU1425" s="88">
        <f>SUMIF(月間集計シート!$M$134:$M$153,$G1425,月間集計シート!P$134:P$153)*AU$2</f>
        <v>0</v>
      </c>
      <c r="AV1425" s="88">
        <f>SUMIF(月間集計シート!$M$134:$M$153,$G1425,月間集計シート!Q$134:Q$153)*AV$2</f>
        <v>0</v>
      </c>
      <c r="AW1425" s="88">
        <f>SUMIF(月間集計シート!$M$134:$M$153,$G1425,月間集計シート!R$134:R$153)*AW$2</f>
        <v>0</v>
      </c>
      <c r="AX1425" s="88">
        <f>SUMIF(月間集計シート!$M$134:$M$153,$G1425,月間集計シート!S$134:S$153)*AX$2</f>
        <v>0</v>
      </c>
      <c r="AY1425" s="88">
        <f>SUMIF(月間集計シート!$M$134:$M$153,$G1425,月間集計シート!T$134:T$153)*AY$2</f>
        <v>0</v>
      </c>
    </row>
    <row r="1426" spans="1:51" ht="14.25" thickBot="1">
      <c r="A1426">
        <v>17</v>
      </c>
      <c r="B1426" s="120">
        <f t="shared" si="782"/>
        <v>0</v>
      </c>
      <c r="C1426" s="120" t="str">
        <f t="shared" si="783"/>
        <v/>
      </c>
      <c r="D1426" s="137"/>
      <c r="E1426" s="150">
        <f>工種!A58</f>
        <v>70199</v>
      </c>
      <c r="F1426" s="119" t="str">
        <f>工種!B58</f>
        <v>外部不具合修正：その他</v>
      </c>
      <c r="G1426" s="116" t="str">
        <f t="shared" si="784"/>
        <v>070199</v>
      </c>
      <c r="H1426" s="88">
        <f t="shared" si="738"/>
        <v>0</v>
      </c>
      <c r="I1426" s="132"/>
      <c r="J1426" s="88">
        <f>SUMIF(月間集計シート!$M$29:$M$48,$G1426,月間集計シート!N$29:N$48)*J$2</f>
        <v>0</v>
      </c>
      <c r="K1426" s="88">
        <f>SUMIF(月間集計シート!$M$29:$M$48,$G1426,月間集計シート!O$29:O$48)*K$2</f>
        <v>0</v>
      </c>
      <c r="L1426" s="88">
        <f>SUMIF(月間集計シート!$M$29:$M$48,$G1426,月間集計シート!P$29:P$48)*L$2</f>
        <v>0</v>
      </c>
      <c r="M1426" s="88">
        <f>SUMIF(月間集計シート!$M$29:$M$48,$G1426,月間集計シート!Q$29:Q$48)*M$2</f>
        <v>0</v>
      </c>
      <c r="N1426" s="88">
        <f>SUMIF(月間集計シート!$M$29:$M$48,$G1426,月間集計シート!R$29:R$48)*N$2</f>
        <v>0</v>
      </c>
      <c r="O1426" s="88">
        <f>SUMIF(月間集計シート!$M$29:$M$48,$G1426,月間集計シート!S$29:S$48)*O$2</f>
        <v>0</v>
      </c>
      <c r="P1426" s="88">
        <f>SUMIF(月間集計シート!$M$29:$M$48,$G1426,月間集計シート!T$29:T$48)*P$2</f>
        <v>0</v>
      </c>
      <c r="Q1426" s="88">
        <f>SUMIF(月間集計シート!$M$50:$M$69,$G1426,月間集計シート!N$50:N$69)*Q$2</f>
        <v>0</v>
      </c>
      <c r="R1426" s="88">
        <f>SUMIF(月間集計シート!$M$50:$M$69,$G1426,月間集計シート!O$50:O$69)*R$2</f>
        <v>0</v>
      </c>
      <c r="S1426" s="88">
        <f>SUMIF(月間集計シート!$M$50:$M$69,$G1426,月間集計シート!P$50:P$69)*S$2</f>
        <v>0</v>
      </c>
      <c r="T1426" s="88">
        <f>SUMIF(月間集計シート!$M$50:$M$69,$G1426,月間集計シート!Q$50:Q$69)*T$2</f>
        <v>0</v>
      </c>
      <c r="U1426" s="88">
        <f>SUMIF(月間集計シート!$M$50:$M$69,$G1426,月間集計シート!R$50:R$69)*U$2</f>
        <v>0</v>
      </c>
      <c r="V1426" s="88">
        <f>SUMIF(月間集計シート!$M$50:$M$69,$G1426,月間集計シート!S$50:S$69)*V$2</f>
        <v>0</v>
      </c>
      <c r="W1426" s="88">
        <f>SUMIF(月間集計シート!$M$50:$M$69,$G1426,月間集計シート!T$50:T$69)*W$2</f>
        <v>0</v>
      </c>
      <c r="X1426" s="88">
        <f>SUMIF(月間集計シート!$M$71:$M$90,$G1426,月間集計シート!N$71:N$90)*X$2</f>
        <v>0</v>
      </c>
      <c r="Y1426" s="88">
        <f>SUMIF(月間集計シート!$M$71:$M$90,$G1426,月間集計シート!O$71:O$90)*Y$2</f>
        <v>0</v>
      </c>
      <c r="Z1426" s="88">
        <f>SUMIF(月間集計シート!$M$71:$M$90,$G1426,月間集計シート!P$71:P$90)*Z$2</f>
        <v>0</v>
      </c>
      <c r="AA1426" s="88">
        <f>SUMIF(月間集計シート!$M$71:$M$90,$G1426,月間集計シート!Q$71:Q$90)*AA$2</f>
        <v>0</v>
      </c>
      <c r="AB1426" s="88">
        <f>SUMIF(月間集計シート!$M$71:$M$90,$G1426,月間集計シート!R$71:R$90)*AB$2</f>
        <v>0</v>
      </c>
      <c r="AC1426" s="88">
        <f>SUMIF(月間集計シート!$M$71:$M$90,$G1426,月間集計シート!S$71:S$90)*AC$2</f>
        <v>0</v>
      </c>
      <c r="AD1426" s="88">
        <f>SUMIF(月間集計シート!$M$71:$M$90,$G1426,月間集計シート!T$71:T$90)*AD$2</f>
        <v>0</v>
      </c>
      <c r="AE1426" s="88">
        <f>SUMIF(月間集計シート!$M$92:$M$111,$G1426,月間集計シート!N$92:N$111)*AE$2</f>
        <v>0</v>
      </c>
      <c r="AF1426" s="88">
        <f>SUMIF(月間集計シート!$M$92:$M$111,$G1426,月間集計シート!O$92:O$111)*AF$2</f>
        <v>0</v>
      </c>
      <c r="AG1426" s="88">
        <f>SUMIF(月間集計シート!$M$92:$M$111,$G1426,月間集計シート!P$92:P$111)*AG$2</f>
        <v>0</v>
      </c>
      <c r="AH1426" s="88">
        <f>SUMIF(月間集計シート!$M$92:$M$111,$G1426,月間集計シート!Q$92:Q$111)*AH$2</f>
        <v>0</v>
      </c>
      <c r="AI1426" s="88">
        <f>SUMIF(月間集計シート!$M$92:$M$111,$G1426,月間集計シート!R$92:R$111)*AI$2</f>
        <v>0</v>
      </c>
      <c r="AJ1426" s="88">
        <f>SUMIF(月間集計シート!$M$92:$M$111,$G1426,月間集計シート!S$92:S$111)*AJ$2</f>
        <v>0</v>
      </c>
      <c r="AK1426" s="88">
        <f>SUMIF(月間集計シート!$M$92:$M$111,$G1426,月間集計シート!T$92:T$111)*AK$2</f>
        <v>0</v>
      </c>
      <c r="AL1426" s="88">
        <f>SUMIF(月間集計シート!$M$113:$M$132,$G1426,月間集計シート!N$113:N$132)*AL$2</f>
        <v>0</v>
      </c>
      <c r="AM1426" s="88">
        <f>SUMIF(月間集計シート!$M$113:$M$132,$G1426,月間集計シート!O$113:O$132)*AM$2</f>
        <v>0</v>
      </c>
      <c r="AN1426" s="88">
        <f>SUMIF(月間集計シート!$M$113:$M$132,$G1426,月間集計シート!P$113:P$132)*AN$2</f>
        <v>0</v>
      </c>
      <c r="AO1426" s="88">
        <f>SUMIF(月間集計シート!$M$113:$M$132,$G1426,月間集計シート!Q$113:Q$132)*AO$2</f>
        <v>0</v>
      </c>
      <c r="AP1426" s="88">
        <f>SUMIF(月間集計シート!$M$113:$M$132,$G1426,月間集計シート!R$113:R$132)*AP$2</f>
        <v>0</v>
      </c>
      <c r="AQ1426" s="88">
        <f>SUMIF(月間集計シート!$M$113:$M$132,$G1426,月間集計シート!S$113:S$132)*AQ$2</f>
        <v>0</v>
      </c>
      <c r="AR1426" s="88">
        <f>SUMIF(月間集計シート!$M$113:$M$132,$G1426,月間集計シート!T$113:T$132)*AR$2</f>
        <v>0</v>
      </c>
      <c r="AS1426" s="88">
        <f>SUMIF(月間集計シート!$M$134:$M$153,$G1426,月間集計シート!N$134:N$153)*AS$2</f>
        <v>0</v>
      </c>
      <c r="AT1426" s="88">
        <f>SUMIF(月間集計シート!$M$134:$M$153,$G1426,月間集計シート!O$134:O$153)*AT$2</f>
        <v>0</v>
      </c>
      <c r="AU1426" s="88">
        <f>SUMIF(月間集計シート!$M$134:$M$153,$G1426,月間集計シート!P$134:P$153)*AU$2</f>
        <v>0</v>
      </c>
      <c r="AV1426" s="88">
        <f>SUMIF(月間集計シート!$M$134:$M$153,$G1426,月間集計シート!Q$134:Q$153)*AV$2</f>
        <v>0</v>
      </c>
      <c r="AW1426" s="88">
        <f>SUMIF(月間集計シート!$M$134:$M$153,$G1426,月間集計シート!R$134:R$153)*AW$2</f>
        <v>0</v>
      </c>
      <c r="AX1426" s="88">
        <f>SUMIF(月間集計シート!$M$134:$M$153,$G1426,月間集計シート!S$134:S$153)*AX$2</f>
        <v>0</v>
      </c>
      <c r="AY1426" s="88">
        <f>SUMIF(月間集計シート!$M$134:$M$153,$G1426,月間集計シート!T$134:T$153)*AY$2</f>
        <v>0</v>
      </c>
    </row>
    <row r="1427" spans="1:51" ht="14.25" thickBot="1">
      <c r="A1427">
        <v>17</v>
      </c>
      <c r="B1427" s="120">
        <f t="shared" si="782"/>
        <v>0</v>
      </c>
      <c r="C1427" s="120" t="str">
        <f t="shared" si="783"/>
        <v/>
      </c>
      <c r="D1427" s="137"/>
      <c r="E1427" s="150" t="str">
        <f>工種!A59</f>
        <v>80101</v>
      </c>
      <c r="F1427" s="119" t="str">
        <f>工種!B59</f>
        <v>保守／ｻﾎﾟｰﾄ：調査</v>
      </c>
      <c r="G1427" s="116" t="str">
        <f t="shared" si="784"/>
        <v>080101</v>
      </c>
      <c r="H1427" s="88">
        <f t="shared" si="738"/>
        <v>0</v>
      </c>
      <c r="I1427" s="132"/>
      <c r="J1427" s="88">
        <f>SUMIF(月間集計シート!$M$29:$M$48,$G1427,月間集計シート!N$29:N$48)*J$2</f>
        <v>0</v>
      </c>
      <c r="K1427" s="88">
        <f>SUMIF(月間集計シート!$M$29:$M$48,$G1427,月間集計シート!O$29:O$48)*K$2</f>
        <v>0</v>
      </c>
      <c r="L1427" s="88">
        <f>SUMIF(月間集計シート!$M$29:$M$48,$G1427,月間集計シート!P$29:P$48)*L$2</f>
        <v>0</v>
      </c>
      <c r="M1427" s="88">
        <f>SUMIF(月間集計シート!$M$29:$M$48,$G1427,月間集計シート!Q$29:Q$48)*M$2</f>
        <v>0</v>
      </c>
      <c r="N1427" s="88">
        <f>SUMIF(月間集計シート!$M$29:$M$48,$G1427,月間集計シート!R$29:R$48)*N$2</f>
        <v>0</v>
      </c>
      <c r="O1427" s="88">
        <f>SUMIF(月間集計シート!$M$29:$M$48,$G1427,月間集計シート!S$29:S$48)*O$2</f>
        <v>0</v>
      </c>
      <c r="P1427" s="88">
        <f>SUMIF(月間集計シート!$M$29:$M$48,$G1427,月間集計シート!T$29:T$48)*P$2</f>
        <v>0</v>
      </c>
      <c r="Q1427" s="88">
        <f>SUMIF(月間集計シート!$M$50:$M$69,$G1427,月間集計シート!N$50:N$69)*Q$2</f>
        <v>0</v>
      </c>
      <c r="R1427" s="88">
        <f>SUMIF(月間集計シート!$M$50:$M$69,$G1427,月間集計シート!O$50:O$69)*R$2</f>
        <v>0</v>
      </c>
      <c r="S1427" s="88">
        <f>SUMIF(月間集計シート!$M$50:$M$69,$G1427,月間集計シート!P$50:P$69)*S$2</f>
        <v>0</v>
      </c>
      <c r="T1427" s="88">
        <f>SUMIF(月間集計シート!$M$50:$M$69,$G1427,月間集計シート!Q$50:Q$69)*T$2</f>
        <v>0</v>
      </c>
      <c r="U1427" s="88">
        <f>SUMIF(月間集計シート!$M$50:$M$69,$G1427,月間集計シート!R$50:R$69)*U$2</f>
        <v>0</v>
      </c>
      <c r="V1427" s="88">
        <f>SUMIF(月間集計シート!$M$50:$M$69,$G1427,月間集計シート!S$50:S$69)*V$2</f>
        <v>0</v>
      </c>
      <c r="W1427" s="88">
        <f>SUMIF(月間集計シート!$M$50:$M$69,$G1427,月間集計シート!T$50:T$69)*W$2</f>
        <v>0</v>
      </c>
      <c r="X1427" s="88">
        <f>SUMIF(月間集計シート!$M$71:$M$90,$G1427,月間集計シート!N$71:N$90)*X$2</f>
        <v>0</v>
      </c>
      <c r="Y1427" s="88">
        <f>SUMIF(月間集計シート!$M$71:$M$90,$G1427,月間集計シート!O$71:O$90)*Y$2</f>
        <v>0</v>
      </c>
      <c r="Z1427" s="88">
        <f>SUMIF(月間集計シート!$M$71:$M$90,$G1427,月間集計シート!P$71:P$90)*Z$2</f>
        <v>0</v>
      </c>
      <c r="AA1427" s="88">
        <f>SUMIF(月間集計シート!$M$71:$M$90,$G1427,月間集計シート!Q$71:Q$90)*AA$2</f>
        <v>0</v>
      </c>
      <c r="AB1427" s="88">
        <f>SUMIF(月間集計シート!$M$71:$M$90,$G1427,月間集計シート!R$71:R$90)*AB$2</f>
        <v>0</v>
      </c>
      <c r="AC1427" s="88">
        <f>SUMIF(月間集計シート!$M$71:$M$90,$G1427,月間集計シート!S$71:S$90)*AC$2</f>
        <v>0</v>
      </c>
      <c r="AD1427" s="88">
        <f>SUMIF(月間集計シート!$M$71:$M$90,$G1427,月間集計シート!T$71:T$90)*AD$2</f>
        <v>0</v>
      </c>
      <c r="AE1427" s="88">
        <f>SUMIF(月間集計シート!$M$92:$M$111,$G1427,月間集計シート!N$92:N$111)*AE$2</f>
        <v>0</v>
      </c>
      <c r="AF1427" s="88">
        <f>SUMIF(月間集計シート!$M$92:$M$111,$G1427,月間集計シート!O$92:O$111)*AF$2</f>
        <v>0</v>
      </c>
      <c r="AG1427" s="88">
        <f>SUMIF(月間集計シート!$M$92:$M$111,$G1427,月間集計シート!P$92:P$111)*AG$2</f>
        <v>0</v>
      </c>
      <c r="AH1427" s="88">
        <f>SUMIF(月間集計シート!$M$92:$M$111,$G1427,月間集計シート!Q$92:Q$111)*AH$2</f>
        <v>0</v>
      </c>
      <c r="AI1427" s="88">
        <f>SUMIF(月間集計シート!$M$92:$M$111,$G1427,月間集計シート!R$92:R$111)*AI$2</f>
        <v>0</v>
      </c>
      <c r="AJ1427" s="88">
        <f>SUMIF(月間集計シート!$M$92:$M$111,$G1427,月間集計シート!S$92:S$111)*AJ$2</f>
        <v>0</v>
      </c>
      <c r="AK1427" s="88">
        <f>SUMIF(月間集計シート!$M$92:$M$111,$G1427,月間集計シート!T$92:T$111)*AK$2</f>
        <v>0</v>
      </c>
      <c r="AL1427" s="88">
        <f>SUMIF(月間集計シート!$M$113:$M$132,$G1427,月間集計シート!N$113:N$132)*AL$2</f>
        <v>0</v>
      </c>
      <c r="AM1427" s="88">
        <f>SUMIF(月間集計シート!$M$113:$M$132,$G1427,月間集計シート!O$113:O$132)*AM$2</f>
        <v>0</v>
      </c>
      <c r="AN1427" s="88">
        <f>SUMIF(月間集計シート!$M$113:$M$132,$G1427,月間集計シート!P$113:P$132)*AN$2</f>
        <v>0</v>
      </c>
      <c r="AO1427" s="88">
        <f>SUMIF(月間集計シート!$M$113:$M$132,$G1427,月間集計シート!Q$113:Q$132)*AO$2</f>
        <v>0</v>
      </c>
      <c r="AP1427" s="88">
        <f>SUMIF(月間集計シート!$M$113:$M$132,$G1427,月間集計シート!R$113:R$132)*AP$2</f>
        <v>0</v>
      </c>
      <c r="AQ1427" s="88">
        <f>SUMIF(月間集計シート!$M$113:$M$132,$G1427,月間集計シート!S$113:S$132)*AQ$2</f>
        <v>0</v>
      </c>
      <c r="AR1427" s="88">
        <f>SUMIF(月間集計シート!$M$113:$M$132,$G1427,月間集計シート!T$113:T$132)*AR$2</f>
        <v>0</v>
      </c>
      <c r="AS1427" s="88">
        <f>SUMIF(月間集計シート!$M$134:$M$153,$G1427,月間集計シート!N$134:N$153)*AS$2</f>
        <v>0</v>
      </c>
      <c r="AT1427" s="88">
        <f>SUMIF(月間集計シート!$M$134:$M$153,$G1427,月間集計シート!O$134:O$153)*AT$2</f>
        <v>0</v>
      </c>
      <c r="AU1427" s="88">
        <f>SUMIF(月間集計シート!$M$134:$M$153,$G1427,月間集計シート!P$134:P$153)*AU$2</f>
        <v>0</v>
      </c>
      <c r="AV1427" s="88">
        <f>SUMIF(月間集計シート!$M$134:$M$153,$G1427,月間集計シート!Q$134:Q$153)*AV$2</f>
        <v>0</v>
      </c>
      <c r="AW1427" s="88">
        <f>SUMIF(月間集計シート!$M$134:$M$153,$G1427,月間集計シート!R$134:R$153)*AW$2</f>
        <v>0</v>
      </c>
      <c r="AX1427" s="88">
        <f>SUMIF(月間集計シート!$M$134:$M$153,$G1427,月間集計シート!S$134:S$153)*AX$2</f>
        <v>0</v>
      </c>
      <c r="AY1427" s="88">
        <f>SUMIF(月間集計シート!$M$134:$M$153,$G1427,月間集計シート!T$134:T$153)*AY$2</f>
        <v>0</v>
      </c>
    </row>
    <row r="1428" spans="1:51" ht="14.25" thickBot="1">
      <c r="A1428">
        <v>17</v>
      </c>
      <c r="B1428" s="120">
        <f t="shared" si="782"/>
        <v>0</v>
      </c>
      <c r="C1428" s="120" t="str">
        <f t="shared" si="783"/>
        <v/>
      </c>
      <c r="D1428" s="137"/>
      <c r="E1428" s="150" t="str">
        <f>工種!A60</f>
        <v>80102</v>
      </c>
      <c r="F1428" s="119" t="str">
        <f>工種!B60</f>
        <v>保守／ｻﾎﾟｰﾄ：社内問い合わせ</v>
      </c>
      <c r="G1428" s="116" t="str">
        <f t="shared" si="784"/>
        <v>080102</v>
      </c>
      <c r="H1428" s="88">
        <f t="shared" si="738"/>
        <v>0</v>
      </c>
      <c r="I1428" s="132"/>
      <c r="J1428" s="88">
        <f>SUMIF(月間集計シート!$M$29:$M$48,$G1428,月間集計シート!N$29:N$48)*J$2</f>
        <v>0</v>
      </c>
      <c r="K1428" s="88">
        <f>SUMIF(月間集計シート!$M$29:$M$48,$G1428,月間集計シート!O$29:O$48)*K$2</f>
        <v>0</v>
      </c>
      <c r="L1428" s="88">
        <f>SUMIF(月間集計シート!$M$29:$M$48,$G1428,月間集計シート!P$29:P$48)*L$2</f>
        <v>0</v>
      </c>
      <c r="M1428" s="88">
        <f>SUMIF(月間集計シート!$M$29:$M$48,$G1428,月間集計シート!Q$29:Q$48)*M$2</f>
        <v>0</v>
      </c>
      <c r="N1428" s="88">
        <f>SUMIF(月間集計シート!$M$29:$M$48,$G1428,月間集計シート!R$29:R$48)*N$2</f>
        <v>0</v>
      </c>
      <c r="O1428" s="88">
        <f>SUMIF(月間集計シート!$M$29:$M$48,$G1428,月間集計シート!S$29:S$48)*O$2</f>
        <v>0</v>
      </c>
      <c r="P1428" s="88">
        <f>SUMIF(月間集計シート!$M$29:$M$48,$G1428,月間集計シート!T$29:T$48)*P$2</f>
        <v>0</v>
      </c>
      <c r="Q1428" s="88">
        <f>SUMIF(月間集計シート!$M$50:$M$69,$G1428,月間集計シート!N$50:N$69)*Q$2</f>
        <v>0</v>
      </c>
      <c r="R1428" s="88">
        <f>SUMIF(月間集計シート!$M$50:$M$69,$G1428,月間集計シート!O$50:O$69)*R$2</f>
        <v>0</v>
      </c>
      <c r="S1428" s="88">
        <f>SUMIF(月間集計シート!$M$50:$M$69,$G1428,月間集計シート!P$50:P$69)*S$2</f>
        <v>0</v>
      </c>
      <c r="T1428" s="88">
        <f>SUMIF(月間集計シート!$M$50:$M$69,$G1428,月間集計シート!Q$50:Q$69)*T$2</f>
        <v>0</v>
      </c>
      <c r="U1428" s="88">
        <f>SUMIF(月間集計シート!$M$50:$M$69,$G1428,月間集計シート!R$50:R$69)*U$2</f>
        <v>0</v>
      </c>
      <c r="V1428" s="88">
        <f>SUMIF(月間集計シート!$M$50:$M$69,$G1428,月間集計シート!S$50:S$69)*V$2</f>
        <v>0</v>
      </c>
      <c r="W1428" s="88">
        <f>SUMIF(月間集計シート!$M$50:$M$69,$G1428,月間集計シート!T$50:T$69)*W$2</f>
        <v>0</v>
      </c>
      <c r="X1428" s="88">
        <f>SUMIF(月間集計シート!$M$71:$M$90,$G1428,月間集計シート!N$71:N$90)*X$2</f>
        <v>0</v>
      </c>
      <c r="Y1428" s="88">
        <f>SUMIF(月間集計シート!$M$71:$M$90,$G1428,月間集計シート!O$71:O$90)*Y$2</f>
        <v>0</v>
      </c>
      <c r="Z1428" s="88">
        <f>SUMIF(月間集計シート!$M$71:$M$90,$G1428,月間集計シート!P$71:P$90)*Z$2</f>
        <v>0</v>
      </c>
      <c r="AA1428" s="88">
        <f>SUMIF(月間集計シート!$M$71:$M$90,$G1428,月間集計シート!Q$71:Q$90)*AA$2</f>
        <v>0</v>
      </c>
      <c r="AB1428" s="88">
        <f>SUMIF(月間集計シート!$M$71:$M$90,$G1428,月間集計シート!R$71:R$90)*AB$2</f>
        <v>0</v>
      </c>
      <c r="AC1428" s="88">
        <f>SUMIF(月間集計シート!$M$71:$M$90,$G1428,月間集計シート!S$71:S$90)*AC$2</f>
        <v>0</v>
      </c>
      <c r="AD1428" s="88">
        <f>SUMIF(月間集計シート!$M$71:$M$90,$G1428,月間集計シート!T$71:T$90)*AD$2</f>
        <v>0</v>
      </c>
      <c r="AE1428" s="88">
        <f>SUMIF(月間集計シート!$M$92:$M$111,$G1428,月間集計シート!N$92:N$111)*AE$2</f>
        <v>0</v>
      </c>
      <c r="AF1428" s="88">
        <f>SUMIF(月間集計シート!$M$92:$M$111,$G1428,月間集計シート!O$92:O$111)*AF$2</f>
        <v>0</v>
      </c>
      <c r="AG1428" s="88">
        <f>SUMIF(月間集計シート!$M$92:$M$111,$G1428,月間集計シート!P$92:P$111)*AG$2</f>
        <v>0</v>
      </c>
      <c r="AH1428" s="88">
        <f>SUMIF(月間集計シート!$M$92:$M$111,$G1428,月間集計シート!Q$92:Q$111)*AH$2</f>
        <v>0</v>
      </c>
      <c r="AI1428" s="88">
        <f>SUMIF(月間集計シート!$M$92:$M$111,$G1428,月間集計シート!R$92:R$111)*AI$2</f>
        <v>0</v>
      </c>
      <c r="AJ1428" s="88">
        <f>SUMIF(月間集計シート!$M$92:$M$111,$G1428,月間集計シート!S$92:S$111)*AJ$2</f>
        <v>0</v>
      </c>
      <c r="AK1428" s="88">
        <f>SUMIF(月間集計シート!$M$92:$M$111,$G1428,月間集計シート!T$92:T$111)*AK$2</f>
        <v>0</v>
      </c>
      <c r="AL1428" s="88">
        <f>SUMIF(月間集計シート!$M$113:$M$132,$G1428,月間集計シート!N$113:N$132)*AL$2</f>
        <v>0</v>
      </c>
      <c r="AM1428" s="88">
        <f>SUMIF(月間集計シート!$M$113:$M$132,$G1428,月間集計シート!O$113:O$132)*AM$2</f>
        <v>0</v>
      </c>
      <c r="AN1428" s="88">
        <f>SUMIF(月間集計シート!$M$113:$M$132,$G1428,月間集計シート!P$113:P$132)*AN$2</f>
        <v>0</v>
      </c>
      <c r="AO1428" s="88">
        <f>SUMIF(月間集計シート!$M$113:$M$132,$G1428,月間集計シート!Q$113:Q$132)*AO$2</f>
        <v>0</v>
      </c>
      <c r="AP1428" s="88">
        <f>SUMIF(月間集計シート!$M$113:$M$132,$G1428,月間集計シート!R$113:R$132)*AP$2</f>
        <v>0</v>
      </c>
      <c r="AQ1428" s="88">
        <f>SUMIF(月間集計シート!$M$113:$M$132,$G1428,月間集計シート!S$113:S$132)*AQ$2</f>
        <v>0</v>
      </c>
      <c r="AR1428" s="88">
        <f>SUMIF(月間集計シート!$M$113:$M$132,$G1428,月間集計シート!T$113:T$132)*AR$2</f>
        <v>0</v>
      </c>
      <c r="AS1428" s="88">
        <f>SUMIF(月間集計シート!$M$134:$M$153,$G1428,月間集計シート!N$134:N$153)*AS$2</f>
        <v>0</v>
      </c>
      <c r="AT1428" s="88">
        <f>SUMIF(月間集計シート!$M$134:$M$153,$G1428,月間集計シート!O$134:O$153)*AT$2</f>
        <v>0</v>
      </c>
      <c r="AU1428" s="88">
        <f>SUMIF(月間集計シート!$M$134:$M$153,$G1428,月間集計シート!P$134:P$153)*AU$2</f>
        <v>0</v>
      </c>
      <c r="AV1428" s="88">
        <f>SUMIF(月間集計シート!$M$134:$M$153,$G1428,月間集計シート!Q$134:Q$153)*AV$2</f>
        <v>0</v>
      </c>
      <c r="AW1428" s="88">
        <f>SUMIF(月間集計シート!$M$134:$M$153,$G1428,月間集計シート!R$134:R$153)*AW$2</f>
        <v>0</v>
      </c>
      <c r="AX1428" s="88">
        <f>SUMIF(月間集計シート!$M$134:$M$153,$G1428,月間集計シート!S$134:S$153)*AX$2</f>
        <v>0</v>
      </c>
      <c r="AY1428" s="88">
        <f>SUMIF(月間集計シート!$M$134:$M$153,$G1428,月間集計シート!T$134:T$153)*AY$2</f>
        <v>0</v>
      </c>
    </row>
    <row r="1429" spans="1:51" ht="14.25" thickBot="1">
      <c r="A1429">
        <v>17</v>
      </c>
      <c r="B1429" s="120">
        <f t="shared" si="782"/>
        <v>0</v>
      </c>
      <c r="C1429" s="120" t="str">
        <f t="shared" si="783"/>
        <v/>
      </c>
      <c r="D1429" s="137"/>
      <c r="E1429" s="150" t="str">
        <f>工種!A61</f>
        <v>80103</v>
      </c>
      <c r="F1429" s="119" t="str">
        <f>工種!B61</f>
        <v>保守／ｻﾎﾟｰﾄ：支社・他部門支援</v>
      </c>
      <c r="G1429" s="116" t="str">
        <f t="shared" si="784"/>
        <v>080103</v>
      </c>
      <c r="H1429" s="88">
        <f t="shared" si="738"/>
        <v>0</v>
      </c>
      <c r="I1429" s="132"/>
      <c r="J1429" s="88">
        <f>SUMIF(月間集計シート!$M$29:$M$48,$G1429,月間集計シート!N$29:N$48)*J$2</f>
        <v>0</v>
      </c>
      <c r="K1429" s="88">
        <f>SUMIF(月間集計シート!$M$29:$M$48,$G1429,月間集計シート!O$29:O$48)*K$2</f>
        <v>0</v>
      </c>
      <c r="L1429" s="88">
        <f>SUMIF(月間集計シート!$M$29:$M$48,$G1429,月間集計シート!P$29:P$48)*L$2</f>
        <v>0</v>
      </c>
      <c r="M1429" s="88">
        <f>SUMIF(月間集計シート!$M$29:$M$48,$G1429,月間集計シート!Q$29:Q$48)*M$2</f>
        <v>0</v>
      </c>
      <c r="N1429" s="88">
        <f>SUMIF(月間集計シート!$M$29:$M$48,$G1429,月間集計シート!R$29:R$48)*N$2</f>
        <v>0</v>
      </c>
      <c r="O1429" s="88">
        <f>SUMIF(月間集計シート!$M$29:$M$48,$G1429,月間集計シート!S$29:S$48)*O$2</f>
        <v>0</v>
      </c>
      <c r="P1429" s="88">
        <f>SUMIF(月間集計シート!$M$29:$M$48,$G1429,月間集計シート!T$29:T$48)*P$2</f>
        <v>0</v>
      </c>
      <c r="Q1429" s="88">
        <f>SUMIF(月間集計シート!$M$50:$M$69,$G1429,月間集計シート!N$50:N$69)*Q$2</f>
        <v>0</v>
      </c>
      <c r="R1429" s="88">
        <f>SUMIF(月間集計シート!$M$50:$M$69,$G1429,月間集計シート!O$50:O$69)*R$2</f>
        <v>0</v>
      </c>
      <c r="S1429" s="88">
        <f>SUMIF(月間集計シート!$M$50:$M$69,$G1429,月間集計シート!P$50:P$69)*S$2</f>
        <v>0</v>
      </c>
      <c r="T1429" s="88">
        <f>SUMIF(月間集計シート!$M$50:$M$69,$G1429,月間集計シート!Q$50:Q$69)*T$2</f>
        <v>0</v>
      </c>
      <c r="U1429" s="88">
        <f>SUMIF(月間集計シート!$M$50:$M$69,$G1429,月間集計シート!R$50:R$69)*U$2</f>
        <v>0</v>
      </c>
      <c r="V1429" s="88">
        <f>SUMIF(月間集計シート!$M$50:$M$69,$G1429,月間集計シート!S$50:S$69)*V$2</f>
        <v>0</v>
      </c>
      <c r="W1429" s="88">
        <f>SUMIF(月間集計シート!$M$50:$M$69,$G1429,月間集計シート!T$50:T$69)*W$2</f>
        <v>0</v>
      </c>
      <c r="X1429" s="88">
        <f>SUMIF(月間集計シート!$M$71:$M$90,$G1429,月間集計シート!N$71:N$90)*X$2</f>
        <v>0</v>
      </c>
      <c r="Y1429" s="88">
        <f>SUMIF(月間集計シート!$M$71:$M$90,$G1429,月間集計シート!O$71:O$90)*Y$2</f>
        <v>0</v>
      </c>
      <c r="Z1429" s="88">
        <f>SUMIF(月間集計シート!$M$71:$M$90,$G1429,月間集計シート!P$71:P$90)*Z$2</f>
        <v>0</v>
      </c>
      <c r="AA1429" s="88">
        <f>SUMIF(月間集計シート!$M$71:$M$90,$G1429,月間集計シート!Q$71:Q$90)*AA$2</f>
        <v>0</v>
      </c>
      <c r="AB1429" s="88">
        <f>SUMIF(月間集計シート!$M$71:$M$90,$G1429,月間集計シート!R$71:R$90)*AB$2</f>
        <v>0</v>
      </c>
      <c r="AC1429" s="88">
        <f>SUMIF(月間集計シート!$M$71:$M$90,$G1429,月間集計シート!S$71:S$90)*AC$2</f>
        <v>0</v>
      </c>
      <c r="AD1429" s="88">
        <f>SUMIF(月間集計シート!$M$71:$M$90,$G1429,月間集計シート!T$71:T$90)*AD$2</f>
        <v>0</v>
      </c>
      <c r="AE1429" s="88">
        <f>SUMIF(月間集計シート!$M$92:$M$111,$G1429,月間集計シート!N$92:N$111)*AE$2</f>
        <v>0</v>
      </c>
      <c r="AF1429" s="88">
        <f>SUMIF(月間集計シート!$M$92:$M$111,$G1429,月間集計シート!O$92:O$111)*AF$2</f>
        <v>0</v>
      </c>
      <c r="AG1429" s="88">
        <f>SUMIF(月間集計シート!$M$92:$M$111,$G1429,月間集計シート!P$92:P$111)*AG$2</f>
        <v>0</v>
      </c>
      <c r="AH1429" s="88">
        <f>SUMIF(月間集計シート!$M$92:$M$111,$G1429,月間集計シート!Q$92:Q$111)*AH$2</f>
        <v>0</v>
      </c>
      <c r="AI1429" s="88">
        <f>SUMIF(月間集計シート!$M$92:$M$111,$G1429,月間集計シート!R$92:R$111)*AI$2</f>
        <v>0</v>
      </c>
      <c r="AJ1429" s="88">
        <f>SUMIF(月間集計シート!$M$92:$M$111,$G1429,月間集計シート!S$92:S$111)*AJ$2</f>
        <v>0</v>
      </c>
      <c r="AK1429" s="88">
        <f>SUMIF(月間集計シート!$M$92:$M$111,$G1429,月間集計シート!T$92:T$111)*AK$2</f>
        <v>0</v>
      </c>
      <c r="AL1429" s="88">
        <f>SUMIF(月間集計シート!$M$113:$M$132,$G1429,月間集計シート!N$113:N$132)*AL$2</f>
        <v>0</v>
      </c>
      <c r="AM1429" s="88">
        <f>SUMIF(月間集計シート!$M$113:$M$132,$G1429,月間集計シート!O$113:O$132)*AM$2</f>
        <v>0</v>
      </c>
      <c r="AN1429" s="88">
        <f>SUMIF(月間集計シート!$M$113:$M$132,$G1429,月間集計シート!P$113:P$132)*AN$2</f>
        <v>0</v>
      </c>
      <c r="AO1429" s="88">
        <f>SUMIF(月間集計シート!$M$113:$M$132,$G1429,月間集計シート!Q$113:Q$132)*AO$2</f>
        <v>0</v>
      </c>
      <c r="AP1429" s="88">
        <f>SUMIF(月間集計シート!$M$113:$M$132,$G1429,月間集計シート!R$113:R$132)*AP$2</f>
        <v>0</v>
      </c>
      <c r="AQ1429" s="88">
        <f>SUMIF(月間集計シート!$M$113:$M$132,$G1429,月間集計シート!S$113:S$132)*AQ$2</f>
        <v>0</v>
      </c>
      <c r="AR1429" s="88">
        <f>SUMIF(月間集計シート!$M$113:$M$132,$G1429,月間集計シート!T$113:T$132)*AR$2</f>
        <v>0</v>
      </c>
      <c r="AS1429" s="88">
        <f>SUMIF(月間集計シート!$M$134:$M$153,$G1429,月間集計シート!N$134:N$153)*AS$2</f>
        <v>0</v>
      </c>
      <c r="AT1429" s="88">
        <f>SUMIF(月間集計シート!$M$134:$M$153,$G1429,月間集計シート!O$134:O$153)*AT$2</f>
        <v>0</v>
      </c>
      <c r="AU1429" s="88">
        <f>SUMIF(月間集計シート!$M$134:$M$153,$G1429,月間集計シート!P$134:P$153)*AU$2</f>
        <v>0</v>
      </c>
      <c r="AV1429" s="88">
        <f>SUMIF(月間集計シート!$M$134:$M$153,$G1429,月間集計シート!Q$134:Q$153)*AV$2</f>
        <v>0</v>
      </c>
      <c r="AW1429" s="88">
        <f>SUMIF(月間集計シート!$M$134:$M$153,$G1429,月間集計シート!R$134:R$153)*AW$2</f>
        <v>0</v>
      </c>
      <c r="AX1429" s="88">
        <f>SUMIF(月間集計シート!$M$134:$M$153,$G1429,月間集計シート!S$134:S$153)*AX$2</f>
        <v>0</v>
      </c>
      <c r="AY1429" s="88">
        <f>SUMIF(月間集計シート!$M$134:$M$153,$G1429,月間集計シート!T$134:T$153)*AY$2</f>
        <v>0</v>
      </c>
    </row>
    <row r="1430" spans="1:51" ht="14.25" thickBot="1">
      <c r="A1430">
        <v>17</v>
      </c>
      <c r="B1430" s="120">
        <f t="shared" si="782"/>
        <v>0</v>
      </c>
      <c r="C1430" s="120" t="str">
        <f t="shared" si="783"/>
        <v/>
      </c>
      <c r="D1430" s="137"/>
      <c r="E1430" s="150" t="str">
        <f>工種!A62</f>
        <v>80104</v>
      </c>
      <c r="F1430" s="119" t="str">
        <f>工種!B62</f>
        <v>保守／ｻﾎﾟｰﾄ：連絡文書作成・更新</v>
      </c>
      <c r="G1430" s="116" t="str">
        <f t="shared" si="784"/>
        <v>080104</v>
      </c>
      <c r="H1430" s="88">
        <f t="shared" si="738"/>
        <v>0</v>
      </c>
      <c r="I1430" s="132"/>
      <c r="J1430" s="88">
        <f>SUMIF(月間集計シート!$M$29:$M$48,$G1430,月間集計シート!N$29:N$48)*J$2</f>
        <v>0</v>
      </c>
      <c r="K1430" s="88">
        <f>SUMIF(月間集計シート!$M$29:$M$48,$G1430,月間集計シート!O$29:O$48)*K$2</f>
        <v>0</v>
      </c>
      <c r="L1430" s="88">
        <f>SUMIF(月間集計シート!$M$29:$M$48,$G1430,月間集計シート!P$29:P$48)*L$2</f>
        <v>0</v>
      </c>
      <c r="M1430" s="88">
        <f>SUMIF(月間集計シート!$M$29:$M$48,$G1430,月間集計シート!Q$29:Q$48)*M$2</f>
        <v>0</v>
      </c>
      <c r="N1430" s="88">
        <f>SUMIF(月間集計シート!$M$29:$M$48,$G1430,月間集計シート!R$29:R$48)*N$2</f>
        <v>0</v>
      </c>
      <c r="O1430" s="88">
        <f>SUMIF(月間集計シート!$M$29:$M$48,$G1430,月間集計シート!S$29:S$48)*O$2</f>
        <v>0</v>
      </c>
      <c r="P1430" s="88">
        <f>SUMIF(月間集計シート!$M$29:$M$48,$G1430,月間集計シート!T$29:T$48)*P$2</f>
        <v>0</v>
      </c>
      <c r="Q1430" s="88">
        <f>SUMIF(月間集計シート!$M$50:$M$69,$G1430,月間集計シート!N$50:N$69)*Q$2</f>
        <v>0</v>
      </c>
      <c r="R1430" s="88">
        <f>SUMIF(月間集計シート!$M$50:$M$69,$G1430,月間集計シート!O$50:O$69)*R$2</f>
        <v>0</v>
      </c>
      <c r="S1430" s="88">
        <f>SUMIF(月間集計シート!$M$50:$M$69,$G1430,月間集計シート!P$50:P$69)*S$2</f>
        <v>0</v>
      </c>
      <c r="T1430" s="88">
        <f>SUMIF(月間集計シート!$M$50:$M$69,$G1430,月間集計シート!Q$50:Q$69)*T$2</f>
        <v>0</v>
      </c>
      <c r="U1430" s="88">
        <f>SUMIF(月間集計シート!$M$50:$M$69,$G1430,月間集計シート!R$50:R$69)*U$2</f>
        <v>0</v>
      </c>
      <c r="V1430" s="88">
        <f>SUMIF(月間集計シート!$M$50:$M$69,$G1430,月間集計シート!S$50:S$69)*V$2</f>
        <v>0</v>
      </c>
      <c r="W1430" s="88">
        <f>SUMIF(月間集計シート!$M$50:$M$69,$G1430,月間集計シート!T$50:T$69)*W$2</f>
        <v>0</v>
      </c>
      <c r="X1430" s="88">
        <f>SUMIF(月間集計シート!$M$71:$M$90,$G1430,月間集計シート!N$71:N$90)*X$2</f>
        <v>0</v>
      </c>
      <c r="Y1430" s="88">
        <f>SUMIF(月間集計シート!$M$71:$M$90,$G1430,月間集計シート!O$71:O$90)*Y$2</f>
        <v>0</v>
      </c>
      <c r="Z1430" s="88">
        <f>SUMIF(月間集計シート!$M$71:$M$90,$G1430,月間集計シート!P$71:P$90)*Z$2</f>
        <v>0</v>
      </c>
      <c r="AA1430" s="88">
        <f>SUMIF(月間集計シート!$M$71:$M$90,$G1430,月間集計シート!Q$71:Q$90)*AA$2</f>
        <v>0</v>
      </c>
      <c r="AB1430" s="88">
        <f>SUMIF(月間集計シート!$M$71:$M$90,$G1430,月間集計シート!R$71:R$90)*AB$2</f>
        <v>0</v>
      </c>
      <c r="AC1430" s="88">
        <f>SUMIF(月間集計シート!$M$71:$M$90,$G1430,月間集計シート!S$71:S$90)*AC$2</f>
        <v>0</v>
      </c>
      <c r="AD1430" s="88">
        <f>SUMIF(月間集計シート!$M$71:$M$90,$G1430,月間集計シート!T$71:T$90)*AD$2</f>
        <v>0</v>
      </c>
      <c r="AE1430" s="88">
        <f>SUMIF(月間集計シート!$M$92:$M$111,$G1430,月間集計シート!N$92:N$111)*AE$2</f>
        <v>0</v>
      </c>
      <c r="AF1430" s="88">
        <f>SUMIF(月間集計シート!$M$92:$M$111,$G1430,月間集計シート!O$92:O$111)*AF$2</f>
        <v>0</v>
      </c>
      <c r="AG1430" s="88">
        <f>SUMIF(月間集計シート!$M$92:$M$111,$G1430,月間集計シート!P$92:P$111)*AG$2</f>
        <v>0</v>
      </c>
      <c r="AH1430" s="88">
        <f>SUMIF(月間集計シート!$M$92:$M$111,$G1430,月間集計シート!Q$92:Q$111)*AH$2</f>
        <v>0</v>
      </c>
      <c r="AI1430" s="88">
        <f>SUMIF(月間集計シート!$M$92:$M$111,$G1430,月間集計シート!R$92:R$111)*AI$2</f>
        <v>0</v>
      </c>
      <c r="AJ1430" s="88">
        <f>SUMIF(月間集計シート!$M$92:$M$111,$G1430,月間集計シート!S$92:S$111)*AJ$2</f>
        <v>0</v>
      </c>
      <c r="AK1430" s="88">
        <f>SUMIF(月間集計シート!$M$92:$M$111,$G1430,月間集計シート!T$92:T$111)*AK$2</f>
        <v>0</v>
      </c>
      <c r="AL1430" s="88">
        <f>SUMIF(月間集計シート!$M$113:$M$132,$G1430,月間集計シート!N$113:N$132)*AL$2</f>
        <v>0</v>
      </c>
      <c r="AM1430" s="88">
        <f>SUMIF(月間集計シート!$M$113:$M$132,$G1430,月間集計シート!O$113:O$132)*AM$2</f>
        <v>0</v>
      </c>
      <c r="AN1430" s="88">
        <f>SUMIF(月間集計シート!$M$113:$M$132,$G1430,月間集計シート!P$113:P$132)*AN$2</f>
        <v>0</v>
      </c>
      <c r="AO1430" s="88">
        <f>SUMIF(月間集計シート!$M$113:$M$132,$G1430,月間集計シート!Q$113:Q$132)*AO$2</f>
        <v>0</v>
      </c>
      <c r="AP1430" s="88">
        <f>SUMIF(月間集計シート!$M$113:$M$132,$G1430,月間集計シート!R$113:R$132)*AP$2</f>
        <v>0</v>
      </c>
      <c r="AQ1430" s="88">
        <f>SUMIF(月間集計シート!$M$113:$M$132,$G1430,月間集計シート!S$113:S$132)*AQ$2</f>
        <v>0</v>
      </c>
      <c r="AR1430" s="88">
        <f>SUMIF(月間集計シート!$M$113:$M$132,$G1430,月間集計シート!T$113:T$132)*AR$2</f>
        <v>0</v>
      </c>
      <c r="AS1430" s="88">
        <f>SUMIF(月間集計シート!$M$134:$M$153,$G1430,月間集計シート!N$134:N$153)*AS$2</f>
        <v>0</v>
      </c>
      <c r="AT1430" s="88">
        <f>SUMIF(月間集計シート!$M$134:$M$153,$G1430,月間集計シート!O$134:O$153)*AT$2</f>
        <v>0</v>
      </c>
      <c r="AU1430" s="88">
        <f>SUMIF(月間集計シート!$M$134:$M$153,$G1430,月間集計シート!P$134:P$153)*AU$2</f>
        <v>0</v>
      </c>
      <c r="AV1430" s="88">
        <f>SUMIF(月間集計シート!$M$134:$M$153,$G1430,月間集計シート!Q$134:Q$153)*AV$2</f>
        <v>0</v>
      </c>
      <c r="AW1430" s="88">
        <f>SUMIF(月間集計シート!$M$134:$M$153,$G1430,月間集計シート!R$134:R$153)*AW$2</f>
        <v>0</v>
      </c>
      <c r="AX1430" s="88">
        <f>SUMIF(月間集計シート!$M$134:$M$153,$G1430,月間集計シート!S$134:S$153)*AX$2</f>
        <v>0</v>
      </c>
      <c r="AY1430" s="88">
        <f>SUMIF(月間集計シート!$M$134:$M$153,$G1430,月間集計シート!T$134:T$153)*AY$2</f>
        <v>0</v>
      </c>
    </row>
    <row r="1431" spans="1:51" ht="14.25" thickBot="1">
      <c r="A1431">
        <v>17</v>
      </c>
      <c r="B1431" s="120">
        <f t="shared" si="782"/>
        <v>0</v>
      </c>
      <c r="C1431" s="120" t="str">
        <f t="shared" si="783"/>
        <v/>
      </c>
      <c r="D1431" s="137"/>
      <c r="E1431" s="150" t="str">
        <f>工種!A63</f>
        <v>80105</v>
      </c>
      <c r="F1431" s="119" t="str">
        <f>工種!B63</f>
        <v>保守／ｻﾎﾟｰﾄ：ｲﾝﾄﾗ資料更新</v>
      </c>
      <c r="G1431" s="116" t="str">
        <f t="shared" ref="G1431:G1448" si="785">B1431&amp;E1431</f>
        <v>080105</v>
      </c>
      <c r="H1431" s="88">
        <f t="shared" ref="H1431:H1432" si="786">SUM(J1431:AY1431)</f>
        <v>0</v>
      </c>
      <c r="I1431" s="132"/>
      <c r="J1431" s="88">
        <f>SUMIF(月間集計シート!$M$29:$M$48,$G1431,月間集計シート!N$29:N$48)*J$2</f>
        <v>0</v>
      </c>
      <c r="K1431" s="88">
        <f>SUMIF(月間集計シート!$M$29:$M$48,$G1431,月間集計シート!O$29:O$48)*K$2</f>
        <v>0</v>
      </c>
      <c r="L1431" s="88">
        <f>SUMIF(月間集計シート!$M$29:$M$48,$G1431,月間集計シート!P$29:P$48)*L$2</f>
        <v>0</v>
      </c>
      <c r="M1431" s="88">
        <f>SUMIF(月間集計シート!$M$29:$M$48,$G1431,月間集計シート!Q$29:Q$48)*M$2</f>
        <v>0</v>
      </c>
      <c r="N1431" s="88">
        <f>SUMIF(月間集計シート!$M$29:$M$48,$G1431,月間集計シート!R$29:R$48)*N$2</f>
        <v>0</v>
      </c>
      <c r="O1431" s="88">
        <f>SUMIF(月間集計シート!$M$29:$M$48,$G1431,月間集計シート!S$29:S$48)*O$2</f>
        <v>0</v>
      </c>
      <c r="P1431" s="88">
        <f>SUMIF(月間集計シート!$M$29:$M$48,$G1431,月間集計シート!T$29:T$48)*P$2</f>
        <v>0</v>
      </c>
      <c r="Q1431" s="88">
        <f>SUMIF(月間集計シート!$M$50:$M$69,$G1431,月間集計シート!N$50:N$69)*Q$2</f>
        <v>0</v>
      </c>
      <c r="R1431" s="88">
        <f>SUMIF(月間集計シート!$M$50:$M$69,$G1431,月間集計シート!O$50:O$69)*R$2</f>
        <v>0</v>
      </c>
      <c r="S1431" s="88">
        <f>SUMIF(月間集計シート!$M$50:$M$69,$G1431,月間集計シート!P$50:P$69)*S$2</f>
        <v>0</v>
      </c>
      <c r="T1431" s="88">
        <f>SUMIF(月間集計シート!$M$50:$M$69,$G1431,月間集計シート!Q$50:Q$69)*T$2</f>
        <v>0</v>
      </c>
      <c r="U1431" s="88">
        <f>SUMIF(月間集計シート!$M$50:$M$69,$G1431,月間集計シート!R$50:R$69)*U$2</f>
        <v>0</v>
      </c>
      <c r="V1431" s="88">
        <f>SUMIF(月間集計シート!$M$50:$M$69,$G1431,月間集計シート!S$50:S$69)*V$2</f>
        <v>0</v>
      </c>
      <c r="W1431" s="88">
        <f>SUMIF(月間集計シート!$M$50:$M$69,$G1431,月間集計シート!T$50:T$69)*W$2</f>
        <v>0</v>
      </c>
      <c r="X1431" s="88">
        <f>SUMIF(月間集計シート!$M$71:$M$90,$G1431,月間集計シート!N$71:N$90)*X$2</f>
        <v>0</v>
      </c>
      <c r="Y1431" s="88">
        <f>SUMIF(月間集計シート!$M$71:$M$90,$G1431,月間集計シート!O$71:O$90)*Y$2</f>
        <v>0</v>
      </c>
      <c r="Z1431" s="88">
        <f>SUMIF(月間集計シート!$M$71:$M$90,$G1431,月間集計シート!P$71:P$90)*Z$2</f>
        <v>0</v>
      </c>
      <c r="AA1431" s="88">
        <f>SUMIF(月間集計シート!$M$71:$M$90,$G1431,月間集計シート!Q$71:Q$90)*AA$2</f>
        <v>0</v>
      </c>
      <c r="AB1431" s="88">
        <f>SUMIF(月間集計シート!$M$71:$M$90,$G1431,月間集計シート!R$71:R$90)*AB$2</f>
        <v>0</v>
      </c>
      <c r="AC1431" s="88">
        <f>SUMIF(月間集計シート!$M$71:$M$90,$G1431,月間集計シート!S$71:S$90)*AC$2</f>
        <v>0</v>
      </c>
      <c r="AD1431" s="88">
        <f>SUMIF(月間集計シート!$M$71:$M$90,$G1431,月間集計シート!T$71:T$90)*AD$2</f>
        <v>0</v>
      </c>
      <c r="AE1431" s="88">
        <f>SUMIF(月間集計シート!$M$92:$M$111,$G1431,月間集計シート!N$92:N$111)*AE$2</f>
        <v>0</v>
      </c>
      <c r="AF1431" s="88">
        <f>SUMIF(月間集計シート!$M$92:$M$111,$G1431,月間集計シート!O$92:O$111)*AF$2</f>
        <v>0</v>
      </c>
      <c r="AG1431" s="88">
        <f>SUMIF(月間集計シート!$M$92:$M$111,$G1431,月間集計シート!P$92:P$111)*AG$2</f>
        <v>0</v>
      </c>
      <c r="AH1431" s="88">
        <f>SUMIF(月間集計シート!$M$92:$M$111,$G1431,月間集計シート!Q$92:Q$111)*AH$2</f>
        <v>0</v>
      </c>
      <c r="AI1431" s="88">
        <f>SUMIF(月間集計シート!$M$92:$M$111,$G1431,月間集計シート!R$92:R$111)*AI$2</f>
        <v>0</v>
      </c>
      <c r="AJ1431" s="88">
        <f>SUMIF(月間集計シート!$M$92:$M$111,$G1431,月間集計シート!S$92:S$111)*AJ$2</f>
        <v>0</v>
      </c>
      <c r="AK1431" s="88">
        <f>SUMIF(月間集計シート!$M$92:$M$111,$G1431,月間集計シート!T$92:T$111)*AK$2</f>
        <v>0</v>
      </c>
      <c r="AL1431" s="88">
        <f>SUMIF(月間集計シート!$M$113:$M$132,$G1431,月間集計シート!N$113:N$132)*AL$2</f>
        <v>0</v>
      </c>
      <c r="AM1431" s="88">
        <f>SUMIF(月間集計シート!$M$113:$M$132,$G1431,月間集計シート!O$113:O$132)*AM$2</f>
        <v>0</v>
      </c>
      <c r="AN1431" s="88">
        <f>SUMIF(月間集計シート!$M$113:$M$132,$G1431,月間集計シート!P$113:P$132)*AN$2</f>
        <v>0</v>
      </c>
      <c r="AO1431" s="88">
        <f>SUMIF(月間集計シート!$M$113:$M$132,$G1431,月間集計シート!Q$113:Q$132)*AO$2</f>
        <v>0</v>
      </c>
      <c r="AP1431" s="88">
        <f>SUMIF(月間集計シート!$M$113:$M$132,$G1431,月間集計シート!R$113:R$132)*AP$2</f>
        <v>0</v>
      </c>
      <c r="AQ1431" s="88">
        <f>SUMIF(月間集計シート!$M$113:$M$132,$G1431,月間集計シート!S$113:S$132)*AQ$2</f>
        <v>0</v>
      </c>
      <c r="AR1431" s="88">
        <f>SUMIF(月間集計シート!$M$113:$M$132,$G1431,月間集計シート!T$113:T$132)*AR$2</f>
        <v>0</v>
      </c>
      <c r="AS1431" s="88">
        <f>SUMIF(月間集計シート!$M$134:$M$153,$G1431,月間集計シート!N$134:N$153)*AS$2</f>
        <v>0</v>
      </c>
      <c r="AT1431" s="88">
        <f>SUMIF(月間集計シート!$M$134:$M$153,$G1431,月間集計シート!O$134:O$153)*AT$2</f>
        <v>0</v>
      </c>
      <c r="AU1431" s="88">
        <f>SUMIF(月間集計シート!$M$134:$M$153,$G1431,月間集計シート!P$134:P$153)*AU$2</f>
        <v>0</v>
      </c>
      <c r="AV1431" s="88">
        <f>SUMIF(月間集計シート!$M$134:$M$153,$G1431,月間集計シート!Q$134:Q$153)*AV$2</f>
        <v>0</v>
      </c>
      <c r="AW1431" s="88">
        <f>SUMIF(月間集計シート!$M$134:$M$153,$G1431,月間集計シート!R$134:R$153)*AW$2</f>
        <v>0</v>
      </c>
      <c r="AX1431" s="88">
        <f>SUMIF(月間集計シート!$M$134:$M$153,$G1431,月間集計シート!S$134:S$153)*AX$2</f>
        <v>0</v>
      </c>
      <c r="AY1431" s="88">
        <f>SUMIF(月間集計シート!$M$134:$M$153,$G1431,月間集計シート!T$134:T$153)*AY$2</f>
        <v>0</v>
      </c>
    </row>
    <row r="1432" spans="1:51" ht="14.25" thickBot="1">
      <c r="A1432">
        <v>17</v>
      </c>
      <c r="B1432" s="120">
        <f t="shared" si="782"/>
        <v>0</v>
      </c>
      <c r="C1432" s="120" t="str">
        <f t="shared" si="783"/>
        <v/>
      </c>
      <c r="D1432" s="137"/>
      <c r="E1432" s="150" t="str">
        <f>工種!A64</f>
        <v>80106</v>
      </c>
      <c r="F1432" s="119" t="str">
        <f>工種!B64</f>
        <v>保守／ｻﾎﾟｰﾄ：打合せ</v>
      </c>
      <c r="G1432" s="116" t="str">
        <f t="shared" si="785"/>
        <v>080106</v>
      </c>
      <c r="H1432" s="88">
        <f t="shared" si="786"/>
        <v>0</v>
      </c>
      <c r="I1432" s="132"/>
      <c r="J1432" s="88">
        <f>SUMIF(月間集計シート!$M$29:$M$48,$G1432,月間集計シート!N$29:N$48)*J$2</f>
        <v>0</v>
      </c>
      <c r="K1432" s="88">
        <f>SUMIF(月間集計シート!$M$29:$M$48,$G1432,月間集計シート!O$29:O$48)*K$2</f>
        <v>0</v>
      </c>
      <c r="L1432" s="88">
        <f>SUMIF(月間集計シート!$M$29:$M$48,$G1432,月間集計シート!P$29:P$48)*L$2</f>
        <v>0</v>
      </c>
      <c r="M1432" s="88">
        <f>SUMIF(月間集計シート!$M$29:$M$48,$G1432,月間集計シート!Q$29:Q$48)*M$2</f>
        <v>0</v>
      </c>
      <c r="N1432" s="88">
        <f>SUMIF(月間集計シート!$M$29:$M$48,$G1432,月間集計シート!R$29:R$48)*N$2</f>
        <v>0</v>
      </c>
      <c r="O1432" s="88">
        <f>SUMIF(月間集計シート!$M$29:$M$48,$G1432,月間集計シート!S$29:S$48)*O$2</f>
        <v>0</v>
      </c>
      <c r="P1432" s="88">
        <f>SUMIF(月間集計シート!$M$29:$M$48,$G1432,月間集計シート!T$29:T$48)*P$2</f>
        <v>0</v>
      </c>
      <c r="Q1432" s="88">
        <f>SUMIF(月間集計シート!$M$50:$M$69,$G1432,月間集計シート!N$50:N$69)*Q$2</f>
        <v>0</v>
      </c>
      <c r="R1432" s="88">
        <f>SUMIF(月間集計シート!$M$50:$M$69,$G1432,月間集計シート!O$50:O$69)*R$2</f>
        <v>0</v>
      </c>
      <c r="S1432" s="88">
        <f>SUMIF(月間集計シート!$M$50:$M$69,$G1432,月間集計シート!P$50:P$69)*S$2</f>
        <v>0</v>
      </c>
      <c r="T1432" s="88">
        <f>SUMIF(月間集計シート!$M$50:$M$69,$G1432,月間集計シート!Q$50:Q$69)*T$2</f>
        <v>0</v>
      </c>
      <c r="U1432" s="88">
        <f>SUMIF(月間集計シート!$M$50:$M$69,$G1432,月間集計シート!R$50:R$69)*U$2</f>
        <v>0</v>
      </c>
      <c r="V1432" s="88">
        <f>SUMIF(月間集計シート!$M$50:$M$69,$G1432,月間集計シート!S$50:S$69)*V$2</f>
        <v>0</v>
      </c>
      <c r="W1432" s="88">
        <f>SUMIF(月間集計シート!$M$50:$M$69,$G1432,月間集計シート!T$50:T$69)*W$2</f>
        <v>0</v>
      </c>
      <c r="X1432" s="88">
        <f>SUMIF(月間集計シート!$M$71:$M$90,$G1432,月間集計シート!N$71:N$90)*X$2</f>
        <v>0</v>
      </c>
      <c r="Y1432" s="88">
        <f>SUMIF(月間集計シート!$M$71:$M$90,$G1432,月間集計シート!O$71:O$90)*Y$2</f>
        <v>0</v>
      </c>
      <c r="Z1432" s="88">
        <f>SUMIF(月間集計シート!$M$71:$M$90,$G1432,月間集計シート!P$71:P$90)*Z$2</f>
        <v>0</v>
      </c>
      <c r="AA1432" s="88">
        <f>SUMIF(月間集計シート!$M$71:$M$90,$G1432,月間集計シート!Q$71:Q$90)*AA$2</f>
        <v>0</v>
      </c>
      <c r="AB1432" s="88">
        <f>SUMIF(月間集計シート!$M$71:$M$90,$G1432,月間集計シート!R$71:R$90)*AB$2</f>
        <v>0</v>
      </c>
      <c r="AC1432" s="88">
        <f>SUMIF(月間集計シート!$M$71:$M$90,$G1432,月間集計シート!S$71:S$90)*AC$2</f>
        <v>0</v>
      </c>
      <c r="AD1432" s="88">
        <f>SUMIF(月間集計シート!$M$71:$M$90,$G1432,月間集計シート!T$71:T$90)*AD$2</f>
        <v>0</v>
      </c>
      <c r="AE1432" s="88">
        <f>SUMIF(月間集計シート!$M$92:$M$111,$G1432,月間集計シート!N$92:N$111)*AE$2</f>
        <v>0</v>
      </c>
      <c r="AF1432" s="88">
        <f>SUMIF(月間集計シート!$M$92:$M$111,$G1432,月間集計シート!O$92:O$111)*AF$2</f>
        <v>0</v>
      </c>
      <c r="AG1432" s="88">
        <f>SUMIF(月間集計シート!$M$92:$M$111,$G1432,月間集計シート!P$92:P$111)*AG$2</f>
        <v>0</v>
      </c>
      <c r="AH1432" s="88">
        <f>SUMIF(月間集計シート!$M$92:$M$111,$G1432,月間集計シート!Q$92:Q$111)*AH$2</f>
        <v>0</v>
      </c>
      <c r="AI1432" s="88">
        <f>SUMIF(月間集計シート!$M$92:$M$111,$G1432,月間集計シート!R$92:R$111)*AI$2</f>
        <v>0</v>
      </c>
      <c r="AJ1432" s="88">
        <f>SUMIF(月間集計シート!$M$92:$M$111,$G1432,月間集計シート!S$92:S$111)*AJ$2</f>
        <v>0</v>
      </c>
      <c r="AK1432" s="88">
        <f>SUMIF(月間集計シート!$M$92:$M$111,$G1432,月間集計シート!T$92:T$111)*AK$2</f>
        <v>0</v>
      </c>
      <c r="AL1432" s="88">
        <f>SUMIF(月間集計シート!$M$113:$M$132,$G1432,月間集計シート!N$113:N$132)*AL$2</f>
        <v>0</v>
      </c>
      <c r="AM1432" s="88">
        <f>SUMIF(月間集計シート!$M$113:$M$132,$G1432,月間集計シート!O$113:O$132)*AM$2</f>
        <v>0</v>
      </c>
      <c r="AN1432" s="88">
        <f>SUMIF(月間集計シート!$M$113:$M$132,$G1432,月間集計シート!P$113:P$132)*AN$2</f>
        <v>0</v>
      </c>
      <c r="AO1432" s="88">
        <f>SUMIF(月間集計シート!$M$113:$M$132,$G1432,月間集計シート!Q$113:Q$132)*AO$2</f>
        <v>0</v>
      </c>
      <c r="AP1432" s="88">
        <f>SUMIF(月間集計シート!$M$113:$M$132,$G1432,月間集計シート!R$113:R$132)*AP$2</f>
        <v>0</v>
      </c>
      <c r="AQ1432" s="88">
        <f>SUMIF(月間集計シート!$M$113:$M$132,$G1432,月間集計シート!S$113:S$132)*AQ$2</f>
        <v>0</v>
      </c>
      <c r="AR1432" s="88">
        <f>SUMIF(月間集計シート!$M$113:$M$132,$G1432,月間集計シート!T$113:T$132)*AR$2</f>
        <v>0</v>
      </c>
      <c r="AS1432" s="88">
        <f>SUMIF(月間集計シート!$M$134:$M$153,$G1432,月間集計シート!N$134:N$153)*AS$2</f>
        <v>0</v>
      </c>
      <c r="AT1432" s="88">
        <f>SUMIF(月間集計シート!$M$134:$M$153,$G1432,月間集計シート!O$134:O$153)*AT$2</f>
        <v>0</v>
      </c>
      <c r="AU1432" s="88">
        <f>SUMIF(月間集計シート!$M$134:$M$153,$G1432,月間集計シート!P$134:P$153)*AU$2</f>
        <v>0</v>
      </c>
      <c r="AV1432" s="88">
        <f>SUMIF(月間集計シート!$M$134:$M$153,$G1432,月間集計シート!Q$134:Q$153)*AV$2</f>
        <v>0</v>
      </c>
      <c r="AW1432" s="88">
        <f>SUMIF(月間集計シート!$M$134:$M$153,$G1432,月間集計シート!R$134:R$153)*AW$2</f>
        <v>0</v>
      </c>
      <c r="AX1432" s="88">
        <f>SUMIF(月間集計シート!$M$134:$M$153,$G1432,月間集計シート!S$134:S$153)*AX$2</f>
        <v>0</v>
      </c>
      <c r="AY1432" s="88">
        <f>SUMIF(月間集計シート!$M$134:$M$153,$G1432,月間集計シート!T$134:T$153)*AY$2</f>
        <v>0</v>
      </c>
    </row>
    <row r="1433" spans="1:51" ht="14.25" thickBot="1">
      <c r="A1433">
        <v>17</v>
      </c>
      <c r="B1433" s="120">
        <f t="shared" si="782"/>
        <v>0</v>
      </c>
      <c r="C1433" s="120" t="str">
        <f t="shared" si="783"/>
        <v/>
      </c>
      <c r="D1433" s="137"/>
      <c r="E1433" s="150" t="str">
        <f>工種!A65</f>
        <v>80107</v>
      </c>
      <c r="F1433" s="119" t="str">
        <f>工種!B65</f>
        <v>保守／ｻﾎﾟｰﾄ：ﾚﾋﾞｭｰ</v>
      </c>
      <c r="G1433" s="116" t="str">
        <f t="shared" si="785"/>
        <v>080107</v>
      </c>
      <c r="H1433" s="88">
        <f t="shared" ref="H1433:H1448" si="787">SUM(J1433:AY1433)</f>
        <v>0</v>
      </c>
      <c r="I1433" s="132"/>
      <c r="J1433" s="88">
        <f>SUMIF(月間集計シート!$M$29:$M$48,$G1433,月間集計シート!N$29:N$48)*J$2</f>
        <v>0</v>
      </c>
      <c r="K1433" s="88">
        <f>SUMIF(月間集計シート!$M$29:$M$48,$G1433,月間集計シート!O$29:O$48)*K$2</f>
        <v>0</v>
      </c>
      <c r="L1433" s="88">
        <f>SUMIF(月間集計シート!$M$29:$M$48,$G1433,月間集計シート!P$29:P$48)*L$2</f>
        <v>0</v>
      </c>
      <c r="M1433" s="88">
        <f>SUMIF(月間集計シート!$M$29:$M$48,$G1433,月間集計シート!Q$29:Q$48)*M$2</f>
        <v>0</v>
      </c>
      <c r="N1433" s="88">
        <f>SUMIF(月間集計シート!$M$29:$M$48,$G1433,月間集計シート!R$29:R$48)*N$2</f>
        <v>0</v>
      </c>
      <c r="O1433" s="88">
        <f>SUMIF(月間集計シート!$M$29:$M$48,$G1433,月間集計シート!S$29:S$48)*O$2</f>
        <v>0</v>
      </c>
      <c r="P1433" s="88">
        <f>SUMIF(月間集計シート!$M$29:$M$48,$G1433,月間集計シート!T$29:T$48)*P$2</f>
        <v>0</v>
      </c>
      <c r="Q1433" s="88">
        <f>SUMIF(月間集計シート!$M$50:$M$69,$G1433,月間集計シート!N$50:N$69)*Q$2</f>
        <v>0</v>
      </c>
      <c r="R1433" s="88">
        <f>SUMIF(月間集計シート!$M$50:$M$69,$G1433,月間集計シート!O$50:O$69)*R$2</f>
        <v>0</v>
      </c>
      <c r="S1433" s="88">
        <f>SUMIF(月間集計シート!$M$50:$M$69,$G1433,月間集計シート!P$50:P$69)*S$2</f>
        <v>0</v>
      </c>
      <c r="T1433" s="88">
        <f>SUMIF(月間集計シート!$M$50:$M$69,$G1433,月間集計シート!Q$50:Q$69)*T$2</f>
        <v>0</v>
      </c>
      <c r="U1433" s="88">
        <f>SUMIF(月間集計シート!$M$50:$M$69,$G1433,月間集計シート!R$50:R$69)*U$2</f>
        <v>0</v>
      </c>
      <c r="V1433" s="88">
        <f>SUMIF(月間集計シート!$M$50:$M$69,$G1433,月間集計シート!S$50:S$69)*V$2</f>
        <v>0</v>
      </c>
      <c r="W1433" s="88">
        <f>SUMIF(月間集計シート!$M$50:$M$69,$G1433,月間集計シート!T$50:T$69)*W$2</f>
        <v>0</v>
      </c>
      <c r="X1433" s="88">
        <f>SUMIF(月間集計シート!$M$71:$M$90,$G1433,月間集計シート!N$71:N$90)*X$2</f>
        <v>0</v>
      </c>
      <c r="Y1433" s="88">
        <f>SUMIF(月間集計シート!$M$71:$M$90,$G1433,月間集計シート!O$71:O$90)*Y$2</f>
        <v>0</v>
      </c>
      <c r="Z1433" s="88">
        <f>SUMIF(月間集計シート!$M$71:$M$90,$G1433,月間集計シート!P$71:P$90)*Z$2</f>
        <v>0</v>
      </c>
      <c r="AA1433" s="88">
        <f>SUMIF(月間集計シート!$M$71:$M$90,$G1433,月間集計シート!Q$71:Q$90)*AA$2</f>
        <v>0</v>
      </c>
      <c r="AB1433" s="88">
        <f>SUMIF(月間集計シート!$M$71:$M$90,$G1433,月間集計シート!R$71:R$90)*AB$2</f>
        <v>0</v>
      </c>
      <c r="AC1433" s="88">
        <f>SUMIF(月間集計シート!$M$71:$M$90,$G1433,月間集計シート!S$71:S$90)*AC$2</f>
        <v>0</v>
      </c>
      <c r="AD1433" s="88">
        <f>SUMIF(月間集計シート!$M$71:$M$90,$G1433,月間集計シート!T$71:T$90)*AD$2</f>
        <v>0</v>
      </c>
      <c r="AE1433" s="88">
        <f>SUMIF(月間集計シート!$M$92:$M$111,$G1433,月間集計シート!N$92:N$111)*AE$2</f>
        <v>0</v>
      </c>
      <c r="AF1433" s="88">
        <f>SUMIF(月間集計シート!$M$92:$M$111,$G1433,月間集計シート!O$92:O$111)*AF$2</f>
        <v>0</v>
      </c>
      <c r="AG1433" s="88">
        <f>SUMIF(月間集計シート!$M$92:$M$111,$G1433,月間集計シート!P$92:P$111)*AG$2</f>
        <v>0</v>
      </c>
      <c r="AH1433" s="88">
        <f>SUMIF(月間集計シート!$M$92:$M$111,$G1433,月間集計シート!Q$92:Q$111)*AH$2</f>
        <v>0</v>
      </c>
      <c r="AI1433" s="88">
        <f>SUMIF(月間集計シート!$M$92:$M$111,$G1433,月間集計シート!R$92:R$111)*AI$2</f>
        <v>0</v>
      </c>
      <c r="AJ1433" s="88">
        <f>SUMIF(月間集計シート!$M$92:$M$111,$G1433,月間集計シート!S$92:S$111)*AJ$2</f>
        <v>0</v>
      </c>
      <c r="AK1433" s="88">
        <f>SUMIF(月間集計シート!$M$92:$M$111,$G1433,月間集計シート!T$92:T$111)*AK$2</f>
        <v>0</v>
      </c>
      <c r="AL1433" s="88">
        <f>SUMIF(月間集計シート!$M$113:$M$132,$G1433,月間集計シート!N$113:N$132)*AL$2</f>
        <v>0</v>
      </c>
      <c r="AM1433" s="88">
        <f>SUMIF(月間集計シート!$M$113:$M$132,$G1433,月間集計シート!O$113:O$132)*AM$2</f>
        <v>0</v>
      </c>
      <c r="AN1433" s="88">
        <f>SUMIF(月間集計シート!$M$113:$M$132,$G1433,月間集計シート!P$113:P$132)*AN$2</f>
        <v>0</v>
      </c>
      <c r="AO1433" s="88">
        <f>SUMIF(月間集計シート!$M$113:$M$132,$G1433,月間集計シート!Q$113:Q$132)*AO$2</f>
        <v>0</v>
      </c>
      <c r="AP1433" s="88">
        <f>SUMIF(月間集計シート!$M$113:$M$132,$G1433,月間集計シート!R$113:R$132)*AP$2</f>
        <v>0</v>
      </c>
      <c r="AQ1433" s="88">
        <f>SUMIF(月間集計シート!$M$113:$M$132,$G1433,月間集計シート!S$113:S$132)*AQ$2</f>
        <v>0</v>
      </c>
      <c r="AR1433" s="88">
        <f>SUMIF(月間集計シート!$M$113:$M$132,$G1433,月間集計シート!T$113:T$132)*AR$2</f>
        <v>0</v>
      </c>
      <c r="AS1433" s="88">
        <f>SUMIF(月間集計シート!$M$134:$M$153,$G1433,月間集計シート!N$134:N$153)*AS$2</f>
        <v>0</v>
      </c>
      <c r="AT1433" s="88">
        <f>SUMIF(月間集計シート!$M$134:$M$153,$G1433,月間集計シート!O$134:O$153)*AT$2</f>
        <v>0</v>
      </c>
      <c r="AU1433" s="88">
        <f>SUMIF(月間集計シート!$M$134:$M$153,$G1433,月間集計シート!P$134:P$153)*AU$2</f>
        <v>0</v>
      </c>
      <c r="AV1433" s="88">
        <f>SUMIF(月間集計シート!$M$134:$M$153,$G1433,月間集計シート!Q$134:Q$153)*AV$2</f>
        <v>0</v>
      </c>
      <c r="AW1433" s="88">
        <f>SUMIF(月間集計シート!$M$134:$M$153,$G1433,月間集計シート!R$134:R$153)*AW$2</f>
        <v>0</v>
      </c>
      <c r="AX1433" s="88">
        <f>SUMIF(月間集計シート!$M$134:$M$153,$G1433,月間集計シート!S$134:S$153)*AX$2</f>
        <v>0</v>
      </c>
      <c r="AY1433" s="88">
        <f>SUMIF(月間集計シート!$M$134:$M$153,$G1433,月間集計シート!T$134:T$153)*AY$2</f>
        <v>0</v>
      </c>
    </row>
    <row r="1434" spans="1:51" ht="14.25" thickBot="1">
      <c r="A1434">
        <v>17</v>
      </c>
      <c r="B1434" s="120">
        <f t="shared" si="782"/>
        <v>0</v>
      </c>
      <c r="C1434" s="120" t="str">
        <f t="shared" si="783"/>
        <v/>
      </c>
      <c r="D1434" s="137"/>
      <c r="E1434" s="150" t="str">
        <f>工種!A66</f>
        <v>80199</v>
      </c>
      <c r="F1434" s="119" t="str">
        <f>工種!B66</f>
        <v>保守／ｻﾎﾟｰﾄ：その他</v>
      </c>
      <c r="G1434" s="116" t="str">
        <f t="shared" si="785"/>
        <v>080199</v>
      </c>
      <c r="H1434" s="88">
        <f t="shared" si="787"/>
        <v>0</v>
      </c>
      <c r="I1434" s="132"/>
      <c r="J1434" s="88">
        <f>SUMIF(月間集計シート!$M$29:$M$48,$G1434,月間集計シート!N$29:N$48)*J$2</f>
        <v>0</v>
      </c>
      <c r="K1434" s="88">
        <f>SUMIF(月間集計シート!$M$29:$M$48,$G1434,月間集計シート!O$29:O$48)*K$2</f>
        <v>0</v>
      </c>
      <c r="L1434" s="88">
        <f>SUMIF(月間集計シート!$M$29:$M$48,$G1434,月間集計シート!P$29:P$48)*L$2</f>
        <v>0</v>
      </c>
      <c r="M1434" s="88">
        <f>SUMIF(月間集計シート!$M$29:$M$48,$G1434,月間集計シート!Q$29:Q$48)*M$2</f>
        <v>0</v>
      </c>
      <c r="N1434" s="88">
        <f>SUMIF(月間集計シート!$M$29:$M$48,$G1434,月間集計シート!R$29:R$48)*N$2</f>
        <v>0</v>
      </c>
      <c r="O1434" s="88">
        <f>SUMIF(月間集計シート!$M$29:$M$48,$G1434,月間集計シート!S$29:S$48)*O$2</f>
        <v>0</v>
      </c>
      <c r="P1434" s="88">
        <f>SUMIF(月間集計シート!$M$29:$M$48,$G1434,月間集計シート!T$29:T$48)*P$2</f>
        <v>0</v>
      </c>
      <c r="Q1434" s="88">
        <f>SUMIF(月間集計シート!$M$50:$M$69,$G1434,月間集計シート!N$50:N$69)*Q$2</f>
        <v>0</v>
      </c>
      <c r="R1434" s="88">
        <f>SUMIF(月間集計シート!$M$50:$M$69,$G1434,月間集計シート!O$50:O$69)*R$2</f>
        <v>0</v>
      </c>
      <c r="S1434" s="88">
        <f>SUMIF(月間集計シート!$M$50:$M$69,$G1434,月間集計シート!P$50:P$69)*S$2</f>
        <v>0</v>
      </c>
      <c r="T1434" s="88">
        <f>SUMIF(月間集計シート!$M$50:$M$69,$G1434,月間集計シート!Q$50:Q$69)*T$2</f>
        <v>0</v>
      </c>
      <c r="U1434" s="88">
        <f>SUMIF(月間集計シート!$M$50:$M$69,$G1434,月間集計シート!R$50:R$69)*U$2</f>
        <v>0</v>
      </c>
      <c r="V1434" s="88">
        <f>SUMIF(月間集計シート!$M$50:$M$69,$G1434,月間集計シート!S$50:S$69)*V$2</f>
        <v>0</v>
      </c>
      <c r="W1434" s="88">
        <f>SUMIF(月間集計シート!$M$50:$M$69,$G1434,月間集計シート!T$50:T$69)*W$2</f>
        <v>0</v>
      </c>
      <c r="X1434" s="88">
        <f>SUMIF(月間集計シート!$M$71:$M$90,$G1434,月間集計シート!N$71:N$90)*X$2</f>
        <v>0</v>
      </c>
      <c r="Y1434" s="88">
        <f>SUMIF(月間集計シート!$M$71:$M$90,$G1434,月間集計シート!O$71:O$90)*Y$2</f>
        <v>0</v>
      </c>
      <c r="Z1434" s="88">
        <f>SUMIF(月間集計シート!$M$71:$M$90,$G1434,月間集計シート!P$71:P$90)*Z$2</f>
        <v>0</v>
      </c>
      <c r="AA1434" s="88">
        <f>SUMIF(月間集計シート!$M$71:$M$90,$G1434,月間集計シート!Q$71:Q$90)*AA$2</f>
        <v>0</v>
      </c>
      <c r="AB1434" s="88">
        <f>SUMIF(月間集計シート!$M$71:$M$90,$G1434,月間集計シート!R$71:R$90)*AB$2</f>
        <v>0</v>
      </c>
      <c r="AC1434" s="88">
        <f>SUMIF(月間集計シート!$M$71:$M$90,$G1434,月間集計シート!S$71:S$90)*AC$2</f>
        <v>0</v>
      </c>
      <c r="AD1434" s="88">
        <f>SUMIF(月間集計シート!$M$71:$M$90,$G1434,月間集計シート!T$71:T$90)*AD$2</f>
        <v>0</v>
      </c>
      <c r="AE1434" s="88">
        <f>SUMIF(月間集計シート!$M$92:$M$111,$G1434,月間集計シート!N$92:N$111)*AE$2</f>
        <v>0</v>
      </c>
      <c r="AF1434" s="88">
        <f>SUMIF(月間集計シート!$M$92:$M$111,$G1434,月間集計シート!O$92:O$111)*AF$2</f>
        <v>0</v>
      </c>
      <c r="AG1434" s="88">
        <f>SUMIF(月間集計シート!$M$92:$M$111,$G1434,月間集計シート!P$92:P$111)*AG$2</f>
        <v>0</v>
      </c>
      <c r="AH1434" s="88">
        <f>SUMIF(月間集計シート!$M$92:$M$111,$G1434,月間集計シート!Q$92:Q$111)*AH$2</f>
        <v>0</v>
      </c>
      <c r="AI1434" s="88">
        <f>SUMIF(月間集計シート!$M$92:$M$111,$G1434,月間集計シート!R$92:R$111)*AI$2</f>
        <v>0</v>
      </c>
      <c r="AJ1434" s="88">
        <f>SUMIF(月間集計シート!$M$92:$M$111,$G1434,月間集計シート!S$92:S$111)*AJ$2</f>
        <v>0</v>
      </c>
      <c r="AK1434" s="88">
        <f>SUMIF(月間集計シート!$M$92:$M$111,$G1434,月間集計シート!T$92:T$111)*AK$2</f>
        <v>0</v>
      </c>
      <c r="AL1434" s="88">
        <f>SUMIF(月間集計シート!$M$113:$M$132,$G1434,月間集計シート!N$113:N$132)*AL$2</f>
        <v>0</v>
      </c>
      <c r="AM1434" s="88">
        <f>SUMIF(月間集計シート!$M$113:$M$132,$G1434,月間集計シート!O$113:O$132)*AM$2</f>
        <v>0</v>
      </c>
      <c r="AN1434" s="88">
        <f>SUMIF(月間集計シート!$M$113:$M$132,$G1434,月間集計シート!P$113:P$132)*AN$2</f>
        <v>0</v>
      </c>
      <c r="AO1434" s="88">
        <f>SUMIF(月間集計シート!$M$113:$M$132,$G1434,月間集計シート!Q$113:Q$132)*AO$2</f>
        <v>0</v>
      </c>
      <c r="AP1434" s="88">
        <f>SUMIF(月間集計シート!$M$113:$M$132,$G1434,月間集計シート!R$113:R$132)*AP$2</f>
        <v>0</v>
      </c>
      <c r="AQ1434" s="88">
        <f>SUMIF(月間集計シート!$M$113:$M$132,$G1434,月間集計シート!S$113:S$132)*AQ$2</f>
        <v>0</v>
      </c>
      <c r="AR1434" s="88">
        <f>SUMIF(月間集計シート!$M$113:$M$132,$G1434,月間集計シート!T$113:T$132)*AR$2</f>
        <v>0</v>
      </c>
      <c r="AS1434" s="88">
        <f>SUMIF(月間集計シート!$M$134:$M$153,$G1434,月間集計シート!N$134:N$153)*AS$2</f>
        <v>0</v>
      </c>
      <c r="AT1434" s="88">
        <f>SUMIF(月間集計シート!$M$134:$M$153,$G1434,月間集計シート!O$134:O$153)*AT$2</f>
        <v>0</v>
      </c>
      <c r="AU1434" s="88">
        <f>SUMIF(月間集計シート!$M$134:$M$153,$G1434,月間集計シート!P$134:P$153)*AU$2</f>
        <v>0</v>
      </c>
      <c r="AV1434" s="88">
        <f>SUMIF(月間集計シート!$M$134:$M$153,$G1434,月間集計シート!Q$134:Q$153)*AV$2</f>
        <v>0</v>
      </c>
      <c r="AW1434" s="88">
        <f>SUMIF(月間集計シート!$M$134:$M$153,$G1434,月間集計シート!R$134:R$153)*AW$2</f>
        <v>0</v>
      </c>
      <c r="AX1434" s="88">
        <f>SUMIF(月間集計シート!$M$134:$M$153,$G1434,月間集計シート!S$134:S$153)*AX$2</f>
        <v>0</v>
      </c>
      <c r="AY1434" s="88">
        <f>SUMIF(月間集計シート!$M$134:$M$153,$G1434,月間集計シート!T$134:T$153)*AY$2</f>
        <v>0</v>
      </c>
    </row>
    <row r="1435" spans="1:51" ht="14.25" thickBot="1">
      <c r="A1435">
        <v>17</v>
      </c>
      <c r="B1435" s="120">
        <f t="shared" ref="B1435:C1451" si="788">B1434</f>
        <v>0</v>
      </c>
      <c r="C1435" s="120" t="str">
        <f t="shared" si="788"/>
        <v/>
      </c>
      <c r="D1435" s="137"/>
      <c r="E1435" s="150" t="str">
        <f>工種!A67</f>
        <v>90101</v>
      </c>
      <c r="F1435" s="119" t="str">
        <f>工種!B67</f>
        <v>管理業務：ﾌﾟﾛｼﾞｪｸﾄ管理</v>
      </c>
      <c r="G1435" s="116" t="str">
        <f t="shared" si="785"/>
        <v>090101</v>
      </c>
      <c r="H1435" s="88">
        <f t="shared" si="787"/>
        <v>0</v>
      </c>
      <c r="I1435" s="132"/>
      <c r="J1435" s="88">
        <f>SUMIF(月間集計シート!$M$29:$M$48,$G1435,月間集計シート!N$29:N$48)*J$2</f>
        <v>0</v>
      </c>
      <c r="K1435" s="88">
        <f>SUMIF(月間集計シート!$M$29:$M$48,$G1435,月間集計シート!O$29:O$48)*K$2</f>
        <v>0</v>
      </c>
      <c r="L1435" s="88">
        <f>SUMIF(月間集計シート!$M$29:$M$48,$G1435,月間集計シート!P$29:P$48)*L$2</f>
        <v>0</v>
      </c>
      <c r="M1435" s="88">
        <f>SUMIF(月間集計シート!$M$29:$M$48,$G1435,月間集計シート!Q$29:Q$48)*M$2</f>
        <v>0</v>
      </c>
      <c r="N1435" s="88">
        <f>SUMIF(月間集計シート!$M$29:$M$48,$G1435,月間集計シート!R$29:R$48)*N$2</f>
        <v>0</v>
      </c>
      <c r="O1435" s="88">
        <f>SUMIF(月間集計シート!$M$29:$M$48,$G1435,月間集計シート!S$29:S$48)*O$2</f>
        <v>0</v>
      </c>
      <c r="P1435" s="88">
        <f>SUMIF(月間集計シート!$M$29:$M$48,$G1435,月間集計シート!T$29:T$48)*P$2</f>
        <v>0</v>
      </c>
      <c r="Q1435" s="88">
        <f>SUMIF(月間集計シート!$M$50:$M$69,$G1435,月間集計シート!N$50:N$69)*Q$2</f>
        <v>0</v>
      </c>
      <c r="R1435" s="88">
        <f>SUMIF(月間集計シート!$M$50:$M$69,$G1435,月間集計シート!O$50:O$69)*R$2</f>
        <v>0</v>
      </c>
      <c r="S1435" s="88">
        <f>SUMIF(月間集計シート!$M$50:$M$69,$G1435,月間集計シート!P$50:P$69)*S$2</f>
        <v>0</v>
      </c>
      <c r="T1435" s="88">
        <f>SUMIF(月間集計シート!$M$50:$M$69,$G1435,月間集計シート!Q$50:Q$69)*T$2</f>
        <v>0</v>
      </c>
      <c r="U1435" s="88">
        <f>SUMIF(月間集計シート!$M$50:$M$69,$G1435,月間集計シート!R$50:R$69)*U$2</f>
        <v>0</v>
      </c>
      <c r="V1435" s="88">
        <f>SUMIF(月間集計シート!$M$50:$M$69,$G1435,月間集計シート!S$50:S$69)*V$2</f>
        <v>0</v>
      </c>
      <c r="W1435" s="88">
        <f>SUMIF(月間集計シート!$M$50:$M$69,$G1435,月間集計シート!T$50:T$69)*W$2</f>
        <v>0</v>
      </c>
      <c r="X1435" s="88">
        <f>SUMIF(月間集計シート!$M$71:$M$90,$G1435,月間集計シート!N$71:N$90)*X$2</f>
        <v>0</v>
      </c>
      <c r="Y1435" s="88">
        <f>SUMIF(月間集計シート!$M$71:$M$90,$G1435,月間集計シート!O$71:O$90)*Y$2</f>
        <v>0</v>
      </c>
      <c r="Z1435" s="88">
        <f>SUMIF(月間集計シート!$M$71:$M$90,$G1435,月間集計シート!P$71:P$90)*Z$2</f>
        <v>0</v>
      </c>
      <c r="AA1435" s="88">
        <f>SUMIF(月間集計シート!$M$71:$M$90,$G1435,月間集計シート!Q$71:Q$90)*AA$2</f>
        <v>0</v>
      </c>
      <c r="AB1435" s="88">
        <f>SUMIF(月間集計シート!$M$71:$M$90,$G1435,月間集計シート!R$71:R$90)*AB$2</f>
        <v>0</v>
      </c>
      <c r="AC1435" s="88">
        <f>SUMIF(月間集計シート!$M$71:$M$90,$G1435,月間集計シート!S$71:S$90)*AC$2</f>
        <v>0</v>
      </c>
      <c r="AD1435" s="88">
        <f>SUMIF(月間集計シート!$M$71:$M$90,$G1435,月間集計シート!T$71:T$90)*AD$2</f>
        <v>0</v>
      </c>
      <c r="AE1435" s="88">
        <f>SUMIF(月間集計シート!$M$92:$M$111,$G1435,月間集計シート!N$92:N$111)*AE$2</f>
        <v>0</v>
      </c>
      <c r="AF1435" s="88">
        <f>SUMIF(月間集計シート!$M$92:$M$111,$G1435,月間集計シート!O$92:O$111)*AF$2</f>
        <v>0</v>
      </c>
      <c r="AG1435" s="88">
        <f>SUMIF(月間集計シート!$M$92:$M$111,$G1435,月間集計シート!P$92:P$111)*AG$2</f>
        <v>0</v>
      </c>
      <c r="AH1435" s="88">
        <f>SUMIF(月間集計シート!$M$92:$M$111,$G1435,月間集計シート!Q$92:Q$111)*AH$2</f>
        <v>0</v>
      </c>
      <c r="AI1435" s="88">
        <f>SUMIF(月間集計シート!$M$92:$M$111,$G1435,月間集計シート!R$92:R$111)*AI$2</f>
        <v>0</v>
      </c>
      <c r="AJ1435" s="88">
        <f>SUMIF(月間集計シート!$M$92:$M$111,$G1435,月間集計シート!S$92:S$111)*AJ$2</f>
        <v>0</v>
      </c>
      <c r="AK1435" s="88">
        <f>SUMIF(月間集計シート!$M$92:$M$111,$G1435,月間集計シート!T$92:T$111)*AK$2</f>
        <v>0</v>
      </c>
      <c r="AL1435" s="88">
        <f>SUMIF(月間集計シート!$M$113:$M$132,$G1435,月間集計シート!N$113:N$132)*AL$2</f>
        <v>0</v>
      </c>
      <c r="AM1435" s="88">
        <f>SUMIF(月間集計シート!$M$113:$M$132,$G1435,月間集計シート!O$113:O$132)*AM$2</f>
        <v>0</v>
      </c>
      <c r="AN1435" s="88">
        <f>SUMIF(月間集計シート!$M$113:$M$132,$G1435,月間集計シート!P$113:P$132)*AN$2</f>
        <v>0</v>
      </c>
      <c r="AO1435" s="88">
        <f>SUMIF(月間集計シート!$M$113:$M$132,$G1435,月間集計シート!Q$113:Q$132)*AO$2</f>
        <v>0</v>
      </c>
      <c r="AP1435" s="88">
        <f>SUMIF(月間集計シート!$M$113:$M$132,$G1435,月間集計シート!R$113:R$132)*AP$2</f>
        <v>0</v>
      </c>
      <c r="AQ1435" s="88">
        <f>SUMIF(月間集計シート!$M$113:$M$132,$G1435,月間集計シート!S$113:S$132)*AQ$2</f>
        <v>0</v>
      </c>
      <c r="AR1435" s="88">
        <f>SUMIF(月間集計シート!$M$113:$M$132,$G1435,月間集計シート!T$113:T$132)*AR$2</f>
        <v>0</v>
      </c>
      <c r="AS1435" s="88">
        <f>SUMIF(月間集計シート!$M$134:$M$153,$G1435,月間集計シート!N$134:N$153)*AS$2</f>
        <v>0</v>
      </c>
      <c r="AT1435" s="88">
        <f>SUMIF(月間集計シート!$M$134:$M$153,$G1435,月間集計シート!O$134:O$153)*AT$2</f>
        <v>0</v>
      </c>
      <c r="AU1435" s="88">
        <f>SUMIF(月間集計シート!$M$134:$M$153,$G1435,月間集計シート!P$134:P$153)*AU$2</f>
        <v>0</v>
      </c>
      <c r="AV1435" s="88">
        <f>SUMIF(月間集計シート!$M$134:$M$153,$G1435,月間集計シート!Q$134:Q$153)*AV$2</f>
        <v>0</v>
      </c>
      <c r="AW1435" s="88">
        <f>SUMIF(月間集計シート!$M$134:$M$153,$G1435,月間集計シート!R$134:R$153)*AW$2</f>
        <v>0</v>
      </c>
      <c r="AX1435" s="88">
        <f>SUMIF(月間集計シート!$M$134:$M$153,$G1435,月間集計シート!S$134:S$153)*AX$2</f>
        <v>0</v>
      </c>
      <c r="AY1435" s="88">
        <f>SUMIF(月間集計シート!$M$134:$M$153,$G1435,月間集計シート!T$134:T$153)*AY$2</f>
        <v>0</v>
      </c>
    </row>
    <row r="1436" spans="1:51" ht="14.25" thickBot="1">
      <c r="A1436">
        <v>17</v>
      </c>
      <c r="B1436" s="120">
        <f t="shared" si="788"/>
        <v>0</v>
      </c>
      <c r="C1436" s="120" t="str">
        <f t="shared" si="788"/>
        <v/>
      </c>
      <c r="D1436" s="137"/>
      <c r="E1436" s="150" t="str">
        <f>工種!A68</f>
        <v>90102</v>
      </c>
      <c r="F1436" s="119" t="str">
        <f>工種!B68</f>
        <v>管理業務：開発環境管理</v>
      </c>
      <c r="G1436" s="116" t="str">
        <f t="shared" si="785"/>
        <v>090102</v>
      </c>
      <c r="H1436" s="88">
        <f t="shared" si="787"/>
        <v>0</v>
      </c>
      <c r="I1436" s="132"/>
      <c r="J1436" s="88">
        <f>SUMIF(月間集計シート!$M$29:$M$48,$G1436,月間集計シート!N$29:N$48)*J$2</f>
        <v>0</v>
      </c>
      <c r="K1436" s="88">
        <f>SUMIF(月間集計シート!$M$29:$M$48,$G1436,月間集計シート!O$29:O$48)*K$2</f>
        <v>0</v>
      </c>
      <c r="L1436" s="88">
        <f>SUMIF(月間集計シート!$M$29:$M$48,$G1436,月間集計シート!P$29:P$48)*L$2</f>
        <v>0</v>
      </c>
      <c r="M1436" s="88">
        <f>SUMIF(月間集計シート!$M$29:$M$48,$G1436,月間集計シート!Q$29:Q$48)*M$2</f>
        <v>0</v>
      </c>
      <c r="N1436" s="88">
        <f>SUMIF(月間集計シート!$M$29:$M$48,$G1436,月間集計シート!R$29:R$48)*N$2</f>
        <v>0</v>
      </c>
      <c r="O1436" s="88">
        <f>SUMIF(月間集計シート!$M$29:$M$48,$G1436,月間集計シート!S$29:S$48)*O$2</f>
        <v>0</v>
      </c>
      <c r="P1436" s="88">
        <f>SUMIF(月間集計シート!$M$29:$M$48,$G1436,月間集計シート!T$29:T$48)*P$2</f>
        <v>0</v>
      </c>
      <c r="Q1436" s="88">
        <f>SUMIF(月間集計シート!$M$50:$M$69,$G1436,月間集計シート!N$50:N$69)*Q$2</f>
        <v>0</v>
      </c>
      <c r="R1436" s="88">
        <f>SUMIF(月間集計シート!$M$50:$M$69,$G1436,月間集計シート!O$50:O$69)*R$2</f>
        <v>0</v>
      </c>
      <c r="S1436" s="88">
        <f>SUMIF(月間集計シート!$M$50:$M$69,$G1436,月間集計シート!P$50:P$69)*S$2</f>
        <v>0</v>
      </c>
      <c r="T1436" s="88">
        <f>SUMIF(月間集計シート!$M$50:$M$69,$G1436,月間集計シート!Q$50:Q$69)*T$2</f>
        <v>0</v>
      </c>
      <c r="U1436" s="88">
        <f>SUMIF(月間集計シート!$M$50:$M$69,$G1436,月間集計シート!R$50:R$69)*U$2</f>
        <v>0</v>
      </c>
      <c r="V1436" s="88">
        <f>SUMIF(月間集計シート!$M$50:$M$69,$G1436,月間集計シート!S$50:S$69)*V$2</f>
        <v>0</v>
      </c>
      <c r="W1436" s="88">
        <f>SUMIF(月間集計シート!$M$50:$M$69,$G1436,月間集計シート!T$50:T$69)*W$2</f>
        <v>0</v>
      </c>
      <c r="X1436" s="88">
        <f>SUMIF(月間集計シート!$M$71:$M$90,$G1436,月間集計シート!N$71:N$90)*X$2</f>
        <v>0</v>
      </c>
      <c r="Y1436" s="88">
        <f>SUMIF(月間集計シート!$M$71:$M$90,$G1436,月間集計シート!O$71:O$90)*Y$2</f>
        <v>0</v>
      </c>
      <c r="Z1436" s="88">
        <f>SUMIF(月間集計シート!$M$71:$M$90,$G1436,月間集計シート!P$71:P$90)*Z$2</f>
        <v>0</v>
      </c>
      <c r="AA1436" s="88">
        <f>SUMIF(月間集計シート!$M$71:$M$90,$G1436,月間集計シート!Q$71:Q$90)*AA$2</f>
        <v>0</v>
      </c>
      <c r="AB1436" s="88">
        <f>SUMIF(月間集計シート!$M$71:$M$90,$G1436,月間集計シート!R$71:R$90)*AB$2</f>
        <v>0</v>
      </c>
      <c r="AC1436" s="88">
        <f>SUMIF(月間集計シート!$M$71:$M$90,$G1436,月間集計シート!S$71:S$90)*AC$2</f>
        <v>0</v>
      </c>
      <c r="AD1436" s="88">
        <f>SUMIF(月間集計シート!$M$71:$M$90,$G1436,月間集計シート!T$71:T$90)*AD$2</f>
        <v>0</v>
      </c>
      <c r="AE1436" s="88">
        <f>SUMIF(月間集計シート!$M$92:$M$111,$G1436,月間集計シート!N$92:N$111)*AE$2</f>
        <v>0</v>
      </c>
      <c r="AF1436" s="88">
        <f>SUMIF(月間集計シート!$M$92:$M$111,$G1436,月間集計シート!O$92:O$111)*AF$2</f>
        <v>0</v>
      </c>
      <c r="AG1436" s="88">
        <f>SUMIF(月間集計シート!$M$92:$M$111,$G1436,月間集計シート!P$92:P$111)*AG$2</f>
        <v>0</v>
      </c>
      <c r="AH1436" s="88">
        <f>SUMIF(月間集計シート!$M$92:$M$111,$G1436,月間集計シート!Q$92:Q$111)*AH$2</f>
        <v>0</v>
      </c>
      <c r="AI1436" s="88">
        <f>SUMIF(月間集計シート!$M$92:$M$111,$G1436,月間集計シート!R$92:R$111)*AI$2</f>
        <v>0</v>
      </c>
      <c r="AJ1436" s="88">
        <f>SUMIF(月間集計シート!$M$92:$M$111,$G1436,月間集計シート!S$92:S$111)*AJ$2</f>
        <v>0</v>
      </c>
      <c r="AK1436" s="88">
        <f>SUMIF(月間集計シート!$M$92:$M$111,$G1436,月間集計シート!T$92:T$111)*AK$2</f>
        <v>0</v>
      </c>
      <c r="AL1436" s="88">
        <f>SUMIF(月間集計シート!$M$113:$M$132,$G1436,月間集計シート!N$113:N$132)*AL$2</f>
        <v>0</v>
      </c>
      <c r="AM1436" s="88">
        <f>SUMIF(月間集計シート!$M$113:$M$132,$G1436,月間集計シート!O$113:O$132)*AM$2</f>
        <v>0</v>
      </c>
      <c r="AN1436" s="88">
        <f>SUMIF(月間集計シート!$M$113:$M$132,$G1436,月間集計シート!P$113:P$132)*AN$2</f>
        <v>0</v>
      </c>
      <c r="AO1436" s="88">
        <f>SUMIF(月間集計シート!$M$113:$M$132,$G1436,月間集計シート!Q$113:Q$132)*AO$2</f>
        <v>0</v>
      </c>
      <c r="AP1436" s="88">
        <f>SUMIF(月間集計シート!$M$113:$M$132,$G1436,月間集計シート!R$113:R$132)*AP$2</f>
        <v>0</v>
      </c>
      <c r="AQ1436" s="88">
        <f>SUMIF(月間集計シート!$M$113:$M$132,$G1436,月間集計シート!S$113:S$132)*AQ$2</f>
        <v>0</v>
      </c>
      <c r="AR1436" s="88">
        <f>SUMIF(月間集計シート!$M$113:$M$132,$G1436,月間集計シート!T$113:T$132)*AR$2</f>
        <v>0</v>
      </c>
      <c r="AS1436" s="88">
        <f>SUMIF(月間集計シート!$M$134:$M$153,$G1436,月間集計シート!N$134:N$153)*AS$2</f>
        <v>0</v>
      </c>
      <c r="AT1436" s="88">
        <f>SUMIF(月間集計シート!$M$134:$M$153,$G1436,月間集計シート!O$134:O$153)*AT$2</f>
        <v>0</v>
      </c>
      <c r="AU1436" s="88">
        <f>SUMIF(月間集計シート!$M$134:$M$153,$G1436,月間集計シート!P$134:P$153)*AU$2</f>
        <v>0</v>
      </c>
      <c r="AV1436" s="88">
        <f>SUMIF(月間集計シート!$M$134:$M$153,$G1436,月間集計シート!Q$134:Q$153)*AV$2</f>
        <v>0</v>
      </c>
      <c r="AW1436" s="88">
        <f>SUMIF(月間集計シート!$M$134:$M$153,$G1436,月間集計シート!R$134:R$153)*AW$2</f>
        <v>0</v>
      </c>
      <c r="AX1436" s="88">
        <f>SUMIF(月間集計シート!$M$134:$M$153,$G1436,月間集計シート!S$134:S$153)*AX$2</f>
        <v>0</v>
      </c>
      <c r="AY1436" s="88">
        <f>SUMIF(月間集計シート!$M$134:$M$153,$G1436,月間集計シート!T$134:T$153)*AY$2</f>
        <v>0</v>
      </c>
    </row>
    <row r="1437" spans="1:51" ht="14.25" thickBot="1">
      <c r="A1437">
        <v>17</v>
      </c>
      <c r="B1437" s="120">
        <f t="shared" si="788"/>
        <v>0</v>
      </c>
      <c r="C1437" s="120" t="str">
        <f t="shared" si="788"/>
        <v/>
      </c>
      <c r="D1437" s="137"/>
      <c r="E1437" s="150" t="str">
        <f>工種!A69</f>
        <v>90103</v>
      </c>
      <c r="F1437" s="119" t="str">
        <f>工種!B69</f>
        <v>管理業務：標準化・開発業務改善作業</v>
      </c>
      <c r="G1437" s="116" t="str">
        <f t="shared" si="785"/>
        <v>090103</v>
      </c>
      <c r="H1437" s="88">
        <f t="shared" si="787"/>
        <v>0</v>
      </c>
      <c r="I1437" s="132"/>
      <c r="J1437" s="88">
        <f>SUMIF(月間集計シート!$M$29:$M$48,$G1437,月間集計シート!N$29:N$48)*J$2</f>
        <v>0</v>
      </c>
      <c r="K1437" s="88">
        <f>SUMIF(月間集計シート!$M$29:$M$48,$G1437,月間集計シート!O$29:O$48)*K$2</f>
        <v>0</v>
      </c>
      <c r="L1437" s="88">
        <f>SUMIF(月間集計シート!$M$29:$M$48,$G1437,月間集計シート!P$29:P$48)*L$2</f>
        <v>0</v>
      </c>
      <c r="M1437" s="88">
        <f>SUMIF(月間集計シート!$M$29:$M$48,$G1437,月間集計シート!Q$29:Q$48)*M$2</f>
        <v>0</v>
      </c>
      <c r="N1437" s="88">
        <f>SUMIF(月間集計シート!$M$29:$M$48,$G1437,月間集計シート!R$29:R$48)*N$2</f>
        <v>0</v>
      </c>
      <c r="O1437" s="88">
        <f>SUMIF(月間集計シート!$M$29:$M$48,$G1437,月間集計シート!S$29:S$48)*O$2</f>
        <v>0</v>
      </c>
      <c r="P1437" s="88">
        <f>SUMIF(月間集計シート!$M$29:$M$48,$G1437,月間集計シート!T$29:T$48)*P$2</f>
        <v>0</v>
      </c>
      <c r="Q1437" s="88">
        <f>SUMIF(月間集計シート!$M$50:$M$69,$G1437,月間集計シート!N$50:N$69)*Q$2</f>
        <v>0</v>
      </c>
      <c r="R1437" s="88">
        <f>SUMIF(月間集計シート!$M$50:$M$69,$G1437,月間集計シート!O$50:O$69)*R$2</f>
        <v>0</v>
      </c>
      <c r="S1437" s="88">
        <f>SUMIF(月間集計シート!$M$50:$M$69,$G1437,月間集計シート!P$50:P$69)*S$2</f>
        <v>0</v>
      </c>
      <c r="T1437" s="88">
        <f>SUMIF(月間集計シート!$M$50:$M$69,$G1437,月間集計シート!Q$50:Q$69)*T$2</f>
        <v>0</v>
      </c>
      <c r="U1437" s="88">
        <f>SUMIF(月間集計シート!$M$50:$M$69,$G1437,月間集計シート!R$50:R$69)*U$2</f>
        <v>0</v>
      </c>
      <c r="V1437" s="88">
        <f>SUMIF(月間集計シート!$M$50:$M$69,$G1437,月間集計シート!S$50:S$69)*V$2</f>
        <v>0</v>
      </c>
      <c r="W1437" s="88">
        <f>SUMIF(月間集計シート!$M$50:$M$69,$G1437,月間集計シート!T$50:T$69)*W$2</f>
        <v>0</v>
      </c>
      <c r="X1437" s="88">
        <f>SUMIF(月間集計シート!$M$71:$M$90,$G1437,月間集計シート!N$71:N$90)*X$2</f>
        <v>0</v>
      </c>
      <c r="Y1437" s="88">
        <f>SUMIF(月間集計シート!$M$71:$M$90,$G1437,月間集計シート!O$71:O$90)*Y$2</f>
        <v>0</v>
      </c>
      <c r="Z1437" s="88">
        <f>SUMIF(月間集計シート!$M$71:$M$90,$G1437,月間集計シート!P$71:P$90)*Z$2</f>
        <v>0</v>
      </c>
      <c r="AA1437" s="88">
        <f>SUMIF(月間集計シート!$M$71:$M$90,$G1437,月間集計シート!Q$71:Q$90)*AA$2</f>
        <v>0</v>
      </c>
      <c r="AB1437" s="88">
        <f>SUMIF(月間集計シート!$M$71:$M$90,$G1437,月間集計シート!R$71:R$90)*AB$2</f>
        <v>0</v>
      </c>
      <c r="AC1437" s="88">
        <f>SUMIF(月間集計シート!$M$71:$M$90,$G1437,月間集計シート!S$71:S$90)*AC$2</f>
        <v>0</v>
      </c>
      <c r="AD1437" s="88">
        <f>SUMIF(月間集計シート!$M$71:$M$90,$G1437,月間集計シート!T$71:T$90)*AD$2</f>
        <v>0</v>
      </c>
      <c r="AE1437" s="88">
        <f>SUMIF(月間集計シート!$M$92:$M$111,$G1437,月間集計シート!N$92:N$111)*AE$2</f>
        <v>0</v>
      </c>
      <c r="AF1437" s="88">
        <f>SUMIF(月間集計シート!$M$92:$M$111,$G1437,月間集計シート!O$92:O$111)*AF$2</f>
        <v>0</v>
      </c>
      <c r="AG1437" s="88">
        <f>SUMIF(月間集計シート!$M$92:$M$111,$G1437,月間集計シート!P$92:P$111)*AG$2</f>
        <v>0</v>
      </c>
      <c r="AH1437" s="88">
        <f>SUMIF(月間集計シート!$M$92:$M$111,$G1437,月間集計シート!Q$92:Q$111)*AH$2</f>
        <v>0</v>
      </c>
      <c r="AI1437" s="88">
        <f>SUMIF(月間集計シート!$M$92:$M$111,$G1437,月間集計シート!R$92:R$111)*AI$2</f>
        <v>0</v>
      </c>
      <c r="AJ1437" s="88">
        <f>SUMIF(月間集計シート!$M$92:$M$111,$G1437,月間集計シート!S$92:S$111)*AJ$2</f>
        <v>0</v>
      </c>
      <c r="AK1437" s="88">
        <f>SUMIF(月間集計シート!$M$92:$M$111,$G1437,月間集計シート!T$92:T$111)*AK$2</f>
        <v>0</v>
      </c>
      <c r="AL1437" s="88">
        <f>SUMIF(月間集計シート!$M$113:$M$132,$G1437,月間集計シート!N$113:N$132)*AL$2</f>
        <v>0</v>
      </c>
      <c r="AM1437" s="88">
        <f>SUMIF(月間集計シート!$M$113:$M$132,$G1437,月間集計シート!O$113:O$132)*AM$2</f>
        <v>0</v>
      </c>
      <c r="AN1437" s="88">
        <f>SUMIF(月間集計シート!$M$113:$M$132,$G1437,月間集計シート!P$113:P$132)*AN$2</f>
        <v>0</v>
      </c>
      <c r="AO1437" s="88">
        <f>SUMIF(月間集計シート!$M$113:$M$132,$G1437,月間集計シート!Q$113:Q$132)*AO$2</f>
        <v>0</v>
      </c>
      <c r="AP1437" s="88">
        <f>SUMIF(月間集計シート!$M$113:$M$132,$G1437,月間集計シート!R$113:R$132)*AP$2</f>
        <v>0</v>
      </c>
      <c r="AQ1437" s="88">
        <f>SUMIF(月間集計シート!$M$113:$M$132,$G1437,月間集計シート!S$113:S$132)*AQ$2</f>
        <v>0</v>
      </c>
      <c r="AR1437" s="88">
        <f>SUMIF(月間集計シート!$M$113:$M$132,$G1437,月間集計シート!T$113:T$132)*AR$2</f>
        <v>0</v>
      </c>
      <c r="AS1437" s="88">
        <f>SUMIF(月間集計シート!$M$134:$M$153,$G1437,月間集計シート!N$134:N$153)*AS$2</f>
        <v>0</v>
      </c>
      <c r="AT1437" s="88">
        <f>SUMIF(月間集計シート!$M$134:$M$153,$G1437,月間集計シート!O$134:O$153)*AT$2</f>
        <v>0</v>
      </c>
      <c r="AU1437" s="88">
        <f>SUMIF(月間集計シート!$M$134:$M$153,$G1437,月間集計シート!P$134:P$153)*AU$2</f>
        <v>0</v>
      </c>
      <c r="AV1437" s="88">
        <f>SUMIF(月間集計シート!$M$134:$M$153,$G1437,月間集計シート!Q$134:Q$153)*AV$2</f>
        <v>0</v>
      </c>
      <c r="AW1437" s="88">
        <f>SUMIF(月間集計シート!$M$134:$M$153,$G1437,月間集計シート!R$134:R$153)*AW$2</f>
        <v>0</v>
      </c>
      <c r="AX1437" s="88">
        <f>SUMIF(月間集計シート!$M$134:$M$153,$G1437,月間集計シート!S$134:S$153)*AX$2</f>
        <v>0</v>
      </c>
      <c r="AY1437" s="88">
        <f>SUMIF(月間集計シート!$M$134:$M$153,$G1437,月間集計シート!T$134:T$153)*AY$2</f>
        <v>0</v>
      </c>
    </row>
    <row r="1438" spans="1:51" ht="14.25" thickBot="1">
      <c r="A1438">
        <v>17</v>
      </c>
      <c r="B1438" s="120">
        <f t="shared" si="788"/>
        <v>0</v>
      </c>
      <c r="C1438" s="120" t="str">
        <f t="shared" si="788"/>
        <v/>
      </c>
      <c r="D1438" s="137"/>
      <c r="E1438" s="150" t="str">
        <f>工種!A70</f>
        <v>90104</v>
      </c>
      <c r="F1438" s="119" t="str">
        <f>工種!B70</f>
        <v>管理業務：開発業務の引継ぎ</v>
      </c>
      <c r="G1438" s="116" t="str">
        <f t="shared" si="785"/>
        <v>090104</v>
      </c>
      <c r="H1438" s="88">
        <f t="shared" si="787"/>
        <v>0</v>
      </c>
      <c r="I1438" s="132"/>
      <c r="J1438" s="88">
        <f>SUMIF(月間集計シート!$M$29:$M$48,$G1438,月間集計シート!N$29:N$48)*J$2</f>
        <v>0</v>
      </c>
      <c r="K1438" s="88">
        <f>SUMIF(月間集計シート!$M$29:$M$48,$G1438,月間集計シート!O$29:O$48)*K$2</f>
        <v>0</v>
      </c>
      <c r="L1438" s="88">
        <f>SUMIF(月間集計シート!$M$29:$M$48,$G1438,月間集計シート!P$29:P$48)*L$2</f>
        <v>0</v>
      </c>
      <c r="M1438" s="88">
        <f>SUMIF(月間集計シート!$M$29:$M$48,$G1438,月間集計シート!Q$29:Q$48)*M$2</f>
        <v>0</v>
      </c>
      <c r="N1438" s="88">
        <f>SUMIF(月間集計シート!$M$29:$M$48,$G1438,月間集計シート!R$29:R$48)*N$2</f>
        <v>0</v>
      </c>
      <c r="O1438" s="88">
        <f>SUMIF(月間集計シート!$M$29:$M$48,$G1438,月間集計シート!S$29:S$48)*O$2</f>
        <v>0</v>
      </c>
      <c r="P1438" s="88">
        <f>SUMIF(月間集計シート!$M$29:$M$48,$G1438,月間集計シート!T$29:T$48)*P$2</f>
        <v>0</v>
      </c>
      <c r="Q1438" s="88">
        <f>SUMIF(月間集計シート!$M$50:$M$69,$G1438,月間集計シート!N$50:N$69)*Q$2</f>
        <v>0</v>
      </c>
      <c r="R1438" s="88">
        <f>SUMIF(月間集計シート!$M$50:$M$69,$G1438,月間集計シート!O$50:O$69)*R$2</f>
        <v>0</v>
      </c>
      <c r="S1438" s="88">
        <f>SUMIF(月間集計シート!$M$50:$M$69,$G1438,月間集計シート!P$50:P$69)*S$2</f>
        <v>0</v>
      </c>
      <c r="T1438" s="88">
        <f>SUMIF(月間集計シート!$M$50:$M$69,$G1438,月間集計シート!Q$50:Q$69)*T$2</f>
        <v>0</v>
      </c>
      <c r="U1438" s="88">
        <f>SUMIF(月間集計シート!$M$50:$M$69,$G1438,月間集計シート!R$50:R$69)*U$2</f>
        <v>0</v>
      </c>
      <c r="V1438" s="88">
        <f>SUMIF(月間集計シート!$M$50:$M$69,$G1438,月間集計シート!S$50:S$69)*V$2</f>
        <v>0</v>
      </c>
      <c r="W1438" s="88">
        <f>SUMIF(月間集計シート!$M$50:$M$69,$G1438,月間集計シート!T$50:T$69)*W$2</f>
        <v>0</v>
      </c>
      <c r="X1438" s="88">
        <f>SUMIF(月間集計シート!$M$71:$M$90,$G1438,月間集計シート!N$71:N$90)*X$2</f>
        <v>0</v>
      </c>
      <c r="Y1438" s="88">
        <f>SUMIF(月間集計シート!$M$71:$M$90,$G1438,月間集計シート!O$71:O$90)*Y$2</f>
        <v>0</v>
      </c>
      <c r="Z1438" s="88">
        <f>SUMIF(月間集計シート!$M$71:$M$90,$G1438,月間集計シート!P$71:P$90)*Z$2</f>
        <v>0</v>
      </c>
      <c r="AA1438" s="88">
        <f>SUMIF(月間集計シート!$M$71:$M$90,$G1438,月間集計シート!Q$71:Q$90)*AA$2</f>
        <v>0</v>
      </c>
      <c r="AB1438" s="88">
        <f>SUMIF(月間集計シート!$M$71:$M$90,$G1438,月間集計シート!R$71:R$90)*AB$2</f>
        <v>0</v>
      </c>
      <c r="AC1438" s="88">
        <f>SUMIF(月間集計シート!$M$71:$M$90,$G1438,月間集計シート!S$71:S$90)*AC$2</f>
        <v>0</v>
      </c>
      <c r="AD1438" s="88">
        <f>SUMIF(月間集計シート!$M$71:$M$90,$G1438,月間集計シート!T$71:T$90)*AD$2</f>
        <v>0</v>
      </c>
      <c r="AE1438" s="88">
        <f>SUMIF(月間集計シート!$M$92:$M$111,$G1438,月間集計シート!N$92:N$111)*AE$2</f>
        <v>0</v>
      </c>
      <c r="AF1438" s="88">
        <f>SUMIF(月間集計シート!$M$92:$M$111,$G1438,月間集計シート!O$92:O$111)*AF$2</f>
        <v>0</v>
      </c>
      <c r="AG1438" s="88">
        <f>SUMIF(月間集計シート!$M$92:$M$111,$G1438,月間集計シート!P$92:P$111)*AG$2</f>
        <v>0</v>
      </c>
      <c r="AH1438" s="88">
        <f>SUMIF(月間集計シート!$M$92:$M$111,$G1438,月間集計シート!Q$92:Q$111)*AH$2</f>
        <v>0</v>
      </c>
      <c r="AI1438" s="88">
        <f>SUMIF(月間集計シート!$M$92:$M$111,$G1438,月間集計シート!R$92:R$111)*AI$2</f>
        <v>0</v>
      </c>
      <c r="AJ1438" s="88">
        <f>SUMIF(月間集計シート!$M$92:$M$111,$G1438,月間集計シート!S$92:S$111)*AJ$2</f>
        <v>0</v>
      </c>
      <c r="AK1438" s="88">
        <f>SUMIF(月間集計シート!$M$92:$M$111,$G1438,月間集計シート!T$92:T$111)*AK$2</f>
        <v>0</v>
      </c>
      <c r="AL1438" s="88">
        <f>SUMIF(月間集計シート!$M$113:$M$132,$G1438,月間集計シート!N$113:N$132)*AL$2</f>
        <v>0</v>
      </c>
      <c r="AM1438" s="88">
        <f>SUMIF(月間集計シート!$M$113:$M$132,$G1438,月間集計シート!O$113:O$132)*AM$2</f>
        <v>0</v>
      </c>
      <c r="AN1438" s="88">
        <f>SUMIF(月間集計シート!$M$113:$M$132,$G1438,月間集計シート!P$113:P$132)*AN$2</f>
        <v>0</v>
      </c>
      <c r="AO1438" s="88">
        <f>SUMIF(月間集計シート!$M$113:$M$132,$G1438,月間集計シート!Q$113:Q$132)*AO$2</f>
        <v>0</v>
      </c>
      <c r="AP1438" s="88">
        <f>SUMIF(月間集計シート!$M$113:$M$132,$G1438,月間集計シート!R$113:R$132)*AP$2</f>
        <v>0</v>
      </c>
      <c r="AQ1438" s="88">
        <f>SUMIF(月間集計シート!$M$113:$M$132,$G1438,月間集計シート!S$113:S$132)*AQ$2</f>
        <v>0</v>
      </c>
      <c r="AR1438" s="88">
        <f>SUMIF(月間集計シート!$M$113:$M$132,$G1438,月間集計シート!T$113:T$132)*AR$2</f>
        <v>0</v>
      </c>
      <c r="AS1438" s="88">
        <f>SUMIF(月間集計シート!$M$134:$M$153,$G1438,月間集計シート!N$134:N$153)*AS$2</f>
        <v>0</v>
      </c>
      <c r="AT1438" s="88">
        <f>SUMIF(月間集計シート!$M$134:$M$153,$G1438,月間集計シート!O$134:O$153)*AT$2</f>
        <v>0</v>
      </c>
      <c r="AU1438" s="88">
        <f>SUMIF(月間集計シート!$M$134:$M$153,$G1438,月間集計シート!P$134:P$153)*AU$2</f>
        <v>0</v>
      </c>
      <c r="AV1438" s="88">
        <f>SUMIF(月間集計シート!$M$134:$M$153,$G1438,月間集計シート!Q$134:Q$153)*AV$2</f>
        <v>0</v>
      </c>
      <c r="AW1438" s="88">
        <f>SUMIF(月間集計シート!$M$134:$M$153,$G1438,月間集計シート!R$134:R$153)*AW$2</f>
        <v>0</v>
      </c>
      <c r="AX1438" s="88">
        <f>SUMIF(月間集計シート!$M$134:$M$153,$G1438,月間集計シート!S$134:S$153)*AX$2</f>
        <v>0</v>
      </c>
      <c r="AY1438" s="88">
        <f>SUMIF(月間集計シート!$M$134:$M$153,$G1438,月間集計シート!T$134:T$153)*AY$2</f>
        <v>0</v>
      </c>
    </row>
    <row r="1439" spans="1:51" ht="14.25" thickBot="1">
      <c r="A1439">
        <v>17</v>
      </c>
      <c r="B1439" s="120">
        <f t="shared" si="788"/>
        <v>0</v>
      </c>
      <c r="C1439" s="120" t="str">
        <f t="shared" si="788"/>
        <v/>
      </c>
      <c r="D1439" s="137"/>
      <c r="E1439" s="150" t="str">
        <f>工種!A71</f>
        <v>90105</v>
      </c>
      <c r="F1439" s="119" t="str">
        <f>工種!B71</f>
        <v>管理業務：SRB管理</v>
      </c>
      <c r="G1439" s="116" t="str">
        <f t="shared" si="785"/>
        <v>090105</v>
      </c>
      <c r="H1439" s="88">
        <f t="shared" si="787"/>
        <v>0</v>
      </c>
      <c r="I1439" s="132"/>
      <c r="J1439" s="88">
        <f>SUMIF(月間集計シート!$M$29:$M$48,$G1439,月間集計シート!N$29:N$48)*J$2</f>
        <v>0</v>
      </c>
      <c r="K1439" s="88">
        <f>SUMIF(月間集計シート!$M$29:$M$48,$G1439,月間集計シート!O$29:O$48)*K$2</f>
        <v>0</v>
      </c>
      <c r="L1439" s="88">
        <f>SUMIF(月間集計シート!$M$29:$M$48,$G1439,月間集計シート!P$29:P$48)*L$2</f>
        <v>0</v>
      </c>
      <c r="M1439" s="88">
        <f>SUMIF(月間集計シート!$M$29:$M$48,$G1439,月間集計シート!Q$29:Q$48)*M$2</f>
        <v>0</v>
      </c>
      <c r="N1439" s="88">
        <f>SUMIF(月間集計シート!$M$29:$M$48,$G1439,月間集計シート!R$29:R$48)*N$2</f>
        <v>0</v>
      </c>
      <c r="O1439" s="88">
        <f>SUMIF(月間集計シート!$M$29:$M$48,$G1439,月間集計シート!S$29:S$48)*O$2</f>
        <v>0</v>
      </c>
      <c r="P1439" s="88">
        <f>SUMIF(月間集計シート!$M$29:$M$48,$G1439,月間集計シート!T$29:T$48)*P$2</f>
        <v>0</v>
      </c>
      <c r="Q1439" s="88">
        <f>SUMIF(月間集計シート!$M$50:$M$69,$G1439,月間集計シート!N$50:N$69)*Q$2</f>
        <v>0</v>
      </c>
      <c r="R1439" s="88">
        <f>SUMIF(月間集計シート!$M$50:$M$69,$G1439,月間集計シート!O$50:O$69)*R$2</f>
        <v>0</v>
      </c>
      <c r="S1439" s="88">
        <f>SUMIF(月間集計シート!$M$50:$M$69,$G1439,月間集計シート!P$50:P$69)*S$2</f>
        <v>0</v>
      </c>
      <c r="T1439" s="88">
        <f>SUMIF(月間集計シート!$M$50:$M$69,$G1439,月間集計シート!Q$50:Q$69)*T$2</f>
        <v>0</v>
      </c>
      <c r="U1439" s="88">
        <f>SUMIF(月間集計シート!$M$50:$M$69,$G1439,月間集計シート!R$50:R$69)*U$2</f>
        <v>0</v>
      </c>
      <c r="V1439" s="88">
        <f>SUMIF(月間集計シート!$M$50:$M$69,$G1439,月間集計シート!S$50:S$69)*V$2</f>
        <v>0</v>
      </c>
      <c r="W1439" s="88">
        <f>SUMIF(月間集計シート!$M$50:$M$69,$G1439,月間集計シート!T$50:T$69)*W$2</f>
        <v>0</v>
      </c>
      <c r="X1439" s="88">
        <f>SUMIF(月間集計シート!$M$71:$M$90,$G1439,月間集計シート!N$71:N$90)*X$2</f>
        <v>0</v>
      </c>
      <c r="Y1439" s="88">
        <f>SUMIF(月間集計シート!$M$71:$M$90,$G1439,月間集計シート!O$71:O$90)*Y$2</f>
        <v>0</v>
      </c>
      <c r="Z1439" s="88">
        <f>SUMIF(月間集計シート!$M$71:$M$90,$G1439,月間集計シート!P$71:P$90)*Z$2</f>
        <v>0</v>
      </c>
      <c r="AA1439" s="88">
        <f>SUMIF(月間集計シート!$M$71:$M$90,$G1439,月間集計シート!Q$71:Q$90)*AA$2</f>
        <v>0</v>
      </c>
      <c r="AB1439" s="88">
        <f>SUMIF(月間集計シート!$M$71:$M$90,$G1439,月間集計シート!R$71:R$90)*AB$2</f>
        <v>0</v>
      </c>
      <c r="AC1439" s="88">
        <f>SUMIF(月間集計シート!$M$71:$M$90,$G1439,月間集計シート!S$71:S$90)*AC$2</f>
        <v>0</v>
      </c>
      <c r="AD1439" s="88">
        <f>SUMIF(月間集計シート!$M$71:$M$90,$G1439,月間集計シート!T$71:T$90)*AD$2</f>
        <v>0</v>
      </c>
      <c r="AE1439" s="88">
        <f>SUMIF(月間集計シート!$M$92:$M$111,$G1439,月間集計シート!N$92:N$111)*AE$2</f>
        <v>0</v>
      </c>
      <c r="AF1439" s="88">
        <f>SUMIF(月間集計シート!$M$92:$M$111,$G1439,月間集計シート!O$92:O$111)*AF$2</f>
        <v>0</v>
      </c>
      <c r="AG1439" s="88">
        <f>SUMIF(月間集計シート!$M$92:$M$111,$G1439,月間集計シート!P$92:P$111)*AG$2</f>
        <v>0</v>
      </c>
      <c r="AH1439" s="88">
        <f>SUMIF(月間集計シート!$M$92:$M$111,$G1439,月間集計シート!Q$92:Q$111)*AH$2</f>
        <v>0</v>
      </c>
      <c r="AI1439" s="88">
        <f>SUMIF(月間集計シート!$M$92:$M$111,$G1439,月間集計シート!R$92:R$111)*AI$2</f>
        <v>0</v>
      </c>
      <c r="AJ1439" s="88">
        <f>SUMIF(月間集計シート!$M$92:$M$111,$G1439,月間集計シート!S$92:S$111)*AJ$2</f>
        <v>0</v>
      </c>
      <c r="AK1439" s="88">
        <f>SUMIF(月間集計シート!$M$92:$M$111,$G1439,月間集計シート!T$92:T$111)*AK$2</f>
        <v>0</v>
      </c>
      <c r="AL1439" s="88">
        <f>SUMIF(月間集計シート!$M$113:$M$132,$G1439,月間集計シート!N$113:N$132)*AL$2</f>
        <v>0</v>
      </c>
      <c r="AM1439" s="88">
        <f>SUMIF(月間集計シート!$M$113:$M$132,$G1439,月間集計シート!O$113:O$132)*AM$2</f>
        <v>0</v>
      </c>
      <c r="AN1439" s="88">
        <f>SUMIF(月間集計シート!$M$113:$M$132,$G1439,月間集計シート!P$113:P$132)*AN$2</f>
        <v>0</v>
      </c>
      <c r="AO1439" s="88">
        <f>SUMIF(月間集計シート!$M$113:$M$132,$G1439,月間集計シート!Q$113:Q$132)*AO$2</f>
        <v>0</v>
      </c>
      <c r="AP1439" s="88">
        <f>SUMIF(月間集計シート!$M$113:$M$132,$G1439,月間集計シート!R$113:R$132)*AP$2</f>
        <v>0</v>
      </c>
      <c r="AQ1439" s="88">
        <f>SUMIF(月間集計シート!$M$113:$M$132,$G1439,月間集計シート!S$113:S$132)*AQ$2</f>
        <v>0</v>
      </c>
      <c r="AR1439" s="88">
        <f>SUMIF(月間集計シート!$M$113:$M$132,$G1439,月間集計シート!T$113:T$132)*AR$2</f>
        <v>0</v>
      </c>
      <c r="AS1439" s="88">
        <f>SUMIF(月間集計シート!$M$134:$M$153,$G1439,月間集計シート!N$134:N$153)*AS$2</f>
        <v>0</v>
      </c>
      <c r="AT1439" s="88">
        <f>SUMIF(月間集計シート!$M$134:$M$153,$G1439,月間集計シート!O$134:O$153)*AT$2</f>
        <v>0</v>
      </c>
      <c r="AU1439" s="88">
        <f>SUMIF(月間集計シート!$M$134:$M$153,$G1439,月間集計シート!P$134:P$153)*AU$2</f>
        <v>0</v>
      </c>
      <c r="AV1439" s="88">
        <f>SUMIF(月間集計シート!$M$134:$M$153,$G1439,月間集計シート!Q$134:Q$153)*AV$2</f>
        <v>0</v>
      </c>
      <c r="AW1439" s="88">
        <f>SUMIF(月間集計シート!$M$134:$M$153,$G1439,月間集計シート!R$134:R$153)*AW$2</f>
        <v>0</v>
      </c>
      <c r="AX1439" s="88">
        <f>SUMIF(月間集計シート!$M$134:$M$153,$G1439,月間集計シート!S$134:S$153)*AX$2</f>
        <v>0</v>
      </c>
      <c r="AY1439" s="88">
        <f>SUMIF(月間集計シート!$M$134:$M$153,$G1439,月間集計シート!T$134:T$153)*AY$2</f>
        <v>0</v>
      </c>
    </row>
    <row r="1440" spans="1:51" ht="14.25" thickBot="1">
      <c r="A1440">
        <v>17</v>
      </c>
      <c r="B1440" s="120">
        <f t="shared" si="788"/>
        <v>0</v>
      </c>
      <c r="C1440" s="120" t="str">
        <f t="shared" si="788"/>
        <v/>
      </c>
      <c r="D1440" s="137"/>
      <c r="E1440" s="150" t="str">
        <f>工種!A72</f>
        <v>90107</v>
      </c>
      <c r="F1440" s="119" t="str">
        <f>工種!B72</f>
        <v>管理業務：開発事務作業</v>
      </c>
      <c r="G1440" s="116" t="str">
        <f t="shared" si="785"/>
        <v>090107</v>
      </c>
      <c r="H1440" s="88">
        <f t="shared" si="787"/>
        <v>0</v>
      </c>
      <c r="I1440" s="132"/>
      <c r="J1440" s="88">
        <f>SUMIF(月間集計シート!$M$29:$M$48,$G1440,月間集計シート!N$29:N$48)*J$2</f>
        <v>0</v>
      </c>
      <c r="K1440" s="88">
        <f>SUMIF(月間集計シート!$M$29:$M$48,$G1440,月間集計シート!O$29:O$48)*K$2</f>
        <v>0</v>
      </c>
      <c r="L1440" s="88">
        <f>SUMIF(月間集計シート!$M$29:$M$48,$G1440,月間集計シート!P$29:P$48)*L$2</f>
        <v>0</v>
      </c>
      <c r="M1440" s="88">
        <f>SUMIF(月間集計シート!$M$29:$M$48,$G1440,月間集計シート!Q$29:Q$48)*M$2</f>
        <v>0</v>
      </c>
      <c r="N1440" s="88">
        <f>SUMIF(月間集計シート!$M$29:$M$48,$G1440,月間集計シート!R$29:R$48)*N$2</f>
        <v>0</v>
      </c>
      <c r="O1440" s="88">
        <f>SUMIF(月間集計シート!$M$29:$M$48,$G1440,月間集計シート!S$29:S$48)*O$2</f>
        <v>0</v>
      </c>
      <c r="P1440" s="88">
        <f>SUMIF(月間集計シート!$M$29:$M$48,$G1440,月間集計シート!T$29:T$48)*P$2</f>
        <v>0</v>
      </c>
      <c r="Q1440" s="88">
        <f>SUMIF(月間集計シート!$M$50:$M$69,$G1440,月間集計シート!N$50:N$69)*Q$2</f>
        <v>0</v>
      </c>
      <c r="R1440" s="88">
        <f>SUMIF(月間集計シート!$M$50:$M$69,$G1440,月間集計シート!O$50:O$69)*R$2</f>
        <v>0</v>
      </c>
      <c r="S1440" s="88">
        <f>SUMIF(月間集計シート!$M$50:$M$69,$G1440,月間集計シート!P$50:P$69)*S$2</f>
        <v>0</v>
      </c>
      <c r="T1440" s="88">
        <f>SUMIF(月間集計シート!$M$50:$M$69,$G1440,月間集計シート!Q$50:Q$69)*T$2</f>
        <v>0</v>
      </c>
      <c r="U1440" s="88">
        <f>SUMIF(月間集計シート!$M$50:$M$69,$G1440,月間集計シート!R$50:R$69)*U$2</f>
        <v>0</v>
      </c>
      <c r="V1440" s="88">
        <f>SUMIF(月間集計シート!$M$50:$M$69,$G1440,月間集計シート!S$50:S$69)*V$2</f>
        <v>0</v>
      </c>
      <c r="W1440" s="88">
        <f>SUMIF(月間集計シート!$M$50:$M$69,$G1440,月間集計シート!T$50:T$69)*W$2</f>
        <v>0</v>
      </c>
      <c r="X1440" s="88">
        <f>SUMIF(月間集計シート!$M$71:$M$90,$G1440,月間集計シート!N$71:N$90)*X$2</f>
        <v>0</v>
      </c>
      <c r="Y1440" s="88">
        <f>SUMIF(月間集計シート!$M$71:$M$90,$G1440,月間集計シート!O$71:O$90)*Y$2</f>
        <v>0</v>
      </c>
      <c r="Z1440" s="88">
        <f>SUMIF(月間集計シート!$M$71:$M$90,$G1440,月間集計シート!P$71:P$90)*Z$2</f>
        <v>0</v>
      </c>
      <c r="AA1440" s="88">
        <f>SUMIF(月間集計シート!$M$71:$M$90,$G1440,月間集計シート!Q$71:Q$90)*AA$2</f>
        <v>0</v>
      </c>
      <c r="AB1440" s="88">
        <f>SUMIF(月間集計シート!$M$71:$M$90,$G1440,月間集計シート!R$71:R$90)*AB$2</f>
        <v>0</v>
      </c>
      <c r="AC1440" s="88">
        <f>SUMIF(月間集計シート!$M$71:$M$90,$G1440,月間集計シート!S$71:S$90)*AC$2</f>
        <v>0</v>
      </c>
      <c r="AD1440" s="88">
        <f>SUMIF(月間集計シート!$M$71:$M$90,$G1440,月間集計シート!T$71:T$90)*AD$2</f>
        <v>0</v>
      </c>
      <c r="AE1440" s="88">
        <f>SUMIF(月間集計シート!$M$92:$M$111,$G1440,月間集計シート!N$92:N$111)*AE$2</f>
        <v>0</v>
      </c>
      <c r="AF1440" s="88">
        <f>SUMIF(月間集計シート!$M$92:$M$111,$G1440,月間集計シート!O$92:O$111)*AF$2</f>
        <v>0</v>
      </c>
      <c r="AG1440" s="88">
        <f>SUMIF(月間集計シート!$M$92:$M$111,$G1440,月間集計シート!P$92:P$111)*AG$2</f>
        <v>0</v>
      </c>
      <c r="AH1440" s="88">
        <f>SUMIF(月間集計シート!$M$92:$M$111,$G1440,月間集計シート!Q$92:Q$111)*AH$2</f>
        <v>0</v>
      </c>
      <c r="AI1440" s="88">
        <f>SUMIF(月間集計シート!$M$92:$M$111,$G1440,月間集計シート!R$92:R$111)*AI$2</f>
        <v>0</v>
      </c>
      <c r="AJ1440" s="88">
        <f>SUMIF(月間集計シート!$M$92:$M$111,$G1440,月間集計シート!S$92:S$111)*AJ$2</f>
        <v>0</v>
      </c>
      <c r="AK1440" s="88">
        <f>SUMIF(月間集計シート!$M$92:$M$111,$G1440,月間集計シート!T$92:T$111)*AK$2</f>
        <v>0</v>
      </c>
      <c r="AL1440" s="88">
        <f>SUMIF(月間集計シート!$M$113:$M$132,$G1440,月間集計シート!N$113:N$132)*AL$2</f>
        <v>0</v>
      </c>
      <c r="AM1440" s="88">
        <f>SUMIF(月間集計シート!$M$113:$M$132,$G1440,月間集計シート!O$113:O$132)*AM$2</f>
        <v>0</v>
      </c>
      <c r="AN1440" s="88">
        <f>SUMIF(月間集計シート!$M$113:$M$132,$G1440,月間集計シート!P$113:P$132)*AN$2</f>
        <v>0</v>
      </c>
      <c r="AO1440" s="88">
        <f>SUMIF(月間集計シート!$M$113:$M$132,$G1440,月間集計シート!Q$113:Q$132)*AO$2</f>
        <v>0</v>
      </c>
      <c r="AP1440" s="88">
        <f>SUMIF(月間集計シート!$M$113:$M$132,$G1440,月間集計シート!R$113:R$132)*AP$2</f>
        <v>0</v>
      </c>
      <c r="AQ1440" s="88">
        <f>SUMIF(月間集計シート!$M$113:$M$132,$G1440,月間集計シート!S$113:S$132)*AQ$2</f>
        <v>0</v>
      </c>
      <c r="AR1440" s="88">
        <f>SUMIF(月間集計シート!$M$113:$M$132,$G1440,月間集計シート!T$113:T$132)*AR$2</f>
        <v>0</v>
      </c>
      <c r="AS1440" s="88">
        <f>SUMIF(月間集計シート!$M$134:$M$153,$G1440,月間集計シート!N$134:N$153)*AS$2</f>
        <v>0</v>
      </c>
      <c r="AT1440" s="88">
        <f>SUMIF(月間集計シート!$M$134:$M$153,$G1440,月間集計シート!O$134:O$153)*AT$2</f>
        <v>0</v>
      </c>
      <c r="AU1440" s="88">
        <f>SUMIF(月間集計シート!$M$134:$M$153,$G1440,月間集計シート!P$134:P$153)*AU$2</f>
        <v>0</v>
      </c>
      <c r="AV1440" s="88">
        <f>SUMIF(月間集計シート!$M$134:$M$153,$G1440,月間集計シート!Q$134:Q$153)*AV$2</f>
        <v>0</v>
      </c>
      <c r="AW1440" s="88">
        <f>SUMIF(月間集計シート!$M$134:$M$153,$G1440,月間集計シート!R$134:R$153)*AW$2</f>
        <v>0</v>
      </c>
      <c r="AX1440" s="88">
        <f>SUMIF(月間集計シート!$M$134:$M$153,$G1440,月間集計シート!S$134:S$153)*AX$2</f>
        <v>0</v>
      </c>
      <c r="AY1440" s="88">
        <f>SUMIF(月間集計シート!$M$134:$M$153,$G1440,月間集計シート!T$134:T$153)*AY$2</f>
        <v>0</v>
      </c>
    </row>
    <row r="1441" spans="1:51" ht="14.25" thickBot="1">
      <c r="A1441">
        <v>17</v>
      </c>
      <c r="B1441" s="120">
        <f t="shared" si="788"/>
        <v>0</v>
      </c>
      <c r="C1441" s="120" t="str">
        <f t="shared" si="788"/>
        <v/>
      </c>
      <c r="D1441" s="137"/>
      <c r="E1441" s="150" t="str">
        <f>工種!A73</f>
        <v>90108</v>
      </c>
      <c r="F1441" s="119" t="str">
        <f>工種!B73</f>
        <v>管理業務：外部不具合分析</v>
      </c>
      <c r="G1441" s="116" t="str">
        <f t="shared" si="785"/>
        <v>090108</v>
      </c>
      <c r="H1441" s="88">
        <f t="shared" si="787"/>
        <v>0</v>
      </c>
      <c r="I1441" s="132"/>
      <c r="J1441" s="88">
        <f>SUMIF(月間集計シート!$M$29:$M$48,$G1441,月間集計シート!N$29:N$48)*J$2</f>
        <v>0</v>
      </c>
      <c r="K1441" s="88">
        <f>SUMIF(月間集計シート!$M$29:$M$48,$G1441,月間集計シート!O$29:O$48)*K$2</f>
        <v>0</v>
      </c>
      <c r="L1441" s="88">
        <f>SUMIF(月間集計シート!$M$29:$M$48,$G1441,月間集計シート!P$29:P$48)*L$2</f>
        <v>0</v>
      </c>
      <c r="M1441" s="88">
        <f>SUMIF(月間集計シート!$M$29:$M$48,$G1441,月間集計シート!Q$29:Q$48)*M$2</f>
        <v>0</v>
      </c>
      <c r="N1441" s="88">
        <f>SUMIF(月間集計シート!$M$29:$M$48,$G1441,月間集計シート!R$29:R$48)*N$2</f>
        <v>0</v>
      </c>
      <c r="O1441" s="88">
        <f>SUMIF(月間集計シート!$M$29:$M$48,$G1441,月間集計シート!S$29:S$48)*O$2</f>
        <v>0</v>
      </c>
      <c r="P1441" s="88">
        <f>SUMIF(月間集計シート!$M$29:$M$48,$G1441,月間集計シート!T$29:T$48)*P$2</f>
        <v>0</v>
      </c>
      <c r="Q1441" s="88">
        <f>SUMIF(月間集計シート!$M$50:$M$69,$G1441,月間集計シート!N$50:N$69)*Q$2</f>
        <v>0</v>
      </c>
      <c r="R1441" s="88">
        <f>SUMIF(月間集計シート!$M$50:$M$69,$G1441,月間集計シート!O$50:O$69)*R$2</f>
        <v>0</v>
      </c>
      <c r="S1441" s="88">
        <f>SUMIF(月間集計シート!$M$50:$M$69,$G1441,月間集計シート!P$50:P$69)*S$2</f>
        <v>0</v>
      </c>
      <c r="T1441" s="88">
        <f>SUMIF(月間集計シート!$M$50:$M$69,$G1441,月間集計シート!Q$50:Q$69)*T$2</f>
        <v>0</v>
      </c>
      <c r="U1441" s="88">
        <f>SUMIF(月間集計シート!$M$50:$M$69,$G1441,月間集計シート!R$50:R$69)*U$2</f>
        <v>0</v>
      </c>
      <c r="V1441" s="88">
        <f>SUMIF(月間集計シート!$M$50:$M$69,$G1441,月間集計シート!S$50:S$69)*V$2</f>
        <v>0</v>
      </c>
      <c r="W1441" s="88">
        <f>SUMIF(月間集計シート!$M$50:$M$69,$G1441,月間集計シート!T$50:T$69)*W$2</f>
        <v>0</v>
      </c>
      <c r="X1441" s="88">
        <f>SUMIF(月間集計シート!$M$71:$M$90,$G1441,月間集計シート!N$71:N$90)*X$2</f>
        <v>0</v>
      </c>
      <c r="Y1441" s="88">
        <f>SUMIF(月間集計シート!$M$71:$M$90,$G1441,月間集計シート!O$71:O$90)*Y$2</f>
        <v>0</v>
      </c>
      <c r="Z1441" s="88">
        <f>SUMIF(月間集計シート!$M$71:$M$90,$G1441,月間集計シート!P$71:P$90)*Z$2</f>
        <v>0</v>
      </c>
      <c r="AA1441" s="88">
        <f>SUMIF(月間集計シート!$M$71:$M$90,$G1441,月間集計シート!Q$71:Q$90)*AA$2</f>
        <v>0</v>
      </c>
      <c r="AB1441" s="88">
        <f>SUMIF(月間集計シート!$M$71:$M$90,$G1441,月間集計シート!R$71:R$90)*AB$2</f>
        <v>0</v>
      </c>
      <c r="AC1441" s="88">
        <f>SUMIF(月間集計シート!$M$71:$M$90,$G1441,月間集計シート!S$71:S$90)*AC$2</f>
        <v>0</v>
      </c>
      <c r="AD1441" s="88">
        <f>SUMIF(月間集計シート!$M$71:$M$90,$G1441,月間集計シート!T$71:T$90)*AD$2</f>
        <v>0</v>
      </c>
      <c r="AE1441" s="88">
        <f>SUMIF(月間集計シート!$M$92:$M$111,$G1441,月間集計シート!N$92:N$111)*AE$2</f>
        <v>0</v>
      </c>
      <c r="AF1441" s="88">
        <f>SUMIF(月間集計シート!$M$92:$M$111,$G1441,月間集計シート!O$92:O$111)*AF$2</f>
        <v>0</v>
      </c>
      <c r="AG1441" s="88">
        <f>SUMIF(月間集計シート!$M$92:$M$111,$G1441,月間集計シート!P$92:P$111)*AG$2</f>
        <v>0</v>
      </c>
      <c r="AH1441" s="88">
        <f>SUMIF(月間集計シート!$M$92:$M$111,$G1441,月間集計シート!Q$92:Q$111)*AH$2</f>
        <v>0</v>
      </c>
      <c r="AI1441" s="88">
        <f>SUMIF(月間集計シート!$M$92:$M$111,$G1441,月間集計シート!R$92:R$111)*AI$2</f>
        <v>0</v>
      </c>
      <c r="AJ1441" s="88">
        <f>SUMIF(月間集計シート!$M$92:$M$111,$G1441,月間集計シート!S$92:S$111)*AJ$2</f>
        <v>0</v>
      </c>
      <c r="AK1441" s="88">
        <f>SUMIF(月間集計シート!$M$92:$M$111,$G1441,月間集計シート!T$92:T$111)*AK$2</f>
        <v>0</v>
      </c>
      <c r="AL1441" s="88">
        <f>SUMIF(月間集計シート!$M$113:$M$132,$G1441,月間集計シート!N$113:N$132)*AL$2</f>
        <v>0</v>
      </c>
      <c r="AM1441" s="88">
        <f>SUMIF(月間集計シート!$M$113:$M$132,$G1441,月間集計シート!O$113:O$132)*AM$2</f>
        <v>0</v>
      </c>
      <c r="AN1441" s="88">
        <f>SUMIF(月間集計シート!$M$113:$M$132,$G1441,月間集計シート!P$113:P$132)*AN$2</f>
        <v>0</v>
      </c>
      <c r="AO1441" s="88">
        <f>SUMIF(月間集計シート!$M$113:$M$132,$G1441,月間集計シート!Q$113:Q$132)*AO$2</f>
        <v>0</v>
      </c>
      <c r="AP1441" s="88">
        <f>SUMIF(月間集計シート!$M$113:$M$132,$G1441,月間集計シート!R$113:R$132)*AP$2</f>
        <v>0</v>
      </c>
      <c r="AQ1441" s="88">
        <f>SUMIF(月間集計シート!$M$113:$M$132,$G1441,月間集計シート!S$113:S$132)*AQ$2</f>
        <v>0</v>
      </c>
      <c r="AR1441" s="88">
        <f>SUMIF(月間集計シート!$M$113:$M$132,$G1441,月間集計シート!T$113:T$132)*AR$2</f>
        <v>0</v>
      </c>
      <c r="AS1441" s="88">
        <f>SUMIF(月間集計シート!$M$134:$M$153,$G1441,月間集計シート!N$134:N$153)*AS$2</f>
        <v>0</v>
      </c>
      <c r="AT1441" s="88">
        <f>SUMIF(月間集計シート!$M$134:$M$153,$G1441,月間集計シート!O$134:O$153)*AT$2</f>
        <v>0</v>
      </c>
      <c r="AU1441" s="88">
        <f>SUMIF(月間集計シート!$M$134:$M$153,$G1441,月間集計シート!P$134:P$153)*AU$2</f>
        <v>0</v>
      </c>
      <c r="AV1441" s="88">
        <f>SUMIF(月間集計シート!$M$134:$M$153,$G1441,月間集計シート!Q$134:Q$153)*AV$2</f>
        <v>0</v>
      </c>
      <c r="AW1441" s="88">
        <f>SUMIF(月間集計シート!$M$134:$M$153,$G1441,月間集計シート!R$134:R$153)*AW$2</f>
        <v>0</v>
      </c>
      <c r="AX1441" s="88">
        <f>SUMIF(月間集計シート!$M$134:$M$153,$G1441,月間集計シート!S$134:S$153)*AX$2</f>
        <v>0</v>
      </c>
      <c r="AY1441" s="88">
        <f>SUMIF(月間集計シート!$M$134:$M$153,$G1441,月間集計シート!T$134:T$153)*AY$2</f>
        <v>0</v>
      </c>
    </row>
    <row r="1442" spans="1:51" ht="14.25" thickBot="1">
      <c r="A1442">
        <v>17</v>
      </c>
      <c r="B1442" s="120">
        <f t="shared" si="788"/>
        <v>0</v>
      </c>
      <c r="C1442" s="120" t="str">
        <f t="shared" si="788"/>
        <v/>
      </c>
      <c r="D1442" s="137"/>
      <c r="E1442" s="150" t="str">
        <f>工種!A74</f>
        <v>90110</v>
      </c>
      <c r="F1442" s="119" t="str">
        <f>工種!B74</f>
        <v>管理業務：打合せ</v>
      </c>
      <c r="G1442" s="116" t="str">
        <f t="shared" si="785"/>
        <v>090110</v>
      </c>
      <c r="H1442" s="88">
        <f t="shared" si="787"/>
        <v>0</v>
      </c>
      <c r="I1442" s="132"/>
      <c r="J1442" s="88">
        <f>SUMIF(月間集計シート!$M$29:$M$48,$G1442,月間集計シート!N$29:N$48)*J$2</f>
        <v>0</v>
      </c>
      <c r="K1442" s="88">
        <f>SUMIF(月間集計シート!$M$29:$M$48,$G1442,月間集計シート!O$29:O$48)*K$2</f>
        <v>0</v>
      </c>
      <c r="L1442" s="88">
        <f>SUMIF(月間集計シート!$M$29:$M$48,$G1442,月間集計シート!P$29:P$48)*L$2</f>
        <v>0</v>
      </c>
      <c r="M1442" s="88">
        <f>SUMIF(月間集計シート!$M$29:$M$48,$G1442,月間集計シート!Q$29:Q$48)*M$2</f>
        <v>0</v>
      </c>
      <c r="N1442" s="88">
        <f>SUMIF(月間集計シート!$M$29:$M$48,$G1442,月間集計シート!R$29:R$48)*N$2</f>
        <v>0</v>
      </c>
      <c r="O1442" s="88">
        <f>SUMIF(月間集計シート!$M$29:$M$48,$G1442,月間集計シート!S$29:S$48)*O$2</f>
        <v>0</v>
      </c>
      <c r="P1442" s="88">
        <f>SUMIF(月間集計シート!$M$29:$M$48,$G1442,月間集計シート!T$29:T$48)*P$2</f>
        <v>0</v>
      </c>
      <c r="Q1442" s="88">
        <f>SUMIF(月間集計シート!$M$50:$M$69,$G1442,月間集計シート!N$50:N$69)*Q$2</f>
        <v>0</v>
      </c>
      <c r="R1442" s="88">
        <f>SUMIF(月間集計シート!$M$50:$M$69,$G1442,月間集計シート!O$50:O$69)*R$2</f>
        <v>0</v>
      </c>
      <c r="S1442" s="88">
        <f>SUMIF(月間集計シート!$M$50:$M$69,$G1442,月間集計シート!P$50:P$69)*S$2</f>
        <v>0</v>
      </c>
      <c r="T1442" s="88">
        <f>SUMIF(月間集計シート!$M$50:$M$69,$G1442,月間集計シート!Q$50:Q$69)*T$2</f>
        <v>0</v>
      </c>
      <c r="U1442" s="88">
        <f>SUMIF(月間集計シート!$M$50:$M$69,$G1442,月間集計シート!R$50:R$69)*U$2</f>
        <v>0</v>
      </c>
      <c r="V1442" s="88">
        <f>SUMIF(月間集計シート!$M$50:$M$69,$G1442,月間集計シート!S$50:S$69)*V$2</f>
        <v>0</v>
      </c>
      <c r="W1442" s="88">
        <f>SUMIF(月間集計シート!$M$50:$M$69,$G1442,月間集計シート!T$50:T$69)*W$2</f>
        <v>0</v>
      </c>
      <c r="X1442" s="88">
        <f>SUMIF(月間集計シート!$M$71:$M$90,$G1442,月間集計シート!N$71:N$90)*X$2</f>
        <v>0</v>
      </c>
      <c r="Y1442" s="88">
        <f>SUMIF(月間集計シート!$M$71:$M$90,$G1442,月間集計シート!O$71:O$90)*Y$2</f>
        <v>0</v>
      </c>
      <c r="Z1442" s="88">
        <f>SUMIF(月間集計シート!$M$71:$M$90,$G1442,月間集計シート!P$71:P$90)*Z$2</f>
        <v>0</v>
      </c>
      <c r="AA1442" s="88">
        <f>SUMIF(月間集計シート!$M$71:$M$90,$G1442,月間集計シート!Q$71:Q$90)*AA$2</f>
        <v>0</v>
      </c>
      <c r="AB1442" s="88">
        <f>SUMIF(月間集計シート!$M$71:$M$90,$G1442,月間集計シート!R$71:R$90)*AB$2</f>
        <v>0</v>
      </c>
      <c r="AC1442" s="88">
        <f>SUMIF(月間集計シート!$M$71:$M$90,$G1442,月間集計シート!S$71:S$90)*AC$2</f>
        <v>0</v>
      </c>
      <c r="AD1442" s="88">
        <f>SUMIF(月間集計シート!$M$71:$M$90,$G1442,月間集計シート!T$71:T$90)*AD$2</f>
        <v>0</v>
      </c>
      <c r="AE1442" s="88">
        <f>SUMIF(月間集計シート!$M$92:$M$111,$G1442,月間集計シート!N$92:N$111)*AE$2</f>
        <v>0</v>
      </c>
      <c r="AF1442" s="88">
        <f>SUMIF(月間集計シート!$M$92:$M$111,$G1442,月間集計シート!O$92:O$111)*AF$2</f>
        <v>0</v>
      </c>
      <c r="AG1442" s="88">
        <f>SUMIF(月間集計シート!$M$92:$M$111,$G1442,月間集計シート!P$92:P$111)*AG$2</f>
        <v>0</v>
      </c>
      <c r="AH1442" s="88">
        <f>SUMIF(月間集計シート!$M$92:$M$111,$G1442,月間集計シート!Q$92:Q$111)*AH$2</f>
        <v>0</v>
      </c>
      <c r="AI1442" s="88">
        <f>SUMIF(月間集計シート!$M$92:$M$111,$G1442,月間集計シート!R$92:R$111)*AI$2</f>
        <v>0</v>
      </c>
      <c r="AJ1442" s="88">
        <f>SUMIF(月間集計シート!$M$92:$M$111,$G1442,月間集計シート!S$92:S$111)*AJ$2</f>
        <v>0</v>
      </c>
      <c r="AK1442" s="88">
        <f>SUMIF(月間集計シート!$M$92:$M$111,$G1442,月間集計シート!T$92:T$111)*AK$2</f>
        <v>0</v>
      </c>
      <c r="AL1442" s="88">
        <f>SUMIF(月間集計シート!$M$113:$M$132,$G1442,月間集計シート!N$113:N$132)*AL$2</f>
        <v>0</v>
      </c>
      <c r="AM1442" s="88">
        <f>SUMIF(月間集計シート!$M$113:$M$132,$G1442,月間集計シート!O$113:O$132)*AM$2</f>
        <v>0</v>
      </c>
      <c r="AN1442" s="88">
        <f>SUMIF(月間集計シート!$M$113:$M$132,$G1442,月間集計シート!P$113:P$132)*AN$2</f>
        <v>0</v>
      </c>
      <c r="AO1442" s="88">
        <f>SUMIF(月間集計シート!$M$113:$M$132,$G1442,月間集計シート!Q$113:Q$132)*AO$2</f>
        <v>0</v>
      </c>
      <c r="AP1442" s="88">
        <f>SUMIF(月間集計シート!$M$113:$M$132,$G1442,月間集計シート!R$113:R$132)*AP$2</f>
        <v>0</v>
      </c>
      <c r="AQ1442" s="88">
        <f>SUMIF(月間集計シート!$M$113:$M$132,$G1442,月間集計シート!S$113:S$132)*AQ$2</f>
        <v>0</v>
      </c>
      <c r="AR1442" s="88">
        <f>SUMIF(月間集計シート!$M$113:$M$132,$G1442,月間集計シート!T$113:T$132)*AR$2</f>
        <v>0</v>
      </c>
      <c r="AS1442" s="88">
        <f>SUMIF(月間集計シート!$M$134:$M$153,$G1442,月間集計シート!N$134:N$153)*AS$2</f>
        <v>0</v>
      </c>
      <c r="AT1442" s="88">
        <f>SUMIF(月間集計シート!$M$134:$M$153,$G1442,月間集計シート!O$134:O$153)*AT$2</f>
        <v>0</v>
      </c>
      <c r="AU1442" s="88">
        <f>SUMIF(月間集計シート!$M$134:$M$153,$G1442,月間集計シート!P$134:P$153)*AU$2</f>
        <v>0</v>
      </c>
      <c r="AV1442" s="88">
        <f>SUMIF(月間集計シート!$M$134:$M$153,$G1442,月間集計シート!Q$134:Q$153)*AV$2</f>
        <v>0</v>
      </c>
      <c r="AW1442" s="88">
        <f>SUMIF(月間集計シート!$M$134:$M$153,$G1442,月間集計シート!R$134:R$153)*AW$2</f>
        <v>0</v>
      </c>
      <c r="AX1442" s="88">
        <f>SUMIF(月間集計シート!$M$134:$M$153,$G1442,月間集計シート!S$134:S$153)*AX$2</f>
        <v>0</v>
      </c>
      <c r="AY1442" s="88">
        <f>SUMIF(月間集計シート!$M$134:$M$153,$G1442,月間集計シート!T$134:T$153)*AY$2</f>
        <v>0</v>
      </c>
    </row>
    <row r="1443" spans="1:51" ht="14.25" thickBot="1">
      <c r="A1443">
        <v>17</v>
      </c>
      <c r="B1443" s="120">
        <f t="shared" si="788"/>
        <v>0</v>
      </c>
      <c r="C1443" s="120" t="str">
        <f t="shared" si="788"/>
        <v/>
      </c>
      <c r="D1443" s="137"/>
      <c r="E1443" s="150" t="str">
        <f>工種!A75</f>
        <v>90111</v>
      </c>
      <c r="F1443" s="119" t="str">
        <f>工種!B75</f>
        <v>管理業務：レビュー</v>
      </c>
      <c r="G1443" s="116" t="str">
        <f t="shared" si="785"/>
        <v>090111</v>
      </c>
      <c r="H1443" s="88">
        <f t="shared" si="787"/>
        <v>0</v>
      </c>
      <c r="I1443" s="132"/>
      <c r="J1443" s="88">
        <f>SUMIF(月間集計シート!$M$29:$M$48,$G1443,月間集計シート!N$29:N$48)*J$2</f>
        <v>0</v>
      </c>
      <c r="K1443" s="88">
        <f>SUMIF(月間集計シート!$M$29:$M$48,$G1443,月間集計シート!O$29:O$48)*K$2</f>
        <v>0</v>
      </c>
      <c r="L1443" s="88">
        <f>SUMIF(月間集計シート!$M$29:$M$48,$G1443,月間集計シート!P$29:P$48)*L$2</f>
        <v>0</v>
      </c>
      <c r="M1443" s="88">
        <f>SUMIF(月間集計シート!$M$29:$M$48,$G1443,月間集計シート!Q$29:Q$48)*M$2</f>
        <v>0</v>
      </c>
      <c r="N1443" s="88">
        <f>SUMIF(月間集計シート!$M$29:$M$48,$G1443,月間集計シート!R$29:R$48)*N$2</f>
        <v>0</v>
      </c>
      <c r="O1443" s="88">
        <f>SUMIF(月間集計シート!$M$29:$M$48,$G1443,月間集計シート!S$29:S$48)*O$2</f>
        <v>0</v>
      </c>
      <c r="P1443" s="88">
        <f>SUMIF(月間集計シート!$M$29:$M$48,$G1443,月間集計シート!T$29:T$48)*P$2</f>
        <v>0</v>
      </c>
      <c r="Q1443" s="88">
        <f>SUMIF(月間集計シート!$M$50:$M$69,$G1443,月間集計シート!N$50:N$69)*Q$2</f>
        <v>0</v>
      </c>
      <c r="R1443" s="88">
        <f>SUMIF(月間集計シート!$M$50:$M$69,$G1443,月間集計シート!O$50:O$69)*R$2</f>
        <v>0</v>
      </c>
      <c r="S1443" s="88">
        <f>SUMIF(月間集計シート!$M$50:$M$69,$G1443,月間集計シート!P$50:P$69)*S$2</f>
        <v>0</v>
      </c>
      <c r="T1443" s="88">
        <f>SUMIF(月間集計シート!$M$50:$M$69,$G1443,月間集計シート!Q$50:Q$69)*T$2</f>
        <v>0</v>
      </c>
      <c r="U1443" s="88">
        <f>SUMIF(月間集計シート!$M$50:$M$69,$G1443,月間集計シート!R$50:R$69)*U$2</f>
        <v>0</v>
      </c>
      <c r="V1443" s="88">
        <f>SUMIF(月間集計シート!$M$50:$M$69,$G1443,月間集計シート!S$50:S$69)*V$2</f>
        <v>0</v>
      </c>
      <c r="W1443" s="88">
        <f>SUMIF(月間集計シート!$M$50:$M$69,$G1443,月間集計シート!T$50:T$69)*W$2</f>
        <v>0</v>
      </c>
      <c r="X1443" s="88">
        <f>SUMIF(月間集計シート!$M$71:$M$90,$G1443,月間集計シート!N$71:N$90)*X$2</f>
        <v>0</v>
      </c>
      <c r="Y1443" s="88">
        <f>SUMIF(月間集計シート!$M$71:$M$90,$G1443,月間集計シート!O$71:O$90)*Y$2</f>
        <v>0</v>
      </c>
      <c r="Z1443" s="88">
        <f>SUMIF(月間集計シート!$M$71:$M$90,$G1443,月間集計シート!P$71:P$90)*Z$2</f>
        <v>0</v>
      </c>
      <c r="AA1443" s="88">
        <f>SUMIF(月間集計シート!$M$71:$M$90,$G1443,月間集計シート!Q$71:Q$90)*AA$2</f>
        <v>0</v>
      </c>
      <c r="AB1443" s="88">
        <f>SUMIF(月間集計シート!$M$71:$M$90,$G1443,月間集計シート!R$71:R$90)*AB$2</f>
        <v>0</v>
      </c>
      <c r="AC1443" s="88">
        <f>SUMIF(月間集計シート!$M$71:$M$90,$G1443,月間集計シート!S$71:S$90)*AC$2</f>
        <v>0</v>
      </c>
      <c r="AD1443" s="88">
        <f>SUMIF(月間集計シート!$M$71:$M$90,$G1443,月間集計シート!T$71:T$90)*AD$2</f>
        <v>0</v>
      </c>
      <c r="AE1443" s="88">
        <f>SUMIF(月間集計シート!$M$92:$M$111,$G1443,月間集計シート!N$92:N$111)*AE$2</f>
        <v>0</v>
      </c>
      <c r="AF1443" s="88">
        <f>SUMIF(月間集計シート!$M$92:$M$111,$G1443,月間集計シート!O$92:O$111)*AF$2</f>
        <v>0</v>
      </c>
      <c r="AG1443" s="88">
        <f>SUMIF(月間集計シート!$M$92:$M$111,$G1443,月間集計シート!P$92:P$111)*AG$2</f>
        <v>0</v>
      </c>
      <c r="AH1443" s="88">
        <f>SUMIF(月間集計シート!$M$92:$M$111,$G1443,月間集計シート!Q$92:Q$111)*AH$2</f>
        <v>0</v>
      </c>
      <c r="AI1443" s="88">
        <f>SUMIF(月間集計シート!$M$92:$M$111,$G1443,月間集計シート!R$92:R$111)*AI$2</f>
        <v>0</v>
      </c>
      <c r="AJ1443" s="88">
        <f>SUMIF(月間集計シート!$M$92:$M$111,$G1443,月間集計シート!S$92:S$111)*AJ$2</f>
        <v>0</v>
      </c>
      <c r="AK1443" s="88">
        <f>SUMIF(月間集計シート!$M$92:$M$111,$G1443,月間集計シート!T$92:T$111)*AK$2</f>
        <v>0</v>
      </c>
      <c r="AL1443" s="88">
        <f>SUMIF(月間集計シート!$M$113:$M$132,$G1443,月間集計シート!N$113:N$132)*AL$2</f>
        <v>0</v>
      </c>
      <c r="AM1443" s="88">
        <f>SUMIF(月間集計シート!$M$113:$M$132,$G1443,月間集計シート!O$113:O$132)*AM$2</f>
        <v>0</v>
      </c>
      <c r="AN1443" s="88">
        <f>SUMIF(月間集計シート!$M$113:$M$132,$G1443,月間集計シート!P$113:P$132)*AN$2</f>
        <v>0</v>
      </c>
      <c r="AO1443" s="88">
        <f>SUMIF(月間集計シート!$M$113:$M$132,$G1443,月間集計シート!Q$113:Q$132)*AO$2</f>
        <v>0</v>
      </c>
      <c r="AP1443" s="88">
        <f>SUMIF(月間集計シート!$M$113:$M$132,$G1443,月間集計シート!R$113:R$132)*AP$2</f>
        <v>0</v>
      </c>
      <c r="AQ1443" s="88">
        <f>SUMIF(月間集計シート!$M$113:$M$132,$G1443,月間集計シート!S$113:S$132)*AQ$2</f>
        <v>0</v>
      </c>
      <c r="AR1443" s="88">
        <f>SUMIF(月間集計シート!$M$113:$M$132,$G1443,月間集計シート!T$113:T$132)*AR$2</f>
        <v>0</v>
      </c>
      <c r="AS1443" s="88">
        <f>SUMIF(月間集計シート!$M$134:$M$153,$G1443,月間集計シート!N$134:N$153)*AS$2</f>
        <v>0</v>
      </c>
      <c r="AT1443" s="88">
        <f>SUMIF(月間集計シート!$M$134:$M$153,$G1443,月間集計シート!O$134:O$153)*AT$2</f>
        <v>0</v>
      </c>
      <c r="AU1443" s="88">
        <f>SUMIF(月間集計シート!$M$134:$M$153,$G1443,月間集計シート!P$134:P$153)*AU$2</f>
        <v>0</v>
      </c>
      <c r="AV1443" s="88">
        <f>SUMIF(月間集計シート!$M$134:$M$153,$G1443,月間集計シート!Q$134:Q$153)*AV$2</f>
        <v>0</v>
      </c>
      <c r="AW1443" s="88">
        <f>SUMIF(月間集計シート!$M$134:$M$153,$G1443,月間集計シート!R$134:R$153)*AW$2</f>
        <v>0</v>
      </c>
      <c r="AX1443" s="88">
        <f>SUMIF(月間集計シート!$M$134:$M$153,$G1443,月間集計シート!S$134:S$153)*AX$2</f>
        <v>0</v>
      </c>
      <c r="AY1443" s="88">
        <f>SUMIF(月間集計シート!$M$134:$M$153,$G1443,月間集計シート!T$134:T$153)*AY$2</f>
        <v>0</v>
      </c>
    </row>
    <row r="1444" spans="1:51" ht="14.25" thickBot="1">
      <c r="A1444">
        <v>17</v>
      </c>
      <c r="B1444" s="120">
        <f t="shared" si="788"/>
        <v>0</v>
      </c>
      <c r="C1444" s="120" t="str">
        <f t="shared" si="788"/>
        <v/>
      </c>
      <c r="D1444" s="137"/>
      <c r="E1444" s="150" t="str">
        <f>工種!A76</f>
        <v>90199</v>
      </c>
      <c r="F1444" s="119" t="str">
        <f>工種!B76</f>
        <v>管理業務：その他</v>
      </c>
      <c r="G1444" s="116" t="str">
        <f t="shared" si="785"/>
        <v>090199</v>
      </c>
      <c r="H1444" s="88">
        <f t="shared" si="787"/>
        <v>0</v>
      </c>
      <c r="I1444" s="132"/>
      <c r="J1444" s="88">
        <f>SUMIF(月間集計シート!$M$29:$M$48,$G1444,月間集計シート!N$29:N$48)*J$2</f>
        <v>0</v>
      </c>
      <c r="K1444" s="88">
        <f>SUMIF(月間集計シート!$M$29:$M$48,$G1444,月間集計シート!O$29:O$48)*K$2</f>
        <v>0</v>
      </c>
      <c r="L1444" s="88">
        <f>SUMIF(月間集計シート!$M$29:$M$48,$G1444,月間集計シート!P$29:P$48)*L$2</f>
        <v>0</v>
      </c>
      <c r="M1444" s="88">
        <f>SUMIF(月間集計シート!$M$29:$M$48,$G1444,月間集計シート!Q$29:Q$48)*M$2</f>
        <v>0</v>
      </c>
      <c r="N1444" s="88">
        <f>SUMIF(月間集計シート!$M$29:$M$48,$G1444,月間集計シート!R$29:R$48)*N$2</f>
        <v>0</v>
      </c>
      <c r="O1444" s="88">
        <f>SUMIF(月間集計シート!$M$29:$M$48,$G1444,月間集計シート!S$29:S$48)*O$2</f>
        <v>0</v>
      </c>
      <c r="P1444" s="88">
        <f>SUMIF(月間集計シート!$M$29:$M$48,$G1444,月間集計シート!T$29:T$48)*P$2</f>
        <v>0</v>
      </c>
      <c r="Q1444" s="88">
        <f>SUMIF(月間集計シート!$M$50:$M$69,$G1444,月間集計シート!N$50:N$69)*Q$2</f>
        <v>0</v>
      </c>
      <c r="R1444" s="88">
        <f>SUMIF(月間集計シート!$M$50:$M$69,$G1444,月間集計シート!O$50:O$69)*R$2</f>
        <v>0</v>
      </c>
      <c r="S1444" s="88">
        <f>SUMIF(月間集計シート!$M$50:$M$69,$G1444,月間集計シート!P$50:P$69)*S$2</f>
        <v>0</v>
      </c>
      <c r="T1444" s="88">
        <f>SUMIF(月間集計シート!$M$50:$M$69,$G1444,月間集計シート!Q$50:Q$69)*T$2</f>
        <v>0</v>
      </c>
      <c r="U1444" s="88">
        <f>SUMIF(月間集計シート!$M$50:$M$69,$G1444,月間集計シート!R$50:R$69)*U$2</f>
        <v>0</v>
      </c>
      <c r="V1444" s="88">
        <f>SUMIF(月間集計シート!$M$50:$M$69,$G1444,月間集計シート!S$50:S$69)*V$2</f>
        <v>0</v>
      </c>
      <c r="W1444" s="88">
        <f>SUMIF(月間集計シート!$M$50:$M$69,$G1444,月間集計シート!T$50:T$69)*W$2</f>
        <v>0</v>
      </c>
      <c r="X1444" s="88">
        <f>SUMIF(月間集計シート!$M$71:$M$90,$G1444,月間集計シート!N$71:N$90)*X$2</f>
        <v>0</v>
      </c>
      <c r="Y1444" s="88">
        <f>SUMIF(月間集計シート!$M$71:$M$90,$G1444,月間集計シート!O$71:O$90)*Y$2</f>
        <v>0</v>
      </c>
      <c r="Z1444" s="88">
        <f>SUMIF(月間集計シート!$M$71:$M$90,$G1444,月間集計シート!P$71:P$90)*Z$2</f>
        <v>0</v>
      </c>
      <c r="AA1444" s="88">
        <f>SUMIF(月間集計シート!$M$71:$M$90,$G1444,月間集計シート!Q$71:Q$90)*AA$2</f>
        <v>0</v>
      </c>
      <c r="AB1444" s="88">
        <f>SUMIF(月間集計シート!$M$71:$M$90,$G1444,月間集計シート!R$71:R$90)*AB$2</f>
        <v>0</v>
      </c>
      <c r="AC1444" s="88">
        <f>SUMIF(月間集計シート!$M$71:$M$90,$G1444,月間集計シート!S$71:S$90)*AC$2</f>
        <v>0</v>
      </c>
      <c r="AD1444" s="88">
        <f>SUMIF(月間集計シート!$M$71:$M$90,$G1444,月間集計シート!T$71:T$90)*AD$2</f>
        <v>0</v>
      </c>
      <c r="AE1444" s="88">
        <f>SUMIF(月間集計シート!$M$92:$M$111,$G1444,月間集計シート!N$92:N$111)*AE$2</f>
        <v>0</v>
      </c>
      <c r="AF1444" s="88">
        <f>SUMIF(月間集計シート!$M$92:$M$111,$G1444,月間集計シート!O$92:O$111)*AF$2</f>
        <v>0</v>
      </c>
      <c r="AG1444" s="88">
        <f>SUMIF(月間集計シート!$M$92:$M$111,$G1444,月間集計シート!P$92:P$111)*AG$2</f>
        <v>0</v>
      </c>
      <c r="AH1444" s="88">
        <f>SUMIF(月間集計シート!$M$92:$M$111,$G1444,月間集計シート!Q$92:Q$111)*AH$2</f>
        <v>0</v>
      </c>
      <c r="AI1444" s="88">
        <f>SUMIF(月間集計シート!$M$92:$M$111,$G1444,月間集計シート!R$92:R$111)*AI$2</f>
        <v>0</v>
      </c>
      <c r="AJ1444" s="88">
        <f>SUMIF(月間集計シート!$M$92:$M$111,$G1444,月間集計シート!S$92:S$111)*AJ$2</f>
        <v>0</v>
      </c>
      <c r="AK1444" s="88">
        <f>SUMIF(月間集計シート!$M$92:$M$111,$G1444,月間集計シート!T$92:T$111)*AK$2</f>
        <v>0</v>
      </c>
      <c r="AL1444" s="88">
        <f>SUMIF(月間集計シート!$M$113:$M$132,$G1444,月間集計シート!N$113:N$132)*AL$2</f>
        <v>0</v>
      </c>
      <c r="AM1444" s="88">
        <f>SUMIF(月間集計シート!$M$113:$M$132,$G1444,月間集計シート!O$113:O$132)*AM$2</f>
        <v>0</v>
      </c>
      <c r="AN1444" s="88">
        <f>SUMIF(月間集計シート!$M$113:$M$132,$G1444,月間集計シート!P$113:P$132)*AN$2</f>
        <v>0</v>
      </c>
      <c r="AO1444" s="88">
        <f>SUMIF(月間集計シート!$M$113:$M$132,$G1444,月間集計シート!Q$113:Q$132)*AO$2</f>
        <v>0</v>
      </c>
      <c r="AP1444" s="88">
        <f>SUMIF(月間集計シート!$M$113:$M$132,$G1444,月間集計シート!R$113:R$132)*AP$2</f>
        <v>0</v>
      </c>
      <c r="AQ1444" s="88">
        <f>SUMIF(月間集計シート!$M$113:$M$132,$G1444,月間集計シート!S$113:S$132)*AQ$2</f>
        <v>0</v>
      </c>
      <c r="AR1444" s="88">
        <f>SUMIF(月間集計シート!$M$113:$M$132,$G1444,月間集計シート!T$113:T$132)*AR$2</f>
        <v>0</v>
      </c>
      <c r="AS1444" s="88">
        <f>SUMIF(月間集計シート!$M$134:$M$153,$G1444,月間集計シート!N$134:N$153)*AS$2</f>
        <v>0</v>
      </c>
      <c r="AT1444" s="88">
        <f>SUMIF(月間集計シート!$M$134:$M$153,$G1444,月間集計シート!O$134:O$153)*AT$2</f>
        <v>0</v>
      </c>
      <c r="AU1444" s="88">
        <f>SUMIF(月間集計シート!$M$134:$M$153,$G1444,月間集計シート!P$134:P$153)*AU$2</f>
        <v>0</v>
      </c>
      <c r="AV1444" s="88">
        <f>SUMIF(月間集計シート!$M$134:$M$153,$G1444,月間集計シート!Q$134:Q$153)*AV$2</f>
        <v>0</v>
      </c>
      <c r="AW1444" s="88">
        <f>SUMIF(月間集計シート!$M$134:$M$153,$G1444,月間集計シート!R$134:R$153)*AW$2</f>
        <v>0</v>
      </c>
      <c r="AX1444" s="88">
        <f>SUMIF(月間集計シート!$M$134:$M$153,$G1444,月間集計シート!S$134:S$153)*AX$2</f>
        <v>0</v>
      </c>
      <c r="AY1444" s="88">
        <f>SUMIF(月間集計シート!$M$134:$M$153,$G1444,月間集計シート!T$134:T$153)*AY$2</f>
        <v>0</v>
      </c>
    </row>
    <row r="1445" spans="1:51" ht="14.25" thickBot="1">
      <c r="A1445">
        <v>17</v>
      </c>
      <c r="B1445" s="120">
        <f t="shared" si="788"/>
        <v>0</v>
      </c>
      <c r="C1445" s="120" t="str">
        <f t="shared" si="788"/>
        <v/>
      </c>
      <c r="D1445" s="137"/>
      <c r="E1445" s="150">
        <f>工種!A77</f>
        <v>99102</v>
      </c>
      <c r="F1445" s="119" t="str">
        <f>工種!B77</f>
        <v>間接業務：業務環境管理（PCｾｯﾄｱｯﾌﾟ等）</v>
      </c>
      <c r="G1445" s="116" t="str">
        <f t="shared" si="785"/>
        <v>099102</v>
      </c>
      <c r="H1445" s="88">
        <f t="shared" si="787"/>
        <v>0</v>
      </c>
      <c r="I1445" s="132"/>
      <c r="J1445" s="88">
        <f>SUMIF(月間集計シート!$M$29:$M$48,$G1445,月間集計シート!N$29:N$48)*J$2</f>
        <v>0</v>
      </c>
      <c r="K1445" s="88">
        <f>SUMIF(月間集計シート!$M$29:$M$48,$G1445,月間集計シート!O$29:O$48)*K$2</f>
        <v>0</v>
      </c>
      <c r="L1445" s="88">
        <f>SUMIF(月間集計シート!$M$29:$M$48,$G1445,月間集計シート!P$29:P$48)*L$2</f>
        <v>0</v>
      </c>
      <c r="M1445" s="88">
        <f>SUMIF(月間集計シート!$M$29:$M$48,$G1445,月間集計シート!Q$29:Q$48)*M$2</f>
        <v>0</v>
      </c>
      <c r="N1445" s="88">
        <f>SUMIF(月間集計シート!$M$29:$M$48,$G1445,月間集計シート!R$29:R$48)*N$2</f>
        <v>0</v>
      </c>
      <c r="O1445" s="88">
        <f>SUMIF(月間集計シート!$M$29:$M$48,$G1445,月間集計シート!S$29:S$48)*O$2</f>
        <v>0</v>
      </c>
      <c r="P1445" s="88">
        <f>SUMIF(月間集計シート!$M$29:$M$48,$G1445,月間集計シート!T$29:T$48)*P$2</f>
        <v>0</v>
      </c>
      <c r="Q1445" s="88">
        <f>SUMIF(月間集計シート!$M$50:$M$69,$G1445,月間集計シート!N$50:N$69)*Q$2</f>
        <v>0</v>
      </c>
      <c r="R1445" s="88">
        <f>SUMIF(月間集計シート!$M$50:$M$69,$G1445,月間集計シート!O$50:O$69)*R$2</f>
        <v>0</v>
      </c>
      <c r="S1445" s="88">
        <f>SUMIF(月間集計シート!$M$50:$M$69,$G1445,月間集計シート!P$50:P$69)*S$2</f>
        <v>0</v>
      </c>
      <c r="T1445" s="88">
        <f>SUMIF(月間集計シート!$M$50:$M$69,$G1445,月間集計シート!Q$50:Q$69)*T$2</f>
        <v>0</v>
      </c>
      <c r="U1445" s="88">
        <f>SUMIF(月間集計シート!$M$50:$M$69,$G1445,月間集計シート!R$50:R$69)*U$2</f>
        <v>0</v>
      </c>
      <c r="V1445" s="88">
        <f>SUMIF(月間集計シート!$M$50:$M$69,$G1445,月間集計シート!S$50:S$69)*V$2</f>
        <v>0</v>
      </c>
      <c r="W1445" s="88">
        <f>SUMIF(月間集計シート!$M$50:$M$69,$G1445,月間集計シート!T$50:T$69)*W$2</f>
        <v>0</v>
      </c>
      <c r="X1445" s="88">
        <f>SUMIF(月間集計シート!$M$71:$M$90,$G1445,月間集計シート!N$71:N$90)*X$2</f>
        <v>0</v>
      </c>
      <c r="Y1445" s="88">
        <f>SUMIF(月間集計シート!$M$71:$M$90,$G1445,月間集計シート!O$71:O$90)*Y$2</f>
        <v>0</v>
      </c>
      <c r="Z1445" s="88">
        <f>SUMIF(月間集計シート!$M$71:$M$90,$G1445,月間集計シート!P$71:P$90)*Z$2</f>
        <v>0</v>
      </c>
      <c r="AA1445" s="88">
        <f>SUMIF(月間集計シート!$M$71:$M$90,$G1445,月間集計シート!Q$71:Q$90)*AA$2</f>
        <v>0</v>
      </c>
      <c r="AB1445" s="88">
        <f>SUMIF(月間集計シート!$M$71:$M$90,$G1445,月間集計シート!R$71:R$90)*AB$2</f>
        <v>0</v>
      </c>
      <c r="AC1445" s="88">
        <f>SUMIF(月間集計シート!$M$71:$M$90,$G1445,月間集計シート!S$71:S$90)*AC$2</f>
        <v>0</v>
      </c>
      <c r="AD1445" s="88">
        <f>SUMIF(月間集計シート!$M$71:$M$90,$G1445,月間集計シート!T$71:T$90)*AD$2</f>
        <v>0</v>
      </c>
      <c r="AE1445" s="88">
        <f>SUMIF(月間集計シート!$M$92:$M$111,$G1445,月間集計シート!N$92:N$111)*AE$2</f>
        <v>0</v>
      </c>
      <c r="AF1445" s="88">
        <f>SUMIF(月間集計シート!$M$92:$M$111,$G1445,月間集計シート!O$92:O$111)*AF$2</f>
        <v>0</v>
      </c>
      <c r="AG1445" s="88">
        <f>SUMIF(月間集計シート!$M$92:$M$111,$G1445,月間集計シート!P$92:P$111)*AG$2</f>
        <v>0</v>
      </c>
      <c r="AH1445" s="88">
        <f>SUMIF(月間集計シート!$M$92:$M$111,$G1445,月間集計シート!Q$92:Q$111)*AH$2</f>
        <v>0</v>
      </c>
      <c r="AI1445" s="88">
        <f>SUMIF(月間集計シート!$M$92:$M$111,$G1445,月間集計シート!R$92:R$111)*AI$2</f>
        <v>0</v>
      </c>
      <c r="AJ1445" s="88">
        <f>SUMIF(月間集計シート!$M$92:$M$111,$G1445,月間集計シート!S$92:S$111)*AJ$2</f>
        <v>0</v>
      </c>
      <c r="AK1445" s="88">
        <f>SUMIF(月間集計シート!$M$92:$M$111,$G1445,月間集計シート!T$92:T$111)*AK$2</f>
        <v>0</v>
      </c>
      <c r="AL1445" s="88">
        <f>SUMIF(月間集計シート!$M$113:$M$132,$G1445,月間集計シート!N$113:N$132)*AL$2</f>
        <v>0</v>
      </c>
      <c r="AM1445" s="88">
        <f>SUMIF(月間集計シート!$M$113:$M$132,$G1445,月間集計シート!O$113:O$132)*AM$2</f>
        <v>0</v>
      </c>
      <c r="AN1445" s="88">
        <f>SUMIF(月間集計シート!$M$113:$M$132,$G1445,月間集計シート!P$113:P$132)*AN$2</f>
        <v>0</v>
      </c>
      <c r="AO1445" s="88">
        <f>SUMIF(月間集計シート!$M$113:$M$132,$G1445,月間集計シート!Q$113:Q$132)*AO$2</f>
        <v>0</v>
      </c>
      <c r="AP1445" s="88">
        <f>SUMIF(月間集計シート!$M$113:$M$132,$G1445,月間集計シート!R$113:R$132)*AP$2</f>
        <v>0</v>
      </c>
      <c r="AQ1445" s="88">
        <f>SUMIF(月間集計シート!$M$113:$M$132,$G1445,月間集計シート!S$113:S$132)*AQ$2</f>
        <v>0</v>
      </c>
      <c r="AR1445" s="88">
        <f>SUMIF(月間集計シート!$M$113:$M$132,$G1445,月間集計シート!T$113:T$132)*AR$2</f>
        <v>0</v>
      </c>
      <c r="AS1445" s="88">
        <f>SUMIF(月間集計シート!$M$134:$M$153,$G1445,月間集計シート!N$134:N$153)*AS$2</f>
        <v>0</v>
      </c>
      <c r="AT1445" s="88">
        <f>SUMIF(月間集計シート!$M$134:$M$153,$G1445,月間集計シート!O$134:O$153)*AT$2</f>
        <v>0</v>
      </c>
      <c r="AU1445" s="88">
        <f>SUMIF(月間集計シート!$M$134:$M$153,$G1445,月間集計シート!P$134:P$153)*AU$2</f>
        <v>0</v>
      </c>
      <c r="AV1445" s="88">
        <f>SUMIF(月間集計シート!$M$134:$M$153,$G1445,月間集計シート!Q$134:Q$153)*AV$2</f>
        <v>0</v>
      </c>
      <c r="AW1445" s="88">
        <f>SUMIF(月間集計シート!$M$134:$M$153,$G1445,月間集計シート!R$134:R$153)*AW$2</f>
        <v>0</v>
      </c>
      <c r="AX1445" s="88">
        <f>SUMIF(月間集計シート!$M$134:$M$153,$G1445,月間集計シート!S$134:S$153)*AX$2</f>
        <v>0</v>
      </c>
      <c r="AY1445" s="88">
        <f>SUMIF(月間集計シート!$M$134:$M$153,$G1445,月間集計シート!T$134:T$153)*AY$2</f>
        <v>0</v>
      </c>
    </row>
    <row r="1446" spans="1:51" ht="14.25" thickBot="1">
      <c r="A1446">
        <v>17</v>
      </c>
      <c r="B1446" s="120">
        <f t="shared" si="788"/>
        <v>0</v>
      </c>
      <c r="C1446" s="120" t="str">
        <f t="shared" si="788"/>
        <v/>
      </c>
      <c r="D1446" s="137"/>
      <c r="E1446" s="150" t="str">
        <f>工種!A78</f>
        <v>99103</v>
      </c>
      <c r="F1446" s="119" t="str">
        <f>工種!B78</f>
        <v>間接業務：標準化・業務改善作業（開発以外）</v>
      </c>
      <c r="G1446" s="116" t="str">
        <f t="shared" si="785"/>
        <v>099103</v>
      </c>
      <c r="H1446" s="88">
        <f t="shared" si="787"/>
        <v>0</v>
      </c>
      <c r="I1446" s="132"/>
      <c r="J1446" s="88">
        <f>SUMIF(月間集計シート!$M$29:$M$48,$G1446,月間集計シート!N$29:N$48)*J$2</f>
        <v>0</v>
      </c>
      <c r="K1446" s="88">
        <f>SUMIF(月間集計シート!$M$29:$M$48,$G1446,月間集計シート!O$29:O$48)*K$2</f>
        <v>0</v>
      </c>
      <c r="L1446" s="88">
        <f>SUMIF(月間集計シート!$M$29:$M$48,$G1446,月間集計シート!P$29:P$48)*L$2</f>
        <v>0</v>
      </c>
      <c r="M1446" s="88">
        <f>SUMIF(月間集計シート!$M$29:$M$48,$G1446,月間集計シート!Q$29:Q$48)*M$2</f>
        <v>0</v>
      </c>
      <c r="N1446" s="88">
        <f>SUMIF(月間集計シート!$M$29:$M$48,$G1446,月間集計シート!R$29:R$48)*N$2</f>
        <v>0</v>
      </c>
      <c r="O1446" s="88">
        <f>SUMIF(月間集計シート!$M$29:$M$48,$G1446,月間集計シート!S$29:S$48)*O$2</f>
        <v>0</v>
      </c>
      <c r="P1446" s="88">
        <f>SUMIF(月間集計シート!$M$29:$M$48,$G1446,月間集計シート!T$29:T$48)*P$2</f>
        <v>0</v>
      </c>
      <c r="Q1446" s="88">
        <f>SUMIF(月間集計シート!$M$50:$M$69,$G1446,月間集計シート!N$50:N$69)*Q$2</f>
        <v>0</v>
      </c>
      <c r="R1446" s="88">
        <f>SUMIF(月間集計シート!$M$50:$M$69,$G1446,月間集計シート!O$50:O$69)*R$2</f>
        <v>0</v>
      </c>
      <c r="S1446" s="88">
        <f>SUMIF(月間集計シート!$M$50:$M$69,$G1446,月間集計シート!P$50:P$69)*S$2</f>
        <v>0</v>
      </c>
      <c r="T1446" s="88">
        <f>SUMIF(月間集計シート!$M$50:$M$69,$G1446,月間集計シート!Q$50:Q$69)*T$2</f>
        <v>0</v>
      </c>
      <c r="U1446" s="88">
        <f>SUMIF(月間集計シート!$M$50:$M$69,$G1446,月間集計シート!R$50:R$69)*U$2</f>
        <v>0</v>
      </c>
      <c r="V1446" s="88">
        <f>SUMIF(月間集計シート!$M$50:$M$69,$G1446,月間集計シート!S$50:S$69)*V$2</f>
        <v>0</v>
      </c>
      <c r="W1446" s="88">
        <f>SUMIF(月間集計シート!$M$50:$M$69,$G1446,月間集計シート!T$50:T$69)*W$2</f>
        <v>0</v>
      </c>
      <c r="X1446" s="88">
        <f>SUMIF(月間集計シート!$M$71:$M$90,$G1446,月間集計シート!N$71:N$90)*X$2</f>
        <v>0</v>
      </c>
      <c r="Y1446" s="88">
        <f>SUMIF(月間集計シート!$M$71:$M$90,$G1446,月間集計シート!O$71:O$90)*Y$2</f>
        <v>0</v>
      </c>
      <c r="Z1446" s="88">
        <f>SUMIF(月間集計シート!$M$71:$M$90,$G1446,月間集計シート!P$71:P$90)*Z$2</f>
        <v>0</v>
      </c>
      <c r="AA1446" s="88">
        <f>SUMIF(月間集計シート!$M$71:$M$90,$G1446,月間集計シート!Q$71:Q$90)*AA$2</f>
        <v>0</v>
      </c>
      <c r="AB1446" s="88">
        <f>SUMIF(月間集計シート!$M$71:$M$90,$G1446,月間集計シート!R$71:R$90)*AB$2</f>
        <v>0</v>
      </c>
      <c r="AC1446" s="88">
        <f>SUMIF(月間集計シート!$M$71:$M$90,$G1446,月間集計シート!S$71:S$90)*AC$2</f>
        <v>0</v>
      </c>
      <c r="AD1446" s="88">
        <f>SUMIF(月間集計シート!$M$71:$M$90,$G1446,月間集計シート!T$71:T$90)*AD$2</f>
        <v>0</v>
      </c>
      <c r="AE1446" s="88">
        <f>SUMIF(月間集計シート!$M$92:$M$111,$G1446,月間集計シート!N$92:N$111)*AE$2</f>
        <v>0</v>
      </c>
      <c r="AF1446" s="88">
        <f>SUMIF(月間集計シート!$M$92:$M$111,$G1446,月間集計シート!O$92:O$111)*AF$2</f>
        <v>0</v>
      </c>
      <c r="AG1446" s="88">
        <f>SUMIF(月間集計シート!$M$92:$M$111,$G1446,月間集計シート!P$92:P$111)*AG$2</f>
        <v>0</v>
      </c>
      <c r="AH1446" s="88">
        <f>SUMIF(月間集計シート!$M$92:$M$111,$G1446,月間集計シート!Q$92:Q$111)*AH$2</f>
        <v>0</v>
      </c>
      <c r="AI1446" s="88">
        <f>SUMIF(月間集計シート!$M$92:$M$111,$G1446,月間集計シート!R$92:R$111)*AI$2</f>
        <v>0</v>
      </c>
      <c r="AJ1446" s="88">
        <f>SUMIF(月間集計シート!$M$92:$M$111,$G1446,月間集計シート!S$92:S$111)*AJ$2</f>
        <v>0</v>
      </c>
      <c r="AK1446" s="88">
        <f>SUMIF(月間集計シート!$M$92:$M$111,$G1446,月間集計シート!T$92:T$111)*AK$2</f>
        <v>0</v>
      </c>
      <c r="AL1446" s="88">
        <f>SUMIF(月間集計シート!$M$113:$M$132,$G1446,月間集計シート!N$113:N$132)*AL$2</f>
        <v>0</v>
      </c>
      <c r="AM1446" s="88">
        <f>SUMIF(月間集計シート!$M$113:$M$132,$G1446,月間集計シート!O$113:O$132)*AM$2</f>
        <v>0</v>
      </c>
      <c r="AN1446" s="88">
        <f>SUMIF(月間集計シート!$M$113:$M$132,$G1446,月間集計シート!P$113:P$132)*AN$2</f>
        <v>0</v>
      </c>
      <c r="AO1446" s="88">
        <f>SUMIF(月間集計シート!$M$113:$M$132,$G1446,月間集計シート!Q$113:Q$132)*AO$2</f>
        <v>0</v>
      </c>
      <c r="AP1446" s="88">
        <f>SUMIF(月間集計シート!$M$113:$M$132,$G1446,月間集計シート!R$113:R$132)*AP$2</f>
        <v>0</v>
      </c>
      <c r="AQ1446" s="88">
        <f>SUMIF(月間集計シート!$M$113:$M$132,$G1446,月間集計シート!S$113:S$132)*AQ$2</f>
        <v>0</v>
      </c>
      <c r="AR1446" s="88">
        <f>SUMIF(月間集計シート!$M$113:$M$132,$G1446,月間集計シート!T$113:T$132)*AR$2</f>
        <v>0</v>
      </c>
      <c r="AS1446" s="88">
        <f>SUMIF(月間集計シート!$M$134:$M$153,$G1446,月間集計シート!N$134:N$153)*AS$2</f>
        <v>0</v>
      </c>
      <c r="AT1446" s="88">
        <f>SUMIF(月間集計シート!$M$134:$M$153,$G1446,月間集計シート!O$134:O$153)*AT$2</f>
        <v>0</v>
      </c>
      <c r="AU1446" s="88">
        <f>SUMIF(月間集計シート!$M$134:$M$153,$G1446,月間集計シート!P$134:P$153)*AU$2</f>
        <v>0</v>
      </c>
      <c r="AV1446" s="88">
        <f>SUMIF(月間集計シート!$M$134:$M$153,$G1446,月間集計シート!Q$134:Q$153)*AV$2</f>
        <v>0</v>
      </c>
      <c r="AW1446" s="88">
        <f>SUMIF(月間集計シート!$M$134:$M$153,$G1446,月間集計シート!R$134:R$153)*AW$2</f>
        <v>0</v>
      </c>
      <c r="AX1446" s="88">
        <f>SUMIF(月間集計シート!$M$134:$M$153,$G1446,月間集計シート!S$134:S$153)*AX$2</f>
        <v>0</v>
      </c>
      <c r="AY1446" s="88">
        <f>SUMIF(月間集計シート!$M$134:$M$153,$G1446,月間集計シート!T$134:T$153)*AY$2</f>
        <v>0</v>
      </c>
    </row>
    <row r="1447" spans="1:51" ht="14.25" thickBot="1">
      <c r="A1447">
        <v>17</v>
      </c>
      <c r="B1447" s="120">
        <f t="shared" si="788"/>
        <v>0</v>
      </c>
      <c r="C1447" s="120" t="str">
        <f t="shared" si="788"/>
        <v/>
      </c>
      <c r="D1447" s="137"/>
      <c r="E1447" s="150" t="str">
        <f>工種!A79</f>
        <v>99104</v>
      </c>
      <c r="F1447" s="119" t="str">
        <f>工種!B79</f>
        <v>間接業務：業務の引継ぎ（開発以外）</v>
      </c>
      <c r="G1447" s="116" t="str">
        <f t="shared" si="785"/>
        <v>099104</v>
      </c>
      <c r="H1447" s="88">
        <f t="shared" si="787"/>
        <v>0</v>
      </c>
      <c r="I1447" s="132"/>
      <c r="J1447" s="88">
        <f>SUMIF(月間集計シート!$M$29:$M$48,$G1447,月間集計シート!N$29:N$48)*J$2</f>
        <v>0</v>
      </c>
      <c r="K1447" s="88">
        <f>SUMIF(月間集計シート!$M$29:$M$48,$G1447,月間集計シート!O$29:O$48)*K$2</f>
        <v>0</v>
      </c>
      <c r="L1447" s="88">
        <f>SUMIF(月間集計シート!$M$29:$M$48,$G1447,月間集計シート!P$29:P$48)*L$2</f>
        <v>0</v>
      </c>
      <c r="M1447" s="88">
        <f>SUMIF(月間集計シート!$M$29:$M$48,$G1447,月間集計シート!Q$29:Q$48)*M$2</f>
        <v>0</v>
      </c>
      <c r="N1447" s="88">
        <f>SUMIF(月間集計シート!$M$29:$M$48,$G1447,月間集計シート!R$29:R$48)*N$2</f>
        <v>0</v>
      </c>
      <c r="O1447" s="88">
        <f>SUMIF(月間集計シート!$M$29:$M$48,$G1447,月間集計シート!S$29:S$48)*O$2</f>
        <v>0</v>
      </c>
      <c r="P1447" s="88">
        <f>SUMIF(月間集計シート!$M$29:$M$48,$G1447,月間集計シート!T$29:T$48)*P$2</f>
        <v>0</v>
      </c>
      <c r="Q1447" s="88">
        <f>SUMIF(月間集計シート!$M$50:$M$69,$G1447,月間集計シート!N$50:N$69)*Q$2</f>
        <v>0</v>
      </c>
      <c r="R1447" s="88">
        <f>SUMIF(月間集計シート!$M$50:$M$69,$G1447,月間集計シート!O$50:O$69)*R$2</f>
        <v>0</v>
      </c>
      <c r="S1447" s="88">
        <f>SUMIF(月間集計シート!$M$50:$M$69,$G1447,月間集計シート!P$50:P$69)*S$2</f>
        <v>0</v>
      </c>
      <c r="T1447" s="88">
        <f>SUMIF(月間集計シート!$M$50:$M$69,$G1447,月間集計シート!Q$50:Q$69)*T$2</f>
        <v>0</v>
      </c>
      <c r="U1447" s="88">
        <f>SUMIF(月間集計シート!$M$50:$M$69,$G1447,月間集計シート!R$50:R$69)*U$2</f>
        <v>0</v>
      </c>
      <c r="V1447" s="88">
        <f>SUMIF(月間集計シート!$M$50:$M$69,$G1447,月間集計シート!S$50:S$69)*V$2</f>
        <v>0</v>
      </c>
      <c r="W1447" s="88">
        <f>SUMIF(月間集計シート!$M$50:$M$69,$G1447,月間集計シート!T$50:T$69)*W$2</f>
        <v>0</v>
      </c>
      <c r="X1447" s="88">
        <f>SUMIF(月間集計シート!$M$71:$M$90,$G1447,月間集計シート!N$71:N$90)*X$2</f>
        <v>0</v>
      </c>
      <c r="Y1447" s="88">
        <f>SUMIF(月間集計シート!$M$71:$M$90,$G1447,月間集計シート!O$71:O$90)*Y$2</f>
        <v>0</v>
      </c>
      <c r="Z1447" s="88">
        <f>SUMIF(月間集計シート!$M$71:$M$90,$G1447,月間集計シート!P$71:P$90)*Z$2</f>
        <v>0</v>
      </c>
      <c r="AA1447" s="88">
        <f>SUMIF(月間集計シート!$M$71:$M$90,$G1447,月間集計シート!Q$71:Q$90)*AA$2</f>
        <v>0</v>
      </c>
      <c r="AB1447" s="88">
        <f>SUMIF(月間集計シート!$M$71:$M$90,$G1447,月間集計シート!R$71:R$90)*AB$2</f>
        <v>0</v>
      </c>
      <c r="AC1447" s="88">
        <f>SUMIF(月間集計シート!$M$71:$M$90,$G1447,月間集計シート!S$71:S$90)*AC$2</f>
        <v>0</v>
      </c>
      <c r="AD1447" s="88">
        <f>SUMIF(月間集計シート!$M$71:$M$90,$G1447,月間集計シート!T$71:T$90)*AD$2</f>
        <v>0</v>
      </c>
      <c r="AE1447" s="88">
        <f>SUMIF(月間集計シート!$M$92:$M$111,$G1447,月間集計シート!N$92:N$111)*AE$2</f>
        <v>0</v>
      </c>
      <c r="AF1447" s="88">
        <f>SUMIF(月間集計シート!$M$92:$M$111,$G1447,月間集計シート!O$92:O$111)*AF$2</f>
        <v>0</v>
      </c>
      <c r="AG1447" s="88">
        <f>SUMIF(月間集計シート!$M$92:$M$111,$G1447,月間集計シート!P$92:P$111)*AG$2</f>
        <v>0</v>
      </c>
      <c r="AH1447" s="88">
        <f>SUMIF(月間集計シート!$M$92:$M$111,$G1447,月間集計シート!Q$92:Q$111)*AH$2</f>
        <v>0</v>
      </c>
      <c r="AI1447" s="88">
        <f>SUMIF(月間集計シート!$M$92:$M$111,$G1447,月間集計シート!R$92:R$111)*AI$2</f>
        <v>0</v>
      </c>
      <c r="AJ1447" s="88">
        <f>SUMIF(月間集計シート!$M$92:$M$111,$G1447,月間集計シート!S$92:S$111)*AJ$2</f>
        <v>0</v>
      </c>
      <c r="AK1447" s="88">
        <f>SUMIF(月間集計シート!$M$92:$M$111,$G1447,月間集計シート!T$92:T$111)*AK$2</f>
        <v>0</v>
      </c>
      <c r="AL1447" s="88">
        <f>SUMIF(月間集計シート!$M$113:$M$132,$G1447,月間集計シート!N$113:N$132)*AL$2</f>
        <v>0</v>
      </c>
      <c r="AM1447" s="88">
        <f>SUMIF(月間集計シート!$M$113:$M$132,$G1447,月間集計シート!O$113:O$132)*AM$2</f>
        <v>0</v>
      </c>
      <c r="AN1447" s="88">
        <f>SUMIF(月間集計シート!$M$113:$M$132,$G1447,月間集計シート!P$113:P$132)*AN$2</f>
        <v>0</v>
      </c>
      <c r="AO1447" s="88">
        <f>SUMIF(月間集計シート!$M$113:$M$132,$G1447,月間集計シート!Q$113:Q$132)*AO$2</f>
        <v>0</v>
      </c>
      <c r="AP1447" s="88">
        <f>SUMIF(月間集計シート!$M$113:$M$132,$G1447,月間集計シート!R$113:R$132)*AP$2</f>
        <v>0</v>
      </c>
      <c r="AQ1447" s="88">
        <f>SUMIF(月間集計シート!$M$113:$M$132,$G1447,月間集計シート!S$113:S$132)*AQ$2</f>
        <v>0</v>
      </c>
      <c r="AR1447" s="88">
        <f>SUMIF(月間集計シート!$M$113:$M$132,$G1447,月間集計シート!T$113:T$132)*AR$2</f>
        <v>0</v>
      </c>
      <c r="AS1447" s="88">
        <f>SUMIF(月間集計シート!$M$134:$M$153,$G1447,月間集計シート!N$134:N$153)*AS$2</f>
        <v>0</v>
      </c>
      <c r="AT1447" s="88">
        <f>SUMIF(月間集計シート!$M$134:$M$153,$G1447,月間集計シート!O$134:O$153)*AT$2</f>
        <v>0</v>
      </c>
      <c r="AU1447" s="88">
        <f>SUMIF(月間集計シート!$M$134:$M$153,$G1447,月間集計シート!P$134:P$153)*AU$2</f>
        <v>0</v>
      </c>
      <c r="AV1447" s="88">
        <f>SUMIF(月間集計シート!$M$134:$M$153,$G1447,月間集計シート!Q$134:Q$153)*AV$2</f>
        <v>0</v>
      </c>
      <c r="AW1447" s="88">
        <f>SUMIF(月間集計シート!$M$134:$M$153,$G1447,月間集計シート!R$134:R$153)*AW$2</f>
        <v>0</v>
      </c>
      <c r="AX1447" s="88">
        <f>SUMIF(月間集計シート!$M$134:$M$153,$G1447,月間集計シート!S$134:S$153)*AX$2</f>
        <v>0</v>
      </c>
      <c r="AY1447" s="88">
        <f>SUMIF(月間集計シート!$M$134:$M$153,$G1447,月間集計シート!T$134:T$153)*AY$2</f>
        <v>0</v>
      </c>
    </row>
    <row r="1448" spans="1:51" ht="14.25" thickBot="1">
      <c r="A1448">
        <v>17</v>
      </c>
      <c r="B1448" s="120">
        <f t="shared" si="788"/>
        <v>0</v>
      </c>
      <c r="C1448" s="120" t="str">
        <f t="shared" si="788"/>
        <v/>
      </c>
      <c r="D1448" s="137"/>
      <c r="E1448" s="150" t="str">
        <f>工種!A80</f>
        <v>99106</v>
      </c>
      <c r="F1448" s="119" t="str">
        <f>工種!B80</f>
        <v>間接業務：研修・学習</v>
      </c>
      <c r="G1448" s="116" t="str">
        <f t="shared" si="785"/>
        <v>099106</v>
      </c>
      <c r="H1448" s="88">
        <f t="shared" si="787"/>
        <v>0</v>
      </c>
      <c r="I1448" s="132"/>
      <c r="J1448" s="88">
        <f>SUMIF(月間集計シート!$M$29:$M$48,$G1448,月間集計シート!N$29:N$48)*J$2</f>
        <v>0</v>
      </c>
      <c r="K1448" s="88">
        <f>SUMIF(月間集計シート!$M$29:$M$48,$G1448,月間集計シート!O$29:O$48)*K$2</f>
        <v>0</v>
      </c>
      <c r="L1448" s="88">
        <f>SUMIF(月間集計シート!$M$29:$M$48,$G1448,月間集計シート!P$29:P$48)*L$2</f>
        <v>0</v>
      </c>
      <c r="M1448" s="88">
        <f>SUMIF(月間集計シート!$M$29:$M$48,$G1448,月間集計シート!Q$29:Q$48)*M$2</f>
        <v>0</v>
      </c>
      <c r="N1448" s="88">
        <f>SUMIF(月間集計シート!$M$29:$M$48,$G1448,月間集計シート!R$29:R$48)*N$2</f>
        <v>0</v>
      </c>
      <c r="O1448" s="88">
        <f>SUMIF(月間集計シート!$M$29:$M$48,$G1448,月間集計シート!S$29:S$48)*O$2</f>
        <v>0</v>
      </c>
      <c r="P1448" s="88">
        <f>SUMIF(月間集計シート!$M$29:$M$48,$G1448,月間集計シート!T$29:T$48)*P$2</f>
        <v>0</v>
      </c>
      <c r="Q1448" s="88">
        <f>SUMIF(月間集計シート!$M$50:$M$69,$G1448,月間集計シート!N$50:N$69)*Q$2</f>
        <v>0</v>
      </c>
      <c r="R1448" s="88">
        <f>SUMIF(月間集計シート!$M$50:$M$69,$G1448,月間集計シート!O$50:O$69)*R$2</f>
        <v>0</v>
      </c>
      <c r="S1448" s="88">
        <f>SUMIF(月間集計シート!$M$50:$M$69,$G1448,月間集計シート!P$50:P$69)*S$2</f>
        <v>0</v>
      </c>
      <c r="T1448" s="88">
        <f>SUMIF(月間集計シート!$M$50:$M$69,$G1448,月間集計シート!Q$50:Q$69)*T$2</f>
        <v>0</v>
      </c>
      <c r="U1448" s="88">
        <f>SUMIF(月間集計シート!$M$50:$M$69,$G1448,月間集計シート!R$50:R$69)*U$2</f>
        <v>0</v>
      </c>
      <c r="V1448" s="88">
        <f>SUMIF(月間集計シート!$M$50:$M$69,$G1448,月間集計シート!S$50:S$69)*V$2</f>
        <v>0</v>
      </c>
      <c r="W1448" s="88">
        <f>SUMIF(月間集計シート!$M$50:$M$69,$G1448,月間集計シート!T$50:T$69)*W$2</f>
        <v>0</v>
      </c>
      <c r="X1448" s="88">
        <f>SUMIF(月間集計シート!$M$71:$M$90,$G1448,月間集計シート!N$71:N$90)*X$2</f>
        <v>0</v>
      </c>
      <c r="Y1448" s="88">
        <f>SUMIF(月間集計シート!$M$71:$M$90,$G1448,月間集計シート!O$71:O$90)*Y$2</f>
        <v>0</v>
      </c>
      <c r="Z1448" s="88">
        <f>SUMIF(月間集計シート!$M$71:$M$90,$G1448,月間集計シート!P$71:P$90)*Z$2</f>
        <v>0</v>
      </c>
      <c r="AA1448" s="88">
        <f>SUMIF(月間集計シート!$M$71:$M$90,$G1448,月間集計シート!Q$71:Q$90)*AA$2</f>
        <v>0</v>
      </c>
      <c r="AB1448" s="88">
        <f>SUMIF(月間集計シート!$M$71:$M$90,$G1448,月間集計シート!R$71:R$90)*AB$2</f>
        <v>0</v>
      </c>
      <c r="AC1448" s="88">
        <f>SUMIF(月間集計シート!$M$71:$M$90,$G1448,月間集計シート!S$71:S$90)*AC$2</f>
        <v>0</v>
      </c>
      <c r="AD1448" s="88">
        <f>SUMIF(月間集計シート!$M$71:$M$90,$G1448,月間集計シート!T$71:T$90)*AD$2</f>
        <v>0</v>
      </c>
      <c r="AE1448" s="88">
        <f>SUMIF(月間集計シート!$M$92:$M$111,$G1448,月間集計シート!N$92:N$111)*AE$2</f>
        <v>0</v>
      </c>
      <c r="AF1448" s="88">
        <f>SUMIF(月間集計シート!$M$92:$M$111,$G1448,月間集計シート!O$92:O$111)*AF$2</f>
        <v>0</v>
      </c>
      <c r="AG1448" s="88">
        <f>SUMIF(月間集計シート!$M$92:$M$111,$G1448,月間集計シート!P$92:P$111)*AG$2</f>
        <v>0</v>
      </c>
      <c r="AH1448" s="88">
        <f>SUMIF(月間集計シート!$M$92:$M$111,$G1448,月間集計シート!Q$92:Q$111)*AH$2</f>
        <v>0</v>
      </c>
      <c r="AI1448" s="88">
        <f>SUMIF(月間集計シート!$M$92:$M$111,$G1448,月間集計シート!R$92:R$111)*AI$2</f>
        <v>0</v>
      </c>
      <c r="AJ1448" s="88">
        <f>SUMIF(月間集計シート!$M$92:$M$111,$G1448,月間集計シート!S$92:S$111)*AJ$2</f>
        <v>0</v>
      </c>
      <c r="AK1448" s="88">
        <f>SUMIF(月間集計シート!$M$92:$M$111,$G1448,月間集計シート!T$92:T$111)*AK$2</f>
        <v>0</v>
      </c>
      <c r="AL1448" s="88">
        <f>SUMIF(月間集計シート!$M$113:$M$132,$G1448,月間集計シート!N$113:N$132)*AL$2</f>
        <v>0</v>
      </c>
      <c r="AM1448" s="88">
        <f>SUMIF(月間集計シート!$M$113:$M$132,$G1448,月間集計シート!O$113:O$132)*AM$2</f>
        <v>0</v>
      </c>
      <c r="AN1448" s="88">
        <f>SUMIF(月間集計シート!$M$113:$M$132,$G1448,月間集計シート!P$113:P$132)*AN$2</f>
        <v>0</v>
      </c>
      <c r="AO1448" s="88">
        <f>SUMIF(月間集計シート!$M$113:$M$132,$G1448,月間集計シート!Q$113:Q$132)*AO$2</f>
        <v>0</v>
      </c>
      <c r="AP1448" s="88">
        <f>SUMIF(月間集計シート!$M$113:$M$132,$G1448,月間集計シート!R$113:R$132)*AP$2</f>
        <v>0</v>
      </c>
      <c r="AQ1448" s="88">
        <f>SUMIF(月間集計シート!$M$113:$M$132,$G1448,月間集計シート!S$113:S$132)*AQ$2</f>
        <v>0</v>
      </c>
      <c r="AR1448" s="88">
        <f>SUMIF(月間集計シート!$M$113:$M$132,$G1448,月間集計シート!T$113:T$132)*AR$2</f>
        <v>0</v>
      </c>
      <c r="AS1448" s="88">
        <f>SUMIF(月間集計シート!$M$134:$M$153,$G1448,月間集計シート!N$134:N$153)*AS$2</f>
        <v>0</v>
      </c>
      <c r="AT1448" s="88">
        <f>SUMIF(月間集計シート!$M$134:$M$153,$G1448,月間集計シート!O$134:O$153)*AT$2</f>
        <v>0</v>
      </c>
      <c r="AU1448" s="88">
        <f>SUMIF(月間集計シート!$M$134:$M$153,$G1448,月間集計シート!P$134:P$153)*AU$2</f>
        <v>0</v>
      </c>
      <c r="AV1448" s="88">
        <f>SUMIF(月間集計シート!$M$134:$M$153,$G1448,月間集計シート!Q$134:Q$153)*AV$2</f>
        <v>0</v>
      </c>
      <c r="AW1448" s="88">
        <f>SUMIF(月間集計シート!$M$134:$M$153,$G1448,月間集計シート!R$134:R$153)*AW$2</f>
        <v>0</v>
      </c>
      <c r="AX1448" s="88">
        <f>SUMIF(月間集計シート!$M$134:$M$153,$G1448,月間集計シート!S$134:S$153)*AX$2</f>
        <v>0</v>
      </c>
      <c r="AY1448" s="88">
        <f>SUMIF(月間集計シート!$M$134:$M$153,$G1448,月間集計シート!T$134:T$153)*AY$2</f>
        <v>0</v>
      </c>
    </row>
    <row r="1449" spans="1:51" ht="14.25" thickBot="1">
      <c r="A1449">
        <v>17</v>
      </c>
      <c r="B1449" s="120">
        <f t="shared" si="788"/>
        <v>0</v>
      </c>
      <c r="C1449" s="120" t="str">
        <f t="shared" si="788"/>
        <v/>
      </c>
      <c r="D1449" s="137"/>
      <c r="E1449" s="150" t="str">
        <f>工種!A81</f>
        <v>99107</v>
      </c>
      <c r="F1449" s="119" t="str">
        <f>工種!B81</f>
        <v>間接業務：事務作業（開発以外）</v>
      </c>
      <c r="G1449" s="116" t="str">
        <f t="shared" ref="G1449:G1450" si="789">B1449&amp;E1449</f>
        <v>099107</v>
      </c>
      <c r="H1449" s="88">
        <f t="shared" ref="H1449:H1450" si="790">SUM(J1449:AY1449)</f>
        <v>0</v>
      </c>
      <c r="I1449" s="132"/>
      <c r="J1449" s="88">
        <f>SUMIF(月間集計シート!$M$29:$M$48,$G1449,月間集計シート!N$29:N$48)*J$2</f>
        <v>0</v>
      </c>
      <c r="K1449" s="88">
        <f>SUMIF(月間集計シート!$M$29:$M$48,$G1449,月間集計シート!O$29:O$48)*K$2</f>
        <v>0</v>
      </c>
      <c r="L1449" s="88">
        <f>SUMIF(月間集計シート!$M$29:$M$48,$G1449,月間集計シート!P$29:P$48)*L$2</f>
        <v>0</v>
      </c>
      <c r="M1449" s="88">
        <f>SUMIF(月間集計シート!$M$29:$M$48,$G1449,月間集計シート!Q$29:Q$48)*M$2</f>
        <v>0</v>
      </c>
      <c r="N1449" s="88">
        <f>SUMIF(月間集計シート!$M$29:$M$48,$G1449,月間集計シート!R$29:R$48)*N$2</f>
        <v>0</v>
      </c>
      <c r="O1449" s="88">
        <f>SUMIF(月間集計シート!$M$29:$M$48,$G1449,月間集計シート!S$29:S$48)*O$2</f>
        <v>0</v>
      </c>
      <c r="P1449" s="88">
        <f>SUMIF(月間集計シート!$M$29:$M$48,$G1449,月間集計シート!T$29:T$48)*P$2</f>
        <v>0</v>
      </c>
      <c r="Q1449" s="88">
        <f>SUMIF(月間集計シート!$M$50:$M$69,$G1449,月間集計シート!N$50:N$69)*Q$2</f>
        <v>0</v>
      </c>
      <c r="R1449" s="88">
        <f>SUMIF(月間集計シート!$M$50:$M$69,$G1449,月間集計シート!O$50:O$69)*R$2</f>
        <v>0</v>
      </c>
      <c r="S1449" s="88">
        <f>SUMIF(月間集計シート!$M$50:$M$69,$G1449,月間集計シート!P$50:P$69)*S$2</f>
        <v>0</v>
      </c>
      <c r="T1449" s="88">
        <f>SUMIF(月間集計シート!$M$50:$M$69,$G1449,月間集計シート!Q$50:Q$69)*T$2</f>
        <v>0</v>
      </c>
      <c r="U1449" s="88">
        <f>SUMIF(月間集計シート!$M$50:$M$69,$G1449,月間集計シート!R$50:R$69)*U$2</f>
        <v>0</v>
      </c>
      <c r="V1449" s="88">
        <f>SUMIF(月間集計シート!$M$50:$M$69,$G1449,月間集計シート!S$50:S$69)*V$2</f>
        <v>0</v>
      </c>
      <c r="W1449" s="88">
        <f>SUMIF(月間集計シート!$M$50:$M$69,$G1449,月間集計シート!T$50:T$69)*W$2</f>
        <v>0</v>
      </c>
      <c r="X1449" s="88">
        <f>SUMIF(月間集計シート!$M$71:$M$90,$G1449,月間集計シート!N$71:N$90)*X$2</f>
        <v>0</v>
      </c>
      <c r="Y1449" s="88">
        <f>SUMIF(月間集計シート!$M$71:$M$90,$G1449,月間集計シート!O$71:O$90)*Y$2</f>
        <v>0</v>
      </c>
      <c r="Z1449" s="88">
        <f>SUMIF(月間集計シート!$M$71:$M$90,$G1449,月間集計シート!P$71:P$90)*Z$2</f>
        <v>0</v>
      </c>
      <c r="AA1449" s="88">
        <f>SUMIF(月間集計シート!$M$71:$M$90,$G1449,月間集計シート!Q$71:Q$90)*AA$2</f>
        <v>0</v>
      </c>
      <c r="AB1449" s="88">
        <f>SUMIF(月間集計シート!$M$71:$M$90,$G1449,月間集計シート!R$71:R$90)*AB$2</f>
        <v>0</v>
      </c>
      <c r="AC1449" s="88">
        <f>SUMIF(月間集計シート!$M$71:$M$90,$G1449,月間集計シート!S$71:S$90)*AC$2</f>
        <v>0</v>
      </c>
      <c r="AD1449" s="88">
        <f>SUMIF(月間集計シート!$M$71:$M$90,$G1449,月間集計シート!T$71:T$90)*AD$2</f>
        <v>0</v>
      </c>
      <c r="AE1449" s="88">
        <f>SUMIF(月間集計シート!$M$92:$M$111,$G1449,月間集計シート!N$92:N$111)*AE$2</f>
        <v>0</v>
      </c>
      <c r="AF1449" s="88">
        <f>SUMIF(月間集計シート!$M$92:$M$111,$G1449,月間集計シート!O$92:O$111)*AF$2</f>
        <v>0</v>
      </c>
      <c r="AG1449" s="88">
        <f>SUMIF(月間集計シート!$M$92:$M$111,$G1449,月間集計シート!P$92:P$111)*AG$2</f>
        <v>0</v>
      </c>
      <c r="AH1449" s="88">
        <f>SUMIF(月間集計シート!$M$92:$M$111,$G1449,月間集計シート!Q$92:Q$111)*AH$2</f>
        <v>0</v>
      </c>
      <c r="AI1449" s="88">
        <f>SUMIF(月間集計シート!$M$92:$M$111,$G1449,月間集計シート!R$92:R$111)*AI$2</f>
        <v>0</v>
      </c>
      <c r="AJ1449" s="88">
        <f>SUMIF(月間集計シート!$M$92:$M$111,$G1449,月間集計シート!S$92:S$111)*AJ$2</f>
        <v>0</v>
      </c>
      <c r="AK1449" s="88">
        <f>SUMIF(月間集計シート!$M$92:$M$111,$G1449,月間集計シート!T$92:T$111)*AK$2</f>
        <v>0</v>
      </c>
      <c r="AL1449" s="88">
        <f>SUMIF(月間集計シート!$M$113:$M$132,$G1449,月間集計シート!N$113:N$132)*AL$2</f>
        <v>0</v>
      </c>
      <c r="AM1449" s="88">
        <f>SUMIF(月間集計シート!$M$113:$M$132,$G1449,月間集計シート!O$113:O$132)*AM$2</f>
        <v>0</v>
      </c>
      <c r="AN1449" s="88">
        <f>SUMIF(月間集計シート!$M$113:$M$132,$G1449,月間集計シート!P$113:P$132)*AN$2</f>
        <v>0</v>
      </c>
      <c r="AO1449" s="88">
        <f>SUMIF(月間集計シート!$M$113:$M$132,$G1449,月間集計シート!Q$113:Q$132)*AO$2</f>
        <v>0</v>
      </c>
      <c r="AP1449" s="88">
        <f>SUMIF(月間集計シート!$M$113:$M$132,$G1449,月間集計シート!R$113:R$132)*AP$2</f>
        <v>0</v>
      </c>
      <c r="AQ1449" s="88">
        <f>SUMIF(月間集計シート!$M$113:$M$132,$G1449,月間集計シート!S$113:S$132)*AQ$2</f>
        <v>0</v>
      </c>
      <c r="AR1449" s="88">
        <f>SUMIF(月間集計シート!$M$113:$M$132,$G1449,月間集計シート!T$113:T$132)*AR$2</f>
        <v>0</v>
      </c>
      <c r="AS1449" s="88">
        <f>SUMIF(月間集計シート!$M$134:$M$153,$G1449,月間集計シート!N$134:N$153)*AS$2</f>
        <v>0</v>
      </c>
      <c r="AT1449" s="88">
        <f>SUMIF(月間集計シート!$M$134:$M$153,$G1449,月間集計シート!O$134:O$153)*AT$2</f>
        <v>0</v>
      </c>
      <c r="AU1449" s="88">
        <f>SUMIF(月間集計シート!$M$134:$M$153,$G1449,月間集計シート!P$134:P$153)*AU$2</f>
        <v>0</v>
      </c>
      <c r="AV1449" s="88">
        <f>SUMIF(月間集計シート!$M$134:$M$153,$G1449,月間集計シート!Q$134:Q$153)*AV$2</f>
        <v>0</v>
      </c>
      <c r="AW1449" s="88">
        <f>SUMIF(月間集計シート!$M$134:$M$153,$G1449,月間集計シート!R$134:R$153)*AW$2</f>
        <v>0</v>
      </c>
      <c r="AX1449" s="88">
        <f>SUMIF(月間集計シート!$M$134:$M$153,$G1449,月間集計シート!S$134:S$153)*AX$2</f>
        <v>0</v>
      </c>
      <c r="AY1449" s="88">
        <f>SUMIF(月間集計シート!$M$134:$M$153,$G1449,月間集計シート!T$134:T$153)*AY$2</f>
        <v>0</v>
      </c>
    </row>
    <row r="1450" spans="1:51" ht="14.25" thickBot="1">
      <c r="A1450">
        <v>17</v>
      </c>
      <c r="B1450" s="120">
        <f t="shared" si="788"/>
        <v>0</v>
      </c>
      <c r="C1450" s="120" t="str">
        <f t="shared" si="788"/>
        <v/>
      </c>
      <c r="D1450" s="137"/>
      <c r="E1450" s="150" t="str">
        <f>工種!A82</f>
        <v>99110</v>
      </c>
      <c r="F1450" s="119" t="str">
        <f>工種!B82</f>
        <v>間接業務：打合せ</v>
      </c>
      <c r="G1450" s="116" t="str">
        <f t="shared" si="789"/>
        <v>099110</v>
      </c>
      <c r="H1450" s="88">
        <f t="shared" si="790"/>
        <v>0</v>
      </c>
      <c r="I1450" s="132"/>
      <c r="J1450" s="88">
        <f>SUMIF(月間集計シート!$M$29:$M$48,$G1450,月間集計シート!N$29:N$48)*J$2</f>
        <v>0</v>
      </c>
      <c r="K1450" s="88">
        <f>SUMIF(月間集計シート!$M$29:$M$48,$G1450,月間集計シート!O$29:O$48)*K$2</f>
        <v>0</v>
      </c>
      <c r="L1450" s="88">
        <f>SUMIF(月間集計シート!$M$29:$M$48,$G1450,月間集計シート!P$29:P$48)*L$2</f>
        <v>0</v>
      </c>
      <c r="M1450" s="88">
        <f>SUMIF(月間集計シート!$M$29:$M$48,$G1450,月間集計シート!Q$29:Q$48)*M$2</f>
        <v>0</v>
      </c>
      <c r="N1450" s="88">
        <f>SUMIF(月間集計シート!$M$29:$M$48,$G1450,月間集計シート!R$29:R$48)*N$2</f>
        <v>0</v>
      </c>
      <c r="O1450" s="88">
        <f>SUMIF(月間集計シート!$M$29:$M$48,$G1450,月間集計シート!S$29:S$48)*O$2</f>
        <v>0</v>
      </c>
      <c r="P1450" s="88">
        <f>SUMIF(月間集計シート!$M$29:$M$48,$G1450,月間集計シート!T$29:T$48)*P$2</f>
        <v>0</v>
      </c>
      <c r="Q1450" s="88">
        <f>SUMIF(月間集計シート!$M$50:$M$69,$G1450,月間集計シート!N$50:N$69)*Q$2</f>
        <v>0</v>
      </c>
      <c r="R1450" s="88">
        <f>SUMIF(月間集計シート!$M$50:$M$69,$G1450,月間集計シート!O$50:O$69)*R$2</f>
        <v>0</v>
      </c>
      <c r="S1450" s="88">
        <f>SUMIF(月間集計シート!$M$50:$M$69,$G1450,月間集計シート!P$50:P$69)*S$2</f>
        <v>0</v>
      </c>
      <c r="T1450" s="88">
        <f>SUMIF(月間集計シート!$M$50:$M$69,$G1450,月間集計シート!Q$50:Q$69)*T$2</f>
        <v>0</v>
      </c>
      <c r="U1450" s="88">
        <f>SUMIF(月間集計シート!$M$50:$M$69,$G1450,月間集計シート!R$50:R$69)*U$2</f>
        <v>0</v>
      </c>
      <c r="V1450" s="88">
        <f>SUMIF(月間集計シート!$M$50:$M$69,$G1450,月間集計シート!S$50:S$69)*V$2</f>
        <v>0</v>
      </c>
      <c r="W1450" s="88">
        <f>SUMIF(月間集計シート!$M$50:$M$69,$G1450,月間集計シート!T$50:T$69)*W$2</f>
        <v>0</v>
      </c>
      <c r="X1450" s="88">
        <f>SUMIF(月間集計シート!$M$71:$M$90,$G1450,月間集計シート!N$71:N$90)*X$2</f>
        <v>0</v>
      </c>
      <c r="Y1450" s="88">
        <f>SUMIF(月間集計シート!$M$71:$M$90,$G1450,月間集計シート!O$71:O$90)*Y$2</f>
        <v>0</v>
      </c>
      <c r="Z1450" s="88">
        <f>SUMIF(月間集計シート!$M$71:$M$90,$G1450,月間集計シート!P$71:P$90)*Z$2</f>
        <v>0</v>
      </c>
      <c r="AA1450" s="88">
        <f>SUMIF(月間集計シート!$M$71:$M$90,$G1450,月間集計シート!Q$71:Q$90)*AA$2</f>
        <v>0</v>
      </c>
      <c r="AB1450" s="88">
        <f>SUMIF(月間集計シート!$M$71:$M$90,$G1450,月間集計シート!R$71:R$90)*AB$2</f>
        <v>0</v>
      </c>
      <c r="AC1450" s="88">
        <f>SUMIF(月間集計シート!$M$71:$M$90,$G1450,月間集計シート!S$71:S$90)*AC$2</f>
        <v>0</v>
      </c>
      <c r="AD1450" s="88">
        <f>SUMIF(月間集計シート!$M$71:$M$90,$G1450,月間集計シート!T$71:T$90)*AD$2</f>
        <v>0</v>
      </c>
      <c r="AE1450" s="88">
        <f>SUMIF(月間集計シート!$M$92:$M$111,$G1450,月間集計シート!N$92:N$111)*AE$2</f>
        <v>0</v>
      </c>
      <c r="AF1450" s="88">
        <f>SUMIF(月間集計シート!$M$92:$M$111,$G1450,月間集計シート!O$92:O$111)*AF$2</f>
        <v>0</v>
      </c>
      <c r="AG1450" s="88">
        <f>SUMIF(月間集計シート!$M$92:$M$111,$G1450,月間集計シート!P$92:P$111)*AG$2</f>
        <v>0</v>
      </c>
      <c r="AH1450" s="88">
        <f>SUMIF(月間集計シート!$M$92:$M$111,$G1450,月間集計シート!Q$92:Q$111)*AH$2</f>
        <v>0</v>
      </c>
      <c r="AI1450" s="88">
        <f>SUMIF(月間集計シート!$M$92:$M$111,$G1450,月間集計シート!R$92:R$111)*AI$2</f>
        <v>0</v>
      </c>
      <c r="AJ1450" s="88">
        <f>SUMIF(月間集計シート!$M$92:$M$111,$G1450,月間集計シート!S$92:S$111)*AJ$2</f>
        <v>0</v>
      </c>
      <c r="AK1450" s="88">
        <f>SUMIF(月間集計シート!$M$92:$M$111,$G1450,月間集計シート!T$92:T$111)*AK$2</f>
        <v>0</v>
      </c>
      <c r="AL1450" s="88">
        <f>SUMIF(月間集計シート!$M$113:$M$132,$G1450,月間集計シート!N$113:N$132)*AL$2</f>
        <v>0</v>
      </c>
      <c r="AM1450" s="88">
        <f>SUMIF(月間集計シート!$M$113:$M$132,$G1450,月間集計シート!O$113:O$132)*AM$2</f>
        <v>0</v>
      </c>
      <c r="AN1450" s="88">
        <f>SUMIF(月間集計シート!$M$113:$M$132,$G1450,月間集計シート!P$113:P$132)*AN$2</f>
        <v>0</v>
      </c>
      <c r="AO1450" s="88">
        <f>SUMIF(月間集計シート!$M$113:$M$132,$G1450,月間集計シート!Q$113:Q$132)*AO$2</f>
        <v>0</v>
      </c>
      <c r="AP1450" s="88">
        <f>SUMIF(月間集計シート!$M$113:$M$132,$G1450,月間集計シート!R$113:R$132)*AP$2</f>
        <v>0</v>
      </c>
      <c r="AQ1450" s="88">
        <f>SUMIF(月間集計シート!$M$113:$M$132,$G1450,月間集計シート!S$113:S$132)*AQ$2</f>
        <v>0</v>
      </c>
      <c r="AR1450" s="88">
        <f>SUMIF(月間集計シート!$M$113:$M$132,$G1450,月間集計シート!T$113:T$132)*AR$2</f>
        <v>0</v>
      </c>
      <c r="AS1450" s="88">
        <f>SUMIF(月間集計シート!$M$134:$M$153,$G1450,月間集計シート!N$134:N$153)*AS$2</f>
        <v>0</v>
      </c>
      <c r="AT1450" s="88">
        <f>SUMIF(月間集計シート!$M$134:$M$153,$G1450,月間集計シート!O$134:O$153)*AT$2</f>
        <v>0</v>
      </c>
      <c r="AU1450" s="88">
        <f>SUMIF(月間集計シート!$M$134:$M$153,$G1450,月間集計シート!P$134:P$153)*AU$2</f>
        <v>0</v>
      </c>
      <c r="AV1450" s="88">
        <f>SUMIF(月間集計シート!$M$134:$M$153,$G1450,月間集計シート!Q$134:Q$153)*AV$2</f>
        <v>0</v>
      </c>
      <c r="AW1450" s="88">
        <f>SUMIF(月間集計シート!$M$134:$M$153,$G1450,月間集計シート!R$134:R$153)*AW$2</f>
        <v>0</v>
      </c>
      <c r="AX1450" s="88">
        <f>SUMIF(月間集計シート!$M$134:$M$153,$G1450,月間集計シート!S$134:S$153)*AX$2</f>
        <v>0</v>
      </c>
      <c r="AY1450" s="88">
        <f>SUMIF(月間集計シート!$M$134:$M$153,$G1450,月間集計シート!T$134:T$153)*AY$2</f>
        <v>0</v>
      </c>
    </row>
    <row r="1451" spans="1:51" ht="14.25" thickBot="1">
      <c r="A1451">
        <v>17</v>
      </c>
      <c r="B1451" s="120">
        <f t="shared" si="788"/>
        <v>0</v>
      </c>
      <c r="C1451" s="120" t="str">
        <f t="shared" si="788"/>
        <v/>
      </c>
      <c r="D1451" s="137"/>
      <c r="E1451" s="150" t="str">
        <f>工種!A83</f>
        <v>99199</v>
      </c>
      <c r="F1451" s="119" t="str">
        <f>工種!B83</f>
        <v>間接業務：その他</v>
      </c>
      <c r="G1451" s="116" t="str">
        <f t="shared" si="784"/>
        <v>099199</v>
      </c>
      <c r="H1451" s="88">
        <f t="shared" si="738"/>
        <v>0</v>
      </c>
      <c r="I1451" s="132"/>
      <c r="J1451" s="88">
        <f>SUMIF(月間集計シート!$M$29:$M$48,$G1451,月間集計シート!N$29:N$48)*J$2</f>
        <v>0</v>
      </c>
      <c r="K1451" s="88">
        <f>SUMIF(月間集計シート!$M$29:$M$48,$G1451,月間集計シート!O$29:O$48)*K$2</f>
        <v>0</v>
      </c>
      <c r="L1451" s="88">
        <f>SUMIF(月間集計シート!$M$29:$M$48,$G1451,月間集計シート!P$29:P$48)*L$2</f>
        <v>0</v>
      </c>
      <c r="M1451" s="88">
        <f>SUMIF(月間集計シート!$M$29:$M$48,$G1451,月間集計シート!Q$29:Q$48)*M$2</f>
        <v>0</v>
      </c>
      <c r="N1451" s="88">
        <f>SUMIF(月間集計シート!$M$29:$M$48,$G1451,月間集計シート!R$29:R$48)*N$2</f>
        <v>0</v>
      </c>
      <c r="O1451" s="88">
        <f>SUMIF(月間集計シート!$M$29:$M$48,$G1451,月間集計シート!S$29:S$48)*O$2</f>
        <v>0</v>
      </c>
      <c r="P1451" s="88">
        <f>SUMIF(月間集計シート!$M$29:$M$48,$G1451,月間集計シート!T$29:T$48)*P$2</f>
        <v>0</v>
      </c>
      <c r="Q1451" s="88">
        <f>SUMIF(月間集計シート!$M$50:$M$69,$G1451,月間集計シート!N$50:N$69)*Q$2</f>
        <v>0</v>
      </c>
      <c r="R1451" s="88">
        <f>SUMIF(月間集計シート!$M$50:$M$69,$G1451,月間集計シート!O$50:O$69)*R$2</f>
        <v>0</v>
      </c>
      <c r="S1451" s="88">
        <f>SUMIF(月間集計シート!$M$50:$M$69,$G1451,月間集計シート!P$50:P$69)*S$2</f>
        <v>0</v>
      </c>
      <c r="T1451" s="88">
        <f>SUMIF(月間集計シート!$M$50:$M$69,$G1451,月間集計シート!Q$50:Q$69)*T$2</f>
        <v>0</v>
      </c>
      <c r="U1451" s="88">
        <f>SUMIF(月間集計シート!$M$50:$M$69,$G1451,月間集計シート!R$50:R$69)*U$2</f>
        <v>0</v>
      </c>
      <c r="V1451" s="88">
        <f>SUMIF(月間集計シート!$M$50:$M$69,$G1451,月間集計シート!S$50:S$69)*V$2</f>
        <v>0</v>
      </c>
      <c r="W1451" s="88">
        <f>SUMIF(月間集計シート!$M$50:$M$69,$G1451,月間集計シート!T$50:T$69)*W$2</f>
        <v>0</v>
      </c>
      <c r="X1451" s="88">
        <f>SUMIF(月間集計シート!$M$71:$M$90,$G1451,月間集計シート!N$71:N$90)*X$2</f>
        <v>0</v>
      </c>
      <c r="Y1451" s="88">
        <f>SUMIF(月間集計シート!$M$71:$M$90,$G1451,月間集計シート!O$71:O$90)*Y$2</f>
        <v>0</v>
      </c>
      <c r="Z1451" s="88">
        <f>SUMIF(月間集計シート!$M$71:$M$90,$G1451,月間集計シート!P$71:P$90)*Z$2</f>
        <v>0</v>
      </c>
      <c r="AA1451" s="88">
        <f>SUMIF(月間集計シート!$M$71:$M$90,$G1451,月間集計シート!Q$71:Q$90)*AA$2</f>
        <v>0</v>
      </c>
      <c r="AB1451" s="88">
        <f>SUMIF(月間集計シート!$M$71:$M$90,$G1451,月間集計シート!R$71:R$90)*AB$2</f>
        <v>0</v>
      </c>
      <c r="AC1451" s="88">
        <f>SUMIF(月間集計シート!$M$71:$M$90,$G1451,月間集計シート!S$71:S$90)*AC$2</f>
        <v>0</v>
      </c>
      <c r="AD1451" s="88">
        <f>SUMIF(月間集計シート!$M$71:$M$90,$G1451,月間集計シート!T$71:T$90)*AD$2</f>
        <v>0</v>
      </c>
      <c r="AE1451" s="88">
        <f>SUMIF(月間集計シート!$M$92:$M$111,$G1451,月間集計シート!N$92:N$111)*AE$2</f>
        <v>0</v>
      </c>
      <c r="AF1451" s="88">
        <f>SUMIF(月間集計シート!$M$92:$M$111,$G1451,月間集計シート!O$92:O$111)*AF$2</f>
        <v>0</v>
      </c>
      <c r="AG1451" s="88">
        <f>SUMIF(月間集計シート!$M$92:$M$111,$G1451,月間集計シート!P$92:P$111)*AG$2</f>
        <v>0</v>
      </c>
      <c r="AH1451" s="88">
        <f>SUMIF(月間集計シート!$M$92:$M$111,$G1451,月間集計シート!Q$92:Q$111)*AH$2</f>
        <v>0</v>
      </c>
      <c r="AI1451" s="88">
        <f>SUMIF(月間集計シート!$M$92:$M$111,$G1451,月間集計シート!R$92:R$111)*AI$2</f>
        <v>0</v>
      </c>
      <c r="AJ1451" s="88">
        <f>SUMIF(月間集計シート!$M$92:$M$111,$G1451,月間集計シート!S$92:S$111)*AJ$2</f>
        <v>0</v>
      </c>
      <c r="AK1451" s="88">
        <f>SUMIF(月間集計シート!$M$92:$M$111,$G1451,月間集計シート!T$92:T$111)*AK$2</f>
        <v>0</v>
      </c>
      <c r="AL1451" s="88">
        <f>SUMIF(月間集計シート!$M$113:$M$132,$G1451,月間集計シート!N$113:N$132)*AL$2</f>
        <v>0</v>
      </c>
      <c r="AM1451" s="88">
        <f>SUMIF(月間集計シート!$M$113:$M$132,$G1451,月間集計シート!O$113:O$132)*AM$2</f>
        <v>0</v>
      </c>
      <c r="AN1451" s="88">
        <f>SUMIF(月間集計シート!$M$113:$M$132,$G1451,月間集計シート!P$113:P$132)*AN$2</f>
        <v>0</v>
      </c>
      <c r="AO1451" s="88">
        <f>SUMIF(月間集計シート!$M$113:$M$132,$G1451,月間集計シート!Q$113:Q$132)*AO$2</f>
        <v>0</v>
      </c>
      <c r="AP1451" s="88">
        <f>SUMIF(月間集計シート!$M$113:$M$132,$G1451,月間集計シート!R$113:R$132)*AP$2</f>
        <v>0</v>
      </c>
      <c r="AQ1451" s="88">
        <f>SUMIF(月間集計シート!$M$113:$M$132,$G1451,月間集計シート!S$113:S$132)*AQ$2</f>
        <v>0</v>
      </c>
      <c r="AR1451" s="88">
        <f>SUMIF(月間集計シート!$M$113:$M$132,$G1451,月間集計シート!T$113:T$132)*AR$2</f>
        <v>0</v>
      </c>
      <c r="AS1451" s="88">
        <f>SUMIF(月間集計シート!$M$134:$M$153,$G1451,月間集計シート!N$134:N$153)*AS$2</f>
        <v>0</v>
      </c>
      <c r="AT1451" s="88">
        <f>SUMIF(月間集計シート!$M$134:$M$153,$G1451,月間集計シート!O$134:O$153)*AT$2</f>
        <v>0</v>
      </c>
      <c r="AU1451" s="88">
        <f>SUMIF(月間集計シート!$M$134:$M$153,$G1451,月間集計シート!P$134:P$153)*AU$2</f>
        <v>0</v>
      </c>
      <c r="AV1451" s="88">
        <f>SUMIF(月間集計シート!$M$134:$M$153,$G1451,月間集計シート!Q$134:Q$153)*AV$2</f>
        <v>0</v>
      </c>
      <c r="AW1451" s="88">
        <f>SUMIF(月間集計シート!$M$134:$M$153,$G1451,月間集計シート!R$134:R$153)*AW$2</f>
        <v>0</v>
      </c>
      <c r="AX1451" s="88">
        <f>SUMIF(月間集計シート!$M$134:$M$153,$G1451,月間集計シート!S$134:S$153)*AX$2</f>
        <v>0</v>
      </c>
      <c r="AY1451" s="88">
        <f>SUMIF(月間集計シート!$M$134:$M$153,$G1451,月間集計シート!T$134:T$153)*AY$2</f>
        <v>0</v>
      </c>
    </row>
    <row r="1452" spans="1:51">
      <c r="B1452" s="120"/>
      <c r="C1452" s="120"/>
      <c r="D1452" s="127"/>
      <c r="E1452" s="115"/>
      <c r="F1452" s="119"/>
      <c r="G1452" s="116"/>
      <c r="H1452" s="88"/>
      <c r="I1452" s="132"/>
      <c r="J1452" s="88"/>
      <c r="K1452" s="88"/>
      <c r="L1452" s="88"/>
      <c r="M1452" s="88"/>
      <c r="N1452" s="88"/>
      <c r="O1452" s="88"/>
      <c r="P1452" s="88"/>
      <c r="Q1452" s="88"/>
      <c r="R1452" s="88"/>
      <c r="S1452" s="88"/>
      <c r="T1452" s="88"/>
      <c r="U1452" s="88"/>
      <c r="V1452" s="88"/>
      <c r="W1452" s="88"/>
      <c r="X1452" s="88"/>
      <c r="Y1452" s="88"/>
      <c r="Z1452" s="88"/>
      <c r="AA1452" s="88"/>
      <c r="AB1452" s="88"/>
      <c r="AC1452" s="88"/>
      <c r="AD1452" s="88"/>
      <c r="AE1452" s="88"/>
      <c r="AF1452" s="88"/>
      <c r="AG1452" s="88"/>
      <c r="AH1452" s="88"/>
      <c r="AI1452" s="88"/>
      <c r="AJ1452" s="88"/>
      <c r="AK1452" s="88"/>
      <c r="AL1452" s="88"/>
      <c r="AM1452" s="88"/>
      <c r="AN1452" s="88"/>
      <c r="AO1452" s="88"/>
      <c r="AP1452" s="88"/>
      <c r="AQ1452" s="88"/>
      <c r="AR1452" s="88"/>
      <c r="AS1452" s="88"/>
      <c r="AT1452" s="88"/>
      <c r="AU1452" s="88"/>
      <c r="AV1452" s="88"/>
      <c r="AW1452" s="88"/>
      <c r="AX1452" s="88"/>
      <c r="AY1452" s="88"/>
    </row>
    <row r="1453" spans="1:51" ht="14.25" thickBot="1">
      <c r="A1453">
        <v>18</v>
      </c>
      <c r="B1453">
        <f>月間集計シート!I21</f>
        <v>0</v>
      </c>
      <c r="C1453" s="116" t="str">
        <f>月間集計シート!J21</f>
        <v/>
      </c>
      <c r="D1453" s="147">
        <v>1</v>
      </c>
      <c r="E1453" s="115" t="s">
        <v>451</v>
      </c>
      <c r="F1453" s="119" t="s">
        <v>29</v>
      </c>
      <c r="G1453" s="116"/>
      <c r="H1453" s="88">
        <f t="shared" ref="H1453:H1536" si="791">SUM(J1453:AY1453)</f>
        <v>0</v>
      </c>
      <c r="I1453" s="132"/>
      <c r="J1453" s="88">
        <f>SUM(J1455:J1536)</f>
        <v>0</v>
      </c>
      <c r="K1453" s="88">
        <f t="shared" ref="K1453:AY1453" si="792">SUM(K1455:K1536)</f>
        <v>0</v>
      </c>
      <c r="L1453" s="88">
        <f t="shared" si="792"/>
        <v>0</v>
      </c>
      <c r="M1453" s="88">
        <f t="shared" si="792"/>
        <v>0</v>
      </c>
      <c r="N1453" s="88">
        <f t="shared" si="792"/>
        <v>0</v>
      </c>
      <c r="O1453" s="88">
        <f t="shared" si="792"/>
        <v>0</v>
      </c>
      <c r="P1453" s="88">
        <f t="shared" si="792"/>
        <v>0</v>
      </c>
      <c r="Q1453" s="88">
        <f t="shared" si="792"/>
        <v>0</v>
      </c>
      <c r="R1453" s="88">
        <f t="shared" si="792"/>
        <v>0</v>
      </c>
      <c r="S1453" s="88">
        <f t="shared" si="792"/>
        <v>0</v>
      </c>
      <c r="T1453" s="88">
        <f t="shared" si="792"/>
        <v>0</v>
      </c>
      <c r="U1453" s="88">
        <f t="shared" si="792"/>
        <v>0</v>
      </c>
      <c r="V1453" s="88">
        <f t="shared" si="792"/>
        <v>0</v>
      </c>
      <c r="W1453" s="88">
        <f t="shared" si="792"/>
        <v>0</v>
      </c>
      <c r="X1453" s="88">
        <f t="shared" si="792"/>
        <v>0</v>
      </c>
      <c r="Y1453" s="88">
        <f t="shared" si="792"/>
        <v>0</v>
      </c>
      <c r="Z1453" s="88">
        <f t="shared" si="792"/>
        <v>0</v>
      </c>
      <c r="AA1453" s="88">
        <f t="shared" si="792"/>
        <v>0</v>
      </c>
      <c r="AB1453" s="88">
        <f t="shared" si="792"/>
        <v>0</v>
      </c>
      <c r="AC1453" s="88">
        <f t="shared" si="792"/>
        <v>0</v>
      </c>
      <c r="AD1453" s="88">
        <f t="shared" si="792"/>
        <v>0</v>
      </c>
      <c r="AE1453" s="88">
        <f t="shared" si="792"/>
        <v>0</v>
      </c>
      <c r="AF1453" s="88">
        <f t="shared" si="792"/>
        <v>0</v>
      </c>
      <c r="AG1453" s="88">
        <f t="shared" si="792"/>
        <v>0</v>
      </c>
      <c r="AH1453" s="88">
        <f t="shared" si="792"/>
        <v>0</v>
      </c>
      <c r="AI1453" s="88">
        <f t="shared" si="792"/>
        <v>0</v>
      </c>
      <c r="AJ1453" s="88">
        <f t="shared" si="792"/>
        <v>0</v>
      </c>
      <c r="AK1453" s="88">
        <f t="shared" si="792"/>
        <v>0</v>
      </c>
      <c r="AL1453" s="88">
        <f t="shared" si="792"/>
        <v>0</v>
      </c>
      <c r="AM1453" s="88">
        <f t="shared" si="792"/>
        <v>0</v>
      </c>
      <c r="AN1453" s="88">
        <f t="shared" si="792"/>
        <v>0</v>
      </c>
      <c r="AO1453" s="88">
        <f t="shared" si="792"/>
        <v>0</v>
      </c>
      <c r="AP1453" s="88">
        <f t="shared" si="792"/>
        <v>0</v>
      </c>
      <c r="AQ1453" s="88">
        <f t="shared" si="792"/>
        <v>0</v>
      </c>
      <c r="AR1453" s="88">
        <f t="shared" si="792"/>
        <v>0</v>
      </c>
      <c r="AS1453" s="88">
        <f t="shared" si="792"/>
        <v>0</v>
      </c>
      <c r="AT1453" s="88">
        <f t="shared" si="792"/>
        <v>0</v>
      </c>
      <c r="AU1453" s="88">
        <f t="shared" si="792"/>
        <v>0</v>
      </c>
      <c r="AV1453" s="88">
        <f t="shared" si="792"/>
        <v>0</v>
      </c>
      <c r="AW1453" s="88">
        <f t="shared" si="792"/>
        <v>0</v>
      </c>
      <c r="AX1453" s="88">
        <f t="shared" si="792"/>
        <v>0</v>
      </c>
      <c r="AY1453" s="88">
        <f t="shared" si="792"/>
        <v>0</v>
      </c>
    </row>
    <row r="1454" spans="1:51" ht="14.25" customHeight="1" thickBot="1">
      <c r="A1454">
        <v>18</v>
      </c>
      <c r="B1454">
        <f>B1453</f>
        <v>0</v>
      </c>
      <c r="C1454" s="116" t="str">
        <f>C1453</f>
        <v/>
      </c>
      <c r="D1454" s="147">
        <v>1</v>
      </c>
      <c r="E1454" s="115" t="s">
        <v>453</v>
      </c>
      <c r="F1454" s="119" t="s">
        <v>454</v>
      </c>
      <c r="G1454" s="116"/>
      <c r="H1454" s="129">
        <f t="shared" ref="H1454" si="793">SUM(J1454:AY1454)</f>
        <v>0</v>
      </c>
      <c r="I1454" s="132"/>
      <c r="J1454" s="88">
        <f>SUMIF($D1455:$D1536,1,J1455:J1536)</f>
        <v>0</v>
      </c>
      <c r="K1454" s="88">
        <f t="shared" ref="K1454" si="794">SUMIF($D1455:$D1536,1,K1455:K1536)</f>
        <v>0</v>
      </c>
      <c r="L1454" s="88">
        <f t="shared" ref="L1454" si="795">SUMIF($D1455:$D1536,1,L1455:L1536)</f>
        <v>0</v>
      </c>
      <c r="M1454" s="88">
        <f t="shared" ref="M1454" si="796">SUMIF($D1455:$D1536,1,M1455:M1536)</f>
        <v>0</v>
      </c>
      <c r="N1454" s="88">
        <f t="shared" ref="N1454" si="797">SUMIF($D1455:$D1536,1,N1455:N1536)</f>
        <v>0</v>
      </c>
      <c r="O1454" s="88">
        <f t="shared" ref="O1454" si="798">SUMIF($D1455:$D1536,1,O1455:O1536)</f>
        <v>0</v>
      </c>
      <c r="P1454" s="88">
        <f t="shared" ref="P1454" si="799">SUMIF($D1455:$D1536,1,P1455:P1536)</f>
        <v>0</v>
      </c>
      <c r="Q1454" s="88">
        <f t="shared" ref="Q1454" si="800">SUMIF($D1455:$D1536,1,Q1455:Q1536)</f>
        <v>0</v>
      </c>
      <c r="R1454" s="88">
        <f t="shared" ref="R1454" si="801">SUMIF($D1455:$D1536,1,R1455:R1536)</f>
        <v>0</v>
      </c>
      <c r="S1454" s="88">
        <f t="shared" ref="S1454" si="802">SUMIF($D1455:$D1536,1,S1455:S1536)</f>
        <v>0</v>
      </c>
      <c r="T1454" s="88">
        <f t="shared" ref="T1454" si="803">SUMIF($D1455:$D1536,1,T1455:T1536)</f>
        <v>0</v>
      </c>
      <c r="U1454" s="88">
        <f t="shared" ref="U1454" si="804">SUMIF($D1455:$D1536,1,U1455:U1536)</f>
        <v>0</v>
      </c>
      <c r="V1454" s="88">
        <f t="shared" ref="V1454" si="805">SUMIF($D1455:$D1536,1,V1455:V1536)</f>
        <v>0</v>
      </c>
      <c r="W1454" s="88">
        <f t="shared" ref="W1454" si="806">SUMIF($D1455:$D1536,1,W1455:W1536)</f>
        <v>0</v>
      </c>
      <c r="X1454" s="88">
        <f t="shared" ref="X1454" si="807">SUMIF($D1455:$D1536,1,X1455:X1536)</f>
        <v>0</v>
      </c>
      <c r="Y1454" s="88">
        <f t="shared" ref="Y1454" si="808">SUMIF($D1455:$D1536,1,Y1455:Y1536)</f>
        <v>0</v>
      </c>
      <c r="Z1454" s="88">
        <f t="shared" ref="Z1454" si="809">SUMIF($D1455:$D1536,1,Z1455:Z1536)</f>
        <v>0</v>
      </c>
      <c r="AA1454" s="88">
        <f t="shared" ref="AA1454" si="810">SUMIF($D1455:$D1536,1,AA1455:AA1536)</f>
        <v>0</v>
      </c>
      <c r="AB1454" s="88">
        <f t="shared" ref="AB1454" si="811">SUMIF($D1455:$D1536,1,AB1455:AB1536)</f>
        <v>0</v>
      </c>
      <c r="AC1454" s="88">
        <f t="shared" ref="AC1454" si="812">SUMIF($D1455:$D1536,1,AC1455:AC1536)</f>
        <v>0</v>
      </c>
      <c r="AD1454" s="88">
        <f t="shared" ref="AD1454" si="813">SUMIF($D1455:$D1536,1,AD1455:AD1536)</f>
        <v>0</v>
      </c>
      <c r="AE1454" s="88">
        <f t="shared" ref="AE1454" si="814">SUMIF($D1455:$D1536,1,AE1455:AE1536)</f>
        <v>0</v>
      </c>
      <c r="AF1454" s="88">
        <f t="shared" ref="AF1454" si="815">SUMIF($D1455:$D1536,1,AF1455:AF1536)</f>
        <v>0</v>
      </c>
      <c r="AG1454" s="88">
        <f t="shared" ref="AG1454" si="816">SUMIF($D1455:$D1536,1,AG1455:AG1536)</f>
        <v>0</v>
      </c>
      <c r="AH1454" s="88">
        <f t="shared" ref="AH1454" si="817">SUMIF($D1455:$D1536,1,AH1455:AH1536)</f>
        <v>0</v>
      </c>
      <c r="AI1454" s="88">
        <f t="shared" ref="AI1454" si="818">SUMIF($D1455:$D1536,1,AI1455:AI1536)</f>
        <v>0</v>
      </c>
      <c r="AJ1454" s="88">
        <f t="shared" ref="AJ1454" si="819">SUMIF($D1455:$D1536,1,AJ1455:AJ1536)</f>
        <v>0</v>
      </c>
      <c r="AK1454" s="88">
        <f t="shared" ref="AK1454" si="820">SUMIF($D1455:$D1536,1,AK1455:AK1536)</f>
        <v>0</v>
      </c>
      <c r="AL1454" s="88">
        <f t="shared" ref="AL1454" si="821">SUMIF($D1455:$D1536,1,AL1455:AL1536)</f>
        <v>0</v>
      </c>
      <c r="AM1454" s="88">
        <f t="shared" ref="AM1454" si="822">SUMIF($D1455:$D1536,1,AM1455:AM1536)</f>
        <v>0</v>
      </c>
      <c r="AN1454" s="88">
        <f t="shared" ref="AN1454" si="823">SUMIF($D1455:$D1536,1,AN1455:AN1536)</f>
        <v>0</v>
      </c>
      <c r="AO1454" s="88">
        <f t="shared" ref="AO1454" si="824">SUMIF($D1455:$D1536,1,AO1455:AO1536)</f>
        <v>0</v>
      </c>
      <c r="AP1454" s="88">
        <f t="shared" ref="AP1454" si="825">SUMIF($D1455:$D1536,1,AP1455:AP1536)</f>
        <v>0</v>
      </c>
      <c r="AQ1454" s="88">
        <f t="shared" ref="AQ1454" si="826">SUMIF($D1455:$D1536,1,AQ1455:AQ1536)</f>
        <v>0</v>
      </c>
      <c r="AR1454" s="88">
        <f t="shared" ref="AR1454" si="827">SUMIF($D1455:$D1536,1,AR1455:AR1536)</f>
        <v>0</v>
      </c>
      <c r="AS1454" s="88">
        <f t="shared" ref="AS1454" si="828">SUMIF($D1455:$D1536,1,AS1455:AS1536)</f>
        <v>0</v>
      </c>
      <c r="AT1454" s="88">
        <f t="shared" ref="AT1454" si="829">SUMIF($D1455:$D1536,1,AT1455:AT1536)</f>
        <v>0</v>
      </c>
      <c r="AU1454" s="88">
        <f t="shared" ref="AU1454" si="830">SUMIF($D1455:$D1536,1,AU1455:AU1536)</f>
        <v>0</v>
      </c>
      <c r="AV1454" s="88">
        <f t="shared" ref="AV1454" si="831">SUMIF($D1455:$D1536,1,AV1455:AV1536)</f>
        <v>0</v>
      </c>
      <c r="AW1454" s="88">
        <f t="shared" ref="AW1454" si="832">SUMIF($D1455:$D1536,1,AW1455:AW1536)</f>
        <v>0</v>
      </c>
      <c r="AX1454" s="88">
        <f t="shared" ref="AX1454" si="833">SUMIF($D1455:$D1536,1,AX1455:AX1536)</f>
        <v>0</v>
      </c>
      <c r="AY1454" s="88">
        <f t="shared" ref="AY1454" si="834">SUMIF($D1455:$D1536,1,AY1455:AY1536)</f>
        <v>0</v>
      </c>
    </row>
    <row r="1455" spans="1:51" ht="14.25" thickBot="1">
      <c r="A1455">
        <v>18</v>
      </c>
      <c r="B1455" s="120">
        <f>B1453</f>
        <v>0</v>
      </c>
      <c r="C1455" s="120" t="str">
        <f>C1453</f>
        <v/>
      </c>
      <c r="D1455" s="137"/>
      <c r="E1455" s="150" t="str">
        <f>工種!A2</f>
        <v>10102</v>
      </c>
      <c r="F1455" s="119" t="str">
        <f>工種!B2</f>
        <v>SRS：調査・分析・開発計画の準備・実施作業</v>
      </c>
      <c r="G1455" s="116" t="str">
        <f t="shared" si="784"/>
        <v>010102</v>
      </c>
      <c r="H1455" s="88">
        <f t="shared" si="791"/>
        <v>0</v>
      </c>
      <c r="I1455" s="132"/>
      <c r="J1455" s="88">
        <f>SUMIF(月間集計シート!$M$29:$M$48,$G1455,月間集計シート!N$29:N$48)*J$2</f>
        <v>0</v>
      </c>
      <c r="K1455" s="88">
        <f>SUMIF(月間集計シート!$M$29:$M$48,$G1455,月間集計シート!O$29:O$48)*K$2</f>
        <v>0</v>
      </c>
      <c r="L1455" s="88">
        <f>SUMIF(月間集計シート!$M$29:$M$48,$G1455,月間集計シート!P$29:P$48)*L$2</f>
        <v>0</v>
      </c>
      <c r="M1455" s="88">
        <f>SUMIF(月間集計シート!$M$29:$M$48,$G1455,月間集計シート!Q$29:Q$48)*M$2</f>
        <v>0</v>
      </c>
      <c r="N1455" s="88">
        <f>SUMIF(月間集計シート!$M$29:$M$48,$G1455,月間集計シート!R$29:R$48)*N$2</f>
        <v>0</v>
      </c>
      <c r="O1455" s="88">
        <f>SUMIF(月間集計シート!$M$29:$M$48,$G1455,月間集計シート!S$29:S$48)*O$2</f>
        <v>0</v>
      </c>
      <c r="P1455" s="88">
        <f>SUMIF(月間集計シート!$M$29:$M$48,$G1455,月間集計シート!T$29:T$48)*P$2</f>
        <v>0</v>
      </c>
      <c r="Q1455" s="88">
        <f>SUMIF(月間集計シート!$M$50:$M$69,$G1455,月間集計シート!N$50:N$69)*Q$2</f>
        <v>0</v>
      </c>
      <c r="R1455" s="88">
        <f>SUMIF(月間集計シート!$M$50:$M$69,$G1455,月間集計シート!O$50:O$69)*R$2</f>
        <v>0</v>
      </c>
      <c r="S1455" s="88">
        <f>SUMIF(月間集計シート!$M$50:$M$69,$G1455,月間集計シート!P$50:P$69)*S$2</f>
        <v>0</v>
      </c>
      <c r="T1455" s="88">
        <f>SUMIF(月間集計シート!$M$50:$M$69,$G1455,月間集計シート!Q$50:Q$69)*T$2</f>
        <v>0</v>
      </c>
      <c r="U1455" s="88">
        <f>SUMIF(月間集計シート!$M$50:$M$69,$G1455,月間集計シート!R$50:R$69)*U$2</f>
        <v>0</v>
      </c>
      <c r="V1455" s="88">
        <f>SUMIF(月間集計シート!$M$50:$M$69,$G1455,月間集計シート!S$50:S$69)*V$2</f>
        <v>0</v>
      </c>
      <c r="W1455" s="88">
        <f>SUMIF(月間集計シート!$M$50:$M$69,$G1455,月間集計シート!T$50:T$69)*W$2</f>
        <v>0</v>
      </c>
      <c r="X1455" s="88">
        <f>SUMIF(月間集計シート!$M$71:$M$90,$G1455,月間集計シート!N$71:N$90)*X$2</f>
        <v>0</v>
      </c>
      <c r="Y1455" s="88">
        <f>SUMIF(月間集計シート!$M$71:$M$90,$G1455,月間集計シート!O$71:O$90)*Y$2</f>
        <v>0</v>
      </c>
      <c r="Z1455" s="88">
        <f>SUMIF(月間集計シート!$M$71:$M$90,$G1455,月間集計シート!P$71:P$90)*Z$2</f>
        <v>0</v>
      </c>
      <c r="AA1455" s="88">
        <f>SUMIF(月間集計シート!$M$71:$M$90,$G1455,月間集計シート!Q$71:Q$90)*AA$2</f>
        <v>0</v>
      </c>
      <c r="AB1455" s="88">
        <f>SUMIF(月間集計シート!$M$71:$M$90,$G1455,月間集計シート!R$71:R$90)*AB$2</f>
        <v>0</v>
      </c>
      <c r="AC1455" s="88">
        <f>SUMIF(月間集計シート!$M$71:$M$90,$G1455,月間集計シート!S$71:S$90)*AC$2</f>
        <v>0</v>
      </c>
      <c r="AD1455" s="88">
        <f>SUMIF(月間集計シート!$M$71:$M$90,$G1455,月間集計シート!T$71:T$90)*AD$2</f>
        <v>0</v>
      </c>
      <c r="AE1455" s="88">
        <f>SUMIF(月間集計シート!$M$92:$M$111,$G1455,月間集計シート!N$92:N$111)*AE$2</f>
        <v>0</v>
      </c>
      <c r="AF1455" s="88">
        <f>SUMIF(月間集計シート!$M$92:$M$111,$G1455,月間集計シート!O$92:O$111)*AF$2</f>
        <v>0</v>
      </c>
      <c r="AG1455" s="88">
        <f>SUMIF(月間集計シート!$M$92:$M$111,$G1455,月間集計シート!P$92:P$111)*AG$2</f>
        <v>0</v>
      </c>
      <c r="AH1455" s="88">
        <f>SUMIF(月間集計シート!$M$92:$M$111,$G1455,月間集計シート!Q$92:Q$111)*AH$2</f>
        <v>0</v>
      </c>
      <c r="AI1455" s="88">
        <f>SUMIF(月間集計シート!$M$92:$M$111,$G1455,月間集計シート!R$92:R$111)*AI$2</f>
        <v>0</v>
      </c>
      <c r="AJ1455" s="88">
        <f>SUMIF(月間集計シート!$M$92:$M$111,$G1455,月間集計シート!S$92:S$111)*AJ$2</f>
        <v>0</v>
      </c>
      <c r="AK1455" s="88">
        <f>SUMIF(月間集計シート!$M$92:$M$111,$G1455,月間集計シート!T$92:T$111)*AK$2</f>
        <v>0</v>
      </c>
      <c r="AL1455" s="88">
        <f>SUMIF(月間集計シート!$M$113:$M$132,$G1455,月間集計シート!N$113:N$132)*AL$2</f>
        <v>0</v>
      </c>
      <c r="AM1455" s="88">
        <f>SUMIF(月間集計シート!$M$113:$M$132,$G1455,月間集計シート!O$113:O$132)*AM$2</f>
        <v>0</v>
      </c>
      <c r="AN1455" s="88">
        <f>SUMIF(月間集計シート!$M$113:$M$132,$G1455,月間集計シート!P$113:P$132)*AN$2</f>
        <v>0</v>
      </c>
      <c r="AO1455" s="88">
        <f>SUMIF(月間集計シート!$M$113:$M$132,$G1455,月間集計シート!Q$113:Q$132)*AO$2</f>
        <v>0</v>
      </c>
      <c r="AP1455" s="88">
        <f>SUMIF(月間集計シート!$M$113:$M$132,$G1455,月間集計シート!R$113:R$132)*AP$2</f>
        <v>0</v>
      </c>
      <c r="AQ1455" s="88">
        <f>SUMIF(月間集計シート!$M$113:$M$132,$G1455,月間集計シート!S$113:S$132)*AQ$2</f>
        <v>0</v>
      </c>
      <c r="AR1455" s="88">
        <f>SUMIF(月間集計シート!$M$113:$M$132,$G1455,月間集計シート!T$113:T$132)*AR$2</f>
        <v>0</v>
      </c>
      <c r="AS1455" s="88">
        <f>SUMIF(月間集計シート!$M$134:$M$153,$G1455,月間集計シート!N$134:N$153)*AS$2</f>
        <v>0</v>
      </c>
      <c r="AT1455" s="88">
        <f>SUMIF(月間集計シート!$M$134:$M$153,$G1455,月間集計シート!O$134:O$153)*AT$2</f>
        <v>0</v>
      </c>
      <c r="AU1455" s="88">
        <f>SUMIF(月間集計シート!$M$134:$M$153,$G1455,月間集計シート!P$134:P$153)*AU$2</f>
        <v>0</v>
      </c>
      <c r="AV1455" s="88">
        <f>SUMIF(月間集計シート!$M$134:$M$153,$G1455,月間集計シート!Q$134:Q$153)*AV$2</f>
        <v>0</v>
      </c>
      <c r="AW1455" s="88">
        <f>SUMIF(月間集計シート!$M$134:$M$153,$G1455,月間集計シート!R$134:R$153)*AW$2</f>
        <v>0</v>
      </c>
      <c r="AX1455" s="88">
        <f>SUMIF(月間集計シート!$M$134:$M$153,$G1455,月間集計シート!S$134:S$153)*AX$2</f>
        <v>0</v>
      </c>
      <c r="AY1455" s="88">
        <f>SUMIF(月間集計シート!$M$134:$M$153,$G1455,月間集計シート!T$134:T$153)*AY$2</f>
        <v>0</v>
      </c>
    </row>
    <row r="1456" spans="1:51" ht="14.25" thickBot="1">
      <c r="A1456">
        <v>18</v>
      </c>
      <c r="B1456" s="120">
        <f t="shared" ref="B1456:B1519" si="835">B1455</f>
        <v>0</v>
      </c>
      <c r="C1456" s="120" t="str">
        <f t="shared" ref="C1456:C1519" si="836">C1455</f>
        <v/>
      </c>
      <c r="D1456" s="137"/>
      <c r="E1456" s="150" t="str">
        <f>工種!A3</f>
        <v>10103</v>
      </c>
      <c r="F1456" s="119" t="str">
        <f>工種!B3</f>
        <v>SRS：企画書・計画書・報告書等資料作成・修正</v>
      </c>
      <c r="G1456" s="116" t="str">
        <f t="shared" si="784"/>
        <v>010103</v>
      </c>
      <c r="H1456" s="88">
        <f t="shared" si="791"/>
        <v>0</v>
      </c>
      <c r="I1456" s="132"/>
      <c r="J1456" s="88">
        <f>SUMIF(月間集計シート!$M$29:$M$48,$G1456,月間集計シート!N$29:N$48)*J$2</f>
        <v>0</v>
      </c>
      <c r="K1456" s="88">
        <f>SUMIF(月間集計シート!$M$29:$M$48,$G1456,月間集計シート!O$29:O$48)*K$2</f>
        <v>0</v>
      </c>
      <c r="L1456" s="88">
        <f>SUMIF(月間集計シート!$M$29:$M$48,$G1456,月間集計シート!P$29:P$48)*L$2</f>
        <v>0</v>
      </c>
      <c r="M1456" s="88">
        <f>SUMIF(月間集計シート!$M$29:$M$48,$G1456,月間集計シート!Q$29:Q$48)*M$2</f>
        <v>0</v>
      </c>
      <c r="N1456" s="88">
        <f>SUMIF(月間集計シート!$M$29:$M$48,$G1456,月間集計シート!R$29:R$48)*N$2</f>
        <v>0</v>
      </c>
      <c r="O1456" s="88">
        <f>SUMIF(月間集計シート!$M$29:$M$48,$G1456,月間集計シート!S$29:S$48)*O$2</f>
        <v>0</v>
      </c>
      <c r="P1456" s="88">
        <f>SUMIF(月間集計シート!$M$29:$M$48,$G1456,月間集計シート!T$29:T$48)*P$2</f>
        <v>0</v>
      </c>
      <c r="Q1456" s="88">
        <f>SUMIF(月間集計シート!$M$50:$M$69,$G1456,月間集計シート!N$50:N$69)*Q$2</f>
        <v>0</v>
      </c>
      <c r="R1456" s="88">
        <f>SUMIF(月間集計シート!$M$50:$M$69,$G1456,月間集計シート!O$50:O$69)*R$2</f>
        <v>0</v>
      </c>
      <c r="S1456" s="88">
        <f>SUMIF(月間集計シート!$M$50:$M$69,$G1456,月間集計シート!P$50:P$69)*S$2</f>
        <v>0</v>
      </c>
      <c r="T1456" s="88">
        <f>SUMIF(月間集計シート!$M$50:$M$69,$G1456,月間集計シート!Q$50:Q$69)*T$2</f>
        <v>0</v>
      </c>
      <c r="U1456" s="88">
        <f>SUMIF(月間集計シート!$M$50:$M$69,$G1456,月間集計シート!R$50:R$69)*U$2</f>
        <v>0</v>
      </c>
      <c r="V1456" s="88">
        <f>SUMIF(月間集計シート!$M$50:$M$69,$G1456,月間集計シート!S$50:S$69)*V$2</f>
        <v>0</v>
      </c>
      <c r="W1456" s="88">
        <f>SUMIF(月間集計シート!$M$50:$M$69,$G1456,月間集計シート!T$50:T$69)*W$2</f>
        <v>0</v>
      </c>
      <c r="X1456" s="88">
        <f>SUMIF(月間集計シート!$M$71:$M$90,$G1456,月間集計シート!N$71:N$90)*X$2</f>
        <v>0</v>
      </c>
      <c r="Y1456" s="88">
        <f>SUMIF(月間集計シート!$M$71:$M$90,$G1456,月間集計シート!O$71:O$90)*Y$2</f>
        <v>0</v>
      </c>
      <c r="Z1456" s="88">
        <f>SUMIF(月間集計シート!$M$71:$M$90,$G1456,月間集計シート!P$71:P$90)*Z$2</f>
        <v>0</v>
      </c>
      <c r="AA1456" s="88">
        <f>SUMIF(月間集計シート!$M$71:$M$90,$G1456,月間集計シート!Q$71:Q$90)*AA$2</f>
        <v>0</v>
      </c>
      <c r="AB1456" s="88">
        <f>SUMIF(月間集計シート!$M$71:$M$90,$G1456,月間集計シート!R$71:R$90)*AB$2</f>
        <v>0</v>
      </c>
      <c r="AC1456" s="88">
        <f>SUMIF(月間集計シート!$M$71:$M$90,$G1456,月間集計シート!S$71:S$90)*AC$2</f>
        <v>0</v>
      </c>
      <c r="AD1456" s="88">
        <f>SUMIF(月間集計シート!$M$71:$M$90,$G1456,月間集計シート!T$71:T$90)*AD$2</f>
        <v>0</v>
      </c>
      <c r="AE1456" s="88">
        <f>SUMIF(月間集計シート!$M$92:$M$111,$G1456,月間集計シート!N$92:N$111)*AE$2</f>
        <v>0</v>
      </c>
      <c r="AF1456" s="88">
        <f>SUMIF(月間集計シート!$M$92:$M$111,$G1456,月間集計シート!O$92:O$111)*AF$2</f>
        <v>0</v>
      </c>
      <c r="AG1456" s="88">
        <f>SUMIF(月間集計シート!$M$92:$M$111,$G1456,月間集計シート!P$92:P$111)*AG$2</f>
        <v>0</v>
      </c>
      <c r="AH1456" s="88">
        <f>SUMIF(月間集計シート!$M$92:$M$111,$G1456,月間集計シート!Q$92:Q$111)*AH$2</f>
        <v>0</v>
      </c>
      <c r="AI1456" s="88">
        <f>SUMIF(月間集計シート!$M$92:$M$111,$G1456,月間集計シート!R$92:R$111)*AI$2</f>
        <v>0</v>
      </c>
      <c r="AJ1456" s="88">
        <f>SUMIF(月間集計シート!$M$92:$M$111,$G1456,月間集計シート!S$92:S$111)*AJ$2</f>
        <v>0</v>
      </c>
      <c r="AK1456" s="88">
        <f>SUMIF(月間集計シート!$M$92:$M$111,$G1456,月間集計シート!T$92:T$111)*AK$2</f>
        <v>0</v>
      </c>
      <c r="AL1456" s="88">
        <f>SUMIF(月間集計シート!$M$113:$M$132,$G1456,月間集計シート!N$113:N$132)*AL$2</f>
        <v>0</v>
      </c>
      <c r="AM1456" s="88">
        <f>SUMIF(月間集計シート!$M$113:$M$132,$G1456,月間集計シート!O$113:O$132)*AM$2</f>
        <v>0</v>
      </c>
      <c r="AN1456" s="88">
        <f>SUMIF(月間集計シート!$M$113:$M$132,$G1456,月間集計シート!P$113:P$132)*AN$2</f>
        <v>0</v>
      </c>
      <c r="AO1456" s="88">
        <f>SUMIF(月間集計シート!$M$113:$M$132,$G1456,月間集計シート!Q$113:Q$132)*AO$2</f>
        <v>0</v>
      </c>
      <c r="AP1456" s="88">
        <f>SUMIF(月間集計シート!$M$113:$M$132,$G1456,月間集計シート!R$113:R$132)*AP$2</f>
        <v>0</v>
      </c>
      <c r="AQ1456" s="88">
        <f>SUMIF(月間集計シート!$M$113:$M$132,$G1456,月間集計シート!S$113:S$132)*AQ$2</f>
        <v>0</v>
      </c>
      <c r="AR1456" s="88">
        <f>SUMIF(月間集計シート!$M$113:$M$132,$G1456,月間集計シート!T$113:T$132)*AR$2</f>
        <v>0</v>
      </c>
      <c r="AS1456" s="88">
        <f>SUMIF(月間集計シート!$M$134:$M$153,$G1456,月間集計シート!N$134:N$153)*AS$2</f>
        <v>0</v>
      </c>
      <c r="AT1456" s="88">
        <f>SUMIF(月間集計シート!$M$134:$M$153,$G1456,月間集計シート!O$134:O$153)*AT$2</f>
        <v>0</v>
      </c>
      <c r="AU1456" s="88">
        <f>SUMIF(月間集計シート!$M$134:$M$153,$G1456,月間集計シート!P$134:P$153)*AU$2</f>
        <v>0</v>
      </c>
      <c r="AV1456" s="88">
        <f>SUMIF(月間集計シート!$M$134:$M$153,$G1456,月間集計シート!Q$134:Q$153)*AV$2</f>
        <v>0</v>
      </c>
      <c r="AW1456" s="88">
        <f>SUMIF(月間集計シート!$M$134:$M$153,$G1456,月間集計シート!R$134:R$153)*AW$2</f>
        <v>0</v>
      </c>
      <c r="AX1456" s="88">
        <f>SUMIF(月間集計シート!$M$134:$M$153,$G1456,月間集計シート!S$134:S$153)*AX$2</f>
        <v>0</v>
      </c>
      <c r="AY1456" s="88">
        <f>SUMIF(月間集計シート!$M$134:$M$153,$G1456,月間集計シート!T$134:T$153)*AY$2</f>
        <v>0</v>
      </c>
    </row>
    <row r="1457" spans="1:51" ht="14.25" thickBot="1">
      <c r="A1457">
        <v>18</v>
      </c>
      <c r="B1457" s="120">
        <f t="shared" si="835"/>
        <v>0</v>
      </c>
      <c r="C1457" s="120" t="str">
        <f t="shared" si="836"/>
        <v/>
      </c>
      <c r="D1457" s="137"/>
      <c r="E1457" s="150" t="str">
        <f>工種!A4</f>
        <v>10104</v>
      </c>
      <c r="F1457" s="119" t="str">
        <f>工種!B4</f>
        <v>SRS：打合せ</v>
      </c>
      <c r="G1457" s="116" t="str">
        <f t="shared" si="784"/>
        <v>010104</v>
      </c>
      <c r="H1457" s="88">
        <f t="shared" si="791"/>
        <v>0</v>
      </c>
      <c r="I1457" s="132"/>
      <c r="J1457" s="88">
        <f>SUMIF(月間集計シート!$M$29:$M$48,$G1457,月間集計シート!N$29:N$48)*J$2</f>
        <v>0</v>
      </c>
      <c r="K1457" s="88">
        <f>SUMIF(月間集計シート!$M$29:$M$48,$G1457,月間集計シート!O$29:O$48)*K$2</f>
        <v>0</v>
      </c>
      <c r="L1457" s="88">
        <f>SUMIF(月間集計シート!$M$29:$M$48,$G1457,月間集計シート!P$29:P$48)*L$2</f>
        <v>0</v>
      </c>
      <c r="M1457" s="88">
        <f>SUMIF(月間集計シート!$M$29:$M$48,$G1457,月間集計シート!Q$29:Q$48)*M$2</f>
        <v>0</v>
      </c>
      <c r="N1457" s="88">
        <f>SUMIF(月間集計シート!$M$29:$M$48,$G1457,月間集計シート!R$29:R$48)*N$2</f>
        <v>0</v>
      </c>
      <c r="O1457" s="88">
        <f>SUMIF(月間集計シート!$M$29:$M$48,$G1457,月間集計シート!S$29:S$48)*O$2</f>
        <v>0</v>
      </c>
      <c r="P1457" s="88">
        <f>SUMIF(月間集計シート!$M$29:$M$48,$G1457,月間集計シート!T$29:T$48)*P$2</f>
        <v>0</v>
      </c>
      <c r="Q1457" s="88">
        <f>SUMIF(月間集計シート!$M$50:$M$69,$G1457,月間集計シート!N$50:N$69)*Q$2</f>
        <v>0</v>
      </c>
      <c r="R1457" s="88">
        <f>SUMIF(月間集計シート!$M$50:$M$69,$G1457,月間集計シート!O$50:O$69)*R$2</f>
        <v>0</v>
      </c>
      <c r="S1457" s="88">
        <f>SUMIF(月間集計シート!$M$50:$M$69,$G1457,月間集計シート!P$50:P$69)*S$2</f>
        <v>0</v>
      </c>
      <c r="T1457" s="88">
        <f>SUMIF(月間集計シート!$M$50:$M$69,$G1457,月間集計シート!Q$50:Q$69)*T$2</f>
        <v>0</v>
      </c>
      <c r="U1457" s="88">
        <f>SUMIF(月間集計シート!$M$50:$M$69,$G1457,月間集計シート!R$50:R$69)*U$2</f>
        <v>0</v>
      </c>
      <c r="V1457" s="88">
        <f>SUMIF(月間集計シート!$M$50:$M$69,$G1457,月間集計シート!S$50:S$69)*V$2</f>
        <v>0</v>
      </c>
      <c r="W1457" s="88">
        <f>SUMIF(月間集計シート!$M$50:$M$69,$G1457,月間集計シート!T$50:T$69)*W$2</f>
        <v>0</v>
      </c>
      <c r="X1457" s="88">
        <f>SUMIF(月間集計シート!$M$71:$M$90,$G1457,月間集計シート!N$71:N$90)*X$2</f>
        <v>0</v>
      </c>
      <c r="Y1457" s="88">
        <f>SUMIF(月間集計シート!$M$71:$M$90,$G1457,月間集計シート!O$71:O$90)*Y$2</f>
        <v>0</v>
      </c>
      <c r="Z1457" s="88">
        <f>SUMIF(月間集計シート!$M$71:$M$90,$G1457,月間集計シート!P$71:P$90)*Z$2</f>
        <v>0</v>
      </c>
      <c r="AA1457" s="88">
        <f>SUMIF(月間集計シート!$M$71:$M$90,$G1457,月間集計シート!Q$71:Q$90)*AA$2</f>
        <v>0</v>
      </c>
      <c r="AB1457" s="88">
        <f>SUMIF(月間集計シート!$M$71:$M$90,$G1457,月間集計シート!R$71:R$90)*AB$2</f>
        <v>0</v>
      </c>
      <c r="AC1457" s="88">
        <f>SUMIF(月間集計シート!$M$71:$M$90,$G1457,月間集計シート!S$71:S$90)*AC$2</f>
        <v>0</v>
      </c>
      <c r="AD1457" s="88">
        <f>SUMIF(月間集計シート!$M$71:$M$90,$G1457,月間集計シート!T$71:T$90)*AD$2</f>
        <v>0</v>
      </c>
      <c r="AE1457" s="88">
        <f>SUMIF(月間集計シート!$M$92:$M$111,$G1457,月間集計シート!N$92:N$111)*AE$2</f>
        <v>0</v>
      </c>
      <c r="AF1457" s="88">
        <f>SUMIF(月間集計シート!$M$92:$M$111,$G1457,月間集計シート!O$92:O$111)*AF$2</f>
        <v>0</v>
      </c>
      <c r="AG1457" s="88">
        <f>SUMIF(月間集計シート!$M$92:$M$111,$G1457,月間集計シート!P$92:P$111)*AG$2</f>
        <v>0</v>
      </c>
      <c r="AH1457" s="88">
        <f>SUMIF(月間集計シート!$M$92:$M$111,$G1457,月間集計シート!Q$92:Q$111)*AH$2</f>
        <v>0</v>
      </c>
      <c r="AI1457" s="88">
        <f>SUMIF(月間集計シート!$M$92:$M$111,$G1457,月間集計シート!R$92:R$111)*AI$2</f>
        <v>0</v>
      </c>
      <c r="AJ1457" s="88">
        <f>SUMIF(月間集計シート!$M$92:$M$111,$G1457,月間集計シート!S$92:S$111)*AJ$2</f>
        <v>0</v>
      </c>
      <c r="AK1457" s="88">
        <f>SUMIF(月間集計シート!$M$92:$M$111,$G1457,月間集計シート!T$92:T$111)*AK$2</f>
        <v>0</v>
      </c>
      <c r="AL1457" s="88">
        <f>SUMIF(月間集計シート!$M$113:$M$132,$G1457,月間集計シート!N$113:N$132)*AL$2</f>
        <v>0</v>
      </c>
      <c r="AM1457" s="88">
        <f>SUMIF(月間集計シート!$M$113:$M$132,$G1457,月間集計シート!O$113:O$132)*AM$2</f>
        <v>0</v>
      </c>
      <c r="AN1457" s="88">
        <f>SUMIF(月間集計シート!$M$113:$M$132,$G1457,月間集計シート!P$113:P$132)*AN$2</f>
        <v>0</v>
      </c>
      <c r="AO1457" s="88">
        <f>SUMIF(月間集計シート!$M$113:$M$132,$G1457,月間集計シート!Q$113:Q$132)*AO$2</f>
        <v>0</v>
      </c>
      <c r="AP1457" s="88">
        <f>SUMIF(月間集計シート!$M$113:$M$132,$G1457,月間集計シート!R$113:R$132)*AP$2</f>
        <v>0</v>
      </c>
      <c r="AQ1457" s="88">
        <f>SUMIF(月間集計シート!$M$113:$M$132,$G1457,月間集計シート!S$113:S$132)*AQ$2</f>
        <v>0</v>
      </c>
      <c r="AR1457" s="88">
        <f>SUMIF(月間集計シート!$M$113:$M$132,$G1457,月間集計シート!T$113:T$132)*AR$2</f>
        <v>0</v>
      </c>
      <c r="AS1457" s="88">
        <f>SUMIF(月間集計シート!$M$134:$M$153,$G1457,月間集計シート!N$134:N$153)*AS$2</f>
        <v>0</v>
      </c>
      <c r="AT1457" s="88">
        <f>SUMIF(月間集計シート!$M$134:$M$153,$G1457,月間集計シート!O$134:O$153)*AT$2</f>
        <v>0</v>
      </c>
      <c r="AU1457" s="88">
        <f>SUMIF(月間集計シート!$M$134:$M$153,$G1457,月間集計シート!P$134:P$153)*AU$2</f>
        <v>0</v>
      </c>
      <c r="AV1457" s="88">
        <f>SUMIF(月間集計シート!$M$134:$M$153,$G1457,月間集計シート!Q$134:Q$153)*AV$2</f>
        <v>0</v>
      </c>
      <c r="AW1457" s="88">
        <f>SUMIF(月間集計シート!$M$134:$M$153,$G1457,月間集計シート!R$134:R$153)*AW$2</f>
        <v>0</v>
      </c>
      <c r="AX1457" s="88">
        <f>SUMIF(月間集計シート!$M$134:$M$153,$G1457,月間集計シート!S$134:S$153)*AX$2</f>
        <v>0</v>
      </c>
      <c r="AY1457" s="88">
        <f>SUMIF(月間集計シート!$M$134:$M$153,$G1457,月間集計シート!T$134:T$153)*AY$2</f>
        <v>0</v>
      </c>
    </row>
    <row r="1458" spans="1:51" ht="14.25" thickBot="1">
      <c r="A1458">
        <v>18</v>
      </c>
      <c r="B1458" s="120">
        <f t="shared" si="835"/>
        <v>0</v>
      </c>
      <c r="C1458" s="120" t="str">
        <f t="shared" si="836"/>
        <v/>
      </c>
      <c r="D1458" s="137"/>
      <c r="E1458" s="150" t="str">
        <f>工種!A5</f>
        <v>10105</v>
      </c>
      <c r="F1458" s="119" t="str">
        <f>工種!B5</f>
        <v>SRS：レビュー</v>
      </c>
      <c r="G1458" s="116" t="str">
        <f t="shared" si="784"/>
        <v>010105</v>
      </c>
      <c r="H1458" s="88">
        <f t="shared" si="791"/>
        <v>0</v>
      </c>
      <c r="I1458" s="132"/>
      <c r="J1458" s="88">
        <f>SUMIF(月間集計シート!$M$29:$M$48,$G1458,月間集計シート!N$29:N$48)*J$2</f>
        <v>0</v>
      </c>
      <c r="K1458" s="88">
        <f>SUMIF(月間集計シート!$M$29:$M$48,$G1458,月間集計シート!O$29:O$48)*K$2</f>
        <v>0</v>
      </c>
      <c r="L1458" s="88">
        <f>SUMIF(月間集計シート!$M$29:$M$48,$G1458,月間集計シート!P$29:P$48)*L$2</f>
        <v>0</v>
      </c>
      <c r="M1458" s="88">
        <f>SUMIF(月間集計シート!$M$29:$M$48,$G1458,月間集計シート!Q$29:Q$48)*M$2</f>
        <v>0</v>
      </c>
      <c r="N1458" s="88">
        <f>SUMIF(月間集計シート!$M$29:$M$48,$G1458,月間集計シート!R$29:R$48)*N$2</f>
        <v>0</v>
      </c>
      <c r="O1458" s="88">
        <f>SUMIF(月間集計シート!$M$29:$M$48,$G1458,月間集計シート!S$29:S$48)*O$2</f>
        <v>0</v>
      </c>
      <c r="P1458" s="88">
        <f>SUMIF(月間集計シート!$M$29:$M$48,$G1458,月間集計シート!T$29:T$48)*P$2</f>
        <v>0</v>
      </c>
      <c r="Q1458" s="88">
        <f>SUMIF(月間集計シート!$M$50:$M$69,$G1458,月間集計シート!N$50:N$69)*Q$2</f>
        <v>0</v>
      </c>
      <c r="R1458" s="88">
        <f>SUMIF(月間集計シート!$M$50:$M$69,$G1458,月間集計シート!O$50:O$69)*R$2</f>
        <v>0</v>
      </c>
      <c r="S1458" s="88">
        <f>SUMIF(月間集計シート!$M$50:$M$69,$G1458,月間集計シート!P$50:P$69)*S$2</f>
        <v>0</v>
      </c>
      <c r="T1458" s="88">
        <f>SUMIF(月間集計シート!$M$50:$M$69,$G1458,月間集計シート!Q$50:Q$69)*T$2</f>
        <v>0</v>
      </c>
      <c r="U1458" s="88">
        <f>SUMIF(月間集計シート!$M$50:$M$69,$G1458,月間集計シート!R$50:R$69)*U$2</f>
        <v>0</v>
      </c>
      <c r="V1458" s="88">
        <f>SUMIF(月間集計シート!$M$50:$M$69,$G1458,月間集計シート!S$50:S$69)*V$2</f>
        <v>0</v>
      </c>
      <c r="W1458" s="88">
        <f>SUMIF(月間集計シート!$M$50:$M$69,$G1458,月間集計シート!T$50:T$69)*W$2</f>
        <v>0</v>
      </c>
      <c r="X1458" s="88">
        <f>SUMIF(月間集計シート!$M$71:$M$90,$G1458,月間集計シート!N$71:N$90)*X$2</f>
        <v>0</v>
      </c>
      <c r="Y1458" s="88">
        <f>SUMIF(月間集計シート!$M$71:$M$90,$G1458,月間集計シート!O$71:O$90)*Y$2</f>
        <v>0</v>
      </c>
      <c r="Z1458" s="88">
        <f>SUMIF(月間集計シート!$M$71:$M$90,$G1458,月間集計シート!P$71:P$90)*Z$2</f>
        <v>0</v>
      </c>
      <c r="AA1458" s="88">
        <f>SUMIF(月間集計シート!$M$71:$M$90,$G1458,月間集計シート!Q$71:Q$90)*AA$2</f>
        <v>0</v>
      </c>
      <c r="AB1458" s="88">
        <f>SUMIF(月間集計シート!$M$71:$M$90,$G1458,月間集計シート!R$71:R$90)*AB$2</f>
        <v>0</v>
      </c>
      <c r="AC1458" s="88">
        <f>SUMIF(月間集計シート!$M$71:$M$90,$G1458,月間集計シート!S$71:S$90)*AC$2</f>
        <v>0</v>
      </c>
      <c r="AD1458" s="88">
        <f>SUMIF(月間集計シート!$M$71:$M$90,$G1458,月間集計シート!T$71:T$90)*AD$2</f>
        <v>0</v>
      </c>
      <c r="AE1458" s="88">
        <f>SUMIF(月間集計シート!$M$92:$M$111,$G1458,月間集計シート!N$92:N$111)*AE$2</f>
        <v>0</v>
      </c>
      <c r="AF1458" s="88">
        <f>SUMIF(月間集計シート!$M$92:$M$111,$G1458,月間集計シート!O$92:O$111)*AF$2</f>
        <v>0</v>
      </c>
      <c r="AG1458" s="88">
        <f>SUMIF(月間集計シート!$M$92:$M$111,$G1458,月間集計シート!P$92:P$111)*AG$2</f>
        <v>0</v>
      </c>
      <c r="AH1458" s="88">
        <f>SUMIF(月間集計シート!$M$92:$M$111,$G1458,月間集計シート!Q$92:Q$111)*AH$2</f>
        <v>0</v>
      </c>
      <c r="AI1458" s="88">
        <f>SUMIF(月間集計シート!$M$92:$M$111,$G1458,月間集計シート!R$92:R$111)*AI$2</f>
        <v>0</v>
      </c>
      <c r="AJ1458" s="88">
        <f>SUMIF(月間集計シート!$M$92:$M$111,$G1458,月間集計シート!S$92:S$111)*AJ$2</f>
        <v>0</v>
      </c>
      <c r="AK1458" s="88">
        <f>SUMIF(月間集計シート!$M$92:$M$111,$G1458,月間集計シート!T$92:T$111)*AK$2</f>
        <v>0</v>
      </c>
      <c r="AL1458" s="88">
        <f>SUMIF(月間集計シート!$M$113:$M$132,$G1458,月間集計シート!N$113:N$132)*AL$2</f>
        <v>0</v>
      </c>
      <c r="AM1458" s="88">
        <f>SUMIF(月間集計シート!$M$113:$M$132,$G1458,月間集計シート!O$113:O$132)*AM$2</f>
        <v>0</v>
      </c>
      <c r="AN1458" s="88">
        <f>SUMIF(月間集計シート!$M$113:$M$132,$G1458,月間集計シート!P$113:P$132)*AN$2</f>
        <v>0</v>
      </c>
      <c r="AO1458" s="88">
        <f>SUMIF(月間集計シート!$M$113:$M$132,$G1458,月間集計シート!Q$113:Q$132)*AO$2</f>
        <v>0</v>
      </c>
      <c r="AP1458" s="88">
        <f>SUMIF(月間集計シート!$M$113:$M$132,$G1458,月間集計シート!R$113:R$132)*AP$2</f>
        <v>0</v>
      </c>
      <c r="AQ1458" s="88">
        <f>SUMIF(月間集計シート!$M$113:$M$132,$G1458,月間集計シート!S$113:S$132)*AQ$2</f>
        <v>0</v>
      </c>
      <c r="AR1458" s="88">
        <f>SUMIF(月間集計シート!$M$113:$M$132,$G1458,月間集計シート!T$113:T$132)*AR$2</f>
        <v>0</v>
      </c>
      <c r="AS1458" s="88">
        <f>SUMIF(月間集計シート!$M$134:$M$153,$G1458,月間集計シート!N$134:N$153)*AS$2</f>
        <v>0</v>
      </c>
      <c r="AT1458" s="88">
        <f>SUMIF(月間集計シート!$M$134:$M$153,$G1458,月間集計シート!O$134:O$153)*AT$2</f>
        <v>0</v>
      </c>
      <c r="AU1458" s="88">
        <f>SUMIF(月間集計シート!$M$134:$M$153,$G1458,月間集計シート!P$134:P$153)*AU$2</f>
        <v>0</v>
      </c>
      <c r="AV1458" s="88">
        <f>SUMIF(月間集計シート!$M$134:$M$153,$G1458,月間集計シート!Q$134:Q$153)*AV$2</f>
        <v>0</v>
      </c>
      <c r="AW1458" s="88">
        <f>SUMIF(月間集計シート!$M$134:$M$153,$G1458,月間集計シート!R$134:R$153)*AW$2</f>
        <v>0</v>
      </c>
      <c r="AX1458" s="88">
        <f>SUMIF(月間集計シート!$M$134:$M$153,$G1458,月間集計シート!S$134:S$153)*AX$2</f>
        <v>0</v>
      </c>
      <c r="AY1458" s="88">
        <f>SUMIF(月間集計シート!$M$134:$M$153,$G1458,月間集計シート!T$134:T$153)*AY$2</f>
        <v>0</v>
      </c>
    </row>
    <row r="1459" spans="1:51" ht="14.25" thickBot="1">
      <c r="A1459">
        <v>18</v>
      </c>
      <c r="B1459" s="120">
        <f t="shared" si="835"/>
        <v>0</v>
      </c>
      <c r="C1459" s="120" t="str">
        <f t="shared" si="836"/>
        <v/>
      </c>
      <c r="D1459" s="137"/>
      <c r="E1459" s="150" t="str">
        <f>工種!A6</f>
        <v>10199</v>
      </c>
      <c r="F1459" s="119" t="str">
        <f>工種!B6</f>
        <v>SRS：その他</v>
      </c>
      <c r="G1459" s="116" t="str">
        <f t="shared" si="784"/>
        <v>010199</v>
      </c>
      <c r="H1459" s="88">
        <f t="shared" si="791"/>
        <v>0</v>
      </c>
      <c r="I1459" s="132"/>
      <c r="J1459" s="88">
        <f>SUMIF(月間集計シート!$M$29:$M$48,$G1459,月間集計シート!N$29:N$48)*J$2</f>
        <v>0</v>
      </c>
      <c r="K1459" s="88">
        <f>SUMIF(月間集計シート!$M$29:$M$48,$G1459,月間集計シート!O$29:O$48)*K$2</f>
        <v>0</v>
      </c>
      <c r="L1459" s="88">
        <f>SUMIF(月間集計シート!$M$29:$M$48,$G1459,月間集計シート!P$29:P$48)*L$2</f>
        <v>0</v>
      </c>
      <c r="M1459" s="88">
        <f>SUMIF(月間集計シート!$M$29:$M$48,$G1459,月間集計シート!Q$29:Q$48)*M$2</f>
        <v>0</v>
      </c>
      <c r="N1459" s="88">
        <f>SUMIF(月間集計シート!$M$29:$M$48,$G1459,月間集計シート!R$29:R$48)*N$2</f>
        <v>0</v>
      </c>
      <c r="O1459" s="88">
        <f>SUMIF(月間集計シート!$M$29:$M$48,$G1459,月間集計シート!S$29:S$48)*O$2</f>
        <v>0</v>
      </c>
      <c r="P1459" s="88">
        <f>SUMIF(月間集計シート!$M$29:$M$48,$G1459,月間集計シート!T$29:T$48)*P$2</f>
        <v>0</v>
      </c>
      <c r="Q1459" s="88">
        <f>SUMIF(月間集計シート!$M$50:$M$69,$G1459,月間集計シート!N$50:N$69)*Q$2</f>
        <v>0</v>
      </c>
      <c r="R1459" s="88">
        <f>SUMIF(月間集計シート!$M$50:$M$69,$G1459,月間集計シート!O$50:O$69)*R$2</f>
        <v>0</v>
      </c>
      <c r="S1459" s="88">
        <f>SUMIF(月間集計シート!$M$50:$M$69,$G1459,月間集計シート!P$50:P$69)*S$2</f>
        <v>0</v>
      </c>
      <c r="T1459" s="88">
        <f>SUMIF(月間集計シート!$M$50:$M$69,$G1459,月間集計シート!Q$50:Q$69)*T$2</f>
        <v>0</v>
      </c>
      <c r="U1459" s="88">
        <f>SUMIF(月間集計シート!$M$50:$M$69,$G1459,月間集計シート!R$50:R$69)*U$2</f>
        <v>0</v>
      </c>
      <c r="V1459" s="88">
        <f>SUMIF(月間集計シート!$M$50:$M$69,$G1459,月間集計シート!S$50:S$69)*V$2</f>
        <v>0</v>
      </c>
      <c r="W1459" s="88">
        <f>SUMIF(月間集計シート!$M$50:$M$69,$G1459,月間集計シート!T$50:T$69)*W$2</f>
        <v>0</v>
      </c>
      <c r="X1459" s="88">
        <f>SUMIF(月間集計シート!$M$71:$M$90,$G1459,月間集計シート!N$71:N$90)*X$2</f>
        <v>0</v>
      </c>
      <c r="Y1459" s="88">
        <f>SUMIF(月間集計シート!$M$71:$M$90,$G1459,月間集計シート!O$71:O$90)*Y$2</f>
        <v>0</v>
      </c>
      <c r="Z1459" s="88">
        <f>SUMIF(月間集計シート!$M$71:$M$90,$G1459,月間集計シート!P$71:P$90)*Z$2</f>
        <v>0</v>
      </c>
      <c r="AA1459" s="88">
        <f>SUMIF(月間集計シート!$M$71:$M$90,$G1459,月間集計シート!Q$71:Q$90)*AA$2</f>
        <v>0</v>
      </c>
      <c r="AB1459" s="88">
        <f>SUMIF(月間集計シート!$M$71:$M$90,$G1459,月間集計シート!R$71:R$90)*AB$2</f>
        <v>0</v>
      </c>
      <c r="AC1459" s="88">
        <f>SUMIF(月間集計シート!$M$71:$M$90,$G1459,月間集計シート!S$71:S$90)*AC$2</f>
        <v>0</v>
      </c>
      <c r="AD1459" s="88">
        <f>SUMIF(月間集計シート!$M$71:$M$90,$G1459,月間集計シート!T$71:T$90)*AD$2</f>
        <v>0</v>
      </c>
      <c r="AE1459" s="88">
        <f>SUMIF(月間集計シート!$M$92:$M$111,$G1459,月間集計シート!N$92:N$111)*AE$2</f>
        <v>0</v>
      </c>
      <c r="AF1459" s="88">
        <f>SUMIF(月間集計シート!$M$92:$M$111,$G1459,月間集計シート!O$92:O$111)*AF$2</f>
        <v>0</v>
      </c>
      <c r="AG1459" s="88">
        <f>SUMIF(月間集計シート!$M$92:$M$111,$G1459,月間集計シート!P$92:P$111)*AG$2</f>
        <v>0</v>
      </c>
      <c r="AH1459" s="88">
        <f>SUMIF(月間集計シート!$M$92:$M$111,$G1459,月間集計シート!Q$92:Q$111)*AH$2</f>
        <v>0</v>
      </c>
      <c r="AI1459" s="88">
        <f>SUMIF(月間集計シート!$M$92:$M$111,$G1459,月間集計シート!R$92:R$111)*AI$2</f>
        <v>0</v>
      </c>
      <c r="AJ1459" s="88">
        <f>SUMIF(月間集計シート!$M$92:$M$111,$G1459,月間集計シート!S$92:S$111)*AJ$2</f>
        <v>0</v>
      </c>
      <c r="AK1459" s="88">
        <f>SUMIF(月間集計シート!$M$92:$M$111,$G1459,月間集計シート!T$92:T$111)*AK$2</f>
        <v>0</v>
      </c>
      <c r="AL1459" s="88">
        <f>SUMIF(月間集計シート!$M$113:$M$132,$G1459,月間集計シート!N$113:N$132)*AL$2</f>
        <v>0</v>
      </c>
      <c r="AM1459" s="88">
        <f>SUMIF(月間集計シート!$M$113:$M$132,$G1459,月間集計シート!O$113:O$132)*AM$2</f>
        <v>0</v>
      </c>
      <c r="AN1459" s="88">
        <f>SUMIF(月間集計シート!$M$113:$M$132,$G1459,月間集計シート!P$113:P$132)*AN$2</f>
        <v>0</v>
      </c>
      <c r="AO1459" s="88">
        <f>SUMIF(月間集計シート!$M$113:$M$132,$G1459,月間集計シート!Q$113:Q$132)*AO$2</f>
        <v>0</v>
      </c>
      <c r="AP1459" s="88">
        <f>SUMIF(月間集計シート!$M$113:$M$132,$G1459,月間集計シート!R$113:R$132)*AP$2</f>
        <v>0</v>
      </c>
      <c r="AQ1459" s="88">
        <f>SUMIF(月間集計シート!$M$113:$M$132,$G1459,月間集計シート!S$113:S$132)*AQ$2</f>
        <v>0</v>
      </c>
      <c r="AR1459" s="88">
        <f>SUMIF(月間集計シート!$M$113:$M$132,$G1459,月間集計シート!T$113:T$132)*AR$2</f>
        <v>0</v>
      </c>
      <c r="AS1459" s="88">
        <f>SUMIF(月間集計シート!$M$134:$M$153,$G1459,月間集計シート!N$134:N$153)*AS$2</f>
        <v>0</v>
      </c>
      <c r="AT1459" s="88">
        <f>SUMIF(月間集計シート!$M$134:$M$153,$G1459,月間集計シート!O$134:O$153)*AT$2</f>
        <v>0</v>
      </c>
      <c r="AU1459" s="88">
        <f>SUMIF(月間集計シート!$M$134:$M$153,$G1459,月間集計シート!P$134:P$153)*AU$2</f>
        <v>0</v>
      </c>
      <c r="AV1459" s="88">
        <f>SUMIF(月間集計シート!$M$134:$M$153,$G1459,月間集計シート!Q$134:Q$153)*AV$2</f>
        <v>0</v>
      </c>
      <c r="AW1459" s="88">
        <f>SUMIF(月間集計シート!$M$134:$M$153,$G1459,月間集計シート!R$134:R$153)*AW$2</f>
        <v>0</v>
      </c>
      <c r="AX1459" s="88">
        <f>SUMIF(月間集計シート!$M$134:$M$153,$G1459,月間集計シート!S$134:S$153)*AX$2</f>
        <v>0</v>
      </c>
      <c r="AY1459" s="88">
        <f>SUMIF(月間集計シート!$M$134:$M$153,$G1459,月間集計シート!T$134:T$153)*AY$2</f>
        <v>0</v>
      </c>
    </row>
    <row r="1460" spans="1:51" ht="14.25" thickBot="1">
      <c r="A1460">
        <v>18</v>
      </c>
      <c r="B1460" s="120">
        <f t="shared" si="835"/>
        <v>0</v>
      </c>
      <c r="C1460" s="120" t="str">
        <f t="shared" si="836"/>
        <v/>
      </c>
      <c r="D1460" s="137"/>
      <c r="E1460" s="150" t="str">
        <f>工種!A7</f>
        <v>20101</v>
      </c>
      <c r="F1460" s="119" t="str">
        <f>工種!B7</f>
        <v>設計：外部設計書作成</v>
      </c>
      <c r="G1460" s="116" t="str">
        <f t="shared" si="784"/>
        <v>020101</v>
      </c>
      <c r="H1460" s="88">
        <f t="shared" si="791"/>
        <v>0</v>
      </c>
      <c r="I1460" s="132"/>
      <c r="J1460" s="88">
        <f>SUMIF(月間集計シート!$M$29:$M$48,$G1460,月間集計シート!N$29:N$48)*J$2</f>
        <v>0</v>
      </c>
      <c r="K1460" s="88">
        <f>SUMIF(月間集計シート!$M$29:$M$48,$G1460,月間集計シート!O$29:O$48)*K$2</f>
        <v>0</v>
      </c>
      <c r="L1460" s="88">
        <f>SUMIF(月間集計シート!$M$29:$M$48,$G1460,月間集計シート!P$29:P$48)*L$2</f>
        <v>0</v>
      </c>
      <c r="M1460" s="88">
        <f>SUMIF(月間集計シート!$M$29:$M$48,$G1460,月間集計シート!Q$29:Q$48)*M$2</f>
        <v>0</v>
      </c>
      <c r="N1460" s="88">
        <f>SUMIF(月間集計シート!$M$29:$M$48,$G1460,月間集計シート!R$29:R$48)*N$2</f>
        <v>0</v>
      </c>
      <c r="O1460" s="88">
        <f>SUMIF(月間集計シート!$M$29:$M$48,$G1460,月間集計シート!S$29:S$48)*O$2</f>
        <v>0</v>
      </c>
      <c r="P1460" s="88">
        <f>SUMIF(月間集計シート!$M$29:$M$48,$G1460,月間集計シート!T$29:T$48)*P$2</f>
        <v>0</v>
      </c>
      <c r="Q1460" s="88">
        <f>SUMIF(月間集計シート!$M$50:$M$69,$G1460,月間集計シート!N$50:N$69)*Q$2</f>
        <v>0</v>
      </c>
      <c r="R1460" s="88">
        <f>SUMIF(月間集計シート!$M$50:$M$69,$G1460,月間集計シート!O$50:O$69)*R$2</f>
        <v>0</v>
      </c>
      <c r="S1460" s="88">
        <f>SUMIF(月間集計シート!$M$50:$M$69,$G1460,月間集計シート!P$50:P$69)*S$2</f>
        <v>0</v>
      </c>
      <c r="T1460" s="88">
        <f>SUMIF(月間集計シート!$M$50:$M$69,$G1460,月間集計シート!Q$50:Q$69)*T$2</f>
        <v>0</v>
      </c>
      <c r="U1460" s="88">
        <f>SUMIF(月間集計シート!$M$50:$M$69,$G1460,月間集計シート!R$50:R$69)*U$2</f>
        <v>0</v>
      </c>
      <c r="V1460" s="88">
        <f>SUMIF(月間集計シート!$M$50:$M$69,$G1460,月間集計シート!S$50:S$69)*V$2</f>
        <v>0</v>
      </c>
      <c r="W1460" s="88">
        <f>SUMIF(月間集計シート!$M$50:$M$69,$G1460,月間集計シート!T$50:T$69)*W$2</f>
        <v>0</v>
      </c>
      <c r="X1460" s="88">
        <f>SUMIF(月間集計シート!$M$71:$M$90,$G1460,月間集計シート!N$71:N$90)*X$2</f>
        <v>0</v>
      </c>
      <c r="Y1460" s="88">
        <f>SUMIF(月間集計シート!$M$71:$M$90,$G1460,月間集計シート!O$71:O$90)*Y$2</f>
        <v>0</v>
      </c>
      <c r="Z1460" s="88">
        <f>SUMIF(月間集計シート!$M$71:$M$90,$G1460,月間集計シート!P$71:P$90)*Z$2</f>
        <v>0</v>
      </c>
      <c r="AA1460" s="88">
        <f>SUMIF(月間集計シート!$M$71:$M$90,$G1460,月間集計シート!Q$71:Q$90)*AA$2</f>
        <v>0</v>
      </c>
      <c r="AB1460" s="88">
        <f>SUMIF(月間集計シート!$M$71:$M$90,$G1460,月間集計シート!R$71:R$90)*AB$2</f>
        <v>0</v>
      </c>
      <c r="AC1460" s="88">
        <f>SUMIF(月間集計シート!$M$71:$M$90,$G1460,月間集計シート!S$71:S$90)*AC$2</f>
        <v>0</v>
      </c>
      <c r="AD1460" s="88">
        <f>SUMIF(月間集計シート!$M$71:$M$90,$G1460,月間集計シート!T$71:T$90)*AD$2</f>
        <v>0</v>
      </c>
      <c r="AE1460" s="88">
        <f>SUMIF(月間集計シート!$M$92:$M$111,$G1460,月間集計シート!N$92:N$111)*AE$2</f>
        <v>0</v>
      </c>
      <c r="AF1460" s="88">
        <f>SUMIF(月間集計シート!$M$92:$M$111,$G1460,月間集計シート!O$92:O$111)*AF$2</f>
        <v>0</v>
      </c>
      <c r="AG1460" s="88">
        <f>SUMIF(月間集計シート!$M$92:$M$111,$G1460,月間集計シート!P$92:P$111)*AG$2</f>
        <v>0</v>
      </c>
      <c r="AH1460" s="88">
        <f>SUMIF(月間集計シート!$M$92:$M$111,$G1460,月間集計シート!Q$92:Q$111)*AH$2</f>
        <v>0</v>
      </c>
      <c r="AI1460" s="88">
        <f>SUMIF(月間集計シート!$M$92:$M$111,$G1460,月間集計シート!R$92:R$111)*AI$2</f>
        <v>0</v>
      </c>
      <c r="AJ1460" s="88">
        <f>SUMIF(月間集計シート!$M$92:$M$111,$G1460,月間集計シート!S$92:S$111)*AJ$2</f>
        <v>0</v>
      </c>
      <c r="AK1460" s="88">
        <f>SUMIF(月間集計シート!$M$92:$M$111,$G1460,月間集計シート!T$92:T$111)*AK$2</f>
        <v>0</v>
      </c>
      <c r="AL1460" s="88">
        <f>SUMIF(月間集計シート!$M$113:$M$132,$G1460,月間集計シート!N$113:N$132)*AL$2</f>
        <v>0</v>
      </c>
      <c r="AM1460" s="88">
        <f>SUMIF(月間集計シート!$M$113:$M$132,$G1460,月間集計シート!O$113:O$132)*AM$2</f>
        <v>0</v>
      </c>
      <c r="AN1460" s="88">
        <f>SUMIF(月間集計シート!$M$113:$M$132,$G1460,月間集計シート!P$113:P$132)*AN$2</f>
        <v>0</v>
      </c>
      <c r="AO1460" s="88">
        <f>SUMIF(月間集計シート!$M$113:$M$132,$G1460,月間集計シート!Q$113:Q$132)*AO$2</f>
        <v>0</v>
      </c>
      <c r="AP1460" s="88">
        <f>SUMIF(月間集計シート!$M$113:$M$132,$G1460,月間集計シート!R$113:R$132)*AP$2</f>
        <v>0</v>
      </c>
      <c r="AQ1460" s="88">
        <f>SUMIF(月間集計シート!$M$113:$M$132,$G1460,月間集計シート!S$113:S$132)*AQ$2</f>
        <v>0</v>
      </c>
      <c r="AR1460" s="88">
        <f>SUMIF(月間集計シート!$M$113:$M$132,$G1460,月間集計シート!T$113:T$132)*AR$2</f>
        <v>0</v>
      </c>
      <c r="AS1460" s="88">
        <f>SUMIF(月間集計シート!$M$134:$M$153,$G1460,月間集計シート!N$134:N$153)*AS$2</f>
        <v>0</v>
      </c>
      <c r="AT1460" s="88">
        <f>SUMIF(月間集計シート!$M$134:$M$153,$G1460,月間集計シート!O$134:O$153)*AT$2</f>
        <v>0</v>
      </c>
      <c r="AU1460" s="88">
        <f>SUMIF(月間集計シート!$M$134:$M$153,$G1460,月間集計シート!P$134:P$153)*AU$2</f>
        <v>0</v>
      </c>
      <c r="AV1460" s="88">
        <f>SUMIF(月間集計シート!$M$134:$M$153,$G1460,月間集計シート!Q$134:Q$153)*AV$2</f>
        <v>0</v>
      </c>
      <c r="AW1460" s="88">
        <f>SUMIF(月間集計シート!$M$134:$M$153,$G1460,月間集計シート!R$134:R$153)*AW$2</f>
        <v>0</v>
      </c>
      <c r="AX1460" s="88">
        <f>SUMIF(月間集計シート!$M$134:$M$153,$G1460,月間集計シート!S$134:S$153)*AX$2</f>
        <v>0</v>
      </c>
      <c r="AY1460" s="88">
        <f>SUMIF(月間集計シート!$M$134:$M$153,$G1460,月間集計シート!T$134:T$153)*AY$2</f>
        <v>0</v>
      </c>
    </row>
    <row r="1461" spans="1:51" ht="14.25" thickBot="1">
      <c r="A1461">
        <v>18</v>
      </c>
      <c r="B1461" s="120">
        <f t="shared" si="835"/>
        <v>0</v>
      </c>
      <c r="C1461" s="120" t="str">
        <f t="shared" si="836"/>
        <v/>
      </c>
      <c r="D1461" s="137"/>
      <c r="E1461" s="150" t="str">
        <f>工種!A8</f>
        <v>20103</v>
      </c>
      <c r="F1461" s="119" t="str">
        <f>工種!B8</f>
        <v>設計：打合せ</v>
      </c>
      <c r="G1461" s="116" t="str">
        <f t="shared" si="784"/>
        <v>020103</v>
      </c>
      <c r="H1461" s="88">
        <f t="shared" si="791"/>
        <v>0</v>
      </c>
      <c r="I1461" s="132"/>
      <c r="J1461" s="88">
        <f>SUMIF(月間集計シート!$M$29:$M$48,$G1461,月間集計シート!N$29:N$48)*J$2</f>
        <v>0</v>
      </c>
      <c r="K1461" s="88">
        <f>SUMIF(月間集計シート!$M$29:$M$48,$G1461,月間集計シート!O$29:O$48)*K$2</f>
        <v>0</v>
      </c>
      <c r="L1461" s="88">
        <f>SUMIF(月間集計シート!$M$29:$M$48,$G1461,月間集計シート!P$29:P$48)*L$2</f>
        <v>0</v>
      </c>
      <c r="M1461" s="88">
        <f>SUMIF(月間集計シート!$M$29:$M$48,$G1461,月間集計シート!Q$29:Q$48)*M$2</f>
        <v>0</v>
      </c>
      <c r="N1461" s="88">
        <f>SUMIF(月間集計シート!$M$29:$M$48,$G1461,月間集計シート!R$29:R$48)*N$2</f>
        <v>0</v>
      </c>
      <c r="O1461" s="88">
        <f>SUMIF(月間集計シート!$M$29:$M$48,$G1461,月間集計シート!S$29:S$48)*O$2</f>
        <v>0</v>
      </c>
      <c r="P1461" s="88">
        <f>SUMIF(月間集計シート!$M$29:$M$48,$G1461,月間集計シート!T$29:T$48)*P$2</f>
        <v>0</v>
      </c>
      <c r="Q1461" s="88">
        <f>SUMIF(月間集計シート!$M$50:$M$69,$G1461,月間集計シート!N$50:N$69)*Q$2</f>
        <v>0</v>
      </c>
      <c r="R1461" s="88">
        <f>SUMIF(月間集計シート!$M$50:$M$69,$G1461,月間集計シート!O$50:O$69)*R$2</f>
        <v>0</v>
      </c>
      <c r="S1461" s="88">
        <f>SUMIF(月間集計シート!$M$50:$M$69,$G1461,月間集計シート!P$50:P$69)*S$2</f>
        <v>0</v>
      </c>
      <c r="T1461" s="88">
        <f>SUMIF(月間集計シート!$M$50:$M$69,$G1461,月間集計シート!Q$50:Q$69)*T$2</f>
        <v>0</v>
      </c>
      <c r="U1461" s="88">
        <f>SUMIF(月間集計シート!$M$50:$M$69,$G1461,月間集計シート!R$50:R$69)*U$2</f>
        <v>0</v>
      </c>
      <c r="V1461" s="88">
        <f>SUMIF(月間集計シート!$M$50:$M$69,$G1461,月間集計シート!S$50:S$69)*V$2</f>
        <v>0</v>
      </c>
      <c r="W1461" s="88">
        <f>SUMIF(月間集計シート!$M$50:$M$69,$G1461,月間集計シート!T$50:T$69)*W$2</f>
        <v>0</v>
      </c>
      <c r="X1461" s="88">
        <f>SUMIF(月間集計シート!$M$71:$M$90,$G1461,月間集計シート!N$71:N$90)*X$2</f>
        <v>0</v>
      </c>
      <c r="Y1461" s="88">
        <f>SUMIF(月間集計シート!$M$71:$M$90,$G1461,月間集計シート!O$71:O$90)*Y$2</f>
        <v>0</v>
      </c>
      <c r="Z1461" s="88">
        <f>SUMIF(月間集計シート!$M$71:$M$90,$G1461,月間集計シート!P$71:P$90)*Z$2</f>
        <v>0</v>
      </c>
      <c r="AA1461" s="88">
        <f>SUMIF(月間集計シート!$M$71:$M$90,$G1461,月間集計シート!Q$71:Q$90)*AA$2</f>
        <v>0</v>
      </c>
      <c r="AB1461" s="88">
        <f>SUMIF(月間集計シート!$M$71:$M$90,$G1461,月間集計シート!R$71:R$90)*AB$2</f>
        <v>0</v>
      </c>
      <c r="AC1461" s="88">
        <f>SUMIF(月間集計シート!$M$71:$M$90,$G1461,月間集計シート!S$71:S$90)*AC$2</f>
        <v>0</v>
      </c>
      <c r="AD1461" s="88">
        <f>SUMIF(月間集計シート!$M$71:$M$90,$G1461,月間集計シート!T$71:T$90)*AD$2</f>
        <v>0</v>
      </c>
      <c r="AE1461" s="88">
        <f>SUMIF(月間集計シート!$M$92:$M$111,$G1461,月間集計シート!N$92:N$111)*AE$2</f>
        <v>0</v>
      </c>
      <c r="AF1461" s="88">
        <f>SUMIF(月間集計シート!$M$92:$M$111,$G1461,月間集計シート!O$92:O$111)*AF$2</f>
        <v>0</v>
      </c>
      <c r="AG1461" s="88">
        <f>SUMIF(月間集計シート!$M$92:$M$111,$G1461,月間集計シート!P$92:P$111)*AG$2</f>
        <v>0</v>
      </c>
      <c r="AH1461" s="88">
        <f>SUMIF(月間集計シート!$M$92:$M$111,$G1461,月間集計シート!Q$92:Q$111)*AH$2</f>
        <v>0</v>
      </c>
      <c r="AI1461" s="88">
        <f>SUMIF(月間集計シート!$M$92:$M$111,$G1461,月間集計シート!R$92:R$111)*AI$2</f>
        <v>0</v>
      </c>
      <c r="AJ1461" s="88">
        <f>SUMIF(月間集計シート!$M$92:$M$111,$G1461,月間集計シート!S$92:S$111)*AJ$2</f>
        <v>0</v>
      </c>
      <c r="AK1461" s="88">
        <f>SUMIF(月間集計シート!$M$92:$M$111,$G1461,月間集計シート!T$92:T$111)*AK$2</f>
        <v>0</v>
      </c>
      <c r="AL1461" s="88">
        <f>SUMIF(月間集計シート!$M$113:$M$132,$G1461,月間集計シート!N$113:N$132)*AL$2</f>
        <v>0</v>
      </c>
      <c r="AM1461" s="88">
        <f>SUMIF(月間集計シート!$M$113:$M$132,$G1461,月間集計シート!O$113:O$132)*AM$2</f>
        <v>0</v>
      </c>
      <c r="AN1461" s="88">
        <f>SUMIF(月間集計シート!$M$113:$M$132,$G1461,月間集計シート!P$113:P$132)*AN$2</f>
        <v>0</v>
      </c>
      <c r="AO1461" s="88">
        <f>SUMIF(月間集計シート!$M$113:$M$132,$G1461,月間集計シート!Q$113:Q$132)*AO$2</f>
        <v>0</v>
      </c>
      <c r="AP1461" s="88">
        <f>SUMIF(月間集計シート!$M$113:$M$132,$G1461,月間集計シート!R$113:R$132)*AP$2</f>
        <v>0</v>
      </c>
      <c r="AQ1461" s="88">
        <f>SUMIF(月間集計シート!$M$113:$M$132,$G1461,月間集計シート!S$113:S$132)*AQ$2</f>
        <v>0</v>
      </c>
      <c r="AR1461" s="88">
        <f>SUMIF(月間集計シート!$M$113:$M$132,$G1461,月間集計シート!T$113:T$132)*AR$2</f>
        <v>0</v>
      </c>
      <c r="AS1461" s="88">
        <f>SUMIF(月間集計シート!$M$134:$M$153,$G1461,月間集計シート!N$134:N$153)*AS$2</f>
        <v>0</v>
      </c>
      <c r="AT1461" s="88">
        <f>SUMIF(月間集計シート!$M$134:$M$153,$G1461,月間集計シート!O$134:O$153)*AT$2</f>
        <v>0</v>
      </c>
      <c r="AU1461" s="88">
        <f>SUMIF(月間集計シート!$M$134:$M$153,$G1461,月間集計シート!P$134:P$153)*AU$2</f>
        <v>0</v>
      </c>
      <c r="AV1461" s="88">
        <f>SUMIF(月間集計シート!$M$134:$M$153,$G1461,月間集計シート!Q$134:Q$153)*AV$2</f>
        <v>0</v>
      </c>
      <c r="AW1461" s="88">
        <f>SUMIF(月間集計シート!$M$134:$M$153,$G1461,月間集計シート!R$134:R$153)*AW$2</f>
        <v>0</v>
      </c>
      <c r="AX1461" s="88">
        <f>SUMIF(月間集計シート!$M$134:$M$153,$G1461,月間集計シート!S$134:S$153)*AX$2</f>
        <v>0</v>
      </c>
      <c r="AY1461" s="88">
        <f>SUMIF(月間集計シート!$M$134:$M$153,$G1461,月間集計シート!T$134:T$153)*AY$2</f>
        <v>0</v>
      </c>
    </row>
    <row r="1462" spans="1:51" ht="14.25" thickBot="1">
      <c r="A1462">
        <v>18</v>
      </c>
      <c r="B1462" s="120">
        <f t="shared" si="835"/>
        <v>0</v>
      </c>
      <c r="C1462" s="120" t="str">
        <f t="shared" si="836"/>
        <v/>
      </c>
      <c r="D1462" s="137"/>
      <c r="E1462" s="150">
        <f>工種!A9</f>
        <v>20105</v>
      </c>
      <c r="F1462" s="119" t="str">
        <f>工種!B9</f>
        <v>設計：原因調査・影響範囲分析・変更仕様作成</v>
      </c>
      <c r="G1462" s="116" t="str">
        <f t="shared" si="784"/>
        <v>020105</v>
      </c>
      <c r="H1462" s="88">
        <f t="shared" si="791"/>
        <v>0</v>
      </c>
      <c r="I1462" s="132"/>
      <c r="J1462" s="88">
        <f>SUMIF(月間集計シート!$M$29:$M$48,$G1462,月間集計シート!N$29:N$48)*J$2</f>
        <v>0</v>
      </c>
      <c r="K1462" s="88">
        <f>SUMIF(月間集計シート!$M$29:$M$48,$G1462,月間集計シート!O$29:O$48)*K$2</f>
        <v>0</v>
      </c>
      <c r="L1462" s="88">
        <f>SUMIF(月間集計シート!$M$29:$M$48,$G1462,月間集計シート!P$29:P$48)*L$2</f>
        <v>0</v>
      </c>
      <c r="M1462" s="88">
        <f>SUMIF(月間集計シート!$M$29:$M$48,$G1462,月間集計シート!Q$29:Q$48)*M$2</f>
        <v>0</v>
      </c>
      <c r="N1462" s="88">
        <f>SUMIF(月間集計シート!$M$29:$M$48,$G1462,月間集計シート!R$29:R$48)*N$2</f>
        <v>0</v>
      </c>
      <c r="O1462" s="88">
        <f>SUMIF(月間集計シート!$M$29:$M$48,$G1462,月間集計シート!S$29:S$48)*O$2</f>
        <v>0</v>
      </c>
      <c r="P1462" s="88">
        <f>SUMIF(月間集計シート!$M$29:$M$48,$G1462,月間集計シート!T$29:T$48)*P$2</f>
        <v>0</v>
      </c>
      <c r="Q1462" s="88">
        <f>SUMIF(月間集計シート!$M$50:$M$69,$G1462,月間集計シート!N$50:N$69)*Q$2</f>
        <v>0</v>
      </c>
      <c r="R1462" s="88">
        <f>SUMIF(月間集計シート!$M$50:$M$69,$G1462,月間集計シート!O$50:O$69)*R$2</f>
        <v>0</v>
      </c>
      <c r="S1462" s="88">
        <f>SUMIF(月間集計シート!$M$50:$M$69,$G1462,月間集計シート!P$50:P$69)*S$2</f>
        <v>0</v>
      </c>
      <c r="T1462" s="88">
        <f>SUMIF(月間集計シート!$M$50:$M$69,$G1462,月間集計シート!Q$50:Q$69)*T$2</f>
        <v>0</v>
      </c>
      <c r="U1462" s="88">
        <f>SUMIF(月間集計シート!$M$50:$M$69,$G1462,月間集計シート!R$50:R$69)*U$2</f>
        <v>0</v>
      </c>
      <c r="V1462" s="88">
        <f>SUMIF(月間集計シート!$M$50:$M$69,$G1462,月間集計シート!S$50:S$69)*V$2</f>
        <v>0</v>
      </c>
      <c r="W1462" s="88">
        <f>SUMIF(月間集計シート!$M$50:$M$69,$G1462,月間集計シート!T$50:T$69)*W$2</f>
        <v>0</v>
      </c>
      <c r="X1462" s="88">
        <f>SUMIF(月間集計シート!$M$71:$M$90,$G1462,月間集計シート!N$71:N$90)*X$2</f>
        <v>0</v>
      </c>
      <c r="Y1462" s="88">
        <f>SUMIF(月間集計シート!$M$71:$M$90,$G1462,月間集計シート!O$71:O$90)*Y$2</f>
        <v>0</v>
      </c>
      <c r="Z1462" s="88">
        <f>SUMIF(月間集計シート!$M$71:$M$90,$G1462,月間集計シート!P$71:P$90)*Z$2</f>
        <v>0</v>
      </c>
      <c r="AA1462" s="88">
        <f>SUMIF(月間集計シート!$M$71:$M$90,$G1462,月間集計シート!Q$71:Q$90)*AA$2</f>
        <v>0</v>
      </c>
      <c r="AB1462" s="88">
        <f>SUMIF(月間集計シート!$M$71:$M$90,$G1462,月間集計シート!R$71:R$90)*AB$2</f>
        <v>0</v>
      </c>
      <c r="AC1462" s="88">
        <f>SUMIF(月間集計シート!$M$71:$M$90,$G1462,月間集計シート!S$71:S$90)*AC$2</f>
        <v>0</v>
      </c>
      <c r="AD1462" s="88">
        <f>SUMIF(月間集計シート!$M$71:$M$90,$G1462,月間集計シート!T$71:T$90)*AD$2</f>
        <v>0</v>
      </c>
      <c r="AE1462" s="88">
        <f>SUMIF(月間集計シート!$M$92:$M$111,$G1462,月間集計シート!N$92:N$111)*AE$2</f>
        <v>0</v>
      </c>
      <c r="AF1462" s="88">
        <f>SUMIF(月間集計シート!$M$92:$M$111,$G1462,月間集計シート!O$92:O$111)*AF$2</f>
        <v>0</v>
      </c>
      <c r="AG1462" s="88">
        <f>SUMIF(月間集計シート!$M$92:$M$111,$G1462,月間集計シート!P$92:P$111)*AG$2</f>
        <v>0</v>
      </c>
      <c r="AH1462" s="88">
        <f>SUMIF(月間集計シート!$M$92:$M$111,$G1462,月間集計シート!Q$92:Q$111)*AH$2</f>
        <v>0</v>
      </c>
      <c r="AI1462" s="88">
        <f>SUMIF(月間集計シート!$M$92:$M$111,$G1462,月間集計シート!R$92:R$111)*AI$2</f>
        <v>0</v>
      </c>
      <c r="AJ1462" s="88">
        <f>SUMIF(月間集計シート!$M$92:$M$111,$G1462,月間集計シート!S$92:S$111)*AJ$2</f>
        <v>0</v>
      </c>
      <c r="AK1462" s="88">
        <f>SUMIF(月間集計シート!$M$92:$M$111,$G1462,月間集計シート!T$92:T$111)*AK$2</f>
        <v>0</v>
      </c>
      <c r="AL1462" s="88">
        <f>SUMIF(月間集計シート!$M$113:$M$132,$G1462,月間集計シート!N$113:N$132)*AL$2</f>
        <v>0</v>
      </c>
      <c r="AM1462" s="88">
        <f>SUMIF(月間集計シート!$M$113:$M$132,$G1462,月間集計シート!O$113:O$132)*AM$2</f>
        <v>0</v>
      </c>
      <c r="AN1462" s="88">
        <f>SUMIF(月間集計シート!$M$113:$M$132,$G1462,月間集計シート!P$113:P$132)*AN$2</f>
        <v>0</v>
      </c>
      <c r="AO1462" s="88">
        <f>SUMIF(月間集計シート!$M$113:$M$132,$G1462,月間集計シート!Q$113:Q$132)*AO$2</f>
        <v>0</v>
      </c>
      <c r="AP1462" s="88">
        <f>SUMIF(月間集計シート!$M$113:$M$132,$G1462,月間集計シート!R$113:R$132)*AP$2</f>
        <v>0</v>
      </c>
      <c r="AQ1462" s="88">
        <f>SUMIF(月間集計シート!$M$113:$M$132,$G1462,月間集計シート!S$113:S$132)*AQ$2</f>
        <v>0</v>
      </c>
      <c r="AR1462" s="88">
        <f>SUMIF(月間集計シート!$M$113:$M$132,$G1462,月間集計シート!T$113:T$132)*AR$2</f>
        <v>0</v>
      </c>
      <c r="AS1462" s="88">
        <f>SUMIF(月間集計シート!$M$134:$M$153,$G1462,月間集計シート!N$134:N$153)*AS$2</f>
        <v>0</v>
      </c>
      <c r="AT1462" s="88">
        <f>SUMIF(月間集計シート!$M$134:$M$153,$G1462,月間集計シート!O$134:O$153)*AT$2</f>
        <v>0</v>
      </c>
      <c r="AU1462" s="88">
        <f>SUMIF(月間集計シート!$M$134:$M$153,$G1462,月間集計シート!P$134:P$153)*AU$2</f>
        <v>0</v>
      </c>
      <c r="AV1462" s="88">
        <f>SUMIF(月間集計シート!$M$134:$M$153,$G1462,月間集計シート!Q$134:Q$153)*AV$2</f>
        <v>0</v>
      </c>
      <c r="AW1462" s="88">
        <f>SUMIF(月間集計シート!$M$134:$M$153,$G1462,月間集計シート!R$134:R$153)*AW$2</f>
        <v>0</v>
      </c>
      <c r="AX1462" s="88">
        <f>SUMIF(月間集計シート!$M$134:$M$153,$G1462,月間集計シート!S$134:S$153)*AX$2</f>
        <v>0</v>
      </c>
      <c r="AY1462" s="88">
        <f>SUMIF(月間集計シート!$M$134:$M$153,$G1462,月間集計シート!T$134:T$153)*AY$2</f>
        <v>0</v>
      </c>
    </row>
    <row r="1463" spans="1:51" ht="14.25" thickBot="1">
      <c r="A1463">
        <v>18</v>
      </c>
      <c r="B1463" s="120">
        <f t="shared" si="835"/>
        <v>0</v>
      </c>
      <c r="C1463" s="120" t="str">
        <f t="shared" si="836"/>
        <v/>
      </c>
      <c r="D1463" s="137"/>
      <c r="E1463" s="150" t="str">
        <f>工種!A10</f>
        <v>20106</v>
      </c>
      <c r="F1463" s="119" t="str">
        <f>工種!B10</f>
        <v>設計：設計書修正（手戻り分）</v>
      </c>
      <c r="G1463" s="116" t="str">
        <f t="shared" si="784"/>
        <v>020106</v>
      </c>
      <c r="H1463" s="88">
        <f t="shared" si="791"/>
        <v>0</v>
      </c>
      <c r="I1463" s="132"/>
      <c r="J1463" s="88">
        <f>SUMIF(月間集計シート!$M$29:$M$48,$G1463,月間集計シート!N$29:N$48)*J$2</f>
        <v>0</v>
      </c>
      <c r="K1463" s="88">
        <f>SUMIF(月間集計シート!$M$29:$M$48,$G1463,月間集計シート!O$29:O$48)*K$2</f>
        <v>0</v>
      </c>
      <c r="L1463" s="88">
        <f>SUMIF(月間集計シート!$M$29:$M$48,$G1463,月間集計シート!P$29:P$48)*L$2</f>
        <v>0</v>
      </c>
      <c r="M1463" s="88">
        <f>SUMIF(月間集計シート!$M$29:$M$48,$G1463,月間集計シート!Q$29:Q$48)*M$2</f>
        <v>0</v>
      </c>
      <c r="N1463" s="88">
        <f>SUMIF(月間集計シート!$M$29:$M$48,$G1463,月間集計シート!R$29:R$48)*N$2</f>
        <v>0</v>
      </c>
      <c r="O1463" s="88">
        <f>SUMIF(月間集計シート!$M$29:$M$48,$G1463,月間集計シート!S$29:S$48)*O$2</f>
        <v>0</v>
      </c>
      <c r="P1463" s="88">
        <f>SUMIF(月間集計シート!$M$29:$M$48,$G1463,月間集計シート!T$29:T$48)*P$2</f>
        <v>0</v>
      </c>
      <c r="Q1463" s="88">
        <f>SUMIF(月間集計シート!$M$50:$M$69,$G1463,月間集計シート!N$50:N$69)*Q$2</f>
        <v>0</v>
      </c>
      <c r="R1463" s="88">
        <f>SUMIF(月間集計シート!$M$50:$M$69,$G1463,月間集計シート!O$50:O$69)*R$2</f>
        <v>0</v>
      </c>
      <c r="S1463" s="88">
        <f>SUMIF(月間集計シート!$M$50:$M$69,$G1463,月間集計シート!P$50:P$69)*S$2</f>
        <v>0</v>
      </c>
      <c r="T1463" s="88">
        <f>SUMIF(月間集計シート!$M$50:$M$69,$G1463,月間集計シート!Q$50:Q$69)*T$2</f>
        <v>0</v>
      </c>
      <c r="U1463" s="88">
        <f>SUMIF(月間集計シート!$M$50:$M$69,$G1463,月間集計シート!R$50:R$69)*U$2</f>
        <v>0</v>
      </c>
      <c r="V1463" s="88">
        <f>SUMIF(月間集計シート!$M$50:$M$69,$G1463,月間集計シート!S$50:S$69)*V$2</f>
        <v>0</v>
      </c>
      <c r="W1463" s="88">
        <f>SUMIF(月間集計シート!$M$50:$M$69,$G1463,月間集計シート!T$50:T$69)*W$2</f>
        <v>0</v>
      </c>
      <c r="X1463" s="88">
        <f>SUMIF(月間集計シート!$M$71:$M$90,$G1463,月間集計シート!N$71:N$90)*X$2</f>
        <v>0</v>
      </c>
      <c r="Y1463" s="88">
        <f>SUMIF(月間集計シート!$M$71:$M$90,$G1463,月間集計シート!O$71:O$90)*Y$2</f>
        <v>0</v>
      </c>
      <c r="Z1463" s="88">
        <f>SUMIF(月間集計シート!$M$71:$M$90,$G1463,月間集計シート!P$71:P$90)*Z$2</f>
        <v>0</v>
      </c>
      <c r="AA1463" s="88">
        <f>SUMIF(月間集計シート!$M$71:$M$90,$G1463,月間集計シート!Q$71:Q$90)*AA$2</f>
        <v>0</v>
      </c>
      <c r="AB1463" s="88">
        <f>SUMIF(月間集計シート!$M$71:$M$90,$G1463,月間集計シート!R$71:R$90)*AB$2</f>
        <v>0</v>
      </c>
      <c r="AC1463" s="88">
        <f>SUMIF(月間集計シート!$M$71:$M$90,$G1463,月間集計シート!S$71:S$90)*AC$2</f>
        <v>0</v>
      </c>
      <c r="AD1463" s="88">
        <f>SUMIF(月間集計シート!$M$71:$M$90,$G1463,月間集計シート!T$71:T$90)*AD$2</f>
        <v>0</v>
      </c>
      <c r="AE1463" s="88">
        <f>SUMIF(月間集計シート!$M$92:$M$111,$G1463,月間集計シート!N$92:N$111)*AE$2</f>
        <v>0</v>
      </c>
      <c r="AF1463" s="88">
        <f>SUMIF(月間集計シート!$M$92:$M$111,$G1463,月間集計シート!O$92:O$111)*AF$2</f>
        <v>0</v>
      </c>
      <c r="AG1463" s="88">
        <f>SUMIF(月間集計シート!$M$92:$M$111,$G1463,月間集計シート!P$92:P$111)*AG$2</f>
        <v>0</v>
      </c>
      <c r="AH1463" s="88">
        <f>SUMIF(月間集計シート!$M$92:$M$111,$G1463,月間集計シート!Q$92:Q$111)*AH$2</f>
        <v>0</v>
      </c>
      <c r="AI1463" s="88">
        <f>SUMIF(月間集計シート!$M$92:$M$111,$G1463,月間集計シート!R$92:R$111)*AI$2</f>
        <v>0</v>
      </c>
      <c r="AJ1463" s="88">
        <f>SUMIF(月間集計シート!$M$92:$M$111,$G1463,月間集計シート!S$92:S$111)*AJ$2</f>
        <v>0</v>
      </c>
      <c r="AK1463" s="88">
        <f>SUMIF(月間集計シート!$M$92:$M$111,$G1463,月間集計シート!T$92:T$111)*AK$2</f>
        <v>0</v>
      </c>
      <c r="AL1463" s="88">
        <f>SUMIF(月間集計シート!$M$113:$M$132,$G1463,月間集計シート!N$113:N$132)*AL$2</f>
        <v>0</v>
      </c>
      <c r="AM1463" s="88">
        <f>SUMIF(月間集計シート!$M$113:$M$132,$G1463,月間集計シート!O$113:O$132)*AM$2</f>
        <v>0</v>
      </c>
      <c r="AN1463" s="88">
        <f>SUMIF(月間集計シート!$M$113:$M$132,$G1463,月間集計シート!P$113:P$132)*AN$2</f>
        <v>0</v>
      </c>
      <c r="AO1463" s="88">
        <f>SUMIF(月間集計シート!$M$113:$M$132,$G1463,月間集計シート!Q$113:Q$132)*AO$2</f>
        <v>0</v>
      </c>
      <c r="AP1463" s="88">
        <f>SUMIF(月間集計シート!$M$113:$M$132,$G1463,月間集計シート!R$113:R$132)*AP$2</f>
        <v>0</v>
      </c>
      <c r="AQ1463" s="88">
        <f>SUMIF(月間集計シート!$M$113:$M$132,$G1463,月間集計シート!S$113:S$132)*AQ$2</f>
        <v>0</v>
      </c>
      <c r="AR1463" s="88">
        <f>SUMIF(月間集計シート!$M$113:$M$132,$G1463,月間集計シート!T$113:T$132)*AR$2</f>
        <v>0</v>
      </c>
      <c r="AS1463" s="88">
        <f>SUMIF(月間集計シート!$M$134:$M$153,$G1463,月間集計シート!N$134:N$153)*AS$2</f>
        <v>0</v>
      </c>
      <c r="AT1463" s="88">
        <f>SUMIF(月間集計シート!$M$134:$M$153,$G1463,月間集計シート!O$134:O$153)*AT$2</f>
        <v>0</v>
      </c>
      <c r="AU1463" s="88">
        <f>SUMIF(月間集計シート!$M$134:$M$153,$G1463,月間集計シート!P$134:P$153)*AU$2</f>
        <v>0</v>
      </c>
      <c r="AV1463" s="88">
        <f>SUMIF(月間集計シート!$M$134:$M$153,$G1463,月間集計シート!Q$134:Q$153)*AV$2</f>
        <v>0</v>
      </c>
      <c r="AW1463" s="88">
        <f>SUMIF(月間集計シート!$M$134:$M$153,$G1463,月間集計シート!R$134:R$153)*AW$2</f>
        <v>0</v>
      </c>
      <c r="AX1463" s="88">
        <f>SUMIF(月間集計シート!$M$134:$M$153,$G1463,月間集計シート!S$134:S$153)*AX$2</f>
        <v>0</v>
      </c>
      <c r="AY1463" s="88">
        <f>SUMIF(月間集計シート!$M$134:$M$153,$G1463,月間集計シート!T$134:T$153)*AY$2</f>
        <v>0</v>
      </c>
    </row>
    <row r="1464" spans="1:51" ht="14.25" thickBot="1">
      <c r="A1464">
        <v>18</v>
      </c>
      <c r="B1464" s="120">
        <f t="shared" si="835"/>
        <v>0</v>
      </c>
      <c r="C1464" s="120" t="str">
        <f t="shared" si="836"/>
        <v/>
      </c>
      <c r="D1464" s="137"/>
      <c r="E1464" s="150" t="str">
        <f>工種!A11</f>
        <v>20107</v>
      </c>
      <c r="F1464" s="119" t="str">
        <f>工種!B11</f>
        <v>設計：その他の設計書作成</v>
      </c>
      <c r="G1464" s="116" t="str">
        <f t="shared" si="784"/>
        <v>020107</v>
      </c>
      <c r="H1464" s="88">
        <f t="shared" si="791"/>
        <v>0</v>
      </c>
      <c r="I1464" s="132"/>
      <c r="J1464" s="88">
        <f>SUMIF(月間集計シート!$M$29:$M$48,$G1464,月間集計シート!N$29:N$48)*J$2</f>
        <v>0</v>
      </c>
      <c r="K1464" s="88">
        <f>SUMIF(月間集計シート!$M$29:$M$48,$G1464,月間集計シート!O$29:O$48)*K$2</f>
        <v>0</v>
      </c>
      <c r="L1464" s="88">
        <f>SUMIF(月間集計シート!$M$29:$M$48,$G1464,月間集計シート!P$29:P$48)*L$2</f>
        <v>0</v>
      </c>
      <c r="M1464" s="88">
        <f>SUMIF(月間集計シート!$M$29:$M$48,$G1464,月間集計シート!Q$29:Q$48)*M$2</f>
        <v>0</v>
      </c>
      <c r="N1464" s="88">
        <f>SUMIF(月間集計シート!$M$29:$M$48,$G1464,月間集計シート!R$29:R$48)*N$2</f>
        <v>0</v>
      </c>
      <c r="O1464" s="88">
        <f>SUMIF(月間集計シート!$M$29:$M$48,$G1464,月間集計シート!S$29:S$48)*O$2</f>
        <v>0</v>
      </c>
      <c r="P1464" s="88">
        <f>SUMIF(月間集計シート!$M$29:$M$48,$G1464,月間集計シート!T$29:T$48)*P$2</f>
        <v>0</v>
      </c>
      <c r="Q1464" s="88">
        <f>SUMIF(月間集計シート!$M$50:$M$69,$G1464,月間集計シート!N$50:N$69)*Q$2</f>
        <v>0</v>
      </c>
      <c r="R1464" s="88">
        <f>SUMIF(月間集計シート!$M$50:$M$69,$G1464,月間集計シート!O$50:O$69)*R$2</f>
        <v>0</v>
      </c>
      <c r="S1464" s="88">
        <f>SUMIF(月間集計シート!$M$50:$M$69,$G1464,月間集計シート!P$50:P$69)*S$2</f>
        <v>0</v>
      </c>
      <c r="T1464" s="88">
        <f>SUMIF(月間集計シート!$M$50:$M$69,$G1464,月間集計シート!Q$50:Q$69)*T$2</f>
        <v>0</v>
      </c>
      <c r="U1464" s="88">
        <f>SUMIF(月間集計シート!$M$50:$M$69,$G1464,月間集計シート!R$50:R$69)*U$2</f>
        <v>0</v>
      </c>
      <c r="V1464" s="88">
        <f>SUMIF(月間集計シート!$M$50:$M$69,$G1464,月間集計シート!S$50:S$69)*V$2</f>
        <v>0</v>
      </c>
      <c r="W1464" s="88">
        <f>SUMIF(月間集計シート!$M$50:$M$69,$G1464,月間集計シート!T$50:T$69)*W$2</f>
        <v>0</v>
      </c>
      <c r="X1464" s="88">
        <f>SUMIF(月間集計シート!$M$71:$M$90,$G1464,月間集計シート!N$71:N$90)*X$2</f>
        <v>0</v>
      </c>
      <c r="Y1464" s="88">
        <f>SUMIF(月間集計シート!$M$71:$M$90,$G1464,月間集計シート!O$71:O$90)*Y$2</f>
        <v>0</v>
      </c>
      <c r="Z1464" s="88">
        <f>SUMIF(月間集計シート!$M$71:$M$90,$G1464,月間集計シート!P$71:P$90)*Z$2</f>
        <v>0</v>
      </c>
      <c r="AA1464" s="88">
        <f>SUMIF(月間集計シート!$M$71:$M$90,$G1464,月間集計シート!Q$71:Q$90)*AA$2</f>
        <v>0</v>
      </c>
      <c r="AB1464" s="88">
        <f>SUMIF(月間集計シート!$M$71:$M$90,$G1464,月間集計シート!R$71:R$90)*AB$2</f>
        <v>0</v>
      </c>
      <c r="AC1464" s="88">
        <f>SUMIF(月間集計シート!$M$71:$M$90,$G1464,月間集計シート!S$71:S$90)*AC$2</f>
        <v>0</v>
      </c>
      <c r="AD1464" s="88">
        <f>SUMIF(月間集計シート!$M$71:$M$90,$G1464,月間集計シート!T$71:T$90)*AD$2</f>
        <v>0</v>
      </c>
      <c r="AE1464" s="88">
        <f>SUMIF(月間集計シート!$M$92:$M$111,$G1464,月間集計シート!N$92:N$111)*AE$2</f>
        <v>0</v>
      </c>
      <c r="AF1464" s="88">
        <f>SUMIF(月間集計シート!$M$92:$M$111,$G1464,月間集計シート!O$92:O$111)*AF$2</f>
        <v>0</v>
      </c>
      <c r="AG1464" s="88">
        <f>SUMIF(月間集計シート!$M$92:$M$111,$G1464,月間集計シート!P$92:P$111)*AG$2</f>
        <v>0</v>
      </c>
      <c r="AH1464" s="88">
        <f>SUMIF(月間集計シート!$M$92:$M$111,$G1464,月間集計シート!Q$92:Q$111)*AH$2</f>
        <v>0</v>
      </c>
      <c r="AI1464" s="88">
        <f>SUMIF(月間集計シート!$M$92:$M$111,$G1464,月間集計シート!R$92:R$111)*AI$2</f>
        <v>0</v>
      </c>
      <c r="AJ1464" s="88">
        <f>SUMIF(月間集計シート!$M$92:$M$111,$G1464,月間集計シート!S$92:S$111)*AJ$2</f>
        <v>0</v>
      </c>
      <c r="AK1464" s="88">
        <f>SUMIF(月間集計シート!$M$92:$M$111,$G1464,月間集計シート!T$92:T$111)*AK$2</f>
        <v>0</v>
      </c>
      <c r="AL1464" s="88">
        <f>SUMIF(月間集計シート!$M$113:$M$132,$G1464,月間集計シート!N$113:N$132)*AL$2</f>
        <v>0</v>
      </c>
      <c r="AM1464" s="88">
        <f>SUMIF(月間集計シート!$M$113:$M$132,$G1464,月間集計シート!O$113:O$132)*AM$2</f>
        <v>0</v>
      </c>
      <c r="AN1464" s="88">
        <f>SUMIF(月間集計シート!$M$113:$M$132,$G1464,月間集計シート!P$113:P$132)*AN$2</f>
        <v>0</v>
      </c>
      <c r="AO1464" s="88">
        <f>SUMIF(月間集計シート!$M$113:$M$132,$G1464,月間集計シート!Q$113:Q$132)*AO$2</f>
        <v>0</v>
      </c>
      <c r="AP1464" s="88">
        <f>SUMIF(月間集計シート!$M$113:$M$132,$G1464,月間集計シート!R$113:R$132)*AP$2</f>
        <v>0</v>
      </c>
      <c r="AQ1464" s="88">
        <f>SUMIF(月間集計シート!$M$113:$M$132,$G1464,月間集計シート!S$113:S$132)*AQ$2</f>
        <v>0</v>
      </c>
      <c r="AR1464" s="88">
        <f>SUMIF(月間集計シート!$M$113:$M$132,$G1464,月間集計シート!T$113:T$132)*AR$2</f>
        <v>0</v>
      </c>
      <c r="AS1464" s="88">
        <f>SUMIF(月間集計シート!$M$134:$M$153,$G1464,月間集計シート!N$134:N$153)*AS$2</f>
        <v>0</v>
      </c>
      <c r="AT1464" s="88">
        <f>SUMIF(月間集計シート!$M$134:$M$153,$G1464,月間集計シート!O$134:O$153)*AT$2</f>
        <v>0</v>
      </c>
      <c r="AU1464" s="88">
        <f>SUMIF(月間集計シート!$M$134:$M$153,$G1464,月間集計シート!P$134:P$153)*AU$2</f>
        <v>0</v>
      </c>
      <c r="AV1464" s="88">
        <f>SUMIF(月間集計シート!$M$134:$M$153,$G1464,月間集計シート!Q$134:Q$153)*AV$2</f>
        <v>0</v>
      </c>
      <c r="AW1464" s="88">
        <f>SUMIF(月間集計シート!$M$134:$M$153,$G1464,月間集計シート!R$134:R$153)*AW$2</f>
        <v>0</v>
      </c>
      <c r="AX1464" s="88">
        <f>SUMIF(月間集計シート!$M$134:$M$153,$G1464,月間集計シート!S$134:S$153)*AX$2</f>
        <v>0</v>
      </c>
      <c r="AY1464" s="88">
        <f>SUMIF(月間集計シート!$M$134:$M$153,$G1464,月間集計シート!T$134:T$153)*AY$2</f>
        <v>0</v>
      </c>
    </row>
    <row r="1465" spans="1:51" ht="14.25" thickBot="1">
      <c r="A1465">
        <v>18</v>
      </c>
      <c r="B1465" s="120">
        <f t="shared" si="835"/>
        <v>0</v>
      </c>
      <c r="C1465" s="120" t="str">
        <f t="shared" si="836"/>
        <v/>
      </c>
      <c r="D1465" s="137"/>
      <c r="E1465" s="150" t="str">
        <f>工種!A12</f>
        <v>20108</v>
      </c>
      <c r="F1465" s="119" t="str">
        <f>工種!B12</f>
        <v>設計：レビュー</v>
      </c>
      <c r="G1465" s="116" t="str">
        <f t="shared" si="784"/>
        <v>020108</v>
      </c>
      <c r="H1465" s="88">
        <f t="shared" si="791"/>
        <v>0</v>
      </c>
      <c r="I1465" s="132"/>
      <c r="J1465" s="88">
        <f>SUMIF(月間集計シート!$M$29:$M$48,$G1465,月間集計シート!N$29:N$48)*J$2</f>
        <v>0</v>
      </c>
      <c r="K1465" s="88">
        <f>SUMIF(月間集計シート!$M$29:$M$48,$G1465,月間集計シート!O$29:O$48)*K$2</f>
        <v>0</v>
      </c>
      <c r="L1465" s="88">
        <f>SUMIF(月間集計シート!$M$29:$M$48,$G1465,月間集計シート!P$29:P$48)*L$2</f>
        <v>0</v>
      </c>
      <c r="M1465" s="88">
        <f>SUMIF(月間集計シート!$M$29:$M$48,$G1465,月間集計シート!Q$29:Q$48)*M$2</f>
        <v>0</v>
      </c>
      <c r="N1465" s="88">
        <f>SUMIF(月間集計シート!$M$29:$M$48,$G1465,月間集計シート!R$29:R$48)*N$2</f>
        <v>0</v>
      </c>
      <c r="O1465" s="88">
        <f>SUMIF(月間集計シート!$M$29:$M$48,$G1465,月間集計シート!S$29:S$48)*O$2</f>
        <v>0</v>
      </c>
      <c r="P1465" s="88">
        <f>SUMIF(月間集計シート!$M$29:$M$48,$G1465,月間集計シート!T$29:T$48)*P$2</f>
        <v>0</v>
      </c>
      <c r="Q1465" s="88">
        <f>SUMIF(月間集計シート!$M$50:$M$69,$G1465,月間集計シート!N$50:N$69)*Q$2</f>
        <v>0</v>
      </c>
      <c r="R1465" s="88">
        <f>SUMIF(月間集計シート!$M$50:$M$69,$G1465,月間集計シート!O$50:O$69)*R$2</f>
        <v>0</v>
      </c>
      <c r="S1465" s="88">
        <f>SUMIF(月間集計シート!$M$50:$M$69,$G1465,月間集計シート!P$50:P$69)*S$2</f>
        <v>0</v>
      </c>
      <c r="T1465" s="88">
        <f>SUMIF(月間集計シート!$M$50:$M$69,$G1465,月間集計シート!Q$50:Q$69)*T$2</f>
        <v>0</v>
      </c>
      <c r="U1465" s="88">
        <f>SUMIF(月間集計シート!$M$50:$M$69,$G1465,月間集計シート!R$50:R$69)*U$2</f>
        <v>0</v>
      </c>
      <c r="V1465" s="88">
        <f>SUMIF(月間集計シート!$M$50:$M$69,$G1465,月間集計シート!S$50:S$69)*V$2</f>
        <v>0</v>
      </c>
      <c r="W1465" s="88">
        <f>SUMIF(月間集計シート!$M$50:$M$69,$G1465,月間集計シート!T$50:T$69)*W$2</f>
        <v>0</v>
      </c>
      <c r="X1465" s="88">
        <f>SUMIF(月間集計シート!$M$71:$M$90,$G1465,月間集計シート!N$71:N$90)*X$2</f>
        <v>0</v>
      </c>
      <c r="Y1465" s="88">
        <f>SUMIF(月間集計シート!$M$71:$M$90,$G1465,月間集計シート!O$71:O$90)*Y$2</f>
        <v>0</v>
      </c>
      <c r="Z1465" s="88">
        <f>SUMIF(月間集計シート!$M$71:$M$90,$G1465,月間集計シート!P$71:P$90)*Z$2</f>
        <v>0</v>
      </c>
      <c r="AA1465" s="88">
        <f>SUMIF(月間集計シート!$M$71:$M$90,$G1465,月間集計シート!Q$71:Q$90)*AA$2</f>
        <v>0</v>
      </c>
      <c r="AB1465" s="88">
        <f>SUMIF(月間集計シート!$M$71:$M$90,$G1465,月間集計シート!R$71:R$90)*AB$2</f>
        <v>0</v>
      </c>
      <c r="AC1465" s="88">
        <f>SUMIF(月間集計シート!$M$71:$M$90,$G1465,月間集計シート!S$71:S$90)*AC$2</f>
        <v>0</v>
      </c>
      <c r="AD1465" s="88">
        <f>SUMIF(月間集計シート!$M$71:$M$90,$G1465,月間集計シート!T$71:T$90)*AD$2</f>
        <v>0</v>
      </c>
      <c r="AE1465" s="88">
        <f>SUMIF(月間集計シート!$M$92:$M$111,$G1465,月間集計シート!N$92:N$111)*AE$2</f>
        <v>0</v>
      </c>
      <c r="AF1465" s="88">
        <f>SUMIF(月間集計シート!$M$92:$M$111,$G1465,月間集計シート!O$92:O$111)*AF$2</f>
        <v>0</v>
      </c>
      <c r="AG1465" s="88">
        <f>SUMIF(月間集計シート!$M$92:$M$111,$G1465,月間集計シート!P$92:P$111)*AG$2</f>
        <v>0</v>
      </c>
      <c r="AH1465" s="88">
        <f>SUMIF(月間集計シート!$M$92:$M$111,$G1465,月間集計シート!Q$92:Q$111)*AH$2</f>
        <v>0</v>
      </c>
      <c r="AI1465" s="88">
        <f>SUMIF(月間集計シート!$M$92:$M$111,$G1465,月間集計シート!R$92:R$111)*AI$2</f>
        <v>0</v>
      </c>
      <c r="AJ1465" s="88">
        <f>SUMIF(月間集計シート!$M$92:$M$111,$G1465,月間集計シート!S$92:S$111)*AJ$2</f>
        <v>0</v>
      </c>
      <c r="AK1465" s="88">
        <f>SUMIF(月間集計シート!$M$92:$M$111,$G1465,月間集計シート!T$92:T$111)*AK$2</f>
        <v>0</v>
      </c>
      <c r="AL1465" s="88">
        <f>SUMIF(月間集計シート!$M$113:$M$132,$G1465,月間集計シート!N$113:N$132)*AL$2</f>
        <v>0</v>
      </c>
      <c r="AM1465" s="88">
        <f>SUMIF(月間集計シート!$M$113:$M$132,$G1465,月間集計シート!O$113:O$132)*AM$2</f>
        <v>0</v>
      </c>
      <c r="AN1465" s="88">
        <f>SUMIF(月間集計シート!$M$113:$M$132,$G1465,月間集計シート!P$113:P$132)*AN$2</f>
        <v>0</v>
      </c>
      <c r="AO1465" s="88">
        <f>SUMIF(月間集計シート!$M$113:$M$132,$G1465,月間集計シート!Q$113:Q$132)*AO$2</f>
        <v>0</v>
      </c>
      <c r="AP1465" s="88">
        <f>SUMIF(月間集計シート!$M$113:$M$132,$G1465,月間集計シート!R$113:R$132)*AP$2</f>
        <v>0</v>
      </c>
      <c r="AQ1465" s="88">
        <f>SUMIF(月間集計シート!$M$113:$M$132,$G1465,月間集計シート!S$113:S$132)*AQ$2</f>
        <v>0</v>
      </c>
      <c r="AR1465" s="88">
        <f>SUMIF(月間集計シート!$M$113:$M$132,$G1465,月間集計シート!T$113:T$132)*AR$2</f>
        <v>0</v>
      </c>
      <c r="AS1465" s="88">
        <f>SUMIF(月間集計シート!$M$134:$M$153,$G1465,月間集計シート!N$134:N$153)*AS$2</f>
        <v>0</v>
      </c>
      <c r="AT1465" s="88">
        <f>SUMIF(月間集計シート!$M$134:$M$153,$G1465,月間集計シート!O$134:O$153)*AT$2</f>
        <v>0</v>
      </c>
      <c r="AU1465" s="88">
        <f>SUMIF(月間集計シート!$M$134:$M$153,$G1465,月間集計シート!P$134:P$153)*AU$2</f>
        <v>0</v>
      </c>
      <c r="AV1465" s="88">
        <f>SUMIF(月間集計シート!$M$134:$M$153,$G1465,月間集計シート!Q$134:Q$153)*AV$2</f>
        <v>0</v>
      </c>
      <c r="AW1465" s="88">
        <f>SUMIF(月間集計シート!$M$134:$M$153,$G1465,月間集計シート!R$134:R$153)*AW$2</f>
        <v>0</v>
      </c>
      <c r="AX1465" s="88">
        <f>SUMIF(月間集計シート!$M$134:$M$153,$G1465,月間集計シート!S$134:S$153)*AX$2</f>
        <v>0</v>
      </c>
      <c r="AY1465" s="88">
        <f>SUMIF(月間集計シート!$M$134:$M$153,$G1465,月間集計シート!T$134:T$153)*AY$2</f>
        <v>0</v>
      </c>
    </row>
    <row r="1466" spans="1:51" ht="14.25" thickBot="1">
      <c r="A1466">
        <v>18</v>
      </c>
      <c r="B1466" s="120">
        <f t="shared" si="835"/>
        <v>0</v>
      </c>
      <c r="C1466" s="120" t="str">
        <f t="shared" si="836"/>
        <v/>
      </c>
      <c r="D1466" s="137"/>
      <c r="E1466" s="150" t="str">
        <f>工種!A13</f>
        <v>20109</v>
      </c>
      <c r="F1466" s="119" t="str">
        <f>工種!B13</f>
        <v>設計：QA対応</v>
      </c>
      <c r="G1466" s="116" t="str">
        <f t="shared" si="784"/>
        <v>020109</v>
      </c>
      <c r="H1466" s="88">
        <f t="shared" si="791"/>
        <v>0</v>
      </c>
      <c r="I1466" s="132"/>
      <c r="J1466" s="88">
        <f>SUMIF(月間集計シート!$M$29:$M$48,$G1466,月間集計シート!N$29:N$48)*J$2</f>
        <v>0</v>
      </c>
      <c r="K1466" s="88">
        <f>SUMIF(月間集計シート!$M$29:$M$48,$G1466,月間集計シート!O$29:O$48)*K$2</f>
        <v>0</v>
      </c>
      <c r="L1466" s="88">
        <f>SUMIF(月間集計シート!$M$29:$M$48,$G1466,月間集計シート!P$29:P$48)*L$2</f>
        <v>0</v>
      </c>
      <c r="M1466" s="88">
        <f>SUMIF(月間集計シート!$M$29:$M$48,$G1466,月間集計シート!Q$29:Q$48)*M$2</f>
        <v>0</v>
      </c>
      <c r="N1466" s="88">
        <f>SUMIF(月間集計シート!$M$29:$M$48,$G1466,月間集計シート!R$29:R$48)*N$2</f>
        <v>0</v>
      </c>
      <c r="O1466" s="88">
        <f>SUMIF(月間集計シート!$M$29:$M$48,$G1466,月間集計シート!S$29:S$48)*O$2</f>
        <v>0</v>
      </c>
      <c r="P1466" s="88">
        <f>SUMIF(月間集計シート!$M$29:$M$48,$G1466,月間集計シート!T$29:T$48)*P$2</f>
        <v>0</v>
      </c>
      <c r="Q1466" s="88">
        <f>SUMIF(月間集計シート!$M$50:$M$69,$G1466,月間集計シート!N$50:N$69)*Q$2</f>
        <v>0</v>
      </c>
      <c r="R1466" s="88">
        <f>SUMIF(月間集計シート!$M$50:$M$69,$G1466,月間集計シート!O$50:O$69)*R$2</f>
        <v>0</v>
      </c>
      <c r="S1466" s="88">
        <f>SUMIF(月間集計シート!$M$50:$M$69,$G1466,月間集計シート!P$50:P$69)*S$2</f>
        <v>0</v>
      </c>
      <c r="T1466" s="88">
        <f>SUMIF(月間集計シート!$M$50:$M$69,$G1466,月間集計シート!Q$50:Q$69)*T$2</f>
        <v>0</v>
      </c>
      <c r="U1466" s="88">
        <f>SUMIF(月間集計シート!$M$50:$M$69,$G1466,月間集計シート!R$50:R$69)*U$2</f>
        <v>0</v>
      </c>
      <c r="V1466" s="88">
        <f>SUMIF(月間集計シート!$M$50:$M$69,$G1466,月間集計シート!S$50:S$69)*V$2</f>
        <v>0</v>
      </c>
      <c r="W1466" s="88">
        <f>SUMIF(月間集計シート!$M$50:$M$69,$G1466,月間集計シート!T$50:T$69)*W$2</f>
        <v>0</v>
      </c>
      <c r="X1466" s="88">
        <f>SUMIF(月間集計シート!$M$71:$M$90,$G1466,月間集計シート!N$71:N$90)*X$2</f>
        <v>0</v>
      </c>
      <c r="Y1466" s="88">
        <f>SUMIF(月間集計シート!$M$71:$M$90,$G1466,月間集計シート!O$71:O$90)*Y$2</f>
        <v>0</v>
      </c>
      <c r="Z1466" s="88">
        <f>SUMIF(月間集計シート!$M$71:$M$90,$G1466,月間集計シート!P$71:P$90)*Z$2</f>
        <v>0</v>
      </c>
      <c r="AA1466" s="88">
        <f>SUMIF(月間集計シート!$M$71:$M$90,$G1466,月間集計シート!Q$71:Q$90)*AA$2</f>
        <v>0</v>
      </c>
      <c r="AB1466" s="88">
        <f>SUMIF(月間集計シート!$M$71:$M$90,$G1466,月間集計シート!R$71:R$90)*AB$2</f>
        <v>0</v>
      </c>
      <c r="AC1466" s="88">
        <f>SUMIF(月間集計シート!$M$71:$M$90,$G1466,月間集計シート!S$71:S$90)*AC$2</f>
        <v>0</v>
      </c>
      <c r="AD1466" s="88">
        <f>SUMIF(月間集計シート!$M$71:$M$90,$G1466,月間集計シート!T$71:T$90)*AD$2</f>
        <v>0</v>
      </c>
      <c r="AE1466" s="88">
        <f>SUMIF(月間集計シート!$M$92:$M$111,$G1466,月間集計シート!N$92:N$111)*AE$2</f>
        <v>0</v>
      </c>
      <c r="AF1466" s="88">
        <f>SUMIF(月間集計シート!$M$92:$M$111,$G1466,月間集計シート!O$92:O$111)*AF$2</f>
        <v>0</v>
      </c>
      <c r="AG1466" s="88">
        <f>SUMIF(月間集計シート!$M$92:$M$111,$G1466,月間集計シート!P$92:P$111)*AG$2</f>
        <v>0</v>
      </c>
      <c r="AH1466" s="88">
        <f>SUMIF(月間集計シート!$M$92:$M$111,$G1466,月間集計シート!Q$92:Q$111)*AH$2</f>
        <v>0</v>
      </c>
      <c r="AI1466" s="88">
        <f>SUMIF(月間集計シート!$M$92:$M$111,$G1466,月間集計シート!R$92:R$111)*AI$2</f>
        <v>0</v>
      </c>
      <c r="AJ1466" s="88">
        <f>SUMIF(月間集計シート!$M$92:$M$111,$G1466,月間集計シート!S$92:S$111)*AJ$2</f>
        <v>0</v>
      </c>
      <c r="AK1466" s="88">
        <f>SUMIF(月間集計シート!$M$92:$M$111,$G1466,月間集計シート!T$92:T$111)*AK$2</f>
        <v>0</v>
      </c>
      <c r="AL1466" s="88">
        <f>SUMIF(月間集計シート!$M$113:$M$132,$G1466,月間集計シート!N$113:N$132)*AL$2</f>
        <v>0</v>
      </c>
      <c r="AM1466" s="88">
        <f>SUMIF(月間集計シート!$M$113:$M$132,$G1466,月間集計シート!O$113:O$132)*AM$2</f>
        <v>0</v>
      </c>
      <c r="AN1466" s="88">
        <f>SUMIF(月間集計シート!$M$113:$M$132,$G1466,月間集計シート!P$113:P$132)*AN$2</f>
        <v>0</v>
      </c>
      <c r="AO1466" s="88">
        <f>SUMIF(月間集計シート!$M$113:$M$132,$G1466,月間集計シート!Q$113:Q$132)*AO$2</f>
        <v>0</v>
      </c>
      <c r="AP1466" s="88">
        <f>SUMIF(月間集計シート!$M$113:$M$132,$G1466,月間集計シート!R$113:R$132)*AP$2</f>
        <v>0</v>
      </c>
      <c r="AQ1466" s="88">
        <f>SUMIF(月間集計シート!$M$113:$M$132,$G1466,月間集計シート!S$113:S$132)*AQ$2</f>
        <v>0</v>
      </c>
      <c r="AR1466" s="88">
        <f>SUMIF(月間集計シート!$M$113:$M$132,$G1466,月間集計シート!T$113:T$132)*AR$2</f>
        <v>0</v>
      </c>
      <c r="AS1466" s="88">
        <f>SUMIF(月間集計シート!$M$134:$M$153,$G1466,月間集計シート!N$134:N$153)*AS$2</f>
        <v>0</v>
      </c>
      <c r="AT1466" s="88">
        <f>SUMIF(月間集計シート!$M$134:$M$153,$G1466,月間集計シート!O$134:O$153)*AT$2</f>
        <v>0</v>
      </c>
      <c r="AU1466" s="88">
        <f>SUMIF(月間集計シート!$M$134:$M$153,$G1466,月間集計シート!P$134:P$153)*AU$2</f>
        <v>0</v>
      </c>
      <c r="AV1466" s="88">
        <f>SUMIF(月間集計シート!$M$134:$M$153,$G1466,月間集計シート!Q$134:Q$153)*AV$2</f>
        <v>0</v>
      </c>
      <c r="AW1466" s="88">
        <f>SUMIF(月間集計シート!$M$134:$M$153,$G1466,月間集計シート!R$134:R$153)*AW$2</f>
        <v>0</v>
      </c>
      <c r="AX1466" s="88">
        <f>SUMIF(月間集計シート!$M$134:$M$153,$G1466,月間集計シート!S$134:S$153)*AX$2</f>
        <v>0</v>
      </c>
      <c r="AY1466" s="88">
        <f>SUMIF(月間集計シート!$M$134:$M$153,$G1466,月間集計シート!T$134:T$153)*AY$2</f>
        <v>0</v>
      </c>
    </row>
    <row r="1467" spans="1:51" ht="14.25" thickBot="1">
      <c r="A1467">
        <v>18</v>
      </c>
      <c r="B1467" s="120">
        <f t="shared" si="835"/>
        <v>0</v>
      </c>
      <c r="C1467" s="120" t="str">
        <f t="shared" si="836"/>
        <v/>
      </c>
      <c r="D1467" s="137"/>
      <c r="E1467" s="150" t="str">
        <f>工種!A14</f>
        <v>20199</v>
      </c>
      <c r="F1467" s="119" t="str">
        <f>工種!B14</f>
        <v>設計：その他</v>
      </c>
      <c r="G1467" s="116" t="str">
        <f t="shared" si="784"/>
        <v>020199</v>
      </c>
      <c r="H1467" s="88">
        <f t="shared" si="791"/>
        <v>0</v>
      </c>
      <c r="I1467" s="132"/>
      <c r="J1467" s="88">
        <f>SUMIF(月間集計シート!$M$29:$M$48,$G1467,月間集計シート!N$29:N$48)*J$2</f>
        <v>0</v>
      </c>
      <c r="K1467" s="88">
        <f>SUMIF(月間集計シート!$M$29:$M$48,$G1467,月間集計シート!O$29:O$48)*K$2</f>
        <v>0</v>
      </c>
      <c r="L1467" s="88">
        <f>SUMIF(月間集計シート!$M$29:$M$48,$G1467,月間集計シート!P$29:P$48)*L$2</f>
        <v>0</v>
      </c>
      <c r="M1467" s="88">
        <f>SUMIF(月間集計シート!$M$29:$M$48,$G1467,月間集計シート!Q$29:Q$48)*M$2</f>
        <v>0</v>
      </c>
      <c r="N1467" s="88">
        <f>SUMIF(月間集計シート!$M$29:$M$48,$G1467,月間集計シート!R$29:R$48)*N$2</f>
        <v>0</v>
      </c>
      <c r="O1467" s="88">
        <f>SUMIF(月間集計シート!$M$29:$M$48,$G1467,月間集計シート!S$29:S$48)*O$2</f>
        <v>0</v>
      </c>
      <c r="P1467" s="88">
        <f>SUMIF(月間集計シート!$M$29:$M$48,$G1467,月間集計シート!T$29:T$48)*P$2</f>
        <v>0</v>
      </c>
      <c r="Q1467" s="88">
        <f>SUMIF(月間集計シート!$M$50:$M$69,$G1467,月間集計シート!N$50:N$69)*Q$2</f>
        <v>0</v>
      </c>
      <c r="R1467" s="88">
        <f>SUMIF(月間集計シート!$M$50:$M$69,$G1467,月間集計シート!O$50:O$69)*R$2</f>
        <v>0</v>
      </c>
      <c r="S1467" s="88">
        <f>SUMIF(月間集計シート!$M$50:$M$69,$G1467,月間集計シート!P$50:P$69)*S$2</f>
        <v>0</v>
      </c>
      <c r="T1467" s="88">
        <f>SUMIF(月間集計シート!$M$50:$M$69,$G1467,月間集計シート!Q$50:Q$69)*T$2</f>
        <v>0</v>
      </c>
      <c r="U1467" s="88">
        <f>SUMIF(月間集計シート!$M$50:$M$69,$G1467,月間集計シート!R$50:R$69)*U$2</f>
        <v>0</v>
      </c>
      <c r="V1467" s="88">
        <f>SUMIF(月間集計シート!$M$50:$M$69,$G1467,月間集計シート!S$50:S$69)*V$2</f>
        <v>0</v>
      </c>
      <c r="W1467" s="88">
        <f>SUMIF(月間集計シート!$M$50:$M$69,$G1467,月間集計シート!T$50:T$69)*W$2</f>
        <v>0</v>
      </c>
      <c r="X1467" s="88">
        <f>SUMIF(月間集計シート!$M$71:$M$90,$G1467,月間集計シート!N$71:N$90)*X$2</f>
        <v>0</v>
      </c>
      <c r="Y1467" s="88">
        <f>SUMIF(月間集計シート!$M$71:$M$90,$G1467,月間集計シート!O$71:O$90)*Y$2</f>
        <v>0</v>
      </c>
      <c r="Z1467" s="88">
        <f>SUMIF(月間集計シート!$M$71:$M$90,$G1467,月間集計シート!P$71:P$90)*Z$2</f>
        <v>0</v>
      </c>
      <c r="AA1467" s="88">
        <f>SUMIF(月間集計シート!$M$71:$M$90,$G1467,月間集計シート!Q$71:Q$90)*AA$2</f>
        <v>0</v>
      </c>
      <c r="AB1467" s="88">
        <f>SUMIF(月間集計シート!$M$71:$M$90,$G1467,月間集計シート!R$71:R$90)*AB$2</f>
        <v>0</v>
      </c>
      <c r="AC1467" s="88">
        <f>SUMIF(月間集計シート!$M$71:$M$90,$G1467,月間集計シート!S$71:S$90)*AC$2</f>
        <v>0</v>
      </c>
      <c r="AD1467" s="88">
        <f>SUMIF(月間集計シート!$M$71:$M$90,$G1467,月間集計シート!T$71:T$90)*AD$2</f>
        <v>0</v>
      </c>
      <c r="AE1467" s="88">
        <f>SUMIF(月間集計シート!$M$92:$M$111,$G1467,月間集計シート!N$92:N$111)*AE$2</f>
        <v>0</v>
      </c>
      <c r="AF1467" s="88">
        <f>SUMIF(月間集計シート!$M$92:$M$111,$G1467,月間集計シート!O$92:O$111)*AF$2</f>
        <v>0</v>
      </c>
      <c r="AG1467" s="88">
        <f>SUMIF(月間集計シート!$M$92:$M$111,$G1467,月間集計シート!P$92:P$111)*AG$2</f>
        <v>0</v>
      </c>
      <c r="AH1467" s="88">
        <f>SUMIF(月間集計シート!$M$92:$M$111,$G1467,月間集計シート!Q$92:Q$111)*AH$2</f>
        <v>0</v>
      </c>
      <c r="AI1467" s="88">
        <f>SUMIF(月間集計シート!$M$92:$M$111,$G1467,月間集計シート!R$92:R$111)*AI$2</f>
        <v>0</v>
      </c>
      <c r="AJ1467" s="88">
        <f>SUMIF(月間集計シート!$M$92:$M$111,$G1467,月間集計シート!S$92:S$111)*AJ$2</f>
        <v>0</v>
      </c>
      <c r="AK1467" s="88">
        <f>SUMIF(月間集計シート!$M$92:$M$111,$G1467,月間集計シート!T$92:T$111)*AK$2</f>
        <v>0</v>
      </c>
      <c r="AL1467" s="88">
        <f>SUMIF(月間集計シート!$M$113:$M$132,$G1467,月間集計シート!N$113:N$132)*AL$2</f>
        <v>0</v>
      </c>
      <c r="AM1467" s="88">
        <f>SUMIF(月間集計シート!$M$113:$M$132,$G1467,月間集計シート!O$113:O$132)*AM$2</f>
        <v>0</v>
      </c>
      <c r="AN1467" s="88">
        <f>SUMIF(月間集計シート!$M$113:$M$132,$G1467,月間集計シート!P$113:P$132)*AN$2</f>
        <v>0</v>
      </c>
      <c r="AO1467" s="88">
        <f>SUMIF(月間集計シート!$M$113:$M$132,$G1467,月間集計シート!Q$113:Q$132)*AO$2</f>
        <v>0</v>
      </c>
      <c r="AP1467" s="88">
        <f>SUMIF(月間集計シート!$M$113:$M$132,$G1467,月間集計シート!R$113:R$132)*AP$2</f>
        <v>0</v>
      </c>
      <c r="AQ1467" s="88">
        <f>SUMIF(月間集計シート!$M$113:$M$132,$G1467,月間集計シート!S$113:S$132)*AQ$2</f>
        <v>0</v>
      </c>
      <c r="AR1467" s="88">
        <f>SUMIF(月間集計シート!$M$113:$M$132,$G1467,月間集計シート!T$113:T$132)*AR$2</f>
        <v>0</v>
      </c>
      <c r="AS1467" s="88">
        <f>SUMIF(月間集計シート!$M$134:$M$153,$G1467,月間集計シート!N$134:N$153)*AS$2</f>
        <v>0</v>
      </c>
      <c r="AT1467" s="88">
        <f>SUMIF(月間集計シート!$M$134:$M$153,$G1467,月間集計シート!O$134:O$153)*AT$2</f>
        <v>0</v>
      </c>
      <c r="AU1467" s="88">
        <f>SUMIF(月間集計シート!$M$134:$M$153,$G1467,月間集計シート!P$134:P$153)*AU$2</f>
        <v>0</v>
      </c>
      <c r="AV1467" s="88">
        <f>SUMIF(月間集計シート!$M$134:$M$153,$G1467,月間集計シート!Q$134:Q$153)*AV$2</f>
        <v>0</v>
      </c>
      <c r="AW1467" s="88">
        <f>SUMIF(月間集計シート!$M$134:$M$153,$G1467,月間集計シート!R$134:R$153)*AW$2</f>
        <v>0</v>
      </c>
      <c r="AX1467" s="88">
        <f>SUMIF(月間集計シート!$M$134:$M$153,$G1467,月間集計シート!S$134:S$153)*AX$2</f>
        <v>0</v>
      </c>
      <c r="AY1467" s="88">
        <f>SUMIF(月間集計シート!$M$134:$M$153,$G1467,月間集計シート!T$134:T$153)*AY$2</f>
        <v>0</v>
      </c>
    </row>
    <row r="1468" spans="1:51" ht="14.25" thickBot="1">
      <c r="A1468">
        <v>18</v>
      </c>
      <c r="B1468" s="120">
        <f t="shared" si="835"/>
        <v>0</v>
      </c>
      <c r="C1468" s="120" t="str">
        <f t="shared" si="836"/>
        <v/>
      </c>
      <c r="D1468" s="137"/>
      <c r="E1468" s="150" t="str">
        <f>工種!A15</f>
        <v>30101</v>
      </c>
      <c r="F1468" s="119" t="str">
        <f>工種!B15</f>
        <v>製造：内部設計書作成</v>
      </c>
      <c r="G1468" s="116" t="str">
        <f t="shared" si="784"/>
        <v>030101</v>
      </c>
      <c r="H1468" s="88">
        <f t="shared" si="791"/>
        <v>0</v>
      </c>
      <c r="I1468" s="132"/>
      <c r="J1468" s="88">
        <f>SUMIF(月間集計シート!$M$29:$M$48,$G1468,月間集計シート!N$29:N$48)*J$2</f>
        <v>0</v>
      </c>
      <c r="K1468" s="88">
        <f>SUMIF(月間集計シート!$M$29:$M$48,$G1468,月間集計シート!O$29:O$48)*K$2</f>
        <v>0</v>
      </c>
      <c r="L1468" s="88">
        <f>SUMIF(月間集計シート!$M$29:$M$48,$G1468,月間集計シート!P$29:P$48)*L$2</f>
        <v>0</v>
      </c>
      <c r="M1468" s="88">
        <f>SUMIF(月間集計シート!$M$29:$M$48,$G1468,月間集計シート!Q$29:Q$48)*M$2</f>
        <v>0</v>
      </c>
      <c r="N1468" s="88">
        <f>SUMIF(月間集計シート!$M$29:$M$48,$G1468,月間集計シート!R$29:R$48)*N$2</f>
        <v>0</v>
      </c>
      <c r="O1468" s="88">
        <f>SUMIF(月間集計シート!$M$29:$M$48,$G1468,月間集計シート!S$29:S$48)*O$2</f>
        <v>0</v>
      </c>
      <c r="P1468" s="88">
        <f>SUMIF(月間集計シート!$M$29:$M$48,$G1468,月間集計シート!T$29:T$48)*P$2</f>
        <v>0</v>
      </c>
      <c r="Q1468" s="88">
        <f>SUMIF(月間集計シート!$M$50:$M$69,$G1468,月間集計シート!N$50:N$69)*Q$2</f>
        <v>0</v>
      </c>
      <c r="R1468" s="88">
        <f>SUMIF(月間集計シート!$M$50:$M$69,$G1468,月間集計シート!O$50:O$69)*R$2</f>
        <v>0</v>
      </c>
      <c r="S1468" s="88">
        <f>SUMIF(月間集計シート!$M$50:$M$69,$G1468,月間集計シート!P$50:P$69)*S$2</f>
        <v>0</v>
      </c>
      <c r="T1468" s="88">
        <f>SUMIF(月間集計シート!$M$50:$M$69,$G1468,月間集計シート!Q$50:Q$69)*T$2</f>
        <v>0</v>
      </c>
      <c r="U1468" s="88">
        <f>SUMIF(月間集計シート!$M$50:$M$69,$G1468,月間集計シート!R$50:R$69)*U$2</f>
        <v>0</v>
      </c>
      <c r="V1468" s="88">
        <f>SUMIF(月間集計シート!$M$50:$M$69,$G1468,月間集計シート!S$50:S$69)*V$2</f>
        <v>0</v>
      </c>
      <c r="W1468" s="88">
        <f>SUMIF(月間集計シート!$M$50:$M$69,$G1468,月間集計シート!T$50:T$69)*W$2</f>
        <v>0</v>
      </c>
      <c r="X1468" s="88">
        <f>SUMIF(月間集計シート!$M$71:$M$90,$G1468,月間集計シート!N$71:N$90)*X$2</f>
        <v>0</v>
      </c>
      <c r="Y1468" s="88">
        <f>SUMIF(月間集計シート!$M$71:$M$90,$G1468,月間集計シート!O$71:O$90)*Y$2</f>
        <v>0</v>
      </c>
      <c r="Z1468" s="88">
        <f>SUMIF(月間集計シート!$M$71:$M$90,$G1468,月間集計シート!P$71:P$90)*Z$2</f>
        <v>0</v>
      </c>
      <c r="AA1468" s="88">
        <f>SUMIF(月間集計シート!$M$71:$M$90,$G1468,月間集計シート!Q$71:Q$90)*AA$2</f>
        <v>0</v>
      </c>
      <c r="AB1468" s="88">
        <f>SUMIF(月間集計シート!$M$71:$M$90,$G1468,月間集計シート!R$71:R$90)*AB$2</f>
        <v>0</v>
      </c>
      <c r="AC1468" s="88">
        <f>SUMIF(月間集計シート!$M$71:$M$90,$G1468,月間集計シート!S$71:S$90)*AC$2</f>
        <v>0</v>
      </c>
      <c r="AD1468" s="88">
        <f>SUMIF(月間集計シート!$M$71:$M$90,$G1468,月間集計シート!T$71:T$90)*AD$2</f>
        <v>0</v>
      </c>
      <c r="AE1468" s="88">
        <f>SUMIF(月間集計シート!$M$92:$M$111,$G1468,月間集計シート!N$92:N$111)*AE$2</f>
        <v>0</v>
      </c>
      <c r="AF1468" s="88">
        <f>SUMIF(月間集計シート!$M$92:$M$111,$G1468,月間集計シート!O$92:O$111)*AF$2</f>
        <v>0</v>
      </c>
      <c r="AG1468" s="88">
        <f>SUMIF(月間集計シート!$M$92:$M$111,$G1468,月間集計シート!P$92:P$111)*AG$2</f>
        <v>0</v>
      </c>
      <c r="AH1468" s="88">
        <f>SUMIF(月間集計シート!$M$92:$M$111,$G1468,月間集計シート!Q$92:Q$111)*AH$2</f>
        <v>0</v>
      </c>
      <c r="AI1468" s="88">
        <f>SUMIF(月間集計シート!$M$92:$M$111,$G1468,月間集計シート!R$92:R$111)*AI$2</f>
        <v>0</v>
      </c>
      <c r="AJ1468" s="88">
        <f>SUMIF(月間集計シート!$M$92:$M$111,$G1468,月間集計シート!S$92:S$111)*AJ$2</f>
        <v>0</v>
      </c>
      <c r="AK1468" s="88">
        <f>SUMIF(月間集計シート!$M$92:$M$111,$G1468,月間集計シート!T$92:T$111)*AK$2</f>
        <v>0</v>
      </c>
      <c r="AL1468" s="88">
        <f>SUMIF(月間集計シート!$M$113:$M$132,$G1468,月間集計シート!N$113:N$132)*AL$2</f>
        <v>0</v>
      </c>
      <c r="AM1468" s="88">
        <f>SUMIF(月間集計シート!$M$113:$M$132,$G1468,月間集計シート!O$113:O$132)*AM$2</f>
        <v>0</v>
      </c>
      <c r="AN1468" s="88">
        <f>SUMIF(月間集計シート!$M$113:$M$132,$G1468,月間集計シート!P$113:P$132)*AN$2</f>
        <v>0</v>
      </c>
      <c r="AO1468" s="88">
        <f>SUMIF(月間集計シート!$M$113:$M$132,$G1468,月間集計シート!Q$113:Q$132)*AO$2</f>
        <v>0</v>
      </c>
      <c r="AP1468" s="88">
        <f>SUMIF(月間集計シート!$M$113:$M$132,$G1468,月間集計シート!R$113:R$132)*AP$2</f>
        <v>0</v>
      </c>
      <c r="AQ1468" s="88">
        <f>SUMIF(月間集計シート!$M$113:$M$132,$G1468,月間集計シート!S$113:S$132)*AQ$2</f>
        <v>0</v>
      </c>
      <c r="AR1468" s="88">
        <f>SUMIF(月間集計シート!$M$113:$M$132,$G1468,月間集計シート!T$113:T$132)*AR$2</f>
        <v>0</v>
      </c>
      <c r="AS1468" s="88">
        <f>SUMIF(月間集計シート!$M$134:$M$153,$G1468,月間集計シート!N$134:N$153)*AS$2</f>
        <v>0</v>
      </c>
      <c r="AT1468" s="88">
        <f>SUMIF(月間集計シート!$M$134:$M$153,$G1468,月間集計シート!O$134:O$153)*AT$2</f>
        <v>0</v>
      </c>
      <c r="AU1468" s="88">
        <f>SUMIF(月間集計シート!$M$134:$M$153,$G1468,月間集計シート!P$134:P$153)*AU$2</f>
        <v>0</v>
      </c>
      <c r="AV1468" s="88">
        <f>SUMIF(月間集計シート!$M$134:$M$153,$G1468,月間集計シート!Q$134:Q$153)*AV$2</f>
        <v>0</v>
      </c>
      <c r="AW1468" s="88">
        <f>SUMIF(月間集計シート!$M$134:$M$153,$G1468,月間集計シート!R$134:R$153)*AW$2</f>
        <v>0</v>
      </c>
      <c r="AX1468" s="88">
        <f>SUMIF(月間集計シート!$M$134:$M$153,$G1468,月間集計シート!S$134:S$153)*AX$2</f>
        <v>0</v>
      </c>
      <c r="AY1468" s="88">
        <f>SUMIF(月間集計シート!$M$134:$M$153,$G1468,月間集計シート!T$134:T$153)*AY$2</f>
        <v>0</v>
      </c>
    </row>
    <row r="1469" spans="1:51" ht="14.25" thickBot="1">
      <c r="A1469">
        <v>18</v>
      </c>
      <c r="B1469" s="120">
        <f t="shared" si="835"/>
        <v>0</v>
      </c>
      <c r="C1469" s="120" t="str">
        <f t="shared" si="836"/>
        <v/>
      </c>
      <c r="D1469" s="137"/>
      <c r="E1469" s="150" t="str">
        <f>工種!A16</f>
        <v>30102</v>
      </c>
      <c r="F1469" s="119" t="str">
        <f>工種!B16</f>
        <v>製造：コーディング</v>
      </c>
      <c r="G1469" s="116" t="str">
        <f t="shared" si="784"/>
        <v>030102</v>
      </c>
      <c r="H1469" s="88">
        <f t="shared" si="791"/>
        <v>0</v>
      </c>
      <c r="I1469" s="132"/>
      <c r="J1469" s="88">
        <f>SUMIF(月間集計シート!$M$29:$M$48,$G1469,月間集計シート!N$29:N$48)*J$2</f>
        <v>0</v>
      </c>
      <c r="K1469" s="88">
        <f>SUMIF(月間集計シート!$M$29:$M$48,$G1469,月間集計シート!O$29:O$48)*K$2</f>
        <v>0</v>
      </c>
      <c r="L1469" s="88">
        <f>SUMIF(月間集計シート!$M$29:$M$48,$G1469,月間集計シート!P$29:P$48)*L$2</f>
        <v>0</v>
      </c>
      <c r="M1469" s="88">
        <f>SUMIF(月間集計シート!$M$29:$M$48,$G1469,月間集計シート!Q$29:Q$48)*M$2</f>
        <v>0</v>
      </c>
      <c r="N1469" s="88">
        <f>SUMIF(月間集計シート!$M$29:$M$48,$G1469,月間集計シート!R$29:R$48)*N$2</f>
        <v>0</v>
      </c>
      <c r="O1469" s="88">
        <f>SUMIF(月間集計シート!$M$29:$M$48,$G1469,月間集計シート!S$29:S$48)*O$2</f>
        <v>0</v>
      </c>
      <c r="P1469" s="88">
        <f>SUMIF(月間集計シート!$M$29:$M$48,$G1469,月間集計シート!T$29:T$48)*P$2</f>
        <v>0</v>
      </c>
      <c r="Q1469" s="88">
        <f>SUMIF(月間集計シート!$M$50:$M$69,$G1469,月間集計シート!N$50:N$69)*Q$2</f>
        <v>0</v>
      </c>
      <c r="R1469" s="88">
        <f>SUMIF(月間集計シート!$M$50:$M$69,$G1469,月間集計シート!O$50:O$69)*R$2</f>
        <v>0</v>
      </c>
      <c r="S1469" s="88">
        <f>SUMIF(月間集計シート!$M$50:$M$69,$G1469,月間集計シート!P$50:P$69)*S$2</f>
        <v>0</v>
      </c>
      <c r="T1469" s="88">
        <f>SUMIF(月間集計シート!$M$50:$M$69,$G1469,月間集計シート!Q$50:Q$69)*T$2</f>
        <v>0</v>
      </c>
      <c r="U1469" s="88">
        <f>SUMIF(月間集計シート!$M$50:$M$69,$G1469,月間集計シート!R$50:R$69)*U$2</f>
        <v>0</v>
      </c>
      <c r="V1469" s="88">
        <f>SUMIF(月間集計シート!$M$50:$M$69,$G1469,月間集計シート!S$50:S$69)*V$2</f>
        <v>0</v>
      </c>
      <c r="W1469" s="88">
        <f>SUMIF(月間集計シート!$M$50:$M$69,$G1469,月間集計シート!T$50:T$69)*W$2</f>
        <v>0</v>
      </c>
      <c r="X1469" s="88">
        <f>SUMIF(月間集計シート!$M$71:$M$90,$G1469,月間集計シート!N$71:N$90)*X$2</f>
        <v>0</v>
      </c>
      <c r="Y1469" s="88">
        <f>SUMIF(月間集計シート!$M$71:$M$90,$G1469,月間集計シート!O$71:O$90)*Y$2</f>
        <v>0</v>
      </c>
      <c r="Z1469" s="88">
        <f>SUMIF(月間集計シート!$M$71:$M$90,$G1469,月間集計シート!P$71:P$90)*Z$2</f>
        <v>0</v>
      </c>
      <c r="AA1469" s="88">
        <f>SUMIF(月間集計シート!$M$71:$M$90,$G1469,月間集計シート!Q$71:Q$90)*AA$2</f>
        <v>0</v>
      </c>
      <c r="AB1469" s="88">
        <f>SUMIF(月間集計シート!$M$71:$M$90,$G1469,月間集計シート!R$71:R$90)*AB$2</f>
        <v>0</v>
      </c>
      <c r="AC1469" s="88">
        <f>SUMIF(月間集計シート!$M$71:$M$90,$G1469,月間集計シート!S$71:S$90)*AC$2</f>
        <v>0</v>
      </c>
      <c r="AD1469" s="88">
        <f>SUMIF(月間集計シート!$M$71:$M$90,$G1469,月間集計シート!T$71:T$90)*AD$2</f>
        <v>0</v>
      </c>
      <c r="AE1469" s="88">
        <f>SUMIF(月間集計シート!$M$92:$M$111,$G1469,月間集計シート!N$92:N$111)*AE$2</f>
        <v>0</v>
      </c>
      <c r="AF1469" s="88">
        <f>SUMIF(月間集計シート!$M$92:$M$111,$G1469,月間集計シート!O$92:O$111)*AF$2</f>
        <v>0</v>
      </c>
      <c r="AG1469" s="88">
        <f>SUMIF(月間集計シート!$M$92:$M$111,$G1469,月間集計シート!P$92:P$111)*AG$2</f>
        <v>0</v>
      </c>
      <c r="AH1469" s="88">
        <f>SUMIF(月間集計シート!$M$92:$M$111,$G1469,月間集計シート!Q$92:Q$111)*AH$2</f>
        <v>0</v>
      </c>
      <c r="AI1469" s="88">
        <f>SUMIF(月間集計シート!$M$92:$M$111,$G1469,月間集計シート!R$92:R$111)*AI$2</f>
        <v>0</v>
      </c>
      <c r="AJ1469" s="88">
        <f>SUMIF(月間集計シート!$M$92:$M$111,$G1469,月間集計シート!S$92:S$111)*AJ$2</f>
        <v>0</v>
      </c>
      <c r="AK1469" s="88">
        <f>SUMIF(月間集計シート!$M$92:$M$111,$G1469,月間集計シート!T$92:T$111)*AK$2</f>
        <v>0</v>
      </c>
      <c r="AL1469" s="88">
        <f>SUMIF(月間集計シート!$M$113:$M$132,$G1469,月間集計シート!N$113:N$132)*AL$2</f>
        <v>0</v>
      </c>
      <c r="AM1469" s="88">
        <f>SUMIF(月間集計シート!$M$113:$M$132,$G1469,月間集計シート!O$113:O$132)*AM$2</f>
        <v>0</v>
      </c>
      <c r="AN1469" s="88">
        <f>SUMIF(月間集計シート!$M$113:$M$132,$G1469,月間集計シート!P$113:P$132)*AN$2</f>
        <v>0</v>
      </c>
      <c r="AO1469" s="88">
        <f>SUMIF(月間集計シート!$M$113:$M$132,$G1469,月間集計シート!Q$113:Q$132)*AO$2</f>
        <v>0</v>
      </c>
      <c r="AP1469" s="88">
        <f>SUMIF(月間集計シート!$M$113:$M$132,$G1469,月間集計シート!R$113:R$132)*AP$2</f>
        <v>0</v>
      </c>
      <c r="AQ1469" s="88">
        <f>SUMIF(月間集計シート!$M$113:$M$132,$G1469,月間集計シート!S$113:S$132)*AQ$2</f>
        <v>0</v>
      </c>
      <c r="AR1469" s="88">
        <f>SUMIF(月間集計シート!$M$113:$M$132,$G1469,月間集計シート!T$113:T$132)*AR$2</f>
        <v>0</v>
      </c>
      <c r="AS1469" s="88">
        <f>SUMIF(月間集計シート!$M$134:$M$153,$G1469,月間集計シート!N$134:N$153)*AS$2</f>
        <v>0</v>
      </c>
      <c r="AT1469" s="88">
        <f>SUMIF(月間集計シート!$M$134:$M$153,$G1469,月間集計シート!O$134:O$153)*AT$2</f>
        <v>0</v>
      </c>
      <c r="AU1469" s="88">
        <f>SUMIF(月間集計シート!$M$134:$M$153,$G1469,月間集計シート!P$134:P$153)*AU$2</f>
        <v>0</v>
      </c>
      <c r="AV1469" s="88">
        <f>SUMIF(月間集計シート!$M$134:$M$153,$G1469,月間集計シート!Q$134:Q$153)*AV$2</f>
        <v>0</v>
      </c>
      <c r="AW1469" s="88">
        <f>SUMIF(月間集計シート!$M$134:$M$153,$G1469,月間集計シート!R$134:R$153)*AW$2</f>
        <v>0</v>
      </c>
      <c r="AX1469" s="88">
        <f>SUMIF(月間集計シート!$M$134:$M$153,$G1469,月間集計シート!S$134:S$153)*AX$2</f>
        <v>0</v>
      </c>
      <c r="AY1469" s="88">
        <f>SUMIF(月間集計シート!$M$134:$M$153,$G1469,月間集計シート!T$134:T$153)*AY$2</f>
        <v>0</v>
      </c>
    </row>
    <row r="1470" spans="1:51" ht="14.25" thickBot="1">
      <c r="A1470">
        <v>18</v>
      </c>
      <c r="B1470" s="120">
        <f t="shared" si="835"/>
        <v>0</v>
      </c>
      <c r="C1470" s="120" t="str">
        <f t="shared" si="836"/>
        <v/>
      </c>
      <c r="D1470" s="137"/>
      <c r="E1470" s="150" t="str">
        <f>工種!A17</f>
        <v>30103</v>
      </c>
      <c r="F1470" s="119" t="str">
        <f>工種!B17</f>
        <v>製造：単体テスト設計書作成</v>
      </c>
      <c r="G1470" s="116" t="str">
        <f t="shared" si="784"/>
        <v>030103</v>
      </c>
      <c r="H1470" s="88">
        <f t="shared" si="791"/>
        <v>0</v>
      </c>
      <c r="I1470" s="132"/>
      <c r="J1470" s="88">
        <f>SUMIF(月間集計シート!$M$29:$M$48,$G1470,月間集計シート!N$29:N$48)*J$2</f>
        <v>0</v>
      </c>
      <c r="K1470" s="88">
        <f>SUMIF(月間集計シート!$M$29:$M$48,$G1470,月間集計シート!O$29:O$48)*K$2</f>
        <v>0</v>
      </c>
      <c r="L1470" s="88">
        <f>SUMIF(月間集計シート!$M$29:$M$48,$G1470,月間集計シート!P$29:P$48)*L$2</f>
        <v>0</v>
      </c>
      <c r="M1470" s="88">
        <f>SUMIF(月間集計シート!$M$29:$M$48,$G1470,月間集計シート!Q$29:Q$48)*M$2</f>
        <v>0</v>
      </c>
      <c r="N1470" s="88">
        <f>SUMIF(月間集計シート!$M$29:$M$48,$G1470,月間集計シート!R$29:R$48)*N$2</f>
        <v>0</v>
      </c>
      <c r="O1470" s="88">
        <f>SUMIF(月間集計シート!$M$29:$M$48,$G1470,月間集計シート!S$29:S$48)*O$2</f>
        <v>0</v>
      </c>
      <c r="P1470" s="88">
        <f>SUMIF(月間集計シート!$M$29:$M$48,$G1470,月間集計シート!T$29:T$48)*P$2</f>
        <v>0</v>
      </c>
      <c r="Q1470" s="88">
        <f>SUMIF(月間集計シート!$M$50:$M$69,$G1470,月間集計シート!N$50:N$69)*Q$2</f>
        <v>0</v>
      </c>
      <c r="R1470" s="88">
        <f>SUMIF(月間集計シート!$M$50:$M$69,$G1470,月間集計シート!O$50:O$69)*R$2</f>
        <v>0</v>
      </c>
      <c r="S1470" s="88">
        <f>SUMIF(月間集計シート!$M$50:$M$69,$G1470,月間集計シート!P$50:P$69)*S$2</f>
        <v>0</v>
      </c>
      <c r="T1470" s="88">
        <f>SUMIF(月間集計シート!$M$50:$M$69,$G1470,月間集計シート!Q$50:Q$69)*T$2</f>
        <v>0</v>
      </c>
      <c r="U1470" s="88">
        <f>SUMIF(月間集計シート!$M$50:$M$69,$G1470,月間集計シート!R$50:R$69)*U$2</f>
        <v>0</v>
      </c>
      <c r="V1470" s="88">
        <f>SUMIF(月間集計シート!$M$50:$M$69,$G1470,月間集計シート!S$50:S$69)*V$2</f>
        <v>0</v>
      </c>
      <c r="W1470" s="88">
        <f>SUMIF(月間集計シート!$M$50:$M$69,$G1470,月間集計シート!T$50:T$69)*W$2</f>
        <v>0</v>
      </c>
      <c r="X1470" s="88">
        <f>SUMIF(月間集計シート!$M$71:$M$90,$G1470,月間集計シート!N$71:N$90)*X$2</f>
        <v>0</v>
      </c>
      <c r="Y1470" s="88">
        <f>SUMIF(月間集計シート!$M$71:$M$90,$G1470,月間集計シート!O$71:O$90)*Y$2</f>
        <v>0</v>
      </c>
      <c r="Z1470" s="88">
        <f>SUMIF(月間集計シート!$M$71:$M$90,$G1470,月間集計シート!P$71:P$90)*Z$2</f>
        <v>0</v>
      </c>
      <c r="AA1470" s="88">
        <f>SUMIF(月間集計シート!$M$71:$M$90,$G1470,月間集計シート!Q$71:Q$90)*AA$2</f>
        <v>0</v>
      </c>
      <c r="AB1470" s="88">
        <f>SUMIF(月間集計シート!$M$71:$M$90,$G1470,月間集計シート!R$71:R$90)*AB$2</f>
        <v>0</v>
      </c>
      <c r="AC1470" s="88">
        <f>SUMIF(月間集計シート!$M$71:$M$90,$G1470,月間集計シート!S$71:S$90)*AC$2</f>
        <v>0</v>
      </c>
      <c r="AD1470" s="88">
        <f>SUMIF(月間集計シート!$M$71:$M$90,$G1470,月間集計シート!T$71:T$90)*AD$2</f>
        <v>0</v>
      </c>
      <c r="AE1470" s="88">
        <f>SUMIF(月間集計シート!$M$92:$M$111,$G1470,月間集計シート!N$92:N$111)*AE$2</f>
        <v>0</v>
      </c>
      <c r="AF1470" s="88">
        <f>SUMIF(月間集計シート!$M$92:$M$111,$G1470,月間集計シート!O$92:O$111)*AF$2</f>
        <v>0</v>
      </c>
      <c r="AG1470" s="88">
        <f>SUMIF(月間集計シート!$M$92:$M$111,$G1470,月間集計シート!P$92:P$111)*AG$2</f>
        <v>0</v>
      </c>
      <c r="AH1470" s="88">
        <f>SUMIF(月間集計シート!$M$92:$M$111,$G1470,月間集計シート!Q$92:Q$111)*AH$2</f>
        <v>0</v>
      </c>
      <c r="AI1470" s="88">
        <f>SUMIF(月間集計シート!$M$92:$M$111,$G1470,月間集計シート!R$92:R$111)*AI$2</f>
        <v>0</v>
      </c>
      <c r="AJ1470" s="88">
        <f>SUMIF(月間集計シート!$M$92:$M$111,$G1470,月間集計シート!S$92:S$111)*AJ$2</f>
        <v>0</v>
      </c>
      <c r="AK1470" s="88">
        <f>SUMIF(月間集計シート!$M$92:$M$111,$G1470,月間集計シート!T$92:T$111)*AK$2</f>
        <v>0</v>
      </c>
      <c r="AL1470" s="88">
        <f>SUMIF(月間集計シート!$M$113:$M$132,$G1470,月間集計シート!N$113:N$132)*AL$2</f>
        <v>0</v>
      </c>
      <c r="AM1470" s="88">
        <f>SUMIF(月間集計シート!$M$113:$M$132,$G1470,月間集計シート!O$113:O$132)*AM$2</f>
        <v>0</v>
      </c>
      <c r="AN1470" s="88">
        <f>SUMIF(月間集計シート!$M$113:$M$132,$G1470,月間集計シート!P$113:P$132)*AN$2</f>
        <v>0</v>
      </c>
      <c r="AO1470" s="88">
        <f>SUMIF(月間集計シート!$M$113:$M$132,$G1470,月間集計シート!Q$113:Q$132)*AO$2</f>
        <v>0</v>
      </c>
      <c r="AP1470" s="88">
        <f>SUMIF(月間集計シート!$M$113:$M$132,$G1470,月間集計シート!R$113:R$132)*AP$2</f>
        <v>0</v>
      </c>
      <c r="AQ1470" s="88">
        <f>SUMIF(月間集計シート!$M$113:$M$132,$G1470,月間集計シート!S$113:S$132)*AQ$2</f>
        <v>0</v>
      </c>
      <c r="AR1470" s="88">
        <f>SUMIF(月間集計シート!$M$113:$M$132,$G1470,月間集計シート!T$113:T$132)*AR$2</f>
        <v>0</v>
      </c>
      <c r="AS1470" s="88">
        <f>SUMIF(月間集計シート!$M$134:$M$153,$G1470,月間集計シート!N$134:N$153)*AS$2</f>
        <v>0</v>
      </c>
      <c r="AT1470" s="88">
        <f>SUMIF(月間集計シート!$M$134:$M$153,$G1470,月間集計シート!O$134:O$153)*AT$2</f>
        <v>0</v>
      </c>
      <c r="AU1470" s="88">
        <f>SUMIF(月間集計シート!$M$134:$M$153,$G1470,月間集計シート!P$134:P$153)*AU$2</f>
        <v>0</v>
      </c>
      <c r="AV1470" s="88">
        <f>SUMIF(月間集計シート!$M$134:$M$153,$G1470,月間集計シート!Q$134:Q$153)*AV$2</f>
        <v>0</v>
      </c>
      <c r="AW1470" s="88">
        <f>SUMIF(月間集計シート!$M$134:$M$153,$G1470,月間集計シート!R$134:R$153)*AW$2</f>
        <v>0</v>
      </c>
      <c r="AX1470" s="88">
        <f>SUMIF(月間集計シート!$M$134:$M$153,$G1470,月間集計シート!S$134:S$153)*AX$2</f>
        <v>0</v>
      </c>
      <c r="AY1470" s="88">
        <f>SUMIF(月間集計シート!$M$134:$M$153,$G1470,月間集計シート!T$134:T$153)*AY$2</f>
        <v>0</v>
      </c>
    </row>
    <row r="1471" spans="1:51" ht="14.25" thickBot="1">
      <c r="A1471">
        <v>18</v>
      </c>
      <c r="B1471" s="120">
        <f t="shared" si="835"/>
        <v>0</v>
      </c>
      <c r="C1471" s="120" t="str">
        <f t="shared" si="836"/>
        <v/>
      </c>
      <c r="D1471" s="137">
        <v>1</v>
      </c>
      <c r="E1471" s="150" t="str">
        <f>工種!A18</f>
        <v>30104</v>
      </c>
      <c r="F1471" s="119" t="str">
        <f>工種!B18</f>
        <v>製造：単体テスト実施</v>
      </c>
      <c r="G1471" s="116" t="str">
        <f t="shared" si="784"/>
        <v>030104</v>
      </c>
      <c r="H1471" s="88">
        <f t="shared" si="791"/>
        <v>0</v>
      </c>
      <c r="I1471" s="132"/>
      <c r="J1471" s="88">
        <f>SUMIF(月間集計シート!$M$29:$M$48,$G1471,月間集計シート!N$29:N$48)*J$2</f>
        <v>0</v>
      </c>
      <c r="K1471" s="88">
        <f>SUMIF(月間集計シート!$M$29:$M$48,$G1471,月間集計シート!O$29:O$48)*K$2</f>
        <v>0</v>
      </c>
      <c r="L1471" s="88">
        <f>SUMIF(月間集計シート!$M$29:$M$48,$G1471,月間集計シート!P$29:P$48)*L$2</f>
        <v>0</v>
      </c>
      <c r="M1471" s="88">
        <f>SUMIF(月間集計シート!$M$29:$M$48,$G1471,月間集計シート!Q$29:Q$48)*M$2</f>
        <v>0</v>
      </c>
      <c r="N1471" s="88">
        <f>SUMIF(月間集計シート!$M$29:$M$48,$G1471,月間集計シート!R$29:R$48)*N$2</f>
        <v>0</v>
      </c>
      <c r="O1471" s="88">
        <f>SUMIF(月間集計シート!$M$29:$M$48,$G1471,月間集計シート!S$29:S$48)*O$2</f>
        <v>0</v>
      </c>
      <c r="P1471" s="88">
        <f>SUMIF(月間集計シート!$M$29:$M$48,$G1471,月間集計シート!T$29:T$48)*P$2</f>
        <v>0</v>
      </c>
      <c r="Q1471" s="88">
        <f>SUMIF(月間集計シート!$M$50:$M$69,$G1471,月間集計シート!N$50:N$69)*Q$2</f>
        <v>0</v>
      </c>
      <c r="R1471" s="88">
        <f>SUMIF(月間集計シート!$M$50:$M$69,$G1471,月間集計シート!O$50:O$69)*R$2</f>
        <v>0</v>
      </c>
      <c r="S1471" s="88">
        <f>SUMIF(月間集計シート!$M$50:$M$69,$G1471,月間集計シート!P$50:P$69)*S$2</f>
        <v>0</v>
      </c>
      <c r="T1471" s="88">
        <f>SUMIF(月間集計シート!$M$50:$M$69,$G1471,月間集計シート!Q$50:Q$69)*T$2</f>
        <v>0</v>
      </c>
      <c r="U1471" s="88">
        <f>SUMIF(月間集計シート!$M$50:$M$69,$G1471,月間集計シート!R$50:R$69)*U$2</f>
        <v>0</v>
      </c>
      <c r="V1471" s="88">
        <f>SUMIF(月間集計シート!$M$50:$M$69,$G1471,月間集計シート!S$50:S$69)*V$2</f>
        <v>0</v>
      </c>
      <c r="W1471" s="88">
        <f>SUMIF(月間集計シート!$M$50:$M$69,$G1471,月間集計シート!T$50:T$69)*W$2</f>
        <v>0</v>
      </c>
      <c r="X1471" s="88">
        <f>SUMIF(月間集計シート!$M$71:$M$90,$G1471,月間集計シート!N$71:N$90)*X$2</f>
        <v>0</v>
      </c>
      <c r="Y1471" s="88">
        <f>SUMIF(月間集計シート!$M$71:$M$90,$G1471,月間集計シート!O$71:O$90)*Y$2</f>
        <v>0</v>
      </c>
      <c r="Z1471" s="88">
        <f>SUMIF(月間集計シート!$M$71:$M$90,$G1471,月間集計シート!P$71:P$90)*Z$2</f>
        <v>0</v>
      </c>
      <c r="AA1471" s="88">
        <f>SUMIF(月間集計シート!$M$71:$M$90,$G1471,月間集計シート!Q$71:Q$90)*AA$2</f>
        <v>0</v>
      </c>
      <c r="AB1471" s="88">
        <f>SUMIF(月間集計シート!$M$71:$M$90,$G1471,月間集計シート!R$71:R$90)*AB$2</f>
        <v>0</v>
      </c>
      <c r="AC1471" s="88">
        <f>SUMIF(月間集計シート!$M$71:$M$90,$G1471,月間集計シート!S$71:S$90)*AC$2</f>
        <v>0</v>
      </c>
      <c r="AD1471" s="88">
        <f>SUMIF(月間集計シート!$M$71:$M$90,$G1471,月間集計シート!T$71:T$90)*AD$2</f>
        <v>0</v>
      </c>
      <c r="AE1471" s="88">
        <f>SUMIF(月間集計シート!$M$92:$M$111,$G1471,月間集計シート!N$92:N$111)*AE$2</f>
        <v>0</v>
      </c>
      <c r="AF1471" s="88">
        <f>SUMIF(月間集計シート!$M$92:$M$111,$G1471,月間集計シート!O$92:O$111)*AF$2</f>
        <v>0</v>
      </c>
      <c r="AG1471" s="88">
        <f>SUMIF(月間集計シート!$M$92:$M$111,$G1471,月間集計シート!P$92:P$111)*AG$2</f>
        <v>0</v>
      </c>
      <c r="AH1471" s="88">
        <f>SUMIF(月間集計シート!$M$92:$M$111,$G1471,月間集計シート!Q$92:Q$111)*AH$2</f>
        <v>0</v>
      </c>
      <c r="AI1471" s="88">
        <f>SUMIF(月間集計シート!$M$92:$M$111,$G1471,月間集計シート!R$92:R$111)*AI$2</f>
        <v>0</v>
      </c>
      <c r="AJ1471" s="88">
        <f>SUMIF(月間集計シート!$M$92:$M$111,$G1471,月間集計シート!S$92:S$111)*AJ$2</f>
        <v>0</v>
      </c>
      <c r="AK1471" s="88">
        <f>SUMIF(月間集計シート!$M$92:$M$111,$G1471,月間集計シート!T$92:T$111)*AK$2</f>
        <v>0</v>
      </c>
      <c r="AL1471" s="88">
        <f>SUMIF(月間集計シート!$M$113:$M$132,$G1471,月間集計シート!N$113:N$132)*AL$2</f>
        <v>0</v>
      </c>
      <c r="AM1471" s="88">
        <f>SUMIF(月間集計シート!$M$113:$M$132,$G1471,月間集計シート!O$113:O$132)*AM$2</f>
        <v>0</v>
      </c>
      <c r="AN1471" s="88">
        <f>SUMIF(月間集計シート!$M$113:$M$132,$G1471,月間集計シート!P$113:P$132)*AN$2</f>
        <v>0</v>
      </c>
      <c r="AO1471" s="88">
        <f>SUMIF(月間集計シート!$M$113:$M$132,$G1471,月間集計シート!Q$113:Q$132)*AO$2</f>
        <v>0</v>
      </c>
      <c r="AP1471" s="88">
        <f>SUMIF(月間集計シート!$M$113:$M$132,$G1471,月間集計シート!R$113:R$132)*AP$2</f>
        <v>0</v>
      </c>
      <c r="AQ1471" s="88">
        <f>SUMIF(月間集計シート!$M$113:$M$132,$G1471,月間集計シート!S$113:S$132)*AQ$2</f>
        <v>0</v>
      </c>
      <c r="AR1471" s="88">
        <f>SUMIF(月間集計シート!$M$113:$M$132,$G1471,月間集計シート!T$113:T$132)*AR$2</f>
        <v>0</v>
      </c>
      <c r="AS1471" s="88">
        <f>SUMIF(月間集計シート!$M$134:$M$153,$G1471,月間集計シート!N$134:N$153)*AS$2</f>
        <v>0</v>
      </c>
      <c r="AT1471" s="88">
        <f>SUMIF(月間集計シート!$M$134:$M$153,$G1471,月間集計シート!O$134:O$153)*AT$2</f>
        <v>0</v>
      </c>
      <c r="AU1471" s="88">
        <f>SUMIF(月間集計シート!$M$134:$M$153,$G1471,月間集計シート!P$134:P$153)*AU$2</f>
        <v>0</v>
      </c>
      <c r="AV1471" s="88">
        <f>SUMIF(月間集計シート!$M$134:$M$153,$G1471,月間集計シート!Q$134:Q$153)*AV$2</f>
        <v>0</v>
      </c>
      <c r="AW1471" s="88">
        <f>SUMIF(月間集計シート!$M$134:$M$153,$G1471,月間集計シート!R$134:R$153)*AW$2</f>
        <v>0</v>
      </c>
      <c r="AX1471" s="88">
        <f>SUMIF(月間集計シート!$M$134:$M$153,$G1471,月間集計シート!S$134:S$153)*AX$2</f>
        <v>0</v>
      </c>
      <c r="AY1471" s="88">
        <f>SUMIF(月間集計シート!$M$134:$M$153,$G1471,月間集計シート!T$134:T$153)*AY$2</f>
        <v>0</v>
      </c>
    </row>
    <row r="1472" spans="1:51" ht="14.25" thickBot="1">
      <c r="A1472">
        <v>18</v>
      </c>
      <c r="B1472" s="120">
        <f t="shared" si="835"/>
        <v>0</v>
      </c>
      <c r="C1472" s="120" t="str">
        <f t="shared" si="836"/>
        <v/>
      </c>
      <c r="D1472" s="137"/>
      <c r="E1472" s="150" t="str">
        <f>工種!A19</f>
        <v>30105</v>
      </c>
      <c r="F1472" s="119" t="str">
        <f>工種!B19</f>
        <v>製造：打合せ</v>
      </c>
      <c r="G1472" s="116" t="str">
        <f t="shared" si="784"/>
        <v>030105</v>
      </c>
      <c r="H1472" s="88">
        <f t="shared" si="791"/>
        <v>0</v>
      </c>
      <c r="I1472" s="132"/>
      <c r="J1472" s="88">
        <f>SUMIF(月間集計シート!$M$29:$M$48,$G1472,月間集計シート!N$29:N$48)*J$2</f>
        <v>0</v>
      </c>
      <c r="K1472" s="88">
        <f>SUMIF(月間集計シート!$M$29:$M$48,$G1472,月間集計シート!O$29:O$48)*K$2</f>
        <v>0</v>
      </c>
      <c r="L1472" s="88">
        <f>SUMIF(月間集計シート!$M$29:$M$48,$G1472,月間集計シート!P$29:P$48)*L$2</f>
        <v>0</v>
      </c>
      <c r="M1472" s="88">
        <f>SUMIF(月間集計シート!$M$29:$M$48,$G1472,月間集計シート!Q$29:Q$48)*M$2</f>
        <v>0</v>
      </c>
      <c r="N1472" s="88">
        <f>SUMIF(月間集計シート!$M$29:$M$48,$G1472,月間集計シート!R$29:R$48)*N$2</f>
        <v>0</v>
      </c>
      <c r="O1472" s="88">
        <f>SUMIF(月間集計シート!$M$29:$M$48,$G1472,月間集計シート!S$29:S$48)*O$2</f>
        <v>0</v>
      </c>
      <c r="P1472" s="88">
        <f>SUMIF(月間集計シート!$M$29:$M$48,$G1472,月間集計シート!T$29:T$48)*P$2</f>
        <v>0</v>
      </c>
      <c r="Q1472" s="88">
        <f>SUMIF(月間集計シート!$M$50:$M$69,$G1472,月間集計シート!N$50:N$69)*Q$2</f>
        <v>0</v>
      </c>
      <c r="R1472" s="88">
        <f>SUMIF(月間集計シート!$M$50:$M$69,$G1472,月間集計シート!O$50:O$69)*R$2</f>
        <v>0</v>
      </c>
      <c r="S1472" s="88">
        <f>SUMIF(月間集計シート!$M$50:$M$69,$G1472,月間集計シート!P$50:P$69)*S$2</f>
        <v>0</v>
      </c>
      <c r="T1472" s="88">
        <f>SUMIF(月間集計シート!$M$50:$M$69,$G1472,月間集計シート!Q$50:Q$69)*T$2</f>
        <v>0</v>
      </c>
      <c r="U1472" s="88">
        <f>SUMIF(月間集計シート!$M$50:$M$69,$G1472,月間集計シート!R$50:R$69)*U$2</f>
        <v>0</v>
      </c>
      <c r="V1472" s="88">
        <f>SUMIF(月間集計シート!$M$50:$M$69,$G1472,月間集計シート!S$50:S$69)*V$2</f>
        <v>0</v>
      </c>
      <c r="W1472" s="88">
        <f>SUMIF(月間集計シート!$M$50:$M$69,$G1472,月間集計シート!T$50:T$69)*W$2</f>
        <v>0</v>
      </c>
      <c r="X1472" s="88">
        <f>SUMIF(月間集計シート!$M$71:$M$90,$G1472,月間集計シート!N$71:N$90)*X$2</f>
        <v>0</v>
      </c>
      <c r="Y1472" s="88">
        <f>SUMIF(月間集計シート!$M$71:$M$90,$G1472,月間集計シート!O$71:O$90)*Y$2</f>
        <v>0</v>
      </c>
      <c r="Z1472" s="88">
        <f>SUMIF(月間集計シート!$M$71:$M$90,$G1472,月間集計シート!P$71:P$90)*Z$2</f>
        <v>0</v>
      </c>
      <c r="AA1472" s="88">
        <f>SUMIF(月間集計シート!$M$71:$M$90,$G1472,月間集計シート!Q$71:Q$90)*AA$2</f>
        <v>0</v>
      </c>
      <c r="AB1472" s="88">
        <f>SUMIF(月間集計シート!$M$71:$M$90,$G1472,月間集計シート!R$71:R$90)*AB$2</f>
        <v>0</v>
      </c>
      <c r="AC1472" s="88">
        <f>SUMIF(月間集計シート!$M$71:$M$90,$G1472,月間集計シート!S$71:S$90)*AC$2</f>
        <v>0</v>
      </c>
      <c r="AD1472" s="88">
        <f>SUMIF(月間集計シート!$M$71:$M$90,$G1472,月間集計シート!T$71:T$90)*AD$2</f>
        <v>0</v>
      </c>
      <c r="AE1472" s="88">
        <f>SUMIF(月間集計シート!$M$92:$M$111,$G1472,月間集計シート!N$92:N$111)*AE$2</f>
        <v>0</v>
      </c>
      <c r="AF1472" s="88">
        <f>SUMIF(月間集計シート!$M$92:$M$111,$G1472,月間集計シート!O$92:O$111)*AF$2</f>
        <v>0</v>
      </c>
      <c r="AG1472" s="88">
        <f>SUMIF(月間集計シート!$M$92:$M$111,$G1472,月間集計シート!P$92:P$111)*AG$2</f>
        <v>0</v>
      </c>
      <c r="AH1472" s="88">
        <f>SUMIF(月間集計シート!$M$92:$M$111,$G1472,月間集計シート!Q$92:Q$111)*AH$2</f>
        <v>0</v>
      </c>
      <c r="AI1472" s="88">
        <f>SUMIF(月間集計シート!$M$92:$M$111,$G1472,月間集計シート!R$92:R$111)*AI$2</f>
        <v>0</v>
      </c>
      <c r="AJ1472" s="88">
        <f>SUMIF(月間集計シート!$M$92:$M$111,$G1472,月間集計シート!S$92:S$111)*AJ$2</f>
        <v>0</v>
      </c>
      <c r="AK1472" s="88">
        <f>SUMIF(月間集計シート!$M$92:$M$111,$G1472,月間集計シート!T$92:T$111)*AK$2</f>
        <v>0</v>
      </c>
      <c r="AL1472" s="88">
        <f>SUMIF(月間集計シート!$M$113:$M$132,$G1472,月間集計シート!N$113:N$132)*AL$2</f>
        <v>0</v>
      </c>
      <c r="AM1472" s="88">
        <f>SUMIF(月間集計シート!$M$113:$M$132,$G1472,月間集計シート!O$113:O$132)*AM$2</f>
        <v>0</v>
      </c>
      <c r="AN1472" s="88">
        <f>SUMIF(月間集計シート!$M$113:$M$132,$G1472,月間集計シート!P$113:P$132)*AN$2</f>
        <v>0</v>
      </c>
      <c r="AO1472" s="88">
        <f>SUMIF(月間集計シート!$M$113:$M$132,$G1472,月間集計シート!Q$113:Q$132)*AO$2</f>
        <v>0</v>
      </c>
      <c r="AP1472" s="88">
        <f>SUMIF(月間集計シート!$M$113:$M$132,$G1472,月間集計シート!R$113:R$132)*AP$2</f>
        <v>0</v>
      </c>
      <c r="AQ1472" s="88">
        <f>SUMIF(月間集計シート!$M$113:$M$132,$G1472,月間集計シート!S$113:S$132)*AQ$2</f>
        <v>0</v>
      </c>
      <c r="AR1472" s="88">
        <f>SUMIF(月間集計シート!$M$113:$M$132,$G1472,月間集計シート!T$113:T$132)*AR$2</f>
        <v>0</v>
      </c>
      <c r="AS1472" s="88">
        <f>SUMIF(月間集計シート!$M$134:$M$153,$G1472,月間集計シート!N$134:N$153)*AS$2</f>
        <v>0</v>
      </c>
      <c r="AT1472" s="88">
        <f>SUMIF(月間集計シート!$M$134:$M$153,$G1472,月間集計シート!O$134:O$153)*AT$2</f>
        <v>0</v>
      </c>
      <c r="AU1472" s="88">
        <f>SUMIF(月間集計シート!$M$134:$M$153,$G1472,月間集計シート!P$134:P$153)*AU$2</f>
        <v>0</v>
      </c>
      <c r="AV1472" s="88">
        <f>SUMIF(月間集計シート!$M$134:$M$153,$G1472,月間集計シート!Q$134:Q$153)*AV$2</f>
        <v>0</v>
      </c>
      <c r="AW1472" s="88">
        <f>SUMIF(月間集計シート!$M$134:$M$153,$G1472,月間集計シート!R$134:R$153)*AW$2</f>
        <v>0</v>
      </c>
      <c r="AX1472" s="88">
        <f>SUMIF(月間集計シート!$M$134:$M$153,$G1472,月間集計シート!S$134:S$153)*AX$2</f>
        <v>0</v>
      </c>
      <c r="AY1472" s="88">
        <f>SUMIF(月間集計シート!$M$134:$M$153,$G1472,月間集計シート!T$134:T$153)*AY$2</f>
        <v>0</v>
      </c>
    </row>
    <row r="1473" spans="1:51" ht="14.25" thickBot="1">
      <c r="A1473">
        <v>18</v>
      </c>
      <c r="B1473" s="120">
        <f t="shared" si="835"/>
        <v>0</v>
      </c>
      <c r="C1473" s="120" t="str">
        <f t="shared" si="836"/>
        <v/>
      </c>
      <c r="D1473" s="137">
        <v>1</v>
      </c>
      <c r="E1473" s="150" t="str">
        <f>工種!A20</f>
        <v>30106</v>
      </c>
      <c r="F1473" s="119" t="str">
        <f>工種!B20</f>
        <v>製造：PG修正（手戻り分）</v>
      </c>
      <c r="G1473" s="116" t="str">
        <f t="shared" ref="G1473:G1558" si="837">B1473&amp;E1473</f>
        <v>030106</v>
      </c>
      <c r="H1473" s="88">
        <f t="shared" si="791"/>
        <v>0</v>
      </c>
      <c r="I1473" s="132"/>
      <c r="J1473" s="88">
        <f>SUMIF(月間集計シート!$M$29:$M$48,$G1473,月間集計シート!N$29:N$48)*J$2</f>
        <v>0</v>
      </c>
      <c r="K1473" s="88">
        <f>SUMIF(月間集計シート!$M$29:$M$48,$G1473,月間集計シート!O$29:O$48)*K$2</f>
        <v>0</v>
      </c>
      <c r="L1473" s="88">
        <f>SUMIF(月間集計シート!$M$29:$M$48,$G1473,月間集計シート!P$29:P$48)*L$2</f>
        <v>0</v>
      </c>
      <c r="M1473" s="88">
        <f>SUMIF(月間集計シート!$M$29:$M$48,$G1473,月間集計シート!Q$29:Q$48)*M$2</f>
        <v>0</v>
      </c>
      <c r="N1473" s="88">
        <f>SUMIF(月間集計シート!$M$29:$M$48,$G1473,月間集計シート!R$29:R$48)*N$2</f>
        <v>0</v>
      </c>
      <c r="O1473" s="88">
        <f>SUMIF(月間集計シート!$M$29:$M$48,$G1473,月間集計シート!S$29:S$48)*O$2</f>
        <v>0</v>
      </c>
      <c r="P1473" s="88">
        <f>SUMIF(月間集計シート!$M$29:$M$48,$G1473,月間集計シート!T$29:T$48)*P$2</f>
        <v>0</v>
      </c>
      <c r="Q1473" s="88">
        <f>SUMIF(月間集計シート!$M$50:$M$69,$G1473,月間集計シート!N$50:N$69)*Q$2</f>
        <v>0</v>
      </c>
      <c r="R1473" s="88">
        <f>SUMIF(月間集計シート!$M$50:$M$69,$G1473,月間集計シート!O$50:O$69)*R$2</f>
        <v>0</v>
      </c>
      <c r="S1473" s="88">
        <f>SUMIF(月間集計シート!$M$50:$M$69,$G1473,月間集計シート!P$50:P$69)*S$2</f>
        <v>0</v>
      </c>
      <c r="T1473" s="88">
        <f>SUMIF(月間集計シート!$M$50:$M$69,$G1473,月間集計シート!Q$50:Q$69)*T$2</f>
        <v>0</v>
      </c>
      <c r="U1473" s="88">
        <f>SUMIF(月間集計シート!$M$50:$M$69,$G1473,月間集計シート!R$50:R$69)*U$2</f>
        <v>0</v>
      </c>
      <c r="V1473" s="88">
        <f>SUMIF(月間集計シート!$M$50:$M$69,$G1473,月間集計シート!S$50:S$69)*V$2</f>
        <v>0</v>
      </c>
      <c r="W1473" s="88">
        <f>SUMIF(月間集計シート!$M$50:$M$69,$G1473,月間集計シート!T$50:T$69)*W$2</f>
        <v>0</v>
      </c>
      <c r="X1473" s="88">
        <f>SUMIF(月間集計シート!$M$71:$M$90,$G1473,月間集計シート!N$71:N$90)*X$2</f>
        <v>0</v>
      </c>
      <c r="Y1473" s="88">
        <f>SUMIF(月間集計シート!$M$71:$M$90,$G1473,月間集計シート!O$71:O$90)*Y$2</f>
        <v>0</v>
      </c>
      <c r="Z1473" s="88">
        <f>SUMIF(月間集計シート!$M$71:$M$90,$G1473,月間集計シート!P$71:P$90)*Z$2</f>
        <v>0</v>
      </c>
      <c r="AA1473" s="88">
        <f>SUMIF(月間集計シート!$M$71:$M$90,$G1473,月間集計シート!Q$71:Q$90)*AA$2</f>
        <v>0</v>
      </c>
      <c r="AB1473" s="88">
        <f>SUMIF(月間集計シート!$M$71:$M$90,$G1473,月間集計シート!R$71:R$90)*AB$2</f>
        <v>0</v>
      </c>
      <c r="AC1473" s="88">
        <f>SUMIF(月間集計シート!$M$71:$M$90,$G1473,月間集計シート!S$71:S$90)*AC$2</f>
        <v>0</v>
      </c>
      <c r="AD1473" s="88">
        <f>SUMIF(月間集計シート!$M$71:$M$90,$G1473,月間集計シート!T$71:T$90)*AD$2</f>
        <v>0</v>
      </c>
      <c r="AE1473" s="88">
        <f>SUMIF(月間集計シート!$M$92:$M$111,$G1473,月間集計シート!N$92:N$111)*AE$2</f>
        <v>0</v>
      </c>
      <c r="AF1473" s="88">
        <f>SUMIF(月間集計シート!$M$92:$M$111,$G1473,月間集計シート!O$92:O$111)*AF$2</f>
        <v>0</v>
      </c>
      <c r="AG1473" s="88">
        <f>SUMIF(月間集計シート!$M$92:$M$111,$G1473,月間集計シート!P$92:P$111)*AG$2</f>
        <v>0</v>
      </c>
      <c r="AH1473" s="88">
        <f>SUMIF(月間集計シート!$M$92:$M$111,$G1473,月間集計シート!Q$92:Q$111)*AH$2</f>
        <v>0</v>
      </c>
      <c r="AI1473" s="88">
        <f>SUMIF(月間集計シート!$M$92:$M$111,$G1473,月間集計シート!R$92:R$111)*AI$2</f>
        <v>0</v>
      </c>
      <c r="AJ1473" s="88">
        <f>SUMIF(月間集計シート!$M$92:$M$111,$G1473,月間集計シート!S$92:S$111)*AJ$2</f>
        <v>0</v>
      </c>
      <c r="AK1473" s="88">
        <f>SUMIF(月間集計シート!$M$92:$M$111,$G1473,月間集計シート!T$92:T$111)*AK$2</f>
        <v>0</v>
      </c>
      <c r="AL1473" s="88">
        <f>SUMIF(月間集計シート!$M$113:$M$132,$G1473,月間集計シート!N$113:N$132)*AL$2</f>
        <v>0</v>
      </c>
      <c r="AM1473" s="88">
        <f>SUMIF(月間集計シート!$M$113:$M$132,$G1473,月間集計シート!O$113:O$132)*AM$2</f>
        <v>0</v>
      </c>
      <c r="AN1473" s="88">
        <f>SUMIF(月間集計シート!$M$113:$M$132,$G1473,月間集計シート!P$113:P$132)*AN$2</f>
        <v>0</v>
      </c>
      <c r="AO1473" s="88">
        <f>SUMIF(月間集計シート!$M$113:$M$132,$G1473,月間集計シート!Q$113:Q$132)*AO$2</f>
        <v>0</v>
      </c>
      <c r="AP1473" s="88">
        <f>SUMIF(月間集計シート!$M$113:$M$132,$G1473,月間集計シート!R$113:R$132)*AP$2</f>
        <v>0</v>
      </c>
      <c r="AQ1473" s="88">
        <f>SUMIF(月間集計シート!$M$113:$M$132,$G1473,月間集計シート!S$113:S$132)*AQ$2</f>
        <v>0</v>
      </c>
      <c r="AR1473" s="88">
        <f>SUMIF(月間集計シート!$M$113:$M$132,$G1473,月間集計シート!T$113:T$132)*AR$2</f>
        <v>0</v>
      </c>
      <c r="AS1473" s="88">
        <f>SUMIF(月間集計シート!$M$134:$M$153,$G1473,月間集計シート!N$134:N$153)*AS$2</f>
        <v>0</v>
      </c>
      <c r="AT1473" s="88">
        <f>SUMIF(月間集計シート!$M$134:$M$153,$G1473,月間集計シート!O$134:O$153)*AT$2</f>
        <v>0</v>
      </c>
      <c r="AU1473" s="88">
        <f>SUMIF(月間集計シート!$M$134:$M$153,$G1473,月間集計シート!P$134:P$153)*AU$2</f>
        <v>0</v>
      </c>
      <c r="AV1473" s="88">
        <f>SUMIF(月間集計シート!$M$134:$M$153,$G1473,月間集計シート!Q$134:Q$153)*AV$2</f>
        <v>0</v>
      </c>
      <c r="AW1473" s="88">
        <f>SUMIF(月間集計シート!$M$134:$M$153,$G1473,月間集計シート!R$134:R$153)*AW$2</f>
        <v>0</v>
      </c>
      <c r="AX1473" s="88">
        <f>SUMIF(月間集計シート!$M$134:$M$153,$G1473,月間集計シート!S$134:S$153)*AX$2</f>
        <v>0</v>
      </c>
      <c r="AY1473" s="88">
        <f>SUMIF(月間集計シート!$M$134:$M$153,$G1473,月間集計シート!T$134:T$153)*AY$2</f>
        <v>0</v>
      </c>
    </row>
    <row r="1474" spans="1:51" ht="14.25" thickBot="1">
      <c r="A1474">
        <v>18</v>
      </c>
      <c r="B1474" s="120">
        <f t="shared" si="835"/>
        <v>0</v>
      </c>
      <c r="C1474" s="120" t="str">
        <f t="shared" si="836"/>
        <v/>
      </c>
      <c r="D1474" s="137"/>
      <c r="E1474" s="150" t="str">
        <f>工種!A21</f>
        <v>30109</v>
      </c>
      <c r="F1474" s="119" t="str">
        <f>工種!B21</f>
        <v>製造：レビュー</v>
      </c>
      <c r="G1474" s="116" t="str">
        <f t="shared" si="837"/>
        <v>030109</v>
      </c>
      <c r="H1474" s="88">
        <f t="shared" si="791"/>
        <v>0</v>
      </c>
      <c r="I1474" s="132"/>
      <c r="J1474" s="88">
        <f>SUMIF(月間集計シート!$M$29:$M$48,$G1474,月間集計シート!N$29:N$48)*J$2</f>
        <v>0</v>
      </c>
      <c r="K1474" s="88">
        <f>SUMIF(月間集計シート!$M$29:$M$48,$G1474,月間集計シート!O$29:O$48)*K$2</f>
        <v>0</v>
      </c>
      <c r="L1474" s="88">
        <f>SUMIF(月間集計シート!$M$29:$M$48,$G1474,月間集計シート!P$29:P$48)*L$2</f>
        <v>0</v>
      </c>
      <c r="M1474" s="88">
        <f>SUMIF(月間集計シート!$M$29:$M$48,$G1474,月間集計シート!Q$29:Q$48)*M$2</f>
        <v>0</v>
      </c>
      <c r="N1474" s="88">
        <f>SUMIF(月間集計シート!$M$29:$M$48,$G1474,月間集計シート!R$29:R$48)*N$2</f>
        <v>0</v>
      </c>
      <c r="O1474" s="88">
        <f>SUMIF(月間集計シート!$M$29:$M$48,$G1474,月間集計シート!S$29:S$48)*O$2</f>
        <v>0</v>
      </c>
      <c r="P1474" s="88">
        <f>SUMIF(月間集計シート!$M$29:$M$48,$G1474,月間集計シート!T$29:T$48)*P$2</f>
        <v>0</v>
      </c>
      <c r="Q1474" s="88">
        <f>SUMIF(月間集計シート!$M$50:$M$69,$G1474,月間集計シート!N$50:N$69)*Q$2</f>
        <v>0</v>
      </c>
      <c r="R1474" s="88">
        <f>SUMIF(月間集計シート!$M$50:$M$69,$G1474,月間集計シート!O$50:O$69)*R$2</f>
        <v>0</v>
      </c>
      <c r="S1474" s="88">
        <f>SUMIF(月間集計シート!$M$50:$M$69,$G1474,月間集計シート!P$50:P$69)*S$2</f>
        <v>0</v>
      </c>
      <c r="T1474" s="88">
        <f>SUMIF(月間集計シート!$M$50:$M$69,$G1474,月間集計シート!Q$50:Q$69)*T$2</f>
        <v>0</v>
      </c>
      <c r="U1474" s="88">
        <f>SUMIF(月間集計シート!$M$50:$M$69,$G1474,月間集計シート!R$50:R$69)*U$2</f>
        <v>0</v>
      </c>
      <c r="V1474" s="88">
        <f>SUMIF(月間集計シート!$M$50:$M$69,$G1474,月間集計シート!S$50:S$69)*V$2</f>
        <v>0</v>
      </c>
      <c r="W1474" s="88">
        <f>SUMIF(月間集計シート!$M$50:$M$69,$G1474,月間集計シート!T$50:T$69)*W$2</f>
        <v>0</v>
      </c>
      <c r="X1474" s="88">
        <f>SUMIF(月間集計シート!$M$71:$M$90,$G1474,月間集計シート!N$71:N$90)*X$2</f>
        <v>0</v>
      </c>
      <c r="Y1474" s="88">
        <f>SUMIF(月間集計シート!$M$71:$M$90,$G1474,月間集計シート!O$71:O$90)*Y$2</f>
        <v>0</v>
      </c>
      <c r="Z1474" s="88">
        <f>SUMIF(月間集計シート!$M$71:$M$90,$G1474,月間集計シート!P$71:P$90)*Z$2</f>
        <v>0</v>
      </c>
      <c r="AA1474" s="88">
        <f>SUMIF(月間集計シート!$M$71:$M$90,$G1474,月間集計シート!Q$71:Q$90)*AA$2</f>
        <v>0</v>
      </c>
      <c r="AB1474" s="88">
        <f>SUMIF(月間集計シート!$M$71:$M$90,$G1474,月間集計シート!R$71:R$90)*AB$2</f>
        <v>0</v>
      </c>
      <c r="AC1474" s="88">
        <f>SUMIF(月間集計シート!$M$71:$M$90,$G1474,月間集計シート!S$71:S$90)*AC$2</f>
        <v>0</v>
      </c>
      <c r="AD1474" s="88">
        <f>SUMIF(月間集計シート!$M$71:$M$90,$G1474,月間集計シート!T$71:T$90)*AD$2</f>
        <v>0</v>
      </c>
      <c r="AE1474" s="88">
        <f>SUMIF(月間集計シート!$M$92:$M$111,$G1474,月間集計シート!N$92:N$111)*AE$2</f>
        <v>0</v>
      </c>
      <c r="AF1474" s="88">
        <f>SUMIF(月間集計シート!$M$92:$M$111,$G1474,月間集計シート!O$92:O$111)*AF$2</f>
        <v>0</v>
      </c>
      <c r="AG1474" s="88">
        <f>SUMIF(月間集計シート!$M$92:$M$111,$G1474,月間集計シート!P$92:P$111)*AG$2</f>
        <v>0</v>
      </c>
      <c r="AH1474" s="88">
        <f>SUMIF(月間集計シート!$M$92:$M$111,$G1474,月間集計シート!Q$92:Q$111)*AH$2</f>
        <v>0</v>
      </c>
      <c r="AI1474" s="88">
        <f>SUMIF(月間集計シート!$M$92:$M$111,$G1474,月間集計シート!R$92:R$111)*AI$2</f>
        <v>0</v>
      </c>
      <c r="AJ1474" s="88">
        <f>SUMIF(月間集計シート!$M$92:$M$111,$G1474,月間集計シート!S$92:S$111)*AJ$2</f>
        <v>0</v>
      </c>
      <c r="AK1474" s="88">
        <f>SUMIF(月間集計シート!$M$92:$M$111,$G1474,月間集計シート!T$92:T$111)*AK$2</f>
        <v>0</v>
      </c>
      <c r="AL1474" s="88">
        <f>SUMIF(月間集計シート!$M$113:$M$132,$G1474,月間集計シート!N$113:N$132)*AL$2</f>
        <v>0</v>
      </c>
      <c r="AM1474" s="88">
        <f>SUMIF(月間集計シート!$M$113:$M$132,$G1474,月間集計シート!O$113:O$132)*AM$2</f>
        <v>0</v>
      </c>
      <c r="AN1474" s="88">
        <f>SUMIF(月間集計シート!$M$113:$M$132,$G1474,月間集計シート!P$113:P$132)*AN$2</f>
        <v>0</v>
      </c>
      <c r="AO1474" s="88">
        <f>SUMIF(月間集計シート!$M$113:$M$132,$G1474,月間集計シート!Q$113:Q$132)*AO$2</f>
        <v>0</v>
      </c>
      <c r="AP1474" s="88">
        <f>SUMIF(月間集計シート!$M$113:$M$132,$G1474,月間集計シート!R$113:R$132)*AP$2</f>
        <v>0</v>
      </c>
      <c r="AQ1474" s="88">
        <f>SUMIF(月間集計シート!$M$113:$M$132,$G1474,月間集計シート!S$113:S$132)*AQ$2</f>
        <v>0</v>
      </c>
      <c r="AR1474" s="88">
        <f>SUMIF(月間集計シート!$M$113:$M$132,$G1474,月間集計シート!T$113:T$132)*AR$2</f>
        <v>0</v>
      </c>
      <c r="AS1474" s="88">
        <f>SUMIF(月間集計シート!$M$134:$M$153,$G1474,月間集計シート!N$134:N$153)*AS$2</f>
        <v>0</v>
      </c>
      <c r="AT1474" s="88">
        <f>SUMIF(月間集計シート!$M$134:$M$153,$G1474,月間集計シート!O$134:O$153)*AT$2</f>
        <v>0</v>
      </c>
      <c r="AU1474" s="88">
        <f>SUMIF(月間集計シート!$M$134:$M$153,$G1474,月間集計シート!P$134:P$153)*AU$2</f>
        <v>0</v>
      </c>
      <c r="AV1474" s="88">
        <f>SUMIF(月間集計シート!$M$134:$M$153,$G1474,月間集計シート!Q$134:Q$153)*AV$2</f>
        <v>0</v>
      </c>
      <c r="AW1474" s="88">
        <f>SUMIF(月間集計シート!$M$134:$M$153,$G1474,月間集計シート!R$134:R$153)*AW$2</f>
        <v>0</v>
      </c>
      <c r="AX1474" s="88">
        <f>SUMIF(月間集計シート!$M$134:$M$153,$G1474,月間集計シート!S$134:S$153)*AX$2</f>
        <v>0</v>
      </c>
      <c r="AY1474" s="88">
        <f>SUMIF(月間集計シート!$M$134:$M$153,$G1474,月間集計シート!T$134:T$153)*AY$2</f>
        <v>0</v>
      </c>
    </row>
    <row r="1475" spans="1:51" ht="14.25" thickBot="1">
      <c r="A1475">
        <v>18</v>
      </c>
      <c r="B1475" s="120">
        <f t="shared" si="835"/>
        <v>0</v>
      </c>
      <c r="C1475" s="120" t="str">
        <f t="shared" si="836"/>
        <v/>
      </c>
      <c r="D1475" s="137">
        <v>1</v>
      </c>
      <c r="E1475" s="150" t="str">
        <f>工種!A22</f>
        <v>30199</v>
      </c>
      <c r="F1475" s="119" t="str">
        <f>工種!B22</f>
        <v>製造：その他</v>
      </c>
      <c r="G1475" s="116" t="str">
        <f t="shared" si="837"/>
        <v>030199</v>
      </c>
      <c r="H1475" s="88">
        <f t="shared" si="791"/>
        <v>0</v>
      </c>
      <c r="I1475" s="132"/>
      <c r="J1475" s="88">
        <f>SUMIF(月間集計シート!$M$29:$M$48,$G1475,月間集計シート!N$29:N$48)*J$2</f>
        <v>0</v>
      </c>
      <c r="K1475" s="88">
        <f>SUMIF(月間集計シート!$M$29:$M$48,$G1475,月間集計シート!O$29:O$48)*K$2</f>
        <v>0</v>
      </c>
      <c r="L1475" s="88">
        <f>SUMIF(月間集計シート!$M$29:$M$48,$G1475,月間集計シート!P$29:P$48)*L$2</f>
        <v>0</v>
      </c>
      <c r="M1475" s="88">
        <f>SUMIF(月間集計シート!$M$29:$M$48,$G1475,月間集計シート!Q$29:Q$48)*M$2</f>
        <v>0</v>
      </c>
      <c r="N1475" s="88">
        <f>SUMIF(月間集計シート!$M$29:$M$48,$G1475,月間集計シート!R$29:R$48)*N$2</f>
        <v>0</v>
      </c>
      <c r="O1475" s="88">
        <f>SUMIF(月間集計シート!$M$29:$M$48,$G1475,月間集計シート!S$29:S$48)*O$2</f>
        <v>0</v>
      </c>
      <c r="P1475" s="88">
        <f>SUMIF(月間集計シート!$M$29:$M$48,$G1475,月間集計シート!T$29:T$48)*P$2</f>
        <v>0</v>
      </c>
      <c r="Q1475" s="88">
        <f>SUMIF(月間集計シート!$M$50:$M$69,$G1475,月間集計シート!N$50:N$69)*Q$2</f>
        <v>0</v>
      </c>
      <c r="R1475" s="88">
        <f>SUMIF(月間集計シート!$M$50:$M$69,$G1475,月間集計シート!O$50:O$69)*R$2</f>
        <v>0</v>
      </c>
      <c r="S1475" s="88">
        <f>SUMIF(月間集計シート!$M$50:$M$69,$G1475,月間集計シート!P$50:P$69)*S$2</f>
        <v>0</v>
      </c>
      <c r="T1475" s="88">
        <f>SUMIF(月間集計シート!$M$50:$M$69,$G1475,月間集計シート!Q$50:Q$69)*T$2</f>
        <v>0</v>
      </c>
      <c r="U1475" s="88">
        <f>SUMIF(月間集計シート!$M$50:$M$69,$G1475,月間集計シート!R$50:R$69)*U$2</f>
        <v>0</v>
      </c>
      <c r="V1475" s="88">
        <f>SUMIF(月間集計シート!$M$50:$M$69,$G1475,月間集計シート!S$50:S$69)*V$2</f>
        <v>0</v>
      </c>
      <c r="W1475" s="88">
        <f>SUMIF(月間集計シート!$M$50:$M$69,$G1475,月間集計シート!T$50:T$69)*W$2</f>
        <v>0</v>
      </c>
      <c r="X1475" s="88">
        <f>SUMIF(月間集計シート!$M$71:$M$90,$G1475,月間集計シート!N$71:N$90)*X$2</f>
        <v>0</v>
      </c>
      <c r="Y1475" s="88">
        <f>SUMIF(月間集計シート!$M$71:$M$90,$G1475,月間集計シート!O$71:O$90)*Y$2</f>
        <v>0</v>
      </c>
      <c r="Z1475" s="88">
        <f>SUMIF(月間集計シート!$M$71:$M$90,$G1475,月間集計シート!P$71:P$90)*Z$2</f>
        <v>0</v>
      </c>
      <c r="AA1475" s="88">
        <f>SUMIF(月間集計シート!$M$71:$M$90,$G1475,月間集計シート!Q$71:Q$90)*AA$2</f>
        <v>0</v>
      </c>
      <c r="AB1475" s="88">
        <f>SUMIF(月間集計シート!$M$71:$M$90,$G1475,月間集計シート!R$71:R$90)*AB$2</f>
        <v>0</v>
      </c>
      <c r="AC1475" s="88">
        <f>SUMIF(月間集計シート!$M$71:$M$90,$G1475,月間集計シート!S$71:S$90)*AC$2</f>
        <v>0</v>
      </c>
      <c r="AD1475" s="88">
        <f>SUMIF(月間集計シート!$M$71:$M$90,$G1475,月間集計シート!T$71:T$90)*AD$2</f>
        <v>0</v>
      </c>
      <c r="AE1475" s="88">
        <f>SUMIF(月間集計シート!$M$92:$M$111,$G1475,月間集計シート!N$92:N$111)*AE$2</f>
        <v>0</v>
      </c>
      <c r="AF1475" s="88">
        <f>SUMIF(月間集計シート!$M$92:$M$111,$G1475,月間集計シート!O$92:O$111)*AF$2</f>
        <v>0</v>
      </c>
      <c r="AG1475" s="88">
        <f>SUMIF(月間集計シート!$M$92:$M$111,$G1475,月間集計シート!P$92:P$111)*AG$2</f>
        <v>0</v>
      </c>
      <c r="AH1475" s="88">
        <f>SUMIF(月間集計シート!$M$92:$M$111,$G1475,月間集計シート!Q$92:Q$111)*AH$2</f>
        <v>0</v>
      </c>
      <c r="AI1475" s="88">
        <f>SUMIF(月間集計シート!$M$92:$M$111,$G1475,月間集計シート!R$92:R$111)*AI$2</f>
        <v>0</v>
      </c>
      <c r="AJ1475" s="88">
        <f>SUMIF(月間集計シート!$M$92:$M$111,$G1475,月間集計シート!S$92:S$111)*AJ$2</f>
        <v>0</v>
      </c>
      <c r="AK1475" s="88">
        <f>SUMIF(月間集計シート!$M$92:$M$111,$G1475,月間集計シート!T$92:T$111)*AK$2</f>
        <v>0</v>
      </c>
      <c r="AL1475" s="88">
        <f>SUMIF(月間集計シート!$M$113:$M$132,$G1475,月間集計シート!N$113:N$132)*AL$2</f>
        <v>0</v>
      </c>
      <c r="AM1475" s="88">
        <f>SUMIF(月間集計シート!$M$113:$M$132,$G1475,月間集計シート!O$113:O$132)*AM$2</f>
        <v>0</v>
      </c>
      <c r="AN1475" s="88">
        <f>SUMIF(月間集計シート!$M$113:$M$132,$G1475,月間集計シート!P$113:P$132)*AN$2</f>
        <v>0</v>
      </c>
      <c r="AO1475" s="88">
        <f>SUMIF(月間集計シート!$M$113:$M$132,$G1475,月間集計シート!Q$113:Q$132)*AO$2</f>
        <v>0</v>
      </c>
      <c r="AP1475" s="88">
        <f>SUMIF(月間集計シート!$M$113:$M$132,$G1475,月間集計シート!R$113:R$132)*AP$2</f>
        <v>0</v>
      </c>
      <c r="AQ1475" s="88">
        <f>SUMIF(月間集計シート!$M$113:$M$132,$G1475,月間集計シート!S$113:S$132)*AQ$2</f>
        <v>0</v>
      </c>
      <c r="AR1475" s="88">
        <f>SUMIF(月間集計シート!$M$113:$M$132,$G1475,月間集計シート!T$113:T$132)*AR$2</f>
        <v>0</v>
      </c>
      <c r="AS1475" s="88">
        <f>SUMIF(月間集計シート!$M$134:$M$153,$G1475,月間集計シート!N$134:N$153)*AS$2</f>
        <v>0</v>
      </c>
      <c r="AT1475" s="88">
        <f>SUMIF(月間集計シート!$M$134:$M$153,$G1475,月間集計シート!O$134:O$153)*AT$2</f>
        <v>0</v>
      </c>
      <c r="AU1475" s="88">
        <f>SUMIF(月間集計シート!$M$134:$M$153,$G1475,月間集計シート!P$134:P$153)*AU$2</f>
        <v>0</v>
      </c>
      <c r="AV1475" s="88">
        <f>SUMIF(月間集計シート!$M$134:$M$153,$G1475,月間集計シート!Q$134:Q$153)*AV$2</f>
        <v>0</v>
      </c>
      <c r="AW1475" s="88">
        <f>SUMIF(月間集計シート!$M$134:$M$153,$G1475,月間集計シート!R$134:R$153)*AW$2</f>
        <v>0</v>
      </c>
      <c r="AX1475" s="88">
        <f>SUMIF(月間集計シート!$M$134:$M$153,$G1475,月間集計シート!S$134:S$153)*AX$2</f>
        <v>0</v>
      </c>
      <c r="AY1475" s="88">
        <f>SUMIF(月間集計シート!$M$134:$M$153,$G1475,月間集計シート!T$134:T$153)*AY$2</f>
        <v>0</v>
      </c>
    </row>
    <row r="1476" spans="1:51" ht="14.25" thickBot="1">
      <c r="A1476">
        <v>18</v>
      </c>
      <c r="B1476" s="120">
        <f t="shared" si="835"/>
        <v>0</v>
      </c>
      <c r="C1476" s="120" t="str">
        <f t="shared" si="836"/>
        <v/>
      </c>
      <c r="D1476" s="137"/>
      <c r="E1476" s="150" t="str">
        <f>工種!A23</f>
        <v>40101</v>
      </c>
      <c r="F1476" s="119" t="str">
        <f>工種!B23</f>
        <v>テスト：結合テスト実施</v>
      </c>
      <c r="G1476" s="116" t="str">
        <f t="shared" si="837"/>
        <v>040101</v>
      </c>
      <c r="H1476" s="88">
        <f t="shared" si="791"/>
        <v>0</v>
      </c>
      <c r="I1476" s="132"/>
      <c r="J1476" s="88">
        <f>SUMIF(月間集計シート!$M$29:$M$48,$G1476,月間集計シート!N$29:N$48)*J$2</f>
        <v>0</v>
      </c>
      <c r="K1476" s="88">
        <f>SUMIF(月間集計シート!$M$29:$M$48,$G1476,月間集計シート!O$29:O$48)*K$2</f>
        <v>0</v>
      </c>
      <c r="L1476" s="88">
        <f>SUMIF(月間集計シート!$M$29:$M$48,$G1476,月間集計シート!P$29:P$48)*L$2</f>
        <v>0</v>
      </c>
      <c r="M1476" s="88">
        <f>SUMIF(月間集計シート!$M$29:$M$48,$G1476,月間集計シート!Q$29:Q$48)*M$2</f>
        <v>0</v>
      </c>
      <c r="N1476" s="88">
        <f>SUMIF(月間集計シート!$M$29:$M$48,$G1476,月間集計シート!R$29:R$48)*N$2</f>
        <v>0</v>
      </c>
      <c r="O1476" s="88">
        <f>SUMIF(月間集計シート!$M$29:$M$48,$G1476,月間集計シート!S$29:S$48)*O$2</f>
        <v>0</v>
      </c>
      <c r="P1476" s="88">
        <f>SUMIF(月間集計シート!$M$29:$M$48,$G1476,月間集計シート!T$29:T$48)*P$2</f>
        <v>0</v>
      </c>
      <c r="Q1476" s="88">
        <f>SUMIF(月間集計シート!$M$50:$M$69,$G1476,月間集計シート!N$50:N$69)*Q$2</f>
        <v>0</v>
      </c>
      <c r="R1476" s="88">
        <f>SUMIF(月間集計シート!$M$50:$M$69,$G1476,月間集計シート!O$50:O$69)*R$2</f>
        <v>0</v>
      </c>
      <c r="S1476" s="88">
        <f>SUMIF(月間集計シート!$M$50:$M$69,$G1476,月間集計シート!P$50:P$69)*S$2</f>
        <v>0</v>
      </c>
      <c r="T1476" s="88">
        <f>SUMIF(月間集計シート!$M$50:$M$69,$G1476,月間集計シート!Q$50:Q$69)*T$2</f>
        <v>0</v>
      </c>
      <c r="U1476" s="88">
        <f>SUMIF(月間集計シート!$M$50:$M$69,$G1476,月間集計シート!R$50:R$69)*U$2</f>
        <v>0</v>
      </c>
      <c r="V1476" s="88">
        <f>SUMIF(月間集計シート!$M$50:$M$69,$G1476,月間集計シート!S$50:S$69)*V$2</f>
        <v>0</v>
      </c>
      <c r="W1476" s="88">
        <f>SUMIF(月間集計シート!$M$50:$M$69,$G1476,月間集計シート!T$50:T$69)*W$2</f>
        <v>0</v>
      </c>
      <c r="X1476" s="88">
        <f>SUMIF(月間集計シート!$M$71:$M$90,$G1476,月間集計シート!N$71:N$90)*X$2</f>
        <v>0</v>
      </c>
      <c r="Y1476" s="88">
        <f>SUMIF(月間集計シート!$M$71:$M$90,$G1476,月間集計シート!O$71:O$90)*Y$2</f>
        <v>0</v>
      </c>
      <c r="Z1476" s="88">
        <f>SUMIF(月間集計シート!$M$71:$M$90,$G1476,月間集計シート!P$71:P$90)*Z$2</f>
        <v>0</v>
      </c>
      <c r="AA1476" s="88">
        <f>SUMIF(月間集計シート!$M$71:$M$90,$G1476,月間集計シート!Q$71:Q$90)*AA$2</f>
        <v>0</v>
      </c>
      <c r="AB1476" s="88">
        <f>SUMIF(月間集計シート!$M$71:$M$90,$G1476,月間集計シート!R$71:R$90)*AB$2</f>
        <v>0</v>
      </c>
      <c r="AC1476" s="88">
        <f>SUMIF(月間集計シート!$M$71:$M$90,$G1476,月間集計シート!S$71:S$90)*AC$2</f>
        <v>0</v>
      </c>
      <c r="AD1476" s="88">
        <f>SUMIF(月間集計シート!$M$71:$M$90,$G1476,月間集計シート!T$71:T$90)*AD$2</f>
        <v>0</v>
      </c>
      <c r="AE1476" s="88">
        <f>SUMIF(月間集計シート!$M$92:$M$111,$G1476,月間集計シート!N$92:N$111)*AE$2</f>
        <v>0</v>
      </c>
      <c r="AF1476" s="88">
        <f>SUMIF(月間集計シート!$M$92:$M$111,$G1476,月間集計シート!O$92:O$111)*AF$2</f>
        <v>0</v>
      </c>
      <c r="AG1476" s="88">
        <f>SUMIF(月間集計シート!$M$92:$M$111,$G1476,月間集計シート!P$92:P$111)*AG$2</f>
        <v>0</v>
      </c>
      <c r="AH1476" s="88">
        <f>SUMIF(月間集計シート!$M$92:$M$111,$G1476,月間集計シート!Q$92:Q$111)*AH$2</f>
        <v>0</v>
      </c>
      <c r="AI1476" s="88">
        <f>SUMIF(月間集計シート!$M$92:$M$111,$G1476,月間集計シート!R$92:R$111)*AI$2</f>
        <v>0</v>
      </c>
      <c r="AJ1476" s="88">
        <f>SUMIF(月間集計シート!$M$92:$M$111,$G1476,月間集計シート!S$92:S$111)*AJ$2</f>
        <v>0</v>
      </c>
      <c r="AK1476" s="88">
        <f>SUMIF(月間集計シート!$M$92:$M$111,$G1476,月間集計シート!T$92:T$111)*AK$2</f>
        <v>0</v>
      </c>
      <c r="AL1476" s="88">
        <f>SUMIF(月間集計シート!$M$113:$M$132,$G1476,月間集計シート!N$113:N$132)*AL$2</f>
        <v>0</v>
      </c>
      <c r="AM1476" s="88">
        <f>SUMIF(月間集計シート!$M$113:$M$132,$G1476,月間集計シート!O$113:O$132)*AM$2</f>
        <v>0</v>
      </c>
      <c r="AN1476" s="88">
        <f>SUMIF(月間集計シート!$M$113:$M$132,$G1476,月間集計シート!P$113:P$132)*AN$2</f>
        <v>0</v>
      </c>
      <c r="AO1476" s="88">
        <f>SUMIF(月間集計シート!$M$113:$M$132,$G1476,月間集計シート!Q$113:Q$132)*AO$2</f>
        <v>0</v>
      </c>
      <c r="AP1476" s="88">
        <f>SUMIF(月間集計シート!$M$113:$M$132,$G1476,月間集計シート!R$113:R$132)*AP$2</f>
        <v>0</v>
      </c>
      <c r="AQ1476" s="88">
        <f>SUMIF(月間集計シート!$M$113:$M$132,$G1476,月間集計シート!S$113:S$132)*AQ$2</f>
        <v>0</v>
      </c>
      <c r="AR1476" s="88">
        <f>SUMIF(月間集計シート!$M$113:$M$132,$G1476,月間集計シート!T$113:T$132)*AR$2</f>
        <v>0</v>
      </c>
      <c r="AS1476" s="88">
        <f>SUMIF(月間集計シート!$M$134:$M$153,$G1476,月間集計シート!N$134:N$153)*AS$2</f>
        <v>0</v>
      </c>
      <c r="AT1476" s="88">
        <f>SUMIF(月間集計シート!$M$134:$M$153,$G1476,月間集計シート!O$134:O$153)*AT$2</f>
        <v>0</v>
      </c>
      <c r="AU1476" s="88">
        <f>SUMIF(月間集計シート!$M$134:$M$153,$G1476,月間集計シート!P$134:P$153)*AU$2</f>
        <v>0</v>
      </c>
      <c r="AV1476" s="88">
        <f>SUMIF(月間集計シート!$M$134:$M$153,$G1476,月間集計シート!Q$134:Q$153)*AV$2</f>
        <v>0</v>
      </c>
      <c r="AW1476" s="88">
        <f>SUMIF(月間集計シート!$M$134:$M$153,$G1476,月間集計シート!R$134:R$153)*AW$2</f>
        <v>0</v>
      </c>
      <c r="AX1476" s="88">
        <f>SUMIF(月間集計シート!$M$134:$M$153,$G1476,月間集計シート!S$134:S$153)*AX$2</f>
        <v>0</v>
      </c>
      <c r="AY1476" s="88">
        <f>SUMIF(月間集計シート!$M$134:$M$153,$G1476,月間集計シート!T$134:T$153)*AY$2</f>
        <v>0</v>
      </c>
    </row>
    <row r="1477" spans="1:51" ht="14.25" thickBot="1">
      <c r="A1477">
        <v>18</v>
      </c>
      <c r="B1477" s="120">
        <f t="shared" si="835"/>
        <v>0</v>
      </c>
      <c r="C1477" s="120" t="str">
        <f t="shared" si="836"/>
        <v/>
      </c>
      <c r="D1477" s="137"/>
      <c r="E1477" s="150" t="str">
        <f>工種!A24</f>
        <v>40102</v>
      </c>
      <c r="F1477" s="119" t="str">
        <f>工種!B24</f>
        <v>テスト：システムテスト実施</v>
      </c>
      <c r="G1477" s="116" t="str">
        <f t="shared" si="837"/>
        <v>040102</v>
      </c>
      <c r="H1477" s="88">
        <f t="shared" si="791"/>
        <v>0</v>
      </c>
      <c r="I1477" s="132"/>
      <c r="J1477" s="88">
        <f>SUMIF(月間集計シート!$M$29:$M$48,$G1477,月間集計シート!N$29:N$48)*J$2</f>
        <v>0</v>
      </c>
      <c r="K1477" s="88">
        <f>SUMIF(月間集計シート!$M$29:$M$48,$G1477,月間集計シート!O$29:O$48)*K$2</f>
        <v>0</v>
      </c>
      <c r="L1477" s="88">
        <f>SUMIF(月間集計シート!$M$29:$M$48,$G1477,月間集計シート!P$29:P$48)*L$2</f>
        <v>0</v>
      </c>
      <c r="M1477" s="88">
        <f>SUMIF(月間集計シート!$M$29:$M$48,$G1477,月間集計シート!Q$29:Q$48)*M$2</f>
        <v>0</v>
      </c>
      <c r="N1477" s="88">
        <f>SUMIF(月間集計シート!$M$29:$M$48,$G1477,月間集計シート!R$29:R$48)*N$2</f>
        <v>0</v>
      </c>
      <c r="O1477" s="88">
        <f>SUMIF(月間集計シート!$M$29:$M$48,$G1477,月間集計シート!S$29:S$48)*O$2</f>
        <v>0</v>
      </c>
      <c r="P1477" s="88">
        <f>SUMIF(月間集計シート!$M$29:$M$48,$G1477,月間集計シート!T$29:T$48)*P$2</f>
        <v>0</v>
      </c>
      <c r="Q1477" s="88">
        <f>SUMIF(月間集計シート!$M$50:$M$69,$G1477,月間集計シート!N$50:N$69)*Q$2</f>
        <v>0</v>
      </c>
      <c r="R1477" s="88">
        <f>SUMIF(月間集計シート!$M$50:$M$69,$G1477,月間集計シート!O$50:O$69)*R$2</f>
        <v>0</v>
      </c>
      <c r="S1477" s="88">
        <f>SUMIF(月間集計シート!$M$50:$M$69,$G1477,月間集計シート!P$50:P$69)*S$2</f>
        <v>0</v>
      </c>
      <c r="T1477" s="88">
        <f>SUMIF(月間集計シート!$M$50:$M$69,$G1477,月間集計シート!Q$50:Q$69)*T$2</f>
        <v>0</v>
      </c>
      <c r="U1477" s="88">
        <f>SUMIF(月間集計シート!$M$50:$M$69,$G1477,月間集計シート!R$50:R$69)*U$2</f>
        <v>0</v>
      </c>
      <c r="V1477" s="88">
        <f>SUMIF(月間集計シート!$M$50:$M$69,$G1477,月間集計シート!S$50:S$69)*V$2</f>
        <v>0</v>
      </c>
      <c r="W1477" s="88">
        <f>SUMIF(月間集計シート!$M$50:$M$69,$G1477,月間集計シート!T$50:T$69)*W$2</f>
        <v>0</v>
      </c>
      <c r="X1477" s="88">
        <f>SUMIF(月間集計シート!$M$71:$M$90,$G1477,月間集計シート!N$71:N$90)*X$2</f>
        <v>0</v>
      </c>
      <c r="Y1477" s="88">
        <f>SUMIF(月間集計シート!$M$71:$M$90,$G1477,月間集計シート!O$71:O$90)*Y$2</f>
        <v>0</v>
      </c>
      <c r="Z1477" s="88">
        <f>SUMIF(月間集計シート!$M$71:$M$90,$G1477,月間集計シート!P$71:P$90)*Z$2</f>
        <v>0</v>
      </c>
      <c r="AA1477" s="88">
        <f>SUMIF(月間集計シート!$M$71:$M$90,$G1477,月間集計シート!Q$71:Q$90)*AA$2</f>
        <v>0</v>
      </c>
      <c r="AB1477" s="88">
        <f>SUMIF(月間集計シート!$M$71:$M$90,$G1477,月間集計シート!R$71:R$90)*AB$2</f>
        <v>0</v>
      </c>
      <c r="AC1477" s="88">
        <f>SUMIF(月間集計シート!$M$71:$M$90,$G1477,月間集計シート!S$71:S$90)*AC$2</f>
        <v>0</v>
      </c>
      <c r="AD1477" s="88">
        <f>SUMIF(月間集計シート!$M$71:$M$90,$G1477,月間集計シート!T$71:T$90)*AD$2</f>
        <v>0</v>
      </c>
      <c r="AE1477" s="88">
        <f>SUMIF(月間集計シート!$M$92:$M$111,$G1477,月間集計シート!N$92:N$111)*AE$2</f>
        <v>0</v>
      </c>
      <c r="AF1477" s="88">
        <f>SUMIF(月間集計シート!$M$92:$M$111,$G1477,月間集計シート!O$92:O$111)*AF$2</f>
        <v>0</v>
      </c>
      <c r="AG1477" s="88">
        <f>SUMIF(月間集計シート!$M$92:$M$111,$G1477,月間集計シート!P$92:P$111)*AG$2</f>
        <v>0</v>
      </c>
      <c r="AH1477" s="88">
        <f>SUMIF(月間集計シート!$M$92:$M$111,$G1477,月間集計シート!Q$92:Q$111)*AH$2</f>
        <v>0</v>
      </c>
      <c r="AI1477" s="88">
        <f>SUMIF(月間集計シート!$M$92:$M$111,$G1477,月間集計シート!R$92:R$111)*AI$2</f>
        <v>0</v>
      </c>
      <c r="AJ1477" s="88">
        <f>SUMIF(月間集計シート!$M$92:$M$111,$G1477,月間集計シート!S$92:S$111)*AJ$2</f>
        <v>0</v>
      </c>
      <c r="AK1477" s="88">
        <f>SUMIF(月間集計シート!$M$92:$M$111,$G1477,月間集計シート!T$92:T$111)*AK$2</f>
        <v>0</v>
      </c>
      <c r="AL1477" s="88">
        <f>SUMIF(月間集計シート!$M$113:$M$132,$G1477,月間集計シート!N$113:N$132)*AL$2</f>
        <v>0</v>
      </c>
      <c r="AM1477" s="88">
        <f>SUMIF(月間集計シート!$M$113:$M$132,$G1477,月間集計シート!O$113:O$132)*AM$2</f>
        <v>0</v>
      </c>
      <c r="AN1477" s="88">
        <f>SUMIF(月間集計シート!$M$113:$M$132,$G1477,月間集計シート!P$113:P$132)*AN$2</f>
        <v>0</v>
      </c>
      <c r="AO1477" s="88">
        <f>SUMIF(月間集計シート!$M$113:$M$132,$G1477,月間集計シート!Q$113:Q$132)*AO$2</f>
        <v>0</v>
      </c>
      <c r="AP1477" s="88">
        <f>SUMIF(月間集計シート!$M$113:$M$132,$G1477,月間集計シート!R$113:R$132)*AP$2</f>
        <v>0</v>
      </c>
      <c r="AQ1477" s="88">
        <f>SUMIF(月間集計シート!$M$113:$M$132,$G1477,月間集計シート!S$113:S$132)*AQ$2</f>
        <v>0</v>
      </c>
      <c r="AR1477" s="88">
        <f>SUMIF(月間集計シート!$M$113:$M$132,$G1477,月間集計シート!T$113:T$132)*AR$2</f>
        <v>0</v>
      </c>
      <c r="AS1477" s="88">
        <f>SUMIF(月間集計シート!$M$134:$M$153,$G1477,月間集計シート!N$134:N$153)*AS$2</f>
        <v>0</v>
      </c>
      <c r="AT1477" s="88">
        <f>SUMIF(月間集計シート!$M$134:$M$153,$G1477,月間集計シート!O$134:O$153)*AT$2</f>
        <v>0</v>
      </c>
      <c r="AU1477" s="88">
        <f>SUMIF(月間集計シート!$M$134:$M$153,$G1477,月間集計シート!P$134:P$153)*AU$2</f>
        <v>0</v>
      </c>
      <c r="AV1477" s="88">
        <f>SUMIF(月間集計シート!$M$134:$M$153,$G1477,月間集計シート!Q$134:Q$153)*AV$2</f>
        <v>0</v>
      </c>
      <c r="AW1477" s="88">
        <f>SUMIF(月間集計シート!$M$134:$M$153,$G1477,月間集計シート!R$134:R$153)*AW$2</f>
        <v>0</v>
      </c>
      <c r="AX1477" s="88">
        <f>SUMIF(月間集計シート!$M$134:$M$153,$G1477,月間集計シート!S$134:S$153)*AX$2</f>
        <v>0</v>
      </c>
      <c r="AY1477" s="88">
        <f>SUMIF(月間集計シート!$M$134:$M$153,$G1477,月間集計シート!T$134:T$153)*AY$2</f>
        <v>0</v>
      </c>
    </row>
    <row r="1478" spans="1:51" ht="14.25" thickBot="1">
      <c r="A1478">
        <v>18</v>
      </c>
      <c r="B1478" s="120">
        <f t="shared" si="835"/>
        <v>0</v>
      </c>
      <c r="C1478" s="120" t="str">
        <f t="shared" si="836"/>
        <v/>
      </c>
      <c r="D1478" s="137"/>
      <c r="E1478" s="150" t="str">
        <f>工種!A25</f>
        <v>40103</v>
      </c>
      <c r="F1478" s="119" t="str">
        <f>工種!B25</f>
        <v>テスト：テスト計画書作成</v>
      </c>
      <c r="G1478" s="116" t="str">
        <f t="shared" si="837"/>
        <v>040103</v>
      </c>
      <c r="H1478" s="88">
        <f t="shared" si="791"/>
        <v>0</v>
      </c>
      <c r="I1478" s="132"/>
      <c r="J1478" s="88">
        <f>SUMIF(月間集計シート!$M$29:$M$48,$G1478,月間集計シート!N$29:N$48)*J$2</f>
        <v>0</v>
      </c>
      <c r="K1478" s="88">
        <f>SUMIF(月間集計シート!$M$29:$M$48,$G1478,月間集計シート!O$29:O$48)*K$2</f>
        <v>0</v>
      </c>
      <c r="L1478" s="88">
        <f>SUMIF(月間集計シート!$M$29:$M$48,$G1478,月間集計シート!P$29:P$48)*L$2</f>
        <v>0</v>
      </c>
      <c r="M1478" s="88">
        <f>SUMIF(月間集計シート!$M$29:$M$48,$G1478,月間集計シート!Q$29:Q$48)*M$2</f>
        <v>0</v>
      </c>
      <c r="N1478" s="88">
        <f>SUMIF(月間集計シート!$M$29:$M$48,$G1478,月間集計シート!R$29:R$48)*N$2</f>
        <v>0</v>
      </c>
      <c r="O1478" s="88">
        <f>SUMIF(月間集計シート!$M$29:$M$48,$G1478,月間集計シート!S$29:S$48)*O$2</f>
        <v>0</v>
      </c>
      <c r="P1478" s="88">
        <f>SUMIF(月間集計シート!$M$29:$M$48,$G1478,月間集計シート!T$29:T$48)*P$2</f>
        <v>0</v>
      </c>
      <c r="Q1478" s="88">
        <f>SUMIF(月間集計シート!$M$50:$M$69,$G1478,月間集計シート!N$50:N$69)*Q$2</f>
        <v>0</v>
      </c>
      <c r="R1478" s="88">
        <f>SUMIF(月間集計シート!$M$50:$M$69,$G1478,月間集計シート!O$50:O$69)*R$2</f>
        <v>0</v>
      </c>
      <c r="S1478" s="88">
        <f>SUMIF(月間集計シート!$M$50:$M$69,$G1478,月間集計シート!P$50:P$69)*S$2</f>
        <v>0</v>
      </c>
      <c r="T1478" s="88">
        <f>SUMIF(月間集計シート!$M$50:$M$69,$G1478,月間集計シート!Q$50:Q$69)*T$2</f>
        <v>0</v>
      </c>
      <c r="U1478" s="88">
        <f>SUMIF(月間集計シート!$M$50:$M$69,$G1478,月間集計シート!R$50:R$69)*U$2</f>
        <v>0</v>
      </c>
      <c r="V1478" s="88">
        <f>SUMIF(月間集計シート!$M$50:$M$69,$G1478,月間集計シート!S$50:S$69)*V$2</f>
        <v>0</v>
      </c>
      <c r="W1478" s="88">
        <f>SUMIF(月間集計シート!$M$50:$M$69,$G1478,月間集計シート!T$50:T$69)*W$2</f>
        <v>0</v>
      </c>
      <c r="X1478" s="88">
        <f>SUMIF(月間集計シート!$M$71:$M$90,$G1478,月間集計シート!N$71:N$90)*X$2</f>
        <v>0</v>
      </c>
      <c r="Y1478" s="88">
        <f>SUMIF(月間集計シート!$M$71:$M$90,$G1478,月間集計シート!O$71:O$90)*Y$2</f>
        <v>0</v>
      </c>
      <c r="Z1478" s="88">
        <f>SUMIF(月間集計シート!$M$71:$M$90,$G1478,月間集計シート!P$71:P$90)*Z$2</f>
        <v>0</v>
      </c>
      <c r="AA1478" s="88">
        <f>SUMIF(月間集計シート!$M$71:$M$90,$G1478,月間集計シート!Q$71:Q$90)*AA$2</f>
        <v>0</v>
      </c>
      <c r="AB1478" s="88">
        <f>SUMIF(月間集計シート!$M$71:$M$90,$G1478,月間集計シート!R$71:R$90)*AB$2</f>
        <v>0</v>
      </c>
      <c r="AC1478" s="88">
        <f>SUMIF(月間集計シート!$M$71:$M$90,$G1478,月間集計シート!S$71:S$90)*AC$2</f>
        <v>0</v>
      </c>
      <c r="AD1478" s="88">
        <f>SUMIF(月間集計シート!$M$71:$M$90,$G1478,月間集計シート!T$71:T$90)*AD$2</f>
        <v>0</v>
      </c>
      <c r="AE1478" s="88">
        <f>SUMIF(月間集計シート!$M$92:$M$111,$G1478,月間集計シート!N$92:N$111)*AE$2</f>
        <v>0</v>
      </c>
      <c r="AF1478" s="88">
        <f>SUMIF(月間集計シート!$M$92:$M$111,$G1478,月間集計シート!O$92:O$111)*AF$2</f>
        <v>0</v>
      </c>
      <c r="AG1478" s="88">
        <f>SUMIF(月間集計シート!$M$92:$M$111,$G1478,月間集計シート!P$92:P$111)*AG$2</f>
        <v>0</v>
      </c>
      <c r="AH1478" s="88">
        <f>SUMIF(月間集計シート!$M$92:$M$111,$G1478,月間集計シート!Q$92:Q$111)*AH$2</f>
        <v>0</v>
      </c>
      <c r="AI1478" s="88">
        <f>SUMIF(月間集計シート!$M$92:$M$111,$G1478,月間集計シート!R$92:R$111)*AI$2</f>
        <v>0</v>
      </c>
      <c r="AJ1478" s="88">
        <f>SUMIF(月間集計シート!$M$92:$M$111,$G1478,月間集計シート!S$92:S$111)*AJ$2</f>
        <v>0</v>
      </c>
      <c r="AK1478" s="88">
        <f>SUMIF(月間集計シート!$M$92:$M$111,$G1478,月間集計シート!T$92:T$111)*AK$2</f>
        <v>0</v>
      </c>
      <c r="AL1478" s="88">
        <f>SUMIF(月間集計シート!$M$113:$M$132,$G1478,月間集計シート!N$113:N$132)*AL$2</f>
        <v>0</v>
      </c>
      <c r="AM1478" s="88">
        <f>SUMIF(月間集計シート!$M$113:$M$132,$G1478,月間集計シート!O$113:O$132)*AM$2</f>
        <v>0</v>
      </c>
      <c r="AN1478" s="88">
        <f>SUMIF(月間集計シート!$M$113:$M$132,$G1478,月間集計シート!P$113:P$132)*AN$2</f>
        <v>0</v>
      </c>
      <c r="AO1478" s="88">
        <f>SUMIF(月間集計シート!$M$113:$M$132,$G1478,月間集計シート!Q$113:Q$132)*AO$2</f>
        <v>0</v>
      </c>
      <c r="AP1478" s="88">
        <f>SUMIF(月間集計シート!$M$113:$M$132,$G1478,月間集計シート!R$113:R$132)*AP$2</f>
        <v>0</v>
      </c>
      <c r="AQ1478" s="88">
        <f>SUMIF(月間集計シート!$M$113:$M$132,$G1478,月間集計シート!S$113:S$132)*AQ$2</f>
        <v>0</v>
      </c>
      <c r="AR1478" s="88">
        <f>SUMIF(月間集計シート!$M$113:$M$132,$G1478,月間集計シート!T$113:T$132)*AR$2</f>
        <v>0</v>
      </c>
      <c r="AS1478" s="88">
        <f>SUMIF(月間集計シート!$M$134:$M$153,$G1478,月間集計シート!N$134:N$153)*AS$2</f>
        <v>0</v>
      </c>
      <c r="AT1478" s="88">
        <f>SUMIF(月間集計シート!$M$134:$M$153,$G1478,月間集計シート!O$134:O$153)*AT$2</f>
        <v>0</v>
      </c>
      <c r="AU1478" s="88">
        <f>SUMIF(月間集計シート!$M$134:$M$153,$G1478,月間集計シート!P$134:P$153)*AU$2</f>
        <v>0</v>
      </c>
      <c r="AV1478" s="88">
        <f>SUMIF(月間集計シート!$M$134:$M$153,$G1478,月間集計シート!Q$134:Q$153)*AV$2</f>
        <v>0</v>
      </c>
      <c r="AW1478" s="88">
        <f>SUMIF(月間集計シート!$M$134:$M$153,$G1478,月間集計シート!R$134:R$153)*AW$2</f>
        <v>0</v>
      </c>
      <c r="AX1478" s="88">
        <f>SUMIF(月間集計シート!$M$134:$M$153,$G1478,月間集計シート!S$134:S$153)*AX$2</f>
        <v>0</v>
      </c>
      <c r="AY1478" s="88">
        <f>SUMIF(月間集計シート!$M$134:$M$153,$G1478,月間集計シート!T$134:T$153)*AY$2</f>
        <v>0</v>
      </c>
    </row>
    <row r="1479" spans="1:51" ht="14.25" thickBot="1">
      <c r="A1479">
        <v>18</v>
      </c>
      <c r="B1479" s="120">
        <f t="shared" si="835"/>
        <v>0</v>
      </c>
      <c r="C1479" s="120" t="str">
        <f t="shared" si="836"/>
        <v/>
      </c>
      <c r="D1479" s="137"/>
      <c r="E1479" s="150" t="str">
        <f>工種!A26</f>
        <v>40104</v>
      </c>
      <c r="F1479" s="119" t="str">
        <f>工種!B26</f>
        <v>テスト：結合テスト設計書作成</v>
      </c>
      <c r="G1479" s="116" t="str">
        <f t="shared" si="837"/>
        <v>040104</v>
      </c>
      <c r="H1479" s="88">
        <f t="shared" si="791"/>
        <v>0</v>
      </c>
      <c r="I1479" s="132"/>
      <c r="J1479" s="88">
        <f>SUMIF(月間集計シート!$M$29:$M$48,$G1479,月間集計シート!N$29:N$48)*J$2</f>
        <v>0</v>
      </c>
      <c r="K1479" s="88">
        <f>SUMIF(月間集計シート!$M$29:$M$48,$G1479,月間集計シート!O$29:O$48)*K$2</f>
        <v>0</v>
      </c>
      <c r="L1479" s="88">
        <f>SUMIF(月間集計シート!$M$29:$M$48,$G1479,月間集計シート!P$29:P$48)*L$2</f>
        <v>0</v>
      </c>
      <c r="M1479" s="88">
        <f>SUMIF(月間集計シート!$M$29:$M$48,$G1479,月間集計シート!Q$29:Q$48)*M$2</f>
        <v>0</v>
      </c>
      <c r="N1479" s="88">
        <f>SUMIF(月間集計シート!$M$29:$M$48,$G1479,月間集計シート!R$29:R$48)*N$2</f>
        <v>0</v>
      </c>
      <c r="O1479" s="88">
        <f>SUMIF(月間集計シート!$M$29:$M$48,$G1479,月間集計シート!S$29:S$48)*O$2</f>
        <v>0</v>
      </c>
      <c r="P1479" s="88">
        <f>SUMIF(月間集計シート!$M$29:$M$48,$G1479,月間集計シート!T$29:T$48)*P$2</f>
        <v>0</v>
      </c>
      <c r="Q1479" s="88">
        <f>SUMIF(月間集計シート!$M$50:$M$69,$G1479,月間集計シート!N$50:N$69)*Q$2</f>
        <v>0</v>
      </c>
      <c r="R1479" s="88">
        <f>SUMIF(月間集計シート!$M$50:$M$69,$G1479,月間集計シート!O$50:O$69)*R$2</f>
        <v>0</v>
      </c>
      <c r="S1479" s="88">
        <f>SUMIF(月間集計シート!$M$50:$M$69,$G1479,月間集計シート!P$50:P$69)*S$2</f>
        <v>0</v>
      </c>
      <c r="T1479" s="88">
        <f>SUMIF(月間集計シート!$M$50:$M$69,$G1479,月間集計シート!Q$50:Q$69)*T$2</f>
        <v>0</v>
      </c>
      <c r="U1479" s="88">
        <f>SUMIF(月間集計シート!$M$50:$M$69,$G1479,月間集計シート!R$50:R$69)*U$2</f>
        <v>0</v>
      </c>
      <c r="V1479" s="88">
        <f>SUMIF(月間集計シート!$M$50:$M$69,$G1479,月間集計シート!S$50:S$69)*V$2</f>
        <v>0</v>
      </c>
      <c r="W1479" s="88">
        <f>SUMIF(月間集計シート!$M$50:$M$69,$G1479,月間集計シート!T$50:T$69)*W$2</f>
        <v>0</v>
      </c>
      <c r="X1479" s="88">
        <f>SUMIF(月間集計シート!$M$71:$M$90,$G1479,月間集計シート!N$71:N$90)*X$2</f>
        <v>0</v>
      </c>
      <c r="Y1479" s="88">
        <f>SUMIF(月間集計シート!$M$71:$M$90,$G1479,月間集計シート!O$71:O$90)*Y$2</f>
        <v>0</v>
      </c>
      <c r="Z1479" s="88">
        <f>SUMIF(月間集計シート!$M$71:$M$90,$G1479,月間集計シート!P$71:P$90)*Z$2</f>
        <v>0</v>
      </c>
      <c r="AA1479" s="88">
        <f>SUMIF(月間集計シート!$M$71:$M$90,$G1479,月間集計シート!Q$71:Q$90)*AA$2</f>
        <v>0</v>
      </c>
      <c r="AB1479" s="88">
        <f>SUMIF(月間集計シート!$M$71:$M$90,$G1479,月間集計シート!R$71:R$90)*AB$2</f>
        <v>0</v>
      </c>
      <c r="AC1479" s="88">
        <f>SUMIF(月間集計シート!$M$71:$M$90,$G1479,月間集計シート!S$71:S$90)*AC$2</f>
        <v>0</v>
      </c>
      <c r="AD1479" s="88">
        <f>SUMIF(月間集計シート!$M$71:$M$90,$G1479,月間集計シート!T$71:T$90)*AD$2</f>
        <v>0</v>
      </c>
      <c r="AE1479" s="88">
        <f>SUMIF(月間集計シート!$M$92:$M$111,$G1479,月間集計シート!N$92:N$111)*AE$2</f>
        <v>0</v>
      </c>
      <c r="AF1479" s="88">
        <f>SUMIF(月間集計シート!$M$92:$M$111,$G1479,月間集計シート!O$92:O$111)*AF$2</f>
        <v>0</v>
      </c>
      <c r="AG1479" s="88">
        <f>SUMIF(月間集計シート!$M$92:$M$111,$G1479,月間集計シート!P$92:P$111)*AG$2</f>
        <v>0</v>
      </c>
      <c r="AH1479" s="88">
        <f>SUMIF(月間集計シート!$M$92:$M$111,$G1479,月間集計シート!Q$92:Q$111)*AH$2</f>
        <v>0</v>
      </c>
      <c r="AI1479" s="88">
        <f>SUMIF(月間集計シート!$M$92:$M$111,$G1479,月間集計シート!R$92:R$111)*AI$2</f>
        <v>0</v>
      </c>
      <c r="AJ1479" s="88">
        <f>SUMIF(月間集計シート!$M$92:$M$111,$G1479,月間集計シート!S$92:S$111)*AJ$2</f>
        <v>0</v>
      </c>
      <c r="AK1479" s="88">
        <f>SUMIF(月間集計シート!$M$92:$M$111,$G1479,月間集計シート!T$92:T$111)*AK$2</f>
        <v>0</v>
      </c>
      <c r="AL1479" s="88">
        <f>SUMIF(月間集計シート!$M$113:$M$132,$G1479,月間集計シート!N$113:N$132)*AL$2</f>
        <v>0</v>
      </c>
      <c r="AM1479" s="88">
        <f>SUMIF(月間集計シート!$M$113:$M$132,$G1479,月間集計シート!O$113:O$132)*AM$2</f>
        <v>0</v>
      </c>
      <c r="AN1479" s="88">
        <f>SUMIF(月間集計シート!$M$113:$M$132,$G1479,月間集計シート!P$113:P$132)*AN$2</f>
        <v>0</v>
      </c>
      <c r="AO1479" s="88">
        <f>SUMIF(月間集計シート!$M$113:$M$132,$G1479,月間集計シート!Q$113:Q$132)*AO$2</f>
        <v>0</v>
      </c>
      <c r="AP1479" s="88">
        <f>SUMIF(月間集計シート!$M$113:$M$132,$G1479,月間集計シート!R$113:R$132)*AP$2</f>
        <v>0</v>
      </c>
      <c r="AQ1479" s="88">
        <f>SUMIF(月間集計シート!$M$113:$M$132,$G1479,月間集計シート!S$113:S$132)*AQ$2</f>
        <v>0</v>
      </c>
      <c r="AR1479" s="88">
        <f>SUMIF(月間集計シート!$M$113:$M$132,$G1479,月間集計シート!T$113:T$132)*AR$2</f>
        <v>0</v>
      </c>
      <c r="AS1479" s="88">
        <f>SUMIF(月間集計シート!$M$134:$M$153,$G1479,月間集計シート!N$134:N$153)*AS$2</f>
        <v>0</v>
      </c>
      <c r="AT1479" s="88">
        <f>SUMIF(月間集計シート!$M$134:$M$153,$G1479,月間集計シート!O$134:O$153)*AT$2</f>
        <v>0</v>
      </c>
      <c r="AU1479" s="88">
        <f>SUMIF(月間集計シート!$M$134:$M$153,$G1479,月間集計シート!P$134:P$153)*AU$2</f>
        <v>0</v>
      </c>
      <c r="AV1479" s="88">
        <f>SUMIF(月間集計シート!$M$134:$M$153,$G1479,月間集計シート!Q$134:Q$153)*AV$2</f>
        <v>0</v>
      </c>
      <c r="AW1479" s="88">
        <f>SUMIF(月間集計シート!$M$134:$M$153,$G1479,月間集計シート!R$134:R$153)*AW$2</f>
        <v>0</v>
      </c>
      <c r="AX1479" s="88">
        <f>SUMIF(月間集計シート!$M$134:$M$153,$G1479,月間集計シート!S$134:S$153)*AX$2</f>
        <v>0</v>
      </c>
      <c r="AY1479" s="88">
        <f>SUMIF(月間集計シート!$M$134:$M$153,$G1479,月間集計シート!T$134:T$153)*AY$2</f>
        <v>0</v>
      </c>
    </row>
    <row r="1480" spans="1:51" ht="14.25" thickBot="1">
      <c r="A1480">
        <v>18</v>
      </c>
      <c r="B1480" s="120">
        <f t="shared" si="835"/>
        <v>0</v>
      </c>
      <c r="C1480" s="120" t="str">
        <f t="shared" si="836"/>
        <v/>
      </c>
      <c r="D1480" s="137"/>
      <c r="E1480" s="150" t="str">
        <f>工種!A27</f>
        <v>40105</v>
      </c>
      <c r="F1480" s="119" t="str">
        <f>工種!B27</f>
        <v>テスト：システムテスト設計書作成</v>
      </c>
      <c r="G1480" s="116" t="str">
        <f t="shared" si="837"/>
        <v>040105</v>
      </c>
      <c r="H1480" s="88">
        <f t="shared" si="791"/>
        <v>0</v>
      </c>
      <c r="I1480" s="132"/>
      <c r="J1480" s="88">
        <f>SUMIF(月間集計シート!$M$29:$M$48,$G1480,月間集計シート!N$29:N$48)*J$2</f>
        <v>0</v>
      </c>
      <c r="K1480" s="88">
        <f>SUMIF(月間集計シート!$M$29:$M$48,$G1480,月間集計シート!O$29:O$48)*K$2</f>
        <v>0</v>
      </c>
      <c r="L1480" s="88">
        <f>SUMIF(月間集計シート!$M$29:$M$48,$G1480,月間集計シート!P$29:P$48)*L$2</f>
        <v>0</v>
      </c>
      <c r="M1480" s="88">
        <f>SUMIF(月間集計シート!$M$29:$M$48,$G1480,月間集計シート!Q$29:Q$48)*M$2</f>
        <v>0</v>
      </c>
      <c r="N1480" s="88">
        <f>SUMIF(月間集計シート!$M$29:$M$48,$G1480,月間集計シート!R$29:R$48)*N$2</f>
        <v>0</v>
      </c>
      <c r="O1480" s="88">
        <f>SUMIF(月間集計シート!$M$29:$M$48,$G1480,月間集計シート!S$29:S$48)*O$2</f>
        <v>0</v>
      </c>
      <c r="P1480" s="88">
        <f>SUMIF(月間集計シート!$M$29:$M$48,$G1480,月間集計シート!T$29:T$48)*P$2</f>
        <v>0</v>
      </c>
      <c r="Q1480" s="88">
        <f>SUMIF(月間集計シート!$M$50:$M$69,$G1480,月間集計シート!N$50:N$69)*Q$2</f>
        <v>0</v>
      </c>
      <c r="R1480" s="88">
        <f>SUMIF(月間集計シート!$M$50:$M$69,$G1480,月間集計シート!O$50:O$69)*R$2</f>
        <v>0</v>
      </c>
      <c r="S1480" s="88">
        <f>SUMIF(月間集計シート!$M$50:$M$69,$G1480,月間集計シート!P$50:P$69)*S$2</f>
        <v>0</v>
      </c>
      <c r="T1480" s="88">
        <f>SUMIF(月間集計シート!$M$50:$M$69,$G1480,月間集計シート!Q$50:Q$69)*T$2</f>
        <v>0</v>
      </c>
      <c r="U1480" s="88">
        <f>SUMIF(月間集計シート!$M$50:$M$69,$G1480,月間集計シート!R$50:R$69)*U$2</f>
        <v>0</v>
      </c>
      <c r="V1480" s="88">
        <f>SUMIF(月間集計シート!$M$50:$M$69,$G1480,月間集計シート!S$50:S$69)*V$2</f>
        <v>0</v>
      </c>
      <c r="W1480" s="88">
        <f>SUMIF(月間集計シート!$M$50:$M$69,$G1480,月間集計シート!T$50:T$69)*W$2</f>
        <v>0</v>
      </c>
      <c r="X1480" s="88">
        <f>SUMIF(月間集計シート!$M$71:$M$90,$G1480,月間集計シート!N$71:N$90)*X$2</f>
        <v>0</v>
      </c>
      <c r="Y1480" s="88">
        <f>SUMIF(月間集計シート!$M$71:$M$90,$G1480,月間集計シート!O$71:O$90)*Y$2</f>
        <v>0</v>
      </c>
      <c r="Z1480" s="88">
        <f>SUMIF(月間集計シート!$M$71:$M$90,$G1480,月間集計シート!P$71:P$90)*Z$2</f>
        <v>0</v>
      </c>
      <c r="AA1480" s="88">
        <f>SUMIF(月間集計シート!$M$71:$M$90,$G1480,月間集計シート!Q$71:Q$90)*AA$2</f>
        <v>0</v>
      </c>
      <c r="AB1480" s="88">
        <f>SUMIF(月間集計シート!$M$71:$M$90,$G1480,月間集計シート!R$71:R$90)*AB$2</f>
        <v>0</v>
      </c>
      <c r="AC1480" s="88">
        <f>SUMIF(月間集計シート!$M$71:$M$90,$G1480,月間集計シート!S$71:S$90)*AC$2</f>
        <v>0</v>
      </c>
      <c r="AD1480" s="88">
        <f>SUMIF(月間集計シート!$M$71:$M$90,$G1480,月間集計シート!T$71:T$90)*AD$2</f>
        <v>0</v>
      </c>
      <c r="AE1480" s="88">
        <f>SUMIF(月間集計シート!$M$92:$M$111,$G1480,月間集計シート!N$92:N$111)*AE$2</f>
        <v>0</v>
      </c>
      <c r="AF1480" s="88">
        <f>SUMIF(月間集計シート!$M$92:$M$111,$G1480,月間集計シート!O$92:O$111)*AF$2</f>
        <v>0</v>
      </c>
      <c r="AG1480" s="88">
        <f>SUMIF(月間集計シート!$M$92:$M$111,$G1480,月間集計シート!P$92:P$111)*AG$2</f>
        <v>0</v>
      </c>
      <c r="AH1480" s="88">
        <f>SUMIF(月間集計シート!$M$92:$M$111,$G1480,月間集計シート!Q$92:Q$111)*AH$2</f>
        <v>0</v>
      </c>
      <c r="AI1480" s="88">
        <f>SUMIF(月間集計シート!$M$92:$M$111,$G1480,月間集計シート!R$92:R$111)*AI$2</f>
        <v>0</v>
      </c>
      <c r="AJ1480" s="88">
        <f>SUMIF(月間集計シート!$M$92:$M$111,$G1480,月間集計シート!S$92:S$111)*AJ$2</f>
        <v>0</v>
      </c>
      <c r="AK1480" s="88">
        <f>SUMIF(月間集計シート!$M$92:$M$111,$G1480,月間集計シート!T$92:T$111)*AK$2</f>
        <v>0</v>
      </c>
      <c r="AL1480" s="88">
        <f>SUMIF(月間集計シート!$M$113:$M$132,$G1480,月間集計シート!N$113:N$132)*AL$2</f>
        <v>0</v>
      </c>
      <c r="AM1480" s="88">
        <f>SUMIF(月間集計シート!$M$113:$M$132,$G1480,月間集計シート!O$113:O$132)*AM$2</f>
        <v>0</v>
      </c>
      <c r="AN1480" s="88">
        <f>SUMIF(月間集計シート!$M$113:$M$132,$G1480,月間集計シート!P$113:P$132)*AN$2</f>
        <v>0</v>
      </c>
      <c r="AO1480" s="88">
        <f>SUMIF(月間集計シート!$M$113:$M$132,$G1480,月間集計シート!Q$113:Q$132)*AO$2</f>
        <v>0</v>
      </c>
      <c r="AP1480" s="88">
        <f>SUMIF(月間集計シート!$M$113:$M$132,$G1480,月間集計シート!R$113:R$132)*AP$2</f>
        <v>0</v>
      </c>
      <c r="AQ1480" s="88">
        <f>SUMIF(月間集計シート!$M$113:$M$132,$G1480,月間集計シート!S$113:S$132)*AQ$2</f>
        <v>0</v>
      </c>
      <c r="AR1480" s="88">
        <f>SUMIF(月間集計シート!$M$113:$M$132,$G1480,月間集計シート!T$113:T$132)*AR$2</f>
        <v>0</v>
      </c>
      <c r="AS1480" s="88">
        <f>SUMIF(月間集計シート!$M$134:$M$153,$G1480,月間集計シート!N$134:N$153)*AS$2</f>
        <v>0</v>
      </c>
      <c r="AT1480" s="88">
        <f>SUMIF(月間集計シート!$M$134:$M$153,$G1480,月間集計シート!O$134:O$153)*AT$2</f>
        <v>0</v>
      </c>
      <c r="AU1480" s="88">
        <f>SUMIF(月間集計シート!$M$134:$M$153,$G1480,月間集計シート!P$134:P$153)*AU$2</f>
        <v>0</v>
      </c>
      <c r="AV1480" s="88">
        <f>SUMIF(月間集計シート!$M$134:$M$153,$G1480,月間集計シート!Q$134:Q$153)*AV$2</f>
        <v>0</v>
      </c>
      <c r="AW1480" s="88">
        <f>SUMIF(月間集計シート!$M$134:$M$153,$G1480,月間集計シート!R$134:R$153)*AW$2</f>
        <v>0</v>
      </c>
      <c r="AX1480" s="88">
        <f>SUMIF(月間集計シート!$M$134:$M$153,$G1480,月間集計シート!S$134:S$153)*AX$2</f>
        <v>0</v>
      </c>
      <c r="AY1480" s="88">
        <f>SUMIF(月間集計シート!$M$134:$M$153,$G1480,月間集計シート!T$134:T$153)*AY$2</f>
        <v>0</v>
      </c>
    </row>
    <row r="1481" spans="1:51" ht="14.25" thickBot="1">
      <c r="A1481">
        <v>18</v>
      </c>
      <c r="B1481" s="120">
        <f t="shared" si="835"/>
        <v>0</v>
      </c>
      <c r="C1481" s="120" t="str">
        <f t="shared" si="836"/>
        <v/>
      </c>
      <c r="D1481" s="137"/>
      <c r="E1481" s="150" t="str">
        <f>工種!A28</f>
        <v>40106</v>
      </c>
      <c r="F1481" s="119" t="str">
        <f>工種!B28</f>
        <v>テスト：総合評価設計書作成</v>
      </c>
      <c r="G1481" s="116" t="str">
        <f t="shared" si="837"/>
        <v>040106</v>
      </c>
      <c r="H1481" s="88">
        <f t="shared" si="791"/>
        <v>0</v>
      </c>
      <c r="I1481" s="132"/>
      <c r="J1481" s="88">
        <f>SUMIF(月間集計シート!$M$29:$M$48,$G1481,月間集計シート!N$29:N$48)*J$2</f>
        <v>0</v>
      </c>
      <c r="K1481" s="88">
        <f>SUMIF(月間集計シート!$M$29:$M$48,$G1481,月間集計シート!O$29:O$48)*K$2</f>
        <v>0</v>
      </c>
      <c r="L1481" s="88">
        <f>SUMIF(月間集計シート!$M$29:$M$48,$G1481,月間集計シート!P$29:P$48)*L$2</f>
        <v>0</v>
      </c>
      <c r="M1481" s="88">
        <f>SUMIF(月間集計シート!$M$29:$M$48,$G1481,月間集計シート!Q$29:Q$48)*M$2</f>
        <v>0</v>
      </c>
      <c r="N1481" s="88">
        <f>SUMIF(月間集計シート!$M$29:$M$48,$G1481,月間集計シート!R$29:R$48)*N$2</f>
        <v>0</v>
      </c>
      <c r="O1481" s="88">
        <f>SUMIF(月間集計シート!$M$29:$M$48,$G1481,月間集計シート!S$29:S$48)*O$2</f>
        <v>0</v>
      </c>
      <c r="P1481" s="88">
        <f>SUMIF(月間集計シート!$M$29:$M$48,$G1481,月間集計シート!T$29:T$48)*P$2</f>
        <v>0</v>
      </c>
      <c r="Q1481" s="88">
        <f>SUMIF(月間集計シート!$M$50:$M$69,$G1481,月間集計シート!N$50:N$69)*Q$2</f>
        <v>0</v>
      </c>
      <c r="R1481" s="88">
        <f>SUMIF(月間集計シート!$M$50:$M$69,$G1481,月間集計シート!O$50:O$69)*R$2</f>
        <v>0</v>
      </c>
      <c r="S1481" s="88">
        <f>SUMIF(月間集計シート!$M$50:$M$69,$G1481,月間集計シート!P$50:P$69)*S$2</f>
        <v>0</v>
      </c>
      <c r="T1481" s="88">
        <f>SUMIF(月間集計シート!$M$50:$M$69,$G1481,月間集計シート!Q$50:Q$69)*T$2</f>
        <v>0</v>
      </c>
      <c r="U1481" s="88">
        <f>SUMIF(月間集計シート!$M$50:$M$69,$G1481,月間集計シート!R$50:R$69)*U$2</f>
        <v>0</v>
      </c>
      <c r="V1481" s="88">
        <f>SUMIF(月間集計シート!$M$50:$M$69,$G1481,月間集計シート!S$50:S$69)*V$2</f>
        <v>0</v>
      </c>
      <c r="W1481" s="88">
        <f>SUMIF(月間集計シート!$M$50:$M$69,$G1481,月間集計シート!T$50:T$69)*W$2</f>
        <v>0</v>
      </c>
      <c r="X1481" s="88">
        <f>SUMIF(月間集計シート!$M$71:$M$90,$G1481,月間集計シート!N$71:N$90)*X$2</f>
        <v>0</v>
      </c>
      <c r="Y1481" s="88">
        <f>SUMIF(月間集計シート!$M$71:$M$90,$G1481,月間集計シート!O$71:O$90)*Y$2</f>
        <v>0</v>
      </c>
      <c r="Z1481" s="88">
        <f>SUMIF(月間集計シート!$M$71:$M$90,$G1481,月間集計シート!P$71:P$90)*Z$2</f>
        <v>0</v>
      </c>
      <c r="AA1481" s="88">
        <f>SUMIF(月間集計シート!$M$71:$M$90,$G1481,月間集計シート!Q$71:Q$90)*AA$2</f>
        <v>0</v>
      </c>
      <c r="AB1481" s="88">
        <f>SUMIF(月間集計シート!$M$71:$M$90,$G1481,月間集計シート!R$71:R$90)*AB$2</f>
        <v>0</v>
      </c>
      <c r="AC1481" s="88">
        <f>SUMIF(月間集計シート!$M$71:$M$90,$G1481,月間集計シート!S$71:S$90)*AC$2</f>
        <v>0</v>
      </c>
      <c r="AD1481" s="88">
        <f>SUMIF(月間集計シート!$M$71:$M$90,$G1481,月間集計シート!T$71:T$90)*AD$2</f>
        <v>0</v>
      </c>
      <c r="AE1481" s="88">
        <f>SUMIF(月間集計シート!$M$92:$M$111,$G1481,月間集計シート!N$92:N$111)*AE$2</f>
        <v>0</v>
      </c>
      <c r="AF1481" s="88">
        <f>SUMIF(月間集計シート!$M$92:$M$111,$G1481,月間集計シート!O$92:O$111)*AF$2</f>
        <v>0</v>
      </c>
      <c r="AG1481" s="88">
        <f>SUMIF(月間集計シート!$M$92:$M$111,$G1481,月間集計シート!P$92:P$111)*AG$2</f>
        <v>0</v>
      </c>
      <c r="AH1481" s="88">
        <f>SUMIF(月間集計シート!$M$92:$M$111,$G1481,月間集計シート!Q$92:Q$111)*AH$2</f>
        <v>0</v>
      </c>
      <c r="AI1481" s="88">
        <f>SUMIF(月間集計シート!$M$92:$M$111,$G1481,月間集計シート!R$92:R$111)*AI$2</f>
        <v>0</v>
      </c>
      <c r="AJ1481" s="88">
        <f>SUMIF(月間集計シート!$M$92:$M$111,$G1481,月間集計シート!S$92:S$111)*AJ$2</f>
        <v>0</v>
      </c>
      <c r="AK1481" s="88">
        <f>SUMIF(月間集計シート!$M$92:$M$111,$G1481,月間集計シート!T$92:T$111)*AK$2</f>
        <v>0</v>
      </c>
      <c r="AL1481" s="88">
        <f>SUMIF(月間集計シート!$M$113:$M$132,$G1481,月間集計シート!N$113:N$132)*AL$2</f>
        <v>0</v>
      </c>
      <c r="AM1481" s="88">
        <f>SUMIF(月間集計シート!$M$113:$M$132,$G1481,月間集計シート!O$113:O$132)*AM$2</f>
        <v>0</v>
      </c>
      <c r="AN1481" s="88">
        <f>SUMIF(月間集計シート!$M$113:$M$132,$G1481,月間集計シート!P$113:P$132)*AN$2</f>
        <v>0</v>
      </c>
      <c r="AO1481" s="88">
        <f>SUMIF(月間集計シート!$M$113:$M$132,$G1481,月間集計シート!Q$113:Q$132)*AO$2</f>
        <v>0</v>
      </c>
      <c r="AP1481" s="88">
        <f>SUMIF(月間集計シート!$M$113:$M$132,$G1481,月間集計シート!R$113:R$132)*AP$2</f>
        <v>0</v>
      </c>
      <c r="AQ1481" s="88">
        <f>SUMIF(月間集計シート!$M$113:$M$132,$G1481,月間集計シート!S$113:S$132)*AQ$2</f>
        <v>0</v>
      </c>
      <c r="AR1481" s="88">
        <f>SUMIF(月間集計シート!$M$113:$M$132,$G1481,月間集計シート!T$113:T$132)*AR$2</f>
        <v>0</v>
      </c>
      <c r="AS1481" s="88">
        <f>SUMIF(月間集計シート!$M$134:$M$153,$G1481,月間集計シート!N$134:N$153)*AS$2</f>
        <v>0</v>
      </c>
      <c r="AT1481" s="88">
        <f>SUMIF(月間集計シート!$M$134:$M$153,$G1481,月間集計シート!O$134:O$153)*AT$2</f>
        <v>0</v>
      </c>
      <c r="AU1481" s="88">
        <f>SUMIF(月間集計シート!$M$134:$M$153,$G1481,月間集計シート!P$134:P$153)*AU$2</f>
        <v>0</v>
      </c>
      <c r="AV1481" s="88">
        <f>SUMIF(月間集計シート!$M$134:$M$153,$G1481,月間集計シート!Q$134:Q$153)*AV$2</f>
        <v>0</v>
      </c>
      <c r="AW1481" s="88">
        <f>SUMIF(月間集計シート!$M$134:$M$153,$G1481,月間集計シート!R$134:R$153)*AW$2</f>
        <v>0</v>
      </c>
      <c r="AX1481" s="88">
        <f>SUMIF(月間集計シート!$M$134:$M$153,$G1481,月間集計シート!S$134:S$153)*AX$2</f>
        <v>0</v>
      </c>
      <c r="AY1481" s="88">
        <f>SUMIF(月間集計シート!$M$134:$M$153,$G1481,月間集計シート!T$134:T$153)*AY$2</f>
        <v>0</v>
      </c>
    </row>
    <row r="1482" spans="1:51" ht="14.25" thickBot="1">
      <c r="A1482">
        <v>18</v>
      </c>
      <c r="B1482" s="120">
        <f t="shared" si="835"/>
        <v>0</v>
      </c>
      <c r="C1482" s="120" t="str">
        <f t="shared" si="836"/>
        <v/>
      </c>
      <c r="D1482" s="137"/>
      <c r="E1482" s="150" t="str">
        <f>工種!A29</f>
        <v>40107</v>
      </c>
      <c r="F1482" s="119" t="str">
        <f>工種!B29</f>
        <v>テスト：評価報告書作成</v>
      </c>
      <c r="G1482" s="116" t="str">
        <f t="shared" si="837"/>
        <v>040107</v>
      </c>
      <c r="H1482" s="88">
        <f t="shared" si="791"/>
        <v>0</v>
      </c>
      <c r="I1482" s="132"/>
      <c r="J1482" s="88">
        <f>SUMIF(月間集計シート!$M$29:$M$48,$G1482,月間集計シート!N$29:N$48)*J$2</f>
        <v>0</v>
      </c>
      <c r="K1482" s="88">
        <f>SUMIF(月間集計シート!$M$29:$M$48,$G1482,月間集計シート!O$29:O$48)*K$2</f>
        <v>0</v>
      </c>
      <c r="L1482" s="88">
        <f>SUMIF(月間集計シート!$M$29:$M$48,$G1482,月間集計シート!P$29:P$48)*L$2</f>
        <v>0</v>
      </c>
      <c r="M1482" s="88">
        <f>SUMIF(月間集計シート!$M$29:$M$48,$G1482,月間集計シート!Q$29:Q$48)*M$2</f>
        <v>0</v>
      </c>
      <c r="N1482" s="88">
        <f>SUMIF(月間集計シート!$M$29:$M$48,$G1482,月間集計シート!R$29:R$48)*N$2</f>
        <v>0</v>
      </c>
      <c r="O1482" s="88">
        <f>SUMIF(月間集計シート!$M$29:$M$48,$G1482,月間集計シート!S$29:S$48)*O$2</f>
        <v>0</v>
      </c>
      <c r="P1482" s="88">
        <f>SUMIF(月間集計シート!$M$29:$M$48,$G1482,月間集計シート!T$29:T$48)*P$2</f>
        <v>0</v>
      </c>
      <c r="Q1482" s="88">
        <f>SUMIF(月間集計シート!$M$50:$M$69,$G1482,月間集計シート!N$50:N$69)*Q$2</f>
        <v>0</v>
      </c>
      <c r="R1482" s="88">
        <f>SUMIF(月間集計シート!$M$50:$M$69,$G1482,月間集計シート!O$50:O$69)*R$2</f>
        <v>0</v>
      </c>
      <c r="S1482" s="88">
        <f>SUMIF(月間集計シート!$M$50:$M$69,$G1482,月間集計シート!P$50:P$69)*S$2</f>
        <v>0</v>
      </c>
      <c r="T1482" s="88">
        <f>SUMIF(月間集計シート!$M$50:$M$69,$G1482,月間集計シート!Q$50:Q$69)*T$2</f>
        <v>0</v>
      </c>
      <c r="U1482" s="88">
        <f>SUMIF(月間集計シート!$M$50:$M$69,$G1482,月間集計シート!R$50:R$69)*U$2</f>
        <v>0</v>
      </c>
      <c r="V1482" s="88">
        <f>SUMIF(月間集計シート!$M$50:$M$69,$G1482,月間集計シート!S$50:S$69)*V$2</f>
        <v>0</v>
      </c>
      <c r="W1482" s="88">
        <f>SUMIF(月間集計シート!$M$50:$M$69,$G1482,月間集計シート!T$50:T$69)*W$2</f>
        <v>0</v>
      </c>
      <c r="X1482" s="88">
        <f>SUMIF(月間集計シート!$M$71:$M$90,$G1482,月間集計シート!N$71:N$90)*X$2</f>
        <v>0</v>
      </c>
      <c r="Y1482" s="88">
        <f>SUMIF(月間集計シート!$M$71:$M$90,$G1482,月間集計シート!O$71:O$90)*Y$2</f>
        <v>0</v>
      </c>
      <c r="Z1482" s="88">
        <f>SUMIF(月間集計シート!$M$71:$M$90,$G1482,月間集計シート!P$71:P$90)*Z$2</f>
        <v>0</v>
      </c>
      <c r="AA1482" s="88">
        <f>SUMIF(月間集計シート!$M$71:$M$90,$G1482,月間集計シート!Q$71:Q$90)*AA$2</f>
        <v>0</v>
      </c>
      <c r="AB1482" s="88">
        <f>SUMIF(月間集計シート!$M$71:$M$90,$G1482,月間集計シート!R$71:R$90)*AB$2</f>
        <v>0</v>
      </c>
      <c r="AC1482" s="88">
        <f>SUMIF(月間集計シート!$M$71:$M$90,$G1482,月間集計シート!S$71:S$90)*AC$2</f>
        <v>0</v>
      </c>
      <c r="AD1482" s="88">
        <f>SUMIF(月間集計シート!$M$71:$M$90,$G1482,月間集計シート!T$71:T$90)*AD$2</f>
        <v>0</v>
      </c>
      <c r="AE1482" s="88">
        <f>SUMIF(月間集計シート!$M$92:$M$111,$G1482,月間集計シート!N$92:N$111)*AE$2</f>
        <v>0</v>
      </c>
      <c r="AF1482" s="88">
        <f>SUMIF(月間集計シート!$M$92:$M$111,$G1482,月間集計シート!O$92:O$111)*AF$2</f>
        <v>0</v>
      </c>
      <c r="AG1482" s="88">
        <f>SUMIF(月間集計シート!$M$92:$M$111,$G1482,月間集計シート!P$92:P$111)*AG$2</f>
        <v>0</v>
      </c>
      <c r="AH1482" s="88">
        <f>SUMIF(月間集計シート!$M$92:$M$111,$G1482,月間集計シート!Q$92:Q$111)*AH$2</f>
        <v>0</v>
      </c>
      <c r="AI1482" s="88">
        <f>SUMIF(月間集計シート!$M$92:$M$111,$G1482,月間集計シート!R$92:R$111)*AI$2</f>
        <v>0</v>
      </c>
      <c r="AJ1482" s="88">
        <f>SUMIF(月間集計シート!$M$92:$M$111,$G1482,月間集計シート!S$92:S$111)*AJ$2</f>
        <v>0</v>
      </c>
      <c r="AK1482" s="88">
        <f>SUMIF(月間集計シート!$M$92:$M$111,$G1482,月間集計シート!T$92:T$111)*AK$2</f>
        <v>0</v>
      </c>
      <c r="AL1482" s="88">
        <f>SUMIF(月間集計シート!$M$113:$M$132,$G1482,月間集計シート!N$113:N$132)*AL$2</f>
        <v>0</v>
      </c>
      <c r="AM1482" s="88">
        <f>SUMIF(月間集計シート!$M$113:$M$132,$G1482,月間集計シート!O$113:O$132)*AM$2</f>
        <v>0</v>
      </c>
      <c r="AN1482" s="88">
        <f>SUMIF(月間集計シート!$M$113:$M$132,$G1482,月間集計シート!P$113:P$132)*AN$2</f>
        <v>0</v>
      </c>
      <c r="AO1482" s="88">
        <f>SUMIF(月間集計シート!$M$113:$M$132,$G1482,月間集計シート!Q$113:Q$132)*AO$2</f>
        <v>0</v>
      </c>
      <c r="AP1482" s="88">
        <f>SUMIF(月間集計シート!$M$113:$M$132,$G1482,月間集計シート!R$113:R$132)*AP$2</f>
        <v>0</v>
      </c>
      <c r="AQ1482" s="88">
        <f>SUMIF(月間集計シート!$M$113:$M$132,$G1482,月間集計シート!S$113:S$132)*AQ$2</f>
        <v>0</v>
      </c>
      <c r="AR1482" s="88">
        <f>SUMIF(月間集計シート!$M$113:$M$132,$G1482,月間集計シート!T$113:T$132)*AR$2</f>
        <v>0</v>
      </c>
      <c r="AS1482" s="88">
        <f>SUMIF(月間集計シート!$M$134:$M$153,$G1482,月間集計シート!N$134:N$153)*AS$2</f>
        <v>0</v>
      </c>
      <c r="AT1482" s="88">
        <f>SUMIF(月間集計シート!$M$134:$M$153,$G1482,月間集計シート!O$134:O$153)*AT$2</f>
        <v>0</v>
      </c>
      <c r="AU1482" s="88">
        <f>SUMIF(月間集計シート!$M$134:$M$153,$G1482,月間集計シート!P$134:P$153)*AU$2</f>
        <v>0</v>
      </c>
      <c r="AV1482" s="88">
        <f>SUMIF(月間集計シート!$M$134:$M$153,$G1482,月間集計シート!Q$134:Q$153)*AV$2</f>
        <v>0</v>
      </c>
      <c r="AW1482" s="88">
        <f>SUMIF(月間集計シート!$M$134:$M$153,$G1482,月間集計シート!R$134:R$153)*AW$2</f>
        <v>0</v>
      </c>
      <c r="AX1482" s="88">
        <f>SUMIF(月間集計シート!$M$134:$M$153,$G1482,月間集計シート!S$134:S$153)*AX$2</f>
        <v>0</v>
      </c>
      <c r="AY1482" s="88">
        <f>SUMIF(月間集計シート!$M$134:$M$153,$G1482,月間集計シート!T$134:T$153)*AY$2</f>
        <v>0</v>
      </c>
    </row>
    <row r="1483" spans="1:51" ht="14.25" thickBot="1">
      <c r="A1483">
        <v>18</v>
      </c>
      <c r="B1483" s="120">
        <f t="shared" si="835"/>
        <v>0</v>
      </c>
      <c r="C1483" s="120" t="str">
        <f t="shared" si="836"/>
        <v/>
      </c>
      <c r="D1483" s="137"/>
      <c r="E1483" s="150" t="str">
        <f>工種!A30</f>
        <v>40108</v>
      </c>
      <c r="F1483" s="119" t="str">
        <f>工種!B30</f>
        <v>テスト：総合評価実施</v>
      </c>
      <c r="G1483" s="116" t="str">
        <f t="shared" si="837"/>
        <v>040108</v>
      </c>
      <c r="H1483" s="88">
        <f t="shared" si="791"/>
        <v>0</v>
      </c>
      <c r="I1483" s="132"/>
      <c r="J1483" s="88">
        <f>SUMIF(月間集計シート!$M$29:$M$48,$G1483,月間集計シート!N$29:N$48)*J$2</f>
        <v>0</v>
      </c>
      <c r="K1483" s="88">
        <f>SUMIF(月間集計シート!$M$29:$M$48,$G1483,月間集計シート!O$29:O$48)*K$2</f>
        <v>0</v>
      </c>
      <c r="L1483" s="88">
        <f>SUMIF(月間集計シート!$M$29:$M$48,$G1483,月間集計シート!P$29:P$48)*L$2</f>
        <v>0</v>
      </c>
      <c r="M1483" s="88">
        <f>SUMIF(月間集計シート!$M$29:$M$48,$G1483,月間集計シート!Q$29:Q$48)*M$2</f>
        <v>0</v>
      </c>
      <c r="N1483" s="88">
        <f>SUMIF(月間集計シート!$M$29:$M$48,$G1483,月間集計シート!R$29:R$48)*N$2</f>
        <v>0</v>
      </c>
      <c r="O1483" s="88">
        <f>SUMIF(月間集計シート!$M$29:$M$48,$G1483,月間集計シート!S$29:S$48)*O$2</f>
        <v>0</v>
      </c>
      <c r="P1483" s="88">
        <f>SUMIF(月間集計シート!$M$29:$M$48,$G1483,月間集計シート!T$29:T$48)*P$2</f>
        <v>0</v>
      </c>
      <c r="Q1483" s="88">
        <f>SUMIF(月間集計シート!$M$50:$M$69,$G1483,月間集計シート!N$50:N$69)*Q$2</f>
        <v>0</v>
      </c>
      <c r="R1483" s="88">
        <f>SUMIF(月間集計シート!$M$50:$M$69,$G1483,月間集計シート!O$50:O$69)*R$2</f>
        <v>0</v>
      </c>
      <c r="S1483" s="88">
        <f>SUMIF(月間集計シート!$M$50:$M$69,$G1483,月間集計シート!P$50:P$69)*S$2</f>
        <v>0</v>
      </c>
      <c r="T1483" s="88">
        <f>SUMIF(月間集計シート!$M$50:$M$69,$G1483,月間集計シート!Q$50:Q$69)*T$2</f>
        <v>0</v>
      </c>
      <c r="U1483" s="88">
        <f>SUMIF(月間集計シート!$M$50:$M$69,$G1483,月間集計シート!R$50:R$69)*U$2</f>
        <v>0</v>
      </c>
      <c r="V1483" s="88">
        <f>SUMIF(月間集計シート!$M$50:$M$69,$G1483,月間集計シート!S$50:S$69)*V$2</f>
        <v>0</v>
      </c>
      <c r="W1483" s="88">
        <f>SUMIF(月間集計シート!$M$50:$M$69,$G1483,月間集計シート!T$50:T$69)*W$2</f>
        <v>0</v>
      </c>
      <c r="X1483" s="88">
        <f>SUMIF(月間集計シート!$M$71:$M$90,$G1483,月間集計シート!N$71:N$90)*X$2</f>
        <v>0</v>
      </c>
      <c r="Y1483" s="88">
        <f>SUMIF(月間集計シート!$M$71:$M$90,$G1483,月間集計シート!O$71:O$90)*Y$2</f>
        <v>0</v>
      </c>
      <c r="Z1483" s="88">
        <f>SUMIF(月間集計シート!$M$71:$M$90,$G1483,月間集計シート!P$71:P$90)*Z$2</f>
        <v>0</v>
      </c>
      <c r="AA1483" s="88">
        <f>SUMIF(月間集計シート!$M$71:$M$90,$G1483,月間集計シート!Q$71:Q$90)*AA$2</f>
        <v>0</v>
      </c>
      <c r="AB1483" s="88">
        <f>SUMIF(月間集計シート!$M$71:$M$90,$G1483,月間集計シート!R$71:R$90)*AB$2</f>
        <v>0</v>
      </c>
      <c r="AC1483" s="88">
        <f>SUMIF(月間集計シート!$M$71:$M$90,$G1483,月間集計シート!S$71:S$90)*AC$2</f>
        <v>0</v>
      </c>
      <c r="AD1483" s="88">
        <f>SUMIF(月間集計シート!$M$71:$M$90,$G1483,月間集計シート!T$71:T$90)*AD$2</f>
        <v>0</v>
      </c>
      <c r="AE1483" s="88">
        <f>SUMIF(月間集計シート!$M$92:$M$111,$G1483,月間集計シート!N$92:N$111)*AE$2</f>
        <v>0</v>
      </c>
      <c r="AF1483" s="88">
        <f>SUMIF(月間集計シート!$M$92:$M$111,$G1483,月間集計シート!O$92:O$111)*AF$2</f>
        <v>0</v>
      </c>
      <c r="AG1483" s="88">
        <f>SUMIF(月間集計シート!$M$92:$M$111,$G1483,月間集計シート!P$92:P$111)*AG$2</f>
        <v>0</v>
      </c>
      <c r="AH1483" s="88">
        <f>SUMIF(月間集計シート!$M$92:$M$111,$G1483,月間集計シート!Q$92:Q$111)*AH$2</f>
        <v>0</v>
      </c>
      <c r="AI1483" s="88">
        <f>SUMIF(月間集計シート!$M$92:$M$111,$G1483,月間集計シート!R$92:R$111)*AI$2</f>
        <v>0</v>
      </c>
      <c r="AJ1483" s="88">
        <f>SUMIF(月間集計シート!$M$92:$M$111,$G1483,月間集計シート!S$92:S$111)*AJ$2</f>
        <v>0</v>
      </c>
      <c r="AK1483" s="88">
        <f>SUMIF(月間集計シート!$M$92:$M$111,$G1483,月間集計シート!T$92:T$111)*AK$2</f>
        <v>0</v>
      </c>
      <c r="AL1483" s="88">
        <f>SUMIF(月間集計シート!$M$113:$M$132,$G1483,月間集計シート!N$113:N$132)*AL$2</f>
        <v>0</v>
      </c>
      <c r="AM1483" s="88">
        <f>SUMIF(月間集計シート!$M$113:$M$132,$G1483,月間集計シート!O$113:O$132)*AM$2</f>
        <v>0</v>
      </c>
      <c r="AN1483" s="88">
        <f>SUMIF(月間集計シート!$M$113:$M$132,$G1483,月間集計シート!P$113:P$132)*AN$2</f>
        <v>0</v>
      </c>
      <c r="AO1483" s="88">
        <f>SUMIF(月間集計シート!$M$113:$M$132,$G1483,月間集計シート!Q$113:Q$132)*AO$2</f>
        <v>0</v>
      </c>
      <c r="AP1483" s="88">
        <f>SUMIF(月間集計シート!$M$113:$M$132,$G1483,月間集計シート!R$113:R$132)*AP$2</f>
        <v>0</v>
      </c>
      <c r="AQ1483" s="88">
        <f>SUMIF(月間集計シート!$M$113:$M$132,$G1483,月間集計シート!S$113:S$132)*AQ$2</f>
        <v>0</v>
      </c>
      <c r="AR1483" s="88">
        <f>SUMIF(月間集計シート!$M$113:$M$132,$G1483,月間集計シート!T$113:T$132)*AR$2</f>
        <v>0</v>
      </c>
      <c r="AS1483" s="88">
        <f>SUMIF(月間集計シート!$M$134:$M$153,$G1483,月間集計シート!N$134:N$153)*AS$2</f>
        <v>0</v>
      </c>
      <c r="AT1483" s="88">
        <f>SUMIF(月間集計シート!$M$134:$M$153,$G1483,月間集計シート!O$134:O$153)*AT$2</f>
        <v>0</v>
      </c>
      <c r="AU1483" s="88">
        <f>SUMIF(月間集計シート!$M$134:$M$153,$G1483,月間集計シート!P$134:P$153)*AU$2</f>
        <v>0</v>
      </c>
      <c r="AV1483" s="88">
        <f>SUMIF(月間集計シート!$M$134:$M$153,$G1483,月間集計シート!Q$134:Q$153)*AV$2</f>
        <v>0</v>
      </c>
      <c r="AW1483" s="88">
        <f>SUMIF(月間集計シート!$M$134:$M$153,$G1483,月間集計シート!R$134:R$153)*AW$2</f>
        <v>0</v>
      </c>
      <c r="AX1483" s="88">
        <f>SUMIF(月間集計シート!$M$134:$M$153,$G1483,月間集計シート!S$134:S$153)*AX$2</f>
        <v>0</v>
      </c>
      <c r="AY1483" s="88">
        <f>SUMIF(月間集計シート!$M$134:$M$153,$G1483,月間集計シート!T$134:T$153)*AY$2</f>
        <v>0</v>
      </c>
    </row>
    <row r="1484" spans="1:51" ht="14.25" thickBot="1">
      <c r="A1484">
        <v>18</v>
      </c>
      <c r="B1484" s="120">
        <f t="shared" si="835"/>
        <v>0</v>
      </c>
      <c r="C1484" s="120" t="str">
        <f t="shared" si="836"/>
        <v/>
      </c>
      <c r="D1484" s="137"/>
      <c r="E1484" s="150" t="str">
        <f>工種!A31</f>
        <v>40109</v>
      </c>
      <c r="F1484" s="119" t="str">
        <f>工種!B31</f>
        <v>テスト：打合せ</v>
      </c>
      <c r="G1484" s="116" t="str">
        <f t="shared" si="837"/>
        <v>040109</v>
      </c>
      <c r="H1484" s="88">
        <f t="shared" si="791"/>
        <v>0</v>
      </c>
      <c r="I1484" s="132"/>
      <c r="J1484" s="88">
        <f>SUMIF(月間集計シート!$M$29:$M$48,$G1484,月間集計シート!N$29:N$48)*J$2</f>
        <v>0</v>
      </c>
      <c r="K1484" s="88">
        <f>SUMIF(月間集計シート!$M$29:$M$48,$G1484,月間集計シート!O$29:O$48)*K$2</f>
        <v>0</v>
      </c>
      <c r="L1484" s="88">
        <f>SUMIF(月間集計シート!$M$29:$M$48,$G1484,月間集計シート!P$29:P$48)*L$2</f>
        <v>0</v>
      </c>
      <c r="M1484" s="88">
        <f>SUMIF(月間集計シート!$M$29:$M$48,$G1484,月間集計シート!Q$29:Q$48)*M$2</f>
        <v>0</v>
      </c>
      <c r="N1484" s="88">
        <f>SUMIF(月間集計シート!$M$29:$M$48,$G1484,月間集計シート!R$29:R$48)*N$2</f>
        <v>0</v>
      </c>
      <c r="O1484" s="88">
        <f>SUMIF(月間集計シート!$M$29:$M$48,$G1484,月間集計シート!S$29:S$48)*O$2</f>
        <v>0</v>
      </c>
      <c r="P1484" s="88">
        <f>SUMIF(月間集計シート!$M$29:$M$48,$G1484,月間集計シート!T$29:T$48)*P$2</f>
        <v>0</v>
      </c>
      <c r="Q1484" s="88">
        <f>SUMIF(月間集計シート!$M$50:$M$69,$G1484,月間集計シート!N$50:N$69)*Q$2</f>
        <v>0</v>
      </c>
      <c r="R1484" s="88">
        <f>SUMIF(月間集計シート!$M$50:$M$69,$G1484,月間集計シート!O$50:O$69)*R$2</f>
        <v>0</v>
      </c>
      <c r="S1484" s="88">
        <f>SUMIF(月間集計シート!$M$50:$M$69,$G1484,月間集計シート!P$50:P$69)*S$2</f>
        <v>0</v>
      </c>
      <c r="T1484" s="88">
        <f>SUMIF(月間集計シート!$M$50:$M$69,$G1484,月間集計シート!Q$50:Q$69)*T$2</f>
        <v>0</v>
      </c>
      <c r="U1484" s="88">
        <f>SUMIF(月間集計シート!$M$50:$M$69,$G1484,月間集計シート!R$50:R$69)*U$2</f>
        <v>0</v>
      </c>
      <c r="V1484" s="88">
        <f>SUMIF(月間集計シート!$M$50:$M$69,$G1484,月間集計シート!S$50:S$69)*V$2</f>
        <v>0</v>
      </c>
      <c r="W1484" s="88">
        <f>SUMIF(月間集計シート!$M$50:$M$69,$G1484,月間集計シート!T$50:T$69)*W$2</f>
        <v>0</v>
      </c>
      <c r="X1484" s="88">
        <f>SUMIF(月間集計シート!$M$71:$M$90,$G1484,月間集計シート!N$71:N$90)*X$2</f>
        <v>0</v>
      </c>
      <c r="Y1484" s="88">
        <f>SUMIF(月間集計シート!$M$71:$M$90,$G1484,月間集計シート!O$71:O$90)*Y$2</f>
        <v>0</v>
      </c>
      <c r="Z1484" s="88">
        <f>SUMIF(月間集計シート!$M$71:$M$90,$G1484,月間集計シート!P$71:P$90)*Z$2</f>
        <v>0</v>
      </c>
      <c r="AA1484" s="88">
        <f>SUMIF(月間集計シート!$M$71:$M$90,$G1484,月間集計シート!Q$71:Q$90)*AA$2</f>
        <v>0</v>
      </c>
      <c r="AB1484" s="88">
        <f>SUMIF(月間集計シート!$M$71:$M$90,$G1484,月間集計シート!R$71:R$90)*AB$2</f>
        <v>0</v>
      </c>
      <c r="AC1484" s="88">
        <f>SUMIF(月間集計シート!$M$71:$M$90,$G1484,月間集計シート!S$71:S$90)*AC$2</f>
        <v>0</v>
      </c>
      <c r="AD1484" s="88">
        <f>SUMIF(月間集計シート!$M$71:$M$90,$G1484,月間集計シート!T$71:T$90)*AD$2</f>
        <v>0</v>
      </c>
      <c r="AE1484" s="88">
        <f>SUMIF(月間集計シート!$M$92:$M$111,$G1484,月間集計シート!N$92:N$111)*AE$2</f>
        <v>0</v>
      </c>
      <c r="AF1484" s="88">
        <f>SUMIF(月間集計シート!$M$92:$M$111,$G1484,月間集計シート!O$92:O$111)*AF$2</f>
        <v>0</v>
      </c>
      <c r="AG1484" s="88">
        <f>SUMIF(月間集計シート!$M$92:$M$111,$G1484,月間集計シート!P$92:P$111)*AG$2</f>
        <v>0</v>
      </c>
      <c r="AH1484" s="88">
        <f>SUMIF(月間集計シート!$M$92:$M$111,$G1484,月間集計シート!Q$92:Q$111)*AH$2</f>
        <v>0</v>
      </c>
      <c r="AI1484" s="88">
        <f>SUMIF(月間集計シート!$M$92:$M$111,$G1484,月間集計シート!R$92:R$111)*AI$2</f>
        <v>0</v>
      </c>
      <c r="AJ1484" s="88">
        <f>SUMIF(月間集計シート!$M$92:$M$111,$G1484,月間集計シート!S$92:S$111)*AJ$2</f>
        <v>0</v>
      </c>
      <c r="AK1484" s="88">
        <f>SUMIF(月間集計シート!$M$92:$M$111,$G1484,月間集計シート!T$92:T$111)*AK$2</f>
        <v>0</v>
      </c>
      <c r="AL1484" s="88">
        <f>SUMIF(月間集計シート!$M$113:$M$132,$G1484,月間集計シート!N$113:N$132)*AL$2</f>
        <v>0</v>
      </c>
      <c r="AM1484" s="88">
        <f>SUMIF(月間集計シート!$M$113:$M$132,$G1484,月間集計シート!O$113:O$132)*AM$2</f>
        <v>0</v>
      </c>
      <c r="AN1484" s="88">
        <f>SUMIF(月間集計シート!$M$113:$M$132,$G1484,月間集計シート!P$113:P$132)*AN$2</f>
        <v>0</v>
      </c>
      <c r="AO1484" s="88">
        <f>SUMIF(月間集計シート!$M$113:$M$132,$G1484,月間集計シート!Q$113:Q$132)*AO$2</f>
        <v>0</v>
      </c>
      <c r="AP1484" s="88">
        <f>SUMIF(月間集計シート!$M$113:$M$132,$G1484,月間集計シート!R$113:R$132)*AP$2</f>
        <v>0</v>
      </c>
      <c r="AQ1484" s="88">
        <f>SUMIF(月間集計シート!$M$113:$M$132,$G1484,月間集計シート!S$113:S$132)*AQ$2</f>
        <v>0</v>
      </c>
      <c r="AR1484" s="88">
        <f>SUMIF(月間集計シート!$M$113:$M$132,$G1484,月間集計シート!T$113:T$132)*AR$2</f>
        <v>0</v>
      </c>
      <c r="AS1484" s="88">
        <f>SUMIF(月間集計シート!$M$134:$M$153,$G1484,月間集計シート!N$134:N$153)*AS$2</f>
        <v>0</v>
      </c>
      <c r="AT1484" s="88">
        <f>SUMIF(月間集計シート!$M$134:$M$153,$G1484,月間集計シート!O$134:O$153)*AT$2</f>
        <v>0</v>
      </c>
      <c r="AU1484" s="88">
        <f>SUMIF(月間集計シート!$M$134:$M$153,$G1484,月間集計シート!P$134:P$153)*AU$2</f>
        <v>0</v>
      </c>
      <c r="AV1484" s="88">
        <f>SUMIF(月間集計シート!$M$134:$M$153,$G1484,月間集計シート!Q$134:Q$153)*AV$2</f>
        <v>0</v>
      </c>
      <c r="AW1484" s="88">
        <f>SUMIF(月間集計シート!$M$134:$M$153,$G1484,月間集計シート!R$134:R$153)*AW$2</f>
        <v>0</v>
      </c>
      <c r="AX1484" s="88">
        <f>SUMIF(月間集計シート!$M$134:$M$153,$G1484,月間集計シート!S$134:S$153)*AX$2</f>
        <v>0</v>
      </c>
      <c r="AY1484" s="88">
        <f>SUMIF(月間集計シート!$M$134:$M$153,$G1484,月間集計シート!T$134:T$153)*AY$2</f>
        <v>0</v>
      </c>
    </row>
    <row r="1485" spans="1:51" ht="14.25" thickBot="1">
      <c r="A1485">
        <v>18</v>
      </c>
      <c r="B1485" s="120">
        <f t="shared" si="835"/>
        <v>0</v>
      </c>
      <c r="C1485" s="120" t="str">
        <f t="shared" si="836"/>
        <v/>
      </c>
      <c r="D1485" s="137"/>
      <c r="E1485" s="150" t="str">
        <f>工種!A32</f>
        <v>40110</v>
      </c>
      <c r="F1485" s="119" t="str">
        <f>工種!B32</f>
        <v>テスト：レビュー</v>
      </c>
      <c r="G1485" s="116" t="str">
        <f t="shared" si="837"/>
        <v>040110</v>
      </c>
      <c r="H1485" s="88">
        <f t="shared" si="791"/>
        <v>0</v>
      </c>
      <c r="I1485" s="132"/>
      <c r="J1485" s="88">
        <f>SUMIF(月間集計シート!$M$29:$M$48,$G1485,月間集計シート!N$29:N$48)*J$2</f>
        <v>0</v>
      </c>
      <c r="K1485" s="88">
        <f>SUMIF(月間集計シート!$M$29:$M$48,$G1485,月間集計シート!O$29:O$48)*K$2</f>
        <v>0</v>
      </c>
      <c r="L1485" s="88">
        <f>SUMIF(月間集計シート!$M$29:$M$48,$G1485,月間集計シート!P$29:P$48)*L$2</f>
        <v>0</v>
      </c>
      <c r="M1485" s="88">
        <f>SUMIF(月間集計シート!$M$29:$M$48,$G1485,月間集計シート!Q$29:Q$48)*M$2</f>
        <v>0</v>
      </c>
      <c r="N1485" s="88">
        <f>SUMIF(月間集計シート!$M$29:$M$48,$G1485,月間集計シート!R$29:R$48)*N$2</f>
        <v>0</v>
      </c>
      <c r="O1485" s="88">
        <f>SUMIF(月間集計シート!$M$29:$M$48,$G1485,月間集計シート!S$29:S$48)*O$2</f>
        <v>0</v>
      </c>
      <c r="P1485" s="88">
        <f>SUMIF(月間集計シート!$M$29:$M$48,$G1485,月間集計シート!T$29:T$48)*P$2</f>
        <v>0</v>
      </c>
      <c r="Q1485" s="88">
        <f>SUMIF(月間集計シート!$M$50:$M$69,$G1485,月間集計シート!N$50:N$69)*Q$2</f>
        <v>0</v>
      </c>
      <c r="R1485" s="88">
        <f>SUMIF(月間集計シート!$M$50:$M$69,$G1485,月間集計シート!O$50:O$69)*R$2</f>
        <v>0</v>
      </c>
      <c r="S1485" s="88">
        <f>SUMIF(月間集計シート!$M$50:$M$69,$G1485,月間集計シート!P$50:P$69)*S$2</f>
        <v>0</v>
      </c>
      <c r="T1485" s="88">
        <f>SUMIF(月間集計シート!$M$50:$M$69,$G1485,月間集計シート!Q$50:Q$69)*T$2</f>
        <v>0</v>
      </c>
      <c r="U1485" s="88">
        <f>SUMIF(月間集計シート!$M$50:$M$69,$G1485,月間集計シート!R$50:R$69)*U$2</f>
        <v>0</v>
      </c>
      <c r="V1485" s="88">
        <f>SUMIF(月間集計シート!$M$50:$M$69,$G1485,月間集計シート!S$50:S$69)*V$2</f>
        <v>0</v>
      </c>
      <c r="W1485" s="88">
        <f>SUMIF(月間集計シート!$M$50:$M$69,$G1485,月間集計シート!T$50:T$69)*W$2</f>
        <v>0</v>
      </c>
      <c r="X1485" s="88">
        <f>SUMIF(月間集計シート!$M$71:$M$90,$G1485,月間集計シート!N$71:N$90)*X$2</f>
        <v>0</v>
      </c>
      <c r="Y1485" s="88">
        <f>SUMIF(月間集計シート!$M$71:$M$90,$G1485,月間集計シート!O$71:O$90)*Y$2</f>
        <v>0</v>
      </c>
      <c r="Z1485" s="88">
        <f>SUMIF(月間集計シート!$M$71:$M$90,$G1485,月間集計シート!P$71:P$90)*Z$2</f>
        <v>0</v>
      </c>
      <c r="AA1485" s="88">
        <f>SUMIF(月間集計シート!$M$71:$M$90,$G1485,月間集計シート!Q$71:Q$90)*AA$2</f>
        <v>0</v>
      </c>
      <c r="AB1485" s="88">
        <f>SUMIF(月間集計シート!$M$71:$M$90,$G1485,月間集計シート!R$71:R$90)*AB$2</f>
        <v>0</v>
      </c>
      <c r="AC1485" s="88">
        <f>SUMIF(月間集計シート!$M$71:$M$90,$G1485,月間集計シート!S$71:S$90)*AC$2</f>
        <v>0</v>
      </c>
      <c r="AD1485" s="88">
        <f>SUMIF(月間集計シート!$M$71:$M$90,$G1485,月間集計シート!T$71:T$90)*AD$2</f>
        <v>0</v>
      </c>
      <c r="AE1485" s="88">
        <f>SUMIF(月間集計シート!$M$92:$M$111,$G1485,月間集計シート!N$92:N$111)*AE$2</f>
        <v>0</v>
      </c>
      <c r="AF1485" s="88">
        <f>SUMIF(月間集計シート!$M$92:$M$111,$G1485,月間集計シート!O$92:O$111)*AF$2</f>
        <v>0</v>
      </c>
      <c r="AG1485" s="88">
        <f>SUMIF(月間集計シート!$M$92:$M$111,$G1485,月間集計シート!P$92:P$111)*AG$2</f>
        <v>0</v>
      </c>
      <c r="AH1485" s="88">
        <f>SUMIF(月間集計シート!$M$92:$M$111,$G1485,月間集計シート!Q$92:Q$111)*AH$2</f>
        <v>0</v>
      </c>
      <c r="AI1485" s="88">
        <f>SUMIF(月間集計シート!$M$92:$M$111,$G1485,月間集計シート!R$92:R$111)*AI$2</f>
        <v>0</v>
      </c>
      <c r="AJ1485" s="88">
        <f>SUMIF(月間集計シート!$M$92:$M$111,$G1485,月間集計シート!S$92:S$111)*AJ$2</f>
        <v>0</v>
      </c>
      <c r="AK1485" s="88">
        <f>SUMIF(月間集計シート!$M$92:$M$111,$G1485,月間集計シート!T$92:T$111)*AK$2</f>
        <v>0</v>
      </c>
      <c r="AL1485" s="88">
        <f>SUMIF(月間集計シート!$M$113:$M$132,$G1485,月間集計シート!N$113:N$132)*AL$2</f>
        <v>0</v>
      </c>
      <c r="AM1485" s="88">
        <f>SUMIF(月間集計シート!$M$113:$M$132,$G1485,月間集計シート!O$113:O$132)*AM$2</f>
        <v>0</v>
      </c>
      <c r="AN1485" s="88">
        <f>SUMIF(月間集計シート!$M$113:$M$132,$G1485,月間集計シート!P$113:P$132)*AN$2</f>
        <v>0</v>
      </c>
      <c r="AO1485" s="88">
        <f>SUMIF(月間集計シート!$M$113:$M$132,$G1485,月間集計シート!Q$113:Q$132)*AO$2</f>
        <v>0</v>
      </c>
      <c r="AP1485" s="88">
        <f>SUMIF(月間集計シート!$M$113:$M$132,$G1485,月間集計シート!R$113:R$132)*AP$2</f>
        <v>0</v>
      </c>
      <c r="AQ1485" s="88">
        <f>SUMIF(月間集計シート!$M$113:$M$132,$G1485,月間集計シート!S$113:S$132)*AQ$2</f>
        <v>0</v>
      </c>
      <c r="AR1485" s="88">
        <f>SUMIF(月間集計シート!$M$113:$M$132,$G1485,月間集計シート!T$113:T$132)*AR$2</f>
        <v>0</v>
      </c>
      <c r="AS1485" s="88">
        <f>SUMIF(月間集計シート!$M$134:$M$153,$G1485,月間集計シート!N$134:N$153)*AS$2</f>
        <v>0</v>
      </c>
      <c r="AT1485" s="88">
        <f>SUMIF(月間集計シート!$M$134:$M$153,$G1485,月間集計シート!O$134:O$153)*AT$2</f>
        <v>0</v>
      </c>
      <c r="AU1485" s="88">
        <f>SUMIF(月間集計シート!$M$134:$M$153,$G1485,月間集計シート!P$134:P$153)*AU$2</f>
        <v>0</v>
      </c>
      <c r="AV1485" s="88">
        <f>SUMIF(月間集計シート!$M$134:$M$153,$G1485,月間集計シート!Q$134:Q$153)*AV$2</f>
        <v>0</v>
      </c>
      <c r="AW1485" s="88">
        <f>SUMIF(月間集計シート!$M$134:$M$153,$G1485,月間集計シート!R$134:R$153)*AW$2</f>
        <v>0</v>
      </c>
      <c r="AX1485" s="88">
        <f>SUMIF(月間集計シート!$M$134:$M$153,$G1485,月間集計シート!S$134:S$153)*AX$2</f>
        <v>0</v>
      </c>
      <c r="AY1485" s="88">
        <f>SUMIF(月間集計シート!$M$134:$M$153,$G1485,月間集計シート!T$134:T$153)*AY$2</f>
        <v>0</v>
      </c>
    </row>
    <row r="1486" spans="1:51" ht="14.25" thickBot="1">
      <c r="A1486">
        <v>18</v>
      </c>
      <c r="B1486" s="120">
        <f t="shared" si="835"/>
        <v>0</v>
      </c>
      <c r="C1486" s="120" t="str">
        <f t="shared" si="836"/>
        <v/>
      </c>
      <c r="D1486" s="137"/>
      <c r="E1486" s="150" t="str">
        <f>工種!A33</f>
        <v>40111</v>
      </c>
      <c r="F1486" s="119" t="str">
        <f>工種!B33</f>
        <v>テスト：PG修正（手戻り分）</v>
      </c>
      <c r="G1486" s="116" t="str">
        <f t="shared" si="837"/>
        <v>040111</v>
      </c>
      <c r="H1486" s="88">
        <f t="shared" si="791"/>
        <v>0</v>
      </c>
      <c r="I1486" s="132"/>
      <c r="J1486" s="88">
        <f>SUMIF(月間集計シート!$M$29:$M$48,$G1486,月間集計シート!N$29:N$48)*J$2</f>
        <v>0</v>
      </c>
      <c r="K1486" s="88">
        <f>SUMIF(月間集計シート!$M$29:$M$48,$G1486,月間集計シート!O$29:O$48)*K$2</f>
        <v>0</v>
      </c>
      <c r="L1486" s="88">
        <f>SUMIF(月間集計シート!$M$29:$M$48,$G1486,月間集計シート!P$29:P$48)*L$2</f>
        <v>0</v>
      </c>
      <c r="M1486" s="88">
        <f>SUMIF(月間集計シート!$M$29:$M$48,$G1486,月間集計シート!Q$29:Q$48)*M$2</f>
        <v>0</v>
      </c>
      <c r="N1486" s="88">
        <f>SUMIF(月間集計シート!$M$29:$M$48,$G1486,月間集計シート!R$29:R$48)*N$2</f>
        <v>0</v>
      </c>
      <c r="O1486" s="88">
        <f>SUMIF(月間集計シート!$M$29:$M$48,$G1486,月間集計シート!S$29:S$48)*O$2</f>
        <v>0</v>
      </c>
      <c r="P1486" s="88">
        <f>SUMIF(月間集計シート!$M$29:$M$48,$G1486,月間集計シート!T$29:T$48)*P$2</f>
        <v>0</v>
      </c>
      <c r="Q1486" s="88">
        <f>SUMIF(月間集計シート!$M$50:$M$69,$G1486,月間集計シート!N$50:N$69)*Q$2</f>
        <v>0</v>
      </c>
      <c r="R1486" s="88">
        <f>SUMIF(月間集計シート!$M$50:$M$69,$G1486,月間集計シート!O$50:O$69)*R$2</f>
        <v>0</v>
      </c>
      <c r="S1486" s="88">
        <f>SUMIF(月間集計シート!$M$50:$M$69,$G1486,月間集計シート!P$50:P$69)*S$2</f>
        <v>0</v>
      </c>
      <c r="T1486" s="88">
        <f>SUMIF(月間集計シート!$M$50:$M$69,$G1486,月間集計シート!Q$50:Q$69)*T$2</f>
        <v>0</v>
      </c>
      <c r="U1486" s="88">
        <f>SUMIF(月間集計シート!$M$50:$M$69,$G1486,月間集計シート!R$50:R$69)*U$2</f>
        <v>0</v>
      </c>
      <c r="V1486" s="88">
        <f>SUMIF(月間集計シート!$M$50:$M$69,$G1486,月間集計シート!S$50:S$69)*V$2</f>
        <v>0</v>
      </c>
      <c r="W1486" s="88">
        <f>SUMIF(月間集計シート!$M$50:$M$69,$G1486,月間集計シート!T$50:T$69)*W$2</f>
        <v>0</v>
      </c>
      <c r="X1486" s="88">
        <f>SUMIF(月間集計シート!$M$71:$M$90,$G1486,月間集計シート!N$71:N$90)*X$2</f>
        <v>0</v>
      </c>
      <c r="Y1486" s="88">
        <f>SUMIF(月間集計シート!$M$71:$M$90,$G1486,月間集計シート!O$71:O$90)*Y$2</f>
        <v>0</v>
      </c>
      <c r="Z1486" s="88">
        <f>SUMIF(月間集計シート!$M$71:$M$90,$G1486,月間集計シート!P$71:P$90)*Z$2</f>
        <v>0</v>
      </c>
      <c r="AA1486" s="88">
        <f>SUMIF(月間集計シート!$M$71:$M$90,$G1486,月間集計シート!Q$71:Q$90)*AA$2</f>
        <v>0</v>
      </c>
      <c r="AB1486" s="88">
        <f>SUMIF(月間集計シート!$M$71:$M$90,$G1486,月間集計シート!R$71:R$90)*AB$2</f>
        <v>0</v>
      </c>
      <c r="AC1486" s="88">
        <f>SUMIF(月間集計シート!$M$71:$M$90,$G1486,月間集計シート!S$71:S$90)*AC$2</f>
        <v>0</v>
      </c>
      <c r="AD1486" s="88">
        <f>SUMIF(月間集計シート!$M$71:$M$90,$G1486,月間集計シート!T$71:T$90)*AD$2</f>
        <v>0</v>
      </c>
      <c r="AE1486" s="88">
        <f>SUMIF(月間集計シート!$M$92:$M$111,$G1486,月間集計シート!N$92:N$111)*AE$2</f>
        <v>0</v>
      </c>
      <c r="AF1486" s="88">
        <f>SUMIF(月間集計シート!$M$92:$M$111,$G1486,月間集計シート!O$92:O$111)*AF$2</f>
        <v>0</v>
      </c>
      <c r="AG1486" s="88">
        <f>SUMIF(月間集計シート!$M$92:$M$111,$G1486,月間集計シート!P$92:P$111)*AG$2</f>
        <v>0</v>
      </c>
      <c r="AH1486" s="88">
        <f>SUMIF(月間集計シート!$M$92:$M$111,$G1486,月間集計シート!Q$92:Q$111)*AH$2</f>
        <v>0</v>
      </c>
      <c r="AI1486" s="88">
        <f>SUMIF(月間集計シート!$M$92:$M$111,$G1486,月間集計シート!R$92:R$111)*AI$2</f>
        <v>0</v>
      </c>
      <c r="AJ1486" s="88">
        <f>SUMIF(月間集計シート!$M$92:$M$111,$G1486,月間集計シート!S$92:S$111)*AJ$2</f>
        <v>0</v>
      </c>
      <c r="AK1486" s="88">
        <f>SUMIF(月間集計シート!$M$92:$M$111,$G1486,月間集計シート!T$92:T$111)*AK$2</f>
        <v>0</v>
      </c>
      <c r="AL1486" s="88">
        <f>SUMIF(月間集計シート!$M$113:$M$132,$G1486,月間集計シート!N$113:N$132)*AL$2</f>
        <v>0</v>
      </c>
      <c r="AM1486" s="88">
        <f>SUMIF(月間集計シート!$M$113:$M$132,$G1486,月間集計シート!O$113:O$132)*AM$2</f>
        <v>0</v>
      </c>
      <c r="AN1486" s="88">
        <f>SUMIF(月間集計シート!$M$113:$M$132,$G1486,月間集計シート!P$113:P$132)*AN$2</f>
        <v>0</v>
      </c>
      <c r="AO1486" s="88">
        <f>SUMIF(月間集計シート!$M$113:$M$132,$G1486,月間集計シート!Q$113:Q$132)*AO$2</f>
        <v>0</v>
      </c>
      <c r="AP1486" s="88">
        <f>SUMIF(月間集計シート!$M$113:$M$132,$G1486,月間集計シート!R$113:R$132)*AP$2</f>
        <v>0</v>
      </c>
      <c r="AQ1486" s="88">
        <f>SUMIF(月間集計シート!$M$113:$M$132,$G1486,月間集計シート!S$113:S$132)*AQ$2</f>
        <v>0</v>
      </c>
      <c r="AR1486" s="88">
        <f>SUMIF(月間集計シート!$M$113:$M$132,$G1486,月間集計シート!T$113:T$132)*AR$2</f>
        <v>0</v>
      </c>
      <c r="AS1486" s="88">
        <f>SUMIF(月間集計シート!$M$134:$M$153,$G1486,月間集計シート!N$134:N$153)*AS$2</f>
        <v>0</v>
      </c>
      <c r="AT1486" s="88">
        <f>SUMIF(月間集計シート!$M$134:$M$153,$G1486,月間集計シート!O$134:O$153)*AT$2</f>
        <v>0</v>
      </c>
      <c r="AU1486" s="88">
        <f>SUMIF(月間集計シート!$M$134:$M$153,$G1486,月間集計シート!P$134:P$153)*AU$2</f>
        <v>0</v>
      </c>
      <c r="AV1486" s="88">
        <f>SUMIF(月間集計シート!$M$134:$M$153,$G1486,月間集計シート!Q$134:Q$153)*AV$2</f>
        <v>0</v>
      </c>
      <c r="AW1486" s="88">
        <f>SUMIF(月間集計シート!$M$134:$M$153,$G1486,月間集計シート!R$134:R$153)*AW$2</f>
        <v>0</v>
      </c>
      <c r="AX1486" s="88">
        <f>SUMIF(月間集計シート!$M$134:$M$153,$G1486,月間集計シート!S$134:S$153)*AX$2</f>
        <v>0</v>
      </c>
      <c r="AY1486" s="88">
        <f>SUMIF(月間集計シート!$M$134:$M$153,$G1486,月間集計シート!T$134:T$153)*AY$2</f>
        <v>0</v>
      </c>
    </row>
    <row r="1487" spans="1:51" ht="14.25" thickBot="1">
      <c r="A1487">
        <v>18</v>
      </c>
      <c r="B1487" s="120">
        <f t="shared" si="835"/>
        <v>0</v>
      </c>
      <c r="C1487" s="120" t="str">
        <f t="shared" si="836"/>
        <v/>
      </c>
      <c r="D1487" s="137"/>
      <c r="E1487" s="150" t="str">
        <f>工種!A34</f>
        <v>40112</v>
      </c>
      <c r="F1487" s="119" t="str">
        <f>工種!B34</f>
        <v>テスト：再テスト（手戻り分）</v>
      </c>
      <c r="G1487" s="116" t="str">
        <f t="shared" si="837"/>
        <v>040112</v>
      </c>
      <c r="H1487" s="88">
        <f t="shared" si="791"/>
        <v>0</v>
      </c>
      <c r="I1487" s="132"/>
      <c r="J1487" s="88">
        <f>SUMIF(月間集計シート!$M$29:$M$48,$G1487,月間集計シート!N$29:N$48)*J$2</f>
        <v>0</v>
      </c>
      <c r="K1487" s="88">
        <f>SUMIF(月間集計シート!$M$29:$M$48,$G1487,月間集計シート!O$29:O$48)*K$2</f>
        <v>0</v>
      </c>
      <c r="L1487" s="88">
        <f>SUMIF(月間集計シート!$M$29:$M$48,$G1487,月間集計シート!P$29:P$48)*L$2</f>
        <v>0</v>
      </c>
      <c r="M1487" s="88">
        <f>SUMIF(月間集計シート!$M$29:$M$48,$G1487,月間集計シート!Q$29:Q$48)*M$2</f>
        <v>0</v>
      </c>
      <c r="N1487" s="88">
        <f>SUMIF(月間集計シート!$M$29:$M$48,$G1487,月間集計シート!R$29:R$48)*N$2</f>
        <v>0</v>
      </c>
      <c r="O1487" s="88">
        <f>SUMIF(月間集計シート!$M$29:$M$48,$G1487,月間集計シート!S$29:S$48)*O$2</f>
        <v>0</v>
      </c>
      <c r="P1487" s="88">
        <f>SUMIF(月間集計シート!$M$29:$M$48,$G1487,月間集計シート!T$29:T$48)*P$2</f>
        <v>0</v>
      </c>
      <c r="Q1487" s="88">
        <f>SUMIF(月間集計シート!$M$50:$M$69,$G1487,月間集計シート!N$50:N$69)*Q$2</f>
        <v>0</v>
      </c>
      <c r="R1487" s="88">
        <f>SUMIF(月間集計シート!$M$50:$M$69,$G1487,月間集計シート!O$50:O$69)*R$2</f>
        <v>0</v>
      </c>
      <c r="S1487" s="88">
        <f>SUMIF(月間集計シート!$M$50:$M$69,$G1487,月間集計シート!P$50:P$69)*S$2</f>
        <v>0</v>
      </c>
      <c r="T1487" s="88">
        <f>SUMIF(月間集計シート!$M$50:$M$69,$G1487,月間集計シート!Q$50:Q$69)*T$2</f>
        <v>0</v>
      </c>
      <c r="U1487" s="88">
        <f>SUMIF(月間集計シート!$M$50:$M$69,$G1487,月間集計シート!R$50:R$69)*U$2</f>
        <v>0</v>
      </c>
      <c r="V1487" s="88">
        <f>SUMIF(月間集計シート!$M$50:$M$69,$G1487,月間集計シート!S$50:S$69)*V$2</f>
        <v>0</v>
      </c>
      <c r="W1487" s="88">
        <f>SUMIF(月間集計シート!$M$50:$M$69,$G1487,月間集計シート!T$50:T$69)*W$2</f>
        <v>0</v>
      </c>
      <c r="X1487" s="88">
        <f>SUMIF(月間集計シート!$M$71:$M$90,$G1487,月間集計シート!N$71:N$90)*X$2</f>
        <v>0</v>
      </c>
      <c r="Y1487" s="88">
        <f>SUMIF(月間集計シート!$M$71:$M$90,$G1487,月間集計シート!O$71:O$90)*Y$2</f>
        <v>0</v>
      </c>
      <c r="Z1487" s="88">
        <f>SUMIF(月間集計シート!$M$71:$M$90,$G1487,月間集計シート!P$71:P$90)*Z$2</f>
        <v>0</v>
      </c>
      <c r="AA1487" s="88">
        <f>SUMIF(月間集計シート!$M$71:$M$90,$G1487,月間集計シート!Q$71:Q$90)*AA$2</f>
        <v>0</v>
      </c>
      <c r="AB1487" s="88">
        <f>SUMIF(月間集計シート!$M$71:$M$90,$G1487,月間集計シート!R$71:R$90)*AB$2</f>
        <v>0</v>
      </c>
      <c r="AC1487" s="88">
        <f>SUMIF(月間集計シート!$M$71:$M$90,$G1487,月間集計シート!S$71:S$90)*AC$2</f>
        <v>0</v>
      </c>
      <c r="AD1487" s="88">
        <f>SUMIF(月間集計シート!$M$71:$M$90,$G1487,月間集計シート!T$71:T$90)*AD$2</f>
        <v>0</v>
      </c>
      <c r="AE1487" s="88">
        <f>SUMIF(月間集計シート!$M$92:$M$111,$G1487,月間集計シート!N$92:N$111)*AE$2</f>
        <v>0</v>
      </c>
      <c r="AF1487" s="88">
        <f>SUMIF(月間集計シート!$M$92:$M$111,$G1487,月間集計シート!O$92:O$111)*AF$2</f>
        <v>0</v>
      </c>
      <c r="AG1487" s="88">
        <f>SUMIF(月間集計シート!$M$92:$M$111,$G1487,月間集計シート!P$92:P$111)*AG$2</f>
        <v>0</v>
      </c>
      <c r="AH1487" s="88">
        <f>SUMIF(月間集計シート!$M$92:$M$111,$G1487,月間集計シート!Q$92:Q$111)*AH$2</f>
        <v>0</v>
      </c>
      <c r="AI1487" s="88">
        <f>SUMIF(月間集計シート!$M$92:$M$111,$G1487,月間集計シート!R$92:R$111)*AI$2</f>
        <v>0</v>
      </c>
      <c r="AJ1487" s="88">
        <f>SUMIF(月間集計シート!$M$92:$M$111,$G1487,月間集計シート!S$92:S$111)*AJ$2</f>
        <v>0</v>
      </c>
      <c r="AK1487" s="88">
        <f>SUMIF(月間集計シート!$M$92:$M$111,$G1487,月間集計シート!T$92:T$111)*AK$2</f>
        <v>0</v>
      </c>
      <c r="AL1487" s="88">
        <f>SUMIF(月間集計シート!$M$113:$M$132,$G1487,月間集計シート!N$113:N$132)*AL$2</f>
        <v>0</v>
      </c>
      <c r="AM1487" s="88">
        <f>SUMIF(月間集計シート!$M$113:$M$132,$G1487,月間集計シート!O$113:O$132)*AM$2</f>
        <v>0</v>
      </c>
      <c r="AN1487" s="88">
        <f>SUMIF(月間集計シート!$M$113:$M$132,$G1487,月間集計シート!P$113:P$132)*AN$2</f>
        <v>0</v>
      </c>
      <c r="AO1487" s="88">
        <f>SUMIF(月間集計シート!$M$113:$M$132,$G1487,月間集計シート!Q$113:Q$132)*AO$2</f>
        <v>0</v>
      </c>
      <c r="AP1487" s="88">
        <f>SUMIF(月間集計シート!$M$113:$M$132,$G1487,月間集計シート!R$113:R$132)*AP$2</f>
        <v>0</v>
      </c>
      <c r="AQ1487" s="88">
        <f>SUMIF(月間集計シート!$M$113:$M$132,$G1487,月間集計シート!S$113:S$132)*AQ$2</f>
        <v>0</v>
      </c>
      <c r="AR1487" s="88">
        <f>SUMIF(月間集計シート!$M$113:$M$132,$G1487,月間集計シート!T$113:T$132)*AR$2</f>
        <v>0</v>
      </c>
      <c r="AS1487" s="88">
        <f>SUMIF(月間集計シート!$M$134:$M$153,$G1487,月間集計シート!N$134:N$153)*AS$2</f>
        <v>0</v>
      </c>
      <c r="AT1487" s="88">
        <f>SUMIF(月間集計シート!$M$134:$M$153,$G1487,月間集計シート!O$134:O$153)*AT$2</f>
        <v>0</v>
      </c>
      <c r="AU1487" s="88">
        <f>SUMIF(月間集計シート!$M$134:$M$153,$G1487,月間集計シート!P$134:P$153)*AU$2</f>
        <v>0</v>
      </c>
      <c r="AV1487" s="88">
        <f>SUMIF(月間集計シート!$M$134:$M$153,$G1487,月間集計シート!Q$134:Q$153)*AV$2</f>
        <v>0</v>
      </c>
      <c r="AW1487" s="88">
        <f>SUMIF(月間集計シート!$M$134:$M$153,$G1487,月間集計シート!R$134:R$153)*AW$2</f>
        <v>0</v>
      </c>
      <c r="AX1487" s="88">
        <f>SUMIF(月間集計シート!$M$134:$M$153,$G1487,月間集計シート!S$134:S$153)*AX$2</f>
        <v>0</v>
      </c>
      <c r="AY1487" s="88">
        <f>SUMIF(月間集計シート!$M$134:$M$153,$G1487,月間集計シート!T$134:T$153)*AY$2</f>
        <v>0</v>
      </c>
    </row>
    <row r="1488" spans="1:51" ht="14.25" thickBot="1">
      <c r="A1488">
        <v>18</v>
      </c>
      <c r="B1488" s="120">
        <f t="shared" si="835"/>
        <v>0</v>
      </c>
      <c r="C1488" s="120" t="str">
        <f t="shared" si="836"/>
        <v/>
      </c>
      <c r="D1488" s="137"/>
      <c r="E1488" s="150" t="str">
        <f>工種!A35</f>
        <v>40113</v>
      </c>
      <c r="F1488" s="119" t="str">
        <f>工種!B35</f>
        <v>テスト：QA対応</v>
      </c>
      <c r="G1488" s="116" t="str">
        <f t="shared" si="837"/>
        <v>040113</v>
      </c>
      <c r="H1488" s="88">
        <f t="shared" si="791"/>
        <v>0</v>
      </c>
      <c r="I1488" s="132"/>
      <c r="J1488" s="88">
        <f>SUMIF(月間集計シート!$M$29:$M$48,$G1488,月間集計シート!N$29:N$48)*J$2</f>
        <v>0</v>
      </c>
      <c r="K1488" s="88">
        <f>SUMIF(月間集計シート!$M$29:$M$48,$G1488,月間集計シート!O$29:O$48)*K$2</f>
        <v>0</v>
      </c>
      <c r="L1488" s="88">
        <f>SUMIF(月間集計シート!$M$29:$M$48,$G1488,月間集計シート!P$29:P$48)*L$2</f>
        <v>0</v>
      </c>
      <c r="M1488" s="88">
        <f>SUMIF(月間集計シート!$M$29:$M$48,$G1488,月間集計シート!Q$29:Q$48)*M$2</f>
        <v>0</v>
      </c>
      <c r="N1488" s="88">
        <f>SUMIF(月間集計シート!$M$29:$M$48,$G1488,月間集計シート!R$29:R$48)*N$2</f>
        <v>0</v>
      </c>
      <c r="O1488" s="88">
        <f>SUMIF(月間集計シート!$M$29:$M$48,$G1488,月間集計シート!S$29:S$48)*O$2</f>
        <v>0</v>
      </c>
      <c r="P1488" s="88">
        <f>SUMIF(月間集計シート!$M$29:$M$48,$G1488,月間集計シート!T$29:T$48)*P$2</f>
        <v>0</v>
      </c>
      <c r="Q1488" s="88">
        <f>SUMIF(月間集計シート!$M$50:$M$69,$G1488,月間集計シート!N$50:N$69)*Q$2</f>
        <v>0</v>
      </c>
      <c r="R1488" s="88">
        <f>SUMIF(月間集計シート!$M$50:$M$69,$G1488,月間集計シート!O$50:O$69)*R$2</f>
        <v>0</v>
      </c>
      <c r="S1488" s="88">
        <f>SUMIF(月間集計シート!$M$50:$M$69,$G1488,月間集計シート!P$50:P$69)*S$2</f>
        <v>0</v>
      </c>
      <c r="T1488" s="88">
        <f>SUMIF(月間集計シート!$M$50:$M$69,$G1488,月間集計シート!Q$50:Q$69)*T$2</f>
        <v>0</v>
      </c>
      <c r="U1488" s="88">
        <f>SUMIF(月間集計シート!$M$50:$M$69,$G1488,月間集計シート!R$50:R$69)*U$2</f>
        <v>0</v>
      </c>
      <c r="V1488" s="88">
        <f>SUMIF(月間集計シート!$M$50:$M$69,$G1488,月間集計シート!S$50:S$69)*V$2</f>
        <v>0</v>
      </c>
      <c r="W1488" s="88">
        <f>SUMIF(月間集計シート!$M$50:$M$69,$G1488,月間集計シート!T$50:T$69)*W$2</f>
        <v>0</v>
      </c>
      <c r="X1488" s="88">
        <f>SUMIF(月間集計シート!$M$71:$M$90,$G1488,月間集計シート!N$71:N$90)*X$2</f>
        <v>0</v>
      </c>
      <c r="Y1488" s="88">
        <f>SUMIF(月間集計シート!$M$71:$M$90,$G1488,月間集計シート!O$71:O$90)*Y$2</f>
        <v>0</v>
      </c>
      <c r="Z1488" s="88">
        <f>SUMIF(月間集計シート!$M$71:$M$90,$G1488,月間集計シート!P$71:P$90)*Z$2</f>
        <v>0</v>
      </c>
      <c r="AA1488" s="88">
        <f>SUMIF(月間集計シート!$M$71:$M$90,$G1488,月間集計シート!Q$71:Q$90)*AA$2</f>
        <v>0</v>
      </c>
      <c r="AB1488" s="88">
        <f>SUMIF(月間集計シート!$M$71:$M$90,$G1488,月間集計シート!R$71:R$90)*AB$2</f>
        <v>0</v>
      </c>
      <c r="AC1488" s="88">
        <f>SUMIF(月間集計シート!$M$71:$M$90,$G1488,月間集計シート!S$71:S$90)*AC$2</f>
        <v>0</v>
      </c>
      <c r="AD1488" s="88">
        <f>SUMIF(月間集計シート!$M$71:$M$90,$G1488,月間集計シート!T$71:T$90)*AD$2</f>
        <v>0</v>
      </c>
      <c r="AE1488" s="88">
        <f>SUMIF(月間集計シート!$M$92:$M$111,$G1488,月間集計シート!N$92:N$111)*AE$2</f>
        <v>0</v>
      </c>
      <c r="AF1488" s="88">
        <f>SUMIF(月間集計シート!$M$92:$M$111,$G1488,月間集計シート!O$92:O$111)*AF$2</f>
        <v>0</v>
      </c>
      <c r="AG1488" s="88">
        <f>SUMIF(月間集計シート!$M$92:$M$111,$G1488,月間集計シート!P$92:P$111)*AG$2</f>
        <v>0</v>
      </c>
      <c r="AH1488" s="88">
        <f>SUMIF(月間集計シート!$M$92:$M$111,$G1488,月間集計シート!Q$92:Q$111)*AH$2</f>
        <v>0</v>
      </c>
      <c r="AI1488" s="88">
        <f>SUMIF(月間集計シート!$M$92:$M$111,$G1488,月間集計シート!R$92:R$111)*AI$2</f>
        <v>0</v>
      </c>
      <c r="AJ1488" s="88">
        <f>SUMIF(月間集計シート!$M$92:$M$111,$G1488,月間集計シート!S$92:S$111)*AJ$2</f>
        <v>0</v>
      </c>
      <c r="AK1488" s="88">
        <f>SUMIF(月間集計シート!$M$92:$M$111,$G1488,月間集計シート!T$92:T$111)*AK$2</f>
        <v>0</v>
      </c>
      <c r="AL1488" s="88">
        <f>SUMIF(月間集計シート!$M$113:$M$132,$G1488,月間集計シート!N$113:N$132)*AL$2</f>
        <v>0</v>
      </c>
      <c r="AM1488" s="88">
        <f>SUMIF(月間集計シート!$M$113:$M$132,$G1488,月間集計シート!O$113:O$132)*AM$2</f>
        <v>0</v>
      </c>
      <c r="AN1488" s="88">
        <f>SUMIF(月間集計シート!$M$113:$M$132,$G1488,月間集計シート!P$113:P$132)*AN$2</f>
        <v>0</v>
      </c>
      <c r="AO1488" s="88">
        <f>SUMIF(月間集計シート!$M$113:$M$132,$G1488,月間集計シート!Q$113:Q$132)*AO$2</f>
        <v>0</v>
      </c>
      <c r="AP1488" s="88">
        <f>SUMIF(月間集計シート!$M$113:$M$132,$G1488,月間集計シート!R$113:R$132)*AP$2</f>
        <v>0</v>
      </c>
      <c r="AQ1488" s="88">
        <f>SUMIF(月間集計シート!$M$113:$M$132,$G1488,月間集計シート!S$113:S$132)*AQ$2</f>
        <v>0</v>
      </c>
      <c r="AR1488" s="88">
        <f>SUMIF(月間集計シート!$M$113:$M$132,$G1488,月間集計シート!T$113:T$132)*AR$2</f>
        <v>0</v>
      </c>
      <c r="AS1488" s="88">
        <f>SUMIF(月間集計シート!$M$134:$M$153,$G1488,月間集計シート!N$134:N$153)*AS$2</f>
        <v>0</v>
      </c>
      <c r="AT1488" s="88">
        <f>SUMIF(月間集計シート!$M$134:$M$153,$G1488,月間集計シート!O$134:O$153)*AT$2</f>
        <v>0</v>
      </c>
      <c r="AU1488" s="88">
        <f>SUMIF(月間集計シート!$M$134:$M$153,$G1488,月間集計シート!P$134:P$153)*AU$2</f>
        <v>0</v>
      </c>
      <c r="AV1488" s="88">
        <f>SUMIF(月間集計シート!$M$134:$M$153,$G1488,月間集計シート!Q$134:Q$153)*AV$2</f>
        <v>0</v>
      </c>
      <c r="AW1488" s="88">
        <f>SUMIF(月間集計シート!$M$134:$M$153,$G1488,月間集計シート!R$134:R$153)*AW$2</f>
        <v>0</v>
      </c>
      <c r="AX1488" s="88">
        <f>SUMIF(月間集計シート!$M$134:$M$153,$G1488,月間集計シート!S$134:S$153)*AX$2</f>
        <v>0</v>
      </c>
      <c r="AY1488" s="88">
        <f>SUMIF(月間集計シート!$M$134:$M$153,$G1488,月間集計シート!T$134:T$153)*AY$2</f>
        <v>0</v>
      </c>
    </row>
    <row r="1489" spans="1:51" ht="14.25" thickBot="1">
      <c r="A1489">
        <v>18</v>
      </c>
      <c r="B1489" s="120">
        <f t="shared" si="835"/>
        <v>0</v>
      </c>
      <c r="C1489" s="120" t="str">
        <f t="shared" si="836"/>
        <v/>
      </c>
      <c r="D1489" s="137"/>
      <c r="E1489" s="150" t="str">
        <f>工種!A36</f>
        <v>40189</v>
      </c>
      <c r="F1489" s="119" t="str">
        <f>工種!B36</f>
        <v>テスト：内部不具合分析</v>
      </c>
      <c r="G1489" s="116" t="str">
        <f t="shared" si="837"/>
        <v>040189</v>
      </c>
      <c r="H1489" s="88">
        <f t="shared" si="791"/>
        <v>0</v>
      </c>
      <c r="I1489" s="132"/>
      <c r="J1489" s="88">
        <f>SUMIF(月間集計シート!$M$29:$M$48,$G1489,月間集計シート!N$29:N$48)*J$2</f>
        <v>0</v>
      </c>
      <c r="K1489" s="88">
        <f>SUMIF(月間集計シート!$M$29:$M$48,$G1489,月間集計シート!O$29:O$48)*K$2</f>
        <v>0</v>
      </c>
      <c r="L1489" s="88">
        <f>SUMIF(月間集計シート!$M$29:$M$48,$G1489,月間集計シート!P$29:P$48)*L$2</f>
        <v>0</v>
      </c>
      <c r="M1489" s="88">
        <f>SUMIF(月間集計シート!$M$29:$M$48,$G1489,月間集計シート!Q$29:Q$48)*M$2</f>
        <v>0</v>
      </c>
      <c r="N1489" s="88">
        <f>SUMIF(月間集計シート!$M$29:$M$48,$G1489,月間集計シート!R$29:R$48)*N$2</f>
        <v>0</v>
      </c>
      <c r="O1489" s="88">
        <f>SUMIF(月間集計シート!$M$29:$M$48,$G1489,月間集計シート!S$29:S$48)*O$2</f>
        <v>0</v>
      </c>
      <c r="P1489" s="88">
        <f>SUMIF(月間集計シート!$M$29:$M$48,$G1489,月間集計シート!T$29:T$48)*P$2</f>
        <v>0</v>
      </c>
      <c r="Q1489" s="88">
        <f>SUMIF(月間集計シート!$M$50:$M$69,$G1489,月間集計シート!N$50:N$69)*Q$2</f>
        <v>0</v>
      </c>
      <c r="R1489" s="88">
        <f>SUMIF(月間集計シート!$M$50:$M$69,$G1489,月間集計シート!O$50:O$69)*R$2</f>
        <v>0</v>
      </c>
      <c r="S1489" s="88">
        <f>SUMIF(月間集計シート!$M$50:$M$69,$G1489,月間集計シート!P$50:P$69)*S$2</f>
        <v>0</v>
      </c>
      <c r="T1489" s="88">
        <f>SUMIF(月間集計シート!$M$50:$M$69,$G1489,月間集計シート!Q$50:Q$69)*T$2</f>
        <v>0</v>
      </c>
      <c r="U1489" s="88">
        <f>SUMIF(月間集計シート!$M$50:$M$69,$G1489,月間集計シート!R$50:R$69)*U$2</f>
        <v>0</v>
      </c>
      <c r="V1489" s="88">
        <f>SUMIF(月間集計シート!$M$50:$M$69,$G1489,月間集計シート!S$50:S$69)*V$2</f>
        <v>0</v>
      </c>
      <c r="W1489" s="88">
        <f>SUMIF(月間集計シート!$M$50:$M$69,$G1489,月間集計シート!T$50:T$69)*W$2</f>
        <v>0</v>
      </c>
      <c r="X1489" s="88">
        <f>SUMIF(月間集計シート!$M$71:$M$90,$G1489,月間集計シート!N$71:N$90)*X$2</f>
        <v>0</v>
      </c>
      <c r="Y1489" s="88">
        <f>SUMIF(月間集計シート!$M$71:$M$90,$G1489,月間集計シート!O$71:O$90)*Y$2</f>
        <v>0</v>
      </c>
      <c r="Z1489" s="88">
        <f>SUMIF(月間集計シート!$M$71:$M$90,$G1489,月間集計シート!P$71:P$90)*Z$2</f>
        <v>0</v>
      </c>
      <c r="AA1489" s="88">
        <f>SUMIF(月間集計シート!$M$71:$M$90,$G1489,月間集計シート!Q$71:Q$90)*AA$2</f>
        <v>0</v>
      </c>
      <c r="AB1489" s="88">
        <f>SUMIF(月間集計シート!$M$71:$M$90,$G1489,月間集計シート!R$71:R$90)*AB$2</f>
        <v>0</v>
      </c>
      <c r="AC1489" s="88">
        <f>SUMIF(月間集計シート!$M$71:$M$90,$G1489,月間集計シート!S$71:S$90)*AC$2</f>
        <v>0</v>
      </c>
      <c r="AD1489" s="88">
        <f>SUMIF(月間集計シート!$M$71:$M$90,$G1489,月間集計シート!T$71:T$90)*AD$2</f>
        <v>0</v>
      </c>
      <c r="AE1489" s="88">
        <f>SUMIF(月間集計シート!$M$92:$M$111,$G1489,月間集計シート!N$92:N$111)*AE$2</f>
        <v>0</v>
      </c>
      <c r="AF1489" s="88">
        <f>SUMIF(月間集計シート!$M$92:$M$111,$G1489,月間集計シート!O$92:O$111)*AF$2</f>
        <v>0</v>
      </c>
      <c r="AG1489" s="88">
        <f>SUMIF(月間集計シート!$M$92:$M$111,$G1489,月間集計シート!P$92:P$111)*AG$2</f>
        <v>0</v>
      </c>
      <c r="AH1489" s="88">
        <f>SUMIF(月間集計シート!$M$92:$M$111,$G1489,月間集計シート!Q$92:Q$111)*AH$2</f>
        <v>0</v>
      </c>
      <c r="AI1489" s="88">
        <f>SUMIF(月間集計シート!$M$92:$M$111,$G1489,月間集計シート!R$92:R$111)*AI$2</f>
        <v>0</v>
      </c>
      <c r="AJ1489" s="88">
        <f>SUMIF(月間集計シート!$M$92:$M$111,$G1489,月間集計シート!S$92:S$111)*AJ$2</f>
        <v>0</v>
      </c>
      <c r="AK1489" s="88">
        <f>SUMIF(月間集計シート!$M$92:$M$111,$G1489,月間集計シート!T$92:T$111)*AK$2</f>
        <v>0</v>
      </c>
      <c r="AL1489" s="88">
        <f>SUMIF(月間集計シート!$M$113:$M$132,$G1489,月間集計シート!N$113:N$132)*AL$2</f>
        <v>0</v>
      </c>
      <c r="AM1489" s="88">
        <f>SUMIF(月間集計シート!$M$113:$M$132,$G1489,月間集計シート!O$113:O$132)*AM$2</f>
        <v>0</v>
      </c>
      <c r="AN1489" s="88">
        <f>SUMIF(月間集計シート!$M$113:$M$132,$G1489,月間集計シート!P$113:P$132)*AN$2</f>
        <v>0</v>
      </c>
      <c r="AO1489" s="88">
        <f>SUMIF(月間集計シート!$M$113:$M$132,$G1489,月間集計シート!Q$113:Q$132)*AO$2</f>
        <v>0</v>
      </c>
      <c r="AP1489" s="88">
        <f>SUMIF(月間集計シート!$M$113:$M$132,$G1489,月間集計シート!R$113:R$132)*AP$2</f>
        <v>0</v>
      </c>
      <c r="AQ1489" s="88">
        <f>SUMIF(月間集計シート!$M$113:$M$132,$G1489,月間集計シート!S$113:S$132)*AQ$2</f>
        <v>0</v>
      </c>
      <c r="AR1489" s="88">
        <f>SUMIF(月間集計シート!$M$113:$M$132,$G1489,月間集計シート!T$113:T$132)*AR$2</f>
        <v>0</v>
      </c>
      <c r="AS1489" s="88">
        <f>SUMIF(月間集計シート!$M$134:$M$153,$G1489,月間集計シート!N$134:N$153)*AS$2</f>
        <v>0</v>
      </c>
      <c r="AT1489" s="88">
        <f>SUMIF(月間集計シート!$M$134:$M$153,$G1489,月間集計シート!O$134:O$153)*AT$2</f>
        <v>0</v>
      </c>
      <c r="AU1489" s="88">
        <f>SUMIF(月間集計シート!$M$134:$M$153,$G1489,月間集計シート!P$134:P$153)*AU$2</f>
        <v>0</v>
      </c>
      <c r="AV1489" s="88">
        <f>SUMIF(月間集計シート!$M$134:$M$153,$G1489,月間集計シート!Q$134:Q$153)*AV$2</f>
        <v>0</v>
      </c>
      <c r="AW1489" s="88">
        <f>SUMIF(月間集計シート!$M$134:$M$153,$G1489,月間集計シート!R$134:R$153)*AW$2</f>
        <v>0</v>
      </c>
      <c r="AX1489" s="88">
        <f>SUMIF(月間集計シート!$M$134:$M$153,$G1489,月間集計シート!S$134:S$153)*AX$2</f>
        <v>0</v>
      </c>
      <c r="AY1489" s="88">
        <f>SUMIF(月間集計シート!$M$134:$M$153,$G1489,月間集計シート!T$134:T$153)*AY$2</f>
        <v>0</v>
      </c>
    </row>
    <row r="1490" spans="1:51" ht="14.25" thickBot="1">
      <c r="A1490">
        <v>18</v>
      </c>
      <c r="B1490" s="120">
        <f t="shared" si="835"/>
        <v>0</v>
      </c>
      <c r="C1490" s="120" t="str">
        <f t="shared" si="836"/>
        <v/>
      </c>
      <c r="D1490" s="137"/>
      <c r="E1490" s="150" t="str">
        <f>工種!A37</f>
        <v>40199</v>
      </c>
      <c r="F1490" s="119" t="str">
        <f>工種!B37</f>
        <v>テスト：その他</v>
      </c>
      <c r="G1490" s="116" t="str">
        <f t="shared" si="837"/>
        <v>040199</v>
      </c>
      <c r="H1490" s="88">
        <f t="shared" si="791"/>
        <v>0</v>
      </c>
      <c r="I1490" s="132"/>
      <c r="J1490" s="88">
        <f>SUMIF(月間集計シート!$M$29:$M$48,$G1490,月間集計シート!N$29:N$48)*J$2</f>
        <v>0</v>
      </c>
      <c r="K1490" s="88">
        <f>SUMIF(月間集計シート!$M$29:$M$48,$G1490,月間集計シート!O$29:O$48)*K$2</f>
        <v>0</v>
      </c>
      <c r="L1490" s="88">
        <f>SUMIF(月間集計シート!$M$29:$M$48,$G1490,月間集計シート!P$29:P$48)*L$2</f>
        <v>0</v>
      </c>
      <c r="M1490" s="88">
        <f>SUMIF(月間集計シート!$M$29:$M$48,$G1490,月間集計シート!Q$29:Q$48)*M$2</f>
        <v>0</v>
      </c>
      <c r="N1490" s="88">
        <f>SUMIF(月間集計シート!$M$29:$M$48,$G1490,月間集計シート!R$29:R$48)*N$2</f>
        <v>0</v>
      </c>
      <c r="O1490" s="88">
        <f>SUMIF(月間集計シート!$M$29:$M$48,$G1490,月間集計シート!S$29:S$48)*O$2</f>
        <v>0</v>
      </c>
      <c r="P1490" s="88">
        <f>SUMIF(月間集計シート!$M$29:$M$48,$G1490,月間集計シート!T$29:T$48)*P$2</f>
        <v>0</v>
      </c>
      <c r="Q1490" s="88">
        <f>SUMIF(月間集計シート!$M$50:$M$69,$G1490,月間集計シート!N$50:N$69)*Q$2</f>
        <v>0</v>
      </c>
      <c r="R1490" s="88">
        <f>SUMIF(月間集計シート!$M$50:$M$69,$G1490,月間集計シート!O$50:O$69)*R$2</f>
        <v>0</v>
      </c>
      <c r="S1490" s="88">
        <f>SUMIF(月間集計シート!$M$50:$M$69,$G1490,月間集計シート!P$50:P$69)*S$2</f>
        <v>0</v>
      </c>
      <c r="T1490" s="88">
        <f>SUMIF(月間集計シート!$M$50:$M$69,$G1490,月間集計シート!Q$50:Q$69)*T$2</f>
        <v>0</v>
      </c>
      <c r="U1490" s="88">
        <f>SUMIF(月間集計シート!$M$50:$M$69,$G1490,月間集計シート!R$50:R$69)*U$2</f>
        <v>0</v>
      </c>
      <c r="V1490" s="88">
        <f>SUMIF(月間集計シート!$M$50:$M$69,$G1490,月間集計シート!S$50:S$69)*V$2</f>
        <v>0</v>
      </c>
      <c r="W1490" s="88">
        <f>SUMIF(月間集計シート!$M$50:$M$69,$G1490,月間集計シート!T$50:T$69)*W$2</f>
        <v>0</v>
      </c>
      <c r="X1490" s="88">
        <f>SUMIF(月間集計シート!$M$71:$M$90,$G1490,月間集計シート!N$71:N$90)*X$2</f>
        <v>0</v>
      </c>
      <c r="Y1490" s="88">
        <f>SUMIF(月間集計シート!$M$71:$M$90,$G1490,月間集計シート!O$71:O$90)*Y$2</f>
        <v>0</v>
      </c>
      <c r="Z1490" s="88">
        <f>SUMIF(月間集計シート!$M$71:$M$90,$G1490,月間集計シート!P$71:P$90)*Z$2</f>
        <v>0</v>
      </c>
      <c r="AA1490" s="88">
        <f>SUMIF(月間集計シート!$M$71:$M$90,$G1490,月間集計シート!Q$71:Q$90)*AA$2</f>
        <v>0</v>
      </c>
      <c r="AB1490" s="88">
        <f>SUMIF(月間集計シート!$M$71:$M$90,$G1490,月間集計シート!R$71:R$90)*AB$2</f>
        <v>0</v>
      </c>
      <c r="AC1490" s="88">
        <f>SUMIF(月間集計シート!$M$71:$M$90,$G1490,月間集計シート!S$71:S$90)*AC$2</f>
        <v>0</v>
      </c>
      <c r="AD1490" s="88">
        <f>SUMIF(月間集計シート!$M$71:$M$90,$G1490,月間集計シート!T$71:T$90)*AD$2</f>
        <v>0</v>
      </c>
      <c r="AE1490" s="88">
        <f>SUMIF(月間集計シート!$M$92:$M$111,$G1490,月間集計シート!N$92:N$111)*AE$2</f>
        <v>0</v>
      </c>
      <c r="AF1490" s="88">
        <f>SUMIF(月間集計シート!$M$92:$M$111,$G1490,月間集計シート!O$92:O$111)*AF$2</f>
        <v>0</v>
      </c>
      <c r="AG1490" s="88">
        <f>SUMIF(月間集計シート!$M$92:$M$111,$G1490,月間集計シート!P$92:P$111)*AG$2</f>
        <v>0</v>
      </c>
      <c r="AH1490" s="88">
        <f>SUMIF(月間集計シート!$M$92:$M$111,$G1490,月間集計シート!Q$92:Q$111)*AH$2</f>
        <v>0</v>
      </c>
      <c r="AI1490" s="88">
        <f>SUMIF(月間集計シート!$M$92:$M$111,$G1490,月間集計シート!R$92:R$111)*AI$2</f>
        <v>0</v>
      </c>
      <c r="AJ1490" s="88">
        <f>SUMIF(月間集計シート!$M$92:$M$111,$G1490,月間集計シート!S$92:S$111)*AJ$2</f>
        <v>0</v>
      </c>
      <c r="AK1490" s="88">
        <f>SUMIF(月間集計シート!$M$92:$M$111,$G1490,月間集計シート!T$92:T$111)*AK$2</f>
        <v>0</v>
      </c>
      <c r="AL1490" s="88">
        <f>SUMIF(月間集計シート!$M$113:$M$132,$G1490,月間集計シート!N$113:N$132)*AL$2</f>
        <v>0</v>
      </c>
      <c r="AM1490" s="88">
        <f>SUMIF(月間集計シート!$M$113:$M$132,$G1490,月間集計シート!O$113:O$132)*AM$2</f>
        <v>0</v>
      </c>
      <c r="AN1490" s="88">
        <f>SUMIF(月間集計シート!$M$113:$M$132,$G1490,月間集計シート!P$113:P$132)*AN$2</f>
        <v>0</v>
      </c>
      <c r="AO1490" s="88">
        <f>SUMIF(月間集計シート!$M$113:$M$132,$G1490,月間集計シート!Q$113:Q$132)*AO$2</f>
        <v>0</v>
      </c>
      <c r="AP1490" s="88">
        <f>SUMIF(月間集計シート!$M$113:$M$132,$G1490,月間集計シート!R$113:R$132)*AP$2</f>
        <v>0</v>
      </c>
      <c r="AQ1490" s="88">
        <f>SUMIF(月間集計シート!$M$113:$M$132,$G1490,月間集計シート!S$113:S$132)*AQ$2</f>
        <v>0</v>
      </c>
      <c r="AR1490" s="88">
        <f>SUMIF(月間集計シート!$M$113:$M$132,$G1490,月間集計シート!T$113:T$132)*AR$2</f>
        <v>0</v>
      </c>
      <c r="AS1490" s="88">
        <f>SUMIF(月間集計シート!$M$134:$M$153,$G1490,月間集計シート!N$134:N$153)*AS$2</f>
        <v>0</v>
      </c>
      <c r="AT1490" s="88">
        <f>SUMIF(月間集計シート!$M$134:$M$153,$G1490,月間集計シート!O$134:O$153)*AT$2</f>
        <v>0</v>
      </c>
      <c r="AU1490" s="88">
        <f>SUMIF(月間集計シート!$M$134:$M$153,$G1490,月間集計シート!P$134:P$153)*AU$2</f>
        <v>0</v>
      </c>
      <c r="AV1490" s="88">
        <f>SUMIF(月間集計シート!$M$134:$M$153,$G1490,月間集計シート!Q$134:Q$153)*AV$2</f>
        <v>0</v>
      </c>
      <c r="AW1490" s="88">
        <f>SUMIF(月間集計シート!$M$134:$M$153,$G1490,月間集計シート!R$134:R$153)*AW$2</f>
        <v>0</v>
      </c>
      <c r="AX1490" s="88">
        <f>SUMIF(月間集計シート!$M$134:$M$153,$G1490,月間集計シート!S$134:S$153)*AX$2</f>
        <v>0</v>
      </c>
      <c r="AY1490" s="88">
        <f>SUMIF(月間集計シート!$M$134:$M$153,$G1490,月間集計シート!T$134:T$153)*AY$2</f>
        <v>0</v>
      </c>
    </row>
    <row r="1491" spans="1:51" ht="14.25" thickBot="1">
      <c r="A1491">
        <v>18</v>
      </c>
      <c r="B1491" s="120">
        <f t="shared" si="835"/>
        <v>0</v>
      </c>
      <c r="C1491" s="120" t="str">
        <f t="shared" si="836"/>
        <v/>
      </c>
      <c r="D1491" s="137"/>
      <c r="E1491" s="150" t="str">
        <f>工種!A38</f>
        <v>50101</v>
      </c>
      <c r="F1491" s="119" t="str">
        <f>工種!B38</f>
        <v>ﾏﾆｭｱﾙ作成：原稿作成</v>
      </c>
      <c r="G1491" s="116" t="str">
        <f t="shared" si="837"/>
        <v>050101</v>
      </c>
      <c r="H1491" s="88">
        <f t="shared" si="791"/>
        <v>0</v>
      </c>
      <c r="I1491" s="132"/>
      <c r="J1491" s="88">
        <f>SUMIF(月間集計シート!$M$29:$M$48,$G1491,月間集計シート!N$29:N$48)*J$2</f>
        <v>0</v>
      </c>
      <c r="K1491" s="88">
        <f>SUMIF(月間集計シート!$M$29:$M$48,$G1491,月間集計シート!O$29:O$48)*K$2</f>
        <v>0</v>
      </c>
      <c r="L1491" s="88">
        <f>SUMIF(月間集計シート!$M$29:$M$48,$G1491,月間集計シート!P$29:P$48)*L$2</f>
        <v>0</v>
      </c>
      <c r="M1491" s="88">
        <f>SUMIF(月間集計シート!$M$29:$M$48,$G1491,月間集計シート!Q$29:Q$48)*M$2</f>
        <v>0</v>
      </c>
      <c r="N1491" s="88">
        <f>SUMIF(月間集計シート!$M$29:$M$48,$G1491,月間集計シート!R$29:R$48)*N$2</f>
        <v>0</v>
      </c>
      <c r="O1491" s="88">
        <f>SUMIF(月間集計シート!$M$29:$M$48,$G1491,月間集計シート!S$29:S$48)*O$2</f>
        <v>0</v>
      </c>
      <c r="P1491" s="88">
        <f>SUMIF(月間集計シート!$M$29:$M$48,$G1491,月間集計シート!T$29:T$48)*P$2</f>
        <v>0</v>
      </c>
      <c r="Q1491" s="88">
        <f>SUMIF(月間集計シート!$M$50:$M$69,$G1491,月間集計シート!N$50:N$69)*Q$2</f>
        <v>0</v>
      </c>
      <c r="R1491" s="88">
        <f>SUMIF(月間集計シート!$M$50:$M$69,$G1491,月間集計シート!O$50:O$69)*R$2</f>
        <v>0</v>
      </c>
      <c r="S1491" s="88">
        <f>SUMIF(月間集計シート!$M$50:$M$69,$G1491,月間集計シート!P$50:P$69)*S$2</f>
        <v>0</v>
      </c>
      <c r="T1491" s="88">
        <f>SUMIF(月間集計シート!$M$50:$M$69,$G1491,月間集計シート!Q$50:Q$69)*T$2</f>
        <v>0</v>
      </c>
      <c r="U1491" s="88">
        <f>SUMIF(月間集計シート!$M$50:$M$69,$G1491,月間集計シート!R$50:R$69)*U$2</f>
        <v>0</v>
      </c>
      <c r="V1491" s="88">
        <f>SUMIF(月間集計シート!$M$50:$M$69,$G1491,月間集計シート!S$50:S$69)*V$2</f>
        <v>0</v>
      </c>
      <c r="W1491" s="88">
        <f>SUMIF(月間集計シート!$M$50:$M$69,$G1491,月間集計シート!T$50:T$69)*W$2</f>
        <v>0</v>
      </c>
      <c r="X1491" s="88">
        <f>SUMIF(月間集計シート!$M$71:$M$90,$G1491,月間集計シート!N$71:N$90)*X$2</f>
        <v>0</v>
      </c>
      <c r="Y1491" s="88">
        <f>SUMIF(月間集計シート!$M$71:$M$90,$G1491,月間集計シート!O$71:O$90)*Y$2</f>
        <v>0</v>
      </c>
      <c r="Z1491" s="88">
        <f>SUMIF(月間集計シート!$M$71:$M$90,$G1491,月間集計シート!P$71:P$90)*Z$2</f>
        <v>0</v>
      </c>
      <c r="AA1491" s="88">
        <f>SUMIF(月間集計シート!$M$71:$M$90,$G1491,月間集計シート!Q$71:Q$90)*AA$2</f>
        <v>0</v>
      </c>
      <c r="AB1491" s="88">
        <f>SUMIF(月間集計シート!$M$71:$M$90,$G1491,月間集計シート!R$71:R$90)*AB$2</f>
        <v>0</v>
      </c>
      <c r="AC1491" s="88">
        <f>SUMIF(月間集計シート!$M$71:$M$90,$G1491,月間集計シート!S$71:S$90)*AC$2</f>
        <v>0</v>
      </c>
      <c r="AD1491" s="88">
        <f>SUMIF(月間集計シート!$M$71:$M$90,$G1491,月間集計シート!T$71:T$90)*AD$2</f>
        <v>0</v>
      </c>
      <c r="AE1491" s="88">
        <f>SUMIF(月間集計シート!$M$92:$M$111,$G1491,月間集計シート!N$92:N$111)*AE$2</f>
        <v>0</v>
      </c>
      <c r="AF1491" s="88">
        <f>SUMIF(月間集計シート!$M$92:$M$111,$G1491,月間集計シート!O$92:O$111)*AF$2</f>
        <v>0</v>
      </c>
      <c r="AG1491" s="88">
        <f>SUMIF(月間集計シート!$M$92:$M$111,$G1491,月間集計シート!P$92:P$111)*AG$2</f>
        <v>0</v>
      </c>
      <c r="AH1491" s="88">
        <f>SUMIF(月間集計シート!$M$92:$M$111,$G1491,月間集計シート!Q$92:Q$111)*AH$2</f>
        <v>0</v>
      </c>
      <c r="AI1491" s="88">
        <f>SUMIF(月間集計シート!$M$92:$M$111,$G1491,月間集計シート!R$92:R$111)*AI$2</f>
        <v>0</v>
      </c>
      <c r="AJ1491" s="88">
        <f>SUMIF(月間集計シート!$M$92:$M$111,$G1491,月間集計シート!S$92:S$111)*AJ$2</f>
        <v>0</v>
      </c>
      <c r="AK1491" s="88">
        <f>SUMIF(月間集計シート!$M$92:$M$111,$G1491,月間集計シート!T$92:T$111)*AK$2</f>
        <v>0</v>
      </c>
      <c r="AL1491" s="88">
        <f>SUMIF(月間集計シート!$M$113:$M$132,$G1491,月間集計シート!N$113:N$132)*AL$2</f>
        <v>0</v>
      </c>
      <c r="AM1491" s="88">
        <f>SUMIF(月間集計シート!$M$113:$M$132,$G1491,月間集計シート!O$113:O$132)*AM$2</f>
        <v>0</v>
      </c>
      <c r="AN1491" s="88">
        <f>SUMIF(月間集計シート!$M$113:$M$132,$G1491,月間集計シート!P$113:P$132)*AN$2</f>
        <v>0</v>
      </c>
      <c r="AO1491" s="88">
        <f>SUMIF(月間集計シート!$M$113:$M$132,$G1491,月間集計シート!Q$113:Q$132)*AO$2</f>
        <v>0</v>
      </c>
      <c r="AP1491" s="88">
        <f>SUMIF(月間集計シート!$M$113:$M$132,$G1491,月間集計シート!R$113:R$132)*AP$2</f>
        <v>0</v>
      </c>
      <c r="AQ1491" s="88">
        <f>SUMIF(月間集計シート!$M$113:$M$132,$G1491,月間集計シート!S$113:S$132)*AQ$2</f>
        <v>0</v>
      </c>
      <c r="AR1491" s="88">
        <f>SUMIF(月間集計シート!$M$113:$M$132,$G1491,月間集計シート!T$113:T$132)*AR$2</f>
        <v>0</v>
      </c>
      <c r="AS1491" s="88">
        <f>SUMIF(月間集計シート!$M$134:$M$153,$G1491,月間集計シート!N$134:N$153)*AS$2</f>
        <v>0</v>
      </c>
      <c r="AT1491" s="88">
        <f>SUMIF(月間集計シート!$M$134:$M$153,$G1491,月間集計シート!O$134:O$153)*AT$2</f>
        <v>0</v>
      </c>
      <c r="AU1491" s="88">
        <f>SUMIF(月間集計シート!$M$134:$M$153,$G1491,月間集計シート!P$134:P$153)*AU$2</f>
        <v>0</v>
      </c>
      <c r="AV1491" s="88">
        <f>SUMIF(月間集計シート!$M$134:$M$153,$G1491,月間集計シート!Q$134:Q$153)*AV$2</f>
        <v>0</v>
      </c>
      <c r="AW1491" s="88">
        <f>SUMIF(月間集計シート!$M$134:$M$153,$G1491,月間集計シート!R$134:R$153)*AW$2</f>
        <v>0</v>
      </c>
      <c r="AX1491" s="88">
        <f>SUMIF(月間集計シート!$M$134:$M$153,$G1491,月間集計シート!S$134:S$153)*AX$2</f>
        <v>0</v>
      </c>
      <c r="AY1491" s="88">
        <f>SUMIF(月間集計シート!$M$134:$M$153,$G1491,月間集計シート!T$134:T$153)*AY$2</f>
        <v>0</v>
      </c>
    </row>
    <row r="1492" spans="1:51" ht="14.25" thickBot="1">
      <c r="A1492">
        <v>18</v>
      </c>
      <c r="B1492" s="120">
        <f t="shared" si="835"/>
        <v>0</v>
      </c>
      <c r="C1492" s="120" t="str">
        <f t="shared" si="836"/>
        <v/>
      </c>
      <c r="D1492" s="137"/>
      <c r="E1492" s="150" t="str">
        <f>工種!A39</f>
        <v>50105</v>
      </c>
      <c r="F1492" s="119" t="str">
        <f>工種!B39</f>
        <v>ﾏﾆｭｱﾙ作成：打合せ</v>
      </c>
      <c r="G1492" s="116" t="str">
        <f t="shared" si="837"/>
        <v>050105</v>
      </c>
      <c r="H1492" s="88">
        <f t="shared" si="791"/>
        <v>0</v>
      </c>
      <c r="I1492" s="132"/>
      <c r="J1492" s="88">
        <f>SUMIF(月間集計シート!$M$29:$M$48,$G1492,月間集計シート!N$29:N$48)*J$2</f>
        <v>0</v>
      </c>
      <c r="K1492" s="88">
        <f>SUMIF(月間集計シート!$M$29:$M$48,$G1492,月間集計シート!O$29:O$48)*K$2</f>
        <v>0</v>
      </c>
      <c r="L1492" s="88">
        <f>SUMIF(月間集計シート!$M$29:$M$48,$G1492,月間集計シート!P$29:P$48)*L$2</f>
        <v>0</v>
      </c>
      <c r="M1492" s="88">
        <f>SUMIF(月間集計シート!$M$29:$M$48,$G1492,月間集計シート!Q$29:Q$48)*M$2</f>
        <v>0</v>
      </c>
      <c r="N1492" s="88">
        <f>SUMIF(月間集計シート!$M$29:$M$48,$G1492,月間集計シート!R$29:R$48)*N$2</f>
        <v>0</v>
      </c>
      <c r="O1492" s="88">
        <f>SUMIF(月間集計シート!$M$29:$M$48,$G1492,月間集計シート!S$29:S$48)*O$2</f>
        <v>0</v>
      </c>
      <c r="P1492" s="88">
        <f>SUMIF(月間集計シート!$M$29:$M$48,$G1492,月間集計シート!T$29:T$48)*P$2</f>
        <v>0</v>
      </c>
      <c r="Q1492" s="88">
        <f>SUMIF(月間集計シート!$M$50:$M$69,$G1492,月間集計シート!N$50:N$69)*Q$2</f>
        <v>0</v>
      </c>
      <c r="R1492" s="88">
        <f>SUMIF(月間集計シート!$M$50:$M$69,$G1492,月間集計シート!O$50:O$69)*R$2</f>
        <v>0</v>
      </c>
      <c r="S1492" s="88">
        <f>SUMIF(月間集計シート!$M$50:$M$69,$G1492,月間集計シート!P$50:P$69)*S$2</f>
        <v>0</v>
      </c>
      <c r="T1492" s="88">
        <f>SUMIF(月間集計シート!$M$50:$M$69,$G1492,月間集計シート!Q$50:Q$69)*T$2</f>
        <v>0</v>
      </c>
      <c r="U1492" s="88">
        <f>SUMIF(月間集計シート!$M$50:$M$69,$G1492,月間集計シート!R$50:R$69)*U$2</f>
        <v>0</v>
      </c>
      <c r="V1492" s="88">
        <f>SUMIF(月間集計シート!$M$50:$M$69,$G1492,月間集計シート!S$50:S$69)*V$2</f>
        <v>0</v>
      </c>
      <c r="W1492" s="88">
        <f>SUMIF(月間集計シート!$M$50:$M$69,$G1492,月間集計シート!T$50:T$69)*W$2</f>
        <v>0</v>
      </c>
      <c r="X1492" s="88">
        <f>SUMIF(月間集計シート!$M$71:$M$90,$G1492,月間集計シート!N$71:N$90)*X$2</f>
        <v>0</v>
      </c>
      <c r="Y1492" s="88">
        <f>SUMIF(月間集計シート!$M$71:$M$90,$G1492,月間集計シート!O$71:O$90)*Y$2</f>
        <v>0</v>
      </c>
      <c r="Z1492" s="88">
        <f>SUMIF(月間集計シート!$M$71:$M$90,$G1492,月間集計シート!P$71:P$90)*Z$2</f>
        <v>0</v>
      </c>
      <c r="AA1492" s="88">
        <f>SUMIF(月間集計シート!$M$71:$M$90,$G1492,月間集計シート!Q$71:Q$90)*AA$2</f>
        <v>0</v>
      </c>
      <c r="AB1492" s="88">
        <f>SUMIF(月間集計シート!$M$71:$M$90,$G1492,月間集計シート!R$71:R$90)*AB$2</f>
        <v>0</v>
      </c>
      <c r="AC1492" s="88">
        <f>SUMIF(月間集計シート!$M$71:$M$90,$G1492,月間集計シート!S$71:S$90)*AC$2</f>
        <v>0</v>
      </c>
      <c r="AD1492" s="88">
        <f>SUMIF(月間集計シート!$M$71:$M$90,$G1492,月間集計シート!T$71:T$90)*AD$2</f>
        <v>0</v>
      </c>
      <c r="AE1492" s="88">
        <f>SUMIF(月間集計シート!$M$92:$M$111,$G1492,月間集計シート!N$92:N$111)*AE$2</f>
        <v>0</v>
      </c>
      <c r="AF1492" s="88">
        <f>SUMIF(月間集計シート!$M$92:$M$111,$G1492,月間集計シート!O$92:O$111)*AF$2</f>
        <v>0</v>
      </c>
      <c r="AG1492" s="88">
        <f>SUMIF(月間集計シート!$M$92:$M$111,$G1492,月間集計シート!P$92:P$111)*AG$2</f>
        <v>0</v>
      </c>
      <c r="AH1492" s="88">
        <f>SUMIF(月間集計シート!$M$92:$M$111,$G1492,月間集計シート!Q$92:Q$111)*AH$2</f>
        <v>0</v>
      </c>
      <c r="AI1492" s="88">
        <f>SUMIF(月間集計シート!$M$92:$M$111,$G1492,月間集計シート!R$92:R$111)*AI$2</f>
        <v>0</v>
      </c>
      <c r="AJ1492" s="88">
        <f>SUMIF(月間集計シート!$M$92:$M$111,$G1492,月間集計シート!S$92:S$111)*AJ$2</f>
        <v>0</v>
      </c>
      <c r="AK1492" s="88">
        <f>SUMIF(月間集計シート!$M$92:$M$111,$G1492,月間集計シート!T$92:T$111)*AK$2</f>
        <v>0</v>
      </c>
      <c r="AL1492" s="88">
        <f>SUMIF(月間集計シート!$M$113:$M$132,$G1492,月間集計シート!N$113:N$132)*AL$2</f>
        <v>0</v>
      </c>
      <c r="AM1492" s="88">
        <f>SUMIF(月間集計シート!$M$113:$M$132,$G1492,月間集計シート!O$113:O$132)*AM$2</f>
        <v>0</v>
      </c>
      <c r="AN1492" s="88">
        <f>SUMIF(月間集計シート!$M$113:$M$132,$G1492,月間集計シート!P$113:P$132)*AN$2</f>
        <v>0</v>
      </c>
      <c r="AO1492" s="88">
        <f>SUMIF(月間集計シート!$M$113:$M$132,$G1492,月間集計シート!Q$113:Q$132)*AO$2</f>
        <v>0</v>
      </c>
      <c r="AP1492" s="88">
        <f>SUMIF(月間集計シート!$M$113:$M$132,$G1492,月間集計シート!R$113:R$132)*AP$2</f>
        <v>0</v>
      </c>
      <c r="AQ1492" s="88">
        <f>SUMIF(月間集計シート!$M$113:$M$132,$G1492,月間集計シート!S$113:S$132)*AQ$2</f>
        <v>0</v>
      </c>
      <c r="AR1492" s="88">
        <f>SUMIF(月間集計シート!$M$113:$M$132,$G1492,月間集計シート!T$113:T$132)*AR$2</f>
        <v>0</v>
      </c>
      <c r="AS1492" s="88">
        <f>SUMIF(月間集計シート!$M$134:$M$153,$G1492,月間集計シート!N$134:N$153)*AS$2</f>
        <v>0</v>
      </c>
      <c r="AT1492" s="88">
        <f>SUMIF(月間集計シート!$M$134:$M$153,$G1492,月間集計シート!O$134:O$153)*AT$2</f>
        <v>0</v>
      </c>
      <c r="AU1492" s="88">
        <f>SUMIF(月間集計シート!$M$134:$M$153,$G1492,月間集計シート!P$134:P$153)*AU$2</f>
        <v>0</v>
      </c>
      <c r="AV1492" s="88">
        <f>SUMIF(月間集計シート!$M$134:$M$153,$G1492,月間集計シート!Q$134:Q$153)*AV$2</f>
        <v>0</v>
      </c>
      <c r="AW1492" s="88">
        <f>SUMIF(月間集計シート!$M$134:$M$153,$G1492,月間集計シート!R$134:R$153)*AW$2</f>
        <v>0</v>
      </c>
      <c r="AX1492" s="88">
        <f>SUMIF(月間集計シート!$M$134:$M$153,$G1492,月間集計シート!S$134:S$153)*AX$2</f>
        <v>0</v>
      </c>
      <c r="AY1492" s="88">
        <f>SUMIF(月間集計シート!$M$134:$M$153,$G1492,月間集計シート!T$134:T$153)*AY$2</f>
        <v>0</v>
      </c>
    </row>
    <row r="1493" spans="1:51" ht="14.25" thickBot="1">
      <c r="A1493">
        <v>18</v>
      </c>
      <c r="B1493" s="120">
        <f t="shared" si="835"/>
        <v>0</v>
      </c>
      <c r="C1493" s="120" t="str">
        <f t="shared" si="836"/>
        <v/>
      </c>
      <c r="D1493" s="137"/>
      <c r="E1493" s="150" t="str">
        <f>工種!A40</f>
        <v>50106</v>
      </c>
      <c r="F1493" s="119" t="str">
        <f>工種!B40</f>
        <v>ﾏﾆｭｱﾙ作成：ﾚﾋﾞｭｰ</v>
      </c>
      <c r="G1493" s="116" t="str">
        <f t="shared" si="837"/>
        <v>050106</v>
      </c>
      <c r="H1493" s="88">
        <f t="shared" si="791"/>
        <v>0</v>
      </c>
      <c r="I1493" s="132"/>
      <c r="J1493" s="88">
        <f>SUMIF(月間集計シート!$M$29:$M$48,$G1493,月間集計シート!N$29:N$48)*J$2</f>
        <v>0</v>
      </c>
      <c r="K1493" s="88">
        <f>SUMIF(月間集計シート!$M$29:$M$48,$G1493,月間集計シート!O$29:O$48)*K$2</f>
        <v>0</v>
      </c>
      <c r="L1493" s="88">
        <f>SUMIF(月間集計シート!$M$29:$M$48,$G1493,月間集計シート!P$29:P$48)*L$2</f>
        <v>0</v>
      </c>
      <c r="M1493" s="88">
        <f>SUMIF(月間集計シート!$M$29:$M$48,$G1493,月間集計シート!Q$29:Q$48)*M$2</f>
        <v>0</v>
      </c>
      <c r="N1493" s="88">
        <f>SUMIF(月間集計シート!$M$29:$M$48,$G1493,月間集計シート!R$29:R$48)*N$2</f>
        <v>0</v>
      </c>
      <c r="O1493" s="88">
        <f>SUMIF(月間集計シート!$M$29:$M$48,$G1493,月間集計シート!S$29:S$48)*O$2</f>
        <v>0</v>
      </c>
      <c r="P1493" s="88">
        <f>SUMIF(月間集計シート!$M$29:$M$48,$G1493,月間集計シート!T$29:T$48)*P$2</f>
        <v>0</v>
      </c>
      <c r="Q1493" s="88">
        <f>SUMIF(月間集計シート!$M$50:$M$69,$G1493,月間集計シート!N$50:N$69)*Q$2</f>
        <v>0</v>
      </c>
      <c r="R1493" s="88">
        <f>SUMIF(月間集計シート!$M$50:$M$69,$G1493,月間集計シート!O$50:O$69)*R$2</f>
        <v>0</v>
      </c>
      <c r="S1493" s="88">
        <f>SUMIF(月間集計シート!$M$50:$M$69,$G1493,月間集計シート!P$50:P$69)*S$2</f>
        <v>0</v>
      </c>
      <c r="T1493" s="88">
        <f>SUMIF(月間集計シート!$M$50:$M$69,$G1493,月間集計シート!Q$50:Q$69)*T$2</f>
        <v>0</v>
      </c>
      <c r="U1493" s="88">
        <f>SUMIF(月間集計シート!$M$50:$M$69,$G1493,月間集計シート!R$50:R$69)*U$2</f>
        <v>0</v>
      </c>
      <c r="V1493" s="88">
        <f>SUMIF(月間集計シート!$M$50:$M$69,$G1493,月間集計シート!S$50:S$69)*V$2</f>
        <v>0</v>
      </c>
      <c r="W1493" s="88">
        <f>SUMIF(月間集計シート!$M$50:$M$69,$G1493,月間集計シート!T$50:T$69)*W$2</f>
        <v>0</v>
      </c>
      <c r="X1493" s="88">
        <f>SUMIF(月間集計シート!$M$71:$M$90,$G1493,月間集計シート!N$71:N$90)*X$2</f>
        <v>0</v>
      </c>
      <c r="Y1493" s="88">
        <f>SUMIF(月間集計シート!$M$71:$M$90,$G1493,月間集計シート!O$71:O$90)*Y$2</f>
        <v>0</v>
      </c>
      <c r="Z1493" s="88">
        <f>SUMIF(月間集計シート!$M$71:$M$90,$G1493,月間集計シート!P$71:P$90)*Z$2</f>
        <v>0</v>
      </c>
      <c r="AA1493" s="88">
        <f>SUMIF(月間集計シート!$M$71:$M$90,$G1493,月間集計シート!Q$71:Q$90)*AA$2</f>
        <v>0</v>
      </c>
      <c r="AB1493" s="88">
        <f>SUMIF(月間集計シート!$M$71:$M$90,$G1493,月間集計シート!R$71:R$90)*AB$2</f>
        <v>0</v>
      </c>
      <c r="AC1493" s="88">
        <f>SUMIF(月間集計シート!$M$71:$M$90,$G1493,月間集計シート!S$71:S$90)*AC$2</f>
        <v>0</v>
      </c>
      <c r="AD1493" s="88">
        <f>SUMIF(月間集計シート!$M$71:$M$90,$G1493,月間集計シート!T$71:T$90)*AD$2</f>
        <v>0</v>
      </c>
      <c r="AE1493" s="88">
        <f>SUMIF(月間集計シート!$M$92:$M$111,$G1493,月間集計シート!N$92:N$111)*AE$2</f>
        <v>0</v>
      </c>
      <c r="AF1493" s="88">
        <f>SUMIF(月間集計シート!$M$92:$M$111,$G1493,月間集計シート!O$92:O$111)*AF$2</f>
        <v>0</v>
      </c>
      <c r="AG1493" s="88">
        <f>SUMIF(月間集計シート!$M$92:$M$111,$G1493,月間集計シート!P$92:P$111)*AG$2</f>
        <v>0</v>
      </c>
      <c r="AH1493" s="88">
        <f>SUMIF(月間集計シート!$M$92:$M$111,$G1493,月間集計シート!Q$92:Q$111)*AH$2</f>
        <v>0</v>
      </c>
      <c r="AI1493" s="88">
        <f>SUMIF(月間集計シート!$M$92:$M$111,$G1493,月間集計シート!R$92:R$111)*AI$2</f>
        <v>0</v>
      </c>
      <c r="AJ1493" s="88">
        <f>SUMIF(月間集計シート!$M$92:$M$111,$G1493,月間集計シート!S$92:S$111)*AJ$2</f>
        <v>0</v>
      </c>
      <c r="AK1493" s="88">
        <f>SUMIF(月間集計シート!$M$92:$M$111,$G1493,月間集計シート!T$92:T$111)*AK$2</f>
        <v>0</v>
      </c>
      <c r="AL1493" s="88">
        <f>SUMIF(月間集計シート!$M$113:$M$132,$G1493,月間集計シート!N$113:N$132)*AL$2</f>
        <v>0</v>
      </c>
      <c r="AM1493" s="88">
        <f>SUMIF(月間集計シート!$M$113:$M$132,$G1493,月間集計シート!O$113:O$132)*AM$2</f>
        <v>0</v>
      </c>
      <c r="AN1493" s="88">
        <f>SUMIF(月間集計シート!$M$113:$M$132,$G1493,月間集計シート!P$113:P$132)*AN$2</f>
        <v>0</v>
      </c>
      <c r="AO1493" s="88">
        <f>SUMIF(月間集計シート!$M$113:$M$132,$G1493,月間集計シート!Q$113:Q$132)*AO$2</f>
        <v>0</v>
      </c>
      <c r="AP1493" s="88">
        <f>SUMIF(月間集計シート!$M$113:$M$132,$G1493,月間集計シート!R$113:R$132)*AP$2</f>
        <v>0</v>
      </c>
      <c r="AQ1493" s="88">
        <f>SUMIF(月間集計シート!$M$113:$M$132,$G1493,月間集計シート!S$113:S$132)*AQ$2</f>
        <v>0</v>
      </c>
      <c r="AR1493" s="88">
        <f>SUMIF(月間集計シート!$M$113:$M$132,$G1493,月間集計シート!T$113:T$132)*AR$2</f>
        <v>0</v>
      </c>
      <c r="AS1493" s="88">
        <f>SUMIF(月間集計シート!$M$134:$M$153,$G1493,月間集計シート!N$134:N$153)*AS$2</f>
        <v>0</v>
      </c>
      <c r="AT1493" s="88">
        <f>SUMIF(月間集計シート!$M$134:$M$153,$G1493,月間集計シート!O$134:O$153)*AT$2</f>
        <v>0</v>
      </c>
      <c r="AU1493" s="88">
        <f>SUMIF(月間集計シート!$M$134:$M$153,$G1493,月間集計シート!P$134:P$153)*AU$2</f>
        <v>0</v>
      </c>
      <c r="AV1493" s="88">
        <f>SUMIF(月間集計シート!$M$134:$M$153,$G1493,月間集計シート!Q$134:Q$153)*AV$2</f>
        <v>0</v>
      </c>
      <c r="AW1493" s="88">
        <f>SUMIF(月間集計シート!$M$134:$M$153,$G1493,月間集計シート!R$134:R$153)*AW$2</f>
        <v>0</v>
      </c>
      <c r="AX1493" s="88">
        <f>SUMIF(月間集計シート!$M$134:$M$153,$G1493,月間集計シート!S$134:S$153)*AX$2</f>
        <v>0</v>
      </c>
      <c r="AY1493" s="88">
        <f>SUMIF(月間集計シート!$M$134:$M$153,$G1493,月間集計シート!T$134:T$153)*AY$2</f>
        <v>0</v>
      </c>
    </row>
    <row r="1494" spans="1:51" ht="14.25" thickBot="1">
      <c r="A1494">
        <v>18</v>
      </c>
      <c r="B1494" s="120">
        <f t="shared" si="835"/>
        <v>0</v>
      </c>
      <c r="C1494" s="120" t="str">
        <f t="shared" si="836"/>
        <v/>
      </c>
      <c r="D1494" s="137"/>
      <c r="E1494" s="150" t="str">
        <f>工種!A41</f>
        <v>50199</v>
      </c>
      <c r="F1494" s="119" t="str">
        <f>工種!B41</f>
        <v>ﾏﾆｭｱﾙ作成：その他</v>
      </c>
      <c r="G1494" s="116" t="str">
        <f t="shared" si="837"/>
        <v>050199</v>
      </c>
      <c r="H1494" s="88">
        <f t="shared" si="791"/>
        <v>0</v>
      </c>
      <c r="I1494" s="132"/>
      <c r="J1494" s="88">
        <f>SUMIF(月間集計シート!$M$29:$M$48,$G1494,月間集計シート!N$29:N$48)*J$2</f>
        <v>0</v>
      </c>
      <c r="K1494" s="88">
        <f>SUMIF(月間集計シート!$M$29:$M$48,$G1494,月間集計シート!O$29:O$48)*K$2</f>
        <v>0</v>
      </c>
      <c r="L1494" s="88">
        <f>SUMIF(月間集計シート!$M$29:$M$48,$G1494,月間集計シート!P$29:P$48)*L$2</f>
        <v>0</v>
      </c>
      <c r="M1494" s="88">
        <f>SUMIF(月間集計シート!$M$29:$M$48,$G1494,月間集計シート!Q$29:Q$48)*M$2</f>
        <v>0</v>
      </c>
      <c r="N1494" s="88">
        <f>SUMIF(月間集計シート!$M$29:$M$48,$G1494,月間集計シート!R$29:R$48)*N$2</f>
        <v>0</v>
      </c>
      <c r="O1494" s="88">
        <f>SUMIF(月間集計シート!$M$29:$M$48,$G1494,月間集計シート!S$29:S$48)*O$2</f>
        <v>0</v>
      </c>
      <c r="P1494" s="88">
        <f>SUMIF(月間集計シート!$M$29:$M$48,$G1494,月間集計シート!T$29:T$48)*P$2</f>
        <v>0</v>
      </c>
      <c r="Q1494" s="88">
        <f>SUMIF(月間集計シート!$M$50:$M$69,$G1494,月間集計シート!N$50:N$69)*Q$2</f>
        <v>0</v>
      </c>
      <c r="R1494" s="88">
        <f>SUMIF(月間集計シート!$M$50:$M$69,$G1494,月間集計シート!O$50:O$69)*R$2</f>
        <v>0</v>
      </c>
      <c r="S1494" s="88">
        <f>SUMIF(月間集計シート!$M$50:$M$69,$G1494,月間集計シート!P$50:P$69)*S$2</f>
        <v>0</v>
      </c>
      <c r="T1494" s="88">
        <f>SUMIF(月間集計シート!$M$50:$M$69,$G1494,月間集計シート!Q$50:Q$69)*T$2</f>
        <v>0</v>
      </c>
      <c r="U1494" s="88">
        <f>SUMIF(月間集計シート!$M$50:$M$69,$G1494,月間集計シート!R$50:R$69)*U$2</f>
        <v>0</v>
      </c>
      <c r="V1494" s="88">
        <f>SUMIF(月間集計シート!$M$50:$M$69,$G1494,月間集計シート!S$50:S$69)*V$2</f>
        <v>0</v>
      </c>
      <c r="W1494" s="88">
        <f>SUMIF(月間集計シート!$M$50:$M$69,$G1494,月間集計シート!T$50:T$69)*W$2</f>
        <v>0</v>
      </c>
      <c r="X1494" s="88">
        <f>SUMIF(月間集計シート!$M$71:$M$90,$G1494,月間集計シート!N$71:N$90)*X$2</f>
        <v>0</v>
      </c>
      <c r="Y1494" s="88">
        <f>SUMIF(月間集計シート!$M$71:$M$90,$G1494,月間集計シート!O$71:O$90)*Y$2</f>
        <v>0</v>
      </c>
      <c r="Z1494" s="88">
        <f>SUMIF(月間集計シート!$M$71:$M$90,$G1494,月間集計シート!P$71:P$90)*Z$2</f>
        <v>0</v>
      </c>
      <c r="AA1494" s="88">
        <f>SUMIF(月間集計シート!$M$71:$M$90,$G1494,月間集計シート!Q$71:Q$90)*AA$2</f>
        <v>0</v>
      </c>
      <c r="AB1494" s="88">
        <f>SUMIF(月間集計シート!$M$71:$M$90,$G1494,月間集計シート!R$71:R$90)*AB$2</f>
        <v>0</v>
      </c>
      <c r="AC1494" s="88">
        <f>SUMIF(月間集計シート!$M$71:$M$90,$G1494,月間集計シート!S$71:S$90)*AC$2</f>
        <v>0</v>
      </c>
      <c r="AD1494" s="88">
        <f>SUMIF(月間集計シート!$M$71:$M$90,$G1494,月間集計シート!T$71:T$90)*AD$2</f>
        <v>0</v>
      </c>
      <c r="AE1494" s="88">
        <f>SUMIF(月間集計シート!$M$92:$M$111,$G1494,月間集計シート!N$92:N$111)*AE$2</f>
        <v>0</v>
      </c>
      <c r="AF1494" s="88">
        <f>SUMIF(月間集計シート!$M$92:$M$111,$G1494,月間集計シート!O$92:O$111)*AF$2</f>
        <v>0</v>
      </c>
      <c r="AG1494" s="88">
        <f>SUMIF(月間集計シート!$M$92:$M$111,$G1494,月間集計シート!P$92:P$111)*AG$2</f>
        <v>0</v>
      </c>
      <c r="AH1494" s="88">
        <f>SUMIF(月間集計シート!$M$92:$M$111,$G1494,月間集計シート!Q$92:Q$111)*AH$2</f>
        <v>0</v>
      </c>
      <c r="AI1494" s="88">
        <f>SUMIF(月間集計シート!$M$92:$M$111,$G1494,月間集計シート!R$92:R$111)*AI$2</f>
        <v>0</v>
      </c>
      <c r="AJ1494" s="88">
        <f>SUMIF(月間集計シート!$M$92:$M$111,$G1494,月間集計シート!S$92:S$111)*AJ$2</f>
        <v>0</v>
      </c>
      <c r="AK1494" s="88">
        <f>SUMIF(月間集計シート!$M$92:$M$111,$G1494,月間集計シート!T$92:T$111)*AK$2</f>
        <v>0</v>
      </c>
      <c r="AL1494" s="88">
        <f>SUMIF(月間集計シート!$M$113:$M$132,$G1494,月間集計シート!N$113:N$132)*AL$2</f>
        <v>0</v>
      </c>
      <c r="AM1494" s="88">
        <f>SUMIF(月間集計シート!$M$113:$M$132,$G1494,月間集計シート!O$113:O$132)*AM$2</f>
        <v>0</v>
      </c>
      <c r="AN1494" s="88">
        <f>SUMIF(月間集計シート!$M$113:$M$132,$G1494,月間集計シート!P$113:P$132)*AN$2</f>
        <v>0</v>
      </c>
      <c r="AO1494" s="88">
        <f>SUMIF(月間集計シート!$M$113:$M$132,$G1494,月間集計シート!Q$113:Q$132)*AO$2</f>
        <v>0</v>
      </c>
      <c r="AP1494" s="88">
        <f>SUMIF(月間集計シート!$M$113:$M$132,$G1494,月間集計シート!R$113:R$132)*AP$2</f>
        <v>0</v>
      </c>
      <c r="AQ1494" s="88">
        <f>SUMIF(月間集計シート!$M$113:$M$132,$G1494,月間集計シート!S$113:S$132)*AQ$2</f>
        <v>0</v>
      </c>
      <c r="AR1494" s="88">
        <f>SUMIF(月間集計シート!$M$113:$M$132,$G1494,月間集計シート!T$113:T$132)*AR$2</f>
        <v>0</v>
      </c>
      <c r="AS1494" s="88">
        <f>SUMIF(月間集計シート!$M$134:$M$153,$G1494,月間集計シート!N$134:N$153)*AS$2</f>
        <v>0</v>
      </c>
      <c r="AT1494" s="88">
        <f>SUMIF(月間集計シート!$M$134:$M$153,$G1494,月間集計シート!O$134:O$153)*AT$2</f>
        <v>0</v>
      </c>
      <c r="AU1494" s="88">
        <f>SUMIF(月間集計シート!$M$134:$M$153,$G1494,月間集計シート!P$134:P$153)*AU$2</f>
        <v>0</v>
      </c>
      <c r="AV1494" s="88">
        <f>SUMIF(月間集計シート!$M$134:$M$153,$G1494,月間集計シート!Q$134:Q$153)*AV$2</f>
        <v>0</v>
      </c>
      <c r="AW1494" s="88">
        <f>SUMIF(月間集計シート!$M$134:$M$153,$G1494,月間集計シート!R$134:R$153)*AW$2</f>
        <v>0</v>
      </c>
      <c r="AX1494" s="88">
        <f>SUMIF(月間集計シート!$M$134:$M$153,$G1494,月間集計シート!S$134:S$153)*AX$2</f>
        <v>0</v>
      </c>
      <c r="AY1494" s="88">
        <f>SUMIF(月間集計シート!$M$134:$M$153,$G1494,月間集計シート!T$134:T$153)*AY$2</f>
        <v>0</v>
      </c>
    </row>
    <row r="1495" spans="1:51" ht="14.25" thickBot="1">
      <c r="A1495">
        <v>18</v>
      </c>
      <c r="B1495" s="120">
        <f t="shared" si="835"/>
        <v>0</v>
      </c>
      <c r="C1495" s="120" t="str">
        <f t="shared" si="836"/>
        <v/>
      </c>
      <c r="D1495" s="137"/>
      <c r="E1495" s="150" t="str">
        <f>工種!A42</f>
        <v>60101</v>
      </c>
      <c r="F1495" s="119" t="str">
        <f>工種!B42</f>
        <v>ﾘﾘｰｽ：ﾘﾘｰｽ・ﾃﾞﾘﾊﾞﾘ作業</v>
      </c>
      <c r="G1495" s="116" t="str">
        <f t="shared" si="837"/>
        <v>060101</v>
      </c>
      <c r="H1495" s="88">
        <f t="shared" si="791"/>
        <v>0</v>
      </c>
      <c r="I1495" s="132"/>
      <c r="J1495" s="88">
        <f>SUMIF(月間集計シート!$M$29:$M$48,$G1495,月間集計シート!N$29:N$48)*J$2</f>
        <v>0</v>
      </c>
      <c r="K1495" s="88">
        <f>SUMIF(月間集計シート!$M$29:$M$48,$G1495,月間集計シート!O$29:O$48)*K$2</f>
        <v>0</v>
      </c>
      <c r="L1495" s="88">
        <f>SUMIF(月間集計シート!$M$29:$M$48,$G1495,月間集計シート!P$29:P$48)*L$2</f>
        <v>0</v>
      </c>
      <c r="M1495" s="88">
        <f>SUMIF(月間集計シート!$M$29:$M$48,$G1495,月間集計シート!Q$29:Q$48)*M$2</f>
        <v>0</v>
      </c>
      <c r="N1495" s="88">
        <f>SUMIF(月間集計シート!$M$29:$M$48,$G1495,月間集計シート!R$29:R$48)*N$2</f>
        <v>0</v>
      </c>
      <c r="O1495" s="88">
        <f>SUMIF(月間集計シート!$M$29:$M$48,$G1495,月間集計シート!S$29:S$48)*O$2</f>
        <v>0</v>
      </c>
      <c r="P1495" s="88">
        <f>SUMIF(月間集計シート!$M$29:$M$48,$G1495,月間集計シート!T$29:T$48)*P$2</f>
        <v>0</v>
      </c>
      <c r="Q1495" s="88">
        <f>SUMIF(月間集計シート!$M$50:$M$69,$G1495,月間集計シート!N$50:N$69)*Q$2</f>
        <v>0</v>
      </c>
      <c r="R1495" s="88">
        <f>SUMIF(月間集計シート!$M$50:$M$69,$G1495,月間集計シート!O$50:O$69)*R$2</f>
        <v>0</v>
      </c>
      <c r="S1495" s="88">
        <f>SUMIF(月間集計シート!$M$50:$M$69,$G1495,月間集計シート!P$50:P$69)*S$2</f>
        <v>0</v>
      </c>
      <c r="T1495" s="88">
        <f>SUMIF(月間集計シート!$M$50:$M$69,$G1495,月間集計シート!Q$50:Q$69)*T$2</f>
        <v>0</v>
      </c>
      <c r="U1495" s="88">
        <f>SUMIF(月間集計シート!$M$50:$M$69,$G1495,月間集計シート!R$50:R$69)*U$2</f>
        <v>0</v>
      </c>
      <c r="V1495" s="88">
        <f>SUMIF(月間集計シート!$M$50:$M$69,$G1495,月間集計シート!S$50:S$69)*V$2</f>
        <v>0</v>
      </c>
      <c r="W1495" s="88">
        <f>SUMIF(月間集計シート!$M$50:$M$69,$G1495,月間集計シート!T$50:T$69)*W$2</f>
        <v>0</v>
      </c>
      <c r="X1495" s="88">
        <f>SUMIF(月間集計シート!$M$71:$M$90,$G1495,月間集計シート!N$71:N$90)*X$2</f>
        <v>0</v>
      </c>
      <c r="Y1495" s="88">
        <f>SUMIF(月間集計シート!$M$71:$M$90,$G1495,月間集計シート!O$71:O$90)*Y$2</f>
        <v>0</v>
      </c>
      <c r="Z1495" s="88">
        <f>SUMIF(月間集計シート!$M$71:$M$90,$G1495,月間集計シート!P$71:P$90)*Z$2</f>
        <v>0</v>
      </c>
      <c r="AA1495" s="88">
        <f>SUMIF(月間集計シート!$M$71:$M$90,$G1495,月間集計シート!Q$71:Q$90)*AA$2</f>
        <v>0</v>
      </c>
      <c r="AB1495" s="88">
        <f>SUMIF(月間集計シート!$M$71:$M$90,$G1495,月間集計シート!R$71:R$90)*AB$2</f>
        <v>0</v>
      </c>
      <c r="AC1495" s="88">
        <f>SUMIF(月間集計シート!$M$71:$M$90,$G1495,月間集計シート!S$71:S$90)*AC$2</f>
        <v>0</v>
      </c>
      <c r="AD1495" s="88">
        <f>SUMIF(月間集計シート!$M$71:$M$90,$G1495,月間集計シート!T$71:T$90)*AD$2</f>
        <v>0</v>
      </c>
      <c r="AE1495" s="88">
        <f>SUMIF(月間集計シート!$M$92:$M$111,$G1495,月間集計シート!N$92:N$111)*AE$2</f>
        <v>0</v>
      </c>
      <c r="AF1495" s="88">
        <f>SUMIF(月間集計シート!$M$92:$M$111,$G1495,月間集計シート!O$92:O$111)*AF$2</f>
        <v>0</v>
      </c>
      <c r="AG1495" s="88">
        <f>SUMIF(月間集計シート!$M$92:$M$111,$G1495,月間集計シート!P$92:P$111)*AG$2</f>
        <v>0</v>
      </c>
      <c r="AH1495" s="88">
        <f>SUMIF(月間集計シート!$M$92:$M$111,$G1495,月間集計シート!Q$92:Q$111)*AH$2</f>
        <v>0</v>
      </c>
      <c r="AI1495" s="88">
        <f>SUMIF(月間集計シート!$M$92:$M$111,$G1495,月間集計シート!R$92:R$111)*AI$2</f>
        <v>0</v>
      </c>
      <c r="AJ1495" s="88">
        <f>SUMIF(月間集計シート!$M$92:$M$111,$G1495,月間集計シート!S$92:S$111)*AJ$2</f>
        <v>0</v>
      </c>
      <c r="AK1495" s="88">
        <f>SUMIF(月間集計シート!$M$92:$M$111,$G1495,月間集計シート!T$92:T$111)*AK$2</f>
        <v>0</v>
      </c>
      <c r="AL1495" s="88">
        <f>SUMIF(月間集計シート!$M$113:$M$132,$G1495,月間集計シート!N$113:N$132)*AL$2</f>
        <v>0</v>
      </c>
      <c r="AM1495" s="88">
        <f>SUMIF(月間集計シート!$M$113:$M$132,$G1495,月間集計シート!O$113:O$132)*AM$2</f>
        <v>0</v>
      </c>
      <c r="AN1495" s="88">
        <f>SUMIF(月間集計シート!$M$113:$M$132,$G1495,月間集計シート!P$113:P$132)*AN$2</f>
        <v>0</v>
      </c>
      <c r="AO1495" s="88">
        <f>SUMIF(月間集計シート!$M$113:$M$132,$G1495,月間集計シート!Q$113:Q$132)*AO$2</f>
        <v>0</v>
      </c>
      <c r="AP1495" s="88">
        <f>SUMIF(月間集計シート!$M$113:$M$132,$G1495,月間集計シート!R$113:R$132)*AP$2</f>
        <v>0</v>
      </c>
      <c r="AQ1495" s="88">
        <f>SUMIF(月間集計シート!$M$113:$M$132,$G1495,月間集計シート!S$113:S$132)*AQ$2</f>
        <v>0</v>
      </c>
      <c r="AR1495" s="88">
        <f>SUMIF(月間集計シート!$M$113:$M$132,$G1495,月間集計シート!T$113:T$132)*AR$2</f>
        <v>0</v>
      </c>
      <c r="AS1495" s="88">
        <f>SUMIF(月間集計シート!$M$134:$M$153,$G1495,月間集計シート!N$134:N$153)*AS$2</f>
        <v>0</v>
      </c>
      <c r="AT1495" s="88">
        <f>SUMIF(月間集計シート!$M$134:$M$153,$G1495,月間集計シート!O$134:O$153)*AT$2</f>
        <v>0</v>
      </c>
      <c r="AU1495" s="88">
        <f>SUMIF(月間集計シート!$M$134:$M$153,$G1495,月間集計シート!P$134:P$153)*AU$2</f>
        <v>0</v>
      </c>
      <c r="AV1495" s="88">
        <f>SUMIF(月間集計シート!$M$134:$M$153,$G1495,月間集計シート!Q$134:Q$153)*AV$2</f>
        <v>0</v>
      </c>
      <c r="AW1495" s="88">
        <f>SUMIF(月間集計シート!$M$134:$M$153,$G1495,月間集計シート!R$134:R$153)*AW$2</f>
        <v>0</v>
      </c>
      <c r="AX1495" s="88">
        <f>SUMIF(月間集計シート!$M$134:$M$153,$G1495,月間集計シート!S$134:S$153)*AX$2</f>
        <v>0</v>
      </c>
      <c r="AY1495" s="88">
        <f>SUMIF(月間集計シート!$M$134:$M$153,$G1495,月間集計シート!T$134:T$153)*AY$2</f>
        <v>0</v>
      </c>
    </row>
    <row r="1496" spans="1:51" ht="14.25" thickBot="1">
      <c r="A1496">
        <v>18</v>
      </c>
      <c r="B1496" s="120">
        <f t="shared" si="835"/>
        <v>0</v>
      </c>
      <c r="C1496" s="120" t="str">
        <f t="shared" si="836"/>
        <v/>
      </c>
      <c r="D1496" s="137"/>
      <c r="E1496" s="150" t="str">
        <f>工種!A43</f>
        <v>60102</v>
      </c>
      <c r="F1496" s="119" t="str">
        <f>工種!B43</f>
        <v>ﾘﾘｰｽ：ﾘﾘｰｽ関連業務</v>
      </c>
      <c r="G1496" s="116" t="str">
        <f t="shared" si="837"/>
        <v>060102</v>
      </c>
      <c r="H1496" s="88">
        <f t="shared" si="791"/>
        <v>0</v>
      </c>
      <c r="I1496" s="132"/>
      <c r="J1496" s="88">
        <f>SUMIF(月間集計シート!$M$29:$M$48,$G1496,月間集計シート!N$29:N$48)*J$2</f>
        <v>0</v>
      </c>
      <c r="K1496" s="88">
        <f>SUMIF(月間集計シート!$M$29:$M$48,$G1496,月間集計シート!O$29:O$48)*K$2</f>
        <v>0</v>
      </c>
      <c r="L1496" s="88">
        <f>SUMIF(月間集計シート!$M$29:$M$48,$G1496,月間集計シート!P$29:P$48)*L$2</f>
        <v>0</v>
      </c>
      <c r="M1496" s="88">
        <f>SUMIF(月間集計シート!$M$29:$M$48,$G1496,月間集計シート!Q$29:Q$48)*M$2</f>
        <v>0</v>
      </c>
      <c r="N1496" s="88">
        <f>SUMIF(月間集計シート!$M$29:$M$48,$G1496,月間集計シート!R$29:R$48)*N$2</f>
        <v>0</v>
      </c>
      <c r="O1496" s="88">
        <f>SUMIF(月間集計シート!$M$29:$M$48,$G1496,月間集計シート!S$29:S$48)*O$2</f>
        <v>0</v>
      </c>
      <c r="P1496" s="88">
        <f>SUMIF(月間集計シート!$M$29:$M$48,$G1496,月間集計シート!T$29:T$48)*P$2</f>
        <v>0</v>
      </c>
      <c r="Q1496" s="88">
        <f>SUMIF(月間集計シート!$M$50:$M$69,$G1496,月間集計シート!N$50:N$69)*Q$2</f>
        <v>0</v>
      </c>
      <c r="R1496" s="88">
        <f>SUMIF(月間集計シート!$M$50:$M$69,$G1496,月間集計シート!O$50:O$69)*R$2</f>
        <v>0</v>
      </c>
      <c r="S1496" s="88">
        <f>SUMIF(月間集計シート!$M$50:$M$69,$G1496,月間集計シート!P$50:P$69)*S$2</f>
        <v>0</v>
      </c>
      <c r="T1496" s="88">
        <f>SUMIF(月間集計シート!$M$50:$M$69,$G1496,月間集計シート!Q$50:Q$69)*T$2</f>
        <v>0</v>
      </c>
      <c r="U1496" s="88">
        <f>SUMIF(月間集計シート!$M$50:$M$69,$G1496,月間集計シート!R$50:R$69)*U$2</f>
        <v>0</v>
      </c>
      <c r="V1496" s="88">
        <f>SUMIF(月間集計シート!$M$50:$M$69,$G1496,月間集計シート!S$50:S$69)*V$2</f>
        <v>0</v>
      </c>
      <c r="W1496" s="88">
        <f>SUMIF(月間集計シート!$M$50:$M$69,$G1496,月間集計シート!T$50:T$69)*W$2</f>
        <v>0</v>
      </c>
      <c r="X1496" s="88">
        <f>SUMIF(月間集計シート!$M$71:$M$90,$G1496,月間集計シート!N$71:N$90)*X$2</f>
        <v>0</v>
      </c>
      <c r="Y1496" s="88">
        <f>SUMIF(月間集計シート!$M$71:$M$90,$G1496,月間集計シート!O$71:O$90)*Y$2</f>
        <v>0</v>
      </c>
      <c r="Z1496" s="88">
        <f>SUMIF(月間集計シート!$M$71:$M$90,$G1496,月間集計シート!P$71:P$90)*Z$2</f>
        <v>0</v>
      </c>
      <c r="AA1496" s="88">
        <f>SUMIF(月間集計シート!$M$71:$M$90,$G1496,月間集計シート!Q$71:Q$90)*AA$2</f>
        <v>0</v>
      </c>
      <c r="AB1496" s="88">
        <f>SUMIF(月間集計シート!$M$71:$M$90,$G1496,月間集計シート!R$71:R$90)*AB$2</f>
        <v>0</v>
      </c>
      <c r="AC1496" s="88">
        <f>SUMIF(月間集計シート!$M$71:$M$90,$G1496,月間集計シート!S$71:S$90)*AC$2</f>
        <v>0</v>
      </c>
      <c r="AD1496" s="88">
        <f>SUMIF(月間集計シート!$M$71:$M$90,$G1496,月間集計シート!T$71:T$90)*AD$2</f>
        <v>0</v>
      </c>
      <c r="AE1496" s="88">
        <f>SUMIF(月間集計シート!$M$92:$M$111,$G1496,月間集計シート!N$92:N$111)*AE$2</f>
        <v>0</v>
      </c>
      <c r="AF1496" s="88">
        <f>SUMIF(月間集計シート!$M$92:$M$111,$G1496,月間集計シート!O$92:O$111)*AF$2</f>
        <v>0</v>
      </c>
      <c r="AG1496" s="88">
        <f>SUMIF(月間集計シート!$M$92:$M$111,$G1496,月間集計シート!P$92:P$111)*AG$2</f>
        <v>0</v>
      </c>
      <c r="AH1496" s="88">
        <f>SUMIF(月間集計シート!$M$92:$M$111,$G1496,月間集計シート!Q$92:Q$111)*AH$2</f>
        <v>0</v>
      </c>
      <c r="AI1496" s="88">
        <f>SUMIF(月間集計シート!$M$92:$M$111,$G1496,月間集計シート!R$92:R$111)*AI$2</f>
        <v>0</v>
      </c>
      <c r="AJ1496" s="88">
        <f>SUMIF(月間集計シート!$M$92:$M$111,$G1496,月間集計シート!S$92:S$111)*AJ$2</f>
        <v>0</v>
      </c>
      <c r="AK1496" s="88">
        <f>SUMIF(月間集計シート!$M$92:$M$111,$G1496,月間集計シート!T$92:T$111)*AK$2</f>
        <v>0</v>
      </c>
      <c r="AL1496" s="88">
        <f>SUMIF(月間集計シート!$M$113:$M$132,$G1496,月間集計シート!N$113:N$132)*AL$2</f>
        <v>0</v>
      </c>
      <c r="AM1496" s="88">
        <f>SUMIF(月間集計シート!$M$113:$M$132,$G1496,月間集計シート!O$113:O$132)*AM$2</f>
        <v>0</v>
      </c>
      <c r="AN1496" s="88">
        <f>SUMIF(月間集計シート!$M$113:$M$132,$G1496,月間集計シート!P$113:P$132)*AN$2</f>
        <v>0</v>
      </c>
      <c r="AO1496" s="88">
        <f>SUMIF(月間集計シート!$M$113:$M$132,$G1496,月間集計シート!Q$113:Q$132)*AO$2</f>
        <v>0</v>
      </c>
      <c r="AP1496" s="88">
        <f>SUMIF(月間集計シート!$M$113:$M$132,$G1496,月間集計シート!R$113:R$132)*AP$2</f>
        <v>0</v>
      </c>
      <c r="AQ1496" s="88">
        <f>SUMIF(月間集計シート!$M$113:$M$132,$G1496,月間集計シート!S$113:S$132)*AQ$2</f>
        <v>0</v>
      </c>
      <c r="AR1496" s="88">
        <f>SUMIF(月間集計シート!$M$113:$M$132,$G1496,月間集計シート!T$113:T$132)*AR$2</f>
        <v>0</v>
      </c>
      <c r="AS1496" s="88">
        <f>SUMIF(月間集計シート!$M$134:$M$153,$G1496,月間集計シート!N$134:N$153)*AS$2</f>
        <v>0</v>
      </c>
      <c r="AT1496" s="88">
        <f>SUMIF(月間集計シート!$M$134:$M$153,$G1496,月間集計シート!O$134:O$153)*AT$2</f>
        <v>0</v>
      </c>
      <c r="AU1496" s="88">
        <f>SUMIF(月間集計シート!$M$134:$M$153,$G1496,月間集計シート!P$134:P$153)*AU$2</f>
        <v>0</v>
      </c>
      <c r="AV1496" s="88">
        <f>SUMIF(月間集計シート!$M$134:$M$153,$G1496,月間集計シート!Q$134:Q$153)*AV$2</f>
        <v>0</v>
      </c>
      <c r="AW1496" s="88">
        <f>SUMIF(月間集計シート!$M$134:$M$153,$G1496,月間集計シート!R$134:R$153)*AW$2</f>
        <v>0</v>
      </c>
      <c r="AX1496" s="88">
        <f>SUMIF(月間集計シート!$M$134:$M$153,$G1496,月間集計シート!S$134:S$153)*AX$2</f>
        <v>0</v>
      </c>
      <c r="AY1496" s="88">
        <f>SUMIF(月間集計シート!$M$134:$M$153,$G1496,月間集計シート!T$134:T$153)*AY$2</f>
        <v>0</v>
      </c>
    </row>
    <row r="1497" spans="1:51" ht="14.25" thickBot="1">
      <c r="A1497">
        <v>18</v>
      </c>
      <c r="B1497" s="120">
        <f t="shared" si="835"/>
        <v>0</v>
      </c>
      <c r="C1497" s="120" t="str">
        <f t="shared" si="836"/>
        <v/>
      </c>
      <c r="D1497" s="137"/>
      <c r="E1497" s="150" t="str">
        <f>工種!A44</f>
        <v>60103</v>
      </c>
      <c r="F1497" s="119" t="str">
        <f>工種!B44</f>
        <v>ﾘﾘｰｽ：ﾏﾆｭｱﾙPDF作成・修正</v>
      </c>
      <c r="G1497" s="116" t="str">
        <f t="shared" si="837"/>
        <v>060103</v>
      </c>
      <c r="H1497" s="88">
        <f t="shared" si="791"/>
        <v>0</v>
      </c>
      <c r="I1497" s="132"/>
      <c r="J1497" s="88">
        <f>SUMIF(月間集計シート!$M$29:$M$48,$G1497,月間集計シート!N$29:N$48)*J$2</f>
        <v>0</v>
      </c>
      <c r="K1497" s="88">
        <f>SUMIF(月間集計シート!$M$29:$M$48,$G1497,月間集計シート!O$29:O$48)*K$2</f>
        <v>0</v>
      </c>
      <c r="L1497" s="88">
        <f>SUMIF(月間集計シート!$M$29:$M$48,$G1497,月間集計シート!P$29:P$48)*L$2</f>
        <v>0</v>
      </c>
      <c r="M1497" s="88">
        <f>SUMIF(月間集計シート!$M$29:$M$48,$G1497,月間集計シート!Q$29:Q$48)*M$2</f>
        <v>0</v>
      </c>
      <c r="N1497" s="88">
        <f>SUMIF(月間集計シート!$M$29:$M$48,$G1497,月間集計シート!R$29:R$48)*N$2</f>
        <v>0</v>
      </c>
      <c r="O1497" s="88">
        <f>SUMIF(月間集計シート!$M$29:$M$48,$G1497,月間集計シート!S$29:S$48)*O$2</f>
        <v>0</v>
      </c>
      <c r="P1497" s="88">
        <f>SUMIF(月間集計シート!$M$29:$M$48,$G1497,月間集計シート!T$29:T$48)*P$2</f>
        <v>0</v>
      </c>
      <c r="Q1497" s="88">
        <f>SUMIF(月間集計シート!$M$50:$M$69,$G1497,月間集計シート!N$50:N$69)*Q$2</f>
        <v>0</v>
      </c>
      <c r="R1497" s="88">
        <f>SUMIF(月間集計シート!$M$50:$M$69,$G1497,月間集計シート!O$50:O$69)*R$2</f>
        <v>0</v>
      </c>
      <c r="S1497" s="88">
        <f>SUMIF(月間集計シート!$M$50:$M$69,$G1497,月間集計シート!P$50:P$69)*S$2</f>
        <v>0</v>
      </c>
      <c r="T1497" s="88">
        <f>SUMIF(月間集計シート!$M$50:$M$69,$G1497,月間集計シート!Q$50:Q$69)*T$2</f>
        <v>0</v>
      </c>
      <c r="U1497" s="88">
        <f>SUMIF(月間集計シート!$M$50:$M$69,$G1497,月間集計シート!R$50:R$69)*U$2</f>
        <v>0</v>
      </c>
      <c r="V1497" s="88">
        <f>SUMIF(月間集計シート!$M$50:$M$69,$G1497,月間集計シート!S$50:S$69)*V$2</f>
        <v>0</v>
      </c>
      <c r="W1497" s="88">
        <f>SUMIF(月間集計シート!$M$50:$M$69,$G1497,月間集計シート!T$50:T$69)*W$2</f>
        <v>0</v>
      </c>
      <c r="X1497" s="88">
        <f>SUMIF(月間集計シート!$M$71:$M$90,$G1497,月間集計シート!N$71:N$90)*X$2</f>
        <v>0</v>
      </c>
      <c r="Y1497" s="88">
        <f>SUMIF(月間集計シート!$M$71:$M$90,$G1497,月間集計シート!O$71:O$90)*Y$2</f>
        <v>0</v>
      </c>
      <c r="Z1497" s="88">
        <f>SUMIF(月間集計シート!$M$71:$M$90,$G1497,月間集計シート!P$71:P$90)*Z$2</f>
        <v>0</v>
      </c>
      <c r="AA1497" s="88">
        <f>SUMIF(月間集計シート!$M$71:$M$90,$G1497,月間集計シート!Q$71:Q$90)*AA$2</f>
        <v>0</v>
      </c>
      <c r="AB1497" s="88">
        <f>SUMIF(月間集計シート!$M$71:$M$90,$G1497,月間集計シート!R$71:R$90)*AB$2</f>
        <v>0</v>
      </c>
      <c r="AC1497" s="88">
        <f>SUMIF(月間集計シート!$M$71:$M$90,$G1497,月間集計シート!S$71:S$90)*AC$2</f>
        <v>0</v>
      </c>
      <c r="AD1497" s="88">
        <f>SUMIF(月間集計シート!$M$71:$M$90,$G1497,月間集計シート!T$71:T$90)*AD$2</f>
        <v>0</v>
      </c>
      <c r="AE1497" s="88">
        <f>SUMIF(月間集計シート!$M$92:$M$111,$G1497,月間集計シート!N$92:N$111)*AE$2</f>
        <v>0</v>
      </c>
      <c r="AF1497" s="88">
        <f>SUMIF(月間集計シート!$M$92:$M$111,$G1497,月間集計シート!O$92:O$111)*AF$2</f>
        <v>0</v>
      </c>
      <c r="AG1497" s="88">
        <f>SUMIF(月間集計シート!$M$92:$M$111,$G1497,月間集計シート!P$92:P$111)*AG$2</f>
        <v>0</v>
      </c>
      <c r="AH1497" s="88">
        <f>SUMIF(月間集計シート!$M$92:$M$111,$G1497,月間集計シート!Q$92:Q$111)*AH$2</f>
        <v>0</v>
      </c>
      <c r="AI1497" s="88">
        <f>SUMIF(月間集計シート!$M$92:$M$111,$G1497,月間集計シート!R$92:R$111)*AI$2</f>
        <v>0</v>
      </c>
      <c r="AJ1497" s="88">
        <f>SUMIF(月間集計シート!$M$92:$M$111,$G1497,月間集計シート!S$92:S$111)*AJ$2</f>
        <v>0</v>
      </c>
      <c r="AK1497" s="88">
        <f>SUMIF(月間集計シート!$M$92:$M$111,$G1497,月間集計シート!T$92:T$111)*AK$2</f>
        <v>0</v>
      </c>
      <c r="AL1497" s="88">
        <f>SUMIF(月間集計シート!$M$113:$M$132,$G1497,月間集計シート!N$113:N$132)*AL$2</f>
        <v>0</v>
      </c>
      <c r="AM1497" s="88">
        <f>SUMIF(月間集計シート!$M$113:$M$132,$G1497,月間集計シート!O$113:O$132)*AM$2</f>
        <v>0</v>
      </c>
      <c r="AN1497" s="88">
        <f>SUMIF(月間集計シート!$M$113:$M$132,$G1497,月間集計シート!P$113:P$132)*AN$2</f>
        <v>0</v>
      </c>
      <c r="AO1497" s="88">
        <f>SUMIF(月間集計シート!$M$113:$M$132,$G1497,月間集計シート!Q$113:Q$132)*AO$2</f>
        <v>0</v>
      </c>
      <c r="AP1497" s="88">
        <f>SUMIF(月間集計シート!$M$113:$M$132,$G1497,月間集計シート!R$113:R$132)*AP$2</f>
        <v>0</v>
      </c>
      <c r="AQ1497" s="88">
        <f>SUMIF(月間集計シート!$M$113:$M$132,$G1497,月間集計シート!S$113:S$132)*AQ$2</f>
        <v>0</v>
      </c>
      <c r="AR1497" s="88">
        <f>SUMIF(月間集計シート!$M$113:$M$132,$G1497,月間集計シート!T$113:T$132)*AR$2</f>
        <v>0</v>
      </c>
      <c r="AS1497" s="88">
        <f>SUMIF(月間集計シート!$M$134:$M$153,$G1497,月間集計シート!N$134:N$153)*AS$2</f>
        <v>0</v>
      </c>
      <c r="AT1497" s="88">
        <f>SUMIF(月間集計シート!$M$134:$M$153,$G1497,月間集計シート!O$134:O$153)*AT$2</f>
        <v>0</v>
      </c>
      <c r="AU1497" s="88">
        <f>SUMIF(月間集計シート!$M$134:$M$153,$G1497,月間集計シート!P$134:P$153)*AU$2</f>
        <v>0</v>
      </c>
      <c r="AV1497" s="88">
        <f>SUMIF(月間集計シート!$M$134:$M$153,$G1497,月間集計シート!Q$134:Q$153)*AV$2</f>
        <v>0</v>
      </c>
      <c r="AW1497" s="88">
        <f>SUMIF(月間集計シート!$M$134:$M$153,$G1497,月間集計シート!R$134:R$153)*AW$2</f>
        <v>0</v>
      </c>
      <c r="AX1497" s="88">
        <f>SUMIF(月間集計シート!$M$134:$M$153,$G1497,月間集計シート!S$134:S$153)*AX$2</f>
        <v>0</v>
      </c>
      <c r="AY1497" s="88">
        <f>SUMIF(月間集計シート!$M$134:$M$153,$G1497,月間集計シート!T$134:T$153)*AY$2</f>
        <v>0</v>
      </c>
    </row>
    <row r="1498" spans="1:51" ht="14.25" thickBot="1">
      <c r="A1498">
        <v>18</v>
      </c>
      <c r="B1498" s="120">
        <f t="shared" si="835"/>
        <v>0</v>
      </c>
      <c r="C1498" s="120" t="str">
        <f t="shared" si="836"/>
        <v/>
      </c>
      <c r="D1498" s="137"/>
      <c r="E1498" s="150" t="str">
        <f>工種!A45</f>
        <v>60104</v>
      </c>
      <c r="F1498" s="119" t="str">
        <f>工種!B45</f>
        <v>ﾘﾘｰｽ：ﾍﾙﾌﾟ作成・修正</v>
      </c>
      <c r="G1498" s="116" t="str">
        <f t="shared" si="837"/>
        <v>060104</v>
      </c>
      <c r="H1498" s="88">
        <f t="shared" si="791"/>
        <v>0</v>
      </c>
      <c r="I1498" s="132"/>
      <c r="J1498" s="88">
        <f>SUMIF(月間集計シート!$M$29:$M$48,$G1498,月間集計シート!N$29:N$48)*J$2</f>
        <v>0</v>
      </c>
      <c r="K1498" s="88">
        <f>SUMIF(月間集計シート!$M$29:$M$48,$G1498,月間集計シート!O$29:O$48)*K$2</f>
        <v>0</v>
      </c>
      <c r="L1498" s="88">
        <f>SUMIF(月間集計シート!$M$29:$M$48,$G1498,月間集計シート!P$29:P$48)*L$2</f>
        <v>0</v>
      </c>
      <c r="M1498" s="88">
        <f>SUMIF(月間集計シート!$M$29:$M$48,$G1498,月間集計シート!Q$29:Q$48)*M$2</f>
        <v>0</v>
      </c>
      <c r="N1498" s="88">
        <f>SUMIF(月間集計シート!$M$29:$M$48,$G1498,月間集計シート!R$29:R$48)*N$2</f>
        <v>0</v>
      </c>
      <c r="O1498" s="88">
        <f>SUMIF(月間集計シート!$M$29:$M$48,$G1498,月間集計シート!S$29:S$48)*O$2</f>
        <v>0</v>
      </c>
      <c r="P1498" s="88">
        <f>SUMIF(月間集計シート!$M$29:$M$48,$G1498,月間集計シート!T$29:T$48)*P$2</f>
        <v>0</v>
      </c>
      <c r="Q1498" s="88">
        <f>SUMIF(月間集計シート!$M$50:$M$69,$G1498,月間集計シート!N$50:N$69)*Q$2</f>
        <v>0</v>
      </c>
      <c r="R1498" s="88">
        <f>SUMIF(月間集計シート!$M$50:$M$69,$G1498,月間集計シート!O$50:O$69)*R$2</f>
        <v>0</v>
      </c>
      <c r="S1498" s="88">
        <f>SUMIF(月間集計シート!$M$50:$M$69,$G1498,月間集計シート!P$50:P$69)*S$2</f>
        <v>0</v>
      </c>
      <c r="T1498" s="88">
        <f>SUMIF(月間集計シート!$M$50:$M$69,$G1498,月間集計シート!Q$50:Q$69)*T$2</f>
        <v>0</v>
      </c>
      <c r="U1498" s="88">
        <f>SUMIF(月間集計シート!$M$50:$M$69,$G1498,月間集計シート!R$50:R$69)*U$2</f>
        <v>0</v>
      </c>
      <c r="V1498" s="88">
        <f>SUMIF(月間集計シート!$M$50:$M$69,$G1498,月間集計シート!S$50:S$69)*V$2</f>
        <v>0</v>
      </c>
      <c r="W1498" s="88">
        <f>SUMIF(月間集計シート!$M$50:$M$69,$G1498,月間集計シート!T$50:T$69)*W$2</f>
        <v>0</v>
      </c>
      <c r="X1498" s="88">
        <f>SUMIF(月間集計シート!$M$71:$M$90,$G1498,月間集計シート!N$71:N$90)*X$2</f>
        <v>0</v>
      </c>
      <c r="Y1498" s="88">
        <f>SUMIF(月間集計シート!$M$71:$M$90,$G1498,月間集計シート!O$71:O$90)*Y$2</f>
        <v>0</v>
      </c>
      <c r="Z1498" s="88">
        <f>SUMIF(月間集計シート!$M$71:$M$90,$G1498,月間集計シート!P$71:P$90)*Z$2</f>
        <v>0</v>
      </c>
      <c r="AA1498" s="88">
        <f>SUMIF(月間集計シート!$M$71:$M$90,$G1498,月間集計シート!Q$71:Q$90)*AA$2</f>
        <v>0</v>
      </c>
      <c r="AB1498" s="88">
        <f>SUMIF(月間集計シート!$M$71:$M$90,$G1498,月間集計シート!R$71:R$90)*AB$2</f>
        <v>0</v>
      </c>
      <c r="AC1498" s="88">
        <f>SUMIF(月間集計シート!$M$71:$M$90,$G1498,月間集計シート!S$71:S$90)*AC$2</f>
        <v>0</v>
      </c>
      <c r="AD1498" s="88">
        <f>SUMIF(月間集計シート!$M$71:$M$90,$G1498,月間集計シート!T$71:T$90)*AD$2</f>
        <v>0</v>
      </c>
      <c r="AE1498" s="88">
        <f>SUMIF(月間集計シート!$M$92:$M$111,$G1498,月間集計シート!N$92:N$111)*AE$2</f>
        <v>0</v>
      </c>
      <c r="AF1498" s="88">
        <f>SUMIF(月間集計シート!$M$92:$M$111,$G1498,月間集計シート!O$92:O$111)*AF$2</f>
        <v>0</v>
      </c>
      <c r="AG1498" s="88">
        <f>SUMIF(月間集計シート!$M$92:$M$111,$G1498,月間集計シート!P$92:P$111)*AG$2</f>
        <v>0</v>
      </c>
      <c r="AH1498" s="88">
        <f>SUMIF(月間集計シート!$M$92:$M$111,$G1498,月間集計シート!Q$92:Q$111)*AH$2</f>
        <v>0</v>
      </c>
      <c r="AI1498" s="88">
        <f>SUMIF(月間集計シート!$M$92:$M$111,$G1498,月間集計シート!R$92:R$111)*AI$2</f>
        <v>0</v>
      </c>
      <c r="AJ1498" s="88">
        <f>SUMIF(月間集計シート!$M$92:$M$111,$G1498,月間集計シート!S$92:S$111)*AJ$2</f>
        <v>0</v>
      </c>
      <c r="AK1498" s="88">
        <f>SUMIF(月間集計シート!$M$92:$M$111,$G1498,月間集計シート!T$92:T$111)*AK$2</f>
        <v>0</v>
      </c>
      <c r="AL1498" s="88">
        <f>SUMIF(月間集計シート!$M$113:$M$132,$G1498,月間集計シート!N$113:N$132)*AL$2</f>
        <v>0</v>
      </c>
      <c r="AM1498" s="88">
        <f>SUMIF(月間集計シート!$M$113:$M$132,$G1498,月間集計シート!O$113:O$132)*AM$2</f>
        <v>0</v>
      </c>
      <c r="AN1498" s="88">
        <f>SUMIF(月間集計シート!$M$113:$M$132,$G1498,月間集計シート!P$113:P$132)*AN$2</f>
        <v>0</v>
      </c>
      <c r="AO1498" s="88">
        <f>SUMIF(月間集計シート!$M$113:$M$132,$G1498,月間集計シート!Q$113:Q$132)*AO$2</f>
        <v>0</v>
      </c>
      <c r="AP1498" s="88">
        <f>SUMIF(月間集計シート!$M$113:$M$132,$G1498,月間集計シート!R$113:R$132)*AP$2</f>
        <v>0</v>
      </c>
      <c r="AQ1498" s="88">
        <f>SUMIF(月間集計シート!$M$113:$M$132,$G1498,月間集計シート!S$113:S$132)*AQ$2</f>
        <v>0</v>
      </c>
      <c r="AR1498" s="88">
        <f>SUMIF(月間集計シート!$M$113:$M$132,$G1498,月間集計シート!T$113:T$132)*AR$2</f>
        <v>0</v>
      </c>
      <c r="AS1498" s="88">
        <f>SUMIF(月間集計シート!$M$134:$M$153,$G1498,月間集計シート!N$134:N$153)*AS$2</f>
        <v>0</v>
      </c>
      <c r="AT1498" s="88">
        <f>SUMIF(月間集計シート!$M$134:$M$153,$G1498,月間集計シート!O$134:O$153)*AT$2</f>
        <v>0</v>
      </c>
      <c r="AU1498" s="88">
        <f>SUMIF(月間集計シート!$M$134:$M$153,$G1498,月間集計シート!P$134:P$153)*AU$2</f>
        <v>0</v>
      </c>
      <c r="AV1498" s="88">
        <f>SUMIF(月間集計シート!$M$134:$M$153,$G1498,月間集計シート!Q$134:Q$153)*AV$2</f>
        <v>0</v>
      </c>
      <c r="AW1498" s="88">
        <f>SUMIF(月間集計シート!$M$134:$M$153,$G1498,月間集計シート!R$134:R$153)*AW$2</f>
        <v>0</v>
      </c>
      <c r="AX1498" s="88">
        <f>SUMIF(月間集計シート!$M$134:$M$153,$G1498,月間集計シート!S$134:S$153)*AX$2</f>
        <v>0</v>
      </c>
      <c r="AY1498" s="88">
        <f>SUMIF(月間集計シート!$M$134:$M$153,$G1498,月間集計シート!T$134:T$153)*AY$2</f>
        <v>0</v>
      </c>
    </row>
    <row r="1499" spans="1:51" ht="14.25" thickBot="1">
      <c r="A1499">
        <v>18</v>
      </c>
      <c r="B1499" s="120">
        <f t="shared" si="835"/>
        <v>0</v>
      </c>
      <c r="C1499" s="120" t="str">
        <f t="shared" si="836"/>
        <v/>
      </c>
      <c r="D1499" s="137"/>
      <c r="E1499" s="150" t="str">
        <f>工種!A46</f>
        <v>60105</v>
      </c>
      <c r="F1499" s="119" t="str">
        <f>工種!B46</f>
        <v>ﾘﾘｰｽ：締め作業</v>
      </c>
      <c r="G1499" s="116" t="str">
        <f t="shared" si="837"/>
        <v>060105</v>
      </c>
      <c r="H1499" s="88">
        <f t="shared" si="791"/>
        <v>0</v>
      </c>
      <c r="I1499" s="132"/>
      <c r="J1499" s="88">
        <f>SUMIF(月間集計シート!$M$29:$M$48,$G1499,月間集計シート!N$29:N$48)*J$2</f>
        <v>0</v>
      </c>
      <c r="K1499" s="88">
        <f>SUMIF(月間集計シート!$M$29:$M$48,$G1499,月間集計シート!O$29:O$48)*K$2</f>
        <v>0</v>
      </c>
      <c r="L1499" s="88">
        <f>SUMIF(月間集計シート!$M$29:$M$48,$G1499,月間集計シート!P$29:P$48)*L$2</f>
        <v>0</v>
      </c>
      <c r="M1499" s="88">
        <f>SUMIF(月間集計シート!$M$29:$M$48,$G1499,月間集計シート!Q$29:Q$48)*M$2</f>
        <v>0</v>
      </c>
      <c r="N1499" s="88">
        <f>SUMIF(月間集計シート!$M$29:$M$48,$G1499,月間集計シート!R$29:R$48)*N$2</f>
        <v>0</v>
      </c>
      <c r="O1499" s="88">
        <f>SUMIF(月間集計シート!$M$29:$M$48,$G1499,月間集計シート!S$29:S$48)*O$2</f>
        <v>0</v>
      </c>
      <c r="P1499" s="88">
        <f>SUMIF(月間集計シート!$M$29:$M$48,$G1499,月間集計シート!T$29:T$48)*P$2</f>
        <v>0</v>
      </c>
      <c r="Q1499" s="88">
        <f>SUMIF(月間集計シート!$M$50:$M$69,$G1499,月間集計シート!N$50:N$69)*Q$2</f>
        <v>0</v>
      </c>
      <c r="R1499" s="88">
        <f>SUMIF(月間集計シート!$M$50:$M$69,$G1499,月間集計シート!O$50:O$69)*R$2</f>
        <v>0</v>
      </c>
      <c r="S1499" s="88">
        <f>SUMIF(月間集計シート!$M$50:$M$69,$G1499,月間集計シート!P$50:P$69)*S$2</f>
        <v>0</v>
      </c>
      <c r="T1499" s="88">
        <f>SUMIF(月間集計シート!$M$50:$M$69,$G1499,月間集計シート!Q$50:Q$69)*T$2</f>
        <v>0</v>
      </c>
      <c r="U1499" s="88">
        <f>SUMIF(月間集計シート!$M$50:$M$69,$G1499,月間集計シート!R$50:R$69)*U$2</f>
        <v>0</v>
      </c>
      <c r="V1499" s="88">
        <f>SUMIF(月間集計シート!$M$50:$M$69,$G1499,月間集計シート!S$50:S$69)*V$2</f>
        <v>0</v>
      </c>
      <c r="W1499" s="88">
        <f>SUMIF(月間集計シート!$M$50:$M$69,$G1499,月間集計シート!T$50:T$69)*W$2</f>
        <v>0</v>
      </c>
      <c r="X1499" s="88">
        <f>SUMIF(月間集計シート!$M$71:$M$90,$G1499,月間集計シート!N$71:N$90)*X$2</f>
        <v>0</v>
      </c>
      <c r="Y1499" s="88">
        <f>SUMIF(月間集計シート!$M$71:$M$90,$G1499,月間集計シート!O$71:O$90)*Y$2</f>
        <v>0</v>
      </c>
      <c r="Z1499" s="88">
        <f>SUMIF(月間集計シート!$M$71:$M$90,$G1499,月間集計シート!P$71:P$90)*Z$2</f>
        <v>0</v>
      </c>
      <c r="AA1499" s="88">
        <f>SUMIF(月間集計シート!$M$71:$M$90,$G1499,月間集計シート!Q$71:Q$90)*AA$2</f>
        <v>0</v>
      </c>
      <c r="AB1499" s="88">
        <f>SUMIF(月間集計シート!$M$71:$M$90,$G1499,月間集計シート!R$71:R$90)*AB$2</f>
        <v>0</v>
      </c>
      <c r="AC1499" s="88">
        <f>SUMIF(月間集計シート!$M$71:$M$90,$G1499,月間集計シート!S$71:S$90)*AC$2</f>
        <v>0</v>
      </c>
      <c r="AD1499" s="88">
        <f>SUMIF(月間集計シート!$M$71:$M$90,$G1499,月間集計シート!T$71:T$90)*AD$2</f>
        <v>0</v>
      </c>
      <c r="AE1499" s="88">
        <f>SUMIF(月間集計シート!$M$92:$M$111,$G1499,月間集計シート!N$92:N$111)*AE$2</f>
        <v>0</v>
      </c>
      <c r="AF1499" s="88">
        <f>SUMIF(月間集計シート!$M$92:$M$111,$G1499,月間集計シート!O$92:O$111)*AF$2</f>
        <v>0</v>
      </c>
      <c r="AG1499" s="88">
        <f>SUMIF(月間集計シート!$M$92:$M$111,$G1499,月間集計シート!P$92:P$111)*AG$2</f>
        <v>0</v>
      </c>
      <c r="AH1499" s="88">
        <f>SUMIF(月間集計シート!$M$92:$M$111,$G1499,月間集計シート!Q$92:Q$111)*AH$2</f>
        <v>0</v>
      </c>
      <c r="AI1499" s="88">
        <f>SUMIF(月間集計シート!$M$92:$M$111,$G1499,月間集計シート!R$92:R$111)*AI$2</f>
        <v>0</v>
      </c>
      <c r="AJ1499" s="88">
        <f>SUMIF(月間集計シート!$M$92:$M$111,$G1499,月間集計シート!S$92:S$111)*AJ$2</f>
        <v>0</v>
      </c>
      <c r="AK1499" s="88">
        <f>SUMIF(月間集計シート!$M$92:$M$111,$G1499,月間集計シート!T$92:T$111)*AK$2</f>
        <v>0</v>
      </c>
      <c r="AL1499" s="88">
        <f>SUMIF(月間集計シート!$M$113:$M$132,$G1499,月間集計シート!N$113:N$132)*AL$2</f>
        <v>0</v>
      </c>
      <c r="AM1499" s="88">
        <f>SUMIF(月間集計シート!$M$113:$M$132,$G1499,月間集計シート!O$113:O$132)*AM$2</f>
        <v>0</v>
      </c>
      <c r="AN1499" s="88">
        <f>SUMIF(月間集計シート!$M$113:$M$132,$G1499,月間集計シート!P$113:P$132)*AN$2</f>
        <v>0</v>
      </c>
      <c r="AO1499" s="88">
        <f>SUMIF(月間集計シート!$M$113:$M$132,$G1499,月間集計シート!Q$113:Q$132)*AO$2</f>
        <v>0</v>
      </c>
      <c r="AP1499" s="88">
        <f>SUMIF(月間集計シート!$M$113:$M$132,$G1499,月間集計シート!R$113:R$132)*AP$2</f>
        <v>0</v>
      </c>
      <c r="AQ1499" s="88">
        <f>SUMIF(月間集計シート!$M$113:$M$132,$G1499,月間集計シート!S$113:S$132)*AQ$2</f>
        <v>0</v>
      </c>
      <c r="AR1499" s="88">
        <f>SUMIF(月間集計シート!$M$113:$M$132,$G1499,月間集計シート!T$113:T$132)*AR$2</f>
        <v>0</v>
      </c>
      <c r="AS1499" s="88">
        <f>SUMIF(月間集計シート!$M$134:$M$153,$G1499,月間集計シート!N$134:N$153)*AS$2</f>
        <v>0</v>
      </c>
      <c r="AT1499" s="88">
        <f>SUMIF(月間集計シート!$M$134:$M$153,$G1499,月間集計シート!O$134:O$153)*AT$2</f>
        <v>0</v>
      </c>
      <c r="AU1499" s="88">
        <f>SUMIF(月間集計シート!$M$134:$M$153,$G1499,月間集計シート!P$134:P$153)*AU$2</f>
        <v>0</v>
      </c>
      <c r="AV1499" s="88">
        <f>SUMIF(月間集計シート!$M$134:$M$153,$G1499,月間集計シート!Q$134:Q$153)*AV$2</f>
        <v>0</v>
      </c>
      <c r="AW1499" s="88">
        <f>SUMIF(月間集計シート!$M$134:$M$153,$G1499,月間集計シート!R$134:R$153)*AW$2</f>
        <v>0</v>
      </c>
      <c r="AX1499" s="88">
        <f>SUMIF(月間集計シート!$M$134:$M$153,$G1499,月間集計シート!S$134:S$153)*AX$2</f>
        <v>0</v>
      </c>
      <c r="AY1499" s="88">
        <f>SUMIF(月間集計シート!$M$134:$M$153,$G1499,月間集計シート!T$134:T$153)*AY$2</f>
        <v>0</v>
      </c>
    </row>
    <row r="1500" spans="1:51" ht="14.25" thickBot="1">
      <c r="A1500">
        <v>18</v>
      </c>
      <c r="B1500" s="120">
        <f t="shared" si="835"/>
        <v>0</v>
      </c>
      <c r="C1500" s="120" t="str">
        <f t="shared" si="836"/>
        <v/>
      </c>
      <c r="D1500" s="137"/>
      <c r="E1500" s="150" t="str">
        <f>工種!A47</f>
        <v>60107</v>
      </c>
      <c r="F1500" s="119" t="str">
        <f>工種!B47</f>
        <v>ﾘﾘｰｽ：打合せ</v>
      </c>
      <c r="G1500" s="116" t="str">
        <f t="shared" si="837"/>
        <v>060107</v>
      </c>
      <c r="H1500" s="88">
        <f t="shared" si="791"/>
        <v>0</v>
      </c>
      <c r="I1500" s="132"/>
      <c r="J1500" s="88">
        <f>SUMIF(月間集計シート!$M$29:$M$48,$G1500,月間集計シート!N$29:N$48)*J$2</f>
        <v>0</v>
      </c>
      <c r="K1500" s="88">
        <f>SUMIF(月間集計シート!$M$29:$M$48,$G1500,月間集計シート!O$29:O$48)*K$2</f>
        <v>0</v>
      </c>
      <c r="L1500" s="88">
        <f>SUMIF(月間集計シート!$M$29:$M$48,$G1500,月間集計シート!P$29:P$48)*L$2</f>
        <v>0</v>
      </c>
      <c r="M1500" s="88">
        <f>SUMIF(月間集計シート!$M$29:$M$48,$G1500,月間集計シート!Q$29:Q$48)*M$2</f>
        <v>0</v>
      </c>
      <c r="N1500" s="88">
        <f>SUMIF(月間集計シート!$M$29:$M$48,$G1500,月間集計シート!R$29:R$48)*N$2</f>
        <v>0</v>
      </c>
      <c r="O1500" s="88">
        <f>SUMIF(月間集計シート!$M$29:$M$48,$G1500,月間集計シート!S$29:S$48)*O$2</f>
        <v>0</v>
      </c>
      <c r="P1500" s="88">
        <f>SUMIF(月間集計シート!$M$29:$M$48,$G1500,月間集計シート!T$29:T$48)*P$2</f>
        <v>0</v>
      </c>
      <c r="Q1500" s="88">
        <f>SUMIF(月間集計シート!$M$50:$M$69,$G1500,月間集計シート!N$50:N$69)*Q$2</f>
        <v>0</v>
      </c>
      <c r="R1500" s="88">
        <f>SUMIF(月間集計シート!$M$50:$M$69,$G1500,月間集計シート!O$50:O$69)*R$2</f>
        <v>0</v>
      </c>
      <c r="S1500" s="88">
        <f>SUMIF(月間集計シート!$M$50:$M$69,$G1500,月間集計シート!P$50:P$69)*S$2</f>
        <v>0</v>
      </c>
      <c r="T1500" s="88">
        <f>SUMIF(月間集計シート!$M$50:$M$69,$G1500,月間集計シート!Q$50:Q$69)*T$2</f>
        <v>0</v>
      </c>
      <c r="U1500" s="88">
        <f>SUMIF(月間集計シート!$M$50:$M$69,$G1500,月間集計シート!R$50:R$69)*U$2</f>
        <v>0</v>
      </c>
      <c r="V1500" s="88">
        <f>SUMIF(月間集計シート!$M$50:$M$69,$G1500,月間集計シート!S$50:S$69)*V$2</f>
        <v>0</v>
      </c>
      <c r="W1500" s="88">
        <f>SUMIF(月間集計シート!$M$50:$M$69,$G1500,月間集計シート!T$50:T$69)*W$2</f>
        <v>0</v>
      </c>
      <c r="X1500" s="88">
        <f>SUMIF(月間集計シート!$M$71:$M$90,$G1500,月間集計シート!N$71:N$90)*X$2</f>
        <v>0</v>
      </c>
      <c r="Y1500" s="88">
        <f>SUMIF(月間集計シート!$M$71:$M$90,$G1500,月間集計シート!O$71:O$90)*Y$2</f>
        <v>0</v>
      </c>
      <c r="Z1500" s="88">
        <f>SUMIF(月間集計シート!$M$71:$M$90,$G1500,月間集計シート!P$71:P$90)*Z$2</f>
        <v>0</v>
      </c>
      <c r="AA1500" s="88">
        <f>SUMIF(月間集計シート!$M$71:$M$90,$G1500,月間集計シート!Q$71:Q$90)*AA$2</f>
        <v>0</v>
      </c>
      <c r="AB1500" s="88">
        <f>SUMIF(月間集計シート!$M$71:$M$90,$G1500,月間集計シート!R$71:R$90)*AB$2</f>
        <v>0</v>
      </c>
      <c r="AC1500" s="88">
        <f>SUMIF(月間集計シート!$M$71:$M$90,$G1500,月間集計シート!S$71:S$90)*AC$2</f>
        <v>0</v>
      </c>
      <c r="AD1500" s="88">
        <f>SUMIF(月間集計シート!$M$71:$M$90,$G1500,月間集計シート!T$71:T$90)*AD$2</f>
        <v>0</v>
      </c>
      <c r="AE1500" s="88">
        <f>SUMIF(月間集計シート!$M$92:$M$111,$G1500,月間集計シート!N$92:N$111)*AE$2</f>
        <v>0</v>
      </c>
      <c r="AF1500" s="88">
        <f>SUMIF(月間集計シート!$M$92:$M$111,$G1500,月間集計シート!O$92:O$111)*AF$2</f>
        <v>0</v>
      </c>
      <c r="AG1500" s="88">
        <f>SUMIF(月間集計シート!$M$92:$M$111,$G1500,月間集計シート!P$92:P$111)*AG$2</f>
        <v>0</v>
      </c>
      <c r="AH1500" s="88">
        <f>SUMIF(月間集計シート!$M$92:$M$111,$G1500,月間集計シート!Q$92:Q$111)*AH$2</f>
        <v>0</v>
      </c>
      <c r="AI1500" s="88">
        <f>SUMIF(月間集計シート!$M$92:$M$111,$G1500,月間集計シート!R$92:R$111)*AI$2</f>
        <v>0</v>
      </c>
      <c r="AJ1500" s="88">
        <f>SUMIF(月間集計シート!$M$92:$M$111,$G1500,月間集計シート!S$92:S$111)*AJ$2</f>
        <v>0</v>
      </c>
      <c r="AK1500" s="88">
        <f>SUMIF(月間集計シート!$M$92:$M$111,$G1500,月間集計シート!T$92:T$111)*AK$2</f>
        <v>0</v>
      </c>
      <c r="AL1500" s="88">
        <f>SUMIF(月間集計シート!$M$113:$M$132,$G1500,月間集計シート!N$113:N$132)*AL$2</f>
        <v>0</v>
      </c>
      <c r="AM1500" s="88">
        <f>SUMIF(月間集計シート!$M$113:$M$132,$G1500,月間集計シート!O$113:O$132)*AM$2</f>
        <v>0</v>
      </c>
      <c r="AN1500" s="88">
        <f>SUMIF(月間集計シート!$M$113:$M$132,$G1500,月間集計シート!P$113:P$132)*AN$2</f>
        <v>0</v>
      </c>
      <c r="AO1500" s="88">
        <f>SUMIF(月間集計シート!$M$113:$M$132,$G1500,月間集計シート!Q$113:Q$132)*AO$2</f>
        <v>0</v>
      </c>
      <c r="AP1500" s="88">
        <f>SUMIF(月間集計シート!$M$113:$M$132,$G1500,月間集計シート!R$113:R$132)*AP$2</f>
        <v>0</v>
      </c>
      <c r="AQ1500" s="88">
        <f>SUMIF(月間集計シート!$M$113:$M$132,$G1500,月間集計シート!S$113:S$132)*AQ$2</f>
        <v>0</v>
      </c>
      <c r="AR1500" s="88">
        <f>SUMIF(月間集計シート!$M$113:$M$132,$G1500,月間集計シート!T$113:T$132)*AR$2</f>
        <v>0</v>
      </c>
      <c r="AS1500" s="88">
        <f>SUMIF(月間集計シート!$M$134:$M$153,$G1500,月間集計シート!N$134:N$153)*AS$2</f>
        <v>0</v>
      </c>
      <c r="AT1500" s="88">
        <f>SUMIF(月間集計シート!$M$134:$M$153,$G1500,月間集計シート!O$134:O$153)*AT$2</f>
        <v>0</v>
      </c>
      <c r="AU1500" s="88">
        <f>SUMIF(月間集計シート!$M$134:$M$153,$G1500,月間集計シート!P$134:P$153)*AU$2</f>
        <v>0</v>
      </c>
      <c r="AV1500" s="88">
        <f>SUMIF(月間集計シート!$M$134:$M$153,$G1500,月間集計シート!Q$134:Q$153)*AV$2</f>
        <v>0</v>
      </c>
      <c r="AW1500" s="88">
        <f>SUMIF(月間集計シート!$M$134:$M$153,$G1500,月間集計シート!R$134:R$153)*AW$2</f>
        <v>0</v>
      </c>
      <c r="AX1500" s="88">
        <f>SUMIF(月間集計シート!$M$134:$M$153,$G1500,月間集計シート!S$134:S$153)*AX$2</f>
        <v>0</v>
      </c>
      <c r="AY1500" s="88">
        <f>SUMIF(月間集計シート!$M$134:$M$153,$G1500,月間集計シート!T$134:T$153)*AY$2</f>
        <v>0</v>
      </c>
    </row>
    <row r="1501" spans="1:51" ht="14.25" thickBot="1">
      <c r="A1501">
        <v>18</v>
      </c>
      <c r="B1501" s="120">
        <f t="shared" si="835"/>
        <v>0</v>
      </c>
      <c r="C1501" s="120" t="str">
        <f t="shared" si="836"/>
        <v/>
      </c>
      <c r="D1501" s="137"/>
      <c r="E1501" s="150" t="str">
        <f>工種!A48</f>
        <v>60108</v>
      </c>
      <c r="F1501" s="119" t="str">
        <f>工種!B48</f>
        <v>ﾘﾘｰｽ：ﾚﾋﾞｭｰ</v>
      </c>
      <c r="G1501" s="116" t="str">
        <f t="shared" si="837"/>
        <v>060108</v>
      </c>
      <c r="H1501" s="88">
        <f t="shared" si="791"/>
        <v>0</v>
      </c>
      <c r="I1501" s="132"/>
      <c r="J1501" s="88">
        <f>SUMIF(月間集計シート!$M$29:$M$48,$G1501,月間集計シート!N$29:N$48)*J$2</f>
        <v>0</v>
      </c>
      <c r="K1501" s="88">
        <f>SUMIF(月間集計シート!$M$29:$M$48,$G1501,月間集計シート!O$29:O$48)*K$2</f>
        <v>0</v>
      </c>
      <c r="L1501" s="88">
        <f>SUMIF(月間集計シート!$M$29:$M$48,$G1501,月間集計シート!P$29:P$48)*L$2</f>
        <v>0</v>
      </c>
      <c r="M1501" s="88">
        <f>SUMIF(月間集計シート!$M$29:$M$48,$G1501,月間集計シート!Q$29:Q$48)*M$2</f>
        <v>0</v>
      </c>
      <c r="N1501" s="88">
        <f>SUMIF(月間集計シート!$M$29:$M$48,$G1501,月間集計シート!R$29:R$48)*N$2</f>
        <v>0</v>
      </c>
      <c r="O1501" s="88">
        <f>SUMIF(月間集計シート!$M$29:$M$48,$G1501,月間集計シート!S$29:S$48)*O$2</f>
        <v>0</v>
      </c>
      <c r="P1501" s="88">
        <f>SUMIF(月間集計シート!$M$29:$M$48,$G1501,月間集計シート!T$29:T$48)*P$2</f>
        <v>0</v>
      </c>
      <c r="Q1501" s="88">
        <f>SUMIF(月間集計シート!$M$50:$M$69,$G1501,月間集計シート!N$50:N$69)*Q$2</f>
        <v>0</v>
      </c>
      <c r="R1501" s="88">
        <f>SUMIF(月間集計シート!$M$50:$M$69,$G1501,月間集計シート!O$50:O$69)*R$2</f>
        <v>0</v>
      </c>
      <c r="S1501" s="88">
        <f>SUMIF(月間集計シート!$M$50:$M$69,$G1501,月間集計シート!P$50:P$69)*S$2</f>
        <v>0</v>
      </c>
      <c r="T1501" s="88">
        <f>SUMIF(月間集計シート!$M$50:$M$69,$G1501,月間集計シート!Q$50:Q$69)*T$2</f>
        <v>0</v>
      </c>
      <c r="U1501" s="88">
        <f>SUMIF(月間集計シート!$M$50:$M$69,$G1501,月間集計シート!R$50:R$69)*U$2</f>
        <v>0</v>
      </c>
      <c r="V1501" s="88">
        <f>SUMIF(月間集計シート!$M$50:$M$69,$G1501,月間集計シート!S$50:S$69)*V$2</f>
        <v>0</v>
      </c>
      <c r="W1501" s="88">
        <f>SUMIF(月間集計シート!$M$50:$M$69,$G1501,月間集計シート!T$50:T$69)*W$2</f>
        <v>0</v>
      </c>
      <c r="X1501" s="88">
        <f>SUMIF(月間集計シート!$M$71:$M$90,$G1501,月間集計シート!N$71:N$90)*X$2</f>
        <v>0</v>
      </c>
      <c r="Y1501" s="88">
        <f>SUMIF(月間集計シート!$M$71:$M$90,$G1501,月間集計シート!O$71:O$90)*Y$2</f>
        <v>0</v>
      </c>
      <c r="Z1501" s="88">
        <f>SUMIF(月間集計シート!$M$71:$M$90,$G1501,月間集計シート!P$71:P$90)*Z$2</f>
        <v>0</v>
      </c>
      <c r="AA1501" s="88">
        <f>SUMIF(月間集計シート!$M$71:$M$90,$G1501,月間集計シート!Q$71:Q$90)*AA$2</f>
        <v>0</v>
      </c>
      <c r="AB1501" s="88">
        <f>SUMIF(月間集計シート!$M$71:$M$90,$G1501,月間集計シート!R$71:R$90)*AB$2</f>
        <v>0</v>
      </c>
      <c r="AC1501" s="88">
        <f>SUMIF(月間集計シート!$M$71:$M$90,$G1501,月間集計シート!S$71:S$90)*AC$2</f>
        <v>0</v>
      </c>
      <c r="AD1501" s="88">
        <f>SUMIF(月間集計シート!$M$71:$M$90,$G1501,月間集計シート!T$71:T$90)*AD$2</f>
        <v>0</v>
      </c>
      <c r="AE1501" s="88">
        <f>SUMIF(月間集計シート!$M$92:$M$111,$G1501,月間集計シート!N$92:N$111)*AE$2</f>
        <v>0</v>
      </c>
      <c r="AF1501" s="88">
        <f>SUMIF(月間集計シート!$M$92:$M$111,$G1501,月間集計シート!O$92:O$111)*AF$2</f>
        <v>0</v>
      </c>
      <c r="AG1501" s="88">
        <f>SUMIF(月間集計シート!$M$92:$M$111,$G1501,月間集計シート!P$92:P$111)*AG$2</f>
        <v>0</v>
      </c>
      <c r="AH1501" s="88">
        <f>SUMIF(月間集計シート!$M$92:$M$111,$G1501,月間集計シート!Q$92:Q$111)*AH$2</f>
        <v>0</v>
      </c>
      <c r="AI1501" s="88">
        <f>SUMIF(月間集計シート!$M$92:$M$111,$G1501,月間集計シート!R$92:R$111)*AI$2</f>
        <v>0</v>
      </c>
      <c r="AJ1501" s="88">
        <f>SUMIF(月間集計シート!$M$92:$M$111,$G1501,月間集計シート!S$92:S$111)*AJ$2</f>
        <v>0</v>
      </c>
      <c r="AK1501" s="88">
        <f>SUMIF(月間集計シート!$M$92:$M$111,$G1501,月間集計シート!T$92:T$111)*AK$2</f>
        <v>0</v>
      </c>
      <c r="AL1501" s="88">
        <f>SUMIF(月間集計シート!$M$113:$M$132,$G1501,月間集計シート!N$113:N$132)*AL$2</f>
        <v>0</v>
      </c>
      <c r="AM1501" s="88">
        <f>SUMIF(月間集計シート!$M$113:$M$132,$G1501,月間集計シート!O$113:O$132)*AM$2</f>
        <v>0</v>
      </c>
      <c r="AN1501" s="88">
        <f>SUMIF(月間集計シート!$M$113:$M$132,$G1501,月間集計シート!P$113:P$132)*AN$2</f>
        <v>0</v>
      </c>
      <c r="AO1501" s="88">
        <f>SUMIF(月間集計シート!$M$113:$M$132,$G1501,月間集計シート!Q$113:Q$132)*AO$2</f>
        <v>0</v>
      </c>
      <c r="AP1501" s="88">
        <f>SUMIF(月間集計シート!$M$113:$M$132,$G1501,月間集計シート!R$113:R$132)*AP$2</f>
        <v>0</v>
      </c>
      <c r="AQ1501" s="88">
        <f>SUMIF(月間集計シート!$M$113:$M$132,$G1501,月間集計シート!S$113:S$132)*AQ$2</f>
        <v>0</v>
      </c>
      <c r="AR1501" s="88">
        <f>SUMIF(月間集計シート!$M$113:$M$132,$G1501,月間集計シート!T$113:T$132)*AR$2</f>
        <v>0</v>
      </c>
      <c r="AS1501" s="88">
        <f>SUMIF(月間集計シート!$M$134:$M$153,$G1501,月間集計シート!N$134:N$153)*AS$2</f>
        <v>0</v>
      </c>
      <c r="AT1501" s="88">
        <f>SUMIF(月間集計シート!$M$134:$M$153,$G1501,月間集計シート!O$134:O$153)*AT$2</f>
        <v>0</v>
      </c>
      <c r="AU1501" s="88">
        <f>SUMIF(月間集計シート!$M$134:$M$153,$G1501,月間集計シート!P$134:P$153)*AU$2</f>
        <v>0</v>
      </c>
      <c r="AV1501" s="88">
        <f>SUMIF(月間集計シート!$M$134:$M$153,$G1501,月間集計シート!Q$134:Q$153)*AV$2</f>
        <v>0</v>
      </c>
      <c r="AW1501" s="88">
        <f>SUMIF(月間集計シート!$M$134:$M$153,$G1501,月間集計シート!R$134:R$153)*AW$2</f>
        <v>0</v>
      </c>
      <c r="AX1501" s="88">
        <f>SUMIF(月間集計シート!$M$134:$M$153,$G1501,月間集計シート!S$134:S$153)*AX$2</f>
        <v>0</v>
      </c>
      <c r="AY1501" s="88">
        <f>SUMIF(月間集計シート!$M$134:$M$153,$G1501,月間集計シート!T$134:T$153)*AY$2</f>
        <v>0</v>
      </c>
    </row>
    <row r="1502" spans="1:51" ht="14.25" thickBot="1">
      <c r="A1502">
        <v>18</v>
      </c>
      <c r="B1502" s="120">
        <f t="shared" si="835"/>
        <v>0</v>
      </c>
      <c r="C1502" s="120" t="str">
        <f t="shared" si="836"/>
        <v/>
      </c>
      <c r="D1502" s="137"/>
      <c r="E1502" s="150" t="str">
        <f>工種!A49</f>
        <v>60199</v>
      </c>
      <c r="F1502" s="119" t="str">
        <f>工種!B49</f>
        <v>ﾘﾘｰｽ：その他</v>
      </c>
      <c r="G1502" s="116" t="str">
        <f t="shared" si="837"/>
        <v>060199</v>
      </c>
      <c r="H1502" s="88">
        <f t="shared" si="791"/>
        <v>0</v>
      </c>
      <c r="I1502" s="132"/>
      <c r="J1502" s="88">
        <f>SUMIF(月間集計シート!$M$29:$M$48,$G1502,月間集計シート!N$29:N$48)*J$2</f>
        <v>0</v>
      </c>
      <c r="K1502" s="88">
        <f>SUMIF(月間集計シート!$M$29:$M$48,$G1502,月間集計シート!O$29:O$48)*K$2</f>
        <v>0</v>
      </c>
      <c r="L1502" s="88">
        <f>SUMIF(月間集計シート!$M$29:$M$48,$G1502,月間集計シート!P$29:P$48)*L$2</f>
        <v>0</v>
      </c>
      <c r="M1502" s="88">
        <f>SUMIF(月間集計シート!$M$29:$M$48,$G1502,月間集計シート!Q$29:Q$48)*M$2</f>
        <v>0</v>
      </c>
      <c r="N1502" s="88">
        <f>SUMIF(月間集計シート!$M$29:$M$48,$G1502,月間集計シート!R$29:R$48)*N$2</f>
        <v>0</v>
      </c>
      <c r="O1502" s="88">
        <f>SUMIF(月間集計シート!$M$29:$M$48,$G1502,月間集計シート!S$29:S$48)*O$2</f>
        <v>0</v>
      </c>
      <c r="P1502" s="88">
        <f>SUMIF(月間集計シート!$M$29:$M$48,$G1502,月間集計シート!T$29:T$48)*P$2</f>
        <v>0</v>
      </c>
      <c r="Q1502" s="88">
        <f>SUMIF(月間集計シート!$M$50:$M$69,$G1502,月間集計シート!N$50:N$69)*Q$2</f>
        <v>0</v>
      </c>
      <c r="R1502" s="88">
        <f>SUMIF(月間集計シート!$M$50:$M$69,$G1502,月間集計シート!O$50:O$69)*R$2</f>
        <v>0</v>
      </c>
      <c r="S1502" s="88">
        <f>SUMIF(月間集計シート!$M$50:$M$69,$G1502,月間集計シート!P$50:P$69)*S$2</f>
        <v>0</v>
      </c>
      <c r="T1502" s="88">
        <f>SUMIF(月間集計シート!$M$50:$M$69,$G1502,月間集計シート!Q$50:Q$69)*T$2</f>
        <v>0</v>
      </c>
      <c r="U1502" s="88">
        <f>SUMIF(月間集計シート!$M$50:$M$69,$G1502,月間集計シート!R$50:R$69)*U$2</f>
        <v>0</v>
      </c>
      <c r="V1502" s="88">
        <f>SUMIF(月間集計シート!$M$50:$M$69,$G1502,月間集計シート!S$50:S$69)*V$2</f>
        <v>0</v>
      </c>
      <c r="W1502" s="88">
        <f>SUMIF(月間集計シート!$M$50:$M$69,$G1502,月間集計シート!T$50:T$69)*W$2</f>
        <v>0</v>
      </c>
      <c r="X1502" s="88">
        <f>SUMIF(月間集計シート!$M$71:$M$90,$G1502,月間集計シート!N$71:N$90)*X$2</f>
        <v>0</v>
      </c>
      <c r="Y1502" s="88">
        <f>SUMIF(月間集計シート!$M$71:$M$90,$G1502,月間集計シート!O$71:O$90)*Y$2</f>
        <v>0</v>
      </c>
      <c r="Z1502" s="88">
        <f>SUMIF(月間集計シート!$M$71:$M$90,$G1502,月間集計シート!P$71:P$90)*Z$2</f>
        <v>0</v>
      </c>
      <c r="AA1502" s="88">
        <f>SUMIF(月間集計シート!$M$71:$M$90,$G1502,月間集計シート!Q$71:Q$90)*AA$2</f>
        <v>0</v>
      </c>
      <c r="AB1502" s="88">
        <f>SUMIF(月間集計シート!$M$71:$M$90,$G1502,月間集計シート!R$71:R$90)*AB$2</f>
        <v>0</v>
      </c>
      <c r="AC1502" s="88">
        <f>SUMIF(月間集計シート!$M$71:$M$90,$G1502,月間集計シート!S$71:S$90)*AC$2</f>
        <v>0</v>
      </c>
      <c r="AD1502" s="88">
        <f>SUMIF(月間集計シート!$M$71:$M$90,$G1502,月間集計シート!T$71:T$90)*AD$2</f>
        <v>0</v>
      </c>
      <c r="AE1502" s="88">
        <f>SUMIF(月間集計シート!$M$92:$M$111,$G1502,月間集計シート!N$92:N$111)*AE$2</f>
        <v>0</v>
      </c>
      <c r="AF1502" s="88">
        <f>SUMIF(月間集計シート!$M$92:$M$111,$G1502,月間集計シート!O$92:O$111)*AF$2</f>
        <v>0</v>
      </c>
      <c r="AG1502" s="88">
        <f>SUMIF(月間集計シート!$M$92:$M$111,$G1502,月間集計シート!P$92:P$111)*AG$2</f>
        <v>0</v>
      </c>
      <c r="AH1502" s="88">
        <f>SUMIF(月間集計シート!$M$92:$M$111,$G1502,月間集計シート!Q$92:Q$111)*AH$2</f>
        <v>0</v>
      </c>
      <c r="AI1502" s="88">
        <f>SUMIF(月間集計シート!$M$92:$M$111,$G1502,月間集計シート!R$92:R$111)*AI$2</f>
        <v>0</v>
      </c>
      <c r="AJ1502" s="88">
        <f>SUMIF(月間集計シート!$M$92:$M$111,$G1502,月間集計シート!S$92:S$111)*AJ$2</f>
        <v>0</v>
      </c>
      <c r="AK1502" s="88">
        <f>SUMIF(月間集計シート!$M$92:$M$111,$G1502,月間集計シート!T$92:T$111)*AK$2</f>
        <v>0</v>
      </c>
      <c r="AL1502" s="88">
        <f>SUMIF(月間集計シート!$M$113:$M$132,$G1502,月間集計シート!N$113:N$132)*AL$2</f>
        <v>0</v>
      </c>
      <c r="AM1502" s="88">
        <f>SUMIF(月間集計シート!$M$113:$M$132,$G1502,月間集計シート!O$113:O$132)*AM$2</f>
        <v>0</v>
      </c>
      <c r="AN1502" s="88">
        <f>SUMIF(月間集計シート!$M$113:$M$132,$G1502,月間集計シート!P$113:P$132)*AN$2</f>
        <v>0</v>
      </c>
      <c r="AO1502" s="88">
        <f>SUMIF(月間集計シート!$M$113:$M$132,$G1502,月間集計シート!Q$113:Q$132)*AO$2</f>
        <v>0</v>
      </c>
      <c r="AP1502" s="88">
        <f>SUMIF(月間集計シート!$M$113:$M$132,$G1502,月間集計シート!R$113:R$132)*AP$2</f>
        <v>0</v>
      </c>
      <c r="AQ1502" s="88">
        <f>SUMIF(月間集計シート!$M$113:$M$132,$G1502,月間集計シート!S$113:S$132)*AQ$2</f>
        <v>0</v>
      </c>
      <c r="AR1502" s="88">
        <f>SUMIF(月間集計シート!$M$113:$M$132,$G1502,月間集計シート!T$113:T$132)*AR$2</f>
        <v>0</v>
      </c>
      <c r="AS1502" s="88">
        <f>SUMIF(月間集計シート!$M$134:$M$153,$G1502,月間集計シート!N$134:N$153)*AS$2</f>
        <v>0</v>
      </c>
      <c r="AT1502" s="88">
        <f>SUMIF(月間集計シート!$M$134:$M$153,$G1502,月間集計シート!O$134:O$153)*AT$2</f>
        <v>0</v>
      </c>
      <c r="AU1502" s="88">
        <f>SUMIF(月間集計シート!$M$134:$M$153,$G1502,月間集計シート!P$134:P$153)*AU$2</f>
        <v>0</v>
      </c>
      <c r="AV1502" s="88">
        <f>SUMIF(月間集計シート!$M$134:$M$153,$G1502,月間集計シート!Q$134:Q$153)*AV$2</f>
        <v>0</v>
      </c>
      <c r="AW1502" s="88">
        <f>SUMIF(月間集計シート!$M$134:$M$153,$G1502,月間集計シート!R$134:R$153)*AW$2</f>
        <v>0</v>
      </c>
      <c r="AX1502" s="88">
        <f>SUMIF(月間集計シート!$M$134:$M$153,$G1502,月間集計シート!S$134:S$153)*AX$2</f>
        <v>0</v>
      </c>
      <c r="AY1502" s="88">
        <f>SUMIF(月間集計シート!$M$134:$M$153,$G1502,月間集計シート!T$134:T$153)*AY$2</f>
        <v>0</v>
      </c>
    </row>
    <row r="1503" spans="1:51" ht="14.25" thickBot="1">
      <c r="A1503">
        <v>18</v>
      </c>
      <c r="B1503" s="120">
        <f t="shared" si="835"/>
        <v>0</v>
      </c>
      <c r="C1503" s="120" t="str">
        <f t="shared" si="836"/>
        <v/>
      </c>
      <c r="D1503" s="137"/>
      <c r="E1503" s="150">
        <f>工種!A50</f>
        <v>70101</v>
      </c>
      <c r="F1503" s="119" t="str">
        <f>工種!B50</f>
        <v>外部不具合修正：調査・設計</v>
      </c>
      <c r="G1503" s="116" t="str">
        <f t="shared" si="837"/>
        <v>070101</v>
      </c>
      <c r="H1503" s="88">
        <f t="shared" si="791"/>
        <v>0</v>
      </c>
      <c r="I1503" s="132"/>
      <c r="J1503" s="88">
        <f>SUMIF(月間集計シート!$M$29:$M$48,$G1503,月間集計シート!N$29:N$48)*J$2</f>
        <v>0</v>
      </c>
      <c r="K1503" s="88">
        <f>SUMIF(月間集計シート!$M$29:$M$48,$G1503,月間集計シート!O$29:O$48)*K$2</f>
        <v>0</v>
      </c>
      <c r="L1503" s="88">
        <f>SUMIF(月間集計シート!$M$29:$M$48,$G1503,月間集計シート!P$29:P$48)*L$2</f>
        <v>0</v>
      </c>
      <c r="M1503" s="88">
        <f>SUMIF(月間集計シート!$M$29:$M$48,$G1503,月間集計シート!Q$29:Q$48)*M$2</f>
        <v>0</v>
      </c>
      <c r="N1503" s="88">
        <f>SUMIF(月間集計シート!$M$29:$M$48,$G1503,月間集計シート!R$29:R$48)*N$2</f>
        <v>0</v>
      </c>
      <c r="O1503" s="88">
        <f>SUMIF(月間集計シート!$M$29:$M$48,$G1503,月間集計シート!S$29:S$48)*O$2</f>
        <v>0</v>
      </c>
      <c r="P1503" s="88">
        <f>SUMIF(月間集計シート!$M$29:$M$48,$G1503,月間集計シート!T$29:T$48)*P$2</f>
        <v>0</v>
      </c>
      <c r="Q1503" s="88">
        <f>SUMIF(月間集計シート!$M$50:$M$69,$G1503,月間集計シート!N$50:N$69)*Q$2</f>
        <v>0</v>
      </c>
      <c r="R1503" s="88">
        <f>SUMIF(月間集計シート!$M$50:$M$69,$G1503,月間集計シート!O$50:O$69)*R$2</f>
        <v>0</v>
      </c>
      <c r="S1503" s="88">
        <f>SUMIF(月間集計シート!$M$50:$M$69,$G1503,月間集計シート!P$50:P$69)*S$2</f>
        <v>0</v>
      </c>
      <c r="T1503" s="88">
        <f>SUMIF(月間集計シート!$M$50:$M$69,$G1503,月間集計シート!Q$50:Q$69)*T$2</f>
        <v>0</v>
      </c>
      <c r="U1503" s="88">
        <f>SUMIF(月間集計シート!$M$50:$M$69,$G1503,月間集計シート!R$50:R$69)*U$2</f>
        <v>0</v>
      </c>
      <c r="V1503" s="88">
        <f>SUMIF(月間集計シート!$M$50:$M$69,$G1503,月間集計シート!S$50:S$69)*V$2</f>
        <v>0</v>
      </c>
      <c r="W1503" s="88">
        <f>SUMIF(月間集計シート!$M$50:$M$69,$G1503,月間集計シート!T$50:T$69)*W$2</f>
        <v>0</v>
      </c>
      <c r="X1503" s="88">
        <f>SUMIF(月間集計シート!$M$71:$M$90,$G1503,月間集計シート!N$71:N$90)*X$2</f>
        <v>0</v>
      </c>
      <c r="Y1503" s="88">
        <f>SUMIF(月間集計シート!$M$71:$M$90,$G1503,月間集計シート!O$71:O$90)*Y$2</f>
        <v>0</v>
      </c>
      <c r="Z1503" s="88">
        <f>SUMIF(月間集計シート!$M$71:$M$90,$G1503,月間集計シート!P$71:P$90)*Z$2</f>
        <v>0</v>
      </c>
      <c r="AA1503" s="88">
        <f>SUMIF(月間集計シート!$M$71:$M$90,$G1503,月間集計シート!Q$71:Q$90)*AA$2</f>
        <v>0</v>
      </c>
      <c r="AB1503" s="88">
        <f>SUMIF(月間集計シート!$M$71:$M$90,$G1503,月間集計シート!R$71:R$90)*AB$2</f>
        <v>0</v>
      </c>
      <c r="AC1503" s="88">
        <f>SUMIF(月間集計シート!$M$71:$M$90,$G1503,月間集計シート!S$71:S$90)*AC$2</f>
        <v>0</v>
      </c>
      <c r="AD1503" s="88">
        <f>SUMIF(月間集計シート!$M$71:$M$90,$G1503,月間集計シート!T$71:T$90)*AD$2</f>
        <v>0</v>
      </c>
      <c r="AE1503" s="88">
        <f>SUMIF(月間集計シート!$M$92:$M$111,$G1503,月間集計シート!N$92:N$111)*AE$2</f>
        <v>0</v>
      </c>
      <c r="AF1503" s="88">
        <f>SUMIF(月間集計シート!$M$92:$M$111,$G1503,月間集計シート!O$92:O$111)*AF$2</f>
        <v>0</v>
      </c>
      <c r="AG1503" s="88">
        <f>SUMIF(月間集計シート!$M$92:$M$111,$G1503,月間集計シート!P$92:P$111)*AG$2</f>
        <v>0</v>
      </c>
      <c r="AH1503" s="88">
        <f>SUMIF(月間集計シート!$M$92:$M$111,$G1503,月間集計シート!Q$92:Q$111)*AH$2</f>
        <v>0</v>
      </c>
      <c r="AI1503" s="88">
        <f>SUMIF(月間集計シート!$M$92:$M$111,$G1503,月間集計シート!R$92:R$111)*AI$2</f>
        <v>0</v>
      </c>
      <c r="AJ1503" s="88">
        <f>SUMIF(月間集計シート!$M$92:$M$111,$G1503,月間集計シート!S$92:S$111)*AJ$2</f>
        <v>0</v>
      </c>
      <c r="AK1503" s="88">
        <f>SUMIF(月間集計シート!$M$92:$M$111,$G1503,月間集計シート!T$92:T$111)*AK$2</f>
        <v>0</v>
      </c>
      <c r="AL1503" s="88">
        <f>SUMIF(月間集計シート!$M$113:$M$132,$G1503,月間集計シート!N$113:N$132)*AL$2</f>
        <v>0</v>
      </c>
      <c r="AM1503" s="88">
        <f>SUMIF(月間集計シート!$M$113:$M$132,$G1503,月間集計シート!O$113:O$132)*AM$2</f>
        <v>0</v>
      </c>
      <c r="AN1503" s="88">
        <f>SUMIF(月間集計シート!$M$113:$M$132,$G1503,月間集計シート!P$113:P$132)*AN$2</f>
        <v>0</v>
      </c>
      <c r="AO1503" s="88">
        <f>SUMIF(月間集計シート!$M$113:$M$132,$G1503,月間集計シート!Q$113:Q$132)*AO$2</f>
        <v>0</v>
      </c>
      <c r="AP1503" s="88">
        <f>SUMIF(月間集計シート!$M$113:$M$132,$G1503,月間集計シート!R$113:R$132)*AP$2</f>
        <v>0</v>
      </c>
      <c r="AQ1503" s="88">
        <f>SUMIF(月間集計シート!$M$113:$M$132,$G1503,月間集計シート!S$113:S$132)*AQ$2</f>
        <v>0</v>
      </c>
      <c r="AR1503" s="88">
        <f>SUMIF(月間集計シート!$M$113:$M$132,$G1503,月間集計シート!T$113:T$132)*AR$2</f>
        <v>0</v>
      </c>
      <c r="AS1503" s="88">
        <f>SUMIF(月間集計シート!$M$134:$M$153,$G1503,月間集計シート!N$134:N$153)*AS$2</f>
        <v>0</v>
      </c>
      <c r="AT1503" s="88">
        <f>SUMIF(月間集計シート!$M$134:$M$153,$G1503,月間集計シート!O$134:O$153)*AT$2</f>
        <v>0</v>
      </c>
      <c r="AU1503" s="88">
        <f>SUMIF(月間集計シート!$M$134:$M$153,$G1503,月間集計シート!P$134:P$153)*AU$2</f>
        <v>0</v>
      </c>
      <c r="AV1503" s="88">
        <f>SUMIF(月間集計シート!$M$134:$M$153,$G1503,月間集計シート!Q$134:Q$153)*AV$2</f>
        <v>0</v>
      </c>
      <c r="AW1503" s="88">
        <f>SUMIF(月間集計シート!$M$134:$M$153,$G1503,月間集計シート!R$134:R$153)*AW$2</f>
        <v>0</v>
      </c>
      <c r="AX1503" s="88">
        <f>SUMIF(月間集計シート!$M$134:$M$153,$G1503,月間集計シート!S$134:S$153)*AX$2</f>
        <v>0</v>
      </c>
      <c r="AY1503" s="88">
        <f>SUMIF(月間集計シート!$M$134:$M$153,$G1503,月間集計シート!T$134:T$153)*AY$2</f>
        <v>0</v>
      </c>
    </row>
    <row r="1504" spans="1:51" ht="14.25" thickBot="1">
      <c r="A1504">
        <v>18</v>
      </c>
      <c r="B1504" s="120">
        <f t="shared" si="835"/>
        <v>0</v>
      </c>
      <c r="C1504" s="120" t="str">
        <f t="shared" si="836"/>
        <v/>
      </c>
      <c r="D1504" s="137"/>
      <c r="E1504" s="150">
        <f>工種!A51</f>
        <v>70102</v>
      </c>
      <c r="F1504" s="119" t="str">
        <f>工種!B51</f>
        <v>外部不具合修正：コーディング</v>
      </c>
      <c r="G1504" s="116" t="str">
        <f t="shared" si="837"/>
        <v>070102</v>
      </c>
      <c r="H1504" s="88">
        <f t="shared" si="791"/>
        <v>0</v>
      </c>
      <c r="I1504" s="132"/>
      <c r="J1504" s="88">
        <f>SUMIF(月間集計シート!$M$29:$M$48,$G1504,月間集計シート!N$29:N$48)*J$2</f>
        <v>0</v>
      </c>
      <c r="K1504" s="88">
        <f>SUMIF(月間集計シート!$M$29:$M$48,$G1504,月間集計シート!O$29:O$48)*K$2</f>
        <v>0</v>
      </c>
      <c r="L1504" s="88">
        <f>SUMIF(月間集計シート!$M$29:$M$48,$G1504,月間集計シート!P$29:P$48)*L$2</f>
        <v>0</v>
      </c>
      <c r="M1504" s="88">
        <f>SUMIF(月間集計シート!$M$29:$M$48,$G1504,月間集計シート!Q$29:Q$48)*M$2</f>
        <v>0</v>
      </c>
      <c r="N1504" s="88">
        <f>SUMIF(月間集計シート!$M$29:$M$48,$G1504,月間集計シート!R$29:R$48)*N$2</f>
        <v>0</v>
      </c>
      <c r="O1504" s="88">
        <f>SUMIF(月間集計シート!$M$29:$M$48,$G1504,月間集計シート!S$29:S$48)*O$2</f>
        <v>0</v>
      </c>
      <c r="P1504" s="88">
        <f>SUMIF(月間集計シート!$M$29:$M$48,$G1504,月間集計シート!T$29:T$48)*P$2</f>
        <v>0</v>
      </c>
      <c r="Q1504" s="88">
        <f>SUMIF(月間集計シート!$M$50:$M$69,$G1504,月間集計シート!N$50:N$69)*Q$2</f>
        <v>0</v>
      </c>
      <c r="R1504" s="88">
        <f>SUMIF(月間集計シート!$M$50:$M$69,$G1504,月間集計シート!O$50:O$69)*R$2</f>
        <v>0</v>
      </c>
      <c r="S1504" s="88">
        <f>SUMIF(月間集計シート!$M$50:$M$69,$G1504,月間集計シート!P$50:P$69)*S$2</f>
        <v>0</v>
      </c>
      <c r="T1504" s="88">
        <f>SUMIF(月間集計シート!$M$50:$M$69,$G1504,月間集計シート!Q$50:Q$69)*T$2</f>
        <v>0</v>
      </c>
      <c r="U1504" s="88">
        <f>SUMIF(月間集計シート!$M$50:$M$69,$G1504,月間集計シート!R$50:R$69)*U$2</f>
        <v>0</v>
      </c>
      <c r="V1504" s="88">
        <f>SUMIF(月間集計シート!$M$50:$M$69,$G1504,月間集計シート!S$50:S$69)*V$2</f>
        <v>0</v>
      </c>
      <c r="W1504" s="88">
        <f>SUMIF(月間集計シート!$M$50:$M$69,$G1504,月間集計シート!T$50:T$69)*W$2</f>
        <v>0</v>
      </c>
      <c r="X1504" s="88">
        <f>SUMIF(月間集計シート!$M$71:$M$90,$G1504,月間集計シート!N$71:N$90)*X$2</f>
        <v>0</v>
      </c>
      <c r="Y1504" s="88">
        <f>SUMIF(月間集計シート!$M$71:$M$90,$G1504,月間集計シート!O$71:O$90)*Y$2</f>
        <v>0</v>
      </c>
      <c r="Z1504" s="88">
        <f>SUMIF(月間集計シート!$M$71:$M$90,$G1504,月間集計シート!P$71:P$90)*Z$2</f>
        <v>0</v>
      </c>
      <c r="AA1504" s="88">
        <f>SUMIF(月間集計シート!$M$71:$M$90,$G1504,月間集計シート!Q$71:Q$90)*AA$2</f>
        <v>0</v>
      </c>
      <c r="AB1504" s="88">
        <f>SUMIF(月間集計シート!$M$71:$M$90,$G1504,月間集計シート!R$71:R$90)*AB$2</f>
        <v>0</v>
      </c>
      <c r="AC1504" s="88">
        <f>SUMIF(月間集計シート!$M$71:$M$90,$G1504,月間集計シート!S$71:S$90)*AC$2</f>
        <v>0</v>
      </c>
      <c r="AD1504" s="88">
        <f>SUMIF(月間集計シート!$M$71:$M$90,$G1504,月間集計シート!T$71:T$90)*AD$2</f>
        <v>0</v>
      </c>
      <c r="AE1504" s="88">
        <f>SUMIF(月間集計シート!$M$92:$M$111,$G1504,月間集計シート!N$92:N$111)*AE$2</f>
        <v>0</v>
      </c>
      <c r="AF1504" s="88">
        <f>SUMIF(月間集計シート!$M$92:$M$111,$G1504,月間集計シート!O$92:O$111)*AF$2</f>
        <v>0</v>
      </c>
      <c r="AG1504" s="88">
        <f>SUMIF(月間集計シート!$M$92:$M$111,$G1504,月間集計シート!P$92:P$111)*AG$2</f>
        <v>0</v>
      </c>
      <c r="AH1504" s="88">
        <f>SUMIF(月間集計シート!$M$92:$M$111,$G1504,月間集計シート!Q$92:Q$111)*AH$2</f>
        <v>0</v>
      </c>
      <c r="AI1504" s="88">
        <f>SUMIF(月間集計シート!$M$92:$M$111,$G1504,月間集計シート!R$92:R$111)*AI$2</f>
        <v>0</v>
      </c>
      <c r="AJ1504" s="88">
        <f>SUMIF(月間集計シート!$M$92:$M$111,$G1504,月間集計シート!S$92:S$111)*AJ$2</f>
        <v>0</v>
      </c>
      <c r="AK1504" s="88">
        <f>SUMIF(月間集計シート!$M$92:$M$111,$G1504,月間集計シート!T$92:T$111)*AK$2</f>
        <v>0</v>
      </c>
      <c r="AL1504" s="88">
        <f>SUMIF(月間集計シート!$M$113:$M$132,$G1504,月間集計シート!N$113:N$132)*AL$2</f>
        <v>0</v>
      </c>
      <c r="AM1504" s="88">
        <f>SUMIF(月間集計シート!$M$113:$M$132,$G1504,月間集計シート!O$113:O$132)*AM$2</f>
        <v>0</v>
      </c>
      <c r="AN1504" s="88">
        <f>SUMIF(月間集計シート!$M$113:$M$132,$G1504,月間集計シート!P$113:P$132)*AN$2</f>
        <v>0</v>
      </c>
      <c r="AO1504" s="88">
        <f>SUMIF(月間集計シート!$M$113:$M$132,$G1504,月間集計シート!Q$113:Q$132)*AO$2</f>
        <v>0</v>
      </c>
      <c r="AP1504" s="88">
        <f>SUMIF(月間集計シート!$M$113:$M$132,$G1504,月間集計シート!R$113:R$132)*AP$2</f>
        <v>0</v>
      </c>
      <c r="AQ1504" s="88">
        <f>SUMIF(月間集計シート!$M$113:$M$132,$G1504,月間集計シート!S$113:S$132)*AQ$2</f>
        <v>0</v>
      </c>
      <c r="AR1504" s="88">
        <f>SUMIF(月間集計シート!$M$113:$M$132,$G1504,月間集計シート!T$113:T$132)*AR$2</f>
        <v>0</v>
      </c>
      <c r="AS1504" s="88">
        <f>SUMIF(月間集計シート!$M$134:$M$153,$G1504,月間集計シート!N$134:N$153)*AS$2</f>
        <v>0</v>
      </c>
      <c r="AT1504" s="88">
        <f>SUMIF(月間集計シート!$M$134:$M$153,$G1504,月間集計シート!O$134:O$153)*AT$2</f>
        <v>0</v>
      </c>
      <c r="AU1504" s="88">
        <f>SUMIF(月間集計シート!$M$134:$M$153,$G1504,月間集計シート!P$134:P$153)*AU$2</f>
        <v>0</v>
      </c>
      <c r="AV1504" s="88">
        <f>SUMIF(月間集計シート!$M$134:$M$153,$G1504,月間集計シート!Q$134:Q$153)*AV$2</f>
        <v>0</v>
      </c>
      <c r="AW1504" s="88">
        <f>SUMIF(月間集計シート!$M$134:$M$153,$G1504,月間集計シート!R$134:R$153)*AW$2</f>
        <v>0</v>
      </c>
      <c r="AX1504" s="88">
        <f>SUMIF(月間集計シート!$M$134:$M$153,$G1504,月間集計シート!S$134:S$153)*AX$2</f>
        <v>0</v>
      </c>
      <c r="AY1504" s="88">
        <f>SUMIF(月間集計シート!$M$134:$M$153,$G1504,月間集計シート!T$134:T$153)*AY$2</f>
        <v>0</v>
      </c>
    </row>
    <row r="1505" spans="1:51" ht="14.25" thickBot="1">
      <c r="A1505">
        <v>18</v>
      </c>
      <c r="B1505" s="120">
        <f t="shared" si="835"/>
        <v>0</v>
      </c>
      <c r="C1505" s="120" t="str">
        <f t="shared" si="836"/>
        <v/>
      </c>
      <c r="D1505" s="137"/>
      <c r="E1505" s="150">
        <f>工種!A52</f>
        <v>70103</v>
      </c>
      <c r="F1505" s="119" t="str">
        <f>工種!B52</f>
        <v>外部不具合修正：テスト</v>
      </c>
      <c r="G1505" s="116" t="str">
        <f t="shared" si="837"/>
        <v>070103</v>
      </c>
      <c r="H1505" s="88">
        <f t="shared" si="791"/>
        <v>0</v>
      </c>
      <c r="I1505" s="132"/>
      <c r="J1505" s="88">
        <f>SUMIF(月間集計シート!$M$29:$M$48,$G1505,月間集計シート!N$29:N$48)*J$2</f>
        <v>0</v>
      </c>
      <c r="K1505" s="88">
        <f>SUMIF(月間集計シート!$M$29:$M$48,$G1505,月間集計シート!O$29:O$48)*K$2</f>
        <v>0</v>
      </c>
      <c r="L1505" s="88">
        <f>SUMIF(月間集計シート!$M$29:$M$48,$G1505,月間集計シート!P$29:P$48)*L$2</f>
        <v>0</v>
      </c>
      <c r="M1505" s="88">
        <f>SUMIF(月間集計シート!$M$29:$M$48,$G1505,月間集計シート!Q$29:Q$48)*M$2</f>
        <v>0</v>
      </c>
      <c r="N1505" s="88">
        <f>SUMIF(月間集計シート!$M$29:$M$48,$G1505,月間集計シート!R$29:R$48)*N$2</f>
        <v>0</v>
      </c>
      <c r="O1505" s="88">
        <f>SUMIF(月間集計シート!$M$29:$M$48,$G1505,月間集計シート!S$29:S$48)*O$2</f>
        <v>0</v>
      </c>
      <c r="P1505" s="88">
        <f>SUMIF(月間集計シート!$M$29:$M$48,$G1505,月間集計シート!T$29:T$48)*P$2</f>
        <v>0</v>
      </c>
      <c r="Q1505" s="88">
        <f>SUMIF(月間集計シート!$M$50:$M$69,$G1505,月間集計シート!N$50:N$69)*Q$2</f>
        <v>0</v>
      </c>
      <c r="R1505" s="88">
        <f>SUMIF(月間集計シート!$M$50:$M$69,$G1505,月間集計シート!O$50:O$69)*R$2</f>
        <v>0</v>
      </c>
      <c r="S1505" s="88">
        <f>SUMIF(月間集計シート!$M$50:$M$69,$G1505,月間集計シート!P$50:P$69)*S$2</f>
        <v>0</v>
      </c>
      <c r="T1505" s="88">
        <f>SUMIF(月間集計シート!$M$50:$M$69,$G1505,月間集計シート!Q$50:Q$69)*T$2</f>
        <v>0</v>
      </c>
      <c r="U1505" s="88">
        <f>SUMIF(月間集計シート!$M$50:$M$69,$G1505,月間集計シート!R$50:R$69)*U$2</f>
        <v>0</v>
      </c>
      <c r="V1505" s="88">
        <f>SUMIF(月間集計シート!$M$50:$M$69,$G1505,月間集計シート!S$50:S$69)*V$2</f>
        <v>0</v>
      </c>
      <c r="W1505" s="88">
        <f>SUMIF(月間集計シート!$M$50:$M$69,$G1505,月間集計シート!T$50:T$69)*W$2</f>
        <v>0</v>
      </c>
      <c r="X1505" s="88">
        <f>SUMIF(月間集計シート!$M$71:$M$90,$G1505,月間集計シート!N$71:N$90)*X$2</f>
        <v>0</v>
      </c>
      <c r="Y1505" s="88">
        <f>SUMIF(月間集計シート!$M$71:$M$90,$G1505,月間集計シート!O$71:O$90)*Y$2</f>
        <v>0</v>
      </c>
      <c r="Z1505" s="88">
        <f>SUMIF(月間集計シート!$M$71:$M$90,$G1505,月間集計シート!P$71:P$90)*Z$2</f>
        <v>0</v>
      </c>
      <c r="AA1505" s="88">
        <f>SUMIF(月間集計シート!$M$71:$M$90,$G1505,月間集計シート!Q$71:Q$90)*AA$2</f>
        <v>0</v>
      </c>
      <c r="AB1505" s="88">
        <f>SUMIF(月間集計シート!$M$71:$M$90,$G1505,月間集計シート!R$71:R$90)*AB$2</f>
        <v>0</v>
      </c>
      <c r="AC1505" s="88">
        <f>SUMIF(月間集計シート!$M$71:$M$90,$G1505,月間集計シート!S$71:S$90)*AC$2</f>
        <v>0</v>
      </c>
      <c r="AD1505" s="88">
        <f>SUMIF(月間集計シート!$M$71:$M$90,$G1505,月間集計シート!T$71:T$90)*AD$2</f>
        <v>0</v>
      </c>
      <c r="AE1505" s="88">
        <f>SUMIF(月間集計シート!$M$92:$M$111,$G1505,月間集計シート!N$92:N$111)*AE$2</f>
        <v>0</v>
      </c>
      <c r="AF1505" s="88">
        <f>SUMIF(月間集計シート!$M$92:$M$111,$G1505,月間集計シート!O$92:O$111)*AF$2</f>
        <v>0</v>
      </c>
      <c r="AG1505" s="88">
        <f>SUMIF(月間集計シート!$M$92:$M$111,$G1505,月間集計シート!P$92:P$111)*AG$2</f>
        <v>0</v>
      </c>
      <c r="AH1505" s="88">
        <f>SUMIF(月間集計シート!$M$92:$M$111,$G1505,月間集計シート!Q$92:Q$111)*AH$2</f>
        <v>0</v>
      </c>
      <c r="AI1505" s="88">
        <f>SUMIF(月間集計シート!$M$92:$M$111,$G1505,月間集計シート!R$92:R$111)*AI$2</f>
        <v>0</v>
      </c>
      <c r="AJ1505" s="88">
        <f>SUMIF(月間集計シート!$M$92:$M$111,$G1505,月間集計シート!S$92:S$111)*AJ$2</f>
        <v>0</v>
      </c>
      <c r="AK1505" s="88">
        <f>SUMIF(月間集計シート!$M$92:$M$111,$G1505,月間集計シート!T$92:T$111)*AK$2</f>
        <v>0</v>
      </c>
      <c r="AL1505" s="88">
        <f>SUMIF(月間集計シート!$M$113:$M$132,$G1505,月間集計シート!N$113:N$132)*AL$2</f>
        <v>0</v>
      </c>
      <c r="AM1505" s="88">
        <f>SUMIF(月間集計シート!$M$113:$M$132,$G1505,月間集計シート!O$113:O$132)*AM$2</f>
        <v>0</v>
      </c>
      <c r="AN1505" s="88">
        <f>SUMIF(月間集計シート!$M$113:$M$132,$G1505,月間集計シート!P$113:P$132)*AN$2</f>
        <v>0</v>
      </c>
      <c r="AO1505" s="88">
        <f>SUMIF(月間集計シート!$M$113:$M$132,$G1505,月間集計シート!Q$113:Q$132)*AO$2</f>
        <v>0</v>
      </c>
      <c r="AP1505" s="88">
        <f>SUMIF(月間集計シート!$M$113:$M$132,$G1505,月間集計シート!R$113:R$132)*AP$2</f>
        <v>0</v>
      </c>
      <c r="AQ1505" s="88">
        <f>SUMIF(月間集計シート!$M$113:$M$132,$G1505,月間集計シート!S$113:S$132)*AQ$2</f>
        <v>0</v>
      </c>
      <c r="AR1505" s="88">
        <f>SUMIF(月間集計シート!$M$113:$M$132,$G1505,月間集計シート!T$113:T$132)*AR$2</f>
        <v>0</v>
      </c>
      <c r="AS1505" s="88">
        <f>SUMIF(月間集計シート!$M$134:$M$153,$G1505,月間集計シート!N$134:N$153)*AS$2</f>
        <v>0</v>
      </c>
      <c r="AT1505" s="88">
        <f>SUMIF(月間集計シート!$M$134:$M$153,$G1505,月間集計シート!O$134:O$153)*AT$2</f>
        <v>0</v>
      </c>
      <c r="AU1505" s="88">
        <f>SUMIF(月間集計シート!$M$134:$M$153,$G1505,月間集計シート!P$134:P$153)*AU$2</f>
        <v>0</v>
      </c>
      <c r="AV1505" s="88">
        <f>SUMIF(月間集計シート!$M$134:$M$153,$G1505,月間集計シート!Q$134:Q$153)*AV$2</f>
        <v>0</v>
      </c>
      <c r="AW1505" s="88">
        <f>SUMIF(月間集計シート!$M$134:$M$153,$G1505,月間集計シート!R$134:R$153)*AW$2</f>
        <v>0</v>
      </c>
      <c r="AX1505" s="88">
        <f>SUMIF(月間集計シート!$M$134:$M$153,$G1505,月間集計シート!S$134:S$153)*AX$2</f>
        <v>0</v>
      </c>
      <c r="AY1505" s="88">
        <f>SUMIF(月間集計シート!$M$134:$M$153,$G1505,月間集計シート!T$134:T$153)*AY$2</f>
        <v>0</v>
      </c>
    </row>
    <row r="1506" spans="1:51" ht="14.25" thickBot="1">
      <c r="A1506">
        <v>18</v>
      </c>
      <c r="B1506" s="120">
        <f t="shared" si="835"/>
        <v>0</v>
      </c>
      <c r="C1506" s="120" t="str">
        <f t="shared" si="836"/>
        <v/>
      </c>
      <c r="D1506" s="137"/>
      <c r="E1506" s="150">
        <f>工種!A53</f>
        <v>70104</v>
      </c>
      <c r="F1506" s="119" t="str">
        <f>工種!B53</f>
        <v>外部不具合修正：不具合連絡作成</v>
      </c>
      <c r="G1506" s="116" t="str">
        <f t="shared" si="837"/>
        <v>070104</v>
      </c>
      <c r="H1506" s="88">
        <f t="shared" si="791"/>
        <v>0</v>
      </c>
      <c r="I1506" s="132"/>
      <c r="J1506" s="88">
        <f>SUMIF(月間集計シート!$M$29:$M$48,$G1506,月間集計シート!N$29:N$48)*J$2</f>
        <v>0</v>
      </c>
      <c r="K1506" s="88">
        <f>SUMIF(月間集計シート!$M$29:$M$48,$G1506,月間集計シート!O$29:O$48)*K$2</f>
        <v>0</v>
      </c>
      <c r="L1506" s="88">
        <f>SUMIF(月間集計シート!$M$29:$M$48,$G1506,月間集計シート!P$29:P$48)*L$2</f>
        <v>0</v>
      </c>
      <c r="M1506" s="88">
        <f>SUMIF(月間集計シート!$M$29:$M$48,$G1506,月間集計シート!Q$29:Q$48)*M$2</f>
        <v>0</v>
      </c>
      <c r="N1506" s="88">
        <f>SUMIF(月間集計シート!$M$29:$M$48,$G1506,月間集計シート!R$29:R$48)*N$2</f>
        <v>0</v>
      </c>
      <c r="O1506" s="88">
        <f>SUMIF(月間集計シート!$M$29:$M$48,$G1506,月間集計シート!S$29:S$48)*O$2</f>
        <v>0</v>
      </c>
      <c r="P1506" s="88">
        <f>SUMIF(月間集計シート!$M$29:$M$48,$G1506,月間集計シート!T$29:T$48)*P$2</f>
        <v>0</v>
      </c>
      <c r="Q1506" s="88">
        <f>SUMIF(月間集計シート!$M$50:$M$69,$G1506,月間集計シート!N$50:N$69)*Q$2</f>
        <v>0</v>
      </c>
      <c r="R1506" s="88">
        <f>SUMIF(月間集計シート!$M$50:$M$69,$G1506,月間集計シート!O$50:O$69)*R$2</f>
        <v>0</v>
      </c>
      <c r="S1506" s="88">
        <f>SUMIF(月間集計シート!$M$50:$M$69,$G1506,月間集計シート!P$50:P$69)*S$2</f>
        <v>0</v>
      </c>
      <c r="T1506" s="88">
        <f>SUMIF(月間集計シート!$M$50:$M$69,$G1506,月間集計シート!Q$50:Q$69)*T$2</f>
        <v>0</v>
      </c>
      <c r="U1506" s="88">
        <f>SUMIF(月間集計シート!$M$50:$M$69,$G1506,月間集計シート!R$50:R$69)*U$2</f>
        <v>0</v>
      </c>
      <c r="V1506" s="88">
        <f>SUMIF(月間集計シート!$M$50:$M$69,$G1506,月間集計シート!S$50:S$69)*V$2</f>
        <v>0</v>
      </c>
      <c r="W1506" s="88">
        <f>SUMIF(月間集計シート!$M$50:$M$69,$G1506,月間集計シート!T$50:T$69)*W$2</f>
        <v>0</v>
      </c>
      <c r="X1506" s="88">
        <f>SUMIF(月間集計シート!$M$71:$M$90,$G1506,月間集計シート!N$71:N$90)*X$2</f>
        <v>0</v>
      </c>
      <c r="Y1506" s="88">
        <f>SUMIF(月間集計シート!$M$71:$M$90,$G1506,月間集計シート!O$71:O$90)*Y$2</f>
        <v>0</v>
      </c>
      <c r="Z1506" s="88">
        <f>SUMIF(月間集計シート!$M$71:$M$90,$G1506,月間集計シート!P$71:P$90)*Z$2</f>
        <v>0</v>
      </c>
      <c r="AA1506" s="88">
        <f>SUMIF(月間集計シート!$M$71:$M$90,$G1506,月間集計シート!Q$71:Q$90)*AA$2</f>
        <v>0</v>
      </c>
      <c r="AB1506" s="88">
        <f>SUMIF(月間集計シート!$M$71:$M$90,$G1506,月間集計シート!R$71:R$90)*AB$2</f>
        <v>0</v>
      </c>
      <c r="AC1506" s="88">
        <f>SUMIF(月間集計シート!$M$71:$M$90,$G1506,月間集計シート!S$71:S$90)*AC$2</f>
        <v>0</v>
      </c>
      <c r="AD1506" s="88">
        <f>SUMIF(月間集計シート!$M$71:$M$90,$G1506,月間集計シート!T$71:T$90)*AD$2</f>
        <v>0</v>
      </c>
      <c r="AE1506" s="88">
        <f>SUMIF(月間集計シート!$M$92:$M$111,$G1506,月間集計シート!N$92:N$111)*AE$2</f>
        <v>0</v>
      </c>
      <c r="AF1506" s="88">
        <f>SUMIF(月間集計シート!$M$92:$M$111,$G1506,月間集計シート!O$92:O$111)*AF$2</f>
        <v>0</v>
      </c>
      <c r="AG1506" s="88">
        <f>SUMIF(月間集計シート!$M$92:$M$111,$G1506,月間集計シート!P$92:P$111)*AG$2</f>
        <v>0</v>
      </c>
      <c r="AH1506" s="88">
        <f>SUMIF(月間集計シート!$M$92:$M$111,$G1506,月間集計シート!Q$92:Q$111)*AH$2</f>
        <v>0</v>
      </c>
      <c r="AI1506" s="88">
        <f>SUMIF(月間集計シート!$M$92:$M$111,$G1506,月間集計シート!R$92:R$111)*AI$2</f>
        <v>0</v>
      </c>
      <c r="AJ1506" s="88">
        <f>SUMIF(月間集計シート!$M$92:$M$111,$G1506,月間集計シート!S$92:S$111)*AJ$2</f>
        <v>0</v>
      </c>
      <c r="AK1506" s="88">
        <f>SUMIF(月間集計シート!$M$92:$M$111,$G1506,月間集計シート!T$92:T$111)*AK$2</f>
        <v>0</v>
      </c>
      <c r="AL1506" s="88">
        <f>SUMIF(月間集計シート!$M$113:$M$132,$G1506,月間集計シート!N$113:N$132)*AL$2</f>
        <v>0</v>
      </c>
      <c r="AM1506" s="88">
        <f>SUMIF(月間集計シート!$M$113:$M$132,$G1506,月間集計シート!O$113:O$132)*AM$2</f>
        <v>0</v>
      </c>
      <c r="AN1506" s="88">
        <f>SUMIF(月間集計シート!$M$113:$M$132,$G1506,月間集計シート!P$113:P$132)*AN$2</f>
        <v>0</v>
      </c>
      <c r="AO1506" s="88">
        <f>SUMIF(月間集計シート!$M$113:$M$132,$G1506,月間集計シート!Q$113:Q$132)*AO$2</f>
        <v>0</v>
      </c>
      <c r="AP1506" s="88">
        <f>SUMIF(月間集計シート!$M$113:$M$132,$G1506,月間集計シート!R$113:R$132)*AP$2</f>
        <v>0</v>
      </c>
      <c r="AQ1506" s="88">
        <f>SUMIF(月間集計シート!$M$113:$M$132,$G1506,月間集計シート!S$113:S$132)*AQ$2</f>
        <v>0</v>
      </c>
      <c r="AR1506" s="88">
        <f>SUMIF(月間集計シート!$M$113:$M$132,$G1506,月間集計シート!T$113:T$132)*AR$2</f>
        <v>0</v>
      </c>
      <c r="AS1506" s="88">
        <f>SUMIF(月間集計シート!$M$134:$M$153,$G1506,月間集計シート!N$134:N$153)*AS$2</f>
        <v>0</v>
      </c>
      <c r="AT1506" s="88">
        <f>SUMIF(月間集計シート!$M$134:$M$153,$G1506,月間集計シート!O$134:O$153)*AT$2</f>
        <v>0</v>
      </c>
      <c r="AU1506" s="88">
        <f>SUMIF(月間集計シート!$M$134:$M$153,$G1506,月間集計シート!P$134:P$153)*AU$2</f>
        <v>0</v>
      </c>
      <c r="AV1506" s="88">
        <f>SUMIF(月間集計シート!$M$134:$M$153,$G1506,月間集計シート!Q$134:Q$153)*AV$2</f>
        <v>0</v>
      </c>
      <c r="AW1506" s="88">
        <f>SUMIF(月間集計シート!$M$134:$M$153,$G1506,月間集計シート!R$134:R$153)*AW$2</f>
        <v>0</v>
      </c>
      <c r="AX1506" s="88">
        <f>SUMIF(月間集計シート!$M$134:$M$153,$G1506,月間集計シート!S$134:S$153)*AX$2</f>
        <v>0</v>
      </c>
      <c r="AY1506" s="88">
        <f>SUMIF(月間集計シート!$M$134:$M$153,$G1506,月間集計シート!T$134:T$153)*AY$2</f>
        <v>0</v>
      </c>
    </row>
    <row r="1507" spans="1:51" ht="14.25" thickBot="1">
      <c r="A1507">
        <v>18</v>
      </c>
      <c r="B1507" s="120">
        <f t="shared" si="835"/>
        <v>0</v>
      </c>
      <c r="C1507" s="120" t="str">
        <f t="shared" si="836"/>
        <v/>
      </c>
      <c r="D1507" s="137"/>
      <c r="E1507" s="150">
        <f>工種!A54</f>
        <v>70105</v>
      </c>
      <c r="F1507" s="119" t="str">
        <f>工種!B54</f>
        <v>外部不具合修正：差分PGイントラ掲載</v>
      </c>
      <c r="G1507" s="116" t="str">
        <f t="shared" si="837"/>
        <v>070105</v>
      </c>
      <c r="H1507" s="88">
        <f t="shared" si="791"/>
        <v>0</v>
      </c>
      <c r="I1507" s="132"/>
      <c r="J1507" s="88">
        <f>SUMIF(月間集計シート!$M$29:$M$48,$G1507,月間集計シート!N$29:N$48)*J$2</f>
        <v>0</v>
      </c>
      <c r="K1507" s="88">
        <f>SUMIF(月間集計シート!$M$29:$M$48,$G1507,月間集計シート!O$29:O$48)*K$2</f>
        <v>0</v>
      </c>
      <c r="L1507" s="88">
        <f>SUMIF(月間集計シート!$M$29:$M$48,$G1507,月間集計シート!P$29:P$48)*L$2</f>
        <v>0</v>
      </c>
      <c r="M1507" s="88">
        <f>SUMIF(月間集計シート!$M$29:$M$48,$G1507,月間集計シート!Q$29:Q$48)*M$2</f>
        <v>0</v>
      </c>
      <c r="N1507" s="88">
        <f>SUMIF(月間集計シート!$M$29:$M$48,$G1507,月間集計シート!R$29:R$48)*N$2</f>
        <v>0</v>
      </c>
      <c r="O1507" s="88">
        <f>SUMIF(月間集計シート!$M$29:$M$48,$G1507,月間集計シート!S$29:S$48)*O$2</f>
        <v>0</v>
      </c>
      <c r="P1507" s="88">
        <f>SUMIF(月間集計シート!$M$29:$M$48,$G1507,月間集計シート!T$29:T$48)*P$2</f>
        <v>0</v>
      </c>
      <c r="Q1507" s="88">
        <f>SUMIF(月間集計シート!$M$50:$M$69,$G1507,月間集計シート!N$50:N$69)*Q$2</f>
        <v>0</v>
      </c>
      <c r="R1507" s="88">
        <f>SUMIF(月間集計シート!$M$50:$M$69,$G1507,月間集計シート!O$50:O$69)*R$2</f>
        <v>0</v>
      </c>
      <c r="S1507" s="88">
        <f>SUMIF(月間集計シート!$M$50:$M$69,$G1507,月間集計シート!P$50:P$69)*S$2</f>
        <v>0</v>
      </c>
      <c r="T1507" s="88">
        <f>SUMIF(月間集計シート!$M$50:$M$69,$G1507,月間集計シート!Q$50:Q$69)*T$2</f>
        <v>0</v>
      </c>
      <c r="U1507" s="88">
        <f>SUMIF(月間集計シート!$M$50:$M$69,$G1507,月間集計シート!R$50:R$69)*U$2</f>
        <v>0</v>
      </c>
      <c r="V1507" s="88">
        <f>SUMIF(月間集計シート!$M$50:$M$69,$G1507,月間集計シート!S$50:S$69)*V$2</f>
        <v>0</v>
      </c>
      <c r="W1507" s="88">
        <f>SUMIF(月間集計シート!$M$50:$M$69,$G1507,月間集計シート!T$50:T$69)*W$2</f>
        <v>0</v>
      </c>
      <c r="X1507" s="88">
        <f>SUMIF(月間集計シート!$M$71:$M$90,$G1507,月間集計シート!N$71:N$90)*X$2</f>
        <v>0</v>
      </c>
      <c r="Y1507" s="88">
        <f>SUMIF(月間集計シート!$M$71:$M$90,$G1507,月間集計シート!O$71:O$90)*Y$2</f>
        <v>0</v>
      </c>
      <c r="Z1507" s="88">
        <f>SUMIF(月間集計シート!$M$71:$M$90,$G1507,月間集計シート!P$71:P$90)*Z$2</f>
        <v>0</v>
      </c>
      <c r="AA1507" s="88">
        <f>SUMIF(月間集計シート!$M$71:$M$90,$G1507,月間集計シート!Q$71:Q$90)*AA$2</f>
        <v>0</v>
      </c>
      <c r="AB1507" s="88">
        <f>SUMIF(月間集計シート!$M$71:$M$90,$G1507,月間集計シート!R$71:R$90)*AB$2</f>
        <v>0</v>
      </c>
      <c r="AC1507" s="88">
        <f>SUMIF(月間集計シート!$M$71:$M$90,$G1507,月間集計シート!S$71:S$90)*AC$2</f>
        <v>0</v>
      </c>
      <c r="AD1507" s="88">
        <f>SUMIF(月間集計シート!$M$71:$M$90,$G1507,月間集計シート!T$71:T$90)*AD$2</f>
        <v>0</v>
      </c>
      <c r="AE1507" s="88">
        <f>SUMIF(月間集計シート!$M$92:$M$111,$G1507,月間集計シート!N$92:N$111)*AE$2</f>
        <v>0</v>
      </c>
      <c r="AF1507" s="88">
        <f>SUMIF(月間集計シート!$M$92:$M$111,$G1507,月間集計シート!O$92:O$111)*AF$2</f>
        <v>0</v>
      </c>
      <c r="AG1507" s="88">
        <f>SUMIF(月間集計シート!$M$92:$M$111,$G1507,月間集計シート!P$92:P$111)*AG$2</f>
        <v>0</v>
      </c>
      <c r="AH1507" s="88">
        <f>SUMIF(月間集計シート!$M$92:$M$111,$G1507,月間集計シート!Q$92:Q$111)*AH$2</f>
        <v>0</v>
      </c>
      <c r="AI1507" s="88">
        <f>SUMIF(月間集計シート!$M$92:$M$111,$G1507,月間集計シート!R$92:R$111)*AI$2</f>
        <v>0</v>
      </c>
      <c r="AJ1507" s="88">
        <f>SUMIF(月間集計シート!$M$92:$M$111,$G1507,月間集計シート!S$92:S$111)*AJ$2</f>
        <v>0</v>
      </c>
      <c r="AK1507" s="88">
        <f>SUMIF(月間集計シート!$M$92:$M$111,$G1507,月間集計シート!T$92:T$111)*AK$2</f>
        <v>0</v>
      </c>
      <c r="AL1507" s="88">
        <f>SUMIF(月間集計シート!$M$113:$M$132,$G1507,月間集計シート!N$113:N$132)*AL$2</f>
        <v>0</v>
      </c>
      <c r="AM1507" s="88">
        <f>SUMIF(月間集計シート!$M$113:$M$132,$G1507,月間集計シート!O$113:O$132)*AM$2</f>
        <v>0</v>
      </c>
      <c r="AN1507" s="88">
        <f>SUMIF(月間集計シート!$M$113:$M$132,$G1507,月間集計シート!P$113:P$132)*AN$2</f>
        <v>0</v>
      </c>
      <c r="AO1507" s="88">
        <f>SUMIF(月間集計シート!$M$113:$M$132,$G1507,月間集計シート!Q$113:Q$132)*AO$2</f>
        <v>0</v>
      </c>
      <c r="AP1507" s="88">
        <f>SUMIF(月間集計シート!$M$113:$M$132,$G1507,月間集計シート!R$113:R$132)*AP$2</f>
        <v>0</v>
      </c>
      <c r="AQ1507" s="88">
        <f>SUMIF(月間集計シート!$M$113:$M$132,$G1507,月間集計シート!S$113:S$132)*AQ$2</f>
        <v>0</v>
      </c>
      <c r="AR1507" s="88">
        <f>SUMIF(月間集計シート!$M$113:$M$132,$G1507,月間集計シート!T$113:T$132)*AR$2</f>
        <v>0</v>
      </c>
      <c r="AS1507" s="88">
        <f>SUMIF(月間集計シート!$M$134:$M$153,$G1507,月間集計シート!N$134:N$153)*AS$2</f>
        <v>0</v>
      </c>
      <c r="AT1507" s="88">
        <f>SUMIF(月間集計シート!$M$134:$M$153,$G1507,月間集計シート!O$134:O$153)*AT$2</f>
        <v>0</v>
      </c>
      <c r="AU1507" s="88">
        <f>SUMIF(月間集計シート!$M$134:$M$153,$G1507,月間集計シート!P$134:P$153)*AU$2</f>
        <v>0</v>
      </c>
      <c r="AV1507" s="88">
        <f>SUMIF(月間集計シート!$M$134:$M$153,$G1507,月間集計シート!Q$134:Q$153)*AV$2</f>
        <v>0</v>
      </c>
      <c r="AW1507" s="88">
        <f>SUMIF(月間集計シート!$M$134:$M$153,$G1507,月間集計シート!R$134:R$153)*AW$2</f>
        <v>0</v>
      </c>
      <c r="AX1507" s="88">
        <f>SUMIF(月間集計シート!$M$134:$M$153,$G1507,月間集計シート!S$134:S$153)*AX$2</f>
        <v>0</v>
      </c>
      <c r="AY1507" s="88">
        <f>SUMIF(月間集計シート!$M$134:$M$153,$G1507,月間集計シート!T$134:T$153)*AY$2</f>
        <v>0</v>
      </c>
    </row>
    <row r="1508" spans="1:51" ht="14.25" thickBot="1">
      <c r="A1508">
        <v>18</v>
      </c>
      <c r="B1508" s="120">
        <f t="shared" si="835"/>
        <v>0</v>
      </c>
      <c r="C1508" s="120" t="str">
        <f t="shared" si="836"/>
        <v/>
      </c>
      <c r="D1508" s="137"/>
      <c r="E1508" s="150">
        <f>工種!A55</f>
        <v>70106</v>
      </c>
      <c r="F1508" s="119" t="str">
        <f>工種!B55</f>
        <v>外部不具合修正：打合せ</v>
      </c>
      <c r="G1508" s="116" t="str">
        <f t="shared" si="837"/>
        <v>070106</v>
      </c>
      <c r="H1508" s="88">
        <f t="shared" si="791"/>
        <v>0</v>
      </c>
      <c r="I1508" s="132"/>
      <c r="J1508" s="88">
        <f>SUMIF(月間集計シート!$M$29:$M$48,$G1508,月間集計シート!N$29:N$48)*J$2</f>
        <v>0</v>
      </c>
      <c r="K1508" s="88">
        <f>SUMIF(月間集計シート!$M$29:$M$48,$G1508,月間集計シート!O$29:O$48)*K$2</f>
        <v>0</v>
      </c>
      <c r="L1508" s="88">
        <f>SUMIF(月間集計シート!$M$29:$M$48,$G1508,月間集計シート!P$29:P$48)*L$2</f>
        <v>0</v>
      </c>
      <c r="M1508" s="88">
        <f>SUMIF(月間集計シート!$M$29:$M$48,$G1508,月間集計シート!Q$29:Q$48)*M$2</f>
        <v>0</v>
      </c>
      <c r="N1508" s="88">
        <f>SUMIF(月間集計シート!$M$29:$M$48,$G1508,月間集計シート!R$29:R$48)*N$2</f>
        <v>0</v>
      </c>
      <c r="O1508" s="88">
        <f>SUMIF(月間集計シート!$M$29:$M$48,$G1508,月間集計シート!S$29:S$48)*O$2</f>
        <v>0</v>
      </c>
      <c r="P1508" s="88">
        <f>SUMIF(月間集計シート!$M$29:$M$48,$G1508,月間集計シート!T$29:T$48)*P$2</f>
        <v>0</v>
      </c>
      <c r="Q1508" s="88">
        <f>SUMIF(月間集計シート!$M$50:$M$69,$G1508,月間集計シート!N$50:N$69)*Q$2</f>
        <v>0</v>
      </c>
      <c r="R1508" s="88">
        <f>SUMIF(月間集計シート!$M$50:$M$69,$G1508,月間集計シート!O$50:O$69)*R$2</f>
        <v>0</v>
      </c>
      <c r="S1508" s="88">
        <f>SUMIF(月間集計シート!$M$50:$M$69,$G1508,月間集計シート!P$50:P$69)*S$2</f>
        <v>0</v>
      </c>
      <c r="T1508" s="88">
        <f>SUMIF(月間集計シート!$M$50:$M$69,$G1508,月間集計シート!Q$50:Q$69)*T$2</f>
        <v>0</v>
      </c>
      <c r="U1508" s="88">
        <f>SUMIF(月間集計シート!$M$50:$M$69,$G1508,月間集計シート!R$50:R$69)*U$2</f>
        <v>0</v>
      </c>
      <c r="V1508" s="88">
        <f>SUMIF(月間集計シート!$M$50:$M$69,$G1508,月間集計シート!S$50:S$69)*V$2</f>
        <v>0</v>
      </c>
      <c r="W1508" s="88">
        <f>SUMIF(月間集計シート!$M$50:$M$69,$G1508,月間集計シート!T$50:T$69)*W$2</f>
        <v>0</v>
      </c>
      <c r="X1508" s="88">
        <f>SUMIF(月間集計シート!$M$71:$M$90,$G1508,月間集計シート!N$71:N$90)*X$2</f>
        <v>0</v>
      </c>
      <c r="Y1508" s="88">
        <f>SUMIF(月間集計シート!$M$71:$M$90,$G1508,月間集計シート!O$71:O$90)*Y$2</f>
        <v>0</v>
      </c>
      <c r="Z1508" s="88">
        <f>SUMIF(月間集計シート!$M$71:$M$90,$G1508,月間集計シート!P$71:P$90)*Z$2</f>
        <v>0</v>
      </c>
      <c r="AA1508" s="88">
        <f>SUMIF(月間集計シート!$M$71:$M$90,$G1508,月間集計シート!Q$71:Q$90)*AA$2</f>
        <v>0</v>
      </c>
      <c r="AB1508" s="88">
        <f>SUMIF(月間集計シート!$M$71:$M$90,$G1508,月間集計シート!R$71:R$90)*AB$2</f>
        <v>0</v>
      </c>
      <c r="AC1508" s="88">
        <f>SUMIF(月間集計シート!$M$71:$M$90,$G1508,月間集計シート!S$71:S$90)*AC$2</f>
        <v>0</v>
      </c>
      <c r="AD1508" s="88">
        <f>SUMIF(月間集計シート!$M$71:$M$90,$G1508,月間集計シート!T$71:T$90)*AD$2</f>
        <v>0</v>
      </c>
      <c r="AE1508" s="88">
        <f>SUMIF(月間集計シート!$M$92:$M$111,$G1508,月間集計シート!N$92:N$111)*AE$2</f>
        <v>0</v>
      </c>
      <c r="AF1508" s="88">
        <f>SUMIF(月間集計シート!$M$92:$M$111,$G1508,月間集計シート!O$92:O$111)*AF$2</f>
        <v>0</v>
      </c>
      <c r="AG1508" s="88">
        <f>SUMIF(月間集計シート!$M$92:$M$111,$G1508,月間集計シート!P$92:P$111)*AG$2</f>
        <v>0</v>
      </c>
      <c r="AH1508" s="88">
        <f>SUMIF(月間集計シート!$M$92:$M$111,$G1508,月間集計シート!Q$92:Q$111)*AH$2</f>
        <v>0</v>
      </c>
      <c r="AI1508" s="88">
        <f>SUMIF(月間集計シート!$M$92:$M$111,$G1508,月間集計シート!R$92:R$111)*AI$2</f>
        <v>0</v>
      </c>
      <c r="AJ1508" s="88">
        <f>SUMIF(月間集計シート!$M$92:$M$111,$G1508,月間集計シート!S$92:S$111)*AJ$2</f>
        <v>0</v>
      </c>
      <c r="AK1508" s="88">
        <f>SUMIF(月間集計シート!$M$92:$M$111,$G1508,月間集計シート!T$92:T$111)*AK$2</f>
        <v>0</v>
      </c>
      <c r="AL1508" s="88">
        <f>SUMIF(月間集計シート!$M$113:$M$132,$G1508,月間集計シート!N$113:N$132)*AL$2</f>
        <v>0</v>
      </c>
      <c r="AM1508" s="88">
        <f>SUMIF(月間集計シート!$M$113:$M$132,$G1508,月間集計シート!O$113:O$132)*AM$2</f>
        <v>0</v>
      </c>
      <c r="AN1508" s="88">
        <f>SUMIF(月間集計シート!$M$113:$M$132,$G1508,月間集計シート!P$113:P$132)*AN$2</f>
        <v>0</v>
      </c>
      <c r="AO1508" s="88">
        <f>SUMIF(月間集計シート!$M$113:$M$132,$G1508,月間集計シート!Q$113:Q$132)*AO$2</f>
        <v>0</v>
      </c>
      <c r="AP1508" s="88">
        <f>SUMIF(月間集計シート!$M$113:$M$132,$G1508,月間集計シート!R$113:R$132)*AP$2</f>
        <v>0</v>
      </c>
      <c r="AQ1508" s="88">
        <f>SUMIF(月間集計シート!$M$113:$M$132,$G1508,月間集計シート!S$113:S$132)*AQ$2</f>
        <v>0</v>
      </c>
      <c r="AR1508" s="88">
        <f>SUMIF(月間集計シート!$M$113:$M$132,$G1508,月間集計シート!T$113:T$132)*AR$2</f>
        <v>0</v>
      </c>
      <c r="AS1508" s="88">
        <f>SUMIF(月間集計シート!$M$134:$M$153,$G1508,月間集計シート!N$134:N$153)*AS$2</f>
        <v>0</v>
      </c>
      <c r="AT1508" s="88">
        <f>SUMIF(月間集計シート!$M$134:$M$153,$G1508,月間集計シート!O$134:O$153)*AT$2</f>
        <v>0</v>
      </c>
      <c r="AU1508" s="88">
        <f>SUMIF(月間集計シート!$M$134:$M$153,$G1508,月間集計シート!P$134:P$153)*AU$2</f>
        <v>0</v>
      </c>
      <c r="AV1508" s="88">
        <f>SUMIF(月間集計シート!$M$134:$M$153,$G1508,月間集計シート!Q$134:Q$153)*AV$2</f>
        <v>0</v>
      </c>
      <c r="AW1508" s="88">
        <f>SUMIF(月間集計シート!$M$134:$M$153,$G1508,月間集計シート!R$134:R$153)*AW$2</f>
        <v>0</v>
      </c>
      <c r="AX1508" s="88">
        <f>SUMIF(月間集計シート!$M$134:$M$153,$G1508,月間集計シート!S$134:S$153)*AX$2</f>
        <v>0</v>
      </c>
      <c r="AY1508" s="88">
        <f>SUMIF(月間集計シート!$M$134:$M$153,$G1508,月間集計シート!T$134:T$153)*AY$2</f>
        <v>0</v>
      </c>
    </row>
    <row r="1509" spans="1:51" ht="14.25" thickBot="1">
      <c r="A1509">
        <v>18</v>
      </c>
      <c r="B1509" s="120">
        <f t="shared" si="835"/>
        <v>0</v>
      </c>
      <c r="C1509" s="120" t="str">
        <f t="shared" si="836"/>
        <v/>
      </c>
      <c r="D1509" s="137"/>
      <c r="E1509" s="150">
        <f>工種!A56</f>
        <v>70109</v>
      </c>
      <c r="F1509" s="119" t="str">
        <f>工種!B56</f>
        <v>外部不具合修正：レビュー</v>
      </c>
      <c r="G1509" s="116" t="str">
        <f t="shared" si="837"/>
        <v>070109</v>
      </c>
      <c r="H1509" s="88">
        <f t="shared" si="791"/>
        <v>0</v>
      </c>
      <c r="I1509" s="132"/>
      <c r="J1509" s="88">
        <f>SUMIF(月間集計シート!$M$29:$M$48,$G1509,月間集計シート!N$29:N$48)*J$2</f>
        <v>0</v>
      </c>
      <c r="K1509" s="88">
        <f>SUMIF(月間集計シート!$M$29:$M$48,$G1509,月間集計シート!O$29:O$48)*K$2</f>
        <v>0</v>
      </c>
      <c r="L1509" s="88">
        <f>SUMIF(月間集計シート!$M$29:$M$48,$G1509,月間集計シート!P$29:P$48)*L$2</f>
        <v>0</v>
      </c>
      <c r="M1509" s="88">
        <f>SUMIF(月間集計シート!$M$29:$M$48,$G1509,月間集計シート!Q$29:Q$48)*M$2</f>
        <v>0</v>
      </c>
      <c r="N1509" s="88">
        <f>SUMIF(月間集計シート!$M$29:$M$48,$G1509,月間集計シート!R$29:R$48)*N$2</f>
        <v>0</v>
      </c>
      <c r="O1509" s="88">
        <f>SUMIF(月間集計シート!$M$29:$M$48,$G1509,月間集計シート!S$29:S$48)*O$2</f>
        <v>0</v>
      </c>
      <c r="P1509" s="88">
        <f>SUMIF(月間集計シート!$M$29:$M$48,$G1509,月間集計シート!T$29:T$48)*P$2</f>
        <v>0</v>
      </c>
      <c r="Q1509" s="88">
        <f>SUMIF(月間集計シート!$M$50:$M$69,$G1509,月間集計シート!N$50:N$69)*Q$2</f>
        <v>0</v>
      </c>
      <c r="R1509" s="88">
        <f>SUMIF(月間集計シート!$M$50:$M$69,$G1509,月間集計シート!O$50:O$69)*R$2</f>
        <v>0</v>
      </c>
      <c r="S1509" s="88">
        <f>SUMIF(月間集計シート!$M$50:$M$69,$G1509,月間集計シート!P$50:P$69)*S$2</f>
        <v>0</v>
      </c>
      <c r="T1509" s="88">
        <f>SUMIF(月間集計シート!$M$50:$M$69,$G1509,月間集計シート!Q$50:Q$69)*T$2</f>
        <v>0</v>
      </c>
      <c r="U1509" s="88">
        <f>SUMIF(月間集計シート!$M$50:$M$69,$G1509,月間集計シート!R$50:R$69)*U$2</f>
        <v>0</v>
      </c>
      <c r="V1509" s="88">
        <f>SUMIF(月間集計シート!$M$50:$M$69,$G1509,月間集計シート!S$50:S$69)*V$2</f>
        <v>0</v>
      </c>
      <c r="W1509" s="88">
        <f>SUMIF(月間集計シート!$M$50:$M$69,$G1509,月間集計シート!T$50:T$69)*W$2</f>
        <v>0</v>
      </c>
      <c r="X1509" s="88">
        <f>SUMIF(月間集計シート!$M$71:$M$90,$G1509,月間集計シート!N$71:N$90)*X$2</f>
        <v>0</v>
      </c>
      <c r="Y1509" s="88">
        <f>SUMIF(月間集計シート!$M$71:$M$90,$G1509,月間集計シート!O$71:O$90)*Y$2</f>
        <v>0</v>
      </c>
      <c r="Z1509" s="88">
        <f>SUMIF(月間集計シート!$M$71:$M$90,$G1509,月間集計シート!P$71:P$90)*Z$2</f>
        <v>0</v>
      </c>
      <c r="AA1509" s="88">
        <f>SUMIF(月間集計シート!$M$71:$M$90,$G1509,月間集計シート!Q$71:Q$90)*AA$2</f>
        <v>0</v>
      </c>
      <c r="AB1509" s="88">
        <f>SUMIF(月間集計シート!$M$71:$M$90,$G1509,月間集計シート!R$71:R$90)*AB$2</f>
        <v>0</v>
      </c>
      <c r="AC1509" s="88">
        <f>SUMIF(月間集計シート!$M$71:$M$90,$G1509,月間集計シート!S$71:S$90)*AC$2</f>
        <v>0</v>
      </c>
      <c r="AD1509" s="88">
        <f>SUMIF(月間集計シート!$M$71:$M$90,$G1509,月間集計シート!T$71:T$90)*AD$2</f>
        <v>0</v>
      </c>
      <c r="AE1509" s="88">
        <f>SUMIF(月間集計シート!$M$92:$M$111,$G1509,月間集計シート!N$92:N$111)*AE$2</f>
        <v>0</v>
      </c>
      <c r="AF1509" s="88">
        <f>SUMIF(月間集計シート!$M$92:$M$111,$G1509,月間集計シート!O$92:O$111)*AF$2</f>
        <v>0</v>
      </c>
      <c r="AG1509" s="88">
        <f>SUMIF(月間集計シート!$M$92:$M$111,$G1509,月間集計シート!P$92:P$111)*AG$2</f>
        <v>0</v>
      </c>
      <c r="AH1509" s="88">
        <f>SUMIF(月間集計シート!$M$92:$M$111,$G1509,月間集計シート!Q$92:Q$111)*AH$2</f>
        <v>0</v>
      </c>
      <c r="AI1509" s="88">
        <f>SUMIF(月間集計シート!$M$92:$M$111,$G1509,月間集計シート!R$92:R$111)*AI$2</f>
        <v>0</v>
      </c>
      <c r="AJ1509" s="88">
        <f>SUMIF(月間集計シート!$M$92:$M$111,$G1509,月間集計シート!S$92:S$111)*AJ$2</f>
        <v>0</v>
      </c>
      <c r="AK1509" s="88">
        <f>SUMIF(月間集計シート!$M$92:$M$111,$G1509,月間集計シート!T$92:T$111)*AK$2</f>
        <v>0</v>
      </c>
      <c r="AL1509" s="88">
        <f>SUMIF(月間集計シート!$M$113:$M$132,$G1509,月間集計シート!N$113:N$132)*AL$2</f>
        <v>0</v>
      </c>
      <c r="AM1509" s="88">
        <f>SUMIF(月間集計シート!$M$113:$M$132,$G1509,月間集計シート!O$113:O$132)*AM$2</f>
        <v>0</v>
      </c>
      <c r="AN1509" s="88">
        <f>SUMIF(月間集計シート!$M$113:$M$132,$G1509,月間集計シート!P$113:P$132)*AN$2</f>
        <v>0</v>
      </c>
      <c r="AO1509" s="88">
        <f>SUMIF(月間集計シート!$M$113:$M$132,$G1509,月間集計シート!Q$113:Q$132)*AO$2</f>
        <v>0</v>
      </c>
      <c r="AP1509" s="88">
        <f>SUMIF(月間集計シート!$M$113:$M$132,$G1509,月間集計シート!R$113:R$132)*AP$2</f>
        <v>0</v>
      </c>
      <c r="AQ1509" s="88">
        <f>SUMIF(月間集計シート!$M$113:$M$132,$G1509,月間集計シート!S$113:S$132)*AQ$2</f>
        <v>0</v>
      </c>
      <c r="AR1509" s="88">
        <f>SUMIF(月間集計シート!$M$113:$M$132,$G1509,月間集計シート!T$113:T$132)*AR$2</f>
        <v>0</v>
      </c>
      <c r="AS1509" s="88">
        <f>SUMIF(月間集計シート!$M$134:$M$153,$G1509,月間集計シート!N$134:N$153)*AS$2</f>
        <v>0</v>
      </c>
      <c r="AT1509" s="88">
        <f>SUMIF(月間集計シート!$M$134:$M$153,$G1509,月間集計シート!O$134:O$153)*AT$2</f>
        <v>0</v>
      </c>
      <c r="AU1509" s="88">
        <f>SUMIF(月間集計シート!$M$134:$M$153,$G1509,月間集計シート!P$134:P$153)*AU$2</f>
        <v>0</v>
      </c>
      <c r="AV1509" s="88">
        <f>SUMIF(月間集計シート!$M$134:$M$153,$G1509,月間集計シート!Q$134:Q$153)*AV$2</f>
        <v>0</v>
      </c>
      <c r="AW1509" s="88">
        <f>SUMIF(月間集計シート!$M$134:$M$153,$G1509,月間集計シート!R$134:R$153)*AW$2</f>
        <v>0</v>
      </c>
      <c r="AX1509" s="88">
        <f>SUMIF(月間集計シート!$M$134:$M$153,$G1509,月間集計シート!S$134:S$153)*AX$2</f>
        <v>0</v>
      </c>
      <c r="AY1509" s="88">
        <f>SUMIF(月間集計シート!$M$134:$M$153,$G1509,月間集計シート!T$134:T$153)*AY$2</f>
        <v>0</v>
      </c>
    </row>
    <row r="1510" spans="1:51" ht="14.25" thickBot="1">
      <c r="A1510">
        <v>18</v>
      </c>
      <c r="B1510" s="120">
        <f t="shared" si="835"/>
        <v>0</v>
      </c>
      <c r="C1510" s="120" t="str">
        <f t="shared" si="836"/>
        <v/>
      </c>
      <c r="D1510" s="137"/>
      <c r="E1510" s="150">
        <f>工種!A57</f>
        <v>70189</v>
      </c>
      <c r="F1510" s="119" t="str">
        <f>工種!B57</f>
        <v>外部不具合修正：外部不具合分析</v>
      </c>
      <c r="G1510" s="116" t="str">
        <f t="shared" si="837"/>
        <v>070189</v>
      </c>
      <c r="H1510" s="88">
        <f t="shared" si="791"/>
        <v>0</v>
      </c>
      <c r="I1510" s="132"/>
      <c r="J1510" s="88">
        <f>SUMIF(月間集計シート!$M$29:$M$48,$G1510,月間集計シート!N$29:N$48)*J$2</f>
        <v>0</v>
      </c>
      <c r="K1510" s="88">
        <f>SUMIF(月間集計シート!$M$29:$M$48,$G1510,月間集計シート!O$29:O$48)*K$2</f>
        <v>0</v>
      </c>
      <c r="L1510" s="88">
        <f>SUMIF(月間集計シート!$M$29:$M$48,$G1510,月間集計シート!P$29:P$48)*L$2</f>
        <v>0</v>
      </c>
      <c r="M1510" s="88">
        <f>SUMIF(月間集計シート!$M$29:$M$48,$G1510,月間集計シート!Q$29:Q$48)*M$2</f>
        <v>0</v>
      </c>
      <c r="N1510" s="88">
        <f>SUMIF(月間集計シート!$M$29:$M$48,$G1510,月間集計シート!R$29:R$48)*N$2</f>
        <v>0</v>
      </c>
      <c r="O1510" s="88">
        <f>SUMIF(月間集計シート!$M$29:$M$48,$G1510,月間集計シート!S$29:S$48)*O$2</f>
        <v>0</v>
      </c>
      <c r="P1510" s="88">
        <f>SUMIF(月間集計シート!$M$29:$M$48,$G1510,月間集計シート!T$29:T$48)*P$2</f>
        <v>0</v>
      </c>
      <c r="Q1510" s="88">
        <f>SUMIF(月間集計シート!$M$50:$M$69,$G1510,月間集計シート!N$50:N$69)*Q$2</f>
        <v>0</v>
      </c>
      <c r="R1510" s="88">
        <f>SUMIF(月間集計シート!$M$50:$M$69,$G1510,月間集計シート!O$50:O$69)*R$2</f>
        <v>0</v>
      </c>
      <c r="S1510" s="88">
        <f>SUMIF(月間集計シート!$M$50:$M$69,$G1510,月間集計シート!P$50:P$69)*S$2</f>
        <v>0</v>
      </c>
      <c r="T1510" s="88">
        <f>SUMIF(月間集計シート!$M$50:$M$69,$G1510,月間集計シート!Q$50:Q$69)*T$2</f>
        <v>0</v>
      </c>
      <c r="U1510" s="88">
        <f>SUMIF(月間集計シート!$M$50:$M$69,$G1510,月間集計シート!R$50:R$69)*U$2</f>
        <v>0</v>
      </c>
      <c r="V1510" s="88">
        <f>SUMIF(月間集計シート!$M$50:$M$69,$G1510,月間集計シート!S$50:S$69)*V$2</f>
        <v>0</v>
      </c>
      <c r="W1510" s="88">
        <f>SUMIF(月間集計シート!$M$50:$M$69,$G1510,月間集計シート!T$50:T$69)*W$2</f>
        <v>0</v>
      </c>
      <c r="X1510" s="88">
        <f>SUMIF(月間集計シート!$M$71:$M$90,$G1510,月間集計シート!N$71:N$90)*X$2</f>
        <v>0</v>
      </c>
      <c r="Y1510" s="88">
        <f>SUMIF(月間集計シート!$M$71:$M$90,$G1510,月間集計シート!O$71:O$90)*Y$2</f>
        <v>0</v>
      </c>
      <c r="Z1510" s="88">
        <f>SUMIF(月間集計シート!$M$71:$M$90,$G1510,月間集計シート!P$71:P$90)*Z$2</f>
        <v>0</v>
      </c>
      <c r="AA1510" s="88">
        <f>SUMIF(月間集計シート!$M$71:$M$90,$G1510,月間集計シート!Q$71:Q$90)*AA$2</f>
        <v>0</v>
      </c>
      <c r="AB1510" s="88">
        <f>SUMIF(月間集計シート!$M$71:$M$90,$G1510,月間集計シート!R$71:R$90)*AB$2</f>
        <v>0</v>
      </c>
      <c r="AC1510" s="88">
        <f>SUMIF(月間集計シート!$M$71:$M$90,$G1510,月間集計シート!S$71:S$90)*AC$2</f>
        <v>0</v>
      </c>
      <c r="AD1510" s="88">
        <f>SUMIF(月間集計シート!$M$71:$M$90,$G1510,月間集計シート!T$71:T$90)*AD$2</f>
        <v>0</v>
      </c>
      <c r="AE1510" s="88">
        <f>SUMIF(月間集計シート!$M$92:$M$111,$G1510,月間集計シート!N$92:N$111)*AE$2</f>
        <v>0</v>
      </c>
      <c r="AF1510" s="88">
        <f>SUMIF(月間集計シート!$M$92:$M$111,$G1510,月間集計シート!O$92:O$111)*AF$2</f>
        <v>0</v>
      </c>
      <c r="AG1510" s="88">
        <f>SUMIF(月間集計シート!$M$92:$M$111,$G1510,月間集計シート!P$92:P$111)*AG$2</f>
        <v>0</v>
      </c>
      <c r="AH1510" s="88">
        <f>SUMIF(月間集計シート!$M$92:$M$111,$G1510,月間集計シート!Q$92:Q$111)*AH$2</f>
        <v>0</v>
      </c>
      <c r="AI1510" s="88">
        <f>SUMIF(月間集計シート!$M$92:$M$111,$G1510,月間集計シート!R$92:R$111)*AI$2</f>
        <v>0</v>
      </c>
      <c r="AJ1510" s="88">
        <f>SUMIF(月間集計シート!$M$92:$M$111,$G1510,月間集計シート!S$92:S$111)*AJ$2</f>
        <v>0</v>
      </c>
      <c r="AK1510" s="88">
        <f>SUMIF(月間集計シート!$M$92:$M$111,$G1510,月間集計シート!T$92:T$111)*AK$2</f>
        <v>0</v>
      </c>
      <c r="AL1510" s="88">
        <f>SUMIF(月間集計シート!$M$113:$M$132,$G1510,月間集計シート!N$113:N$132)*AL$2</f>
        <v>0</v>
      </c>
      <c r="AM1510" s="88">
        <f>SUMIF(月間集計シート!$M$113:$M$132,$G1510,月間集計シート!O$113:O$132)*AM$2</f>
        <v>0</v>
      </c>
      <c r="AN1510" s="88">
        <f>SUMIF(月間集計シート!$M$113:$M$132,$G1510,月間集計シート!P$113:P$132)*AN$2</f>
        <v>0</v>
      </c>
      <c r="AO1510" s="88">
        <f>SUMIF(月間集計シート!$M$113:$M$132,$G1510,月間集計シート!Q$113:Q$132)*AO$2</f>
        <v>0</v>
      </c>
      <c r="AP1510" s="88">
        <f>SUMIF(月間集計シート!$M$113:$M$132,$G1510,月間集計シート!R$113:R$132)*AP$2</f>
        <v>0</v>
      </c>
      <c r="AQ1510" s="88">
        <f>SUMIF(月間集計シート!$M$113:$M$132,$G1510,月間集計シート!S$113:S$132)*AQ$2</f>
        <v>0</v>
      </c>
      <c r="AR1510" s="88">
        <f>SUMIF(月間集計シート!$M$113:$M$132,$G1510,月間集計シート!T$113:T$132)*AR$2</f>
        <v>0</v>
      </c>
      <c r="AS1510" s="88">
        <f>SUMIF(月間集計シート!$M$134:$M$153,$G1510,月間集計シート!N$134:N$153)*AS$2</f>
        <v>0</v>
      </c>
      <c r="AT1510" s="88">
        <f>SUMIF(月間集計シート!$M$134:$M$153,$G1510,月間集計シート!O$134:O$153)*AT$2</f>
        <v>0</v>
      </c>
      <c r="AU1510" s="88">
        <f>SUMIF(月間集計シート!$M$134:$M$153,$G1510,月間集計シート!P$134:P$153)*AU$2</f>
        <v>0</v>
      </c>
      <c r="AV1510" s="88">
        <f>SUMIF(月間集計シート!$M$134:$M$153,$G1510,月間集計シート!Q$134:Q$153)*AV$2</f>
        <v>0</v>
      </c>
      <c r="AW1510" s="88">
        <f>SUMIF(月間集計シート!$M$134:$M$153,$G1510,月間集計シート!R$134:R$153)*AW$2</f>
        <v>0</v>
      </c>
      <c r="AX1510" s="88">
        <f>SUMIF(月間集計シート!$M$134:$M$153,$G1510,月間集計シート!S$134:S$153)*AX$2</f>
        <v>0</v>
      </c>
      <c r="AY1510" s="88">
        <f>SUMIF(月間集計シート!$M$134:$M$153,$G1510,月間集計シート!T$134:T$153)*AY$2</f>
        <v>0</v>
      </c>
    </row>
    <row r="1511" spans="1:51" ht="14.25" thickBot="1">
      <c r="A1511">
        <v>18</v>
      </c>
      <c r="B1511" s="120">
        <f t="shared" si="835"/>
        <v>0</v>
      </c>
      <c r="C1511" s="120" t="str">
        <f t="shared" si="836"/>
        <v/>
      </c>
      <c r="D1511" s="137"/>
      <c r="E1511" s="150">
        <f>工種!A58</f>
        <v>70199</v>
      </c>
      <c r="F1511" s="119" t="str">
        <f>工種!B58</f>
        <v>外部不具合修正：その他</v>
      </c>
      <c r="G1511" s="116" t="str">
        <f t="shared" si="837"/>
        <v>070199</v>
      </c>
      <c r="H1511" s="88">
        <f t="shared" si="791"/>
        <v>0</v>
      </c>
      <c r="I1511" s="132"/>
      <c r="J1511" s="88">
        <f>SUMIF(月間集計シート!$M$29:$M$48,$G1511,月間集計シート!N$29:N$48)*J$2</f>
        <v>0</v>
      </c>
      <c r="K1511" s="88">
        <f>SUMIF(月間集計シート!$M$29:$M$48,$G1511,月間集計シート!O$29:O$48)*K$2</f>
        <v>0</v>
      </c>
      <c r="L1511" s="88">
        <f>SUMIF(月間集計シート!$M$29:$M$48,$G1511,月間集計シート!P$29:P$48)*L$2</f>
        <v>0</v>
      </c>
      <c r="M1511" s="88">
        <f>SUMIF(月間集計シート!$M$29:$M$48,$G1511,月間集計シート!Q$29:Q$48)*M$2</f>
        <v>0</v>
      </c>
      <c r="N1511" s="88">
        <f>SUMIF(月間集計シート!$M$29:$M$48,$G1511,月間集計シート!R$29:R$48)*N$2</f>
        <v>0</v>
      </c>
      <c r="O1511" s="88">
        <f>SUMIF(月間集計シート!$M$29:$M$48,$G1511,月間集計シート!S$29:S$48)*O$2</f>
        <v>0</v>
      </c>
      <c r="P1511" s="88">
        <f>SUMIF(月間集計シート!$M$29:$M$48,$G1511,月間集計シート!T$29:T$48)*P$2</f>
        <v>0</v>
      </c>
      <c r="Q1511" s="88">
        <f>SUMIF(月間集計シート!$M$50:$M$69,$G1511,月間集計シート!N$50:N$69)*Q$2</f>
        <v>0</v>
      </c>
      <c r="R1511" s="88">
        <f>SUMIF(月間集計シート!$M$50:$M$69,$G1511,月間集計シート!O$50:O$69)*R$2</f>
        <v>0</v>
      </c>
      <c r="S1511" s="88">
        <f>SUMIF(月間集計シート!$M$50:$M$69,$G1511,月間集計シート!P$50:P$69)*S$2</f>
        <v>0</v>
      </c>
      <c r="T1511" s="88">
        <f>SUMIF(月間集計シート!$M$50:$M$69,$G1511,月間集計シート!Q$50:Q$69)*T$2</f>
        <v>0</v>
      </c>
      <c r="U1511" s="88">
        <f>SUMIF(月間集計シート!$M$50:$M$69,$G1511,月間集計シート!R$50:R$69)*U$2</f>
        <v>0</v>
      </c>
      <c r="V1511" s="88">
        <f>SUMIF(月間集計シート!$M$50:$M$69,$G1511,月間集計シート!S$50:S$69)*V$2</f>
        <v>0</v>
      </c>
      <c r="W1511" s="88">
        <f>SUMIF(月間集計シート!$M$50:$M$69,$G1511,月間集計シート!T$50:T$69)*W$2</f>
        <v>0</v>
      </c>
      <c r="X1511" s="88">
        <f>SUMIF(月間集計シート!$M$71:$M$90,$G1511,月間集計シート!N$71:N$90)*X$2</f>
        <v>0</v>
      </c>
      <c r="Y1511" s="88">
        <f>SUMIF(月間集計シート!$M$71:$M$90,$G1511,月間集計シート!O$71:O$90)*Y$2</f>
        <v>0</v>
      </c>
      <c r="Z1511" s="88">
        <f>SUMIF(月間集計シート!$M$71:$M$90,$G1511,月間集計シート!P$71:P$90)*Z$2</f>
        <v>0</v>
      </c>
      <c r="AA1511" s="88">
        <f>SUMIF(月間集計シート!$M$71:$M$90,$G1511,月間集計シート!Q$71:Q$90)*AA$2</f>
        <v>0</v>
      </c>
      <c r="AB1511" s="88">
        <f>SUMIF(月間集計シート!$M$71:$M$90,$G1511,月間集計シート!R$71:R$90)*AB$2</f>
        <v>0</v>
      </c>
      <c r="AC1511" s="88">
        <f>SUMIF(月間集計シート!$M$71:$M$90,$G1511,月間集計シート!S$71:S$90)*AC$2</f>
        <v>0</v>
      </c>
      <c r="AD1511" s="88">
        <f>SUMIF(月間集計シート!$M$71:$M$90,$G1511,月間集計シート!T$71:T$90)*AD$2</f>
        <v>0</v>
      </c>
      <c r="AE1511" s="88">
        <f>SUMIF(月間集計シート!$M$92:$M$111,$G1511,月間集計シート!N$92:N$111)*AE$2</f>
        <v>0</v>
      </c>
      <c r="AF1511" s="88">
        <f>SUMIF(月間集計シート!$M$92:$M$111,$G1511,月間集計シート!O$92:O$111)*AF$2</f>
        <v>0</v>
      </c>
      <c r="AG1511" s="88">
        <f>SUMIF(月間集計シート!$M$92:$M$111,$G1511,月間集計シート!P$92:P$111)*AG$2</f>
        <v>0</v>
      </c>
      <c r="AH1511" s="88">
        <f>SUMIF(月間集計シート!$M$92:$M$111,$G1511,月間集計シート!Q$92:Q$111)*AH$2</f>
        <v>0</v>
      </c>
      <c r="AI1511" s="88">
        <f>SUMIF(月間集計シート!$M$92:$M$111,$G1511,月間集計シート!R$92:R$111)*AI$2</f>
        <v>0</v>
      </c>
      <c r="AJ1511" s="88">
        <f>SUMIF(月間集計シート!$M$92:$M$111,$G1511,月間集計シート!S$92:S$111)*AJ$2</f>
        <v>0</v>
      </c>
      <c r="AK1511" s="88">
        <f>SUMIF(月間集計シート!$M$92:$M$111,$G1511,月間集計シート!T$92:T$111)*AK$2</f>
        <v>0</v>
      </c>
      <c r="AL1511" s="88">
        <f>SUMIF(月間集計シート!$M$113:$M$132,$G1511,月間集計シート!N$113:N$132)*AL$2</f>
        <v>0</v>
      </c>
      <c r="AM1511" s="88">
        <f>SUMIF(月間集計シート!$M$113:$M$132,$G1511,月間集計シート!O$113:O$132)*AM$2</f>
        <v>0</v>
      </c>
      <c r="AN1511" s="88">
        <f>SUMIF(月間集計シート!$M$113:$M$132,$G1511,月間集計シート!P$113:P$132)*AN$2</f>
        <v>0</v>
      </c>
      <c r="AO1511" s="88">
        <f>SUMIF(月間集計シート!$M$113:$M$132,$G1511,月間集計シート!Q$113:Q$132)*AO$2</f>
        <v>0</v>
      </c>
      <c r="AP1511" s="88">
        <f>SUMIF(月間集計シート!$M$113:$M$132,$G1511,月間集計シート!R$113:R$132)*AP$2</f>
        <v>0</v>
      </c>
      <c r="AQ1511" s="88">
        <f>SUMIF(月間集計シート!$M$113:$M$132,$G1511,月間集計シート!S$113:S$132)*AQ$2</f>
        <v>0</v>
      </c>
      <c r="AR1511" s="88">
        <f>SUMIF(月間集計シート!$M$113:$M$132,$G1511,月間集計シート!T$113:T$132)*AR$2</f>
        <v>0</v>
      </c>
      <c r="AS1511" s="88">
        <f>SUMIF(月間集計シート!$M$134:$M$153,$G1511,月間集計シート!N$134:N$153)*AS$2</f>
        <v>0</v>
      </c>
      <c r="AT1511" s="88">
        <f>SUMIF(月間集計シート!$M$134:$M$153,$G1511,月間集計シート!O$134:O$153)*AT$2</f>
        <v>0</v>
      </c>
      <c r="AU1511" s="88">
        <f>SUMIF(月間集計シート!$M$134:$M$153,$G1511,月間集計シート!P$134:P$153)*AU$2</f>
        <v>0</v>
      </c>
      <c r="AV1511" s="88">
        <f>SUMIF(月間集計シート!$M$134:$M$153,$G1511,月間集計シート!Q$134:Q$153)*AV$2</f>
        <v>0</v>
      </c>
      <c r="AW1511" s="88">
        <f>SUMIF(月間集計シート!$M$134:$M$153,$G1511,月間集計シート!R$134:R$153)*AW$2</f>
        <v>0</v>
      </c>
      <c r="AX1511" s="88">
        <f>SUMIF(月間集計シート!$M$134:$M$153,$G1511,月間集計シート!S$134:S$153)*AX$2</f>
        <v>0</v>
      </c>
      <c r="AY1511" s="88">
        <f>SUMIF(月間集計シート!$M$134:$M$153,$G1511,月間集計シート!T$134:T$153)*AY$2</f>
        <v>0</v>
      </c>
    </row>
    <row r="1512" spans="1:51" ht="14.25" thickBot="1">
      <c r="A1512">
        <v>18</v>
      </c>
      <c r="B1512" s="120">
        <f t="shared" si="835"/>
        <v>0</v>
      </c>
      <c r="C1512" s="120" t="str">
        <f t="shared" si="836"/>
        <v/>
      </c>
      <c r="D1512" s="137"/>
      <c r="E1512" s="150" t="str">
        <f>工種!A59</f>
        <v>80101</v>
      </c>
      <c r="F1512" s="119" t="str">
        <f>工種!B59</f>
        <v>保守／ｻﾎﾟｰﾄ：調査</v>
      </c>
      <c r="G1512" s="116" t="str">
        <f t="shared" si="837"/>
        <v>080101</v>
      </c>
      <c r="H1512" s="88">
        <f t="shared" si="791"/>
        <v>0</v>
      </c>
      <c r="I1512" s="132"/>
      <c r="J1512" s="88">
        <f>SUMIF(月間集計シート!$M$29:$M$48,$G1512,月間集計シート!N$29:N$48)*J$2</f>
        <v>0</v>
      </c>
      <c r="K1512" s="88">
        <f>SUMIF(月間集計シート!$M$29:$M$48,$G1512,月間集計シート!O$29:O$48)*K$2</f>
        <v>0</v>
      </c>
      <c r="L1512" s="88">
        <f>SUMIF(月間集計シート!$M$29:$M$48,$G1512,月間集計シート!P$29:P$48)*L$2</f>
        <v>0</v>
      </c>
      <c r="M1512" s="88">
        <f>SUMIF(月間集計シート!$M$29:$M$48,$G1512,月間集計シート!Q$29:Q$48)*M$2</f>
        <v>0</v>
      </c>
      <c r="N1512" s="88">
        <f>SUMIF(月間集計シート!$M$29:$M$48,$G1512,月間集計シート!R$29:R$48)*N$2</f>
        <v>0</v>
      </c>
      <c r="O1512" s="88">
        <f>SUMIF(月間集計シート!$M$29:$M$48,$G1512,月間集計シート!S$29:S$48)*O$2</f>
        <v>0</v>
      </c>
      <c r="P1512" s="88">
        <f>SUMIF(月間集計シート!$M$29:$M$48,$G1512,月間集計シート!T$29:T$48)*P$2</f>
        <v>0</v>
      </c>
      <c r="Q1512" s="88">
        <f>SUMIF(月間集計シート!$M$50:$M$69,$G1512,月間集計シート!N$50:N$69)*Q$2</f>
        <v>0</v>
      </c>
      <c r="R1512" s="88">
        <f>SUMIF(月間集計シート!$M$50:$M$69,$G1512,月間集計シート!O$50:O$69)*R$2</f>
        <v>0</v>
      </c>
      <c r="S1512" s="88">
        <f>SUMIF(月間集計シート!$M$50:$M$69,$G1512,月間集計シート!P$50:P$69)*S$2</f>
        <v>0</v>
      </c>
      <c r="T1512" s="88">
        <f>SUMIF(月間集計シート!$M$50:$M$69,$G1512,月間集計シート!Q$50:Q$69)*T$2</f>
        <v>0</v>
      </c>
      <c r="U1512" s="88">
        <f>SUMIF(月間集計シート!$M$50:$M$69,$G1512,月間集計シート!R$50:R$69)*U$2</f>
        <v>0</v>
      </c>
      <c r="V1512" s="88">
        <f>SUMIF(月間集計シート!$M$50:$M$69,$G1512,月間集計シート!S$50:S$69)*V$2</f>
        <v>0</v>
      </c>
      <c r="W1512" s="88">
        <f>SUMIF(月間集計シート!$M$50:$M$69,$G1512,月間集計シート!T$50:T$69)*W$2</f>
        <v>0</v>
      </c>
      <c r="X1512" s="88">
        <f>SUMIF(月間集計シート!$M$71:$M$90,$G1512,月間集計シート!N$71:N$90)*X$2</f>
        <v>0</v>
      </c>
      <c r="Y1512" s="88">
        <f>SUMIF(月間集計シート!$M$71:$M$90,$G1512,月間集計シート!O$71:O$90)*Y$2</f>
        <v>0</v>
      </c>
      <c r="Z1512" s="88">
        <f>SUMIF(月間集計シート!$M$71:$M$90,$G1512,月間集計シート!P$71:P$90)*Z$2</f>
        <v>0</v>
      </c>
      <c r="AA1512" s="88">
        <f>SUMIF(月間集計シート!$M$71:$M$90,$G1512,月間集計シート!Q$71:Q$90)*AA$2</f>
        <v>0</v>
      </c>
      <c r="AB1512" s="88">
        <f>SUMIF(月間集計シート!$M$71:$M$90,$G1512,月間集計シート!R$71:R$90)*AB$2</f>
        <v>0</v>
      </c>
      <c r="AC1512" s="88">
        <f>SUMIF(月間集計シート!$M$71:$M$90,$G1512,月間集計シート!S$71:S$90)*AC$2</f>
        <v>0</v>
      </c>
      <c r="AD1512" s="88">
        <f>SUMIF(月間集計シート!$M$71:$M$90,$G1512,月間集計シート!T$71:T$90)*AD$2</f>
        <v>0</v>
      </c>
      <c r="AE1512" s="88">
        <f>SUMIF(月間集計シート!$M$92:$M$111,$G1512,月間集計シート!N$92:N$111)*AE$2</f>
        <v>0</v>
      </c>
      <c r="AF1512" s="88">
        <f>SUMIF(月間集計シート!$M$92:$M$111,$G1512,月間集計シート!O$92:O$111)*AF$2</f>
        <v>0</v>
      </c>
      <c r="AG1512" s="88">
        <f>SUMIF(月間集計シート!$M$92:$M$111,$G1512,月間集計シート!P$92:P$111)*AG$2</f>
        <v>0</v>
      </c>
      <c r="AH1512" s="88">
        <f>SUMIF(月間集計シート!$M$92:$M$111,$G1512,月間集計シート!Q$92:Q$111)*AH$2</f>
        <v>0</v>
      </c>
      <c r="AI1512" s="88">
        <f>SUMIF(月間集計シート!$M$92:$M$111,$G1512,月間集計シート!R$92:R$111)*AI$2</f>
        <v>0</v>
      </c>
      <c r="AJ1512" s="88">
        <f>SUMIF(月間集計シート!$M$92:$M$111,$G1512,月間集計シート!S$92:S$111)*AJ$2</f>
        <v>0</v>
      </c>
      <c r="AK1512" s="88">
        <f>SUMIF(月間集計シート!$M$92:$M$111,$G1512,月間集計シート!T$92:T$111)*AK$2</f>
        <v>0</v>
      </c>
      <c r="AL1512" s="88">
        <f>SUMIF(月間集計シート!$M$113:$M$132,$G1512,月間集計シート!N$113:N$132)*AL$2</f>
        <v>0</v>
      </c>
      <c r="AM1512" s="88">
        <f>SUMIF(月間集計シート!$M$113:$M$132,$G1512,月間集計シート!O$113:O$132)*AM$2</f>
        <v>0</v>
      </c>
      <c r="AN1512" s="88">
        <f>SUMIF(月間集計シート!$M$113:$M$132,$G1512,月間集計シート!P$113:P$132)*AN$2</f>
        <v>0</v>
      </c>
      <c r="AO1512" s="88">
        <f>SUMIF(月間集計シート!$M$113:$M$132,$G1512,月間集計シート!Q$113:Q$132)*AO$2</f>
        <v>0</v>
      </c>
      <c r="AP1512" s="88">
        <f>SUMIF(月間集計シート!$M$113:$M$132,$G1512,月間集計シート!R$113:R$132)*AP$2</f>
        <v>0</v>
      </c>
      <c r="AQ1512" s="88">
        <f>SUMIF(月間集計シート!$M$113:$M$132,$G1512,月間集計シート!S$113:S$132)*AQ$2</f>
        <v>0</v>
      </c>
      <c r="AR1512" s="88">
        <f>SUMIF(月間集計シート!$M$113:$M$132,$G1512,月間集計シート!T$113:T$132)*AR$2</f>
        <v>0</v>
      </c>
      <c r="AS1512" s="88">
        <f>SUMIF(月間集計シート!$M$134:$M$153,$G1512,月間集計シート!N$134:N$153)*AS$2</f>
        <v>0</v>
      </c>
      <c r="AT1512" s="88">
        <f>SUMIF(月間集計シート!$M$134:$M$153,$G1512,月間集計シート!O$134:O$153)*AT$2</f>
        <v>0</v>
      </c>
      <c r="AU1512" s="88">
        <f>SUMIF(月間集計シート!$M$134:$M$153,$G1512,月間集計シート!P$134:P$153)*AU$2</f>
        <v>0</v>
      </c>
      <c r="AV1512" s="88">
        <f>SUMIF(月間集計シート!$M$134:$M$153,$G1512,月間集計シート!Q$134:Q$153)*AV$2</f>
        <v>0</v>
      </c>
      <c r="AW1512" s="88">
        <f>SUMIF(月間集計シート!$M$134:$M$153,$G1512,月間集計シート!R$134:R$153)*AW$2</f>
        <v>0</v>
      </c>
      <c r="AX1512" s="88">
        <f>SUMIF(月間集計シート!$M$134:$M$153,$G1512,月間集計シート!S$134:S$153)*AX$2</f>
        <v>0</v>
      </c>
      <c r="AY1512" s="88">
        <f>SUMIF(月間集計シート!$M$134:$M$153,$G1512,月間集計シート!T$134:T$153)*AY$2</f>
        <v>0</v>
      </c>
    </row>
    <row r="1513" spans="1:51" ht="14.25" thickBot="1">
      <c r="A1513">
        <v>18</v>
      </c>
      <c r="B1513" s="120">
        <f t="shared" si="835"/>
        <v>0</v>
      </c>
      <c r="C1513" s="120" t="str">
        <f t="shared" si="836"/>
        <v/>
      </c>
      <c r="D1513" s="137"/>
      <c r="E1513" s="150" t="str">
        <f>工種!A60</f>
        <v>80102</v>
      </c>
      <c r="F1513" s="119" t="str">
        <f>工種!B60</f>
        <v>保守／ｻﾎﾟｰﾄ：社内問い合わせ</v>
      </c>
      <c r="G1513" s="116" t="str">
        <f t="shared" si="837"/>
        <v>080102</v>
      </c>
      <c r="H1513" s="88">
        <f t="shared" si="791"/>
        <v>0</v>
      </c>
      <c r="I1513" s="132"/>
      <c r="J1513" s="88">
        <f>SUMIF(月間集計シート!$M$29:$M$48,$G1513,月間集計シート!N$29:N$48)*J$2</f>
        <v>0</v>
      </c>
      <c r="K1513" s="88">
        <f>SUMIF(月間集計シート!$M$29:$M$48,$G1513,月間集計シート!O$29:O$48)*K$2</f>
        <v>0</v>
      </c>
      <c r="L1513" s="88">
        <f>SUMIF(月間集計シート!$M$29:$M$48,$G1513,月間集計シート!P$29:P$48)*L$2</f>
        <v>0</v>
      </c>
      <c r="M1513" s="88">
        <f>SUMIF(月間集計シート!$M$29:$M$48,$G1513,月間集計シート!Q$29:Q$48)*M$2</f>
        <v>0</v>
      </c>
      <c r="N1513" s="88">
        <f>SUMIF(月間集計シート!$M$29:$M$48,$G1513,月間集計シート!R$29:R$48)*N$2</f>
        <v>0</v>
      </c>
      <c r="O1513" s="88">
        <f>SUMIF(月間集計シート!$M$29:$M$48,$G1513,月間集計シート!S$29:S$48)*O$2</f>
        <v>0</v>
      </c>
      <c r="P1513" s="88">
        <f>SUMIF(月間集計シート!$M$29:$M$48,$G1513,月間集計シート!T$29:T$48)*P$2</f>
        <v>0</v>
      </c>
      <c r="Q1513" s="88">
        <f>SUMIF(月間集計シート!$M$50:$M$69,$G1513,月間集計シート!N$50:N$69)*Q$2</f>
        <v>0</v>
      </c>
      <c r="R1513" s="88">
        <f>SUMIF(月間集計シート!$M$50:$M$69,$G1513,月間集計シート!O$50:O$69)*R$2</f>
        <v>0</v>
      </c>
      <c r="S1513" s="88">
        <f>SUMIF(月間集計シート!$M$50:$M$69,$G1513,月間集計シート!P$50:P$69)*S$2</f>
        <v>0</v>
      </c>
      <c r="T1513" s="88">
        <f>SUMIF(月間集計シート!$M$50:$M$69,$G1513,月間集計シート!Q$50:Q$69)*T$2</f>
        <v>0</v>
      </c>
      <c r="U1513" s="88">
        <f>SUMIF(月間集計シート!$M$50:$M$69,$G1513,月間集計シート!R$50:R$69)*U$2</f>
        <v>0</v>
      </c>
      <c r="V1513" s="88">
        <f>SUMIF(月間集計シート!$M$50:$M$69,$G1513,月間集計シート!S$50:S$69)*V$2</f>
        <v>0</v>
      </c>
      <c r="W1513" s="88">
        <f>SUMIF(月間集計シート!$M$50:$M$69,$G1513,月間集計シート!T$50:T$69)*W$2</f>
        <v>0</v>
      </c>
      <c r="X1513" s="88">
        <f>SUMIF(月間集計シート!$M$71:$M$90,$G1513,月間集計シート!N$71:N$90)*X$2</f>
        <v>0</v>
      </c>
      <c r="Y1513" s="88">
        <f>SUMIF(月間集計シート!$M$71:$M$90,$G1513,月間集計シート!O$71:O$90)*Y$2</f>
        <v>0</v>
      </c>
      <c r="Z1513" s="88">
        <f>SUMIF(月間集計シート!$M$71:$M$90,$G1513,月間集計シート!P$71:P$90)*Z$2</f>
        <v>0</v>
      </c>
      <c r="AA1513" s="88">
        <f>SUMIF(月間集計シート!$M$71:$M$90,$G1513,月間集計シート!Q$71:Q$90)*AA$2</f>
        <v>0</v>
      </c>
      <c r="AB1513" s="88">
        <f>SUMIF(月間集計シート!$M$71:$M$90,$G1513,月間集計シート!R$71:R$90)*AB$2</f>
        <v>0</v>
      </c>
      <c r="AC1513" s="88">
        <f>SUMIF(月間集計シート!$M$71:$M$90,$G1513,月間集計シート!S$71:S$90)*AC$2</f>
        <v>0</v>
      </c>
      <c r="AD1513" s="88">
        <f>SUMIF(月間集計シート!$M$71:$M$90,$G1513,月間集計シート!T$71:T$90)*AD$2</f>
        <v>0</v>
      </c>
      <c r="AE1513" s="88">
        <f>SUMIF(月間集計シート!$M$92:$M$111,$G1513,月間集計シート!N$92:N$111)*AE$2</f>
        <v>0</v>
      </c>
      <c r="AF1513" s="88">
        <f>SUMIF(月間集計シート!$M$92:$M$111,$G1513,月間集計シート!O$92:O$111)*AF$2</f>
        <v>0</v>
      </c>
      <c r="AG1513" s="88">
        <f>SUMIF(月間集計シート!$M$92:$M$111,$G1513,月間集計シート!P$92:P$111)*AG$2</f>
        <v>0</v>
      </c>
      <c r="AH1513" s="88">
        <f>SUMIF(月間集計シート!$M$92:$M$111,$G1513,月間集計シート!Q$92:Q$111)*AH$2</f>
        <v>0</v>
      </c>
      <c r="AI1513" s="88">
        <f>SUMIF(月間集計シート!$M$92:$M$111,$G1513,月間集計シート!R$92:R$111)*AI$2</f>
        <v>0</v>
      </c>
      <c r="AJ1513" s="88">
        <f>SUMIF(月間集計シート!$M$92:$M$111,$G1513,月間集計シート!S$92:S$111)*AJ$2</f>
        <v>0</v>
      </c>
      <c r="AK1513" s="88">
        <f>SUMIF(月間集計シート!$M$92:$M$111,$G1513,月間集計シート!T$92:T$111)*AK$2</f>
        <v>0</v>
      </c>
      <c r="AL1513" s="88">
        <f>SUMIF(月間集計シート!$M$113:$M$132,$G1513,月間集計シート!N$113:N$132)*AL$2</f>
        <v>0</v>
      </c>
      <c r="AM1513" s="88">
        <f>SUMIF(月間集計シート!$M$113:$M$132,$G1513,月間集計シート!O$113:O$132)*AM$2</f>
        <v>0</v>
      </c>
      <c r="AN1513" s="88">
        <f>SUMIF(月間集計シート!$M$113:$M$132,$G1513,月間集計シート!P$113:P$132)*AN$2</f>
        <v>0</v>
      </c>
      <c r="AO1513" s="88">
        <f>SUMIF(月間集計シート!$M$113:$M$132,$G1513,月間集計シート!Q$113:Q$132)*AO$2</f>
        <v>0</v>
      </c>
      <c r="AP1513" s="88">
        <f>SUMIF(月間集計シート!$M$113:$M$132,$G1513,月間集計シート!R$113:R$132)*AP$2</f>
        <v>0</v>
      </c>
      <c r="AQ1513" s="88">
        <f>SUMIF(月間集計シート!$M$113:$M$132,$G1513,月間集計シート!S$113:S$132)*AQ$2</f>
        <v>0</v>
      </c>
      <c r="AR1513" s="88">
        <f>SUMIF(月間集計シート!$M$113:$M$132,$G1513,月間集計シート!T$113:T$132)*AR$2</f>
        <v>0</v>
      </c>
      <c r="AS1513" s="88">
        <f>SUMIF(月間集計シート!$M$134:$M$153,$G1513,月間集計シート!N$134:N$153)*AS$2</f>
        <v>0</v>
      </c>
      <c r="AT1513" s="88">
        <f>SUMIF(月間集計シート!$M$134:$M$153,$G1513,月間集計シート!O$134:O$153)*AT$2</f>
        <v>0</v>
      </c>
      <c r="AU1513" s="88">
        <f>SUMIF(月間集計シート!$M$134:$M$153,$G1513,月間集計シート!P$134:P$153)*AU$2</f>
        <v>0</v>
      </c>
      <c r="AV1513" s="88">
        <f>SUMIF(月間集計シート!$M$134:$M$153,$G1513,月間集計シート!Q$134:Q$153)*AV$2</f>
        <v>0</v>
      </c>
      <c r="AW1513" s="88">
        <f>SUMIF(月間集計シート!$M$134:$M$153,$G1513,月間集計シート!R$134:R$153)*AW$2</f>
        <v>0</v>
      </c>
      <c r="AX1513" s="88">
        <f>SUMIF(月間集計シート!$M$134:$M$153,$G1513,月間集計シート!S$134:S$153)*AX$2</f>
        <v>0</v>
      </c>
      <c r="AY1513" s="88">
        <f>SUMIF(月間集計シート!$M$134:$M$153,$G1513,月間集計シート!T$134:T$153)*AY$2</f>
        <v>0</v>
      </c>
    </row>
    <row r="1514" spans="1:51" ht="14.25" thickBot="1">
      <c r="A1514">
        <v>18</v>
      </c>
      <c r="B1514" s="120">
        <f t="shared" si="835"/>
        <v>0</v>
      </c>
      <c r="C1514" s="120" t="str">
        <f t="shared" si="836"/>
        <v/>
      </c>
      <c r="D1514" s="137"/>
      <c r="E1514" s="150" t="str">
        <f>工種!A61</f>
        <v>80103</v>
      </c>
      <c r="F1514" s="119" t="str">
        <f>工種!B61</f>
        <v>保守／ｻﾎﾟｰﾄ：支社・他部門支援</v>
      </c>
      <c r="G1514" s="116" t="str">
        <f t="shared" si="837"/>
        <v>080103</v>
      </c>
      <c r="H1514" s="88">
        <f t="shared" si="791"/>
        <v>0</v>
      </c>
      <c r="I1514" s="132"/>
      <c r="J1514" s="88">
        <f>SUMIF(月間集計シート!$M$29:$M$48,$G1514,月間集計シート!N$29:N$48)*J$2</f>
        <v>0</v>
      </c>
      <c r="K1514" s="88">
        <f>SUMIF(月間集計シート!$M$29:$M$48,$G1514,月間集計シート!O$29:O$48)*K$2</f>
        <v>0</v>
      </c>
      <c r="L1514" s="88">
        <f>SUMIF(月間集計シート!$M$29:$M$48,$G1514,月間集計シート!P$29:P$48)*L$2</f>
        <v>0</v>
      </c>
      <c r="M1514" s="88">
        <f>SUMIF(月間集計シート!$M$29:$M$48,$G1514,月間集計シート!Q$29:Q$48)*M$2</f>
        <v>0</v>
      </c>
      <c r="N1514" s="88">
        <f>SUMIF(月間集計シート!$M$29:$M$48,$G1514,月間集計シート!R$29:R$48)*N$2</f>
        <v>0</v>
      </c>
      <c r="O1514" s="88">
        <f>SUMIF(月間集計シート!$M$29:$M$48,$G1514,月間集計シート!S$29:S$48)*O$2</f>
        <v>0</v>
      </c>
      <c r="P1514" s="88">
        <f>SUMIF(月間集計シート!$M$29:$M$48,$G1514,月間集計シート!T$29:T$48)*P$2</f>
        <v>0</v>
      </c>
      <c r="Q1514" s="88">
        <f>SUMIF(月間集計シート!$M$50:$M$69,$G1514,月間集計シート!N$50:N$69)*Q$2</f>
        <v>0</v>
      </c>
      <c r="R1514" s="88">
        <f>SUMIF(月間集計シート!$M$50:$M$69,$G1514,月間集計シート!O$50:O$69)*R$2</f>
        <v>0</v>
      </c>
      <c r="S1514" s="88">
        <f>SUMIF(月間集計シート!$M$50:$M$69,$G1514,月間集計シート!P$50:P$69)*S$2</f>
        <v>0</v>
      </c>
      <c r="T1514" s="88">
        <f>SUMIF(月間集計シート!$M$50:$M$69,$G1514,月間集計シート!Q$50:Q$69)*T$2</f>
        <v>0</v>
      </c>
      <c r="U1514" s="88">
        <f>SUMIF(月間集計シート!$M$50:$M$69,$G1514,月間集計シート!R$50:R$69)*U$2</f>
        <v>0</v>
      </c>
      <c r="V1514" s="88">
        <f>SUMIF(月間集計シート!$M$50:$M$69,$G1514,月間集計シート!S$50:S$69)*V$2</f>
        <v>0</v>
      </c>
      <c r="W1514" s="88">
        <f>SUMIF(月間集計シート!$M$50:$M$69,$G1514,月間集計シート!T$50:T$69)*W$2</f>
        <v>0</v>
      </c>
      <c r="X1514" s="88">
        <f>SUMIF(月間集計シート!$M$71:$M$90,$G1514,月間集計シート!N$71:N$90)*X$2</f>
        <v>0</v>
      </c>
      <c r="Y1514" s="88">
        <f>SUMIF(月間集計シート!$M$71:$M$90,$G1514,月間集計シート!O$71:O$90)*Y$2</f>
        <v>0</v>
      </c>
      <c r="Z1514" s="88">
        <f>SUMIF(月間集計シート!$M$71:$M$90,$G1514,月間集計シート!P$71:P$90)*Z$2</f>
        <v>0</v>
      </c>
      <c r="AA1514" s="88">
        <f>SUMIF(月間集計シート!$M$71:$M$90,$G1514,月間集計シート!Q$71:Q$90)*AA$2</f>
        <v>0</v>
      </c>
      <c r="AB1514" s="88">
        <f>SUMIF(月間集計シート!$M$71:$M$90,$G1514,月間集計シート!R$71:R$90)*AB$2</f>
        <v>0</v>
      </c>
      <c r="AC1514" s="88">
        <f>SUMIF(月間集計シート!$M$71:$M$90,$G1514,月間集計シート!S$71:S$90)*AC$2</f>
        <v>0</v>
      </c>
      <c r="AD1514" s="88">
        <f>SUMIF(月間集計シート!$M$71:$M$90,$G1514,月間集計シート!T$71:T$90)*AD$2</f>
        <v>0</v>
      </c>
      <c r="AE1514" s="88">
        <f>SUMIF(月間集計シート!$M$92:$M$111,$G1514,月間集計シート!N$92:N$111)*AE$2</f>
        <v>0</v>
      </c>
      <c r="AF1514" s="88">
        <f>SUMIF(月間集計シート!$M$92:$M$111,$G1514,月間集計シート!O$92:O$111)*AF$2</f>
        <v>0</v>
      </c>
      <c r="AG1514" s="88">
        <f>SUMIF(月間集計シート!$M$92:$M$111,$G1514,月間集計シート!P$92:P$111)*AG$2</f>
        <v>0</v>
      </c>
      <c r="AH1514" s="88">
        <f>SUMIF(月間集計シート!$M$92:$M$111,$G1514,月間集計シート!Q$92:Q$111)*AH$2</f>
        <v>0</v>
      </c>
      <c r="AI1514" s="88">
        <f>SUMIF(月間集計シート!$M$92:$M$111,$G1514,月間集計シート!R$92:R$111)*AI$2</f>
        <v>0</v>
      </c>
      <c r="AJ1514" s="88">
        <f>SUMIF(月間集計シート!$M$92:$M$111,$G1514,月間集計シート!S$92:S$111)*AJ$2</f>
        <v>0</v>
      </c>
      <c r="AK1514" s="88">
        <f>SUMIF(月間集計シート!$M$92:$M$111,$G1514,月間集計シート!T$92:T$111)*AK$2</f>
        <v>0</v>
      </c>
      <c r="AL1514" s="88">
        <f>SUMIF(月間集計シート!$M$113:$M$132,$G1514,月間集計シート!N$113:N$132)*AL$2</f>
        <v>0</v>
      </c>
      <c r="AM1514" s="88">
        <f>SUMIF(月間集計シート!$M$113:$M$132,$G1514,月間集計シート!O$113:O$132)*AM$2</f>
        <v>0</v>
      </c>
      <c r="AN1514" s="88">
        <f>SUMIF(月間集計シート!$M$113:$M$132,$G1514,月間集計シート!P$113:P$132)*AN$2</f>
        <v>0</v>
      </c>
      <c r="AO1514" s="88">
        <f>SUMIF(月間集計シート!$M$113:$M$132,$G1514,月間集計シート!Q$113:Q$132)*AO$2</f>
        <v>0</v>
      </c>
      <c r="AP1514" s="88">
        <f>SUMIF(月間集計シート!$M$113:$M$132,$G1514,月間集計シート!R$113:R$132)*AP$2</f>
        <v>0</v>
      </c>
      <c r="AQ1514" s="88">
        <f>SUMIF(月間集計シート!$M$113:$M$132,$G1514,月間集計シート!S$113:S$132)*AQ$2</f>
        <v>0</v>
      </c>
      <c r="AR1514" s="88">
        <f>SUMIF(月間集計シート!$M$113:$M$132,$G1514,月間集計シート!T$113:T$132)*AR$2</f>
        <v>0</v>
      </c>
      <c r="AS1514" s="88">
        <f>SUMIF(月間集計シート!$M$134:$M$153,$G1514,月間集計シート!N$134:N$153)*AS$2</f>
        <v>0</v>
      </c>
      <c r="AT1514" s="88">
        <f>SUMIF(月間集計シート!$M$134:$M$153,$G1514,月間集計シート!O$134:O$153)*AT$2</f>
        <v>0</v>
      </c>
      <c r="AU1514" s="88">
        <f>SUMIF(月間集計シート!$M$134:$M$153,$G1514,月間集計シート!P$134:P$153)*AU$2</f>
        <v>0</v>
      </c>
      <c r="AV1514" s="88">
        <f>SUMIF(月間集計シート!$M$134:$M$153,$G1514,月間集計シート!Q$134:Q$153)*AV$2</f>
        <v>0</v>
      </c>
      <c r="AW1514" s="88">
        <f>SUMIF(月間集計シート!$M$134:$M$153,$G1514,月間集計シート!R$134:R$153)*AW$2</f>
        <v>0</v>
      </c>
      <c r="AX1514" s="88">
        <f>SUMIF(月間集計シート!$M$134:$M$153,$G1514,月間集計シート!S$134:S$153)*AX$2</f>
        <v>0</v>
      </c>
      <c r="AY1514" s="88">
        <f>SUMIF(月間集計シート!$M$134:$M$153,$G1514,月間集計シート!T$134:T$153)*AY$2</f>
        <v>0</v>
      </c>
    </row>
    <row r="1515" spans="1:51" ht="14.25" thickBot="1">
      <c r="A1515">
        <v>18</v>
      </c>
      <c r="B1515" s="120">
        <f t="shared" si="835"/>
        <v>0</v>
      </c>
      <c r="C1515" s="120" t="str">
        <f t="shared" si="836"/>
        <v/>
      </c>
      <c r="D1515" s="137"/>
      <c r="E1515" s="150" t="str">
        <f>工種!A62</f>
        <v>80104</v>
      </c>
      <c r="F1515" s="119" t="str">
        <f>工種!B62</f>
        <v>保守／ｻﾎﾟｰﾄ：連絡文書作成・更新</v>
      </c>
      <c r="G1515" s="116" t="str">
        <f t="shared" si="837"/>
        <v>080104</v>
      </c>
      <c r="H1515" s="88">
        <f t="shared" si="791"/>
        <v>0</v>
      </c>
      <c r="I1515" s="132"/>
      <c r="J1515" s="88">
        <f>SUMIF(月間集計シート!$M$29:$M$48,$G1515,月間集計シート!N$29:N$48)*J$2</f>
        <v>0</v>
      </c>
      <c r="K1515" s="88">
        <f>SUMIF(月間集計シート!$M$29:$M$48,$G1515,月間集計シート!O$29:O$48)*K$2</f>
        <v>0</v>
      </c>
      <c r="L1515" s="88">
        <f>SUMIF(月間集計シート!$M$29:$M$48,$G1515,月間集計シート!P$29:P$48)*L$2</f>
        <v>0</v>
      </c>
      <c r="M1515" s="88">
        <f>SUMIF(月間集計シート!$M$29:$M$48,$G1515,月間集計シート!Q$29:Q$48)*M$2</f>
        <v>0</v>
      </c>
      <c r="N1515" s="88">
        <f>SUMIF(月間集計シート!$M$29:$M$48,$G1515,月間集計シート!R$29:R$48)*N$2</f>
        <v>0</v>
      </c>
      <c r="O1515" s="88">
        <f>SUMIF(月間集計シート!$M$29:$M$48,$G1515,月間集計シート!S$29:S$48)*O$2</f>
        <v>0</v>
      </c>
      <c r="P1515" s="88">
        <f>SUMIF(月間集計シート!$M$29:$M$48,$G1515,月間集計シート!T$29:T$48)*P$2</f>
        <v>0</v>
      </c>
      <c r="Q1515" s="88">
        <f>SUMIF(月間集計シート!$M$50:$M$69,$G1515,月間集計シート!N$50:N$69)*Q$2</f>
        <v>0</v>
      </c>
      <c r="R1515" s="88">
        <f>SUMIF(月間集計シート!$M$50:$M$69,$G1515,月間集計シート!O$50:O$69)*R$2</f>
        <v>0</v>
      </c>
      <c r="S1515" s="88">
        <f>SUMIF(月間集計シート!$M$50:$M$69,$G1515,月間集計シート!P$50:P$69)*S$2</f>
        <v>0</v>
      </c>
      <c r="T1515" s="88">
        <f>SUMIF(月間集計シート!$M$50:$M$69,$G1515,月間集計シート!Q$50:Q$69)*T$2</f>
        <v>0</v>
      </c>
      <c r="U1515" s="88">
        <f>SUMIF(月間集計シート!$M$50:$M$69,$G1515,月間集計シート!R$50:R$69)*U$2</f>
        <v>0</v>
      </c>
      <c r="V1515" s="88">
        <f>SUMIF(月間集計シート!$M$50:$M$69,$G1515,月間集計シート!S$50:S$69)*V$2</f>
        <v>0</v>
      </c>
      <c r="W1515" s="88">
        <f>SUMIF(月間集計シート!$M$50:$M$69,$G1515,月間集計シート!T$50:T$69)*W$2</f>
        <v>0</v>
      </c>
      <c r="X1515" s="88">
        <f>SUMIF(月間集計シート!$M$71:$M$90,$G1515,月間集計シート!N$71:N$90)*X$2</f>
        <v>0</v>
      </c>
      <c r="Y1515" s="88">
        <f>SUMIF(月間集計シート!$M$71:$M$90,$G1515,月間集計シート!O$71:O$90)*Y$2</f>
        <v>0</v>
      </c>
      <c r="Z1515" s="88">
        <f>SUMIF(月間集計シート!$M$71:$M$90,$G1515,月間集計シート!P$71:P$90)*Z$2</f>
        <v>0</v>
      </c>
      <c r="AA1515" s="88">
        <f>SUMIF(月間集計シート!$M$71:$M$90,$G1515,月間集計シート!Q$71:Q$90)*AA$2</f>
        <v>0</v>
      </c>
      <c r="AB1515" s="88">
        <f>SUMIF(月間集計シート!$M$71:$M$90,$G1515,月間集計シート!R$71:R$90)*AB$2</f>
        <v>0</v>
      </c>
      <c r="AC1515" s="88">
        <f>SUMIF(月間集計シート!$M$71:$M$90,$G1515,月間集計シート!S$71:S$90)*AC$2</f>
        <v>0</v>
      </c>
      <c r="AD1515" s="88">
        <f>SUMIF(月間集計シート!$M$71:$M$90,$G1515,月間集計シート!T$71:T$90)*AD$2</f>
        <v>0</v>
      </c>
      <c r="AE1515" s="88">
        <f>SUMIF(月間集計シート!$M$92:$M$111,$G1515,月間集計シート!N$92:N$111)*AE$2</f>
        <v>0</v>
      </c>
      <c r="AF1515" s="88">
        <f>SUMIF(月間集計シート!$M$92:$M$111,$G1515,月間集計シート!O$92:O$111)*AF$2</f>
        <v>0</v>
      </c>
      <c r="AG1515" s="88">
        <f>SUMIF(月間集計シート!$M$92:$M$111,$G1515,月間集計シート!P$92:P$111)*AG$2</f>
        <v>0</v>
      </c>
      <c r="AH1515" s="88">
        <f>SUMIF(月間集計シート!$M$92:$M$111,$G1515,月間集計シート!Q$92:Q$111)*AH$2</f>
        <v>0</v>
      </c>
      <c r="AI1515" s="88">
        <f>SUMIF(月間集計シート!$M$92:$M$111,$G1515,月間集計シート!R$92:R$111)*AI$2</f>
        <v>0</v>
      </c>
      <c r="AJ1515" s="88">
        <f>SUMIF(月間集計シート!$M$92:$M$111,$G1515,月間集計シート!S$92:S$111)*AJ$2</f>
        <v>0</v>
      </c>
      <c r="AK1515" s="88">
        <f>SUMIF(月間集計シート!$M$92:$M$111,$G1515,月間集計シート!T$92:T$111)*AK$2</f>
        <v>0</v>
      </c>
      <c r="AL1515" s="88">
        <f>SUMIF(月間集計シート!$M$113:$M$132,$G1515,月間集計シート!N$113:N$132)*AL$2</f>
        <v>0</v>
      </c>
      <c r="AM1515" s="88">
        <f>SUMIF(月間集計シート!$M$113:$M$132,$G1515,月間集計シート!O$113:O$132)*AM$2</f>
        <v>0</v>
      </c>
      <c r="AN1515" s="88">
        <f>SUMIF(月間集計シート!$M$113:$M$132,$G1515,月間集計シート!P$113:P$132)*AN$2</f>
        <v>0</v>
      </c>
      <c r="AO1515" s="88">
        <f>SUMIF(月間集計シート!$M$113:$M$132,$G1515,月間集計シート!Q$113:Q$132)*AO$2</f>
        <v>0</v>
      </c>
      <c r="AP1515" s="88">
        <f>SUMIF(月間集計シート!$M$113:$M$132,$G1515,月間集計シート!R$113:R$132)*AP$2</f>
        <v>0</v>
      </c>
      <c r="AQ1515" s="88">
        <f>SUMIF(月間集計シート!$M$113:$M$132,$G1515,月間集計シート!S$113:S$132)*AQ$2</f>
        <v>0</v>
      </c>
      <c r="AR1515" s="88">
        <f>SUMIF(月間集計シート!$M$113:$M$132,$G1515,月間集計シート!T$113:T$132)*AR$2</f>
        <v>0</v>
      </c>
      <c r="AS1515" s="88">
        <f>SUMIF(月間集計シート!$M$134:$M$153,$G1515,月間集計シート!N$134:N$153)*AS$2</f>
        <v>0</v>
      </c>
      <c r="AT1515" s="88">
        <f>SUMIF(月間集計シート!$M$134:$M$153,$G1515,月間集計シート!O$134:O$153)*AT$2</f>
        <v>0</v>
      </c>
      <c r="AU1515" s="88">
        <f>SUMIF(月間集計シート!$M$134:$M$153,$G1515,月間集計シート!P$134:P$153)*AU$2</f>
        <v>0</v>
      </c>
      <c r="AV1515" s="88">
        <f>SUMIF(月間集計シート!$M$134:$M$153,$G1515,月間集計シート!Q$134:Q$153)*AV$2</f>
        <v>0</v>
      </c>
      <c r="AW1515" s="88">
        <f>SUMIF(月間集計シート!$M$134:$M$153,$G1515,月間集計シート!R$134:R$153)*AW$2</f>
        <v>0</v>
      </c>
      <c r="AX1515" s="88">
        <f>SUMIF(月間集計シート!$M$134:$M$153,$G1515,月間集計シート!S$134:S$153)*AX$2</f>
        <v>0</v>
      </c>
      <c r="AY1515" s="88">
        <f>SUMIF(月間集計シート!$M$134:$M$153,$G1515,月間集計シート!T$134:T$153)*AY$2</f>
        <v>0</v>
      </c>
    </row>
    <row r="1516" spans="1:51" ht="14.25" thickBot="1">
      <c r="A1516">
        <v>18</v>
      </c>
      <c r="B1516" s="120">
        <f t="shared" si="835"/>
        <v>0</v>
      </c>
      <c r="C1516" s="120" t="str">
        <f t="shared" si="836"/>
        <v/>
      </c>
      <c r="D1516" s="137"/>
      <c r="E1516" s="150" t="str">
        <f>工種!A63</f>
        <v>80105</v>
      </c>
      <c r="F1516" s="119" t="str">
        <f>工種!B63</f>
        <v>保守／ｻﾎﾟｰﾄ：ｲﾝﾄﾗ資料更新</v>
      </c>
      <c r="G1516" s="116" t="str">
        <f t="shared" ref="G1516:G1533" si="838">B1516&amp;E1516</f>
        <v>080105</v>
      </c>
      <c r="H1516" s="88">
        <f t="shared" ref="H1516:H1517" si="839">SUM(J1516:AY1516)</f>
        <v>0</v>
      </c>
      <c r="I1516" s="132"/>
      <c r="J1516" s="88">
        <f>SUMIF(月間集計シート!$M$29:$M$48,$G1516,月間集計シート!N$29:N$48)*J$2</f>
        <v>0</v>
      </c>
      <c r="K1516" s="88">
        <f>SUMIF(月間集計シート!$M$29:$M$48,$G1516,月間集計シート!O$29:O$48)*K$2</f>
        <v>0</v>
      </c>
      <c r="L1516" s="88">
        <f>SUMIF(月間集計シート!$M$29:$M$48,$G1516,月間集計シート!P$29:P$48)*L$2</f>
        <v>0</v>
      </c>
      <c r="M1516" s="88">
        <f>SUMIF(月間集計シート!$M$29:$M$48,$G1516,月間集計シート!Q$29:Q$48)*M$2</f>
        <v>0</v>
      </c>
      <c r="N1516" s="88">
        <f>SUMIF(月間集計シート!$M$29:$M$48,$G1516,月間集計シート!R$29:R$48)*N$2</f>
        <v>0</v>
      </c>
      <c r="O1516" s="88">
        <f>SUMIF(月間集計シート!$M$29:$M$48,$G1516,月間集計シート!S$29:S$48)*O$2</f>
        <v>0</v>
      </c>
      <c r="P1516" s="88">
        <f>SUMIF(月間集計シート!$M$29:$M$48,$G1516,月間集計シート!T$29:T$48)*P$2</f>
        <v>0</v>
      </c>
      <c r="Q1516" s="88">
        <f>SUMIF(月間集計シート!$M$50:$M$69,$G1516,月間集計シート!N$50:N$69)*Q$2</f>
        <v>0</v>
      </c>
      <c r="R1516" s="88">
        <f>SUMIF(月間集計シート!$M$50:$M$69,$G1516,月間集計シート!O$50:O$69)*R$2</f>
        <v>0</v>
      </c>
      <c r="S1516" s="88">
        <f>SUMIF(月間集計シート!$M$50:$M$69,$G1516,月間集計シート!P$50:P$69)*S$2</f>
        <v>0</v>
      </c>
      <c r="T1516" s="88">
        <f>SUMIF(月間集計シート!$M$50:$M$69,$G1516,月間集計シート!Q$50:Q$69)*T$2</f>
        <v>0</v>
      </c>
      <c r="U1516" s="88">
        <f>SUMIF(月間集計シート!$M$50:$M$69,$G1516,月間集計シート!R$50:R$69)*U$2</f>
        <v>0</v>
      </c>
      <c r="V1516" s="88">
        <f>SUMIF(月間集計シート!$M$50:$M$69,$G1516,月間集計シート!S$50:S$69)*V$2</f>
        <v>0</v>
      </c>
      <c r="W1516" s="88">
        <f>SUMIF(月間集計シート!$M$50:$M$69,$G1516,月間集計シート!T$50:T$69)*W$2</f>
        <v>0</v>
      </c>
      <c r="X1516" s="88">
        <f>SUMIF(月間集計シート!$M$71:$M$90,$G1516,月間集計シート!N$71:N$90)*X$2</f>
        <v>0</v>
      </c>
      <c r="Y1516" s="88">
        <f>SUMIF(月間集計シート!$M$71:$M$90,$G1516,月間集計シート!O$71:O$90)*Y$2</f>
        <v>0</v>
      </c>
      <c r="Z1516" s="88">
        <f>SUMIF(月間集計シート!$M$71:$M$90,$G1516,月間集計シート!P$71:P$90)*Z$2</f>
        <v>0</v>
      </c>
      <c r="AA1516" s="88">
        <f>SUMIF(月間集計シート!$M$71:$M$90,$G1516,月間集計シート!Q$71:Q$90)*AA$2</f>
        <v>0</v>
      </c>
      <c r="AB1516" s="88">
        <f>SUMIF(月間集計シート!$M$71:$M$90,$G1516,月間集計シート!R$71:R$90)*AB$2</f>
        <v>0</v>
      </c>
      <c r="AC1516" s="88">
        <f>SUMIF(月間集計シート!$M$71:$M$90,$G1516,月間集計シート!S$71:S$90)*AC$2</f>
        <v>0</v>
      </c>
      <c r="AD1516" s="88">
        <f>SUMIF(月間集計シート!$M$71:$M$90,$G1516,月間集計シート!T$71:T$90)*AD$2</f>
        <v>0</v>
      </c>
      <c r="AE1516" s="88">
        <f>SUMIF(月間集計シート!$M$92:$M$111,$G1516,月間集計シート!N$92:N$111)*AE$2</f>
        <v>0</v>
      </c>
      <c r="AF1516" s="88">
        <f>SUMIF(月間集計シート!$M$92:$M$111,$G1516,月間集計シート!O$92:O$111)*AF$2</f>
        <v>0</v>
      </c>
      <c r="AG1516" s="88">
        <f>SUMIF(月間集計シート!$M$92:$M$111,$G1516,月間集計シート!P$92:P$111)*AG$2</f>
        <v>0</v>
      </c>
      <c r="AH1516" s="88">
        <f>SUMIF(月間集計シート!$M$92:$M$111,$G1516,月間集計シート!Q$92:Q$111)*AH$2</f>
        <v>0</v>
      </c>
      <c r="AI1516" s="88">
        <f>SUMIF(月間集計シート!$M$92:$M$111,$G1516,月間集計シート!R$92:R$111)*AI$2</f>
        <v>0</v>
      </c>
      <c r="AJ1516" s="88">
        <f>SUMIF(月間集計シート!$M$92:$M$111,$G1516,月間集計シート!S$92:S$111)*AJ$2</f>
        <v>0</v>
      </c>
      <c r="AK1516" s="88">
        <f>SUMIF(月間集計シート!$M$92:$M$111,$G1516,月間集計シート!T$92:T$111)*AK$2</f>
        <v>0</v>
      </c>
      <c r="AL1516" s="88">
        <f>SUMIF(月間集計シート!$M$113:$M$132,$G1516,月間集計シート!N$113:N$132)*AL$2</f>
        <v>0</v>
      </c>
      <c r="AM1516" s="88">
        <f>SUMIF(月間集計シート!$M$113:$M$132,$G1516,月間集計シート!O$113:O$132)*AM$2</f>
        <v>0</v>
      </c>
      <c r="AN1516" s="88">
        <f>SUMIF(月間集計シート!$M$113:$M$132,$G1516,月間集計シート!P$113:P$132)*AN$2</f>
        <v>0</v>
      </c>
      <c r="AO1516" s="88">
        <f>SUMIF(月間集計シート!$M$113:$M$132,$G1516,月間集計シート!Q$113:Q$132)*AO$2</f>
        <v>0</v>
      </c>
      <c r="AP1516" s="88">
        <f>SUMIF(月間集計シート!$M$113:$M$132,$G1516,月間集計シート!R$113:R$132)*AP$2</f>
        <v>0</v>
      </c>
      <c r="AQ1516" s="88">
        <f>SUMIF(月間集計シート!$M$113:$M$132,$G1516,月間集計シート!S$113:S$132)*AQ$2</f>
        <v>0</v>
      </c>
      <c r="AR1516" s="88">
        <f>SUMIF(月間集計シート!$M$113:$M$132,$G1516,月間集計シート!T$113:T$132)*AR$2</f>
        <v>0</v>
      </c>
      <c r="AS1516" s="88">
        <f>SUMIF(月間集計シート!$M$134:$M$153,$G1516,月間集計シート!N$134:N$153)*AS$2</f>
        <v>0</v>
      </c>
      <c r="AT1516" s="88">
        <f>SUMIF(月間集計シート!$M$134:$M$153,$G1516,月間集計シート!O$134:O$153)*AT$2</f>
        <v>0</v>
      </c>
      <c r="AU1516" s="88">
        <f>SUMIF(月間集計シート!$M$134:$M$153,$G1516,月間集計シート!P$134:P$153)*AU$2</f>
        <v>0</v>
      </c>
      <c r="AV1516" s="88">
        <f>SUMIF(月間集計シート!$M$134:$M$153,$G1516,月間集計シート!Q$134:Q$153)*AV$2</f>
        <v>0</v>
      </c>
      <c r="AW1516" s="88">
        <f>SUMIF(月間集計シート!$M$134:$M$153,$G1516,月間集計シート!R$134:R$153)*AW$2</f>
        <v>0</v>
      </c>
      <c r="AX1516" s="88">
        <f>SUMIF(月間集計シート!$M$134:$M$153,$G1516,月間集計シート!S$134:S$153)*AX$2</f>
        <v>0</v>
      </c>
      <c r="AY1516" s="88">
        <f>SUMIF(月間集計シート!$M$134:$M$153,$G1516,月間集計シート!T$134:T$153)*AY$2</f>
        <v>0</v>
      </c>
    </row>
    <row r="1517" spans="1:51" ht="14.25" thickBot="1">
      <c r="A1517">
        <v>18</v>
      </c>
      <c r="B1517" s="120">
        <f t="shared" si="835"/>
        <v>0</v>
      </c>
      <c r="C1517" s="120" t="str">
        <f t="shared" si="836"/>
        <v/>
      </c>
      <c r="D1517" s="137"/>
      <c r="E1517" s="150" t="str">
        <f>工種!A64</f>
        <v>80106</v>
      </c>
      <c r="F1517" s="119" t="str">
        <f>工種!B64</f>
        <v>保守／ｻﾎﾟｰﾄ：打合せ</v>
      </c>
      <c r="G1517" s="116" t="str">
        <f t="shared" si="838"/>
        <v>080106</v>
      </c>
      <c r="H1517" s="88">
        <f t="shared" si="839"/>
        <v>0</v>
      </c>
      <c r="I1517" s="132"/>
      <c r="J1517" s="88">
        <f>SUMIF(月間集計シート!$M$29:$M$48,$G1517,月間集計シート!N$29:N$48)*J$2</f>
        <v>0</v>
      </c>
      <c r="K1517" s="88">
        <f>SUMIF(月間集計シート!$M$29:$M$48,$G1517,月間集計シート!O$29:O$48)*K$2</f>
        <v>0</v>
      </c>
      <c r="L1517" s="88">
        <f>SUMIF(月間集計シート!$M$29:$M$48,$G1517,月間集計シート!P$29:P$48)*L$2</f>
        <v>0</v>
      </c>
      <c r="M1517" s="88">
        <f>SUMIF(月間集計シート!$M$29:$M$48,$G1517,月間集計シート!Q$29:Q$48)*M$2</f>
        <v>0</v>
      </c>
      <c r="N1517" s="88">
        <f>SUMIF(月間集計シート!$M$29:$M$48,$G1517,月間集計シート!R$29:R$48)*N$2</f>
        <v>0</v>
      </c>
      <c r="O1517" s="88">
        <f>SUMIF(月間集計シート!$M$29:$M$48,$G1517,月間集計シート!S$29:S$48)*O$2</f>
        <v>0</v>
      </c>
      <c r="P1517" s="88">
        <f>SUMIF(月間集計シート!$M$29:$M$48,$G1517,月間集計シート!T$29:T$48)*P$2</f>
        <v>0</v>
      </c>
      <c r="Q1517" s="88">
        <f>SUMIF(月間集計シート!$M$50:$M$69,$G1517,月間集計シート!N$50:N$69)*Q$2</f>
        <v>0</v>
      </c>
      <c r="R1517" s="88">
        <f>SUMIF(月間集計シート!$M$50:$M$69,$G1517,月間集計シート!O$50:O$69)*R$2</f>
        <v>0</v>
      </c>
      <c r="S1517" s="88">
        <f>SUMIF(月間集計シート!$M$50:$M$69,$G1517,月間集計シート!P$50:P$69)*S$2</f>
        <v>0</v>
      </c>
      <c r="T1517" s="88">
        <f>SUMIF(月間集計シート!$M$50:$M$69,$G1517,月間集計シート!Q$50:Q$69)*T$2</f>
        <v>0</v>
      </c>
      <c r="U1517" s="88">
        <f>SUMIF(月間集計シート!$M$50:$M$69,$G1517,月間集計シート!R$50:R$69)*U$2</f>
        <v>0</v>
      </c>
      <c r="V1517" s="88">
        <f>SUMIF(月間集計シート!$M$50:$M$69,$G1517,月間集計シート!S$50:S$69)*V$2</f>
        <v>0</v>
      </c>
      <c r="W1517" s="88">
        <f>SUMIF(月間集計シート!$M$50:$M$69,$G1517,月間集計シート!T$50:T$69)*W$2</f>
        <v>0</v>
      </c>
      <c r="X1517" s="88">
        <f>SUMIF(月間集計シート!$M$71:$M$90,$G1517,月間集計シート!N$71:N$90)*X$2</f>
        <v>0</v>
      </c>
      <c r="Y1517" s="88">
        <f>SUMIF(月間集計シート!$M$71:$M$90,$G1517,月間集計シート!O$71:O$90)*Y$2</f>
        <v>0</v>
      </c>
      <c r="Z1517" s="88">
        <f>SUMIF(月間集計シート!$M$71:$M$90,$G1517,月間集計シート!P$71:P$90)*Z$2</f>
        <v>0</v>
      </c>
      <c r="AA1517" s="88">
        <f>SUMIF(月間集計シート!$M$71:$M$90,$G1517,月間集計シート!Q$71:Q$90)*AA$2</f>
        <v>0</v>
      </c>
      <c r="AB1517" s="88">
        <f>SUMIF(月間集計シート!$M$71:$M$90,$G1517,月間集計シート!R$71:R$90)*AB$2</f>
        <v>0</v>
      </c>
      <c r="AC1517" s="88">
        <f>SUMIF(月間集計シート!$M$71:$M$90,$G1517,月間集計シート!S$71:S$90)*AC$2</f>
        <v>0</v>
      </c>
      <c r="AD1517" s="88">
        <f>SUMIF(月間集計シート!$M$71:$M$90,$G1517,月間集計シート!T$71:T$90)*AD$2</f>
        <v>0</v>
      </c>
      <c r="AE1517" s="88">
        <f>SUMIF(月間集計シート!$M$92:$M$111,$G1517,月間集計シート!N$92:N$111)*AE$2</f>
        <v>0</v>
      </c>
      <c r="AF1517" s="88">
        <f>SUMIF(月間集計シート!$M$92:$M$111,$G1517,月間集計シート!O$92:O$111)*AF$2</f>
        <v>0</v>
      </c>
      <c r="AG1517" s="88">
        <f>SUMIF(月間集計シート!$M$92:$M$111,$G1517,月間集計シート!P$92:P$111)*AG$2</f>
        <v>0</v>
      </c>
      <c r="AH1517" s="88">
        <f>SUMIF(月間集計シート!$M$92:$M$111,$G1517,月間集計シート!Q$92:Q$111)*AH$2</f>
        <v>0</v>
      </c>
      <c r="AI1517" s="88">
        <f>SUMIF(月間集計シート!$M$92:$M$111,$G1517,月間集計シート!R$92:R$111)*AI$2</f>
        <v>0</v>
      </c>
      <c r="AJ1517" s="88">
        <f>SUMIF(月間集計シート!$M$92:$M$111,$G1517,月間集計シート!S$92:S$111)*AJ$2</f>
        <v>0</v>
      </c>
      <c r="AK1517" s="88">
        <f>SUMIF(月間集計シート!$M$92:$M$111,$G1517,月間集計シート!T$92:T$111)*AK$2</f>
        <v>0</v>
      </c>
      <c r="AL1517" s="88">
        <f>SUMIF(月間集計シート!$M$113:$M$132,$G1517,月間集計シート!N$113:N$132)*AL$2</f>
        <v>0</v>
      </c>
      <c r="AM1517" s="88">
        <f>SUMIF(月間集計シート!$M$113:$M$132,$G1517,月間集計シート!O$113:O$132)*AM$2</f>
        <v>0</v>
      </c>
      <c r="AN1517" s="88">
        <f>SUMIF(月間集計シート!$M$113:$M$132,$G1517,月間集計シート!P$113:P$132)*AN$2</f>
        <v>0</v>
      </c>
      <c r="AO1517" s="88">
        <f>SUMIF(月間集計シート!$M$113:$M$132,$G1517,月間集計シート!Q$113:Q$132)*AO$2</f>
        <v>0</v>
      </c>
      <c r="AP1517" s="88">
        <f>SUMIF(月間集計シート!$M$113:$M$132,$G1517,月間集計シート!R$113:R$132)*AP$2</f>
        <v>0</v>
      </c>
      <c r="AQ1517" s="88">
        <f>SUMIF(月間集計シート!$M$113:$M$132,$G1517,月間集計シート!S$113:S$132)*AQ$2</f>
        <v>0</v>
      </c>
      <c r="AR1517" s="88">
        <f>SUMIF(月間集計シート!$M$113:$M$132,$G1517,月間集計シート!T$113:T$132)*AR$2</f>
        <v>0</v>
      </c>
      <c r="AS1517" s="88">
        <f>SUMIF(月間集計シート!$M$134:$M$153,$G1517,月間集計シート!N$134:N$153)*AS$2</f>
        <v>0</v>
      </c>
      <c r="AT1517" s="88">
        <f>SUMIF(月間集計シート!$M$134:$M$153,$G1517,月間集計シート!O$134:O$153)*AT$2</f>
        <v>0</v>
      </c>
      <c r="AU1517" s="88">
        <f>SUMIF(月間集計シート!$M$134:$M$153,$G1517,月間集計シート!P$134:P$153)*AU$2</f>
        <v>0</v>
      </c>
      <c r="AV1517" s="88">
        <f>SUMIF(月間集計シート!$M$134:$M$153,$G1517,月間集計シート!Q$134:Q$153)*AV$2</f>
        <v>0</v>
      </c>
      <c r="AW1517" s="88">
        <f>SUMIF(月間集計シート!$M$134:$M$153,$G1517,月間集計シート!R$134:R$153)*AW$2</f>
        <v>0</v>
      </c>
      <c r="AX1517" s="88">
        <f>SUMIF(月間集計シート!$M$134:$M$153,$G1517,月間集計シート!S$134:S$153)*AX$2</f>
        <v>0</v>
      </c>
      <c r="AY1517" s="88">
        <f>SUMIF(月間集計シート!$M$134:$M$153,$G1517,月間集計シート!T$134:T$153)*AY$2</f>
        <v>0</v>
      </c>
    </row>
    <row r="1518" spans="1:51" ht="14.25" thickBot="1">
      <c r="A1518">
        <v>18</v>
      </c>
      <c r="B1518" s="120">
        <f t="shared" si="835"/>
        <v>0</v>
      </c>
      <c r="C1518" s="120" t="str">
        <f t="shared" si="836"/>
        <v/>
      </c>
      <c r="D1518" s="137"/>
      <c r="E1518" s="150" t="str">
        <f>工種!A65</f>
        <v>80107</v>
      </c>
      <c r="F1518" s="119" t="str">
        <f>工種!B65</f>
        <v>保守／ｻﾎﾟｰﾄ：ﾚﾋﾞｭｰ</v>
      </c>
      <c r="G1518" s="116" t="str">
        <f t="shared" si="838"/>
        <v>080107</v>
      </c>
      <c r="H1518" s="88">
        <f t="shared" ref="H1518:H1533" si="840">SUM(J1518:AY1518)</f>
        <v>0</v>
      </c>
      <c r="I1518" s="132"/>
      <c r="J1518" s="88">
        <f>SUMIF(月間集計シート!$M$29:$M$48,$G1518,月間集計シート!N$29:N$48)*J$2</f>
        <v>0</v>
      </c>
      <c r="K1518" s="88">
        <f>SUMIF(月間集計シート!$M$29:$M$48,$G1518,月間集計シート!O$29:O$48)*K$2</f>
        <v>0</v>
      </c>
      <c r="L1518" s="88">
        <f>SUMIF(月間集計シート!$M$29:$M$48,$G1518,月間集計シート!P$29:P$48)*L$2</f>
        <v>0</v>
      </c>
      <c r="M1518" s="88">
        <f>SUMIF(月間集計シート!$M$29:$M$48,$G1518,月間集計シート!Q$29:Q$48)*M$2</f>
        <v>0</v>
      </c>
      <c r="N1518" s="88">
        <f>SUMIF(月間集計シート!$M$29:$M$48,$G1518,月間集計シート!R$29:R$48)*N$2</f>
        <v>0</v>
      </c>
      <c r="O1518" s="88">
        <f>SUMIF(月間集計シート!$M$29:$M$48,$G1518,月間集計シート!S$29:S$48)*O$2</f>
        <v>0</v>
      </c>
      <c r="P1518" s="88">
        <f>SUMIF(月間集計シート!$M$29:$M$48,$G1518,月間集計シート!T$29:T$48)*P$2</f>
        <v>0</v>
      </c>
      <c r="Q1518" s="88">
        <f>SUMIF(月間集計シート!$M$50:$M$69,$G1518,月間集計シート!N$50:N$69)*Q$2</f>
        <v>0</v>
      </c>
      <c r="R1518" s="88">
        <f>SUMIF(月間集計シート!$M$50:$M$69,$G1518,月間集計シート!O$50:O$69)*R$2</f>
        <v>0</v>
      </c>
      <c r="S1518" s="88">
        <f>SUMIF(月間集計シート!$M$50:$M$69,$G1518,月間集計シート!P$50:P$69)*S$2</f>
        <v>0</v>
      </c>
      <c r="T1518" s="88">
        <f>SUMIF(月間集計シート!$M$50:$M$69,$G1518,月間集計シート!Q$50:Q$69)*T$2</f>
        <v>0</v>
      </c>
      <c r="U1518" s="88">
        <f>SUMIF(月間集計シート!$M$50:$M$69,$G1518,月間集計シート!R$50:R$69)*U$2</f>
        <v>0</v>
      </c>
      <c r="V1518" s="88">
        <f>SUMIF(月間集計シート!$M$50:$M$69,$G1518,月間集計シート!S$50:S$69)*V$2</f>
        <v>0</v>
      </c>
      <c r="W1518" s="88">
        <f>SUMIF(月間集計シート!$M$50:$M$69,$G1518,月間集計シート!T$50:T$69)*W$2</f>
        <v>0</v>
      </c>
      <c r="X1518" s="88">
        <f>SUMIF(月間集計シート!$M$71:$M$90,$G1518,月間集計シート!N$71:N$90)*X$2</f>
        <v>0</v>
      </c>
      <c r="Y1518" s="88">
        <f>SUMIF(月間集計シート!$M$71:$M$90,$G1518,月間集計シート!O$71:O$90)*Y$2</f>
        <v>0</v>
      </c>
      <c r="Z1518" s="88">
        <f>SUMIF(月間集計シート!$M$71:$M$90,$G1518,月間集計シート!P$71:P$90)*Z$2</f>
        <v>0</v>
      </c>
      <c r="AA1518" s="88">
        <f>SUMIF(月間集計シート!$M$71:$M$90,$G1518,月間集計シート!Q$71:Q$90)*AA$2</f>
        <v>0</v>
      </c>
      <c r="AB1518" s="88">
        <f>SUMIF(月間集計シート!$M$71:$M$90,$G1518,月間集計シート!R$71:R$90)*AB$2</f>
        <v>0</v>
      </c>
      <c r="AC1518" s="88">
        <f>SUMIF(月間集計シート!$M$71:$M$90,$G1518,月間集計シート!S$71:S$90)*AC$2</f>
        <v>0</v>
      </c>
      <c r="AD1518" s="88">
        <f>SUMIF(月間集計シート!$M$71:$M$90,$G1518,月間集計シート!T$71:T$90)*AD$2</f>
        <v>0</v>
      </c>
      <c r="AE1518" s="88">
        <f>SUMIF(月間集計シート!$M$92:$M$111,$G1518,月間集計シート!N$92:N$111)*AE$2</f>
        <v>0</v>
      </c>
      <c r="AF1518" s="88">
        <f>SUMIF(月間集計シート!$M$92:$M$111,$G1518,月間集計シート!O$92:O$111)*AF$2</f>
        <v>0</v>
      </c>
      <c r="AG1518" s="88">
        <f>SUMIF(月間集計シート!$M$92:$M$111,$G1518,月間集計シート!P$92:P$111)*AG$2</f>
        <v>0</v>
      </c>
      <c r="AH1518" s="88">
        <f>SUMIF(月間集計シート!$M$92:$M$111,$G1518,月間集計シート!Q$92:Q$111)*AH$2</f>
        <v>0</v>
      </c>
      <c r="AI1518" s="88">
        <f>SUMIF(月間集計シート!$M$92:$M$111,$G1518,月間集計シート!R$92:R$111)*AI$2</f>
        <v>0</v>
      </c>
      <c r="AJ1518" s="88">
        <f>SUMIF(月間集計シート!$M$92:$M$111,$G1518,月間集計シート!S$92:S$111)*AJ$2</f>
        <v>0</v>
      </c>
      <c r="AK1518" s="88">
        <f>SUMIF(月間集計シート!$M$92:$M$111,$G1518,月間集計シート!T$92:T$111)*AK$2</f>
        <v>0</v>
      </c>
      <c r="AL1518" s="88">
        <f>SUMIF(月間集計シート!$M$113:$M$132,$G1518,月間集計シート!N$113:N$132)*AL$2</f>
        <v>0</v>
      </c>
      <c r="AM1518" s="88">
        <f>SUMIF(月間集計シート!$M$113:$M$132,$G1518,月間集計シート!O$113:O$132)*AM$2</f>
        <v>0</v>
      </c>
      <c r="AN1518" s="88">
        <f>SUMIF(月間集計シート!$M$113:$M$132,$G1518,月間集計シート!P$113:P$132)*AN$2</f>
        <v>0</v>
      </c>
      <c r="AO1518" s="88">
        <f>SUMIF(月間集計シート!$M$113:$M$132,$G1518,月間集計シート!Q$113:Q$132)*AO$2</f>
        <v>0</v>
      </c>
      <c r="AP1518" s="88">
        <f>SUMIF(月間集計シート!$M$113:$M$132,$G1518,月間集計シート!R$113:R$132)*AP$2</f>
        <v>0</v>
      </c>
      <c r="AQ1518" s="88">
        <f>SUMIF(月間集計シート!$M$113:$M$132,$G1518,月間集計シート!S$113:S$132)*AQ$2</f>
        <v>0</v>
      </c>
      <c r="AR1518" s="88">
        <f>SUMIF(月間集計シート!$M$113:$M$132,$G1518,月間集計シート!T$113:T$132)*AR$2</f>
        <v>0</v>
      </c>
      <c r="AS1518" s="88">
        <f>SUMIF(月間集計シート!$M$134:$M$153,$G1518,月間集計シート!N$134:N$153)*AS$2</f>
        <v>0</v>
      </c>
      <c r="AT1518" s="88">
        <f>SUMIF(月間集計シート!$M$134:$M$153,$G1518,月間集計シート!O$134:O$153)*AT$2</f>
        <v>0</v>
      </c>
      <c r="AU1518" s="88">
        <f>SUMIF(月間集計シート!$M$134:$M$153,$G1518,月間集計シート!P$134:P$153)*AU$2</f>
        <v>0</v>
      </c>
      <c r="AV1518" s="88">
        <f>SUMIF(月間集計シート!$M$134:$M$153,$G1518,月間集計シート!Q$134:Q$153)*AV$2</f>
        <v>0</v>
      </c>
      <c r="AW1518" s="88">
        <f>SUMIF(月間集計シート!$M$134:$M$153,$G1518,月間集計シート!R$134:R$153)*AW$2</f>
        <v>0</v>
      </c>
      <c r="AX1518" s="88">
        <f>SUMIF(月間集計シート!$M$134:$M$153,$G1518,月間集計シート!S$134:S$153)*AX$2</f>
        <v>0</v>
      </c>
      <c r="AY1518" s="88">
        <f>SUMIF(月間集計シート!$M$134:$M$153,$G1518,月間集計シート!T$134:T$153)*AY$2</f>
        <v>0</v>
      </c>
    </row>
    <row r="1519" spans="1:51" ht="14.25" thickBot="1">
      <c r="A1519">
        <v>18</v>
      </c>
      <c r="B1519" s="120">
        <f t="shared" si="835"/>
        <v>0</v>
      </c>
      <c r="C1519" s="120" t="str">
        <f t="shared" si="836"/>
        <v/>
      </c>
      <c r="D1519" s="137"/>
      <c r="E1519" s="150" t="str">
        <f>工種!A66</f>
        <v>80199</v>
      </c>
      <c r="F1519" s="119" t="str">
        <f>工種!B66</f>
        <v>保守／ｻﾎﾟｰﾄ：その他</v>
      </c>
      <c r="G1519" s="116" t="str">
        <f t="shared" si="838"/>
        <v>080199</v>
      </c>
      <c r="H1519" s="88">
        <f t="shared" si="840"/>
        <v>0</v>
      </c>
      <c r="I1519" s="132"/>
      <c r="J1519" s="88">
        <f>SUMIF(月間集計シート!$M$29:$M$48,$G1519,月間集計シート!N$29:N$48)*J$2</f>
        <v>0</v>
      </c>
      <c r="K1519" s="88">
        <f>SUMIF(月間集計シート!$M$29:$M$48,$G1519,月間集計シート!O$29:O$48)*K$2</f>
        <v>0</v>
      </c>
      <c r="L1519" s="88">
        <f>SUMIF(月間集計シート!$M$29:$M$48,$G1519,月間集計シート!P$29:P$48)*L$2</f>
        <v>0</v>
      </c>
      <c r="M1519" s="88">
        <f>SUMIF(月間集計シート!$M$29:$M$48,$G1519,月間集計シート!Q$29:Q$48)*M$2</f>
        <v>0</v>
      </c>
      <c r="N1519" s="88">
        <f>SUMIF(月間集計シート!$M$29:$M$48,$G1519,月間集計シート!R$29:R$48)*N$2</f>
        <v>0</v>
      </c>
      <c r="O1519" s="88">
        <f>SUMIF(月間集計シート!$M$29:$M$48,$G1519,月間集計シート!S$29:S$48)*O$2</f>
        <v>0</v>
      </c>
      <c r="P1519" s="88">
        <f>SUMIF(月間集計シート!$M$29:$M$48,$G1519,月間集計シート!T$29:T$48)*P$2</f>
        <v>0</v>
      </c>
      <c r="Q1519" s="88">
        <f>SUMIF(月間集計シート!$M$50:$M$69,$G1519,月間集計シート!N$50:N$69)*Q$2</f>
        <v>0</v>
      </c>
      <c r="R1519" s="88">
        <f>SUMIF(月間集計シート!$M$50:$M$69,$G1519,月間集計シート!O$50:O$69)*R$2</f>
        <v>0</v>
      </c>
      <c r="S1519" s="88">
        <f>SUMIF(月間集計シート!$M$50:$M$69,$G1519,月間集計シート!P$50:P$69)*S$2</f>
        <v>0</v>
      </c>
      <c r="T1519" s="88">
        <f>SUMIF(月間集計シート!$M$50:$M$69,$G1519,月間集計シート!Q$50:Q$69)*T$2</f>
        <v>0</v>
      </c>
      <c r="U1519" s="88">
        <f>SUMIF(月間集計シート!$M$50:$M$69,$G1519,月間集計シート!R$50:R$69)*U$2</f>
        <v>0</v>
      </c>
      <c r="V1519" s="88">
        <f>SUMIF(月間集計シート!$M$50:$M$69,$G1519,月間集計シート!S$50:S$69)*V$2</f>
        <v>0</v>
      </c>
      <c r="W1519" s="88">
        <f>SUMIF(月間集計シート!$M$50:$M$69,$G1519,月間集計シート!T$50:T$69)*W$2</f>
        <v>0</v>
      </c>
      <c r="X1519" s="88">
        <f>SUMIF(月間集計シート!$M$71:$M$90,$G1519,月間集計シート!N$71:N$90)*X$2</f>
        <v>0</v>
      </c>
      <c r="Y1519" s="88">
        <f>SUMIF(月間集計シート!$M$71:$M$90,$G1519,月間集計シート!O$71:O$90)*Y$2</f>
        <v>0</v>
      </c>
      <c r="Z1519" s="88">
        <f>SUMIF(月間集計シート!$M$71:$M$90,$G1519,月間集計シート!P$71:P$90)*Z$2</f>
        <v>0</v>
      </c>
      <c r="AA1519" s="88">
        <f>SUMIF(月間集計シート!$M$71:$M$90,$G1519,月間集計シート!Q$71:Q$90)*AA$2</f>
        <v>0</v>
      </c>
      <c r="AB1519" s="88">
        <f>SUMIF(月間集計シート!$M$71:$M$90,$G1519,月間集計シート!R$71:R$90)*AB$2</f>
        <v>0</v>
      </c>
      <c r="AC1519" s="88">
        <f>SUMIF(月間集計シート!$M$71:$M$90,$G1519,月間集計シート!S$71:S$90)*AC$2</f>
        <v>0</v>
      </c>
      <c r="AD1519" s="88">
        <f>SUMIF(月間集計シート!$M$71:$M$90,$G1519,月間集計シート!T$71:T$90)*AD$2</f>
        <v>0</v>
      </c>
      <c r="AE1519" s="88">
        <f>SUMIF(月間集計シート!$M$92:$M$111,$G1519,月間集計シート!N$92:N$111)*AE$2</f>
        <v>0</v>
      </c>
      <c r="AF1519" s="88">
        <f>SUMIF(月間集計シート!$M$92:$M$111,$G1519,月間集計シート!O$92:O$111)*AF$2</f>
        <v>0</v>
      </c>
      <c r="AG1519" s="88">
        <f>SUMIF(月間集計シート!$M$92:$M$111,$G1519,月間集計シート!P$92:P$111)*AG$2</f>
        <v>0</v>
      </c>
      <c r="AH1519" s="88">
        <f>SUMIF(月間集計シート!$M$92:$M$111,$G1519,月間集計シート!Q$92:Q$111)*AH$2</f>
        <v>0</v>
      </c>
      <c r="AI1519" s="88">
        <f>SUMIF(月間集計シート!$M$92:$M$111,$G1519,月間集計シート!R$92:R$111)*AI$2</f>
        <v>0</v>
      </c>
      <c r="AJ1519" s="88">
        <f>SUMIF(月間集計シート!$M$92:$M$111,$G1519,月間集計シート!S$92:S$111)*AJ$2</f>
        <v>0</v>
      </c>
      <c r="AK1519" s="88">
        <f>SUMIF(月間集計シート!$M$92:$M$111,$G1519,月間集計シート!T$92:T$111)*AK$2</f>
        <v>0</v>
      </c>
      <c r="AL1519" s="88">
        <f>SUMIF(月間集計シート!$M$113:$M$132,$G1519,月間集計シート!N$113:N$132)*AL$2</f>
        <v>0</v>
      </c>
      <c r="AM1519" s="88">
        <f>SUMIF(月間集計シート!$M$113:$M$132,$G1519,月間集計シート!O$113:O$132)*AM$2</f>
        <v>0</v>
      </c>
      <c r="AN1519" s="88">
        <f>SUMIF(月間集計シート!$M$113:$M$132,$G1519,月間集計シート!P$113:P$132)*AN$2</f>
        <v>0</v>
      </c>
      <c r="AO1519" s="88">
        <f>SUMIF(月間集計シート!$M$113:$M$132,$G1519,月間集計シート!Q$113:Q$132)*AO$2</f>
        <v>0</v>
      </c>
      <c r="AP1519" s="88">
        <f>SUMIF(月間集計シート!$M$113:$M$132,$G1519,月間集計シート!R$113:R$132)*AP$2</f>
        <v>0</v>
      </c>
      <c r="AQ1519" s="88">
        <f>SUMIF(月間集計シート!$M$113:$M$132,$G1519,月間集計シート!S$113:S$132)*AQ$2</f>
        <v>0</v>
      </c>
      <c r="AR1519" s="88">
        <f>SUMIF(月間集計シート!$M$113:$M$132,$G1519,月間集計シート!T$113:T$132)*AR$2</f>
        <v>0</v>
      </c>
      <c r="AS1519" s="88">
        <f>SUMIF(月間集計シート!$M$134:$M$153,$G1519,月間集計シート!N$134:N$153)*AS$2</f>
        <v>0</v>
      </c>
      <c r="AT1519" s="88">
        <f>SUMIF(月間集計シート!$M$134:$M$153,$G1519,月間集計シート!O$134:O$153)*AT$2</f>
        <v>0</v>
      </c>
      <c r="AU1519" s="88">
        <f>SUMIF(月間集計シート!$M$134:$M$153,$G1519,月間集計シート!P$134:P$153)*AU$2</f>
        <v>0</v>
      </c>
      <c r="AV1519" s="88">
        <f>SUMIF(月間集計シート!$M$134:$M$153,$G1519,月間集計シート!Q$134:Q$153)*AV$2</f>
        <v>0</v>
      </c>
      <c r="AW1519" s="88">
        <f>SUMIF(月間集計シート!$M$134:$M$153,$G1519,月間集計シート!R$134:R$153)*AW$2</f>
        <v>0</v>
      </c>
      <c r="AX1519" s="88">
        <f>SUMIF(月間集計シート!$M$134:$M$153,$G1519,月間集計シート!S$134:S$153)*AX$2</f>
        <v>0</v>
      </c>
      <c r="AY1519" s="88">
        <f>SUMIF(月間集計シート!$M$134:$M$153,$G1519,月間集計シート!T$134:T$153)*AY$2</f>
        <v>0</v>
      </c>
    </row>
    <row r="1520" spans="1:51" ht="14.25" thickBot="1">
      <c r="A1520">
        <v>18</v>
      </c>
      <c r="B1520" s="120">
        <f t="shared" ref="B1520:C1536" si="841">B1519</f>
        <v>0</v>
      </c>
      <c r="C1520" s="120" t="str">
        <f t="shared" si="841"/>
        <v/>
      </c>
      <c r="D1520" s="137"/>
      <c r="E1520" s="150" t="str">
        <f>工種!A67</f>
        <v>90101</v>
      </c>
      <c r="F1520" s="119" t="str">
        <f>工種!B67</f>
        <v>管理業務：ﾌﾟﾛｼﾞｪｸﾄ管理</v>
      </c>
      <c r="G1520" s="116" t="str">
        <f t="shared" si="838"/>
        <v>090101</v>
      </c>
      <c r="H1520" s="88">
        <f t="shared" si="840"/>
        <v>0</v>
      </c>
      <c r="I1520" s="132"/>
      <c r="J1520" s="88">
        <f>SUMIF(月間集計シート!$M$29:$M$48,$G1520,月間集計シート!N$29:N$48)*J$2</f>
        <v>0</v>
      </c>
      <c r="K1520" s="88">
        <f>SUMIF(月間集計シート!$M$29:$M$48,$G1520,月間集計シート!O$29:O$48)*K$2</f>
        <v>0</v>
      </c>
      <c r="L1520" s="88">
        <f>SUMIF(月間集計シート!$M$29:$M$48,$G1520,月間集計シート!P$29:P$48)*L$2</f>
        <v>0</v>
      </c>
      <c r="M1520" s="88">
        <f>SUMIF(月間集計シート!$M$29:$M$48,$G1520,月間集計シート!Q$29:Q$48)*M$2</f>
        <v>0</v>
      </c>
      <c r="N1520" s="88">
        <f>SUMIF(月間集計シート!$M$29:$M$48,$G1520,月間集計シート!R$29:R$48)*N$2</f>
        <v>0</v>
      </c>
      <c r="O1520" s="88">
        <f>SUMIF(月間集計シート!$M$29:$M$48,$G1520,月間集計シート!S$29:S$48)*O$2</f>
        <v>0</v>
      </c>
      <c r="P1520" s="88">
        <f>SUMIF(月間集計シート!$M$29:$M$48,$G1520,月間集計シート!T$29:T$48)*P$2</f>
        <v>0</v>
      </c>
      <c r="Q1520" s="88">
        <f>SUMIF(月間集計シート!$M$50:$M$69,$G1520,月間集計シート!N$50:N$69)*Q$2</f>
        <v>0</v>
      </c>
      <c r="R1520" s="88">
        <f>SUMIF(月間集計シート!$M$50:$M$69,$G1520,月間集計シート!O$50:O$69)*R$2</f>
        <v>0</v>
      </c>
      <c r="S1520" s="88">
        <f>SUMIF(月間集計シート!$M$50:$M$69,$G1520,月間集計シート!P$50:P$69)*S$2</f>
        <v>0</v>
      </c>
      <c r="T1520" s="88">
        <f>SUMIF(月間集計シート!$M$50:$M$69,$G1520,月間集計シート!Q$50:Q$69)*T$2</f>
        <v>0</v>
      </c>
      <c r="U1520" s="88">
        <f>SUMIF(月間集計シート!$M$50:$M$69,$G1520,月間集計シート!R$50:R$69)*U$2</f>
        <v>0</v>
      </c>
      <c r="V1520" s="88">
        <f>SUMIF(月間集計シート!$M$50:$M$69,$G1520,月間集計シート!S$50:S$69)*V$2</f>
        <v>0</v>
      </c>
      <c r="W1520" s="88">
        <f>SUMIF(月間集計シート!$M$50:$M$69,$G1520,月間集計シート!T$50:T$69)*W$2</f>
        <v>0</v>
      </c>
      <c r="X1520" s="88">
        <f>SUMIF(月間集計シート!$M$71:$M$90,$G1520,月間集計シート!N$71:N$90)*X$2</f>
        <v>0</v>
      </c>
      <c r="Y1520" s="88">
        <f>SUMIF(月間集計シート!$M$71:$M$90,$G1520,月間集計シート!O$71:O$90)*Y$2</f>
        <v>0</v>
      </c>
      <c r="Z1520" s="88">
        <f>SUMIF(月間集計シート!$M$71:$M$90,$G1520,月間集計シート!P$71:P$90)*Z$2</f>
        <v>0</v>
      </c>
      <c r="AA1520" s="88">
        <f>SUMIF(月間集計シート!$M$71:$M$90,$G1520,月間集計シート!Q$71:Q$90)*AA$2</f>
        <v>0</v>
      </c>
      <c r="AB1520" s="88">
        <f>SUMIF(月間集計シート!$M$71:$M$90,$G1520,月間集計シート!R$71:R$90)*AB$2</f>
        <v>0</v>
      </c>
      <c r="AC1520" s="88">
        <f>SUMIF(月間集計シート!$M$71:$M$90,$G1520,月間集計シート!S$71:S$90)*AC$2</f>
        <v>0</v>
      </c>
      <c r="AD1520" s="88">
        <f>SUMIF(月間集計シート!$M$71:$M$90,$G1520,月間集計シート!T$71:T$90)*AD$2</f>
        <v>0</v>
      </c>
      <c r="AE1520" s="88">
        <f>SUMIF(月間集計シート!$M$92:$M$111,$G1520,月間集計シート!N$92:N$111)*AE$2</f>
        <v>0</v>
      </c>
      <c r="AF1520" s="88">
        <f>SUMIF(月間集計シート!$M$92:$M$111,$G1520,月間集計シート!O$92:O$111)*AF$2</f>
        <v>0</v>
      </c>
      <c r="AG1520" s="88">
        <f>SUMIF(月間集計シート!$M$92:$M$111,$G1520,月間集計シート!P$92:P$111)*AG$2</f>
        <v>0</v>
      </c>
      <c r="AH1520" s="88">
        <f>SUMIF(月間集計シート!$M$92:$M$111,$G1520,月間集計シート!Q$92:Q$111)*AH$2</f>
        <v>0</v>
      </c>
      <c r="AI1520" s="88">
        <f>SUMIF(月間集計シート!$M$92:$M$111,$G1520,月間集計シート!R$92:R$111)*AI$2</f>
        <v>0</v>
      </c>
      <c r="AJ1520" s="88">
        <f>SUMIF(月間集計シート!$M$92:$M$111,$G1520,月間集計シート!S$92:S$111)*AJ$2</f>
        <v>0</v>
      </c>
      <c r="AK1520" s="88">
        <f>SUMIF(月間集計シート!$M$92:$M$111,$G1520,月間集計シート!T$92:T$111)*AK$2</f>
        <v>0</v>
      </c>
      <c r="AL1520" s="88">
        <f>SUMIF(月間集計シート!$M$113:$M$132,$G1520,月間集計シート!N$113:N$132)*AL$2</f>
        <v>0</v>
      </c>
      <c r="AM1520" s="88">
        <f>SUMIF(月間集計シート!$M$113:$M$132,$G1520,月間集計シート!O$113:O$132)*AM$2</f>
        <v>0</v>
      </c>
      <c r="AN1520" s="88">
        <f>SUMIF(月間集計シート!$M$113:$M$132,$G1520,月間集計シート!P$113:P$132)*AN$2</f>
        <v>0</v>
      </c>
      <c r="AO1520" s="88">
        <f>SUMIF(月間集計シート!$M$113:$M$132,$G1520,月間集計シート!Q$113:Q$132)*AO$2</f>
        <v>0</v>
      </c>
      <c r="AP1520" s="88">
        <f>SUMIF(月間集計シート!$M$113:$M$132,$G1520,月間集計シート!R$113:R$132)*AP$2</f>
        <v>0</v>
      </c>
      <c r="AQ1520" s="88">
        <f>SUMIF(月間集計シート!$M$113:$M$132,$G1520,月間集計シート!S$113:S$132)*AQ$2</f>
        <v>0</v>
      </c>
      <c r="AR1520" s="88">
        <f>SUMIF(月間集計シート!$M$113:$M$132,$G1520,月間集計シート!T$113:T$132)*AR$2</f>
        <v>0</v>
      </c>
      <c r="AS1520" s="88">
        <f>SUMIF(月間集計シート!$M$134:$M$153,$G1520,月間集計シート!N$134:N$153)*AS$2</f>
        <v>0</v>
      </c>
      <c r="AT1520" s="88">
        <f>SUMIF(月間集計シート!$M$134:$M$153,$G1520,月間集計シート!O$134:O$153)*AT$2</f>
        <v>0</v>
      </c>
      <c r="AU1520" s="88">
        <f>SUMIF(月間集計シート!$M$134:$M$153,$G1520,月間集計シート!P$134:P$153)*AU$2</f>
        <v>0</v>
      </c>
      <c r="AV1520" s="88">
        <f>SUMIF(月間集計シート!$M$134:$M$153,$G1520,月間集計シート!Q$134:Q$153)*AV$2</f>
        <v>0</v>
      </c>
      <c r="AW1520" s="88">
        <f>SUMIF(月間集計シート!$M$134:$M$153,$G1520,月間集計シート!R$134:R$153)*AW$2</f>
        <v>0</v>
      </c>
      <c r="AX1520" s="88">
        <f>SUMIF(月間集計シート!$M$134:$M$153,$G1520,月間集計シート!S$134:S$153)*AX$2</f>
        <v>0</v>
      </c>
      <c r="AY1520" s="88">
        <f>SUMIF(月間集計シート!$M$134:$M$153,$G1520,月間集計シート!T$134:T$153)*AY$2</f>
        <v>0</v>
      </c>
    </row>
    <row r="1521" spans="1:51" ht="14.25" thickBot="1">
      <c r="A1521">
        <v>18</v>
      </c>
      <c r="B1521" s="120">
        <f t="shared" si="841"/>
        <v>0</v>
      </c>
      <c r="C1521" s="120" t="str">
        <f t="shared" si="841"/>
        <v/>
      </c>
      <c r="D1521" s="137"/>
      <c r="E1521" s="150" t="str">
        <f>工種!A68</f>
        <v>90102</v>
      </c>
      <c r="F1521" s="119" t="str">
        <f>工種!B68</f>
        <v>管理業務：開発環境管理</v>
      </c>
      <c r="G1521" s="116" t="str">
        <f t="shared" si="838"/>
        <v>090102</v>
      </c>
      <c r="H1521" s="88">
        <f t="shared" si="840"/>
        <v>0</v>
      </c>
      <c r="I1521" s="132"/>
      <c r="J1521" s="88">
        <f>SUMIF(月間集計シート!$M$29:$M$48,$G1521,月間集計シート!N$29:N$48)*J$2</f>
        <v>0</v>
      </c>
      <c r="K1521" s="88">
        <f>SUMIF(月間集計シート!$M$29:$M$48,$G1521,月間集計シート!O$29:O$48)*K$2</f>
        <v>0</v>
      </c>
      <c r="L1521" s="88">
        <f>SUMIF(月間集計シート!$M$29:$M$48,$G1521,月間集計シート!P$29:P$48)*L$2</f>
        <v>0</v>
      </c>
      <c r="M1521" s="88">
        <f>SUMIF(月間集計シート!$M$29:$M$48,$G1521,月間集計シート!Q$29:Q$48)*M$2</f>
        <v>0</v>
      </c>
      <c r="N1521" s="88">
        <f>SUMIF(月間集計シート!$M$29:$M$48,$G1521,月間集計シート!R$29:R$48)*N$2</f>
        <v>0</v>
      </c>
      <c r="O1521" s="88">
        <f>SUMIF(月間集計シート!$M$29:$M$48,$G1521,月間集計シート!S$29:S$48)*O$2</f>
        <v>0</v>
      </c>
      <c r="P1521" s="88">
        <f>SUMIF(月間集計シート!$M$29:$M$48,$G1521,月間集計シート!T$29:T$48)*P$2</f>
        <v>0</v>
      </c>
      <c r="Q1521" s="88">
        <f>SUMIF(月間集計シート!$M$50:$M$69,$G1521,月間集計シート!N$50:N$69)*Q$2</f>
        <v>0</v>
      </c>
      <c r="R1521" s="88">
        <f>SUMIF(月間集計シート!$M$50:$M$69,$G1521,月間集計シート!O$50:O$69)*R$2</f>
        <v>0</v>
      </c>
      <c r="S1521" s="88">
        <f>SUMIF(月間集計シート!$M$50:$M$69,$G1521,月間集計シート!P$50:P$69)*S$2</f>
        <v>0</v>
      </c>
      <c r="T1521" s="88">
        <f>SUMIF(月間集計シート!$M$50:$M$69,$G1521,月間集計シート!Q$50:Q$69)*T$2</f>
        <v>0</v>
      </c>
      <c r="U1521" s="88">
        <f>SUMIF(月間集計シート!$M$50:$M$69,$G1521,月間集計シート!R$50:R$69)*U$2</f>
        <v>0</v>
      </c>
      <c r="V1521" s="88">
        <f>SUMIF(月間集計シート!$M$50:$M$69,$G1521,月間集計シート!S$50:S$69)*V$2</f>
        <v>0</v>
      </c>
      <c r="W1521" s="88">
        <f>SUMIF(月間集計シート!$M$50:$M$69,$G1521,月間集計シート!T$50:T$69)*W$2</f>
        <v>0</v>
      </c>
      <c r="X1521" s="88">
        <f>SUMIF(月間集計シート!$M$71:$M$90,$G1521,月間集計シート!N$71:N$90)*X$2</f>
        <v>0</v>
      </c>
      <c r="Y1521" s="88">
        <f>SUMIF(月間集計シート!$M$71:$M$90,$G1521,月間集計シート!O$71:O$90)*Y$2</f>
        <v>0</v>
      </c>
      <c r="Z1521" s="88">
        <f>SUMIF(月間集計シート!$M$71:$M$90,$G1521,月間集計シート!P$71:P$90)*Z$2</f>
        <v>0</v>
      </c>
      <c r="AA1521" s="88">
        <f>SUMIF(月間集計シート!$M$71:$M$90,$G1521,月間集計シート!Q$71:Q$90)*AA$2</f>
        <v>0</v>
      </c>
      <c r="AB1521" s="88">
        <f>SUMIF(月間集計シート!$M$71:$M$90,$G1521,月間集計シート!R$71:R$90)*AB$2</f>
        <v>0</v>
      </c>
      <c r="AC1521" s="88">
        <f>SUMIF(月間集計シート!$M$71:$M$90,$G1521,月間集計シート!S$71:S$90)*AC$2</f>
        <v>0</v>
      </c>
      <c r="AD1521" s="88">
        <f>SUMIF(月間集計シート!$M$71:$M$90,$G1521,月間集計シート!T$71:T$90)*AD$2</f>
        <v>0</v>
      </c>
      <c r="AE1521" s="88">
        <f>SUMIF(月間集計シート!$M$92:$M$111,$G1521,月間集計シート!N$92:N$111)*AE$2</f>
        <v>0</v>
      </c>
      <c r="AF1521" s="88">
        <f>SUMIF(月間集計シート!$M$92:$M$111,$G1521,月間集計シート!O$92:O$111)*AF$2</f>
        <v>0</v>
      </c>
      <c r="AG1521" s="88">
        <f>SUMIF(月間集計シート!$M$92:$M$111,$G1521,月間集計シート!P$92:P$111)*AG$2</f>
        <v>0</v>
      </c>
      <c r="AH1521" s="88">
        <f>SUMIF(月間集計シート!$M$92:$M$111,$G1521,月間集計シート!Q$92:Q$111)*AH$2</f>
        <v>0</v>
      </c>
      <c r="AI1521" s="88">
        <f>SUMIF(月間集計シート!$M$92:$M$111,$G1521,月間集計シート!R$92:R$111)*AI$2</f>
        <v>0</v>
      </c>
      <c r="AJ1521" s="88">
        <f>SUMIF(月間集計シート!$M$92:$M$111,$G1521,月間集計シート!S$92:S$111)*AJ$2</f>
        <v>0</v>
      </c>
      <c r="AK1521" s="88">
        <f>SUMIF(月間集計シート!$M$92:$M$111,$G1521,月間集計シート!T$92:T$111)*AK$2</f>
        <v>0</v>
      </c>
      <c r="AL1521" s="88">
        <f>SUMIF(月間集計シート!$M$113:$M$132,$G1521,月間集計シート!N$113:N$132)*AL$2</f>
        <v>0</v>
      </c>
      <c r="AM1521" s="88">
        <f>SUMIF(月間集計シート!$M$113:$M$132,$G1521,月間集計シート!O$113:O$132)*AM$2</f>
        <v>0</v>
      </c>
      <c r="AN1521" s="88">
        <f>SUMIF(月間集計シート!$M$113:$M$132,$G1521,月間集計シート!P$113:P$132)*AN$2</f>
        <v>0</v>
      </c>
      <c r="AO1521" s="88">
        <f>SUMIF(月間集計シート!$M$113:$M$132,$G1521,月間集計シート!Q$113:Q$132)*AO$2</f>
        <v>0</v>
      </c>
      <c r="AP1521" s="88">
        <f>SUMIF(月間集計シート!$M$113:$M$132,$G1521,月間集計シート!R$113:R$132)*AP$2</f>
        <v>0</v>
      </c>
      <c r="AQ1521" s="88">
        <f>SUMIF(月間集計シート!$M$113:$M$132,$G1521,月間集計シート!S$113:S$132)*AQ$2</f>
        <v>0</v>
      </c>
      <c r="AR1521" s="88">
        <f>SUMIF(月間集計シート!$M$113:$M$132,$G1521,月間集計シート!T$113:T$132)*AR$2</f>
        <v>0</v>
      </c>
      <c r="AS1521" s="88">
        <f>SUMIF(月間集計シート!$M$134:$M$153,$G1521,月間集計シート!N$134:N$153)*AS$2</f>
        <v>0</v>
      </c>
      <c r="AT1521" s="88">
        <f>SUMIF(月間集計シート!$M$134:$M$153,$G1521,月間集計シート!O$134:O$153)*AT$2</f>
        <v>0</v>
      </c>
      <c r="AU1521" s="88">
        <f>SUMIF(月間集計シート!$M$134:$M$153,$G1521,月間集計シート!P$134:P$153)*AU$2</f>
        <v>0</v>
      </c>
      <c r="AV1521" s="88">
        <f>SUMIF(月間集計シート!$M$134:$M$153,$G1521,月間集計シート!Q$134:Q$153)*AV$2</f>
        <v>0</v>
      </c>
      <c r="AW1521" s="88">
        <f>SUMIF(月間集計シート!$M$134:$M$153,$G1521,月間集計シート!R$134:R$153)*AW$2</f>
        <v>0</v>
      </c>
      <c r="AX1521" s="88">
        <f>SUMIF(月間集計シート!$M$134:$M$153,$G1521,月間集計シート!S$134:S$153)*AX$2</f>
        <v>0</v>
      </c>
      <c r="AY1521" s="88">
        <f>SUMIF(月間集計シート!$M$134:$M$153,$G1521,月間集計シート!T$134:T$153)*AY$2</f>
        <v>0</v>
      </c>
    </row>
    <row r="1522" spans="1:51" ht="14.25" thickBot="1">
      <c r="A1522">
        <v>18</v>
      </c>
      <c r="B1522" s="120">
        <f t="shared" si="841"/>
        <v>0</v>
      </c>
      <c r="C1522" s="120" t="str">
        <f t="shared" si="841"/>
        <v/>
      </c>
      <c r="D1522" s="137"/>
      <c r="E1522" s="150" t="str">
        <f>工種!A69</f>
        <v>90103</v>
      </c>
      <c r="F1522" s="119" t="str">
        <f>工種!B69</f>
        <v>管理業務：標準化・開発業務改善作業</v>
      </c>
      <c r="G1522" s="116" t="str">
        <f t="shared" si="838"/>
        <v>090103</v>
      </c>
      <c r="H1522" s="88">
        <f t="shared" si="840"/>
        <v>0</v>
      </c>
      <c r="I1522" s="132"/>
      <c r="J1522" s="88">
        <f>SUMIF(月間集計シート!$M$29:$M$48,$G1522,月間集計シート!N$29:N$48)*J$2</f>
        <v>0</v>
      </c>
      <c r="K1522" s="88">
        <f>SUMIF(月間集計シート!$M$29:$M$48,$G1522,月間集計シート!O$29:O$48)*K$2</f>
        <v>0</v>
      </c>
      <c r="L1522" s="88">
        <f>SUMIF(月間集計シート!$M$29:$M$48,$G1522,月間集計シート!P$29:P$48)*L$2</f>
        <v>0</v>
      </c>
      <c r="M1522" s="88">
        <f>SUMIF(月間集計シート!$M$29:$M$48,$G1522,月間集計シート!Q$29:Q$48)*M$2</f>
        <v>0</v>
      </c>
      <c r="N1522" s="88">
        <f>SUMIF(月間集計シート!$M$29:$M$48,$G1522,月間集計シート!R$29:R$48)*N$2</f>
        <v>0</v>
      </c>
      <c r="O1522" s="88">
        <f>SUMIF(月間集計シート!$M$29:$M$48,$G1522,月間集計シート!S$29:S$48)*O$2</f>
        <v>0</v>
      </c>
      <c r="P1522" s="88">
        <f>SUMIF(月間集計シート!$M$29:$M$48,$G1522,月間集計シート!T$29:T$48)*P$2</f>
        <v>0</v>
      </c>
      <c r="Q1522" s="88">
        <f>SUMIF(月間集計シート!$M$50:$M$69,$G1522,月間集計シート!N$50:N$69)*Q$2</f>
        <v>0</v>
      </c>
      <c r="R1522" s="88">
        <f>SUMIF(月間集計シート!$M$50:$M$69,$G1522,月間集計シート!O$50:O$69)*R$2</f>
        <v>0</v>
      </c>
      <c r="S1522" s="88">
        <f>SUMIF(月間集計シート!$M$50:$M$69,$G1522,月間集計シート!P$50:P$69)*S$2</f>
        <v>0</v>
      </c>
      <c r="T1522" s="88">
        <f>SUMIF(月間集計シート!$M$50:$M$69,$G1522,月間集計シート!Q$50:Q$69)*T$2</f>
        <v>0</v>
      </c>
      <c r="U1522" s="88">
        <f>SUMIF(月間集計シート!$M$50:$M$69,$G1522,月間集計シート!R$50:R$69)*U$2</f>
        <v>0</v>
      </c>
      <c r="V1522" s="88">
        <f>SUMIF(月間集計シート!$M$50:$M$69,$G1522,月間集計シート!S$50:S$69)*V$2</f>
        <v>0</v>
      </c>
      <c r="W1522" s="88">
        <f>SUMIF(月間集計シート!$M$50:$M$69,$G1522,月間集計シート!T$50:T$69)*W$2</f>
        <v>0</v>
      </c>
      <c r="X1522" s="88">
        <f>SUMIF(月間集計シート!$M$71:$M$90,$G1522,月間集計シート!N$71:N$90)*X$2</f>
        <v>0</v>
      </c>
      <c r="Y1522" s="88">
        <f>SUMIF(月間集計シート!$M$71:$M$90,$G1522,月間集計シート!O$71:O$90)*Y$2</f>
        <v>0</v>
      </c>
      <c r="Z1522" s="88">
        <f>SUMIF(月間集計シート!$M$71:$M$90,$G1522,月間集計シート!P$71:P$90)*Z$2</f>
        <v>0</v>
      </c>
      <c r="AA1522" s="88">
        <f>SUMIF(月間集計シート!$M$71:$M$90,$G1522,月間集計シート!Q$71:Q$90)*AA$2</f>
        <v>0</v>
      </c>
      <c r="AB1522" s="88">
        <f>SUMIF(月間集計シート!$M$71:$M$90,$G1522,月間集計シート!R$71:R$90)*AB$2</f>
        <v>0</v>
      </c>
      <c r="AC1522" s="88">
        <f>SUMIF(月間集計シート!$M$71:$M$90,$G1522,月間集計シート!S$71:S$90)*AC$2</f>
        <v>0</v>
      </c>
      <c r="AD1522" s="88">
        <f>SUMIF(月間集計シート!$M$71:$M$90,$G1522,月間集計シート!T$71:T$90)*AD$2</f>
        <v>0</v>
      </c>
      <c r="AE1522" s="88">
        <f>SUMIF(月間集計シート!$M$92:$M$111,$G1522,月間集計シート!N$92:N$111)*AE$2</f>
        <v>0</v>
      </c>
      <c r="AF1522" s="88">
        <f>SUMIF(月間集計シート!$M$92:$M$111,$G1522,月間集計シート!O$92:O$111)*AF$2</f>
        <v>0</v>
      </c>
      <c r="AG1522" s="88">
        <f>SUMIF(月間集計シート!$M$92:$M$111,$G1522,月間集計シート!P$92:P$111)*AG$2</f>
        <v>0</v>
      </c>
      <c r="AH1522" s="88">
        <f>SUMIF(月間集計シート!$M$92:$M$111,$G1522,月間集計シート!Q$92:Q$111)*AH$2</f>
        <v>0</v>
      </c>
      <c r="AI1522" s="88">
        <f>SUMIF(月間集計シート!$M$92:$M$111,$G1522,月間集計シート!R$92:R$111)*AI$2</f>
        <v>0</v>
      </c>
      <c r="AJ1522" s="88">
        <f>SUMIF(月間集計シート!$M$92:$M$111,$G1522,月間集計シート!S$92:S$111)*AJ$2</f>
        <v>0</v>
      </c>
      <c r="AK1522" s="88">
        <f>SUMIF(月間集計シート!$M$92:$M$111,$G1522,月間集計シート!T$92:T$111)*AK$2</f>
        <v>0</v>
      </c>
      <c r="AL1522" s="88">
        <f>SUMIF(月間集計シート!$M$113:$M$132,$G1522,月間集計シート!N$113:N$132)*AL$2</f>
        <v>0</v>
      </c>
      <c r="AM1522" s="88">
        <f>SUMIF(月間集計シート!$M$113:$M$132,$G1522,月間集計シート!O$113:O$132)*AM$2</f>
        <v>0</v>
      </c>
      <c r="AN1522" s="88">
        <f>SUMIF(月間集計シート!$M$113:$M$132,$G1522,月間集計シート!P$113:P$132)*AN$2</f>
        <v>0</v>
      </c>
      <c r="AO1522" s="88">
        <f>SUMIF(月間集計シート!$M$113:$M$132,$G1522,月間集計シート!Q$113:Q$132)*AO$2</f>
        <v>0</v>
      </c>
      <c r="AP1522" s="88">
        <f>SUMIF(月間集計シート!$M$113:$M$132,$G1522,月間集計シート!R$113:R$132)*AP$2</f>
        <v>0</v>
      </c>
      <c r="AQ1522" s="88">
        <f>SUMIF(月間集計シート!$M$113:$M$132,$G1522,月間集計シート!S$113:S$132)*AQ$2</f>
        <v>0</v>
      </c>
      <c r="AR1522" s="88">
        <f>SUMIF(月間集計シート!$M$113:$M$132,$G1522,月間集計シート!T$113:T$132)*AR$2</f>
        <v>0</v>
      </c>
      <c r="AS1522" s="88">
        <f>SUMIF(月間集計シート!$M$134:$M$153,$G1522,月間集計シート!N$134:N$153)*AS$2</f>
        <v>0</v>
      </c>
      <c r="AT1522" s="88">
        <f>SUMIF(月間集計シート!$M$134:$M$153,$G1522,月間集計シート!O$134:O$153)*AT$2</f>
        <v>0</v>
      </c>
      <c r="AU1522" s="88">
        <f>SUMIF(月間集計シート!$M$134:$M$153,$G1522,月間集計シート!P$134:P$153)*AU$2</f>
        <v>0</v>
      </c>
      <c r="AV1522" s="88">
        <f>SUMIF(月間集計シート!$M$134:$M$153,$G1522,月間集計シート!Q$134:Q$153)*AV$2</f>
        <v>0</v>
      </c>
      <c r="AW1522" s="88">
        <f>SUMIF(月間集計シート!$M$134:$M$153,$G1522,月間集計シート!R$134:R$153)*AW$2</f>
        <v>0</v>
      </c>
      <c r="AX1522" s="88">
        <f>SUMIF(月間集計シート!$M$134:$M$153,$G1522,月間集計シート!S$134:S$153)*AX$2</f>
        <v>0</v>
      </c>
      <c r="AY1522" s="88">
        <f>SUMIF(月間集計シート!$M$134:$M$153,$G1522,月間集計シート!T$134:T$153)*AY$2</f>
        <v>0</v>
      </c>
    </row>
    <row r="1523" spans="1:51" ht="14.25" thickBot="1">
      <c r="A1523">
        <v>18</v>
      </c>
      <c r="B1523" s="120">
        <f t="shared" si="841"/>
        <v>0</v>
      </c>
      <c r="C1523" s="120" t="str">
        <f t="shared" si="841"/>
        <v/>
      </c>
      <c r="D1523" s="137"/>
      <c r="E1523" s="150" t="str">
        <f>工種!A70</f>
        <v>90104</v>
      </c>
      <c r="F1523" s="119" t="str">
        <f>工種!B70</f>
        <v>管理業務：開発業務の引継ぎ</v>
      </c>
      <c r="G1523" s="116" t="str">
        <f t="shared" si="838"/>
        <v>090104</v>
      </c>
      <c r="H1523" s="88">
        <f t="shared" si="840"/>
        <v>0</v>
      </c>
      <c r="I1523" s="132"/>
      <c r="J1523" s="88">
        <f>SUMIF(月間集計シート!$M$29:$M$48,$G1523,月間集計シート!N$29:N$48)*J$2</f>
        <v>0</v>
      </c>
      <c r="K1523" s="88">
        <f>SUMIF(月間集計シート!$M$29:$M$48,$G1523,月間集計シート!O$29:O$48)*K$2</f>
        <v>0</v>
      </c>
      <c r="L1523" s="88">
        <f>SUMIF(月間集計シート!$M$29:$M$48,$G1523,月間集計シート!P$29:P$48)*L$2</f>
        <v>0</v>
      </c>
      <c r="M1523" s="88">
        <f>SUMIF(月間集計シート!$M$29:$M$48,$G1523,月間集計シート!Q$29:Q$48)*M$2</f>
        <v>0</v>
      </c>
      <c r="N1523" s="88">
        <f>SUMIF(月間集計シート!$M$29:$M$48,$G1523,月間集計シート!R$29:R$48)*N$2</f>
        <v>0</v>
      </c>
      <c r="O1523" s="88">
        <f>SUMIF(月間集計シート!$M$29:$M$48,$G1523,月間集計シート!S$29:S$48)*O$2</f>
        <v>0</v>
      </c>
      <c r="P1523" s="88">
        <f>SUMIF(月間集計シート!$M$29:$M$48,$G1523,月間集計シート!T$29:T$48)*P$2</f>
        <v>0</v>
      </c>
      <c r="Q1523" s="88">
        <f>SUMIF(月間集計シート!$M$50:$M$69,$G1523,月間集計シート!N$50:N$69)*Q$2</f>
        <v>0</v>
      </c>
      <c r="R1523" s="88">
        <f>SUMIF(月間集計シート!$M$50:$M$69,$G1523,月間集計シート!O$50:O$69)*R$2</f>
        <v>0</v>
      </c>
      <c r="S1523" s="88">
        <f>SUMIF(月間集計シート!$M$50:$M$69,$G1523,月間集計シート!P$50:P$69)*S$2</f>
        <v>0</v>
      </c>
      <c r="T1523" s="88">
        <f>SUMIF(月間集計シート!$M$50:$M$69,$G1523,月間集計シート!Q$50:Q$69)*T$2</f>
        <v>0</v>
      </c>
      <c r="U1523" s="88">
        <f>SUMIF(月間集計シート!$M$50:$M$69,$G1523,月間集計シート!R$50:R$69)*U$2</f>
        <v>0</v>
      </c>
      <c r="V1523" s="88">
        <f>SUMIF(月間集計シート!$M$50:$M$69,$G1523,月間集計シート!S$50:S$69)*V$2</f>
        <v>0</v>
      </c>
      <c r="W1523" s="88">
        <f>SUMIF(月間集計シート!$M$50:$M$69,$G1523,月間集計シート!T$50:T$69)*W$2</f>
        <v>0</v>
      </c>
      <c r="X1523" s="88">
        <f>SUMIF(月間集計シート!$M$71:$M$90,$G1523,月間集計シート!N$71:N$90)*X$2</f>
        <v>0</v>
      </c>
      <c r="Y1523" s="88">
        <f>SUMIF(月間集計シート!$M$71:$M$90,$G1523,月間集計シート!O$71:O$90)*Y$2</f>
        <v>0</v>
      </c>
      <c r="Z1523" s="88">
        <f>SUMIF(月間集計シート!$M$71:$M$90,$G1523,月間集計シート!P$71:P$90)*Z$2</f>
        <v>0</v>
      </c>
      <c r="AA1523" s="88">
        <f>SUMIF(月間集計シート!$M$71:$M$90,$G1523,月間集計シート!Q$71:Q$90)*AA$2</f>
        <v>0</v>
      </c>
      <c r="AB1523" s="88">
        <f>SUMIF(月間集計シート!$M$71:$M$90,$G1523,月間集計シート!R$71:R$90)*AB$2</f>
        <v>0</v>
      </c>
      <c r="AC1523" s="88">
        <f>SUMIF(月間集計シート!$M$71:$M$90,$G1523,月間集計シート!S$71:S$90)*AC$2</f>
        <v>0</v>
      </c>
      <c r="AD1523" s="88">
        <f>SUMIF(月間集計シート!$M$71:$M$90,$G1523,月間集計シート!T$71:T$90)*AD$2</f>
        <v>0</v>
      </c>
      <c r="AE1523" s="88">
        <f>SUMIF(月間集計シート!$M$92:$M$111,$G1523,月間集計シート!N$92:N$111)*AE$2</f>
        <v>0</v>
      </c>
      <c r="AF1523" s="88">
        <f>SUMIF(月間集計シート!$M$92:$M$111,$G1523,月間集計シート!O$92:O$111)*AF$2</f>
        <v>0</v>
      </c>
      <c r="AG1523" s="88">
        <f>SUMIF(月間集計シート!$M$92:$M$111,$G1523,月間集計シート!P$92:P$111)*AG$2</f>
        <v>0</v>
      </c>
      <c r="AH1523" s="88">
        <f>SUMIF(月間集計シート!$M$92:$M$111,$G1523,月間集計シート!Q$92:Q$111)*AH$2</f>
        <v>0</v>
      </c>
      <c r="AI1523" s="88">
        <f>SUMIF(月間集計シート!$M$92:$M$111,$G1523,月間集計シート!R$92:R$111)*AI$2</f>
        <v>0</v>
      </c>
      <c r="AJ1523" s="88">
        <f>SUMIF(月間集計シート!$M$92:$M$111,$G1523,月間集計シート!S$92:S$111)*AJ$2</f>
        <v>0</v>
      </c>
      <c r="AK1523" s="88">
        <f>SUMIF(月間集計シート!$M$92:$M$111,$G1523,月間集計シート!T$92:T$111)*AK$2</f>
        <v>0</v>
      </c>
      <c r="AL1523" s="88">
        <f>SUMIF(月間集計シート!$M$113:$M$132,$G1523,月間集計シート!N$113:N$132)*AL$2</f>
        <v>0</v>
      </c>
      <c r="AM1523" s="88">
        <f>SUMIF(月間集計シート!$M$113:$M$132,$G1523,月間集計シート!O$113:O$132)*AM$2</f>
        <v>0</v>
      </c>
      <c r="AN1523" s="88">
        <f>SUMIF(月間集計シート!$M$113:$M$132,$G1523,月間集計シート!P$113:P$132)*AN$2</f>
        <v>0</v>
      </c>
      <c r="AO1523" s="88">
        <f>SUMIF(月間集計シート!$M$113:$M$132,$G1523,月間集計シート!Q$113:Q$132)*AO$2</f>
        <v>0</v>
      </c>
      <c r="AP1523" s="88">
        <f>SUMIF(月間集計シート!$M$113:$M$132,$G1523,月間集計シート!R$113:R$132)*AP$2</f>
        <v>0</v>
      </c>
      <c r="AQ1523" s="88">
        <f>SUMIF(月間集計シート!$M$113:$M$132,$G1523,月間集計シート!S$113:S$132)*AQ$2</f>
        <v>0</v>
      </c>
      <c r="AR1523" s="88">
        <f>SUMIF(月間集計シート!$M$113:$M$132,$G1523,月間集計シート!T$113:T$132)*AR$2</f>
        <v>0</v>
      </c>
      <c r="AS1523" s="88">
        <f>SUMIF(月間集計シート!$M$134:$M$153,$G1523,月間集計シート!N$134:N$153)*AS$2</f>
        <v>0</v>
      </c>
      <c r="AT1523" s="88">
        <f>SUMIF(月間集計シート!$M$134:$M$153,$G1523,月間集計シート!O$134:O$153)*AT$2</f>
        <v>0</v>
      </c>
      <c r="AU1523" s="88">
        <f>SUMIF(月間集計シート!$M$134:$M$153,$G1523,月間集計シート!P$134:P$153)*AU$2</f>
        <v>0</v>
      </c>
      <c r="AV1523" s="88">
        <f>SUMIF(月間集計シート!$M$134:$M$153,$G1523,月間集計シート!Q$134:Q$153)*AV$2</f>
        <v>0</v>
      </c>
      <c r="AW1523" s="88">
        <f>SUMIF(月間集計シート!$M$134:$M$153,$G1523,月間集計シート!R$134:R$153)*AW$2</f>
        <v>0</v>
      </c>
      <c r="AX1523" s="88">
        <f>SUMIF(月間集計シート!$M$134:$M$153,$G1523,月間集計シート!S$134:S$153)*AX$2</f>
        <v>0</v>
      </c>
      <c r="AY1523" s="88">
        <f>SUMIF(月間集計シート!$M$134:$M$153,$G1523,月間集計シート!T$134:T$153)*AY$2</f>
        <v>0</v>
      </c>
    </row>
    <row r="1524" spans="1:51" ht="14.25" thickBot="1">
      <c r="A1524">
        <v>18</v>
      </c>
      <c r="B1524" s="120">
        <f t="shared" si="841"/>
        <v>0</v>
      </c>
      <c r="C1524" s="120" t="str">
        <f t="shared" si="841"/>
        <v/>
      </c>
      <c r="D1524" s="137"/>
      <c r="E1524" s="150" t="str">
        <f>工種!A71</f>
        <v>90105</v>
      </c>
      <c r="F1524" s="119" t="str">
        <f>工種!B71</f>
        <v>管理業務：SRB管理</v>
      </c>
      <c r="G1524" s="116" t="str">
        <f t="shared" si="838"/>
        <v>090105</v>
      </c>
      <c r="H1524" s="88">
        <f t="shared" si="840"/>
        <v>0</v>
      </c>
      <c r="I1524" s="132"/>
      <c r="J1524" s="88">
        <f>SUMIF(月間集計シート!$M$29:$M$48,$G1524,月間集計シート!N$29:N$48)*J$2</f>
        <v>0</v>
      </c>
      <c r="K1524" s="88">
        <f>SUMIF(月間集計シート!$M$29:$M$48,$G1524,月間集計シート!O$29:O$48)*K$2</f>
        <v>0</v>
      </c>
      <c r="L1524" s="88">
        <f>SUMIF(月間集計シート!$M$29:$M$48,$G1524,月間集計シート!P$29:P$48)*L$2</f>
        <v>0</v>
      </c>
      <c r="M1524" s="88">
        <f>SUMIF(月間集計シート!$M$29:$M$48,$G1524,月間集計シート!Q$29:Q$48)*M$2</f>
        <v>0</v>
      </c>
      <c r="N1524" s="88">
        <f>SUMIF(月間集計シート!$M$29:$M$48,$G1524,月間集計シート!R$29:R$48)*N$2</f>
        <v>0</v>
      </c>
      <c r="O1524" s="88">
        <f>SUMIF(月間集計シート!$M$29:$M$48,$G1524,月間集計シート!S$29:S$48)*O$2</f>
        <v>0</v>
      </c>
      <c r="P1524" s="88">
        <f>SUMIF(月間集計シート!$M$29:$M$48,$G1524,月間集計シート!T$29:T$48)*P$2</f>
        <v>0</v>
      </c>
      <c r="Q1524" s="88">
        <f>SUMIF(月間集計シート!$M$50:$M$69,$G1524,月間集計シート!N$50:N$69)*Q$2</f>
        <v>0</v>
      </c>
      <c r="R1524" s="88">
        <f>SUMIF(月間集計シート!$M$50:$M$69,$G1524,月間集計シート!O$50:O$69)*R$2</f>
        <v>0</v>
      </c>
      <c r="S1524" s="88">
        <f>SUMIF(月間集計シート!$M$50:$M$69,$G1524,月間集計シート!P$50:P$69)*S$2</f>
        <v>0</v>
      </c>
      <c r="T1524" s="88">
        <f>SUMIF(月間集計シート!$M$50:$M$69,$G1524,月間集計シート!Q$50:Q$69)*T$2</f>
        <v>0</v>
      </c>
      <c r="U1524" s="88">
        <f>SUMIF(月間集計シート!$M$50:$M$69,$G1524,月間集計シート!R$50:R$69)*U$2</f>
        <v>0</v>
      </c>
      <c r="V1524" s="88">
        <f>SUMIF(月間集計シート!$M$50:$M$69,$G1524,月間集計シート!S$50:S$69)*V$2</f>
        <v>0</v>
      </c>
      <c r="W1524" s="88">
        <f>SUMIF(月間集計シート!$M$50:$M$69,$G1524,月間集計シート!T$50:T$69)*W$2</f>
        <v>0</v>
      </c>
      <c r="X1524" s="88">
        <f>SUMIF(月間集計シート!$M$71:$M$90,$G1524,月間集計シート!N$71:N$90)*X$2</f>
        <v>0</v>
      </c>
      <c r="Y1524" s="88">
        <f>SUMIF(月間集計シート!$M$71:$M$90,$G1524,月間集計シート!O$71:O$90)*Y$2</f>
        <v>0</v>
      </c>
      <c r="Z1524" s="88">
        <f>SUMIF(月間集計シート!$M$71:$M$90,$G1524,月間集計シート!P$71:P$90)*Z$2</f>
        <v>0</v>
      </c>
      <c r="AA1524" s="88">
        <f>SUMIF(月間集計シート!$M$71:$M$90,$G1524,月間集計シート!Q$71:Q$90)*AA$2</f>
        <v>0</v>
      </c>
      <c r="AB1524" s="88">
        <f>SUMIF(月間集計シート!$M$71:$M$90,$G1524,月間集計シート!R$71:R$90)*AB$2</f>
        <v>0</v>
      </c>
      <c r="AC1524" s="88">
        <f>SUMIF(月間集計シート!$M$71:$M$90,$G1524,月間集計シート!S$71:S$90)*AC$2</f>
        <v>0</v>
      </c>
      <c r="AD1524" s="88">
        <f>SUMIF(月間集計シート!$M$71:$M$90,$G1524,月間集計シート!T$71:T$90)*AD$2</f>
        <v>0</v>
      </c>
      <c r="AE1524" s="88">
        <f>SUMIF(月間集計シート!$M$92:$M$111,$G1524,月間集計シート!N$92:N$111)*AE$2</f>
        <v>0</v>
      </c>
      <c r="AF1524" s="88">
        <f>SUMIF(月間集計シート!$M$92:$M$111,$G1524,月間集計シート!O$92:O$111)*AF$2</f>
        <v>0</v>
      </c>
      <c r="AG1524" s="88">
        <f>SUMIF(月間集計シート!$M$92:$M$111,$G1524,月間集計シート!P$92:P$111)*AG$2</f>
        <v>0</v>
      </c>
      <c r="AH1524" s="88">
        <f>SUMIF(月間集計シート!$M$92:$M$111,$G1524,月間集計シート!Q$92:Q$111)*AH$2</f>
        <v>0</v>
      </c>
      <c r="AI1524" s="88">
        <f>SUMIF(月間集計シート!$M$92:$M$111,$G1524,月間集計シート!R$92:R$111)*AI$2</f>
        <v>0</v>
      </c>
      <c r="AJ1524" s="88">
        <f>SUMIF(月間集計シート!$M$92:$M$111,$G1524,月間集計シート!S$92:S$111)*AJ$2</f>
        <v>0</v>
      </c>
      <c r="AK1524" s="88">
        <f>SUMIF(月間集計シート!$M$92:$M$111,$G1524,月間集計シート!T$92:T$111)*AK$2</f>
        <v>0</v>
      </c>
      <c r="AL1524" s="88">
        <f>SUMIF(月間集計シート!$M$113:$M$132,$G1524,月間集計シート!N$113:N$132)*AL$2</f>
        <v>0</v>
      </c>
      <c r="AM1524" s="88">
        <f>SUMIF(月間集計シート!$M$113:$M$132,$G1524,月間集計シート!O$113:O$132)*AM$2</f>
        <v>0</v>
      </c>
      <c r="AN1524" s="88">
        <f>SUMIF(月間集計シート!$M$113:$M$132,$G1524,月間集計シート!P$113:P$132)*AN$2</f>
        <v>0</v>
      </c>
      <c r="AO1524" s="88">
        <f>SUMIF(月間集計シート!$M$113:$M$132,$G1524,月間集計シート!Q$113:Q$132)*AO$2</f>
        <v>0</v>
      </c>
      <c r="AP1524" s="88">
        <f>SUMIF(月間集計シート!$M$113:$M$132,$G1524,月間集計シート!R$113:R$132)*AP$2</f>
        <v>0</v>
      </c>
      <c r="AQ1524" s="88">
        <f>SUMIF(月間集計シート!$M$113:$M$132,$G1524,月間集計シート!S$113:S$132)*AQ$2</f>
        <v>0</v>
      </c>
      <c r="AR1524" s="88">
        <f>SUMIF(月間集計シート!$M$113:$M$132,$G1524,月間集計シート!T$113:T$132)*AR$2</f>
        <v>0</v>
      </c>
      <c r="AS1524" s="88">
        <f>SUMIF(月間集計シート!$M$134:$M$153,$G1524,月間集計シート!N$134:N$153)*AS$2</f>
        <v>0</v>
      </c>
      <c r="AT1524" s="88">
        <f>SUMIF(月間集計シート!$M$134:$M$153,$G1524,月間集計シート!O$134:O$153)*AT$2</f>
        <v>0</v>
      </c>
      <c r="AU1524" s="88">
        <f>SUMIF(月間集計シート!$M$134:$M$153,$G1524,月間集計シート!P$134:P$153)*AU$2</f>
        <v>0</v>
      </c>
      <c r="AV1524" s="88">
        <f>SUMIF(月間集計シート!$M$134:$M$153,$G1524,月間集計シート!Q$134:Q$153)*AV$2</f>
        <v>0</v>
      </c>
      <c r="AW1524" s="88">
        <f>SUMIF(月間集計シート!$M$134:$M$153,$G1524,月間集計シート!R$134:R$153)*AW$2</f>
        <v>0</v>
      </c>
      <c r="AX1524" s="88">
        <f>SUMIF(月間集計シート!$M$134:$M$153,$G1524,月間集計シート!S$134:S$153)*AX$2</f>
        <v>0</v>
      </c>
      <c r="AY1524" s="88">
        <f>SUMIF(月間集計シート!$M$134:$M$153,$G1524,月間集計シート!T$134:T$153)*AY$2</f>
        <v>0</v>
      </c>
    </row>
    <row r="1525" spans="1:51" ht="14.25" thickBot="1">
      <c r="A1525">
        <v>18</v>
      </c>
      <c r="B1525" s="120">
        <f t="shared" si="841"/>
        <v>0</v>
      </c>
      <c r="C1525" s="120" t="str">
        <f t="shared" si="841"/>
        <v/>
      </c>
      <c r="D1525" s="137"/>
      <c r="E1525" s="150" t="str">
        <f>工種!A72</f>
        <v>90107</v>
      </c>
      <c r="F1525" s="119" t="str">
        <f>工種!B72</f>
        <v>管理業務：開発事務作業</v>
      </c>
      <c r="G1525" s="116" t="str">
        <f t="shared" si="838"/>
        <v>090107</v>
      </c>
      <c r="H1525" s="88">
        <f t="shared" si="840"/>
        <v>0</v>
      </c>
      <c r="I1525" s="132"/>
      <c r="J1525" s="88">
        <f>SUMIF(月間集計シート!$M$29:$M$48,$G1525,月間集計シート!N$29:N$48)*J$2</f>
        <v>0</v>
      </c>
      <c r="K1525" s="88">
        <f>SUMIF(月間集計シート!$M$29:$M$48,$G1525,月間集計シート!O$29:O$48)*K$2</f>
        <v>0</v>
      </c>
      <c r="L1525" s="88">
        <f>SUMIF(月間集計シート!$M$29:$M$48,$G1525,月間集計シート!P$29:P$48)*L$2</f>
        <v>0</v>
      </c>
      <c r="M1525" s="88">
        <f>SUMIF(月間集計シート!$M$29:$M$48,$G1525,月間集計シート!Q$29:Q$48)*M$2</f>
        <v>0</v>
      </c>
      <c r="N1525" s="88">
        <f>SUMIF(月間集計シート!$M$29:$M$48,$G1525,月間集計シート!R$29:R$48)*N$2</f>
        <v>0</v>
      </c>
      <c r="O1525" s="88">
        <f>SUMIF(月間集計シート!$M$29:$M$48,$G1525,月間集計シート!S$29:S$48)*O$2</f>
        <v>0</v>
      </c>
      <c r="P1525" s="88">
        <f>SUMIF(月間集計シート!$M$29:$M$48,$G1525,月間集計シート!T$29:T$48)*P$2</f>
        <v>0</v>
      </c>
      <c r="Q1525" s="88">
        <f>SUMIF(月間集計シート!$M$50:$M$69,$G1525,月間集計シート!N$50:N$69)*Q$2</f>
        <v>0</v>
      </c>
      <c r="R1525" s="88">
        <f>SUMIF(月間集計シート!$M$50:$M$69,$G1525,月間集計シート!O$50:O$69)*R$2</f>
        <v>0</v>
      </c>
      <c r="S1525" s="88">
        <f>SUMIF(月間集計シート!$M$50:$M$69,$G1525,月間集計シート!P$50:P$69)*S$2</f>
        <v>0</v>
      </c>
      <c r="T1525" s="88">
        <f>SUMIF(月間集計シート!$M$50:$M$69,$G1525,月間集計シート!Q$50:Q$69)*T$2</f>
        <v>0</v>
      </c>
      <c r="U1525" s="88">
        <f>SUMIF(月間集計シート!$M$50:$M$69,$G1525,月間集計シート!R$50:R$69)*U$2</f>
        <v>0</v>
      </c>
      <c r="V1525" s="88">
        <f>SUMIF(月間集計シート!$M$50:$M$69,$G1525,月間集計シート!S$50:S$69)*V$2</f>
        <v>0</v>
      </c>
      <c r="W1525" s="88">
        <f>SUMIF(月間集計シート!$M$50:$M$69,$G1525,月間集計シート!T$50:T$69)*W$2</f>
        <v>0</v>
      </c>
      <c r="X1525" s="88">
        <f>SUMIF(月間集計シート!$M$71:$M$90,$G1525,月間集計シート!N$71:N$90)*X$2</f>
        <v>0</v>
      </c>
      <c r="Y1525" s="88">
        <f>SUMIF(月間集計シート!$M$71:$M$90,$G1525,月間集計シート!O$71:O$90)*Y$2</f>
        <v>0</v>
      </c>
      <c r="Z1525" s="88">
        <f>SUMIF(月間集計シート!$M$71:$M$90,$G1525,月間集計シート!P$71:P$90)*Z$2</f>
        <v>0</v>
      </c>
      <c r="AA1525" s="88">
        <f>SUMIF(月間集計シート!$M$71:$M$90,$G1525,月間集計シート!Q$71:Q$90)*AA$2</f>
        <v>0</v>
      </c>
      <c r="AB1525" s="88">
        <f>SUMIF(月間集計シート!$M$71:$M$90,$G1525,月間集計シート!R$71:R$90)*AB$2</f>
        <v>0</v>
      </c>
      <c r="AC1525" s="88">
        <f>SUMIF(月間集計シート!$M$71:$M$90,$G1525,月間集計シート!S$71:S$90)*AC$2</f>
        <v>0</v>
      </c>
      <c r="AD1525" s="88">
        <f>SUMIF(月間集計シート!$M$71:$M$90,$G1525,月間集計シート!T$71:T$90)*AD$2</f>
        <v>0</v>
      </c>
      <c r="AE1525" s="88">
        <f>SUMIF(月間集計シート!$M$92:$M$111,$G1525,月間集計シート!N$92:N$111)*AE$2</f>
        <v>0</v>
      </c>
      <c r="AF1525" s="88">
        <f>SUMIF(月間集計シート!$M$92:$M$111,$G1525,月間集計シート!O$92:O$111)*AF$2</f>
        <v>0</v>
      </c>
      <c r="AG1525" s="88">
        <f>SUMIF(月間集計シート!$M$92:$M$111,$G1525,月間集計シート!P$92:P$111)*AG$2</f>
        <v>0</v>
      </c>
      <c r="AH1525" s="88">
        <f>SUMIF(月間集計シート!$M$92:$M$111,$G1525,月間集計シート!Q$92:Q$111)*AH$2</f>
        <v>0</v>
      </c>
      <c r="AI1525" s="88">
        <f>SUMIF(月間集計シート!$M$92:$M$111,$G1525,月間集計シート!R$92:R$111)*AI$2</f>
        <v>0</v>
      </c>
      <c r="AJ1525" s="88">
        <f>SUMIF(月間集計シート!$M$92:$M$111,$G1525,月間集計シート!S$92:S$111)*AJ$2</f>
        <v>0</v>
      </c>
      <c r="AK1525" s="88">
        <f>SUMIF(月間集計シート!$M$92:$M$111,$G1525,月間集計シート!T$92:T$111)*AK$2</f>
        <v>0</v>
      </c>
      <c r="AL1525" s="88">
        <f>SUMIF(月間集計シート!$M$113:$M$132,$G1525,月間集計シート!N$113:N$132)*AL$2</f>
        <v>0</v>
      </c>
      <c r="AM1525" s="88">
        <f>SUMIF(月間集計シート!$M$113:$M$132,$G1525,月間集計シート!O$113:O$132)*AM$2</f>
        <v>0</v>
      </c>
      <c r="AN1525" s="88">
        <f>SUMIF(月間集計シート!$M$113:$M$132,$G1525,月間集計シート!P$113:P$132)*AN$2</f>
        <v>0</v>
      </c>
      <c r="AO1525" s="88">
        <f>SUMIF(月間集計シート!$M$113:$M$132,$G1525,月間集計シート!Q$113:Q$132)*AO$2</f>
        <v>0</v>
      </c>
      <c r="AP1525" s="88">
        <f>SUMIF(月間集計シート!$M$113:$M$132,$G1525,月間集計シート!R$113:R$132)*AP$2</f>
        <v>0</v>
      </c>
      <c r="AQ1525" s="88">
        <f>SUMIF(月間集計シート!$M$113:$M$132,$G1525,月間集計シート!S$113:S$132)*AQ$2</f>
        <v>0</v>
      </c>
      <c r="AR1525" s="88">
        <f>SUMIF(月間集計シート!$M$113:$M$132,$G1525,月間集計シート!T$113:T$132)*AR$2</f>
        <v>0</v>
      </c>
      <c r="AS1525" s="88">
        <f>SUMIF(月間集計シート!$M$134:$M$153,$G1525,月間集計シート!N$134:N$153)*AS$2</f>
        <v>0</v>
      </c>
      <c r="AT1525" s="88">
        <f>SUMIF(月間集計シート!$M$134:$M$153,$G1525,月間集計シート!O$134:O$153)*AT$2</f>
        <v>0</v>
      </c>
      <c r="AU1525" s="88">
        <f>SUMIF(月間集計シート!$M$134:$M$153,$G1525,月間集計シート!P$134:P$153)*AU$2</f>
        <v>0</v>
      </c>
      <c r="AV1525" s="88">
        <f>SUMIF(月間集計シート!$M$134:$M$153,$G1525,月間集計シート!Q$134:Q$153)*AV$2</f>
        <v>0</v>
      </c>
      <c r="AW1525" s="88">
        <f>SUMIF(月間集計シート!$M$134:$M$153,$G1525,月間集計シート!R$134:R$153)*AW$2</f>
        <v>0</v>
      </c>
      <c r="AX1525" s="88">
        <f>SUMIF(月間集計シート!$M$134:$M$153,$G1525,月間集計シート!S$134:S$153)*AX$2</f>
        <v>0</v>
      </c>
      <c r="AY1525" s="88">
        <f>SUMIF(月間集計シート!$M$134:$M$153,$G1525,月間集計シート!T$134:T$153)*AY$2</f>
        <v>0</v>
      </c>
    </row>
    <row r="1526" spans="1:51" ht="14.25" thickBot="1">
      <c r="A1526">
        <v>18</v>
      </c>
      <c r="B1526" s="120">
        <f t="shared" si="841"/>
        <v>0</v>
      </c>
      <c r="C1526" s="120" t="str">
        <f t="shared" si="841"/>
        <v/>
      </c>
      <c r="D1526" s="137"/>
      <c r="E1526" s="150" t="str">
        <f>工種!A73</f>
        <v>90108</v>
      </c>
      <c r="F1526" s="119" t="str">
        <f>工種!B73</f>
        <v>管理業務：外部不具合分析</v>
      </c>
      <c r="G1526" s="116" t="str">
        <f t="shared" si="838"/>
        <v>090108</v>
      </c>
      <c r="H1526" s="88">
        <f t="shared" si="840"/>
        <v>0</v>
      </c>
      <c r="I1526" s="132"/>
      <c r="J1526" s="88">
        <f>SUMIF(月間集計シート!$M$29:$M$48,$G1526,月間集計シート!N$29:N$48)*J$2</f>
        <v>0</v>
      </c>
      <c r="K1526" s="88">
        <f>SUMIF(月間集計シート!$M$29:$M$48,$G1526,月間集計シート!O$29:O$48)*K$2</f>
        <v>0</v>
      </c>
      <c r="L1526" s="88">
        <f>SUMIF(月間集計シート!$M$29:$M$48,$G1526,月間集計シート!P$29:P$48)*L$2</f>
        <v>0</v>
      </c>
      <c r="M1526" s="88">
        <f>SUMIF(月間集計シート!$M$29:$M$48,$G1526,月間集計シート!Q$29:Q$48)*M$2</f>
        <v>0</v>
      </c>
      <c r="N1526" s="88">
        <f>SUMIF(月間集計シート!$M$29:$M$48,$G1526,月間集計シート!R$29:R$48)*N$2</f>
        <v>0</v>
      </c>
      <c r="O1526" s="88">
        <f>SUMIF(月間集計シート!$M$29:$M$48,$G1526,月間集計シート!S$29:S$48)*O$2</f>
        <v>0</v>
      </c>
      <c r="P1526" s="88">
        <f>SUMIF(月間集計シート!$M$29:$M$48,$G1526,月間集計シート!T$29:T$48)*P$2</f>
        <v>0</v>
      </c>
      <c r="Q1526" s="88">
        <f>SUMIF(月間集計シート!$M$50:$M$69,$G1526,月間集計シート!N$50:N$69)*Q$2</f>
        <v>0</v>
      </c>
      <c r="R1526" s="88">
        <f>SUMIF(月間集計シート!$M$50:$M$69,$G1526,月間集計シート!O$50:O$69)*R$2</f>
        <v>0</v>
      </c>
      <c r="S1526" s="88">
        <f>SUMIF(月間集計シート!$M$50:$M$69,$G1526,月間集計シート!P$50:P$69)*S$2</f>
        <v>0</v>
      </c>
      <c r="T1526" s="88">
        <f>SUMIF(月間集計シート!$M$50:$M$69,$G1526,月間集計シート!Q$50:Q$69)*T$2</f>
        <v>0</v>
      </c>
      <c r="U1526" s="88">
        <f>SUMIF(月間集計シート!$M$50:$M$69,$G1526,月間集計シート!R$50:R$69)*U$2</f>
        <v>0</v>
      </c>
      <c r="V1526" s="88">
        <f>SUMIF(月間集計シート!$M$50:$M$69,$G1526,月間集計シート!S$50:S$69)*V$2</f>
        <v>0</v>
      </c>
      <c r="W1526" s="88">
        <f>SUMIF(月間集計シート!$M$50:$M$69,$G1526,月間集計シート!T$50:T$69)*W$2</f>
        <v>0</v>
      </c>
      <c r="X1526" s="88">
        <f>SUMIF(月間集計シート!$M$71:$M$90,$G1526,月間集計シート!N$71:N$90)*X$2</f>
        <v>0</v>
      </c>
      <c r="Y1526" s="88">
        <f>SUMIF(月間集計シート!$M$71:$M$90,$G1526,月間集計シート!O$71:O$90)*Y$2</f>
        <v>0</v>
      </c>
      <c r="Z1526" s="88">
        <f>SUMIF(月間集計シート!$M$71:$M$90,$G1526,月間集計シート!P$71:P$90)*Z$2</f>
        <v>0</v>
      </c>
      <c r="AA1526" s="88">
        <f>SUMIF(月間集計シート!$M$71:$M$90,$G1526,月間集計シート!Q$71:Q$90)*AA$2</f>
        <v>0</v>
      </c>
      <c r="AB1526" s="88">
        <f>SUMIF(月間集計シート!$M$71:$M$90,$G1526,月間集計シート!R$71:R$90)*AB$2</f>
        <v>0</v>
      </c>
      <c r="AC1526" s="88">
        <f>SUMIF(月間集計シート!$M$71:$M$90,$G1526,月間集計シート!S$71:S$90)*AC$2</f>
        <v>0</v>
      </c>
      <c r="AD1526" s="88">
        <f>SUMIF(月間集計シート!$M$71:$M$90,$G1526,月間集計シート!T$71:T$90)*AD$2</f>
        <v>0</v>
      </c>
      <c r="AE1526" s="88">
        <f>SUMIF(月間集計シート!$M$92:$M$111,$G1526,月間集計シート!N$92:N$111)*AE$2</f>
        <v>0</v>
      </c>
      <c r="AF1526" s="88">
        <f>SUMIF(月間集計シート!$M$92:$M$111,$G1526,月間集計シート!O$92:O$111)*AF$2</f>
        <v>0</v>
      </c>
      <c r="AG1526" s="88">
        <f>SUMIF(月間集計シート!$M$92:$M$111,$G1526,月間集計シート!P$92:P$111)*AG$2</f>
        <v>0</v>
      </c>
      <c r="AH1526" s="88">
        <f>SUMIF(月間集計シート!$M$92:$M$111,$G1526,月間集計シート!Q$92:Q$111)*AH$2</f>
        <v>0</v>
      </c>
      <c r="AI1526" s="88">
        <f>SUMIF(月間集計シート!$M$92:$M$111,$G1526,月間集計シート!R$92:R$111)*AI$2</f>
        <v>0</v>
      </c>
      <c r="AJ1526" s="88">
        <f>SUMIF(月間集計シート!$M$92:$M$111,$G1526,月間集計シート!S$92:S$111)*AJ$2</f>
        <v>0</v>
      </c>
      <c r="AK1526" s="88">
        <f>SUMIF(月間集計シート!$M$92:$M$111,$G1526,月間集計シート!T$92:T$111)*AK$2</f>
        <v>0</v>
      </c>
      <c r="AL1526" s="88">
        <f>SUMIF(月間集計シート!$M$113:$M$132,$G1526,月間集計シート!N$113:N$132)*AL$2</f>
        <v>0</v>
      </c>
      <c r="AM1526" s="88">
        <f>SUMIF(月間集計シート!$M$113:$M$132,$G1526,月間集計シート!O$113:O$132)*AM$2</f>
        <v>0</v>
      </c>
      <c r="AN1526" s="88">
        <f>SUMIF(月間集計シート!$M$113:$M$132,$G1526,月間集計シート!P$113:P$132)*AN$2</f>
        <v>0</v>
      </c>
      <c r="AO1526" s="88">
        <f>SUMIF(月間集計シート!$M$113:$M$132,$G1526,月間集計シート!Q$113:Q$132)*AO$2</f>
        <v>0</v>
      </c>
      <c r="AP1526" s="88">
        <f>SUMIF(月間集計シート!$M$113:$M$132,$G1526,月間集計シート!R$113:R$132)*AP$2</f>
        <v>0</v>
      </c>
      <c r="AQ1526" s="88">
        <f>SUMIF(月間集計シート!$M$113:$M$132,$G1526,月間集計シート!S$113:S$132)*AQ$2</f>
        <v>0</v>
      </c>
      <c r="AR1526" s="88">
        <f>SUMIF(月間集計シート!$M$113:$M$132,$G1526,月間集計シート!T$113:T$132)*AR$2</f>
        <v>0</v>
      </c>
      <c r="AS1526" s="88">
        <f>SUMIF(月間集計シート!$M$134:$M$153,$G1526,月間集計シート!N$134:N$153)*AS$2</f>
        <v>0</v>
      </c>
      <c r="AT1526" s="88">
        <f>SUMIF(月間集計シート!$M$134:$M$153,$G1526,月間集計シート!O$134:O$153)*AT$2</f>
        <v>0</v>
      </c>
      <c r="AU1526" s="88">
        <f>SUMIF(月間集計シート!$M$134:$M$153,$G1526,月間集計シート!P$134:P$153)*AU$2</f>
        <v>0</v>
      </c>
      <c r="AV1526" s="88">
        <f>SUMIF(月間集計シート!$M$134:$M$153,$G1526,月間集計シート!Q$134:Q$153)*AV$2</f>
        <v>0</v>
      </c>
      <c r="AW1526" s="88">
        <f>SUMIF(月間集計シート!$M$134:$M$153,$G1526,月間集計シート!R$134:R$153)*AW$2</f>
        <v>0</v>
      </c>
      <c r="AX1526" s="88">
        <f>SUMIF(月間集計シート!$M$134:$M$153,$G1526,月間集計シート!S$134:S$153)*AX$2</f>
        <v>0</v>
      </c>
      <c r="AY1526" s="88">
        <f>SUMIF(月間集計シート!$M$134:$M$153,$G1526,月間集計シート!T$134:T$153)*AY$2</f>
        <v>0</v>
      </c>
    </row>
    <row r="1527" spans="1:51" ht="14.25" thickBot="1">
      <c r="A1527">
        <v>18</v>
      </c>
      <c r="B1527" s="120">
        <f t="shared" si="841"/>
        <v>0</v>
      </c>
      <c r="C1527" s="120" t="str">
        <f t="shared" si="841"/>
        <v/>
      </c>
      <c r="D1527" s="137"/>
      <c r="E1527" s="150" t="str">
        <f>工種!A74</f>
        <v>90110</v>
      </c>
      <c r="F1527" s="119" t="str">
        <f>工種!B74</f>
        <v>管理業務：打合せ</v>
      </c>
      <c r="G1527" s="116" t="str">
        <f t="shared" si="838"/>
        <v>090110</v>
      </c>
      <c r="H1527" s="88">
        <f t="shared" si="840"/>
        <v>0</v>
      </c>
      <c r="I1527" s="132"/>
      <c r="J1527" s="88">
        <f>SUMIF(月間集計シート!$M$29:$M$48,$G1527,月間集計シート!N$29:N$48)*J$2</f>
        <v>0</v>
      </c>
      <c r="K1527" s="88">
        <f>SUMIF(月間集計シート!$M$29:$M$48,$G1527,月間集計シート!O$29:O$48)*K$2</f>
        <v>0</v>
      </c>
      <c r="L1527" s="88">
        <f>SUMIF(月間集計シート!$M$29:$M$48,$G1527,月間集計シート!P$29:P$48)*L$2</f>
        <v>0</v>
      </c>
      <c r="M1527" s="88">
        <f>SUMIF(月間集計シート!$M$29:$M$48,$G1527,月間集計シート!Q$29:Q$48)*M$2</f>
        <v>0</v>
      </c>
      <c r="N1527" s="88">
        <f>SUMIF(月間集計シート!$M$29:$M$48,$G1527,月間集計シート!R$29:R$48)*N$2</f>
        <v>0</v>
      </c>
      <c r="O1527" s="88">
        <f>SUMIF(月間集計シート!$M$29:$M$48,$G1527,月間集計シート!S$29:S$48)*O$2</f>
        <v>0</v>
      </c>
      <c r="P1527" s="88">
        <f>SUMIF(月間集計シート!$M$29:$M$48,$G1527,月間集計シート!T$29:T$48)*P$2</f>
        <v>0</v>
      </c>
      <c r="Q1527" s="88">
        <f>SUMIF(月間集計シート!$M$50:$M$69,$G1527,月間集計シート!N$50:N$69)*Q$2</f>
        <v>0</v>
      </c>
      <c r="R1527" s="88">
        <f>SUMIF(月間集計シート!$M$50:$M$69,$G1527,月間集計シート!O$50:O$69)*R$2</f>
        <v>0</v>
      </c>
      <c r="S1527" s="88">
        <f>SUMIF(月間集計シート!$M$50:$M$69,$G1527,月間集計シート!P$50:P$69)*S$2</f>
        <v>0</v>
      </c>
      <c r="T1527" s="88">
        <f>SUMIF(月間集計シート!$M$50:$M$69,$G1527,月間集計シート!Q$50:Q$69)*T$2</f>
        <v>0</v>
      </c>
      <c r="U1527" s="88">
        <f>SUMIF(月間集計シート!$M$50:$M$69,$G1527,月間集計シート!R$50:R$69)*U$2</f>
        <v>0</v>
      </c>
      <c r="V1527" s="88">
        <f>SUMIF(月間集計シート!$M$50:$M$69,$G1527,月間集計シート!S$50:S$69)*V$2</f>
        <v>0</v>
      </c>
      <c r="W1527" s="88">
        <f>SUMIF(月間集計シート!$M$50:$M$69,$G1527,月間集計シート!T$50:T$69)*W$2</f>
        <v>0</v>
      </c>
      <c r="X1527" s="88">
        <f>SUMIF(月間集計シート!$M$71:$M$90,$G1527,月間集計シート!N$71:N$90)*X$2</f>
        <v>0</v>
      </c>
      <c r="Y1527" s="88">
        <f>SUMIF(月間集計シート!$M$71:$M$90,$G1527,月間集計シート!O$71:O$90)*Y$2</f>
        <v>0</v>
      </c>
      <c r="Z1527" s="88">
        <f>SUMIF(月間集計シート!$M$71:$M$90,$G1527,月間集計シート!P$71:P$90)*Z$2</f>
        <v>0</v>
      </c>
      <c r="AA1527" s="88">
        <f>SUMIF(月間集計シート!$M$71:$M$90,$G1527,月間集計シート!Q$71:Q$90)*AA$2</f>
        <v>0</v>
      </c>
      <c r="AB1527" s="88">
        <f>SUMIF(月間集計シート!$M$71:$M$90,$G1527,月間集計シート!R$71:R$90)*AB$2</f>
        <v>0</v>
      </c>
      <c r="AC1527" s="88">
        <f>SUMIF(月間集計シート!$M$71:$M$90,$G1527,月間集計シート!S$71:S$90)*AC$2</f>
        <v>0</v>
      </c>
      <c r="AD1527" s="88">
        <f>SUMIF(月間集計シート!$M$71:$M$90,$G1527,月間集計シート!T$71:T$90)*AD$2</f>
        <v>0</v>
      </c>
      <c r="AE1527" s="88">
        <f>SUMIF(月間集計シート!$M$92:$M$111,$G1527,月間集計シート!N$92:N$111)*AE$2</f>
        <v>0</v>
      </c>
      <c r="AF1527" s="88">
        <f>SUMIF(月間集計シート!$M$92:$M$111,$G1527,月間集計シート!O$92:O$111)*AF$2</f>
        <v>0</v>
      </c>
      <c r="AG1527" s="88">
        <f>SUMIF(月間集計シート!$M$92:$M$111,$G1527,月間集計シート!P$92:P$111)*AG$2</f>
        <v>0</v>
      </c>
      <c r="AH1527" s="88">
        <f>SUMIF(月間集計シート!$M$92:$M$111,$G1527,月間集計シート!Q$92:Q$111)*AH$2</f>
        <v>0</v>
      </c>
      <c r="AI1527" s="88">
        <f>SUMIF(月間集計シート!$M$92:$M$111,$G1527,月間集計シート!R$92:R$111)*AI$2</f>
        <v>0</v>
      </c>
      <c r="AJ1527" s="88">
        <f>SUMIF(月間集計シート!$M$92:$M$111,$G1527,月間集計シート!S$92:S$111)*AJ$2</f>
        <v>0</v>
      </c>
      <c r="AK1527" s="88">
        <f>SUMIF(月間集計シート!$M$92:$M$111,$G1527,月間集計シート!T$92:T$111)*AK$2</f>
        <v>0</v>
      </c>
      <c r="AL1527" s="88">
        <f>SUMIF(月間集計シート!$M$113:$M$132,$G1527,月間集計シート!N$113:N$132)*AL$2</f>
        <v>0</v>
      </c>
      <c r="AM1527" s="88">
        <f>SUMIF(月間集計シート!$M$113:$M$132,$G1527,月間集計シート!O$113:O$132)*AM$2</f>
        <v>0</v>
      </c>
      <c r="AN1527" s="88">
        <f>SUMIF(月間集計シート!$M$113:$M$132,$G1527,月間集計シート!P$113:P$132)*AN$2</f>
        <v>0</v>
      </c>
      <c r="AO1527" s="88">
        <f>SUMIF(月間集計シート!$M$113:$M$132,$G1527,月間集計シート!Q$113:Q$132)*AO$2</f>
        <v>0</v>
      </c>
      <c r="AP1527" s="88">
        <f>SUMIF(月間集計シート!$M$113:$M$132,$G1527,月間集計シート!R$113:R$132)*AP$2</f>
        <v>0</v>
      </c>
      <c r="AQ1527" s="88">
        <f>SUMIF(月間集計シート!$M$113:$M$132,$G1527,月間集計シート!S$113:S$132)*AQ$2</f>
        <v>0</v>
      </c>
      <c r="AR1527" s="88">
        <f>SUMIF(月間集計シート!$M$113:$M$132,$G1527,月間集計シート!T$113:T$132)*AR$2</f>
        <v>0</v>
      </c>
      <c r="AS1527" s="88">
        <f>SUMIF(月間集計シート!$M$134:$M$153,$G1527,月間集計シート!N$134:N$153)*AS$2</f>
        <v>0</v>
      </c>
      <c r="AT1527" s="88">
        <f>SUMIF(月間集計シート!$M$134:$M$153,$G1527,月間集計シート!O$134:O$153)*AT$2</f>
        <v>0</v>
      </c>
      <c r="AU1527" s="88">
        <f>SUMIF(月間集計シート!$M$134:$M$153,$G1527,月間集計シート!P$134:P$153)*AU$2</f>
        <v>0</v>
      </c>
      <c r="AV1527" s="88">
        <f>SUMIF(月間集計シート!$M$134:$M$153,$G1527,月間集計シート!Q$134:Q$153)*AV$2</f>
        <v>0</v>
      </c>
      <c r="AW1527" s="88">
        <f>SUMIF(月間集計シート!$M$134:$M$153,$G1527,月間集計シート!R$134:R$153)*AW$2</f>
        <v>0</v>
      </c>
      <c r="AX1527" s="88">
        <f>SUMIF(月間集計シート!$M$134:$M$153,$G1527,月間集計シート!S$134:S$153)*AX$2</f>
        <v>0</v>
      </c>
      <c r="AY1527" s="88">
        <f>SUMIF(月間集計シート!$M$134:$M$153,$G1527,月間集計シート!T$134:T$153)*AY$2</f>
        <v>0</v>
      </c>
    </row>
    <row r="1528" spans="1:51" ht="14.25" thickBot="1">
      <c r="A1528">
        <v>18</v>
      </c>
      <c r="B1528" s="120">
        <f t="shared" si="841"/>
        <v>0</v>
      </c>
      <c r="C1528" s="120" t="str">
        <f t="shared" si="841"/>
        <v/>
      </c>
      <c r="D1528" s="137"/>
      <c r="E1528" s="150" t="str">
        <f>工種!A75</f>
        <v>90111</v>
      </c>
      <c r="F1528" s="119" t="str">
        <f>工種!B75</f>
        <v>管理業務：レビュー</v>
      </c>
      <c r="G1528" s="116" t="str">
        <f t="shared" si="838"/>
        <v>090111</v>
      </c>
      <c r="H1528" s="88">
        <f t="shared" si="840"/>
        <v>0</v>
      </c>
      <c r="I1528" s="132"/>
      <c r="J1528" s="88">
        <f>SUMIF(月間集計シート!$M$29:$M$48,$G1528,月間集計シート!N$29:N$48)*J$2</f>
        <v>0</v>
      </c>
      <c r="K1528" s="88">
        <f>SUMIF(月間集計シート!$M$29:$M$48,$G1528,月間集計シート!O$29:O$48)*K$2</f>
        <v>0</v>
      </c>
      <c r="L1528" s="88">
        <f>SUMIF(月間集計シート!$M$29:$M$48,$G1528,月間集計シート!P$29:P$48)*L$2</f>
        <v>0</v>
      </c>
      <c r="M1528" s="88">
        <f>SUMIF(月間集計シート!$M$29:$M$48,$G1528,月間集計シート!Q$29:Q$48)*M$2</f>
        <v>0</v>
      </c>
      <c r="N1528" s="88">
        <f>SUMIF(月間集計シート!$M$29:$M$48,$G1528,月間集計シート!R$29:R$48)*N$2</f>
        <v>0</v>
      </c>
      <c r="O1528" s="88">
        <f>SUMIF(月間集計シート!$M$29:$M$48,$G1528,月間集計シート!S$29:S$48)*O$2</f>
        <v>0</v>
      </c>
      <c r="P1528" s="88">
        <f>SUMIF(月間集計シート!$M$29:$M$48,$G1528,月間集計シート!T$29:T$48)*P$2</f>
        <v>0</v>
      </c>
      <c r="Q1528" s="88">
        <f>SUMIF(月間集計シート!$M$50:$M$69,$G1528,月間集計シート!N$50:N$69)*Q$2</f>
        <v>0</v>
      </c>
      <c r="R1528" s="88">
        <f>SUMIF(月間集計シート!$M$50:$M$69,$G1528,月間集計シート!O$50:O$69)*R$2</f>
        <v>0</v>
      </c>
      <c r="S1528" s="88">
        <f>SUMIF(月間集計シート!$M$50:$M$69,$G1528,月間集計シート!P$50:P$69)*S$2</f>
        <v>0</v>
      </c>
      <c r="T1528" s="88">
        <f>SUMIF(月間集計シート!$M$50:$M$69,$G1528,月間集計シート!Q$50:Q$69)*T$2</f>
        <v>0</v>
      </c>
      <c r="U1528" s="88">
        <f>SUMIF(月間集計シート!$M$50:$M$69,$G1528,月間集計シート!R$50:R$69)*U$2</f>
        <v>0</v>
      </c>
      <c r="V1528" s="88">
        <f>SUMIF(月間集計シート!$M$50:$M$69,$G1528,月間集計シート!S$50:S$69)*V$2</f>
        <v>0</v>
      </c>
      <c r="W1528" s="88">
        <f>SUMIF(月間集計シート!$M$50:$M$69,$G1528,月間集計シート!T$50:T$69)*W$2</f>
        <v>0</v>
      </c>
      <c r="X1528" s="88">
        <f>SUMIF(月間集計シート!$M$71:$M$90,$G1528,月間集計シート!N$71:N$90)*X$2</f>
        <v>0</v>
      </c>
      <c r="Y1528" s="88">
        <f>SUMIF(月間集計シート!$M$71:$M$90,$G1528,月間集計シート!O$71:O$90)*Y$2</f>
        <v>0</v>
      </c>
      <c r="Z1528" s="88">
        <f>SUMIF(月間集計シート!$M$71:$M$90,$G1528,月間集計シート!P$71:P$90)*Z$2</f>
        <v>0</v>
      </c>
      <c r="AA1528" s="88">
        <f>SUMIF(月間集計シート!$M$71:$M$90,$G1528,月間集計シート!Q$71:Q$90)*AA$2</f>
        <v>0</v>
      </c>
      <c r="AB1528" s="88">
        <f>SUMIF(月間集計シート!$M$71:$M$90,$G1528,月間集計シート!R$71:R$90)*AB$2</f>
        <v>0</v>
      </c>
      <c r="AC1528" s="88">
        <f>SUMIF(月間集計シート!$M$71:$M$90,$G1528,月間集計シート!S$71:S$90)*AC$2</f>
        <v>0</v>
      </c>
      <c r="AD1528" s="88">
        <f>SUMIF(月間集計シート!$M$71:$M$90,$G1528,月間集計シート!T$71:T$90)*AD$2</f>
        <v>0</v>
      </c>
      <c r="AE1528" s="88">
        <f>SUMIF(月間集計シート!$M$92:$M$111,$G1528,月間集計シート!N$92:N$111)*AE$2</f>
        <v>0</v>
      </c>
      <c r="AF1528" s="88">
        <f>SUMIF(月間集計シート!$M$92:$M$111,$G1528,月間集計シート!O$92:O$111)*AF$2</f>
        <v>0</v>
      </c>
      <c r="AG1528" s="88">
        <f>SUMIF(月間集計シート!$M$92:$M$111,$G1528,月間集計シート!P$92:P$111)*AG$2</f>
        <v>0</v>
      </c>
      <c r="AH1528" s="88">
        <f>SUMIF(月間集計シート!$M$92:$M$111,$G1528,月間集計シート!Q$92:Q$111)*AH$2</f>
        <v>0</v>
      </c>
      <c r="AI1528" s="88">
        <f>SUMIF(月間集計シート!$M$92:$M$111,$G1528,月間集計シート!R$92:R$111)*AI$2</f>
        <v>0</v>
      </c>
      <c r="AJ1528" s="88">
        <f>SUMIF(月間集計シート!$M$92:$M$111,$G1528,月間集計シート!S$92:S$111)*AJ$2</f>
        <v>0</v>
      </c>
      <c r="AK1528" s="88">
        <f>SUMIF(月間集計シート!$M$92:$M$111,$G1528,月間集計シート!T$92:T$111)*AK$2</f>
        <v>0</v>
      </c>
      <c r="AL1528" s="88">
        <f>SUMIF(月間集計シート!$M$113:$M$132,$G1528,月間集計シート!N$113:N$132)*AL$2</f>
        <v>0</v>
      </c>
      <c r="AM1528" s="88">
        <f>SUMIF(月間集計シート!$M$113:$M$132,$G1528,月間集計シート!O$113:O$132)*AM$2</f>
        <v>0</v>
      </c>
      <c r="AN1528" s="88">
        <f>SUMIF(月間集計シート!$M$113:$M$132,$G1528,月間集計シート!P$113:P$132)*AN$2</f>
        <v>0</v>
      </c>
      <c r="AO1528" s="88">
        <f>SUMIF(月間集計シート!$M$113:$M$132,$G1528,月間集計シート!Q$113:Q$132)*AO$2</f>
        <v>0</v>
      </c>
      <c r="AP1528" s="88">
        <f>SUMIF(月間集計シート!$M$113:$M$132,$G1528,月間集計シート!R$113:R$132)*AP$2</f>
        <v>0</v>
      </c>
      <c r="AQ1528" s="88">
        <f>SUMIF(月間集計シート!$M$113:$M$132,$G1528,月間集計シート!S$113:S$132)*AQ$2</f>
        <v>0</v>
      </c>
      <c r="AR1528" s="88">
        <f>SUMIF(月間集計シート!$M$113:$M$132,$G1528,月間集計シート!T$113:T$132)*AR$2</f>
        <v>0</v>
      </c>
      <c r="AS1528" s="88">
        <f>SUMIF(月間集計シート!$M$134:$M$153,$G1528,月間集計シート!N$134:N$153)*AS$2</f>
        <v>0</v>
      </c>
      <c r="AT1528" s="88">
        <f>SUMIF(月間集計シート!$M$134:$M$153,$G1528,月間集計シート!O$134:O$153)*AT$2</f>
        <v>0</v>
      </c>
      <c r="AU1528" s="88">
        <f>SUMIF(月間集計シート!$M$134:$M$153,$G1528,月間集計シート!P$134:P$153)*AU$2</f>
        <v>0</v>
      </c>
      <c r="AV1528" s="88">
        <f>SUMIF(月間集計シート!$M$134:$M$153,$G1528,月間集計シート!Q$134:Q$153)*AV$2</f>
        <v>0</v>
      </c>
      <c r="AW1528" s="88">
        <f>SUMIF(月間集計シート!$M$134:$M$153,$G1528,月間集計シート!R$134:R$153)*AW$2</f>
        <v>0</v>
      </c>
      <c r="AX1528" s="88">
        <f>SUMIF(月間集計シート!$M$134:$M$153,$G1528,月間集計シート!S$134:S$153)*AX$2</f>
        <v>0</v>
      </c>
      <c r="AY1528" s="88">
        <f>SUMIF(月間集計シート!$M$134:$M$153,$G1528,月間集計シート!T$134:T$153)*AY$2</f>
        <v>0</v>
      </c>
    </row>
    <row r="1529" spans="1:51" ht="14.25" thickBot="1">
      <c r="A1529">
        <v>18</v>
      </c>
      <c r="B1529" s="120">
        <f t="shared" si="841"/>
        <v>0</v>
      </c>
      <c r="C1529" s="120" t="str">
        <f t="shared" si="841"/>
        <v/>
      </c>
      <c r="D1529" s="137"/>
      <c r="E1529" s="150" t="str">
        <f>工種!A76</f>
        <v>90199</v>
      </c>
      <c r="F1529" s="119" t="str">
        <f>工種!B76</f>
        <v>管理業務：その他</v>
      </c>
      <c r="G1529" s="116" t="str">
        <f t="shared" si="838"/>
        <v>090199</v>
      </c>
      <c r="H1529" s="88">
        <f t="shared" si="840"/>
        <v>0</v>
      </c>
      <c r="I1529" s="132"/>
      <c r="J1529" s="88">
        <f>SUMIF(月間集計シート!$M$29:$M$48,$G1529,月間集計シート!N$29:N$48)*J$2</f>
        <v>0</v>
      </c>
      <c r="K1529" s="88">
        <f>SUMIF(月間集計シート!$M$29:$M$48,$G1529,月間集計シート!O$29:O$48)*K$2</f>
        <v>0</v>
      </c>
      <c r="L1529" s="88">
        <f>SUMIF(月間集計シート!$M$29:$M$48,$G1529,月間集計シート!P$29:P$48)*L$2</f>
        <v>0</v>
      </c>
      <c r="M1529" s="88">
        <f>SUMIF(月間集計シート!$M$29:$M$48,$G1529,月間集計シート!Q$29:Q$48)*M$2</f>
        <v>0</v>
      </c>
      <c r="N1529" s="88">
        <f>SUMIF(月間集計シート!$M$29:$M$48,$G1529,月間集計シート!R$29:R$48)*N$2</f>
        <v>0</v>
      </c>
      <c r="O1529" s="88">
        <f>SUMIF(月間集計シート!$M$29:$M$48,$G1529,月間集計シート!S$29:S$48)*O$2</f>
        <v>0</v>
      </c>
      <c r="P1529" s="88">
        <f>SUMIF(月間集計シート!$M$29:$M$48,$G1529,月間集計シート!T$29:T$48)*P$2</f>
        <v>0</v>
      </c>
      <c r="Q1529" s="88">
        <f>SUMIF(月間集計シート!$M$50:$M$69,$G1529,月間集計シート!N$50:N$69)*Q$2</f>
        <v>0</v>
      </c>
      <c r="R1529" s="88">
        <f>SUMIF(月間集計シート!$M$50:$M$69,$G1529,月間集計シート!O$50:O$69)*R$2</f>
        <v>0</v>
      </c>
      <c r="S1529" s="88">
        <f>SUMIF(月間集計シート!$M$50:$M$69,$G1529,月間集計シート!P$50:P$69)*S$2</f>
        <v>0</v>
      </c>
      <c r="T1529" s="88">
        <f>SUMIF(月間集計シート!$M$50:$M$69,$G1529,月間集計シート!Q$50:Q$69)*T$2</f>
        <v>0</v>
      </c>
      <c r="U1529" s="88">
        <f>SUMIF(月間集計シート!$M$50:$M$69,$G1529,月間集計シート!R$50:R$69)*U$2</f>
        <v>0</v>
      </c>
      <c r="V1529" s="88">
        <f>SUMIF(月間集計シート!$M$50:$M$69,$G1529,月間集計シート!S$50:S$69)*V$2</f>
        <v>0</v>
      </c>
      <c r="W1529" s="88">
        <f>SUMIF(月間集計シート!$M$50:$M$69,$G1529,月間集計シート!T$50:T$69)*W$2</f>
        <v>0</v>
      </c>
      <c r="X1529" s="88">
        <f>SUMIF(月間集計シート!$M$71:$M$90,$G1529,月間集計シート!N$71:N$90)*X$2</f>
        <v>0</v>
      </c>
      <c r="Y1529" s="88">
        <f>SUMIF(月間集計シート!$M$71:$M$90,$G1529,月間集計シート!O$71:O$90)*Y$2</f>
        <v>0</v>
      </c>
      <c r="Z1529" s="88">
        <f>SUMIF(月間集計シート!$M$71:$M$90,$G1529,月間集計シート!P$71:P$90)*Z$2</f>
        <v>0</v>
      </c>
      <c r="AA1529" s="88">
        <f>SUMIF(月間集計シート!$M$71:$M$90,$G1529,月間集計シート!Q$71:Q$90)*AA$2</f>
        <v>0</v>
      </c>
      <c r="AB1529" s="88">
        <f>SUMIF(月間集計シート!$M$71:$M$90,$G1529,月間集計シート!R$71:R$90)*AB$2</f>
        <v>0</v>
      </c>
      <c r="AC1529" s="88">
        <f>SUMIF(月間集計シート!$M$71:$M$90,$G1529,月間集計シート!S$71:S$90)*AC$2</f>
        <v>0</v>
      </c>
      <c r="AD1529" s="88">
        <f>SUMIF(月間集計シート!$M$71:$M$90,$G1529,月間集計シート!T$71:T$90)*AD$2</f>
        <v>0</v>
      </c>
      <c r="AE1529" s="88">
        <f>SUMIF(月間集計シート!$M$92:$M$111,$G1529,月間集計シート!N$92:N$111)*AE$2</f>
        <v>0</v>
      </c>
      <c r="AF1529" s="88">
        <f>SUMIF(月間集計シート!$M$92:$M$111,$G1529,月間集計シート!O$92:O$111)*AF$2</f>
        <v>0</v>
      </c>
      <c r="AG1529" s="88">
        <f>SUMIF(月間集計シート!$M$92:$M$111,$G1529,月間集計シート!P$92:P$111)*AG$2</f>
        <v>0</v>
      </c>
      <c r="AH1529" s="88">
        <f>SUMIF(月間集計シート!$M$92:$M$111,$G1529,月間集計シート!Q$92:Q$111)*AH$2</f>
        <v>0</v>
      </c>
      <c r="AI1529" s="88">
        <f>SUMIF(月間集計シート!$M$92:$M$111,$G1529,月間集計シート!R$92:R$111)*AI$2</f>
        <v>0</v>
      </c>
      <c r="AJ1529" s="88">
        <f>SUMIF(月間集計シート!$M$92:$M$111,$G1529,月間集計シート!S$92:S$111)*AJ$2</f>
        <v>0</v>
      </c>
      <c r="AK1529" s="88">
        <f>SUMIF(月間集計シート!$M$92:$M$111,$G1529,月間集計シート!T$92:T$111)*AK$2</f>
        <v>0</v>
      </c>
      <c r="AL1529" s="88">
        <f>SUMIF(月間集計シート!$M$113:$M$132,$G1529,月間集計シート!N$113:N$132)*AL$2</f>
        <v>0</v>
      </c>
      <c r="AM1529" s="88">
        <f>SUMIF(月間集計シート!$M$113:$M$132,$G1529,月間集計シート!O$113:O$132)*AM$2</f>
        <v>0</v>
      </c>
      <c r="AN1529" s="88">
        <f>SUMIF(月間集計シート!$M$113:$M$132,$G1529,月間集計シート!P$113:P$132)*AN$2</f>
        <v>0</v>
      </c>
      <c r="AO1529" s="88">
        <f>SUMIF(月間集計シート!$M$113:$M$132,$G1529,月間集計シート!Q$113:Q$132)*AO$2</f>
        <v>0</v>
      </c>
      <c r="AP1529" s="88">
        <f>SUMIF(月間集計シート!$M$113:$M$132,$G1529,月間集計シート!R$113:R$132)*AP$2</f>
        <v>0</v>
      </c>
      <c r="AQ1529" s="88">
        <f>SUMIF(月間集計シート!$M$113:$M$132,$G1529,月間集計シート!S$113:S$132)*AQ$2</f>
        <v>0</v>
      </c>
      <c r="AR1529" s="88">
        <f>SUMIF(月間集計シート!$M$113:$M$132,$G1529,月間集計シート!T$113:T$132)*AR$2</f>
        <v>0</v>
      </c>
      <c r="AS1529" s="88">
        <f>SUMIF(月間集計シート!$M$134:$M$153,$G1529,月間集計シート!N$134:N$153)*AS$2</f>
        <v>0</v>
      </c>
      <c r="AT1529" s="88">
        <f>SUMIF(月間集計シート!$M$134:$M$153,$G1529,月間集計シート!O$134:O$153)*AT$2</f>
        <v>0</v>
      </c>
      <c r="AU1529" s="88">
        <f>SUMIF(月間集計シート!$M$134:$M$153,$G1529,月間集計シート!P$134:P$153)*AU$2</f>
        <v>0</v>
      </c>
      <c r="AV1529" s="88">
        <f>SUMIF(月間集計シート!$M$134:$M$153,$G1529,月間集計シート!Q$134:Q$153)*AV$2</f>
        <v>0</v>
      </c>
      <c r="AW1529" s="88">
        <f>SUMIF(月間集計シート!$M$134:$M$153,$G1529,月間集計シート!R$134:R$153)*AW$2</f>
        <v>0</v>
      </c>
      <c r="AX1529" s="88">
        <f>SUMIF(月間集計シート!$M$134:$M$153,$G1529,月間集計シート!S$134:S$153)*AX$2</f>
        <v>0</v>
      </c>
      <c r="AY1529" s="88">
        <f>SUMIF(月間集計シート!$M$134:$M$153,$G1529,月間集計シート!T$134:T$153)*AY$2</f>
        <v>0</v>
      </c>
    </row>
    <row r="1530" spans="1:51" ht="14.25" thickBot="1">
      <c r="A1530">
        <v>18</v>
      </c>
      <c r="B1530" s="120">
        <f t="shared" si="841"/>
        <v>0</v>
      </c>
      <c r="C1530" s="120" t="str">
        <f t="shared" si="841"/>
        <v/>
      </c>
      <c r="D1530" s="137"/>
      <c r="E1530" s="150">
        <f>工種!A77</f>
        <v>99102</v>
      </c>
      <c r="F1530" s="119" t="str">
        <f>工種!B77</f>
        <v>間接業務：業務環境管理（PCｾｯﾄｱｯﾌﾟ等）</v>
      </c>
      <c r="G1530" s="116" t="str">
        <f t="shared" si="838"/>
        <v>099102</v>
      </c>
      <c r="H1530" s="88">
        <f t="shared" si="840"/>
        <v>0</v>
      </c>
      <c r="I1530" s="132"/>
      <c r="J1530" s="88">
        <f>SUMIF(月間集計シート!$M$29:$M$48,$G1530,月間集計シート!N$29:N$48)*J$2</f>
        <v>0</v>
      </c>
      <c r="K1530" s="88">
        <f>SUMIF(月間集計シート!$M$29:$M$48,$G1530,月間集計シート!O$29:O$48)*K$2</f>
        <v>0</v>
      </c>
      <c r="L1530" s="88">
        <f>SUMIF(月間集計シート!$M$29:$M$48,$G1530,月間集計シート!P$29:P$48)*L$2</f>
        <v>0</v>
      </c>
      <c r="M1530" s="88">
        <f>SUMIF(月間集計シート!$M$29:$M$48,$G1530,月間集計シート!Q$29:Q$48)*M$2</f>
        <v>0</v>
      </c>
      <c r="N1530" s="88">
        <f>SUMIF(月間集計シート!$M$29:$M$48,$G1530,月間集計シート!R$29:R$48)*N$2</f>
        <v>0</v>
      </c>
      <c r="O1530" s="88">
        <f>SUMIF(月間集計シート!$M$29:$M$48,$G1530,月間集計シート!S$29:S$48)*O$2</f>
        <v>0</v>
      </c>
      <c r="P1530" s="88">
        <f>SUMIF(月間集計シート!$M$29:$M$48,$G1530,月間集計シート!T$29:T$48)*P$2</f>
        <v>0</v>
      </c>
      <c r="Q1530" s="88">
        <f>SUMIF(月間集計シート!$M$50:$M$69,$G1530,月間集計シート!N$50:N$69)*Q$2</f>
        <v>0</v>
      </c>
      <c r="R1530" s="88">
        <f>SUMIF(月間集計シート!$M$50:$M$69,$G1530,月間集計シート!O$50:O$69)*R$2</f>
        <v>0</v>
      </c>
      <c r="S1530" s="88">
        <f>SUMIF(月間集計シート!$M$50:$M$69,$G1530,月間集計シート!P$50:P$69)*S$2</f>
        <v>0</v>
      </c>
      <c r="T1530" s="88">
        <f>SUMIF(月間集計シート!$M$50:$M$69,$G1530,月間集計シート!Q$50:Q$69)*T$2</f>
        <v>0</v>
      </c>
      <c r="U1530" s="88">
        <f>SUMIF(月間集計シート!$M$50:$M$69,$G1530,月間集計シート!R$50:R$69)*U$2</f>
        <v>0</v>
      </c>
      <c r="V1530" s="88">
        <f>SUMIF(月間集計シート!$M$50:$M$69,$G1530,月間集計シート!S$50:S$69)*V$2</f>
        <v>0</v>
      </c>
      <c r="W1530" s="88">
        <f>SUMIF(月間集計シート!$M$50:$M$69,$G1530,月間集計シート!T$50:T$69)*W$2</f>
        <v>0</v>
      </c>
      <c r="X1530" s="88">
        <f>SUMIF(月間集計シート!$M$71:$M$90,$G1530,月間集計シート!N$71:N$90)*X$2</f>
        <v>0</v>
      </c>
      <c r="Y1530" s="88">
        <f>SUMIF(月間集計シート!$M$71:$M$90,$G1530,月間集計シート!O$71:O$90)*Y$2</f>
        <v>0</v>
      </c>
      <c r="Z1530" s="88">
        <f>SUMIF(月間集計シート!$M$71:$M$90,$G1530,月間集計シート!P$71:P$90)*Z$2</f>
        <v>0</v>
      </c>
      <c r="AA1530" s="88">
        <f>SUMIF(月間集計シート!$M$71:$M$90,$G1530,月間集計シート!Q$71:Q$90)*AA$2</f>
        <v>0</v>
      </c>
      <c r="AB1530" s="88">
        <f>SUMIF(月間集計シート!$M$71:$M$90,$G1530,月間集計シート!R$71:R$90)*AB$2</f>
        <v>0</v>
      </c>
      <c r="AC1530" s="88">
        <f>SUMIF(月間集計シート!$M$71:$M$90,$G1530,月間集計シート!S$71:S$90)*AC$2</f>
        <v>0</v>
      </c>
      <c r="AD1530" s="88">
        <f>SUMIF(月間集計シート!$M$71:$M$90,$G1530,月間集計シート!T$71:T$90)*AD$2</f>
        <v>0</v>
      </c>
      <c r="AE1530" s="88">
        <f>SUMIF(月間集計シート!$M$92:$M$111,$G1530,月間集計シート!N$92:N$111)*AE$2</f>
        <v>0</v>
      </c>
      <c r="AF1530" s="88">
        <f>SUMIF(月間集計シート!$M$92:$M$111,$G1530,月間集計シート!O$92:O$111)*AF$2</f>
        <v>0</v>
      </c>
      <c r="AG1530" s="88">
        <f>SUMIF(月間集計シート!$M$92:$M$111,$G1530,月間集計シート!P$92:P$111)*AG$2</f>
        <v>0</v>
      </c>
      <c r="AH1530" s="88">
        <f>SUMIF(月間集計シート!$M$92:$M$111,$G1530,月間集計シート!Q$92:Q$111)*AH$2</f>
        <v>0</v>
      </c>
      <c r="AI1530" s="88">
        <f>SUMIF(月間集計シート!$M$92:$M$111,$G1530,月間集計シート!R$92:R$111)*AI$2</f>
        <v>0</v>
      </c>
      <c r="AJ1530" s="88">
        <f>SUMIF(月間集計シート!$M$92:$M$111,$G1530,月間集計シート!S$92:S$111)*AJ$2</f>
        <v>0</v>
      </c>
      <c r="AK1530" s="88">
        <f>SUMIF(月間集計シート!$M$92:$M$111,$G1530,月間集計シート!T$92:T$111)*AK$2</f>
        <v>0</v>
      </c>
      <c r="AL1530" s="88">
        <f>SUMIF(月間集計シート!$M$113:$M$132,$G1530,月間集計シート!N$113:N$132)*AL$2</f>
        <v>0</v>
      </c>
      <c r="AM1530" s="88">
        <f>SUMIF(月間集計シート!$M$113:$M$132,$G1530,月間集計シート!O$113:O$132)*AM$2</f>
        <v>0</v>
      </c>
      <c r="AN1530" s="88">
        <f>SUMIF(月間集計シート!$M$113:$M$132,$G1530,月間集計シート!P$113:P$132)*AN$2</f>
        <v>0</v>
      </c>
      <c r="AO1530" s="88">
        <f>SUMIF(月間集計シート!$M$113:$M$132,$G1530,月間集計シート!Q$113:Q$132)*AO$2</f>
        <v>0</v>
      </c>
      <c r="AP1530" s="88">
        <f>SUMIF(月間集計シート!$M$113:$M$132,$G1530,月間集計シート!R$113:R$132)*AP$2</f>
        <v>0</v>
      </c>
      <c r="AQ1530" s="88">
        <f>SUMIF(月間集計シート!$M$113:$M$132,$G1530,月間集計シート!S$113:S$132)*AQ$2</f>
        <v>0</v>
      </c>
      <c r="AR1530" s="88">
        <f>SUMIF(月間集計シート!$M$113:$M$132,$G1530,月間集計シート!T$113:T$132)*AR$2</f>
        <v>0</v>
      </c>
      <c r="AS1530" s="88">
        <f>SUMIF(月間集計シート!$M$134:$M$153,$G1530,月間集計シート!N$134:N$153)*AS$2</f>
        <v>0</v>
      </c>
      <c r="AT1530" s="88">
        <f>SUMIF(月間集計シート!$M$134:$M$153,$G1530,月間集計シート!O$134:O$153)*AT$2</f>
        <v>0</v>
      </c>
      <c r="AU1530" s="88">
        <f>SUMIF(月間集計シート!$M$134:$M$153,$G1530,月間集計シート!P$134:P$153)*AU$2</f>
        <v>0</v>
      </c>
      <c r="AV1530" s="88">
        <f>SUMIF(月間集計シート!$M$134:$M$153,$G1530,月間集計シート!Q$134:Q$153)*AV$2</f>
        <v>0</v>
      </c>
      <c r="AW1530" s="88">
        <f>SUMIF(月間集計シート!$M$134:$M$153,$G1530,月間集計シート!R$134:R$153)*AW$2</f>
        <v>0</v>
      </c>
      <c r="AX1530" s="88">
        <f>SUMIF(月間集計シート!$M$134:$M$153,$G1530,月間集計シート!S$134:S$153)*AX$2</f>
        <v>0</v>
      </c>
      <c r="AY1530" s="88">
        <f>SUMIF(月間集計シート!$M$134:$M$153,$G1530,月間集計シート!T$134:T$153)*AY$2</f>
        <v>0</v>
      </c>
    </row>
    <row r="1531" spans="1:51" ht="14.25" thickBot="1">
      <c r="A1531">
        <v>18</v>
      </c>
      <c r="B1531" s="120">
        <f t="shared" si="841"/>
        <v>0</v>
      </c>
      <c r="C1531" s="120" t="str">
        <f t="shared" si="841"/>
        <v/>
      </c>
      <c r="D1531" s="137"/>
      <c r="E1531" s="150" t="str">
        <f>工種!A78</f>
        <v>99103</v>
      </c>
      <c r="F1531" s="119" t="str">
        <f>工種!B78</f>
        <v>間接業務：標準化・業務改善作業（開発以外）</v>
      </c>
      <c r="G1531" s="116" t="str">
        <f t="shared" si="838"/>
        <v>099103</v>
      </c>
      <c r="H1531" s="88">
        <f t="shared" si="840"/>
        <v>0</v>
      </c>
      <c r="I1531" s="132"/>
      <c r="J1531" s="88">
        <f>SUMIF(月間集計シート!$M$29:$M$48,$G1531,月間集計シート!N$29:N$48)*J$2</f>
        <v>0</v>
      </c>
      <c r="K1531" s="88">
        <f>SUMIF(月間集計シート!$M$29:$M$48,$G1531,月間集計シート!O$29:O$48)*K$2</f>
        <v>0</v>
      </c>
      <c r="L1531" s="88">
        <f>SUMIF(月間集計シート!$M$29:$M$48,$G1531,月間集計シート!P$29:P$48)*L$2</f>
        <v>0</v>
      </c>
      <c r="M1531" s="88">
        <f>SUMIF(月間集計シート!$M$29:$M$48,$G1531,月間集計シート!Q$29:Q$48)*M$2</f>
        <v>0</v>
      </c>
      <c r="N1531" s="88">
        <f>SUMIF(月間集計シート!$M$29:$M$48,$G1531,月間集計シート!R$29:R$48)*N$2</f>
        <v>0</v>
      </c>
      <c r="O1531" s="88">
        <f>SUMIF(月間集計シート!$M$29:$M$48,$G1531,月間集計シート!S$29:S$48)*O$2</f>
        <v>0</v>
      </c>
      <c r="P1531" s="88">
        <f>SUMIF(月間集計シート!$M$29:$M$48,$G1531,月間集計シート!T$29:T$48)*P$2</f>
        <v>0</v>
      </c>
      <c r="Q1531" s="88">
        <f>SUMIF(月間集計シート!$M$50:$M$69,$G1531,月間集計シート!N$50:N$69)*Q$2</f>
        <v>0</v>
      </c>
      <c r="R1531" s="88">
        <f>SUMIF(月間集計シート!$M$50:$M$69,$G1531,月間集計シート!O$50:O$69)*R$2</f>
        <v>0</v>
      </c>
      <c r="S1531" s="88">
        <f>SUMIF(月間集計シート!$M$50:$M$69,$G1531,月間集計シート!P$50:P$69)*S$2</f>
        <v>0</v>
      </c>
      <c r="T1531" s="88">
        <f>SUMIF(月間集計シート!$M$50:$M$69,$G1531,月間集計シート!Q$50:Q$69)*T$2</f>
        <v>0</v>
      </c>
      <c r="U1531" s="88">
        <f>SUMIF(月間集計シート!$M$50:$M$69,$G1531,月間集計シート!R$50:R$69)*U$2</f>
        <v>0</v>
      </c>
      <c r="V1531" s="88">
        <f>SUMIF(月間集計シート!$M$50:$M$69,$G1531,月間集計シート!S$50:S$69)*V$2</f>
        <v>0</v>
      </c>
      <c r="W1531" s="88">
        <f>SUMIF(月間集計シート!$M$50:$M$69,$G1531,月間集計シート!T$50:T$69)*W$2</f>
        <v>0</v>
      </c>
      <c r="X1531" s="88">
        <f>SUMIF(月間集計シート!$M$71:$M$90,$G1531,月間集計シート!N$71:N$90)*X$2</f>
        <v>0</v>
      </c>
      <c r="Y1531" s="88">
        <f>SUMIF(月間集計シート!$M$71:$M$90,$G1531,月間集計シート!O$71:O$90)*Y$2</f>
        <v>0</v>
      </c>
      <c r="Z1531" s="88">
        <f>SUMIF(月間集計シート!$M$71:$M$90,$G1531,月間集計シート!P$71:P$90)*Z$2</f>
        <v>0</v>
      </c>
      <c r="AA1531" s="88">
        <f>SUMIF(月間集計シート!$M$71:$M$90,$G1531,月間集計シート!Q$71:Q$90)*AA$2</f>
        <v>0</v>
      </c>
      <c r="AB1531" s="88">
        <f>SUMIF(月間集計シート!$M$71:$M$90,$G1531,月間集計シート!R$71:R$90)*AB$2</f>
        <v>0</v>
      </c>
      <c r="AC1531" s="88">
        <f>SUMIF(月間集計シート!$M$71:$M$90,$G1531,月間集計シート!S$71:S$90)*AC$2</f>
        <v>0</v>
      </c>
      <c r="AD1531" s="88">
        <f>SUMIF(月間集計シート!$M$71:$M$90,$G1531,月間集計シート!T$71:T$90)*AD$2</f>
        <v>0</v>
      </c>
      <c r="AE1531" s="88">
        <f>SUMIF(月間集計シート!$M$92:$M$111,$G1531,月間集計シート!N$92:N$111)*AE$2</f>
        <v>0</v>
      </c>
      <c r="AF1531" s="88">
        <f>SUMIF(月間集計シート!$M$92:$M$111,$G1531,月間集計シート!O$92:O$111)*AF$2</f>
        <v>0</v>
      </c>
      <c r="AG1531" s="88">
        <f>SUMIF(月間集計シート!$M$92:$M$111,$G1531,月間集計シート!P$92:P$111)*AG$2</f>
        <v>0</v>
      </c>
      <c r="AH1531" s="88">
        <f>SUMIF(月間集計シート!$M$92:$M$111,$G1531,月間集計シート!Q$92:Q$111)*AH$2</f>
        <v>0</v>
      </c>
      <c r="AI1531" s="88">
        <f>SUMIF(月間集計シート!$M$92:$M$111,$G1531,月間集計シート!R$92:R$111)*AI$2</f>
        <v>0</v>
      </c>
      <c r="AJ1531" s="88">
        <f>SUMIF(月間集計シート!$M$92:$M$111,$G1531,月間集計シート!S$92:S$111)*AJ$2</f>
        <v>0</v>
      </c>
      <c r="AK1531" s="88">
        <f>SUMIF(月間集計シート!$M$92:$M$111,$G1531,月間集計シート!T$92:T$111)*AK$2</f>
        <v>0</v>
      </c>
      <c r="AL1531" s="88">
        <f>SUMIF(月間集計シート!$M$113:$M$132,$G1531,月間集計シート!N$113:N$132)*AL$2</f>
        <v>0</v>
      </c>
      <c r="AM1531" s="88">
        <f>SUMIF(月間集計シート!$M$113:$M$132,$G1531,月間集計シート!O$113:O$132)*AM$2</f>
        <v>0</v>
      </c>
      <c r="AN1531" s="88">
        <f>SUMIF(月間集計シート!$M$113:$M$132,$G1531,月間集計シート!P$113:P$132)*AN$2</f>
        <v>0</v>
      </c>
      <c r="AO1531" s="88">
        <f>SUMIF(月間集計シート!$M$113:$M$132,$G1531,月間集計シート!Q$113:Q$132)*AO$2</f>
        <v>0</v>
      </c>
      <c r="AP1531" s="88">
        <f>SUMIF(月間集計シート!$M$113:$M$132,$G1531,月間集計シート!R$113:R$132)*AP$2</f>
        <v>0</v>
      </c>
      <c r="AQ1531" s="88">
        <f>SUMIF(月間集計シート!$M$113:$M$132,$G1531,月間集計シート!S$113:S$132)*AQ$2</f>
        <v>0</v>
      </c>
      <c r="AR1531" s="88">
        <f>SUMIF(月間集計シート!$M$113:$M$132,$G1531,月間集計シート!T$113:T$132)*AR$2</f>
        <v>0</v>
      </c>
      <c r="AS1531" s="88">
        <f>SUMIF(月間集計シート!$M$134:$M$153,$G1531,月間集計シート!N$134:N$153)*AS$2</f>
        <v>0</v>
      </c>
      <c r="AT1531" s="88">
        <f>SUMIF(月間集計シート!$M$134:$M$153,$G1531,月間集計シート!O$134:O$153)*AT$2</f>
        <v>0</v>
      </c>
      <c r="AU1531" s="88">
        <f>SUMIF(月間集計シート!$M$134:$M$153,$G1531,月間集計シート!P$134:P$153)*AU$2</f>
        <v>0</v>
      </c>
      <c r="AV1531" s="88">
        <f>SUMIF(月間集計シート!$M$134:$M$153,$G1531,月間集計シート!Q$134:Q$153)*AV$2</f>
        <v>0</v>
      </c>
      <c r="AW1531" s="88">
        <f>SUMIF(月間集計シート!$M$134:$M$153,$G1531,月間集計シート!R$134:R$153)*AW$2</f>
        <v>0</v>
      </c>
      <c r="AX1531" s="88">
        <f>SUMIF(月間集計シート!$M$134:$M$153,$G1531,月間集計シート!S$134:S$153)*AX$2</f>
        <v>0</v>
      </c>
      <c r="AY1531" s="88">
        <f>SUMIF(月間集計シート!$M$134:$M$153,$G1531,月間集計シート!T$134:T$153)*AY$2</f>
        <v>0</v>
      </c>
    </row>
    <row r="1532" spans="1:51" ht="14.25" thickBot="1">
      <c r="A1532">
        <v>18</v>
      </c>
      <c r="B1532" s="120">
        <f t="shared" si="841"/>
        <v>0</v>
      </c>
      <c r="C1532" s="120" t="str">
        <f t="shared" si="841"/>
        <v/>
      </c>
      <c r="D1532" s="137"/>
      <c r="E1532" s="150" t="str">
        <f>工種!A79</f>
        <v>99104</v>
      </c>
      <c r="F1532" s="119" t="str">
        <f>工種!B79</f>
        <v>間接業務：業務の引継ぎ（開発以外）</v>
      </c>
      <c r="G1532" s="116" t="str">
        <f t="shared" si="838"/>
        <v>099104</v>
      </c>
      <c r="H1532" s="88">
        <f t="shared" si="840"/>
        <v>0</v>
      </c>
      <c r="I1532" s="132"/>
      <c r="J1532" s="88">
        <f>SUMIF(月間集計シート!$M$29:$M$48,$G1532,月間集計シート!N$29:N$48)*J$2</f>
        <v>0</v>
      </c>
      <c r="K1532" s="88">
        <f>SUMIF(月間集計シート!$M$29:$M$48,$G1532,月間集計シート!O$29:O$48)*K$2</f>
        <v>0</v>
      </c>
      <c r="L1532" s="88">
        <f>SUMIF(月間集計シート!$M$29:$M$48,$G1532,月間集計シート!P$29:P$48)*L$2</f>
        <v>0</v>
      </c>
      <c r="M1532" s="88">
        <f>SUMIF(月間集計シート!$M$29:$M$48,$G1532,月間集計シート!Q$29:Q$48)*M$2</f>
        <v>0</v>
      </c>
      <c r="N1532" s="88">
        <f>SUMIF(月間集計シート!$M$29:$M$48,$G1532,月間集計シート!R$29:R$48)*N$2</f>
        <v>0</v>
      </c>
      <c r="O1532" s="88">
        <f>SUMIF(月間集計シート!$M$29:$M$48,$G1532,月間集計シート!S$29:S$48)*O$2</f>
        <v>0</v>
      </c>
      <c r="P1532" s="88">
        <f>SUMIF(月間集計シート!$M$29:$M$48,$G1532,月間集計シート!T$29:T$48)*P$2</f>
        <v>0</v>
      </c>
      <c r="Q1532" s="88">
        <f>SUMIF(月間集計シート!$M$50:$M$69,$G1532,月間集計シート!N$50:N$69)*Q$2</f>
        <v>0</v>
      </c>
      <c r="R1532" s="88">
        <f>SUMIF(月間集計シート!$M$50:$M$69,$G1532,月間集計シート!O$50:O$69)*R$2</f>
        <v>0</v>
      </c>
      <c r="S1532" s="88">
        <f>SUMIF(月間集計シート!$M$50:$M$69,$G1532,月間集計シート!P$50:P$69)*S$2</f>
        <v>0</v>
      </c>
      <c r="T1532" s="88">
        <f>SUMIF(月間集計シート!$M$50:$M$69,$G1532,月間集計シート!Q$50:Q$69)*T$2</f>
        <v>0</v>
      </c>
      <c r="U1532" s="88">
        <f>SUMIF(月間集計シート!$M$50:$M$69,$G1532,月間集計シート!R$50:R$69)*U$2</f>
        <v>0</v>
      </c>
      <c r="V1532" s="88">
        <f>SUMIF(月間集計シート!$M$50:$M$69,$G1532,月間集計シート!S$50:S$69)*V$2</f>
        <v>0</v>
      </c>
      <c r="W1532" s="88">
        <f>SUMIF(月間集計シート!$M$50:$M$69,$G1532,月間集計シート!T$50:T$69)*W$2</f>
        <v>0</v>
      </c>
      <c r="X1532" s="88">
        <f>SUMIF(月間集計シート!$M$71:$M$90,$G1532,月間集計シート!N$71:N$90)*X$2</f>
        <v>0</v>
      </c>
      <c r="Y1532" s="88">
        <f>SUMIF(月間集計シート!$M$71:$M$90,$G1532,月間集計シート!O$71:O$90)*Y$2</f>
        <v>0</v>
      </c>
      <c r="Z1532" s="88">
        <f>SUMIF(月間集計シート!$M$71:$M$90,$G1532,月間集計シート!P$71:P$90)*Z$2</f>
        <v>0</v>
      </c>
      <c r="AA1532" s="88">
        <f>SUMIF(月間集計シート!$M$71:$M$90,$G1532,月間集計シート!Q$71:Q$90)*AA$2</f>
        <v>0</v>
      </c>
      <c r="AB1532" s="88">
        <f>SUMIF(月間集計シート!$M$71:$M$90,$G1532,月間集計シート!R$71:R$90)*AB$2</f>
        <v>0</v>
      </c>
      <c r="AC1532" s="88">
        <f>SUMIF(月間集計シート!$M$71:$M$90,$G1532,月間集計シート!S$71:S$90)*AC$2</f>
        <v>0</v>
      </c>
      <c r="AD1532" s="88">
        <f>SUMIF(月間集計シート!$M$71:$M$90,$G1532,月間集計シート!T$71:T$90)*AD$2</f>
        <v>0</v>
      </c>
      <c r="AE1532" s="88">
        <f>SUMIF(月間集計シート!$M$92:$M$111,$G1532,月間集計シート!N$92:N$111)*AE$2</f>
        <v>0</v>
      </c>
      <c r="AF1532" s="88">
        <f>SUMIF(月間集計シート!$M$92:$M$111,$G1532,月間集計シート!O$92:O$111)*AF$2</f>
        <v>0</v>
      </c>
      <c r="AG1532" s="88">
        <f>SUMIF(月間集計シート!$M$92:$M$111,$G1532,月間集計シート!P$92:P$111)*AG$2</f>
        <v>0</v>
      </c>
      <c r="AH1532" s="88">
        <f>SUMIF(月間集計シート!$M$92:$M$111,$G1532,月間集計シート!Q$92:Q$111)*AH$2</f>
        <v>0</v>
      </c>
      <c r="AI1532" s="88">
        <f>SUMIF(月間集計シート!$M$92:$M$111,$G1532,月間集計シート!R$92:R$111)*AI$2</f>
        <v>0</v>
      </c>
      <c r="AJ1532" s="88">
        <f>SUMIF(月間集計シート!$M$92:$M$111,$G1532,月間集計シート!S$92:S$111)*AJ$2</f>
        <v>0</v>
      </c>
      <c r="AK1532" s="88">
        <f>SUMIF(月間集計シート!$M$92:$M$111,$G1532,月間集計シート!T$92:T$111)*AK$2</f>
        <v>0</v>
      </c>
      <c r="AL1532" s="88">
        <f>SUMIF(月間集計シート!$M$113:$M$132,$G1532,月間集計シート!N$113:N$132)*AL$2</f>
        <v>0</v>
      </c>
      <c r="AM1532" s="88">
        <f>SUMIF(月間集計シート!$M$113:$M$132,$G1532,月間集計シート!O$113:O$132)*AM$2</f>
        <v>0</v>
      </c>
      <c r="AN1532" s="88">
        <f>SUMIF(月間集計シート!$M$113:$M$132,$G1532,月間集計シート!P$113:P$132)*AN$2</f>
        <v>0</v>
      </c>
      <c r="AO1532" s="88">
        <f>SUMIF(月間集計シート!$M$113:$M$132,$G1532,月間集計シート!Q$113:Q$132)*AO$2</f>
        <v>0</v>
      </c>
      <c r="AP1532" s="88">
        <f>SUMIF(月間集計シート!$M$113:$M$132,$G1532,月間集計シート!R$113:R$132)*AP$2</f>
        <v>0</v>
      </c>
      <c r="AQ1532" s="88">
        <f>SUMIF(月間集計シート!$M$113:$M$132,$G1532,月間集計シート!S$113:S$132)*AQ$2</f>
        <v>0</v>
      </c>
      <c r="AR1532" s="88">
        <f>SUMIF(月間集計シート!$M$113:$M$132,$G1532,月間集計シート!T$113:T$132)*AR$2</f>
        <v>0</v>
      </c>
      <c r="AS1532" s="88">
        <f>SUMIF(月間集計シート!$M$134:$M$153,$G1532,月間集計シート!N$134:N$153)*AS$2</f>
        <v>0</v>
      </c>
      <c r="AT1532" s="88">
        <f>SUMIF(月間集計シート!$M$134:$M$153,$G1532,月間集計シート!O$134:O$153)*AT$2</f>
        <v>0</v>
      </c>
      <c r="AU1532" s="88">
        <f>SUMIF(月間集計シート!$M$134:$M$153,$G1532,月間集計シート!P$134:P$153)*AU$2</f>
        <v>0</v>
      </c>
      <c r="AV1532" s="88">
        <f>SUMIF(月間集計シート!$M$134:$M$153,$G1532,月間集計シート!Q$134:Q$153)*AV$2</f>
        <v>0</v>
      </c>
      <c r="AW1532" s="88">
        <f>SUMIF(月間集計シート!$M$134:$M$153,$G1532,月間集計シート!R$134:R$153)*AW$2</f>
        <v>0</v>
      </c>
      <c r="AX1532" s="88">
        <f>SUMIF(月間集計シート!$M$134:$M$153,$G1532,月間集計シート!S$134:S$153)*AX$2</f>
        <v>0</v>
      </c>
      <c r="AY1532" s="88">
        <f>SUMIF(月間集計シート!$M$134:$M$153,$G1532,月間集計シート!T$134:T$153)*AY$2</f>
        <v>0</v>
      </c>
    </row>
    <row r="1533" spans="1:51" ht="14.25" thickBot="1">
      <c r="A1533">
        <v>18</v>
      </c>
      <c r="B1533" s="120">
        <f t="shared" si="841"/>
        <v>0</v>
      </c>
      <c r="C1533" s="120" t="str">
        <f t="shared" si="841"/>
        <v/>
      </c>
      <c r="D1533" s="137"/>
      <c r="E1533" s="150" t="str">
        <f>工種!A80</f>
        <v>99106</v>
      </c>
      <c r="F1533" s="119" t="str">
        <f>工種!B80</f>
        <v>間接業務：研修・学習</v>
      </c>
      <c r="G1533" s="116" t="str">
        <f t="shared" si="838"/>
        <v>099106</v>
      </c>
      <c r="H1533" s="88">
        <f t="shared" si="840"/>
        <v>0</v>
      </c>
      <c r="I1533" s="132"/>
      <c r="J1533" s="88">
        <f>SUMIF(月間集計シート!$M$29:$M$48,$G1533,月間集計シート!N$29:N$48)*J$2</f>
        <v>0</v>
      </c>
      <c r="K1533" s="88">
        <f>SUMIF(月間集計シート!$M$29:$M$48,$G1533,月間集計シート!O$29:O$48)*K$2</f>
        <v>0</v>
      </c>
      <c r="L1533" s="88">
        <f>SUMIF(月間集計シート!$M$29:$M$48,$G1533,月間集計シート!P$29:P$48)*L$2</f>
        <v>0</v>
      </c>
      <c r="M1533" s="88">
        <f>SUMIF(月間集計シート!$M$29:$M$48,$G1533,月間集計シート!Q$29:Q$48)*M$2</f>
        <v>0</v>
      </c>
      <c r="N1533" s="88">
        <f>SUMIF(月間集計シート!$M$29:$M$48,$G1533,月間集計シート!R$29:R$48)*N$2</f>
        <v>0</v>
      </c>
      <c r="O1533" s="88">
        <f>SUMIF(月間集計シート!$M$29:$M$48,$G1533,月間集計シート!S$29:S$48)*O$2</f>
        <v>0</v>
      </c>
      <c r="P1533" s="88">
        <f>SUMIF(月間集計シート!$M$29:$M$48,$G1533,月間集計シート!T$29:T$48)*P$2</f>
        <v>0</v>
      </c>
      <c r="Q1533" s="88">
        <f>SUMIF(月間集計シート!$M$50:$M$69,$G1533,月間集計シート!N$50:N$69)*Q$2</f>
        <v>0</v>
      </c>
      <c r="R1533" s="88">
        <f>SUMIF(月間集計シート!$M$50:$M$69,$G1533,月間集計シート!O$50:O$69)*R$2</f>
        <v>0</v>
      </c>
      <c r="S1533" s="88">
        <f>SUMIF(月間集計シート!$M$50:$M$69,$G1533,月間集計シート!P$50:P$69)*S$2</f>
        <v>0</v>
      </c>
      <c r="T1533" s="88">
        <f>SUMIF(月間集計シート!$M$50:$M$69,$G1533,月間集計シート!Q$50:Q$69)*T$2</f>
        <v>0</v>
      </c>
      <c r="U1533" s="88">
        <f>SUMIF(月間集計シート!$M$50:$M$69,$G1533,月間集計シート!R$50:R$69)*U$2</f>
        <v>0</v>
      </c>
      <c r="V1533" s="88">
        <f>SUMIF(月間集計シート!$M$50:$M$69,$G1533,月間集計シート!S$50:S$69)*V$2</f>
        <v>0</v>
      </c>
      <c r="W1533" s="88">
        <f>SUMIF(月間集計シート!$M$50:$M$69,$G1533,月間集計シート!T$50:T$69)*W$2</f>
        <v>0</v>
      </c>
      <c r="X1533" s="88">
        <f>SUMIF(月間集計シート!$M$71:$M$90,$G1533,月間集計シート!N$71:N$90)*X$2</f>
        <v>0</v>
      </c>
      <c r="Y1533" s="88">
        <f>SUMIF(月間集計シート!$M$71:$M$90,$G1533,月間集計シート!O$71:O$90)*Y$2</f>
        <v>0</v>
      </c>
      <c r="Z1533" s="88">
        <f>SUMIF(月間集計シート!$M$71:$M$90,$G1533,月間集計シート!P$71:P$90)*Z$2</f>
        <v>0</v>
      </c>
      <c r="AA1533" s="88">
        <f>SUMIF(月間集計シート!$M$71:$M$90,$G1533,月間集計シート!Q$71:Q$90)*AA$2</f>
        <v>0</v>
      </c>
      <c r="AB1533" s="88">
        <f>SUMIF(月間集計シート!$M$71:$M$90,$G1533,月間集計シート!R$71:R$90)*AB$2</f>
        <v>0</v>
      </c>
      <c r="AC1533" s="88">
        <f>SUMIF(月間集計シート!$M$71:$M$90,$G1533,月間集計シート!S$71:S$90)*AC$2</f>
        <v>0</v>
      </c>
      <c r="AD1533" s="88">
        <f>SUMIF(月間集計シート!$M$71:$M$90,$G1533,月間集計シート!T$71:T$90)*AD$2</f>
        <v>0</v>
      </c>
      <c r="AE1533" s="88">
        <f>SUMIF(月間集計シート!$M$92:$M$111,$G1533,月間集計シート!N$92:N$111)*AE$2</f>
        <v>0</v>
      </c>
      <c r="AF1533" s="88">
        <f>SUMIF(月間集計シート!$M$92:$M$111,$G1533,月間集計シート!O$92:O$111)*AF$2</f>
        <v>0</v>
      </c>
      <c r="AG1533" s="88">
        <f>SUMIF(月間集計シート!$M$92:$M$111,$G1533,月間集計シート!P$92:P$111)*AG$2</f>
        <v>0</v>
      </c>
      <c r="AH1533" s="88">
        <f>SUMIF(月間集計シート!$M$92:$M$111,$G1533,月間集計シート!Q$92:Q$111)*AH$2</f>
        <v>0</v>
      </c>
      <c r="AI1533" s="88">
        <f>SUMIF(月間集計シート!$M$92:$M$111,$G1533,月間集計シート!R$92:R$111)*AI$2</f>
        <v>0</v>
      </c>
      <c r="AJ1533" s="88">
        <f>SUMIF(月間集計シート!$M$92:$M$111,$G1533,月間集計シート!S$92:S$111)*AJ$2</f>
        <v>0</v>
      </c>
      <c r="AK1533" s="88">
        <f>SUMIF(月間集計シート!$M$92:$M$111,$G1533,月間集計シート!T$92:T$111)*AK$2</f>
        <v>0</v>
      </c>
      <c r="AL1533" s="88">
        <f>SUMIF(月間集計シート!$M$113:$M$132,$G1533,月間集計シート!N$113:N$132)*AL$2</f>
        <v>0</v>
      </c>
      <c r="AM1533" s="88">
        <f>SUMIF(月間集計シート!$M$113:$M$132,$G1533,月間集計シート!O$113:O$132)*AM$2</f>
        <v>0</v>
      </c>
      <c r="AN1533" s="88">
        <f>SUMIF(月間集計シート!$M$113:$M$132,$G1533,月間集計シート!P$113:P$132)*AN$2</f>
        <v>0</v>
      </c>
      <c r="AO1533" s="88">
        <f>SUMIF(月間集計シート!$M$113:$M$132,$G1533,月間集計シート!Q$113:Q$132)*AO$2</f>
        <v>0</v>
      </c>
      <c r="AP1533" s="88">
        <f>SUMIF(月間集計シート!$M$113:$M$132,$G1533,月間集計シート!R$113:R$132)*AP$2</f>
        <v>0</v>
      </c>
      <c r="AQ1533" s="88">
        <f>SUMIF(月間集計シート!$M$113:$M$132,$G1533,月間集計シート!S$113:S$132)*AQ$2</f>
        <v>0</v>
      </c>
      <c r="AR1533" s="88">
        <f>SUMIF(月間集計シート!$M$113:$M$132,$G1533,月間集計シート!T$113:T$132)*AR$2</f>
        <v>0</v>
      </c>
      <c r="AS1533" s="88">
        <f>SUMIF(月間集計シート!$M$134:$M$153,$G1533,月間集計シート!N$134:N$153)*AS$2</f>
        <v>0</v>
      </c>
      <c r="AT1533" s="88">
        <f>SUMIF(月間集計シート!$M$134:$M$153,$G1533,月間集計シート!O$134:O$153)*AT$2</f>
        <v>0</v>
      </c>
      <c r="AU1533" s="88">
        <f>SUMIF(月間集計シート!$M$134:$M$153,$G1533,月間集計シート!P$134:P$153)*AU$2</f>
        <v>0</v>
      </c>
      <c r="AV1533" s="88">
        <f>SUMIF(月間集計シート!$M$134:$M$153,$G1533,月間集計シート!Q$134:Q$153)*AV$2</f>
        <v>0</v>
      </c>
      <c r="AW1533" s="88">
        <f>SUMIF(月間集計シート!$M$134:$M$153,$G1533,月間集計シート!R$134:R$153)*AW$2</f>
        <v>0</v>
      </c>
      <c r="AX1533" s="88">
        <f>SUMIF(月間集計シート!$M$134:$M$153,$G1533,月間集計シート!S$134:S$153)*AX$2</f>
        <v>0</v>
      </c>
      <c r="AY1533" s="88">
        <f>SUMIF(月間集計シート!$M$134:$M$153,$G1533,月間集計シート!T$134:T$153)*AY$2</f>
        <v>0</v>
      </c>
    </row>
    <row r="1534" spans="1:51" ht="14.25" thickBot="1">
      <c r="A1534">
        <v>18</v>
      </c>
      <c r="B1534" s="120">
        <f t="shared" si="841"/>
        <v>0</v>
      </c>
      <c r="C1534" s="120" t="str">
        <f t="shared" si="841"/>
        <v/>
      </c>
      <c r="D1534" s="137"/>
      <c r="E1534" s="150" t="str">
        <f>工種!A81</f>
        <v>99107</v>
      </c>
      <c r="F1534" s="119" t="str">
        <f>工種!B81</f>
        <v>間接業務：事務作業（開発以外）</v>
      </c>
      <c r="G1534" s="116" t="str">
        <f t="shared" ref="G1534:G1535" si="842">B1534&amp;E1534</f>
        <v>099107</v>
      </c>
      <c r="H1534" s="88">
        <f t="shared" ref="H1534:H1535" si="843">SUM(J1534:AY1534)</f>
        <v>0</v>
      </c>
      <c r="I1534" s="132"/>
      <c r="J1534" s="88">
        <f>SUMIF(月間集計シート!$M$29:$M$48,$G1534,月間集計シート!N$29:N$48)*J$2</f>
        <v>0</v>
      </c>
      <c r="K1534" s="88">
        <f>SUMIF(月間集計シート!$M$29:$M$48,$G1534,月間集計シート!O$29:O$48)*K$2</f>
        <v>0</v>
      </c>
      <c r="L1534" s="88">
        <f>SUMIF(月間集計シート!$M$29:$M$48,$G1534,月間集計シート!P$29:P$48)*L$2</f>
        <v>0</v>
      </c>
      <c r="M1534" s="88">
        <f>SUMIF(月間集計シート!$M$29:$M$48,$G1534,月間集計シート!Q$29:Q$48)*M$2</f>
        <v>0</v>
      </c>
      <c r="N1534" s="88">
        <f>SUMIF(月間集計シート!$M$29:$M$48,$G1534,月間集計シート!R$29:R$48)*N$2</f>
        <v>0</v>
      </c>
      <c r="O1534" s="88">
        <f>SUMIF(月間集計シート!$M$29:$M$48,$G1534,月間集計シート!S$29:S$48)*O$2</f>
        <v>0</v>
      </c>
      <c r="P1534" s="88">
        <f>SUMIF(月間集計シート!$M$29:$M$48,$G1534,月間集計シート!T$29:T$48)*P$2</f>
        <v>0</v>
      </c>
      <c r="Q1534" s="88">
        <f>SUMIF(月間集計シート!$M$50:$M$69,$G1534,月間集計シート!N$50:N$69)*Q$2</f>
        <v>0</v>
      </c>
      <c r="R1534" s="88">
        <f>SUMIF(月間集計シート!$M$50:$M$69,$G1534,月間集計シート!O$50:O$69)*R$2</f>
        <v>0</v>
      </c>
      <c r="S1534" s="88">
        <f>SUMIF(月間集計シート!$M$50:$M$69,$G1534,月間集計シート!P$50:P$69)*S$2</f>
        <v>0</v>
      </c>
      <c r="T1534" s="88">
        <f>SUMIF(月間集計シート!$M$50:$M$69,$G1534,月間集計シート!Q$50:Q$69)*T$2</f>
        <v>0</v>
      </c>
      <c r="U1534" s="88">
        <f>SUMIF(月間集計シート!$M$50:$M$69,$G1534,月間集計シート!R$50:R$69)*U$2</f>
        <v>0</v>
      </c>
      <c r="V1534" s="88">
        <f>SUMIF(月間集計シート!$M$50:$M$69,$G1534,月間集計シート!S$50:S$69)*V$2</f>
        <v>0</v>
      </c>
      <c r="W1534" s="88">
        <f>SUMIF(月間集計シート!$M$50:$M$69,$G1534,月間集計シート!T$50:T$69)*W$2</f>
        <v>0</v>
      </c>
      <c r="X1534" s="88">
        <f>SUMIF(月間集計シート!$M$71:$M$90,$G1534,月間集計シート!N$71:N$90)*X$2</f>
        <v>0</v>
      </c>
      <c r="Y1534" s="88">
        <f>SUMIF(月間集計シート!$M$71:$M$90,$G1534,月間集計シート!O$71:O$90)*Y$2</f>
        <v>0</v>
      </c>
      <c r="Z1534" s="88">
        <f>SUMIF(月間集計シート!$M$71:$M$90,$G1534,月間集計シート!P$71:P$90)*Z$2</f>
        <v>0</v>
      </c>
      <c r="AA1534" s="88">
        <f>SUMIF(月間集計シート!$M$71:$M$90,$G1534,月間集計シート!Q$71:Q$90)*AA$2</f>
        <v>0</v>
      </c>
      <c r="AB1534" s="88">
        <f>SUMIF(月間集計シート!$M$71:$M$90,$G1534,月間集計シート!R$71:R$90)*AB$2</f>
        <v>0</v>
      </c>
      <c r="AC1534" s="88">
        <f>SUMIF(月間集計シート!$M$71:$M$90,$G1534,月間集計シート!S$71:S$90)*AC$2</f>
        <v>0</v>
      </c>
      <c r="AD1534" s="88">
        <f>SUMIF(月間集計シート!$M$71:$M$90,$G1534,月間集計シート!T$71:T$90)*AD$2</f>
        <v>0</v>
      </c>
      <c r="AE1534" s="88">
        <f>SUMIF(月間集計シート!$M$92:$M$111,$G1534,月間集計シート!N$92:N$111)*AE$2</f>
        <v>0</v>
      </c>
      <c r="AF1534" s="88">
        <f>SUMIF(月間集計シート!$M$92:$M$111,$G1534,月間集計シート!O$92:O$111)*AF$2</f>
        <v>0</v>
      </c>
      <c r="AG1534" s="88">
        <f>SUMIF(月間集計シート!$M$92:$M$111,$G1534,月間集計シート!P$92:P$111)*AG$2</f>
        <v>0</v>
      </c>
      <c r="AH1534" s="88">
        <f>SUMIF(月間集計シート!$M$92:$M$111,$G1534,月間集計シート!Q$92:Q$111)*AH$2</f>
        <v>0</v>
      </c>
      <c r="AI1534" s="88">
        <f>SUMIF(月間集計シート!$M$92:$M$111,$G1534,月間集計シート!R$92:R$111)*AI$2</f>
        <v>0</v>
      </c>
      <c r="AJ1534" s="88">
        <f>SUMIF(月間集計シート!$M$92:$M$111,$G1534,月間集計シート!S$92:S$111)*AJ$2</f>
        <v>0</v>
      </c>
      <c r="AK1534" s="88">
        <f>SUMIF(月間集計シート!$M$92:$M$111,$G1534,月間集計シート!T$92:T$111)*AK$2</f>
        <v>0</v>
      </c>
      <c r="AL1534" s="88">
        <f>SUMIF(月間集計シート!$M$113:$M$132,$G1534,月間集計シート!N$113:N$132)*AL$2</f>
        <v>0</v>
      </c>
      <c r="AM1534" s="88">
        <f>SUMIF(月間集計シート!$M$113:$M$132,$G1534,月間集計シート!O$113:O$132)*AM$2</f>
        <v>0</v>
      </c>
      <c r="AN1534" s="88">
        <f>SUMIF(月間集計シート!$M$113:$M$132,$G1534,月間集計シート!P$113:P$132)*AN$2</f>
        <v>0</v>
      </c>
      <c r="AO1534" s="88">
        <f>SUMIF(月間集計シート!$M$113:$M$132,$G1534,月間集計シート!Q$113:Q$132)*AO$2</f>
        <v>0</v>
      </c>
      <c r="AP1534" s="88">
        <f>SUMIF(月間集計シート!$M$113:$M$132,$G1534,月間集計シート!R$113:R$132)*AP$2</f>
        <v>0</v>
      </c>
      <c r="AQ1534" s="88">
        <f>SUMIF(月間集計シート!$M$113:$M$132,$G1534,月間集計シート!S$113:S$132)*AQ$2</f>
        <v>0</v>
      </c>
      <c r="AR1534" s="88">
        <f>SUMIF(月間集計シート!$M$113:$M$132,$G1534,月間集計シート!T$113:T$132)*AR$2</f>
        <v>0</v>
      </c>
      <c r="AS1534" s="88">
        <f>SUMIF(月間集計シート!$M$134:$M$153,$G1534,月間集計シート!N$134:N$153)*AS$2</f>
        <v>0</v>
      </c>
      <c r="AT1534" s="88">
        <f>SUMIF(月間集計シート!$M$134:$M$153,$G1534,月間集計シート!O$134:O$153)*AT$2</f>
        <v>0</v>
      </c>
      <c r="AU1534" s="88">
        <f>SUMIF(月間集計シート!$M$134:$M$153,$G1534,月間集計シート!P$134:P$153)*AU$2</f>
        <v>0</v>
      </c>
      <c r="AV1534" s="88">
        <f>SUMIF(月間集計シート!$M$134:$M$153,$G1534,月間集計シート!Q$134:Q$153)*AV$2</f>
        <v>0</v>
      </c>
      <c r="AW1534" s="88">
        <f>SUMIF(月間集計シート!$M$134:$M$153,$G1534,月間集計シート!R$134:R$153)*AW$2</f>
        <v>0</v>
      </c>
      <c r="AX1534" s="88">
        <f>SUMIF(月間集計シート!$M$134:$M$153,$G1534,月間集計シート!S$134:S$153)*AX$2</f>
        <v>0</v>
      </c>
      <c r="AY1534" s="88">
        <f>SUMIF(月間集計シート!$M$134:$M$153,$G1534,月間集計シート!T$134:T$153)*AY$2</f>
        <v>0</v>
      </c>
    </row>
    <row r="1535" spans="1:51" ht="14.25" thickBot="1">
      <c r="A1535">
        <v>18</v>
      </c>
      <c r="B1535" s="120">
        <f t="shared" si="841"/>
        <v>0</v>
      </c>
      <c r="C1535" s="120" t="str">
        <f t="shared" si="841"/>
        <v/>
      </c>
      <c r="D1535" s="137"/>
      <c r="E1535" s="150" t="str">
        <f>工種!A82</f>
        <v>99110</v>
      </c>
      <c r="F1535" s="119" t="str">
        <f>工種!B82</f>
        <v>間接業務：打合せ</v>
      </c>
      <c r="G1535" s="116" t="str">
        <f t="shared" si="842"/>
        <v>099110</v>
      </c>
      <c r="H1535" s="88">
        <f t="shared" si="843"/>
        <v>0</v>
      </c>
      <c r="I1535" s="132"/>
      <c r="J1535" s="88">
        <f>SUMIF(月間集計シート!$M$29:$M$48,$G1535,月間集計シート!N$29:N$48)*J$2</f>
        <v>0</v>
      </c>
      <c r="K1535" s="88">
        <f>SUMIF(月間集計シート!$M$29:$M$48,$G1535,月間集計シート!O$29:O$48)*K$2</f>
        <v>0</v>
      </c>
      <c r="L1535" s="88">
        <f>SUMIF(月間集計シート!$M$29:$M$48,$G1535,月間集計シート!P$29:P$48)*L$2</f>
        <v>0</v>
      </c>
      <c r="M1535" s="88">
        <f>SUMIF(月間集計シート!$M$29:$M$48,$G1535,月間集計シート!Q$29:Q$48)*M$2</f>
        <v>0</v>
      </c>
      <c r="N1535" s="88">
        <f>SUMIF(月間集計シート!$M$29:$M$48,$G1535,月間集計シート!R$29:R$48)*N$2</f>
        <v>0</v>
      </c>
      <c r="O1535" s="88">
        <f>SUMIF(月間集計シート!$M$29:$M$48,$G1535,月間集計シート!S$29:S$48)*O$2</f>
        <v>0</v>
      </c>
      <c r="P1535" s="88">
        <f>SUMIF(月間集計シート!$M$29:$M$48,$G1535,月間集計シート!T$29:T$48)*P$2</f>
        <v>0</v>
      </c>
      <c r="Q1535" s="88">
        <f>SUMIF(月間集計シート!$M$50:$M$69,$G1535,月間集計シート!N$50:N$69)*Q$2</f>
        <v>0</v>
      </c>
      <c r="R1535" s="88">
        <f>SUMIF(月間集計シート!$M$50:$M$69,$G1535,月間集計シート!O$50:O$69)*R$2</f>
        <v>0</v>
      </c>
      <c r="S1535" s="88">
        <f>SUMIF(月間集計シート!$M$50:$M$69,$G1535,月間集計シート!P$50:P$69)*S$2</f>
        <v>0</v>
      </c>
      <c r="T1535" s="88">
        <f>SUMIF(月間集計シート!$M$50:$M$69,$G1535,月間集計シート!Q$50:Q$69)*T$2</f>
        <v>0</v>
      </c>
      <c r="U1535" s="88">
        <f>SUMIF(月間集計シート!$M$50:$M$69,$G1535,月間集計シート!R$50:R$69)*U$2</f>
        <v>0</v>
      </c>
      <c r="V1535" s="88">
        <f>SUMIF(月間集計シート!$M$50:$M$69,$G1535,月間集計シート!S$50:S$69)*V$2</f>
        <v>0</v>
      </c>
      <c r="W1535" s="88">
        <f>SUMIF(月間集計シート!$M$50:$M$69,$G1535,月間集計シート!T$50:T$69)*W$2</f>
        <v>0</v>
      </c>
      <c r="X1535" s="88">
        <f>SUMIF(月間集計シート!$M$71:$M$90,$G1535,月間集計シート!N$71:N$90)*X$2</f>
        <v>0</v>
      </c>
      <c r="Y1535" s="88">
        <f>SUMIF(月間集計シート!$M$71:$M$90,$G1535,月間集計シート!O$71:O$90)*Y$2</f>
        <v>0</v>
      </c>
      <c r="Z1535" s="88">
        <f>SUMIF(月間集計シート!$M$71:$M$90,$G1535,月間集計シート!P$71:P$90)*Z$2</f>
        <v>0</v>
      </c>
      <c r="AA1535" s="88">
        <f>SUMIF(月間集計シート!$M$71:$M$90,$G1535,月間集計シート!Q$71:Q$90)*AA$2</f>
        <v>0</v>
      </c>
      <c r="AB1535" s="88">
        <f>SUMIF(月間集計シート!$M$71:$M$90,$G1535,月間集計シート!R$71:R$90)*AB$2</f>
        <v>0</v>
      </c>
      <c r="AC1535" s="88">
        <f>SUMIF(月間集計シート!$M$71:$M$90,$G1535,月間集計シート!S$71:S$90)*AC$2</f>
        <v>0</v>
      </c>
      <c r="AD1535" s="88">
        <f>SUMIF(月間集計シート!$M$71:$M$90,$G1535,月間集計シート!T$71:T$90)*AD$2</f>
        <v>0</v>
      </c>
      <c r="AE1535" s="88">
        <f>SUMIF(月間集計シート!$M$92:$M$111,$G1535,月間集計シート!N$92:N$111)*AE$2</f>
        <v>0</v>
      </c>
      <c r="AF1535" s="88">
        <f>SUMIF(月間集計シート!$M$92:$M$111,$G1535,月間集計シート!O$92:O$111)*AF$2</f>
        <v>0</v>
      </c>
      <c r="AG1535" s="88">
        <f>SUMIF(月間集計シート!$M$92:$M$111,$G1535,月間集計シート!P$92:P$111)*AG$2</f>
        <v>0</v>
      </c>
      <c r="AH1535" s="88">
        <f>SUMIF(月間集計シート!$M$92:$M$111,$G1535,月間集計シート!Q$92:Q$111)*AH$2</f>
        <v>0</v>
      </c>
      <c r="AI1535" s="88">
        <f>SUMIF(月間集計シート!$M$92:$M$111,$G1535,月間集計シート!R$92:R$111)*AI$2</f>
        <v>0</v>
      </c>
      <c r="AJ1535" s="88">
        <f>SUMIF(月間集計シート!$M$92:$M$111,$G1535,月間集計シート!S$92:S$111)*AJ$2</f>
        <v>0</v>
      </c>
      <c r="AK1535" s="88">
        <f>SUMIF(月間集計シート!$M$92:$M$111,$G1535,月間集計シート!T$92:T$111)*AK$2</f>
        <v>0</v>
      </c>
      <c r="AL1535" s="88">
        <f>SUMIF(月間集計シート!$M$113:$M$132,$G1535,月間集計シート!N$113:N$132)*AL$2</f>
        <v>0</v>
      </c>
      <c r="AM1535" s="88">
        <f>SUMIF(月間集計シート!$M$113:$M$132,$G1535,月間集計シート!O$113:O$132)*AM$2</f>
        <v>0</v>
      </c>
      <c r="AN1535" s="88">
        <f>SUMIF(月間集計シート!$M$113:$M$132,$G1535,月間集計シート!P$113:P$132)*AN$2</f>
        <v>0</v>
      </c>
      <c r="AO1535" s="88">
        <f>SUMIF(月間集計シート!$M$113:$M$132,$G1535,月間集計シート!Q$113:Q$132)*AO$2</f>
        <v>0</v>
      </c>
      <c r="AP1535" s="88">
        <f>SUMIF(月間集計シート!$M$113:$M$132,$G1535,月間集計シート!R$113:R$132)*AP$2</f>
        <v>0</v>
      </c>
      <c r="AQ1535" s="88">
        <f>SUMIF(月間集計シート!$M$113:$M$132,$G1535,月間集計シート!S$113:S$132)*AQ$2</f>
        <v>0</v>
      </c>
      <c r="AR1535" s="88">
        <f>SUMIF(月間集計シート!$M$113:$M$132,$G1535,月間集計シート!T$113:T$132)*AR$2</f>
        <v>0</v>
      </c>
      <c r="AS1535" s="88">
        <f>SUMIF(月間集計シート!$M$134:$M$153,$G1535,月間集計シート!N$134:N$153)*AS$2</f>
        <v>0</v>
      </c>
      <c r="AT1535" s="88">
        <f>SUMIF(月間集計シート!$M$134:$M$153,$G1535,月間集計シート!O$134:O$153)*AT$2</f>
        <v>0</v>
      </c>
      <c r="AU1535" s="88">
        <f>SUMIF(月間集計シート!$M$134:$M$153,$G1535,月間集計シート!P$134:P$153)*AU$2</f>
        <v>0</v>
      </c>
      <c r="AV1535" s="88">
        <f>SUMIF(月間集計シート!$M$134:$M$153,$G1535,月間集計シート!Q$134:Q$153)*AV$2</f>
        <v>0</v>
      </c>
      <c r="AW1535" s="88">
        <f>SUMIF(月間集計シート!$M$134:$M$153,$G1535,月間集計シート!R$134:R$153)*AW$2</f>
        <v>0</v>
      </c>
      <c r="AX1535" s="88">
        <f>SUMIF(月間集計シート!$M$134:$M$153,$G1535,月間集計シート!S$134:S$153)*AX$2</f>
        <v>0</v>
      </c>
      <c r="AY1535" s="88">
        <f>SUMIF(月間集計シート!$M$134:$M$153,$G1535,月間集計シート!T$134:T$153)*AY$2</f>
        <v>0</v>
      </c>
    </row>
    <row r="1536" spans="1:51" ht="14.25" thickBot="1">
      <c r="A1536">
        <v>18</v>
      </c>
      <c r="B1536" s="120">
        <f t="shared" si="841"/>
        <v>0</v>
      </c>
      <c r="C1536" s="120" t="str">
        <f t="shared" si="841"/>
        <v/>
      </c>
      <c r="D1536" s="137"/>
      <c r="E1536" s="150" t="str">
        <f>工種!A83</f>
        <v>99199</v>
      </c>
      <c r="F1536" s="119" t="str">
        <f>工種!B83</f>
        <v>間接業務：その他</v>
      </c>
      <c r="G1536" s="116" t="str">
        <f t="shared" si="837"/>
        <v>099199</v>
      </c>
      <c r="H1536" s="88">
        <f t="shared" si="791"/>
        <v>0</v>
      </c>
      <c r="I1536" s="132"/>
      <c r="J1536" s="88">
        <f>SUMIF(月間集計シート!$M$29:$M$48,$G1536,月間集計シート!N$29:N$48)*J$2</f>
        <v>0</v>
      </c>
      <c r="K1536" s="88">
        <f>SUMIF(月間集計シート!$M$29:$M$48,$G1536,月間集計シート!O$29:O$48)*K$2</f>
        <v>0</v>
      </c>
      <c r="L1536" s="88">
        <f>SUMIF(月間集計シート!$M$29:$M$48,$G1536,月間集計シート!P$29:P$48)*L$2</f>
        <v>0</v>
      </c>
      <c r="M1536" s="88">
        <f>SUMIF(月間集計シート!$M$29:$M$48,$G1536,月間集計シート!Q$29:Q$48)*M$2</f>
        <v>0</v>
      </c>
      <c r="N1536" s="88">
        <f>SUMIF(月間集計シート!$M$29:$M$48,$G1536,月間集計シート!R$29:R$48)*N$2</f>
        <v>0</v>
      </c>
      <c r="O1536" s="88">
        <f>SUMIF(月間集計シート!$M$29:$M$48,$G1536,月間集計シート!S$29:S$48)*O$2</f>
        <v>0</v>
      </c>
      <c r="P1536" s="88">
        <f>SUMIF(月間集計シート!$M$29:$M$48,$G1536,月間集計シート!T$29:T$48)*P$2</f>
        <v>0</v>
      </c>
      <c r="Q1536" s="88">
        <f>SUMIF(月間集計シート!$M$50:$M$69,$G1536,月間集計シート!N$50:N$69)*Q$2</f>
        <v>0</v>
      </c>
      <c r="R1536" s="88">
        <f>SUMIF(月間集計シート!$M$50:$M$69,$G1536,月間集計シート!O$50:O$69)*R$2</f>
        <v>0</v>
      </c>
      <c r="S1536" s="88">
        <f>SUMIF(月間集計シート!$M$50:$M$69,$G1536,月間集計シート!P$50:P$69)*S$2</f>
        <v>0</v>
      </c>
      <c r="T1536" s="88">
        <f>SUMIF(月間集計シート!$M$50:$M$69,$G1536,月間集計シート!Q$50:Q$69)*T$2</f>
        <v>0</v>
      </c>
      <c r="U1536" s="88">
        <f>SUMIF(月間集計シート!$M$50:$M$69,$G1536,月間集計シート!R$50:R$69)*U$2</f>
        <v>0</v>
      </c>
      <c r="V1536" s="88">
        <f>SUMIF(月間集計シート!$M$50:$M$69,$G1536,月間集計シート!S$50:S$69)*V$2</f>
        <v>0</v>
      </c>
      <c r="W1536" s="88">
        <f>SUMIF(月間集計シート!$M$50:$M$69,$G1536,月間集計シート!T$50:T$69)*W$2</f>
        <v>0</v>
      </c>
      <c r="X1536" s="88">
        <f>SUMIF(月間集計シート!$M$71:$M$90,$G1536,月間集計シート!N$71:N$90)*X$2</f>
        <v>0</v>
      </c>
      <c r="Y1536" s="88">
        <f>SUMIF(月間集計シート!$M$71:$M$90,$G1536,月間集計シート!O$71:O$90)*Y$2</f>
        <v>0</v>
      </c>
      <c r="Z1536" s="88">
        <f>SUMIF(月間集計シート!$M$71:$M$90,$G1536,月間集計シート!P$71:P$90)*Z$2</f>
        <v>0</v>
      </c>
      <c r="AA1536" s="88">
        <f>SUMIF(月間集計シート!$M$71:$M$90,$G1536,月間集計シート!Q$71:Q$90)*AA$2</f>
        <v>0</v>
      </c>
      <c r="AB1536" s="88">
        <f>SUMIF(月間集計シート!$M$71:$M$90,$G1536,月間集計シート!R$71:R$90)*AB$2</f>
        <v>0</v>
      </c>
      <c r="AC1536" s="88">
        <f>SUMIF(月間集計シート!$M$71:$M$90,$G1536,月間集計シート!S$71:S$90)*AC$2</f>
        <v>0</v>
      </c>
      <c r="AD1536" s="88">
        <f>SUMIF(月間集計シート!$M$71:$M$90,$G1536,月間集計シート!T$71:T$90)*AD$2</f>
        <v>0</v>
      </c>
      <c r="AE1536" s="88">
        <f>SUMIF(月間集計シート!$M$92:$M$111,$G1536,月間集計シート!N$92:N$111)*AE$2</f>
        <v>0</v>
      </c>
      <c r="AF1536" s="88">
        <f>SUMIF(月間集計シート!$M$92:$M$111,$G1536,月間集計シート!O$92:O$111)*AF$2</f>
        <v>0</v>
      </c>
      <c r="AG1536" s="88">
        <f>SUMIF(月間集計シート!$M$92:$M$111,$G1536,月間集計シート!P$92:P$111)*AG$2</f>
        <v>0</v>
      </c>
      <c r="AH1536" s="88">
        <f>SUMIF(月間集計シート!$M$92:$M$111,$G1536,月間集計シート!Q$92:Q$111)*AH$2</f>
        <v>0</v>
      </c>
      <c r="AI1536" s="88">
        <f>SUMIF(月間集計シート!$M$92:$M$111,$G1536,月間集計シート!R$92:R$111)*AI$2</f>
        <v>0</v>
      </c>
      <c r="AJ1536" s="88">
        <f>SUMIF(月間集計シート!$M$92:$M$111,$G1536,月間集計シート!S$92:S$111)*AJ$2</f>
        <v>0</v>
      </c>
      <c r="AK1536" s="88">
        <f>SUMIF(月間集計シート!$M$92:$M$111,$G1536,月間集計シート!T$92:T$111)*AK$2</f>
        <v>0</v>
      </c>
      <c r="AL1536" s="88">
        <f>SUMIF(月間集計シート!$M$113:$M$132,$G1536,月間集計シート!N$113:N$132)*AL$2</f>
        <v>0</v>
      </c>
      <c r="AM1536" s="88">
        <f>SUMIF(月間集計シート!$M$113:$M$132,$G1536,月間集計シート!O$113:O$132)*AM$2</f>
        <v>0</v>
      </c>
      <c r="AN1536" s="88">
        <f>SUMIF(月間集計シート!$M$113:$M$132,$G1536,月間集計シート!P$113:P$132)*AN$2</f>
        <v>0</v>
      </c>
      <c r="AO1536" s="88">
        <f>SUMIF(月間集計シート!$M$113:$M$132,$G1536,月間集計シート!Q$113:Q$132)*AO$2</f>
        <v>0</v>
      </c>
      <c r="AP1536" s="88">
        <f>SUMIF(月間集計シート!$M$113:$M$132,$G1536,月間集計シート!R$113:R$132)*AP$2</f>
        <v>0</v>
      </c>
      <c r="AQ1536" s="88">
        <f>SUMIF(月間集計シート!$M$113:$M$132,$G1536,月間集計シート!S$113:S$132)*AQ$2</f>
        <v>0</v>
      </c>
      <c r="AR1536" s="88">
        <f>SUMIF(月間集計シート!$M$113:$M$132,$G1536,月間集計シート!T$113:T$132)*AR$2</f>
        <v>0</v>
      </c>
      <c r="AS1536" s="88">
        <f>SUMIF(月間集計シート!$M$134:$M$153,$G1536,月間集計シート!N$134:N$153)*AS$2</f>
        <v>0</v>
      </c>
      <c r="AT1536" s="88">
        <f>SUMIF(月間集計シート!$M$134:$M$153,$G1536,月間集計シート!O$134:O$153)*AT$2</f>
        <v>0</v>
      </c>
      <c r="AU1536" s="88">
        <f>SUMIF(月間集計シート!$M$134:$M$153,$G1536,月間集計シート!P$134:P$153)*AU$2</f>
        <v>0</v>
      </c>
      <c r="AV1536" s="88">
        <f>SUMIF(月間集計シート!$M$134:$M$153,$G1536,月間集計シート!Q$134:Q$153)*AV$2</f>
        <v>0</v>
      </c>
      <c r="AW1536" s="88">
        <f>SUMIF(月間集計シート!$M$134:$M$153,$G1536,月間集計シート!R$134:R$153)*AW$2</f>
        <v>0</v>
      </c>
      <c r="AX1536" s="88">
        <f>SUMIF(月間集計シート!$M$134:$M$153,$G1536,月間集計シート!S$134:S$153)*AX$2</f>
        <v>0</v>
      </c>
      <c r="AY1536" s="88">
        <f>SUMIF(月間集計シート!$M$134:$M$153,$G1536,月間集計シート!T$134:T$153)*AY$2</f>
        <v>0</v>
      </c>
    </row>
    <row r="1537" spans="1:51">
      <c r="B1537" s="120"/>
      <c r="C1537" s="120"/>
      <c r="D1537" s="127"/>
      <c r="E1537" s="115"/>
      <c r="F1537" s="119"/>
      <c r="G1537" s="116"/>
      <c r="H1537" s="88"/>
      <c r="I1537" s="132"/>
      <c r="J1537" s="88"/>
      <c r="K1537" s="88"/>
      <c r="L1537" s="88"/>
      <c r="M1537" s="88"/>
      <c r="N1537" s="88"/>
      <c r="O1537" s="88"/>
      <c r="P1537" s="88"/>
      <c r="Q1537" s="88"/>
      <c r="R1537" s="88"/>
      <c r="S1537" s="88"/>
      <c r="T1537" s="88"/>
      <c r="U1537" s="88"/>
      <c r="V1537" s="88"/>
      <c r="W1537" s="88"/>
      <c r="X1537" s="88"/>
      <c r="Y1537" s="88"/>
      <c r="Z1537" s="88"/>
      <c r="AA1537" s="88"/>
      <c r="AB1537" s="88"/>
      <c r="AC1537" s="88"/>
      <c r="AD1537" s="88"/>
      <c r="AE1537" s="88"/>
      <c r="AF1537" s="88"/>
      <c r="AG1537" s="88"/>
      <c r="AH1537" s="88"/>
      <c r="AI1537" s="88"/>
      <c r="AJ1537" s="88"/>
      <c r="AK1537" s="88"/>
      <c r="AL1537" s="88"/>
      <c r="AM1537" s="88"/>
      <c r="AN1537" s="88"/>
      <c r="AO1537" s="88"/>
      <c r="AP1537" s="88"/>
      <c r="AQ1537" s="88"/>
      <c r="AR1537" s="88"/>
      <c r="AS1537" s="88"/>
      <c r="AT1537" s="88"/>
      <c r="AU1537" s="88"/>
      <c r="AV1537" s="88"/>
      <c r="AW1537" s="88"/>
      <c r="AX1537" s="88"/>
      <c r="AY1537" s="88"/>
    </row>
    <row r="1538" spans="1:51" ht="14.25" thickBot="1">
      <c r="A1538">
        <v>19</v>
      </c>
      <c r="B1538">
        <f>月間集計シート!I22</f>
        <v>0</v>
      </c>
      <c r="C1538" s="116" t="str">
        <f>月間集計シート!J22</f>
        <v/>
      </c>
      <c r="D1538" s="147">
        <v>1</v>
      </c>
      <c r="E1538" s="149" t="s">
        <v>451</v>
      </c>
      <c r="F1538" s="119" t="s">
        <v>29</v>
      </c>
      <c r="G1538" s="116"/>
      <c r="H1538" s="88">
        <f t="shared" ref="H1538:H1621" si="844">SUM(J1538:AY1538)</f>
        <v>0</v>
      </c>
      <c r="I1538" s="132"/>
      <c r="J1538" s="88">
        <f>SUM(J1540:J1621)</f>
        <v>0</v>
      </c>
      <c r="K1538" s="88">
        <f t="shared" ref="K1538:AY1538" si="845">SUM(K1540:K1621)</f>
        <v>0</v>
      </c>
      <c r="L1538" s="88">
        <f t="shared" si="845"/>
        <v>0</v>
      </c>
      <c r="M1538" s="88">
        <f t="shared" si="845"/>
        <v>0</v>
      </c>
      <c r="N1538" s="88">
        <f t="shared" si="845"/>
        <v>0</v>
      </c>
      <c r="O1538" s="88">
        <f t="shared" si="845"/>
        <v>0</v>
      </c>
      <c r="P1538" s="88">
        <f t="shared" si="845"/>
        <v>0</v>
      </c>
      <c r="Q1538" s="88">
        <f t="shared" si="845"/>
        <v>0</v>
      </c>
      <c r="R1538" s="88">
        <f t="shared" si="845"/>
        <v>0</v>
      </c>
      <c r="S1538" s="88">
        <f t="shared" si="845"/>
        <v>0</v>
      </c>
      <c r="T1538" s="88">
        <f t="shared" si="845"/>
        <v>0</v>
      </c>
      <c r="U1538" s="88">
        <f t="shared" si="845"/>
        <v>0</v>
      </c>
      <c r="V1538" s="88">
        <f t="shared" si="845"/>
        <v>0</v>
      </c>
      <c r="W1538" s="88">
        <f t="shared" si="845"/>
        <v>0</v>
      </c>
      <c r="X1538" s="88">
        <f t="shared" si="845"/>
        <v>0</v>
      </c>
      <c r="Y1538" s="88">
        <f t="shared" si="845"/>
        <v>0</v>
      </c>
      <c r="Z1538" s="88">
        <f t="shared" si="845"/>
        <v>0</v>
      </c>
      <c r="AA1538" s="88">
        <f t="shared" si="845"/>
        <v>0</v>
      </c>
      <c r="AB1538" s="88">
        <f t="shared" si="845"/>
        <v>0</v>
      </c>
      <c r="AC1538" s="88">
        <f t="shared" si="845"/>
        <v>0</v>
      </c>
      <c r="AD1538" s="88">
        <f t="shared" si="845"/>
        <v>0</v>
      </c>
      <c r="AE1538" s="88">
        <f t="shared" si="845"/>
        <v>0</v>
      </c>
      <c r="AF1538" s="88">
        <f t="shared" si="845"/>
        <v>0</v>
      </c>
      <c r="AG1538" s="88">
        <f t="shared" si="845"/>
        <v>0</v>
      </c>
      <c r="AH1538" s="88">
        <f t="shared" si="845"/>
        <v>0</v>
      </c>
      <c r="AI1538" s="88">
        <f t="shared" si="845"/>
        <v>0</v>
      </c>
      <c r="AJ1538" s="88">
        <f t="shared" si="845"/>
        <v>0</v>
      </c>
      <c r="AK1538" s="88">
        <f t="shared" si="845"/>
        <v>0</v>
      </c>
      <c r="AL1538" s="88">
        <f t="shared" si="845"/>
        <v>0</v>
      </c>
      <c r="AM1538" s="88">
        <f t="shared" si="845"/>
        <v>0</v>
      </c>
      <c r="AN1538" s="88">
        <f t="shared" si="845"/>
        <v>0</v>
      </c>
      <c r="AO1538" s="88">
        <f t="shared" si="845"/>
        <v>0</v>
      </c>
      <c r="AP1538" s="88">
        <f t="shared" si="845"/>
        <v>0</v>
      </c>
      <c r="AQ1538" s="88">
        <f t="shared" si="845"/>
        <v>0</v>
      </c>
      <c r="AR1538" s="88">
        <f t="shared" si="845"/>
        <v>0</v>
      </c>
      <c r="AS1538" s="88">
        <f t="shared" si="845"/>
        <v>0</v>
      </c>
      <c r="AT1538" s="88">
        <f t="shared" si="845"/>
        <v>0</v>
      </c>
      <c r="AU1538" s="88">
        <f t="shared" si="845"/>
        <v>0</v>
      </c>
      <c r="AV1538" s="88">
        <f t="shared" si="845"/>
        <v>0</v>
      </c>
      <c r="AW1538" s="88">
        <f t="shared" si="845"/>
        <v>0</v>
      </c>
      <c r="AX1538" s="88">
        <f t="shared" si="845"/>
        <v>0</v>
      </c>
      <c r="AY1538" s="88">
        <f t="shared" si="845"/>
        <v>0</v>
      </c>
    </row>
    <row r="1539" spans="1:51" ht="14.25" customHeight="1" thickBot="1">
      <c r="A1539">
        <v>19</v>
      </c>
      <c r="B1539">
        <f>B1538</f>
        <v>0</v>
      </c>
      <c r="C1539" s="116" t="str">
        <f>C1538</f>
        <v/>
      </c>
      <c r="D1539" s="147">
        <v>1</v>
      </c>
      <c r="E1539" s="149" t="s">
        <v>453</v>
      </c>
      <c r="F1539" s="119" t="s">
        <v>454</v>
      </c>
      <c r="G1539" s="116"/>
      <c r="H1539" s="129">
        <f t="shared" ref="H1539" si="846">SUM(J1539:AY1539)</f>
        <v>0</v>
      </c>
      <c r="I1539" s="132"/>
      <c r="J1539" s="88">
        <f>SUMIF($D1540:$D1621,1,J1540:J1621)</f>
        <v>0</v>
      </c>
      <c r="K1539" s="88">
        <f t="shared" ref="K1539" si="847">SUMIF($D1540:$D1621,1,K1540:K1621)</f>
        <v>0</v>
      </c>
      <c r="L1539" s="88">
        <f t="shared" ref="L1539" si="848">SUMIF($D1540:$D1621,1,L1540:L1621)</f>
        <v>0</v>
      </c>
      <c r="M1539" s="88">
        <f t="shared" ref="M1539" si="849">SUMIF($D1540:$D1621,1,M1540:M1621)</f>
        <v>0</v>
      </c>
      <c r="N1539" s="88">
        <f t="shared" ref="N1539" si="850">SUMIF($D1540:$D1621,1,N1540:N1621)</f>
        <v>0</v>
      </c>
      <c r="O1539" s="88">
        <f t="shared" ref="O1539" si="851">SUMIF($D1540:$D1621,1,O1540:O1621)</f>
        <v>0</v>
      </c>
      <c r="P1539" s="88">
        <f t="shared" ref="P1539" si="852">SUMIF($D1540:$D1621,1,P1540:P1621)</f>
        <v>0</v>
      </c>
      <c r="Q1539" s="88">
        <f t="shared" ref="Q1539" si="853">SUMIF($D1540:$D1621,1,Q1540:Q1621)</f>
        <v>0</v>
      </c>
      <c r="R1539" s="88">
        <f t="shared" ref="R1539" si="854">SUMIF($D1540:$D1621,1,R1540:R1621)</f>
        <v>0</v>
      </c>
      <c r="S1539" s="88">
        <f t="shared" ref="S1539" si="855">SUMIF($D1540:$D1621,1,S1540:S1621)</f>
        <v>0</v>
      </c>
      <c r="T1539" s="88">
        <f t="shared" ref="T1539" si="856">SUMIF($D1540:$D1621,1,T1540:T1621)</f>
        <v>0</v>
      </c>
      <c r="U1539" s="88">
        <f t="shared" ref="U1539" si="857">SUMIF($D1540:$D1621,1,U1540:U1621)</f>
        <v>0</v>
      </c>
      <c r="V1539" s="88">
        <f t="shared" ref="V1539" si="858">SUMIF($D1540:$D1621,1,V1540:V1621)</f>
        <v>0</v>
      </c>
      <c r="W1539" s="88">
        <f t="shared" ref="W1539" si="859">SUMIF($D1540:$D1621,1,W1540:W1621)</f>
        <v>0</v>
      </c>
      <c r="X1539" s="88">
        <f t="shared" ref="X1539" si="860">SUMIF($D1540:$D1621,1,X1540:X1621)</f>
        <v>0</v>
      </c>
      <c r="Y1539" s="88">
        <f t="shared" ref="Y1539" si="861">SUMIF($D1540:$D1621,1,Y1540:Y1621)</f>
        <v>0</v>
      </c>
      <c r="Z1539" s="88">
        <f t="shared" ref="Z1539" si="862">SUMIF($D1540:$D1621,1,Z1540:Z1621)</f>
        <v>0</v>
      </c>
      <c r="AA1539" s="88">
        <f t="shared" ref="AA1539" si="863">SUMIF($D1540:$D1621,1,AA1540:AA1621)</f>
        <v>0</v>
      </c>
      <c r="AB1539" s="88">
        <f t="shared" ref="AB1539" si="864">SUMIF($D1540:$D1621,1,AB1540:AB1621)</f>
        <v>0</v>
      </c>
      <c r="AC1539" s="88">
        <f t="shared" ref="AC1539" si="865">SUMIF($D1540:$D1621,1,AC1540:AC1621)</f>
        <v>0</v>
      </c>
      <c r="AD1539" s="88">
        <f t="shared" ref="AD1539" si="866">SUMIF($D1540:$D1621,1,AD1540:AD1621)</f>
        <v>0</v>
      </c>
      <c r="AE1539" s="88">
        <f t="shared" ref="AE1539" si="867">SUMIF($D1540:$D1621,1,AE1540:AE1621)</f>
        <v>0</v>
      </c>
      <c r="AF1539" s="88">
        <f t="shared" ref="AF1539" si="868">SUMIF($D1540:$D1621,1,AF1540:AF1621)</f>
        <v>0</v>
      </c>
      <c r="AG1539" s="88">
        <f t="shared" ref="AG1539" si="869">SUMIF($D1540:$D1621,1,AG1540:AG1621)</f>
        <v>0</v>
      </c>
      <c r="AH1539" s="88">
        <f t="shared" ref="AH1539" si="870">SUMIF($D1540:$D1621,1,AH1540:AH1621)</f>
        <v>0</v>
      </c>
      <c r="AI1539" s="88">
        <f t="shared" ref="AI1539" si="871">SUMIF($D1540:$D1621,1,AI1540:AI1621)</f>
        <v>0</v>
      </c>
      <c r="AJ1539" s="88">
        <f t="shared" ref="AJ1539" si="872">SUMIF($D1540:$D1621,1,AJ1540:AJ1621)</f>
        <v>0</v>
      </c>
      <c r="AK1539" s="88">
        <f t="shared" ref="AK1539" si="873">SUMIF($D1540:$D1621,1,AK1540:AK1621)</f>
        <v>0</v>
      </c>
      <c r="AL1539" s="88">
        <f t="shared" ref="AL1539" si="874">SUMIF($D1540:$D1621,1,AL1540:AL1621)</f>
        <v>0</v>
      </c>
      <c r="AM1539" s="88">
        <f t="shared" ref="AM1539" si="875">SUMIF($D1540:$D1621,1,AM1540:AM1621)</f>
        <v>0</v>
      </c>
      <c r="AN1539" s="88">
        <f t="shared" ref="AN1539" si="876">SUMIF($D1540:$D1621,1,AN1540:AN1621)</f>
        <v>0</v>
      </c>
      <c r="AO1539" s="88">
        <f t="shared" ref="AO1539" si="877">SUMIF($D1540:$D1621,1,AO1540:AO1621)</f>
        <v>0</v>
      </c>
      <c r="AP1539" s="88">
        <f t="shared" ref="AP1539" si="878">SUMIF($D1540:$D1621,1,AP1540:AP1621)</f>
        <v>0</v>
      </c>
      <c r="AQ1539" s="88">
        <f t="shared" ref="AQ1539" si="879">SUMIF($D1540:$D1621,1,AQ1540:AQ1621)</f>
        <v>0</v>
      </c>
      <c r="AR1539" s="88">
        <f t="shared" ref="AR1539" si="880">SUMIF($D1540:$D1621,1,AR1540:AR1621)</f>
        <v>0</v>
      </c>
      <c r="AS1539" s="88">
        <f t="shared" ref="AS1539" si="881">SUMIF($D1540:$D1621,1,AS1540:AS1621)</f>
        <v>0</v>
      </c>
      <c r="AT1539" s="88">
        <f t="shared" ref="AT1539" si="882">SUMIF($D1540:$D1621,1,AT1540:AT1621)</f>
        <v>0</v>
      </c>
      <c r="AU1539" s="88">
        <f t="shared" ref="AU1539" si="883">SUMIF($D1540:$D1621,1,AU1540:AU1621)</f>
        <v>0</v>
      </c>
      <c r="AV1539" s="88">
        <f t="shared" ref="AV1539" si="884">SUMIF($D1540:$D1621,1,AV1540:AV1621)</f>
        <v>0</v>
      </c>
      <c r="AW1539" s="88">
        <f t="shared" ref="AW1539" si="885">SUMIF($D1540:$D1621,1,AW1540:AW1621)</f>
        <v>0</v>
      </c>
      <c r="AX1539" s="88">
        <f t="shared" ref="AX1539" si="886">SUMIF($D1540:$D1621,1,AX1540:AX1621)</f>
        <v>0</v>
      </c>
      <c r="AY1539" s="88">
        <f t="shared" ref="AY1539" si="887">SUMIF($D1540:$D1621,1,AY1540:AY1621)</f>
        <v>0</v>
      </c>
    </row>
    <row r="1540" spans="1:51" ht="14.25" thickBot="1">
      <c r="A1540">
        <v>19</v>
      </c>
      <c r="B1540" s="120">
        <f>B1538</f>
        <v>0</v>
      </c>
      <c r="C1540" s="120" t="str">
        <f>C1538</f>
        <v/>
      </c>
      <c r="D1540" s="137"/>
      <c r="E1540" s="150" t="str">
        <f>工種!A2</f>
        <v>10102</v>
      </c>
      <c r="F1540" s="119" t="str">
        <f>工種!B2</f>
        <v>SRS：調査・分析・開発計画の準備・実施作業</v>
      </c>
      <c r="G1540" s="116" t="str">
        <f t="shared" si="837"/>
        <v>010102</v>
      </c>
      <c r="H1540" s="88">
        <f t="shared" si="844"/>
        <v>0</v>
      </c>
      <c r="I1540" s="132"/>
      <c r="J1540" s="88">
        <f>SUMIF(月間集計シート!$M$29:$M$48,$G1540,月間集計シート!N$29:N$48)*J$2</f>
        <v>0</v>
      </c>
      <c r="K1540" s="88">
        <f>SUMIF(月間集計シート!$M$29:$M$48,$G1540,月間集計シート!O$29:O$48)*K$2</f>
        <v>0</v>
      </c>
      <c r="L1540" s="88">
        <f>SUMIF(月間集計シート!$M$29:$M$48,$G1540,月間集計シート!P$29:P$48)*L$2</f>
        <v>0</v>
      </c>
      <c r="M1540" s="88">
        <f>SUMIF(月間集計シート!$M$29:$M$48,$G1540,月間集計シート!Q$29:Q$48)*M$2</f>
        <v>0</v>
      </c>
      <c r="N1540" s="88">
        <f>SUMIF(月間集計シート!$M$29:$M$48,$G1540,月間集計シート!R$29:R$48)*N$2</f>
        <v>0</v>
      </c>
      <c r="O1540" s="88">
        <f>SUMIF(月間集計シート!$M$29:$M$48,$G1540,月間集計シート!S$29:S$48)*O$2</f>
        <v>0</v>
      </c>
      <c r="P1540" s="88">
        <f>SUMIF(月間集計シート!$M$29:$M$48,$G1540,月間集計シート!T$29:T$48)*P$2</f>
        <v>0</v>
      </c>
      <c r="Q1540" s="88">
        <f>SUMIF(月間集計シート!$M$50:$M$69,$G1540,月間集計シート!N$50:N$69)*Q$2</f>
        <v>0</v>
      </c>
      <c r="R1540" s="88">
        <f>SUMIF(月間集計シート!$M$50:$M$69,$G1540,月間集計シート!O$50:O$69)*R$2</f>
        <v>0</v>
      </c>
      <c r="S1540" s="88">
        <f>SUMIF(月間集計シート!$M$50:$M$69,$G1540,月間集計シート!P$50:P$69)*S$2</f>
        <v>0</v>
      </c>
      <c r="T1540" s="88">
        <f>SUMIF(月間集計シート!$M$50:$M$69,$G1540,月間集計シート!Q$50:Q$69)*T$2</f>
        <v>0</v>
      </c>
      <c r="U1540" s="88">
        <f>SUMIF(月間集計シート!$M$50:$M$69,$G1540,月間集計シート!R$50:R$69)*U$2</f>
        <v>0</v>
      </c>
      <c r="V1540" s="88">
        <f>SUMIF(月間集計シート!$M$50:$M$69,$G1540,月間集計シート!S$50:S$69)*V$2</f>
        <v>0</v>
      </c>
      <c r="W1540" s="88">
        <f>SUMIF(月間集計シート!$M$50:$M$69,$G1540,月間集計シート!T$50:T$69)*W$2</f>
        <v>0</v>
      </c>
      <c r="X1540" s="88">
        <f>SUMIF(月間集計シート!$M$71:$M$90,$G1540,月間集計シート!N$71:N$90)*X$2</f>
        <v>0</v>
      </c>
      <c r="Y1540" s="88">
        <f>SUMIF(月間集計シート!$M$71:$M$90,$G1540,月間集計シート!O$71:O$90)*Y$2</f>
        <v>0</v>
      </c>
      <c r="Z1540" s="88">
        <f>SUMIF(月間集計シート!$M$71:$M$90,$G1540,月間集計シート!P$71:P$90)*Z$2</f>
        <v>0</v>
      </c>
      <c r="AA1540" s="88">
        <f>SUMIF(月間集計シート!$M$71:$M$90,$G1540,月間集計シート!Q$71:Q$90)*AA$2</f>
        <v>0</v>
      </c>
      <c r="AB1540" s="88">
        <f>SUMIF(月間集計シート!$M$71:$M$90,$G1540,月間集計シート!R$71:R$90)*AB$2</f>
        <v>0</v>
      </c>
      <c r="AC1540" s="88">
        <f>SUMIF(月間集計シート!$M$71:$M$90,$G1540,月間集計シート!S$71:S$90)*AC$2</f>
        <v>0</v>
      </c>
      <c r="AD1540" s="88">
        <f>SUMIF(月間集計シート!$M$71:$M$90,$G1540,月間集計シート!T$71:T$90)*AD$2</f>
        <v>0</v>
      </c>
      <c r="AE1540" s="88">
        <f>SUMIF(月間集計シート!$M$92:$M$111,$G1540,月間集計シート!N$92:N$111)*AE$2</f>
        <v>0</v>
      </c>
      <c r="AF1540" s="88">
        <f>SUMIF(月間集計シート!$M$92:$M$111,$G1540,月間集計シート!O$92:O$111)*AF$2</f>
        <v>0</v>
      </c>
      <c r="AG1540" s="88">
        <f>SUMIF(月間集計シート!$M$92:$M$111,$G1540,月間集計シート!P$92:P$111)*AG$2</f>
        <v>0</v>
      </c>
      <c r="AH1540" s="88">
        <f>SUMIF(月間集計シート!$M$92:$M$111,$G1540,月間集計シート!Q$92:Q$111)*AH$2</f>
        <v>0</v>
      </c>
      <c r="AI1540" s="88">
        <f>SUMIF(月間集計シート!$M$92:$M$111,$G1540,月間集計シート!R$92:R$111)*AI$2</f>
        <v>0</v>
      </c>
      <c r="AJ1540" s="88">
        <f>SUMIF(月間集計シート!$M$92:$M$111,$G1540,月間集計シート!S$92:S$111)*AJ$2</f>
        <v>0</v>
      </c>
      <c r="AK1540" s="88">
        <f>SUMIF(月間集計シート!$M$92:$M$111,$G1540,月間集計シート!T$92:T$111)*AK$2</f>
        <v>0</v>
      </c>
      <c r="AL1540" s="88">
        <f>SUMIF(月間集計シート!$M$113:$M$132,$G1540,月間集計シート!N$113:N$132)*AL$2</f>
        <v>0</v>
      </c>
      <c r="AM1540" s="88">
        <f>SUMIF(月間集計シート!$M$113:$M$132,$G1540,月間集計シート!O$113:O$132)*AM$2</f>
        <v>0</v>
      </c>
      <c r="AN1540" s="88">
        <f>SUMIF(月間集計シート!$M$113:$M$132,$G1540,月間集計シート!P$113:P$132)*AN$2</f>
        <v>0</v>
      </c>
      <c r="AO1540" s="88">
        <f>SUMIF(月間集計シート!$M$113:$M$132,$G1540,月間集計シート!Q$113:Q$132)*AO$2</f>
        <v>0</v>
      </c>
      <c r="AP1540" s="88">
        <f>SUMIF(月間集計シート!$M$113:$M$132,$G1540,月間集計シート!R$113:R$132)*AP$2</f>
        <v>0</v>
      </c>
      <c r="AQ1540" s="88">
        <f>SUMIF(月間集計シート!$M$113:$M$132,$G1540,月間集計シート!S$113:S$132)*AQ$2</f>
        <v>0</v>
      </c>
      <c r="AR1540" s="88">
        <f>SUMIF(月間集計シート!$M$113:$M$132,$G1540,月間集計シート!T$113:T$132)*AR$2</f>
        <v>0</v>
      </c>
      <c r="AS1540" s="88">
        <f>SUMIF(月間集計シート!$M$134:$M$153,$G1540,月間集計シート!N$134:N$153)*AS$2</f>
        <v>0</v>
      </c>
      <c r="AT1540" s="88">
        <f>SUMIF(月間集計シート!$M$134:$M$153,$G1540,月間集計シート!O$134:O$153)*AT$2</f>
        <v>0</v>
      </c>
      <c r="AU1540" s="88">
        <f>SUMIF(月間集計シート!$M$134:$M$153,$G1540,月間集計シート!P$134:P$153)*AU$2</f>
        <v>0</v>
      </c>
      <c r="AV1540" s="88">
        <f>SUMIF(月間集計シート!$M$134:$M$153,$G1540,月間集計シート!Q$134:Q$153)*AV$2</f>
        <v>0</v>
      </c>
      <c r="AW1540" s="88">
        <f>SUMIF(月間集計シート!$M$134:$M$153,$G1540,月間集計シート!R$134:R$153)*AW$2</f>
        <v>0</v>
      </c>
      <c r="AX1540" s="88">
        <f>SUMIF(月間集計シート!$M$134:$M$153,$G1540,月間集計シート!S$134:S$153)*AX$2</f>
        <v>0</v>
      </c>
      <c r="AY1540" s="88">
        <f>SUMIF(月間集計シート!$M$134:$M$153,$G1540,月間集計シート!T$134:T$153)*AY$2</f>
        <v>0</v>
      </c>
    </row>
    <row r="1541" spans="1:51" ht="14.25" thickBot="1">
      <c r="A1541">
        <v>19</v>
      </c>
      <c r="B1541" s="120">
        <f t="shared" ref="B1541:B1604" si="888">B1540</f>
        <v>0</v>
      </c>
      <c r="C1541" s="120" t="str">
        <f t="shared" ref="C1541:C1604" si="889">C1540</f>
        <v/>
      </c>
      <c r="D1541" s="137"/>
      <c r="E1541" s="150" t="str">
        <f>工種!A3</f>
        <v>10103</v>
      </c>
      <c r="F1541" s="119" t="str">
        <f>工種!B3</f>
        <v>SRS：企画書・計画書・報告書等資料作成・修正</v>
      </c>
      <c r="G1541" s="116" t="str">
        <f t="shared" si="837"/>
        <v>010103</v>
      </c>
      <c r="H1541" s="88">
        <f t="shared" si="844"/>
        <v>0</v>
      </c>
      <c r="I1541" s="132"/>
      <c r="J1541" s="88">
        <f>SUMIF(月間集計シート!$M$29:$M$48,$G1541,月間集計シート!N$29:N$48)*J$2</f>
        <v>0</v>
      </c>
      <c r="K1541" s="88">
        <f>SUMIF(月間集計シート!$M$29:$M$48,$G1541,月間集計シート!O$29:O$48)*K$2</f>
        <v>0</v>
      </c>
      <c r="L1541" s="88">
        <f>SUMIF(月間集計シート!$M$29:$M$48,$G1541,月間集計シート!P$29:P$48)*L$2</f>
        <v>0</v>
      </c>
      <c r="M1541" s="88">
        <f>SUMIF(月間集計シート!$M$29:$M$48,$G1541,月間集計シート!Q$29:Q$48)*M$2</f>
        <v>0</v>
      </c>
      <c r="N1541" s="88">
        <f>SUMIF(月間集計シート!$M$29:$M$48,$G1541,月間集計シート!R$29:R$48)*N$2</f>
        <v>0</v>
      </c>
      <c r="O1541" s="88">
        <f>SUMIF(月間集計シート!$M$29:$M$48,$G1541,月間集計シート!S$29:S$48)*O$2</f>
        <v>0</v>
      </c>
      <c r="P1541" s="88">
        <f>SUMIF(月間集計シート!$M$29:$M$48,$G1541,月間集計シート!T$29:T$48)*P$2</f>
        <v>0</v>
      </c>
      <c r="Q1541" s="88">
        <f>SUMIF(月間集計シート!$M$50:$M$69,$G1541,月間集計シート!N$50:N$69)*Q$2</f>
        <v>0</v>
      </c>
      <c r="R1541" s="88">
        <f>SUMIF(月間集計シート!$M$50:$M$69,$G1541,月間集計シート!O$50:O$69)*R$2</f>
        <v>0</v>
      </c>
      <c r="S1541" s="88">
        <f>SUMIF(月間集計シート!$M$50:$M$69,$G1541,月間集計シート!P$50:P$69)*S$2</f>
        <v>0</v>
      </c>
      <c r="T1541" s="88">
        <f>SUMIF(月間集計シート!$M$50:$M$69,$G1541,月間集計シート!Q$50:Q$69)*T$2</f>
        <v>0</v>
      </c>
      <c r="U1541" s="88">
        <f>SUMIF(月間集計シート!$M$50:$M$69,$G1541,月間集計シート!R$50:R$69)*U$2</f>
        <v>0</v>
      </c>
      <c r="V1541" s="88">
        <f>SUMIF(月間集計シート!$M$50:$M$69,$G1541,月間集計シート!S$50:S$69)*V$2</f>
        <v>0</v>
      </c>
      <c r="W1541" s="88">
        <f>SUMIF(月間集計シート!$M$50:$M$69,$G1541,月間集計シート!T$50:T$69)*W$2</f>
        <v>0</v>
      </c>
      <c r="X1541" s="88">
        <f>SUMIF(月間集計シート!$M$71:$M$90,$G1541,月間集計シート!N$71:N$90)*X$2</f>
        <v>0</v>
      </c>
      <c r="Y1541" s="88">
        <f>SUMIF(月間集計シート!$M$71:$M$90,$G1541,月間集計シート!O$71:O$90)*Y$2</f>
        <v>0</v>
      </c>
      <c r="Z1541" s="88">
        <f>SUMIF(月間集計シート!$M$71:$M$90,$G1541,月間集計シート!P$71:P$90)*Z$2</f>
        <v>0</v>
      </c>
      <c r="AA1541" s="88">
        <f>SUMIF(月間集計シート!$M$71:$M$90,$G1541,月間集計シート!Q$71:Q$90)*AA$2</f>
        <v>0</v>
      </c>
      <c r="AB1541" s="88">
        <f>SUMIF(月間集計シート!$M$71:$M$90,$G1541,月間集計シート!R$71:R$90)*AB$2</f>
        <v>0</v>
      </c>
      <c r="AC1541" s="88">
        <f>SUMIF(月間集計シート!$M$71:$M$90,$G1541,月間集計シート!S$71:S$90)*AC$2</f>
        <v>0</v>
      </c>
      <c r="AD1541" s="88">
        <f>SUMIF(月間集計シート!$M$71:$M$90,$G1541,月間集計シート!T$71:T$90)*AD$2</f>
        <v>0</v>
      </c>
      <c r="AE1541" s="88">
        <f>SUMIF(月間集計シート!$M$92:$M$111,$G1541,月間集計シート!N$92:N$111)*AE$2</f>
        <v>0</v>
      </c>
      <c r="AF1541" s="88">
        <f>SUMIF(月間集計シート!$M$92:$M$111,$G1541,月間集計シート!O$92:O$111)*AF$2</f>
        <v>0</v>
      </c>
      <c r="AG1541" s="88">
        <f>SUMIF(月間集計シート!$M$92:$M$111,$G1541,月間集計シート!P$92:P$111)*AG$2</f>
        <v>0</v>
      </c>
      <c r="AH1541" s="88">
        <f>SUMIF(月間集計シート!$M$92:$M$111,$G1541,月間集計シート!Q$92:Q$111)*AH$2</f>
        <v>0</v>
      </c>
      <c r="AI1541" s="88">
        <f>SUMIF(月間集計シート!$M$92:$M$111,$G1541,月間集計シート!R$92:R$111)*AI$2</f>
        <v>0</v>
      </c>
      <c r="AJ1541" s="88">
        <f>SUMIF(月間集計シート!$M$92:$M$111,$G1541,月間集計シート!S$92:S$111)*AJ$2</f>
        <v>0</v>
      </c>
      <c r="AK1541" s="88">
        <f>SUMIF(月間集計シート!$M$92:$M$111,$G1541,月間集計シート!T$92:T$111)*AK$2</f>
        <v>0</v>
      </c>
      <c r="AL1541" s="88">
        <f>SUMIF(月間集計シート!$M$113:$M$132,$G1541,月間集計シート!N$113:N$132)*AL$2</f>
        <v>0</v>
      </c>
      <c r="AM1541" s="88">
        <f>SUMIF(月間集計シート!$M$113:$M$132,$G1541,月間集計シート!O$113:O$132)*AM$2</f>
        <v>0</v>
      </c>
      <c r="AN1541" s="88">
        <f>SUMIF(月間集計シート!$M$113:$M$132,$G1541,月間集計シート!P$113:P$132)*AN$2</f>
        <v>0</v>
      </c>
      <c r="AO1541" s="88">
        <f>SUMIF(月間集計シート!$M$113:$M$132,$G1541,月間集計シート!Q$113:Q$132)*AO$2</f>
        <v>0</v>
      </c>
      <c r="AP1541" s="88">
        <f>SUMIF(月間集計シート!$M$113:$M$132,$G1541,月間集計シート!R$113:R$132)*AP$2</f>
        <v>0</v>
      </c>
      <c r="AQ1541" s="88">
        <f>SUMIF(月間集計シート!$M$113:$M$132,$G1541,月間集計シート!S$113:S$132)*AQ$2</f>
        <v>0</v>
      </c>
      <c r="AR1541" s="88">
        <f>SUMIF(月間集計シート!$M$113:$M$132,$G1541,月間集計シート!T$113:T$132)*AR$2</f>
        <v>0</v>
      </c>
      <c r="AS1541" s="88">
        <f>SUMIF(月間集計シート!$M$134:$M$153,$G1541,月間集計シート!N$134:N$153)*AS$2</f>
        <v>0</v>
      </c>
      <c r="AT1541" s="88">
        <f>SUMIF(月間集計シート!$M$134:$M$153,$G1541,月間集計シート!O$134:O$153)*AT$2</f>
        <v>0</v>
      </c>
      <c r="AU1541" s="88">
        <f>SUMIF(月間集計シート!$M$134:$M$153,$G1541,月間集計シート!P$134:P$153)*AU$2</f>
        <v>0</v>
      </c>
      <c r="AV1541" s="88">
        <f>SUMIF(月間集計シート!$M$134:$M$153,$G1541,月間集計シート!Q$134:Q$153)*AV$2</f>
        <v>0</v>
      </c>
      <c r="AW1541" s="88">
        <f>SUMIF(月間集計シート!$M$134:$M$153,$G1541,月間集計シート!R$134:R$153)*AW$2</f>
        <v>0</v>
      </c>
      <c r="AX1541" s="88">
        <f>SUMIF(月間集計シート!$M$134:$M$153,$G1541,月間集計シート!S$134:S$153)*AX$2</f>
        <v>0</v>
      </c>
      <c r="AY1541" s="88">
        <f>SUMIF(月間集計シート!$M$134:$M$153,$G1541,月間集計シート!T$134:T$153)*AY$2</f>
        <v>0</v>
      </c>
    </row>
    <row r="1542" spans="1:51" ht="14.25" thickBot="1">
      <c r="A1542">
        <v>19</v>
      </c>
      <c r="B1542" s="120">
        <f t="shared" si="888"/>
        <v>0</v>
      </c>
      <c r="C1542" s="120" t="str">
        <f t="shared" si="889"/>
        <v/>
      </c>
      <c r="D1542" s="137"/>
      <c r="E1542" s="150" t="str">
        <f>工種!A4</f>
        <v>10104</v>
      </c>
      <c r="F1542" s="119" t="str">
        <f>工種!B4</f>
        <v>SRS：打合せ</v>
      </c>
      <c r="G1542" s="116" t="str">
        <f t="shared" si="837"/>
        <v>010104</v>
      </c>
      <c r="H1542" s="88">
        <f t="shared" si="844"/>
        <v>0</v>
      </c>
      <c r="I1542" s="132"/>
      <c r="J1542" s="88">
        <f>SUMIF(月間集計シート!$M$29:$M$48,$G1542,月間集計シート!N$29:N$48)*J$2</f>
        <v>0</v>
      </c>
      <c r="K1542" s="88">
        <f>SUMIF(月間集計シート!$M$29:$M$48,$G1542,月間集計シート!O$29:O$48)*K$2</f>
        <v>0</v>
      </c>
      <c r="L1542" s="88">
        <f>SUMIF(月間集計シート!$M$29:$M$48,$G1542,月間集計シート!P$29:P$48)*L$2</f>
        <v>0</v>
      </c>
      <c r="M1542" s="88">
        <f>SUMIF(月間集計シート!$M$29:$M$48,$G1542,月間集計シート!Q$29:Q$48)*M$2</f>
        <v>0</v>
      </c>
      <c r="N1542" s="88">
        <f>SUMIF(月間集計シート!$M$29:$M$48,$G1542,月間集計シート!R$29:R$48)*N$2</f>
        <v>0</v>
      </c>
      <c r="O1542" s="88">
        <f>SUMIF(月間集計シート!$M$29:$M$48,$G1542,月間集計シート!S$29:S$48)*O$2</f>
        <v>0</v>
      </c>
      <c r="P1542" s="88">
        <f>SUMIF(月間集計シート!$M$29:$M$48,$G1542,月間集計シート!T$29:T$48)*P$2</f>
        <v>0</v>
      </c>
      <c r="Q1542" s="88">
        <f>SUMIF(月間集計シート!$M$50:$M$69,$G1542,月間集計シート!N$50:N$69)*Q$2</f>
        <v>0</v>
      </c>
      <c r="R1542" s="88">
        <f>SUMIF(月間集計シート!$M$50:$M$69,$G1542,月間集計シート!O$50:O$69)*R$2</f>
        <v>0</v>
      </c>
      <c r="S1542" s="88">
        <f>SUMIF(月間集計シート!$M$50:$M$69,$G1542,月間集計シート!P$50:P$69)*S$2</f>
        <v>0</v>
      </c>
      <c r="T1542" s="88">
        <f>SUMIF(月間集計シート!$M$50:$M$69,$G1542,月間集計シート!Q$50:Q$69)*T$2</f>
        <v>0</v>
      </c>
      <c r="U1542" s="88">
        <f>SUMIF(月間集計シート!$M$50:$M$69,$G1542,月間集計シート!R$50:R$69)*U$2</f>
        <v>0</v>
      </c>
      <c r="V1542" s="88">
        <f>SUMIF(月間集計シート!$M$50:$M$69,$G1542,月間集計シート!S$50:S$69)*V$2</f>
        <v>0</v>
      </c>
      <c r="W1542" s="88">
        <f>SUMIF(月間集計シート!$M$50:$M$69,$G1542,月間集計シート!T$50:T$69)*W$2</f>
        <v>0</v>
      </c>
      <c r="X1542" s="88">
        <f>SUMIF(月間集計シート!$M$71:$M$90,$G1542,月間集計シート!N$71:N$90)*X$2</f>
        <v>0</v>
      </c>
      <c r="Y1542" s="88">
        <f>SUMIF(月間集計シート!$M$71:$M$90,$G1542,月間集計シート!O$71:O$90)*Y$2</f>
        <v>0</v>
      </c>
      <c r="Z1542" s="88">
        <f>SUMIF(月間集計シート!$M$71:$M$90,$G1542,月間集計シート!P$71:P$90)*Z$2</f>
        <v>0</v>
      </c>
      <c r="AA1542" s="88">
        <f>SUMIF(月間集計シート!$M$71:$M$90,$G1542,月間集計シート!Q$71:Q$90)*AA$2</f>
        <v>0</v>
      </c>
      <c r="AB1542" s="88">
        <f>SUMIF(月間集計シート!$M$71:$M$90,$G1542,月間集計シート!R$71:R$90)*AB$2</f>
        <v>0</v>
      </c>
      <c r="AC1542" s="88">
        <f>SUMIF(月間集計シート!$M$71:$M$90,$G1542,月間集計シート!S$71:S$90)*AC$2</f>
        <v>0</v>
      </c>
      <c r="AD1542" s="88">
        <f>SUMIF(月間集計シート!$M$71:$M$90,$G1542,月間集計シート!T$71:T$90)*AD$2</f>
        <v>0</v>
      </c>
      <c r="AE1542" s="88">
        <f>SUMIF(月間集計シート!$M$92:$M$111,$G1542,月間集計シート!N$92:N$111)*AE$2</f>
        <v>0</v>
      </c>
      <c r="AF1542" s="88">
        <f>SUMIF(月間集計シート!$M$92:$M$111,$G1542,月間集計シート!O$92:O$111)*AF$2</f>
        <v>0</v>
      </c>
      <c r="AG1542" s="88">
        <f>SUMIF(月間集計シート!$M$92:$M$111,$G1542,月間集計シート!P$92:P$111)*AG$2</f>
        <v>0</v>
      </c>
      <c r="AH1542" s="88">
        <f>SUMIF(月間集計シート!$M$92:$M$111,$G1542,月間集計シート!Q$92:Q$111)*AH$2</f>
        <v>0</v>
      </c>
      <c r="AI1542" s="88">
        <f>SUMIF(月間集計シート!$M$92:$M$111,$G1542,月間集計シート!R$92:R$111)*AI$2</f>
        <v>0</v>
      </c>
      <c r="AJ1542" s="88">
        <f>SUMIF(月間集計シート!$M$92:$M$111,$G1542,月間集計シート!S$92:S$111)*AJ$2</f>
        <v>0</v>
      </c>
      <c r="AK1542" s="88">
        <f>SUMIF(月間集計シート!$M$92:$M$111,$G1542,月間集計シート!T$92:T$111)*AK$2</f>
        <v>0</v>
      </c>
      <c r="AL1542" s="88">
        <f>SUMIF(月間集計シート!$M$113:$M$132,$G1542,月間集計シート!N$113:N$132)*AL$2</f>
        <v>0</v>
      </c>
      <c r="AM1542" s="88">
        <f>SUMIF(月間集計シート!$M$113:$M$132,$G1542,月間集計シート!O$113:O$132)*AM$2</f>
        <v>0</v>
      </c>
      <c r="AN1542" s="88">
        <f>SUMIF(月間集計シート!$M$113:$M$132,$G1542,月間集計シート!P$113:P$132)*AN$2</f>
        <v>0</v>
      </c>
      <c r="AO1542" s="88">
        <f>SUMIF(月間集計シート!$M$113:$M$132,$G1542,月間集計シート!Q$113:Q$132)*AO$2</f>
        <v>0</v>
      </c>
      <c r="AP1542" s="88">
        <f>SUMIF(月間集計シート!$M$113:$M$132,$G1542,月間集計シート!R$113:R$132)*AP$2</f>
        <v>0</v>
      </c>
      <c r="AQ1542" s="88">
        <f>SUMIF(月間集計シート!$M$113:$M$132,$G1542,月間集計シート!S$113:S$132)*AQ$2</f>
        <v>0</v>
      </c>
      <c r="AR1542" s="88">
        <f>SUMIF(月間集計シート!$M$113:$M$132,$G1542,月間集計シート!T$113:T$132)*AR$2</f>
        <v>0</v>
      </c>
      <c r="AS1542" s="88">
        <f>SUMIF(月間集計シート!$M$134:$M$153,$G1542,月間集計シート!N$134:N$153)*AS$2</f>
        <v>0</v>
      </c>
      <c r="AT1542" s="88">
        <f>SUMIF(月間集計シート!$M$134:$M$153,$G1542,月間集計シート!O$134:O$153)*AT$2</f>
        <v>0</v>
      </c>
      <c r="AU1542" s="88">
        <f>SUMIF(月間集計シート!$M$134:$M$153,$G1542,月間集計シート!P$134:P$153)*AU$2</f>
        <v>0</v>
      </c>
      <c r="AV1542" s="88">
        <f>SUMIF(月間集計シート!$M$134:$M$153,$G1542,月間集計シート!Q$134:Q$153)*AV$2</f>
        <v>0</v>
      </c>
      <c r="AW1542" s="88">
        <f>SUMIF(月間集計シート!$M$134:$M$153,$G1542,月間集計シート!R$134:R$153)*AW$2</f>
        <v>0</v>
      </c>
      <c r="AX1542" s="88">
        <f>SUMIF(月間集計シート!$M$134:$M$153,$G1542,月間集計シート!S$134:S$153)*AX$2</f>
        <v>0</v>
      </c>
      <c r="AY1542" s="88">
        <f>SUMIF(月間集計シート!$M$134:$M$153,$G1542,月間集計シート!T$134:T$153)*AY$2</f>
        <v>0</v>
      </c>
    </row>
    <row r="1543" spans="1:51" ht="14.25" thickBot="1">
      <c r="A1543">
        <v>19</v>
      </c>
      <c r="B1543" s="120">
        <f t="shared" si="888"/>
        <v>0</v>
      </c>
      <c r="C1543" s="120" t="str">
        <f t="shared" si="889"/>
        <v/>
      </c>
      <c r="D1543" s="137"/>
      <c r="E1543" s="150" t="str">
        <f>工種!A5</f>
        <v>10105</v>
      </c>
      <c r="F1543" s="119" t="str">
        <f>工種!B5</f>
        <v>SRS：レビュー</v>
      </c>
      <c r="G1543" s="116" t="str">
        <f t="shared" si="837"/>
        <v>010105</v>
      </c>
      <c r="H1543" s="88">
        <f t="shared" si="844"/>
        <v>0</v>
      </c>
      <c r="I1543" s="132"/>
      <c r="J1543" s="88">
        <f>SUMIF(月間集計シート!$M$29:$M$48,$G1543,月間集計シート!N$29:N$48)*J$2</f>
        <v>0</v>
      </c>
      <c r="K1543" s="88">
        <f>SUMIF(月間集計シート!$M$29:$M$48,$G1543,月間集計シート!O$29:O$48)*K$2</f>
        <v>0</v>
      </c>
      <c r="L1543" s="88">
        <f>SUMIF(月間集計シート!$M$29:$M$48,$G1543,月間集計シート!P$29:P$48)*L$2</f>
        <v>0</v>
      </c>
      <c r="M1543" s="88">
        <f>SUMIF(月間集計シート!$M$29:$M$48,$G1543,月間集計シート!Q$29:Q$48)*M$2</f>
        <v>0</v>
      </c>
      <c r="N1543" s="88">
        <f>SUMIF(月間集計シート!$M$29:$M$48,$G1543,月間集計シート!R$29:R$48)*N$2</f>
        <v>0</v>
      </c>
      <c r="O1543" s="88">
        <f>SUMIF(月間集計シート!$M$29:$M$48,$G1543,月間集計シート!S$29:S$48)*O$2</f>
        <v>0</v>
      </c>
      <c r="P1543" s="88">
        <f>SUMIF(月間集計シート!$M$29:$M$48,$G1543,月間集計シート!T$29:T$48)*P$2</f>
        <v>0</v>
      </c>
      <c r="Q1543" s="88">
        <f>SUMIF(月間集計シート!$M$50:$M$69,$G1543,月間集計シート!N$50:N$69)*Q$2</f>
        <v>0</v>
      </c>
      <c r="R1543" s="88">
        <f>SUMIF(月間集計シート!$M$50:$M$69,$G1543,月間集計シート!O$50:O$69)*R$2</f>
        <v>0</v>
      </c>
      <c r="S1543" s="88">
        <f>SUMIF(月間集計シート!$M$50:$M$69,$G1543,月間集計シート!P$50:P$69)*S$2</f>
        <v>0</v>
      </c>
      <c r="T1543" s="88">
        <f>SUMIF(月間集計シート!$M$50:$M$69,$G1543,月間集計シート!Q$50:Q$69)*T$2</f>
        <v>0</v>
      </c>
      <c r="U1543" s="88">
        <f>SUMIF(月間集計シート!$M$50:$M$69,$G1543,月間集計シート!R$50:R$69)*U$2</f>
        <v>0</v>
      </c>
      <c r="V1543" s="88">
        <f>SUMIF(月間集計シート!$M$50:$M$69,$G1543,月間集計シート!S$50:S$69)*V$2</f>
        <v>0</v>
      </c>
      <c r="W1543" s="88">
        <f>SUMIF(月間集計シート!$M$50:$M$69,$G1543,月間集計シート!T$50:T$69)*W$2</f>
        <v>0</v>
      </c>
      <c r="X1543" s="88">
        <f>SUMIF(月間集計シート!$M$71:$M$90,$G1543,月間集計シート!N$71:N$90)*X$2</f>
        <v>0</v>
      </c>
      <c r="Y1543" s="88">
        <f>SUMIF(月間集計シート!$M$71:$M$90,$G1543,月間集計シート!O$71:O$90)*Y$2</f>
        <v>0</v>
      </c>
      <c r="Z1543" s="88">
        <f>SUMIF(月間集計シート!$M$71:$M$90,$G1543,月間集計シート!P$71:P$90)*Z$2</f>
        <v>0</v>
      </c>
      <c r="AA1543" s="88">
        <f>SUMIF(月間集計シート!$M$71:$M$90,$G1543,月間集計シート!Q$71:Q$90)*AA$2</f>
        <v>0</v>
      </c>
      <c r="AB1543" s="88">
        <f>SUMIF(月間集計シート!$M$71:$M$90,$G1543,月間集計シート!R$71:R$90)*AB$2</f>
        <v>0</v>
      </c>
      <c r="AC1543" s="88">
        <f>SUMIF(月間集計シート!$M$71:$M$90,$G1543,月間集計シート!S$71:S$90)*AC$2</f>
        <v>0</v>
      </c>
      <c r="AD1543" s="88">
        <f>SUMIF(月間集計シート!$M$71:$M$90,$G1543,月間集計シート!T$71:T$90)*AD$2</f>
        <v>0</v>
      </c>
      <c r="AE1543" s="88">
        <f>SUMIF(月間集計シート!$M$92:$M$111,$G1543,月間集計シート!N$92:N$111)*AE$2</f>
        <v>0</v>
      </c>
      <c r="AF1543" s="88">
        <f>SUMIF(月間集計シート!$M$92:$M$111,$G1543,月間集計シート!O$92:O$111)*AF$2</f>
        <v>0</v>
      </c>
      <c r="AG1543" s="88">
        <f>SUMIF(月間集計シート!$M$92:$M$111,$G1543,月間集計シート!P$92:P$111)*AG$2</f>
        <v>0</v>
      </c>
      <c r="AH1543" s="88">
        <f>SUMIF(月間集計シート!$M$92:$M$111,$G1543,月間集計シート!Q$92:Q$111)*AH$2</f>
        <v>0</v>
      </c>
      <c r="AI1543" s="88">
        <f>SUMIF(月間集計シート!$M$92:$M$111,$G1543,月間集計シート!R$92:R$111)*AI$2</f>
        <v>0</v>
      </c>
      <c r="AJ1543" s="88">
        <f>SUMIF(月間集計シート!$M$92:$M$111,$G1543,月間集計シート!S$92:S$111)*AJ$2</f>
        <v>0</v>
      </c>
      <c r="AK1543" s="88">
        <f>SUMIF(月間集計シート!$M$92:$M$111,$G1543,月間集計シート!T$92:T$111)*AK$2</f>
        <v>0</v>
      </c>
      <c r="AL1543" s="88">
        <f>SUMIF(月間集計シート!$M$113:$M$132,$G1543,月間集計シート!N$113:N$132)*AL$2</f>
        <v>0</v>
      </c>
      <c r="AM1543" s="88">
        <f>SUMIF(月間集計シート!$M$113:$M$132,$G1543,月間集計シート!O$113:O$132)*AM$2</f>
        <v>0</v>
      </c>
      <c r="AN1543" s="88">
        <f>SUMIF(月間集計シート!$M$113:$M$132,$G1543,月間集計シート!P$113:P$132)*AN$2</f>
        <v>0</v>
      </c>
      <c r="AO1543" s="88">
        <f>SUMIF(月間集計シート!$M$113:$M$132,$G1543,月間集計シート!Q$113:Q$132)*AO$2</f>
        <v>0</v>
      </c>
      <c r="AP1543" s="88">
        <f>SUMIF(月間集計シート!$M$113:$M$132,$G1543,月間集計シート!R$113:R$132)*AP$2</f>
        <v>0</v>
      </c>
      <c r="AQ1543" s="88">
        <f>SUMIF(月間集計シート!$M$113:$M$132,$G1543,月間集計シート!S$113:S$132)*AQ$2</f>
        <v>0</v>
      </c>
      <c r="AR1543" s="88">
        <f>SUMIF(月間集計シート!$M$113:$M$132,$G1543,月間集計シート!T$113:T$132)*AR$2</f>
        <v>0</v>
      </c>
      <c r="AS1543" s="88">
        <f>SUMIF(月間集計シート!$M$134:$M$153,$G1543,月間集計シート!N$134:N$153)*AS$2</f>
        <v>0</v>
      </c>
      <c r="AT1543" s="88">
        <f>SUMIF(月間集計シート!$M$134:$M$153,$G1543,月間集計シート!O$134:O$153)*AT$2</f>
        <v>0</v>
      </c>
      <c r="AU1543" s="88">
        <f>SUMIF(月間集計シート!$M$134:$M$153,$G1543,月間集計シート!P$134:P$153)*AU$2</f>
        <v>0</v>
      </c>
      <c r="AV1543" s="88">
        <f>SUMIF(月間集計シート!$M$134:$M$153,$G1543,月間集計シート!Q$134:Q$153)*AV$2</f>
        <v>0</v>
      </c>
      <c r="AW1543" s="88">
        <f>SUMIF(月間集計シート!$M$134:$M$153,$G1543,月間集計シート!R$134:R$153)*AW$2</f>
        <v>0</v>
      </c>
      <c r="AX1543" s="88">
        <f>SUMIF(月間集計シート!$M$134:$M$153,$G1543,月間集計シート!S$134:S$153)*AX$2</f>
        <v>0</v>
      </c>
      <c r="AY1543" s="88">
        <f>SUMIF(月間集計シート!$M$134:$M$153,$G1543,月間集計シート!T$134:T$153)*AY$2</f>
        <v>0</v>
      </c>
    </row>
    <row r="1544" spans="1:51" ht="14.25" thickBot="1">
      <c r="A1544">
        <v>19</v>
      </c>
      <c r="B1544" s="120">
        <f t="shared" si="888"/>
        <v>0</v>
      </c>
      <c r="C1544" s="120" t="str">
        <f t="shared" si="889"/>
        <v/>
      </c>
      <c r="D1544" s="137"/>
      <c r="E1544" s="150" t="str">
        <f>工種!A6</f>
        <v>10199</v>
      </c>
      <c r="F1544" s="119" t="str">
        <f>工種!B6</f>
        <v>SRS：その他</v>
      </c>
      <c r="G1544" s="116" t="str">
        <f t="shared" si="837"/>
        <v>010199</v>
      </c>
      <c r="H1544" s="88">
        <f t="shared" si="844"/>
        <v>0</v>
      </c>
      <c r="I1544" s="132"/>
      <c r="J1544" s="88">
        <f>SUMIF(月間集計シート!$M$29:$M$48,$G1544,月間集計シート!N$29:N$48)*J$2</f>
        <v>0</v>
      </c>
      <c r="K1544" s="88">
        <f>SUMIF(月間集計シート!$M$29:$M$48,$G1544,月間集計シート!O$29:O$48)*K$2</f>
        <v>0</v>
      </c>
      <c r="L1544" s="88">
        <f>SUMIF(月間集計シート!$M$29:$M$48,$G1544,月間集計シート!P$29:P$48)*L$2</f>
        <v>0</v>
      </c>
      <c r="M1544" s="88">
        <f>SUMIF(月間集計シート!$M$29:$M$48,$G1544,月間集計シート!Q$29:Q$48)*M$2</f>
        <v>0</v>
      </c>
      <c r="N1544" s="88">
        <f>SUMIF(月間集計シート!$M$29:$M$48,$G1544,月間集計シート!R$29:R$48)*N$2</f>
        <v>0</v>
      </c>
      <c r="O1544" s="88">
        <f>SUMIF(月間集計シート!$M$29:$M$48,$G1544,月間集計シート!S$29:S$48)*O$2</f>
        <v>0</v>
      </c>
      <c r="P1544" s="88">
        <f>SUMIF(月間集計シート!$M$29:$M$48,$G1544,月間集計シート!T$29:T$48)*P$2</f>
        <v>0</v>
      </c>
      <c r="Q1544" s="88">
        <f>SUMIF(月間集計シート!$M$50:$M$69,$G1544,月間集計シート!N$50:N$69)*Q$2</f>
        <v>0</v>
      </c>
      <c r="R1544" s="88">
        <f>SUMIF(月間集計シート!$M$50:$M$69,$G1544,月間集計シート!O$50:O$69)*R$2</f>
        <v>0</v>
      </c>
      <c r="S1544" s="88">
        <f>SUMIF(月間集計シート!$M$50:$M$69,$G1544,月間集計シート!P$50:P$69)*S$2</f>
        <v>0</v>
      </c>
      <c r="T1544" s="88">
        <f>SUMIF(月間集計シート!$M$50:$M$69,$G1544,月間集計シート!Q$50:Q$69)*T$2</f>
        <v>0</v>
      </c>
      <c r="U1544" s="88">
        <f>SUMIF(月間集計シート!$M$50:$M$69,$G1544,月間集計シート!R$50:R$69)*U$2</f>
        <v>0</v>
      </c>
      <c r="V1544" s="88">
        <f>SUMIF(月間集計シート!$M$50:$M$69,$G1544,月間集計シート!S$50:S$69)*V$2</f>
        <v>0</v>
      </c>
      <c r="W1544" s="88">
        <f>SUMIF(月間集計シート!$M$50:$M$69,$G1544,月間集計シート!T$50:T$69)*W$2</f>
        <v>0</v>
      </c>
      <c r="X1544" s="88">
        <f>SUMIF(月間集計シート!$M$71:$M$90,$G1544,月間集計シート!N$71:N$90)*X$2</f>
        <v>0</v>
      </c>
      <c r="Y1544" s="88">
        <f>SUMIF(月間集計シート!$M$71:$M$90,$G1544,月間集計シート!O$71:O$90)*Y$2</f>
        <v>0</v>
      </c>
      <c r="Z1544" s="88">
        <f>SUMIF(月間集計シート!$M$71:$M$90,$G1544,月間集計シート!P$71:P$90)*Z$2</f>
        <v>0</v>
      </c>
      <c r="AA1544" s="88">
        <f>SUMIF(月間集計シート!$M$71:$M$90,$G1544,月間集計シート!Q$71:Q$90)*AA$2</f>
        <v>0</v>
      </c>
      <c r="AB1544" s="88">
        <f>SUMIF(月間集計シート!$M$71:$M$90,$G1544,月間集計シート!R$71:R$90)*AB$2</f>
        <v>0</v>
      </c>
      <c r="AC1544" s="88">
        <f>SUMIF(月間集計シート!$M$71:$M$90,$G1544,月間集計シート!S$71:S$90)*AC$2</f>
        <v>0</v>
      </c>
      <c r="AD1544" s="88">
        <f>SUMIF(月間集計シート!$M$71:$M$90,$G1544,月間集計シート!T$71:T$90)*AD$2</f>
        <v>0</v>
      </c>
      <c r="AE1544" s="88">
        <f>SUMIF(月間集計シート!$M$92:$M$111,$G1544,月間集計シート!N$92:N$111)*AE$2</f>
        <v>0</v>
      </c>
      <c r="AF1544" s="88">
        <f>SUMIF(月間集計シート!$M$92:$M$111,$G1544,月間集計シート!O$92:O$111)*AF$2</f>
        <v>0</v>
      </c>
      <c r="AG1544" s="88">
        <f>SUMIF(月間集計シート!$M$92:$M$111,$G1544,月間集計シート!P$92:P$111)*AG$2</f>
        <v>0</v>
      </c>
      <c r="AH1544" s="88">
        <f>SUMIF(月間集計シート!$M$92:$M$111,$G1544,月間集計シート!Q$92:Q$111)*AH$2</f>
        <v>0</v>
      </c>
      <c r="AI1544" s="88">
        <f>SUMIF(月間集計シート!$M$92:$M$111,$G1544,月間集計シート!R$92:R$111)*AI$2</f>
        <v>0</v>
      </c>
      <c r="AJ1544" s="88">
        <f>SUMIF(月間集計シート!$M$92:$M$111,$G1544,月間集計シート!S$92:S$111)*AJ$2</f>
        <v>0</v>
      </c>
      <c r="AK1544" s="88">
        <f>SUMIF(月間集計シート!$M$92:$M$111,$G1544,月間集計シート!T$92:T$111)*AK$2</f>
        <v>0</v>
      </c>
      <c r="AL1544" s="88">
        <f>SUMIF(月間集計シート!$M$113:$M$132,$G1544,月間集計シート!N$113:N$132)*AL$2</f>
        <v>0</v>
      </c>
      <c r="AM1544" s="88">
        <f>SUMIF(月間集計シート!$M$113:$M$132,$G1544,月間集計シート!O$113:O$132)*AM$2</f>
        <v>0</v>
      </c>
      <c r="AN1544" s="88">
        <f>SUMIF(月間集計シート!$M$113:$M$132,$G1544,月間集計シート!P$113:P$132)*AN$2</f>
        <v>0</v>
      </c>
      <c r="AO1544" s="88">
        <f>SUMIF(月間集計シート!$M$113:$M$132,$G1544,月間集計シート!Q$113:Q$132)*AO$2</f>
        <v>0</v>
      </c>
      <c r="AP1544" s="88">
        <f>SUMIF(月間集計シート!$M$113:$M$132,$G1544,月間集計シート!R$113:R$132)*AP$2</f>
        <v>0</v>
      </c>
      <c r="AQ1544" s="88">
        <f>SUMIF(月間集計シート!$M$113:$M$132,$G1544,月間集計シート!S$113:S$132)*AQ$2</f>
        <v>0</v>
      </c>
      <c r="AR1544" s="88">
        <f>SUMIF(月間集計シート!$M$113:$M$132,$G1544,月間集計シート!T$113:T$132)*AR$2</f>
        <v>0</v>
      </c>
      <c r="AS1544" s="88">
        <f>SUMIF(月間集計シート!$M$134:$M$153,$G1544,月間集計シート!N$134:N$153)*AS$2</f>
        <v>0</v>
      </c>
      <c r="AT1544" s="88">
        <f>SUMIF(月間集計シート!$M$134:$M$153,$G1544,月間集計シート!O$134:O$153)*AT$2</f>
        <v>0</v>
      </c>
      <c r="AU1544" s="88">
        <f>SUMIF(月間集計シート!$M$134:$M$153,$G1544,月間集計シート!P$134:P$153)*AU$2</f>
        <v>0</v>
      </c>
      <c r="AV1544" s="88">
        <f>SUMIF(月間集計シート!$M$134:$M$153,$G1544,月間集計シート!Q$134:Q$153)*AV$2</f>
        <v>0</v>
      </c>
      <c r="AW1544" s="88">
        <f>SUMIF(月間集計シート!$M$134:$M$153,$G1544,月間集計シート!R$134:R$153)*AW$2</f>
        <v>0</v>
      </c>
      <c r="AX1544" s="88">
        <f>SUMIF(月間集計シート!$M$134:$M$153,$G1544,月間集計シート!S$134:S$153)*AX$2</f>
        <v>0</v>
      </c>
      <c r="AY1544" s="88">
        <f>SUMIF(月間集計シート!$M$134:$M$153,$G1544,月間集計シート!T$134:T$153)*AY$2</f>
        <v>0</v>
      </c>
    </row>
    <row r="1545" spans="1:51" ht="14.25" thickBot="1">
      <c r="A1545">
        <v>19</v>
      </c>
      <c r="B1545" s="120">
        <f t="shared" si="888"/>
        <v>0</v>
      </c>
      <c r="C1545" s="120" t="str">
        <f t="shared" si="889"/>
        <v/>
      </c>
      <c r="D1545" s="137"/>
      <c r="E1545" s="150" t="str">
        <f>工種!A7</f>
        <v>20101</v>
      </c>
      <c r="F1545" s="119" t="str">
        <f>工種!B7</f>
        <v>設計：外部設計書作成</v>
      </c>
      <c r="G1545" s="116" t="str">
        <f t="shared" si="837"/>
        <v>020101</v>
      </c>
      <c r="H1545" s="88">
        <f t="shared" si="844"/>
        <v>0</v>
      </c>
      <c r="I1545" s="132"/>
      <c r="J1545" s="88">
        <f>SUMIF(月間集計シート!$M$29:$M$48,$G1545,月間集計シート!N$29:N$48)*J$2</f>
        <v>0</v>
      </c>
      <c r="K1545" s="88">
        <f>SUMIF(月間集計シート!$M$29:$M$48,$G1545,月間集計シート!O$29:O$48)*K$2</f>
        <v>0</v>
      </c>
      <c r="L1545" s="88">
        <f>SUMIF(月間集計シート!$M$29:$M$48,$G1545,月間集計シート!P$29:P$48)*L$2</f>
        <v>0</v>
      </c>
      <c r="M1545" s="88">
        <f>SUMIF(月間集計シート!$M$29:$M$48,$G1545,月間集計シート!Q$29:Q$48)*M$2</f>
        <v>0</v>
      </c>
      <c r="N1545" s="88">
        <f>SUMIF(月間集計シート!$M$29:$M$48,$G1545,月間集計シート!R$29:R$48)*N$2</f>
        <v>0</v>
      </c>
      <c r="O1545" s="88">
        <f>SUMIF(月間集計シート!$M$29:$M$48,$G1545,月間集計シート!S$29:S$48)*O$2</f>
        <v>0</v>
      </c>
      <c r="P1545" s="88">
        <f>SUMIF(月間集計シート!$M$29:$M$48,$G1545,月間集計シート!T$29:T$48)*P$2</f>
        <v>0</v>
      </c>
      <c r="Q1545" s="88">
        <f>SUMIF(月間集計シート!$M$50:$M$69,$G1545,月間集計シート!N$50:N$69)*Q$2</f>
        <v>0</v>
      </c>
      <c r="R1545" s="88">
        <f>SUMIF(月間集計シート!$M$50:$M$69,$G1545,月間集計シート!O$50:O$69)*R$2</f>
        <v>0</v>
      </c>
      <c r="S1545" s="88">
        <f>SUMIF(月間集計シート!$M$50:$M$69,$G1545,月間集計シート!P$50:P$69)*S$2</f>
        <v>0</v>
      </c>
      <c r="T1545" s="88">
        <f>SUMIF(月間集計シート!$M$50:$M$69,$G1545,月間集計シート!Q$50:Q$69)*T$2</f>
        <v>0</v>
      </c>
      <c r="U1545" s="88">
        <f>SUMIF(月間集計シート!$M$50:$M$69,$G1545,月間集計シート!R$50:R$69)*U$2</f>
        <v>0</v>
      </c>
      <c r="V1545" s="88">
        <f>SUMIF(月間集計シート!$M$50:$M$69,$G1545,月間集計シート!S$50:S$69)*V$2</f>
        <v>0</v>
      </c>
      <c r="W1545" s="88">
        <f>SUMIF(月間集計シート!$M$50:$M$69,$G1545,月間集計シート!T$50:T$69)*W$2</f>
        <v>0</v>
      </c>
      <c r="X1545" s="88">
        <f>SUMIF(月間集計シート!$M$71:$M$90,$G1545,月間集計シート!N$71:N$90)*X$2</f>
        <v>0</v>
      </c>
      <c r="Y1545" s="88">
        <f>SUMIF(月間集計シート!$M$71:$M$90,$G1545,月間集計シート!O$71:O$90)*Y$2</f>
        <v>0</v>
      </c>
      <c r="Z1545" s="88">
        <f>SUMIF(月間集計シート!$M$71:$M$90,$G1545,月間集計シート!P$71:P$90)*Z$2</f>
        <v>0</v>
      </c>
      <c r="AA1545" s="88">
        <f>SUMIF(月間集計シート!$M$71:$M$90,$G1545,月間集計シート!Q$71:Q$90)*AA$2</f>
        <v>0</v>
      </c>
      <c r="AB1545" s="88">
        <f>SUMIF(月間集計シート!$M$71:$M$90,$G1545,月間集計シート!R$71:R$90)*AB$2</f>
        <v>0</v>
      </c>
      <c r="AC1545" s="88">
        <f>SUMIF(月間集計シート!$M$71:$M$90,$G1545,月間集計シート!S$71:S$90)*AC$2</f>
        <v>0</v>
      </c>
      <c r="AD1545" s="88">
        <f>SUMIF(月間集計シート!$M$71:$M$90,$G1545,月間集計シート!T$71:T$90)*AD$2</f>
        <v>0</v>
      </c>
      <c r="AE1545" s="88">
        <f>SUMIF(月間集計シート!$M$92:$M$111,$G1545,月間集計シート!N$92:N$111)*AE$2</f>
        <v>0</v>
      </c>
      <c r="AF1545" s="88">
        <f>SUMIF(月間集計シート!$M$92:$M$111,$G1545,月間集計シート!O$92:O$111)*AF$2</f>
        <v>0</v>
      </c>
      <c r="AG1545" s="88">
        <f>SUMIF(月間集計シート!$M$92:$M$111,$G1545,月間集計シート!P$92:P$111)*AG$2</f>
        <v>0</v>
      </c>
      <c r="AH1545" s="88">
        <f>SUMIF(月間集計シート!$M$92:$M$111,$G1545,月間集計シート!Q$92:Q$111)*AH$2</f>
        <v>0</v>
      </c>
      <c r="AI1545" s="88">
        <f>SUMIF(月間集計シート!$M$92:$M$111,$G1545,月間集計シート!R$92:R$111)*AI$2</f>
        <v>0</v>
      </c>
      <c r="AJ1545" s="88">
        <f>SUMIF(月間集計シート!$M$92:$M$111,$G1545,月間集計シート!S$92:S$111)*AJ$2</f>
        <v>0</v>
      </c>
      <c r="AK1545" s="88">
        <f>SUMIF(月間集計シート!$M$92:$M$111,$G1545,月間集計シート!T$92:T$111)*AK$2</f>
        <v>0</v>
      </c>
      <c r="AL1545" s="88">
        <f>SUMIF(月間集計シート!$M$113:$M$132,$G1545,月間集計シート!N$113:N$132)*AL$2</f>
        <v>0</v>
      </c>
      <c r="AM1545" s="88">
        <f>SUMIF(月間集計シート!$M$113:$M$132,$G1545,月間集計シート!O$113:O$132)*AM$2</f>
        <v>0</v>
      </c>
      <c r="AN1545" s="88">
        <f>SUMIF(月間集計シート!$M$113:$M$132,$G1545,月間集計シート!P$113:P$132)*AN$2</f>
        <v>0</v>
      </c>
      <c r="AO1545" s="88">
        <f>SUMIF(月間集計シート!$M$113:$M$132,$G1545,月間集計シート!Q$113:Q$132)*AO$2</f>
        <v>0</v>
      </c>
      <c r="AP1545" s="88">
        <f>SUMIF(月間集計シート!$M$113:$M$132,$G1545,月間集計シート!R$113:R$132)*AP$2</f>
        <v>0</v>
      </c>
      <c r="AQ1545" s="88">
        <f>SUMIF(月間集計シート!$M$113:$M$132,$G1545,月間集計シート!S$113:S$132)*AQ$2</f>
        <v>0</v>
      </c>
      <c r="AR1545" s="88">
        <f>SUMIF(月間集計シート!$M$113:$M$132,$G1545,月間集計シート!T$113:T$132)*AR$2</f>
        <v>0</v>
      </c>
      <c r="AS1545" s="88">
        <f>SUMIF(月間集計シート!$M$134:$M$153,$G1545,月間集計シート!N$134:N$153)*AS$2</f>
        <v>0</v>
      </c>
      <c r="AT1545" s="88">
        <f>SUMIF(月間集計シート!$M$134:$M$153,$G1545,月間集計シート!O$134:O$153)*AT$2</f>
        <v>0</v>
      </c>
      <c r="AU1545" s="88">
        <f>SUMIF(月間集計シート!$M$134:$M$153,$G1545,月間集計シート!P$134:P$153)*AU$2</f>
        <v>0</v>
      </c>
      <c r="AV1545" s="88">
        <f>SUMIF(月間集計シート!$M$134:$M$153,$G1545,月間集計シート!Q$134:Q$153)*AV$2</f>
        <v>0</v>
      </c>
      <c r="AW1545" s="88">
        <f>SUMIF(月間集計シート!$M$134:$M$153,$G1545,月間集計シート!R$134:R$153)*AW$2</f>
        <v>0</v>
      </c>
      <c r="AX1545" s="88">
        <f>SUMIF(月間集計シート!$M$134:$M$153,$G1545,月間集計シート!S$134:S$153)*AX$2</f>
        <v>0</v>
      </c>
      <c r="AY1545" s="88">
        <f>SUMIF(月間集計シート!$M$134:$M$153,$G1545,月間集計シート!T$134:T$153)*AY$2</f>
        <v>0</v>
      </c>
    </row>
    <row r="1546" spans="1:51" ht="14.25" thickBot="1">
      <c r="A1546">
        <v>19</v>
      </c>
      <c r="B1546" s="120">
        <f t="shared" si="888"/>
        <v>0</v>
      </c>
      <c r="C1546" s="120" t="str">
        <f t="shared" si="889"/>
        <v/>
      </c>
      <c r="D1546" s="137"/>
      <c r="E1546" s="150" t="str">
        <f>工種!A8</f>
        <v>20103</v>
      </c>
      <c r="F1546" s="119" t="str">
        <f>工種!B8</f>
        <v>設計：打合せ</v>
      </c>
      <c r="G1546" s="116" t="str">
        <f t="shared" si="837"/>
        <v>020103</v>
      </c>
      <c r="H1546" s="88">
        <f t="shared" si="844"/>
        <v>0</v>
      </c>
      <c r="I1546" s="132"/>
      <c r="J1546" s="88">
        <f>SUMIF(月間集計シート!$M$29:$M$48,$G1546,月間集計シート!N$29:N$48)*J$2</f>
        <v>0</v>
      </c>
      <c r="K1546" s="88">
        <f>SUMIF(月間集計シート!$M$29:$M$48,$G1546,月間集計シート!O$29:O$48)*K$2</f>
        <v>0</v>
      </c>
      <c r="L1546" s="88">
        <f>SUMIF(月間集計シート!$M$29:$M$48,$G1546,月間集計シート!P$29:P$48)*L$2</f>
        <v>0</v>
      </c>
      <c r="M1546" s="88">
        <f>SUMIF(月間集計シート!$M$29:$M$48,$G1546,月間集計シート!Q$29:Q$48)*M$2</f>
        <v>0</v>
      </c>
      <c r="N1546" s="88">
        <f>SUMIF(月間集計シート!$M$29:$M$48,$G1546,月間集計シート!R$29:R$48)*N$2</f>
        <v>0</v>
      </c>
      <c r="O1546" s="88">
        <f>SUMIF(月間集計シート!$M$29:$M$48,$G1546,月間集計シート!S$29:S$48)*O$2</f>
        <v>0</v>
      </c>
      <c r="P1546" s="88">
        <f>SUMIF(月間集計シート!$M$29:$M$48,$G1546,月間集計シート!T$29:T$48)*P$2</f>
        <v>0</v>
      </c>
      <c r="Q1546" s="88">
        <f>SUMIF(月間集計シート!$M$50:$M$69,$G1546,月間集計シート!N$50:N$69)*Q$2</f>
        <v>0</v>
      </c>
      <c r="R1546" s="88">
        <f>SUMIF(月間集計シート!$M$50:$M$69,$G1546,月間集計シート!O$50:O$69)*R$2</f>
        <v>0</v>
      </c>
      <c r="S1546" s="88">
        <f>SUMIF(月間集計シート!$M$50:$M$69,$G1546,月間集計シート!P$50:P$69)*S$2</f>
        <v>0</v>
      </c>
      <c r="T1546" s="88">
        <f>SUMIF(月間集計シート!$M$50:$M$69,$G1546,月間集計シート!Q$50:Q$69)*T$2</f>
        <v>0</v>
      </c>
      <c r="U1546" s="88">
        <f>SUMIF(月間集計シート!$M$50:$M$69,$G1546,月間集計シート!R$50:R$69)*U$2</f>
        <v>0</v>
      </c>
      <c r="V1546" s="88">
        <f>SUMIF(月間集計シート!$M$50:$M$69,$G1546,月間集計シート!S$50:S$69)*V$2</f>
        <v>0</v>
      </c>
      <c r="W1546" s="88">
        <f>SUMIF(月間集計シート!$M$50:$M$69,$G1546,月間集計シート!T$50:T$69)*W$2</f>
        <v>0</v>
      </c>
      <c r="X1546" s="88">
        <f>SUMIF(月間集計シート!$M$71:$M$90,$G1546,月間集計シート!N$71:N$90)*X$2</f>
        <v>0</v>
      </c>
      <c r="Y1546" s="88">
        <f>SUMIF(月間集計シート!$M$71:$M$90,$G1546,月間集計シート!O$71:O$90)*Y$2</f>
        <v>0</v>
      </c>
      <c r="Z1546" s="88">
        <f>SUMIF(月間集計シート!$M$71:$M$90,$G1546,月間集計シート!P$71:P$90)*Z$2</f>
        <v>0</v>
      </c>
      <c r="AA1546" s="88">
        <f>SUMIF(月間集計シート!$M$71:$M$90,$G1546,月間集計シート!Q$71:Q$90)*AA$2</f>
        <v>0</v>
      </c>
      <c r="AB1546" s="88">
        <f>SUMIF(月間集計シート!$M$71:$M$90,$G1546,月間集計シート!R$71:R$90)*AB$2</f>
        <v>0</v>
      </c>
      <c r="AC1546" s="88">
        <f>SUMIF(月間集計シート!$M$71:$M$90,$G1546,月間集計シート!S$71:S$90)*AC$2</f>
        <v>0</v>
      </c>
      <c r="AD1546" s="88">
        <f>SUMIF(月間集計シート!$M$71:$M$90,$G1546,月間集計シート!T$71:T$90)*AD$2</f>
        <v>0</v>
      </c>
      <c r="AE1546" s="88">
        <f>SUMIF(月間集計シート!$M$92:$M$111,$G1546,月間集計シート!N$92:N$111)*AE$2</f>
        <v>0</v>
      </c>
      <c r="AF1546" s="88">
        <f>SUMIF(月間集計シート!$M$92:$M$111,$G1546,月間集計シート!O$92:O$111)*AF$2</f>
        <v>0</v>
      </c>
      <c r="AG1546" s="88">
        <f>SUMIF(月間集計シート!$M$92:$M$111,$G1546,月間集計シート!P$92:P$111)*AG$2</f>
        <v>0</v>
      </c>
      <c r="AH1546" s="88">
        <f>SUMIF(月間集計シート!$M$92:$M$111,$G1546,月間集計シート!Q$92:Q$111)*AH$2</f>
        <v>0</v>
      </c>
      <c r="AI1546" s="88">
        <f>SUMIF(月間集計シート!$M$92:$M$111,$G1546,月間集計シート!R$92:R$111)*AI$2</f>
        <v>0</v>
      </c>
      <c r="AJ1546" s="88">
        <f>SUMIF(月間集計シート!$M$92:$M$111,$G1546,月間集計シート!S$92:S$111)*AJ$2</f>
        <v>0</v>
      </c>
      <c r="AK1546" s="88">
        <f>SUMIF(月間集計シート!$M$92:$M$111,$G1546,月間集計シート!T$92:T$111)*AK$2</f>
        <v>0</v>
      </c>
      <c r="AL1546" s="88">
        <f>SUMIF(月間集計シート!$M$113:$M$132,$G1546,月間集計シート!N$113:N$132)*AL$2</f>
        <v>0</v>
      </c>
      <c r="AM1546" s="88">
        <f>SUMIF(月間集計シート!$M$113:$M$132,$G1546,月間集計シート!O$113:O$132)*AM$2</f>
        <v>0</v>
      </c>
      <c r="AN1546" s="88">
        <f>SUMIF(月間集計シート!$M$113:$M$132,$G1546,月間集計シート!P$113:P$132)*AN$2</f>
        <v>0</v>
      </c>
      <c r="AO1546" s="88">
        <f>SUMIF(月間集計シート!$M$113:$M$132,$G1546,月間集計シート!Q$113:Q$132)*AO$2</f>
        <v>0</v>
      </c>
      <c r="AP1546" s="88">
        <f>SUMIF(月間集計シート!$M$113:$M$132,$G1546,月間集計シート!R$113:R$132)*AP$2</f>
        <v>0</v>
      </c>
      <c r="AQ1546" s="88">
        <f>SUMIF(月間集計シート!$M$113:$M$132,$G1546,月間集計シート!S$113:S$132)*AQ$2</f>
        <v>0</v>
      </c>
      <c r="AR1546" s="88">
        <f>SUMIF(月間集計シート!$M$113:$M$132,$G1546,月間集計シート!T$113:T$132)*AR$2</f>
        <v>0</v>
      </c>
      <c r="AS1546" s="88">
        <f>SUMIF(月間集計シート!$M$134:$M$153,$G1546,月間集計シート!N$134:N$153)*AS$2</f>
        <v>0</v>
      </c>
      <c r="AT1546" s="88">
        <f>SUMIF(月間集計シート!$M$134:$M$153,$G1546,月間集計シート!O$134:O$153)*AT$2</f>
        <v>0</v>
      </c>
      <c r="AU1546" s="88">
        <f>SUMIF(月間集計シート!$M$134:$M$153,$G1546,月間集計シート!P$134:P$153)*AU$2</f>
        <v>0</v>
      </c>
      <c r="AV1546" s="88">
        <f>SUMIF(月間集計シート!$M$134:$M$153,$G1546,月間集計シート!Q$134:Q$153)*AV$2</f>
        <v>0</v>
      </c>
      <c r="AW1546" s="88">
        <f>SUMIF(月間集計シート!$M$134:$M$153,$G1546,月間集計シート!R$134:R$153)*AW$2</f>
        <v>0</v>
      </c>
      <c r="AX1546" s="88">
        <f>SUMIF(月間集計シート!$M$134:$M$153,$G1546,月間集計シート!S$134:S$153)*AX$2</f>
        <v>0</v>
      </c>
      <c r="AY1546" s="88">
        <f>SUMIF(月間集計シート!$M$134:$M$153,$G1546,月間集計シート!T$134:T$153)*AY$2</f>
        <v>0</v>
      </c>
    </row>
    <row r="1547" spans="1:51" ht="14.25" thickBot="1">
      <c r="A1547">
        <v>19</v>
      </c>
      <c r="B1547" s="120">
        <f t="shared" si="888"/>
        <v>0</v>
      </c>
      <c r="C1547" s="120" t="str">
        <f t="shared" si="889"/>
        <v/>
      </c>
      <c r="D1547" s="137"/>
      <c r="E1547" s="150">
        <f>工種!A9</f>
        <v>20105</v>
      </c>
      <c r="F1547" s="119" t="str">
        <f>工種!B9</f>
        <v>設計：原因調査・影響範囲分析・変更仕様作成</v>
      </c>
      <c r="G1547" s="116" t="str">
        <f t="shared" si="837"/>
        <v>020105</v>
      </c>
      <c r="H1547" s="88">
        <f t="shared" si="844"/>
        <v>0</v>
      </c>
      <c r="I1547" s="132"/>
      <c r="J1547" s="88">
        <f>SUMIF(月間集計シート!$M$29:$M$48,$G1547,月間集計シート!N$29:N$48)*J$2</f>
        <v>0</v>
      </c>
      <c r="K1547" s="88">
        <f>SUMIF(月間集計シート!$M$29:$M$48,$G1547,月間集計シート!O$29:O$48)*K$2</f>
        <v>0</v>
      </c>
      <c r="L1547" s="88">
        <f>SUMIF(月間集計シート!$M$29:$M$48,$G1547,月間集計シート!P$29:P$48)*L$2</f>
        <v>0</v>
      </c>
      <c r="M1547" s="88">
        <f>SUMIF(月間集計シート!$M$29:$M$48,$G1547,月間集計シート!Q$29:Q$48)*M$2</f>
        <v>0</v>
      </c>
      <c r="N1547" s="88">
        <f>SUMIF(月間集計シート!$M$29:$M$48,$G1547,月間集計シート!R$29:R$48)*N$2</f>
        <v>0</v>
      </c>
      <c r="O1547" s="88">
        <f>SUMIF(月間集計シート!$M$29:$M$48,$G1547,月間集計シート!S$29:S$48)*O$2</f>
        <v>0</v>
      </c>
      <c r="P1547" s="88">
        <f>SUMIF(月間集計シート!$M$29:$M$48,$G1547,月間集計シート!T$29:T$48)*P$2</f>
        <v>0</v>
      </c>
      <c r="Q1547" s="88">
        <f>SUMIF(月間集計シート!$M$50:$M$69,$G1547,月間集計シート!N$50:N$69)*Q$2</f>
        <v>0</v>
      </c>
      <c r="R1547" s="88">
        <f>SUMIF(月間集計シート!$M$50:$M$69,$G1547,月間集計シート!O$50:O$69)*R$2</f>
        <v>0</v>
      </c>
      <c r="S1547" s="88">
        <f>SUMIF(月間集計シート!$M$50:$M$69,$G1547,月間集計シート!P$50:P$69)*S$2</f>
        <v>0</v>
      </c>
      <c r="T1547" s="88">
        <f>SUMIF(月間集計シート!$M$50:$M$69,$G1547,月間集計シート!Q$50:Q$69)*T$2</f>
        <v>0</v>
      </c>
      <c r="U1547" s="88">
        <f>SUMIF(月間集計シート!$M$50:$M$69,$G1547,月間集計シート!R$50:R$69)*U$2</f>
        <v>0</v>
      </c>
      <c r="V1547" s="88">
        <f>SUMIF(月間集計シート!$M$50:$M$69,$G1547,月間集計シート!S$50:S$69)*V$2</f>
        <v>0</v>
      </c>
      <c r="W1547" s="88">
        <f>SUMIF(月間集計シート!$M$50:$M$69,$G1547,月間集計シート!T$50:T$69)*W$2</f>
        <v>0</v>
      </c>
      <c r="X1547" s="88">
        <f>SUMIF(月間集計シート!$M$71:$M$90,$G1547,月間集計シート!N$71:N$90)*X$2</f>
        <v>0</v>
      </c>
      <c r="Y1547" s="88">
        <f>SUMIF(月間集計シート!$M$71:$M$90,$G1547,月間集計シート!O$71:O$90)*Y$2</f>
        <v>0</v>
      </c>
      <c r="Z1547" s="88">
        <f>SUMIF(月間集計シート!$M$71:$M$90,$G1547,月間集計シート!P$71:P$90)*Z$2</f>
        <v>0</v>
      </c>
      <c r="AA1547" s="88">
        <f>SUMIF(月間集計シート!$M$71:$M$90,$G1547,月間集計シート!Q$71:Q$90)*AA$2</f>
        <v>0</v>
      </c>
      <c r="AB1547" s="88">
        <f>SUMIF(月間集計シート!$M$71:$M$90,$G1547,月間集計シート!R$71:R$90)*AB$2</f>
        <v>0</v>
      </c>
      <c r="AC1547" s="88">
        <f>SUMIF(月間集計シート!$M$71:$M$90,$G1547,月間集計シート!S$71:S$90)*AC$2</f>
        <v>0</v>
      </c>
      <c r="AD1547" s="88">
        <f>SUMIF(月間集計シート!$M$71:$M$90,$G1547,月間集計シート!T$71:T$90)*AD$2</f>
        <v>0</v>
      </c>
      <c r="AE1547" s="88">
        <f>SUMIF(月間集計シート!$M$92:$M$111,$G1547,月間集計シート!N$92:N$111)*AE$2</f>
        <v>0</v>
      </c>
      <c r="AF1547" s="88">
        <f>SUMIF(月間集計シート!$M$92:$M$111,$G1547,月間集計シート!O$92:O$111)*AF$2</f>
        <v>0</v>
      </c>
      <c r="AG1547" s="88">
        <f>SUMIF(月間集計シート!$M$92:$M$111,$G1547,月間集計シート!P$92:P$111)*AG$2</f>
        <v>0</v>
      </c>
      <c r="AH1547" s="88">
        <f>SUMIF(月間集計シート!$M$92:$M$111,$G1547,月間集計シート!Q$92:Q$111)*AH$2</f>
        <v>0</v>
      </c>
      <c r="AI1547" s="88">
        <f>SUMIF(月間集計シート!$M$92:$M$111,$G1547,月間集計シート!R$92:R$111)*AI$2</f>
        <v>0</v>
      </c>
      <c r="AJ1547" s="88">
        <f>SUMIF(月間集計シート!$M$92:$M$111,$G1547,月間集計シート!S$92:S$111)*AJ$2</f>
        <v>0</v>
      </c>
      <c r="AK1547" s="88">
        <f>SUMIF(月間集計シート!$M$92:$M$111,$G1547,月間集計シート!T$92:T$111)*AK$2</f>
        <v>0</v>
      </c>
      <c r="AL1547" s="88">
        <f>SUMIF(月間集計シート!$M$113:$M$132,$G1547,月間集計シート!N$113:N$132)*AL$2</f>
        <v>0</v>
      </c>
      <c r="AM1547" s="88">
        <f>SUMIF(月間集計シート!$M$113:$M$132,$G1547,月間集計シート!O$113:O$132)*AM$2</f>
        <v>0</v>
      </c>
      <c r="AN1547" s="88">
        <f>SUMIF(月間集計シート!$M$113:$M$132,$G1547,月間集計シート!P$113:P$132)*AN$2</f>
        <v>0</v>
      </c>
      <c r="AO1547" s="88">
        <f>SUMIF(月間集計シート!$M$113:$M$132,$G1547,月間集計シート!Q$113:Q$132)*AO$2</f>
        <v>0</v>
      </c>
      <c r="AP1547" s="88">
        <f>SUMIF(月間集計シート!$M$113:$M$132,$G1547,月間集計シート!R$113:R$132)*AP$2</f>
        <v>0</v>
      </c>
      <c r="AQ1547" s="88">
        <f>SUMIF(月間集計シート!$M$113:$M$132,$G1547,月間集計シート!S$113:S$132)*AQ$2</f>
        <v>0</v>
      </c>
      <c r="AR1547" s="88">
        <f>SUMIF(月間集計シート!$M$113:$M$132,$G1547,月間集計シート!T$113:T$132)*AR$2</f>
        <v>0</v>
      </c>
      <c r="AS1547" s="88">
        <f>SUMIF(月間集計シート!$M$134:$M$153,$G1547,月間集計シート!N$134:N$153)*AS$2</f>
        <v>0</v>
      </c>
      <c r="AT1547" s="88">
        <f>SUMIF(月間集計シート!$M$134:$M$153,$G1547,月間集計シート!O$134:O$153)*AT$2</f>
        <v>0</v>
      </c>
      <c r="AU1547" s="88">
        <f>SUMIF(月間集計シート!$M$134:$M$153,$G1547,月間集計シート!P$134:P$153)*AU$2</f>
        <v>0</v>
      </c>
      <c r="AV1547" s="88">
        <f>SUMIF(月間集計シート!$M$134:$M$153,$G1547,月間集計シート!Q$134:Q$153)*AV$2</f>
        <v>0</v>
      </c>
      <c r="AW1547" s="88">
        <f>SUMIF(月間集計シート!$M$134:$M$153,$G1547,月間集計シート!R$134:R$153)*AW$2</f>
        <v>0</v>
      </c>
      <c r="AX1547" s="88">
        <f>SUMIF(月間集計シート!$M$134:$M$153,$G1547,月間集計シート!S$134:S$153)*AX$2</f>
        <v>0</v>
      </c>
      <c r="AY1547" s="88">
        <f>SUMIF(月間集計シート!$M$134:$M$153,$G1547,月間集計シート!T$134:T$153)*AY$2</f>
        <v>0</v>
      </c>
    </row>
    <row r="1548" spans="1:51" ht="14.25" thickBot="1">
      <c r="A1548">
        <v>19</v>
      </c>
      <c r="B1548" s="120">
        <f t="shared" si="888"/>
        <v>0</v>
      </c>
      <c r="C1548" s="120" t="str">
        <f t="shared" si="889"/>
        <v/>
      </c>
      <c r="D1548" s="137"/>
      <c r="E1548" s="150" t="str">
        <f>工種!A10</f>
        <v>20106</v>
      </c>
      <c r="F1548" s="119" t="str">
        <f>工種!B10</f>
        <v>設計：設計書修正（手戻り分）</v>
      </c>
      <c r="G1548" s="116" t="str">
        <f t="shared" si="837"/>
        <v>020106</v>
      </c>
      <c r="H1548" s="88">
        <f t="shared" si="844"/>
        <v>0</v>
      </c>
      <c r="I1548" s="132"/>
      <c r="J1548" s="88">
        <f>SUMIF(月間集計シート!$M$29:$M$48,$G1548,月間集計シート!N$29:N$48)*J$2</f>
        <v>0</v>
      </c>
      <c r="K1548" s="88">
        <f>SUMIF(月間集計シート!$M$29:$M$48,$G1548,月間集計シート!O$29:O$48)*K$2</f>
        <v>0</v>
      </c>
      <c r="L1548" s="88">
        <f>SUMIF(月間集計シート!$M$29:$M$48,$G1548,月間集計シート!P$29:P$48)*L$2</f>
        <v>0</v>
      </c>
      <c r="M1548" s="88">
        <f>SUMIF(月間集計シート!$M$29:$M$48,$G1548,月間集計シート!Q$29:Q$48)*M$2</f>
        <v>0</v>
      </c>
      <c r="N1548" s="88">
        <f>SUMIF(月間集計シート!$M$29:$M$48,$G1548,月間集計シート!R$29:R$48)*N$2</f>
        <v>0</v>
      </c>
      <c r="O1548" s="88">
        <f>SUMIF(月間集計シート!$M$29:$M$48,$G1548,月間集計シート!S$29:S$48)*O$2</f>
        <v>0</v>
      </c>
      <c r="P1548" s="88">
        <f>SUMIF(月間集計シート!$M$29:$M$48,$G1548,月間集計シート!T$29:T$48)*P$2</f>
        <v>0</v>
      </c>
      <c r="Q1548" s="88">
        <f>SUMIF(月間集計シート!$M$50:$M$69,$G1548,月間集計シート!N$50:N$69)*Q$2</f>
        <v>0</v>
      </c>
      <c r="R1548" s="88">
        <f>SUMIF(月間集計シート!$M$50:$M$69,$G1548,月間集計シート!O$50:O$69)*R$2</f>
        <v>0</v>
      </c>
      <c r="S1548" s="88">
        <f>SUMIF(月間集計シート!$M$50:$M$69,$G1548,月間集計シート!P$50:P$69)*S$2</f>
        <v>0</v>
      </c>
      <c r="T1548" s="88">
        <f>SUMIF(月間集計シート!$M$50:$M$69,$G1548,月間集計シート!Q$50:Q$69)*T$2</f>
        <v>0</v>
      </c>
      <c r="U1548" s="88">
        <f>SUMIF(月間集計シート!$M$50:$M$69,$G1548,月間集計シート!R$50:R$69)*U$2</f>
        <v>0</v>
      </c>
      <c r="V1548" s="88">
        <f>SUMIF(月間集計シート!$M$50:$M$69,$G1548,月間集計シート!S$50:S$69)*V$2</f>
        <v>0</v>
      </c>
      <c r="W1548" s="88">
        <f>SUMIF(月間集計シート!$M$50:$M$69,$G1548,月間集計シート!T$50:T$69)*W$2</f>
        <v>0</v>
      </c>
      <c r="X1548" s="88">
        <f>SUMIF(月間集計シート!$M$71:$M$90,$G1548,月間集計シート!N$71:N$90)*X$2</f>
        <v>0</v>
      </c>
      <c r="Y1548" s="88">
        <f>SUMIF(月間集計シート!$M$71:$M$90,$G1548,月間集計シート!O$71:O$90)*Y$2</f>
        <v>0</v>
      </c>
      <c r="Z1548" s="88">
        <f>SUMIF(月間集計シート!$M$71:$M$90,$G1548,月間集計シート!P$71:P$90)*Z$2</f>
        <v>0</v>
      </c>
      <c r="AA1548" s="88">
        <f>SUMIF(月間集計シート!$M$71:$M$90,$G1548,月間集計シート!Q$71:Q$90)*AA$2</f>
        <v>0</v>
      </c>
      <c r="AB1548" s="88">
        <f>SUMIF(月間集計シート!$M$71:$M$90,$G1548,月間集計シート!R$71:R$90)*AB$2</f>
        <v>0</v>
      </c>
      <c r="AC1548" s="88">
        <f>SUMIF(月間集計シート!$M$71:$M$90,$G1548,月間集計シート!S$71:S$90)*AC$2</f>
        <v>0</v>
      </c>
      <c r="AD1548" s="88">
        <f>SUMIF(月間集計シート!$M$71:$M$90,$G1548,月間集計シート!T$71:T$90)*AD$2</f>
        <v>0</v>
      </c>
      <c r="AE1548" s="88">
        <f>SUMIF(月間集計シート!$M$92:$M$111,$G1548,月間集計シート!N$92:N$111)*AE$2</f>
        <v>0</v>
      </c>
      <c r="AF1548" s="88">
        <f>SUMIF(月間集計シート!$M$92:$M$111,$G1548,月間集計シート!O$92:O$111)*AF$2</f>
        <v>0</v>
      </c>
      <c r="AG1548" s="88">
        <f>SUMIF(月間集計シート!$M$92:$M$111,$G1548,月間集計シート!P$92:P$111)*AG$2</f>
        <v>0</v>
      </c>
      <c r="AH1548" s="88">
        <f>SUMIF(月間集計シート!$M$92:$M$111,$G1548,月間集計シート!Q$92:Q$111)*AH$2</f>
        <v>0</v>
      </c>
      <c r="AI1548" s="88">
        <f>SUMIF(月間集計シート!$M$92:$M$111,$G1548,月間集計シート!R$92:R$111)*AI$2</f>
        <v>0</v>
      </c>
      <c r="AJ1548" s="88">
        <f>SUMIF(月間集計シート!$M$92:$M$111,$G1548,月間集計シート!S$92:S$111)*AJ$2</f>
        <v>0</v>
      </c>
      <c r="AK1548" s="88">
        <f>SUMIF(月間集計シート!$M$92:$M$111,$G1548,月間集計シート!T$92:T$111)*AK$2</f>
        <v>0</v>
      </c>
      <c r="AL1548" s="88">
        <f>SUMIF(月間集計シート!$M$113:$M$132,$G1548,月間集計シート!N$113:N$132)*AL$2</f>
        <v>0</v>
      </c>
      <c r="AM1548" s="88">
        <f>SUMIF(月間集計シート!$M$113:$M$132,$G1548,月間集計シート!O$113:O$132)*AM$2</f>
        <v>0</v>
      </c>
      <c r="AN1548" s="88">
        <f>SUMIF(月間集計シート!$M$113:$M$132,$G1548,月間集計シート!P$113:P$132)*AN$2</f>
        <v>0</v>
      </c>
      <c r="AO1548" s="88">
        <f>SUMIF(月間集計シート!$M$113:$M$132,$G1548,月間集計シート!Q$113:Q$132)*AO$2</f>
        <v>0</v>
      </c>
      <c r="AP1548" s="88">
        <f>SUMIF(月間集計シート!$M$113:$M$132,$G1548,月間集計シート!R$113:R$132)*AP$2</f>
        <v>0</v>
      </c>
      <c r="AQ1548" s="88">
        <f>SUMIF(月間集計シート!$M$113:$M$132,$G1548,月間集計シート!S$113:S$132)*AQ$2</f>
        <v>0</v>
      </c>
      <c r="AR1548" s="88">
        <f>SUMIF(月間集計シート!$M$113:$M$132,$G1548,月間集計シート!T$113:T$132)*AR$2</f>
        <v>0</v>
      </c>
      <c r="AS1548" s="88">
        <f>SUMIF(月間集計シート!$M$134:$M$153,$G1548,月間集計シート!N$134:N$153)*AS$2</f>
        <v>0</v>
      </c>
      <c r="AT1548" s="88">
        <f>SUMIF(月間集計シート!$M$134:$M$153,$G1548,月間集計シート!O$134:O$153)*AT$2</f>
        <v>0</v>
      </c>
      <c r="AU1548" s="88">
        <f>SUMIF(月間集計シート!$M$134:$M$153,$G1548,月間集計シート!P$134:P$153)*AU$2</f>
        <v>0</v>
      </c>
      <c r="AV1548" s="88">
        <f>SUMIF(月間集計シート!$M$134:$M$153,$G1548,月間集計シート!Q$134:Q$153)*AV$2</f>
        <v>0</v>
      </c>
      <c r="AW1548" s="88">
        <f>SUMIF(月間集計シート!$M$134:$M$153,$G1548,月間集計シート!R$134:R$153)*AW$2</f>
        <v>0</v>
      </c>
      <c r="AX1548" s="88">
        <f>SUMIF(月間集計シート!$M$134:$M$153,$G1548,月間集計シート!S$134:S$153)*AX$2</f>
        <v>0</v>
      </c>
      <c r="AY1548" s="88">
        <f>SUMIF(月間集計シート!$M$134:$M$153,$G1548,月間集計シート!T$134:T$153)*AY$2</f>
        <v>0</v>
      </c>
    </row>
    <row r="1549" spans="1:51" ht="14.25" thickBot="1">
      <c r="A1549">
        <v>19</v>
      </c>
      <c r="B1549" s="120">
        <f t="shared" si="888"/>
        <v>0</v>
      </c>
      <c r="C1549" s="120" t="str">
        <f t="shared" si="889"/>
        <v/>
      </c>
      <c r="D1549" s="137"/>
      <c r="E1549" s="150" t="str">
        <f>工種!A11</f>
        <v>20107</v>
      </c>
      <c r="F1549" s="119" t="str">
        <f>工種!B11</f>
        <v>設計：その他の設計書作成</v>
      </c>
      <c r="G1549" s="116" t="str">
        <f t="shared" si="837"/>
        <v>020107</v>
      </c>
      <c r="H1549" s="88">
        <f t="shared" si="844"/>
        <v>0</v>
      </c>
      <c r="I1549" s="132"/>
      <c r="J1549" s="88">
        <f>SUMIF(月間集計シート!$M$29:$M$48,$G1549,月間集計シート!N$29:N$48)*J$2</f>
        <v>0</v>
      </c>
      <c r="K1549" s="88">
        <f>SUMIF(月間集計シート!$M$29:$M$48,$G1549,月間集計シート!O$29:O$48)*K$2</f>
        <v>0</v>
      </c>
      <c r="L1549" s="88">
        <f>SUMIF(月間集計シート!$M$29:$M$48,$G1549,月間集計シート!P$29:P$48)*L$2</f>
        <v>0</v>
      </c>
      <c r="M1549" s="88">
        <f>SUMIF(月間集計シート!$M$29:$M$48,$G1549,月間集計シート!Q$29:Q$48)*M$2</f>
        <v>0</v>
      </c>
      <c r="N1549" s="88">
        <f>SUMIF(月間集計シート!$M$29:$M$48,$G1549,月間集計シート!R$29:R$48)*N$2</f>
        <v>0</v>
      </c>
      <c r="O1549" s="88">
        <f>SUMIF(月間集計シート!$M$29:$M$48,$G1549,月間集計シート!S$29:S$48)*O$2</f>
        <v>0</v>
      </c>
      <c r="P1549" s="88">
        <f>SUMIF(月間集計シート!$M$29:$M$48,$G1549,月間集計シート!T$29:T$48)*P$2</f>
        <v>0</v>
      </c>
      <c r="Q1549" s="88">
        <f>SUMIF(月間集計シート!$M$50:$M$69,$G1549,月間集計シート!N$50:N$69)*Q$2</f>
        <v>0</v>
      </c>
      <c r="R1549" s="88">
        <f>SUMIF(月間集計シート!$M$50:$M$69,$G1549,月間集計シート!O$50:O$69)*R$2</f>
        <v>0</v>
      </c>
      <c r="S1549" s="88">
        <f>SUMIF(月間集計シート!$M$50:$M$69,$G1549,月間集計シート!P$50:P$69)*S$2</f>
        <v>0</v>
      </c>
      <c r="T1549" s="88">
        <f>SUMIF(月間集計シート!$M$50:$M$69,$G1549,月間集計シート!Q$50:Q$69)*T$2</f>
        <v>0</v>
      </c>
      <c r="U1549" s="88">
        <f>SUMIF(月間集計シート!$M$50:$M$69,$G1549,月間集計シート!R$50:R$69)*U$2</f>
        <v>0</v>
      </c>
      <c r="V1549" s="88">
        <f>SUMIF(月間集計シート!$M$50:$M$69,$G1549,月間集計シート!S$50:S$69)*V$2</f>
        <v>0</v>
      </c>
      <c r="W1549" s="88">
        <f>SUMIF(月間集計シート!$M$50:$M$69,$G1549,月間集計シート!T$50:T$69)*W$2</f>
        <v>0</v>
      </c>
      <c r="X1549" s="88">
        <f>SUMIF(月間集計シート!$M$71:$M$90,$G1549,月間集計シート!N$71:N$90)*X$2</f>
        <v>0</v>
      </c>
      <c r="Y1549" s="88">
        <f>SUMIF(月間集計シート!$M$71:$M$90,$G1549,月間集計シート!O$71:O$90)*Y$2</f>
        <v>0</v>
      </c>
      <c r="Z1549" s="88">
        <f>SUMIF(月間集計シート!$M$71:$M$90,$G1549,月間集計シート!P$71:P$90)*Z$2</f>
        <v>0</v>
      </c>
      <c r="AA1549" s="88">
        <f>SUMIF(月間集計シート!$M$71:$M$90,$G1549,月間集計シート!Q$71:Q$90)*AA$2</f>
        <v>0</v>
      </c>
      <c r="AB1549" s="88">
        <f>SUMIF(月間集計シート!$M$71:$M$90,$G1549,月間集計シート!R$71:R$90)*AB$2</f>
        <v>0</v>
      </c>
      <c r="AC1549" s="88">
        <f>SUMIF(月間集計シート!$M$71:$M$90,$G1549,月間集計シート!S$71:S$90)*AC$2</f>
        <v>0</v>
      </c>
      <c r="AD1549" s="88">
        <f>SUMIF(月間集計シート!$M$71:$M$90,$G1549,月間集計シート!T$71:T$90)*AD$2</f>
        <v>0</v>
      </c>
      <c r="AE1549" s="88">
        <f>SUMIF(月間集計シート!$M$92:$M$111,$G1549,月間集計シート!N$92:N$111)*AE$2</f>
        <v>0</v>
      </c>
      <c r="AF1549" s="88">
        <f>SUMIF(月間集計シート!$M$92:$M$111,$G1549,月間集計シート!O$92:O$111)*AF$2</f>
        <v>0</v>
      </c>
      <c r="AG1549" s="88">
        <f>SUMIF(月間集計シート!$M$92:$M$111,$G1549,月間集計シート!P$92:P$111)*AG$2</f>
        <v>0</v>
      </c>
      <c r="AH1549" s="88">
        <f>SUMIF(月間集計シート!$M$92:$M$111,$G1549,月間集計シート!Q$92:Q$111)*AH$2</f>
        <v>0</v>
      </c>
      <c r="AI1549" s="88">
        <f>SUMIF(月間集計シート!$M$92:$M$111,$G1549,月間集計シート!R$92:R$111)*AI$2</f>
        <v>0</v>
      </c>
      <c r="AJ1549" s="88">
        <f>SUMIF(月間集計シート!$M$92:$M$111,$G1549,月間集計シート!S$92:S$111)*AJ$2</f>
        <v>0</v>
      </c>
      <c r="AK1549" s="88">
        <f>SUMIF(月間集計シート!$M$92:$M$111,$G1549,月間集計シート!T$92:T$111)*AK$2</f>
        <v>0</v>
      </c>
      <c r="AL1549" s="88">
        <f>SUMIF(月間集計シート!$M$113:$M$132,$G1549,月間集計シート!N$113:N$132)*AL$2</f>
        <v>0</v>
      </c>
      <c r="AM1549" s="88">
        <f>SUMIF(月間集計シート!$M$113:$M$132,$G1549,月間集計シート!O$113:O$132)*AM$2</f>
        <v>0</v>
      </c>
      <c r="AN1549" s="88">
        <f>SUMIF(月間集計シート!$M$113:$M$132,$G1549,月間集計シート!P$113:P$132)*AN$2</f>
        <v>0</v>
      </c>
      <c r="AO1549" s="88">
        <f>SUMIF(月間集計シート!$M$113:$M$132,$G1549,月間集計シート!Q$113:Q$132)*AO$2</f>
        <v>0</v>
      </c>
      <c r="AP1549" s="88">
        <f>SUMIF(月間集計シート!$M$113:$M$132,$G1549,月間集計シート!R$113:R$132)*AP$2</f>
        <v>0</v>
      </c>
      <c r="AQ1549" s="88">
        <f>SUMIF(月間集計シート!$M$113:$M$132,$G1549,月間集計シート!S$113:S$132)*AQ$2</f>
        <v>0</v>
      </c>
      <c r="AR1549" s="88">
        <f>SUMIF(月間集計シート!$M$113:$M$132,$G1549,月間集計シート!T$113:T$132)*AR$2</f>
        <v>0</v>
      </c>
      <c r="AS1549" s="88">
        <f>SUMIF(月間集計シート!$M$134:$M$153,$G1549,月間集計シート!N$134:N$153)*AS$2</f>
        <v>0</v>
      </c>
      <c r="AT1549" s="88">
        <f>SUMIF(月間集計シート!$M$134:$M$153,$G1549,月間集計シート!O$134:O$153)*AT$2</f>
        <v>0</v>
      </c>
      <c r="AU1549" s="88">
        <f>SUMIF(月間集計シート!$M$134:$M$153,$G1549,月間集計シート!P$134:P$153)*AU$2</f>
        <v>0</v>
      </c>
      <c r="AV1549" s="88">
        <f>SUMIF(月間集計シート!$M$134:$M$153,$G1549,月間集計シート!Q$134:Q$153)*AV$2</f>
        <v>0</v>
      </c>
      <c r="AW1549" s="88">
        <f>SUMIF(月間集計シート!$M$134:$M$153,$G1549,月間集計シート!R$134:R$153)*AW$2</f>
        <v>0</v>
      </c>
      <c r="AX1549" s="88">
        <f>SUMIF(月間集計シート!$M$134:$M$153,$G1549,月間集計シート!S$134:S$153)*AX$2</f>
        <v>0</v>
      </c>
      <c r="AY1549" s="88">
        <f>SUMIF(月間集計シート!$M$134:$M$153,$G1549,月間集計シート!T$134:T$153)*AY$2</f>
        <v>0</v>
      </c>
    </row>
    <row r="1550" spans="1:51" ht="14.25" thickBot="1">
      <c r="A1550">
        <v>19</v>
      </c>
      <c r="B1550" s="120">
        <f t="shared" si="888"/>
        <v>0</v>
      </c>
      <c r="C1550" s="120" t="str">
        <f t="shared" si="889"/>
        <v/>
      </c>
      <c r="D1550" s="137"/>
      <c r="E1550" s="150" t="str">
        <f>工種!A12</f>
        <v>20108</v>
      </c>
      <c r="F1550" s="119" t="str">
        <f>工種!B12</f>
        <v>設計：レビュー</v>
      </c>
      <c r="G1550" s="116" t="str">
        <f t="shared" si="837"/>
        <v>020108</v>
      </c>
      <c r="H1550" s="88">
        <f t="shared" si="844"/>
        <v>0</v>
      </c>
      <c r="I1550" s="132"/>
      <c r="J1550" s="88">
        <f>SUMIF(月間集計シート!$M$29:$M$48,$G1550,月間集計シート!N$29:N$48)*J$2</f>
        <v>0</v>
      </c>
      <c r="K1550" s="88">
        <f>SUMIF(月間集計シート!$M$29:$M$48,$G1550,月間集計シート!O$29:O$48)*K$2</f>
        <v>0</v>
      </c>
      <c r="L1550" s="88">
        <f>SUMIF(月間集計シート!$M$29:$M$48,$G1550,月間集計シート!P$29:P$48)*L$2</f>
        <v>0</v>
      </c>
      <c r="M1550" s="88">
        <f>SUMIF(月間集計シート!$M$29:$M$48,$G1550,月間集計シート!Q$29:Q$48)*M$2</f>
        <v>0</v>
      </c>
      <c r="N1550" s="88">
        <f>SUMIF(月間集計シート!$M$29:$M$48,$G1550,月間集計シート!R$29:R$48)*N$2</f>
        <v>0</v>
      </c>
      <c r="O1550" s="88">
        <f>SUMIF(月間集計シート!$M$29:$M$48,$G1550,月間集計シート!S$29:S$48)*O$2</f>
        <v>0</v>
      </c>
      <c r="P1550" s="88">
        <f>SUMIF(月間集計シート!$M$29:$M$48,$G1550,月間集計シート!T$29:T$48)*P$2</f>
        <v>0</v>
      </c>
      <c r="Q1550" s="88">
        <f>SUMIF(月間集計シート!$M$50:$M$69,$G1550,月間集計シート!N$50:N$69)*Q$2</f>
        <v>0</v>
      </c>
      <c r="R1550" s="88">
        <f>SUMIF(月間集計シート!$M$50:$M$69,$G1550,月間集計シート!O$50:O$69)*R$2</f>
        <v>0</v>
      </c>
      <c r="S1550" s="88">
        <f>SUMIF(月間集計シート!$M$50:$M$69,$G1550,月間集計シート!P$50:P$69)*S$2</f>
        <v>0</v>
      </c>
      <c r="T1550" s="88">
        <f>SUMIF(月間集計シート!$M$50:$M$69,$G1550,月間集計シート!Q$50:Q$69)*T$2</f>
        <v>0</v>
      </c>
      <c r="U1550" s="88">
        <f>SUMIF(月間集計シート!$M$50:$M$69,$G1550,月間集計シート!R$50:R$69)*U$2</f>
        <v>0</v>
      </c>
      <c r="V1550" s="88">
        <f>SUMIF(月間集計シート!$M$50:$M$69,$G1550,月間集計シート!S$50:S$69)*V$2</f>
        <v>0</v>
      </c>
      <c r="W1550" s="88">
        <f>SUMIF(月間集計シート!$M$50:$M$69,$G1550,月間集計シート!T$50:T$69)*W$2</f>
        <v>0</v>
      </c>
      <c r="X1550" s="88">
        <f>SUMIF(月間集計シート!$M$71:$M$90,$G1550,月間集計シート!N$71:N$90)*X$2</f>
        <v>0</v>
      </c>
      <c r="Y1550" s="88">
        <f>SUMIF(月間集計シート!$M$71:$M$90,$G1550,月間集計シート!O$71:O$90)*Y$2</f>
        <v>0</v>
      </c>
      <c r="Z1550" s="88">
        <f>SUMIF(月間集計シート!$M$71:$M$90,$G1550,月間集計シート!P$71:P$90)*Z$2</f>
        <v>0</v>
      </c>
      <c r="AA1550" s="88">
        <f>SUMIF(月間集計シート!$M$71:$M$90,$G1550,月間集計シート!Q$71:Q$90)*AA$2</f>
        <v>0</v>
      </c>
      <c r="AB1550" s="88">
        <f>SUMIF(月間集計シート!$M$71:$M$90,$G1550,月間集計シート!R$71:R$90)*AB$2</f>
        <v>0</v>
      </c>
      <c r="AC1550" s="88">
        <f>SUMIF(月間集計シート!$M$71:$M$90,$G1550,月間集計シート!S$71:S$90)*AC$2</f>
        <v>0</v>
      </c>
      <c r="AD1550" s="88">
        <f>SUMIF(月間集計シート!$M$71:$M$90,$G1550,月間集計シート!T$71:T$90)*AD$2</f>
        <v>0</v>
      </c>
      <c r="AE1550" s="88">
        <f>SUMIF(月間集計シート!$M$92:$M$111,$G1550,月間集計シート!N$92:N$111)*AE$2</f>
        <v>0</v>
      </c>
      <c r="AF1550" s="88">
        <f>SUMIF(月間集計シート!$M$92:$M$111,$G1550,月間集計シート!O$92:O$111)*AF$2</f>
        <v>0</v>
      </c>
      <c r="AG1550" s="88">
        <f>SUMIF(月間集計シート!$M$92:$M$111,$G1550,月間集計シート!P$92:P$111)*AG$2</f>
        <v>0</v>
      </c>
      <c r="AH1550" s="88">
        <f>SUMIF(月間集計シート!$M$92:$M$111,$G1550,月間集計シート!Q$92:Q$111)*AH$2</f>
        <v>0</v>
      </c>
      <c r="AI1550" s="88">
        <f>SUMIF(月間集計シート!$M$92:$M$111,$G1550,月間集計シート!R$92:R$111)*AI$2</f>
        <v>0</v>
      </c>
      <c r="AJ1550" s="88">
        <f>SUMIF(月間集計シート!$M$92:$M$111,$G1550,月間集計シート!S$92:S$111)*AJ$2</f>
        <v>0</v>
      </c>
      <c r="AK1550" s="88">
        <f>SUMIF(月間集計シート!$M$92:$M$111,$G1550,月間集計シート!T$92:T$111)*AK$2</f>
        <v>0</v>
      </c>
      <c r="AL1550" s="88">
        <f>SUMIF(月間集計シート!$M$113:$M$132,$G1550,月間集計シート!N$113:N$132)*AL$2</f>
        <v>0</v>
      </c>
      <c r="AM1550" s="88">
        <f>SUMIF(月間集計シート!$M$113:$M$132,$G1550,月間集計シート!O$113:O$132)*AM$2</f>
        <v>0</v>
      </c>
      <c r="AN1550" s="88">
        <f>SUMIF(月間集計シート!$M$113:$M$132,$G1550,月間集計シート!P$113:P$132)*AN$2</f>
        <v>0</v>
      </c>
      <c r="AO1550" s="88">
        <f>SUMIF(月間集計シート!$M$113:$M$132,$G1550,月間集計シート!Q$113:Q$132)*AO$2</f>
        <v>0</v>
      </c>
      <c r="AP1550" s="88">
        <f>SUMIF(月間集計シート!$M$113:$M$132,$G1550,月間集計シート!R$113:R$132)*AP$2</f>
        <v>0</v>
      </c>
      <c r="AQ1550" s="88">
        <f>SUMIF(月間集計シート!$M$113:$M$132,$G1550,月間集計シート!S$113:S$132)*AQ$2</f>
        <v>0</v>
      </c>
      <c r="AR1550" s="88">
        <f>SUMIF(月間集計シート!$M$113:$M$132,$G1550,月間集計シート!T$113:T$132)*AR$2</f>
        <v>0</v>
      </c>
      <c r="AS1550" s="88">
        <f>SUMIF(月間集計シート!$M$134:$M$153,$G1550,月間集計シート!N$134:N$153)*AS$2</f>
        <v>0</v>
      </c>
      <c r="AT1550" s="88">
        <f>SUMIF(月間集計シート!$M$134:$M$153,$G1550,月間集計シート!O$134:O$153)*AT$2</f>
        <v>0</v>
      </c>
      <c r="AU1550" s="88">
        <f>SUMIF(月間集計シート!$M$134:$M$153,$G1550,月間集計シート!P$134:P$153)*AU$2</f>
        <v>0</v>
      </c>
      <c r="AV1550" s="88">
        <f>SUMIF(月間集計シート!$M$134:$M$153,$G1550,月間集計シート!Q$134:Q$153)*AV$2</f>
        <v>0</v>
      </c>
      <c r="AW1550" s="88">
        <f>SUMIF(月間集計シート!$M$134:$M$153,$G1550,月間集計シート!R$134:R$153)*AW$2</f>
        <v>0</v>
      </c>
      <c r="AX1550" s="88">
        <f>SUMIF(月間集計シート!$M$134:$M$153,$G1550,月間集計シート!S$134:S$153)*AX$2</f>
        <v>0</v>
      </c>
      <c r="AY1550" s="88">
        <f>SUMIF(月間集計シート!$M$134:$M$153,$G1550,月間集計シート!T$134:T$153)*AY$2</f>
        <v>0</v>
      </c>
    </row>
    <row r="1551" spans="1:51" ht="14.25" thickBot="1">
      <c r="A1551">
        <v>19</v>
      </c>
      <c r="B1551" s="120">
        <f t="shared" si="888"/>
        <v>0</v>
      </c>
      <c r="C1551" s="120" t="str">
        <f t="shared" si="889"/>
        <v/>
      </c>
      <c r="D1551" s="137"/>
      <c r="E1551" s="150" t="str">
        <f>工種!A13</f>
        <v>20109</v>
      </c>
      <c r="F1551" s="119" t="str">
        <f>工種!B13</f>
        <v>設計：QA対応</v>
      </c>
      <c r="G1551" s="116" t="str">
        <f t="shared" si="837"/>
        <v>020109</v>
      </c>
      <c r="H1551" s="88">
        <f t="shared" si="844"/>
        <v>0</v>
      </c>
      <c r="I1551" s="132"/>
      <c r="J1551" s="88">
        <f>SUMIF(月間集計シート!$M$29:$M$48,$G1551,月間集計シート!N$29:N$48)*J$2</f>
        <v>0</v>
      </c>
      <c r="K1551" s="88">
        <f>SUMIF(月間集計シート!$M$29:$M$48,$G1551,月間集計シート!O$29:O$48)*K$2</f>
        <v>0</v>
      </c>
      <c r="L1551" s="88">
        <f>SUMIF(月間集計シート!$M$29:$M$48,$G1551,月間集計シート!P$29:P$48)*L$2</f>
        <v>0</v>
      </c>
      <c r="M1551" s="88">
        <f>SUMIF(月間集計シート!$M$29:$M$48,$G1551,月間集計シート!Q$29:Q$48)*M$2</f>
        <v>0</v>
      </c>
      <c r="N1551" s="88">
        <f>SUMIF(月間集計シート!$M$29:$M$48,$G1551,月間集計シート!R$29:R$48)*N$2</f>
        <v>0</v>
      </c>
      <c r="O1551" s="88">
        <f>SUMIF(月間集計シート!$M$29:$M$48,$G1551,月間集計シート!S$29:S$48)*O$2</f>
        <v>0</v>
      </c>
      <c r="P1551" s="88">
        <f>SUMIF(月間集計シート!$M$29:$M$48,$G1551,月間集計シート!T$29:T$48)*P$2</f>
        <v>0</v>
      </c>
      <c r="Q1551" s="88">
        <f>SUMIF(月間集計シート!$M$50:$M$69,$G1551,月間集計シート!N$50:N$69)*Q$2</f>
        <v>0</v>
      </c>
      <c r="R1551" s="88">
        <f>SUMIF(月間集計シート!$M$50:$M$69,$G1551,月間集計シート!O$50:O$69)*R$2</f>
        <v>0</v>
      </c>
      <c r="S1551" s="88">
        <f>SUMIF(月間集計シート!$M$50:$M$69,$G1551,月間集計シート!P$50:P$69)*S$2</f>
        <v>0</v>
      </c>
      <c r="T1551" s="88">
        <f>SUMIF(月間集計シート!$M$50:$M$69,$G1551,月間集計シート!Q$50:Q$69)*T$2</f>
        <v>0</v>
      </c>
      <c r="U1551" s="88">
        <f>SUMIF(月間集計シート!$M$50:$M$69,$G1551,月間集計シート!R$50:R$69)*U$2</f>
        <v>0</v>
      </c>
      <c r="V1551" s="88">
        <f>SUMIF(月間集計シート!$M$50:$M$69,$G1551,月間集計シート!S$50:S$69)*V$2</f>
        <v>0</v>
      </c>
      <c r="W1551" s="88">
        <f>SUMIF(月間集計シート!$M$50:$M$69,$G1551,月間集計シート!T$50:T$69)*W$2</f>
        <v>0</v>
      </c>
      <c r="X1551" s="88">
        <f>SUMIF(月間集計シート!$M$71:$M$90,$G1551,月間集計シート!N$71:N$90)*X$2</f>
        <v>0</v>
      </c>
      <c r="Y1551" s="88">
        <f>SUMIF(月間集計シート!$M$71:$M$90,$G1551,月間集計シート!O$71:O$90)*Y$2</f>
        <v>0</v>
      </c>
      <c r="Z1551" s="88">
        <f>SUMIF(月間集計シート!$M$71:$M$90,$G1551,月間集計シート!P$71:P$90)*Z$2</f>
        <v>0</v>
      </c>
      <c r="AA1551" s="88">
        <f>SUMIF(月間集計シート!$M$71:$M$90,$G1551,月間集計シート!Q$71:Q$90)*AA$2</f>
        <v>0</v>
      </c>
      <c r="AB1551" s="88">
        <f>SUMIF(月間集計シート!$M$71:$M$90,$G1551,月間集計シート!R$71:R$90)*AB$2</f>
        <v>0</v>
      </c>
      <c r="AC1551" s="88">
        <f>SUMIF(月間集計シート!$M$71:$M$90,$G1551,月間集計シート!S$71:S$90)*AC$2</f>
        <v>0</v>
      </c>
      <c r="AD1551" s="88">
        <f>SUMIF(月間集計シート!$M$71:$M$90,$G1551,月間集計シート!T$71:T$90)*AD$2</f>
        <v>0</v>
      </c>
      <c r="AE1551" s="88">
        <f>SUMIF(月間集計シート!$M$92:$M$111,$G1551,月間集計シート!N$92:N$111)*AE$2</f>
        <v>0</v>
      </c>
      <c r="AF1551" s="88">
        <f>SUMIF(月間集計シート!$M$92:$M$111,$G1551,月間集計シート!O$92:O$111)*AF$2</f>
        <v>0</v>
      </c>
      <c r="AG1551" s="88">
        <f>SUMIF(月間集計シート!$M$92:$M$111,$G1551,月間集計シート!P$92:P$111)*AG$2</f>
        <v>0</v>
      </c>
      <c r="AH1551" s="88">
        <f>SUMIF(月間集計シート!$M$92:$M$111,$G1551,月間集計シート!Q$92:Q$111)*AH$2</f>
        <v>0</v>
      </c>
      <c r="AI1551" s="88">
        <f>SUMIF(月間集計シート!$M$92:$M$111,$G1551,月間集計シート!R$92:R$111)*AI$2</f>
        <v>0</v>
      </c>
      <c r="AJ1551" s="88">
        <f>SUMIF(月間集計シート!$M$92:$M$111,$G1551,月間集計シート!S$92:S$111)*AJ$2</f>
        <v>0</v>
      </c>
      <c r="AK1551" s="88">
        <f>SUMIF(月間集計シート!$M$92:$M$111,$G1551,月間集計シート!T$92:T$111)*AK$2</f>
        <v>0</v>
      </c>
      <c r="AL1551" s="88">
        <f>SUMIF(月間集計シート!$M$113:$M$132,$G1551,月間集計シート!N$113:N$132)*AL$2</f>
        <v>0</v>
      </c>
      <c r="AM1551" s="88">
        <f>SUMIF(月間集計シート!$M$113:$M$132,$G1551,月間集計シート!O$113:O$132)*AM$2</f>
        <v>0</v>
      </c>
      <c r="AN1551" s="88">
        <f>SUMIF(月間集計シート!$M$113:$M$132,$G1551,月間集計シート!P$113:P$132)*AN$2</f>
        <v>0</v>
      </c>
      <c r="AO1551" s="88">
        <f>SUMIF(月間集計シート!$M$113:$M$132,$G1551,月間集計シート!Q$113:Q$132)*AO$2</f>
        <v>0</v>
      </c>
      <c r="AP1551" s="88">
        <f>SUMIF(月間集計シート!$M$113:$M$132,$G1551,月間集計シート!R$113:R$132)*AP$2</f>
        <v>0</v>
      </c>
      <c r="AQ1551" s="88">
        <f>SUMIF(月間集計シート!$M$113:$M$132,$G1551,月間集計シート!S$113:S$132)*AQ$2</f>
        <v>0</v>
      </c>
      <c r="AR1551" s="88">
        <f>SUMIF(月間集計シート!$M$113:$M$132,$G1551,月間集計シート!T$113:T$132)*AR$2</f>
        <v>0</v>
      </c>
      <c r="AS1551" s="88">
        <f>SUMIF(月間集計シート!$M$134:$M$153,$G1551,月間集計シート!N$134:N$153)*AS$2</f>
        <v>0</v>
      </c>
      <c r="AT1551" s="88">
        <f>SUMIF(月間集計シート!$M$134:$M$153,$G1551,月間集計シート!O$134:O$153)*AT$2</f>
        <v>0</v>
      </c>
      <c r="AU1551" s="88">
        <f>SUMIF(月間集計シート!$M$134:$M$153,$G1551,月間集計シート!P$134:P$153)*AU$2</f>
        <v>0</v>
      </c>
      <c r="AV1551" s="88">
        <f>SUMIF(月間集計シート!$M$134:$M$153,$G1551,月間集計シート!Q$134:Q$153)*AV$2</f>
        <v>0</v>
      </c>
      <c r="AW1551" s="88">
        <f>SUMIF(月間集計シート!$M$134:$M$153,$G1551,月間集計シート!R$134:R$153)*AW$2</f>
        <v>0</v>
      </c>
      <c r="AX1551" s="88">
        <f>SUMIF(月間集計シート!$M$134:$M$153,$G1551,月間集計シート!S$134:S$153)*AX$2</f>
        <v>0</v>
      </c>
      <c r="AY1551" s="88">
        <f>SUMIF(月間集計シート!$M$134:$M$153,$G1551,月間集計シート!T$134:T$153)*AY$2</f>
        <v>0</v>
      </c>
    </row>
    <row r="1552" spans="1:51" ht="14.25" thickBot="1">
      <c r="A1552">
        <v>19</v>
      </c>
      <c r="B1552" s="120">
        <f t="shared" si="888"/>
        <v>0</v>
      </c>
      <c r="C1552" s="120" t="str">
        <f t="shared" si="889"/>
        <v/>
      </c>
      <c r="D1552" s="137"/>
      <c r="E1552" s="150" t="str">
        <f>工種!A14</f>
        <v>20199</v>
      </c>
      <c r="F1552" s="119" t="str">
        <f>工種!B14</f>
        <v>設計：その他</v>
      </c>
      <c r="G1552" s="116" t="str">
        <f t="shared" si="837"/>
        <v>020199</v>
      </c>
      <c r="H1552" s="88">
        <f t="shared" si="844"/>
        <v>0</v>
      </c>
      <c r="I1552" s="132"/>
      <c r="J1552" s="88">
        <f>SUMIF(月間集計シート!$M$29:$M$48,$G1552,月間集計シート!N$29:N$48)*J$2</f>
        <v>0</v>
      </c>
      <c r="K1552" s="88">
        <f>SUMIF(月間集計シート!$M$29:$M$48,$G1552,月間集計シート!O$29:O$48)*K$2</f>
        <v>0</v>
      </c>
      <c r="L1552" s="88">
        <f>SUMIF(月間集計シート!$M$29:$M$48,$G1552,月間集計シート!P$29:P$48)*L$2</f>
        <v>0</v>
      </c>
      <c r="M1552" s="88">
        <f>SUMIF(月間集計シート!$M$29:$M$48,$G1552,月間集計シート!Q$29:Q$48)*M$2</f>
        <v>0</v>
      </c>
      <c r="N1552" s="88">
        <f>SUMIF(月間集計シート!$M$29:$M$48,$G1552,月間集計シート!R$29:R$48)*N$2</f>
        <v>0</v>
      </c>
      <c r="O1552" s="88">
        <f>SUMIF(月間集計シート!$M$29:$M$48,$G1552,月間集計シート!S$29:S$48)*O$2</f>
        <v>0</v>
      </c>
      <c r="P1552" s="88">
        <f>SUMIF(月間集計シート!$M$29:$M$48,$G1552,月間集計シート!T$29:T$48)*P$2</f>
        <v>0</v>
      </c>
      <c r="Q1552" s="88">
        <f>SUMIF(月間集計シート!$M$50:$M$69,$G1552,月間集計シート!N$50:N$69)*Q$2</f>
        <v>0</v>
      </c>
      <c r="R1552" s="88">
        <f>SUMIF(月間集計シート!$M$50:$M$69,$G1552,月間集計シート!O$50:O$69)*R$2</f>
        <v>0</v>
      </c>
      <c r="S1552" s="88">
        <f>SUMIF(月間集計シート!$M$50:$M$69,$G1552,月間集計シート!P$50:P$69)*S$2</f>
        <v>0</v>
      </c>
      <c r="T1552" s="88">
        <f>SUMIF(月間集計シート!$M$50:$M$69,$G1552,月間集計シート!Q$50:Q$69)*T$2</f>
        <v>0</v>
      </c>
      <c r="U1552" s="88">
        <f>SUMIF(月間集計シート!$M$50:$M$69,$G1552,月間集計シート!R$50:R$69)*U$2</f>
        <v>0</v>
      </c>
      <c r="V1552" s="88">
        <f>SUMIF(月間集計シート!$M$50:$M$69,$G1552,月間集計シート!S$50:S$69)*V$2</f>
        <v>0</v>
      </c>
      <c r="W1552" s="88">
        <f>SUMIF(月間集計シート!$M$50:$M$69,$G1552,月間集計シート!T$50:T$69)*W$2</f>
        <v>0</v>
      </c>
      <c r="X1552" s="88">
        <f>SUMIF(月間集計シート!$M$71:$M$90,$G1552,月間集計シート!N$71:N$90)*X$2</f>
        <v>0</v>
      </c>
      <c r="Y1552" s="88">
        <f>SUMIF(月間集計シート!$M$71:$M$90,$G1552,月間集計シート!O$71:O$90)*Y$2</f>
        <v>0</v>
      </c>
      <c r="Z1552" s="88">
        <f>SUMIF(月間集計シート!$M$71:$M$90,$G1552,月間集計シート!P$71:P$90)*Z$2</f>
        <v>0</v>
      </c>
      <c r="AA1552" s="88">
        <f>SUMIF(月間集計シート!$M$71:$M$90,$G1552,月間集計シート!Q$71:Q$90)*AA$2</f>
        <v>0</v>
      </c>
      <c r="AB1552" s="88">
        <f>SUMIF(月間集計シート!$M$71:$M$90,$G1552,月間集計シート!R$71:R$90)*AB$2</f>
        <v>0</v>
      </c>
      <c r="AC1552" s="88">
        <f>SUMIF(月間集計シート!$M$71:$M$90,$G1552,月間集計シート!S$71:S$90)*AC$2</f>
        <v>0</v>
      </c>
      <c r="AD1552" s="88">
        <f>SUMIF(月間集計シート!$M$71:$M$90,$G1552,月間集計シート!T$71:T$90)*AD$2</f>
        <v>0</v>
      </c>
      <c r="AE1552" s="88">
        <f>SUMIF(月間集計シート!$M$92:$M$111,$G1552,月間集計シート!N$92:N$111)*AE$2</f>
        <v>0</v>
      </c>
      <c r="AF1552" s="88">
        <f>SUMIF(月間集計シート!$M$92:$M$111,$G1552,月間集計シート!O$92:O$111)*AF$2</f>
        <v>0</v>
      </c>
      <c r="AG1552" s="88">
        <f>SUMIF(月間集計シート!$M$92:$M$111,$G1552,月間集計シート!P$92:P$111)*AG$2</f>
        <v>0</v>
      </c>
      <c r="AH1552" s="88">
        <f>SUMIF(月間集計シート!$M$92:$M$111,$G1552,月間集計シート!Q$92:Q$111)*AH$2</f>
        <v>0</v>
      </c>
      <c r="AI1552" s="88">
        <f>SUMIF(月間集計シート!$M$92:$M$111,$G1552,月間集計シート!R$92:R$111)*AI$2</f>
        <v>0</v>
      </c>
      <c r="AJ1552" s="88">
        <f>SUMIF(月間集計シート!$M$92:$M$111,$G1552,月間集計シート!S$92:S$111)*AJ$2</f>
        <v>0</v>
      </c>
      <c r="AK1552" s="88">
        <f>SUMIF(月間集計シート!$M$92:$M$111,$G1552,月間集計シート!T$92:T$111)*AK$2</f>
        <v>0</v>
      </c>
      <c r="AL1552" s="88">
        <f>SUMIF(月間集計シート!$M$113:$M$132,$G1552,月間集計シート!N$113:N$132)*AL$2</f>
        <v>0</v>
      </c>
      <c r="AM1552" s="88">
        <f>SUMIF(月間集計シート!$M$113:$M$132,$G1552,月間集計シート!O$113:O$132)*AM$2</f>
        <v>0</v>
      </c>
      <c r="AN1552" s="88">
        <f>SUMIF(月間集計シート!$M$113:$M$132,$G1552,月間集計シート!P$113:P$132)*AN$2</f>
        <v>0</v>
      </c>
      <c r="AO1552" s="88">
        <f>SUMIF(月間集計シート!$M$113:$M$132,$G1552,月間集計シート!Q$113:Q$132)*AO$2</f>
        <v>0</v>
      </c>
      <c r="AP1552" s="88">
        <f>SUMIF(月間集計シート!$M$113:$M$132,$G1552,月間集計シート!R$113:R$132)*AP$2</f>
        <v>0</v>
      </c>
      <c r="AQ1552" s="88">
        <f>SUMIF(月間集計シート!$M$113:$M$132,$G1552,月間集計シート!S$113:S$132)*AQ$2</f>
        <v>0</v>
      </c>
      <c r="AR1552" s="88">
        <f>SUMIF(月間集計シート!$M$113:$M$132,$G1552,月間集計シート!T$113:T$132)*AR$2</f>
        <v>0</v>
      </c>
      <c r="AS1552" s="88">
        <f>SUMIF(月間集計シート!$M$134:$M$153,$G1552,月間集計シート!N$134:N$153)*AS$2</f>
        <v>0</v>
      </c>
      <c r="AT1552" s="88">
        <f>SUMIF(月間集計シート!$M$134:$M$153,$G1552,月間集計シート!O$134:O$153)*AT$2</f>
        <v>0</v>
      </c>
      <c r="AU1552" s="88">
        <f>SUMIF(月間集計シート!$M$134:$M$153,$G1552,月間集計シート!P$134:P$153)*AU$2</f>
        <v>0</v>
      </c>
      <c r="AV1552" s="88">
        <f>SUMIF(月間集計シート!$M$134:$M$153,$G1552,月間集計シート!Q$134:Q$153)*AV$2</f>
        <v>0</v>
      </c>
      <c r="AW1552" s="88">
        <f>SUMIF(月間集計シート!$M$134:$M$153,$G1552,月間集計シート!R$134:R$153)*AW$2</f>
        <v>0</v>
      </c>
      <c r="AX1552" s="88">
        <f>SUMIF(月間集計シート!$M$134:$M$153,$G1552,月間集計シート!S$134:S$153)*AX$2</f>
        <v>0</v>
      </c>
      <c r="AY1552" s="88">
        <f>SUMIF(月間集計シート!$M$134:$M$153,$G1552,月間集計シート!T$134:T$153)*AY$2</f>
        <v>0</v>
      </c>
    </row>
    <row r="1553" spans="1:51" ht="14.25" thickBot="1">
      <c r="A1553">
        <v>19</v>
      </c>
      <c r="B1553" s="120">
        <f t="shared" si="888"/>
        <v>0</v>
      </c>
      <c r="C1553" s="120" t="str">
        <f t="shared" si="889"/>
        <v/>
      </c>
      <c r="D1553" s="137"/>
      <c r="E1553" s="150" t="str">
        <f>工種!A15</f>
        <v>30101</v>
      </c>
      <c r="F1553" s="119" t="str">
        <f>工種!B15</f>
        <v>製造：内部設計書作成</v>
      </c>
      <c r="G1553" s="116" t="str">
        <f t="shared" si="837"/>
        <v>030101</v>
      </c>
      <c r="H1553" s="88">
        <f t="shared" si="844"/>
        <v>0</v>
      </c>
      <c r="I1553" s="132"/>
      <c r="J1553" s="88">
        <f>SUMIF(月間集計シート!$M$29:$M$48,$G1553,月間集計シート!N$29:N$48)*J$2</f>
        <v>0</v>
      </c>
      <c r="K1553" s="88">
        <f>SUMIF(月間集計シート!$M$29:$M$48,$G1553,月間集計シート!O$29:O$48)*K$2</f>
        <v>0</v>
      </c>
      <c r="L1553" s="88">
        <f>SUMIF(月間集計シート!$M$29:$M$48,$G1553,月間集計シート!P$29:P$48)*L$2</f>
        <v>0</v>
      </c>
      <c r="M1553" s="88">
        <f>SUMIF(月間集計シート!$M$29:$M$48,$G1553,月間集計シート!Q$29:Q$48)*M$2</f>
        <v>0</v>
      </c>
      <c r="N1553" s="88">
        <f>SUMIF(月間集計シート!$M$29:$M$48,$G1553,月間集計シート!R$29:R$48)*N$2</f>
        <v>0</v>
      </c>
      <c r="O1553" s="88">
        <f>SUMIF(月間集計シート!$M$29:$M$48,$G1553,月間集計シート!S$29:S$48)*O$2</f>
        <v>0</v>
      </c>
      <c r="P1553" s="88">
        <f>SUMIF(月間集計シート!$M$29:$M$48,$G1553,月間集計シート!T$29:T$48)*P$2</f>
        <v>0</v>
      </c>
      <c r="Q1553" s="88">
        <f>SUMIF(月間集計シート!$M$50:$M$69,$G1553,月間集計シート!N$50:N$69)*Q$2</f>
        <v>0</v>
      </c>
      <c r="R1553" s="88">
        <f>SUMIF(月間集計シート!$M$50:$M$69,$G1553,月間集計シート!O$50:O$69)*R$2</f>
        <v>0</v>
      </c>
      <c r="S1553" s="88">
        <f>SUMIF(月間集計シート!$M$50:$M$69,$G1553,月間集計シート!P$50:P$69)*S$2</f>
        <v>0</v>
      </c>
      <c r="T1553" s="88">
        <f>SUMIF(月間集計シート!$M$50:$M$69,$G1553,月間集計シート!Q$50:Q$69)*T$2</f>
        <v>0</v>
      </c>
      <c r="U1553" s="88">
        <f>SUMIF(月間集計シート!$M$50:$M$69,$G1553,月間集計シート!R$50:R$69)*U$2</f>
        <v>0</v>
      </c>
      <c r="V1553" s="88">
        <f>SUMIF(月間集計シート!$M$50:$M$69,$G1553,月間集計シート!S$50:S$69)*V$2</f>
        <v>0</v>
      </c>
      <c r="W1553" s="88">
        <f>SUMIF(月間集計シート!$M$50:$M$69,$G1553,月間集計シート!T$50:T$69)*W$2</f>
        <v>0</v>
      </c>
      <c r="X1553" s="88">
        <f>SUMIF(月間集計シート!$M$71:$M$90,$G1553,月間集計シート!N$71:N$90)*X$2</f>
        <v>0</v>
      </c>
      <c r="Y1553" s="88">
        <f>SUMIF(月間集計シート!$M$71:$M$90,$G1553,月間集計シート!O$71:O$90)*Y$2</f>
        <v>0</v>
      </c>
      <c r="Z1553" s="88">
        <f>SUMIF(月間集計シート!$M$71:$M$90,$G1553,月間集計シート!P$71:P$90)*Z$2</f>
        <v>0</v>
      </c>
      <c r="AA1553" s="88">
        <f>SUMIF(月間集計シート!$M$71:$M$90,$G1553,月間集計シート!Q$71:Q$90)*AA$2</f>
        <v>0</v>
      </c>
      <c r="AB1553" s="88">
        <f>SUMIF(月間集計シート!$M$71:$M$90,$G1553,月間集計シート!R$71:R$90)*AB$2</f>
        <v>0</v>
      </c>
      <c r="AC1553" s="88">
        <f>SUMIF(月間集計シート!$M$71:$M$90,$G1553,月間集計シート!S$71:S$90)*AC$2</f>
        <v>0</v>
      </c>
      <c r="AD1553" s="88">
        <f>SUMIF(月間集計シート!$M$71:$M$90,$G1553,月間集計シート!T$71:T$90)*AD$2</f>
        <v>0</v>
      </c>
      <c r="AE1553" s="88">
        <f>SUMIF(月間集計シート!$M$92:$M$111,$G1553,月間集計シート!N$92:N$111)*AE$2</f>
        <v>0</v>
      </c>
      <c r="AF1553" s="88">
        <f>SUMIF(月間集計シート!$M$92:$M$111,$G1553,月間集計シート!O$92:O$111)*AF$2</f>
        <v>0</v>
      </c>
      <c r="AG1553" s="88">
        <f>SUMIF(月間集計シート!$M$92:$M$111,$G1553,月間集計シート!P$92:P$111)*AG$2</f>
        <v>0</v>
      </c>
      <c r="AH1553" s="88">
        <f>SUMIF(月間集計シート!$M$92:$M$111,$G1553,月間集計シート!Q$92:Q$111)*AH$2</f>
        <v>0</v>
      </c>
      <c r="AI1553" s="88">
        <f>SUMIF(月間集計シート!$M$92:$M$111,$G1553,月間集計シート!R$92:R$111)*AI$2</f>
        <v>0</v>
      </c>
      <c r="AJ1553" s="88">
        <f>SUMIF(月間集計シート!$M$92:$M$111,$G1553,月間集計シート!S$92:S$111)*AJ$2</f>
        <v>0</v>
      </c>
      <c r="AK1553" s="88">
        <f>SUMIF(月間集計シート!$M$92:$M$111,$G1553,月間集計シート!T$92:T$111)*AK$2</f>
        <v>0</v>
      </c>
      <c r="AL1553" s="88">
        <f>SUMIF(月間集計シート!$M$113:$M$132,$G1553,月間集計シート!N$113:N$132)*AL$2</f>
        <v>0</v>
      </c>
      <c r="AM1553" s="88">
        <f>SUMIF(月間集計シート!$M$113:$M$132,$G1553,月間集計シート!O$113:O$132)*AM$2</f>
        <v>0</v>
      </c>
      <c r="AN1553" s="88">
        <f>SUMIF(月間集計シート!$M$113:$M$132,$G1553,月間集計シート!P$113:P$132)*AN$2</f>
        <v>0</v>
      </c>
      <c r="AO1553" s="88">
        <f>SUMIF(月間集計シート!$M$113:$M$132,$G1553,月間集計シート!Q$113:Q$132)*AO$2</f>
        <v>0</v>
      </c>
      <c r="AP1553" s="88">
        <f>SUMIF(月間集計シート!$M$113:$M$132,$G1553,月間集計シート!R$113:R$132)*AP$2</f>
        <v>0</v>
      </c>
      <c r="AQ1553" s="88">
        <f>SUMIF(月間集計シート!$M$113:$M$132,$G1553,月間集計シート!S$113:S$132)*AQ$2</f>
        <v>0</v>
      </c>
      <c r="AR1553" s="88">
        <f>SUMIF(月間集計シート!$M$113:$M$132,$G1553,月間集計シート!T$113:T$132)*AR$2</f>
        <v>0</v>
      </c>
      <c r="AS1553" s="88">
        <f>SUMIF(月間集計シート!$M$134:$M$153,$G1553,月間集計シート!N$134:N$153)*AS$2</f>
        <v>0</v>
      </c>
      <c r="AT1553" s="88">
        <f>SUMIF(月間集計シート!$M$134:$M$153,$G1553,月間集計シート!O$134:O$153)*AT$2</f>
        <v>0</v>
      </c>
      <c r="AU1553" s="88">
        <f>SUMIF(月間集計シート!$M$134:$M$153,$G1553,月間集計シート!P$134:P$153)*AU$2</f>
        <v>0</v>
      </c>
      <c r="AV1553" s="88">
        <f>SUMIF(月間集計シート!$M$134:$M$153,$G1553,月間集計シート!Q$134:Q$153)*AV$2</f>
        <v>0</v>
      </c>
      <c r="AW1553" s="88">
        <f>SUMIF(月間集計シート!$M$134:$M$153,$G1553,月間集計シート!R$134:R$153)*AW$2</f>
        <v>0</v>
      </c>
      <c r="AX1553" s="88">
        <f>SUMIF(月間集計シート!$M$134:$M$153,$G1553,月間集計シート!S$134:S$153)*AX$2</f>
        <v>0</v>
      </c>
      <c r="AY1553" s="88">
        <f>SUMIF(月間集計シート!$M$134:$M$153,$G1553,月間集計シート!T$134:T$153)*AY$2</f>
        <v>0</v>
      </c>
    </row>
    <row r="1554" spans="1:51" ht="14.25" thickBot="1">
      <c r="A1554">
        <v>19</v>
      </c>
      <c r="B1554" s="120">
        <f t="shared" si="888"/>
        <v>0</v>
      </c>
      <c r="C1554" s="120" t="str">
        <f t="shared" si="889"/>
        <v/>
      </c>
      <c r="D1554" s="137"/>
      <c r="E1554" s="150" t="str">
        <f>工種!A16</f>
        <v>30102</v>
      </c>
      <c r="F1554" s="119" t="str">
        <f>工種!B16</f>
        <v>製造：コーディング</v>
      </c>
      <c r="G1554" s="116" t="str">
        <f t="shared" si="837"/>
        <v>030102</v>
      </c>
      <c r="H1554" s="88">
        <f t="shared" si="844"/>
        <v>0</v>
      </c>
      <c r="I1554" s="132"/>
      <c r="J1554" s="88">
        <f>SUMIF(月間集計シート!$M$29:$M$48,$G1554,月間集計シート!N$29:N$48)*J$2</f>
        <v>0</v>
      </c>
      <c r="K1554" s="88">
        <f>SUMIF(月間集計シート!$M$29:$M$48,$G1554,月間集計シート!O$29:O$48)*K$2</f>
        <v>0</v>
      </c>
      <c r="L1554" s="88">
        <f>SUMIF(月間集計シート!$M$29:$M$48,$G1554,月間集計シート!P$29:P$48)*L$2</f>
        <v>0</v>
      </c>
      <c r="M1554" s="88">
        <f>SUMIF(月間集計シート!$M$29:$M$48,$G1554,月間集計シート!Q$29:Q$48)*M$2</f>
        <v>0</v>
      </c>
      <c r="N1554" s="88">
        <f>SUMIF(月間集計シート!$M$29:$M$48,$G1554,月間集計シート!R$29:R$48)*N$2</f>
        <v>0</v>
      </c>
      <c r="O1554" s="88">
        <f>SUMIF(月間集計シート!$M$29:$M$48,$G1554,月間集計シート!S$29:S$48)*O$2</f>
        <v>0</v>
      </c>
      <c r="P1554" s="88">
        <f>SUMIF(月間集計シート!$M$29:$M$48,$G1554,月間集計シート!T$29:T$48)*P$2</f>
        <v>0</v>
      </c>
      <c r="Q1554" s="88">
        <f>SUMIF(月間集計シート!$M$50:$M$69,$G1554,月間集計シート!N$50:N$69)*Q$2</f>
        <v>0</v>
      </c>
      <c r="R1554" s="88">
        <f>SUMIF(月間集計シート!$M$50:$M$69,$G1554,月間集計シート!O$50:O$69)*R$2</f>
        <v>0</v>
      </c>
      <c r="S1554" s="88">
        <f>SUMIF(月間集計シート!$M$50:$M$69,$G1554,月間集計シート!P$50:P$69)*S$2</f>
        <v>0</v>
      </c>
      <c r="T1554" s="88">
        <f>SUMIF(月間集計シート!$M$50:$M$69,$G1554,月間集計シート!Q$50:Q$69)*T$2</f>
        <v>0</v>
      </c>
      <c r="U1554" s="88">
        <f>SUMIF(月間集計シート!$M$50:$M$69,$G1554,月間集計シート!R$50:R$69)*U$2</f>
        <v>0</v>
      </c>
      <c r="V1554" s="88">
        <f>SUMIF(月間集計シート!$M$50:$M$69,$G1554,月間集計シート!S$50:S$69)*V$2</f>
        <v>0</v>
      </c>
      <c r="W1554" s="88">
        <f>SUMIF(月間集計シート!$M$50:$M$69,$G1554,月間集計シート!T$50:T$69)*W$2</f>
        <v>0</v>
      </c>
      <c r="X1554" s="88">
        <f>SUMIF(月間集計シート!$M$71:$M$90,$G1554,月間集計シート!N$71:N$90)*X$2</f>
        <v>0</v>
      </c>
      <c r="Y1554" s="88">
        <f>SUMIF(月間集計シート!$M$71:$M$90,$G1554,月間集計シート!O$71:O$90)*Y$2</f>
        <v>0</v>
      </c>
      <c r="Z1554" s="88">
        <f>SUMIF(月間集計シート!$M$71:$M$90,$G1554,月間集計シート!P$71:P$90)*Z$2</f>
        <v>0</v>
      </c>
      <c r="AA1554" s="88">
        <f>SUMIF(月間集計シート!$M$71:$M$90,$G1554,月間集計シート!Q$71:Q$90)*AA$2</f>
        <v>0</v>
      </c>
      <c r="AB1554" s="88">
        <f>SUMIF(月間集計シート!$M$71:$M$90,$G1554,月間集計シート!R$71:R$90)*AB$2</f>
        <v>0</v>
      </c>
      <c r="AC1554" s="88">
        <f>SUMIF(月間集計シート!$M$71:$M$90,$G1554,月間集計シート!S$71:S$90)*AC$2</f>
        <v>0</v>
      </c>
      <c r="AD1554" s="88">
        <f>SUMIF(月間集計シート!$M$71:$M$90,$G1554,月間集計シート!T$71:T$90)*AD$2</f>
        <v>0</v>
      </c>
      <c r="AE1554" s="88">
        <f>SUMIF(月間集計シート!$M$92:$M$111,$G1554,月間集計シート!N$92:N$111)*AE$2</f>
        <v>0</v>
      </c>
      <c r="AF1554" s="88">
        <f>SUMIF(月間集計シート!$M$92:$M$111,$G1554,月間集計シート!O$92:O$111)*AF$2</f>
        <v>0</v>
      </c>
      <c r="AG1554" s="88">
        <f>SUMIF(月間集計シート!$M$92:$M$111,$G1554,月間集計シート!P$92:P$111)*AG$2</f>
        <v>0</v>
      </c>
      <c r="AH1554" s="88">
        <f>SUMIF(月間集計シート!$M$92:$M$111,$G1554,月間集計シート!Q$92:Q$111)*AH$2</f>
        <v>0</v>
      </c>
      <c r="AI1554" s="88">
        <f>SUMIF(月間集計シート!$M$92:$M$111,$G1554,月間集計シート!R$92:R$111)*AI$2</f>
        <v>0</v>
      </c>
      <c r="AJ1554" s="88">
        <f>SUMIF(月間集計シート!$M$92:$M$111,$G1554,月間集計シート!S$92:S$111)*AJ$2</f>
        <v>0</v>
      </c>
      <c r="AK1554" s="88">
        <f>SUMIF(月間集計シート!$M$92:$M$111,$G1554,月間集計シート!T$92:T$111)*AK$2</f>
        <v>0</v>
      </c>
      <c r="AL1554" s="88">
        <f>SUMIF(月間集計シート!$M$113:$M$132,$G1554,月間集計シート!N$113:N$132)*AL$2</f>
        <v>0</v>
      </c>
      <c r="AM1554" s="88">
        <f>SUMIF(月間集計シート!$M$113:$M$132,$G1554,月間集計シート!O$113:O$132)*AM$2</f>
        <v>0</v>
      </c>
      <c r="AN1554" s="88">
        <f>SUMIF(月間集計シート!$M$113:$M$132,$G1554,月間集計シート!P$113:P$132)*AN$2</f>
        <v>0</v>
      </c>
      <c r="AO1554" s="88">
        <f>SUMIF(月間集計シート!$M$113:$M$132,$G1554,月間集計シート!Q$113:Q$132)*AO$2</f>
        <v>0</v>
      </c>
      <c r="AP1554" s="88">
        <f>SUMIF(月間集計シート!$M$113:$M$132,$G1554,月間集計シート!R$113:R$132)*AP$2</f>
        <v>0</v>
      </c>
      <c r="AQ1554" s="88">
        <f>SUMIF(月間集計シート!$M$113:$M$132,$G1554,月間集計シート!S$113:S$132)*AQ$2</f>
        <v>0</v>
      </c>
      <c r="AR1554" s="88">
        <f>SUMIF(月間集計シート!$M$113:$M$132,$G1554,月間集計シート!T$113:T$132)*AR$2</f>
        <v>0</v>
      </c>
      <c r="AS1554" s="88">
        <f>SUMIF(月間集計シート!$M$134:$M$153,$G1554,月間集計シート!N$134:N$153)*AS$2</f>
        <v>0</v>
      </c>
      <c r="AT1554" s="88">
        <f>SUMIF(月間集計シート!$M$134:$M$153,$G1554,月間集計シート!O$134:O$153)*AT$2</f>
        <v>0</v>
      </c>
      <c r="AU1554" s="88">
        <f>SUMIF(月間集計シート!$M$134:$M$153,$G1554,月間集計シート!P$134:P$153)*AU$2</f>
        <v>0</v>
      </c>
      <c r="AV1554" s="88">
        <f>SUMIF(月間集計シート!$M$134:$M$153,$G1554,月間集計シート!Q$134:Q$153)*AV$2</f>
        <v>0</v>
      </c>
      <c r="AW1554" s="88">
        <f>SUMIF(月間集計シート!$M$134:$M$153,$G1554,月間集計シート!R$134:R$153)*AW$2</f>
        <v>0</v>
      </c>
      <c r="AX1554" s="88">
        <f>SUMIF(月間集計シート!$M$134:$M$153,$G1554,月間集計シート!S$134:S$153)*AX$2</f>
        <v>0</v>
      </c>
      <c r="AY1554" s="88">
        <f>SUMIF(月間集計シート!$M$134:$M$153,$G1554,月間集計シート!T$134:T$153)*AY$2</f>
        <v>0</v>
      </c>
    </row>
    <row r="1555" spans="1:51" ht="14.25" thickBot="1">
      <c r="A1555">
        <v>19</v>
      </c>
      <c r="B1555" s="120">
        <f t="shared" si="888"/>
        <v>0</v>
      </c>
      <c r="C1555" s="120" t="str">
        <f t="shared" si="889"/>
        <v/>
      </c>
      <c r="D1555" s="137"/>
      <c r="E1555" s="150" t="str">
        <f>工種!A17</f>
        <v>30103</v>
      </c>
      <c r="F1555" s="119" t="str">
        <f>工種!B17</f>
        <v>製造：単体テスト設計書作成</v>
      </c>
      <c r="G1555" s="116" t="str">
        <f t="shared" si="837"/>
        <v>030103</v>
      </c>
      <c r="H1555" s="88">
        <f t="shared" si="844"/>
        <v>0</v>
      </c>
      <c r="I1555" s="132"/>
      <c r="J1555" s="88">
        <f>SUMIF(月間集計シート!$M$29:$M$48,$G1555,月間集計シート!N$29:N$48)*J$2</f>
        <v>0</v>
      </c>
      <c r="K1555" s="88">
        <f>SUMIF(月間集計シート!$M$29:$M$48,$G1555,月間集計シート!O$29:O$48)*K$2</f>
        <v>0</v>
      </c>
      <c r="L1555" s="88">
        <f>SUMIF(月間集計シート!$M$29:$M$48,$G1555,月間集計シート!P$29:P$48)*L$2</f>
        <v>0</v>
      </c>
      <c r="M1555" s="88">
        <f>SUMIF(月間集計シート!$M$29:$M$48,$G1555,月間集計シート!Q$29:Q$48)*M$2</f>
        <v>0</v>
      </c>
      <c r="N1555" s="88">
        <f>SUMIF(月間集計シート!$M$29:$M$48,$G1555,月間集計シート!R$29:R$48)*N$2</f>
        <v>0</v>
      </c>
      <c r="O1555" s="88">
        <f>SUMIF(月間集計シート!$M$29:$M$48,$G1555,月間集計シート!S$29:S$48)*O$2</f>
        <v>0</v>
      </c>
      <c r="P1555" s="88">
        <f>SUMIF(月間集計シート!$M$29:$M$48,$G1555,月間集計シート!T$29:T$48)*P$2</f>
        <v>0</v>
      </c>
      <c r="Q1555" s="88">
        <f>SUMIF(月間集計シート!$M$50:$M$69,$G1555,月間集計シート!N$50:N$69)*Q$2</f>
        <v>0</v>
      </c>
      <c r="R1555" s="88">
        <f>SUMIF(月間集計シート!$M$50:$M$69,$G1555,月間集計シート!O$50:O$69)*R$2</f>
        <v>0</v>
      </c>
      <c r="S1555" s="88">
        <f>SUMIF(月間集計シート!$M$50:$M$69,$G1555,月間集計シート!P$50:P$69)*S$2</f>
        <v>0</v>
      </c>
      <c r="T1555" s="88">
        <f>SUMIF(月間集計シート!$M$50:$M$69,$G1555,月間集計シート!Q$50:Q$69)*T$2</f>
        <v>0</v>
      </c>
      <c r="U1555" s="88">
        <f>SUMIF(月間集計シート!$M$50:$M$69,$G1555,月間集計シート!R$50:R$69)*U$2</f>
        <v>0</v>
      </c>
      <c r="V1555" s="88">
        <f>SUMIF(月間集計シート!$M$50:$M$69,$G1555,月間集計シート!S$50:S$69)*V$2</f>
        <v>0</v>
      </c>
      <c r="W1555" s="88">
        <f>SUMIF(月間集計シート!$M$50:$M$69,$G1555,月間集計シート!T$50:T$69)*W$2</f>
        <v>0</v>
      </c>
      <c r="X1555" s="88">
        <f>SUMIF(月間集計シート!$M$71:$M$90,$G1555,月間集計シート!N$71:N$90)*X$2</f>
        <v>0</v>
      </c>
      <c r="Y1555" s="88">
        <f>SUMIF(月間集計シート!$M$71:$M$90,$G1555,月間集計シート!O$71:O$90)*Y$2</f>
        <v>0</v>
      </c>
      <c r="Z1555" s="88">
        <f>SUMIF(月間集計シート!$M$71:$M$90,$G1555,月間集計シート!P$71:P$90)*Z$2</f>
        <v>0</v>
      </c>
      <c r="AA1555" s="88">
        <f>SUMIF(月間集計シート!$M$71:$M$90,$G1555,月間集計シート!Q$71:Q$90)*AA$2</f>
        <v>0</v>
      </c>
      <c r="AB1555" s="88">
        <f>SUMIF(月間集計シート!$M$71:$M$90,$G1555,月間集計シート!R$71:R$90)*AB$2</f>
        <v>0</v>
      </c>
      <c r="AC1555" s="88">
        <f>SUMIF(月間集計シート!$M$71:$M$90,$G1555,月間集計シート!S$71:S$90)*AC$2</f>
        <v>0</v>
      </c>
      <c r="AD1555" s="88">
        <f>SUMIF(月間集計シート!$M$71:$M$90,$G1555,月間集計シート!T$71:T$90)*AD$2</f>
        <v>0</v>
      </c>
      <c r="AE1555" s="88">
        <f>SUMIF(月間集計シート!$M$92:$M$111,$G1555,月間集計シート!N$92:N$111)*AE$2</f>
        <v>0</v>
      </c>
      <c r="AF1555" s="88">
        <f>SUMIF(月間集計シート!$M$92:$M$111,$G1555,月間集計シート!O$92:O$111)*AF$2</f>
        <v>0</v>
      </c>
      <c r="AG1555" s="88">
        <f>SUMIF(月間集計シート!$M$92:$M$111,$G1555,月間集計シート!P$92:P$111)*AG$2</f>
        <v>0</v>
      </c>
      <c r="AH1555" s="88">
        <f>SUMIF(月間集計シート!$M$92:$M$111,$G1555,月間集計シート!Q$92:Q$111)*AH$2</f>
        <v>0</v>
      </c>
      <c r="AI1555" s="88">
        <f>SUMIF(月間集計シート!$M$92:$M$111,$G1555,月間集計シート!R$92:R$111)*AI$2</f>
        <v>0</v>
      </c>
      <c r="AJ1555" s="88">
        <f>SUMIF(月間集計シート!$M$92:$M$111,$G1555,月間集計シート!S$92:S$111)*AJ$2</f>
        <v>0</v>
      </c>
      <c r="AK1555" s="88">
        <f>SUMIF(月間集計シート!$M$92:$M$111,$G1555,月間集計シート!T$92:T$111)*AK$2</f>
        <v>0</v>
      </c>
      <c r="AL1555" s="88">
        <f>SUMIF(月間集計シート!$M$113:$M$132,$G1555,月間集計シート!N$113:N$132)*AL$2</f>
        <v>0</v>
      </c>
      <c r="AM1555" s="88">
        <f>SUMIF(月間集計シート!$M$113:$M$132,$G1555,月間集計シート!O$113:O$132)*AM$2</f>
        <v>0</v>
      </c>
      <c r="AN1555" s="88">
        <f>SUMIF(月間集計シート!$M$113:$M$132,$G1555,月間集計シート!P$113:P$132)*AN$2</f>
        <v>0</v>
      </c>
      <c r="AO1555" s="88">
        <f>SUMIF(月間集計シート!$M$113:$M$132,$G1555,月間集計シート!Q$113:Q$132)*AO$2</f>
        <v>0</v>
      </c>
      <c r="AP1555" s="88">
        <f>SUMIF(月間集計シート!$M$113:$M$132,$G1555,月間集計シート!R$113:R$132)*AP$2</f>
        <v>0</v>
      </c>
      <c r="AQ1555" s="88">
        <f>SUMIF(月間集計シート!$M$113:$M$132,$G1555,月間集計シート!S$113:S$132)*AQ$2</f>
        <v>0</v>
      </c>
      <c r="AR1555" s="88">
        <f>SUMIF(月間集計シート!$M$113:$M$132,$G1555,月間集計シート!T$113:T$132)*AR$2</f>
        <v>0</v>
      </c>
      <c r="AS1555" s="88">
        <f>SUMIF(月間集計シート!$M$134:$M$153,$G1555,月間集計シート!N$134:N$153)*AS$2</f>
        <v>0</v>
      </c>
      <c r="AT1555" s="88">
        <f>SUMIF(月間集計シート!$M$134:$M$153,$G1555,月間集計シート!O$134:O$153)*AT$2</f>
        <v>0</v>
      </c>
      <c r="AU1555" s="88">
        <f>SUMIF(月間集計シート!$M$134:$M$153,$G1555,月間集計シート!P$134:P$153)*AU$2</f>
        <v>0</v>
      </c>
      <c r="AV1555" s="88">
        <f>SUMIF(月間集計シート!$M$134:$M$153,$G1555,月間集計シート!Q$134:Q$153)*AV$2</f>
        <v>0</v>
      </c>
      <c r="AW1555" s="88">
        <f>SUMIF(月間集計シート!$M$134:$M$153,$G1555,月間集計シート!R$134:R$153)*AW$2</f>
        <v>0</v>
      </c>
      <c r="AX1555" s="88">
        <f>SUMIF(月間集計シート!$M$134:$M$153,$G1555,月間集計シート!S$134:S$153)*AX$2</f>
        <v>0</v>
      </c>
      <c r="AY1555" s="88">
        <f>SUMIF(月間集計シート!$M$134:$M$153,$G1555,月間集計シート!T$134:T$153)*AY$2</f>
        <v>0</v>
      </c>
    </row>
    <row r="1556" spans="1:51" ht="14.25" thickBot="1">
      <c r="A1556">
        <v>19</v>
      </c>
      <c r="B1556" s="120">
        <f t="shared" si="888"/>
        <v>0</v>
      </c>
      <c r="C1556" s="120" t="str">
        <f t="shared" si="889"/>
        <v/>
      </c>
      <c r="D1556" s="137"/>
      <c r="E1556" s="150" t="str">
        <f>工種!A18</f>
        <v>30104</v>
      </c>
      <c r="F1556" s="119" t="str">
        <f>工種!B18</f>
        <v>製造：単体テスト実施</v>
      </c>
      <c r="G1556" s="116" t="str">
        <f t="shared" si="837"/>
        <v>030104</v>
      </c>
      <c r="H1556" s="88">
        <f t="shared" si="844"/>
        <v>0</v>
      </c>
      <c r="I1556" s="132"/>
      <c r="J1556" s="88">
        <f>SUMIF(月間集計シート!$M$29:$M$48,$G1556,月間集計シート!N$29:N$48)*J$2</f>
        <v>0</v>
      </c>
      <c r="K1556" s="88">
        <f>SUMIF(月間集計シート!$M$29:$M$48,$G1556,月間集計シート!O$29:O$48)*K$2</f>
        <v>0</v>
      </c>
      <c r="L1556" s="88">
        <f>SUMIF(月間集計シート!$M$29:$M$48,$G1556,月間集計シート!P$29:P$48)*L$2</f>
        <v>0</v>
      </c>
      <c r="M1556" s="88">
        <f>SUMIF(月間集計シート!$M$29:$M$48,$G1556,月間集計シート!Q$29:Q$48)*M$2</f>
        <v>0</v>
      </c>
      <c r="N1556" s="88">
        <f>SUMIF(月間集計シート!$M$29:$M$48,$G1556,月間集計シート!R$29:R$48)*N$2</f>
        <v>0</v>
      </c>
      <c r="O1556" s="88">
        <f>SUMIF(月間集計シート!$M$29:$M$48,$G1556,月間集計シート!S$29:S$48)*O$2</f>
        <v>0</v>
      </c>
      <c r="P1556" s="88">
        <f>SUMIF(月間集計シート!$M$29:$M$48,$G1556,月間集計シート!T$29:T$48)*P$2</f>
        <v>0</v>
      </c>
      <c r="Q1556" s="88">
        <f>SUMIF(月間集計シート!$M$50:$M$69,$G1556,月間集計シート!N$50:N$69)*Q$2</f>
        <v>0</v>
      </c>
      <c r="R1556" s="88">
        <f>SUMIF(月間集計シート!$M$50:$M$69,$G1556,月間集計シート!O$50:O$69)*R$2</f>
        <v>0</v>
      </c>
      <c r="S1556" s="88">
        <f>SUMIF(月間集計シート!$M$50:$M$69,$G1556,月間集計シート!P$50:P$69)*S$2</f>
        <v>0</v>
      </c>
      <c r="T1556" s="88">
        <f>SUMIF(月間集計シート!$M$50:$M$69,$G1556,月間集計シート!Q$50:Q$69)*T$2</f>
        <v>0</v>
      </c>
      <c r="U1556" s="88">
        <f>SUMIF(月間集計シート!$M$50:$M$69,$G1556,月間集計シート!R$50:R$69)*U$2</f>
        <v>0</v>
      </c>
      <c r="V1556" s="88">
        <f>SUMIF(月間集計シート!$M$50:$M$69,$G1556,月間集計シート!S$50:S$69)*V$2</f>
        <v>0</v>
      </c>
      <c r="W1556" s="88">
        <f>SUMIF(月間集計シート!$M$50:$M$69,$G1556,月間集計シート!T$50:T$69)*W$2</f>
        <v>0</v>
      </c>
      <c r="X1556" s="88">
        <f>SUMIF(月間集計シート!$M$71:$M$90,$G1556,月間集計シート!N$71:N$90)*X$2</f>
        <v>0</v>
      </c>
      <c r="Y1556" s="88">
        <f>SUMIF(月間集計シート!$M$71:$M$90,$G1556,月間集計シート!O$71:O$90)*Y$2</f>
        <v>0</v>
      </c>
      <c r="Z1556" s="88">
        <f>SUMIF(月間集計シート!$M$71:$M$90,$G1556,月間集計シート!P$71:P$90)*Z$2</f>
        <v>0</v>
      </c>
      <c r="AA1556" s="88">
        <f>SUMIF(月間集計シート!$M$71:$M$90,$G1556,月間集計シート!Q$71:Q$90)*AA$2</f>
        <v>0</v>
      </c>
      <c r="AB1556" s="88">
        <f>SUMIF(月間集計シート!$M$71:$M$90,$G1556,月間集計シート!R$71:R$90)*AB$2</f>
        <v>0</v>
      </c>
      <c r="AC1556" s="88">
        <f>SUMIF(月間集計シート!$M$71:$M$90,$G1556,月間集計シート!S$71:S$90)*AC$2</f>
        <v>0</v>
      </c>
      <c r="AD1556" s="88">
        <f>SUMIF(月間集計シート!$M$71:$M$90,$G1556,月間集計シート!T$71:T$90)*AD$2</f>
        <v>0</v>
      </c>
      <c r="AE1556" s="88">
        <f>SUMIF(月間集計シート!$M$92:$M$111,$G1556,月間集計シート!N$92:N$111)*AE$2</f>
        <v>0</v>
      </c>
      <c r="AF1556" s="88">
        <f>SUMIF(月間集計シート!$M$92:$M$111,$G1556,月間集計シート!O$92:O$111)*AF$2</f>
        <v>0</v>
      </c>
      <c r="AG1556" s="88">
        <f>SUMIF(月間集計シート!$M$92:$M$111,$G1556,月間集計シート!P$92:P$111)*AG$2</f>
        <v>0</v>
      </c>
      <c r="AH1556" s="88">
        <f>SUMIF(月間集計シート!$M$92:$M$111,$G1556,月間集計シート!Q$92:Q$111)*AH$2</f>
        <v>0</v>
      </c>
      <c r="AI1556" s="88">
        <f>SUMIF(月間集計シート!$M$92:$M$111,$G1556,月間集計シート!R$92:R$111)*AI$2</f>
        <v>0</v>
      </c>
      <c r="AJ1556" s="88">
        <f>SUMIF(月間集計シート!$M$92:$M$111,$G1556,月間集計シート!S$92:S$111)*AJ$2</f>
        <v>0</v>
      </c>
      <c r="AK1556" s="88">
        <f>SUMIF(月間集計シート!$M$92:$M$111,$G1556,月間集計シート!T$92:T$111)*AK$2</f>
        <v>0</v>
      </c>
      <c r="AL1556" s="88">
        <f>SUMIF(月間集計シート!$M$113:$M$132,$G1556,月間集計シート!N$113:N$132)*AL$2</f>
        <v>0</v>
      </c>
      <c r="AM1556" s="88">
        <f>SUMIF(月間集計シート!$M$113:$M$132,$G1556,月間集計シート!O$113:O$132)*AM$2</f>
        <v>0</v>
      </c>
      <c r="AN1556" s="88">
        <f>SUMIF(月間集計シート!$M$113:$M$132,$G1556,月間集計シート!P$113:P$132)*AN$2</f>
        <v>0</v>
      </c>
      <c r="AO1556" s="88">
        <f>SUMIF(月間集計シート!$M$113:$M$132,$G1556,月間集計シート!Q$113:Q$132)*AO$2</f>
        <v>0</v>
      </c>
      <c r="AP1556" s="88">
        <f>SUMIF(月間集計シート!$M$113:$M$132,$G1556,月間集計シート!R$113:R$132)*AP$2</f>
        <v>0</v>
      </c>
      <c r="AQ1556" s="88">
        <f>SUMIF(月間集計シート!$M$113:$M$132,$G1556,月間集計シート!S$113:S$132)*AQ$2</f>
        <v>0</v>
      </c>
      <c r="AR1556" s="88">
        <f>SUMIF(月間集計シート!$M$113:$M$132,$G1556,月間集計シート!T$113:T$132)*AR$2</f>
        <v>0</v>
      </c>
      <c r="AS1556" s="88">
        <f>SUMIF(月間集計シート!$M$134:$M$153,$G1556,月間集計シート!N$134:N$153)*AS$2</f>
        <v>0</v>
      </c>
      <c r="AT1556" s="88">
        <f>SUMIF(月間集計シート!$M$134:$M$153,$G1556,月間集計シート!O$134:O$153)*AT$2</f>
        <v>0</v>
      </c>
      <c r="AU1556" s="88">
        <f>SUMIF(月間集計シート!$M$134:$M$153,$G1556,月間集計シート!P$134:P$153)*AU$2</f>
        <v>0</v>
      </c>
      <c r="AV1556" s="88">
        <f>SUMIF(月間集計シート!$M$134:$M$153,$G1556,月間集計シート!Q$134:Q$153)*AV$2</f>
        <v>0</v>
      </c>
      <c r="AW1556" s="88">
        <f>SUMIF(月間集計シート!$M$134:$M$153,$G1556,月間集計シート!R$134:R$153)*AW$2</f>
        <v>0</v>
      </c>
      <c r="AX1556" s="88">
        <f>SUMIF(月間集計シート!$M$134:$M$153,$G1556,月間集計シート!S$134:S$153)*AX$2</f>
        <v>0</v>
      </c>
      <c r="AY1556" s="88">
        <f>SUMIF(月間集計シート!$M$134:$M$153,$G1556,月間集計シート!T$134:T$153)*AY$2</f>
        <v>0</v>
      </c>
    </row>
    <row r="1557" spans="1:51" ht="14.25" thickBot="1">
      <c r="A1557">
        <v>19</v>
      </c>
      <c r="B1557" s="120">
        <f t="shared" si="888"/>
        <v>0</v>
      </c>
      <c r="C1557" s="120" t="str">
        <f t="shared" si="889"/>
        <v/>
      </c>
      <c r="D1557" s="137"/>
      <c r="E1557" s="150" t="str">
        <f>工種!A19</f>
        <v>30105</v>
      </c>
      <c r="F1557" s="119" t="str">
        <f>工種!B19</f>
        <v>製造：打合せ</v>
      </c>
      <c r="G1557" s="116" t="str">
        <f t="shared" si="837"/>
        <v>030105</v>
      </c>
      <c r="H1557" s="88">
        <f t="shared" si="844"/>
        <v>0</v>
      </c>
      <c r="I1557" s="132"/>
      <c r="J1557" s="88">
        <f>SUMIF(月間集計シート!$M$29:$M$48,$G1557,月間集計シート!N$29:N$48)*J$2</f>
        <v>0</v>
      </c>
      <c r="K1557" s="88">
        <f>SUMIF(月間集計シート!$M$29:$M$48,$G1557,月間集計シート!O$29:O$48)*K$2</f>
        <v>0</v>
      </c>
      <c r="L1557" s="88">
        <f>SUMIF(月間集計シート!$M$29:$M$48,$G1557,月間集計シート!P$29:P$48)*L$2</f>
        <v>0</v>
      </c>
      <c r="M1557" s="88">
        <f>SUMIF(月間集計シート!$M$29:$M$48,$G1557,月間集計シート!Q$29:Q$48)*M$2</f>
        <v>0</v>
      </c>
      <c r="N1557" s="88">
        <f>SUMIF(月間集計シート!$M$29:$M$48,$G1557,月間集計シート!R$29:R$48)*N$2</f>
        <v>0</v>
      </c>
      <c r="O1557" s="88">
        <f>SUMIF(月間集計シート!$M$29:$M$48,$G1557,月間集計シート!S$29:S$48)*O$2</f>
        <v>0</v>
      </c>
      <c r="P1557" s="88">
        <f>SUMIF(月間集計シート!$M$29:$M$48,$G1557,月間集計シート!T$29:T$48)*P$2</f>
        <v>0</v>
      </c>
      <c r="Q1557" s="88">
        <f>SUMIF(月間集計シート!$M$50:$M$69,$G1557,月間集計シート!N$50:N$69)*Q$2</f>
        <v>0</v>
      </c>
      <c r="R1557" s="88">
        <f>SUMIF(月間集計シート!$M$50:$M$69,$G1557,月間集計シート!O$50:O$69)*R$2</f>
        <v>0</v>
      </c>
      <c r="S1557" s="88">
        <f>SUMIF(月間集計シート!$M$50:$M$69,$G1557,月間集計シート!P$50:P$69)*S$2</f>
        <v>0</v>
      </c>
      <c r="T1557" s="88">
        <f>SUMIF(月間集計シート!$M$50:$M$69,$G1557,月間集計シート!Q$50:Q$69)*T$2</f>
        <v>0</v>
      </c>
      <c r="U1557" s="88">
        <f>SUMIF(月間集計シート!$M$50:$M$69,$G1557,月間集計シート!R$50:R$69)*U$2</f>
        <v>0</v>
      </c>
      <c r="V1557" s="88">
        <f>SUMIF(月間集計シート!$M$50:$M$69,$G1557,月間集計シート!S$50:S$69)*V$2</f>
        <v>0</v>
      </c>
      <c r="W1557" s="88">
        <f>SUMIF(月間集計シート!$M$50:$M$69,$G1557,月間集計シート!T$50:T$69)*W$2</f>
        <v>0</v>
      </c>
      <c r="X1557" s="88">
        <f>SUMIF(月間集計シート!$M$71:$M$90,$G1557,月間集計シート!N$71:N$90)*X$2</f>
        <v>0</v>
      </c>
      <c r="Y1557" s="88">
        <f>SUMIF(月間集計シート!$M$71:$M$90,$G1557,月間集計シート!O$71:O$90)*Y$2</f>
        <v>0</v>
      </c>
      <c r="Z1557" s="88">
        <f>SUMIF(月間集計シート!$M$71:$M$90,$G1557,月間集計シート!P$71:P$90)*Z$2</f>
        <v>0</v>
      </c>
      <c r="AA1557" s="88">
        <f>SUMIF(月間集計シート!$M$71:$M$90,$G1557,月間集計シート!Q$71:Q$90)*AA$2</f>
        <v>0</v>
      </c>
      <c r="AB1557" s="88">
        <f>SUMIF(月間集計シート!$M$71:$M$90,$G1557,月間集計シート!R$71:R$90)*AB$2</f>
        <v>0</v>
      </c>
      <c r="AC1557" s="88">
        <f>SUMIF(月間集計シート!$M$71:$M$90,$G1557,月間集計シート!S$71:S$90)*AC$2</f>
        <v>0</v>
      </c>
      <c r="AD1557" s="88">
        <f>SUMIF(月間集計シート!$M$71:$M$90,$G1557,月間集計シート!T$71:T$90)*AD$2</f>
        <v>0</v>
      </c>
      <c r="AE1557" s="88">
        <f>SUMIF(月間集計シート!$M$92:$M$111,$G1557,月間集計シート!N$92:N$111)*AE$2</f>
        <v>0</v>
      </c>
      <c r="AF1557" s="88">
        <f>SUMIF(月間集計シート!$M$92:$M$111,$G1557,月間集計シート!O$92:O$111)*AF$2</f>
        <v>0</v>
      </c>
      <c r="AG1557" s="88">
        <f>SUMIF(月間集計シート!$M$92:$M$111,$G1557,月間集計シート!P$92:P$111)*AG$2</f>
        <v>0</v>
      </c>
      <c r="AH1557" s="88">
        <f>SUMIF(月間集計シート!$M$92:$M$111,$G1557,月間集計シート!Q$92:Q$111)*AH$2</f>
        <v>0</v>
      </c>
      <c r="AI1557" s="88">
        <f>SUMIF(月間集計シート!$M$92:$M$111,$G1557,月間集計シート!R$92:R$111)*AI$2</f>
        <v>0</v>
      </c>
      <c r="AJ1557" s="88">
        <f>SUMIF(月間集計シート!$M$92:$M$111,$G1557,月間集計シート!S$92:S$111)*AJ$2</f>
        <v>0</v>
      </c>
      <c r="AK1557" s="88">
        <f>SUMIF(月間集計シート!$M$92:$M$111,$G1557,月間集計シート!T$92:T$111)*AK$2</f>
        <v>0</v>
      </c>
      <c r="AL1557" s="88">
        <f>SUMIF(月間集計シート!$M$113:$M$132,$G1557,月間集計シート!N$113:N$132)*AL$2</f>
        <v>0</v>
      </c>
      <c r="AM1557" s="88">
        <f>SUMIF(月間集計シート!$M$113:$M$132,$G1557,月間集計シート!O$113:O$132)*AM$2</f>
        <v>0</v>
      </c>
      <c r="AN1557" s="88">
        <f>SUMIF(月間集計シート!$M$113:$M$132,$G1557,月間集計シート!P$113:P$132)*AN$2</f>
        <v>0</v>
      </c>
      <c r="AO1557" s="88">
        <f>SUMIF(月間集計シート!$M$113:$M$132,$G1557,月間集計シート!Q$113:Q$132)*AO$2</f>
        <v>0</v>
      </c>
      <c r="AP1557" s="88">
        <f>SUMIF(月間集計シート!$M$113:$M$132,$G1557,月間集計シート!R$113:R$132)*AP$2</f>
        <v>0</v>
      </c>
      <c r="AQ1557" s="88">
        <f>SUMIF(月間集計シート!$M$113:$M$132,$G1557,月間集計シート!S$113:S$132)*AQ$2</f>
        <v>0</v>
      </c>
      <c r="AR1557" s="88">
        <f>SUMIF(月間集計シート!$M$113:$M$132,$G1557,月間集計シート!T$113:T$132)*AR$2</f>
        <v>0</v>
      </c>
      <c r="AS1557" s="88">
        <f>SUMIF(月間集計シート!$M$134:$M$153,$G1557,月間集計シート!N$134:N$153)*AS$2</f>
        <v>0</v>
      </c>
      <c r="AT1557" s="88">
        <f>SUMIF(月間集計シート!$M$134:$M$153,$G1557,月間集計シート!O$134:O$153)*AT$2</f>
        <v>0</v>
      </c>
      <c r="AU1557" s="88">
        <f>SUMIF(月間集計シート!$M$134:$M$153,$G1557,月間集計シート!P$134:P$153)*AU$2</f>
        <v>0</v>
      </c>
      <c r="AV1557" s="88">
        <f>SUMIF(月間集計シート!$M$134:$M$153,$G1557,月間集計シート!Q$134:Q$153)*AV$2</f>
        <v>0</v>
      </c>
      <c r="AW1557" s="88">
        <f>SUMIF(月間集計シート!$M$134:$M$153,$G1557,月間集計シート!R$134:R$153)*AW$2</f>
        <v>0</v>
      </c>
      <c r="AX1557" s="88">
        <f>SUMIF(月間集計シート!$M$134:$M$153,$G1557,月間集計シート!S$134:S$153)*AX$2</f>
        <v>0</v>
      </c>
      <c r="AY1557" s="88">
        <f>SUMIF(月間集計シート!$M$134:$M$153,$G1557,月間集計シート!T$134:T$153)*AY$2</f>
        <v>0</v>
      </c>
    </row>
    <row r="1558" spans="1:51" ht="14.25" thickBot="1">
      <c r="A1558">
        <v>19</v>
      </c>
      <c r="B1558" s="120">
        <f t="shared" si="888"/>
        <v>0</v>
      </c>
      <c r="C1558" s="120" t="str">
        <f t="shared" si="889"/>
        <v/>
      </c>
      <c r="D1558" s="137"/>
      <c r="E1558" s="150" t="str">
        <f>工種!A20</f>
        <v>30106</v>
      </c>
      <c r="F1558" s="119" t="str">
        <f>工種!B20</f>
        <v>製造：PG修正（手戻り分）</v>
      </c>
      <c r="G1558" s="116" t="str">
        <f t="shared" si="837"/>
        <v>030106</v>
      </c>
      <c r="H1558" s="88">
        <f t="shared" si="844"/>
        <v>0</v>
      </c>
      <c r="I1558" s="132"/>
      <c r="J1558" s="88">
        <f>SUMIF(月間集計シート!$M$29:$M$48,$G1558,月間集計シート!N$29:N$48)*J$2</f>
        <v>0</v>
      </c>
      <c r="K1558" s="88">
        <f>SUMIF(月間集計シート!$M$29:$M$48,$G1558,月間集計シート!O$29:O$48)*K$2</f>
        <v>0</v>
      </c>
      <c r="L1558" s="88">
        <f>SUMIF(月間集計シート!$M$29:$M$48,$G1558,月間集計シート!P$29:P$48)*L$2</f>
        <v>0</v>
      </c>
      <c r="M1558" s="88">
        <f>SUMIF(月間集計シート!$M$29:$M$48,$G1558,月間集計シート!Q$29:Q$48)*M$2</f>
        <v>0</v>
      </c>
      <c r="N1558" s="88">
        <f>SUMIF(月間集計シート!$M$29:$M$48,$G1558,月間集計シート!R$29:R$48)*N$2</f>
        <v>0</v>
      </c>
      <c r="O1558" s="88">
        <f>SUMIF(月間集計シート!$M$29:$M$48,$G1558,月間集計シート!S$29:S$48)*O$2</f>
        <v>0</v>
      </c>
      <c r="P1558" s="88">
        <f>SUMIF(月間集計シート!$M$29:$M$48,$G1558,月間集計シート!T$29:T$48)*P$2</f>
        <v>0</v>
      </c>
      <c r="Q1558" s="88">
        <f>SUMIF(月間集計シート!$M$50:$M$69,$G1558,月間集計シート!N$50:N$69)*Q$2</f>
        <v>0</v>
      </c>
      <c r="R1558" s="88">
        <f>SUMIF(月間集計シート!$M$50:$M$69,$G1558,月間集計シート!O$50:O$69)*R$2</f>
        <v>0</v>
      </c>
      <c r="S1558" s="88">
        <f>SUMIF(月間集計シート!$M$50:$M$69,$G1558,月間集計シート!P$50:P$69)*S$2</f>
        <v>0</v>
      </c>
      <c r="T1558" s="88">
        <f>SUMIF(月間集計シート!$M$50:$M$69,$G1558,月間集計シート!Q$50:Q$69)*T$2</f>
        <v>0</v>
      </c>
      <c r="U1558" s="88">
        <f>SUMIF(月間集計シート!$M$50:$M$69,$G1558,月間集計シート!R$50:R$69)*U$2</f>
        <v>0</v>
      </c>
      <c r="V1558" s="88">
        <f>SUMIF(月間集計シート!$M$50:$M$69,$G1558,月間集計シート!S$50:S$69)*V$2</f>
        <v>0</v>
      </c>
      <c r="W1558" s="88">
        <f>SUMIF(月間集計シート!$M$50:$M$69,$G1558,月間集計シート!T$50:T$69)*W$2</f>
        <v>0</v>
      </c>
      <c r="X1558" s="88">
        <f>SUMIF(月間集計シート!$M$71:$M$90,$G1558,月間集計シート!N$71:N$90)*X$2</f>
        <v>0</v>
      </c>
      <c r="Y1558" s="88">
        <f>SUMIF(月間集計シート!$M$71:$M$90,$G1558,月間集計シート!O$71:O$90)*Y$2</f>
        <v>0</v>
      </c>
      <c r="Z1558" s="88">
        <f>SUMIF(月間集計シート!$M$71:$M$90,$G1558,月間集計シート!P$71:P$90)*Z$2</f>
        <v>0</v>
      </c>
      <c r="AA1558" s="88">
        <f>SUMIF(月間集計シート!$M$71:$M$90,$G1558,月間集計シート!Q$71:Q$90)*AA$2</f>
        <v>0</v>
      </c>
      <c r="AB1558" s="88">
        <f>SUMIF(月間集計シート!$M$71:$M$90,$G1558,月間集計シート!R$71:R$90)*AB$2</f>
        <v>0</v>
      </c>
      <c r="AC1558" s="88">
        <f>SUMIF(月間集計シート!$M$71:$M$90,$G1558,月間集計シート!S$71:S$90)*AC$2</f>
        <v>0</v>
      </c>
      <c r="AD1558" s="88">
        <f>SUMIF(月間集計シート!$M$71:$M$90,$G1558,月間集計シート!T$71:T$90)*AD$2</f>
        <v>0</v>
      </c>
      <c r="AE1558" s="88">
        <f>SUMIF(月間集計シート!$M$92:$M$111,$G1558,月間集計シート!N$92:N$111)*AE$2</f>
        <v>0</v>
      </c>
      <c r="AF1558" s="88">
        <f>SUMIF(月間集計シート!$M$92:$M$111,$G1558,月間集計シート!O$92:O$111)*AF$2</f>
        <v>0</v>
      </c>
      <c r="AG1558" s="88">
        <f>SUMIF(月間集計シート!$M$92:$M$111,$G1558,月間集計シート!P$92:P$111)*AG$2</f>
        <v>0</v>
      </c>
      <c r="AH1558" s="88">
        <f>SUMIF(月間集計シート!$M$92:$M$111,$G1558,月間集計シート!Q$92:Q$111)*AH$2</f>
        <v>0</v>
      </c>
      <c r="AI1558" s="88">
        <f>SUMIF(月間集計シート!$M$92:$M$111,$G1558,月間集計シート!R$92:R$111)*AI$2</f>
        <v>0</v>
      </c>
      <c r="AJ1558" s="88">
        <f>SUMIF(月間集計シート!$M$92:$M$111,$G1558,月間集計シート!S$92:S$111)*AJ$2</f>
        <v>0</v>
      </c>
      <c r="AK1558" s="88">
        <f>SUMIF(月間集計シート!$M$92:$M$111,$G1558,月間集計シート!T$92:T$111)*AK$2</f>
        <v>0</v>
      </c>
      <c r="AL1558" s="88">
        <f>SUMIF(月間集計シート!$M$113:$M$132,$G1558,月間集計シート!N$113:N$132)*AL$2</f>
        <v>0</v>
      </c>
      <c r="AM1558" s="88">
        <f>SUMIF(月間集計シート!$M$113:$M$132,$G1558,月間集計シート!O$113:O$132)*AM$2</f>
        <v>0</v>
      </c>
      <c r="AN1558" s="88">
        <f>SUMIF(月間集計シート!$M$113:$M$132,$G1558,月間集計シート!P$113:P$132)*AN$2</f>
        <v>0</v>
      </c>
      <c r="AO1558" s="88">
        <f>SUMIF(月間集計シート!$M$113:$M$132,$G1558,月間集計シート!Q$113:Q$132)*AO$2</f>
        <v>0</v>
      </c>
      <c r="AP1558" s="88">
        <f>SUMIF(月間集計シート!$M$113:$M$132,$G1558,月間集計シート!R$113:R$132)*AP$2</f>
        <v>0</v>
      </c>
      <c r="AQ1558" s="88">
        <f>SUMIF(月間集計シート!$M$113:$M$132,$G1558,月間集計シート!S$113:S$132)*AQ$2</f>
        <v>0</v>
      </c>
      <c r="AR1558" s="88">
        <f>SUMIF(月間集計シート!$M$113:$M$132,$G1558,月間集計シート!T$113:T$132)*AR$2</f>
        <v>0</v>
      </c>
      <c r="AS1558" s="88">
        <f>SUMIF(月間集計シート!$M$134:$M$153,$G1558,月間集計シート!N$134:N$153)*AS$2</f>
        <v>0</v>
      </c>
      <c r="AT1558" s="88">
        <f>SUMIF(月間集計シート!$M$134:$M$153,$G1558,月間集計シート!O$134:O$153)*AT$2</f>
        <v>0</v>
      </c>
      <c r="AU1558" s="88">
        <f>SUMIF(月間集計シート!$M$134:$M$153,$G1558,月間集計シート!P$134:P$153)*AU$2</f>
        <v>0</v>
      </c>
      <c r="AV1558" s="88">
        <f>SUMIF(月間集計シート!$M$134:$M$153,$G1558,月間集計シート!Q$134:Q$153)*AV$2</f>
        <v>0</v>
      </c>
      <c r="AW1558" s="88">
        <f>SUMIF(月間集計シート!$M$134:$M$153,$G1558,月間集計シート!R$134:R$153)*AW$2</f>
        <v>0</v>
      </c>
      <c r="AX1558" s="88">
        <f>SUMIF(月間集計シート!$M$134:$M$153,$G1558,月間集計シート!S$134:S$153)*AX$2</f>
        <v>0</v>
      </c>
      <c r="AY1558" s="88">
        <f>SUMIF(月間集計シート!$M$134:$M$153,$G1558,月間集計シート!T$134:T$153)*AY$2</f>
        <v>0</v>
      </c>
    </row>
    <row r="1559" spans="1:51" ht="14.25" thickBot="1">
      <c r="A1559">
        <v>19</v>
      </c>
      <c r="B1559" s="120">
        <f t="shared" si="888"/>
        <v>0</v>
      </c>
      <c r="C1559" s="120" t="str">
        <f t="shared" si="889"/>
        <v/>
      </c>
      <c r="D1559" s="137"/>
      <c r="E1559" s="150" t="str">
        <f>工種!A21</f>
        <v>30109</v>
      </c>
      <c r="F1559" s="119" t="str">
        <f>工種!B21</f>
        <v>製造：レビュー</v>
      </c>
      <c r="G1559" s="116" t="str">
        <f t="shared" ref="G1559:G1644" si="890">B1559&amp;E1559</f>
        <v>030109</v>
      </c>
      <c r="H1559" s="88">
        <f t="shared" si="844"/>
        <v>0</v>
      </c>
      <c r="I1559" s="132"/>
      <c r="J1559" s="88">
        <f>SUMIF(月間集計シート!$M$29:$M$48,$G1559,月間集計シート!N$29:N$48)*J$2</f>
        <v>0</v>
      </c>
      <c r="K1559" s="88">
        <f>SUMIF(月間集計シート!$M$29:$M$48,$G1559,月間集計シート!O$29:O$48)*K$2</f>
        <v>0</v>
      </c>
      <c r="L1559" s="88">
        <f>SUMIF(月間集計シート!$M$29:$M$48,$G1559,月間集計シート!P$29:P$48)*L$2</f>
        <v>0</v>
      </c>
      <c r="M1559" s="88">
        <f>SUMIF(月間集計シート!$M$29:$M$48,$G1559,月間集計シート!Q$29:Q$48)*M$2</f>
        <v>0</v>
      </c>
      <c r="N1559" s="88">
        <f>SUMIF(月間集計シート!$M$29:$M$48,$G1559,月間集計シート!R$29:R$48)*N$2</f>
        <v>0</v>
      </c>
      <c r="O1559" s="88">
        <f>SUMIF(月間集計シート!$M$29:$M$48,$G1559,月間集計シート!S$29:S$48)*O$2</f>
        <v>0</v>
      </c>
      <c r="P1559" s="88">
        <f>SUMIF(月間集計シート!$M$29:$M$48,$G1559,月間集計シート!T$29:T$48)*P$2</f>
        <v>0</v>
      </c>
      <c r="Q1559" s="88">
        <f>SUMIF(月間集計シート!$M$50:$M$69,$G1559,月間集計シート!N$50:N$69)*Q$2</f>
        <v>0</v>
      </c>
      <c r="R1559" s="88">
        <f>SUMIF(月間集計シート!$M$50:$M$69,$G1559,月間集計シート!O$50:O$69)*R$2</f>
        <v>0</v>
      </c>
      <c r="S1559" s="88">
        <f>SUMIF(月間集計シート!$M$50:$M$69,$G1559,月間集計シート!P$50:P$69)*S$2</f>
        <v>0</v>
      </c>
      <c r="T1559" s="88">
        <f>SUMIF(月間集計シート!$M$50:$M$69,$G1559,月間集計シート!Q$50:Q$69)*T$2</f>
        <v>0</v>
      </c>
      <c r="U1559" s="88">
        <f>SUMIF(月間集計シート!$M$50:$M$69,$G1559,月間集計シート!R$50:R$69)*U$2</f>
        <v>0</v>
      </c>
      <c r="V1559" s="88">
        <f>SUMIF(月間集計シート!$M$50:$M$69,$G1559,月間集計シート!S$50:S$69)*V$2</f>
        <v>0</v>
      </c>
      <c r="W1559" s="88">
        <f>SUMIF(月間集計シート!$M$50:$M$69,$G1559,月間集計シート!T$50:T$69)*W$2</f>
        <v>0</v>
      </c>
      <c r="X1559" s="88">
        <f>SUMIF(月間集計シート!$M$71:$M$90,$G1559,月間集計シート!N$71:N$90)*X$2</f>
        <v>0</v>
      </c>
      <c r="Y1559" s="88">
        <f>SUMIF(月間集計シート!$M$71:$M$90,$G1559,月間集計シート!O$71:O$90)*Y$2</f>
        <v>0</v>
      </c>
      <c r="Z1559" s="88">
        <f>SUMIF(月間集計シート!$M$71:$M$90,$G1559,月間集計シート!P$71:P$90)*Z$2</f>
        <v>0</v>
      </c>
      <c r="AA1559" s="88">
        <f>SUMIF(月間集計シート!$M$71:$M$90,$G1559,月間集計シート!Q$71:Q$90)*AA$2</f>
        <v>0</v>
      </c>
      <c r="AB1559" s="88">
        <f>SUMIF(月間集計シート!$M$71:$M$90,$G1559,月間集計シート!R$71:R$90)*AB$2</f>
        <v>0</v>
      </c>
      <c r="AC1559" s="88">
        <f>SUMIF(月間集計シート!$M$71:$M$90,$G1559,月間集計シート!S$71:S$90)*AC$2</f>
        <v>0</v>
      </c>
      <c r="AD1559" s="88">
        <f>SUMIF(月間集計シート!$M$71:$M$90,$G1559,月間集計シート!T$71:T$90)*AD$2</f>
        <v>0</v>
      </c>
      <c r="AE1559" s="88">
        <f>SUMIF(月間集計シート!$M$92:$M$111,$G1559,月間集計シート!N$92:N$111)*AE$2</f>
        <v>0</v>
      </c>
      <c r="AF1559" s="88">
        <f>SUMIF(月間集計シート!$M$92:$M$111,$G1559,月間集計シート!O$92:O$111)*AF$2</f>
        <v>0</v>
      </c>
      <c r="AG1559" s="88">
        <f>SUMIF(月間集計シート!$M$92:$M$111,$G1559,月間集計シート!P$92:P$111)*AG$2</f>
        <v>0</v>
      </c>
      <c r="AH1559" s="88">
        <f>SUMIF(月間集計シート!$M$92:$M$111,$G1559,月間集計シート!Q$92:Q$111)*AH$2</f>
        <v>0</v>
      </c>
      <c r="AI1559" s="88">
        <f>SUMIF(月間集計シート!$M$92:$M$111,$G1559,月間集計シート!R$92:R$111)*AI$2</f>
        <v>0</v>
      </c>
      <c r="AJ1559" s="88">
        <f>SUMIF(月間集計シート!$M$92:$M$111,$G1559,月間集計シート!S$92:S$111)*AJ$2</f>
        <v>0</v>
      </c>
      <c r="AK1559" s="88">
        <f>SUMIF(月間集計シート!$M$92:$M$111,$G1559,月間集計シート!T$92:T$111)*AK$2</f>
        <v>0</v>
      </c>
      <c r="AL1559" s="88">
        <f>SUMIF(月間集計シート!$M$113:$M$132,$G1559,月間集計シート!N$113:N$132)*AL$2</f>
        <v>0</v>
      </c>
      <c r="AM1559" s="88">
        <f>SUMIF(月間集計シート!$M$113:$M$132,$G1559,月間集計シート!O$113:O$132)*AM$2</f>
        <v>0</v>
      </c>
      <c r="AN1559" s="88">
        <f>SUMIF(月間集計シート!$M$113:$M$132,$G1559,月間集計シート!P$113:P$132)*AN$2</f>
        <v>0</v>
      </c>
      <c r="AO1559" s="88">
        <f>SUMIF(月間集計シート!$M$113:$M$132,$G1559,月間集計シート!Q$113:Q$132)*AO$2</f>
        <v>0</v>
      </c>
      <c r="AP1559" s="88">
        <f>SUMIF(月間集計シート!$M$113:$M$132,$G1559,月間集計シート!R$113:R$132)*AP$2</f>
        <v>0</v>
      </c>
      <c r="AQ1559" s="88">
        <f>SUMIF(月間集計シート!$M$113:$M$132,$G1559,月間集計シート!S$113:S$132)*AQ$2</f>
        <v>0</v>
      </c>
      <c r="AR1559" s="88">
        <f>SUMIF(月間集計シート!$M$113:$M$132,$G1559,月間集計シート!T$113:T$132)*AR$2</f>
        <v>0</v>
      </c>
      <c r="AS1559" s="88">
        <f>SUMIF(月間集計シート!$M$134:$M$153,$G1559,月間集計シート!N$134:N$153)*AS$2</f>
        <v>0</v>
      </c>
      <c r="AT1559" s="88">
        <f>SUMIF(月間集計シート!$M$134:$M$153,$G1559,月間集計シート!O$134:O$153)*AT$2</f>
        <v>0</v>
      </c>
      <c r="AU1559" s="88">
        <f>SUMIF(月間集計シート!$M$134:$M$153,$G1559,月間集計シート!P$134:P$153)*AU$2</f>
        <v>0</v>
      </c>
      <c r="AV1559" s="88">
        <f>SUMIF(月間集計シート!$M$134:$M$153,$G1559,月間集計シート!Q$134:Q$153)*AV$2</f>
        <v>0</v>
      </c>
      <c r="AW1559" s="88">
        <f>SUMIF(月間集計シート!$M$134:$M$153,$G1559,月間集計シート!R$134:R$153)*AW$2</f>
        <v>0</v>
      </c>
      <c r="AX1559" s="88">
        <f>SUMIF(月間集計シート!$M$134:$M$153,$G1559,月間集計シート!S$134:S$153)*AX$2</f>
        <v>0</v>
      </c>
      <c r="AY1559" s="88">
        <f>SUMIF(月間集計シート!$M$134:$M$153,$G1559,月間集計シート!T$134:T$153)*AY$2</f>
        <v>0</v>
      </c>
    </row>
    <row r="1560" spans="1:51" ht="14.25" thickBot="1">
      <c r="A1560">
        <v>19</v>
      </c>
      <c r="B1560" s="120">
        <f t="shared" si="888"/>
        <v>0</v>
      </c>
      <c r="C1560" s="120" t="str">
        <f t="shared" si="889"/>
        <v/>
      </c>
      <c r="D1560" s="137"/>
      <c r="E1560" s="150" t="str">
        <f>工種!A22</f>
        <v>30199</v>
      </c>
      <c r="F1560" s="119" t="str">
        <f>工種!B22</f>
        <v>製造：その他</v>
      </c>
      <c r="G1560" s="116" t="str">
        <f t="shared" si="890"/>
        <v>030199</v>
      </c>
      <c r="H1560" s="88">
        <f t="shared" si="844"/>
        <v>0</v>
      </c>
      <c r="I1560" s="132"/>
      <c r="J1560" s="88">
        <f>SUMIF(月間集計シート!$M$29:$M$48,$G1560,月間集計シート!N$29:N$48)*J$2</f>
        <v>0</v>
      </c>
      <c r="K1560" s="88">
        <f>SUMIF(月間集計シート!$M$29:$M$48,$G1560,月間集計シート!O$29:O$48)*K$2</f>
        <v>0</v>
      </c>
      <c r="L1560" s="88">
        <f>SUMIF(月間集計シート!$M$29:$M$48,$G1560,月間集計シート!P$29:P$48)*L$2</f>
        <v>0</v>
      </c>
      <c r="M1560" s="88">
        <f>SUMIF(月間集計シート!$M$29:$M$48,$G1560,月間集計シート!Q$29:Q$48)*M$2</f>
        <v>0</v>
      </c>
      <c r="N1560" s="88">
        <f>SUMIF(月間集計シート!$M$29:$M$48,$G1560,月間集計シート!R$29:R$48)*N$2</f>
        <v>0</v>
      </c>
      <c r="O1560" s="88">
        <f>SUMIF(月間集計シート!$M$29:$M$48,$G1560,月間集計シート!S$29:S$48)*O$2</f>
        <v>0</v>
      </c>
      <c r="P1560" s="88">
        <f>SUMIF(月間集計シート!$M$29:$M$48,$G1560,月間集計シート!T$29:T$48)*P$2</f>
        <v>0</v>
      </c>
      <c r="Q1560" s="88">
        <f>SUMIF(月間集計シート!$M$50:$M$69,$G1560,月間集計シート!N$50:N$69)*Q$2</f>
        <v>0</v>
      </c>
      <c r="R1560" s="88">
        <f>SUMIF(月間集計シート!$M$50:$M$69,$G1560,月間集計シート!O$50:O$69)*R$2</f>
        <v>0</v>
      </c>
      <c r="S1560" s="88">
        <f>SUMIF(月間集計シート!$M$50:$M$69,$G1560,月間集計シート!P$50:P$69)*S$2</f>
        <v>0</v>
      </c>
      <c r="T1560" s="88">
        <f>SUMIF(月間集計シート!$M$50:$M$69,$G1560,月間集計シート!Q$50:Q$69)*T$2</f>
        <v>0</v>
      </c>
      <c r="U1560" s="88">
        <f>SUMIF(月間集計シート!$M$50:$M$69,$G1560,月間集計シート!R$50:R$69)*U$2</f>
        <v>0</v>
      </c>
      <c r="V1560" s="88">
        <f>SUMIF(月間集計シート!$M$50:$M$69,$G1560,月間集計シート!S$50:S$69)*V$2</f>
        <v>0</v>
      </c>
      <c r="W1560" s="88">
        <f>SUMIF(月間集計シート!$M$50:$M$69,$G1560,月間集計シート!T$50:T$69)*W$2</f>
        <v>0</v>
      </c>
      <c r="X1560" s="88">
        <f>SUMIF(月間集計シート!$M$71:$M$90,$G1560,月間集計シート!N$71:N$90)*X$2</f>
        <v>0</v>
      </c>
      <c r="Y1560" s="88">
        <f>SUMIF(月間集計シート!$M$71:$M$90,$G1560,月間集計シート!O$71:O$90)*Y$2</f>
        <v>0</v>
      </c>
      <c r="Z1560" s="88">
        <f>SUMIF(月間集計シート!$M$71:$M$90,$G1560,月間集計シート!P$71:P$90)*Z$2</f>
        <v>0</v>
      </c>
      <c r="AA1560" s="88">
        <f>SUMIF(月間集計シート!$M$71:$M$90,$G1560,月間集計シート!Q$71:Q$90)*AA$2</f>
        <v>0</v>
      </c>
      <c r="AB1560" s="88">
        <f>SUMIF(月間集計シート!$M$71:$M$90,$G1560,月間集計シート!R$71:R$90)*AB$2</f>
        <v>0</v>
      </c>
      <c r="AC1560" s="88">
        <f>SUMIF(月間集計シート!$M$71:$M$90,$G1560,月間集計シート!S$71:S$90)*AC$2</f>
        <v>0</v>
      </c>
      <c r="AD1560" s="88">
        <f>SUMIF(月間集計シート!$M$71:$M$90,$G1560,月間集計シート!T$71:T$90)*AD$2</f>
        <v>0</v>
      </c>
      <c r="AE1560" s="88">
        <f>SUMIF(月間集計シート!$M$92:$M$111,$G1560,月間集計シート!N$92:N$111)*AE$2</f>
        <v>0</v>
      </c>
      <c r="AF1560" s="88">
        <f>SUMIF(月間集計シート!$M$92:$M$111,$G1560,月間集計シート!O$92:O$111)*AF$2</f>
        <v>0</v>
      </c>
      <c r="AG1560" s="88">
        <f>SUMIF(月間集計シート!$M$92:$M$111,$G1560,月間集計シート!P$92:P$111)*AG$2</f>
        <v>0</v>
      </c>
      <c r="AH1560" s="88">
        <f>SUMIF(月間集計シート!$M$92:$M$111,$G1560,月間集計シート!Q$92:Q$111)*AH$2</f>
        <v>0</v>
      </c>
      <c r="AI1560" s="88">
        <f>SUMIF(月間集計シート!$M$92:$M$111,$G1560,月間集計シート!R$92:R$111)*AI$2</f>
        <v>0</v>
      </c>
      <c r="AJ1560" s="88">
        <f>SUMIF(月間集計シート!$M$92:$M$111,$G1560,月間集計シート!S$92:S$111)*AJ$2</f>
        <v>0</v>
      </c>
      <c r="AK1560" s="88">
        <f>SUMIF(月間集計シート!$M$92:$M$111,$G1560,月間集計シート!T$92:T$111)*AK$2</f>
        <v>0</v>
      </c>
      <c r="AL1560" s="88">
        <f>SUMIF(月間集計シート!$M$113:$M$132,$G1560,月間集計シート!N$113:N$132)*AL$2</f>
        <v>0</v>
      </c>
      <c r="AM1560" s="88">
        <f>SUMIF(月間集計シート!$M$113:$M$132,$G1560,月間集計シート!O$113:O$132)*AM$2</f>
        <v>0</v>
      </c>
      <c r="AN1560" s="88">
        <f>SUMIF(月間集計シート!$M$113:$M$132,$G1560,月間集計シート!P$113:P$132)*AN$2</f>
        <v>0</v>
      </c>
      <c r="AO1560" s="88">
        <f>SUMIF(月間集計シート!$M$113:$M$132,$G1560,月間集計シート!Q$113:Q$132)*AO$2</f>
        <v>0</v>
      </c>
      <c r="AP1560" s="88">
        <f>SUMIF(月間集計シート!$M$113:$M$132,$G1560,月間集計シート!R$113:R$132)*AP$2</f>
        <v>0</v>
      </c>
      <c r="AQ1560" s="88">
        <f>SUMIF(月間集計シート!$M$113:$M$132,$G1560,月間集計シート!S$113:S$132)*AQ$2</f>
        <v>0</v>
      </c>
      <c r="AR1560" s="88">
        <f>SUMIF(月間集計シート!$M$113:$M$132,$G1560,月間集計シート!T$113:T$132)*AR$2</f>
        <v>0</v>
      </c>
      <c r="AS1560" s="88">
        <f>SUMIF(月間集計シート!$M$134:$M$153,$G1560,月間集計シート!N$134:N$153)*AS$2</f>
        <v>0</v>
      </c>
      <c r="AT1560" s="88">
        <f>SUMIF(月間集計シート!$M$134:$M$153,$G1560,月間集計シート!O$134:O$153)*AT$2</f>
        <v>0</v>
      </c>
      <c r="AU1560" s="88">
        <f>SUMIF(月間集計シート!$M$134:$M$153,$G1560,月間集計シート!P$134:P$153)*AU$2</f>
        <v>0</v>
      </c>
      <c r="AV1560" s="88">
        <f>SUMIF(月間集計シート!$M$134:$M$153,$G1560,月間集計シート!Q$134:Q$153)*AV$2</f>
        <v>0</v>
      </c>
      <c r="AW1560" s="88">
        <f>SUMIF(月間集計シート!$M$134:$M$153,$G1560,月間集計シート!R$134:R$153)*AW$2</f>
        <v>0</v>
      </c>
      <c r="AX1560" s="88">
        <f>SUMIF(月間集計シート!$M$134:$M$153,$G1560,月間集計シート!S$134:S$153)*AX$2</f>
        <v>0</v>
      </c>
      <c r="AY1560" s="88">
        <f>SUMIF(月間集計シート!$M$134:$M$153,$G1560,月間集計シート!T$134:T$153)*AY$2</f>
        <v>0</v>
      </c>
    </row>
    <row r="1561" spans="1:51" ht="14.25" thickBot="1">
      <c r="A1561">
        <v>19</v>
      </c>
      <c r="B1561" s="120">
        <f t="shared" si="888"/>
        <v>0</v>
      </c>
      <c r="C1561" s="120" t="str">
        <f t="shared" si="889"/>
        <v/>
      </c>
      <c r="D1561" s="137"/>
      <c r="E1561" s="150" t="str">
        <f>工種!A23</f>
        <v>40101</v>
      </c>
      <c r="F1561" s="119" t="str">
        <f>工種!B23</f>
        <v>テスト：結合テスト実施</v>
      </c>
      <c r="G1561" s="116" t="str">
        <f t="shared" si="890"/>
        <v>040101</v>
      </c>
      <c r="H1561" s="88">
        <f t="shared" si="844"/>
        <v>0</v>
      </c>
      <c r="I1561" s="132"/>
      <c r="J1561" s="88">
        <f>SUMIF(月間集計シート!$M$29:$M$48,$G1561,月間集計シート!N$29:N$48)*J$2</f>
        <v>0</v>
      </c>
      <c r="K1561" s="88">
        <f>SUMIF(月間集計シート!$M$29:$M$48,$G1561,月間集計シート!O$29:O$48)*K$2</f>
        <v>0</v>
      </c>
      <c r="L1561" s="88">
        <f>SUMIF(月間集計シート!$M$29:$M$48,$G1561,月間集計シート!P$29:P$48)*L$2</f>
        <v>0</v>
      </c>
      <c r="M1561" s="88">
        <f>SUMIF(月間集計シート!$M$29:$M$48,$G1561,月間集計シート!Q$29:Q$48)*M$2</f>
        <v>0</v>
      </c>
      <c r="N1561" s="88">
        <f>SUMIF(月間集計シート!$M$29:$M$48,$G1561,月間集計シート!R$29:R$48)*N$2</f>
        <v>0</v>
      </c>
      <c r="O1561" s="88">
        <f>SUMIF(月間集計シート!$M$29:$M$48,$G1561,月間集計シート!S$29:S$48)*O$2</f>
        <v>0</v>
      </c>
      <c r="P1561" s="88">
        <f>SUMIF(月間集計シート!$M$29:$M$48,$G1561,月間集計シート!T$29:T$48)*P$2</f>
        <v>0</v>
      </c>
      <c r="Q1561" s="88">
        <f>SUMIF(月間集計シート!$M$50:$M$69,$G1561,月間集計シート!N$50:N$69)*Q$2</f>
        <v>0</v>
      </c>
      <c r="R1561" s="88">
        <f>SUMIF(月間集計シート!$M$50:$M$69,$G1561,月間集計シート!O$50:O$69)*R$2</f>
        <v>0</v>
      </c>
      <c r="S1561" s="88">
        <f>SUMIF(月間集計シート!$M$50:$M$69,$G1561,月間集計シート!P$50:P$69)*S$2</f>
        <v>0</v>
      </c>
      <c r="T1561" s="88">
        <f>SUMIF(月間集計シート!$M$50:$M$69,$G1561,月間集計シート!Q$50:Q$69)*T$2</f>
        <v>0</v>
      </c>
      <c r="U1561" s="88">
        <f>SUMIF(月間集計シート!$M$50:$M$69,$G1561,月間集計シート!R$50:R$69)*U$2</f>
        <v>0</v>
      </c>
      <c r="V1561" s="88">
        <f>SUMIF(月間集計シート!$M$50:$M$69,$G1561,月間集計シート!S$50:S$69)*V$2</f>
        <v>0</v>
      </c>
      <c r="W1561" s="88">
        <f>SUMIF(月間集計シート!$M$50:$M$69,$G1561,月間集計シート!T$50:T$69)*W$2</f>
        <v>0</v>
      </c>
      <c r="X1561" s="88">
        <f>SUMIF(月間集計シート!$M$71:$M$90,$G1561,月間集計シート!N$71:N$90)*X$2</f>
        <v>0</v>
      </c>
      <c r="Y1561" s="88">
        <f>SUMIF(月間集計シート!$M$71:$M$90,$G1561,月間集計シート!O$71:O$90)*Y$2</f>
        <v>0</v>
      </c>
      <c r="Z1561" s="88">
        <f>SUMIF(月間集計シート!$M$71:$M$90,$G1561,月間集計シート!P$71:P$90)*Z$2</f>
        <v>0</v>
      </c>
      <c r="AA1561" s="88">
        <f>SUMIF(月間集計シート!$M$71:$M$90,$G1561,月間集計シート!Q$71:Q$90)*AA$2</f>
        <v>0</v>
      </c>
      <c r="AB1561" s="88">
        <f>SUMIF(月間集計シート!$M$71:$M$90,$G1561,月間集計シート!R$71:R$90)*AB$2</f>
        <v>0</v>
      </c>
      <c r="AC1561" s="88">
        <f>SUMIF(月間集計シート!$M$71:$M$90,$G1561,月間集計シート!S$71:S$90)*AC$2</f>
        <v>0</v>
      </c>
      <c r="AD1561" s="88">
        <f>SUMIF(月間集計シート!$M$71:$M$90,$G1561,月間集計シート!T$71:T$90)*AD$2</f>
        <v>0</v>
      </c>
      <c r="AE1561" s="88">
        <f>SUMIF(月間集計シート!$M$92:$M$111,$G1561,月間集計シート!N$92:N$111)*AE$2</f>
        <v>0</v>
      </c>
      <c r="AF1561" s="88">
        <f>SUMIF(月間集計シート!$M$92:$M$111,$G1561,月間集計シート!O$92:O$111)*AF$2</f>
        <v>0</v>
      </c>
      <c r="AG1561" s="88">
        <f>SUMIF(月間集計シート!$M$92:$M$111,$G1561,月間集計シート!P$92:P$111)*AG$2</f>
        <v>0</v>
      </c>
      <c r="AH1561" s="88">
        <f>SUMIF(月間集計シート!$M$92:$M$111,$G1561,月間集計シート!Q$92:Q$111)*AH$2</f>
        <v>0</v>
      </c>
      <c r="AI1561" s="88">
        <f>SUMIF(月間集計シート!$M$92:$M$111,$G1561,月間集計シート!R$92:R$111)*AI$2</f>
        <v>0</v>
      </c>
      <c r="AJ1561" s="88">
        <f>SUMIF(月間集計シート!$M$92:$M$111,$G1561,月間集計シート!S$92:S$111)*AJ$2</f>
        <v>0</v>
      </c>
      <c r="AK1561" s="88">
        <f>SUMIF(月間集計シート!$M$92:$M$111,$G1561,月間集計シート!T$92:T$111)*AK$2</f>
        <v>0</v>
      </c>
      <c r="AL1561" s="88">
        <f>SUMIF(月間集計シート!$M$113:$M$132,$G1561,月間集計シート!N$113:N$132)*AL$2</f>
        <v>0</v>
      </c>
      <c r="AM1561" s="88">
        <f>SUMIF(月間集計シート!$M$113:$M$132,$G1561,月間集計シート!O$113:O$132)*AM$2</f>
        <v>0</v>
      </c>
      <c r="AN1561" s="88">
        <f>SUMIF(月間集計シート!$M$113:$M$132,$G1561,月間集計シート!P$113:P$132)*AN$2</f>
        <v>0</v>
      </c>
      <c r="AO1561" s="88">
        <f>SUMIF(月間集計シート!$M$113:$M$132,$G1561,月間集計シート!Q$113:Q$132)*AO$2</f>
        <v>0</v>
      </c>
      <c r="AP1561" s="88">
        <f>SUMIF(月間集計シート!$M$113:$M$132,$G1561,月間集計シート!R$113:R$132)*AP$2</f>
        <v>0</v>
      </c>
      <c r="AQ1561" s="88">
        <f>SUMIF(月間集計シート!$M$113:$M$132,$G1561,月間集計シート!S$113:S$132)*AQ$2</f>
        <v>0</v>
      </c>
      <c r="AR1561" s="88">
        <f>SUMIF(月間集計シート!$M$113:$M$132,$G1561,月間集計シート!T$113:T$132)*AR$2</f>
        <v>0</v>
      </c>
      <c r="AS1561" s="88">
        <f>SUMIF(月間集計シート!$M$134:$M$153,$G1561,月間集計シート!N$134:N$153)*AS$2</f>
        <v>0</v>
      </c>
      <c r="AT1561" s="88">
        <f>SUMIF(月間集計シート!$M$134:$M$153,$G1561,月間集計シート!O$134:O$153)*AT$2</f>
        <v>0</v>
      </c>
      <c r="AU1561" s="88">
        <f>SUMIF(月間集計シート!$M$134:$M$153,$G1561,月間集計シート!P$134:P$153)*AU$2</f>
        <v>0</v>
      </c>
      <c r="AV1561" s="88">
        <f>SUMIF(月間集計シート!$M$134:$M$153,$G1561,月間集計シート!Q$134:Q$153)*AV$2</f>
        <v>0</v>
      </c>
      <c r="AW1561" s="88">
        <f>SUMIF(月間集計シート!$M$134:$M$153,$G1561,月間集計シート!R$134:R$153)*AW$2</f>
        <v>0</v>
      </c>
      <c r="AX1561" s="88">
        <f>SUMIF(月間集計シート!$M$134:$M$153,$G1561,月間集計シート!S$134:S$153)*AX$2</f>
        <v>0</v>
      </c>
      <c r="AY1561" s="88">
        <f>SUMIF(月間集計シート!$M$134:$M$153,$G1561,月間集計シート!T$134:T$153)*AY$2</f>
        <v>0</v>
      </c>
    </row>
    <row r="1562" spans="1:51" ht="14.25" thickBot="1">
      <c r="A1562">
        <v>19</v>
      </c>
      <c r="B1562" s="120">
        <f t="shared" si="888"/>
        <v>0</v>
      </c>
      <c r="C1562" s="120" t="str">
        <f t="shared" si="889"/>
        <v/>
      </c>
      <c r="D1562" s="137"/>
      <c r="E1562" s="150" t="str">
        <f>工種!A24</f>
        <v>40102</v>
      </c>
      <c r="F1562" s="119" t="str">
        <f>工種!B24</f>
        <v>テスト：システムテスト実施</v>
      </c>
      <c r="G1562" s="116" t="str">
        <f t="shared" si="890"/>
        <v>040102</v>
      </c>
      <c r="H1562" s="88">
        <f t="shared" si="844"/>
        <v>0</v>
      </c>
      <c r="I1562" s="132"/>
      <c r="J1562" s="88">
        <f>SUMIF(月間集計シート!$M$29:$M$48,$G1562,月間集計シート!N$29:N$48)*J$2</f>
        <v>0</v>
      </c>
      <c r="K1562" s="88">
        <f>SUMIF(月間集計シート!$M$29:$M$48,$G1562,月間集計シート!O$29:O$48)*K$2</f>
        <v>0</v>
      </c>
      <c r="L1562" s="88">
        <f>SUMIF(月間集計シート!$M$29:$M$48,$G1562,月間集計シート!P$29:P$48)*L$2</f>
        <v>0</v>
      </c>
      <c r="M1562" s="88">
        <f>SUMIF(月間集計シート!$M$29:$M$48,$G1562,月間集計シート!Q$29:Q$48)*M$2</f>
        <v>0</v>
      </c>
      <c r="N1562" s="88">
        <f>SUMIF(月間集計シート!$M$29:$M$48,$G1562,月間集計シート!R$29:R$48)*N$2</f>
        <v>0</v>
      </c>
      <c r="O1562" s="88">
        <f>SUMIF(月間集計シート!$M$29:$M$48,$G1562,月間集計シート!S$29:S$48)*O$2</f>
        <v>0</v>
      </c>
      <c r="P1562" s="88">
        <f>SUMIF(月間集計シート!$M$29:$M$48,$G1562,月間集計シート!T$29:T$48)*P$2</f>
        <v>0</v>
      </c>
      <c r="Q1562" s="88">
        <f>SUMIF(月間集計シート!$M$50:$M$69,$G1562,月間集計シート!N$50:N$69)*Q$2</f>
        <v>0</v>
      </c>
      <c r="R1562" s="88">
        <f>SUMIF(月間集計シート!$M$50:$M$69,$G1562,月間集計シート!O$50:O$69)*R$2</f>
        <v>0</v>
      </c>
      <c r="S1562" s="88">
        <f>SUMIF(月間集計シート!$M$50:$M$69,$G1562,月間集計シート!P$50:P$69)*S$2</f>
        <v>0</v>
      </c>
      <c r="T1562" s="88">
        <f>SUMIF(月間集計シート!$M$50:$M$69,$G1562,月間集計シート!Q$50:Q$69)*T$2</f>
        <v>0</v>
      </c>
      <c r="U1562" s="88">
        <f>SUMIF(月間集計シート!$M$50:$M$69,$G1562,月間集計シート!R$50:R$69)*U$2</f>
        <v>0</v>
      </c>
      <c r="V1562" s="88">
        <f>SUMIF(月間集計シート!$M$50:$M$69,$G1562,月間集計シート!S$50:S$69)*V$2</f>
        <v>0</v>
      </c>
      <c r="W1562" s="88">
        <f>SUMIF(月間集計シート!$M$50:$M$69,$G1562,月間集計シート!T$50:T$69)*W$2</f>
        <v>0</v>
      </c>
      <c r="X1562" s="88">
        <f>SUMIF(月間集計シート!$M$71:$M$90,$G1562,月間集計シート!N$71:N$90)*X$2</f>
        <v>0</v>
      </c>
      <c r="Y1562" s="88">
        <f>SUMIF(月間集計シート!$M$71:$M$90,$G1562,月間集計シート!O$71:O$90)*Y$2</f>
        <v>0</v>
      </c>
      <c r="Z1562" s="88">
        <f>SUMIF(月間集計シート!$M$71:$M$90,$G1562,月間集計シート!P$71:P$90)*Z$2</f>
        <v>0</v>
      </c>
      <c r="AA1562" s="88">
        <f>SUMIF(月間集計シート!$M$71:$M$90,$G1562,月間集計シート!Q$71:Q$90)*AA$2</f>
        <v>0</v>
      </c>
      <c r="AB1562" s="88">
        <f>SUMIF(月間集計シート!$M$71:$M$90,$G1562,月間集計シート!R$71:R$90)*AB$2</f>
        <v>0</v>
      </c>
      <c r="AC1562" s="88">
        <f>SUMIF(月間集計シート!$M$71:$M$90,$G1562,月間集計シート!S$71:S$90)*AC$2</f>
        <v>0</v>
      </c>
      <c r="AD1562" s="88">
        <f>SUMIF(月間集計シート!$M$71:$M$90,$G1562,月間集計シート!T$71:T$90)*AD$2</f>
        <v>0</v>
      </c>
      <c r="AE1562" s="88">
        <f>SUMIF(月間集計シート!$M$92:$M$111,$G1562,月間集計シート!N$92:N$111)*AE$2</f>
        <v>0</v>
      </c>
      <c r="AF1562" s="88">
        <f>SUMIF(月間集計シート!$M$92:$M$111,$G1562,月間集計シート!O$92:O$111)*AF$2</f>
        <v>0</v>
      </c>
      <c r="AG1562" s="88">
        <f>SUMIF(月間集計シート!$M$92:$M$111,$G1562,月間集計シート!P$92:P$111)*AG$2</f>
        <v>0</v>
      </c>
      <c r="AH1562" s="88">
        <f>SUMIF(月間集計シート!$M$92:$M$111,$G1562,月間集計シート!Q$92:Q$111)*AH$2</f>
        <v>0</v>
      </c>
      <c r="AI1562" s="88">
        <f>SUMIF(月間集計シート!$M$92:$M$111,$G1562,月間集計シート!R$92:R$111)*AI$2</f>
        <v>0</v>
      </c>
      <c r="AJ1562" s="88">
        <f>SUMIF(月間集計シート!$M$92:$M$111,$G1562,月間集計シート!S$92:S$111)*AJ$2</f>
        <v>0</v>
      </c>
      <c r="AK1562" s="88">
        <f>SUMIF(月間集計シート!$M$92:$M$111,$G1562,月間集計シート!T$92:T$111)*AK$2</f>
        <v>0</v>
      </c>
      <c r="AL1562" s="88">
        <f>SUMIF(月間集計シート!$M$113:$M$132,$G1562,月間集計シート!N$113:N$132)*AL$2</f>
        <v>0</v>
      </c>
      <c r="AM1562" s="88">
        <f>SUMIF(月間集計シート!$M$113:$M$132,$G1562,月間集計シート!O$113:O$132)*AM$2</f>
        <v>0</v>
      </c>
      <c r="AN1562" s="88">
        <f>SUMIF(月間集計シート!$M$113:$M$132,$G1562,月間集計シート!P$113:P$132)*AN$2</f>
        <v>0</v>
      </c>
      <c r="AO1562" s="88">
        <f>SUMIF(月間集計シート!$M$113:$M$132,$G1562,月間集計シート!Q$113:Q$132)*AO$2</f>
        <v>0</v>
      </c>
      <c r="AP1562" s="88">
        <f>SUMIF(月間集計シート!$M$113:$M$132,$G1562,月間集計シート!R$113:R$132)*AP$2</f>
        <v>0</v>
      </c>
      <c r="AQ1562" s="88">
        <f>SUMIF(月間集計シート!$M$113:$M$132,$G1562,月間集計シート!S$113:S$132)*AQ$2</f>
        <v>0</v>
      </c>
      <c r="AR1562" s="88">
        <f>SUMIF(月間集計シート!$M$113:$M$132,$G1562,月間集計シート!T$113:T$132)*AR$2</f>
        <v>0</v>
      </c>
      <c r="AS1562" s="88">
        <f>SUMIF(月間集計シート!$M$134:$M$153,$G1562,月間集計シート!N$134:N$153)*AS$2</f>
        <v>0</v>
      </c>
      <c r="AT1562" s="88">
        <f>SUMIF(月間集計シート!$M$134:$M$153,$G1562,月間集計シート!O$134:O$153)*AT$2</f>
        <v>0</v>
      </c>
      <c r="AU1562" s="88">
        <f>SUMIF(月間集計シート!$M$134:$M$153,$G1562,月間集計シート!P$134:P$153)*AU$2</f>
        <v>0</v>
      </c>
      <c r="AV1562" s="88">
        <f>SUMIF(月間集計シート!$M$134:$M$153,$G1562,月間集計シート!Q$134:Q$153)*AV$2</f>
        <v>0</v>
      </c>
      <c r="AW1562" s="88">
        <f>SUMIF(月間集計シート!$M$134:$M$153,$G1562,月間集計シート!R$134:R$153)*AW$2</f>
        <v>0</v>
      </c>
      <c r="AX1562" s="88">
        <f>SUMIF(月間集計シート!$M$134:$M$153,$G1562,月間集計シート!S$134:S$153)*AX$2</f>
        <v>0</v>
      </c>
      <c r="AY1562" s="88">
        <f>SUMIF(月間集計シート!$M$134:$M$153,$G1562,月間集計シート!T$134:T$153)*AY$2</f>
        <v>0</v>
      </c>
    </row>
    <row r="1563" spans="1:51" ht="14.25" thickBot="1">
      <c r="A1563">
        <v>19</v>
      </c>
      <c r="B1563" s="120">
        <f t="shared" si="888"/>
        <v>0</v>
      </c>
      <c r="C1563" s="120" t="str">
        <f t="shared" si="889"/>
        <v/>
      </c>
      <c r="D1563" s="137"/>
      <c r="E1563" s="150" t="str">
        <f>工種!A25</f>
        <v>40103</v>
      </c>
      <c r="F1563" s="119" t="str">
        <f>工種!B25</f>
        <v>テスト：テスト計画書作成</v>
      </c>
      <c r="G1563" s="116" t="str">
        <f t="shared" si="890"/>
        <v>040103</v>
      </c>
      <c r="H1563" s="88">
        <f t="shared" si="844"/>
        <v>0</v>
      </c>
      <c r="I1563" s="132"/>
      <c r="J1563" s="88">
        <f>SUMIF(月間集計シート!$M$29:$M$48,$G1563,月間集計シート!N$29:N$48)*J$2</f>
        <v>0</v>
      </c>
      <c r="K1563" s="88">
        <f>SUMIF(月間集計シート!$M$29:$M$48,$G1563,月間集計シート!O$29:O$48)*K$2</f>
        <v>0</v>
      </c>
      <c r="L1563" s="88">
        <f>SUMIF(月間集計シート!$M$29:$M$48,$G1563,月間集計シート!P$29:P$48)*L$2</f>
        <v>0</v>
      </c>
      <c r="M1563" s="88">
        <f>SUMIF(月間集計シート!$M$29:$M$48,$G1563,月間集計シート!Q$29:Q$48)*M$2</f>
        <v>0</v>
      </c>
      <c r="N1563" s="88">
        <f>SUMIF(月間集計シート!$M$29:$M$48,$G1563,月間集計シート!R$29:R$48)*N$2</f>
        <v>0</v>
      </c>
      <c r="O1563" s="88">
        <f>SUMIF(月間集計シート!$M$29:$M$48,$G1563,月間集計シート!S$29:S$48)*O$2</f>
        <v>0</v>
      </c>
      <c r="P1563" s="88">
        <f>SUMIF(月間集計シート!$M$29:$M$48,$G1563,月間集計シート!T$29:T$48)*P$2</f>
        <v>0</v>
      </c>
      <c r="Q1563" s="88">
        <f>SUMIF(月間集計シート!$M$50:$M$69,$G1563,月間集計シート!N$50:N$69)*Q$2</f>
        <v>0</v>
      </c>
      <c r="R1563" s="88">
        <f>SUMIF(月間集計シート!$M$50:$M$69,$G1563,月間集計シート!O$50:O$69)*R$2</f>
        <v>0</v>
      </c>
      <c r="S1563" s="88">
        <f>SUMIF(月間集計シート!$M$50:$M$69,$G1563,月間集計シート!P$50:P$69)*S$2</f>
        <v>0</v>
      </c>
      <c r="T1563" s="88">
        <f>SUMIF(月間集計シート!$M$50:$M$69,$G1563,月間集計シート!Q$50:Q$69)*T$2</f>
        <v>0</v>
      </c>
      <c r="U1563" s="88">
        <f>SUMIF(月間集計シート!$M$50:$M$69,$G1563,月間集計シート!R$50:R$69)*U$2</f>
        <v>0</v>
      </c>
      <c r="V1563" s="88">
        <f>SUMIF(月間集計シート!$M$50:$M$69,$G1563,月間集計シート!S$50:S$69)*V$2</f>
        <v>0</v>
      </c>
      <c r="W1563" s="88">
        <f>SUMIF(月間集計シート!$M$50:$M$69,$G1563,月間集計シート!T$50:T$69)*W$2</f>
        <v>0</v>
      </c>
      <c r="X1563" s="88">
        <f>SUMIF(月間集計シート!$M$71:$M$90,$G1563,月間集計シート!N$71:N$90)*X$2</f>
        <v>0</v>
      </c>
      <c r="Y1563" s="88">
        <f>SUMIF(月間集計シート!$M$71:$M$90,$G1563,月間集計シート!O$71:O$90)*Y$2</f>
        <v>0</v>
      </c>
      <c r="Z1563" s="88">
        <f>SUMIF(月間集計シート!$M$71:$M$90,$G1563,月間集計シート!P$71:P$90)*Z$2</f>
        <v>0</v>
      </c>
      <c r="AA1563" s="88">
        <f>SUMIF(月間集計シート!$M$71:$M$90,$G1563,月間集計シート!Q$71:Q$90)*AA$2</f>
        <v>0</v>
      </c>
      <c r="AB1563" s="88">
        <f>SUMIF(月間集計シート!$M$71:$M$90,$G1563,月間集計シート!R$71:R$90)*AB$2</f>
        <v>0</v>
      </c>
      <c r="AC1563" s="88">
        <f>SUMIF(月間集計シート!$M$71:$M$90,$G1563,月間集計シート!S$71:S$90)*AC$2</f>
        <v>0</v>
      </c>
      <c r="AD1563" s="88">
        <f>SUMIF(月間集計シート!$M$71:$M$90,$G1563,月間集計シート!T$71:T$90)*AD$2</f>
        <v>0</v>
      </c>
      <c r="AE1563" s="88">
        <f>SUMIF(月間集計シート!$M$92:$M$111,$G1563,月間集計シート!N$92:N$111)*AE$2</f>
        <v>0</v>
      </c>
      <c r="AF1563" s="88">
        <f>SUMIF(月間集計シート!$M$92:$M$111,$G1563,月間集計シート!O$92:O$111)*AF$2</f>
        <v>0</v>
      </c>
      <c r="AG1563" s="88">
        <f>SUMIF(月間集計シート!$M$92:$M$111,$G1563,月間集計シート!P$92:P$111)*AG$2</f>
        <v>0</v>
      </c>
      <c r="AH1563" s="88">
        <f>SUMIF(月間集計シート!$M$92:$M$111,$G1563,月間集計シート!Q$92:Q$111)*AH$2</f>
        <v>0</v>
      </c>
      <c r="AI1563" s="88">
        <f>SUMIF(月間集計シート!$M$92:$M$111,$G1563,月間集計シート!R$92:R$111)*AI$2</f>
        <v>0</v>
      </c>
      <c r="AJ1563" s="88">
        <f>SUMIF(月間集計シート!$M$92:$M$111,$G1563,月間集計シート!S$92:S$111)*AJ$2</f>
        <v>0</v>
      </c>
      <c r="AK1563" s="88">
        <f>SUMIF(月間集計シート!$M$92:$M$111,$G1563,月間集計シート!T$92:T$111)*AK$2</f>
        <v>0</v>
      </c>
      <c r="AL1563" s="88">
        <f>SUMIF(月間集計シート!$M$113:$M$132,$G1563,月間集計シート!N$113:N$132)*AL$2</f>
        <v>0</v>
      </c>
      <c r="AM1563" s="88">
        <f>SUMIF(月間集計シート!$M$113:$M$132,$G1563,月間集計シート!O$113:O$132)*AM$2</f>
        <v>0</v>
      </c>
      <c r="AN1563" s="88">
        <f>SUMIF(月間集計シート!$M$113:$M$132,$G1563,月間集計シート!P$113:P$132)*AN$2</f>
        <v>0</v>
      </c>
      <c r="AO1563" s="88">
        <f>SUMIF(月間集計シート!$M$113:$M$132,$G1563,月間集計シート!Q$113:Q$132)*AO$2</f>
        <v>0</v>
      </c>
      <c r="AP1563" s="88">
        <f>SUMIF(月間集計シート!$M$113:$M$132,$G1563,月間集計シート!R$113:R$132)*AP$2</f>
        <v>0</v>
      </c>
      <c r="AQ1563" s="88">
        <f>SUMIF(月間集計シート!$M$113:$M$132,$G1563,月間集計シート!S$113:S$132)*AQ$2</f>
        <v>0</v>
      </c>
      <c r="AR1563" s="88">
        <f>SUMIF(月間集計シート!$M$113:$M$132,$G1563,月間集計シート!T$113:T$132)*AR$2</f>
        <v>0</v>
      </c>
      <c r="AS1563" s="88">
        <f>SUMIF(月間集計シート!$M$134:$M$153,$G1563,月間集計シート!N$134:N$153)*AS$2</f>
        <v>0</v>
      </c>
      <c r="AT1563" s="88">
        <f>SUMIF(月間集計シート!$M$134:$M$153,$G1563,月間集計シート!O$134:O$153)*AT$2</f>
        <v>0</v>
      </c>
      <c r="AU1563" s="88">
        <f>SUMIF(月間集計シート!$M$134:$M$153,$G1563,月間集計シート!P$134:P$153)*AU$2</f>
        <v>0</v>
      </c>
      <c r="AV1563" s="88">
        <f>SUMIF(月間集計シート!$M$134:$M$153,$G1563,月間集計シート!Q$134:Q$153)*AV$2</f>
        <v>0</v>
      </c>
      <c r="AW1563" s="88">
        <f>SUMIF(月間集計シート!$M$134:$M$153,$G1563,月間集計シート!R$134:R$153)*AW$2</f>
        <v>0</v>
      </c>
      <c r="AX1563" s="88">
        <f>SUMIF(月間集計シート!$M$134:$M$153,$G1563,月間集計シート!S$134:S$153)*AX$2</f>
        <v>0</v>
      </c>
      <c r="AY1563" s="88">
        <f>SUMIF(月間集計シート!$M$134:$M$153,$G1563,月間集計シート!T$134:T$153)*AY$2</f>
        <v>0</v>
      </c>
    </row>
    <row r="1564" spans="1:51" ht="14.25" thickBot="1">
      <c r="A1564">
        <v>19</v>
      </c>
      <c r="B1564" s="120">
        <f t="shared" si="888"/>
        <v>0</v>
      </c>
      <c r="C1564" s="120" t="str">
        <f t="shared" si="889"/>
        <v/>
      </c>
      <c r="D1564" s="137"/>
      <c r="E1564" s="150" t="str">
        <f>工種!A26</f>
        <v>40104</v>
      </c>
      <c r="F1564" s="119" t="str">
        <f>工種!B26</f>
        <v>テスト：結合テスト設計書作成</v>
      </c>
      <c r="G1564" s="116" t="str">
        <f t="shared" si="890"/>
        <v>040104</v>
      </c>
      <c r="H1564" s="88">
        <f t="shared" si="844"/>
        <v>0</v>
      </c>
      <c r="I1564" s="132"/>
      <c r="J1564" s="88">
        <f>SUMIF(月間集計シート!$M$29:$M$48,$G1564,月間集計シート!N$29:N$48)*J$2</f>
        <v>0</v>
      </c>
      <c r="K1564" s="88">
        <f>SUMIF(月間集計シート!$M$29:$M$48,$G1564,月間集計シート!O$29:O$48)*K$2</f>
        <v>0</v>
      </c>
      <c r="L1564" s="88">
        <f>SUMIF(月間集計シート!$M$29:$M$48,$G1564,月間集計シート!P$29:P$48)*L$2</f>
        <v>0</v>
      </c>
      <c r="M1564" s="88">
        <f>SUMIF(月間集計シート!$M$29:$M$48,$G1564,月間集計シート!Q$29:Q$48)*M$2</f>
        <v>0</v>
      </c>
      <c r="N1564" s="88">
        <f>SUMIF(月間集計シート!$M$29:$M$48,$G1564,月間集計シート!R$29:R$48)*N$2</f>
        <v>0</v>
      </c>
      <c r="O1564" s="88">
        <f>SUMIF(月間集計シート!$M$29:$M$48,$G1564,月間集計シート!S$29:S$48)*O$2</f>
        <v>0</v>
      </c>
      <c r="P1564" s="88">
        <f>SUMIF(月間集計シート!$M$29:$M$48,$G1564,月間集計シート!T$29:T$48)*P$2</f>
        <v>0</v>
      </c>
      <c r="Q1564" s="88">
        <f>SUMIF(月間集計シート!$M$50:$M$69,$G1564,月間集計シート!N$50:N$69)*Q$2</f>
        <v>0</v>
      </c>
      <c r="R1564" s="88">
        <f>SUMIF(月間集計シート!$M$50:$M$69,$G1564,月間集計シート!O$50:O$69)*R$2</f>
        <v>0</v>
      </c>
      <c r="S1564" s="88">
        <f>SUMIF(月間集計シート!$M$50:$M$69,$G1564,月間集計シート!P$50:P$69)*S$2</f>
        <v>0</v>
      </c>
      <c r="T1564" s="88">
        <f>SUMIF(月間集計シート!$M$50:$M$69,$G1564,月間集計シート!Q$50:Q$69)*T$2</f>
        <v>0</v>
      </c>
      <c r="U1564" s="88">
        <f>SUMIF(月間集計シート!$M$50:$M$69,$G1564,月間集計シート!R$50:R$69)*U$2</f>
        <v>0</v>
      </c>
      <c r="V1564" s="88">
        <f>SUMIF(月間集計シート!$M$50:$M$69,$G1564,月間集計シート!S$50:S$69)*V$2</f>
        <v>0</v>
      </c>
      <c r="W1564" s="88">
        <f>SUMIF(月間集計シート!$M$50:$M$69,$G1564,月間集計シート!T$50:T$69)*W$2</f>
        <v>0</v>
      </c>
      <c r="X1564" s="88">
        <f>SUMIF(月間集計シート!$M$71:$M$90,$G1564,月間集計シート!N$71:N$90)*X$2</f>
        <v>0</v>
      </c>
      <c r="Y1564" s="88">
        <f>SUMIF(月間集計シート!$M$71:$M$90,$G1564,月間集計シート!O$71:O$90)*Y$2</f>
        <v>0</v>
      </c>
      <c r="Z1564" s="88">
        <f>SUMIF(月間集計シート!$M$71:$M$90,$G1564,月間集計シート!P$71:P$90)*Z$2</f>
        <v>0</v>
      </c>
      <c r="AA1564" s="88">
        <f>SUMIF(月間集計シート!$M$71:$M$90,$G1564,月間集計シート!Q$71:Q$90)*AA$2</f>
        <v>0</v>
      </c>
      <c r="AB1564" s="88">
        <f>SUMIF(月間集計シート!$M$71:$M$90,$G1564,月間集計シート!R$71:R$90)*AB$2</f>
        <v>0</v>
      </c>
      <c r="AC1564" s="88">
        <f>SUMIF(月間集計シート!$M$71:$M$90,$G1564,月間集計シート!S$71:S$90)*AC$2</f>
        <v>0</v>
      </c>
      <c r="AD1564" s="88">
        <f>SUMIF(月間集計シート!$M$71:$M$90,$G1564,月間集計シート!T$71:T$90)*AD$2</f>
        <v>0</v>
      </c>
      <c r="AE1564" s="88">
        <f>SUMIF(月間集計シート!$M$92:$M$111,$G1564,月間集計シート!N$92:N$111)*AE$2</f>
        <v>0</v>
      </c>
      <c r="AF1564" s="88">
        <f>SUMIF(月間集計シート!$M$92:$M$111,$G1564,月間集計シート!O$92:O$111)*AF$2</f>
        <v>0</v>
      </c>
      <c r="AG1564" s="88">
        <f>SUMIF(月間集計シート!$M$92:$M$111,$G1564,月間集計シート!P$92:P$111)*AG$2</f>
        <v>0</v>
      </c>
      <c r="AH1564" s="88">
        <f>SUMIF(月間集計シート!$M$92:$M$111,$G1564,月間集計シート!Q$92:Q$111)*AH$2</f>
        <v>0</v>
      </c>
      <c r="AI1564" s="88">
        <f>SUMIF(月間集計シート!$M$92:$M$111,$G1564,月間集計シート!R$92:R$111)*AI$2</f>
        <v>0</v>
      </c>
      <c r="AJ1564" s="88">
        <f>SUMIF(月間集計シート!$M$92:$M$111,$G1564,月間集計シート!S$92:S$111)*AJ$2</f>
        <v>0</v>
      </c>
      <c r="AK1564" s="88">
        <f>SUMIF(月間集計シート!$M$92:$M$111,$G1564,月間集計シート!T$92:T$111)*AK$2</f>
        <v>0</v>
      </c>
      <c r="AL1564" s="88">
        <f>SUMIF(月間集計シート!$M$113:$M$132,$G1564,月間集計シート!N$113:N$132)*AL$2</f>
        <v>0</v>
      </c>
      <c r="AM1564" s="88">
        <f>SUMIF(月間集計シート!$M$113:$M$132,$G1564,月間集計シート!O$113:O$132)*AM$2</f>
        <v>0</v>
      </c>
      <c r="AN1564" s="88">
        <f>SUMIF(月間集計シート!$M$113:$M$132,$G1564,月間集計シート!P$113:P$132)*AN$2</f>
        <v>0</v>
      </c>
      <c r="AO1564" s="88">
        <f>SUMIF(月間集計シート!$M$113:$M$132,$G1564,月間集計シート!Q$113:Q$132)*AO$2</f>
        <v>0</v>
      </c>
      <c r="AP1564" s="88">
        <f>SUMIF(月間集計シート!$M$113:$M$132,$G1564,月間集計シート!R$113:R$132)*AP$2</f>
        <v>0</v>
      </c>
      <c r="AQ1564" s="88">
        <f>SUMIF(月間集計シート!$M$113:$M$132,$G1564,月間集計シート!S$113:S$132)*AQ$2</f>
        <v>0</v>
      </c>
      <c r="AR1564" s="88">
        <f>SUMIF(月間集計シート!$M$113:$M$132,$G1564,月間集計シート!T$113:T$132)*AR$2</f>
        <v>0</v>
      </c>
      <c r="AS1564" s="88">
        <f>SUMIF(月間集計シート!$M$134:$M$153,$G1564,月間集計シート!N$134:N$153)*AS$2</f>
        <v>0</v>
      </c>
      <c r="AT1564" s="88">
        <f>SUMIF(月間集計シート!$M$134:$M$153,$G1564,月間集計シート!O$134:O$153)*AT$2</f>
        <v>0</v>
      </c>
      <c r="AU1564" s="88">
        <f>SUMIF(月間集計シート!$M$134:$M$153,$G1564,月間集計シート!P$134:P$153)*AU$2</f>
        <v>0</v>
      </c>
      <c r="AV1564" s="88">
        <f>SUMIF(月間集計シート!$M$134:$M$153,$G1564,月間集計シート!Q$134:Q$153)*AV$2</f>
        <v>0</v>
      </c>
      <c r="AW1564" s="88">
        <f>SUMIF(月間集計シート!$M$134:$M$153,$G1564,月間集計シート!R$134:R$153)*AW$2</f>
        <v>0</v>
      </c>
      <c r="AX1564" s="88">
        <f>SUMIF(月間集計シート!$M$134:$M$153,$G1564,月間集計シート!S$134:S$153)*AX$2</f>
        <v>0</v>
      </c>
      <c r="AY1564" s="88">
        <f>SUMIF(月間集計シート!$M$134:$M$153,$G1564,月間集計シート!T$134:T$153)*AY$2</f>
        <v>0</v>
      </c>
    </row>
    <row r="1565" spans="1:51" ht="14.25" thickBot="1">
      <c r="A1565">
        <v>19</v>
      </c>
      <c r="B1565" s="120">
        <f t="shared" si="888"/>
        <v>0</v>
      </c>
      <c r="C1565" s="120" t="str">
        <f t="shared" si="889"/>
        <v/>
      </c>
      <c r="D1565" s="137"/>
      <c r="E1565" s="150" t="str">
        <f>工種!A27</f>
        <v>40105</v>
      </c>
      <c r="F1565" s="119" t="str">
        <f>工種!B27</f>
        <v>テスト：システムテスト設計書作成</v>
      </c>
      <c r="G1565" s="116" t="str">
        <f t="shared" si="890"/>
        <v>040105</v>
      </c>
      <c r="H1565" s="88">
        <f t="shared" si="844"/>
        <v>0</v>
      </c>
      <c r="I1565" s="132"/>
      <c r="J1565" s="88">
        <f>SUMIF(月間集計シート!$M$29:$M$48,$G1565,月間集計シート!N$29:N$48)*J$2</f>
        <v>0</v>
      </c>
      <c r="K1565" s="88">
        <f>SUMIF(月間集計シート!$M$29:$M$48,$G1565,月間集計シート!O$29:O$48)*K$2</f>
        <v>0</v>
      </c>
      <c r="L1565" s="88">
        <f>SUMIF(月間集計シート!$M$29:$M$48,$G1565,月間集計シート!P$29:P$48)*L$2</f>
        <v>0</v>
      </c>
      <c r="M1565" s="88">
        <f>SUMIF(月間集計シート!$M$29:$M$48,$G1565,月間集計シート!Q$29:Q$48)*M$2</f>
        <v>0</v>
      </c>
      <c r="N1565" s="88">
        <f>SUMIF(月間集計シート!$M$29:$M$48,$G1565,月間集計シート!R$29:R$48)*N$2</f>
        <v>0</v>
      </c>
      <c r="O1565" s="88">
        <f>SUMIF(月間集計シート!$M$29:$M$48,$G1565,月間集計シート!S$29:S$48)*O$2</f>
        <v>0</v>
      </c>
      <c r="P1565" s="88">
        <f>SUMIF(月間集計シート!$M$29:$M$48,$G1565,月間集計シート!T$29:T$48)*P$2</f>
        <v>0</v>
      </c>
      <c r="Q1565" s="88">
        <f>SUMIF(月間集計シート!$M$50:$M$69,$G1565,月間集計シート!N$50:N$69)*Q$2</f>
        <v>0</v>
      </c>
      <c r="R1565" s="88">
        <f>SUMIF(月間集計シート!$M$50:$M$69,$G1565,月間集計シート!O$50:O$69)*R$2</f>
        <v>0</v>
      </c>
      <c r="S1565" s="88">
        <f>SUMIF(月間集計シート!$M$50:$M$69,$G1565,月間集計シート!P$50:P$69)*S$2</f>
        <v>0</v>
      </c>
      <c r="T1565" s="88">
        <f>SUMIF(月間集計シート!$M$50:$M$69,$G1565,月間集計シート!Q$50:Q$69)*T$2</f>
        <v>0</v>
      </c>
      <c r="U1565" s="88">
        <f>SUMIF(月間集計シート!$M$50:$M$69,$G1565,月間集計シート!R$50:R$69)*U$2</f>
        <v>0</v>
      </c>
      <c r="V1565" s="88">
        <f>SUMIF(月間集計シート!$M$50:$M$69,$G1565,月間集計シート!S$50:S$69)*V$2</f>
        <v>0</v>
      </c>
      <c r="W1565" s="88">
        <f>SUMIF(月間集計シート!$M$50:$M$69,$G1565,月間集計シート!T$50:T$69)*W$2</f>
        <v>0</v>
      </c>
      <c r="X1565" s="88">
        <f>SUMIF(月間集計シート!$M$71:$M$90,$G1565,月間集計シート!N$71:N$90)*X$2</f>
        <v>0</v>
      </c>
      <c r="Y1565" s="88">
        <f>SUMIF(月間集計シート!$M$71:$M$90,$G1565,月間集計シート!O$71:O$90)*Y$2</f>
        <v>0</v>
      </c>
      <c r="Z1565" s="88">
        <f>SUMIF(月間集計シート!$M$71:$M$90,$G1565,月間集計シート!P$71:P$90)*Z$2</f>
        <v>0</v>
      </c>
      <c r="AA1565" s="88">
        <f>SUMIF(月間集計シート!$M$71:$M$90,$G1565,月間集計シート!Q$71:Q$90)*AA$2</f>
        <v>0</v>
      </c>
      <c r="AB1565" s="88">
        <f>SUMIF(月間集計シート!$M$71:$M$90,$G1565,月間集計シート!R$71:R$90)*AB$2</f>
        <v>0</v>
      </c>
      <c r="AC1565" s="88">
        <f>SUMIF(月間集計シート!$M$71:$M$90,$G1565,月間集計シート!S$71:S$90)*AC$2</f>
        <v>0</v>
      </c>
      <c r="AD1565" s="88">
        <f>SUMIF(月間集計シート!$M$71:$M$90,$G1565,月間集計シート!T$71:T$90)*AD$2</f>
        <v>0</v>
      </c>
      <c r="AE1565" s="88">
        <f>SUMIF(月間集計シート!$M$92:$M$111,$G1565,月間集計シート!N$92:N$111)*AE$2</f>
        <v>0</v>
      </c>
      <c r="AF1565" s="88">
        <f>SUMIF(月間集計シート!$M$92:$M$111,$G1565,月間集計シート!O$92:O$111)*AF$2</f>
        <v>0</v>
      </c>
      <c r="AG1565" s="88">
        <f>SUMIF(月間集計シート!$M$92:$M$111,$G1565,月間集計シート!P$92:P$111)*AG$2</f>
        <v>0</v>
      </c>
      <c r="AH1565" s="88">
        <f>SUMIF(月間集計シート!$M$92:$M$111,$G1565,月間集計シート!Q$92:Q$111)*AH$2</f>
        <v>0</v>
      </c>
      <c r="AI1565" s="88">
        <f>SUMIF(月間集計シート!$M$92:$M$111,$G1565,月間集計シート!R$92:R$111)*AI$2</f>
        <v>0</v>
      </c>
      <c r="AJ1565" s="88">
        <f>SUMIF(月間集計シート!$M$92:$M$111,$G1565,月間集計シート!S$92:S$111)*AJ$2</f>
        <v>0</v>
      </c>
      <c r="AK1565" s="88">
        <f>SUMIF(月間集計シート!$M$92:$M$111,$G1565,月間集計シート!T$92:T$111)*AK$2</f>
        <v>0</v>
      </c>
      <c r="AL1565" s="88">
        <f>SUMIF(月間集計シート!$M$113:$M$132,$G1565,月間集計シート!N$113:N$132)*AL$2</f>
        <v>0</v>
      </c>
      <c r="AM1565" s="88">
        <f>SUMIF(月間集計シート!$M$113:$M$132,$G1565,月間集計シート!O$113:O$132)*AM$2</f>
        <v>0</v>
      </c>
      <c r="AN1565" s="88">
        <f>SUMIF(月間集計シート!$M$113:$M$132,$G1565,月間集計シート!P$113:P$132)*AN$2</f>
        <v>0</v>
      </c>
      <c r="AO1565" s="88">
        <f>SUMIF(月間集計シート!$M$113:$M$132,$G1565,月間集計シート!Q$113:Q$132)*AO$2</f>
        <v>0</v>
      </c>
      <c r="AP1565" s="88">
        <f>SUMIF(月間集計シート!$M$113:$M$132,$G1565,月間集計シート!R$113:R$132)*AP$2</f>
        <v>0</v>
      </c>
      <c r="AQ1565" s="88">
        <f>SUMIF(月間集計シート!$M$113:$M$132,$G1565,月間集計シート!S$113:S$132)*AQ$2</f>
        <v>0</v>
      </c>
      <c r="AR1565" s="88">
        <f>SUMIF(月間集計シート!$M$113:$M$132,$G1565,月間集計シート!T$113:T$132)*AR$2</f>
        <v>0</v>
      </c>
      <c r="AS1565" s="88">
        <f>SUMIF(月間集計シート!$M$134:$M$153,$G1565,月間集計シート!N$134:N$153)*AS$2</f>
        <v>0</v>
      </c>
      <c r="AT1565" s="88">
        <f>SUMIF(月間集計シート!$M$134:$M$153,$G1565,月間集計シート!O$134:O$153)*AT$2</f>
        <v>0</v>
      </c>
      <c r="AU1565" s="88">
        <f>SUMIF(月間集計シート!$M$134:$M$153,$G1565,月間集計シート!P$134:P$153)*AU$2</f>
        <v>0</v>
      </c>
      <c r="AV1565" s="88">
        <f>SUMIF(月間集計シート!$M$134:$M$153,$G1565,月間集計シート!Q$134:Q$153)*AV$2</f>
        <v>0</v>
      </c>
      <c r="AW1565" s="88">
        <f>SUMIF(月間集計シート!$M$134:$M$153,$G1565,月間集計シート!R$134:R$153)*AW$2</f>
        <v>0</v>
      </c>
      <c r="AX1565" s="88">
        <f>SUMIF(月間集計シート!$M$134:$M$153,$G1565,月間集計シート!S$134:S$153)*AX$2</f>
        <v>0</v>
      </c>
      <c r="AY1565" s="88">
        <f>SUMIF(月間集計シート!$M$134:$M$153,$G1565,月間集計シート!T$134:T$153)*AY$2</f>
        <v>0</v>
      </c>
    </row>
    <row r="1566" spans="1:51" ht="14.25" thickBot="1">
      <c r="A1566">
        <v>19</v>
      </c>
      <c r="B1566" s="120">
        <f t="shared" si="888"/>
        <v>0</v>
      </c>
      <c r="C1566" s="120" t="str">
        <f t="shared" si="889"/>
        <v/>
      </c>
      <c r="D1566" s="137"/>
      <c r="E1566" s="150" t="str">
        <f>工種!A28</f>
        <v>40106</v>
      </c>
      <c r="F1566" s="119" t="str">
        <f>工種!B28</f>
        <v>テスト：総合評価設計書作成</v>
      </c>
      <c r="G1566" s="116" t="str">
        <f t="shared" si="890"/>
        <v>040106</v>
      </c>
      <c r="H1566" s="88">
        <f t="shared" si="844"/>
        <v>0</v>
      </c>
      <c r="I1566" s="132"/>
      <c r="J1566" s="88">
        <f>SUMIF(月間集計シート!$M$29:$M$48,$G1566,月間集計シート!N$29:N$48)*J$2</f>
        <v>0</v>
      </c>
      <c r="K1566" s="88">
        <f>SUMIF(月間集計シート!$M$29:$M$48,$G1566,月間集計シート!O$29:O$48)*K$2</f>
        <v>0</v>
      </c>
      <c r="L1566" s="88">
        <f>SUMIF(月間集計シート!$M$29:$M$48,$G1566,月間集計シート!P$29:P$48)*L$2</f>
        <v>0</v>
      </c>
      <c r="M1566" s="88">
        <f>SUMIF(月間集計シート!$M$29:$M$48,$G1566,月間集計シート!Q$29:Q$48)*M$2</f>
        <v>0</v>
      </c>
      <c r="N1566" s="88">
        <f>SUMIF(月間集計シート!$M$29:$M$48,$G1566,月間集計シート!R$29:R$48)*N$2</f>
        <v>0</v>
      </c>
      <c r="O1566" s="88">
        <f>SUMIF(月間集計シート!$M$29:$M$48,$G1566,月間集計シート!S$29:S$48)*O$2</f>
        <v>0</v>
      </c>
      <c r="P1566" s="88">
        <f>SUMIF(月間集計シート!$M$29:$M$48,$G1566,月間集計シート!T$29:T$48)*P$2</f>
        <v>0</v>
      </c>
      <c r="Q1566" s="88">
        <f>SUMIF(月間集計シート!$M$50:$M$69,$G1566,月間集計シート!N$50:N$69)*Q$2</f>
        <v>0</v>
      </c>
      <c r="R1566" s="88">
        <f>SUMIF(月間集計シート!$M$50:$M$69,$G1566,月間集計シート!O$50:O$69)*R$2</f>
        <v>0</v>
      </c>
      <c r="S1566" s="88">
        <f>SUMIF(月間集計シート!$M$50:$M$69,$G1566,月間集計シート!P$50:P$69)*S$2</f>
        <v>0</v>
      </c>
      <c r="T1566" s="88">
        <f>SUMIF(月間集計シート!$M$50:$M$69,$G1566,月間集計シート!Q$50:Q$69)*T$2</f>
        <v>0</v>
      </c>
      <c r="U1566" s="88">
        <f>SUMIF(月間集計シート!$M$50:$M$69,$G1566,月間集計シート!R$50:R$69)*U$2</f>
        <v>0</v>
      </c>
      <c r="V1566" s="88">
        <f>SUMIF(月間集計シート!$M$50:$M$69,$G1566,月間集計シート!S$50:S$69)*V$2</f>
        <v>0</v>
      </c>
      <c r="W1566" s="88">
        <f>SUMIF(月間集計シート!$M$50:$M$69,$G1566,月間集計シート!T$50:T$69)*W$2</f>
        <v>0</v>
      </c>
      <c r="X1566" s="88">
        <f>SUMIF(月間集計シート!$M$71:$M$90,$G1566,月間集計シート!N$71:N$90)*X$2</f>
        <v>0</v>
      </c>
      <c r="Y1566" s="88">
        <f>SUMIF(月間集計シート!$M$71:$M$90,$G1566,月間集計シート!O$71:O$90)*Y$2</f>
        <v>0</v>
      </c>
      <c r="Z1566" s="88">
        <f>SUMIF(月間集計シート!$M$71:$M$90,$G1566,月間集計シート!P$71:P$90)*Z$2</f>
        <v>0</v>
      </c>
      <c r="AA1566" s="88">
        <f>SUMIF(月間集計シート!$M$71:$M$90,$G1566,月間集計シート!Q$71:Q$90)*AA$2</f>
        <v>0</v>
      </c>
      <c r="AB1566" s="88">
        <f>SUMIF(月間集計シート!$M$71:$M$90,$G1566,月間集計シート!R$71:R$90)*AB$2</f>
        <v>0</v>
      </c>
      <c r="AC1566" s="88">
        <f>SUMIF(月間集計シート!$M$71:$M$90,$G1566,月間集計シート!S$71:S$90)*AC$2</f>
        <v>0</v>
      </c>
      <c r="AD1566" s="88">
        <f>SUMIF(月間集計シート!$M$71:$M$90,$G1566,月間集計シート!T$71:T$90)*AD$2</f>
        <v>0</v>
      </c>
      <c r="AE1566" s="88">
        <f>SUMIF(月間集計シート!$M$92:$M$111,$G1566,月間集計シート!N$92:N$111)*AE$2</f>
        <v>0</v>
      </c>
      <c r="AF1566" s="88">
        <f>SUMIF(月間集計シート!$M$92:$M$111,$G1566,月間集計シート!O$92:O$111)*AF$2</f>
        <v>0</v>
      </c>
      <c r="AG1566" s="88">
        <f>SUMIF(月間集計シート!$M$92:$M$111,$G1566,月間集計シート!P$92:P$111)*AG$2</f>
        <v>0</v>
      </c>
      <c r="AH1566" s="88">
        <f>SUMIF(月間集計シート!$M$92:$M$111,$G1566,月間集計シート!Q$92:Q$111)*AH$2</f>
        <v>0</v>
      </c>
      <c r="AI1566" s="88">
        <f>SUMIF(月間集計シート!$M$92:$M$111,$G1566,月間集計シート!R$92:R$111)*AI$2</f>
        <v>0</v>
      </c>
      <c r="AJ1566" s="88">
        <f>SUMIF(月間集計シート!$M$92:$M$111,$G1566,月間集計シート!S$92:S$111)*AJ$2</f>
        <v>0</v>
      </c>
      <c r="AK1566" s="88">
        <f>SUMIF(月間集計シート!$M$92:$M$111,$G1566,月間集計シート!T$92:T$111)*AK$2</f>
        <v>0</v>
      </c>
      <c r="AL1566" s="88">
        <f>SUMIF(月間集計シート!$M$113:$M$132,$G1566,月間集計シート!N$113:N$132)*AL$2</f>
        <v>0</v>
      </c>
      <c r="AM1566" s="88">
        <f>SUMIF(月間集計シート!$M$113:$M$132,$G1566,月間集計シート!O$113:O$132)*AM$2</f>
        <v>0</v>
      </c>
      <c r="AN1566" s="88">
        <f>SUMIF(月間集計シート!$M$113:$M$132,$G1566,月間集計シート!P$113:P$132)*AN$2</f>
        <v>0</v>
      </c>
      <c r="AO1566" s="88">
        <f>SUMIF(月間集計シート!$M$113:$M$132,$G1566,月間集計シート!Q$113:Q$132)*AO$2</f>
        <v>0</v>
      </c>
      <c r="AP1566" s="88">
        <f>SUMIF(月間集計シート!$M$113:$M$132,$G1566,月間集計シート!R$113:R$132)*AP$2</f>
        <v>0</v>
      </c>
      <c r="AQ1566" s="88">
        <f>SUMIF(月間集計シート!$M$113:$M$132,$G1566,月間集計シート!S$113:S$132)*AQ$2</f>
        <v>0</v>
      </c>
      <c r="AR1566" s="88">
        <f>SUMIF(月間集計シート!$M$113:$M$132,$G1566,月間集計シート!T$113:T$132)*AR$2</f>
        <v>0</v>
      </c>
      <c r="AS1566" s="88">
        <f>SUMIF(月間集計シート!$M$134:$M$153,$G1566,月間集計シート!N$134:N$153)*AS$2</f>
        <v>0</v>
      </c>
      <c r="AT1566" s="88">
        <f>SUMIF(月間集計シート!$M$134:$M$153,$G1566,月間集計シート!O$134:O$153)*AT$2</f>
        <v>0</v>
      </c>
      <c r="AU1566" s="88">
        <f>SUMIF(月間集計シート!$M$134:$M$153,$G1566,月間集計シート!P$134:P$153)*AU$2</f>
        <v>0</v>
      </c>
      <c r="AV1566" s="88">
        <f>SUMIF(月間集計シート!$M$134:$M$153,$G1566,月間集計シート!Q$134:Q$153)*AV$2</f>
        <v>0</v>
      </c>
      <c r="AW1566" s="88">
        <f>SUMIF(月間集計シート!$M$134:$M$153,$G1566,月間集計シート!R$134:R$153)*AW$2</f>
        <v>0</v>
      </c>
      <c r="AX1566" s="88">
        <f>SUMIF(月間集計シート!$M$134:$M$153,$G1566,月間集計シート!S$134:S$153)*AX$2</f>
        <v>0</v>
      </c>
      <c r="AY1566" s="88">
        <f>SUMIF(月間集計シート!$M$134:$M$153,$G1566,月間集計シート!T$134:T$153)*AY$2</f>
        <v>0</v>
      </c>
    </row>
    <row r="1567" spans="1:51" ht="14.25" thickBot="1">
      <c r="A1567">
        <v>19</v>
      </c>
      <c r="B1567" s="120">
        <f t="shared" si="888"/>
        <v>0</v>
      </c>
      <c r="C1567" s="120" t="str">
        <f t="shared" si="889"/>
        <v/>
      </c>
      <c r="D1567" s="137"/>
      <c r="E1567" s="150" t="str">
        <f>工種!A29</f>
        <v>40107</v>
      </c>
      <c r="F1567" s="119" t="str">
        <f>工種!B29</f>
        <v>テスト：評価報告書作成</v>
      </c>
      <c r="G1567" s="116" t="str">
        <f t="shared" si="890"/>
        <v>040107</v>
      </c>
      <c r="H1567" s="88">
        <f t="shared" si="844"/>
        <v>0</v>
      </c>
      <c r="I1567" s="132"/>
      <c r="J1567" s="88">
        <f>SUMIF(月間集計シート!$M$29:$M$48,$G1567,月間集計シート!N$29:N$48)*J$2</f>
        <v>0</v>
      </c>
      <c r="K1567" s="88">
        <f>SUMIF(月間集計シート!$M$29:$M$48,$G1567,月間集計シート!O$29:O$48)*K$2</f>
        <v>0</v>
      </c>
      <c r="L1567" s="88">
        <f>SUMIF(月間集計シート!$M$29:$M$48,$G1567,月間集計シート!P$29:P$48)*L$2</f>
        <v>0</v>
      </c>
      <c r="M1567" s="88">
        <f>SUMIF(月間集計シート!$M$29:$M$48,$G1567,月間集計シート!Q$29:Q$48)*M$2</f>
        <v>0</v>
      </c>
      <c r="N1567" s="88">
        <f>SUMIF(月間集計シート!$M$29:$M$48,$G1567,月間集計シート!R$29:R$48)*N$2</f>
        <v>0</v>
      </c>
      <c r="O1567" s="88">
        <f>SUMIF(月間集計シート!$M$29:$M$48,$G1567,月間集計シート!S$29:S$48)*O$2</f>
        <v>0</v>
      </c>
      <c r="P1567" s="88">
        <f>SUMIF(月間集計シート!$M$29:$M$48,$G1567,月間集計シート!T$29:T$48)*P$2</f>
        <v>0</v>
      </c>
      <c r="Q1567" s="88">
        <f>SUMIF(月間集計シート!$M$50:$M$69,$G1567,月間集計シート!N$50:N$69)*Q$2</f>
        <v>0</v>
      </c>
      <c r="R1567" s="88">
        <f>SUMIF(月間集計シート!$M$50:$M$69,$G1567,月間集計シート!O$50:O$69)*R$2</f>
        <v>0</v>
      </c>
      <c r="S1567" s="88">
        <f>SUMIF(月間集計シート!$M$50:$M$69,$G1567,月間集計シート!P$50:P$69)*S$2</f>
        <v>0</v>
      </c>
      <c r="T1567" s="88">
        <f>SUMIF(月間集計シート!$M$50:$M$69,$G1567,月間集計シート!Q$50:Q$69)*T$2</f>
        <v>0</v>
      </c>
      <c r="U1567" s="88">
        <f>SUMIF(月間集計シート!$M$50:$M$69,$G1567,月間集計シート!R$50:R$69)*U$2</f>
        <v>0</v>
      </c>
      <c r="V1567" s="88">
        <f>SUMIF(月間集計シート!$M$50:$M$69,$G1567,月間集計シート!S$50:S$69)*V$2</f>
        <v>0</v>
      </c>
      <c r="W1567" s="88">
        <f>SUMIF(月間集計シート!$M$50:$M$69,$G1567,月間集計シート!T$50:T$69)*W$2</f>
        <v>0</v>
      </c>
      <c r="X1567" s="88">
        <f>SUMIF(月間集計シート!$M$71:$M$90,$G1567,月間集計シート!N$71:N$90)*X$2</f>
        <v>0</v>
      </c>
      <c r="Y1567" s="88">
        <f>SUMIF(月間集計シート!$M$71:$M$90,$G1567,月間集計シート!O$71:O$90)*Y$2</f>
        <v>0</v>
      </c>
      <c r="Z1567" s="88">
        <f>SUMIF(月間集計シート!$M$71:$M$90,$G1567,月間集計シート!P$71:P$90)*Z$2</f>
        <v>0</v>
      </c>
      <c r="AA1567" s="88">
        <f>SUMIF(月間集計シート!$M$71:$M$90,$G1567,月間集計シート!Q$71:Q$90)*AA$2</f>
        <v>0</v>
      </c>
      <c r="AB1567" s="88">
        <f>SUMIF(月間集計シート!$M$71:$M$90,$G1567,月間集計シート!R$71:R$90)*AB$2</f>
        <v>0</v>
      </c>
      <c r="AC1567" s="88">
        <f>SUMIF(月間集計シート!$M$71:$M$90,$G1567,月間集計シート!S$71:S$90)*AC$2</f>
        <v>0</v>
      </c>
      <c r="AD1567" s="88">
        <f>SUMIF(月間集計シート!$M$71:$M$90,$G1567,月間集計シート!T$71:T$90)*AD$2</f>
        <v>0</v>
      </c>
      <c r="AE1567" s="88">
        <f>SUMIF(月間集計シート!$M$92:$M$111,$G1567,月間集計シート!N$92:N$111)*AE$2</f>
        <v>0</v>
      </c>
      <c r="AF1567" s="88">
        <f>SUMIF(月間集計シート!$M$92:$M$111,$G1567,月間集計シート!O$92:O$111)*AF$2</f>
        <v>0</v>
      </c>
      <c r="AG1567" s="88">
        <f>SUMIF(月間集計シート!$M$92:$M$111,$G1567,月間集計シート!P$92:P$111)*AG$2</f>
        <v>0</v>
      </c>
      <c r="AH1567" s="88">
        <f>SUMIF(月間集計シート!$M$92:$M$111,$G1567,月間集計シート!Q$92:Q$111)*AH$2</f>
        <v>0</v>
      </c>
      <c r="AI1567" s="88">
        <f>SUMIF(月間集計シート!$M$92:$M$111,$G1567,月間集計シート!R$92:R$111)*AI$2</f>
        <v>0</v>
      </c>
      <c r="AJ1567" s="88">
        <f>SUMIF(月間集計シート!$M$92:$M$111,$G1567,月間集計シート!S$92:S$111)*AJ$2</f>
        <v>0</v>
      </c>
      <c r="AK1567" s="88">
        <f>SUMIF(月間集計シート!$M$92:$M$111,$G1567,月間集計シート!T$92:T$111)*AK$2</f>
        <v>0</v>
      </c>
      <c r="AL1567" s="88">
        <f>SUMIF(月間集計シート!$M$113:$M$132,$G1567,月間集計シート!N$113:N$132)*AL$2</f>
        <v>0</v>
      </c>
      <c r="AM1567" s="88">
        <f>SUMIF(月間集計シート!$M$113:$M$132,$G1567,月間集計シート!O$113:O$132)*AM$2</f>
        <v>0</v>
      </c>
      <c r="AN1567" s="88">
        <f>SUMIF(月間集計シート!$M$113:$M$132,$G1567,月間集計シート!P$113:P$132)*AN$2</f>
        <v>0</v>
      </c>
      <c r="AO1567" s="88">
        <f>SUMIF(月間集計シート!$M$113:$M$132,$G1567,月間集計シート!Q$113:Q$132)*AO$2</f>
        <v>0</v>
      </c>
      <c r="AP1567" s="88">
        <f>SUMIF(月間集計シート!$M$113:$M$132,$G1567,月間集計シート!R$113:R$132)*AP$2</f>
        <v>0</v>
      </c>
      <c r="AQ1567" s="88">
        <f>SUMIF(月間集計シート!$M$113:$M$132,$G1567,月間集計シート!S$113:S$132)*AQ$2</f>
        <v>0</v>
      </c>
      <c r="AR1567" s="88">
        <f>SUMIF(月間集計シート!$M$113:$M$132,$G1567,月間集計シート!T$113:T$132)*AR$2</f>
        <v>0</v>
      </c>
      <c r="AS1567" s="88">
        <f>SUMIF(月間集計シート!$M$134:$M$153,$G1567,月間集計シート!N$134:N$153)*AS$2</f>
        <v>0</v>
      </c>
      <c r="AT1567" s="88">
        <f>SUMIF(月間集計シート!$M$134:$M$153,$G1567,月間集計シート!O$134:O$153)*AT$2</f>
        <v>0</v>
      </c>
      <c r="AU1567" s="88">
        <f>SUMIF(月間集計シート!$M$134:$M$153,$G1567,月間集計シート!P$134:P$153)*AU$2</f>
        <v>0</v>
      </c>
      <c r="AV1567" s="88">
        <f>SUMIF(月間集計シート!$M$134:$M$153,$G1567,月間集計シート!Q$134:Q$153)*AV$2</f>
        <v>0</v>
      </c>
      <c r="AW1567" s="88">
        <f>SUMIF(月間集計シート!$M$134:$M$153,$G1567,月間集計シート!R$134:R$153)*AW$2</f>
        <v>0</v>
      </c>
      <c r="AX1567" s="88">
        <f>SUMIF(月間集計シート!$M$134:$M$153,$G1567,月間集計シート!S$134:S$153)*AX$2</f>
        <v>0</v>
      </c>
      <c r="AY1567" s="88">
        <f>SUMIF(月間集計シート!$M$134:$M$153,$G1567,月間集計シート!T$134:T$153)*AY$2</f>
        <v>0</v>
      </c>
    </row>
    <row r="1568" spans="1:51" ht="14.25" thickBot="1">
      <c r="A1568">
        <v>19</v>
      </c>
      <c r="B1568" s="120">
        <f t="shared" si="888"/>
        <v>0</v>
      </c>
      <c r="C1568" s="120" t="str">
        <f t="shared" si="889"/>
        <v/>
      </c>
      <c r="D1568" s="137"/>
      <c r="E1568" s="150" t="str">
        <f>工種!A30</f>
        <v>40108</v>
      </c>
      <c r="F1568" s="119" t="str">
        <f>工種!B30</f>
        <v>テスト：総合評価実施</v>
      </c>
      <c r="G1568" s="116" t="str">
        <f t="shared" si="890"/>
        <v>040108</v>
      </c>
      <c r="H1568" s="88">
        <f t="shared" si="844"/>
        <v>0</v>
      </c>
      <c r="I1568" s="132"/>
      <c r="J1568" s="88">
        <f>SUMIF(月間集計シート!$M$29:$M$48,$G1568,月間集計シート!N$29:N$48)*J$2</f>
        <v>0</v>
      </c>
      <c r="K1568" s="88">
        <f>SUMIF(月間集計シート!$M$29:$M$48,$G1568,月間集計シート!O$29:O$48)*K$2</f>
        <v>0</v>
      </c>
      <c r="L1568" s="88">
        <f>SUMIF(月間集計シート!$M$29:$M$48,$G1568,月間集計シート!P$29:P$48)*L$2</f>
        <v>0</v>
      </c>
      <c r="M1568" s="88">
        <f>SUMIF(月間集計シート!$M$29:$M$48,$G1568,月間集計シート!Q$29:Q$48)*M$2</f>
        <v>0</v>
      </c>
      <c r="N1568" s="88">
        <f>SUMIF(月間集計シート!$M$29:$M$48,$G1568,月間集計シート!R$29:R$48)*N$2</f>
        <v>0</v>
      </c>
      <c r="O1568" s="88">
        <f>SUMIF(月間集計シート!$M$29:$M$48,$G1568,月間集計シート!S$29:S$48)*O$2</f>
        <v>0</v>
      </c>
      <c r="P1568" s="88">
        <f>SUMIF(月間集計シート!$M$29:$M$48,$G1568,月間集計シート!T$29:T$48)*P$2</f>
        <v>0</v>
      </c>
      <c r="Q1568" s="88">
        <f>SUMIF(月間集計シート!$M$50:$M$69,$G1568,月間集計シート!N$50:N$69)*Q$2</f>
        <v>0</v>
      </c>
      <c r="R1568" s="88">
        <f>SUMIF(月間集計シート!$M$50:$M$69,$G1568,月間集計シート!O$50:O$69)*R$2</f>
        <v>0</v>
      </c>
      <c r="S1568" s="88">
        <f>SUMIF(月間集計シート!$M$50:$M$69,$G1568,月間集計シート!P$50:P$69)*S$2</f>
        <v>0</v>
      </c>
      <c r="T1568" s="88">
        <f>SUMIF(月間集計シート!$M$50:$M$69,$G1568,月間集計シート!Q$50:Q$69)*T$2</f>
        <v>0</v>
      </c>
      <c r="U1568" s="88">
        <f>SUMIF(月間集計シート!$M$50:$M$69,$G1568,月間集計シート!R$50:R$69)*U$2</f>
        <v>0</v>
      </c>
      <c r="V1568" s="88">
        <f>SUMIF(月間集計シート!$M$50:$M$69,$G1568,月間集計シート!S$50:S$69)*V$2</f>
        <v>0</v>
      </c>
      <c r="W1568" s="88">
        <f>SUMIF(月間集計シート!$M$50:$M$69,$G1568,月間集計シート!T$50:T$69)*W$2</f>
        <v>0</v>
      </c>
      <c r="X1568" s="88">
        <f>SUMIF(月間集計シート!$M$71:$M$90,$G1568,月間集計シート!N$71:N$90)*X$2</f>
        <v>0</v>
      </c>
      <c r="Y1568" s="88">
        <f>SUMIF(月間集計シート!$M$71:$M$90,$G1568,月間集計シート!O$71:O$90)*Y$2</f>
        <v>0</v>
      </c>
      <c r="Z1568" s="88">
        <f>SUMIF(月間集計シート!$M$71:$M$90,$G1568,月間集計シート!P$71:P$90)*Z$2</f>
        <v>0</v>
      </c>
      <c r="AA1568" s="88">
        <f>SUMIF(月間集計シート!$M$71:$M$90,$G1568,月間集計シート!Q$71:Q$90)*AA$2</f>
        <v>0</v>
      </c>
      <c r="AB1568" s="88">
        <f>SUMIF(月間集計シート!$M$71:$M$90,$G1568,月間集計シート!R$71:R$90)*AB$2</f>
        <v>0</v>
      </c>
      <c r="AC1568" s="88">
        <f>SUMIF(月間集計シート!$M$71:$M$90,$G1568,月間集計シート!S$71:S$90)*AC$2</f>
        <v>0</v>
      </c>
      <c r="AD1568" s="88">
        <f>SUMIF(月間集計シート!$M$71:$M$90,$G1568,月間集計シート!T$71:T$90)*AD$2</f>
        <v>0</v>
      </c>
      <c r="AE1568" s="88">
        <f>SUMIF(月間集計シート!$M$92:$M$111,$G1568,月間集計シート!N$92:N$111)*AE$2</f>
        <v>0</v>
      </c>
      <c r="AF1568" s="88">
        <f>SUMIF(月間集計シート!$M$92:$M$111,$G1568,月間集計シート!O$92:O$111)*AF$2</f>
        <v>0</v>
      </c>
      <c r="AG1568" s="88">
        <f>SUMIF(月間集計シート!$M$92:$M$111,$G1568,月間集計シート!P$92:P$111)*AG$2</f>
        <v>0</v>
      </c>
      <c r="AH1568" s="88">
        <f>SUMIF(月間集計シート!$M$92:$M$111,$G1568,月間集計シート!Q$92:Q$111)*AH$2</f>
        <v>0</v>
      </c>
      <c r="AI1568" s="88">
        <f>SUMIF(月間集計シート!$M$92:$M$111,$G1568,月間集計シート!R$92:R$111)*AI$2</f>
        <v>0</v>
      </c>
      <c r="AJ1568" s="88">
        <f>SUMIF(月間集計シート!$M$92:$M$111,$G1568,月間集計シート!S$92:S$111)*AJ$2</f>
        <v>0</v>
      </c>
      <c r="AK1568" s="88">
        <f>SUMIF(月間集計シート!$M$92:$M$111,$G1568,月間集計シート!T$92:T$111)*AK$2</f>
        <v>0</v>
      </c>
      <c r="AL1568" s="88">
        <f>SUMIF(月間集計シート!$M$113:$M$132,$G1568,月間集計シート!N$113:N$132)*AL$2</f>
        <v>0</v>
      </c>
      <c r="AM1568" s="88">
        <f>SUMIF(月間集計シート!$M$113:$M$132,$G1568,月間集計シート!O$113:O$132)*AM$2</f>
        <v>0</v>
      </c>
      <c r="AN1568" s="88">
        <f>SUMIF(月間集計シート!$M$113:$M$132,$G1568,月間集計シート!P$113:P$132)*AN$2</f>
        <v>0</v>
      </c>
      <c r="AO1568" s="88">
        <f>SUMIF(月間集計シート!$M$113:$M$132,$G1568,月間集計シート!Q$113:Q$132)*AO$2</f>
        <v>0</v>
      </c>
      <c r="AP1568" s="88">
        <f>SUMIF(月間集計シート!$M$113:$M$132,$G1568,月間集計シート!R$113:R$132)*AP$2</f>
        <v>0</v>
      </c>
      <c r="AQ1568" s="88">
        <f>SUMIF(月間集計シート!$M$113:$M$132,$G1568,月間集計シート!S$113:S$132)*AQ$2</f>
        <v>0</v>
      </c>
      <c r="AR1568" s="88">
        <f>SUMIF(月間集計シート!$M$113:$M$132,$G1568,月間集計シート!T$113:T$132)*AR$2</f>
        <v>0</v>
      </c>
      <c r="AS1568" s="88">
        <f>SUMIF(月間集計シート!$M$134:$M$153,$G1568,月間集計シート!N$134:N$153)*AS$2</f>
        <v>0</v>
      </c>
      <c r="AT1568" s="88">
        <f>SUMIF(月間集計シート!$M$134:$M$153,$G1568,月間集計シート!O$134:O$153)*AT$2</f>
        <v>0</v>
      </c>
      <c r="AU1568" s="88">
        <f>SUMIF(月間集計シート!$M$134:$M$153,$G1568,月間集計シート!P$134:P$153)*AU$2</f>
        <v>0</v>
      </c>
      <c r="AV1568" s="88">
        <f>SUMIF(月間集計シート!$M$134:$M$153,$G1568,月間集計シート!Q$134:Q$153)*AV$2</f>
        <v>0</v>
      </c>
      <c r="AW1568" s="88">
        <f>SUMIF(月間集計シート!$M$134:$M$153,$G1568,月間集計シート!R$134:R$153)*AW$2</f>
        <v>0</v>
      </c>
      <c r="AX1568" s="88">
        <f>SUMIF(月間集計シート!$M$134:$M$153,$G1568,月間集計シート!S$134:S$153)*AX$2</f>
        <v>0</v>
      </c>
      <c r="AY1568" s="88">
        <f>SUMIF(月間集計シート!$M$134:$M$153,$G1568,月間集計シート!T$134:T$153)*AY$2</f>
        <v>0</v>
      </c>
    </row>
    <row r="1569" spans="1:51" ht="14.25" thickBot="1">
      <c r="A1569">
        <v>19</v>
      </c>
      <c r="B1569" s="120">
        <f t="shared" si="888"/>
        <v>0</v>
      </c>
      <c r="C1569" s="120" t="str">
        <f t="shared" si="889"/>
        <v/>
      </c>
      <c r="D1569" s="137"/>
      <c r="E1569" s="150" t="str">
        <f>工種!A31</f>
        <v>40109</v>
      </c>
      <c r="F1569" s="119" t="str">
        <f>工種!B31</f>
        <v>テスト：打合せ</v>
      </c>
      <c r="G1569" s="116" t="str">
        <f t="shared" si="890"/>
        <v>040109</v>
      </c>
      <c r="H1569" s="88">
        <f t="shared" si="844"/>
        <v>0</v>
      </c>
      <c r="I1569" s="132"/>
      <c r="J1569" s="88">
        <f>SUMIF(月間集計シート!$M$29:$M$48,$G1569,月間集計シート!N$29:N$48)*J$2</f>
        <v>0</v>
      </c>
      <c r="K1569" s="88">
        <f>SUMIF(月間集計シート!$M$29:$M$48,$G1569,月間集計シート!O$29:O$48)*K$2</f>
        <v>0</v>
      </c>
      <c r="L1569" s="88">
        <f>SUMIF(月間集計シート!$M$29:$M$48,$G1569,月間集計シート!P$29:P$48)*L$2</f>
        <v>0</v>
      </c>
      <c r="M1569" s="88">
        <f>SUMIF(月間集計シート!$M$29:$M$48,$G1569,月間集計シート!Q$29:Q$48)*M$2</f>
        <v>0</v>
      </c>
      <c r="N1569" s="88">
        <f>SUMIF(月間集計シート!$M$29:$M$48,$G1569,月間集計シート!R$29:R$48)*N$2</f>
        <v>0</v>
      </c>
      <c r="O1569" s="88">
        <f>SUMIF(月間集計シート!$M$29:$M$48,$G1569,月間集計シート!S$29:S$48)*O$2</f>
        <v>0</v>
      </c>
      <c r="P1569" s="88">
        <f>SUMIF(月間集計シート!$M$29:$M$48,$G1569,月間集計シート!T$29:T$48)*P$2</f>
        <v>0</v>
      </c>
      <c r="Q1569" s="88">
        <f>SUMIF(月間集計シート!$M$50:$M$69,$G1569,月間集計シート!N$50:N$69)*Q$2</f>
        <v>0</v>
      </c>
      <c r="R1569" s="88">
        <f>SUMIF(月間集計シート!$M$50:$M$69,$G1569,月間集計シート!O$50:O$69)*R$2</f>
        <v>0</v>
      </c>
      <c r="S1569" s="88">
        <f>SUMIF(月間集計シート!$M$50:$M$69,$G1569,月間集計シート!P$50:P$69)*S$2</f>
        <v>0</v>
      </c>
      <c r="T1569" s="88">
        <f>SUMIF(月間集計シート!$M$50:$M$69,$G1569,月間集計シート!Q$50:Q$69)*T$2</f>
        <v>0</v>
      </c>
      <c r="U1569" s="88">
        <f>SUMIF(月間集計シート!$M$50:$M$69,$G1569,月間集計シート!R$50:R$69)*U$2</f>
        <v>0</v>
      </c>
      <c r="V1569" s="88">
        <f>SUMIF(月間集計シート!$M$50:$M$69,$G1569,月間集計シート!S$50:S$69)*V$2</f>
        <v>0</v>
      </c>
      <c r="W1569" s="88">
        <f>SUMIF(月間集計シート!$M$50:$M$69,$G1569,月間集計シート!T$50:T$69)*W$2</f>
        <v>0</v>
      </c>
      <c r="X1569" s="88">
        <f>SUMIF(月間集計シート!$M$71:$M$90,$G1569,月間集計シート!N$71:N$90)*X$2</f>
        <v>0</v>
      </c>
      <c r="Y1569" s="88">
        <f>SUMIF(月間集計シート!$M$71:$M$90,$G1569,月間集計シート!O$71:O$90)*Y$2</f>
        <v>0</v>
      </c>
      <c r="Z1569" s="88">
        <f>SUMIF(月間集計シート!$M$71:$M$90,$G1569,月間集計シート!P$71:P$90)*Z$2</f>
        <v>0</v>
      </c>
      <c r="AA1569" s="88">
        <f>SUMIF(月間集計シート!$M$71:$M$90,$G1569,月間集計シート!Q$71:Q$90)*AA$2</f>
        <v>0</v>
      </c>
      <c r="AB1569" s="88">
        <f>SUMIF(月間集計シート!$M$71:$M$90,$G1569,月間集計シート!R$71:R$90)*AB$2</f>
        <v>0</v>
      </c>
      <c r="AC1569" s="88">
        <f>SUMIF(月間集計シート!$M$71:$M$90,$G1569,月間集計シート!S$71:S$90)*AC$2</f>
        <v>0</v>
      </c>
      <c r="AD1569" s="88">
        <f>SUMIF(月間集計シート!$M$71:$M$90,$G1569,月間集計シート!T$71:T$90)*AD$2</f>
        <v>0</v>
      </c>
      <c r="AE1569" s="88">
        <f>SUMIF(月間集計シート!$M$92:$M$111,$G1569,月間集計シート!N$92:N$111)*AE$2</f>
        <v>0</v>
      </c>
      <c r="AF1569" s="88">
        <f>SUMIF(月間集計シート!$M$92:$M$111,$G1569,月間集計シート!O$92:O$111)*AF$2</f>
        <v>0</v>
      </c>
      <c r="AG1569" s="88">
        <f>SUMIF(月間集計シート!$M$92:$M$111,$G1569,月間集計シート!P$92:P$111)*AG$2</f>
        <v>0</v>
      </c>
      <c r="AH1569" s="88">
        <f>SUMIF(月間集計シート!$M$92:$M$111,$G1569,月間集計シート!Q$92:Q$111)*AH$2</f>
        <v>0</v>
      </c>
      <c r="AI1569" s="88">
        <f>SUMIF(月間集計シート!$M$92:$M$111,$G1569,月間集計シート!R$92:R$111)*AI$2</f>
        <v>0</v>
      </c>
      <c r="AJ1569" s="88">
        <f>SUMIF(月間集計シート!$M$92:$M$111,$G1569,月間集計シート!S$92:S$111)*AJ$2</f>
        <v>0</v>
      </c>
      <c r="AK1569" s="88">
        <f>SUMIF(月間集計シート!$M$92:$M$111,$G1569,月間集計シート!T$92:T$111)*AK$2</f>
        <v>0</v>
      </c>
      <c r="AL1569" s="88">
        <f>SUMIF(月間集計シート!$M$113:$M$132,$G1569,月間集計シート!N$113:N$132)*AL$2</f>
        <v>0</v>
      </c>
      <c r="AM1569" s="88">
        <f>SUMIF(月間集計シート!$M$113:$M$132,$G1569,月間集計シート!O$113:O$132)*AM$2</f>
        <v>0</v>
      </c>
      <c r="AN1569" s="88">
        <f>SUMIF(月間集計シート!$M$113:$M$132,$G1569,月間集計シート!P$113:P$132)*AN$2</f>
        <v>0</v>
      </c>
      <c r="AO1569" s="88">
        <f>SUMIF(月間集計シート!$M$113:$M$132,$G1569,月間集計シート!Q$113:Q$132)*AO$2</f>
        <v>0</v>
      </c>
      <c r="AP1569" s="88">
        <f>SUMIF(月間集計シート!$M$113:$M$132,$G1569,月間集計シート!R$113:R$132)*AP$2</f>
        <v>0</v>
      </c>
      <c r="AQ1569" s="88">
        <f>SUMIF(月間集計シート!$M$113:$M$132,$G1569,月間集計シート!S$113:S$132)*AQ$2</f>
        <v>0</v>
      </c>
      <c r="AR1569" s="88">
        <f>SUMIF(月間集計シート!$M$113:$M$132,$G1569,月間集計シート!T$113:T$132)*AR$2</f>
        <v>0</v>
      </c>
      <c r="AS1569" s="88">
        <f>SUMIF(月間集計シート!$M$134:$M$153,$G1569,月間集計シート!N$134:N$153)*AS$2</f>
        <v>0</v>
      </c>
      <c r="AT1569" s="88">
        <f>SUMIF(月間集計シート!$M$134:$M$153,$G1569,月間集計シート!O$134:O$153)*AT$2</f>
        <v>0</v>
      </c>
      <c r="AU1569" s="88">
        <f>SUMIF(月間集計シート!$M$134:$M$153,$G1569,月間集計シート!P$134:P$153)*AU$2</f>
        <v>0</v>
      </c>
      <c r="AV1569" s="88">
        <f>SUMIF(月間集計シート!$M$134:$M$153,$G1569,月間集計シート!Q$134:Q$153)*AV$2</f>
        <v>0</v>
      </c>
      <c r="AW1569" s="88">
        <f>SUMIF(月間集計シート!$M$134:$M$153,$G1569,月間集計シート!R$134:R$153)*AW$2</f>
        <v>0</v>
      </c>
      <c r="AX1569" s="88">
        <f>SUMIF(月間集計シート!$M$134:$M$153,$G1569,月間集計シート!S$134:S$153)*AX$2</f>
        <v>0</v>
      </c>
      <c r="AY1569" s="88">
        <f>SUMIF(月間集計シート!$M$134:$M$153,$G1569,月間集計シート!T$134:T$153)*AY$2</f>
        <v>0</v>
      </c>
    </row>
    <row r="1570" spans="1:51" ht="14.25" thickBot="1">
      <c r="A1570">
        <v>19</v>
      </c>
      <c r="B1570" s="120">
        <f t="shared" si="888"/>
        <v>0</v>
      </c>
      <c r="C1570" s="120" t="str">
        <f t="shared" si="889"/>
        <v/>
      </c>
      <c r="D1570" s="137"/>
      <c r="E1570" s="150" t="str">
        <f>工種!A32</f>
        <v>40110</v>
      </c>
      <c r="F1570" s="119" t="str">
        <f>工種!B32</f>
        <v>テスト：レビュー</v>
      </c>
      <c r="G1570" s="116" t="str">
        <f t="shared" si="890"/>
        <v>040110</v>
      </c>
      <c r="H1570" s="88">
        <f t="shared" si="844"/>
        <v>0</v>
      </c>
      <c r="I1570" s="132"/>
      <c r="J1570" s="88">
        <f>SUMIF(月間集計シート!$M$29:$M$48,$G1570,月間集計シート!N$29:N$48)*J$2</f>
        <v>0</v>
      </c>
      <c r="K1570" s="88">
        <f>SUMIF(月間集計シート!$M$29:$M$48,$G1570,月間集計シート!O$29:O$48)*K$2</f>
        <v>0</v>
      </c>
      <c r="L1570" s="88">
        <f>SUMIF(月間集計シート!$M$29:$M$48,$G1570,月間集計シート!P$29:P$48)*L$2</f>
        <v>0</v>
      </c>
      <c r="M1570" s="88">
        <f>SUMIF(月間集計シート!$M$29:$M$48,$G1570,月間集計シート!Q$29:Q$48)*M$2</f>
        <v>0</v>
      </c>
      <c r="N1570" s="88">
        <f>SUMIF(月間集計シート!$M$29:$M$48,$G1570,月間集計シート!R$29:R$48)*N$2</f>
        <v>0</v>
      </c>
      <c r="O1570" s="88">
        <f>SUMIF(月間集計シート!$M$29:$M$48,$G1570,月間集計シート!S$29:S$48)*O$2</f>
        <v>0</v>
      </c>
      <c r="P1570" s="88">
        <f>SUMIF(月間集計シート!$M$29:$M$48,$G1570,月間集計シート!T$29:T$48)*P$2</f>
        <v>0</v>
      </c>
      <c r="Q1570" s="88">
        <f>SUMIF(月間集計シート!$M$50:$M$69,$G1570,月間集計シート!N$50:N$69)*Q$2</f>
        <v>0</v>
      </c>
      <c r="R1570" s="88">
        <f>SUMIF(月間集計シート!$M$50:$M$69,$G1570,月間集計シート!O$50:O$69)*R$2</f>
        <v>0</v>
      </c>
      <c r="S1570" s="88">
        <f>SUMIF(月間集計シート!$M$50:$M$69,$G1570,月間集計シート!P$50:P$69)*S$2</f>
        <v>0</v>
      </c>
      <c r="T1570" s="88">
        <f>SUMIF(月間集計シート!$M$50:$M$69,$G1570,月間集計シート!Q$50:Q$69)*T$2</f>
        <v>0</v>
      </c>
      <c r="U1570" s="88">
        <f>SUMIF(月間集計シート!$M$50:$M$69,$G1570,月間集計シート!R$50:R$69)*U$2</f>
        <v>0</v>
      </c>
      <c r="V1570" s="88">
        <f>SUMIF(月間集計シート!$M$50:$M$69,$G1570,月間集計シート!S$50:S$69)*V$2</f>
        <v>0</v>
      </c>
      <c r="W1570" s="88">
        <f>SUMIF(月間集計シート!$M$50:$M$69,$G1570,月間集計シート!T$50:T$69)*W$2</f>
        <v>0</v>
      </c>
      <c r="X1570" s="88">
        <f>SUMIF(月間集計シート!$M$71:$M$90,$G1570,月間集計シート!N$71:N$90)*X$2</f>
        <v>0</v>
      </c>
      <c r="Y1570" s="88">
        <f>SUMIF(月間集計シート!$M$71:$M$90,$G1570,月間集計シート!O$71:O$90)*Y$2</f>
        <v>0</v>
      </c>
      <c r="Z1570" s="88">
        <f>SUMIF(月間集計シート!$M$71:$M$90,$G1570,月間集計シート!P$71:P$90)*Z$2</f>
        <v>0</v>
      </c>
      <c r="AA1570" s="88">
        <f>SUMIF(月間集計シート!$M$71:$M$90,$G1570,月間集計シート!Q$71:Q$90)*AA$2</f>
        <v>0</v>
      </c>
      <c r="AB1570" s="88">
        <f>SUMIF(月間集計シート!$M$71:$M$90,$G1570,月間集計シート!R$71:R$90)*AB$2</f>
        <v>0</v>
      </c>
      <c r="AC1570" s="88">
        <f>SUMIF(月間集計シート!$M$71:$M$90,$G1570,月間集計シート!S$71:S$90)*AC$2</f>
        <v>0</v>
      </c>
      <c r="AD1570" s="88">
        <f>SUMIF(月間集計シート!$M$71:$M$90,$G1570,月間集計シート!T$71:T$90)*AD$2</f>
        <v>0</v>
      </c>
      <c r="AE1570" s="88">
        <f>SUMIF(月間集計シート!$M$92:$M$111,$G1570,月間集計シート!N$92:N$111)*AE$2</f>
        <v>0</v>
      </c>
      <c r="AF1570" s="88">
        <f>SUMIF(月間集計シート!$M$92:$M$111,$G1570,月間集計シート!O$92:O$111)*AF$2</f>
        <v>0</v>
      </c>
      <c r="AG1570" s="88">
        <f>SUMIF(月間集計シート!$M$92:$M$111,$G1570,月間集計シート!P$92:P$111)*AG$2</f>
        <v>0</v>
      </c>
      <c r="AH1570" s="88">
        <f>SUMIF(月間集計シート!$M$92:$M$111,$G1570,月間集計シート!Q$92:Q$111)*AH$2</f>
        <v>0</v>
      </c>
      <c r="AI1570" s="88">
        <f>SUMIF(月間集計シート!$M$92:$M$111,$G1570,月間集計シート!R$92:R$111)*AI$2</f>
        <v>0</v>
      </c>
      <c r="AJ1570" s="88">
        <f>SUMIF(月間集計シート!$M$92:$M$111,$G1570,月間集計シート!S$92:S$111)*AJ$2</f>
        <v>0</v>
      </c>
      <c r="AK1570" s="88">
        <f>SUMIF(月間集計シート!$M$92:$M$111,$G1570,月間集計シート!T$92:T$111)*AK$2</f>
        <v>0</v>
      </c>
      <c r="AL1570" s="88">
        <f>SUMIF(月間集計シート!$M$113:$M$132,$G1570,月間集計シート!N$113:N$132)*AL$2</f>
        <v>0</v>
      </c>
      <c r="AM1570" s="88">
        <f>SUMIF(月間集計シート!$M$113:$M$132,$G1570,月間集計シート!O$113:O$132)*AM$2</f>
        <v>0</v>
      </c>
      <c r="AN1570" s="88">
        <f>SUMIF(月間集計シート!$M$113:$M$132,$G1570,月間集計シート!P$113:P$132)*AN$2</f>
        <v>0</v>
      </c>
      <c r="AO1570" s="88">
        <f>SUMIF(月間集計シート!$M$113:$M$132,$G1570,月間集計シート!Q$113:Q$132)*AO$2</f>
        <v>0</v>
      </c>
      <c r="AP1570" s="88">
        <f>SUMIF(月間集計シート!$M$113:$M$132,$G1570,月間集計シート!R$113:R$132)*AP$2</f>
        <v>0</v>
      </c>
      <c r="AQ1570" s="88">
        <f>SUMIF(月間集計シート!$M$113:$M$132,$G1570,月間集計シート!S$113:S$132)*AQ$2</f>
        <v>0</v>
      </c>
      <c r="AR1570" s="88">
        <f>SUMIF(月間集計シート!$M$113:$M$132,$G1570,月間集計シート!T$113:T$132)*AR$2</f>
        <v>0</v>
      </c>
      <c r="AS1570" s="88">
        <f>SUMIF(月間集計シート!$M$134:$M$153,$G1570,月間集計シート!N$134:N$153)*AS$2</f>
        <v>0</v>
      </c>
      <c r="AT1570" s="88">
        <f>SUMIF(月間集計シート!$M$134:$M$153,$G1570,月間集計シート!O$134:O$153)*AT$2</f>
        <v>0</v>
      </c>
      <c r="AU1570" s="88">
        <f>SUMIF(月間集計シート!$M$134:$M$153,$G1570,月間集計シート!P$134:P$153)*AU$2</f>
        <v>0</v>
      </c>
      <c r="AV1570" s="88">
        <f>SUMIF(月間集計シート!$M$134:$M$153,$G1570,月間集計シート!Q$134:Q$153)*AV$2</f>
        <v>0</v>
      </c>
      <c r="AW1570" s="88">
        <f>SUMIF(月間集計シート!$M$134:$M$153,$G1570,月間集計シート!R$134:R$153)*AW$2</f>
        <v>0</v>
      </c>
      <c r="AX1570" s="88">
        <f>SUMIF(月間集計シート!$M$134:$M$153,$G1570,月間集計シート!S$134:S$153)*AX$2</f>
        <v>0</v>
      </c>
      <c r="AY1570" s="88">
        <f>SUMIF(月間集計シート!$M$134:$M$153,$G1570,月間集計シート!T$134:T$153)*AY$2</f>
        <v>0</v>
      </c>
    </row>
    <row r="1571" spans="1:51" ht="14.25" thickBot="1">
      <c r="A1571">
        <v>19</v>
      </c>
      <c r="B1571" s="120">
        <f t="shared" si="888"/>
        <v>0</v>
      </c>
      <c r="C1571" s="120" t="str">
        <f t="shared" si="889"/>
        <v/>
      </c>
      <c r="D1571" s="137"/>
      <c r="E1571" s="150" t="str">
        <f>工種!A33</f>
        <v>40111</v>
      </c>
      <c r="F1571" s="119" t="str">
        <f>工種!B33</f>
        <v>テスト：PG修正（手戻り分）</v>
      </c>
      <c r="G1571" s="116" t="str">
        <f t="shared" si="890"/>
        <v>040111</v>
      </c>
      <c r="H1571" s="88">
        <f t="shared" si="844"/>
        <v>0</v>
      </c>
      <c r="I1571" s="132"/>
      <c r="J1571" s="88">
        <f>SUMIF(月間集計シート!$M$29:$M$48,$G1571,月間集計シート!N$29:N$48)*J$2</f>
        <v>0</v>
      </c>
      <c r="K1571" s="88">
        <f>SUMIF(月間集計シート!$M$29:$M$48,$G1571,月間集計シート!O$29:O$48)*K$2</f>
        <v>0</v>
      </c>
      <c r="L1571" s="88">
        <f>SUMIF(月間集計シート!$M$29:$M$48,$G1571,月間集計シート!P$29:P$48)*L$2</f>
        <v>0</v>
      </c>
      <c r="M1571" s="88">
        <f>SUMIF(月間集計シート!$M$29:$M$48,$G1571,月間集計シート!Q$29:Q$48)*M$2</f>
        <v>0</v>
      </c>
      <c r="N1571" s="88">
        <f>SUMIF(月間集計シート!$M$29:$M$48,$G1571,月間集計シート!R$29:R$48)*N$2</f>
        <v>0</v>
      </c>
      <c r="O1571" s="88">
        <f>SUMIF(月間集計シート!$M$29:$M$48,$G1571,月間集計シート!S$29:S$48)*O$2</f>
        <v>0</v>
      </c>
      <c r="P1571" s="88">
        <f>SUMIF(月間集計シート!$M$29:$M$48,$G1571,月間集計シート!T$29:T$48)*P$2</f>
        <v>0</v>
      </c>
      <c r="Q1571" s="88">
        <f>SUMIF(月間集計シート!$M$50:$M$69,$G1571,月間集計シート!N$50:N$69)*Q$2</f>
        <v>0</v>
      </c>
      <c r="R1571" s="88">
        <f>SUMIF(月間集計シート!$M$50:$M$69,$G1571,月間集計シート!O$50:O$69)*R$2</f>
        <v>0</v>
      </c>
      <c r="S1571" s="88">
        <f>SUMIF(月間集計シート!$M$50:$M$69,$G1571,月間集計シート!P$50:P$69)*S$2</f>
        <v>0</v>
      </c>
      <c r="T1571" s="88">
        <f>SUMIF(月間集計シート!$M$50:$M$69,$G1571,月間集計シート!Q$50:Q$69)*T$2</f>
        <v>0</v>
      </c>
      <c r="U1571" s="88">
        <f>SUMIF(月間集計シート!$M$50:$M$69,$G1571,月間集計シート!R$50:R$69)*U$2</f>
        <v>0</v>
      </c>
      <c r="V1571" s="88">
        <f>SUMIF(月間集計シート!$M$50:$M$69,$G1571,月間集計シート!S$50:S$69)*V$2</f>
        <v>0</v>
      </c>
      <c r="W1571" s="88">
        <f>SUMIF(月間集計シート!$M$50:$M$69,$G1571,月間集計シート!T$50:T$69)*W$2</f>
        <v>0</v>
      </c>
      <c r="X1571" s="88">
        <f>SUMIF(月間集計シート!$M$71:$M$90,$G1571,月間集計シート!N$71:N$90)*X$2</f>
        <v>0</v>
      </c>
      <c r="Y1571" s="88">
        <f>SUMIF(月間集計シート!$M$71:$M$90,$G1571,月間集計シート!O$71:O$90)*Y$2</f>
        <v>0</v>
      </c>
      <c r="Z1571" s="88">
        <f>SUMIF(月間集計シート!$M$71:$M$90,$G1571,月間集計シート!P$71:P$90)*Z$2</f>
        <v>0</v>
      </c>
      <c r="AA1571" s="88">
        <f>SUMIF(月間集計シート!$M$71:$M$90,$G1571,月間集計シート!Q$71:Q$90)*AA$2</f>
        <v>0</v>
      </c>
      <c r="AB1571" s="88">
        <f>SUMIF(月間集計シート!$M$71:$M$90,$G1571,月間集計シート!R$71:R$90)*AB$2</f>
        <v>0</v>
      </c>
      <c r="AC1571" s="88">
        <f>SUMIF(月間集計シート!$M$71:$M$90,$G1571,月間集計シート!S$71:S$90)*AC$2</f>
        <v>0</v>
      </c>
      <c r="AD1571" s="88">
        <f>SUMIF(月間集計シート!$M$71:$M$90,$G1571,月間集計シート!T$71:T$90)*AD$2</f>
        <v>0</v>
      </c>
      <c r="AE1571" s="88">
        <f>SUMIF(月間集計シート!$M$92:$M$111,$G1571,月間集計シート!N$92:N$111)*AE$2</f>
        <v>0</v>
      </c>
      <c r="AF1571" s="88">
        <f>SUMIF(月間集計シート!$M$92:$M$111,$G1571,月間集計シート!O$92:O$111)*AF$2</f>
        <v>0</v>
      </c>
      <c r="AG1571" s="88">
        <f>SUMIF(月間集計シート!$M$92:$M$111,$G1571,月間集計シート!P$92:P$111)*AG$2</f>
        <v>0</v>
      </c>
      <c r="AH1571" s="88">
        <f>SUMIF(月間集計シート!$M$92:$M$111,$G1571,月間集計シート!Q$92:Q$111)*AH$2</f>
        <v>0</v>
      </c>
      <c r="AI1571" s="88">
        <f>SUMIF(月間集計シート!$M$92:$M$111,$G1571,月間集計シート!R$92:R$111)*AI$2</f>
        <v>0</v>
      </c>
      <c r="AJ1571" s="88">
        <f>SUMIF(月間集計シート!$M$92:$M$111,$G1571,月間集計シート!S$92:S$111)*AJ$2</f>
        <v>0</v>
      </c>
      <c r="AK1571" s="88">
        <f>SUMIF(月間集計シート!$M$92:$M$111,$G1571,月間集計シート!T$92:T$111)*AK$2</f>
        <v>0</v>
      </c>
      <c r="AL1571" s="88">
        <f>SUMIF(月間集計シート!$M$113:$M$132,$G1571,月間集計シート!N$113:N$132)*AL$2</f>
        <v>0</v>
      </c>
      <c r="AM1571" s="88">
        <f>SUMIF(月間集計シート!$M$113:$M$132,$G1571,月間集計シート!O$113:O$132)*AM$2</f>
        <v>0</v>
      </c>
      <c r="AN1571" s="88">
        <f>SUMIF(月間集計シート!$M$113:$M$132,$G1571,月間集計シート!P$113:P$132)*AN$2</f>
        <v>0</v>
      </c>
      <c r="AO1571" s="88">
        <f>SUMIF(月間集計シート!$M$113:$M$132,$G1571,月間集計シート!Q$113:Q$132)*AO$2</f>
        <v>0</v>
      </c>
      <c r="AP1571" s="88">
        <f>SUMIF(月間集計シート!$M$113:$M$132,$G1571,月間集計シート!R$113:R$132)*AP$2</f>
        <v>0</v>
      </c>
      <c r="AQ1571" s="88">
        <f>SUMIF(月間集計シート!$M$113:$M$132,$G1571,月間集計シート!S$113:S$132)*AQ$2</f>
        <v>0</v>
      </c>
      <c r="AR1571" s="88">
        <f>SUMIF(月間集計シート!$M$113:$M$132,$G1571,月間集計シート!T$113:T$132)*AR$2</f>
        <v>0</v>
      </c>
      <c r="AS1571" s="88">
        <f>SUMIF(月間集計シート!$M$134:$M$153,$G1571,月間集計シート!N$134:N$153)*AS$2</f>
        <v>0</v>
      </c>
      <c r="AT1571" s="88">
        <f>SUMIF(月間集計シート!$M$134:$M$153,$G1571,月間集計シート!O$134:O$153)*AT$2</f>
        <v>0</v>
      </c>
      <c r="AU1571" s="88">
        <f>SUMIF(月間集計シート!$M$134:$M$153,$G1571,月間集計シート!P$134:P$153)*AU$2</f>
        <v>0</v>
      </c>
      <c r="AV1571" s="88">
        <f>SUMIF(月間集計シート!$M$134:$M$153,$G1571,月間集計シート!Q$134:Q$153)*AV$2</f>
        <v>0</v>
      </c>
      <c r="AW1571" s="88">
        <f>SUMIF(月間集計シート!$M$134:$M$153,$G1571,月間集計シート!R$134:R$153)*AW$2</f>
        <v>0</v>
      </c>
      <c r="AX1571" s="88">
        <f>SUMIF(月間集計シート!$M$134:$M$153,$G1571,月間集計シート!S$134:S$153)*AX$2</f>
        <v>0</v>
      </c>
      <c r="AY1571" s="88">
        <f>SUMIF(月間集計シート!$M$134:$M$153,$G1571,月間集計シート!T$134:T$153)*AY$2</f>
        <v>0</v>
      </c>
    </row>
    <row r="1572" spans="1:51" ht="14.25" thickBot="1">
      <c r="A1572">
        <v>19</v>
      </c>
      <c r="B1572" s="120">
        <f t="shared" si="888"/>
        <v>0</v>
      </c>
      <c r="C1572" s="120" t="str">
        <f t="shared" si="889"/>
        <v/>
      </c>
      <c r="D1572" s="137"/>
      <c r="E1572" s="150" t="str">
        <f>工種!A34</f>
        <v>40112</v>
      </c>
      <c r="F1572" s="119" t="str">
        <f>工種!B34</f>
        <v>テスト：再テスト（手戻り分）</v>
      </c>
      <c r="G1572" s="116" t="str">
        <f t="shared" si="890"/>
        <v>040112</v>
      </c>
      <c r="H1572" s="88">
        <f t="shared" si="844"/>
        <v>0</v>
      </c>
      <c r="I1572" s="132"/>
      <c r="J1572" s="88">
        <f>SUMIF(月間集計シート!$M$29:$M$48,$G1572,月間集計シート!N$29:N$48)*J$2</f>
        <v>0</v>
      </c>
      <c r="K1572" s="88">
        <f>SUMIF(月間集計シート!$M$29:$M$48,$G1572,月間集計シート!O$29:O$48)*K$2</f>
        <v>0</v>
      </c>
      <c r="L1572" s="88">
        <f>SUMIF(月間集計シート!$M$29:$M$48,$G1572,月間集計シート!P$29:P$48)*L$2</f>
        <v>0</v>
      </c>
      <c r="M1572" s="88">
        <f>SUMIF(月間集計シート!$M$29:$M$48,$G1572,月間集計シート!Q$29:Q$48)*M$2</f>
        <v>0</v>
      </c>
      <c r="N1572" s="88">
        <f>SUMIF(月間集計シート!$M$29:$M$48,$G1572,月間集計シート!R$29:R$48)*N$2</f>
        <v>0</v>
      </c>
      <c r="O1572" s="88">
        <f>SUMIF(月間集計シート!$M$29:$M$48,$G1572,月間集計シート!S$29:S$48)*O$2</f>
        <v>0</v>
      </c>
      <c r="P1572" s="88">
        <f>SUMIF(月間集計シート!$M$29:$M$48,$G1572,月間集計シート!T$29:T$48)*P$2</f>
        <v>0</v>
      </c>
      <c r="Q1572" s="88">
        <f>SUMIF(月間集計シート!$M$50:$M$69,$G1572,月間集計シート!N$50:N$69)*Q$2</f>
        <v>0</v>
      </c>
      <c r="R1572" s="88">
        <f>SUMIF(月間集計シート!$M$50:$M$69,$G1572,月間集計シート!O$50:O$69)*R$2</f>
        <v>0</v>
      </c>
      <c r="S1572" s="88">
        <f>SUMIF(月間集計シート!$M$50:$M$69,$G1572,月間集計シート!P$50:P$69)*S$2</f>
        <v>0</v>
      </c>
      <c r="T1572" s="88">
        <f>SUMIF(月間集計シート!$M$50:$M$69,$G1572,月間集計シート!Q$50:Q$69)*T$2</f>
        <v>0</v>
      </c>
      <c r="U1572" s="88">
        <f>SUMIF(月間集計シート!$M$50:$M$69,$G1572,月間集計シート!R$50:R$69)*U$2</f>
        <v>0</v>
      </c>
      <c r="V1572" s="88">
        <f>SUMIF(月間集計シート!$M$50:$M$69,$G1572,月間集計シート!S$50:S$69)*V$2</f>
        <v>0</v>
      </c>
      <c r="W1572" s="88">
        <f>SUMIF(月間集計シート!$M$50:$M$69,$G1572,月間集計シート!T$50:T$69)*W$2</f>
        <v>0</v>
      </c>
      <c r="X1572" s="88">
        <f>SUMIF(月間集計シート!$M$71:$M$90,$G1572,月間集計シート!N$71:N$90)*X$2</f>
        <v>0</v>
      </c>
      <c r="Y1572" s="88">
        <f>SUMIF(月間集計シート!$M$71:$M$90,$G1572,月間集計シート!O$71:O$90)*Y$2</f>
        <v>0</v>
      </c>
      <c r="Z1572" s="88">
        <f>SUMIF(月間集計シート!$M$71:$M$90,$G1572,月間集計シート!P$71:P$90)*Z$2</f>
        <v>0</v>
      </c>
      <c r="AA1572" s="88">
        <f>SUMIF(月間集計シート!$M$71:$M$90,$G1572,月間集計シート!Q$71:Q$90)*AA$2</f>
        <v>0</v>
      </c>
      <c r="AB1572" s="88">
        <f>SUMIF(月間集計シート!$M$71:$M$90,$G1572,月間集計シート!R$71:R$90)*AB$2</f>
        <v>0</v>
      </c>
      <c r="AC1572" s="88">
        <f>SUMIF(月間集計シート!$M$71:$M$90,$G1572,月間集計シート!S$71:S$90)*AC$2</f>
        <v>0</v>
      </c>
      <c r="AD1572" s="88">
        <f>SUMIF(月間集計シート!$M$71:$M$90,$G1572,月間集計シート!T$71:T$90)*AD$2</f>
        <v>0</v>
      </c>
      <c r="AE1572" s="88">
        <f>SUMIF(月間集計シート!$M$92:$M$111,$G1572,月間集計シート!N$92:N$111)*AE$2</f>
        <v>0</v>
      </c>
      <c r="AF1572" s="88">
        <f>SUMIF(月間集計シート!$M$92:$M$111,$G1572,月間集計シート!O$92:O$111)*AF$2</f>
        <v>0</v>
      </c>
      <c r="AG1572" s="88">
        <f>SUMIF(月間集計シート!$M$92:$M$111,$G1572,月間集計シート!P$92:P$111)*AG$2</f>
        <v>0</v>
      </c>
      <c r="AH1572" s="88">
        <f>SUMIF(月間集計シート!$M$92:$M$111,$G1572,月間集計シート!Q$92:Q$111)*AH$2</f>
        <v>0</v>
      </c>
      <c r="AI1572" s="88">
        <f>SUMIF(月間集計シート!$M$92:$M$111,$G1572,月間集計シート!R$92:R$111)*AI$2</f>
        <v>0</v>
      </c>
      <c r="AJ1572" s="88">
        <f>SUMIF(月間集計シート!$M$92:$M$111,$G1572,月間集計シート!S$92:S$111)*AJ$2</f>
        <v>0</v>
      </c>
      <c r="AK1572" s="88">
        <f>SUMIF(月間集計シート!$M$92:$M$111,$G1572,月間集計シート!T$92:T$111)*AK$2</f>
        <v>0</v>
      </c>
      <c r="AL1572" s="88">
        <f>SUMIF(月間集計シート!$M$113:$M$132,$G1572,月間集計シート!N$113:N$132)*AL$2</f>
        <v>0</v>
      </c>
      <c r="AM1572" s="88">
        <f>SUMIF(月間集計シート!$M$113:$M$132,$G1572,月間集計シート!O$113:O$132)*AM$2</f>
        <v>0</v>
      </c>
      <c r="AN1572" s="88">
        <f>SUMIF(月間集計シート!$M$113:$M$132,$G1572,月間集計シート!P$113:P$132)*AN$2</f>
        <v>0</v>
      </c>
      <c r="AO1572" s="88">
        <f>SUMIF(月間集計シート!$M$113:$M$132,$G1572,月間集計シート!Q$113:Q$132)*AO$2</f>
        <v>0</v>
      </c>
      <c r="AP1572" s="88">
        <f>SUMIF(月間集計シート!$M$113:$M$132,$G1572,月間集計シート!R$113:R$132)*AP$2</f>
        <v>0</v>
      </c>
      <c r="AQ1572" s="88">
        <f>SUMIF(月間集計シート!$M$113:$M$132,$G1572,月間集計シート!S$113:S$132)*AQ$2</f>
        <v>0</v>
      </c>
      <c r="AR1572" s="88">
        <f>SUMIF(月間集計シート!$M$113:$M$132,$G1572,月間集計シート!T$113:T$132)*AR$2</f>
        <v>0</v>
      </c>
      <c r="AS1572" s="88">
        <f>SUMIF(月間集計シート!$M$134:$M$153,$G1572,月間集計シート!N$134:N$153)*AS$2</f>
        <v>0</v>
      </c>
      <c r="AT1572" s="88">
        <f>SUMIF(月間集計シート!$M$134:$M$153,$G1572,月間集計シート!O$134:O$153)*AT$2</f>
        <v>0</v>
      </c>
      <c r="AU1572" s="88">
        <f>SUMIF(月間集計シート!$M$134:$M$153,$G1572,月間集計シート!P$134:P$153)*AU$2</f>
        <v>0</v>
      </c>
      <c r="AV1572" s="88">
        <f>SUMIF(月間集計シート!$M$134:$M$153,$G1572,月間集計シート!Q$134:Q$153)*AV$2</f>
        <v>0</v>
      </c>
      <c r="AW1572" s="88">
        <f>SUMIF(月間集計シート!$M$134:$M$153,$G1572,月間集計シート!R$134:R$153)*AW$2</f>
        <v>0</v>
      </c>
      <c r="AX1572" s="88">
        <f>SUMIF(月間集計シート!$M$134:$M$153,$G1572,月間集計シート!S$134:S$153)*AX$2</f>
        <v>0</v>
      </c>
      <c r="AY1572" s="88">
        <f>SUMIF(月間集計シート!$M$134:$M$153,$G1572,月間集計シート!T$134:T$153)*AY$2</f>
        <v>0</v>
      </c>
    </row>
    <row r="1573" spans="1:51" ht="14.25" thickBot="1">
      <c r="A1573">
        <v>19</v>
      </c>
      <c r="B1573" s="120">
        <f t="shared" si="888"/>
        <v>0</v>
      </c>
      <c r="C1573" s="120" t="str">
        <f t="shared" si="889"/>
        <v/>
      </c>
      <c r="D1573" s="137"/>
      <c r="E1573" s="150" t="str">
        <f>工種!A35</f>
        <v>40113</v>
      </c>
      <c r="F1573" s="119" t="str">
        <f>工種!B35</f>
        <v>テスト：QA対応</v>
      </c>
      <c r="G1573" s="116" t="str">
        <f t="shared" si="890"/>
        <v>040113</v>
      </c>
      <c r="H1573" s="88">
        <f t="shared" si="844"/>
        <v>0</v>
      </c>
      <c r="I1573" s="132"/>
      <c r="J1573" s="88">
        <f>SUMIF(月間集計シート!$M$29:$M$48,$G1573,月間集計シート!N$29:N$48)*J$2</f>
        <v>0</v>
      </c>
      <c r="K1573" s="88">
        <f>SUMIF(月間集計シート!$M$29:$M$48,$G1573,月間集計シート!O$29:O$48)*K$2</f>
        <v>0</v>
      </c>
      <c r="L1573" s="88">
        <f>SUMIF(月間集計シート!$M$29:$M$48,$G1573,月間集計シート!P$29:P$48)*L$2</f>
        <v>0</v>
      </c>
      <c r="M1573" s="88">
        <f>SUMIF(月間集計シート!$M$29:$M$48,$G1573,月間集計シート!Q$29:Q$48)*M$2</f>
        <v>0</v>
      </c>
      <c r="N1573" s="88">
        <f>SUMIF(月間集計シート!$M$29:$M$48,$G1573,月間集計シート!R$29:R$48)*N$2</f>
        <v>0</v>
      </c>
      <c r="O1573" s="88">
        <f>SUMIF(月間集計シート!$M$29:$M$48,$G1573,月間集計シート!S$29:S$48)*O$2</f>
        <v>0</v>
      </c>
      <c r="P1573" s="88">
        <f>SUMIF(月間集計シート!$M$29:$M$48,$G1573,月間集計シート!T$29:T$48)*P$2</f>
        <v>0</v>
      </c>
      <c r="Q1573" s="88">
        <f>SUMIF(月間集計シート!$M$50:$M$69,$G1573,月間集計シート!N$50:N$69)*Q$2</f>
        <v>0</v>
      </c>
      <c r="R1573" s="88">
        <f>SUMIF(月間集計シート!$M$50:$M$69,$G1573,月間集計シート!O$50:O$69)*R$2</f>
        <v>0</v>
      </c>
      <c r="S1573" s="88">
        <f>SUMIF(月間集計シート!$M$50:$M$69,$G1573,月間集計シート!P$50:P$69)*S$2</f>
        <v>0</v>
      </c>
      <c r="T1573" s="88">
        <f>SUMIF(月間集計シート!$M$50:$M$69,$G1573,月間集計シート!Q$50:Q$69)*T$2</f>
        <v>0</v>
      </c>
      <c r="U1573" s="88">
        <f>SUMIF(月間集計シート!$M$50:$M$69,$G1573,月間集計シート!R$50:R$69)*U$2</f>
        <v>0</v>
      </c>
      <c r="V1573" s="88">
        <f>SUMIF(月間集計シート!$M$50:$M$69,$G1573,月間集計シート!S$50:S$69)*V$2</f>
        <v>0</v>
      </c>
      <c r="W1573" s="88">
        <f>SUMIF(月間集計シート!$M$50:$M$69,$G1573,月間集計シート!T$50:T$69)*W$2</f>
        <v>0</v>
      </c>
      <c r="X1573" s="88">
        <f>SUMIF(月間集計シート!$M$71:$M$90,$G1573,月間集計シート!N$71:N$90)*X$2</f>
        <v>0</v>
      </c>
      <c r="Y1573" s="88">
        <f>SUMIF(月間集計シート!$M$71:$M$90,$G1573,月間集計シート!O$71:O$90)*Y$2</f>
        <v>0</v>
      </c>
      <c r="Z1573" s="88">
        <f>SUMIF(月間集計シート!$M$71:$M$90,$G1573,月間集計シート!P$71:P$90)*Z$2</f>
        <v>0</v>
      </c>
      <c r="AA1573" s="88">
        <f>SUMIF(月間集計シート!$M$71:$M$90,$G1573,月間集計シート!Q$71:Q$90)*AA$2</f>
        <v>0</v>
      </c>
      <c r="AB1573" s="88">
        <f>SUMIF(月間集計シート!$M$71:$M$90,$G1573,月間集計シート!R$71:R$90)*AB$2</f>
        <v>0</v>
      </c>
      <c r="AC1573" s="88">
        <f>SUMIF(月間集計シート!$M$71:$M$90,$G1573,月間集計シート!S$71:S$90)*AC$2</f>
        <v>0</v>
      </c>
      <c r="AD1573" s="88">
        <f>SUMIF(月間集計シート!$M$71:$M$90,$G1573,月間集計シート!T$71:T$90)*AD$2</f>
        <v>0</v>
      </c>
      <c r="AE1573" s="88">
        <f>SUMIF(月間集計シート!$M$92:$M$111,$G1573,月間集計シート!N$92:N$111)*AE$2</f>
        <v>0</v>
      </c>
      <c r="AF1573" s="88">
        <f>SUMIF(月間集計シート!$M$92:$M$111,$G1573,月間集計シート!O$92:O$111)*AF$2</f>
        <v>0</v>
      </c>
      <c r="AG1573" s="88">
        <f>SUMIF(月間集計シート!$M$92:$M$111,$G1573,月間集計シート!P$92:P$111)*AG$2</f>
        <v>0</v>
      </c>
      <c r="AH1573" s="88">
        <f>SUMIF(月間集計シート!$M$92:$M$111,$G1573,月間集計シート!Q$92:Q$111)*AH$2</f>
        <v>0</v>
      </c>
      <c r="AI1573" s="88">
        <f>SUMIF(月間集計シート!$M$92:$M$111,$G1573,月間集計シート!R$92:R$111)*AI$2</f>
        <v>0</v>
      </c>
      <c r="AJ1573" s="88">
        <f>SUMIF(月間集計シート!$M$92:$M$111,$G1573,月間集計シート!S$92:S$111)*AJ$2</f>
        <v>0</v>
      </c>
      <c r="AK1573" s="88">
        <f>SUMIF(月間集計シート!$M$92:$M$111,$G1573,月間集計シート!T$92:T$111)*AK$2</f>
        <v>0</v>
      </c>
      <c r="AL1573" s="88">
        <f>SUMIF(月間集計シート!$M$113:$M$132,$G1573,月間集計シート!N$113:N$132)*AL$2</f>
        <v>0</v>
      </c>
      <c r="AM1573" s="88">
        <f>SUMIF(月間集計シート!$M$113:$M$132,$G1573,月間集計シート!O$113:O$132)*AM$2</f>
        <v>0</v>
      </c>
      <c r="AN1573" s="88">
        <f>SUMIF(月間集計シート!$M$113:$M$132,$G1573,月間集計シート!P$113:P$132)*AN$2</f>
        <v>0</v>
      </c>
      <c r="AO1573" s="88">
        <f>SUMIF(月間集計シート!$M$113:$M$132,$G1573,月間集計シート!Q$113:Q$132)*AO$2</f>
        <v>0</v>
      </c>
      <c r="AP1573" s="88">
        <f>SUMIF(月間集計シート!$M$113:$M$132,$G1573,月間集計シート!R$113:R$132)*AP$2</f>
        <v>0</v>
      </c>
      <c r="AQ1573" s="88">
        <f>SUMIF(月間集計シート!$M$113:$M$132,$G1573,月間集計シート!S$113:S$132)*AQ$2</f>
        <v>0</v>
      </c>
      <c r="AR1573" s="88">
        <f>SUMIF(月間集計シート!$M$113:$M$132,$G1573,月間集計シート!T$113:T$132)*AR$2</f>
        <v>0</v>
      </c>
      <c r="AS1573" s="88">
        <f>SUMIF(月間集計シート!$M$134:$M$153,$G1573,月間集計シート!N$134:N$153)*AS$2</f>
        <v>0</v>
      </c>
      <c r="AT1573" s="88">
        <f>SUMIF(月間集計シート!$M$134:$M$153,$G1573,月間集計シート!O$134:O$153)*AT$2</f>
        <v>0</v>
      </c>
      <c r="AU1573" s="88">
        <f>SUMIF(月間集計シート!$M$134:$M$153,$G1573,月間集計シート!P$134:P$153)*AU$2</f>
        <v>0</v>
      </c>
      <c r="AV1573" s="88">
        <f>SUMIF(月間集計シート!$M$134:$M$153,$G1573,月間集計シート!Q$134:Q$153)*AV$2</f>
        <v>0</v>
      </c>
      <c r="AW1573" s="88">
        <f>SUMIF(月間集計シート!$M$134:$M$153,$G1573,月間集計シート!R$134:R$153)*AW$2</f>
        <v>0</v>
      </c>
      <c r="AX1573" s="88">
        <f>SUMIF(月間集計シート!$M$134:$M$153,$G1573,月間集計シート!S$134:S$153)*AX$2</f>
        <v>0</v>
      </c>
      <c r="AY1573" s="88">
        <f>SUMIF(月間集計シート!$M$134:$M$153,$G1573,月間集計シート!T$134:T$153)*AY$2</f>
        <v>0</v>
      </c>
    </row>
    <row r="1574" spans="1:51" ht="14.25" thickBot="1">
      <c r="A1574">
        <v>19</v>
      </c>
      <c r="B1574" s="120">
        <f t="shared" si="888"/>
        <v>0</v>
      </c>
      <c r="C1574" s="120" t="str">
        <f t="shared" si="889"/>
        <v/>
      </c>
      <c r="D1574" s="137"/>
      <c r="E1574" s="150" t="str">
        <f>工種!A36</f>
        <v>40189</v>
      </c>
      <c r="F1574" s="119" t="str">
        <f>工種!B36</f>
        <v>テスト：内部不具合分析</v>
      </c>
      <c r="G1574" s="116" t="str">
        <f t="shared" si="890"/>
        <v>040189</v>
      </c>
      <c r="H1574" s="88">
        <f t="shared" si="844"/>
        <v>0</v>
      </c>
      <c r="I1574" s="132"/>
      <c r="J1574" s="88">
        <f>SUMIF(月間集計シート!$M$29:$M$48,$G1574,月間集計シート!N$29:N$48)*J$2</f>
        <v>0</v>
      </c>
      <c r="K1574" s="88">
        <f>SUMIF(月間集計シート!$M$29:$M$48,$G1574,月間集計シート!O$29:O$48)*K$2</f>
        <v>0</v>
      </c>
      <c r="L1574" s="88">
        <f>SUMIF(月間集計シート!$M$29:$M$48,$G1574,月間集計シート!P$29:P$48)*L$2</f>
        <v>0</v>
      </c>
      <c r="M1574" s="88">
        <f>SUMIF(月間集計シート!$M$29:$M$48,$G1574,月間集計シート!Q$29:Q$48)*M$2</f>
        <v>0</v>
      </c>
      <c r="N1574" s="88">
        <f>SUMIF(月間集計シート!$M$29:$M$48,$G1574,月間集計シート!R$29:R$48)*N$2</f>
        <v>0</v>
      </c>
      <c r="O1574" s="88">
        <f>SUMIF(月間集計シート!$M$29:$M$48,$G1574,月間集計シート!S$29:S$48)*O$2</f>
        <v>0</v>
      </c>
      <c r="P1574" s="88">
        <f>SUMIF(月間集計シート!$M$29:$M$48,$G1574,月間集計シート!T$29:T$48)*P$2</f>
        <v>0</v>
      </c>
      <c r="Q1574" s="88">
        <f>SUMIF(月間集計シート!$M$50:$M$69,$G1574,月間集計シート!N$50:N$69)*Q$2</f>
        <v>0</v>
      </c>
      <c r="R1574" s="88">
        <f>SUMIF(月間集計シート!$M$50:$M$69,$G1574,月間集計シート!O$50:O$69)*R$2</f>
        <v>0</v>
      </c>
      <c r="S1574" s="88">
        <f>SUMIF(月間集計シート!$M$50:$M$69,$G1574,月間集計シート!P$50:P$69)*S$2</f>
        <v>0</v>
      </c>
      <c r="T1574" s="88">
        <f>SUMIF(月間集計シート!$M$50:$M$69,$G1574,月間集計シート!Q$50:Q$69)*T$2</f>
        <v>0</v>
      </c>
      <c r="U1574" s="88">
        <f>SUMIF(月間集計シート!$M$50:$M$69,$G1574,月間集計シート!R$50:R$69)*U$2</f>
        <v>0</v>
      </c>
      <c r="V1574" s="88">
        <f>SUMIF(月間集計シート!$M$50:$M$69,$G1574,月間集計シート!S$50:S$69)*V$2</f>
        <v>0</v>
      </c>
      <c r="W1574" s="88">
        <f>SUMIF(月間集計シート!$M$50:$M$69,$G1574,月間集計シート!T$50:T$69)*W$2</f>
        <v>0</v>
      </c>
      <c r="X1574" s="88">
        <f>SUMIF(月間集計シート!$M$71:$M$90,$G1574,月間集計シート!N$71:N$90)*X$2</f>
        <v>0</v>
      </c>
      <c r="Y1574" s="88">
        <f>SUMIF(月間集計シート!$M$71:$M$90,$G1574,月間集計シート!O$71:O$90)*Y$2</f>
        <v>0</v>
      </c>
      <c r="Z1574" s="88">
        <f>SUMIF(月間集計シート!$M$71:$M$90,$G1574,月間集計シート!P$71:P$90)*Z$2</f>
        <v>0</v>
      </c>
      <c r="AA1574" s="88">
        <f>SUMIF(月間集計シート!$M$71:$M$90,$G1574,月間集計シート!Q$71:Q$90)*AA$2</f>
        <v>0</v>
      </c>
      <c r="AB1574" s="88">
        <f>SUMIF(月間集計シート!$M$71:$M$90,$G1574,月間集計シート!R$71:R$90)*AB$2</f>
        <v>0</v>
      </c>
      <c r="AC1574" s="88">
        <f>SUMIF(月間集計シート!$M$71:$M$90,$G1574,月間集計シート!S$71:S$90)*AC$2</f>
        <v>0</v>
      </c>
      <c r="AD1574" s="88">
        <f>SUMIF(月間集計シート!$M$71:$M$90,$G1574,月間集計シート!T$71:T$90)*AD$2</f>
        <v>0</v>
      </c>
      <c r="AE1574" s="88">
        <f>SUMIF(月間集計シート!$M$92:$M$111,$G1574,月間集計シート!N$92:N$111)*AE$2</f>
        <v>0</v>
      </c>
      <c r="AF1574" s="88">
        <f>SUMIF(月間集計シート!$M$92:$M$111,$G1574,月間集計シート!O$92:O$111)*AF$2</f>
        <v>0</v>
      </c>
      <c r="AG1574" s="88">
        <f>SUMIF(月間集計シート!$M$92:$M$111,$G1574,月間集計シート!P$92:P$111)*AG$2</f>
        <v>0</v>
      </c>
      <c r="AH1574" s="88">
        <f>SUMIF(月間集計シート!$M$92:$M$111,$G1574,月間集計シート!Q$92:Q$111)*AH$2</f>
        <v>0</v>
      </c>
      <c r="AI1574" s="88">
        <f>SUMIF(月間集計シート!$M$92:$M$111,$G1574,月間集計シート!R$92:R$111)*AI$2</f>
        <v>0</v>
      </c>
      <c r="AJ1574" s="88">
        <f>SUMIF(月間集計シート!$M$92:$M$111,$G1574,月間集計シート!S$92:S$111)*AJ$2</f>
        <v>0</v>
      </c>
      <c r="AK1574" s="88">
        <f>SUMIF(月間集計シート!$M$92:$M$111,$G1574,月間集計シート!T$92:T$111)*AK$2</f>
        <v>0</v>
      </c>
      <c r="AL1574" s="88">
        <f>SUMIF(月間集計シート!$M$113:$M$132,$G1574,月間集計シート!N$113:N$132)*AL$2</f>
        <v>0</v>
      </c>
      <c r="AM1574" s="88">
        <f>SUMIF(月間集計シート!$M$113:$M$132,$G1574,月間集計シート!O$113:O$132)*AM$2</f>
        <v>0</v>
      </c>
      <c r="AN1574" s="88">
        <f>SUMIF(月間集計シート!$M$113:$M$132,$G1574,月間集計シート!P$113:P$132)*AN$2</f>
        <v>0</v>
      </c>
      <c r="AO1574" s="88">
        <f>SUMIF(月間集計シート!$M$113:$M$132,$G1574,月間集計シート!Q$113:Q$132)*AO$2</f>
        <v>0</v>
      </c>
      <c r="AP1574" s="88">
        <f>SUMIF(月間集計シート!$M$113:$M$132,$G1574,月間集計シート!R$113:R$132)*AP$2</f>
        <v>0</v>
      </c>
      <c r="AQ1574" s="88">
        <f>SUMIF(月間集計シート!$M$113:$M$132,$G1574,月間集計シート!S$113:S$132)*AQ$2</f>
        <v>0</v>
      </c>
      <c r="AR1574" s="88">
        <f>SUMIF(月間集計シート!$M$113:$M$132,$G1574,月間集計シート!T$113:T$132)*AR$2</f>
        <v>0</v>
      </c>
      <c r="AS1574" s="88">
        <f>SUMIF(月間集計シート!$M$134:$M$153,$G1574,月間集計シート!N$134:N$153)*AS$2</f>
        <v>0</v>
      </c>
      <c r="AT1574" s="88">
        <f>SUMIF(月間集計シート!$M$134:$M$153,$G1574,月間集計シート!O$134:O$153)*AT$2</f>
        <v>0</v>
      </c>
      <c r="AU1574" s="88">
        <f>SUMIF(月間集計シート!$M$134:$M$153,$G1574,月間集計シート!P$134:P$153)*AU$2</f>
        <v>0</v>
      </c>
      <c r="AV1574" s="88">
        <f>SUMIF(月間集計シート!$M$134:$M$153,$G1574,月間集計シート!Q$134:Q$153)*AV$2</f>
        <v>0</v>
      </c>
      <c r="AW1574" s="88">
        <f>SUMIF(月間集計シート!$M$134:$M$153,$G1574,月間集計シート!R$134:R$153)*AW$2</f>
        <v>0</v>
      </c>
      <c r="AX1574" s="88">
        <f>SUMIF(月間集計シート!$M$134:$M$153,$G1574,月間集計シート!S$134:S$153)*AX$2</f>
        <v>0</v>
      </c>
      <c r="AY1574" s="88">
        <f>SUMIF(月間集計シート!$M$134:$M$153,$G1574,月間集計シート!T$134:T$153)*AY$2</f>
        <v>0</v>
      </c>
    </row>
    <row r="1575" spans="1:51" ht="14.25" thickBot="1">
      <c r="A1575">
        <v>19</v>
      </c>
      <c r="B1575" s="120">
        <f t="shared" si="888"/>
        <v>0</v>
      </c>
      <c r="C1575" s="120" t="str">
        <f t="shared" si="889"/>
        <v/>
      </c>
      <c r="D1575" s="137"/>
      <c r="E1575" s="150" t="str">
        <f>工種!A37</f>
        <v>40199</v>
      </c>
      <c r="F1575" s="119" t="str">
        <f>工種!B37</f>
        <v>テスト：その他</v>
      </c>
      <c r="G1575" s="116" t="str">
        <f t="shared" si="890"/>
        <v>040199</v>
      </c>
      <c r="H1575" s="88">
        <f t="shared" si="844"/>
        <v>0</v>
      </c>
      <c r="I1575" s="132"/>
      <c r="J1575" s="88">
        <f>SUMIF(月間集計シート!$M$29:$M$48,$G1575,月間集計シート!N$29:N$48)*J$2</f>
        <v>0</v>
      </c>
      <c r="K1575" s="88">
        <f>SUMIF(月間集計シート!$M$29:$M$48,$G1575,月間集計シート!O$29:O$48)*K$2</f>
        <v>0</v>
      </c>
      <c r="L1575" s="88">
        <f>SUMIF(月間集計シート!$M$29:$M$48,$G1575,月間集計シート!P$29:P$48)*L$2</f>
        <v>0</v>
      </c>
      <c r="M1575" s="88">
        <f>SUMIF(月間集計シート!$M$29:$M$48,$G1575,月間集計シート!Q$29:Q$48)*M$2</f>
        <v>0</v>
      </c>
      <c r="N1575" s="88">
        <f>SUMIF(月間集計シート!$M$29:$M$48,$G1575,月間集計シート!R$29:R$48)*N$2</f>
        <v>0</v>
      </c>
      <c r="O1575" s="88">
        <f>SUMIF(月間集計シート!$M$29:$M$48,$G1575,月間集計シート!S$29:S$48)*O$2</f>
        <v>0</v>
      </c>
      <c r="P1575" s="88">
        <f>SUMIF(月間集計シート!$M$29:$M$48,$G1575,月間集計シート!T$29:T$48)*P$2</f>
        <v>0</v>
      </c>
      <c r="Q1575" s="88">
        <f>SUMIF(月間集計シート!$M$50:$M$69,$G1575,月間集計シート!N$50:N$69)*Q$2</f>
        <v>0</v>
      </c>
      <c r="R1575" s="88">
        <f>SUMIF(月間集計シート!$M$50:$M$69,$G1575,月間集計シート!O$50:O$69)*R$2</f>
        <v>0</v>
      </c>
      <c r="S1575" s="88">
        <f>SUMIF(月間集計シート!$M$50:$M$69,$G1575,月間集計シート!P$50:P$69)*S$2</f>
        <v>0</v>
      </c>
      <c r="T1575" s="88">
        <f>SUMIF(月間集計シート!$M$50:$M$69,$G1575,月間集計シート!Q$50:Q$69)*T$2</f>
        <v>0</v>
      </c>
      <c r="U1575" s="88">
        <f>SUMIF(月間集計シート!$M$50:$M$69,$G1575,月間集計シート!R$50:R$69)*U$2</f>
        <v>0</v>
      </c>
      <c r="V1575" s="88">
        <f>SUMIF(月間集計シート!$M$50:$M$69,$G1575,月間集計シート!S$50:S$69)*V$2</f>
        <v>0</v>
      </c>
      <c r="W1575" s="88">
        <f>SUMIF(月間集計シート!$M$50:$M$69,$G1575,月間集計シート!T$50:T$69)*W$2</f>
        <v>0</v>
      </c>
      <c r="X1575" s="88">
        <f>SUMIF(月間集計シート!$M$71:$M$90,$G1575,月間集計シート!N$71:N$90)*X$2</f>
        <v>0</v>
      </c>
      <c r="Y1575" s="88">
        <f>SUMIF(月間集計シート!$M$71:$M$90,$G1575,月間集計シート!O$71:O$90)*Y$2</f>
        <v>0</v>
      </c>
      <c r="Z1575" s="88">
        <f>SUMIF(月間集計シート!$M$71:$M$90,$G1575,月間集計シート!P$71:P$90)*Z$2</f>
        <v>0</v>
      </c>
      <c r="AA1575" s="88">
        <f>SUMIF(月間集計シート!$M$71:$M$90,$G1575,月間集計シート!Q$71:Q$90)*AA$2</f>
        <v>0</v>
      </c>
      <c r="AB1575" s="88">
        <f>SUMIF(月間集計シート!$M$71:$M$90,$G1575,月間集計シート!R$71:R$90)*AB$2</f>
        <v>0</v>
      </c>
      <c r="AC1575" s="88">
        <f>SUMIF(月間集計シート!$M$71:$M$90,$G1575,月間集計シート!S$71:S$90)*AC$2</f>
        <v>0</v>
      </c>
      <c r="AD1575" s="88">
        <f>SUMIF(月間集計シート!$M$71:$M$90,$G1575,月間集計シート!T$71:T$90)*AD$2</f>
        <v>0</v>
      </c>
      <c r="AE1575" s="88">
        <f>SUMIF(月間集計シート!$M$92:$M$111,$G1575,月間集計シート!N$92:N$111)*AE$2</f>
        <v>0</v>
      </c>
      <c r="AF1575" s="88">
        <f>SUMIF(月間集計シート!$M$92:$M$111,$G1575,月間集計シート!O$92:O$111)*AF$2</f>
        <v>0</v>
      </c>
      <c r="AG1575" s="88">
        <f>SUMIF(月間集計シート!$M$92:$M$111,$G1575,月間集計シート!P$92:P$111)*AG$2</f>
        <v>0</v>
      </c>
      <c r="AH1575" s="88">
        <f>SUMIF(月間集計シート!$M$92:$M$111,$G1575,月間集計シート!Q$92:Q$111)*AH$2</f>
        <v>0</v>
      </c>
      <c r="AI1575" s="88">
        <f>SUMIF(月間集計シート!$M$92:$M$111,$G1575,月間集計シート!R$92:R$111)*AI$2</f>
        <v>0</v>
      </c>
      <c r="AJ1575" s="88">
        <f>SUMIF(月間集計シート!$M$92:$M$111,$G1575,月間集計シート!S$92:S$111)*AJ$2</f>
        <v>0</v>
      </c>
      <c r="AK1575" s="88">
        <f>SUMIF(月間集計シート!$M$92:$M$111,$G1575,月間集計シート!T$92:T$111)*AK$2</f>
        <v>0</v>
      </c>
      <c r="AL1575" s="88">
        <f>SUMIF(月間集計シート!$M$113:$M$132,$G1575,月間集計シート!N$113:N$132)*AL$2</f>
        <v>0</v>
      </c>
      <c r="AM1575" s="88">
        <f>SUMIF(月間集計シート!$M$113:$M$132,$G1575,月間集計シート!O$113:O$132)*AM$2</f>
        <v>0</v>
      </c>
      <c r="AN1575" s="88">
        <f>SUMIF(月間集計シート!$M$113:$M$132,$G1575,月間集計シート!P$113:P$132)*AN$2</f>
        <v>0</v>
      </c>
      <c r="AO1575" s="88">
        <f>SUMIF(月間集計シート!$M$113:$M$132,$G1575,月間集計シート!Q$113:Q$132)*AO$2</f>
        <v>0</v>
      </c>
      <c r="AP1575" s="88">
        <f>SUMIF(月間集計シート!$M$113:$M$132,$G1575,月間集計シート!R$113:R$132)*AP$2</f>
        <v>0</v>
      </c>
      <c r="AQ1575" s="88">
        <f>SUMIF(月間集計シート!$M$113:$M$132,$G1575,月間集計シート!S$113:S$132)*AQ$2</f>
        <v>0</v>
      </c>
      <c r="AR1575" s="88">
        <f>SUMIF(月間集計シート!$M$113:$M$132,$G1575,月間集計シート!T$113:T$132)*AR$2</f>
        <v>0</v>
      </c>
      <c r="AS1575" s="88">
        <f>SUMIF(月間集計シート!$M$134:$M$153,$G1575,月間集計シート!N$134:N$153)*AS$2</f>
        <v>0</v>
      </c>
      <c r="AT1575" s="88">
        <f>SUMIF(月間集計シート!$M$134:$M$153,$G1575,月間集計シート!O$134:O$153)*AT$2</f>
        <v>0</v>
      </c>
      <c r="AU1575" s="88">
        <f>SUMIF(月間集計シート!$M$134:$M$153,$G1575,月間集計シート!P$134:P$153)*AU$2</f>
        <v>0</v>
      </c>
      <c r="AV1575" s="88">
        <f>SUMIF(月間集計シート!$M$134:$M$153,$G1575,月間集計シート!Q$134:Q$153)*AV$2</f>
        <v>0</v>
      </c>
      <c r="AW1575" s="88">
        <f>SUMIF(月間集計シート!$M$134:$M$153,$G1575,月間集計シート!R$134:R$153)*AW$2</f>
        <v>0</v>
      </c>
      <c r="AX1575" s="88">
        <f>SUMIF(月間集計シート!$M$134:$M$153,$G1575,月間集計シート!S$134:S$153)*AX$2</f>
        <v>0</v>
      </c>
      <c r="AY1575" s="88">
        <f>SUMIF(月間集計シート!$M$134:$M$153,$G1575,月間集計シート!T$134:T$153)*AY$2</f>
        <v>0</v>
      </c>
    </row>
    <row r="1576" spans="1:51" ht="14.25" thickBot="1">
      <c r="A1576">
        <v>19</v>
      </c>
      <c r="B1576" s="120">
        <f t="shared" si="888"/>
        <v>0</v>
      </c>
      <c r="C1576" s="120" t="str">
        <f t="shared" si="889"/>
        <v/>
      </c>
      <c r="D1576" s="137"/>
      <c r="E1576" s="150" t="str">
        <f>工種!A38</f>
        <v>50101</v>
      </c>
      <c r="F1576" s="119" t="str">
        <f>工種!B38</f>
        <v>ﾏﾆｭｱﾙ作成：原稿作成</v>
      </c>
      <c r="G1576" s="116" t="str">
        <f t="shared" si="890"/>
        <v>050101</v>
      </c>
      <c r="H1576" s="88">
        <f t="shared" si="844"/>
        <v>0</v>
      </c>
      <c r="I1576" s="132"/>
      <c r="J1576" s="88">
        <f>SUMIF(月間集計シート!$M$29:$M$48,$G1576,月間集計シート!N$29:N$48)*J$2</f>
        <v>0</v>
      </c>
      <c r="K1576" s="88">
        <f>SUMIF(月間集計シート!$M$29:$M$48,$G1576,月間集計シート!O$29:O$48)*K$2</f>
        <v>0</v>
      </c>
      <c r="L1576" s="88">
        <f>SUMIF(月間集計シート!$M$29:$M$48,$G1576,月間集計シート!P$29:P$48)*L$2</f>
        <v>0</v>
      </c>
      <c r="M1576" s="88">
        <f>SUMIF(月間集計シート!$M$29:$M$48,$G1576,月間集計シート!Q$29:Q$48)*M$2</f>
        <v>0</v>
      </c>
      <c r="N1576" s="88">
        <f>SUMIF(月間集計シート!$M$29:$M$48,$G1576,月間集計シート!R$29:R$48)*N$2</f>
        <v>0</v>
      </c>
      <c r="O1576" s="88">
        <f>SUMIF(月間集計シート!$M$29:$M$48,$G1576,月間集計シート!S$29:S$48)*O$2</f>
        <v>0</v>
      </c>
      <c r="P1576" s="88">
        <f>SUMIF(月間集計シート!$M$29:$M$48,$G1576,月間集計シート!T$29:T$48)*P$2</f>
        <v>0</v>
      </c>
      <c r="Q1576" s="88">
        <f>SUMIF(月間集計シート!$M$50:$M$69,$G1576,月間集計シート!N$50:N$69)*Q$2</f>
        <v>0</v>
      </c>
      <c r="R1576" s="88">
        <f>SUMIF(月間集計シート!$M$50:$M$69,$G1576,月間集計シート!O$50:O$69)*R$2</f>
        <v>0</v>
      </c>
      <c r="S1576" s="88">
        <f>SUMIF(月間集計シート!$M$50:$M$69,$G1576,月間集計シート!P$50:P$69)*S$2</f>
        <v>0</v>
      </c>
      <c r="T1576" s="88">
        <f>SUMIF(月間集計シート!$M$50:$M$69,$G1576,月間集計シート!Q$50:Q$69)*T$2</f>
        <v>0</v>
      </c>
      <c r="U1576" s="88">
        <f>SUMIF(月間集計シート!$M$50:$M$69,$G1576,月間集計シート!R$50:R$69)*U$2</f>
        <v>0</v>
      </c>
      <c r="V1576" s="88">
        <f>SUMIF(月間集計シート!$M$50:$M$69,$G1576,月間集計シート!S$50:S$69)*V$2</f>
        <v>0</v>
      </c>
      <c r="W1576" s="88">
        <f>SUMIF(月間集計シート!$M$50:$M$69,$G1576,月間集計シート!T$50:T$69)*W$2</f>
        <v>0</v>
      </c>
      <c r="X1576" s="88">
        <f>SUMIF(月間集計シート!$M$71:$M$90,$G1576,月間集計シート!N$71:N$90)*X$2</f>
        <v>0</v>
      </c>
      <c r="Y1576" s="88">
        <f>SUMIF(月間集計シート!$M$71:$M$90,$G1576,月間集計シート!O$71:O$90)*Y$2</f>
        <v>0</v>
      </c>
      <c r="Z1576" s="88">
        <f>SUMIF(月間集計シート!$M$71:$M$90,$G1576,月間集計シート!P$71:P$90)*Z$2</f>
        <v>0</v>
      </c>
      <c r="AA1576" s="88">
        <f>SUMIF(月間集計シート!$M$71:$M$90,$G1576,月間集計シート!Q$71:Q$90)*AA$2</f>
        <v>0</v>
      </c>
      <c r="AB1576" s="88">
        <f>SUMIF(月間集計シート!$M$71:$M$90,$G1576,月間集計シート!R$71:R$90)*AB$2</f>
        <v>0</v>
      </c>
      <c r="AC1576" s="88">
        <f>SUMIF(月間集計シート!$M$71:$M$90,$G1576,月間集計シート!S$71:S$90)*AC$2</f>
        <v>0</v>
      </c>
      <c r="AD1576" s="88">
        <f>SUMIF(月間集計シート!$M$71:$M$90,$G1576,月間集計シート!T$71:T$90)*AD$2</f>
        <v>0</v>
      </c>
      <c r="AE1576" s="88">
        <f>SUMIF(月間集計シート!$M$92:$M$111,$G1576,月間集計シート!N$92:N$111)*AE$2</f>
        <v>0</v>
      </c>
      <c r="AF1576" s="88">
        <f>SUMIF(月間集計シート!$M$92:$M$111,$G1576,月間集計シート!O$92:O$111)*AF$2</f>
        <v>0</v>
      </c>
      <c r="AG1576" s="88">
        <f>SUMIF(月間集計シート!$M$92:$M$111,$G1576,月間集計シート!P$92:P$111)*AG$2</f>
        <v>0</v>
      </c>
      <c r="AH1576" s="88">
        <f>SUMIF(月間集計シート!$M$92:$M$111,$G1576,月間集計シート!Q$92:Q$111)*AH$2</f>
        <v>0</v>
      </c>
      <c r="AI1576" s="88">
        <f>SUMIF(月間集計シート!$M$92:$M$111,$G1576,月間集計シート!R$92:R$111)*AI$2</f>
        <v>0</v>
      </c>
      <c r="AJ1576" s="88">
        <f>SUMIF(月間集計シート!$M$92:$M$111,$G1576,月間集計シート!S$92:S$111)*AJ$2</f>
        <v>0</v>
      </c>
      <c r="AK1576" s="88">
        <f>SUMIF(月間集計シート!$M$92:$M$111,$G1576,月間集計シート!T$92:T$111)*AK$2</f>
        <v>0</v>
      </c>
      <c r="AL1576" s="88">
        <f>SUMIF(月間集計シート!$M$113:$M$132,$G1576,月間集計シート!N$113:N$132)*AL$2</f>
        <v>0</v>
      </c>
      <c r="AM1576" s="88">
        <f>SUMIF(月間集計シート!$M$113:$M$132,$G1576,月間集計シート!O$113:O$132)*AM$2</f>
        <v>0</v>
      </c>
      <c r="AN1576" s="88">
        <f>SUMIF(月間集計シート!$M$113:$M$132,$G1576,月間集計シート!P$113:P$132)*AN$2</f>
        <v>0</v>
      </c>
      <c r="AO1576" s="88">
        <f>SUMIF(月間集計シート!$M$113:$M$132,$G1576,月間集計シート!Q$113:Q$132)*AO$2</f>
        <v>0</v>
      </c>
      <c r="AP1576" s="88">
        <f>SUMIF(月間集計シート!$M$113:$M$132,$G1576,月間集計シート!R$113:R$132)*AP$2</f>
        <v>0</v>
      </c>
      <c r="AQ1576" s="88">
        <f>SUMIF(月間集計シート!$M$113:$M$132,$G1576,月間集計シート!S$113:S$132)*AQ$2</f>
        <v>0</v>
      </c>
      <c r="AR1576" s="88">
        <f>SUMIF(月間集計シート!$M$113:$M$132,$G1576,月間集計シート!T$113:T$132)*AR$2</f>
        <v>0</v>
      </c>
      <c r="AS1576" s="88">
        <f>SUMIF(月間集計シート!$M$134:$M$153,$G1576,月間集計シート!N$134:N$153)*AS$2</f>
        <v>0</v>
      </c>
      <c r="AT1576" s="88">
        <f>SUMIF(月間集計シート!$M$134:$M$153,$G1576,月間集計シート!O$134:O$153)*AT$2</f>
        <v>0</v>
      </c>
      <c r="AU1576" s="88">
        <f>SUMIF(月間集計シート!$M$134:$M$153,$G1576,月間集計シート!P$134:P$153)*AU$2</f>
        <v>0</v>
      </c>
      <c r="AV1576" s="88">
        <f>SUMIF(月間集計シート!$M$134:$M$153,$G1576,月間集計シート!Q$134:Q$153)*AV$2</f>
        <v>0</v>
      </c>
      <c r="AW1576" s="88">
        <f>SUMIF(月間集計シート!$M$134:$M$153,$G1576,月間集計シート!R$134:R$153)*AW$2</f>
        <v>0</v>
      </c>
      <c r="AX1576" s="88">
        <f>SUMIF(月間集計シート!$M$134:$M$153,$G1576,月間集計シート!S$134:S$153)*AX$2</f>
        <v>0</v>
      </c>
      <c r="AY1576" s="88">
        <f>SUMIF(月間集計シート!$M$134:$M$153,$G1576,月間集計シート!T$134:T$153)*AY$2</f>
        <v>0</v>
      </c>
    </row>
    <row r="1577" spans="1:51" ht="14.25" thickBot="1">
      <c r="A1577">
        <v>19</v>
      </c>
      <c r="B1577" s="120">
        <f t="shared" si="888"/>
        <v>0</v>
      </c>
      <c r="C1577" s="120" t="str">
        <f t="shared" si="889"/>
        <v/>
      </c>
      <c r="D1577" s="137"/>
      <c r="E1577" s="150" t="str">
        <f>工種!A39</f>
        <v>50105</v>
      </c>
      <c r="F1577" s="119" t="str">
        <f>工種!B39</f>
        <v>ﾏﾆｭｱﾙ作成：打合せ</v>
      </c>
      <c r="G1577" s="116" t="str">
        <f t="shared" si="890"/>
        <v>050105</v>
      </c>
      <c r="H1577" s="88">
        <f t="shared" si="844"/>
        <v>0</v>
      </c>
      <c r="I1577" s="132"/>
      <c r="J1577" s="88">
        <f>SUMIF(月間集計シート!$M$29:$M$48,$G1577,月間集計シート!N$29:N$48)*J$2</f>
        <v>0</v>
      </c>
      <c r="K1577" s="88">
        <f>SUMIF(月間集計シート!$M$29:$M$48,$G1577,月間集計シート!O$29:O$48)*K$2</f>
        <v>0</v>
      </c>
      <c r="L1577" s="88">
        <f>SUMIF(月間集計シート!$M$29:$M$48,$G1577,月間集計シート!P$29:P$48)*L$2</f>
        <v>0</v>
      </c>
      <c r="M1577" s="88">
        <f>SUMIF(月間集計シート!$M$29:$M$48,$G1577,月間集計シート!Q$29:Q$48)*M$2</f>
        <v>0</v>
      </c>
      <c r="N1577" s="88">
        <f>SUMIF(月間集計シート!$M$29:$M$48,$G1577,月間集計シート!R$29:R$48)*N$2</f>
        <v>0</v>
      </c>
      <c r="O1577" s="88">
        <f>SUMIF(月間集計シート!$M$29:$M$48,$G1577,月間集計シート!S$29:S$48)*O$2</f>
        <v>0</v>
      </c>
      <c r="P1577" s="88">
        <f>SUMIF(月間集計シート!$M$29:$M$48,$G1577,月間集計シート!T$29:T$48)*P$2</f>
        <v>0</v>
      </c>
      <c r="Q1577" s="88">
        <f>SUMIF(月間集計シート!$M$50:$M$69,$G1577,月間集計シート!N$50:N$69)*Q$2</f>
        <v>0</v>
      </c>
      <c r="R1577" s="88">
        <f>SUMIF(月間集計シート!$M$50:$M$69,$G1577,月間集計シート!O$50:O$69)*R$2</f>
        <v>0</v>
      </c>
      <c r="S1577" s="88">
        <f>SUMIF(月間集計シート!$M$50:$M$69,$G1577,月間集計シート!P$50:P$69)*S$2</f>
        <v>0</v>
      </c>
      <c r="T1577" s="88">
        <f>SUMIF(月間集計シート!$M$50:$M$69,$G1577,月間集計シート!Q$50:Q$69)*T$2</f>
        <v>0</v>
      </c>
      <c r="U1577" s="88">
        <f>SUMIF(月間集計シート!$M$50:$M$69,$G1577,月間集計シート!R$50:R$69)*U$2</f>
        <v>0</v>
      </c>
      <c r="V1577" s="88">
        <f>SUMIF(月間集計シート!$M$50:$M$69,$G1577,月間集計シート!S$50:S$69)*V$2</f>
        <v>0</v>
      </c>
      <c r="W1577" s="88">
        <f>SUMIF(月間集計シート!$M$50:$M$69,$G1577,月間集計シート!T$50:T$69)*W$2</f>
        <v>0</v>
      </c>
      <c r="X1577" s="88">
        <f>SUMIF(月間集計シート!$M$71:$M$90,$G1577,月間集計シート!N$71:N$90)*X$2</f>
        <v>0</v>
      </c>
      <c r="Y1577" s="88">
        <f>SUMIF(月間集計シート!$M$71:$M$90,$G1577,月間集計シート!O$71:O$90)*Y$2</f>
        <v>0</v>
      </c>
      <c r="Z1577" s="88">
        <f>SUMIF(月間集計シート!$M$71:$M$90,$G1577,月間集計シート!P$71:P$90)*Z$2</f>
        <v>0</v>
      </c>
      <c r="AA1577" s="88">
        <f>SUMIF(月間集計シート!$M$71:$M$90,$G1577,月間集計シート!Q$71:Q$90)*AA$2</f>
        <v>0</v>
      </c>
      <c r="AB1577" s="88">
        <f>SUMIF(月間集計シート!$M$71:$M$90,$G1577,月間集計シート!R$71:R$90)*AB$2</f>
        <v>0</v>
      </c>
      <c r="AC1577" s="88">
        <f>SUMIF(月間集計シート!$M$71:$M$90,$G1577,月間集計シート!S$71:S$90)*AC$2</f>
        <v>0</v>
      </c>
      <c r="AD1577" s="88">
        <f>SUMIF(月間集計シート!$M$71:$M$90,$G1577,月間集計シート!T$71:T$90)*AD$2</f>
        <v>0</v>
      </c>
      <c r="AE1577" s="88">
        <f>SUMIF(月間集計シート!$M$92:$M$111,$G1577,月間集計シート!N$92:N$111)*AE$2</f>
        <v>0</v>
      </c>
      <c r="AF1577" s="88">
        <f>SUMIF(月間集計シート!$M$92:$M$111,$G1577,月間集計シート!O$92:O$111)*AF$2</f>
        <v>0</v>
      </c>
      <c r="AG1577" s="88">
        <f>SUMIF(月間集計シート!$M$92:$M$111,$G1577,月間集計シート!P$92:P$111)*AG$2</f>
        <v>0</v>
      </c>
      <c r="AH1577" s="88">
        <f>SUMIF(月間集計シート!$M$92:$M$111,$G1577,月間集計シート!Q$92:Q$111)*AH$2</f>
        <v>0</v>
      </c>
      <c r="AI1577" s="88">
        <f>SUMIF(月間集計シート!$M$92:$M$111,$G1577,月間集計シート!R$92:R$111)*AI$2</f>
        <v>0</v>
      </c>
      <c r="AJ1577" s="88">
        <f>SUMIF(月間集計シート!$M$92:$M$111,$G1577,月間集計シート!S$92:S$111)*AJ$2</f>
        <v>0</v>
      </c>
      <c r="AK1577" s="88">
        <f>SUMIF(月間集計シート!$M$92:$M$111,$G1577,月間集計シート!T$92:T$111)*AK$2</f>
        <v>0</v>
      </c>
      <c r="AL1577" s="88">
        <f>SUMIF(月間集計シート!$M$113:$M$132,$G1577,月間集計シート!N$113:N$132)*AL$2</f>
        <v>0</v>
      </c>
      <c r="AM1577" s="88">
        <f>SUMIF(月間集計シート!$M$113:$M$132,$G1577,月間集計シート!O$113:O$132)*AM$2</f>
        <v>0</v>
      </c>
      <c r="AN1577" s="88">
        <f>SUMIF(月間集計シート!$M$113:$M$132,$G1577,月間集計シート!P$113:P$132)*AN$2</f>
        <v>0</v>
      </c>
      <c r="AO1577" s="88">
        <f>SUMIF(月間集計シート!$M$113:$M$132,$G1577,月間集計シート!Q$113:Q$132)*AO$2</f>
        <v>0</v>
      </c>
      <c r="AP1577" s="88">
        <f>SUMIF(月間集計シート!$M$113:$M$132,$G1577,月間集計シート!R$113:R$132)*AP$2</f>
        <v>0</v>
      </c>
      <c r="AQ1577" s="88">
        <f>SUMIF(月間集計シート!$M$113:$M$132,$G1577,月間集計シート!S$113:S$132)*AQ$2</f>
        <v>0</v>
      </c>
      <c r="AR1577" s="88">
        <f>SUMIF(月間集計シート!$M$113:$M$132,$G1577,月間集計シート!T$113:T$132)*AR$2</f>
        <v>0</v>
      </c>
      <c r="AS1577" s="88">
        <f>SUMIF(月間集計シート!$M$134:$M$153,$G1577,月間集計シート!N$134:N$153)*AS$2</f>
        <v>0</v>
      </c>
      <c r="AT1577" s="88">
        <f>SUMIF(月間集計シート!$M$134:$M$153,$G1577,月間集計シート!O$134:O$153)*AT$2</f>
        <v>0</v>
      </c>
      <c r="AU1577" s="88">
        <f>SUMIF(月間集計シート!$M$134:$M$153,$G1577,月間集計シート!P$134:P$153)*AU$2</f>
        <v>0</v>
      </c>
      <c r="AV1577" s="88">
        <f>SUMIF(月間集計シート!$M$134:$M$153,$G1577,月間集計シート!Q$134:Q$153)*AV$2</f>
        <v>0</v>
      </c>
      <c r="AW1577" s="88">
        <f>SUMIF(月間集計シート!$M$134:$M$153,$G1577,月間集計シート!R$134:R$153)*AW$2</f>
        <v>0</v>
      </c>
      <c r="AX1577" s="88">
        <f>SUMIF(月間集計シート!$M$134:$M$153,$G1577,月間集計シート!S$134:S$153)*AX$2</f>
        <v>0</v>
      </c>
      <c r="AY1577" s="88">
        <f>SUMIF(月間集計シート!$M$134:$M$153,$G1577,月間集計シート!T$134:T$153)*AY$2</f>
        <v>0</v>
      </c>
    </row>
    <row r="1578" spans="1:51" ht="14.25" thickBot="1">
      <c r="A1578">
        <v>19</v>
      </c>
      <c r="B1578" s="120">
        <f t="shared" si="888"/>
        <v>0</v>
      </c>
      <c r="C1578" s="120" t="str">
        <f t="shared" si="889"/>
        <v/>
      </c>
      <c r="D1578" s="137"/>
      <c r="E1578" s="150" t="str">
        <f>工種!A40</f>
        <v>50106</v>
      </c>
      <c r="F1578" s="119" t="str">
        <f>工種!B40</f>
        <v>ﾏﾆｭｱﾙ作成：ﾚﾋﾞｭｰ</v>
      </c>
      <c r="G1578" s="116" t="str">
        <f t="shared" si="890"/>
        <v>050106</v>
      </c>
      <c r="H1578" s="88">
        <f t="shared" si="844"/>
        <v>0</v>
      </c>
      <c r="I1578" s="132"/>
      <c r="J1578" s="88">
        <f>SUMIF(月間集計シート!$M$29:$M$48,$G1578,月間集計シート!N$29:N$48)*J$2</f>
        <v>0</v>
      </c>
      <c r="K1578" s="88">
        <f>SUMIF(月間集計シート!$M$29:$M$48,$G1578,月間集計シート!O$29:O$48)*K$2</f>
        <v>0</v>
      </c>
      <c r="L1578" s="88">
        <f>SUMIF(月間集計シート!$M$29:$M$48,$G1578,月間集計シート!P$29:P$48)*L$2</f>
        <v>0</v>
      </c>
      <c r="M1578" s="88">
        <f>SUMIF(月間集計シート!$M$29:$M$48,$G1578,月間集計シート!Q$29:Q$48)*M$2</f>
        <v>0</v>
      </c>
      <c r="N1578" s="88">
        <f>SUMIF(月間集計シート!$M$29:$M$48,$G1578,月間集計シート!R$29:R$48)*N$2</f>
        <v>0</v>
      </c>
      <c r="O1578" s="88">
        <f>SUMIF(月間集計シート!$M$29:$M$48,$G1578,月間集計シート!S$29:S$48)*O$2</f>
        <v>0</v>
      </c>
      <c r="P1578" s="88">
        <f>SUMIF(月間集計シート!$M$29:$M$48,$G1578,月間集計シート!T$29:T$48)*P$2</f>
        <v>0</v>
      </c>
      <c r="Q1578" s="88">
        <f>SUMIF(月間集計シート!$M$50:$M$69,$G1578,月間集計シート!N$50:N$69)*Q$2</f>
        <v>0</v>
      </c>
      <c r="R1578" s="88">
        <f>SUMIF(月間集計シート!$M$50:$M$69,$G1578,月間集計シート!O$50:O$69)*R$2</f>
        <v>0</v>
      </c>
      <c r="S1578" s="88">
        <f>SUMIF(月間集計シート!$M$50:$M$69,$G1578,月間集計シート!P$50:P$69)*S$2</f>
        <v>0</v>
      </c>
      <c r="T1578" s="88">
        <f>SUMIF(月間集計シート!$M$50:$M$69,$G1578,月間集計シート!Q$50:Q$69)*T$2</f>
        <v>0</v>
      </c>
      <c r="U1578" s="88">
        <f>SUMIF(月間集計シート!$M$50:$M$69,$G1578,月間集計シート!R$50:R$69)*U$2</f>
        <v>0</v>
      </c>
      <c r="V1578" s="88">
        <f>SUMIF(月間集計シート!$M$50:$M$69,$G1578,月間集計シート!S$50:S$69)*V$2</f>
        <v>0</v>
      </c>
      <c r="W1578" s="88">
        <f>SUMIF(月間集計シート!$M$50:$M$69,$G1578,月間集計シート!T$50:T$69)*W$2</f>
        <v>0</v>
      </c>
      <c r="X1578" s="88">
        <f>SUMIF(月間集計シート!$M$71:$M$90,$G1578,月間集計シート!N$71:N$90)*X$2</f>
        <v>0</v>
      </c>
      <c r="Y1578" s="88">
        <f>SUMIF(月間集計シート!$M$71:$M$90,$G1578,月間集計シート!O$71:O$90)*Y$2</f>
        <v>0</v>
      </c>
      <c r="Z1578" s="88">
        <f>SUMIF(月間集計シート!$M$71:$M$90,$G1578,月間集計シート!P$71:P$90)*Z$2</f>
        <v>0</v>
      </c>
      <c r="AA1578" s="88">
        <f>SUMIF(月間集計シート!$M$71:$M$90,$G1578,月間集計シート!Q$71:Q$90)*AA$2</f>
        <v>0</v>
      </c>
      <c r="AB1578" s="88">
        <f>SUMIF(月間集計シート!$M$71:$M$90,$G1578,月間集計シート!R$71:R$90)*AB$2</f>
        <v>0</v>
      </c>
      <c r="AC1578" s="88">
        <f>SUMIF(月間集計シート!$M$71:$M$90,$G1578,月間集計シート!S$71:S$90)*AC$2</f>
        <v>0</v>
      </c>
      <c r="AD1578" s="88">
        <f>SUMIF(月間集計シート!$M$71:$M$90,$G1578,月間集計シート!T$71:T$90)*AD$2</f>
        <v>0</v>
      </c>
      <c r="AE1578" s="88">
        <f>SUMIF(月間集計シート!$M$92:$M$111,$G1578,月間集計シート!N$92:N$111)*AE$2</f>
        <v>0</v>
      </c>
      <c r="AF1578" s="88">
        <f>SUMIF(月間集計シート!$M$92:$M$111,$G1578,月間集計シート!O$92:O$111)*AF$2</f>
        <v>0</v>
      </c>
      <c r="AG1578" s="88">
        <f>SUMIF(月間集計シート!$M$92:$M$111,$G1578,月間集計シート!P$92:P$111)*AG$2</f>
        <v>0</v>
      </c>
      <c r="AH1578" s="88">
        <f>SUMIF(月間集計シート!$M$92:$M$111,$G1578,月間集計シート!Q$92:Q$111)*AH$2</f>
        <v>0</v>
      </c>
      <c r="AI1578" s="88">
        <f>SUMIF(月間集計シート!$M$92:$M$111,$G1578,月間集計シート!R$92:R$111)*AI$2</f>
        <v>0</v>
      </c>
      <c r="AJ1578" s="88">
        <f>SUMIF(月間集計シート!$M$92:$M$111,$G1578,月間集計シート!S$92:S$111)*AJ$2</f>
        <v>0</v>
      </c>
      <c r="AK1578" s="88">
        <f>SUMIF(月間集計シート!$M$92:$M$111,$G1578,月間集計シート!T$92:T$111)*AK$2</f>
        <v>0</v>
      </c>
      <c r="AL1578" s="88">
        <f>SUMIF(月間集計シート!$M$113:$M$132,$G1578,月間集計シート!N$113:N$132)*AL$2</f>
        <v>0</v>
      </c>
      <c r="AM1578" s="88">
        <f>SUMIF(月間集計シート!$M$113:$M$132,$G1578,月間集計シート!O$113:O$132)*AM$2</f>
        <v>0</v>
      </c>
      <c r="AN1578" s="88">
        <f>SUMIF(月間集計シート!$M$113:$M$132,$G1578,月間集計シート!P$113:P$132)*AN$2</f>
        <v>0</v>
      </c>
      <c r="AO1578" s="88">
        <f>SUMIF(月間集計シート!$M$113:$M$132,$G1578,月間集計シート!Q$113:Q$132)*AO$2</f>
        <v>0</v>
      </c>
      <c r="AP1578" s="88">
        <f>SUMIF(月間集計シート!$M$113:$M$132,$G1578,月間集計シート!R$113:R$132)*AP$2</f>
        <v>0</v>
      </c>
      <c r="AQ1578" s="88">
        <f>SUMIF(月間集計シート!$M$113:$M$132,$G1578,月間集計シート!S$113:S$132)*AQ$2</f>
        <v>0</v>
      </c>
      <c r="AR1578" s="88">
        <f>SUMIF(月間集計シート!$M$113:$M$132,$G1578,月間集計シート!T$113:T$132)*AR$2</f>
        <v>0</v>
      </c>
      <c r="AS1578" s="88">
        <f>SUMIF(月間集計シート!$M$134:$M$153,$G1578,月間集計シート!N$134:N$153)*AS$2</f>
        <v>0</v>
      </c>
      <c r="AT1578" s="88">
        <f>SUMIF(月間集計シート!$M$134:$M$153,$G1578,月間集計シート!O$134:O$153)*AT$2</f>
        <v>0</v>
      </c>
      <c r="AU1578" s="88">
        <f>SUMIF(月間集計シート!$M$134:$M$153,$G1578,月間集計シート!P$134:P$153)*AU$2</f>
        <v>0</v>
      </c>
      <c r="AV1578" s="88">
        <f>SUMIF(月間集計シート!$M$134:$M$153,$G1578,月間集計シート!Q$134:Q$153)*AV$2</f>
        <v>0</v>
      </c>
      <c r="AW1578" s="88">
        <f>SUMIF(月間集計シート!$M$134:$M$153,$G1578,月間集計シート!R$134:R$153)*AW$2</f>
        <v>0</v>
      </c>
      <c r="AX1578" s="88">
        <f>SUMIF(月間集計シート!$M$134:$M$153,$G1578,月間集計シート!S$134:S$153)*AX$2</f>
        <v>0</v>
      </c>
      <c r="AY1578" s="88">
        <f>SUMIF(月間集計シート!$M$134:$M$153,$G1578,月間集計シート!T$134:T$153)*AY$2</f>
        <v>0</v>
      </c>
    </row>
    <row r="1579" spans="1:51" ht="14.25" thickBot="1">
      <c r="A1579">
        <v>19</v>
      </c>
      <c r="B1579" s="120">
        <f t="shared" si="888"/>
        <v>0</v>
      </c>
      <c r="C1579" s="120" t="str">
        <f t="shared" si="889"/>
        <v/>
      </c>
      <c r="D1579" s="137"/>
      <c r="E1579" s="150" t="str">
        <f>工種!A41</f>
        <v>50199</v>
      </c>
      <c r="F1579" s="119" t="str">
        <f>工種!B41</f>
        <v>ﾏﾆｭｱﾙ作成：その他</v>
      </c>
      <c r="G1579" s="116" t="str">
        <f t="shared" si="890"/>
        <v>050199</v>
      </c>
      <c r="H1579" s="88">
        <f t="shared" si="844"/>
        <v>0</v>
      </c>
      <c r="I1579" s="132"/>
      <c r="J1579" s="88">
        <f>SUMIF(月間集計シート!$M$29:$M$48,$G1579,月間集計シート!N$29:N$48)*J$2</f>
        <v>0</v>
      </c>
      <c r="K1579" s="88">
        <f>SUMIF(月間集計シート!$M$29:$M$48,$G1579,月間集計シート!O$29:O$48)*K$2</f>
        <v>0</v>
      </c>
      <c r="L1579" s="88">
        <f>SUMIF(月間集計シート!$M$29:$M$48,$G1579,月間集計シート!P$29:P$48)*L$2</f>
        <v>0</v>
      </c>
      <c r="M1579" s="88">
        <f>SUMIF(月間集計シート!$M$29:$M$48,$G1579,月間集計シート!Q$29:Q$48)*M$2</f>
        <v>0</v>
      </c>
      <c r="N1579" s="88">
        <f>SUMIF(月間集計シート!$M$29:$M$48,$G1579,月間集計シート!R$29:R$48)*N$2</f>
        <v>0</v>
      </c>
      <c r="O1579" s="88">
        <f>SUMIF(月間集計シート!$M$29:$M$48,$G1579,月間集計シート!S$29:S$48)*O$2</f>
        <v>0</v>
      </c>
      <c r="P1579" s="88">
        <f>SUMIF(月間集計シート!$M$29:$M$48,$G1579,月間集計シート!T$29:T$48)*P$2</f>
        <v>0</v>
      </c>
      <c r="Q1579" s="88">
        <f>SUMIF(月間集計シート!$M$50:$M$69,$G1579,月間集計シート!N$50:N$69)*Q$2</f>
        <v>0</v>
      </c>
      <c r="R1579" s="88">
        <f>SUMIF(月間集計シート!$M$50:$M$69,$G1579,月間集計シート!O$50:O$69)*R$2</f>
        <v>0</v>
      </c>
      <c r="S1579" s="88">
        <f>SUMIF(月間集計シート!$M$50:$M$69,$G1579,月間集計シート!P$50:P$69)*S$2</f>
        <v>0</v>
      </c>
      <c r="T1579" s="88">
        <f>SUMIF(月間集計シート!$M$50:$M$69,$G1579,月間集計シート!Q$50:Q$69)*T$2</f>
        <v>0</v>
      </c>
      <c r="U1579" s="88">
        <f>SUMIF(月間集計シート!$M$50:$M$69,$G1579,月間集計シート!R$50:R$69)*U$2</f>
        <v>0</v>
      </c>
      <c r="V1579" s="88">
        <f>SUMIF(月間集計シート!$M$50:$M$69,$G1579,月間集計シート!S$50:S$69)*V$2</f>
        <v>0</v>
      </c>
      <c r="W1579" s="88">
        <f>SUMIF(月間集計シート!$M$50:$M$69,$G1579,月間集計シート!T$50:T$69)*W$2</f>
        <v>0</v>
      </c>
      <c r="X1579" s="88">
        <f>SUMIF(月間集計シート!$M$71:$M$90,$G1579,月間集計シート!N$71:N$90)*X$2</f>
        <v>0</v>
      </c>
      <c r="Y1579" s="88">
        <f>SUMIF(月間集計シート!$M$71:$M$90,$G1579,月間集計シート!O$71:O$90)*Y$2</f>
        <v>0</v>
      </c>
      <c r="Z1579" s="88">
        <f>SUMIF(月間集計シート!$M$71:$M$90,$G1579,月間集計シート!P$71:P$90)*Z$2</f>
        <v>0</v>
      </c>
      <c r="AA1579" s="88">
        <f>SUMIF(月間集計シート!$M$71:$M$90,$G1579,月間集計シート!Q$71:Q$90)*AA$2</f>
        <v>0</v>
      </c>
      <c r="AB1579" s="88">
        <f>SUMIF(月間集計シート!$M$71:$M$90,$G1579,月間集計シート!R$71:R$90)*AB$2</f>
        <v>0</v>
      </c>
      <c r="AC1579" s="88">
        <f>SUMIF(月間集計シート!$M$71:$M$90,$G1579,月間集計シート!S$71:S$90)*AC$2</f>
        <v>0</v>
      </c>
      <c r="AD1579" s="88">
        <f>SUMIF(月間集計シート!$M$71:$M$90,$G1579,月間集計シート!T$71:T$90)*AD$2</f>
        <v>0</v>
      </c>
      <c r="AE1579" s="88">
        <f>SUMIF(月間集計シート!$M$92:$M$111,$G1579,月間集計シート!N$92:N$111)*AE$2</f>
        <v>0</v>
      </c>
      <c r="AF1579" s="88">
        <f>SUMIF(月間集計シート!$M$92:$M$111,$G1579,月間集計シート!O$92:O$111)*AF$2</f>
        <v>0</v>
      </c>
      <c r="AG1579" s="88">
        <f>SUMIF(月間集計シート!$M$92:$M$111,$G1579,月間集計シート!P$92:P$111)*AG$2</f>
        <v>0</v>
      </c>
      <c r="AH1579" s="88">
        <f>SUMIF(月間集計シート!$M$92:$M$111,$G1579,月間集計シート!Q$92:Q$111)*AH$2</f>
        <v>0</v>
      </c>
      <c r="AI1579" s="88">
        <f>SUMIF(月間集計シート!$M$92:$M$111,$G1579,月間集計シート!R$92:R$111)*AI$2</f>
        <v>0</v>
      </c>
      <c r="AJ1579" s="88">
        <f>SUMIF(月間集計シート!$M$92:$M$111,$G1579,月間集計シート!S$92:S$111)*AJ$2</f>
        <v>0</v>
      </c>
      <c r="AK1579" s="88">
        <f>SUMIF(月間集計シート!$M$92:$M$111,$G1579,月間集計シート!T$92:T$111)*AK$2</f>
        <v>0</v>
      </c>
      <c r="AL1579" s="88">
        <f>SUMIF(月間集計シート!$M$113:$M$132,$G1579,月間集計シート!N$113:N$132)*AL$2</f>
        <v>0</v>
      </c>
      <c r="AM1579" s="88">
        <f>SUMIF(月間集計シート!$M$113:$M$132,$G1579,月間集計シート!O$113:O$132)*AM$2</f>
        <v>0</v>
      </c>
      <c r="AN1579" s="88">
        <f>SUMIF(月間集計シート!$M$113:$M$132,$G1579,月間集計シート!P$113:P$132)*AN$2</f>
        <v>0</v>
      </c>
      <c r="AO1579" s="88">
        <f>SUMIF(月間集計シート!$M$113:$M$132,$G1579,月間集計シート!Q$113:Q$132)*AO$2</f>
        <v>0</v>
      </c>
      <c r="AP1579" s="88">
        <f>SUMIF(月間集計シート!$M$113:$M$132,$G1579,月間集計シート!R$113:R$132)*AP$2</f>
        <v>0</v>
      </c>
      <c r="AQ1579" s="88">
        <f>SUMIF(月間集計シート!$M$113:$M$132,$G1579,月間集計シート!S$113:S$132)*AQ$2</f>
        <v>0</v>
      </c>
      <c r="AR1579" s="88">
        <f>SUMIF(月間集計シート!$M$113:$M$132,$G1579,月間集計シート!T$113:T$132)*AR$2</f>
        <v>0</v>
      </c>
      <c r="AS1579" s="88">
        <f>SUMIF(月間集計シート!$M$134:$M$153,$G1579,月間集計シート!N$134:N$153)*AS$2</f>
        <v>0</v>
      </c>
      <c r="AT1579" s="88">
        <f>SUMIF(月間集計シート!$M$134:$M$153,$G1579,月間集計シート!O$134:O$153)*AT$2</f>
        <v>0</v>
      </c>
      <c r="AU1579" s="88">
        <f>SUMIF(月間集計シート!$M$134:$M$153,$G1579,月間集計シート!P$134:P$153)*AU$2</f>
        <v>0</v>
      </c>
      <c r="AV1579" s="88">
        <f>SUMIF(月間集計シート!$M$134:$M$153,$G1579,月間集計シート!Q$134:Q$153)*AV$2</f>
        <v>0</v>
      </c>
      <c r="AW1579" s="88">
        <f>SUMIF(月間集計シート!$M$134:$M$153,$G1579,月間集計シート!R$134:R$153)*AW$2</f>
        <v>0</v>
      </c>
      <c r="AX1579" s="88">
        <f>SUMIF(月間集計シート!$M$134:$M$153,$G1579,月間集計シート!S$134:S$153)*AX$2</f>
        <v>0</v>
      </c>
      <c r="AY1579" s="88">
        <f>SUMIF(月間集計シート!$M$134:$M$153,$G1579,月間集計シート!T$134:T$153)*AY$2</f>
        <v>0</v>
      </c>
    </row>
    <row r="1580" spans="1:51" ht="14.25" thickBot="1">
      <c r="A1580">
        <v>19</v>
      </c>
      <c r="B1580" s="120">
        <f t="shared" si="888"/>
        <v>0</v>
      </c>
      <c r="C1580" s="120" t="str">
        <f t="shared" si="889"/>
        <v/>
      </c>
      <c r="D1580" s="137"/>
      <c r="E1580" s="150" t="str">
        <f>工種!A42</f>
        <v>60101</v>
      </c>
      <c r="F1580" s="119" t="str">
        <f>工種!B42</f>
        <v>ﾘﾘｰｽ：ﾘﾘｰｽ・ﾃﾞﾘﾊﾞﾘ作業</v>
      </c>
      <c r="G1580" s="116" t="str">
        <f t="shared" si="890"/>
        <v>060101</v>
      </c>
      <c r="H1580" s="88">
        <f t="shared" si="844"/>
        <v>0</v>
      </c>
      <c r="I1580" s="132"/>
      <c r="J1580" s="88">
        <f>SUMIF(月間集計シート!$M$29:$M$48,$G1580,月間集計シート!N$29:N$48)*J$2</f>
        <v>0</v>
      </c>
      <c r="K1580" s="88">
        <f>SUMIF(月間集計シート!$M$29:$M$48,$G1580,月間集計シート!O$29:O$48)*K$2</f>
        <v>0</v>
      </c>
      <c r="L1580" s="88">
        <f>SUMIF(月間集計シート!$M$29:$M$48,$G1580,月間集計シート!P$29:P$48)*L$2</f>
        <v>0</v>
      </c>
      <c r="M1580" s="88">
        <f>SUMIF(月間集計シート!$M$29:$M$48,$G1580,月間集計シート!Q$29:Q$48)*M$2</f>
        <v>0</v>
      </c>
      <c r="N1580" s="88">
        <f>SUMIF(月間集計シート!$M$29:$M$48,$G1580,月間集計シート!R$29:R$48)*N$2</f>
        <v>0</v>
      </c>
      <c r="O1580" s="88">
        <f>SUMIF(月間集計シート!$M$29:$M$48,$G1580,月間集計シート!S$29:S$48)*O$2</f>
        <v>0</v>
      </c>
      <c r="P1580" s="88">
        <f>SUMIF(月間集計シート!$M$29:$M$48,$G1580,月間集計シート!T$29:T$48)*P$2</f>
        <v>0</v>
      </c>
      <c r="Q1580" s="88">
        <f>SUMIF(月間集計シート!$M$50:$M$69,$G1580,月間集計シート!N$50:N$69)*Q$2</f>
        <v>0</v>
      </c>
      <c r="R1580" s="88">
        <f>SUMIF(月間集計シート!$M$50:$M$69,$G1580,月間集計シート!O$50:O$69)*R$2</f>
        <v>0</v>
      </c>
      <c r="S1580" s="88">
        <f>SUMIF(月間集計シート!$M$50:$M$69,$G1580,月間集計シート!P$50:P$69)*S$2</f>
        <v>0</v>
      </c>
      <c r="T1580" s="88">
        <f>SUMIF(月間集計シート!$M$50:$M$69,$G1580,月間集計シート!Q$50:Q$69)*T$2</f>
        <v>0</v>
      </c>
      <c r="U1580" s="88">
        <f>SUMIF(月間集計シート!$M$50:$M$69,$G1580,月間集計シート!R$50:R$69)*U$2</f>
        <v>0</v>
      </c>
      <c r="V1580" s="88">
        <f>SUMIF(月間集計シート!$M$50:$M$69,$G1580,月間集計シート!S$50:S$69)*V$2</f>
        <v>0</v>
      </c>
      <c r="W1580" s="88">
        <f>SUMIF(月間集計シート!$M$50:$M$69,$G1580,月間集計シート!T$50:T$69)*W$2</f>
        <v>0</v>
      </c>
      <c r="X1580" s="88">
        <f>SUMIF(月間集計シート!$M$71:$M$90,$G1580,月間集計シート!N$71:N$90)*X$2</f>
        <v>0</v>
      </c>
      <c r="Y1580" s="88">
        <f>SUMIF(月間集計シート!$M$71:$M$90,$G1580,月間集計シート!O$71:O$90)*Y$2</f>
        <v>0</v>
      </c>
      <c r="Z1580" s="88">
        <f>SUMIF(月間集計シート!$M$71:$M$90,$G1580,月間集計シート!P$71:P$90)*Z$2</f>
        <v>0</v>
      </c>
      <c r="AA1580" s="88">
        <f>SUMIF(月間集計シート!$M$71:$M$90,$G1580,月間集計シート!Q$71:Q$90)*AA$2</f>
        <v>0</v>
      </c>
      <c r="AB1580" s="88">
        <f>SUMIF(月間集計シート!$M$71:$M$90,$G1580,月間集計シート!R$71:R$90)*AB$2</f>
        <v>0</v>
      </c>
      <c r="AC1580" s="88">
        <f>SUMIF(月間集計シート!$M$71:$M$90,$G1580,月間集計シート!S$71:S$90)*AC$2</f>
        <v>0</v>
      </c>
      <c r="AD1580" s="88">
        <f>SUMIF(月間集計シート!$M$71:$M$90,$G1580,月間集計シート!T$71:T$90)*AD$2</f>
        <v>0</v>
      </c>
      <c r="AE1580" s="88">
        <f>SUMIF(月間集計シート!$M$92:$M$111,$G1580,月間集計シート!N$92:N$111)*AE$2</f>
        <v>0</v>
      </c>
      <c r="AF1580" s="88">
        <f>SUMIF(月間集計シート!$M$92:$M$111,$G1580,月間集計シート!O$92:O$111)*AF$2</f>
        <v>0</v>
      </c>
      <c r="AG1580" s="88">
        <f>SUMIF(月間集計シート!$M$92:$M$111,$G1580,月間集計シート!P$92:P$111)*AG$2</f>
        <v>0</v>
      </c>
      <c r="AH1580" s="88">
        <f>SUMIF(月間集計シート!$M$92:$M$111,$G1580,月間集計シート!Q$92:Q$111)*AH$2</f>
        <v>0</v>
      </c>
      <c r="AI1580" s="88">
        <f>SUMIF(月間集計シート!$M$92:$M$111,$G1580,月間集計シート!R$92:R$111)*AI$2</f>
        <v>0</v>
      </c>
      <c r="AJ1580" s="88">
        <f>SUMIF(月間集計シート!$M$92:$M$111,$G1580,月間集計シート!S$92:S$111)*AJ$2</f>
        <v>0</v>
      </c>
      <c r="AK1580" s="88">
        <f>SUMIF(月間集計シート!$M$92:$M$111,$G1580,月間集計シート!T$92:T$111)*AK$2</f>
        <v>0</v>
      </c>
      <c r="AL1580" s="88">
        <f>SUMIF(月間集計シート!$M$113:$M$132,$G1580,月間集計シート!N$113:N$132)*AL$2</f>
        <v>0</v>
      </c>
      <c r="AM1580" s="88">
        <f>SUMIF(月間集計シート!$M$113:$M$132,$G1580,月間集計シート!O$113:O$132)*AM$2</f>
        <v>0</v>
      </c>
      <c r="AN1580" s="88">
        <f>SUMIF(月間集計シート!$M$113:$M$132,$G1580,月間集計シート!P$113:P$132)*AN$2</f>
        <v>0</v>
      </c>
      <c r="AO1580" s="88">
        <f>SUMIF(月間集計シート!$M$113:$M$132,$G1580,月間集計シート!Q$113:Q$132)*AO$2</f>
        <v>0</v>
      </c>
      <c r="AP1580" s="88">
        <f>SUMIF(月間集計シート!$M$113:$M$132,$G1580,月間集計シート!R$113:R$132)*AP$2</f>
        <v>0</v>
      </c>
      <c r="AQ1580" s="88">
        <f>SUMIF(月間集計シート!$M$113:$M$132,$G1580,月間集計シート!S$113:S$132)*AQ$2</f>
        <v>0</v>
      </c>
      <c r="AR1580" s="88">
        <f>SUMIF(月間集計シート!$M$113:$M$132,$G1580,月間集計シート!T$113:T$132)*AR$2</f>
        <v>0</v>
      </c>
      <c r="AS1580" s="88">
        <f>SUMIF(月間集計シート!$M$134:$M$153,$G1580,月間集計シート!N$134:N$153)*AS$2</f>
        <v>0</v>
      </c>
      <c r="AT1580" s="88">
        <f>SUMIF(月間集計シート!$M$134:$M$153,$G1580,月間集計シート!O$134:O$153)*AT$2</f>
        <v>0</v>
      </c>
      <c r="AU1580" s="88">
        <f>SUMIF(月間集計シート!$M$134:$M$153,$G1580,月間集計シート!P$134:P$153)*AU$2</f>
        <v>0</v>
      </c>
      <c r="AV1580" s="88">
        <f>SUMIF(月間集計シート!$M$134:$M$153,$G1580,月間集計シート!Q$134:Q$153)*AV$2</f>
        <v>0</v>
      </c>
      <c r="AW1580" s="88">
        <f>SUMIF(月間集計シート!$M$134:$M$153,$G1580,月間集計シート!R$134:R$153)*AW$2</f>
        <v>0</v>
      </c>
      <c r="AX1580" s="88">
        <f>SUMIF(月間集計シート!$M$134:$M$153,$G1580,月間集計シート!S$134:S$153)*AX$2</f>
        <v>0</v>
      </c>
      <c r="AY1580" s="88">
        <f>SUMIF(月間集計シート!$M$134:$M$153,$G1580,月間集計シート!T$134:T$153)*AY$2</f>
        <v>0</v>
      </c>
    </row>
    <row r="1581" spans="1:51" ht="14.25" thickBot="1">
      <c r="A1581">
        <v>19</v>
      </c>
      <c r="B1581" s="120">
        <f t="shared" si="888"/>
        <v>0</v>
      </c>
      <c r="C1581" s="120" t="str">
        <f t="shared" si="889"/>
        <v/>
      </c>
      <c r="D1581" s="137"/>
      <c r="E1581" s="150" t="str">
        <f>工種!A43</f>
        <v>60102</v>
      </c>
      <c r="F1581" s="119" t="str">
        <f>工種!B43</f>
        <v>ﾘﾘｰｽ：ﾘﾘｰｽ関連業務</v>
      </c>
      <c r="G1581" s="116" t="str">
        <f t="shared" si="890"/>
        <v>060102</v>
      </c>
      <c r="H1581" s="88">
        <f t="shared" si="844"/>
        <v>0</v>
      </c>
      <c r="I1581" s="132"/>
      <c r="J1581" s="88">
        <f>SUMIF(月間集計シート!$M$29:$M$48,$G1581,月間集計シート!N$29:N$48)*J$2</f>
        <v>0</v>
      </c>
      <c r="K1581" s="88">
        <f>SUMIF(月間集計シート!$M$29:$M$48,$G1581,月間集計シート!O$29:O$48)*K$2</f>
        <v>0</v>
      </c>
      <c r="L1581" s="88">
        <f>SUMIF(月間集計シート!$M$29:$M$48,$G1581,月間集計シート!P$29:P$48)*L$2</f>
        <v>0</v>
      </c>
      <c r="M1581" s="88">
        <f>SUMIF(月間集計シート!$M$29:$M$48,$G1581,月間集計シート!Q$29:Q$48)*M$2</f>
        <v>0</v>
      </c>
      <c r="N1581" s="88">
        <f>SUMIF(月間集計シート!$M$29:$M$48,$G1581,月間集計シート!R$29:R$48)*N$2</f>
        <v>0</v>
      </c>
      <c r="O1581" s="88">
        <f>SUMIF(月間集計シート!$M$29:$M$48,$G1581,月間集計シート!S$29:S$48)*O$2</f>
        <v>0</v>
      </c>
      <c r="P1581" s="88">
        <f>SUMIF(月間集計シート!$M$29:$M$48,$G1581,月間集計シート!T$29:T$48)*P$2</f>
        <v>0</v>
      </c>
      <c r="Q1581" s="88">
        <f>SUMIF(月間集計シート!$M$50:$M$69,$G1581,月間集計シート!N$50:N$69)*Q$2</f>
        <v>0</v>
      </c>
      <c r="R1581" s="88">
        <f>SUMIF(月間集計シート!$M$50:$M$69,$G1581,月間集計シート!O$50:O$69)*R$2</f>
        <v>0</v>
      </c>
      <c r="S1581" s="88">
        <f>SUMIF(月間集計シート!$M$50:$M$69,$G1581,月間集計シート!P$50:P$69)*S$2</f>
        <v>0</v>
      </c>
      <c r="T1581" s="88">
        <f>SUMIF(月間集計シート!$M$50:$M$69,$G1581,月間集計シート!Q$50:Q$69)*T$2</f>
        <v>0</v>
      </c>
      <c r="U1581" s="88">
        <f>SUMIF(月間集計シート!$M$50:$M$69,$G1581,月間集計シート!R$50:R$69)*U$2</f>
        <v>0</v>
      </c>
      <c r="V1581" s="88">
        <f>SUMIF(月間集計シート!$M$50:$M$69,$G1581,月間集計シート!S$50:S$69)*V$2</f>
        <v>0</v>
      </c>
      <c r="W1581" s="88">
        <f>SUMIF(月間集計シート!$M$50:$M$69,$G1581,月間集計シート!T$50:T$69)*W$2</f>
        <v>0</v>
      </c>
      <c r="X1581" s="88">
        <f>SUMIF(月間集計シート!$M$71:$M$90,$G1581,月間集計シート!N$71:N$90)*X$2</f>
        <v>0</v>
      </c>
      <c r="Y1581" s="88">
        <f>SUMIF(月間集計シート!$M$71:$M$90,$G1581,月間集計シート!O$71:O$90)*Y$2</f>
        <v>0</v>
      </c>
      <c r="Z1581" s="88">
        <f>SUMIF(月間集計シート!$M$71:$M$90,$G1581,月間集計シート!P$71:P$90)*Z$2</f>
        <v>0</v>
      </c>
      <c r="AA1581" s="88">
        <f>SUMIF(月間集計シート!$M$71:$M$90,$G1581,月間集計シート!Q$71:Q$90)*AA$2</f>
        <v>0</v>
      </c>
      <c r="AB1581" s="88">
        <f>SUMIF(月間集計シート!$M$71:$M$90,$G1581,月間集計シート!R$71:R$90)*AB$2</f>
        <v>0</v>
      </c>
      <c r="AC1581" s="88">
        <f>SUMIF(月間集計シート!$M$71:$M$90,$G1581,月間集計シート!S$71:S$90)*AC$2</f>
        <v>0</v>
      </c>
      <c r="AD1581" s="88">
        <f>SUMIF(月間集計シート!$M$71:$M$90,$G1581,月間集計シート!T$71:T$90)*AD$2</f>
        <v>0</v>
      </c>
      <c r="AE1581" s="88">
        <f>SUMIF(月間集計シート!$M$92:$M$111,$G1581,月間集計シート!N$92:N$111)*AE$2</f>
        <v>0</v>
      </c>
      <c r="AF1581" s="88">
        <f>SUMIF(月間集計シート!$M$92:$M$111,$G1581,月間集計シート!O$92:O$111)*AF$2</f>
        <v>0</v>
      </c>
      <c r="AG1581" s="88">
        <f>SUMIF(月間集計シート!$M$92:$M$111,$G1581,月間集計シート!P$92:P$111)*AG$2</f>
        <v>0</v>
      </c>
      <c r="AH1581" s="88">
        <f>SUMIF(月間集計シート!$M$92:$M$111,$G1581,月間集計シート!Q$92:Q$111)*AH$2</f>
        <v>0</v>
      </c>
      <c r="AI1581" s="88">
        <f>SUMIF(月間集計シート!$M$92:$M$111,$G1581,月間集計シート!R$92:R$111)*AI$2</f>
        <v>0</v>
      </c>
      <c r="AJ1581" s="88">
        <f>SUMIF(月間集計シート!$M$92:$M$111,$G1581,月間集計シート!S$92:S$111)*AJ$2</f>
        <v>0</v>
      </c>
      <c r="AK1581" s="88">
        <f>SUMIF(月間集計シート!$M$92:$M$111,$G1581,月間集計シート!T$92:T$111)*AK$2</f>
        <v>0</v>
      </c>
      <c r="AL1581" s="88">
        <f>SUMIF(月間集計シート!$M$113:$M$132,$G1581,月間集計シート!N$113:N$132)*AL$2</f>
        <v>0</v>
      </c>
      <c r="AM1581" s="88">
        <f>SUMIF(月間集計シート!$M$113:$M$132,$G1581,月間集計シート!O$113:O$132)*AM$2</f>
        <v>0</v>
      </c>
      <c r="AN1581" s="88">
        <f>SUMIF(月間集計シート!$M$113:$M$132,$G1581,月間集計シート!P$113:P$132)*AN$2</f>
        <v>0</v>
      </c>
      <c r="AO1581" s="88">
        <f>SUMIF(月間集計シート!$M$113:$M$132,$G1581,月間集計シート!Q$113:Q$132)*AO$2</f>
        <v>0</v>
      </c>
      <c r="AP1581" s="88">
        <f>SUMIF(月間集計シート!$M$113:$M$132,$G1581,月間集計シート!R$113:R$132)*AP$2</f>
        <v>0</v>
      </c>
      <c r="AQ1581" s="88">
        <f>SUMIF(月間集計シート!$M$113:$M$132,$G1581,月間集計シート!S$113:S$132)*AQ$2</f>
        <v>0</v>
      </c>
      <c r="AR1581" s="88">
        <f>SUMIF(月間集計シート!$M$113:$M$132,$G1581,月間集計シート!T$113:T$132)*AR$2</f>
        <v>0</v>
      </c>
      <c r="AS1581" s="88">
        <f>SUMIF(月間集計シート!$M$134:$M$153,$G1581,月間集計シート!N$134:N$153)*AS$2</f>
        <v>0</v>
      </c>
      <c r="AT1581" s="88">
        <f>SUMIF(月間集計シート!$M$134:$M$153,$G1581,月間集計シート!O$134:O$153)*AT$2</f>
        <v>0</v>
      </c>
      <c r="AU1581" s="88">
        <f>SUMIF(月間集計シート!$M$134:$M$153,$G1581,月間集計シート!P$134:P$153)*AU$2</f>
        <v>0</v>
      </c>
      <c r="AV1581" s="88">
        <f>SUMIF(月間集計シート!$M$134:$M$153,$G1581,月間集計シート!Q$134:Q$153)*AV$2</f>
        <v>0</v>
      </c>
      <c r="AW1581" s="88">
        <f>SUMIF(月間集計シート!$M$134:$M$153,$G1581,月間集計シート!R$134:R$153)*AW$2</f>
        <v>0</v>
      </c>
      <c r="AX1581" s="88">
        <f>SUMIF(月間集計シート!$M$134:$M$153,$G1581,月間集計シート!S$134:S$153)*AX$2</f>
        <v>0</v>
      </c>
      <c r="AY1581" s="88">
        <f>SUMIF(月間集計シート!$M$134:$M$153,$G1581,月間集計シート!T$134:T$153)*AY$2</f>
        <v>0</v>
      </c>
    </row>
    <row r="1582" spans="1:51" ht="14.25" thickBot="1">
      <c r="A1582">
        <v>19</v>
      </c>
      <c r="B1582" s="120">
        <f t="shared" si="888"/>
        <v>0</v>
      </c>
      <c r="C1582" s="120" t="str">
        <f t="shared" si="889"/>
        <v/>
      </c>
      <c r="D1582" s="137"/>
      <c r="E1582" s="150" t="str">
        <f>工種!A44</f>
        <v>60103</v>
      </c>
      <c r="F1582" s="119" t="str">
        <f>工種!B44</f>
        <v>ﾘﾘｰｽ：ﾏﾆｭｱﾙPDF作成・修正</v>
      </c>
      <c r="G1582" s="116" t="str">
        <f t="shared" si="890"/>
        <v>060103</v>
      </c>
      <c r="H1582" s="88">
        <f t="shared" si="844"/>
        <v>0</v>
      </c>
      <c r="I1582" s="132"/>
      <c r="J1582" s="88">
        <f>SUMIF(月間集計シート!$M$29:$M$48,$G1582,月間集計シート!N$29:N$48)*J$2</f>
        <v>0</v>
      </c>
      <c r="K1582" s="88">
        <f>SUMIF(月間集計シート!$M$29:$M$48,$G1582,月間集計シート!O$29:O$48)*K$2</f>
        <v>0</v>
      </c>
      <c r="L1582" s="88">
        <f>SUMIF(月間集計シート!$M$29:$M$48,$G1582,月間集計シート!P$29:P$48)*L$2</f>
        <v>0</v>
      </c>
      <c r="M1582" s="88">
        <f>SUMIF(月間集計シート!$M$29:$M$48,$G1582,月間集計シート!Q$29:Q$48)*M$2</f>
        <v>0</v>
      </c>
      <c r="N1582" s="88">
        <f>SUMIF(月間集計シート!$M$29:$M$48,$G1582,月間集計シート!R$29:R$48)*N$2</f>
        <v>0</v>
      </c>
      <c r="O1582" s="88">
        <f>SUMIF(月間集計シート!$M$29:$M$48,$G1582,月間集計シート!S$29:S$48)*O$2</f>
        <v>0</v>
      </c>
      <c r="P1582" s="88">
        <f>SUMIF(月間集計シート!$M$29:$M$48,$G1582,月間集計シート!T$29:T$48)*P$2</f>
        <v>0</v>
      </c>
      <c r="Q1582" s="88">
        <f>SUMIF(月間集計シート!$M$50:$M$69,$G1582,月間集計シート!N$50:N$69)*Q$2</f>
        <v>0</v>
      </c>
      <c r="R1582" s="88">
        <f>SUMIF(月間集計シート!$M$50:$M$69,$G1582,月間集計シート!O$50:O$69)*R$2</f>
        <v>0</v>
      </c>
      <c r="S1582" s="88">
        <f>SUMIF(月間集計シート!$M$50:$M$69,$G1582,月間集計シート!P$50:P$69)*S$2</f>
        <v>0</v>
      </c>
      <c r="T1582" s="88">
        <f>SUMIF(月間集計シート!$M$50:$M$69,$G1582,月間集計シート!Q$50:Q$69)*T$2</f>
        <v>0</v>
      </c>
      <c r="U1582" s="88">
        <f>SUMIF(月間集計シート!$M$50:$M$69,$G1582,月間集計シート!R$50:R$69)*U$2</f>
        <v>0</v>
      </c>
      <c r="V1582" s="88">
        <f>SUMIF(月間集計シート!$M$50:$M$69,$G1582,月間集計シート!S$50:S$69)*V$2</f>
        <v>0</v>
      </c>
      <c r="W1582" s="88">
        <f>SUMIF(月間集計シート!$M$50:$M$69,$G1582,月間集計シート!T$50:T$69)*W$2</f>
        <v>0</v>
      </c>
      <c r="X1582" s="88">
        <f>SUMIF(月間集計シート!$M$71:$M$90,$G1582,月間集計シート!N$71:N$90)*X$2</f>
        <v>0</v>
      </c>
      <c r="Y1582" s="88">
        <f>SUMIF(月間集計シート!$M$71:$M$90,$G1582,月間集計シート!O$71:O$90)*Y$2</f>
        <v>0</v>
      </c>
      <c r="Z1582" s="88">
        <f>SUMIF(月間集計シート!$M$71:$M$90,$G1582,月間集計シート!P$71:P$90)*Z$2</f>
        <v>0</v>
      </c>
      <c r="AA1582" s="88">
        <f>SUMIF(月間集計シート!$M$71:$M$90,$G1582,月間集計シート!Q$71:Q$90)*AA$2</f>
        <v>0</v>
      </c>
      <c r="AB1582" s="88">
        <f>SUMIF(月間集計シート!$M$71:$M$90,$G1582,月間集計シート!R$71:R$90)*AB$2</f>
        <v>0</v>
      </c>
      <c r="AC1582" s="88">
        <f>SUMIF(月間集計シート!$M$71:$M$90,$G1582,月間集計シート!S$71:S$90)*AC$2</f>
        <v>0</v>
      </c>
      <c r="AD1582" s="88">
        <f>SUMIF(月間集計シート!$M$71:$M$90,$G1582,月間集計シート!T$71:T$90)*AD$2</f>
        <v>0</v>
      </c>
      <c r="AE1582" s="88">
        <f>SUMIF(月間集計シート!$M$92:$M$111,$G1582,月間集計シート!N$92:N$111)*AE$2</f>
        <v>0</v>
      </c>
      <c r="AF1582" s="88">
        <f>SUMIF(月間集計シート!$M$92:$M$111,$G1582,月間集計シート!O$92:O$111)*AF$2</f>
        <v>0</v>
      </c>
      <c r="AG1582" s="88">
        <f>SUMIF(月間集計シート!$M$92:$M$111,$G1582,月間集計シート!P$92:P$111)*AG$2</f>
        <v>0</v>
      </c>
      <c r="AH1582" s="88">
        <f>SUMIF(月間集計シート!$M$92:$M$111,$G1582,月間集計シート!Q$92:Q$111)*AH$2</f>
        <v>0</v>
      </c>
      <c r="AI1582" s="88">
        <f>SUMIF(月間集計シート!$M$92:$M$111,$G1582,月間集計シート!R$92:R$111)*AI$2</f>
        <v>0</v>
      </c>
      <c r="AJ1582" s="88">
        <f>SUMIF(月間集計シート!$M$92:$M$111,$G1582,月間集計シート!S$92:S$111)*AJ$2</f>
        <v>0</v>
      </c>
      <c r="AK1582" s="88">
        <f>SUMIF(月間集計シート!$M$92:$M$111,$G1582,月間集計シート!T$92:T$111)*AK$2</f>
        <v>0</v>
      </c>
      <c r="AL1582" s="88">
        <f>SUMIF(月間集計シート!$M$113:$M$132,$G1582,月間集計シート!N$113:N$132)*AL$2</f>
        <v>0</v>
      </c>
      <c r="AM1582" s="88">
        <f>SUMIF(月間集計シート!$M$113:$M$132,$G1582,月間集計シート!O$113:O$132)*AM$2</f>
        <v>0</v>
      </c>
      <c r="AN1582" s="88">
        <f>SUMIF(月間集計シート!$M$113:$M$132,$G1582,月間集計シート!P$113:P$132)*AN$2</f>
        <v>0</v>
      </c>
      <c r="AO1582" s="88">
        <f>SUMIF(月間集計シート!$M$113:$M$132,$G1582,月間集計シート!Q$113:Q$132)*AO$2</f>
        <v>0</v>
      </c>
      <c r="AP1582" s="88">
        <f>SUMIF(月間集計シート!$M$113:$M$132,$G1582,月間集計シート!R$113:R$132)*AP$2</f>
        <v>0</v>
      </c>
      <c r="AQ1582" s="88">
        <f>SUMIF(月間集計シート!$M$113:$M$132,$G1582,月間集計シート!S$113:S$132)*AQ$2</f>
        <v>0</v>
      </c>
      <c r="AR1582" s="88">
        <f>SUMIF(月間集計シート!$M$113:$M$132,$G1582,月間集計シート!T$113:T$132)*AR$2</f>
        <v>0</v>
      </c>
      <c r="AS1582" s="88">
        <f>SUMIF(月間集計シート!$M$134:$M$153,$G1582,月間集計シート!N$134:N$153)*AS$2</f>
        <v>0</v>
      </c>
      <c r="AT1582" s="88">
        <f>SUMIF(月間集計シート!$M$134:$M$153,$G1582,月間集計シート!O$134:O$153)*AT$2</f>
        <v>0</v>
      </c>
      <c r="AU1582" s="88">
        <f>SUMIF(月間集計シート!$M$134:$M$153,$G1582,月間集計シート!P$134:P$153)*AU$2</f>
        <v>0</v>
      </c>
      <c r="AV1582" s="88">
        <f>SUMIF(月間集計シート!$M$134:$M$153,$G1582,月間集計シート!Q$134:Q$153)*AV$2</f>
        <v>0</v>
      </c>
      <c r="AW1582" s="88">
        <f>SUMIF(月間集計シート!$M$134:$M$153,$G1582,月間集計シート!R$134:R$153)*AW$2</f>
        <v>0</v>
      </c>
      <c r="AX1582" s="88">
        <f>SUMIF(月間集計シート!$M$134:$M$153,$G1582,月間集計シート!S$134:S$153)*AX$2</f>
        <v>0</v>
      </c>
      <c r="AY1582" s="88">
        <f>SUMIF(月間集計シート!$M$134:$M$153,$G1582,月間集計シート!T$134:T$153)*AY$2</f>
        <v>0</v>
      </c>
    </row>
    <row r="1583" spans="1:51" ht="14.25" thickBot="1">
      <c r="A1583">
        <v>19</v>
      </c>
      <c r="B1583" s="120">
        <f t="shared" si="888"/>
        <v>0</v>
      </c>
      <c r="C1583" s="120" t="str">
        <f t="shared" si="889"/>
        <v/>
      </c>
      <c r="D1583" s="137"/>
      <c r="E1583" s="150" t="str">
        <f>工種!A45</f>
        <v>60104</v>
      </c>
      <c r="F1583" s="119" t="str">
        <f>工種!B45</f>
        <v>ﾘﾘｰｽ：ﾍﾙﾌﾟ作成・修正</v>
      </c>
      <c r="G1583" s="116" t="str">
        <f t="shared" si="890"/>
        <v>060104</v>
      </c>
      <c r="H1583" s="88">
        <f t="shared" si="844"/>
        <v>0</v>
      </c>
      <c r="I1583" s="132"/>
      <c r="J1583" s="88">
        <f>SUMIF(月間集計シート!$M$29:$M$48,$G1583,月間集計シート!N$29:N$48)*J$2</f>
        <v>0</v>
      </c>
      <c r="K1583" s="88">
        <f>SUMIF(月間集計シート!$M$29:$M$48,$G1583,月間集計シート!O$29:O$48)*K$2</f>
        <v>0</v>
      </c>
      <c r="L1583" s="88">
        <f>SUMIF(月間集計シート!$M$29:$M$48,$G1583,月間集計シート!P$29:P$48)*L$2</f>
        <v>0</v>
      </c>
      <c r="M1583" s="88">
        <f>SUMIF(月間集計シート!$M$29:$M$48,$G1583,月間集計シート!Q$29:Q$48)*M$2</f>
        <v>0</v>
      </c>
      <c r="N1583" s="88">
        <f>SUMIF(月間集計シート!$M$29:$M$48,$G1583,月間集計シート!R$29:R$48)*N$2</f>
        <v>0</v>
      </c>
      <c r="O1583" s="88">
        <f>SUMIF(月間集計シート!$M$29:$M$48,$G1583,月間集計シート!S$29:S$48)*O$2</f>
        <v>0</v>
      </c>
      <c r="P1583" s="88">
        <f>SUMIF(月間集計シート!$M$29:$M$48,$G1583,月間集計シート!T$29:T$48)*P$2</f>
        <v>0</v>
      </c>
      <c r="Q1583" s="88">
        <f>SUMIF(月間集計シート!$M$50:$M$69,$G1583,月間集計シート!N$50:N$69)*Q$2</f>
        <v>0</v>
      </c>
      <c r="R1583" s="88">
        <f>SUMIF(月間集計シート!$M$50:$M$69,$G1583,月間集計シート!O$50:O$69)*R$2</f>
        <v>0</v>
      </c>
      <c r="S1583" s="88">
        <f>SUMIF(月間集計シート!$M$50:$M$69,$G1583,月間集計シート!P$50:P$69)*S$2</f>
        <v>0</v>
      </c>
      <c r="T1583" s="88">
        <f>SUMIF(月間集計シート!$M$50:$M$69,$G1583,月間集計シート!Q$50:Q$69)*T$2</f>
        <v>0</v>
      </c>
      <c r="U1583" s="88">
        <f>SUMIF(月間集計シート!$M$50:$M$69,$G1583,月間集計シート!R$50:R$69)*U$2</f>
        <v>0</v>
      </c>
      <c r="V1583" s="88">
        <f>SUMIF(月間集計シート!$M$50:$M$69,$G1583,月間集計シート!S$50:S$69)*V$2</f>
        <v>0</v>
      </c>
      <c r="W1583" s="88">
        <f>SUMIF(月間集計シート!$M$50:$M$69,$G1583,月間集計シート!T$50:T$69)*W$2</f>
        <v>0</v>
      </c>
      <c r="X1583" s="88">
        <f>SUMIF(月間集計シート!$M$71:$M$90,$G1583,月間集計シート!N$71:N$90)*X$2</f>
        <v>0</v>
      </c>
      <c r="Y1583" s="88">
        <f>SUMIF(月間集計シート!$M$71:$M$90,$G1583,月間集計シート!O$71:O$90)*Y$2</f>
        <v>0</v>
      </c>
      <c r="Z1583" s="88">
        <f>SUMIF(月間集計シート!$M$71:$M$90,$G1583,月間集計シート!P$71:P$90)*Z$2</f>
        <v>0</v>
      </c>
      <c r="AA1583" s="88">
        <f>SUMIF(月間集計シート!$M$71:$M$90,$G1583,月間集計シート!Q$71:Q$90)*AA$2</f>
        <v>0</v>
      </c>
      <c r="AB1583" s="88">
        <f>SUMIF(月間集計シート!$M$71:$M$90,$G1583,月間集計シート!R$71:R$90)*AB$2</f>
        <v>0</v>
      </c>
      <c r="AC1583" s="88">
        <f>SUMIF(月間集計シート!$M$71:$M$90,$G1583,月間集計シート!S$71:S$90)*AC$2</f>
        <v>0</v>
      </c>
      <c r="AD1583" s="88">
        <f>SUMIF(月間集計シート!$M$71:$M$90,$G1583,月間集計シート!T$71:T$90)*AD$2</f>
        <v>0</v>
      </c>
      <c r="AE1583" s="88">
        <f>SUMIF(月間集計シート!$M$92:$M$111,$G1583,月間集計シート!N$92:N$111)*AE$2</f>
        <v>0</v>
      </c>
      <c r="AF1583" s="88">
        <f>SUMIF(月間集計シート!$M$92:$M$111,$G1583,月間集計シート!O$92:O$111)*AF$2</f>
        <v>0</v>
      </c>
      <c r="AG1583" s="88">
        <f>SUMIF(月間集計シート!$M$92:$M$111,$G1583,月間集計シート!P$92:P$111)*AG$2</f>
        <v>0</v>
      </c>
      <c r="AH1583" s="88">
        <f>SUMIF(月間集計シート!$M$92:$M$111,$G1583,月間集計シート!Q$92:Q$111)*AH$2</f>
        <v>0</v>
      </c>
      <c r="AI1583" s="88">
        <f>SUMIF(月間集計シート!$M$92:$M$111,$G1583,月間集計シート!R$92:R$111)*AI$2</f>
        <v>0</v>
      </c>
      <c r="AJ1583" s="88">
        <f>SUMIF(月間集計シート!$M$92:$M$111,$G1583,月間集計シート!S$92:S$111)*AJ$2</f>
        <v>0</v>
      </c>
      <c r="AK1583" s="88">
        <f>SUMIF(月間集計シート!$M$92:$M$111,$G1583,月間集計シート!T$92:T$111)*AK$2</f>
        <v>0</v>
      </c>
      <c r="AL1583" s="88">
        <f>SUMIF(月間集計シート!$M$113:$M$132,$G1583,月間集計シート!N$113:N$132)*AL$2</f>
        <v>0</v>
      </c>
      <c r="AM1583" s="88">
        <f>SUMIF(月間集計シート!$M$113:$M$132,$G1583,月間集計シート!O$113:O$132)*AM$2</f>
        <v>0</v>
      </c>
      <c r="AN1583" s="88">
        <f>SUMIF(月間集計シート!$M$113:$M$132,$G1583,月間集計シート!P$113:P$132)*AN$2</f>
        <v>0</v>
      </c>
      <c r="AO1583" s="88">
        <f>SUMIF(月間集計シート!$M$113:$M$132,$G1583,月間集計シート!Q$113:Q$132)*AO$2</f>
        <v>0</v>
      </c>
      <c r="AP1583" s="88">
        <f>SUMIF(月間集計シート!$M$113:$M$132,$G1583,月間集計シート!R$113:R$132)*AP$2</f>
        <v>0</v>
      </c>
      <c r="AQ1583" s="88">
        <f>SUMIF(月間集計シート!$M$113:$M$132,$G1583,月間集計シート!S$113:S$132)*AQ$2</f>
        <v>0</v>
      </c>
      <c r="AR1583" s="88">
        <f>SUMIF(月間集計シート!$M$113:$M$132,$G1583,月間集計シート!T$113:T$132)*AR$2</f>
        <v>0</v>
      </c>
      <c r="AS1583" s="88">
        <f>SUMIF(月間集計シート!$M$134:$M$153,$G1583,月間集計シート!N$134:N$153)*AS$2</f>
        <v>0</v>
      </c>
      <c r="AT1583" s="88">
        <f>SUMIF(月間集計シート!$M$134:$M$153,$G1583,月間集計シート!O$134:O$153)*AT$2</f>
        <v>0</v>
      </c>
      <c r="AU1583" s="88">
        <f>SUMIF(月間集計シート!$M$134:$M$153,$G1583,月間集計シート!P$134:P$153)*AU$2</f>
        <v>0</v>
      </c>
      <c r="AV1583" s="88">
        <f>SUMIF(月間集計シート!$M$134:$M$153,$G1583,月間集計シート!Q$134:Q$153)*AV$2</f>
        <v>0</v>
      </c>
      <c r="AW1583" s="88">
        <f>SUMIF(月間集計シート!$M$134:$M$153,$G1583,月間集計シート!R$134:R$153)*AW$2</f>
        <v>0</v>
      </c>
      <c r="AX1583" s="88">
        <f>SUMIF(月間集計シート!$M$134:$M$153,$G1583,月間集計シート!S$134:S$153)*AX$2</f>
        <v>0</v>
      </c>
      <c r="AY1583" s="88">
        <f>SUMIF(月間集計シート!$M$134:$M$153,$G1583,月間集計シート!T$134:T$153)*AY$2</f>
        <v>0</v>
      </c>
    </row>
    <row r="1584" spans="1:51" ht="14.25" thickBot="1">
      <c r="A1584">
        <v>19</v>
      </c>
      <c r="B1584" s="120">
        <f t="shared" si="888"/>
        <v>0</v>
      </c>
      <c r="C1584" s="120" t="str">
        <f t="shared" si="889"/>
        <v/>
      </c>
      <c r="D1584" s="137"/>
      <c r="E1584" s="150" t="str">
        <f>工種!A46</f>
        <v>60105</v>
      </c>
      <c r="F1584" s="119" t="str">
        <f>工種!B46</f>
        <v>ﾘﾘｰｽ：締め作業</v>
      </c>
      <c r="G1584" s="116" t="str">
        <f t="shared" si="890"/>
        <v>060105</v>
      </c>
      <c r="H1584" s="88">
        <f t="shared" si="844"/>
        <v>0</v>
      </c>
      <c r="I1584" s="132"/>
      <c r="J1584" s="88">
        <f>SUMIF(月間集計シート!$M$29:$M$48,$G1584,月間集計シート!N$29:N$48)*J$2</f>
        <v>0</v>
      </c>
      <c r="K1584" s="88">
        <f>SUMIF(月間集計シート!$M$29:$M$48,$G1584,月間集計シート!O$29:O$48)*K$2</f>
        <v>0</v>
      </c>
      <c r="L1584" s="88">
        <f>SUMIF(月間集計シート!$M$29:$M$48,$G1584,月間集計シート!P$29:P$48)*L$2</f>
        <v>0</v>
      </c>
      <c r="M1584" s="88">
        <f>SUMIF(月間集計シート!$M$29:$M$48,$G1584,月間集計シート!Q$29:Q$48)*M$2</f>
        <v>0</v>
      </c>
      <c r="N1584" s="88">
        <f>SUMIF(月間集計シート!$M$29:$M$48,$G1584,月間集計シート!R$29:R$48)*N$2</f>
        <v>0</v>
      </c>
      <c r="O1584" s="88">
        <f>SUMIF(月間集計シート!$M$29:$M$48,$G1584,月間集計シート!S$29:S$48)*O$2</f>
        <v>0</v>
      </c>
      <c r="P1584" s="88">
        <f>SUMIF(月間集計シート!$M$29:$M$48,$G1584,月間集計シート!T$29:T$48)*P$2</f>
        <v>0</v>
      </c>
      <c r="Q1584" s="88">
        <f>SUMIF(月間集計シート!$M$50:$M$69,$G1584,月間集計シート!N$50:N$69)*Q$2</f>
        <v>0</v>
      </c>
      <c r="R1584" s="88">
        <f>SUMIF(月間集計シート!$M$50:$M$69,$G1584,月間集計シート!O$50:O$69)*R$2</f>
        <v>0</v>
      </c>
      <c r="S1584" s="88">
        <f>SUMIF(月間集計シート!$M$50:$M$69,$G1584,月間集計シート!P$50:P$69)*S$2</f>
        <v>0</v>
      </c>
      <c r="T1584" s="88">
        <f>SUMIF(月間集計シート!$M$50:$M$69,$G1584,月間集計シート!Q$50:Q$69)*T$2</f>
        <v>0</v>
      </c>
      <c r="U1584" s="88">
        <f>SUMIF(月間集計シート!$M$50:$M$69,$G1584,月間集計シート!R$50:R$69)*U$2</f>
        <v>0</v>
      </c>
      <c r="V1584" s="88">
        <f>SUMIF(月間集計シート!$M$50:$M$69,$G1584,月間集計シート!S$50:S$69)*V$2</f>
        <v>0</v>
      </c>
      <c r="W1584" s="88">
        <f>SUMIF(月間集計シート!$M$50:$M$69,$G1584,月間集計シート!T$50:T$69)*W$2</f>
        <v>0</v>
      </c>
      <c r="X1584" s="88">
        <f>SUMIF(月間集計シート!$M$71:$M$90,$G1584,月間集計シート!N$71:N$90)*X$2</f>
        <v>0</v>
      </c>
      <c r="Y1584" s="88">
        <f>SUMIF(月間集計シート!$M$71:$M$90,$G1584,月間集計シート!O$71:O$90)*Y$2</f>
        <v>0</v>
      </c>
      <c r="Z1584" s="88">
        <f>SUMIF(月間集計シート!$M$71:$M$90,$G1584,月間集計シート!P$71:P$90)*Z$2</f>
        <v>0</v>
      </c>
      <c r="AA1584" s="88">
        <f>SUMIF(月間集計シート!$M$71:$M$90,$G1584,月間集計シート!Q$71:Q$90)*AA$2</f>
        <v>0</v>
      </c>
      <c r="AB1584" s="88">
        <f>SUMIF(月間集計シート!$M$71:$M$90,$G1584,月間集計シート!R$71:R$90)*AB$2</f>
        <v>0</v>
      </c>
      <c r="AC1584" s="88">
        <f>SUMIF(月間集計シート!$M$71:$M$90,$G1584,月間集計シート!S$71:S$90)*AC$2</f>
        <v>0</v>
      </c>
      <c r="AD1584" s="88">
        <f>SUMIF(月間集計シート!$M$71:$M$90,$G1584,月間集計シート!T$71:T$90)*AD$2</f>
        <v>0</v>
      </c>
      <c r="AE1584" s="88">
        <f>SUMIF(月間集計シート!$M$92:$M$111,$G1584,月間集計シート!N$92:N$111)*AE$2</f>
        <v>0</v>
      </c>
      <c r="AF1584" s="88">
        <f>SUMIF(月間集計シート!$M$92:$M$111,$G1584,月間集計シート!O$92:O$111)*AF$2</f>
        <v>0</v>
      </c>
      <c r="AG1584" s="88">
        <f>SUMIF(月間集計シート!$M$92:$M$111,$G1584,月間集計シート!P$92:P$111)*AG$2</f>
        <v>0</v>
      </c>
      <c r="AH1584" s="88">
        <f>SUMIF(月間集計シート!$M$92:$M$111,$G1584,月間集計シート!Q$92:Q$111)*AH$2</f>
        <v>0</v>
      </c>
      <c r="AI1584" s="88">
        <f>SUMIF(月間集計シート!$M$92:$M$111,$G1584,月間集計シート!R$92:R$111)*AI$2</f>
        <v>0</v>
      </c>
      <c r="AJ1584" s="88">
        <f>SUMIF(月間集計シート!$M$92:$M$111,$G1584,月間集計シート!S$92:S$111)*AJ$2</f>
        <v>0</v>
      </c>
      <c r="AK1584" s="88">
        <f>SUMIF(月間集計シート!$M$92:$M$111,$G1584,月間集計シート!T$92:T$111)*AK$2</f>
        <v>0</v>
      </c>
      <c r="AL1584" s="88">
        <f>SUMIF(月間集計シート!$M$113:$M$132,$G1584,月間集計シート!N$113:N$132)*AL$2</f>
        <v>0</v>
      </c>
      <c r="AM1584" s="88">
        <f>SUMIF(月間集計シート!$M$113:$M$132,$G1584,月間集計シート!O$113:O$132)*AM$2</f>
        <v>0</v>
      </c>
      <c r="AN1584" s="88">
        <f>SUMIF(月間集計シート!$M$113:$M$132,$G1584,月間集計シート!P$113:P$132)*AN$2</f>
        <v>0</v>
      </c>
      <c r="AO1584" s="88">
        <f>SUMIF(月間集計シート!$M$113:$M$132,$G1584,月間集計シート!Q$113:Q$132)*AO$2</f>
        <v>0</v>
      </c>
      <c r="AP1584" s="88">
        <f>SUMIF(月間集計シート!$M$113:$M$132,$G1584,月間集計シート!R$113:R$132)*AP$2</f>
        <v>0</v>
      </c>
      <c r="AQ1584" s="88">
        <f>SUMIF(月間集計シート!$M$113:$M$132,$G1584,月間集計シート!S$113:S$132)*AQ$2</f>
        <v>0</v>
      </c>
      <c r="AR1584" s="88">
        <f>SUMIF(月間集計シート!$M$113:$M$132,$G1584,月間集計シート!T$113:T$132)*AR$2</f>
        <v>0</v>
      </c>
      <c r="AS1584" s="88">
        <f>SUMIF(月間集計シート!$M$134:$M$153,$G1584,月間集計シート!N$134:N$153)*AS$2</f>
        <v>0</v>
      </c>
      <c r="AT1584" s="88">
        <f>SUMIF(月間集計シート!$M$134:$M$153,$G1584,月間集計シート!O$134:O$153)*AT$2</f>
        <v>0</v>
      </c>
      <c r="AU1584" s="88">
        <f>SUMIF(月間集計シート!$M$134:$M$153,$G1584,月間集計シート!P$134:P$153)*AU$2</f>
        <v>0</v>
      </c>
      <c r="AV1584" s="88">
        <f>SUMIF(月間集計シート!$M$134:$M$153,$G1584,月間集計シート!Q$134:Q$153)*AV$2</f>
        <v>0</v>
      </c>
      <c r="AW1584" s="88">
        <f>SUMIF(月間集計シート!$M$134:$M$153,$G1584,月間集計シート!R$134:R$153)*AW$2</f>
        <v>0</v>
      </c>
      <c r="AX1584" s="88">
        <f>SUMIF(月間集計シート!$M$134:$M$153,$G1584,月間集計シート!S$134:S$153)*AX$2</f>
        <v>0</v>
      </c>
      <c r="AY1584" s="88">
        <f>SUMIF(月間集計シート!$M$134:$M$153,$G1584,月間集計シート!T$134:T$153)*AY$2</f>
        <v>0</v>
      </c>
    </row>
    <row r="1585" spans="1:51" ht="14.25" thickBot="1">
      <c r="A1585">
        <v>19</v>
      </c>
      <c r="B1585" s="120">
        <f t="shared" si="888"/>
        <v>0</v>
      </c>
      <c r="C1585" s="120" t="str">
        <f t="shared" si="889"/>
        <v/>
      </c>
      <c r="D1585" s="137"/>
      <c r="E1585" s="150" t="str">
        <f>工種!A47</f>
        <v>60107</v>
      </c>
      <c r="F1585" s="119" t="str">
        <f>工種!B47</f>
        <v>ﾘﾘｰｽ：打合せ</v>
      </c>
      <c r="G1585" s="116" t="str">
        <f t="shared" si="890"/>
        <v>060107</v>
      </c>
      <c r="H1585" s="88">
        <f t="shared" si="844"/>
        <v>0</v>
      </c>
      <c r="I1585" s="132"/>
      <c r="J1585" s="88">
        <f>SUMIF(月間集計シート!$M$29:$M$48,$G1585,月間集計シート!N$29:N$48)*J$2</f>
        <v>0</v>
      </c>
      <c r="K1585" s="88">
        <f>SUMIF(月間集計シート!$M$29:$M$48,$G1585,月間集計シート!O$29:O$48)*K$2</f>
        <v>0</v>
      </c>
      <c r="L1585" s="88">
        <f>SUMIF(月間集計シート!$M$29:$M$48,$G1585,月間集計シート!P$29:P$48)*L$2</f>
        <v>0</v>
      </c>
      <c r="M1585" s="88">
        <f>SUMIF(月間集計シート!$M$29:$M$48,$G1585,月間集計シート!Q$29:Q$48)*M$2</f>
        <v>0</v>
      </c>
      <c r="N1585" s="88">
        <f>SUMIF(月間集計シート!$M$29:$M$48,$G1585,月間集計シート!R$29:R$48)*N$2</f>
        <v>0</v>
      </c>
      <c r="O1585" s="88">
        <f>SUMIF(月間集計シート!$M$29:$M$48,$G1585,月間集計シート!S$29:S$48)*O$2</f>
        <v>0</v>
      </c>
      <c r="P1585" s="88">
        <f>SUMIF(月間集計シート!$M$29:$M$48,$G1585,月間集計シート!T$29:T$48)*P$2</f>
        <v>0</v>
      </c>
      <c r="Q1585" s="88">
        <f>SUMIF(月間集計シート!$M$50:$M$69,$G1585,月間集計シート!N$50:N$69)*Q$2</f>
        <v>0</v>
      </c>
      <c r="R1585" s="88">
        <f>SUMIF(月間集計シート!$M$50:$M$69,$G1585,月間集計シート!O$50:O$69)*R$2</f>
        <v>0</v>
      </c>
      <c r="S1585" s="88">
        <f>SUMIF(月間集計シート!$M$50:$M$69,$G1585,月間集計シート!P$50:P$69)*S$2</f>
        <v>0</v>
      </c>
      <c r="T1585" s="88">
        <f>SUMIF(月間集計シート!$M$50:$M$69,$G1585,月間集計シート!Q$50:Q$69)*T$2</f>
        <v>0</v>
      </c>
      <c r="U1585" s="88">
        <f>SUMIF(月間集計シート!$M$50:$M$69,$G1585,月間集計シート!R$50:R$69)*U$2</f>
        <v>0</v>
      </c>
      <c r="V1585" s="88">
        <f>SUMIF(月間集計シート!$M$50:$M$69,$G1585,月間集計シート!S$50:S$69)*V$2</f>
        <v>0</v>
      </c>
      <c r="W1585" s="88">
        <f>SUMIF(月間集計シート!$M$50:$M$69,$G1585,月間集計シート!T$50:T$69)*W$2</f>
        <v>0</v>
      </c>
      <c r="X1585" s="88">
        <f>SUMIF(月間集計シート!$M$71:$M$90,$G1585,月間集計シート!N$71:N$90)*X$2</f>
        <v>0</v>
      </c>
      <c r="Y1585" s="88">
        <f>SUMIF(月間集計シート!$M$71:$M$90,$G1585,月間集計シート!O$71:O$90)*Y$2</f>
        <v>0</v>
      </c>
      <c r="Z1585" s="88">
        <f>SUMIF(月間集計シート!$M$71:$M$90,$G1585,月間集計シート!P$71:P$90)*Z$2</f>
        <v>0</v>
      </c>
      <c r="AA1585" s="88">
        <f>SUMIF(月間集計シート!$M$71:$M$90,$G1585,月間集計シート!Q$71:Q$90)*AA$2</f>
        <v>0</v>
      </c>
      <c r="AB1585" s="88">
        <f>SUMIF(月間集計シート!$M$71:$M$90,$G1585,月間集計シート!R$71:R$90)*AB$2</f>
        <v>0</v>
      </c>
      <c r="AC1585" s="88">
        <f>SUMIF(月間集計シート!$M$71:$M$90,$G1585,月間集計シート!S$71:S$90)*AC$2</f>
        <v>0</v>
      </c>
      <c r="AD1585" s="88">
        <f>SUMIF(月間集計シート!$M$71:$M$90,$G1585,月間集計シート!T$71:T$90)*AD$2</f>
        <v>0</v>
      </c>
      <c r="AE1585" s="88">
        <f>SUMIF(月間集計シート!$M$92:$M$111,$G1585,月間集計シート!N$92:N$111)*AE$2</f>
        <v>0</v>
      </c>
      <c r="AF1585" s="88">
        <f>SUMIF(月間集計シート!$M$92:$M$111,$G1585,月間集計シート!O$92:O$111)*AF$2</f>
        <v>0</v>
      </c>
      <c r="AG1585" s="88">
        <f>SUMIF(月間集計シート!$M$92:$M$111,$G1585,月間集計シート!P$92:P$111)*AG$2</f>
        <v>0</v>
      </c>
      <c r="AH1585" s="88">
        <f>SUMIF(月間集計シート!$M$92:$M$111,$G1585,月間集計シート!Q$92:Q$111)*AH$2</f>
        <v>0</v>
      </c>
      <c r="AI1585" s="88">
        <f>SUMIF(月間集計シート!$M$92:$M$111,$G1585,月間集計シート!R$92:R$111)*AI$2</f>
        <v>0</v>
      </c>
      <c r="AJ1585" s="88">
        <f>SUMIF(月間集計シート!$M$92:$M$111,$G1585,月間集計シート!S$92:S$111)*AJ$2</f>
        <v>0</v>
      </c>
      <c r="AK1585" s="88">
        <f>SUMIF(月間集計シート!$M$92:$M$111,$G1585,月間集計シート!T$92:T$111)*AK$2</f>
        <v>0</v>
      </c>
      <c r="AL1585" s="88">
        <f>SUMIF(月間集計シート!$M$113:$M$132,$G1585,月間集計シート!N$113:N$132)*AL$2</f>
        <v>0</v>
      </c>
      <c r="AM1585" s="88">
        <f>SUMIF(月間集計シート!$M$113:$M$132,$G1585,月間集計シート!O$113:O$132)*AM$2</f>
        <v>0</v>
      </c>
      <c r="AN1585" s="88">
        <f>SUMIF(月間集計シート!$M$113:$M$132,$G1585,月間集計シート!P$113:P$132)*AN$2</f>
        <v>0</v>
      </c>
      <c r="AO1585" s="88">
        <f>SUMIF(月間集計シート!$M$113:$M$132,$G1585,月間集計シート!Q$113:Q$132)*AO$2</f>
        <v>0</v>
      </c>
      <c r="AP1585" s="88">
        <f>SUMIF(月間集計シート!$M$113:$M$132,$G1585,月間集計シート!R$113:R$132)*AP$2</f>
        <v>0</v>
      </c>
      <c r="AQ1585" s="88">
        <f>SUMIF(月間集計シート!$M$113:$M$132,$G1585,月間集計シート!S$113:S$132)*AQ$2</f>
        <v>0</v>
      </c>
      <c r="AR1585" s="88">
        <f>SUMIF(月間集計シート!$M$113:$M$132,$G1585,月間集計シート!T$113:T$132)*AR$2</f>
        <v>0</v>
      </c>
      <c r="AS1585" s="88">
        <f>SUMIF(月間集計シート!$M$134:$M$153,$G1585,月間集計シート!N$134:N$153)*AS$2</f>
        <v>0</v>
      </c>
      <c r="AT1585" s="88">
        <f>SUMIF(月間集計シート!$M$134:$M$153,$G1585,月間集計シート!O$134:O$153)*AT$2</f>
        <v>0</v>
      </c>
      <c r="AU1585" s="88">
        <f>SUMIF(月間集計シート!$M$134:$M$153,$G1585,月間集計シート!P$134:P$153)*AU$2</f>
        <v>0</v>
      </c>
      <c r="AV1585" s="88">
        <f>SUMIF(月間集計シート!$M$134:$M$153,$G1585,月間集計シート!Q$134:Q$153)*AV$2</f>
        <v>0</v>
      </c>
      <c r="AW1585" s="88">
        <f>SUMIF(月間集計シート!$M$134:$M$153,$G1585,月間集計シート!R$134:R$153)*AW$2</f>
        <v>0</v>
      </c>
      <c r="AX1585" s="88">
        <f>SUMIF(月間集計シート!$M$134:$M$153,$G1585,月間集計シート!S$134:S$153)*AX$2</f>
        <v>0</v>
      </c>
      <c r="AY1585" s="88">
        <f>SUMIF(月間集計シート!$M$134:$M$153,$G1585,月間集計シート!T$134:T$153)*AY$2</f>
        <v>0</v>
      </c>
    </row>
    <row r="1586" spans="1:51" ht="14.25" thickBot="1">
      <c r="A1586">
        <v>19</v>
      </c>
      <c r="B1586" s="120">
        <f t="shared" si="888"/>
        <v>0</v>
      </c>
      <c r="C1586" s="120" t="str">
        <f t="shared" si="889"/>
        <v/>
      </c>
      <c r="D1586" s="137"/>
      <c r="E1586" s="150" t="str">
        <f>工種!A48</f>
        <v>60108</v>
      </c>
      <c r="F1586" s="119" t="str">
        <f>工種!B48</f>
        <v>ﾘﾘｰｽ：ﾚﾋﾞｭｰ</v>
      </c>
      <c r="G1586" s="116" t="str">
        <f t="shared" si="890"/>
        <v>060108</v>
      </c>
      <c r="H1586" s="88">
        <f t="shared" si="844"/>
        <v>0</v>
      </c>
      <c r="I1586" s="132"/>
      <c r="J1586" s="88">
        <f>SUMIF(月間集計シート!$M$29:$M$48,$G1586,月間集計シート!N$29:N$48)*J$2</f>
        <v>0</v>
      </c>
      <c r="K1586" s="88">
        <f>SUMIF(月間集計シート!$M$29:$M$48,$G1586,月間集計シート!O$29:O$48)*K$2</f>
        <v>0</v>
      </c>
      <c r="L1586" s="88">
        <f>SUMIF(月間集計シート!$M$29:$M$48,$G1586,月間集計シート!P$29:P$48)*L$2</f>
        <v>0</v>
      </c>
      <c r="M1586" s="88">
        <f>SUMIF(月間集計シート!$M$29:$M$48,$G1586,月間集計シート!Q$29:Q$48)*M$2</f>
        <v>0</v>
      </c>
      <c r="N1586" s="88">
        <f>SUMIF(月間集計シート!$M$29:$M$48,$G1586,月間集計シート!R$29:R$48)*N$2</f>
        <v>0</v>
      </c>
      <c r="O1586" s="88">
        <f>SUMIF(月間集計シート!$M$29:$M$48,$G1586,月間集計シート!S$29:S$48)*O$2</f>
        <v>0</v>
      </c>
      <c r="P1586" s="88">
        <f>SUMIF(月間集計シート!$M$29:$M$48,$G1586,月間集計シート!T$29:T$48)*P$2</f>
        <v>0</v>
      </c>
      <c r="Q1586" s="88">
        <f>SUMIF(月間集計シート!$M$50:$M$69,$G1586,月間集計シート!N$50:N$69)*Q$2</f>
        <v>0</v>
      </c>
      <c r="R1586" s="88">
        <f>SUMIF(月間集計シート!$M$50:$M$69,$G1586,月間集計シート!O$50:O$69)*R$2</f>
        <v>0</v>
      </c>
      <c r="S1586" s="88">
        <f>SUMIF(月間集計シート!$M$50:$M$69,$G1586,月間集計シート!P$50:P$69)*S$2</f>
        <v>0</v>
      </c>
      <c r="T1586" s="88">
        <f>SUMIF(月間集計シート!$M$50:$M$69,$G1586,月間集計シート!Q$50:Q$69)*T$2</f>
        <v>0</v>
      </c>
      <c r="U1586" s="88">
        <f>SUMIF(月間集計シート!$M$50:$M$69,$G1586,月間集計シート!R$50:R$69)*U$2</f>
        <v>0</v>
      </c>
      <c r="V1586" s="88">
        <f>SUMIF(月間集計シート!$M$50:$M$69,$G1586,月間集計シート!S$50:S$69)*V$2</f>
        <v>0</v>
      </c>
      <c r="W1586" s="88">
        <f>SUMIF(月間集計シート!$M$50:$M$69,$G1586,月間集計シート!T$50:T$69)*W$2</f>
        <v>0</v>
      </c>
      <c r="X1586" s="88">
        <f>SUMIF(月間集計シート!$M$71:$M$90,$G1586,月間集計シート!N$71:N$90)*X$2</f>
        <v>0</v>
      </c>
      <c r="Y1586" s="88">
        <f>SUMIF(月間集計シート!$M$71:$M$90,$G1586,月間集計シート!O$71:O$90)*Y$2</f>
        <v>0</v>
      </c>
      <c r="Z1586" s="88">
        <f>SUMIF(月間集計シート!$M$71:$M$90,$G1586,月間集計シート!P$71:P$90)*Z$2</f>
        <v>0</v>
      </c>
      <c r="AA1586" s="88">
        <f>SUMIF(月間集計シート!$M$71:$M$90,$G1586,月間集計シート!Q$71:Q$90)*AA$2</f>
        <v>0</v>
      </c>
      <c r="AB1586" s="88">
        <f>SUMIF(月間集計シート!$M$71:$M$90,$G1586,月間集計シート!R$71:R$90)*AB$2</f>
        <v>0</v>
      </c>
      <c r="AC1586" s="88">
        <f>SUMIF(月間集計シート!$M$71:$M$90,$G1586,月間集計シート!S$71:S$90)*AC$2</f>
        <v>0</v>
      </c>
      <c r="AD1586" s="88">
        <f>SUMIF(月間集計シート!$M$71:$M$90,$G1586,月間集計シート!T$71:T$90)*AD$2</f>
        <v>0</v>
      </c>
      <c r="AE1586" s="88">
        <f>SUMIF(月間集計シート!$M$92:$M$111,$G1586,月間集計シート!N$92:N$111)*AE$2</f>
        <v>0</v>
      </c>
      <c r="AF1586" s="88">
        <f>SUMIF(月間集計シート!$M$92:$M$111,$G1586,月間集計シート!O$92:O$111)*AF$2</f>
        <v>0</v>
      </c>
      <c r="AG1586" s="88">
        <f>SUMIF(月間集計シート!$M$92:$M$111,$G1586,月間集計シート!P$92:P$111)*AG$2</f>
        <v>0</v>
      </c>
      <c r="AH1586" s="88">
        <f>SUMIF(月間集計シート!$M$92:$M$111,$G1586,月間集計シート!Q$92:Q$111)*AH$2</f>
        <v>0</v>
      </c>
      <c r="AI1586" s="88">
        <f>SUMIF(月間集計シート!$M$92:$M$111,$G1586,月間集計シート!R$92:R$111)*AI$2</f>
        <v>0</v>
      </c>
      <c r="AJ1586" s="88">
        <f>SUMIF(月間集計シート!$M$92:$M$111,$G1586,月間集計シート!S$92:S$111)*AJ$2</f>
        <v>0</v>
      </c>
      <c r="AK1586" s="88">
        <f>SUMIF(月間集計シート!$M$92:$M$111,$G1586,月間集計シート!T$92:T$111)*AK$2</f>
        <v>0</v>
      </c>
      <c r="AL1586" s="88">
        <f>SUMIF(月間集計シート!$M$113:$M$132,$G1586,月間集計シート!N$113:N$132)*AL$2</f>
        <v>0</v>
      </c>
      <c r="AM1586" s="88">
        <f>SUMIF(月間集計シート!$M$113:$M$132,$G1586,月間集計シート!O$113:O$132)*AM$2</f>
        <v>0</v>
      </c>
      <c r="AN1586" s="88">
        <f>SUMIF(月間集計シート!$M$113:$M$132,$G1586,月間集計シート!P$113:P$132)*AN$2</f>
        <v>0</v>
      </c>
      <c r="AO1586" s="88">
        <f>SUMIF(月間集計シート!$M$113:$M$132,$G1586,月間集計シート!Q$113:Q$132)*AO$2</f>
        <v>0</v>
      </c>
      <c r="AP1586" s="88">
        <f>SUMIF(月間集計シート!$M$113:$M$132,$G1586,月間集計シート!R$113:R$132)*AP$2</f>
        <v>0</v>
      </c>
      <c r="AQ1586" s="88">
        <f>SUMIF(月間集計シート!$M$113:$M$132,$G1586,月間集計シート!S$113:S$132)*AQ$2</f>
        <v>0</v>
      </c>
      <c r="AR1586" s="88">
        <f>SUMIF(月間集計シート!$M$113:$M$132,$G1586,月間集計シート!T$113:T$132)*AR$2</f>
        <v>0</v>
      </c>
      <c r="AS1586" s="88">
        <f>SUMIF(月間集計シート!$M$134:$M$153,$G1586,月間集計シート!N$134:N$153)*AS$2</f>
        <v>0</v>
      </c>
      <c r="AT1586" s="88">
        <f>SUMIF(月間集計シート!$M$134:$M$153,$G1586,月間集計シート!O$134:O$153)*AT$2</f>
        <v>0</v>
      </c>
      <c r="AU1586" s="88">
        <f>SUMIF(月間集計シート!$M$134:$M$153,$G1586,月間集計シート!P$134:P$153)*AU$2</f>
        <v>0</v>
      </c>
      <c r="AV1586" s="88">
        <f>SUMIF(月間集計シート!$M$134:$M$153,$G1586,月間集計シート!Q$134:Q$153)*AV$2</f>
        <v>0</v>
      </c>
      <c r="AW1586" s="88">
        <f>SUMIF(月間集計シート!$M$134:$M$153,$G1586,月間集計シート!R$134:R$153)*AW$2</f>
        <v>0</v>
      </c>
      <c r="AX1586" s="88">
        <f>SUMIF(月間集計シート!$M$134:$M$153,$G1586,月間集計シート!S$134:S$153)*AX$2</f>
        <v>0</v>
      </c>
      <c r="AY1586" s="88">
        <f>SUMIF(月間集計シート!$M$134:$M$153,$G1586,月間集計シート!T$134:T$153)*AY$2</f>
        <v>0</v>
      </c>
    </row>
    <row r="1587" spans="1:51" ht="14.25" thickBot="1">
      <c r="A1587">
        <v>19</v>
      </c>
      <c r="B1587" s="120">
        <f t="shared" si="888"/>
        <v>0</v>
      </c>
      <c r="C1587" s="120" t="str">
        <f t="shared" si="889"/>
        <v/>
      </c>
      <c r="D1587" s="137"/>
      <c r="E1587" s="150" t="str">
        <f>工種!A49</f>
        <v>60199</v>
      </c>
      <c r="F1587" s="119" t="str">
        <f>工種!B49</f>
        <v>ﾘﾘｰｽ：その他</v>
      </c>
      <c r="G1587" s="116" t="str">
        <f t="shared" si="890"/>
        <v>060199</v>
      </c>
      <c r="H1587" s="88">
        <f t="shared" si="844"/>
        <v>0</v>
      </c>
      <c r="I1587" s="132"/>
      <c r="J1587" s="88">
        <f>SUMIF(月間集計シート!$M$29:$M$48,$G1587,月間集計シート!N$29:N$48)*J$2</f>
        <v>0</v>
      </c>
      <c r="K1587" s="88">
        <f>SUMIF(月間集計シート!$M$29:$M$48,$G1587,月間集計シート!O$29:O$48)*K$2</f>
        <v>0</v>
      </c>
      <c r="L1587" s="88">
        <f>SUMIF(月間集計シート!$M$29:$M$48,$G1587,月間集計シート!P$29:P$48)*L$2</f>
        <v>0</v>
      </c>
      <c r="M1587" s="88">
        <f>SUMIF(月間集計シート!$M$29:$M$48,$G1587,月間集計シート!Q$29:Q$48)*M$2</f>
        <v>0</v>
      </c>
      <c r="N1587" s="88">
        <f>SUMIF(月間集計シート!$M$29:$M$48,$G1587,月間集計シート!R$29:R$48)*N$2</f>
        <v>0</v>
      </c>
      <c r="O1587" s="88">
        <f>SUMIF(月間集計シート!$M$29:$M$48,$G1587,月間集計シート!S$29:S$48)*O$2</f>
        <v>0</v>
      </c>
      <c r="P1587" s="88">
        <f>SUMIF(月間集計シート!$M$29:$M$48,$G1587,月間集計シート!T$29:T$48)*P$2</f>
        <v>0</v>
      </c>
      <c r="Q1587" s="88">
        <f>SUMIF(月間集計シート!$M$50:$M$69,$G1587,月間集計シート!N$50:N$69)*Q$2</f>
        <v>0</v>
      </c>
      <c r="R1587" s="88">
        <f>SUMIF(月間集計シート!$M$50:$M$69,$G1587,月間集計シート!O$50:O$69)*R$2</f>
        <v>0</v>
      </c>
      <c r="S1587" s="88">
        <f>SUMIF(月間集計シート!$M$50:$M$69,$G1587,月間集計シート!P$50:P$69)*S$2</f>
        <v>0</v>
      </c>
      <c r="T1587" s="88">
        <f>SUMIF(月間集計シート!$M$50:$M$69,$G1587,月間集計シート!Q$50:Q$69)*T$2</f>
        <v>0</v>
      </c>
      <c r="U1587" s="88">
        <f>SUMIF(月間集計シート!$M$50:$M$69,$G1587,月間集計シート!R$50:R$69)*U$2</f>
        <v>0</v>
      </c>
      <c r="V1587" s="88">
        <f>SUMIF(月間集計シート!$M$50:$M$69,$G1587,月間集計シート!S$50:S$69)*V$2</f>
        <v>0</v>
      </c>
      <c r="W1587" s="88">
        <f>SUMIF(月間集計シート!$M$50:$M$69,$G1587,月間集計シート!T$50:T$69)*W$2</f>
        <v>0</v>
      </c>
      <c r="X1587" s="88">
        <f>SUMIF(月間集計シート!$M$71:$M$90,$G1587,月間集計シート!N$71:N$90)*X$2</f>
        <v>0</v>
      </c>
      <c r="Y1587" s="88">
        <f>SUMIF(月間集計シート!$M$71:$M$90,$G1587,月間集計シート!O$71:O$90)*Y$2</f>
        <v>0</v>
      </c>
      <c r="Z1587" s="88">
        <f>SUMIF(月間集計シート!$M$71:$M$90,$G1587,月間集計シート!P$71:P$90)*Z$2</f>
        <v>0</v>
      </c>
      <c r="AA1587" s="88">
        <f>SUMIF(月間集計シート!$M$71:$M$90,$G1587,月間集計シート!Q$71:Q$90)*AA$2</f>
        <v>0</v>
      </c>
      <c r="AB1587" s="88">
        <f>SUMIF(月間集計シート!$M$71:$M$90,$G1587,月間集計シート!R$71:R$90)*AB$2</f>
        <v>0</v>
      </c>
      <c r="AC1587" s="88">
        <f>SUMIF(月間集計シート!$M$71:$M$90,$G1587,月間集計シート!S$71:S$90)*AC$2</f>
        <v>0</v>
      </c>
      <c r="AD1587" s="88">
        <f>SUMIF(月間集計シート!$M$71:$M$90,$G1587,月間集計シート!T$71:T$90)*AD$2</f>
        <v>0</v>
      </c>
      <c r="AE1587" s="88">
        <f>SUMIF(月間集計シート!$M$92:$M$111,$G1587,月間集計シート!N$92:N$111)*AE$2</f>
        <v>0</v>
      </c>
      <c r="AF1587" s="88">
        <f>SUMIF(月間集計シート!$M$92:$M$111,$G1587,月間集計シート!O$92:O$111)*AF$2</f>
        <v>0</v>
      </c>
      <c r="AG1587" s="88">
        <f>SUMIF(月間集計シート!$M$92:$M$111,$G1587,月間集計シート!P$92:P$111)*AG$2</f>
        <v>0</v>
      </c>
      <c r="AH1587" s="88">
        <f>SUMIF(月間集計シート!$M$92:$M$111,$G1587,月間集計シート!Q$92:Q$111)*AH$2</f>
        <v>0</v>
      </c>
      <c r="AI1587" s="88">
        <f>SUMIF(月間集計シート!$M$92:$M$111,$G1587,月間集計シート!R$92:R$111)*AI$2</f>
        <v>0</v>
      </c>
      <c r="AJ1587" s="88">
        <f>SUMIF(月間集計シート!$M$92:$M$111,$G1587,月間集計シート!S$92:S$111)*AJ$2</f>
        <v>0</v>
      </c>
      <c r="AK1587" s="88">
        <f>SUMIF(月間集計シート!$M$92:$M$111,$G1587,月間集計シート!T$92:T$111)*AK$2</f>
        <v>0</v>
      </c>
      <c r="AL1587" s="88">
        <f>SUMIF(月間集計シート!$M$113:$M$132,$G1587,月間集計シート!N$113:N$132)*AL$2</f>
        <v>0</v>
      </c>
      <c r="AM1587" s="88">
        <f>SUMIF(月間集計シート!$M$113:$M$132,$G1587,月間集計シート!O$113:O$132)*AM$2</f>
        <v>0</v>
      </c>
      <c r="AN1587" s="88">
        <f>SUMIF(月間集計シート!$M$113:$M$132,$G1587,月間集計シート!P$113:P$132)*AN$2</f>
        <v>0</v>
      </c>
      <c r="AO1587" s="88">
        <f>SUMIF(月間集計シート!$M$113:$M$132,$G1587,月間集計シート!Q$113:Q$132)*AO$2</f>
        <v>0</v>
      </c>
      <c r="AP1587" s="88">
        <f>SUMIF(月間集計シート!$M$113:$M$132,$G1587,月間集計シート!R$113:R$132)*AP$2</f>
        <v>0</v>
      </c>
      <c r="AQ1587" s="88">
        <f>SUMIF(月間集計シート!$M$113:$M$132,$G1587,月間集計シート!S$113:S$132)*AQ$2</f>
        <v>0</v>
      </c>
      <c r="AR1587" s="88">
        <f>SUMIF(月間集計シート!$M$113:$M$132,$G1587,月間集計シート!T$113:T$132)*AR$2</f>
        <v>0</v>
      </c>
      <c r="AS1587" s="88">
        <f>SUMIF(月間集計シート!$M$134:$M$153,$G1587,月間集計シート!N$134:N$153)*AS$2</f>
        <v>0</v>
      </c>
      <c r="AT1587" s="88">
        <f>SUMIF(月間集計シート!$M$134:$M$153,$G1587,月間集計シート!O$134:O$153)*AT$2</f>
        <v>0</v>
      </c>
      <c r="AU1587" s="88">
        <f>SUMIF(月間集計シート!$M$134:$M$153,$G1587,月間集計シート!P$134:P$153)*AU$2</f>
        <v>0</v>
      </c>
      <c r="AV1587" s="88">
        <f>SUMIF(月間集計シート!$M$134:$M$153,$G1587,月間集計シート!Q$134:Q$153)*AV$2</f>
        <v>0</v>
      </c>
      <c r="AW1587" s="88">
        <f>SUMIF(月間集計シート!$M$134:$M$153,$G1587,月間集計シート!R$134:R$153)*AW$2</f>
        <v>0</v>
      </c>
      <c r="AX1587" s="88">
        <f>SUMIF(月間集計シート!$M$134:$M$153,$G1587,月間集計シート!S$134:S$153)*AX$2</f>
        <v>0</v>
      </c>
      <c r="AY1587" s="88">
        <f>SUMIF(月間集計シート!$M$134:$M$153,$G1587,月間集計シート!T$134:T$153)*AY$2</f>
        <v>0</v>
      </c>
    </row>
    <row r="1588" spans="1:51" ht="14.25" thickBot="1">
      <c r="A1588">
        <v>19</v>
      </c>
      <c r="B1588" s="120">
        <f t="shared" si="888"/>
        <v>0</v>
      </c>
      <c r="C1588" s="120" t="str">
        <f t="shared" si="889"/>
        <v/>
      </c>
      <c r="D1588" s="137"/>
      <c r="E1588" s="150">
        <f>工種!A50</f>
        <v>70101</v>
      </c>
      <c r="F1588" s="119" t="str">
        <f>工種!B50</f>
        <v>外部不具合修正：調査・設計</v>
      </c>
      <c r="G1588" s="116" t="str">
        <f t="shared" si="890"/>
        <v>070101</v>
      </c>
      <c r="H1588" s="88">
        <f t="shared" si="844"/>
        <v>0</v>
      </c>
      <c r="I1588" s="132"/>
      <c r="J1588" s="88">
        <f>SUMIF(月間集計シート!$M$29:$M$48,$G1588,月間集計シート!N$29:N$48)*J$2</f>
        <v>0</v>
      </c>
      <c r="K1588" s="88">
        <f>SUMIF(月間集計シート!$M$29:$M$48,$G1588,月間集計シート!O$29:O$48)*K$2</f>
        <v>0</v>
      </c>
      <c r="L1588" s="88">
        <f>SUMIF(月間集計シート!$M$29:$M$48,$G1588,月間集計シート!P$29:P$48)*L$2</f>
        <v>0</v>
      </c>
      <c r="M1588" s="88">
        <f>SUMIF(月間集計シート!$M$29:$M$48,$G1588,月間集計シート!Q$29:Q$48)*M$2</f>
        <v>0</v>
      </c>
      <c r="N1588" s="88">
        <f>SUMIF(月間集計シート!$M$29:$M$48,$G1588,月間集計シート!R$29:R$48)*N$2</f>
        <v>0</v>
      </c>
      <c r="O1588" s="88">
        <f>SUMIF(月間集計シート!$M$29:$M$48,$G1588,月間集計シート!S$29:S$48)*O$2</f>
        <v>0</v>
      </c>
      <c r="P1588" s="88">
        <f>SUMIF(月間集計シート!$M$29:$M$48,$G1588,月間集計シート!T$29:T$48)*P$2</f>
        <v>0</v>
      </c>
      <c r="Q1588" s="88">
        <f>SUMIF(月間集計シート!$M$50:$M$69,$G1588,月間集計シート!N$50:N$69)*Q$2</f>
        <v>0</v>
      </c>
      <c r="R1588" s="88">
        <f>SUMIF(月間集計シート!$M$50:$M$69,$G1588,月間集計シート!O$50:O$69)*R$2</f>
        <v>0</v>
      </c>
      <c r="S1588" s="88">
        <f>SUMIF(月間集計シート!$M$50:$M$69,$G1588,月間集計シート!P$50:P$69)*S$2</f>
        <v>0</v>
      </c>
      <c r="T1588" s="88">
        <f>SUMIF(月間集計シート!$M$50:$M$69,$G1588,月間集計シート!Q$50:Q$69)*T$2</f>
        <v>0</v>
      </c>
      <c r="U1588" s="88">
        <f>SUMIF(月間集計シート!$M$50:$M$69,$G1588,月間集計シート!R$50:R$69)*U$2</f>
        <v>0</v>
      </c>
      <c r="V1588" s="88">
        <f>SUMIF(月間集計シート!$M$50:$M$69,$G1588,月間集計シート!S$50:S$69)*V$2</f>
        <v>0</v>
      </c>
      <c r="W1588" s="88">
        <f>SUMIF(月間集計シート!$M$50:$M$69,$G1588,月間集計シート!T$50:T$69)*W$2</f>
        <v>0</v>
      </c>
      <c r="X1588" s="88">
        <f>SUMIF(月間集計シート!$M$71:$M$90,$G1588,月間集計シート!N$71:N$90)*X$2</f>
        <v>0</v>
      </c>
      <c r="Y1588" s="88">
        <f>SUMIF(月間集計シート!$M$71:$M$90,$G1588,月間集計シート!O$71:O$90)*Y$2</f>
        <v>0</v>
      </c>
      <c r="Z1588" s="88">
        <f>SUMIF(月間集計シート!$M$71:$M$90,$G1588,月間集計シート!P$71:P$90)*Z$2</f>
        <v>0</v>
      </c>
      <c r="AA1588" s="88">
        <f>SUMIF(月間集計シート!$M$71:$M$90,$G1588,月間集計シート!Q$71:Q$90)*AA$2</f>
        <v>0</v>
      </c>
      <c r="AB1588" s="88">
        <f>SUMIF(月間集計シート!$M$71:$M$90,$G1588,月間集計シート!R$71:R$90)*AB$2</f>
        <v>0</v>
      </c>
      <c r="AC1588" s="88">
        <f>SUMIF(月間集計シート!$M$71:$M$90,$G1588,月間集計シート!S$71:S$90)*AC$2</f>
        <v>0</v>
      </c>
      <c r="AD1588" s="88">
        <f>SUMIF(月間集計シート!$M$71:$M$90,$G1588,月間集計シート!T$71:T$90)*AD$2</f>
        <v>0</v>
      </c>
      <c r="AE1588" s="88">
        <f>SUMIF(月間集計シート!$M$92:$M$111,$G1588,月間集計シート!N$92:N$111)*AE$2</f>
        <v>0</v>
      </c>
      <c r="AF1588" s="88">
        <f>SUMIF(月間集計シート!$M$92:$M$111,$G1588,月間集計シート!O$92:O$111)*AF$2</f>
        <v>0</v>
      </c>
      <c r="AG1588" s="88">
        <f>SUMIF(月間集計シート!$M$92:$M$111,$G1588,月間集計シート!P$92:P$111)*AG$2</f>
        <v>0</v>
      </c>
      <c r="AH1588" s="88">
        <f>SUMIF(月間集計シート!$M$92:$M$111,$G1588,月間集計シート!Q$92:Q$111)*AH$2</f>
        <v>0</v>
      </c>
      <c r="AI1588" s="88">
        <f>SUMIF(月間集計シート!$M$92:$M$111,$G1588,月間集計シート!R$92:R$111)*AI$2</f>
        <v>0</v>
      </c>
      <c r="AJ1588" s="88">
        <f>SUMIF(月間集計シート!$M$92:$M$111,$G1588,月間集計シート!S$92:S$111)*AJ$2</f>
        <v>0</v>
      </c>
      <c r="AK1588" s="88">
        <f>SUMIF(月間集計シート!$M$92:$M$111,$G1588,月間集計シート!T$92:T$111)*AK$2</f>
        <v>0</v>
      </c>
      <c r="AL1588" s="88">
        <f>SUMIF(月間集計シート!$M$113:$M$132,$G1588,月間集計シート!N$113:N$132)*AL$2</f>
        <v>0</v>
      </c>
      <c r="AM1588" s="88">
        <f>SUMIF(月間集計シート!$M$113:$M$132,$G1588,月間集計シート!O$113:O$132)*AM$2</f>
        <v>0</v>
      </c>
      <c r="AN1588" s="88">
        <f>SUMIF(月間集計シート!$M$113:$M$132,$G1588,月間集計シート!P$113:P$132)*AN$2</f>
        <v>0</v>
      </c>
      <c r="AO1588" s="88">
        <f>SUMIF(月間集計シート!$M$113:$M$132,$G1588,月間集計シート!Q$113:Q$132)*AO$2</f>
        <v>0</v>
      </c>
      <c r="AP1588" s="88">
        <f>SUMIF(月間集計シート!$M$113:$M$132,$G1588,月間集計シート!R$113:R$132)*AP$2</f>
        <v>0</v>
      </c>
      <c r="AQ1588" s="88">
        <f>SUMIF(月間集計シート!$M$113:$M$132,$G1588,月間集計シート!S$113:S$132)*AQ$2</f>
        <v>0</v>
      </c>
      <c r="AR1588" s="88">
        <f>SUMIF(月間集計シート!$M$113:$M$132,$G1588,月間集計シート!T$113:T$132)*AR$2</f>
        <v>0</v>
      </c>
      <c r="AS1588" s="88">
        <f>SUMIF(月間集計シート!$M$134:$M$153,$G1588,月間集計シート!N$134:N$153)*AS$2</f>
        <v>0</v>
      </c>
      <c r="AT1588" s="88">
        <f>SUMIF(月間集計シート!$M$134:$M$153,$G1588,月間集計シート!O$134:O$153)*AT$2</f>
        <v>0</v>
      </c>
      <c r="AU1588" s="88">
        <f>SUMIF(月間集計シート!$M$134:$M$153,$G1588,月間集計シート!P$134:P$153)*AU$2</f>
        <v>0</v>
      </c>
      <c r="AV1588" s="88">
        <f>SUMIF(月間集計シート!$M$134:$M$153,$G1588,月間集計シート!Q$134:Q$153)*AV$2</f>
        <v>0</v>
      </c>
      <c r="AW1588" s="88">
        <f>SUMIF(月間集計シート!$M$134:$M$153,$G1588,月間集計シート!R$134:R$153)*AW$2</f>
        <v>0</v>
      </c>
      <c r="AX1588" s="88">
        <f>SUMIF(月間集計シート!$M$134:$M$153,$G1588,月間集計シート!S$134:S$153)*AX$2</f>
        <v>0</v>
      </c>
      <c r="AY1588" s="88">
        <f>SUMIF(月間集計シート!$M$134:$M$153,$G1588,月間集計シート!T$134:T$153)*AY$2</f>
        <v>0</v>
      </c>
    </row>
    <row r="1589" spans="1:51" ht="14.25" thickBot="1">
      <c r="A1589">
        <v>19</v>
      </c>
      <c r="B1589" s="120">
        <f t="shared" si="888"/>
        <v>0</v>
      </c>
      <c r="C1589" s="120" t="str">
        <f t="shared" si="889"/>
        <v/>
      </c>
      <c r="D1589" s="137"/>
      <c r="E1589" s="150">
        <f>工種!A51</f>
        <v>70102</v>
      </c>
      <c r="F1589" s="119" t="str">
        <f>工種!B51</f>
        <v>外部不具合修正：コーディング</v>
      </c>
      <c r="G1589" s="116" t="str">
        <f t="shared" si="890"/>
        <v>070102</v>
      </c>
      <c r="H1589" s="88">
        <f t="shared" si="844"/>
        <v>0</v>
      </c>
      <c r="I1589" s="132"/>
      <c r="J1589" s="88">
        <f>SUMIF(月間集計シート!$M$29:$M$48,$G1589,月間集計シート!N$29:N$48)*J$2</f>
        <v>0</v>
      </c>
      <c r="K1589" s="88">
        <f>SUMIF(月間集計シート!$M$29:$M$48,$G1589,月間集計シート!O$29:O$48)*K$2</f>
        <v>0</v>
      </c>
      <c r="L1589" s="88">
        <f>SUMIF(月間集計シート!$M$29:$M$48,$G1589,月間集計シート!P$29:P$48)*L$2</f>
        <v>0</v>
      </c>
      <c r="M1589" s="88">
        <f>SUMIF(月間集計シート!$M$29:$M$48,$G1589,月間集計シート!Q$29:Q$48)*M$2</f>
        <v>0</v>
      </c>
      <c r="N1589" s="88">
        <f>SUMIF(月間集計シート!$M$29:$M$48,$G1589,月間集計シート!R$29:R$48)*N$2</f>
        <v>0</v>
      </c>
      <c r="O1589" s="88">
        <f>SUMIF(月間集計シート!$M$29:$M$48,$G1589,月間集計シート!S$29:S$48)*O$2</f>
        <v>0</v>
      </c>
      <c r="P1589" s="88">
        <f>SUMIF(月間集計シート!$M$29:$M$48,$G1589,月間集計シート!T$29:T$48)*P$2</f>
        <v>0</v>
      </c>
      <c r="Q1589" s="88">
        <f>SUMIF(月間集計シート!$M$50:$M$69,$G1589,月間集計シート!N$50:N$69)*Q$2</f>
        <v>0</v>
      </c>
      <c r="R1589" s="88">
        <f>SUMIF(月間集計シート!$M$50:$M$69,$G1589,月間集計シート!O$50:O$69)*R$2</f>
        <v>0</v>
      </c>
      <c r="S1589" s="88">
        <f>SUMIF(月間集計シート!$M$50:$M$69,$G1589,月間集計シート!P$50:P$69)*S$2</f>
        <v>0</v>
      </c>
      <c r="T1589" s="88">
        <f>SUMIF(月間集計シート!$M$50:$M$69,$G1589,月間集計シート!Q$50:Q$69)*T$2</f>
        <v>0</v>
      </c>
      <c r="U1589" s="88">
        <f>SUMIF(月間集計シート!$M$50:$M$69,$G1589,月間集計シート!R$50:R$69)*U$2</f>
        <v>0</v>
      </c>
      <c r="V1589" s="88">
        <f>SUMIF(月間集計シート!$M$50:$M$69,$G1589,月間集計シート!S$50:S$69)*V$2</f>
        <v>0</v>
      </c>
      <c r="W1589" s="88">
        <f>SUMIF(月間集計シート!$M$50:$M$69,$G1589,月間集計シート!T$50:T$69)*W$2</f>
        <v>0</v>
      </c>
      <c r="X1589" s="88">
        <f>SUMIF(月間集計シート!$M$71:$M$90,$G1589,月間集計シート!N$71:N$90)*X$2</f>
        <v>0</v>
      </c>
      <c r="Y1589" s="88">
        <f>SUMIF(月間集計シート!$M$71:$M$90,$G1589,月間集計シート!O$71:O$90)*Y$2</f>
        <v>0</v>
      </c>
      <c r="Z1589" s="88">
        <f>SUMIF(月間集計シート!$M$71:$M$90,$G1589,月間集計シート!P$71:P$90)*Z$2</f>
        <v>0</v>
      </c>
      <c r="AA1589" s="88">
        <f>SUMIF(月間集計シート!$M$71:$M$90,$G1589,月間集計シート!Q$71:Q$90)*AA$2</f>
        <v>0</v>
      </c>
      <c r="AB1589" s="88">
        <f>SUMIF(月間集計シート!$M$71:$M$90,$G1589,月間集計シート!R$71:R$90)*AB$2</f>
        <v>0</v>
      </c>
      <c r="AC1589" s="88">
        <f>SUMIF(月間集計シート!$M$71:$M$90,$G1589,月間集計シート!S$71:S$90)*AC$2</f>
        <v>0</v>
      </c>
      <c r="AD1589" s="88">
        <f>SUMIF(月間集計シート!$M$71:$M$90,$G1589,月間集計シート!T$71:T$90)*AD$2</f>
        <v>0</v>
      </c>
      <c r="AE1589" s="88">
        <f>SUMIF(月間集計シート!$M$92:$M$111,$G1589,月間集計シート!N$92:N$111)*AE$2</f>
        <v>0</v>
      </c>
      <c r="AF1589" s="88">
        <f>SUMIF(月間集計シート!$M$92:$M$111,$G1589,月間集計シート!O$92:O$111)*AF$2</f>
        <v>0</v>
      </c>
      <c r="AG1589" s="88">
        <f>SUMIF(月間集計シート!$M$92:$M$111,$G1589,月間集計シート!P$92:P$111)*AG$2</f>
        <v>0</v>
      </c>
      <c r="AH1589" s="88">
        <f>SUMIF(月間集計シート!$M$92:$M$111,$G1589,月間集計シート!Q$92:Q$111)*AH$2</f>
        <v>0</v>
      </c>
      <c r="AI1589" s="88">
        <f>SUMIF(月間集計シート!$M$92:$M$111,$G1589,月間集計シート!R$92:R$111)*AI$2</f>
        <v>0</v>
      </c>
      <c r="AJ1589" s="88">
        <f>SUMIF(月間集計シート!$M$92:$M$111,$G1589,月間集計シート!S$92:S$111)*AJ$2</f>
        <v>0</v>
      </c>
      <c r="AK1589" s="88">
        <f>SUMIF(月間集計シート!$M$92:$M$111,$G1589,月間集計シート!T$92:T$111)*AK$2</f>
        <v>0</v>
      </c>
      <c r="AL1589" s="88">
        <f>SUMIF(月間集計シート!$M$113:$M$132,$G1589,月間集計シート!N$113:N$132)*AL$2</f>
        <v>0</v>
      </c>
      <c r="AM1589" s="88">
        <f>SUMIF(月間集計シート!$M$113:$M$132,$G1589,月間集計シート!O$113:O$132)*AM$2</f>
        <v>0</v>
      </c>
      <c r="AN1589" s="88">
        <f>SUMIF(月間集計シート!$M$113:$M$132,$G1589,月間集計シート!P$113:P$132)*AN$2</f>
        <v>0</v>
      </c>
      <c r="AO1589" s="88">
        <f>SUMIF(月間集計シート!$M$113:$M$132,$G1589,月間集計シート!Q$113:Q$132)*AO$2</f>
        <v>0</v>
      </c>
      <c r="AP1589" s="88">
        <f>SUMIF(月間集計シート!$M$113:$M$132,$G1589,月間集計シート!R$113:R$132)*AP$2</f>
        <v>0</v>
      </c>
      <c r="AQ1589" s="88">
        <f>SUMIF(月間集計シート!$M$113:$M$132,$G1589,月間集計シート!S$113:S$132)*AQ$2</f>
        <v>0</v>
      </c>
      <c r="AR1589" s="88">
        <f>SUMIF(月間集計シート!$M$113:$M$132,$G1589,月間集計シート!T$113:T$132)*AR$2</f>
        <v>0</v>
      </c>
      <c r="AS1589" s="88">
        <f>SUMIF(月間集計シート!$M$134:$M$153,$G1589,月間集計シート!N$134:N$153)*AS$2</f>
        <v>0</v>
      </c>
      <c r="AT1589" s="88">
        <f>SUMIF(月間集計シート!$M$134:$M$153,$G1589,月間集計シート!O$134:O$153)*AT$2</f>
        <v>0</v>
      </c>
      <c r="AU1589" s="88">
        <f>SUMIF(月間集計シート!$M$134:$M$153,$G1589,月間集計シート!P$134:P$153)*AU$2</f>
        <v>0</v>
      </c>
      <c r="AV1589" s="88">
        <f>SUMIF(月間集計シート!$M$134:$M$153,$G1589,月間集計シート!Q$134:Q$153)*AV$2</f>
        <v>0</v>
      </c>
      <c r="AW1589" s="88">
        <f>SUMIF(月間集計シート!$M$134:$M$153,$G1589,月間集計シート!R$134:R$153)*AW$2</f>
        <v>0</v>
      </c>
      <c r="AX1589" s="88">
        <f>SUMIF(月間集計シート!$M$134:$M$153,$G1589,月間集計シート!S$134:S$153)*AX$2</f>
        <v>0</v>
      </c>
      <c r="AY1589" s="88">
        <f>SUMIF(月間集計シート!$M$134:$M$153,$G1589,月間集計シート!T$134:T$153)*AY$2</f>
        <v>0</v>
      </c>
    </row>
    <row r="1590" spans="1:51" ht="14.25" thickBot="1">
      <c r="A1590">
        <v>19</v>
      </c>
      <c r="B1590" s="120">
        <f t="shared" si="888"/>
        <v>0</v>
      </c>
      <c r="C1590" s="120" t="str">
        <f t="shared" si="889"/>
        <v/>
      </c>
      <c r="D1590" s="137"/>
      <c r="E1590" s="150">
        <f>工種!A52</f>
        <v>70103</v>
      </c>
      <c r="F1590" s="119" t="str">
        <f>工種!B52</f>
        <v>外部不具合修正：テスト</v>
      </c>
      <c r="G1590" s="116" t="str">
        <f t="shared" si="890"/>
        <v>070103</v>
      </c>
      <c r="H1590" s="88">
        <f t="shared" si="844"/>
        <v>0</v>
      </c>
      <c r="I1590" s="132"/>
      <c r="J1590" s="88">
        <f>SUMIF(月間集計シート!$M$29:$M$48,$G1590,月間集計シート!N$29:N$48)*J$2</f>
        <v>0</v>
      </c>
      <c r="K1590" s="88">
        <f>SUMIF(月間集計シート!$M$29:$M$48,$G1590,月間集計シート!O$29:O$48)*K$2</f>
        <v>0</v>
      </c>
      <c r="L1590" s="88">
        <f>SUMIF(月間集計シート!$M$29:$M$48,$G1590,月間集計シート!P$29:P$48)*L$2</f>
        <v>0</v>
      </c>
      <c r="M1590" s="88">
        <f>SUMIF(月間集計シート!$M$29:$M$48,$G1590,月間集計シート!Q$29:Q$48)*M$2</f>
        <v>0</v>
      </c>
      <c r="N1590" s="88">
        <f>SUMIF(月間集計シート!$M$29:$M$48,$G1590,月間集計シート!R$29:R$48)*N$2</f>
        <v>0</v>
      </c>
      <c r="O1590" s="88">
        <f>SUMIF(月間集計シート!$M$29:$M$48,$G1590,月間集計シート!S$29:S$48)*O$2</f>
        <v>0</v>
      </c>
      <c r="P1590" s="88">
        <f>SUMIF(月間集計シート!$M$29:$M$48,$G1590,月間集計シート!T$29:T$48)*P$2</f>
        <v>0</v>
      </c>
      <c r="Q1590" s="88">
        <f>SUMIF(月間集計シート!$M$50:$M$69,$G1590,月間集計シート!N$50:N$69)*Q$2</f>
        <v>0</v>
      </c>
      <c r="R1590" s="88">
        <f>SUMIF(月間集計シート!$M$50:$M$69,$G1590,月間集計シート!O$50:O$69)*R$2</f>
        <v>0</v>
      </c>
      <c r="S1590" s="88">
        <f>SUMIF(月間集計シート!$M$50:$M$69,$G1590,月間集計シート!P$50:P$69)*S$2</f>
        <v>0</v>
      </c>
      <c r="T1590" s="88">
        <f>SUMIF(月間集計シート!$M$50:$M$69,$G1590,月間集計シート!Q$50:Q$69)*T$2</f>
        <v>0</v>
      </c>
      <c r="U1590" s="88">
        <f>SUMIF(月間集計シート!$M$50:$M$69,$G1590,月間集計シート!R$50:R$69)*U$2</f>
        <v>0</v>
      </c>
      <c r="V1590" s="88">
        <f>SUMIF(月間集計シート!$M$50:$M$69,$G1590,月間集計シート!S$50:S$69)*V$2</f>
        <v>0</v>
      </c>
      <c r="W1590" s="88">
        <f>SUMIF(月間集計シート!$M$50:$M$69,$G1590,月間集計シート!T$50:T$69)*W$2</f>
        <v>0</v>
      </c>
      <c r="X1590" s="88">
        <f>SUMIF(月間集計シート!$M$71:$M$90,$G1590,月間集計シート!N$71:N$90)*X$2</f>
        <v>0</v>
      </c>
      <c r="Y1590" s="88">
        <f>SUMIF(月間集計シート!$M$71:$M$90,$G1590,月間集計シート!O$71:O$90)*Y$2</f>
        <v>0</v>
      </c>
      <c r="Z1590" s="88">
        <f>SUMIF(月間集計シート!$M$71:$M$90,$G1590,月間集計シート!P$71:P$90)*Z$2</f>
        <v>0</v>
      </c>
      <c r="AA1590" s="88">
        <f>SUMIF(月間集計シート!$M$71:$M$90,$G1590,月間集計シート!Q$71:Q$90)*AA$2</f>
        <v>0</v>
      </c>
      <c r="AB1590" s="88">
        <f>SUMIF(月間集計シート!$M$71:$M$90,$G1590,月間集計シート!R$71:R$90)*AB$2</f>
        <v>0</v>
      </c>
      <c r="AC1590" s="88">
        <f>SUMIF(月間集計シート!$M$71:$M$90,$G1590,月間集計シート!S$71:S$90)*AC$2</f>
        <v>0</v>
      </c>
      <c r="AD1590" s="88">
        <f>SUMIF(月間集計シート!$M$71:$M$90,$G1590,月間集計シート!T$71:T$90)*AD$2</f>
        <v>0</v>
      </c>
      <c r="AE1590" s="88">
        <f>SUMIF(月間集計シート!$M$92:$M$111,$G1590,月間集計シート!N$92:N$111)*AE$2</f>
        <v>0</v>
      </c>
      <c r="AF1590" s="88">
        <f>SUMIF(月間集計シート!$M$92:$M$111,$G1590,月間集計シート!O$92:O$111)*AF$2</f>
        <v>0</v>
      </c>
      <c r="AG1590" s="88">
        <f>SUMIF(月間集計シート!$M$92:$M$111,$G1590,月間集計シート!P$92:P$111)*AG$2</f>
        <v>0</v>
      </c>
      <c r="AH1590" s="88">
        <f>SUMIF(月間集計シート!$M$92:$M$111,$G1590,月間集計シート!Q$92:Q$111)*AH$2</f>
        <v>0</v>
      </c>
      <c r="AI1590" s="88">
        <f>SUMIF(月間集計シート!$M$92:$M$111,$G1590,月間集計シート!R$92:R$111)*AI$2</f>
        <v>0</v>
      </c>
      <c r="AJ1590" s="88">
        <f>SUMIF(月間集計シート!$M$92:$M$111,$G1590,月間集計シート!S$92:S$111)*AJ$2</f>
        <v>0</v>
      </c>
      <c r="AK1590" s="88">
        <f>SUMIF(月間集計シート!$M$92:$M$111,$G1590,月間集計シート!T$92:T$111)*AK$2</f>
        <v>0</v>
      </c>
      <c r="AL1590" s="88">
        <f>SUMIF(月間集計シート!$M$113:$M$132,$G1590,月間集計シート!N$113:N$132)*AL$2</f>
        <v>0</v>
      </c>
      <c r="AM1590" s="88">
        <f>SUMIF(月間集計シート!$M$113:$M$132,$G1590,月間集計シート!O$113:O$132)*AM$2</f>
        <v>0</v>
      </c>
      <c r="AN1590" s="88">
        <f>SUMIF(月間集計シート!$M$113:$M$132,$G1590,月間集計シート!P$113:P$132)*AN$2</f>
        <v>0</v>
      </c>
      <c r="AO1590" s="88">
        <f>SUMIF(月間集計シート!$M$113:$M$132,$G1590,月間集計シート!Q$113:Q$132)*AO$2</f>
        <v>0</v>
      </c>
      <c r="AP1590" s="88">
        <f>SUMIF(月間集計シート!$M$113:$M$132,$G1590,月間集計シート!R$113:R$132)*AP$2</f>
        <v>0</v>
      </c>
      <c r="AQ1590" s="88">
        <f>SUMIF(月間集計シート!$M$113:$M$132,$G1590,月間集計シート!S$113:S$132)*AQ$2</f>
        <v>0</v>
      </c>
      <c r="AR1590" s="88">
        <f>SUMIF(月間集計シート!$M$113:$M$132,$G1590,月間集計シート!T$113:T$132)*AR$2</f>
        <v>0</v>
      </c>
      <c r="AS1590" s="88">
        <f>SUMIF(月間集計シート!$M$134:$M$153,$G1590,月間集計シート!N$134:N$153)*AS$2</f>
        <v>0</v>
      </c>
      <c r="AT1590" s="88">
        <f>SUMIF(月間集計シート!$M$134:$M$153,$G1590,月間集計シート!O$134:O$153)*AT$2</f>
        <v>0</v>
      </c>
      <c r="AU1590" s="88">
        <f>SUMIF(月間集計シート!$M$134:$M$153,$G1590,月間集計シート!P$134:P$153)*AU$2</f>
        <v>0</v>
      </c>
      <c r="AV1590" s="88">
        <f>SUMIF(月間集計シート!$M$134:$M$153,$G1590,月間集計シート!Q$134:Q$153)*AV$2</f>
        <v>0</v>
      </c>
      <c r="AW1590" s="88">
        <f>SUMIF(月間集計シート!$M$134:$M$153,$G1590,月間集計シート!R$134:R$153)*AW$2</f>
        <v>0</v>
      </c>
      <c r="AX1590" s="88">
        <f>SUMIF(月間集計シート!$M$134:$M$153,$G1590,月間集計シート!S$134:S$153)*AX$2</f>
        <v>0</v>
      </c>
      <c r="AY1590" s="88">
        <f>SUMIF(月間集計シート!$M$134:$M$153,$G1590,月間集計シート!T$134:T$153)*AY$2</f>
        <v>0</v>
      </c>
    </row>
    <row r="1591" spans="1:51" ht="14.25" thickBot="1">
      <c r="A1591">
        <v>19</v>
      </c>
      <c r="B1591" s="120">
        <f t="shared" si="888"/>
        <v>0</v>
      </c>
      <c r="C1591" s="120" t="str">
        <f t="shared" si="889"/>
        <v/>
      </c>
      <c r="D1591" s="137"/>
      <c r="E1591" s="150">
        <f>工種!A53</f>
        <v>70104</v>
      </c>
      <c r="F1591" s="119" t="str">
        <f>工種!B53</f>
        <v>外部不具合修正：不具合連絡作成</v>
      </c>
      <c r="G1591" s="116" t="str">
        <f t="shared" si="890"/>
        <v>070104</v>
      </c>
      <c r="H1591" s="88">
        <f t="shared" si="844"/>
        <v>0</v>
      </c>
      <c r="I1591" s="132"/>
      <c r="J1591" s="88">
        <f>SUMIF(月間集計シート!$M$29:$M$48,$G1591,月間集計シート!N$29:N$48)*J$2</f>
        <v>0</v>
      </c>
      <c r="K1591" s="88">
        <f>SUMIF(月間集計シート!$M$29:$M$48,$G1591,月間集計シート!O$29:O$48)*K$2</f>
        <v>0</v>
      </c>
      <c r="L1591" s="88">
        <f>SUMIF(月間集計シート!$M$29:$M$48,$G1591,月間集計シート!P$29:P$48)*L$2</f>
        <v>0</v>
      </c>
      <c r="M1591" s="88">
        <f>SUMIF(月間集計シート!$M$29:$M$48,$G1591,月間集計シート!Q$29:Q$48)*M$2</f>
        <v>0</v>
      </c>
      <c r="N1591" s="88">
        <f>SUMIF(月間集計シート!$M$29:$M$48,$G1591,月間集計シート!R$29:R$48)*N$2</f>
        <v>0</v>
      </c>
      <c r="O1591" s="88">
        <f>SUMIF(月間集計シート!$M$29:$M$48,$G1591,月間集計シート!S$29:S$48)*O$2</f>
        <v>0</v>
      </c>
      <c r="P1591" s="88">
        <f>SUMIF(月間集計シート!$M$29:$M$48,$G1591,月間集計シート!T$29:T$48)*P$2</f>
        <v>0</v>
      </c>
      <c r="Q1591" s="88">
        <f>SUMIF(月間集計シート!$M$50:$M$69,$G1591,月間集計シート!N$50:N$69)*Q$2</f>
        <v>0</v>
      </c>
      <c r="R1591" s="88">
        <f>SUMIF(月間集計シート!$M$50:$M$69,$G1591,月間集計シート!O$50:O$69)*R$2</f>
        <v>0</v>
      </c>
      <c r="S1591" s="88">
        <f>SUMIF(月間集計シート!$M$50:$M$69,$G1591,月間集計シート!P$50:P$69)*S$2</f>
        <v>0</v>
      </c>
      <c r="T1591" s="88">
        <f>SUMIF(月間集計シート!$M$50:$M$69,$G1591,月間集計シート!Q$50:Q$69)*T$2</f>
        <v>0</v>
      </c>
      <c r="U1591" s="88">
        <f>SUMIF(月間集計シート!$M$50:$M$69,$G1591,月間集計シート!R$50:R$69)*U$2</f>
        <v>0</v>
      </c>
      <c r="V1591" s="88">
        <f>SUMIF(月間集計シート!$M$50:$M$69,$G1591,月間集計シート!S$50:S$69)*V$2</f>
        <v>0</v>
      </c>
      <c r="W1591" s="88">
        <f>SUMIF(月間集計シート!$M$50:$M$69,$G1591,月間集計シート!T$50:T$69)*W$2</f>
        <v>0</v>
      </c>
      <c r="X1591" s="88">
        <f>SUMIF(月間集計シート!$M$71:$M$90,$G1591,月間集計シート!N$71:N$90)*X$2</f>
        <v>0</v>
      </c>
      <c r="Y1591" s="88">
        <f>SUMIF(月間集計シート!$M$71:$M$90,$G1591,月間集計シート!O$71:O$90)*Y$2</f>
        <v>0</v>
      </c>
      <c r="Z1591" s="88">
        <f>SUMIF(月間集計シート!$M$71:$M$90,$G1591,月間集計シート!P$71:P$90)*Z$2</f>
        <v>0</v>
      </c>
      <c r="AA1591" s="88">
        <f>SUMIF(月間集計シート!$M$71:$M$90,$G1591,月間集計シート!Q$71:Q$90)*AA$2</f>
        <v>0</v>
      </c>
      <c r="AB1591" s="88">
        <f>SUMIF(月間集計シート!$M$71:$M$90,$G1591,月間集計シート!R$71:R$90)*AB$2</f>
        <v>0</v>
      </c>
      <c r="AC1591" s="88">
        <f>SUMIF(月間集計シート!$M$71:$M$90,$G1591,月間集計シート!S$71:S$90)*AC$2</f>
        <v>0</v>
      </c>
      <c r="AD1591" s="88">
        <f>SUMIF(月間集計シート!$M$71:$M$90,$G1591,月間集計シート!T$71:T$90)*AD$2</f>
        <v>0</v>
      </c>
      <c r="AE1591" s="88">
        <f>SUMIF(月間集計シート!$M$92:$M$111,$G1591,月間集計シート!N$92:N$111)*AE$2</f>
        <v>0</v>
      </c>
      <c r="AF1591" s="88">
        <f>SUMIF(月間集計シート!$M$92:$M$111,$G1591,月間集計シート!O$92:O$111)*AF$2</f>
        <v>0</v>
      </c>
      <c r="AG1591" s="88">
        <f>SUMIF(月間集計シート!$M$92:$M$111,$G1591,月間集計シート!P$92:P$111)*AG$2</f>
        <v>0</v>
      </c>
      <c r="AH1591" s="88">
        <f>SUMIF(月間集計シート!$M$92:$M$111,$G1591,月間集計シート!Q$92:Q$111)*AH$2</f>
        <v>0</v>
      </c>
      <c r="AI1591" s="88">
        <f>SUMIF(月間集計シート!$M$92:$M$111,$G1591,月間集計シート!R$92:R$111)*AI$2</f>
        <v>0</v>
      </c>
      <c r="AJ1591" s="88">
        <f>SUMIF(月間集計シート!$M$92:$M$111,$G1591,月間集計シート!S$92:S$111)*AJ$2</f>
        <v>0</v>
      </c>
      <c r="AK1591" s="88">
        <f>SUMIF(月間集計シート!$M$92:$M$111,$G1591,月間集計シート!T$92:T$111)*AK$2</f>
        <v>0</v>
      </c>
      <c r="AL1591" s="88">
        <f>SUMIF(月間集計シート!$M$113:$M$132,$G1591,月間集計シート!N$113:N$132)*AL$2</f>
        <v>0</v>
      </c>
      <c r="AM1591" s="88">
        <f>SUMIF(月間集計シート!$M$113:$M$132,$G1591,月間集計シート!O$113:O$132)*AM$2</f>
        <v>0</v>
      </c>
      <c r="AN1591" s="88">
        <f>SUMIF(月間集計シート!$M$113:$M$132,$G1591,月間集計シート!P$113:P$132)*AN$2</f>
        <v>0</v>
      </c>
      <c r="AO1591" s="88">
        <f>SUMIF(月間集計シート!$M$113:$M$132,$G1591,月間集計シート!Q$113:Q$132)*AO$2</f>
        <v>0</v>
      </c>
      <c r="AP1591" s="88">
        <f>SUMIF(月間集計シート!$M$113:$M$132,$G1591,月間集計シート!R$113:R$132)*AP$2</f>
        <v>0</v>
      </c>
      <c r="AQ1591" s="88">
        <f>SUMIF(月間集計シート!$M$113:$M$132,$G1591,月間集計シート!S$113:S$132)*AQ$2</f>
        <v>0</v>
      </c>
      <c r="AR1591" s="88">
        <f>SUMIF(月間集計シート!$M$113:$M$132,$G1591,月間集計シート!T$113:T$132)*AR$2</f>
        <v>0</v>
      </c>
      <c r="AS1591" s="88">
        <f>SUMIF(月間集計シート!$M$134:$M$153,$G1591,月間集計シート!N$134:N$153)*AS$2</f>
        <v>0</v>
      </c>
      <c r="AT1591" s="88">
        <f>SUMIF(月間集計シート!$M$134:$M$153,$G1591,月間集計シート!O$134:O$153)*AT$2</f>
        <v>0</v>
      </c>
      <c r="AU1591" s="88">
        <f>SUMIF(月間集計シート!$M$134:$M$153,$G1591,月間集計シート!P$134:P$153)*AU$2</f>
        <v>0</v>
      </c>
      <c r="AV1591" s="88">
        <f>SUMIF(月間集計シート!$M$134:$M$153,$G1591,月間集計シート!Q$134:Q$153)*AV$2</f>
        <v>0</v>
      </c>
      <c r="AW1591" s="88">
        <f>SUMIF(月間集計シート!$M$134:$M$153,$G1591,月間集計シート!R$134:R$153)*AW$2</f>
        <v>0</v>
      </c>
      <c r="AX1591" s="88">
        <f>SUMIF(月間集計シート!$M$134:$M$153,$G1591,月間集計シート!S$134:S$153)*AX$2</f>
        <v>0</v>
      </c>
      <c r="AY1591" s="88">
        <f>SUMIF(月間集計シート!$M$134:$M$153,$G1591,月間集計シート!T$134:T$153)*AY$2</f>
        <v>0</v>
      </c>
    </row>
    <row r="1592" spans="1:51" ht="14.25" thickBot="1">
      <c r="A1592">
        <v>19</v>
      </c>
      <c r="B1592" s="120">
        <f t="shared" si="888"/>
        <v>0</v>
      </c>
      <c r="C1592" s="120" t="str">
        <f t="shared" si="889"/>
        <v/>
      </c>
      <c r="D1592" s="137"/>
      <c r="E1592" s="150">
        <f>工種!A54</f>
        <v>70105</v>
      </c>
      <c r="F1592" s="119" t="str">
        <f>工種!B54</f>
        <v>外部不具合修正：差分PGイントラ掲載</v>
      </c>
      <c r="G1592" s="116" t="str">
        <f t="shared" si="890"/>
        <v>070105</v>
      </c>
      <c r="H1592" s="88">
        <f t="shared" si="844"/>
        <v>0</v>
      </c>
      <c r="I1592" s="132"/>
      <c r="J1592" s="88">
        <f>SUMIF(月間集計シート!$M$29:$M$48,$G1592,月間集計シート!N$29:N$48)*J$2</f>
        <v>0</v>
      </c>
      <c r="K1592" s="88">
        <f>SUMIF(月間集計シート!$M$29:$M$48,$G1592,月間集計シート!O$29:O$48)*K$2</f>
        <v>0</v>
      </c>
      <c r="L1592" s="88">
        <f>SUMIF(月間集計シート!$M$29:$M$48,$G1592,月間集計シート!P$29:P$48)*L$2</f>
        <v>0</v>
      </c>
      <c r="M1592" s="88">
        <f>SUMIF(月間集計シート!$M$29:$M$48,$G1592,月間集計シート!Q$29:Q$48)*M$2</f>
        <v>0</v>
      </c>
      <c r="N1592" s="88">
        <f>SUMIF(月間集計シート!$M$29:$M$48,$G1592,月間集計シート!R$29:R$48)*N$2</f>
        <v>0</v>
      </c>
      <c r="O1592" s="88">
        <f>SUMIF(月間集計シート!$M$29:$M$48,$G1592,月間集計シート!S$29:S$48)*O$2</f>
        <v>0</v>
      </c>
      <c r="P1592" s="88">
        <f>SUMIF(月間集計シート!$M$29:$M$48,$G1592,月間集計シート!T$29:T$48)*P$2</f>
        <v>0</v>
      </c>
      <c r="Q1592" s="88">
        <f>SUMIF(月間集計シート!$M$50:$M$69,$G1592,月間集計シート!N$50:N$69)*Q$2</f>
        <v>0</v>
      </c>
      <c r="R1592" s="88">
        <f>SUMIF(月間集計シート!$M$50:$M$69,$G1592,月間集計シート!O$50:O$69)*R$2</f>
        <v>0</v>
      </c>
      <c r="S1592" s="88">
        <f>SUMIF(月間集計シート!$M$50:$M$69,$G1592,月間集計シート!P$50:P$69)*S$2</f>
        <v>0</v>
      </c>
      <c r="T1592" s="88">
        <f>SUMIF(月間集計シート!$M$50:$M$69,$G1592,月間集計シート!Q$50:Q$69)*T$2</f>
        <v>0</v>
      </c>
      <c r="U1592" s="88">
        <f>SUMIF(月間集計シート!$M$50:$M$69,$G1592,月間集計シート!R$50:R$69)*U$2</f>
        <v>0</v>
      </c>
      <c r="V1592" s="88">
        <f>SUMIF(月間集計シート!$M$50:$M$69,$G1592,月間集計シート!S$50:S$69)*V$2</f>
        <v>0</v>
      </c>
      <c r="W1592" s="88">
        <f>SUMIF(月間集計シート!$M$50:$M$69,$G1592,月間集計シート!T$50:T$69)*W$2</f>
        <v>0</v>
      </c>
      <c r="X1592" s="88">
        <f>SUMIF(月間集計シート!$M$71:$M$90,$G1592,月間集計シート!N$71:N$90)*X$2</f>
        <v>0</v>
      </c>
      <c r="Y1592" s="88">
        <f>SUMIF(月間集計シート!$M$71:$M$90,$G1592,月間集計シート!O$71:O$90)*Y$2</f>
        <v>0</v>
      </c>
      <c r="Z1592" s="88">
        <f>SUMIF(月間集計シート!$M$71:$M$90,$G1592,月間集計シート!P$71:P$90)*Z$2</f>
        <v>0</v>
      </c>
      <c r="AA1592" s="88">
        <f>SUMIF(月間集計シート!$M$71:$M$90,$G1592,月間集計シート!Q$71:Q$90)*AA$2</f>
        <v>0</v>
      </c>
      <c r="AB1592" s="88">
        <f>SUMIF(月間集計シート!$M$71:$M$90,$G1592,月間集計シート!R$71:R$90)*AB$2</f>
        <v>0</v>
      </c>
      <c r="AC1592" s="88">
        <f>SUMIF(月間集計シート!$M$71:$M$90,$G1592,月間集計シート!S$71:S$90)*AC$2</f>
        <v>0</v>
      </c>
      <c r="AD1592" s="88">
        <f>SUMIF(月間集計シート!$M$71:$M$90,$G1592,月間集計シート!T$71:T$90)*AD$2</f>
        <v>0</v>
      </c>
      <c r="AE1592" s="88">
        <f>SUMIF(月間集計シート!$M$92:$M$111,$G1592,月間集計シート!N$92:N$111)*AE$2</f>
        <v>0</v>
      </c>
      <c r="AF1592" s="88">
        <f>SUMIF(月間集計シート!$M$92:$M$111,$G1592,月間集計シート!O$92:O$111)*AF$2</f>
        <v>0</v>
      </c>
      <c r="AG1592" s="88">
        <f>SUMIF(月間集計シート!$M$92:$M$111,$G1592,月間集計シート!P$92:P$111)*AG$2</f>
        <v>0</v>
      </c>
      <c r="AH1592" s="88">
        <f>SUMIF(月間集計シート!$M$92:$M$111,$G1592,月間集計シート!Q$92:Q$111)*AH$2</f>
        <v>0</v>
      </c>
      <c r="AI1592" s="88">
        <f>SUMIF(月間集計シート!$M$92:$M$111,$G1592,月間集計シート!R$92:R$111)*AI$2</f>
        <v>0</v>
      </c>
      <c r="AJ1592" s="88">
        <f>SUMIF(月間集計シート!$M$92:$M$111,$G1592,月間集計シート!S$92:S$111)*AJ$2</f>
        <v>0</v>
      </c>
      <c r="AK1592" s="88">
        <f>SUMIF(月間集計シート!$M$92:$M$111,$G1592,月間集計シート!T$92:T$111)*AK$2</f>
        <v>0</v>
      </c>
      <c r="AL1592" s="88">
        <f>SUMIF(月間集計シート!$M$113:$M$132,$G1592,月間集計シート!N$113:N$132)*AL$2</f>
        <v>0</v>
      </c>
      <c r="AM1592" s="88">
        <f>SUMIF(月間集計シート!$M$113:$M$132,$G1592,月間集計シート!O$113:O$132)*AM$2</f>
        <v>0</v>
      </c>
      <c r="AN1592" s="88">
        <f>SUMIF(月間集計シート!$M$113:$M$132,$G1592,月間集計シート!P$113:P$132)*AN$2</f>
        <v>0</v>
      </c>
      <c r="AO1592" s="88">
        <f>SUMIF(月間集計シート!$M$113:$M$132,$G1592,月間集計シート!Q$113:Q$132)*AO$2</f>
        <v>0</v>
      </c>
      <c r="AP1592" s="88">
        <f>SUMIF(月間集計シート!$M$113:$M$132,$G1592,月間集計シート!R$113:R$132)*AP$2</f>
        <v>0</v>
      </c>
      <c r="AQ1592" s="88">
        <f>SUMIF(月間集計シート!$M$113:$M$132,$G1592,月間集計シート!S$113:S$132)*AQ$2</f>
        <v>0</v>
      </c>
      <c r="AR1592" s="88">
        <f>SUMIF(月間集計シート!$M$113:$M$132,$G1592,月間集計シート!T$113:T$132)*AR$2</f>
        <v>0</v>
      </c>
      <c r="AS1592" s="88">
        <f>SUMIF(月間集計シート!$M$134:$M$153,$G1592,月間集計シート!N$134:N$153)*AS$2</f>
        <v>0</v>
      </c>
      <c r="AT1592" s="88">
        <f>SUMIF(月間集計シート!$M$134:$M$153,$G1592,月間集計シート!O$134:O$153)*AT$2</f>
        <v>0</v>
      </c>
      <c r="AU1592" s="88">
        <f>SUMIF(月間集計シート!$M$134:$M$153,$G1592,月間集計シート!P$134:P$153)*AU$2</f>
        <v>0</v>
      </c>
      <c r="AV1592" s="88">
        <f>SUMIF(月間集計シート!$M$134:$M$153,$G1592,月間集計シート!Q$134:Q$153)*AV$2</f>
        <v>0</v>
      </c>
      <c r="AW1592" s="88">
        <f>SUMIF(月間集計シート!$M$134:$M$153,$G1592,月間集計シート!R$134:R$153)*AW$2</f>
        <v>0</v>
      </c>
      <c r="AX1592" s="88">
        <f>SUMIF(月間集計シート!$M$134:$M$153,$G1592,月間集計シート!S$134:S$153)*AX$2</f>
        <v>0</v>
      </c>
      <c r="AY1592" s="88">
        <f>SUMIF(月間集計シート!$M$134:$M$153,$G1592,月間集計シート!T$134:T$153)*AY$2</f>
        <v>0</v>
      </c>
    </row>
    <row r="1593" spans="1:51" ht="14.25" thickBot="1">
      <c r="A1593">
        <v>19</v>
      </c>
      <c r="B1593" s="120">
        <f t="shared" si="888"/>
        <v>0</v>
      </c>
      <c r="C1593" s="120" t="str">
        <f t="shared" si="889"/>
        <v/>
      </c>
      <c r="D1593" s="137"/>
      <c r="E1593" s="150">
        <f>工種!A55</f>
        <v>70106</v>
      </c>
      <c r="F1593" s="119" t="str">
        <f>工種!B55</f>
        <v>外部不具合修正：打合せ</v>
      </c>
      <c r="G1593" s="116" t="str">
        <f t="shared" si="890"/>
        <v>070106</v>
      </c>
      <c r="H1593" s="88">
        <f t="shared" si="844"/>
        <v>0</v>
      </c>
      <c r="I1593" s="132"/>
      <c r="J1593" s="88">
        <f>SUMIF(月間集計シート!$M$29:$M$48,$G1593,月間集計シート!N$29:N$48)*J$2</f>
        <v>0</v>
      </c>
      <c r="K1593" s="88">
        <f>SUMIF(月間集計シート!$M$29:$M$48,$G1593,月間集計シート!O$29:O$48)*K$2</f>
        <v>0</v>
      </c>
      <c r="L1593" s="88">
        <f>SUMIF(月間集計シート!$M$29:$M$48,$G1593,月間集計シート!P$29:P$48)*L$2</f>
        <v>0</v>
      </c>
      <c r="M1593" s="88">
        <f>SUMIF(月間集計シート!$M$29:$M$48,$G1593,月間集計シート!Q$29:Q$48)*M$2</f>
        <v>0</v>
      </c>
      <c r="N1593" s="88">
        <f>SUMIF(月間集計シート!$M$29:$M$48,$G1593,月間集計シート!R$29:R$48)*N$2</f>
        <v>0</v>
      </c>
      <c r="O1593" s="88">
        <f>SUMIF(月間集計シート!$M$29:$M$48,$G1593,月間集計シート!S$29:S$48)*O$2</f>
        <v>0</v>
      </c>
      <c r="P1593" s="88">
        <f>SUMIF(月間集計シート!$M$29:$M$48,$G1593,月間集計シート!T$29:T$48)*P$2</f>
        <v>0</v>
      </c>
      <c r="Q1593" s="88">
        <f>SUMIF(月間集計シート!$M$50:$M$69,$G1593,月間集計シート!N$50:N$69)*Q$2</f>
        <v>0</v>
      </c>
      <c r="R1593" s="88">
        <f>SUMIF(月間集計シート!$M$50:$M$69,$G1593,月間集計シート!O$50:O$69)*R$2</f>
        <v>0</v>
      </c>
      <c r="S1593" s="88">
        <f>SUMIF(月間集計シート!$M$50:$M$69,$G1593,月間集計シート!P$50:P$69)*S$2</f>
        <v>0</v>
      </c>
      <c r="T1593" s="88">
        <f>SUMIF(月間集計シート!$M$50:$M$69,$G1593,月間集計シート!Q$50:Q$69)*T$2</f>
        <v>0</v>
      </c>
      <c r="U1593" s="88">
        <f>SUMIF(月間集計シート!$M$50:$M$69,$G1593,月間集計シート!R$50:R$69)*U$2</f>
        <v>0</v>
      </c>
      <c r="V1593" s="88">
        <f>SUMIF(月間集計シート!$M$50:$M$69,$G1593,月間集計シート!S$50:S$69)*V$2</f>
        <v>0</v>
      </c>
      <c r="W1593" s="88">
        <f>SUMIF(月間集計シート!$M$50:$M$69,$G1593,月間集計シート!T$50:T$69)*W$2</f>
        <v>0</v>
      </c>
      <c r="X1593" s="88">
        <f>SUMIF(月間集計シート!$M$71:$M$90,$G1593,月間集計シート!N$71:N$90)*X$2</f>
        <v>0</v>
      </c>
      <c r="Y1593" s="88">
        <f>SUMIF(月間集計シート!$M$71:$M$90,$G1593,月間集計シート!O$71:O$90)*Y$2</f>
        <v>0</v>
      </c>
      <c r="Z1593" s="88">
        <f>SUMIF(月間集計シート!$M$71:$M$90,$G1593,月間集計シート!P$71:P$90)*Z$2</f>
        <v>0</v>
      </c>
      <c r="AA1593" s="88">
        <f>SUMIF(月間集計シート!$M$71:$M$90,$G1593,月間集計シート!Q$71:Q$90)*AA$2</f>
        <v>0</v>
      </c>
      <c r="AB1593" s="88">
        <f>SUMIF(月間集計シート!$M$71:$M$90,$G1593,月間集計シート!R$71:R$90)*AB$2</f>
        <v>0</v>
      </c>
      <c r="AC1593" s="88">
        <f>SUMIF(月間集計シート!$M$71:$M$90,$G1593,月間集計シート!S$71:S$90)*AC$2</f>
        <v>0</v>
      </c>
      <c r="AD1593" s="88">
        <f>SUMIF(月間集計シート!$M$71:$M$90,$G1593,月間集計シート!T$71:T$90)*AD$2</f>
        <v>0</v>
      </c>
      <c r="AE1593" s="88">
        <f>SUMIF(月間集計シート!$M$92:$M$111,$G1593,月間集計シート!N$92:N$111)*AE$2</f>
        <v>0</v>
      </c>
      <c r="AF1593" s="88">
        <f>SUMIF(月間集計シート!$M$92:$M$111,$G1593,月間集計シート!O$92:O$111)*AF$2</f>
        <v>0</v>
      </c>
      <c r="AG1593" s="88">
        <f>SUMIF(月間集計シート!$M$92:$M$111,$G1593,月間集計シート!P$92:P$111)*AG$2</f>
        <v>0</v>
      </c>
      <c r="AH1593" s="88">
        <f>SUMIF(月間集計シート!$M$92:$M$111,$G1593,月間集計シート!Q$92:Q$111)*AH$2</f>
        <v>0</v>
      </c>
      <c r="AI1593" s="88">
        <f>SUMIF(月間集計シート!$M$92:$M$111,$G1593,月間集計シート!R$92:R$111)*AI$2</f>
        <v>0</v>
      </c>
      <c r="AJ1593" s="88">
        <f>SUMIF(月間集計シート!$M$92:$M$111,$G1593,月間集計シート!S$92:S$111)*AJ$2</f>
        <v>0</v>
      </c>
      <c r="AK1593" s="88">
        <f>SUMIF(月間集計シート!$M$92:$M$111,$G1593,月間集計シート!T$92:T$111)*AK$2</f>
        <v>0</v>
      </c>
      <c r="AL1593" s="88">
        <f>SUMIF(月間集計シート!$M$113:$M$132,$G1593,月間集計シート!N$113:N$132)*AL$2</f>
        <v>0</v>
      </c>
      <c r="AM1593" s="88">
        <f>SUMIF(月間集計シート!$M$113:$M$132,$G1593,月間集計シート!O$113:O$132)*AM$2</f>
        <v>0</v>
      </c>
      <c r="AN1593" s="88">
        <f>SUMIF(月間集計シート!$M$113:$M$132,$G1593,月間集計シート!P$113:P$132)*AN$2</f>
        <v>0</v>
      </c>
      <c r="AO1593" s="88">
        <f>SUMIF(月間集計シート!$M$113:$M$132,$G1593,月間集計シート!Q$113:Q$132)*AO$2</f>
        <v>0</v>
      </c>
      <c r="AP1593" s="88">
        <f>SUMIF(月間集計シート!$M$113:$M$132,$G1593,月間集計シート!R$113:R$132)*AP$2</f>
        <v>0</v>
      </c>
      <c r="AQ1593" s="88">
        <f>SUMIF(月間集計シート!$M$113:$M$132,$G1593,月間集計シート!S$113:S$132)*AQ$2</f>
        <v>0</v>
      </c>
      <c r="AR1593" s="88">
        <f>SUMIF(月間集計シート!$M$113:$M$132,$G1593,月間集計シート!T$113:T$132)*AR$2</f>
        <v>0</v>
      </c>
      <c r="AS1593" s="88">
        <f>SUMIF(月間集計シート!$M$134:$M$153,$G1593,月間集計シート!N$134:N$153)*AS$2</f>
        <v>0</v>
      </c>
      <c r="AT1593" s="88">
        <f>SUMIF(月間集計シート!$M$134:$M$153,$G1593,月間集計シート!O$134:O$153)*AT$2</f>
        <v>0</v>
      </c>
      <c r="AU1593" s="88">
        <f>SUMIF(月間集計シート!$M$134:$M$153,$G1593,月間集計シート!P$134:P$153)*AU$2</f>
        <v>0</v>
      </c>
      <c r="AV1593" s="88">
        <f>SUMIF(月間集計シート!$M$134:$M$153,$G1593,月間集計シート!Q$134:Q$153)*AV$2</f>
        <v>0</v>
      </c>
      <c r="AW1593" s="88">
        <f>SUMIF(月間集計シート!$M$134:$M$153,$G1593,月間集計シート!R$134:R$153)*AW$2</f>
        <v>0</v>
      </c>
      <c r="AX1593" s="88">
        <f>SUMIF(月間集計シート!$M$134:$M$153,$G1593,月間集計シート!S$134:S$153)*AX$2</f>
        <v>0</v>
      </c>
      <c r="AY1593" s="88">
        <f>SUMIF(月間集計シート!$M$134:$M$153,$G1593,月間集計シート!T$134:T$153)*AY$2</f>
        <v>0</v>
      </c>
    </row>
    <row r="1594" spans="1:51" ht="14.25" thickBot="1">
      <c r="A1594">
        <v>19</v>
      </c>
      <c r="B1594" s="120">
        <f t="shared" si="888"/>
        <v>0</v>
      </c>
      <c r="C1594" s="120" t="str">
        <f t="shared" si="889"/>
        <v/>
      </c>
      <c r="D1594" s="137"/>
      <c r="E1594" s="150">
        <f>工種!A56</f>
        <v>70109</v>
      </c>
      <c r="F1594" s="119" t="str">
        <f>工種!B56</f>
        <v>外部不具合修正：レビュー</v>
      </c>
      <c r="G1594" s="116" t="str">
        <f t="shared" si="890"/>
        <v>070109</v>
      </c>
      <c r="H1594" s="88">
        <f t="shared" si="844"/>
        <v>0</v>
      </c>
      <c r="I1594" s="132"/>
      <c r="J1594" s="88">
        <f>SUMIF(月間集計シート!$M$29:$M$48,$G1594,月間集計シート!N$29:N$48)*J$2</f>
        <v>0</v>
      </c>
      <c r="K1594" s="88">
        <f>SUMIF(月間集計シート!$M$29:$M$48,$G1594,月間集計シート!O$29:O$48)*K$2</f>
        <v>0</v>
      </c>
      <c r="L1594" s="88">
        <f>SUMIF(月間集計シート!$M$29:$M$48,$G1594,月間集計シート!P$29:P$48)*L$2</f>
        <v>0</v>
      </c>
      <c r="M1594" s="88">
        <f>SUMIF(月間集計シート!$M$29:$M$48,$G1594,月間集計シート!Q$29:Q$48)*M$2</f>
        <v>0</v>
      </c>
      <c r="N1594" s="88">
        <f>SUMIF(月間集計シート!$M$29:$M$48,$G1594,月間集計シート!R$29:R$48)*N$2</f>
        <v>0</v>
      </c>
      <c r="O1594" s="88">
        <f>SUMIF(月間集計シート!$M$29:$M$48,$G1594,月間集計シート!S$29:S$48)*O$2</f>
        <v>0</v>
      </c>
      <c r="P1594" s="88">
        <f>SUMIF(月間集計シート!$M$29:$M$48,$G1594,月間集計シート!T$29:T$48)*P$2</f>
        <v>0</v>
      </c>
      <c r="Q1594" s="88">
        <f>SUMIF(月間集計シート!$M$50:$M$69,$G1594,月間集計シート!N$50:N$69)*Q$2</f>
        <v>0</v>
      </c>
      <c r="R1594" s="88">
        <f>SUMIF(月間集計シート!$M$50:$M$69,$G1594,月間集計シート!O$50:O$69)*R$2</f>
        <v>0</v>
      </c>
      <c r="S1594" s="88">
        <f>SUMIF(月間集計シート!$M$50:$M$69,$G1594,月間集計シート!P$50:P$69)*S$2</f>
        <v>0</v>
      </c>
      <c r="T1594" s="88">
        <f>SUMIF(月間集計シート!$M$50:$M$69,$G1594,月間集計シート!Q$50:Q$69)*T$2</f>
        <v>0</v>
      </c>
      <c r="U1594" s="88">
        <f>SUMIF(月間集計シート!$M$50:$M$69,$G1594,月間集計シート!R$50:R$69)*U$2</f>
        <v>0</v>
      </c>
      <c r="V1594" s="88">
        <f>SUMIF(月間集計シート!$M$50:$M$69,$G1594,月間集計シート!S$50:S$69)*V$2</f>
        <v>0</v>
      </c>
      <c r="W1594" s="88">
        <f>SUMIF(月間集計シート!$M$50:$M$69,$G1594,月間集計シート!T$50:T$69)*W$2</f>
        <v>0</v>
      </c>
      <c r="X1594" s="88">
        <f>SUMIF(月間集計シート!$M$71:$M$90,$G1594,月間集計シート!N$71:N$90)*X$2</f>
        <v>0</v>
      </c>
      <c r="Y1594" s="88">
        <f>SUMIF(月間集計シート!$M$71:$M$90,$G1594,月間集計シート!O$71:O$90)*Y$2</f>
        <v>0</v>
      </c>
      <c r="Z1594" s="88">
        <f>SUMIF(月間集計シート!$M$71:$M$90,$G1594,月間集計シート!P$71:P$90)*Z$2</f>
        <v>0</v>
      </c>
      <c r="AA1594" s="88">
        <f>SUMIF(月間集計シート!$M$71:$M$90,$G1594,月間集計シート!Q$71:Q$90)*AA$2</f>
        <v>0</v>
      </c>
      <c r="AB1594" s="88">
        <f>SUMIF(月間集計シート!$M$71:$M$90,$G1594,月間集計シート!R$71:R$90)*AB$2</f>
        <v>0</v>
      </c>
      <c r="AC1594" s="88">
        <f>SUMIF(月間集計シート!$M$71:$M$90,$G1594,月間集計シート!S$71:S$90)*AC$2</f>
        <v>0</v>
      </c>
      <c r="AD1594" s="88">
        <f>SUMIF(月間集計シート!$M$71:$M$90,$G1594,月間集計シート!T$71:T$90)*AD$2</f>
        <v>0</v>
      </c>
      <c r="AE1594" s="88">
        <f>SUMIF(月間集計シート!$M$92:$M$111,$G1594,月間集計シート!N$92:N$111)*AE$2</f>
        <v>0</v>
      </c>
      <c r="AF1594" s="88">
        <f>SUMIF(月間集計シート!$M$92:$M$111,$G1594,月間集計シート!O$92:O$111)*AF$2</f>
        <v>0</v>
      </c>
      <c r="AG1594" s="88">
        <f>SUMIF(月間集計シート!$M$92:$M$111,$G1594,月間集計シート!P$92:P$111)*AG$2</f>
        <v>0</v>
      </c>
      <c r="AH1594" s="88">
        <f>SUMIF(月間集計シート!$M$92:$M$111,$G1594,月間集計シート!Q$92:Q$111)*AH$2</f>
        <v>0</v>
      </c>
      <c r="AI1594" s="88">
        <f>SUMIF(月間集計シート!$M$92:$M$111,$G1594,月間集計シート!R$92:R$111)*AI$2</f>
        <v>0</v>
      </c>
      <c r="AJ1594" s="88">
        <f>SUMIF(月間集計シート!$M$92:$M$111,$G1594,月間集計シート!S$92:S$111)*AJ$2</f>
        <v>0</v>
      </c>
      <c r="AK1594" s="88">
        <f>SUMIF(月間集計シート!$M$92:$M$111,$G1594,月間集計シート!T$92:T$111)*AK$2</f>
        <v>0</v>
      </c>
      <c r="AL1594" s="88">
        <f>SUMIF(月間集計シート!$M$113:$M$132,$G1594,月間集計シート!N$113:N$132)*AL$2</f>
        <v>0</v>
      </c>
      <c r="AM1594" s="88">
        <f>SUMIF(月間集計シート!$M$113:$M$132,$G1594,月間集計シート!O$113:O$132)*AM$2</f>
        <v>0</v>
      </c>
      <c r="AN1594" s="88">
        <f>SUMIF(月間集計シート!$M$113:$M$132,$G1594,月間集計シート!P$113:P$132)*AN$2</f>
        <v>0</v>
      </c>
      <c r="AO1594" s="88">
        <f>SUMIF(月間集計シート!$M$113:$M$132,$G1594,月間集計シート!Q$113:Q$132)*AO$2</f>
        <v>0</v>
      </c>
      <c r="AP1594" s="88">
        <f>SUMIF(月間集計シート!$M$113:$M$132,$G1594,月間集計シート!R$113:R$132)*AP$2</f>
        <v>0</v>
      </c>
      <c r="AQ1594" s="88">
        <f>SUMIF(月間集計シート!$M$113:$M$132,$G1594,月間集計シート!S$113:S$132)*AQ$2</f>
        <v>0</v>
      </c>
      <c r="AR1594" s="88">
        <f>SUMIF(月間集計シート!$M$113:$M$132,$G1594,月間集計シート!T$113:T$132)*AR$2</f>
        <v>0</v>
      </c>
      <c r="AS1594" s="88">
        <f>SUMIF(月間集計シート!$M$134:$M$153,$G1594,月間集計シート!N$134:N$153)*AS$2</f>
        <v>0</v>
      </c>
      <c r="AT1594" s="88">
        <f>SUMIF(月間集計シート!$M$134:$M$153,$G1594,月間集計シート!O$134:O$153)*AT$2</f>
        <v>0</v>
      </c>
      <c r="AU1594" s="88">
        <f>SUMIF(月間集計シート!$M$134:$M$153,$G1594,月間集計シート!P$134:P$153)*AU$2</f>
        <v>0</v>
      </c>
      <c r="AV1594" s="88">
        <f>SUMIF(月間集計シート!$M$134:$M$153,$G1594,月間集計シート!Q$134:Q$153)*AV$2</f>
        <v>0</v>
      </c>
      <c r="AW1594" s="88">
        <f>SUMIF(月間集計シート!$M$134:$M$153,$G1594,月間集計シート!R$134:R$153)*AW$2</f>
        <v>0</v>
      </c>
      <c r="AX1594" s="88">
        <f>SUMIF(月間集計シート!$M$134:$M$153,$G1594,月間集計シート!S$134:S$153)*AX$2</f>
        <v>0</v>
      </c>
      <c r="AY1594" s="88">
        <f>SUMIF(月間集計シート!$M$134:$M$153,$G1594,月間集計シート!T$134:T$153)*AY$2</f>
        <v>0</v>
      </c>
    </row>
    <row r="1595" spans="1:51" ht="14.25" thickBot="1">
      <c r="A1595">
        <v>19</v>
      </c>
      <c r="B1595" s="120">
        <f t="shared" si="888"/>
        <v>0</v>
      </c>
      <c r="C1595" s="120" t="str">
        <f t="shared" si="889"/>
        <v/>
      </c>
      <c r="D1595" s="137"/>
      <c r="E1595" s="150">
        <f>工種!A57</f>
        <v>70189</v>
      </c>
      <c r="F1595" s="119" t="str">
        <f>工種!B57</f>
        <v>外部不具合修正：外部不具合分析</v>
      </c>
      <c r="G1595" s="116" t="str">
        <f t="shared" si="890"/>
        <v>070189</v>
      </c>
      <c r="H1595" s="88">
        <f t="shared" si="844"/>
        <v>0</v>
      </c>
      <c r="I1595" s="132"/>
      <c r="J1595" s="88">
        <f>SUMIF(月間集計シート!$M$29:$M$48,$G1595,月間集計シート!N$29:N$48)*J$2</f>
        <v>0</v>
      </c>
      <c r="K1595" s="88">
        <f>SUMIF(月間集計シート!$M$29:$M$48,$G1595,月間集計シート!O$29:O$48)*K$2</f>
        <v>0</v>
      </c>
      <c r="L1595" s="88">
        <f>SUMIF(月間集計シート!$M$29:$M$48,$G1595,月間集計シート!P$29:P$48)*L$2</f>
        <v>0</v>
      </c>
      <c r="M1595" s="88">
        <f>SUMIF(月間集計シート!$M$29:$M$48,$G1595,月間集計シート!Q$29:Q$48)*M$2</f>
        <v>0</v>
      </c>
      <c r="N1595" s="88">
        <f>SUMIF(月間集計シート!$M$29:$M$48,$G1595,月間集計シート!R$29:R$48)*N$2</f>
        <v>0</v>
      </c>
      <c r="O1595" s="88">
        <f>SUMIF(月間集計シート!$M$29:$M$48,$G1595,月間集計シート!S$29:S$48)*O$2</f>
        <v>0</v>
      </c>
      <c r="P1595" s="88">
        <f>SUMIF(月間集計シート!$M$29:$M$48,$G1595,月間集計シート!T$29:T$48)*P$2</f>
        <v>0</v>
      </c>
      <c r="Q1595" s="88">
        <f>SUMIF(月間集計シート!$M$50:$M$69,$G1595,月間集計シート!N$50:N$69)*Q$2</f>
        <v>0</v>
      </c>
      <c r="R1595" s="88">
        <f>SUMIF(月間集計シート!$M$50:$M$69,$G1595,月間集計シート!O$50:O$69)*R$2</f>
        <v>0</v>
      </c>
      <c r="S1595" s="88">
        <f>SUMIF(月間集計シート!$M$50:$M$69,$G1595,月間集計シート!P$50:P$69)*S$2</f>
        <v>0</v>
      </c>
      <c r="T1595" s="88">
        <f>SUMIF(月間集計シート!$M$50:$M$69,$G1595,月間集計シート!Q$50:Q$69)*T$2</f>
        <v>0</v>
      </c>
      <c r="U1595" s="88">
        <f>SUMIF(月間集計シート!$M$50:$M$69,$G1595,月間集計シート!R$50:R$69)*U$2</f>
        <v>0</v>
      </c>
      <c r="V1595" s="88">
        <f>SUMIF(月間集計シート!$M$50:$M$69,$G1595,月間集計シート!S$50:S$69)*V$2</f>
        <v>0</v>
      </c>
      <c r="W1595" s="88">
        <f>SUMIF(月間集計シート!$M$50:$M$69,$G1595,月間集計シート!T$50:T$69)*W$2</f>
        <v>0</v>
      </c>
      <c r="X1595" s="88">
        <f>SUMIF(月間集計シート!$M$71:$M$90,$G1595,月間集計シート!N$71:N$90)*X$2</f>
        <v>0</v>
      </c>
      <c r="Y1595" s="88">
        <f>SUMIF(月間集計シート!$M$71:$M$90,$G1595,月間集計シート!O$71:O$90)*Y$2</f>
        <v>0</v>
      </c>
      <c r="Z1595" s="88">
        <f>SUMIF(月間集計シート!$M$71:$M$90,$G1595,月間集計シート!P$71:P$90)*Z$2</f>
        <v>0</v>
      </c>
      <c r="AA1595" s="88">
        <f>SUMIF(月間集計シート!$M$71:$M$90,$G1595,月間集計シート!Q$71:Q$90)*AA$2</f>
        <v>0</v>
      </c>
      <c r="AB1595" s="88">
        <f>SUMIF(月間集計シート!$M$71:$M$90,$G1595,月間集計シート!R$71:R$90)*AB$2</f>
        <v>0</v>
      </c>
      <c r="AC1595" s="88">
        <f>SUMIF(月間集計シート!$M$71:$M$90,$G1595,月間集計シート!S$71:S$90)*AC$2</f>
        <v>0</v>
      </c>
      <c r="AD1595" s="88">
        <f>SUMIF(月間集計シート!$M$71:$M$90,$G1595,月間集計シート!T$71:T$90)*AD$2</f>
        <v>0</v>
      </c>
      <c r="AE1595" s="88">
        <f>SUMIF(月間集計シート!$M$92:$M$111,$G1595,月間集計シート!N$92:N$111)*AE$2</f>
        <v>0</v>
      </c>
      <c r="AF1595" s="88">
        <f>SUMIF(月間集計シート!$M$92:$M$111,$G1595,月間集計シート!O$92:O$111)*AF$2</f>
        <v>0</v>
      </c>
      <c r="AG1595" s="88">
        <f>SUMIF(月間集計シート!$M$92:$M$111,$G1595,月間集計シート!P$92:P$111)*AG$2</f>
        <v>0</v>
      </c>
      <c r="AH1595" s="88">
        <f>SUMIF(月間集計シート!$M$92:$M$111,$G1595,月間集計シート!Q$92:Q$111)*AH$2</f>
        <v>0</v>
      </c>
      <c r="AI1595" s="88">
        <f>SUMIF(月間集計シート!$M$92:$M$111,$G1595,月間集計シート!R$92:R$111)*AI$2</f>
        <v>0</v>
      </c>
      <c r="AJ1595" s="88">
        <f>SUMIF(月間集計シート!$M$92:$M$111,$G1595,月間集計シート!S$92:S$111)*AJ$2</f>
        <v>0</v>
      </c>
      <c r="AK1595" s="88">
        <f>SUMIF(月間集計シート!$M$92:$M$111,$G1595,月間集計シート!T$92:T$111)*AK$2</f>
        <v>0</v>
      </c>
      <c r="AL1595" s="88">
        <f>SUMIF(月間集計シート!$M$113:$M$132,$G1595,月間集計シート!N$113:N$132)*AL$2</f>
        <v>0</v>
      </c>
      <c r="AM1595" s="88">
        <f>SUMIF(月間集計シート!$M$113:$M$132,$G1595,月間集計シート!O$113:O$132)*AM$2</f>
        <v>0</v>
      </c>
      <c r="AN1595" s="88">
        <f>SUMIF(月間集計シート!$M$113:$M$132,$G1595,月間集計シート!P$113:P$132)*AN$2</f>
        <v>0</v>
      </c>
      <c r="AO1595" s="88">
        <f>SUMIF(月間集計シート!$M$113:$M$132,$G1595,月間集計シート!Q$113:Q$132)*AO$2</f>
        <v>0</v>
      </c>
      <c r="AP1595" s="88">
        <f>SUMIF(月間集計シート!$M$113:$M$132,$G1595,月間集計シート!R$113:R$132)*AP$2</f>
        <v>0</v>
      </c>
      <c r="AQ1595" s="88">
        <f>SUMIF(月間集計シート!$M$113:$M$132,$G1595,月間集計シート!S$113:S$132)*AQ$2</f>
        <v>0</v>
      </c>
      <c r="AR1595" s="88">
        <f>SUMIF(月間集計シート!$M$113:$M$132,$G1595,月間集計シート!T$113:T$132)*AR$2</f>
        <v>0</v>
      </c>
      <c r="AS1595" s="88">
        <f>SUMIF(月間集計シート!$M$134:$M$153,$G1595,月間集計シート!N$134:N$153)*AS$2</f>
        <v>0</v>
      </c>
      <c r="AT1595" s="88">
        <f>SUMIF(月間集計シート!$M$134:$M$153,$G1595,月間集計シート!O$134:O$153)*AT$2</f>
        <v>0</v>
      </c>
      <c r="AU1595" s="88">
        <f>SUMIF(月間集計シート!$M$134:$M$153,$G1595,月間集計シート!P$134:P$153)*AU$2</f>
        <v>0</v>
      </c>
      <c r="AV1595" s="88">
        <f>SUMIF(月間集計シート!$M$134:$M$153,$G1595,月間集計シート!Q$134:Q$153)*AV$2</f>
        <v>0</v>
      </c>
      <c r="AW1595" s="88">
        <f>SUMIF(月間集計シート!$M$134:$M$153,$G1595,月間集計シート!R$134:R$153)*AW$2</f>
        <v>0</v>
      </c>
      <c r="AX1595" s="88">
        <f>SUMIF(月間集計シート!$M$134:$M$153,$G1595,月間集計シート!S$134:S$153)*AX$2</f>
        <v>0</v>
      </c>
      <c r="AY1595" s="88">
        <f>SUMIF(月間集計シート!$M$134:$M$153,$G1595,月間集計シート!T$134:T$153)*AY$2</f>
        <v>0</v>
      </c>
    </row>
    <row r="1596" spans="1:51" ht="14.25" thickBot="1">
      <c r="A1596">
        <v>19</v>
      </c>
      <c r="B1596" s="120">
        <f t="shared" si="888"/>
        <v>0</v>
      </c>
      <c r="C1596" s="120" t="str">
        <f t="shared" si="889"/>
        <v/>
      </c>
      <c r="D1596" s="137"/>
      <c r="E1596" s="150">
        <f>工種!A58</f>
        <v>70199</v>
      </c>
      <c r="F1596" s="119" t="str">
        <f>工種!B58</f>
        <v>外部不具合修正：その他</v>
      </c>
      <c r="G1596" s="116" t="str">
        <f t="shared" si="890"/>
        <v>070199</v>
      </c>
      <c r="H1596" s="88">
        <f t="shared" si="844"/>
        <v>0</v>
      </c>
      <c r="I1596" s="132"/>
      <c r="J1596" s="88">
        <f>SUMIF(月間集計シート!$M$29:$M$48,$G1596,月間集計シート!N$29:N$48)*J$2</f>
        <v>0</v>
      </c>
      <c r="K1596" s="88">
        <f>SUMIF(月間集計シート!$M$29:$M$48,$G1596,月間集計シート!O$29:O$48)*K$2</f>
        <v>0</v>
      </c>
      <c r="L1596" s="88">
        <f>SUMIF(月間集計シート!$M$29:$M$48,$G1596,月間集計シート!P$29:P$48)*L$2</f>
        <v>0</v>
      </c>
      <c r="M1596" s="88">
        <f>SUMIF(月間集計シート!$M$29:$M$48,$G1596,月間集計シート!Q$29:Q$48)*M$2</f>
        <v>0</v>
      </c>
      <c r="N1596" s="88">
        <f>SUMIF(月間集計シート!$M$29:$M$48,$G1596,月間集計シート!R$29:R$48)*N$2</f>
        <v>0</v>
      </c>
      <c r="O1596" s="88">
        <f>SUMIF(月間集計シート!$M$29:$M$48,$G1596,月間集計シート!S$29:S$48)*O$2</f>
        <v>0</v>
      </c>
      <c r="P1596" s="88">
        <f>SUMIF(月間集計シート!$M$29:$M$48,$G1596,月間集計シート!T$29:T$48)*P$2</f>
        <v>0</v>
      </c>
      <c r="Q1596" s="88">
        <f>SUMIF(月間集計シート!$M$50:$M$69,$G1596,月間集計シート!N$50:N$69)*Q$2</f>
        <v>0</v>
      </c>
      <c r="R1596" s="88">
        <f>SUMIF(月間集計シート!$M$50:$M$69,$G1596,月間集計シート!O$50:O$69)*R$2</f>
        <v>0</v>
      </c>
      <c r="S1596" s="88">
        <f>SUMIF(月間集計シート!$M$50:$M$69,$G1596,月間集計シート!P$50:P$69)*S$2</f>
        <v>0</v>
      </c>
      <c r="T1596" s="88">
        <f>SUMIF(月間集計シート!$M$50:$M$69,$G1596,月間集計シート!Q$50:Q$69)*T$2</f>
        <v>0</v>
      </c>
      <c r="U1596" s="88">
        <f>SUMIF(月間集計シート!$M$50:$M$69,$G1596,月間集計シート!R$50:R$69)*U$2</f>
        <v>0</v>
      </c>
      <c r="V1596" s="88">
        <f>SUMIF(月間集計シート!$M$50:$M$69,$G1596,月間集計シート!S$50:S$69)*V$2</f>
        <v>0</v>
      </c>
      <c r="W1596" s="88">
        <f>SUMIF(月間集計シート!$M$50:$M$69,$G1596,月間集計シート!T$50:T$69)*W$2</f>
        <v>0</v>
      </c>
      <c r="X1596" s="88">
        <f>SUMIF(月間集計シート!$M$71:$M$90,$G1596,月間集計シート!N$71:N$90)*X$2</f>
        <v>0</v>
      </c>
      <c r="Y1596" s="88">
        <f>SUMIF(月間集計シート!$M$71:$M$90,$G1596,月間集計シート!O$71:O$90)*Y$2</f>
        <v>0</v>
      </c>
      <c r="Z1596" s="88">
        <f>SUMIF(月間集計シート!$M$71:$M$90,$G1596,月間集計シート!P$71:P$90)*Z$2</f>
        <v>0</v>
      </c>
      <c r="AA1596" s="88">
        <f>SUMIF(月間集計シート!$M$71:$M$90,$G1596,月間集計シート!Q$71:Q$90)*AA$2</f>
        <v>0</v>
      </c>
      <c r="AB1596" s="88">
        <f>SUMIF(月間集計シート!$M$71:$M$90,$G1596,月間集計シート!R$71:R$90)*AB$2</f>
        <v>0</v>
      </c>
      <c r="AC1596" s="88">
        <f>SUMIF(月間集計シート!$M$71:$M$90,$G1596,月間集計シート!S$71:S$90)*AC$2</f>
        <v>0</v>
      </c>
      <c r="AD1596" s="88">
        <f>SUMIF(月間集計シート!$M$71:$M$90,$G1596,月間集計シート!T$71:T$90)*AD$2</f>
        <v>0</v>
      </c>
      <c r="AE1596" s="88">
        <f>SUMIF(月間集計シート!$M$92:$M$111,$G1596,月間集計シート!N$92:N$111)*AE$2</f>
        <v>0</v>
      </c>
      <c r="AF1596" s="88">
        <f>SUMIF(月間集計シート!$M$92:$M$111,$G1596,月間集計シート!O$92:O$111)*AF$2</f>
        <v>0</v>
      </c>
      <c r="AG1596" s="88">
        <f>SUMIF(月間集計シート!$M$92:$M$111,$G1596,月間集計シート!P$92:P$111)*AG$2</f>
        <v>0</v>
      </c>
      <c r="AH1596" s="88">
        <f>SUMIF(月間集計シート!$M$92:$M$111,$G1596,月間集計シート!Q$92:Q$111)*AH$2</f>
        <v>0</v>
      </c>
      <c r="AI1596" s="88">
        <f>SUMIF(月間集計シート!$M$92:$M$111,$G1596,月間集計シート!R$92:R$111)*AI$2</f>
        <v>0</v>
      </c>
      <c r="AJ1596" s="88">
        <f>SUMIF(月間集計シート!$M$92:$M$111,$G1596,月間集計シート!S$92:S$111)*AJ$2</f>
        <v>0</v>
      </c>
      <c r="AK1596" s="88">
        <f>SUMIF(月間集計シート!$M$92:$M$111,$G1596,月間集計シート!T$92:T$111)*AK$2</f>
        <v>0</v>
      </c>
      <c r="AL1596" s="88">
        <f>SUMIF(月間集計シート!$M$113:$M$132,$G1596,月間集計シート!N$113:N$132)*AL$2</f>
        <v>0</v>
      </c>
      <c r="AM1596" s="88">
        <f>SUMIF(月間集計シート!$M$113:$M$132,$G1596,月間集計シート!O$113:O$132)*AM$2</f>
        <v>0</v>
      </c>
      <c r="AN1596" s="88">
        <f>SUMIF(月間集計シート!$M$113:$M$132,$G1596,月間集計シート!P$113:P$132)*AN$2</f>
        <v>0</v>
      </c>
      <c r="AO1596" s="88">
        <f>SUMIF(月間集計シート!$M$113:$M$132,$G1596,月間集計シート!Q$113:Q$132)*AO$2</f>
        <v>0</v>
      </c>
      <c r="AP1596" s="88">
        <f>SUMIF(月間集計シート!$M$113:$M$132,$G1596,月間集計シート!R$113:R$132)*AP$2</f>
        <v>0</v>
      </c>
      <c r="AQ1596" s="88">
        <f>SUMIF(月間集計シート!$M$113:$M$132,$G1596,月間集計シート!S$113:S$132)*AQ$2</f>
        <v>0</v>
      </c>
      <c r="AR1596" s="88">
        <f>SUMIF(月間集計シート!$M$113:$M$132,$G1596,月間集計シート!T$113:T$132)*AR$2</f>
        <v>0</v>
      </c>
      <c r="AS1596" s="88">
        <f>SUMIF(月間集計シート!$M$134:$M$153,$G1596,月間集計シート!N$134:N$153)*AS$2</f>
        <v>0</v>
      </c>
      <c r="AT1596" s="88">
        <f>SUMIF(月間集計シート!$M$134:$M$153,$G1596,月間集計シート!O$134:O$153)*AT$2</f>
        <v>0</v>
      </c>
      <c r="AU1596" s="88">
        <f>SUMIF(月間集計シート!$M$134:$M$153,$G1596,月間集計シート!P$134:P$153)*AU$2</f>
        <v>0</v>
      </c>
      <c r="AV1596" s="88">
        <f>SUMIF(月間集計シート!$M$134:$M$153,$G1596,月間集計シート!Q$134:Q$153)*AV$2</f>
        <v>0</v>
      </c>
      <c r="AW1596" s="88">
        <f>SUMIF(月間集計シート!$M$134:$M$153,$G1596,月間集計シート!R$134:R$153)*AW$2</f>
        <v>0</v>
      </c>
      <c r="AX1596" s="88">
        <f>SUMIF(月間集計シート!$M$134:$M$153,$G1596,月間集計シート!S$134:S$153)*AX$2</f>
        <v>0</v>
      </c>
      <c r="AY1596" s="88">
        <f>SUMIF(月間集計シート!$M$134:$M$153,$G1596,月間集計シート!T$134:T$153)*AY$2</f>
        <v>0</v>
      </c>
    </row>
    <row r="1597" spans="1:51" ht="14.25" thickBot="1">
      <c r="A1597">
        <v>19</v>
      </c>
      <c r="B1597" s="120">
        <f t="shared" si="888"/>
        <v>0</v>
      </c>
      <c r="C1597" s="120" t="str">
        <f t="shared" si="889"/>
        <v/>
      </c>
      <c r="D1597" s="137"/>
      <c r="E1597" s="150" t="str">
        <f>工種!A59</f>
        <v>80101</v>
      </c>
      <c r="F1597" s="119" t="str">
        <f>工種!B59</f>
        <v>保守／ｻﾎﾟｰﾄ：調査</v>
      </c>
      <c r="G1597" s="116" t="str">
        <f t="shared" si="890"/>
        <v>080101</v>
      </c>
      <c r="H1597" s="88">
        <f t="shared" si="844"/>
        <v>0</v>
      </c>
      <c r="I1597" s="132"/>
      <c r="J1597" s="88">
        <f>SUMIF(月間集計シート!$M$29:$M$48,$G1597,月間集計シート!N$29:N$48)*J$2</f>
        <v>0</v>
      </c>
      <c r="K1597" s="88">
        <f>SUMIF(月間集計シート!$M$29:$M$48,$G1597,月間集計シート!O$29:O$48)*K$2</f>
        <v>0</v>
      </c>
      <c r="L1597" s="88">
        <f>SUMIF(月間集計シート!$M$29:$M$48,$G1597,月間集計シート!P$29:P$48)*L$2</f>
        <v>0</v>
      </c>
      <c r="M1597" s="88">
        <f>SUMIF(月間集計シート!$M$29:$M$48,$G1597,月間集計シート!Q$29:Q$48)*M$2</f>
        <v>0</v>
      </c>
      <c r="N1597" s="88">
        <f>SUMIF(月間集計シート!$M$29:$M$48,$G1597,月間集計シート!R$29:R$48)*N$2</f>
        <v>0</v>
      </c>
      <c r="O1597" s="88">
        <f>SUMIF(月間集計シート!$M$29:$M$48,$G1597,月間集計シート!S$29:S$48)*O$2</f>
        <v>0</v>
      </c>
      <c r="P1597" s="88">
        <f>SUMIF(月間集計シート!$M$29:$M$48,$G1597,月間集計シート!T$29:T$48)*P$2</f>
        <v>0</v>
      </c>
      <c r="Q1597" s="88">
        <f>SUMIF(月間集計シート!$M$50:$M$69,$G1597,月間集計シート!N$50:N$69)*Q$2</f>
        <v>0</v>
      </c>
      <c r="R1597" s="88">
        <f>SUMIF(月間集計シート!$M$50:$M$69,$G1597,月間集計シート!O$50:O$69)*R$2</f>
        <v>0</v>
      </c>
      <c r="S1597" s="88">
        <f>SUMIF(月間集計シート!$M$50:$M$69,$G1597,月間集計シート!P$50:P$69)*S$2</f>
        <v>0</v>
      </c>
      <c r="T1597" s="88">
        <f>SUMIF(月間集計シート!$M$50:$M$69,$G1597,月間集計シート!Q$50:Q$69)*T$2</f>
        <v>0</v>
      </c>
      <c r="U1597" s="88">
        <f>SUMIF(月間集計シート!$M$50:$M$69,$G1597,月間集計シート!R$50:R$69)*U$2</f>
        <v>0</v>
      </c>
      <c r="V1597" s="88">
        <f>SUMIF(月間集計シート!$M$50:$M$69,$G1597,月間集計シート!S$50:S$69)*V$2</f>
        <v>0</v>
      </c>
      <c r="W1597" s="88">
        <f>SUMIF(月間集計シート!$M$50:$M$69,$G1597,月間集計シート!T$50:T$69)*W$2</f>
        <v>0</v>
      </c>
      <c r="X1597" s="88">
        <f>SUMIF(月間集計シート!$M$71:$M$90,$G1597,月間集計シート!N$71:N$90)*X$2</f>
        <v>0</v>
      </c>
      <c r="Y1597" s="88">
        <f>SUMIF(月間集計シート!$M$71:$M$90,$G1597,月間集計シート!O$71:O$90)*Y$2</f>
        <v>0</v>
      </c>
      <c r="Z1597" s="88">
        <f>SUMIF(月間集計シート!$M$71:$M$90,$G1597,月間集計シート!P$71:P$90)*Z$2</f>
        <v>0</v>
      </c>
      <c r="AA1597" s="88">
        <f>SUMIF(月間集計シート!$M$71:$M$90,$G1597,月間集計シート!Q$71:Q$90)*AA$2</f>
        <v>0</v>
      </c>
      <c r="AB1597" s="88">
        <f>SUMIF(月間集計シート!$M$71:$M$90,$G1597,月間集計シート!R$71:R$90)*AB$2</f>
        <v>0</v>
      </c>
      <c r="AC1597" s="88">
        <f>SUMIF(月間集計シート!$M$71:$M$90,$G1597,月間集計シート!S$71:S$90)*AC$2</f>
        <v>0</v>
      </c>
      <c r="AD1597" s="88">
        <f>SUMIF(月間集計シート!$M$71:$M$90,$G1597,月間集計シート!T$71:T$90)*AD$2</f>
        <v>0</v>
      </c>
      <c r="AE1597" s="88">
        <f>SUMIF(月間集計シート!$M$92:$M$111,$G1597,月間集計シート!N$92:N$111)*AE$2</f>
        <v>0</v>
      </c>
      <c r="AF1597" s="88">
        <f>SUMIF(月間集計シート!$M$92:$M$111,$G1597,月間集計シート!O$92:O$111)*AF$2</f>
        <v>0</v>
      </c>
      <c r="AG1597" s="88">
        <f>SUMIF(月間集計シート!$M$92:$M$111,$G1597,月間集計シート!P$92:P$111)*AG$2</f>
        <v>0</v>
      </c>
      <c r="AH1597" s="88">
        <f>SUMIF(月間集計シート!$M$92:$M$111,$G1597,月間集計シート!Q$92:Q$111)*AH$2</f>
        <v>0</v>
      </c>
      <c r="AI1597" s="88">
        <f>SUMIF(月間集計シート!$M$92:$M$111,$G1597,月間集計シート!R$92:R$111)*AI$2</f>
        <v>0</v>
      </c>
      <c r="AJ1597" s="88">
        <f>SUMIF(月間集計シート!$M$92:$M$111,$G1597,月間集計シート!S$92:S$111)*AJ$2</f>
        <v>0</v>
      </c>
      <c r="AK1597" s="88">
        <f>SUMIF(月間集計シート!$M$92:$M$111,$G1597,月間集計シート!T$92:T$111)*AK$2</f>
        <v>0</v>
      </c>
      <c r="AL1597" s="88">
        <f>SUMIF(月間集計シート!$M$113:$M$132,$G1597,月間集計シート!N$113:N$132)*AL$2</f>
        <v>0</v>
      </c>
      <c r="AM1597" s="88">
        <f>SUMIF(月間集計シート!$M$113:$M$132,$G1597,月間集計シート!O$113:O$132)*AM$2</f>
        <v>0</v>
      </c>
      <c r="AN1597" s="88">
        <f>SUMIF(月間集計シート!$M$113:$M$132,$G1597,月間集計シート!P$113:P$132)*AN$2</f>
        <v>0</v>
      </c>
      <c r="AO1597" s="88">
        <f>SUMIF(月間集計シート!$M$113:$M$132,$G1597,月間集計シート!Q$113:Q$132)*AO$2</f>
        <v>0</v>
      </c>
      <c r="AP1597" s="88">
        <f>SUMIF(月間集計シート!$M$113:$M$132,$G1597,月間集計シート!R$113:R$132)*AP$2</f>
        <v>0</v>
      </c>
      <c r="AQ1597" s="88">
        <f>SUMIF(月間集計シート!$M$113:$M$132,$G1597,月間集計シート!S$113:S$132)*AQ$2</f>
        <v>0</v>
      </c>
      <c r="AR1597" s="88">
        <f>SUMIF(月間集計シート!$M$113:$M$132,$G1597,月間集計シート!T$113:T$132)*AR$2</f>
        <v>0</v>
      </c>
      <c r="AS1597" s="88">
        <f>SUMIF(月間集計シート!$M$134:$M$153,$G1597,月間集計シート!N$134:N$153)*AS$2</f>
        <v>0</v>
      </c>
      <c r="AT1597" s="88">
        <f>SUMIF(月間集計シート!$M$134:$M$153,$G1597,月間集計シート!O$134:O$153)*AT$2</f>
        <v>0</v>
      </c>
      <c r="AU1597" s="88">
        <f>SUMIF(月間集計シート!$M$134:$M$153,$G1597,月間集計シート!P$134:P$153)*AU$2</f>
        <v>0</v>
      </c>
      <c r="AV1597" s="88">
        <f>SUMIF(月間集計シート!$M$134:$M$153,$G1597,月間集計シート!Q$134:Q$153)*AV$2</f>
        <v>0</v>
      </c>
      <c r="AW1597" s="88">
        <f>SUMIF(月間集計シート!$M$134:$M$153,$G1597,月間集計シート!R$134:R$153)*AW$2</f>
        <v>0</v>
      </c>
      <c r="AX1597" s="88">
        <f>SUMIF(月間集計シート!$M$134:$M$153,$G1597,月間集計シート!S$134:S$153)*AX$2</f>
        <v>0</v>
      </c>
      <c r="AY1597" s="88">
        <f>SUMIF(月間集計シート!$M$134:$M$153,$G1597,月間集計シート!T$134:T$153)*AY$2</f>
        <v>0</v>
      </c>
    </row>
    <row r="1598" spans="1:51" ht="14.25" thickBot="1">
      <c r="A1598">
        <v>19</v>
      </c>
      <c r="B1598" s="120">
        <f t="shared" si="888"/>
        <v>0</v>
      </c>
      <c r="C1598" s="120" t="str">
        <f t="shared" si="889"/>
        <v/>
      </c>
      <c r="D1598" s="137"/>
      <c r="E1598" s="150" t="str">
        <f>工種!A60</f>
        <v>80102</v>
      </c>
      <c r="F1598" s="119" t="str">
        <f>工種!B60</f>
        <v>保守／ｻﾎﾟｰﾄ：社内問い合わせ</v>
      </c>
      <c r="G1598" s="116" t="str">
        <f t="shared" si="890"/>
        <v>080102</v>
      </c>
      <c r="H1598" s="88">
        <f t="shared" si="844"/>
        <v>0</v>
      </c>
      <c r="I1598" s="132"/>
      <c r="J1598" s="88">
        <f>SUMIF(月間集計シート!$M$29:$M$48,$G1598,月間集計シート!N$29:N$48)*J$2</f>
        <v>0</v>
      </c>
      <c r="K1598" s="88">
        <f>SUMIF(月間集計シート!$M$29:$M$48,$G1598,月間集計シート!O$29:O$48)*K$2</f>
        <v>0</v>
      </c>
      <c r="L1598" s="88">
        <f>SUMIF(月間集計シート!$M$29:$M$48,$G1598,月間集計シート!P$29:P$48)*L$2</f>
        <v>0</v>
      </c>
      <c r="M1598" s="88">
        <f>SUMIF(月間集計シート!$M$29:$M$48,$G1598,月間集計シート!Q$29:Q$48)*M$2</f>
        <v>0</v>
      </c>
      <c r="N1598" s="88">
        <f>SUMIF(月間集計シート!$M$29:$M$48,$G1598,月間集計シート!R$29:R$48)*N$2</f>
        <v>0</v>
      </c>
      <c r="O1598" s="88">
        <f>SUMIF(月間集計シート!$M$29:$M$48,$G1598,月間集計シート!S$29:S$48)*O$2</f>
        <v>0</v>
      </c>
      <c r="P1598" s="88">
        <f>SUMIF(月間集計シート!$M$29:$M$48,$G1598,月間集計シート!T$29:T$48)*P$2</f>
        <v>0</v>
      </c>
      <c r="Q1598" s="88">
        <f>SUMIF(月間集計シート!$M$50:$M$69,$G1598,月間集計シート!N$50:N$69)*Q$2</f>
        <v>0</v>
      </c>
      <c r="R1598" s="88">
        <f>SUMIF(月間集計シート!$M$50:$M$69,$G1598,月間集計シート!O$50:O$69)*R$2</f>
        <v>0</v>
      </c>
      <c r="S1598" s="88">
        <f>SUMIF(月間集計シート!$M$50:$M$69,$G1598,月間集計シート!P$50:P$69)*S$2</f>
        <v>0</v>
      </c>
      <c r="T1598" s="88">
        <f>SUMIF(月間集計シート!$M$50:$M$69,$G1598,月間集計シート!Q$50:Q$69)*T$2</f>
        <v>0</v>
      </c>
      <c r="U1598" s="88">
        <f>SUMIF(月間集計シート!$M$50:$M$69,$G1598,月間集計シート!R$50:R$69)*U$2</f>
        <v>0</v>
      </c>
      <c r="V1598" s="88">
        <f>SUMIF(月間集計シート!$M$50:$M$69,$G1598,月間集計シート!S$50:S$69)*V$2</f>
        <v>0</v>
      </c>
      <c r="W1598" s="88">
        <f>SUMIF(月間集計シート!$M$50:$M$69,$G1598,月間集計シート!T$50:T$69)*W$2</f>
        <v>0</v>
      </c>
      <c r="X1598" s="88">
        <f>SUMIF(月間集計シート!$M$71:$M$90,$G1598,月間集計シート!N$71:N$90)*X$2</f>
        <v>0</v>
      </c>
      <c r="Y1598" s="88">
        <f>SUMIF(月間集計シート!$M$71:$M$90,$G1598,月間集計シート!O$71:O$90)*Y$2</f>
        <v>0</v>
      </c>
      <c r="Z1598" s="88">
        <f>SUMIF(月間集計シート!$M$71:$M$90,$G1598,月間集計シート!P$71:P$90)*Z$2</f>
        <v>0</v>
      </c>
      <c r="AA1598" s="88">
        <f>SUMIF(月間集計シート!$M$71:$M$90,$G1598,月間集計シート!Q$71:Q$90)*AA$2</f>
        <v>0</v>
      </c>
      <c r="AB1598" s="88">
        <f>SUMIF(月間集計シート!$M$71:$M$90,$G1598,月間集計シート!R$71:R$90)*AB$2</f>
        <v>0</v>
      </c>
      <c r="AC1598" s="88">
        <f>SUMIF(月間集計シート!$M$71:$M$90,$G1598,月間集計シート!S$71:S$90)*AC$2</f>
        <v>0</v>
      </c>
      <c r="AD1598" s="88">
        <f>SUMIF(月間集計シート!$M$71:$M$90,$G1598,月間集計シート!T$71:T$90)*AD$2</f>
        <v>0</v>
      </c>
      <c r="AE1598" s="88">
        <f>SUMIF(月間集計シート!$M$92:$M$111,$G1598,月間集計シート!N$92:N$111)*AE$2</f>
        <v>0</v>
      </c>
      <c r="AF1598" s="88">
        <f>SUMIF(月間集計シート!$M$92:$M$111,$G1598,月間集計シート!O$92:O$111)*AF$2</f>
        <v>0</v>
      </c>
      <c r="AG1598" s="88">
        <f>SUMIF(月間集計シート!$M$92:$M$111,$G1598,月間集計シート!P$92:P$111)*AG$2</f>
        <v>0</v>
      </c>
      <c r="AH1598" s="88">
        <f>SUMIF(月間集計シート!$M$92:$M$111,$G1598,月間集計シート!Q$92:Q$111)*AH$2</f>
        <v>0</v>
      </c>
      <c r="AI1598" s="88">
        <f>SUMIF(月間集計シート!$M$92:$M$111,$G1598,月間集計シート!R$92:R$111)*AI$2</f>
        <v>0</v>
      </c>
      <c r="AJ1598" s="88">
        <f>SUMIF(月間集計シート!$M$92:$M$111,$G1598,月間集計シート!S$92:S$111)*AJ$2</f>
        <v>0</v>
      </c>
      <c r="AK1598" s="88">
        <f>SUMIF(月間集計シート!$M$92:$M$111,$G1598,月間集計シート!T$92:T$111)*AK$2</f>
        <v>0</v>
      </c>
      <c r="AL1598" s="88">
        <f>SUMIF(月間集計シート!$M$113:$M$132,$G1598,月間集計シート!N$113:N$132)*AL$2</f>
        <v>0</v>
      </c>
      <c r="AM1598" s="88">
        <f>SUMIF(月間集計シート!$M$113:$M$132,$G1598,月間集計シート!O$113:O$132)*AM$2</f>
        <v>0</v>
      </c>
      <c r="AN1598" s="88">
        <f>SUMIF(月間集計シート!$M$113:$M$132,$G1598,月間集計シート!P$113:P$132)*AN$2</f>
        <v>0</v>
      </c>
      <c r="AO1598" s="88">
        <f>SUMIF(月間集計シート!$M$113:$M$132,$G1598,月間集計シート!Q$113:Q$132)*AO$2</f>
        <v>0</v>
      </c>
      <c r="AP1598" s="88">
        <f>SUMIF(月間集計シート!$M$113:$M$132,$G1598,月間集計シート!R$113:R$132)*AP$2</f>
        <v>0</v>
      </c>
      <c r="AQ1598" s="88">
        <f>SUMIF(月間集計シート!$M$113:$M$132,$G1598,月間集計シート!S$113:S$132)*AQ$2</f>
        <v>0</v>
      </c>
      <c r="AR1598" s="88">
        <f>SUMIF(月間集計シート!$M$113:$M$132,$G1598,月間集計シート!T$113:T$132)*AR$2</f>
        <v>0</v>
      </c>
      <c r="AS1598" s="88">
        <f>SUMIF(月間集計シート!$M$134:$M$153,$G1598,月間集計シート!N$134:N$153)*AS$2</f>
        <v>0</v>
      </c>
      <c r="AT1598" s="88">
        <f>SUMIF(月間集計シート!$M$134:$M$153,$G1598,月間集計シート!O$134:O$153)*AT$2</f>
        <v>0</v>
      </c>
      <c r="AU1598" s="88">
        <f>SUMIF(月間集計シート!$M$134:$M$153,$G1598,月間集計シート!P$134:P$153)*AU$2</f>
        <v>0</v>
      </c>
      <c r="AV1598" s="88">
        <f>SUMIF(月間集計シート!$M$134:$M$153,$G1598,月間集計シート!Q$134:Q$153)*AV$2</f>
        <v>0</v>
      </c>
      <c r="AW1598" s="88">
        <f>SUMIF(月間集計シート!$M$134:$M$153,$G1598,月間集計シート!R$134:R$153)*AW$2</f>
        <v>0</v>
      </c>
      <c r="AX1598" s="88">
        <f>SUMIF(月間集計シート!$M$134:$M$153,$G1598,月間集計シート!S$134:S$153)*AX$2</f>
        <v>0</v>
      </c>
      <c r="AY1598" s="88">
        <f>SUMIF(月間集計シート!$M$134:$M$153,$G1598,月間集計シート!T$134:T$153)*AY$2</f>
        <v>0</v>
      </c>
    </row>
    <row r="1599" spans="1:51" ht="14.25" thickBot="1">
      <c r="A1599">
        <v>19</v>
      </c>
      <c r="B1599" s="120">
        <f t="shared" si="888"/>
        <v>0</v>
      </c>
      <c r="C1599" s="120" t="str">
        <f t="shared" si="889"/>
        <v/>
      </c>
      <c r="D1599" s="137"/>
      <c r="E1599" s="150" t="str">
        <f>工種!A61</f>
        <v>80103</v>
      </c>
      <c r="F1599" s="119" t="str">
        <f>工種!B61</f>
        <v>保守／ｻﾎﾟｰﾄ：支社・他部門支援</v>
      </c>
      <c r="G1599" s="116" t="str">
        <f t="shared" si="890"/>
        <v>080103</v>
      </c>
      <c r="H1599" s="88">
        <f t="shared" si="844"/>
        <v>0</v>
      </c>
      <c r="I1599" s="132"/>
      <c r="J1599" s="88">
        <f>SUMIF(月間集計シート!$M$29:$M$48,$G1599,月間集計シート!N$29:N$48)*J$2</f>
        <v>0</v>
      </c>
      <c r="K1599" s="88">
        <f>SUMIF(月間集計シート!$M$29:$M$48,$G1599,月間集計シート!O$29:O$48)*K$2</f>
        <v>0</v>
      </c>
      <c r="L1599" s="88">
        <f>SUMIF(月間集計シート!$M$29:$M$48,$G1599,月間集計シート!P$29:P$48)*L$2</f>
        <v>0</v>
      </c>
      <c r="M1599" s="88">
        <f>SUMIF(月間集計シート!$M$29:$M$48,$G1599,月間集計シート!Q$29:Q$48)*M$2</f>
        <v>0</v>
      </c>
      <c r="N1599" s="88">
        <f>SUMIF(月間集計シート!$M$29:$M$48,$G1599,月間集計シート!R$29:R$48)*N$2</f>
        <v>0</v>
      </c>
      <c r="O1599" s="88">
        <f>SUMIF(月間集計シート!$M$29:$M$48,$G1599,月間集計シート!S$29:S$48)*O$2</f>
        <v>0</v>
      </c>
      <c r="P1599" s="88">
        <f>SUMIF(月間集計シート!$M$29:$M$48,$G1599,月間集計シート!T$29:T$48)*P$2</f>
        <v>0</v>
      </c>
      <c r="Q1599" s="88">
        <f>SUMIF(月間集計シート!$M$50:$M$69,$G1599,月間集計シート!N$50:N$69)*Q$2</f>
        <v>0</v>
      </c>
      <c r="R1599" s="88">
        <f>SUMIF(月間集計シート!$M$50:$M$69,$G1599,月間集計シート!O$50:O$69)*R$2</f>
        <v>0</v>
      </c>
      <c r="S1599" s="88">
        <f>SUMIF(月間集計シート!$M$50:$M$69,$G1599,月間集計シート!P$50:P$69)*S$2</f>
        <v>0</v>
      </c>
      <c r="T1599" s="88">
        <f>SUMIF(月間集計シート!$M$50:$M$69,$G1599,月間集計シート!Q$50:Q$69)*T$2</f>
        <v>0</v>
      </c>
      <c r="U1599" s="88">
        <f>SUMIF(月間集計シート!$M$50:$M$69,$G1599,月間集計シート!R$50:R$69)*U$2</f>
        <v>0</v>
      </c>
      <c r="V1599" s="88">
        <f>SUMIF(月間集計シート!$M$50:$M$69,$G1599,月間集計シート!S$50:S$69)*V$2</f>
        <v>0</v>
      </c>
      <c r="W1599" s="88">
        <f>SUMIF(月間集計シート!$M$50:$M$69,$G1599,月間集計シート!T$50:T$69)*W$2</f>
        <v>0</v>
      </c>
      <c r="X1599" s="88">
        <f>SUMIF(月間集計シート!$M$71:$M$90,$G1599,月間集計シート!N$71:N$90)*X$2</f>
        <v>0</v>
      </c>
      <c r="Y1599" s="88">
        <f>SUMIF(月間集計シート!$M$71:$M$90,$G1599,月間集計シート!O$71:O$90)*Y$2</f>
        <v>0</v>
      </c>
      <c r="Z1599" s="88">
        <f>SUMIF(月間集計シート!$M$71:$M$90,$G1599,月間集計シート!P$71:P$90)*Z$2</f>
        <v>0</v>
      </c>
      <c r="AA1599" s="88">
        <f>SUMIF(月間集計シート!$M$71:$M$90,$G1599,月間集計シート!Q$71:Q$90)*AA$2</f>
        <v>0</v>
      </c>
      <c r="AB1599" s="88">
        <f>SUMIF(月間集計シート!$M$71:$M$90,$G1599,月間集計シート!R$71:R$90)*AB$2</f>
        <v>0</v>
      </c>
      <c r="AC1599" s="88">
        <f>SUMIF(月間集計シート!$M$71:$M$90,$G1599,月間集計シート!S$71:S$90)*AC$2</f>
        <v>0</v>
      </c>
      <c r="AD1599" s="88">
        <f>SUMIF(月間集計シート!$M$71:$M$90,$G1599,月間集計シート!T$71:T$90)*AD$2</f>
        <v>0</v>
      </c>
      <c r="AE1599" s="88">
        <f>SUMIF(月間集計シート!$M$92:$M$111,$G1599,月間集計シート!N$92:N$111)*AE$2</f>
        <v>0</v>
      </c>
      <c r="AF1599" s="88">
        <f>SUMIF(月間集計シート!$M$92:$M$111,$G1599,月間集計シート!O$92:O$111)*AF$2</f>
        <v>0</v>
      </c>
      <c r="AG1599" s="88">
        <f>SUMIF(月間集計シート!$M$92:$M$111,$G1599,月間集計シート!P$92:P$111)*AG$2</f>
        <v>0</v>
      </c>
      <c r="AH1599" s="88">
        <f>SUMIF(月間集計シート!$M$92:$M$111,$G1599,月間集計シート!Q$92:Q$111)*AH$2</f>
        <v>0</v>
      </c>
      <c r="AI1599" s="88">
        <f>SUMIF(月間集計シート!$M$92:$M$111,$G1599,月間集計シート!R$92:R$111)*AI$2</f>
        <v>0</v>
      </c>
      <c r="AJ1599" s="88">
        <f>SUMIF(月間集計シート!$M$92:$M$111,$G1599,月間集計シート!S$92:S$111)*AJ$2</f>
        <v>0</v>
      </c>
      <c r="AK1599" s="88">
        <f>SUMIF(月間集計シート!$M$92:$M$111,$G1599,月間集計シート!T$92:T$111)*AK$2</f>
        <v>0</v>
      </c>
      <c r="AL1599" s="88">
        <f>SUMIF(月間集計シート!$M$113:$M$132,$G1599,月間集計シート!N$113:N$132)*AL$2</f>
        <v>0</v>
      </c>
      <c r="AM1599" s="88">
        <f>SUMIF(月間集計シート!$M$113:$M$132,$G1599,月間集計シート!O$113:O$132)*AM$2</f>
        <v>0</v>
      </c>
      <c r="AN1599" s="88">
        <f>SUMIF(月間集計シート!$M$113:$M$132,$G1599,月間集計シート!P$113:P$132)*AN$2</f>
        <v>0</v>
      </c>
      <c r="AO1599" s="88">
        <f>SUMIF(月間集計シート!$M$113:$M$132,$G1599,月間集計シート!Q$113:Q$132)*AO$2</f>
        <v>0</v>
      </c>
      <c r="AP1599" s="88">
        <f>SUMIF(月間集計シート!$M$113:$M$132,$G1599,月間集計シート!R$113:R$132)*AP$2</f>
        <v>0</v>
      </c>
      <c r="AQ1599" s="88">
        <f>SUMIF(月間集計シート!$M$113:$M$132,$G1599,月間集計シート!S$113:S$132)*AQ$2</f>
        <v>0</v>
      </c>
      <c r="AR1599" s="88">
        <f>SUMIF(月間集計シート!$M$113:$M$132,$G1599,月間集計シート!T$113:T$132)*AR$2</f>
        <v>0</v>
      </c>
      <c r="AS1599" s="88">
        <f>SUMIF(月間集計シート!$M$134:$M$153,$G1599,月間集計シート!N$134:N$153)*AS$2</f>
        <v>0</v>
      </c>
      <c r="AT1599" s="88">
        <f>SUMIF(月間集計シート!$M$134:$M$153,$G1599,月間集計シート!O$134:O$153)*AT$2</f>
        <v>0</v>
      </c>
      <c r="AU1599" s="88">
        <f>SUMIF(月間集計シート!$M$134:$M$153,$G1599,月間集計シート!P$134:P$153)*AU$2</f>
        <v>0</v>
      </c>
      <c r="AV1599" s="88">
        <f>SUMIF(月間集計シート!$M$134:$M$153,$G1599,月間集計シート!Q$134:Q$153)*AV$2</f>
        <v>0</v>
      </c>
      <c r="AW1599" s="88">
        <f>SUMIF(月間集計シート!$M$134:$M$153,$G1599,月間集計シート!R$134:R$153)*AW$2</f>
        <v>0</v>
      </c>
      <c r="AX1599" s="88">
        <f>SUMIF(月間集計シート!$M$134:$M$153,$G1599,月間集計シート!S$134:S$153)*AX$2</f>
        <v>0</v>
      </c>
      <c r="AY1599" s="88">
        <f>SUMIF(月間集計シート!$M$134:$M$153,$G1599,月間集計シート!T$134:T$153)*AY$2</f>
        <v>0</v>
      </c>
    </row>
    <row r="1600" spans="1:51" ht="14.25" thickBot="1">
      <c r="A1600">
        <v>19</v>
      </c>
      <c r="B1600" s="120">
        <f t="shared" si="888"/>
        <v>0</v>
      </c>
      <c r="C1600" s="120" t="str">
        <f t="shared" si="889"/>
        <v/>
      </c>
      <c r="D1600" s="137"/>
      <c r="E1600" s="150" t="str">
        <f>工種!A62</f>
        <v>80104</v>
      </c>
      <c r="F1600" s="119" t="str">
        <f>工種!B62</f>
        <v>保守／ｻﾎﾟｰﾄ：連絡文書作成・更新</v>
      </c>
      <c r="G1600" s="116" t="str">
        <f t="shared" si="890"/>
        <v>080104</v>
      </c>
      <c r="H1600" s="88">
        <f t="shared" si="844"/>
        <v>0</v>
      </c>
      <c r="I1600" s="132"/>
      <c r="J1600" s="88">
        <f>SUMIF(月間集計シート!$M$29:$M$48,$G1600,月間集計シート!N$29:N$48)*J$2</f>
        <v>0</v>
      </c>
      <c r="K1600" s="88">
        <f>SUMIF(月間集計シート!$M$29:$M$48,$G1600,月間集計シート!O$29:O$48)*K$2</f>
        <v>0</v>
      </c>
      <c r="L1600" s="88">
        <f>SUMIF(月間集計シート!$M$29:$M$48,$G1600,月間集計シート!P$29:P$48)*L$2</f>
        <v>0</v>
      </c>
      <c r="M1600" s="88">
        <f>SUMIF(月間集計シート!$M$29:$M$48,$G1600,月間集計シート!Q$29:Q$48)*M$2</f>
        <v>0</v>
      </c>
      <c r="N1600" s="88">
        <f>SUMIF(月間集計シート!$M$29:$M$48,$G1600,月間集計シート!R$29:R$48)*N$2</f>
        <v>0</v>
      </c>
      <c r="O1600" s="88">
        <f>SUMIF(月間集計シート!$M$29:$M$48,$G1600,月間集計シート!S$29:S$48)*O$2</f>
        <v>0</v>
      </c>
      <c r="P1600" s="88">
        <f>SUMIF(月間集計シート!$M$29:$M$48,$G1600,月間集計シート!T$29:T$48)*P$2</f>
        <v>0</v>
      </c>
      <c r="Q1600" s="88">
        <f>SUMIF(月間集計シート!$M$50:$M$69,$G1600,月間集計シート!N$50:N$69)*Q$2</f>
        <v>0</v>
      </c>
      <c r="R1600" s="88">
        <f>SUMIF(月間集計シート!$M$50:$M$69,$G1600,月間集計シート!O$50:O$69)*R$2</f>
        <v>0</v>
      </c>
      <c r="S1600" s="88">
        <f>SUMIF(月間集計シート!$M$50:$M$69,$G1600,月間集計シート!P$50:P$69)*S$2</f>
        <v>0</v>
      </c>
      <c r="T1600" s="88">
        <f>SUMIF(月間集計シート!$M$50:$M$69,$G1600,月間集計シート!Q$50:Q$69)*T$2</f>
        <v>0</v>
      </c>
      <c r="U1600" s="88">
        <f>SUMIF(月間集計シート!$M$50:$M$69,$G1600,月間集計シート!R$50:R$69)*U$2</f>
        <v>0</v>
      </c>
      <c r="V1600" s="88">
        <f>SUMIF(月間集計シート!$M$50:$M$69,$G1600,月間集計シート!S$50:S$69)*V$2</f>
        <v>0</v>
      </c>
      <c r="W1600" s="88">
        <f>SUMIF(月間集計シート!$M$50:$M$69,$G1600,月間集計シート!T$50:T$69)*W$2</f>
        <v>0</v>
      </c>
      <c r="X1600" s="88">
        <f>SUMIF(月間集計シート!$M$71:$M$90,$G1600,月間集計シート!N$71:N$90)*X$2</f>
        <v>0</v>
      </c>
      <c r="Y1600" s="88">
        <f>SUMIF(月間集計シート!$M$71:$M$90,$G1600,月間集計シート!O$71:O$90)*Y$2</f>
        <v>0</v>
      </c>
      <c r="Z1600" s="88">
        <f>SUMIF(月間集計シート!$M$71:$M$90,$G1600,月間集計シート!P$71:P$90)*Z$2</f>
        <v>0</v>
      </c>
      <c r="AA1600" s="88">
        <f>SUMIF(月間集計シート!$M$71:$M$90,$G1600,月間集計シート!Q$71:Q$90)*AA$2</f>
        <v>0</v>
      </c>
      <c r="AB1600" s="88">
        <f>SUMIF(月間集計シート!$M$71:$M$90,$G1600,月間集計シート!R$71:R$90)*AB$2</f>
        <v>0</v>
      </c>
      <c r="AC1600" s="88">
        <f>SUMIF(月間集計シート!$M$71:$M$90,$G1600,月間集計シート!S$71:S$90)*AC$2</f>
        <v>0</v>
      </c>
      <c r="AD1600" s="88">
        <f>SUMIF(月間集計シート!$M$71:$M$90,$G1600,月間集計シート!T$71:T$90)*AD$2</f>
        <v>0</v>
      </c>
      <c r="AE1600" s="88">
        <f>SUMIF(月間集計シート!$M$92:$M$111,$G1600,月間集計シート!N$92:N$111)*AE$2</f>
        <v>0</v>
      </c>
      <c r="AF1600" s="88">
        <f>SUMIF(月間集計シート!$M$92:$M$111,$G1600,月間集計シート!O$92:O$111)*AF$2</f>
        <v>0</v>
      </c>
      <c r="AG1600" s="88">
        <f>SUMIF(月間集計シート!$M$92:$M$111,$G1600,月間集計シート!P$92:P$111)*AG$2</f>
        <v>0</v>
      </c>
      <c r="AH1600" s="88">
        <f>SUMIF(月間集計シート!$M$92:$M$111,$G1600,月間集計シート!Q$92:Q$111)*AH$2</f>
        <v>0</v>
      </c>
      <c r="AI1600" s="88">
        <f>SUMIF(月間集計シート!$M$92:$M$111,$G1600,月間集計シート!R$92:R$111)*AI$2</f>
        <v>0</v>
      </c>
      <c r="AJ1600" s="88">
        <f>SUMIF(月間集計シート!$M$92:$M$111,$G1600,月間集計シート!S$92:S$111)*AJ$2</f>
        <v>0</v>
      </c>
      <c r="AK1600" s="88">
        <f>SUMIF(月間集計シート!$M$92:$M$111,$G1600,月間集計シート!T$92:T$111)*AK$2</f>
        <v>0</v>
      </c>
      <c r="AL1600" s="88">
        <f>SUMIF(月間集計シート!$M$113:$M$132,$G1600,月間集計シート!N$113:N$132)*AL$2</f>
        <v>0</v>
      </c>
      <c r="AM1600" s="88">
        <f>SUMIF(月間集計シート!$M$113:$M$132,$G1600,月間集計シート!O$113:O$132)*AM$2</f>
        <v>0</v>
      </c>
      <c r="AN1600" s="88">
        <f>SUMIF(月間集計シート!$M$113:$M$132,$G1600,月間集計シート!P$113:P$132)*AN$2</f>
        <v>0</v>
      </c>
      <c r="AO1600" s="88">
        <f>SUMIF(月間集計シート!$M$113:$M$132,$G1600,月間集計シート!Q$113:Q$132)*AO$2</f>
        <v>0</v>
      </c>
      <c r="AP1600" s="88">
        <f>SUMIF(月間集計シート!$M$113:$M$132,$G1600,月間集計シート!R$113:R$132)*AP$2</f>
        <v>0</v>
      </c>
      <c r="AQ1600" s="88">
        <f>SUMIF(月間集計シート!$M$113:$M$132,$G1600,月間集計シート!S$113:S$132)*AQ$2</f>
        <v>0</v>
      </c>
      <c r="AR1600" s="88">
        <f>SUMIF(月間集計シート!$M$113:$M$132,$G1600,月間集計シート!T$113:T$132)*AR$2</f>
        <v>0</v>
      </c>
      <c r="AS1600" s="88">
        <f>SUMIF(月間集計シート!$M$134:$M$153,$G1600,月間集計シート!N$134:N$153)*AS$2</f>
        <v>0</v>
      </c>
      <c r="AT1600" s="88">
        <f>SUMIF(月間集計シート!$M$134:$M$153,$G1600,月間集計シート!O$134:O$153)*AT$2</f>
        <v>0</v>
      </c>
      <c r="AU1600" s="88">
        <f>SUMIF(月間集計シート!$M$134:$M$153,$G1600,月間集計シート!P$134:P$153)*AU$2</f>
        <v>0</v>
      </c>
      <c r="AV1600" s="88">
        <f>SUMIF(月間集計シート!$M$134:$M$153,$G1600,月間集計シート!Q$134:Q$153)*AV$2</f>
        <v>0</v>
      </c>
      <c r="AW1600" s="88">
        <f>SUMIF(月間集計シート!$M$134:$M$153,$G1600,月間集計シート!R$134:R$153)*AW$2</f>
        <v>0</v>
      </c>
      <c r="AX1600" s="88">
        <f>SUMIF(月間集計シート!$M$134:$M$153,$G1600,月間集計シート!S$134:S$153)*AX$2</f>
        <v>0</v>
      </c>
      <c r="AY1600" s="88">
        <f>SUMIF(月間集計シート!$M$134:$M$153,$G1600,月間集計シート!T$134:T$153)*AY$2</f>
        <v>0</v>
      </c>
    </row>
    <row r="1601" spans="1:51" ht="14.25" thickBot="1">
      <c r="A1601">
        <v>19</v>
      </c>
      <c r="B1601" s="120">
        <f t="shared" si="888"/>
        <v>0</v>
      </c>
      <c r="C1601" s="120" t="str">
        <f t="shared" si="889"/>
        <v/>
      </c>
      <c r="D1601" s="137"/>
      <c r="E1601" s="150" t="str">
        <f>工種!A63</f>
        <v>80105</v>
      </c>
      <c r="F1601" s="119" t="str">
        <f>工種!B63</f>
        <v>保守／ｻﾎﾟｰﾄ：ｲﾝﾄﾗ資料更新</v>
      </c>
      <c r="G1601" s="116" t="str">
        <f t="shared" ref="G1601:G1618" si="891">B1601&amp;E1601</f>
        <v>080105</v>
      </c>
      <c r="H1601" s="88">
        <f t="shared" ref="H1601:H1602" si="892">SUM(J1601:AY1601)</f>
        <v>0</v>
      </c>
      <c r="I1601" s="132"/>
      <c r="J1601" s="88">
        <f>SUMIF(月間集計シート!$M$29:$M$48,$G1601,月間集計シート!N$29:N$48)*J$2</f>
        <v>0</v>
      </c>
      <c r="K1601" s="88">
        <f>SUMIF(月間集計シート!$M$29:$M$48,$G1601,月間集計シート!O$29:O$48)*K$2</f>
        <v>0</v>
      </c>
      <c r="L1601" s="88">
        <f>SUMIF(月間集計シート!$M$29:$M$48,$G1601,月間集計シート!P$29:P$48)*L$2</f>
        <v>0</v>
      </c>
      <c r="M1601" s="88">
        <f>SUMIF(月間集計シート!$M$29:$M$48,$G1601,月間集計シート!Q$29:Q$48)*M$2</f>
        <v>0</v>
      </c>
      <c r="N1601" s="88">
        <f>SUMIF(月間集計シート!$M$29:$M$48,$G1601,月間集計シート!R$29:R$48)*N$2</f>
        <v>0</v>
      </c>
      <c r="O1601" s="88">
        <f>SUMIF(月間集計シート!$M$29:$M$48,$G1601,月間集計シート!S$29:S$48)*O$2</f>
        <v>0</v>
      </c>
      <c r="P1601" s="88">
        <f>SUMIF(月間集計シート!$M$29:$M$48,$G1601,月間集計シート!T$29:T$48)*P$2</f>
        <v>0</v>
      </c>
      <c r="Q1601" s="88">
        <f>SUMIF(月間集計シート!$M$50:$M$69,$G1601,月間集計シート!N$50:N$69)*Q$2</f>
        <v>0</v>
      </c>
      <c r="R1601" s="88">
        <f>SUMIF(月間集計シート!$M$50:$M$69,$G1601,月間集計シート!O$50:O$69)*R$2</f>
        <v>0</v>
      </c>
      <c r="S1601" s="88">
        <f>SUMIF(月間集計シート!$M$50:$M$69,$G1601,月間集計シート!P$50:P$69)*S$2</f>
        <v>0</v>
      </c>
      <c r="T1601" s="88">
        <f>SUMIF(月間集計シート!$M$50:$M$69,$G1601,月間集計シート!Q$50:Q$69)*T$2</f>
        <v>0</v>
      </c>
      <c r="U1601" s="88">
        <f>SUMIF(月間集計シート!$M$50:$M$69,$G1601,月間集計シート!R$50:R$69)*U$2</f>
        <v>0</v>
      </c>
      <c r="V1601" s="88">
        <f>SUMIF(月間集計シート!$M$50:$M$69,$G1601,月間集計シート!S$50:S$69)*V$2</f>
        <v>0</v>
      </c>
      <c r="W1601" s="88">
        <f>SUMIF(月間集計シート!$M$50:$M$69,$G1601,月間集計シート!T$50:T$69)*W$2</f>
        <v>0</v>
      </c>
      <c r="X1601" s="88">
        <f>SUMIF(月間集計シート!$M$71:$M$90,$G1601,月間集計シート!N$71:N$90)*X$2</f>
        <v>0</v>
      </c>
      <c r="Y1601" s="88">
        <f>SUMIF(月間集計シート!$M$71:$M$90,$G1601,月間集計シート!O$71:O$90)*Y$2</f>
        <v>0</v>
      </c>
      <c r="Z1601" s="88">
        <f>SUMIF(月間集計シート!$M$71:$M$90,$G1601,月間集計シート!P$71:P$90)*Z$2</f>
        <v>0</v>
      </c>
      <c r="AA1601" s="88">
        <f>SUMIF(月間集計シート!$M$71:$M$90,$G1601,月間集計シート!Q$71:Q$90)*AA$2</f>
        <v>0</v>
      </c>
      <c r="AB1601" s="88">
        <f>SUMIF(月間集計シート!$M$71:$M$90,$G1601,月間集計シート!R$71:R$90)*AB$2</f>
        <v>0</v>
      </c>
      <c r="AC1601" s="88">
        <f>SUMIF(月間集計シート!$M$71:$M$90,$G1601,月間集計シート!S$71:S$90)*AC$2</f>
        <v>0</v>
      </c>
      <c r="AD1601" s="88">
        <f>SUMIF(月間集計シート!$M$71:$M$90,$G1601,月間集計シート!T$71:T$90)*AD$2</f>
        <v>0</v>
      </c>
      <c r="AE1601" s="88">
        <f>SUMIF(月間集計シート!$M$92:$M$111,$G1601,月間集計シート!N$92:N$111)*AE$2</f>
        <v>0</v>
      </c>
      <c r="AF1601" s="88">
        <f>SUMIF(月間集計シート!$M$92:$M$111,$G1601,月間集計シート!O$92:O$111)*AF$2</f>
        <v>0</v>
      </c>
      <c r="AG1601" s="88">
        <f>SUMIF(月間集計シート!$M$92:$M$111,$G1601,月間集計シート!P$92:P$111)*AG$2</f>
        <v>0</v>
      </c>
      <c r="AH1601" s="88">
        <f>SUMIF(月間集計シート!$M$92:$M$111,$G1601,月間集計シート!Q$92:Q$111)*AH$2</f>
        <v>0</v>
      </c>
      <c r="AI1601" s="88">
        <f>SUMIF(月間集計シート!$M$92:$M$111,$G1601,月間集計シート!R$92:R$111)*AI$2</f>
        <v>0</v>
      </c>
      <c r="AJ1601" s="88">
        <f>SUMIF(月間集計シート!$M$92:$M$111,$G1601,月間集計シート!S$92:S$111)*AJ$2</f>
        <v>0</v>
      </c>
      <c r="AK1601" s="88">
        <f>SUMIF(月間集計シート!$M$92:$M$111,$G1601,月間集計シート!T$92:T$111)*AK$2</f>
        <v>0</v>
      </c>
      <c r="AL1601" s="88">
        <f>SUMIF(月間集計シート!$M$113:$M$132,$G1601,月間集計シート!N$113:N$132)*AL$2</f>
        <v>0</v>
      </c>
      <c r="AM1601" s="88">
        <f>SUMIF(月間集計シート!$M$113:$M$132,$G1601,月間集計シート!O$113:O$132)*AM$2</f>
        <v>0</v>
      </c>
      <c r="AN1601" s="88">
        <f>SUMIF(月間集計シート!$M$113:$M$132,$G1601,月間集計シート!P$113:P$132)*AN$2</f>
        <v>0</v>
      </c>
      <c r="AO1601" s="88">
        <f>SUMIF(月間集計シート!$M$113:$M$132,$G1601,月間集計シート!Q$113:Q$132)*AO$2</f>
        <v>0</v>
      </c>
      <c r="AP1601" s="88">
        <f>SUMIF(月間集計シート!$M$113:$M$132,$G1601,月間集計シート!R$113:R$132)*AP$2</f>
        <v>0</v>
      </c>
      <c r="AQ1601" s="88">
        <f>SUMIF(月間集計シート!$M$113:$M$132,$G1601,月間集計シート!S$113:S$132)*AQ$2</f>
        <v>0</v>
      </c>
      <c r="AR1601" s="88">
        <f>SUMIF(月間集計シート!$M$113:$M$132,$G1601,月間集計シート!T$113:T$132)*AR$2</f>
        <v>0</v>
      </c>
      <c r="AS1601" s="88">
        <f>SUMIF(月間集計シート!$M$134:$M$153,$G1601,月間集計シート!N$134:N$153)*AS$2</f>
        <v>0</v>
      </c>
      <c r="AT1601" s="88">
        <f>SUMIF(月間集計シート!$M$134:$M$153,$G1601,月間集計シート!O$134:O$153)*AT$2</f>
        <v>0</v>
      </c>
      <c r="AU1601" s="88">
        <f>SUMIF(月間集計シート!$M$134:$M$153,$G1601,月間集計シート!P$134:P$153)*AU$2</f>
        <v>0</v>
      </c>
      <c r="AV1601" s="88">
        <f>SUMIF(月間集計シート!$M$134:$M$153,$G1601,月間集計シート!Q$134:Q$153)*AV$2</f>
        <v>0</v>
      </c>
      <c r="AW1601" s="88">
        <f>SUMIF(月間集計シート!$M$134:$M$153,$G1601,月間集計シート!R$134:R$153)*AW$2</f>
        <v>0</v>
      </c>
      <c r="AX1601" s="88">
        <f>SUMIF(月間集計シート!$M$134:$M$153,$G1601,月間集計シート!S$134:S$153)*AX$2</f>
        <v>0</v>
      </c>
      <c r="AY1601" s="88">
        <f>SUMIF(月間集計シート!$M$134:$M$153,$G1601,月間集計シート!T$134:T$153)*AY$2</f>
        <v>0</v>
      </c>
    </row>
    <row r="1602" spans="1:51" ht="14.25" thickBot="1">
      <c r="A1602">
        <v>19</v>
      </c>
      <c r="B1602" s="120">
        <f t="shared" si="888"/>
        <v>0</v>
      </c>
      <c r="C1602" s="120" t="str">
        <f t="shared" si="889"/>
        <v/>
      </c>
      <c r="D1602" s="137"/>
      <c r="E1602" s="150" t="str">
        <f>工種!A64</f>
        <v>80106</v>
      </c>
      <c r="F1602" s="119" t="str">
        <f>工種!B64</f>
        <v>保守／ｻﾎﾟｰﾄ：打合せ</v>
      </c>
      <c r="G1602" s="116" t="str">
        <f t="shared" si="891"/>
        <v>080106</v>
      </c>
      <c r="H1602" s="88">
        <f t="shared" si="892"/>
        <v>0</v>
      </c>
      <c r="I1602" s="132"/>
      <c r="J1602" s="88">
        <f>SUMIF(月間集計シート!$M$29:$M$48,$G1602,月間集計シート!N$29:N$48)*J$2</f>
        <v>0</v>
      </c>
      <c r="K1602" s="88">
        <f>SUMIF(月間集計シート!$M$29:$M$48,$G1602,月間集計シート!O$29:O$48)*K$2</f>
        <v>0</v>
      </c>
      <c r="L1602" s="88">
        <f>SUMIF(月間集計シート!$M$29:$M$48,$G1602,月間集計シート!P$29:P$48)*L$2</f>
        <v>0</v>
      </c>
      <c r="M1602" s="88">
        <f>SUMIF(月間集計シート!$M$29:$M$48,$G1602,月間集計シート!Q$29:Q$48)*M$2</f>
        <v>0</v>
      </c>
      <c r="N1602" s="88">
        <f>SUMIF(月間集計シート!$M$29:$M$48,$G1602,月間集計シート!R$29:R$48)*N$2</f>
        <v>0</v>
      </c>
      <c r="O1602" s="88">
        <f>SUMIF(月間集計シート!$M$29:$M$48,$G1602,月間集計シート!S$29:S$48)*O$2</f>
        <v>0</v>
      </c>
      <c r="P1602" s="88">
        <f>SUMIF(月間集計シート!$M$29:$M$48,$G1602,月間集計シート!T$29:T$48)*P$2</f>
        <v>0</v>
      </c>
      <c r="Q1602" s="88">
        <f>SUMIF(月間集計シート!$M$50:$M$69,$G1602,月間集計シート!N$50:N$69)*Q$2</f>
        <v>0</v>
      </c>
      <c r="R1602" s="88">
        <f>SUMIF(月間集計シート!$M$50:$M$69,$G1602,月間集計シート!O$50:O$69)*R$2</f>
        <v>0</v>
      </c>
      <c r="S1602" s="88">
        <f>SUMIF(月間集計シート!$M$50:$M$69,$G1602,月間集計シート!P$50:P$69)*S$2</f>
        <v>0</v>
      </c>
      <c r="T1602" s="88">
        <f>SUMIF(月間集計シート!$M$50:$M$69,$G1602,月間集計シート!Q$50:Q$69)*T$2</f>
        <v>0</v>
      </c>
      <c r="U1602" s="88">
        <f>SUMIF(月間集計シート!$M$50:$M$69,$G1602,月間集計シート!R$50:R$69)*U$2</f>
        <v>0</v>
      </c>
      <c r="V1602" s="88">
        <f>SUMIF(月間集計シート!$M$50:$M$69,$G1602,月間集計シート!S$50:S$69)*V$2</f>
        <v>0</v>
      </c>
      <c r="W1602" s="88">
        <f>SUMIF(月間集計シート!$M$50:$M$69,$G1602,月間集計シート!T$50:T$69)*W$2</f>
        <v>0</v>
      </c>
      <c r="X1602" s="88">
        <f>SUMIF(月間集計シート!$M$71:$M$90,$G1602,月間集計シート!N$71:N$90)*X$2</f>
        <v>0</v>
      </c>
      <c r="Y1602" s="88">
        <f>SUMIF(月間集計シート!$M$71:$M$90,$G1602,月間集計シート!O$71:O$90)*Y$2</f>
        <v>0</v>
      </c>
      <c r="Z1602" s="88">
        <f>SUMIF(月間集計シート!$M$71:$M$90,$G1602,月間集計シート!P$71:P$90)*Z$2</f>
        <v>0</v>
      </c>
      <c r="AA1602" s="88">
        <f>SUMIF(月間集計シート!$M$71:$M$90,$G1602,月間集計シート!Q$71:Q$90)*AA$2</f>
        <v>0</v>
      </c>
      <c r="AB1602" s="88">
        <f>SUMIF(月間集計シート!$M$71:$M$90,$G1602,月間集計シート!R$71:R$90)*AB$2</f>
        <v>0</v>
      </c>
      <c r="AC1602" s="88">
        <f>SUMIF(月間集計シート!$M$71:$M$90,$G1602,月間集計シート!S$71:S$90)*AC$2</f>
        <v>0</v>
      </c>
      <c r="AD1602" s="88">
        <f>SUMIF(月間集計シート!$M$71:$M$90,$G1602,月間集計シート!T$71:T$90)*AD$2</f>
        <v>0</v>
      </c>
      <c r="AE1602" s="88">
        <f>SUMIF(月間集計シート!$M$92:$M$111,$G1602,月間集計シート!N$92:N$111)*AE$2</f>
        <v>0</v>
      </c>
      <c r="AF1602" s="88">
        <f>SUMIF(月間集計シート!$M$92:$M$111,$G1602,月間集計シート!O$92:O$111)*AF$2</f>
        <v>0</v>
      </c>
      <c r="AG1602" s="88">
        <f>SUMIF(月間集計シート!$M$92:$M$111,$G1602,月間集計シート!P$92:P$111)*AG$2</f>
        <v>0</v>
      </c>
      <c r="AH1602" s="88">
        <f>SUMIF(月間集計シート!$M$92:$M$111,$G1602,月間集計シート!Q$92:Q$111)*AH$2</f>
        <v>0</v>
      </c>
      <c r="AI1602" s="88">
        <f>SUMIF(月間集計シート!$M$92:$M$111,$G1602,月間集計シート!R$92:R$111)*AI$2</f>
        <v>0</v>
      </c>
      <c r="AJ1602" s="88">
        <f>SUMIF(月間集計シート!$M$92:$M$111,$G1602,月間集計シート!S$92:S$111)*AJ$2</f>
        <v>0</v>
      </c>
      <c r="AK1602" s="88">
        <f>SUMIF(月間集計シート!$M$92:$M$111,$G1602,月間集計シート!T$92:T$111)*AK$2</f>
        <v>0</v>
      </c>
      <c r="AL1602" s="88">
        <f>SUMIF(月間集計シート!$M$113:$M$132,$G1602,月間集計シート!N$113:N$132)*AL$2</f>
        <v>0</v>
      </c>
      <c r="AM1602" s="88">
        <f>SUMIF(月間集計シート!$M$113:$M$132,$G1602,月間集計シート!O$113:O$132)*AM$2</f>
        <v>0</v>
      </c>
      <c r="AN1602" s="88">
        <f>SUMIF(月間集計シート!$M$113:$M$132,$G1602,月間集計シート!P$113:P$132)*AN$2</f>
        <v>0</v>
      </c>
      <c r="AO1602" s="88">
        <f>SUMIF(月間集計シート!$M$113:$M$132,$G1602,月間集計シート!Q$113:Q$132)*AO$2</f>
        <v>0</v>
      </c>
      <c r="AP1602" s="88">
        <f>SUMIF(月間集計シート!$M$113:$M$132,$G1602,月間集計シート!R$113:R$132)*AP$2</f>
        <v>0</v>
      </c>
      <c r="AQ1602" s="88">
        <f>SUMIF(月間集計シート!$M$113:$M$132,$G1602,月間集計シート!S$113:S$132)*AQ$2</f>
        <v>0</v>
      </c>
      <c r="AR1602" s="88">
        <f>SUMIF(月間集計シート!$M$113:$M$132,$G1602,月間集計シート!T$113:T$132)*AR$2</f>
        <v>0</v>
      </c>
      <c r="AS1602" s="88">
        <f>SUMIF(月間集計シート!$M$134:$M$153,$G1602,月間集計シート!N$134:N$153)*AS$2</f>
        <v>0</v>
      </c>
      <c r="AT1602" s="88">
        <f>SUMIF(月間集計シート!$M$134:$M$153,$G1602,月間集計シート!O$134:O$153)*AT$2</f>
        <v>0</v>
      </c>
      <c r="AU1602" s="88">
        <f>SUMIF(月間集計シート!$M$134:$M$153,$G1602,月間集計シート!P$134:P$153)*AU$2</f>
        <v>0</v>
      </c>
      <c r="AV1602" s="88">
        <f>SUMIF(月間集計シート!$M$134:$M$153,$G1602,月間集計シート!Q$134:Q$153)*AV$2</f>
        <v>0</v>
      </c>
      <c r="AW1602" s="88">
        <f>SUMIF(月間集計シート!$M$134:$M$153,$G1602,月間集計シート!R$134:R$153)*AW$2</f>
        <v>0</v>
      </c>
      <c r="AX1602" s="88">
        <f>SUMIF(月間集計シート!$M$134:$M$153,$G1602,月間集計シート!S$134:S$153)*AX$2</f>
        <v>0</v>
      </c>
      <c r="AY1602" s="88">
        <f>SUMIF(月間集計シート!$M$134:$M$153,$G1602,月間集計シート!T$134:T$153)*AY$2</f>
        <v>0</v>
      </c>
    </row>
    <row r="1603" spans="1:51" ht="14.25" thickBot="1">
      <c r="A1603">
        <v>19</v>
      </c>
      <c r="B1603" s="120">
        <f t="shared" si="888"/>
        <v>0</v>
      </c>
      <c r="C1603" s="120" t="str">
        <f t="shared" si="889"/>
        <v/>
      </c>
      <c r="D1603" s="137"/>
      <c r="E1603" s="150" t="str">
        <f>工種!A65</f>
        <v>80107</v>
      </c>
      <c r="F1603" s="119" t="str">
        <f>工種!B65</f>
        <v>保守／ｻﾎﾟｰﾄ：ﾚﾋﾞｭｰ</v>
      </c>
      <c r="G1603" s="116" t="str">
        <f t="shared" si="891"/>
        <v>080107</v>
      </c>
      <c r="H1603" s="88">
        <f t="shared" ref="H1603:H1618" si="893">SUM(J1603:AY1603)</f>
        <v>0</v>
      </c>
      <c r="I1603" s="132"/>
      <c r="J1603" s="88">
        <f>SUMIF(月間集計シート!$M$29:$M$48,$G1603,月間集計シート!N$29:N$48)*J$2</f>
        <v>0</v>
      </c>
      <c r="K1603" s="88">
        <f>SUMIF(月間集計シート!$M$29:$M$48,$G1603,月間集計シート!O$29:O$48)*K$2</f>
        <v>0</v>
      </c>
      <c r="L1603" s="88">
        <f>SUMIF(月間集計シート!$M$29:$M$48,$G1603,月間集計シート!P$29:P$48)*L$2</f>
        <v>0</v>
      </c>
      <c r="M1603" s="88">
        <f>SUMIF(月間集計シート!$M$29:$M$48,$G1603,月間集計シート!Q$29:Q$48)*M$2</f>
        <v>0</v>
      </c>
      <c r="N1603" s="88">
        <f>SUMIF(月間集計シート!$M$29:$M$48,$G1603,月間集計シート!R$29:R$48)*N$2</f>
        <v>0</v>
      </c>
      <c r="O1603" s="88">
        <f>SUMIF(月間集計シート!$M$29:$M$48,$G1603,月間集計シート!S$29:S$48)*O$2</f>
        <v>0</v>
      </c>
      <c r="P1603" s="88">
        <f>SUMIF(月間集計シート!$M$29:$M$48,$G1603,月間集計シート!T$29:T$48)*P$2</f>
        <v>0</v>
      </c>
      <c r="Q1603" s="88">
        <f>SUMIF(月間集計シート!$M$50:$M$69,$G1603,月間集計シート!N$50:N$69)*Q$2</f>
        <v>0</v>
      </c>
      <c r="R1603" s="88">
        <f>SUMIF(月間集計シート!$M$50:$M$69,$G1603,月間集計シート!O$50:O$69)*R$2</f>
        <v>0</v>
      </c>
      <c r="S1603" s="88">
        <f>SUMIF(月間集計シート!$M$50:$M$69,$G1603,月間集計シート!P$50:P$69)*S$2</f>
        <v>0</v>
      </c>
      <c r="T1603" s="88">
        <f>SUMIF(月間集計シート!$M$50:$M$69,$G1603,月間集計シート!Q$50:Q$69)*T$2</f>
        <v>0</v>
      </c>
      <c r="U1603" s="88">
        <f>SUMIF(月間集計シート!$M$50:$M$69,$G1603,月間集計シート!R$50:R$69)*U$2</f>
        <v>0</v>
      </c>
      <c r="V1603" s="88">
        <f>SUMIF(月間集計シート!$M$50:$M$69,$G1603,月間集計シート!S$50:S$69)*V$2</f>
        <v>0</v>
      </c>
      <c r="W1603" s="88">
        <f>SUMIF(月間集計シート!$M$50:$M$69,$G1603,月間集計シート!T$50:T$69)*W$2</f>
        <v>0</v>
      </c>
      <c r="X1603" s="88">
        <f>SUMIF(月間集計シート!$M$71:$M$90,$G1603,月間集計シート!N$71:N$90)*X$2</f>
        <v>0</v>
      </c>
      <c r="Y1603" s="88">
        <f>SUMIF(月間集計シート!$M$71:$M$90,$G1603,月間集計シート!O$71:O$90)*Y$2</f>
        <v>0</v>
      </c>
      <c r="Z1603" s="88">
        <f>SUMIF(月間集計シート!$M$71:$M$90,$G1603,月間集計シート!P$71:P$90)*Z$2</f>
        <v>0</v>
      </c>
      <c r="AA1603" s="88">
        <f>SUMIF(月間集計シート!$M$71:$M$90,$G1603,月間集計シート!Q$71:Q$90)*AA$2</f>
        <v>0</v>
      </c>
      <c r="AB1603" s="88">
        <f>SUMIF(月間集計シート!$M$71:$M$90,$G1603,月間集計シート!R$71:R$90)*AB$2</f>
        <v>0</v>
      </c>
      <c r="AC1603" s="88">
        <f>SUMIF(月間集計シート!$M$71:$M$90,$G1603,月間集計シート!S$71:S$90)*AC$2</f>
        <v>0</v>
      </c>
      <c r="AD1603" s="88">
        <f>SUMIF(月間集計シート!$M$71:$M$90,$G1603,月間集計シート!T$71:T$90)*AD$2</f>
        <v>0</v>
      </c>
      <c r="AE1603" s="88">
        <f>SUMIF(月間集計シート!$M$92:$M$111,$G1603,月間集計シート!N$92:N$111)*AE$2</f>
        <v>0</v>
      </c>
      <c r="AF1603" s="88">
        <f>SUMIF(月間集計シート!$M$92:$M$111,$G1603,月間集計シート!O$92:O$111)*AF$2</f>
        <v>0</v>
      </c>
      <c r="AG1603" s="88">
        <f>SUMIF(月間集計シート!$M$92:$M$111,$G1603,月間集計シート!P$92:P$111)*AG$2</f>
        <v>0</v>
      </c>
      <c r="AH1603" s="88">
        <f>SUMIF(月間集計シート!$M$92:$M$111,$G1603,月間集計シート!Q$92:Q$111)*AH$2</f>
        <v>0</v>
      </c>
      <c r="AI1603" s="88">
        <f>SUMIF(月間集計シート!$M$92:$M$111,$G1603,月間集計シート!R$92:R$111)*AI$2</f>
        <v>0</v>
      </c>
      <c r="AJ1603" s="88">
        <f>SUMIF(月間集計シート!$M$92:$M$111,$G1603,月間集計シート!S$92:S$111)*AJ$2</f>
        <v>0</v>
      </c>
      <c r="AK1603" s="88">
        <f>SUMIF(月間集計シート!$M$92:$M$111,$G1603,月間集計シート!T$92:T$111)*AK$2</f>
        <v>0</v>
      </c>
      <c r="AL1603" s="88">
        <f>SUMIF(月間集計シート!$M$113:$M$132,$G1603,月間集計シート!N$113:N$132)*AL$2</f>
        <v>0</v>
      </c>
      <c r="AM1603" s="88">
        <f>SUMIF(月間集計シート!$M$113:$M$132,$G1603,月間集計シート!O$113:O$132)*AM$2</f>
        <v>0</v>
      </c>
      <c r="AN1603" s="88">
        <f>SUMIF(月間集計シート!$M$113:$M$132,$G1603,月間集計シート!P$113:P$132)*AN$2</f>
        <v>0</v>
      </c>
      <c r="AO1603" s="88">
        <f>SUMIF(月間集計シート!$M$113:$M$132,$G1603,月間集計シート!Q$113:Q$132)*AO$2</f>
        <v>0</v>
      </c>
      <c r="AP1603" s="88">
        <f>SUMIF(月間集計シート!$M$113:$M$132,$G1603,月間集計シート!R$113:R$132)*AP$2</f>
        <v>0</v>
      </c>
      <c r="AQ1603" s="88">
        <f>SUMIF(月間集計シート!$M$113:$M$132,$G1603,月間集計シート!S$113:S$132)*AQ$2</f>
        <v>0</v>
      </c>
      <c r="AR1603" s="88">
        <f>SUMIF(月間集計シート!$M$113:$M$132,$G1603,月間集計シート!T$113:T$132)*AR$2</f>
        <v>0</v>
      </c>
      <c r="AS1603" s="88">
        <f>SUMIF(月間集計シート!$M$134:$M$153,$G1603,月間集計シート!N$134:N$153)*AS$2</f>
        <v>0</v>
      </c>
      <c r="AT1603" s="88">
        <f>SUMIF(月間集計シート!$M$134:$M$153,$G1603,月間集計シート!O$134:O$153)*AT$2</f>
        <v>0</v>
      </c>
      <c r="AU1603" s="88">
        <f>SUMIF(月間集計シート!$M$134:$M$153,$G1603,月間集計シート!P$134:P$153)*AU$2</f>
        <v>0</v>
      </c>
      <c r="AV1603" s="88">
        <f>SUMIF(月間集計シート!$M$134:$M$153,$G1603,月間集計シート!Q$134:Q$153)*AV$2</f>
        <v>0</v>
      </c>
      <c r="AW1603" s="88">
        <f>SUMIF(月間集計シート!$M$134:$M$153,$G1603,月間集計シート!R$134:R$153)*AW$2</f>
        <v>0</v>
      </c>
      <c r="AX1603" s="88">
        <f>SUMIF(月間集計シート!$M$134:$M$153,$G1603,月間集計シート!S$134:S$153)*AX$2</f>
        <v>0</v>
      </c>
      <c r="AY1603" s="88">
        <f>SUMIF(月間集計シート!$M$134:$M$153,$G1603,月間集計シート!T$134:T$153)*AY$2</f>
        <v>0</v>
      </c>
    </row>
    <row r="1604" spans="1:51" ht="14.25" thickBot="1">
      <c r="A1604">
        <v>19</v>
      </c>
      <c r="B1604" s="120">
        <f t="shared" si="888"/>
        <v>0</v>
      </c>
      <c r="C1604" s="120" t="str">
        <f t="shared" si="889"/>
        <v/>
      </c>
      <c r="D1604" s="137"/>
      <c r="E1604" s="150" t="str">
        <f>工種!A66</f>
        <v>80199</v>
      </c>
      <c r="F1604" s="119" t="str">
        <f>工種!B66</f>
        <v>保守／ｻﾎﾟｰﾄ：その他</v>
      </c>
      <c r="G1604" s="116" t="str">
        <f t="shared" si="891"/>
        <v>080199</v>
      </c>
      <c r="H1604" s="88">
        <f t="shared" si="893"/>
        <v>0</v>
      </c>
      <c r="I1604" s="132"/>
      <c r="J1604" s="88">
        <f>SUMIF(月間集計シート!$M$29:$M$48,$G1604,月間集計シート!N$29:N$48)*J$2</f>
        <v>0</v>
      </c>
      <c r="K1604" s="88">
        <f>SUMIF(月間集計シート!$M$29:$M$48,$G1604,月間集計シート!O$29:O$48)*K$2</f>
        <v>0</v>
      </c>
      <c r="L1604" s="88">
        <f>SUMIF(月間集計シート!$M$29:$M$48,$G1604,月間集計シート!P$29:P$48)*L$2</f>
        <v>0</v>
      </c>
      <c r="M1604" s="88">
        <f>SUMIF(月間集計シート!$M$29:$M$48,$G1604,月間集計シート!Q$29:Q$48)*M$2</f>
        <v>0</v>
      </c>
      <c r="N1604" s="88">
        <f>SUMIF(月間集計シート!$M$29:$M$48,$G1604,月間集計シート!R$29:R$48)*N$2</f>
        <v>0</v>
      </c>
      <c r="O1604" s="88">
        <f>SUMIF(月間集計シート!$M$29:$M$48,$G1604,月間集計シート!S$29:S$48)*O$2</f>
        <v>0</v>
      </c>
      <c r="P1604" s="88">
        <f>SUMIF(月間集計シート!$M$29:$M$48,$G1604,月間集計シート!T$29:T$48)*P$2</f>
        <v>0</v>
      </c>
      <c r="Q1604" s="88">
        <f>SUMIF(月間集計シート!$M$50:$M$69,$G1604,月間集計シート!N$50:N$69)*Q$2</f>
        <v>0</v>
      </c>
      <c r="R1604" s="88">
        <f>SUMIF(月間集計シート!$M$50:$M$69,$G1604,月間集計シート!O$50:O$69)*R$2</f>
        <v>0</v>
      </c>
      <c r="S1604" s="88">
        <f>SUMIF(月間集計シート!$M$50:$M$69,$G1604,月間集計シート!P$50:P$69)*S$2</f>
        <v>0</v>
      </c>
      <c r="T1604" s="88">
        <f>SUMIF(月間集計シート!$M$50:$M$69,$G1604,月間集計シート!Q$50:Q$69)*T$2</f>
        <v>0</v>
      </c>
      <c r="U1604" s="88">
        <f>SUMIF(月間集計シート!$M$50:$M$69,$G1604,月間集計シート!R$50:R$69)*U$2</f>
        <v>0</v>
      </c>
      <c r="V1604" s="88">
        <f>SUMIF(月間集計シート!$M$50:$M$69,$G1604,月間集計シート!S$50:S$69)*V$2</f>
        <v>0</v>
      </c>
      <c r="W1604" s="88">
        <f>SUMIF(月間集計シート!$M$50:$M$69,$G1604,月間集計シート!T$50:T$69)*W$2</f>
        <v>0</v>
      </c>
      <c r="X1604" s="88">
        <f>SUMIF(月間集計シート!$M$71:$M$90,$G1604,月間集計シート!N$71:N$90)*X$2</f>
        <v>0</v>
      </c>
      <c r="Y1604" s="88">
        <f>SUMIF(月間集計シート!$M$71:$M$90,$G1604,月間集計シート!O$71:O$90)*Y$2</f>
        <v>0</v>
      </c>
      <c r="Z1604" s="88">
        <f>SUMIF(月間集計シート!$M$71:$M$90,$G1604,月間集計シート!P$71:P$90)*Z$2</f>
        <v>0</v>
      </c>
      <c r="AA1604" s="88">
        <f>SUMIF(月間集計シート!$M$71:$M$90,$G1604,月間集計シート!Q$71:Q$90)*AA$2</f>
        <v>0</v>
      </c>
      <c r="AB1604" s="88">
        <f>SUMIF(月間集計シート!$M$71:$M$90,$G1604,月間集計シート!R$71:R$90)*AB$2</f>
        <v>0</v>
      </c>
      <c r="AC1604" s="88">
        <f>SUMIF(月間集計シート!$M$71:$M$90,$G1604,月間集計シート!S$71:S$90)*AC$2</f>
        <v>0</v>
      </c>
      <c r="AD1604" s="88">
        <f>SUMIF(月間集計シート!$M$71:$M$90,$G1604,月間集計シート!T$71:T$90)*AD$2</f>
        <v>0</v>
      </c>
      <c r="AE1604" s="88">
        <f>SUMIF(月間集計シート!$M$92:$M$111,$G1604,月間集計シート!N$92:N$111)*AE$2</f>
        <v>0</v>
      </c>
      <c r="AF1604" s="88">
        <f>SUMIF(月間集計シート!$M$92:$M$111,$G1604,月間集計シート!O$92:O$111)*AF$2</f>
        <v>0</v>
      </c>
      <c r="AG1604" s="88">
        <f>SUMIF(月間集計シート!$M$92:$M$111,$G1604,月間集計シート!P$92:P$111)*AG$2</f>
        <v>0</v>
      </c>
      <c r="AH1604" s="88">
        <f>SUMIF(月間集計シート!$M$92:$M$111,$G1604,月間集計シート!Q$92:Q$111)*AH$2</f>
        <v>0</v>
      </c>
      <c r="AI1604" s="88">
        <f>SUMIF(月間集計シート!$M$92:$M$111,$G1604,月間集計シート!R$92:R$111)*AI$2</f>
        <v>0</v>
      </c>
      <c r="AJ1604" s="88">
        <f>SUMIF(月間集計シート!$M$92:$M$111,$G1604,月間集計シート!S$92:S$111)*AJ$2</f>
        <v>0</v>
      </c>
      <c r="AK1604" s="88">
        <f>SUMIF(月間集計シート!$M$92:$M$111,$G1604,月間集計シート!T$92:T$111)*AK$2</f>
        <v>0</v>
      </c>
      <c r="AL1604" s="88">
        <f>SUMIF(月間集計シート!$M$113:$M$132,$G1604,月間集計シート!N$113:N$132)*AL$2</f>
        <v>0</v>
      </c>
      <c r="AM1604" s="88">
        <f>SUMIF(月間集計シート!$M$113:$M$132,$G1604,月間集計シート!O$113:O$132)*AM$2</f>
        <v>0</v>
      </c>
      <c r="AN1604" s="88">
        <f>SUMIF(月間集計シート!$M$113:$M$132,$G1604,月間集計シート!P$113:P$132)*AN$2</f>
        <v>0</v>
      </c>
      <c r="AO1604" s="88">
        <f>SUMIF(月間集計シート!$M$113:$M$132,$G1604,月間集計シート!Q$113:Q$132)*AO$2</f>
        <v>0</v>
      </c>
      <c r="AP1604" s="88">
        <f>SUMIF(月間集計シート!$M$113:$M$132,$G1604,月間集計シート!R$113:R$132)*AP$2</f>
        <v>0</v>
      </c>
      <c r="AQ1604" s="88">
        <f>SUMIF(月間集計シート!$M$113:$M$132,$G1604,月間集計シート!S$113:S$132)*AQ$2</f>
        <v>0</v>
      </c>
      <c r="AR1604" s="88">
        <f>SUMIF(月間集計シート!$M$113:$M$132,$G1604,月間集計シート!T$113:T$132)*AR$2</f>
        <v>0</v>
      </c>
      <c r="AS1604" s="88">
        <f>SUMIF(月間集計シート!$M$134:$M$153,$G1604,月間集計シート!N$134:N$153)*AS$2</f>
        <v>0</v>
      </c>
      <c r="AT1604" s="88">
        <f>SUMIF(月間集計シート!$M$134:$M$153,$G1604,月間集計シート!O$134:O$153)*AT$2</f>
        <v>0</v>
      </c>
      <c r="AU1604" s="88">
        <f>SUMIF(月間集計シート!$M$134:$M$153,$G1604,月間集計シート!P$134:P$153)*AU$2</f>
        <v>0</v>
      </c>
      <c r="AV1604" s="88">
        <f>SUMIF(月間集計シート!$M$134:$M$153,$G1604,月間集計シート!Q$134:Q$153)*AV$2</f>
        <v>0</v>
      </c>
      <c r="AW1604" s="88">
        <f>SUMIF(月間集計シート!$M$134:$M$153,$G1604,月間集計シート!R$134:R$153)*AW$2</f>
        <v>0</v>
      </c>
      <c r="AX1604" s="88">
        <f>SUMIF(月間集計シート!$M$134:$M$153,$G1604,月間集計シート!S$134:S$153)*AX$2</f>
        <v>0</v>
      </c>
      <c r="AY1604" s="88">
        <f>SUMIF(月間集計シート!$M$134:$M$153,$G1604,月間集計シート!T$134:T$153)*AY$2</f>
        <v>0</v>
      </c>
    </row>
    <row r="1605" spans="1:51" ht="14.25" thickBot="1">
      <c r="A1605">
        <v>19</v>
      </c>
      <c r="B1605" s="120">
        <f t="shared" ref="B1605:C1621" si="894">B1604</f>
        <v>0</v>
      </c>
      <c r="C1605" s="120" t="str">
        <f t="shared" si="894"/>
        <v/>
      </c>
      <c r="D1605" s="137"/>
      <c r="E1605" s="150" t="str">
        <f>工種!A67</f>
        <v>90101</v>
      </c>
      <c r="F1605" s="119" t="str">
        <f>工種!B67</f>
        <v>管理業務：ﾌﾟﾛｼﾞｪｸﾄ管理</v>
      </c>
      <c r="G1605" s="116" t="str">
        <f t="shared" si="891"/>
        <v>090101</v>
      </c>
      <c r="H1605" s="88">
        <f t="shared" si="893"/>
        <v>0</v>
      </c>
      <c r="I1605" s="132"/>
      <c r="J1605" s="88">
        <f>SUMIF(月間集計シート!$M$29:$M$48,$G1605,月間集計シート!N$29:N$48)*J$2</f>
        <v>0</v>
      </c>
      <c r="K1605" s="88">
        <f>SUMIF(月間集計シート!$M$29:$M$48,$G1605,月間集計シート!O$29:O$48)*K$2</f>
        <v>0</v>
      </c>
      <c r="L1605" s="88">
        <f>SUMIF(月間集計シート!$M$29:$M$48,$G1605,月間集計シート!P$29:P$48)*L$2</f>
        <v>0</v>
      </c>
      <c r="M1605" s="88">
        <f>SUMIF(月間集計シート!$M$29:$M$48,$G1605,月間集計シート!Q$29:Q$48)*M$2</f>
        <v>0</v>
      </c>
      <c r="N1605" s="88">
        <f>SUMIF(月間集計シート!$M$29:$M$48,$G1605,月間集計シート!R$29:R$48)*N$2</f>
        <v>0</v>
      </c>
      <c r="O1605" s="88">
        <f>SUMIF(月間集計シート!$M$29:$M$48,$G1605,月間集計シート!S$29:S$48)*O$2</f>
        <v>0</v>
      </c>
      <c r="P1605" s="88">
        <f>SUMIF(月間集計シート!$M$29:$M$48,$G1605,月間集計シート!T$29:T$48)*P$2</f>
        <v>0</v>
      </c>
      <c r="Q1605" s="88">
        <f>SUMIF(月間集計シート!$M$50:$M$69,$G1605,月間集計シート!N$50:N$69)*Q$2</f>
        <v>0</v>
      </c>
      <c r="R1605" s="88">
        <f>SUMIF(月間集計シート!$M$50:$M$69,$G1605,月間集計シート!O$50:O$69)*R$2</f>
        <v>0</v>
      </c>
      <c r="S1605" s="88">
        <f>SUMIF(月間集計シート!$M$50:$M$69,$G1605,月間集計シート!P$50:P$69)*S$2</f>
        <v>0</v>
      </c>
      <c r="T1605" s="88">
        <f>SUMIF(月間集計シート!$M$50:$M$69,$G1605,月間集計シート!Q$50:Q$69)*T$2</f>
        <v>0</v>
      </c>
      <c r="U1605" s="88">
        <f>SUMIF(月間集計シート!$M$50:$M$69,$G1605,月間集計シート!R$50:R$69)*U$2</f>
        <v>0</v>
      </c>
      <c r="V1605" s="88">
        <f>SUMIF(月間集計シート!$M$50:$M$69,$G1605,月間集計シート!S$50:S$69)*V$2</f>
        <v>0</v>
      </c>
      <c r="W1605" s="88">
        <f>SUMIF(月間集計シート!$M$50:$M$69,$G1605,月間集計シート!T$50:T$69)*W$2</f>
        <v>0</v>
      </c>
      <c r="X1605" s="88">
        <f>SUMIF(月間集計シート!$M$71:$M$90,$G1605,月間集計シート!N$71:N$90)*X$2</f>
        <v>0</v>
      </c>
      <c r="Y1605" s="88">
        <f>SUMIF(月間集計シート!$M$71:$M$90,$G1605,月間集計シート!O$71:O$90)*Y$2</f>
        <v>0</v>
      </c>
      <c r="Z1605" s="88">
        <f>SUMIF(月間集計シート!$M$71:$M$90,$G1605,月間集計シート!P$71:P$90)*Z$2</f>
        <v>0</v>
      </c>
      <c r="AA1605" s="88">
        <f>SUMIF(月間集計シート!$M$71:$M$90,$G1605,月間集計シート!Q$71:Q$90)*AA$2</f>
        <v>0</v>
      </c>
      <c r="AB1605" s="88">
        <f>SUMIF(月間集計シート!$M$71:$M$90,$G1605,月間集計シート!R$71:R$90)*AB$2</f>
        <v>0</v>
      </c>
      <c r="AC1605" s="88">
        <f>SUMIF(月間集計シート!$M$71:$M$90,$G1605,月間集計シート!S$71:S$90)*AC$2</f>
        <v>0</v>
      </c>
      <c r="AD1605" s="88">
        <f>SUMIF(月間集計シート!$M$71:$M$90,$G1605,月間集計シート!T$71:T$90)*AD$2</f>
        <v>0</v>
      </c>
      <c r="AE1605" s="88">
        <f>SUMIF(月間集計シート!$M$92:$M$111,$G1605,月間集計シート!N$92:N$111)*AE$2</f>
        <v>0</v>
      </c>
      <c r="AF1605" s="88">
        <f>SUMIF(月間集計シート!$M$92:$M$111,$G1605,月間集計シート!O$92:O$111)*AF$2</f>
        <v>0</v>
      </c>
      <c r="AG1605" s="88">
        <f>SUMIF(月間集計シート!$M$92:$M$111,$G1605,月間集計シート!P$92:P$111)*AG$2</f>
        <v>0</v>
      </c>
      <c r="AH1605" s="88">
        <f>SUMIF(月間集計シート!$M$92:$M$111,$G1605,月間集計シート!Q$92:Q$111)*AH$2</f>
        <v>0</v>
      </c>
      <c r="AI1605" s="88">
        <f>SUMIF(月間集計シート!$M$92:$M$111,$G1605,月間集計シート!R$92:R$111)*AI$2</f>
        <v>0</v>
      </c>
      <c r="AJ1605" s="88">
        <f>SUMIF(月間集計シート!$M$92:$M$111,$G1605,月間集計シート!S$92:S$111)*AJ$2</f>
        <v>0</v>
      </c>
      <c r="AK1605" s="88">
        <f>SUMIF(月間集計シート!$M$92:$M$111,$G1605,月間集計シート!T$92:T$111)*AK$2</f>
        <v>0</v>
      </c>
      <c r="AL1605" s="88">
        <f>SUMIF(月間集計シート!$M$113:$M$132,$G1605,月間集計シート!N$113:N$132)*AL$2</f>
        <v>0</v>
      </c>
      <c r="AM1605" s="88">
        <f>SUMIF(月間集計シート!$M$113:$M$132,$G1605,月間集計シート!O$113:O$132)*AM$2</f>
        <v>0</v>
      </c>
      <c r="AN1605" s="88">
        <f>SUMIF(月間集計シート!$M$113:$M$132,$G1605,月間集計シート!P$113:P$132)*AN$2</f>
        <v>0</v>
      </c>
      <c r="AO1605" s="88">
        <f>SUMIF(月間集計シート!$M$113:$M$132,$G1605,月間集計シート!Q$113:Q$132)*AO$2</f>
        <v>0</v>
      </c>
      <c r="AP1605" s="88">
        <f>SUMIF(月間集計シート!$M$113:$M$132,$G1605,月間集計シート!R$113:R$132)*AP$2</f>
        <v>0</v>
      </c>
      <c r="AQ1605" s="88">
        <f>SUMIF(月間集計シート!$M$113:$M$132,$G1605,月間集計シート!S$113:S$132)*AQ$2</f>
        <v>0</v>
      </c>
      <c r="AR1605" s="88">
        <f>SUMIF(月間集計シート!$M$113:$M$132,$G1605,月間集計シート!T$113:T$132)*AR$2</f>
        <v>0</v>
      </c>
      <c r="AS1605" s="88">
        <f>SUMIF(月間集計シート!$M$134:$M$153,$G1605,月間集計シート!N$134:N$153)*AS$2</f>
        <v>0</v>
      </c>
      <c r="AT1605" s="88">
        <f>SUMIF(月間集計シート!$M$134:$M$153,$G1605,月間集計シート!O$134:O$153)*AT$2</f>
        <v>0</v>
      </c>
      <c r="AU1605" s="88">
        <f>SUMIF(月間集計シート!$M$134:$M$153,$G1605,月間集計シート!P$134:P$153)*AU$2</f>
        <v>0</v>
      </c>
      <c r="AV1605" s="88">
        <f>SUMIF(月間集計シート!$M$134:$M$153,$G1605,月間集計シート!Q$134:Q$153)*AV$2</f>
        <v>0</v>
      </c>
      <c r="AW1605" s="88">
        <f>SUMIF(月間集計シート!$M$134:$M$153,$G1605,月間集計シート!R$134:R$153)*AW$2</f>
        <v>0</v>
      </c>
      <c r="AX1605" s="88">
        <f>SUMIF(月間集計シート!$M$134:$M$153,$G1605,月間集計シート!S$134:S$153)*AX$2</f>
        <v>0</v>
      </c>
      <c r="AY1605" s="88">
        <f>SUMIF(月間集計シート!$M$134:$M$153,$G1605,月間集計シート!T$134:T$153)*AY$2</f>
        <v>0</v>
      </c>
    </row>
    <row r="1606" spans="1:51" ht="14.25" thickBot="1">
      <c r="A1606">
        <v>19</v>
      </c>
      <c r="B1606" s="120">
        <f t="shared" si="894"/>
        <v>0</v>
      </c>
      <c r="C1606" s="120" t="str">
        <f t="shared" si="894"/>
        <v/>
      </c>
      <c r="D1606" s="137"/>
      <c r="E1606" s="150" t="str">
        <f>工種!A68</f>
        <v>90102</v>
      </c>
      <c r="F1606" s="119" t="str">
        <f>工種!B68</f>
        <v>管理業務：開発環境管理</v>
      </c>
      <c r="G1606" s="116" t="str">
        <f t="shared" si="891"/>
        <v>090102</v>
      </c>
      <c r="H1606" s="88">
        <f t="shared" si="893"/>
        <v>0</v>
      </c>
      <c r="I1606" s="132"/>
      <c r="J1606" s="88">
        <f>SUMIF(月間集計シート!$M$29:$M$48,$G1606,月間集計シート!N$29:N$48)*J$2</f>
        <v>0</v>
      </c>
      <c r="K1606" s="88">
        <f>SUMIF(月間集計シート!$M$29:$M$48,$G1606,月間集計シート!O$29:O$48)*K$2</f>
        <v>0</v>
      </c>
      <c r="L1606" s="88">
        <f>SUMIF(月間集計シート!$M$29:$M$48,$G1606,月間集計シート!P$29:P$48)*L$2</f>
        <v>0</v>
      </c>
      <c r="M1606" s="88">
        <f>SUMIF(月間集計シート!$M$29:$M$48,$G1606,月間集計シート!Q$29:Q$48)*M$2</f>
        <v>0</v>
      </c>
      <c r="N1606" s="88">
        <f>SUMIF(月間集計シート!$M$29:$M$48,$G1606,月間集計シート!R$29:R$48)*N$2</f>
        <v>0</v>
      </c>
      <c r="O1606" s="88">
        <f>SUMIF(月間集計シート!$M$29:$M$48,$G1606,月間集計シート!S$29:S$48)*O$2</f>
        <v>0</v>
      </c>
      <c r="P1606" s="88">
        <f>SUMIF(月間集計シート!$M$29:$M$48,$G1606,月間集計シート!T$29:T$48)*P$2</f>
        <v>0</v>
      </c>
      <c r="Q1606" s="88">
        <f>SUMIF(月間集計シート!$M$50:$M$69,$G1606,月間集計シート!N$50:N$69)*Q$2</f>
        <v>0</v>
      </c>
      <c r="R1606" s="88">
        <f>SUMIF(月間集計シート!$M$50:$M$69,$G1606,月間集計シート!O$50:O$69)*R$2</f>
        <v>0</v>
      </c>
      <c r="S1606" s="88">
        <f>SUMIF(月間集計シート!$M$50:$M$69,$G1606,月間集計シート!P$50:P$69)*S$2</f>
        <v>0</v>
      </c>
      <c r="T1606" s="88">
        <f>SUMIF(月間集計シート!$M$50:$M$69,$G1606,月間集計シート!Q$50:Q$69)*T$2</f>
        <v>0</v>
      </c>
      <c r="U1606" s="88">
        <f>SUMIF(月間集計シート!$M$50:$M$69,$G1606,月間集計シート!R$50:R$69)*U$2</f>
        <v>0</v>
      </c>
      <c r="V1606" s="88">
        <f>SUMIF(月間集計シート!$M$50:$M$69,$G1606,月間集計シート!S$50:S$69)*V$2</f>
        <v>0</v>
      </c>
      <c r="W1606" s="88">
        <f>SUMIF(月間集計シート!$M$50:$M$69,$G1606,月間集計シート!T$50:T$69)*W$2</f>
        <v>0</v>
      </c>
      <c r="X1606" s="88">
        <f>SUMIF(月間集計シート!$M$71:$M$90,$G1606,月間集計シート!N$71:N$90)*X$2</f>
        <v>0</v>
      </c>
      <c r="Y1606" s="88">
        <f>SUMIF(月間集計シート!$M$71:$M$90,$G1606,月間集計シート!O$71:O$90)*Y$2</f>
        <v>0</v>
      </c>
      <c r="Z1606" s="88">
        <f>SUMIF(月間集計シート!$M$71:$M$90,$G1606,月間集計シート!P$71:P$90)*Z$2</f>
        <v>0</v>
      </c>
      <c r="AA1606" s="88">
        <f>SUMIF(月間集計シート!$M$71:$M$90,$G1606,月間集計シート!Q$71:Q$90)*AA$2</f>
        <v>0</v>
      </c>
      <c r="AB1606" s="88">
        <f>SUMIF(月間集計シート!$M$71:$M$90,$G1606,月間集計シート!R$71:R$90)*AB$2</f>
        <v>0</v>
      </c>
      <c r="AC1606" s="88">
        <f>SUMIF(月間集計シート!$M$71:$M$90,$G1606,月間集計シート!S$71:S$90)*AC$2</f>
        <v>0</v>
      </c>
      <c r="AD1606" s="88">
        <f>SUMIF(月間集計シート!$M$71:$M$90,$G1606,月間集計シート!T$71:T$90)*AD$2</f>
        <v>0</v>
      </c>
      <c r="AE1606" s="88">
        <f>SUMIF(月間集計シート!$M$92:$M$111,$G1606,月間集計シート!N$92:N$111)*AE$2</f>
        <v>0</v>
      </c>
      <c r="AF1606" s="88">
        <f>SUMIF(月間集計シート!$M$92:$M$111,$G1606,月間集計シート!O$92:O$111)*AF$2</f>
        <v>0</v>
      </c>
      <c r="AG1606" s="88">
        <f>SUMIF(月間集計シート!$M$92:$M$111,$G1606,月間集計シート!P$92:P$111)*AG$2</f>
        <v>0</v>
      </c>
      <c r="AH1606" s="88">
        <f>SUMIF(月間集計シート!$M$92:$M$111,$G1606,月間集計シート!Q$92:Q$111)*AH$2</f>
        <v>0</v>
      </c>
      <c r="AI1606" s="88">
        <f>SUMIF(月間集計シート!$M$92:$M$111,$G1606,月間集計シート!R$92:R$111)*AI$2</f>
        <v>0</v>
      </c>
      <c r="AJ1606" s="88">
        <f>SUMIF(月間集計シート!$M$92:$M$111,$G1606,月間集計シート!S$92:S$111)*AJ$2</f>
        <v>0</v>
      </c>
      <c r="AK1606" s="88">
        <f>SUMIF(月間集計シート!$M$92:$M$111,$G1606,月間集計シート!T$92:T$111)*AK$2</f>
        <v>0</v>
      </c>
      <c r="AL1606" s="88">
        <f>SUMIF(月間集計シート!$M$113:$M$132,$G1606,月間集計シート!N$113:N$132)*AL$2</f>
        <v>0</v>
      </c>
      <c r="AM1606" s="88">
        <f>SUMIF(月間集計シート!$M$113:$M$132,$G1606,月間集計シート!O$113:O$132)*AM$2</f>
        <v>0</v>
      </c>
      <c r="AN1606" s="88">
        <f>SUMIF(月間集計シート!$M$113:$M$132,$G1606,月間集計シート!P$113:P$132)*AN$2</f>
        <v>0</v>
      </c>
      <c r="AO1606" s="88">
        <f>SUMIF(月間集計シート!$M$113:$M$132,$G1606,月間集計シート!Q$113:Q$132)*AO$2</f>
        <v>0</v>
      </c>
      <c r="AP1606" s="88">
        <f>SUMIF(月間集計シート!$M$113:$M$132,$G1606,月間集計シート!R$113:R$132)*AP$2</f>
        <v>0</v>
      </c>
      <c r="AQ1606" s="88">
        <f>SUMIF(月間集計シート!$M$113:$M$132,$G1606,月間集計シート!S$113:S$132)*AQ$2</f>
        <v>0</v>
      </c>
      <c r="AR1606" s="88">
        <f>SUMIF(月間集計シート!$M$113:$M$132,$G1606,月間集計シート!T$113:T$132)*AR$2</f>
        <v>0</v>
      </c>
      <c r="AS1606" s="88">
        <f>SUMIF(月間集計シート!$M$134:$M$153,$G1606,月間集計シート!N$134:N$153)*AS$2</f>
        <v>0</v>
      </c>
      <c r="AT1606" s="88">
        <f>SUMIF(月間集計シート!$M$134:$M$153,$G1606,月間集計シート!O$134:O$153)*AT$2</f>
        <v>0</v>
      </c>
      <c r="AU1606" s="88">
        <f>SUMIF(月間集計シート!$M$134:$M$153,$G1606,月間集計シート!P$134:P$153)*AU$2</f>
        <v>0</v>
      </c>
      <c r="AV1606" s="88">
        <f>SUMIF(月間集計シート!$M$134:$M$153,$G1606,月間集計シート!Q$134:Q$153)*AV$2</f>
        <v>0</v>
      </c>
      <c r="AW1606" s="88">
        <f>SUMIF(月間集計シート!$M$134:$M$153,$G1606,月間集計シート!R$134:R$153)*AW$2</f>
        <v>0</v>
      </c>
      <c r="AX1606" s="88">
        <f>SUMIF(月間集計シート!$M$134:$M$153,$G1606,月間集計シート!S$134:S$153)*AX$2</f>
        <v>0</v>
      </c>
      <c r="AY1606" s="88">
        <f>SUMIF(月間集計シート!$M$134:$M$153,$G1606,月間集計シート!T$134:T$153)*AY$2</f>
        <v>0</v>
      </c>
    </row>
    <row r="1607" spans="1:51" ht="14.25" thickBot="1">
      <c r="A1607">
        <v>19</v>
      </c>
      <c r="B1607" s="120">
        <f t="shared" si="894"/>
        <v>0</v>
      </c>
      <c r="C1607" s="120" t="str">
        <f t="shared" si="894"/>
        <v/>
      </c>
      <c r="D1607" s="137"/>
      <c r="E1607" s="150" t="str">
        <f>工種!A69</f>
        <v>90103</v>
      </c>
      <c r="F1607" s="119" t="str">
        <f>工種!B69</f>
        <v>管理業務：標準化・開発業務改善作業</v>
      </c>
      <c r="G1607" s="116" t="str">
        <f t="shared" si="891"/>
        <v>090103</v>
      </c>
      <c r="H1607" s="88">
        <f t="shared" si="893"/>
        <v>0</v>
      </c>
      <c r="I1607" s="132"/>
      <c r="J1607" s="88">
        <f>SUMIF(月間集計シート!$M$29:$M$48,$G1607,月間集計シート!N$29:N$48)*J$2</f>
        <v>0</v>
      </c>
      <c r="K1607" s="88">
        <f>SUMIF(月間集計シート!$M$29:$M$48,$G1607,月間集計シート!O$29:O$48)*K$2</f>
        <v>0</v>
      </c>
      <c r="L1607" s="88">
        <f>SUMIF(月間集計シート!$M$29:$M$48,$G1607,月間集計シート!P$29:P$48)*L$2</f>
        <v>0</v>
      </c>
      <c r="M1607" s="88">
        <f>SUMIF(月間集計シート!$M$29:$M$48,$G1607,月間集計シート!Q$29:Q$48)*M$2</f>
        <v>0</v>
      </c>
      <c r="N1607" s="88">
        <f>SUMIF(月間集計シート!$M$29:$M$48,$G1607,月間集計シート!R$29:R$48)*N$2</f>
        <v>0</v>
      </c>
      <c r="O1607" s="88">
        <f>SUMIF(月間集計シート!$M$29:$M$48,$G1607,月間集計シート!S$29:S$48)*O$2</f>
        <v>0</v>
      </c>
      <c r="P1607" s="88">
        <f>SUMIF(月間集計シート!$M$29:$M$48,$G1607,月間集計シート!T$29:T$48)*P$2</f>
        <v>0</v>
      </c>
      <c r="Q1607" s="88">
        <f>SUMIF(月間集計シート!$M$50:$M$69,$G1607,月間集計シート!N$50:N$69)*Q$2</f>
        <v>0</v>
      </c>
      <c r="R1607" s="88">
        <f>SUMIF(月間集計シート!$M$50:$M$69,$G1607,月間集計シート!O$50:O$69)*R$2</f>
        <v>0</v>
      </c>
      <c r="S1607" s="88">
        <f>SUMIF(月間集計シート!$M$50:$M$69,$G1607,月間集計シート!P$50:P$69)*S$2</f>
        <v>0</v>
      </c>
      <c r="T1607" s="88">
        <f>SUMIF(月間集計シート!$M$50:$M$69,$G1607,月間集計シート!Q$50:Q$69)*T$2</f>
        <v>0</v>
      </c>
      <c r="U1607" s="88">
        <f>SUMIF(月間集計シート!$M$50:$M$69,$G1607,月間集計シート!R$50:R$69)*U$2</f>
        <v>0</v>
      </c>
      <c r="V1607" s="88">
        <f>SUMIF(月間集計シート!$M$50:$M$69,$G1607,月間集計シート!S$50:S$69)*V$2</f>
        <v>0</v>
      </c>
      <c r="W1607" s="88">
        <f>SUMIF(月間集計シート!$M$50:$M$69,$G1607,月間集計シート!T$50:T$69)*W$2</f>
        <v>0</v>
      </c>
      <c r="X1607" s="88">
        <f>SUMIF(月間集計シート!$M$71:$M$90,$G1607,月間集計シート!N$71:N$90)*X$2</f>
        <v>0</v>
      </c>
      <c r="Y1607" s="88">
        <f>SUMIF(月間集計シート!$M$71:$M$90,$G1607,月間集計シート!O$71:O$90)*Y$2</f>
        <v>0</v>
      </c>
      <c r="Z1607" s="88">
        <f>SUMIF(月間集計シート!$M$71:$M$90,$G1607,月間集計シート!P$71:P$90)*Z$2</f>
        <v>0</v>
      </c>
      <c r="AA1607" s="88">
        <f>SUMIF(月間集計シート!$M$71:$M$90,$G1607,月間集計シート!Q$71:Q$90)*AA$2</f>
        <v>0</v>
      </c>
      <c r="AB1607" s="88">
        <f>SUMIF(月間集計シート!$M$71:$M$90,$G1607,月間集計シート!R$71:R$90)*AB$2</f>
        <v>0</v>
      </c>
      <c r="AC1607" s="88">
        <f>SUMIF(月間集計シート!$M$71:$M$90,$G1607,月間集計シート!S$71:S$90)*AC$2</f>
        <v>0</v>
      </c>
      <c r="AD1607" s="88">
        <f>SUMIF(月間集計シート!$M$71:$M$90,$G1607,月間集計シート!T$71:T$90)*AD$2</f>
        <v>0</v>
      </c>
      <c r="AE1607" s="88">
        <f>SUMIF(月間集計シート!$M$92:$M$111,$G1607,月間集計シート!N$92:N$111)*AE$2</f>
        <v>0</v>
      </c>
      <c r="AF1607" s="88">
        <f>SUMIF(月間集計シート!$M$92:$M$111,$G1607,月間集計シート!O$92:O$111)*AF$2</f>
        <v>0</v>
      </c>
      <c r="AG1607" s="88">
        <f>SUMIF(月間集計シート!$M$92:$M$111,$G1607,月間集計シート!P$92:P$111)*AG$2</f>
        <v>0</v>
      </c>
      <c r="AH1607" s="88">
        <f>SUMIF(月間集計シート!$M$92:$M$111,$G1607,月間集計シート!Q$92:Q$111)*AH$2</f>
        <v>0</v>
      </c>
      <c r="AI1607" s="88">
        <f>SUMIF(月間集計シート!$M$92:$M$111,$G1607,月間集計シート!R$92:R$111)*AI$2</f>
        <v>0</v>
      </c>
      <c r="AJ1607" s="88">
        <f>SUMIF(月間集計シート!$M$92:$M$111,$G1607,月間集計シート!S$92:S$111)*AJ$2</f>
        <v>0</v>
      </c>
      <c r="AK1607" s="88">
        <f>SUMIF(月間集計シート!$M$92:$M$111,$G1607,月間集計シート!T$92:T$111)*AK$2</f>
        <v>0</v>
      </c>
      <c r="AL1607" s="88">
        <f>SUMIF(月間集計シート!$M$113:$M$132,$G1607,月間集計シート!N$113:N$132)*AL$2</f>
        <v>0</v>
      </c>
      <c r="AM1607" s="88">
        <f>SUMIF(月間集計シート!$M$113:$M$132,$G1607,月間集計シート!O$113:O$132)*AM$2</f>
        <v>0</v>
      </c>
      <c r="AN1607" s="88">
        <f>SUMIF(月間集計シート!$M$113:$M$132,$G1607,月間集計シート!P$113:P$132)*AN$2</f>
        <v>0</v>
      </c>
      <c r="AO1607" s="88">
        <f>SUMIF(月間集計シート!$M$113:$M$132,$G1607,月間集計シート!Q$113:Q$132)*AO$2</f>
        <v>0</v>
      </c>
      <c r="AP1607" s="88">
        <f>SUMIF(月間集計シート!$M$113:$M$132,$G1607,月間集計シート!R$113:R$132)*AP$2</f>
        <v>0</v>
      </c>
      <c r="AQ1607" s="88">
        <f>SUMIF(月間集計シート!$M$113:$M$132,$G1607,月間集計シート!S$113:S$132)*AQ$2</f>
        <v>0</v>
      </c>
      <c r="AR1607" s="88">
        <f>SUMIF(月間集計シート!$M$113:$M$132,$G1607,月間集計シート!T$113:T$132)*AR$2</f>
        <v>0</v>
      </c>
      <c r="AS1607" s="88">
        <f>SUMIF(月間集計シート!$M$134:$M$153,$G1607,月間集計シート!N$134:N$153)*AS$2</f>
        <v>0</v>
      </c>
      <c r="AT1607" s="88">
        <f>SUMIF(月間集計シート!$M$134:$M$153,$G1607,月間集計シート!O$134:O$153)*AT$2</f>
        <v>0</v>
      </c>
      <c r="AU1607" s="88">
        <f>SUMIF(月間集計シート!$M$134:$M$153,$G1607,月間集計シート!P$134:P$153)*AU$2</f>
        <v>0</v>
      </c>
      <c r="AV1607" s="88">
        <f>SUMIF(月間集計シート!$M$134:$M$153,$G1607,月間集計シート!Q$134:Q$153)*AV$2</f>
        <v>0</v>
      </c>
      <c r="AW1607" s="88">
        <f>SUMIF(月間集計シート!$M$134:$M$153,$G1607,月間集計シート!R$134:R$153)*AW$2</f>
        <v>0</v>
      </c>
      <c r="AX1607" s="88">
        <f>SUMIF(月間集計シート!$M$134:$M$153,$G1607,月間集計シート!S$134:S$153)*AX$2</f>
        <v>0</v>
      </c>
      <c r="AY1607" s="88">
        <f>SUMIF(月間集計シート!$M$134:$M$153,$G1607,月間集計シート!T$134:T$153)*AY$2</f>
        <v>0</v>
      </c>
    </row>
    <row r="1608" spans="1:51" ht="14.25" thickBot="1">
      <c r="A1608">
        <v>19</v>
      </c>
      <c r="B1608" s="120">
        <f t="shared" si="894"/>
        <v>0</v>
      </c>
      <c r="C1608" s="120" t="str">
        <f t="shared" si="894"/>
        <v/>
      </c>
      <c r="D1608" s="137"/>
      <c r="E1608" s="150" t="str">
        <f>工種!A70</f>
        <v>90104</v>
      </c>
      <c r="F1608" s="119" t="str">
        <f>工種!B70</f>
        <v>管理業務：開発業務の引継ぎ</v>
      </c>
      <c r="G1608" s="116" t="str">
        <f t="shared" si="891"/>
        <v>090104</v>
      </c>
      <c r="H1608" s="88">
        <f t="shared" si="893"/>
        <v>0</v>
      </c>
      <c r="I1608" s="132"/>
      <c r="J1608" s="88">
        <f>SUMIF(月間集計シート!$M$29:$M$48,$G1608,月間集計シート!N$29:N$48)*J$2</f>
        <v>0</v>
      </c>
      <c r="K1608" s="88">
        <f>SUMIF(月間集計シート!$M$29:$M$48,$G1608,月間集計シート!O$29:O$48)*K$2</f>
        <v>0</v>
      </c>
      <c r="L1608" s="88">
        <f>SUMIF(月間集計シート!$M$29:$M$48,$G1608,月間集計シート!P$29:P$48)*L$2</f>
        <v>0</v>
      </c>
      <c r="M1608" s="88">
        <f>SUMIF(月間集計シート!$M$29:$M$48,$G1608,月間集計シート!Q$29:Q$48)*M$2</f>
        <v>0</v>
      </c>
      <c r="N1608" s="88">
        <f>SUMIF(月間集計シート!$M$29:$M$48,$G1608,月間集計シート!R$29:R$48)*N$2</f>
        <v>0</v>
      </c>
      <c r="O1608" s="88">
        <f>SUMIF(月間集計シート!$M$29:$M$48,$G1608,月間集計シート!S$29:S$48)*O$2</f>
        <v>0</v>
      </c>
      <c r="P1608" s="88">
        <f>SUMIF(月間集計シート!$M$29:$M$48,$G1608,月間集計シート!T$29:T$48)*P$2</f>
        <v>0</v>
      </c>
      <c r="Q1608" s="88">
        <f>SUMIF(月間集計シート!$M$50:$M$69,$G1608,月間集計シート!N$50:N$69)*Q$2</f>
        <v>0</v>
      </c>
      <c r="R1608" s="88">
        <f>SUMIF(月間集計シート!$M$50:$M$69,$G1608,月間集計シート!O$50:O$69)*R$2</f>
        <v>0</v>
      </c>
      <c r="S1608" s="88">
        <f>SUMIF(月間集計シート!$M$50:$M$69,$G1608,月間集計シート!P$50:P$69)*S$2</f>
        <v>0</v>
      </c>
      <c r="T1608" s="88">
        <f>SUMIF(月間集計シート!$M$50:$M$69,$G1608,月間集計シート!Q$50:Q$69)*T$2</f>
        <v>0</v>
      </c>
      <c r="U1608" s="88">
        <f>SUMIF(月間集計シート!$M$50:$M$69,$G1608,月間集計シート!R$50:R$69)*U$2</f>
        <v>0</v>
      </c>
      <c r="V1608" s="88">
        <f>SUMIF(月間集計シート!$M$50:$M$69,$G1608,月間集計シート!S$50:S$69)*V$2</f>
        <v>0</v>
      </c>
      <c r="W1608" s="88">
        <f>SUMIF(月間集計シート!$M$50:$M$69,$G1608,月間集計シート!T$50:T$69)*W$2</f>
        <v>0</v>
      </c>
      <c r="X1608" s="88">
        <f>SUMIF(月間集計シート!$M$71:$M$90,$G1608,月間集計シート!N$71:N$90)*X$2</f>
        <v>0</v>
      </c>
      <c r="Y1608" s="88">
        <f>SUMIF(月間集計シート!$M$71:$M$90,$G1608,月間集計シート!O$71:O$90)*Y$2</f>
        <v>0</v>
      </c>
      <c r="Z1608" s="88">
        <f>SUMIF(月間集計シート!$M$71:$M$90,$G1608,月間集計シート!P$71:P$90)*Z$2</f>
        <v>0</v>
      </c>
      <c r="AA1608" s="88">
        <f>SUMIF(月間集計シート!$M$71:$M$90,$G1608,月間集計シート!Q$71:Q$90)*AA$2</f>
        <v>0</v>
      </c>
      <c r="AB1608" s="88">
        <f>SUMIF(月間集計シート!$M$71:$M$90,$G1608,月間集計シート!R$71:R$90)*AB$2</f>
        <v>0</v>
      </c>
      <c r="AC1608" s="88">
        <f>SUMIF(月間集計シート!$M$71:$M$90,$G1608,月間集計シート!S$71:S$90)*AC$2</f>
        <v>0</v>
      </c>
      <c r="AD1608" s="88">
        <f>SUMIF(月間集計シート!$M$71:$M$90,$G1608,月間集計シート!T$71:T$90)*AD$2</f>
        <v>0</v>
      </c>
      <c r="AE1608" s="88">
        <f>SUMIF(月間集計シート!$M$92:$M$111,$G1608,月間集計シート!N$92:N$111)*AE$2</f>
        <v>0</v>
      </c>
      <c r="AF1608" s="88">
        <f>SUMIF(月間集計シート!$M$92:$M$111,$G1608,月間集計シート!O$92:O$111)*AF$2</f>
        <v>0</v>
      </c>
      <c r="AG1608" s="88">
        <f>SUMIF(月間集計シート!$M$92:$M$111,$G1608,月間集計シート!P$92:P$111)*AG$2</f>
        <v>0</v>
      </c>
      <c r="AH1608" s="88">
        <f>SUMIF(月間集計シート!$M$92:$M$111,$G1608,月間集計シート!Q$92:Q$111)*AH$2</f>
        <v>0</v>
      </c>
      <c r="AI1608" s="88">
        <f>SUMIF(月間集計シート!$M$92:$M$111,$G1608,月間集計シート!R$92:R$111)*AI$2</f>
        <v>0</v>
      </c>
      <c r="AJ1608" s="88">
        <f>SUMIF(月間集計シート!$M$92:$M$111,$G1608,月間集計シート!S$92:S$111)*AJ$2</f>
        <v>0</v>
      </c>
      <c r="AK1608" s="88">
        <f>SUMIF(月間集計シート!$M$92:$M$111,$G1608,月間集計シート!T$92:T$111)*AK$2</f>
        <v>0</v>
      </c>
      <c r="AL1608" s="88">
        <f>SUMIF(月間集計シート!$M$113:$M$132,$G1608,月間集計シート!N$113:N$132)*AL$2</f>
        <v>0</v>
      </c>
      <c r="AM1608" s="88">
        <f>SUMIF(月間集計シート!$M$113:$M$132,$G1608,月間集計シート!O$113:O$132)*AM$2</f>
        <v>0</v>
      </c>
      <c r="AN1608" s="88">
        <f>SUMIF(月間集計シート!$M$113:$M$132,$G1608,月間集計シート!P$113:P$132)*AN$2</f>
        <v>0</v>
      </c>
      <c r="AO1608" s="88">
        <f>SUMIF(月間集計シート!$M$113:$M$132,$G1608,月間集計シート!Q$113:Q$132)*AO$2</f>
        <v>0</v>
      </c>
      <c r="AP1608" s="88">
        <f>SUMIF(月間集計シート!$M$113:$M$132,$G1608,月間集計シート!R$113:R$132)*AP$2</f>
        <v>0</v>
      </c>
      <c r="AQ1608" s="88">
        <f>SUMIF(月間集計シート!$M$113:$M$132,$G1608,月間集計シート!S$113:S$132)*AQ$2</f>
        <v>0</v>
      </c>
      <c r="AR1608" s="88">
        <f>SUMIF(月間集計シート!$M$113:$M$132,$G1608,月間集計シート!T$113:T$132)*AR$2</f>
        <v>0</v>
      </c>
      <c r="AS1608" s="88">
        <f>SUMIF(月間集計シート!$M$134:$M$153,$G1608,月間集計シート!N$134:N$153)*AS$2</f>
        <v>0</v>
      </c>
      <c r="AT1608" s="88">
        <f>SUMIF(月間集計シート!$M$134:$M$153,$G1608,月間集計シート!O$134:O$153)*AT$2</f>
        <v>0</v>
      </c>
      <c r="AU1608" s="88">
        <f>SUMIF(月間集計シート!$M$134:$M$153,$G1608,月間集計シート!P$134:P$153)*AU$2</f>
        <v>0</v>
      </c>
      <c r="AV1608" s="88">
        <f>SUMIF(月間集計シート!$M$134:$M$153,$G1608,月間集計シート!Q$134:Q$153)*AV$2</f>
        <v>0</v>
      </c>
      <c r="AW1608" s="88">
        <f>SUMIF(月間集計シート!$M$134:$M$153,$G1608,月間集計シート!R$134:R$153)*AW$2</f>
        <v>0</v>
      </c>
      <c r="AX1608" s="88">
        <f>SUMIF(月間集計シート!$M$134:$M$153,$G1608,月間集計シート!S$134:S$153)*AX$2</f>
        <v>0</v>
      </c>
      <c r="AY1608" s="88">
        <f>SUMIF(月間集計シート!$M$134:$M$153,$G1608,月間集計シート!T$134:T$153)*AY$2</f>
        <v>0</v>
      </c>
    </row>
    <row r="1609" spans="1:51" ht="14.25" thickBot="1">
      <c r="A1609">
        <v>19</v>
      </c>
      <c r="B1609" s="120">
        <f t="shared" si="894"/>
        <v>0</v>
      </c>
      <c r="C1609" s="120" t="str">
        <f t="shared" si="894"/>
        <v/>
      </c>
      <c r="D1609" s="137"/>
      <c r="E1609" s="150" t="str">
        <f>工種!A71</f>
        <v>90105</v>
      </c>
      <c r="F1609" s="119" t="str">
        <f>工種!B71</f>
        <v>管理業務：SRB管理</v>
      </c>
      <c r="G1609" s="116" t="str">
        <f t="shared" si="891"/>
        <v>090105</v>
      </c>
      <c r="H1609" s="88">
        <f t="shared" si="893"/>
        <v>0</v>
      </c>
      <c r="I1609" s="132"/>
      <c r="J1609" s="88">
        <f>SUMIF(月間集計シート!$M$29:$M$48,$G1609,月間集計シート!N$29:N$48)*J$2</f>
        <v>0</v>
      </c>
      <c r="K1609" s="88">
        <f>SUMIF(月間集計シート!$M$29:$M$48,$G1609,月間集計シート!O$29:O$48)*K$2</f>
        <v>0</v>
      </c>
      <c r="L1609" s="88">
        <f>SUMIF(月間集計シート!$M$29:$M$48,$G1609,月間集計シート!P$29:P$48)*L$2</f>
        <v>0</v>
      </c>
      <c r="M1609" s="88">
        <f>SUMIF(月間集計シート!$M$29:$M$48,$G1609,月間集計シート!Q$29:Q$48)*M$2</f>
        <v>0</v>
      </c>
      <c r="N1609" s="88">
        <f>SUMIF(月間集計シート!$M$29:$M$48,$G1609,月間集計シート!R$29:R$48)*N$2</f>
        <v>0</v>
      </c>
      <c r="O1609" s="88">
        <f>SUMIF(月間集計シート!$M$29:$M$48,$G1609,月間集計シート!S$29:S$48)*O$2</f>
        <v>0</v>
      </c>
      <c r="P1609" s="88">
        <f>SUMIF(月間集計シート!$M$29:$M$48,$G1609,月間集計シート!T$29:T$48)*P$2</f>
        <v>0</v>
      </c>
      <c r="Q1609" s="88">
        <f>SUMIF(月間集計シート!$M$50:$M$69,$G1609,月間集計シート!N$50:N$69)*Q$2</f>
        <v>0</v>
      </c>
      <c r="R1609" s="88">
        <f>SUMIF(月間集計シート!$M$50:$M$69,$G1609,月間集計シート!O$50:O$69)*R$2</f>
        <v>0</v>
      </c>
      <c r="S1609" s="88">
        <f>SUMIF(月間集計シート!$M$50:$M$69,$G1609,月間集計シート!P$50:P$69)*S$2</f>
        <v>0</v>
      </c>
      <c r="T1609" s="88">
        <f>SUMIF(月間集計シート!$M$50:$M$69,$G1609,月間集計シート!Q$50:Q$69)*T$2</f>
        <v>0</v>
      </c>
      <c r="U1609" s="88">
        <f>SUMIF(月間集計シート!$M$50:$M$69,$G1609,月間集計シート!R$50:R$69)*U$2</f>
        <v>0</v>
      </c>
      <c r="V1609" s="88">
        <f>SUMIF(月間集計シート!$M$50:$M$69,$G1609,月間集計シート!S$50:S$69)*V$2</f>
        <v>0</v>
      </c>
      <c r="W1609" s="88">
        <f>SUMIF(月間集計シート!$M$50:$M$69,$G1609,月間集計シート!T$50:T$69)*W$2</f>
        <v>0</v>
      </c>
      <c r="X1609" s="88">
        <f>SUMIF(月間集計シート!$M$71:$M$90,$G1609,月間集計シート!N$71:N$90)*X$2</f>
        <v>0</v>
      </c>
      <c r="Y1609" s="88">
        <f>SUMIF(月間集計シート!$M$71:$M$90,$G1609,月間集計シート!O$71:O$90)*Y$2</f>
        <v>0</v>
      </c>
      <c r="Z1609" s="88">
        <f>SUMIF(月間集計シート!$M$71:$M$90,$G1609,月間集計シート!P$71:P$90)*Z$2</f>
        <v>0</v>
      </c>
      <c r="AA1609" s="88">
        <f>SUMIF(月間集計シート!$M$71:$M$90,$G1609,月間集計シート!Q$71:Q$90)*AA$2</f>
        <v>0</v>
      </c>
      <c r="AB1609" s="88">
        <f>SUMIF(月間集計シート!$M$71:$M$90,$G1609,月間集計シート!R$71:R$90)*AB$2</f>
        <v>0</v>
      </c>
      <c r="AC1609" s="88">
        <f>SUMIF(月間集計シート!$M$71:$M$90,$G1609,月間集計シート!S$71:S$90)*AC$2</f>
        <v>0</v>
      </c>
      <c r="AD1609" s="88">
        <f>SUMIF(月間集計シート!$M$71:$M$90,$G1609,月間集計シート!T$71:T$90)*AD$2</f>
        <v>0</v>
      </c>
      <c r="AE1609" s="88">
        <f>SUMIF(月間集計シート!$M$92:$M$111,$G1609,月間集計シート!N$92:N$111)*AE$2</f>
        <v>0</v>
      </c>
      <c r="AF1609" s="88">
        <f>SUMIF(月間集計シート!$M$92:$M$111,$G1609,月間集計シート!O$92:O$111)*AF$2</f>
        <v>0</v>
      </c>
      <c r="AG1609" s="88">
        <f>SUMIF(月間集計シート!$M$92:$M$111,$G1609,月間集計シート!P$92:P$111)*AG$2</f>
        <v>0</v>
      </c>
      <c r="AH1609" s="88">
        <f>SUMIF(月間集計シート!$M$92:$M$111,$G1609,月間集計シート!Q$92:Q$111)*AH$2</f>
        <v>0</v>
      </c>
      <c r="AI1609" s="88">
        <f>SUMIF(月間集計シート!$M$92:$M$111,$G1609,月間集計シート!R$92:R$111)*AI$2</f>
        <v>0</v>
      </c>
      <c r="AJ1609" s="88">
        <f>SUMIF(月間集計シート!$M$92:$M$111,$G1609,月間集計シート!S$92:S$111)*AJ$2</f>
        <v>0</v>
      </c>
      <c r="AK1609" s="88">
        <f>SUMIF(月間集計シート!$M$92:$M$111,$G1609,月間集計シート!T$92:T$111)*AK$2</f>
        <v>0</v>
      </c>
      <c r="AL1609" s="88">
        <f>SUMIF(月間集計シート!$M$113:$M$132,$G1609,月間集計シート!N$113:N$132)*AL$2</f>
        <v>0</v>
      </c>
      <c r="AM1609" s="88">
        <f>SUMIF(月間集計シート!$M$113:$M$132,$G1609,月間集計シート!O$113:O$132)*AM$2</f>
        <v>0</v>
      </c>
      <c r="AN1609" s="88">
        <f>SUMIF(月間集計シート!$M$113:$M$132,$G1609,月間集計シート!P$113:P$132)*AN$2</f>
        <v>0</v>
      </c>
      <c r="AO1609" s="88">
        <f>SUMIF(月間集計シート!$M$113:$M$132,$G1609,月間集計シート!Q$113:Q$132)*AO$2</f>
        <v>0</v>
      </c>
      <c r="AP1609" s="88">
        <f>SUMIF(月間集計シート!$M$113:$M$132,$G1609,月間集計シート!R$113:R$132)*AP$2</f>
        <v>0</v>
      </c>
      <c r="AQ1609" s="88">
        <f>SUMIF(月間集計シート!$M$113:$M$132,$G1609,月間集計シート!S$113:S$132)*AQ$2</f>
        <v>0</v>
      </c>
      <c r="AR1609" s="88">
        <f>SUMIF(月間集計シート!$M$113:$M$132,$G1609,月間集計シート!T$113:T$132)*AR$2</f>
        <v>0</v>
      </c>
      <c r="AS1609" s="88">
        <f>SUMIF(月間集計シート!$M$134:$M$153,$G1609,月間集計シート!N$134:N$153)*AS$2</f>
        <v>0</v>
      </c>
      <c r="AT1609" s="88">
        <f>SUMIF(月間集計シート!$M$134:$M$153,$G1609,月間集計シート!O$134:O$153)*AT$2</f>
        <v>0</v>
      </c>
      <c r="AU1609" s="88">
        <f>SUMIF(月間集計シート!$M$134:$M$153,$G1609,月間集計シート!P$134:P$153)*AU$2</f>
        <v>0</v>
      </c>
      <c r="AV1609" s="88">
        <f>SUMIF(月間集計シート!$M$134:$M$153,$G1609,月間集計シート!Q$134:Q$153)*AV$2</f>
        <v>0</v>
      </c>
      <c r="AW1609" s="88">
        <f>SUMIF(月間集計シート!$M$134:$M$153,$G1609,月間集計シート!R$134:R$153)*AW$2</f>
        <v>0</v>
      </c>
      <c r="AX1609" s="88">
        <f>SUMIF(月間集計シート!$M$134:$M$153,$G1609,月間集計シート!S$134:S$153)*AX$2</f>
        <v>0</v>
      </c>
      <c r="AY1609" s="88">
        <f>SUMIF(月間集計シート!$M$134:$M$153,$G1609,月間集計シート!T$134:T$153)*AY$2</f>
        <v>0</v>
      </c>
    </row>
    <row r="1610" spans="1:51" ht="14.25" thickBot="1">
      <c r="A1610">
        <v>19</v>
      </c>
      <c r="B1610" s="120">
        <f t="shared" si="894"/>
        <v>0</v>
      </c>
      <c r="C1610" s="120" t="str">
        <f t="shared" si="894"/>
        <v/>
      </c>
      <c r="D1610" s="137"/>
      <c r="E1610" s="150" t="str">
        <f>工種!A72</f>
        <v>90107</v>
      </c>
      <c r="F1610" s="119" t="str">
        <f>工種!B72</f>
        <v>管理業務：開発事務作業</v>
      </c>
      <c r="G1610" s="116" t="str">
        <f t="shared" si="891"/>
        <v>090107</v>
      </c>
      <c r="H1610" s="88">
        <f t="shared" si="893"/>
        <v>0</v>
      </c>
      <c r="I1610" s="132"/>
      <c r="J1610" s="88">
        <f>SUMIF(月間集計シート!$M$29:$M$48,$G1610,月間集計シート!N$29:N$48)*J$2</f>
        <v>0</v>
      </c>
      <c r="K1610" s="88">
        <f>SUMIF(月間集計シート!$M$29:$M$48,$G1610,月間集計シート!O$29:O$48)*K$2</f>
        <v>0</v>
      </c>
      <c r="L1610" s="88">
        <f>SUMIF(月間集計シート!$M$29:$M$48,$G1610,月間集計シート!P$29:P$48)*L$2</f>
        <v>0</v>
      </c>
      <c r="M1610" s="88">
        <f>SUMIF(月間集計シート!$M$29:$M$48,$G1610,月間集計シート!Q$29:Q$48)*M$2</f>
        <v>0</v>
      </c>
      <c r="N1610" s="88">
        <f>SUMIF(月間集計シート!$M$29:$M$48,$G1610,月間集計シート!R$29:R$48)*N$2</f>
        <v>0</v>
      </c>
      <c r="O1610" s="88">
        <f>SUMIF(月間集計シート!$M$29:$M$48,$G1610,月間集計シート!S$29:S$48)*O$2</f>
        <v>0</v>
      </c>
      <c r="P1610" s="88">
        <f>SUMIF(月間集計シート!$M$29:$M$48,$G1610,月間集計シート!T$29:T$48)*P$2</f>
        <v>0</v>
      </c>
      <c r="Q1610" s="88">
        <f>SUMIF(月間集計シート!$M$50:$M$69,$G1610,月間集計シート!N$50:N$69)*Q$2</f>
        <v>0</v>
      </c>
      <c r="R1610" s="88">
        <f>SUMIF(月間集計シート!$M$50:$M$69,$G1610,月間集計シート!O$50:O$69)*R$2</f>
        <v>0</v>
      </c>
      <c r="S1610" s="88">
        <f>SUMIF(月間集計シート!$M$50:$M$69,$G1610,月間集計シート!P$50:P$69)*S$2</f>
        <v>0</v>
      </c>
      <c r="T1610" s="88">
        <f>SUMIF(月間集計シート!$M$50:$M$69,$G1610,月間集計シート!Q$50:Q$69)*T$2</f>
        <v>0</v>
      </c>
      <c r="U1610" s="88">
        <f>SUMIF(月間集計シート!$M$50:$M$69,$G1610,月間集計シート!R$50:R$69)*U$2</f>
        <v>0</v>
      </c>
      <c r="V1610" s="88">
        <f>SUMIF(月間集計シート!$M$50:$M$69,$G1610,月間集計シート!S$50:S$69)*V$2</f>
        <v>0</v>
      </c>
      <c r="W1610" s="88">
        <f>SUMIF(月間集計シート!$M$50:$M$69,$G1610,月間集計シート!T$50:T$69)*W$2</f>
        <v>0</v>
      </c>
      <c r="X1610" s="88">
        <f>SUMIF(月間集計シート!$M$71:$M$90,$G1610,月間集計シート!N$71:N$90)*X$2</f>
        <v>0</v>
      </c>
      <c r="Y1610" s="88">
        <f>SUMIF(月間集計シート!$M$71:$M$90,$G1610,月間集計シート!O$71:O$90)*Y$2</f>
        <v>0</v>
      </c>
      <c r="Z1610" s="88">
        <f>SUMIF(月間集計シート!$M$71:$M$90,$G1610,月間集計シート!P$71:P$90)*Z$2</f>
        <v>0</v>
      </c>
      <c r="AA1610" s="88">
        <f>SUMIF(月間集計シート!$M$71:$M$90,$G1610,月間集計シート!Q$71:Q$90)*AA$2</f>
        <v>0</v>
      </c>
      <c r="AB1610" s="88">
        <f>SUMIF(月間集計シート!$M$71:$M$90,$G1610,月間集計シート!R$71:R$90)*AB$2</f>
        <v>0</v>
      </c>
      <c r="AC1610" s="88">
        <f>SUMIF(月間集計シート!$M$71:$M$90,$G1610,月間集計シート!S$71:S$90)*AC$2</f>
        <v>0</v>
      </c>
      <c r="AD1610" s="88">
        <f>SUMIF(月間集計シート!$M$71:$M$90,$G1610,月間集計シート!T$71:T$90)*AD$2</f>
        <v>0</v>
      </c>
      <c r="AE1610" s="88">
        <f>SUMIF(月間集計シート!$M$92:$M$111,$G1610,月間集計シート!N$92:N$111)*AE$2</f>
        <v>0</v>
      </c>
      <c r="AF1610" s="88">
        <f>SUMIF(月間集計シート!$M$92:$M$111,$G1610,月間集計シート!O$92:O$111)*AF$2</f>
        <v>0</v>
      </c>
      <c r="AG1610" s="88">
        <f>SUMIF(月間集計シート!$M$92:$M$111,$G1610,月間集計シート!P$92:P$111)*AG$2</f>
        <v>0</v>
      </c>
      <c r="AH1610" s="88">
        <f>SUMIF(月間集計シート!$M$92:$M$111,$G1610,月間集計シート!Q$92:Q$111)*AH$2</f>
        <v>0</v>
      </c>
      <c r="AI1610" s="88">
        <f>SUMIF(月間集計シート!$M$92:$M$111,$G1610,月間集計シート!R$92:R$111)*AI$2</f>
        <v>0</v>
      </c>
      <c r="AJ1610" s="88">
        <f>SUMIF(月間集計シート!$M$92:$M$111,$G1610,月間集計シート!S$92:S$111)*AJ$2</f>
        <v>0</v>
      </c>
      <c r="AK1610" s="88">
        <f>SUMIF(月間集計シート!$M$92:$M$111,$G1610,月間集計シート!T$92:T$111)*AK$2</f>
        <v>0</v>
      </c>
      <c r="AL1610" s="88">
        <f>SUMIF(月間集計シート!$M$113:$M$132,$G1610,月間集計シート!N$113:N$132)*AL$2</f>
        <v>0</v>
      </c>
      <c r="AM1610" s="88">
        <f>SUMIF(月間集計シート!$M$113:$M$132,$G1610,月間集計シート!O$113:O$132)*AM$2</f>
        <v>0</v>
      </c>
      <c r="AN1610" s="88">
        <f>SUMIF(月間集計シート!$M$113:$M$132,$G1610,月間集計シート!P$113:P$132)*AN$2</f>
        <v>0</v>
      </c>
      <c r="AO1610" s="88">
        <f>SUMIF(月間集計シート!$M$113:$M$132,$G1610,月間集計シート!Q$113:Q$132)*AO$2</f>
        <v>0</v>
      </c>
      <c r="AP1610" s="88">
        <f>SUMIF(月間集計シート!$M$113:$M$132,$G1610,月間集計シート!R$113:R$132)*AP$2</f>
        <v>0</v>
      </c>
      <c r="AQ1610" s="88">
        <f>SUMIF(月間集計シート!$M$113:$M$132,$G1610,月間集計シート!S$113:S$132)*AQ$2</f>
        <v>0</v>
      </c>
      <c r="AR1610" s="88">
        <f>SUMIF(月間集計シート!$M$113:$M$132,$G1610,月間集計シート!T$113:T$132)*AR$2</f>
        <v>0</v>
      </c>
      <c r="AS1610" s="88">
        <f>SUMIF(月間集計シート!$M$134:$M$153,$G1610,月間集計シート!N$134:N$153)*AS$2</f>
        <v>0</v>
      </c>
      <c r="AT1610" s="88">
        <f>SUMIF(月間集計シート!$M$134:$M$153,$G1610,月間集計シート!O$134:O$153)*AT$2</f>
        <v>0</v>
      </c>
      <c r="AU1610" s="88">
        <f>SUMIF(月間集計シート!$M$134:$M$153,$G1610,月間集計シート!P$134:P$153)*AU$2</f>
        <v>0</v>
      </c>
      <c r="AV1610" s="88">
        <f>SUMIF(月間集計シート!$M$134:$M$153,$G1610,月間集計シート!Q$134:Q$153)*AV$2</f>
        <v>0</v>
      </c>
      <c r="AW1610" s="88">
        <f>SUMIF(月間集計シート!$M$134:$M$153,$G1610,月間集計シート!R$134:R$153)*AW$2</f>
        <v>0</v>
      </c>
      <c r="AX1610" s="88">
        <f>SUMIF(月間集計シート!$M$134:$M$153,$G1610,月間集計シート!S$134:S$153)*AX$2</f>
        <v>0</v>
      </c>
      <c r="AY1610" s="88">
        <f>SUMIF(月間集計シート!$M$134:$M$153,$G1610,月間集計シート!T$134:T$153)*AY$2</f>
        <v>0</v>
      </c>
    </row>
    <row r="1611" spans="1:51" ht="14.25" thickBot="1">
      <c r="A1611">
        <v>19</v>
      </c>
      <c r="B1611" s="120">
        <f t="shared" si="894"/>
        <v>0</v>
      </c>
      <c r="C1611" s="120" t="str">
        <f t="shared" si="894"/>
        <v/>
      </c>
      <c r="D1611" s="137"/>
      <c r="E1611" s="150" t="str">
        <f>工種!A73</f>
        <v>90108</v>
      </c>
      <c r="F1611" s="119" t="str">
        <f>工種!B73</f>
        <v>管理業務：外部不具合分析</v>
      </c>
      <c r="G1611" s="116" t="str">
        <f t="shared" si="891"/>
        <v>090108</v>
      </c>
      <c r="H1611" s="88">
        <f t="shared" si="893"/>
        <v>0</v>
      </c>
      <c r="I1611" s="132"/>
      <c r="J1611" s="88">
        <f>SUMIF(月間集計シート!$M$29:$M$48,$G1611,月間集計シート!N$29:N$48)*J$2</f>
        <v>0</v>
      </c>
      <c r="K1611" s="88">
        <f>SUMIF(月間集計シート!$M$29:$M$48,$G1611,月間集計シート!O$29:O$48)*K$2</f>
        <v>0</v>
      </c>
      <c r="L1611" s="88">
        <f>SUMIF(月間集計シート!$M$29:$M$48,$G1611,月間集計シート!P$29:P$48)*L$2</f>
        <v>0</v>
      </c>
      <c r="M1611" s="88">
        <f>SUMIF(月間集計シート!$M$29:$M$48,$G1611,月間集計シート!Q$29:Q$48)*M$2</f>
        <v>0</v>
      </c>
      <c r="N1611" s="88">
        <f>SUMIF(月間集計シート!$M$29:$M$48,$G1611,月間集計シート!R$29:R$48)*N$2</f>
        <v>0</v>
      </c>
      <c r="O1611" s="88">
        <f>SUMIF(月間集計シート!$M$29:$M$48,$G1611,月間集計シート!S$29:S$48)*O$2</f>
        <v>0</v>
      </c>
      <c r="P1611" s="88">
        <f>SUMIF(月間集計シート!$M$29:$M$48,$G1611,月間集計シート!T$29:T$48)*P$2</f>
        <v>0</v>
      </c>
      <c r="Q1611" s="88">
        <f>SUMIF(月間集計シート!$M$50:$M$69,$G1611,月間集計シート!N$50:N$69)*Q$2</f>
        <v>0</v>
      </c>
      <c r="R1611" s="88">
        <f>SUMIF(月間集計シート!$M$50:$M$69,$G1611,月間集計シート!O$50:O$69)*R$2</f>
        <v>0</v>
      </c>
      <c r="S1611" s="88">
        <f>SUMIF(月間集計シート!$M$50:$M$69,$G1611,月間集計シート!P$50:P$69)*S$2</f>
        <v>0</v>
      </c>
      <c r="T1611" s="88">
        <f>SUMIF(月間集計シート!$M$50:$M$69,$G1611,月間集計シート!Q$50:Q$69)*T$2</f>
        <v>0</v>
      </c>
      <c r="U1611" s="88">
        <f>SUMIF(月間集計シート!$M$50:$M$69,$G1611,月間集計シート!R$50:R$69)*U$2</f>
        <v>0</v>
      </c>
      <c r="V1611" s="88">
        <f>SUMIF(月間集計シート!$M$50:$M$69,$G1611,月間集計シート!S$50:S$69)*V$2</f>
        <v>0</v>
      </c>
      <c r="W1611" s="88">
        <f>SUMIF(月間集計シート!$M$50:$M$69,$G1611,月間集計シート!T$50:T$69)*W$2</f>
        <v>0</v>
      </c>
      <c r="X1611" s="88">
        <f>SUMIF(月間集計シート!$M$71:$M$90,$G1611,月間集計シート!N$71:N$90)*X$2</f>
        <v>0</v>
      </c>
      <c r="Y1611" s="88">
        <f>SUMIF(月間集計シート!$M$71:$M$90,$G1611,月間集計シート!O$71:O$90)*Y$2</f>
        <v>0</v>
      </c>
      <c r="Z1611" s="88">
        <f>SUMIF(月間集計シート!$M$71:$M$90,$G1611,月間集計シート!P$71:P$90)*Z$2</f>
        <v>0</v>
      </c>
      <c r="AA1611" s="88">
        <f>SUMIF(月間集計シート!$M$71:$M$90,$G1611,月間集計シート!Q$71:Q$90)*AA$2</f>
        <v>0</v>
      </c>
      <c r="AB1611" s="88">
        <f>SUMIF(月間集計シート!$M$71:$M$90,$G1611,月間集計シート!R$71:R$90)*AB$2</f>
        <v>0</v>
      </c>
      <c r="AC1611" s="88">
        <f>SUMIF(月間集計シート!$M$71:$M$90,$G1611,月間集計シート!S$71:S$90)*AC$2</f>
        <v>0</v>
      </c>
      <c r="AD1611" s="88">
        <f>SUMIF(月間集計シート!$M$71:$M$90,$G1611,月間集計シート!T$71:T$90)*AD$2</f>
        <v>0</v>
      </c>
      <c r="AE1611" s="88">
        <f>SUMIF(月間集計シート!$M$92:$M$111,$G1611,月間集計シート!N$92:N$111)*AE$2</f>
        <v>0</v>
      </c>
      <c r="AF1611" s="88">
        <f>SUMIF(月間集計シート!$M$92:$M$111,$G1611,月間集計シート!O$92:O$111)*AF$2</f>
        <v>0</v>
      </c>
      <c r="AG1611" s="88">
        <f>SUMIF(月間集計シート!$M$92:$M$111,$G1611,月間集計シート!P$92:P$111)*AG$2</f>
        <v>0</v>
      </c>
      <c r="AH1611" s="88">
        <f>SUMIF(月間集計シート!$M$92:$M$111,$G1611,月間集計シート!Q$92:Q$111)*AH$2</f>
        <v>0</v>
      </c>
      <c r="AI1611" s="88">
        <f>SUMIF(月間集計シート!$M$92:$M$111,$G1611,月間集計シート!R$92:R$111)*AI$2</f>
        <v>0</v>
      </c>
      <c r="AJ1611" s="88">
        <f>SUMIF(月間集計シート!$M$92:$M$111,$G1611,月間集計シート!S$92:S$111)*AJ$2</f>
        <v>0</v>
      </c>
      <c r="AK1611" s="88">
        <f>SUMIF(月間集計シート!$M$92:$M$111,$G1611,月間集計シート!T$92:T$111)*AK$2</f>
        <v>0</v>
      </c>
      <c r="AL1611" s="88">
        <f>SUMIF(月間集計シート!$M$113:$M$132,$G1611,月間集計シート!N$113:N$132)*AL$2</f>
        <v>0</v>
      </c>
      <c r="AM1611" s="88">
        <f>SUMIF(月間集計シート!$M$113:$M$132,$G1611,月間集計シート!O$113:O$132)*AM$2</f>
        <v>0</v>
      </c>
      <c r="AN1611" s="88">
        <f>SUMIF(月間集計シート!$M$113:$M$132,$G1611,月間集計シート!P$113:P$132)*AN$2</f>
        <v>0</v>
      </c>
      <c r="AO1611" s="88">
        <f>SUMIF(月間集計シート!$M$113:$M$132,$G1611,月間集計シート!Q$113:Q$132)*AO$2</f>
        <v>0</v>
      </c>
      <c r="AP1611" s="88">
        <f>SUMIF(月間集計シート!$M$113:$M$132,$G1611,月間集計シート!R$113:R$132)*AP$2</f>
        <v>0</v>
      </c>
      <c r="AQ1611" s="88">
        <f>SUMIF(月間集計シート!$M$113:$M$132,$G1611,月間集計シート!S$113:S$132)*AQ$2</f>
        <v>0</v>
      </c>
      <c r="AR1611" s="88">
        <f>SUMIF(月間集計シート!$M$113:$M$132,$G1611,月間集計シート!T$113:T$132)*AR$2</f>
        <v>0</v>
      </c>
      <c r="AS1611" s="88">
        <f>SUMIF(月間集計シート!$M$134:$M$153,$G1611,月間集計シート!N$134:N$153)*AS$2</f>
        <v>0</v>
      </c>
      <c r="AT1611" s="88">
        <f>SUMIF(月間集計シート!$M$134:$M$153,$G1611,月間集計シート!O$134:O$153)*AT$2</f>
        <v>0</v>
      </c>
      <c r="AU1611" s="88">
        <f>SUMIF(月間集計シート!$M$134:$M$153,$G1611,月間集計シート!P$134:P$153)*AU$2</f>
        <v>0</v>
      </c>
      <c r="AV1611" s="88">
        <f>SUMIF(月間集計シート!$M$134:$M$153,$G1611,月間集計シート!Q$134:Q$153)*AV$2</f>
        <v>0</v>
      </c>
      <c r="AW1611" s="88">
        <f>SUMIF(月間集計シート!$M$134:$M$153,$G1611,月間集計シート!R$134:R$153)*AW$2</f>
        <v>0</v>
      </c>
      <c r="AX1611" s="88">
        <f>SUMIF(月間集計シート!$M$134:$M$153,$G1611,月間集計シート!S$134:S$153)*AX$2</f>
        <v>0</v>
      </c>
      <c r="AY1611" s="88">
        <f>SUMIF(月間集計シート!$M$134:$M$153,$G1611,月間集計シート!T$134:T$153)*AY$2</f>
        <v>0</v>
      </c>
    </row>
    <row r="1612" spans="1:51" ht="14.25" thickBot="1">
      <c r="A1612">
        <v>19</v>
      </c>
      <c r="B1612" s="120">
        <f t="shared" si="894"/>
        <v>0</v>
      </c>
      <c r="C1612" s="120" t="str">
        <f t="shared" si="894"/>
        <v/>
      </c>
      <c r="D1612" s="137"/>
      <c r="E1612" s="150" t="str">
        <f>工種!A74</f>
        <v>90110</v>
      </c>
      <c r="F1612" s="119" t="str">
        <f>工種!B74</f>
        <v>管理業務：打合せ</v>
      </c>
      <c r="G1612" s="116" t="str">
        <f t="shared" si="891"/>
        <v>090110</v>
      </c>
      <c r="H1612" s="88">
        <f t="shared" si="893"/>
        <v>0</v>
      </c>
      <c r="I1612" s="132"/>
      <c r="J1612" s="88">
        <f>SUMIF(月間集計シート!$M$29:$M$48,$G1612,月間集計シート!N$29:N$48)*J$2</f>
        <v>0</v>
      </c>
      <c r="K1612" s="88">
        <f>SUMIF(月間集計シート!$M$29:$M$48,$G1612,月間集計シート!O$29:O$48)*K$2</f>
        <v>0</v>
      </c>
      <c r="L1612" s="88">
        <f>SUMIF(月間集計シート!$M$29:$M$48,$G1612,月間集計シート!P$29:P$48)*L$2</f>
        <v>0</v>
      </c>
      <c r="M1612" s="88">
        <f>SUMIF(月間集計シート!$M$29:$M$48,$G1612,月間集計シート!Q$29:Q$48)*M$2</f>
        <v>0</v>
      </c>
      <c r="N1612" s="88">
        <f>SUMIF(月間集計シート!$M$29:$M$48,$G1612,月間集計シート!R$29:R$48)*N$2</f>
        <v>0</v>
      </c>
      <c r="O1612" s="88">
        <f>SUMIF(月間集計シート!$M$29:$M$48,$G1612,月間集計シート!S$29:S$48)*O$2</f>
        <v>0</v>
      </c>
      <c r="P1612" s="88">
        <f>SUMIF(月間集計シート!$M$29:$M$48,$G1612,月間集計シート!T$29:T$48)*P$2</f>
        <v>0</v>
      </c>
      <c r="Q1612" s="88">
        <f>SUMIF(月間集計シート!$M$50:$M$69,$G1612,月間集計シート!N$50:N$69)*Q$2</f>
        <v>0</v>
      </c>
      <c r="R1612" s="88">
        <f>SUMIF(月間集計シート!$M$50:$M$69,$G1612,月間集計シート!O$50:O$69)*R$2</f>
        <v>0</v>
      </c>
      <c r="S1612" s="88">
        <f>SUMIF(月間集計シート!$M$50:$M$69,$G1612,月間集計シート!P$50:P$69)*S$2</f>
        <v>0</v>
      </c>
      <c r="T1612" s="88">
        <f>SUMIF(月間集計シート!$M$50:$M$69,$G1612,月間集計シート!Q$50:Q$69)*T$2</f>
        <v>0</v>
      </c>
      <c r="U1612" s="88">
        <f>SUMIF(月間集計シート!$M$50:$M$69,$G1612,月間集計シート!R$50:R$69)*U$2</f>
        <v>0</v>
      </c>
      <c r="V1612" s="88">
        <f>SUMIF(月間集計シート!$M$50:$M$69,$G1612,月間集計シート!S$50:S$69)*V$2</f>
        <v>0</v>
      </c>
      <c r="W1612" s="88">
        <f>SUMIF(月間集計シート!$M$50:$M$69,$G1612,月間集計シート!T$50:T$69)*W$2</f>
        <v>0</v>
      </c>
      <c r="X1612" s="88">
        <f>SUMIF(月間集計シート!$M$71:$M$90,$G1612,月間集計シート!N$71:N$90)*X$2</f>
        <v>0</v>
      </c>
      <c r="Y1612" s="88">
        <f>SUMIF(月間集計シート!$M$71:$M$90,$G1612,月間集計シート!O$71:O$90)*Y$2</f>
        <v>0</v>
      </c>
      <c r="Z1612" s="88">
        <f>SUMIF(月間集計シート!$M$71:$M$90,$G1612,月間集計シート!P$71:P$90)*Z$2</f>
        <v>0</v>
      </c>
      <c r="AA1612" s="88">
        <f>SUMIF(月間集計シート!$M$71:$M$90,$G1612,月間集計シート!Q$71:Q$90)*AA$2</f>
        <v>0</v>
      </c>
      <c r="AB1612" s="88">
        <f>SUMIF(月間集計シート!$M$71:$M$90,$G1612,月間集計シート!R$71:R$90)*AB$2</f>
        <v>0</v>
      </c>
      <c r="AC1612" s="88">
        <f>SUMIF(月間集計シート!$M$71:$M$90,$G1612,月間集計シート!S$71:S$90)*AC$2</f>
        <v>0</v>
      </c>
      <c r="AD1612" s="88">
        <f>SUMIF(月間集計シート!$M$71:$M$90,$G1612,月間集計シート!T$71:T$90)*AD$2</f>
        <v>0</v>
      </c>
      <c r="AE1612" s="88">
        <f>SUMIF(月間集計シート!$M$92:$M$111,$G1612,月間集計シート!N$92:N$111)*AE$2</f>
        <v>0</v>
      </c>
      <c r="AF1612" s="88">
        <f>SUMIF(月間集計シート!$M$92:$M$111,$G1612,月間集計シート!O$92:O$111)*AF$2</f>
        <v>0</v>
      </c>
      <c r="AG1612" s="88">
        <f>SUMIF(月間集計シート!$M$92:$M$111,$G1612,月間集計シート!P$92:P$111)*AG$2</f>
        <v>0</v>
      </c>
      <c r="AH1612" s="88">
        <f>SUMIF(月間集計シート!$M$92:$M$111,$G1612,月間集計シート!Q$92:Q$111)*AH$2</f>
        <v>0</v>
      </c>
      <c r="AI1612" s="88">
        <f>SUMIF(月間集計シート!$M$92:$M$111,$G1612,月間集計シート!R$92:R$111)*AI$2</f>
        <v>0</v>
      </c>
      <c r="AJ1612" s="88">
        <f>SUMIF(月間集計シート!$M$92:$M$111,$G1612,月間集計シート!S$92:S$111)*AJ$2</f>
        <v>0</v>
      </c>
      <c r="AK1612" s="88">
        <f>SUMIF(月間集計シート!$M$92:$M$111,$G1612,月間集計シート!T$92:T$111)*AK$2</f>
        <v>0</v>
      </c>
      <c r="AL1612" s="88">
        <f>SUMIF(月間集計シート!$M$113:$M$132,$G1612,月間集計シート!N$113:N$132)*AL$2</f>
        <v>0</v>
      </c>
      <c r="AM1612" s="88">
        <f>SUMIF(月間集計シート!$M$113:$M$132,$G1612,月間集計シート!O$113:O$132)*AM$2</f>
        <v>0</v>
      </c>
      <c r="AN1612" s="88">
        <f>SUMIF(月間集計シート!$M$113:$M$132,$G1612,月間集計シート!P$113:P$132)*AN$2</f>
        <v>0</v>
      </c>
      <c r="AO1612" s="88">
        <f>SUMIF(月間集計シート!$M$113:$M$132,$G1612,月間集計シート!Q$113:Q$132)*AO$2</f>
        <v>0</v>
      </c>
      <c r="AP1612" s="88">
        <f>SUMIF(月間集計シート!$M$113:$M$132,$G1612,月間集計シート!R$113:R$132)*AP$2</f>
        <v>0</v>
      </c>
      <c r="AQ1612" s="88">
        <f>SUMIF(月間集計シート!$M$113:$M$132,$G1612,月間集計シート!S$113:S$132)*AQ$2</f>
        <v>0</v>
      </c>
      <c r="AR1612" s="88">
        <f>SUMIF(月間集計シート!$M$113:$M$132,$G1612,月間集計シート!T$113:T$132)*AR$2</f>
        <v>0</v>
      </c>
      <c r="AS1612" s="88">
        <f>SUMIF(月間集計シート!$M$134:$M$153,$G1612,月間集計シート!N$134:N$153)*AS$2</f>
        <v>0</v>
      </c>
      <c r="AT1612" s="88">
        <f>SUMIF(月間集計シート!$M$134:$M$153,$G1612,月間集計シート!O$134:O$153)*AT$2</f>
        <v>0</v>
      </c>
      <c r="AU1612" s="88">
        <f>SUMIF(月間集計シート!$M$134:$M$153,$G1612,月間集計シート!P$134:P$153)*AU$2</f>
        <v>0</v>
      </c>
      <c r="AV1612" s="88">
        <f>SUMIF(月間集計シート!$M$134:$M$153,$G1612,月間集計シート!Q$134:Q$153)*AV$2</f>
        <v>0</v>
      </c>
      <c r="AW1612" s="88">
        <f>SUMIF(月間集計シート!$M$134:$M$153,$G1612,月間集計シート!R$134:R$153)*AW$2</f>
        <v>0</v>
      </c>
      <c r="AX1612" s="88">
        <f>SUMIF(月間集計シート!$M$134:$M$153,$G1612,月間集計シート!S$134:S$153)*AX$2</f>
        <v>0</v>
      </c>
      <c r="AY1612" s="88">
        <f>SUMIF(月間集計シート!$M$134:$M$153,$G1612,月間集計シート!T$134:T$153)*AY$2</f>
        <v>0</v>
      </c>
    </row>
    <row r="1613" spans="1:51" ht="14.25" thickBot="1">
      <c r="A1613">
        <v>19</v>
      </c>
      <c r="B1613" s="120">
        <f t="shared" si="894"/>
        <v>0</v>
      </c>
      <c r="C1613" s="120" t="str">
        <f t="shared" si="894"/>
        <v/>
      </c>
      <c r="D1613" s="137"/>
      <c r="E1613" s="150" t="str">
        <f>工種!A75</f>
        <v>90111</v>
      </c>
      <c r="F1613" s="119" t="str">
        <f>工種!B75</f>
        <v>管理業務：レビュー</v>
      </c>
      <c r="G1613" s="116" t="str">
        <f t="shared" si="891"/>
        <v>090111</v>
      </c>
      <c r="H1613" s="88">
        <f t="shared" si="893"/>
        <v>0</v>
      </c>
      <c r="I1613" s="132"/>
      <c r="J1613" s="88">
        <f>SUMIF(月間集計シート!$M$29:$M$48,$G1613,月間集計シート!N$29:N$48)*J$2</f>
        <v>0</v>
      </c>
      <c r="K1613" s="88">
        <f>SUMIF(月間集計シート!$M$29:$M$48,$G1613,月間集計シート!O$29:O$48)*K$2</f>
        <v>0</v>
      </c>
      <c r="L1613" s="88">
        <f>SUMIF(月間集計シート!$M$29:$M$48,$G1613,月間集計シート!P$29:P$48)*L$2</f>
        <v>0</v>
      </c>
      <c r="M1613" s="88">
        <f>SUMIF(月間集計シート!$M$29:$M$48,$G1613,月間集計シート!Q$29:Q$48)*M$2</f>
        <v>0</v>
      </c>
      <c r="N1613" s="88">
        <f>SUMIF(月間集計シート!$M$29:$M$48,$G1613,月間集計シート!R$29:R$48)*N$2</f>
        <v>0</v>
      </c>
      <c r="O1613" s="88">
        <f>SUMIF(月間集計シート!$M$29:$M$48,$G1613,月間集計シート!S$29:S$48)*O$2</f>
        <v>0</v>
      </c>
      <c r="P1613" s="88">
        <f>SUMIF(月間集計シート!$M$29:$M$48,$G1613,月間集計シート!T$29:T$48)*P$2</f>
        <v>0</v>
      </c>
      <c r="Q1613" s="88">
        <f>SUMIF(月間集計シート!$M$50:$M$69,$G1613,月間集計シート!N$50:N$69)*Q$2</f>
        <v>0</v>
      </c>
      <c r="R1613" s="88">
        <f>SUMIF(月間集計シート!$M$50:$M$69,$G1613,月間集計シート!O$50:O$69)*R$2</f>
        <v>0</v>
      </c>
      <c r="S1613" s="88">
        <f>SUMIF(月間集計シート!$M$50:$M$69,$G1613,月間集計シート!P$50:P$69)*S$2</f>
        <v>0</v>
      </c>
      <c r="T1613" s="88">
        <f>SUMIF(月間集計シート!$M$50:$M$69,$G1613,月間集計シート!Q$50:Q$69)*T$2</f>
        <v>0</v>
      </c>
      <c r="U1613" s="88">
        <f>SUMIF(月間集計シート!$M$50:$M$69,$G1613,月間集計シート!R$50:R$69)*U$2</f>
        <v>0</v>
      </c>
      <c r="V1613" s="88">
        <f>SUMIF(月間集計シート!$M$50:$M$69,$G1613,月間集計シート!S$50:S$69)*V$2</f>
        <v>0</v>
      </c>
      <c r="W1613" s="88">
        <f>SUMIF(月間集計シート!$M$50:$M$69,$G1613,月間集計シート!T$50:T$69)*W$2</f>
        <v>0</v>
      </c>
      <c r="X1613" s="88">
        <f>SUMIF(月間集計シート!$M$71:$M$90,$G1613,月間集計シート!N$71:N$90)*X$2</f>
        <v>0</v>
      </c>
      <c r="Y1613" s="88">
        <f>SUMIF(月間集計シート!$M$71:$M$90,$G1613,月間集計シート!O$71:O$90)*Y$2</f>
        <v>0</v>
      </c>
      <c r="Z1613" s="88">
        <f>SUMIF(月間集計シート!$M$71:$M$90,$G1613,月間集計シート!P$71:P$90)*Z$2</f>
        <v>0</v>
      </c>
      <c r="AA1613" s="88">
        <f>SUMIF(月間集計シート!$M$71:$M$90,$G1613,月間集計シート!Q$71:Q$90)*AA$2</f>
        <v>0</v>
      </c>
      <c r="AB1613" s="88">
        <f>SUMIF(月間集計シート!$M$71:$M$90,$G1613,月間集計シート!R$71:R$90)*AB$2</f>
        <v>0</v>
      </c>
      <c r="AC1613" s="88">
        <f>SUMIF(月間集計シート!$M$71:$M$90,$G1613,月間集計シート!S$71:S$90)*AC$2</f>
        <v>0</v>
      </c>
      <c r="AD1613" s="88">
        <f>SUMIF(月間集計シート!$M$71:$M$90,$G1613,月間集計シート!T$71:T$90)*AD$2</f>
        <v>0</v>
      </c>
      <c r="AE1613" s="88">
        <f>SUMIF(月間集計シート!$M$92:$M$111,$G1613,月間集計シート!N$92:N$111)*AE$2</f>
        <v>0</v>
      </c>
      <c r="AF1613" s="88">
        <f>SUMIF(月間集計シート!$M$92:$M$111,$G1613,月間集計シート!O$92:O$111)*AF$2</f>
        <v>0</v>
      </c>
      <c r="AG1613" s="88">
        <f>SUMIF(月間集計シート!$M$92:$M$111,$G1613,月間集計シート!P$92:P$111)*AG$2</f>
        <v>0</v>
      </c>
      <c r="AH1613" s="88">
        <f>SUMIF(月間集計シート!$M$92:$M$111,$G1613,月間集計シート!Q$92:Q$111)*AH$2</f>
        <v>0</v>
      </c>
      <c r="AI1613" s="88">
        <f>SUMIF(月間集計シート!$M$92:$M$111,$G1613,月間集計シート!R$92:R$111)*AI$2</f>
        <v>0</v>
      </c>
      <c r="AJ1613" s="88">
        <f>SUMIF(月間集計シート!$M$92:$M$111,$G1613,月間集計シート!S$92:S$111)*AJ$2</f>
        <v>0</v>
      </c>
      <c r="AK1613" s="88">
        <f>SUMIF(月間集計シート!$M$92:$M$111,$G1613,月間集計シート!T$92:T$111)*AK$2</f>
        <v>0</v>
      </c>
      <c r="AL1613" s="88">
        <f>SUMIF(月間集計シート!$M$113:$M$132,$G1613,月間集計シート!N$113:N$132)*AL$2</f>
        <v>0</v>
      </c>
      <c r="AM1613" s="88">
        <f>SUMIF(月間集計シート!$M$113:$M$132,$G1613,月間集計シート!O$113:O$132)*AM$2</f>
        <v>0</v>
      </c>
      <c r="AN1613" s="88">
        <f>SUMIF(月間集計シート!$M$113:$M$132,$G1613,月間集計シート!P$113:P$132)*AN$2</f>
        <v>0</v>
      </c>
      <c r="AO1613" s="88">
        <f>SUMIF(月間集計シート!$M$113:$M$132,$G1613,月間集計シート!Q$113:Q$132)*AO$2</f>
        <v>0</v>
      </c>
      <c r="AP1613" s="88">
        <f>SUMIF(月間集計シート!$M$113:$M$132,$G1613,月間集計シート!R$113:R$132)*AP$2</f>
        <v>0</v>
      </c>
      <c r="AQ1613" s="88">
        <f>SUMIF(月間集計シート!$M$113:$M$132,$G1613,月間集計シート!S$113:S$132)*AQ$2</f>
        <v>0</v>
      </c>
      <c r="AR1613" s="88">
        <f>SUMIF(月間集計シート!$M$113:$M$132,$G1613,月間集計シート!T$113:T$132)*AR$2</f>
        <v>0</v>
      </c>
      <c r="AS1613" s="88">
        <f>SUMIF(月間集計シート!$M$134:$M$153,$G1613,月間集計シート!N$134:N$153)*AS$2</f>
        <v>0</v>
      </c>
      <c r="AT1613" s="88">
        <f>SUMIF(月間集計シート!$M$134:$M$153,$G1613,月間集計シート!O$134:O$153)*AT$2</f>
        <v>0</v>
      </c>
      <c r="AU1613" s="88">
        <f>SUMIF(月間集計シート!$M$134:$M$153,$G1613,月間集計シート!P$134:P$153)*AU$2</f>
        <v>0</v>
      </c>
      <c r="AV1613" s="88">
        <f>SUMIF(月間集計シート!$M$134:$M$153,$G1613,月間集計シート!Q$134:Q$153)*AV$2</f>
        <v>0</v>
      </c>
      <c r="AW1613" s="88">
        <f>SUMIF(月間集計シート!$M$134:$M$153,$G1613,月間集計シート!R$134:R$153)*AW$2</f>
        <v>0</v>
      </c>
      <c r="AX1613" s="88">
        <f>SUMIF(月間集計シート!$M$134:$M$153,$G1613,月間集計シート!S$134:S$153)*AX$2</f>
        <v>0</v>
      </c>
      <c r="AY1613" s="88">
        <f>SUMIF(月間集計シート!$M$134:$M$153,$G1613,月間集計シート!T$134:T$153)*AY$2</f>
        <v>0</v>
      </c>
    </row>
    <row r="1614" spans="1:51" ht="14.25" thickBot="1">
      <c r="A1614">
        <v>19</v>
      </c>
      <c r="B1614" s="120">
        <f t="shared" si="894"/>
        <v>0</v>
      </c>
      <c r="C1614" s="120" t="str">
        <f t="shared" si="894"/>
        <v/>
      </c>
      <c r="D1614" s="137"/>
      <c r="E1614" s="150" t="str">
        <f>工種!A76</f>
        <v>90199</v>
      </c>
      <c r="F1614" s="119" t="str">
        <f>工種!B76</f>
        <v>管理業務：その他</v>
      </c>
      <c r="G1614" s="116" t="str">
        <f t="shared" si="891"/>
        <v>090199</v>
      </c>
      <c r="H1614" s="88">
        <f t="shared" si="893"/>
        <v>0</v>
      </c>
      <c r="I1614" s="132"/>
      <c r="J1614" s="88">
        <f>SUMIF(月間集計シート!$M$29:$M$48,$G1614,月間集計シート!N$29:N$48)*J$2</f>
        <v>0</v>
      </c>
      <c r="K1614" s="88">
        <f>SUMIF(月間集計シート!$M$29:$M$48,$G1614,月間集計シート!O$29:O$48)*K$2</f>
        <v>0</v>
      </c>
      <c r="L1614" s="88">
        <f>SUMIF(月間集計シート!$M$29:$M$48,$G1614,月間集計シート!P$29:P$48)*L$2</f>
        <v>0</v>
      </c>
      <c r="M1614" s="88">
        <f>SUMIF(月間集計シート!$M$29:$M$48,$G1614,月間集計シート!Q$29:Q$48)*M$2</f>
        <v>0</v>
      </c>
      <c r="N1614" s="88">
        <f>SUMIF(月間集計シート!$M$29:$M$48,$G1614,月間集計シート!R$29:R$48)*N$2</f>
        <v>0</v>
      </c>
      <c r="O1614" s="88">
        <f>SUMIF(月間集計シート!$M$29:$M$48,$G1614,月間集計シート!S$29:S$48)*O$2</f>
        <v>0</v>
      </c>
      <c r="P1614" s="88">
        <f>SUMIF(月間集計シート!$M$29:$M$48,$G1614,月間集計シート!T$29:T$48)*P$2</f>
        <v>0</v>
      </c>
      <c r="Q1614" s="88">
        <f>SUMIF(月間集計シート!$M$50:$M$69,$G1614,月間集計シート!N$50:N$69)*Q$2</f>
        <v>0</v>
      </c>
      <c r="R1614" s="88">
        <f>SUMIF(月間集計シート!$M$50:$M$69,$G1614,月間集計シート!O$50:O$69)*R$2</f>
        <v>0</v>
      </c>
      <c r="S1614" s="88">
        <f>SUMIF(月間集計シート!$M$50:$M$69,$G1614,月間集計シート!P$50:P$69)*S$2</f>
        <v>0</v>
      </c>
      <c r="T1614" s="88">
        <f>SUMIF(月間集計シート!$M$50:$M$69,$G1614,月間集計シート!Q$50:Q$69)*T$2</f>
        <v>0</v>
      </c>
      <c r="U1614" s="88">
        <f>SUMIF(月間集計シート!$M$50:$M$69,$G1614,月間集計シート!R$50:R$69)*U$2</f>
        <v>0</v>
      </c>
      <c r="V1614" s="88">
        <f>SUMIF(月間集計シート!$M$50:$M$69,$G1614,月間集計シート!S$50:S$69)*V$2</f>
        <v>0</v>
      </c>
      <c r="W1614" s="88">
        <f>SUMIF(月間集計シート!$M$50:$M$69,$G1614,月間集計シート!T$50:T$69)*W$2</f>
        <v>0</v>
      </c>
      <c r="X1614" s="88">
        <f>SUMIF(月間集計シート!$M$71:$M$90,$G1614,月間集計シート!N$71:N$90)*X$2</f>
        <v>0</v>
      </c>
      <c r="Y1614" s="88">
        <f>SUMIF(月間集計シート!$M$71:$M$90,$G1614,月間集計シート!O$71:O$90)*Y$2</f>
        <v>0</v>
      </c>
      <c r="Z1614" s="88">
        <f>SUMIF(月間集計シート!$M$71:$M$90,$G1614,月間集計シート!P$71:P$90)*Z$2</f>
        <v>0</v>
      </c>
      <c r="AA1614" s="88">
        <f>SUMIF(月間集計シート!$M$71:$M$90,$G1614,月間集計シート!Q$71:Q$90)*AA$2</f>
        <v>0</v>
      </c>
      <c r="AB1614" s="88">
        <f>SUMIF(月間集計シート!$M$71:$M$90,$G1614,月間集計シート!R$71:R$90)*AB$2</f>
        <v>0</v>
      </c>
      <c r="AC1614" s="88">
        <f>SUMIF(月間集計シート!$M$71:$M$90,$G1614,月間集計シート!S$71:S$90)*AC$2</f>
        <v>0</v>
      </c>
      <c r="AD1614" s="88">
        <f>SUMIF(月間集計シート!$M$71:$M$90,$G1614,月間集計シート!T$71:T$90)*AD$2</f>
        <v>0</v>
      </c>
      <c r="AE1614" s="88">
        <f>SUMIF(月間集計シート!$M$92:$M$111,$G1614,月間集計シート!N$92:N$111)*AE$2</f>
        <v>0</v>
      </c>
      <c r="AF1614" s="88">
        <f>SUMIF(月間集計シート!$M$92:$M$111,$G1614,月間集計シート!O$92:O$111)*AF$2</f>
        <v>0</v>
      </c>
      <c r="AG1614" s="88">
        <f>SUMIF(月間集計シート!$M$92:$M$111,$G1614,月間集計シート!P$92:P$111)*AG$2</f>
        <v>0</v>
      </c>
      <c r="AH1614" s="88">
        <f>SUMIF(月間集計シート!$M$92:$M$111,$G1614,月間集計シート!Q$92:Q$111)*AH$2</f>
        <v>0</v>
      </c>
      <c r="AI1614" s="88">
        <f>SUMIF(月間集計シート!$M$92:$M$111,$G1614,月間集計シート!R$92:R$111)*AI$2</f>
        <v>0</v>
      </c>
      <c r="AJ1614" s="88">
        <f>SUMIF(月間集計シート!$M$92:$M$111,$G1614,月間集計シート!S$92:S$111)*AJ$2</f>
        <v>0</v>
      </c>
      <c r="AK1614" s="88">
        <f>SUMIF(月間集計シート!$M$92:$M$111,$G1614,月間集計シート!T$92:T$111)*AK$2</f>
        <v>0</v>
      </c>
      <c r="AL1614" s="88">
        <f>SUMIF(月間集計シート!$M$113:$M$132,$G1614,月間集計シート!N$113:N$132)*AL$2</f>
        <v>0</v>
      </c>
      <c r="AM1614" s="88">
        <f>SUMIF(月間集計シート!$M$113:$M$132,$G1614,月間集計シート!O$113:O$132)*AM$2</f>
        <v>0</v>
      </c>
      <c r="AN1614" s="88">
        <f>SUMIF(月間集計シート!$M$113:$M$132,$G1614,月間集計シート!P$113:P$132)*AN$2</f>
        <v>0</v>
      </c>
      <c r="AO1614" s="88">
        <f>SUMIF(月間集計シート!$M$113:$M$132,$G1614,月間集計シート!Q$113:Q$132)*AO$2</f>
        <v>0</v>
      </c>
      <c r="AP1614" s="88">
        <f>SUMIF(月間集計シート!$M$113:$M$132,$G1614,月間集計シート!R$113:R$132)*AP$2</f>
        <v>0</v>
      </c>
      <c r="AQ1614" s="88">
        <f>SUMIF(月間集計シート!$M$113:$M$132,$G1614,月間集計シート!S$113:S$132)*AQ$2</f>
        <v>0</v>
      </c>
      <c r="AR1614" s="88">
        <f>SUMIF(月間集計シート!$M$113:$M$132,$G1614,月間集計シート!T$113:T$132)*AR$2</f>
        <v>0</v>
      </c>
      <c r="AS1614" s="88">
        <f>SUMIF(月間集計シート!$M$134:$M$153,$G1614,月間集計シート!N$134:N$153)*AS$2</f>
        <v>0</v>
      </c>
      <c r="AT1614" s="88">
        <f>SUMIF(月間集計シート!$M$134:$M$153,$G1614,月間集計シート!O$134:O$153)*AT$2</f>
        <v>0</v>
      </c>
      <c r="AU1614" s="88">
        <f>SUMIF(月間集計シート!$M$134:$M$153,$G1614,月間集計シート!P$134:P$153)*AU$2</f>
        <v>0</v>
      </c>
      <c r="AV1614" s="88">
        <f>SUMIF(月間集計シート!$M$134:$M$153,$G1614,月間集計シート!Q$134:Q$153)*AV$2</f>
        <v>0</v>
      </c>
      <c r="AW1614" s="88">
        <f>SUMIF(月間集計シート!$M$134:$M$153,$G1614,月間集計シート!R$134:R$153)*AW$2</f>
        <v>0</v>
      </c>
      <c r="AX1614" s="88">
        <f>SUMIF(月間集計シート!$M$134:$M$153,$G1614,月間集計シート!S$134:S$153)*AX$2</f>
        <v>0</v>
      </c>
      <c r="AY1614" s="88">
        <f>SUMIF(月間集計シート!$M$134:$M$153,$G1614,月間集計シート!T$134:T$153)*AY$2</f>
        <v>0</v>
      </c>
    </row>
    <row r="1615" spans="1:51" ht="14.25" thickBot="1">
      <c r="A1615">
        <v>19</v>
      </c>
      <c r="B1615" s="120">
        <f t="shared" si="894"/>
        <v>0</v>
      </c>
      <c r="C1615" s="120" t="str">
        <f t="shared" si="894"/>
        <v/>
      </c>
      <c r="D1615" s="137"/>
      <c r="E1615" s="150">
        <f>工種!A77</f>
        <v>99102</v>
      </c>
      <c r="F1615" s="119" t="str">
        <f>工種!B77</f>
        <v>間接業務：業務環境管理（PCｾｯﾄｱｯﾌﾟ等）</v>
      </c>
      <c r="G1615" s="116" t="str">
        <f t="shared" si="891"/>
        <v>099102</v>
      </c>
      <c r="H1615" s="88">
        <f t="shared" si="893"/>
        <v>0</v>
      </c>
      <c r="I1615" s="132"/>
      <c r="J1615" s="88">
        <f>SUMIF(月間集計シート!$M$29:$M$48,$G1615,月間集計シート!N$29:N$48)*J$2</f>
        <v>0</v>
      </c>
      <c r="K1615" s="88">
        <f>SUMIF(月間集計シート!$M$29:$M$48,$G1615,月間集計シート!O$29:O$48)*K$2</f>
        <v>0</v>
      </c>
      <c r="L1615" s="88">
        <f>SUMIF(月間集計シート!$M$29:$M$48,$G1615,月間集計シート!P$29:P$48)*L$2</f>
        <v>0</v>
      </c>
      <c r="M1615" s="88">
        <f>SUMIF(月間集計シート!$M$29:$M$48,$G1615,月間集計シート!Q$29:Q$48)*M$2</f>
        <v>0</v>
      </c>
      <c r="N1615" s="88">
        <f>SUMIF(月間集計シート!$M$29:$M$48,$G1615,月間集計シート!R$29:R$48)*N$2</f>
        <v>0</v>
      </c>
      <c r="O1615" s="88">
        <f>SUMIF(月間集計シート!$M$29:$M$48,$G1615,月間集計シート!S$29:S$48)*O$2</f>
        <v>0</v>
      </c>
      <c r="P1615" s="88">
        <f>SUMIF(月間集計シート!$M$29:$M$48,$G1615,月間集計シート!T$29:T$48)*P$2</f>
        <v>0</v>
      </c>
      <c r="Q1615" s="88">
        <f>SUMIF(月間集計シート!$M$50:$M$69,$G1615,月間集計シート!N$50:N$69)*Q$2</f>
        <v>0</v>
      </c>
      <c r="R1615" s="88">
        <f>SUMIF(月間集計シート!$M$50:$M$69,$G1615,月間集計シート!O$50:O$69)*R$2</f>
        <v>0</v>
      </c>
      <c r="S1615" s="88">
        <f>SUMIF(月間集計シート!$M$50:$M$69,$G1615,月間集計シート!P$50:P$69)*S$2</f>
        <v>0</v>
      </c>
      <c r="T1615" s="88">
        <f>SUMIF(月間集計シート!$M$50:$M$69,$G1615,月間集計シート!Q$50:Q$69)*T$2</f>
        <v>0</v>
      </c>
      <c r="U1615" s="88">
        <f>SUMIF(月間集計シート!$M$50:$M$69,$G1615,月間集計シート!R$50:R$69)*U$2</f>
        <v>0</v>
      </c>
      <c r="V1615" s="88">
        <f>SUMIF(月間集計シート!$M$50:$M$69,$G1615,月間集計シート!S$50:S$69)*V$2</f>
        <v>0</v>
      </c>
      <c r="W1615" s="88">
        <f>SUMIF(月間集計シート!$M$50:$M$69,$G1615,月間集計シート!T$50:T$69)*W$2</f>
        <v>0</v>
      </c>
      <c r="X1615" s="88">
        <f>SUMIF(月間集計シート!$M$71:$M$90,$G1615,月間集計シート!N$71:N$90)*X$2</f>
        <v>0</v>
      </c>
      <c r="Y1615" s="88">
        <f>SUMIF(月間集計シート!$M$71:$M$90,$G1615,月間集計シート!O$71:O$90)*Y$2</f>
        <v>0</v>
      </c>
      <c r="Z1615" s="88">
        <f>SUMIF(月間集計シート!$M$71:$M$90,$G1615,月間集計シート!P$71:P$90)*Z$2</f>
        <v>0</v>
      </c>
      <c r="AA1615" s="88">
        <f>SUMIF(月間集計シート!$M$71:$M$90,$G1615,月間集計シート!Q$71:Q$90)*AA$2</f>
        <v>0</v>
      </c>
      <c r="AB1615" s="88">
        <f>SUMIF(月間集計シート!$M$71:$M$90,$G1615,月間集計シート!R$71:R$90)*AB$2</f>
        <v>0</v>
      </c>
      <c r="AC1615" s="88">
        <f>SUMIF(月間集計シート!$M$71:$M$90,$G1615,月間集計シート!S$71:S$90)*AC$2</f>
        <v>0</v>
      </c>
      <c r="AD1615" s="88">
        <f>SUMIF(月間集計シート!$M$71:$M$90,$G1615,月間集計シート!T$71:T$90)*AD$2</f>
        <v>0</v>
      </c>
      <c r="AE1615" s="88">
        <f>SUMIF(月間集計シート!$M$92:$M$111,$G1615,月間集計シート!N$92:N$111)*AE$2</f>
        <v>0</v>
      </c>
      <c r="AF1615" s="88">
        <f>SUMIF(月間集計シート!$M$92:$M$111,$G1615,月間集計シート!O$92:O$111)*AF$2</f>
        <v>0</v>
      </c>
      <c r="AG1615" s="88">
        <f>SUMIF(月間集計シート!$M$92:$M$111,$G1615,月間集計シート!P$92:P$111)*AG$2</f>
        <v>0</v>
      </c>
      <c r="AH1615" s="88">
        <f>SUMIF(月間集計シート!$M$92:$M$111,$G1615,月間集計シート!Q$92:Q$111)*AH$2</f>
        <v>0</v>
      </c>
      <c r="AI1615" s="88">
        <f>SUMIF(月間集計シート!$M$92:$M$111,$G1615,月間集計シート!R$92:R$111)*AI$2</f>
        <v>0</v>
      </c>
      <c r="AJ1615" s="88">
        <f>SUMIF(月間集計シート!$M$92:$M$111,$G1615,月間集計シート!S$92:S$111)*AJ$2</f>
        <v>0</v>
      </c>
      <c r="AK1615" s="88">
        <f>SUMIF(月間集計シート!$M$92:$M$111,$G1615,月間集計シート!T$92:T$111)*AK$2</f>
        <v>0</v>
      </c>
      <c r="AL1615" s="88">
        <f>SUMIF(月間集計シート!$M$113:$M$132,$G1615,月間集計シート!N$113:N$132)*AL$2</f>
        <v>0</v>
      </c>
      <c r="AM1615" s="88">
        <f>SUMIF(月間集計シート!$M$113:$M$132,$G1615,月間集計シート!O$113:O$132)*AM$2</f>
        <v>0</v>
      </c>
      <c r="AN1615" s="88">
        <f>SUMIF(月間集計シート!$M$113:$M$132,$G1615,月間集計シート!P$113:P$132)*AN$2</f>
        <v>0</v>
      </c>
      <c r="AO1615" s="88">
        <f>SUMIF(月間集計シート!$M$113:$M$132,$G1615,月間集計シート!Q$113:Q$132)*AO$2</f>
        <v>0</v>
      </c>
      <c r="AP1615" s="88">
        <f>SUMIF(月間集計シート!$M$113:$M$132,$G1615,月間集計シート!R$113:R$132)*AP$2</f>
        <v>0</v>
      </c>
      <c r="AQ1615" s="88">
        <f>SUMIF(月間集計シート!$M$113:$M$132,$G1615,月間集計シート!S$113:S$132)*AQ$2</f>
        <v>0</v>
      </c>
      <c r="AR1615" s="88">
        <f>SUMIF(月間集計シート!$M$113:$M$132,$G1615,月間集計シート!T$113:T$132)*AR$2</f>
        <v>0</v>
      </c>
      <c r="AS1615" s="88">
        <f>SUMIF(月間集計シート!$M$134:$M$153,$G1615,月間集計シート!N$134:N$153)*AS$2</f>
        <v>0</v>
      </c>
      <c r="AT1615" s="88">
        <f>SUMIF(月間集計シート!$M$134:$M$153,$G1615,月間集計シート!O$134:O$153)*AT$2</f>
        <v>0</v>
      </c>
      <c r="AU1615" s="88">
        <f>SUMIF(月間集計シート!$M$134:$M$153,$G1615,月間集計シート!P$134:P$153)*AU$2</f>
        <v>0</v>
      </c>
      <c r="AV1615" s="88">
        <f>SUMIF(月間集計シート!$M$134:$M$153,$G1615,月間集計シート!Q$134:Q$153)*AV$2</f>
        <v>0</v>
      </c>
      <c r="AW1615" s="88">
        <f>SUMIF(月間集計シート!$M$134:$M$153,$G1615,月間集計シート!R$134:R$153)*AW$2</f>
        <v>0</v>
      </c>
      <c r="AX1615" s="88">
        <f>SUMIF(月間集計シート!$M$134:$M$153,$G1615,月間集計シート!S$134:S$153)*AX$2</f>
        <v>0</v>
      </c>
      <c r="AY1615" s="88">
        <f>SUMIF(月間集計シート!$M$134:$M$153,$G1615,月間集計シート!T$134:T$153)*AY$2</f>
        <v>0</v>
      </c>
    </row>
    <row r="1616" spans="1:51" ht="14.25" thickBot="1">
      <c r="A1616">
        <v>19</v>
      </c>
      <c r="B1616" s="120">
        <f t="shared" si="894"/>
        <v>0</v>
      </c>
      <c r="C1616" s="120" t="str">
        <f t="shared" si="894"/>
        <v/>
      </c>
      <c r="D1616" s="137"/>
      <c r="E1616" s="150" t="str">
        <f>工種!A78</f>
        <v>99103</v>
      </c>
      <c r="F1616" s="119" t="str">
        <f>工種!B78</f>
        <v>間接業務：標準化・業務改善作業（開発以外）</v>
      </c>
      <c r="G1616" s="116" t="str">
        <f t="shared" si="891"/>
        <v>099103</v>
      </c>
      <c r="H1616" s="88">
        <f t="shared" si="893"/>
        <v>0</v>
      </c>
      <c r="I1616" s="132"/>
      <c r="J1616" s="88">
        <f>SUMIF(月間集計シート!$M$29:$M$48,$G1616,月間集計シート!N$29:N$48)*J$2</f>
        <v>0</v>
      </c>
      <c r="K1616" s="88">
        <f>SUMIF(月間集計シート!$M$29:$M$48,$G1616,月間集計シート!O$29:O$48)*K$2</f>
        <v>0</v>
      </c>
      <c r="L1616" s="88">
        <f>SUMIF(月間集計シート!$M$29:$M$48,$G1616,月間集計シート!P$29:P$48)*L$2</f>
        <v>0</v>
      </c>
      <c r="M1616" s="88">
        <f>SUMIF(月間集計シート!$M$29:$M$48,$G1616,月間集計シート!Q$29:Q$48)*M$2</f>
        <v>0</v>
      </c>
      <c r="N1616" s="88">
        <f>SUMIF(月間集計シート!$M$29:$M$48,$G1616,月間集計シート!R$29:R$48)*N$2</f>
        <v>0</v>
      </c>
      <c r="O1616" s="88">
        <f>SUMIF(月間集計シート!$M$29:$M$48,$G1616,月間集計シート!S$29:S$48)*O$2</f>
        <v>0</v>
      </c>
      <c r="P1616" s="88">
        <f>SUMIF(月間集計シート!$M$29:$M$48,$G1616,月間集計シート!T$29:T$48)*P$2</f>
        <v>0</v>
      </c>
      <c r="Q1616" s="88">
        <f>SUMIF(月間集計シート!$M$50:$M$69,$G1616,月間集計シート!N$50:N$69)*Q$2</f>
        <v>0</v>
      </c>
      <c r="R1616" s="88">
        <f>SUMIF(月間集計シート!$M$50:$M$69,$G1616,月間集計シート!O$50:O$69)*R$2</f>
        <v>0</v>
      </c>
      <c r="S1616" s="88">
        <f>SUMIF(月間集計シート!$M$50:$M$69,$G1616,月間集計シート!P$50:P$69)*S$2</f>
        <v>0</v>
      </c>
      <c r="T1616" s="88">
        <f>SUMIF(月間集計シート!$M$50:$M$69,$G1616,月間集計シート!Q$50:Q$69)*T$2</f>
        <v>0</v>
      </c>
      <c r="U1616" s="88">
        <f>SUMIF(月間集計シート!$M$50:$M$69,$G1616,月間集計シート!R$50:R$69)*U$2</f>
        <v>0</v>
      </c>
      <c r="V1616" s="88">
        <f>SUMIF(月間集計シート!$M$50:$M$69,$G1616,月間集計シート!S$50:S$69)*V$2</f>
        <v>0</v>
      </c>
      <c r="W1616" s="88">
        <f>SUMIF(月間集計シート!$M$50:$M$69,$G1616,月間集計シート!T$50:T$69)*W$2</f>
        <v>0</v>
      </c>
      <c r="X1616" s="88">
        <f>SUMIF(月間集計シート!$M$71:$M$90,$G1616,月間集計シート!N$71:N$90)*X$2</f>
        <v>0</v>
      </c>
      <c r="Y1616" s="88">
        <f>SUMIF(月間集計シート!$M$71:$M$90,$G1616,月間集計シート!O$71:O$90)*Y$2</f>
        <v>0</v>
      </c>
      <c r="Z1616" s="88">
        <f>SUMIF(月間集計シート!$M$71:$M$90,$G1616,月間集計シート!P$71:P$90)*Z$2</f>
        <v>0</v>
      </c>
      <c r="AA1616" s="88">
        <f>SUMIF(月間集計シート!$M$71:$M$90,$G1616,月間集計シート!Q$71:Q$90)*AA$2</f>
        <v>0</v>
      </c>
      <c r="AB1616" s="88">
        <f>SUMIF(月間集計シート!$M$71:$M$90,$G1616,月間集計シート!R$71:R$90)*AB$2</f>
        <v>0</v>
      </c>
      <c r="AC1616" s="88">
        <f>SUMIF(月間集計シート!$M$71:$M$90,$G1616,月間集計シート!S$71:S$90)*AC$2</f>
        <v>0</v>
      </c>
      <c r="AD1616" s="88">
        <f>SUMIF(月間集計シート!$M$71:$M$90,$G1616,月間集計シート!T$71:T$90)*AD$2</f>
        <v>0</v>
      </c>
      <c r="AE1616" s="88">
        <f>SUMIF(月間集計シート!$M$92:$M$111,$G1616,月間集計シート!N$92:N$111)*AE$2</f>
        <v>0</v>
      </c>
      <c r="AF1616" s="88">
        <f>SUMIF(月間集計シート!$M$92:$M$111,$G1616,月間集計シート!O$92:O$111)*AF$2</f>
        <v>0</v>
      </c>
      <c r="AG1616" s="88">
        <f>SUMIF(月間集計シート!$M$92:$M$111,$G1616,月間集計シート!P$92:P$111)*AG$2</f>
        <v>0</v>
      </c>
      <c r="AH1616" s="88">
        <f>SUMIF(月間集計シート!$M$92:$M$111,$G1616,月間集計シート!Q$92:Q$111)*AH$2</f>
        <v>0</v>
      </c>
      <c r="AI1616" s="88">
        <f>SUMIF(月間集計シート!$M$92:$M$111,$G1616,月間集計シート!R$92:R$111)*AI$2</f>
        <v>0</v>
      </c>
      <c r="AJ1616" s="88">
        <f>SUMIF(月間集計シート!$M$92:$M$111,$G1616,月間集計シート!S$92:S$111)*AJ$2</f>
        <v>0</v>
      </c>
      <c r="AK1616" s="88">
        <f>SUMIF(月間集計シート!$M$92:$M$111,$G1616,月間集計シート!T$92:T$111)*AK$2</f>
        <v>0</v>
      </c>
      <c r="AL1616" s="88">
        <f>SUMIF(月間集計シート!$M$113:$M$132,$G1616,月間集計シート!N$113:N$132)*AL$2</f>
        <v>0</v>
      </c>
      <c r="AM1616" s="88">
        <f>SUMIF(月間集計シート!$M$113:$M$132,$G1616,月間集計シート!O$113:O$132)*AM$2</f>
        <v>0</v>
      </c>
      <c r="AN1616" s="88">
        <f>SUMIF(月間集計シート!$M$113:$M$132,$G1616,月間集計シート!P$113:P$132)*AN$2</f>
        <v>0</v>
      </c>
      <c r="AO1616" s="88">
        <f>SUMIF(月間集計シート!$M$113:$M$132,$G1616,月間集計シート!Q$113:Q$132)*AO$2</f>
        <v>0</v>
      </c>
      <c r="AP1616" s="88">
        <f>SUMIF(月間集計シート!$M$113:$M$132,$G1616,月間集計シート!R$113:R$132)*AP$2</f>
        <v>0</v>
      </c>
      <c r="AQ1616" s="88">
        <f>SUMIF(月間集計シート!$M$113:$M$132,$G1616,月間集計シート!S$113:S$132)*AQ$2</f>
        <v>0</v>
      </c>
      <c r="AR1616" s="88">
        <f>SUMIF(月間集計シート!$M$113:$M$132,$G1616,月間集計シート!T$113:T$132)*AR$2</f>
        <v>0</v>
      </c>
      <c r="AS1616" s="88">
        <f>SUMIF(月間集計シート!$M$134:$M$153,$G1616,月間集計シート!N$134:N$153)*AS$2</f>
        <v>0</v>
      </c>
      <c r="AT1616" s="88">
        <f>SUMIF(月間集計シート!$M$134:$M$153,$G1616,月間集計シート!O$134:O$153)*AT$2</f>
        <v>0</v>
      </c>
      <c r="AU1616" s="88">
        <f>SUMIF(月間集計シート!$M$134:$M$153,$G1616,月間集計シート!P$134:P$153)*AU$2</f>
        <v>0</v>
      </c>
      <c r="AV1616" s="88">
        <f>SUMIF(月間集計シート!$M$134:$M$153,$G1616,月間集計シート!Q$134:Q$153)*AV$2</f>
        <v>0</v>
      </c>
      <c r="AW1616" s="88">
        <f>SUMIF(月間集計シート!$M$134:$M$153,$G1616,月間集計シート!R$134:R$153)*AW$2</f>
        <v>0</v>
      </c>
      <c r="AX1616" s="88">
        <f>SUMIF(月間集計シート!$M$134:$M$153,$G1616,月間集計シート!S$134:S$153)*AX$2</f>
        <v>0</v>
      </c>
      <c r="AY1616" s="88">
        <f>SUMIF(月間集計シート!$M$134:$M$153,$G1616,月間集計シート!T$134:T$153)*AY$2</f>
        <v>0</v>
      </c>
    </row>
    <row r="1617" spans="1:51" ht="14.25" thickBot="1">
      <c r="A1617">
        <v>19</v>
      </c>
      <c r="B1617" s="120">
        <f t="shared" si="894"/>
        <v>0</v>
      </c>
      <c r="C1617" s="120" t="str">
        <f t="shared" si="894"/>
        <v/>
      </c>
      <c r="D1617" s="137"/>
      <c r="E1617" s="150" t="str">
        <f>工種!A79</f>
        <v>99104</v>
      </c>
      <c r="F1617" s="119" t="str">
        <f>工種!B79</f>
        <v>間接業務：業務の引継ぎ（開発以外）</v>
      </c>
      <c r="G1617" s="116" t="str">
        <f t="shared" si="891"/>
        <v>099104</v>
      </c>
      <c r="H1617" s="88">
        <f t="shared" si="893"/>
        <v>0</v>
      </c>
      <c r="I1617" s="132"/>
      <c r="J1617" s="88">
        <f>SUMIF(月間集計シート!$M$29:$M$48,$G1617,月間集計シート!N$29:N$48)*J$2</f>
        <v>0</v>
      </c>
      <c r="K1617" s="88">
        <f>SUMIF(月間集計シート!$M$29:$M$48,$G1617,月間集計シート!O$29:O$48)*K$2</f>
        <v>0</v>
      </c>
      <c r="L1617" s="88">
        <f>SUMIF(月間集計シート!$M$29:$M$48,$G1617,月間集計シート!P$29:P$48)*L$2</f>
        <v>0</v>
      </c>
      <c r="M1617" s="88">
        <f>SUMIF(月間集計シート!$M$29:$M$48,$G1617,月間集計シート!Q$29:Q$48)*M$2</f>
        <v>0</v>
      </c>
      <c r="N1617" s="88">
        <f>SUMIF(月間集計シート!$M$29:$M$48,$G1617,月間集計シート!R$29:R$48)*N$2</f>
        <v>0</v>
      </c>
      <c r="O1617" s="88">
        <f>SUMIF(月間集計シート!$M$29:$M$48,$G1617,月間集計シート!S$29:S$48)*O$2</f>
        <v>0</v>
      </c>
      <c r="P1617" s="88">
        <f>SUMIF(月間集計シート!$M$29:$M$48,$G1617,月間集計シート!T$29:T$48)*P$2</f>
        <v>0</v>
      </c>
      <c r="Q1617" s="88">
        <f>SUMIF(月間集計シート!$M$50:$M$69,$G1617,月間集計シート!N$50:N$69)*Q$2</f>
        <v>0</v>
      </c>
      <c r="R1617" s="88">
        <f>SUMIF(月間集計シート!$M$50:$M$69,$G1617,月間集計シート!O$50:O$69)*R$2</f>
        <v>0</v>
      </c>
      <c r="S1617" s="88">
        <f>SUMIF(月間集計シート!$M$50:$M$69,$G1617,月間集計シート!P$50:P$69)*S$2</f>
        <v>0</v>
      </c>
      <c r="T1617" s="88">
        <f>SUMIF(月間集計シート!$M$50:$M$69,$G1617,月間集計シート!Q$50:Q$69)*T$2</f>
        <v>0</v>
      </c>
      <c r="U1617" s="88">
        <f>SUMIF(月間集計シート!$M$50:$M$69,$G1617,月間集計シート!R$50:R$69)*U$2</f>
        <v>0</v>
      </c>
      <c r="V1617" s="88">
        <f>SUMIF(月間集計シート!$M$50:$M$69,$G1617,月間集計シート!S$50:S$69)*V$2</f>
        <v>0</v>
      </c>
      <c r="W1617" s="88">
        <f>SUMIF(月間集計シート!$M$50:$M$69,$G1617,月間集計シート!T$50:T$69)*W$2</f>
        <v>0</v>
      </c>
      <c r="X1617" s="88">
        <f>SUMIF(月間集計シート!$M$71:$M$90,$G1617,月間集計シート!N$71:N$90)*X$2</f>
        <v>0</v>
      </c>
      <c r="Y1617" s="88">
        <f>SUMIF(月間集計シート!$M$71:$M$90,$G1617,月間集計シート!O$71:O$90)*Y$2</f>
        <v>0</v>
      </c>
      <c r="Z1617" s="88">
        <f>SUMIF(月間集計シート!$M$71:$M$90,$G1617,月間集計シート!P$71:P$90)*Z$2</f>
        <v>0</v>
      </c>
      <c r="AA1617" s="88">
        <f>SUMIF(月間集計シート!$M$71:$M$90,$G1617,月間集計シート!Q$71:Q$90)*AA$2</f>
        <v>0</v>
      </c>
      <c r="AB1617" s="88">
        <f>SUMIF(月間集計シート!$M$71:$M$90,$G1617,月間集計シート!R$71:R$90)*AB$2</f>
        <v>0</v>
      </c>
      <c r="AC1617" s="88">
        <f>SUMIF(月間集計シート!$M$71:$M$90,$G1617,月間集計シート!S$71:S$90)*AC$2</f>
        <v>0</v>
      </c>
      <c r="AD1617" s="88">
        <f>SUMIF(月間集計シート!$M$71:$M$90,$G1617,月間集計シート!T$71:T$90)*AD$2</f>
        <v>0</v>
      </c>
      <c r="AE1617" s="88">
        <f>SUMIF(月間集計シート!$M$92:$M$111,$G1617,月間集計シート!N$92:N$111)*AE$2</f>
        <v>0</v>
      </c>
      <c r="AF1617" s="88">
        <f>SUMIF(月間集計シート!$M$92:$M$111,$G1617,月間集計シート!O$92:O$111)*AF$2</f>
        <v>0</v>
      </c>
      <c r="AG1617" s="88">
        <f>SUMIF(月間集計シート!$M$92:$M$111,$G1617,月間集計シート!P$92:P$111)*AG$2</f>
        <v>0</v>
      </c>
      <c r="AH1617" s="88">
        <f>SUMIF(月間集計シート!$M$92:$M$111,$G1617,月間集計シート!Q$92:Q$111)*AH$2</f>
        <v>0</v>
      </c>
      <c r="AI1617" s="88">
        <f>SUMIF(月間集計シート!$M$92:$M$111,$G1617,月間集計シート!R$92:R$111)*AI$2</f>
        <v>0</v>
      </c>
      <c r="AJ1617" s="88">
        <f>SUMIF(月間集計シート!$M$92:$M$111,$G1617,月間集計シート!S$92:S$111)*AJ$2</f>
        <v>0</v>
      </c>
      <c r="AK1617" s="88">
        <f>SUMIF(月間集計シート!$M$92:$M$111,$G1617,月間集計シート!T$92:T$111)*AK$2</f>
        <v>0</v>
      </c>
      <c r="AL1617" s="88">
        <f>SUMIF(月間集計シート!$M$113:$M$132,$G1617,月間集計シート!N$113:N$132)*AL$2</f>
        <v>0</v>
      </c>
      <c r="AM1617" s="88">
        <f>SUMIF(月間集計シート!$M$113:$M$132,$G1617,月間集計シート!O$113:O$132)*AM$2</f>
        <v>0</v>
      </c>
      <c r="AN1617" s="88">
        <f>SUMIF(月間集計シート!$M$113:$M$132,$G1617,月間集計シート!P$113:P$132)*AN$2</f>
        <v>0</v>
      </c>
      <c r="AO1617" s="88">
        <f>SUMIF(月間集計シート!$M$113:$M$132,$G1617,月間集計シート!Q$113:Q$132)*AO$2</f>
        <v>0</v>
      </c>
      <c r="AP1617" s="88">
        <f>SUMIF(月間集計シート!$M$113:$M$132,$G1617,月間集計シート!R$113:R$132)*AP$2</f>
        <v>0</v>
      </c>
      <c r="AQ1617" s="88">
        <f>SUMIF(月間集計シート!$M$113:$M$132,$G1617,月間集計シート!S$113:S$132)*AQ$2</f>
        <v>0</v>
      </c>
      <c r="AR1617" s="88">
        <f>SUMIF(月間集計シート!$M$113:$M$132,$G1617,月間集計シート!T$113:T$132)*AR$2</f>
        <v>0</v>
      </c>
      <c r="AS1617" s="88">
        <f>SUMIF(月間集計シート!$M$134:$M$153,$G1617,月間集計シート!N$134:N$153)*AS$2</f>
        <v>0</v>
      </c>
      <c r="AT1617" s="88">
        <f>SUMIF(月間集計シート!$M$134:$M$153,$G1617,月間集計シート!O$134:O$153)*AT$2</f>
        <v>0</v>
      </c>
      <c r="AU1617" s="88">
        <f>SUMIF(月間集計シート!$M$134:$M$153,$G1617,月間集計シート!P$134:P$153)*AU$2</f>
        <v>0</v>
      </c>
      <c r="AV1617" s="88">
        <f>SUMIF(月間集計シート!$M$134:$M$153,$G1617,月間集計シート!Q$134:Q$153)*AV$2</f>
        <v>0</v>
      </c>
      <c r="AW1617" s="88">
        <f>SUMIF(月間集計シート!$M$134:$M$153,$G1617,月間集計シート!R$134:R$153)*AW$2</f>
        <v>0</v>
      </c>
      <c r="AX1617" s="88">
        <f>SUMIF(月間集計シート!$M$134:$M$153,$G1617,月間集計シート!S$134:S$153)*AX$2</f>
        <v>0</v>
      </c>
      <c r="AY1617" s="88">
        <f>SUMIF(月間集計シート!$M$134:$M$153,$G1617,月間集計シート!T$134:T$153)*AY$2</f>
        <v>0</v>
      </c>
    </row>
    <row r="1618" spans="1:51" ht="14.25" thickBot="1">
      <c r="A1618">
        <v>19</v>
      </c>
      <c r="B1618" s="120">
        <f t="shared" si="894"/>
        <v>0</v>
      </c>
      <c r="C1618" s="120" t="str">
        <f t="shared" si="894"/>
        <v/>
      </c>
      <c r="D1618" s="137"/>
      <c r="E1618" s="150" t="str">
        <f>工種!A80</f>
        <v>99106</v>
      </c>
      <c r="F1618" s="119" t="str">
        <f>工種!B80</f>
        <v>間接業務：研修・学習</v>
      </c>
      <c r="G1618" s="116" t="str">
        <f t="shared" si="891"/>
        <v>099106</v>
      </c>
      <c r="H1618" s="88">
        <f t="shared" si="893"/>
        <v>0</v>
      </c>
      <c r="I1618" s="132"/>
      <c r="J1618" s="88">
        <f>SUMIF(月間集計シート!$M$29:$M$48,$G1618,月間集計シート!N$29:N$48)*J$2</f>
        <v>0</v>
      </c>
      <c r="K1618" s="88">
        <f>SUMIF(月間集計シート!$M$29:$M$48,$G1618,月間集計シート!O$29:O$48)*K$2</f>
        <v>0</v>
      </c>
      <c r="L1618" s="88">
        <f>SUMIF(月間集計シート!$M$29:$M$48,$G1618,月間集計シート!P$29:P$48)*L$2</f>
        <v>0</v>
      </c>
      <c r="M1618" s="88">
        <f>SUMIF(月間集計シート!$M$29:$M$48,$G1618,月間集計シート!Q$29:Q$48)*M$2</f>
        <v>0</v>
      </c>
      <c r="N1618" s="88">
        <f>SUMIF(月間集計シート!$M$29:$M$48,$G1618,月間集計シート!R$29:R$48)*N$2</f>
        <v>0</v>
      </c>
      <c r="O1618" s="88">
        <f>SUMIF(月間集計シート!$M$29:$M$48,$G1618,月間集計シート!S$29:S$48)*O$2</f>
        <v>0</v>
      </c>
      <c r="P1618" s="88">
        <f>SUMIF(月間集計シート!$M$29:$M$48,$G1618,月間集計シート!T$29:T$48)*P$2</f>
        <v>0</v>
      </c>
      <c r="Q1618" s="88">
        <f>SUMIF(月間集計シート!$M$50:$M$69,$G1618,月間集計シート!N$50:N$69)*Q$2</f>
        <v>0</v>
      </c>
      <c r="R1618" s="88">
        <f>SUMIF(月間集計シート!$M$50:$M$69,$G1618,月間集計シート!O$50:O$69)*R$2</f>
        <v>0</v>
      </c>
      <c r="S1618" s="88">
        <f>SUMIF(月間集計シート!$M$50:$M$69,$G1618,月間集計シート!P$50:P$69)*S$2</f>
        <v>0</v>
      </c>
      <c r="T1618" s="88">
        <f>SUMIF(月間集計シート!$M$50:$M$69,$G1618,月間集計シート!Q$50:Q$69)*T$2</f>
        <v>0</v>
      </c>
      <c r="U1618" s="88">
        <f>SUMIF(月間集計シート!$M$50:$M$69,$G1618,月間集計シート!R$50:R$69)*U$2</f>
        <v>0</v>
      </c>
      <c r="V1618" s="88">
        <f>SUMIF(月間集計シート!$M$50:$M$69,$G1618,月間集計シート!S$50:S$69)*V$2</f>
        <v>0</v>
      </c>
      <c r="W1618" s="88">
        <f>SUMIF(月間集計シート!$M$50:$M$69,$G1618,月間集計シート!T$50:T$69)*W$2</f>
        <v>0</v>
      </c>
      <c r="X1618" s="88">
        <f>SUMIF(月間集計シート!$M$71:$M$90,$G1618,月間集計シート!N$71:N$90)*X$2</f>
        <v>0</v>
      </c>
      <c r="Y1618" s="88">
        <f>SUMIF(月間集計シート!$M$71:$M$90,$G1618,月間集計シート!O$71:O$90)*Y$2</f>
        <v>0</v>
      </c>
      <c r="Z1618" s="88">
        <f>SUMIF(月間集計シート!$M$71:$M$90,$G1618,月間集計シート!P$71:P$90)*Z$2</f>
        <v>0</v>
      </c>
      <c r="AA1618" s="88">
        <f>SUMIF(月間集計シート!$M$71:$M$90,$G1618,月間集計シート!Q$71:Q$90)*AA$2</f>
        <v>0</v>
      </c>
      <c r="AB1618" s="88">
        <f>SUMIF(月間集計シート!$M$71:$M$90,$G1618,月間集計シート!R$71:R$90)*AB$2</f>
        <v>0</v>
      </c>
      <c r="AC1618" s="88">
        <f>SUMIF(月間集計シート!$M$71:$M$90,$G1618,月間集計シート!S$71:S$90)*AC$2</f>
        <v>0</v>
      </c>
      <c r="AD1618" s="88">
        <f>SUMIF(月間集計シート!$M$71:$M$90,$G1618,月間集計シート!T$71:T$90)*AD$2</f>
        <v>0</v>
      </c>
      <c r="AE1618" s="88">
        <f>SUMIF(月間集計シート!$M$92:$M$111,$G1618,月間集計シート!N$92:N$111)*AE$2</f>
        <v>0</v>
      </c>
      <c r="AF1618" s="88">
        <f>SUMIF(月間集計シート!$M$92:$M$111,$G1618,月間集計シート!O$92:O$111)*AF$2</f>
        <v>0</v>
      </c>
      <c r="AG1618" s="88">
        <f>SUMIF(月間集計シート!$M$92:$M$111,$G1618,月間集計シート!P$92:P$111)*AG$2</f>
        <v>0</v>
      </c>
      <c r="AH1618" s="88">
        <f>SUMIF(月間集計シート!$M$92:$M$111,$G1618,月間集計シート!Q$92:Q$111)*AH$2</f>
        <v>0</v>
      </c>
      <c r="AI1618" s="88">
        <f>SUMIF(月間集計シート!$M$92:$M$111,$G1618,月間集計シート!R$92:R$111)*AI$2</f>
        <v>0</v>
      </c>
      <c r="AJ1618" s="88">
        <f>SUMIF(月間集計シート!$M$92:$M$111,$G1618,月間集計シート!S$92:S$111)*AJ$2</f>
        <v>0</v>
      </c>
      <c r="AK1618" s="88">
        <f>SUMIF(月間集計シート!$M$92:$M$111,$G1618,月間集計シート!T$92:T$111)*AK$2</f>
        <v>0</v>
      </c>
      <c r="AL1618" s="88">
        <f>SUMIF(月間集計シート!$M$113:$M$132,$G1618,月間集計シート!N$113:N$132)*AL$2</f>
        <v>0</v>
      </c>
      <c r="AM1618" s="88">
        <f>SUMIF(月間集計シート!$M$113:$M$132,$G1618,月間集計シート!O$113:O$132)*AM$2</f>
        <v>0</v>
      </c>
      <c r="AN1618" s="88">
        <f>SUMIF(月間集計シート!$M$113:$M$132,$G1618,月間集計シート!P$113:P$132)*AN$2</f>
        <v>0</v>
      </c>
      <c r="AO1618" s="88">
        <f>SUMIF(月間集計シート!$M$113:$M$132,$G1618,月間集計シート!Q$113:Q$132)*AO$2</f>
        <v>0</v>
      </c>
      <c r="AP1618" s="88">
        <f>SUMIF(月間集計シート!$M$113:$M$132,$G1618,月間集計シート!R$113:R$132)*AP$2</f>
        <v>0</v>
      </c>
      <c r="AQ1618" s="88">
        <f>SUMIF(月間集計シート!$M$113:$M$132,$G1618,月間集計シート!S$113:S$132)*AQ$2</f>
        <v>0</v>
      </c>
      <c r="AR1618" s="88">
        <f>SUMIF(月間集計シート!$M$113:$M$132,$G1618,月間集計シート!T$113:T$132)*AR$2</f>
        <v>0</v>
      </c>
      <c r="AS1618" s="88">
        <f>SUMIF(月間集計シート!$M$134:$M$153,$G1618,月間集計シート!N$134:N$153)*AS$2</f>
        <v>0</v>
      </c>
      <c r="AT1618" s="88">
        <f>SUMIF(月間集計シート!$M$134:$M$153,$G1618,月間集計シート!O$134:O$153)*AT$2</f>
        <v>0</v>
      </c>
      <c r="AU1618" s="88">
        <f>SUMIF(月間集計シート!$M$134:$M$153,$G1618,月間集計シート!P$134:P$153)*AU$2</f>
        <v>0</v>
      </c>
      <c r="AV1618" s="88">
        <f>SUMIF(月間集計シート!$M$134:$M$153,$G1618,月間集計シート!Q$134:Q$153)*AV$2</f>
        <v>0</v>
      </c>
      <c r="AW1618" s="88">
        <f>SUMIF(月間集計シート!$M$134:$M$153,$G1618,月間集計シート!R$134:R$153)*AW$2</f>
        <v>0</v>
      </c>
      <c r="AX1618" s="88">
        <f>SUMIF(月間集計シート!$M$134:$M$153,$G1618,月間集計シート!S$134:S$153)*AX$2</f>
        <v>0</v>
      </c>
      <c r="AY1618" s="88">
        <f>SUMIF(月間集計シート!$M$134:$M$153,$G1618,月間集計シート!T$134:T$153)*AY$2</f>
        <v>0</v>
      </c>
    </row>
    <row r="1619" spans="1:51" ht="14.25" thickBot="1">
      <c r="A1619">
        <v>19</v>
      </c>
      <c r="B1619" s="120">
        <f t="shared" si="894"/>
        <v>0</v>
      </c>
      <c r="C1619" s="120" t="str">
        <f t="shared" si="894"/>
        <v/>
      </c>
      <c r="D1619" s="137"/>
      <c r="E1619" s="150" t="str">
        <f>工種!A81</f>
        <v>99107</v>
      </c>
      <c r="F1619" s="119" t="str">
        <f>工種!B81</f>
        <v>間接業務：事務作業（開発以外）</v>
      </c>
      <c r="G1619" s="116" t="str">
        <f t="shared" ref="G1619:G1620" si="895">B1619&amp;E1619</f>
        <v>099107</v>
      </c>
      <c r="H1619" s="88">
        <f t="shared" ref="H1619:H1620" si="896">SUM(J1619:AY1619)</f>
        <v>0</v>
      </c>
      <c r="I1619" s="132"/>
      <c r="J1619" s="88">
        <f>SUMIF(月間集計シート!$M$29:$M$48,$G1619,月間集計シート!N$29:N$48)*J$2</f>
        <v>0</v>
      </c>
      <c r="K1619" s="88">
        <f>SUMIF(月間集計シート!$M$29:$M$48,$G1619,月間集計シート!O$29:O$48)*K$2</f>
        <v>0</v>
      </c>
      <c r="L1619" s="88">
        <f>SUMIF(月間集計シート!$M$29:$M$48,$G1619,月間集計シート!P$29:P$48)*L$2</f>
        <v>0</v>
      </c>
      <c r="M1619" s="88">
        <f>SUMIF(月間集計シート!$M$29:$M$48,$G1619,月間集計シート!Q$29:Q$48)*M$2</f>
        <v>0</v>
      </c>
      <c r="N1619" s="88">
        <f>SUMIF(月間集計シート!$M$29:$M$48,$G1619,月間集計シート!R$29:R$48)*N$2</f>
        <v>0</v>
      </c>
      <c r="O1619" s="88">
        <f>SUMIF(月間集計シート!$M$29:$M$48,$G1619,月間集計シート!S$29:S$48)*O$2</f>
        <v>0</v>
      </c>
      <c r="P1619" s="88">
        <f>SUMIF(月間集計シート!$M$29:$M$48,$G1619,月間集計シート!T$29:T$48)*P$2</f>
        <v>0</v>
      </c>
      <c r="Q1619" s="88">
        <f>SUMIF(月間集計シート!$M$50:$M$69,$G1619,月間集計シート!N$50:N$69)*Q$2</f>
        <v>0</v>
      </c>
      <c r="R1619" s="88">
        <f>SUMIF(月間集計シート!$M$50:$M$69,$G1619,月間集計シート!O$50:O$69)*R$2</f>
        <v>0</v>
      </c>
      <c r="S1619" s="88">
        <f>SUMIF(月間集計シート!$M$50:$M$69,$G1619,月間集計シート!P$50:P$69)*S$2</f>
        <v>0</v>
      </c>
      <c r="T1619" s="88">
        <f>SUMIF(月間集計シート!$M$50:$M$69,$G1619,月間集計シート!Q$50:Q$69)*T$2</f>
        <v>0</v>
      </c>
      <c r="U1619" s="88">
        <f>SUMIF(月間集計シート!$M$50:$M$69,$G1619,月間集計シート!R$50:R$69)*U$2</f>
        <v>0</v>
      </c>
      <c r="V1619" s="88">
        <f>SUMIF(月間集計シート!$M$50:$M$69,$G1619,月間集計シート!S$50:S$69)*V$2</f>
        <v>0</v>
      </c>
      <c r="W1619" s="88">
        <f>SUMIF(月間集計シート!$M$50:$M$69,$G1619,月間集計シート!T$50:T$69)*W$2</f>
        <v>0</v>
      </c>
      <c r="X1619" s="88">
        <f>SUMIF(月間集計シート!$M$71:$M$90,$G1619,月間集計シート!N$71:N$90)*X$2</f>
        <v>0</v>
      </c>
      <c r="Y1619" s="88">
        <f>SUMIF(月間集計シート!$M$71:$M$90,$G1619,月間集計シート!O$71:O$90)*Y$2</f>
        <v>0</v>
      </c>
      <c r="Z1619" s="88">
        <f>SUMIF(月間集計シート!$M$71:$M$90,$G1619,月間集計シート!P$71:P$90)*Z$2</f>
        <v>0</v>
      </c>
      <c r="AA1619" s="88">
        <f>SUMIF(月間集計シート!$M$71:$M$90,$G1619,月間集計シート!Q$71:Q$90)*AA$2</f>
        <v>0</v>
      </c>
      <c r="AB1619" s="88">
        <f>SUMIF(月間集計シート!$M$71:$M$90,$G1619,月間集計シート!R$71:R$90)*AB$2</f>
        <v>0</v>
      </c>
      <c r="AC1619" s="88">
        <f>SUMIF(月間集計シート!$M$71:$M$90,$G1619,月間集計シート!S$71:S$90)*AC$2</f>
        <v>0</v>
      </c>
      <c r="AD1619" s="88">
        <f>SUMIF(月間集計シート!$M$71:$M$90,$G1619,月間集計シート!T$71:T$90)*AD$2</f>
        <v>0</v>
      </c>
      <c r="AE1619" s="88">
        <f>SUMIF(月間集計シート!$M$92:$M$111,$G1619,月間集計シート!N$92:N$111)*AE$2</f>
        <v>0</v>
      </c>
      <c r="AF1619" s="88">
        <f>SUMIF(月間集計シート!$M$92:$M$111,$G1619,月間集計シート!O$92:O$111)*AF$2</f>
        <v>0</v>
      </c>
      <c r="AG1619" s="88">
        <f>SUMIF(月間集計シート!$M$92:$M$111,$G1619,月間集計シート!P$92:P$111)*AG$2</f>
        <v>0</v>
      </c>
      <c r="AH1619" s="88">
        <f>SUMIF(月間集計シート!$M$92:$M$111,$G1619,月間集計シート!Q$92:Q$111)*AH$2</f>
        <v>0</v>
      </c>
      <c r="AI1619" s="88">
        <f>SUMIF(月間集計シート!$M$92:$M$111,$G1619,月間集計シート!R$92:R$111)*AI$2</f>
        <v>0</v>
      </c>
      <c r="AJ1619" s="88">
        <f>SUMIF(月間集計シート!$M$92:$M$111,$G1619,月間集計シート!S$92:S$111)*AJ$2</f>
        <v>0</v>
      </c>
      <c r="AK1619" s="88">
        <f>SUMIF(月間集計シート!$M$92:$M$111,$G1619,月間集計シート!T$92:T$111)*AK$2</f>
        <v>0</v>
      </c>
      <c r="AL1619" s="88">
        <f>SUMIF(月間集計シート!$M$113:$M$132,$G1619,月間集計シート!N$113:N$132)*AL$2</f>
        <v>0</v>
      </c>
      <c r="AM1619" s="88">
        <f>SUMIF(月間集計シート!$M$113:$M$132,$G1619,月間集計シート!O$113:O$132)*AM$2</f>
        <v>0</v>
      </c>
      <c r="AN1619" s="88">
        <f>SUMIF(月間集計シート!$M$113:$M$132,$G1619,月間集計シート!P$113:P$132)*AN$2</f>
        <v>0</v>
      </c>
      <c r="AO1619" s="88">
        <f>SUMIF(月間集計シート!$M$113:$M$132,$G1619,月間集計シート!Q$113:Q$132)*AO$2</f>
        <v>0</v>
      </c>
      <c r="AP1619" s="88">
        <f>SUMIF(月間集計シート!$M$113:$M$132,$G1619,月間集計シート!R$113:R$132)*AP$2</f>
        <v>0</v>
      </c>
      <c r="AQ1619" s="88">
        <f>SUMIF(月間集計シート!$M$113:$M$132,$G1619,月間集計シート!S$113:S$132)*AQ$2</f>
        <v>0</v>
      </c>
      <c r="AR1619" s="88">
        <f>SUMIF(月間集計シート!$M$113:$M$132,$G1619,月間集計シート!T$113:T$132)*AR$2</f>
        <v>0</v>
      </c>
      <c r="AS1619" s="88">
        <f>SUMIF(月間集計シート!$M$134:$M$153,$G1619,月間集計シート!N$134:N$153)*AS$2</f>
        <v>0</v>
      </c>
      <c r="AT1619" s="88">
        <f>SUMIF(月間集計シート!$M$134:$M$153,$G1619,月間集計シート!O$134:O$153)*AT$2</f>
        <v>0</v>
      </c>
      <c r="AU1619" s="88">
        <f>SUMIF(月間集計シート!$M$134:$M$153,$G1619,月間集計シート!P$134:P$153)*AU$2</f>
        <v>0</v>
      </c>
      <c r="AV1619" s="88">
        <f>SUMIF(月間集計シート!$M$134:$M$153,$G1619,月間集計シート!Q$134:Q$153)*AV$2</f>
        <v>0</v>
      </c>
      <c r="AW1619" s="88">
        <f>SUMIF(月間集計シート!$M$134:$M$153,$G1619,月間集計シート!R$134:R$153)*AW$2</f>
        <v>0</v>
      </c>
      <c r="AX1619" s="88">
        <f>SUMIF(月間集計シート!$M$134:$M$153,$G1619,月間集計シート!S$134:S$153)*AX$2</f>
        <v>0</v>
      </c>
      <c r="AY1619" s="88">
        <f>SUMIF(月間集計シート!$M$134:$M$153,$G1619,月間集計シート!T$134:T$153)*AY$2</f>
        <v>0</v>
      </c>
    </row>
    <row r="1620" spans="1:51" ht="14.25" thickBot="1">
      <c r="A1620">
        <v>19</v>
      </c>
      <c r="B1620" s="120">
        <f t="shared" si="894"/>
        <v>0</v>
      </c>
      <c r="C1620" s="120" t="str">
        <f t="shared" si="894"/>
        <v/>
      </c>
      <c r="D1620" s="137"/>
      <c r="E1620" s="150" t="str">
        <f>工種!A82</f>
        <v>99110</v>
      </c>
      <c r="F1620" s="119" t="str">
        <f>工種!B82</f>
        <v>間接業務：打合せ</v>
      </c>
      <c r="G1620" s="116" t="str">
        <f t="shared" si="895"/>
        <v>099110</v>
      </c>
      <c r="H1620" s="88">
        <f t="shared" si="896"/>
        <v>0</v>
      </c>
      <c r="I1620" s="132"/>
      <c r="J1620" s="88">
        <f>SUMIF(月間集計シート!$M$29:$M$48,$G1620,月間集計シート!N$29:N$48)*J$2</f>
        <v>0</v>
      </c>
      <c r="K1620" s="88">
        <f>SUMIF(月間集計シート!$M$29:$M$48,$G1620,月間集計シート!O$29:O$48)*K$2</f>
        <v>0</v>
      </c>
      <c r="L1620" s="88">
        <f>SUMIF(月間集計シート!$M$29:$M$48,$G1620,月間集計シート!P$29:P$48)*L$2</f>
        <v>0</v>
      </c>
      <c r="M1620" s="88">
        <f>SUMIF(月間集計シート!$M$29:$M$48,$G1620,月間集計シート!Q$29:Q$48)*M$2</f>
        <v>0</v>
      </c>
      <c r="N1620" s="88">
        <f>SUMIF(月間集計シート!$M$29:$M$48,$G1620,月間集計シート!R$29:R$48)*N$2</f>
        <v>0</v>
      </c>
      <c r="O1620" s="88">
        <f>SUMIF(月間集計シート!$M$29:$M$48,$G1620,月間集計シート!S$29:S$48)*O$2</f>
        <v>0</v>
      </c>
      <c r="P1620" s="88">
        <f>SUMIF(月間集計シート!$M$29:$M$48,$G1620,月間集計シート!T$29:T$48)*P$2</f>
        <v>0</v>
      </c>
      <c r="Q1620" s="88">
        <f>SUMIF(月間集計シート!$M$50:$M$69,$G1620,月間集計シート!N$50:N$69)*Q$2</f>
        <v>0</v>
      </c>
      <c r="R1620" s="88">
        <f>SUMIF(月間集計シート!$M$50:$M$69,$G1620,月間集計シート!O$50:O$69)*R$2</f>
        <v>0</v>
      </c>
      <c r="S1620" s="88">
        <f>SUMIF(月間集計シート!$M$50:$M$69,$G1620,月間集計シート!P$50:P$69)*S$2</f>
        <v>0</v>
      </c>
      <c r="T1620" s="88">
        <f>SUMIF(月間集計シート!$M$50:$M$69,$G1620,月間集計シート!Q$50:Q$69)*T$2</f>
        <v>0</v>
      </c>
      <c r="U1620" s="88">
        <f>SUMIF(月間集計シート!$M$50:$M$69,$G1620,月間集計シート!R$50:R$69)*U$2</f>
        <v>0</v>
      </c>
      <c r="V1620" s="88">
        <f>SUMIF(月間集計シート!$M$50:$M$69,$G1620,月間集計シート!S$50:S$69)*V$2</f>
        <v>0</v>
      </c>
      <c r="W1620" s="88">
        <f>SUMIF(月間集計シート!$M$50:$M$69,$G1620,月間集計シート!T$50:T$69)*W$2</f>
        <v>0</v>
      </c>
      <c r="X1620" s="88">
        <f>SUMIF(月間集計シート!$M$71:$M$90,$G1620,月間集計シート!N$71:N$90)*X$2</f>
        <v>0</v>
      </c>
      <c r="Y1620" s="88">
        <f>SUMIF(月間集計シート!$M$71:$M$90,$G1620,月間集計シート!O$71:O$90)*Y$2</f>
        <v>0</v>
      </c>
      <c r="Z1620" s="88">
        <f>SUMIF(月間集計シート!$M$71:$M$90,$G1620,月間集計シート!P$71:P$90)*Z$2</f>
        <v>0</v>
      </c>
      <c r="AA1620" s="88">
        <f>SUMIF(月間集計シート!$M$71:$M$90,$G1620,月間集計シート!Q$71:Q$90)*AA$2</f>
        <v>0</v>
      </c>
      <c r="AB1620" s="88">
        <f>SUMIF(月間集計シート!$M$71:$M$90,$G1620,月間集計シート!R$71:R$90)*AB$2</f>
        <v>0</v>
      </c>
      <c r="AC1620" s="88">
        <f>SUMIF(月間集計シート!$M$71:$M$90,$G1620,月間集計シート!S$71:S$90)*AC$2</f>
        <v>0</v>
      </c>
      <c r="AD1620" s="88">
        <f>SUMIF(月間集計シート!$M$71:$M$90,$G1620,月間集計シート!T$71:T$90)*AD$2</f>
        <v>0</v>
      </c>
      <c r="AE1620" s="88">
        <f>SUMIF(月間集計シート!$M$92:$M$111,$G1620,月間集計シート!N$92:N$111)*AE$2</f>
        <v>0</v>
      </c>
      <c r="AF1620" s="88">
        <f>SUMIF(月間集計シート!$M$92:$M$111,$G1620,月間集計シート!O$92:O$111)*AF$2</f>
        <v>0</v>
      </c>
      <c r="AG1620" s="88">
        <f>SUMIF(月間集計シート!$M$92:$M$111,$G1620,月間集計シート!P$92:P$111)*AG$2</f>
        <v>0</v>
      </c>
      <c r="AH1620" s="88">
        <f>SUMIF(月間集計シート!$M$92:$M$111,$G1620,月間集計シート!Q$92:Q$111)*AH$2</f>
        <v>0</v>
      </c>
      <c r="AI1620" s="88">
        <f>SUMIF(月間集計シート!$M$92:$M$111,$G1620,月間集計シート!R$92:R$111)*AI$2</f>
        <v>0</v>
      </c>
      <c r="AJ1620" s="88">
        <f>SUMIF(月間集計シート!$M$92:$M$111,$G1620,月間集計シート!S$92:S$111)*AJ$2</f>
        <v>0</v>
      </c>
      <c r="AK1620" s="88">
        <f>SUMIF(月間集計シート!$M$92:$M$111,$G1620,月間集計シート!T$92:T$111)*AK$2</f>
        <v>0</v>
      </c>
      <c r="AL1620" s="88">
        <f>SUMIF(月間集計シート!$M$113:$M$132,$G1620,月間集計シート!N$113:N$132)*AL$2</f>
        <v>0</v>
      </c>
      <c r="AM1620" s="88">
        <f>SUMIF(月間集計シート!$M$113:$M$132,$G1620,月間集計シート!O$113:O$132)*AM$2</f>
        <v>0</v>
      </c>
      <c r="AN1620" s="88">
        <f>SUMIF(月間集計シート!$M$113:$M$132,$G1620,月間集計シート!P$113:P$132)*AN$2</f>
        <v>0</v>
      </c>
      <c r="AO1620" s="88">
        <f>SUMIF(月間集計シート!$M$113:$M$132,$G1620,月間集計シート!Q$113:Q$132)*AO$2</f>
        <v>0</v>
      </c>
      <c r="AP1620" s="88">
        <f>SUMIF(月間集計シート!$M$113:$M$132,$G1620,月間集計シート!R$113:R$132)*AP$2</f>
        <v>0</v>
      </c>
      <c r="AQ1620" s="88">
        <f>SUMIF(月間集計シート!$M$113:$M$132,$G1620,月間集計シート!S$113:S$132)*AQ$2</f>
        <v>0</v>
      </c>
      <c r="AR1620" s="88">
        <f>SUMIF(月間集計シート!$M$113:$M$132,$G1620,月間集計シート!T$113:T$132)*AR$2</f>
        <v>0</v>
      </c>
      <c r="AS1620" s="88">
        <f>SUMIF(月間集計シート!$M$134:$M$153,$G1620,月間集計シート!N$134:N$153)*AS$2</f>
        <v>0</v>
      </c>
      <c r="AT1620" s="88">
        <f>SUMIF(月間集計シート!$M$134:$M$153,$G1620,月間集計シート!O$134:O$153)*AT$2</f>
        <v>0</v>
      </c>
      <c r="AU1620" s="88">
        <f>SUMIF(月間集計シート!$M$134:$M$153,$G1620,月間集計シート!P$134:P$153)*AU$2</f>
        <v>0</v>
      </c>
      <c r="AV1620" s="88">
        <f>SUMIF(月間集計シート!$M$134:$M$153,$G1620,月間集計シート!Q$134:Q$153)*AV$2</f>
        <v>0</v>
      </c>
      <c r="AW1620" s="88">
        <f>SUMIF(月間集計シート!$M$134:$M$153,$G1620,月間集計シート!R$134:R$153)*AW$2</f>
        <v>0</v>
      </c>
      <c r="AX1620" s="88">
        <f>SUMIF(月間集計シート!$M$134:$M$153,$G1620,月間集計シート!S$134:S$153)*AX$2</f>
        <v>0</v>
      </c>
      <c r="AY1620" s="88">
        <f>SUMIF(月間集計シート!$M$134:$M$153,$G1620,月間集計シート!T$134:T$153)*AY$2</f>
        <v>0</v>
      </c>
    </row>
    <row r="1621" spans="1:51" ht="14.25" thickBot="1">
      <c r="A1621">
        <v>19</v>
      </c>
      <c r="B1621" s="120">
        <f t="shared" si="894"/>
        <v>0</v>
      </c>
      <c r="C1621" s="120" t="str">
        <f t="shared" si="894"/>
        <v/>
      </c>
      <c r="D1621" s="137"/>
      <c r="E1621" s="150" t="str">
        <f>工種!A83</f>
        <v>99199</v>
      </c>
      <c r="F1621" s="119" t="str">
        <f>工種!B83</f>
        <v>間接業務：その他</v>
      </c>
      <c r="G1621" s="116" t="str">
        <f t="shared" si="890"/>
        <v>099199</v>
      </c>
      <c r="H1621" s="88">
        <f t="shared" si="844"/>
        <v>0</v>
      </c>
      <c r="I1621" s="132"/>
      <c r="J1621" s="88">
        <f>SUMIF(月間集計シート!$M$29:$M$48,$G1621,月間集計シート!N$29:N$48)*J$2</f>
        <v>0</v>
      </c>
      <c r="K1621" s="88">
        <f>SUMIF(月間集計シート!$M$29:$M$48,$G1621,月間集計シート!O$29:O$48)*K$2</f>
        <v>0</v>
      </c>
      <c r="L1621" s="88">
        <f>SUMIF(月間集計シート!$M$29:$M$48,$G1621,月間集計シート!P$29:P$48)*L$2</f>
        <v>0</v>
      </c>
      <c r="M1621" s="88">
        <f>SUMIF(月間集計シート!$M$29:$M$48,$G1621,月間集計シート!Q$29:Q$48)*M$2</f>
        <v>0</v>
      </c>
      <c r="N1621" s="88">
        <f>SUMIF(月間集計シート!$M$29:$M$48,$G1621,月間集計シート!R$29:R$48)*N$2</f>
        <v>0</v>
      </c>
      <c r="O1621" s="88">
        <f>SUMIF(月間集計シート!$M$29:$M$48,$G1621,月間集計シート!S$29:S$48)*O$2</f>
        <v>0</v>
      </c>
      <c r="P1621" s="88">
        <f>SUMIF(月間集計シート!$M$29:$M$48,$G1621,月間集計シート!T$29:T$48)*P$2</f>
        <v>0</v>
      </c>
      <c r="Q1621" s="88">
        <f>SUMIF(月間集計シート!$M$50:$M$69,$G1621,月間集計シート!N$50:N$69)*Q$2</f>
        <v>0</v>
      </c>
      <c r="R1621" s="88">
        <f>SUMIF(月間集計シート!$M$50:$M$69,$G1621,月間集計シート!O$50:O$69)*R$2</f>
        <v>0</v>
      </c>
      <c r="S1621" s="88">
        <f>SUMIF(月間集計シート!$M$50:$M$69,$G1621,月間集計シート!P$50:P$69)*S$2</f>
        <v>0</v>
      </c>
      <c r="T1621" s="88">
        <f>SUMIF(月間集計シート!$M$50:$M$69,$G1621,月間集計シート!Q$50:Q$69)*T$2</f>
        <v>0</v>
      </c>
      <c r="U1621" s="88">
        <f>SUMIF(月間集計シート!$M$50:$M$69,$G1621,月間集計シート!R$50:R$69)*U$2</f>
        <v>0</v>
      </c>
      <c r="V1621" s="88">
        <f>SUMIF(月間集計シート!$M$50:$M$69,$G1621,月間集計シート!S$50:S$69)*V$2</f>
        <v>0</v>
      </c>
      <c r="W1621" s="88">
        <f>SUMIF(月間集計シート!$M$50:$M$69,$G1621,月間集計シート!T$50:T$69)*W$2</f>
        <v>0</v>
      </c>
      <c r="X1621" s="88">
        <f>SUMIF(月間集計シート!$M$71:$M$90,$G1621,月間集計シート!N$71:N$90)*X$2</f>
        <v>0</v>
      </c>
      <c r="Y1621" s="88">
        <f>SUMIF(月間集計シート!$M$71:$M$90,$G1621,月間集計シート!O$71:O$90)*Y$2</f>
        <v>0</v>
      </c>
      <c r="Z1621" s="88">
        <f>SUMIF(月間集計シート!$M$71:$M$90,$G1621,月間集計シート!P$71:P$90)*Z$2</f>
        <v>0</v>
      </c>
      <c r="AA1621" s="88">
        <f>SUMIF(月間集計シート!$M$71:$M$90,$G1621,月間集計シート!Q$71:Q$90)*AA$2</f>
        <v>0</v>
      </c>
      <c r="AB1621" s="88">
        <f>SUMIF(月間集計シート!$M$71:$M$90,$G1621,月間集計シート!R$71:R$90)*AB$2</f>
        <v>0</v>
      </c>
      <c r="AC1621" s="88">
        <f>SUMIF(月間集計シート!$M$71:$M$90,$G1621,月間集計シート!S$71:S$90)*AC$2</f>
        <v>0</v>
      </c>
      <c r="AD1621" s="88">
        <f>SUMIF(月間集計シート!$M$71:$M$90,$G1621,月間集計シート!T$71:T$90)*AD$2</f>
        <v>0</v>
      </c>
      <c r="AE1621" s="88">
        <f>SUMIF(月間集計シート!$M$92:$M$111,$G1621,月間集計シート!N$92:N$111)*AE$2</f>
        <v>0</v>
      </c>
      <c r="AF1621" s="88">
        <f>SUMIF(月間集計シート!$M$92:$M$111,$G1621,月間集計シート!O$92:O$111)*AF$2</f>
        <v>0</v>
      </c>
      <c r="AG1621" s="88">
        <f>SUMIF(月間集計シート!$M$92:$M$111,$G1621,月間集計シート!P$92:P$111)*AG$2</f>
        <v>0</v>
      </c>
      <c r="AH1621" s="88">
        <f>SUMIF(月間集計シート!$M$92:$M$111,$G1621,月間集計シート!Q$92:Q$111)*AH$2</f>
        <v>0</v>
      </c>
      <c r="AI1621" s="88">
        <f>SUMIF(月間集計シート!$M$92:$M$111,$G1621,月間集計シート!R$92:R$111)*AI$2</f>
        <v>0</v>
      </c>
      <c r="AJ1621" s="88">
        <f>SUMIF(月間集計シート!$M$92:$M$111,$G1621,月間集計シート!S$92:S$111)*AJ$2</f>
        <v>0</v>
      </c>
      <c r="AK1621" s="88">
        <f>SUMIF(月間集計シート!$M$92:$M$111,$G1621,月間集計シート!T$92:T$111)*AK$2</f>
        <v>0</v>
      </c>
      <c r="AL1621" s="88">
        <f>SUMIF(月間集計シート!$M$113:$M$132,$G1621,月間集計シート!N$113:N$132)*AL$2</f>
        <v>0</v>
      </c>
      <c r="AM1621" s="88">
        <f>SUMIF(月間集計シート!$M$113:$M$132,$G1621,月間集計シート!O$113:O$132)*AM$2</f>
        <v>0</v>
      </c>
      <c r="AN1621" s="88">
        <f>SUMIF(月間集計シート!$M$113:$M$132,$G1621,月間集計シート!P$113:P$132)*AN$2</f>
        <v>0</v>
      </c>
      <c r="AO1621" s="88">
        <f>SUMIF(月間集計シート!$M$113:$M$132,$G1621,月間集計シート!Q$113:Q$132)*AO$2</f>
        <v>0</v>
      </c>
      <c r="AP1621" s="88">
        <f>SUMIF(月間集計シート!$M$113:$M$132,$G1621,月間集計シート!R$113:R$132)*AP$2</f>
        <v>0</v>
      </c>
      <c r="AQ1621" s="88">
        <f>SUMIF(月間集計シート!$M$113:$M$132,$G1621,月間集計シート!S$113:S$132)*AQ$2</f>
        <v>0</v>
      </c>
      <c r="AR1621" s="88">
        <f>SUMIF(月間集計シート!$M$113:$M$132,$G1621,月間集計シート!T$113:T$132)*AR$2</f>
        <v>0</v>
      </c>
      <c r="AS1621" s="88">
        <f>SUMIF(月間集計シート!$M$134:$M$153,$G1621,月間集計シート!N$134:N$153)*AS$2</f>
        <v>0</v>
      </c>
      <c r="AT1621" s="88">
        <f>SUMIF(月間集計シート!$M$134:$M$153,$G1621,月間集計シート!O$134:O$153)*AT$2</f>
        <v>0</v>
      </c>
      <c r="AU1621" s="88">
        <f>SUMIF(月間集計シート!$M$134:$M$153,$G1621,月間集計シート!P$134:P$153)*AU$2</f>
        <v>0</v>
      </c>
      <c r="AV1621" s="88">
        <f>SUMIF(月間集計シート!$M$134:$M$153,$G1621,月間集計シート!Q$134:Q$153)*AV$2</f>
        <v>0</v>
      </c>
      <c r="AW1621" s="88">
        <f>SUMIF(月間集計シート!$M$134:$M$153,$G1621,月間集計シート!R$134:R$153)*AW$2</f>
        <v>0</v>
      </c>
      <c r="AX1621" s="88">
        <f>SUMIF(月間集計シート!$M$134:$M$153,$G1621,月間集計シート!S$134:S$153)*AX$2</f>
        <v>0</v>
      </c>
      <c r="AY1621" s="88">
        <f>SUMIF(月間集計シート!$M$134:$M$153,$G1621,月間集計シート!T$134:T$153)*AY$2</f>
        <v>0</v>
      </c>
    </row>
    <row r="1622" spans="1:51">
      <c r="B1622" s="120"/>
      <c r="C1622" s="120"/>
      <c r="D1622" s="127"/>
      <c r="E1622" s="115"/>
      <c r="F1622" s="119"/>
      <c r="G1622" s="116"/>
      <c r="H1622" s="88"/>
      <c r="I1622" s="132"/>
      <c r="J1622" s="88"/>
      <c r="K1622" s="88"/>
      <c r="L1622" s="88"/>
      <c r="M1622" s="88"/>
      <c r="N1622" s="88"/>
      <c r="O1622" s="88"/>
      <c r="P1622" s="88"/>
      <c r="Q1622" s="88"/>
      <c r="R1622" s="88"/>
      <c r="S1622" s="88"/>
      <c r="T1622" s="88"/>
      <c r="U1622" s="88"/>
      <c r="V1622" s="88"/>
      <c r="W1622" s="88"/>
      <c r="X1622" s="88"/>
      <c r="Y1622" s="88"/>
      <c r="Z1622" s="88"/>
      <c r="AA1622" s="88"/>
      <c r="AB1622" s="88"/>
      <c r="AC1622" s="88"/>
      <c r="AD1622" s="88"/>
      <c r="AE1622" s="88"/>
      <c r="AF1622" s="88"/>
      <c r="AG1622" s="88"/>
      <c r="AH1622" s="88"/>
      <c r="AI1622" s="88"/>
      <c r="AJ1622" s="88"/>
      <c r="AK1622" s="88"/>
      <c r="AL1622" s="88"/>
      <c r="AM1622" s="88"/>
      <c r="AN1622" s="88"/>
      <c r="AO1622" s="88"/>
      <c r="AP1622" s="88"/>
      <c r="AQ1622" s="88"/>
      <c r="AR1622" s="88"/>
      <c r="AS1622" s="88"/>
      <c r="AT1622" s="88"/>
      <c r="AU1622" s="88"/>
      <c r="AV1622" s="88"/>
      <c r="AW1622" s="88"/>
      <c r="AX1622" s="88"/>
      <c r="AY1622" s="88"/>
    </row>
    <row r="1623" spans="1:51" ht="14.25" thickBot="1">
      <c r="A1623">
        <v>20</v>
      </c>
      <c r="B1623">
        <f>月間集計シート!I23</f>
        <v>0</v>
      </c>
      <c r="C1623" s="116" t="str">
        <f>月間集計シート!J23</f>
        <v/>
      </c>
      <c r="D1623" s="147">
        <v>1</v>
      </c>
      <c r="E1623" s="115" t="s">
        <v>451</v>
      </c>
      <c r="F1623" s="119" t="s">
        <v>29</v>
      </c>
      <c r="G1623" s="116"/>
      <c r="H1623" s="88">
        <f t="shared" ref="H1623:H1706" si="897">SUM(J1623:AY1623)</f>
        <v>0</v>
      </c>
      <c r="I1623" s="132"/>
      <c r="J1623" s="88">
        <f>SUM(J1625:J1706)</f>
        <v>0</v>
      </c>
      <c r="K1623" s="88">
        <f t="shared" ref="K1623:AY1623" si="898">SUM(K1625:K1706)</f>
        <v>0</v>
      </c>
      <c r="L1623" s="88">
        <f t="shared" si="898"/>
        <v>0</v>
      </c>
      <c r="M1623" s="88">
        <f t="shared" si="898"/>
        <v>0</v>
      </c>
      <c r="N1623" s="88">
        <f t="shared" si="898"/>
        <v>0</v>
      </c>
      <c r="O1623" s="88">
        <f t="shared" si="898"/>
        <v>0</v>
      </c>
      <c r="P1623" s="88">
        <f t="shared" si="898"/>
        <v>0</v>
      </c>
      <c r="Q1623" s="88">
        <f t="shared" si="898"/>
        <v>0</v>
      </c>
      <c r="R1623" s="88">
        <f t="shared" si="898"/>
        <v>0</v>
      </c>
      <c r="S1623" s="88">
        <f t="shared" si="898"/>
        <v>0</v>
      </c>
      <c r="T1623" s="88">
        <f t="shared" si="898"/>
        <v>0</v>
      </c>
      <c r="U1623" s="88">
        <f t="shared" si="898"/>
        <v>0</v>
      </c>
      <c r="V1623" s="88">
        <f t="shared" si="898"/>
        <v>0</v>
      </c>
      <c r="W1623" s="88">
        <f t="shared" si="898"/>
        <v>0</v>
      </c>
      <c r="X1623" s="88">
        <f t="shared" si="898"/>
        <v>0</v>
      </c>
      <c r="Y1623" s="88">
        <f t="shared" si="898"/>
        <v>0</v>
      </c>
      <c r="Z1623" s="88">
        <f t="shared" si="898"/>
        <v>0</v>
      </c>
      <c r="AA1623" s="88">
        <f t="shared" si="898"/>
        <v>0</v>
      </c>
      <c r="AB1623" s="88">
        <f t="shared" si="898"/>
        <v>0</v>
      </c>
      <c r="AC1623" s="88">
        <f t="shared" si="898"/>
        <v>0</v>
      </c>
      <c r="AD1623" s="88">
        <f t="shared" si="898"/>
        <v>0</v>
      </c>
      <c r="AE1623" s="88">
        <f t="shared" si="898"/>
        <v>0</v>
      </c>
      <c r="AF1623" s="88">
        <f t="shared" si="898"/>
        <v>0</v>
      </c>
      <c r="AG1623" s="88">
        <f t="shared" si="898"/>
        <v>0</v>
      </c>
      <c r="AH1623" s="88">
        <f t="shared" si="898"/>
        <v>0</v>
      </c>
      <c r="AI1623" s="88">
        <f t="shared" si="898"/>
        <v>0</v>
      </c>
      <c r="AJ1623" s="88">
        <f t="shared" si="898"/>
        <v>0</v>
      </c>
      <c r="AK1623" s="88">
        <f t="shared" si="898"/>
        <v>0</v>
      </c>
      <c r="AL1623" s="88">
        <f t="shared" si="898"/>
        <v>0</v>
      </c>
      <c r="AM1623" s="88">
        <f t="shared" si="898"/>
        <v>0</v>
      </c>
      <c r="AN1623" s="88">
        <f t="shared" si="898"/>
        <v>0</v>
      </c>
      <c r="AO1623" s="88">
        <f t="shared" si="898"/>
        <v>0</v>
      </c>
      <c r="AP1623" s="88">
        <f t="shared" si="898"/>
        <v>0</v>
      </c>
      <c r="AQ1623" s="88">
        <f t="shared" si="898"/>
        <v>0</v>
      </c>
      <c r="AR1623" s="88">
        <f t="shared" si="898"/>
        <v>0</v>
      </c>
      <c r="AS1623" s="88">
        <f t="shared" si="898"/>
        <v>0</v>
      </c>
      <c r="AT1623" s="88">
        <f t="shared" si="898"/>
        <v>0</v>
      </c>
      <c r="AU1623" s="88">
        <f t="shared" si="898"/>
        <v>0</v>
      </c>
      <c r="AV1623" s="88">
        <f t="shared" si="898"/>
        <v>0</v>
      </c>
      <c r="AW1623" s="88">
        <f t="shared" si="898"/>
        <v>0</v>
      </c>
      <c r="AX1623" s="88">
        <f t="shared" si="898"/>
        <v>0</v>
      </c>
      <c r="AY1623" s="88">
        <f t="shared" si="898"/>
        <v>0</v>
      </c>
    </row>
    <row r="1624" spans="1:51" ht="14.25" customHeight="1" thickBot="1">
      <c r="A1624">
        <v>20</v>
      </c>
      <c r="B1624">
        <f>B1623</f>
        <v>0</v>
      </c>
      <c r="C1624" s="116" t="str">
        <f>C1623</f>
        <v/>
      </c>
      <c r="D1624" s="147">
        <v>1</v>
      </c>
      <c r="E1624" s="115" t="s">
        <v>453</v>
      </c>
      <c r="F1624" s="119" t="s">
        <v>454</v>
      </c>
      <c r="G1624" s="116"/>
      <c r="H1624" s="129">
        <f t="shared" ref="H1624" si="899">SUM(J1624:AY1624)</f>
        <v>0</v>
      </c>
      <c r="I1624" s="132"/>
      <c r="J1624" s="88">
        <f>SUMIF($D1625:$D1706,1,J1625:J1706)</f>
        <v>0</v>
      </c>
      <c r="K1624" s="88">
        <f t="shared" ref="K1624" si="900">SUMIF($D1625:$D1706,1,K1625:K1706)</f>
        <v>0</v>
      </c>
      <c r="L1624" s="88">
        <f t="shared" ref="L1624" si="901">SUMIF($D1625:$D1706,1,L1625:L1706)</f>
        <v>0</v>
      </c>
      <c r="M1624" s="88">
        <f t="shared" ref="M1624" si="902">SUMIF($D1625:$D1706,1,M1625:M1706)</f>
        <v>0</v>
      </c>
      <c r="N1624" s="88">
        <f t="shared" ref="N1624" si="903">SUMIF($D1625:$D1706,1,N1625:N1706)</f>
        <v>0</v>
      </c>
      <c r="O1624" s="88">
        <f t="shared" ref="O1624" si="904">SUMIF($D1625:$D1706,1,O1625:O1706)</f>
        <v>0</v>
      </c>
      <c r="P1624" s="88">
        <f t="shared" ref="P1624" si="905">SUMIF($D1625:$D1706,1,P1625:P1706)</f>
        <v>0</v>
      </c>
      <c r="Q1624" s="88">
        <f t="shared" ref="Q1624" si="906">SUMIF($D1625:$D1706,1,Q1625:Q1706)</f>
        <v>0</v>
      </c>
      <c r="R1624" s="88">
        <f t="shared" ref="R1624" si="907">SUMIF($D1625:$D1706,1,R1625:R1706)</f>
        <v>0</v>
      </c>
      <c r="S1624" s="88">
        <f t="shared" ref="S1624" si="908">SUMIF($D1625:$D1706,1,S1625:S1706)</f>
        <v>0</v>
      </c>
      <c r="T1624" s="88">
        <f t="shared" ref="T1624" si="909">SUMIF($D1625:$D1706,1,T1625:T1706)</f>
        <v>0</v>
      </c>
      <c r="U1624" s="88">
        <f t="shared" ref="U1624" si="910">SUMIF($D1625:$D1706,1,U1625:U1706)</f>
        <v>0</v>
      </c>
      <c r="V1624" s="88">
        <f t="shared" ref="V1624" si="911">SUMIF($D1625:$D1706,1,V1625:V1706)</f>
        <v>0</v>
      </c>
      <c r="W1624" s="88">
        <f t="shared" ref="W1624" si="912">SUMIF($D1625:$D1706,1,W1625:W1706)</f>
        <v>0</v>
      </c>
      <c r="X1624" s="88">
        <f t="shared" ref="X1624" si="913">SUMIF($D1625:$D1706,1,X1625:X1706)</f>
        <v>0</v>
      </c>
      <c r="Y1624" s="88">
        <f t="shared" ref="Y1624" si="914">SUMIF($D1625:$D1706,1,Y1625:Y1706)</f>
        <v>0</v>
      </c>
      <c r="Z1624" s="88">
        <f t="shared" ref="Z1624" si="915">SUMIF($D1625:$D1706,1,Z1625:Z1706)</f>
        <v>0</v>
      </c>
      <c r="AA1624" s="88">
        <f t="shared" ref="AA1624" si="916">SUMIF($D1625:$D1706,1,AA1625:AA1706)</f>
        <v>0</v>
      </c>
      <c r="AB1624" s="88">
        <f t="shared" ref="AB1624" si="917">SUMIF($D1625:$D1706,1,AB1625:AB1706)</f>
        <v>0</v>
      </c>
      <c r="AC1624" s="88">
        <f t="shared" ref="AC1624" si="918">SUMIF($D1625:$D1706,1,AC1625:AC1706)</f>
        <v>0</v>
      </c>
      <c r="AD1624" s="88">
        <f t="shared" ref="AD1624" si="919">SUMIF($D1625:$D1706,1,AD1625:AD1706)</f>
        <v>0</v>
      </c>
      <c r="AE1624" s="88">
        <f t="shared" ref="AE1624" si="920">SUMIF($D1625:$D1706,1,AE1625:AE1706)</f>
        <v>0</v>
      </c>
      <c r="AF1624" s="88">
        <f t="shared" ref="AF1624" si="921">SUMIF($D1625:$D1706,1,AF1625:AF1706)</f>
        <v>0</v>
      </c>
      <c r="AG1624" s="88">
        <f t="shared" ref="AG1624" si="922">SUMIF($D1625:$D1706,1,AG1625:AG1706)</f>
        <v>0</v>
      </c>
      <c r="AH1624" s="88">
        <f t="shared" ref="AH1624" si="923">SUMIF($D1625:$D1706,1,AH1625:AH1706)</f>
        <v>0</v>
      </c>
      <c r="AI1624" s="88">
        <f t="shared" ref="AI1624" si="924">SUMIF($D1625:$D1706,1,AI1625:AI1706)</f>
        <v>0</v>
      </c>
      <c r="AJ1624" s="88">
        <f t="shared" ref="AJ1624" si="925">SUMIF($D1625:$D1706,1,AJ1625:AJ1706)</f>
        <v>0</v>
      </c>
      <c r="AK1624" s="88">
        <f t="shared" ref="AK1624" si="926">SUMIF($D1625:$D1706,1,AK1625:AK1706)</f>
        <v>0</v>
      </c>
      <c r="AL1624" s="88">
        <f t="shared" ref="AL1624" si="927">SUMIF($D1625:$D1706,1,AL1625:AL1706)</f>
        <v>0</v>
      </c>
      <c r="AM1624" s="88">
        <f t="shared" ref="AM1624" si="928">SUMIF($D1625:$D1706,1,AM1625:AM1706)</f>
        <v>0</v>
      </c>
      <c r="AN1624" s="88">
        <f t="shared" ref="AN1624" si="929">SUMIF($D1625:$D1706,1,AN1625:AN1706)</f>
        <v>0</v>
      </c>
      <c r="AO1624" s="88">
        <f t="shared" ref="AO1624" si="930">SUMIF($D1625:$D1706,1,AO1625:AO1706)</f>
        <v>0</v>
      </c>
      <c r="AP1624" s="88">
        <f t="shared" ref="AP1624" si="931">SUMIF($D1625:$D1706,1,AP1625:AP1706)</f>
        <v>0</v>
      </c>
      <c r="AQ1624" s="88">
        <f t="shared" ref="AQ1624" si="932">SUMIF($D1625:$D1706,1,AQ1625:AQ1706)</f>
        <v>0</v>
      </c>
      <c r="AR1624" s="88">
        <f t="shared" ref="AR1624" si="933">SUMIF($D1625:$D1706,1,AR1625:AR1706)</f>
        <v>0</v>
      </c>
      <c r="AS1624" s="88">
        <f t="shared" ref="AS1624" si="934">SUMIF($D1625:$D1706,1,AS1625:AS1706)</f>
        <v>0</v>
      </c>
      <c r="AT1624" s="88">
        <f t="shared" ref="AT1624" si="935">SUMIF($D1625:$D1706,1,AT1625:AT1706)</f>
        <v>0</v>
      </c>
      <c r="AU1624" s="88">
        <f t="shared" ref="AU1624" si="936">SUMIF($D1625:$D1706,1,AU1625:AU1706)</f>
        <v>0</v>
      </c>
      <c r="AV1624" s="88">
        <f t="shared" ref="AV1624" si="937">SUMIF($D1625:$D1706,1,AV1625:AV1706)</f>
        <v>0</v>
      </c>
      <c r="AW1624" s="88">
        <f t="shared" ref="AW1624" si="938">SUMIF($D1625:$D1706,1,AW1625:AW1706)</f>
        <v>0</v>
      </c>
      <c r="AX1624" s="88">
        <f t="shared" ref="AX1624" si="939">SUMIF($D1625:$D1706,1,AX1625:AX1706)</f>
        <v>0</v>
      </c>
      <c r="AY1624" s="88">
        <f t="shared" ref="AY1624" si="940">SUMIF($D1625:$D1706,1,AY1625:AY1706)</f>
        <v>0</v>
      </c>
    </row>
    <row r="1625" spans="1:51" ht="14.25" thickBot="1">
      <c r="A1625">
        <v>20</v>
      </c>
      <c r="B1625" s="120">
        <f>B1623</f>
        <v>0</v>
      </c>
      <c r="C1625" s="120" t="str">
        <f>C1623</f>
        <v/>
      </c>
      <c r="D1625" s="137"/>
      <c r="E1625" s="150" t="str">
        <f>工種!A2</f>
        <v>10102</v>
      </c>
      <c r="F1625" s="119" t="str">
        <f>工種!B2</f>
        <v>SRS：調査・分析・開発計画の準備・実施作業</v>
      </c>
      <c r="G1625" s="116" t="str">
        <f t="shared" si="890"/>
        <v>010102</v>
      </c>
      <c r="H1625" s="88">
        <f t="shared" si="897"/>
        <v>0</v>
      </c>
      <c r="I1625" s="132"/>
      <c r="J1625" s="88">
        <f>SUMIF(月間集計シート!$M$29:$M$48,$G1625,月間集計シート!N$29:N$48)*J$2</f>
        <v>0</v>
      </c>
      <c r="K1625" s="88">
        <f>SUMIF(月間集計シート!$M$29:$M$48,$G1625,月間集計シート!O$29:O$48)*K$2</f>
        <v>0</v>
      </c>
      <c r="L1625" s="88">
        <f>SUMIF(月間集計シート!$M$29:$M$48,$G1625,月間集計シート!P$29:P$48)*L$2</f>
        <v>0</v>
      </c>
      <c r="M1625" s="88">
        <f>SUMIF(月間集計シート!$M$29:$M$48,$G1625,月間集計シート!Q$29:Q$48)*M$2</f>
        <v>0</v>
      </c>
      <c r="N1625" s="88">
        <f>SUMIF(月間集計シート!$M$29:$M$48,$G1625,月間集計シート!R$29:R$48)*N$2</f>
        <v>0</v>
      </c>
      <c r="O1625" s="88">
        <f>SUMIF(月間集計シート!$M$29:$M$48,$G1625,月間集計シート!S$29:S$48)*O$2</f>
        <v>0</v>
      </c>
      <c r="P1625" s="88">
        <f>SUMIF(月間集計シート!$M$29:$M$48,$G1625,月間集計シート!T$29:T$48)*P$2</f>
        <v>0</v>
      </c>
      <c r="Q1625" s="88">
        <f>SUMIF(月間集計シート!$M$50:$M$69,$G1625,月間集計シート!N$50:N$69)*Q$2</f>
        <v>0</v>
      </c>
      <c r="R1625" s="88">
        <f>SUMIF(月間集計シート!$M$50:$M$69,$G1625,月間集計シート!O$50:O$69)*R$2</f>
        <v>0</v>
      </c>
      <c r="S1625" s="88">
        <f>SUMIF(月間集計シート!$M$50:$M$69,$G1625,月間集計シート!P$50:P$69)*S$2</f>
        <v>0</v>
      </c>
      <c r="T1625" s="88">
        <f>SUMIF(月間集計シート!$M$50:$M$69,$G1625,月間集計シート!Q$50:Q$69)*T$2</f>
        <v>0</v>
      </c>
      <c r="U1625" s="88">
        <f>SUMIF(月間集計シート!$M$50:$M$69,$G1625,月間集計シート!R$50:R$69)*U$2</f>
        <v>0</v>
      </c>
      <c r="V1625" s="88">
        <f>SUMIF(月間集計シート!$M$50:$M$69,$G1625,月間集計シート!S$50:S$69)*V$2</f>
        <v>0</v>
      </c>
      <c r="W1625" s="88">
        <f>SUMIF(月間集計シート!$M$50:$M$69,$G1625,月間集計シート!T$50:T$69)*W$2</f>
        <v>0</v>
      </c>
      <c r="X1625" s="88">
        <f>SUMIF(月間集計シート!$M$71:$M$90,$G1625,月間集計シート!N$71:N$90)*X$2</f>
        <v>0</v>
      </c>
      <c r="Y1625" s="88">
        <f>SUMIF(月間集計シート!$M$71:$M$90,$G1625,月間集計シート!O$71:O$90)*Y$2</f>
        <v>0</v>
      </c>
      <c r="Z1625" s="88">
        <f>SUMIF(月間集計シート!$M$71:$M$90,$G1625,月間集計シート!P$71:P$90)*Z$2</f>
        <v>0</v>
      </c>
      <c r="AA1625" s="88">
        <f>SUMIF(月間集計シート!$M$71:$M$90,$G1625,月間集計シート!Q$71:Q$90)*AA$2</f>
        <v>0</v>
      </c>
      <c r="AB1625" s="88">
        <f>SUMIF(月間集計シート!$M$71:$M$90,$G1625,月間集計シート!R$71:R$90)*AB$2</f>
        <v>0</v>
      </c>
      <c r="AC1625" s="88">
        <f>SUMIF(月間集計シート!$M$71:$M$90,$G1625,月間集計シート!S$71:S$90)*AC$2</f>
        <v>0</v>
      </c>
      <c r="AD1625" s="88">
        <f>SUMIF(月間集計シート!$M$71:$M$90,$G1625,月間集計シート!T$71:T$90)*AD$2</f>
        <v>0</v>
      </c>
      <c r="AE1625" s="88">
        <f>SUMIF(月間集計シート!$M$92:$M$111,$G1625,月間集計シート!N$92:N$111)*AE$2</f>
        <v>0</v>
      </c>
      <c r="AF1625" s="88">
        <f>SUMIF(月間集計シート!$M$92:$M$111,$G1625,月間集計シート!O$92:O$111)*AF$2</f>
        <v>0</v>
      </c>
      <c r="AG1625" s="88">
        <f>SUMIF(月間集計シート!$M$92:$M$111,$G1625,月間集計シート!P$92:P$111)*AG$2</f>
        <v>0</v>
      </c>
      <c r="AH1625" s="88">
        <f>SUMIF(月間集計シート!$M$92:$M$111,$G1625,月間集計シート!Q$92:Q$111)*AH$2</f>
        <v>0</v>
      </c>
      <c r="AI1625" s="88">
        <f>SUMIF(月間集計シート!$M$92:$M$111,$G1625,月間集計シート!R$92:R$111)*AI$2</f>
        <v>0</v>
      </c>
      <c r="AJ1625" s="88">
        <f>SUMIF(月間集計シート!$M$92:$M$111,$G1625,月間集計シート!S$92:S$111)*AJ$2</f>
        <v>0</v>
      </c>
      <c r="AK1625" s="88">
        <f>SUMIF(月間集計シート!$M$92:$M$111,$G1625,月間集計シート!T$92:T$111)*AK$2</f>
        <v>0</v>
      </c>
      <c r="AL1625" s="88">
        <f>SUMIF(月間集計シート!$M$113:$M$132,$G1625,月間集計シート!N$113:N$132)*AL$2</f>
        <v>0</v>
      </c>
      <c r="AM1625" s="88">
        <f>SUMIF(月間集計シート!$M$113:$M$132,$G1625,月間集計シート!O$113:O$132)*AM$2</f>
        <v>0</v>
      </c>
      <c r="AN1625" s="88">
        <f>SUMIF(月間集計シート!$M$113:$M$132,$G1625,月間集計シート!P$113:P$132)*AN$2</f>
        <v>0</v>
      </c>
      <c r="AO1625" s="88">
        <f>SUMIF(月間集計シート!$M$113:$M$132,$G1625,月間集計シート!Q$113:Q$132)*AO$2</f>
        <v>0</v>
      </c>
      <c r="AP1625" s="88">
        <f>SUMIF(月間集計シート!$M$113:$M$132,$G1625,月間集計シート!R$113:R$132)*AP$2</f>
        <v>0</v>
      </c>
      <c r="AQ1625" s="88">
        <f>SUMIF(月間集計シート!$M$113:$M$132,$G1625,月間集計シート!S$113:S$132)*AQ$2</f>
        <v>0</v>
      </c>
      <c r="AR1625" s="88">
        <f>SUMIF(月間集計シート!$M$113:$M$132,$G1625,月間集計シート!T$113:T$132)*AR$2</f>
        <v>0</v>
      </c>
      <c r="AS1625" s="88">
        <f>SUMIF(月間集計シート!$M$134:$M$153,$G1625,月間集計シート!N$134:N$153)*AS$2</f>
        <v>0</v>
      </c>
      <c r="AT1625" s="88">
        <f>SUMIF(月間集計シート!$M$134:$M$153,$G1625,月間集計シート!O$134:O$153)*AT$2</f>
        <v>0</v>
      </c>
      <c r="AU1625" s="88">
        <f>SUMIF(月間集計シート!$M$134:$M$153,$G1625,月間集計シート!P$134:P$153)*AU$2</f>
        <v>0</v>
      </c>
      <c r="AV1625" s="88">
        <f>SUMIF(月間集計シート!$M$134:$M$153,$G1625,月間集計シート!Q$134:Q$153)*AV$2</f>
        <v>0</v>
      </c>
      <c r="AW1625" s="88">
        <f>SUMIF(月間集計シート!$M$134:$M$153,$G1625,月間集計シート!R$134:R$153)*AW$2</f>
        <v>0</v>
      </c>
      <c r="AX1625" s="88">
        <f>SUMIF(月間集計シート!$M$134:$M$153,$G1625,月間集計シート!S$134:S$153)*AX$2</f>
        <v>0</v>
      </c>
      <c r="AY1625" s="88">
        <f>SUMIF(月間集計シート!$M$134:$M$153,$G1625,月間集計シート!T$134:T$153)*AY$2</f>
        <v>0</v>
      </c>
    </row>
    <row r="1626" spans="1:51" ht="14.25" thickBot="1">
      <c r="A1626">
        <v>20</v>
      </c>
      <c r="B1626" s="120">
        <f t="shared" ref="B1626:B1689" si="941">B1625</f>
        <v>0</v>
      </c>
      <c r="C1626" s="120" t="str">
        <f t="shared" ref="C1626:C1689" si="942">C1625</f>
        <v/>
      </c>
      <c r="D1626" s="137"/>
      <c r="E1626" s="150" t="str">
        <f>工種!A3</f>
        <v>10103</v>
      </c>
      <c r="F1626" s="119" t="str">
        <f>工種!B3</f>
        <v>SRS：企画書・計画書・報告書等資料作成・修正</v>
      </c>
      <c r="G1626" s="116" t="str">
        <f t="shared" si="890"/>
        <v>010103</v>
      </c>
      <c r="H1626" s="88">
        <f t="shared" si="897"/>
        <v>0</v>
      </c>
      <c r="I1626" s="132"/>
      <c r="J1626" s="88">
        <f>SUMIF(月間集計シート!$M$29:$M$48,$G1626,月間集計シート!N$29:N$48)*J$2</f>
        <v>0</v>
      </c>
      <c r="K1626" s="88">
        <f>SUMIF(月間集計シート!$M$29:$M$48,$G1626,月間集計シート!O$29:O$48)*K$2</f>
        <v>0</v>
      </c>
      <c r="L1626" s="88">
        <f>SUMIF(月間集計シート!$M$29:$M$48,$G1626,月間集計シート!P$29:P$48)*L$2</f>
        <v>0</v>
      </c>
      <c r="M1626" s="88">
        <f>SUMIF(月間集計シート!$M$29:$M$48,$G1626,月間集計シート!Q$29:Q$48)*M$2</f>
        <v>0</v>
      </c>
      <c r="N1626" s="88">
        <f>SUMIF(月間集計シート!$M$29:$M$48,$G1626,月間集計シート!R$29:R$48)*N$2</f>
        <v>0</v>
      </c>
      <c r="O1626" s="88">
        <f>SUMIF(月間集計シート!$M$29:$M$48,$G1626,月間集計シート!S$29:S$48)*O$2</f>
        <v>0</v>
      </c>
      <c r="P1626" s="88">
        <f>SUMIF(月間集計シート!$M$29:$M$48,$G1626,月間集計シート!T$29:T$48)*P$2</f>
        <v>0</v>
      </c>
      <c r="Q1626" s="88">
        <f>SUMIF(月間集計シート!$M$50:$M$69,$G1626,月間集計シート!N$50:N$69)*Q$2</f>
        <v>0</v>
      </c>
      <c r="R1626" s="88">
        <f>SUMIF(月間集計シート!$M$50:$M$69,$G1626,月間集計シート!O$50:O$69)*R$2</f>
        <v>0</v>
      </c>
      <c r="S1626" s="88">
        <f>SUMIF(月間集計シート!$M$50:$M$69,$G1626,月間集計シート!P$50:P$69)*S$2</f>
        <v>0</v>
      </c>
      <c r="T1626" s="88">
        <f>SUMIF(月間集計シート!$M$50:$M$69,$G1626,月間集計シート!Q$50:Q$69)*T$2</f>
        <v>0</v>
      </c>
      <c r="U1626" s="88">
        <f>SUMIF(月間集計シート!$M$50:$M$69,$G1626,月間集計シート!R$50:R$69)*U$2</f>
        <v>0</v>
      </c>
      <c r="V1626" s="88">
        <f>SUMIF(月間集計シート!$M$50:$M$69,$G1626,月間集計シート!S$50:S$69)*V$2</f>
        <v>0</v>
      </c>
      <c r="W1626" s="88">
        <f>SUMIF(月間集計シート!$M$50:$M$69,$G1626,月間集計シート!T$50:T$69)*W$2</f>
        <v>0</v>
      </c>
      <c r="X1626" s="88">
        <f>SUMIF(月間集計シート!$M$71:$M$90,$G1626,月間集計シート!N$71:N$90)*X$2</f>
        <v>0</v>
      </c>
      <c r="Y1626" s="88">
        <f>SUMIF(月間集計シート!$M$71:$M$90,$G1626,月間集計シート!O$71:O$90)*Y$2</f>
        <v>0</v>
      </c>
      <c r="Z1626" s="88">
        <f>SUMIF(月間集計シート!$M$71:$M$90,$G1626,月間集計シート!P$71:P$90)*Z$2</f>
        <v>0</v>
      </c>
      <c r="AA1626" s="88">
        <f>SUMIF(月間集計シート!$M$71:$M$90,$G1626,月間集計シート!Q$71:Q$90)*AA$2</f>
        <v>0</v>
      </c>
      <c r="AB1626" s="88">
        <f>SUMIF(月間集計シート!$M$71:$M$90,$G1626,月間集計シート!R$71:R$90)*AB$2</f>
        <v>0</v>
      </c>
      <c r="AC1626" s="88">
        <f>SUMIF(月間集計シート!$M$71:$M$90,$G1626,月間集計シート!S$71:S$90)*AC$2</f>
        <v>0</v>
      </c>
      <c r="AD1626" s="88">
        <f>SUMIF(月間集計シート!$M$71:$M$90,$G1626,月間集計シート!T$71:T$90)*AD$2</f>
        <v>0</v>
      </c>
      <c r="AE1626" s="88">
        <f>SUMIF(月間集計シート!$M$92:$M$111,$G1626,月間集計シート!N$92:N$111)*AE$2</f>
        <v>0</v>
      </c>
      <c r="AF1626" s="88">
        <f>SUMIF(月間集計シート!$M$92:$M$111,$G1626,月間集計シート!O$92:O$111)*AF$2</f>
        <v>0</v>
      </c>
      <c r="AG1626" s="88">
        <f>SUMIF(月間集計シート!$M$92:$M$111,$G1626,月間集計シート!P$92:P$111)*AG$2</f>
        <v>0</v>
      </c>
      <c r="AH1626" s="88">
        <f>SUMIF(月間集計シート!$M$92:$M$111,$G1626,月間集計シート!Q$92:Q$111)*AH$2</f>
        <v>0</v>
      </c>
      <c r="AI1626" s="88">
        <f>SUMIF(月間集計シート!$M$92:$M$111,$G1626,月間集計シート!R$92:R$111)*AI$2</f>
        <v>0</v>
      </c>
      <c r="AJ1626" s="88">
        <f>SUMIF(月間集計シート!$M$92:$M$111,$G1626,月間集計シート!S$92:S$111)*AJ$2</f>
        <v>0</v>
      </c>
      <c r="AK1626" s="88">
        <f>SUMIF(月間集計シート!$M$92:$M$111,$G1626,月間集計シート!T$92:T$111)*AK$2</f>
        <v>0</v>
      </c>
      <c r="AL1626" s="88">
        <f>SUMIF(月間集計シート!$M$113:$M$132,$G1626,月間集計シート!N$113:N$132)*AL$2</f>
        <v>0</v>
      </c>
      <c r="AM1626" s="88">
        <f>SUMIF(月間集計シート!$M$113:$M$132,$G1626,月間集計シート!O$113:O$132)*AM$2</f>
        <v>0</v>
      </c>
      <c r="AN1626" s="88">
        <f>SUMIF(月間集計シート!$M$113:$M$132,$G1626,月間集計シート!P$113:P$132)*AN$2</f>
        <v>0</v>
      </c>
      <c r="AO1626" s="88">
        <f>SUMIF(月間集計シート!$M$113:$M$132,$G1626,月間集計シート!Q$113:Q$132)*AO$2</f>
        <v>0</v>
      </c>
      <c r="AP1626" s="88">
        <f>SUMIF(月間集計シート!$M$113:$M$132,$G1626,月間集計シート!R$113:R$132)*AP$2</f>
        <v>0</v>
      </c>
      <c r="AQ1626" s="88">
        <f>SUMIF(月間集計シート!$M$113:$M$132,$G1626,月間集計シート!S$113:S$132)*AQ$2</f>
        <v>0</v>
      </c>
      <c r="AR1626" s="88">
        <f>SUMIF(月間集計シート!$M$113:$M$132,$G1626,月間集計シート!T$113:T$132)*AR$2</f>
        <v>0</v>
      </c>
      <c r="AS1626" s="88">
        <f>SUMIF(月間集計シート!$M$134:$M$153,$G1626,月間集計シート!N$134:N$153)*AS$2</f>
        <v>0</v>
      </c>
      <c r="AT1626" s="88">
        <f>SUMIF(月間集計シート!$M$134:$M$153,$G1626,月間集計シート!O$134:O$153)*AT$2</f>
        <v>0</v>
      </c>
      <c r="AU1626" s="88">
        <f>SUMIF(月間集計シート!$M$134:$M$153,$G1626,月間集計シート!P$134:P$153)*AU$2</f>
        <v>0</v>
      </c>
      <c r="AV1626" s="88">
        <f>SUMIF(月間集計シート!$M$134:$M$153,$G1626,月間集計シート!Q$134:Q$153)*AV$2</f>
        <v>0</v>
      </c>
      <c r="AW1626" s="88">
        <f>SUMIF(月間集計シート!$M$134:$M$153,$G1626,月間集計シート!R$134:R$153)*AW$2</f>
        <v>0</v>
      </c>
      <c r="AX1626" s="88">
        <f>SUMIF(月間集計シート!$M$134:$M$153,$G1626,月間集計シート!S$134:S$153)*AX$2</f>
        <v>0</v>
      </c>
      <c r="AY1626" s="88">
        <f>SUMIF(月間集計シート!$M$134:$M$153,$G1626,月間集計シート!T$134:T$153)*AY$2</f>
        <v>0</v>
      </c>
    </row>
    <row r="1627" spans="1:51" ht="14.25" thickBot="1">
      <c r="A1627">
        <v>20</v>
      </c>
      <c r="B1627" s="120">
        <f t="shared" si="941"/>
        <v>0</v>
      </c>
      <c r="C1627" s="120" t="str">
        <f t="shared" si="942"/>
        <v/>
      </c>
      <c r="D1627" s="137"/>
      <c r="E1627" s="150" t="str">
        <f>工種!A4</f>
        <v>10104</v>
      </c>
      <c r="F1627" s="119" t="str">
        <f>工種!B4</f>
        <v>SRS：打合せ</v>
      </c>
      <c r="G1627" s="116" t="str">
        <f t="shared" si="890"/>
        <v>010104</v>
      </c>
      <c r="H1627" s="88">
        <f t="shared" si="897"/>
        <v>0</v>
      </c>
      <c r="I1627" s="132"/>
      <c r="J1627" s="88">
        <f>SUMIF(月間集計シート!$M$29:$M$48,$G1627,月間集計シート!N$29:N$48)*J$2</f>
        <v>0</v>
      </c>
      <c r="K1627" s="88">
        <f>SUMIF(月間集計シート!$M$29:$M$48,$G1627,月間集計シート!O$29:O$48)*K$2</f>
        <v>0</v>
      </c>
      <c r="L1627" s="88">
        <f>SUMIF(月間集計シート!$M$29:$M$48,$G1627,月間集計シート!P$29:P$48)*L$2</f>
        <v>0</v>
      </c>
      <c r="M1627" s="88">
        <f>SUMIF(月間集計シート!$M$29:$M$48,$G1627,月間集計シート!Q$29:Q$48)*M$2</f>
        <v>0</v>
      </c>
      <c r="N1627" s="88">
        <f>SUMIF(月間集計シート!$M$29:$M$48,$G1627,月間集計シート!R$29:R$48)*N$2</f>
        <v>0</v>
      </c>
      <c r="O1627" s="88">
        <f>SUMIF(月間集計シート!$M$29:$M$48,$G1627,月間集計シート!S$29:S$48)*O$2</f>
        <v>0</v>
      </c>
      <c r="P1627" s="88">
        <f>SUMIF(月間集計シート!$M$29:$M$48,$G1627,月間集計シート!T$29:T$48)*P$2</f>
        <v>0</v>
      </c>
      <c r="Q1627" s="88">
        <f>SUMIF(月間集計シート!$M$50:$M$69,$G1627,月間集計シート!N$50:N$69)*Q$2</f>
        <v>0</v>
      </c>
      <c r="R1627" s="88">
        <f>SUMIF(月間集計シート!$M$50:$M$69,$G1627,月間集計シート!O$50:O$69)*R$2</f>
        <v>0</v>
      </c>
      <c r="S1627" s="88">
        <f>SUMIF(月間集計シート!$M$50:$M$69,$G1627,月間集計シート!P$50:P$69)*S$2</f>
        <v>0</v>
      </c>
      <c r="T1627" s="88">
        <f>SUMIF(月間集計シート!$M$50:$M$69,$G1627,月間集計シート!Q$50:Q$69)*T$2</f>
        <v>0</v>
      </c>
      <c r="U1627" s="88">
        <f>SUMIF(月間集計シート!$M$50:$M$69,$G1627,月間集計シート!R$50:R$69)*U$2</f>
        <v>0</v>
      </c>
      <c r="V1627" s="88">
        <f>SUMIF(月間集計シート!$M$50:$M$69,$G1627,月間集計シート!S$50:S$69)*V$2</f>
        <v>0</v>
      </c>
      <c r="W1627" s="88">
        <f>SUMIF(月間集計シート!$M$50:$M$69,$G1627,月間集計シート!T$50:T$69)*W$2</f>
        <v>0</v>
      </c>
      <c r="X1627" s="88">
        <f>SUMIF(月間集計シート!$M$71:$M$90,$G1627,月間集計シート!N$71:N$90)*X$2</f>
        <v>0</v>
      </c>
      <c r="Y1627" s="88">
        <f>SUMIF(月間集計シート!$M$71:$M$90,$G1627,月間集計シート!O$71:O$90)*Y$2</f>
        <v>0</v>
      </c>
      <c r="Z1627" s="88">
        <f>SUMIF(月間集計シート!$M$71:$M$90,$G1627,月間集計シート!P$71:P$90)*Z$2</f>
        <v>0</v>
      </c>
      <c r="AA1627" s="88">
        <f>SUMIF(月間集計シート!$M$71:$M$90,$G1627,月間集計シート!Q$71:Q$90)*AA$2</f>
        <v>0</v>
      </c>
      <c r="AB1627" s="88">
        <f>SUMIF(月間集計シート!$M$71:$M$90,$G1627,月間集計シート!R$71:R$90)*AB$2</f>
        <v>0</v>
      </c>
      <c r="AC1627" s="88">
        <f>SUMIF(月間集計シート!$M$71:$M$90,$G1627,月間集計シート!S$71:S$90)*AC$2</f>
        <v>0</v>
      </c>
      <c r="AD1627" s="88">
        <f>SUMIF(月間集計シート!$M$71:$M$90,$G1627,月間集計シート!T$71:T$90)*AD$2</f>
        <v>0</v>
      </c>
      <c r="AE1627" s="88">
        <f>SUMIF(月間集計シート!$M$92:$M$111,$G1627,月間集計シート!N$92:N$111)*AE$2</f>
        <v>0</v>
      </c>
      <c r="AF1627" s="88">
        <f>SUMIF(月間集計シート!$M$92:$M$111,$G1627,月間集計シート!O$92:O$111)*AF$2</f>
        <v>0</v>
      </c>
      <c r="AG1627" s="88">
        <f>SUMIF(月間集計シート!$M$92:$M$111,$G1627,月間集計シート!P$92:P$111)*AG$2</f>
        <v>0</v>
      </c>
      <c r="AH1627" s="88">
        <f>SUMIF(月間集計シート!$M$92:$M$111,$G1627,月間集計シート!Q$92:Q$111)*AH$2</f>
        <v>0</v>
      </c>
      <c r="AI1627" s="88">
        <f>SUMIF(月間集計シート!$M$92:$M$111,$G1627,月間集計シート!R$92:R$111)*AI$2</f>
        <v>0</v>
      </c>
      <c r="AJ1627" s="88">
        <f>SUMIF(月間集計シート!$M$92:$M$111,$G1627,月間集計シート!S$92:S$111)*AJ$2</f>
        <v>0</v>
      </c>
      <c r="AK1627" s="88">
        <f>SUMIF(月間集計シート!$M$92:$M$111,$G1627,月間集計シート!T$92:T$111)*AK$2</f>
        <v>0</v>
      </c>
      <c r="AL1627" s="88">
        <f>SUMIF(月間集計シート!$M$113:$M$132,$G1627,月間集計シート!N$113:N$132)*AL$2</f>
        <v>0</v>
      </c>
      <c r="AM1627" s="88">
        <f>SUMIF(月間集計シート!$M$113:$M$132,$G1627,月間集計シート!O$113:O$132)*AM$2</f>
        <v>0</v>
      </c>
      <c r="AN1627" s="88">
        <f>SUMIF(月間集計シート!$M$113:$M$132,$G1627,月間集計シート!P$113:P$132)*AN$2</f>
        <v>0</v>
      </c>
      <c r="AO1627" s="88">
        <f>SUMIF(月間集計シート!$M$113:$M$132,$G1627,月間集計シート!Q$113:Q$132)*AO$2</f>
        <v>0</v>
      </c>
      <c r="AP1627" s="88">
        <f>SUMIF(月間集計シート!$M$113:$M$132,$G1627,月間集計シート!R$113:R$132)*AP$2</f>
        <v>0</v>
      </c>
      <c r="AQ1627" s="88">
        <f>SUMIF(月間集計シート!$M$113:$M$132,$G1627,月間集計シート!S$113:S$132)*AQ$2</f>
        <v>0</v>
      </c>
      <c r="AR1627" s="88">
        <f>SUMIF(月間集計シート!$M$113:$M$132,$G1627,月間集計シート!T$113:T$132)*AR$2</f>
        <v>0</v>
      </c>
      <c r="AS1627" s="88">
        <f>SUMIF(月間集計シート!$M$134:$M$153,$G1627,月間集計シート!N$134:N$153)*AS$2</f>
        <v>0</v>
      </c>
      <c r="AT1627" s="88">
        <f>SUMIF(月間集計シート!$M$134:$M$153,$G1627,月間集計シート!O$134:O$153)*AT$2</f>
        <v>0</v>
      </c>
      <c r="AU1627" s="88">
        <f>SUMIF(月間集計シート!$M$134:$M$153,$G1627,月間集計シート!P$134:P$153)*AU$2</f>
        <v>0</v>
      </c>
      <c r="AV1627" s="88">
        <f>SUMIF(月間集計シート!$M$134:$M$153,$G1627,月間集計シート!Q$134:Q$153)*AV$2</f>
        <v>0</v>
      </c>
      <c r="AW1627" s="88">
        <f>SUMIF(月間集計シート!$M$134:$M$153,$G1627,月間集計シート!R$134:R$153)*AW$2</f>
        <v>0</v>
      </c>
      <c r="AX1627" s="88">
        <f>SUMIF(月間集計シート!$M$134:$M$153,$G1627,月間集計シート!S$134:S$153)*AX$2</f>
        <v>0</v>
      </c>
      <c r="AY1627" s="88">
        <f>SUMIF(月間集計シート!$M$134:$M$153,$G1627,月間集計シート!T$134:T$153)*AY$2</f>
        <v>0</v>
      </c>
    </row>
    <row r="1628" spans="1:51" ht="14.25" thickBot="1">
      <c r="A1628">
        <v>20</v>
      </c>
      <c r="B1628" s="120">
        <f t="shared" si="941"/>
        <v>0</v>
      </c>
      <c r="C1628" s="120" t="str">
        <f t="shared" si="942"/>
        <v/>
      </c>
      <c r="D1628" s="137"/>
      <c r="E1628" s="150" t="str">
        <f>工種!A5</f>
        <v>10105</v>
      </c>
      <c r="F1628" s="119" t="str">
        <f>工種!B5</f>
        <v>SRS：レビュー</v>
      </c>
      <c r="G1628" s="116" t="str">
        <f t="shared" si="890"/>
        <v>010105</v>
      </c>
      <c r="H1628" s="88">
        <f t="shared" si="897"/>
        <v>0</v>
      </c>
      <c r="I1628" s="132"/>
      <c r="J1628" s="88">
        <f>SUMIF(月間集計シート!$M$29:$M$48,$G1628,月間集計シート!N$29:N$48)*J$2</f>
        <v>0</v>
      </c>
      <c r="K1628" s="88">
        <f>SUMIF(月間集計シート!$M$29:$M$48,$G1628,月間集計シート!O$29:O$48)*K$2</f>
        <v>0</v>
      </c>
      <c r="L1628" s="88">
        <f>SUMIF(月間集計シート!$M$29:$M$48,$G1628,月間集計シート!P$29:P$48)*L$2</f>
        <v>0</v>
      </c>
      <c r="M1628" s="88">
        <f>SUMIF(月間集計シート!$M$29:$M$48,$G1628,月間集計シート!Q$29:Q$48)*M$2</f>
        <v>0</v>
      </c>
      <c r="N1628" s="88">
        <f>SUMIF(月間集計シート!$M$29:$M$48,$G1628,月間集計シート!R$29:R$48)*N$2</f>
        <v>0</v>
      </c>
      <c r="O1628" s="88">
        <f>SUMIF(月間集計シート!$M$29:$M$48,$G1628,月間集計シート!S$29:S$48)*O$2</f>
        <v>0</v>
      </c>
      <c r="P1628" s="88">
        <f>SUMIF(月間集計シート!$M$29:$M$48,$G1628,月間集計シート!T$29:T$48)*P$2</f>
        <v>0</v>
      </c>
      <c r="Q1628" s="88">
        <f>SUMIF(月間集計シート!$M$50:$M$69,$G1628,月間集計シート!N$50:N$69)*Q$2</f>
        <v>0</v>
      </c>
      <c r="R1628" s="88">
        <f>SUMIF(月間集計シート!$M$50:$M$69,$G1628,月間集計シート!O$50:O$69)*R$2</f>
        <v>0</v>
      </c>
      <c r="S1628" s="88">
        <f>SUMIF(月間集計シート!$M$50:$M$69,$G1628,月間集計シート!P$50:P$69)*S$2</f>
        <v>0</v>
      </c>
      <c r="T1628" s="88">
        <f>SUMIF(月間集計シート!$M$50:$M$69,$G1628,月間集計シート!Q$50:Q$69)*T$2</f>
        <v>0</v>
      </c>
      <c r="U1628" s="88">
        <f>SUMIF(月間集計シート!$M$50:$M$69,$G1628,月間集計シート!R$50:R$69)*U$2</f>
        <v>0</v>
      </c>
      <c r="V1628" s="88">
        <f>SUMIF(月間集計シート!$M$50:$M$69,$G1628,月間集計シート!S$50:S$69)*V$2</f>
        <v>0</v>
      </c>
      <c r="W1628" s="88">
        <f>SUMIF(月間集計シート!$M$50:$M$69,$G1628,月間集計シート!T$50:T$69)*W$2</f>
        <v>0</v>
      </c>
      <c r="X1628" s="88">
        <f>SUMIF(月間集計シート!$M$71:$M$90,$G1628,月間集計シート!N$71:N$90)*X$2</f>
        <v>0</v>
      </c>
      <c r="Y1628" s="88">
        <f>SUMIF(月間集計シート!$M$71:$M$90,$G1628,月間集計シート!O$71:O$90)*Y$2</f>
        <v>0</v>
      </c>
      <c r="Z1628" s="88">
        <f>SUMIF(月間集計シート!$M$71:$M$90,$G1628,月間集計シート!P$71:P$90)*Z$2</f>
        <v>0</v>
      </c>
      <c r="AA1628" s="88">
        <f>SUMIF(月間集計シート!$M$71:$M$90,$G1628,月間集計シート!Q$71:Q$90)*AA$2</f>
        <v>0</v>
      </c>
      <c r="AB1628" s="88">
        <f>SUMIF(月間集計シート!$M$71:$M$90,$G1628,月間集計シート!R$71:R$90)*AB$2</f>
        <v>0</v>
      </c>
      <c r="AC1628" s="88">
        <f>SUMIF(月間集計シート!$M$71:$M$90,$G1628,月間集計シート!S$71:S$90)*AC$2</f>
        <v>0</v>
      </c>
      <c r="AD1628" s="88">
        <f>SUMIF(月間集計シート!$M$71:$M$90,$G1628,月間集計シート!T$71:T$90)*AD$2</f>
        <v>0</v>
      </c>
      <c r="AE1628" s="88">
        <f>SUMIF(月間集計シート!$M$92:$M$111,$G1628,月間集計シート!N$92:N$111)*AE$2</f>
        <v>0</v>
      </c>
      <c r="AF1628" s="88">
        <f>SUMIF(月間集計シート!$M$92:$M$111,$G1628,月間集計シート!O$92:O$111)*AF$2</f>
        <v>0</v>
      </c>
      <c r="AG1628" s="88">
        <f>SUMIF(月間集計シート!$M$92:$M$111,$G1628,月間集計シート!P$92:P$111)*AG$2</f>
        <v>0</v>
      </c>
      <c r="AH1628" s="88">
        <f>SUMIF(月間集計シート!$M$92:$M$111,$G1628,月間集計シート!Q$92:Q$111)*AH$2</f>
        <v>0</v>
      </c>
      <c r="AI1628" s="88">
        <f>SUMIF(月間集計シート!$M$92:$M$111,$G1628,月間集計シート!R$92:R$111)*AI$2</f>
        <v>0</v>
      </c>
      <c r="AJ1628" s="88">
        <f>SUMIF(月間集計シート!$M$92:$M$111,$G1628,月間集計シート!S$92:S$111)*AJ$2</f>
        <v>0</v>
      </c>
      <c r="AK1628" s="88">
        <f>SUMIF(月間集計シート!$M$92:$M$111,$G1628,月間集計シート!T$92:T$111)*AK$2</f>
        <v>0</v>
      </c>
      <c r="AL1628" s="88">
        <f>SUMIF(月間集計シート!$M$113:$M$132,$G1628,月間集計シート!N$113:N$132)*AL$2</f>
        <v>0</v>
      </c>
      <c r="AM1628" s="88">
        <f>SUMIF(月間集計シート!$M$113:$M$132,$G1628,月間集計シート!O$113:O$132)*AM$2</f>
        <v>0</v>
      </c>
      <c r="AN1628" s="88">
        <f>SUMIF(月間集計シート!$M$113:$M$132,$G1628,月間集計シート!P$113:P$132)*AN$2</f>
        <v>0</v>
      </c>
      <c r="AO1628" s="88">
        <f>SUMIF(月間集計シート!$M$113:$M$132,$G1628,月間集計シート!Q$113:Q$132)*AO$2</f>
        <v>0</v>
      </c>
      <c r="AP1628" s="88">
        <f>SUMIF(月間集計シート!$M$113:$M$132,$G1628,月間集計シート!R$113:R$132)*AP$2</f>
        <v>0</v>
      </c>
      <c r="AQ1628" s="88">
        <f>SUMIF(月間集計シート!$M$113:$M$132,$G1628,月間集計シート!S$113:S$132)*AQ$2</f>
        <v>0</v>
      </c>
      <c r="AR1628" s="88">
        <f>SUMIF(月間集計シート!$M$113:$M$132,$G1628,月間集計シート!T$113:T$132)*AR$2</f>
        <v>0</v>
      </c>
      <c r="AS1628" s="88">
        <f>SUMIF(月間集計シート!$M$134:$M$153,$G1628,月間集計シート!N$134:N$153)*AS$2</f>
        <v>0</v>
      </c>
      <c r="AT1628" s="88">
        <f>SUMIF(月間集計シート!$M$134:$M$153,$G1628,月間集計シート!O$134:O$153)*AT$2</f>
        <v>0</v>
      </c>
      <c r="AU1628" s="88">
        <f>SUMIF(月間集計シート!$M$134:$M$153,$G1628,月間集計シート!P$134:P$153)*AU$2</f>
        <v>0</v>
      </c>
      <c r="AV1628" s="88">
        <f>SUMIF(月間集計シート!$M$134:$M$153,$G1628,月間集計シート!Q$134:Q$153)*AV$2</f>
        <v>0</v>
      </c>
      <c r="AW1628" s="88">
        <f>SUMIF(月間集計シート!$M$134:$M$153,$G1628,月間集計シート!R$134:R$153)*AW$2</f>
        <v>0</v>
      </c>
      <c r="AX1628" s="88">
        <f>SUMIF(月間集計シート!$M$134:$M$153,$G1628,月間集計シート!S$134:S$153)*AX$2</f>
        <v>0</v>
      </c>
      <c r="AY1628" s="88">
        <f>SUMIF(月間集計シート!$M$134:$M$153,$G1628,月間集計シート!T$134:T$153)*AY$2</f>
        <v>0</v>
      </c>
    </row>
    <row r="1629" spans="1:51" ht="14.25" thickBot="1">
      <c r="A1629">
        <v>20</v>
      </c>
      <c r="B1629" s="120">
        <f t="shared" si="941"/>
        <v>0</v>
      </c>
      <c r="C1629" s="120" t="str">
        <f t="shared" si="942"/>
        <v/>
      </c>
      <c r="D1629" s="137"/>
      <c r="E1629" s="150" t="str">
        <f>工種!A6</f>
        <v>10199</v>
      </c>
      <c r="F1629" s="119" t="str">
        <f>工種!B6</f>
        <v>SRS：その他</v>
      </c>
      <c r="G1629" s="116" t="str">
        <f t="shared" si="890"/>
        <v>010199</v>
      </c>
      <c r="H1629" s="88">
        <f t="shared" si="897"/>
        <v>0</v>
      </c>
      <c r="I1629" s="132"/>
      <c r="J1629" s="88">
        <f>SUMIF(月間集計シート!$M$29:$M$48,$G1629,月間集計シート!N$29:N$48)*J$2</f>
        <v>0</v>
      </c>
      <c r="K1629" s="88">
        <f>SUMIF(月間集計シート!$M$29:$M$48,$G1629,月間集計シート!O$29:O$48)*K$2</f>
        <v>0</v>
      </c>
      <c r="L1629" s="88">
        <f>SUMIF(月間集計シート!$M$29:$M$48,$G1629,月間集計シート!P$29:P$48)*L$2</f>
        <v>0</v>
      </c>
      <c r="M1629" s="88">
        <f>SUMIF(月間集計シート!$M$29:$M$48,$G1629,月間集計シート!Q$29:Q$48)*M$2</f>
        <v>0</v>
      </c>
      <c r="N1629" s="88">
        <f>SUMIF(月間集計シート!$M$29:$M$48,$G1629,月間集計シート!R$29:R$48)*N$2</f>
        <v>0</v>
      </c>
      <c r="O1629" s="88">
        <f>SUMIF(月間集計シート!$M$29:$M$48,$G1629,月間集計シート!S$29:S$48)*O$2</f>
        <v>0</v>
      </c>
      <c r="P1629" s="88">
        <f>SUMIF(月間集計シート!$M$29:$M$48,$G1629,月間集計シート!T$29:T$48)*P$2</f>
        <v>0</v>
      </c>
      <c r="Q1629" s="88">
        <f>SUMIF(月間集計シート!$M$50:$M$69,$G1629,月間集計シート!N$50:N$69)*Q$2</f>
        <v>0</v>
      </c>
      <c r="R1629" s="88">
        <f>SUMIF(月間集計シート!$M$50:$M$69,$G1629,月間集計シート!O$50:O$69)*R$2</f>
        <v>0</v>
      </c>
      <c r="S1629" s="88">
        <f>SUMIF(月間集計シート!$M$50:$M$69,$G1629,月間集計シート!P$50:P$69)*S$2</f>
        <v>0</v>
      </c>
      <c r="T1629" s="88">
        <f>SUMIF(月間集計シート!$M$50:$M$69,$G1629,月間集計シート!Q$50:Q$69)*T$2</f>
        <v>0</v>
      </c>
      <c r="U1629" s="88">
        <f>SUMIF(月間集計シート!$M$50:$M$69,$G1629,月間集計シート!R$50:R$69)*U$2</f>
        <v>0</v>
      </c>
      <c r="V1629" s="88">
        <f>SUMIF(月間集計シート!$M$50:$M$69,$G1629,月間集計シート!S$50:S$69)*V$2</f>
        <v>0</v>
      </c>
      <c r="W1629" s="88">
        <f>SUMIF(月間集計シート!$M$50:$M$69,$G1629,月間集計シート!T$50:T$69)*W$2</f>
        <v>0</v>
      </c>
      <c r="X1629" s="88">
        <f>SUMIF(月間集計シート!$M$71:$M$90,$G1629,月間集計シート!N$71:N$90)*X$2</f>
        <v>0</v>
      </c>
      <c r="Y1629" s="88">
        <f>SUMIF(月間集計シート!$M$71:$M$90,$G1629,月間集計シート!O$71:O$90)*Y$2</f>
        <v>0</v>
      </c>
      <c r="Z1629" s="88">
        <f>SUMIF(月間集計シート!$M$71:$M$90,$G1629,月間集計シート!P$71:P$90)*Z$2</f>
        <v>0</v>
      </c>
      <c r="AA1629" s="88">
        <f>SUMIF(月間集計シート!$M$71:$M$90,$G1629,月間集計シート!Q$71:Q$90)*AA$2</f>
        <v>0</v>
      </c>
      <c r="AB1629" s="88">
        <f>SUMIF(月間集計シート!$M$71:$M$90,$G1629,月間集計シート!R$71:R$90)*AB$2</f>
        <v>0</v>
      </c>
      <c r="AC1629" s="88">
        <f>SUMIF(月間集計シート!$M$71:$M$90,$G1629,月間集計シート!S$71:S$90)*AC$2</f>
        <v>0</v>
      </c>
      <c r="AD1629" s="88">
        <f>SUMIF(月間集計シート!$M$71:$M$90,$G1629,月間集計シート!T$71:T$90)*AD$2</f>
        <v>0</v>
      </c>
      <c r="AE1629" s="88">
        <f>SUMIF(月間集計シート!$M$92:$M$111,$G1629,月間集計シート!N$92:N$111)*AE$2</f>
        <v>0</v>
      </c>
      <c r="AF1629" s="88">
        <f>SUMIF(月間集計シート!$M$92:$M$111,$G1629,月間集計シート!O$92:O$111)*AF$2</f>
        <v>0</v>
      </c>
      <c r="AG1629" s="88">
        <f>SUMIF(月間集計シート!$M$92:$M$111,$G1629,月間集計シート!P$92:P$111)*AG$2</f>
        <v>0</v>
      </c>
      <c r="AH1629" s="88">
        <f>SUMIF(月間集計シート!$M$92:$M$111,$G1629,月間集計シート!Q$92:Q$111)*AH$2</f>
        <v>0</v>
      </c>
      <c r="AI1629" s="88">
        <f>SUMIF(月間集計シート!$M$92:$M$111,$G1629,月間集計シート!R$92:R$111)*AI$2</f>
        <v>0</v>
      </c>
      <c r="AJ1629" s="88">
        <f>SUMIF(月間集計シート!$M$92:$M$111,$G1629,月間集計シート!S$92:S$111)*AJ$2</f>
        <v>0</v>
      </c>
      <c r="AK1629" s="88">
        <f>SUMIF(月間集計シート!$M$92:$M$111,$G1629,月間集計シート!T$92:T$111)*AK$2</f>
        <v>0</v>
      </c>
      <c r="AL1629" s="88">
        <f>SUMIF(月間集計シート!$M$113:$M$132,$G1629,月間集計シート!N$113:N$132)*AL$2</f>
        <v>0</v>
      </c>
      <c r="AM1629" s="88">
        <f>SUMIF(月間集計シート!$M$113:$M$132,$G1629,月間集計シート!O$113:O$132)*AM$2</f>
        <v>0</v>
      </c>
      <c r="AN1629" s="88">
        <f>SUMIF(月間集計シート!$M$113:$M$132,$G1629,月間集計シート!P$113:P$132)*AN$2</f>
        <v>0</v>
      </c>
      <c r="AO1629" s="88">
        <f>SUMIF(月間集計シート!$M$113:$M$132,$G1629,月間集計シート!Q$113:Q$132)*AO$2</f>
        <v>0</v>
      </c>
      <c r="AP1629" s="88">
        <f>SUMIF(月間集計シート!$M$113:$M$132,$G1629,月間集計シート!R$113:R$132)*AP$2</f>
        <v>0</v>
      </c>
      <c r="AQ1629" s="88">
        <f>SUMIF(月間集計シート!$M$113:$M$132,$G1629,月間集計シート!S$113:S$132)*AQ$2</f>
        <v>0</v>
      </c>
      <c r="AR1629" s="88">
        <f>SUMIF(月間集計シート!$M$113:$M$132,$G1629,月間集計シート!T$113:T$132)*AR$2</f>
        <v>0</v>
      </c>
      <c r="AS1629" s="88">
        <f>SUMIF(月間集計シート!$M$134:$M$153,$G1629,月間集計シート!N$134:N$153)*AS$2</f>
        <v>0</v>
      </c>
      <c r="AT1629" s="88">
        <f>SUMIF(月間集計シート!$M$134:$M$153,$G1629,月間集計シート!O$134:O$153)*AT$2</f>
        <v>0</v>
      </c>
      <c r="AU1629" s="88">
        <f>SUMIF(月間集計シート!$M$134:$M$153,$G1629,月間集計シート!P$134:P$153)*AU$2</f>
        <v>0</v>
      </c>
      <c r="AV1629" s="88">
        <f>SUMIF(月間集計シート!$M$134:$M$153,$G1629,月間集計シート!Q$134:Q$153)*AV$2</f>
        <v>0</v>
      </c>
      <c r="AW1629" s="88">
        <f>SUMIF(月間集計シート!$M$134:$M$153,$G1629,月間集計シート!R$134:R$153)*AW$2</f>
        <v>0</v>
      </c>
      <c r="AX1629" s="88">
        <f>SUMIF(月間集計シート!$M$134:$M$153,$G1629,月間集計シート!S$134:S$153)*AX$2</f>
        <v>0</v>
      </c>
      <c r="AY1629" s="88">
        <f>SUMIF(月間集計シート!$M$134:$M$153,$G1629,月間集計シート!T$134:T$153)*AY$2</f>
        <v>0</v>
      </c>
    </row>
    <row r="1630" spans="1:51" ht="14.25" thickBot="1">
      <c r="A1630">
        <v>20</v>
      </c>
      <c r="B1630" s="120">
        <f t="shared" si="941"/>
        <v>0</v>
      </c>
      <c r="C1630" s="120" t="str">
        <f t="shared" si="942"/>
        <v/>
      </c>
      <c r="D1630" s="137"/>
      <c r="E1630" s="150" t="str">
        <f>工種!A7</f>
        <v>20101</v>
      </c>
      <c r="F1630" s="119" t="str">
        <f>工種!B7</f>
        <v>設計：外部設計書作成</v>
      </c>
      <c r="G1630" s="116" t="str">
        <f t="shared" si="890"/>
        <v>020101</v>
      </c>
      <c r="H1630" s="88">
        <f t="shared" si="897"/>
        <v>0</v>
      </c>
      <c r="I1630" s="132"/>
      <c r="J1630" s="88">
        <f>SUMIF(月間集計シート!$M$29:$M$48,$G1630,月間集計シート!N$29:N$48)*J$2</f>
        <v>0</v>
      </c>
      <c r="K1630" s="88">
        <f>SUMIF(月間集計シート!$M$29:$M$48,$G1630,月間集計シート!O$29:O$48)*K$2</f>
        <v>0</v>
      </c>
      <c r="L1630" s="88">
        <f>SUMIF(月間集計シート!$M$29:$M$48,$G1630,月間集計シート!P$29:P$48)*L$2</f>
        <v>0</v>
      </c>
      <c r="M1630" s="88">
        <f>SUMIF(月間集計シート!$M$29:$M$48,$G1630,月間集計シート!Q$29:Q$48)*M$2</f>
        <v>0</v>
      </c>
      <c r="N1630" s="88">
        <f>SUMIF(月間集計シート!$M$29:$M$48,$G1630,月間集計シート!R$29:R$48)*N$2</f>
        <v>0</v>
      </c>
      <c r="O1630" s="88">
        <f>SUMIF(月間集計シート!$M$29:$M$48,$G1630,月間集計シート!S$29:S$48)*O$2</f>
        <v>0</v>
      </c>
      <c r="P1630" s="88">
        <f>SUMIF(月間集計シート!$M$29:$M$48,$G1630,月間集計シート!T$29:T$48)*P$2</f>
        <v>0</v>
      </c>
      <c r="Q1630" s="88">
        <f>SUMIF(月間集計シート!$M$50:$M$69,$G1630,月間集計シート!N$50:N$69)*Q$2</f>
        <v>0</v>
      </c>
      <c r="R1630" s="88">
        <f>SUMIF(月間集計シート!$M$50:$M$69,$G1630,月間集計シート!O$50:O$69)*R$2</f>
        <v>0</v>
      </c>
      <c r="S1630" s="88">
        <f>SUMIF(月間集計シート!$M$50:$M$69,$G1630,月間集計シート!P$50:P$69)*S$2</f>
        <v>0</v>
      </c>
      <c r="T1630" s="88">
        <f>SUMIF(月間集計シート!$M$50:$M$69,$G1630,月間集計シート!Q$50:Q$69)*T$2</f>
        <v>0</v>
      </c>
      <c r="U1630" s="88">
        <f>SUMIF(月間集計シート!$M$50:$M$69,$G1630,月間集計シート!R$50:R$69)*U$2</f>
        <v>0</v>
      </c>
      <c r="V1630" s="88">
        <f>SUMIF(月間集計シート!$M$50:$M$69,$G1630,月間集計シート!S$50:S$69)*V$2</f>
        <v>0</v>
      </c>
      <c r="W1630" s="88">
        <f>SUMIF(月間集計シート!$M$50:$M$69,$G1630,月間集計シート!T$50:T$69)*W$2</f>
        <v>0</v>
      </c>
      <c r="X1630" s="88">
        <f>SUMIF(月間集計シート!$M$71:$M$90,$G1630,月間集計シート!N$71:N$90)*X$2</f>
        <v>0</v>
      </c>
      <c r="Y1630" s="88">
        <f>SUMIF(月間集計シート!$M$71:$M$90,$G1630,月間集計シート!O$71:O$90)*Y$2</f>
        <v>0</v>
      </c>
      <c r="Z1630" s="88">
        <f>SUMIF(月間集計シート!$M$71:$M$90,$G1630,月間集計シート!P$71:P$90)*Z$2</f>
        <v>0</v>
      </c>
      <c r="AA1630" s="88">
        <f>SUMIF(月間集計シート!$M$71:$M$90,$G1630,月間集計シート!Q$71:Q$90)*AA$2</f>
        <v>0</v>
      </c>
      <c r="AB1630" s="88">
        <f>SUMIF(月間集計シート!$M$71:$M$90,$G1630,月間集計シート!R$71:R$90)*AB$2</f>
        <v>0</v>
      </c>
      <c r="AC1630" s="88">
        <f>SUMIF(月間集計シート!$M$71:$M$90,$G1630,月間集計シート!S$71:S$90)*AC$2</f>
        <v>0</v>
      </c>
      <c r="AD1630" s="88">
        <f>SUMIF(月間集計シート!$M$71:$M$90,$G1630,月間集計シート!T$71:T$90)*AD$2</f>
        <v>0</v>
      </c>
      <c r="AE1630" s="88">
        <f>SUMIF(月間集計シート!$M$92:$M$111,$G1630,月間集計シート!N$92:N$111)*AE$2</f>
        <v>0</v>
      </c>
      <c r="AF1630" s="88">
        <f>SUMIF(月間集計シート!$M$92:$M$111,$G1630,月間集計シート!O$92:O$111)*AF$2</f>
        <v>0</v>
      </c>
      <c r="AG1630" s="88">
        <f>SUMIF(月間集計シート!$M$92:$M$111,$G1630,月間集計シート!P$92:P$111)*AG$2</f>
        <v>0</v>
      </c>
      <c r="AH1630" s="88">
        <f>SUMIF(月間集計シート!$M$92:$M$111,$G1630,月間集計シート!Q$92:Q$111)*AH$2</f>
        <v>0</v>
      </c>
      <c r="AI1630" s="88">
        <f>SUMIF(月間集計シート!$M$92:$M$111,$G1630,月間集計シート!R$92:R$111)*AI$2</f>
        <v>0</v>
      </c>
      <c r="AJ1630" s="88">
        <f>SUMIF(月間集計シート!$M$92:$M$111,$G1630,月間集計シート!S$92:S$111)*AJ$2</f>
        <v>0</v>
      </c>
      <c r="AK1630" s="88">
        <f>SUMIF(月間集計シート!$M$92:$M$111,$G1630,月間集計シート!T$92:T$111)*AK$2</f>
        <v>0</v>
      </c>
      <c r="AL1630" s="88">
        <f>SUMIF(月間集計シート!$M$113:$M$132,$G1630,月間集計シート!N$113:N$132)*AL$2</f>
        <v>0</v>
      </c>
      <c r="AM1630" s="88">
        <f>SUMIF(月間集計シート!$M$113:$M$132,$G1630,月間集計シート!O$113:O$132)*AM$2</f>
        <v>0</v>
      </c>
      <c r="AN1630" s="88">
        <f>SUMIF(月間集計シート!$M$113:$M$132,$G1630,月間集計シート!P$113:P$132)*AN$2</f>
        <v>0</v>
      </c>
      <c r="AO1630" s="88">
        <f>SUMIF(月間集計シート!$M$113:$M$132,$G1630,月間集計シート!Q$113:Q$132)*AO$2</f>
        <v>0</v>
      </c>
      <c r="AP1630" s="88">
        <f>SUMIF(月間集計シート!$M$113:$M$132,$G1630,月間集計シート!R$113:R$132)*AP$2</f>
        <v>0</v>
      </c>
      <c r="AQ1630" s="88">
        <f>SUMIF(月間集計シート!$M$113:$M$132,$G1630,月間集計シート!S$113:S$132)*AQ$2</f>
        <v>0</v>
      </c>
      <c r="AR1630" s="88">
        <f>SUMIF(月間集計シート!$M$113:$M$132,$G1630,月間集計シート!T$113:T$132)*AR$2</f>
        <v>0</v>
      </c>
      <c r="AS1630" s="88">
        <f>SUMIF(月間集計シート!$M$134:$M$153,$G1630,月間集計シート!N$134:N$153)*AS$2</f>
        <v>0</v>
      </c>
      <c r="AT1630" s="88">
        <f>SUMIF(月間集計シート!$M$134:$M$153,$G1630,月間集計シート!O$134:O$153)*AT$2</f>
        <v>0</v>
      </c>
      <c r="AU1630" s="88">
        <f>SUMIF(月間集計シート!$M$134:$M$153,$G1630,月間集計シート!P$134:P$153)*AU$2</f>
        <v>0</v>
      </c>
      <c r="AV1630" s="88">
        <f>SUMIF(月間集計シート!$M$134:$M$153,$G1630,月間集計シート!Q$134:Q$153)*AV$2</f>
        <v>0</v>
      </c>
      <c r="AW1630" s="88">
        <f>SUMIF(月間集計シート!$M$134:$M$153,$G1630,月間集計シート!R$134:R$153)*AW$2</f>
        <v>0</v>
      </c>
      <c r="AX1630" s="88">
        <f>SUMIF(月間集計シート!$M$134:$M$153,$G1630,月間集計シート!S$134:S$153)*AX$2</f>
        <v>0</v>
      </c>
      <c r="AY1630" s="88">
        <f>SUMIF(月間集計シート!$M$134:$M$153,$G1630,月間集計シート!T$134:T$153)*AY$2</f>
        <v>0</v>
      </c>
    </row>
    <row r="1631" spans="1:51" ht="14.25" thickBot="1">
      <c r="A1631">
        <v>20</v>
      </c>
      <c r="B1631" s="120">
        <f t="shared" si="941"/>
        <v>0</v>
      </c>
      <c r="C1631" s="120" t="str">
        <f t="shared" si="942"/>
        <v/>
      </c>
      <c r="D1631" s="137"/>
      <c r="E1631" s="150" t="str">
        <f>工種!A8</f>
        <v>20103</v>
      </c>
      <c r="F1631" s="119" t="str">
        <f>工種!B8</f>
        <v>設計：打合せ</v>
      </c>
      <c r="G1631" s="116" t="str">
        <f t="shared" si="890"/>
        <v>020103</v>
      </c>
      <c r="H1631" s="88">
        <f t="shared" si="897"/>
        <v>0</v>
      </c>
      <c r="I1631" s="132"/>
      <c r="J1631" s="88">
        <f>SUMIF(月間集計シート!$M$29:$M$48,$G1631,月間集計シート!N$29:N$48)*J$2</f>
        <v>0</v>
      </c>
      <c r="K1631" s="88">
        <f>SUMIF(月間集計シート!$M$29:$M$48,$G1631,月間集計シート!O$29:O$48)*K$2</f>
        <v>0</v>
      </c>
      <c r="L1631" s="88">
        <f>SUMIF(月間集計シート!$M$29:$M$48,$G1631,月間集計シート!P$29:P$48)*L$2</f>
        <v>0</v>
      </c>
      <c r="M1631" s="88">
        <f>SUMIF(月間集計シート!$M$29:$M$48,$G1631,月間集計シート!Q$29:Q$48)*M$2</f>
        <v>0</v>
      </c>
      <c r="N1631" s="88">
        <f>SUMIF(月間集計シート!$M$29:$M$48,$G1631,月間集計シート!R$29:R$48)*N$2</f>
        <v>0</v>
      </c>
      <c r="O1631" s="88">
        <f>SUMIF(月間集計シート!$M$29:$M$48,$G1631,月間集計シート!S$29:S$48)*O$2</f>
        <v>0</v>
      </c>
      <c r="P1631" s="88">
        <f>SUMIF(月間集計シート!$M$29:$M$48,$G1631,月間集計シート!T$29:T$48)*P$2</f>
        <v>0</v>
      </c>
      <c r="Q1631" s="88">
        <f>SUMIF(月間集計シート!$M$50:$M$69,$G1631,月間集計シート!N$50:N$69)*Q$2</f>
        <v>0</v>
      </c>
      <c r="R1631" s="88">
        <f>SUMIF(月間集計シート!$M$50:$M$69,$G1631,月間集計シート!O$50:O$69)*R$2</f>
        <v>0</v>
      </c>
      <c r="S1631" s="88">
        <f>SUMIF(月間集計シート!$M$50:$M$69,$G1631,月間集計シート!P$50:P$69)*S$2</f>
        <v>0</v>
      </c>
      <c r="T1631" s="88">
        <f>SUMIF(月間集計シート!$M$50:$M$69,$G1631,月間集計シート!Q$50:Q$69)*T$2</f>
        <v>0</v>
      </c>
      <c r="U1631" s="88">
        <f>SUMIF(月間集計シート!$M$50:$M$69,$G1631,月間集計シート!R$50:R$69)*U$2</f>
        <v>0</v>
      </c>
      <c r="V1631" s="88">
        <f>SUMIF(月間集計シート!$M$50:$M$69,$G1631,月間集計シート!S$50:S$69)*V$2</f>
        <v>0</v>
      </c>
      <c r="W1631" s="88">
        <f>SUMIF(月間集計シート!$M$50:$M$69,$G1631,月間集計シート!T$50:T$69)*W$2</f>
        <v>0</v>
      </c>
      <c r="X1631" s="88">
        <f>SUMIF(月間集計シート!$M$71:$M$90,$G1631,月間集計シート!N$71:N$90)*X$2</f>
        <v>0</v>
      </c>
      <c r="Y1631" s="88">
        <f>SUMIF(月間集計シート!$M$71:$M$90,$G1631,月間集計シート!O$71:O$90)*Y$2</f>
        <v>0</v>
      </c>
      <c r="Z1631" s="88">
        <f>SUMIF(月間集計シート!$M$71:$M$90,$G1631,月間集計シート!P$71:P$90)*Z$2</f>
        <v>0</v>
      </c>
      <c r="AA1631" s="88">
        <f>SUMIF(月間集計シート!$M$71:$M$90,$G1631,月間集計シート!Q$71:Q$90)*AA$2</f>
        <v>0</v>
      </c>
      <c r="AB1631" s="88">
        <f>SUMIF(月間集計シート!$M$71:$M$90,$G1631,月間集計シート!R$71:R$90)*AB$2</f>
        <v>0</v>
      </c>
      <c r="AC1631" s="88">
        <f>SUMIF(月間集計シート!$M$71:$M$90,$G1631,月間集計シート!S$71:S$90)*AC$2</f>
        <v>0</v>
      </c>
      <c r="AD1631" s="88">
        <f>SUMIF(月間集計シート!$M$71:$M$90,$G1631,月間集計シート!T$71:T$90)*AD$2</f>
        <v>0</v>
      </c>
      <c r="AE1631" s="88">
        <f>SUMIF(月間集計シート!$M$92:$M$111,$G1631,月間集計シート!N$92:N$111)*AE$2</f>
        <v>0</v>
      </c>
      <c r="AF1631" s="88">
        <f>SUMIF(月間集計シート!$M$92:$M$111,$G1631,月間集計シート!O$92:O$111)*AF$2</f>
        <v>0</v>
      </c>
      <c r="AG1631" s="88">
        <f>SUMIF(月間集計シート!$M$92:$M$111,$G1631,月間集計シート!P$92:P$111)*AG$2</f>
        <v>0</v>
      </c>
      <c r="AH1631" s="88">
        <f>SUMIF(月間集計シート!$M$92:$M$111,$G1631,月間集計シート!Q$92:Q$111)*AH$2</f>
        <v>0</v>
      </c>
      <c r="AI1631" s="88">
        <f>SUMIF(月間集計シート!$M$92:$M$111,$G1631,月間集計シート!R$92:R$111)*AI$2</f>
        <v>0</v>
      </c>
      <c r="AJ1631" s="88">
        <f>SUMIF(月間集計シート!$M$92:$M$111,$G1631,月間集計シート!S$92:S$111)*AJ$2</f>
        <v>0</v>
      </c>
      <c r="AK1631" s="88">
        <f>SUMIF(月間集計シート!$M$92:$M$111,$G1631,月間集計シート!T$92:T$111)*AK$2</f>
        <v>0</v>
      </c>
      <c r="AL1631" s="88">
        <f>SUMIF(月間集計シート!$M$113:$M$132,$G1631,月間集計シート!N$113:N$132)*AL$2</f>
        <v>0</v>
      </c>
      <c r="AM1631" s="88">
        <f>SUMIF(月間集計シート!$M$113:$M$132,$G1631,月間集計シート!O$113:O$132)*AM$2</f>
        <v>0</v>
      </c>
      <c r="AN1631" s="88">
        <f>SUMIF(月間集計シート!$M$113:$M$132,$G1631,月間集計シート!P$113:P$132)*AN$2</f>
        <v>0</v>
      </c>
      <c r="AO1631" s="88">
        <f>SUMIF(月間集計シート!$M$113:$M$132,$G1631,月間集計シート!Q$113:Q$132)*AO$2</f>
        <v>0</v>
      </c>
      <c r="AP1631" s="88">
        <f>SUMIF(月間集計シート!$M$113:$M$132,$G1631,月間集計シート!R$113:R$132)*AP$2</f>
        <v>0</v>
      </c>
      <c r="AQ1631" s="88">
        <f>SUMIF(月間集計シート!$M$113:$M$132,$G1631,月間集計シート!S$113:S$132)*AQ$2</f>
        <v>0</v>
      </c>
      <c r="AR1631" s="88">
        <f>SUMIF(月間集計シート!$M$113:$M$132,$G1631,月間集計シート!T$113:T$132)*AR$2</f>
        <v>0</v>
      </c>
      <c r="AS1631" s="88">
        <f>SUMIF(月間集計シート!$M$134:$M$153,$G1631,月間集計シート!N$134:N$153)*AS$2</f>
        <v>0</v>
      </c>
      <c r="AT1631" s="88">
        <f>SUMIF(月間集計シート!$M$134:$M$153,$G1631,月間集計シート!O$134:O$153)*AT$2</f>
        <v>0</v>
      </c>
      <c r="AU1631" s="88">
        <f>SUMIF(月間集計シート!$M$134:$M$153,$G1631,月間集計シート!P$134:P$153)*AU$2</f>
        <v>0</v>
      </c>
      <c r="AV1631" s="88">
        <f>SUMIF(月間集計シート!$M$134:$M$153,$G1631,月間集計シート!Q$134:Q$153)*AV$2</f>
        <v>0</v>
      </c>
      <c r="AW1631" s="88">
        <f>SUMIF(月間集計シート!$M$134:$M$153,$G1631,月間集計シート!R$134:R$153)*AW$2</f>
        <v>0</v>
      </c>
      <c r="AX1631" s="88">
        <f>SUMIF(月間集計シート!$M$134:$M$153,$G1631,月間集計シート!S$134:S$153)*AX$2</f>
        <v>0</v>
      </c>
      <c r="AY1631" s="88">
        <f>SUMIF(月間集計シート!$M$134:$M$153,$G1631,月間集計シート!T$134:T$153)*AY$2</f>
        <v>0</v>
      </c>
    </row>
    <row r="1632" spans="1:51" ht="14.25" thickBot="1">
      <c r="A1632">
        <v>20</v>
      </c>
      <c r="B1632" s="120">
        <f t="shared" si="941"/>
        <v>0</v>
      </c>
      <c r="C1632" s="120" t="str">
        <f t="shared" si="942"/>
        <v/>
      </c>
      <c r="D1632" s="137"/>
      <c r="E1632" s="150">
        <f>工種!A9</f>
        <v>20105</v>
      </c>
      <c r="F1632" s="119" t="str">
        <f>工種!B9</f>
        <v>設計：原因調査・影響範囲分析・変更仕様作成</v>
      </c>
      <c r="G1632" s="116" t="str">
        <f t="shared" si="890"/>
        <v>020105</v>
      </c>
      <c r="H1632" s="88">
        <f t="shared" si="897"/>
        <v>0</v>
      </c>
      <c r="I1632" s="132"/>
      <c r="J1632" s="88">
        <f>SUMIF(月間集計シート!$M$29:$M$48,$G1632,月間集計シート!N$29:N$48)*J$2</f>
        <v>0</v>
      </c>
      <c r="K1632" s="88">
        <f>SUMIF(月間集計シート!$M$29:$M$48,$G1632,月間集計シート!O$29:O$48)*K$2</f>
        <v>0</v>
      </c>
      <c r="L1632" s="88">
        <f>SUMIF(月間集計シート!$M$29:$M$48,$G1632,月間集計シート!P$29:P$48)*L$2</f>
        <v>0</v>
      </c>
      <c r="M1632" s="88">
        <f>SUMIF(月間集計シート!$M$29:$M$48,$G1632,月間集計シート!Q$29:Q$48)*M$2</f>
        <v>0</v>
      </c>
      <c r="N1632" s="88">
        <f>SUMIF(月間集計シート!$M$29:$M$48,$G1632,月間集計シート!R$29:R$48)*N$2</f>
        <v>0</v>
      </c>
      <c r="O1632" s="88">
        <f>SUMIF(月間集計シート!$M$29:$M$48,$G1632,月間集計シート!S$29:S$48)*O$2</f>
        <v>0</v>
      </c>
      <c r="P1632" s="88">
        <f>SUMIF(月間集計シート!$M$29:$M$48,$G1632,月間集計シート!T$29:T$48)*P$2</f>
        <v>0</v>
      </c>
      <c r="Q1632" s="88">
        <f>SUMIF(月間集計シート!$M$50:$M$69,$G1632,月間集計シート!N$50:N$69)*Q$2</f>
        <v>0</v>
      </c>
      <c r="R1632" s="88">
        <f>SUMIF(月間集計シート!$M$50:$M$69,$G1632,月間集計シート!O$50:O$69)*R$2</f>
        <v>0</v>
      </c>
      <c r="S1632" s="88">
        <f>SUMIF(月間集計シート!$M$50:$M$69,$G1632,月間集計シート!P$50:P$69)*S$2</f>
        <v>0</v>
      </c>
      <c r="T1632" s="88">
        <f>SUMIF(月間集計シート!$M$50:$M$69,$G1632,月間集計シート!Q$50:Q$69)*T$2</f>
        <v>0</v>
      </c>
      <c r="U1632" s="88">
        <f>SUMIF(月間集計シート!$M$50:$M$69,$G1632,月間集計シート!R$50:R$69)*U$2</f>
        <v>0</v>
      </c>
      <c r="V1632" s="88">
        <f>SUMIF(月間集計シート!$M$50:$M$69,$G1632,月間集計シート!S$50:S$69)*V$2</f>
        <v>0</v>
      </c>
      <c r="W1632" s="88">
        <f>SUMIF(月間集計シート!$M$50:$M$69,$G1632,月間集計シート!T$50:T$69)*W$2</f>
        <v>0</v>
      </c>
      <c r="X1632" s="88">
        <f>SUMIF(月間集計シート!$M$71:$M$90,$G1632,月間集計シート!N$71:N$90)*X$2</f>
        <v>0</v>
      </c>
      <c r="Y1632" s="88">
        <f>SUMIF(月間集計シート!$M$71:$M$90,$G1632,月間集計シート!O$71:O$90)*Y$2</f>
        <v>0</v>
      </c>
      <c r="Z1632" s="88">
        <f>SUMIF(月間集計シート!$M$71:$M$90,$G1632,月間集計シート!P$71:P$90)*Z$2</f>
        <v>0</v>
      </c>
      <c r="AA1632" s="88">
        <f>SUMIF(月間集計シート!$M$71:$M$90,$G1632,月間集計シート!Q$71:Q$90)*AA$2</f>
        <v>0</v>
      </c>
      <c r="AB1632" s="88">
        <f>SUMIF(月間集計シート!$M$71:$M$90,$G1632,月間集計シート!R$71:R$90)*AB$2</f>
        <v>0</v>
      </c>
      <c r="AC1632" s="88">
        <f>SUMIF(月間集計シート!$M$71:$M$90,$G1632,月間集計シート!S$71:S$90)*AC$2</f>
        <v>0</v>
      </c>
      <c r="AD1632" s="88">
        <f>SUMIF(月間集計シート!$M$71:$M$90,$G1632,月間集計シート!T$71:T$90)*AD$2</f>
        <v>0</v>
      </c>
      <c r="AE1632" s="88">
        <f>SUMIF(月間集計シート!$M$92:$M$111,$G1632,月間集計シート!N$92:N$111)*AE$2</f>
        <v>0</v>
      </c>
      <c r="AF1632" s="88">
        <f>SUMIF(月間集計シート!$M$92:$M$111,$G1632,月間集計シート!O$92:O$111)*AF$2</f>
        <v>0</v>
      </c>
      <c r="AG1632" s="88">
        <f>SUMIF(月間集計シート!$M$92:$M$111,$G1632,月間集計シート!P$92:P$111)*AG$2</f>
        <v>0</v>
      </c>
      <c r="AH1632" s="88">
        <f>SUMIF(月間集計シート!$M$92:$M$111,$G1632,月間集計シート!Q$92:Q$111)*AH$2</f>
        <v>0</v>
      </c>
      <c r="AI1632" s="88">
        <f>SUMIF(月間集計シート!$M$92:$M$111,$G1632,月間集計シート!R$92:R$111)*AI$2</f>
        <v>0</v>
      </c>
      <c r="AJ1632" s="88">
        <f>SUMIF(月間集計シート!$M$92:$M$111,$G1632,月間集計シート!S$92:S$111)*AJ$2</f>
        <v>0</v>
      </c>
      <c r="AK1632" s="88">
        <f>SUMIF(月間集計シート!$M$92:$M$111,$G1632,月間集計シート!T$92:T$111)*AK$2</f>
        <v>0</v>
      </c>
      <c r="AL1632" s="88">
        <f>SUMIF(月間集計シート!$M$113:$M$132,$G1632,月間集計シート!N$113:N$132)*AL$2</f>
        <v>0</v>
      </c>
      <c r="AM1632" s="88">
        <f>SUMIF(月間集計シート!$M$113:$M$132,$G1632,月間集計シート!O$113:O$132)*AM$2</f>
        <v>0</v>
      </c>
      <c r="AN1632" s="88">
        <f>SUMIF(月間集計シート!$M$113:$M$132,$G1632,月間集計シート!P$113:P$132)*AN$2</f>
        <v>0</v>
      </c>
      <c r="AO1632" s="88">
        <f>SUMIF(月間集計シート!$M$113:$M$132,$G1632,月間集計シート!Q$113:Q$132)*AO$2</f>
        <v>0</v>
      </c>
      <c r="AP1632" s="88">
        <f>SUMIF(月間集計シート!$M$113:$M$132,$G1632,月間集計シート!R$113:R$132)*AP$2</f>
        <v>0</v>
      </c>
      <c r="AQ1632" s="88">
        <f>SUMIF(月間集計シート!$M$113:$M$132,$G1632,月間集計シート!S$113:S$132)*AQ$2</f>
        <v>0</v>
      </c>
      <c r="AR1632" s="88">
        <f>SUMIF(月間集計シート!$M$113:$M$132,$G1632,月間集計シート!T$113:T$132)*AR$2</f>
        <v>0</v>
      </c>
      <c r="AS1632" s="88">
        <f>SUMIF(月間集計シート!$M$134:$M$153,$G1632,月間集計シート!N$134:N$153)*AS$2</f>
        <v>0</v>
      </c>
      <c r="AT1632" s="88">
        <f>SUMIF(月間集計シート!$M$134:$M$153,$G1632,月間集計シート!O$134:O$153)*AT$2</f>
        <v>0</v>
      </c>
      <c r="AU1632" s="88">
        <f>SUMIF(月間集計シート!$M$134:$M$153,$G1632,月間集計シート!P$134:P$153)*AU$2</f>
        <v>0</v>
      </c>
      <c r="AV1632" s="88">
        <f>SUMIF(月間集計シート!$M$134:$M$153,$G1632,月間集計シート!Q$134:Q$153)*AV$2</f>
        <v>0</v>
      </c>
      <c r="AW1632" s="88">
        <f>SUMIF(月間集計シート!$M$134:$M$153,$G1632,月間集計シート!R$134:R$153)*AW$2</f>
        <v>0</v>
      </c>
      <c r="AX1632" s="88">
        <f>SUMIF(月間集計シート!$M$134:$M$153,$G1632,月間集計シート!S$134:S$153)*AX$2</f>
        <v>0</v>
      </c>
      <c r="AY1632" s="88">
        <f>SUMIF(月間集計シート!$M$134:$M$153,$G1632,月間集計シート!T$134:T$153)*AY$2</f>
        <v>0</v>
      </c>
    </row>
    <row r="1633" spans="1:51" ht="14.25" thickBot="1">
      <c r="A1633">
        <v>20</v>
      </c>
      <c r="B1633" s="120">
        <f t="shared" si="941"/>
        <v>0</v>
      </c>
      <c r="C1633" s="120" t="str">
        <f t="shared" si="942"/>
        <v/>
      </c>
      <c r="D1633" s="137"/>
      <c r="E1633" s="150" t="str">
        <f>工種!A10</f>
        <v>20106</v>
      </c>
      <c r="F1633" s="119" t="str">
        <f>工種!B10</f>
        <v>設計：設計書修正（手戻り分）</v>
      </c>
      <c r="G1633" s="116" t="str">
        <f t="shared" si="890"/>
        <v>020106</v>
      </c>
      <c r="H1633" s="88">
        <f t="shared" si="897"/>
        <v>0</v>
      </c>
      <c r="I1633" s="132"/>
      <c r="J1633" s="88">
        <f>SUMIF(月間集計シート!$M$29:$M$48,$G1633,月間集計シート!N$29:N$48)*J$2</f>
        <v>0</v>
      </c>
      <c r="K1633" s="88">
        <f>SUMIF(月間集計シート!$M$29:$M$48,$G1633,月間集計シート!O$29:O$48)*K$2</f>
        <v>0</v>
      </c>
      <c r="L1633" s="88">
        <f>SUMIF(月間集計シート!$M$29:$M$48,$G1633,月間集計シート!P$29:P$48)*L$2</f>
        <v>0</v>
      </c>
      <c r="M1633" s="88">
        <f>SUMIF(月間集計シート!$M$29:$M$48,$G1633,月間集計シート!Q$29:Q$48)*M$2</f>
        <v>0</v>
      </c>
      <c r="N1633" s="88">
        <f>SUMIF(月間集計シート!$M$29:$M$48,$G1633,月間集計シート!R$29:R$48)*N$2</f>
        <v>0</v>
      </c>
      <c r="O1633" s="88">
        <f>SUMIF(月間集計シート!$M$29:$M$48,$G1633,月間集計シート!S$29:S$48)*O$2</f>
        <v>0</v>
      </c>
      <c r="P1633" s="88">
        <f>SUMIF(月間集計シート!$M$29:$M$48,$G1633,月間集計シート!T$29:T$48)*P$2</f>
        <v>0</v>
      </c>
      <c r="Q1633" s="88">
        <f>SUMIF(月間集計シート!$M$50:$M$69,$G1633,月間集計シート!N$50:N$69)*Q$2</f>
        <v>0</v>
      </c>
      <c r="R1633" s="88">
        <f>SUMIF(月間集計シート!$M$50:$M$69,$G1633,月間集計シート!O$50:O$69)*R$2</f>
        <v>0</v>
      </c>
      <c r="S1633" s="88">
        <f>SUMIF(月間集計シート!$M$50:$M$69,$G1633,月間集計シート!P$50:P$69)*S$2</f>
        <v>0</v>
      </c>
      <c r="T1633" s="88">
        <f>SUMIF(月間集計シート!$M$50:$M$69,$G1633,月間集計シート!Q$50:Q$69)*T$2</f>
        <v>0</v>
      </c>
      <c r="U1633" s="88">
        <f>SUMIF(月間集計シート!$M$50:$M$69,$G1633,月間集計シート!R$50:R$69)*U$2</f>
        <v>0</v>
      </c>
      <c r="V1633" s="88">
        <f>SUMIF(月間集計シート!$M$50:$M$69,$G1633,月間集計シート!S$50:S$69)*V$2</f>
        <v>0</v>
      </c>
      <c r="W1633" s="88">
        <f>SUMIF(月間集計シート!$M$50:$M$69,$G1633,月間集計シート!T$50:T$69)*W$2</f>
        <v>0</v>
      </c>
      <c r="X1633" s="88">
        <f>SUMIF(月間集計シート!$M$71:$M$90,$G1633,月間集計シート!N$71:N$90)*X$2</f>
        <v>0</v>
      </c>
      <c r="Y1633" s="88">
        <f>SUMIF(月間集計シート!$M$71:$M$90,$G1633,月間集計シート!O$71:O$90)*Y$2</f>
        <v>0</v>
      </c>
      <c r="Z1633" s="88">
        <f>SUMIF(月間集計シート!$M$71:$M$90,$G1633,月間集計シート!P$71:P$90)*Z$2</f>
        <v>0</v>
      </c>
      <c r="AA1633" s="88">
        <f>SUMIF(月間集計シート!$M$71:$M$90,$G1633,月間集計シート!Q$71:Q$90)*AA$2</f>
        <v>0</v>
      </c>
      <c r="AB1633" s="88">
        <f>SUMIF(月間集計シート!$M$71:$M$90,$G1633,月間集計シート!R$71:R$90)*AB$2</f>
        <v>0</v>
      </c>
      <c r="AC1633" s="88">
        <f>SUMIF(月間集計シート!$M$71:$M$90,$G1633,月間集計シート!S$71:S$90)*AC$2</f>
        <v>0</v>
      </c>
      <c r="AD1633" s="88">
        <f>SUMIF(月間集計シート!$M$71:$M$90,$G1633,月間集計シート!T$71:T$90)*AD$2</f>
        <v>0</v>
      </c>
      <c r="AE1633" s="88">
        <f>SUMIF(月間集計シート!$M$92:$M$111,$G1633,月間集計シート!N$92:N$111)*AE$2</f>
        <v>0</v>
      </c>
      <c r="AF1633" s="88">
        <f>SUMIF(月間集計シート!$M$92:$M$111,$G1633,月間集計シート!O$92:O$111)*AF$2</f>
        <v>0</v>
      </c>
      <c r="AG1633" s="88">
        <f>SUMIF(月間集計シート!$M$92:$M$111,$G1633,月間集計シート!P$92:P$111)*AG$2</f>
        <v>0</v>
      </c>
      <c r="AH1633" s="88">
        <f>SUMIF(月間集計シート!$M$92:$M$111,$G1633,月間集計シート!Q$92:Q$111)*AH$2</f>
        <v>0</v>
      </c>
      <c r="AI1633" s="88">
        <f>SUMIF(月間集計シート!$M$92:$M$111,$G1633,月間集計シート!R$92:R$111)*AI$2</f>
        <v>0</v>
      </c>
      <c r="AJ1633" s="88">
        <f>SUMIF(月間集計シート!$M$92:$M$111,$G1633,月間集計シート!S$92:S$111)*AJ$2</f>
        <v>0</v>
      </c>
      <c r="AK1633" s="88">
        <f>SUMIF(月間集計シート!$M$92:$M$111,$G1633,月間集計シート!T$92:T$111)*AK$2</f>
        <v>0</v>
      </c>
      <c r="AL1633" s="88">
        <f>SUMIF(月間集計シート!$M$113:$M$132,$G1633,月間集計シート!N$113:N$132)*AL$2</f>
        <v>0</v>
      </c>
      <c r="AM1633" s="88">
        <f>SUMIF(月間集計シート!$M$113:$M$132,$G1633,月間集計シート!O$113:O$132)*AM$2</f>
        <v>0</v>
      </c>
      <c r="AN1633" s="88">
        <f>SUMIF(月間集計シート!$M$113:$M$132,$G1633,月間集計シート!P$113:P$132)*AN$2</f>
        <v>0</v>
      </c>
      <c r="AO1633" s="88">
        <f>SUMIF(月間集計シート!$M$113:$M$132,$G1633,月間集計シート!Q$113:Q$132)*AO$2</f>
        <v>0</v>
      </c>
      <c r="AP1633" s="88">
        <f>SUMIF(月間集計シート!$M$113:$M$132,$G1633,月間集計シート!R$113:R$132)*AP$2</f>
        <v>0</v>
      </c>
      <c r="AQ1633" s="88">
        <f>SUMIF(月間集計シート!$M$113:$M$132,$G1633,月間集計シート!S$113:S$132)*AQ$2</f>
        <v>0</v>
      </c>
      <c r="AR1633" s="88">
        <f>SUMIF(月間集計シート!$M$113:$M$132,$G1633,月間集計シート!T$113:T$132)*AR$2</f>
        <v>0</v>
      </c>
      <c r="AS1633" s="88">
        <f>SUMIF(月間集計シート!$M$134:$M$153,$G1633,月間集計シート!N$134:N$153)*AS$2</f>
        <v>0</v>
      </c>
      <c r="AT1633" s="88">
        <f>SUMIF(月間集計シート!$M$134:$M$153,$G1633,月間集計シート!O$134:O$153)*AT$2</f>
        <v>0</v>
      </c>
      <c r="AU1633" s="88">
        <f>SUMIF(月間集計シート!$M$134:$M$153,$G1633,月間集計シート!P$134:P$153)*AU$2</f>
        <v>0</v>
      </c>
      <c r="AV1633" s="88">
        <f>SUMIF(月間集計シート!$M$134:$M$153,$G1633,月間集計シート!Q$134:Q$153)*AV$2</f>
        <v>0</v>
      </c>
      <c r="AW1633" s="88">
        <f>SUMIF(月間集計シート!$M$134:$M$153,$G1633,月間集計シート!R$134:R$153)*AW$2</f>
        <v>0</v>
      </c>
      <c r="AX1633" s="88">
        <f>SUMIF(月間集計シート!$M$134:$M$153,$G1633,月間集計シート!S$134:S$153)*AX$2</f>
        <v>0</v>
      </c>
      <c r="AY1633" s="88">
        <f>SUMIF(月間集計シート!$M$134:$M$153,$G1633,月間集計シート!T$134:T$153)*AY$2</f>
        <v>0</v>
      </c>
    </row>
    <row r="1634" spans="1:51" ht="14.25" thickBot="1">
      <c r="A1634">
        <v>20</v>
      </c>
      <c r="B1634" s="120">
        <f t="shared" si="941"/>
        <v>0</v>
      </c>
      <c r="C1634" s="120" t="str">
        <f t="shared" si="942"/>
        <v/>
      </c>
      <c r="D1634" s="137"/>
      <c r="E1634" s="150" t="str">
        <f>工種!A11</f>
        <v>20107</v>
      </c>
      <c r="F1634" s="119" t="str">
        <f>工種!B11</f>
        <v>設計：その他の設計書作成</v>
      </c>
      <c r="G1634" s="116" t="str">
        <f t="shared" si="890"/>
        <v>020107</v>
      </c>
      <c r="H1634" s="88">
        <f t="shared" si="897"/>
        <v>0</v>
      </c>
      <c r="I1634" s="132"/>
      <c r="J1634" s="88">
        <f>SUMIF(月間集計シート!$M$29:$M$48,$G1634,月間集計シート!N$29:N$48)*J$2</f>
        <v>0</v>
      </c>
      <c r="K1634" s="88">
        <f>SUMIF(月間集計シート!$M$29:$M$48,$G1634,月間集計シート!O$29:O$48)*K$2</f>
        <v>0</v>
      </c>
      <c r="L1634" s="88">
        <f>SUMIF(月間集計シート!$M$29:$M$48,$G1634,月間集計シート!P$29:P$48)*L$2</f>
        <v>0</v>
      </c>
      <c r="M1634" s="88">
        <f>SUMIF(月間集計シート!$M$29:$M$48,$G1634,月間集計シート!Q$29:Q$48)*M$2</f>
        <v>0</v>
      </c>
      <c r="N1634" s="88">
        <f>SUMIF(月間集計シート!$M$29:$M$48,$G1634,月間集計シート!R$29:R$48)*N$2</f>
        <v>0</v>
      </c>
      <c r="O1634" s="88">
        <f>SUMIF(月間集計シート!$M$29:$M$48,$G1634,月間集計シート!S$29:S$48)*O$2</f>
        <v>0</v>
      </c>
      <c r="P1634" s="88">
        <f>SUMIF(月間集計シート!$M$29:$M$48,$G1634,月間集計シート!T$29:T$48)*P$2</f>
        <v>0</v>
      </c>
      <c r="Q1634" s="88">
        <f>SUMIF(月間集計シート!$M$50:$M$69,$G1634,月間集計シート!N$50:N$69)*Q$2</f>
        <v>0</v>
      </c>
      <c r="R1634" s="88">
        <f>SUMIF(月間集計シート!$M$50:$M$69,$G1634,月間集計シート!O$50:O$69)*R$2</f>
        <v>0</v>
      </c>
      <c r="S1634" s="88">
        <f>SUMIF(月間集計シート!$M$50:$M$69,$G1634,月間集計シート!P$50:P$69)*S$2</f>
        <v>0</v>
      </c>
      <c r="T1634" s="88">
        <f>SUMIF(月間集計シート!$M$50:$M$69,$G1634,月間集計シート!Q$50:Q$69)*T$2</f>
        <v>0</v>
      </c>
      <c r="U1634" s="88">
        <f>SUMIF(月間集計シート!$M$50:$M$69,$G1634,月間集計シート!R$50:R$69)*U$2</f>
        <v>0</v>
      </c>
      <c r="V1634" s="88">
        <f>SUMIF(月間集計シート!$M$50:$M$69,$G1634,月間集計シート!S$50:S$69)*V$2</f>
        <v>0</v>
      </c>
      <c r="W1634" s="88">
        <f>SUMIF(月間集計シート!$M$50:$M$69,$G1634,月間集計シート!T$50:T$69)*W$2</f>
        <v>0</v>
      </c>
      <c r="X1634" s="88">
        <f>SUMIF(月間集計シート!$M$71:$M$90,$G1634,月間集計シート!N$71:N$90)*X$2</f>
        <v>0</v>
      </c>
      <c r="Y1634" s="88">
        <f>SUMIF(月間集計シート!$M$71:$M$90,$G1634,月間集計シート!O$71:O$90)*Y$2</f>
        <v>0</v>
      </c>
      <c r="Z1634" s="88">
        <f>SUMIF(月間集計シート!$M$71:$M$90,$G1634,月間集計シート!P$71:P$90)*Z$2</f>
        <v>0</v>
      </c>
      <c r="AA1634" s="88">
        <f>SUMIF(月間集計シート!$M$71:$M$90,$G1634,月間集計シート!Q$71:Q$90)*AA$2</f>
        <v>0</v>
      </c>
      <c r="AB1634" s="88">
        <f>SUMIF(月間集計シート!$M$71:$M$90,$G1634,月間集計シート!R$71:R$90)*AB$2</f>
        <v>0</v>
      </c>
      <c r="AC1634" s="88">
        <f>SUMIF(月間集計シート!$M$71:$M$90,$G1634,月間集計シート!S$71:S$90)*AC$2</f>
        <v>0</v>
      </c>
      <c r="AD1634" s="88">
        <f>SUMIF(月間集計シート!$M$71:$M$90,$G1634,月間集計シート!T$71:T$90)*AD$2</f>
        <v>0</v>
      </c>
      <c r="AE1634" s="88">
        <f>SUMIF(月間集計シート!$M$92:$M$111,$G1634,月間集計シート!N$92:N$111)*AE$2</f>
        <v>0</v>
      </c>
      <c r="AF1634" s="88">
        <f>SUMIF(月間集計シート!$M$92:$M$111,$G1634,月間集計シート!O$92:O$111)*AF$2</f>
        <v>0</v>
      </c>
      <c r="AG1634" s="88">
        <f>SUMIF(月間集計シート!$M$92:$M$111,$G1634,月間集計シート!P$92:P$111)*AG$2</f>
        <v>0</v>
      </c>
      <c r="AH1634" s="88">
        <f>SUMIF(月間集計シート!$M$92:$M$111,$G1634,月間集計シート!Q$92:Q$111)*AH$2</f>
        <v>0</v>
      </c>
      <c r="AI1634" s="88">
        <f>SUMIF(月間集計シート!$M$92:$M$111,$G1634,月間集計シート!R$92:R$111)*AI$2</f>
        <v>0</v>
      </c>
      <c r="AJ1634" s="88">
        <f>SUMIF(月間集計シート!$M$92:$M$111,$G1634,月間集計シート!S$92:S$111)*AJ$2</f>
        <v>0</v>
      </c>
      <c r="AK1634" s="88">
        <f>SUMIF(月間集計シート!$M$92:$M$111,$G1634,月間集計シート!T$92:T$111)*AK$2</f>
        <v>0</v>
      </c>
      <c r="AL1634" s="88">
        <f>SUMIF(月間集計シート!$M$113:$M$132,$G1634,月間集計シート!N$113:N$132)*AL$2</f>
        <v>0</v>
      </c>
      <c r="AM1634" s="88">
        <f>SUMIF(月間集計シート!$M$113:$M$132,$G1634,月間集計シート!O$113:O$132)*AM$2</f>
        <v>0</v>
      </c>
      <c r="AN1634" s="88">
        <f>SUMIF(月間集計シート!$M$113:$M$132,$G1634,月間集計シート!P$113:P$132)*AN$2</f>
        <v>0</v>
      </c>
      <c r="AO1634" s="88">
        <f>SUMIF(月間集計シート!$M$113:$M$132,$G1634,月間集計シート!Q$113:Q$132)*AO$2</f>
        <v>0</v>
      </c>
      <c r="AP1634" s="88">
        <f>SUMIF(月間集計シート!$M$113:$M$132,$G1634,月間集計シート!R$113:R$132)*AP$2</f>
        <v>0</v>
      </c>
      <c r="AQ1634" s="88">
        <f>SUMIF(月間集計シート!$M$113:$M$132,$G1634,月間集計シート!S$113:S$132)*AQ$2</f>
        <v>0</v>
      </c>
      <c r="AR1634" s="88">
        <f>SUMIF(月間集計シート!$M$113:$M$132,$G1634,月間集計シート!T$113:T$132)*AR$2</f>
        <v>0</v>
      </c>
      <c r="AS1634" s="88">
        <f>SUMIF(月間集計シート!$M$134:$M$153,$G1634,月間集計シート!N$134:N$153)*AS$2</f>
        <v>0</v>
      </c>
      <c r="AT1634" s="88">
        <f>SUMIF(月間集計シート!$M$134:$M$153,$G1634,月間集計シート!O$134:O$153)*AT$2</f>
        <v>0</v>
      </c>
      <c r="AU1634" s="88">
        <f>SUMIF(月間集計シート!$M$134:$M$153,$G1634,月間集計シート!P$134:P$153)*AU$2</f>
        <v>0</v>
      </c>
      <c r="AV1634" s="88">
        <f>SUMIF(月間集計シート!$M$134:$M$153,$G1634,月間集計シート!Q$134:Q$153)*AV$2</f>
        <v>0</v>
      </c>
      <c r="AW1634" s="88">
        <f>SUMIF(月間集計シート!$M$134:$M$153,$G1634,月間集計シート!R$134:R$153)*AW$2</f>
        <v>0</v>
      </c>
      <c r="AX1634" s="88">
        <f>SUMIF(月間集計シート!$M$134:$M$153,$G1634,月間集計シート!S$134:S$153)*AX$2</f>
        <v>0</v>
      </c>
      <c r="AY1634" s="88">
        <f>SUMIF(月間集計シート!$M$134:$M$153,$G1634,月間集計シート!T$134:T$153)*AY$2</f>
        <v>0</v>
      </c>
    </row>
    <row r="1635" spans="1:51" ht="14.25" thickBot="1">
      <c r="A1635">
        <v>20</v>
      </c>
      <c r="B1635" s="120">
        <f t="shared" si="941"/>
        <v>0</v>
      </c>
      <c r="C1635" s="120" t="str">
        <f t="shared" si="942"/>
        <v/>
      </c>
      <c r="D1635" s="137"/>
      <c r="E1635" s="150" t="str">
        <f>工種!A12</f>
        <v>20108</v>
      </c>
      <c r="F1635" s="119" t="str">
        <f>工種!B12</f>
        <v>設計：レビュー</v>
      </c>
      <c r="G1635" s="116" t="str">
        <f t="shared" si="890"/>
        <v>020108</v>
      </c>
      <c r="H1635" s="88">
        <f t="shared" si="897"/>
        <v>0</v>
      </c>
      <c r="I1635" s="132"/>
      <c r="J1635" s="88">
        <f>SUMIF(月間集計シート!$M$29:$M$48,$G1635,月間集計シート!N$29:N$48)*J$2</f>
        <v>0</v>
      </c>
      <c r="K1635" s="88">
        <f>SUMIF(月間集計シート!$M$29:$M$48,$G1635,月間集計シート!O$29:O$48)*K$2</f>
        <v>0</v>
      </c>
      <c r="L1635" s="88">
        <f>SUMIF(月間集計シート!$M$29:$M$48,$G1635,月間集計シート!P$29:P$48)*L$2</f>
        <v>0</v>
      </c>
      <c r="M1635" s="88">
        <f>SUMIF(月間集計シート!$M$29:$M$48,$G1635,月間集計シート!Q$29:Q$48)*M$2</f>
        <v>0</v>
      </c>
      <c r="N1635" s="88">
        <f>SUMIF(月間集計シート!$M$29:$M$48,$G1635,月間集計シート!R$29:R$48)*N$2</f>
        <v>0</v>
      </c>
      <c r="O1635" s="88">
        <f>SUMIF(月間集計シート!$M$29:$M$48,$G1635,月間集計シート!S$29:S$48)*O$2</f>
        <v>0</v>
      </c>
      <c r="P1635" s="88">
        <f>SUMIF(月間集計シート!$M$29:$M$48,$G1635,月間集計シート!T$29:T$48)*P$2</f>
        <v>0</v>
      </c>
      <c r="Q1635" s="88">
        <f>SUMIF(月間集計シート!$M$50:$M$69,$G1635,月間集計シート!N$50:N$69)*Q$2</f>
        <v>0</v>
      </c>
      <c r="R1635" s="88">
        <f>SUMIF(月間集計シート!$M$50:$M$69,$G1635,月間集計シート!O$50:O$69)*R$2</f>
        <v>0</v>
      </c>
      <c r="S1635" s="88">
        <f>SUMIF(月間集計シート!$M$50:$M$69,$G1635,月間集計シート!P$50:P$69)*S$2</f>
        <v>0</v>
      </c>
      <c r="T1635" s="88">
        <f>SUMIF(月間集計シート!$M$50:$M$69,$G1635,月間集計シート!Q$50:Q$69)*T$2</f>
        <v>0</v>
      </c>
      <c r="U1635" s="88">
        <f>SUMIF(月間集計シート!$M$50:$M$69,$G1635,月間集計シート!R$50:R$69)*U$2</f>
        <v>0</v>
      </c>
      <c r="V1635" s="88">
        <f>SUMIF(月間集計シート!$M$50:$M$69,$G1635,月間集計シート!S$50:S$69)*V$2</f>
        <v>0</v>
      </c>
      <c r="W1635" s="88">
        <f>SUMIF(月間集計シート!$M$50:$M$69,$G1635,月間集計シート!T$50:T$69)*W$2</f>
        <v>0</v>
      </c>
      <c r="X1635" s="88">
        <f>SUMIF(月間集計シート!$M$71:$M$90,$G1635,月間集計シート!N$71:N$90)*X$2</f>
        <v>0</v>
      </c>
      <c r="Y1635" s="88">
        <f>SUMIF(月間集計シート!$M$71:$M$90,$G1635,月間集計シート!O$71:O$90)*Y$2</f>
        <v>0</v>
      </c>
      <c r="Z1635" s="88">
        <f>SUMIF(月間集計シート!$M$71:$M$90,$G1635,月間集計シート!P$71:P$90)*Z$2</f>
        <v>0</v>
      </c>
      <c r="AA1635" s="88">
        <f>SUMIF(月間集計シート!$M$71:$M$90,$G1635,月間集計シート!Q$71:Q$90)*AA$2</f>
        <v>0</v>
      </c>
      <c r="AB1635" s="88">
        <f>SUMIF(月間集計シート!$M$71:$M$90,$G1635,月間集計シート!R$71:R$90)*AB$2</f>
        <v>0</v>
      </c>
      <c r="AC1635" s="88">
        <f>SUMIF(月間集計シート!$M$71:$M$90,$G1635,月間集計シート!S$71:S$90)*AC$2</f>
        <v>0</v>
      </c>
      <c r="AD1635" s="88">
        <f>SUMIF(月間集計シート!$M$71:$M$90,$G1635,月間集計シート!T$71:T$90)*AD$2</f>
        <v>0</v>
      </c>
      <c r="AE1635" s="88">
        <f>SUMIF(月間集計シート!$M$92:$M$111,$G1635,月間集計シート!N$92:N$111)*AE$2</f>
        <v>0</v>
      </c>
      <c r="AF1635" s="88">
        <f>SUMIF(月間集計シート!$M$92:$M$111,$G1635,月間集計シート!O$92:O$111)*AF$2</f>
        <v>0</v>
      </c>
      <c r="AG1635" s="88">
        <f>SUMIF(月間集計シート!$M$92:$M$111,$G1635,月間集計シート!P$92:P$111)*AG$2</f>
        <v>0</v>
      </c>
      <c r="AH1635" s="88">
        <f>SUMIF(月間集計シート!$M$92:$M$111,$G1635,月間集計シート!Q$92:Q$111)*AH$2</f>
        <v>0</v>
      </c>
      <c r="AI1635" s="88">
        <f>SUMIF(月間集計シート!$M$92:$M$111,$G1635,月間集計シート!R$92:R$111)*AI$2</f>
        <v>0</v>
      </c>
      <c r="AJ1635" s="88">
        <f>SUMIF(月間集計シート!$M$92:$M$111,$G1635,月間集計シート!S$92:S$111)*AJ$2</f>
        <v>0</v>
      </c>
      <c r="AK1635" s="88">
        <f>SUMIF(月間集計シート!$M$92:$M$111,$G1635,月間集計シート!T$92:T$111)*AK$2</f>
        <v>0</v>
      </c>
      <c r="AL1635" s="88">
        <f>SUMIF(月間集計シート!$M$113:$M$132,$G1635,月間集計シート!N$113:N$132)*AL$2</f>
        <v>0</v>
      </c>
      <c r="AM1635" s="88">
        <f>SUMIF(月間集計シート!$M$113:$M$132,$G1635,月間集計シート!O$113:O$132)*AM$2</f>
        <v>0</v>
      </c>
      <c r="AN1635" s="88">
        <f>SUMIF(月間集計シート!$M$113:$M$132,$G1635,月間集計シート!P$113:P$132)*AN$2</f>
        <v>0</v>
      </c>
      <c r="AO1635" s="88">
        <f>SUMIF(月間集計シート!$M$113:$M$132,$G1635,月間集計シート!Q$113:Q$132)*AO$2</f>
        <v>0</v>
      </c>
      <c r="AP1635" s="88">
        <f>SUMIF(月間集計シート!$M$113:$M$132,$G1635,月間集計シート!R$113:R$132)*AP$2</f>
        <v>0</v>
      </c>
      <c r="AQ1635" s="88">
        <f>SUMIF(月間集計シート!$M$113:$M$132,$G1635,月間集計シート!S$113:S$132)*AQ$2</f>
        <v>0</v>
      </c>
      <c r="AR1635" s="88">
        <f>SUMIF(月間集計シート!$M$113:$M$132,$G1635,月間集計シート!T$113:T$132)*AR$2</f>
        <v>0</v>
      </c>
      <c r="AS1635" s="88">
        <f>SUMIF(月間集計シート!$M$134:$M$153,$G1635,月間集計シート!N$134:N$153)*AS$2</f>
        <v>0</v>
      </c>
      <c r="AT1635" s="88">
        <f>SUMIF(月間集計シート!$M$134:$M$153,$G1635,月間集計シート!O$134:O$153)*AT$2</f>
        <v>0</v>
      </c>
      <c r="AU1635" s="88">
        <f>SUMIF(月間集計シート!$M$134:$M$153,$G1635,月間集計シート!P$134:P$153)*AU$2</f>
        <v>0</v>
      </c>
      <c r="AV1635" s="88">
        <f>SUMIF(月間集計シート!$M$134:$M$153,$G1635,月間集計シート!Q$134:Q$153)*AV$2</f>
        <v>0</v>
      </c>
      <c r="AW1635" s="88">
        <f>SUMIF(月間集計シート!$M$134:$M$153,$G1635,月間集計シート!R$134:R$153)*AW$2</f>
        <v>0</v>
      </c>
      <c r="AX1635" s="88">
        <f>SUMIF(月間集計シート!$M$134:$M$153,$G1635,月間集計シート!S$134:S$153)*AX$2</f>
        <v>0</v>
      </c>
      <c r="AY1635" s="88">
        <f>SUMIF(月間集計シート!$M$134:$M$153,$G1635,月間集計シート!T$134:T$153)*AY$2</f>
        <v>0</v>
      </c>
    </row>
    <row r="1636" spans="1:51" ht="14.25" thickBot="1">
      <c r="A1636">
        <v>20</v>
      </c>
      <c r="B1636" s="120">
        <f t="shared" si="941"/>
        <v>0</v>
      </c>
      <c r="C1636" s="120" t="str">
        <f t="shared" si="942"/>
        <v/>
      </c>
      <c r="D1636" s="137"/>
      <c r="E1636" s="150" t="str">
        <f>工種!A13</f>
        <v>20109</v>
      </c>
      <c r="F1636" s="119" t="str">
        <f>工種!B13</f>
        <v>設計：QA対応</v>
      </c>
      <c r="G1636" s="116" t="str">
        <f t="shared" si="890"/>
        <v>020109</v>
      </c>
      <c r="H1636" s="88">
        <f t="shared" si="897"/>
        <v>0</v>
      </c>
      <c r="I1636" s="132"/>
      <c r="J1636" s="88">
        <f>SUMIF(月間集計シート!$M$29:$M$48,$G1636,月間集計シート!N$29:N$48)*J$2</f>
        <v>0</v>
      </c>
      <c r="K1636" s="88">
        <f>SUMIF(月間集計シート!$M$29:$M$48,$G1636,月間集計シート!O$29:O$48)*K$2</f>
        <v>0</v>
      </c>
      <c r="L1636" s="88">
        <f>SUMIF(月間集計シート!$M$29:$M$48,$G1636,月間集計シート!P$29:P$48)*L$2</f>
        <v>0</v>
      </c>
      <c r="M1636" s="88">
        <f>SUMIF(月間集計シート!$M$29:$M$48,$G1636,月間集計シート!Q$29:Q$48)*M$2</f>
        <v>0</v>
      </c>
      <c r="N1636" s="88">
        <f>SUMIF(月間集計シート!$M$29:$M$48,$G1636,月間集計シート!R$29:R$48)*N$2</f>
        <v>0</v>
      </c>
      <c r="O1636" s="88">
        <f>SUMIF(月間集計シート!$M$29:$M$48,$G1636,月間集計シート!S$29:S$48)*O$2</f>
        <v>0</v>
      </c>
      <c r="P1636" s="88">
        <f>SUMIF(月間集計シート!$M$29:$M$48,$G1636,月間集計シート!T$29:T$48)*P$2</f>
        <v>0</v>
      </c>
      <c r="Q1636" s="88">
        <f>SUMIF(月間集計シート!$M$50:$M$69,$G1636,月間集計シート!N$50:N$69)*Q$2</f>
        <v>0</v>
      </c>
      <c r="R1636" s="88">
        <f>SUMIF(月間集計シート!$M$50:$M$69,$G1636,月間集計シート!O$50:O$69)*R$2</f>
        <v>0</v>
      </c>
      <c r="S1636" s="88">
        <f>SUMIF(月間集計シート!$M$50:$M$69,$G1636,月間集計シート!P$50:P$69)*S$2</f>
        <v>0</v>
      </c>
      <c r="T1636" s="88">
        <f>SUMIF(月間集計シート!$M$50:$M$69,$G1636,月間集計シート!Q$50:Q$69)*T$2</f>
        <v>0</v>
      </c>
      <c r="U1636" s="88">
        <f>SUMIF(月間集計シート!$M$50:$M$69,$G1636,月間集計シート!R$50:R$69)*U$2</f>
        <v>0</v>
      </c>
      <c r="V1636" s="88">
        <f>SUMIF(月間集計シート!$M$50:$M$69,$G1636,月間集計シート!S$50:S$69)*V$2</f>
        <v>0</v>
      </c>
      <c r="W1636" s="88">
        <f>SUMIF(月間集計シート!$M$50:$M$69,$G1636,月間集計シート!T$50:T$69)*W$2</f>
        <v>0</v>
      </c>
      <c r="X1636" s="88">
        <f>SUMIF(月間集計シート!$M$71:$M$90,$G1636,月間集計シート!N$71:N$90)*X$2</f>
        <v>0</v>
      </c>
      <c r="Y1636" s="88">
        <f>SUMIF(月間集計シート!$M$71:$M$90,$G1636,月間集計シート!O$71:O$90)*Y$2</f>
        <v>0</v>
      </c>
      <c r="Z1636" s="88">
        <f>SUMIF(月間集計シート!$M$71:$M$90,$G1636,月間集計シート!P$71:P$90)*Z$2</f>
        <v>0</v>
      </c>
      <c r="AA1636" s="88">
        <f>SUMIF(月間集計シート!$M$71:$M$90,$G1636,月間集計シート!Q$71:Q$90)*AA$2</f>
        <v>0</v>
      </c>
      <c r="AB1636" s="88">
        <f>SUMIF(月間集計シート!$M$71:$M$90,$G1636,月間集計シート!R$71:R$90)*AB$2</f>
        <v>0</v>
      </c>
      <c r="AC1636" s="88">
        <f>SUMIF(月間集計シート!$M$71:$M$90,$G1636,月間集計シート!S$71:S$90)*AC$2</f>
        <v>0</v>
      </c>
      <c r="AD1636" s="88">
        <f>SUMIF(月間集計シート!$M$71:$M$90,$G1636,月間集計シート!T$71:T$90)*AD$2</f>
        <v>0</v>
      </c>
      <c r="AE1636" s="88">
        <f>SUMIF(月間集計シート!$M$92:$M$111,$G1636,月間集計シート!N$92:N$111)*AE$2</f>
        <v>0</v>
      </c>
      <c r="AF1636" s="88">
        <f>SUMIF(月間集計シート!$M$92:$M$111,$G1636,月間集計シート!O$92:O$111)*AF$2</f>
        <v>0</v>
      </c>
      <c r="AG1636" s="88">
        <f>SUMIF(月間集計シート!$M$92:$M$111,$G1636,月間集計シート!P$92:P$111)*AG$2</f>
        <v>0</v>
      </c>
      <c r="AH1636" s="88">
        <f>SUMIF(月間集計シート!$M$92:$M$111,$G1636,月間集計シート!Q$92:Q$111)*AH$2</f>
        <v>0</v>
      </c>
      <c r="AI1636" s="88">
        <f>SUMIF(月間集計シート!$M$92:$M$111,$G1636,月間集計シート!R$92:R$111)*AI$2</f>
        <v>0</v>
      </c>
      <c r="AJ1636" s="88">
        <f>SUMIF(月間集計シート!$M$92:$M$111,$G1636,月間集計シート!S$92:S$111)*AJ$2</f>
        <v>0</v>
      </c>
      <c r="AK1636" s="88">
        <f>SUMIF(月間集計シート!$M$92:$M$111,$G1636,月間集計シート!T$92:T$111)*AK$2</f>
        <v>0</v>
      </c>
      <c r="AL1636" s="88">
        <f>SUMIF(月間集計シート!$M$113:$M$132,$G1636,月間集計シート!N$113:N$132)*AL$2</f>
        <v>0</v>
      </c>
      <c r="AM1636" s="88">
        <f>SUMIF(月間集計シート!$M$113:$M$132,$G1636,月間集計シート!O$113:O$132)*AM$2</f>
        <v>0</v>
      </c>
      <c r="AN1636" s="88">
        <f>SUMIF(月間集計シート!$M$113:$M$132,$G1636,月間集計シート!P$113:P$132)*AN$2</f>
        <v>0</v>
      </c>
      <c r="AO1636" s="88">
        <f>SUMIF(月間集計シート!$M$113:$M$132,$G1636,月間集計シート!Q$113:Q$132)*AO$2</f>
        <v>0</v>
      </c>
      <c r="AP1636" s="88">
        <f>SUMIF(月間集計シート!$M$113:$M$132,$G1636,月間集計シート!R$113:R$132)*AP$2</f>
        <v>0</v>
      </c>
      <c r="AQ1636" s="88">
        <f>SUMIF(月間集計シート!$M$113:$M$132,$G1636,月間集計シート!S$113:S$132)*AQ$2</f>
        <v>0</v>
      </c>
      <c r="AR1636" s="88">
        <f>SUMIF(月間集計シート!$M$113:$M$132,$G1636,月間集計シート!T$113:T$132)*AR$2</f>
        <v>0</v>
      </c>
      <c r="AS1636" s="88">
        <f>SUMIF(月間集計シート!$M$134:$M$153,$G1636,月間集計シート!N$134:N$153)*AS$2</f>
        <v>0</v>
      </c>
      <c r="AT1636" s="88">
        <f>SUMIF(月間集計シート!$M$134:$M$153,$G1636,月間集計シート!O$134:O$153)*AT$2</f>
        <v>0</v>
      </c>
      <c r="AU1636" s="88">
        <f>SUMIF(月間集計シート!$M$134:$M$153,$G1636,月間集計シート!P$134:P$153)*AU$2</f>
        <v>0</v>
      </c>
      <c r="AV1636" s="88">
        <f>SUMIF(月間集計シート!$M$134:$M$153,$G1636,月間集計シート!Q$134:Q$153)*AV$2</f>
        <v>0</v>
      </c>
      <c r="AW1636" s="88">
        <f>SUMIF(月間集計シート!$M$134:$M$153,$G1636,月間集計シート!R$134:R$153)*AW$2</f>
        <v>0</v>
      </c>
      <c r="AX1636" s="88">
        <f>SUMIF(月間集計シート!$M$134:$M$153,$G1636,月間集計シート!S$134:S$153)*AX$2</f>
        <v>0</v>
      </c>
      <c r="AY1636" s="88">
        <f>SUMIF(月間集計シート!$M$134:$M$153,$G1636,月間集計シート!T$134:T$153)*AY$2</f>
        <v>0</v>
      </c>
    </row>
    <row r="1637" spans="1:51" ht="14.25" thickBot="1">
      <c r="A1637">
        <v>20</v>
      </c>
      <c r="B1637" s="120">
        <f t="shared" si="941"/>
        <v>0</v>
      </c>
      <c r="C1637" s="120" t="str">
        <f t="shared" si="942"/>
        <v/>
      </c>
      <c r="D1637" s="137"/>
      <c r="E1637" s="150" t="str">
        <f>工種!A14</f>
        <v>20199</v>
      </c>
      <c r="F1637" s="119" t="str">
        <f>工種!B14</f>
        <v>設計：その他</v>
      </c>
      <c r="G1637" s="116" t="str">
        <f t="shared" si="890"/>
        <v>020199</v>
      </c>
      <c r="H1637" s="88">
        <f t="shared" si="897"/>
        <v>0</v>
      </c>
      <c r="I1637" s="132"/>
      <c r="J1637" s="88">
        <f>SUMIF(月間集計シート!$M$29:$M$48,$G1637,月間集計シート!N$29:N$48)*J$2</f>
        <v>0</v>
      </c>
      <c r="K1637" s="88">
        <f>SUMIF(月間集計シート!$M$29:$M$48,$G1637,月間集計シート!O$29:O$48)*K$2</f>
        <v>0</v>
      </c>
      <c r="L1637" s="88">
        <f>SUMIF(月間集計シート!$M$29:$M$48,$G1637,月間集計シート!P$29:P$48)*L$2</f>
        <v>0</v>
      </c>
      <c r="M1637" s="88">
        <f>SUMIF(月間集計シート!$M$29:$M$48,$G1637,月間集計シート!Q$29:Q$48)*M$2</f>
        <v>0</v>
      </c>
      <c r="N1637" s="88">
        <f>SUMIF(月間集計シート!$M$29:$M$48,$G1637,月間集計シート!R$29:R$48)*N$2</f>
        <v>0</v>
      </c>
      <c r="O1637" s="88">
        <f>SUMIF(月間集計シート!$M$29:$M$48,$G1637,月間集計シート!S$29:S$48)*O$2</f>
        <v>0</v>
      </c>
      <c r="P1637" s="88">
        <f>SUMIF(月間集計シート!$M$29:$M$48,$G1637,月間集計シート!T$29:T$48)*P$2</f>
        <v>0</v>
      </c>
      <c r="Q1637" s="88">
        <f>SUMIF(月間集計シート!$M$50:$M$69,$G1637,月間集計シート!N$50:N$69)*Q$2</f>
        <v>0</v>
      </c>
      <c r="R1637" s="88">
        <f>SUMIF(月間集計シート!$M$50:$M$69,$G1637,月間集計シート!O$50:O$69)*R$2</f>
        <v>0</v>
      </c>
      <c r="S1637" s="88">
        <f>SUMIF(月間集計シート!$M$50:$M$69,$G1637,月間集計シート!P$50:P$69)*S$2</f>
        <v>0</v>
      </c>
      <c r="T1637" s="88">
        <f>SUMIF(月間集計シート!$M$50:$M$69,$G1637,月間集計シート!Q$50:Q$69)*T$2</f>
        <v>0</v>
      </c>
      <c r="U1637" s="88">
        <f>SUMIF(月間集計シート!$M$50:$M$69,$G1637,月間集計シート!R$50:R$69)*U$2</f>
        <v>0</v>
      </c>
      <c r="V1637" s="88">
        <f>SUMIF(月間集計シート!$M$50:$M$69,$G1637,月間集計シート!S$50:S$69)*V$2</f>
        <v>0</v>
      </c>
      <c r="W1637" s="88">
        <f>SUMIF(月間集計シート!$M$50:$M$69,$G1637,月間集計シート!T$50:T$69)*W$2</f>
        <v>0</v>
      </c>
      <c r="X1637" s="88">
        <f>SUMIF(月間集計シート!$M$71:$M$90,$G1637,月間集計シート!N$71:N$90)*X$2</f>
        <v>0</v>
      </c>
      <c r="Y1637" s="88">
        <f>SUMIF(月間集計シート!$M$71:$M$90,$G1637,月間集計シート!O$71:O$90)*Y$2</f>
        <v>0</v>
      </c>
      <c r="Z1637" s="88">
        <f>SUMIF(月間集計シート!$M$71:$M$90,$G1637,月間集計シート!P$71:P$90)*Z$2</f>
        <v>0</v>
      </c>
      <c r="AA1637" s="88">
        <f>SUMIF(月間集計シート!$M$71:$M$90,$G1637,月間集計シート!Q$71:Q$90)*AA$2</f>
        <v>0</v>
      </c>
      <c r="AB1637" s="88">
        <f>SUMIF(月間集計シート!$M$71:$M$90,$G1637,月間集計シート!R$71:R$90)*AB$2</f>
        <v>0</v>
      </c>
      <c r="AC1637" s="88">
        <f>SUMIF(月間集計シート!$M$71:$M$90,$G1637,月間集計シート!S$71:S$90)*AC$2</f>
        <v>0</v>
      </c>
      <c r="AD1637" s="88">
        <f>SUMIF(月間集計シート!$M$71:$M$90,$G1637,月間集計シート!T$71:T$90)*AD$2</f>
        <v>0</v>
      </c>
      <c r="AE1637" s="88">
        <f>SUMIF(月間集計シート!$M$92:$M$111,$G1637,月間集計シート!N$92:N$111)*AE$2</f>
        <v>0</v>
      </c>
      <c r="AF1637" s="88">
        <f>SUMIF(月間集計シート!$M$92:$M$111,$G1637,月間集計シート!O$92:O$111)*AF$2</f>
        <v>0</v>
      </c>
      <c r="AG1637" s="88">
        <f>SUMIF(月間集計シート!$M$92:$M$111,$G1637,月間集計シート!P$92:P$111)*AG$2</f>
        <v>0</v>
      </c>
      <c r="AH1637" s="88">
        <f>SUMIF(月間集計シート!$M$92:$M$111,$G1637,月間集計シート!Q$92:Q$111)*AH$2</f>
        <v>0</v>
      </c>
      <c r="AI1637" s="88">
        <f>SUMIF(月間集計シート!$M$92:$M$111,$G1637,月間集計シート!R$92:R$111)*AI$2</f>
        <v>0</v>
      </c>
      <c r="AJ1637" s="88">
        <f>SUMIF(月間集計シート!$M$92:$M$111,$G1637,月間集計シート!S$92:S$111)*AJ$2</f>
        <v>0</v>
      </c>
      <c r="AK1637" s="88">
        <f>SUMIF(月間集計シート!$M$92:$M$111,$G1637,月間集計シート!T$92:T$111)*AK$2</f>
        <v>0</v>
      </c>
      <c r="AL1637" s="88">
        <f>SUMIF(月間集計シート!$M$113:$M$132,$G1637,月間集計シート!N$113:N$132)*AL$2</f>
        <v>0</v>
      </c>
      <c r="AM1637" s="88">
        <f>SUMIF(月間集計シート!$M$113:$M$132,$G1637,月間集計シート!O$113:O$132)*AM$2</f>
        <v>0</v>
      </c>
      <c r="AN1637" s="88">
        <f>SUMIF(月間集計シート!$M$113:$M$132,$G1637,月間集計シート!P$113:P$132)*AN$2</f>
        <v>0</v>
      </c>
      <c r="AO1637" s="88">
        <f>SUMIF(月間集計シート!$M$113:$M$132,$G1637,月間集計シート!Q$113:Q$132)*AO$2</f>
        <v>0</v>
      </c>
      <c r="AP1637" s="88">
        <f>SUMIF(月間集計シート!$M$113:$M$132,$G1637,月間集計シート!R$113:R$132)*AP$2</f>
        <v>0</v>
      </c>
      <c r="AQ1637" s="88">
        <f>SUMIF(月間集計シート!$M$113:$M$132,$G1637,月間集計シート!S$113:S$132)*AQ$2</f>
        <v>0</v>
      </c>
      <c r="AR1637" s="88">
        <f>SUMIF(月間集計シート!$M$113:$M$132,$G1637,月間集計シート!T$113:T$132)*AR$2</f>
        <v>0</v>
      </c>
      <c r="AS1637" s="88">
        <f>SUMIF(月間集計シート!$M$134:$M$153,$G1637,月間集計シート!N$134:N$153)*AS$2</f>
        <v>0</v>
      </c>
      <c r="AT1637" s="88">
        <f>SUMIF(月間集計シート!$M$134:$M$153,$G1637,月間集計シート!O$134:O$153)*AT$2</f>
        <v>0</v>
      </c>
      <c r="AU1637" s="88">
        <f>SUMIF(月間集計シート!$M$134:$M$153,$G1637,月間集計シート!P$134:P$153)*AU$2</f>
        <v>0</v>
      </c>
      <c r="AV1637" s="88">
        <f>SUMIF(月間集計シート!$M$134:$M$153,$G1637,月間集計シート!Q$134:Q$153)*AV$2</f>
        <v>0</v>
      </c>
      <c r="AW1637" s="88">
        <f>SUMIF(月間集計シート!$M$134:$M$153,$G1637,月間集計シート!R$134:R$153)*AW$2</f>
        <v>0</v>
      </c>
      <c r="AX1637" s="88">
        <f>SUMIF(月間集計シート!$M$134:$M$153,$G1637,月間集計シート!S$134:S$153)*AX$2</f>
        <v>0</v>
      </c>
      <c r="AY1637" s="88">
        <f>SUMIF(月間集計シート!$M$134:$M$153,$G1637,月間集計シート!T$134:T$153)*AY$2</f>
        <v>0</v>
      </c>
    </row>
    <row r="1638" spans="1:51" ht="14.25" thickBot="1">
      <c r="A1638">
        <v>20</v>
      </c>
      <c r="B1638" s="120">
        <f t="shared" si="941"/>
        <v>0</v>
      </c>
      <c r="C1638" s="120" t="str">
        <f t="shared" si="942"/>
        <v/>
      </c>
      <c r="D1638" s="137"/>
      <c r="E1638" s="150" t="str">
        <f>工種!A15</f>
        <v>30101</v>
      </c>
      <c r="F1638" s="119" t="str">
        <f>工種!B15</f>
        <v>製造：内部設計書作成</v>
      </c>
      <c r="G1638" s="116" t="str">
        <f t="shared" si="890"/>
        <v>030101</v>
      </c>
      <c r="H1638" s="88">
        <f t="shared" si="897"/>
        <v>0</v>
      </c>
      <c r="I1638" s="132"/>
      <c r="J1638" s="88">
        <f>SUMIF(月間集計シート!$M$29:$M$48,$G1638,月間集計シート!N$29:N$48)*J$2</f>
        <v>0</v>
      </c>
      <c r="K1638" s="88">
        <f>SUMIF(月間集計シート!$M$29:$M$48,$G1638,月間集計シート!O$29:O$48)*K$2</f>
        <v>0</v>
      </c>
      <c r="L1638" s="88">
        <f>SUMIF(月間集計シート!$M$29:$M$48,$G1638,月間集計シート!P$29:P$48)*L$2</f>
        <v>0</v>
      </c>
      <c r="M1638" s="88">
        <f>SUMIF(月間集計シート!$M$29:$M$48,$G1638,月間集計シート!Q$29:Q$48)*M$2</f>
        <v>0</v>
      </c>
      <c r="N1638" s="88">
        <f>SUMIF(月間集計シート!$M$29:$M$48,$G1638,月間集計シート!R$29:R$48)*N$2</f>
        <v>0</v>
      </c>
      <c r="O1638" s="88">
        <f>SUMIF(月間集計シート!$M$29:$M$48,$G1638,月間集計シート!S$29:S$48)*O$2</f>
        <v>0</v>
      </c>
      <c r="P1638" s="88">
        <f>SUMIF(月間集計シート!$M$29:$M$48,$G1638,月間集計シート!T$29:T$48)*P$2</f>
        <v>0</v>
      </c>
      <c r="Q1638" s="88">
        <f>SUMIF(月間集計シート!$M$50:$M$69,$G1638,月間集計シート!N$50:N$69)*Q$2</f>
        <v>0</v>
      </c>
      <c r="R1638" s="88">
        <f>SUMIF(月間集計シート!$M$50:$M$69,$G1638,月間集計シート!O$50:O$69)*R$2</f>
        <v>0</v>
      </c>
      <c r="S1638" s="88">
        <f>SUMIF(月間集計シート!$M$50:$M$69,$G1638,月間集計シート!P$50:P$69)*S$2</f>
        <v>0</v>
      </c>
      <c r="T1638" s="88">
        <f>SUMIF(月間集計シート!$M$50:$M$69,$G1638,月間集計シート!Q$50:Q$69)*T$2</f>
        <v>0</v>
      </c>
      <c r="U1638" s="88">
        <f>SUMIF(月間集計シート!$M$50:$M$69,$G1638,月間集計シート!R$50:R$69)*U$2</f>
        <v>0</v>
      </c>
      <c r="V1638" s="88">
        <f>SUMIF(月間集計シート!$M$50:$M$69,$G1638,月間集計シート!S$50:S$69)*V$2</f>
        <v>0</v>
      </c>
      <c r="W1638" s="88">
        <f>SUMIF(月間集計シート!$M$50:$M$69,$G1638,月間集計シート!T$50:T$69)*W$2</f>
        <v>0</v>
      </c>
      <c r="X1638" s="88">
        <f>SUMIF(月間集計シート!$M$71:$M$90,$G1638,月間集計シート!N$71:N$90)*X$2</f>
        <v>0</v>
      </c>
      <c r="Y1638" s="88">
        <f>SUMIF(月間集計シート!$M$71:$M$90,$G1638,月間集計シート!O$71:O$90)*Y$2</f>
        <v>0</v>
      </c>
      <c r="Z1638" s="88">
        <f>SUMIF(月間集計シート!$M$71:$M$90,$G1638,月間集計シート!P$71:P$90)*Z$2</f>
        <v>0</v>
      </c>
      <c r="AA1638" s="88">
        <f>SUMIF(月間集計シート!$M$71:$M$90,$G1638,月間集計シート!Q$71:Q$90)*AA$2</f>
        <v>0</v>
      </c>
      <c r="AB1638" s="88">
        <f>SUMIF(月間集計シート!$M$71:$M$90,$G1638,月間集計シート!R$71:R$90)*AB$2</f>
        <v>0</v>
      </c>
      <c r="AC1638" s="88">
        <f>SUMIF(月間集計シート!$M$71:$M$90,$G1638,月間集計シート!S$71:S$90)*AC$2</f>
        <v>0</v>
      </c>
      <c r="AD1638" s="88">
        <f>SUMIF(月間集計シート!$M$71:$M$90,$G1638,月間集計シート!T$71:T$90)*AD$2</f>
        <v>0</v>
      </c>
      <c r="AE1638" s="88">
        <f>SUMIF(月間集計シート!$M$92:$M$111,$G1638,月間集計シート!N$92:N$111)*AE$2</f>
        <v>0</v>
      </c>
      <c r="AF1638" s="88">
        <f>SUMIF(月間集計シート!$M$92:$M$111,$G1638,月間集計シート!O$92:O$111)*AF$2</f>
        <v>0</v>
      </c>
      <c r="AG1638" s="88">
        <f>SUMIF(月間集計シート!$M$92:$M$111,$G1638,月間集計シート!P$92:P$111)*AG$2</f>
        <v>0</v>
      </c>
      <c r="AH1638" s="88">
        <f>SUMIF(月間集計シート!$M$92:$M$111,$G1638,月間集計シート!Q$92:Q$111)*AH$2</f>
        <v>0</v>
      </c>
      <c r="AI1638" s="88">
        <f>SUMIF(月間集計シート!$M$92:$M$111,$G1638,月間集計シート!R$92:R$111)*AI$2</f>
        <v>0</v>
      </c>
      <c r="AJ1638" s="88">
        <f>SUMIF(月間集計シート!$M$92:$M$111,$G1638,月間集計シート!S$92:S$111)*AJ$2</f>
        <v>0</v>
      </c>
      <c r="AK1638" s="88">
        <f>SUMIF(月間集計シート!$M$92:$M$111,$G1638,月間集計シート!T$92:T$111)*AK$2</f>
        <v>0</v>
      </c>
      <c r="AL1638" s="88">
        <f>SUMIF(月間集計シート!$M$113:$M$132,$G1638,月間集計シート!N$113:N$132)*AL$2</f>
        <v>0</v>
      </c>
      <c r="AM1638" s="88">
        <f>SUMIF(月間集計シート!$M$113:$M$132,$G1638,月間集計シート!O$113:O$132)*AM$2</f>
        <v>0</v>
      </c>
      <c r="AN1638" s="88">
        <f>SUMIF(月間集計シート!$M$113:$M$132,$G1638,月間集計シート!P$113:P$132)*AN$2</f>
        <v>0</v>
      </c>
      <c r="AO1638" s="88">
        <f>SUMIF(月間集計シート!$M$113:$M$132,$G1638,月間集計シート!Q$113:Q$132)*AO$2</f>
        <v>0</v>
      </c>
      <c r="AP1638" s="88">
        <f>SUMIF(月間集計シート!$M$113:$M$132,$G1638,月間集計シート!R$113:R$132)*AP$2</f>
        <v>0</v>
      </c>
      <c r="AQ1638" s="88">
        <f>SUMIF(月間集計シート!$M$113:$M$132,$G1638,月間集計シート!S$113:S$132)*AQ$2</f>
        <v>0</v>
      </c>
      <c r="AR1638" s="88">
        <f>SUMIF(月間集計シート!$M$113:$M$132,$G1638,月間集計シート!T$113:T$132)*AR$2</f>
        <v>0</v>
      </c>
      <c r="AS1638" s="88">
        <f>SUMIF(月間集計シート!$M$134:$M$153,$G1638,月間集計シート!N$134:N$153)*AS$2</f>
        <v>0</v>
      </c>
      <c r="AT1638" s="88">
        <f>SUMIF(月間集計シート!$M$134:$M$153,$G1638,月間集計シート!O$134:O$153)*AT$2</f>
        <v>0</v>
      </c>
      <c r="AU1638" s="88">
        <f>SUMIF(月間集計シート!$M$134:$M$153,$G1638,月間集計シート!P$134:P$153)*AU$2</f>
        <v>0</v>
      </c>
      <c r="AV1638" s="88">
        <f>SUMIF(月間集計シート!$M$134:$M$153,$G1638,月間集計シート!Q$134:Q$153)*AV$2</f>
        <v>0</v>
      </c>
      <c r="AW1638" s="88">
        <f>SUMIF(月間集計シート!$M$134:$M$153,$G1638,月間集計シート!R$134:R$153)*AW$2</f>
        <v>0</v>
      </c>
      <c r="AX1638" s="88">
        <f>SUMIF(月間集計シート!$M$134:$M$153,$G1638,月間集計シート!S$134:S$153)*AX$2</f>
        <v>0</v>
      </c>
      <c r="AY1638" s="88">
        <f>SUMIF(月間集計シート!$M$134:$M$153,$G1638,月間集計シート!T$134:T$153)*AY$2</f>
        <v>0</v>
      </c>
    </row>
    <row r="1639" spans="1:51" ht="14.25" thickBot="1">
      <c r="A1639">
        <v>20</v>
      </c>
      <c r="B1639" s="120">
        <f t="shared" si="941"/>
        <v>0</v>
      </c>
      <c r="C1639" s="120" t="str">
        <f t="shared" si="942"/>
        <v/>
      </c>
      <c r="D1639" s="137"/>
      <c r="E1639" s="150" t="str">
        <f>工種!A16</f>
        <v>30102</v>
      </c>
      <c r="F1639" s="119" t="str">
        <f>工種!B16</f>
        <v>製造：コーディング</v>
      </c>
      <c r="G1639" s="116" t="str">
        <f t="shared" si="890"/>
        <v>030102</v>
      </c>
      <c r="H1639" s="88">
        <f t="shared" si="897"/>
        <v>0</v>
      </c>
      <c r="I1639" s="132"/>
      <c r="J1639" s="88">
        <f>SUMIF(月間集計シート!$M$29:$M$48,$G1639,月間集計シート!N$29:N$48)*J$2</f>
        <v>0</v>
      </c>
      <c r="K1639" s="88">
        <f>SUMIF(月間集計シート!$M$29:$M$48,$G1639,月間集計シート!O$29:O$48)*K$2</f>
        <v>0</v>
      </c>
      <c r="L1639" s="88">
        <f>SUMIF(月間集計シート!$M$29:$M$48,$G1639,月間集計シート!P$29:P$48)*L$2</f>
        <v>0</v>
      </c>
      <c r="M1639" s="88">
        <f>SUMIF(月間集計シート!$M$29:$M$48,$G1639,月間集計シート!Q$29:Q$48)*M$2</f>
        <v>0</v>
      </c>
      <c r="N1639" s="88">
        <f>SUMIF(月間集計シート!$M$29:$M$48,$G1639,月間集計シート!R$29:R$48)*N$2</f>
        <v>0</v>
      </c>
      <c r="O1639" s="88">
        <f>SUMIF(月間集計シート!$M$29:$M$48,$G1639,月間集計シート!S$29:S$48)*O$2</f>
        <v>0</v>
      </c>
      <c r="P1639" s="88">
        <f>SUMIF(月間集計シート!$M$29:$M$48,$G1639,月間集計シート!T$29:T$48)*P$2</f>
        <v>0</v>
      </c>
      <c r="Q1639" s="88">
        <f>SUMIF(月間集計シート!$M$50:$M$69,$G1639,月間集計シート!N$50:N$69)*Q$2</f>
        <v>0</v>
      </c>
      <c r="R1639" s="88">
        <f>SUMIF(月間集計シート!$M$50:$M$69,$G1639,月間集計シート!O$50:O$69)*R$2</f>
        <v>0</v>
      </c>
      <c r="S1639" s="88">
        <f>SUMIF(月間集計シート!$M$50:$M$69,$G1639,月間集計シート!P$50:P$69)*S$2</f>
        <v>0</v>
      </c>
      <c r="T1639" s="88">
        <f>SUMIF(月間集計シート!$M$50:$M$69,$G1639,月間集計シート!Q$50:Q$69)*T$2</f>
        <v>0</v>
      </c>
      <c r="U1639" s="88">
        <f>SUMIF(月間集計シート!$M$50:$M$69,$G1639,月間集計シート!R$50:R$69)*U$2</f>
        <v>0</v>
      </c>
      <c r="V1639" s="88">
        <f>SUMIF(月間集計シート!$M$50:$M$69,$G1639,月間集計シート!S$50:S$69)*V$2</f>
        <v>0</v>
      </c>
      <c r="W1639" s="88">
        <f>SUMIF(月間集計シート!$M$50:$M$69,$G1639,月間集計シート!T$50:T$69)*W$2</f>
        <v>0</v>
      </c>
      <c r="X1639" s="88">
        <f>SUMIF(月間集計シート!$M$71:$M$90,$G1639,月間集計シート!N$71:N$90)*X$2</f>
        <v>0</v>
      </c>
      <c r="Y1639" s="88">
        <f>SUMIF(月間集計シート!$M$71:$M$90,$G1639,月間集計シート!O$71:O$90)*Y$2</f>
        <v>0</v>
      </c>
      <c r="Z1639" s="88">
        <f>SUMIF(月間集計シート!$M$71:$M$90,$G1639,月間集計シート!P$71:P$90)*Z$2</f>
        <v>0</v>
      </c>
      <c r="AA1639" s="88">
        <f>SUMIF(月間集計シート!$M$71:$M$90,$G1639,月間集計シート!Q$71:Q$90)*AA$2</f>
        <v>0</v>
      </c>
      <c r="AB1639" s="88">
        <f>SUMIF(月間集計シート!$M$71:$M$90,$G1639,月間集計シート!R$71:R$90)*AB$2</f>
        <v>0</v>
      </c>
      <c r="AC1639" s="88">
        <f>SUMIF(月間集計シート!$M$71:$M$90,$G1639,月間集計シート!S$71:S$90)*AC$2</f>
        <v>0</v>
      </c>
      <c r="AD1639" s="88">
        <f>SUMIF(月間集計シート!$M$71:$M$90,$G1639,月間集計シート!T$71:T$90)*AD$2</f>
        <v>0</v>
      </c>
      <c r="AE1639" s="88">
        <f>SUMIF(月間集計シート!$M$92:$M$111,$G1639,月間集計シート!N$92:N$111)*AE$2</f>
        <v>0</v>
      </c>
      <c r="AF1639" s="88">
        <f>SUMIF(月間集計シート!$M$92:$M$111,$G1639,月間集計シート!O$92:O$111)*AF$2</f>
        <v>0</v>
      </c>
      <c r="AG1639" s="88">
        <f>SUMIF(月間集計シート!$M$92:$M$111,$G1639,月間集計シート!P$92:P$111)*AG$2</f>
        <v>0</v>
      </c>
      <c r="AH1639" s="88">
        <f>SUMIF(月間集計シート!$M$92:$M$111,$G1639,月間集計シート!Q$92:Q$111)*AH$2</f>
        <v>0</v>
      </c>
      <c r="AI1639" s="88">
        <f>SUMIF(月間集計シート!$M$92:$M$111,$G1639,月間集計シート!R$92:R$111)*AI$2</f>
        <v>0</v>
      </c>
      <c r="AJ1639" s="88">
        <f>SUMIF(月間集計シート!$M$92:$M$111,$G1639,月間集計シート!S$92:S$111)*AJ$2</f>
        <v>0</v>
      </c>
      <c r="AK1639" s="88">
        <f>SUMIF(月間集計シート!$M$92:$M$111,$G1639,月間集計シート!T$92:T$111)*AK$2</f>
        <v>0</v>
      </c>
      <c r="AL1639" s="88">
        <f>SUMIF(月間集計シート!$M$113:$M$132,$G1639,月間集計シート!N$113:N$132)*AL$2</f>
        <v>0</v>
      </c>
      <c r="AM1639" s="88">
        <f>SUMIF(月間集計シート!$M$113:$M$132,$G1639,月間集計シート!O$113:O$132)*AM$2</f>
        <v>0</v>
      </c>
      <c r="AN1639" s="88">
        <f>SUMIF(月間集計シート!$M$113:$M$132,$G1639,月間集計シート!P$113:P$132)*AN$2</f>
        <v>0</v>
      </c>
      <c r="AO1639" s="88">
        <f>SUMIF(月間集計シート!$M$113:$M$132,$G1639,月間集計シート!Q$113:Q$132)*AO$2</f>
        <v>0</v>
      </c>
      <c r="AP1639" s="88">
        <f>SUMIF(月間集計シート!$M$113:$M$132,$G1639,月間集計シート!R$113:R$132)*AP$2</f>
        <v>0</v>
      </c>
      <c r="AQ1639" s="88">
        <f>SUMIF(月間集計シート!$M$113:$M$132,$G1639,月間集計シート!S$113:S$132)*AQ$2</f>
        <v>0</v>
      </c>
      <c r="AR1639" s="88">
        <f>SUMIF(月間集計シート!$M$113:$M$132,$G1639,月間集計シート!T$113:T$132)*AR$2</f>
        <v>0</v>
      </c>
      <c r="AS1639" s="88">
        <f>SUMIF(月間集計シート!$M$134:$M$153,$G1639,月間集計シート!N$134:N$153)*AS$2</f>
        <v>0</v>
      </c>
      <c r="AT1639" s="88">
        <f>SUMIF(月間集計シート!$M$134:$M$153,$G1639,月間集計シート!O$134:O$153)*AT$2</f>
        <v>0</v>
      </c>
      <c r="AU1639" s="88">
        <f>SUMIF(月間集計シート!$M$134:$M$153,$G1639,月間集計シート!P$134:P$153)*AU$2</f>
        <v>0</v>
      </c>
      <c r="AV1639" s="88">
        <f>SUMIF(月間集計シート!$M$134:$M$153,$G1639,月間集計シート!Q$134:Q$153)*AV$2</f>
        <v>0</v>
      </c>
      <c r="AW1639" s="88">
        <f>SUMIF(月間集計シート!$M$134:$M$153,$G1639,月間集計シート!R$134:R$153)*AW$2</f>
        <v>0</v>
      </c>
      <c r="AX1639" s="88">
        <f>SUMIF(月間集計シート!$M$134:$M$153,$G1639,月間集計シート!S$134:S$153)*AX$2</f>
        <v>0</v>
      </c>
      <c r="AY1639" s="88">
        <f>SUMIF(月間集計シート!$M$134:$M$153,$G1639,月間集計シート!T$134:T$153)*AY$2</f>
        <v>0</v>
      </c>
    </row>
    <row r="1640" spans="1:51" ht="14.25" thickBot="1">
      <c r="A1640">
        <v>20</v>
      </c>
      <c r="B1640" s="120">
        <f t="shared" si="941"/>
        <v>0</v>
      </c>
      <c r="C1640" s="120" t="str">
        <f t="shared" si="942"/>
        <v/>
      </c>
      <c r="D1640" s="137"/>
      <c r="E1640" s="150" t="str">
        <f>工種!A17</f>
        <v>30103</v>
      </c>
      <c r="F1640" s="119" t="str">
        <f>工種!B17</f>
        <v>製造：単体テスト設計書作成</v>
      </c>
      <c r="G1640" s="116" t="str">
        <f t="shared" si="890"/>
        <v>030103</v>
      </c>
      <c r="H1640" s="88">
        <f t="shared" si="897"/>
        <v>0</v>
      </c>
      <c r="I1640" s="132"/>
      <c r="J1640" s="88">
        <f>SUMIF(月間集計シート!$M$29:$M$48,$G1640,月間集計シート!N$29:N$48)*J$2</f>
        <v>0</v>
      </c>
      <c r="K1640" s="88">
        <f>SUMIF(月間集計シート!$M$29:$M$48,$G1640,月間集計シート!O$29:O$48)*K$2</f>
        <v>0</v>
      </c>
      <c r="L1640" s="88">
        <f>SUMIF(月間集計シート!$M$29:$M$48,$G1640,月間集計シート!P$29:P$48)*L$2</f>
        <v>0</v>
      </c>
      <c r="M1640" s="88">
        <f>SUMIF(月間集計シート!$M$29:$M$48,$G1640,月間集計シート!Q$29:Q$48)*M$2</f>
        <v>0</v>
      </c>
      <c r="N1640" s="88">
        <f>SUMIF(月間集計シート!$M$29:$M$48,$G1640,月間集計シート!R$29:R$48)*N$2</f>
        <v>0</v>
      </c>
      <c r="O1640" s="88">
        <f>SUMIF(月間集計シート!$M$29:$M$48,$G1640,月間集計シート!S$29:S$48)*O$2</f>
        <v>0</v>
      </c>
      <c r="P1640" s="88">
        <f>SUMIF(月間集計シート!$M$29:$M$48,$G1640,月間集計シート!T$29:T$48)*P$2</f>
        <v>0</v>
      </c>
      <c r="Q1640" s="88">
        <f>SUMIF(月間集計シート!$M$50:$M$69,$G1640,月間集計シート!N$50:N$69)*Q$2</f>
        <v>0</v>
      </c>
      <c r="R1640" s="88">
        <f>SUMIF(月間集計シート!$M$50:$M$69,$G1640,月間集計シート!O$50:O$69)*R$2</f>
        <v>0</v>
      </c>
      <c r="S1640" s="88">
        <f>SUMIF(月間集計シート!$M$50:$M$69,$G1640,月間集計シート!P$50:P$69)*S$2</f>
        <v>0</v>
      </c>
      <c r="T1640" s="88">
        <f>SUMIF(月間集計シート!$M$50:$M$69,$G1640,月間集計シート!Q$50:Q$69)*T$2</f>
        <v>0</v>
      </c>
      <c r="U1640" s="88">
        <f>SUMIF(月間集計シート!$M$50:$M$69,$G1640,月間集計シート!R$50:R$69)*U$2</f>
        <v>0</v>
      </c>
      <c r="V1640" s="88">
        <f>SUMIF(月間集計シート!$M$50:$M$69,$G1640,月間集計シート!S$50:S$69)*V$2</f>
        <v>0</v>
      </c>
      <c r="W1640" s="88">
        <f>SUMIF(月間集計シート!$M$50:$M$69,$G1640,月間集計シート!T$50:T$69)*W$2</f>
        <v>0</v>
      </c>
      <c r="X1640" s="88">
        <f>SUMIF(月間集計シート!$M$71:$M$90,$G1640,月間集計シート!N$71:N$90)*X$2</f>
        <v>0</v>
      </c>
      <c r="Y1640" s="88">
        <f>SUMIF(月間集計シート!$M$71:$M$90,$G1640,月間集計シート!O$71:O$90)*Y$2</f>
        <v>0</v>
      </c>
      <c r="Z1640" s="88">
        <f>SUMIF(月間集計シート!$M$71:$M$90,$G1640,月間集計シート!P$71:P$90)*Z$2</f>
        <v>0</v>
      </c>
      <c r="AA1640" s="88">
        <f>SUMIF(月間集計シート!$M$71:$M$90,$G1640,月間集計シート!Q$71:Q$90)*AA$2</f>
        <v>0</v>
      </c>
      <c r="AB1640" s="88">
        <f>SUMIF(月間集計シート!$M$71:$M$90,$G1640,月間集計シート!R$71:R$90)*AB$2</f>
        <v>0</v>
      </c>
      <c r="AC1640" s="88">
        <f>SUMIF(月間集計シート!$M$71:$M$90,$G1640,月間集計シート!S$71:S$90)*AC$2</f>
        <v>0</v>
      </c>
      <c r="AD1640" s="88">
        <f>SUMIF(月間集計シート!$M$71:$M$90,$G1640,月間集計シート!T$71:T$90)*AD$2</f>
        <v>0</v>
      </c>
      <c r="AE1640" s="88">
        <f>SUMIF(月間集計シート!$M$92:$M$111,$G1640,月間集計シート!N$92:N$111)*AE$2</f>
        <v>0</v>
      </c>
      <c r="AF1640" s="88">
        <f>SUMIF(月間集計シート!$M$92:$M$111,$G1640,月間集計シート!O$92:O$111)*AF$2</f>
        <v>0</v>
      </c>
      <c r="AG1640" s="88">
        <f>SUMIF(月間集計シート!$M$92:$M$111,$G1640,月間集計シート!P$92:P$111)*AG$2</f>
        <v>0</v>
      </c>
      <c r="AH1640" s="88">
        <f>SUMIF(月間集計シート!$M$92:$M$111,$G1640,月間集計シート!Q$92:Q$111)*AH$2</f>
        <v>0</v>
      </c>
      <c r="AI1640" s="88">
        <f>SUMIF(月間集計シート!$M$92:$M$111,$G1640,月間集計シート!R$92:R$111)*AI$2</f>
        <v>0</v>
      </c>
      <c r="AJ1640" s="88">
        <f>SUMIF(月間集計シート!$M$92:$M$111,$G1640,月間集計シート!S$92:S$111)*AJ$2</f>
        <v>0</v>
      </c>
      <c r="AK1640" s="88">
        <f>SUMIF(月間集計シート!$M$92:$M$111,$G1640,月間集計シート!T$92:T$111)*AK$2</f>
        <v>0</v>
      </c>
      <c r="AL1640" s="88">
        <f>SUMIF(月間集計シート!$M$113:$M$132,$G1640,月間集計シート!N$113:N$132)*AL$2</f>
        <v>0</v>
      </c>
      <c r="AM1640" s="88">
        <f>SUMIF(月間集計シート!$M$113:$M$132,$G1640,月間集計シート!O$113:O$132)*AM$2</f>
        <v>0</v>
      </c>
      <c r="AN1640" s="88">
        <f>SUMIF(月間集計シート!$M$113:$M$132,$G1640,月間集計シート!P$113:P$132)*AN$2</f>
        <v>0</v>
      </c>
      <c r="AO1640" s="88">
        <f>SUMIF(月間集計シート!$M$113:$M$132,$G1640,月間集計シート!Q$113:Q$132)*AO$2</f>
        <v>0</v>
      </c>
      <c r="AP1640" s="88">
        <f>SUMIF(月間集計シート!$M$113:$M$132,$G1640,月間集計シート!R$113:R$132)*AP$2</f>
        <v>0</v>
      </c>
      <c r="AQ1640" s="88">
        <f>SUMIF(月間集計シート!$M$113:$M$132,$G1640,月間集計シート!S$113:S$132)*AQ$2</f>
        <v>0</v>
      </c>
      <c r="AR1640" s="88">
        <f>SUMIF(月間集計シート!$M$113:$M$132,$G1640,月間集計シート!T$113:T$132)*AR$2</f>
        <v>0</v>
      </c>
      <c r="AS1640" s="88">
        <f>SUMIF(月間集計シート!$M$134:$M$153,$G1640,月間集計シート!N$134:N$153)*AS$2</f>
        <v>0</v>
      </c>
      <c r="AT1640" s="88">
        <f>SUMIF(月間集計シート!$M$134:$M$153,$G1640,月間集計シート!O$134:O$153)*AT$2</f>
        <v>0</v>
      </c>
      <c r="AU1640" s="88">
        <f>SUMIF(月間集計シート!$M$134:$M$153,$G1640,月間集計シート!P$134:P$153)*AU$2</f>
        <v>0</v>
      </c>
      <c r="AV1640" s="88">
        <f>SUMIF(月間集計シート!$M$134:$M$153,$G1640,月間集計シート!Q$134:Q$153)*AV$2</f>
        <v>0</v>
      </c>
      <c r="AW1640" s="88">
        <f>SUMIF(月間集計シート!$M$134:$M$153,$G1640,月間集計シート!R$134:R$153)*AW$2</f>
        <v>0</v>
      </c>
      <c r="AX1640" s="88">
        <f>SUMIF(月間集計シート!$M$134:$M$153,$G1640,月間集計シート!S$134:S$153)*AX$2</f>
        <v>0</v>
      </c>
      <c r="AY1640" s="88">
        <f>SUMIF(月間集計シート!$M$134:$M$153,$G1640,月間集計シート!T$134:T$153)*AY$2</f>
        <v>0</v>
      </c>
    </row>
    <row r="1641" spans="1:51" ht="14.25" thickBot="1">
      <c r="A1641">
        <v>20</v>
      </c>
      <c r="B1641" s="120">
        <f t="shared" si="941"/>
        <v>0</v>
      </c>
      <c r="C1641" s="120" t="str">
        <f t="shared" si="942"/>
        <v/>
      </c>
      <c r="D1641" s="137"/>
      <c r="E1641" s="150" t="str">
        <f>工種!A18</f>
        <v>30104</v>
      </c>
      <c r="F1641" s="119" t="str">
        <f>工種!B18</f>
        <v>製造：単体テスト実施</v>
      </c>
      <c r="G1641" s="116" t="str">
        <f t="shared" si="890"/>
        <v>030104</v>
      </c>
      <c r="H1641" s="88">
        <f t="shared" si="897"/>
        <v>0</v>
      </c>
      <c r="I1641" s="132"/>
      <c r="J1641" s="88">
        <f>SUMIF(月間集計シート!$M$29:$M$48,$G1641,月間集計シート!N$29:N$48)*J$2</f>
        <v>0</v>
      </c>
      <c r="K1641" s="88">
        <f>SUMIF(月間集計シート!$M$29:$M$48,$G1641,月間集計シート!O$29:O$48)*K$2</f>
        <v>0</v>
      </c>
      <c r="L1641" s="88">
        <f>SUMIF(月間集計シート!$M$29:$M$48,$G1641,月間集計シート!P$29:P$48)*L$2</f>
        <v>0</v>
      </c>
      <c r="M1641" s="88">
        <f>SUMIF(月間集計シート!$M$29:$M$48,$G1641,月間集計シート!Q$29:Q$48)*M$2</f>
        <v>0</v>
      </c>
      <c r="N1641" s="88">
        <f>SUMIF(月間集計シート!$M$29:$M$48,$G1641,月間集計シート!R$29:R$48)*N$2</f>
        <v>0</v>
      </c>
      <c r="O1641" s="88">
        <f>SUMIF(月間集計シート!$M$29:$M$48,$G1641,月間集計シート!S$29:S$48)*O$2</f>
        <v>0</v>
      </c>
      <c r="P1641" s="88">
        <f>SUMIF(月間集計シート!$M$29:$M$48,$G1641,月間集計シート!T$29:T$48)*P$2</f>
        <v>0</v>
      </c>
      <c r="Q1641" s="88">
        <f>SUMIF(月間集計シート!$M$50:$M$69,$G1641,月間集計シート!N$50:N$69)*Q$2</f>
        <v>0</v>
      </c>
      <c r="R1641" s="88">
        <f>SUMIF(月間集計シート!$M$50:$M$69,$G1641,月間集計シート!O$50:O$69)*R$2</f>
        <v>0</v>
      </c>
      <c r="S1641" s="88">
        <f>SUMIF(月間集計シート!$M$50:$M$69,$G1641,月間集計シート!P$50:P$69)*S$2</f>
        <v>0</v>
      </c>
      <c r="T1641" s="88">
        <f>SUMIF(月間集計シート!$M$50:$M$69,$G1641,月間集計シート!Q$50:Q$69)*T$2</f>
        <v>0</v>
      </c>
      <c r="U1641" s="88">
        <f>SUMIF(月間集計シート!$M$50:$M$69,$G1641,月間集計シート!R$50:R$69)*U$2</f>
        <v>0</v>
      </c>
      <c r="V1641" s="88">
        <f>SUMIF(月間集計シート!$M$50:$M$69,$G1641,月間集計シート!S$50:S$69)*V$2</f>
        <v>0</v>
      </c>
      <c r="W1641" s="88">
        <f>SUMIF(月間集計シート!$M$50:$M$69,$G1641,月間集計シート!T$50:T$69)*W$2</f>
        <v>0</v>
      </c>
      <c r="X1641" s="88">
        <f>SUMIF(月間集計シート!$M$71:$M$90,$G1641,月間集計シート!N$71:N$90)*X$2</f>
        <v>0</v>
      </c>
      <c r="Y1641" s="88">
        <f>SUMIF(月間集計シート!$M$71:$M$90,$G1641,月間集計シート!O$71:O$90)*Y$2</f>
        <v>0</v>
      </c>
      <c r="Z1641" s="88">
        <f>SUMIF(月間集計シート!$M$71:$M$90,$G1641,月間集計シート!P$71:P$90)*Z$2</f>
        <v>0</v>
      </c>
      <c r="AA1641" s="88">
        <f>SUMIF(月間集計シート!$M$71:$M$90,$G1641,月間集計シート!Q$71:Q$90)*AA$2</f>
        <v>0</v>
      </c>
      <c r="AB1641" s="88">
        <f>SUMIF(月間集計シート!$M$71:$M$90,$G1641,月間集計シート!R$71:R$90)*AB$2</f>
        <v>0</v>
      </c>
      <c r="AC1641" s="88">
        <f>SUMIF(月間集計シート!$M$71:$M$90,$G1641,月間集計シート!S$71:S$90)*AC$2</f>
        <v>0</v>
      </c>
      <c r="AD1641" s="88">
        <f>SUMIF(月間集計シート!$M$71:$M$90,$G1641,月間集計シート!T$71:T$90)*AD$2</f>
        <v>0</v>
      </c>
      <c r="AE1641" s="88">
        <f>SUMIF(月間集計シート!$M$92:$M$111,$G1641,月間集計シート!N$92:N$111)*AE$2</f>
        <v>0</v>
      </c>
      <c r="AF1641" s="88">
        <f>SUMIF(月間集計シート!$M$92:$M$111,$G1641,月間集計シート!O$92:O$111)*AF$2</f>
        <v>0</v>
      </c>
      <c r="AG1641" s="88">
        <f>SUMIF(月間集計シート!$M$92:$M$111,$G1641,月間集計シート!P$92:P$111)*AG$2</f>
        <v>0</v>
      </c>
      <c r="AH1641" s="88">
        <f>SUMIF(月間集計シート!$M$92:$M$111,$G1641,月間集計シート!Q$92:Q$111)*AH$2</f>
        <v>0</v>
      </c>
      <c r="AI1641" s="88">
        <f>SUMIF(月間集計シート!$M$92:$M$111,$G1641,月間集計シート!R$92:R$111)*AI$2</f>
        <v>0</v>
      </c>
      <c r="AJ1641" s="88">
        <f>SUMIF(月間集計シート!$M$92:$M$111,$G1641,月間集計シート!S$92:S$111)*AJ$2</f>
        <v>0</v>
      </c>
      <c r="AK1641" s="88">
        <f>SUMIF(月間集計シート!$M$92:$M$111,$G1641,月間集計シート!T$92:T$111)*AK$2</f>
        <v>0</v>
      </c>
      <c r="AL1641" s="88">
        <f>SUMIF(月間集計シート!$M$113:$M$132,$G1641,月間集計シート!N$113:N$132)*AL$2</f>
        <v>0</v>
      </c>
      <c r="AM1641" s="88">
        <f>SUMIF(月間集計シート!$M$113:$M$132,$G1641,月間集計シート!O$113:O$132)*AM$2</f>
        <v>0</v>
      </c>
      <c r="AN1641" s="88">
        <f>SUMIF(月間集計シート!$M$113:$M$132,$G1641,月間集計シート!P$113:P$132)*AN$2</f>
        <v>0</v>
      </c>
      <c r="AO1641" s="88">
        <f>SUMIF(月間集計シート!$M$113:$M$132,$G1641,月間集計シート!Q$113:Q$132)*AO$2</f>
        <v>0</v>
      </c>
      <c r="AP1641" s="88">
        <f>SUMIF(月間集計シート!$M$113:$M$132,$G1641,月間集計シート!R$113:R$132)*AP$2</f>
        <v>0</v>
      </c>
      <c r="AQ1641" s="88">
        <f>SUMIF(月間集計シート!$M$113:$M$132,$G1641,月間集計シート!S$113:S$132)*AQ$2</f>
        <v>0</v>
      </c>
      <c r="AR1641" s="88">
        <f>SUMIF(月間集計シート!$M$113:$M$132,$G1641,月間集計シート!T$113:T$132)*AR$2</f>
        <v>0</v>
      </c>
      <c r="AS1641" s="88">
        <f>SUMIF(月間集計シート!$M$134:$M$153,$G1641,月間集計シート!N$134:N$153)*AS$2</f>
        <v>0</v>
      </c>
      <c r="AT1641" s="88">
        <f>SUMIF(月間集計シート!$M$134:$M$153,$G1641,月間集計シート!O$134:O$153)*AT$2</f>
        <v>0</v>
      </c>
      <c r="AU1641" s="88">
        <f>SUMIF(月間集計シート!$M$134:$M$153,$G1641,月間集計シート!P$134:P$153)*AU$2</f>
        <v>0</v>
      </c>
      <c r="AV1641" s="88">
        <f>SUMIF(月間集計シート!$M$134:$M$153,$G1641,月間集計シート!Q$134:Q$153)*AV$2</f>
        <v>0</v>
      </c>
      <c r="AW1641" s="88">
        <f>SUMIF(月間集計シート!$M$134:$M$153,$G1641,月間集計シート!R$134:R$153)*AW$2</f>
        <v>0</v>
      </c>
      <c r="AX1641" s="88">
        <f>SUMIF(月間集計シート!$M$134:$M$153,$G1641,月間集計シート!S$134:S$153)*AX$2</f>
        <v>0</v>
      </c>
      <c r="AY1641" s="88">
        <f>SUMIF(月間集計シート!$M$134:$M$153,$G1641,月間集計シート!T$134:T$153)*AY$2</f>
        <v>0</v>
      </c>
    </row>
    <row r="1642" spans="1:51" ht="14.25" thickBot="1">
      <c r="A1642">
        <v>20</v>
      </c>
      <c r="B1642" s="120">
        <f t="shared" si="941"/>
        <v>0</v>
      </c>
      <c r="C1642" s="120" t="str">
        <f t="shared" si="942"/>
        <v/>
      </c>
      <c r="D1642" s="137"/>
      <c r="E1642" s="150" t="str">
        <f>工種!A19</f>
        <v>30105</v>
      </c>
      <c r="F1642" s="119" t="str">
        <f>工種!B19</f>
        <v>製造：打合せ</v>
      </c>
      <c r="G1642" s="116" t="str">
        <f t="shared" si="890"/>
        <v>030105</v>
      </c>
      <c r="H1642" s="88">
        <f t="shared" si="897"/>
        <v>0</v>
      </c>
      <c r="I1642" s="132"/>
      <c r="J1642" s="88">
        <f>SUMIF(月間集計シート!$M$29:$M$48,$G1642,月間集計シート!N$29:N$48)*J$2</f>
        <v>0</v>
      </c>
      <c r="K1642" s="88">
        <f>SUMIF(月間集計シート!$M$29:$M$48,$G1642,月間集計シート!O$29:O$48)*K$2</f>
        <v>0</v>
      </c>
      <c r="L1642" s="88">
        <f>SUMIF(月間集計シート!$M$29:$M$48,$G1642,月間集計シート!P$29:P$48)*L$2</f>
        <v>0</v>
      </c>
      <c r="M1642" s="88">
        <f>SUMIF(月間集計シート!$M$29:$M$48,$G1642,月間集計シート!Q$29:Q$48)*M$2</f>
        <v>0</v>
      </c>
      <c r="N1642" s="88">
        <f>SUMIF(月間集計シート!$M$29:$M$48,$G1642,月間集計シート!R$29:R$48)*N$2</f>
        <v>0</v>
      </c>
      <c r="O1642" s="88">
        <f>SUMIF(月間集計シート!$M$29:$M$48,$G1642,月間集計シート!S$29:S$48)*O$2</f>
        <v>0</v>
      </c>
      <c r="P1642" s="88">
        <f>SUMIF(月間集計シート!$M$29:$M$48,$G1642,月間集計シート!T$29:T$48)*P$2</f>
        <v>0</v>
      </c>
      <c r="Q1642" s="88">
        <f>SUMIF(月間集計シート!$M$50:$M$69,$G1642,月間集計シート!N$50:N$69)*Q$2</f>
        <v>0</v>
      </c>
      <c r="R1642" s="88">
        <f>SUMIF(月間集計シート!$M$50:$M$69,$G1642,月間集計シート!O$50:O$69)*R$2</f>
        <v>0</v>
      </c>
      <c r="S1642" s="88">
        <f>SUMIF(月間集計シート!$M$50:$M$69,$G1642,月間集計シート!P$50:P$69)*S$2</f>
        <v>0</v>
      </c>
      <c r="T1642" s="88">
        <f>SUMIF(月間集計シート!$M$50:$M$69,$G1642,月間集計シート!Q$50:Q$69)*T$2</f>
        <v>0</v>
      </c>
      <c r="U1642" s="88">
        <f>SUMIF(月間集計シート!$M$50:$M$69,$G1642,月間集計シート!R$50:R$69)*U$2</f>
        <v>0</v>
      </c>
      <c r="V1642" s="88">
        <f>SUMIF(月間集計シート!$M$50:$M$69,$G1642,月間集計シート!S$50:S$69)*V$2</f>
        <v>0</v>
      </c>
      <c r="W1642" s="88">
        <f>SUMIF(月間集計シート!$M$50:$M$69,$G1642,月間集計シート!T$50:T$69)*W$2</f>
        <v>0</v>
      </c>
      <c r="X1642" s="88">
        <f>SUMIF(月間集計シート!$M$71:$M$90,$G1642,月間集計シート!N$71:N$90)*X$2</f>
        <v>0</v>
      </c>
      <c r="Y1642" s="88">
        <f>SUMIF(月間集計シート!$M$71:$M$90,$G1642,月間集計シート!O$71:O$90)*Y$2</f>
        <v>0</v>
      </c>
      <c r="Z1642" s="88">
        <f>SUMIF(月間集計シート!$M$71:$M$90,$G1642,月間集計シート!P$71:P$90)*Z$2</f>
        <v>0</v>
      </c>
      <c r="AA1642" s="88">
        <f>SUMIF(月間集計シート!$M$71:$M$90,$G1642,月間集計シート!Q$71:Q$90)*AA$2</f>
        <v>0</v>
      </c>
      <c r="AB1642" s="88">
        <f>SUMIF(月間集計シート!$M$71:$M$90,$G1642,月間集計シート!R$71:R$90)*AB$2</f>
        <v>0</v>
      </c>
      <c r="AC1642" s="88">
        <f>SUMIF(月間集計シート!$M$71:$M$90,$G1642,月間集計シート!S$71:S$90)*AC$2</f>
        <v>0</v>
      </c>
      <c r="AD1642" s="88">
        <f>SUMIF(月間集計シート!$M$71:$M$90,$G1642,月間集計シート!T$71:T$90)*AD$2</f>
        <v>0</v>
      </c>
      <c r="AE1642" s="88">
        <f>SUMIF(月間集計シート!$M$92:$M$111,$G1642,月間集計シート!N$92:N$111)*AE$2</f>
        <v>0</v>
      </c>
      <c r="AF1642" s="88">
        <f>SUMIF(月間集計シート!$M$92:$M$111,$G1642,月間集計シート!O$92:O$111)*AF$2</f>
        <v>0</v>
      </c>
      <c r="AG1642" s="88">
        <f>SUMIF(月間集計シート!$M$92:$M$111,$G1642,月間集計シート!P$92:P$111)*AG$2</f>
        <v>0</v>
      </c>
      <c r="AH1642" s="88">
        <f>SUMIF(月間集計シート!$M$92:$M$111,$G1642,月間集計シート!Q$92:Q$111)*AH$2</f>
        <v>0</v>
      </c>
      <c r="AI1642" s="88">
        <f>SUMIF(月間集計シート!$M$92:$M$111,$G1642,月間集計シート!R$92:R$111)*AI$2</f>
        <v>0</v>
      </c>
      <c r="AJ1642" s="88">
        <f>SUMIF(月間集計シート!$M$92:$M$111,$G1642,月間集計シート!S$92:S$111)*AJ$2</f>
        <v>0</v>
      </c>
      <c r="AK1642" s="88">
        <f>SUMIF(月間集計シート!$M$92:$M$111,$G1642,月間集計シート!T$92:T$111)*AK$2</f>
        <v>0</v>
      </c>
      <c r="AL1642" s="88">
        <f>SUMIF(月間集計シート!$M$113:$M$132,$G1642,月間集計シート!N$113:N$132)*AL$2</f>
        <v>0</v>
      </c>
      <c r="AM1642" s="88">
        <f>SUMIF(月間集計シート!$M$113:$M$132,$G1642,月間集計シート!O$113:O$132)*AM$2</f>
        <v>0</v>
      </c>
      <c r="AN1642" s="88">
        <f>SUMIF(月間集計シート!$M$113:$M$132,$G1642,月間集計シート!P$113:P$132)*AN$2</f>
        <v>0</v>
      </c>
      <c r="AO1642" s="88">
        <f>SUMIF(月間集計シート!$M$113:$M$132,$G1642,月間集計シート!Q$113:Q$132)*AO$2</f>
        <v>0</v>
      </c>
      <c r="AP1642" s="88">
        <f>SUMIF(月間集計シート!$M$113:$M$132,$G1642,月間集計シート!R$113:R$132)*AP$2</f>
        <v>0</v>
      </c>
      <c r="AQ1642" s="88">
        <f>SUMIF(月間集計シート!$M$113:$M$132,$G1642,月間集計シート!S$113:S$132)*AQ$2</f>
        <v>0</v>
      </c>
      <c r="AR1642" s="88">
        <f>SUMIF(月間集計シート!$M$113:$M$132,$G1642,月間集計シート!T$113:T$132)*AR$2</f>
        <v>0</v>
      </c>
      <c r="AS1642" s="88">
        <f>SUMIF(月間集計シート!$M$134:$M$153,$G1642,月間集計シート!N$134:N$153)*AS$2</f>
        <v>0</v>
      </c>
      <c r="AT1642" s="88">
        <f>SUMIF(月間集計シート!$M$134:$M$153,$G1642,月間集計シート!O$134:O$153)*AT$2</f>
        <v>0</v>
      </c>
      <c r="AU1642" s="88">
        <f>SUMIF(月間集計シート!$M$134:$M$153,$G1642,月間集計シート!P$134:P$153)*AU$2</f>
        <v>0</v>
      </c>
      <c r="AV1642" s="88">
        <f>SUMIF(月間集計シート!$M$134:$M$153,$G1642,月間集計シート!Q$134:Q$153)*AV$2</f>
        <v>0</v>
      </c>
      <c r="AW1642" s="88">
        <f>SUMIF(月間集計シート!$M$134:$M$153,$G1642,月間集計シート!R$134:R$153)*AW$2</f>
        <v>0</v>
      </c>
      <c r="AX1642" s="88">
        <f>SUMIF(月間集計シート!$M$134:$M$153,$G1642,月間集計シート!S$134:S$153)*AX$2</f>
        <v>0</v>
      </c>
      <c r="AY1642" s="88">
        <f>SUMIF(月間集計シート!$M$134:$M$153,$G1642,月間集計シート!T$134:T$153)*AY$2</f>
        <v>0</v>
      </c>
    </row>
    <row r="1643" spans="1:51" ht="14.25" thickBot="1">
      <c r="A1643">
        <v>20</v>
      </c>
      <c r="B1643" s="120">
        <f t="shared" si="941"/>
        <v>0</v>
      </c>
      <c r="C1643" s="120" t="str">
        <f t="shared" si="942"/>
        <v/>
      </c>
      <c r="D1643" s="137"/>
      <c r="E1643" s="150" t="str">
        <f>工種!A20</f>
        <v>30106</v>
      </c>
      <c r="F1643" s="119" t="str">
        <f>工種!B20</f>
        <v>製造：PG修正（手戻り分）</v>
      </c>
      <c r="G1643" s="116" t="str">
        <f t="shared" si="890"/>
        <v>030106</v>
      </c>
      <c r="H1643" s="88">
        <f t="shared" si="897"/>
        <v>0</v>
      </c>
      <c r="I1643" s="132"/>
      <c r="J1643" s="88">
        <f>SUMIF(月間集計シート!$M$29:$M$48,$G1643,月間集計シート!N$29:N$48)*J$2</f>
        <v>0</v>
      </c>
      <c r="K1643" s="88">
        <f>SUMIF(月間集計シート!$M$29:$M$48,$G1643,月間集計シート!O$29:O$48)*K$2</f>
        <v>0</v>
      </c>
      <c r="L1643" s="88">
        <f>SUMIF(月間集計シート!$M$29:$M$48,$G1643,月間集計シート!P$29:P$48)*L$2</f>
        <v>0</v>
      </c>
      <c r="M1643" s="88">
        <f>SUMIF(月間集計シート!$M$29:$M$48,$G1643,月間集計シート!Q$29:Q$48)*M$2</f>
        <v>0</v>
      </c>
      <c r="N1643" s="88">
        <f>SUMIF(月間集計シート!$M$29:$M$48,$G1643,月間集計シート!R$29:R$48)*N$2</f>
        <v>0</v>
      </c>
      <c r="O1643" s="88">
        <f>SUMIF(月間集計シート!$M$29:$M$48,$G1643,月間集計シート!S$29:S$48)*O$2</f>
        <v>0</v>
      </c>
      <c r="P1643" s="88">
        <f>SUMIF(月間集計シート!$M$29:$M$48,$G1643,月間集計シート!T$29:T$48)*P$2</f>
        <v>0</v>
      </c>
      <c r="Q1643" s="88">
        <f>SUMIF(月間集計シート!$M$50:$M$69,$G1643,月間集計シート!N$50:N$69)*Q$2</f>
        <v>0</v>
      </c>
      <c r="R1643" s="88">
        <f>SUMIF(月間集計シート!$M$50:$M$69,$G1643,月間集計シート!O$50:O$69)*R$2</f>
        <v>0</v>
      </c>
      <c r="S1643" s="88">
        <f>SUMIF(月間集計シート!$M$50:$M$69,$G1643,月間集計シート!P$50:P$69)*S$2</f>
        <v>0</v>
      </c>
      <c r="T1643" s="88">
        <f>SUMIF(月間集計シート!$M$50:$M$69,$G1643,月間集計シート!Q$50:Q$69)*T$2</f>
        <v>0</v>
      </c>
      <c r="U1643" s="88">
        <f>SUMIF(月間集計シート!$M$50:$M$69,$G1643,月間集計シート!R$50:R$69)*U$2</f>
        <v>0</v>
      </c>
      <c r="V1643" s="88">
        <f>SUMIF(月間集計シート!$M$50:$M$69,$G1643,月間集計シート!S$50:S$69)*V$2</f>
        <v>0</v>
      </c>
      <c r="W1643" s="88">
        <f>SUMIF(月間集計シート!$M$50:$M$69,$G1643,月間集計シート!T$50:T$69)*W$2</f>
        <v>0</v>
      </c>
      <c r="X1643" s="88">
        <f>SUMIF(月間集計シート!$M$71:$M$90,$G1643,月間集計シート!N$71:N$90)*X$2</f>
        <v>0</v>
      </c>
      <c r="Y1643" s="88">
        <f>SUMIF(月間集計シート!$M$71:$M$90,$G1643,月間集計シート!O$71:O$90)*Y$2</f>
        <v>0</v>
      </c>
      <c r="Z1643" s="88">
        <f>SUMIF(月間集計シート!$M$71:$M$90,$G1643,月間集計シート!P$71:P$90)*Z$2</f>
        <v>0</v>
      </c>
      <c r="AA1643" s="88">
        <f>SUMIF(月間集計シート!$M$71:$M$90,$G1643,月間集計シート!Q$71:Q$90)*AA$2</f>
        <v>0</v>
      </c>
      <c r="AB1643" s="88">
        <f>SUMIF(月間集計シート!$M$71:$M$90,$G1643,月間集計シート!R$71:R$90)*AB$2</f>
        <v>0</v>
      </c>
      <c r="AC1643" s="88">
        <f>SUMIF(月間集計シート!$M$71:$M$90,$G1643,月間集計シート!S$71:S$90)*AC$2</f>
        <v>0</v>
      </c>
      <c r="AD1643" s="88">
        <f>SUMIF(月間集計シート!$M$71:$M$90,$G1643,月間集計シート!T$71:T$90)*AD$2</f>
        <v>0</v>
      </c>
      <c r="AE1643" s="88">
        <f>SUMIF(月間集計シート!$M$92:$M$111,$G1643,月間集計シート!N$92:N$111)*AE$2</f>
        <v>0</v>
      </c>
      <c r="AF1643" s="88">
        <f>SUMIF(月間集計シート!$M$92:$M$111,$G1643,月間集計シート!O$92:O$111)*AF$2</f>
        <v>0</v>
      </c>
      <c r="AG1643" s="88">
        <f>SUMIF(月間集計シート!$M$92:$M$111,$G1643,月間集計シート!P$92:P$111)*AG$2</f>
        <v>0</v>
      </c>
      <c r="AH1643" s="88">
        <f>SUMIF(月間集計シート!$M$92:$M$111,$G1643,月間集計シート!Q$92:Q$111)*AH$2</f>
        <v>0</v>
      </c>
      <c r="AI1643" s="88">
        <f>SUMIF(月間集計シート!$M$92:$M$111,$G1643,月間集計シート!R$92:R$111)*AI$2</f>
        <v>0</v>
      </c>
      <c r="AJ1643" s="88">
        <f>SUMIF(月間集計シート!$M$92:$M$111,$G1643,月間集計シート!S$92:S$111)*AJ$2</f>
        <v>0</v>
      </c>
      <c r="AK1643" s="88">
        <f>SUMIF(月間集計シート!$M$92:$M$111,$G1643,月間集計シート!T$92:T$111)*AK$2</f>
        <v>0</v>
      </c>
      <c r="AL1643" s="88">
        <f>SUMIF(月間集計シート!$M$113:$M$132,$G1643,月間集計シート!N$113:N$132)*AL$2</f>
        <v>0</v>
      </c>
      <c r="AM1643" s="88">
        <f>SUMIF(月間集計シート!$M$113:$M$132,$G1643,月間集計シート!O$113:O$132)*AM$2</f>
        <v>0</v>
      </c>
      <c r="AN1643" s="88">
        <f>SUMIF(月間集計シート!$M$113:$M$132,$G1643,月間集計シート!P$113:P$132)*AN$2</f>
        <v>0</v>
      </c>
      <c r="AO1643" s="88">
        <f>SUMIF(月間集計シート!$M$113:$M$132,$G1643,月間集計シート!Q$113:Q$132)*AO$2</f>
        <v>0</v>
      </c>
      <c r="AP1643" s="88">
        <f>SUMIF(月間集計シート!$M$113:$M$132,$G1643,月間集計シート!R$113:R$132)*AP$2</f>
        <v>0</v>
      </c>
      <c r="AQ1643" s="88">
        <f>SUMIF(月間集計シート!$M$113:$M$132,$G1643,月間集計シート!S$113:S$132)*AQ$2</f>
        <v>0</v>
      </c>
      <c r="AR1643" s="88">
        <f>SUMIF(月間集計シート!$M$113:$M$132,$G1643,月間集計シート!T$113:T$132)*AR$2</f>
        <v>0</v>
      </c>
      <c r="AS1643" s="88">
        <f>SUMIF(月間集計シート!$M$134:$M$153,$G1643,月間集計シート!N$134:N$153)*AS$2</f>
        <v>0</v>
      </c>
      <c r="AT1643" s="88">
        <f>SUMIF(月間集計シート!$M$134:$M$153,$G1643,月間集計シート!O$134:O$153)*AT$2</f>
        <v>0</v>
      </c>
      <c r="AU1643" s="88">
        <f>SUMIF(月間集計シート!$M$134:$M$153,$G1643,月間集計シート!P$134:P$153)*AU$2</f>
        <v>0</v>
      </c>
      <c r="AV1643" s="88">
        <f>SUMIF(月間集計シート!$M$134:$M$153,$G1643,月間集計シート!Q$134:Q$153)*AV$2</f>
        <v>0</v>
      </c>
      <c r="AW1643" s="88">
        <f>SUMIF(月間集計シート!$M$134:$M$153,$G1643,月間集計シート!R$134:R$153)*AW$2</f>
        <v>0</v>
      </c>
      <c r="AX1643" s="88">
        <f>SUMIF(月間集計シート!$M$134:$M$153,$G1643,月間集計シート!S$134:S$153)*AX$2</f>
        <v>0</v>
      </c>
      <c r="AY1643" s="88">
        <f>SUMIF(月間集計シート!$M$134:$M$153,$G1643,月間集計シート!T$134:T$153)*AY$2</f>
        <v>0</v>
      </c>
    </row>
    <row r="1644" spans="1:51" ht="14.25" thickBot="1">
      <c r="A1644">
        <v>20</v>
      </c>
      <c r="B1644" s="120">
        <f t="shared" si="941"/>
        <v>0</v>
      </c>
      <c r="C1644" s="120" t="str">
        <f t="shared" si="942"/>
        <v/>
      </c>
      <c r="D1644" s="137"/>
      <c r="E1644" s="150" t="str">
        <f>工種!A21</f>
        <v>30109</v>
      </c>
      <c r="F1644" s="119" t="str">
        <f>工種!B21</f>
        <v>製造：レビュー</v>
      </c>
      <c r="G1644" s="116" t="str">
        <f t="shared" si="890"/>
        <v>030109</v>
      </c>
      <c r="H1644" s="88">
        <f t="shared" si="897"/>
        <v>0</v>
      </c>
      <c r="I1644" s="132"/>
      <c r="J1644" s="88">
        <f>SUMIF(月間集計シート!$M$29:$M$48,$G1644,月間集計シート!N$29:N$48)*J$2</f>
        <v>0</v>
      </c>
      <c r="K1644" s="88">
        <f>SUMIF(月間集計シート!$M$29:$M$48,$G1644,月間集計シート!O$29:O$48)*K$2</f>
        <v>0</v>
      </c>
      <c r="L1644" s="88">
        <f>SUMIF(月間集計シート!$M$29:$M$48,$G1644,月間集計シート!P$29:P$48)*L$2</f>
        <v>0</v>
      </c>
      <c r="M1644" s="88">
        <f>SUMIF(月間集計シート!$M$29:$M$48,$G1644,月間集計シート!Q$29:Q$48)*M$2</f>
        <v>0</v>
      </c>
      <c r="N1644" s="88">
        <f>SUMIF(月間集計シート!$M$29:$M$48,$G1644,月間集計シート!R$29:R$48)*N$2</f>
        <v>0</v>
      </c>
      <c r="O1644" s="88">
        <f>SUMIF(月間集計シート!$M$29:$M$48,$G1644,月間集計シート!S$29:S$48)*O$2</f>
        <v>0</v>
      </c>
      <c r="P1644" s="88">
        <f>SUMIF(月間集計シート!$M$29:$M$48,$G1644,月間集計シート!T$29:T$48)*P$2</f>
        <v>0</v>
      </c>
      <c r="Q1644" s="88">
        <f>SUMIF(月間集計シート!$M$50:$M$69,$G1644,月間集計シート!N$50:N$69)*Q$2</f>
        <v>0</v>
      </c>
      <c r="R1644" s="88">
        <f>SUMIF(月間集計シート!$M$50:$M$69,$G1644,月間集計シート!O$50:O$69)*R$2</f>
        <v>0</v>
      </c>
      <c r="S1644" s="88">
        <f>SUMIF(月間集計シート!$M$50:$M$69,$G1644,月間集計シート!P$50:P$69)*S$2</f>
        <v>0</v>
      </c>
      <c r="T1644" s="88">
        <f>SUMIF(月間集計シート!$M$50:$M$69,$G1644,月間集計シート!Q$50:Q$69)*T$2</f>
        <v>0</v>
      </c>
      <c r="U1644" s="88">
        <f>SUMIF(月間集計シート!$M$50:$M$69,$G1644,月間集計シート!R$50:R$69)*U$2</f>
        <v>0</v>
      </c>
      <c r="V1644" s="88">
        <f>SUMIF(月間集計シート!$M$50:$M$69,$G1644,月間集計シート!S$50:S$69)*V$2</f>
        <v>0</v>
      </c>
      <c r="W1644" s="88">
        <f>SUMIF(月間集計シート!$M$50:$M$69,$G1644,月間集計シート!T$50:T$69)*W$2</f>
        <v>0</v>
      </c>
      <c r="X1644" s="88">
        <f>SUMIF(月間集計シート!$M$71:$M$90,$G1644,月間集計シート!N$71:N$90)*X$2</f>
        <v>0</v>
      </c>
      <c r="Y1644" s="88">
        <f>SUMIF(月間集計シート!$M$71:$M$90,$G1644,月間集計シート!O$71:O$90)*Y$2</f>
        <v>0</v>
      </c>
      <c r="Z1644" s="88">
        <f>SUMIF(月間集計シート!$M$71:$M$90,$G1644,月間集計シート!P$71:P$90)*Z$2</f>
        <v>0</v>
      </c>
      <c r="AA1644" s="88">
        <f>SUMIF(月間集計シート!$M$71:$M$90,$G1644,月間集計シート!Q$71:Q$90)*AA$2</f>
        <v>0</v>
      </c>
      <c r="AB1644" s="88">
        <f>SUMIF(月間集計シート!$M$71:$M$90,$G1644,月間集計シート!R$71:R$90)*AB$2</f>
        <v>0</v>
      </c>
      <c r="AC1644" s="88">
        <f>SUMIF(月間集計シート!$M$71:$M$90,$G1644,月間集計シート!S$71:S$90)*AC$2</f>
        <v>0</v>
      </c>
      <c r="AD1644" s="88">
        <f>SUMIF(月間集計シート!$M$71:$M$90,$G1644,月間集計シート!T$71:T$90)*AD$2</f>
        <v>0</v>
      </c>
      <c r="AE1644" s="88">
        <f>SUMIF(月間集計シート!$M$92:$M$111,$G1644,月間集計シート!N$92:N$111)*AE$2</f>
        <v>0</v>
      </c>
      <c r="AF1644" s="88">
        <f>SUMIF(月間集計シート!$M$92:$M$111,$G1644,月間集計シート!O$92:O$111)*AF$2</f>
        <v>0</v>
      </c>
      <c r="AG1644" s="88">
        <f>SUMIF(月間集計シート!$M$92:$M$111,$G1644,月間集計シート!P$92:P$111)*AG$2</f>
        <v>0</v>
      </c>
      <c r="AH1644" s="88">
        <f>SUMIF(月間集計シート!$M$92:$M$111,$G1644,月間集計シート!Q$92:Q$111)*AH$2</f>
        <v>0</v>
      </c>
      <c r="AI1644" s="88">
        <f>SUMIF(月間集計シート!$M$92:$M$111,$G1644,月間集計シート!R$92:R$111)*AI$2</f>
        <v>0</v>
      </c>
      <c r="AJ1644" s="88">
        <f>SUMIF(月間集計シート!$M$92:$M$111,$G1644,月間集計シート!S$92:S$111)*AJ$2</f>
        <v>0</v>
      </c>
      <c r="AK1644" s="88">
        <f>SUMIF(月間集計シート!$M$92:$M$111,$G1644,月間集計シート!T$92:T$111)*AK$2</f>
        <v>0</v>
      </c>
      <c r="AL1644" s="88">
        <f>SUMIF(月間集計シート!$M$113:$M$132,$G1644,月間集計シート!N$113:N$132)*AL$2</f>
        <v>0</v>
      </c>
      <c r="AM1644" s="88">
        <f>SUMIF(月間集計シート!$M$113:$M$132,$G1644,月間集計シート!O$113:O$132)*AM$2</f>
        <v>0</v>
      </c>
      <c r="AN1644" s="88">
        <f>SUMIF(月間集計シート!$M$113:$M$132,$G1644,月間集計シート!P$113:P$132)*AN$2</f>
        <v>0</v>
      </c>
      <c r="AO1644" s="88">
        <f>SUMIF(月間集計シート!$M$113:$M$132,$G1644,月間集計シート!Q$113:Q$132)*AO$2</f>
        <v>0</v>
      </c>
      <c r="AP1644" s="88">
        <f>SUMIF(月間集計シート!$M$113:$M$132,$G1644,月間集計シート!R$113:R$132)*AP$2</f>
        <v>0</v>
      </c>
      <c r="AQ1644" s="88">
        <f>SUMIF(月間集計シート!$M$113:$M$132,$G1644,月間集計シート!S$113:S$132)*AQ$2</f>
        <v>0</v>
      </c>
      <c r="AR1644" s="88">
        <f>SUMIF(月間集計シート!$M$113:$M$132,$G1644,月間集計シート!T$113:T$132)*AR$2</f>
        <v>0</v>
      </c>
      <c r="AS1644" s="88">
        <f>SUMIF(月間集計シート!$M$134:$M$153,$G1644,月間集計シート!N$134:N$153)*AS$2</f>
        <v>0</v>
      </c>
      <c r="AT1644" s="88">
        <f>SUMIF(月間集計シート!$M$134:$M$153,$G1644,月間集計シート!O$134:O$153)*AT$2</f>
        <v>0</v>
      </c>
      <c r="AU1644" s="88">
        <f>SUMIF(月間集計シート!$M$134:$M$153,$G1644,月間集計シート!P$134:P$153)*AU$2</f>
        <v>0</v>
      </c>
      <c r="AV1644" s="88">
        <f>SUMIF(月間集計シート!$M$134:$M$153,$G1644,月間集計シート!Q$134:Q$153)*AV$2</f>
        <v>0</v>
      </c>
      <c r="AW1644" s="88">
        <f>SUMIF(月間集計シート!$M$134:$M$153,$G1644,月間集計シート!R$134:R$153)*AW$2</f>
        <v>0</v>
      </c>
      <c r="AX1644" s="88">
        <f>SUMIF(月間集計シート!$M$134:$M$153,$G1644,月間集計シート!S$134:S$153)*AX$2</f>
        <v>0</v>
      </c>
      <c r="AY1644" s="88">
        <f>SUMIF(月間集計シート!$M$134:$M$153,$G1644,月間集計シート!T$134:T$153)*AY$2</f>
        <v>0</v>
      </c>
    </row>
    <row r="1645" spans="1:51" ht="14.25" thickBot="1">
      <c r="A1645">
        <v>20</v>
      </c>
      <c r="B1645" s="120">
        <f t="shared" si="941"/>
        <v>0</v>
      </c>
      <c r="C1645" s="120" t="str">
        <f t="shared" si="942"/>
        <v/>
      </c>
      <c r="D1645" s="137"/>
      <c r="E1645" s="150" t="str">
        <f>工種!A22</f>
        <v>30199</v>
      </c>
      <c r="F1645" s="119" t="str">
        <f>工種!B22</f>
        <v>製造：その他</v>
      </c>
      <c r="G1645" s="116" t="str">
        <f t="shared" ref="G1645:G1706" si="943">B1645&amp;E1645</f>
        <v>030199</v>
      </c>
      <c r="H1645" s="88">
        <f t="shared" si="897"/>
        <v>0</v>
      </c>
      <c r="I1645" s="132"/>
      <c r="J1645" s="88">
        <f>SUMIF(月間集計シート!$M$29:$M$48,$G1645,月間集計シート!N$29:N$48)*J$2</f>
        <v>0</v>
      </c>
      <c r="K1645" s="88">
        <f>SUMIF(月間集計シート!$M$29:$M$48,$G1645,月間集計シート!O$29:O$48)*K$2</f>
        <v>0</v>
      </c>
      <c r="L1645" s="88">
        <f>SUMIF(月間集計シート!$M$29:$M$48,$G1645,月間集計シート!P$29:P$48)*L$2</f>
        <v>0</v>
      </c>
      <c r="M1645" s="88">
        <f>SUMIF(月間集計シート!$M$29:$M$48,$G1645,月間集計シート!Q$29:Q$48)*M$2</f>
        <v>0</v>
      </c>
      <c r="N1645" s="88">
        <f>SUMIF(月間集計シート!$M$29:$M$48,$G1645,月間集計シート!R$29:R$48)*N$2</f>
        <v>0</v>
      </c>
      <c r="O1645" s="88">
        <f>SUMIF(月間集計シート!$M$29:$M$48,$G1645,月間集計シート!S$29:S$48)*O$2</f>
        <v>0</v>
      </c>
      <c r="P1645" s="88">
        <f>SUMIF(月間集計シート!$M$29:$M$48,$G1645,月間集計シート!T$29:T$48)*P$2</f>
        <v>0</v>
      </c>
      <c r="Q1645" s="88">
        <f>SUMIF(月間集計シート!$M$50:$M$69,$G1645,月間集計シート!N$50:N$69)*Q$2</f>
        <v>0</v>
      </c>
      <c r="R1645" s="88">
        <f>SUMIF(月間集計シート!$M$50:$M$69,$G1645,月間集計シート!O$50:O$69)*R$2</f>
        <v>0</v>
      </c>
      <c r="S1645" s="88">
        <f>SUMIF(月間集計シート!$M$50:$M$69,$G1645,月間集計シート!P$50:P$69)*S$2</f>
        <v>0</v>
      </c>
      <c r="T1645" s="88">
        <f>SUMIF(月間集計シート!$M$50:$M$69,$G1645,月間集計シート!Q$50:Q$69)*T$2</f>
        <v>0</v>
      </c>
      <c r="U1645" s="88">
        <f>SUMIF(月間集計シート!$M$50:$M$69,$G1645,月間集計シート!R$50:R$69)*U$2</f>
        <v>0</v>
      </c>
      <c r="V1645" s="88">
        <f>SUMIF(月間集計シート!$M$50:$M$69,$G1645,月間集計シート!S$50:S$69)*V$2</f>
        <v>0</v>
      </c>
      <c r="W1645" s="88">
        <f>SUMIF(月間集計シート!$M$50:$M$69,$G1645,月間集計シート!T$50:T$69)*W$2</f>
        <v>0</v>
      </c>
      <c r="X1645" s="88">
        <f>SUMIF(月間集計シート!$M$71:$M$90,$G1645,月間集計シート!N$71:N$90)*X$2</f>
        <v>0</v>
      </c>
      <c r="Y1645" s="88">
        <f>SUMIF(月間集計シート!$M$71:$M$90,$G1645,月間集計シート!O$71:O$90)*Y$2</f>
        <v>0</v>
      </c>
      <c r="Z1645" s="88">
        <f>SUMIF(月間集計シート!$M$71:$M$90,$G1645,月間集計シート!P$71:P$90)*Z$2</f>
        <v>0</v>
      </c>
      <c r="AA1645" s="88">
        <f>SUMIF(月間集計シート!$M$71:$M$90,$G1645,月間集計シート!Q$71:Q$90)*AA$2</f>
        <v>0</v>
      </c>
      <c r="AB1645" s="88">
        <f>SUMIF(月間集計シート!$M$71:$M$90,$G1645,月間集計シート!R$71:R$90)*AB$2</f>
        <v>0</v>
      </c>
      <c r="AC1645" s="88">
        <f>SUMIF(月間集計シート!$M$71:$M$90,$G1645,月間集計シート!S$71:S$90)*AC$2</f>
        <v>0</v>
      </c>
      <c r="AD1645" s="88">
        <f>SUMIF(月間集計シート!$M$71:$M$90,$G1645,月間集計シート!T$71:T$90)*AD$2</f>
        <v>0</v>
      </c>
      <c r="AE1645" s="88">
        <f>SUMIF(月間集計シート!$M$92:$M$111,$G1645,月間集計シート!N$92:N$111)*AE$2</f>
        <v>0</v>
      </c>
      <c r="AF1645" s="88">
        <f>SUMIF(月間集計シート!$M$92:$M$111,$G1645,月間集計シート!O$92:O$111)*AF$2</f>
        <v>0</v>
      </c>
      <c r="AG1645" s="88">
        <f>SUMIF(月間集計シート!$M$92:$M$111,$G1645,月間集計シート!P$92:P$111)*AG$2</f>
        <v>0</v>
      </c>
      <c r="AH1645" s="88">
        <f>SUMIF(月間集計シート!$M$92:$M$111,$G1645,月間集計シート!Q$92:Q$111)*AH$2</f>
        <v>0</v>
      </c>
      <c r="AI1645" s="88">
        <f>SUMIF(月間集計シート!$M$92:$M$111,$G1645,月間集計シート!R$92:R$111)*AI$2</f>
        <v>0</v>
      </c>
      <c r="AJ1645" s="88">
        <f>SUMIF(月間集計シート!$M$92:$M$111,$G1645,月間集計シート!S$92:S$111)*AJ$2</f>
        <v>0</v>
      </c>
      <c r="AK1645" s="88">
        <f>SUMIF(月間集計シート!$M$92:$M$111,$G1645,月間集計シート!T$92:T$111)*AK$2</f>
        <v>0</v>
      </c>
      <c r="AL1645" s="88">
        <f>SUMIF(月間集計シート!$M$113:$M$132,$G1645,月間集計シート!N$113:N$132)*AL$2</f>
        <v>0</v>
      </c>
      <c r="AM1645" s="88">
        <f>SUMIF(月間集計シート!$M$113:$M$132,$G1645,月間集計シート!O$113:O$132)*AM$2</f>
        <v>0</v>
      </c>
      <c r="AN1645" s="88">
        <f>SUMIF(月間集計シート!$M$113:$M$132,$G1645,月間集計シート!P$113:P$132)*AN$2</f>
        <v>0</v>
      </c>
      <c r="AO1645" s="88">
        <f>SUMIF(月間集計シート!$M$113:$M$132,$G1645,月間集計シート!Q$113:Q$132)*AO$2</f>
        <v>0</v>
      </c>
      <c r="AP1645" s="88">
        <f>SUMIF(月間集計シート!$M$113:$M$132,$G1645,月間集計シート!R$113:R$132)*AP$2</f>
        <v>0</v>
      </c>
      <c r="AQ1645" s="88">
        <f>SUMIF(月間集計シート!$M$113:$M$132,$G1645,月間集計シート!S$113:S$132)*AQ$2</f>
        <v>0</v>
      </c>
      <c r="AR1645" s="88">
        <f>SUMIF(月間集計シート!$M$113:$M$132,$G1645,月間集計シート!T$113:T$132)*AR$2</f>
        <v>0</v>
      </c>
      <c r="AS1645" s="88">
        <f>SUMIF(月間集計シート!$M$134:$M$153,$G1645,月間集計シート!N$134:N$153)*AS$2</f>
        <v>0</v>
      </c>
      <c r="AT1645" s="88">
        <f>SUMIF(月間集計シート!$M$134:$M$153,$G1645,月間集計シート!O$134:O$153)*AT$2</f>
        <v>0</v>
      </c>
      <c r="AU1645" s="88">
        <f>SUMIF(月間集計シート!$M$134:$M$153,$G1645,月間集計シート!P$134:P$153)*AU$2</f>
        <v>0</v>
      </c>
      <c r="AV1645" s="88">
        <f>SUMIF(月間集計シート!$M$134:$M$153,$G1645,月間集計シート!Q$134:Q$153)*AV$2</f>
        <v>0</v>
      </c>
      <c r="AW1645" s="88">
        <f>SUMIF(月間集計シート!$M$134:$M$153,$G1645,月間集計シート!R$134:R$153)*AW$2</f>
        <v>0</v>
      </c>
      <c r="AX1645" s="88">
        <f>SUMIF(月間集計シート!$M$134:$M$153,$G1645,月間集計シート!S$134:S$153)*AX$2</f>
        <v>0</v>
      </c>
      <c r="AY1645" s="88">
        <f>SUMIF(月間集計シート!$M$134:$M$153,$G1645,月間集計シート!T$134:T$153)*AY$2</f>
        <v>0</v>
      </c>
    </row>
    <row r="1646" spans="1:51" ht="14.25" thickBot="1">
      <c r="A1646">
        <v>20</v>
      </c>
      <c r="B1646" s="120">
        <f t="shared" si="941"/>
        <v>0</v>
      </c>
      <c r="C1646" s="120" t="str">
        <f t="shared" si="942"/>
        <v/>
      </c>
      <c r="D1646" s="137"/>
      <c r="E1646" s="150" t="str">
        <f>工種!A23</f>
        <v>40101</v>
      </c>
      <c r="F1646" s="119" t="str">
        <f>工種!B23</f>
        <v>テスト：結合テスト実施</v>
      </c>
      <c r="G1646" s="116" t="str">
        <f t="shared" si="943"/>
        <v>040101</v>
      </c>
      <c r="H1646" s="88">
        <f t="shared" si="897"/>
        <v>0</v>
      </c>
      <c r="I1646" s="132"/>
      <c r="J1646" s="88">
        <f>SUMIF(月間集計シート!$M$29:$M$48,$G1646,月間集計シート!N$29:N$48)*J$2</f>
        <v>0</v>
      </c>
      <c r="K1646" s="88">
        <f>SUMIF(月間集計シート!$M$29:$M$48,$G1646,月間集計シート!O$29:O$48)*K$2</f>
        <v>0</v>
      </c>
      <c r="L1646" s="88">
        <f>SUMIF(月間集計シート!$M$29:$M$48,$G1646,月間集計シート!P$29:P$48)*L$2</f>
        <v>0</v>
      </c>
      <c r="M1646" s="88">
        <f>SUMIF(月間集計シート!$M$29:$M$48,$G1646,月間集計シート!Q$29:Q$48)*M$2</f>
        <v>0</v>
      </c>
      <c r="N1646" s="88">
        <f>SUMIF(月間集計シート!$M$29:$M$48,$G1646,月間集計シート!R$29:R$48)*N$2</f>
        <v>0</v>
      </c>
      <c r="O1646" s="88">
        <f>SUMIF(月間集計シート!$M$29:$M$48,$G1646,月間集計シート!S$29:S$48)*O$2</f>
        <v>0</v>
      </c>
      <c r="P1646" s="88">
        <f>SUMIF(月間集計シート!$M$29:$M$48,$G1646,月間集計シート!T$29:T$48)*P$2</f>
        <v>0</v>
      </c>
      <c r="Q1646" s="88">
        <f>SUMIF(月間集計シート!$M$50:$M$69,$G1646,月間集計シート!N$50:N$69)*Q$2</f>
        <v>0</v>
      </c>
      <c r="R1646" s="88">
        <f>SUMIF(月間集計シート!$M$50:$M$69,$G1646,月間集計シート!O$50:O$69)*R$2</f>
        <v>0</v>
      </c>
      <c r="S1646" s="88">
        <f>SUMIF(月間集計シート!$M$50:$M$69,$G1646,月間集計シート!P$50:P$69)*S$2</f>
        <v>0</v>
      </c>
      <c r="T1646" s="88">
        <f>SUMIF(月間集計シート!$M$50:$M$69,$G1646,月間集計シート!Q$50:Q$69)*T$2</f>
        <v>0</v>
      </c>
      <c r="U1646" s="88">
        <f>SUMIF(月間集計シート!$M$50:$M$69,$G1646,月間集計シート!R$50:R$69)*U$2</f>
        <v>0</v>
      </c>
      <c r="V1646" s="88">
        <f>SUMIF(月間集計シート!$M$50:$M$69,$G1646,月間集計シート!S$50:S$69)*V$2</f>
        <v>0</v>
      </c>
      <c r="W1646" s="88">
        <f>SUMIF(月間集計シート!$M$50:$M$69,$G1646,月間集計シート!T$50:T$69)*W$2</f>
        <v>0</v>
      </c>
      <c r="X1646" s="88">
        <f>SUMIF(月間集計シート!$M$71:$M$90,$G1646,月間集計シート!N$71:N$90)*X$2</f>
        <v>0</v>
      </c>
      <c r="Y1646" s="88">
        <f>SUMIF(月間集計シート!$M$71:$M$90,$G1646,月間集計シート!O$71:O$90)*Y$2</f>
        <v>0</v>
      </c>
      <c r="Z1646" s="88">
        <f>SUMIF(月間集計シート!$M$71:$M$90,$G1646,月間集計シート!P$71:P$90)*Z$2</f>
        <v>0</v>
      </c>
      <c r="AA1646" s="88">
        <f>SUMIF(月間集計シート!$M$71:$M$90,$G1646,月間集計シート!Q$71:Q$90)*AA$2</f>
        <v>0</v>
      </c>
      <c r="AB1646" s="88">
        <f>SUMIF(月間集計シート!$M$71:$M$90,$G1646,月間集計シート!R$71:R$90)*AB$2</f>
        <v>0</v>
      </c>
      <c r="AC1646" s="88">
        <f>SUMIF(月間集計シート!$M$71:$M$90,$G1646,月間集計シート!S$71:S$90)*AC$2</f>
        <v>0</v>
      </c>
      <c r="AD1646" s="88">
        <f>SUMIF(月間集計シート!$M$71:$M$90,$G1646,月間集計シート!T$71:T$90)*AD$2</f>
        <v>0</v>
      </c>
      <c r="AE1646" s="88">
        <f>SUMIF(月間集計シート!$M$92:$M$111,$G1646,月間集計シート!N$92:N$111)*AE$2</f>
        <v>0</v>
      </c>
      <c r="AF1646" s="88">
        <f>SUMIF(月間集計シート!$M$92:$M$111,$G1646,月間集計シート!O$92:O$111)*AF$2</f>
        <v>0</v>
      </c>
      <c r="AG1646" s="88">
        <f>SUMIF(月間集計シート!$M$92:$M$111,$G1646,月間集計シート!P$92:P$111)*AG$2</f>
        <v>0</v>
      </c>
      <c r="AH1646" s="88">
        <f>SUMIF(月間集計シート!$M$92:$M$111,$G1646,月間集計シート!Q$92:Q$111)*AH$2</f>
        <v>0</v>
      </c>
      <c r="AI1646" s="88">
        <f>SUMIF(月間集計シート!$M$92:$M$111,$G1646,月間集計シート!R$92:R$111)*AI$2</f>
        <v>0</v>
      </c>
      <c r="AJ1646" s="88">
        <f>SUMIF(月間集計シート!$M$92:$M$111,$G1646,月間集計シート!S$92:S$111)*AJ$2</f>
        <v>0</v>
      </c>
      <c r="AK1646" s="88">
        <f>SUMIF(月間集計シート!$M$92:$M$111,$G1646,月間集計シート!T$92:T$111)*AK$2</f>
        <v>0</v>
      </c>
      <c r="AL1646" s="88">
        <f>SUMIF(月間集計シート!$M$113:$M$132,$G1646,月間集計シート!N$113:N$132)*AL$2</f>
        <v>0</v>
      </c>
      <c r="AM1646" s="88">
        <f>SUMIF(月間集計シート!$M$113:$M$132,$G1646,月間集計シート!O$113:O$132)*AM$2</f>
        <v>0</v>
      </c>
      <c r="AN1646" s="88">
        <f>SUMIF(月間集計シート!$M$113:$M$132,$G1646,月間集計シート!P$113:P$132)*AN$2</f>
        <v>0</v>
      </c>
      <c r="AO1646" s="88">
        <f>SUMIF(月間集計シート!$M$113:$M$132,$G1646,月間集計シート!Q$113:Q$132)*AO$2</f>
        <v>0</v>
      </c>
      <c r="AP1646" s="88">
        <f>SUMIF(月間集計シート!$M$113:$M$132,$G1646,月間集計シート!R$113:R$132)*AP$2</f>
        <v>0</v>
      </c>
      <c r="AQ1646" s="88">
        <f>SUMIF(月間集計シート!$M$113:$M$132,$G1646,月間集計シート!S$113:S$132)*AQ$2</f>
        <v>0</v>
      </c>
      <c r="AR1646" s="88">
        <f>SUMIF(月間集計シート!$M$113:$M$132,$G1646,月間集計シート!T$113:T$132)*AR$2</f>
        <v>0</v>
      </c>
      <c r="AS1646" s="88">
        <f>SUMIF(月間集計シート!$M$134:$M$153,$G1646,月間集計シート!N$134:N$153)*AS$2</f>
        <v>0</v>
      </c>
      <c r="AT1646" s="88">
        <f>SUMIF(月間集計シート!$M$134:$M$153,$G1646,月間集計シート!O$134:O$153)*AT$2</f>
        <v>0</v>
      </c>
      <c r="AU1646" s="88">
        <f>SUMIF(月間集計シート!$M$134:$M$153,$G1646,月間集計シート!P$134:P$153)*AU$2</f>
        <v>0</v>
      </c>
      <c r="AV1646" s="88">
        <f>SUMIF(月間集計シート!$M$134:$M$153,$G1646,月間集計シート!Q$134:Q$153)*AV$2</f>
        <v>0</v>
      </c>
      <c r="AW1646" s="88">
        <f>SUMIF(月間集計シート!$M$134:$M$153,$G1646,月間集計シート!R$134:R$153)*AW$2</f>
        <v>0</v>
      </c>
      <c r="AX1646" s="88">
        <f>SUMIF(月間集計シート!$M$134:$M$153,$G1646,月間集計シート!S$134:S$153)*AX$2</f>
        <v>0</v>
      </c>
      <c r="AY1646" s="88">
        <f>SUMIF(月間集計シート!$M$134:$M$153,$G1646,月間集計シート!T$134:T$153)*AY$2</f>
        <v>0</v>
      </c>
    </row>
    <row r="1647" spans="1:51" ht="14.25" thickBot="1">
      <c r="A1647">
        <v>20</v>
      </c>
      <c r="B1647" s="120">
        <f t="shared" si="941"/>
        <v>0</v>
      </c>
      <c r="C1647" s="120" t="str">
        <f t="shared" si="942"/>
        <v/>
      </c>
      <c r="D1647" s="137"/>
      <c r="E1647" s="150" t="str">
        <f>工種!A24</f>
        <v>40102</v>
      </c>
      <c r="F1647" s="119" t="str">
        <f>工種!B24</f>
        <v>テスト：システムテスト実施</v>
      </c>
      <c r="G1647" s="116" t="str">
        <f t="shared" si="943"/>
        <v>040102</v>
      </c>
      <c r="H1647" s="88">
        <f t="shared" si="897"/>
        <v>0</v>
      </c>
      <c r="I1647" s="132"/>
      <c r="J1647" s="88">
        <f>SUMIF(月間集計シート!$M$29:$M$48,$G1647,月間集計シート!N$29:N$48)*J$2</f>
        <v>0</v>
      </c>
      <c r="K1647" s="88">
        <f>SUMIF(月間集計シート!$M$29:$M$48,$G1647,月間集計シート!O$29:O$48)*K$2</f>
        <v>0</v>
      </c>
      <c r="L1647" s="88">
        <f>SUMIF(月間集計シート!$M$29:$M$48,$G1647,月間集計シート!P$29:P$48)*L$2</f>
        <v>0</v>
      </c>
      <c r="M1647" s="88">
        <f>SUMIF(月間集計シート!$M$29:$M$48,$G1647,月間集計シート!Q$29:Q$48)*M$2</f>
        <v>0</v>
      </c>
      <c r="N1647" s="88">
        <f>SUMIF(月間集計シート!$M$29:$M$48,$G1647,月間集計シート!R$29:R$48)*N$2</f>
        <v>0</v>
      </c>
      <c r="O1647" s="88">
        <f>SUMIF(月間集計シート!$M$29:$M$48,$G1647,月間集計シート!S$29:S$48)*O$2</f>
        <v>0</v>
      </c>
      <c r="P1647" s="88">
        <f>SUMIF(月間集計シート!$M$29:$M$48,$G1647,月間集計シート!T$29:T$48)*P$2</f>
        <v>0</v>
      </c>
      <c r="Q1647" s="88">
        <f>SUMIF(月間集計シート!$M$50:$M$69,$G1647,月間集計シート!N$50:N$69)*Q$2</f>
        <v>0</v>
      </c>
      <c r="R1647" s="88">
        <f>SUMIF(月間集計シート!$M$50:$M$69,$G1647,月間集計シート!O$50:O$69)*R$2</f>
        <v>0</v>
      </c>
      <c r="S1647" s="88">
        <f>SUMIF(月間集計シート!$M$50:$M$69,$G1647,月間集計シート!P$50:P$69)*S$2</f>
        <v>0</v>
      </c>
      <c r="T1647" s="88">
        <f>SUMIF(月間集計シート!$M$50:$M$69,$G1647,月間集計シート!Q$50:Q$69)*T$2</f>
        <v>0</v>
      </c>
      <c r="U1647" s="88">
        <f>SUMIF(月間集計シート!$M$50:$M$69,$G1647,月間集計シート!R$50:R$69)*U$2</f>
        <v>0</v>
      </c>
      <c r="V1647" s="88">
        <f>SUMIF(月間集計シート!$M$50:$M$69,$G1647,月間集計シート!S$50:S$69)*V$2</f>
        <v>0</v>
      </c>
      <c r="W1647" s="88">
        <f>SUMIF(月間集計シート!$M$50:$M$69,$G1647,月間集計シート!T$50:T$69)*W$2</f>
        <v>0</v>
      </c>
      <c r="X1647" s="88">
        <f>SUMIF(月間集計シート!$M$71:$M$90,$G1647,月間集計シート!N$71:N$90)*X$2</f>
        <v>0</v>
      </c>
      <c r="Y1647" s="88">
        <f>SUMIF(月間集計シート!$M$71:$M$90,$G1647,月間集計シート!O$71:O$90)*Y$2</f>
        <v>0</v>
      </c>
      <c r="Z1647" s="88">
        <f>SUMIF(月間集計シート!$M$71:$M$90,$G1647,月間集計シート!P$71:P$90)*Z$2</f>
        <v>0</v>
      </c>
      <c r="AA1647" s="88">
        <f>SUMIF(月間集計シート!$M$71:$M$90,$G1647,月間集計シート!Q$71:Q$90)*AA$2</f>
        <v>0</v>
      </c>
      <c r="AB1647" s="88">
        <f>SUMIF(月間集計シート!$M$71:$M$90,$G1647,月間集計シート!R$71:R$90)*AB$2</f>
        <v>0</v>
      </c>
      <c r="AC1647" s="88">
        <f>SUMIF(月間集計シート!$M$71:$M$90,$G1647,月間集計シート!S$71:S$90)*AC$2</f>
        <v>0</v>
      </c>
      <c r="AD1647" s="88">
        <f>SUMIF(月間集計シート!$M$71:$M$90,$G1647,月間集計シート!T$71:T$90)*AD$2</f>
        <v>0</v>
      </c>
      <c r="AE1647" s="88">
        <f>SUMIF(月間集計シート!$M$92:$M$111,$G1647,月間集計シート!N$92:N$111)*AE$2</f>
        <v>0</v>
      </c>
      <c r="AF1647" s="88">
        <f>SUMIF(月間集計シート!$M$92:$M$111,$G1647,月間集計シート!O$92:O$111)*AF$2</f>
        <v>0</v>
      </c>
      <c r="AG1647" s="88">
        <f>SUMIF(月間集計シート!$M$92:$M$111,$G1647,月間集計シート!P$92:P$111)*AG$2</f>
        <v>0</v>
      </c>
      <c r="AH1647" s="88">
        <f>SUMIF(月間集計シート!$M$92:$M$111,$G1647,月間集計シート!Q$92:Q$111)*AH$2</f>
        <v>0</v>
      </c>
      <c r="AI1647" s="88">
        <f>SUMIF(月間集計シート!$M$92:$M$111,$G1647,月間集計シート!R$92:R$111)*AI$2</f>
        <v>0</v>
      </c>
      <c r="AJ1647" s="88">
        <f>SUMIF(月間集計シート!$M$92:$M$111,$G1647,月間集計シート!S$92:S$111)*AJ$2</f>
        <v>0</v>
      </c>
      <c r="AK1647" s="88">
        <f>SUMIF(月間集計シート!$M$92:$M$111,$G1647,月間集計シート!T$92:T$111)*AK$2</f>
        <v>0</v>
      </c>
      <c r="AL1647" s="88">
        <f>SUMIF(月間集計シート!$M$113:$M$132,$G1647,月間集計シート!N$113:N$132)*AL$2</f>
        <v>0</v>
      </c>
      <c r="AM1647" s="88">
        <f>SUMIF(月間集計シート!$M$113:$M$132,$G1647,月間集計シート!O$113:O$132)*AM$2</f>
        <v>0</v>
      </c>
      <c r="AN1647" s="88">
        <f>SUMIF(月間集計シート!$M$113:$M$132,$G1647,月間集計シート!P$113:P$132)*AN$2</f>
        <v>0</v>
      </c>
      <c r="AO1647" s="88">
        <f>SUMIF(月間集計シート!$M$113:$M$132,$G1647,月間集計シート!Q$113:Q$132)*AO$2</f>
        <v>0</v>
      </c>
      <c r="AP1647" s="88">
        <f>SUMIF(月間集計シート!$M$113:$M$132,$G1647,月間集計シート!R$113:R$132)*AP$2</f>
        <v>0</v>
      </c>
      <c r="AQ1647" s="88">
        <f>SUMIF(月間集計シート!$M$113:$M$132,$G1647,月間集計シート!S$113:S$132)*AQ$2</f>
        <v>0</v>
      </c>
      <c r="AR1647" s="88">
        <f>SUMIF(月間集計シート!$M$113:$M$132,$G1647,月間集計シート!T$113:T$132)*AR$2</f>
        <v>0</v>
      </c>
      <c r="AS1647" s="88">
        <f>SUMIF(月間集計シート!$M$134:$M$153,$G1647,月間集計シート!N$134:N$153)*AS$2</f>
        <v>0</v>
      </c>
      <c r="AT1647" s="88">
        <f>SUMIF(月間集計シート!$M$134:$M$153,$G1647,月間集計シート!O$134:O$153)*AT$2</f>
        <v>0</v>
      </c>
      <c r="AU1647" s="88">
        <f>SUMIF(月間集計シート!$M$134:$M$153,$G1647,月間集計シート!P$134:P$153)*AU$2</f>
        <v>0</v>
      </c>
      <c r="AV1647" s="88">
        <f>SUMIF(月間集計シート!$M$134:$M$153,$G1647,月間集計シート!Q$134:Q$153)*AV$2</f>
        <v>0</v>
      </c>
      <c r="AW1647" s="88">
        <f>SUMIF(月間集計シート!$M$134:$M$153,$G1647,月間集計シート!R$134:R$153)*AW$2</f>
        <v>0</v>
      </c>
      <c r="AX1647" s="88">
        <f>SUMIF(月間集計シート!$M$134:$M$153,$G1647,月間集計シート!S$134:S$153)*AX$2</f>
        <v>0</v>
      </c>
      <c r="AY1647" s="88">
        <f>SUMIF(月間集計シート!$M$134:$M$153,$G1647,月間集計シート!T$134:T$153)*AY$2</f>
        <v>0</v>
      </c>
    </row>
    <row r="1648" spans="1:51" ht="14.25" thickBot="1">
      <c r="A1648">
        <v>20</v>
      </c>
      <c r="B1648" s="120">
        <f t="shared" si="941"/>
        <v>0</v>
      </c>
      <c r="C1648" s="120" t="str">
        <f t="shared" si="942"/>
        <v/>
      </c>
      <c r="D1648" s="137"/>
      <c r="E1648" s="150" t="str">
        <f>工種!A25</f>
        <v>40103</v>
      </c>
      <c r="F1648" s="119" t="str">
        <f>工種!B25</f>
        <v>テスト：テスト計画書作成</v>
      </c>
      <c r="G1648" s="116" t="str">
        <f t="shared" si="943"/>
        <v>040103</v>
      </c>
      <c r="H1648" s="88">
        <f t="shared" si="897"/>
        <v>0</v>
      </c>
      <c r="I1648" s="132"/>
      <c r="J1648" s="88">
        <f>SUMIF(月間集計シート!$M$29:$M$48,$G1648,月間集計シート!N$29:N$48)*J$2</f>
        <v>0</v>
      </c>
      <c r="K1648" s="88">
        <f>SUMIF(月間集計シート!$M$29:$M$48,$G1648,月間集計シート!O$29:O$48)*K$2</f>
        <v>0</v>
      </c>
      <c r="L1648" s="88">
        <f>SUMIF(月間集計シート!$M$29:$M$48,$G1648,月間集計シート!P$29:P$48)*L$2</f>
        <v>0</v>
      </c>
      <c r="M1648" s="88">
        <f>SUMIF(月間集計シート!$M$29:$M$48,$G1648,月間集計シート!Q$29:Q$48)*M$2</f>
        <v>0</v>
      </c>
      <c r="N1648" s="88">
        <f>SUMIF(月間集計シート!$M$29:$M$48,$G1648,月間集計シート!R$29:R$48)*N$2</f>
        <v>0</v>
      </c>
      <c r="O1648" s="88">
        <f>SUMIF(月間集計シート!$M$29:$M$48,$G1648,月間集計シート!S$29:S$48)*O$2</f>
        <v>0</v>
      </c>
      <c r="P1648" s="88">
        <f>SUMIF(月間集計シート!$M$29:$M$48,$G1648,月間集計シート!T$29:T$48)*P$2</f>
        <v>0</v>
      </c>
      <c r="Q1648" s="88">
        <f>SUMIF(月間集計シート!$M$50:$M$69,$G1648,月間集計シート!N$50:N$69)*Q$2</f>
        <v>0</v>
      </c>
      <c r="R1648" s="88">
        <f>SUMIF(月間集計シート!$M$50:$M$69,$G1648,月間集計シート!O$50:O$69)*R$2</f>
        <v>0</v>
      </c>
      <c r="S1648" s="88">
        <f>SUMIF(月間集計シート!$M$50:$M$69,$G1648,月間集計シート!P$50:P$69)*S$2</f>
        <v>0</v>
      </c>
      <c r="T1648" s="88">
        <f>SUMIF(月間集計シート!$M$50:$M$69,$G1648,月間集計シート!Q$50:Q$69)*T$2</f>
        <v>0</v>
      </c>
      <c r="U1648" s="88">
        <f>SUMIF(月間集計シート!$M$50:$M$69,$G1648,月間集計シート!R$50:R$69)*U$2</f>
        <v>0</v>
      </c>
      <c r="V1648" s="88">
        <f>SUMIF(月間集計シート!$M$50:$M$69,$G1648,月間集計シート!S$50:S$69)*V$2</f>
        <v>0</v>
      </c>
      <c r="W1648" s="88">
        <f>SUMIF(月間集計シート!$M$50:$M$69,$G1648,月間集計シート!T$50:T$69)*W$2</f>
        <v>0</v>
      </c>
      <c r="X1648" s="88">
        <f>SUMIF(月間集計シート!$M$71:$M$90,$G1648,月間集計シート!N$71:N$90)*X$2</f>
        <v>0</v>
      </c>
      <c r="Y1648" s="88">
        <f>SUMIF(月間集計シート!$M$71:$M$90,$G1648,月間集計シート!O$71:O$90)*Y$2</f>
        <v>0</v>
      </c>
      <c r="Z1648" s="88">
        <f>SUMIF(月間集計シート!$M$71:$M$90,$G1648,月間集計シート!P$71:P$90)*Z$2</f>
        <v>0</v>
      </c>
      <c r="AA1648" s="88">
        <f>SUMIF(月間集計シート!$M$71:$M$90,$G1648,月間集計シート!Q$71:Q$90)*AA$2</f>
        <v>0</v>
      </c>
      <c r="AB1648" s="88">
        <f>SUMIF(月間集計シート!$M$71:$M$90,$G1648,月間集計シート!R$71:R$90)*AB$2</f>
        <v>0</v>
      </c>
      <c r="AC1648" s="88">
        <f>SUMIF(月間集計シート!$M$71:$M$90,$G1648,月間集計シート!S$71:S$90)*AC$2</f>
        <v>0</v>
      </c>
      <c r="AD1648" s="88">
        <f>SUMIF(月間集計シート!$M$71:$M$90,$G1648,月間集計シート!T$71:T$90)*AD$2</f>
        <v>0</v>
      </c>
      <c r="AE1648" s="88">
        <f>SUMIF(月間集計シート!$M$92:$M$111,$G1648,月間集計シート!N$92:N$111)*AE$2</f>
        <v>0</v>
      </c>
      <c r="AF1648" s="88">
        <f>SUMIF(月間集計シート!$M$92:$M$111,$G1648,月間集計シート!O$92:O$111)*AF$2</f>
        <v>0</v>
      </c>
      <c r="AG1648" s="88">
        <f>SUMIF(月間集計シート!$M$92:$M$111,$G1648,月間集計シート!P$92:P$111)*AG$2</f>
        <v>0</v>
      </c>
      <c r="AH1648" s="88">
        <f>SUMIF(月間集計シート!$M$92:$M$111,$G1648,月間集計シート!Q$92:Q$111)*AH$2</f>
        <v>0</v>
      </c>
      <c r="AI1648" s="88">
        <f>SUMIF(月間集計シート!$M$92:$M$111,$G1648,月間集計シート!R$92:R$111)*AI$2</f>
        <v>0</v>
      </c>
      <c r="AJ1648" s="88">
        <f>SUMIF(月間集計シート!$M$92:$M$111,$G1648,月間集計シート!S$92:S$111)*AJ$2</f>
        <v>0</v>
      </c>
      <c r="AK1648" s="88">
        <f>SUMIF(月間集計シート!$M$92:$M$111,$G1648,月間集計シート!T$92:T$111)*AK$2</f>
        <v>0</v>
      </c>
      <c r="AL1648" s="88">
        <f>SUMIF(月間集計シート!$M$113:$M$132,$G1648,月間集計シート!N$113:N$132)*AL$2</f>
        <v>0</v>
      </c>
      <c r="AM1648" s="88">
        <f>SUMIF(月間集計シート!$M$113:$M$132,$G1648,月間集計シート!O$113:O$132)*AM$2</f>
        <v>0</v>
      </c>
      <c r="AN1648" s="88">
        <f>SUMIF(月間集計シート!$M$113:$M$132,$G1648,月間集計シート!P$113:P$132)*AN$2</f>
        <v>0</v>
      </c>
      <c r="AO1648" s="88">
        <f>SUMIF(月間集計シート!$M$113:$M$132,$G1648,月間集計シート!Q$113:Q$132)*AO$2</f>
        <v>0</v>
      </c>
      <c r="AP1648" s="88">
        <f>SUMIF(月間集計シート!$M$113:$M$132,$G1648,月間集計シート!R$113:R$132)*AP$2</f>
        <v>0</v>
      </c>
      <c r="AQ1648" s="88">
        <f>SUMIF(月間集計シート!$M$113:$M$132,$G1648,月間集計シート!S$113:S$132)*AQ$2</f>
        <v>0</v>
      </c>
      <c r="AR1648" s="88">
        <f>SUMIF(月間集計シート!$M$113:$M$132,$G1648,月間集計シート!T$113:T$132)*AR$2</f>
        <v>0</v>
      </c>
      <c r="AS1648" s="88">
        <f>SUMIF(月間集計シート!$M$134:$M$153,$G1648,月間集計シート!N$134:N$153)*AS$2</f>
        <v>0</v>
      </c>
      <c r="AT1648" s="88">
        <f>SUMIF(月間集計シート!$M$134:$M$153,$G1648,月間集計シート!O$134:O$153)*AT$2</f>
        <v>0</v>
      </c>
      <c r="AU1648" s="88">
        <f>SUMIF(月間集計シート!$M$134:$M$153,$G1648,月間集計シート!P$134:P$153)*AU$2</f>
        <v>0</v>
      </c>
      <c r="AV1648" s="88">
        <f>SUMIF(月間集計シート!$M$134:$M$153,$G1648,月間集計シート!Q$134:Q$153)*AV$2</f>
        <v>0</v>
      </c>
      <c r="AW1648" s="88">
        <f>SUMIF(月間集計シート!$M$134:$M$153,$G1648,月間集計シート!R$134:R$153)*AW$2</f>
        <v>0</v>
      </c>
      <c r="AX1648" s="88">
        <f>SUMIF(月間集計シート!$M$134:$M$153,$G1648,月間集計シート!S$134:S$153)*AX$2</f>
        <v>0</v>
      </c>
      <c r="AY1648" s="88">
        <f>SUMIF(月間集計シート!$M$134:$M$153,$G1648,月間集計シート!T$134:T$153)*AY$2</f>
        <v>0</v>
      </c>
    </row>
    <row r="1649" spans="1:51" ht="14.25" thickBot="1">
      <c r="A1649">
        <v>20</v>
      </c>
      <c r="B1649" s="120">
        <f t="shared" si="941"/>
        <v>0</v>
      </c>
      <c r="C1649" s="120" t="str">
        <f t="shared" si="942"/>
        <v/>
      </c>
      <c r="D1649" s="137"/>
      <c r="E1649" s="150" t="str">
        <f>工種!A26</f>
        <v>40104</v>
      </c>
      <c r="F1649" s="119" t="str">
        <f>工種!B26</f>
        <v>テスト：結合テスト設計書作成</v>
      </c>
      <c r="G1649" s="116" t="str">
        <f t="shared" si="943"/>
        <v>040104</v>
      </c>
      <c r="H1649" s="88">
        <f t="shared" si="897"/>
        <v>0</v>
      </c>
      <c r="I1649" s="132"/>
      <c r="J1649" s="88">
        <f>SUMIF(月間集計シート!$M$29:$M$48,$G1649,月間集計シート!N$29:N$48)*J$2</f>
        <v>0</v>
      </c>
      <c r="K1649" s="88">
        <f>SUMIF(月間集計シート!$M$29:$M$48,$G1649,月間集計シート!O$29:O$48)*K$2</f>
        <v>0</v>
      </c>
      <c r="L1649" s="88">
        <f>SUMIF(月間集計シート!$M$29:$M$48,$G1649,月間集計シート!P$29:P$48)*L$2</f>
        <v>0</v>
      </c>
      <c r="M1649" s="88">
        <f>SUMIF(月間集計シート!$M$29:$M$48,$G1649,月間集計シート!Q$29:Q$48)*M$2</f>
        <v>0</v>
      </c>
      <c r="N1649" s="88">
        <f>SUMIF(月間集計シート!$M$29:$M$48,$G1649,月間集計シート!R$29:R$48)*N$2</f>
        <v>0</v>
      </c>
      <c r="O1649" s="88">
        <f>SUMIF(月間集計シート!$M$29:$M$48,$G1649,月間集計シート!S$29:S$48)*O$2</f>
        <v>0</v>
      </c>
      <c r="P1649" s="88">
        <f>SUMIF(月間集計シート!$M$29:$M$48,$G1649,月間集計シート!T$29:T$48)*P$2</f>
        <v>0</v>
      </c>
      <c r="Q1649" s="88">
        <f>SUMIF(月間集計シート!$M$50:$M$69,$G1649,月間集計シート!N$50:N$69)*Q$2</f>
        <v>0</v>
      </c>
      <c r="R1649" s="88">
        <f>SUMIF(月間集計シート!$M$50:$M$69,$G1649,月間集計シート!O$50:O$69)*R$2</f>
        <v>0</v>
      </c>
      <c r="S1649" s="88">
        <f>SUMIF(月間集計シート!$M$50:$M$69,$G1649,月間集計シート!P$50:P$69)*S$2</f>
        <v>0</v>
      </c>
      <c r="T1649" s="88">
        <f>SUMIF(月間集計シート!$M$50:$M$69,$G1649,月間集計シート!Q$50:Q$69)*T$2</f>
        <v>0</v>
      </c>
      <c r="U1649" s="88">
        <f>SUMIF(月間集計シート!$M$50:$M$69,$G1649,月間集計シート!R$50:R$69)*U$2</f>
        <v>0</v>
      </c>
      <c r="V1649" s="88">
        <f>SUMIF(月間集計シート!$M$50:$M$69,$G1649,月間集計シート!S$50:S$69)*V$2</f>
        <v>0</v>
      </c>
      <c r="W1649" s="88">
        <f>SUMIF(月間集計シート!$M$50:$M$69,$G1649,月間集計シート!T$50:T$69)*W$2</f>
        <v>0</v>
      </c>
      <c r="X1649" s="88">
        <f>SUMIF(月間集計シート!$M$71:$M$90,$G1649,月間集計シート!N$71:N$90)*X$2</f>
        <v>0</v>
      </c>
      <c r="Y1649" s="88">
        <f>SUMIF(月間集計シート!$M$71:$M$90,$G1649,月間集計シート!O$71:O$90)*Y$2</f>
        <v>0</v>
      </c>
      <c r="Z1649" s="88">
        <f>SUMIF(月間集計シート!$M$71:$M$90,$G1649,月間集計シート!P$71:P$90)*Z$2</f>
        <v>0</v>
      </c>
      <c r="AA1649" s="88">
        <f>SUMIF(月間集計シート!$M$71:$M$90,$G1649,月間集計シート!Q$71:Q$90)*AA$2</f>
        <v>0</v>
      </c>
      <c r="AB1649" s="88">
        <f>SUMIF(月間集計シート!$M$71:$M$90,$G1649,月間集計シート!R$71:R$90)*AB$2</f>
        <v>0</v>
      </c>
      <c r="AC1649" s="88">
        <f>SUMIF(月間集計シート!$M$71:$M$90,$G1649,月間集計シート!S$71:S$90)*AC$2</f>
        <v>0</v>
      </c>
      <c r="AD1649" s="88">
        <f>SUMIF(月間集計シート!$M$71:$M$90,$G1649,月間集計シート!T$71:T$90)*AD$2</f>
        <v>0</v>
      </c>
      <c r="AE1649" s="88">
        <f>SUMIF(月間集計シート!$M$92:$M$111,$G1649,月間集計シート!N$92:N$111)*AE$2</f>
        <v>0</v>
      </c>
      <c r="AF1649" s="88">
        <f>SUMIF(月間集計シート!$M$92:$M$111,$G1649,月間集計シート!O$92:O$111)*AF$2</f>
        <v>0</v>
      </c>
      <c r="AG1649" s="88">
        <f>SUMIF(月間集計シート!$M$92:$M$111,$G1649,月間集計シート!P$92:P$111)*AG$2</f>
        <v>0</v>
      </c>
      <c r="AH1649" s="88">
        <f>SUMIF(月間集計シート!$M$92:$M$111,$G1649,月間集計シート!Q$92:Q$111)*AH$2</f>
        <v>0</v>
      </c>
      <c r="AI1649" s="88">
        <f>SUMIF(月間集計シート!$M$92:$M$111,$G1649,月間集計シート!R$92:R$111)*AI$2</f>
        <v>0</v>
      </c>
      <c r="AJ1649" s="88">
        <f>SUMIF(月間集計シート!$M$92:$M$111,$G1649,月間集計シート!S$92:S$111)*AJ$2</f>
        <v>0</v>
      </c>
      <c r="AK1649" s="88">
        <f>SUMIF(月間集計シート!$M$92:$M$111,$G1649,月間集計シート!T$92:T$111)*AK$2</f>
        <v>0</v>
      </c>
      <c r="AL1649" s="88">
        <f>SUMIF(月間集計シート!$M$113:$M$132,$G1649,月間集計シート!N$113:N$132)*AL$2</f>
        <v>0</v>
      </c>
      <c r="AM1649" s="88">
        <f>SUMIF(月間集計シート!$M$113:$M$132,$G1649,月間集計シート!O$113:O$132)*AM$2</f>
        <v>0</v>
      </c>
      <c r="AN1649" s="88">
        <f>SUMIF(月間集計シート!$M$113:$M$132,$G1649,月間集計シート!P$113:P$132)*AN$2</f>
        <v>0</v>
      </c>
      <c r="AO1649" s="88">
        <f>SUMIF(月間集計シート!$M$113:$M$132,$G1649,月間集計シート!Q$113:Q$132)*AO$2</f>
        <v>0</v>
      </c>
      <c r="AP1649" s="88">
        <f>SUMIF(月間集計シート!$M$113:$M$132,$G1649,月間集計シート!R$113:R$132)*AP$2</f>
        <v>0</v>
      </c>
      <c r="AQ1649" s="88">
        <f>SUMIF(月間集計シート!$M$113:$M$132,$G1649,月間集計シート!S$113:S$132)*AQ$2</f>
        <v>0</v>
      </c>
      <c r="AR1649" s="88">
        <f>SUMIF(月間集計シート!$M$113:$M$132,$G1649,月間集計シート!T$113:T$132)*AR$2</f>
        <v>0</v>
      </c>
      <c r="AS1649" s="88">
        <f>SUMIF(月間集計シート!$M$134:$M$153,$G1649,月間集計シート!N$134:N$153)*AS$2</f>
        <v>0</v>
      </c>
      <c r="AT1649" s="88">
        <f>SUMIF(月間集計シート!$M$134:$M$153,$G1649,月間集計シート!O$134:O$153)*AT$2</f>
        <v>0</v>
      </c>
      <c r="AU1649" s="88">
        <f>SUMIF(月間集計シート!$M$134:$M$153,$G1649,月間集計シート!P$134:P$153)*AU$2</f>
        <v>0</v>
      </c>
      <c r="AV1649" s="88">
        <f>SUMIF(月間集計シート!$M$134:$M$153,$G1649,月間集計シート!Q$134:Q$153)*AV$2</f>
        <v>0</v>
      </c>
      <c r="AW1649" s="88">
        <f>SUMIF(月間集計シート!$M$134:$M$153,$G1649,月間集計シート!R$134:R$153)*AW$2</f>
        <v>0</v>
      </c>
      <c r="AX1649" s="88">
        <f>SUMIF(月間集計シート!$M$134:$M$153,$G1649,月間集計シート!S$134:S$153)*AX$2</f>
        <v>0</v>
      </c>
      <c r="AY1649" s="88">
        <f>SUMIF(月間集計シート!$M$134:$M$153,$G1649,月間集計シート!T$134:T$153)*AY$2</f>
        <v>0</v>
      </c>
    </row>
    <row r="1650" spans="1:51" ht="14.25" thickBot="1">
      <c r="A1650">
        <v>20</v>
      </c>
      <c r="B1650" s="120">
        <f t="shared" si="941"/>
        <v>0</v>
      </c>
      <c r="C1650" s="120" t="str">
        <f t="shared" si="942"/>
        <v/>
      </c>
      <c r="D1650" s="137"/>
      <c r="E1650" s="150" t="str">
        <f>工種!A27</f>
        <v>40105</v>
      </c>
      <c r="F1650" s="119" t="str">
        <f>工種!B27</f>
        <v>テスト：システムテスト設計書作成</v>
      </c>
      <c r="G1650" s="116" t="str">
        <f t="shared" si="943"/>
        <v>040105</v>
      </c>
      <c r="H1650" s="88">
        <f t="shared" si="897"/>
        <v>0</v>
      </c>
      <c r="I1650" s="132"/>
      <c r="J1650" s="88">
        <f>SUMIF(月間集計シート!$M$29:$M$48,$G1650,月間集計シート!N$29:N$48)*J$2</f>
        <v>0</v>
      </c>
      <c r="K1650" s="88">
        <f>SUMIF(月間集計シート!$M$29:$M$48,$G1650,月間集計シート!O$29:O$48)*K$2</f>
        <v>0</v>
      </c>
      <c r="L1650" s="88">
        <f>SUMIF(月間集計シート!$M$29:$M$48,$G1650,月間集計シート!P$29:P$48)*L$2</f>
        <v>0</v>
      </c>
      <c r="M1650" s="88">
        <f>SUMIF(月間集計シート!$M$29:$M$48,$G1650,月間集計シート!Q$29:Q$48)*M$2</f>
        <v>0</v>
      </c>
      <c r="N1650" s="88">
        <f>SUMIF(月間集計シート!$M$29:$M$48,$G1650,月間集計シート!R$29:R$48)*N$2</f>
        <v>0</v>
      </c>
      <c r="O1650" s="88">
        <f>SUMIF(月間集計シート!$M$29:$M$48,$G1650,月間集計シート!S$29:S$48)*O$2</f>
        <v>0</v>
      </c>
      <c r="P1650" s="88">
        <f>SUMIF(月間集計シート!$M$29:$M$48,$G1650,月間集計シート!T$29:T$48)*P$2</f>
        <v>0</v>
      </c>
      <c r="Q1650" s="88">
        <f>SUMIF(月間集計シート!$M$50:$M$69,$G1650,月間集計シート!N$50:N$69)*Q$2</f>
        <v>0</v>
      </c>
      <c r="R1650" s="88">
        <f>SUMIF(月間集計シート!$M$50:$M$69,$G1650,月間集計シート!O$50:O$69)*R$2</f>
        <v>0</v>
      </c>
      <c r="S1650" s="88">
        <f>SUMIF(月間集計シート!$M$50:$M$69,$G1650,月間集計シート!P$50:P$69)*S$2</f>
        <v>0</v>
      </c>
      <c r="T1650" s="88">
        <f>SUMIF(月間集計シート!$M$50:$M$69,$G1650,月間集計シート!Q$50:Q$69)*T$2</f>
        <v>0</v>
      </c>
      <c r="U1650" s="88">
        <f>SUMIF(月間集計シート!$M$50:$M$69,$G1650,月間集計シート!R$50:R$69)*U$2</f>
        <v>0</v>
      </c>
      <c r="V1650" s="88">
        <f>SUMIF(月間集計シート!$M$50:$M$69,$G1650,月間集計シート!S$50:S$69)*V$2</f>
        <v>0</v>
      </c>
      <c r="W1650" s="88">
        <f>SUMIF(月間集計シート!$M$50:$M$69,$G1650,月間集計シート!T$50:T$69)*W$2</f>
        <v>0</v>
      </c>
      <c r="X1650" s="88">
        <f>SUMIF(月間集計シート!$M$71:$M$90,$G1650,月間集計シート!N$71:N$90)*X$2</f>
        <v>0</v>
      </c>
      <c r="Y1650" s="88">
        <f>SUMIF(月間集計シート!$M$71:$M$90,$G1650,月間集計シート!O$71:O$90)*Y$2</f>
        <v>0</v>
      </c>
      <c r="Z1650" s="88">
        <f>SUMIF(月間集計シート!$M$71:$M$90,$G1650,月間集計シート!P$71:P$90)*Z$2</f>
        <v>0</v>
      </c>
      <c r="AA1650" s="88">
        <f>SUMIF(月間集計シート!$M$71:$M$90,$G1650,月間集計シート!Q$71:Q$90)*AA$2</f>
        <v>0</v>
      </c>
      <c r="AB1650" s="88">
        <f>SUMIF(月間集計シート!$M$71:$M$90,$G1650,月間集計シート!R$71:R$90)*AB$2</f>
        <v>0</v>
      </c>
      <c r="AC1650" s="88">
        <f>SUMIF(月間集計シート!$M$71:$M$90,$G1650,月間集計シート!S$71:S$90)*AC$2</f>
        <v>0</v>
      </c>
      <c r="AD1650" s="88">
        <f>SUMIF(月間集計シート!$M$71:$M$90,$G1650,月間集計シート!T$71:T$90)*AD$2</f>
        <v>0</v>
      </c>
      <c r="AE1650" s="88">
        <f>SUMIF(月間集計シート!$M$92:$M$111,$G1650,月間集計シート!N$92:N$111)*AE$2</f>
        <v>0</v>
      </c>
      <c r="AF1650" s="88">
        <f>SUMIF(月間集計シート!$M$92:$M$111,$G1650,月間集計シート!O$92:O$111)*AF$2</f>
        <v>0</v>
      </c>
      <c r="AG1650" s="88">
        <f>SUMIF(月間集計シート!$M$92:$M$111,$G1650,月間集計シート!P$92:P$111)*AG$2</f>
        <v>0</v>
      </c>
      <c r="AH1650" s="88">
        <f>SUMIF(月間集計シート!$M$92:$M$111,$G1650,月間集計シート!Q$92:Q$111)*AH$2</f>
        <v>0</v>
      </c>
      <c r="AI1650" s="88">
        <f>SUMIF(月間集計シート!$M$92:$M$111,$G1650,月間集計シート!R$92:R$111)*AI$2</f>
        <v>0</v>
      </c>
      <c r="AJ1650" s="88">
        <f>SUMIF(月間集計シート!$M$92:$M$111,$G1650,月間集計シート!S$92:S$111)*AJ$2</f>
        <v>0</v>
      </c>
      <c r="AK1650" s="88">
        <f>SUMIF(月間集計シート!$M$92:$M$111,$G1650,月間集計シート!T$92:T$111)*AK$2</f>
        <v>0</v>
      </c>
      <c r="AL1650" s="88">
        <f>SUMIF(月間集計シート!$M$113:$M$132,$G1650,月間集計シート!N$113:N$132)*AL$2</f>
        <v>0</v>
      </c>
      <c r="AM1650" s="88">
        <f>SUMIF(月間集計シート!$M$113:$M$132,$G1650,月間集計シート!O$113:O$132)*AM$2</f>
        <v>0</v>
      </c>
      <c r="AN1650" s="88">
        <f>SUMIF(月間集計シート!$M$113:$M$132,$G1650,月間集計シート!P$113:P$132)*AN$2</f>
        <v>0</v>
      </c>
      <c r="AO1650" s="88">
        <f>SUMIF(月間集計シート!$M$113:$M$132,$G1650,月間集計シート!Q$113:Q$132)*AO$2</f>
        <v>0</v>
      </c>
      <c r="AP1650" s="88">
        <f>SUMIF(月間集計シート!$M$113:$M$132,$G1650,月間集計シート!R$113:R$132)*AP$2</f>
        <v>0</v>
      </c>
      <c r="AQ1650" s="88">
        <f>SUMIF(月間集計シート!$M$113:$M$132,$G1650,月間集計シート!S$113:S$132)*AQ$2</f>
        <v>0</v>
      </c>
      <c r="AR1650" s="88">
        <f>SUMIF(月間集計シート!$M$113:$M$132,$G1650,月間集計シート!T$113:T$132)*AR$2</f>
        <v>0</v>
      </c>
      <c r="AS1650" s="88">
        <f>SUMIF(月間集計シート!$M$134:$M$153,$G1650,月間集計シート!N$134:N$153)*AS$2</f>
        <v>0</v>
      </c>
      <c r="AT1650" s="88">
        <f>SUMIF(月間集計シート!$M$134:$M$153,$G1650,月間集計シート!O$134:O$153)*AT$2</f>
        <v>0</v>
      </c>
      <c r="AU1650" s="88">
        <f>SUMIF(月間集計シート!$M$134:$M$153,$G1650,月間集計シート!P$134:P$153)*AU$2</f>
        <v>0</v>
      </c>
      <c r="AV1650" s="88">
        <f>SUMIF(月間集計シート!$M$134:$M$153,$G1650,月間集計シート!Q$134:Q$153)*AV$2</f>
        <v>0</v>
      </c>
      <c r="AW1650" s="88">
        <f>SUMIF(月間集計シート!$M$134:$M$153,$G1650,月間集計シート!R$134:R$153)*AW$2</f>
        <v>0</v>
      </c>
      <c r="AX1650" s="88">
        <f>SUMIF(月間集計シート!$M$134:$M$153,$G1650,月間集計シート!S$134:S$153)*AX$2</f>
        <v>0</v>
      </c>
      <c r="AY1650" s="88">
        <f>SUMIF(月間集計シート!$M$134:$M$153,$G1650,月間集計シート!T$134:T$153)*AY$2</f>
        <v>0</v>
      </c>
    </row>
    <row r="1651" spans="1:51" ht="14.25" thickBot="1">
      <c r="A1651">
        <v>20</v>
      </c>
      <c r="B1651" s="120">
        <f t="shared" si="941"/>
        <v>0</v>
      </c>
      <c r="C1651" s="120" t="str">
        <f t="shared" si="942"/>
        <v/>
      </c>
      <c r="D1651" s="137"/>
      <c r="E1651" s="150" t="str">
        <f>工種!A28</f>
        <v>40106</v>
      </c>
      <c r="F1651" s="119" t="str">
        <f>工種!B28</f>
        <v>テスト：総合評価設計書作成</v>
      </c>
      <c r="G1651" s="116" t="str">
        <f t="shared" si="943"/>
        <v>040106</v>
      </c>
      <c r="H1651" s="88">
        <f t="shared" si="897"/>
        <v>0</v>
      </c>
      <c r="I1651" s="132"/>
      <c r="J1651" s="88">
        <f>SUMIF(月間集計シート!$M$29:$M$48,$G1651,月間集計シート!N$29:N$48)*J$2</f>
        <v>0</v>
      </c>
      <c r="K1651" s="88">
        <f>SUMIF(月間集計シート!$M$29:$M$48,$G1651,月間集計シート!O$29:O$48)*K$2</f>
        <v>0</v>
      </c>
      <c r="L1651" s="88">
        <f>SUMIF(月間集計シート!$M$29:$M$48,$G1651,月間集計シート!P$29:P$48)*L$2</f>
        <v>0</v>
      </c>
      <c r="M1651" s="88">
        <f>SUMIF(月間集計シート!$M$29:$M$48,$G1651,月間集計シート!Q$29:Q$48)*M$2</f>
        <v>0</v>
      </c>
      <c r="N1651" s="88">
        <f>SUMIF(月間集計シート!$M$29:$M$48,$G1651,月間集計シート!R$29:R$48)*N$2</f>
        <v>0</v>
      </c>
      <c r="O1651" s="88">
        <f>SUMIF(月間集計シート!$M$29:$M$48,$G1651,月間集計シート!S$29:S$48)*O$2</f>
        <v>0</v>
      </c>
      <c r="P1651" s="88">
        <f>SUMIF(月間集計シート!$M$29:$M$48,$G1651,月間集計シート!T$29:T$48)*P$2</f>
        <v>0</v>
      </c>
      <c r="Q1651" s="88">
        <f>SUMIF(月間集計シート!$M$50:$M$69,$G1651,月間集計シート!N$50:N$69)*Q$2</f>
        <v>0</v>
      </c>
      <c r="R1651" s="88">
        <f>SUMIF(月間集計シート!$M$50:$M$69,$G1651,月間集計シート!O$50:O$69)*R$2</f>
        <v>0</v>
      </c>
      <c r="S1651" s="88">
        <f>SUMIF(月間集計シート!$M$50:$M$69,$G1651,月間集計シート!P$50:P$69)*S$2</f>
        <v>0</v>
      </c>
      <c r="T1651" s="88">
        <f>SUMIF(月間集計シート!$M$50:$M$69,$G1651,月間集計シート!Q$50:Q$69)*T$2</f>
        <v>0</v>
      </c>
      <c r="U1651" s="88">
        <f>SUMIF(月間集計シート!$M$50:$M$69,$G1651,月間集計シート!R$50:R$69)*U$2</f>
        <v>0</v>
      </c>
      <c r="V1651" s="88">
        <f>SUMIF(月間集計シート!$M$50:$M$69,$G1651,月間集計シート!S$50:S$69)*V$2</f>
        <v>0</v>
      </c>
      <c r="W1651" s="88">
        <f>SUMIF(月間集計シート!$M$50:$M$69,$G1651,月間集計シート!T$50:T$69)*W$2</f>
        <v>0</v>
      </c>
      <c r="X1651" s="88">
        <f>SUMIF(月間集計シート!$M$71:$M$90,$G1651,月間集計シート!N$71:N$90)*X$2</f>
        <v>0</v>
      </c>
      <c r="Y1651" s="88">
        <f>SUMIF(月間集計シート!$M$71:$M$90,$G1651,月間集計シート!O$71:O$90)*Y$2</f>
        <v>0</v>
      </c>
      <c r="Z1651" s="88">
        <f>SUMIF(月間集計シート!$M$71:$M$90,$G1651,月間集計シート!P$71:P$90)*Z$2</f>
        <v>0</v>
      </c>
      <c r="AA1651" s="88">
        <f>SUMIF(月間集計シート!$M$71:$M$90,$G1651,月間集計シート!Q$71:Q$90)*AA$2</f>
        <v>0</v>
      </c>
      <c r="AB1651" s="88">
        <f>SUMIF(月間集計シート!$M$71:$M$90,$G1651,月間集計シート!R$71:R$90)*AB$2</f>
        <v>0</v>
      </c>
      <c r="AC1651" s="88">
        <f>SUMIF(月間集計シート!$M$71:$M$90,$G1651,月間集計シート!S$71:S$90)*AC$2</f>
        <v>0</v>
      </c>
      <c r="AD1651" s="88">
        <f>SUMIF(月間集計シート!$M$71:$M$90,$G1651,月間集計シート!T$71:T$90)*AD$2</f>
        <v>0</v>
      </c>
      <c r="AE1651" s="88">
        <f>SUMIF(月間集計シート!$M$92:$M$111,$G1651,月間集計シート!N$92:N$111)*AE$2</f>
        <v>0</v>
      </c>
      <c r="AF1651" s="88">
        <f>SUMIF(月間集計シート!$M$92:$M$111,$G1651,月間集計シート!O$92:O$111)*AF$2</f>
        <v>0</v>
      </c>
      <c r="AG1651" s="88">
        <f>SUMIF(月間集計シート!$M$92:$M$111,$G1651,月間集計シート!P$92:P$111)*AG$2</f>
        <v>0</v>
      </c>
      <c r="AH1651" s="88">
        <f>SUMIF(月間集計シート!$M$92:$M$111,$G1651,月間集計シート!Q$92:Q$111)*AH$2</f>
        <v>0</v>
      </c>
      <c r="AI1651" s="88">
        <f>SUMIF(月間集計シート!$M$92:$M$111,$G1651,月間集計シート!R$92:R$111)*AI$2</f>
        <v>0</v>
      </c>
      <c r="AJ1651" s="88">
        <f>SUMIF(月間集計シート!$M$92:$M$111,$G1651,月間集計シート!S$92:S$111)*AJ$2</f>
        <v>0</v>
      </c>
      <c r="AK1651" s="88">
        <f>SUMIF(月間集計シート!$M$92:$M$111,$G1651,月間集計シート!T$92:T$111)*AK$2</f>
        <v>0</v>
      </c>
      <c r="AL1651" s="88">
        <f>SUMIF(月間集計シート!$M$113:$M$132,$G1651,月間集計シート!N$113:N$132)*AL$2</f>
        <v>0</v>
      </c>
      <c r="AM1651" s="88">
        <f>SUMIF(月間集計シート!$M$113:$M$132,$G1651,月間集計シート!O$113:O$132)*AM$2</f>
        <v>0</v>
      </c>
      <c r="AN1651" s="88">
        <f>SUMIF(月間集計シート!$M$113:$M$132,$G1651,月間集計シート!P$113:P$132)*AN$2</f>
        <v>0</v>
      </c>
      <c r="AO1651" s="88">
        <f>SUMIF(月間集計シート!$M$113:$M$132,$G1651,月間集計シート!Q$113:Q$132)*AO$2</f>
        <v>0</v>
      </c>
      <c r="AP1651" s="88">
        <f>SUMIF(月間集計シート!$M$113:$M$132,$G1651,月間集計シート!R$113:R$132)*AP$2</f>
        <v>0</v>
      </c>
      <c r="AQ1651" s="88">
        <f>SUMIF(月間集計シート!$M$113:$M$132,$G1651,月間集計シート!S$113:S$132)*AQ$2</f>
        <v>0</v>
      </c>
      <c r="AR1651" s="88">
        <f>SUMIF(月間集計シート!$M$113:$M$132,$G1651,月間集計シート!T$113:T$132)*AR$2</f>
        <v>0</v>
      </c>
      <c r="AS1651" s="88">
        <f>SUMIF(月間集計シート!$M$134:$M$153,$G1651,月間集計シート!N$134:N$153)*AS$2</f>
        <v>0</v>
      </c>
      <c r="AT1651" s="88">
        <f>SUMIF(月間集計シート!$M$134:$M$153,$G1651,月間集計シート!O$134:O$153)*AT$2</f>
        <v>0</v>
      </c>
      <c r="AU1651" s="88">
        <f>SUMIF(月間集計シート!$M$134:$M$153,$G1651,月間集計シート!P$134:P$153)*AU$2</f>
        <v>0</v>
      </c>
      <c r="AV1651" s="88">
        <f>SUMIF(月間集計シート!$M$134:$M$153,$G1651,月間集計シート!Q$134:Q$153)*AV$2</f>
        <v>0</v>
      </c>
      <c r="AW1651" s="88">
        <f>SUMIF(月間集計シート!$M$134:$M$153,$G1651,月間集計シート!R$134:R$153)*AW$2</f>
        <v>0</v>
      </c>
      <c r="AX1651" s="88">
        <f>SUMIF(月間集計シート!$M$134:$M$153,$G1651,月間集計シート!S$134:S$153)*AX$2</f>
        <v>0</v>
      </c>
      <c r="AY1651" s="88">
        <f>SUMIF(月間集計シート!$M$134:$M$153,$G1651,月間集計シート!T$134:T$153)*AY$2</f>
        <v>0</v>
      </c>
    </row>
    <row r="1652" spans="1:51" ht="14.25" thickBot="1">
      <c r="A1652">
        <v>20</v>
      </c>
      <c r="B1652" s="120">
        <f t="shared" si="941"/>
        <v>0</v>
      </c>
      <c r="C1652" s="120" t="str">
        <f t="shared" si="942"/>
        <v/>
      </c>
      <c r="D1652" s="137"/>
      <c r="E1652" s="150" t="str">
        <f>工種!A29</f>
        <v>40107</v>
      </c>
      <c r="F1652" s="119" t="str">
        <f>工種!B29</f>
        <v>テスト：評価報告書作成</v>
      </c>
      <c r="G1652" s="116" t="str">
        <f t="shared" si="943"/>
        <v>040107</v>
      </c>
      <c r="H1652" s="88">
        <f t="shared" si="897"/>
        <v>0</v>
      </c>
      <c r="I1652" s="132"/>
      <c r="J1652" s="88">
        <f>SUMIF(月間集計シート!$M$29:$M$48,$G1652,月間集計シート!N$29:N$48)*J$2</f>
        <v>0</v>
      </c>
      <c r="K1652" s="88">
        <f>SUMIF(月間集計シート!$M$29:$M$48,$G1652,月間集計シート!O$29:O$48)*K$2</f>
        <v>0</v>
      </c>
      <c r="L1652" s="88">
        <f>SUMIF(月間集計シート!$M$29:$M$48,$G1652,月間集計シート!P$29:P$48)*L$2</f>
        <v>0</v>
      </c>
      <c r="M1652" s="88">
        <f>SUMIF(月間集計シート!$M$29:$M$48,$G1652,月間集計シート!Q$29:Q$48)*M$2</f>
        <v>0</v>
      </c>
      <c r="N1652" s="88">
        <f>SUMIF(月間集計シート!$M$29:$M$48,$G1652,月間集計シート!R$29:R$48)*N$2</f>
        <v>0</v>
      </c>
      <c r="O1652" s="88">
        <f>SUMIF(月間集計シート!$M$29:$M$48,$G1652,月間集計シート!S$29:S$48)*O$2</f>
        <v>0</v>
      </c>
      <c r="P1652" s="88">
        <f>SUMIF(月間集計シート!$M$29:$M$48,$G1652,月間集計シート!T$29:T$48)*P$2</f>
        <v>0</v>
      </c>
      <c r="Q1652" s="88">
        <f>SUMIF(月間集計シート!$M$50:$M$69,$G1652,月間集計シート!N$50:N$69)*Q$2</f>
        <v>0</v>
      </c>
      <c r="R1652" s="88">
        <f>SUMIF(月間集計シート!$M$50:$M$69,$G1652,月間集計シート!O$50:O$69)*R$2</f>
        <v>0</v>
      </c>
      <c r="S1652" s="88">
        <f>SUMIF(月間集計シート!$M$50:$M$69,$G1652,月間集計シート!P$50:P$69)*S$2</f>
        <v>0</v>
      </c>
      <c r="T1652" s="88">
        <f>SUMIF(月間集計シート!$M$50:$M$69,$G1652,月間集計シート!Q$50:Q$69)*T$2</f>
        <v>0</v>
      </c>
      <c r="U1652" s="88">
        <f>SUMIF(月間集計シート!$M$50:$M$69,$G1652,月間集計シート!R$50:R$69)*U$2</f>
        <v>0</v>
      </c>
      <c r="V1652" s="88">
        <f>SUMIF(月間集計シート!$M$50:$M$69,$G1652,月間集計シート!S$50:S$69)*V$2</f>
        <v>0</v>
      </c>
      <c r="W1652" s="88">
        <f>SUMIF(月間集計シート!$M$50:$M$69,$G1652,月間集計シート!T$50:T$69)*W$2</f>
        <v>0</v>
      </c>
      <c r="X1652" s="88">
        <f>SUMIF(月間集計シート!$M$71:$M$90,$G1652,月間集計シート!N$71:N$90)*X$2</f>
        <v>0</v>
      </c>
      <c r="Y1652" s="88">
        <f>SUMIF(月間集計シート!$M$71:$M$90,$G1652,月間集計シート!O$71:O$90)*Y$2</f>
        <v>0</v>
      </c>
      <c r="Z1652" s="88">
        <f>SUMIF(月間集計シート!$M$71:$M$90,$G1652,月間集計シート!P$71:P$90)*Z$2</f>
        <v>0</v>
      </c>
      <c r="AA1652" s="88">
        <f>SUMIF(月間集計シート!$M$71:$M$90,$G1652,月間集計シート!Q$71:Q$90)*AA$2</f>
        <v>0</v>
      </c>
      <c r="AB1652" s="88">
        <f>SUMIF(月間集計シート!$M$71:$M$90,$G1652,月間集計シート!R$71:R$90)*AB$2</f>
        <v>0</v>
      </c>
      <c r="AC1652" s="88">
        <f>SUMIF(月間集計シート!$M$71:$M$90,$G1652,月間集計シート!S$71:S$90)*AC$2</f>
        <v>0</v>
      </c>
      <c r="AD1652" s="88">
        <f>SUMIF(月間集計シート!$M$71:$M$90,$G1652,月間集計シート!T$71:T$90)*AD$2</f>
        <v>0</v>
      </c>
      <c r="AE1652" s="88">
        <f>SUMIF(月間集計シート!$M$92:$M$111,$G1652,月間集計シート!N$92:N$111)*AE$2</f>
        <v>0</v>
      </c>
      <c r="AF1652" s="88">
        <f>SUMIF(月間集計シート!$M$92:$M$111,$G1652,月間集計シート!O$92:O$111)*AF$2</f>
        <v>0</v>
      </c>
      <c r="AG1652" s="88">
        <f>SUMIF(月間集計シート!$M$92:$M$111,$G1652,月間集計シート!P$92:P$111)*AG$2</f>
        <v>0</v>
      </c>
      <c r="AH1652" s="88">
        <f>SUMIF(月間集計シート!$M$92:$M$111,$G1652,月間集計シート!Q$92:Q$111)*AH$2</f>
        <v>0</v>
      </c>
      <c r="AI1652" s="88">
        <f>SUMIF(月間集計シート!$M$92:$M$111,$G1652,月間集計シート!R$92:R$111)*AI$2</f>
        <v>0</v>
      </c>
      <c r="AJ1652" s="88">
        <f>SUMIF(月間集計シート!$M$92:$M$111,$G1652,月間集計シート!S$92:S$111)*AJ$2</f>
        <v>0</v>
      </c>
      <c r="AK1652" s="88">
        <f>SUMIF(月間集計シート!$M$92:$M$111,$G1652,月間集計シート!T$92:T$111)*AK$2</f>
        <v>0</v>
      </c>
      <c r="AL1652" s="88">
        <f>SUMIF(月間集計シート!$M$113:$M$132,$G1652,月間集計シート!N$113:N$132)*AL$2</f>
        <v>0</v>
      </c>
      <c r="AM1652" s="88">
        <f>SUMIF(月間集計シート!$M$113:$M$132,$G1652,月間集計シート!O$113:O$132)*AM$2</f>
        <v>0</v>
      </c>
      <c r="AN1652" s="88">
        <f>SUMIF(月間集計シート!$M$113:$M$132,$G1652,月間集計シート!P$113:P$132)*AN$2</f>
        <v>0</v>
      </c>
      <c r="AO1652" s="88">
        <f>SUMIF(月間集計シート!$M$113:$M$132,$G1652,月間集計シート!Q$113:Q$132)*AO$2</f>
        <v>0</v>
      </c>
      <c r="AP1652" s="88">
        <f>SUMIF(月間集計シート!$M$113:$M$132,$G1652,月間集計シート!R$113:R$132)*AP$2</f>
        <v>0</v>
      </c>
      <c r="AQ1652" s="88">
        <f>SUMIF(月間集計シート!$M$113:$M$132,$G1652,月間集計シート!S$113:S$132)*AQ$2</f>
        <v>0</v>
      </c>
      <c r="AR1652" s="88">
        <f>SUMIF(月間集計シート!$M$113:$M$132,$G1652,月間集計シート!T$113:T$132)*AR$2</f>
        <v>0</v>
      </c>
      <c r="AS1652" s="88">
        <f>SUMIF(月間集計シート!$M$134:$M$153,$G1652,月間集計シート!N$134:N$153)*AS$2</f>
        <v>0</v>
      </c>
      <c r="AT1652" s="88">
        <f>SUMIF(月間集計シート!$M$134:$M$153,$G1652,月間集計シート!O$134:O$153)*AT$2</f>
        <v>0</v>
      </c>
      <c r="AU1652" s="88">
        <f>SUMIF(月間集計シート!$M$134:$M$153,$G1652,月間集計シート!P$134:P$153)*AU$2</f>
        <v>0</v>
      </c>
      <c r="AV1652" s="88">
        <f>SUMIF(月間集計シート!$M$134:$M$153,$G1652,月間集計シート!Q$134:Q$153)*AV$2</f>
        <v>0</v>
      </c>
      <c r="AW1652" s="88">
        <f>SUMIF(月間集計シート!$M$134:$M$153,$G1652,月間集計シート!R$134:R$153)*AW$2</f>
        <v>0</v>
      </c>
      <c r="AX1652" s="88">
        <f>SUMIF(月間集計シート!$M$134:$M$153,$G1652,月間集計シート!S$134:S$153)*AX$2</f>
        <v>0</v>
      </c>
      <c r="AY1652" s="88">
        <f>SUMIF(月間集計シート!$M$134:$M$153,$G1652,月間集計シート!T$134:T$153)*AY$2</f>
        <v>0</v>
      </c>
    </row>
    <row r="1653" spans="1:51" ht="14.25" thickBot="1">
      <c r="A1653">
        <v>20</v>
      </c>
      <c r="B1653" s="120">
        <f t="shared" si="941"/>
        <v>0</v>
      </c>
      <c r="C1653" s="120" t="str">
        <f t="shared" si="942"/>
        <v/>
      </c>
      <c r="D1653" s="137"/>
      <c r="E1653" s="150" t="str">
        <f>工種!A30</f>
        <v>40108</v>
      </c>
      <c r="F1653" s="119" t="str">
        <f>工種!B30</f>
        <v>テスト：総合評価実施</v>
      </c>
      <c r="G1653" s="116" t="str">
        <f t="shared" si="943"/>
        <v>040108</v>
      </c>
      <c r="H1653" s="88">
        <f t="shared" si="897"/>
        <v>0</v>
      </c>
      <c r="I1653" s="132"/>
      <c r="J1653" s="88">
        <f>SUMIF(月間集計シート!$M$29:$M$48,$G1653,月間集計シート!N$29:N$48)*J$2</f>
        <v>0</v>
      </c>
      <c r="K1653" s="88">
        <f>SUMIF(月間集計シート!$M$29:$M$48,$G1653,月間集計シート!O$29:O$48)*K$2</f>
        <v>0</v>
      </c>
      <c r="L1653" s="88">
        <f>SUMIF(月間集計シート!$M$29:$M$48,$G1653,月間集計シート!P$29:P$48)*L$2</f>
        <v>0</v>
      </c>
      <c r="M1653" s="88">
        <f>SUMIF(月間集計シート!$M$29:$M$48,$G1653,月間集計シート!Q$29:Q$48)*M$2</f>
        <v>0</v>
      </c>
      <c r="N1653" s="88">
        <f>SUMIF(月間集計シート!$M$29:$M$48,$G1653,月間集計シート!R$29:R$48)*N$2</f>
        <v>0</v>
      </c>
      <c r="O1653" s="88">
        <f>SUMIF(月間集計シート!$M$29:$M$48,$G1653,月間集計シート!S$29:S$48)*O$2</f>
        <v>0</v>
      </c>
      <c r="P1653" s="88">
        <f>SUMIF(月間集計シート!$M$29:$M$48,$G1653,月間集計シート!T$29:T$48)*P$2</f>
        <v>0</v>
      </c>
      <c r="Q1653" s="88">
        <f>SUMIF(月間集計シート!$M$50:$M$69,$G1653,月間集計シート!N$50:N$69)*Q$2</f>
        <v>0</v>
      </c>
      <c r="R1653" s="88">
        <f>SUMIF(月間集計シート!$M$50:$M$69,$G1653,月間集計シート!O$50:O$69)*R$2</f>
        <v>0</v>
      </c>
      <c r="S1653" s="88">
        <f>SUMIF(月間集計シート!$M$50:$M$69,$G1653,月間集計シート!P$50:P$69)*S$2</f>
        <v>0</v>
      </c>
      <c r="T1653" s="88">
        <f>SUMIF(月間集計シート!$M$50:$M$69,$G1653,月間集計シート!Q$50:Q$69)*T$2</f>
        <v>0</v>
      </c>
      <c r="U1653" s="88">
        <f>SUMIF(月間集計シート!$M$50:$M$69,$G1653,月間集計シート!R$50:R$69)*U$2</f>
        <v>0</v>
      </c>
      <c r="V1653" s="88">
        <f>SUMIF(月間集計シート!$M$50:$M$69,$G1653,月間集計シート!S$50:S$69)*V$2</f>
        <v>0</v>
      </c>
      <c r="W1653" s="88">
        <f>SUMIF(月間集計シート!$M$50:$M$69,$G1653,月間集計シート!T$50:T$69)*W$2</f>
        <v>0</v>
      </c>
      <c r="X1653" s="88">
        <f>SUMIF(月間集計シート!$M$71:$M$90,$G1653,月間集計シート!N$71:N$90)*X$2</f>
        <v>0</v>
      </c>
      <c r="Y1653" s="88">
        <f>SUMIF(月間集計シート!$M$71:$M$90,$G1653,月間集計シート!O$71:O$90)*Y$2</f>
        <v>0</v>
      </c>
      <c r="Z1653" s="88">
        <f>SUMIF(月間集計シート!$M$71:$M$90,$G1653,月間集計シート!P$71:P$90)*Z$2</f>
        <v>0</v>
      </c>
      <c r="AA1653" s="88">
        <f>SUMIF(月間集計シート!$M$71:$M$90,$G1653,月間集計シート!Q$71:Q$90)*AA$2</f>
        <v>0</v>
      </c>
      <c r="AB1653" s="88">
        <f>SUMIF(月間集計シート!$M$71:$M$90,$G1653,月間集計シート!R$71:R$90)*AB$2</f>
        <v>0</v>
      </c>
      <c r="AC1653" s="88">
        <f>SUMIF(月間集計シート!$M$71:$M$90,$G1653,月間集計シート!S$71:S$90)*AC$2</f>
        <v>0</v>
      </c>
      <c r="AD1653" s="88">
        <f>SUMIF(月間集計シート!$M$71:$M$90,$G1653,月間集計シート!T$71:T$90)*AD$2</f>
        <v>0</v>
      </c>
      <c r="AE1653" s="88">
        <f>SUMIF(月間集計シート!$M$92:$M$111,$G1653,月間集計シート!N$92:N$111)*AE$2</f>
        <v>0</v>
      </c>
      <c r="AF1653" s="88">
        <f>SUMIF(月間集計シート!$M$92:$M$111,$G1653,月間集計シート!O$92:O$111)*AF$2</f>
        <v>0</v>
      </c>
      <c r="AG1653" s="88">
        <f>SUMIF(月間集計シート!$M$92:$M$111,$G1653,月間集計シート!P$92:P$111)*AG$2</f>
        <v>0</v>
      </c>
      <c r="AH1653" s="88">
        <f>SUMIF(月間集計シート!$M$92:$M$111,$G1653,月間集計シート!Q$92:Q$111)*AH$2</f>
        <v>0</v>
      </c>
      <c r="AI1653" s="88">
        <f>SUMIF(月間集計シート!$M$92:$M$111,$G1653,月間集計シート!R$92:R$111)*AI$2</f>
        <v>0</v>
      </c>
      <c r="AJ1653" s="88">
        <f>SUMIF(月間集計シート!$M$92:$M$111,$G1653,月間集計シート!S$92:S$111)*AJ$2</f>
        <v>0</v>
      </c>
      <c r="AK1653" s="88">
        <f>SUMIF(月間集計シート!$M$92:$M$111,$G1653,月間集計シート!T$92:T$111)*AK$2</f>
        <v>0</v>
      </c>
      <c r="AL1653" s="88">
        <f>SUMIF(月間集計シート!$M$113:$M$132,$G1653,月間集計シート!N$113:N$132)*AL$2</f>
        <v>0</v>
      </c>
      <c r="AM1653" s="88">
        <f>SUMIF(月間集計シート!$M$113:$M$132,$G1653,月間集計シート!O$113:O$132)*AM$2</f>
        <v>0</v>
      </c>
      <c r="AN1653" s="88">
        <f>SUMIF(月間集計シート!$M$113:$M$132,$G1653,月間集計シート!P$113:P$132)*AN$2</f>
        <v>0</v>
      </c>
      <c r="AO1653" s="88">
        <f>SUMIF(月間集計シート!$M$113:$M$132,$G1653,月間集計シート!Q$113:Q$132)*AO$2</f>
        <v>0</v>
      </c>
      <c r="AP1653" s="88">
        <f>SUMIF(月間集計シート!$M$113:$M$132,$G1653,月間集計シート!R$113:R$132)*AP$2</f>
        <v>0</v>
      </c>
      <c r="AQ1653" s="88">
        <f>SUMIF(月間集計シート!$M$113:$M$132,$G1653,月間集計シート!S$113:S$132)*AQ$2</f>
        <v>0</v>
      </c>
      <c r="AR1653" s="88">
        <f>SUMIF(月間集計シート!$M$113:$M$132,$G1653,月間集計シート!T$113:T$132)*AR$2</f>
        <v>0</v>
      </c>
      <c r="AS1653" s="88">
        <f>SUMIF(月間集計シート!$M$134:$M$153,$G1653,月間集計シート!N$134:N$153)*AS$2</f>
        <v>0</v>
      </c>
      <c r="AT1653" s="88">
        <f>SUMIF(月間集計シート!$M$134:$M$153,$G1653,月間集計シート!O$134:O$153)*AT$2</f>
        <v>0</v>
      </c>
      <c r="AU1653" s="88">
        <f>SUMIF(月間集計シート!$M$134:$M$153,$G1653,月間集計シート!P$134:P$153)*AU$2</f>
        <v>0</v>
      </c>
      <c r="AV1653" s="88">
        <f>SUMIF(月間集計シート!$M$134:$M$153,$G1653,月間集計シート!Q$134:Q$153)*AV$2</f>
        <v>0</v>
      </c>
      <c r="AW1653" s="88">
        <f>SUMIF(月間集計シート!$M$134:$M$153,$G1653,月間集計シート!R$134:R$153)*AW$2</f>
        <v>0</v>
      </c>
      <c r="AX1653" s="88">
        <f>SUMIF(月間集計シート!$M$134:$M$153,$G1653,月間集計シート!S$134:S$153)*AX$2</f>
        <v>0</v>
      </c>
      <c r="AY1653" s="88">
        <f>SUMIF(月間集計シート!$M$134:$M$153,$G1653,月間集計シート!T$134:T$153)*AY$2</f>
        <v>0</v>
      </c>
    </row>
    <row r="1654" spans="1:51" ht="14.25" thickBot="1">
      <c r="A1654">
        <v>20</v>
      </c>
      <c r="B1654" s="120">
        <f t="shared" si="941"/>
        <v>0</v>
      </c>
      <c r="C1654" s="120" t="str">
        <f t="shared" si="942"/>
        <v/>
      </c>
      <c r="D1654" s="137"/>
      <c r="E1654" s="150" t="str">
        <f>工種!A31</f>
        <v>40109</v>
      </c>
      <c r="F1654" s="119" t="str">
        <f>工種!B31</f>
        <v>テスト：打合せ</v>
      </c>
      <c r="G1654" s="116" t="str">
        <f t="shared" si="943"/>
        <v>040109</v>
      </c>
      <c r="H1654" s="88">
        <f t="shared" si="897"/>
        <v>0</v>
      </c>
      <c r="I1654" s="132"/>
      <c r="J1654" s="88">
        <f>SUMIF(月間集計シート!$M$29:$M$48,$G1654,月間集計シート!N$29:N$48)*J$2</f>
        <v>0</v>
      </c>
      <c r="K1654" s="88">
        <f>SUMIF(月間集計シート!$M$29:$M$48,$G1654,月間集計シート!O$29:O$48)*K$2</f>
        <v>0</v>
      </c>
      <c r="L1654" s="88">
        <f>SUMIF(月間集計シート!$M$29:$M$48,$G1654,月間集計シート!P$29:P$48)*L$2</f>
        <v>0</v>
      </c>
      <c r="M1654" s="88">
        <f>SUMIF(月間集計シート!$M$29:$M$48,$G1654,月間集計シート!Q$29:Q$48)*M$2</f>
        <v>0</v>
      </c>
      <c r="N1654" s="88">
        <f>SUMIF(月間集計シート!$M$29:$M$48,$G1654,月間集計シート!R$29:R$48)*N$2</f>
        <v>0</v>
      </c>
      <c r="O1654" s="88">
        <f>SUMIF(月間集計シート!$M$29:$M$48,$G1654,月間集計シート!S$29:S$48)*O$2</f>
        <v>0</v>
      </c>
      <c r="P1654" s="88">
        <f>SUMIF(月間集計シート!$M$29:$M$48,$G1654,月間集計シート!T$29:T$48)*P$2</f>
        <v>0</v>
      </c>
      <c r="Q1654" s="88">
        <f>SUMIF(月間集計シート!$M$50:$M$69,$G1654,月間集計シート!N$50:N$69)*Q$2</f>
        <v>0</v>
      </c>
      <c r="R1654" s="88">
        <f>SUMIF(月間集計シート!$M$50:$M$69,$G1654,月間集計シート!O$50:O$69)*R$2</f>
        <v>0</v>
      </c>
      <c r="S1654" s="88">
        <f>SUMIF(月間集計シート!$M$50:$M$69,$G1654,月間集計シート!P$50:P$69)*S$2</f>
        <v>0</v>
      </c>
      <c r="T1654" s="88">
        <f>SUMIF(月間集計シート!$M$50:$M$69,$G1654,月間集計シート!Q$50:Q$69)*T$2</f>
        <v>0</v>
      </c>
      <c r="U1654" s="88">
        <f>SUMIF(月間集計シート!$M$50:$M$69,$G1654,月間集計シート!R$50:R$69)*U$2</f>
        <v>0</v>
      </c>
      <c r="V1654" s="88">
        <f>SUMIF(月間集計シート!$M$50:$M$69,$G1654,月間集計シート!S$50:S$69)*V$2</f>
        <v>0</v>
      </c>
      <c r="W1654" s="88">
        <f>SUMIF(月間集計シート!$M$50:$M$69,$G1654,月間集計シート!T$50:T$69)*W$2</f>
        <v>0</v>
      </c>
      <c r="X1654" s="88">
        <f>SUMIF(月間集計シート!$M$71:$M$90,$G1654,月間集計シート!N$71:N$90)*X$2</f>
        <v>0</v>
      </c>
      <c r="Y1654" s="88">
        <f>SUMIF(月間集計シート!$M$71:$M$90,$G1654,月間集計シート!O$71:O$90)*Y$2</f>
        <v>0</v>
      </c>
      <c r="Z1654" s="88">
        <f>SUMIF(月間集計シート!$M$71:$M$90,$G1654,月間集計シート!P$71:P$90)*Z$2</f>
        <v>0</v>
      </c>
      <c r="AA1654" s="88">
        <f>SUMIF(月間集計シート!$M$71:$M$90,$G1654,月間集計シート!Q$71:Q$90)*AA$2</f>
        <v>0</v>
      </c>
      <c r="AB1654" s="88">
        <f>SUMIF(月間集計シート!$M$71:$M$90,$G1654,月間集計シート!R$71:R$90)*AB$2</f>
        <v>0</v>
      </c>
      <c r="AC1654" s="88">
        <f>SUMIF(月間集計シート!$M$71:$M$90,$G1654,月間集計シート!S$71:S$90)*AC$2</f>
        <v>0</v>
      </c>
      <c r="AD1654" s="88">
        <f>SUMIF(月間集計シート!$M$71:$M$90,$G1654,月間集計シート!T$71:T$90)*AD$2</f>
        <v>0</v>
      </c>
      <c r="AE1654" s="88">
        <f>SUMIF(月間集計シート!$M$92:$M$111,$G1654,月間集計シート!N$92:N$111)*AE$2</f>
        <v>0</v>
      </c>
      <c r="AF1654" s="88">
        <f>SUMIF(月間集計シート!$M$92:$M$111,$G1654,月間集計シート!O$92:O$111)*AF$2</f>
        <v>0</v>
      </c>
      <c r="AG1654" s="88">
        <f>SUMIF(月間集計シート!$M$92:$M$111,$G1654,月間集計シート!P$92:P$111)*AG$2</f>
        <v>0</v>
      </c>
      <c r="AH1654" s="88">
        <f>SUMIF(月間集計シート!$M$92:$M$111,$G1654,月間集計シート!Q$92:Q$111)*AH$2</f>
        <v>0</v>
      </c>
      <c r="AI1654" s="88">
        <f>SUMIF(月間集計シート!$M$92:$M$111,$G1654,月間集計シート!R$92:R$111)*AI$2</f>
        <v>0</v>
      </c>
      <c r="AJ1654" s="88">
        <f>SUMIF(月間集計シート!$M$92:$M$111,$G1654,月間集計シート!S$92:S$111)*AJ$2</f>
        <v>0</v>
      </c>
      <c r="AK1654" s="88">
        <f>SUMIF(月間集計シート!$M$92:$M$111,$G1654,月間集計シート!T$92:T$111)*AK$2</f>
        <v>0</v>
      </c>
      <c r="AL1654" s="88">
        <f>SUMIF(月間集計シート!$M$113:$M$132,$G1654,月間集計シート!N$113:N$132)*AL$2</f>
        <v>0</v>
      </c>
      <c r="AM1654" s="88">
        <f>SUMIF(月間集計シート!$M$113:$M$132,$G1654,月間集計シート!O$113:O$132)*AM$2</f>
        <v>0</v>
      </c>
      <c r="AN1654" s="88">
        <f>SUMIF(月間集計シート!$M$113:$M$132,$G1654,月間集計シート!P$113:P$132)*AN$2</f>
        <v>0</v>
      </c>
      <c r="AO1654" s="88">
        <f>SUMIF(月間集計シート!$M$113:$M$132,$G1654,月間集計シート!Q$113:Q$132)*AO$2</f>
        <v>0</v>
      </c>
      <c r="AP1654" s="88">
        <f>SUMIF(月間集計シート!$M$113:$M$132,$G1654,月間集計シート!R$113:R$132)*AP$2</f>
        <v>0</v>
      </c>
      <c r="AQ1654" s="88">
        <f>SUMIF(月間集計シート!$M$113:$M$132,$G1654,月間集計シート!S$113:S$132)*AQ$2</f>
        <v>0</v>
      </c>
      <c r="AR1654" s="88">
        <f>SUMIF(月間集計シート!$M$113:$M$132,$G1654,月間集計シート!T$113:T$132)*AR$2</f>
        <v>0</v>
      </c>
      <c r="AS1654" s="88">
        <f>SUMIF(月間集計シート!$M$134:$M$153,$G1654,月間集計シート!N$134:N$153)*AS$2</f>
        <v>0</v>
      </c>
      <c r="AT1654" s="88">
        <f>SUMIF(月間集計シート!$M$134:$M$153,$G1654,月間集計シート!O$134:O$153)*AT$2</f>
        <v>0</v>
      </c>
      <c r="AU1654" s="88">
        <f>SUMIF(月間集計シート!$M$134:$M$153,$G1654,月間集計シート!P$134:P$153)*AU$2</f>
        <v>0</v>
      </c>
      <c r="AV1654" s="88">
        <f>SUMIF(月間集計シート!$M$134:$M$153,$G1654,月間集計シート!Q$134:Q$153)*AV$2</f>
        <v>0</v>
      </c>
      <c r="AW1654" s="88">
        <f>SUMIF(月間集計シート!$M$134:$M$153,$G1654,月間集計シート!R$134:R$153)*AW$2</f>
        <v>0</v>
      </c>
      <c r="AX1654" s="88">
        <f>SUMIF(月間集計シート!$M$134:$M$153,$G1654,月間集計シート!S$134:S$153)*AX$2</f>
        <v>0</v>
      </c>
      <c r="AY1654" s="88">
        <f>SUMIF(月間集計シート!$M$134:$M$153,$G1654,月間集計シート!T$134:T$153)*AY$2</f>
        <v>0</v>
      </c>
    </row>
    <row r="1655" spans="1:51" ht="14.25" thickBot="1">
      <c r="A1655">
        <v>20</v>
      </c>
      <c r="B1655" s="120">
        <f t="shared" si="941"/>
        <v>0</v>
      </c>
      <c r="C1655" s="120" t="str">
        <f t="shared" si="942"/>
        <v/>
      </c>
      <c r="D1655" s="137"/>
      <c r="E1655" s="150" t="str">
        <f>工種!A32</f>
        <v>40110</v>
      </c>
      <c r="F1655" s="119" t="str">
        <f>工種!B32</f>
        <v>テスト：レビュー</v>
      </c>
      <c r="G1655" s="116" t="str">
        <f t="shared" si="943"/>
        <v>040110</v>
      </c>
      <c r="H1655" s="88">
        <f t="shared" si="897"/>
        <v>0</v>
      </c>
      <c r="I1655" s="132"/>
      <c r="J1655" s="88">
        <f>SUMIF(月間集計シート!$M$29:$M$48,$G1655,月間集計シート!N$29:N$48)*J$2</f>
        <v>0</v>
      </c>
      <c r="K1655" s="88">
        <f>SUMIF(月間集計シート!$M$29:$M$48,$G1655,月間集計シート!O$29:O$48)*K$2</f>
        <v>0</v>
      </c>
      <c r="L1655" s="88">
        <f>SUMIF(月間集計シート!$M$29:$M$48,$G1655,月間集計シート!P$29:P$48)*L$2</f>
        <v>0</v>
      </c>
      <c r="M1655" s="88">
        <f>SUMIF(月間集計シート!$M$29:$M$48,$G1655,月間集計シート!Q$29:Q$48)*M$2</f>
        <v>0</v>
      </c>
      <c r="N1655" s="88">
        <f>SUMIF(月間集計シート!$M$29:$M$48,$G1655,月間集計シート!R$29:R$48)*N$2</f>
        <v>0</v>
      </c>
      <c r="O1655" s="88">
        <f>SUMIF(月間集計シート!$M$29:$M$48,$G1655,月間集計シート!S$29:S$48)*O$2</f>
        <v>0</v>
      </c>
      <c r="P1655" s="88">
        <f>SUMIF(月間集計シート!$M$29:$M$48,$G1655,月間集計シート!T$29:T$48)*P$2</f>
        <v>0</v>
      </c>
      <c r="Q1655" s="88">
        <f>SUMIF(月間集計シート!$M$50:$M$69,$G1655,月間集計シート!N$50:N$69)*Q$2</f>
        <v>0</v>
      </c>
      <c r="R1655" s="88">
        <f>SUMIF(月間集計シート!$M$50:$M$69,$G1655,月間集計シート!O$50:O$69)*R$2</f>
        <v>0</v>
      </c>
      <c r="S1655" s="88">
        <f>SUMIF(月間集計シート!$M$50:$M$69,$G1655,月間集計シート!P$50:P$69)*S$2</f>
        <v>0</v>
      </c>
      <c r="T1655" s="88">
        <f>SUMIF(月間集計シート!$M$50:$M$69,$G1655,月間集計シート!Q$50:Q$69)*T$2</f>
        <v>0</v>
      </c>
      <c r="U1655" s="88">
        <f>SUMIF(月間集計シート!$M$50:$M$69,$G1655,月間集計シート!R$50:R$69)*U$2</f>
        <v>0</v>
      </c>
      <c r="V1655" s="88">
        <f>SUMIF(月間集計シート!$M$50:$M$69,$G1655,月間集計シート!S$50:S$69)*V$2</f>
        <v>0</v>
      </c>
      <c r="W1655" s="88">
        <f>SUMIF(月間集計シート!$M$50:$M$69,$G1655,月間集計シート!T$50:T$69)*W$2</f>
        <v>0</v>
      </c>
      <c r="X1655" s="88">
        <f>SUMIF(月間集計シート!$M$71:$M$90,$G1655,月間集計シート!N$71:N$90)*X$2</f>
        <v>0</v>
      </c>
      <c r="Y1655" s="88">
        <f>SUMIF(月間集計シート!$M$71:$M$90,$G1655,月間集計シート!O$71:O$90)*Y$2</f>
        <v>0</v>
      </c>
      <c r="Z1655" s="88">
        <f>SUMIF(月間集計シート!$M$71:$M$90,$G1655,月間集計シート!P$71:P$90)*Z$2</f>
        <v>0</v>
      </c>
      <c r="AA1655" s="88">
        <f>SUMIF(月間集計シート!$M$71:$M$90,$G1655,月間集計シート!Q$71:Q$90)*AA$2</f>
        <v>0</v>
      </c>
      <c r="AB1655" s="88">
        <f>SUMIF(月間集計シート!$M$71:$M$90,$G1655,月間集計シート!R$71:R$90)*AB$2</f>
        <v>0</v>
      </c>
      <c r="AC1655" s="88">
        <f>SUMIF(月間集計シート!$M$71:$M$90,$G1655,月間集計シート!S$71:S$90)*AC$2</f>
        <v>0</v>
      </c>
      <c r="AD1655" s="88">
        <f>SUMIF(月間集計シート!$M$71:$M$90,$G1655,月間集計シート!T$71:T$90)*AD$2</f>
        <v>0</v>
      </c>
      <c r="AE1655" s="88">
        <f>SUMIF(月間集計シート!$M$92:$M$111,$G1655,月間集計シート!N$92:N$111)*AE$2</f>
        <v>0</v>
      </c>
      <c r="AF1655" s="88">
        <f>SUMIF(月間集計シート!$M$92:$M$111,$G1655,月間集計シート!O$92:O$111)*AF$2</f>
        <v>0</v>
      </c>
      <c r="AG1655" s="88">
        <f>SUMIF(月間集計シート!$M$92:$M$111,$G1655,月間集計シート!P$92:P$111)*AG$2</f>
        <v>0</v>
      </c>
      <c r="AH1655" s="88">
        <f>SUMIF(月間集計シート!$M$92:$M$111,$G1655,月間集計シート!Q$92:Q$111)*AH$2</f>
        <v>0</v>
      </c>
      <c r="AI1655" s="88">
        <f>SUMIF(月間集計シート!$M$92:$M$111,$G1655,月間集計シート!R$92:R$111)*AI$2</f>
        <v>0</v>
      </c>
      <c r="AJ1655" s="88">
        <f>SUMIF(月間集計シート!$M$92:$M$111,$G1655,月間集計シート!S$92:S$111)*AJ$2</f>
        <v>0</v>
      </c>
      <c r="AK1655" s="88">
        <f>SUMIF(月間集計シート!$M$92:$M$111,$G1655,月間集計シート!T$92:T$111)*AK$2</f>
        <v>0</v>
      </c>
      <c r="AL1655" s="88">
        <f>SUMIF(月間集計シート!$M$113:$M$132,$G1655,月間集計シート!N$113:N$132)*AL$2</f>
        <v>0</v>
      </c>
      <c r="AM1655" s="88">
        <f>SUMIF(月間集計シート!$M$113:$M$132,$G1655,月間集計シート!O$113:O$132)*AM$2</f>
        <v>0</v>
      </c>
      <c r="AN1655" s="88">
        <f>SUMIF(月間集計シート!$M$113:$M$132,$G1655,月間集計シート!P$113:P$132)*AN$2</f>
        <v>0</v>
      </c>
      <c r="AO1655" s="88">
        <f>SUMIF(月間集計シート!$M$113:$M$132,$G1655,月間集計シート!Q$113:Q$132)*AO$2</f>
        <v>0</v>
      </c>
      <c r="AP1655" s="88">
        <f>SUMIF(月間集計シート!$M$113:$M$132,$G1655,月間集計シート!R$113:R$132)*AP$2</f>
        <v>0</v>
      </c>
      <c r="AQ1655" s="88">
        <f>SUMIF(月間集計シート!$M$113:$M$132,$G1655,月間集計シート!S$113:S$132)*AQ$2</f>
        <v>0</v>
      </c>
      <c r="AR1655" s="88">
        <f>SUMIF(月間集計シート!$M$113:$M$132,$G1655,月間集計シート!T$113:T$132)*AR$2</f>
        <v>0</v>
      </c>
      <c r="AS1655" s="88">
        <f>SUMIF(月間集計シート!$M$134:$M$153,$G1655,月間集計シート!N$134:N$153)*AS$2</f>
        <v>0</v>
      </c>
      <c r="AT1655" s="88">
        <f>SUMIF(月間集計シート!$M$134:$M$153,$G1655,月間集計シート!O$134:O$153)*AT$2</f>
        <v>0</v>
      </c>
      <c r="AU1655" s="88">
        <f>SUMIF(月間集計シート!$M$134:$M$153,$G1655,月間集計シート!P$134:P$153)*AU$2</f>
        <v>0</v>
      </c>
      <c r="AV1655" s="88">
        <f>SUMIF(月間集計シート!$M$134:$M$153,$G1655,月間集計シート!Q$134:Q$153)*AV$2</f>
        <v>0</v>
      </c>
      <c r="AW1655" s="88">
        <f>SUMIF(月間集計シート!$M$134:$M$153,$G1655,月間集計シート!R$134:R$153)*AW$2</f>
        <v>0</v>
      </c>
      <c r="AX1655" s="88">
        <f>SUMIF(月間集計シート!$M$134:$M$153,$G1655,月間集計シート!S$134:S$153)*AX$2</f>
        <v>0</v>
      </c>
      <c r="AY1655" s="88">
        <f>SUMIF(月間集計シート!$M$134:$M$153,$G1655,月間集計シート!T$134:T$153)*AY$2</f>
        <v>0</v>
      </c>
    </row>
    <row r="1656" spans="1:51" ht="14.25" thickBot="1">
      <c r="A1656">
        <v>20</v>
      </c>
      <c r="B1656" s="120">
        <f t="shared" si="941"/>
        <v>0</v>
      </c>
      <c r="C1656" s="120" t="str">
        <f t="shared" si="942"/>
        <v/>
      </c>
      <c r="D1656" s="137"/>
      <c r="E1656" s="150" t="str">
        <f>工種!A33</f>
        <v>40111</v>
      </c>
      <c r="F1656" s="119" t="str">
        <f>工種!B33</f>
        <v>テスト：PG修正（手戻り分）</v>
      </c>
      <c r="G1656" s="116" t="str">
        <f t="shared" si="943"/>
        <v>040111</v>
      </c>
      <c r="H1656" s="88">
        <f t="shared" si="897"/>
        <v>0</v>
      </c>
      <c r="I1656" s="132"/>
      <c r="J1656" s="88">
        <f>SUMIF(月間集計シート!$M$29:$M$48,$G1656,月間集計シート!N$29:N$48)*J$2</f>
        <v>0</v>
      </c>
      <c r="K1656" s="88">
        <f>SUMIF(月間集計シート!$M$29:$M$48,$G1656,月間集計シート!O$29:O$48)*K$2</f>
        <v>0</v>
      </c>
      <c r="L1656" s="88">
        <f>SUMIF(月間集計シート!$M$29:$M$48,$G1656,月間集計シート!P$29:P$48)*L$2</f>
        <v>0</v>
      </c>
      <c r="M1656" s="88">
        <f>SUMIF(月間集計シート!$M$29:$M$48,$G1656,月間集計シート!Q$29:Q$48)*M$2</f>
        <v>0</v>
      </c>
      <c r="N1656" s="88">
        <f>SUMIF(月間集計シート!$M$29:$M$48,$G1656,月間集計シート!R$29:R$48)*N$2</f>
        <v>0</v>
      </c>
      <c r="O1656" s="88">
        <f>SUMIF(月間集計シート!$M$29:$M$48,$G1656,月間集計シート!S$29:S$48)*O$2</f>
        <v>0</v>
      </c>
      <c r="P1656" s="88">
        <f>SUMIF(月間集計シート!$M$29:$M$48,$G1656,月間集計シート!T$29:T$48)*P$2</f>
        <v>0</v>
      </c>
      <c r="Q1656" s="88">
        <f>SUMIF(月間集計シート!$M$50:$M$69,$G1656,月間集計シート!N$50:N$69)*Q$2</f>
        <v>0</v>
      </c>
      <c r="R1656" s="88">
        <f>SUMIF(月間集計シート!$M$50:$M$69,$G1656,月間集計シート!O$50:O$69)*R$2</f>
        <v>0</v>
      </c>
      <c r="S1656" s="88">
        <f>SUMIF(月間集計シート!$M$50:$M$69,$G1656,月間集計シート!P$50:P$69)*S$2</f>
        <v>0</v>
      </c>
      <c r="T1656" s="88">
        <f>SUMIF(月間集計シート!$M$50:$M$69,$G1656,月間集計シート!Q$50:Q$69)*T$2</f>
        <v>0</v>
      </c>
      <c r="U1656" s="88">
        <f>SUMIF(月間集計シート!$M$50:$M$69,$G1656,月間集計シート!R$50:R$69)*U$2</f>
        <v>0</v>
      </c>
      <c r="V1656" s="88">
        <f>SUMIF(月間集計シート!$M$50:$M$69,$G1656,月間集計シート!S$50:S$69)*V$2</f>
        <v>0</v>
      </c>
      <c r="W1656" s="88">
        <f>SUMIF(月間集計シート!$M$50:$M$69,$G1656,月間集計シート!T$50:T$69)*W$2</f>
        <v>0</v>
      </c>
      <c r="X1656" s="88">
        <f>SUMIF(月間集計シート!$M$71:$M$90,$G1656,月間集計シート!N$71:N$90)*X$2</f>
        <v>0</v>
      </c>
      <c r="Y1656" s="88">
        <f>SUMIF(月間集計シート!$M$71:$M$90,$G1656,月間集計シート!O$71:O$90)*Y$2</f>
        <v>0</v>
      </c>
      <c r="Z1656" s="88">
        <f>SUMIF(月間集計シート!$M$71:$M$90,$G1656,月間集計シート!P$71:P$90)*Z$2</f>
        <v>0</v>
      </c>
      <c r="AA1656" s="88">
        <f>SUMIF(月間集計シート!$M$71:$M$90,$G1656,月間集計シート!Q$71:Q$90)*AA$2</f>
        <v>0</v>
      </c>
      <c r="AB1656" s="88">
        <f>SUMIF(月間集計シート!$M$71:$M$90,$G1656,月間集計シート!R$71:R$90)*AB$2</f>
        <v>0</v>
      </c>
      <c r="AC1656" s="88">
        <f>SUMIF(月間集計シート!$M$71:$M$90,$G1656,月間集計シート!S$71:S$90)*AC$2</f>
        <v>0</v>
      </c>
      <c r="AD1656" s="88">
        <f>SUMIF(月間集計シート!$M$71:$M$90,$G1656,月間集計シート!T$71:T$90)*AD$2</f>
        <v>0</v>
      </c>
      <c r="AE1656" s="88">
        <f>SUMIF(月間集計シート!$M$92:$M$111,$G1656,月間集計シート!N$92:N$111)*AE$2</f>
        <v>0</v>
      </c>
      <c r="AF1656" s="88">
        <f>SUMIF(月間集計シート!$M$92:$M$111,$G1656,月間集計シート!O$92:O$111)*AF$2</f>
        <v>0</v>
      </c>
      <c r="AG1656" s="88">
        <f>SUMIF(月間集計シート!$M$92:$M$111,$G1656,月間集計シート!P$92:P$111)*AG$2</f>
        <v>0</v>
      </c>
      <c r="AH1656" s="88">
        <f>SUMIF(月間集計シート!$M$92:$M$111,$G1656,月間集計シート!Q$92:Q$111)*AH$2</f>
        <v>0</v>
      </c>
      <c r="AI1656" s="88">
        <f>SUMIF(月間集計シート!$M$92:$M$111,$G1656,月間集計シート!R$92:R$111)*AI$2</f>
        <v>0</v>
      </c>
      <c r="AJ1656" s="88">
        <f>SUMIF(月間集計シート!$M$92:$M$111,$G1656,月間集計シート!S$92:S$111)*AJ$2</f>
        <v>0</v>
      </c>
      <c r="AK1656" s="88">
        <f>SUMIF(月間集計シート!$M$92:$M$111,$G1656,月間集計シート!T$92:T$111)*AK$2</f>
        <v>0</v>
      </c>
      <c r="AL1656" s="88">
        <f>SUMIF(月間集計シート!$M$113:$M$132,$G1656,月間集計シート!N$113:N$132)*AL$2</f>
        <v>0</v>
      </c>
      <c r="AM1656" s="88">
        <f>SUMIF(月間集計シート!$M$113:$M$132,$G1656,月間集計シート!O$113:O$132)*AM$2</f>
        <v>0</v>
      </c>
      <c r="AN1656" s="88">
        <f>SUMIF(月間集計シート!$M$113:$M$132,$G1656,月間集計シート!P$113:P$132)*AN$2</f>
        <v>0</v>
      </c>
      <c r="AO1656" s="88">
        <f>SUMIF(月間集計シート!$M$113:$M$132,$G1656,月間集計シート!Q$113:Q$132)*AO$2</f>
        <v>0</v>
      </c>
      <c r="AP1656" s="88">
        <f>SUMIF(月間集計シート!$M$113:$M$132,$G1656,月間集計シート!R$113:R$132)*AP$2</f>
        <v>0</v>
      </c>
      <c r="AQ1656" s="88">
        <f>SUMIF(月間集計シート!$M$113:$M$132,$G1656,月間集計シート!S$113:S$132)*AQ$2</f>
        <v>0</v>
      </c>
      <c r="AR1656" s="88">
        <f>SUMIF(月間集計シート!$M$113:$M$132,$G1656,月間集計シート!T$113:T$132)*AR$2</f>
        <v>0</v>
      </c>
      <c r="AS1656" s="88">
        <f>SUMIF(月間集計シート!$M$134:$M$153,$G1656,月間集計シート!N$134:N$153)*AS$2</f>
        <v>0</v>
      </c>
      <c r="AT1656" s="88">
        <f>SUMIF(月間集計シート!$M$134:$M$153,$G1656,月間集計シート!O$134:O$153)*AT$2</f>
        <v>0</v>
      </c>
      <c r="AU1656" s="88">
        <f>SUMIF(月間集計シート!$M$134:$M$153,$G1656,月間集計シート!P$134:P$153)*AU$2</f>
        <v>0</v>
      </c>
      <c r="AV1656" s="88">
        <f>SUMIF(月間集計シート!$M$134:$M$153,$G1656,月間集計シート!Q$134:Q$153)*AV$2</f>
        <v>0</v>
      </c>
      <c r="AW1656" s="88">
        <f>SUMIF(月間集計シート!$M$134:$M$153,$G1656,月間集計シート!R$134:R$153)*AW$2</f>
        <v>0</v>
      </c>
      <c r="AX1656" s="88">
        <f>SUMIF(月間集計シート!$M$134:$M$153,$G1656,月間集計シート!S$134:S$153)*AX$2</f>
        <v>0</v>
      </c>
      <c r="AY1656" s="88">
        <f>SUMIF(月間集計シート!$M$134:$M$153,$G1656,月間集計シート!T$134:T$153)*AY$2</f>
        <v>0</v>
      </c>
    </row>
    <row r="1657" spans="1:51" ht="14.25" thickBot="1">
      <c r="A1657">
        <v>20</v>
      </c>
      <c r="B1657" s="120">
        <f t="shared" si="941"/>
        <v>0</v>
      </c>
      <c r="C1657" s="120" t="str">
        <f t="shared" si="942"/>
        <v/>
      </c>
      <c r="D1657" s="137"/>
      <c r="E1657" s="150" t="str">
        <f>工種!A34</f>
        <v>40112</v>
      </c>
      <c r="F1657" s="119" t="str">
        <f>工種!B34</f>
        <v>テスト：再テスト（手戻り分）</v>
      </c>
      <c r="G1657" s="116" t="str">
        <f t="shared" si="943"/>
        <v>040112</v>
      </c>
      <c r="H1657" s="88">
        <f t="shared" si="897"/>
        <v>0</v>
      </c>
      <c r="I1657" s="132"/>
      <c r="J1657" s="88">
        <f>SUMIF(月間集計シート!$M$29:$M$48,$G1657,月間集計シート!N$29:N$48)*J$2</f>
        <v>0</v>
      </c>
      <c r="K1657" s="88">
        <f>SUMIF(月間集計シート!$M$29:$M$48,$G1657,月間集計シート!O$29:O$48)*K$2</f>
        <v>0</v>
      </c>
      <c r="L1657" s="88">
        <f>SUMIF(月間集計シート!$M$29:$M$48,$G1657,月間集計シート!P$29:P$48)*L$2</f>
        <v>0</v>
      </c>
      <c r="M1657" s="88">
        <f>SUMIF(月間集計シート!$M$29:$M$48,$G1657,月間集計シート!Q$29:Q$48)*M$2</f>
        <v>0</v>
      </c>
      <c r="N1657" s="88">
        <f>SUMIF(月間集計シート!$M$29:$M$48,$G1657,月間集計シート!R$29:R$48)*N$2</f>
        <v>0</v>
      </c>
      <c r="O1657" s="88">
        <f>SUMIF(月間集計シート!$M$29:$M$48,$G1657,月間集計シート!S$29:S$48)*O$2</f>
        <v>0</v>
      </c>
      <c r="P1657" s="88">
        <f>SUMIF(月間集計シート!$M$29:$M$48,$G1657,月間集計シート!T$29:T$48)*P$2</f>
        <v>0</v>
      </c>
      <c r="Q1657" s="88">
        <f>SUMIF(月間集計シート!$M$50:$M$69,$G1657,月間集計シート!N$50:N$69)*Q$2</f>
        <v>0</v>
      </c>
      <c r="R1657" s="88">
        <f>SUMIF(月間集計シート!$M$50:$M$69,$G1657,月間集計シート!O$50:O$69)*R$2</f>
        <v>0</v>
      </c>
      <c r="S1657" s="88">
        <f>SUMIF(月間集計シート!$M$50:$M$69,$G1657,月間集計シート!P$50:P$69)*S$2</f>
        <v>0</v>
      </c>
      <c r="T1657" s="88">
        <f>SUMIF(月間集計シート!$M$50:$M$69,$G1657,月間集計シート!Q$50:Q$69)*T$2</f>
        <v>0</v>
      </c>
      <c r="U1657" s="88">
        <f>SUMIF(月間集計シート!$M$50:$M$69,$G1657,月間集計シート!R$50:R$69)*U$2</f>
        <v>0</v>
      </c>
      <c r="V1657" s="88">
        <f>SUMIF(月間集計シート!$M$50:$M$69,$G1657,月間集計シート!S$50:S$69)*V$2</f>
        <v>0</v>
      </c>
      <c r="W1657" s="88">
        <f>SUMIF(月間集計シート!$M$50:$M$69,$G1657,月間集計シート!T$50:T$69)*W$2</f>
        <v>0</v>
      </c>
      <c r="X1657" s="88">
        <f>SUMIF(月間集計シート!$M$71:$M$90,$G1657,月間集計シート!N$71:N$90)*X$2</f>
        <v>0</v>
      </c>
      <c r="Y1657" s="88">
        <f>SUMIF(月間集計シート!$M$71:$M$90,$G1657,月間集計シート!O$71:O$90)*Y$2</f>
        <v>0</v>
      </c>
      <c r="Z1657" s="88">
        <f>SUMIF(月間集計シート!$M$71:$M$90,$G1657,月間集計シート!P$71:P$90)*Z$2</f>
        <v>0</v>
      </c>
      <c r="AA1657" s="88">
        <f>SUMIF(月間集計シート!$M$71:$M$90,$G1657,月間集計シート!Q$71:Q$90)*AA$2</f>
        <v>0</v>
      </c>
      <c r="AB1657" s="88">
        <f>SUMIF(月間集計シート!$M$71:$M$90,$G1657,月間集計シート!R$71:R$90)*AB$2</f>
        <v>0</v>
      </c>
      <c r="AC1657" s="88">
        <f>SUMIF(月間集計シート!$M$71:$M$90,$G1657,月間集計シート!S$71:S$90)*AC$2</f>
        <v>0</v>
      </c>
      <c r="AD1657" s="88">
        <f>SUMIF(月間集計シート!$M$71:$M$90,$G1657,月間集計シート!T$71:T$90)*AD$2</f>
        <v>0</v>
      </c>
      <c r="AE1657" s="88">
        <f>SUMIF(月間集計シート!$M$92:$M$111,$G1657,月間集計シート!N$92:N$111)*AE$2</f>
        <v>0</v>
      </c>
      <c r="AF1657" s="88">
        <f>SUMIF(月間集計シート!$M$92:$M$111,$G1657,月間集計シート!O$92:O$111)*AF$2</f>
        <v>0</v>
      </c>
      <c r="AG1657" s="88">
        <f>SUMIF(月間集計シート!$M$92:$M$111,$G1657,月間集計シート!P$92:P$111)*AG$2</f>
        <v>0</v>
      </c>
      <c r="AH1657" s="88">
        <f>SUMIF(月間集計シート!$M$92:$M$111,$G1657,月間集計シート!Q$92:Q$111)*AH$2</f>
        <v>0</v>
      </c>
      <c r="AI1657" s="88">
        <f>SUMIF(月間集計シート!$M$92:$M$111,$G1657,月間集計シート!R$92:R$111)*AI$2</f>
        <v>0</v>
      </c>
      <c r="AJ1657" s="88">
        <f>SUMIF(月間集計シート!$M$92:$M$111,$G1657,月間集計シート!S$92:S$111)*AJ$2</f>
        <v>0</v>
      </c>
      <c r="AK1657" s="88">
        <f>SUMIF(月間集計シート!$M$92:$M$111,$G1657,月間集計シート!T$92:T$111)*AK$2</f>
        <v>0</v>
      </c>
      <c r="AL1657" s="88">
        <f>SUMIF(月間集計シート!$M$113:$M$132,$G1657,月間集計シート!N$113:N$132)*AL$2</f>
        <v>0</v>
      </c>
      <c r="AM1657" s="88">
        <f>SUMIF(月間集計シート!$M$113:$M$132,$G1657,月間集計シート!O$113:O$132)*AM$2</f>
        <v>0</v>
      </c>
      <c r="AN1657" s="88">
        <f>SUMIF(月間集計シート!$M$113:$M$132,$G1657,月間集計シート!P$113:P$132)*AN$2</f>
        <v>0</v>
      </c>
      <c r="AO1657" s="88">
        <f>SUMIF(月間集計シート!$M$113:$M$132,$G1657,月間集計シート!Q$113:Q$132)*AO$2</f>
        <v>0</v>
      </c>
      <c r="AP1657" s="88">
        <f>SUMIF(月間集計シート!$M$113:$M$132,$G1657,月間集計シート!R$113:R$132)*AP$2</f>
        <v>0</v>
      </c>
      <c r="AQ1657" s="88">
        <f>SUMIF(月間集計シート!$M$113:$M$132,$G1657,月間集計シート!S$113:S$132)*AQ$2</f>
        <v>0</v>
      </c>
      <c r="AR1657" s="88">
        <f>SUMIF(月間集計シート!$M$113:$M$132,$G1657,月間集計シート!T$113:T$132)*AR$2</f>
        <v>0</v>
      </c>
      <c r="AS1657" s="88">
        <f>SUMIF(月間集計シート!$M$134:$M$153,$G1657,月間集計シート!N$134:N$153)*AS$2</f>
        <v>0</v>
      </c>
      <c r="AT1657" s="88">
        <f>SUMIF(月間集計シート!$M$134:$M$153,$G1657,月間集計シート!O$134:O$153)*AT$2</f>
        <v>0</v>
      </c>
      <c r="AU1657" s="88">
        <f>SUMIF(月間集計シート!$M$134:$M$153,$G1657,月間集計シート!P$134:P$153)*AU$2</f>
        <v>0</v>
      </c>
      <c r="AV1657" s="88">
        <f>SUMIF(月間集計シート!$M$134:$M$153,$G1657,月間集計シート!Q$134:Q$153)*AV$2</f>
        <v>0</v>
      </c>
      <c r="AW1657" s="88">
        <f>SUMIF(月間集計シート!$M$134:$M$153,$G1657,月間集計シート!R$134:R$153)*AW$2</f>
        <v>0</v>
      </c>
      <c r="AX1657" s="88">
        <f>SUMIF(月間集計シート!$M$134:$M$153,$G1657,月間集計シート!S$134:S$153)*AX$2</f>
        <v>0</v>
      </c>
      <c r="AY1657" s="88">
        <f>SUMIF(月間集計シート!$M$134:$M$153,$G1657,月間集計シート!T$134:T$153)*AY$2</f>
        <v>0</v>
      </c>
    </row>
    <row r="1658" spans="1:51" ht="14.25" thickBot="1">
      <c r="A1658">
        <v>20</v>
      </c>
      <c r="B1658" s="120">
        <f t="shared" si="941"/>
        <v>0</v>
      </c>
      <c r="C1658" s="120" t="str">
        <f t="shared" si="942"/>
        <v/>
      </c>
      <c r="D1658" s="137"/>
      <c r="E1658" s="150" t="str">
        <f>工種!A35</f>
        <v>40113</v>
      </c>
      <c r="F1658" s="119" t="str">
        <f>工種!B35</f>
        <v>テスト：QA対応</v>
      </c>
      <c r="G1658" s="116" t="str">
        <f t="shared" si="943"/>
        <v>040113</v>
      </c>
      <c r="H1658" s="88">
        <f t="shared" si="897"/>
        <v>0</v>
      </c>
      <c r="I1658" s="132"/>
      <c r="J1658" s="88">
        <f>SUMIF(月間集計シート!$M$29:$M$48,$G1658,月間集計シート!N$29:N$48)*J$2</f>
        <v>0</v>
      </c>
      <c r="K1658" s="88">
        <f>SUMIF(月間集計シート!$M$29:$M$48,$G1658,月間集計シート!O$29:O$48)*K$2</f>
        <v>0</v>
      </c>
      <c r="L1658" s="88">
        <f>SUMIF(月間集計シート!$M$29:$M$48,$G1658,月間集計シート!P$29:P$48)*L$2</f>
        <v>0</v>
      </c>
      <c r="M1658" s="88">
        <f>SUMIF(月間集計シート!$M$29:$M$48,$G1658,月間集計シート!Q$29:Q$48)*M$2</f>
        <v>0</v>
      </c>
      <c r="N1658" s="88">
        <f>SUMIF(月間集計シート!$M$29:$M$48,$G1658,月間集計シート!R$29:R$48)*N$2</f>
        <v>0</v>
      </c>
      <c r="O1658" s="88">
        <f>SUMIF(月間集計シート!$M$29:$M$48,$G1658,月間集計シート!S$29:S$48)*O$2</f>
        <v>0</v>
      </c>
      <c r="P1658" s="88">
        <f>SUMIF(月間集計シート!$M$29:$M$48,$G1658,月間集計シート!T$29:T$48)*P$2</f>
        <v>0</v>
      </c>
      <c r="Q1658" s="88">
        <f>SUMIF(月間集計シート!$M$50:$M$69,$G1658,月間集計シート!N$50:N$69)*Q$2</f>
        <v>0</v>
      </c>
      <c r="R1658" s="88">
        <f>SUMIF(月間集計シート!$M$50:$M$69,$G1658,月間集計シート!O$50:O$69)*R$2</f>
        <v>0</v>
      </c>
      <c r="S1658" s="88">
        <f>SUMIF(月間集計シート!$M$50:$M$69,$G1658,月間集計シート!P$50:P$69)*S$2</f>
        <v>0</v>
      </c>
      <c r="T1658" s="88">
        <f>SUMIF(月間集計シート!$M$50:$M$69,$G1658,月間集計シート!Q$50:Q$69)*T$2</f>
        <v>0</v>
      </c>
      <c r="U1658" s="88">
        <f>SUMIF(月間集計シート!$M$50:$M$69,$G1658,月間集計シート!R$50:R$69)*U$2</f>
        <v>0</v>
      </c>
      <c r="V1658" s="88">
        <f>SUMIF(月間集計シート!$M$50:$M$69,$G1658,月間集計シート!S$50:S$69)*V$2</f>
        <v>0</v>
      </c>
      <c r="W1658" s="88">
        <f>SUMIF(月間集計シート!$M$50:$M$69,$G1658,月間集計シート!T$50:T$69)*W$2</f>
        <v>0</v>
      </c>
      <c r="X1658" s="88">
        <f>SUMIF(月間集計シート!$M$71:$M$90,$G1658,月間集計シート!N$71:N$90)*X$2</f>
        <v>0</v>
      </c>
      <c r="Y1658" s="88">
        <f>SUMIF(月間集計シート!$M$71:$M$90,$G1658,月間集計シート!O$71:O$90)*Y$2</f>
        <v>0</v>
      </c>
      <c r="Z1658" s="88">
        <f>SUMIF(月間集計シート!$M$71:$M$90,$G1658,月間集計シート!P$71:P$90)*Z$2</f>
        <v>0</v>
      </c>
      <c r="AA1658" s="88">
        <f>SUMIF(月間集計シート!$M$71:$M$90,$G1658,月間集計シート!Q$71:Q$90)*AA$2</f>
        <v>0</v>
      </c>
      <c r="AB1658" s="88">
        <f>SUMIF(月間集計シート!$M$71:$M$90,$G1658,月間集計シート!R$71:R$90)*AB$2</f>
        <v>0</v>
      </c>
      <c r="AC1658" s="88">
        <f>SUMIF(月間集計シート!$M$71:$M$90,$G1658,月間集計シート!S$71:S$90)*AC$2</f>
        <v>0</v>
      </c>
      <c r="AD1658" s="88">
        <f>SUMIF(月間集計シート!$M$71:$M$90,$G1658,月間集計シート!T$71:T$90)*AD$2</f>
        <v>0</v>
      </c>
      <c r="AE1658" s="88">
        <f>SUMIF(月間集計シート!$M$92:$M$111,$G1658,月間集計シート!N$92:N$111)*AE$2</f>
        <v>0</v>
      </c>
      <c r="AF1658" s="88">
        <f>SUMIF(月間集計シート!$M$92:$M$111,$G1658,月間集計シート!O$92:O$111)*AF$2</f>
        <v>0</v>
      </c>
      <c r="AG1658" s="88">
        <f>SUMIF(月間集計シート!$M$92:$M$111,$G1658,月間集計シート!P$92:P$111)*AG$2</f>
        <v>0</v>
      </c>
      <c r="AH1658" s="88">
        <f>SUMIF(月間集計シート!$M$92:$M$111,$G1658,月間集計シート!Q$92:Q$111)*AH$2</f>
        <v>0</v>
      </c>
      <c r="AI1658" s="88">
        <f>SUMIF(月間集計シート!$M$92:$M$111,$G1658,月間集計シート!R$92:R$111)*AI$2</f>
        <v>0</v>
      </c>
      <c r="AJ1658" s="88">
        <f>SUMIF(月間集計シート!$M$92:$M$111,$G1658,月間集計シート!S$92:S$111)*AJ$2</f>
        <v>0</v>
      </c>
      <c r="AK1658" s="88">
        <f>SUMIF(月間集計シート!$M$92:$M$111,$G1658,月間集計シート!T$92:T$111)*AK$2</f>
        <v>0</v>
      </c>
      <c r="AL1658" s="88">
        <f>SUMIF(月間集計シート!$M$113:$M$132,$G1658,月間集計シート!N$113:N$132)*AL$2</f>
        <v>0</v>
      </c>
      <c r="AM1658" s="88">
        <f>SUMIF(月間集計シート!$M$113:$M$132,$G1658,月間集計シート!O$113:O$132)*AM$2</f>
        <v>0</v>
      </c>
      <c r="AN1658" s="88">
        <f>SUMIF(月間集計シート!$M$113:$M$132,$G1658,月間集計シート!P$113:P$132)*AN$2</f>
        <v>0</v>
      </c>
      <c r="AO1658" s="88">
        <f>SUMIF(月間集計シート!$M$113:$M$132,$G1658,月間集計シート!Q$113:Q$132)*AO$2</f>
        <v>0</v>
      </c>
      <c r="AP1658" s="88">
        <f>SUMIF(月間集計シート!$M$113:$M$132,$G1658,月間集計シート!R$113:R$132)*AP$2</f>
        <v>0</v>
      </c>
      <c r="AQ1658" s="88">
        <f>SUMIF(月間集計シート!$M$113:$M$132,$G1658,月間集計シート!S$113:S$132)*AQ$2</f>
        <v>0</v>
      </c>
      <c r="AR1658" s="88">
        <f>SUMIF(月間集計シート!$M$113:$M$132,$G1658,月間集計シート!T$113:T$132)*AR$2</f>
        <v>0</v>
      </c>
      <c r="AS1658" s="88">
        <f>SUMIF(月間集計シート!$M$134:$M$153,$G1658,月間集計シート!N$134:N$153)*AS$2</f>
        <v>0</v>
      </c>
      <c r="AT1658" s="88">
        <f>SUMIF(月間集計シート!$M$134:$M$153,$G1658,月間集計シート!O$134:O$153)*AT$2</f>
        <v>0</v>
      </c>
      <c r="AU1658" s="88">
        <f>SUMIF(月間集計シート!$M$134:$M$153,$G1658,月間集計シート!P$134:P$153)*AU$2</f>
        <v>0</v>
      </c>
      <c r="AV1658" s="88">
        <f>SUMIF(月間集計シート!$M$134:$M$153,$G1658,月間集計シート!Q$134:Q$153)*AV$2</f>
        <v>0</v>
      </c>
      <c r="AW1658" s="88">
        <f>SUMIF(月間集計シート!$M$134:$M$153,$G1658,月間集計シート!R$134:R$153)*AW$2</f>
        <v>0</v>
      </c>
      <c r="AX1658" s="88">
        <f>SUMIF(月間集計シート!$M$134:$M$153,$G1658,月間集計シート!S$134:S$153)*AX$2</f>
        <v>0</v>
      </c>
      <c r="AY1658" s="88">
        <f>SUMIF(月間集計シート!$M$134:$M$153,$G1658,月間集計シート!T$134:T$153)*AY$2</f>
        <v>0</v>
      </c>
    </row>
    <row r="1659" spans="1:51" ht="14.25" thickBot="1">
      <c r="A1659">
        <v>20</v>
      </c>
      <c r="B1659" s="120">
        <f t="shared" si="941"/>
        <v>0</v>
      </c>
      <c r="C1659" s="120" t="str">
        <f t="shared" si="942"/>
        <v/>
      </c>
      <c r="D1659" s="137"/>
      <c r="E1659" s="150" t="str">
        <f>工種!A36</f>
        <v>40189</v>
      </c>
      <c r="F1659" s="119" t="str">
        <f>工種!B36</f>
        <v>テスト：内部不具合分析</v>
      </c>
      <c r="G1659" s="116" t="str">
        <f t="shared" si="943"/>
        <v>040189</v>
      </c>
      <c r="H1659" s="88">
        <f t="shared" si="897"/>
        <v>0</v>
      </c>
      <c r="I1659" s="132"/>
      <c r="J1659" s="88">
        <f>SUMIF(月間集計シート!$M$29:$M$48,$G1659,月間集計シート!N$29:N$48)*J$2</f>
        <v>0</v>
      </c>
      <c r="K1659" s="88">
        <f>SUMIF(月間集計シート!$M$29:$M$48,$G1659,月間集計シート!O$29:O$48)*K$2</f>
        <v>0</v>
      </c>
      <c r="L1659" s="88">
        <f>SUMIF(月間集計シート!$M$29:$M$48,$G1659,月間集計シート!P$29:P$48)*L$2</f>
        <v>0</v>
      </c>
      <c r="M1659" s="88">
        <f>SUMIF(月間集計シート!$M$29:$M$48,$G1659,月間集計シート!Q$29:Q$48)*M$2</f>
        <v>0</v>
      </c>
      <c r="N1659" s="88">
        <f>SUMIF(月間集計シート!$M$29:$M$48,$G1659,月間集計シート!R$29:R$48)*N$2</f>
        <v>0</v>
      </c>
      <c r="O1659" s="88">
        <f>SUMIF(月間集計シート!$M$29:$M$48,$G1659,月間集計シート!S$29:S$48)*O$2</f>
        <v>0</v>
      </c>
      <c r="P1659" s="88">
        <f>SUMIF(月間集計シート!$M$29:$M$48,$G1659,月間集計シート!T$29:T$48)*P$2</f>
        <v>0</v>
      </c>
      <c r="Q1659" s="88">
        <f>SUMIF(月間集計シート!$M$50:$M$69,$G1659,月間集計シート!N$50:N$69)*Q$2</f>
        <v>0</v>
      </c>
      <c r="R1659" s="88">
        <f>SUMIF(月間集計シート!$M$50:$M$69,$G1659,月間集計シート!O$50:O$69)*R$2</f>
        <v>0</v>
      </c>
      <c r="S1659" s="88">
        <f>SUMIF(月間集計シート!$M$50:$M$69,$G1659,月間集計シート!P$50:P$69)*S$2</f>
        <v>0</v>
      </c>
      <c r="T1659" s="88">
        <f>SUMIF(月間集計シート!$M$50:$M$69,$G1659,月間集計シート!Q$50:Q$69)*T$2</f>
        <v>0</v>
      </c>
      <c r="U1659" s="88">
        <f>SUMIF(月間集計シート!$M$50:$M$69,$G1659,月間集計シート!R$50:R$69)*U$2</f>
        <v>0</v>
      </c>
      <c r="V1659" s="88">
        <f>SUMIF(月間集計シート!$M$50:$M$69,$G1659,月間集計シート!S$50:S$69)*V$2</f>
        <v>0</v>
      </c>
      <c r="W1659" s="88">
        <f>SUMIF(月間集計シート!$M$50:$M$69,$G1659,月間集計シート!T$50:T$69)*W$2</f>
        <v>0</v>
      </c>
      <c r="X1659" s="88">
        <f>SUMIF(月間集計シート!$M$71:$M$90,$G1659,月間集計シート!N$71:N$90)*X$2</f>
        <v>0</v>
      </c>
      <c r="Y1659" s="88">
        <f>SUMIF(月間集計シート!$M$71:$M$90,$G1659,月間集計シート!O$71:O$90)*Y$2</f>
        <v>0</v>
      </c>
      <c r="Z1659" s="88">
        <f>SUMIF(月間集計シート!$M$71:$M$90,$G1659,月間集計シート!P$71:P$90)*Z$2</f>
        <v>0</v>
      </c>
      <c r="AA1659" s="88">
        <f>SUMIF(月間集計シート!$M$71:$M$90,$G1659,月間集計シート!Q$71:Q$90)*AA$2</f>
        <v>0</v>
      </c>
      <c r="AB1659" s="88">
        <f>SUMIF(月間集計シート!$M$71:$M$90,$G1659,月間集計シート!R$71:R$90)*AB$2</f>
        <v>0</v>
      </c>
      <c r="AC1659" s="88">
        <f>SUMIF(月間集計シート!$M$71:$M$90,$G1659,月間集計シート!S$71:S$90)*AC$2</f>
        <v>0</v>
      </c>
      <c r="AD1659" s="88">
        <f>SUMIF(月間集計シート!$M$71:$M$90,$G1659,月間集計シート!T$71:T$90)*AD$2</f>
        <v>0</v>
      </c>
      <c r="AE1659" s="88">
        <f>SUMIF(月間集計シート!$M$92:$M$111,$G1659,月間集計シート!N$92:N$111)*AE$2</f>
        <v>0</v>
      </c>
      <c r="AF1659" s="88">
        <f>SUMIF(月間集計シート!$M$92:$M$111,$G1659,月間集計シート!O$92:O$111)*AF$2</f>
        <v>0</v>
      </c>
      <c r="AG1659" s="88">
        <f>SUMIF(月間集計シート!$M$92:$M$111,$G1659,月間集計シート!P$92:P$111)*AG$2</f>
        <v>0</v>
      </c>
      <c r="AH1659" s="88">
        <f>SUMIF(月間集計シート!$M$92:$M$111,$G1659,月間集計シート!Q$92:Q$111)*AH$2</f>
        <v>0</v>
      </c>
      <c r="AI1659" s="88">
        <f>SUMIF(月間集計シート!$M$92:$M$111,$G1659,月間集計シート!R$92:R$111)*AI$2</f>
        <v>0</v>
      </c>
      <c r="AJ1659" s="88">
        <f>SUMIF(月間集計シート!$M$92:$M$111,$G1659,月間集計シート!S$92:S$111)*AJ$2</f>
        <v>0</v>
      </c>
      <c r="AK1659" s="88">
        <f>SUMIF(月間集計シート!$M$92:$M$111,$G1659,月間集計シート!T$92:T$111)*AK$2</f>
        <v>0</v>
      </c>
      <c r="AL1659" s="88">
        <f>SUMIF(月間集計シート!$M$113:$M$132,$G1659,月間集計シート!N$113:N$132)*AL$2</f>
        <v>0</v>
      </c>
      <c r="AM1659" s="88">
        <f>SUMIF(月間集計シート!$M$113:$M$132,$G1659,月間集計シート!O$113:O$132)*AM$2</f>
        <v>0</v>
      </c>
      <c r="AN1659" s="88">
        <f>SUMIF(月間集計シート!$M$113:$M$132,$G1659,月間集計シート!P$113:P$132)*AN$2</f>
        <v>0</v>
      </c>
      <c r="AO1659" s="88">
        <f>SUMIF(月間集計シート!$M$113:$M$132,$G1659,月間集計シート!Q$113:Q$132)*AO$2</f>
        <v>0</v>
      </c>
      <c r="AP1659" s="88">
        <f>SUMIF(月間集計シート!$M$113:$M$132,$G1659,月間集計シート!R$113:R$132)*AP$2</f>
        <v>0</v>
      </c>
      <c r="AQ1659" s="88">
        <f>SUMIF(月間集計シート!$M$113:$M$132,$G1659,月間集計シート!S$113:S$132)*AQ$2</f>
        <v>0</v>
      </c>
      <c r="AR1659" s="88">
        <f>SUMIF(月間集計シート!$M$113:$M$132,$G1659,月間集計シート!T$113:T$132)*AR$2</f>
        <v>0</v>
      </c>
      <c r="AS1659" s="88">
        <f>SUMIF(月間集計シート!$M$134:$M$153,$G1659,月間集計シート!N$134:N$153)*AS$2</f>
        <v>0</v>
      </c>
      <c r="AT1659" s="88">
        <f>SUMIF(月間集計シート!$M$134:$M$153,$G1659,月間集計シート!O$134:O$153)*AT$2</f>
        <v>0</v>
      </c>
      <c r="AU1659" s="88">
        <f>SUMIF(月間集計シート!$M$134:$M$153,$G1659,月間集計シート!P$134:P$153)*AU$2</f>
        <v>0</v>
      </c>
      <c r="AV1659" s="88">
        <f>SUMIF(月間集計シート!$M$134:$M$153,$G1659,月間集計シート!Q$134:Q$153)*AV$2</f>
        <v>0</v>
      </c>
      <c r="AW1659" s="88">
        <f>SUMIF(月間集計シート!$M$134:$M$153,$G1659,月間集計シート!R$134:R$153)*AW$2</f>
        <v>0</v>
      </c>
      <c r="AX1659" s="88">
        <f>SUMIF(月間集計シート!$M$134:$M$153,$G1659,月間集計シート!S$134:S$153)*AX$2</f>
        <v>0</v>
      </c>
      <c r="AY1659" s="88">
        <f>SUMIF(月間集計シート!$M$134:$M$153,$G1659,月間集計シート!T$134:T$153)*AY$2</f>
        <v>0</v>
      </c>
    </row>
    <row r="1660" spans="1:51" ht="14.25" thickBot="1">
      <c r="A1660">
        <v>20</v>
      </c>
      <c r="B1660" s="120">
        <f t="shared" si="941"/>
        <v>0</v>
      </c>
      <c r="C1660" s="120" t="str">
        <f t="shared" si="942"/>
        <v/>
      </c>
      <c r="D1660" s="137"/>
      <c r="E1660" s="150" t="str">
        <f>工種!A37</f>
        <v>40199</v>
      </c>
      <c r="F1660" s="119" t="str">
        <f>工種!B37</f>
        <v>テスト：その他</v>
      </c>
      <c r="G1660" s="116" t="str">
        <f t="shared" si="943"/>
        <v>040199</v>
      </c>
      <c r="H1660" s="88">
        <f t="shared" si="897"/>
        <v>0</v>
      </c>
      <c r="I1660" s="132"/>
      <c r="J1660" s="88">
        <f>SUMIF(月間集計シート!$M$29:$M$48,$G1660,月間集計シート!N$29:N$48)*J$2</f>
        <v>0</v>
      </c>
      <c r="K1660" s="88">
        <f>SUMIF(月間集計シート!$M$29:$M$48,$G1660,月間集計シート!O$29:O$48)*K$2</f>
        <v>0</v>
      </c>
      <c r="L1660" s="88">
        <f>SUMIF(月間集計シート!$M$29:$M$48,$G1660,月間集計シート!P$29:P$48)*L$2</f>
        <v>0</v>
      </c>
      <c r="M1660" s="88">
        <f>SUMIF(月間集計シート!$M$29:$M$48,$G1660,月間集計シート!Q$29:Q$48)*M$2</f>
        <v>0</v>
      </c>
      <c r="N1660" s="88">
        <f>SUMIF(月間集計シート!$M$29:$M$48,$G1660,月間集計シート!R$29:R$48)*N$2</f>
        <v>0</v>
      </c>
      <c r="O1660" s="88">
        <f>SUMIF(月間集計シート!$M$29:$M$48,$G1660,月間集計シート!S$29:S$48)*O$2</f>
        <v>0</v>
      </c>
      <c r="P1660" s="88">
        <f>SUMIF(月間集計シート!$M$29:$M$48,$G1660,月間集計シート!T$29:T$48)*P$2</f>
        <v>0</v>
      </c>
      <c r="Q1660" s="88">
        <f>SUMIF(月間集計シート!$M$50:$M$69,$G1660,月間集計シート!N$50:N$69)*Q$2</f>
        <v>0</v>
      </c>
      <c r="R1660" s="88">
        <f>SUMIF(月間集計シート!$M$50:$M$69,$G1660,月間集計シート!O$50:O$69)*R$2</f>
        <v>0</v>
      </c>
      <c r="S1660" s="88">
        <f>SUMIF(月間集計シート!$M$50:$M$69,$G1660,月間集計シート!P$50:P$69)*S$2</f>
        <v>0</v>
      </c>
      <c r="T1660" s="88">
        <f>SUMIF(月間集計シート!$M$50:$M$69,$G1660,月間集計シート!Q$50:Q$69)*T$2</f>
        <v>0</v>
      </c>
      <c r="U1660" s="88">
        <f>SUMIF(月間集計シート!$M$50:$M$69,$G1660,月間集計シート!R$50:R$69)*U$2</f>
        <v>0</v>
      </c>
      <c r="V1660" s="88">
        <f>SUMIF(月間集計シート!$M$50:$M$69,$G1660,月間集計シート!S$50:S$69)*V$2</f>
        <v>0</v>
      </c>
      <c r="W1660" s="88">
        <f>SUMIF(月間集計シート!$M$50:$M$69,$G1660,月間集計シート!T$50:T$69)*W$2</f>
        <v>0</v>
      </c>
      <c r="X1660" s="88">
        <f>SUMIF(月間集計シート!$M$71:$M$90,$G1660,月間集計シート!N$71:N$90)*X$2</f>
        <v>0</v>
      </c>
      <c r="Y1660" s="88">
        <f>SUMIF(月間集計シート!$M$71:$M$90,$G1660,月間集計シート!O$71:O$90)*Y$2</f>
        <v>0</v>
      </c>
      <c r="Z1660" s="88">
        <f>SUMIF(月間集計シート!$M$71:$M$90,$G1660,月間集計シート!P$71:P$90)*Z$2</f>
        <v>0</v>
      </c>
      <c r="AA1660" s="88">
        <f>SUMIF(月間集計シート!$M$71:$M$90,$G1660,月間集計シート!Q$71:Q$90)*AA$2</f>
        <v>0</v>
      </c>
      <c r="AB1660" s="88">
        <f>SUMIF(月間集計シート!$M$71:$M$90,$G1660,月間集計シート!R$71:R$90)*AB$2</f>
        <v>0</v>
      </c>
      <c r="AC1660" s="88">
        <f>SUMIF(月間集計シート!$M$71:$M$90,$G1660,月間集計シート!S$71:S$90)*AC$2</f>
        <v>0</v>
      </c>
      <c r="AD1660" s="88">
        <f>SUMIF(月間集計シート!$M$71:$M$90,$G1660,月間集計シート!T$71:T$90)*AD$2</f>
        <v>0</v>
      </c>
      <c r="AE1660" s="88">
        <f>SUMIF(月間集計シート!$M$92:$M$111,$G1660,月間集計シート!N$92:N$111)*AE$2</f>
        <v>0</v>
      </c>
      <c r="AF1660" s="88">
        <f>SUMIF(月間集計シート!$M$92:$M$111,$G1660,月間集計シート!O$92:O$111)*AF$2</f>
        <v>0</v>
      </c>
      <c r="AG1660" s="88">
        <f>SUMIF(月間集計シート!$M$92:$M$111,$G1660,月間集計シート!P$92:P$111)*AG$2</f>
        <v>0</v>
      </c>
      <c r="AH1660" s="88">
        <f>SUMIF(月間集計シート!$M$92:$M$111,$G1660,月間集計シート!Q$92:Q$111)*AH$2</f>
        <v>0</v>
      </c>
      <c r="AI1660" s="88">
        <f>SUMIF(月間集計シート!$M$92:$M$111,$G1660,月間集計シート!R$92:R$111)*AI$2</f>
        <v>0</v>
      </c>
      <c r="AJ1660" s="88">
        <f>SUMIF(月間集計シート!$M$92:$M$111,$G1660,月間集計シート!S$92:S$111)*AJ$2</f>
        <v>0</v>
      </c>
      <c r="AK1660" s="88">
        <f>SUMIF(月間集計シート!$M$92:$M$111,$G1660,月間集計シート!T$92:T$111)*AK$2</f>
        <v>0</v>
      </c>
      <c r="AL1660" s="88">
        <f>SUMIF(月間集計シート!$M$113:$M$132,$G1660,月間集計シート!N$113:N$132)*AL$2</f>
        <v>0</v>
      </c>
      <c r="AM1660" s="88">
        <f>SUMIF(月間集計シート!$M$113:$M$132,$G1660,月間集計シート!O$113:O$132)*AM$2</f>
        <v>0</v>
      </c>
      <c r="AN1660" s="88">
        <f>SUMIF(月間集計シート!$M$113:$M$132,$G1660,月間集計シート!P$113:P$132)*AN$2</f>
        <v>0</v>
      </c>
      <c r="AO1660" s="88">
        <f>SUMIF(月間集計シート!$M$113:$M$132,$G1660,月間集計シート!Q$113:Q$132)*AO$2</f>
        <v>0</v>
      </c>
      <c r="AP1660" s="88">
        <f>SUMIF(月間集計シート!$M$113:$M$132,$G1660,月間集計シート!R$113:R$132)*AP$2</f>
        <v>0</v>
      </c>
      <c r="AQ1660" s="88">
        <f>SUMIF(月間集計シート!$M$113:$M$132,$G1660,月間集計シート!S$113:S$132)*AQ$2</f>
        <v>0</v>
      </c>
      <c r="AR1660" s="88">
        <f>SUMIF(月間集計シート!$M$113:$M$132,$G1660,月間集計シート!T$113:T$132)*AR$2</f>
        <v>0</v>
      </c>
      <c r="AS1660" s="88">
        <f>SUMIF(月間集計シート!$M$134:$M$153,$G1660,月間集計シート!N$134:N$153)*AS$2</f>
        <v>0</v>
      </c>
      <c r="AT1660" s="88">
        <f>SUMIF(月間集計シート!$M$134:$M$153,$G1660,月間集計シート!O$134:O$153)*AT$2</f>
        <v>0</v>
      </c>
      <c r="AU1660" s="88">
        <f>SUMIF(月間集計シート!$M$134:$M$153,$G1660,月間集計シート!P$134:P$153)*AU$2</f>
        <v>0</v>
      </c>
      <c r="AV1660" s="88">
        <f>SUMIF(月間集計シート!$M$134:$M$153,$G1660,月間集計シート!Q$134:Q$153)*AV$2</f>
        <v>0</v>
      </c>
      <c r="AW1660" s="88">
        <f>SUMIF(月間集計シート!$M$134:$M$153,$G1660,月間集計シート!R$134:R$153)*AW$2</f>
        <v>0</v>
      </c>
      <c r="AX1660" s="88">
        <f>SUMIF(月間集計シート!$M$134:$M$153,$G1660,月間集計シート!S$134:S$153)*AX$2</f>
        <v>0</v>
      </c>
      <c r="AY1660" s="88">
        <f>SUMIF(月間集計シート!$M$134:$M$153,$G1660,月間集計シート!T$134:T$153)*AY$2</f>
        <v>0</v>
      </c>
    </row>
    <row r="1661" spans="1:51" ht="14.25" thickBot="1">
      <c r="A1661">
        <v>20</v>
      </c>
      <c r="B1661" s="120">
        <f t="shared" si="941"/>
        <v>0</v>
      </c>
      <c r="C1661" s="120" t="str">
        <f t="shared" si="942"/>
        <v/>
      </c>
      <c r="D1661" s="137"/>
      <c r="E1661" s="150" t="str">
        <f>工種!A38</f>
        <v>50101</v>
      </c>
      <c r="F1661" s="119" t="str">
        <f>工種!B38</f>
        <v>ﾏﾆｭｱﾙ作成：原稿作成</v>
      </c>
      <c r="G1661" s="116" t="str">
        <f t="shared" si="943"/>
        <v>050101</v>
      </c>
      <c r="H1661" s="88">
        <f t="shared" si="897"/>
        <v>0</v>
      </c>
      <c r="I1661" s="132"/>
      <c r="J1661" s="88">
        <f>SUMIF(月間集計シート!$M$29:$M$48,$G1661,月間集計シート!N$29:N$48)*J$2</f>
        <v>0</v>
      </c>
      <c r="K1661" s="88">
        <f>SUMIF(月間集計シート!$M$29:$M$48,$G1661,月間集計シート!O$29:O$48)*K$2</f>
        <v>0</v>
      </c>
      <c r="L1661" s="88">
        <f>SUMIF(月間集計シート!$M$29:$M$48,$G1661,月間集計シート!P$29:P$48)*L$2</f>
        <v>0</v>
      </c>
      <c r="M1661" s="88">
        <f>SUMIF(月間集計シート!$M$29:$M$48,$G1661,月間集計シート!Q$29:Q$48)*M$2</f>
        <v>0</v>
      </c>
      <c r="N1661" s="88">
        <f>SUMIF(月間集計シート!$M$29:$M$48,$G1661,月間集計シート!R$29:R$48)*N$2</f>
        <v>0</v>
      </c>
      <c r="O1661" s="88">
        <f>SUMIF(月間集計シート!$M$29:$M$48,$G1661,月間集計シート!S$29:S$48)*O$2</f>
        <v>0</v>
      </c>
      <c r="P1661" s="88">
        <f>SUMIF(月間集計シート!$M$29:$M$48,$G1661,月間集計シート!T$29:T$48)*P$2</f>
        <v>0</v>
      </c>
      <c r="Q1661" s="88">
        <f>SUMIF(月間集計シート!$M$50:$M$69,$G1661,月間集計シート!N$50:N$69)*Q$2</f>
        <v>0</v>
      </c>
      <c r="R1661" s="88">
        <f>SUMIF(月間集計シート!$M$50:$M$69,$G1661,月間集計シート!O$50:O$69)*R$2</f>
        <v>0</v>
      </c>
      <c r="S1661" s="88">
        <f>SUMIF(月間集計シート!$M$50:$M$69,$G1661,月間集計シート!P$50:P$69)*S$2</f>
        <v>0</v>
      </c>
      <c r="T1661" s="88">
        <f>SUMIF(月間集計シート!$M$50:$M$69,$G1661,月間集計シート!Q$50:Q$69)*T$2</f>
        <v>0</v>
      </c>
      <c r="U1661" s="88">
        <f>SUMIF(月間集計シート!$M$50:$M$69,$G1661,月間集計シート!R$50:R$69)*U$2</f>
        <v>0</v>
      </c>
      <c r="V1661" s="88">
        <f>SUMIF(月間集計シート!$M$50:$M$69,$G1661,月間集計シート!S$50:S$69)*V$2</f>
        <v>0</v>
      </c>
      <c r="W1661" s="88">
        <f>SUMIF(月間集計シート!$M$50:$M$69,$G1661,月間集計シート!T$50:T$69)*W$2</f>
        <v>0</v>
      </c>
      <c r="X1661" s="88">
        <f>SUMIF(月間集計シート!$M$71:$M$90,$G1661,月間集計シート!N$71:N$90)*X$2</f>
        <v>0</v>
      </c>
      <c r="Y1661" s="88">
        <f>SUMIF(月間集計シート!$M$71:$M$90,$G1661,月間集計シート!O$71:O$90)*Y$2</f>
        <v>0</v>
      </c>
      <c r="Z1661" s="88">
        <f>SUMIF(月間集計シート!$M$71:$M$90,$G1661,月間集計シート!P$71:P$90)*Z$2</f>
        <v>0</v>
      </c>
      <c r="AA1661" s="88">
        <f>SUMIF(月間集計シート!$M$71:$M$90,$G1661,月間集計シート!Q$71:Q$90)*AA$2</f>
        <v>0</v>
      </c>
      <c r="AB1661" s="88">
        <f>SUMIF(月間集計シート!$M$71:$M$90,$G1661,月間集計シート!R$71:R$90)*AB$2</f>
        <v>0</v>
      </c>
      <c r="AC1661" s="88">
        <f>SUMIF(月間集計シート!$M$71:$M$90,$G1661,月間集計シート!S$71:S$90)*AC$2</f>
        <v>0</v>
      </c>
      <c r="AD1661" s="88">
        <f>SUMIF(月間集計シート!$M$71:$M$90,$G1661,月間集計シート!T$71:T$90)*AD$2</f>
        <v>0</v>
      </c>
      <c r="AE1661" s="88">
        <f>SUMIF(月間集計シート!$M$92:$M$111,$G1661,月間集計シート!N$92:N$111)*AE$2</f>
        <v>0</v>
      </c>
      <c r="AF1661" s="88">
        <f>SUMIF(月間集計シート!$M$92:$M$111,$G1661,月間集計シート!O$92:O$111)*AF$2</f>
        <v>0</v>
      </c>
      <c r="AG1661" s="88">
        <f>SUMIF(月間集計シート!$M$92:$M$111,$G1661,月間集計シート!P$92:P$111)*AG$2</f>
        <v>0</v>
      </c>
      <c r="AH1661" s="88">
        <f>SUMIF(月間集計シート!$M$92:$M$111,$G1661,月間集計シート!Q$92:Q$111)*AH$2</f>
        <v>0</v>
      </c>
      <c r="AI1661" s="88">
        <f>SUMIF(月間集計シート!$M$92:$M$111,$G1661,月間集計シート!R$92:R$111)*AI$2</f>
        <v>0</v>
      </c>
      <c r="AJ1661" s="88">
        <f>SUMIF(月間集計シート!$M$92:$M$111,$G1661,月間集計シート!S$92:S$111)*AJ$2</f>
        <v>0</v>
      </c>
      <c r="AK1661" s="88">
        <f>SUMIF(月間集計シート!$M$92:$M$111,$G1661,月間集計シート!T$92:T$111)*AK$2</f>
        <v>0</v>
      </c>
      <c r="AL1661" s="88">
        <f>SUMIF(月間集計シート!$M$113:$M$132,$G1661,月間集計シート!N$113:N$132)*AL$2</f>
        <v>0</v>
      </c>
      <c r="AM1661" s="88">
        <f>SUMIF(月間集計シート!$M$113:$M$132,$G1661,月間集計シート!O$113:O$132)*AM$2</f>
        <v>0</v>
      </c>
      <c r="AN1661" s="88">
        <f>SUMIF(月間集計シート!$M$113:$M$132,$G1661,月間集計シート!P$113:P$132)*AN$2</f>
        <v>0</v>
      </c>
      <c r="AO1661" s="88">
        <f>SUMIF(月間集計シート!$M$113:$M$132,$G1661,月間集計シート!Q$113:Q$132)*AO$2</f>
        <v>0</v>
      </c>
      <c r="AP1661" s="88">
        <f>SUMIF(月間集計シート!$M$113:$M$132,$G1661,月間集計シート!R$113:R$132)*AP$2</f>
        <v>0</v>
      </c>
      <c r="AQ1661" s="88">
        <f>SUMIF(月間集計シート!$M$113:$M$132,$G1661,月間集計シート!S$113:S$132)*AQ$2</f>
        <v>0</v>
      </c>
      <c r="AR1661" s="88">
        <f>SUMIF(月間集計シート!$M$113:$M$132,$G1661,月間集計シート!T$113:T$132)*AR$2</f>
        <v>0</v>
      </c>
      <c r="AS1661" s="88">
        <f>SUMIF(月間集計シート!$M$134:$M$153,$G1661,月間集計シート!N$134:N$153)*AS$2</f>
        <v>0</v>
      </c>
      <c r="AT1661" s="88">
        <f>SUMIF(月間集計シート!$M$134:$M$153,$G1661,月間集計シート!O$134:O$153)*AT$2</f>
        <v>0</v>
      </c>
      <c r="AU1661" s="88">
        <f>SUMIF(月間集計シート!$M$134:$M$153,$G1661,月間集計シート!P$134:P$153)*AU$2</f>
        <v>0</v>
      </c>
      <c r="AV1661" s="88">
        <f>SUMIF(月間集計シート!$M$134:$M$153,$G1661,月間集計シート!Q$134:Q$153)*AV$2</f>
        <v>0</v>
      </c>
      <c r="AW1661" s="88">
        <f>SUMIF(月間集計シート!$M$134:$M$153,$G1661,月間集計シート!R$134:R$153)*AW$2</f>
        <v>0</v>
      </c>
      <c r="AX1661" s="88">
        <f>SUMIF(月間集計シート!$M$134:$M$153,$G1661,月間集計シート!S$134:S$153)*AX$2</f>
        <v>0</v>
      </c>
      <c r="AY1661" s="88">
        <f>SUMIF(月間集計シート!$M$134:$M$153,$G1661,月間集計シート!T$134:T$153)*AY$2</f>
        <v>0</v>
      </c>
    </row>
    <row r="1662" spans="1:51" ht="14.25" thickBot="1">
      <c r="A1662">
        <v>20</v>
      </c>
      <c r="B1662" s="120">
        <f t="shared" si="941"/>
        <v>0</v>
      </c>
      <c r="C1662" s="120" t="str">
        <f t="shared" si="942"/>
        <v/>
      </c>
      <c r="D1662" s="137"/>
      <c r="E1662" s="150" t="str">
        <f>工種!A39</f>
        <v>50105</v>
      </c>
      <c r="F1662" s="119" t="str">
        <f>工種!B39</f>
        <v>ﾏﾆｭｱﾙ作成：打合せ</v>
      </c>
      <c r="G1662" s="116" t="str">
        <f t="shared" si="943"/>
        <v>050105</v>
      </c>
      <c r="H1662" s="88">
        <f t="shared" si="897"/>
        <v>0</v>
      </c>
      <c r="I1662" s="132"/>
      <c r="J1662" s="88">
        <f>SUMIF(月間集計シート!$M$29:$M$48,$G1662,月間集計シート!N$29:N$48)*J$2</f>
        <v>0</v>
      </c>
      <c r="K1662" s="88">
        <f>SUMIF(月間集計シート!$M$29:$M$48,$G1662,月間集計シート!O$29:O$48)*K$2</f>
        <v>0</v>
      </c>
      <c r="L1662" s="88">
        <f>SUMIF(月間集計シート!$M$29:$M$48,$G1662,月間集計シート!P$29:P$48)*L$2</f>
        <v>0</v>
      </c>
      <c r="M1662" s="88">
        <f>SUMIF(月間集計シート!$M$29:$M$48,$G1662,月間集計シート!Q$29:Q$48)*M$2</f>
        <v>0</v>
      </c>
      <c r="N1662" s="88">
        <f>SUMIF(月間集計シート!$M$29:$M$48,$G1662,月間集計シート!R$29:R$48)*N$2</f>
        <v>0</v>
      </c>
      <c r="O1662" s="88">
        <f>SUMIF(月間集計シート!$M$29:$M$48,$G1662,月間集計シート!S$29:S$48)*O$2</f>
        <v>0</v>
      </c>
      <c r="P1662" s="88">
        <f>SUMIF(月間集計シート!$M$29:$M$48,$G1662,月間集計シート!T$29:T$48)*P$2</f>
        <v>0</v>
      </c>
      <c r="Q1662" s="88">
        <f>SUMIF(月間集計シート!$M$50:$M$69,$G1662,月間集計シート!N$50:N$69)*Q$2</f>
        <v>0</v>
      </c>
      <c r="R1662" s="88">
        <f>SUMIF(月間集計シート!$M$50:$M$69,$G1662,月間集計シート!O$50:O$69)*R$2</f>
        <v>0</v>
      </c>
      <c r="S1662" s="88">
        <f>SUMIF(月間集計シート!$M$50:$M$69,$G1662,月間集計シート!P$50:P$69)*S$2</f>
        <v>0</v>
      </c>
      <c r="T1662" s="88">
        <f>SUMIF(月間集計シート!$M$50:$M$69,$G1662,月間集計シート!Q$50:Q$69)*T$2</f>
        <v>0</v>
      </c>
      <c r="U1662" s="88">
        <f>SUMIF(月間集計シート!$M$50:$M$69,$G1662,月間集計シート!R$50:R$69)*U$2</f>
        <v>0</v>
      </c>
      <c r="V1662" s="88">
        <f>SUMIF(月間集計シート!$M$50:$M$69,$G1662,月間集計シート!S$50:S$69)*V$2</f>
        <v>0</v>
      </c>
      <c r="W1662" s="88">
        <f>SUMIF(月間集計シート!$M$50:$M$69,$G1662,月間集計シート!T$50:T$69)*W$2</f>
        <v>0</v>
      </c>
      <c r="X1662" s="88">
        <f>SUMIF(月間集計シート!$M$71:$M$90,$G1662,月間集計シート!N$71:N$90)*X$2</f>
        <v>0</v>
      </c>
      <c r="Y1662" s="88">
        <f>SUMIF(月間集計シート!$M$71:$M$90,$G1662,月間集計シート!O$71:O$90)*Y$2</f>
        <v>0</v>
      </c>
      <c r="Z1662" s="88">
        <f>SUMIF(月間集計シート!$M$71:$M$90,$G1662,月間集計シート!P$71:P$90)*Z$2</f>
        <v>0</v>
      </c>
      <c r="AA1662" s="88">
        <f>SUMIF(月間集計シート!$M$71:$M$90,$G1662,月間集計シート!Q$71:Q$90)*AA$2</f>
        <v>0</v>
      </c>
      <c r="AB1662" s="88">
        <f>SUMIF(月間集計シート!$M$71:$M$90,$G1662,月間集計シート!R$71:R$90)*AB$2</f>
        <v>0</v>
      </c>
      <c r="AC1662" s="88">
        <f>SUMIF(月間集計シート!$M$71:$M$90,$G1662,月間集計シート!S$71:S$90)*AC$2</f>
        <v>0</v>
      </c>
      <c r="AD1662" s="88">
        <f>SUMIF(月間集計シート!$M$71:$M$90,$G1662,月間集計シート!T$71:T$90)*AD$2</f>
        <v>0</v>
      </c>
      <c r="AE1662" s="88">
        <f>SUMIF(月間集計シート!$M$92:$M$111,$G1662,月間集計シート!N$92:N$111)*AE$2</f>
        <v>0</v>
      </c>
      <c r="AF1662" s="88">
        <f>SUMIF(月間集計シート!$M$92:$M$111,$G1662,月間集計シート!O$92:O$111)*AF$2</f>
        <v>0</v>
      </c>
      <c r="AG1662" s="88">
        <f>SUMIF(月間集計シート!$M$92:$M$111,$G1662,月間集計シート!P$92:P$111)*AG$2</f>
        <v>0</v>
      </c>
      <c r="AH1662" s="88">
        <f>SUMIF(月間集計シート!$M$92:$M$111,$G1662,月間集計シート!Q$92:Q$111)*AH$2</f>
        <v>0</v>
      </c>
      <c r="AI1662" s="88">
        <f>SUMIF(月間集計シート!$M$92:$M$111,$G1662,月間集計シート!R$92:R$111)*AI$2</f>
        <v>0</v>
      </c>
      <c r="AJ1662" s="88">
        <f>SUMIF(月間集計シート!$M$92:$M$111,$G1662,月間集計シート!S$92:S$111)*AJ$2</f>
        <v>0</v>
      </c>
      <c r="AK1662" s="88">
        <f>SUMIF(月間集計シート!$M$92:$M$111,$G1662,月間集計シート!T$92:T$111)*AK$2</f>
        <v>0</v>
      </c>
      <c r="AL1662" s="88">
        <f>SUMIF(月間集計シート!$M$113:$M$132,$G1662,月間集計シート!N$113:N$132)*AL$2</f>
        <v>0</v>
      </c>
      <c r="AM1662" s="88">
        <f>SUMIF(月間集計シート!$M$113:$M$132,$G1662,月間集計シート!O$113:O$132)*AM$2</f>
        <v>0</v>
      </c>
      <c r="AN1662" s="88">
        <f>SUMIF(月間集計シート!$M$113:$M$132,$G1662,月間集計シート!P$113:P$132)*AN$2</f>
        <v>0</v>
      </c>
      <c r="AO1662" s="88">
        <f>SUMIF(月間集計シート!$M$113:$M$132,$G1662,月間集計シート!Q$113:Q$132)*AO$2</f>
        <v>0</v>
      </c>
      <c r="AP1662" s="88">
        <f>SUMIF(月間集計シート!$M$113:$M$132,$G1662,月間集計シート!R$113:R$132)*AP$2</f>
        <v>0</v>
      </c>
      <c r="AQ1662" s="88">
        <f>SUMIF(月間集計シート!$M$113:$M$132,$G1662,月間集計シート!S$113:S$132)*AQ$2</f>
        <v>0</v>
      </c>
      <c r="AR1662" s="88">
        <f>SUMIF(月間集計シート!$M$113:$M$132,$G1662,月間集計シート!T$113:T$132)*AR$2</f>
        <v>0</v>
      </c>
      <c r="AS1662" s="88">
        <f>SUMIF(月間集計シート!$M$134:$M$153,$G1662,月間集計シート!N$134:N$153)*AS$2</f>
        <v>0</v>
      </c>
      <c r="AT1662" s="88">
        <f>SUMIF(月間集計シート!$M$134:$M$153,$G1662,月間集計シート!O$134:O$153)*AT$2</f>
        <v>0</v>
      </c>
      <c r="AU1662" s="88">
        <f>SUMIF(月間集計シート!$M$134:$M$153,$G1662,月間集計シート!P$134:P$153)*AU$2</f>
        <v>0</v>
      </c>
      <c r="AV1662" s="88">
        <f>SUMIF(月間集計シート!$M$134:$M$153,$G1662,月間集計シート!Q$134:Q$153)*AV$2</f>
        <v>0</v>
      </c>
      <c r="AW1662" s="88">
        <f>SUMIF(月間集計シート!$M$134:$M$153,$G1662,月間集計シート!R$134:R$153)*AW$2</f>
        <v>0</v>
      </c>
      <c r="AX1662" s="88">
        <f>SUMIF(月間集計シート!$M$134:$M$153,$G1662,月間集計シート!S$134:S$153)*AX$2</f>
        <v>0</v>
      </c>
      <c r="AY1662" s="88">
        <f>SUMIF(月間集計シート!$M$134:$M$153,$G1662,月間集計シート!T$134:T$153)*AY$2</f>
        <v>0</v>
      </c>
    </row>
    <row r="1663" spans="1:51" ht="14.25" thickBot="1">
      <c r="A1663">
        <v>20</v>
      </c>
      <c r="B1663" s="120">
        <f t="shared" si="941"/>
        <v>0</v>
      </c>
      <c r="C1663" s="120" t="str">
        <f t="shared" si="942"/>
        <v/>
      </c>
      <c r="D1663" s="137"/>
      <c r="E1663" s="150" t="str">
        <f>工種!A40</f>
        <v>50106</v>
      </c>
      <c r="F1663" s="119" t="str">
        <f>工種!B40</f>
        <v>ﾏﾆｭｱﾙ作成：ﾚﾋﾞｭｰ</v>
      </c>
      <c r="G1663" s="116" t="str">
        <f t="shared" si="943"/>
        <v>050106</v>
      </c>
      <c r="H1663" s="88">
        <f t="shared" si="897"/>
        <v>0</v>
      </c>
      <c r="I1663" s="132"/>
      <c r="J1663" s="88">
        <f>SUMIF(月間集計シート!$M$29:$M$48,$G1663,月間集計シート!N$29:N$48)*J$2</f>
        <v>0</v>
      </c>
      <c r="K1663" s="88">
        <f>SUMIF(月間集計シート!$M$29:$M$48,$G1663,月間集計シート!O$29:O$48)*K$2</f>
        <v>0</v>
      </c>
      <c r="L1663" s="88">
        <f>SUMIF(月間集計シート!$M$29:$M$48,$G1663,月間集計シート!P$29:P$48)*L$2</f>
        <v>0</v>
      </c>
      <c r="M1663" s="88">
        <f>SUMIF(月間集計シート!$M$29:$M$48,$G1663,月間集計シート!Q$29:Q$48)*M$2</f>
        <v>0</v>
      </c>
      <c r="N1663" s="88">
        <f>SUMIF(月間集計シート!$M$29:$M$48,$G1663,月間集計シート!R$29:R$48)*N$2</f>
        <v>0</v>
      </c>
      <c r="O1663" s="88">
        <f>SUMIF(月間集計シート!$M$29:$M$48,$G1663,月間集計シート!S$29:S$48)*O$2</f>
        <v>0</v>
      </c>
      <c r="P1663" s="88">
        <f>SUMIF(月間集計シート!$M$29:$M$48,$G1663,月間集計シート!T$29:T$48)*P$2</f>
        <v>0</v>
      </c>
      <c r="Q1663" s="88">
        <f>SUMIF(月間集計シート!$M$50:$M$69,$G1663,月間集計シート!N$50:N$69)*Q$2</f>
        <v>0</v>
      </c>
      <c r="R1663" s="88">
        <f>SUMIF(月間集計シート!$M$50:$M$69,$G1663,月間集計シート!O$50:O$69)*R$2</f>
        <v>0</v>
      </c>
      <c r="S1663" s="88">
        <f>SUMIF(月間集計シート!$M$50:$M$69,$G1663,月間集計シート!P$50:P$69)*S$2</f>
        <v>0</v>
      </c>
      <c r="T1663" s="88">
        <f>SUMIF(月間集計シート!$M$50:$M$69,$G1663,月間集計シート!Q$50:Q$69)*T$2</f>
        <v>0</v>
      </c>
      <c r="U1663" s="88">
        <f>SUMIF(月間集計シート!$M$50:$M$69,$G1663,月間集計シート!R$50:R$69)*U$2</f>
        <v>0</v>
      </c>
      <c r="V1663" s="88">
        <f>SUMIF(月間集計シート!$M$50:$M$69,$G1663,月間集計シート!S$50:S$69)*V$2</f>
        <v>0</v>
      </c>
      <c r="W1663" s="88">
        <f>SUMIF(月間集計シート!$M$50:$M$69,$G1663,月間集計シート!T$50:T$69)*W$2</f>
        <v>0</v>
      </c>
      <c r="X1663" s="88">
        <f>SUMIF(月間集計シート!$M$71:$M$90,$G1663,月間集計シート!N$71:N$90)*X$2</f>
        <v>0</v>
      </c>
      <c r="Y1663" s="88">
        <f>SUMIF(月間集計シート!$M$71:$M$90,$G1663,月間集計シート!O$71:O$90)*Y$2</f>
        <v>0</v>
      </c>
      <c r="Z1663" s="88">
        <f>SUMIF(月間集計シート!$M$71:$M$90,$G1663,月間集計シート!P$71:P$90)*Z$2</f>
        <v>0</v>
      </c>
      <c r="AA1663" s="88">
        <f>SUMIF(月間集計シート!$M$71:$M$90,$G1663,月間集計シート!Q$71:Q$90)*AA$2</f>
        <v>0</v>
      </c>
      <c r="AB1663" s="88">
        <f>SUMIF(月間集計シート!$M$71:$M$90,$G1663,月間集計シート!R$71:R$90)*AB$2</f>
        <v>0</v>
      </c>
      <c r="AC1663" s="88">
        <f>SUMIF(月間集計シート!$M$71:$M$90,$G1663,月間集計シート!S$71:S$90)*AC$2</f>
        <v>0</v>
      </c>
      <c r="AD1663" s="88">
        <f>SUMIF(月間集計シート!$M$71:$M$90,$G1663,月間集計シート!T$71:T$90)*AD$2</f>
        <v>0</v>
      </c>
      <c r="AE1663" s="88">
        <f>SUMIF(月間集計シート!$M$92:$M$111,$G1663,月間集計シート!N$92:N$111)*AE$2</f>
        <v>0</v>
      </c>
      <c r="AF1663" s="88">
        <f>SUMIF(月間集計シート!$M$92:$M$111,$G1663,月間集計シート!O$92:O$111)*AF$2</f>
        <v>0</v>
      </c>
      <c r="AG1663" s="88">
        <f>SUMIF(月間集計シート!$M$92:$M$111,$G1663,月間集計シート!P$92:P$111)*AG$2</f>
        <v>0</v>
      </c>
      <c r="AH1663" s="88">
        <f>SUMIF(月間集計シート!$M$92:$M$111,$G1663,月間集計シート!Q$92:Q$111)*AH$2</f>
        <v>0</v>
      </c>
      <c r="AI1663" s="88">
        <f>SUMIF(月間集計シート!$M$92:$M$111,$G1663,月間集計シート!R$92:R$111)*AI$2</f>
        <v>0</v>
      </c>
      <c r="AJ1663" s="88">
        <f>SUMIF(月間集計シート!$M$92:$M$111,$G1663,月間集計シート!S$92:S$111)*AJ$2</f>
        <v>0</v>
      </c>
      <c r="AK1663" s="88">
        <f>SUMIF(月間集計シート!$M$92:$M$111,$G1663,月間集計シート!T$92:T$111)*AK$2</f>
        <v>0</v>
      </c>
      <c r="AL1663" s="88">
        <f>SUMIF(月間集計シート!$M$113:$M$132,$G1663,月間集計シート!N$113:N$132)*AL$2</f>
        <v>0</v>
      </c>
      <c r="AM1663" s="88">
        <f>SUMIF(月間集計シート!$M$113:$M$132,$G1663,月間集計シート!O$113:O$132)*AM$2</f>
        <v>0</v>
      </c>
      <c r="AN1663" s="88">
        <f>SUMIF(月間集計シート!$M$113:$M$132,$G1663,月間集計シート!P$113:P$132)*AN$2</f>
        <v>0</v>
      </c>
      <c r="AO1663" s="88">
        <f>SUMIF(月間集計シート!$M$113:$M$132,$G1663,月間集計シート!Q$113:Q$132)*AO$2</f>
        <v>0</v>
      </c>
      <c r="AP1663" s="88">
        <f>SUMIF(月間集計シート!$M$113:$M$132,$G1663,月間集計シート!R$113:R$132)*AP$2</f>
        <v>0</v>
      </c>
      <c r="AQ1663" s="88">
        <f>SUMIF(月間集計シート!$M$113:$M$132,$G1663,月間集計シート!S$113:S$132)*AQ$2</f>
        <v>0</v>
      </c>
      <c r="AR1663" s="88">
        <f>SUMIF(月間集計シート!$M$113:$M$132,$G1663,月間集計シート!T$113:T$132)*AR$2</f>
        <v>0</v>
      </c>
      <c r="AS1663" s="88">
        <f>SUMIF(月間集計シート!$M$134:$M$153,$G1663,月間集計シート!N$134:N$153)*AS$2</f>
        <v>0</v>
      </c>
      <c r="AT1663" s="88">
        <f>SUMIF(月間集計シート!$M$134:$M$153,$G1663,月間集計シート!O$134:O$153)*AT$2</f>
        <v>0</v>
      </c>
      <c r="AU1663" s="88">
        <f>SUMIF(月間集計シート!$M$134:$M$153,$G1663,月間集計シート!P$134:P$153)*AU$2</f>
        <v>0</v>
      </c>
      <c r="AV1663" s="88">
        <f>SUMIF(月間集計シート!$M$134:$M$153,$G1663,月間集計シート!Q$134:Q$153)*AV$2</f>
        <v>0</v>
      </c>
      <c r="AW1663" s="88">
        <f>SUMIF(月間集計シート!$M$134:$M$153,$G1663,月間集計シート!R$134:R$153)*AW$2</f>
        <v>0</v>
      </c>
      <c r="AX1663" s="88">
        <f>SUMIF(月間集計シート!$M$134:$M$153,$G1663,月間集計シート!S$134:S$153)*AX$2</f>
        <v>0</v>
      </c>
      <c r="AY1663" s="88">
        <f>SUMIF(月間集計シート!$M$134:$M$153,$G1663,月間集計シート!T$134:T$153)*AY$2</f>
        <v>0</v>
      </c>
    </row>
    <row r="1664" spans="1:51" ht="14.25" thickBot="1">
      <c r="A1664">
        <v>20</v>
      </c>
      <c r="B1664" s="120">
        <f t="shared" si="941"/>
        <v>0</v>
      </c>
      <c r="C1664" s="120" t="str">
        <f t="shared" si="942"/>
        <v/>
      </c>
      <c r="D1664" s="137"/>
      <c r="E1664" s="150" t="str">
        <f>工種!A41</f>
        <v>50199</v>
      </c>
      <c r="F1664" s="119" t="str">
        <f>工種!B41</f>
        <v>ﾏﾆｭｱﾙ作成：その他</v>
      </c>
      <c r="G1664" s="116" t="str">
        <f t="shared" si="943"/>
        <v>050199</v>
      </c>
      <c r="H1664" s="88">
        <f t="shared" si="897"/>
        <v>0</v>
      </c>
      <c r="I1664" s="132"/>
      <c r="J1664" s="88">
        <f>SUMIF(月間集計シート!$M$29:$M$48,$G1664,月間集計シート!N$29:N$48)*J$2</f>
        <v>0</v>
      </c>
      <c r="K1664" s="88">
        <f>SUMIF(月間集計シート!$M$29:$M$48,$G1664,月間集計シート!O$29:O$48)*K$2</f>
        <v>0</v>
      </c>
      <c r="L1664" s="88">
        <f>SUMIF(月間集計シート!$M$29:$M$48,$G1664,月間集計シート!P$29:P$48)*L$2</f>
        <v>0</v>
      </c>
      <c r="M1664" s="88">
        <f>SUMIF(月間集計シート!$M$29:$M$48,$G1664,月間集計シート!Q$29:Q$48)*M$2</f>
        <v>0</v>
      </c>
      <c r="N1664" s="88">
        <f>SUMIF(月間集計シート!$M$29:$M$48,$G1664,月間集計シート!R$29:R$48)*N$2</f>
        <v>0</v>
      </c>
      <c r="O1664" s="88">
        <f>SUMIF(月間集計シート!$M$29:$M$48,$G1664,月間集計シート!S$29:S$48)*O$2</f>
        <v>0</v>
      </c>
      <c r="P1664" s="88">
        <f>SUMIF(月間集計シート!$M$29:$M$48,$G1664,月間集計シート!T$29:T$48)*P$2</f>
        <v>0</v>
      </c>
      <c r="Q1664" s="88">
        <f>SUMIF(月間集計シート!$M$50:$M$69,$G1664,月間集計シート!N$50:N$69)*Q$2</f>
        <v>0</v>
      </c>
      <c r="R1664" s="88">
        <f>SUMIF(月間集計シート!$M$50:$M$69,$G1664,月間集計シート!O$50:O$69)*R$2</f>
        <v>0</v>
      </c>
      <c r="S1664" s="88">
        <f>SUMIF(月間集計シート!$M$50:$M$69,$G1664,月間集計シート!P$50:P$69)*S$2</f>
        <v>0</v>
      </c>
      <c r="T1664" s="88">
        <f>SUMIF(月間集計シート!$M$50:$M$69,$G1664,月間集計シート!Q$50:Q$69)*T$2</f>
        <v>0</v>
      </c>
      <c r="U1664" s="88">
        <f>SUMIF(月間集計シート!$M$50:$M$69,$G1664,月間集計シート!R$50:R$69)*U$2</f>
        <v>0</v>
      </c>
      <c r="V1664" s="88">
        <f>SUMIF(月間集計シート!$M$50:$M$69,$G1664,月間集計シート!S$50:S$69)*V$2</f>
        <v>0</v>
      </c>
      <c r="W1664" s="88">
        <f>SUMIF(月間集計シート!$M$50:$M$69,$G1664,月間集計シート!T$50:T$69)*W$2</f>
        <v>0</v>
      </c>
      <c r="X1664" s="88">
        <f>SUMIF(月間集計シート!$M$71:$M$90,$G1664,月間集計シート!N$71:N$90)*X$2</f>
        <v>0</v>
      </c>
      <c r="Y1664" s="88">
        <f>SUMIF(月間集計シート!$M$71:$M$90,$G1664,月間集計シート!O$71:O$90)*Y$2</f>
        <v>0</v>
      </c>
      <c r="Z1664" s="88">
        <f>SUMIF(月間集計シート!$M$71:$M$90,$G1664,月間集計シート!P$71:P$90)*Z$2</f>
        <v>0</v>
      </c>
      <c r="AA1664" s="88">
        <f>SUMIF(月間集計シート!$M$71:$M$90,$G1664,月間集計シート!Q$71:Q$90)*AA$2</f>
        <v>0</v>
      </c>
      <c r="AB1664" s="88">
        <f>SUMIF(月間集計シート!$M$71:$M$90,$G1664,月間集計シート!R$71:R$90)*AB$2</f>
        <v>0</v>
      </c>
      <c r="AC1664" s="88">
        <f>SUMIF(月間集計シート!$M$71:$M$90,$G1664,月間集計シート!S$71:S$90)*AC$2</f>
        <v>0</v>
      </c>
      <c r="AD1664" s="88">
        <f>SUMIF(月間集計シート!$M$71:$M$90,$G1664,月間集計シート!T$71:T$90)*AD$2</f>
        <v>0</v>
      </c>
      <c r="AE1664" s="88">
        <f>SUMIF(月間集計シート!$M$92:$M$111,$G1664,月間集計シート!N$92:N$111)*AE$2</f>
        <v>0</v>
      </c>
      <c r="AF1664" s="88">
        <f>SUMIF(月間集計シート!$M$92:$M$111,$G1664,月間集計シート!O$92:O$111)*AF$2</f>
        <v>0</v>
      </c>
      <c r="AG1664" s="88">
        <f>SUMIF(月間集計シート!$M$92:$M$111,$G1664,月間集計シート!P$92:P$111)*AG$2</f>
        <v>0</v>
      </c>
      <c r="AH1664" s="88">
        <f>SUMIF(月間集計シート!$M$92:$M$111,$G1664,月間集計シート!Q$92:Q$111)*AH$2</f>
        <v>0</v>
      </c>
      <c r="AI1664" s="88">
        <f>SUMIF(月間集計シート!$M$92:$M$111,$G1664,月間集計シート!R$92:R$111)*AI$2</f>
        <v>0</v>
      </c>
      <c r="AJ1664" s="88">
        <f>SUMIF(月間集計シート!$M$92:$M$111,$G1664,月間集計シート!S$92:S$111)*AJ$2</f>
        <v>0</v>
      </c>
      <c r="AK1664" s="88">
        <f>SUMIF(月間集計シート!$M$92:$M$111,$G1664,月間集計シート!T$92:T$111)*AK$2</f>
        <v>0</v>
      </c>
      <c r="AL1664" s="88">
        <f>SUMIF(月間集計シート!$M$113:$M$132,$G1664,月間集計シート!N$113:N$132)*AL$2</f>
        <v>0</v>
      </c>
      <c r="AM1664" s="88">
        <f>SUMIF(月間集計シート!$M$113:$M$132,$G1664,月間集計シート!O$113:O$132)*AM$2</f>
        <v>0</v>
      </c>
      <c r="AN1664" s="88">
        <f>SUMIF(月間集計シート!$M$113:$M$132,$G1664,月間集計シート!P$113:P$132)*AN$2</f>
        <v>0</v>
      </c>
      <c r="AO1664" s="88">
        <f>SUMIF(月間集計シート!$M$113:$M$132,$G1664,月間集計シート!Q$113:Q$132)*AO$2</f>
        <v>0</v>
      </c>
      <c r="AP1664" s="88">
        <f>SUMIF(月間集計シート!$M$113:$M$132,$G1664,月間集計シート!R$113:R$132)*AP$2</f>
        <v>0</v>
      </c>
      <c r="AQ1664" s="88">
        <f>SUMIF(月間集計シート!$M$113:$M$132,$G1664,月間集計シート!S$113:S$132)*AQ$2</f>
        <v>0</v>
      </c>
      <c r="AR1664" s="88">
        <f>SUMIF(月間集計シート!$M$113:$M$132,$G1664,月間集計シート!T$113:T$132)*AR$2</f>
        <v>0</v>
      </c>
      <c r="AS1664" s="88">
        <f>SUMIF(月間集計シート!$M$134:$M$153,$G1664,月間集計シート!N$134:N$153)*AS$2</f>
        <v>0</v>
      </c>
      <c r="AT1664" s="88">
        <f>SUMIF(月間集計シート!$M$134:$M$153,$G1664,月間集計シート!O$134:O$153)*AT$2</f>
        <v>0</v>
      </c>
      <c r="AU1664" s="88">
        <f>SUMIF(月間集計シート!$M$134:$M$153,$G1664,月間集計シート!P$134:P$153)*AU$2</f>
        <v>0</v>
      </c>
      <c r="AV1664" s="88">
        <f>SUMIF(月間集計シート!$M$134:$M$153,$G1664,月間集計シート!Q$134:Q$153)*AV$2</f>
        <v>0</v>
      </c>
      <c r="AW1664" s="88">
        <f>SUMIF(月間集計シート!$M$134:$M$153,$G1664,月間集計シート!R$134:R$153)*AW$2</f>
        <v>0</v>
      </c>
      <c r="AX1664" s="88">
        <f>SUMIF(月間集計シート!$M$134:$M$153,$G1664,月間集計シート!S$134:S$153)*AX$2</f>
        <v>0</v>
      </c>
      <c r="AY1664" s="88">
        <f>SUMIF(月間集計シート!$M$134:$M$153,$G1664,月間集計シート!T$134:T$153)*AY$2</f>
        <v>0</v>
      </c>
    </row>
    <row r="1665" spans="1:51" ht="14.25" thickBot="1">
      <c r="A1665">
        <v>20</v>
      </c>
      <c r="B1665" s="120">
        <f t="shared" si="941"/>
        <v>0</v>
      </c>
      <c r="C1665" s="120" t="str">
        <f t="shared" si="942"/>
        <v/>
      </c>
      <c r="D1665" s="137"/>
      <c r="E1665" s="150" t="str">
        <f>工種!A42</f>
        <v>60101</v>
      </c>
      <c r="F1665" s="119" t="str">
        <f>工種!B42</f>
        <v>ﾘﾘｰｽ：ﾘﾘｰｽ・ﾃﾞﾘﾊﾞﾘ作業</v>
      </c>
      <c r="G1665" s="116" t="str">
        <f t="shared" si="943"/>
        <v>060101</v>
      </c>
      <c r="H1665" s="88">
        <f t="shared" si="897"/>
        <v>0</v>
      </c>
      <c r="I1665" s="132"/>
      <c r="J1665" s="88">
        <f>SUMIF(月間集計シート!$M$29:$M$48,$G1665,月間集計シート!N$29:N$48)*J$2</f>
        <v>0</v>
      </c>
      <c r="K1665" s="88">
        <f>SUMIF(月間集計シート!$M$29:$M$48,$G1665,月間集計シート!O$29:O$48)*K$2</f>
        <v>0</v>
      </c>
      <c r="L1665" s="88">
        <f>SUMIF(月間集計シート!$M$29:$M$48,$G1665,月間集計シート!P$29:P$48)*L$2</f>
        <v>0</v>
      </c>
      <c r="M1665" s="88">
        <f>SUMIF(月間集計シート!$M$29:$M$48,$G1665,月間集計シート!Q$29:Q$48)*M$2</f>
        <v>0</v>
      </c>
      <c r="N1665" s="88">
        <f>SUMIF(月間集計シート!$M$29:$M$48,$G1665,月間集計シート!R$29:R$48)*N$2</f>
        <v>0</v>
      </c>
      <c r="O1665" s="88">
        <f>SUMIF(月間集計シート!$M$29:$M$48,$G1665,月間集計シート!S$29:S$48)*O$2</f>
        <v>0</v>
      </c>
      <c r="P1665" s="88">
        <f>SUMIF(月間集計シート!$M$29:$M$48,$G1665,月間集計シート!T$29:T$48)*P$2</f>
        <v>0</v>
      </c>
      <c r="Q1665" s="88">
        <f>SUMIF(月間集計シート!$M$50:$M$69,$G1665,月間集計シート!N$50:N$69)*Q$2</f>
        <v>0</v>
      </c>
      <c r="R1665" s="88">
        <f>SUMIF(月間集計シート!$M$50:$M$69,$G1665,月間集計シート!O$50:O$69)*R$2</f>
        <v>0</v>
      </c>
      <c r="S1665" s="88">
        <f>SUMIF(月間集計シート!$M$50:$M$69,$G1665,月間集計シート!P$50:P$69)*S$2</f>
        <v>0</v>
      </c>
      <c r="T1665" s="88">
        <f>SUMIF(月間集計シート!$M$50:$M$69,$G1665,月間集計シート!Q$50:Q$69)*T$2</f>
        <v>0</v>
      </c>
      <c r="U1665" s="88">
        <f>SUMIF(月間集計シート!$M$50:$M$69,$G1665,月間集計シート!R$50:R$69)*U$2</f>
        <v>0</v>
      </c>
      <c r="V1665" s="88">
        <f>SUMIF(月間集計シート!$M$50:$M$69,$G1665,月間集計シート!S$50:S$69)*V$2</f>
        <v>0</v>
      </c>
      <c r="W1665" s="88">
        <f>SUMIF(月間集計シート!$M$50:$M$69,$G1665,月間集計シート!T$50:T$69)*W$2</f>
        <v>0</v>
      </c>
      <c r="X1665" s="88">
        <f>SUMIF(月間集計シート!$M$71:$M$90,$G1665,月間集計シート!N$71:N$90)*X$2</f>
        <v>0</v>
      </c>
      <c r="Y1665" s="88">
        <f>SUMIF(月間集計シート!$M$71:$M$90,$G1665,月間集計シート!O$71:O$90)*Y$2</f>
        <v>0</v>
      </c>
      <c r="Z1665" s="88">
        <f>SUMIF(月間集計シート!$M$71:$M$90,$G1665,月間集計シート!P$71:P$90)*Z$2</f>
        <v>0</v>
      </c>
      <c r="AA1665" s="88">
        <f>SUMIF(月間集計シート!$M$71:$M$90,$G1665,月間集計シート!Q$71:Q$90)*AA$2</f>
        <v>0</v>
      </c>
      <c r="AB1665" s="88">
        <f>SUMIF(月間集計シート!$M$71:$M$90,$G1665,月間集計シート!R$71:R$90)*AB$2</f>
        <v>0</v>
      </c>
      <c r="AC1665" s="88">
        <f>SUMIF(月間集計シート!$M$71:$M$90,$G1665,月間集計シート!S$71:S$90)*AC$2</f>
        <v>0</v>
      </c>
      <c r="AD1665" s="88">
        <f>SUMIF(月間集計シート!$M$71:$M$90,$G1665,月間集計シート!T$71:T$90)*AD$2</f>
        <v>0</v>
      </c>
      <c r="AE1665" s="88">
        <f>SUMIF(月間集計シート!$M$92:$M$111,$G1665,月間集計シート!N$92:N$111)*AE$2</f>
        <v>0</v>
      </c>
      <c r="AF1665" s="88">
        <f>SUMIF(月間集計シート!$M$92:$M$111,$G1665,月間集計シート!O$92:O$111)*AF$2</f>
        <v>0</v>
      </c>
      <c r="AG1665" s="88">
        <f>SUMIF(月間集計シート!$M$92:$M$111,$G1665,月間集計シート!P$92:P$111)*AG$2</f>
        <v>0</v>
      </c>
      <c r="AH1665" s="88">
        <f>SUMIF(月間集計シート!$M$92:$M$111,$G1665,月間集計シート!Q$92:Q$111)*AH$2</f>
        <v>0</v>
      </c>
      <c r="AI1665" s="88">
        <f>SUMIF(月間集計シート!$M$92:$M$111,$G1665,月間集計シート!R$92:R$111)*AI$2</f>
        <v>0</v>
      </c>
      <c r="AJ1665" s="88">
        <f>SUMIF(月間集計シート!$M$92:$M$111,$G1665,月間集計シート!S$92:S$111)*AJ$2</f>
        <v>0</v>
      </c>
      <c r="AK1665" s="88">
        <f>SUMIF(月間集計シート!$M$92:$M$111,$G1665,月間集計シート!T$92:T$111)*AK$2</f>
        <v>0</v>
      </c>
      <c r="AL1665" s="88">
        <f>SUMIF(月間集計シート!$M$113:$M$132,$G1665,月間集計シート!N$113:N$132)*AL$2</f>
        <v>0</v>
      </c>
      <c r="AM1665" s="88">
        <f>SUMIF(月間集計シート!$M$113:$M$132,$G1665,月間集計シート!O$113:O$132)*AM$2</f>
        <v>0</v>
      </c>
      <c r="AN1665" s="88">
        <f>SUMIF(月間集計シート!$M$113:$M$132,$G1665,月間集計シート!P$113:P$132)*AN$2</f>
        <v>0</v>
      </c>
      <c r="AO1665" s="88">
        <f>SUMIF(月間集計シート!$M$113:$M$132,$G1665,月間集計シート!Q$113:Q$132)*AO$2</f>
        <v>0</v>
      </c>
      <c r="AP1665" s="88">
        <f>SUMIF(月間集計シート!$M$113:$M$132,$G1665,月間集計シート!R$113:R$132)*AP$2</f>
        <v>0</v>
      </c>
      <c r="AQ1665" s="88">
        <f>SUMIF(月間集計シート!$M$113:$M$132,$G1665,月間集計シート!S$113:S$132)*AQ$2</f>
        <v>0</v>
      </c>
      <c r="AR1665" s="88">
        <f>SUMIF(月間集計シート!$M$113:$M$132,$G1665,月間集計シート!T$113:T$132)*AR$2</f>
        <v>0</v>
      </c>
      <c r="AS1665" s="88">
        <f>SUMIF(月間集計シート!$M$134:$M$153,$G1665,月間集計シート!N$134:N$153)*AS$2</f>
        <v>0</v>
      </c>
      <c r="AT1665" s="88">
        <f>SUMIF(月間集計シート!$M$134:$M$153,$G1665,月間集計シート!O$134:O$153)*AT$2</f>
        <v>0</v>
      </c>
      <c r="AU1665" s="88">
        <f>SUMIF(月間集計シート!$M$134:$M$153,$G1665,月間集計シート!P$134:P$153)*AU$2</f>
        <v>0</v>
      </c>
      <c r="AV1665" s="88">
        <f>SUMIF(月間集計シート!$M$134:$M$153,$G1665,月間集計シート!Q$134:Q$153)*AV$2</f>
        <v>0</v>
      </c>
      <c r="AW1665" s="88">
        <f>SUMIF(月間集計シート!$M$134:$M$153,$G1665,月間集計シート!R$134:R$153)*AW$2</f>
        <v>0</v>
      </c>
      <c r="AX1665" s="88">
        <f>SUMIF(月間集計シート!$M$134:$M$153,$G1665,月間集計シート!S$134:S$153)*AX$2</f>
        <v>0</v>
      </c>
      <c r="AY1665" s="88">
        <f>SUMIF(月間集計シート!$M$134:$M$153,$G1665,月間集計シート!T$134:T$153)*AY$2</f>
        <v>0</v>
      </c>
    </row>
    <row r="1666" spans="1:51" ht="14.25" thickBot="1">
      <c r="A1666">
        <v>20</v>
      </c>
      <c r="B1666" s="120">
        <f t="shared" si="941"/>
        <v>0</v>
      </c>
      <c r="C1666" s="120" t="str">
        <f t="shared" si="942"/>
        <v/>
      </c>
      <c r="D1666" s="137"/>
      <c r="E1666" s="150" t="str">
        <f>工種!A43</f>
        <v>60102</v>
      </c>
      <c r="F1666" s="119" t="str">
        <f>工種!B43</f>
        <v>ﾘﾘｰｽ：ﾘﾘｰｽ関連業務</v>
      </c>
      <c r="G1666" s="116" t="str">
        <f t="shared" si="943"/>
        <v>060102</v>
      </c>
      <c r="H1666" s="88">
        <f t="shared" si="897"/>
        <v>0</v>
      </c>
      <c r="I1666" s="132"/>
      <c r="J1666" s="88">
        <f>SUMIF(月間集計シート!$M$29:$M$48,$G1666,月間集計シート!N$29:N$48)*J$2</f>
        <v>0</v>
      </c>
      <c r="K1666" s="88">
        <f>SUMIF(月間集計シート!$M$29:$M$48,$G1666,月間集計シート!O$29:O$48)*K$2</f>
        <v>0</v>
      </c>
      <c r="L1666" s="88">
        <f>SUMIF(月間集計シート!$M$29:$M$48,$G1666,月間集計シート!P$29:P$48)*L$2</f>
        <v>0</v>
      </c>
      <c r="M1666" s="88">
        <f>SUMIF(月間集計シート!$M$29:$M$48,$G1666,月間集計シート!Q$29:Q$48)*M$2</f>
        <v>0</v>
      </c>
      <c r="N1666" s="88">
        <f>SUMIF(月間集計シート!$M$29:$M$48,$G1666,月間集計シート!R$29:R$48)*N$2</f>
        <v>0</v>
      </c>
      <c r="O1666" s="88">
        <f>SUMIF(月間集計シート!$M$29:$M$48,$G1666,月間集計シート!S$29:S$48)*O$2</f>
        <v>0</v>
      </c>
      <c r="P1666" s="88">
        <f>SUMIF(月間集計シート!$M$29:$M$48,$G1666,月間集計シート!T$29:T$48)*P$2</f>
        <v>0</v>
      </c>
      <c r="Q1666" s="88">
        <f>SUMIF(月間集計シート!$M$50:$M$69,$G1666,月間集計シート!N$50:N$69)*Q$2</f>
        <v>0</v>
      </c>
      <c r="R1666" s="88">
        <f>SUMIF(月間集計シート!$M$50:$M$69,$G1666,月間集計シート!O$50:O$69)*R$2</f>
        <v>0</v>
      </c>
      <c r="S1666" s="88">
        <f>SUMIF(月間集計シート!$M$50:$M$69,$G1666,月間集計シート!P$50:P$69)*S$2</f>
        <v>0</v>
      </c>
      <c r="T1666" s="88">
        <f>SUMIF(月間集計シート!$M$50:$M$69,$G1666,月間集計シート!Q$50:Q$69)*T$2</f>
        <v>0</v>
      </c>
      <c r="U1666" s="88">
        <f>SUMIF(月間集計シート!$M$50:$M$69,$G1666,月間集計シート!R$50:R$69)*U$2</f>
        <v>0</v>
      </c>
      <c r="V1666" s="88">
        <f>SUMIF(月間集計シート!$M$50:$M$69,$G1666,月間集計シート!S$50:S$69)*V$2</f>
        <v>0</v>
      </c>
      <c r="W1666" s="88">
        <f>SUMIF(月間集計シート!$M$50:$M$69,$G1666,月間集計シート!T$50:T$69)*W$2</f>
        <v>0</v>
      </c>
      <c r="X1666" s="88">
        <f>SUMIF(月間集計シート!$M$71:$M$90,$G1666,月間集計シート!N$71:N$90)*X$2</f>
        <v>0</v>
      </c>
      <c r="Y1666" s="88">
        <f>SUMIF(月間集計シート!$M$71:$M$90,$G1666,月間集計シート!O$71:O$90)*Y$2</f>
        <v>0</v>
      </c>
      <c r="Z1666" s="88">
        <f>SUMIF(月間集計シート!$M$71:$M$90,$G1666,月間集計シート!P$71:P$90)*Z$2</f>
        <v>0</v>
      </c>
      <c r="AA1666" s="88">
        <f>SUMIF(月間集計シート!$M$71:$M$90,$G1666,月間集計シート!Q$71:Q$90)*AA$2</f>
        <v>0</v>
      </c>
      <c r="AB1666" s="88">
        <f>SUMIF(月間集計シート!$M$71:$M$90,$G1666,月間集計シート!R$71:R$90)*AB$2</f>
        <v>0</v>
      </c>
      <c r="AC1666" s="88">
        <f>SUMIF(月間集計シート!$M$71:$M$90,$G1666,月間集計シート!S$71:S$90)*AC$2</f>
        <v>0</v>
      </c>
      <c r="AD1666" s="88">
        <f>SUMIF(月間集計シート!$M$71:$M$90,$G1666,月間集計シート!T$71:T$90)*AD$2</f>
        <v>0</v>
      </c>
      <c r="AE1666" s="88">
        <f>SUMIF(月間集計シート!$M$92:$M$111,$G1666,月間集計シート!N$92:N$111)*AE$2</f>
        <v>0</v>
      </c>
      <c r="AF1666" s="88">
        <f>SUMIF(月間集計シート!$M$92:$M$111,$G1666,月間集計シート!O$92:O$111)*AF$2</f>
        <v>0</v>
      </c>
      <c r="AG1666" s="88">
        <f>SUMIF(月間集計シート!$M$92:$M$111,$G1666,月間集計シート!P$92:P$111)*AG$2</f>
        <v>0</v>
      </c>
      <c r="AH1666" s="88">
        <f>SUMIF(月間集計シート!$M$92:$M$111,$G1666,月間集計シート!Q$92:Q$111)*AH$2</f>
        <v>0</v>
      </c>
      <c r="AI1666" s="88">
        <f>SUMIF(月間集計シート!$M$92:$M$111,$G1666,月間集計シート!R$92:R$111)*AI$2</f>
        <v>0</v>
      </c>
      <c r="AJ1666" s="88">
        <f>SUMIF(月間集計シート!$M$92:$M$111,$G1666,月間集計シート!S$92:S$111)*AJ$2</f>
        <v>0</v>
      </c>
      <c r="AK1666" s="88">
        <f>SUMIF(月間集計シート!$M$92:$M$111,$G1666,月間集計シート!T$92:T$111)*AK$2</f>
        <v>0</v>
      </c>
      <c r="AL1666" s="88">
        <f>SUMIF(月間集計シート!$M$113:$M$132,$G1666,月間集計シート!N$113:N$132)*AL$2</f>
        <v>0</v>
      </c>
      <c r="AM1666" s="88">
        <f>SUMIF(月間集計シート!$M$113:$M$132,$G1666,月間集計シート!O$113:O$132)*AM$2</f>
        <v>0</v>
      </c>
      <c r="AN1666" s="88">
        <f>SUMIF(月間集計シート!$M$113:$M$132,$G1666,月間集計シート!P$113:P$132)*AN$2</f>
        <v>0</v>
      </c>
      <c r="AO1666" s="88">
        <f>SUMIF(月間集計シート!$M$113:$M$132,$G1666,月間集計シート!Q$113:Q$132)*AO$2</f>
        <v>0</v>
      </c>
      <c r="AP1666" s="88">
        <f>SUMIF(月間集計シート!$M$113:$M$132,$G1666,月間集計シート!R$113:R$132)*AP$2</f>
        <v>0</v>
      </c>
      <c r="AQ1666" s="88">
        <f>SUMIF(月間集計シート!$M$113:$M$132,$G1666,月間集計シート!S$113:S$132)*AQ$2</f>
        <v>0</v>
      </c>
      <c r="AR1666" s="88">
        <f>SUMIF(月間集計シート!$M$113:$M$132,$G1666,月間集計シート!T$113:T$132)*AR$2</f>
        <v>0</v>
      </c>
      <c r="AS1666" s="88">
        <f>SUMIF(月間集計シート!$M$134:$M$153,$G1666,月間集計シート!N$134:N$153)*AS$2</f>
        <v>0</v>
      </c>
      <c r="AT1666" s="88">
        <f>SUMIF(月間集計シート!$M$134:$M$153,$G1666,月間集計シート!O$134:O$153)*AT$2</f>
        <v>0</v>
      </c>
      <c r="AU1666" s="88">
        <f>SUMIF(月間集計シート!$M$134:$M$153,$G1666,月間集計シート!P$134:P$153)*AU$2</f>
        <v>0</v>
      </c>
      <c r="AV1666" s="88">
        <f>SUMIF(月間集計シート!$M$134:$M$153,$G1666,月間集計シート!Q$134:Q$153)*AV$2</f>
        <v>0</v>
      </c>
      <c r="AW1666" s="88">
        <f>SUMIF(月間集計シート!$M$134:$M$153,$G1666,月間集計シート!R$134:R$153)*AW$2</f>
        <v>0</v>
      </c>
      <c r="AX1666" s="88">
        <f>SUMIF(月間集計シート!$M$134:$M$153,$G1666,月間集計シート!S$134:S$153)*AX$2</f>
        <v>0</v>
      </c>
      <c r="AY1666" s="88">
        <f>SUMIF(月間集計シート!$M$134:$M$153,$G1666,月間集計シート!T$134:T$153)*AY$2</f>
        <v>0</v>
      </c>
    </row>
    <row r="1667" spans="1:51" ht="14.25" thickBot="1">
      <c r="A1667">
        <v>20</v>
      </c>
      <c r="B1667" s="120">
        <f t="shared" si="941"/>
        <v>0</v>
      </c>
      <c r="C1667" s="120" t="str">
        <f t="shared" si="942"/>
        <v/>
      </c>
      <c r="D1667" s="137"/>
      <c r="E1667" s="150" t="str">
        <f>工種!A44</f>
        <v>60103</v>
      </c>
      <c r="F1667" s="119" t="str">
        <f>工種!B44</f>
        <v>ﾘﾘｰｽ：ﾏﾆｭｱﾙPDF作成・修正</v>
      </c>
      <c r="G1667" s="116" t="str">
        <f t="shared" si="943"/>
        <v>060103</v>
      </c>
      <c r="H1667" s="88">
        <f t="shared" si="897"/>
        <v>0</v>
      </c>
      <c r="I1667" s="132"/>
      <c r="J1667" s="88">
        <f>SUMIF(月間集計シート!$M$29:$M$48,$G1667,月間集計シート!N$29:N$48)*J$2</f>
        <v>0</v>
      </c>
      <c r="K1667" s="88">
        <f>SUMIF(月間集計シート!$M$29:$M$48,$G1667,月間集計シート!O$29:O$48)*K$2</f>
        <v>0</v>
      </c>
      <c r="L1667" s="88">
        <f>SUMIF(月間集計シート!$M$29:$M$48,$G1667,月間集計シート!P$29:P$48)*L$2</f>
        <v>0</v>
      </c>
      <c r="M1667" s="88">
        <f>SUMIF(月間集計シート!$M$29:$M$48,$G1667,月間集計シート!Q$29:Q$48)*M$2</f>
        <v>0</v>
      </c>
      <c r="N1667" s="88">
        <f>SUMIF(月間集計シート!$M$29:$M$48,$G1667,月間集計シート!R$29:R$48)*N$2</f>
        <v>0</v>
      </c>
      <c r="O1667" s="88">
        <f>SUMIF(月間集計シート!$M$29:$M$48,$G1667,月間集計シート!S$29:S$48)*O$2</f>
        <v>0</v>
      </c>
      <c r="P1667" s="88">
        <f>SUMIF(月間集計シート!$M$29:$M$48,$G1667,月間集計シート!T$29:T$48)*P$2</f>
        <v>0</v>
      </c>
      <c r="Q1667" s="88">
        <f>SUMIF(月間集計シート!$M$50:$M$69,$G1667,月間集計シート!N$50:N$69)*Q$2</f>
        <v>0</v>
      </c>
      <c r="R1667" s="88">
        <f>SUMIF(月間集計シート!$M$50:$M$69,$G1667,月間集計シート!O$50:O$69)*R$2</f>
        <v>0</v>
      </c>
      <c r="S1667" s="88">
        <f>SUMIF(月間集計シート!$M$50:$M$69,$G1667,月間集計シート!P$50:P$69)*S$2</f>
        <v>0</v>
      </c>
      <c r="T1667" s="88">
        <f>SUMIF(月間集計シート!$M$50:$M$69,$G1667,月間集計シート!Q$50:Q$69)*T$2</f>
        <v>0</v>
      </c>
      <c r="U1667" s="88">
        <f>SUMIF(月間集計シート!$M$50:$M$69,$G1667,月間集計シート!R$50:R$69)*U$2</f>
        <v>0</v>
      </c>
      <c r="V1667" s="88">
        <f>SUMIF(月間集計シート!$M$50:$M$69,$G1667,月間集計シート!S$50:S$69)*V$2</f>
        <v>0</v>
      </c>
      <c r="W1667" s="88">
        <f>SUMIF(月間集計シート!$M$50:$M$69,$G1667,月間集計シート!T$50:T$69)*W$2</f>
        <v>0</v>
      </c>
      <c r="X1667" s="88">
        <f>SUMIF(月間集計シート!$M$71:$M$90,$G1667,月間集計シート!N$71:N$90)*X$2</f>
        <v>0</v>
      </c>
      <c r="Y1667" s="88">
        <f>SUMIF(月間集計シート!$M$71:$M$90,$G1667,月間集計シート!O$71:O$90)*Y$2</f>
        <v>0</v>
      </c>
      <c r="Z1667" s="88">
        <f>SUMIF(月間集計シート!$M$71:$M$90,$G1667,月間集計シート!P$71:P$90)*Z$2</f>
        <v>0</v>
      </c>
      <c r="AA1667" s="88">
        <f>SUMIF(月間集計シート!$M$71:$M$90,$G1667,月間集計シート!Q$71:Q$90)*AA$2</f>
        <v>0</v>
      </c>
      <c r="AB1667" s="88">
        <f>SUMIF(月間集計シート!$M$71:$M$90,$G1667,月間集計シート!R$71:R$90)*AB$2</f>
        <v>0</v>
      </c>
      <c r="AC1667" s="88">
        <f>SUMIF(月間集計シート!$M$71:$M$90,$G1667,月間集計シート!S$71:S$90)*AC$2</f>
        <v>0</v>
      </c>
      <c r="AD1667" s="88">
        <f>SUMIF(月間集計シート!$M$71:$M$90,$G1667,月間集計シート!T$71:T$90)*AD$2</f>
        <v>0</v>
      </c>
      <c r="AE1667" s="88">
        <f>SUMIF(月間集計シート!$M$92:$M$111,$G1667,月間集計シート!N$92:N$111)*AE$2</f>
        <v>0</v>
      </c>
      <c r="AF1667" s="88">
        <f>SUMIF(月間集計シート!$M$92:$M$111,$G1667,月間集計シート!O$92:O$111)*AF$2</f>
        <v>0</v>
      </c>
      <c r="AG1667" s="88">
        <f>SUMIF(月間集計シート!$M$92:$M$111,$G1667,月間集計シート!P$92:P$111)*AG$2</f>
        <v>0</v>
      </c>
      <c r="AH1667" s="88">
        <f>SUMIF(月間集計シート!$M$92:$M$111,$G1667,月間集計シート!Q$92:Q$111)*AH$2</f>
        <v>0</v>
      </c>
      <c r="AI1667" s="88">
        <f>SUMIF(月間集計シート!$M$92:$M$111,$G1667,月間集計シート!R$92:R$111)*AI$2</f>
        <v>0</v>
      </c>
      <c r="AJ1667" s="88">
        <f>SUMIF(月間集計シート!$M$92:$M$111,$G1667,月間集計シート!S$92:S$111)*AJ$2</f>
        <v>0</v>
      </c>
      <c r="AK1667" s="88">
        <f>SUMIF(月間集計シート!$M$92:$M$111,$G1667,月間集計シート!T$92:T$111)*AK$2</f>
        <v>0</v>
      </c>
      <c r="AL1667" s="88">
        <f>SUMIF(月間集計シート!$M$113:$M$132,$G1667,月間集計シート!N$113:N$132)*AL$2</f>
        <v>0</v>
      </c>
      <c r="AM1667" s="88">
        <f>SUMIF(月間集計シート!$M$113:$M$132,$G1667,月間集計シート!O$113:O$132)*AM$2</f>
        <v>0</v>
      </c>
      <c r="AN1667" s="88">
        <f>SUMIF(月間集計シート!$M$113:$M$132,$G1667,月間集計シート!P$113:P$132)*AN$2</f>
        <v>0</v>
      </c>
      <c r="AO1667" s="88">
        <f>SUMIF(月間集計シート!$M$113:$M$132,$G1667,月間集計シート!Q$113:Q$132)*AO$2</f>
        <v>0</v>
      </c>
      <c r="AP1667" s="88">
        <f>SUMIF(月間集計シート!$M$113:$M$132,$G1667,月間集計シート!R$113:R$132)*AP$2</f>
        <v>0</v>
      </c>
      <c r="AQ1667" s="88">
        <f>SUMIF(月間集計シート!$M$113:$M$132,$G1667,月間集計シート!S$113:S$132)*AQ$2</f>
        <v>0</v>
      </c>
      <c r="AR1667" s="88">
        <f>SUMIF(月間集計シート!$M$113:$M$132,$G1667,月間集計シート!T$113:T$132)*AR$2</f>
        <v>0</v>
      </c>
      <c r="AS1667" s="88">
        <f>SUMIF(月間集計シート!$M$134:$M$153,$G1667,月間集計シート!N$134:N$153)*AS$2</f>
        <v>0</v>
      </c>
      <c r="AT1667" s="88">
        <f>SUMIF(月間集計シート!$M$134:$M$153,$G1667,月間集計シート!O$134:O$153)*AT$2</f>
        <v>0</v>
      </c>
      <c r="AU1667" s="88">
        <f>SUMIF(月間集計シート!$M$134:$M$153,$G1667,月間集計シート!P$134:P$153)*AU$2</f>
        <v>0</v>
      </c>
      <c r="AV1667" s="88">
        <f>SUMIF(月間集計シート!$M$134:$M$153,$G1667,月間集計シート!Q$134:Q$153)*AV$2</f>
        <v>0</v>
      </c>
      <c r="AW1667" s="88">
        <f>SUMIF(月間集計シート!$M$134:$M$153,$G1667,月間集計シート!R$134:R$153)*AW$2</f>
        <v>0</v>
      </c>
      <c r="AX1667" s="88">
        <f>SUMIF(月間集計シート!$M$134:$M$153,$G1667,月間集計シート!S$134:S$153)*AX$2</f>
        <v>0</v>
      </c>
      <c r="AY1667" s="88">
        <f>SUMIF(月間集計シート!$M$134:$M$153,$G1667,月間集計シート!T$134:T$153)*AY$2</f>
        <v>0</v>
      </c>
    </row>
    <row r="1668" spans="1:51" ht="14.25" thickBot="1">
      <c r="A1668">
        <v>20</v>
      </c>
      <c r="B1668" s="120">
        <f t="shared" si="941"/>
        <v>0</v>
      </c>
      <c r="C1668" s="120" t="str">
        <f t="shared" si="942"/>
        <v/>
      </c>
      <c r="D1668" s="137"/>
      <c r="E1668" s="150" t="str">
        <f>工種!A45</f>
        <v>60104</v>
      </c>
      <c r="F1668" s="119" t="str">
        <f>工種!B45</f>
        <v>ﾘﾘｰｽ：ﾍﾙﾌﾟ作成・修正</v>
      </c>
      <c r="G1668" s="116" t="str">
        <f t="shared" si="943"/>
        <v>060104</v>
      </c>
      <c r="H1668" s="88">
        <f t="shared" si="897"/>
        <v>0</v>
      </c>
      <c r="I1668" s="132"/>
      <c r="J1668" s="88">
        <f>SUMIF(月間集計シート!$M$29:$M$48,$G1668,月間集計シート!N$29:N$48)*J$2</f>
        <v>0</v>
      </c>
      <c r="K1668" s="88">
        <f>SUMIF(月間集計シート!$M$29:$M$48,$G1668,月間集計シート!O$29:O$48)*K$2</f>
        <v>0</v>
      </c>
      <c r="L1668" s="88">
        <f>SUMIF(月間集計シート!$M$29:$M$48,$G1668,月間集計シート!P$29:P$48)*L$2</f>
        <v>0</v>
      </c>
      <c r="M1668" s="88">
        <f>SUMIF(月間集計シート!$M$29:$M$48,$G1668,月間集計シート!Q$29:Q$48)*M$2</f>
        <v>0</v>
      </c>
      <c r="N1668" s="88">
        <f>SUMIF(月間集計シート!$M$29:$M$48,$G1668,月間集計シート!R$29:R$48)*N$2</f>
        <v>0</v>
      </c>
      <c r="O1668" s="88">
        <f>SUMIF(月間集計シート!$M$29:$M$48,$G1668,月間集計シート!S$29:S$48)*O$2</f>
        <v>0</v>
      </c>
      <c r="P1668" s="88">
        <f>SUMIF(月間集計シート!$M$29:$M$48,$G1668,月間集計シート!T$29:T$48)*P$2</f>
        <v>0</v>
      </c>
      <c r="Q1668" s="88">
        <f>SUMIF(月間集計シート!$M$50:$M$69,$G1668,月間集計シート!N$50:N$69)*Q$2</f>
        <v>0</v>
      </c>
      <c r="R1668" s="88">
        <f>SUMIF(月間集計シート!$M$50:$M$69,$G1668,月間集計シート!O$50:O$69)*R$2</f>
        <v>0</v>
      </c>
      <c r="S1668" s="88">
        <f>SUMIF(月間集計シート!$M$50:$M$69,$G1668,月間集計シート!P$50:P$69)*S$2</f>
        <v>0</v>
      </c>
      <c r="T1668" s="88">
        <f>SUMIF(月間集計シート!$M$50:$M$69,$G1668,月間集計シート!Q$50:Q$69)*T$2</f>
        <v>0</v>
      </c>
      <c r="U1668" s="88">
        <f>SUMIF(月間集計シート!$M$50:$M$69,$G1668,月間集計シート!R$50:R$69)*U$2</f>
        <v>0</v>
      </c>
      <c r="V1668" s="88">
        <f>SUMIF(月間集計シート!$M$50:$M$69,$G1668,月間集計シート!S$50:S$69)*V$2</f>
        <v>0</v>
      </c>
      <c r="W1668" s="88">
        <f>SUMIF(月間集計シート!$M$50:$M$69,$G1668,月間集計シート!T$50:T$69)*W$2</f>
        <v>0</v>
      </c>
      <c r="X1668" s="88">
        <f>SUMIF(月間集計シート!$M$71:$M$90,$G1668,月間集計シート!N$71:N$90)*X$2</f>
        <v>0</v>
      </c>
      <c r="Y1668" s="88">
        <f>SUMIF(月間集計シート!$M$71:$M$90,$G1668,月間集計シート!O$71:O$90)*Y$2</f>
        <v>0</v>
      </c>
      <c r="Z1668" s="88">
        <f>SUMIF(月間集計シート!$M$71:$M$90,$G1668,月間集計シート!P$71:P$90)*Z$2</f>
        <v>0</v>
      </c>
      <c r="AA1668" s="88">
        <f>SUMIF(月間集計シート!$M$71:$M$90,$G1668,月間集計シート!Q$71:Q$90)*AA$2</f>
        <v>0</v>
      </c>
      <c r="AB1668" s="88">
        <f>SUMIF(月間集計シート!$M$71:$M$90,$G1668,月間集計シート!R$71:R$90)*AB$2</f>
        <v>0</v>
      </c>
      <c r="AC1668" s="88">
        <f>SUMIF(月間集計シート!$M$71:$M$90,$G1668,月間集計シート!S$71:S$90)*AC$2</f>
        <v>0</v>
      </c>
      <c r="AD1668" s="88">
        <f>SUMIF(月間集計シート!$M$71:$M$90,$G1668,月間集計シート!T$71:T$90)*AD$2</f>
        <v>0</v>
      </c>
      <c r="AE1668" s="88">
        <f>SUMIF(月間集計シート!$M$92:$M$111,$G1668,月間集計シート!N$92:N$111)*AE$2</f>
        <v>0</v>
      </c>
      <c r="AF1668" s="88">
        <f>SUMIF(月間集計シート!$M$92:$M$111,$G1668,月間集計シート!O$92:O$111)*AF$2</f>
        <v>0</v>
      </c>
      <c r="AG1668" s="88">
        <f>SUMIF(月間集計シート!$M$92:$M$111,$G1668,月間集計シート!P$92:P$111)*AG$2</f>
        <v>0</v>
      </c>
      <c r="AH1668" s="88">
        <f>SUMIF(月間集計シート!$M$92:$M$111,$G1668,月間集計シート!Q$92:Q$111)*AH$2</f>
        <v>0</v>
      </c>
      <c r="AI1668" s="88">
        <f>SUMIF(月間集計シート!$M$92:$M$111,$G1668,月間集計シート!R$92:R$111)*AI$2</f>
        <v>0</v>
      </c>
      <c r="AJ1668" s="88">
        <f>SUMIF(月間集計シート!$M$92:$M$111,$G1668,月間集計シート!S$92:S$111)*AJ$2</f>
        <v>0</v>
      </c>
      <c r="AK1668" s="88">
        <f>SUMIF(月間集計シート!$M$92:$M$111,$G1668,月間集計シート!T$92:T$111)*AK$2</f>
        <v>0</v>
      </c>
      <c r="AL1668" s="88">
        <f>SUMIF(月間集計シート!$M$113:$M$132,$G1668,月間集計シート!N$113:N$132)*AL$2</f>
        <v>0</v>
      </c>
      <c r="AM1668" s="88">
        <f>SUMIF(月間集計シート!$M$113:$M$132,$G1668,月間集計シート!O$113:O$132)*AM$2</f>
        <v>0</v>
      </c>
      <c r="AN1668" s="88">
        <f>SUMIF(月間集計シート!$M$113:$M$132,$G1668,月間集計シート!P$113:P$132)*AN$2</f>
        <v>0</v>
      </c>
      <c r="AO1668" s="88">
        <f>SUMIF(月間集計シート!$M$113:$M$132,$G1668,月間集計シート!Q$113:Q$132)*AO$2</f>
        <v>0</v>
      </c>
      <c r="AP1668" s="88">
        <f>SUMIF(月間集計シート!$M$113:$M$132,$G1668,月間集計シート!R$113:R$132)*AP$2</f>
        <v>0</v>
      </c>
      <c r="AQ1668" s="88">
        <f>SUMIF(月間集計シート!$M$113:$M$132,$G1668,月間集計シート!S$113:S$132)*AQ$2</f>
        <v>0</v>
      </c>
      <c r="AR1668" s="88">
        <f>SUMIF(月間集計シート!$M$113:$M$132,$G1668,月間集計シート!T$113:T$132)*AR$2</f>
        <v>0</v>
      </c>
      <c r="AS1668" s="88">
        <f>SUMIF(月間集計シート!$M$134:$M$153,$G1668,月間集計シート!N$134:N$153)*AS$2</f>
        <v>0</v>
      </c>
      <c r="AT1668" s="88">
        <f>SUMIF(月間集計シート!$M$134:$M$153,$G1668,月間集計シート!O$134:O$153)*AT$2</f>
        <v>0</v>
      </c>
      <c r="AU1668" s="88">
        <f>SUMIF(月間集計シート!$M$134:$M$153,$G1668,月間集計シート!P$134:P$153)*AU$2</f>
        <v>0</v>
      </c>
      <c r="AV1668" s="88">
        <f>SUMIF(月間集計シート!$M$134:$M$153,$G1668,月間集計シート!Q$134:Q$153)*AV$2</f>
        <v>0</v>
      </c>
      <c r="AW1668" s="88">
        <f>SUMIF(月間集計シート!$M$134:$M$153,$G1668,月間集計シート!R$134:R$153)*AW$2</f>
        <v>0</v>
      </c>
      <c r="AX1668" s="88">
        <f>SUMIF(月間集計シート!$M$134:$M$153,$G1668,月間集計シート!S$134:S$153)*AX$2</f>
        <v>0</v>
      </c>
      <c r="AY1668" s="88">
        <f>SUMIF(月間集計シート!$M$134:$M$153,$G1668,月間集計シート!T$134:T$153)*AY$2</f>
        <v>0</v>
      </c>
    </row>
    <row r="1669" spans="1:51" ht="14.25" thickBot="1">
      <c r="A1669">
        <v>20</v>
      </c>
      <c r="B1669" s="120">
        <f t="shared" si="941"/>
        <v>0</v>
      </c>
      <c r="C1669" s="120" t="str">
        <f t="shared" si="942"/>
        <v/>
      </c>
      <c r="D1669" s="137"/>
      <c r="E1669" s="150" t="str">
        <f>工種!A46</f>
        <v>60105</v>
      </c>
      <c r="F1669" s="119" t="str">
        <f>工種!B46</f>
        <v>ﾘﾘｰｽ：締め作業</v>
      </c>
      <c r="G1669" s="116" t="str">
        <f t="shared" si="943"/>
        <v>060105</v>
      </c>
      <c r="H1669" s="88">
        <f t="shared" si="897"/>
        <v>0</v>
      </c>
      <c r="I1669" s="132"/>
      <c r="J1669" s="88">
        <f>SUMIF(月間集計シート!$M$29:$M$48,$G1669,月間集計シート!N$29:N$48)*J$2</f>
        <v>0</v>
      </c>
      <c r="K1669" s="88">
        <f>SUMIF(月間集計シート!$M$29:$M$48,$G1669,月間集計シート!O$29:O$48)*K$2</f>
        <v>0</v>
      </c>
      <c r="L1669" s="88">
        <f>SUMIF(月間集計シート!$M$29:$M$48,$G1669,月間集計シート!P$29:P$48)*L$2</f>
        <v>0</v>
      </c>
      <c r="M1669" s="88">
        <f>SUMIF(月間集計シート!$M$29:$M$48,$G1669,月間集計シート!Q$29:Q$48)*M$2</f>
        <v>0</v>
      </c>
      <c r="N1669" s="88">
        <f>SUMIF(月間集計シート!$M$29:$M$48,$G1669,月間集計シート!R$29:R$48)*N$2</f>
        <v>0</v>
      </c>
      <c r="O1669" s="88">
        <f>SUMIF(月間集計シート!$M$29:$M$48,$G1669,月間集計シート!S$29:S$48)*O$2</f>
        <v>0</v>
      </c>
      <c r="P1669" s="88">
        <f>SUMIF(月間集計シート!$M$29:$M$48,$G1669,月間集計シート!T$29:T$48)*P$2</f>
        <v>0</v>
      </c>
      <c r="Q1669" s="88">
        <f>SUMIF(月間集計シート!$M$50:$M$69,$G1669,月間集計シート!N$50:N$69)*Q$2</f>
        <v>0</v>
      </c>
      <c r="R1669" s="88">
        <f>SUMIF(月間集計シート!$M$50:$M$69,$G1669,月間集計シート!O$50:O$69)*R$2</f>
        <v>0</v>
      </c>
      <c r="S1669" s="88">
        <f>SUMIF(月間集計シート!$M$50:$M$69,$G1669,月間集計シート!P$50:P$69)*S$2</f>
        <v>0</v>
      </c>
      <c r="T1669" s="88">
        <f>SUMIF(月間集計シート!$M$50:$M$69,$G1669,月間集計シート!Q$50:Q$69)*T$2</f>
        <v>0</v>
      </c>
      <c r="U1669" s="88">
        <f>SUMIF(月間集計シート!$M$50:$M$69,$G1669,月間集計シート!R$50:R$69)*U$2</f>
        <v>0</v>
      </c>
      <c r="V1669" s="88">
        <f>SUMIF(月間集計シート!$M$50:$M$69,$G1669,月間集計シート!S$50:S$69)*V$2</f>
        <v>0</v>
      </c>
      <c r="W1669" s="88">
        <f>SUMIF(月間集計シート!$M$50:$M$69,$G1669,月間集計シート!T$50:T$69)*W$2</f>
        <v>0</v>
      </c>
      <c r="X1669" s="88">
        <f>SUMIF(月間集計シート!$M$71:$M$90,$G1669,月間集計シート!N$71:N$90)*X$2</f>
        <v>0</v>
      </c>
      <c r="Y1669" s="88">
        <f>SUMIF(月間集計シート!$M$71:$M$90,$G1669,月間集計シート!O$71:O$90)*Y$2</f>
        <v>0</v>
      </c>
      <c r="Z1669" s="88">
        <f>SUMIF(月間集計シート!$M$71:$M$90,$G1669,月間集計シート!P$71:P$90)*Z$2</f>
        <v>0</v>
      </c>
      <c r="AA1669" s="88">
        <f>SUMIF(月間集計シート!$M$71:$M$90,$G1669,月間集計シート!Q$71:Q$90)*AA$2</f>
        <v>0</v>
      </c>
      <c r="AB1669" s="88">
        <f>SUMIF(月間集計シート!$M$71:$M$90,$G1669,月間集計シート!R$71:R$90)*AB$2</f>
        <v>0</v>
      </c>
      <c r="AC1669" s="88">
        <f>SUMIF(月間集計シート!$M$71:$M$90,$G1669,月間集計シート!S$71:S$90)*AC$2</f>
        <v>0</v>
      </c>
      <c r="AD1669" s="88">
        <f>SUMIF(月間集計シート!$M$71:$M$90,$G1669,月間集計シート!T$71:T$90)*AD$2</f>
        <v>0</v>
      </c>
      <c r="AE1669" s="88">
        <f>SUMIF(月間集計シート!$M$92:$M$111,$G1669,月間集計シート!N$92:N$111)*AE$2</f>
        <v>0</v>
      </c>
      <c r="AF1669" s="88">
        <f>SUMIF(月間集計シート!$M$92:$M$111,$G1669,月間集計シート!O$92:O$111)*AF$2</f>
        <v>0</v>
      </c>
      <c r="AG1669" s="88">
        <f>SUMIF(月間集計シート!$M$92:$M$111,$G1669,月間集計シート!P$92:P$111)*AG$2</f>
        <v>0</v>
      </c>
      <c r="AH1669" s="88">
        <f>SUMIF(月間集計シート!$M$92:$M$111,$G1669,月間集計シート!Q$92:Q$111)*AH$2</f>
        <v>0</v>
      </c>
      <c r="AI1669" s="88">
        <f>SUMIF(月間集計シート!$M$92:$M$111,$G1669,月間集計シート!R$92:R$111)*AI$2</f>
        <v>0</v>
      </c>
      <c r="AJ1669" s="88">
        <f>SUMIF(月間集計シート!$M$92:$M$111,$G1669,月間集計シート!S$92:S$111)*AJ$2</f>
        <v>0</v>
      </c>
      <c r="AK1669" s="88">
        <f>SUMIF(月間集計シート!$M$92:$M$111,$G1669,月間集計シート!T$92:T$111)*AK$2</f>
        <v>0</v>
      </c>
      <c r="AL1669" s="88">
        <f>SUMIF(月間集計シート!$M$113:$M$132,$G1669,月間集計シート!N$113:N$132)*AL$2</f>
        <v>0</v>
      </c>
      <c r="AM1669" s="88">
        <f>SUMIF(月間集計シート!$M$113:$M$132,$G1669,月間集計シート!O$113:O$132)*AM$2</f>
        <v>0</v>
      </c>
      <c r="AN1669" s="88">
        <f>SUMIF(月間集計シート!$M$113:$M$132,$G1669,月間集計シート!P$113:P$132)*AN$2</f>
        <v>0</v>
      </c>
      <c r="AO1669" s="88">
        <f>SUMIF(月間集計シート!$M$113:$M$132,$G1669,月間集計シート!Q$113:Q$132)*AO$2</f>
        <v>0</v>
      </c>
      <c r="AP1669" s="88">
        <f>SUMIF(月間集計シート!$M$113:$M$132,$G1669,月間集計シート!R$113:R$132)*AP$2</f>
        <v>0</v>
      </c>
      <c r="AQ1669" s="88">
        <f>SUMIF(月間集計シート!$M$113:$M$132,$G1669,月間集計シート!S$113:S$132)*AQ$2</f>
        <v>0</v>
      </c>
      <c r="AR1669" s="88">
        <f>SUMIF(月間集計シート!$M$113:$M$132,$G1669,月間集計シート!T$113:T$132)*AR$2</f>
        <v>0</v>
      </c>
      <c r="AS1669" s="88">
        <f>SUMIF(月間集計シート!$M$134:$M$153,$G1669,月間集計シート!N$134:N$153)*AS$2</f>
        <v>0</v>
      </c>
      <c r="AT1669" s="88">
        <f>SUMIF(月間集計シート!$M$134:$M$153,$G1669,月間集計シート!O$134:O$153)*AT$2</f>
        <v>0</v>
      </c>
      <c r="AU1669" s="88">
        <f>SUMIF(月間集計シート!$M$134:$M$153,$G1669,月間集計シート!P$134:P$153)*AU$2</f>
        <v>0</v>
      </c>
      <c r="AV1669" s="88">
        <f>SUMIF(月間集計シート!$M$134:$M$153,$G1669,月間集計シート!Q$134:Q$153)*AV$2</f>
        <v>0</v>
      </c>
      <c r="AW1669" s="88">
        <f>SUMIF(月間集計シート!$M$134:$M$153,$G1669,月間集計シート!R$134:R$153)*AW$2</f>
        <v>0</v>
      </c>
      <c r="AX1669" s="88">
        <f>SUMIF(月間集計シート!$M$134:$M$153,$G1669,月間集計シート!S$134:S$153)*AX$2</f>
        <v>0</v>
      </c>
      <c r="AY1669" s="88">
        <f>SUMIF(月間集計シート!$M$134:$M$153,$G1669,月間集計シート!T$134:T$153)*AY$2</f>
        <v>0</v>
      </c>
    </row>
    <row r="1670" spans="1:51" ht="14.25" thickBot="1">
      <c r="A1670">
        <v>20</v>
      </c>
      <c r="B1670" s="120">
        <f t="shared" si="941"/>
        <v>0</v>
      </c>
      <c r="C1670" s="120" t="str">
        <f t="shared" si="942"/>
        <v/>
      </c>
      <c r="D1670" s="137"/>
      <c r="E1670" s="150" t="str">
        <f>工種!A47</f>
        <v>60107</v>
      </c>
      <c r="F1670" s="119" t="str">
        <f>工種!B47</f>
        <v>ﾘﾘｰｽ：打合せ</v>
      </c>
      <c r="G1670" s="116" t="str">
        <f t="shared" si="943"/>
        <v>060107</v>
      </c>
      <c r="H1670" s="88">
        <f t="shared" si="897"/>
        <v>0</v>
      </c>
      <c r="I1670" s="132"/>
      <c r="J1670" s="88">
        <f>SUMIF(月間集計シート!$M$29:$M$48,$G1670,月間集計シート!N$29:N$48)*J$2</f>
        <v>0</v>
      </c>
      <c r="K1670" s="88">
        <f>SUMIF(月間集計シート!$M$29:$M$48,$G1670,月間集計シート!O$29:O$48)*K$2</f>
        <v>0</v>
      </c>
      <c r="L1670" s="88">
        <f>SUMIF(月間集計シート!$M$29:$M$48,$G1670,月間集計シート!P$29:P$48)*L$2</f>
        <v>0</v>
      </c>
      <c r="M1670" s="88">
        <f>SUMIF(月間集計シート!$M$29:$M$48,$G1670,月間集計シート!Q$29:Q$48)*M$2</f>
        <v>0</v>
      </c>
      <c r="N1670" s="88">
        <f>SUMIF(月間集計シート!$M$29:$M$48,$G1670,月間集計シート!R$29:R$48)*N$2</f>
        <v>0</v>
      </c>
      <c r="O1670" s="88">
        <f>SUMIF(月間集計シート!$M$29:$M$48,$G1670,月間集計シート!S$29:S$48)*O$2</f>
        <v>0</v>
      </c>
      <c r="P1670" s="88">
        <f>SUMIF(月間集計シート!$M$29:$M$48,$G1670,月間集計シート!T$29:T$48)*P$2</f>
        <v>0</v>
      </c>
      <c r="Q1670" s="88">
        <f>SUMIF(月間集計シート!$M$50:$M$69,$G1670,月間集計シート!N$50:N$69)*Q$2</f>
        <v>0</v>
      </c>
      <c r="R1670" s="88">
        <f>SUMIF(月間集計シート!$M$50:$M$69,$G1670,月間集計シート!O$50:O$69)*R$2</f>
        <v>0</v>
      </c>
      <c r="S1670" s="88">
        <f>SUMIF(月間集計シート!$M$50:$M$69,$G1670,月間集計シート!P$50:P$69)*S$2</f>
        <v>0</v>
      </c>
      <c r="T1670" s="88">
        <f>SUMIF(月間集計シート!$M$50:$M$69,$G1670,月間集計シート!Q$50:Q$69)*T$2</f>
        <v>0</v>
      </c>
      <c r="U1670" s="88">
        <f>SUMIF(月間集計シート!$M$50:$M$69,$G1670,月間集計シート!R$50:R$69)*U$2</f>
        <v>0</v>
      </c>
      <c r="V1670" s="88">
        <f>SUMIF(月間集計シート!$M$50:$M$69,$G1670,月間集計シート!S$50:S$69)*V$2</f>
        <v>0</v>
      </c>
      <c r="W1670" s="88">
        <f>SUMIF(月間集計シート!$M$50:$M$69,$G1670,月間集計シート!T$50:T$69)*W$2</f>
        <v>0</v>
      </c>
      <c r="X1670" s="88">
        <f>SUMIF(月間集計シート!$M$71:$M$90,$G1670,月間集計シート!N$71:N$90)*X$2</f>
        <v>0</v>
      </c>
      <c r="Y1670" s="88">
        <f>SUMIF(月間集計シート!$M$71:$M$90,$G1670,月間集計シート!O$71:O$90)*Y$2</f>
        <v>0</v>
      </c>
      <c r="Z1670" s="88">
        <f>SUMIF(月間集計シート!$M$71:$M$90,$G1670,月間集計シート!P$71:P$90)*Z$2</f>
        <v>0</v>
      </c>
      <c r="AA1670" s="88">
        <f>SUMIF(月間集計シート!$M$71:$M$90,$G1670,月間集計シート!Q$71:Q$90)*AA$2</f>
        <v>0</v>
      </c>
      <c r="AB1670" s="88">
        <f>SUMIF(月間集計シート!$M$71:$M$90,$G1670,月間集計シート!R$71:R$90)*AB$2</f>
        <v>0</v>
      </c>
      <c r="AC1670" s="88">
        <f>SUMIF(月間集計シート!$M$71:$M$90,$G1670,月間集計シート!S$71:S$90)*AC$2</f>
        <v>0</v>
      </c>
      <c r="AD1670" s="88">
        <f>SUMIF(月間集計シート!$M$71:$M$90,$G1670,月間集計シート!T$71:T$90)*AD$2</f>
        <v>0</v>
      </c>
      <c r="AE1670" s="88">
        <f>SUMIF(月間集計シート!$M$92:$M$111,$G1670,月間集計シート!N$92:N$111)*AE$2</f>
        <v>0</v>
      </c>
      <c r="AF1670" s="88">
        <f>SUMIF(月間集計シート!$M$92:$M$111,$G1670,月間集計シート!O$92:O$111)*AF$2</f>
        <v>0</v>
      </c>
      <c r="AG1670" s="88">
        <f>SUMIF(月間集計シート!$M$92:$M$111,$G1670,月間集計シート!P$92:P$111)*AG$2</f>
        <v>0</v>
      </c>
      <c r="AH1670" s="88">
        <f>SUMIF(月間集計シート!$M$92:$M$111,$G1670,月間集計シート!Q$92:Q$111)*AH$2</f>
        <v>0</v>
      </c>
      <c r="AI1670" s="88">
        <f>SUMIF(月間集計シート!$M$92:$M$111,$G1670,月間集計シート!R$92:R$111)*AI$2</f>
        <v>0</v>
      </c>
      <c r="AJ1670" s="88">
        <f>SUMIF(月間集計シート!$M$92:$M$111,$G1670,月間集計シート!S$92:S$111)*AJ$2</f>
        <v>0</v>
      </c>
      <c r="AK1670" s="88">
        <f>SUMIF(月間集計シート!$M$92:$M$111,$G1670,月間集計シート!T$92:T$111)*AK$2</f>
        <v>0</v>
      </c>
      <c r="AL1670" s="88">
        <f>SUMIF(月間集計シート!$M$113:$M$132,$G1670,月間集計シート!N$113:N$132)*AL$2</f>
        <v>0</v>
      </c>
      <c r="AM1670" s="88">
        <f>SUMIF(月間集計シート!$M$113:$M$132,$G1670,月間集計シート!O$113:O$132)*AM$2</f>
        <v>0</v>
      </c>
      <c r="AN1670" s="88">
        <f>SUMIF(月間集計シート!$M$113:$M$132,$G1670,月間集計シート!P$113:P$132)*AN$2</f>
        <v>0</v>
      </c>
      <c r="AO1670" s="88">
        <f>SUMIF(月間集計シート!$M$113:$M$132,$G1670,月間集計シート!Q$113:Q$132)*AO$2</f>
        <v>0</v>
      </c>
      <c r="AP1670" s="88">
        <f>SUMIF(月間集計シート!$M$113:$M$132,$G1670,月間集計シート!R$113:R$132)*AP$2</f>
        <v>0</v>
      </c>
      <c r="AQ1670" s="88">
        <f>SUMIF(月間集計シート!$M$113:$M$132,$G1670,月間集計シート!S$113:S$132)*AQ$2</f>
        <v>0</v>
      </c>
      <c r="AR1670" s="88">
        <f>SUMIF(月間集計シート!$M$113:$M$132,$G1670,月間集計シート!T$113:T$132)*AR$2</f>
        <v>0</v>
      </c>
      <c r="AS1670" s="88">
        <f>SUMIF(月間集計シート!$M$134:$M$153,$G1670,月間集計シート!N$134:N$153)*AS$2</f>
        <v>0</v>
      </c>
      <c r="AT1670" s="88">
        <f>SUMIF(月間集計シート!$M$134:$M$153,$G1670,月間集計シート!O$134:O$153)*AT$2</f>
        <v>0</v>
      </c>
      <c r="AU1670" s="88">
        <f>SUMIF(月間集計シート!$M$134:$M$153,$G1670,月間集計シート!P$134:P$153)*AU$2</f>
        <v>0</v>
      </c>
      <c r="AV1670" s="88">
        <f>SUMIF(月間集計シート!$M$134:$M$153,$G1670,月間集計シート!Q$134:Q$153)*AV$2</f>
        <v>0</v>
      </c>
      <c r="AW1670" s="88">
        <f>SUMIF(月間集計シート!$M$134:$M$153,$G1670,月間集計シート!R$134:R$153)*AW$2</f>
        <v>0</v>
      </c>
      <c r="AX1670" s="88">
        <f>SUMIF(月間集計シート!$M$134:$M$153,$G1670,月間集計シート!S$134:S$153)*AX$2</f>
        <v>0</v>
      </c>
      <c r="AY1670" s="88">
        <f>SUMIF(月間集計シート!$M$134:$M$153,$G1670,月間集計シート!T$134:T$153)*AY$2</f>
        <v>0</v>
      </c>
    </row>
    <row r="1671" spans="1:51" ht="14.25" thickBot="1">
      <c r="A1671">
        <v>20</v>
      </c>
      <c r="B1671" s="120">
        <f t="shared" si="941"/>
        <v>0</v>
      </c>
      <c r="C1671" s="120" t="str">
        <f t="shared" si="942"/>
        <v/>
      </c>
      <c r="D1671" s="137"/>
      <c r="E1671" s="150" t="str">
        <f>工種!A48</f>
        <v>60108</v>
      </c>
      <c r="F1671" s="119" t="str">
        <f>工種!B48</f>
        <v>ﾘﾘｰｽ：ﾚﾋﾞｭｰ</v>
      </c>
      <c r="G1671" s="116" t="str">
        <f t="shared" si="943"/>
        <v>060108</v>
      </c>
      <c r="H1671" s="88">
        <f t="shared" si="897"/>
        <v>0</v>
      </c>
      <c r="I1671" s="132"/>
      <c r="J1671" s="88">
        <f>SUMIF(月間集計シート!$M$29:$M$48,$G1671,月間集計シート!N$29:N$48)*J$2</f>
        <v>0</v>
      </c>
      <c r="K1671" s="88">
        <f>SUMIF(月間集計シート!$M$29:$M$48,$G1671,月間集計シート!O$29:O$48)*K$2</f>
        <v>0</v>
      </c>
      <c r="L1671" s="88">
        <f>SUMIF(月間集計シート!$M$29:$M$48,$G1671,月間集計シート!P$29:P$48)*L$2</f>
        <v>0</v>
      </c>
      <c r="M1671" s="88">
        <f>SUMIF(月間集計シート!$M$29:$M$48,$G1671,月間集計シート!Q$29:Q$48)*M$2</f>
        <v>0</v>
      </c>
      <c r="N1671" s="88">
        <f>SUMIF(月間集計シート!$M$29:$M$48,$G1671,月間集計シート!R$29:R$48)*N$2</f>
        <v>0</v>
      </c>
      <c r="O1671" s="88">
        <f>SUMIF(月間集計シート!$M$29:$M$48,$G1671,月間集計シート!S$29:S$48)*O$2</f>
        <v>0</v>
      </c>
      <c r="P1671" s="88">
        <f>SUMIF(月間集計シート!$M$29:$M$48,$G1671,月間集計シート!T$29:T$48)*P$2</f>
        <v>0</v>
      </c>
      <c r="Q1671" s="88">
        <f>SUMIF(月間集計シート!$M$50:$M$69,$G1671,月間集計シート!N$50:N$69)*Q$2</f>
        <v>0</v>
      </c>
      <c r="R1671" s="88">
        <f>SUMIF(月間集計シート!$M$50:$M$69,$G1671,月間集計シート!O$50:O$69)*R$2</f>
        <v>0</v>
      </c>
      <c r="S1671" s="88">
        <f>SUMIF(月間集計シート!$M$50:$M$69,$G1671,月間集計シート!P$50:P$69)*S$2</f>
        <v>0</v>
      </c>
      <c r="T1671" s="88">
        <f>SUMIF(月間集計シート!$M$50:$M$69,$G1671,月間集計シート!Q$50:Q$69)*T$2</f>
        <v>0</v>
      </c>
      <c r="U1671" s="88">
        <f>SUMIF(月間集計シート!$M$50:$M$69,$G1671,月間集計シート!R$50:R$69)*U$2</f>
        <v>0</v>
      </c>
      <c r="V1671" s="88">
        <f>SUMIF(月間集計シート!$M$50:$M$69,$G1671,月間集計シート!S$50:S$69)*V$2</f>
        <v>0</v>
      </c>
      <c r="W1671" s="88">
        <f>SUMIF(月間集計シート!$M$50:$M$69,$G1671,月間集計シート!T$50:T$69)*W$2</f>
        <v>0</v>
      </c>
      <c r="X1671" s="88">
        <f>SUMIF(月間集計シート!$M$71:$M$90,$G1671,月間集計シート!N$71:N$90)*X$2</f>
        <v>0</v>
      </c>
      <c r="Y1671" s="88">
        <f>SUMIF(月間集計シート!$M$71:$M$90,$G1671,月間集計シート!O$71:O$90)*Y$2</f>
        <v>0</v>
      </c>
      <c r="Z1671" s="88">
        <f>SUMIF(月間集計シート!$M$71:$M$90,$G1671,月間集計シート!P$71:P$90)*Z$2</f>
        <v>0</v>
      </c>
      <c r="AA1671" s="88">
        <f>SUMIF(月間集計シート!$M$71:$M$90,$G1671,月間集計シート!Q$71:Q$90)*AA$2</f>
        <v>0</v>
      </c>
      <c r="AB1671" s="88">
        <f>SUMIF(月間集計シート!$M$71:$M$90,$G1671,月間集計シート!R$71:R$90)*AB$2</f>
        <v>0</v>
      </c>
      <c r="AC1671" s="88">
        <f>SUMIF(月間集計シート!$M$71:$M$90,$G1671,月間集計シート!S$71:S$90)*AC$2</f>
        <v>0</v>
      </c>
      <c r="AD1671" s="88">
        <f>SUMIF(月間集計シート!$M$71:$M$90,$G1671,月間集計シート!T$71:T$90)*AD$2</f>
        <v>0</v>
      </c>
      <c r="AE1671" s="88">
        <f>SUMIF(月間集計シート!$M$92:$M$111,$G1671,月間集計シート!N$92:N$111)*AE$2</f>
        <v>0</v>
      </c>
      <c r="AF1671" s="88">
        <f>SUMIF(月間集計シート!$M$92:$M$111,$G1671,月間集計シート!O$92:O$111)*AF$2</f>
        <v>0</v>
      </c>
      <c r="AG1671" s="88">
        <f>SUMIF(月間集計シート!$M$92:$M$111,$G1671,月間集計シート!P$92:P$111)*AG$2</f>
        <v>0</v>
      </c>
      <c r="AH1671" s="88">
        <f>SUMIF(月間集計シート!$M$92:$M$111,$G1671,月間集計シート!Q$92:Q$111)*AH$2</f>
        <v>0</v>
      </c>
      <c r="AI1671" s="88">
        <f>SUMIF(月間集計シート!$M$92:$M$111,$G1671,月間集計シート!R$92:R$111)*AI$2</f>
        <v>0</v>
      </c>
      <c r="AJ1671" s="88">
        <f>SUMIF(月間集計シート!$M$92:$M$111,$G1671,月間集計シート!S$92:S$111)*AJ$2</f>
        <v>0</v>
      </c>
      <c r="AK1671" s="88">
        <f>SUMIF(月間集計シート!$M$92:$M$111,$G1671,月間集計シート!T$92:T$111)*AK$2</f>
        <v>0</v>
      </c>
      <c r="AL1671" s="88">
        <f>SUMIF(月間集計シート!$M$113:$M$132,$G1671,月間集計シート!N$113:N$132)*AL$2</f>
        <v>0</v>
      </c>
      <c r="AM1671" s="88">
        <f>SUMIF(月間集計シート!$M$113:$M$132,$G1671,月間集計シート!O$113:O$132)*AM$2</f>
        <v>0</v>
      </c>
      <c r="AN1671" s="88">
        <f>SUMIF(月間集計シート!$M$113:$M$132,$G1671,月間集計シート!P$113:P$132)*AN$2</f>
        <v>0</v>
      </c>
      <c r="AO1671" s="88">
        <f>SUMIF(月間集計シート!$M$113:$M$132,$G1671,月間集計シート!Q$113:Q$132)*AO$2</f>
        <v>0</v>
      </c>
      <c r="AP1671" s="88">
        <f>SUMIF(月間集計シート!$M$113:$M$132,$G1671,月間集計シート!R$113:R$132)*AP$2</f>
        <v>0</v>
      </c>
      <c r="AQ1671" s="88">
        <f>SUMIF(月間集計シート!$M$113:$M$132,$G1671,月間集計シート!S$113:S$132)*AQ$2</f>
        <v>0</v>
      </c>
      <c r="AR1671" s="88">
        <f>SUMIF(月間集計シート!$M$113:$M$132,$G1671,月間集計シート!T$113:T$132)*AR$2</f>
        <v>0</v>
      </c>
      <c r="AS1671" s="88">
        <f>SUMIF(月間集計シート!$M$134:$M$153,$G1671,月間集計シート!N$134:N$153)*AS$2</f>
        <v>0</v>
      </c>
      <c r="AT1671" s="88">
        <f>SUMIF(月間集計シート!$M$134:$M$153,$G1671,月間集計シート!O$134:O$153)*AT$2</f>
        <v>0</v>
      </c>
      <c r="AU1671" s="88">
        <f>SUMIF(月間集計シート!$M$134:$M$153,$G1671,月間集計シート!P$134:P$153)*AU$2</f>
        <v>0</v>
      </c>
      <c r="AV1671" s="88">
        <f>SUMIF(月間集計シート!$M$134:$M$153,$G1671,月間集計シート!Q$134:Q$153)*AV$2</f>
        <v>0</v>
      </c>
      <c r="AW1671" s="88">
        <f>SUMIF(月間集計シート!$M$134:$M$153,$G1671,月間集計シート!R$134:R$153)*AW$2</f>
        <v>0</v>
      </c>
      <c r="AX1671" s="88">
        <f>SUMIF(月間集計シート!$M$134:$M$153,$G1671,月間集計シート!S$134:S$153)*AX$2</f>
        <v>0</v>
      </c>
      <c r="AY1671" s="88">
        <f>SUMIF(月間集計シート!$M$134:$M$153,$G1671,月間集計シート!T$134:T$153)*AY$2</f>
        <v>0</v>
      </c>
    </row>
    <row r="1672" spans="1:51" ht="14.25" thickBot="1">
      <c r="A1672">
        <v>20</v>
      </c>
      <c r="B1672" s="120">
        <f t="shared" si="941"/>
        <v>0</v>
      </c>
      <c r="C1672" s="120" t="str">
        <f t="shared" si="942"/>
        <v/>
      </c>
      <c r="D1672" s="137"/>
      <c r="E1672" s="150" t="str">
        <f>工種!A49</f>
        <v>60199</v>
      </c>
      <c r="F1672" s="119" t="str">
        <f>工種!B49</f>
        <v>ﾘﾘｰｽ：その他</v>
      </c>
      <c r="G1672" s="116" t="str">
        <f t="shared" si="943"/>
        <v>060199</v>
      </c>
      <c r="H1672" s="88">
        <f t="shared" si="897"/>
        <v>0</v>
      </c>
      <c r="I1672" s="132"/>
      <c r="J1672" s="88">
        <f>SUMIF(月間集計シート!$M$29:$M$48,$G1672,月間集計シート!N$29:N$48)*J$2</f>
        <v>0</v>
      </c>
      <c r="K1672" s="88">
        <f>SUMIF(月間集計シート!$M$29:$M$48,$G1672,月間集計シート!O$29:O$48)*K$2</f>
        <v>0</v>
      </c>
      <c r="L1672" s="88">
        <f>SUMIF(月間集計シート!$M$29:$M$48,$G1672,月間集計シート!P$29:P$48)*L$2</f>
        <v>0</v>
      </c>
      <c r="M1672" s="88">
        <f>SUMIF(月間集計シート!$M$29:$M$48,$G1672,月間集計シート!Q$29:Q$48)*M$2</f>
        <v>0</v>
      </c>
      <c r="N1672" s="88">
        <f>SUMIF(月間集計シート!$M$29:$M$48,$G1672,月間集計シート!R$29:R$48)*N$2</f>
        <v>0</v>
      </c>
      <c r="O1672" s="88">
        <f>SUMIF(月間集計シート!$M$29:$M$48,$G1672,月間集計シート!S$29:S$48)*O$2</f>
        <v>0</v>
      </c>
      <c r="P1672" s="88">
        <f>SUMIF(月間集計シート!$M$29:$M$48,$G1672,月間集計シート!T$29:T$48)*P$2</f>
        <v>0</v>
      </c>
      <c r="Q1672" s="88">
        <f>SUMIF(月間集計シート!$M$50:$M$69,$G1672,月間集計シート!N$50:N$69)*Q$2</f>
        <v>0</v>
      </c>
      <c r="R1672" s="88">
        <f>SUMIF(月間集計シート!$M$50:$M$69,$G1672,月間集計シート!O$50:O$69)*R$2</f>
        <v>0</v>
      </c>
      <c r="S1672" s="88">
        <f>SUMIF(月間集計シート!$M$50:$M$69,$G1672,月間集計シート!P$50:P$69)*S$2</f>
        <v>0</v>
      </c>
      <c r="T1672" s="88">
        <f>SUMIF(月間集計シート!$M$50:$M$69,$G1672,月間集計シート!Q$50:Q$69)*T$2</f>
        <v>0</v>
      </c>
      <c r="U1672" s="88">
        <f>SUMIF(月間集計シート!$M$50:$M$69,$G1672,月間集計シート!R$50:R$69)*U$2</f>
        <v>0</v>
      </c>
      <c r="V1672" s="88">
        <f>SUMIF(月間集計シート!$M$50:$M$69,$G1672,月間集計シート!S$50:S$69)*V$2</f>
        <v>0</v>
      </c>
      <c r="W1672" s="88">
        <f>SUMIF(月間集計シート!$M$50:$M$69,$G1672,月間集計シート!T$50:T$69)*W$2</f>
        <v>0</v>
      </c>
      <c r="X1672" s="88">
        <f>SUMIF(月間集計シート!$M$71:$M$90,$G1672,月間集計シート!N$71:N$90)*X$2</f>
        <v>0</v>
      </c>
      <c r="Y1672" s="88">
        <f>SUMIF(月間集計シート!$M$71:$M$90,$G1672,月間集計シート!O$71:O$90)*Y$2</f>
        <v>0</v>
      </c>
      <c r="Z1672" s="88">
        <f>SUMIF(月間集計シート!$M$71:$M$90,$G1672,月間集計シート!P$71:P$90)*Z$2</f>
        <v>0</v>
      </c>
      <c r="AA1672" s="88">
        <f>SUMIF(月間集計シート!$M$71:$M$90,$G1672,月間集計シート!Q$71:Q$90)*AA$2</f>
        <v>0</v>
      </c>
      <c r="AB1672" s="88">
        <f>SUMIF(月間集計シート!$M$71:$M$90,$G1672,月間集計シート!R$71:R$90)*AB$2</f>
        <v>0</v>
      </c>
      <c r="AC1672" s="88">
        <f>SUMIF(月間集計シート!$M$71:$M$90,$G1672,月間集計シート!S$71:S$90)*AC$2</f>
        <v>0</v>
      </c>
      <c r="AD1672" s="88">
        <f>SUMIF(月間集計シート!$M$71:$M$90,$G1672,月間集計シート!T$71:T$90)*AD$2</f>
        <v>0</v>
      </c>
      <c r="AE1672" s="88">
        <f>SUMIF(月間集計シート!$M$92:$M$111,$G1672,月間集計シート!N$92:N$111)*AE$2</f>
        <v>0</v>
      </c>
      <c r="AF1672" s="88">
        <f>SUMIF(月間集計シート!$M$92:$M$111,$G1672,月間集計シート!O$92:O$111)*AF$2</f>
        <v>0</v>
      </c>
      <c r="AG1672" s="88">
        <f>SUMIF(月間集計シート!$M$92:$M$111,$G1672,月間集計シート!P$92:P$111)*AG$2</f>
        <v>0</v>
      </c>
      <c r="AH1672" s="88">
        <f>SUMIF(月間集計シート!$M$92:$M$111,$G1672,月間集計シート!Q$92:Q$111)*AH$2</f>
        <v>0</v>
      </c>
      <c r="AI1672" s="88">
        <f>SUMIF(月間集計シート!$M$92:$M$111,$G1672,月間集計シート!R$92:R$111)*AI$2</f>
        <v>0</v>
      </c>
      <c r="AJ1672" s="88">
        <f>SUMIF(月間集計シート!$M$92:$M$111,$G1672,月間集計シート!S$92:S$111)*AJ$2</f>
        <v>0</v>
      </c>
      <c r="AK1672" s="88">
        <f>SUMIF(月間集計シート!$M$92:$M$111,$G1672,月間集計シート!T$92:T$111)*AK$2</f>
        <v>0</v>
      </c>
      <c r="AL1672" s="88">
        <f>SUMIF(月間集計シート!$M$113:$M$132,$G1672,月間集計シート!N$113:N$132)*AL$2</f>
        <v>0</v>
      </c>
      <c r="AM1672" s="88">
        <f>SUMIF(月間集計シート!$M$113:$M$132,$G1672,月間集計シート!O$113:O$132)*AM$2</f>
        <v>0</v>
      </c>
      <c r="AN1672" s="88">
        <f>SUMIF(月間集計シート!$M$113:$M$132,$G1672,月間集計シート!P$113:P$132)*AN$2</f>
        <v>0</v>
      </c>
      <c r="AO1672" s="88">
        <f>SUMIF(月間集計シート!$M$113:$M$132,$G1672,月間集計シート!Q$113:Q$132)*AO$2</f>
        <v>0</v>
      </c>
      <c r="AP1672" s="88">
        <f>SUMIF(月間集計シート!$M$113:$M$132,$G1672,月間集計シート!R$113:R$132)*AP$2</f>
        <v>0</v>
      </c>
      <c r="AQ1672" s="88">
        <f>SUMIF(月間集計シート!$M$113:$M$132,$G1672,月間集計シート!S$113:S$132)*AQ$2</f>
        <v>0</v>
      </c>
      <c r="AR1672" s="88">
        <f>SUMIF(月間集計シート!$M$113:$M$132,$G1672,月間集計シート!T$113:T$132)*AR$2</f>
        <v>0</v>
      </c>
      <c r="AS1672" s="88">
        <f>SUMIF(月間集計シート!$M$134:$M$153,$G1672,月間集計シート!N$134:N$153)*AS$2</f>
        <v>0</v>
      </c>
      <c r="AT1672" s="88">
        <f>SUMIF(月間集計シート!$M$134:$M$153,$G1672,月間集計シート!O$134:O$153)*AT$2</f>
        <v>0</v>
      </c>
      <c r="AU1672" s="88">
        <f>SUMIF(月間集計シート!$M$134:$M$153,$G1672,月間集計シート!P$134:P$153)*AU$2</f>
        <v>0</v>
      </c>
      <c r="AV1672" s="88">
        <f>SUMIF(月間集計シート!$M$134:$M$153,$G1672,月間集計シート!Q$134:Q$153)*AV$2</f>
        <v>0</v>
      </c>
      <c r="AW1672" s="88">
        <f>SUMIF(月間集計シート!$M$134:$M$153,$G1672,月間集計シート!R$134:R$153)*AW$2</f>
        <v>0</v>
      </c>
      <c r="AX1672" s="88">
        <f>SUMIF(月間集計シート!$M$134:$M$153,$G1672,月間集計シート!S$134:S$153)*AX$2</f>
        <v>0</v>
      </c>
      <c r="AY1672" s="88">
        <f>SUMIF(月間集計シート!$M$134:$M$153,$G1672,月間集計シート!T$134:T$153)*AY$2</f>
        <v>0</v>
      </c>
    </row>
    <row r="1673" spans="1:51" ht="14.25" thickBot="1">
      <c r="A1673">
        <v>20</v>
      </c>
      <c r="B1673" s="120">
        <f t="shared" si="941"/>
        <v>0</v>
      </c>
      <c r="C1673" s="120" t="str">
        <f t="shared" si="942"/>
        <v/>
      </c>
      <c r="D1673" s="137"/>
      <c r="E1673" s="150">
        <f>工種!A50</f>
        <v>70101</v>
      </c>
      <c r="F1673" s="119" t="str">
        <f>工種!B50</f>
        <v>外部不具合修正：調査・設計</v>
      </c>
      <c r="G1673" s="116" t="str">
        <f t="shared" si="943"/>
        <v>070101</v>
      </c>
      <c r="H1673" s="88">
        <f t="shared" si="897"/>
        <v>0</v>
      </c>
      <c r="I1673" s="132"/>
      <c r="J1673" s="88">
        <f>SUMIF(月間集計シート!$M$29:$M$48,$G1673,月間集計シート!N$29:N$48)*J$2</f>
        <v>0</v>
      </c>
      <c r="K1673" s="88">
        <f>SUMIF(月間集計シート!$M$29:$M$48,$G1673,月間集計シート!O$29:O$48)*K$2</f>
        <v>0</v>
      </c>
      <c r="L1673" s="88">
        <f>SUMIF(月間集計シート!$M$29:$M$48,$G1673,月間集計シート!P$29:P$48)*L$2</f>
        <v>0</v>
      </c>
      <c r="M1673" s="88">
        <f>SUMIF(月間集計シート!$M$29:$M$48,$G1673,月間集計シート!Q$29:Q$48)*M$2</f>
        <v>0</v>
      </c>
      <c r="N1673" s="88">
        <f>SUMIF(月間集計シート!$M$29:$M$48,$G1673,月間集計シート!R$29:R$48)*N$2</f>
        <v>0</v>
      </c>
      <c r="O1673" s="88">
        <f>SUMIF(月間集計シート!$M$29:$M$48,$G1673,月間集計シート!S$29:S$48)*O$2</f>
        <v>0</v>
      </c>
      <c r="P1673" s="88">
        <f>SUMIF(月間集計シート!$M$29:$M$48,$G1673,月間集計シート!T$29:T$48)*P$2</f>
        <v>0</v>
      </c>
      <c r="Q1673" s="88">
        <f>SUMIF(月間集計シート!$M$50:$M$69,$G1673,月間集計シート!N$50:N$69)*Q$2</f>
        <v>0</v>
      </c>
      <c r="R1673" s="88">
        <f>SUMIF(月間集計シート!$M$50:$M$69,$G1673,月間集計シート!O$50:O$69)*R$2</f>
        <v>0</v>
      </c>
      <c r="S1673" s="88">
        <f>SUMIF(月間集計シート!$M$50:$M$69,$G1673,月間集計シート!P$50:P$69)*S$2</f>
        <v>0</v>
      </c>
      <c r="T1673" s="88">
        <f>SUMIF(月間集計シート!$M$50:$M$69,$G1673,月間集計シート!Q$50:Q$69)*T$2</f>
        <v>0</v>
      </c>
      <c r="U1673" s="88">
        <f>SUMIF(月間集計シート!$M$50:$M$69,$G1673,月間集計シート!R$50:R$69)*U$2</f>
        <v>0</v>
      </c>
      <c r="V1673" s="88">
        <f>SUMIF(月間集計シート!$M$50:$M$69,$G1673,月間集計シート!S$50:S$69)*V$2</f>
        <v>0</v>
      </c>
      <c r="W1673" s="88">
        <f>SUMIF(月間集計シート!$M$50:$M$69,$G1673,月間集計シート!T$50:T$69)*W$2</f>
        <v>0</v>
      </c>
      <c r="X1673" s="88">
        <f>SUMIF(月間集計シート!$M$71:$M$90,$G1673,月間集計シート!N$71:N$90)*X$2</f>
        <v>0</v>
      </c>
      <c r="Y1673" s="88">
        <f>SUMIF(月間集計シート!$M$71:$M$90,$G1673,月間集計シート!O$71:O$90)*Y$2</f>
        <v>0</v>
      </c>
      <c r="Z1673" s="88">
        <f>SUMIF(月間集計シート!$M$71:$M$90,$G1673,月間集計シート!P$71:P$90)*Z$2</f>
        <v>0</v>
      </c>
      <c r="AA1673" s="88">
        <f>SUMIF(月間集計シート!$M$71:$M$90,$G1673,月間集計シート!Q$71:Q$90)*AA$2</f>
        <v>0</v>
      </c>
      <c r="AB1673" s="88">
        <f>SUMIF(月間集計シート!$M$71:$M$90,$G1673,月間集計シート!R$71:R$90)*AB$2</f>
        <v>0</v>
      </c>
      <c r="AC1673" s="88">
        <f>SUMIF(月間集計シート!$M$71:$M$90,$G1673,月間集計シート!S$71:S$90)*AC$2</f>
        <v>0</v>
      </c>
      <c r="AD1673" s="88">
        <f>SUMIF(月間集計シート!$M$71:$M$90,$G1673,月間集計シート!T$71:T$90)*AD$2</f>
        <v>0</v>
      </c>
      <c r="AE1673" s="88">
        <f>SUMIF(月間集計シート!$M$92:$M$111,$G1673,月間集計シート!N$92:N$111)*AE$2</f>
        <v>0</v>
      </c>
      <c r="AF1673" s="88">
        <f>SUMIF(月間集計シート!$M$92:$M$111,$G1673,月間集計シート!O$92:O$111)*AF$2</f>
        <v>0</v>
      </c>
      <c r="AG1673" s="88">
        <f>SUMIF(月間集計シート!$M$92:$M$111,$G1673,月間集計シート!P$92:P$111)*AG$2</f>
        <v>0</v>
      </c>
      <c r="AH1673" s="88">
        <f>SUMIF(月間集計シート!$M$92:$M$111,$G1673,月間集計シート!Q$92:Q$111)*AH$2</f>
        <v>0</v>
      </c>
      <c r="AI1673" s="88">
        <f>SUMIF(月間集計シート!$M$92:$M$111,$G1673,月間集計シート!R$92:R$111)*AI$2</f>
        <v>0</v>
      </c>
      <c r="AJ1673" s="88">
        <f>SUMIF(月間集計シート!$M$92:$M$111,$G1673,月間集計シート!S$92:S$111)*AJ$2</f>
        <v>0</v>
      </c>
      <c r="AK1673" s="88">
        <f>SUMIF(月間集計シート!$M$92:$M$111,$G1673,月間集計シート!T$92:T$111)*AK$2</f>
        <v>0</v>
      </c>
      <c r="AL1673" s="88">
        <f>SUMIF(月間集計シート!$M$113:$M$132,$G1673,月間集計シート!N$113:N$132)*AL$2</f>
        <v>0</v>
      </c>
      <c r="AM1673" s="88">
        <f>SUMIF(月間集計シート!$M$113:$M$132,$G1673,月間集計シート!O$113:O$132)*AM$2</f>
        <v>0</v>
      </c>
      <c r="AN1673" s="88">
        <f>SUMIF(月間集計シート!$M$113:$M$132,$G1673,月間集計シート!P$113:P$132)*AN$2</f>
        <v>0</v>
      </c>
      <c r="AO1673" s="88">
        <f>SUMIF(月間集計シート!$M$113:$M$132,$G1673,月間集計シート!Q$113:Q$132)*AO$2</f>
        <v>0</v>
      </c>
      <c r="AP1673" s="88">
        <f>SUMIF(月間集計シート!$M$113:$M$132,$G1673,月間集計シート!R$113:R$132)*AP$2</f>
        <v>0</v>
      </c>
      <c r="AQ1673" s="88">
        <f>SUMIF(月間集計シート!$M$113:$M$132,$G1673,月間集計シート!S$113:S$132)*AQ$2</f>
        <v>0</v>
      </c>
      <c r="AR1673" s="88">
        <f>SUMIF(月間集計シート!$M$113:$M$132,$G1673,月間集計シート!T$113:T$132)*AR$2</f>
        <v>0</v>
      </c>
      <c r="AS1673" s="88">
        <f>SUMIF(月間集計シート!$M$134:$M$153,$G1673,月間集計シート!N$134:N$153)*AS$2</f>
        <v>0</v>
      </c>
      <c r="AT1673" s="88">
        <f>SUMIF(月間集計シート!$M$134:$M$153,$G1673,月間集計シート!O$134:O$153)*AT$2</f>
        <v>0</v>
      </c>
      <c r="AU1673" s="88">
        <f>SUMIF(月間集計シート!$M$134:$M$153,$G1673,月間集計シート!P$134:P$153)*AU$2</f>
        <v>0</v>
      </c>
      <c r="AV1673" s="88">
        <f>SUMIF(月間集計シート!$M$134:$M$153,$G1673,月間集計シート!Q$134:Q$153)*AV$2</f>
        <v>0</v>
      </c>
      <c r="AW1673" s="88">
        <f>SUMIF(月間集計シート!$M$134:$M$153,$G1673,月間集計シート!R$134:R$153)*AW$2</f>
        <v>0</v>
      </c>
      <c r="AX1673" s="88">
        <f>SUMIF(月間集計シート!$M$134:$M$153,$G1673,月間集計シート!S$134:S$153)*AX$2</f>
        <v>0</v>
      </c>
      <c r="AY1673" s="88">
        <f>SUMIF(月間集計シート!$M$134:$M$153,$G1673,月間集計シート!T$134:T$153)*AY$2</f>
        <v>0</v>
      </c>
    </row>
    <row r="1674" spans="1:51" ht="14.25" thickBot="1">
      <c r="A1674">
        <v>20</v>
      </c>
      <c r="B1674" s="120">
        <f t="shared" si="941"/>
        <v>0</v>
      </c>
      <c r="C1674" s="120" t="str">
        <f t="shared" si="942"/>
        <v/>
      </c>
      <c r="D1674" s="137"/>
      <c r="E1674" s="150">
        <f>工種!A51</f>
        <v>70102</v>
      </c>
      <c r="F1674" s="119" t="str">
        <f>工種!B51</f>
        <v>外部不具合修正：コーディング</v>
      </c>
      <c r="G1674" s="116" t="str">
        <f t="shared" si="943"/>
        <v>070102</v>
      </c>
      <c r="H1674" s="88">
        <f t="shared" si="897"/>
        <v>0</v>
      </c>
      <c r="I1674" s="132"/>
      <c r="J1674" s="88">
        <f>SUMIF(月間集計シート!$M$29:$M$48,$G1674,月間集計シート!N$29:N$48)*J$2</f>
        <v>0</v>
      </c>
      <c r="K1674" s="88">
        <f>SUMIF(月間集計シート!$M$29:$M$48,$G1674,月間集計シート!O$29:O$48)*K$2</f>
        <v>0</v>
      </c>
      <c r="L1674" s="88">
        <f>SUMIF(月間集計シート!$M$29:$M$48,$G1674,月間集計シート!P$29:P$48)*L$2</f>
        <v>0</v>
      </c>
      <c r="M1674" s="88">
        <f>SUMIF(月間集計シート!$M$29:$M$48,$G1674,月間集計シート!Q$29:Q$48)*M$2</f>
        <v>0</v>
      </c>
      <c r="N1674" s="88">
        <f>SUMIF(月間集計シート!$M$29:$M$48,$G1674,月間集計シート!R$29:R$48)*N$2</f>
        <v>0</v>
      </c>
      <c r="O1674" s="88">
        <f>SUMIF(月間集計シート!$M$29:$M$48,$G1674,月間集計シート!S$29:S$48)*O$2</f>
        <v>0</v>
      </c>
      <c r="P1674" s="88">
        <f>SUMIF(月間集計シート!$M$29:$M$48,$G1674,月間集計シート!T$29:T$48)*P$2</f>
        <v>0</v>
      </c>
      <c r="Q1674" s="88">
        <f>SUMIF(月間集計シート!$M$50:$M$69,$G1674,月間集計シート!N$50:N$69)*Q$2</f>
        <v>0</v>
      </c>
      <c r="R1674" s="88">
        <f>SUMIF(月間集計シート!$M$50:$M$69,$G1674,月間集計シート!O$50:O$69)*R$2</f>
        <v>0</v>
      </c>
      <c r="S1674" s="88">
        <f>SUMIF(月間集計シート!$M$50:$M$69,$G1674,月間集計シート!P$50:P$69)*S$2</f>
        <v>0</v>
      </c>
      <c r="T1674" s="88">
        <f>SUMIF(月間集計シート!$M$50:$M$69,$G1674,月間集計シート!Q$50:Q$69)*T$2</f>
        <v>0</v>
      </c>
      <c r="U1674" s="88">
        <f>SUMIF(月間集計シート!$M$50:$M$69,$G1674,月間集計シート!R$50:R$69)*U$2</f>
        <v>0</v>
      </c>
      <c r="V1674" s="88">
        <f>SUMIF(月間集計シート!$M$50:$M$69,$G1674,月間集計シート!S$50:S$69)*V$2</f>
        <v>0</v>
      </c>
      <c r="W1674" s="88">
        <f>SUMIF(月間集計シート!$M$50:$M$69,$G1674,月間集計シート!T$50:T$69)*W$2</f>
        <v>0</v>
      </c>
      <c r="X1674" s="88">
        <f>SUMIF(月間集計シート!$M$71:$M$90,$G1674,月間集計シート!N$71:N$90)*X$2</f>
        <v>0</v>
      </c>
      <c r="Y1674" s="88">
        <f>SUMIF(月間集計シート!$M$71:$M$90,$G1674,月間集計シート!O$71:O$90)*Y$2</f>
        <v>0</v>
      </c>
      <c r="Z1674" s="88">
        <f>SUMIF(月間集計シート!$M$71:$M$90,$G1674,月間集計シート!P$71:P$90)*Z$2</f>
        <v>0</v>
      </c>
      <c r="AA1674" s="88">
        <f>SUMIF(月間集計シート!$M$71:$M$90,$G1674,月間集計シート!Q$71:Q$90)*AA$2</f>
        <v>0</v>
      </c>
      <c r="AB1674" s="88">
        <f>SUMIF(月間集計シート!$M$71:$M$90,$G1674,月間集計シート!R$71:R$90)*AB$2</f>
        <v>0</v>
      </c>
      <c r="AC1674" s="88">
        <f>SUMIF(月間集計シート!$M$71:$M$90,$G1674,月間集計シート!S$71:S$90)*AC$2</f>
        <v>0</v>
      </c>
      <c r="AD1674" s="88">
        <f>SUMIF(月間集計シート!$M$71:$M$90,$G1674,月間集計シート!T$71:T$90)*AD$2</f>
        <v>0</v>
      </c>
      <c r="AE1674" s="88">
        <f>SUMIF(月間集計シート!$M$92:$M$111,$G1674,月間集計シート!N$92:N$111)*AE$2</f>
        <v>0</v>
      </c>
      <c r="AF1674" s="88">
        <f>SUMIF(月間集計シート!$M$92:$M$111,$G1674,月間集計シート!O$92:O$111)*AF$2</f>
        <v>0</v>
      </c>
      <c r="AG1674" s="88">
        <f>SUMIF(月間集計シート!$M$92:$M$111,$G1674,月間集計シート!P$92:P$111)*AG$2</f>
        <v>0</v>
      </c>
      <c r="AH1674" s="88">
        <f>SUMIF(月間集計シート!$M$92:$M$111,$G1674,月間集計シート!Q$92:Q$111)*AH$2</f>
        <v>0</v>
      </c>
      <c r="AI1674" s="88">
        <f>SUMIF(月間集計シート!$M$92:$M$111,$G1674,月間集計シート!R$92:R$111)*AI$2</f>
        <v>0</v>
      </c>
      <c r="AJ1674" s="88">
        <f>SUMIF(月間集計シート!$M$92:$M$111,$G1674,月間集計シート!S$92:S$111)*AJ$2</f>
        <v>0</v>
      </c>
      <c r="AK1674" s="88">
        <f>SUMIF(月間集計シート!$M$92:$M$111,$G1674,月間集計シート!T$92:T$111)*AK$2</f>
        <v>0</v>
      </c>
      <c r="AL1674" s="88">
        <f>SUMIF(月間集計シート!$M$113:$M$132,$G1674,月間集計シート!N$113:N$132)*AL$2</f>
        <v>0</v>
      </c>
      <c r="AM1674" s="88">
        <f>SUMIF(月間集計シート!$M$113:$M$132,$G1674,月間集計シート!O$113:O$132)*AM$2</f>
        <v>0</v>
      </c>
      <c r="AN1674" s="88">
        <f>SUMIF(月間集計シート!$M$113:$M$132,$G1674,月間集計シート!P$113:P$132)*AN$2</f>
        <v>0</v>
      </c>
      <c r="AO1674" s="88">
        <f>SUMIF(月間集計シート!$M$113:$M$132,$G1674,月間集計シート!Q$113:Q$132)*AO$2</f>
        <v>0</v>
      </c>
      <c r="AP1674" s="88">
        <f>SUMIF(月間集計シート!$M$113:$M$132,$G1674,月間集計シート!R$113:R$132)*AP$2</f>
        <v>0</v>
      </c>
      <c r="AQ1674" s="88">
        <f>SUMIF(月間集計シート!$M$113:$M$132,$G1674,月間集計シート!S$113:S$132)*AQ$2</f>
        <v>0</v>
      </c>
      <c r="AR1674" s="88">
        <f>SUMIF(月間集計シート!$M$113:$M$132,$G1674,月間集計シート!T$113:T$132)*AR$2</f>
        <v>0</v>
      </c>
      <c r="AS1674" s="88">
        <f>SUMIF(月間集計シート!$M$134:$M$153,$G1674,月間集計シート!N$134:N$153)*AS$2</f>
        <v>0</v>
      </c>
      <c r="AT1674" s="88">
        <f>SUMIF(月間集計シート!$M$134:$M$153,$G1674,月間集計シート!O$134:O$153)*AT$2</f>
        <v>0</v>
      </c>
      <c r="AU1674" s="88">
        <f>SUMIF(月間集計シート!$M$134:$M$153,$G1674,月間集計シート!P$134:P$153)*AU$2</f>
        <v>0</v>
      </c>
      <c r="AV1674" s="88">
        <f>SUMIF(月間集計シート!$M$134:$M$153,$G1674,月間集計シート!Q$134:Q$153)*AV$2</f>
        <v>0</v>
      </c>
      <c r="AW1674" s="88">
        <f>SUMIF(月間集計シート!$M$134:$M$153,$G1674,月間集計シート!R$134:R$153)*AW$2</f>
        <v>0</v>
      </c>
      <c r="AX1674" s="88">
        <f>SUMIF(月間集計シート!$M$134:$M$153,$G1674,月間集計シート!S$134:S$153)*AX$2</f>
        <v>0</v>
      </c>
      <c r="AY1674" s="88">
        <f>SUMIF(月間集計シート!$M$134:$M$153,$G1674,月間集計シート!T$134:T$153)*AY$2</f>
        <v>0</v>
      </c>
    </row>
    <row r="1675" spans="1:51" ht="14.25" thickBot="1">
      <c r="A1675">
        <v>20</v>
      </c>
      <c r="B1675" s="120">
        <f t="shared" si="941"/>
        <v>0</v>
      </c>
      <c r="C1675" s="120" t="str">
        <f t="shared" si="942"/>
        <v/>
      </c>
      <c r="D1675" s="137"/>
      <c r="E1675" s="150">
        <f>工種!A52</f>
        <v>70103</v>
      </c>
      <c r="F1675" s="119" t="str">
        <f>工種!B52</f>
        <v>外部不具合修正：テスト</v>
      </c>
      <c r="G1675" s="116" t="str">
        <f t="shared" si="943"/>
        <v>070103</v>
      </c>
      <c r="H1675" s="88">
        <f t="shared" si="897"/>
        <v>0</v>
      </c>
      <c r="I1675" s="132"/>
      <c r="J1675" s="88">
        <f>SUMIF(月間集計シート!$M$29:$M$48,$G1675,月間集計シート!N$29:N$48)*J$2</f>
        <v>0</v>
      </c>
      <c r="K1675" s="88">
        <f>SUMIF(月間集計シート!$M$29:$M$48,$G1675,月間集計シート!O$29:O$48)*K$2</f>
        <v>0</v>
      </c>
      <c r="L1675" s="88">
        <f>SUMIF(月間集計シート!$M$29:$M$48,$G1675,月間集計シート!P$29:P$48)*L$2</f>
        <v>0</v>
      </c>
      <c r="M1675" s="88">
        <f>SUMIF(月間集計シート!$M$29:$M$48,$G1675,月間集計シート!Q$29:Q$48)*M$2</f>
        <v>0</v>
      </c>
      <c r="N1675" s="88">
        <f>SUMIF(月間集計シート!$M$29:$M$48,$G1675,月間集計シート!R$29:R$48)*N$2</f>
        <v>0</v>
      </c>
      <c r="O1675" s="88">
        <f>SUMIF(月間集計シート!$M$29:$M$48,$G1675,月間集計シート!S$29:S$48)*O$2</f>
        <v>0</v>
      </c>
      <c r="P1675" s="88">
        <f>SUMIF(月間集計シート!$M$29:$M$48,$G1675,月間集計シート!T$29:T$48)*P$2</f>
        <v>0</v>
      </c>
      <c r="Q1675" s="88">
        <f>SUMIF(月間集計シート!$M$50:$M$69,$G1675,月間集計シート!N$50:N$69)*Q$2</f>
        <v>0</v>
      </c>
      <c r="R1675" s="88">
        <f>SUMIF(月間集計シート!$M$50:$M$69,$G1675,月間集計シート!O$50:O$69)*R$2</f>
        <v>0</v>
      </c>
      <c r="S1675" s="88">
        <f>SUMIF(月間集計シート!$M$50:$M$69,$G1675,月間集計シート!P$50:P$69)*S$2</f>
        <v>0</v>
      </c>
      <c r="T1675" s="88">
        <f>SUMIF(月間集計シート!$M$50:$M$69,$G1675,月間集計シート!Q$50:Q$69)*T$2</f>
        <v>0</v>
      </c>
      <c r="U1675" s="88">
        <f>SUMIF(月間集計シート!$M$50:$M$69,$G1675,月間集計シート!R$50:R$69)*U$2</f>
        <v>0</v>
      </c>
      <c r="V1675" s="88">
        <f>SUMIF(月間集計シート!$M$50:$M$69,$G1675,月間集計シート!S$50:S$69)*V$2</f>
        <v>0</v>
      </c>
      <c r="W1675" s="88">
        <f>SUMIF(月間集計シート!$M$50:$M$69,$G1675,月間集計シート!T$50:T$69)*W$2</f>
        <v>0</v>
      </c>
      <c r="X1675" s="88">
        <f>SUMIF(月間集計シート!$M$71:$M$90,$G1675,月間集計シート!N$71:N$90)*X$2</f>
        <v>0</v>
      </c>
      <c r="Y1675" s="88">
        <f>SUMIF(月間集計シート!$M$71:$M$90,$G1675,月間集計シート!O$71:O$90)*Y$2</f>
        <v>0</v>
      </c>
      <c r="Z1675" s="88">
        <f>SUMIF(月間集計シート!$M$71:$M$90,$G1675,月間集計シート!P$71:P$90)*Z$2</f>
        <v>0</v>
      </c>
      <c r="AA1675" s="88">
        <f>SUMIF(月間集計シート!$M$71:$M$90,$G1675,月間集計シート!Q$71:Q$90)*AA$2</f>
        <v>0</v>
      </c>
      <c r="AB1675" s="88">
        <f>SUMIF(月間集計シート!$M$71:$M$90,$G1675,月間集計シート!R$71:R$90)*AB$2</f>
        <v>0</v>
      </c>
      <c r="AC1675" s="88">
        <f>SUMIF(月間集計シート!$M$71:$M$90,$G1675,月間集計シート!S$71:S$90)*AC$2</f>
        <v>0</v>
      </c>
      <c r="AD1675" s="88">
        <f>SUMIF(月間集計シート!$M$71:$M$90,$G1675,月間集計シート!T$71:T$90)*AD$2</f>
        <v>0</v>
      </c>
      <c r="AE1675" s="88">
        <f>SUMIF(月間集計シート!$M$92:$M$111,$G1675,月間集計シート!N$92:N$111)*AE$2</f>
        <v>0</v>
      </c>
      <c r="AF1675" s="88">
        <f>SUMIF(月間集計シート!$M$92:$M$111,$G1675,月間集計シート!O$92:O$111)*AF$2</f>
        <v>0</v>
      </c>
      <c r="AG1675" s="88">
        <f>SUMIF(月間集計シート!$M$92:$M$111,$G1675,月間集計シート!P$92:P$111)*AG$2</f>
        <v>0</v>
      </c>
      <c r="AH1675" s="88">
        <f>SUMIF(月間集計シート!$M$92:$M$111,$G1675,月間集計シート!Q$92:Q$111)*AH$2</f>
        <v>0</v>
      </c>
      <c r="AI1675" s="88">
        <f>SUMIF(月間集計シート!$M$92:$M$111,$G1675,月間集計シート!R$92:R$111)*AI$2</f>
        <v>0</v>
      </c>
      <c r="AJ1675" s="88">
        <f>SUMIF(月間集計シート!$M$92:$M$111,$G1675,月間集計シート!S$92:S$111)*AJ$2</f>
        <v>0</v>
      </c>
      <c r="AK1675" s="88">
        <f>SUMIF(月間集計シート!$M$92:$M$111,$G1675,月間集計シート!T$92:T$111)*AK$2</f>
        <v>0</v>
      </c>
      <c r="AL1675" s="88">
        <f>SUMIF(月間集計シート!$M$113:$M$132,$G1675,月間集計シート!N$113:N$132)*AL$2</f>
        <v>0</v>
      </c>
      <c r="AM1675" s="88">
        <f>SUMIF(月間集計シート!$M$113:$M$132,$G1675,月間集計シート!O$113:O$132)*AM$2</f>
        <v>0</v>
      </c>
      <c r="AN1675" s="88">
        <f>SUMIF(月間集計シート!$M$113:$M$132,$G1675,月間集計シート!P$113:P$132)*AN$2</f>
        <v>0</v>
      </c>
      <c r="AO1675" s="88">
        <f>SUMIF(月間集計シート!$M$113:$M$132,$G1675,月間集計シート!Q$113:Q$132)*AO$2</f>
        <v>0</v>
      </c>
      <c r="AP1675" s="88">
        <f>SUMIF(月間集計シート!$M$113:$M$132,$G1675,月間集計シート!R$113:R$132)*AP$2</f>
        <v>0</v>
      </c>
      <c r="AQ1675" s="88">
        <f>SUMIF(月間集計シート!$M$113:$M$132,$G1675,月間集計シート!S$113:S$132)*AQ$2</f>
        <v>0</v>
      </c>
      <c r="AR1675" s="88">
        <f>SUMIF(月間集計シート!$M$113:$M$132,$G1675,月間集計シート!T$113:T$132)*AR$2</f>
        <v>0</v>
      </c>
      <c r="AS1675" s="88">
        <f>SUMIF(月間集計シート!$M$134:$M$153,$G1675,月間集計シート!N$134:N$153)*AS$2</f>
        <v>0</v>
      </c>
      <c r="AT1675" s="88">
        <f>SUMIF(月間集計シート!$M$134:$M$153,$G1675,月間集計シート!O$134:O$153)*AT$2</f>
        <v>0</v>
      </c>
      <c r="AU1675" s="88">
        <f>SUMIF(月間集計シート!$M$134:$M$153,$G1675,月間集計シート!P$134:P$153)*AU$2</f>
        <v>0</v>
      </c>
      <c r="AV1675" s="88">
        <f>SUMIF(月間集計シート!$M$134:$M$153,$G1675,月間集計シート!Q$134:Q$153)*AV$2</f>
        <v>0</v>
      </c>
      <c r="AW1675" s="88">
        <f>SUMIF(月間集計シート!$M$134:$M$153,$G1675,月間集計シート!R$134:R$153)*AW$2</f>
        <v>0</v>
      </c>
      <c r="AX1675" s="88">
        <f>SUMIF(月間集計シート!$M$134:$M$153,$G1675,月間集計シート!S$134:S$153)*AX$2</f>
        <v>0</v>
      </c>
      <c r="AY1675" s="88">
        <f>SUMIF(月間集計シート!$M$134:$M$153,$G1675,月間集計シート!T$134:T$153)*AY$2</f>
        <v>0</v>
      </c>
    </row>
    <row r="1676" spans="1:51" ht="14.25" thickBot="1">
      <c r="A1676">
        <v>20</v>
      </c>
      <c r="B1676" s="120">
        <f t="shared" si="941"/>
        <v>0</v>
      </c>
      <c r="C1676" s="120" t="str">
        <f t="shared" si="942"/>
        <v/>
      </c>
      <c r="D1676" s="137"/>
      <c r="E1676" s="150">
        <f>工種!A53</f>
        <v>70104</v>
      </c>
      <c r="F1676" s="119" t="str">
        <f>工種!B53</f>
        <v>外部不具合修正：不具合連絡作成</v>
      </c>
      <c r="G1676" s="116" t="str">
        <f t="shared" si="943"/>
        <v>070104</v>
      </c>
      <c r="H1676" s="88">
        <f t="shared" si="897"/>
        <v>0</v>
      </c>
      <c r="I1676" s="132"/>
      <c r="J1676" s="88">
        <f>SUMIF(月間集計シート!$M$29:$M$48,$G1676,月間集計シート!N$29:N$48)*J$2</f>
        <v>0</v>
      </c>
      <c r="K1676" s="88">
        <f>SUMIF(月間集計シート!$M$29:$M$48,$G1676,月間集計シート!O$29:O$48)*K$2</f>
        <v>0</v>
      </c>
      <c r="L1676" s="88">
        <f>SUMIF(月間集計シート!$M$29:$M$48,$G1676,月間集計シート!P$29:P$48)*L$2</f>
        <v>0</v>
      </c>
      <c r="M1676" s="88">
        <f>SUMIF(月間集計シート!$M$29:$M$48,$G1676,月間集計シート!Q$29:Q$48)*M$2</f>
        <v>0</v>
      </c>
      <c r="N1676" s="88">
        <f>SUMIF(月間集計シート!$M$29:$M$48,$G1676,月間集計シート!R$29:R$48)*N$2</f>
        <v>0</v>
      </c>
      <c r="O1676" s="88">
        <f>SUMIF(月間集計シート!$M$29:$M$48,$G1676,月間集計シート!S$29:S$48)*O$2</f>
        <v>0</v>
      </c>
      <c r="P1676" s="88">
        <f>SUMIF(月間集計シート!$M$29:$M$48,$G1676,月間集計シート!T$29:T$48)*P$2</f>
        <v>0</v>
      </c>
      <c r="Q1676" s="88">
        <f>SUMIF(月間集計シート!$M$50:$M$69,$G1676,月間集計シート!N$50:N$69)*Q$2</f>
        <v>0</v>
      </c>
      <c r="R1676" s="88">
        <f>SUMIF(月間集計シート!$M$50:$M$69,$G1676,月間集計シート!O$50:O$69)*R$2</f>
        <v>0</v>
      </c>
      <c r="S1676" s="88">
        <f>SUMIF(月間集計シート!$M$50:$M$69,$G1676,月間集計シート!P$50:P$69)*S$2</f>
        <v>0</v>
      </c>
      <c r="T1676" s="88">
        <f>SUMIF(月間集計シート!$M$50:$M$69,$G1676,月間集計シート!Q$50:Q$69)*T$2</f>
        <v>0</v>
      </c>
      <c r="U1676" s="88">
        <f>SUMIF(月間集計シート!$M$50:$M$69,$G1676,月間集計シート!R$50:R$69)*U$2</f>
        <v>0</v>
      </c>
      <c r="V1676" s="88">
        <f>SUMIF(月間集計シート!$M$50:$M$69,$G1676,月間集計シート!S$50:S$69)*V$2</f>
        <v>0</v>
      </c>
      <c r="W1676" s="88">
        <f>SUMIF(月間集計シート!$M$50:$M$69,$G1676,月間集計シート!T$50:T$69)*W$2</f>
        <v>0</v>
      </c>
      <c r="X1676" s="88">
        <f>SUMIF(月間集計シート!$M$71:$M$90,$G1676,月間集計シート!N$71:N$90)*X$2</f>
        <v>0</v>
      </c>
      <c r="Y1676" s="88">
        <f>SUMIF(月間集計シート!$M$71:$M$90,$G1676,月間集計シート!O$71:O$90)*Y$2</f>
        <v>0</v>
      </c>
      <c r="Z1676" s="88">
        <f>SUMIF(月間集計シート!$M$71:$M$90,$G1676,月間集計シート!P$71:P$90)*Z$2</f>
        <v>0</v>
      </c>
      <c r="AA1676" s="88">
        <f>SUMIF(月間集計シート!$M$71:$M$90,$G1676,月間集計シート!Q$71:Q$90)*AA$2</f>
        <v>0</v>
      </c>
      <c r="AB1676" s="88">
        <f>SUMIF(月間集計シート!$M$71:$M$90,$G1676,月間集計シート!R$71:R$90)*AB$2</f>
        <v>0</v>
      </c>
      <c r="AC1676" s="88">
        <f>SUMIF(月間集計シート!$M$71:$M$90,$G1676,月間集計シート!S$71:S$90)*AC$2</f>
        <v>0</v>
      </c>
      <c r="AD1676" s="88">
        <f>SUMIF(月間集計シート!$M$71:$M$90,$G1676,月間集計シート!T$71:T$90)*AD$2</f>
        <v>0</v>
      </c>
      <c r="AE1676" s="88">
        <f>SUMIF(月間集計シート!$M$92:$M$111,$G1676,月間集計シート!N$92:N$111)*AE$2</f>
        <v>0</v>
      </c>
      <c r="AF1676" s="88">
        <f>SUMIF(月間集計シート!$M$92:$M$111,$G1676,月間集計シート!O$92:O$111)*AF$2</f>
        <v>0</v>
      </c>
      <c r="AG1676" s="88">
        <f>SUMIF(月間集計シート!$M$92:$M$111,$G1676,月間集計シート!P$92:P$111)*AG$2</f>
        <v>0</v>
      </c>
      <c r="AH1676" s="88">
        <f>SUMIF(月間集計シート!$M$92:$M$111,$G1676,月間集計シート!Q$92:Q$111)*AH$2</f>
        <v>0</v>
      </c>
      <c r="AI1676" s="88">
        <f>SUMIF(月間集計シート!$M$92:$M$111,$G1676,月間集計シート!R$92:R$111)*AI$2</f>
        <v>0</v>
      </c>
      <c r="AJ1676" s="88">
        <f>SUMIF(月間集計シート!$M$92:$M$111,$G1676,月間集計シート!S$92:S$111)*AJ$2</f>
        <v>0</v>
      </c>
      <c r="AK1676" s="88">
        <f>SUMIF(月間集計シート!$M$92:$M$111,$G1676,月間集計シート!T$92:T$111)*AK$2</f>
        <v>0</v>
      </c>
      <c r="AL1676" s="88">
        <f>SUMIF(月間集計シート!$M$113:$M$132,$G1676,月間集計シート!N$113:N$132)*AL$2</f>
        <v>0</v>
      </c>
      <c r="AM1676" s="88">
        <f>SUMIF(月間集計シート!$M$113:$M$132,$G1676,月間集計シート!O$113:O$132)*AM$2</f>
        <v>0</v>
      </c>
      <c r="AN1676" s="88">
        <f>SUMIF(月間集計シート!$M$113:$M$132,$G1676,月間集計シート!P$113:P$132)*AN$2</f>
        <v>0</v>
      </c>
      <c r="AO1676" s="88">
        <f>SUMIF(月間集計シート!$M$113:$M$132,$G1676,月間集計シート!Q$113:Q$132)*AO$2</f>
        <v>0</v>
      </c>
      <c r="AP1676" s="88">
        <f>SUMIF(月間集計シート!$M$113:$M$132,$G1676,月間集計シート!R$113:R$132)*AP$2</f>
        <v>0</v>
      </c>
      <c r="AQ1676" s="88">
        <f>SUMIF(月間集計シート!$M$113:$M$132,$G1676,月間集計シート!S$113:S$132)*AQ$2</f>
        <v>0</v>
      </c>
      <c r="AR1676" s="88">
        <f>SUMIF(月間集計シート!$M$113:$M$132,$G1676,月間集計シート!T$113:T$132)*AR$2</f>
        <v>0</v>
      </c>
      <c r="AS1676" s="88">
        <f>SUMIF(月間集計シート!$M$134:$M$153,$G1676,月間集計シート!N$134:N$153)*AS$2</f>
        <v>0</v>
      </c>
      <c r="AT1676" s="88">
        <f>SUMIF(月間集計シート!$M$134:$M$153,$G1676,月間集計シート!O$134:O$153)*AT$2</f>
        <v>0</v>
      </c>
      <c r="AU1676" s="88">
        <f>SUMIF(月間集計シート!$M$134:$M$153,$G1676,月間集計シート!P$134:P$153)*AU$2</f>
        <v>0</v>
      </c>
      <c r="AV1676" s="88">
        <f>SUMIF(月間集計シート!$M$134:$M$153,$G1676,月間集計シート!Q$134:Q$153)*AV$2</f>
        <v>0</v>
      </c>
      <c r="AW1676" s="88">
        <f>SUMIF(月間集計シート!$M$134:$M$153,$G1676,月間集計シート!R$134:R$153)*AW$2</f>
        <v>0</v>
      </c>
      <c r="AX1676" s="88">
        <f>SUMIF(月間集計シート!$M$134:$M$153,$G1676,月間集計シート!S$134:S$153)*AX$2</f>
        <v>0</v>
      </c>
      <c r="AY1676" s="88">
        <f>SUMIF(月間集計シート!$M$134:$M$153,$G1676,月間集計シート!T$134:T$153)*AY$2</f>
        <v>0</v>
      </c>
    </row>
    <row r="1677" spans="1:51" ht="14.25" thickBot="1">
      <c r="A1677">
        <v>20</v>
      </c>
      <c r="B1677" s="120">
        <f t="shared" si="941"/>
        <v>0</v>
      </c>
      <c r="C1677" s="120" t="str">
        <f t="shared" si="942"/>
        <v/>
      </c>
      <c r="D1677" s="137"/>
      <c r="E1677" s="150">
        <f>工種!A54</f>
        <v>70105</v>
      </c>
      <c r="F1677" s="119" t="str">
        <f>工種!B54</f>
        <v>外部不具合修正：差分PGイントラ掲載</v>
      </c>
      <c r="G1677" s="116" t="str">
        <f t="shared" si="943"/>
        <v>070105</v>
      </c>
      <c r="H1677" s="88">
        <f t="shared" si="897"/>
        <v>0</v>
      </c>
      <c r="I1677" s="132"/>
      <c r="J1677" s="88">
        <f>SUMIF(月間集計シート!$M$29:$M$48,$G1677,月間集計シート!N$29:N$48)*J$2</f>
        <v>0</v>
      </c>
      <c r="K1677" s="88">
        <f>SUMIF(月間集計シート!$M$29:$M$48,$G1677,月間集計シート!O$29:O$48)*K$2</f>
        <v>0</v>
      </c>
      <c r="L1677" s="88">
        <f>SUMIF(月間集計シート!$M$29:$M$48,$G1677,月間集計シート!P$29:P$48)*L$2</f>
        <v>0</v>
      </c>
      <c r="M1677" s="88">
        <f>SUMIF(月間集計シート!$M$29:$M$48,$G1677,月間集計シート!Q$29:Q$48)*M$2</f>
        <v>0</v>
      </c>
      <c r="N1677" s="88">
        <f>SUMIF(月間集計シート!$M$29:$M$48,$G1677,月間集計シート!R$29:R$48)*N$2</f>
        <v>0</v>
      </c>
      <c r="O1677" s="88">
        <f>SUMIF(月間集計シート!$M$29:$M$48,$G1677,月間集計シート!S$29:S$48)*O$2</f>
        <v>0</v>
      </c>
      <c r="P1677" s="88">
        <f>SUMIF(月間集計シート!$M$29:$M$48,$G1677,月間集計シート!T$29:T$48)*P$2</f>
        <v>0</v>
      </c>
      <c r="Q1677" s="88">
        <f>SUMIF(月間集計シート!$M$50:$M$69,$G1677,月間集計シート!N$50:N$69)*Q$2</f>
        <v>0</v>
      </c>
      <c r="R1677" s="88">
        <f>SUMIF(月間集計シート!$M$50:$M$69,$G1677,月間集計シート!O$50:O$69)*R$2</f>
        <v>0</v>
      </c>
      <c r="S1677" s="88">
        <f>SUMIF(月間集計シート!$M$50:$M$69,$G1677,月間集計シート!P$50:P$69)*S$2</f>
        <v>0</v>
      </c>
      <c r="T1677" s="88">
        <f>SUMIF(月間集計シート!$M$50:$M$69,$G1677,月間集計シート!Q$50:Q$69)*T$2</f>
        <v>0</v>
      </c>
      <c r="U1677" s="88">
        <f>SUMIF(月間集計シート!$M$50:$M$69,$G1677,月間集計シート!R$50:R$69)*U$2</f>
        <v>0</v>
      </c>
      <c r="V1677" s="88">
        <f>SUMIF(月間集計シート!$M$50:$M$69,$G1677,月間集計シート!S$50:S$69)*V$2</f>
        <v>0</v>
      </c>
      <c r="W1677" s="88">
        <f>SUMIF(月間集計シート!$M$50:$M$69,$G1677,月間集計シート!T$50:T$69)*W$2</f>
        <v>0</v>
      </c>
      <c r="X1677" s="88">
        <f>SUMIF(月間集計シート!$M$71:$M$90,$G1677,月間集計シート!N$71:N$90)*X$2</f>
        <v>0</v>
      </c>
      <c r="Y1677" s="88">
        <f>SUMIF(月間集計シート!$M$71:$M$90,$G1677,月間集計シート!O$71:O$90)*Y$2</f>
        <v>0</v>
      </c>
      <c r="Z1677" s="88">
        <f>SUMIF(月間集計シート!$M$71:$M$90,$G1677,月間集計シート!P$71:P$90)*Z$2</f>
        <v>0</v>
      </c>
      <c r="AA1677" s="88">
        <f>SUMIF(月間集計シート!$M$71:$M$90,$G1677,月間集計シート!Q$71:Q$90)*AA$2</f>
        <v>0</v>
      </c>
      <c r="AB1677" s="88">
        <f>SUMIF(月間集計シート!$M$71:$M$90,$G1677,月間集計シート!R$71:R$90)*AB$2</f>
        <v>0</v>
      </c>
      <c r="AC1677" s="88">
        <f>SUMIF(月間集計シート!$M$71:$M$90,$G1677,月間集計シート!S$71:S$90)*AC$2</f>
        <v>0</v>
      </c>
      <c r="AD1677" s="88">
        <f>SUMIF(月間集計シート!$M$71:$M$90,$G1677,月間集計シート!T$71:T$90)*AD$2</f>
        <v>0</v>
      </c>
      <c r="AE1677" s="88">
        <f>SUMIF(月間集計シート!$M$92:$M$111,$G1677,月間集計シート!N$92:N$111)*AE$2</f>
        <v>0</v>
      </c>
      <c r="AF1677" s="88">
        <f>SUMIF(月間集計シート!$M$92:$M$111,$G1677,月間集計シート!O$92:O$111)*AF$2</f>
        <v>0</v>
      </c>
      <c r="AG1677" s="88">
        <f>SUMIF(月間集計シート!$M$92:$M$111,$G1677,月間集計シート!P$92:P$111)*AG$2</f>
        <v>0</v>
      </c>
      <c r="AH1677" s="88">
        <f>SUMIF(月間集計シート!$M$92:$M$111,$G1677,月間集計シート!Q$92:Q$111)*AH$2</f>
        <v>0</v>
      </c>
      <c r="AI1677" s="88">
        <f>SUMIF(月間集計シート!$M$92:$M$111,$G1677,月間集計シート!R$92:R$111)*AI$2</f>
        <v>0</v>
      </c>
      <c r="AJ1677" s="88">
        <f>SUMIF(月間集計シート!$M$92:$M$111,$G1677,月間集計シート!S$92:S$111)*AJ$2</f>
        <v>0</v>
      </c>
      <c r="AK1677" s="88">
        <f>SUMIF(月間集計シート!$M$92:$M$111,$G1677,月間集計シート!T$92:T$111)*AK$2</f>
        <v>0</v>
      </c>
      <c r="AL1677" s="88">
        <f>SUMIF(月間集計シート!$M$113:$M$132,$G1677,月間集計シート!N$113:N$132)*AL$2</f>
        <v>0</v>
      </c>
      <c r="AM1677" s="88">
        <f>SUMIF(月間集計シート!$M$113:$M$132,$G1677,月間集計シート!O$113:O$132)*AM$2</f>
        <v>0</v>
      </c>
      <c r="AN1677" s="88">
        <f>SUMIF(月間集計シート!$M$113:$M$132,$G1677,月間集計シート!P$113:P$132)*AN$2</f>
        <v>0</v>
      </c>
      <c r="AO1677" s="88">
        <f>SUMIF(月間集計シート!$M$113:$M$132,$G1677,月間集計シート!Q$113:Q$132)*AO$2</f>
        <v>0</v>
      </c>
      <c r="AP1677" s="88">
        <f>SUMIF(月間集計シート!$M$113:$M$132,$G1677,月間集計シート!R$113:R$132)*AP$2</f>
        <v>0</v>
      </c>
      <c r="AQ1677" s="88">
        <f>SUMIF(月間集計シート!$M$113:$M$132,$G1677,月間集計シート!S$113:S$132)*AQ$2</f>
        <v>0</v>
      </c>
      <c r="AR1677" s="88">
        <f>SUMIF(月間集計シート!$M$113:$M$132,$G1677,月間集計シート!T$113:T$132)*AR$2</f>
        <v>0</v>
      </c>
      <c r="AS1677" s="88">
        <f>SUMIF(月間集計シート!$M$134:$M$153,$G1677,月間集計シート!N$134:N$153)*AS$2</f>
        <v>0</v>
      </c>
      <c r="AT1677" s="88">
        <f>SUMIF(月間集計シート!$M$134:$M$153,$G1677,月間集計シート!O$134:O$153)*AT$2</f>
        <v>0</v>
      </c>
      <c r="AU1677" s="88">
        <f>SUMIF(月間集計シート!$M$134:$M$153,$G1677,月間集計シート!P$134:P$153)*AU$2</f>
        <v>0</v>
      </c>
      <c r="AV1677" s="88">
        <f>SUMIF(月間集計シート!$M$134:$M$153,$G1677,月間集計シート!Q$134:Q$153)*AV$2</f>
        <v>0</v>
      </c>
      <c r="AW1677" s="88">
        <f>SUMIF(月間集計シート!$M$134:$M$153,$G1677,月間集計シート!R$134:R$153)*AW$2</f>
        <v>0</v>
      </c>
      <c r="AX1677" s="88">
        <f>SUMIF(月間集計シート!$M$134:$M$153,$G1677,月間集計シート!S$134:S$153)*AX$2</f>
        <v>0</v>
      </c>
      <c r="AY1677" s="88">
        <f>SUMIF(月間集計シート!$M$134:$M$153,$G1677,月間集計シート!T$134:T$153)*AY$2</f>
        <v>0</v>
      </c>
    </row>
    <row r="1678" spans="1:51" ht="14.25" thickBot="1">
      <c r="A1678">
        <v>20</v>
      </c>
      <c r="B1678" s="120">
        <f t="shared" si="941"/>
        <v>0</v>
      </c>
      <c r="C1678" s="120" t="str">
        <f t="shared" si="942"/>
        <v/>
      </c>
      <c r="D1678" s="137"/>
      <c r="E1678" s="150">
        <f>工種!A55</f>
        <v>70106</v>
      </c>
      <c r="F1678" s="119" t="str">
        <f>工種!B55</f>
        <v>外部不具合修正：打合せ</v>
      </c>
      <c r="G1678" s="116" t="str">
        <f t="shared" si="943"/>
        <v>070106</v>
      </c>
      <c r="H1678" s="88">
        <f t="shared" si="897"/>
        <v>0</v>
      </c>
      <c r="I1678" s="132"/>
      <c r="J1678" s="88">
        <f>SUMIF(月間集計シート!$M$29:$M$48,$G1678,月間集計シート!N$29:N$48)*J$2</f>
        <v>0</v>
      </c>
      <c r="K1678" s="88">
        <f>SUMIF(月間集計シート!$M$29:$M$48,$G1678,月間集計シート!O$29:O$48)*K$2</f>
        <v>0</v>
      </c>
      <c r="L1678" s="88">
        <f>SUMIF(月間集計シート!$M$29:$M$48,$G1678,月間集計シート!P$29:P$48)*L$2</f>
        <v>0</v>
      </c>
      <c r="M1678" s="88">
        <f>SUMIF(月間集計シート!$M$29:$M$48,$G1678,月間集計シート!Q$29:Q$48)*M$2</f>
        <v>0</v>
      </c>
      <c r="N1678" s="88">
        <f>SUMIF(月間集計シート!$M$29:$M$48,$G1678,月間集計シート!R$29:R$48)*N$2</f>
        <v>0</v>
      </c>
      <c r="O1678" s="88">
        <f>SUMIF(月間集計シート!$M$29:$M$48,$G1678,月間集計シート!S$29:S$48)*O$2</f>
        <v>0</v>
      </c>
      <c r="P1678" s="88">
        <f>SUMIF(月間集計シート!$M$29:$M$48,$G1678,月間集計シート!T$29:T$48)*P$2</f>
        <v>0</v>
      </c>
      <c r="Q1678" s="88">
        <f>SUMIF(月間集計シート!$M$50:$M$69,$G1678,月間集計シート!N$50:N$69)*Q$2</f>
        <v>0</v>
      </c>
      <c r="R1678" s="88">
        <f>SUMIF(月間集計シート!$M$50:$M$69,$G1678,月間集計シート!O$50:O$69)*R$2</f>
        <v>0</v>
      </c>
      <c r="S1678" s="88">
        <f>SUMIF(月間集計シート!$M$50:$M$69,$G1678,月間集計シート!P$50:P$69)*S$2</f>
        <v>0</v>
      </c>
      <c r="T1678" s="88">
        <f>SUMIF(月間集計シート!$M$50:$M$69,$G1678,月間集計シート!Q$50:Q$69)*T$2</f>
        <v>0</v>
      </c>
      <c r="U1678" s="88">
        <f>SUMIF(月間集計シート!$M$50:$M$69,$G1678,月間集計シート!R$50:R$69)*U$2</f>
        <v>0</v>
      </c>
      <c r="V1678" s="88">
        <f>SUMIF(月間集計シート!$M$50:$M$69,$G1678,月間集計シート!S$50:S$69)*V$2</f>
        <v>0</v>
      </c>
      <c r="W1678" s="88">
        <f>SUMIF(月間集計シート!$M$50:$M$69,$G1678,月間集計シート!T$50:T$69)*W$2</f>
        <v>0</v>
      </c>
      <c r="X1678" s="88">
        <f>SUMIF(月間集計シート!$M$71:$M$90,$G1678,月間集計シート!N$71:N$90)*X$2</f>
        <v>0</v>
      </c>
      <c r="Y1678" s="88">
        <f>SUMIF(月間集計シート!$M$71:$M$90,$G1678,月間集計シート!O$71:O$90)*Y$2</f>
        <v>0</v>
      </c>
      <c r="Z1678" s="88">
        <f>SUMIF(月間集計シート!$M$71:$M$90,$G1678,月間集計シート!P$71:P$90)*Z$2</f>
        <v>0</v>
      </c>
      <c r="AA1678" s="88">
        <f>SUMIF(月間集計シート!$M$71:$M$90,$G1678,月間集計シート!Q$71:Q$90)*AA$2</f>
        <v>0</v>
      </c>
      <c r="AB1678" s="88">
        <f>SUMIF(月間集計シート!$M$71:$M$90,$G1678,月間集計シート!R$71:R$90)*AB$2</f>
        <v>0</v>
      </c>
      <c r="AC1678" s="88">
        <f>SUMIF(月間集計シート!$M$71:$M$90,$G1678,月間集計シート!S$71:S$90)*AC$2</f>
        <v>0</v>
      </c>
      <c r="AD1678" s="88">
        <f>SUMIF(月間集計シート!$M$71:$M$90,$G1678,月間集計シート!T$71:T$90)*AD$2</f>
        <v>0</v>
      </c>
      <c r="AE1678" s="88">
        <f>SUMIF(月間集計シート!$M$92:$M$111,$G1678,月間集計シート!N$92:N$111)*AE$2</f>
        <v>0</v>
      </c>
      <c r="AF1678" s="88">
        <f>SUMIF(月間集計シート!$M$92:$M$111,$G1678,月間集計シート!O$92:O$111)*AF$2</f>
        <v>0</v>
      </c>
      <c r="AG1678" s="88">
        <f>SUMIF(月間集計シート!$M$92:$M$111,$G1678,月間集計シート!P$92:P$111)*AG$2</f>
        <v>0</v>
      </c>
      <c r="AH1678" s="88">
        <f>SUMIF(月間集計シート!$M$92:$M$111,$G1678,月間集計シート!Q$92:Q$111)*AH$2</f>
        <v>0</v>
      </c>
      <c r="AI1678" s="88">
        <f>SUMIF(月間集計シート!$M$92:$M$111,$G1678,月間集計シート!R$92:R$111)*AI$2</f>
        <v>0</v>
      </c>
      <c r="AJ1678" s="88">
        <f>SUMIF(月間集計シート!$M$92:$M$111,$G1678,月間集計シート!S$92:S$111)*AJ$2</f>
        <v>0</v>
      </c>
      <c r="AK1678" s="88">
        <f>SUMIF(月間集計シート!$M$92:$M$111,$G1678,月間集計シート!T$92:T$111)*AK$2</f>
        <v>0</v>
      </c>
      <c r="AL1678" s="88">
        <f>SUMIF(月間集計シート!$M$113:$M$132,$G1678,月間集計シート!N$113:N$132)*AL$2</f>
        <v>0</v>
      </c>
      <c r="AM1678" s="88">
        <f>SUMIF(月間集計シート!$M$113:$M$132,$G1678,月間集計シート!O$113:O$132)*AM$2</f>
        <v>0</v>
      </c>
      <c r="AN1678" s="88">
        <f>SUMIF(月間集計シート!$M$113:$M$132,$G1678,月間集計シート!P$113:P$132)*AN$2</f>
        <v>0</v>
      </c>
      <c r="AO1678" s="88">
        <f>SUMIF(月間集計シート!$M$113:$M$132,$G1678,月間集計シート!Q$113:Q$132)*AO$2</f>
        <v>0</v>
      </c>
      <c r="AP1678" s="88">
        <f>SUMIF(月間集計シート!$M$113:$M$132,$G1678,月間集計シート!R$113:R$132)*AP$2</f>
        <v>0</v>
      </c>
      <c r="AQ1678" s="88">
        <f>SUMIF(月間集計シート!$M$113:$M$132,$G1678,月間集計シート!S$113:S$132)*AQ$2</f>
        <v>0</v>
      </c>
      <c r="AR1678" s="88">
        <f>SUMIF(月間集計シート!$M$113:$M$132,$G1678,月間集計シート!T$113:T$132)*AR$2</f>
        <v>0</v>
      </c>
      <c r="AS1678" s="88">
        <f>SUMIF(月間集計シート!$M$134:$M$153,$G1678,月間集計シート!N$134:N$153)*AS$2</f>
        <v>0</v>
      </c>
      <c r="AT1678" s="88">
        <f>SUMIF(月間集計シート!$M$134:$M$153,$G1678,月間集計シート!O$134:O$153)*AT$2</f>
        <v>0</v>
      </c>
      <c r="AU1678" s="88">
        <f>SUMIF(月間集計シート!$M$134:$M$153,$G1678,月間集計シート!P$134:P$153)*AU$2</f>
        <v>0</v>
      </c>
      <c r="AV1678" s="88">
        <f>SUMIF(月間集計シート!$M$134:$M$153,$G1678,月間集計シート!Q$134:Q$153)*AV$2</f>
        <v>0</v>
      </c>
      <c r="AW1678" s="88">
        <f>SUMIF(月間集計シート!$M$134:$M$153,$G1678,月間集計シート!R$134:R$153)*AW$2</f>
        <v>0</v>
      </c>
      <c r="AX1678" s="88">
        <f>SUMIF(月間集計シート!$M$134:$M$153,$G1678,月間集計シート!S$134:S$153)*AX$2</f>
        <v>0</v>
      </c>
      <c r="AY1678" s="88">
        <f>SUMIF(月間集計シート!$M$134:$M$153,$G1678,月間集計シート!T$134:T$153)*AY$2</f>
        <v>0</v>
      </c>
    </row>
    <row r="1679" spans="1:51" ht="14.25" thickBot="1">
      <c r="A1679">
        <v>20</v>
      </c>
      <c r="B1679" s="120">
        <f t="shared" si="941"/>
        <v>0</v>
      </c>
      <c r="C1679" s="120" t="str">
        <f t="shared" si="942"/>
        <v/>
      </c>
      <c r="D1679" s="137"/>
      <c r="E1679" s="150">
        <f>工種!A56</f>
        <v>70109</v>
      </c>
      <c r="F1679" s="119" t="str">
        <f>工種!B56</f>
        <v>外部不具合修正：レビュー</v>
      </c>
      <c r="G1679" s="116" t="str">
        <f t="shared" si="943"/>
        <v>070109</v>
      </c>
      <c r="H1679" s="88">
        <f t="shared" si="897"/>
        <v>0</v>
      </c>
      <c r="I1679" s="132"/>
      <c r="J1679" s="88">
        <f>SUMIF(月間集計シート!$M$29:$M$48,$G1679,月間集計シート!N$29:N$48)*J$2</f>
        <v>0</v>
      </c>
      <c r="K1679" s="88">
        <f>SUMIF(月間集計シート!$M$29:$M$48,$G1679,月間集計シート!O$29:O$48)*K$2</f>
        <v>0</v>
      </c>
      <c r="L1679" s="88">
        <f>SUMIF(月間集計シート!$M$29:$M$48,$G1679,月間集計シート!P$29:P$48)*L$2</f>
        <v>0</v>
      </c>
      <c r="M1679" s="88">
        <f>SUMIF(月間集計シート!$M$29:$M$48,$G1679,月間集計シート!Q$29:Q$48)*M$2</f>
        <v>0</v>
      </c>
      <c r="N1679" s="88">
        <f>SUMIF(月間集計シート!$M$29:$M$48,$G1679,月間集計シート!R$29:R$48)*N$2</f>
        <v>0</v>
      </c>
      <c r="O1679" s="88">
        <f>SUMIF(月間集計シート!$M$29:$M$48,$G1679,月間集計シート!S$29:S$48)*O$2</f>
        <v>0</v>
      </c>
      <c r="P1679" s="88">
        <f>SUMIF(月間集計シート!$M$29:$M$48,$G1679,月間集計シート!T$29:T$48)*P$2</f>
        <v>0</v>
      </c>
      <c r="Q1679" s="88">
        <f>SUMIF(月間集計シート!$M$50:$M$69,$G1679,月間集計シート!N$50:N$69)*Q$2</f>
        <v>0</v>
      </c>
      <c r="R1679" s="88">
        <f>SUMIF(月間集計シート!$M$50:$M$69,$G1679,月間集計シート!O$50:O$69)*R$2</f>
        <v>0</v>
      </c>
      <c r="S1679" s="88">
        <f>SUMIF(月間集計シート!$M$50:$M$69,$G1679,月間集計シート!P$50:P$69)*S$2</f>
        <v>0</v>
      </c>
      <c r="T1679" s="88">
        <f>SUMIF(月間集計シート!$M$50:$M$69,$G1679,月間集計シート!Q$50:Q$69)*T$2</f>
        <v>0</v>
      </c>
      <c r="U1679" s="88">
        <f>SUMIF(月間集計シート!$M$50:$M$69,$G1679,月間集計シート!R$50:R$69)*U$2</f>
        <v>0</v>
      </c>
      <c r="V1679" s="88">
        <f>SUMIF(月間集計シート!$M$50:$M$69,$G1679,月間集計シート!S$50:S$69)*V$2</f>
        <v>0</v>
      </c>
      <c r="W1679" s="88">
        <f>SUMIF(月間集計シート!$M$50:$M$69,$G1679,月間集計シート!T$50:T$69)*W$2</f>
        <v>0</v>
      </c>
      <c r="X1679" s="88">
        <f>SUMIF(月間集計シート!$M$71:$M$90,$G1679,月間集計シート!N$71:N$90)*X$2</f>
        <v>0</v>
      </c>
      <c r="Y1679" s="88">
        <f>SUMIF(月間集計シート!$M$71:$M$90,$G1679,月間集計シート!O$71:O$90)*Y$2</f>
        <v>0</v>
      </c>
      <c r="Z1679" s="88">
        <f>SUMIF(月間集計シート!$M$71:$M$90,$G1679,月間集計シート!P$71:P$90)*Z$2</f>
        <v>0</v>
      </c>
      <c r="AA1679" s="88">
        <f>SUMIF(月間集計シート!$M$71:$M$90,$G1679,月間集計シート!Q$71:Q$90)*AA$2</f>
        <v>0</v>
      </c>
      <c r="AB1679" s="88">
        <f>SUMIF(月間集計シート!$M$71:$M$90,$G1679,月間集計シート!R$71:R$90)*AB$2</f>
        <v>0</v>
      </c>
      <c r="AC1679" s="88">
        <f>SUMIF(月間集計シート!$M$71:$M$90,$G1679,月間集計シート!S$71:S$90)*AC$2</f>
        <v>0</v>
      </c>
      <c r="AD1679" s="88">
        <f>SUMIF(月間集計シート!$M$71:$M$90,$G1679,月間集計シート!T$71:T$90)*AD$2</f>
        <v>0</v>
      </c>
      <c r="AE1679" s="88">
        <f>SUMIF(月間集計シート!$M$92:$M$111,$G1679,月間集計シート!N$92:N$111)*AE$2</f>
        <v>0</v>
      </c>
      <c r="AF1679" s="88">
        <f>SUMIF(月間集計シート!$M$92:$M$111,$G1679,月間集計シート!O$92:O$111)*AF$2</f>
        <v>0</v>
      </c>
      <c r="AG1679" s="88">
        <f>SUMIF(月間集計シート!$M$92:$M$111,$G1679,月間集計シート!P$92:P$111)*AG$2</f>
        <v>0</v>
      </c>
      <c r="AH1679" s="88">
        <f>SUMIF(月間集計シート!$M$92:$M$111,$G1679,月間集計シート!Q$92:Q$111)*AH$2</f>
        <v>0</v>
      </c>
      <c r="AI1679" s="88">
        <f>SUMIF(月間集計シート!$M$92:$M$111,$G1679,月間集計シート!R$92:R$111)*AI$2</f>
        <v>0</v>
      </c>
      <c r="AJ1679" s="88">
        <f>SUMIF(月間集計シート!$M$92:$M$111,$G1679,月間集計シート!S$92:S$111)*AJ$2</f>
        <v>0</v>
      </c>
      <c r="AK1679" s="88">
        <f>SUMIF(月間集計シート!$M$92:$M$111,$G1679,月間集計シート!T$92:T$111)*AK$2</f>
        <v>0</v>
      </c>
      <c r="AL1679" s="88">
        <f>SUMIF(月間集計シート!$M$113:$M$132,$G1679,月間集計シート!N$113:N$132)*AL$2</f>
        <v>0</v>
      </c>
      <c r="AM1679" s="88">
        <f>SUMIF(月間集計シート!$M$113:$M$132,$G1679,月間集計シート!O$113:O$132)*AM$2</f>
        <v>0</v>
      </c>
      <c r="AN1679" s="88">
        <f>SUMIF(月間集計シート!$M$113:$M$132,$G1679,月間集計シート!P$113:P$132)*AN$2</f>
        <v>0</v>
      </c>
      <c r="AO1679" s="88">
        <f>SUMIF(月間集計シート!$M$113:$M$132,$G1679,月間集計シート!Q$113:Q$132)*AO$2</f>
        <v>0</v>
      </c>
      <c r="AP1679" s="88">
        <f>SUMIF(月間集計シート!$M$113:$M$132,$G1679,月間集計シート!R$113:R$132)*AP$2</f>
        <v>0</v>
      </c>
      <c r="AQ1679" s="88">
        <f>SUMIF(月間集計シート!$M$113:$M$132,$G1679,月間集計シート!S$113:S$132)*AQ$2</f>
        <v>0</v>
      </c>
      <c r="AR1679" s="88">
        <f>SUMIF(月間集計シート!$M$113:$M$132,$G1679,月間集計シート!T$113:T$132)*AR$2</f>
        <v>0</v>
      </c>
      <c r="AS1679" s="88">
        <f>SUMIF(月間集計シート!$M$134:$M$153,$G1679,月間集計シート!N$134:N$153)*AS$2</f>
        <v>0</v>
      </c>
      <c r="AT1679" s="88">
        <f>SUMIF(月間集計シート!$M$134:$M$153,$G1679,月間集計シート!O$134:O$153)*AT$2</f>
        <v>0</v>
      </c>
      <c r="AU1679" s="88">
        <f>SUMIF(月間集計シート!$M$134:$M$153,$G1679,月間集計シート!P$134:P$153)*AU$2</f>
        <v>0</v>
      </c>
      <c r="AV1679" s="88">
        <f>SUMIF(月間集計シート!$M$134:$M$153,$G1679,月間集計シート!Q$134:Q$153)*AV$2</f>
        <v>0</v>
      </c>
      <c r="AW1679" s="88">
        <f>SUMIF(月間集計シート!$M$134:$M$153,$G1679,月間集計シート!R$134:R$153)*AW$2</f>
        <v>0</v>
      </c>
      <c r="AX1679" s="88">
        <f>SUMIF(月間集計シート!$M$134:$M$153,$G1679,月間集計シート!S$134:S$153)*AX$2</f>
        <v>0</v>
      </c>
      <c r="AY1679" s="88">
        <f>SUMIF(月間集計シート!$M$134:$M$153,$G1679,月間集計シート!T$134:T$153)*AY$2</f>
        <v>0</v>
      </c>
    </row>
    <row r="1680" spans="1:51" ht="14.25" thickBot="1">
      <c r="A1680">
        <v>20</v>
      </c>
      <c r="B1680" s="120">
        <f t="shared" si="941"/>
        <v>0</v>
      </c>
      <c r="C1680" s="120" t="str">
        <f t="shared" si="942"/>
        <v/>
      </c>
      <c r="D1680" s="137"/>
      <c r="E1680" s="150">
        <f>工種!A57</f>
        <v>70189</v>
      </c>
      <c r="F1680" s="119" t="str">
        <f>工種!B57</f>
        <v>外部不具合修正：外部不具合分析</v>
      </c>
      <c r="G1680" s="116" t="str">
        <f t="shared" si="943"/>
        <v>070189</v>
      </c>
      <c r="H1680" s="88">
        <f t="shared" si="897"/>
        <v>0</v>
      </c>
      <c r="I1680" s="132"/>
      <c r="J1680" s="88">
        <f>SUMIF(月間集計シート!$M$29:$M$48,$G1680,月間集計シート!N$29:N$48)*J$2</f>
        <v>0</v>
      </c>
      <c r="K1680" s="88">
        <f>SUMIF(月間集計シート!$M$29:$M$48,$G1680,月間集計シート!O$29:O$48)*K$2</f>
        <v>0</v>
      </c>
      <c r="L1680" s="88">
        <f>SUMIF(月間集計シート!$M$29:$M$48,$G1680,月間集計シート!P$29:P$48)*L$2</f>
        <v>0</v>
      </c>
      <c r="M1680" s="88">
        <f>SUMIF(月間集計シート!$M$29:$M$48,$G1680,月間集計シート!Q$29:Q$48)*M$2</f>
        <v>0</v>
      </c>
      <c r="N1680" s="88">
        <f>SUMIF(月間集計シート!$M$29:$M$48,$G1680,月間集計シート!R$29:R$48)*N$2</f>
        <v>0</v>
      </c>
      <c r="O1680" s="88">
        <f>SUMIF(月間集計シート!$M$29:$M$48,$G1680,月間集計シート!S$29:S$48)*O$2</f>
        <v>0</v>
      </c>
      <c r="P1680" s="88">
        <f>SUMIF(月間集計シート!$M$29:$M$48,$G1680,月間集計シート!T$29:T$48)*P$2</f>
        <v>0</v>
      </c>
      <c r="Q1680" s="88">
        <f>SUMIF(月間集計シート!$M$50:$M$69,$G1680,月間集計シート!N$50:N$69)*Q$2</f>
        <v>0</v>
      </c>
      <c r="R1680" s="88">
        <f>SUMIF(月間集計シート!$M$50:$M$69,$G1680,月間集計シート!O$50:O$69)*R$2</f>
        <v>0</v>
      </c>
      <c r="S1680" s="88">
        <f>SUMIF(月間集計シート!$M$50:$M$69,$G1680,月間集計シート!P$50:P$69)*S$2</f>
        <v>0</v>
      </c>
      <c r="T1680" s="88">
        <f>SUMIF(月間集計シート!$M$50:$M$69,$G1680,月間集計シート!Q$50:Q$69)*T$2</f>
        <v>0</v>
      </c>
      <c r="U1680" s="88">
        <f>SUMIF(月間集計シート!$M$50:$M$69,$G1680,月間集計シート!R$50:R$69)*U$2</f>
        <v>0</v>
      </c>
      <c r="V1680" s="88">
        <f>SUMIF(月間集計シート!$M$50:$M$69,$G1680,月間集計シート!S$50:S$69)*V$2</f>
        <v>0</v>
      </c>
      <c r="W1680" s="88">
        <f>SUMIF(月間集計シート!$M$50:$M$69,$G1680,月間集計シート!T$50:T$69)*W$2</f>
        <v>0</v>
      </c>
      <c r="X1680" s="88">
        <f>SUMIF(月間集計シート!$M$71:$M$90,$G1680,月間集計シート!N$71:N$90)*X$2</f>
        <v>0</v>
      </c>
      <c r="Y1680" s="88">
        <f>SUMIF(月間集計シート!$M$71:$M$90,$G1680,月間集計シート!O$71:O$90)*Y$2</f>
        <v>0</v>
      </c>
      <c r="Z1680" s="88">
        <f>SUMIF(月間集計シート!$M$71:$M$90,$G1680,月間集計シート!P$71:P$90)*Z$2</f>
        <v>0</v>
      </c>
      <c r="AA1680" s="88">
        <f>SUMIF(月間集計シート!$M$71:$M$90,$G1680,月間集計シート!Q$71:Q$90)*AA$2</f>
        <v>0</v>
      </c>
      <c r="AB1680" s="88">
        <f>SUMIF(月間集計シート!$M$71:$M$90,$G1680,月間集計シート!R$71:R$90)*AB$2</f>
        <v>0</v>
      </c>
      <c r="AC1680" s="88">
        <f>SUMIF(月間集計シート!$M$71:$M$90,$G1680,月間集計シート!S$71:S$90)*AC$2</f>
        <v>0</v>
      </c>
      <c r="AD1680" s="88">
        <f>SUMIF(月間集計シート!$M$71:$M$90,$G1680,月間集計シート!T$71:T$90)*AD$2</f>
        <v>0</v>
      </c>
      <c r="AE1680" s="88">
        <f>SUMIF(月間集計シート!$M$92:$M$111,$G1680,月間集計シート!N$92:N$111)*AE$2</f>
        <v>0</v>
      </c>
      <c r="AF1680" s="88">
        <f>SUMIF(月間集計シート!$M$92:$M$111,$G1680,月間集計シート!O$92:O$111)*AF$2</f>
        <v>0</v>
      </c>
      <c r="AG1680" s="88">
        <f>SUMIF(月間集計シート!$M$92:$M$111,$G1680,月間集計シート!P$92:P$111)*AG$2</f>
        <v>0</v>
      </c>
      <c r="AH1680" s="88">
        <f>SUMIF(月間集計シート!$M$92:$M$111,$G1680,月間集計シート!Q$92:Q$111)*AH$2</f>
        <v>0</v>
      </c>
      <c r="AI1680" s="88">
        <f>SUMIF(月間集計シート!$M$92:$M$111,$G1680,月間集計シート!R$92:R$111)*AI$2</f>
        <v>0</v>
      </c>
      <c r="AJ1680" s="88">
        <f>SUMIF(月間集計シート!$M$92:$M$111,$G1680,月間集計シート!S$92:S$111)*AJ$2</f>
        <v>0</v>
      </c>
      <c r="AK1680" s="88">
        <f>SUMIF(月間集計シート!$M$92:$M$111,$G1680,月間集計シート!T$92:T$111)*AK$2</f>
        <v>0</v>
      </c>
      <c r="AL1680" s="88">
        <f>SUMIF(月間集計シート!$M$113:$M$132,$G1680,月間集計シート!N$113:N$132)*AL$2</f>
        <v>0</v>
      </c>
      <c r="AM1680" s="88">
        <f>SUMIF(月間集計シート!$M$113:$M$132,$G1680,月間集計シート!O$113:O$132)*AM$2</f>
        <v>0</v>
      </c>
      <c r="AN1680" s="88">
        <f>SUMIF(月間集計シート!$M$113:$M$132,$G1680,月間集計シート!P$113:P$132)*AN$2</f>
        <v>0</v>
      </c>
      <c r="AO1680" s="88">
        <f>SUMIF(月間集計シート!$M$113:$M$132,$G1680,月間集計シート!Q$113:Q$132)*AO$2</f>
        <v>0</v>
      </c>
      <c r="AP1680" s="88">
        <f>SUMIF(月間集計シート!$M$113:$M$132,$G1680,月間集計シート!R$113:R$132)*AP$2</f>
        <v>0</v>
      </c>
      <c r="AQ1680" s="88">
        <f>SUMIF(月間集計シート!$M$113:$M$132,$G1680,月間集計シート!S$113:S$132)*AQ$2</f>
        <v>0</v>
      </c>
      <c r="AR1680" s="88">
        <f>SUMIF(月間集計シート!$M$113:$M$132,$G1680,月間集計シート!T$113:T$132)*AR$2</f>
        <v>0</v>
      </c>
      <c r="AS1680" s="88">
        <f>SUMIF(月間集計シート!$M$134:$M$153,$G1680,月間集計シート!N$134:N$153)*AS$2</f>
        <v>0</v>
      </c>
      <c r="AT1680" s="88">
        <f>SUMIF(月間集計シート!$M$134:$M$153,$G1680,月間集計シート!O$134:O$153)*AT$2</f>
        <v>0</v>
      </c>
      <c r="AU1680" s="88">
        <f>SUMIF(月間集計シート!$M$134:$M$153,$G1680,月間集計シート!P$134:P$153)*AU$2</f>
        <v>0</v>
      </c>
      <c r="AV1680" s="88">
        <f>SUMIF(月間集計シート!$M$134:$M$153,$G1680,月間集計シート!Q$134:Q$153)*AV$2</f>
        <v>0</v>
      </c>
      <c r="AW1680" s="88">
        <f>SUMIF(月間集計シート!$M$134:$M$153,$G1680,月間集計シート!R$134:R$153)*AW$2</f>
        <v>0</v>
      </c>
      <c r="AX1680" s="88">
        <f>SUMIF(月間集計シート!$M$134:$M$153,$G1680,月間集計シート!S$134:S$153)*AX$2</f>
        <v>0</v>
      </c>
      <c r="AY1680" s="88">
        <f>SUMIF(月間集計シート!$M$134:$M$153,$G1680,月間集計シート!T$134:T$153)*AY$2</f>
        <v>0</v>
      </c>
    </row>
    <row r="1681" spans="1:51" ht="14.25" thickBot="1">
      <c r="A1681">
        <v>20</v>
      </c>
      <c r="B1681" s="120">
        <f t="shared" si="941"/>
        <v>0</v>
      </c>
      <c r="C1681" s="120" t="str">
        <f t="shared" si="942"/>
        <v/>
      </c>
      <c r="D1681" s="137"/>
      <c r="E1681" s="150">
        <f>工種!A58</f>
        <v>70199</v>
      </c>
      <c r="F1681" s="119" t="str">
        <f>工種!B58</f>
        <v>外部不具合修正：その他</v>
      </c>
      <c r="G1681" s="116" t="str">
        <f t="shared" si="943"/>
        <v>070199</v>
      </c>
      <c r="H1681" s="88">
        <f t="shared" si="897"/>
        <v>0</v>
      </c>
      <c r="I1681" s="132"/>
      <c r="J1681" s="88">
        <f>SUMIF(月間集計シート!$M$29:$M$48,$G1681,月間集計シート!N$29:N$48)*J$2</f>
        <v>0</v>
      </c>
      <c r="K1681" s="88">
        <f>SUMIF(月間集計シート!$M$29:$M$48,$G1681,月間集計シート!O$29:O$48)*K$2</f>
        <v>0</v>
      </c>
      <c r="L1681" s="88">
        <f>SUMIF(月間集計シート!$M$29:$M$48,$G1681,月間集計シート!P$29:P$48)*L$2</f>
        <v>0</v>
      </c>
      <c r="M1681" s="88">
        <f>SUMIF(月間集計シート!$M$29:$M$48,$G1681,月間集計シート!Q$29:Q$48)*M$2</f>
        <v>0</v>
      </c>
      <c r="N1681" s="88">
        <f>SUMIF(月間集計シート!$M$29:$M$48,$G1681,月間集計シート!R$29:R$48)*N$2</f>
        <v>0</v>
      </c>
      <c r="O1681" s="88">
        <f>SUMIF(月間集計シート!$M$29:$M$48,$G1681,月間集計シート!S$29:S$48)*O$2</f>
        <v>0</v>
      </c>
      <c r="P1681" s="88">
        <f>SUMIF(月間集計シート!$M$29:$M$48,$G1681,月間集計シート!T$29:T$48)*P$2</f>
        <v>0</v>
      </c>
      <c r="Q1681" s="88">
        <f>SUMIF(月間集計シート!$M$50:$M$69,$G1681,月間集計シート!N$50:N$69)*Q$2</f>
        <v>0</v>
      </c>
      <c r="R1681" s="88">
        <f>SUMIF(月間集計シート!$M$50:$M$69,$G1681,月間集計シート!O$50:O$69)*R$2</f>
        <v>0</v>
      </c>
      <c r="S1681" s="88">
        <f>SUMIF(月間集計シート!$M$50:$M$69,$G1681,月間集計シート!P$50:P$69)*S$2</f>
        <v>0</v>
      </c>
      <c r="T1681" s="88">
        <f>SUMIF(月間集計シート!$M$50:$M$69,$G1681,月間集計シート!Q$50:Q$69)*T$2</f>
        <v>0</v>
      </c>
      <c r="U1681" s="88">
        <f>SUMIF(月間集計シート!$M$50:$M$69,$G1681,月間集計シート!R$50:R$69)*U$2</f>
        <v>0</v>
      </c>
      <c r="V1681" s="88">
        <f>SUMIF(月間集計シート!$M$50:$M$69,$G1681,月間集計シート!S$50:S$69)*V$2</f>
        <v>0</v>
      </c>
      <c r="W1681" s="88">
        <f>SUMIF(月間集計シート!$M$50:$M$69,$G1681,月間集計シート!T$50:T$69)*W$2</f>
        <v>0</v>
      </c>
      <c r="X1681" s="88">
        <f>SUMIF(月間集計シート!$M$71:$M$90,$G1681,月間集計シート!N$71:N$90)*X$2</f>
        <v>0</v>
      </c>
      <c r="Y1681" s="88">
        <f>SUMIF(月間集計シート!$M$71:$M$90,$G1681,月間集計シート!O$71:O$90)*Y$2</f>
        <v>0</v>
      </c>
      <c r="Z1681" s="88">
        <f>SUMIF(月間集計シート!$M$71:$M$90,$G1681,月間集計シート!P$71:P$90)*Z$2</f>
        <v>0</v>
      </c>
      <c r="AA1681" s="88">
        <f>SUMIF(月間集計シート!$M$71:$M$90,$G1681,月間集計シート!Q$71:Q$90)*AA$2</f>
        <v>0</v>
      </c>
      <c r="AB1681" s="88">
        <f>SUMIF(月間集計シート!$M$71:$M$90,$G1681,月間集計シート!R$71:R$90)*AB$2</f>
        <v>0</v>
      </c>
      <c r="AC1681" s="88">
        <f>SUMIF(月間集計シート!$M$71:$M$90,$G1681,月間集計シート!S$71:S$90)*AC$2</f>
        <v>0</v>
      </c>
      <c r="AD1681" s="88">
        <f>SUMIF(月間集計シート!$M$71:$M$90,$G1681,月間集計シート!T$71:T$90)*AD$2</f>
        <v>0</v>
      </c>
      <c r="AE1681" s="88">
        <f>SUMIF(月間集計シート!$M$92:$M$111,$G1681,月間集計シート!N$92:N$111)*AE$2</f>
        <v>0</v>
      </c>
      <c r="AF1681" s="88">
        <f>SUMIF(月間集計シート!$M$92:$M$111,$G1681,月間集計シート!O$92:O$111)*AF$2</f>
        <v>0</v>
      </c>
      <c r="AG1681" s="88">
        <f>SUMIF(月間集計シート!$M$92:$M$111,$G1681,月間集計シート!P$92:P$111)*AG$2</f>
        <v>0</v>
      </c>
      <c r="AH1681" s="88">
        <f>SUMIF(月間集計シート!$M$92:$M$111,$G1681,月間集計シート!Q$92:Q$111)*AH$2</f>
        <v>0</v>
      </c>
      <c r="AI1681" s="88">
        <f>SUMIF(月間集計シート!$M$92:$M$111,$G1681,月間集計シート!R$92:R$111)*AI$2</f>
        <v>0</v>
      </c>
      <c r="AJ1681" s="88">
        <f>SUMIF(月間集計シート!$M$92:$M$111,$G1681,月間集計シート!S$92:S$111)*AJ$2</f>
        <v>0</v>
      </c>
      <c r="AK1681" s="88">
        <f>SUMIF(月間集計シート!$M$92:$M$111,$G1681,月間集計シート!T$92:T$111)*AK$2</f>
        <v>0</v>
      </c>
      <c r="AL1681" s="88">
        <f>SUMIF(月間集計シート!$M$113:$M$132,$G1681,月間集計シート!N$113:N$132)*AL$2</f>
        <v>0</v>
      </c>
      <c r="AM1681" s="88">
        <f>SUMIF(月間集計シート!$M$113:$M$132,$G1681,月間集計シート!O$113:O$132)*AM$2</f>
        <v>0</v>
      </c>
      <c r="AN1681" s="88">
        <f>SUMIF(月間集計シート!$M$113:$M$132,$G1681,月間集計シート!P$113:P$132)*AN$2</f>
        <v>0</v>
      </c>
      <c r="AO1681" s="88">
        <f>SUMIF(月間集計シート!$M$113:$M$132,$G1681,月間集計シート!Q$113:Q$132)*AO$2</f>
        <v>0</v>
      </c>
      <c r="AP1681" s="88">
        <f>SUMIF(月間集計シート!$M$113:$M$132,$G1681,月間集計シート!R$113:R$132)*AP$2</f>
        <v>0</v>
      </c>
      <c r="AQ1681" s="88">
        <f>SUMIF(月間集計シート!$M$113:$M$132,$G1681,月間集計シート!S$113:S$132)*AQ$2</f>
        <v>0</v>
      </c>
      <c r="AR1681" s="88">
        <f>SUMIF(月間集計シート!$M$113:$M$132,$G1681,月間集計シート!T$113:T$132)*AR$2</f>
        <v>0</v>
      </c>
      <c r="AS1681" s="88">
        <f>SUMIF(月間集計シート!$M$134:$M$153,$G1681,月間集計シート!N$134:N$153)*AS$2</f>
        <v>0</v>
      </c>
      <c r="AT1681" s="88">
        <f>SUMIF(月間集計シート!$M$134:$M$153,$G1681,月間集計シート!O$134:O$153)*AT$2</f>
        <v>0</v>
      </c>
      <c r="AU1681" s="88">
        <f>SUMIF(月間集計シート!$M$134:$M$153,$G1681,月間集計シート!P$134:P$153)*AU$2</f>
        <v>0</v>
      </c>
      <c r="AV1681" s="88">
        <f>SUMIF(月間集計シート!$M$134:$M$153,$G1681,月間集計シート!Q$134:Q$153)*AV$2</f>
        <v>0</v>
      </c>
      <c r="AW1681" s="88">
        <f>SUMIF(月間集計シート!$M$134:$M$153,$G1681,月間集計シート!R$134:R$153)*AW$2</f>
        <v>0</v>
      </c>
      <c r="AX1681" s="88">
        <f>SUMIF(月間集計シート!$M$134:$M$153,$G1681,月間集計シート!S$134:S$153)*AX$2</f>
        <v>0</v>
      </c>
      <c r="AY1681" s="88">
        <f>SUMIF(月間集計シート!$M$134:$M$153,$G1681,月間集計シート!T$134:T$153)*AY$2</f>
        <v>0</v>
      </c>
    </row>
    <row r="1682" spans="1:51" ht="14.25" thickBot="1">
      <c r="A1682">
        <v>20</v>
      </c>
      <c r="B1682" s="120">
        <f t="shared" si="941"/>
        <v>0</v>
      </c>
      <c r="C1682" s="120" t="str">
        <f t="shared" si="942"/>
        <v/>
      </c>
      <c r="D1682" s="137"/>
      <c r="E1682" s="150" t="str">
        <f>工種!A59</f>
        <v>80101</v>
      </c>
      <c r="F1682" s="119" t="str">
        <f>工種!B59</f>
        <v>保守／ｻﾎﾟｰﾄ：調査</v>
      </c>
      <c r="G1682" s="116" t="str">
        <f t="shared" si="943"/>
        <v>080101</v>
      </c>
      <c r="H1682" s="88">
        <f t="shared" si="897"/>
        <v>0</v>
      </c>
      <c r="I1682" s="132"/>
      <c r="J1682" s="88">
        <f>SUMIF(月間集計シート!$M$29:$M$48,$G1682,月間集計シート!N$29:N$48)*J$2</f>
        <v>0</v>
      </c>
      <c r="K1682" s="88">
        <f>SUMIF(月間集計シート!$M$29:$M$48,$G1682,月間集計シート!O$29:O$48)*K$2</f>
        <v>0</v>
      </c>
      <c r="L1682" s="88">
        <f>SUMIF(月間集計シート!$M$29:$M$48,$G1682,月間集計シート!P$29:P$48)*L$2</f>
        <v>0</v>
      </c>
      <c r="M1682" s="88">
        <f>SUMIF(月間集計シート!$M$29:$M$48,$G1682,月間集計シート!Q$29:Q$48)*M$2</f>
        <v>0</v>
      </c>
      <c r="N1682" s="88">
        <f>SUMIF(月間集計シート!$M$29:$M$48,$G1682,月間集計シート!R$29:R$48)*N$2</f>
        <v>0</v>
      </c>
      <c r="O1682" s="88">
        <f>SUMIF(月間集計シート!$M$29:$M$48,$G1682,月間集計シート!S$29:S$48)*O$2</f>
        <v>0</v>
      </c>
      <c r="P1682" s="88">
        <f>SUMIF(月間集計シート!$M$29:$M$48,$G1682,月間集計シート!T$29:T$48)*P$2</f>
        <v>0</v>
      </c>
      <c r="Q1682" s="88">
        <f>SUMIF(月間集計シート!$M$50:$M$69,$G1682,月間集計シート!N$50:N$69)*Q$2</f>
        <v>0</v>
      </c>
      <c r="R1682" s="88">
        <f>SUMIF(月間集計シート!$M$50:$M$69,$G1682,月間集計シート!O$50:O$69)*R$2</f>
        <v>0</v>
      </c>
      <c r="S1682" s="88">
        <f>SUMIF(月間集計シート!$M$50:$M$69,$G1682,月間集計シート!P$50:P$69)*S$2</f>
        <v>0</v>
      </c>
      <c r="T1682" s="88">
        <f>SUMIF(月間集計シート!$M$50:$M$69,$G1682,月間集計シート!Q$50:Q$69)*T$2</f>
        <v>0</v>
      </c>
      <c r="U1682" s="88">
        <f>SUMIF(月間集計シート!$M$50:$M$69,$G1682,月間集計シート!R$50:R$69)*U$2</f>
        <v>0</v>
      </c>
      <c r="V1682" s="88">
        <f>SUMIF(月間集計シート!$M$50:$M$69,$G1682,月間集計シート!S$50:S$69)*V$2</f>
        <v>0</v>
      </c>
      <c r="W1682" s="88">
        <f>SUMIF(月間集計シート!$M$50:$M$69,$G1682,月間集計シート!T$50:T$69)*W$2</f>
        <v>0</v>
      </c>
      <c r="X1682" s="88">
        <f>SUMIF(月間集計シート!$M$71:$M$90,$G1682,月間集計シート!N$71:N$90)*X$2</f>
        <v>0</v>
      </c>
      <c r="Y1682" s="88">
        <f>SUMIF(月間集計シート!$M$71:$M$90,$G1682,月間集計シート!O$71:O$90)*Y$2</f>
        <v>0</v>
      </c>
      <c r="Z1682" s="88">
        <f>SUMIF(月間集計シート!$M$71:$M$90,$G1682,月間集計シート!P$71:P$90)*Z$2</f>
        <v>0</v>
      </c>
      <c r="AA1682" s="88">
        <f>SUMIF(月間集計シート!$M$71:$M$90,$G1682,月間集計シート!Q$71:Q$90)*AA$2</f>
        <v>0</v>
      </c>
      <c r="AB1682" s="88">
        <f>SUMIF(月間集計シート!$M$71:$M$90,$G1682,月間集計シート!R$71:R$90)*AB$2</f>
        <v>0</v>
      </c>
      <c r="AC1682" s="88">
        <f>SUMIF(月間集計シート!$M$71:$M$90,$G1682,月間集計シート!S$71:S$90)*AC$2</f>
        <v>0</v>
      </c>
      <c r="AD1682" s="88">
        <f>SUMIF(月間集計シート!$M$71:$M$90,$G1682,月間集計シート!T$71:T$90)*AD$2</f>
        <v>0</v>
      </c>
      <c r="AE1682" s="88">
        <f>SUMIF(月間集計シート!$M$92:$M$111,$G1682,月間集計シート!N$92:N$111)*AE$2</f>
        <v>0</v>
      </c>
      <c r="AF1682" s="88">
        <f>SUMIF(月間集計シート!$M$92:$M$111,$G1682,月間集計シート!O$92:O$111)*AF$2</f>
        <v>0</v>
      </c>
      <c r="AG1682" s="88">
        <f>SUMIF(月間集計シート!$M$92:$M$111,$G1682,月間集計シート!P$92:P$111)*AG$2</f>
        <v>0</v>
      </c>
      <c r="AH1682" s="88">
        <f>SUMIF(月間集計シート!$M$92:$M$111,$G1682,月間集計シート!Q$92:Q$111)*AH$2</f>
        <v>0</v>
      </c>
      <c r="AI1682" s="88">
        <f>SUMIF(月間集計シート!$M$92:$M$111,$G1682,月間集計シート!R$92:R$111)*AI$2</f>
        <v>0</v>
      </c>
      <c r="AJ1682" s="88">
        <f>SUMIF(月間集計シート!$M$92:$M$111,$G1682,月間集計シート!S$92:S$111)*AJ$2</f>
        <v>0</v>
      </c>
      <c r="AK1682" s="88">
        <f>SUMIF(月間集計シート!$M$92:$M$111,$G1682,月間集計シート!T$92:T$111)*AK$2</f>
        <v>0</v>
      </c>
      <c r="AL1682" s="88">
        <f>SUMIF(月間集計シート!$M$113:$M$132,$G1682,月間集計シート!N$113:N$132)*AL$2</f>
        <v>0</v>
      </c>
      <c r="AM1682" s="88">
        <f>SUMIF(月間集計シート!$M$113:$M$132,$G1682,月間集計シート!O$113:O$132)*AM$2</f>
        <v>0</v>
      </c>
      <c r="AN1682" s="88">
        <f>SUMIF(月間集計シート!$M$113:$M$132,$G1682,月間集計シート!P$113:P$132)*AN$2</f>
        <v>0</v>
      </c>
      <c r="AO1682" s="88">
        <f>SUMIF(月間集計シート!$M$113:$M$132,$G1682,月間集計シート!Q$113:Q$132)*AO$2</f>
        <v>0</v>
      </c>
      <c r="AP1682" s="88">
        <f>SUMIF(月間集計シート!$M$113:$M$132,$G1682,月間集計シート!R$113:R$132)*AP$2</f>
        <v>0</v>
      </c>
      <c r="AQ1682" s="88">
        <f>SUMIF(月間集計シート!$M$113:$M$132,$G1682,月間集計シート!S$113:S$132)*AQ$2</f>
        <v>0</v>
      </c>
      <c r="AR1682" s="88">
        <f>SUMIF(月間集計シート!$M$113:$M$132,$G1682,月間集計シート!T$113:T$132)*AR$2</f>
        <v>0</v>
      </c>
      <c r="AS1682" s="88">
        <f>SUMIF(月間集計シート!$M$134:$M$153,$G1682,月間集計シート!N$134:N$153)*AS$2</f>
        <v>0</v>
      </c>
      <c r="AT1682" s="88">
        <f>SUMIF(月間集計シート!$M$134:$M$153,$G1682,月間集計シート!O$134:O$153)*AT$2</f>
        <v>0</v>
      </c>
      <c r="AU1682" s="88">
        <f>SUMIF(月間集計シート!$M$134:$M$153,$G1682,月間集計シート!P$134:P$153)*AU$2</f>
        <v>0</v>
      </c>
      <c r="AV1682" s="88">
        <f>SUMIF(月間集計シート!$M$134:$M$153,$G1682,月間集計シート!Q$134:Q$153)*AV$2</f>
        <v>0</v>
      </c>
      <c r="AW1682" s="88">
        <f>SUMIF(月間集計シート!$M$134:$M$153,$G1682,月間集計シート!R$134:R$153)*AW$2</f>
        <v>0</v>
      </c>
      <c r="AX1682" s="88">
        <f>SUMIF(月間集計シート!$M$134:$M$153,$G1682,月間集計シート!S$134:S$153)*AX$2</f>
        <v>0</v>
      </c>
      <c r="AY1682" s="88">
        <f>SUMIF(月間集計シート!$M$134:$M$153,$G1682,月間集計シート!T$134:T$153)*AY$2</f>
        <v>0</v>
      </c>
    </row>
    <row r="1683" spans="1:51" ht="14.25" thickBot="1">
      <c r="A1683">
        <v>20</v>
      </c>
      <c r="B1683" s="120">
        <f t="shared" si="941"/>
        <v>0</v>
      </c>
      <c r="C1683" s="120" t="str">
        <f t="shared" si="942"/>
        <v/>
      </c>
      <c r="D1683" s="137"/>
      <c r="E1683" s="150" t="str">
        <f>工種!A60</f>
        <v>80102</v>
      </c>
      <c r="F1683" s="119" t="str">
        <f>工種!B60</f>
        <v>保守／ｻﾎﾟｰﾄ：社内問い合わせ</v>
      </c>
      <c r="G1683" s="116" t="str">
        <f t="shared" si="943"/>
        <v>080102</v>
      </c>
      <c r="H1683" s="88">
        <f t="shared" si="897"/>
        <v>0</v>
      </c>
      <c r="I1683" s="132"/>
      <c r="J1683" s="88">
        <f>SUMIF(月間集計シート!$M$29:$M$48,$G1683,月間集計シート!N$29:N$48)*J$2</f>
        <v>0</v>
      </c>
      <c r="K1683" s="88">
        <f>SUMIF(月間集計シート!$M$29:$M$48,$G1683,月間集計シート!O$29:O$48)*K$2</f>
        <v>0</v>
      </c>
      <c r="L1683" s="88">
        <f>SUMIF(月間集計シート!$M$29:$M$48,$G1683,月間集計シート!P$29:P$48)*L$2</f>
        <v>0</v>
      </c>
      <c r="M1683" s="88">
        <f>SUMIF(月間集計シート!$M$29:$M$48,$G1683,月間集計シート!Q$29:Q$48)*M$2</f>
        <v>0</v>
      </c>
      <c r="N1683" s="88">
        <f>SUMIF(月間集計シート!$M$29:$M$48,$G1683,月間集計シート!R$29:R$48)*N$2</f>
        <v>0</v>
      </c>
      <c r="O1683" s="88">
        <f>SUMIF(月間集計シート!$M$29:$M$48,$G1683,月間集計シート!S$29:S$48)*O$2</f>
        <v>0</v>
      </c>
      <c r="P1683" s="88">
        <f>SUMIF(月間集計シート!$M$29:$M$48,$G1683,月間集計シート!T$29:T$48)*P$2</f>
        <v>0</v>
      </c>
      <c r="Q1683" s="88">
        <f>SUMIF(月間集計シート!$M$50:$M$69,$G1683,月間集計シート!N$50:N$69)*Q$2</f>
        <v>0</v>
      </c>
      <c r="R1683" s="88">
        <f>SUMIF(月間集計シート!$M$50:$M$69,$G1683,月間集計シート!O$50:O$69)*R$2</f>
        <v>0</v>
      </c>
      <c r="S1683" s="88">
        <f>SUMIF(月間集計シート!$M$50:$M$69,$G1683,月間集計シート!P$50:P$69)*S$2</f>
        <v>0</v>
      </c>
      <c r="T1683" s="88">
        <f>SUMIF(月間集計シート!$M$50:$M$69,$G1683,月間集計シート!Q$50:Q$69)*T$2</f>
        <v>0</v>
      </c>
      <c r="U1683" s="88">
        <f>SUMIF(月間集計シート!$M$50:$M$69,$G1683,月間集計シート!R$50:R$69)*U$2</f>
        <v>0</v>
      </c>
      <c r="V1683" s="88">
        <f>SUMIF(月間集計シート!$M$50:$M$69,$G1683,月間集計シート!S$50:S$69)*V$2</f>
        <v>0</v>
      </c>
      <c r="W1683" s="88">
        <f>SUMIF(月間集計シート!$M$50:$M$69,$G1683,月間集計シート!T$50:T$69)*W$2</f>
        <v>0</v>
      </c>
      <c r="X1683" s="88">
        <f>SUMIF(月間集計シート!$M$71:$M$90,$G1683,月間集計シート!N$71:N$90)*X$2</f>
        <v>0</v>
      </c>
      <c r="Y1683" s="88">
        <f>SUMIF(月間集計シート!$M$71:$M$90,$G1683,月間集計シート!O$71:O$90)*Y$2</f>
        <v>0</v>
      </c>
      <c r="Z1683" s="88">
        <f>SUMIF(月間集計シート!$M$71:$M$90,$G1683,月間集計シート!P$71:P$90)*Z$2</f>
        <v>0</v>
      </c>
      <c r="AA1683" s="88">
        <f>SUMIF(月間集計シート!$M$71:$M$90,$G1683,月間集計シート!Q$71:Q$90)*AA$2</f>
        <v>0</v>
      </c>
      <c r="AB1683" s="88">
        <f>SUMIF(月間集計シート!$M$71:$M$90,$G1683,月間集計シート!R$71:R$90)*AB$2</f>
        <v>0</v>
      </c>
      <c r="AC1683" s="88">
        <f>SUMIF(月間集計シート!$M$71:$M$90,$G1683,月間集計シート!S$71:S$90)*AC$2</f>
        <v>0</v>
      </c>
      <c r="AD1683" s="88">
        <f>SUMIF(月間集計シート!$M$71:$M$90,$G1683,月間集計シート!T$71:T$90)*AD$2</f>
        <v>0</v>
      </c>
      <c r="AE1683" s="88">
        <f>SUMIF(月間集計シート!$M$92:$M$111,$G1683,月間集計シート!N$92:N$111)*AE$2</f>
        <v>0</v>
      </c>
      <c r="AF1683" s="88">
        <f>SUMIF(月間集計シート!$M$92:$M$111,$G1683,月間集計シート!O$92:O$111)*AF$2</f>
        <v>0</v>
      </c>
      <c r="AG1683" s="88">
        <f>SUMIF(月間集計シート!$M$92:$M$111,$G1683,月間集計シート!P$92:P$111)*AG$2</f>
        <v>0</v>
      </c>
      <c r="AH1683" s="88">
        <f>SUMIF(月間集計シート!$M$92:$M$111,$G1683,月間集計シート!Q$92:Q$111)*AH$2</f>
        <v>0</v>
      </c>
      <c r="AI1683" s="88">
        <f>SUMIF(月間集計シート!$M$92:$M$111,$G1683,月間集計シート!R$92:R$111)*AI$2</f>
        <v>0</v>
      </c>
      <c r="AJ1683" s="88">
        <f>SUMIF(月間集計シート!$M$92:$M$111,$G1683,月間集計シート!S$92:S$111)*AJ$2</f>
        <v>0</v>
      </c>
      <c r="AK1683" s="88">
        <f>SUMIF(月間集計シート!$M$92:$M$111,$G1683,月間集計シート!T$92:T$111)*AK$2</f>
        <v>0</v>
      </c>
      <c r="AL1683" s="88">
        <f>SUMIF(月間集計シート!$M$113:$M$132,$G1683,月間集計シート!N$113:N$132)*AL$2</f>
        <v>0</v>
      </c>
      <c r="AM1683" s="88">
        <f>SUMIF(月間集計シート!$M$113:$M$132,$G1683,月間集計シート!O$113:O$132)*AM$2</f>
        <v>0</v>
      </c>
      <c r="AN1683" s="88">
        <f>SUMIF(月間集計シート!$M$113:$M$132,$G1683,月間集計シート!P$113:P$132)*AN$2</f>
        <v>0</v>
      </c>
      <c r="AO1683" s="88">
        <f>SUMIF(月間集計シート!$M$113:$M$132,$G1683,月間集計シート!Q$113:Q$132)*AO$2</f>
        <v>0</v>
      </c>
      <c r="AP1683" s="88">
        <f>SUMIF(月間集計シート!$M$113:$M$132,$G1683,月間集計シート!R$113:R$132)*AP$2</f>
        <v>0</v>
      </c>
      <c r="AQ1683" s="88">
        <f>SUMIF(月間集計シート!$M$113:$M$132,$G1683,月間集計シート!S$113:S$132)*AQ$2</f>
        <v>0</v>
      </c>
      <c r="AR1683" s="88">
        <f>SUMIF(月間集計シート!$M$113:$M$132,$G1683,月間集計シート!T$113:T$132)*AR$2</f>
        <v>0</v>
      </c>
      <c r="AS1683" s="88">
        <f>SUMIF(月間集計シート!$M$134:$M$153,$G1683,月間集計シート!N$134:N$153)*AS$2</f>
        <v>0</v>
      </c>
      <c r="AT1683" s="88">
        <f>SUMIF(月間集計シート!$M$134:$M$153,$G1683,月間集計シート!O$134:O$153)*AT$2</f>
        <v>0</v>
      </c>
      <c r="AU1683" s="88">
        <f>SUMIF(月間集計シート!$M$134:$M$153,$G1683,月間集計シート!P$134:P$153)*AU$2</f>
        <v>0</v>
      </c>
      <c r="AV1683" s="88">
        <f>SUMIF(月間集計シート!$M$134:$M$153,$G1683,月間集計シート!Q$134:Q$153)*AV$2</f>
        <v>0</v>
      </c>
      <c r="AW1683" s="88">
        <f>SUMIF(月間集計シート!$M$134:$M$153,$G1683,月間集計シート!R$134:R$153)*AW$2</f>
        <v>0</v>
      </c>
      <c r="AX1683" s="88">
        <f>SUMIF(月間集計シート!$M$134:$M$153,$G1683,月間集計シート!S$134:S$153)*AX$2</f>
        <v>0</v>
      </c>
      <c r="AY1683" s="88">
        <f>SUMIF(月間集計シート!$M$134:$M$153,$G1683,月間集計シート!T$134:T$153)*AY$2</f>
        <v>0</v>
      </c>
    </row>
    <row r="1684" spans="1:51" ht="14.25" thickBot="1">
      <c r="A1684">
        <v>20</v>
      </c>
      <c r="B1684" s="120">
        <f t="shared" si="941"/>
        <v>0</v>
      </c>
      <c r="C1684" s="120" t="str">
        <f t="shared" si="942"/>
        <v/>
      </c>
      <c r="D1684" s="137"/>
      <c r="E1684" s="150" t="str">
        <f>工種!A61</f>
        <v>80103</v>
      </c>
      <c r="F1684" s="119" t="str">
        <f>工種!B61</f>
        <v>保守／ｻﾎﾟｰﾄ：支社・他部門支援</v>
      </c>
      <c r="G1684" s="116" t="str">
        <f t="shared" si="943"/>
        <v>080103</v>
      </c>
      <c r="H1684" s="88">
        <f t="shared" si="897"/>
        <v>0</v>
      </c>
      <c r="I1684" s="132"/>
      <c r="J1684" s="88">
        <f>SUMIF(月間集計シート!$M$29:$M$48,$G1684,月間集計シート!N$29:N$48)*J$2</f>
        <v>0</v>
      </c>
      <c r="K1684" s="88">
        <f>SUMIF(月間集計シート!$M$29:$M$48,$G1684,月間集計シート!O$29:O$48)*K$2</f>
        <v>0</v>
      </c>
      <c r="L1684" s="88">
        <f>SUMIF(月間集計シート!$M$29:$M$48,$G1684,月間集計シート!P$29:P$48)*L$2</f>
        <v>0</v>
      </c>
      <c r="M1684" s="88">
        <f>SUMIF(月間集計シート!$M$29:$M$48,$G1684,月間集計シート!Q$29:Q$48)*M$2</f>
        <v>0</v>
      </c>
      <c r="N1684" s="88">
        <f>SUMIF(月間集計シート!$M$29:$M$48,$G1684,月間集計シート!R$29:R$48)*N$2</f>
        <v>0</v>
      </c>
      <c r="O1684" s="88">
        <f>SUMIF(月間集計シート!$M$29:$M$48,$G1684,月間集計シート!S$29:S$48)*O$2</f>
        <v>0</v>
      </c>
      <c r="P1684" s="88">
        <f>SUMIF(月間集計シート!$M$29:$M$48,$G1684,月間集計シート!T$29:T$48)*P$2</f>
        <v>0</v>
      </c>
      <c r="Q1684" s="88">
        <f>SUMIF(月間集計シート!$M$50:$M$69,$G1684,月間集計シート!N$50:N$69)*Q$2</f>
        <v>0</v>
      </c>
      <c r="R1684" s="88">
        <f>SUMIF(月間集計シート!$M$50:$M$69,$G1684,月間集計シート!O$50:O$69)*R$2</f>
        <v>0</v>
      </c>
      <c r="S1684" s="88">
        <f>SUMIF(月間集計シート!$M$50:$M$69,$G1684,月間集計シート!P$50:P$69)*S$2</f>
        <v>0</v>
      </c>
      <c r="T1684" s="88">
        <f>SUMIF(月間集計シート!$M$50:$M$69,$G1684,月間集計シート!Q$50:Q$69)*T$2</f>
        <v>0</v>
      </c>
      <c r="U1684" s="88">
        <f>SUMIF(月間集計シート!$M$50:$M$69,$G1684,月間集計シート!R$50:R$69)*U$2</f>
        <v>0</v>
      </c>
      <c r="V1684" s="88">
        <f>SUMIF(月間集計シート!$M$50:$M$69,$G1684,月間集計シート!S$50:S$69)*V$2</f>
        <v>0</v>
      </c>
      <c r="W1684" s="88">
        <f>SUMIF(月間集計シート!$M$50:$M$69,$G1684,月間集計シート!T$50:T$69)*W$2</f>
        <v>0</v>
      </c>
      <c r="X1684" s="88">
        <f>SUMIF(月間集計シート!$M$71:$M$90,$G1684,月間集計シート!N$71:N$90)*X$2</f>
        <v>0</v>
      </c>
      <c r="Y1684" s="88">
        <f>SUMIF(月間集計シート!$M$71:$M$90,$G1684,月間集計シート!O$71:O$90)*Y$2</f>
        <v>0</v>
      </c>
      <c r="Z1684" s="88">
        <f>SUMIF(月間集計シート!$M$71:$M$90,$G1684,月間集計シート!P$71:P$90)*Z$2</f>
        <v>0</v>
      </c>
      <c r="AA1684" s="88">
        <f>SUMIF(月間集計シート!$M$71:$M$90,$G1684,月間集計シート!Q$71:Q$90)*AA$2</f>
        <v>0</v>
      </c>
      <c r="AB1684" s="88">
        <f>SUMIF(月間集計シート!$M$71:$M$90,$G1684,月間集計シート!R$71:R$90)*AB$2</f>
        <v>0</v>
      </c>
      <c r="AC1684" s="88">
        <f>SUMIF(月間集計シート!$M$71:$M$90,$G1684,月間集計シート!S$71:S$90)*AC$2</f>
        <v>0</v>
      </c>
      <c r="AD1684" s="88">
        <f>SUMIF(月間集計シート!$M$71:$M$90,$G1684,月間集計シート!T$71:T$90)*AD$2</f>
        <v>0</v>
      </c>
      <c r="AE1684" s="88">
        <f>SUMIF(月間集計シート!$M$92:$M$111,$G1684,月間集計シート!N$92:N$111)*AE$2</f>
        <v>0</v>
      </c>
      <c r="AF1684" s="88">
        <f>SUMIF(月間集計シート!$M$92:$M$111,$G1684,月間集計シート!O$92:O$111)*AF$2</f>
        <v>0</v>
      </c>
      <c r="AG1684" s="88">
        <f>SUMIF(月間集計シート!$M$92:$M$111,$G1684,月間集計シート!P$92:P$111)*AG$2</f>
        <v>0</v>
      </c>
      <c r="AH1684" s="88">
        <f>SUMIF(月間集計シート!$M$92:$M$111,$G1684,月間集計シート!Q$92:Q$111)*AH$2</f>
        <v>0</v>
      </c>
      <c r="AI1684" s="88">
        <f>SUMIF(月間集計シート!$M$92:$M$111,$G1684,月間集計シート!R$92:R$111)*AI$2</f>
        <v>0</v>
      </c>
      <c r="AJ1684" s="88">
        <f>SUMIF(月間集計シート!$M$92:$M$111,$G1684,月間集計シート!S$92:S$111)*AJ$2</f>
        <v>0</v>
      </c>
      <c r="AK1684" s="88">
        <f>SUMIF(月間集計シート!$M$92:$M$111,$G1684,月間集計シート!T$92:T$111)*AK$2</f>
        <v>0</v>
      </c>
      <c r="AL1684" s="88">
        <f>SUMIF(月間集計シート!$M$113:$M$132,$G1684,月間集計シート!N$113:N$132)*AL$2</f>
        <v>0</v>
      </c>
      <c r="AM1684" s="88">
        <f>SUMIF(月間集計シート!$M$113:$M$132,$G1684,月間集計シート!O$113:O$132)*AM$2</f>
        <v>0</v>
      </c>
      <c r="AN1684" s="88">
        <f>SUMIF(月間集計シート!$M$113:$M$132,$G1684,月間集計シート!P$113:P$132)*AN$2</f>
        <v>0</v>
      </c>
      <c r="AO1684" s="88">
        <f>SUMIF(月間集計シート!$M$113:$M$132,$G1684,月間集計シート!Q$113:Q$132)*AO$2</f>
        <v>0</v>
      </c>
      <c r="AP1684" s="88">
        <f>SUMIF(月間集計シート!$M$113:$M$132,$G1684,月間集計シート!R$113:R$132)*AP$2</f>
        <v>0</v>
      </c>
      <c r="AQ1684" s="88">
        <f>SUMIF(月間集計シート!$M$113:$M$132,$G1684,月間集計シート!S$113:S$132)*AQ$2</f>
        <v>0</v>
      </c>
      <c r="AR1684" s="88">
        <f>SUMIF(月間集計シート!$M$113:$M$132,$G1684,月間集計シート!T$113:T$132)*AR$2</f>
        <v>0</v>
      </c>
      <c r="AS1684" s="88">
        <f>SUMIF(月間集計シート!$M$134:$M$153,$G1684,月間集計シート!N$134:N$153)*AS$2</f>
        <v>0</v>
      </c>
      <c r="AT1684" s="88">
        <f>SUMIF(月間集計シート!$M$134:$M$153,$G1684,月間集計シート!O$134:O$153)*AT$2</f>
        <v>0</v>
      </c>
      <c r="AU1684" s="88">
        <f>SUMIF(月間集計シート!$M$134:$M$153,$G1684,月間集計シート!P$134:P$153)*AU$2</f>
        <v>0</v>
      </c>
      <c r="AV1684" s="88">
        <f>SUMIF(月間集計シート!$M$134:$M$153,$G1684,月間集計シート!Q$134:Q$153)*AV$2</f>
        <v>0</v>
      </c>
      <c r="AW1684" s="88">
        <f>SUMIF(月間集計シート!$M$134:$M$153,$G1684,月間集計シート!R$134:R$153)*AW$2</f>
        <v>0</v>
      </c>
      <c r="AX1684" s="88">
        <f>SUMIF(月間集計シート!$M$134:$M$153,$G1684,月間集計シート!S$134:S$153)*AX$2</f>
        <v>0</v>
      </c>
      <c r="AY1684" s="88">
        <f>SUMIF(月間集計シート!$M$134:$M$153,$G1684,月間集計シート!T$134:T$153)*AY$2</f>
        <v>0</v>
      </c>
    </row>
    <row r="1685" spans="1:51" ht="14.25" thickBot="1">
      <c r="A1685">
        <v>20</v>
      </c>
      <c r="B1685" s="120">
        <f t="shared" si="941"/>
        <v>0</v>
      </c>
      <c r="C1685" s="120" t="str">
        <f t="shared" si="942"/>
        <v/>
      </c>
      <c r="D1685" s="137"/>
      <c r="E1685" s="150" t="str">
        <f>工種!A62</f>
        <v>80104</v>
      </c>
      <c r="F1685" s="119" t="str">
        <f>工種!B62</f>
        <v>保守／ｻﾎﾟｰﾄ：連絡文書作成・更新</v>
      </c>
      <c r="G1685" s="116" t="str">
        <f t="shared" si="943"/>
        <v>080104</v>
      </c>
      <c r="H1685" s="88">
        <f t="shared" si="897"/>
        <v>0</v>
      </c>
      <c r="I1685" s="132"/>
      <c r="J1685" s="88">
        <f>SUMIF(月間集計シート!$M$29:$M$48,$G1685,月間集計シート!N$29:N$48)*J$2</f>
        <v>0</v>
      </c>
      <c r="K1685" s="88">
        <f>SUMIF(月間集計シート!$M$29:$M$48,$G1685,月間集計シート!O$29:O$48)*K$2</f>
        <v>0</v>
      </c>
      <c r="L1685" s="88">
        <f>SUMIF(月間集計シート!$M$29:$M$48,$G1685,月間集計シート!P$29:P$48)*L$2</f>
        <v>0</v>
      </c>
      <c r="M1685" s="88">
        <f>SUMIF(月間集計シート!$M$29:$M$48,$G1685,月間集計シート!Q$29:Q$48)*M$2</f>
        <v>0</v>
      </c>
      <c r="N1685" s="88">
        <f>SUMIF(月間集計シート!$M$29:$M$48,$G1685,月間集計シート!R$29:R$48)*N$2</f>
        <v>0</v>
      </c>
      <c r="O1685" s="88">
        <f>SUMIF(月間集計シート!$M$29:$M$48,$G1685,月間集計シート!S$29:S$48)*O$2</f>
        <v>0</v>
      </c>
      <c r="P1685" s="88">
        <f>SUMIF(月間集計シート!$M$29:$M$48,$G1685,月間集計シート!T$29:T$48)*P$2</f>
        <v>0</v>
      </c>
      <c r="Q1685" s="88">
        <f>SUMIF(月間集計シート!$M$50:$M$69,$G1685,月間集計シート!N$50:N$69)*Q$2</f>
        <v>0</v>
      </c>
      <c r="R1685" s="88">
        <f>SUMIF(月間集計シート!$M$50:$M$69,$G1685,月間集計シート!O$50:O$69)*R$2</f>
        <v>0</v>
      </c>
      <c r="S1685" s="88">
        <f>SUMIF(月間集計シート!$M$50:$M$69,$G1685,月間集計シート!P$50:P$69)*S$2</f>
        <v>0</v>
      </c>
      <c r="T1685" s="88">
        <f>SUMIF(月間集計シート!$M$50:$M$69,$G1685,月間集計シート!Q$50:Q$69)*T$2</f>
        <v>0</v>
      </c>
      <c r="U1685" s="88">
        <f>SUMIF(月間集計シート!$M$50:$M$69,$G1685,月間集計シート!R$50:R$69)*U$2</f>
        <v>0</v>
      </c>
      <c r="V1685" s="88">
        <f>SUMIF(月間集計シート!$M$50:$M$69,$G1685,月間集計シート!S$50:S$69)*V$2</f>
        <v>0</v>
      </c>
      <c r="W1685" s="88">
        <f>SUMIF(月間集計シート!$M$50:$M$69,$G1685,月間集計シート!T$50:T$69)*W$2</f>
        <v>0</v>
      </c>
      <c r="X1685" s="88">
        <f>SUMIF(月間集計シート!$M$71:$M$90,$G1685,月間集計シート!N$71:N$90)*X$2</f>
        <v>0</v>
      </c>
      <c r="Y1685" s="88">
        <f>SUMIF(月間集計シート!$M$71:$M$90,$G1685,月間集計シート!O$71:O$90)*Y$2</f>
        <v>0</v>
      </c>
      <c r="Z1685" s="88">
        <f>SUMIF(月間集計シート!$M$71:$M$90,$G1685,月間集計シート!P$71:P$90)*Z$2</f>
        <v>0</v>
      </c>
      <c r="AA1685" s="88">
        <f>SUMIF(月間集計シート!$M$71:$M$90,$G1685,月間集計シート!Q$71:Q$90)*AA$2</f>
        <v>0</v>
      </c>
      <c r="AB1685" s="88">
        <f>SUMIF(月間集計シート!$M$71:$M$90,$G1685,月間集計シート!R$71:R$90)*AB$2</f>
        <v>0</v>
      </c>
      <c r="AC1685" s="88">
        <f>SUMIF(月間集計シート!$M$71:$M$90,$G1685,月間集計シート!S$71:S$90)*AC$2</f>
        <v>0</v>
      </c>
      <c r="AD1685" s="88">
        <f>SUMIF(月間集計シート!$M$71:$M$90,$G1685,月間集計シート!T$71:T$90)*AD$2</f>
        <v>0</v>
      </c>
      <c r="AE1685" s="88">
        <f>SUMIF(月間集計シート!$M$92:$M$111,$G1685,月間集計シート!N$92:N$111)*AE$2</f>
        <v>0</v>
      </c>
      <c r="AF1685" s="88">
        <f>SUMIF(月間集計シート!$M$92:$M$111,$G1685,月間集計シート!O$92:O$111)*AF$2</f>
        <v>0</v>
      </c>
      <c r="AG1685" s="88">
        <f>SUMIF(月間集計シート!$M$92:$M$111,$G1685,月間集計シート!P$92:P$111)*AG$2</f>
        <v>0</v>
      </c>
      <c r="AH1685" s="88">
        <f>SUMIF(月間集計シート!$M$92:$M$111,$G1685,月間集計シート!Q$92:Q$111)*AH$2</f>
        <v>0</v>
      </c>
      <c r="AI1685" s="88">
        <f>SUMIF(月間集計シート!$M$92:$M$111,$G1685,月間集計シート!R$92:R$111)*AI$2</f>
        <v>0</v>
      </c>
      <c r="AJ1685" s="88">
        <f>SUMIF(月間集計シート!$M$92:$M$111,$G1685,月間集計シート!S$92:S$111)*AJ$2</f>
        <v>0</v>
      </c>
      <c r="AK1685" s="88">
        <f>SUMIF(月間集計シート!$M$92:$M$111,$G1685,月間集計シート!T$92:T$111)*AK$2</f>
        <v>0</v>
      </c>
      <c r="AL1685" s="88">
        <f>SUMIF(月間集計シート!$M$113:$M$132,$G1685,月間集計シート!N$113:N$132)*AL$2</f>
        <v>0</v>
      </c>
      <c r="AM1685" s="88">
        <f>SUMIF(月間集計シート!$M$113:$M$132,$G1685,月間集計シート!O$113:O$132)*AM$2</f>
        <v>0</v>
      </c>
      <c r="AN1685" s="88">
        <f>SUMIF(月間集計シート!$M$113:$M$132,$G1685,月間集計シート!P$113:P$132)*AN$2</f>
        <v>0</v>
      </c>
      <c r="AO1685" s="88">
        <f>SUMIF(月間集計シート!$M$113:$M$132,$G1685,月間集計シート!Q$113:Q$132)*AO$2</f>
        <v>0</v>
      </c>
      <c r="AP1685" s="88">
        <f>SUMIF(月間集計シート!$M$113:$M$132,$G1685,月間集計シート!R$113:R$132)*AP$2</f>
        <v>0</v>
      </c>
      <c r="AQ1685" s="88">
        <f>SUMIF(月間集計シート!$M$113:$M$132,$G1685,月間集計シート!S$113:S$132)*AQ$2</f>
        <v>0</v>
      </c>
      <c r="AR1685" s="88">
        <f>SUMIF(月間集計シート!$M$113:$M$132,$G1685,月間集計シート!T$113:T$132)*AR$2</f>
        <v>0</v>
      </c>
      <c r="AS1685" s="88">
        <f>SUMIF(月間集計シート!$M$134:$M$153,$G1685,月間集計シート!N$134:N$153)*AS$2</f>
        <v>0</v>
      </c>
      <c r="AT1685" s="88">
        <f>SUMIF(月間集計シート!$M$134:$M$153,$G1685,月間集計シート!O$134:O$153)*AT$2</f>
        <v>0</v>
      </c>
      <c r="AU1685" s="88">
        <f>SUMIF(月間集計シート!$M$134:$M$153,$G1685,月間集計シート!P$134:P$153)*AU$2</f>
        <v>0</v>
      </c>
      <c r="AV1685" s="88">
        <f>SUMIF(月間集計シート!$M$134:$M$153,$G1685,月間集計シート!Q$134:Q$153)*AV$2</f>
        <v>0</v>
      </c>
      <c r="AW1685" s="88">
        <f>SUMIF(月間集計シート!$M$134:$M$153,$G1685,月間集計シート!R$134:R$153)*AW$2</f>
        <v>0</v>
      </c>
      <c r="AX1685" s="88">
        <f>SUMIF(月間集計シート!$M$134:$M$153,$G1685,月間集計シート!S$134:S$153)*AX$2</f>
        <v>0</v>
      </c>
      <c r="AY1685" s="88">
        <f>SUMIF(月間集計シート!$M$134:$M$153,$G1685,月間集計シート!T$134:T$153)*AY$2</f>
        <v>0</v>
      </c>
    </row>
    <row r="1686" spans="1:51" ht="14.25" thickBot="1">
      <c r="A1686">
        <v>20</v>
      </c>
      <c r="B1686" s="120">
        <f t="shared" si="941"/>
        <v>0</v>
      </c>
      <c r="C1686" s="120" t="str">
        <f t="shared" si="942"/>
        <v/>
      </c>
      <c r="D1686" s="137"/>
      <c r="E1686" s="150" t="str">
        <f>工種!A63</f>
        <v>80105</v>
      </c>
      <c r="F1686" s="119" t="str">
        <f>工種!B63</f>
        <v>保守／ｻﾎﾟｰﾄ：ｲﾝﾄﾗ資料更新</v>
      </c>
      <c r="G1686" s="116" t="str">
        <f t="shared" ref="G1686:G1703" si="944">B1686&amp;E1686</f>
        <v>080105</v>
      </c>
      <c r="H1686" s="88">
        <f t="shared" ref="H1686:H1687" si="945">SUM(J1686:AY1686)</f>
        <v>0</v>
      </c>
      <c r="I1686" s="132"/>
      <c r="J1686" s="88">
        <f>SUMIF(月間集計シート!$M$29:$M$48,$G1686,月間集計シート!N$29:N$48)*J$2</f>
        <v>0</v>
      </c>
      <c r="K1686" s="88">
        <f>SUMIF(月間集計シート!$M$29:$M$48,$G1686,月間集計シート!O$29:O$48)*K$2</f>
        <v>0</v>
      </c>
      <c r="L1686" s="88">
        <f>SUMIF(月間集計シート!$M$29:$M$48,$G1686,月間集計シート!P$29:P$48)*L$2</f>
        <v>0</v>
      </c>
      <c r="M1686" s="88">
        <f>SUMIF(月間集計シート!$M$29:$M$48,$G1686,月間集計シート!Q$29:Q$48)*M$2</f>
        <v>0</v>
      </c>
      <c r="N1686" s="88">
        <f>SUMIF(月間集計シート!$M$29:$M$48,$G1686,月間集計シート!R$29:R$48)*N$2</f>
        <v>0</v>
      </c>
      <c r="O1686" s="88">
        <f>SUMIF(月間集計シート!$M$29:$M$48,$G1686,月間集計シート!S$29:S$48)*O$2</f>
        <v>0</v>
      </c>
      <c r="P1686" s="88">
        <f>SUMIF(月間集計シート!$M$29:$M$48,$G1686,月間集計シート!T$29:T$48)*P$2</f>
        <v>0</v>
      </c>
      <c r="Q1686" s="88">
        <f>SUMIF(月間集計シート!$M$50:$M$69,$G1686,月間集計シート!N$50:N$69)*Q$2</f>
        <v>0</v>
      </c>
      <c r="R1686" s="88">
        <f>SUMIF(月間集計シート!$M$50:$M$69,$G1686,月間集計シート!O$50:O$69)*R$2</f>
        <v>0</v>
      </c>
      <c r="S1686" s="88">
        <f>SUMIF(月間集計シート!$M$50:$M$69,$G1686,月間集計シート!P$50:P$69)*S$2</f>
        <v>0</v>
      </c>
      <c r="T1686" s="88">
        <f>SUMIF(月間集計シート!$M$50:$M$69,$G1686,月間集計シート!Q$50:Q$69)*T$2</f>
        <v>0</v>
      </c>
      <c r="U1686" s="88">
        <f>SUMIF(月間集計シート!$M$50:$M$69,$G1686,月間集計シート!R$50:R$69)*U$2</f>
        <v>0</v>
      </c>
      <c r="V1686" s="88">
        <f>SUMIF(月間集計シート!$M$50:$M$69,$G1686,月間集計シート!S$50:S$69)*V$2</f>
        <v>0</v>
      </c>
      <c r="W1686" s="88">
        <f>SUMIF(月間集計シート!$M$50:$M$69,$G1686,月間集計シート!T$50:T$69)*W$2</f>
        <v>0</v>
      </c>
      <c r="X1686" s="88">
        <f>SUMIF(月間集計シート!$M$71:$M$90,$G1686,月間集計シート!N$71:N$90)*X$2</f>
        <v>0</v>
      </c>
      <c r="Y1686" s="88">
        <f>SUMIF(月間集計シート!$M$71:$M$90,$G1686,月間集計シート!O$71:O$90)*Y$2</f>
        <v>0</v>
      </c>
      <c r="Z1686" s="88">
        <f>SUMIF(月間集計シート!$M$71:$M$90,$G1686,月間集計シート!P$71:P$90)*Z$2</f>
        <v>0</v>
      </c>
      <c r="AA1686" s="88">
        <f>SUMIF(月間集計シート!$M$71:$M$90,$G1686,月間集計シート!Q$71:Q$90)*AA$2</f>
        <v>0</v>
      </c>
      <c r="AB1686" s="88">
        <f>SUMIF(月間集計シート!$M$71:$M$90,$G1686,月間集計シート!R$71:R$90)*AB$2</f>
        <v>0</v>
      </c>
      <c r="AC1686" s="88">
        <f>SUMIF(月間集計シート!$M$71:$M$90,$G1686,月間集計シート!S$71:S$90)*AC$2</f>
        <v>0</v>
      </c>
      <c r="AD1686" s="88">
        <f>SUMIF(月間集計シート!$M$71:$M$90,$G1686,月間集計シート!T$71:T$90)*AD$2</f>
        <v>0</v>
      </c>
      <c r="AE1686" s="88">
        <f>SUMIF(月間集計シート!$M$92:$M$111,$G1686,月間集計シート!N$92:N$111)*AE$2</f>
        <v>0</v>
      </c>
      <c r="AF1686" s="88">
        <f>SUMIF(月間集計シート!$M$92:$M$111,$G1686,月間集計シート!O$92:O$111)*AF$2</f>
        <v>0</v>
      </c>
      <c r="AG1686" s="88">
        <f>SUMIF(月間集計シート!$M$92:$M$111,$G1686,月間集計シート!P$92:P$111)*AG$2</f>
        <v>0</v>
      </c>
      <c r="AH1686" s="88">
        <f>SUMIF(月間集計シート!$M$92:$M$111,$G1686,月間集計シート!Q$92:Q$111)*AH$2</f>
        <v>0</v>
      </c>
      <c r="AI1686" s="88">
        <f>SUMIF(月間集計シート!$M$92:$M$111,$G1686,月間集計シート!R$92:R$111)*AI$2</f>
        <v>0</v>
      </c>
      <c r="AJ1686" s="88">
        <f>SUMIF(月間集計シート!$M$92:$M$111,$G1686,月間集計シート!S$92:S$111)*AJ$2</f>
        <v>0</v>
      </c>
      <c r="AK1686" s="88">
        <f>SUMIF(月間集計シート!$M$92:$M$111,$G1686,月間集計シート!T$92:T$111)*AK$2</f>
        <v>0</v>
      </c>
      <c r="AL1686" s="88">
        <f>SUMIF(月間集計シート!$M$113:$M$132,$G1686,月間集計シート!N$113:N$132)*AL$2</f>
        <v>0</v>
      </c>
      <c r="AM1686" s="88">
        <f>SUMIF(月間集計シート!$M$113:$M$132,$G1686,月間集計シート!O$113:O$132)*AM$2</f>
        <v>0</v>
      </c>
      <c r="AN1686" s="88">
        <f>SUMIF(月間集計シート!$M$113:$M$132,$G1686,月間集計シート!P$113:P$132)*AN$2</f>
        <v>0</v>
      </c>
      <c r="AO1686" s="88">
        <f>SUMIF(月間集計シート!$M$113:$M$132,$G1686,月間集計シート!Q$113:Q$132)*AO$2</f>
        <v>0</v>
      </c>
      <c r="AP1686" s="88">
        <f>SUMIF(月間集計シート!$M$113:$M$132,$G1686,月間集計シート!R$113:R$132)*AP$2</f>
        <v>0</v>
      </c>
      <c r="AQ1686" s="88">
        <f>SUMIF(月間集計シート!$M$113:$M$132,$G1686,月間集計シート!S$113:S$132)*AQ$2</f>
        <v>0</v>
      </c>
      <c r="AR1686" s="88">
        <f>SUMIF(月間集計シート!$M$113:$M$132,$G1686,月間集計シート!T$113:T$132)*AR$2</f>
        <v>0</v>
      </c>
      <c r="AS1686" s="88">
        <f>SUMIF(月間集計シート!$M$134:$M$153,$G1686,月間集計シート!N$134:N$153)*AS$2</f>
        <v>0</v>
      </c>
      <c r="AT1686" s="88">
        <f>SUMIF(月間集計シート!$M$134:$M$153,$G1686,月間集計シート!O$134:O$153)*AT$2</f>
        <v>0</v>
      </c>
      <c r="AU1686" s="88">
        <f>SUMIF(月間集計シート!$M$134:$M$153,$G1686,月間集計シート!P$134:P$153)*AU$2</f>
        <v>0</v>
      </c>
      <c r="AV1686" s="88">
        <f>SUMIF(月間集計シート!$M$134:$M$153,$G1686,月間集計シート!Q$134:Q$153)*AV$2</f>
        <v>0</v>
      </c>
      <c r="AW1686" s="88">
        <f>SUMIF(月間集計シート!$M$134:$M$153,$G1686,月間集計シート!R$134:R$153)*AW$2</f>
        <v>0</v>
      </c>
      <c r="AX1686" s="88">
        <f>SUMIF(月間集計シート!$M$134:$M$153,$G1686,月間集計シート!S$134:S$153)*AX$2</f>
        <v>0</v>
      </c>
      <c r="AY1686" s="88">
        <f>SUMIF(月間集計シート!$M$134:$M$153,$G1686,月間集計シート!T$134:T$153)*AY$2</f>
        <v>0</v>
      </c>
    </row>
    <row r="1687" spans="1:51" ht="14.25" thickBot="1">
      <c r="A1687">
        <v>20</v>
      </c>
      <c r="B1687" s="120">
        <f t="shared" si="941"/>
        <v>0</v>
      </c>
      <c r="C1687" s="120" t="str">
        <f t="shared" si="942"/>
        <v/>
      </c>
      <c r="D1687" s="137"/>
      <c r="E1687" s="150" t="str">
        <f>工種!A64</f>
        <v>80106</v>
      </c>
      <c r="F1687" s="119" t="str">
        <f>工種!B64</f>
        <v>保守／ｻﾎﾟｰﾄ：打合せ</v>
      </c>
      <c r="G1687" s="116" t="str">
        <f t="shared" si="944"/>
        <v>080106</v>
      </c>
      <c r="H1687" s="88">
        <f t="shared" si="945"/>
        <v>0</v>
      </c>
      <c r="I1687" s="132"/>
      <c r="J1687" s="88">
        <f>SUMIF(月間集計シート!$M$29:$M$48,$G1687,月間集計シート!N$29:N$48)*J$2</f>
        <v>0</v>
      </c>
      <c r="K1687" s="88">
        <f>SUMIF(月間集計シート!$M$29:$M$48,$G1687,月間集計シート!O$29:O$48)*K$2</f>
        <v>0</v>
      </c>
      <c r="L1687" s="88">
        <f>SUMIF(月間集計シート!$M$29:$M$48,$G1687,月間集計シート!P$29:P$48)*L$2</f>
        <v>0</v>
      </c>
      <c r="M1687" s="88">
        <f>SUMIF(月間集計シート!$M$29:$M$48,$G1687,月間集計シート!Q$29:Q$48)*M$2</f>
        <v>0</v>
      </c>
      <c r="N1687" s="88">
        <f>SUMIF(月間集計シート!$M$29:$M$48,$G1687,月間集計シート!R$29:R$48)*N$2</f>
        <v>0</v>
      </c>
      <c r="O1687" s="88">
        <f>SUMIF(月間集計シート!$M$29:$M$48,$G1687,月間集計シート!S$29:S$48)*O$2</f>
        <v>0</v>
      </c>
      <c r="P1687" s="88">
        <f>SUMIF(月間集計シート!$M$29:$M$48,$G1687,月間集計シート!T$29:T$48)*P$2</f>
        <v>0</v>
      </c>
      <c r="Q1687" s="88">
        <f>SUMIF(月間集計シート!$M$50:$M$69,$G1687,月間集計シート!N$50:N$69)*Q$2</f>
        <v>0</v>
      </c>
      <c r="R1687" s="88">
        <f>SUMIF(月間集計シート!$M$50:$M$69,$G1687,月間集計シート!O$50:O$69)*R$2</f>
        <v>0</v>
      </c>
      <c r="S1687" s="88">
        <f>SUMIF(月間集計シート!$M$50:$M$69,$G1687,月間集計シート!P$50:P$69)*S$2</f>
        <v>0</v>
      </c>
      <c r="T1687" s="88">
        <f>SUMIF(月間集計シート!$M$50:$M$69,$G1687,月間集計シート!Q$50:Q$69)*T$2</f>
        <v>0</v>
      </c>
      <c r="U1687" s="88">
        <f>SUMIF(月間集計シート!$M$50:$M$69,$G1687,月間集計シート!R$50:R$69)*U$2</f>
        <v>0</v>
      </c>
      <c r="V1687" s="88">
        <f>SUMIF(月間集計シート!$M$50:$M$69,$G1687,月間集計シート!S$50:S$69)*V$2</f>
        <v>0</v>
      </c>
      <c r="W1687" s="88">
        <f>SUMIF(月間集計シート!$M$50:$M$69,$G1687,月間集計シート!T$50:T$69)*W$2</f>
        <v>0</v>
      </c>
      <c r="X1687" s="88">
        <f>SUMIF(月間集計シート!$M$71:$M$90,$G1687,月間集計シート!N$71:N$90)*X$2</f>
        <v>0</v>
      </c>
      <c r="Y1687" s="88">
        <f>SUMIF(月間集計シート!$M$71:$M$90,$G1687,月間集計シート!O$71:O$90)*Y$2</f>
        <v>0</v>
      </c>
      <c r="Z1687" s="88">
        <f>SUMIF(月間集計シート!$M$71:$M$90,$G1687,月間集計シート!P$71:P$90)*Z$2</f>
        <v>0</v>
      </c>
      <c r="AA1687" s="88">
        <f>SUMIF(月間集計シート!$M$71:$M$90,$G1687,月間集計シート!Q$71:Q$90)*AA$2</f>
        <v>0</v>
      </c>
      <c r="AB1687" s="88">
        <f>SUMIF(月間集計シート!$M$71:$M$90,$G1687,月間集計シート!R$71:R$90)*AB$2</f>
        <v>0</v>
      </c>
      <c r="AC1687" s="88">
        <f>SUMIF(月間集計シート!$M$71:$M$90,$G1687,月間集計シート!S$71:S$90)*AC$2</f>
        <v>0</v>
      </c>
      <c r="AD1687" s="88">
        <f>SUMIF(月間集計シート!$M$71:$M$90,$G1687,月間集計シート!T$71:T$90)*AD$2</f>
        <v>0</v>
      </c>
      <c r="AE1687" s="88">
        <f>SUMIF(月間集計シート!$M$92:$M$111,$G1687,月間集計シート!N$92:N$111)*AE$2</f>
        <v>0</v>
      </c>
      <c r="AF1687" s="88">
        <f>SUMIF(月間集計シート!$M$92:$M$111,$G1687,月間集計シート!O$92:O$111)*AF$2</f>
        <v>0</v>
      </c>
      <c r="AG1687" s="88">
        <f>SUMIF(月間集計シート!$M$92:$M$111,$G1687,月間集計シート!P$92:P$111)*AG$2</f>
        <v>0</v>
      </c>
      <c r="AH1687" s="88">
        <f>SUMIF(月間集計シート!$M$92:$M$111,$G1687,月間集計シート!Q$92:Q$111)*AH$2</f>
        <v>0</v>
      </c>
      <c r="AI1687" s="88">
        <f>SUMIF(月間集計シート!$M$92:$M$111,$G1687,月間集計シート!R$92:R$111)*AI$2</f>
        <v>0</v>
      </c>
      <c r="AJ1687" s="88">
        <f>SUMIF(月間集計シート!$M$92:$M$111,$G1687,月間集計シート!S$92:S$111)*AJ$2</f>
        <v>0</v>
      </c>
      <c r="AK1687" s="88">
        <f>SUMIF(月間集計シート!$M$92:$M$111,$G1687,月間集計シート!T$92:T$111)*AK$2</f>
        <v>0</v>
      </c>
      <c r="AL1687" s="88">
        <f>SUMIF(月間集計シート!$M$113:$M$132,$G1687,月間集計シート!N$113:N$132)*AL$2</f>
        <v>0</v>
      </c>
      <c r="AM1687" s="88">
        <f>SUMIF(月間集計シート!$M$113:$M$132,$G1687,月間集計シート!O$113:O$132)*AM$2</f>
        <v>0</v>
      </c>
      <c r="AN1687" s="88">
        <f>SUMIF(月間集計シート!$M$113:$M$132,$G1687,月間集計シート!P$113:P$132)*AN$2</f>
        <v>0</v>
      </c>
      <c r="AO1687" s="88">
        <f>SUMIF(月間集計シート!$M$113:$M$132,$G1687,月間集計シート!Q$113:Q$132)*AO$2</f>
        <v>0</v>
      </c>
      <c r="AP1687" s="88">
        <f>SUMIF(月間集計シート!$M$113:$M$132,$G1687,月間集計シート!R$113:R$132)*AP$2</f>
        <v>0</v>
      </c>
      <c r="AQ1687" s="88">
        <f>SUMIF(月間集計シート!$M$113:$M$132,$G1687,月間集計シート!S$113:S$132)*AQ$2</f>
        <v>0</v>
      </c>
      <c r="AR1687" s="88">
        <f>SUMIF(月間集計シート!$M$113:$M$132,$G1687,月間集計シート!T$113:T$132)*AR$2</f>
        <v>0</v>
      </c>
      <c r="AS1687" s="88">
        <f>SUMIF(月間集計シート!$M$134:$M$153,$G1687,月間集計シート!N$134:N$153)*AS$2</f>
        <v>0</v>
      </c>
      <c r="AT1687" s="88">
        <f>SUMIF(月間集計シート!$M$134:$M$153,$G1687,月間集計シート!O$134:O$153)*AT$2</f>
        <v>0</v>
      </c>
      <c r="AU1687" s="88">
        <f>SUMIF(月間集計シート!$M$134:$M$153,$G1687,月間集計シート!P$134:P$153)*AU$2</f>
        <v>0</v>
      </c>
      <c r="AV1687" s="88">
        <f>SUMIF(月間集計シート!$M$134:$M$153,$G1687,月間集計シート!Q$134:Q$153)*AV$2</f>
        <v>0</v>
      </c>
      <c r="AW1687" s="88">
        <f>SUMIF(月間集計シート!$M$134:$M$153,$G1687,月間集計シート!R$134:R$153)*AW$2</f>
        <v>0</v>
      </c>
      <c r="AX1687" s="88">
        <f>SUMIF(月間集計シート!$M$134:$M$153,$G1687,月間集計シート!S$134:S$153)*AX$2</f>
        <v>0</v>
      </c>
      <c r="AY1687" s="88">
        <f>SUMIF(月間集計シート!$M$134:$M$153,$G1687,月間集計シート!T$134:T$153)*AY$2</f>
        <v>0</v>
      </c>
    </row>
    <row r="1688" spans="1:51" ht="14.25" thickBot="1">
      <c r="A1688">
        <v>20</v>
      </c>
      <c r="B1688" s="120">
        <f t="shared" si="941"/>
        <v>0</v>
      </c>
      <c r="C1688" s="120" t="str">
        <f t="shared" si="942"/>
        <v/>
      </c>
      <c r="D1688" s="137"/>
      <c r="E1688" s="150" t="str">
        <f>工種!A65</f>
        <v>80107</v>
      </c>
      <c r="F1688" s="119" t="str">
        <f>工種!B65</f>
        <v>保守／ｻﾎﾟｰﾄ：ﾚﾋﾞｭｰ</v>
      </c>
      <c r="G1688" s="116" t="str">
        <f t="shared" si="944"/>
        <v>080107</v>
      </c>
      <c r="H1688" s="88">
        <f t="shared" ref="H1688:H1703" si="946">SUM(J1688:AY1688)</f>
        <v>0</v>
      </c>
      <c r="I1688" s="132"/>
      <c r="J1688" s="88">
        <f>SUMIF(月間集計シート!$M$29:$M$48,$G1688,月間集計シート!N$29:N$48)*J$2</f>
        <v>0</v>
      </c>
      <c r="K1688" s="88">
        <f>SUMIF(月間集計シート!$M$29:$M$48,$G1688,月間集計シート!O$29:O$48)*K$2</f>
        <v>0</v>
      </c>
      <c r="L1688" s="88">
        <f>SUMIF(月間集計シート!$M$29:$M$48,$G1688,月間集計シート!P$29:P$48)*L$2</f>
        <v>0</v>
      </c>
      <c r="M1688" s="88">
        <f>SUMIF(月間集計シート!$M$29:$M$48,$G1688,月間集計シート!Q$29:Q$48)*M$2</f>
        <v>0</v>
      </c>
      <c r="N1688" s="88">
        <f>SUMIF(月間集計シート!$M$29:$M$48,$G1688,月間集計シート!R$29:R$48)*N$2</f>
        <v>0</v>
      </c>
      <c r="O1688" s="88">
        <f>SUMIF(月間集計シート!$M$29:$M$48,$G1688,月間集計シート!S$29:S$48)*O$2</f>
        <v>0</v>
      </c>
      <c r="P1688" s="88">
        <f>SUMIF(月間集計シート!$M$29:$M$48,$G1688,月間集計シート!T$29:T$48)*P$2</f>
        <v>0</v>
      </c>
      <c r="Q1688" s="88">
        <f>SUMIF(月間集計シート!$M$50:$M$69,$G1688,月間集計シート!N$50:N$69)*Q$2</f>
        <v>0</v>
      </c>
      <c r="R1688" s="88">
        <f>SUMIF(月間集計シート!$M$50:$M$69,$G1688,月間集計シート!O$50:O$69)*R$2</f>
        <v>0</v>
      </c>
      <c r="S1688" s="88">
        <f>SUMIF(月間集計シート!$M$50:$M$69,$G1688,月間集計シート!P$50:P$69)*S$2</f>
        <v>0</v>
      </c>
      <c r="T1688" s="88">
        <f>SUMIF(月間集計シート!$M$50:$M$69,$G1688,月間集計シート!Q$50:Q$69)*T$2</f>
        <v>0</v>
      </c>
      <c r="U1688" s="88">
        <f>SUMIF(月間集計シート!$M$50:$M$69,$G1688,月間集計シート!R$50:R$69)*U$2</f>
        <v>0</v>
      </c>
      <c r="V1688" s="88">
        <f>SUMIF(月間集計シート!$M$50:$M$69,$G1688,月間集計シート!S$50:S$69)*V$2</f>
        <v>0</v>
      </c>
      <c r="W1688" s="88">
        <f>SUMIF(月間集計シート!$M$50:$M$69,$G1688,月間集計シート!T$50:T$69)*W$2</f>
        <v>0</v>
      </c>
      <c r="X1688" s="88">
        <f>SUMIF(月間集計シート!$M$71:$M$90,$G1688,月間集計シート!N$71:N$90)*X$2</f>
        <v>0</v>
      </c>
      <c r="Y1688" s="88">
        <f>SUMIF(月間集計シート!$M$71:$M$90,$G1688,月間集計シート!O$71:O$90)*Y$2</f>
        <v>0</v>
      </c>
      <c r="Z1688" s="88">
        <f>SUMIF(月間集計シート!$M$71:$M$90,$G1688,月間集計シート!P$71:P$90)*Z$2</f>
        <v>0</v>
      </c>
      <c r="AA1688" s="88">
        <f>SUMIF(月間集計シート!$M$71:$M$90,$G1688,月間集計シート!Q$71:Q$90)*AA$2</f>
        <v>0</v>
      </c>
      <c r="AB1688" s="88">
        <f>SUMIF(月間集計シート!$M$71:$M$90,$G1688,月間集計シート!R$71:R$90)*AB$2</f>
        <v>0</v>
      </c>
      <c r="AC1688" s="88">
        <f>SUMIF(月間集計シート!$M$71:$M$90,$G1688,月間集計シート!S$71:S$90)*AC$2</f>
        <v>0</v>
      </c>
      <c r="AD1688" s="88">
        <f>SUMIF(月間集計シート!$M$71:$M$90,$G1688,月間集計シート!T$71:T$90)*AD$2</f>
        <v>0</v>
      </c>
      <c r="AE1688" s="88">
        <f>SUMIF(月間集計シート!$M$92:$M$111,$G1688,月間集計シート!N$92:N$111)*AE$2</f>
        <v>0</v>
      </c>
      <c r="AF1688" s="88">
        <f>SUMIF(月間集計シート!$M$92:$M$111,$G1688,月間集計シート!O$92:O$111)*AF$2</f>
        <v>0</v>
      </c>
      <c r="AG1688" s="88">
        <f>SUMIF(月間集計シート!$M$92:$M$111,$G1688,月間集計シート!P$92:P$111)*AG$2</f>
        <v>0</v>
      </c>
      <c r="AH1688" s="88">
        <f>SUMIF(月間集計シート!$M$92:$M$111,$G1688,月間集計シート!Q$92:Q$111)*AH$2</f>
        <v>0</v>
      </c>
      <c r="AI1688" s="88">
        <f>SUMIF(月間集計シート!$M$92:$M$111,$G1688,月間集計シート!R$92:R$111)*AI$2</f>
        <v>0</v>
      </c>
      <c r="AJ1688" s="88">
        <f>SUMIF(月間集計シート!$M$92:$M$111,$G1688,月間集計シート!S$92:S$111)*AJ$2</f>
        <v>0</v>
      </c>
      <c r="AK1688" s="88">
        <f>SUMIF(月間集計シート!$M$92:$M$111,$G1688,月間集計シート!T$92:T$111)*AK$2</f>
        <v>0</v>
      </c>
      <c r="AL1688" s="88">
        <f>SUMIF(月間集計シート!$M$113:$M$132,$G1688,月間集計シート!N$113:N$132)*AL$2</f>
        <v>0</v>
      </c>
      <c r="AM1688" s="88">
        <f>SUMIF(月間集計シート!$M$113:$M$132,$G1688,月間集計シート!O$113:O$132)*AM$2</f>
        <v>0</v>
      </c>
      <c r="AN1688" s="88">
        <f>SUMIF(月間集計シート!$M$113:$M$132,$G1688,月間集計シート!P$113:P$132)*AN$2</f>
        <v>0</v>
      </c>
      <c r="AO1688" s="88">
        <f>SUMIF(月間集計シート!$M$113:$M$132,$G1688,月間集計シート!Q$113:Q$132)*AO$2</f>
        <v>0</v>
      </c>
      <c r="AP1688" s="88">
        <f>SUMIF(月間集計シート!$M$113:$M$132,$G1688,月間集計シート!R$113:R$132)*AP$2</f>
        <v>0</v>
      </c>
      <c r="AQ1688" s="88">
        <f>SUMIF(月間集計シート!$M$113:$M$132,$G1688,月間集計シート!S$113:S$132)*AQ$2</f>
        <v>0</v>
      </c>
      <c r="AR1688" s="88">
        <f>SUMIF(月間集計シート!$M$113:$M$132,$G1688,月間集計シート!T$113:T$132)*AR$2</f>
        <v>0</v>
      </c>
      <c r="AS1688" s="88">
        <f>SUMIF(月間集計シート!$M$134:$M$153,$G1688,月間集計シート!N$134:N$153)*AS$2</f>
        <v>0</v>
      </c>
      <c r="AT1688" s="88">
        <f>SUMIF(月間集計シート!$M$134:$M$153,$G1688,月間集計シート!O$134:O$153)*AT$2</f>
        <v>0</v>
      </c>
      <c r="AU1688" s="88">
        <f>SUMIF(月間集計シート!$M$134:$M$153,$G1688,月間集計シート!P$134:P$153)*AU$2</f>
        <v>0</v>
      </c>
      <c r="AV1688" s="88">
        <f>SUMIF(月間集計シート!$M$134:$M$153,$G1688,月間集計シート!Q$134:Q$153)*AV$2</f>
        <v>0</v>
      </c>
      <c r="AW1688" s="88">
        <f>SUMIF(月間集計シート!$M$134:$M$153,$G1688,月間集計シート!R$134:R$153)*AW$2</f>
        <v>0</v>
      </c>
      <c r="AX1688" s="88">
        <f>SUMIF(月間集計シート!$M$134:$M$153,$G1688,月間集計シート!S$134:S$153)*AX$2</f>
        <v>0</v>
      </c>
      <c r="AY1688" s="88">
        <f>SUMIF(月間集計シート!$M$134:$M$153,$G1688,月間集計シート!T$134:T$153)*AY$2</f>
        <v>0</v>
      </c>
    </row>
    <row r="1689" spans="1:51" ht="14.25" thickBot="1">
      <c r="A1689">
        <v>20</v>
      </c>
      <c r="B1689" s="120">
        <f t="shared" si="941"/>
        <v>0</v>
      </c>
      <c r="C1689" s="120" t="str">
        <f t="shared" si="942"/>
        <v/>
      </c>
      <c r="D1689" s="137"/>
      <c r="E1689" s="150" t="str">
        <f>工種!A66</f>
        <v>80199</v>
      </c>
      <c r="F1689" s="119" t="str">
        <f>工種!B66</f>
        <v>保守／ｻﾎﾟｰﾄ：その他</v>
      </c>
      <c r="G1689" s="116" t="str">
        <f t="shared" si="944"/>
        <v>080199</v>
      </c>
      <c r="H1689" s="88">
        <f t="shared" si="946"/>
        <v>0</v>
      </c>
      <c r="I1689" s="132"/>
      <c r="J1689" s="88">
        <f>SUMIF(月間集計シート!$M$29:$M$48,$G1689,月間集計シート!N$29:N$48)*J$2</f>
        <v>0</v>
      </c>
      <c r="K1689" s="88">
        <f>SUMIF(月間集計シート!$M$29:$M$48,$G1689,月間集計シート!O$29:O$48)*K$2</f>
        <v>0</v>
      </c>
      <c r="L1689" s="88">
        <f>SUMIF(月間集計シート!$M$29:$M$48,$G1689,月間集計シート!P$29:P$48)*L$2</f>
        <v>0</v>
      </c>
      <c r="M1689" s="88">
        <f>SUMIF(月間集計シート!$M$29:$M$48,$G1689,月間集計シート!Q$29:Q$48)*M$2</f>
        <v>0</v>
      </c>
      <c r="N1689" s="88">
        <f>SUMIF(月間集計シート!$M$29:$M$48,$G1689,月間集計シート!R$29:R$48)*N$2</f>
        <v>0</v>
      </c>
      <c r="O1689" s="88">
        <f>SUMIF(月間集計シート!$M$29:$M$48,$G1689,月間集計シート!S$29:S$48)*O$2</f>
        <v>0</v>
      </c>
      <c r="P1689" s="88">
        <f>SUMIF(月間集計シート!$M$29:$M$48,$G1689,月間集計シート!T$29:T$48)*P$2</f>
        <v>0</v>
      </c>
      <c r="Q1689" s="88">
        <f>SUMIF(月間集計シート!$M$50:$M$69,$G1689,月間集計シート!N$50:N$69)*Q$2</f>
        <v>0</v>
      </c>
      <c r="R1689" s="88">
        <f>SUMIF(月間集計シート!$M$50:$M$69,$G1689,月間集計シート!O$50:O$69)*R$2</f>
        <v>0</v>
      </c>
      <c r="S1689" s="88">
        <f>SUMIF(月間集計シート!$M$50:$M$69,$G1689,月間集計シート!P$50:P$69)*S$2</f>
        <v>0</v>
      </c>
      <c r="T1689" s="88">
        <f>SUMIF(月間集計シート!$M$50:$M$69,$G1689,月間集計シート!Q$50:Q$69)*T$2</f>
        <v>0</v>
      </c>
      <c r="U1689" s="88">
        <f>SUMIF(月間集計シート!$M$50:$M$69,$G1689,月間集計シート!R$50:R$69)*U$2</f>
        <v>0</v>
      </c>
      <c r="V1689" s="88">
        <f>SUMIF(月間集計シート!$M$50:$M$69,$G1689,月間集計シート!S$50:S$69)*V$2</f>
        <v>0</v>
      </c>
      <c r="W1689" s="88">
        <f>SUMIF(月間集計シート!$M$50:$M$69,$G1689,月間集計シート!T$50:T$69)*W$2</f>
        <v>0</v>
      </c>
      <c r="X1689" s="88">
        <f>SUMIF(月間集計シート!$M$71:$M$90,$G1689,月間集計シート!N$71:N$90)*X$2</f>
        <v>0</v>
      </c>
      <c r="Y1689" s="88">
        <f>SUMIF(月間集計シート!$M$71:$M$90,$G1689,月間集計シート!O$71:O$90)*Y$2</f>
        <v>0</v>
      </c>
      <c r="Z1689" s="88">
        <f>SUMIF(月間集計シート!$M$71:$M$90,$G1689,月間集計シート!P$71:P$90)*Z$2</f>
        <v>0</v>
      </c>
      <c r="AA1689" s="88">
        <f>SUMIF(月間集計シート!$M$71:$M$90,$G1689,月間集計シート!Q$71:Q$90)*AA$2</f>
        <v>0</v>
      </c>
      <c r="AB1689" s="88">
        <f>SUMIF(月間集計シート!$M$71:$M$90,$G1689,月間集計シート!R$71:R$90)*AB$2</f>
        <v>0</v>
      </c>
      <c r="AC1689" s="88">
        <f>SUMIF(月間集計シート!$M$71:$M$90,$G1689,月間集計シート!S$71:S$90)*AC$2</f>
        <v>0</v>
      </c>
      <c r="AD1689" s="88">
        <f>SUMIF(月間集計シート!$M$71:$M$90,$G1689,月間集計シート!T$71:T$90)*AD$2</f>
        <v>0</v>
      </c>
      <c r="AE1689" s="88">
        <f>SUMIF(月間集計シート!$M$92:$M$111,$G1689,月間集計シート!N$92:N$111)*AE$2</f>
        <v>0</v>
      </c>
      <c r="AF1689" s="88">
        <f>SUMIF(月間集計シート!$M$92:$M$111,$G1689,月間集計シート!O$92:O$111)*AF$2</f>
        <v>0</v>
      </c>
      <c r="AG1689" s="88">
        <f>SUMIF(月間集計シート!$M$92:$M$111,$G1689,月間集計シート!P$92:P$111)*AG$2</f>
        <v>0</v>
      </c>
      <c r="AH1689" s="88">
        <f>SUMIF(月間集計シート!$M$92:$M$111,$G1689,月間集計シート!Q$92:Q$111)*AH$2</f>
        <v>0</v>
      </c>
      <c r="AI1689" s="88">
        <f>SUMIF(月間集計シート!$M$92:$M$111,$G1689,月間集計シート!R$92:R$111)*AI$2</f>
        <v>0</v>
      </c>
      <c r="AJ1689" s="88">
        <f>SUMIF(月間集計シート!$M$92:$M$111,$G1689,月間集計シート!S$92:S$111)*AJ$2</f>
        <v>0</v>
      </c>
      <c r="AK1689" s="88">
        <f>SUMIF(月間集計シート!$M$92:$M$111,$G1689,月間集計シート!T$92:T$111)*AK$2</f>
        <v>0</v>
      </c>
      <c r="AL1689" s="88">
        <f>SUMIF(月間集計シート!$M$113:$M$132,$G1689,月間集計シート!N$113:N$132)*AL$2</f>
        <v>0</v>
      </c>
      <c r="AM1689" s="88">
        <f>SUMIF(月間集計シート!$M$113:$M$132,$G1689,月間集計シート!O$113:O$132)*AM$2</f>
        <v>0</v>
      </c>
      <c r="AN1689" s="88">
        <f>SUMIF(月間集計シート!$M$113:$M$132,$G1689,月間集計シート!P$113:P$132)*AN$2</f>
        <v>0</v>
      </c>
      <c r="AO1689" s="88">
        <f>SUMIF(月間集計シート!$M$113:$M$132,$G1689,月間集計シート!Q$113:Q$132)*AO$2</f>
        <v>0</v>
      </c>
      <c r="AP1689" s="88">
        <f>SUMIF(月間集計シート!$M$113:$M$132,$G1689,月間集計シート!R$113:R$132)*AP$2</f>
        <v>0</v>
      </c>
      <c r="AQ1689" s="88">
        <f>SUMIF(月間集計シート!$M$113:$M$132,$G1689,月間集計シート!S$113:S$132)*AQ$2</f>
        <v>0</v>
      </c>
      <c r="AR1689" s="88">
        <f>SUMIF(月間集計シート!$M$113:$M$132,$G1689,月間集計シート!T$113:T$132)*AR$2</f>
        <v>0</v>
      </c>
      <c r="AS1689" s="88">
        <f>SUMIF(月間集計シート!$M$134:$M$153,$G1689,月間集計シート!N$134:N$153)*AS$2</f>
        <v>0</v>
      </c>
      <c r="AT1689" s="88">
        <f>SUMIF(月間集計シート!$M$134:$M$153,$G1689,月間集計シート!O$134:O$153)*AT$2</f>
        <v>0</v>
      </c>
      <c r="AU1689" s="88">
        <f>SUMIF(月間集計シート!$M$134:$M$153,$G1689,月間集計シート!P$134:P$153)*AU$2</f>
        <v>0</v>
      </c>
      <c r="AV1689" s="88">
        <f>SUMIF(月間集計シート!$M$134:$M$153,$G1689,月間集計シート!Q$134:Q$153)*AV$2</f>
        <v>0</v>
      </c>
      <c r="AW1689" s="88">
        <f>SUMIF(月間集計シート!$M$134:$M$153,$G1689,月間集計シート!R$134:R$153)*AW$2</f>
        <v>0</v>
      </c>
      <c r="AX1689" s="88">
        <f>SUMIF(月間集計シート!$M$134:$M$153,$G1689,月間集計シート!S$134:S$153)*AX$2</f>
        <v>0</v>
      </c>
      <c r="AY1689" s="88">
        <f>SUMIF(月間集計シート!$M$134:$M$153,$G1689,月間集計シート!T$134:T$153)*AY$2</f>
        <v>0</v>
      </c>
    </row>
    <row r="1690" spans="1:51" ht="14.25" thickBot="1">
      <c r="A1690">
        <v>20</v>
      </c>
      <c r="B1690" s="120">
        <f t="shared" ref="B1690:C1705" si="947">B1689</f>
        <v>0</v>
      </c>
      <c r="C1690" s="120" t="str">
        <f t="shared" si="947"/>
        <v/>
      </c>
      <c r="D1690" s="137"/>
      <c r="E1690" s="150" t="str">
        <f>工種!A67</f>
        <v>90101</v>
      </c>
      <c r="F1690" s="119" t="str">
        <f>工種!B67</f>
        <v>管理業務：ﾌﾟﾛｼﾞｪｸﾄ管理</v>
      </c>
      <c r="G1690" s="116" t="str">
        <f t="shared" si="944"/>
        <v>090101</v>
      </c>
      <c r="H1690" s="88">
        <f t="shared" si="946"/>
        <v>0</v>
      </c>
      <c r="I1690" s="132"/>
      <c r="J1690" s="88">
        <f>SUMIF(月間集計シート!$M$29:$M$48,$G1690,月間集計シート!N$29:N$48)*J$2</f>
        <v>0</v>
      </c>
      <c r="K1690" s="88">
        <f>SUMIF(月間集計シート!$M$29:$M$48,$G1690,月間集計シート!O$29:O$48)*K$2</f>
        <v>0</v>
      </c>
      <c r="L1690" s="88">
        <f>SUMIF(月間集計シート!$M$29:$M$48,$G1690,月間集計シート!P$29:P$48)*L$2</f>
        <v>0</v>
      </c>
      <c r="M1690" s="88">
        <f>SUMIF(月間集計シート!$M$29:$M$48,$G1690,月間集計シート!Q$29:Q$48)*M$2</f>
        <v>0</v>
      </c>
      <c r="N1690" s="88">
        <f>SUMIF(月間集計シート!$M$29:$M$48,$G1690,月間集計シート!R$29:R$48)*N$2</f>
        <v>0</v>
      </c>
      <c r="O1690" s="88">
        <f>SUMIF(月間集計シート!$M$29:$M$48,$G1690,月間集計シート!S$29:S$48)*O$2</f>
        <v>0</v>
      </c>
      <c r="P1690" s="88">
        <f>SUMIF(月間集計シート!$M$29:$M$48,$G1690,月間集計シート!T$29:T$48)*P$2</f>
        <v>0</v>
      </c>
      <c r="Q1690" s="88">
        <f>SUMIF(月間集計シート!$M$50:$M$69,$G1690,月間集計シート!N$50:N$69)*Q$2</f>
        <v>0</v>
      </c>
      <c r="R1690" s="88">
        <f>SUMIF(月間集計シート!$M$50:$M$69,$G1690,月間集計シート!O$50:O$69)*R$2</f>
        <v>0</v>
      </c>
      <c r="S1690" s="88">
        <f>SUMIF(月間集計シート!$M$50:$M$69,$G1690,月間集計シート!P$50:P$69)*S$2</f>
        <v>0</v>
      </c>
      <c r="T1690" s="88">
        <f>SUMIF(月間集計シート!$M$50:$M$69,$G1690,月間集計シート!Q$50:Q$69)*T$2</f>
        <v>0</v>
      </c>
      <c r="U1690" s="88">
        <f>SUMIF(月間集計シート!$M$50:$M$69,$G1690,月間集計シート!R$50:R$69)*U$2</f>
        <v>0</v>
      </c>
      <c r="V1690" s="88">
        <f>SUMIF(月間集計シート!$M$50:$M$69,$G1690,月間集計シート!S$50:S$69)*V$2</f>
        <v>0</v>
      </c>
      <c r="W1690" s="88">
        <f>SUMIF(月間集計シート!$M$50:$M$69,$G1690,月間集計シート!T$50:T$69)*W$2</f>
        <v>0</v>
      </c>
      <c r="X1690" s="88">
        <f>SUMIF(月間集計シート!$M$71:$M$90,$G1690,月間集計シート!N$71:N$90)*X$2</f>
        <v>0</v>
      </c>
      <c r="Y1690" s="88">
        <f>SUMIF(月間集計シート!$M$71:$M$90,$G1690,月間集計シート!O$71:O$90)*Y$2</f>
        <v>0</v>
      </c>
      <c r="Z1690" s="88">
        <f>SUMIF(月間集計シート!$M$71:$M$90,$G1690,月間集計シート!P$71:P$90)*Z$2</f>
        <v>0</v>
      </c>
      <c r="AA1690" s="88">
        <f>SUMIF(月間集計シート!$M$71:$M$90,$G1690,月間集計シート!Q$71:Q$90)*AA$2</f>
        <v>0</v>
      </c>
      <c r="AB1690" s="88">
        <f>SUMIF(月間集計シート!$M$71:$M$90,$G1690,月間集計シート!R$71:R$90)*AB$2</f>
        <v>0</v>
      </c>
      <c r="AC1690" s="88">
        <f>SUMIF(月間集計シート!$M$71:$M$90,$G1690,月間集計シート!S$71:S$90)*AC$2</f>
        <v>0</v>
      </c>
      <c r="AD1690" s="88">
        <f>SUMIF(月間集計シート!$M$71:$M$90,$G1690,月間集計シート!T$71:T$90)*AD$2</f>
        <v>0</v>
      </c>
      <c r="AE1690" s="88">
        <f>SUMIF(月間集計シート!$M$92:$M$111,$G1690,月間集計シート!N$92:N$111)*AE$2</f>
        <v>0</v>
      </c>
      <c r="AF1690" s="88">
        <f>SUMIF(月間集計シート!$M$92:$M$111,$G1690,月間集計シート!O$92:O$111)*AF$2</f>
        <v>0</v>
      </c>
      <c r="AG1690" s="88">
        <f>SUMIF(月間集計シート!$M$92:$M$111,$G1690,月間集計シート!P$92:P$111)*AG$2</f>
        <v>0</v>
      </c>
      <c r="AH1690" s="88">
        <f>SUMIF(月間集計シート!$M$92:$M$111,$G1690,月間集計シート!Q$92:Q$111)*AH$2</f>
        <v>0</v>
      </c>
      <c r="AI1690" s="88">
        <f>SUMIF(月間集計シート!$M$92:$M$111,$G1690,月間集計シート!R$92:R$111)*AI$2</f>
        <v>0</v>
      </c>
      <c r="AJ1690" s="88">
        <f>SUMIF(月間集計シート!$M$92:$M$111,$G1690,月間集計シート!S$92:S$111)*AJ$2</f>
        <v>0</v>
      </c>
      <c r="AK1690" s="88">
        <f>SUMIF(月間集計シート!$M$92:$M$111,$G1690,月間集計シート!T$92:T$111)*AK$2</f>
        <v>0</v>
      </c>
      <c r="AL1690" s="88">
        <f>SUMIF(月間集計シート!$M$113:$M$132,$G1690,月間集計シート!N$113:N$132)*AL$2</f>
        <v>0</v>
      </c>
      <c r="AM1690" s="88">
        <f>SUMIF(月間集計シート!$M$113:$M$132,$G1690,月間集計シート!O$113:O$132)*AM$2</f>
        <v>0</v>
      </c>
      <c r="AN1690" s="88">
        <f>SUMIF(月間集計シート!$M$113:$M$132,$G1690,月間集計シート!P$113:P$132)*AN$2</f>
        <v>0</v>
      </c>
      <c r="AO1690" s="88">
        <f>SUMIF(月間集計シート!$M$113:$M$132,$G1690,月間集計シート!Q$113:Q$132)*AO$2</f>
        <v>0</v>
      </c>
      <c r="AP1690" s="88">
        <f>SUMIF(月間集計シート!$M$113:$M$132,$G1690,月間集計シート!R$113:R$132)*AP$2</f>
        <v>0</v>
      </c>
      <c r="AQ1690" s="88">
        <f>SUMIF(月間集計シート!$M$113:$M$132,$G1690,月間集計シート!S$113:S$132)*AQ$2</f>
        <v>0</v>
      </c>
      <c r="AR1690" s="88">
        <f>SUMIF(月間集計シート!$M$113:$M$132,$G1690,月間集計シート!T$113:T$132)*AR$2</f>
        <v>0</v>
      </c>
      <c r="AS1690" s="88">
        <f>SUMIF(月間集計シート!$M$134:$M$153,$G1690,月間集計シート!N$134:N$153)*AS$2</f>
        <v>0</v>
      </c>
      <c r="AT1690" s="88">
        <f>SUMIF(月間集計シート!$M$134:$M$153,$G1690,月間集計シート!O$134:O$153)*AT$2</f>
        <v>0</v>
      </c>
      <c r="AU1690" s="88">
        <f>SUMIF(月間集計シート!$M$134:$M$153,$G1690,月間集計シート!P$134:P$153)*AU$2</f>
        <v>0</v>
      </c>
      <c r="AV1690" s="88">
        <f>SUMIF(月間集計シート!$M$134:$M$153,$G1690,月間集計シート!Q$134:Q$153)*AV$2</f>
        <v>0</v>
      </c>
      <c r="AW1690" s="88">
        <f>SUMIF(月間集計シート!$M$134:$M$153,$G1690,月間集計シート!R$134:R$153)*AW$2</f>
        <v>0</v>
      </c>
      <c r="AX1690" s="88">
        <f>SUMIF(月間集計シート!$M$134:$M$153,$G1690,月間集計シート!S$134:S$153)*AX$2</f>
        <v>0</v>
      </c>
      <c r="AY1690" s="88">
        <f>SUMIF(月間集計シート!$M$134:$M$153,$G1690,月間集計シート!T$134:T$153)*AY$2</f>
        <v>0</v>
      </c>
    </row>
    <row r="1691" spans="1:51" ht="14.25" thickBot="1">
      <c r="A1691">
        <v>20</v>
      </c>
      <c r="B1691" s="120">
        <f t="shared" si="947"/>
        <v>0</v>
      </c>
      <c r="C1691" s="120" t="str">
        <f t="shared" si="947"/>
        <v/>
      </c>
      <c r="D1691" s="137"/>
      <c r="E1691" s="150" t="str">
        <f>工種!A68</f>
        <v>90102</v>
      </c>
      <c r="F1691" s="119" t="str">
        <f>工種!B68</f>
        <v>管理業務：開発環境管理</v>
      </c>
      <c r="G1691" s="116" t="str">
        <f t="shared" si="944"/>
        <v>090102</v>
      </c>
      <c r="H1691" s="88">
        <f t="shared" si="946"/>
        <v>0</v>
      </c>
      <c r="I1691" s="132"/>
      <c r="J1691" s="88">
        <f>SUMIF(月間集計シート!$M$29:$M$48,$G1691,月間集計シート!N$29:N$48)*J$2</f>
        <v>0</v>
      </c>
      <c r="K1691" s="88">
        <f>SUMIF(月間集計シート!$M$29:$M$48,$G1691,月間集計シート!O$29:O$48)*K$2</f>
        <v>0</v>
      </c>
      <c r="L1691" s="88">
        <f>SUMIF(月間集計シート!$M$29:$M$48,$G1691,月間集計シート!P$29:P$48)*L$2</f>
        <v>0</v>
      </c>
      <c r="M1691" s="88">
        <f>SUMIF(月間集計シート!$M$29:$M$48,$G1691,月間集計シート!Q$29:Q$48)*M$2</f>
        <v>0</v>
      </c>
      <c r="N1691" s="88">
        <f>SUMIF(月間集計シート!$M$29:$M$48,$G1691,月間集計シート!R$29:R$48)*N$2</f>
        <v>0</v>
      </c>
      <c r="O1691" s="88">
        <f>SUMIF(月間集計シート!$M$29:$M$48,$G1691,月間集計シート!S$29:S$48)*O$2</f>
        <v>0</v>
      </c>
      <c r="P1691" s="88">
        <f>SUMIF(月間集計シート!$M$29:$M$48,$G1691,月間集計シート!T$29:T$48)*P$2</f>
        <v>0</v>
      </c>
      <c r="Q1691" s="88">
        <f>SUMIF(月間集計シート!$M$50:$M$69,$G1691,月間集計シート!N$50:N$69)*Q$2</f>
        <v>0</v>
      </c>
      <c r="R1691" s="88">
        <f>SUMIF(月間集計シート!$M$50:$M$69,$G1691,月間集計シート!O$50:O$69)*R$2</f>
        <v>0</v>
      </c>
      <c r="S1691" s="88">
        <f>SUMIF(月間集計シート!$M$50:$M$69,$G1691,月間集計シート!P$50:P$69)*S$2</f>
        <v>0</v>
      </c>
      <c r="T1691" s="88">
        <f>SUMIF(月間集計シート!$M$50:$M$69,$G1691,月間集計シート!Q$50:Q$69)*T$2</f>
        <v>0</v>
      </c>
      <c r="U1691" s="88">
        <f>SUMIF(月間集計シート!$M$50:$M$69,$G1691,月間集計シート!R$50:R$69)*U$2</f>
        <v>0</v>
      </c>
      <c r="V1691" s="88">
        <f>SUMIF(月間集計シート!$M$50:$M$69,$G1691,月間集計シート!S$50:S$69)*V$2</f>
        <v>0</v>
      </c>
      <c r="W1691" s="88">
        <f>SUMIF(月間集計シート!$M$50:$M$69,$G1691,月間集計シート!T$50:T$69)*W$2</f>
        <v>0</v>
      </c>
      <c r="X1691" s="88">
        <f>SUMIF(月間集計シート!$M$71:$M$90,$G1691,月間集計シート!N$71:N$90)*X$2</f>
        <v>0</v>
      </c>
      <c r="Y1691" s="88">
        <f>SUMIF(月間集計シート!$M$71:$M$90,$G1691,月間集計シート!O$71:O$90)*Y$2</f>
        <v>0</v>
      </c>
      <c r="Z1691" s="88">
        <f>SUMIF(月間集計シート!$M$71:$M$90,$G1691,月間集計シート!P$71:P$90)*Z$2</f>
        <v>0</v>
      </c>
      <c r="AA1691" s="88">
        <f>SUMIF(月間集計シート!$M$71:$M$90,$G1691,月間集計シート!Q$71:Q$90)*AA$2</f>
        <v>0</v>
      </c>
      <c r="AB1691" s="88">
        <f>SUMIF(月間集計シート!$M$71:$M$90,$G1691,月間集計シート!R$71:R$90)*AB$2</f>
        <v>0</v>
      </c>
      <c r="AC1691" s="88">
        <f>SUMIF(月間集計シート!$M$71:$M$90,$G1691,月間集計シート!S$71:S$90)*AC$2</f>
        <v>0</v>
      </c>
      <c r="AD1691" s="88">
        <f>SUMIF(月間集計シート!$M$71:$M$90,$G1691,月間集計シート!T$71:T$90)*AD$2</f>
        <v>0</v>
      </c>
      <c r="AE1691" s="88">
        <f>SUMIF(月間集計シート!$M$92:$M$111,$G1691,月間集計シート!N$92:N$111)*AE$2</f>
        <v>0</v>
      </c>
      <c r="AF1691" s="88">
        <f>SUMIF(月間集計シート!$M$92:$M$111,$G1691,月間集計シート!O$92:O$111)*AF$2</f>
        <v>0</v>
      </c>
      <c r="AG1691" s="88">
        <f>SUMIF(月間集計シート!$M$92:$M$111,$G1691,月間集計シート!P$92:P$111)*AG$2</f>
        <v>0</v>
      </c>
      <c r="AH1691" s="88">
        <f>SUMIF(月間集計シート!$M$92:$M$111,$G1691,月間集計シート!Q$92:Q$111)*AH$2</f>
        <v>0</v>
      </c>
      <c r="AI1691" s="88">
        <f>SUMIF(月間集計シート!$M$92:$M$111,$G1691,月間集計シート!R$92:R$111)*AI$2</f>
        <v>0</v>
      </c>
      <c r="AJ1691" s="88">
        <f>SUMIF(月間集計シート!$M$92:$M$111,$G1691,月間集計シート!S$92:S$111)*AJ$2</f>
        <v>0</v>
      </c>
      <c r="AK1691" s="88">
        <f>SUMIF(月間集計シート!$M$92:$M$111,$G1691,月間集計シート!T$92:T$111)*AK$2</f>
        <v>0</v>
      </c>
      <c r="AL1691" s="88">
        <f>SUMIF(月間集計シート!$M$113:$M$132,$G1691,月間集計シート!N$113:N$132)*AL$2</f>
        <v>0</v>
      </c>
      <c r="AM1691" s="88">
        <f>SUMIF(月間集計シート!$M$113:$M$132,$G1691,月間集計シート!O$113:O$132)*AM$2</f>
        <v>0</v>
      </c>
      <c r="AN1691" s="88">
        <f>SUMIF(月間集計シート!$M$113:$M$132,$G1691,月間集計シート!P$113:P$132)*AN$2</f>
        <v>0</v>
      </c>
      <c r="AO1691" s="88">
        <f>SUMIF(月間集計シート!$M$113:$M$132,$G1691,月間集計シート!Q$113:Q$132)*AO$2</f>
        <v>0</v>
      </c>
      <c r="AP1691" s="88">
        <f>SUMIF(月間集計シート!$M$113:$M$132,$G1691,月間集計シート!R$113:R$132)*AP$2</f>
        <v>0</v>
      </c>
      <c r="AQ1691" s="88">
        <f>SUMIF(月間集計シート!$M$113:$M$132,$G1691,月間集計シート!S$113:S$132)*AQ$2</f>
        <v>0</v>
      </c>
      <c r="AR1691" s="88">
        <f>SUMIF(月間集計シート!$M$113:$M$132,$G1691,月間集計シート!T$113:T$132)*AR$2</f>
        <v>0</v>
      </c>
      <c r="AS1691" s="88">
        <f>SUMIF(月間集計シート!$M$134:$M$153,$G1691,月間集計シート!N$134:N$153)*AS$2</f>
        <v>0</v>
      </c>
      <c r="AT1691" s="88">
        <f>SUMIF(月間集計シート!$M$134:$M$153,$G1691,月間集計シート!O$134:O$153)*AT$2</f>
        <v>0</v>
      </c>
      <c r="AU1691" s="88">
        <f>SUMIF(月間集計シート!$M$134:$M$153,$G1691,月間集計シート!P$134:P$153)*AU$2</f>
        <v>0</v>
      </c>
      <c r="AV1691" s="88">
        <f>SUMIF(月間集計シート!$M$134:$M$153,$G1691,月間集計シート!Q$134:Q$153)*AV$2</f>
        <v>0</v>
      </c>
      <c r="AW1691" s="88">
        <f>SUMIF(月間集計シート!$M$134:$M$153,$G1691,月間集計シート!R$134:R$153)*AW$2</f>
        <v>0</v>
      </c>
      <c r="AX1691" s="88">
        <f>SUMIF(月間集計シート!$M$134:$M$153,$G1691,月間集計シート!S$134:S$153)*AX$2</f>
        <v>0</v>
      </c>
      <c r="AY1691" s="88">
        <f>SUMIF(月間集計シート!$M$134:$M$153,$G1691,月間集計シート!T$134:T$153)*AY$2</f>
        <v>0</v>
      </c>
    </row>
    <row r="1692" spans="1:51" ht="14.25" thickBot="1">
      <c r="A1692">
        <v>20</v>
      </c>
      <c r="B1692" s="120">
        <f t="shared" si="947"/>
        <v>0</v>
      </c>
      <c r="C1692" s="120" t="str">
        <f t="shared" si="947"/>
        <v/>
      </c>
      <c r="D1692" s="137"/>
      <c r="E1692" s="150" t="str">
        <f>工種!A69</f>
        <v>90103</v>
      </c>
      <c r="F1692" s="119" t="str">
        <f>工種!B69</f>
        <v>管理業務：標準化・開発業務改善作業</v>
      </c>
      <c r="G1692" s="116" t="str">
        <f t="shared" si="944"/>
        <v>090103</v>
      </c>
      <c r="H1692" s="88">
        <f t="shared" si="946"/>
        <v>0</v>
      </c>
      <c r="I1692" s="132"/>
      <c r="J1692" s="88">
        <f>SUMIF(月間集計シート!$M$29:$M$48,$G1692,月間集計シート!N$29:N$48)*J$2</f>
        <v>0</v>
      </c>
      <c r="K1692" s="88">
        <f>SUMIF(月間集計シート!$M$29:$M$48,$G1692,月間集計シート!O$29:O$48)*K$2</f>
        <v>0</v>
      </c>
      <c r="L1692" s="88">
        <f>SUMIF(月間集計シート!$M$29:$M$48,$G1692,月間集計シート!P$29:P$48)*L$2</f>
        <v>0</v>
      </c>
      <c r="M1692" s="88">
        <f>SUMIF(月間集計シート!$M$29:$M$48,$G1692,月間集計シート!Q$29:Q$48)*M$2</f>
        <v>0</v>
      </c>
      <c r="N1692" s="88">
        <f>SUMIF(月間集計シート!$M$29:$M$48,$G1692,月間集計シート!R$29:R$48)*N$2</f>
        <v>0</v>
      </c>
      <c r="O1692" s="88">
        <f>SUMIF(月間集計シート!$M$29:$M$48,$G1692,月間集計シート!S$29:S$48)*O$2</f>
        <v>0</v>
      </c>
      <c r="P1692" s="88">
        <f>SUMIF(月間集計シート!$M$29:$M$48,$G1692,月間集計シート!T$29:T$48)*P$2</f>
        <v>0</v>
      </c>
      <c r="Q1692" s="88">
        <f>SUMIF(月間集計シート!$M$50:$M$69,$G1692,月間集計シート!N$50:N$69)*Q$2</f>
        <v>0</v>
      </c>
      <c r="R1692" s="88">
        <f>SUMIF(月間集計シート!$M$50:$M$69,$G1692,月間集計シート!O$50:O$69)*R$2</f>
        <v>0</v>
      </c>
      <c r="S1692" s="88">
        <f>SUMIF(月間集計シート!$M$50:$M$69,$G1692,月間集計シート!P$50:P$69)*S$2</f>
        <v>0</v>
      </c>
      <c r="T1692" s="88">
        <f>SUMIF(月間集計シート!$M$50:$M$69,$G1692,月間集計シート!Q$50:Q$69)*T$2</f>
        <v>0</v>
      </c>
      <c r="U1692" s="88">
        <f>SUMIF(月間集計シート!$M$50:$M$69,$G1692,月間集計シート!R$50:R$69)*U$2</f>
        <v>0</v>
      </c>
      <c r="V1692" s="88">
        <f>SUMIF(月間集計シート!$M$50:$M$69,$G1692,月間集計シート!S$50:S$69)*V$2</f>
        <v>0</v>
      </c>
      <c r="W1692" s="88">
        <f>SUMIF(月間集計シート!$M$50:$M$69,$G1692,月間集計シート!T$50:T$69)*W$2</f>
        <v>0</v>
      </c>
      <c r="X1692" s="88">
        <f>SUMIF(月間集計シート!$M$71:$M$90,$G1692,月間集計シート!N$71:N$90)*X$2</f>
        <v>0</v>
      </c>
      <c r="Y1692" s="88">
        <f>SUMIF(月間集計シート!$M$71:$M$90,$G1692,月間集計シート!O$71:O$90)*Y$2</f>
        <v>0</v>
      </c>
      <c r="Z1692" s="88">
        <f>SUMIF(月間集計シート!$M$71:$M$90,$G1692,月間集計シート!P$71:P$90)*Z$2</f>
        <v>0</v>
      </c>
      <c r="AA1692" s="88">
        <f>SUMIF(月間集計シート!$M$71:$M$90,$G1692,月間集計シート!Q$71:Q$90)*AA$2</f>
        <v>0</v>
      </c>
      <c r="AB1692" s="88">
        <f>SUMIF(月間集計シート!$M$71:$M$90,$G1692,月間集計シート!R$71:R$90)*AB$2</f>
        <v>0</v>
      </c>
      <c r="AC1692" s="88">
        <f>SUMIF(月間集計シート!$M$71:$M$90,$G1692,月間集計シート!S$71:S$90)*AC$2</f>
        <v>0</v>
      </c>
      <c r="AD1692" s="88">
        <f>SUMIF(月間集計シート!$M$71:$M$90,$G1692,月間集計シート!T$71:T$90)*AD$2</f>
        <v>0</v>
      </c>
      <c r="AE1692" s="88">
        <f>SUMIF(月間集計シート!$M$92:$M$111,$G1692,月間集計シート!N$92:N$111)*AE$2</f>
        <v>0</v>
      </c>
      <c r="AF1692" s="88">
        <f>SUMIF(月間集計シート!$M$92:$M$111,$G1692,月間集計シート!O$92:O$111)*AF$2</f>
        <v>0</v>
      </c>
      <c r="AG1692" s="88">
        <f>SUMIF(月間集計シート!$M$92:$M$111,$G1692,月間集計シート!P$92:P$111)*AG$2</f>
        <v>0</v>
      </c>
      <c r="AH1692" s="88">
        <f>SUMIF(月間集計シート!$M$92:$M$111,$G1692,月間集計シート!Q$92:Q$111)*AH$2</f>
        <v>0</v>
      </c>
      <c r="AI1692" s="88">
        <f>SUMIF(月間集計シート!$M$92:$M$111,$G1692,月間集計シート!R$92:R$111)*AI$2</f>
        <v>0</v>
      </c>
      <c r="AJ1692" s="88">
        <f>SUMIF(月間集計シート!$M$92:$M$111,$G1692,月間集計シート!S$92:S$111)*AJ$2</f>
        <v>0</v>
      </c>
      <c r="AK1692" s="88">
        <f>SUMIF(月間集計シート!$M$92:$M$111,$G1692,月間集計シート!T$92:T$111)*AK$2</f>
        <v>0</v>
      </c>
      <c r="AL1692" s="88">
        <f>SUMIF(月間集計シート!$M$113:$M$132,$G1692,月間集計シート!N$113:N$132)*AL$2</f>
        <v>0</v>
      </c>
      <c r="AM1692" s="88">
        <f>SUMIF(月間集計シート!$M$113:$M$132,$G1692,月間集計シート!O$113:O$132)*AM$2</f>
        <v>0</v>
      </c>
      <c r="AN1692" s="88">
        <f>SUMIF(月間集計シート!$M$113:$M$132,$G1692,月間集計シート!P$113:P$132)*AN$2</f>
        <v>0</v>
      </c>
      <c r="AO1692" s="88">
        <f>SUMIF(月間集計シート!$M$113:$M$132,$G1692,月間集計シート!Q$113:Q$132)*AO$2</f>
        <v>0</v>
      </c>
      <c r="AP1692" s="88">
        <f>SUMIF(月間集計シート!$M$113:$M$132,$G1692,月間集計シート!R$113:R$132)*AP$2</f>
        <v>0</v>
      </c>
      <c r="AQ1692" s="88">
        <f>SUMIF(月間集計シート!$M$113:$M$132,$G1692,月間集計シート!S$113:S$132)*AQ$2</f>
        <v>0</v>
      </c>
      <c r="AR1692" s="88">
        <f>SUMIF(月間集計シート!$M$113:$M$132,$G1692,月間集計シート!T$113:T$132)*AR$2</f>
        <v>0</v>
      </c>
      <c r="AS1692" s="88">
        <f>SUMIF(月間集計シート!$M$134:$M$153,$G1692,月間集計シート!N$134:N$153)*AS$2</f>
        <v>0</v>
      </c>
      <c r="AT1692" s="88">
        <f>SUMIF(月間集計シート!$M$134:$M$153,$G1692,月間集計シート!O$134:O$153)*AT$2</f>
        <v>0</v>
      </c>
      <c r="AU1692" s="88">
        <f>SUMIF(月間集計シート!$M$134:$M$153,$G1692,月間集計シート!P$134:P$153)*AU$2</f>
        <v>0</v>
      </c>
      <c r="AV1692" s="88">
        <f>SUMIF(月間集計シート!$M$134:$M$153,$G1692,月間集計シート!Q$134:Q$153)*AV$2</f>
        <v>0</v>
      </c>
      <c r="AW1692" s="88">
        <f>SUMIF(月間集計シート!$M$134:$M$153,$G1692,月間集計シート!R$134:R$153)*AW$2</f>
        <v>0</v>
      </c>
      <c r="AX1692" s="88">
        <f>SUMIF(月間集計シート!$M$134:$M$153,$G1692,月間集計シート!S$134:S$153)*AX$2</f>
        <v>0</v>
      </c>
      <c r="AY1692" s="88">
        <f>SUMIF(月間集計シート!$M$134:$M$153,$G1692,月間集計シート!T$134:T$153)*AY$2</f>
        <v>0</v>
      </c>
    </row>
    <row r="1693" spans="1:51" ht="14.25" thickBot="1">
      <c r="A1693">
        <v>20</v>
      </c>
      <c r="B1693" s="120">
        <f t="shared" si="947"/>
        <v>0</v>
      </c>
      <c r="C1693" s="120" t="str">
        <f t="shared" si="947"/>
        <v/>
      </c>
      <c r="D1693" s="137"/>
      <c r="E1693" s="150" t="str">
        <f>工種!A70</f>
        <v>90104</v>
      </c>
      <c r="F1693" s="119" t="str">
        <f>工種!B70</f>
        <v>管理業務：開発業務の引継ぎ</v>
      </c>
      <c r="G1693" s="116" t="str">
        <f t="shared" si="944"/>
        <v>090104</v>
      </c>
      <c r="H1693" s="88">
        <f t="shared" si="946"/>
        <v>0</v>
      </c>
      <c r="I1693" s="132"/>
      <c r="J1693" s="88">
        <f>SUMIF(月間集計シート!$M$29:$M$48,$G1693,月間集計シート!N$29:N$48)*J$2</f>
        <v>0</v>
      </c>
      <c r="K1693" s="88">
        <f>SUMIF(月間集計シート!$M$29:$M$48,$G1693,月間集計シート!O$29:O$48)*K$2</f>
        <v>0</v>
      </c>
      <c r="L1693" s="88">
        <f>SUMIF(月間集計シート!$M$29:$M$48,$G1693,月間集計シート!P$29:P$48)*L$2</f>
        <v>0</v>
      </c>
      <c r="M1693" s="88">
        <f>SUMIF(月間集計シート!$M$29:$M$48,$G1693,月間集計シート!Q$29:Q$48)*M$2</f>
        <v>0</v>
      </c>
      <c r="N1693" s="88">
        <f>SUMIF(月間集計シート!$M$29:$M$48,$G1693,月間集計シート!R$29:R$48)*N$2</f>
        <v>0</v>
      </c>
      <c r="O1693" s="88">
        <f>SUMIF(月間集計シート!$M$29:$M$48,$G1693,月間集計シート!S$29:S$48)*O$2</f>
        <v>0</v>
      </c>
      <c r="P1693" s="88">
        <f>SUMIF(月間集計シート!$M$29:$M$48,$G1693,月間集計シート!T$29:T$48)*P$2</f>
        <v>0</v>
      </c>
      <c r="Q1693" s="88">
        <f>SUMIF(月間集計シート!$M$50:$M$69,$G1693,月間集計シート!N$50:N$69)*Q$2</f>
        <v>0</v>
      </c>
      <c r="R1693" s="88">
        <f>SUMIF(月間集計シート!$M$50:$M$69,$G1693,月間集計シート!O$50:O$69)*R$2</f>
        <v>0</v>
      </c>
      <c r="S1693" s="88">
        <f>SUMIF(月間集計シート!$M$50:$M$69,$G1693,月間集計シート!P$50:P$69)*S$2</f>
        <v>0</v>
      </c>
      <c r="T1693" s="88">
        <f>SUMIF(月間集計シート!$M$50:$M$69,$G1693,月間集計シート!Q$50:Q$69)*T$2</f>
        <v>0</v>
      </c>
      <c r="U1693" s="88">
        <f>SUMIF(月間集計シート!$M$50:$M$69,$G1693,月間集計シート!R$50:R$69)*U$2</f>
        <v>0</v>
      </c>
      <c r="V1693" s="88">
        <f>SUMIF(月間集計シート!$M$50:$M$69,$G1693,月間集計シート!S$50:S$69)*V$2</f>
        <v>0</v>
      </c>
      <c r="W1693" s="88">
        <f>SUMIF(月間集計シート!$M$50:$M$69,$G1693,月間集計シート!T$50:T$69)*W$2</f>
        <v>0</v>
      </c>
      <c r="X1693" s="88">
        <f>SUMIF(月間集計シート!$M$71:$M$90,$G1693,月間集計シート!N$71:N$90)*X$2</f>
        <v>0</v>
      </c>
      <c r="Y1693" s="88">
        <f>SUMIF(月間集計シート!$M$71:$M$90,$G1693,月間集計シート!O$71:O$90)*Y$2</f>
        <v>0</v>
      </c>
      <c r="Z1693" s="88">
        <f>SUMIF(月間集計シート!$M$71:$M$90,$G1693,月間集計シート!P$71:P$90)*Z$2</f>
        <v>0</v>
      </c>
      <c r="AA1693" s="88">
        <f>SUMIF(月間集計シート!$M$71:$M$90,$G1693,月間集計シート!Q$71:Q$90)*AA$2</f>
        <v>0</v>
      </c>
      <c r="AB1693" s="88">
        <f>SUMIF(月間集計シート!$M$71:$M$90,$G1693,月間集計シート!R$71:R$90)*AB$2</f>
        <v>0</v>
      </c>
      <c r="AC1693" s="88">
        <f>SUMIF(月間集計シート!$M$71:$M$90,$G1693,月間集計シート!S$71:S$90)*AC$2</f>
        <v>0</v>
      </c>
      <c r="AD1693" s="88">
        <f>SUMIF(月間集計シート!$M$71:$M$90,$G1693,月間集計シート!T$71:T$90)*AD$2</f>
        <v>0</v>
      </c>
      <c r="AE1693" s="88">
        <f>SUMIF(月間集計シート!$M$92:$M$111,$G1693,月間集計シート!N$92:N$111)*AE$2</f>
        <v>0</v>
      </c>
      <c r="AF1693" s="88">
        <f>SUMIF(月間集計シート!$M$92:$M$111,$G1693,月間集計シート!O$92:O$111)*AF$2</f>
        <v>0</v>
      </c>
      <c r="AG1693" s="88">
        <f>SUMIF(月間集計シート!$M$92:$M$111,$G1693,月間集計シート!P$92:P$111)*AG$2</f>
        <v>0</v>
      </c>
      <c r="AH1693" s="88">
        <f>SUMIF(月間集計シート!$M$92:$M$111,$G1693,月間集計シート!Q$92:Q$111)*AH$2</f>
        <v>0</v>
      </c>
      <c r="AI1693" s="88">
        <f>SUMIF(月間集計シート!$M$92:$M$111,$G1693,月間集計シート!R$92:R$111)*AI$2</f>
        <v>0</v>
      </c>
      <c r="AJ1693" s="88">
        <f>SUMIF(月間集計シート!$M$92:$M$111,$G1693,月間集計シート!S$92:S$111)*AJ$2</f>
        <v>0</v>
      </c>
      <c r="AK1693" s="88">
        <f>SUMIF(月間集計シート!$M$92:$M$111,$G1693,月間集計シート!T$92:T$111)*AK$2</f>
        <v>0</v>
      </c>
      <c r="AL1693" s="88">
        <f>SUMIF(月間集計シート!$M$113:$M$132,$G1693,月間集計シート!N$113:N$132)*AL$2</f>
        <v>0</v>
      </c>
      <c r="AM1693" s="88">
        <f>SUMIF(月間集計シート!$M$113:$M$132,$G1693,月間集計シート!O$113:O$132)*AM$2</f>
        <v>0</v>
      </c>
      <c r="AN1693" s="88">
        <f>SUMIF(月間集計シート!$M$113:$M$132,$G1693,月間集計シート!P$113:P$132)*AN$2</f>
        <v>0</v>
      </c>
      <c r="AO1693" s="88">
        <f>SUMIF(月間集計シート!$M$113:$M$132,$G1693,月間集計シート!Q$113:Q$132)*AO$2</f>
        <v>0</v>
      </c>
      <c r="AP1693" s="88">
        <f>SUMIF(月間集計シート!$M$113:$M$132,$G1693,月間集計シート!R$113:R$132)*AP$2</f>
        <v>0</v>
      </c>
      <c r="AQ1693" s="88">
        <f>SUMIF(月間集計シート!$M$113:$M$132,$G1693,月間集計シート!S$113:S$132)*AQ$2</f>
        <v>0</v>
      </c>
      <c r="AR1693" s="88">
        <f>SUMIF(月間集計シート!$M$113:$M$132,$G1693,月間集計シート!T$113:T$132)*AR$2</f>
        <v>0</v>
      </c>
      <c r="AS1693" s="88">
        <f>SUMIF(月間集計シート!$M$134:$M$153,$G1693,月間集計シート!N$134:N$153)*AS$2</f>
        <v>0</v>
      </c>
      <c r="AT1693" s="88">
        <f>SUMIF(月間集計シート!$M$134:$M$153,$G1693,月間集計シート!O$134:O$153)*AT$2</f>
        <v>0</v>
      </c>
      <c r="AU1693" s="88">
        <f>SUMIF(月間集計シート!$M$134:$M$153,$G1693,月間集計シート!P$134:P$153)*AU$2</f>
        <v>0</v>
      </c>
      <c r="AV1693" s="88">
        <f>SUMIF(月間集計シート!$M$134:$M$153,$G1693,月間集計シート!Q$134:Q$153)*AV$2</f>
        <v>0</v>
      </c>
      <c r="AW1693" s="88">
        <f>SUMIF(月間集計シート!$M$134:$M$153,$G1693,月間集計シート!R$134:R$153)*AW$2</f>
        <v>0</v>
      </c>
      <c r="AX1693" s="88">
        <f>SUMIF(月間集計シート!$M$134:$M$153,$G1693,月間集計シート!S$134:S$153)*AX$2</f>
        <v>0</v>
      </c>
      <c r="AY1693" s="88">
        <f>SUMIF(月間集計シート!$M$134:$M$153,$G1693,月間集計シート!T$134:T$153)*AY$2</f>
        <v>0</v>
      </c>
    </row>
    <row r="1694" spans="1:51" ht="14.25" thickBot="1">
      <c r="A1694">
        <v>20</v>
      </c>
      <c r="B1694" s="120">
        <f t="shared" si="947"/>
        <v>0</v>
      </c>
      <c r="C1694" s="120" t="str">
        <f t="shared" si="947"/>
        <v/>
      </c>
      <c r="D1694" s="137"/>
      <c r="E1694" s="150" t="str">
        <f>工種!A71</f>
        <v>90105</v>
      </c>
      <c r="F1694" s="119" t="str">
        <f>工種!B71</f>
        <v>管理業務：SRB管理</v>
      </c>
      <c r="G1694" s="116" t="str">
        <f t="shared" si="944"/>
        <v>090105</v>
      </c>
      <c r="H1694" s="88">
        <f t="shared" si="946"/>
        <v>0</v>
      </c>
      <c r="I1694" s="132"/>
      <c r="J1694" s="88">
        <f>SUMIF(月間集計シート!$M$29:$M$48,$G1694,月間集計シート!N$29:N$48)*J$2</f>
        <v>0</v>
      </c>
      <c r="K1694" s="88">
        <f>SUMIF(月間集計シート!$M$29:$M$48,$G1694,月間集計シート!O$29:O$48)*K$2</f>
        <v>0</v>
      </c>
      <c r="L1694" s="88">
        <f>SUMIF(月間集計シート!$M$29:$M$48,$G1694,月間集計シート!P$29:P$48)*L$2</f>
        <v>0</v>
      </c>
      <c r="M1694" s="88">
        <f>SUMIF(月間集計シート!$M$29:$M$48,$G1694,月間集計シート!Q$29:Q$48)*M$2</f>
        <v>0</v>
      </c>
      <c r="N1694" s="88">
        <f>SUMIF(月間集計シート!$M$29:$M$48,$G1694,月間集計シート!R$29:R$48)*N$2</f>
        <v>0</v>
      </c>
      <c r="O1694" s="88">
        <f>SUMIF(月間集計シート!$M$29:$M$48,$G1694,月間集計シート!S$29:S$48)*O$2</f>
        <v>0</v>
      </c>
      <c r="P1694" s="88">
        <f>SUMIF(月間集計シート!$M$29:$M$48,$G1694,月間集計シート!T$29:T$48)*P$2</f>
        <v>0</v>
      </c>
      <c r="Q1694" s="88">
        <f>SUMIF(月間集計シート!$M$50:$M$69,$G1694,月間集計シート!N$50:N$69)*Q$2</f>
        <v>0</v>
      </c>
      <c r="R1694" s="88">
        <f>SUMIF(月間集計シート!$M$50:$M$69,$G1694,月間集計シート!O$50:O$69)*R$2</f>
        <v>0</v>
      </c>
      <c r="S1694" s="88">
        <f>SUMIF(月間集計シート!$M$50:$M$69,$G1694,月間集計シート!P$50:P$69)*S$2</f>
        <v>0</v>
      </c>
      <c r="T1694" s="88">
        <f>SUMIF(月間集計シート!$M$50:$M$69,$G1694,月間集計シート!Q$50:Q$69)*T$2</f>
        <v>0</v>
      </c>
      <c r="U1694" s="88">
        <f>SUMIF(月間集計シート!$M$50:$M$69,$G1694,月間集計シート!R$50:R$69)*U$2</f>
        <v>0</v>
      </c>
      <c r="V1694" s="88">
        <f>SUMIF(月間集計シート!$M$50:$M$69,$G1694,月間集計シート!S$50:S$69)*V$2</f>
        <v>0</v>
      </c>
      <c r="W1694" s="88">
        <f>SUMIF(月間集計シート!$M$50:$M$69,$G1694,月間集計シート!T$50:T$69)*W$2</f>
        <v>0</v>
      </c>
      <c r="X1694" s="88">
        <f>SUMIF(月間集計シート!$M$71:$M$90,$G1694,月間集計シート!N$71:N$90)*X$2</f>
        <v>0</v>
      </c>
      <c r="Y1694" s="88">
        <f>SUMIF(月間集計シート!$M$71:$M$90,$G1694,月間集計シート!O$71:O$90)*Y$2</f>
        <v>0</v>
      </c>
      <c r="Z1694" s="88">
        <f>SUMIF(月間集計シート!$M$71:$M$90,$G1694,月間集計シート!P$71:P$90)*Z$2</f>
        <v>0</v>
      </c>
      <c r="AA1694" s="88">
        <f>SUMIF(月間集計シート!$M$71:$M$90,$G1694,月間集計シート!Q$71:Q$90)*AA$2</f>
        <v>0</v>
      </c>
      <c r="AB1694" s="88">
        <f>SUMIF(月間集計シート!$M$71:$M$90,$G1694,月間集計シート!R$71:R$90)*AB$2</f>
        <v>0</v>
      </c>
      <c r="AC1694" s="88">
        <f>SUMIF(月間集計シート!$M$71:$M$90,$G1694,月間集計シート!S$71:S$90)*AC$2</f>
        <v>0</v>
      </c>
      <c r="AD1694" s="88">
        <f>SUMIF(月間集計シート!$M$71:$M$90,$G1694,月間集計シート!T$71:T$90)*AD$2</f>
        <v>0</v>
      </c>
      <c r="AE1694" s="88">
        <f>SUMIF(月間集計シート!$M$92:$M$111,$G1694,月間集計シート!N$92:N$111)*AE$2</f>
        <v>0</v>
      </c>
      <c r="AF1694" s="88">
        <f>SUMIF(月間集計シート!$M$92:$M$111,$G1694,月間集計シート!O$92:O$111)*AF$2</f>
        <v>0</v>
      </c>
      <c r="AG1694" s="88">
        <f>SUMIF(月間集計シート!$M$92:$M$111,$G1694,月間集計シート!P$92:P$111)*AG$2</f>
        <v>0</v>
      </c>
      <c r="AH1694" s="88">
        <f>SUMIF(月間集計シート!$M$92:$M$111,$G1694,月間集計シート!Q$92:Q$111)*AH$2</f>
        <v>0</v>
      </c>
      <c r="AI1694" s="88">
        <f>SUMIF(月間集計シート!$M$92:$M$111,$G1694,月間集計シート!R$92:R$111)*AI$2</f>
        <v>0</v>
      </c>
      <c r="AJ1694" s="88">
        <f>SUMIF(月間集計シート!$M$92:$M$111,$G1694,月間集計シート!S$92:S$111)*AJ$2</f>
        <v>0</v>
      </c>
      <c r="AK1694" s="88">
        <f>SUMIF(月間集計シート!$M$92:$M$111,$G1694,月間集計シート!T$92:T$111)*AK$2</f>
        <v>0</v>
      </c>
      <c r="AL1694" s="88">
        <f>SUMIF(月間集計シート!$M$113:$M$132,$G1694,月間集計シート!N$113:N$132)*AL$2</f>
        <v>0</v>
      </c>
      <c r="AM1694" s="88">
        <f>SUMIF(月間集計シート!$M$113:$M$132,$G1694,月間集計シート!O$113:O$132)*AM$2</f>
        <v>0</v>
      </c>
      <c r="AN1694" s="88">
        <f>SUMIF(月間集計シート!$M$113:$M$132,$G1694,月間集計シート!P$113:P$132)*AN$2</f>
        <v>0</v>
      </c>
      <c r="AO1694" s="88">
        <f>SUMIF(月間集計シート!$M$113:$M$132,$G1694,月間集計シート!Q$113:Q$132)*AO$2</f>
        <v>0</v>
      </c>
      <c r="AP1694" s="88">
        <f>SUMIF(月間集計シート!$M$113:$M$132,$G1694,月間集計シート!R$113:R$132)*AP$2</f>
        <v>0</v>
      </c>
      <c r="AQ1694" s="88">
        <f>SUMIF(月間集計シート!$M$113:$M$132,$G1694,月間集計シート!S$113:S$132)*AQ$2</f>
        <v>0</v>
      </c>
      <c r="AR1694" s="88">
        <f>SUMIF(月間集計シート!$M$113:$M$132,$G1694,月間集計シート!T$113:T$132)*AR$2</f>
        <v>0</v>
      </c>
      <c r="AS1694" s="88">
        <f>SUMIF(月間集計シート!$M$134:$M$153,$G1694,月間集計シート!N$134:N$153)*AS$2</f>
        <v>0</v>
      </c>
      <c r="AT1694" s="88">
        <f>SUMIF(月間集計シート!$M$134:$M$153,$G1694,月間集計シート!O$134:O$153)*AT$2</f>
        <v>0</v>
      </c>
      <c r="AU1694" s="88">
        <f>SUMIF(月間集計シート!$M$134:$M$153,$G1694,月間集計シート!P$134:P$153)*AU$2</f>
        <v>0</v>
      </c>
      <c r="AV1694" s="88">
        <f>SUMIF(月間集計シート!$M$134:$M$153,$G1694,月間集計シート!Q$134:Q$153)*AV$2</f>
        <v>0</v>
      </c>
      <c r="AW1694" s="88">
        <f>SUMIF(月間集計シート!$M$134:$M$153,$G1694,月間集計シート!R$134:R$153)*AW$2</f>
        <v>0</v>
      </c>
      <c r="AX1694" s="88">
        <f>SUMIF(月間集計シート!$M$134:$M$153,$G1694,月間集計シート!S$134:S$153)*AX$2</f>
        <v>0</v>
      </c>
      <c r="AY1694" s="88">
        <f>SUMIF(月間集計シート!$M$134:$M$153,$G1694,月間集計シート!T$134:T$153)*AY$2</f>
        <v>0</v>
      </c>
    </row>
    <row r="1695" spans="1:51" ht="14.25" thickBot="1">
      <c r="A1695">
        <v>20</v>
      </c>
      <c r="B1695" s="120">
        <f t="shared" si="947"/>
        <v>0</v>
      </c>
      <c r="C1695" s="120" t="str">
        <f t="shared" si="947"/>
        <v/>
      </c>
      <c r="D1695" s="137"/>
      <c r="E1695" s="150" t="str">
        <f>工種!A72</f>
        <v>90107</v>
      </c>
      <c r="F1695" s="119" t="str">
        <f>工種!B72</f>
        <v>管理業務：開発事務作業</v>
      </c>
      <c r="G1695" s="116" t="str">
        <f t="shared" si="944"/>
        <v>090107</v>
      </c>
      <c r="H1695" s="88">
        <f t="shared" si="946"/>
        <v>0</v>
      </c>
      <c r="I1695" s="132"/>
      <c r="J1695" s="88">
        <f>SUMIF(月間集計シート!$M$29:$M$48,$G1695,月間集計シート!N$29:N$48)*J$2</f>
        <v>0</v>
      </c>
      <c r="K1695" s="88">
        <f>SUMIF(月間集計シート!$M$29:$M$48,$G1695,月間集計シート!O$29:O$48)*K$2</f>
        <v>0</v>
      </c>
      <c r="L1695" s="88">
        <f>SUMIF(月間集計シート!$M$29:$M$48,$G1695,月間集計シート!P$29:P$48)*L$2</f>
        <v>0</v>
      </c>
      <c r="M1695" s="88">
        <f>SUMIF(月間集計シート!$M$29:$M$48,$G1695,月間集計シート!Q$29:Q$48)*M$2</f>
        <v>0</v>
      </c>
      <c r="N1695" s="88">
        <f>SUMIF(月間集計シート!$M$29:$M$48,$G1695,月間集計シート!R$29:R$48)*N$2</f>
        <v>0</v>
      </c>
      <c r="O1695" s="88">
        <f>SUMIF(月間集計シート!$M$29:$M$48,$G1695,月間集計シート!S$29:S$48)*O$2</f>
        <v>0</v>
      </c>
      <c r="P1695" s="88">
        <f>SUMIF(月間集計シート!$M$29:$M$48,$G1695,月間集計シート!T$29:T$48)*P$2</f>
        <v>0</v>
      </c>
      <c r="Q1695" s="88">
        <f>SUMIF(月間集計シート!$M$50:$M$69,$G1695,月間集計シート!N$50:N$69)*Q$2</f>
        <v>0</v>
      </c>
      <c r="R1695" s="88">
        <f>SUMIF(月間集計シート!$M$50:$M$69,$G1695,月間集計シート!O$50:O$69)*R$2</f>
        <v>0</v>
      </c>
      <c r="S1695" s="88">
        <f>SUMIF(月間集計シート!$M$50:$M$69,$G1695,月間集計シート!P$50:P$69)*S$2</f>
        <v>0</v>
      </c>
      <c r="T1695" s="88">
        <f>SUMIF(月間集計シート!$M$50:$M$69,$G1695,月間集計シート!Q$50:Q$69)*T$2</f>
        <v>0</v>
      </c>
      <c r="U1695" s="88">
        <f>SUMIF(月間集計シート!$M$50:$M$69,$G1695,月間集計シート!R$50:R$69)*U$2</f>
        <v>0</v>
      </c>
      <c r="V1695" s="88">
        <f>SUMIF(月間集計シート!$M$50:$M$69,$G1695,月間集計シート!S$50:S$69)*V$2</f>
        <v>0</v>
      </c>
      <c r="W1695" s="88">
        <f>SUMIF(月間集計シート!$M$50:$M$69,$G1695,月間集計シート!T$50:T$69)*W$2</f>
        <v>0</v>
      </c>
      <c r="X1695" s="88">
        <f>SUMIF(月間集計シート!$M$71:$M$90,$G1695,月間集計シート!N$71:N$90)*X$2</f>
        <v>0</v>
      </c>
      <c r="Y1695" s="88">
        <f>SUMIF(月間集計シート!$M$71:$M$90,$G1695,月間集計シート!O$71:O$90)*Y$2</f>
        <v>0</v>
      </c>
      <c r="Z1695" s="88">
        <f>SUMIF(月間集計シート!$M$71:$M$90,$G1695,月間集計シート!P$71:P$90)*Z$2</f>
        <v>0</v>
      </c>
      <c r="AA1695" s="88">
        <f>SUMIF(月間集計シート!$M$71:$M$90,$G1695,月間集計シート!Q$71:Q$90)*AA$2</f>
        <v>0</v>
      </c>
      <c r="AB1695" s="88">
        <f>SUMIF(月間集計シート!$M$71:$M$90,$G1695,月間集計シート!R$71:R$90)*AB$2</f>
        <v>0</v>
      </c>
      <c r="AC1695" s="88">
        <f>SUMIF(月間集計シート!$M$71:$M$90,$G1695,月間集計シート!S$71:S$90)*AC$2</f>
        <v>0</v>
      </c>
      <c r="AD1695" s="88">
        <f>SUMIF(月間集計シート!$M$71:$M$90,$G1695,月間集計シート!T$71:T$90)*AD$2</f>
        <v>0</v>
      </c>
      <c r="AE1695" s="88">
        <f>SUMIF(月間集計シート!$M$92:$M$111,$G1695,月間集計シート!N$92:N$111)*AE$2</f>
        <v>0</v>
      </c>
      <c r="AF1695" s="88">
        <f>SUMIF(月間集計シート!$M$92:$M$111,$G1695,月間集計シート!O$92:O$111)*AF$2</f>
        <v>0</v>
      </c>
      <c r="AG1695" s="88">
        <f>SUMIF(月間集計シート!$M$92:$M$111,$G1695,月間集計シート!P$92:P$111)*AG$2</f>
        <v>0</v>
      </c>
      <c r="AH1695" s="88">
        <f>SUMIF(月間集計シート!$M$92:$M$111,$G1695,月間集計シート!Q$92:Q$111)*AH$2</f>
        <v>0</v>
      </c>
      <c r="AI1695" s="88">
        <f>SUMIF(月間集計シート!$M$92:$M$111,$G1695,月間集計シート!R$92:R$111)*AI$2</f>
        <v>0</v>
      </c>
      <c r="AJ1695" s="88">
        <f>SUMIF(月間集計シート!$M$92:$M$111,$G1695,月間集計シート!S$92:S$111)*AJ$2</f>
        <v>0</v>
      </c>
      <c r="AK1695" s="88">
        <f>SUMIF(月間集計シート!$M$92:$M$111,$G1695,月間集計シート!T$92:T$111)*AK$2</f>
        <v>0</v>
      </c>
      <c r="AL1695" s="88">
        <f>SUMIF(月間集計シート!$M$113:$M$132,$G1695,月間集計シート!N$113:N$132)*AL$2</f>
        <v>0</v>
      </c>
      <c r="AM1695" s="88">
        <f>SUMIF(月間集計シート!$M$113:$M$132,$G1695,月間集計シート!O$113:O$132)*AM$2</f>
        <v>0</v>
      </c>
      <c r="AN1695" s="88">
        <f>SUMIF(月間集計シート!$M$113:$M$132,$G1695,月間集計シート!P$113:P$132)*AN$2</f>
        <v>0</v>
      </c>
      <c r="AO1695" s="88">
        <f>SUMIF(月間集計シート!$M$113:$M$132,$G1695,月間集計シート!Q$113:Q$132)*AO$2</f>
        <v>0</v>
      </c>
      <c r="AP1695" s="88">
        <f>SUMIF(月間集計シート!$M$113:$M$132,$G1695,月間集計シート!R$113:R$132)*AP$2</f>
        <v>0</v>
      </c>
      <c r="AQ1695" s="88">
        <f>SUMIF(月間集計シート!$M$113:$M$132,$G1695,月間集計シート!S$113:S$132)*AQ$2</f>
        <v>0</v>
      </c>
      <c r="AR1695" s="88">
        <f>SUMIF(月間集計シート!$M$113:$M$132,$G1695,月間集計シート!T$113:T$132)*AR$2</f>
        <v>0</v>
      </c>
      <c r="AS1695" s="88">
        <f>SUMIF(月間集計シート!$M$134:$M$153,$G1695,月間集計シート!N$134:N$153)*AS$2</f>
        <v>0</v>
      </c>
      <c r="AT1695" s="88">
        <f>SUMIF(月間集計シート!$M$134:$M$153,$G1695,月間集計シート!O$134:O$153)*AT$2</f>
        <v>0</v>
      </c>
      <c r="AU1695" s="88">
        <f>SUMIF(月間集計シート!$M$134:$M$153,$G1695,月間集計シート!P$134:P$153)*AU$2</f>
        <v>0</v>
      </c>
      <c r="AV1695" s="88">
        <f>SUMIF(月間集計シート!$M$134:$M$153,$G1695,月間集計シート!Q$134:Q$153)*AV$2</f>
        <v>0</v>
      </c>
      <c r="AW1695" s="88">
        <f>SUMIF(月間集計シート!$M$134:$M$153,$G1695,月間集計シート!R$134:R$153)*AW$2</f>
        <v>0</v>
      </c>
      <c r="AX1695" s="88">
        <f>SUMIF(月間集計シート!$M$134:$M$153,$G1695,月間集計シート!S$134:S$153)*AX$2</f>
        <v>0</v>
      </c>
      <c r="AY1695" s="88">
        <f>SUMIF(月間集計シート!$M$134:$M$153,$G1695,月間集計シート!T$134:T$153)*AY$2</f>
        <v>0</v>
      </c>
    </row>
    <row r="1696" spans="1:51" ht="14.25" thickBot="1">
      <c r="A1696">
        <v>20</v>
      </c>
      <c r="B1696" s="120">
        <f t="shared" si="947"/>
        <v>0</v>
      </c>
      <c r="C1696" s="120" t="str">
        <f t="shared" si="947"/>
        <v/>
      </c>
      <c r="D1696" s="137"/>
      <c r="E1696" s="150" t="str">
        <f>工種!A73</f>
        <v>90108</v>
      </c>
      <c r="F1696" s="119" t="str">
        <f>工種!B73</f>
        <v>管理業務：外部不具合分析</v>
      </c>
      <c r="G1696" s="116" t="str">
        <f t="shared" si="944"/>
        <v>090108</v>
      </c>
      <c r="H1696" s="88">
        <f t="shared" si="946"/>
        <v>0</v>
      </c>
      <c r="I1696" s="132"/>
      <c r="J1696" s="88">
        <f>SUMIF(月間集計シート!$M$29:$M$48,$G1696,月間集計シート!N$29:N$48)*J$2</f>
        <v>0</v>
      </c>
      <c r="K1696" s="88">
        <f>SUMIF(月間集計シート!$M$29:$M$48,$G1696,月間集計シート!O$29:O$48)*K$2</f>
        <v>0</v>
      </c>
      <c r="L1696" s="88">
        <f>SUMIF(月間集計シート!$M$29:$M$48,$G1696,月間集計シート!P$29:P$48)*L$2</f>
        <v>0</v>
      </c>
      <c r="M1696" s="88">
        <f>SUMIF(月間集計シート!$M$29:$M$48,$G1696,月間集計シート!Q$29:Q$48)*M$2</f>
        <v>0</v>
      </c>
      <c r="N1696" s="88">
        <f>SUMIF(月間集計シート!$M$29:$M$48,$G1696,月間集計シート!R$29:R$48)*N$2</f>
        <v>0</v>
      </c>
      <c r="O1696" s="88">
        <f>SUMIF(月間集計シート!$M$29:$M$48,$G1696,月間集計シート!S$29:S$48)*O$2</f>
        <v>0</v>
      </c>
      <c r="P1696" s="88">
        <f>SUMIF(月間集計シート!$M$29:$M$48,$G1696,月間集計シート!T$29:T$48)*P$2</f>
        <v>0</v>
      </c>
      <c r="Q1696" s="88">
        <f>SUMIF(月間集計シート!$M$50:$M$69,$G1696,月間集計シート!N$50:N$69)*Q$2</f>
        <v>0</v>
      </c>
      <c r="R1696" s="88">
        <f>SUMIF(月間集計シート!$M$50:$M$69,$G1696,月間集計シート!O$50:O$69)*R$2</f>
        <v>0</v>
      </c>
      <c r="S1696" s="88">
        <f>SUMIF(月間集計シート!$M$50:$M$69,$G1696,月間集計シート!P$50:P$69)*S$2</f>
        <v>0</v>
      </c>
      <c r="T1696" s="88">
        <f>SUMIF(月間集計シート!$M$50:$M$69,$G1696,月間集計シート!Q$50:Q$69)*T$2</f>
        <v>0</v>
      </c>
      <c r="U1696" s="88">
        <f>SUMIF(月間集計シート!$M$50:$M$69,$G1696,月間集計シート!R$50:R$69)*U$2</f>
        <v>0</v>
      </c>
      <c r="V1696" s="88">
        <f>SUMIF(月間集計シート!$M$50:$M$69,$G1696,月間集計シート!S$50:S$69)*V$2</f>
        <v>0</v>
      </c>
      <c r="W1696" s="88">
        <f>SUMIF(月間集計シート!$M$50:$M$69,$G1696,月間集計シート!T$50:T$69)*W$2</f>
        <v>0</v>
      </c>
      <c r="X1696" s="88">
        <f>SUMIF(月間集計シート!$M$71:$M$90,$G1696,月間集計シート!N$71:N$90)*X$2</f>
        <v>0</v>
      </c>
      <c r="Y1696" s="88">
        <f>SUMIF(月間集計シート!$M$71:$M$90,$G1696,月間集計シート!O$71:O$90)*Y$2</f>
        <v>0</v>
      </c>
      <c r="Z1696" s="88">
        <f>SUMIF(月間集計シート!$M$71:$M$90,$G1696,月間集計シート!P$71:P$90)*Z$2</f>
        <v>0</v>
      </c>
      <c r="AA1696" s="88">
        <f>SUMIF(月間集計シート!$M$71:$M$90,$G1696,月間集計シート!Q$71:Q$90)*AA$2</f>
        <v>0</v>
      </c>
      <c r="AB1696" s="88">
        <f>SUMIF(月間集計シート!$M$71:$M$90,$G1696,月間集計シート!R$71:R$90)*AB$2</f>
        <v>0</v>
      </c>
      <c r="AC1696" s="88">
        <f>SUMIF(月間集計シート!$M$71:$M$90,$G1696,月間集計シート!S$71:S$90)*AC$2</f>
        <v>0</v>
      </c>
      <c r="AD1696" s="88">
        <f>SUMIF(月間集計シート!$M$71:$M$90,$G1696,月間集計シート!T$71:T$90)*AD$2</f>
        <v>0</v>
      </c>
      <c r="AE1696" s="88">
        <f>SUMIF(月間集計シート!$M$92:$M$111,$G1696,月間集計シート!N$92:N$111)*AE$2</f>
        <v>0</v>
      </c>
      <c r="AF1696" s="88">
        <f>SUMIF(月間集計シート!$M$92:$M$111,$G1696,月間集計シート!O$92:O$111)*AF$2</f>
        <v>0</v>
      </c>
      <c r="AG1696" s="88">
        <f>SUMIF(月間集計シート!$M$92:$M$111,$G1696,月間集計シート!P$92:P$111)*AG$2</f>
        <v>0</v>
      </c>
      <c r="AH1696" s="88">
        <f>SUMIF(月間集計シート!$M$92:$M$111,$G1696,月間集計シート!Q$92:Q$111)*AH$2</f>
        <v>0</v>
      </c>
      <c r="AI1696" s="88">
        <f>SUMIF(月間集計シート!$M$92:$M$111,$G1696,月間集計シート!R$92:R$111)*AI$2</f>
        <v>0</v>
      </c>
      <c r="AJ1696" s="88">
        <f>SUMIF(月間集計シート!$M$92:$M$111,$G1696,月間集計シート!S$92:S$111)*AJ$2</f>
        <v>0</v>
      </c>
      <c r="AK1696" s="88">
        <f>SUMIF(月間集計シート!$M$92:$M$111,$G1696,月間集計シート!T$92:T$111)*AK$2</f>
        <v>0</v>
      </c>
      <c r="AL1696" s="88">
        <f>SUMIF(月間集計シート!$M$113:$M$132,$G1696,月間集計シート!N$113:N$132)*AL$2</f>
        <v>0</v>
      </c>
      <c r="AM1696" s="88">
        <f>SUMIF(月間集計シート!$M$113:$M$132,$G1696,月間集計シート!O$113:O$132)*AM$2</f>
        <v>0</v>
      </c>
      <c r="AN1696" s="88">
        <f>SUMIF(月間集計シート!$M$113:$M$132,$G1696,月間集計シート!P$113:P$132)*AN$2</f>
        <v>0</v>
      </c>
      <c r="AO1696" s="88">
        <f>SUMIF(月間集計シート!$M$113:$M$132,$G1696,月間集計シート!Q$113:Q$132)*AO$2</f>
        <v>0</v>
      </c>
      <c r="AP1696" s="88">
        <f>SUMIF(月間集計シート!$M$113:$M$132,$G1696,月間集計シート!R$113:R$132)*AP$2</f>
        <v>0</v>
      </c>
      <c r="AQ1696" s="88">
        <f>SUMIF(月間集計シート!$M$113:$M$132,$G1696,月間集計シート!S$113:S$132)*AQ$2</f>
        <v>0</v>
      </c>
      <c r="AR1696" s="88">
        <f>SUMIF(月間集計シート!$M$113:$M$132,$G1696,月間集計シート!T$113:T$132)*AR$2</f>
        <v>0</v>
      </c>
      <c r="AS1696" s="88">
        <f>SUMIF(月間集計シート!$M$134:$M$153,$G1696,月間集計シート!N$134:N$153)*AS$2</f>
        <v>0</v>
      </c>
      <c r="AT1696" s="88">
        <f>SUMIF(月間集計シート!$M$134:$M$153,$G1696,月間集計シート!O$134:O$153)*AT$2</f>
        <v>0</v>
      </c>
      <c r="AU1696" s="88">
        <f>SUMIF(月間集計シート!$M$134:$M$153,$G1696,月間集計シート!P$134:P$153)*AU$2</f>
        <v>0</v>
      </c>
      <c r="AV1696" s="88">
        <f>SUMIF(月間集計シート!$M$134:$M$153,$G1696,月間集計シート!Q$134:Q$153)*AV$2</f>
        <v>0</v>
      </c>
      <c r="AW1696" s="88">
        <f>SUMIF(月間集計シート!$M$134:$M$153,$G1696,月間集計シート!R$134:R$153)*AW$2</f>
        <v>0</v>
      </c>
      <c r="AX1696" s="88">
        <f>SUMIF(月間集計シート!$M$134:$M$153,$G1696,月間集計シート!S$134:S$153)*AX$2</f>
        <v>0</v>
      </c>
      <c r="AY1696" s="88">
        <f>SUMIF(月間集計シート!$M$134:$M$153,$G1696,月間集計シート!T$134:T$153)*AY$2</f>
        <v>0</v>
      </c>
    </row>
    <row r="1697" spans="1:51" ht="14.25" thickBot="1">
      <c r="A1697">
        <v>20</v>
      </c>
      <c r="B1697" s="120">
        <f t="shared" si="947"/>
        <v>0</v>
      </c>
      <c r="C1697" s="120" t="str">
        <f t="shared" si="947"/>
        <v/>
      </c>
      <c r="D1697" s="137"/>
      <c r="E1697" s="150" t="str">
        <f>工種!A74</f>
        <v>90110</v>
      </c>
      <c r="F1697" s="119" t="str">
        <f>工種!B74</f>
        <v>管理業務：打合せ</v>
      </c>
      <c r="G1697" s="116" t="str">
        <f t="shared" si="944"/>
        <v>090110</v>
      </c>
      <c r="H1697" s="88">
        <f t="shared" si="946"/>
        <v>0</v>
      </c>
      <c r="I1697" s="132"/>
      <c r="J1697" s="88">
        <f>SUMIF(月間集計シート!$M$29:$M$48,$G1697,月間集計シート!N$29:N$48)*J$2</f>
        <v>0</v>
      </c>
      <c r="K1697" s="88">
        <f>SUMIF(月間集計シート!$M$29:$M$48,$G1697,月間集計シート!O$29:O$48)*K$2</f>
        <v>0</v>
      </c>
      <c r="L1697" s="88">
        <f>SUMIF(月間集計シート!$M$29:$M$48,$G1697,月間集計シート!P$29:P$48)*L$2</f>
        <v>0</v>
      </c>
      <c r="M1697" s="88">
        <f>SUMIF(月間集計シート!$M$29:$M$48,$G1697,月間集計シート!Q$29:Q$48)*M$2</f>
        <v>0</v>
      </c>
      <c r="N1697" s="88">
        <f>SUMIF(月間集計シート!$M$29:$M$48,$G1697,月間集計シート!R$29:R$48)*N$2</f>
        <v>0</v>
      </c>
      <c r="O1697" s="88">
        <f>SUMIF(月間集計シート!$M$29:$M$48,$G1697,月間集計シート!S$29:S$48)*O$2</f>
        <v>0</v>
      </c>
      <c r="P1697" s="88">
        <f>SUMIF(月間集計シート!$M$29:$M$48,$G1697,月間集計シート!T$29:T$48)*P$2</f>
        <v>0</v>
      </c>
      <c r="Q1697" s="88">
        <f>SUMIF(月間集計シート!$M$50:$M$69,$G1697,月間集計シート!N$50:N$69)*Q$2</f>
        <v>0</v>
      </c>
      <c r="R1697" s="88">
        <f>SUMIF(月間集計シート!$M$50:$M$69,$G1697,月間集計シート!O$50:O$69)*R$2</f>
        <v>0</v>
      </c>
      <c r="S1697" s="88">
        <f>SUMIF(月間集計シート!$M$50:$M$69,$G1697,月間集計シート!P$50:P$69)*S$2</f>
        <v>0</v>
      </c>
      <c r="T1697" s="88">
        <f>SUMIF(月間集計シート!$M$50:$M$69,$G1697,月間集計シート!Q$50:Q$69)*T$2</f>
        <v>0</v>
      </c>
      <c r="U1697" s="88">
        <f>SUMIF(月間集計シート!$M$50:$M$69,$G1697,月間集計シート!R$50:R$69)*U$2</f>
        <v>0</v>
      </c>
      <c r="V1697" s="88">
        <f>SUMIF(月間集計シート!$M$50:$M$69,$G1697,月間集計シート!S$50:S$69)*V$2</f>
        <v>0</v>
      </c>
      <c r="W1697" s="88">
        <f>SUMIF(月間集計シート!$M$50:$M$69,$G1697,月間集計シート!T$50:T$69)*W$2</f>
        <v>0</v>
      </c>
      <c r="X1697" s="88">
        <f>SUMIF(月間集計シート!$M$71:$M$90,$G1697,月間集計シート!N$71:N$90)*X$2</f>
        <v>0</v>
      </c>
      <c r="Y1697" s="88">
        <f>SUMIF(月間集計シート!$M$71:$M$90,$G1697,月間集計シート!O$71:O$90)*Y$2</f>
        <v>0</v>
      </c>
      <c r="Z1697" s="88">
        <f>SUMIF(月間集計シート!$M$71:$M$90,$G1697,月間集計シート!P$71:P$90)*Z$2</f>
        <v>0</v>
      </c>
      <c r="AA1697" s="88">
        <f>SUMIF(月間集計シート!$M$71:$M$90,$G1697,月間集計シート!Q$71:Q$90)*AA$2</f>
        <v>0</v>
      </c>
      <c r="AB1697" s="88">
        <f>SUMIF(月間集計シート!$M$71:$M$90,$G1697,月間集計シート!R$71:R$90)*AB$2</f>
        <v>0</v>
      </c>
      <c r="AC1697" s="88">
        <f>SUMIF(月間集計シート!$M$71:$M$90,$G1697,月間集計シート!S$71:S$90)*AC$2</f>
        <v>0</v>
      </c>
      <c r="AD1697" s="88">
        <f>SUMIF(月間集計シート!$M$71:$M$90,$G1697,月間集計シート!T$71:T$90)*AD$2</f>
        <v>0</v>
      </c>
      <c r="AE1697" s="88">
        <f>SUMIF(月間集計シート!$M$92:$M$111,$G1697,月間集計シート!N$92:N$111)*AE$2</f>
        <v>0</v>
      </c>
      <c r="AF1697" s="88">
        <f>SUMIF(月間集計シート!$M$92:$M$111,$G1697,月間集計シート!O$92:O$111)*AF$2</f>
        <v>0</v>
      </c>
      <c r="AG1697" s="88">
        <f>SUMIF(月間集計シート!$M$92:$M$111,$G1697,月間集計シート!P$92:P$111)*AG$2</f>
        <v>0</v>
      </c>
      <c r="AH1697" s="88">
        <f>SUMIF(月間集計シート!$M$92:$M$111,$G1697,月間集計シート!Q$92:Q$111)*AH$2</f>
        <v>0</v>
      </c>
      <c r="AI1697" s="88">
        <f>SUMIF(月間集計シート!$M$92:$M$111,$G1697,月間集計シート!R$92:R$111)*AI$2</f>
        <v>0</v>
      </c>
      <c r="AJ1697" s="88">
        <f>SUMIF(月間集計シート!$M$92:$M$111,$G1697,月間集計シート!S$92:S$111)*AJ$2</f>
        <v>0</v>
      </c>
      <c r="AK1697" s="88">
        <f>SUMIF(月間集計シート!$M$92:$M$111,$G1697,月間集計シート!T$92:T$111)*AK$2</f>
        <v>0</v>
      </c>
      <c r="AL1697" s="88">
        <f>SUMIF(月間集計シート!$M$113:$M$132,$G1697,月間集計シート!N$113:N$132)*AL$2</f>
        <v>0</v>
      </c>
      <c r="AM1697" s="88">
        <f>SUMIF(月間集計シート!$M$113:$M$132,$G1697,月間集計シート!O$113:O$132)*AM$2</f>
        <v>0</v>
      </c>
      <c r="AN1697" s="88">
        <f>SUMIF(月間集計シート!$M$113:$M$132,$G1697,月間集計シート!P$113:P$132)*AN$2</f>
        <v>0</v>
      </c>
      <c r="AO1697" s="88">
        <f>SUMIF(月間集計シート!$M$113:$M$132,$G1697,月間集計シート!Q$113:Q$132)*AO$2</f>
        <v>0</v>
      </c>
      <c r="AP1697" s="88">
        <f>SUMIF(月間集計シート!$M$113:$M$132,$G1697,月間集計シート!R$113:R$132)*AP$2</f>
        <v>0</v>
      </c>
      <c r="AQ1697" s="88">
        <f>SUMIF(月間集計シート!$M$113:$M$132,$G1697,月間集計シート!S$113:S$132)*AQ$2</f>
        <v>0</v>
      </c>
      <c r="AR1697" s="88">
        <f>SUMIF(月間集計シート!$M$113:$M$132,$G1697,月間集計シート!T$113:T$132)*AR$2</f>
        <v>0</v>
      </c>
      <c r="AS1697" s="88">
        <f>SUMIF(月間集計シート!$M$134:$M$153,$G1697,月間集計シート!N$134:N$153)*AS$2</f>
        <v>0</v>
      </c>
      <c r="AT1697" s="88">
        <f>SUMIF(月間集計シート!$M$134:$M$153,$G1697,月間集計シート!O$134:O$153)*AT$2</f>
        <v>0</v>
      </c>
      <c r="AU1697" s="88">
        <f>SUMIF(月間集計シート!$M$134:$M$153,$G1697,月間集計シート!P$134:P$153)*AU$2</f>
        <v>0</v>
      </c>
      <c r="AV1697" s="88">
        <f>SUMIF(月間集計シート!$M$134:$M$153,$G1697,月間集計シート!Q$134:Q$153)*AV$2</f>
        <v>0</v>
      </c>
      <c r="AW1697" s="88">
        <f>SUMIF(月間集計シート!$M$134:$M$153,$G1697,月間集計シート!R$134:R$153)*AW$2</f>
        <v>0</v>
      </c>
      <c r="AX1697" s="88">
        <f>SUMIF(月間集計シート!$M$134:$M$153,$G1697,月間集計シート!S$134:S$153)*AX$2</f>
        <v>0</v>
      </c>
      <c r="AY1697" s="88">
        <f>SUMIF(月間集計シート!$M$134:$M$153,$G1697,月間集計シート!T$134:T$153)*AY$2</f>
        <v>0</v>
      </c>
    </row>
    <row r="1698" spans="1:51" ht="14.25" thickBot="1">
      <c r="A1698">
        <v>20</v>
      </c>
      <c r="B1698" s="120">
        <f t="shared" si="947"/>
        <v>0</v>
      </c>
      <c r="C1698" s="120" t="str">
        <f t="shared" si="947"/>
        <v/>
      </c>
      <c r="D1698" s="137"/>
      <c r="E1698" s="150" t="str">
        <f>工種!A75</f>
        <v>90111</v>
      </c>
      <c r="F1698" s="119" t="str">
        <f>工種!B75</f>
        <v>管理業務：レビュー</v>
      </c>
      <c r="G1698" s="116" t="str">
        <f t="shared" si="944"/>
        <v>090111</v>
      </c>
      <c r="H1698" s="88">
        <f t="shared" si="946"/>
        <v>0</v>
      </c>
      <c r="I1698" s="132"/>
      <c r="J1698" s="88">
        <f>SUMIF(月間集計シート!$M$29:$M$48,$G1698,月間集計シート!N$29:N$48)*J$2</f>
        <v>0</v>
      </c>
      <c r="K1698" s="88">
        <f>SUMIF(月間集計シート!$M$29:$M$48,$G1698,月間集計シート!O$29:O$48)*K$2</f>
        <v>0</v>
      </c>
      <c r="L1698" s="88">
        <f>SUMIF(月間集計シート!$M$29:$M$48,$G1698,月間集計シート!P$29:P$48)*L$2</f>
        <v>0</v>
      </c>
      <c r="M1698" s="88">
        <f>SUMIF(月間集計シート!$M$29:$M$48,$G1698,月間集計シート!Q$29:Q$48)*M$2</f>
        <v>0</v>
      </c>
      <c r="N1698" s="88">
        <f>SUMIF(月間集計シート!$M$29:$M$48,$G1698,月間集計シート!R$29:R$48)*N$2</f>
        <v>0</v>
      </c>
      <c r="O1698" s="88">
        <f>SUMIF(月間集計シート!$M$29:$M$48,$G1698,月間集計シート!S$29:S$48)*O$2</f>
        <v>0</v>
      </c>
      <c r="P1698" s="88">
        <f>SUMIF(月間集計シート!$M$29:$M$48,$G1698,月間集計シート!T$29:T$48)*P$2</f>
        <v>0</v>
      </c>
      <c r="Q1698" s="88">
        <f>SUMIF(月間集計シート!$M$50:$M$69,$G1698,月間集計シート!N$50:N$69)*Q$2</f>
        <v>0</v>
      </c>
      <c r="R1698" s="88">
        <f>SUMIF(月間集計シート!$M$50:$M$69,$G1698,月間集計シート!O$50:O$69)*R$2</f>
        <v>0</v>
      </c>
      <c r="S1698" s="88">
        <f>SUMIF(月間集計シート!$M$50:$M$69,$G1698,月間集計シート!P$50:P$69)*S$2</f>
        <v>0</v>
      </c>
      <c r="T1698" s="88">
        <f>SUMIF(月間集計シート!$M$50:$M$69,$G1698,月間集計シート!Q$50:Q$69)*T$2</f>
        <v>0</v>
      </c>
      <c r="U1698" s="88">
        <f>SUMIF(月間集計シート!$M$50:$M$69,$G1698,月間集計シート!R$50:R$69)*U$2</f>
        <v>0</v>
      </c>
      <c r="V1698" s="88">
        <f>SUMIF(月間集計シート!$M$50:$M$69,$G1698,月間集計シート!S$50:S$69)*V$2</f>
        <v>0</v>
      </c>
      <c r="W1698" s="88">
        <f>SUMIF(月間集計シート!$M$50:$M$69,$G1698,月間集計シート!T$50:T$69)*W$2</f>
        <v>0</v>
      </c>
      <c r="X1698" s="88">
        <f>SUMIF(月間集計シート!$M$71:$M$90,$G1698,月間集計シート!N$71:N$90)*X$2</f>
        <v>0</v>
      </c>
      <c r="Y1698" s="88">
        <f>SUMIF(月間集計シート!$M$71:$M$90,$G1698,月間集計シート!O$71:O$90)*Y$2</f>
        <v>0</v>
      </c>
      <c r="Z1698" s="88">
        <f>SUMIF(月間集計シート!$M$71:$M$90,$G1698,月間集計シート!P$71:P$90)*Z$2</f>
        <v>0</v>
      </c>
      <c r="AA1698" s="88">
        <f>SUMIF(月間集計シート!$M$71:$M$90,$G1698,月間集計シート!Q$71:Q$90)*AA$2</f>
        <v>0</v>
      </c>
      <c r="AB1698" s="88">
        <f>SUMIF(月間集計シート!$M$71:$M$90,$G1698,月間集計シート!R$71:R$90)*AB$2</f>
        <v>0</v>
      </c>
      <c r="AC1698" s="88">
        <f>SUMIF(月間集計シート!$M$71:$M$90,$G1698,月間集計シート!S$71:S$90)*AC$2</f>
        <v>0</v>
      </c>
      <c r="AD1698" s="88">
        <f>SUMIF(月間集計シート!$M$71:$M$90,$G1698,月間集計シート!T$71:T$90)*AD$2</f>
        <v>0</v>
      </c>
      <c r="AE1698" s="88">
        <f>SUMIF(月間集計シート!$M$92:$M$111,$G1698,月間集計シート!N$92:N$111)*AE$2</f>
        <v>0</v>
      </c>
      <c r="AF1698" s="88">
        <f>SUMIF(月間集計シート!$M$92:$M$111,$G1698,月間集計シート!O$92:O$111)*AF$2</f>
        <v>0</v>
      </c>
      <c r="AG1698" s="88">
        <f>SUMIF(月間集計シート!$M$92:$M$111,$G1698,月間集計シート!P$92:P$111)*AG$2</f>
        <v>0</v>
      </c>
      <c r="AH1698" s="88">
        <f>SUMIF(月間集計シート!$M$92:$M$111,$G1698,月間集計シート!Q$92:Q$111)*AH$2</f>
        <v>0</v>
      </c>
      <c r="AI1698" s="88">
        <f>SUMIF(月間集計シート!$M$92:$M$111,$G1698,月間集計シート!R$92:R$111)*AI$2</f>
        <v>0</v>
      </c>
      <c r="AJ1698" s="88">
        <f>SUMIF(月間集計シート!$M$92:$M$111,$G1698,月間集計シート!S$92:S$111)*AJ$2</f>
        <v>0</v>
      </c>
      <c r="AK1698" s="88">
        <f>SUMIF(月間集計シート!$M$92:$M$111,$G1698,月間集計シート!T$92:T$111)*AK$2</f>
        <v>0</v>
      </c>
      <c r="AL1698" s="88">
        <f>SUMIF(月間集計シート!$M$113:$M$132,$G1698,月間集計シート!N$113:N$132)*AL$2</f>
        <v>0</v>
      </c>
      <c r="AM1698" s="88">
        <f>SUMIF(月間集計シート!$M$113:$M$132,$G1698,月間集計シート!O$113:O$132)*AM$2</f>
        <v>0</v>
      </c>
      <c r="AN1698" s="88">
        <f>SUMIF(月間集計シート!$M$113:$M$132,$G1698,月間集計シート!P$113:P$132)*AN$2</f>
        <v>0</v>
      </c>
      <c r="AO1698" s="88">
        <f>SUMIF(月間集計シート!$M$113:$M$132,$G1698,月間集計シート!Q$113:Q$132)*AO$2</f>
        <v>0</v>
      </c>
      <c r="AP1698" s="88">
        <f>SUMIF(月間集計シート!$M$113:$M$132,$G1698,月間集計シート!R$113:R$132)*AP$2</f>
        <v>0</v>
      </c>
      <c r="AQ1698" s="88">
        <f>SUMIF(月間集計シート!$M$113:$M$132,$G1698,月間集計シート!S$113:S$132)*AQ$2</f>
        <v>0</v>
      </c>
      <c r="AR1698" s="88">
        <f>SUMIF(月間集計シート!$M$113:$M$132,$G1698,月間集計シート!T$113:T$132)*AR$2</f>
        <v>0</v>
      </c>
      <c r="AS1698" s="88">
        <f>SUMIF(月間集計シート!$M$134:$M$153,$G1698,月間集計シート!N$134:N$153)*AS$2</f>
        <v>0</v>
      </c>
      <c r="AT1698" s="88">
        <f>SUMIF(月間集計シート!$M$134:$M$153,$G1698,月間集計シート!O$134:O$153)*AT$2</f>
        <v>0</v>
      </c>
      <c r="AU1698" s="88">
        <f>SUMIF(月間集計シート!$M$134:$M$153,$G1698,月間集計シート!P$134:P$153)*AU$2</f>
        <v>0</v>
      </c>
      <c r="AV1698" s="88">
        <f>SUMIF(月間集計シート!$M$134:$M$153,$G1698,月間集計シート!Q$134:Q$153)*AV$2</f>
        <v>0</v>
      </c>
      <c r="AW1698" s="88">
        <f>SUMIF(月間集計シート!$M$134:$M$153,$G1698,月間集計シート!R$134:R$153)*AW$2</f>
        <v>0</v>
      </c>
      <c r="AX1698" s="88">
        <f>SUMIF(月間集計シート!$M$134:$M$153,$G1698,月間集計シート!S$134:S$153)*AX$2</f>
        <v>0</v>
      </c>
      <c r="AY1698" s="88">
        <f>SUMIF(月間集計シート!$M$134:$M$153,$G1698,月間集計シート!T$134:T$153)*AY$2</f>
        <v>0</v>
      </c>
    </row>
    <row r="1699" spans="1:51" ht="14.25" thickBot="1">
      <c r="A1699">
        <v>20</v>
      </c>
      <c r="B1699" s="120">
        <f t="shared" si="947"/>
        <v>0</v>
      </c>
      <c r="C1699" s="120" t="str">
        <f t="shared" si="947"/>
        <v/>
      </c>
      <c r="D1699" s="137"/>
      <c r="E1699" s="150" t="str">
        <f>工種!A76</f>
        <v>90199</v>
      </c>
      <c r="F1699" s="119" t="str">
        <f>工種!B76</f>
        <v>管理業務：その他</v>
      </c>
      <c r="G1699" s="116" t="str">
        <f t="shared" si="944"/>
        <v>090199</v>
      </c>
      <c r="H1699" s="88">
        <f t="shared" si="946"/>
        <v>0</v>
      </c>
      <c r="I1699" s="132"/>
      <c r="J1699" s="88">
        <f>SUMIF(月間集計シート!$M$29:$M$48,$G1699,月間集計シート!N$29:N$48)*J$2</f>
        <v>0</v>
      </c>
      <c r="K1699" s="88">
        <f>SUMIF(月間集計シート!$M$29:$M$48,$G1699,月間集計シート!O$29:O$48)*K$2</f>
        <v>0</v>
      </c>
      <c r="L1699" s="88">
        <f>SUMIF(月間集計シート!$M$29:$M$48,$G1699,月間集計シート!P$29:P$48)*L$2</f>
        <v>0</v>
      </c>
      <c r="M1699" s="88">
        <f>SUMIF(月間集計シート!$M$29:$M$48,$G1699,月間集計シート!Q$29:Q$48)*M$2</f>
        <v>0</v>
      </c>
      <c r="N1699" s="88">
        <f>SUMIF(月間集計シート!$M$29:$M$48,$G1699,月間集計シート!R$29:R$48)*N$2</f>
        <v>0</v>
      </c>
      <c r="O1699" s="88">
        <f>SUMIF(月間集計シート!$M$29:$M$48,$G1699,月間集計シート!S$29:S$48)*O$2</f>
        <v>0</v>
      </c>
      <c r="P1699" s="88">
        <f>SUMIF(月間集計シート!$M$29:$M$48,$G1699,月間集計シート!T$29:T$48)*P$2</f>
        <v>0</v>
      </c>
      <c r="Q1699" s="88">
        <f>SUMIF(月間集計シート!$M$50:$M$69,$G1699,月間集計シート!N$50:N$69)*Q$2</f>
        <v>0</v>
      </c>
      <c r="R1699" s="88">
        <f>SUMIF(月間集計シート!$M$50:$M$69,$G1699,月間集計シート!O$50:O$69)*R$2</f>
        <v>0</v>
      </c>
      <c r="S1699" s="88">
        <f>SUMIF(月間集計シート!$M$50:$M$69,$G1699,月間集計シート!P$50:P$69)*S$2</f>
        <v>0</v>
      </c>
      <c r="T1699" s="88">
        <f>SUMIF(月間集計シート!$M$50:$M$69,$G1699,月間集計シート!Q$50:Q$69)*T$2</f>
        <v>0</v>
      </c>
      <c r="U1699" s="88">
        <f>SUMIF(月間集計シート!$M$50:$M$69,$G1699,月間集計シート!R$50:R$69)*U$2</f>
        <v>0</v>
      </c>
      <c r="V1699" s="88">
        <f>SUMIF(月間集計シート!$M$50:$M$69,$G1699,月間集計シート!S$50:S$69)*V$2</f>
        <v>0</v>
      </c>
      <c r="W1699" s="88">
        <f>SUMIF(月間集計シート!$M$50:$M$69,$G1699,月間集計シート!T$50:T$69)*W$2</f>
        <v>0</v>
      </c>
      <c r="X1699" s="88">
        <f>SUMIF(月間集計シート!$M$71:$M$90,$G1699,月間集計シート!N$71:N$90)*X$2</f>
        <v>0</v>
      </c>
      <c r="Y1699" s="88">
        <f>SUMIF(月間集計シート!$M$71:$M$90,$G1699,月間集計シート!O$71:O$90)*Y$2</f>
        <v>0</v>
      </c>
      <c r="Z1699" s="88">
        <f>SUMIF(月間集計シート!$M$71:$M$90,$G1699,月間集計シート!P$71:P$90)*Z$2</f>
        <v>0</v>
      </c>
      <c r="AA1699" s="88">
        <f>SUMIF(月間集計シート!$M$71:$M$90,$G1699,月間集計シート!Q$71:Q$90)*AA$2</f>
        <v>0</v>
      </c>
      <c r="AB1699" s="88">
        <f>SUMIF(月間集計シート!$M$71:$M$90,$G1699,月間集計シート!R$71:R$90)*AB$2</f>
        <v>0</v>
      </c>
      <c r="AC1699" s="88">
        <f>SUMIF(月間集計シート!$M$71:$M$90,$G1699,月間集計シート!S$71:S$90)*AC$2</f>
        <v>0</v>
      </c>
      <c r="AD1699" s="88">
        <f>SUMIF(月間集計シート!$M$71:$M$90,$G1699,月間集計シート!T$71:T$90)*AD$2</f>
        <v>0</v>
      </c>
      <c r="AE1699" s="88">
        <f>SUMIF(月間集計シート!$M$92:$M$111,$G1699,月間集計シート!N$92:N$111)*AE$2</f>
        <v>0</v>
      </c>
      <c r="AF1699" s="88">
        <f>SUMIF(月間集計シート!$M$92:$M$111,$G1699,月間集計シート!O$92:O$111)*AF$2</f>
        <v>0</v>
      </c>
      <c r="AG1699" s="88">
        <f>SUMIF(月間集計シート!$M$92:$M$111,$G1699,月間集計シート!P$92:P$111)*AG$2</f>
        <v>0</v>
      </c>
      <c r="AH1699" s="88">
        <f>SUMIF(月間集計シート!$M$92:$M$111,$G1699,月間集計シート!Q$92:Q$111)*AH$2</f>
        <v>0</v>
      </c>
      <c r="AI1699" s="88">
        <f>SUMIF(月間集計シート!$M$92:$M$111,$G1699,月間集計シート!R$92:R$111)*AI$2</f>
        <v>0</v>
      </c>
      <c r="AJ1699" s="88">
        <f>SUMIF(月間集計シート!$M$92:$M$111,$G1699,月間集計シート!S$92:S$111)*AJ$2</f>
        <v>0</v>
      </c>
      <c r="AK1699" s="88">
        <f>SUMIF(月間集計シート!$M$92:$M$111,$G1699,月間集計シート!T$92:T$111)*AK$2</f>
        <v>0</v>
      </c>
      <c r="AL1699" s="88">
        <f>SUMIF(月間集計シート!$M$113:$M$132,$G1699,月間集計シート!N$113:N$132)*AL$2</f>
        <v>0</v>
      </c>
      <c r="AM1699" s="88">
        <f>SUMIF(月間集計シート!$M$113:$M$132,$G1699,月間集計シート!O$113:O$132)*AM$2</f>
        <v>0</v>
      </c>
      <c r="AN1699" s="88">
        <f>SUMIF(月間集計シート!$M$113:$M$132,$G1699,月間集計シート!P$113:P$132)*AN$2</f>
        <v>0</v>
      </c>
      <c r="AO1699" s="88">
        <f>SUMIF(月間集計シート!$M$113:$M$132,$G1699,月間集計シート!Q$113:Q$132)*AO$2</f>
        <v>0</v>
      </c>
      <c r="AP1699" s="88">
        <f>SUMIF(月間集計シート!$M$113:$M$132,$G1699,月間集計シート!R$113:R$132)*AP$2</f>
        <v>0</v>
      </c>
      <c r="AQ1699" s="88">
        <f>SUMIF(月間集計シート!$M$113:$M$132,$G1699,月間集計シート!S$113:S$132)*AQ$2</f>
        <v>0</v>
      </c>
      <c r="AR1699" s="88">
        <f>SUMIF(月間集計シート!$M$113:$M$132,$G1699,月間集計シート!T$113:T$132)*AR$2</f>
        <v>0</v>
      </c>
      <c r="AS1699" s="88">
        <f>SUMIF(月間集計シート!$M$134:$M$153,$G1699,月間集計シート!N$134:N$153)*AS$2</f>
        <v>0</v>
      </c>
      <c r="AT1699" s="88">
        <f>SUMIF(月間集計シート!$M$134:$M$153,$G1699,月間集計シート!O$134:O$153)*AT$2</f>
        <v>0</v>
      </c>
      <c r="AU1699" s="88">
        <f>SUMIF(月間集計シート!$M$134:$M$153,$G1699,月間集計シート!P$134:P$153)*AU$2</f>
        <v>0</v>
      </c>
      <c r="AV1699" s="88">
        <f>SUMIF(月間集計シート!$M$134:$M$153,$G1699,月間集計シート!Q$134:Q$153)*AV$2</f>
        <v>0</v>
      </c>
      <c r="AW1699" s="88">
        <f>SUMIF(月間集計シート!$M$134:$M$153,$G1699,月間集計シート!R$134:R$153)*AW$2</f>
        <v>0</v>
      </c>
      <c r="AX1699" s="88">
        <f>SUMIF(月間集計シート!$M$134:$M$153,$G1699,月間集計シート!S$134:S$153)*AX$2</f>
        <v>0</v>
      </c>
      <c r="AY1699" s="88">
        <f>SUMIF(月間集計シート!$M$134:$M$153,$G1699,月間集計シート!T$134:T$153)*AY$2</f>
        <v>0</v>
      </c>
    </row>
    <row r="1700" spans="1:51" ht="14.25" thickBot="1">
      <c r="A1700">
        <v>20</v>
      </c>
      <c r="B1700" s="120">
        <f t="shared" si="947"/>
        <v>0</v>
      </c>
      <c r="C1700" s="120" t="str">
        <f t="shared" si="947"/>
        <v/>
      </c>
      <c r="D1700" s="137"/>
      <c r="E1700" s="150">
        <f>工種!A77</f>
        <v>99102</v>
      </c>
      <c r="F1700" s="119" t="str">
        <f>工種!B77</f>
        <v>間接業務：業務環境管理（PCｾｯﾄｱｯﾌﾟ等）</v>
      </c>
      <c r="G1700" s="116" t="str">
        <f t="shared" si="944"/>
        <v>099102</v>
      </c>
      <c r="H1700" s="88">
        <f t="shared" si="946"/>
        <v>0</v>
      </c>
      <c r="I1700" s="132"/>
      <c r="J1700" s="88">
        <f>SUMIF(月間集計シート!$M$29:$M$48,$G1700,月間集計シート!N$29:N$48)*J$2</f>
        <v>0</v>
      </c>
      <c r="K1700" s="88">
        <f>SUMIF(月間集計シート!$M$29:$M$48,$G1700,月間集計シート!O$29:O$48)*K$2</f>
        <v>0</v>
      </c>
      <c r="L1700" s="88">
        <f>SUMIF(月間集計シート!$M$29:$M$48,$G1700,月間集計シート!P$29:P$48)*L$2</f>
        <v>0</v>
      </c>
      <c r="M1700" s="88">
        <f>SUMIF(月間集計シート!$M$29:$M$48,$G1700,月間集計シート!Q$29:Q$48)*M$2</f>
        <v>0</v>
      </c>
      <c r="N1700" s="88">
        <f>SUMIF(月間集計シート!$M$29:$M$48,$G1700,月間集計シート!R$29:R$48)*N$2</f>
        <v>0</v>
      </c>
      <c r="O1700" s="88">
        <f>SUMIF(月間集計シート!$M$29:$M$48,$G1700,月間集計シート!S$29:S$48)*O$2</f>
        <v>0</v>
      </c>
      <c r="P1700" s="88">
        <f>SUMIF(月間集計シート!$M$29:$M$48,$G1700,月間集計シート!T$29:T$48)*P$2</f>
        <v>0</v>
      </c>
      <c r="Q1700" s="88">
        <f>SUMIF(月間集計シート!$M$50:$M$69,$G1700,月間集計シート!N$50:N$69)*Q$2</f>
        <v>0</v>
      </c>
      <c r="R1700" s="88">
        <f>SUMIF(月間集計シート!$M$50:$M$69,$G1700,月間集計シート!O$50:O$69)*R$2</f>
        <v>0</v>
      </c>
      <c r="S1700" s="88">
        <f>SUMIF(月間集計シート!$M$50:$M$69,$G1700,月間集計シート!P$50:P$69)*S$2</f>
        <v>0</v>
      </c>
      <c r="T1700" s="88">
        <f>SUMIF(月間集計シート!$M$50:$M$69,$G1700,月間集計シート!Q$50:Q$69)*T$2</f>
        <v>0</v>
      </c>
      <c r="U1700" s="88">
        <f>SUMIF(月間集計シート!$M$50:$M$69,$G1700,月間集計シート!R$50:R$69)*U$2</f>
        <v>0</v>
      </c>
      <c r="V1700" s="88">
        <f>SUMIF(月間集計シート!$M$50:$M$69,$G1700,月間集計シート!S$50:S$69)*V$2</f>
        <v>0</v>
      </c>
      <c r="W1700" s="88">
        <f>SUMIF(月間集計シート!$M$50:$M$69,$G1700,月間集計シート!T$50:T$69)*W$2</f>
        <v>0</v>
      </c>
      <c r="X1700" s="88">
        <f>SUMIF(月間集計シート!$M$71:$M$90,$G1700,月間集計シート!N$71:N$90)*X$2</f>
        <v>0</v>
      </c>
      <c r="Y1700" s="88">
        <f>SUMIF(月間集計シート!$M$71:$M$90,$G1700,月間集計シート!O$71:O$90)*Y$2</f>
        <v>0</v>
      </c>
      <c r="Z1700" s="88">
        <f>SUMIF(月間集計シート!$M$71:$M$90,$G1700,月間集計シート!P$71:P$90)*Z$2</f>
        <v>0</v>
      </c>
      <c r="AA1700" s="88">
        <f>SUMIF(月間集計シート!$M$71:$M$90,$G1700,月間集計シート!Q$71:Q$90)*AA$2</f>
        <v>0</v>
      </c>
      <c r="AB1700" s="88">
        <f>SUMIF(月間集計シート!$M$71:$M$90,$G1700,月間集計シート!R$71:R$90)*AB$2</f>
        <v>0</v>
      </c>
      <c r="AC1700" s="88">
        <f>SUMIF(月間集計シート!$M$71:$M$90,$G1700,月間集計シート!S$71:S$90)*AC$2</f>
        <v>0</v>
      </c>
      <c r="AD1700" s="88">
        <f>SUMIF(月間集計シート!$M$71:$M$90,$G1700,月間集計シート!T$71:T$90)*AD$2</f>
        <v>0</v>
      </c>
      <c r="AE1700" s="88">
        <f>SUMIF(月間集計シート!$M$92:$M$111,$G1700,月間集計シート!N$92:N$111)*AE$2</f>
        <v>0</v>
      </c>
      <c r="AF1700" s="88">
        <f>SUMIF(月間集計シート!$M$92:$M$111,$G1700,月間集計シート!O$92:O$111)*AF$2</f>
        <v>0</v>
      </c>
      <c r="AG1700" s="88">
        <f>SUMIF(月間集計シート!$M$92:$M$111,$G1700,月間集計シート!P$92:P$111)*AG$2</f>
        <v>0</v>
      </c>
      <c r="AH1700" s="88">
        <f>SUMIF(月間集計シート!$M$92:$M$111,$G1700,月間集計シート!Q$92:Q$111)*AH$2</f>
        <v>0</v>
      </c>
      <c r="AI1700" s="88">
        <f>SUMIF(月間集計シート!$M$92:$M$111,$G1700,月間集計シート!R$92:R$111)*AI$2</f>
        <v>0</v>
      </c>
      <c r="AJ1700" s="88">
        <f>SUMIF(月間集計シート!$M$92:$M$111,$G1700,月間集計シート!S$92:S$111)*AJ$2</f>
        <v>0</v>
      </c>
      <c r="AK1700" s="88">
        <f>SUMIF(月間集計シート!$M$92:$M$111,$G1700,月間集計シート!T$92:T$111)*AK$2</f>
        <v>0</v>
      </c>
      <c r="AL1700" s="88">
        <f>SUMIF(月間集計シート!$M$113:$M$132,$G1700,月間集計シート!N$113:N$132)*AL$2</f>
        <v>0</v>
      </c>
      <c r="AM1700" s="88">
        <f>SUMIF(月間集計シート!$M$113:$M$132,$G1700,月間集計シート!O$113:O$132)*AM$2</f>
        <v>0</v>
      </c>
      <c r="AN1700" s="88">
        <f>SUMIF(月間集計シート!$M$113:$M$132,$G1700,月間集計シート!P$113:P$132)*AN$2</f>
        <v>0</v>
      </c>
      <c r="AO1700" s="88">
        <f>SUMIF(月間集計シート!$M$113:$M$132,$G1700,月間集計シート!Q$113:Q$132)*AO$2</f>
        <v>0</v>
      </c>
      <c r="AP1700" s="88">
        <f>SUMIF(月間集計シート!$M$113:$M$132,$G1700,月間集計シート!R$113:R$132)*AP$2</f>
        <v>0</v>
      </c>
      <c r="AQ1700" s="88">
        <f>SUMIF(月間集計シート!$M$113:$M$132,$G1700,月間集計シート!S$113:S$132)*AQ$2</f>
        <v>0</v>
      </c>
      <c r="AR1700" s="88">
        <f>SUMIF(月間集計シート!$M$113:$M$132,$G1700,月間集計シート!T$113:T$132)*AR$2</f>
        <v>0</v>
      </c>
      <c r="AS1700" s="88">
        <f>SUMIF(月間集計シート!$M$134:$M$153,$G1700,月間集計シート!N$134:N$153)*AS$2</f>
        <v>0</v>
      </c>
      <c r="AT1700" s="88">
        <f>SUMIF(月間集計シート!$M$134:$M$153,$G1700,月間集計シート!O$134:O$153)*AT$2</f>
        <v>0</v>
      </c>
      <c r="AU1700" s="88">
        <f>SUMIF(月間集計シート!$M$134:$M$153,$G1700,月間集計シート!P$134:P$153)*AU$2</f>
        <v>0</v>
      </c>
      <c r="AV1700" s="88">
        <f>SUMIF(月間集計シート!$M$134:$M$153,$G1700,月間集計シート!Q$134:Q$153)*AV$2</f>
        <v>0</v>
      </c>
      <c r="AW1700" s="88">
        <f>SUMIF(月間集計シート!$M$134:$M$153,$G1700,月間集計シート!R$134:R$153)*AW$2</f>
        <v>0</v>
      </c>
      <c r="AX1700" s="88">
        <f>SUMIF(月間集計シート!$M$134:$M$153,$G1700,月間集計シート!S$134:S$153)*AX$2</f>
        <v>0</v>
      </c>
      <c r="AY1700" s="88">
        <f>SUMIF(月間集計シート!$M$134:$M$153,$G1700,月間集計シート!T$134:T$153)*AY$2</f>
        <v>0</v>
      </c>
    </row>
    <row r="1701" spans="1:51" ht="14.25" thickBot="1">
      <c r="A1701">
        <v>20</v>
      </c>
      <c r="B1701" s="120">
        <f t="shared" si="947"/>
        <v>0</v>
      </c>
      <c r="C1701" s="120" t="str">
        <f t="shared" si="947"/>
        <v/>
      </c>
      <c r="D1701" s="137"/>
      <c r="E1701" s="150" t="str">
        <f>工種!A78</f>
        <v>99103</v>
      </c>
      <c r="F1701" s="119" t="str">
        <f>工種!B78</f>
        <v>間接業務：標準化・業務改善作業（開発以外）</v>
      </c>
      <c r="G1701" s="116" t="str">
        <f t="shared" si="944"/>
        <v>099103</v>
      </c>
      <c r="H1701" s="88">
        <f t="shared" si="946"/>
        <v>0</v>
      </c>
      <c r="I1701" s="132"/>
      <c r="J1701" s="88">
        <f>SUMIF(月間集計シート!$M$29:$M$48,$G1701,月間集計シート!N$29:N$48)*J$2</f>
        <v>0</v>
      </c>
      <c r="K1701" s="88">
        <f>SUMIF(月間集計シート!$M$29:$M$48,$G1701,月間集計シート!O$29:O$48)*K$2</f>
        <v>0</v>
      </c>
      <c r="L1701" s="88">
        <f>SUMIF(月間集計シート!$M$29:$M$48,$G1701,月間集計シート!P$29:P$48)*L$2</f>
        <v>0</v>
      </c>
      <c r="M1701" s="88">
        <f>SUMIF(月間集計シート!$M$29:$M$48,$G1701,月間集計シート!Q$29:Q$48)*M$2</f>
        <v>0</v>
      </c>
      <c r="N1701" s="88">
        <f>SUMIF(月間集計シート!$M$29:$M$48,$G1701,月間集計シート!R$29:R$48)*N$2</f>
        <v>0</v>
      </c>
      <c r="O1701" s="88">
        <f>SUMIF(月間集計シート!$M$29:$M$48,$G1701,月間集計シート!S$29:S$48)*O$2</f>
        <v>0</v>
      </c>
      <c r="P1701" s="88">
        <f>SUMIF(月間集計シート!$M$29:$M$48,$G1701,月間集計シート!T$29:T$48)*P$2</f>
        <v>0</v>
      </c>
      <c r="Q1701" s="88">
        <f>SUMIF(月間集計シート!$M$50:$M$69,$G1701,月間集計シート!N$50:N$69)*Q$2</f>
        <v>0</v>
      </c>
      <c r="R1701" s="88">
        <f>SUMIF(月間集計シート!$M$50:$M$69,$G1701,月間集計シート!O$50:O$69)*R$2</f>
        <v>0</v>
      </c>
      <c r="S1701" s="88">
        <f>SUMIF(月間集計シート!$M$50:$M$69,$G1701,月間集計シート!P$50:P$69)*S$2</f>
        <v>0</v>
      </c>
      <c r="T1701" s="88">
        <f>SUMIF(月間集計シート!$M$50:$M$69,$G1701,月間集計シート!Q$50:Q$69)*T$2</f>
        <v>0</v>
      </c>
      <c r="U1701" s="88">
        <f>SUMIF(月間集計シート!$M$50:$M$69,$G1701,月間集計シート!R$50:R$69)*U$2</f>
        <v>0</v>
      </c>
      <c r="V1701" s="88">
        <f>SUMIF(月間集計シート!$M$50:$M$69,$G1701,月間集計シート!S$50:S$69)*V$2</f>
        <v>0</v>
      </c>
      <c r="W1701" s="88">
        <f>SUMIF(月間集計シート!$M$50:$M$69,$G1701,月間集計シート!T$50:T$69)*W$2</f>
        <v>0</v>
      </c>
      <c r="X1701" s="88">
        <f>SUMIF(月間集計シート!$M$71:$M$90,$G1701,月間集計シート!N$71:N$90)*X$2</f>
        <v>0</v>
      </c>
      <c r="Y1701" s="88">
        <f>SUMIF(月間集計シート!$M$71:$M$90,$G1701,月間集計シート!O$71:O$90)*Y$2</f>
        <v>0</v>
      </c>
      <c r="Z1701" s="88">
        <f>SUMIF(月間集計シート!$M$71:$M$90,$G1701,月間集計シート!P$71:P$90)*Z$2</f>
        <v>0</v>
      </c>
      <c r="AA1701" s="88">
        <f>SUMIF(月間集計シート!$M$71:$M$90,$G1701,月間集計シート!Q$71:Q$90)*AA$2</f>
        <v>0</v>
      </c>
      <c r="AB1701" s="88">
        <f>SUMIF(月間集計シート!$M$71:$M$90,$G1701,月間集計シート!R$71:R$90)*AB$2</f>
        <v>0</v>
      </c>
      <c r="AC1701" s="88">
        <f>SUMIF(月間集計シート!$M$71:$M$90,$G1701,月間集計シート!S$71:S$90)*AC$2</f>
        <v>0</v>
      </c>
      <c r="AD1701" s="88">
        <f>SUMIF(月間集計シート!$M$71:$M$90,$G1701,月間集計シート!T$71:T$90)*AD$2</f>
        <v>0</v>
      </c>
      <c r="AE1701" s="88">
        <f>SUMIF(月間集計シート!$M$92:$M$111,$G1701,月間集計シート!N$92:N$111)*AE$2</f>
        <v>0</v>
      </c>
      <c r="AF1701" s="88">
        <f>SUMIF(月間集計シート!$M$92:$M$111,$G1701,月間集計シート!O$92:O$111)*AF$2</f>
        <v>0</v>
      </c>
      <c r="AG1701" s="88">
        <f>SUMIF(月間集計シート!$M$92:$M$111,$G1701,月間集計シート!P$92:P$111)*AG$2</f>
        <v>0</v>
      </c>
      <c r="AH1701" s="88">
        <f>SUMIF(月間集計シート!$M$92:$M$111,$G1701,月間集計シート!Q$92:Q$111)*AH$2</f>
        <v>0</v>
      </c>
      <c r="AI1701" s="88">
        <f>SUMIF(月間集計シート!$M$92:$M$111,$G1701,月間集計シート!R$92:R$111)*AI$2</f>
        <v>0</v>
      </c>
      <c r="AJ1701" s="88">
        <f>SUMIF(月間集計シート!$M$92:$M$111,$G1701,月間集計シート!S$92:S$111)*AJ$2</f>
        <v>0</v>
      </c>
      <c r="AK1701" s="88">
        <f>SUMIF(月間集計シート!$M$92:$M$111,$G1701,月間集計シート!T$92:T$111)*AK$2</f>
        <v>0</v>
      </c>
      <c r="AL1701" s="88">
        <f>SUMIF(月間集計シート!$M$113:$M$132,$G1701,月間集計シート!N$113:N$132)*AL$2</f>
        <v>0</v>
      </c>
      <c r="AM1701" s="88">
        <f>SUMIF(月間集計シート!$M$113:$M$132,$G1701,月間集計シート!O$113:O$132)*AM$2</f>
        <v>0</v>
      </c>
      <c r="AN1701" s="88">
        <f>SUMIF(月間集計シート!$M$113:$M$132,$G1701,月間集計シート!P$113:P$132)*AN$2</f>
        <v>0</v>
      </c>
      <c r="AO1701" s="88">
        <f>SUMIF(月間集計シート!$M$113:$M$132,$G1701,月間集計シート!Q$113:Q$132)*AO$2</f>
        <v>0</v>
      </c>
      <c r="AP1701" s="88">
        <f>SUMIF(月間集計シート!$M$113:$M$132,$G1701,月間集計シート!R$113:R$132)*AP$2</f>
        <v>0</v>
      </c>
      <c r="AQ1701" s="88">
        <f>SUMIF(月間集計シート!$M$113:$M$132,$G1701,月間集計シート!S$113:S$132)*AQ$2</f>
        <v>0</v>
      </c>
      <c r="AR1701" s="88">
        <f>SUMIF(月間集計シート!$M$113:$M$132,$G1701,月間集計シート!T$113:T$132)*AR$2</f>
        <v>0</v>
      </c>
      <c r="AS1701" s="88">
        <f>SUMIF(月間集計シート!$M$134:$M$153,$G1701,月間集計シート!N$134:N$153)*AS$2</f>
        <v>0</v>
      </c>
      <c r="AT1701" s="88">
        <f>SUMIF(月間集計シート!$M$134:$M$153,$G1701,月間集計シート!O$134:O$153)*AT$2</f>
        <v>0</v>
      </c>
      <c r="AU1701" s="88">
        <f>SUMIF(月間集計シート!$M$134:$M$153,$G1701,月間集計シート!P$134:P$153)*AU$2</f>
        <v>0</v>
      </c>
      <c r="AV1701" s="88">
        <f>SUMIF(月間集計シート!$M$134:$M$153,$G1701,月間集計シート!Q$134:Q$153)*AV$2</f>
        <v>0</v>
      </c>
      <c r="AW1701" s="88">
        <f>SUMIF(月間集計シート!$M$134:$M$153,$G1701,月間集計シート!R$134:R$153)*AW$2</f>
        <v>0</v>
      </c>
      <c r="AX1701" s="88">
        <f>SUMIF(月間集計シート!$M$134:$M$153,$G1701,月間集計シート!S$134:S$153)*AX$2</f>
        <v>0</v>
      </c>
      <c r="AY1701" s="88">
        <f>SUMIF(月間集計シート!$M$134:$M$153,$G1701,月間集計シート!T$134:T$153)*AY$2</f>
        <v>0</v>
      </c>
    </row>
    <row r="1702" spans="1:51" ht="14.25" thickBot="1">
      <c r="A1702">
        <v>20</v>
      </c>
      <c r="B1702" s="120">
        <f t="shared" si="947"/>
        <v>0</v>
      </c>
      <c r="C1702" s="120" t="str">
        <f t="shared" si="947"/>
        <v/>
      </c>
      <c r="D1702" s="137"/>
      <c r="E1702" s="150" t="str">
        <f>工種!A79</f>
        <v>99104</v>
      </c>
      <c r="F1702" s="119" t="str">
        <f>工種!B79</f>
        <v>間接業務：業務の引継ぎ（開発以外）</v>
      </c>
      <c r="G1702" s="116" t="str">
        <f t="shared" si="944"/>
        <v>099104</v>
      </c>
      <c r="H1702" s="88">
        <f t="shared" si="946"/>
        <v>0</v>
      </c>
      <c r="I1702" s="132"/>
      <c r="J1702" s="88">
        <f>SUMIF(月間集計シート!$M$29:$M$48,$G1702,月間集計シート!N$29:N$48)*J$2</f>
        <v>0</v>
      </c>
      <c r="K1702" s="88">
        <f>SUMIF(月間集計シート!$M$29:$M$48,$G1702,月間集計シート!O$29:O$48)*K$2</f>
        <v>0</v>
      </c>
      <c r="L1702" s="88">
        <f>SUMIF(月間集計シート!$M$29:$M$48,$G1702,月間集計シート!P$29:P$48)*L$2</f>
        <v>0</v>
      </c>
      <c r="M1702" s="88">
        <f>SUMIF(月間集計シート!$M$29:$M$48,$G1702,月間集計シート!Q$29:Q$48)*M$2</f>
        <v>0</v>
      </c>
      <c r="N1702" s="88">
        <f>SUMIF(月間集計シート!$M$29:$M$48,$G1702,月間集計シート!R$29:R$48)*N$2</f>
        <v>0</v>
      </c>
      <c r="O1702" s="88">
        <f>SUMIF(月間集計シート!$M$29:$M$48,$G1702,月間集計シート!S$29:S$48)*O$2</f>
        <v>0</v>
      </c>
      <c r="P1702" s="88">
        <f>SUMIF(月間集計シート!$M$29:$M$48,$G1702,月間集計シート!T$29:T$48)*P$2</f>
        <v>0</v>
      </c>
      <c r="Q1702" s="88">
        <f>SUMIF(月間集計シート!$M$50:$M$69,$G1702,月間集計シート!N$50:N$69)*Q$2</f>
        <v>0</v>
      </c>
      <c r="R1702" s="88">
        <f>SUMIF(月間集計シート!$M$50:$M$69,$G1702,月間集計シート!O$50:O$69)*R$2</f>
        <v>0</v>
      </c>
      <c r="S1702" s="88">
        <f>SUMIF(月間集計シート!$M$50:$M$69,$G1702,月間集計シート!P$50:P$69)*S$2</f>
        <v>0</v>
      </c>
      <c r="T1702" s="88">
        <f>SUMIF(月間集計シート!$M$50:$M$69,$G1702,月間集計シート!Q$50:Q$69)*T$2</f>
        <v>0</v>
      </c>
      <c r="U1702" s="88">
        <f>SUMIF(月間集計シート!$M$50:$M$69,$G1702,月間集計シート!R$50:R$69)*U$2</f>
        <v>0</v>
      </c>
      <c r="V1702" s="88">
        <f>SUMIF(月間集計シート!$M$50:$M$69,$G1702,月間集計シート!S$50:S$69)*V$2</f>
        <v>0</v>
      </c>
      <c r="W1702" s="88">
        <f>SUMIF(月間集計シート!$M$50:$M$69,$G1702,月間集計シート!T$50:T$69)*W$2</f>
        <v>0</v>
      </c>
      <c r="X1702" s="88">
        <f>SUMIF(月間集計シート!$M$71:$M$90,$G1702,月間集計シート!N$71:N$90)*X$2</f>
        <v>0</v>
      </c>
      <c r="Y1702" s="88">
        <f>SUMIF(月間集計シート!$M$71:$M$90,$G1702,月間集計シート!O$71:O$90)*Y$2</f>
        <v>0</v>
      </c>
      <c r="Z1702" s="88">
        <f>SUMIF(月間集計シート!$M$71:$M$90,$G1702,月間集計シート!P$71:P$90)*Z$2</f>
        <v>0</v>
      </c>
      <c r="AA1702" s="88">
        <f>SUMIF(月間集計シート!$M$71:$M$90,$G1702,月間集計シート!Q$71:Q$90)*AA$2</f>
        <v>0</v>
      </c>
      <c r="AB1702" s="88">
        <f>SUMIF(月間集計シート!$M$71:$M$90,$G1702,月間集計シート!R$71:R$90)*AB$2</f>
        <v>0</v>
      </c>
      <c r="AC1702" s="88">
        <f>SUMIF(月間集計シート!$M$71:$M$90,$G1702,月間集計シート!S$71:S$90)*AC$2</f>
        <v>0</v>
      </c>
      <c r="AD1702" s="88">
        <f>SUMIF(月間集計シート!$M$71:$M$90,$G1702,月間集計シート!T$71:T$90)*AD$2</f>
        <v>0</v>
      </c>
      <c r="AE1702" s="88">
        <f>SUMIF(月間集計シート!$M$92:$M$111,$G1702,月間集計シート!N$92:N$111)*AE$2</f>
        <v>0</v>
      </c>
      <c r="AF1702" s="88">
        <f>SUMIF(月間集計シート!$M$92:$M$111,$G1702,月間集計シート!O$92:O$111)*AF$2</f>
        <v>0</v>
      </c>
      <c r="AG1702" s="88">
        <f>SUMIF(月間集計シート!$M$92:$M$111,$G1702,月間集計シート!P$92:P$111)*AG$2</f>
        <v>0</v>
      </c>
      <c r="AH1702" s="88">
        <f>SUMIF(月間集計シート!$M$92:$M$111,$G1702,月間集計シート!Q$92:Q$111)*AH$2</f>
        <v>0</v>
      </c>
      <c r="AI1702" s="88">
        <f>SUMIF(月間集計シート!$M$92:$M$111,$G1702,月間集計シート!R$92:R$111)*AI$2</f>
        <v>0</v>
      </c>
      <c r="AJ1702" s="88">
        <f>SUMIF(月間集計シート!$M$92:$M$111,$G1702,月間集計シート!S$92:S$111)*AJ$2</f>
        <v>0</v>
      </c>
      <c r="AK1702" s="88">
        <f>SUMIF(月間集計シート!$M$92:$M$111,$G1702,月間集計シート!T$92:T$111)*AK$2</f>
        <v>0</v>
      </c>
      <c r="AL1702" s="88">
        <f>SUMIF(月間集計シート!$M$113:$M$132,$G1702,月間集計シート!N$113:N$132)*AL$2</f>
        <v>0</v>
      </c>
      <c r="AM1702" s="88">
        <f>SUMIF(月間集計シート!$M$113:$M$132,$G1702,月間集計シート!O$113:O$132)*AM$2</f>
        <v>0</v>
      </c>
      <c r="AN1702" s="88">
        <f>SUMIF(月間集計シート!$M$113:$M$132,$G1702,月間集計シート!P$113:P$132)*AN$2</f>
        <v>0</v>
      </c>
      <c r="AO1702" s="88">
        <f>SUMIF(月間集計シート!$M$113:$M$132,$G1702,月間集計シート!Q$113:Q$132)*AO$2</f>
        <v>0</v>
      </c>
      <c r="AP1702" s="88">
        <f>SUMIF(月間集計シート!$M$113:$M$132,$G1702,月間集計シート!R$113:R$132)*AP$2</f>
        <v>0</v>
      </c>
      <c r="AQ1702" s="88">
        <f>SUMIF(月間集計シート!$M$113:$M$132,$G1702,月間集計シート!S$113:S$132)*AQ$2</f>
        <v>0</v>
      </c>
      <c r="AR1702" s="88">
        <f>SUMIF(月間集計シート!$M$113:$M$132,$G1702,月間集計シート!T$113:T$132)*AR$2</f>
        <v>0</v>
      </c>
      <c r="AS1702" s="88">
        <f>SUMIF(月間集計シート!$M$134:$M$153,$G1702,月間集計シート!N$134:N$153)*AS$2</f>
        <v>0</v>
      </c>
      <c r="AT1702" s="88">
        <f>SUMIF(月間集計シート!$M$134:$M$153,$G1702,月間集計シート!O$134:O$153)*AT$2</f>
        <v>0</v>
      </c>
      <c r="AU1702" s="88">
        <f>SUMIF(月間集計シート!$M$134:$M$153,$G1702,月間集計シート!P$134:P$153)*AU$2</f>
        <v>0</v>
      </c>
      <c r="AV1702" s="88">
        <f>SUMIF(月間集計シート!$M$134:$M$153,$G1702,月間集計シート!Q$134:Q$153)*AV$2</f>
        <v>0</v>
      </c>
      <c r="AW1702" s="88">
        <f>SUMIF(月間集計シート!$M$134:$M$153,$G1702,月間集計シート!R$134:R$153)*AW$2</f>
        <v>0</v>
      </c>
      <c r="AX1702" s="88">
        <f>SUMIF(月間集計シート!$M$134:$M$153,$G1702,月間集計シート!S$134:S$153)*AX$2</f>
        <v>0</v>
      </c>
      <c r="AY1702" s="88">
        <f>SUMIF(月間集計シート!$M$134:$M$153,$G1702,月間集計シート!T$134:T$153)*AY$2</f>
        <v>0</v>
      </c>
    </row>
    <row r="1703" spans="1:51" ht="14.25" thickBot="1">
      <c r="A1703">
        <v>20</v>
      </c>
      <c r="B1703" s="120">
        <f t="shared" si="947"/>
        <v>0</v>
      </c>
      <c r="C1703" s="120" t="str">
        <f t="shared" si="947"/>
        <v/>
      </c>
      <c r="D1703" s="137"/>
      <c r="E1703" s="150" t="str">
        <f>工種!A80</f>
        <v>99106</v>
      </c>
      <c r="F1703" s="119" t="str">
        <f>工種!B80</f>
        <v>間接業務：研修・学習</v>
      </c>
      <c r="G1703" s="116" t="str">
        <f t="shared" si="944"/>
        <v>099106</v>
      </c>
      <c r="H1703" s="88">
        <f t="shared" si="946"/>
        <v>0</v>
      </c>
      <c r="I1703" s="132"/>
      <c r="J1703" s="88">
        <f>SUMIF(月間集計シート!$M$29:$M$48,$G1703,月間集計シート!N$29:N$48)*J$2</f>
        <v>0</v>
      </c>
      <c r="K1703" s="88">
        <f>SUMIF(月間集計シート!$M$29:$M$48,$G1703,月間集計シート!O$29:O$48)*K$2</f>
        <v>0</v>
      </c>
      <c r="L1703" s="88">
        <f>SUMIF(月間集計シート!$M$29:$M$48,$G1703,月間集計シート!P$29:P$48)*L$2</f>
        <v>0</v>
      </c>
      <c r="M1703" s="88">
        <f>SUMIF(月間集計シート!$M$29:$M$48,$G1703,月間集計シート!Q$29:Q$48)*M$2</f>
        <v>0</v>
      </c>
      <c r="N1703" s="88">
        <f>SUMIF(月間集計シート!$M$29:$M$48,$G1703,月間集計シート!R$29:R$48)*N$2</f>
        <v>0</v>
      </c>
      <c r="O1703" s="88">
        <f>SUMIF(月間集計シート!$M$29:$M$48,$G1703,月間集計シート!S$29:S$48)*O$2</f>
        <v>0</v>
      </c>
      <c r="P1703" s="88">
        <f>SUMIF(月間集計シート!$M$29:$M$48,$G1703,月間集計シート!T$29:T$48)*P$2</f>
        <v>0</v>
      </c>
      <c r="Q1703" s="88">
        <f>SUMIF(月間集計シート!$M$50:$M$69,$G1703,月間集計シート!N$50:N$69)*Q$2</f>
        <v>0</v>
      </c>
      <c r="R1703" s="88">
        <f>SUMIF(月間集計シート!$M$50:$M$69,$G1703,月間集計シート!O$50:O$69)*R$2</f>
        <v>0</v>
      </c>
      <c r="S1703" s="88">
        <f>SUMIF(月間集計シート!$M$50:$M$69,$G1703,月間集計シート!P$50:P$69)*S$2</f>
        <v>0</v>
      </c>
      <c r="T1703" s="88">
        <f>SUMIF(月間集計シート!$M$50:$M$69,$G1703,月間集計シート!Q$50:Q$69)*T$2</f>
        <v>0</v>
      </c>
      <c r="U1703" s="88">
        <f>SUMIF(月間集計シート!$M$50:$M$69,$G1703,月間集計シート!R$50:R$69)*U$2</f>
        <v>0</v>
      </c>
      <c r="V1703" s="88">
        <f>SUMIF(月間集計シート!$M$50:$M$69,$G1703,月間集計シート!S$50:S$69)*V$2</f>
        <v>0</v>
      </c>
      <c r="W1703" s="88">
        <f>SUMIF(月間集計シート!$M$50:$M$69,$G1703,月間集計シート!T$50:T$69)*W$2</f>
        <v>0</v>
      </c>
      <c r="X1703" s="88">
        <f>SUMIF(月間集計シート!$M$71:$M$90,$G1703,月間集計シート!N$71:N$90)*X$2</f>
        <v>0</v>
      </c>
      <c r="Y1703" s="88">
        <f>SUMIF(月間集計シート!$M$71:$M$90,$G1703,月間集計シート!O$71:O$90)*Y$2</f>
        <v>0</v>
      </c>
      <c r="Z1703" s="88">
        <f>SUMIF(月間集計シート!$M$71:$M$90,$G1703,月間集計シート!P$71:P$90)*Z$2</f>
        <v>0</v>
      </c>
      <c r="AA1703" s="88">
        <f>SUMIF(月間集計シート!$M$71:$M$90,$G1703,月間集計シート!Q$71:Q$90)*AA$2</f>
        <v>0</v>
      </c>
      <c r="AB1703" s="88">
        <f>SUMIF(月間集計シート!$M$71:$M$90,$G1703,月間集計シート!R$71:R$90)*AB$2</f>
        <v>0</v>
      </c>
      <c r="AC1703" s="88">
        <f>SUMIF(月間集計シート!$M$71:$M$90,$G1703,月間集計シート!S$71:S$90)*AC$2</f>
        <v>0</v>
      </c>
      <c r="AD1703" s="88">
        <f>SUMIF(月間集計シート!$M$71:$M$90,$G1703,月間集計シート!T$71:T$90)*AD$2</f>
        <v>0</v>
      </c>
      <c r="AE1703" s="88">
        <f>SUMIF(月間集計シート!$M$92:$M$111,$G1703,月間集計シート!N$92:N$111)*AE$2</f>
        <v>0</v>
      </c>
      <c r="AF1703" s="88">
        <f>SUMIF(月間集計シート!$M$92:$M$111,$G1703,月間集計シート!O$92:O$111)*AF$2</f>
        <v>0</v>
      </c>
      <c r="AG1703" s="88">
        <f>SUMIF(月間集計シート!$M$92:$M$111,$G1703,月間集計シート!P$92:P$111)*AG$2</f>
        <v>0</v>
      </c>
      <c r="AH1703" s="88">
        <f>SUMIF(月間集計シート!$M$92:$M$111,$G1703,月間集計シート!Q$92:Q$111)*AH$2</f>
        <v>0</v>
      </c>
      <c r="AI1703" s="88">
        <f>SUMIF(月間集計シート!$M$92:$M$111,$G1703,月間集計シート!R$92:R$111)*AI$2</f>
        <v>0</v>
      </c>
      <c r="AJ1703" s="88">
        <f>SUMIF(月間集計シート!$M$92:$M$111,$G1703,月間集計シート!S$92:S$111)*AJ$2</f>
        <v>0</v>
      </c>
      <c r="AK1703" s="88">
        <f>SUMIF(月間集計シート!$M$92:$M$111,$G1703,月間集計シート!T$92:T$111)*AK$2</f>
        <v>0</v>
      </c>
      <c r="AL1703" s="88">
        <f>SUMIF(月間集計シート!$M$113:$M$132,$G1703,月間集計シート!N$113:N$132)*AL$2</f>
        <v>0</v>
      </c>
      <c r="AM1703" s="88">
        <f>SUMIF(月間集計シート!$M$113:$M$132,$G1703,月間集計シート!O$113:O$132)*AM$2</f>
        <v>0</v>
      </c>
      <c r="AN1703" s="88">
        <f>SUMIF(月間集計シート!$M$113:$M$132,$G1703,月間集計シート!P$113:P$132)*AN$2</f>
        <v>0</v>
      </c>
      <c r="AO1703" s="88">
        <f>SUMIF(月間集計シート!$M$113:$M$132,$G1703,月間集計シート!Q$113:Q$132)*AO$2</f>
        <v>0</v>
      </c>
      <c r="AP1703" s="88">
        <f>SUMIF(月間集計シート!$M$113:$M$132,$G1703,月間集計シート!R$113:R$132)*AP$2</f>
        <v>0</v>
      </c>
      <c r="AQ1703" s="88">
        <f>SUMIF(月間集計シート!$M$113:$M$132,$G1703,月間集計シート!S$113:S$132)*AQ$2</f>
        <v>0</v>
      </c>
      <c r="AR1703" s="88">
        <f>SUMIF(月間集計シート!$M$113:$M$132,$G1703,月間集計シート!T$113:T$132)*AR$2</f>
        <v>0</v>
      </c>
      <c r="AS1703" s="88">
        <f>SUMIF(月間集計シート!$M$134:$M$153,$G1703,月間集計シート!N$134:N$153)*AS$2</f>
        <v>0</v>
      </c>
      <c r="AT1703" s="88">
        <f>SUMIF(月間集計シート!$M$134:$M$153,$G1703,月間集計シート!O$134:O$153)*AT$2</f>
        <v>0</v>
      </c>
      <c r="AU1703" s="88">
        <f>SUMIF(月間集計シート!$M$134:$M$153,$G1703,月間集計シート!P$134:P$153)*AU$2</f>
        <v>0</v>
      </c>
      <c r="AV1703" s="88">
        <f>SUMIF(月間集計シート!$M$134:$M$153,$G1703,月間集計シート!Q$134:Q$153)*AV$2</f>
        <v>0</v>
      </c>
      <c r="AW1703" s="88">
        <f>SUMIF(月間集計シート!$M$134:$M$153,$G1703,月間集計シート!R$134:R$153)*AW$2</f>
        <v>0</v>
      </c>
      <c r="AX1703" s="88">
        <f>SUMIF(月間集計シート!$M$134:$M$153,$G1703,月間集計シート!S$134:S$153)*AX$2</f>
        <v>0</v>
      </c>
      <c r="AY1703" s="88">
        <f>SUMIF(月間集計シート!$M$134:$M$153,$G1703,月間集計シート!T$134:T$153)*AY$2</f>
        <v>0</v>
      </c>
    </row>
    <row r="1704" spans="1:51" ht="14.25" thickBot="1">
      <c r="A1704">
        <v>20</v>
      </c>
      <c r="B1704" s="120">
        <f t="shared" si="947"/>
        <v>0</v>
      </c>
      <c r="C1704" s="120" t="str">
        <f t="shared" si="947"/>
        <v/>
      </c>
      <c r="D1704" s="137"/>
      <c r="E1704" s="150" t="str">
        <f>工種!A81</f>
        <v>99107</v>
      </c>
      <c r="F1704" s="119" t="str">
        <f>工種!B81</f>
        <v>間接業務：事務作業（開発以外）</v>
      </c>
      <c r="G1704" s="116" t="str">
        <f t="shared" ref="G1704:G1705" si="948">B1704&amp;E1704</f>
        <v>099107</v>
      </c>
      <c r="H1704" s="88">
        <f t="shared" ref="H1704:H1705" si="949">SUM(J1704:AY1704)</f>
        <v>0</v>
      </c>
      <c r="I1704" s="132"/>
      <c r="J1704" s="88">
        <f>SUMIF(月間集計シート!$M$29:$M$48,$G1704,月間集計シート!N$29:N$48)*J$2</f>
        <v>0</v>
      </c>
      <c r="K1704" s="88">
        <f>SUMIF(月間集計シート!$M$29:$M$48,$G1704,月間集計シート!O$29:O$48)*K$2</f>
        <v>0</v>
      </c>
      <c r="L1704" s="88">
        <f>SUMIF(月間集計シート!$M$29:$M$48,$G1704,月間集計シート!P$29:P$48)*L$2</f>
        <v>0</v>
      </c>
      <c r="M1704" s="88">
        <f>SUMIF(月間集計シート!$M$29:$M$48,$G1704,月間集計シート!Q$29:Q$48)*M$2</f>
        <v>0</v>
      </c>
      <c r="N1704" s="88">
        <f>SUMIF(月間集計シート!$M$29:$M$48,$G1704,月間集計シート!R$29:R$48)*N$2</f>
        <v>0</v>
      </c>
      <c r="O1704" s="88">
        <f>SUMIF(月間集計シート!$M$29:$M$48,$G1704,月間集計シート!S$29:S$48)*O$2</f>
        <v>0</v>
      </c>
      <c r="P1704" s="88">
        <f>SUMIF(月間集計シート!$M$29:$M$48,$G1704,月間集計シート!T$29:T$48)*P$2</f>
        <v>0</v>
      </c>
      <c r="Q1704" s="88">
        <f>SUMIF(月間集計シート!$M$50:$M$69,$G1704,月間集計シート!N$50:N$69)*Q$2</f>
        <v>0</v>
      </c>
      <c r="R1704" s="88">
        <f>SUMIF(月間集計シート!$M$50:$M$69,$G1704,月間集計シート!O$50:O$69)*R$2</f>
        <v>0</v>
      </c>
      <c r="S1704" s="88">
        <f>SUMIF(月間集計シート!$M$50:$M$69,$G1704,月間集計シート!P$50:P$69)*S$2</f>
        <v>0</v>
      </c>
      <c r="T1704" s="88">
        <f>SUMIF(月間集計シート!$M$50:$M$69,$G1704,月間集計シート!Q$50:Q$69)*T$2</f>
        <v>0</v>
      </c>
      <c r="U1704" s="88">
        <f>SUMIF(月間集計シート!$M$50:$M$69,$G1704,月間集計シート!R$50:R$69)*U$2</f>
        <v>0</v>
      </c>
      <c r="V1704" s="88">
        <f>SUMIF(月間集計シート!$M$50:$M$69,$G1704,月間集計シート!S$50:S$69)*V$2</f>
        <v>0</v>
      </c>
      <c r="W1704" s="88">
        <f>SUMIF(月間集計シート!$M$50:$M$69,$G1704,月間集計シート!T$50:T$69)*W$2</f>
        <v>0</v>
      </c>
      <c r="X1704" s="88">
        <f>SUMIF(月間集計シート!$M$71:$M$90,$G1704,月間集計シート!N$71:N$90)*X$2</f>
        <v>0</v>
      </c>
      <c r="Y1704" s="88">
        <f>SUMIF(月間集計シート!$M$71:$M$90,$G1704,月間集計シート!O$71:O$90)*Y$2</f>
        <v>0</v>
      </c>
      <c r="Z1704" s="88">
        <f>SUMIF(月間集計シート!$M$71:$M$90,$G1704,月間集計シート!P$71:P$90)*Z$2</f>
        <v>0</v>
      </c>
      <c r="AA1704" s="88">
        <f>SUMIF(月間集計シート!$M$71:$M$90,$G1704,月間集計シート!Q$71:Q$90)*AA$2</f>
        <v>0</v>
      </c>
      <c r="AB1704" s="88">
        <f>SUMIF(月間集計シート!$M$71:$M$90,$G1704,月間集計シート!R$71:R$90)*AB$2</f>
        <v>0</v>
      </c>
      <c r="AC1704" s="88">
        <f>SUMIF(月間集計シート!$M$71:$M$90,$G1704,月間集計シート!S$71:S$90)*AC$2</f>
        <v>0</v>
      </c>
      <c r="AD1704" s="88">
        <f>SUMIF(月間集計シート!$M$71:$M$90,$G1704,月間集計シート!T$71:T$90)*AD$2</f>
        <v>0</v>
      </c>
      <c r="AE1704" s="88">
        <f>SUMIF(月間集計シート!$M$92:$M$111,$G1704,月間集計シート!N$92:N$111)*AE$2</f>
        <v>0</v>
      </c>
      <c r="AF1704" s="88">
        <f>SUMIF(月間集計シート!$M$92:$M$111,$G1704,月間集計シート!O$92:O$111)*AF$2</f>
        <v>0</v>
      </c>
      <c r="AG1704" s="88">
        <f>SUMIF(月間集計シート!$M$92:$M$111,$G1704,月間集計シート!P$92:P$111)*AG$2</f>
        <v>0</v>
      </c>
      <c r="AH1704" s="88">
        <f>SUMIF(月間集計シート!$M$92:$M$111,$G1704,月間集計シート!Q$92:Q$111)*AH$2</f>
        <v>0</v>
      </c>
      <c r="AI1704" s="88">
        <f>SUMIF(月間集計シート!$M$92:$M$111,$G1704,月間集計シート!R$92:R$111)*AI$2</f>
        <v>0</v>
      </c>
      <c r="AJ1704" s="88">
        <f>SUMIF(月間集計シート!$M$92:$M$111,$G1704,月間集計シート!S$92:S$111)*AJ$2</f>
        <v>0</v>
      </c>
      <c r="AK1704" s="88">
        <f>SUMIF(月間集計シート!$M$92:$M$111,$G1704,月間集計シート!T$92:T$111)*AK$2</f>
        <v>0</v>
      </c>
      <c r="AL1704" s="88">
        <f>SUMIF(月間集計シート!$M$113:$M$132,$G1704,月間集計シート!N$113:N$132)*AL$2</f>
        <v>0</v>
      </c>
      <c r="AM1704" s="88">
        <f>SUMIF(月間集計シート!$M$113:$M$132,$G1704,月間集計シート!O$113:O$132)*AM$2</f>
        <v>0</v>
      </c>
      <c r="AN1704" s="88">
        <f>SUMIF(月間集計シート!$M$113:$M$132,$G1704,月間集計シート!P$113:P$132)*AN$2</f>
        <v>0</v>
      </c>
      <c r="AO1704" s="88">
        <f>SUMIF(月間集計シート!$M$113:$M$132,$G1704,月間集計シート!Q$113:Q$132)*AO$2</f>
        <v>0</v>
      </c>
      <c r="AP1704" s="88">
        <f>SUMIF(月間集計シート!$M$113:$M$132,$G1704,月間集計シート!R$113:R$132)*AP$2</f>
        <v>0</v>
      </c>
      <c r="AQ1704" s="88">
        <f>SUMIF(月間集計シート!$M$113:$M$132,$G1704,月間集計シート!S$113:S$132)*AQ$2</f>
        <v>0</v>
      </c>
      <c r="AR1704" s="88">
        <f>SUMIF(月間集計シート!$M$113:$M$132,$G1704,月間集計シート!T$113:T$132)*AR$2</f>
        <v>0</v>
      </c>
      <c r="AS1704" s="88">
        <f>SUMIF(月間集計シート!$M$134:$M$153,$G1704,月間集計シート!N$134:N$153)*AS$2</f>
        <v>0</v>
      </c>
      <c r="AT1704" s="88">
        <f>SUMIF(月間集計シート!$M$134:$M$153,$G1704,月間集計シート!O$134:O$153)*AT$2</f>
        <v>0</v>
      </c>
      <c r="AU1704" s="88">
        <f>SUMIF(月間集計シート!$M$134:$M$153,$G1704,月間集計シート!P$134:P$153)*AU$2</f>
        <v>0</v>
      </c>
      <c r="AV1704" s="88">
        <f>SUMIF(月間集計シート!$M$134:$M$153,$G1704,月間集計シート!Q$134:Q$153)*AV$2</f>
        <v>0</v>
      </c>
      <c r="AW1704" s="88">
        <f>SUMIF(月間集計シート!$M$134:$M$153,$G1704,月間集計シート!R$134:R$153)*AW$2</f>
        <v>0</v>
      </c>
      <c r="AX1704" s="88">
        <f>SUMIF(月間集計シート!$M$134:$M$153,$G1704,月間集計シート!S$134:S$153)*AX$2</f>
        <v>0</v>
      </c>
      <c r="AY1704" s="88">
        <f>SUMIF(月間集計シート!$M$134:$M$153,$G1704,月間集計シート!T$134:T$153)*AY$2</f>
        <v>0</v>
      </c>
    </row>
    <row r="1705" spans="1:51" ht="14.25" thickBot="1">
      <c r="A1705">
        <v>20</v>
      </c>
      <c r="B1705" s="120">
        <f t="shared" si="947"/>
        <v>0</v>
      </c>
      <c r="C1705" s="120" t="str">
        <f t="shared" si="947"/>
        <v/>
      </c>
      <c r="D1705" s="137"/>
      <c r="E1705" s="150" t="str">
        <f>工種!A82</f>
        <v>99110</v>
      </c>
      <c r="F1705" s="119" t="str">
        <f>工種!B82</f>
        <v>間接業務：打合せ</v>
      </c>
      <c r="G1705" s="116" t="str">
        <f t="shared" si="948"/>
        <v>099110</v>
      </c>
      <c r="H1705" s="88">
        <f t="shared" si="949"/>
        <v>0</v>
      </c>
      <c r="I1705" s="132"/>
      <c r="J1705" s="88">
        <f>SUMIF(月間集計シート!$M$29:$M$48,$G1705,月間集計シート!N$29:N$48)*J$2</f>
        <v>0</v>
      </c>
      <c r="K1705" s="88">
        <f>SUMIF(月間集計シート!$M$29:$M$48,$G1705,月間集計シート!O$29:O$48)*K$2</f>
        <v>0</v>
      </c>
      <c r="L1705" s="88">
        <f>SUMIF(月間集計シート!$M$29:$M$48,$G1705,月間集計シート!P$29:P$48)*L$2</f>
        <v>0</v>
      </c>
      <c r="M1705" s="88">
        <f>SUMIF(月間集計シート!$M$29:$M$48,$G1705,月間集計シート!Q$29:Q$48)*M$2</f>
        <v>0</v>
      </c>
      <c r="N1705" s="88">
        <f>SUMIF(月間集計シート!$M$29:$M$48,$G1705,月間集計シート!R$29:R$48)*N$2</f>
        <v>0</v>
      </c>
      <c r="O1705" s="88">
        <f>SUMIF(月間集計シート!$M$29:$M$48,$G1705,月間集計シート!S$29:S$48)*O$2</f>
        <v>0</v>
      </c>
      <c r="P1705" s="88">
        <f>SUMIF(月間集計シート!$M$29:$M$48,$G1705,月間集計シート!T$29:T$48)*P$2</f>
        <v>0</v>
      </c>
      <c r="Q1705" s="88">
        <f>SUMIF(月間集計シート!$M$50:$M$69,$G1705,月間集計シート!N$50:N$69)*Q$2</f>
        <v>0</v>
      </c>
      <c r="R1705" s="88">
        <f>SUMIF(月間集計シート!$M$50:$M$69,$G1705,月間集計シート!O$50:O$69)*R$2</f>
        <v>0</v>
      </c>
      <c r="S1705" s="88">
        <f>SUMIF(月間集計シート!$M$50:$M$69,$G1705,月間集計シート!P$50:P$69)*S$2</f>
        <v>0</v>
      </c>
      <c r="T1705" s="88">
        <f>SUMIF(月間集計シート!$M$50:$M$69,$G1705,月間集計シート!Q$50:Q$69)*T$2</f>
        <v>0</v>
      </c>
      <c r="U1705" s="88">
        <f>SUMIF(月間集計シート!$M$50:$M$69,$G1705,月間集計シート!R$50:R$69)*U$2</f>
        <v>0</v>
      </c>
      <c r="V1705" s="88">
        <f>SUMIF(月間集計シート!$M$50:$M$69,$G1705,月間集計シート!S$50:S$69)*V$2</f>
        <v>0</v>
      </c>
      <c r="W1705" s="88">
        <f>SUMIF(月間集計シート!$M$50:$M$69,$G1705,月間集計シート!T$50:T$69)*W$2</f>
        <v>0</v>
      </c>
      <c r="X1705" s="88">
        <f>SUMIF(月間集計シート!$M$71:$M$90,$G1705,月間集計シート!N$71:N$90)*X$2</f>
        <v>0</v>
      </c>
      <c r="Y1705" s="88">
        <f>SUMIF(月間集計シート!$M$71:$M$90,$G1705,月間集計シート!O$71:O$90)*Y$2</f>
        <v>0</v>
      </c>
      <c r="Z1705" s="88">
        <f>SUMIF(月間集計シート!$M$71:$M$90,$G1705,月間集計シート!P$71:P$90)*Z$2</f>
        <v>0</v>
      </c>
      <c r="AA1705" s="88">
        <f>SUMIF(月間集計シート!$M$71:$M$90,$G1705,月間集計シート!Q$71:Q$90)*AA$2</f>
        <v>0</v>
      </c>
      <c r="AB1705" s="88">
        <f>SUMIF(月間集計シート!$M$71:$M$90,$G1705,月間集計シート!R$71:R$90)*AB$2</f>
        <v>0</v>
      </c>
      <c r="AC1705" s="88">
        <f>SUMIF(月間集計シート!$M$71:$M$90,$G1705,月間集計シート!S$71:S$90)*AC$2</f>
        <v>0</v>
      </c>
      <c r="AD1705" s="88">
        <f>SUMIF(月間集計シート!$M$71:$M$90,$G1705,月間集計シート!T$71:T$90)*AD$2</f>
        <v>0</v>
      </c>
      <c r="AE1705" s="88">
        <f>SUMIF(月間集計シート!$M$92:$M$111,$G1705,月間集計シート!N$92:N$111)*AE$2</f>
        <v>0</v>
      </c>
      <c r="AF1705" s="88">
        <f>SUMIF(月間集計シート!$M$92:$M$111,$G1705,月間集計シート!O$92:O$111)*AF$2</f>
        <v>0</v>
      </c>
      <c r="AG1705" s="88">
        <f>SUMIF(月間集計シート!$M$92:$M$111,$G1705,月間集計シート!P$92:P$111)*AG$2</f>
        <v>0</v>
      </c>
      <c r="AH1705" s="88">
        <f>SUMIF(月間集計シート!$M$92:$M$111,$G1705,月間集計シート!Q$92:Q$111)*AH$2</f>
        <v>0</v>
      </c>
      <c r="AI1705" s="88">
        <f>SUMIF(月間集計シート!$M$92:$M$111,$G1705,月間集計シート!R$92:R$111)*AI$2</f>
        <v>0</v>
      </c>
      <c r="AJ1705" s="88">
        <f>SUMIF(月間集計シート!$M$92:$M$111,$G1705,月間集計シート!S$92:S$111)*AJ$2</f>
        <v>0</v>
      </c>
      <c r="AK1705" s="88">
        <f>SUMIF(月間集計シート!$M$92:$M$111,$G1705,月間集計シート!T$92:T$111)*AK$2</f>
        <v>0</v>
      </c>
      <c r="AL1705" s="88">
        <f>SUMIF(月間集計シート!$M$113:$M$132,$G1705,月間集計シート!N$113:N$132)*AL$2</f>
        <v>0</v>
      </c>
      <c r="AM1705" s="88">
        <f>SUMIF(月間集計シート!$M$113:$M$132,$G1705,月間集計シート!O$113:O$132)*AM$2</f>
        <v>0</v>
      </c>
      <c r="AN1705" s="88">
        <f>SUMIF(月間集計シート!$M$113:$M$132,$G1705,月間集計シート!P$113:P$132)*AN$2</f>
        <v>0</v>
      </c>
      <c r="AO1705" s="88">
        <f>SUMIF(月間集計シート!$M$113:$M$132,$G1705,月間集計シート!Q$113:Q$132)*AO$2</f>
        <v>0</v>
      </c>
      <c r="AP1705" s="88">
        <f>SUMIF(月間集計シート!$M$113:$M$132,$G1705,月間集計シート!R$113:R$132)*AP$2</f>
        <v>0</v>
      </c>
      <c r="AQ1705" s="88">
        <f>SUMIF(月間集計シート!$M$113:$M$132,$G1705,月間集計シート!S$113:S$132)*AQ$2</f>
        <v>0</v>
      </c>
      <c r="AR1705" s="88">
        <f>SUMIF(月間集計シート!$M$113:$M$132,$G1705,月間集計シート!T$113:T$132)*AR$2</f>
        <v>0</v>
      </c>
      <c r="AS1705" s="88">
        <f>SUMIF(月間集計シート!$M$134:$M$153,$G1705,月間集計シート!N$134:N$153)*AS$2</f>
        <v>0</v>
      </c>
      <c r="AT1705" s="88">
        <f>SUMIF(月間集計シート!$M$134:$M$153,$G1705,月間集計シート!O$134:O$153)*AT$2</f>
        <v>0</v>
      </c>
      <c r="AU1705" s="88">
        <f>SUMIF(月間集計シート!$M$134:$M$153,$G1705,月間集計シート!P$134:P$153)*AU$2</f>
        <v>0</v>
      </c>
      <c r="AV1705" s="88">
        <f>SUMIF(月間集計シート!$M$134:$M$153,$G1705,月間集計シート!Q$134:Q$153)*AV$2</f>
        <v>0</v>
      </c>
      <c r="AW1705" s="88">
        <f>SUMIF(月間集計シート!$M$134:$M$153,$G1705,月間集計シート!R$134:R$153)*AW$2</f>
        <v>0</v>
      </c>
      <c r="AX1705" s="88">
        <f>SUMIF(月間集計シート!$M$134:$M$153,$G1705,月間集計シート!S$134:S$153)*AX$2</f>
        <v>0</v>
      </c>
      <c r="AY1705" s="88">
        <f>SUMIF(月間集計シート!$M$134:$M$153,$G1705,月間集計シート!T$134:T$153)*AY$2</f>
        <v>0</v>
      </c>
    </row>
    <row r="1706" spans="1:51" ht="14.25" thickBot="1">
      <c r="A1706">
        <v>20</v>
      </c>
      <c r="B1706" s="120">
        <f>B1685</f>
        <v>0</v>
      </c>
      <c r="C1706" s="120" t="str">
        <f>C1685</f>
        <v/>
      </c>
      <c r="D1706" s="137"/>
      <c r="E1706" s="150" t="str">
        <f>工種!A83</f>
        <v>99199</v>
      </c>
      <c r="F1706" s="119" t="str">
        <f>工種!B83</f>
        <v>間接業務：その他</v>
      </c>
      <c r="G1706" s="116" t="str">
        <f t="shared" si="943"/>
        <v>099199</v>
      </c>
      <c r="H1706" s="88">
        <f t="shared" si="897"/>
        <v>0</v>
      </c>
      <c r="I1706" s="132"/>
      <c r="J1706" s="88">
        <f>SUMIF(月間集計シート!$M$29:$M$48,$G1706,月間集計シート!N$29:N$48)*J$2</f>
        <v>0</v>
      </c>
      <c r="K1706" s="88">
        <f>SUMIF(月間集計シート!$M$29:$M$48,$G1706,月間集計シート!O$29:O$48)*K$2</f>
        <v>0</v>
      </c>
      <c r="L1706" s="88">
        <f>SUMIF(月間集計シート!$M$29:$M$48,$G1706,月間集計シート!P$29:P$48)*L$2</f>
        <v>0</v>
      </c>
      <c r="M1706" s="88">
        <f>SUMIF(月間集計シート!$M$29:$M$48,$G1706,月間集計シート!Q$29:Q$48)*M$2</f>
        <v>0</v>
      </c>
      <c r="N1706" s="88">
        <f>SUMIF(月間集計シート!$M$29:$M$48,$G1706,月間集計シート!R$29:R$48)*N$2</f>
        <v>0</v>
      </c>
      <c r="O1706" s="88">
        <f>SUMIF(月間集計シート!$M$29:$M$48,$G1706,月間集計シート!S$29:S$48)*O$2</f>
        <v>0</v>
      </c>
      <c r="P1706" s="88">
        <f>SUMIF(月間集計シート!$M$29:$M$48,$G1706,月間集計シート!T$29:T$48)*P$2</f>
        <v>0</v>
      </c>
      <c r="Q1706" s="88">
        <f>SUMIF(月間集計シート!$M$50:$M$69,$G1706,月間集計シート!N$50:N$69)*Q$2</f>
        <v>0</v>
      </c>
      <c r="R1706" s="88">
        <f>SUMIF(月間集計シート!$M$50:$M$69,$G1706,月間集計シート!O$50:O$69)*R$2</f>
        <v>0</v>
      </c>
      <c r="S1706" s="88">
        <f>SUMIF(月間集計シート!$M$50:$M$69,$G1706,月間集計シート!P$50:P$69)*S$2</f>
        <v>0</v>
      </c>
      <c r="T1706" s="88">
        <f>SUMIF(月間集計シート!$M$50:$M$69,$G1706,月間集計シート!Q$50:Q$69)*T$2</f>
        <v>0</v>
      </c>
      <c r="U1706" s="88">
        <f>SUMIF(月間集計シート!$M$50:$M$69,$G1706,月間集計シート!R$50:R$69)*U$2</f>
        <v>0</v>
      </c>
      <c r="V1706" s="88">
        <f>SUMIF(月間集計シート!$M$50:$M$69,$G1706,月間集計シート!S$50:S$69)*V$2</f>
        <v>0</v>
      </c>
      <c r="W1706" s="88">
        <f>SUMIF(月間集計シート!$M$50:$M$69,$G1706,月間集計シート!T$50:T$69)*W$2</f>
        <v>0</v>
      </c>
      <c r="X1706" s="88">
        <f>SUMIF(月間集計シート!$M$71:$M$90,$G1706,月間集計シート!N$71:N$90)*X$2</f>
        <v>0</v>
      </c>
      <c r="Y1706" s="88">
        <f>SUMIF(月間集計シート!$M$71:$M$90,$G1706,月間集計シート!O$71:O$90)*Y$2</f>
        <v>0</v>
      </c>
      <c r="Z1706" s="88">
        <f>SUMIF(月間集計シート!$M$71:$M$90,$G1706,月間集計シート!P$71:P$90)*Z$2</f>
        <v>0</v>
      </c>
      <c r="AA1706" s="88">
        <f>SUMIF(月間集計シート!$M$71:$M$90,$G1706,月間集計シート!Q$71:Q$90)*AA$2</f>
        <v>0</v>
      </c>
      <c r="AB1706" s="88">
        <f>SUMIF(月間集計シート!$M$71:$M$90,$G1706,月間集計シート!R$71:R$90)*AB$2</f>
        <v>0</v>
      </c>
      <c r="AC1706" s="88">
        <f>SUMIF(月間集計シート!$M$71:$M$90,$G1706,月間集計シート!S$71:S$90)*AC$2</f>
        <v>0</v>
      </c>
      <c r="AD1706" s="88">
        <f>SUMIF(月間集計シート!$M$71:$M$90,$G1706,月間集計シート!T$71:T$90)*AD$2</f>
        <v>0</v>
      </c>
      <c r="AE1706" s="88">
        <f>SUMIF(月間集計シート!$M$92:$M$111,$G1706,月間集計シート!N$92:N$111)*AE$2</f>
        <v>0</v>
      </c>
      <c r="AF1706" s="88">
        <f>SUMIF(月間集計シート!$M$92:$M$111,$G1706,月間集計シート!O$92:O$111)*AF$2</f>
        <v>0</v>
      </c>
      <c r="AG1706" s="88">
        <f>SUMIF(月間集計シート!$M$92:$M$111,$G1706,月間集計シート!P$92:P$111)*AG$2</f>
        <v>0</v>
      </c>
      <c r="AH1706" s="88">
        <f>SUMIF(月間集計シート!$M$92:$M$111,$G1706,月間集計シート!Q$92:Q$111)*AH$2</f>
        <v>0</v>
      </c>
      <c r="AI1706" s="88">
        <f>SUMIF(月間集計シート!$M$92:$M$111,$G1706,月間集計シート!R$92:R$111)*AI$2</f>
        <v>0</v>
      </c>
      <c r="AJ1706" s="88">
        <f>SUMIF(月間集計シート!$M$92:$M$111,$G1706,月間集計シート!S$92:S$111)*AJ$2</f>
        <v>0</v>
      </c>
      <c r="AK1706" s="88">
        <f>SUMIF(月間集計シート!$M$92:$M$111,$G1706,月間集計シート!T$92:T$111)*AK$2</f>
        <v>0</v>
      </c>
      <c r="AL1706" s="88">
        <f>SUMIF(月間集計シート!$M$113:$M$132,$G1706,月間集計シート!N$113:N$132)*AL$2</f>
        <v>0</v>
      </c>
      <c r="AM1706" s="88">
        <f>SUMIF(月間集計シート!$M$113:$M$132,$G1706,月間集計シート!O$113:O$132)*AM$2</f>
        <v>0</v>
      </c>
      <c r="AN1706" s="88">
        <f>SUMIF(月間集計シート!$M$113:$M$132,$G1706,月間集計シート!P$113:P$132)*AN$2</f>
        <v>0</v>
      </c>
      <c r="AO1706" s="88">
        <f>SUMIF(月間集計シート!$M$113:$M$132,$G1706,月間集計シート!Q$113:Q$132)*AO$2</f>
        <v>0</v>
      </c>
      <c r="AP1706" s="88">
        <f>SUMIF(月間集計シート!$M$113:$M$132,$G1706,月間集計シート!R$113:R$132)*AP$2</f>
        <v>0</v>
      </c>
      <c r="AQ1706" s="88">
        <f>SUMIF(月間集計シート!$M$113:$M$132,$G1706,月間集計シート!S$113:S$132)*AQ$2</f>
        <v>0</v>
      </c>
      <c r="AR1706" s="88">
        <f>SUMIF(月間集計シート!$M$113:$M$132,$G1706,月間集計シート!T$113:T$132)*AR$2</f>
        <v>0</v>
      </c>
      <c r="AS1706" s="88">
        <f>SUMIF(月間集計シート!$M$134:$M$153,$G1706,月間集計シート!N$134:N$153)*AS$2</f>
        <v>0</v>
      </c>
      <c r="AT1706" s="88">
        <f>SUMIF(月間集計シート!$M$134:$M$153,$G1706,月間集計シート!O$134:O$153)*AT$2</f>
        <v>0</v>
      </c>
      <c r="AU1706" s="88">
        <f>SUMIF(月間集計シート!$M$134:$M$153,$G1706,月間集計シート!P$134:P$153)*AU$2</f>
        <v>0</v>
      </c>
      <c r="AV1706" s="88">
        <f>SUMIF(月間集計シート!$M$134:$M$153,$G1706,月間集計シート!Q$134:Q$153)*AV$2</f>
        <v>0</v>
      </c>
      <c r="AW1706" s="88">
        <f>SUMIF(月間集計シート!$M$134:$M$153,$G1706,月間集計シート!R$134:R$153)*AW$2</f>
        <v>0</v>
      </c>
      <c r="AX1706" s="88">
        <f>SUMIF(月間集計シート!$M$134:$M$153,$G1706,月間集計シート!S$134:S$153)*AX$2</f>
        <v>0</v>
      </c>
      <c r="AY1706" s="88">
        <f>SUMIF(月間集計シート!$M$134:$M$153,$G1706,月間集計シート!T$134:T$153)*AY$2</f>
        <v>0</v>
      </c>
    </row>
  </sheetData>
  <sheetProtection algorithmName="SHA-512" hashValue="g2RBynHWrEXbA1cSL6GtPZP4pqQ49U5OvOcwsJUS+/oWIG1mB1PQJfaQ1fVn+K8FcTWdSHZLsmK3bhGbHovjgQ==" saltValue="OCPraj0sL3DmRVtdZYTCjA==" spinCount="100000" sheet="1" objects="1" scenarios="1" autoFilter="0"/>
  <autoFilter ref="B7:H1706" xr:uid="{00000000-0009-0000-0000-00000D000000}"/>
  <phoneticPr fontId="7"/>
  <dataValidations count="1">
    <dataValidation type="list" allowBlank="1" showInputMessage="1" showErrorMessage="1" sqref="D1115:D1196 D945:D1026 D1030:D1111 D1200:D1281 D1285:D1366 D1455:D1536 D1370:D1451 D1540:D1621 D10:D91 D95:D176 D180:D261 D265:D346 D520:D601 D350:D431 D435:D516 D605:D686 D690:D771 D775:D856 D860:D941 D1625:D1706" xr:uid="{00000000-0002-0000-0D00-000000000000}">
      <formula1>"0,1"</formula1>
    </dataValidation>
  </dataValidations>
  <pageMargins left="0.7" right="0.7" top="0.75" bottom="0.75" header="0.3" footer="0.3"/>
  <pageSetup paperSize="9" orientation="portrait" verticalDpi="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I862"/>
  <sheetViews>
    <sheetView topLeftCell="A659" workbookViewId="0">
      <selection activeCell="B4" sqref="B4"/>
    </sheetView>
  </sheetViews>
  <sheetFormatPr defaultRowHeight="13.5"/>
  <cols>
    <col min="1" max="1" width="7.875" customWidth="1"/>
    <col min="3" max="3" width="26.125" bestFit="1" customWidth="1"/>
    <col min="4" max="4" width="7.375" customWidth="1"/>
    <col min="5" max="6" width="7" customWidth="1"/>
    <col min="7" max="7" width="13.875" customWidth="1"/>
    <col min="9" max="27" width="4.875" customWidth="1"/>
  </cols>
  <sheetData>
    <row r="1" spans="1:9">
      <c r="B1" t="s">
        <v>455</v>
      </c>
    </row>
    <row r="3" spans="1:9">
      <c r="A3" s="89" t="s">
        <v>134</v>
      </c>
      <c r="B3" s="39" t="s">
        <v>456</v>
      </c>
      <c r="C3" s="39" t="s">
        <v>447</v>
      </c>
      <c r="D3" s="39" t="s">
        <v>457</v>
      </c>
      <c r="E3" s="39" t="s">
        <v>458</v>
      </c>
      <c r="F3" s="89" t="s">
        <v>459</v>
      </c>
      <c r="G3" s="153" t="s">
        <v>460</v>
      </c>
    </row>
    <row r="4" spans="1:9">
      <c r="A4" s="66">
        <f>PJ工種集計!A8</f>
        <v>1</v>
      </c>
      <c r="B4" s="66">
        <f>PJ工種集計!B8</f>
        <v>999909</v>
      </c>
      <c r="C4" s="66" t="e">
        <f>PJ工種集計!C8</f>
        <v>#N/A</v>
      </c>
      <c r="D4" s="66" t="s">
        <v>153</v>
      </c>
      <c r="E4" s="140" t="s">
        <v>125</v>
      </c>
      <c r="F4" s="141" t="str">
        <f>IF(WEEKDAY('1週'!$B$3&amp;"/"&amp;'1週'!$C$3&amp;"/"&amp;1)=2,1,"")</f>
        <v/>
      </c>
      <c r="G4" s="142">
        <f>PJ工種集計!J9</f>
        <v>0</v>
      </c>
    </row>
    <row r="5" spans="1:9">
      <c r="A5" s="66">
        <f>A4</f>
        <v>1</v>
      </c>
      <c r="B5" s="66">
        <f>B4</f>
        <v>999909</v>
      </c>
      <c r="C5" s="66" t="e">
        <f>C4</f>
        <v>#N/A</v>
      </c>
      <c r="D5" s="66"/>
      <c r="E5" s="143" t="s">
        <v>126</v>
      </c>
      <c r="F5" s="141" t="str">
        <f>IF(F4&lt;&gt;"",F4+1,IF(WEEKDAY('1週'!$B$3&amp;"/"&amp;'1週'!$C$3&amp;"/"&amp;1)=3,1,""))</f>
        <v/>
      </c>
      <c r="G5" s="142">
        <f>PJ工種集計!K9</f>
        <v>0</v>
      </c>
    </row>
    <row r="6" spans="1:9">
      <c r="A6" s="66">
        <f t="shared" ref="A6:A45" si="0">A5</f>
        <v>1</v>
      </c>
      <c r="B6" s="66">
        <f t="shared" ref="B6:B45" si="1">B5</f>
        <v>999909</v>
      </c>
      <c r="C6" s="66" t="e">
        <f t="shared" ref="C6:C45" si="2">C5</f>
        <v>#N/A</v>
      </c>
      <c r="D6" s="66"/>
      <c r="E6" s="143" t="s">
        <v>127</v>
      </c>
      <c r="F6" s="141">
        <f>IF(F5&lt;&gt;"",F5+1,IF(WEEKDAY('1週'!$B$3&amp;"/"&amp;'1週'!$C$3&amp;"/"&amp;1)=4,1,""))</f>
        <v>1</v>
      </c>
      <c r="G6" s="142">
        <f>PJ工種集計!L9</f>
        <v>0</v>
      </c>
    </row>
    <row r="7" spans="1:9">
      <c r="A7" s="66">
        <f t="shared" si="0"/>
        <v>1</v>
      </c>
      <c r="B7" s="66">
        <f t="shared" si="1"/>
        <v>999909</v>
      </c>
      <c r="C7" s="66" t="e">
        <f t="shared" si="2"/>
        <v>#N/A</v>
      </c>
      <c r="D7" s="66"/>
      <c r="E7" s="143" t="s">
        <v>128</v>
      </c>
      <c r="F7" s="141">
        <f>IF(F6&lt;&gt;"",F6+1,IF(WEEKDAY('1週'!$B$3&amp;"/"&amp;'1週'!$C$3&amp;"/"&amp;1)=5,1,""))</f>
        <v>2</v>
      </c>
      <c r="G7" s="142">
        <f>PJ工種集計!M9</f>
        <v>0</v>
      </c>
      <c r="I7" s="139"/>
    </row>
    <row r="8" spans="1:9">
      <c r="A8" s="66">
        <f t="shared" si="0"/>
        <v>1</v>
      </c>
      <c r="B8" s="66">
        <f t="shared" si="1"/>
        <v>999909</v>
      </c>
      <c r="C8" s="66" t="e">
        <f t="shared" si="2"/>
        <v>#N/A</v>
      </c>
      <c r="D8" s="66"/>
      <c r="E8" s="143" t="s">
        <v>129</v>
      </c>
      <c r="F8" s="141">
        <f>IF(F7&lt;&gt;"",F7+1,IF(WEEKDAY('1週'!$B$3&amp;"/"&amp;'1週'!$C$3&amp;"/"&amp;1)=6,1,""))</f>
        <v>3</v>
      </c>
      <c r="G8" s="142">
        <f>PJ工種集計!N9</f>
        <v>0</v>
      </c>
      <c r="I8" s="139"/>
    </row>
    <row r="9" spans="1:9">
      <c r="A9" s="66">
        <f t="shared" si="0"/>
        <v>1</v>
      </c>
      <c r="B9" s="66">
        <f t="shared" si="1"/>
        <v>999909</v>
      </c>
      <c r="C9" s="66" t="e">
        <f t="shared" si="2"/>
        <v>#N/A</v>
      </c>
      <c r="D9" s="66"/>
      <c r="E9" s="143" t="s">
        <v>130</v>
      </c>
      <c r="F9" s="141">
        <f>IF(F8&lt;&gt;"",F8+1,IF(WEEKDAY('1週'!$B$3&amp;"/"&amp;'1週'!$C$3&amp;"/"&amp;1)=7,1,""))</f>
        <v>4</v>
      </c>
      <c r="G9" s="142">
        <f>PJ工種集計!O9</f>
        <v>0</v>
      </c>
      <c r="I9" s="139"/>
    </row>
    <row r="10" spans="1:9">
      <c r="A10" s="66">
        <f t="shared" si="0"/>
        <v>1</v>
      </c>
      <c r="B10" s="66">
        <f t="shared" si="1"/>
        <v>999909</v>
      </c>
      <c r="C10" s="66" t="e">
        <f t="shared" si="2"/>
        <v>#N/A</v>
      </c>
      <c r="D10" s="66"/>
      <c r="E10" s="143" t="s">
        <v>131</v>
      </c>
      <c r="F10" s="141">
        <f>IF(F9&lt;&gt;"",F9+1,IF(WEEKDAY('1週'!$B$3&amp;"/"&amp;'1週'!$C$3&amp;"/"&amp;1)=1,1,""))</f>
        <v>5</v>
      </c>
      <c r="G10" s="142">
        <f>PJ工種集計!P9</f>
        <v>0</v>
      </c>
    </row>
    <row r="11" spans="1:9">
      <c r="A11" s="66">
        <f t="shared" si="0"/>
        <v>1</v>
      </c>
      <c r="B11" s="66">
        <f t="shared" si="1"/>
        <v>999909</v>
      </c>
      <c r="C11" s="66" t="e">
        <f t="shared" si="2"/>
        <v>#N/A</v>
      </c>
      <c r="D11" s="66" t="s">
        <v>399</v>
      </c>
      <c r="E11" s="143" t="s">
        <v>125</v>
      </c>
      <c r="F11" s="144">
        <f t="shared" ref="F11:F31" si="3">F10+1</f>
        <v>6</v>
      </c>
      <c r="G11" s="142">
        <f>PJ工種集計!Q9</f>
        <v>0</v>
      </c>
    </row>
    <row r="12" spans="1:9">
      <c r="A12" s="66">
        <f t="shared" si="0"/>
        <v>1</v>
      </c>
      <c r="B12" s="66">
        <f t="shared" si="1"/>
        <v>999909</v>
      </c>
      <c r="C12" s="66" t="e">
        <f t="shared" si="2"/>
        <v>#N/A</v>
      </c>
      <c r="D12" s="66"/>
      <c r="E12" s="143" t="s">
        <v>126</v>
      </c>
      <c r="F12" s="144">
        <f t="shared" si="3"/>
        <v>7</v>
      </c>
      <c r="G12" s="142">
        <f>PJ工種集計!R9</f>
        <v>0</v>
      </c>
      <c r="I12" s="139"/>
    </row>
    <row r="13" spans="1:9">
      <c r="A13" s="66">
        <f t="shared" si="0"/>
        <v>1</v>
      </c>
      <c r="B13" s="66">
        <f t="shared" si="1"/>
        <v>999909</v>
      </c>
      <c r="C13" s="66" t="e">
        <f t="shared" si="2"/>
        <v>#N/A</v>
      </c>
      <c r="D13" s="66"/>
      <c r="E13" s="143" t="s">
        <v>127</v>
      </c>
      <c r="F13" s="144">
        <f t="shared" si="3"/>
        <v>8</v>
      </c>
      <c r="G13" s="142">
        <f>PJ工種集計!S9</f>
        <v>0</v>
      </c>
      <c r="I13" s="139"/>
    </row>
    <row r="14" spans="1:9">
      <c r="A14" s="66">
        <f t="shared" si="0"/>
        <v>1</v>
      </c>
      <c r="B14" s="66">
        <f t="shared" si="1"/>
        <v>999909</v>
      </c>
      <c r="C14" s="66" t="e">
        <f t="shared" si="2"/>
        <v>#N/A</v>
      </c>
      <c r="D14" s="66"/>
      <c r="E14" s="143" t="s">
        <v>128</v>
      </c>
      <c r="F14" s="144">
        <f t="shared" si="3"/>
        <v>9</v>
      </c>
      <c r="G14" s="142">
        <f>PJ工種集計!T9</f>
        <v>0</v>
      </c>
      <c r="I14" s="139"/>
    </row>
    <row r="15" spans="1:9">
      <c r="A15" s="66">
        <f t="shared" si="0"/>
        <v>1</v>
      </c>
      <c r="B15" s="66">
        <f t="shared" si="1"/>
        <v>999909</v>
      </c>
      <c r="C15" s="66" t="e">
        <f t="shared" si="2"/>
        <v>#N/A</v>
      </c>
      <c r="D15" s="66"/>
      <c r="E15" s="143" t="s">
        <v>129</v>
      </c>
      <c r="F15" s="144">
        <f t="shared" si="3"/>
        <v>10</v>
      </c>
      <c r="G15" s="142">
        <f>PJ工種集計!U9</f>
        <v>0</v>
      </c>
      <c r="I15" s="139"/>
    </row>
    <row r="16" spans="1:9">
      <c r="A16" s="66">
        <f t="shared" si="0"/>
        <v>1</v>
      </c>
      <c r="B16" s="66">
        <f t="shared" si="1"/>
        <v>999909</v>
      </c>
      <c r="C16" s="66" t="e">
        <f t="shared" si="2"/>
        <v>#N/A</v>
      </c>
      <c r="D16" s="66"/>
      <c r="E16" s="143" t="s">
        <v>130</v>
      </c>
      <c r="F16" s="144">
        <f t="shared" si="3"/>
        <v>11</v>
      </c>
      <c r="G16" s="142">
        <f>PJ工種集計!V9</f>
        <v>0</v>
      </c>
    </row>
    <row r="17" spans="1:9">
      <c r="A17" s="66">
        <f t="shared" si="0"/>
        <v>1</v>
      </c>
      <c r="B17" s="66">
        <f t="shared" si="1"/>
        <v>999909</v>
      </c>
      <c r="C17" s="66" t="e">
        <f t="shared" si="2"/>
        <v>#N/A</v>
      </c>
      <c r="D17" s="66"/>
      <c r="E17" s="143" t="s">
        <v>131</v>
      </c>
      <c r="F17" s="144">
        <f t="shared" si="3"/>
        <v>12</v>
      </c>
      <c r="G17" s="142">
        <f>PJ工種集計!W9</f>
        <v>0</v>
      </c>
      <c r="I17" s="139"/>
    </row>
    <row r="18" spans="1:9">
      <c r="A18" s="66">
        <f t="shared" si="0"/>
        <v>1</v>
      </c>
      <c r="B18" s="66">
        <f t="shared" si="1"/>
        <v>999909</v>
      </c>
      <c r="C18" s="66" t="e">
        <f t="shared" si="2"/>
        <v>#N/A</v>
      </c>
      <c r="D18" s="66" t="s">
        <v>400</v>
      </c>
      <c r="E18" s="143" t="s">
        <v>125</v>
      </c>
      <c r="F18" s="144">
        <f t="shared" si="3"/>
        <v>13</v>
      </c>
      <c r="G18" s="142">
        <f>PJ工種集計!X9</f>
        <v>0</v>
      </c>
      <c r="I18" s="139"/>
    </row>
    <row r="19" spans="1:9">
      <c r="A19" s="66">
        <f t="shared" si="0"/>
        <v>1</v>
      </c>
      <c r="B19" s="66">
        <f t="shared" si="1"/>
        <v>999909</v>
      </c>
      <c r="C19" s="66" t="e">
        <f t="shared" si="2"/>
        <v>#N/A</v>
      </c>
      <c r="D19" s="66"/>
      <c r="E19" s="143" t="s">
        <v>126</v>
      </c>
      <c r="F19" s="144">
        <f t="shared" si="3"/>
        <v>14</v>
      </c>
      <c r="G19" s="142">
        <f>PJ工種集計!Y9</f>
        <v>0</v>
      </c>
      <c r="I19" s="139"/>
    </row>
    <row r="20" spans="1:9">
      <c r="A20" s="66">
        <f t="shared" si="0"/>
        <v>1</v>
      </c>
      <c r="B20" s="66">
        <f t="shared" si="1"/>
        <v>999909</v>
      </c>
      <c r="C20" s="66" t="e">
        <f t="shared" si="2"/>
        <v>#N/A</v>
      </c>
      <c r="D20" s="66"/>
      <c r="E20" s="143" t="s">
        <v>127</v>
      </c>
      <c r="F20" s="144">
        <f t="shared" si="3"/>
        <v>15</v>
      </c>
      <c r="G20" s="142">
        <f>PJ工種集計!Z9</f>
        <v>0</v>
      </c>
    </row>
    <row r="21" spans="1:9">
      <c r="A21" s="66">
        <f t="shared" si="0"/>
        <v>1</v>
      </c>
      <c r="B21" s="66">
        <f t="shared" si="1"/>
        <v>999909</v>
      </c>
      <c r="C21" s="66" t="e">
        <f t="shared" si="2"/>
        <v>#N/A</v>
      </c>
      <c r="D21" s="66"/>
      <c r="E21" s="143" t="s">
        <v>128</v>
      </c>
      <c r="F21" s="144">
        <f t="shared" si="3"/>
        <v>16</v>
      </c>
      <c r="G21" s="142">
        <f>PJ工種集計!AA9</f>
        <v>0</v>
      </c>
    </row>
    <row r="22" spans="1:9">
      <c r="A22" s="66">
        <f t="shared" si="0"/>
        <v>1</v>
      </c>
      <c r="B22" s="66">
        <f t="shared" si="1"/>
        <v>999909</v>
      </c>
      <c r="C22" s="66" t="e">
        <f t="shared" si="2"/>
        <v>#N/A</v>
      </c>
      <c r="D22" s="66"/>
      <c r="E22" s="143" t="s">
        <v>129</v>
      </c>
      <c r="F22" s="144">
        <f t="shared" si="3"/>
        <v>17</v>
      </c>
      <c r="G22" s="142">
        <f>PJ工種集計!AB9</f>
        <v>0</v>
      </c>
    </row>
    <row r="23" spans="1:9">
      <c r="A23" s="66">
        <f t="shared" si="0"/>
        <v>1</v>
      </c>
      <c r="B23" s="66">
        <f t="shared" si="1"/>
        <v>999909</v>
      </c>
      <c r="C23" s="66" t="e">
        <f t="shared" si="2"/>
        <v>#N/A</v>
      </c>
      <c r="D23" s="66"/>
      <c r="E23" s="143" t="s">
        <v>130</v>
      </c>
      <c r="F23" s="144">
        <f t="shared" si="3"/>
        <v>18</v>
      </c>
      <c r="G23" s="142">
        <f>PJ工種集計!AC9</f>
        <v>0</v>
      </c>
      <c r="I23" s="139"/>
    </row>
    <row r="24" spans="1:9">
      <c r="A24" s="66">
        <f t="shared" si="0"/>
        <v>1</v>
      </c>
      <c r="B24" s="66">
        <f t="shared" si="1"/>
        <v>999909</v>
      </c>
      <c r="C24" s="66" t="e">
        <f t="shared" si="2"/>
        <v>#N/A</v>
      </c>
      <c r="D24" s="66"/>
      <c r="E24" s="143" t="s">
        <v>131</v>
      </c>
      <c r="F24" s="144">
        <f t="shared" si="3"/>
        <v>19</v>
      </c>
      <c r="G24" s="142">
        <f>PJ工種集計!AD9</f>
        <v>0</v>
      </c>
      <c r="I24" s="139"/>
    </row>
    <row r="25" spans="1:9">
      <c r="A25" s="66">
        <f t="shared" si="0"/>
        <v>1</v>
      </c>
      <c r="B25" s="66">
        <f t="shared" si="1"/>
        <v>999909</v>
      </c>
      <c r="C25" s="66" t="e">
        <f t="shared" si="2"/>
        <v>#N/A</v>
      </c>
      <c r="D25" s="66" t="s">
        <v>401</v>
      </c>
      <c r="E25" s="143" t="s">
        <v>125</v>
      </c>
      <c r="F25" s="144">
        <f t="shared" si="3"/>
        <v>20</v>
      </c>
      <c r="G25" s="142">
        <f>PJ工種集計!AE9</f>
        <v>0</v>
      </c>
      <c r="I25" s="139"/>
    </row>
    <row r="26" spans="1:9">
      <c r="A26" s="66">
        <f t="shared" si="0"/>
        <v>1</v>
      </c>
      <c r="B26" s="66">
        <f t="shared" si="1"/>
        <v>999909</v>
      </c>
      <c r="C26" s="66" t="e">
        <f t="shared" si="2"/>
        <v>#N/A</v>
      </c>
      <c r="D26" s="66"/>
      <c r="E26" s="143" t="s">
        <v>126</v>
      </c>
      <c r="F26" s="144">
        <f t="shared" si="3"/>
        <v>21</v>
      </c>
      <c r="G26" s="142">
        <f>PJ工種集計!AF9</f>
        <v>0</v>
      </c>
      <c r="I26" s="139"/>
    </row>
    <row r="27" spans="1:9">
      <c r="A27" s="66">
        <f t="shared" si="0"/>
        <v>1</v>
      </c>
      <c r="B27" s="66">
        <f t="shared" si="1"/>
        <v>999909</v>
      </c>
      <c r="C27" s="66" t="e">
        <f t="shared" si="2"/>
        <v>#N/A</v>
      </c>
      <c r="D27" s="66"/>
      <c r="E27" s="143" t="s">
        <v>127</v>
      </c>
      <c r="F27" s="144">
        <f t="shared" si="3"/>
        <v>22</v>
      </c>
      <c r="G27" s="142">
        <f>PJ工種集計!AG9</f>
        <v>0</v>
      </c>
    </row>
    <row r="28" spans="1:9">
      <c r="A28" s="66">
        <f t="shared" si="0"/>
        <v>1</v>
      </c>
      <c r="B28" s="66">
        <f t="shared" si="1"/>
        <v>999909</v>
      </c>
      <c r="C28" s="66" t="e">
        <f t="shared" si="2"/>
        <v>#N/A</v>
      </c>
      <c r="D28" s="66"/>
      <c r="E28" s="143" t="s">
        <v>128</v>
      </c>
      <c r="F28" s="144">
        <f t="shared" si="3"/>
        <v>23</v>
      </c>
      <c r="G28" s="142">
        <f>PJ工種集計!AH9</f>
        <v>0</v>
      </c>
      <c r="I28" s="139"/>
    </row>
    <row r="29" spans="1:9">
      <c r="A29" s="66">
        <f t="shared" si="0"/>
        <v>1</v>
      </c>
      <c r="B29" s="66">
        <f t="shared" si="1"/>
        <v>999909</v>
      </c>
      <c r="C29" s="66" t="e">
        <f t="shared" si="2"/>
        <v>#N/A</v>
      </c>
      <c r="D29" s="66"/>
      <c r="E29" s="143" t="s">
        <v>129</v>
      </c>
      <c r="F29" s="144">
        <f t="shared" si="3"/>
        <v>24</v>
      </c>
      <c r="G29" s="142">
        <f>PJ工種集計!AI9</f>
        <v>0</v>
      </c>
      <c r="I29" s="139"/>
    </row>
    <row r="30" spans="1:9">
      <c r="A30" s="66">
        <f t="shared" si="0"/>
        <v>1</v>
      </c>
      <c r="B30" s="66">
        <f t="shared" si="1"/>
        <v>999909</v>
      </c>
      <c r="C30" s="66" t="e">
        <f t="shared" si="2"/>
        <v>#N/A</v>
      </c>
      <c r="D30" s="66"/>
      <c r="E30" s="143" t="s">
        <v>130</v>
      </c>
      <c r="F30" s="144">
        <f t="shared" si="3"/>
        <v>25</v>
      </c>
      <c r="G30" s="142">
        <f>PJ工種集計!AJ9</f>
        <v>0</v>
      </c>
      <c r="I30" s="139"/>
    </row>
    <row r="31" spans="1:9">
      <c r="A31" s="66">
        <f t="shared" si="0"/>
        <v>1</v>
      </c>
      <c r="B31" s="66">
        <f t="shared" si="1"/>
        <v>999909</v>
      </c>
      <c r="C31" s="66" t="e">
        <f t="shared" si="2"/>
        <v>#N/A</v>
      </c>
      <c r="D31" s="66"/>
      <c r="E31" s="143" t="s">
        <v>131</v>
      </c>
      <c r="F31" s="144">
        <f t="shared" si="3"/>
        <v>26</v>
      </c>
      <c r="G31" s="142">
        <f>PJ工種集計!AK9</f>
        <v>0</v>
      </c>
      <c r="I31" s="139"/>
    </row>
    <row r="32" spans="1:9">
      <c r="A32" s="66">
        <f t="shared" si="0"/>
        <v>1</v>
      </c>
      <c r="B32" s="66">
        <f t="shared" si="1"/>
        <v>999909</v>
      </c>
      <c r="C32" s="66" t="e">
        <f t="shared" si="2"/>
        <v>#N/A</v>
      </c>
      <c r="D32" s="66" t="s">
        <v>402</v>
      </c>
      <c r="E32" s="143" t="s">
        <v>125</v>
      </c>
      <c r="F32" s="144">
        <f>IF(ISERR(WEEKDAY('1週'!$B$3&amp;"/"&amp;'1週'!$C$3&amp;"/"&amp;F31+1))=TRUE,"",F31+1)</f>
        <v>27</v>
      </c>
      <c r="G32" s="142">
        <f>PJ工種集計!AL9</f>
        <v>0</v>
      </c>
      <c r="I32" s="139"/>
    </row>
    <row r="33" spans="1:9">
      <c r="A33" s="66">
        <f t="shared" si="0"/>
        <v>1</v>
      </c>
      <c r="B33" s="66">
        <f t="shared" si="1"/>
        <v>999909</v>
      </c>
      <c r="C33" s="66" t="e">
        <f t="shared" si="2"/>
        <v>#N/A</v>
      </c>
      <c r="D33" s="66"/>
      <c r="E33" s="143" t="s">
        <v>126</v>
      </c>
      <c r="F33" s="144">
        <f>IF(ISERR(WEEKDAY('1週'!$B$3&amp;"/"&amp;'1週'!$C$3&amp;"/"&amp;F31+2))=TRUE,"",F31+2)</f>
        <v>28</v>
      </c>
      <c r="G33" s="142">
        <f>PJ工種集計!AM9</f>
        <v>0</v>
      </c>
      <c r="I33" s="139"/>
    </row>
    <row r="34" spans="1:9">
      <c r="A34" s="66">
        <f t="shared" si="0"/>
        <v>1</v>
      </c>
      <c r="B34" s="66">
        <f t="shared" si="1"/>
        <v>999909</v>
      </c>
      <c r="C34" s="66" t="e">
        <f t="shared" si="2"/>
        <v>#N/A</v>
      </c>
      <c r="D34" s="66"/>
      <c r="E34" s="143" t="s">
        <v>127</v>
      </c>
      <c r="F34" s="144">
        <f>IF(ISERR(WEEKDAY('1週'!$B$3&amp;"/"&amp;'1週'!$C$3&amp;"/"&amp;F31+3))=TRUE,"",F31+3)</f>
        <v>29</v>
      </c>
      <c r="G34" s="142">
        <f>PJ工種集計!AN9</f>
        <v>0</v>
      </c>
      <c r="I34" s="139"/>
    </row>
    <row r="35" spans="1:9">
      <c r="A35" s="66">
        <f t="shared" si="0"/>
        <v>1</v>
      </c>
      <c r="B35" s="66">
        <f t="shared" si="1"/>
        <v>999909</v>
      </c>
      <c r="C35" s="66" t="e">
        <f t="shared" si="2"/>
        <v>#N/A</v>
      </c>
      <c r="D35" s="66"/>
      <c r="E35" s="143" t="s">
        <v>128</v>
      </c>
      <c r="F35" s="144">
        <f>IF(ISERR(WEEKDAY('1週'!$B$3&amp;"/"&amp;'1週'!$C$3&amp;"/"&amp;F31+4))=TRUE,"",F31+4)</f>
        <v>30</v>
      </c>
      <c r="G35" s="142">
        <f>PJ工種集計!AO9</f>
        <v>0</v>
      </c>
      <c r="I35" s="139"/>
    </row>
    <row r="36" spans="1:9">
      <c r="A36" s="66">
        <f t="shared" si="0"/>
        <v>1</v>
      </c>
      <c r="B36" s="66">
        <f t="shared" si="1"/>
        <v>999909</v>
      </c>
      <c r="C36" s="66" t="e">
        <f t="shared" si="2"/>
        <v>#N/A</v>
      </c>
      <c r="D36" s="66"/>
      <c r="E36" s="143" t="s">
        <v>129</v>
      </c>
      <c r="F36" s="144">
        <f>IF(ISERR(WEEKDAY('1週'!$B$3&amp;"/"&amp;'1週'!$C$3&amp;"/"&amp;F31+5))=TRUE,"",F31+5)</f>
        <v>31</v>
      </c>
      <c r="G36" s="142">
        <f>PJ工種集計!AP9</f>
        <v>0</v>
      </c>
      <c r="I36" s="139"/>
    </row>
    <row r="37" spans="1:9">
      <c r="A37" s="66">
        <f t="shared" si="0"/>
        <v>1</v>
      </c>
      <c r="B37" s="66">
        <f t="shared" si="1"/>
        <v>999909</v>
      </c>
      <c r="C37" s="66" t="e">
        <f t="shared" si="2"/>
        <v>#N/A</v>
      </c>
      <c r="D37" s="66"/>
      <c r="E37" s="143" t="s">
        <v>130</v>
      </c>
      <c r="F37" s="144" t="str">
        <f>IF(ISERR(WEEKDAY('1週'!$B$3&amp;"/"&amp;'1週'!$C$3&amp;"/"&amp;F31+6))=TRUE,"",F31+6)</f>
        <v/>
      </c>
      <c r="G37" s="142">
        <f>PJ工種集計!AQ9</f>
        <v>0</v>
      </c>
      <c r="I37" s="139"/>
    </row>
    <row r="38" spans="1:9">
      <c r="A38" s="66">
        <f t="shared" si="0"/>
        <v>1</v>
      </c>
      <c r="B38" s="66">
        <f t="shared" si="1"/>
        <v>999909</v>
      </c>
      <c r="C38" s="66" t="e">
        <f t="shared" si="2"/>
        <v>#N/A</v>
      </c>
      <c r="D38" s="66"/>
      <c r="E38" s="143" t="s">
        <v>131</v>
      </c>
      <c r="F38" s="144" t="str">
        <f>IF(ISERR(WEEKDAY('1週'!$B$3&amp;"/"&amp;'1週'!$C$3&amp;"/"&amp;F31+7))=TRUE,"",F31+7)</f>
        <v/>
      </c>
      <c r="G38" s="142">
        <f>PJ工種集計!AR9</f>
        <v>0</v>
      </c>
      <c r="I38" s="139"/>
    </row>
    <row r="39" spans="1:9">
      <c r="A39" s="66">
        <f t="shared" si="0"/>
        <v>1</v>
      </c>
      <c r="B39" s="66">
        <f t="shared" si="1"/>
        <v>999909</v>
      </c>
      <c r="C39" s="66" t="e">
        <f t="shared" si="2"/>
        <v>#N/A</v>
      </c>
      <c r="D39" s="66" t="s">
        <v>403</v>
      </c>
      <c r="E39" s="143" t="s">
        <v>125</v>
      </c>
      <c r="F39" s="144" t="str">
        <f>IF(ISERR(WEEKDAY('1週'!$B$3&amp;"/"&amp;'1週'!$C$3&amp;"/"&amp;F31+8))=TRUE,"",F31+8)</f>
        <v/>
      </c>
      <c r="G39" s="142">
        <f>PJ工種集計!AS9</f>
        <v>0</v>
      </c>
      <c r="I39" s="139"/>
    </row>
    <row r="40" spans="1:9">
      <c r="A40" s="66">
        <f t="shared" si="0"/>
        <v>1</v>
      </c>
      <c r="B40" s="66">
        <f t="shared" si="1"/>
        <v>999909</v>
      </c>
      <c r="C40" s="66" t="e">
        <f t="shared" si="2"/>
        <v>#N/A</v>
      </c>
      <c r="D40" s="66"/>
      <c r="E40" s="143" t="s">
        <v>126</v>
      </c>
      <c r="F40" s="144" t="str">
        <f>IF(ISERR(WEEKDAY('1週'!$B$3&amp;"/"&amp;'1週'!$C$3&amp;"/"&amp;F31+9))=TRUE,"",F31+9)</f>
        <v/>
      </c>
      <c r="G40" s="142">
        <f>PJ工種集計!AT9</f>
        <v>0</v>
      </c>
    </row>
    <row r="41" spans="1:9">
      <c r="A41" s="66">
        <f t="shared" si="0"/>
        <v>1</v>
      </c>
      <c r="B41" s="66">
        <f t="shared" si="1"/>
        <v>999909</v>
      </c>
      <c r="C41" s="66" t="e">
        <f t="shared" si="2"/>
        <v>#N/A</v>
      </c>
      <c r="D41" s="66"/>
      <c r="E41" s="143" t="s">
        <v>127</v>
      </c>
      <c r="F41" s="144" t="str">
        <f>IF(ISERR(WEEKDAY('1週'!$B$3&amp;"/"&amp;'1週'!$C$3&amp;"/"&amp;F31+10))=TRUE,"",F31+10)</f>
        <v/>
      </c>
      <c r="G41" s="142">
        <f>PJ工種集計!AU9</f>
        <v>0</v>
      </c>
      <c r="I41" s="139"/>
    </row>
    <row r="42" spans="1:9">
      <c r="A42" s="66">
        <f t="shared" si="0"/>
        <v>1</v>
      </c>
      <c r="B42" s="66">
        <f t="shared" si="1"/>
        <v>999909</v>
      </c>
      <c r="C42" s="66" t="e">
        <f t="shared" si="2"/>
        <v>#N/A</v>
      </c>
      <c r="D42" s="66"/>
      <c r="E42" s="143" t="s">
        <v>128</v>
      </c>
      <c r="F42" s="144" t="str">
        <f>IF(ISERR(WEEKDAY('1週'!$B$3&amp;"/"&amp;'1週'!$C$3&amp;"/"&amp;F31+11))=TRUE,"",F31+11)</f>
        <v/>
      </c>
      <c r="G42" s="142">
        <f>PJ工種集計!AV9</f>
        <v>0</v>
      </c>
      <c r="I42" s="139"/>
    </row>
    <row r="43" spans="1:9">
      <c r="A43" s="66">
        <f t="shared" si="0"/>
        <v>1</v>
      </c>
      <c r="B43" s="66">
        <f t="shared" si="1"/>
        <v>999909</v>
      </c>
      <c r="C43" s="66" t="e">
        <f t="shared" si="2"/>
        <v>#N/A</v>
      </c>
      <c r="D43" s="66"/>
      <c r="E43" s="143" t="s">
        <v>129</v>
      </c>
      <c r="F43" s="144" t="str">
        <f>IF(ISERR(WEEKDAY('1週'!$B$3&amp;"/"&amp;'1週'!$C$3&amp;"/"&amp;F31+12))=TRUE,"",F31+12)</f>
        <v/>
      </c>
      <c r="G43" s="142">
        <f>PJ工種集計!AW9</f>
        <v>0</v>
      </c>
      <c r="I43" s="139"/>
    </row>
    <row r="44" spans="1:9">
      <c r="A44" s="66">
        <f t="shared" si="0"/>
        <v>1</v>
      </c>
      <c r="B44" s="66">
        <f t="shared" si="1"/>
        <v>999909</v>
      </c>
      <c r="C44" s="66" t="e">
        <f t="shared" si="2"/>
        <v>#N/A</v>
      </c>
      <c r="D44" s="66"/>
      <c r="E44" s="143" t="s">
        <v>130</v>
      </c>
      <c r="F44" s="144" t="str">
        <f>IF(ISERR(WEEKDAY('1週'!$B$3&amp;"/"&amp;'1週'!$C$3&amp;"/"&amp;F31+13))=TRUE,"",F31+13)</f>
        <v/>
      </c>
      <c r="G44" s="142">
        <f>PJ工種集計!AX9</f>
        <v>0</v>
      </c>
      <c r="I44" s="139"/>
    </row>
    <row r="45" spans="1:9">
      <c r="A45" s="66">
        <f t="shared" si="0"/>
        <v>1</v>
      </c>
      <c r="B45" s="66">
        <f t="shared" si="1"/>
        <v>999909</v>
      </c>
      <c r="C45" s="66" t="e">
        <f t="shared" si="2"/>
        <v>#N/A</v>
      </c>
      <c r="D45" s="66"/>
      <c r="E45" s="143" t="s">
        <v>131</v>
      </c>
      <c r="F45" s="144" t="str">
        <f>IF(ISERR(WEEKDAY('1週'!$B$3&amp;"/"&amp;'1週'!$C$3&amp;"/"&amp;F31+14))=TRUE,"",F31+14)</f>
        <v/>
      </c>
      <c r="G45" s="142">
        <f>PJ工種集計!AY9</f>
        <v>0</v>
      </c>
      <c r="I45" s="139"/>
    </row>
    <row r="46" spans="1:9">
      <c r="I46" s="139"/>
    </row>
    <row r="47" spans="1:9">
      <c r="A47" s="66">
        <f>PJ工種集計!A93</f>
        <v>2</v>
      </c>
      <c r="B47" s="66">
        <f>PJ工種集計!B93</f>
        <v>393021</v>
      </c>
      <c r="C47" s="66" t="e">
        <f>PJ工種集計!C93</f>
        <v>#N/A</v>
      </c>
      <c r="D47" s="66" t="str">
        <f>D4</f>
        <v>１週</v>
      </c>
      <c r="E47" s="145" t="str">
        <f>E4</f>
        <v>月曜</v>
      </c>
      <c r="F47" s="145" t="str">
        <f>F4</f>
        <v/>
      </c>
      <c r="G47" s="142">
        <f>PJ工種集計!J94</f>
        <v>0</v>
      </c>
    </row>
    <row r="48" spans="1:9">
      <c r="A48" s="66">
        <f t="shared" ref="A48" si="4">A47</f>
        <v>2</v>
      </c>
      <c r="B48" s="66">
        <f t="shared" ref="B48" si="5">B47</f>
        <v>393021</v>
      </c>
      <c r="C48" s="66" t="e">
        <f t="shared" ref="C48" si="6">C47</f>
        <v>#N/A</v>
      </c>
      <c r="D48" s="66">
        <f t="shared" ref="D48:F48" si="7">D5</f>
        <v>0</v>
      </c>
      <c r="E48" s="145" t="str">
        <f t="shared" si="7"/>
        <v>火曜</v>
      </c>
      <c r="F48" s="145" t="str">
        <f t="shared" si="7"/>
        <v/>
      </c>
      <c r="G48" s="142">
        <f>PJ工種集計!K94</f>
        <v>0</v>
      </c>
    </row>
    <row r="49" spans="1:7">
      <c r="A49" s="66">
        <f t="shared" ref="A49:A88" si="8">A48</f>
        <v>2</v>
      </c>
      <c r="B49" s="66">
        <f t="shared" ref="B49:B88" si="9">B48</f>
        <v>393021</v>
      </c>
      <c r="C49" s="66" t="e">
        <f t="shared" ref="C49:C88" si="10">C48</f>
        <v>#N/A</v>
      </c>
      <c r="D49" s="66">
        <f t="shared" ref="D49:F49" si="11">D6</f>
        <v>0</v>
      </c>
      <c r="E49" s="145" t="str">
        <f t="shared" si="11"/>
        <v>水曜</v>
      </c>
      <c r="F49" s="145">
        <f t="shared" si="11"/>
        <v>1</v>
      </c>
      <c r="G49" s="142">
        <f>PJ工種集計!L94</f>
        <v>0</v>
      </c>
    </row>
    <row r="50" spans="1:7">
      <c r="A50" s="66">
        <f t="shared" si="8"/>
        <v>2</v>
      </c>
      <c r="B50" s="66">
        <f t="shared" si="9"/>
        <v>393021</v>
      </c>
      <c r="C50" s="66" t="e">
        <f t="shared" si="10"/>
        <v>#N/A</v>
      </c>
      <c r="D50" s="66">
        <f t="shared" ref="D50:F50" si="12">D7</f>
        <v>0</v>
      </c>
      <c r="E50" s="145" t="str">
        <f t="shared" si="12"/>
        <v>木曜</v>
      </c>
      <c r="F50" s="145">
        <f t="shared" si="12"/>
        <v>2</v>
      </c>
      <c r="G50" s="142">
        <f>PJ工種集計!M94</f>
        <v>0</v>
      </c>
    </row>
    <row r="51" spans="1:7">
      <c r="A51" s="66">
        <f t="shared" si="8"/>
        <v>2</v>
      </c>
      <c r="B51" s="66">
        <f t="shared" si="9"/>
        <v>393021</v>
      </c>
      <c r="C51" s="66" t="e">
        <f t="shared" si="10"/>
        <v>#N/A</v>
      </c>
      <c r="D51" s="66">
        <f t="shared" ref="D51:F51" si="13">D8</f>
        <v>0</v>
      </c>
      <c r="E51" s="145" t="str">
        <f t="shared" si="13"/>
        <v>金曜</v>
      </c>
      <c r="F51" s="145">
        <f t="shared" si="13"/>
        <v>3</v>
      </c>
      <c r="G51" s="142">
        <f>PJ工種集計!N94</f>
        <v>0</v>
      </c>
    </row>
    <row r="52" spans="1:7">
      <c r="A52" s="66">
        <f t="shared" si="8"/>
        <v>2</v>
      </c>
      <c r="B52" s="66">
        <f t="shared" si="9"/>
        <v>393021</v>
      </c>
      <c r="C52" s="66" t="e">
        <f t="shared" si="10"/>
        <v>#N/A</v>
      </c>
      <c r="D52" s="66">
        <f t="shared" ref="D52:F52" si="14">D9</f>
        <v>0</v>
      </c>
      <c r="E52" s="145" t="str">
        <f t="shared" si="14"/>
        <v>土曜</v>
      </c>
      <c r="F52" s="145">
        <f t="shared" si="14"/>
        <v>4</v>
      </c>
      <c r="G52" s="142">
        <f>PJ工種集計!O94</f>
        <v>0</v>
      </c>
    </row>
    <row r="53" spans="1:7">
      <c r="A53" s="66">
        <f t="shared" si="8"/>
        <v>2</v>
      </c>
      <c r="B53" s="66">
        <f t="shared" si="9"/>
        <v>393021</v>
      </c>
      <c r="C53" s="66" t="e">
        <f t="shared" si="10"/>
        <v>#N/A</v>
      </c>
      <c r="D53" s="66">
        <f t="shared" ref="D53:F53" si="15">D10</f>
        <v>0</v>
      </c>
      <c r="E53" s="145" t="str">
        <f t="shared" si="15"/>
        <v>日曜</v>
      </c>
      <c r="F53" s="145">
        <f t="shared" si="15"/>
        <v>5</v>
      </c>
      <c r="G53" s="142">
        <f>PJ工種集計!P94</f>
        <v>0</v>
      </c>
    </row>
    <row r="54" spans="1:7">
      <c r="A54" s="66">
        <f t="shared" si="8"/>
        <v>2</v>
      </c>
      <c r="B54" s="66">
        <f t="shared" si="9"/>
        <v>393021</v>
      </c>
      <c r="C54" s="66" t="e">
        <f t="shared" si="10"/>
        <v>#N/A</v>
      </c>
      <c r="D54" s="66" t="str">
        <f t="shared" ref="D54:F54" si="16">D11</f>
        <v>2週</v>
      </c>
      <c r="E54" s="145" t="str">
        <f t="shared" si="16"/>
        <v>月曜</v>
      </c>
      <c r="F54" s="145">
        <f t="shared" si="16"/>
        <v>6</v>
      </c>
      <c r="G54" s="142">
        <f>PJ工種集計!Q94</f>
        <v>0</v>
      </c>
    </row>
    <row r="55" spans="1:7">
      <c r="A55" s="66">
        <f t="shared" si="8"/>
        <v>2</v>
      </c>
      <c r="B55" s="66">
        <f t="shared" si="9"/>
        <v>393021</v>
      </c>
      <c r="C55" s="66" t="e">
        <f t="shared" si="10"/>
        <v>#N/A</v>
      </c>
      <c r="D55" s="66">
        <f t="shared" ref="D55:F55" si="17">D12</f>
        <v>0</v>
      </c>
      <c r="E55" s="145" t="str">
        <f t="shared" si="17"/>
        <v>火曜</v>
      </c>
      <c r="F55" s="145">
        <f t="shared" si="17"/>
        <v>7</v>
      </c>
      <c r="G55" s="142">
        <f>PJ工種集計!R94</f>
        <v>0</v>
      </c>
    </row>
    <row r="56" spans="1:7">
      <c r="A56" s="66">
        <f t="shared" si="8"/>
        <v>2</v>
      </c>
      <c r="B56" s="66">
        <f t="shared" si="9"/>
        <v>393021</v>
      </c>
      <c r="C56" s="66" t="e">
        <f t="shared" si="10"/>
        <v>#N/A</v>
      </c>
      <c r="D56" s="66">
        <f t="shared" ref="D56:F56" si="18">D13</f>
        <v>0</v>
      </c>
      <c r="E56" s="145" t="str">
        <f t="shared" si="18"/>
        <v>水曜</v>
      </c>
      <c r="F56" s="145">
        <f t="shared" si="18"/>
        <v>8</v>
      </c>
      <c r="G56" s="142">
        <f>PJ工種集計!S94</f>
        <v>0</v>
      </c>
    </row>
    <row r="57" spans="1:7">
      <c r="A57" s="66">
        <f t="shared" si="8"/>
        <v>2</v>
      </c>
      <c r="B57" s="66">
        <f t="shared" si="9"/>
        <v>393021</v>
      </c>
      <c r="C57" s="66" t="e">
        <f t="shared" si="10"/>
        <v>#N/A</v>
      </c>
      <c r="D57" s="66">
        <f t="shared" ref="D57:F57" si="19">D14</f>
        <v>0</v>
      </c>
      <c r="E57" s="145" t="str">
        <f t="shared" si="19"/>
        <v>木曜</v>
      </c>
      <c r="F57" s="145">
        <f t="shared" si="19"/>
        <v>9</v>
      </c>
      <c r="G57" s="142">
        <f>PJ工種集計!T94</f>
        <v>0</v>
      </c>
    </row>
    <row r="58" spans="1:7">
      <c r="A58" s="66">
        <f t="shared" si="8"/>
        <v>2</v>
      </c>
      <c r="B58" s="66">
        <f t="shared" si="9"/>
        <v>393021</v>
      </c>
      <c r="C58" s="66" t="e">
        <f t="shared" si="10"/>
        <v>#N/A</v>
      </c>
      <c r="D58" s="66">
        <f t="shared" ref="D58:F58" si="20">D15</f>
        <v>0</v>
      </c>
      <c r="E58" s="145" t="str">
        <f t="shared" si="20"/>
        <v>金曜</v>
      </c>
      <c r="F58" s="145">
        <f t="shared" si="20"/>
        <v>10</v>
      </c>
      <c r="G58" s="142">
        <f>PJ工種集計!U94</f>
        <v>0</v>
      </c>
    </row>
    <row r="59" spans="1:7">
      <c r="A59" s="66">
        <f t="shared" si="8"/>
        <v>2</v>
      </c>
      <c r="B59" s="66">
        <f t="shared" si="9"/>
        <v>393021</v>
      </c>
      <c r="C59" s="66" t="e">
        <f t="shared" si="10"/>
        <v>#N/A</v>
      </c>
      <c r="D59" s="66">
        <f t="shared" ref="D59:F59" si="21">D16</f>
        <v>0</v>
      </c>
      <c r="E59" s="145" t="str">
        <f t="shared" si="21"/>
        <v>土曜</v>
      </c>
      <c r="F59" s="145">
        <f t="shared" si="21"/>
        <v>11</v>
      </c>
      <c r="G59" s="142">
        <f>PJ工種集計!V94</f>
        <v>0</v>
      </c>
    </row>
    <row r="60" spans="1:7">
      <c r="A60" s="66">
        <f t="shared" si="8"/>
        <v>2</v>
      </c>
      <c r="B60" s="66">
        <f t="shared" si="9"/>
        <v>393021</v>
      </c>
      <c r="C60" s="66" t="e">
        <f t="shared" si="10"/>
        <v>#N/A</v>
      </c>
      <c r="D60" s="66">
        <f t="shared" ref="D60:F60" si="22">D17</f>
        <v>0</v>
      </c>
      <c r="E60" s="145" t="str">
        <f t="shared" si="22"/>
        <v>日曜</v>
      </c>
      <c r="F60" s="145">
        <f t="shared" si="22"/>
        <v>12</v>
      </c>
      <c r="G60" s="142">
        <f>PJ工種集計!W94</f>
        <v>0</v>
      </c>
    </row>
    <row r="61" spans="1:7">
      <c r="A61" s="66">
        <f t="shared" si="8"/>
        <v>2</v>
      </c>
      <c r="B61" s="66">
        <f t="shared" si="9"/>
        <v>393021</v>
      </c>
      <c r="C61" s="66" t="e">
        <f t="shared" si="10"/>
        <v>#N/A</v>
      </c>
      <c r="D61" s="66" t="str">
        <f t="shared" ref="D61:F61" si="23">D18</f>
        <v>3週</v>
      </c>
      <c r="E61" s="145" t="str">
        <f t="shared" si="23"/>
        <v>月曜</v>
      </c>
      <c r="F61" s="145">
        <f t="shared" si="23"/>
        <v>13</v>
      </c>
      <c r="G61" s="142">
        <f>PJ工種集計!X94</f>
        <v>0</v>
      </c>
    </row>
    <row r="62" spans="1:7">
      <c r="A62" s="66">
        <f t="shared" si="8"/>
        <v>2</v>
      </c>
      <c r="B62" s="66">
        <f t="shared" si="9"/>
        <v>393021</v>
      </c>
      <c r="C62" s="66" t="e">
        <f t="shared" si="10"/>
        <v>#N/A</v>
      </c>
      <c r="D62" s="66">
        <f t="shared" ref="D62:F62" si="24">D19</f>
        <v>0</v>
      </c>
      <c r="E62" s="145" t="str">
        <f t="shared" si="24"/>
        <v>火曜</v>
      </c>
      <c r="F62" s="145">
        <f t="shared" si="24"/>
        <v>14</v>
      </c>
      <c r="G62" s="142">
        <f>PJ工種集計!Y94</f>
        <v>0</v>
      </c>
    </row>
    <row r="63" spans="1:7">
      <c r="A63" s="66">
        <f t="shared" si="8"/>
        <v>2</v>
      </c>
      <c r="B63" s="66">
        <f t="shared" si="9"/>
        <v>393021</v>
      </c>
      <c r="C63" s="66" t="e">
        <f t="shared" si="10"/>
        <v>#N/A</v>
      </c>
      <c r="D63" s="66">
        <f t="shared" ref="D63:F63" si="25">D20</f>
        <v>0</v>
      </c>
      <c r="E63" s="145" t="str">
        <f t="shared" si="25"/>
        <v>水曜</v>
      </c>
      <c r="F63" s="145">
        <f t="shared" si="25"/>
        <v>15</v>
      </c>
      <c r="G63" s="142">
        <f>PJ工種集計!Z94</f>
        <v>0</v>
      </c>
    </row>
    <row r="64" spans="1:7">
      <c r="A64" s="66">
        <f t="shared" si="8"/>
        <v>2</v>
      </c>
      <c r="B64" s="66">
        <f t="shared" si="9"/>
        <v>393021</v>
      </c>
      <c r="C64" s="66" t="e">
        <f t="shared" si="10"/>
        <v>#N/A</v>
      </c>
      <c r="D64" s="66">
        <f t="shared" ref="D64:F64" si="26">D21</f>
        <v>0</v>
      </c>
      <c r="E64" s="145" t="str">
        <f t="shared" si="26"/>
        <v>木曜</v>
      </c>
      <c r="F64" s="145">
        <f t="shared" si="26"/>
        <v>16</v>
      </c>
      <c r="G64" s="142">
        <f>PJ工種集計!AA94</f>
        <v>0</v>
      </c>
    </row>
    <row r="65" spans="1:7">
      <c r="A65" s="66">
        <f t="shared" si="8"/>
        <v>2</v>
      </c>
      <c r="B65" s="66">
        <f t="shared" si="9"/>
        <v>393021</v>
      </c>
      <c r="C65" s="66" t="e">
        <f t="shared" si="10"/>
        <v>#N/A</v>
      </c>
      <c r="D65" s="66">
        <f t="shared" ref="D65:F65" si="27">D22</f>
        <v>0</v>
      </c>
      <c r="E65" s="145" t="str">
        <f t="shared" si="27"/>
        <v>金曜</v>
      </c>
      <c r="F65" s="145">
        <f t="shared" si="27"/>
        <v>17</v>
      </c>
      <c r="G65" s="142">
        <f>PJ工種集計!AB94</f>
        <v>0</v>
      </c>
    </row>
    <row r="66" spans="1:7">
      <c r="A66" s="66">
        <f t="shared" si="8"/>
        <v>2</v>
      </c>
      <c r="B66" s="66">
        <f t="shared" si="9"/>
        <v>393021</v>
      </c>
      <c r="C66" s="66" t="e">
        <f t="shared" si="10"/>
        <v>#N/A</v>
      </c>
      <c r="D66" s="66">
        <f t="shared" ref="D66:F66" si="28">D23</f>
        <v>0</v>
      </c>
      <c r="E66" s="145" t="str">
        <f t="shared" si="28"/>
        <v>土曜</v>
      </c>
      <c r="F66" s="145">
        <f t="shared" si="28"/>
        <v>18</v>
      </c>
      <c r="G66" s="142">
        <f>PJ工種集計!AC94</f>
        <v>0</v>
      </c>
    </row>
    <row r="67" spans="1:7">
      <c r="A67" s="66">
        <f t="shared" si="8"/>
        <v>2</v>
      </c>
      <c r="B67" s="66">
        <f t="shared" si="9"/>
        <v>393021</v>
      </c>
      <c r="C67" s="66" t="e">
        <f t="shared" si="10"/>
        <v>#N/A</v>
      </c>
      <c r="D67" s="66">
        <f t="shared" ref="D67:F67" si="29">D24</f>
        <v>0</v>
      </c>
      <c r="E67" s="145" t="str">
        <f t="shared" si="29"/>
        <v>日曜</v>
      </c>
      <c r="F67" s="145">
        <f t="shared" si="29"/>
        <v>19</v>
      </c>
      <c r="G67" s="142">
        <f>PJ工種集計!AD94</f>
        <v>0</v>
      </c>
    </row>
    <row r="68" spans="1:7">
      <c r="A68" s="66">
        <f t="shared" si="8"/>
        <v>2</v>
      </c>
      <c r="B68" s="66">
        <f t="shared" si="9"/>
        <v>393021</v>
      </c>
      <c r="C68" s="66" t="e">
        <f t="shared" si="10"/>
        <v>#N/A</v>
      </c>
      <c r="D68" s="66" t="str">
        <f t="shared" ref="D68:F68" si="30">D25</f>
        <v>4週</v>
      </c>
      <c r="E68" s="145" t="str">
        <f t="shared" si="30"/>
        <v>月曜</v>
      </c>
      <c r="F68" s="145">
        <f t="shared" si="30"/>
        <v>20</v>
      </c>
      <c r="G68" s="142">
        <f>PJ工種集計!AE94</f>
        <v>0</v>
      </c>
    </row>
    <row r="69" spans="1:7">
      <c r="A69" s="66">
        <f t="shared" si="8"/>
        <v>2</v>
      </c>
      <c r="B69" s="66">
        <f t="shared" si="9"/>
        <v>393021</v>
      </c>
      <c r="C69" s="66" t="e">
        <f t="shared" si="10"/>
        <v>#N/A</v>
      </c>
      <c r="D69" s="66">
        <f t="shared" ref="D69:F69" si="31">D26</f>
        <v>0</v>
      </c>
      <c r="E69" s="145" t="str">
        <f t="shared" si="31"/>
        <v>火曜</v>
      </c>
      <c r="F69" s="145">
        <f t="shared" si="31"/>
        <v>21</v>
      </c>
      <c r="G69" s="142">
        <f>PJ工種集計!AF94</f>
        <v>0</v>
      </c>
    </row>
    <row r="70" spans="1:7">
      <c r="A70" s="66">
        <f t="shared" si="8"/>
        <v>2</v>
      </c>
      <c r="B70" s="66">
        <f t="shared" si="9"/>
        <v>393021</v>
      </c>
      <c r="C70" s="66" t="e">
        <f t="shared" si="10"/>
        <v>#N/A</v>
      </c>
      <c r="D70" s="66">
        <f t="shared" ref="D70:F70" si="32">D27</f>
        <v>0</v>
      </c>
      <c r="E70" s="145" t="str">
        <f t="shared" si="32"/>
        <v>水曜</v>
      </c>
      <c r="F70" s="145">
        <f t="shared" si="32"/>
        <v>22</v>
      </c>
      <c r="G70" s="142">
        <f>PJ工種集計!AG94</f>
        <v>0</v>
      </c>
    </row>
    <row r="71" spans="1:7">
      <c r="A71" s="66">
        <f t="shared" si="8"/>
        <v>2</v>
      </c>
      <c r="B71" s="66">
        <f t="shared" si="9"/>
        <v>393021</v>
      </c>
      <c r="C71" s="66" t="e">
        <f t="shared" si="10"/>
        <v>#N/A</v>
      </c>
      <c r="D71" s="66">
        <f t="shared" ref="D71:F71" si="33">D28</f>
        <v>0</v>
      </c>
      <c r="E71" s="145" t="str">
        <f t="shared" si="33"/>
        <v>木曜</v>
      </c>
      <c r="F71" s="145">
        <f t="shared" si="33"/>
        <v>23</v>
      </c>
      <c r="G71" s="142">
        <f>PJ工種集計!AH94</f>
        <v>0</v>
      </c>
    </row>
    <row r="72" spans="1:7">
      <c r="A72" s="66">
        <f t="shared" si="8"/>
        <v>2</v>
      </c>
      <c r="B72" s="66">
        <f t="shared" si="9"/>
        <v>393021</v>
      </c>
      <c r="C72" s="66" t="e">
        <f t="shared" si="10"/>
        <v>#N/A</v>
      </c>
      <c r="D72" s="66">
        <f t="shared" ref="D72:F72" si="34">D29</f>
        <v>0</v>
      </c>
      <c r="E72" s="145" t="str">
        <f t="shared" si="34"/>
        <v>金曜</v>
      </c>
      <c r="F72" s="145">
        <f t="shared" si="34"/>
        <v>24</v>
      </c>
      <c r="G72" s="142">
        <f>PJ工種集計!AI94</f>
        <v>0</v>
      </c>
    </row>
    <row r="73" spans="1:7">
      <c r="A73" s="66">
        <f t="shared" si="8"/>
        <v>2</v>
      </c>
      <c r="B73" s="66">
        <f t="shared" si="9"/>
        <v>393021</v>
      </c>
      <c r="C73" s="66" t="e">
        <f t="shared" si="10"/>
        <v>#N/A</v>
      </c>
      <c r="D73" s="66">
        <f t="shared" ref="D73:F73" si="35">D30</f>
        <v>0</v>
      </c>
      <c r="E73" s="145" t="str">
        <f t="shared" si="35"/>
        <v>土曜</v>
      </c>
      <c r="F73" s="145">
        <f t="shared" si="35"/>
        <v>25</v>
      </c>
      <c r="G73" s="142">
        <f>PJ工種集計!AJ94</f>
        <v>0</v>
      </c>
    </row>
    <row r="74" spans="1:7">
      <c r="A74" s="66">
        <f t="shared" si="8"/>
        <v>2</v>
      </c>
      <c r="B74" s="66">
        <f t="shared" si="9"/>
        <v>393021</v>
      </c>
      <c r="C74" s="66" t="e">
        <f t="shared" si="10"/>
        <v>#N/A</v>
      </c>
      <c r="D74" s="66">
        <f t="shared" ref="D74:F74" si="36">D31</f>
        <v>0</v>
      </c>
      <c r="E74" s="145" t="str">
        <f t="shared" si="36"/>
        <v>日曜</v>
      </c>
      <c r="F74" s="145">
        <f t="shared" si="36"/>
        <v>26</v>
      </c>
      <c r="G74" s="142">
        <f>PJ工種集計!AK94</f>
        <v>0</v>
      </c>
    </row>
    <row r="75" spans="1:7">
      <c r="A75" s="66">
        <f t="shared" si="8"/>
        <v>2</v>
      </c>
      <c r="B75" s="66">
        <f t="shared" si="9"/>
        <v>393021</v>
      </c>
      <c r="C75" s="66" t="e">
        <f t="shared" si="10"/>
        <v>#N/A</v>
      </c>
      <c r="D75" s="66" t="str">
        <f t="shared" ref="D75:F75" si="37">D32</f>
        <v>5週</v>
      </c>
      <c r="E75" s="145" t="str">
        <f t="shared" si="37"/>
        <v>月曜</v>
      </c>
      <c r="F75" s="145">
        <f t="shared" si="37"/>
        <v>27</v>
      </c>
      <c r="G75" s="142">
        <f>PJ工種集計!AL94</f>
        <v>0</v>
      </c>
    </row>
    <row r="76" spans="1:7">
      <c r="A76" s="66">
        <f t="shared" si="8"/>
        <v>2</v>
      </c>
      <c r="B76" s="66">
        <f t="shared" si="9"/>
        <v>393021</v>
      </c>
      <c r="C76" s="66" t="e">
        <f t="shared" si="10"/>
        <v>#N/A</v>
      </c>
      <c r="D76" s="66">
        <f t="shared" ref="D76:F76" si="38">D33</f>
        <v>0</v>
      </c>
      <c r="E76" s="145" t="str">
        <f t="shared" si="38"/>
        <v>火曜</v>
      </c>
      <c r="F76" s="145">
        <f t="shared" si="38"/>
        <v>28</v>
      </c>
      <c r="G76" s="142">
        <f>PJ工種集計!AM94</f>
        <v>0</v>
      </c>
    </row>
    <row r="77" spans="1:7">
      <c r="A77" s="66">
        <f t="shared" si="8"/>
        <v>2</v>
      </c>
      <c r="B77" s="66">
        <f t="shared" si="9"/>
        <v>393021</v>
      </c>
      <c r="C77" s="66" t="e">
        <f t="shared" si="10"/>
        <v>#N/A</v>
      </c>
      <c r="D77" s="66">
        <f t="shared" ref="D77:F77" si="39">D34</f>
        <v>0</v>
      </c>
      <c r="E77" s="145" t="str">
        <f t="shared" si="39"/>
        <v>水曜</v>
      </c>
      <c r="F77" s="145">
        <f t="shared" si="39"/>
        <v>29</v>
      </c>
      <c r="G77" s="142">
        <f>PJ工種集計!AN94</f>
        <v>0</v>
      </c>
    </row>
    <row r="78" spans="1:7">
      <c r="A78" s="66">
        <f t="shared" si="8"/>
        <v>2</v>
      </c>
      <c r="B78" s="66">
        <f t="shared" si="9"/>
        <v>393021</v>
      </c>
      <c r="C78" s="66" t="e">
        <f t="shared" si="10"/>
        <v>#N/A</v>
      </c>
      <c r="D78" s="66">
        <f t="shared" ref="D78:F78" si="40">D35</f>
        <v>0</v>
      </c>
      <c r="E78" s="145" t="str">
        <f t="shared" si="40"/>
        <v>木曜</v>
      </c>
      <c r="F78" s="145">
        <f t="shared" si="40"/>
        <v>30</v>
      </c>
      <c r="G78" s="142">
        <f>PJ工種集計!AO94</f>
        <v>0</v>
      </c>
    </row>
    <row r="79" spans="1:7">
      <c r="A79" s="66">
        <f t="shared" si="8"/>
        <v>2</v>
      </c>
      <c r="B79" s="66">
        <f t="shared" si="9"/>
        <v>393021</v>
      </c>
      <c r="C79" s="66" t="e">
        <f t="shared" si="10"/>
        <v>#N/A</v>
      </c>
      <c r="D79" s="66">
        <f t="shared" ref="D79:F79" si="41">D36</f>
        <v>0</v>
      </c>
      <c r="E79" s="145" t="str">
        <f t="shared" si="41"/>
        <v>金曜</v>
      </c>
      <c r="F79" s="145">
        <f t="shared" si="41"/>
        <v>31</v>
      </c>
      <c r="G79" s="142">
        <f>PJ工種集計!AP94</f>
        <v>0</v>
      </c>
    </row>
    <row r="80" spans="1:7">
      <c r="A80" s="66">
        <f t="shared" si="8"/>
        <v>2</v>
      </c>
      <c r="B80" s="66">
        <f t="shared" si="9"/>
        <v>393021</v>
      </c>
      <c r="C80" s="66" t="e">
        <f t="shared" si="10"/>
        <v>#N/A</v>
      </c>
      <c r="D80" s="66">
        <f t="shared" ref="D80:F80" si="42">D37</f>
        <v>0</v>
      </c>
      <c r="E80" s="145" t="str">
        <f t="shared" si="42"/>
        <v>土曜</v>
      </c>
      <c r="F80" s="145" t="str">
        <f t="shared" si="42"/>
        <v/>
      </c>
      <c r="G80" s="142">
        <f>PJ工種集計!AQ94</f>
        <v>0</v>
      </c>
    </row>
    <row r="81" spans="1:7">
      <c r="A81" s="66">
        <f t="shared" si="8"/>
        <v>2</v>
      </c>
      <c r="B81" s="66">
        <f t="shared" si="9"/>
        <v>393021</v>
      </c>
      <c r="C81" s="66" t="e">
        <f t="shared" si="10"/>
        <v>#N/A</v>
      </c>
      <c r="D81" s="66">
        <f t="shared" ref="D81:F81" si="43">D38</f>
        <v>0</v>
      </c>
      <c r="E81" s="145" t="str">
        <f t="shared" si="43"/>
        <v>日曜</v>
      </c>
      <c r="F81" s="145" t="str">
        <f t="shared" si="43"/>
        <v/>
      </c>
      <c r="G81" s="142">
        <f>PJ工種集計!AR94</f>
        <v>0</v>
      </c>
    </row>
    <row r="82" spans="1:7">
      <c r="A82" s="66">
        <f t="shared" si="8"/>
        <v>2</v>
      </c>
      <c r="B82" s="66">
        <f t="shared" si="9"/>
        <v>393021</v>
      </c>
      <c r="C82" s="66" t="e">
        <f t="shared" si="10"/>
        <v>#N/A</v>
      </c>
      <c r="D82" s="66" t="str">
        <f t="shared" ref="D82:F82" si="44">D39</f>
        <v>6週</v>
      </c>
      <c r="E82" s="145" t="str">
        <f t="shared" si="44"/>
        <v>月曜</v>
      </c>
      <c r="F82" s="145" t="str">
        <f t="shared" si="44"/>
        <v/>
      </c>
      <c r="G82" s="142">
        <f>PJ工種集計!AS94</f>
        <v>0</v>
      </c>
    </row>
    <row r="83" spans="1:7">
      <c r="A83" s="66">
        <f t="shared" si="8"/>
        <v>2</v>
      </c>
      <c r="B83" s="66">
        <f t="shared" si="9"/>
        <v>393021</v>
      </c>
      <c r="C83" s="66" t="e">
        <f t="shared" si="10"/>
        <v>#N/A</v>
      </c>
      <c r="D83" s="66">
        <f t="shared" ref="D83:F83" si="45">D40</f>
        <v>0</v>
      </c>
      <c r="E83" s="145" t="str">
        <f t="shared" si="45"/>
        <v>火曜</v>
      </c>
      <c r="F83" s="145" t="str">
        <f t="shared" si="45"/>
        <v/>
      </c>
      <c r="G83" s="142">
        <f>PJ工種集計!AT94</f>
        <v>0</v>
      </c>
    </row>
    <row r="84" spans="1:7">
      <c r="A84" s="66">
        <f t="shared" si="8"/>
        <v>2</v>
      </c>
      <c r="B84" s="66">
        <f t="shared" si="9"/>
        <v>393021</v>
      </c>
      <c r="C84" s="66" t="e">
        <f t="shared" si="10"/>
        <v>#N/A</v>
      </c>
      <c r="D84" s="66">
        <f t="shared" ref="D84:F84" si="46">D41</f>
        <v>0</v>
      </c>
      <c r="E84" s="145" t="str">
        <f t="shared" si="46"/>
        <v>水曜</v>
      </c>
      <c r="F84" s="145" t="str">
        <f t="shared" si="46"/>
        <v/>
      </c>
      <c r="G84" s="142">
        <f>PJ工種集計!AU94</f>
        <v>0</v>
      </c>
    </row>
    <row r="85" spans="1:7">
      <c r="A85" s="66">
        <f t="shared" si="8"/>
        <v>2</v>
      </c>
      <c r="B85" s="66">
        <f t="shared" si="9"/>
        <v>393021</v>
      </c>
      <c r="C85" s="66" t="e">
        <f t="shared" si="10"/>
        <v>#N/A</v>
      </c>
      <c r="D85" s="66">
        <f t="shared" ref="D85:F85" si="47">D42</f>
        <v>0</v>
      </c>
      <c r="E85" s="145" t="str">
        <f t="shared" si="47"/>
        <v>木曜</v>
      </c>
      <c r="F85" s="145" t="str">
        <f t="shared" si="47"/>
        <v/>
      </c>
      <c r="G85" s="142">
        <f>PJ工種集計!AV94</f>
        <v>0</v>
      </c>
    </row>
    <row r="86" spans="1:7">
      <c r="A86" s="66">
        <f t="shared" si="8"/>
        <v>2</v>
      </c>
      <c r="B86" s="66">
        <f t="shared" si="9"/>
        <v>393021</v>
      </c>
      <c r="C86" s="66" t="e">
        <f t="shared" si="10"/>
        <v>#N/A</v>
      </c>
      <c r="D86" s="66">
        <f t="shared" ref="D86:F86" si="48">D43</f>
        <v>0</v>
      </c>
      <c r="E86" s="145" t="str">
        <f t="shared" si="48"/>
        <v>金曜</v>
      </c>
      <c r="F86" s="145" t="str">
        <f t="shared" si="48"/>
        <v/>
      </c>
      <c r="G86" s="142">
        <f>PJ工種集計!AW94</f>
        <v>0</v>
      </c>
    </row>
    <row r="87" spans="1:7">
      <c r="A87" s="66">
        <f t="shared" si="8"/>
        <v>2</v>
      </c>
      <c r="B87" s="66">
        <f t="shared" si="9"/>
        <v>393021</v>
      </c>
      <c r="C87" s="66" t="e">
        <f t="shared" si="10"/>
        <v>#N/A</v>
      </c>
      <c r="D87" s="66">
        <f t="shared" ref="D87:F87" si="49">D44</f>
        <v>0</v>
      </c>
      <c r="E87" s="145" t="str">
        <f t="shared" si="49"/>
        <v>土曜</v>
      </c>
      <c r="F87" s="145" t="str">
        <f t="shared" si="49"/>
        <v/>
      </c>
      <c r="G87" s="142">
        <f>PJ工種集計!AX94</f>
        <v>0</v>
      </c>
    </row>
    <row r="88" spans="1:7">
      <c r="A88" s="66">
        <f t="shared" si="8"/>
        <v>2</v>
      </c>
      <c r="B88" s="66">
        <f t="shared" si="9"/>
        <v>393021</v>
      </c>
      <c r="C88" s="66" t="e">
        <f t="shared" si="10"/>
        <v>#N/A</v>
      </c>
      <c r="D88" s="66">
        <f t="shared" ref="D88:F88" si="50">D45</f>
        <v>0</v>
      </c>
      <c r="E88" s="145" t="str">
        <f t="shared" si="50"/>
        <v>日曜</v>
      </c>
      <c r="F88" s="145" t="str">
        <f t="shared" si="50"/>
        <v/>
      </c>
      <c r="G88" s="142">
        <f>PJ工種集計!AY94</f>
        <v>0</v>
      </c>
    </row>
    <row r="90" spans="1:7">
      <c r="A90" s="66">
        <f>PJ工種集計!A178</f>
        <v>3</v>
      </c>
      <c r="B90" s="66">
        <f>PJ工種集計!B178</f>
        <v>0</v>
      </c>
      <c r="C90" s="66" t="str">
        <f>PJ工種集計!C178</f>
        <v/>
      </c>
      <c r="D90" s="66" t="str">
        <f>D47</f>
        <v>１週</v>
      </c>
      <c r="E90" s="145" t="str">
        <f>E47</f>
        <v>月曜</v>
      </c>
      <c r="F90" s="145" t="str">
        <f>F47</f>
        <v/>
      </c>
      <c r="G90" s="142">
        <f>PJ工種集計!J179</f>
        <v>0</v>
      </c>
    </row>
    <row r="91" spans="1:7">
      <c r="A91" s="66">
        <f t="shared" ref="A91:A131" si="51">A90</f>
        <v>3</v>
      </c>
      <c r="B91" s="66">
        <f t="shared" ref="B91:B131" si="52">B90</f>
        <v>0</v>
      </c>
      <c r="C91" s="66" t="str">
        <f t="shared" ref="C91:C131" si="53">C90</f>
        <v/>
      </c>
      <c r="D91" s="66">
        <f t="shared" ref="D91:F91" si="54">D48</f>
        <v>0</v>
      </c>
      <c r="E91" s="145" t="str">
        <f t="shared" si="54"/>
        <v>火曜</v>
      </c>
      <c r="F91" s="145" t="str">
        <f t="shared" si="54"/>
        <v/>
      </c>
      <c r="G91" s="142">
        <f>PJ工種集計!K179</f>
        <v>0</v>
      </c>
    </row>
    <row r="92" spans="1:7">
      <c r="A92" s="66">
        <f t="shared" si="51"/>
        <v>3</v>
      </c>
      <c r="B92" s="66">
        <f t="shared" si="52"/>
        <v>0</v>
      </c>
      <c r="C92" s="66" t="str">
        <f t="shared" si="53"/>
        <v/>
      </c>
      <c r="D92" s="66">
        <f t="shared" ref="D92:F92" si="55">D49</f>
        <v>0</v>
      </c>
      <c r="E92" s="145" t="str">
        <f t="shared" si="55"/>
        <v>水曜</v>
      </c>
      <c r="F92" s="145">
        <f t="shared" si="55"/>
        <v>1</v>
      </c>
      <c r="G92" s="142">
        <f>PJ工種集計!L179</f>
        <v>0</v>
      </c>
    </row>
    <row r="93" spans="1:7">
      <c r="A93" s="66">
        <f t="shared" si="51"/>
        <v>3</v>
      </c>
      <c r="B93" s="66">
        <f t="shared" si="52"/>
        <v>0</v>
      </c>
      <c r="C93" s="66" t="str">
        <f t="shared" si="53"/>
        <v/>
      </c>
      <c r="D93" s="66">
        <f t="shared" ref="D93:F93" si="56">D50</f>
        <v>0</v>
      </c>
      <c r="E93" s="145" t="str">
        <f t="shared" si="56"/>
        <v>木曜</v>
      </c>
      <c r="F93" s="145">
        <f t="shared" si="56"/>
        <v>2</v>
      </c>
      <c r="G93" s="142">
        <f>PJ工種集計!M179</f>
        <v>0</v>
      </c>
    </row>
    <row r="94" spans="1:7">
      <c r="A94" s="66">
        <f t="shared" si="51"/>
        <v>3</v>
      </c>
      <c r="B94" s="66">
        <f t="shared" si="52"/>
        <v>0</v>
      </c>
      <c r="C94" s="66" t="str">
        <f t="shared" si="53"/>
        <v/>
      </c>
      <c r="D94" s="66">
        <f t="shared" ref="D94:F94" si="57">D51</f>
        <v>0</v>
      </c>
      <c r="E94" s="145" t="str">
        <f t="shared" si="57"/>
        <v>金曜</v>
      </c>
      <c r="F94" s="145">
        <f t="shared" si="57"/>
        <v>3</v>
      </c>
      <c r="G94" s="142">
        <f>PJ工種集計!N179</f>
        <v>0</v>
      </c>
    </row>
    <row r="95" spans="1:7">
      <c r="A95" s="66">
        <f t="shared" si="51"/>
        <v>3</v>
      </c>
      <c r="B95" s="66">
        <f t="shared" si="52"/>
        <v>0</v>
      </c>
      <c r="C95" s="66" t="str">
        <f t="shared" si="53"/>
        <v/>
      </c>
      <c r="D95" s="66">
        <f t="shared" ref="D95:F95" si="58">D52</f>
        <v>0</v>
      </c>
      <c r="E95" s="145" t="str">
        <f t="shared" si="58"/>
        <v>土曜</v>
      </c>
      <c r="F95" s="145">
        <f t="shared" si="58"/>
        <v>4</v>
      </c>
      <c r="G95" s="142">
        <f>PJ工種集計!O179</f>
        <v>0</v>
      </c>
    </row>
    <row r="96" spans="1:7">
      <c r="A96" s="66">
        <f t="shared" si="51"/>
        <v>3</v>
      </c>
      <c r="B96" s="66">
        <f t="shared" si="52"/>
        <v>0</v>
      </c>
      <c r="C96" s="66" t="str">
        <f t="shared" si="53"/>
        <v/>
      </c>
      <c r="D96" s="66">
        <f t="shared" ref="D96:F96" si="59">D53</f>
        <v>0</v>
      </c>
      <c r="E96" s="145" t="str">
        <f t="shared" si="59"/>
        <v>日曜</v>
      </c>
      <c r="F96" s="145">
        <f t="shared" si="59"/>
        <v>5</v>
      </c>
      <c r="G96" s="142">
        <f>PJ工種集計!P179</f>
        <v>0</v>
      </c>
    </row>
    <row r="97" spans="1:7">
      <c r="A97" s="66">
        <f t="shared" si="51"/>
        <v>3</v>
      </c>
      <c r="B97" s="66">
        <f t="shared" si="52"/>
        <v>0</v>
      </c>
      <c r="C97" s="66" t="str">
        <f t="shared" si="53"/>
        <v/>
      </c>
      <c r="D97" s="66" t="str">
        <f t="shared" ref="D97:F97" si="60">D54</f>
        <v>2週</v>
      </c>
      <c r="E97" s="145" t="str">
        <f t="shared" si="60"/>
        <v>月曜</v>
      </c>
      <c r="F97" s="145">
        <f t="shared" si="60"/>
        <v>6</v>
      </c>
      <c r="G97" s="142">
        <f>PJ工種集計!Q179</f>
        <v>0</v>
      </c>
    </row>
    <row r="98" spans="1:7">
      <c r="A98" s="66">
        <f t="shared" si="51"/>
        <v>3</v>
      </c>
      <c r="B98" s="66">
        <f t="shared" si="52"/>
        <v>0</v>
      </c>
      <c r="C98" s="66" t="str">
        <f t="shared" si="53"/>
        <v/>
      </c>
      <c r="D98" s="66">
        <f t="shared" ref="D98:F98" si="61">D55</f>
        <v>0</v>
      </c>
      <c r="E98" s="145" t="str">
        <f t="shared" si="61"/>
        <v>火曜</v>
      </c>
      <c r="F98" s="145">
        <f t="shared" si="61"/>
        <v>7</v>
      </c>
      <c r="G98" s="142">
        <f>PJ工種集計!R179</f>
        <v>0</v>
      </c>
    </row>
    <row r="99" spans="1:7">
      <c r="A99" s="66">
        <f t="shared" si="51"/>
        <v>3</v>
      </c>
      <c r="B99" s="66">
        <f t="shared" si="52"/>
        <v>0</v>
      </c>
      <c r="C99" s="66" t="str">
        <f t="shared" si="53"/>
        <v/>
      </c>
      <c r="D99" s="66">
        <f t="shared" ref="D99:F99" si="62">D56</f>
        <v>0</v>
      </c>
      <c r="E99" s="145" t="str">
        <f t="shared" si="62"/>
        <v>水曜</v>
      </c>
      <c r="F99" s="145">
        <f t="shared" si="62"/>
        <v>8</v>
      </c>
      <c r="G99" s="142">
        <f>PJ工種集計!S179</f>
        <v>0</v>
      </c>
    </row>
    <row r="100" spans="1:7">
      <c r="A100" s="66">
        <f t="shared" si="51"/>
        <v>3</v>
      </c>
      <c r="B100" s="66">
        <f t="shared" si="52"/>
        <v>0</v>
      </c>
      <c r="C100" s="66" t="str">
        <f t="shared" si="53"/>
        <v/>
      </c>
      <c r="D100" s="66">
        <f t="shared" ref="D100:F100" si="63">D57</f>
        <v>0</v>
      </c>
      <c r="E100" s="145" t="str">
        <f t="shared" si="63"/>
        <v>木曜</v>
      </c>
      <c r="F100" s="145">
        <f t="shared" si="63"/>
        <v>9</v>
      </c>
      <c r="G100" s="142">
        <f>PJ工種集計!T179</f>
        <v>0</v>
      </c>
    </row>
    <row r="101" spans="1:7">
      <c r="A101" s="66">
        <f t="shared" si="51"/>
        <v>3</v>
      </c>
      <c r="B101" s="66">
        <f t="shared" si="52"/>
        <v>0</v>
      </c>
      <c r="C101" s="66" t="str">
        <f t="shared" si="53"/>
        <v/>
      </c>
      <c r="D101" s="66">
        <f t="shared" ref="D101:F101" si="64">D58</f>
        <v>0</v>
      </c>
      <c r="E101" s="145" t="str">
        <f t="shared" si="64"/>
        <v>金曜</v>
      </c>
      <c r="F101" s="145">
        <f t="shared" si="64"/>
        <v>10</v>
      </c>
      <c r="G101" s="142">
        <f>PJ工種集計!U179</f>
        <v>0</v>
      </c>
    </row>
    <row r="102" spans="1:7">
      <c r="A102" s="66">
        <f t="shared" si="51"/>
        <v>3</v>
      </c>
      <c r="B102" s="66">
        <f t="shared" si="52"/>
        <v>0</v>
      </c>
      <c r="C102" s="66" t="str">
        <f t="shared" si="53"/>
        <v/>
      </c>
      <c r="D102" s="66">
        <f t="shared" ref="D102:F102" si="65">D59</f>
        <v>0</v>
      </c>
      <c r="E102" s="145" t="str">
        <f t="shared" si="65"/>
        <v>土曜</v>
      </c>
      <c r="F102" s="145">
        <f t="shared" si="65"/>
        <v>11</v>
      </c>
      <c r="G102" s="142">
        <f>PJ工種集計!V179</f>
        <v>0</v>
      </c>
    </row>
    <row r="103" spans="1:7">
      <c r="A103" s="66">
        <f t="shared" si="51"/>
        <v>3</v>
      </c>
      <c r="B103" s="66">
        <f t="shared" si="52"/>
        <v>0</v>
      </c>
      <c r="C103" s="66" t="str">
        <f t="shared" si="53"/>
        <v/>
      </c>
      <c r="D103" s="66">
        <f t="shared" ref="D103:F103" si="66">D60</f>
        <v>0</v>
      </c>
      <c r="E103" s="145" t="str">
        <f t="shared" si="66"/>
        <v>日曜</v>
      </c>
      <c r="F103" s="145">
        <f t="shared" si="66"/>
        <v>12</v>
      </c>
      <c r="G103" s="142">
        <f>PJ工種集計!W179</f>
        <v>0</v>
      </c>
    </row>
    <row r="104" spans="1:7">
      <c r="A104" s="66">
        <f t="shared" si="51"/>
        <v>3</v>
      </c>
      <c r="B104" s="66">
        <f t="shared" si="52"/>
        <v>0</v>
      </c>
      <c r="C104" s="66" t="str">
        <f t="shared" si="53"/>
        <v/>
      </c>
      <c r="D104" s="66" t="str">
        <f t="shared" ref="D104:F104" si="67">D61</f>
        <v>3週</v>
      </c>
      <c r="E104" s="145" t="str">
        <f t="shared" si="67"/>
        <v>月曜</v>
      </c>
      <c r="F104" s="145">
        <f t="shared" si="67"/>
        <v>13</v>
      </c>
      <c r="G104" s="142">
        <f>PJ工種集計!X179</f>
        <v>0</v>
      </c>
    </row>
    <row r="105" spans="1:7">
      <c r="A105" s="66">
        <f t="shared" si="51"/>
        <v>3</v>
      </c>
      <c r="B105" s="66">
        <f t="shared" si="52"/>
        <v>0</v>
      </c>
      <c r="C105" s="66" t="str">
        <f t="shared" si="53"/>
        <v/>
      </c>
      <c r="D105" s="66">
        <f t="shared" ref="D105:F105" si="68">D62</f>
        <v>0</v>
      </c>
      <c r="E105" s="145" t="str">
        <f t="shared" si="68"/>
        <v>火曜</v>
      </c>
      <c r="F105" s="145">
        <f t="shared" si="68"/>
        <v>14</v>
      </c>
      <c r="G105" s="142">
        <f>PJ工種集計!Y179</f>
        <v>0</v>
      </c>
    </row>
    <row r="106" spans="1:7">
      <c r="A106" s="66">
        <f t="shared" si="51"/>
        <v>3</v>
      </c>
      <c r="B106" s="66">
        <f t="shared" si="52"/>
        <v>0</v>
      </c>
      <c r="C106" s="66" t="str">
        <f t="shared" si="53"/>
        <v/>
      </c>
      <c r="D106" s="66">
        <f t="shared" ref="D106:F106" si="69">D63</f>
        <v>0</v>
      </c>
      <c r="E106" s="145" t="str">
        <f t="shared" si="69"/>
        <v>水曜</v>
      </c>
      <c r="F106" s="145">
        <f t="shared" si="69"/>
        <v>15</v>
      </c>
      <c r="G106" s="142">
        <f>PJ工種集計!Z179</f>
        <v>0</v>
      </c>
    </row>
    <row r="107" spans="1:7">
      <c r="A107" s="66">
        <f t="shared" si="51"/>
        <v>3</v>
      </c>
      <c r="B107" s="66">
        <f t="shared" si="52"/>
        <v>0</v>
      </c>
      <c r="C107" s="66" t="str">
        <f t="shared" si="53"/>
        <v/>
      </c>
      <c r="D107" s="66">
        <f t="shared" ref="D107:F107" si="70">D64</f>
        <v>0</v>
      </c>
      <c r="E107" s="145" t="str">
        <f t="shared" si="70"/>
        <v>木曜</v>
      </c>
      <c r="F107" s="145">
        <f t="shared" si="70"/>
        <v>16</v>
      </c>
      <c r="G107" s="142">
        <f>PJ工種集計!AA179</f>
        <v>0</v>
      </c>
    </row>
    <row r="108" spans="1:7">
      <c r="A108" s="66">
        <f t="shared" si="51"/>
        <v>3</v>
      </c>
      <c r="B108" s="66">
        <f t="shared" si="52"/>
        <v>0</v>
      </c>
      <c r="C108" s="66" t="str">
        <f t="shared" si="53"/>
        <v/>
      </c>
      <c r="D108" s="66">
        <f t="shared" ref="D108:F108" si="71">D65</f>
        <v>0</v>
      </c>
      <c r="E108" s="145" t="str">
        <f t="shared" si="71"/>
        <v>金曜</v>
      </c>
      <c r="F108" s="145">
        <f t="shared" si="71"/>
        <v>17</v>
      </c>
      <c r="G108" s="142">
        <f>PJ工種集計!AB179</f>
        <v>0</v>
      </c>
    </row>
    <row r="109" spans="1:7">
      <c r="A109" s="66">
        <f t="shared" si="51"/>
        <v>3</v>
      </c>
      <c r="B109" s="66">
        <f t="shared" si="52"/>
        <v>0</v>
      </c>
      <c r="C109" s="66" t="str">
        <f t="shared" si="53"/>
        <v/>
      </c>
      <c r="D109" s="66">
        <f t="shared" ref="D109:F109" si="72">D66</f>
        <v>0</v>
      </c>
      <c r="E109" s="145" t="str">
        <f t="shared" si="72"/>
        <v>土曜</v>
      </c>
      <c r="F109" s="145">
        <f t="shared" si="72"/>
        <v>18</v>
      </c>
      <c r="G109" s="142">
        <f>PJ工種集計!AC179</f>
        <v>0</v>
      </c>
    </row>
    <row r="110" spans="1:7">
      <c r="A110" s="66">
        <f t="shared" si="51"/>
        <v>3</v>
      </c>
      <c r="B110" s="66">
        <f t="shared" si="52"/>
        <v>0</v>
      </c>
      <c r="C110" s="66" t="str">
        <f t="shared" si="53"/>
        <v/>
      </c>
      <c r="D110" s="66">
        <f t="shared" ref="D110:F110" si="73">D67</f>
        <v>0</v>
      </c>
      <c r="E110" s="145" t="str">
        <f t="shared" si="73"/>
        <v>日曜</v>
      </c>
      <c r="F110" s="145">
        <f t="shared" si="73"/>
        <v>19</v>
      </c>
      <c r="G110" s="142">
        <f>PJ工種集計!AD179</f>
        <v>0</v>
      </c>
    </row>
    <row r="111" spans="1:7">
      <c r="A111" s="66">
        <f t="shared" si="51"/>
        <v>3</v>
      </c>
      <c r="B111" s="66">
        <f t="shared" si="52"/>
        <v>0</v>
      </c>
      <c r="C111" s="66" t="str">
        <f t="shared" si="53"/>
        <v/>
      </c>
      <c r="D111" s="66" t="str">
        <f t="shared" ref="D111:F111" si="74">D68</f>
        <v>4週</v>
      </c>
      <c r="E111" s="145" t="str">
        <f t="shared" si="74"/>
        <v>月曜</v>
      </c>
      <c r="F111" s="145">
        <f t="shared" si="74"/>
        <v>20</v>
      </c>
      <c r="G111" s="142">
        <f>PJ工種集計!AE179</f>
        <v>0</v>
      </c>
    </row>
    <row r="112" spans="1:7">
      <c r="A112" s="66">
        <f t="shared" si="51"/>
        <v>3</v>
      </c>
      <c r="B112" s="66">
        <f t="shared" si="52"/>
        <v>0</v>
      </c>
      <c r="C112" s="66" t="str">
        <f t="shared" si="53"/>
        <v/>
      </c>
      <c r="D112" s="66">
        <f t="shared" ref="D112:F112" si="75">D69</f>
        <v>0</v>
      </c>
      <c r="E112" s="145" t="str">
        <f t="shared" si="75"/>
        <v>火曜</v>
      </c>
      <c r="F112" s="145">
        <f t="shared" si="75"/>
        <v>21</v>
      </c>
      <c r="G112" s="142">
        <f>PJ工種集計!AF179</f>
        <v>0</v>
      </c>
    </row>
    <row r="113" spans="1:7">
      <c r="A113" s="66">
        <f t="shared" si="51"/>
        <v>3</v>
      </c>
      <c r="B113" s="66">
        <f t="shared" si="52"/>
        <v>0</v>
      </c>
      <c r="C113" s="66" t="str">
        <f t="shared" si="53"/>
        <v/>
      </c>
      <c r="D113" s="66">
        <f t="shared" ref="D113:F113" si="76">D70</f>
        <v>0</v>
      </c>
      <c r="E113" s="145" t="str">
        <f t="shared" si="76"/>
        <v>水曜</v>
      </c>
      <c r="F113" s="145">
        <f t="shared" si="76"/>
        <v>22</v>
      </c>
      <c r="G113" s="142">
        <f>PJ工種集計!AG179</f>
        <v>0</v>
      </c>
    </row>
    <row r="114" spans="1:7">
      <c r="A114" s="66">
        <f t="shared" si="51"/>
        <v>3</v>
      </c>
      <c r="B114" s="66">
        <f t="shared" si="52"/>
        <v>0</v>
      </c>
      <c r="C114" s="66" t="str">
        <f t="shared" si="53"/>
        <v/>
      </c>
      <c r="D114" s="66">
        <f t="shared" ref="D114:F114" si="77">D71</f>
        <v>0</v>
      </c>
      <c r="E114" s="145" t="str">
        <f t="shared" si="77"/>
        <v>木曜</v>
      </c>
      <c r="F114" s="145">
        <f t="shared" si="77"/>
        <v>23</v>
      </c>
      <c r="G114" s="142">
        <f>PJ工種集計!AH179</f>
        <v>0</v>
      </c>
    </row>
    <row r="115" spans="1:7">
      <c r="A115" s="66">
        <f t="shared" si="51"/>
        <v>3</v>
      </c>
      <c r="B115" s="66">
        <f t="shared" si="52"/>
        <v>0</v>
      </c>
      <c r="C115" s="66" t="str">
        <f t="shared" si="53"/>
        <v/>
      </c>
      <c r="D115" s="66">
        <f t="shared" ref="D115:F115" si="78">D72</f>
        <v>0</v>
      </c>
      <c r="E115" s="145" t="str">
        <f t="shared" si="78"/>
        <v>金曜</v>
      </c>
      <c r="F115" s="145">
        <f t="shared" si="78"/>
        <v>24</v>
      </c>
      <c r="G115" s="142">
        <f>PJ工種集計!AI179</f>
        <v>0</v>
      </c>
    </row>
    <row r="116" spans="1:7">
      <c r="A116" s="66">
        <f t="shared" si="51"/>
        <v>3</v>
      </c>
      <c r="B116" s="66">
        <f t="shared" si="52"/>
        <v>0</v>
      </c>
      <c r="C116" s="66" t="str">
        <f t="shared" si="53"/>
        <v/>
      </c>
      <c r="D116" s="66">
        <f t="shared" ref="D116:F116" si="79">D73</f>
        <v>0</v>
      </c>
      <c r="E116" s="145" t="str">
        <f t="shared" si="79"/>
        <v>土曜</v>
      </c>
      <c r="F116" s="145">
        <f t="shared" si="79"/>
        <v>25</v>
      </c>
      <c r="G116" s="142">
        <f>PJ工種集計!AJ179</f>
        <v>0</v>
      </c>
    </row>
    <row r="117" spans="1:7">
      <c r="A117" s="66">
        <f t="shared" si="51"/>
        <v>3</v>
      </c>
      <c r="B117" s="66">
        <f t="shared" si="52"/>
        <v>0</v>
      </c>
      <c r="C117" s="66" t="str">
        <f t="shared" si="53"/>
        <v/>
      </c>
      <c r="D117" s="66">
        <f t="shared" ref="D117:F117" si="80">D74</f>
        <v>0</v>
      </c>
      <c r="E117" s="145" t="str">
        <f t="shared" si="80"/>
        <v>日曜</v>
      </c>
      <c r="F117" s="145">
        <f t="shared" si="80"/>
        <v>26</v>
      </c>
      <c r="G117" s="142">
        <f>PJ工種集計!AK179</f>
        <v>0</v>
      </c>
    </row>
    <row r="118" spans="1:7">
      <c r="A118" s="66">
        <f t="shared" si="51"/>
        <v>3</v>
      </c>
      <c r="B118" s="66">
        <f t="shared" si="52"/>
        <v>0</v>
      </c>
      <c r="C118" s="66" t="str">
        <f t="shared" si="53"/>
        <v/>
      </c>
      <c r="D118" s="66" t="str">
        <f t="shared" ref="D118:F118" si="81">D75</f>
        <v>5週</v>
      </c>
      <c r="E118" s="145" t="str">
        <f t="shared" si="81"/>
        <v>月曜</v>
      </c>
      <c r="F118" s="145">
        <f t="shared" si="81"/>
        <v>27</v>
      </c>
      <c r="G118" s="142">
        <f>PJ工種集計!AL179</f>
        <v>0</v>
      </c>
    </row>
    <row r="119" spans="1:7">
      <c r="A119" s="66">
        <f t="shared" si="51"/>
        <v>3</v>
      </c>
      <c r="B119" s="66">
        <f t="shared" si="52"/>
        <v>0</v>
      </c>
      <c r="C119" s="66" t="str">
        <f t="shared" si="53"/>
        <v/>
      </c>
      <c r="D119" s="66">
        <f t="shared" ref="D119:F119" si="82">D76</f>
        <v>0</v>
      </c>
      <c r="E119" s="145" t="str">
        <f t="shared" si="82"/>
        <v>火曜</v>
      </c>
      <c r="F119" s="145">
        <f t="shared" si="82"/>
        <v>28</v>
      </c>
      <c r="G119" s="142">
        <f>PJ工種集計!AM179</f>
        <v>0</v>
      </c>
    </row>
    <row r="120" spans="1:7">
      <c r="A120" s="66">
        <f t="shared" si="51"/>
        <v>3</v>
      </c>
      <c r="B120" s="66">
        <f t="shared" si="52"/>
        <v>0</v>
      </c>
      <c r="C120" s="66" t="str">
        <f t="shared" si="53"/>
        <v/>
      </c>
      <c r="D120" s="66">
        <f t="shared" ref="D120:F120" si="83">D77</f>
        <v>0</v>
      </c>
      <c r="E120" s="145" t="str">
        <f t="shared" si="83"/>
        <v>水曜</v>
      </c>
      <c r="F120" s="145">
        <f t="shared" si="83"/>
        <v>29</v>
      </c>
      <c r="G120" s="142">
        <f>PJ工種集計!AN179</f>
        <v>0</v>
      </c>
    </row>
    <row r="121" spans="1:7">
      <c r="A121" s="66">
        <f t="shared" si="51"/>
        <v>3</v>
      </c>
      <c r="B121" s="66">
        <f t="shared" si="52"/>
        <v>0</v>
      </c>
      <c r="C121" s="66" t="str">
        <f t="shared" si="53"/>
        <v/>
      </c>
      <c r="D121" s="66">
        <f t="shared" ref="D121:F121" si="84">D78</f>
        <v>0</v>
      </c>
      <c r="E121" s="145" t="str">
        <f t="shared" si="84"/>
        <v>木曜</v>
      </c>
      <c r="F121" s="145">
        <f t="shared" si="84"/>
        <v>30</v>
      </c>
      <c r="G121" s="142">
        <f>PJ工種集計!AO179</f>
        <v>0</v>
      </c>
    </row>
    <row r="122" spans="1:7">
      <c r="A122" s="66">
        <f t="shared" si="51"/>
        <v>3</v>
      </c>
      <c r="B122" s="66">
        <f t="shared" si="52"/>
        <v>0</v>
      </c>
      <c r="C122" s="66" t="str">
        <f t="shared" si="53"/>
        <v/>
      </c>
      <c r="D122" s="66">
        <f t="shared" ref="D122:F122" si="85">D79</f>
        <v>0</v>
      </c>
      <c r="E122" s="145" t="str">
        <f t="shared" si="85"/>
        <v>金曜</v>
      </c>
      <c r="F122" s="145">
        <f t="shared" si="85"/>
        <v>31</v>
      </c>
      <c r="G122" s="142">
        <f>PJ工種集計!AP179</f>
        <v>0</v>
      </c>
    </row>
    <row r="123" spans="1:7">
      <c r="A123" s="66">
        <f t="shared" si="51"/>
        <v>3</v>
      </c>
      <c r="B123" s="66">
        <f t="shared" si="52"/>
        <v>0</v>
      </c>
      <c r="C123" s="66" t="str">
        <f t="shared" si="53"/>
        <v/>
      </c>
      <c r="D123" s="66">
        <f t="shared" ref="D123:F123" si="86">D80</f>
        <v>0</v>
      </c>
      <c r="E123" s="145" t="str">
        <f t="shared" si="86"/>
        <v>土曜</v>
      </c>
      <c r="F123" s="145" t="str">
        <f t="shared" si="86"/>
        <v/>
      </c>
      <c r="G123" s="142">
        <f>PJ工種集計!AQ179</f>
        <v>0</v>
      </c>
    </row>
    <row r="124" spans="1:7">
      <c r="A124" s="66">
        <f t="shared" si="51"/>
        <v>3</v>
      </c>
      <c r="B124" s="66">
        <f t="shared" si="52"/>
        <v>0</v>
      </c>
      <c r="C124" s="66" t="str">
        <f t="shared" si="53"/>
        <v/>
      </c>
      <c r="D124" s="66">
        <f t="shared" ref="D124:F124" si="87">D81</f>
        <v>0</v>
      </c>
      <c r="E124" s="145" t="str">
        <f t="shared" si="87"/>
        <v>日曜</v>
      </c>
      <c r="F124" s="145" t="str">
        <f t="shared" si="87"/>
        <v/>
      </c>
      <c r="G124" s="142">
        <f>PJ工種集計!AR179</f>
        <v>0</v>
      </c>
    </row>
    <row r="125" spans="1:7">
      <c r="A125" s="66">
        <f t="shared" si="51"/>
        <v>3</v>
      </c>
      <c r="B125" s="66">
        <f t="shared" si="52"/>
        <v>0</v>
      </c>
      <c r="C125" s="66" t="str">
        <f t="shared" si="53"/>
        <v/>
      </c>
      <c r="D125" s="66" t="str">
        <f t="shared" ref="D125:F125" si="88">D82</f>
        <v>6週</v>
      </c>
      <c r="E125" s="145" t="str">
        <f t="shared" si="88"/>
        <v>月曜</v>
      </c>
      <c r="F125" s="145" t="str">
        <f t="shared" si="88"/>
        <v/>
      </c>
      <c r="G125" s="142">
        <f>PJ工種集計!AS179</f>
        <v>0</v>
      </c>
    </row>
    <row r="126" spans="1:7">
      <c r="A126" s="66">
        <f t="shared" si="51"/>
        <v>3</v>
      </c>
      <c r="B126" s="66">
        <f t="shared" si="52"/>
        <v>0</v>
      </c>
      <c r="C126" s="66" t="str">
        <f t="shared" si="53"/>
        <v/>
      </c>
      <c r="D126" s="66">
        <f t="shared" ref="D126:F126" si="89">D83</f>
        <v>0</v>
      </c>
      <c r="E126" s="145" t="str">
        <f t="shared" si="89"/>
        <v>火曜</v>
      </c>
      <c r="F126" s="145" t="str">
        <f t="shared" si="89"/>
        <v/>
      </c>
      <c r="G126" s="142">
        <f>PJ工種集計!AT179</f>
        <v>0</v>
      </c>
    </row>
    <row r="127" spans="1:7">
      <c r="A127" s="66">
        <f t="shared" si="51"/>
        <v>3</v>
      </c>
      <c r="B127" s="66">
        <f t="shared" si="52"/>
        <v>0</v>
      </c>
      <c r="C127" s="66" t="str">
        <f t="shared" si="53"/>
        <v/>
      </c>
      <c r="D127" s="66">
        <f t="shared" ref="D127:F127" si="90">D84</f>
        <v>0</v>
      </c>
      <c r="E127" s="145" t="str">
        <f t="shared" si="90"/>
        <v>水曜</v>
      </c>
      <c r="F127" s="145" t="str">
        <f t="shared" si="90"/>
        <v/>
      </c>
      <c r="G127" s="142">
        <f>PJ工種集計!AU179</f>
        <v>0</v>
      </c>
    </row>
    <row r="128" spans="1:7">
      <c r="A128" s="66">
        <f t="shared" si="51"/>
        <v>3</v>
      </c>
      <c r="B128" s="66">
        <f t="shared" si="52"/>
        <v>0</v>
      </c>
      <c r="C128" s="66" t="str">
        <f t="shared" si="53"/>
        <v/>
      </c>
      <c r="D128" s="66">
        <f t="shared" ref="D128:F128" si="91">D85</f>
        <v>0</v>
      </c>
      <c r="E128" s="145" t="str">
        <f t="shared" si="91"/>
        <v>木曜</v>
      </c>
      <c r="F128" s="145" t="str">
        <f t="shared" si="91"/>
        <v/>
      </c>
      <c r="G128" s="142">
        <f>PJ工種集計!AV179</f>
        <v>0</v>
      </c>
    </row>
    <row r="129" spans="1:7">
      <c r="A129" s="66">
        <f t="shared" si="51"/>
        <v>3</v>
      </c>
      <c r="B129" s="66">
        <f t="shared" si="52"/>
        <v>0</v>
      </c>
      <c r="C129" s="66" t="str">
        <f t="shared" si="53"/>
        <v/>
      </c>
      <c r="D129" s="66">
        <f t="shared" ref="D129:F129" si="92">D86</f>
        <v>0</v>
      </c>
      <c r="E129" s="145" t="str">
        <f t="shared" si="92"/>
        <v>金曜</v>
      </c>
      <c r="F129" s="145" t="str">
        <f t="shared" si="92"/>
        <v/>
      </c>
      <c r="G129" s="142">
        <f>PJ工種集計!AW179</f>
        <v>0</v>
      </c>
    </row>
    <row r="130" spans="1:7">
      <c r="A130" s="66">
        <f t="shared" si="51"/>
        <v>3</v>
      </c>
      <c r="B130" s="66">
        <f t="shared" si="52"/>
        <v>0</v>
      </c>
      <c r="C130" s="66" t="str">
        <f t="shared" si="53"/>
        <v/>
      </c>
      <c r="D130" s="66">
        <f t="shared" ref="D130:F130" si="93">D87</f>
        <v>0</v>
      </c>
      <c r="E130" s="145" t="str">
        <f t="shared" si="93"/>
        <v>土曜</v>
      </c>
      <c r="F130" s="145" t="str">
        <f t="shared" si="93"/>
        <v/>
      </c>
      <c r="G130" s="142">
        <f>PJ工種集計!AX179</f>
        <v>0</v>
      </c>
    </row>
    <row r="131" spans="1:7">
      <c r="A131" s="66">
        <f t="shared" si="51"/>
        <v>3</v>
      </c>
      <c r="B131" s="66">
        <f t="shared" si="52"/>
        <v>0</v>
      </c>
      <c r="C131" s="66" t="str">
        <f t="shared" si="53"/>
        <v/>
      </c>
      <c r="D131" s="66">
        <f t="shared" ref="D131:F131" si="94">D88</f>
        <v>0</v>
      </c>
      <c r="E131" s="145" t="str">
        <f t="shared" si="94"/>
        <v>日曜</v>
      </c>
      <c r="F131" s="145" t="str">
        <f t="shared" si="94"/>
        <v/>
      </c>
      <c r="G131" s="142">
        <f>PJ工種集計!AY179</f>
        <v>0</v>
      </c>
    </row>
    <row r="133" spans="1:7">
      <c r="A133" s="66">
        <f>PJ工種集計!A263</f>
        <v>4</v>
      </c>
      <c r="B133" s="66">
        <f>PJ工種集計!B263</f>
        <v>0</v>
      </c>
      <c r="C133" s="66" t="str">
        <f>PJ工種集計!C263</f>
        <v/>
      </c>
      <c r="D133" s="66" t="str">
        <f>D90</f>
        <v>１週</v>
      </c>
      <c r="E133" s="145" t="str">
        <f>E90</f>
        <v>月曜</v>
      </c>
      <c r="F133" s="145" t="str">
        <f>F90</f>
        <v/>
      </c>
      <c r="G133" s="142">
        <f>PJ工種集計!J264</f>
        <v>0</v>
      </c>
    </row>
    <row r="134" spans="1:7">
      <c r="A134" s="66">
        <f t="shared" ref="A134:A174" si="95">A133</f>
        <v>4</v>
      </c>
      <c r="B134" s="66">
        <f t="shared" ref="B134:B174" si="96">B133</f>
        <v>0</v>
      </c>
      <c r="C134" s="66" t="str">
        <f t="shared" ref="C134:C174" si="97">C133</f>
        <v/>
      </c>
      <c r="D134" s="66">
        <f t="shared" ref="D134:F134" si="98">D91</f>
        <v>0</v>
      </c>
      <c r="E134" s="145" t="str">
        <f t="shared" si="98"/>
        <v>火曜</v>
      </c>
      <c r="F134" s="145" t="str">
        <f t="shared" si="98"/>
        <v/>
      </c>
      <c r="G134" s="142">
        <f>PJ工種集計!K264</f>
        <v>0</v>
      </c>
    </row>
    <row r="135" spans="1:7">
      <c r="A135" s="66">
        <f t="shared" si="95"/>
        <v>4</v>
      </c>
      <c r="B135" s="66">
        <f t="shared" si="96"/>
        <v>0</v>
      </c>
      <c r="C135" s="66" t="str">
        <f t="shared" si="97"/>
        <v/>
      </c>
      <c r="D135" s="66">
        <f t="shared" ref="D135:F135" si="99">D92</f>
        <v>0</v>
      </c>
      <c r="E135" s="145" t="str">
        <f t="shared" si="99"/>
        <v>水曜</v>
      </c>
      <c r="F135" s="145">
        <f t="shared" si="99"/>
        <v>1</v>
      </c>
      <c r="G135" s="142">
        <f>PJ工種集計!L264</f>
        <v>0</v>
      </c>
    </row>
    <row r="136" spans="1:7">
      <c r="A136" s="66">
        <f t="shared" si="95"/>
        <v>4</v>
      </c>
      <c r="B136" s="66">
        <f t="shared" si="96"/>
        <v>0</v>
      </c>
      <c r="C136" s="66" t="str">
        <f t="shared" si="97"/>
        <v/>
      </c>
      <c r="D136" s="66">
        <f t="shared" ref="D136:F136" si="100">D93</f>
        <v>0</v>
      </c>
      <c r="E136" s="145" t="str">
        <f t="shared" si="100"/>
        <v>木曜</v>
      </c>
      <c r="F136" s="145">
        <f t="shared" si="100"/>
        <v>2</v>
      </c>
      <c r="G136" s="142">
        <f>PJ工種集計!M264</f>
        <v>0</v>
      </c>
    </row>
    <row r="137" spans="1:7">
      <c r="A137" s="66">
        <f t="shared" si="95"/>
        <v>4</v>
      </c>
      <c r="B137" s="66">
        <f t="shared" si="96"/>
        <v>0</v>
      </c>
      <c r="C137" s="66" t="str">
        <f t="shared" si="97"/>
        <v/>
      </c>
      <c r="D137" s="66">
        <f t="shared" ref="D137:F137" si="101">D94</f>
        <v>0</v>
      </c>
      <c r="E137" s="145" t="str">
        <f t="shared" si="101"/>
        <v>金曜</v>
      </c>
      <c r="F137" s="145">
        <f t="shared" si="101"/>
        <v>3</v>
      </c>
      <c r="G137" s="142">
        <f>PJ工種集計!N264</f>
        <v>0</v>
      </c>
    </row>
    <row r="138" spans="1:7">
      <c r="A138" s="66">
        <f t="shared" si="95"/>
        <v>4</v>
      </c>
      <c r="B138" s="66">
        <f t="shared" si="96"/>
        <v>0</v>
      </c>
      <c r="C138" s="66" t="str">
        <f t="shared" si="97"/>
        <v/>
      </c>
      <c r="D138" s="66">
        <f t="shared" ref="D138:F138" si="102">D95</f>
        <v>0</v>
      </c>
      <c r="E138" s="145" t="str">
        <f t="shared" si="102"/>
        <v>土曜</v>
      </c>
      <c r="F138" s="145">
        <f t="shared" si="102"/>
        <v>4</v>
      </c>
      <c r="G138" s="142">
        <f>PJ工種集計!O264</f>
        <v>0</v>
      </c>
    </row>
    <row r="139" spans="1:7">
      <c r="A139" s="66">
        <f t="shared" si="95"/>
        <v>4</v>
      </c>
      <c r="B139" s="66">
        <f t="shared" si="96"/>
        <v>0</v>
      </c>
      <c r="C139" s="66" t="str">
        <f t="shared" si="97"/>
        <v/>
      </c>
      <c r="D139" s="66">
        <f t="shared" ref="D139:F139" si="103">D96</f>
        <v>0</v>
      </c>
      <c r="E139" s="145" t="str">
        <f t="shared" si="103"/>
        <v>日曜</v>
      </c>
      <c r="F139" s="145">
        <f t="shared" si="103"/>
        <v>5</v>
      </c>
      <c r="G139" s="142">
        <f>PJ工種集計!P264</f>
        <v>0</v>
      </c>
    </row>
    <row r="140" spans="1:7">
      <c r="A140" s="66">
        <f t="shared" si="95"/>
        <v>4</v>
      </c>
      <c r="B140" s="66">
        <f t="shared" si="96"/>
        <v>0</v>
      </c>
      <c r="C140" s="66" t="str">
        <f t="shared" si="97"/>
        <v/>
      </c>
      <c r="D140" s="66" t="str">
        <f t="shared" ref="D140:F140" si="104">D97</f>
        <v>2週</v>
      </c>
      <c r="E140" s="145" t="str">
        <f t="shared" si="104"/>
        <v>月曜</v>
      </c>
      <c r="F140" s="145">
        <f t="shared" si="104"/>
        <v>6</v>
      </c>
      <c r="G140" s="142">
        <f>PJ工種集計!Q264</f>
        <v>0</v>
      </c>
    </row>
    <row r="141" spans="1:7">
      <c r="A141" s="66">
        <f t="shared" si="95"/>
        <v>4</v>
      </c>
      <c r="B141" s="66">
        <f t="shared" si="96"/>
        <v>0</v>
      </c>
      <c r="C141" s="66" t="str">
        <f t="shared" si="97"/>
        <v/>
      </c>
      <c r="D141" s="66">
        <f t="shared" ref="D141:F141" si="105">D98</f>
        <v>0</v>
      </c>
      <c r="E141" s="145" t="str">
        <f t="shared" si="105"/>
        <v>火曜</v>
      </c>
      <c r="F141" s="145">
        <f t="shared" si="105"/>
        <v>7</v>
      </c>
      <c r="G141" s="142">
        <f>PJ工種集計!R264</f>
        <v>0</v>
      </c>
    </row>
    <row r="142" spans="1:7">
      <c r="A142" s="66">
        <f t="shared" si="95"/>
        <v>4</v>
      </c>
      <c r="B142" s="66">
        <f t="shared" si="96"/>
        <v>0</v>
      </c>
      <c r="C142" s="66" t="str">
        <f t="shared" si="97"/>
        <v/>
      </c>
      <c r="D142" s="66">
        <f t="shared" ref="D142:F142" si="106">D99</f>
        <v>0</v>
      </c>
      <c r="E142" s="145" t="str">
        <f t="shared" si="106"/>
        <v>水曜</v>
      </c>
      <c r="F142" s="145">
        <f t="shared" si="106"/>
        <v>8</v>
      </c>
      <c r="G142" s="142">
        <f>PJ工種集計!S264</f>
        <v>0</v>
      </c>
    </row>
    <row r="143" spans="1:7">
      <c r="A143" s="66">
        <f t="shared" si="95"/>
        <v>4</v>
      </c>
      <c r="B143" s="66">
        <f t="shared" si="96"/>
        <v>0</v>
      </c>
      <c r="C143" s="66" t="str">
        <f t="shared" si="97"/>
        <v/>
      </c>
      <c r="D143" s="66">
        <f t="shared" ref="D143:F143" si="107">D100</f>
        <v>0</v>
      </c>
      <c r="E143" s="145" t="str">
        <f t="shared" si="107"/>
        <v>木曜</v>
      </c>
      <c r="F143" s="145">
        <f t="shared" si="107"/>
        <v>9</v>
      </c>
      <c r="G143" s="142">
        <f>PJ工種集計!T264</f>
        <v>0</v>
      </c>
    </row>
    <row r="144" spans="1:7">
      <c r="A144" s="66">
        <f t="shared" si="95"/>
        <v>4</v>
      </c>
      <c r="B144" s="66">
        <f t="shared" si="96"/>
        <v>0</v>
      </c>
      <c r="C144" s="66" t="str">
        <f t="shared" si="97"/>
        <v/>
      </c>
      <c r="D144" s="66">
        <f t="shared" ref="D144:F144" si="108">D101</f>
        <v>0</v>
      </c>
      <c r="E144" s="145" t="str">
        <f t="shared" si="108"/>
        <v>金曜</v>
      </c>
      <c r="F144" s="145">
        <f t="shared" si="108"/>
        <v>10</v>
      </c>
      <c r="G144" s="142">
        <f>PJ工種集計!U264</f>
        <v>0</v>
      </c>
    </row>
    <row r="145" spans="1:7">
      <c r="A145" s="66">
        <f t="shared" si="95"/>
        <v>4</v>
      </c>
      <c r="B145" s="66">
        <f t="shared" si="96"/>
        <v>0</v>
      </c>
      <c r="C145" s="66" t="str">
        <f t="shared" si="97"/>
        <v/>
      </c>
      <c r="D145" s="66">
        <f t="shared" ref="D145:F145" si="109">D102</f>
        <v>0</v>
      </c>
      <c r="E145" s="145" t="str">
        <f t="shared" si="109"/>
        <v>土曜</v>
      </c>
      <c r="F145" s="145">
        <f t="shared" si="109"/>
        <v>11</v>
      </c>
      <c r="G145" s="142">
        <f>PJ工種集計!V264</f>
        <v>0</v>
      </c>
    </row>
    <row r="146" spans="1:7">
      <c r="A146" s="66">
        <f t="shared" si="95"/>
        <v>4</v>
      </c>
      <c r="B146" s="66">
        <f t="shared" si="96"/>
        <v>0</v>
      </c>
      <c r="C146" s="66" t="str">
        <f t="shared" si="97"/>
        <v/>
      </c>
      <c r="D146" s="66">
        <f t="shared" ref="D146:F146" si="110">D103</f>
        <v>0</v>
      </c>
      <c r="E146" s="145" t="str">
        <f t="shared" si="110"/>
        <v>日曜</v>
      </c>
      <c r="F146" s="145">
        <f t="shared" si="110"/>
        <v>12</v>
      </c>
      <c r="G146" s="142">
        <f>PJ工種集計!W264</f>
        <v>0</v>
      </c>
    </row>
    <row r="147" spans="1:7">
      <c r="A147" s="66">
        <f t="shared" si="95"/>
        <v>4</v>
      </c>
      <c r="B147" s="66">
        <f t="shared" si="96"/>
        <v>0</v>
      </c>
      <c r="C147" s="66" t="str">
        <f t="shared" si="97"/>
        <v/>
      </c>
      <c r="D147" s="66" t="str">
        <f t="shared" ref="D147:F147" si="111">D104</f>
        <v>3週</v>
      </c>
      <c r="E147" s="145" t="str">
        <f t="shared" si="111"/>
        <v>月曜</v>
      </c>
      <c r="F147" s="145">
        <f t="shared" si="111"/>
        <v>13</v>
      </c>
      <c r="G147" s="142">
        <f>PJ工種集計!X264</f>
        <v>0</v>
      </c>
    </row>
    <row r="148" spans="1:7">
      <c r="A148" s="66">
        <f t="shared" si="95"/>
        <v>4</v>
      </c>
      <c r="B148" s="66">
        <f t="shared" si="96"/>
        <v>0</v>
      </c>
      <c r="C148" s="66" t="str">
        <f t="shared" si="97"/>
        <v/>
      </c>
      <c r="D148" s="66">
        <f t="shared" ref="D148:F148" si="112">D105</f>
        <v>0</v>
      </c>
      <c r="E148" s="145" t="str">
        <f t="shared" si="112"/>
        <v>火曜</v>
      </c>
      <c r="F148" s="145">
        <f t="shared" si="112"/>
        <v>14</v>
      </c>
      <c r="G148" s="142">
        <f>PJ工種集計!Y264</f>
        <v>0</v>
      </c>
    </row>
    <row r="149" spans="1:7">
      <c r="A149" s="66">
        <f t="shared" si="95"/>
        <v>4</v>
      </c>
      <c r="B149" s="66">
        <f t="shared" si="96"/>
        <v>0</v>
      </c>
      <c r="C149" s="66" t="str">
        <f t="shared" si="97"/>
        <v/>
      </c>
      <c r="D149" s="66">
        <f t="shared" ref="D149:F149" si="113">D106</f>
        <v>0</v>
      </c>
      <c r="E149" s="145" t="str">
        <f t="shared" si="113"/>
        <v>水曜</v>
      </c>
      <c r="F149" s="145">
        <f t="shared" si="113"/>
        <v>15</v>
      </c>
      <c r="G149" s="142">
        <f>PJ工種集計!Z264</f>
        <v>0</v>
      </c>
    </row>
    <row r="150" spans="1:7">
      <c r="A150" s="66">
        <f t="shared" si="95"/>
        <v>4</v>
      </c>
      <c r="B150" s="66">
        <f t="shared" si="96"/>
        <v>0</v>
      </c>
      <c r="C150" s="66" t="str">
        <f t="shared" si="97"/>
        <v/>
      </c>
      <c r="D150" s="66">
        <f t="shared" ref="D150:F150" si="114">D107</f>
        <v>0</v>
      </c>
      <c r="E150" s="145" t="str">
        <f t="shared" si="114"/>
        <v>木曜</v>
      </c>
      <c r="F150" s="145">
        <f t="shared" si="114"/>
        <v>16</v>
      </c>
      <c r="G150" s="142">
        <f>PJ工種集計!AA264</f>
        <v>0</v>
      </c>
    </row>
    <row r="151" spans="1:7">
      <c r="A151" s="66">
        <f t="shared" si="95"/>
        <v>4</v>
      </c>
      <c r="B151" s="66">
        <f t="shared" si="96"/>
        <v>0</v>
      </c>
      <c r="C151" s="66" t="str">
        <f t="shared" si="97"/>
        <v/>
      </c>
      <c r="D151" s="66">
        <f t="shared" ref="D151:F151" si="115">D108</f>
        <v>0</v>
      </c>
      <c r="E151" s="145" t="str">
        <f t="shared" si="115"/>
        <v>金曜</v>
      </c>
      <c r="F151" s="145">
        <f t="shared" si="115"/>
        <v>17</v>
      </c>
      <c r="G151" s="142">
        <f>PJ工種集計!AB264</f>
        <v>0</v>
      </c>
    </row>
    <row r="152" spans="1:7">
      <c r="A152" s="66">
        <f t="shared" si="95"/>
        <v>4</v>
      </c>
      <c r="B152" s="66">
        <f t="shared" si="96"/>
        <v>0</v>
      </c>
      <c r="C152" s="66" t="str">
        <f t="shared" si="97"/>
        <v/>
      </c>
      <c r="D152" s="66">
        <f t="shared" ref="D152:F152" si="116">D109</f>
        <v>0</v>
      </c>
      <c r="E152" s="145" t="str">
        <f t="shared" si="116"/>
        <v>土曜</v>
      </c>
      <c r="F152" s="145">
        <f t="shared" si="116"/>
        <v>18</v>
      </c>
      <c r="G152" s="142">
        <f>PJ工種集計!AC264</f>
        <v>0</v>
      </c>
    </row>
    <row r="153" spans="1:7">
      <c r="A153" s="66">
        <f t="shared" si="95"/>
        <v>4</v>
      </c>
      <c r="B153" s="66">
        <f t="shared" si="96"/>
        <v>0</v>
      </c>
      <c r="C153" s="66" t="str">
        <f t="shared" si="97"/>
        <v/>
      </c>
      <c r="D153" s="66">
        <f t="shared" ref="D153:F153" si="117">D110</f>
        <v>0</v>
      </c>
      <c r="E153" s="145" t="str">
        <f t="shared" si="117"/>
        <v>日曜</v>
      </c>
      <c r="F153" s="145">
        <f t="shared" si="117"/>
        <v>19</v>
      </c>
      <c r="G153" s="142">
        <f>PJ工種集計!AD264</f>
        <v>0</v>
      </c>
    </row>
    <row r="154" spans="1:7">
      <c r="A154" s="66">
        <f t="shared" si="95"/>
        <v>4</v>
      </c>
      <c r="B154" s="66">
        <f t="shared" si="96"/>
        <v>0</v>
      </c>
      <c r="C154" s="66" t="str">
        <f t="shared" si="97"/>
        <v/>
      </c>
      <c r="D154" s="66" t="str">
        <f t="shared" ref="D154:F154" si="118">D111</f>
        <v>4週</v>
      </c>
      <c r="E154" s="145" t="str">
        <f t="shared" si="118"/>
        <v>月曜</v>
      </c>
      <c r="F154" s="145">
        <f t="shared" si="118"/>
        <v>20</v>
      </c>
      <c r="G154" s="142">
        <f>PJ工種集計!AE264</f>
        <v>0</v>
      </c>
    </row>
    <row r="155" spans="1:7">
      <c r="A155" s="66">
        <f t="shared" si="95"/>
        <v>4</v>
      </c>
      <c r="B155" s="66">
        <f t="shared" si="96"/>
        <v>0</v>
      </c>
      <c r="C155" s="66" t="str">
        <f t="shared" si="97"/>
        <v/>
      </c>
      <c r="D155" s="66">
        <f t="shared" ref="D155:F155" si="119">D112</f>
        <v>0</v>
      </c>
      <c r="E155" s="145" t="str">
        <f t="shared" si="119"/>
        <v>火曜</v>
      </c>
      <c r="F155" s="145">
        <f t="shared" si="119"/>
        <v>21</v>
      </c>
      <c r="G155" s="142">
        <f>PJ工種集計!AF264</f>
        <v>0</v>
      </c>
    </row>
    <row r="156" spans="1:7">
      <c r="A156" s="66">
        <f t="shared" si="95"/>
        <v>4</v>
      </c>
      <c r="B156" s="66">
        <f t="shared" si="96"/>
        <v>0</v>
      </c>
      <c r="C156" s="66" t="str">
        <f t="shared" si="97"/>
        <v/>
      </c>
      <c r="D156" s="66">
        <f t="shared" ref="D156:F156" si="120">D113</f>
        <v>0</v>
      </c>
      <c r="E156" s="145" t="str">
        <f t="shared" si="120"/>
        <v>水曜</v>
      </c>
      <c r="F156" s="145">
        <f t="shared" si="120"/>
        <v>22</v>
      </c>
      <c r="G156" s="142">
        <f>PJ工種集計!AG264</f>
        <v>0</v>
      </c>
    </row>
    <row r="157" spans="1:7">
      <c r="A157" s="66">
        <f t="shared" si="95"/>
        <v>4</v>
      </c>
      <c r="B157" s="66">
        <f t="shared" si="96"/>
        <v>0</v>
      </c>
      <c r="C157" s="66" t="str">
        <f t="shared" si="97"/>
        <v/>
      </c>
      <c r="D157" s="66">
        <f t="shared" ref="D157:F157" si="121">D114</f>
        <v>0</v>
      </c>
      <c r="E157" s="145" t="str">
        <f t="shared" si="121"/>
        <v>木曜</v>
      </c>
      <c r="F157" s="145">
        <f t="shared" si="121"/>
        <v>23</v>
      </c>
      <c r="G157" s="142">
        <f>PJ工種集計!AH264</f>
        <v>0</v>
      </c>
    </row>
    <row r="158" spans="1:7">
      <c r="A158" s="66">
        <f t="shared" si="95"/>
        <v>4</v>
      </c>
      <c r="B158" s="66">
        <f t="shared" si="96"/>
        <v>0</v>
      </c>
      <c r="C158" s="66" t="str">
        <f t="shared" si="97"/>
        <v/>
      </c>
      <c r="D158" s="66">
        <f t="shared" ref="D158:F158" si="122">D115</f>
        <v>0</v>
      </c>
      <c r="E158" s="145" t="str">
        <f t="shared" si="122"/>
        <v>金曜</v>
      </c>
      <c r="F158" s="145">
        <f t="shared" si="122"/>
        <v>24</v>
      </c>
      <c r="G158" s="142">
        <f>PJ工種集計!AI264</f>
        <v>0</v>
      </c>
    </row>
    <row r="159" spans="1:7">
      <c r="A159" s="66">
        <f t="shared" si="95"/>
        <v>4</v>
      </c>
      <c r="B159" s="66">
        <f t="shared" si="96"/>
        <v>0</v>
      </c>
      <c r="C159" s="66" t="str">
        <f t="shared" si="97"/>
        <v/>
      </c>
      <c r="D159" s="66">
        <f t="shared" ref="D159:F159" si="123">D116</f>
        <v>0</v>
      </c>
      <c r="E159" s="145" t="str">
        <f t="shared" si="123"/>
        <v>土曜</v>
      </c>
      <c r="F159" s="145">
        <f t="shared" si="123"/>
        <v>25</v>
      </c>
      <c r="G159" s="142">
        <f>PJ工種集計!AJ264</f>
        <v>0</v>
      </c>
    </row>
    <row r="160" spans="1:7">
      <c r="A160" s="66">
        <f t="shared" si="95"/>
        <v>4</v>
      </c>
      <c r="B160" s="66">
        <f t="shared" si="96"/>
        <v>0</v>
      </c>
      <c r="C160" s="66" t="str">
        <f t="shared" si="97"/>
        <v/>
      </c>
      <c r="D160" s="66">
        <f t="shared" ref="D160:F160" si="124">D117</f>
        <v>0</v>
      </c>
      <c r="E160" s="145" t="str">
        <f t="shared" si="124"/>
        <v>日曜</v>
      </c>
      <c r="F160" s="145">
        <f t="shared" si="124"/>
        <v>26</v>
      </c>
      <c r="G160" s="142">
        <f>PJ工種集計!AK264</f>
        <v>0</v>
      </c>
    </row>
    <row r="161" spans="1:7">
      <c r="A161" s="66">
        <f t="shared" si="95"/>
        <v>4</v>
      </c>
      <c r="B161" s="66">
        <f t="shared" si="96"/>
        <v>0</v>
      </c>
      <c r="C161" s="66" t="str">
        <f t="shared" si="97"/>
        <v/>
      </c>
      <c r="D161" s="66" t="str">
        <f t="shared" ref="D161:F161" si="125">D118</f>
        <v>5週</v>
      </c>
      <c r="E161" s="145" t="str">
        <f t="shared" si="125"/>
        <v>月曜</v>
      </c>
      <c r="F161" s="145">
        <f t="shared" si="125"/>
        <v>27</v>
      </c>
      <c r="G161" s="142">
        <f>PJ工種集計!AL264</f>
        <v>0</v>
      </c>
    </row>
    <row r="162" spans="1:7">
      <c r="A162" s="66">
        <f t="shared" si="95"/>
        <v>4</v>
      </c>
      <c r="B162" s="66">
        <f t="shared" si="96"/>
        <v>0</v>
      </c>
      <c r="C162" s="66" t="str">
        <f t="shared" si="97"/>
        <v/>
      </c>
      <c r="D162" s="66">
        <f t="shared" ref="D162:F162" si="126">D119</f>
        <v>0</v>
      </c>
      <c r="E162" s="145" t="str">
        <f t="shared" si="126"/>
        <v>火曜</v>
      </c>
      <c r="F162" s="145">
        <f t="shared" si="126"/>
        <v>28</v>
      </c>
      <c r="G162" s="142">
        <f>PJ工種集計!AM264</f>
        <v>0</v>
      </c>
    </row>
    <row r="163" spans="1:7">
      <c r="A163" s="66">
        <f t="shared" si="95"/>
        <v>4</v>
      </c>
      <c r="B163" s="66">
        <f t="shared" si="96"/>
        <v>0</v>
      </c>
      <c r="C163" s="66" t="str">
        <f t="shared" si="97"/>
        <v/>
      </c>
      <c r="D163" s="66">
        <f t="shared" ref="D163:F163" si="127">D120</f>
        <v>0</v>
      </c>
      <c r="E163" s="145" t="str">
        <f t="shared" si="127"/>
        <v>水曜</v>
      </c>
      <c r="F163" s="145">
        <f t="shared" si="127"/>
        <v>29</v>
      </c>
      <c r="G163" s="142">
        <f>PJ工種集計!AN264</f>
        <v>0</v>
      </c>
    </row>
    <row r="164" spans="1:7">
      <c r="A164" s="66">
        <f t="shared" si="95"/>
        <v>4</v>
      </c>
      <c r="B164" s="66">
        <f t="shared" si="96"/>
        <v>0</v>
      </c>
      <c r="C164" s="66" t="str">
        <f t="shared" si="97"/>
        <v/>
      </c>
      <c r="D164" s="66">
        <f t="shared" ref="D164:F164" si="128">D121</f>
        <v>0</v>
      </c>
      <c r="E164" s="145" t="str">
        <f t="shared" si="128"/>
        <v>木曜</v>
      </c>
      <c r="F164" s="145">
        <f t="shared" si="128"/>
        <v>30</v>
      </c>
      <c r="G164" s="142">
        <f>PJ工種集計!AO264</f>
        <v>0</v>
      </c>
    </row>
    <row r="165" spans="1:7">
      <c r="A165" s="66">
        <f t="shared" si="95"/>
        <v>4</v>
      </c>
      <c r="B165" s="66">
        <f t="shared" si="96"/>
        <v>0</v>
      </c>
      <c r="C165" s="66" t="str">
        <f t="shared" si="97"/>
        <v/>
      </c>
      <c r="D165" s="66">
        <f t="shared" ref="D165:F165" si="129">D122</f>
        <v>0</v>
      </c>
      <c r="E165" s="145" t="str">
        <f t="shared" si="129"/>
        <v>金曜</v>
      </c>
      <c r="F165" s="145">
        <f t="shared" si="129"/>
        <v>31</v>
      </c>
      <c r="G165" s="142">
        <f>PJ工種集計!AP264</f>
        <v>0</v>
      </c>
    </row>
    <row r="166" spans="1:7">
      <c r="A166" s="66">
        <f t="shared" si="95"/>
        <v>4</v>
      </c>
      <c r="B166" s="66">
        <f t="shared" si="96"/>
        <v>0</v>
      </c>
      <c r="C166" s="66" t="str">
        <f t="shared" si="97"/>
        <v/>
      </c>
      <c r="D166" s="66">
        <f t="shared" ref="D166:F166" si="130">D123</f>
        <v>0</v>
      </c>
      <c r="E166" s="145" t="str">
        <f t="shared" si="130"/>
        <v>土曜</v>
      </c>
      <c r="F166" s="145" t="str">
        <f t="shared" si="130"/>
        <v/>
      </c>
      <c r="G166" s="142">
        <f>PJ工種集計!AQ264</f>
        <v>0</v>
      </c>
    </row>
    <row r="167" spans="1:7">
      <c r="A167" s="66">
        <f t="shared" si="95"/>
        <v>4</v>
      </c>
      <c r="B167" s="66">
        <f t="shared" si="96"/>
        <v>0</v>
      </c>
      <c r="C167" s="66" t="str">
        <f t="shared" si="97"/>
        <v/>
      </c>
      <c r="D167" s="66">
        <f t="shared" ref="D167:F167" si="131">D124</f>
        <v>0</v>
      </c>
      <c r="E167" s="145" t="str">
        <f t="shared" si="131"/>
        <v>日曜</v>
      </c>
      <c r="F167" s="145" t="str">
        <f t="shared" si="131"/>
        <v/>
      </c>
      <c r="G167" s="142">
        <f>PJ工種集計!AR264</f>
        <v>0</v>
      </c>
    </row>
    <row r="168" spans="1:7">
      <c r="A168" s="66">
        <f t="shared" si="95"/>
        <v>4</v>
      </c>
      <c r="B168" s="66">
        <f t="shared" si="96"/>
        <v>0</v>
      </c>
      <c r="C168" s="66" t="str">
        <f t="shared" si="97"/>
        <v/>
      </c>
      <c r="D168" s="66" t="str">
        <f t="shared" ref="D168:F168" si="132">D125</f>
        <v>6週</v>
      </c>
      <c r="E168" s="145" t="str">
        <f t="shared" si="132"/>
        <v>月曜</v>
      </c>
      <c r="F168" s="145" t="str">
        <f t="shared" si="132"/>
        <v/>
      </c>
      <c r="G168" s="142">
        <f>PJ工種集計!AS264</f>
        <v>0</v>
      </c>
    </row>
    <row r="169" spans="1:7">
      <c r="A169" s="66">
        <f t="shared" si="95"/>
        <v>4</v>
      </c>
      <c r="B169" s="66">
        <f t="shared" si="96"/>
        <v>0</v>
      </c>
      <c r="C169" s="66" t="str">
        <f t="shared" si="97"/>
        <v/>
      </c>
      <c r="D169" s="66">
        <f t="shared" ref="D169:F169" si="133">D126</f>
        <v>0</v>
      </c>
      <c r="E169" s="145" t="str">
        <f t="shared" si="133"/>
        <v>火曜</v>
      </c>
      <c r="F169" s="145" t="str">
        <f t="shared" si="133"/>
        <v/>
      </c>
      <c r="G169" s="142">
        <f>PJ工種集計!AT264</f>
        <v>0</v>
      </c>
    </row>
    <row r="170" spans="1:7">
      <c r="A170" s="66">
        <f t="shared" si="95"/>
        <v>4</v>
      </c>
      <c r="B170" s="66">
        <f t="shared" si="96"/>
        <v>0</v>
      </c>
      <c r="C170" s="66" t="str">
        <f t="shared" si="97"/>
        <v/>
      </c>
      <c r="D170" s="66">
        <f t="shared" ref="D170:F170" si="134">D127</f>
        <v>0</v>
      </c>
      <c r="E170" s="145" t="str">
        <f t="shared" si="134"/>
        <v>水曜</v>
      </c>
      <c r="F170" s="145" t="str">
        <f t="shared" si="134"/>
        <v/>
      </c>
      <c r="G170" s="142">
        <f>PJ工種集計!AU264</f>
        <v>0</v>
      </c>
    </row>
    <row r="171" spans="1:7">
      <c r="A171" s="66">
        <f t="shared" si="95"/>
        <v>4</v>
      </c>
      <c r="B171" s="66">
        <f t="shared" si="96"/>
        <v>0</v>
      </c>
      <c r="C171" s="66" t="str">
        <f t="shared" si="97"/>
        <v/>
      </c>
      <c r="D171" s="66">
        <f t="shared" ref="D171:F171" si="135">D128</f>
        <v>0</v>
      </c>
      <c r="E171" s="145" t="str">
        <f t="shared" si="135"/>
        <v>木曜</v>
      </c>
      <c r="F171" s="145" t="str">
        <f t="shared" si="135"/>
        <v/>
      </c>
      <c r="G171" s="142">
        <f>PJ工種集計!AV264</f>
        <v>0</v>
      </c>
    </row>
    <row r="172" spans="1:7">
      <c r="A172" s="66">
        <f t="shared" si="95"/>
        <v>4</v>
      </c>
      <c r="B172" s="66">
        <f t="shared" si="96"/>
        <v>0</v>
      </c>
      <c r="C172" s="66" t="str">
        <f t="shared" si="97"/>
        <v/>
      </c>
      <c r="D172" s="66">
        <f t="shared" ref="D172:F172" si="136">D129</f>
        <v>0</v>
      </c>
      <c r="E172" s="145" t="str">
        <f t="shared" si="136"/>
        <v>金曜</v>
      </c>
      <c r="F172" s="145" t="str">
        <f t="shared" si="136"/>
        <v/>
      </c>
      <c r="G172" s="142">
        <f>PJ工種集計!AW264</f>
        <v>0</v>
      </c>
    </row>
    <row r="173" spans="1:7">
      <c r="A173" s="66">
        <f t="shared" si="95"/>
        <v>4</v>
      </c>
      <c r="B173" s="66">
        <f t="shared" si="96"/>
        <v>0</v>
      </c>
      <c r="C173" s="66" t="str">
        <f t="shared" si="97"/>
        <v/>
      </c>
      <c r="D173" s="66">
        <f t="shared" ref="D173:F173" si="137">D130</f>
        <v>0</v>
      </c>
      <c r="E173" s="145" t="str">
        <f t="shared" si="137"/>
        <v>土曜</v>
      </c>
      <c r="F173" s="145" t="str">
        <f t="shared" si="137"/>
        <v/>
      </c>
      <c r="G173" s="142">
        <f>PJ工種集計!AX264</f>
        <v>0</v>
      </c>
    </row>
    <row r="174" spans="1:7">
      <c r="A174" s="66">
        <f t="shared" si="95"/>
        <v>4</v>
      </c>
      <c r="B174" s="66">
        <f t="shared" si="96"/>
        <v>0</v>
      </c>
      <c r="C174" s="66" t="str">
        <f t="shared" si="97"/>
        <v/>
      </c>
      <c r="D174" s="66">
        <f t="shared" ref="D174:F174" si="138">D131</f>
        <v>0</v>
      </c>
      <c r="E174" s="145" t="str">
        <f t="shared" si="138"/>
        <v>日曜</v>
      </c>
      <c r="F174" s="145" t="str">
        <f t="shared" si="138"/>
        <v/>
      </c>
      <c r="G174" s="142">
        <f>PJ工種集計!AY264</f>
        <v>0</v>
      </c>
    </row>
    <row r="176" spans="1:7">
      <c r="A176" s="66">
        <f>PJ工種集計!A348</f>
        <v>5</v>
      </c>
      <c r="B176" s="66">
        <f>PJ工種集計!B348</f>
        <v>0</v>
      </c>
      <c r="C176" s="66" t="str">
        <f>PJ工種集計!C348</f>
        <v/>
      </c>
      <c r="D176" s="66" t="str">
        <f>D133</f>
        <v>１週</v>
      </c>
      <c r="E176" s="145" t="str">
        <f>E133</f>
        <v>月曜</v>
      </c>
      <c r="F176" s="145" t="str">
        <f>F133</f>
        <v/>
      </c>
      <c r="G176" s="142">
        <f>PJ工種集計!J349</f>
        <v>0</v>
      </c>
    </row>
    <row r="177" spans="1:7">
      <c r="A177" s="66">
        <f t="shared" ref="A177:A217" si="139">A176</f>
        <v>5</v>
      </c>
      <c r="B177" s="66">
        <f t="shared" ref="B177:B217" si="140">B176</f>
        <v>0</v>
      </c>
      <c r="C177" s="66" t="str">
        <f t="shared" ref="C177:C217" si="141">C176</f>
        <v/>
      </c>
      <c r="D177" s="66">
        <f t="shared" ref="D177:F177" si="142">D134</f>
        <v>0</v>
      </c>
      <c r="E177" s="145" t="str">
        <f t="shared" si="142"/>
        <v>火曜</v>
      </c>
      <c r="F177" s="145" t="str">
        <f t="shared" si="142"/>
        <v/>
      </c>
      <c r="G177" s="142">
        <f>PJ工種集計!K349</f>
        <v>0</v>
      </c>
    </row>
    <row r="178" spans="1:7">
      <c r="A178" s="66">
        <f t="shared" si="139"/>
        <v>5</v>
      </c>
      <c r="B178" s="66">
        <f t="shared" si="140"/>
        <v>0</v>
      </c>
      <c r="C178" s="66" t="str">
        <f t="shared" si="141"/>
        <v/>
      </c>
      <c r="D178" s="66">
        <f t="shared" ref="D178:F178" si="143">D135</f>
        <v>0</v>
      </c>
      <c r="E178" s="145" t="str">
        <f t="shared" si="143"/>
        <v>水曜</v>
      </c>
      <c r="F178" s="145">
        <f t="shared" si="143"/>
        <v>1</v>
      </c>
      <c r="G178" s="142">
        <f>PJ工種集計!L349</f>
        <v>0</v>
      </c>
    </row>
    <row r="179" spans="1:7">
      <c r="A179" s="66">
        <f t="shared" si="139"/>
        <v>5</v>
      </c>
      <c r="B179" s="66">
        <f t="shared" si="140"/>
        <v>0</v>
      </c>
      <c r="C179" s="66" t="str">
        <f t="shared" si="141"/>
        <v/>
      </c>
      <c r="D179" s="66">
        <f t="shared" ref="D179:F179" si="144">D136</f>
        <v>0</v>
      </c>
      <c r="E179" s="145" t="str">
        <f t="shared" si="144"/>
        <v>木曜</v>
      </c>
      <c r="F179" s="145">
        <f t="shared" si="144"/>
        <v>2</v>
      </c>
      <c r="G179" s="142">
        <f>PJ工種集計!M349</f>
        <v>0</v>
      </c>
    </row>
    <row r="180" spans="1:7">
      <c r="A180" s="66">
        <f t="shared" si="139"/>
        <v>5</v>
      </c>
      <c r="B180" s="66">
        <f t="shared" si="140"/>
        <v>0</v>
      </c>
      <c r="C180" s="66" t="str">
        <f t="shared" si="141"/>
        <v/>
      </c>
      <c r="D180" s="66">
        <f t="shared" ref="D180:F180" si="145">D137</f>
        <v>0</v>
      </c>
      <c r="E180" s="145" t="str">
        <f t="shared" si="145"/>
        <v>金曜</v>
      </c>
      <c r="F180" s="145">
        <f t="shared" si="145"/>
        <v>3</v>
      </c>
      <c r="G180" s="142">
        <f>PJ工種集計!N349</f>
        <v>0</v>
      </c>
    </row>
    <row r="181" spans="1:7">
      <c r="A181" s="66">
        <f t="shared" si="139"/>
        <v>5</v>
      </c>
      <c r="B181" s="66">
        <f t="shared" si="140"/>
        <v>0</v>
      </c>
      <c r="C181" s="66" t="str">
        <f t="shared" si="141"/>
        <v/>
      </c>
      <c r="D181" s="66">
        <f t="shared" ref="D181:F181" si="146">D138</f>
        <v>0</v>
      </c>
      <c r="E181" s="145" t="str">
        <f t="shared" si="146"/>
        <v>土曜</v>
      </c>
      <c r="F181" s="145">
        <f t="shared" si="146"/>
        <v>4</v>
      </c>
      <c r="G181" s="142">
        <f>PJ工種集計!O349</f>
        <v>0</v>
      </c>
    </row>
    <row r="182" spans="1:7">
      <c r="A182" s="66">
        <f t="shared" si="139"/>
        <v>5</v>
      </c>
      <c r="B182" s="66">
        <f t="shared" si="140"/>
        <v>0</v>
      </c>
      <c r="C182" s="66" t="str">
        <f t="shared" si="141"/>
        <v/>
      </c>
      <c r="D182" s="66">
        <f t="shared" ref="D182:F182" si="147">D139</f>
        <v>0</v>
      </c>
      <c r="E182" s="145" t="str">
        <f t="shared" si="147"/>
        <v>日曜</v>
      </c>
      <c r="F182" s="145">
        <f t="shared" si="147"/>
        <v>5</v>
      </c>
      <c r="G182" s="142">
        <f>PJ工種集計!P349</f>
        <v>0</v>
      </c>
    </row>
    <row r="183" spans="1:7">
      <c r="A183" s="66">
        <f t="shared" si="139"/>
        <v>5</v>
      </c>
      <c r="B183" s="66">
        <f t="shared" si="140"/>
        <v>0</v>
      </c>
      <c r="C183" s="66" t="str">
        <f t="shared" si="141"/>
        <v/>
      </c>
      <c r="D183" s="66" t="str">
        <f t="shared" ref="D183:F183" si="148">D140</f>
        <v>2週</v>
      </c>
      <c r="E183" s="145" t="str">
        <f t="shared" si="148"/>
        <v>月曜</v>
      </c>
      <c r="F183" s="145">
        <f t="shared" si="148"/>
        <v>6</v>
      </c>
      <c r="G183" s="142">
        <f>PJ工種集計!Q349</f>
        <v>0</v>
      </c>
    </row>
    <row r="184" spans="1:7">
      <c r="A184" s="66">
        <f t="shared" si="139"/>
        <v>5</v>
      </c>
      <c r="B184" s="66">
        <f t="shared" si="140"/>
        <v>0</v>
      </c>
      <c r="C184" s="66" t="str">
        <f t="shared" si="141"/>
        <v/>
      </c>
      <c r="D184" s="66">
        <f t="shared" ref="D184:F184" si="149">D141</f>
        <v>0</v>
      </c>
      <c r="E184" s="145" t="str">
        <f t="shared" si="149"/>
        <v>火曜</v>
      </c>
      <c r="F184" s="145">
        <f t="shared" si="149"/>
        <v>7</v>
      </c>
      <c r="G184" s="142">
        <f>PJ工種集計!R349</f>
        <v>0</v>
      </c>
    </row>
    <row r="185" spans="1:7">
      <c r="A185" s="66">
        <f t="shared" si="139"/>
        <v>5</v>
      </c>
      <c r="B185" s="66">
        <f t="shared" si="140"/>
        <v>0</v>
      </c>
      <c r="C185" s="66" t="str">
        <f t="shared" si="141"/>
        <v/>
      </c>
      <c r="D185" s="66">
        <f t="shared" ref="D185:F185" si="150">D142</f>
        <v>0</v>
      </c>
      <c r="E185" s="145" t="str">
        <f t="shared" si="150"/>
        <v>水曜</v>
      </c>
      <c r="F185" s="145">
        <f t="shared" si="150"/>
        <v>8</v>
      </c>
      <c r="G185" s="142">
        <f>PJ工種集計!S349</f>
        <v>0</v>
      </c>
    </row>
    <row r="186" spans="1:7">
      <c r="A186" s="66">
        <f t="shared" si="139"/>
        <v>5</v>
      </c>
      <c r="B186" s="66">
        <f t="shared" si="140"/>
        <v>0</v>
      </c>
      <c r="C186" s="66" t="str">
        <f t="shared" si="141"/>
        <v/>
      </c>
      <c r="D186" s="66">
        <f t="shared" ref="D186:F186" si="151">D143</f>
        <v>0</v>
      </c>
      <c r="E186" s="145" t="str">
        <f t="shared" si="151"/>
        <v>木曜</v>
      </c>
      <c r="F186" s="145">
        <f t="shared" si="151"/>
        <v>9</v>
      </c>
      <c r="G186" s="142">
        <f>PJ工種集計!T349</f>
        <v>0</v>
      </c>
    </row>
    <row r="187" spans="1:7">
      <c r="A187" s="66">
        <f t="shared" si="139"/>
        <v>5</v>
      </c>
      <c r="B187" s="66">
        <f t="shared" si="140"/>
        <v>0</v>
      </c>
      <c r="C187" s="66" t="str">
        <f t="shared" si="141"/>
        <v/>
      </c>
      <c r="D187" s="66">
        <f t="shared" ref="D187:F187" si="152">D144</f>
        <v>0</v>
      </c>
      <c r="E187" s="145" t="str">
        <f t="shared" si="152"/>
        <v>金曜</v>
      </c>
      <c r="F187" s="145">
        <f t="shared" si="152"/>
        <v>10</v>
      </c>
      <c r="G187" s="142">
        <f>PJ工種集計!U349</f>
        <v>0</v>
      </c>
    </row>
    <row r="188" spans="1:7">
      <c r="A188" s="66">
        <f t="shared" si="139"/>
        <v>5</v>
      </c>
      <c r="B188" s="66">
        <f t="shared" si="140"/>
        <v>0</v>
      </c>
      <c r="C188" s="66" t="str">
        <f t="shared" si="141"/>
        <v/>
      </c>
      <c r="D188" s="66">
        <f t="shared" ref="D188:F188" si="153">D145</f>
        <v>0</v>
      </c>
      <c r="E188" s="145" t="str">
        <f t="shared" si="153"/>
        <v>土曜</v>
      </c>
      <c r="F188" s="145">
        <f t="shared" si="153"/>
        <v>11</v>
      </c>
      <c r="G188" s="142">
        <f>PJ工種集計!V349</f>
        <v>0</v>
      </c>
    </row>
    <row r="189" spans="1:7">
      <c r="A189" s="66">
        <f t="shared" si="139"/>
        <v>5</v>
      </c>
      <c r="B189" s="66">
        <f t="shared" si="140"/>
        <v>0</v>
      </c>
      <c r="C189" s="66" t="str">
        <f t="shared" si="141"/>
        <v/>
      </c>
      <c r="D189" s="66">
        <f t="shared" ref="D189:F189" si="154">D146</f>
        <v>0</v>
      </c>
      <c r="E189" s="145" t="str">
        <f t="shared" si="154"/>
        <v>日曜</v>
      </c>
      <c r="F189" s="145">
        <f t="shared" si="154"/>
        <v>12</v>
      </c>
      <c r="G189" s="142">
        <f>PJ工種集計!W349</f>
        <v>0</v>
      </c>
    </row>
    <row r="190" spans="1:7">
      <c r="A190" s="66">
        <f t="shared" si="139"/>
        <v>5</v>
      </c>
      <c r="B190" s="66">
        <f t="shared" si="140"/>
        <v>0</v>
      </c>
      <c r="C190" s="66" t="str">
        <f t="shared" si="141"/>
        <v/>
      </c>
      <c r="D190" s="66" t="str">
        <f t="shared" ref="D190:F190" si="155">D147</f>
        <v>3週</v>
      </c>
      <c r="E190" s="145" t="str">
        <f t="shared" si="155"/>
        <v>月曜</v>
      </c>
      <c r="F190" s="145">
        <f t="shared" si="155"/>
        <v>13</v>
      </c>
      <c r="G190" s="142">
        <f>PJ工種集計!X349</f>
        <v>0</v>
      </c>
    </row>
    <row r="191" spans="1:7">
      <c r="A191" s="66">
        <f t="shared" si="139"/>
        <v>5</v>
      </c>
      <c r="B191" s="66">
        <f t="shared" si="140"/>
        <v>0</v>
      </c>
      <c r="C191" s="66" t="str">
        <f t="shared" si="141"/>
        <v/>
      </c>
      <c r="D191" s="66">
        <f t="shared" ref="D191:F191" si="156">D148</f>
        <v>0</v>
      </c>
      <c r="E191" s="145" t="str">
        <f t="shared" si="156"/>
        <v>火曜</v>
      </c>
      <c r="F191" s="145">
        <f t="shared" si="156"/>
        <v>14</v>
      </c>
      <c r="G191" s="142">
        <f>PJ工種集計!Y349</f>
        <v>0</v>
      </c>
    </row>
    <row r="192" spans="1:7">
      <c r="A192" s="66">
        <f t="shared" si="139"/>
        <v>5</v>
      </c>
      <c r="B192" s="66">
        <f t="shared" si="140"/>
        <v>0</v>
      </c>
      <c r="C192" s="66" t="str">
        <f t="shared" si="141"/>
        <v/>
      </c>
      <c r="D192" s="66">
        <f t="shared" ref="D192:F192" si="157">D149</f>
        <v>0</v>
      </c>
      <c r="E192" s="145" t="str">
        <f t="shared" si="157"/>
        <v>水曜</v>
      </c>
      <c r="F192" s="145">
        <f t="shared" si="157"/>
        <v>15</v>
      </c>
      <c r="G192" s="142">
        <f>PJ工種集計!Z349</f>
        <v>0</v>
      </c>
    </row>
    <row r="193" spans="1:7">
      <c r="A193" s="66">
        <f t="shared" si="139"/>
        <v>5</v>
      </c>
      <c r="B193" s="66">
        <f t="shared" si="140"/>
        <v>0</v>
      </c>
      <c r="C193" s="66" t="str">
        <f t="shared" si="141"/>
        <v/>
      </c>
      <c r="D193" s="66">
        <f t="shared" ref="D193:F193" si="158">D150</f>
        <v>0</v>
      </c>
      <c r="E193" s="145" t="str">
        <f t="shared" si="158"/>
        <v>木曜</v>
      </c>
      <c r="F193" s="145">
        <f t="shared" si="158"/>
        <v>16</v>
      </c>
      <c r="G193" s="142">
        <f>PJ工種集計!AA349</f>
        <v>0</v>
      </c>
    </row>
    <row r="194" spans="1:7">
      <c r="A194" s="66">
        <f t="shared" si="139"/>
        <v>5</v>
      </c>
      <c r="B194" s="66">
        <f t="shared" si="140"/>
        <v>0</v>
      </c>
      <c r="C194" s="66" t="str">
        <f t="shared" si="141"/>
        <v/>
      </c>
      <c r="D194" s="66">
        <f t="shared" ref="D194:F194" si="159">D151</f>
        <v>0</v>
      </c>
      <c r="E194" s="145" t="str">
        <f t="shared" si="159"/>
        <v>金曜</v>
      </c>
      <c r="F194" s="145">
        <f t="shared" si="159"/>
        <v>17</v>
      </c>
      <c r="G194" s="142">
        <f>PJ工種集計!AB349</f>
        <v>0</v>
      </c>
    </row>
    <row r="195" spans="1:7">
      <c r="A195" s="66">
        <f t="shared" si="139"/>
        <v>5</v>
      </c>
      <c r="B195" s="66">
        <f t="shared" si="140"/>
        <v>0</v>
      </c>
      <c r="C195" s="66" t="str">
        <f t="shared" si="141"/>
        <v/>
      </c>
      <c r="D195" s="66">
        <f t="shared" ref="D195:F195" si="160">D152</f>
        <v>0</v>
      </c>
      <c r="E195" s="145" t="str">
        <f t="shared" si="160"/>
        <v>土曜</v>
      </c>
      <c r="F195" s="145">
        <f t="shared" si="160"/>
        <v>18</v>
      </c>
      <c r="G195" s="142">
        <f>PJ工種集計!AC349</f>
        <v>0</v>
      </c>
    </row>
    <row r="196" spans="1:7">
      <c r="A196" s="66">
        <f t="shared" si="139"/>
        <v>5</v>
      </c>
      <c r="B196" s="66">
        <f t="shared" si="140"/>
        <v>0</v>
      </c>
      <c r="C196" s="66" t="str">
        <f t="shared" si="141"/>
        <v/>
      </c>
      <c r="D196" s="66">
        <f t="shared" ref="D196:F196" si="161">D153</f>
        <v>0</v>
      </c>
      <c r="E196" s="145" t="str">
        <f t="shared" si="161"/>
        <v>日曜</v>
      </c>
      <c r="F196" s="145">
        <f t="shared" si="161"/>
        <v>19</v>
      </c>
      <c r="G196" s="142">
        <f>PJ工種集計!AD349</f>
        <v>0</v>
      </c>
    </row>
    <row r="197" spans="1:7">
      <c r="A197" s="66">
        <f t="shared" si="139"/>
        <v>5</v>
      </c>
      <c r="B197" s="66">
        <f t="shared" si="140"/>
        <v>0</v>
      </c>
      <c r="C197" s="66" t="str">
        <f t="shared" si="141"/>
        <v/>
      </c>
      <c r="D197" s="66" t="str">
        <f t="shared" ref="D197:F197" si="162">D154</f>
        <v>4週</v>
      </c>
      <c r="E197" s="145" t="str">
        <f t="shared" si="162"/>
        <v>月曜</v>
      </c>
      <c r="F197" s="145">
        <f t="shared" si="162"/>
        <v>20</v>
      </c>
      <c r="G197" s="142">
        <f>PJ工種集計!AE349</f>
        <v>0</v>
      </c>
    </row>
    <row r="198" spans="1:7">
      <c r="A198" s="66">
        <f t="shared" si="139"/>
        <v>5</v>
      </c>
      <c r="B198" s="66">
        <f t="shared" si="140"/>
        <v>0</v>
      </c>
      <c r="C198" s="66" t="str">
        <f t="shared" si="141"/>
        <v/>
      </c>
      <c r="D198" s="66">
        <f t="shared" ref="D198:F198" si="163">D155</f>
        <v>0</v>
      </c>
      <c r="E198" s="145" t="str">
        <f t="shared" si="163"/>
        <v>火曜</v>
      </c>
      <c r="F198" s="145">
        <f t="shared" si="163"/>
        <v>21</v>
      </c>
      <c r="G198" s="142">
        <f>PJ工種集計!AF349</f>
        <v>0</v>
      </c>
    </row>
    <row r="199" spans="1:7">
      <c r="A199" s="66">
        <f t="shared" si="139"/>
        <v>5</v>
      </c>
      <c r="B199" s="66">
        <f t="shared" si="140"/>
        <v>0</v>
      </c>
      <c r="C199" s="66" t="str">
        <f t="shared" si="141"/>
        <v/>
      </c>
      <c r="D199" s="66">
        <f t="shared" ref="D199:F199" si="164">D156</f>
        <v>0</v>
      </c>
      <c r="E199" s="145" t="str">
        <f t="shared" si="164"/>
        <v>水曜</v>
      </c>
      <c r="F199" s="145">
        <f t="shared" si="164"/>
        <v>22</v>
      </c>
      <c r="G199" s="142">
        <f>PJ工種集計!AG349</f>
        <v>0</v>
      </c>
    </row>
    <row r="200" spans="1:7">
      <c r="A200" s="66">
        <f t="shared" si="139"/>
        <v>5</v>
      </c>
      <c r="B200" s="66">
        <f t="shared" si="140"/>
        <v>0</v>
      </c>
      <c r="C200" s="66" t="str">
        <f t="shared" si="141"/>
        <v/>
      </c>
      <c r="D200" s="66">
        <f t="shared" ref="D200:F200" si="165">D157</f>
        <v>0</v>
      </c>
      <c r="E200" s="145" t="str">
        <f t="shared" si="165"/>
        <v>木曜</v>
      </c>
      <c r="F200" s="145">
        <f t="shared" si="165"/>
        <v>23</v>
      </c>
      <c r="G200" s="142">
        <f>PJ工種集計!AH349</f>
        <v>0</v>
      </c>
    </row>
    <row r="201" spans="1:7">
      <c r="A201" s="66">
        <f t="shared" si="139"/>
        <v>5</v>
      </c>
      <c r="B201" s="66">
        <f t="shared" si="140"/>
        <v>0</v>
      </c>
      <c r="C201" s="66" t="str">
        <f t="shared" si="141"/>
        <v/>
      </c>
      <c r="D201" s="66">
        <f t="shared" ref="D201:F201" si="166">D158</f>
        <v>0</v>
      </c>
      <c r="E201" s="145" t="str">
        <f t="shared" si="166"/>
        <v>金曜</v>
      </c>
      <c r="F201" s="145">
        <f t="shared" si="166"/>
        <v>24</v>
      </c>
      <c r="G201" s="142">
        <f>PJ工種集計!AI349</f>
        <v>0</v>
      </c>
    </row>
    <row r="202" spans="1:7">
      <c r="A202" s="66">
        <f t="shared" si="139"/>
        <v>5</v>
      </c>
      <c r="B202" s="66">
        <f t="shared" si="140"/>
        <v>0</v>
      </c>
      <c r="C202" s="66" t="str">
        <f t="shared" si="141"/>
        <v/>
      </c>
      <c r="D202" s="66">
        <f t="shared" ref="D202:F202" si="167">D159</f>
        <v>0</v>
      </c>
      <c r="E202" s="145" t="str">
        <f t="shared" si="167"/>
        <v>土曜</v>
      </c>
      <c r="F202" s="145">
        <f t="shared" si="167"/>
        <v>25</v>
      </c>
      <c r="G202" s="142">
        <f>PJ工種集計!AJ349</f>
        <v>0</v>
      </c>
    </row>
    <row r="203" spans="1:7">
      <c r="A203" s="66">
        <f t="shared" si="139"/>
        <v>5</v>
      </c>
      <c r="B203" s="66">
        <f t="shared" si="140"/>
        <v>0</v>
      </c>
      <c r="C203" s="66" t="str">
        <f t="shared" si="141"/>
        <v/>
      </c>
      <c r="D203" s="66">
        <f t="shared" ref="D203:F203" si="168">D160</f>
        <v>0</v>
      </c>
      <c r="E203" s="145" t="str">
        <f t="shared" si="168"/>
        <v>日曜</v>
      </c>
      <c r="F203" s="145">
        <f t="shared" si="168"/>
        <v>26</v>
      </c>
      <c r="G203" s="142">
        <f>PJ工種集計!AK349</f>
        <v>0</v>
      </c>
    </row>
    <row r="204" spans="1:7">
      <c r="A204" s="66">
        <f t="shared" si="139"/>
        <v>5</v>
      </c>
      <c r="B204" s="66">
        <f t="shared" si="140"/>
        <v>0</v>
      </c>
      <c r="C204" s="66" t="str">
        <f t="shared" si="141"/>
        <v/>
      </c>
      <c r="D204" s="66" t="str">
        <f t="shared" ref="D204:F204" si="169">D161</f>
        <v>5週</v>
      </c>
      <c r="E204" s="145" t="str">
        <f t="shared" si="169"/>
        <v>月曜</v>
      </c>
      <c r="F204" s="145">
        <f t="shared" si="169"/>
        <v>27</v>
      </c>
      <c r="G204" s="142">
        <f>PJ工種集計!AL349</f>
        <v>0</v>
      </c>
    </row>
    <row r="205" spans="1:7">
      <c r="A205" s="66">
        <f t="shared" si="139"/>
        <v>5</v>
      </c>
      <c r="B205" s="66">
        <f t="shared" si="140"/>
        <v>0</v>
      </c>
      <c r="C205" s="66" t="str">
        <f t="shared" si="141"/>
        <v/>
      </c>
      <c r="D205" s="66">
        <f t="shared" ref="D205:F205" si="170">D162</f>
        <v>0</v>
      </c>
      <c r="E205" s="145" t="str">
        <f t="shared" si="170"/>
        <v>火曜</v>
      </c>
      <c r="F205" s="145">
        <f t="shared" si="170"/>
        <v>28</v>
      </c>
      <c r="G205" s="142">
        <f>PJ工種集計!AM349</f>
        <v>0</v>
      </c>
    </row>
    <row r="206" spans="1:7">
      <c r="A206" s="66">
        <f t="shared" si="139"/>
        <v>5</v>
      </c>
      <c r="B206" s="66">
        <f t="shared" si="140"/>
        <v>0</v>
      </c>
      <c r="C206" s="66" t="str">
        <f t="shared" si="141"/>
        <v/>
      </c>
      <c r="D206" s="66">
        <f t="shared" ref="D206:F206" si="171">D163</f>
        <v>0</v>
      </c>
      <c r="E206" s="145" t="str">
        <f t="shared" si="171"/>
        <v>水曜</v>
      </c>
      <c r="F206" s="145">
        <f t="shared" si="171"/>
        <v>29</v>
      </c>
      <c r="G206" s="142">
        <f>PJ工種集計!AN349</f>
        <v>0</v>
      </c>
    </row>
    <row r="207" spans="1:7">
      <c r="A207" s="66">
        <f t="shared" si="139"/>
        <v>5</v>
      </c>
      <c r="B207" s="66">
        <f t="shared" si="140"/>
        <v>0</v>
      </c>
      <c r="C207" s="66" t="str">
        <f t="shared" si="141"/>
        <v/>
      </c>
      <c r="D207" s="66">
        <f t="shared" ref="D207:F207" si="172">D164</f>
        <v>0</v>
      </c>
      <c r="E207" s="145" t="str">
        <f t="shared" si="172"/>
        <v>木曜</v>
      </c>
      <c r="F207" s="145">
        <f t="shared" si="172"/>
        <v>30</v>
      </c>
      <c r="G207" s="142">
        <f>PJ工種集計!AO349</f>
        <v>0</v>
      </c>
    </row>
    <row r="208" spans="1:7">
      <c r="A208" s="66">
        <f t="shared" si="139"/>
        <v>5</v>
      </c>
      <c r="B208" s="66">
        <f t="shared" si="140"/>
        <v>0</v>
      </c>
      <c r="C208" s="66" t="str">
        <f t="shared" si="141"/>
        <v/>
      </c>
      <c r="D208" s="66">
        <f t="shared" ref="D208:F208" si="173">D165</f>
        <v>0</v>
      </c>
      <c r="E208" s="145" t="str">
        <f t="shared" si="173"/>
        <v>金曜</v>
      </c>
      <c r="F208" s="145">
        <f t="shared" si="173"/>
        <v>31</v>
      </c>
      <c r="G208" s="142">
        <f>PJ工種集計!AP349</f>
        <v>0</v>
      </c>
    </row>
    <row r="209" spans="1:7">
      <c r="A209" s="66">
        <f t="shared" si="139"/>
        <v>5</v>
      </c>
      <c r="B209" s="66">
        <f t="shared" si="140"/>
        <v>0</v>
      </c>
      <c r="C209" s="66" t="str">
        <f t="shared" si="141"/>
        <v/>
      </c>
      <c r="D209" s="66">
        <f t="shared" ref="D209:F209" si="174">D166</f>
        <v>0</v>
      </c>
      <c r="E209" s="145" t="str">
        <f t="shared" si="174"/>
        <v>土曜</v>
      </c>
      <c r="F209" s="145" t="str">
        <f t="shared" si="174"/>
        <v/>
      </c>
      <c r="G209" s="142">
        <f>PJ工種集計!AQ349</f>
        <v>0</v>
      </c>
    </row>
    <row r="210" spans="1:7">
      <c r="A210" s="66">
        <f t="shared" si="139"/>
        <v>5</v>
      </c>
      <c r="B210" s="66">
        <f t="shared" si="140"/>
        <v>0</v>
      </c>
      <c r="C210" s="66" t="str">
        <f t="shared" si="141"/>
        <v/>
      </c>
      <c r="D210" s="66">
        <f t="shared" ref="D210:F210" si="175">D167</f>
        <v>0</v>
      </c>
      <c r="E210" s="145" t="str">
        <f t="shared" si="175"/>
        <v>日曜</v>
      </c>
      <c r="F210" s="145" t="str">
        <f t="shared" si="175"/>
        <v/>
      </c>
      <c r="G210" s="142">
        <f>PJ工種集計!AR349</f>
        <v>0</v>
      </c>
    </row>
    <row r="211" spans="1:7">
      <c r="A211" s="66">
        <f t="shared" si="139"/>
        <v>5</v>
      </c>
      <c r="B211" s="66">
        <f t="shared" si="140"/>
        <v>0</v>
      </c>
      <c r="C211" s="66" t="str">
        <f t="shared" si="141"/>
        <v/>
      </c>
      <c r="D211" s="66" t="str">
        <f t="shared" ref="D211:F211" si="176">D168</f>
        <v>6週</v>
      </c>
      <c r="E211" s="145" t="str">
        <f t="shared" si="176"/>
        <v>月曜</v>
      </c>
      <c r="F211" s="145" t="str">
        <f t="shared" si="176"/>
        <v/>
      </c>
      <c r="G211" s="142">
        <f>PJ工種集計!AS349</f>
        <v>0</v>
      </c>
    </row>
    <row r="212" spans="1:7">
      <c r="A212" s="66">
        <f t="shared" si="139"/>
        <v>5</v>
      </c>
      <c r="B212" s="66">
        <f t="shared" si="140"/>
        <v>0</v>
      </c>
      <c r="C212" s="66" t="str">
        <f t="shared" si="141"/>
        <v/>
      </c>
      <c r="D212" s="66">
        <f t="shared" ref="D212:F212" si="177">D169</f>
        <v>0</v>
      </c>
      <c r="E212" s="145" t="str">
        <f t="shared" si="177"/>
        <v>火曜</v>
      </c>
      <c r="F212" s="145" t="str">
        <f t="shared" si="177"/>
        <v/>
      </c>
      <c r="G212" s="142">
        <f>PJ工種集計!AT349</f>
        <v>0</v>
      </c>
    </row>
    <row r="213" spans="1:7">
      <c r="A213" s="66">
        <f t="shared" si="139"/>
        <v>5</v>
      </c>
      <c r="B213" s="66">
        <f t="shared" si="140"/>
        <v>0</v>
      </c>
      <c r="C213" s="66" t="str">
        <f t="shared" si="141"/>
        <v/>
      </c>
      <c r="D213" s="66">
        <f t="shared" ref="D213:F213" si="178">D170</f>
        <v>0</v>
      </c>
      <c r="E213" s="145" t="str">
        <f t="shared" si="178"/>
        <v>水曜</v>
      </c>
      <c r="F213" s="145" t="str">
        <f t="shared" si="178"/>
        <v/>
      </c>
      <c r="G213" s="142">
        <f>PJ工種集計!AU349</f>
        <v>0</v>
      </c>
    </row>
    <row r="214" spans="1:7">
      <c r="A214" s="66">
        <f t="shared" si="139"/>
        <v>5</v>
      </c>
      <c r="B214" s="66">
        <f t="shared" si="140"/>
        <v>0</v>
      </c>
      <c r="C214" s="66" t="str">
        <f t="shared" si="141"/>
        <v/>
      </c>
      <c r="D214" s="66">
        <f t="shared" ref="D214:F214" si="179">D171</f>
        <v>0</v>
      </c>
      <c r="E214" s="145" t="str">
        <f t="shared" si="179"/>
        <v>木曜</v>
      </c>
      <c r="F214" s="145" t="str">
        <f t="shared" si="179"/>
        <v/>
      </c>
      <c r="G214" s="142">
        <f>PJ工種集計!AV349</f>
        <v>0</v>
      </c>
    </row>
    <row r="215" spans="1:7">
      <c r="A215" s="66">
        <f t="shared" si="139"/>
        <v>5</v>
      </c>
      <c r="B215" s="66">
        <f t="shared" si="140"/>
        <v>0</v>
      </c>
      <c r="C215" s="66" t="str">
        <f t="shared" si="141"/>
        <v/>
      </c>
      <c r="D215" s="66">
        <f t="shared" ref="D215:F215" si="180">D172</f>
        <v>0</v>
      </c>
      <c r="E215" s="145" t="str">
        <f t="shared" si="180"/>
        <v>金曜</v>
      </c>
      <c r="F215" s="145" t="str">
        <f t="shared" si="180"/>
        <v/>
      </c>
      <c r="G215" s="142">
        <f>PJ工種集計!AW349</f>
        <v>0</v>
      </c>
    </row>
    <row r="216" spans="1:7">
      <c r="A216" s="66">
        <f t="shared" si="139"/>
        <v>5</v>
      </c>
      <c r="B216" s="66">
        <f t="shared" si="140"/>
        <v>0</v>
      </c>
      <c r="C216" s="66" t="str">
        <f t="shared" si="141"/>
        <v/>
      </c>
      <c r="D216" s="66">
        <f t="shared" ref="D216:F216" si="181">D173</f>
        <v>0</v>
      </c>
      <c r="E216" s="145" t="str">
        <f t="shared" si="181"/>
        <v>土曜</v>
      </c>
      <c r="F216" s="145" t="str">
        <f t="shared" si="181"/>
        <v/>
      </c>
      <c r="G216" s="142">
        <f>PJ工種集計!AX349</f>
        <v>0</v>
      </c>
    </row>
    <row r="217" spans="1:7">
      <c r="A217" s="66">
        <f t="shared" si="139"/>
        <v>5</v>
      </c>
      <c r="B217" s="66">
        <f t="shared" si="140"/>
        <v>0</v>
      </c>
      <c r="C217" s="66" t="str">
        <f t="shared" si="141"/>
        <v/>
      </c>
      <c r="D217" s="66">
        <f t="shared" ref="D217:F217" si="182">D174</f>
        <v>0</v>
      </c>
      <c r="E217" s="145" t="str">
        <f t="shared" si="182"/>
        <v>日曜</v>
      </c>
      <c r="F217" s="145" t="str">
        <f t="shared" si="182"/>
        <v/>
      </c>
      <c r="G217" s="142">
        <f>PJ工種集計!AY349</f>
        <v>0</v>
      </c>
    </row>
    <row r="219" spans="1:7">
      <c r="A219" s="66">
        <f>PJ工種集計!A433</f>
        <v>6</v>
      </c>
      <c r="B219" s="66">
        <f>PJ工種集計!B433</f>
        <v>0</v>
      </c>
      <c r="C219" s="66" t="str">
        <f>PJ工種集計!C433</f>
        <v/>
      </c>
      <c r="D219" s="66" t="str">
        <f>D176</f>
        <v>１週</v>
      </c>
      <c r="E219" s="145" t="str">
        <f>E176</f>
        <v>月曜</v>
      </c>
      <c r="F219" s="145" t="str">
        <f>F176</f>
        <v/>
      </c>
      <c r="G219" s="142">
        <f>PJ工種集計!J434</f>
        <v>0</v>
      </c>
    </row>
    <row r="220" spans="1:7">
      <c r="A220" s="66">
        <f t="shared" ref="A220:A260" si="183">A219</f>
        <v>6</v>
      </c>
      <c r="B220" s="66">
        <f t="shared" ref="B220:B260" si="184">B219</f>
        <v>0</v>
      </c>
      <c r="C220" s="66" t="str">
        <f t="shared" ref="C220:C260" si="185">C219</f>
        <v/>
      </c>
      <c r="D220" s="66">
        <f t="shared" ref="D220:F220" si="186">D177</f>
        <v>0</v>
      </c>
      <c r="E220" s="145" t="str">
        <f t="shared" si="186"/>
        <v>火曜</v>
      </c>
      <c r="F220" s="145" t="str">
        <f t="shared" si="186"/>
        <v/>
      </c>
      <c r="G220" s="142">
        <f>PJ工種集計!K434</f>
        <v>0</v>
      </c>
    </row>
    <row r="221" spans="1:7">
      <c r="A221" s="66">
        <f t="shared" si="183"/>
        <v>6</v>
      </c>
      <c r="B221" s="66">
        <f t="shared" si="184"/>
        <v>0</v>
      </c>
      <c r="C221" s="66" t="str">
        <f t="shared" si="185"/>
        <v/>
      </c>
      <c r="D221" s="66">
        <f t="shared" ref="D221:F221" si="187">D178</f>
        <v>0</v>
      </c>
      <c r="E221" s="145" t="str">
        <f t="shared" si="187"/>
        <v>水曜</v>
      </c>
      <c r="F221" s="145">
        <f t="shared" si="187"/>
        <v>1</v>
      </c>
      <c r="G221" s="142">
        <f>PJ工種集計!L434</f>
        <v>0</v>
      </c>
    </row>
    <row r="222" spans="1:7">
      <c r="A222" s="66">
        <f t="shared" si="183"/>
        <v>6</v>
      </c>
      <c r="B222" s="66">
        <f t="shared" si="184"/>
        <v>0</v>
      </c>
      <c r="C222" s="66" t="str">
        <f t="shared" si="185"/>
        <v/>
      </c>
      <c r="D222" s="66">
        <f t="shared" ref="D222:F222" si="188">D179</f>
        <v>0</v>
      </c>
      <c r="E222" s="145" t="str">
        <f t="shared" si="188"/>
        <v>木曜</v>
      </c>
      <c r="F222" s="145">
        <f t="shared" si="188"/>
        <v>2</v>
      </c>
      <c r="G222" s="142">
        <f>PJ工種集計!M434</f>
        <v>0</v>
      </c>
    </row>
    <row r="223" spans="1:7">
      <c r="A223" s="66">
        <f t="shared" si="183"/>
        <v>6</v>
      </c>
      <c r="B223" s="66">
        <f t="shared" si="184"/>
        <v>0</v>
      </c>
      <c r="C223" s="66" t="str">
        <f t="shared" si="185"/>
        <v/>
      </c>
      <c r="D223" s="66">
        <f t="shared" ref="D223:F223" si="189">D180</f>
        <v>0</v>
      </c>
      <c r="E223" s="145" t="str">
        <f t="shared" si="189"/>
        <v>金曜</v>
      </c>
      <c r="F223" s="145">
        <f t="shared" si="189"/>
        <v>3</v>
      </c>
      <c r="G223" s="142">
        <f>PJ工種集計!N434</f>
        <v>0</v>
      </c>
    </row>
    <row r="224" spans="1:7">
      <c r="A224" s="66">
        <f t="shared" si="183"/>
        <v>6</v>
      </c>
      <c r="B224" s="66">
        <f t="shared" si="184"/>
        <v>0</v>
      </c>
      <c r="C224" s="66" t="str">
        <f t="shared" si="185"/>
        <v/>
      </c>
      <c r="D224" s="66">
        <f t="shared" ref="D224:F224" si="190">D181</f>
        <v>0</v>
      </c>
      <c r="E224" s="145" t="str">
        <f t="shared" si="190"/>
        <v>土曜</v>
      </c>
      <c r="F224" s="145">
        <f t="shared" si="190"/>
        <v>4</v>
      </c>
      <c r="G224" s="142">
        <f>PJ工種集計!O434</f>
        <v>0</v>
      </c>
    </row>
    <row r="225" spans="1:7">
      <c r="A225" s="66">
        <f t="shared" si="183"/>
        <v>6</v>
      </c>
      <c r="B225" s="66">
        <f t="shared" si="184"/>
        <v>0</v>
      </c>
      <c r="C225" s="66" t="str">
        <f t="shared" si="185"/>
        <v/>
      </c>
      <c r="D225" s="66">
        <f t="shared" ref="D225:F225" si="191">D182</f>
        <v>0</v>
      </c>
      <c r="E225" s="145" t="str">
        <f t="shared" si="191"/>
        <v>日曜</v>
      </c>
      <c r="F225" s="145">
        <f t="shared" si="191"/>
        <v>5</v>
      </c>
      <c r="G225" s="142">
        <f>PJ工種集計!P434</f>
        <v>0</v>
      </c>
    </row>
    <row r="226" spans="1:7">
      <c r="A226" s="66">
        <f t="shared" si="183"/>
        <v>6</v>
      </c>
      <c r="B226" s="66">
        <f t="shared" si="184"/>
        <v>0</v>
      </c>
      <c r="C226" s="66" t="str">
        <f t="shared" si="185"/>
        <v/>
      </c>
      <c r="D226" s="66" t="str">
        <f t="shared" ref="D226:F226" si="192">D183</f>
        <v>2週</v>
      </c>
      <c r="E226" s="145" t="str">
        <f t="shared" si="192"/>
        <v>月曜</v>
      </c>
      <c r="F226" s="145">
        <f t="shared" si="192"/>
        <v>6</v>
      </c>
      <c r="G226" s="142">
        <f>PJ工種集計!Q434</f>
        <v>0</v>
      </c>
    </row>
    <row r="227" spans="1:7">
      <c r="A227" s="66">
        <f t="shared" si="183"/>
        <v>6</v>
      </c>
      <c r="B227" s="66">
        <f t="shared" si="184"/>
        <v>0</v>
      </c>
      <c r="C227" s="66" t="str">
        <f t="shared" si="185"/>
        <v/>
      </c>
      <c r="D227" s="66">
        <f t="shared" ref="D227:F227" si="193">D184</f>
        <v>0</v>
      </c>
      <c r="E227" s="145" t="str">
        <f t="shared" si="193"/>
        <v>火曜</v>
      </c>
      <c r="F227" s="145">
        <f t="shared" si="193"/>
        <v>7</v>
      </c>
      <c r="G227" s="142">
        <f>PJ工種集計!R434</f>
        <v>0</v>
      </c>
    </row>
    <row r="228" spans="1:7">
      <c r="A228" s="66">
        <f t="shared" si="183"/>
        <v>6</v>
      </c>
      <c r="B228" s="66">
        <f t="shared" si="184"/>
        <v>0</v>
      </c>
      <c r="C228" s="66" t="str">
        <f t="shared" si="185"/>
        <v/>
      </c>
      <c r="D228" s="66">
        <f t="shared" ref="D228:F228" si="194">D185</f>
        <v>0</v>
      </c>
      <c r="E228" s="145" t="str">
        <f t="shared" si="194"/>
        <v>水曜</v>
      </c>
      <c r="F228" s="145">
        <f t="shared" si="194"/>
        <v>8</v>
      </c>
      <c r="G228" s="142">
        <f>PJ工種集計!S434</f>
        <v>0</v>
      </c>
    </row>
    <row r="229" spans="1:7">
      <c r="A229" s="66">
        <f t="shared" si="183"/>
        <v>6</v>
      </c>
      <c r="B229" s="66">
        <f t="shared" si="184"/>
        <v>0</v>
      </c>
      <c r="C229" s="66" t="str">
        <f t="shared" si="185"/>
        <v/>
      </c>
      <c r="D229" s="66">
        <f t="shared" ref="D229:F229" si="195">D186</f>
        <v>0</v>
      </c>
      <c r="E229" s="145" t="str">
        <f t="shared" si="195"/>
        <v>木曜</v>
      </c>
      <c r="F229" s="145">
        <f t="shared" si="195"/>
        <v>9</v>
      </c>
      <c r="G229" s="142">
        <f>PJ工種集計!T434</f>
        <v>0</v>
      </c>
    </row>
    <row r="230" spans="1:7">
      <c r="A230" s="66">
        <f t="shared" si="183"/>
        <v>6</v>
      </c>
      <c r="B230" s="66">
        <f t="shared" si="184"/>
        <v>0</v>
      </c>
      <c r="C230" s="66" t="str">
        <f t="shared" si="185"/>
        <v/>
      </c>
      <c r="D230" s="66">
        <f t="shared" ref="D230:F230" si="196">D187</f>
        <v>0</v>
      </c>
      <c r="E230" s="145" t="str">
        <f t="shared" si="196"/>
        <v>金曜</v>
      </c>
      <c r="F230" s="145">
        <f t="shared" si="196"/>
        <v>10</v>
      </c>
      <c r="G230" s="142">
        <f>PJ工種集計!U434</f>
        <v>0</v>
      </c>
    </row>
    <row r="231" spans="1:7">
      <c r="A231" s="66">
        <f t="shared" si="183"/>
        <v>6</v>
      </c>
      <c r="B231" s="66">
        <f t="shared" si="184"/>
        <v>0</v>
      </c>
      <c r="C231" s="66" t="str">
        <f t="shared" si="185"/>
        <v/>
      </c>
      <c r="D231" s="66">
        <f t="shared" ref="D231:F231" si="197">D188</f>
        <v>0</v>
      </c>
      <c r="E231" s="145" t="str">
        <f t="shared" si="197"/>
        <v>土曜</v>
      </c>
      <c r="F231" s="145">
        <f t="shared" si="197"/>
        <v>11</v>
      </c>
      <c r="G231" s="142">
        <f>PJ工種集計!V434</f>
        <v>0</v>
      </c>
    </row>
    <row r="232" spans="1:7">
      <c r="A232" s="66">
        <f t="shared" si="183"/>
        <v>6</v>
      </c>
      <c r="B232" s="66">
        <f t="shared" si="184"/>
        <v>0</v>
      </c>
      <c r="C232" s="66" t="str">
        <f t="shared" si="185"/>
        <v/>
      </c>
      <c r="D232" s="66">
        <f t="shared" ref="D232:F232" si="198">D189</f>
        <v>0</v>
      </c>
      <c r="E232" s="145" t="str">
        <f t="shared" si="198"/>
        <v>日曜</v>
      </c>
      <c r="F232" s="145">
        <f t="shared" si="198"/>
        <v>12</v>
      </c>
      <c r="G232" s="142">
        <f>PJ工種集計!W434</f>
        <v>0</v>
      </c>
    </row>
    <row r="233" spans="1:7">
      <c r="A233" s="66">
        <f t="shared" si="183"/>
        <v>6</v>
      </c>
      <c r="B233" s="66">
        <f t="shared" si="184"/>
        <v>0</v>
      </c>
      <c r="C233" s="66" t="str">
        <f t="shared" si="185"/>
        <v/>
      </c>
      <c r="D233" s="66" t="str">
        <f t="shared" ref="D233:F233" si="199">D190</f>
        <v>3週</v>
      </c>
      <c r="E233" s="145" t="str">
        <f t="shared" si="199"/>
        <v>月曜</v>
      </c>
      <c r="F233" s="145">
        <f t="shared" si="199"/>
        <v>13</v>
      </c>
      <c r="G233" s="142">
        <f>PJ工種集計!X434</f>
        <v>0</v>
      </c>
    </row>
    <row r="234" spans="1:7">
      <c r="A234" s="66">
        <f t="shared" si="183"/>
        <v>6</v>
      </c>
      <c r="B234" s="66">
        <f t="shared" si="184"/>
        <v>0</v>
      </c>
      <c r="C234" s="66" t="str">
        <f t="shared" si="185"/>
        <v/>
      </c>
      <c r="D234" s="66">
        <f t="shared" ref="D234:F234" si="200">D191</f>
        <v>0</v>
      </c>
      <c r="E234" s="145" t="str">
        <f t="shared" si="200"/>
        <v>火曜</v>
      </c>
      <c r="F234" s="145">
        <f t="shared" si="200"/>
        <v>14</v>
      </c>
      <c r="G234" s="142">
        <f>PJ工種集計!Y434</f>
        <v>0</v>
      </c>
    </row>
    <row r="235" spans="1:7">
      <c r="A235" s="66">
        <f t="shared" si="183"/>
        <v>6</v>
      </c>
      <c r="B235" s="66">
        <f t="shared" si="184"/>
        <v>0</v>
      </c>
      <c r="C235" s="66" t="str">
        <f t="shared" si="185"/>
        <v/>
      </c>
      <c r="D235" s="66">
        <f t="shared" ref="D235:F235" si="201">D192</f>
        <v>0</v>
      </c>
      <c r="E235" s="145" t="str">
        <f t="shared" si="201"/>
        <v>水曜</v>
      </c>
      <c r="F235" s="145">
        <f t="shared" si="201"/>
        <v>15</v>
      </c>
      <c r="G235" s="142">
        <f>PJ工種集計!Z434</f>
        <v>0</v>
      </c>
    </row>
    <row r="236" spans="1:7">
      <c r="A236" s="66">
        <f t="shared" si="183"/>
        <v>6</v>
      </c>
      <c r="B236" s="66">
        <f t="shared" si="184"/>
        <v>0</v>
      </c>
      <c r="C236" s="66" t="str">
        <f t="shared" si="185"/>
        <v/>
      </c>
      <c r="D236" s="66">
        <f t="shared" ref="D236:F236" si="202">D193</f>
        <v>0</v>
      </c>
      <c r="E236" s="145" t="str">
        <f t="shared" si="202"/>
        <v>木曜</v>
      </c>
      <c r="F236" s="145">
        <f t="shared" si="202"/>
        <v>16</v>
      </c>
      <c r="G236" s="142">
        <f>PJ工種集計!AA434</f>
        <v>0</v>
      </c>
    </row>
    <row r="237" spans="1:7">
      <c r="A237" s="66">
        <f t="shared" si="183"/>
        <v>6</v>
      </c>
      <c r="B237" s="66">
        <f t="shared" si="184"/>
        <v>0</v>
      </c>
      <c r="C237" s="66" t="str">
        <f t="shared" si="185"/>
        <v/>
      </c>
      <c r="D237" s="66">
        <f t="shared" ref="D237:F237" si="203">D194</f>
        <v>0</v>
      </c>
      <c r="E237" s="145" t="str">
        <f t="shared" si="203"/>
        <v>金曜</v>
      </c>
      <c r="F237" s="145">
        <f t="shared" si="203"/>
        <v>17</v>
      </c>
      <c r="G237" s="142">
        <f>PJ工種集計!AB434</f>
        <v>0</v>
      </c>
    </row>
    <row r="238" spans="1:7">
      <c r="A238" s="66">
        <f t="shared" si="183"/>
        <v>6</v>
      </c>
      <c r="B238" s="66">
        <f t="shared" si="184"/>
        <v>0</v>
      </c>
      <c r="C238" s="66" t="str">
        <f t="shared" si="185"/>
        <v/>
      </c>
      <c r="D238" s="66">
        <f t="shared" ref="D238:F238" si="204">D195</f>
        <v>0</v>
      </c>
      <c r="E238" s="145" t="str">
        <f t="shared" si="204"/>
        <v>土曜</v>
      </c>
      <c r="F238" s="145">
        <f t="shared" si="204"/>
        <v>18</v>
      </c>
      <c r="G238" s="142">
        <f>PJ工種集計!AC434</f>
        <v>0</v>
      </c>
    </row>
    <row r="239" spans="1:7">
      <c r="A239" s="66">
        <f t="shared" si="183"/>
        <v>6</v>
      </c>
      <c r="B239" s="66">
        <f t="shared" si="184"/>
        <v>0</v>
      </c>
      <c r="C239" s="66" t="str">
        <f t="shared" si="185"/>
        <v/>
      </c>
      <c r="D239" s="66">
        <f t="shared" ref="D239:F239" si="205">D196</f>
        <v>0</v>
      </c>
      <c r="E239" s="145" t="str">
        <f t="shared" si="205"/>
        <v>日曜</v>
      </c>
      <c r="F239" s="145">
        <f t="shared" si="205"/>
        <v>19</v>
      </c>
      <c r="G239" s="142">
        <f>PJ工種集計!AD434</f>
        <v>0</v>
      </c>
    </row>
    <row r="240" spans="1:7">
      <c r="A240" s="66">
        <f t="shared" si="183"/>
        <v>6</v>
      </c>
      <c r="B240" s="66">
        <f t="shared" si="184"/>
        <v>0</v>
      </c>
      <c r="C240" s="66" t="str">
        <f t="shared" si="185"/>
        <v/>
      </c>
      <c r="D240" s="66" t="str">
        <f t="shared" ref="D240:F240" si="206">D197</f>
        <v>4週</v>
      </c>
      <c r="E240" s="145" t="str">
        <f t="shared" si="206"/>
        <v>月曜</v>
      </c>
      <c r="F240" s="145">
        <f t="shared" si="206"/>
        <v>20</v>
      </c>
      <c r="G240" s="142">
        <f>PJ工種集計!AE434</f>
        <v>0</v>
      </c>
    </row>
    <row r="241" spans="1:7">
      <c r="A241" s="66">
        <f t="shared" si="183"/>
        <v>6</v>
      </c>
      <c r="B241" s="66">
        <f t="shared" si="184"/>
        <v>0</v>
      </c>
      <c r="C241" s="66" t="str">
        <f t="shared" si="185"/>
        <v/>
      </c>
      <c r="D241" s="66">
        <f t="shared" ref="D241:F241" si="207">D198</f>
        <v>0</v>
      </c>
      <c r="E241" s="145" t="str">
        <f t="shared" si="207"/>
        <v>火曜</v>
      </c>
      <c r="F241" s="145">
        <f t="shared" si="207"/>
        <v>21</v>
      </c>
      <c r="G241" s="142">
        <f>PJ工種集計!AF434</f>
        <v>0</v>
      </c>
    </row>
    <row r="242" spans="1:7">
      <c r="A242" s="66">
        <f t="shared" si="183"/>
        <v>6</v>
      </c>
      <c r="B242" s="66">
        <f t="shared" si="184"/>
        <v>0</v>
      </c>
      <c r="C242" s="66" t="str">
        <f t="shared" si="185"/>
        <v/>
      </c>
      <c r="D242" s="66">
        <f t="shared" ref="D242:F242" si="208">D199</f>
        <v>0</v>
      </c>
      <c r="E242" s="145" t="str">
        <f t="shared" si="208"/>
        <v>水曜</v>
      </c>
      <c r="F242" s="145">
        <f t="shared" si="208"/>
        <v>22</v>
      </c>
      <c r="G242" s="142">
        <f>PJ工種集計!AG434</f>
        <v>0</v>
      </c>
    </row>
    <row r="243" spans="1:7">
      <c r="A243" s="66">
        <f t="shared" si="183"/>
        <v>6</v>
      </c>
      <c r="B243" s="66">
        <f t="shared" si="184"/>
        <v>0</v>
      </c>
      <c r="C243" s="66" t="str">
        <f t="shared" si="185"/>
        <v/>
      </c>
      <c r="D243" s="66">
        <f t="shared" ref="D243:F243" si="209">D200</f>
        <v>0</v>
      </c>
      <c r="E243" s="145" t="str">
        <f t="shared" si="209"/>
        <v>木曜</v>
      </c>
      <c r="F243" s="145">
        <f t="shared" si="209"/>
        <v>23</v>
      </c>
      <c r="G243" s="142">
        <f>PJ工種集計!AH434</f>
        <v>0</v>
      </c>
    </row>
    <row r="244" spans="1:7">
      <c r="A244" s="66">
        <f t="shared" si="183"/>
        <v>6</v>
      </c>
      <c r="B244" s="66">
        <f t="shared" si="184"/>
        <v>0</v>
      </c>
      <c r="C244" s="66" t="str">
        <f t="shared" si="185"/>
        <v/>
      </c>
      <c r="D244" s="66">
        <f t="shared" ref="D244:F244" si="210">D201</f>
        <v>0</v>
      </c>
      <c r="E244" s="145" t="str">
        <f t="shared" si="210"/>
        <v>金曜</v>
      </c>
      <c r="F244" s="145">
        <f t="shared" si="210"/>
        <v>24</v>
      </c>
      <c r="G244" s="142">
        <f>PJ工種集計!AI434</f>
        <v>0</v>
      </c>
    </row>
    <row r="245" spans="1:7">
      <c r="A245" s="66">
        <f t="shared" si="183"/>
        <v>6</v>
      </c>
      <c r="B245" s="66">
        <f t="shared" si="184"/>
        <v>0</v>
      </c>
      <c r="C245" s="66" t="str">
        <f t="shared" si="185"/>
        <v/>
      </c>
      <c r="D245" s="66">
        <f t="shared" ref="D245:F245" si="211">D202</f>
        <v>0</v>
      </c>
      <c r="E245" s="145" t="str">
        <f t="shared" si="211"/>
        <v>土曜</v>
      </c>
      <c r="F245" s="145">
        <f t="shared" si="211"/>
        <v>25</v>
      </c>
      <c r="G245" s="142">
        <f>PJ工種集計!AJ434</f>
        <v>0</v>
      </c>
    </row>
    <row r="246" spans="1:7">
      <c r="A246" s="66">
        <f t="shared" si="183"/>
        <v>6</v>
      </c>
      <c r="B246" s="66">
        <f t="shared" si="184"/>
        <v>0</v>
      </c>
      <c r="C246" s="66" t="str">
        <f t="shared" si="185"/>
        <v/>
      </c>
      <c r="D246" s="66">
        <f t="shared" ref="D246:F246" si="212">D203</f>
        <v>0</v>
      </c>
      <c r="E246" s="145" t="str">
        <f t="shared" si="212"/>
        <v>日曜</v>
      </c>
      <c r="F246" s="145">
        <f t="shared" si="212"/>
        <v>26</v>
      </c>
      <c r="G246" s="142">
        <f>PJ工種集計!AK434</f>
        <v>0</v>
      </c>
    </row>
    <row r="247" spans="1:7">
      <c r="A247" s="66">
        <f t="shared" si="183"/>
        <v>6</v>
      </c>
      <c r="B247" s="66">
        <f t="shared" si="184"/>
        <v>0</v>
      </c>
      <c r="C247" s="66" t="str">
        <f t="shared" si="185"/>
        <v/>
      </c>
      <c r="D247" s="66" t="str">
        <f t="shared" ref="D247:F247" si="213">D204</f>
        <v>5週</v>
      </c>
      <c r="E247" s="145" t="str">
        <f t="shared" si="213"/>
        <v>月曜</v>
      </c>
      <c r="F247" s="145">
        <f t="shared" si="213"/>
        <v>27</v>
      </c>
      <c r="G247" s="142">
        <f>PJ工種集計!AL434</f>
        <v>0</v>
      </c>
    </row>
    <row r="248" spans="1:7">
      <c r="A248" s="66">
        <f t="shared" si="183"/>
        <v>6</v>
      </c>
      <c r="B248" s="66">
        <f t="shared" si="184"/>
        <v>0</v>
      </c>
      <c r="C248" s="66" t="str">
        <f t="shared" si="185"/>
        <v/>
      </c>
      <c r="D248" s="66">
        <f t="shared" ref="D248:F248" si="214">D205</f>
        <v>0</v>
      </c>
      <c r="E248" s="145" t="str">
        <f t="shared" si="214"/>
        <v>火曜</v>
      </c>
      <c r="F248" s="145">
        <f t="shared" si="214"/>
        <v>28</v>
      </c>
      <c r="G248" s="142">
        <f>PJ工種集計!AM434</f>
        <v>0</v>
      </c>
    </row>
    <row r="249" spans="1:7">
      <c r="A249" s="66">
        <f t="shared" si="183"/>
        <v>6</v>
      </c>
      <c r="B249" s="66">
        <f t="shared" si="184"/>
        <v>0</v>
      </c>
      <c r="C249" s="66" t="str">
        <f t="shared" si="185"/>
        <v/>
      </c>
      <c r="D249" s="66">
        <f t="shared" ref="D249:F249" si="215">D206</f>
        <v>0</v>
      </c>
      <c r="E249" s="145" t="str">
        <f t="shared" si="215"/>
        <v>水曜</v>
      </c>
      <c r="F249" s="145">
        <f t="shared" si="215"/>
        <v>29</v>
      </c>
      <c r="G249" s="142">
        <f>PJ工種集計!AN434</f>
        <v>0</v>
      </c>
    </row>
    <row r="250" spans="1:7">
      <c r="A250" s="66">
        <f t="shared" si="183"/>
        <v>6</v>
      </c>
      <c r="B250" s="66">
        <f t="shared" si="184"/>
        <v>0</v>
      </c>
      <c r="C250" s="66" t="str">
        <f t="shared" si="185"/>
        <v/>
      </c>
      <c r="D250" s="66">
        <f t="shared" ref="D250:F250" si="216">D207</f>
        <v>0</v>
      </c>
      <c r="E250" s="145" t="str">
        <f t="shared" si="216"/>
        <v>木曜</v>
      </c>
      <c r="F250" s="145">
        <f t="shared" si="216"/>
        <v>30</v>
      </c>
      <c r="G250" s="142">
        <f>PJ工種集計!AO434</f>
        <v>0</v>
      </c>
    </row>
    <row r="251" spans="1:7">
      <c r="A251" s="66">
        <f t="shared" si="183"/>
        <v>6</v>
      </c>
      <c r="B251" s="66">
        <f t="shared" si="184"/>
        <v>0</v>
      </c>
      <c r="C251" s="66" t="str">
        <f t="shared" si="185"/>
        <v/>
      </c>
      <c r="D251" s="66">
        <f t="shared" ref="D251:F251" si="217">D208</f>
        <v>0</v>
      </c>
      <c r="E251" s="145" t="str">
        <f t="shared" si="217"/>
        <v>金曜</v>
      </c>
      <c r="F251" s="145">
        <f t="shared" si="217"/>
        <v>31</v>
      </c>
      <c r="G251" s="142">
        <f>PJ工種集計!AP434</f>
        <v>0</v>
      </c>
    </row>
    <row r="252" spans="1:7">
      <c r="A252" s="66">
        <f t="shared" si="183"/>
        <v>6</v>
      </c>
      <c r="B252" s="66">
        <f t="shared" si="184"/>
        <v>0</v>
      </c>
      <c r="C252" s="66" t="str">
        <f t="shared" si="185"/>
        <v/>
      </c>
      <c r="D252" s="66">
        <f t="shared" ref="D252:F252" si="218">D209</f>
        <v>0</v>
      </c>
      <c r="E252" s="145" t="str">
        <f t="shared" si="218"/>
        <v>土曜</v>
      </c>
      <c r="F252" s="145" t="str">
        <f t="shared" si="218"/>
        <v/>
      </c>
      <c r="G252" s="142">
        <f>PJ工種集計!AQ434</f>
        <v>0</v>
      </c>
    </row>
    <row r="253" spans="1:7">
      <c r="A253" s="66">
        <f t="shared" si="183"/>
        <v>6</v>
      </c>
      <c r="B253" s="66">
        <f t="shared" si="184"/>
        <v>0</v>
      </c>
      <c r="C253" s="66" t="str">
        <f t="shared" si="185"/>
        <v/>
      </c>
      <c r="D253" s="66">
        <f t="shared" ref="D253:F253" si="219">D210</f>
        <v>0</v>
      </c>
      <c r="E253" s="145" t="str">
        <f t="shared" si="219"/>
        <v>日曜</v>
      </c>
      <c r="F253" s="145" t="str">
        <f t="shared" si="219"/>
        <v/>
      </c>
      <c r="G253" s="142">
        <f>PJ工種集計!AR434</f>
        <v>0</v>
      </c>
    </row>
    <row r="254" spans="1:7">
      <c r="A254" s="66">
        <f t="shared" si="183"/>
        <v>6</v>
      </c>
      <c r="B254" s="66">
        <f t="shared" si="184"/>
        <v>0</v>
      </c>
      <c r="C254" s="66" t="str">
        <f t="shared" si="185"/>
        <v/>
      </c>
      <c r="D254" s="66" t="str">
        <f t="shared" ref="D254:F254" si="220">D211</f>
        <v>6週</v>
      </c>
      <c r="E254" s="145" t="str">
        <f t="shared" si="220"/>
        <v>月曜</v>
      </c>
      <c r="F254" s="145" t="str">
        <f t="shared" si="220"/>
        <v/>
      </c>
      <c r="G254" s="142">
        <f>PJ工種集計!AS434</f>
        <v>0</v>
      </c>
    </row>
    <row r="255" spans="1:7">
      <c r="A255" s="66">
        <f t="shared" si="183"/>
        <v>6</v>
      </c>
      <c r="B255" s="66">
        <f t="shared" si="184"/>
        <v>0</v>
      </c>
      <c r="C255" s="66" t="str">
        <f t="shared" si="185"/>
        <v/>
      </c>
      <c r="D255" s="66">
        <f t="shared" ref="D255:F255" si="221">D212</f>
        <v>0</v>
      </c>
      <c r="E255" s="145" t="str">
        <f t="shared" si="221"/>
        <v>火曜</v>
      </c>
      <c r="F255" s="145" t="str">
        <f t="shared" si="221"/>
        <v/>
      </c>
      <c r="G255" s="142">
        <f>PJ工種集計!AT434</f>
        <v>0</v>
      </c>
    </row>
    <row r="256" spans="1:7">
      <c r="A256" s="66">
        <f t="shared" si="183"/>
        <v>6</v>
      </c>
      <c r="B256" s="66">
        <f t="shared" si="184"/>
        <v>0</v>
      </c>
      <c r="C256" s="66" t="str">
        <f t="shared" si="185"/>
        <v/>
      </c>
      <c r="D256" s="66">
        <f t="shared" ref="D256:F256" si="222">D213</f>
        <v>0</v>
      </c>
      <c r="E256" s="145" t="str">
        <f t="shared" si="222"/>
        <v>水曜</v>
      </c>
      <c r="F256" s="145" t="str">
        <f t="shared" si="222"/>
        <v/>
      </c>
      <c r="G256" s="142">
        <f>PJ工種集計!AU434</f>
        <v>0</v>
      </c>
    </row>
    <row r="257" spans="1:7">
      <c r="A257" s="66">
        <f t="shared" si="183"/>
        <v>6</v>
      </c>
      <c r="B257" s="66">
        <f t="shared" si="184"/>
        <v>0</v>
      </c>
      <c r="C257" s="66" t="str">
        <f t="shared" si="185"/>
        <v/>
      </c>
      <c r="D257" s="66">
        <f t="shared" ref="D257:F257" si="223">D214</f>
        <v>0</v>
      </c>
      <c r="E257" s="145" t="str">
        <f t="shared" si="223"/>
        <v>木曜</v>
      </c>
      <c r="F257" s="145" t="str">
        <f t="shared" si="223"/>
        <v/>
      </c>
      <c r="G257" s="142">
        <f>PJ工種集計!AV434</f>
        <v>0</v>
      </c>
    </row>
    <row r="258" spans="1:7">
      <c r="A258" s="66">
        <f t="shared" si="183"/>
        <v>6</v>
      </c>
      <c r="B258" s="66">
        <f t="shared" si="184"/>
        <v>0</v>
      </c>
      <c r="C258" s="66" t="str">
        <f t="shared" si="185"/>
        <v/>
      </c>
      <c r="D258" s="66">
        <f t="shared" ref="D258:F258" si="224">D215</f>
        <v>0</v>
      </c>
      <c r="E258" s="145" t="str">
        <f t="shared" si="224"/>
        <v>金曜</v>
      </c>
      <c r="F258" s="145" t="str">
        <f t="shared" si="224"/>
        <v/>
      </c>
      <c r="G258" s="142">
        <f>PJ工種集計!AW434</f>
        <v>0</v>
      </c>
    </row>
    <row r="259" spans="1:7">
      <c r="A259" s="66">
        <f t="shared" si="183"/>
        <v>6</v>
      </c>
      <c r="B259" s="66">
        <f t="shared" si="184"/>
        <v>0</v>
      </c>
      <c r="C259" s="66" t="str">
        <f t="shared" si="185"/>
        <v/>
      </c>
      <c r="D259" s="66">
        <f t="shared" ref="D259:F259" si="225">D216</f>
        <v>0</v>
      </c>
      <c r="E259" s="145" t="str">
        <f t="shared" si="225"/>
        <v>土曜</v>
      </c>
      <c r="F259" s="145" t="str">
        <f t="shared" si="225"/>
        <v/>
      </c>
      <c r="G259" s="142">
        <f>PJ工種集計!AX434</f>
        <v>0</v>
      </c>
    </row>
    <row r="260" spans="1:7">
      <c r="A260" s="66">
        <f t="shared" si="183"/>
        <v>6</v>
      </c>
      <c r="B260" s="66">
        <f t="shared" si="184"/>
        <v>0</v>
      </c>
      <c r="C260" s="66" t="str">
        <f t="shared" si="185"/>
        <v/>
      </c>
      <c r="D260" s="66">
        <f t="shared" ref="D260:F260" si="226">D217</f>
        <v>0</v>
      </c>
      <c r="E260" s="145" t="str">
        <f t="shared" si="226"/>
        <v>日曜</v>
      </c>
      <c r="F260" s="145" t="str">
        <f t="shared" si="226"/>
        <v/>
      </c>
      <c r="G260" s="142">
        <f>PJ工種集計!AY434</f>
        <v>0</v>
      </c>
    </row>
    <row r="262" spans="1:7">
      <c r="A262" s="66">
        <f>PJ工種集計!A518</f>
        <v>7</v>
      </c>
      <c r="B262" s="66">
        <f>PJ工種集計!B518</f>
        <v>0</v>
      </c>
      <c r="C262" s="66" t="str">
        <f>PJ工種集計!C518</f>
        <v/>
      </c>
      <c r="D262" s="66" t="str">
        <f>D219</f>
        <v>１週</v>
      </c>
      <c r="E262" s="145" t="str">
        <f>E219</f>
        <v>月曜</v>
      </c>
      <c r="F262" s="145" t="str">
        <f>F219</f>
        <v/>
      </c>
      <c r="G262" s="142">
        <f>PJ工種集計!J519</f>
        <v>0</v>
      </c>
    </row>
    <row r="263" spans="1:7">
      <c r="A263" s="66">
        <f t="shared" ref="A263:C278" si="227">A262</f>
        <v>7</v>
      </c>
      <c r="B263" s="66">
        <f t="shared" si="227"/>
        <v>0</v>
      </c>
      <c r="C263" s="66" t="str">
        <f t="shared" si="227"/>
        <v/>
      </c>
      <c r="D263" s="66">
        <f t="shared" ref="D263:F263" si="228">D220</f>
        <v>0</v>
      </c>
      <c r="E263" s="145" t="str">
        <f t="shared" si="228"/>
        <v>火曜</v>
      </c>
      <c r="F263" s="145" t="str">
        <f t="shared" si="228"/>
        <v/>
      </c>
      <c r="G263" s="142">
        <f>PJ工種集計!K519</f>
        <v>0</v>
      </c>
    </row>
    <row r="264" spans="1:7">
      <c r="A264" s="66">
        <f t="shared" si="227"/>
        <v>7</v>
      </c>
      <c r="B264" s="66">
        <f t="shared" si="227"/>
        <v>0</v>
      </c>
      <c r="C264" s="66" t="str">
        <f t="shared" si="227"/>
        <v/>
      </c>
      <c r="D264" s="66">
        <f t="shared" ref="D264:F264" si="229">D221</f>
        <v>0</v>
      </c>
      <c r="E264" s="145" t="str">
        <f t="shared" si="229"/>
        <v>水曜</v>
      </c>
      <c r="F264" s="145">
        <f t="shared" si="229"/>
        <v>1</v>
      </c>
      <c r="G264" s="142">
        <f>PJ工種集計!L519</f>
        <v>0</v>
      </c>
    </row>
    <row r="265" spans="1:7">
      <c r="A265" s="66">
        <f t="shared" si="227"/>
        <v>7</v>
      </c>
      <c r="B265" s="66">
        <f t="shared" si="227"/>
        <v>0</v>
      </c>
      <c r="C265" s="66" t="str">
        <f t="shared" si="227"/>
        <v/>
      </c>
      <c r="D265" s="66">
        <f t="shared" ref="D265:F265" si="230">D222</f>
        <v>0</v>
      </c>
      <c r="E265" s="145" t="str">
        <f t="shared" si="230"/>
        <v>木曜</v>
      </c>
      <c r="F265" s="145">
        <f t="shared" si="230"/>
        <v>2</v>
      </c>
      <c r="G265" s="142">
        <f>PJ工種集計!M519</f>
        <v>0</v>
      </c>
    </row>
    <row r="266" spans="1:7">
      <c r="A266" s="66">
        <f t="shared" si="227"/>
        <v>7</v>
      </c>
      <c r="B266" s="66">
        <f t="shared" si="227"/>
        <v>0</v>
      </c>
      <c r="C266" s="66" t="str">
        <f t="shared" si="227"/>
        <v/>
      </c>
      <c r="D266" s="66">
        <f t="shared" ref="D266:F266" si="231">D223</f>
        <v>0</v>
      </c>
      <c r="E266" s="145" t="str">
        <f t="shared" si="231"/>
        <v>金曜</v>
      </c>
      <c r="F266" s="145">
        <f t="shared" si="231"/>
        <v>3</v>
      </c>
      <c r="G266" s="142">
        <f>PJ工種集計!N519</f>
        <v>0</v>
      </c>
    </row>
    <row r="267" spans="1:7">
      <c r="A267" s="66">
        <f t="shared" si="227"/>
        <v>7</v>
      </c>
      <c r="B267" s="66">
        <f t="shared" si="227"/>
        <v>0</v>
      </c>
      <c r="C267" s="66" t="str">
        <f t="shared" si="227"/>
        <v/>
      </c>
      <c r="D267" s="66">
        <f t="shared" ref="D267:F267" si="232">D224</f>
        <v>0</v>
      </c>
      <c r="E267" s="145" t="str">
        <f t="shared" si="232"/>
        <v>土曜</v>
      </c>
      <c r="F267" s="145">
        <f t="shared" si="232"/>
        <v>4</v>
      </c>
      <c r="G267" s="142">
        <f>PJ工種集計!O519</f>
        <v>0</v>
      </c>
    </row>
    <row r="268" spans="1:7">
      <c r="A268" s="66">
        <f t="shared" si="227"/>
        <v>7</v>
      </c>
      <c r="B268" s="66">
        <f t="shared" si="227"/>
        <v>0</v>
      </c>
      <c r="C268" s="66" t="str">
        <f t="shared" si="227"/>
        <v/>
      </c>
      <c r="D268" s="66">
        <f t="shared" ref="D268:F268" si="233">D225</f>
        <v>0</v>
      </c>
      <c r="E268" s="145" t="str">
        <f t="shared" si="233"/>
        <v>日曜</v>
      </c>
      <c r="F268" s="145">
        <f t="shared" si="233"/>
        <v>5</v>
      </c>
      <c r="G268" s="142">
        <f>PJ工種集計!P519</f>
        <v>0</v>
      </c>
    </row>
    <row r="269" spans="1:7">
      <c r="A269" s="66">
        <f t="shared" si="227"/>
        <v>7</v>
      </c>
      <c r="B269" s="66">
        <f t="shared" si="227"/>
        <v>0</v>
      </c>
      <c r="C269" s="66" t="str">
        <f t="shared" si="227"/>
        <v/>
      </c>
      <c r="D269" s="66" t="str">
        <f t="shared" ref="D269:F269" si="234">D226</f>
        <v>2週</v>
      </c>
      <c r="E269" s="145" t="str">
        <f t="shared" si="234"/>
        <v>月曜</v>
      </c>
      <c r="F269" s="145">
        <f t="shared" si="234"/>
        <v>6</v>
      </c>
      <c r="G269" s="142">
        <f>PJ工種集計!Q519</f>
        <v>0</v>
      </c>
    </row>
    <row r="270" spans="1:7">
      <c r="A270" s="66">
        <f t="shared" si="227"/>
        <v>7</v>
      </c>
      <c r="B270" s="66">
        <f t="shared" si="227"/>
        <v>0</v>
      </c>
      <c r="C270" s="66" t="str">
        <f t="shared" si="227"/>
        <v/>
      </c>
      <c r="D270" s="66">
        <f t="shared" ref="D270:F270" si="235">D227</f>
        <v>0</v>
      </c>
      <c r="E270" s="145" t="str">
        <f t="shared" si="235"/>
        <v>火曜</v>
      </c>
      <c r="F270" s="145">
        <f t="shared" si="235"/>
        <v>7</v>
      </c>
      <c r="G270" s="142">
        <f>PJ工種集計!R519</f>
        <v>0</v>
      </c>
    </row>
    <row r="271" spans="1:7">
      <c r="A271" s="66">
        <f t="shared" si="227"/>
        <v>7</v>
      </c>
      <c r="B271" s="66">
        <f t="shared" si="227"/>
        <v>0</v>
      </c>
      <c r="C271" s="66" t="str">
        <f t="shared" si="227"/>
        <v/>
      </c>
      <c r="D271" s="66">
        <f t="shared" ref="D271:F271" si="236">D228</f>
        <v>0</v>
      </c>
      <c r="E271" s="145" t="str">
        <f t="shared" si="236"/>
        <v>水曜</v>
      </c>
      <c r="F271" s="145">
        <f t="shared" si="236"/>
        <v>8</v>
      </c>
      <c r="G271" s="142">
        <f>PJ工種集計!S519</f>
        <v>0</v>
      </c>
    </row>
    <row r="272" spans="1:7">
      <c r="A272" s="66">
        <f t="shared" si="227"/>
        <v>7</v>
      </c>
      <c r="B272" s="66">
        <f t="shared" si="227"/>
        <v>0</v>
      </c>
      <c r="C272" s="66" t="str">
        <f t="shared" si="227"/>
        <v/>
      </c>
      <c r="D272" s="66">
        <f t="shared" ref="D272:F272" si="237">D229</f>
        <v>0</v>
      </c>
      <c r="E272" s="145" t="str">
        <f t="shared" si="237"/>
        <v>木曜</v>
      </c>
      <c r="F272" s="145">
        <f t="shared" si="237"/>
        <v>9</v>
      </c>
      <c r="G272" s="142">
        <f>PJ工種集計!T519</f>
        <v>0</v>
      </c>
    </row>
    <row r="273" spans="1:7">
      <c r="A273" s="66">
        <f t="shared" si="227"/>
        <v>7</v>
      </c>
      <c r="B273" s="66">
        <f t="shared" si="227"/>
        <v>0</v>
      </c>
      <c r="C273" s="66" t="str">
        <f t="shared" si="227"/>
        <v/>
      </c>
      <c r="D273" s="66">
        <f t="shared" ref="D273:F273" si="238">D230</f>
        <v>0</v>
      </c>
      <c r="E273" s="145" t="str">
        <f t="shared" si="238"/>
        <v>金曜</v>
      </c>
      <c r="F273" s="145">
        <f t="shared" si="238"/>
        <v>10</v>
      </c>
      <c r="G273" s="142">
        <f>PJ工種集計!U519</f>
        <v>0</v>
      </c>
    </row>
    <row r="274" spans="1:7">
      <c r="A274" s="66">
        <f t="shared" si="227"/>
        <v>7</v>
      </c>
      <c r="B274" s="66">
        <f t="shared" si="227"/>
        <v>0</v>
      </c>
      <c r="C274" s="66" t="str">
        <f t="shared" si="227"/>
        <v/>
      </c>
      <c r="D274" s="66">
        <f t="shared" ref="D274:F274" si="239">D231</f>
        <v>0</v>
      </c>
      <c r="E274" s="145" t="str">
        <f t="shared" si="239"/>
        <v>土曜</v>
      </c>
      <c r="F274" s="145">
        <f t="shared" si="239"/>
        <v>11</v>
      </c>
      <c r="G274" s="142">
        <f>PJ工種集計!V519</f>
        <v>0</v>
      </c>
    </row>
    <row r="275" spans="1:7">
      <c r="A275" s="66">
        <f t="shared" si="227"/>
        <v>7</v>
      </c>
      <c r="B275" s="66">
        <f t="shared" si="227"/>
        <v>0</v>
      </c>
      <c r="C275" s="66" t="str">
        <f t="shared" si="227"/>
        <v/>
      </c>
      <c r="D275" s="66">
        <f t="shared" ref="D275:F275" si="240">D232</f>
        <v>0</v>
      </c>
      <c r="E275" s="145" t="str">
        <f t="shared" si="240"/>
        <v>日曜</v>
      </c>
      <c r="F275" s="145">
        <f t="shared" si="240"/>
        <v>12</v>
      </c>
      <c r="G275" s="142">
        <f>PJ工種集計!W519</f>
        <v>0</v>
      </c>
    </row>
    <row r="276" spans="1:7">
      <c r="A276" s="66">
        <f t="shared" si="227"/>
        <v>7</v>
      </c>
      <c r="B276" s="66">
        <f t="shared" si="227"/>
        <v>0</v>
      </c>
      <c r="C276" s="66" t="str">
        <f t="shared" si="227"/>
        <v/>
      </c>
      <c r="D276" s="66" t="str">
        <f t="shared" ref="D276:F276" si="241">D233</f>
        <v>3週</v>
      </c>
      <c r="E276" s="145" t="str">
        <f t="shared" si="241"/>
        <v>月曜</v>
      </c>
      <c r="F276" s="145">
        <f t="shared" si="241"/>
        <v>13</v>
      </c>
      <c r="G276" s="142">
        <f>PJ工種集計!X519</f>
        <v>0</v>
      </c>
    </row>
    <row r="277" spans="1:7">
      <c r="A277" s="66">
        <f t="shared" si="227"/>
        <v>7</v>
      </c>
      <c r="B277" s="66">
        <f t="shared" si="227"/>
        <v>0</v>
      </c>
      <c r="C277" s="66" t="str">
        <f t="shared" si="227"/>
        <v/>
      </c>
      <c r="D277" s="66">
        <f t="shared" ref="D277:F277" si="242">D234</f>
        <v>0</v>
      </c>
      <c r="E277" s="145" t="str">
        <f t="shared" si="242"/>
        <v>火曜</v>
      </c>
      <c r="F277" s="145">
        <f t="shared" si="242"/>
        <v>14</v>
      </c>
      <c r="G277" s="142">
        <f>PJ工種集計!Y519</f>
        <v>0</v>
      </c>
    </row>
    <row r="278" spans="1:7">
      <c r="A278" s="66">
        <f t="shared" si="227"/>
        <v>7</v>
      </c>
      <c r="B278" s="66">
        <f t="shared" si="227"/>
        <v>0</v>
      </c>
      <c r="C278" s="66" t="str">
        <f t="shared" si="227"/>
        <v/>
      </c>
      <c r="D278" s="66">
        <f t="shared" ref="D278:F278" si="243">D235</f>
        <v>0</v>
      </c>
      <c r="E278" s="145" t="str">
        <f t="shared" si="243"/>
        <v>水曜</v>
      </c>
      <c r="F278" s="145">
        <f t="shared" si="243"/>
        <v>15</v>
      </c>
      <c r="G278" s="142">
        <f>PJ工種集計!Z519</f>
        <v>0</v>
      </c>
    </row>
    <row r="279" spans="1:7">
      <c r="A279" s="66">
        <f t="shared" ref="A279:C294" si="244">A278</f>
        <v>7</v>
      </c>
      <c r="B279" s="66">
        <f t="shared" si="244"/>
        <v>0</v>
      </c>
      <c r="C279" s="66" t="str">
        <f t="shared" si="244"/>
        <v/>
      </c>
      <c r="D279" s="66">
        <f t="shared" ref="D279:F279" si="245">D236</f>
        <v>0</v>
      </c>
      <c r="E279" s="145" t="str">
        <f t="shared" si="245"/>
        <v>木曜</v>
      </c>
      <c r="F279" s="145">
        <f t="shared" si="245"/>
        <v>16</v>
      </c>
      <c r="G279" s="142">
        <f>PJ工種集計!AA519</f>
        <v>0</v>
      </c>
    </row>
    <row r="280" spans="1:7">
      <c r="A280" s="66">
        <f t="shared" si="244"/>
        <v>7</v>
      </c>
      <c r="B280" s="66">
        <f t="shared" si="244"/>
        <v>0</v>
      </c>
      <c r="C280" s="66" t="str">
        <f t="shared" si="244"/>
        <v/>
      </c>
      <c r="D280" s="66">
        <f t="shared" ref="D280:F280" si="246">D237</f>
        <v>0</v>
      </c>
      <c r="E280" s="145" t="str">
        <f t="shared" si="246"/>
        <v>金曜</v>
      </c>
      <c r="F280" s="145">
        <f t="shared" si="246"/>
        <v>17</v>
      </c>
      <c r="G280" s="142">
        <f>PJ工種集計!AB519</f>
        <v>0</v>
      </c>
    </row>
    <row r="281" spans="1:7">
      <c r="A281" s="66">
        <f t="shared" si="244"/>
        <v>7</v>
      </c>
      <c r="B281" s="66">
        <f t="shared" si="244"/>
        <v>0</v>
      </c>
      <c r="C281" s="66" t="str">
        <f t="shared" si="244"/>
        <v/>
      </c>
      <c r="D281" s="66">
        <f t="shared" ref="D281:F281" si="247">D238</f>
        <v>0</v>
      </c>
      <c r="E281" s="145" t="str">
        <f t="shared" si="247"/>
        <v>土曜</v>
      </c>
      <c r="F281" s="145">
        <f t="shared" si="247"/>
        <v>18</v>
      </c>
      <c r="G281" s="142">
        <f>PJ工種集計!AC519</f>
        <v>0</v>
      </c>
    </row>
    <row r="282" spans="1:7">
      <c r="A282" s="66">
        <f t="shared" si="244"/>
        <v>7</v>
      </c>
      <c r="B282" s="66">
        <f t="shared" si="244"/>
        <v>0</v>
      </c>
      <c r="C282" s="66" t="str">
        <f t="shared" si="244"/>
        <v/>
      </c>
      <c r="D282" s="66">
        <f t="shared" ref="D282:F282" si="248">D239</f>
        <v>0</v>
      </c>
      <c r="E282" s="145" t="str">
        <f t="shared" si="248"/>
        <v>日曜</v>
      </c>
      <c r="F282" s="145">
        <f t="shared" si="248"/>
        <v>19</v>
      </c>
      <c r="G282" s="142">
        <f>PJ工種集計!AD519</f>
        <v>0</v>
      </c>
    </row>
    <row r="283" spans="1:7">
      <c r="A283" s="66">
        <f t="shared" si="244"/>
        <v>7</v>
      </c>
      <c r="B283" s="66">
        <f t="shared" si="244"/>
        <v>0</v>
      </c>
      <c r="C283" s="66" t="str">
        <f t="shared" si="244"/>
        <v/>
      </c>
      <c r="D283" s="66" t="str">
        <f t="shared" ref="D283:F283" si="249">D240</f>
        <v>4週</v>
      </c>
      <c r="E283" s="145" t="str">
        <f t="shared" si="249"/>
        <v>月曜</v>
      </c>
      <c r="F283" s="145">
        <f t="shared" si="249"/>
        <v>20</v>
      </c>
      <c r="G283" s="142">
        <f>PJ工種集計!AE519</f>
        <v>0</v>
      </c>
    </row>
    <row r="284" spans="1:7">
      <c r="A284" s="66">
        <f t="shared" si="244"/>
        <v>7</v>
      </c>
      <c r="B284" s="66">
        <f t="shared" si="244"/>
        <v>0</v>
      </c>
      <c r="C284" s="66" t="str">
        <f t="shared" si="244"/>
        <v/>
      </c>
      <c r="D284" s="66">
        <f t="shared" ref="D284:F284" si="250">D241</f>
        <v>0</v>
      </c>
      <c r="E284" s="145" t="str">
        <f t="shared" si="250"/>
        <v>火曜</v>
      </c>
      <c r="F284" s="145">
        <f t="shared" si="250"/>
        <v>21</v>
      </c>
      <c r="G284" s="142">
        <f>PJ工種集計!AF519</f>
        <v>0</v>
      </c>
    </row>
    <row r="285" spans="1:7">
      <c r="A285" s="66">
        <f t="shared" si="244"/>
        <v>7</v>
      </c>
      <c r="B285" s="66">
        <f t="shared" si="244"/>
        <v>0</v>
      </c>
      <c r="C285" s="66" t="str">
        <f t="shared" si="244"/>
        <v/>
      </c>
      <c r="D285" s="66">
        <f t="shared" ref="D285:F285" si="251">D242</f>
        <v>0</v>
      </c>
      <c r="E285" s="145" t="str">
        <f t="shared" si="251"/>
        <v>水曜</v>
      </c>
      <c r="F285" s="145">
        <f t="shared" si="251"/>
        <v>22</v>
      </c>
      <c r="G285" s="142">
        <f>PJ工種集計!AG519</f>
        <v>0</v>
      </c>
    </row>
    <row r="286" spans="1:7">
      <c r="A286" s="66">
        <f t="shared" si="244"/>
        <v>7</v>
      </c>
      <c r="B286" s="66">
        <f t="shared" si="244"/>
        <v>0</v>
      </c>
      <c r="C286" s="66" t="str">
        <f t="shared" si="244"/>
        <v/>
      </c>
      <c r="D286" s="66">
        <f t="shared" ref="D286:F286" si="252">D243</f>
        <v>0</v>
      </c>
      <c r="E286" s="145" t="str">
        <f t="shared" si="252"/>
        <v>木曜</v>
      </c>
      <c r="F286" s="145">
        <f t="shared" si="252"/>
        <v>23</v>
      </c>
      <c r="G286" s="142">
        <f>PJ工種集計!AH519</f>
        <v>0</v>
      </c>
    </row>
    <row r="287" spans="1:7">
      <c r="A287" s="66">
        <f t="shared" si="244"/>
        <v>7</v>
      </c>
      <c r="B287" s="66">
        <f t="shared" si="244"/>
        <v>0</v>
      </c>
      <c r="C287" s="66" t="str">
        <f t="shared" si="244"/>
        <v/>
      </c>
      <c r="D287" s="66">
        <f t="shared" ref="D287:F287" si="253">D244</f>
        <v>0</v>
      </c>
      <c r="E287" s="145" t="str">
        <f t="shared" si="253"/>
        <v>金曜</v>
      </c>
      <c r="F287" s="145">
        <f t="shared" si="253"/>
        <v>24</v>
      </c>
      <c r="G287" s="142">
        <f>PJ工種集計!AI519</f>
        <v>0</v>
      </c>
    </row>
    <row r="288" spans="1:7">
      <c r="A288" s="66">
        <f t="shared" si="244"/>
        <v>7</v>
      </c>
      <c r="B288" s="66">
        <f t="shared" si="244"/>
        <v>0</v>
      </c>
      <c r="C288" s="66" t="str">
        <f t="shared" si="244"/>
        <v/>
      </c>
      <c r="D288" s="66">
        <f t="shared" ref="D288:F288" si="254">D245</f>
        <v>0</v>
      </c>
      <c r="E288" s="145" t="str">
        <f t="shared" si="254"/>
        <v>土曜</v>
      </c>
      <c r="F288" s="145">
        <f t="shared" si="254"/>
        <v>25</v>
      </c>
      <c r="G288" s="142">
        <f>PJ工種集計!AJ519</f>
        <v>0</v>
      </c>
    </row>
    <row r="289" spans="1:7">
      <c r="A289" s="66">
        <f t="shared" si="244"/>
        <v>7</v>
      </c>
      <c r="B289" s="66">
        <f t="shared" si="244"/>
        <v>0</v>
      </c>
      <c r="C289" s="66" t="str">
        <f t="shared" si="244"/>
        <v/>
      </c>
      <c r="D289" s="66">
        <f t="shared" ref="D289:F289" si="255">D246</f>
        <v>0</v>
      </c>
      <c r="E289" s="145" t="str">
        <f t="shared" si="255"/>
        <v>日曜</v>
      </c>
      <c r="F289" s="145">
        <f t="shared" si="255"/>
        <v>26</v>
      </c>
      <c r="G289" s="142">
        <f>PJ工種集計!AK519</f>
        <v>0</v>
      </c>
    </row>
    <row r="290" spans="1:7">
      <c r="A290" s="66">
        <f t="shared" si="244"/>
        <v>7</v>
      </c>
      <c r="B290" s="66">
        <f t="shared" si="244"/>
        <v>0</v>
      </c>
      <c r="C290" s="66" t="str">
        <f t="shared" si="244"/>
        <v/>
      </c>
      <c r="D290" s="66" t="str">
        <f t="shared" ref="D290:F290" si="256">D247</f>
        <v>5週</v>
      </c>
      <c r="E290" s="145" t="str">
        <f t="shared" si="256"/>
        <v>月曜</v>
      </c>
      <c r="F290" s="145">
        <f t="shared" si="256"/>
        <v>27</v>
      </c>
      <c r="G290" s="142">
        <f>PJ工種集計!AL519</f>
        <v>0</v>
      </c>
    </row>
    <row r="291" spans="1:7">
      <c r="A291" s="66">
        <f t="shared" si="244"/>
        <v>7</v>
      </c>
      <c r="B291" s="66">
        <f t="shared" si="244"/>
        <v>0</v>
      </c>
      <c r="C291" s="66" t="str">
        <f t="shared" si="244"/>
        <v/>
      </c>
      <c r="D291" s="66">
        <f t="shared" ref="D291:F291" si="257">D248</f>
        <v>0</v>
      </c>
      <c r="E291" s="145" t="str">
        <f t="shared" si="257"/>
        <v>火曜</v>
      </c>
      <c r="F291" s="145">
        <f t="shared" si="257"/>
        <v>28</v>
      </c>
      <c r="G291" s="142">
        <f>PJ工種集計!AM519</f>
        <v>0</v>
      </c>
    </row>
    <row r="292" spans="1:7">
      <c r="A292" s="66">
        <f t="shared" si="244"/>
        <v>7</v>
      </c>
      <c r="B292" s="66">
        <f t="shared" si="244"/>
        <v>0</v>
      </c>
      <c r="C292" s="66" t="str">
        <f t="shared" si="244"/>
        <v/>
      </c>
      <c r="D292" s="66">
        <f t="shared" ref="D292:F292" si="258">D249</f>
        <v>0</v>
      </c>
      <c r="E292" s="145" t="str">
        <f t="shared" si="258"/>
        <v>水曜</v>
      </c>
      <c r="F292" s="145">
        <f t="shared" si="258"/>
        <v>29</v>
      </c>
      <c r="G292" s="142">
        <f>PJ工種集計!AN519</f>
        <v>0</v>
      </c>
    </row>
    <row r="293" spans="1:7">
      <c r="A293" s="66">
        <f t="shared" si="244"/>
        <v>7</v>
      </c>
      <c r="B293" s="66">
        <f t="shared" si="244"/>
        <v>0</v>
      </c>
      <c r="C293" s="66" t="str">
        <f t="shared" si="244"/>
        <v/>
      </c>
      <c r="D293" s="66">
        <f t="shared" ref="D293:F293" si="259">D250</f>
        <v>0</v>
      </c>
      <c r="E293" s="145" t="str">
        <f t="shared" si="259"/>
        <v>木曜</v>
      </c>
      <c r="F293" s="145">
        <f t="shared" si="259"/>
        <v>30</v>
      </c>
      <c r="G293" s="142">
        <f>PJ工種集計!AO519</f>
        <v>0</v>
      </c>
    </row>
    <row r="294" spans="1:7">
      <c r="A294" s="66">
        <f t="shared" si="244"/>
        <v>7</v>
      </c>
      <c r="B294" s="66">
        <f t="shared" si="244"/>
        <v>0</v>
      </c>
      <c r="C294" s="66" t="str">
        <f t="shared" si="244"/>
        <v/>
      </c>
      <c r="D294" s="66">
        <f t="shared" ref="D294:F294" si="260">D251</f>
        <v>0</v>
      </c>
      <c r="E294" s="145" t="str">
        <f t="shared" si="260"/>
        <v>金曜</v>
      </c>
      <c r="F294" s="145">
        <f t="shared" si="260"/>
        <v>31</v>
      </c>
      <c r="G294" s="142">
        <f>PJ工種集計!AP519</f>
        <v>0</v>
      </c>
    </row>
    <row r="295" spans="1:7">
      <c r="A295" s="66">
        <f t="shared" ref="A295:C303" si="261">A294</f>
        <v>7</v>
      </c>
      <c r="B295" s="66">
        <f t="shared" si="261"/>
        <v>0</v>
      </c>
      <c r="C295" s="66" t="str">
        <f t="shared" si="261"/>
        <v/>
      </c>
      <c r="D295" s="66">
        <f t="shared" ref="D295:F295" si="262">D252</f>
        <v>0</v>
      </c>
      <c r="E295" s="145" t="str">
        <f t="shared" si="262"/>
        <v>土曜</v>
      </c>
      <c r="F295" s="145" t="str">
        <f t="shared" si="262"/>
        <v/>
      </c>
      <c r="G295" s="142">
        <f>PJ工種集計!AQ519</f>
        <v>0</v>
      </c>
    </row>
    <row r="296" spans="1:7">
      <c r="A296" s="66">
        <f t="shared" si="261"/>
        <v>7</v>
      </c>
      <c r="B296" s="66">
        <f t="shared" si="261"/>
        <v>0</v>
      </c>
      <c r="C296" s="66" t="str">
        <f t="shared" si="261"/>
        <v/>
      </c>
      <c r="D296" s="66">
        <f t="shared" ref="D296:F296" si="263">D253</f>
        <v>0</v>
      </c>
      <c r="E296" s="145" t="str">
        <f t="shared" si="263"/>
        <v>日曜</v>
      </c>
      <c r="F296" s="145" t="str">
        <f t="shared" si="263"/>
        <v/>
      </c>
      <c r="G296" s="142">
        <f>PJ工種集計!AR519</f>
        <v>0</v>
      </c>
    </row>
    <row r="297" spans="1:7">
      <c r="A297" s="66">
        <f t="shared" si="261"/>
        <v>7</v>
      </c>
      <c r="B297" s="66">
        <f t="shared" si="261"/>
        <v>0</v>
      </c>
      <c r="C297" s="66" t="str">
        <f t="shared" si="261"/>
        <v/>
      </c>
      <c r="D297" s="66" t="str">
        <f t="shared" ref="D297:F297" si="264">D254</f>
        <v>6週</v>
      </c>
      <c r="E297" s="145" t="str">
        <f t="shared" si="264"/>
        <v>月曜</v>
      </c>
      <c r="F297" s="145" t="str">
        <f t="shared" si="264"/>
        <v/>
      </c>
      <c r="G297" s="142">
        <f>PJ工種集計!AS519</f>
        <v>0</v>
      </c>
    </row>
    <row r="298" spans="1:7">
      <c r="A298" s="66">
        <f t="shared" si="261"/>
        <v>7</v>
      </c>
      <c r="B298" s="66">
        <f t="shared" si="261"/>
        <v>0</v>
      </c>
      <c r="C298" s="66" t="str">
        <f t="shared" si="261"/>
        <v/>
      </c>
      <c r="D298" s="66">
        <f t="shared" ref="D298:F298" si="265">D255</f>
        <v>0</v>
      </c>
      <c r="E298" s="145" t="str">
        <f t="shared" si="265"/>
        <v>火曜</v>
      </c>
      <c r="F298" s="145" t="str">
        <f t="shared" si="265"/>
        <v/>
      </c>
      <c r="G298" s="142">
        <f>PJ工種集計!AT519</f>
        <v>0</v>
      </c>
    </row>
    <row r="299" spans="1:7">
      <c r="A299" s="66">
        <f t="shared" si="261"/>
        <v>7</v>
      </c>
      <c r="B299" s="66">
        <f t="shared" si="261"/>
        <v>0</v>
      </c>
      <c r="C299" s="66" t="str">
        <f t="shared" si="261"/>
        <v/>
      </c>
      <c r="D299" s="66">
        <f t="shared" ref="D299:F299" si="266">D256</f>
        <v>0</v>
      </c>
      <c r="E299" s="145" t="str">
        <f t="shared" si="266"/>
        <v>水曜</v>
      </c>
      <c r="F299" s="145" t="str">
        <f t="shared" si="266"/>
        <v/>
      </c>
      <c r="G299" s="142">
        <f>PJ工種集計!AU519</f>
        <v>0</v>
      </c>
    </row>
    <row r="300" spans="1:7">
      <c r="A300" s="66">
        <f t="shared" si="261"/>
        <v>7</v>
      </c>
      <c r="B300" s="66">
        <f t="shared" si="261"/>
        <v>0</v>
      </c>
      <c r="C300" s="66" t="str">
        <f t="shared" si="261"/>
        <v/>
      </c>
      <c r="D300" s="66">
        <f t="shared" ref="D300:F300" si="267">D257</f>
        <v>0</v>
      </c>
      <c r="E300" s="145" t="str">
        <f t="shared" si="267"/>
        <v>木曜</v>
      </c>
      <c r="F300" s="145" t="str">
        <f t="shared" si="267"/>
        <v/>
      </c>
      <c r="G300" s="142">
        <f>PJ工種集計!AV519</f>
        <v>0</v>
      </c>
    </row>
    <row r="301" spans="1:7">
      <c r="A301" s="66">
        <f t="shared" si="261"/>
        <v>7</v>
      </c>
      <c r="B301" s="66">
        <f t="shared" si="261"/>
        <v>0</v>
      </c>
      <c r="C301" s="66" t="str">
        <f t="shared" si="261"/>
        <v/>
      </c>
      <c r="D301" s="66">
        <f t="shared" ref="D301:F301" si="268">D258</f>
        <v>0</v>
      </c>
      <c r="E301" s="145" t="str">
        <f t="shared" si="268"/>
        <v>金曜</v>
      </c>
      <c r="F301" s="145" t="str">
        <f t="shared" si="268"/>
        <v/>
      </c>
      <c r="G301" s="142">
        <f>PJ工種集計!AW519</f>
        <v>0</v>
      </c>
    </row>
    <row r="302" spans="1:7">
      <c r="A302" s="66">
        <f t="shared" si="261"/>
        <v>7</v>
      </c>
      <c r="B302" s="66">
        <f t="shared" si="261"/>
        <v>0</v>
      </c>
      <c r="C302" s="66" t="str">
        <f t="shared" si="261"/>
        <v/>
      </c>
      <c r="D302" s="66">
        <f t="shared" ref="D302:F302" si="269">D259</f>
        <v>0</v>
      </c>
      <c r="E302" s="145" t="str">
        <f t="shared" si="269"/>
        <v>土曜</v>
      </c>
      <c r="F302" s="145" t="str">
        <f t="shared" si="269"/>
        <v/>
      </c>
      <c r="G302" s="142">
        <f>PJ工種集計!AX519</f>
        <v>0</v>
      </c>
    </row>
    <row r="303" spans="1:7">
      <c r="A303" s="66">
        <f t="shared" si="261"/>
        <v>7</v>
      </c>
      <c r="B303" s="66">
        <f t="shared" si="261"/>
        <v>0</v>
      </c>
      <c r="C303" s="66" t="str">
        <f t="shared" si="261"/>
        <v/>
      </c>
      <c r="D303" s="66">
        <f t="shared" ref="D303:F303" si="270">D260</f>
        <v>0</v>
      </c>
      <c r="E303" s="145" t="str">
        <f t="shared" si="270"/>
        <v>日曜</v>
      </c>
      <c r="F303" s="145" t="str">
        <f t="shared" si="270"/>
        <v/>
      </c>
      <c r="G303" s="142">
        <f>PJ工種集計!AY519</f>
        <v>0</v>
      </c>
    </row>
    <row r="305" spans="1:7">
      <c r="A305" s="66">
        <f>PJ工種集計!A603</f>
        <v>8</v>
      </c>
      <c r="B305" s="66">
        <f>PJ工種集計!B603</f>
        <v>0</v>
      </c>
      <c r="C305" s="66" t="str">
        <f>PJ工種集計!C603</f>
        <v/>
      </c>
      <c r="D305" s="66" t="str">
        <f>D262</f>
        <v>１週</v>
      </c>
      <c r="E305" s="145" t="str">
        <f>E262</f>
        <v>月曜</v>
      </c>
      <c r="F305" s="145" t="str">
        <f>F262</f>
        <v/>
      </c>
      <c r="G305" s="142">
        <f>PJ工種集計!J604</f>
        <v>0</v>
      </c>
    </row>
    <row r="306" spans="1:7">
      <c r="A306" s="66">
        <f t="shared" ref="A306:C306" si="271">A305</f>
        <v>8</v>
      </c>
      <c r="B306" s="66">
        <f t="shared" si="271"/>
        <v>0</v>
      </c>
      <c r="C306" s="66" t="str">
        <f t="shared" si="271"/>
        <v/>
      </c>
      <c r="D306" s="66">
        <f t="shared" ref="D306:F306" si="272">D263</f>
        <v>0</v>
      </c>
      <c r="E306" s="145" t="str">
        <f t="shared" si="272"/>
        <v>火曜</v>
      </c>
      <c r="F306" s="145" t="str">
        <f t="shared" si="272"/>
        <v/>
      </c>
      <c r="G306" s="142">
        <f>PJ工種集計!K604</f>
        <v>0</v>
      </c>
    </row>
    <row r="307" spans="1:7">
      <c r="A307" s="66">
        <f t="shared" ref="A307:C307" si="273">A306</f>
        <v>8</v>
      </c>
      <c r="B307" s="66">
        <f t="shared" si="273"/>
        <v>0</v>
      </c>
      <c r="C307" s="66" t="str">
        <f t="shared" si="273"/>
        <v/>
      </c>
      <c r="D307" s="66">
        <f t="shared" ref="D307:F307" si="274">D264</f>
        <v>0</v>
      </c>
      <c r="E307" s="145" t="str">
        <f t="shared" si="274"/>
        <v>水曜</v>
      </c>
      <c r="F307" s="145">
        <f t="shared" si="274"/>
        <v>1</v>
      </c>
      <c r="G307" s="142">
        <f>PJ工種集計!L604</f>
        <v>0</v>
      </c>
    </row>
    <row r="308" spans="1:7">
      <c r="A308" s="66">
        <f t="shared" ref="A308:C308" si="275">A307</f>
        <v>8</v>
      </c>
      <c r="B308" s="66">
        <f t="shared" si="275"/>
        <v>0</v>
      </c>
      <c r="C308" s="66" t="str">
        <f t="shared" si="275"/>
        <v/>
      </c>
      <c r="D308" s="66">
        <f t="shared" ref="D308:F308" si="276">D265</f>
        <v>0</v>
      </c>
      <c r="E308" s="145" t="str">
        <f t="shared" si="276"/>
        <v>木曜</v>
      </c>
      <c r="F308" s="145">
        <f t="shared" si="276"/>
        <v>2</v>
      </c>
      <c r="G308" s="142">
        <f>PJ工種集計!M604</f>
        <v>0</v>
      </c>
    </row>
    <row r="309" spans="1:7">
      <c r="A309" s="66">
        <f t="shared" ref="A309:C309" si="277">A308</f>
        <v>8</v>
      </c>
      <c r="B309" s="66">
        <f t="shared" si="277"/>
        <v>0</v>
      </c>
      <c r="C309" s="66" t="str">
        <f t="shared" si="277"/>
        <v/>
      </c>
      <c r="D309" s="66">
        <f t="shared" ref="D309:F309" si="278">D266</f>
        <v>0</v>
      </c>
      <c r="E309" s="145" t="str">
        <f t="shared" si="278"/>
        <v>金曜</v>
      </c>
      <c r="F309" s="145">
        <f t="shared" si="278"/>
        <v>3</v>
      </c>
      <c r="G309" s="142">
        <f>PJ工種集計!N604</f>
        <v>0</v>
      </c>
    </row>
    <row r="310" spans="1:7">
      <c r="A310" s="66">
        <f t="shared" ref="A310:C310" si="279">A309</f>
        <v>8</v>
      </c>
      <c r="B310" s="66">
        <f t="shared" si="279"/>
        <v>0</v>
      </c>
      <c r="C310" s="66" t="str">
        <f t="shared" si="279"/>
        <v/>
      </c>
      <c r="D310" s="66">
        <f t="shared" ref="D310:F310" si="280">D267</f>
        <v>0</v>
      </c>
      <c r="E310" s="145" t="str">
        <f t="shared" si="280"/>
        <v>土曜</v>
      </c>
      <c r="F310" s="145">
        <f t="shared" si="280"/>
        <v>4</v>
      </c>
      <c r="G310" s="142">
        <f>PJ工種集計!O604</f>
        <v>0</v>
      </c>
    </row>
    <row r="311" spans="1:7">
      <c r="A311" s="66">
        <f t="shared" ref="A311:C311" si="281">A310</f>
        <v>8</v>
      </c>
      <c r="B311" s="66">
        <f t="shared" si="281"/>
        <v>0</v>
      </c>
      <c r="C311" s="66" t="str">
        <f t="shared" si="281"/>
        <v/>
      </c>
      <c r="D311" s="66">
        <f t="shared" ref="D311:F311" si="282">D268</f>
        <v>0</v>
      </c>
      <c r="E311" s="145" t="str">
        <f t="shared" si="282"/>
        <v>日曜</v>
      </c>
      <c r="F311" s="145">
        <f t="shared" si="282"/>
        <v>5</v>
      </c>
      <c r="G311" s="142">
        <f>PJ工種集計!P604</f>
        <v>0</v>
      </c>
    </row>
    <row r="312" spans="1:7">
      <c r="A312" s="66">
        <f t="shared" ref="A312:C312" si="283">A311</f>
        <v>8</v>
      </c>
      <c r="B312" s="66">
        <f t="shared" si="283"/>
        <v>0</v>
      </c>
      <c r="C312" s="66" t="str">
        <f t="shared" si="283"/>
        <v/>
      </c>
      <c r="D312" s="66" t="str">
        <f t="shared" ref="D312:F312" si="284">D269</f>
        <v>2週</v>
      </c>
      <c r="E312" s="145" t="str">
        <f t="shared" si="284"/>
        <v>月曜</v>
      </c>
      <c r="F312" s="145">
        <f t="shared" si="284"/>
        <v>6</v>
      </c>
      <c r="G312" s="142">
        <f>PJ工種集計!Q604</f>
        <v>0</v>
      </c>
    </row>
    <row r="313" spans="1:7">
      <c r="A313" s="66">
        <f t="shared" ref="A313:C313" si="285">A312</f>
        <v>8</v>
      </c>
      <c r="B313" s="66">
        <f t="shared" si="285"/>
        <v>0</v>
      </c>
      <c r="C313" s="66" t="str">
        <f t="shared" si="285"/>
        <v/>
      </c>
      <c r="D313" s="66">
        <f t="shared" ref="D313:F313" si="286">D270</f>
        <v>0</v>
      </c>
      <c r="E313" s="145" t="str">
        <f t="shared" si="286"/>
        <v>火曜</v>
      </c>
      <c r="F313" s="145">
        <f t="shared" si="286"/>
        <v>7</v>
      </c>
      <c r="G313" s="142">
        <f>PJ工種集計!R604</f>
        <v>0</v>
      </c>
    </row>
    <row r="314" spans="1:7">
      <c r="A314" s="66">
        <f t="shared" ref="A314:C314" si="287">A313</f>
        <v>8</v>
      </c>
      <c r="B314" s="66">
        <f t="shared" si="287"/>
        <v>0</v>
      </c>
      <c r="C314" s="66" t="str">
        <f t="shared" si="287"/>
        <v/>
      </c>
      <c r="D314" s="66">
        <f t="shared" ref="D314:F314" si="288">D271</f>
        <v>0</v>
      </c>
      <c r="E314" s="145" t="str">
        <f t="shared" si="288"/>
        <v>水曜</v>
      </c>
      <c r="F314" s="145">
        <f t="shared" si="288"/>
        <v>8</v>
      </c>
      <c r="G314" s="142">
        <f>PJ工種集計!S604</f>
        <v>0</v>
      </c>
    </row>
    <row r="315" spans="1:7">
      <c r="A315" s="66">
        <f t="shared" ref="A315:C315" si="289">A314</f>
        <v>8</v>
      </c>
      <c r="B315" s="66">
        <f t="shared" si="289"/>
        <v>0</v>
      </c>
      <c r="C315" s="66" t="str">
        <f t="shared" si="289"/>
        <v/>
      </c>
      <c r="D315" s="66">
        <f t="shared" ref="D315:F315" si="290">D272</f>
        <v>0</v>
      </c>
      <c r="E315" s="145" t="str">
        <f t="shared" si="290"/>
        <v>木曜</v>
      </c>
      <c r="F315" s="145">
        <f t="shared" si="290"/>
        <v>9</v>
      </c>
      <c r="G315" s="142">
        <f>PJ工種集計!T604</f>
        <v>0</v>
      </c>
    </row>
    <row r="316" spans="1:7">
      <c r="A316" s="66">
        <f t="shared" ref="A316:C316" si="291">A315</f>
        <v>8</v>
      </c>
      <c r="B316" s="66">
        <f t="shared" si="291"/>
        <v>0</v>
      </c>
      <c r="C316" s="66" t="str">
        <f t="shared" si="291"/>
        <v/>
      </c>
      <c r="D316" s="66">
        <f t="shared" ref="D316:F316" si="292">D273</f>
        <v>0</v>
      </c>
      <c r="E316" s="145" t="str">
        <f t="shared" si="292"/>
        <v>金曜</v>
      </c>
      <c r="F316" s="145">
        <f t="shared" si="292"/>
        <v>10</v>
      </c>
      <c r="G316" s="142">
        <f>PJ工種集計!U604</f>
        <v>0</v>
      </c>
    </row>
    <row r="317" spans="1:7">
      <c r="A317" s="66">
        <f t="shared" ref="A317:C317" si="293">A316</f>
        <v>8</v>
      </c>
      <c r="B317" s="66">
        <f t="shared" si="293"/>
        <v>0</v>
      </c>
      <c r="C317" s="66" t="str">
        <f t="shared" si="293"/>
        <v/>
      </c>
      <c r="D317" s="66">
        <f t="shared" ref="D317:F317" si="294">D274</f>
        <v>0</v>
      </c>
      <c r="E317" s="145" t="str">
        <f t="shared" si="294"/>
        <v>土曜</v>
      </c>
      <c r="F317" s="145">
        <f t="shared" si="294"/>
        <v>11</v>
      </c>
      <c r="G317" s="142">
        <f>PJ工種集計!V604</f>
        <v>0</v>
      </c>
    </row>
    <row r="318" spans="1:7">
      <c r="A318" s="66">
        <f t="shared" ref="A318:C318" si="295">A317</f>
        <v>8</v>
      </c>
      <c r="B318" s="66">
        <f t="shared" si="295"/>
        <v>0</v>
      </c>
      <c r="C318" s="66" t="str">
        <f t="shared" si="295"/>
        <v/>
      </c>
      <c r="D318" s="66">
        <f t="shared" ref="D318:F318" si="296">D275</f>
        <v>0</v>
      </c>
      <c r="E318" s="145" t="str">
        <f t="shared" si="296"/>
        <v>日曜</v>
      </c>
      <c r="F318" s="145">
        <f t="shared" si="296"/>
        <v>12</v>
      </c>
      <c r="G318" s="142">
        <f>PJ工種集計!W604</f>
        <v>0</v>
      </c>
    </row>
    <row r="319" spans="1:7">
      <c r="A319" s="66">
        <f t="shared" ref="A319:C319" si="297">A318</f>
        <v>8</v>
      </c>
      <c r="B319" s="66">
        <f t="shared" si="297"/>
        <v>0</v>
      </c>
      <c r="C319" s="66" t="str">
        <f t="shared" si="297"/>
        <v/>
      </c>
      <c r="D319" s="66" t="str">
        <f t="shared" ref="D319:F319" si="298">D276</f>
        <v>3週</v>
      </c>
      <c r="E319" s="145" t="str">
        <f t="shared" si="298"/>
        <v>月曜</v>
      </c>
      <c r="F319" s="145">
        <f t="shared" si="298"/>
        <v>13</v>
      </c>
      <c r="G319" s="142">
        <f>PJ工種集計!X604</f>
        <v>0</v>
      </c>
    </row>
    <row r="320" spans="1:7">
      <c r="A320" s="66">
        <f t="shared" ref="A320:C320" si="299">A319</f>
        <v>8</v>
      </c>
      <c r="B320" s="66">
        <f t="shared" si="299"/>
        <v>0</v>
      </c>
      <c r="C320" s="66" t="str">
        <f t="shared" si="299"/>
        <v/>
      </c>
      <c r="D320" s="66">
        <f t="shared" ref="D320:F320" si="300">D277</f>
        <v>0</v>
      </c>
      <c r="E320" s="145" t="str">
        <f t="shared" si="300"/>
        <v>火曜</v>
      </c>
      <c r="F320" s="145">
        <f t="shared" si="300"/>
        <v>14</v>
      </c>
      <c r="G320" s="142">
        <f>PJ工種集計!Y604</f>
        <v>0</v>
      </c>
    </row>
    <row r="321" spans="1:7">
      <c r="A321" s="66">
        <f t="shared" ref="A321:C321" si="301">A320</f>
        <v>8</v>
      </c>
      <c r="B321" s="66">
        <f t="shared" si="301"/>
        <v>0</v>
      </c>
      <c r="C321" s="66" t="str">
        <f t="shared" si="301"/>
        <v/>
      </c>
      <c r="D321" s="66">
        <f t="shared" ref="D321:F321" si="302">D278</f>
        <v>0</v>
      </c>
      <c r="E321" s="145" t="str">
        <f t="shared" si="302"/>
        <v>水曜</v>
      </c>
      <c r="F321" s="145">
        <f t="shared" si="302"/>
        <v>15</v>
      </c>
      <c r="G321" s="142">
        <f>PJ工種集計!Z604</f>
        <v>0</v>
      </c>
    </row>
    <row r="322" spans="1:7">
      <c r="A322" s="66">
        <f t="shared" ref="A322:C322" si="303">A321</f>
        <v>8</v>
      </c>
      <c r="B322" s="66">
        <f t="shared" si="303"/>
        <v>0</v>
      </c>
      <c r="C322" s="66" t="str">
        <f t="shared" si="303"/>
        <v/>
      </c>
      <c r="D322" s="66">
        <f t="shared" ref="D322:F322" si="304">D279</f>
        <v>0</v>
      </c>
      <c r="E322" s="145" t="str">
        <f t="shared" si="304"/>
        <v>木曜</v>
      </c>
      <c r="F322" s="145">
        <f t="shared" si="304"/>
        <v>16</v>
      </c>
      <c r="G322" s="142">
        <f>PJ工種集計!AA604</f>
        <v>0</v>
      </c>
    </row>
    <row r="323" spans="1:7">
      <c r="A323" s="66">
        <f t="shared" ref="A323:C323" si="305">A322</f>
        <v>8</v>
      </c>
      <c r="B323" s="66">
        <f t="shared" si="305"/>
        <v>0</v>
      </c>
      <c r="C323" s="66" t="str">
        <f t="shared" si="305"/>
        <v/>
      </c>
      <c r="D323" s="66">
        <f t="shared" ref="D323:F323" si="306">D280</f>
        <v>0</v>
      </c>
      <c r="E323" s="145" t="str">
        <f t="shared" si="306"/>
        <v>金曜</v>
      </c>
      <c r="F323" s="145">
        <f t="shared" si="306"/>
        <v>17</v>
      </c>
      <c r="G323" s="142">
        <f>PJ工種集計!AB604</f>
        <v>0</v>
      </c>
    </row>
    <row r="324" spans="1:7">
      <c r="A324" s="66">
        <f t="shared" ref="A324:C324" si="307">A323</f>
        <v>8</v>
      </c>
      <c r="B324" s="66">
        <f t="shared" si="307"/>
        <v>0</v>
      </c>
      <c r="C324" s="66" t="str">
        <f t="shared" si="307"/>
        <v/>
      </c>
      <c r="D324" s="66">
        <f t="shared" ref="D324:F324" si="308">D281</f>
        <v>0</v>
      </c>
      <c r="E324" s="145" t="str">
        <f t="shared" si="308"/>
        <v>土曜</v>
      </c>
      <c r="F324" s="145">
        <f t="shared" si="308"/>
        <v>18</v>
      </c>
      <c r="G324" s="142">
        <f>PJ工種集計!AC604</f>
        <v>0</v>
      </c>
    </row>
    <row r="325" spans="1:7">
      <c r="A325" s="66">
        <f t="shared" ref="A325:C325" si="309">A324</f>
        <v>8</v>
      </c>
      <c r="B325" s="66">
        <f t="shared" si="309"/>
        <v>0</v>
      </c>
      <c r="C325" s="66" t="str">
        <f t="shared" si="309"/>
        <v/>
      </c>
      <c r="D325" s="66">
        <f t="shared" ref="D325:F325" si="310">D282</f>
        <v>0</v>
      </c>
      <c r="E325" s="145" t="str">
        <f t="shared" si="310"/>
        <v>日曜</v>
      </c>
      <c r="F325" s="145">
        <f t="shared" si="310"/>
        <v>19</v>
      </c>
      <c r="G325" s="142">
        <f>PJ工種集計!AD604</f>
        <v>0</v>
      </c>
    </row>
    <row r="326" spans="1:7">
      <c r="A326" s="66">
        <f t="shared" ref="A326:C326" si="311">A325</f>
        <v>8</v>
      </c>
      <c r="B326" s="66">
        <f t="shared" si="311"/>
        <v>0</v>
      </c>
      <c r="C326" s="66" t="str">
        <f t="shared" si="311"/>
        <v/>
      </c>
      <c r="D326" s="66" t="str">
        <f t="shared" ref="D326:F326" si="312">D283</f>
        <v>4週</v>
      </c>
      <c r="E326" s="145" t="str">
        <f t="shared" si="312"/>
        <v>月曜</v>
      </c>
      <c r="F326" s="145">
        <f t="shared" si="312"/>
        <v>20</v>
      </c>
      <c r="G326" s="142">
        <f>PJ工種集計!AE604</f>
        <v>0</v>
      </c>
    </row>
    <row r="327" spans="1:7">
      <c r="A327" s="66">
        <f t="shared" ref="A327:C327" si="313">A326</f>
        <v>8</v>
      </c>
      <c r="B327" s="66">
        <f t="shared" si="313"/>
        <v>0</v>
      </c>
      <c r="C327" s="66" t="str">
        <f t="shared" si="313"/>
        <v/>
      </c>
      <c r="D327" s="66">
        <f t="shared" ref="D327:F327" si="314">D284</f>
        <v>0</v>
      </c>
      <c r="E327" s="145" t="str">
        <f t="shared" si="314"/>
        <v>火曜</v>
      </c>
      <c r="F327" s="145">
        <f t="shared" si="314"/>
        <v>21</v>
      </c>
      <c r="G327" s="142">
        <f>PJ工種集計!AF604</f>
        <v>0</v>
      </c>
    </row>
    <row r="328" spans="1:7">
      <c r="A328" s="66">
        <f t="shared" ref="A328:C328" si="315">A327</f>
        <v>8</v>
      </c>
      <c r="B328" s="66">
        <f t="shared" si="315"/>
        <v>0</v>
      </c>
      <c r="C328" s="66" t="str">
        <f t="shared" si="315"/>
        <v/>
      </c>
      <c r="D328" s="66">
        <f t="shared" ref="D328:F328" si="316">D285</f>
        <v>0</v>
      </c>
      <c r="E328" s="145" t="str">
        <f t="shared" si="316"/>
        <v>水曜</v>
      </c>
      <c r="F328" s="145">
        <f t="shared" si="316"/>
        <v>22</v>
      </c>
      <c r="G328" s="142">
        <f>PJ工種集計!AG604</f>
        <v>0</v>
      </c>
    </row>
    <row r="329" spans="1:7">
      <c r="A329" s="66">
        <f t="shared" ref="A329:C329" si="317">A328</f>
        <v>8</v>
      </c>
      <c r="B329" s="66">
        <f t="shared" si="317"/>
        <v>0</v>
      </c>
      <c r="C329" s="66" t="str">
        <f t="shared" si="317"/>
        <v/>
      </c>
      <c r="D329" s="66">
        <f t="shared" ref="D329:F329" si="318">D286</f>
        <v>0</v>
      </c>
      <c r="E329" s="145" t="str">
        <f t="shared" si="318"/>
        <v>木曜</v>
      </c>
      <c r="F329" s="145">
        <f t="shared" si="318"/>
        <v>23</v>
      </c>
      <c r="G329" s="142">
        <f>PJ工種集計!AH604</f>
        <v>0</v>
      </c>
    </row>
    <row r="330" spans="1:7">
      <c r="A330" s="66">
        <f t="shared" ref="A330:C330" si="319">A329</f>
        <v>8</v>
      </c>
      <c r="B330" s="66">
        <f t="shared" si="319"/>
        <v>0</v>
      </c>
      <c r="C330" s="66" t="str">
        <f t="shared" si="319"/>
        <v/>
      </c>
      <c r="D330" s="66">
        <f t="shared" ref="D330:F330" si="320">D287</f>
        <v>0</v>
      </c>
      <c r="E330" s="145" t="str">
        <f t="shared" si="320"/>
        <v>金曜</v>
      </c>
      <c r="F330" s="145">
        <f t="shared" si="320"/>
        <v>24</v>
      </c>
      <c r="G330" s="142">
        <f>PJ工種集計!AI604</f>
        <v>0</v>
      </c>
    </row>
    <row r="331" spans="1:7">
      <c r="A331" s="66">
        <f t="shared" ref="A331:C331" si="321">A330</f>
        <v>8</v>
      </c>
      <c r="B331" s="66">
        <f t="shared" si="321"/>
        <v>0</v>
      </c>
      <c r="C331" s="66" t="str">
        <f t="shared" si="321"/>
        <v/>
      </c>
      <c r="D331" s="66">
        <f t="shared" ref="D331:F331" si="322">D288</f>
        <v>0</v>
      </c>
      <c r="E331" s="145" t="str">
        <f t="shared" si="322"/>
        <v>土曜</v>
      </c>
      <c r="F331" s="145">
        <f t="shared" si="322"/>
        <v>25</v>
      </c>
      <c r="G331" s="142">
        <f>PJ工種集計!AJ604</f>
        <v>0</v>
      </c>
    </row>
    <row r="332" spans="1:7">
      <c r="A332" s="66">
        <f t="shared" ref="A332:C332" si="323">A331</f>
        <v>8</v>
      </c>
      <c r="B332" s="66">
        <f t="shared" si="323"/>
        <v>0</v>
      </c>
      <c r="C332" s="66" t="str">
        <f t="shared" si="323"/>
        <v/>
      </c>
      <c r="D332" s="66">
        <f t="shared" ref="D332:F332" si="324">D289</f>
        <v>0</v>
      </c>
      <c r="E332" s="145" t="str">
        <f t="shared" si="324"/>
        <v>日曜</v>
      </c>
      <c r="F332" s="145">
        <f t="shared" si="324"/>
        <v>26</v>
      </c>
      <c r="G332" s="142">
        <f>PJ工種集計!AK604</f>
        <v>0</v>
      </c>
    </row>
    <row r="333" spans="1:7">
      <c r="A333" s="66">
        <f t="shared" ref="A333:C333" si="325">A332</f>
        <v>8</v>
      </c>
      <c r="B333" s="66">
        <f t="shared" si="325"/>
        <v>0</v>
      </c>
      <c r="C333" s="66" t="str">
        <f t="shared" si="325"/>
        <v/>
      </c>
      <c r="D333" s="66" t="str">
        <f t="shared" ref="D333:F333" si="326">D290</f>
        <v>5週</v>
      </c>
      <c r="E333" s="145" t="str">
        <f t="shared" si="326"/>
        <v>月曜</v>
      </c>
      <c r="F333" s="145">
        <f t="shared" si="326"/>
        <v>27</v>
      </c>
      <c r="G333" s="142">
        <f>PJ工種集計!AL604</f>
        <v>0</v>
      </c>
    </row>
    <row r="334" spans="1:7">
      <c r="A334" s="66">
        <f t="shared" ref="A334:C334" si="327">A333</f>
        <v>8</v>
      </c>
      <c r="B334" s="66">
        <f t="shared" si="327"/>
        <v>0</v>
      </c>
      <c r="C334" s="66" t="str">
        <f t="shared" si="327"/>
        <v/>
      </c>
      <c r="D334" s="66">
        <f t="shared" ref="D334:F334" si="328">D291</f>
        <v>0</v>
      </c>
      <c r="E334" s="145" t="str">
        <f t="shared" si="328"/>
        <v>火曜</v>
      </c>
      <c r="F334" s="145">
        <f t="shared" si="328"/>
        <v>28</v>
      </c>
      <c r="G334" s="142">
        <f>PJ工種集計!AM604</f>
        <v>0</v>
      </c>
    </row>
    <row r="335" spans="1:7">
      <c r="A335" s="66">
        <f t="shared" ref="A335:C335" si="329">A334</f>
        <v>8</v>
      </c>
      <c r="B335" s="66">
        <f t="shared" si="329"/>
        <v>0</v>
      </c>
      <c r="C335" s="66" t="str">
        <f t="shared" si="329"/>
        <v/>
      </c>
      <c r="D335" s="66">
        <f t="shared" ref="D335:F335" si="330">D292</f>
        <v>0</v>
      </c>
      <c r="E335" s="145" t="str">
        <f t="shared" si="330"/>
        <v>水曜</v>
      </c>
      <c r="F335" s="145">
        <f t="shared" si="330"/>
        <v>29</v>
      </c>
      <c r="G335" s="142">
        <f>PJ工種集計!AN604</f>
        <v>0</v>
      </c>
    </row>
    <row r="336" spans="1:7">
      <c r="A336" s="66">
        <f t="shared" ref="A336:C336" si="331">A335</f>
        <v>8</v>
      </c>
      <c r="B336" s="66">
        <f t="shared" si="331"/>
        <v>0</v>
      </c>
      <c r="C336" s="66" t="str">
        <f t="shared" si="331"/>
        <v/>
      </c>
      <c r="D336" s="66">
        <f t="shared" ref="D336:F336" si="332">D293</f>
        <v>0</v>
      </c>
      <c r="E336" s="145" t="str">
        <f t="shared" si="332"/>
        <v>木曜</v>
      </c>
      <c r="F336" s="145">
        <f t="shared" si="332"/>
        <v>30</v>
      </c>
      <c r="G336" s="142">
        <f>PJ工種集計!AO604</f>
        <v>0</v>
      </c>
    </row>
    <row r="337" spans="1:7">
      <c r="A337" s="66">
        <f t="shared" ref="A337:C337" si="333">A336</f>
        <v>8</v>
      </c>
      <c r="B337" s="66">
        <f t="shared" si="333"/>
        <v>0</v>
      </c>
      <c r="C337" s="66" t="str">
        <f t="shared" si="333"/>
        <v/>
      </c>
      <c r="D337" s="66">
        <f t="shared" ref="D337:F337" si="334">D294</f>
        <v>0</v>
      </c>
      <c r="E337" s="145" t="str">
        <f t="shared" si="334"/>
        <v>金曜</v>
      </c>
      <c r="F337" s="145">
        <f t="shared" si="334"/>
        <v>31</v>
      </c>
      <c r="G337" s="142">
        <f>PJ工種集計!AP604</f>
        <v>0</v>
      </c>
    </row>
    <row r="338" spans="1:7">
      <c r="A338" s="66">
        <f t="shared" ref="A338:C338" si="335">A337</f>
        <v>8</v>
      </c>
      <c r="B338" s="66">
        <f t="shared" si="335"/>
        <v>0</v>
      </c>
      <c r="C338" s="66" t="str">
        <f t="shared" si="335"/>
        <v/>
      </c>
      <c r="D338" s="66">
        <f t="shared" ref="D338:F338" si="336">D295</f>
        <v>0</v>
      </c>
      <c r="E338" s="145" t="str">
        <f t="shared" si="336"/>
        <v>土曜</v>
      </c>
      <c r="F338" s="145" t="str">
        <f t="shared" si="336"/>
        <v/>
      </c>
      <c r="G338" s="142">
        <f>PJ工種集計!AQ604</f>
        <v>0</v>
      </c>
    </row>
    <row r="339" spans="1:7">
      <c r="A339" s="66">
        <f t="shared" ref="A339:C339" si="337">A338</f>
        <v>8</v>
      </c>
      <c r="B339" s="66">
        <f t="shared" si="337"/>
        <v>0</v>
      </c>
      <c r="C339" s="66" t="str">
        <f t="shared" si="337"/>
        <v/>
      </c>
      <c r="D339" s="66">
        <f t="shared" ref="D339:F339" si="338">D296</f>
        <v>0</v>
      </c>
      <c r="E339" s="145" t="str">
        <f t="shared" si="338"/>
        <v>日曜</v>
      </c>
      <c r="F339" s="145" t="str">
        <f t="shared" si="338"/>
        <v/>
      </c>
      <c r="G339" s="142">
        <f>PJ工種集計!AR604</f>
        <v>0</v>
      </c>
    </row>
    <row r="340" spans="1:7">
      <c r="A340" s="66">
        <f t="shared" ref="A340:C340" si="339">A339</f>
        <v>8</v>
      </c>
      <c r="B340" s="66">
        <f t="shared" si="339"/>
        <v>0</v>
      </c>
      <c r="C340" s="66" t="str">
        <f t="shared" si="339"/>
        <v/>
      </c>
      <c r="D340" s="66" t="str">
        <f t="shared" ref="D340:F340" si="340">D297</f>
        <v>6週</v>
      </c>
      <c r="E340" s="145" t="str">
        <f t="shared" si="340"/>
        <v>月曜</v>
      </c>
      <c r="F340" s="145" t="str">
        <f t="shared" si="340"/>
        <v/>
      </c>
      <c r="G340" s="142">
        <f>PJ工種集計!AS604</f>
        <v>0</v>
      </c>
    </row>
    <row r="341" spans="1:7">
      <c r="A341" s="66">
        <f t="shared" ref="A341:C341" si="341">A340</f>
        <v>8</v>
      </c>
      <c r="B341" s="66">
        <f t="shared" si="341"/>
        <v>0</v>
      </c>
      <c r="C341" s="66" t="str">
        <f t="shared" si="341"/>
        <v/>
      </c>
      <c r="D341" s="66">
        <f t="shared" ref="D341:F341" si="342">D298</f>
        <v>0</v>
      </c>
      <c r="E341" s="145" t="str">
        <f t="shared" si="342"/>
        <v>火曜</v>
      </c>
      <c r="F341" s="145" t="str">
        <f t="shared" si="342"/>
        <v/>
      </c>
      <c r="G341" s="142">
        <f>PJ工種集計!AT604</f>
        <v>0</v>
      </c>
    </row>
    <row r="342" spans="1:7">
      <c r="A342" s="66">
        <f t="shared" ref="A342:C342" si="343">A341</f>
        <v>8</v>
      </c>
      <c r="B342" s="66">
        <f t="shared" si="343"/>
        <v>0</v>
      </c>
      <c r="C342" s="66" t="str">
        <f t="shared" si="343"/>
        <v/>
      </c>
      <c r="D342" s="66">
        <f t="shared" ref="D342:F342" si="344">D299</f>
        <v>0</v>
      </c>
      <c r="E342" s="145" t="str">
        <f t="shared" si="344"/>
        <v>水曜</v>
      </c>
      <c r="F342" s="145" t="str">
        <f t="shared" si="344"/>
        <v/>
      </c>
      <c r="G342" s="142">
        <f>PJ工種集計!AU604</f>
        <v>0</v>
      </c>
    </row>
    <row r="343" spans="1:7">
      <c r="A343" s="66">
        <f t="shared" ref="A343:C343" si="345">A342</f>
        <v>8</v>
      </c>
      <c r="B343" s="66">
        <f t="shared" si="345"/>
        <v>0</v>
      </c>
      <c r="C343" s="66" t="str">
        <f t="shared" si="345"/>
        <v/>
      </c>
      <c r="D343" s="66">
        <f t="shared" ref="D343:F343" si="346">D300</f>
        <v>0</v>
      </c>
      <c r="E343" s="145" t="str">
        <f t="shared" si="346"/>
        <v>木曜</v>
      </c>
      <c r="F343" s="145" t="str">
        <f t="shared" si="346"/>
        <v/>
      </c>
      <c r="G343" s="142">
        <f>PJ工種集計!AV604</f>
        <v>0</v>
      </c>
    </row>
    <row r="344" spans="1:7">
      <c r="A344" s="66">
        <f t="shared" ref="A344:C344" si="347">A343</f>
        <v>8</v>
      </c>
      <c r="B344" s="66">
        <f t="shared" si="347"/>
        <v>0</v>
      </c>
      <c r="C344" s="66" t="str">
        <f t="shared" si="347"/>
        <v/>
      </c>
      <c r="D344" s="66">
        <f t="shared" ref="D344:F344" si="348">D301</f>
        <v>0</v>
      </c>
      <c r="E344" s="145" t="str">
        <f t="shared" si="348"/>
        <v>金曜</v>
      </c>
      <c r="F344" s="145" t="str">
        <f t="shared" si="348"/>
        <v/>
      </c>
      <c r="G344" s="142">
        <f>PJ工種集計!AW604</f>
        <v>0</v>
      </c>
    </row>
    <row r="345" spans="1:7">
      <c r="A345" s="66">
        <f t="shared" ref="A345:C345" si="349">A344</f>
        <v>8</v>
      </c>
      <c r="B345" s="66">
        <f t="shared" si="349"/>
        <v>0</v>
      </c>
      <c r="C345" s="66" t="str">
        <f t="shared" si="349"/>
        <v/>
      </c>
      <c r="D345" s="66">
        <f t="shared" ref="D345:F345" si="350">D302</f>
        <v>0</v>
      </c>
      <c r="E345" s="145" t="str">
        <f t="shared" si="350"/>
        <v>土曜</v>
      </c>
      <c r="F345" s="145" t="str">
        <f t="shared" si="350"/>
        <v/>
      </c>
      <c r="G345" s="142">
        <f>PJ工種集計!AX604</f>
        <v>0</v>
      </c>
    </row>
    <row r="346" spans="1:7">
      <c r="A346" s="66">
        <f t="shared" ref="A346:C346" si="351">A345</f>
        <v>8</v>
      </c>
      <c r="B346" s="66">
        <f t="shared" si="351"/>
        <v>0</v>
      </c>
      <c r="C346" s="66" t="str">
        <f t="shared" si="351"/>
        <v/>
      </c>
      <c r="D346" s="66">
        <f t="shared" ref="D346:F346" si="352">D303</f>
        <v>0</v>
      </c>
      <c r="E346" s="145" t="str">
        <f t="shared" si="352"/>
        <v>日曜</v>
      </c>
      <c r="F346" s="145" t="str">
        <f t="shared" si="352"/>
        <v/>
      </c>
      <c r="G346" s="142">
        <f>PJ工種集計!AY604</f>
        <v>0</v>
      </c>
    </row>
    <row r="348" spans="1:7">
      <c r="A348" s="66">
        <f>PJ工種集計!A688</f>
        <v>9</v>
      </c>
      <c r="B348" s="66">
        <f>PJ工種集計!B688</f>
        <v>0</v>
      </c>
      <c r="C348" s="66" t="str">
        <f>PJ工種集計!C688</f>
        <v/>
      </c>
      <c r="D348" s="66" t="str">
        <f>D305</f>
        <v>１週</v>
      </c>
      <c r="E348" s="145" t="str">
        <f>E305</f>
        <v>月曜</v>
      </c>
      <c r="F348" s="145" t="str">
        <f>F305</f>
        <v/>
      </c>
      <c r="G348" s="142">
        <f>PJ工種集計!J689</f>
        <v>0</v>
      </c>
    </row>
    <row r="349" spans="1:7">
      <c r="A349" s="66">
        <f t="shared" ref="A349:C349" si="353">A348</f>
        <v>9</v>
      </c>
      <c r="B349" s="66">
        <f t="shared" si="353"/>
        <v>0</v>
      </c>
      <c r="C349" s="66" t="str">
        <f t="shared" si="353"/>
        <v/>
      </c>
      <c r="D349" s="66">
        <f t="shared" ref="D349:F349" si="354">D306</f>
        <v>0</v>
      </c>
      <c r="E349" s="145" t="str">
        <f t="shared" si="354"/>
        <v>火曜</v>
      </c>
      <c r="F349" s="145" t="str">
        <f t="shared" si="354"/>
        <v/>
      </c>
      <c r="G349" s="142">
        <f>PJ工種集計!K689</f>
        <v>0</v>
      </c>
    </row>
    <row r="350" spans="1:7">
      <c r="A350" s="66">
        <f t="shared" ref="A350:C350" si="355">A349</f>
        <v>9</v>
      </c>
      <c r="B350" s="66">
        <f t="shared" si="355"/>
        <v>0</v>
      </c>
      <c r="C350" s="66" t="str">
        <f t="shared" si="355"/>
        <v/>
      </c>
      <c r="D350" s="66">
        <f t="shared" ref="D350:F350" si="356">D307</f>
        <v>0</v>
      </c>
      <c r="E350" s="145" t="str">
        <f t="shared" si="356"/>
        <v>水曜</v>
      </c>
      <c r="F350" s="145">
        <f t="shared" si="356"/>
        <v>1</v>
      </c>
      <c r="G350" s="142">
        <f>PJ工種集計!L689</f>
        <v>0</v>
      </c>
    </row>
    <row r="351" spans="1:7">
      <c r="A351" s="66">
        <f t="shared" ref="A351:C351" si="357">A350</f>
        <v>9</v>
      </c>
      <c r="B351" s="66">
        <f t="shared" si="357"/>
        <v>0</v>
      </c>
      <c r="C351" s="66" t="str">
        <f t="shared" si="357"/>
        <v/>
      </c>
      <c r="D351" s="66">
        <f t="shared" ref="D351:F351" si="358">D308</f>
        <v>0</v>
      </c>
      <c r="E351" s="145" t="str">
        <f t="shared" si="358"/>
        <v>木曜</v>
      </c>
      <c r="F351" s="145">
        <f t="shared" si="358"/>
        <v>2</v>
      </c>
      <c r="G351" s="142">
        <f>PJ工種集計!M689</f>
        <v>0</v>
      </c>
    </row>
    <row r="352" spans="1:7">
      <c r="A352" s="66">
        <f t="shared" ref="A352:C352" si="359">A351</f>
        <v>9</v>
      </c>
      <c r="B352" s="66">
        <f t="shared" si="359"/>
        <v>0</v>
      </c>
      <c r="C352" s="66" t="str">
        <f t="shared" si="359"/>
        <v/>
      </c>
      <c r="D352" s="66">
        <f t="shared" ref="D352:F352" si="360">D309</f>
        <v>0</v>
      </c>
      <c r="E352" s="145" t="str">
        <f t="shared" si="360"/>
        <v>金曜</v>
      </c>
      <c r="F352" s="145">
        <f t="shared" si="360"/>
        <v>3</v>
      </c>
      <c r="G352" s="142">
        <f>PJ工種集計!N689</f>
        <v>0</v>
      </c>
    </row>
    <row r="353" spans="1:7">
      <c r="A353" s="66">
        <f t="shared" ref="A353:C353" si="361">A352</f>
        <v>9</v>
      </c>
      <c r="B353" s="66">
        <f t="shared" si="361"/>
        <v>0</v>
      </c>
      <c r="C353" s="66" t="str">
        <f t="shared" si="361"/>
        <v/>
      </c>
      <c r="D353" s="66">
        <f t="shared" ref="D353:F353" si="362">D310</f>
        <v>0</v>
      </c>
      <c r="E353" s="145" t="str">
        <f t="shared" si="362"/>
        <v>土曜</v>
      </c>
      <c r="F353" s="145">
        <f t="shared" si="362"/>
        <v>4</v>
      </c>
      <c r="G353" s="142">
        <f>PJ工種集計!O689</f>
        <v>0</v>
      </c>
    </row>
    <row r="354" spans="1:7">
      <c r="A354" s="66">
        <f t="shared" ref="A354:C354" si="363">A353</f>
        <v>9</v>
      </c>
      <c r="B354" s="66">
        <f t="shared" si="363"/>
        <v>0</v>
      </c>
      <c r="C354" s="66" t="str">
        <f t="shared" si="363"/>
        <v/>
      </c>
      <c r="D354" s="66">
        <f t="shared" ref="D354:F354" si="364">D311</f>
        <v>0</v>
      </c>
      <c r="E354" s="145" t="str">
        <f t="shared" si="364"/>
        <v>日曜</v>
      </c>
      <c r="F354" s="145">
        <f t="shared" si="364"/>
        <v>5</v>
      </c>
      <c r="G354" s="142">
        <f>PJ工種集計!P689</f>
        <v>0</v>
      </c>
    </row>
    <row r="355" spans="1:7">
      <c r="A355" s="66">
        <f t="shared" ref="A355:C355" si="365">A354</f>
        <v>9</v>
      </c>
      <c r="B355" s="66">
        <f t="shared" si="365"/>
        <v>0</v>
      </c>
      <c r="C355" s="66" t="str">
        <f t="shared" si="365"/>
        <v/>
      </c>
      <c r="D355" s="66" t="str">
        <f t="shared" ref="D355:F355" si="366">D312</f>
        <v>2週</v>
      </c>
      <c r="E355" s="145" t="str">
        <f t="shared" si="366"/>
        <v>月曜</v>
      </c>
      <c r="F355" s="145">
        <f t="shared" si="366"/>
        <v>6</v>
      </c>
      <c r="G355" s="142">
        <f>PJ工種集計!Q689</f>
        <v>0</v>
      </c>
    </row>
    <row r="356" spans="1:7">
      <c r="A356" s="66">
        <f t="shared" ref="A356:C356" si="367">A355</f>
        <v>9</v>
      </c>
      <c r="B356" s="66">
        <f t="shared" si="367"/>
        <v>0</v>
      </c>
      <c r="C356" s="66" t="str">
        <f t="shared" si="367"/>
        <v/>
      </c>
      <c r="D356" s="66">
        <f t="shared" ref="D356:F356" si="368">D313</f>
        <v>0</v>
      </c>
      <c r="E356" s="145" t="str">
        <f t="shared" si="368"/>
        <v>火曜</v>
      </c>
      <c r="F356" s="145">
        <f t="shared" si="368"/>
        <v>7</v>
      </c>
      <c r="G356" s="142">
        <f>PJ工種集計!R689</f>
        <v>0</v>
      </c>
    </row>
    <row r="357" spans="1:7">
      <c r="A357" s="66">
        <f t="shared" ref="A357:C357" si="369">A356</f>
        <v>9</v>
      </c>
      <c r="B357" s="66">
        <f t="shared" si="369"/>
        <v>0</v>
      </c>
      <c r="C357" s="66" t="str">
        <f t="shared" si="369"/>
        <v/>
      </c>
      <c r="D357" s="66">
        <f t="shared" ref="D357:F357" si="370">D314</f>
        <v>0</v>
      </c>
      <c r="E357" s="145" t="str">
        <f t="shared" si="370"/>
        <v>水曜</v>
      </c>
      <c r="F357" s="145">
        <f t="shared" si="370"/>
        <v>8</v>
      </c>
      <c r="G357" s="142">
        <f>PJ工種集計!S689</f>
        <v>0</v>
      </c>
    </row>
    <row r="358" spans="1:7">
      <c r="A358" s="66">
        <f t="shared" ref="A358:C358" si="371">A357</f>
        <v>9</v>
      </c>
      <c r="B358" s="66">
        <f t="shared" si="371"/>
        <v>0</v>
      </c>
      <c r="C358" s="66" t="str">
        <f t="shared" si="371"/>
        <v/>
      </c>
      <c r="D358" s="66">
        <f t="shared" ref="D358:F358" si="372">D315</f>
        <v>0</v>
      </c>
      <c r="E358" s="145" t="str">
        <f t="shared" si="372"/>
        <v>木曜</v>
      </c>
      <c r="F358" s="145">
        <f t="shared" si="372"/>
        <v>9</v>
      </c>
      <c r="G358" s="142">
        <f>PJ工種集計!T689</f>
        <v>0</v>
      </c>
    </row>
    <row r="359" spans="1:7">
      <c r="A359" s="66">
        <f t="shared" ref="A359:C359" si="373">A358</f>
        <v>9</v>
      </c>
      <c r="B359" s="66">
        <f t="shared" si="373"/>
        <v>0</v>
      </c>
      <c r="C359" s="66" t="str">
        <f t="shared" si="373"/>
        <v/>
      </c>
      <c r="D359" s="66">
        <f t="shared" ref="D359:F359" si="374">D316</f>
        <v>0</v>
      </c>
      <c r="E359" s="145" t="str">
        <f t="shared" si="374"/>
        <v>金曜</v>
      </c>
      <c r="F359" s="145">
        <f t="shared" si="374"/>
        <v>10</v>
      </c>
      <c r="G359" s="142">
        <f>PJ工種集計!U689</f>
        <v>0</v>
      </c>
    </row>
    <row r="360" spans="1:7">
      <c r="A360" s="66">
        <f t="shared" ref="A360:C360" si="375">A359</f>
        <v>9</v>
      </c>
      <c r="B360" s="66">
        <f t="shared" si="375"/>
        <v>0</v>
      </c>
      <c r="C360" s="66" t="str">
        <f t="shared" si="375"/>
        <v/>
      </c>
      <c r="D360" s="66">
        <f t="shared" ref="D360:F360" si="376">D317</f>
        <v>0</v>
      </c>
      <c r="E360" s="145" t="str">
        <f t="shared" si="376"/>
        <v>土曜</v>
      </c>
      <c r="F360" s="145">
        <f t="shared" si="376"/>
        <v>11</v>
      </c>
      <c r="G360" s="142">
        <f>PJ工種集計!V689</f>
        <v>0</v>
      </c>
    </row>
    <row r="361" spans="1:7">
      <c r="A361" s="66">
        <f t="shared" ref="A361:C361" si="377">A360</f>
        <v>9</v>
      </c>
      <c r="B361" s="66">
        <f t="shared" si="377"/>
        <v>0</v>
      </c>
      <c r="C361" s="66" t="str">
        <f t="shared" si="377"/>
        <v/>
      </c>
      <c r="D361" s="66">
        <f t="shared" ref="D361:F361" si="378">D318</f>
        <v>0</v>
      </c>
      <c r="E361" s="145" t="str">
        <f t="shared" si="378"/>
        <v>日曜</v>
      </c>
      <c r="F361" s="145">
        <f t="shared" si="378"/>
        <v>12</v>
      </c>
      <c r="G361" s="142">
        <f>PJ工種集計!W689</f>
        <v>0</v>
      </c>
    </row>
    <row r="362" spans="1:7">
      <c r="A362" s="66">
        <f t="shared" ref="A362:C362" si="379">A361</f>
        <v>9</v>
      </c>
      <c r="B362" s="66">
        <f t="shared" si="379"/>
        <v>0</v>
      </c>
      <c r="C362" s="66" t="str">
        <f t="shared" si="379"/>
        <v/>
      </c>
      <c r="D362" s="66" t="str">
        <f t="shared" ref="D362:F362" si="380">D319</f>
        <v>3週</v>
      </c>
      <c r="E362" s="145" t="str">
        <f t="shared" si="380"/>
        <v>月曜</v>
      </c>
      <c r="F362" s="145">
        <f t="shared" si="380"/>
        <v>13</v>
      </c>
      <c r="G362" s="142">
        <f>PJ工種集計!X689</f>
        <v>0</v>
      </c>
    </row>
    <row r="363" spans="1:7">
      <c r="A363" s="66">
        <f t="shared" ref="A363:C363" si="381">A362</f>
        <v>9</v>
      </c>
      <c r="B363" s="66">
        <f t="shared" si="381"/>
        <v>0</v>
      </c>
      <c r="C363" s="66" t="str">
        <f t="shared" si="381"/>
        <v/>
      </c>
      <c r="D363" s="66">
        <f t="shared" ref="D363:F363" si="382">D320</f>
        <v>0</v>
      </c>
      <c r="E363" s="145" t="str">
        <f t="shared" si="382"/>
        <v>火曜</v>
      </c>
      <c r="F363" s="145">
        <f t="shared" si="382"/>
        <v>14</v>
      </c>
      <c r="G363" s="142">
        <f>PJ工種集計!Y689</f>
        <v>0</v>
      </c>
    </row>
    <row r="364" spans="1:7">
      <c r="A364" s="66">
        <f t="shared" ref="A364:C364" si="383">A363</f>
        <v>9</v>
      </c>
      <c r="B364" s="66">
        <f t="shared" si="383"/>
        <v>0</v>
      </c>
      <c r="C364" s="66" t="str">
        <f t="shared" si="383"/>
        <v/>
      </c>
      <c r="D364" s="66">
        <f t="shared" ref="D364:F364" si="384">D321</f>
        <v>0</v>
      </c>
      <c r="E364" s="145" t="str">
        <f t="shared" si="384"/>
        <v>水曜</v>
      </c>
      <c r="F364" s="145">
        <f t="shared" si="384"/>
        <v>15</v>
      </c>
      <c r="G364" s="142">
        <f>PJ工種集計!Z689</f>
        <v>0</v>
      </c>
    </row>
    <row r="365" spans="1:7">
      <c r="A365" s="66">
        <f t="shared" ref="A365:C365" si="385">A364</f>
        <v>9</v>
      </c>
      <c r="B365" s="66">
        <f t="shared" si="385"/>
        <v>0</v>
      </c>
      <c r="C365" s="66" t="str">
        <f t="shared" si="385"/>
        <v/>
      </c>
      <c r="D365" s="66">
        <f t="shared" ref="D365:F365" si="386">D322</f>
        <v>0</v>
      </c>
      <c r="E365" s="145" t="str">
        <f t="shared" si="386"/>
        <v>木曜</v>
      </c>
      <c r="F365" s="145">
        <f t="shared" si="386"/>
        <v>16</v>
      </c>
      <c r="G365" s="142">
        <f>PJ工種集計!AA689</f>
        <v>0</v>
      </c>
    </row>
    <row r="366" spans="1:7">
      <c r="A366" s="66">
        <f t="shared" ref="A366:C366" si="387">A365</f>
        <v>9</v>
      </c>
      <c r="B366" s="66">
        <f t="shared" si="387"/>
        <v>0</v>
      </c>
      <c r="C366" s="66" t="str">
        <f t="shared" si="387"/>
        <v/>
      </c>
      <c r="D366" s="66">
        <f t="shared" ref="D366:F366" si="388">D323</f>
        <v>0</v>
      </c>
      <c r="E366" s="145" t="str">
        <f t="shared" si="388"/>
        <v>金曜</v>
      </c>
      <c r="F366" s="145">
        <f t="shared" si="388"/>
        <v>17</v>
      </c>
      <c r="G366" s="142">
        <f>PJ工種集計!AB689</f>
        <v>0</v>
      </c>
    </row>
    <row r="367" spans="1:7">
      <c r="A367" s="66">
        <f t="shared" ref="A367:C367" si="389">A366</f>
        <v>9</v>
      </c>
      <c r="B367" s="66">
        <f t="shared" si="389"/>
        <v>0</v>
      </c>
      <c r="C367" s="66" t="str">
        <f t="shared" si="389"/>
        <v/>
      </c>
      <c r="D367" s="66">
        <f t="shared" ref="D367:F367" si="390">D324</f>
        <v>0</v>
      </c>
      <c r="E367" s="145" t="str">
        <f t="shared" si="390"/>
        <v>土曜</v>
      </c>
      <c r="F367" s="145">
        <f t="shared" si="390"/>
        <v>18</v>
      </c>
      <c r="G367" s="142">
        <f>PJ工種集計!AC689</f>
        <v>0</v>
      </c>
    </row>
    <row r="368" spans="1:7">
      <c r="A368" s="66">
        <f t="shared" ref="A368:C368" si="391">A367</f>
        <v>9</v>
      </c>
      <c r="B368" s="66">
        <f t="shared" si="391"/>
        <v>0</v>
      </c>
      <c r="C368" s="66" t="str">
        <f t="shared" si="391"/>
        <v/>
      </c>
      <c r="D368" s="66">
        <f t="shared" ref="D368:F368" si="392">D325</f>
        <v>0</v>
      </c>
      <c r="E368" s="145" t="str">
        <f t="shared" si="392"/>
        <v>日曜</v>
      </c>
      <c r="F368" s="145">
        <f t="shared" si="392"/>
        <v>19</v>
      </c>
      <c r="G368" s="142">
        <f>PJ工種集計!AD689</f>
        <v>0</v>
      </c>
    </row>
    <row r="369" spans="1:7">
      <c r="A369" s="66">
        <f t="shared" ref="A369:C369" si="393">A368</f>
        <v>9</v>
      </c>
      <c r="B369" s="66">
        <f t="shared" si="393"/>
        <v>0</v>
      </c>
      <c r="C369" s="66" t="str">
        <f t="shared" si="393"/>
        <v/>
      </c>
      <c r="D369" s="66" t="str">
        <f t="shared" ref="D369:F369" si="394">D326</f>
        <v>4週</v>
      </c>
      <c r="E369" s="145" t="str">
        <f t="shared" si="394"/>
        <v>月曜</v>
      </c>
      <c r="F369" s="145">
        <f t="shared" si="394"/>
        <v>20</v>
      </c>
      <c r="G369" s="142">
        <f>PJ工種集計!AE689</f>
        <v>0</v>
      </c>
    </row>
    <row r="370" spans="1:7">
      <c r="A370" s="66">
        <f t="shared" ref="A370:C370" si="395">A369</f>
        <v>9</v>
      </c>
      <c r="B370" s="66">
        <f t="shared" si="395"/>
        <v>0</v>
      </c>
      <c r="C370" s="66" t="str">
        <f t="shared" si="395"/>
        <v/>
      </c>
      <c r="D370" s="66">
        <f t="shared" ref="D370:F370" si="396">D327</f>
        <v>0</v>
      </c>
      <c r="E370" s="145" t="str">
        <f t="shared" si="396"/>
        <v>火曜</v>
      </c>
      <c r="F370" s="145">
        <f t="shared" si="396"/>
        <v>21</v>
      </c>
      <c r="G370" s="142">
        <f>PJ工種集計!AF689</f>
        <v>0</v>
      </c>
    </row>
    <row r="371" spans="1:7">
      <c r="A371" s="66">
        <f t="shared" ref="A371:C371" si="397">A370</f>
        <v>9</v>
      </c>
      <c r="B371" s="66">
        <f t="shared" si="397"/>
        <v>0</v>
      </c>
      <c r="C371" s="66" t="str">
        <f t="shared" si="397"/>
        <v/>
      </c>
      <c r="D371" s="66">
        <f t="shared" ref="D371:F371" si="398">D328</f>
        <v>0</v>
      </c>
      <c r="E371" s="145" t="str">
        <f t="shared" si="398"/>
        <v>水曜</v>
      </c>
      <c r="F371" s="145">
        <f t="shared" si="398"/>
        <v>22</v>
      </c>
      <c r="G371" s="142">
        <f>PJ工種集計!AG689</f>
        <v>0</v>
      </c>
    </row>
    <row r="372" spans="1:7">
      <c r="A372" s="66">
        <f t="shared" ref="A372:C372" si="399">A371</f>
        <v>9</v>
      </c>
      <c r="B372" s="66">
        <f t="shared" si="399"/>
        <v>0</v>
      </c>
      <c r="C372" s="66" t="str">
        <f t="shared" si="399"/>
        <v/>
      </c>
      <c r="D372" s="66">
        <f t="shared" ref="D372:F372" si="400">D329</f>
        <v>0</v>
      </c>
      <c r="E372" s="145" t="str">
        <f t="shared" si="400"/>
        <v>木曜</v>
      </c>
      <c r="F372" s="145">
        <f t="shared" si="400"/>
        <v>23</v>
      </c>
      <c r="G372" s="142">
        <f>PJ工種集計!AH689</f>
        <v>0</v>
      </c>
    </row>
    <row r="373" spans="1:7">
      <c r="A373" s="66">
        <f t="shared" ref="A373:C373" si="401">A372</f>
        <v>9</v>
      </c>
      <c r="B373" s="66">
        <f t="shared" si="401"/>
        <v>0</v>
      </c>
      <c r="C373" s="66" t="str">
        <f t="shared" si="401"/>
        <v/>
      </c>
      <c r="D373" s="66">
        <f t="shared" ref="D373:F373" si="402">D330</f>
        <v>0</v>
      </c>
      <c r="E373" s="145" t="str">
        <f t="shared" si="402"/>
        <v>金曜</v>
      </c>
      <c r="F373" s="145">
        <f t="shared" si="402"/>
        <v>24</v>
      </c>
      <c r="G373" s="142">
        <f>PJ工種集計!AI689</f>
        <v>0</v>
      </c>
    </row>
    <row r="374" spans="1:7">
      <c r="A374" s="66">
        <f t="shared" ref="A374:C374" si="403">A373</f>
        <v>9</v>
      </c>
      <c r="B374" s="66">
        <f t="shared" si="403"/>
        <v>0</v>
      </c>
      <c r="C374" s="66" t="str">
        <f t="shared" si="403"/>
        <v/>
      </c>
      <c r="D374" s="66">
        <f t="shared" ref="D374:F374" si="404">D331</f>
        <v>0</v>
      </c>
      <c r="E374" s="145" t="str">
        <f t="shared" si="404"/>
        <v>土曜</v>
      </c>
      <c r="F374" s="145">
        <f t="shared" si="404"/>
        <v>25</v>
      </c>
      <c r="G374" s="142">
        <f>PJ工種集計!AJ689</f>
        <v>0</v>
      </c>
    </row>
    <row r="375" spans="1:7">
      <c r="A375" s="66">
        <f t="shared" ref="A375:C375" si="405">A374</f>
        <v>9</v>
      </c>
      <c r="B375" s="66">
        <f t="shared" si="405"/>
        <v>0</v>
      </c>
      <c r="C375" s="66" t="str">
        <f t="shared" si="405"/>
        <v/>
      </c>
      <c r="D375" s="66">
        <f t="shared" ref="D375:F375" si="406">D332</f>
        <v>0</v>
      </c>
      <c r="E375" s="145" t="str">
        <f t="shared" si="406"/>
        <v>日曜</v>
      </c>
      <c r="F375" s="145">
        <f t="shared" si="406"/>
        <v>26</v>
      </c>
      <c r="G375" s="142">
        <f>PJ工種集計!AK689</f>
        <v>0</v>
      </c>
    </row>
    <row r="376" spans="1:7">
      <c r="A376" s="66">
        <f t="shared" ref="A376:C376" si="407">A375</f>
        <v>9</v>
      </c>
      <c r="B376" s="66">
        <f t="shared" si="407"/>
        <v>0</v>
      </c>
      <c r="C376" s="66" t="str">
        <f t="shared" si="407"/>
        <v/>
      </c>
      <c r="D376" s="66" t="str">
        <f t="shared" ref="D376:F376" si="408">D333</f>
        <v>5週</v>
      </c>
      <c r="E376" s="145" t="str">
        <f t="shared" si="408"/>
        <v>月曜</v>
      </c>
      <c r="F376" s="145">
        <f t="shared" si="408"/>
        <v>27</v>
      </c>
      <c r="G376" s="142">
        <f>PJ工種集計!AL689</f>
        <v>0</v>
      </c>
    </row>
    <row r="377" spans="1:7">
      <c r="A377" s="66">
        <f t="shared" ref="A377:C377" si="409">A376</f>
        <v>9</v>
      </c>
      <c r="B377" s="66">
        <f t="shared" si="409"/>
        <v>0</v>
      </c>
      <c r="C377" s="66" t="str">
        <f t="shared" si="409"/>
        <v/>
      </c>
      <c r="D377" s="66">
        <f t="shared" ref="D377:F377" si="410">D334</f>
        <v>0</v>
      </c>
      <c r="E377" s="145" t="str">
        <f t="shared" si="410"/>
        <v>火曜</v>
      </c>
      <c r="F377" s="145">
        <f t="shared" si="410"/>
        <v>28</v>
      </c>
      <c r="G377" s="142">
        <f>PJ工種集計!AM689</f>
        <v>0</v>
      </c>
    </row>
    <row r="378" spans="1:7">
      <c r="A378" s="66">
        <f t="shared" ref="A378:C378" si="411">A377</f>
        <v>9</v>
      </c>
      <c r="B378" s="66">
        <f t="shared" si="411"/>
        <v>0</v>
      </c>
      <c r="C378" s="66" t="str">
        <f t="shared" si="411"/>
        <v/>
      </c>
      <c r="D378" s="66">
        <f t="shared" ref="D378:F378" si="412">D335</f>
        <v>0</v>
      </c>
      <c r="E378" s="145" t="str">
        <f t="shared" si="412"/>
        <v>水曜</v>
      </c>
      <c r="F378" s="145">
        <f t="shared" si="412"/>
        <v>29</v>
      </c>
      <c r="G378" s="142">
        <f>PJ工種集計!AN689</f>
        <v>0</v>
      </c>
    </row>
    <row r="379" spans="1:7">
      <c r="A379" s="66">
        <f t="shared" ref="A379:C379" si="413">A378</f>
        <v>9</v>
      </c>
      <c r="B379" s="66">
        <f t="shared" si="413"/>
        <v>0</v>
      </c>
      <c r="C379" s="66" t="str">
        <f t="shared" si="413"/>
        <v/>
      </c>
      <c r="D379" s="66">
        <f t="shared" ref="D379:F379" si="414">D336</f>
        <v>0</v>
      </c>
      <c r="E379" s="145" t="str">
        <f t="shared" si="414"/>
        <v>木曜</v>
      </c>
      <c r="F379" s="145">
        <f t="shared" si="414"/>
        <v>30</v>
      </c>
      <c r="G379" s="142">
        <f>PJ工種集計!AO689</f>
        <v>0</v>
      </c>
    </row>
    <row r="380" spans="1:7">
      <c r="A380" s="66">
        <f t="shared" ref="A380:C380" si="415">A379</f>
        <v>9</v>
      </c>
      <c r="B380" s="66">
        <f t="shared" si="415"/>
        <v>0</v>
      </c>
      <c r="C380" s="66" t="str">
        <f t="shared" si="415"/>
        <v/>
      </c>
      <c r="D380" s="66">
        <f t="shared" ref="D380:F380" si="416">D337</f>
        <v>0</v>
      </c>
      <c r="E380" s="145" t="str">
        <f t="shared" si="416"/>
        <v>金曜</v>
      </c>
      <c r="F380" s="145">
        <f t="shared" si="416"/>
        <v>31</v>
      </c>
      <c r="G380" s="142">
        <f>PJ工種集計!AP689</f>
        <v>0</v>
      </c>
    </row>
    <row r="381" spans="1:7">
      <c r="A381" s="66">
        <f t="shared" ref="A381:C381" si="417">A380</f>
        <v>9</v>
      </c>
      <c r="B381" s="66">
        <f t="shared" si="417"/>
        <v>0</v>
      </c>
      <c r="C381" s="66" t="str">
        <f t="shared" si="417"/>
        <v/>
      </c>
      <c r="D381" s="66">
        <f t="shared" ref="D381:F381" si="418">D338</f>
        <v>0</v>
      </c>
      <c r="E381" s="145" t="str">
        <f t="shared" si="418"/>
        <v>土曜</v>
      </c>
      <c r="F381" s="145" t="str">
        <f t="shared" si="418"/>
        <v/>
      </c>
      <c r="G381" s="142">
        <f>PJ工種集計!AQ689</f>
        <v>0</v>
      </c>
    </row>
    <row r="382" spans="1:7">
      <c r="A382" s="66">
        <f t="shared" ref="A382:C382" si="419">A381</f>
        <v>9</v>
      </c>
      <c r="B382" s="66">
        <f t="shared" si="419"/>
        <v>0</v>
      </c>
      <c r="C382" s="66" t="str">
        <f t="shared" si="419"/>
        <v/>
      </c>
      <c r="D382" s="66">
        <f t="shared" ref="D382:F382" si="420">D339</f>
        <v>0</v>
      </c>
      <c r="E382" s="145" t="str">
        <f t="shared" si="420"/>
        <v>日曜</v>
      </c>
      <c r="F382" s="145" t="str">
        <f t="shared" si="420"/>
        <v/>
      </c>
      <c r="G382" s="142">
        <f>PJ工種集計!AR689</f>
        <v>0</v>
      </c>
    </row>
    <row r="383" spans="1:7">
      <c r="A383" s="66">
        <f t="shared" ref="A383:C383" si="421">A382</f>
        <v>9</v>
      </c>
      <c r="B383" s="66">
        <f t="shared" si="421"/>
        <v>0</v>
      </c>
      <c r="C383" s="66" t="str">
        <f t="shared" si="421"/>
        <v/>
      </c>
      <c r="D383" s="66" t="str">
        <f t="shared" ref="D383:F383" si="422">D340</f>
        <v>6週</v>
      </c>
      <c r="E383" s="145" t="str">
        <f t="shared" si="422"/>
        <v>月曜</v>
      </c>
      <c r="F383" s="145" t="str">
        <f t="shared" si="422"/>
        <v/>
      </c>
      <c r="G383" s="142">
        <f>PJ工種集計!AS689</f>
        <v>0</v>
      </c>
    </row>
    <row r="384" spans="1:7">
      <c r="A384" s="66">
        <f t="shared" ref="A384:C384" si="423">A383</f>
        <v>9</v>
      </c>
      <c r="B384" s="66">
        <f t="shared" si="423"/>
        <v>0</v>
      </c>
      <c r="C384" s="66" t="str">
        <f t="shared" si="423"/>
        <v/>
      </c>
      <c r="D384" s="66">
        <f t="shared" ref="D384:F384" si="424">D341</f>
        <v>0</v>
      </c>
      <c r="E384" s="145" t="str">
        <f t="shared" si="424"/>
        <v>火曜</v>
      </c>
      <c r="F384" s="145" t="str">
        <f t="shared" si="424"/>
        <v/>
      </c>
      <c r="G384" s="142">
        <f>PJ工種集計!AT689</f>
        <v>0</v>
      </c>
    </row>
    <row r="385" spans="1:7">
      <c r="A385" s="66">
        <f t="shared" ref="A385:C385" si="425">A384</f>
        <v>9</v>
      </c>
      <c r="B385" s="66">
        <f t="shared" si="425"/>
        <v>0</v>
      </c>
      <c r="C385" s="66" t="str">
        <f t="shared" si="425"/>
        <v/>
      </c>
      <c r="D385" s="66">
        <f t="shared" ref="D385:F385" si="426">D342</f>
        <v>0</v>
      </c>
      <c r="E385" s="145" t="str">
        <f t="shared" si="426"/>
        <v>水曜</v>
      </c>
      <c r="F385" s="145" t="str">
        <f t="shared" si="426"/>
        <v/>
      </c>
      <c r="G385" s="142">
        <f>PJ工種集計!AU689</f>
        <v>0</v>
      </c>
    </row>
    <row r="386" spans="1:7">
      <c r="A386" s="66">
        <f t="shared" ref="A386:C386" si="427">A385</f>
        <v>9</v>
      </c>
      <c r="B386" s="66">
        <f t="shared" si="427"/>
        <v>0</v>
      </c>
      <c r="C386" s="66" t="str">
        <f t="shared" si="427"/>
        <v/>
      </c>
      <c r="D386" s="66">
        <f t="shared" ref="D386:F386" si="428">D343</f>
        <v>0</v>
      </c>
      <c r="E386" s="145" t="str">
        <f t="shared" si="428"/>
        <v>木曜</v>
      </c>
      <c r="F386" s="145" t="str">
        <f t="shared" si="428"/>
        <v/>
      </c>
      <c r="G386" s="142">
        <f>PJ工種集計!AV689</f>
        <v>0</v>
      </c>
    </row>
    <row r="387" spans="1:7">
      <c r="A387" s="66">
        <f t="shared" ref="A387:C387" si="429">A386</f>
        <v>9</v>
      </c>
      <c r="B387" s="66">
        <f t="shared" si="429"/>
        <v>0</v>
      </c>
      <c r="C387" s="66" t="str">
        <f t="shared" si="429"/>
        <v/>
      </c>
      <c r="D387" s="66">
        <f t="shared" ref="D387:F387" si="430">D344</f>
        <v>0</v>
      </c>
      <c r="E387" s="145" t="str">
        <f t="shared" si="430"/>
        <v>金曜</v>
      </c>
      <c r="F387" s="145" t="str">
        <f t="shared" si="430"/>
        <v/>
      </c>
      <c r="G387" s="142">
        <f>PJ工種集計!AW689</f>
        <v>0</v>
      </c>
    </row>
    <row r="388" spans="1:7">
      <c r="A388" s="66">
        <f t="shared" ref="A388:C388" si="431">A387</f>
        <v>9</v>
      </c>
      <c r="B388" s="66">
        <f t="shared" si="431"/>
        <v>0</v>
      </c>
      <c r="C388" s="66" t="str">
        <f t="shared" si="431"/>
        <v/>
      </c>
      <c r="D388" s="66">
        <f t="shared" ref="D388:F388" si="432">D345</f>
        <v>0</v>
      </c>
      <c r="E388" s="145" t="str">
        <f t="shared" si="432"/>
        <v>土曜</v>
      </c>
      <c r="F388" s="145" t="str">
        <f t="shared" si="432"/>
        <v/>
      </c>
      <c r="G388" s="142">
        <f>PJ工種集計!AX689</f>
        <v>0</v>
      </c>
    </row>
    <row r="389" spans="1:7">
      <c r="A389" s="66">
        <f t="shared" ref="A389:C389" si="433">A388</f>
        <v>9</v>
      </c>
      <c r="B389" s="66">
        <f t="shared" si="433"/>
        <v>0</v>
      </c>
      <c r="C389" s="66" t="str">
        <f t="shared" si="433"/>
        <v/>
      </c>
      <c r="D389" s="66">
        <f t="shared" ref="D389:F389" si="434">D346</f>
        <v>0</v>
      </c>
      <c r="E389" s="145" t="str">
        <f t="shared" si="434"/>
        <v>日曜</v>
      </c>
      <c r="F389" s="145" t="str">
        <f t="shared" si="434"/>
        <v/>
      </c>
      <c r="G389" s="142">
        <f>PJ工種集計!AY689</f>
        <v>0</v>
      </c>
    </row>
    <row r="391" spans="1:7">
      <c r="A391" s="66">
        <f>PJ工種集計!A773</f>
        <v>10</v>
      </c>
      <c r="B391" s="66">
        <f>PJ工種集計!B773</f>
        <v>0</v>
      </c>
      <c r="C391" s="66" t="str">
        <f>PJ工種集計!C773</f>
        <v/>
      </c>
      <c r="D391" s="66" t="str">
        <f>D348</f>
        <v>１週</v>
      </c>
      <c r="E391" s="145" t="str">
        <f>E348</f>
        <v>月曜</v>
      </c>
      <c r="F391" s="145" t="str">
        <f>F348</f>
        <v/>
      </c>
      <c r="G391" s="142">
        <f>PJ工種集計!J774</f>
        <v>0</v>
      </c>
    </row>
    <row r="392" spans="1:7">
      <c r="A392" s="66">
        <f t="shared" ref="A392:C392" si="435">A391</f>
        <v>10</v>
      </c>
      <c r="B392" s="66">
        <f t="shared" si="435"/>
        <v>0</v>
      </c>
      <c r="C392" s="66" t="str">
        <f t="shared" si="435"/>
        <v/>
      </c>
      <c r="D392" s="66">
        <f t="shared" ref="D392:F392" si="436">D349</f>
        <v>0</v>
      </c>
      <c r="E392" s="145" t="str">
        <f t="shared" si="436"/>
        <v>火曜</v>
      </c>
      <c r="F392" s="145" t="str">
        <f t="shared" si="436"/>
        <v/>
      </c>
      <c r="G392" s="142">
        <f>PJ工種集計!K774</f>
        <v>0</v>
      </c>
    </row>
    <row r="393" spans="1:7">
      <c r="A393" s="66">
        <f t="shared" ref="A393:C393" si="437">A392</f>
        <v>10</v>
      </c>
      <c r="B393" s="66">
        <f t="shared" si="437"/>
        <v>0</v>
      </c>
      <c r="C393" s="66" t="str">
        <f t="shared" si="437"/>
        <v/>
      </c>
      <c r="D393" s="66">
        <f t="shared" ref="D393:F393" si="438">D350</f>
        <v>0</v>
      </c>
      <c r="E393" s="145" t="str">
        <f t="shared" si="438"/>
        <v>水曜</v>
      </c>
      <c r="F393" s="145">
        <f t="shared" si="438"/>
        <v>1</v>
      </c>
      <c r="G393" s="142">
        <f>PJ工種集計!L774</f>
        <v>0</v>
      </c>
    </row>
    <row r="394" spans="1:7">
      <c r="A394" s="66">
        <f t="shared" ref="A394:C394" si="439">A393</f>
        <v>10</v>
      </c>
      <c r="B394" s="66">
        <f t="shared" si="439"/>
        <v>0</v>
      </c>
      <c r="C394" s="66" t="str">
        <f t="shared" si="439"/>
        <v/>
      </c>
      <c r="D394" s="66">
        <f t="shared" ref="D394:F394" si="440">D351</f>
        <v>0</v>
      </c>
      <c r="E394" s="145" t="str">
        <f t="shared" si="440"/>
        <v>木曜</v>
      </c>
      <c r="F394" s="145">
        <f t="shared" si="440"/>
        <v>2</v>
      </c>
      <c r="G394" s="142">
        <f>PJ工種集計!M774</f>
        <v>0</v>
      </c>
    </row>
    <row r="395" spans="1:7">
      <c r="A395" s="66">
        <f t="shared" ref="A395:C395" si="441">A394</f>
        <v>10</v>
      </c>
      <c r="B395" s="66">
        <f t="shared" si="441"/>
        <v>0</v>
      </c>
      <c r="C395" s="66" t="str">
        <f t="shared" si="441"/>
        <v/>
      </c>
      <c r="D395" s="66">
        <f t="shared" ref="D395:F395" si="442">D352</f>
        <v>0</v>
      </c>
      <c r="E395" s="145" t="str">
        <f t="shared" si="442"/>
        <v>金曜</v>
      </c>
      <c r="F395" s="145">
        <f t="shared" si="442"/>
        <v>3</v>
      </c>
      <c r="G395" s="142">
        <f>PJ工種集計!N774</f>
        <v>0</v>
      </c>
    </row>
    <row r="396" spans="1:7">
      <c r="A396" s="66">
        <f t="shared" ref="A396:C396" si="443">A395</f>
        <v>10</v>
      </c>
      <c r="B396" s="66">
        <f t="shared" si="443"/>
        <v>0</v>
      </c>
      <c r="C396" s="66" t="str">
        <f t="shared" si="443"/>
        <v/>
      </c>
      <c r="D396" s="66">
        <f t="shared" ref="D396:F396" si="444">D353</f>
        <v>0</v>
      </c>
      <c r="E396" s="145" t="str">
        <f t="shared" si="444"/>
        <v>土曜</v>
      </c>
      <c r="F396" s="145">
        <f t="shared" si="444"/>
        <v>4</v>
      </c>
      <c r="G396" s="142">
        <f>PJ工種集計!O774</f>
        <v>0</v>
      </c>
    </row>
    <row r="397" spans="1:7">
      <c r="A397" s="66">
        <f t="shared" ref="A397:C397" si="445">A396</f>
        <v>10</v>
      </c>
      <c r="B397" s="66">
        <f t="shared" si="445"/>
        <v>0</v>
      </c>
      <c r="C397" s="66" t="str">
        <f t="shared" si="445"/>
        <v/>
      </c>
      <c r="D397" s="66">
        <f t="shared" ref="D397:F397" si="446">D354</f>
        <v>0</v>
      </c>
      <c r="E397" s="145" t="str">
        <f t="shared" si="446"/>
        <v>日曜</v>
      </c>
      <c r="F397" s="145">
        <f t="shared" si="446"/>
        <v>5</v>
      </c>
      <c r="G397" s="142">
        <f>PJ工種集計!P774</f>
        <v>0</v>
      </c>
    </row>
    <row r="398" spans="1:7">
      <c r="A398" s="66">
        <f t="shared" ref="A398:C398" si="447">A397</f>
        <v>10</v>
      </c>
      <c r="B398" s="66">
        <f t="shared" si="447"/>
        <v>0</v>
      </c>
      <c r="C398" s="66" t="str">
        <f t="shared" si="447"/>
        <v/>
      </c>
      <c r="D398" s="66" t="str">
        <f t="shared" ref="D398:F398" si="448">D355</f>
        <v>2週</v>
      </c>
      <c r="E398" s="145" t="str">
        <f t="shared" si="448"/>
        <v>月曜</v>
      </c>
      <c r="F398" s="145">
        <f t="shared" si="448"/>
        <v>6</v>
      </c>
      <c r="G398" s="142">
        <f>PJ工種集計!Q774</f>
        <v>0</v>
      </c>
    </row>
    <row r="399" spans="1:7">
      <c r="A399" s="66">
        <f t="shared" ref="A399:C399" si="449">A398</f>
        <v>10</v>
      </c>
      <c r="B399" s="66">
        <f t="shared" si="449"/>
        <v>0</v>
      </c>
      <c r="C399" s="66" t="str">
        <f t="shared" si="449"/>
        <v/>
      </c>
      <c r="D399" s="66">
        <f t="shared" ref="D399:F399" si="450">D356</f>
        <v>0</v>
      </c>
      <c r="E399" s="145" t="str">
        <f t="shared" si="450"/>
        <v>火曜</v>
      </c>
      <c r="F399" s="145">
        <f t="shared" si="450"/>
        <v>7</v>
      </c>
      <c r="G399" s="142">
        <f>PJ工種集計!R774</f>
        <v>0</v>
      </c>
    </row>
    <row r="400" spans="1:7">
      <c r="A400" s="66">
        <f t="shared" ref="A400:C400" si="451">A399</f>
        <v>10</v>
      </c>
      <c r="B400" s="66">
        <f t="shared" si="451"/>
        <v>0</v>
      </c>
      <c r="C400" s="66" t="str">
        <f t="shared" si="451"/>
        <v/>
      </c>
      <c r="D400" s="66">
        <f t="shared" ref="D400:F400" si="452">D357</f>
        <v>0</v>
      </c>
      <c r="E400" s="145" t="str">
        <f t="shared" si="452"/>
        <v>水曜</v>
      </c>
      <c r="F400" s="145">
        <f t="shared" si="452"/>
        <v>8</v>
      </c>
      <c r="G400" s="142">
        <f>PJ工種集計!S774</f>
        <v>0</v>
      </c>
    </row>
    <row r="401" spans="1:7">
      <c r="A401" s="66">
        <f t="shared" ref="A401:C401" si="453">A400</f>
        <v>10</v>
      </c>
      <c r="B401" s="66">
        <f t="shared" si="453"/>
        <v>0</v>
      </c>
      <c r="C401" s="66" t="str">
        <f t="shared" si="453"/>
        <v/>
      </c>
      <c r="D401" s="66">
        <f t="shared" ref="D401:F401" si="454">D358</f>
        <v>0</v>
      </c>
      <c r="E401" s="145" t="str">
        <f t="shared" si="454"/>
        <v>木曜</v>
      </c>
      <c r="F401" s="145">
        <f t="shared" si="454"/>
        <v>9</v>
      </c>
      <c r="G401" s="142">
        <f>PJ工種集計!T774</f>
        <v>0</v>
      </c>
    </row>
    <row r="402" spans="1:7">
      <c r="A402" s="66">
        <f t="shared" ref="A402:C402" si="455">A401</f>
        <v>10</v>
      </c>
      <c r="B402" s="66">
        <f t="shared" si="455"/>
        <v>0</v>
      </c>
      <c r="C402" s="66" t="str">
        <f t="shared" si="455"/>
        <v/>
      </c>
      <c r="D402" s="66">
        <f t="shared" ref="D402:F402" si="456">D359</f>
        <v>0</v>
      </c>
      <c r="E402" s="145" t="str">
        <f t="shared" si="456"/>
        <v>金曜</v>
      </c>
      <c r="F402" s="145">
        <f t="shared" si="456"/>
        <v>10</v>
      </c>
      <c r="G402" s="142">
        <f>PJ工種集計!U774</f>
        <v>0</v>
      </c>
    </row>
    <row r="403" spans="1:7">
      <c r="A403" s="66">
        <f t="shared" ref="A403:C403" si="457">A402</f>
        <v>10</v>
      </c>
      <c r="B403" s="66">
        <f t="shared" si="457"/>
        <v>0</v>
      </c>
      <c r="C403" s="66" t="str">
        <f t="shared" si="457"/>
        <v/>
      </c>
      <c r="D403" s="66">
        <f t="shared" ref="D403:F403" si="458">D360</f>
        <v>0</v>
      </c>
      <c r="E403" s="145" t="str">
        <f t="shared" si="458"/>
        <v>土曜</v>
      </c>
      <c r="F403" s="145">
        <f t="shared" si="458"/>
        <v>11</v>
      </c>
      <c r="G403" s="142">
        <f>PJ工種集計!V774</f>
        <v>0</v>
      </c>
    </row>
    <row r="404" spans="1:7">
      <c r="A404" s="66">
        <f t="shared" ref="A404:C404" si="459">A403</f>
        <v>10</v>
      </c>
      <c r="B404" s="66">
        <f t="shared" si="459"/>
        <v>0</v>
      </c>
      <c r="C404" s="66" t="str">
        <f t="shared" si="459"/>
        <v/>
      </c>
      <c r="D404" s="66">
        <f t="shared" ref="D404:F404" si="460">D361</f>
        <v>0</v>
      </c>
      <c r="E404" s="145" t="str">
        <f t="shared" si="460"/>
        <v>日曜</v>
      </c>
      <c r="F404" s="145">
        <f t="shared" si="460"/>
        <v>12</v>
      </c>
      <c r="G404" s="142">
        <f>PJ工種集計!W774</f>
        <v>0</v>
      </c>
    </row>
    <row r="405" spans="1:7">
      <c r="A405" s="66">
        <f t="shared" ref="A405:C405" si="461">A404</f>
        <v>10</v>
      </c>
      <c r="B405" s="66">
        <f t="shared" si="461"/>
        <v>0</v>
      </c>
      <c r="C405" s="66" t="str">
        <f t="shared" si="461"/>
        <v/>
      </c>
      <c r="D405" s="66" t="str">
        <f t="shared" ref="D405:F405" si="462">D362</f>
        <v>3週</v>
      </c>
      <c r="E405" s="145" t="str">
        <f t="shared" si="462"/>
        <v>月曜</v>
      </c>
      <c r="F405" s="145">
        <f t="shared" si="462"/>
        <v>13</v>
      </c>
      <c r="G405" s="142">
        <f>PJ工種集計!X774</f>
        <v>0</v>
      </c>
    </row>
    <row r="406" spans="1:7">
      <c r="A406" s="66">
        <f t="shared" ref="A406:C406" si="463">A405</f>
        <v>10</v>
      </c>
      <c r="B406" s="66">
        <f t="shared" si="463"/>
        <v>0</v>
      </c>
      <c r="C406" s="66" t="str">
        <f t="shared" si="463"/>
        <v/>
      </c>
      <c r="D406" s="66">
        <f t="shared" ref="D406:F406" si="464">D363</f>
        <v>0</v>
      </c>
      <c r="E406" s="145" t="str">
        <f t="shared" si="464"/>
        <v>火曜</v>
      </c>
      <c r="F406" s="145">
        <f t="shared" si="464"/>
        <v>14</v>
      </c>
      <c r="G406" s="142">
        <f>PJ工種集計!Y774</f>
        <v>0</v>
      </c>
    </row>
    <row r="407" spans="1:7">
      <c r="A407" s="66">
        <f t="shared" ref="A407:C407" si="465">A406</f>
        <v>10</v>
      </c>
      <c r="B407" s="66">
        <f t="shared" si="465"/>
        <v>0</v>
      </c>
      <c r="C407" s="66" t="str">
        <f t="shared" si="465"/>
        <v/>
      </c>
      <c r="D407" s="66">
        <f t="shared" ref="D407:F407" si="466">D364</f>
        <v>0</v>
      </c>
      <c r="E407" s="145" t="str">
        <f t="shared" si="466"/>
        <v>水曜</v>
      </c>
      <c r="F407" s="145">
        <f t="shared" si="466"/>
        <v>15</v>
      </c>
      <c r="G407" s="142">
        <f>PJ工種集計!Z774</f>
        <v>0</v>
      </c>
    </row>
    <row r="408" spans="1:7">
      <c r="A408" s="66">
        <f t="shared" ref="A408:C408" si="467">A407</f>
        <v>10</v>
      </c>
      <c r="B408" s="66">
        <f t="shared" si="467"/>
        <v>0</v>
      </c>
      <c r="C408" s="66" t="str">
        <f t="shared" si="467"/>
        <v/>
      </c>
      <c r="D408" s="66">
        <f t="shared" ref="D408:F408" si="468">D365</f>
        <v>0</v>
      </c>
      <c r="E408" s="145" t="str">
        <f t="shared" si="468"/>
        <v>木曜</v>
      </c>
      <c r="F408" s="145">
        <f t="shared" si="468"/>
        <v>16</v>
      </c>
      <c r="G408" s="142">
        <f>PJ工種集計!AA774</f>
        <v>0</v>
      </c>
    </row>
    <row r="409" spans="1:7">
      <c r="A409" s="66">
        <f t="shared" ref="A409:C409" si="469">A408</f>
        <v>10</v>
      </c>
      <c r="B409" s="66">
        <f t="shared" si="469"/>
        <v>0</v>
      </c>
      <c r="C409" s="66" t="str">
        <f t="shared" si="469"/>
        <v/>
      </c>
      <c r="D409" s="66">
        <f t="shared" ref="D409:F409" si="470">D366</f>
        <v>0</v>
      </c>
      <c r="E409" s="145" t="str">
        <f t="shared" si="470"/>
        <v>金曜</v>
      </c>
      <c r="F409" s="145">
        <f t="shared" si="470"/>
        <v>17</v>
      </c>
      <c r="G409" s="142">
        <f>PJ工種集計!AB774</f>
        <v>0</v>
      </c>
    </row>
    <row r="410" spans="1:7">
      <c r="A410" s="66">
        <f t="shared" ref="A410:C410" si="471">A409</f>
        <v>10</v>
      </c>
      <c r="B410" s="66">
        <f t="shared" si="471"/>
        <v>0</v>
      </c>
      <c r="C410" s="66" t="str">
        <f t="shared" si="471"/>
        <v/>
      </c>
      <c r="D410" s="66">
        <f t="shared" ref="D410:F410" si="472">D367</f>
        <v>0</v>
      </c>
      <c r="E410" s="145" t="str">
        <f t="shared" si="472"/>
        <v>土曜</v>
      </c>
      <c r="F410" s="145">
        <f t="shared" si="472"/>
        <v>18</v>
      </c>
      <c r="G410" s="142">
        <f>PJ工種集計!AC774</f>
        <v>0</v>
      </c>
    </row>
    <row r="411" spans="1:7">
      <c r="A411" s="66">
        <f t="shared" ref="A411:C411" si="473">A410</f>
        <v>10</v>
      </c>
      <c r="B411" s="66">
        <f t="shared" si="473"/>
        <v>0</v>
      </c>
      <c r="C411" s="66" t="str">
        <f t="shared" si="473"/>
        <v/>
      </c>
      <c r="D411" s="66">
        <f t="shared" ref="D411:F411" si="474">D368</f>
        <v>0</v>
      </c>
      <c r="E411" s="145" t="str">
        <f t="shared" si="474"/>
        <v>日曜</v>
      </c>
      <c r="F411" s="145">
        <f t="shared" si="474"/>
        <v>19</v>
      </c>
      <c r="G411" s="142">
        <f>PJ工種集計!AD774</f>
        <v>0</v>
      </c>
    </row>
    <row r="412" spans="1:7">
      <c r="A412" s="66">
        <f t="shared" ref="A412:C412" si="475">A411</f>
        <v>10</v>
      </c>
      <c r="B412" s="66">
        <f t="shared" si="475"/>
        <v>0</v>
      </c>
      <c r="C412" s="66" t="str">
        <f t="shared" si="475"/>
        <v/>
      </c>
      <c r="D412" s="66" t="str">
        <f t="shared" ref="D412:F412" si="476">D369</f>
        <v>4週</v>
      </c>
      <c r="E412" s="145" t="str">
        <f t="shared" si="476"/>
        <v>月曜</v>
      </c>
      <c r="F412" s="145">
        <f t="shared" si="476"/>
        <v>20</v>
      </c>
      <c r="G412" s="142">
        <f>PJ工種集計!AE774</f>
        <v>0</v>
      </c>
    </row>
    <row r="413" spans="1:7">
      <c r="A413" s="66">
        <f t="shared" ref="A413:C413" si="477">A412</f>
        <v>10</v>
      </c>
      <c r="B413" s="66">
        <f t="shared" si="477"/>
        <v>0</v>
      </c>
      <c r="C413" s="66" t="str">
        <f t="shared" si="477"/>
        <v/>
      </c>
      <c r="D413" s="66">
        <f t="shared" ref="D413:F413" si="478">D370</f>
        <v>0</v>
      </c>
      <c r="E413" s="145" t="str">
        <f t="shared" si="478"/>
        <v>火曜</v>
      </c>
      <c r="F413" s="145">
        <f t="shared" si="478"/>
        <v>21</v>
      </c>
      <c r="G413" s="142">
        <f>PJ工種集計!AF774</f>
        <v>0</v>
      </c>
    </row>
    <row r="414" spans="1:7">
      <c r="A414" s="66">
        <f t="shared" ref="A414:C414" si="479">A413</f>
        <v>10</v>
      </c>
      <c r="B414" s="66">
        <f t="shared" si="479"/>
        <v>0</v>
      </c>
      <c r="C414" s="66" t="str">
        <f t="shared" si="479"/>
        <v/>
      </c>
      <c r="D414" s="66">
        <f t="shared" ref="D414:F414" si="480">D371</f>
        <v>0</v>
      </c>
      <c r="E414" s="145" t="str">
        <f t="shared" si="480"/>
        <v>水曜</v>
      </c>
      <c r="F414" s="145">
        <f t="shared" si="480"/>
        <v>22</v>
      </c>
      <c r="G414" s="142">
        <f>PJ工種集計!AG774</f>
        <v>0</v>
      </c>
    </row>
    <row r="415" spans="1:7">
      <c r="A415" s="66">
        <f t="shared" ref="A415:C415" si="481">A414</f>
        <v>10</v>
      </c>
      <c r="B415" s="66">
        <f t="shared" si="481"/>
        <v>0</v>
      </c>
      <c r="C415" s="66" t="str">
        <f t="shared" si="481"/>
        <v/>
      </c>
      <c r="D415" s="66">
        <f t="shared" ref="D415:F415" si="482">D372</f>
        <v>0</v>
      </c>
      <c r="E415" s="145" t="str">
        <f t="shared" si="482"/>
        <v>木曜</v>
      </c>
      <c r="F415" s="145">
        <f t="shared" si="482"/>
        <v>23</v>
      </c>
      <c r="G415" s="142">
        <f>PJ工種集計!AH774</f>
        <v>0</v>
      </c>
    </row>
    <row r="416" spans="1:7">
      <c r="A416" s="66">
        <f t="shared" ref="A416:C416" si="483">A415</f>
        <v>10</v>
      </c>
      <c r="B416" s="66">
        <f t="shared" si="483"/>
        <v>0</v>
      </c>
      <c r="C416" s="66" t="str">
        <f t="shared" si="483"/>
        <v/>
      </c>
      <c r="D416" s="66">
        <f t="shared" ref="D416:F416" si="484">D373</f>
        <v>0</v>
      </c>
      <c r="E416" s="145" t="str">
        <f t="shared" si="484"/>
        <v>金曜</v>
      </c>
      <c r="F416" s="145">
        <f t="shared" si="484"/>
        <v>24</v>
      </c>
      <c r="G416" s="142">
        <f>PJ工種集計!AI774</f>
        <v>0</v>
      </c>
    </row>
    <row r="417" spans="1:7">
      <c r="A417" s="66">
        <f t="shared" ref="A417:C417" si="485">A416</f>
        <v>10</v>
      </c>
      <c r="B417" s="66">
        <f t="shared" si="485"/>
        <v>0</v>
      </c>
      <c r="C417" s="66" t="str">
        <f t="shared" si="485"/>
        <v/>
      </c>
      <c r="D417" s="66">
        <f t="shared" ref="D417:F417" si="486">D374</f>
        <v>0</v>
      </c>
      <c r="E417" s="145" t="str">
        <f t="shared" si="486"/>
        <v>土曜</v>
      </c>
      <c r="F417" s="145">
        <f t="shared" si="486"/>
        <v>25</v>
      </c>
      <c r="G417" s="142">
        <f>PJ工種集計!AJ774</f>
        <v>0</v>
      </c>
    </row>
    <row r="418" spans="1:7">
      <c r="A418" s="66">
        <f t="shared" ref="A418:C418" si="487">A417</f>
        <v>10</v>
      </c>
      <c r="B418" s="66">
        <f t="shared" si="487"/>
        <v>0</v>
      </c>
      <c r="C418" s="66" t="str">
        <f t="shared" si="487"/>
        <v/>
      </c>
      <c r="D418" s="66">
        <f t="shared" ref="D418:F418" si="488">D375</f>
        <v>0</v>
      </c>
      <c r="E418" s="145" t="str">
        <f t="shared" si="488"/>
        <v>日曜</v>
      </c>
      <c r="F418" s="145">
        <f t="shared" si="488"/>
        <v>26</v>
      </c>
      <c r="G418" s="142">
        <f>PJ工種集計!AK774</f>
        <v>0</v>
      </c>
    </row>
    <row r="419" spans="1:7">
      <c r="A419" s="66">
        <f t="shared" ref="A419:C419" si="489">A418</f>
        <v>10</v>
      </c>
      <c r="B419" s="66">
        <f t="shared" si="489"/>
        <v>0</v>
      </c>
      <c r="C419" s="66" t="str">
        <f t="shared" si="489"/>
        <v/>
      </c>
      <c r="D419" s="66" t="str">
        <f t="shared" ref="D419:F419" si="490">D376</f>
        <v>5週</v>
      </c>
      <c r="E419" s="145" t="str">
        <f t="shared" si="490"/>
        <v>月曜</v>
      </c>
      <c r="F419" s="145">
        <f t="shared" si="490"/>
        <v>27</v>
      </c>
      <c r="G419" s="142">
        <f>PJ工種集計!AL774</f>
        <v>0</v>
      </c>
    </row>
    <row r="420" spans="1:7">
      <c r="A420" s="66">
        <f t="shared" ref="A420:C420" si="491">A419</f>
        <v>10</v>
      </c>
      <c r="B420" s="66">
        <f t="shared" si="491"/>
        <v>0</v>
      </c>
      <c r="C420" s="66" t="str">
        <f t="shared" si="491"/>
        <v/>
      </c>
      <c r="D420" s="66">
        <f t="shared" ref="D420:F420" si="492">D377</f>
        <v>0</v>
      </c>
      <c r="E420" s="145" t="str">
        <f t="shared" si="492"/>
        <v>火曜</v>
      </c>
      <c r="F420" s="145">
        <f t="shared" si="492"/>
        <v>28</v>
      </c>
      <c r="G420" s="142">
        <f>PJ工種集計!AM774</f>
        <v>0</v>
      </c>
    </row>
    <row r="421" spans="1:7">
      <c r="A421" s="66">
        <f t="shared" ref="A421:C421" si="493">A420</f>
        <v>10</v>
      </c>
      <c r="B421" s="66">
        <f t="shared" si="493"/>
        <v>0</v>
      </c>
      <c r="C421" s="66" t="str">
        <f t="shared" si="493"/>
        <v/>
      </c>
      <c r="D421" s="66">
        <f t="shared" ref="D421:F421" si="494">D378</f>
        <v>0</v>
      </c>
      <c r="E421" s="145" t="str">
        <f t="shared" si="494"/>
        <v>水曜</v>
      </c>
      <c r="F421" s="145">
        <f t="shared" si="494"/>
        <v>29</v>
      </c>
      <c r="G421" s="142">
        <f>PJ工種集計!AN774</f>
        <v>0</v>
      </c>
    </row>
    <row r="422" spans="1:7">
      <c r="A422" s="66">
        <f t="shared" ref="A422:C422" si="495">A421</f>
        <v>10</v>
      </c>
      <c r="B422" s="66">
        <f t="shared" si="495"/>
        <v>0</v>
      </c>
      <c r="C422" s="66" t="str">
        <f t="shared" si="495"/>
        <v/>
      </c>
      <c r="D422" s="66">
        <f t="shared" ref="D422:F422" si="496">D379</f>
        <v>0</v>
      </c>
      <c r="E422" s="145" t="str">
        <f t="shared" si="496"/>
        <v>木曜</v>
      </c>
      <c r="F422" s="145">
        <f t="shared" si="496"/>
        <v>30</v>
      </c>
      <c r="G422" s="142">
        <f>PJ工種集計!AO774</f>
        <v>0</v>
      </c>
    </row>
    <row r="423" spans="1:7">
      <c r="A423" s="66">
        <f t="shared" ref="A423:C423" si="497">A422</f>
        <v>10</v>
      </c>
      <c r="B423" s="66">
        <f t="shared" si="497"/>
        <v>0</v>
      </c>
      <c r="C423" s="66" t="str">
        <f t="shared" si="497"/>
        <v/>
      </c>
      <c r="D423" s="66">
        <f t="shared" ref="D423:F423" si="498">D380</f>
        <v>0</v>
      </c>
      <c r="E423" s="145" t="str">
        <f t="shared" si="498"/>
        <v>金曜</v>
      </c>
      <c r="F423" s="145">
        <f t="shared" si="498"/>
        <v>31</v>
      </c>
      <c r="G423" s="142">
        <f>PJ工種集計!AP774</f>
        <v>0</v>
      </c>
    </row>
    <row r="424" spans="1:7">
      <c r="A424" s="66">
        <f t="shared" ref="A424:C424" si="499">A423</f>
        <v>10</v>
      </c>
      <c r="B424" s="66">
        <f t="shared" si="499"/>
        <v>0</v>
      </c>
      <c r="C424" s="66" t="str">
        <f t="shared" si="499"/>
        <v/>
      </c>
      <c r="D424" s="66">
        <f t="shared" ref="D424:F424" si="500">D381</f>
        <v>0</v>
      </c>
      <c r="E424" s="145" t="str">
        <f t="shared" si="500"/>
        <v>土曜</v>
      </c>
      <c r="F424" s="145" t="str">
        <f t="shared" si="500"/>
        <v/>
      </c>
      <c r="G424" s="142">
        <f>PJ工種集計!AQ774</f>
        <v>0</v>
      </c>
    </row>
    <row r="425" spans="1:7">
      <c r="A425" s="66">
        <f t="shared" ref="A425:C425" si="501">A424</f>
        <v>10</v>
      </c>
      <c r="B425" s="66">
        <f t="shared" si="501"/>
        <v>0</v>
      </c>
      <c r="C425" s="66" t="str">
        <f t="shared" si="501"/>
        <v/>
      </c>
      <c r="D425" s="66">
        <f t="shared" ref="D425:F425" si="502">D382</f>
        <v>0</v>
      </c>
      <c r="E425" s="145" t="str">
        <f t="shared" si="502"/>
        <v>日曜</v>
      </c>
      <c r="F425" s="145" t="str">
        <f t="shared" si="502"/>
        <v/>
      </c>
      <c r="G425" s="142">
        <f>PJ工種集計!AR774</f>
        <v>0</v>
      </c>
    </row>
    <row r="426" spans="1:7">
      <c r="A426" s="66">
        <f t="shared" ref="A426:C426" si="503">A425</f>
        <v>10</v>
      </c>
      <c r="B426" s="66">
        <f t="shared" si="503"/>
        <v>0</v>
      </c>
      <c r="C426" s="66" t="str">
        <f t="shared" si="503"/>
        <v/>
      </c>
      <c r="D426" s="66" t="str">
        <f t="shared" ref="D426:F426" si="504">D383</f>
        <v>6週</v>
      </c>
      <c r="E426" s="145" t="str">
        <f t="shared" si="504"/>
        <v>月曜</v>
      </c>
      <c r="F426" s="145" t="str">
        <f t="shared" si="504"/>
        <v/>
      </c>
      <c r="G426" s="142">
        <f>PJ工種集計!AS774</f>
        <v>0</v>
      </c>
    </row>
    <row r="427" spans="1:7">
      <c r="A427" s="66">
        <f t="shared" ref="A427:C427" si="505">A426</f>
        <v>10</v>
      </c>
      <c r="B427" s="66">
        <f t="shared" si="505"/>
        <v>0</v>
      </c>
      <c r="C427" s="66" t="str">
        <f t="shared" si="505"/>
        <v/>
      </c>
      <c r="D427" s="66">
        <f t="shared" ref="D427:F427" si="506">D384</f>
        <v>0</v>
      </c>
      <c r="E427" s="145" t="str">
        <f t="shared" si="506"/>
        <v>火曜</v>
      </c>
      <c r="F427" s="145" t="str">
        <f t="shared" si="506"/>
        <v/>
      </c>
      <c r="G427" s="142">
        <f>PJ工種集計!AT774</f>
        <v>0</v>
      </c>
    </row>
    <row r="428" spans="1:7">
      <c r="A428" s="66">
        <f t="shared" ref="A428:C428" si="507">A427</f>
        <v>10</v>
      </c>
      <c r="B428" s="66">
        <f t="shared" si="507"/>
        <v>0</v>
      </c>
      <c r="C428" s="66" t="str">
        <f t="shared" si="507"/>
        <v/>
      </c>
      <c r="D428" s="66">
        <f t="shared" ref="D428:F428" si="508">D385</f>
        <v>0</v>
      </c>
      <c r="E428" s="145" t="str">
        <f t="shared" si="508"/>
        <v>水曜</v>
      </c>
      <c r="F428" s="145" t="str">
        <f t="shared" si="508"/>
        <v/>
      </c>
      <c r="G428" s="142">
        <f>PJ工種集計!AU774</f>
        <v>0</v>
      </c>
    </row>
    <row r="429" spans="1:7">
      <c r="A429" s="66">
        <f t="shared" ref="A429:C429" si="509">A428</f>
        <v>10</v>
      </c>
      <c r="B429" s="66">
        <f t="shared" si="509"/>
        <v>0</v>
      </c>
      <c r="C429" s="66" t="str">
        <f t="shared" si="509"/>
        <v/>
      </c>
      <c r="D429" s="66">
        <f t="shared" ref="D429:F429" si="510">D386</f>
        <v>0</v>
      </c>
      <c r="E429" s="145" t="str">
        <f t="shared" si="510"/>
        <v>木曜</v>
      </c>
      <c r="F429" s="145" t="str">
        <f t="shared" si="510"/>
        <v/>
      </c>
      <c r="G429" s="142">
        <f>PJ工種集計!AV774</f>
        <v>0</v>
      </c>
    </row>
    <row r="430" spans="1:7">
      <c r="A430" s="66">
        <f t="shared" ref="A430:C430" si="511">A429</f>
        <v>10</v>
      </c>
      <c r="B430" s="66">
        <f t="shared" si="511"/>
        <v>0</v>
      </c>
      <c r="C430" s="66" t="str">
        <f t="shared" si="511"/>
        <v/>
      </c>
      <c r="D430" s="66">
        <f t="shared" ref="D430:F430" si="512">D387</f>
        <v>0</v>
      </c>
      <c r="E430" s="145" t="str">
        <f t="shared" si="512"/>
        <v>金曜</v>
      </c>
      <c r="F430" s="145" t="str">
        <f t="shared" si="512"/>
        <v/>
      </c>
      <c r="G430" s="142">
        <f>PJ工種集計!AW774</f>
        <v>0</v>
      </c>
    </row>
    <row r="431" spans="1:7">
      <c r="A431" s="66">
        <f t="shared" ref="A431:C431" si="513">A430</f>
        <v>10</v>
      </c>
      <c r="B431" s="66">
        <f t="shared" si="513"/>
        <v>0</v>
      </c>
      <c r="C431" s="66" t="str">
        <f t="shared" si="513"/>
        <v/>
      </c>
      <c r="D431" s="66">
        <f t="shared" ref="D431:F431" si="514">D388</f>
        <v>0</v>
      </c>
      <c r="E431" s="145" t="str">
        <f t="shared" si="514"/>
        <v>土曜</v>
      </c>
      <c r="F431" s="145" t="str">
        <f t="shared" si="514"/>
        <v/>
      </c>
      <c r="G431" s="142">
        <f>PJ工種集計!AX774</f>
        <v>0</v>
      </c>
    </row>
    <row r="432" spans="1:7">
      <c r="A432" s="66">
        <f t="shared" ref="A432:C432" si="515">A431</f>
        <v>10</v>
      </c>
      <c r="B432" s="66">
        <f t="shared" si="515"/>
        <v>0</v>
      </c>
      <c r="C432" s="66" t="str">
        <f t="shared" si="515"/>
        <v/>
      </c>
      <c r="D432" s="66">
        <f t="shared" ref="D432:F432" si="516">D389</f>
        <v>0</v>
      </c>
      <c r="E432" s="145" t="str">
        <f t="shared" si="516"/>
        <v>日曜</v>
      </c>
      <c r="F432" s="145" t="str">
        <f t="shared" si="516"/>
        <v/>
      </c>
      <c r="G432" s="142">
        <f>PJ工種集計!AY774</f>
        <v>0</v>
      </c>
    </row>
    <row r="434" spans="1:7">
      <c r="A434" s="66">
        <f>PJ工種集計!A858</f>
        <v>11</v>
      </c>
      <c r="B434" s="66">
        <f>PJ工種集計!B858</f>
        <v>0</v>
      </c>
      <c r="C434" s="66" t="str">
        <f>PJ工種集計!C858</f>
        <v/>
      </c>
      <c r="D434" s="66" t="str">
        <f>D391</f>
        <v>１週</v>
      </c>
      <c r="E434" s="145" t="str">
        <f>E391</f>
        <v>月曜</v>
      </c>
      <c r="F434" s="145" t="str">
        <f>F391</f>
        <v/>
      </c>
      <c r="G434" s="142">
        <f>PJ工種集計!J859</f>
        <v>0</v>
      </c>
    </row>
    <row r="435" spans="1:7">
      <c r="A435" s="66">
        <f t="shared" ref="A435:C435" si="517">A434</f>
        <v>11</v>
      </c>
      <c r="B435" s="66">
        <f t="shared" si="517"/>
        <v>0</v>
      </c>
      <c r="C435" s="66" t="str">
        <f t="shared" si="517"/>
        <v/>
      </c>
      <c r="D435" s="66">
        <f t="shared" ref="D435:F435" si="518">D392</f>
        <v>0</v>
      </c>
      <c r="E435" s="145" t="str">
        <f t="shared" si="518"/>
        <v>火曜</v>
      </c>
      <c r="F435" s="145" t="str">
        <f t="shared" si="518"/>
        <v/>
      </c>
      <c r="G435" s="142">
        <f>PJ工種集計!K859</f>
        <v>0</v>
      </c>
    </row>
    <row r="436" spans="1:7">
      <c r="A436" s="66">
        <f t="shared" ref="A436:C436" si="519">A435</f>
        <v>11</v>
      </c>
      <c r="B436" s="66">
        <f t="shared" si="519"/>
        <v>0</v>
      </c>
      <c r="C436" s="66" t="str">
        <f t="shared" si="519"/>
        <v/>
      </c>
      <c r="D436" s="66">
        <f t="shared" ref="D436:F436" si="520">D393</f>
        <v>0</v>
      </c>
      <c r="E436" s="145" t="str">
        <f t="shared" si="520"/>
        <v>水曜</v>
      </c>
      <c r="F436" s="145">
        <f t="shared" si="520"/>
        <v>1</v>
      </c>
      <c r="G436" s="142">
        <f>PJ工種集計!L859</f>
        <v>0</v>
      </c>
    </row>
    <row r="437" spans="1:7">
      <c r="A437" s="66">
        <f t="shared" ref="A437:C437" si="521">A436</f>
        <v>11</v>
      </c>
      <c r="B437" s="66">
        <f t="shared" si="521"/>
        <v>0</v>
      </c>
      <c r="C437" s="66" t="str">
        <f t="shared" si="521"/>
        <v/>
      </c>
      <c r="D437" s="66">
        <f t="shared" ref="D437:F437" si="522">D394</f>
        <v>0</v>
      </c>
      <c r="E437" s="145" t="str">
        <f t="shared" si="522"/>
        <v>木曜</v>
      </c>
      <c r="F437" s="145">
        <f t="shared" si="522"/>
        <v>2</v>
      </c>
      <c r="G437" s="142">
        <f>PJ工種集計!M859</f>
        <v>0</v>
      </c>
    </row>
    <row r="438" spans="1:7">
      <c r="A438" s="66">
        <f t="shared" ref="A438:C438" si="523">A437</f>
        <v>11</v>
      </c>
      <c r="B438" s="66">
        <f t="shared" si="523"/>
        <v>0</v>
      </c>
      <c r="C438" s="66" t="str">
        <f t="shared" si="523"/>
        <v/>
      </c>
      <c r="D438" s="66">
        <f t="shared" ref="D438:F438" si="524">D395</f>
        <v>0</v>
      </c>
      <c r="E438" s="145" t="str">
        <f t="shared" si="524"/>
        <v>金曜</v>
      </c>
      <c r="F438" s="145">
        <f t="shared" si="524"/>
        <v>3</v>
      </c>
      <c r="G438" s="142">
        <f>PJ工種集計!N859</f>
        <v>0</v>
      </c>
    </row>
    <row r="439" spans="1:7">
      <c r="A439" s="66">
        <f t="shared" ref="A439:C439" si="525">A438</f>
        <v>11</v>
      </c>
      <c r="B439" s="66">
        <f t="shared" si="525"/>
        <v>0</v>
      </c>
      <c r="C439" s="66" t="str">
        <f t="shared" si="525"/>
        <v/>
      </c>
      <c r="D439" s="66">
        <f t="shared" ref="D439:F439" si="526">D396</f>
        <v>0</v>
      </c>
      <c r="E439" s="145" t="str">
        <f t="shared" si="526"/>
        <v>土曜</v>
      </c>
      <c r="F439" s="145">
        <f t="shared" si="526"/>
        <v>4</v>
      </c>
      <c r="G439" s="142">
        <f>PJ工種集計!O859</f>
        <v>0</v>
      </c>
    </row>
    <row r="440" spans="1:7">
      <c r="A440" s="66">
        <f t="shared" ref="A440:C440" si="527">A439</f>
        <v>11</v>
      </c>
      <c r="B440" s="66">
        <f t="shared" si="527"/>
        <v>0</v>
      </c>
      <c r="C440" s="66" t="str">
        <f t="shared" si="527"/>
        <v/>
      </c>
      <c r="D440" s="66">
        <f t="shared" ref="D440:F440" si="528">D397</f>
        <v>0</v>
      </c>
      <c r="E440" s="145" t="str">
        <f t="shared" si="528"/>
        <v>日曜</v>
      </c>
      <c r="F440" s="145">
        <f t="shared" si="528"/>
        <v>5</v>
      </c>
      <c r="G440" s="142">
        <f>PJ工種集計!P859</f>
        <v>0</v>
      </c>
    </row>
    <row r="441" spans="1:7">
      <c r="A441" s="66">
        <f t="shared" ref="A441:C441" si="529">A440</f>
        <v>11</v>
      </c>
      <c r="B441" s="66">
        <f t="shared" si="529"/>
        <v>0</v>
      </c>
      <c r="C441" s="66" t="str">
        <f t="shared" si="529"/>
        <v/>
      </c>
      <c r="D441" s="66" t="str">
        <f t="shared" ref="D441:F441" si="530">D398</f>
        <v>2週</v>
      </c>
      <c r="E441" s="145" t="str">
        <f t="shared" si="530"/>
        <v>月曜</v>
      </c>
      <c r="F441" s="145">
        <f t="shared" si="530"/>
        <v>6</v>
      </c>
      <c r="G441" s="142">
        <f>PJ工種集計!Q859</f>
        <v>0</v>
      </c>
    </row>
    <row r="442" spans="1:7">
      <c r="A442" s="66">
        <f t="shared" ref="A442:C442" si="531">A441</f>
        <v>11</v>
      </c>
      <c r="B442" s="66">
        <f t="shared" si="531"/>
        <v>0</v>
      </c>
      <c r="C442" s="66" t="str">
        <f t="shared" si="531"/>
        <v/>
      </c>
      <c r="D442" s="66">
        <f t="shared" ref="D442:F442" si="532">D399</f>
        <v>0</v>
      </c>
      <c r="E442" s="145" t="str">
        <f t="shared" si="532"/>
        <v>火曜</v>
      </c>
      <c r="F442" s="145">
        <f t="shared" si="532"/>
        <v>7</v>
      </c>
      <c r="G442" s="142">
        <f>PJ工種集計!R859</f>
        <v>0</v>
      </c>
    </row>
    <row r="443" spans="1:7">
      <c r="A443" s="66">
        <f t="shared" ref="A443:C443" si="533">A442</f>
        <v>11</v>
      </c>
      <c r="B443" s="66">
        <f t="shared" si="533"/>
        <v>0</v>
      </c>
      <c r="C443" s="66" t="str">
        <f t="shared" si="533"/>
        <v/>
      </c>
      <c r="D443" s="66">
        <f t="shared" ref="D443:F443" si="534">D400</f>
        <v>0</v>
      </c>
      <c r="E443" s="145" t="str">
        <f t="shared" si="534"/>
        <v>水曜</v>
      </c>
      <c r="F443" s="145">
        <f t="shared" si="534"/>
        <v>8</v>
      </c>
      <c r="G443" s="142">
        <f>PJ工種集計!S859</f>
        <v>0</v>
      </c>
    </row>
    <row r="444" spans="1:7">
      <c r="A444" s="66">
        <f t="shared" ref="A444:C444" si="535">A443</f>
        <v>11</v>
      </c>
      <c r="B444" s="66">
        <f t="shared" si="535"/>
        <v>0</v>
      </c>
      <c r="C444" s="66" t="str">
        <f t="shared" si="535"/>
        <v/>
      </c>
      <c r="D444" s="66">
        <f t="shared" ref="D444:F444" si="536">D401</f>
        <v>0</v>
      </c>
      <c r="E444" s="145" t="str">
        <f t="shared" si="536"/>
        <v>木曜</v>
      </c>
      <c r="F444" s="145">
        <f t="shared" si="536"/>
        <v>9</v>
      </c>
      <c r="G444" s="142">
        <f>PJ工種集計!T859</f>
        <v>0</v>
      </c>
    </row>
    <row r="445" spans="1:7">
      <c r="A445" s="66">
        <f t="shared" ref="A445:C445" si="537">A444</f>
        <v>11</v>
      </c>
      <c r="B445" s="66">
        <f t="shared" si="537"/>
        <v>0</v>
      </c>
      <c r="C445" s="66" t="str">
        <f t="shared" si="537"/>
        <v/>
      </c>
      <c r="D445" s="66">
        <f t="shared" ref="D445:F445" si="538">D402</f>
        <v>0</v>
      </c>
      <c r="E445" s="145" t="str">
        <f t="shared" si="538"/>
        <v>金曜</v>
      </c>
      <c r="F445" s="145">
        <f t="shared" si="538"/>
        <v>10</v>
      </c>
      <c r="G445" s="142">
        <f>PJ工種集計!U859</f>
        <v>0</v>
      </c>
    </row>
    <row r="446" spans="1:7">
      <c r="A446" s="66">
        <f t="shared" ref="A446:C446" si="539">A445</f>
        <v>11</v>
      </c>
      <c r="B446" s="66">
        <f t="shared" si="539"/>
        <v>0</v>
      </c>
      <c r="C446" s="66" t="str">
        <f t="shared" si="539"/>
        <v/>
      </c>
      <c r="D446" s="66">
        <f t="shared" ref="D446:F446" si="540">D403</f>
        <v>0</v>
      </c>
      <c r="E446" s="145" t="str">
        <f t="shared" si="540"/>
        <v>土曜</v>
      </c>
      <c r="F446" s="145">
        <f t="shared" si="540"/>
        <v>11</v>
      </c>
      <c r="G446" s="142">
        <f>PJ工種集計!V859</f>
        <v>0</v>
      </c>
    </row>
    <row r="447" spans="1:7">
      <c r="A447" s="66">
        <f t="shared" ref="A447:C447" si="541">A446</f>
        <v>11</v>
      </c>
      <c r="B447" s="66">
        <f t="shared" si="541"/>
        <v>0</v>
      </c>
      <c r="C447" s="66" t="str">
        <f t="shared" si="541"/>
        <v/>
      </c>
      <c r="D447" s="66">
        <f t="shared" ref="D447:F447" si="542">D404</f>
        <v>0</v>
      </c>
      <c r="E447" s="145" t="str">
        <f t="shared" si="542"/>
        <v>日曜</v>
      </c>
      <c r="F447" s="145">
        <f t="shared" si="542"/>
        <v>12</v>
      </c>
      <c r="G447" s="142">
        <f>PJ工種集計!W859</f>
        <v>0</v>
      </c>
    </row>
    <row r="448" spans="1:7">
      <c r="A448" s="66">
        <f t="shared" ref="A448:C448" si="543">A447</f>
        <v>11</v>
      </c>
      <c r="B448" s="66">
        <f t="shared" si="543"/>
        <v>0</v>
      </c>
      <c r="C448" s="66" t="str">
        <f t="shared" si="543"/>
        <v/>
      </c>
      <c r="D448" s="66" t="str">
        <f t="shared" ref="D448:F448" si="544">D405</f>
        <v>3週</v>
      </c>
      <c r="E448" s="145" t="str">
        <f t="shared" si="544"/>
        <v>月曜</v>
      </c>
      <c r="F448" s="145">
        <f t="shared" si="544"/>
        <v>13</v>
      </c>
      <c r="G448" s="142">
        <f>PJ工種集計!X859</f>
        <v>0</v>
      </c>
    </row>
    <row r="449" spans="1:7">
      <c r="A449" s="66">
        <f t="shared" ref="A449:C449" si="545">A448</f>
        <v>11</v>
      </c>
      <c r="B449" s="66">
        <f t="shared" si="545"/>
        <v>0</v>
      </c>
      <c r="C449" s="66" t="str">
        <f t="shared" si="545"/>
        <v/>
      </c>
      <c r="D449" s="66">
        <f t="shared" ref="D449:F449" si="546">D406</f>
        <v>0</v>
      </c>
      <c r="E449" s="145" t="str">
        <f t="shared" si="546"/>
        <v>火曜</v>
      </c>
      <c r="F449" s="145">
        <f t="shared" si="546"/>
        <v>14</v>
      </c>
      <c r="G449" s="142">
        <f>PJ工種集計!Y859</f>
        <v>0</v>
      </c>
    </row>
    <row r="450" spans="1:7">
      <c r="A450" s="66">
        <f t="shared" ref="A450:C450" si="547">A449</f>
        <v>11</v>
      </c>
      <c r="B450" s="66">
        <f t="shared" si="547"/>
        <v>0</v>
      </c>
      <c r="C450" s="66" t="str">
        <f t="shared" si="547"/>
        <v/>
      </c>
      <c r="D450" s="66">
        <f t="shared" ref="D450:F450" si="548">D407</f>
        <v>0</v>
      </c>
      <c r="E450" s="145" t="str">
        <f t="shared" si="548"/>
        <v>水曜</v>
      </c>
      <c r="F450" s="145">
        <f t="shared" si="548"/>
        <v>15</v>
      </c>
      <c r="G450" s="142">
        <f>PJ工種集計!Z859</f>
        <v>0</v>
      </c>
    </row>
    <row r="451" spans="1:7">
      <c r="A451" s="66">
        <f t="shared" ref="A451:C451" si="549">A450</f>
        <v>11</v>
      </c>
      <c r="B451" s="66">
        <f t="shared" si="549"/>
        <v>0</v>
      </c>
      <c r="C451" s="66" t="str">
        <f t="shared" si="549"/>
        <v/>
      </c>
      <c r="D451" s="66">
        <f t="shared" ref="D451:F451" si="550">D408</f>
        <v>0</v>
      </c>
      <c r="E451" s="145" t="str">
        <f t="shared" si="550"/>
        <v>木曜</v>
      </c>
      <c r="F451" s="145">
        <f t="shared" si="550"/>
        <v>16</v>
      </c>
      <c r="G451" s="142">
        <f>PJ工種集計!AA859</f>
        <v>0</v>
      </c>
    </row>
    <row r="452" spans="1:7">
      <c r="A452" s="66">
        <f t="shared" ref="A452:C452" si="551">A451</f>
        <v>11</v>
      </c>
      <c r="B452" s="66">
        <f t="shared" si="551"/>
        <v>0</v>
      </c>
      <c r="C452" s="66" t="str">
        <f t="shared" si="551"/>
        <v/>
      </c>
      <c r="D452" s="66">
        <f t="shared" ref="D452:F452" si="552">D409</f>
        <v>0</v>
      </c>
      <c r="E452" s="145" t="str">
        <f t="shared" si="552"/>
        <v>金曜</v>
      </c>
      <c r="F452" s="145">
        <f t="shared" si="552"/>
        <v>17</v>
      </c>
      <c r="G452" s="142">
        <f>PJ工種集計!AB859</f>
        <v>0</v>
      </c>
    </row>
    <row r="453" spans="1:7">
      <c r="A453" s="66">
        <f t="shared" ref="A453:C453" si="553">A452</f>
        <v>11</v>
      </c>
      <c r="B453" s="66">
        <f t="shared" si="553"/>
        <v>0</v>
      </c>
      <c r="C453" s="66" t="str">
        <f t="shared" si="553"/>
        <v/>
      </c>
      <c r="D453" s="66">
        <f t="shared" ref="D453:F453" si="554">D410</f>
        <v>0</v>
      </c>
      <c r="E453" s="145" t="str">
        <f t="shared" si="554"/>
        <v>土曜</v>
      </c>
      <c r="F453" s="145">
        <f t="shared" si="554"/>
        <v>18</v>
      </c>
      <c r="G453" s="142">
        <f>PJ工種集計!AC859</f>
        <v>0</v>
      </c>
    </row>
    <row r="454" spans="1:7">
      <c r="A454" s="66">
        <f t="shared" ref="A454:C454" si="555">A453</f>
        <v>11</v>
      </c>
      <c r="B454" s="66">
        <f t="shared" si="555"/>
        <v>0</v>
      </c>
      <c r="C454" s="66" t="str">
        <f t="shared" si="555"/>
        <v/>
      </c>
      <c r="D454" s="66">
        <f t="shared" ref="D454:F454" si="556">D411</f>
        <v>0</v>
      </c>
      <c r="E454" s="145" t="str">
        <f t="shared" si="556"/>
        <v>日曜</v>
      </c>
      <c r="F454" s="145">
        <f t="shared" si="556"/>
        <v>19</v>
      </c>
      <c r="G454" s="142">
        <f>PJ工種集計!AD859</f>
        <v>0</v>
      </c>
    </row>
    <row r="455" spans="1:7">
      <c r="A455" s="66">
        <f t="shared" ref="A455:C455" si="557">A454</f>
        <v>11</v>
      </c>
      <c r="B455" s="66">
        <f t="shared" si="557"/>
        <v>0</v>
      </c>
      <c r="C455" s="66" t="str">
        <f t="shared" si="557"/>
        <v/>
      </c>
      <c r="D455" s="66" t="str">
        <f t="shared" ref="D455:F455" si="558">D412</f>
        <v>4週</v>
      </c>
      <c r="E455" s="145" t="str">
        <f t="shared" si="558"/>
        <v>月曜</v>
      </c>
      <c r="F455" s="145">
        <f t="shared" si="558"/>
        <v>20</v>
      </c>
      <c r="G455" s="142">
        <f>PJ工種集計!AE859</f>
        <v>0</v>
      </c>
    </row>
    <row r="456" spans="1:7">
      <c r="A456" s="66">
        <f t="shared" ref="A456:C456" si="559">A455</f>
        <v>11</v>
      </c>
      <c r="B456" s="66">
        <f t="shared" si="559"/>
        <v>0</v>
      </c>
      <c r="C456" s="66" t="str">
        <f t="shared" si="559"/>
        <v/>
      </c>
      <c r="D456" s="66">
        <f t="shared" ref="D456:F456" si="560">D413</f>
        <v>0</v>
      </c>
      <c r="E456" s="145" t="str">
        <f t="shared" si="560"/>
        <v>火曜</v>
      </c>
      <c r="F456" s="145">
        <f t="shared" si="560"/>
        <v>21</v>
      </c>
      <c r="G456" s="142">
        <f>PJ工種集計!AF859</f>
        <v>0</v>
      </c>
    </row>
    <row r="457" spans="1:7">
      <c r="A457" s="66">
        <f t="shared" ref="A457:C457" si="561">A456</f>
        <v>11</v>
      </c>
      <c r="B457" s="66">
        <f t="shared" si="561"/>
        <v>0</v>
      </c>
      <c r="C457" s="66" t="str">
        <f t="shared" si="561"/>
        <v/>
      </c>
      <c r="D457" s="66">
        <f t="shared" ref="D457:F457" si="562">D414</f>
        <v>0</v>
      </c>
      <c r="E457" s="145" t="str">
        <f t="shared" si="562"/>
        <v>水曜</v>
      </c>
      <c r="F457" s="145">
        <f t="shared" si="562"/>
        <v>22</v>
      </c>
      <c r="G457" s="142">
        <f>PJ工種集計!AG859</f>
        <v>0</v>
      </c>
    </row>
    <row r="458" spans="1:7">
      <c r="A458" s="66">
        <f t="shared" ref="A458:C458" si="563">A457</f>
        <v>11</v>
      </c>
      <c r="B458" s="66">
        <f t="shared" si="563"/>
        <v>0</v>
      </c>
      <c r="C458" s="66" t="str">
        <f t="shared" si="563"/>
        <v/>
      </c>
      <c r="D458" s="66">
        <f t="shared" ref="D458:F458" si="564">D415</f>
        <v>0</v>
      </c>
      <c r="E458" s="145" t="str">
        <f t="shared" si="564"/>
        <v>木曜</v>
      </c>
      <c r="F458" s="145">
        <f t="shared" si="564"/>
        <v>23</v>
      </c>
      <c r="G458" s="142">
        <f>PJ工種集計!AH859</f>
        <v>0</v>
      </c>
    </row>
    <row r="459" spans="1:7">
      <c r="A459" s="66">
        <f t="shared" ref="A459:C459" si="565">A458</f>
        <v>11</v>
      </c>
      <c r="B459" s="66">
        <f t="shared" si="565"/>
        <v>0</v>
      </c>
      <c r="C459" s="66" t="str">
        <f t="shared" si="565"/>
        <v/>
      </c>
      <c r="D459" s="66">
        <f t="shared" ref="D459:F459" si="566">D416</f>
        <v>0</v>
      </c>
      <c r="E459" s="145" t="str">
        <f t="shared" si="566"/>
        <v>金曜</v>
      </c>
      <c r="F459" s="145">
        <f t="shared" si="566"/>
        <v>24</v>
      </c>
      <c r="G459" s="142">
        <f>PJ工種集計!AI859</f>
        <v>0</v>
      </c>
    </row>
    <row r="460" spans="1:7">
      <c r="A460" s="66">
        <f t="shared" ref="A460:C460" si="567">A459</f>
        <v>11</v>
      </c>
      <c r="B460" s="66">
        <f t="shared" si="567"/>
        <v>0</v>
      </c>
      <c r="C460" s="66" t="str">
        <f t="shared" si="567"/>
        <v/>
      </c>
      <c r="D460" s="66">
        <f t="shared" ref="D460:F460" si="568">D417</f>
        <v>0</v>
      </c>
      <c r="E460" s="145" t="str">
        <f t="shared" si="568"/>
        <v>土曜</v>
      </c>
      <c r="F460" s="145">
        <f t="shared" si="568"/>
        <v>25</v>
      </c>
      <c r="G460" s="142">
        <f>PJ工種集計!AJ859</f>
        <v>0</v>
      </c>
    </row>
    <row r="461" spans="1:7">
      <c r="A461" s="66">
        <f t="shared" ref="A461:C461" si="569">A460</f>
        <v>11</v>
      </c>
      <c r="B461" s="66">
        <f t="shared" si="569"/>
        <v>0</v>
      </c>
      <c r="C461" s="66" t="str">
        <f t="shared" si="569"/>
        <v/>
      </c>
      <c r="D461" s="66">
        <f t="shared" ref="D461:F461" si="570">D418</f>
        <v>0</v>
      </c>
      <c r="E461" s="145" t="str">
        <f t="shared" si="570"/>
        <v>日曜</v>
      </c>
      <c r="F461" s="145">
        <f t="shared" si="570"/>
        <v>26</v>
      </c>
      <c r="G461" s="142">
        <f>PJ工種集計!AK859</f>
        <v>0</v>
      </c>
    </row>
    <row r="462" spans="1:7">
      <c r="A462" s="66">
        <f t="shared" ref="A462:C462" si="571">A461</f>
        <v>11</v>
      </c>
      <c r="B462" s="66">
        <f t="shared" si="571"/>
        <v>0</v>
      </c>
      <c r="C462" s="66" t="str">
        <f t="shared" si="571"/>
        <v/>
      </c>
      <c r="D462" s="66" t="str">
        <f t="shared" ref="D462:F462" si="572">D419</f>
        <v>5週</v>
      </c>
      <c r="E462" s="145" t="str">
        <f t="shared" si="572"/>
        <v>月曜</v>
      </c>
      <c r="F462" s="145">
        <f t="shared" si="572"/>
        <v>27</v>
      </c>
      <c r="G462" s="142">
        <f>PJ工種集計!AL859</f>
        <v>0</v>
      </c>
    </row>
    <row r="463" spans="1:7">
      <c r="A463" s="66">
        <f t="shared" ref="A463:C463" si="573">A462</f>
        <v>11</v>
      </c>
      <c r="B463" s="66">
        <f t="shared" si="573"/>
        <v>0</v>
      </c>
      <c r="C463" s="66" t="str">
        <f t="shared" si="573"/>
        <v/>
      </c>
      <c r="D463" s="66">
        <f t="shared" ref="D463:F463" si="574">D420</f>
        <v>0</v>
      </c>
      <c r="E463" s="145" t="str">
        <f t="shared" si="574"/>
        <v>火曜</v>
      </c>
      <c r="F463" s="145">
        <f t="shared" si="574"/>
        <v>28</v>
      </c>
      <c r="G463" s="142">
        <f>PJ工種集計!AM859</f>
        <v>0</v>
      </c>
    </row>
    <row r="464" spans="1:7">
      <c r="A464" s="66">
        <f t="shared" ref="A464:C464" si="575">A463</f>
        <v>11</v>
      </c>
      <c r="B464" s="66">
        <f t="shared" si="575"/>
        <v>0</v>
      </c>
      <c r="C464" s="66" t="str">
        <f t="shared" si="575"/>
        <v/>
      </c>
      <c r="D464" s="66">
        <f t="shared" ref="D464:F464" si="576">D421</f>
        <v>0</v>
      </c>
      <c r="E464" s="145" t="str">
        <f t="shared" si="576"/>
        <v>水曜</v>
      </c>
      <c r="F464" s="145">
        <f t="shared" si="576"/>
        <v>29</v>
      </c>
      <c r="G464" s="142">
        <f>PJ工種集計!AN859</f>
        <v>0</v>
      </c>
    </row>
    <row r="465" spans="1:7">
      <c r="A465" s="66">
        <f t="shared" ref="A465:C465" si="577">A464</f>
        <v>11</v>
      </c>
      <c r="B465" s="66">
        <f t="shared" si="577"/>
        <v>0</v>
      </c>
      <c r="C465" s="66" t="str">
        <f t="shared" si="577"/>
        <v/>
      </c>
      <c r="D465" s="66">
        <f t="shared" ref="D465:F465" si="578">D422</f>
        <v>0</v>
      </c>
      <c r="E465" s="145" t="str">
        <f t="shared" si="578"/>
        <v>木曜</v>
      </c>
      <c r="F465" s="145">
        <f t="shared" si="578"/>
        <v>30</v>
      </c>
      <c r="G465" s="142">
        <f>PJ工種集計!AO859</f>
        <v>0</v>
      </c>
    </row>
    <row r="466" spans="1:7">
      <c r="A466" s="66">
        <f t="shared" ref="A466:C466" si="579">A465</f>
        <v>11</v>
      </c>
      <c r="B466" s="66">
        <f t="shared" si="579"/>
        <v>0</v>
      </c>
      <c r="C466" s="66" t="str">
        <f t="shared" si="579"/>
        <v/>
      </c>
      <c r="D466" s="66">
        <f t="shared" ref="D466:F466" si="580">D423</f>
        <v>0</v>
      </c>
      <c r="E466" s="145" t="str">
        <f t="shared" si="580"/>
        <v>金曜</v>
      </c>
      <c r="F466" s="145">
        <f t="shared" si="580"/>
        <v>31</v>
      </c>
      <c r="G466" s="142">
        <f>PJ工種集計!AP859</f>
        <v>0</v>
      </c>
    </row>
    <row r="467" spans="1:7">
      <c r="A467" s="66">
        <f t="shared" ref="A467:C467" si="581">A466</f>
        <v>11</v>
      </c>
      <c r="B467" s="66">
        <f t="shared" si="581"/>
        <v>0</v>
      </c>
      <c r="C467" s="66" t="str">
        <f t="shared" si="581"/>
        <v/>
      </c>
      <c r="D467" s="66">
        <f t="shared" ref="D467:F467" si="582">D424</f>
        <v>0</v>
      </c>
      <c r="E467" s="145" t="str">
        <f t="shared" si="582"/>
        <v>土曜</v>
      </c>
      <c r="F467" s="145" t="str">
        <f t="shared" si="582"/>
        <v/>
      </c>
      <c r="G467" s="142">
        <f>PJ工種集計!AQ859</f>
        <v>0</v>
      </c>
    </row>
    <row r="468" spans="1:7">
      <c r="A468" s="66">
        <f t="shared" ref="A468:C468" si="583">A467</f>
        <v>11</v>
      </c>
      <c r="B468" s="66">
        <f t="shared" si="583"/>
        <v>0</v>
      </c>
      <c r="C468" s="66" t="str">
        <f t="shared" si="583"/>
        <v/>
      </c>
      <c r="D468" s="66">
        <f t="shared" ref="D468:F468" si="584">D425</f>
        <v>0</v>
      </c>
      <c r="E468" s="145" t="str">
        <f t="shared" si="584"/>
        <v>日曜</v>
      </c>
      <c r="F468" s="145" t="str">
        <f t="shared" si="584"/>
        <v/>
      </c>
      <c r="G468" s="142">
        <f>PJ工種集計!AR859</f>
        <v>0</v>
      </c>
    </row>
    <row r="469" spans="1:7">
      <c r="A469" s="66">
        <f t="shared" ref="A469:C469" si="585">A468</f>
        <v>11</v>
      </c>
      <c r="B469" s="66">
        <f t="shared" si="585"/>
        <v>0</v>
      </c>
      <c r="C469" s="66" t="str">
        <f t="shared" si="585"/>
        <v/>
      </c>
      <c r="D469" s="66" t="str">
        <f t="shared" ref="D469:F469" si="586">D426</f>
        <v>6週</v>
      </c>
      <c r="E469" s="145" t="str">
        <f t="shared" si="586"/>
        <v>月曜</v>
      </c>
      <c r="F469" s="145" t="str">
        <f t="shared" si="586"/>
        <v/>
      </c>
      <c r="G469" s="142">
        <f>PJ工種集計!AS859</f>
        <v>0</v>
      </c>
    </row>
    <row r="470" spans="1:7">
      <c r="A470" s="66">
        <f t="shared" ref="A470:C470" si="587">A469</f>
        <v>11</v>
      </c>
      <c r="B470" s="66">
        <f t="shared" si="587"/>
        <v>0</v>
      </c>
      <c r="C470" s="66" t="str">
        <f t="shared" si="587"/>
        <v/>
      </c>
      <c r="D470" s="66">
        <f t="shared" ref="D470:F470" si="588">D427</f>
        <v>0</v>
      </c>
      <c r="E470" s="145" t="str">
        <f t="shared" si="588"/>
        <v>火曜</v>
      </c>
      <c r="F470" s="145" t="str">
        <f t="shared" si="588"/>
        <v/>
      </c>
      <c r="G470" s="142">
        <f>PJ工種集計!AT859</f>
        <v>0</v>
      </c>
    </row>
    <row r="471" spans="1:7">
      <c r="A471" s="66">
        <f t="shared" ref="A471:C471" si="589">A470</f>
        <v>11</v>
      </c>
      <c r="B471" s="66">
        <f t="shared" si="589"/>
        <v>0</v>
      </c>
      <c r="C471" s="66" t="str">
        <f t="shared" si="589"/>
        <v/>
      </c>
      <c r="D471" s="66">
        <f t="shared" ref="D471:F471" si="590">D428</f>
        <v>0</v>
      </c>
      <c r="E471" s="145" t="str">
        <f t="shared" si="590"/>
        <v>水曜</v>
      </c>
      <c r="F471" s="145" t="str">
        <f t="shared" si="590"/>
        <v/>
      </c>
      <c r="G471" s="142">
        <f>PJ工種集計!AU859</f>
        <v>0</v>
      </c>
    </row>
    <row r="472" spans="1:7">
      <c r="A472" s="66">
        <f t="shared" ref="A472:C472" si="591">A471</f>
        <v>11</v>
      </c>
      <c r="B472" s="66">
        <f t="shared" si="591"/>
        <v>0</v>
      </c>
      <c r="C472" s="66" t="str">
        <f t="shared" si="591"/>
        <v/>
      </c>
      <c r="D472" s="66">
        <f t="shared" ref="D472:F472" si="592">D429</f>
        <v>0</v>
      </c>
      <c r="E472" s="145" t="str">
        <f t="shared" si="592"/>
        <v>木曜</v>
      </c>
      <c r="F472" s="145" t="str">
        <f t="shared" si="592"/>
        <v/>
      </c>
      <c r="G472" s="142">
        <f>PJ工種集計!AV859</f>
        <v>0</v>
      </c>
    </row>
    <row r="473" spans="1:7">
      <c r="A473" s="66">
        <f t="shared" ref="A473:C473" si="593">A472</f>
        <v>11</v>
      </c>
      <c r="B473" s="66">
        <f t="shared" si="593"/>
        <v>0</v>
      </c>
      <c r="C473" s="66" t="str">
        <f t="shared" si="593"/>
        <v/>
      </c>
      <c r="D473" s="66">
        <f t="shared" ref="D473:F473" si="594">D430</f>
        <v>0</v>
      </c>
      <c r="E473" s="145" t="str">
        <f t="shared" si="594"/>
        <v>金曜</v>
      </c>
      <c r="F473" s="145" t="str">
        <f t="shared" si="594"/>
        <v/>
      </c>
      <c r="G473" s="142">
        <f>PJ工種集計!AW859</f>
        <v>0</v>
      </c>
    </row>
    <row r="474" spans="1:7">
      <c r="A474" s="66">
        <f t="shared" ref="A474:C474" si="595">A473</f>
        <v>11</v>
      </c>
      <c r="B474" s="66">
        <f t="shared" si="595"/>
        <v>0</v>
      </c>
      <c r="C474" s="66" t="str">
        <f t="shared" si="595"/>
        <v/>
      </c>
      <c r="D474" s="66">
        <f t="shared" ref="D474:F474" si="596">D431</f>
        <v>0</v>
      </c>
      <c r="E474" s="145" t="str">
        <f t="shared" si="596"/>
        <v>土曜</v>
      </c>
      <c r="F474" s="145" t="str">
        <f t="shared" si="596"/>
        <v/>
      </c>
      <c r="G474" s="142">
        <f>PJ工種集計!AX859</f>
        <v>0</v>
      </c>
    </row>
    <row r="475" spans="1:7">
      <c r="A475" s="66">
        <f t="shared" ref="A475:C475" si="597">A474</f>
        <v>11</v>
      </c>
      <c r="B475" s="66">
        <f t="shared" si="597"/>
        <v>0</v>
      </c>
      <c r="C475" s="66" t="str">
        <f t="shared" si="597"/>
        <v/>
      </c>
      <c r="D475" s="66">
        <f t="shared" ref="D475:F475" si="598">D432</f>
        <v>0</v>
      </c>
      <c r="E475" s="145" t="str">
        <f t="shared" si="598"/>
        <v>日曜</v>
      </c>
      <c r="F475" s="145" t="str">
        <f t="shared" si="598"/>
        <v/>
      </c>
      <c r="G475" s="142">
        <f>PJ工種集計!AY859</f>
        <v>0</v>
      </c>
    </row>
    <row r="477" spans="1:7">
      <c r="A477" s="66">
        <f>PJ工種集計!A943</f>
        <v>12</v>
      </c>
      <c r="B477" s="66">
        <f>PJ工種集計!B943</f>
        <v>0</v>
      </c>
      <c r="C477" s="66" t="str">
        <f>PJ工種集計!C943</f>
        <v/>
      </c>
      <c r="D477" s="66" t="str">
        <f>D434</f>
        <v>１週</v>
      </c>
      <c r="E477" s="145" t="str">
        <f>E434</f>
        <v>月曜</v>
      </c>
      <c r="F477" s="145" t="str">
        <f>F434</f>
        <v/>
      </c>
      <c r="G477" s="142">
        <f>PJ工種集計!J944</f>
        <v>0</v>
      </c>
    </row>
    <row r="478" spans="1:7">
      <c r="A478" s="66">
        <f t="shared" ref="A478:C478" si="599">A477</f>
        <v>12</v>
      </c>
      <c r="B478" s="66">
        <f t="shared" si="599"/>
        <v>0</v>
      </c>
      <c r="C478" s="66" t="str">
        <f t="shared" si="599"/>
        <v/>
      </c>
      <c r="D478" s="66">
        <f t="shared" ref="D478:F478" si="600">D435</f>
        <v>0</v>
      </c>
      <c r="E478" s="145" t="str">
        <f t="shared" si="600"/>
        <v>火曜</v>
      </c>
      <c r="F478" s="145" t="str">
        <f t="shared" si="600"/>
        <v/>
      </c>
      <c r="G478" s="142">
        <f>PJ工種集計!K944</f>
        <v>0</v>
      </c>
    </row>
    <row r="479" spans="1:7">
      <c r="A479" s="66">
        <f t="shared" ref="A479:C479" si="601">A478</f>
        <v>12</v>
      </c>
      <c r="B479" s="66">
        <f t="shared" si="601"/>
        <v>0</v>
      </c>
      <c r="C479" s="66" t="str">
        <f t="shared" si="601"/>
        <v/>
      </c>
      <c r="D479" s="66">
        <f t="shared" ref="D479:F479" si="602">D436</f>
        <v>0</v>
      </c>
      <c r="E479" s="145" t="str">
        <f t="shared" si="602"/>
        <v>水曜</v>
      </c>
      <c r="F479" s="145">
        <f t="shared" si="602"/>
        <v>1</v>
      </c>
      <c r="G479" s="142">
        <f>PJ工種集計!L944</f>
        <v>0</v>
      </c>
    </row>
    <row r="480" spans="1:7">
      <c r="A480" s="66">
        <f t="shared" ref="A480:C480" si="603">A479</f>
        <v>12</v>
      </c>
      <c r="B480" s="66">
        <f t="shared" si="603"/>
        <v>0</v>
      </c>
      <c r="C480" s="66" t="str">
        <f t="shared" si="603"/>
        <v/>
      </c>
      <c r="D480" s="66">
        <f t="shared" ref="D480:F480" si="604">D437</f>
        <v>0</v>
      </c>
      <c r="E480" s="145" t="str">
        <f t="shared" si="604"/>
        <v>木曜</v>
      </c>
      <c r="F480" s="145">
        <f t="shared" si="604"/>
        <v>2</v>
      </c>
      <c r="G480" s="142">
        <f>PJ工種集計!M944</f>
        <v>0</v>
      </c>
    </row>
    <row r="481" spans="1:7">
      <c r="A481" s="66">
        <f t="shared" ref="A481:C481" si="605">A480</f>
        <v>12</v>
      </c>
      <c r="B481" s="66">
        <f t="shared" si="605"/>
        <v>0</v>
      </c>
      <c r="C481" s="66" t="str">
        <f t="shared" si="605"/>
        <v/>
      </c>
      <c r="D481" s="66">
        <f t="shared" ref="D481:F481" si="606">D438</f>
        <v>0</v>
      </c>
      <c r="E481" s="145" t="str">
        <f t="shared" si="606"/>
        <v>金曜</v>
      </c>
      <c r="F481" s="145">
        <f t="shared" si="606"/>
        <v>3</v>
      </c>
      <c r="G481" s="142">
        <f>PJ工種集計!N944</f>
        <v>0</v>
      </c>
    </row>
    <row r="482" spans="1:7">
      <c r="A482" s="66">
        <f t="shared" ref="A482:C482" si="607">A481</f>
        <v>12</v>
      </c>
      <c r="B482" s="66">
        <f t="shared" si="607"/>
        <v>0</v>
      </c>
      <c r="C482" s="66" t="str">
        <f t="shared" si="607"/>
        <v/>
      </c>
      <c r="D482" s="66">
        <f t="shared" ref="D482:F482" si="608">D439</f>
        <v>0</v>
      </c>
      <c r="E482" s="145" t="str">
        <f t="shared" si="608"/>
        <v>土曜</v>
      </c>
      <c r="F482" s="145">
        <f t="shared" si="608"/>
        <v>4</v>
      </c>
      <c r="G482" s="142">
        <f>PJ工種集計!O944</f>
        <v>0</v>
      </c>
    </row>
    <row r="483" spans="1:7">
      <c r="A483" s="66">
        <f t="shared" ref="A483:C483" si="609">A482</f>
        <v>12</v>
      </c>
      <c r="B483" s="66">
        <f t="shared" si="609"/>
        <v>0</v>
      </c>
      <c r="C483" s="66" t="str">
        <f t="shared" si="609"/>
        <v/>
      </c>
      <c r="D483" s="66">
        <f t="shared" ref="D483:F483" si="610">D440</f>
        <v>0</v>
      </c>
      <c r="E483" s="145" t="str">
        <f t="shared" si="610"/>
        <v>日曜</v>
      </c>
      <c r="F483" s="145">
        <f t="shared" si="610"/>
        <v>5</v>
      </c>
      <c r="G483" s="142">
        <f>PJ工種集計!P944</f>
        <v>0</v>
      </c>
    </row>
    <row r="484" spans="1:7">
      <c r="A484" s="66">
        <f t="shared" ref="A484:C484" si="611">A483</f>
        <v>12</v>
      </c>
      <c r="B484" s="66">
        <f t="shared" si="611"/>
        <v>0</v>
      </c>
      <c r="C484" s="66" t="str">
        <f t="shared" si="611"/>
        <v/>
      </c>
      <c r="D484" s="66" t="str">
        <f t="shared" ref="D484:F484" si="612">D441</f>
        <v>2週</v>
      </c>
      <c r="E484" s="145" t="str">
        <f t="shared" si="612"/>
        <v>月曜</v>
      </c>
      <c r="F484" s="145">
        <f t="shared" si="612"/>
        <v>6</v>
      </c>
      <c r="G484" s="142">
        <f>PJ工種集計!Q944</f>
        <v>0</v>
      </c>
    </row>
    <row r="485" spans="1:7">
      <c r="A485" s="66">
        <f t="shared" ref="A485:C485" si="613">A484</f>
        <v>12</v>
      </c>
      <c r="B485" s="66">
        <f t="shared" si="613"/>
        <v>0</v>
      </c>
      <c r="C485" s="66" t="str">
        <f t="shared" si="613"/>
        <v/>
      </c>
      <c r="D485" s="66">
        <f t="shared" ref="D485:F485" si="614">D442</f>
        <v>0</v>
      </c>
      <c r="E485" s="145" t="str">
        <f t="shared" si="614"/>
        <v>火曜</v>
      </c>
      <c r="F485" s="145">
        <f t="shared" si="614"/>
        <v>7</v>
      </c>
      <c r="G485" s="142">
        <f>PJ工種集計!R944</f>
        <v>0</v>
      </c>
    </row>
    <row r="486" spans="1:7">
      <c r="A486" s="66">
        <f t="shared" ref="A486:C486" si="615">A485</f>
        <v>12</v>
      </c>
      <c r="B486" s="66">
        <f t="shared" si="615"/>
        <v>0</v>
      </c>
      <c r="C486" s="66" t="str">
        <f t="shared" si="615"/>
        <v/>
      </c>
      <c r="D486" s="66">
        <f t="shared" ref="D486:F486" si="616">D443</f>
        <v>0</v>
      </c>
      <c r="E486" s="145" t="str">
        <f t="shared" si="616"/>
        <v>水曜</v>
      </c>
      <c r="F486" s="145">
        <f t="shared" si="616"/>
        <v>8</v>
      </c>
      <c r="G486" s="142">
        <f>PJ工種集計!S944</f>
        <v>0</v>
      </c>
    </row>
    <row r="487" spans="1:7">
      <c r="A487" s="66">
        <f t="shared" ref="A487:C487" si="617">A486</f>
        <v>12</v>
      </c>
      <c r="B487" s="66">
        <f t="shared" si="617"/>
        <v>0</v>
      </c>
      <c r="C487" s="66" t="str">
        <f t="shared" si="617"/>
        <v/>
      </c>
      <c r="D487" s="66">
        <f t="shared" ref="D487:F487" si="618">D444</f>
        <v>0</v>
      </c>
      <c r="E487" s="145" t="str">
        <f t="shared" si="618"/>
        <v>木曜</v>
      </c>
      <c r="F487" s="145">
        <f t="shared" si="618"/>
        <v>9</v>
      </c>
      <c r="G487" s="142">
        <f>PJ工種集計!T944</f>
        <v>0</v>
      </c>
    </row>
    <row r="488" spans="1:7">
      <c r="A488" s="66">
        <f t="shared" ref="A488:C488" si="619">A487</f>
        <v>12</v>
      </c>
      <c r="B488" s="66">
        <f t="shared" si="619"/>
        <v>0</v>
      </c>
      <c r="C488" s="66" t="str">
        <f t="shared" si="619"/>
        <v/>
      </c>
      <c r="D488" s="66">
        <f t="shared" ref="D488:F488" si="620">D445</f>
        <v>0</v>
      </c>
      <c r="E488" s="145" t="str">
        <f t="shared" si="620"/>
        <v>金曜</v>
      </c>
      <c r="F488" s="145">
        <f t="shared" si="620"/>
        <v>10</v>
      </c>
      <c r="G488" s="142">
        <f>PJ工種集計!U944</f>
        <v>0</v>
      </c>
    </row>
    <row r="489" spans="1:7">
      <c r="A489" s="66">
        <f t="shared" ref="A489:C489" si="621">A488</f>
        <v>12</v>
      </c>
      <c r="B489" s="66">
        <f t="shared" si="621"/>
        <v>0</v>
      </c>
      <c r="C489" s="66" t="str">
        <f t="shared" si="621"/>
        <v/>
      </c>
      <c r="D489" s="66">
        <f t="shared" ref="D489:F489" si="622">D446</f>
        <v>0</v>
      </c>
      <c r="E489" s="145" t="str">
        <f t="shared" si="622"/>
        <v>土曜</v>
      </c>
      <c r="F489" s="145">
        <f t="shared" si="622"/>
        <v>11</v>
      </c>
      <c r="G489" s="142">
        <f>PJ工種集計!V944</f>
        <v>0</v>
      </c>
    </row>
    <row r="490" spans="1:7">
      <c r="A490" s="66">
        <f t="shared" ref="A490:C490" si="623">A489</f>
        <v>12</v>
      </c>
      <c r="B490" s="66">
        <f t="shared" si="623"/>
        <v>0</v>
      </c>
      <c r="C490" s="66" t="str">
        <f t="shared" si="623"/>
        <v/>
      </c>
      <c r="D490" s="66">
        <f t="shared" ref="D490:F490" si="624">D447</f>
        <v>0</v>
      </c>
      <c r="E490" s="145" t="str">
        <f t="shared" si="624"/>
        <v>日曜</v>
      </c>
      <c r="F490" s="145">
        <f t="shared" si="624"/>
        <v>12</v>
      </c>
      <c r="G490" s="142">
        <f>PJ工種集計!W944</f>
        <v>0</v>
      </c>
    </row>
    <row r="491" spans="1:7">
      <c r="A491" s="66">
        <f t="shared" ref="A491:C491" si="625">A490</f>
        <v>12</v>
      </c>
      <c r="B491" s="66">
        <f t="shared" si="625"/>
        <v>0</v>
      </c>
      <c r="C491" s="66" t="str">
        <f t="shared" si="625"/>
        <v/>
      </c>
      <c r="D491" s="66" t="str">
        <f t="shared" ref="D491:F491" si="626">D448</f>
        <v>3週</v>
      </c>
      <c r="E491" s="145" t="str">
        <f t="shared" si="626"/>
        <v>月曜</v>
      </c>
      <c r="F491" s="145">
        <f t="shared" si="626"/>
        <v>13</v>
      </c>
      <c r="G491" s="142">
        <f>PJ工種集計!X944</f>
        <v>0</v>
      </c>
    </row>
    <row r="492" spans="1:7">
      <c r="A492" s="66">
        <f t="shared" ref="A492:C492" si="627">A491</f>
        <v>12</v>
      </c>
      <c r="B492" s="66">
        <f t="shared" si="627"/>
        <v>0</v>
      </c>
      <c r="C492" s="66" t="str">
        <f t="shared" si="627"/>
        <v/>
      </c>
      <c r="D492" s="66">
        <f t="shared" ref="D492:F492" si="628">D449</f>
        <v>0</v>
      </c>
      <c r="E492" s="145" t="str">
        <f t="shared" si="628"/>
        <v>火曜</v>
      </c>
      <c r="F492" s="145">
        <f t="shared" si="628"/>
        <v>14</v>
      </c>
      <c r="G492" s="142">
        <f>PJ工種集計!Y944</f>
        <v>0</v>
      </c>
    </row>
    <row r="493" spans="1:7">
      <c r="A493" s="66">
        <f t="shared" ref="A493:C493" si="629">A492</f>
        <v>12</v>
      </c>
      <c r="B493" s="66">
        <f t="shared" si="629"/>
        <v>0</v>
      </c>
      <c r="C493" s="66" t="str">
        <f t="shared" si="629"/>
        <v/>
      </c>
      <c r="D493" s="66">
        <f t="shared" ref="D493:F493" si="630">D450</f>
        <v>0</v>
      </c>
      <c r="E493" s="145" t="str">
        <f t="shared" si="630"/>
        <v>水曜</v>
      </c>
      <c r="F493" s="145">
        <f t="shared" si="630"/>
        <v>15</v>
      </c>
      <c r="G493" s="142">
        <f>PJ工種集計!Z944</f>
        <v>0</v>
      </c>
    </row>
    <row r="494" spans="1:7">
      <c r="A494" s="66">
        <f t="shared" ref="A494:C494" si="631">A493</f>
        <v>12</v>
      </c>
      <c r="B494" s="66">
        <f t="shared" si="631"/>
        <v>0</v>
      </c>
      <c r="C494" s="66" t="str">
        <f t="shared" si="631"/>
        <v/>
      </c>
      <c r="D494" s="66">
        <f t="shared" ref="D494:F494" si="632">D451</f>
        <v>0</v>
      </c>
      <c r="E494" s="145" t="str">
        <f t="shared" si="632"/>
        <v>木曜</v>
      </c>
      <c r="F494" s="145">
        <f t="shared" si="632"/>
        <v>16</v>
      </c>
      <c r="G494" s="142">
        <f>PJ工種集計!AA944</f>
        <v>0</v>
      </c>
    </row>
    <row r="495" spans="1:7">
      <c r="A495" s="66">
        <f t="shared" ref="A495:C495" si="633">A494</f>
        <v>12</v>
      </c>
      <c r="B495" s="66">
        <f t="shared" si="633"/>
        <v>0</v>
      </c>
      <c r="C495" s="66" t="str">
        <f t="shared" si="633"/>
        <v/>
      </c>
      <c r="D495" s="66">
        <f t="shared" ref="D495:F495" si="634">D452</f>
        <v>0</v>
      </c>
      <c r="E495" s="145" t="str">
        <f t="shared" si="634"/>
        <v>金曜</v>
      </c>
      <c r="F495" s="145">
        <f t="shared" si="634"/>
        <v>17</v>
      </c>
      <c r="G495" s="142">
        <f>PJ工種集計!AB944</f>
        <v>0</v>
      </c>
    </row>
    <row r="496" spans="1:7">
      <c r="A496" s="66">
        <f t="shared" ref="A496:C496" si="635">A495</f>
        <v>12</v>
      </c>
      <c r="B496" s="66">
        <f t="shared" si="635"/>
        <v>0</v>
      </c>
      <c r="C496" s="66" t="str">
        <f t="shared" si="635"/>
        <v/>
      </c>
      <c r="D496" s="66">
        <f t="shared" ref="D496:F496" si="636">D453</f>
        <v>0</v>
      </c>
      <c r="E496" s="145" t="str">
        <f t="shared" si="636"/>
        <v>土曜</v>
      </c>
      <c r="F496" s="145">
        <f t="shared" si="636"/>
        <v>18</v>
      </c>
      <c r="G496" s="142">
        <f>PJ工種集計!AC944</f>
        <v>0</v>
      </c>
    </row>
    <row r="497" spans="1:7">
      <c r="A497" s="66">
        <f t="shared" ref="A497:C497" si="637">A496</f>
        <v>12</v>
      </c>
      <c r="B497" s="66">
        <f t="shared" si="637"/>
        <v>0</v>
      </c>
      <c r="C497" s="66" t="str">
        <f t="shared" si="637"/>
        <v/>
      </c>
      <c r="D497" s="66">
        <f t="shared" ref="D497:F497" si="638">D454</f>
        <v>0</v>
      </c>
      <c r="E497" s="145" t="str">
        <f t="shared" si="638"/>
        <v>日曜</v>
      </c>
      <c r="F497" s="145">
        <f t="shared" si="638"/>
        <v>19</v>
      </c>
      <c r="G497" s="142">
        <f>PJ工種集計!AD944</f>
        <v>0</v>
      </c>
    </row>
    <row r="498" spans="1:7">
      <c r="A498" s="66">
        <f t="shared" ref="A498:C498" si="639">A497</f>
        <v>12</v>
      </c>
      <c r="B498" s="66">
        <f t="shared" si="639"/>
        <v>0</v>
      </c>
      <c r="C498" s="66" t="str">
        <f t="shared" si="639"/>
        <v/>
      </c>
      <c r="D498" s="66" t="str">
        <f t="shared" ref="D498:F498" si="640">D455</f>
        <v>4週</v>
      </c>
      <c r="E498" s="145" t="str">
        <f t="shared" si="640"/>
        <v>月曜</v>
      </c>
      <c r="F498" s="145">
        <f t="shared" si="640"/>
        <v>20</v>
      </c>
      <c r="G498" s="142">
        <f>PJ工種集計!AE944</f>
        <v>0</v>
      </c>
    </row>
    <row r="499" spans="1:7">
      <c r="A499" s="66">
        <f t="shared" ref="A499:C499" si="641">A498</f>
        <v>12</v>
      </c>
      <c r="B499" s="66">
        <f t="shared" si="641"/>
        <v>0</v>
      </c>
      <c r="C499" s="66" t="str">
        <f t="shared" si="641"/>
        <v/>
      </c>
      <c r="D499" s="66">
        <f t="shared" ref="D499:F499" si="642">D456</f>
        <v>0</v>
      </c>
      <c r="E499" s="145" t="str">
        <f t="shared" si="642"/>
        <v>火曜</v>
      </c>
      <c r="F499" s="145">
        <f t="shared" si="642"/>
        <v>21</v>
      </c>
      <c r="G499" s="142">
        <f>PJ工種集計!AF944</f>
        <v>0</v>
      </c>
    </row>
    <row r="500" spans="1:7">
      <c r="A500" s="66">
        <f t="shared" ref="A500:C500" si="643">A499</f>
        <v>12</v>
      </c>
      <c r="B500" s="66">
        <f t="shared" si="643"/>
        <v>0</v>
      </c>
      <c r="C500" s="66" t="str">
        <f t="shared" si="643"/>
        <v/>
      </c>
      <c r="D500" s="66">
        <f t="shared" ref="D500:F500" si="644">D457</f>
        <v>0</v>
      </c>
      <c r="E500" s="145" t="str">
        <f t="shared" si="644"/>
        <v>水曜</v>
      </c>
      <c r="F500" s="145">
        <f t="shared" si="644"/>
        <v>22</v>
      </c>
      <c r="G500" s="142">
        <f>PJ工種集計!AG944</f>
        <v>0</v>
      </c>
    </row>
    <row r="501" spans="1:7">
      <c r="A501" s="66">
        <f t="shared" ref="A501:C501" si="645">A500</f>
        <v>12</v>
      </c>
      <c r="B501" s="66">
        <f t="shared" si="645"/>
        <v>0</v>
      </c>
      <c r="C501" s="66" t="str">
        <f t="shared" si="645"/>
        <v/>
      </c>
      <c r="D501" s="66">
        <f t="shared" ref="D501:F501" si="646">D458</f>
        <v>0</v>
      </c>
      <c r="E501" s="145" t="str">
        <f t="shared" si="646"/>
        <v>木曜</v>
      </c>
      <c r="F501" s="145">
        <f t="shared" si="646"/>
        <v>23</v>
      </c>
      <c r="G501" s="142">
        <f>PJ工種集計!AH944</f>
        <v>0</v>
      </c>
    </row>
    <row r="502" spans="1:7">
      <c r="A502" s="66">
        <f t="shared" ref="A502:C502" si="647">A501</f>
        <v>12</v>
      </c>
      <c r="B502" s="66">
        <f t="shared" si="647"/>
        <v>0</v>
      </c>
      <c r="C502" s="66" t="str">
        <f t="shared" si="647"/>
        <v/>
      </c>
      <c r="D502" s="66">
        <f t="shared" ref="D502:F502" si="648">D459</f>
        <v>0</v>
      </c>
      <c r="E502" s="145" t="str">
        <f t="shared" si="648"/>
        <v>金曜</v>
      </c>
      <c r="F502" s="145">
        <f t="shared" si="648"/>
        <v>24</v>
      </c>
      <c r="G502" s="142">
        <f>PJ工種集計!AI944</f>
        <v>0</v>
      </c>
    </row>
    <row r="503" spans="1:7">
      <c r="A503" s="66">
        <f t="shared" ref="A503:C503" si="649">A502</f>
        <v>12</v>
      </c>
      <c r="B503" s="66">
        <f t="shared" si="649"/>
        <v>0</v>
      </c>
      <c r="C503" s="66" t="str">
        <f t="shared" si="649"/>
        <v/>
      </c>
      <c r="D503" s="66">
        <f t="shared" ref="D503:F503" si="650">D460</f>
        <v>0</v>
      </c>
      <c r="E503" s="145" t="str">
        <f t="shared" si="650"/>
        <v>土曜</v>
      </c>
      <c r="F503" s="145">
        <f t="shared" si="650"/>
        <v>25</v>
      </c>
      <c r="G503" s="142">
        <f>PJ工種集計!AJ944</f>
        <v>0</v>
      </c>
    </row>
    <row r="504" spans="1:7">
      <c r="A504" s="66">
        <f t="shared" ref="A504:C504" si="651">A503</f>
        <v>12</v>
      </c>
      <c r="B504" s="66">
        <f t="shared" si="651"/>
        <v>0</v>
      </c>
      <c r="C504" s="66" t="str">
        <f t="shared" si="651"/>
        <v/>
      </c>
      <c r="D504" s="66">
        <f t="shared" ref="D504:F504" si="652">D461</f>
        <v>0</v>
      </c>
      <c r="E504" s="145" t="str">
        <f t="shared" si="652"/>
        <v>日曜</v>
      </c>
      <c r="F504" s="145">
        <f t="shared" si="652"/>
        <v>26</v>
      </c>
      <c r="G504" s="142">
        <f>PJ工種集計!AK944</f>
        <v>0</v>
      </c>
    </row>
    <row r="505" spans="1:7">
      <c r="A505" s="66">
        <f t="shared" ref="A505:C505" si="653">A504</f>
        <v>12</v>
      </c>
      <c r="B505" s="66">
        <f t="shared" si="653"/>
        <v>0</v>
      </c>
      <c r="C505" s="66" t="str">
        <f t="shared" si="653"/>
        <v/>
      </c>
      <c r="D505" s="66" t="str">
        <f t="shared" ref="D505:F505" si="654">D462</f>
        <v>5週</v>
      </c>
      <c r="E505" s="145" t="str">
        <f t="shared" si="654"/>
        <v>月曜</v>
      </c>
      <c r="F505" s="145">
        <f t="shared" si="654"/>
        <v>27</v>
      </c>
      <c r="G505" s="142">
        <f>PJ工種集計!AL944</f>
        <v>0</v>
      </c>
    </row>
    <row r="506" spans="1:7">
      <c r="A506" s="66">
        <f t="shared" ref="A506:C506" si="655">A505</f>
        <v>12</v>
      </c>
      <c r="B506" s="66">
        <f t="shared" si="655"/>
        <v>0</v>
      </c>
      <c r="C506" s="66" t="str">
        <f t="shared" si="655"/>
        <v/>
      </c>
      <c r="D506" s="66">
        <f t="shared" ref="D506:F506" si="656">D463</f>
        <v>0</v>
      </c>
      <c r="E506" s="145" t="str">
        <f t="shared" si="656"/>
        <v>火曜</v>
      </c>
      <c r="F506" s="145">
        <f t="shared" si="656"/>
        <v>28</v>
      </c>
      <c r="G506" s="142">
        <f>PJ工種集計!AM944</f>
        <v>0</v>
      </c>
    </row>
    <row r="507" spans="1:7">
      <c r="A507" s="66">
        <f t="shared" ref="A507:C507" si="657">A506</f>
        <v>12</v>
      </c>
      <c r="B507" s="66">
        <f t="shared" si="657"/>
        <v>0</v>
      </c>
      <c r="C507" s="66" t="str">
        <f t="shared" si="657"/>
        <v/>
      </c>
      <c r="D507" s="66">
        <f t="shared" ref="D507:F507" si="658">D464</f>
        <v>0</v>
      </c>
      <c r="E507" s="145" t="str">
        <f t="shared" si="658"/>
        <v>水曜</v>
      </c>
      <c r="F507" s="145">
        <f t="shared" si="658"/>
        <v>29</v>
      </c>
      <c r="G507" s="142">
        <f>PJ工種集計!AN944</f>
        <v>0</v>
      </c>
    </row>
    <row r="508" spans="1:7">
      <c r="A508" s="66">
        <f t="shared" ref="A508:C508" si="659">A507</f>
        <v>12</v>
      </c>
      <c r="B508" s="66">
        <f t="shared" si="659"/>
        <v>0</v>
      </c>
      <c r="C508" s="66" t="str">
        <f t="shared" si="659"/>
        <v/>
      </c>
      <c r="D508" s="66">
        <f t="shared" ref="D508:F508" si="660">D465</f>
        <v>0</v>
      </c>
      <c r="E508" s="145" t="str">
        <f t="shared" si="660"/>
        <v>木曜</v>
      </c>
      <c r="F508" s="145">
        <f t="shared" si="660"/>
        <v>30</v>
      </c>
      <c r="G508" s="142">
        <f>PJ工種集計!AO944</f>
        <v>0</v>
      </c>
    </row>
    <row r="509" spans="1:7">
      <c r="A509" s="66">
        <f t="shared" ref="A509:C509" si="661">A508</f>
        <v>12</v>
      </c>
      <c r="B509" s="66">
        <f t="shared" si="661"/>
        <v>0</v>
      </c>
      <c r="C509" s="66" t="str">
        <f t="shared" si="661"/>
        <v/>
      </c>
      <c r="D509" s="66">
        <f t="shared" ref="D509:F509" si="662">D466</f>
        <v>0</v>
      </c>
      <c r="E509" s="145" t="str">
        <f t="shared" si="662"/>
        <v>金曜</v>
      </c>
      <c r="F509" s="145">
        <f t="shared" si="662"/>
        <v>31</v>
      </c>
      <c r="G509" s="142">
        <f>PJ工種集計!AP944</f>
        <v>0</v>
      </c>
    </row>
    <row r="510" spans="1:7">
      <c r="A510" s="66">
        <f t="shared" ref="A510:C510" si="663">A509</f>
        <v>12</v>
      </c>
      <c r="B510" s="66">
        <f t="shared" si="663"/>
        <v>0</v>
      </c>
      <c r="C510" s="66" t="str">
        <f t="shared" si="663"/>
        <v/>
      </c>
      <c r="D510" s="66">
        <f t="shared" ref="D510:F510" si="664">D467</f>
        <v>0</v>
      </c>
      <c r="E510" s="145" t="str">
        <f t="shared" si="664"/>
        <v>土曜</v>
      </c>
      <c r="F510" s="145" t="str">
        <f t="shared" si="664"/>
        <v/>
      </c>
      <c r="G510" s="142">
        <f>PJ工種集計!AQ944</f>
        <v>0</v>
      </c>
    </row>
    <row r="511" spans="1:7">
      <c r="A511" s="66">
        <f t="shared" ref="A511:C511" si="665">A510</f>
        <v>12</v>
      </c>
      <c r="B511" s="66">
        <f t="shared" si="665"/>
        <v>0</v>
      </c>
      <c r="C511" s="66" t="str">
        <f t="shared" si="665"/>
        <v/>
      </c>
      <c r="D511" s="66">
        <f t="shared" ref="D511:F511" si="666">D468</f>
        <v>0</v>
      </c>
      <c r="E511" s="145" t="str">
        <f t="shared" si="666"/>
        <v>日曜</v>
      </c>
      <c r="F511" s="145" t="str">
        <f t="shared" si="666"/>
        <v/>
      </c>
      <c r="G511" s="142">
        <f>PJ工種集計!AR944</f>
        <v>0</v>
      </c>
    </row>
    <row r="512" spans="1:7">
      <c r="A512" s="66">
        <f t="shared" ref="A512:C512" si="667">A511</f>
        <v>12</v>
      </c>
      <c r="B512" s="66">
        <f t="shared" si="667"/>
        <v>0</v>
      </c>
      <c r="C512" s="66" t="str">
        <f t="shared" si="667"/>
        <v/>
      </c>
      <c r="D512" s="66" t="str">
        <f t="shared" ref="D512:F512" si="668">D469</f>
        <v>6週</v>
      </c>
      <c r="E512" s="145" t="str">
        <f t="shared" si="668"/>
        <v>月曜</v>
      </c>
      <c r="F512" s="145" t="str">
        <f t="shared" si="668"/>
        <v/>
      </c>
      <c r="G512" s="142">
        <f>PJ工種集計!AS944</f>
        <v>0</v>
      </c>
    </row>
    <row r="513" spans="1:7">
      <c r="A513" s="66">
        <f t="shared" ref="A513:C513" si="669">A512</f>
        <v>12</v>
      </c>
      <c r="B513" s="66">
        <f t="shared" si="669"/>
        <v>0</v>
      </c>
      <c r="C513" s="66" t="str">
        <f t="shared" si="669"/>
        <v/>
      </c>
      <c r="D513" s="66">
        <f t="shared" ref="D513:F513" si="670">D470</f>
        <v>0</v>
      </c>
      <c r="E513" s="145" t="str">
        <f t="shared" si="670"/>
        <v>火曜</v>
      </c>
      <c r="F513" s="145" t="str">
        <f t="shared" si="670"/>
        <v/>
      </c>
      <c r="G513" s="142">
        <f>PJ工種集計!AT944</f>
        <v>0</v>
      </c>
    </row>
    <row r="514" spans="1:7">
      <c r="A514" s="66">
        <f t="shared" ref="A514:C514" si="671">A513</f>
        <v>12</v>
      </c>
      <c r="B514" s="66">
        <f t="shared" si="671"/>
        <v>0</v>
      </c>
      <c r="C514" s="66" t="str">
        <f t="shared" si="671"/>
        <v/>
      </c>
      <c r="D514" s="66">
        <f t="shared" ref="D514:F514" si="672">D471</f>
        <v>0</v>
      </c>
      <c r="E514" s="145" t="str">
        <f t="shared" si="672"/>
        <v>水曜</v>
      </c>
      <c r="F514" s="145" t="str">
        <f t="shared" si="672"/>
        <v/>
      </c>
      <c r="G514" s="142">
        <f>PJ工種集計!AU944</f>
        <v>0</v>
      </c>
    </row>
    <row r="515" spans="1:7">
      <c r="A515" s="66">
        <f t="shared" ref="A515:C515" si="673">A514</f>
        <v>12</v>
      </c>
      <c r="B515" s="66">
        <f t="shared" si="673"/>
        <v>0</v>
      </c>
      <c r="C515" s="66" t="str">
        <f t="shared" si="673"/>
        <v/>
      </c>
      <c r="D515" s="66">
        <f t="shared" ref="D515:F515" si="674">D472</f>
        <v>0</v>
      </c>
      <c r="E515" s="145" t="str">
        <f t="shared" si="674"/>
        <v>木曜</v>
      </c>
      <c r="F515" s="145" t="str">
        <f t="shared" si="674"/>
        <v/>
      </c>
      <c r="G515" s="142">
        <f>PJ工種集計!AV944</f>
        <v>0</v>
      </c>
    </row>
    <row r="516" spans="1:7">
      <c r="A516" s="66">
        <f t="shared" ref="A516:C516" si="675">A515</f>
        <v>12</v>
      </c>
      <c r="B516" s="66">
        <f t="shared" si="675"/>
        <v>0</v>
      </c>
      <c r="C516" s="66" t="str">
        <f t="shared" si="675"/>
        <v/>
      </c>
      <c r="D516" s="66">
        <f t="shared" ref="D516:F516" si="676">D473</f>
        <v>0</v>
      </c>
      <c r="E516" s="145" t="str">
        <f t="shared" si="676"/>
        <v>金曜</v>
      </c>
      <c r="F516" s="145" t="str">
        <f t="shared" si="676"/>
        <v/>
      </c>
      <c r="G516" s="142">
        <f>PJ工種集計!AW944</f>
        <v>0</v>
      </c>
    </row>
    <row r="517" spans="1:7">
      <c r="A517" s="66">
        <f t="shared" ref="A517:C517" si="677">A516</f>
        <v>12</v>
      </c>
      <c r="B517" s="66">
        <f t="shared" si="677"/>
        <v>0</v>
      </c>
      <c r="C517" s="66" t="str">
        <f t="shared" si="677"/>
        <v/>
      </c>
      <c r="D517" s="66">
        <f t="shared" ref="D517:F517" si="678">D474</f>
        <v>0</v>
      </c>
      <c r="E517" s="145" t="str">
        <f t="shared" si="678"/>
        <v>土曜</v>
      </c>
      <c r="F517" s="145" t="str">
        <f t="shared" si="678"/>
        <v/>
      </c>
      <c r="G517" s="142">
        <f>PJ工種集計!AX944</f>
        <v>0</v>
      </c>
    </row>
    <row r="518" spans="1:7">
      <c r="A518" s="66">
        <f t="shared" ref="A518:C518" si="679">A517</f>
        <v>12</v>
      </c>
      <c r="B518" s="66">
        <f t="shared" si="679"/>
        <v>0</v>
      </c>
      <c r="C518" s="66" t="str">
        <f t="shared" si="679"/>
        <v/>
      </c>
      <c r="D518" s="66">
        <f t="shared" ref="D518:F518" si="680">D475</f>
        <v>0</v>
      </c>
      <c r="E518" s="145" t="str">
        <f t="shared" si="680"/>
        <v>日曜</v>
      </c>
      <c r="F518" s="145" t="str">
        <f t="shared" si="680"/>
        <v/>
      </c>
      <c r="G518" s="142">
        <f>PJ工種集計!AY944</f>
        <v>0</v>
      </c>
    </row>
    <row r="520" spans="1:7">
      <c r="A520" s="66">
        <f>PJ工種集計!A1028</f>
        <v>13</v>
      </c>
      <c r="B520" s="66">
        <f>PJ工種集計!B1028</f>
        <v>0</v>
      </c>
      <c r="C520" s="66" t="str">
        <f>PJ工種集計!C1028</f>
        <v/>
      </c>
      <c r="D520" s="66" t="str">
        <f>D477</f>
        <v>１週</v>
      </c>
      <c r="E520" s="145" t="str">
        <f>E477</f>
        <v>月曜</v>
      </c>
      <c r="F520" s="145" t="str">
        <f>F477</f>
        <v/>
      </c>
      <c r="G520" s="142">
        <f>PJ工種集計!J1029</f>
        <v>0</v>
      </c>
    </row>
    <row r="521" spans="1:7">
      <c r="A521" s="66">
        <f t="shared" ref="A521:C521" si="681">A520</f>
        <v>13</v>
      </c>
      <c r="B521" s="66">
        <f t="shared" si="681"/>
        <v>0</v>
      </c>
      <c r="C521" s="66" t="str">
        <f t="shared" si="681"/>
        <v/>
      </c>
      <c r="D521" s="66">
        <f t="shared" ref="D521:F521" si="682">D478</f>
        <v>0</v>
      </c>
      <c r="E521" s="145" t="str">
        <f t="shared" si="682"/>
        <v>火曜</v>
      </c>
      <c r="F521" s="145" t="str">
        <f t="shared" si="682"/>
        <v/>
      </c>
      <c r="G521" s="142">
        <f>PJ工種集計!K1029</f>
        <v>0</v>
      </c>
    </row>
    <row r="522" spans="1:7">
      <c r="A522" s="66">
        <f t="shared" ref="A522:C522" si="683">A521</f>
        <v>13</v>
      </c>
      <c r="B522" s="66">
        <f t="shared" si="683"/>
        <v>0</v>
      </c>
      <c r="C522" s="66" t="str">
        <f t="shared" si="683"/>
        <v/>
      </c>
      <c r="D522" s="66">
        <f t="shared" ref="D522:F522" si="684">D479</f>
        <v>0</v>
      </c>
      <c r="E522" s="145" t="str">
        <f t="shared" si="684"/>
        <v>水曜</v>
      </c>
      <c r="F522" s="145">
        <f t="shared" si="684"/>
        <v>1</v>
      </c>
      <c r="G522" s="142">
        <f>PJ工種集計!L1029</f>
        <v>0</v>
      </c>
    </row>
    <row r="523" spans="1:7">
      <c r="A523" s="66">
        <f t="shared" ref="A523:C523" si="685">A522</f>
        <v>13</v>
      </c>
      <c r="B523" s="66">
        <f t="shared" si="685"/>
        <v>0</v>
      </c>
      <c r="C523" s="66" t="str">
        <f t="shared" si="685"/>
        <v/>
      </c>
      <c r="D523" s="66">
        <f t="shared" ref="D523:F523" si="686">D480</f>
        <v>0</v>
      </c>
      <c r="E523" s="145" t="str">
        <f t="shared" si="686"/>
        <v>木曜</v>
      </c>
      <c r="F523" s="145">
        <f t="shared" si="686"/>
        <v>2</v>
      </c>
      <c r="G523" s="142">
        <f>PJ工種集計!M1029</f>
        <v>0</v>
      </c>
    </row>
    <row r="524" spans="1:7">
      <c r="A524" s="66">
        <f t="shared" ref="A524:C524" si="687">A523</f>
        <v>13</v>
      </c>
      <c r="B524" s="66">
        <f t="shared" si="687"/>
        <v>0</v>
      </c>
      <c r="C524" s="66" t="str">
        <f t="shared" si="687"/>
        <v/>
      </c>
      <c r="D524" s="66">
        <f t="shared" ref="D524:F524" si="688">D481</f>
        <v>0</v>
      </c>
      <c r="E524" s="145" t="str">
        <f t="shared" si="688"/>
        <v>金曜</v>
      </c>
      <c r="F524" s="145">
        <f t="shared" si="688"/>
        <v>3</v>
      </c>
      <c r="G524" s="142">
        <f>PJ工種集計!N1029</f>
        <v>0</v>
      </c>
    </row>
    <row r="525" spans="1:7">
      <c r="A525" s="66">
        <f t="shared" ref="A525:C525" si="689">A524</f>
        <v>13</v>
      </c>
      <c r="B525" s="66">
        <f t="shared" si="689"/>
        <v>0</v>
      </c>
      <c r="C525" s="66" t="str">
        <f t="shared" si="689"/>
        <v/>
      </c>
      <c r="D525" s="66">
        <f t="shared" ref="D525:F525" si="690">D482</f>
        <v>0</v>
      </c>
      <c r="E525" s="145" t="str">
        <f t="shared" si="690"/>
        <v>土曜</v>
      </c>
      <c r="F525" s="145">
        <f t="shared" si="690"/>
        <v>4</v>
      </c>
      <c r="G525" s="142">
        <f>PJ工種集計!O1029</f>
        <v>0</v>
      </c>
    </row>
    <row r="526" spans="1:7">
      <c r="A526" s="66">
        <f t="shared" ref="A526:C526" si="691">A525</f>
        <v>13</v>
      </c>
      <c r="B526" s="66">
        <f t="shared" si="691"/>
        <v>0</v>
      </c>
      <c r="C526" s="66" t="str">
        <f t="shared" si="691"/>
        <v/>
      </c>
      <c r="D526" s="66">
        <f t="shared" ref="D526:F526" si="692">D483</f>
        <v>0</v>
      </c>
      <c r="E526" s="145" t="str">
        <f t="shared" si="692"/>
        <v>日曜</v>
      </c>
      <c r="F526" s="145">
        <f t="shared" si="692"/>
        <v>5</v>
      </c>
      <c r="G526" s="142">
        <f>PJ工種集計!P1029</f>
        <v>0</v>
      </c>
    </row>
    <row r="527" spans="1:7">
      <c r="A527" s="66">
        <f t="shared" ref="A527:C527" si="693">A526</f>
        <v>13</v>
      </c>
      <c r="B527" s="66">
        <f t="shared" si="693"/>
        <v>0</v>
      </c>
      <c r="C527" s="66" t="str">
        <f t="shared" si="693"/>
        <v/>
      </c>
      <c r="D527" s="66" t="str">
        <f t="shared" ref="D527:F527" si="694">D484</f>
        <v>2週</v>
      </c>
      <c r="E527" s="145" t="str">
        <f t="shared" si="694"/>
        <v>月曜</v>
      </c>
      <c r="F527" s="145">
        <f t="shared" si="694"/>
        <v>6</v>
      </c>
      <c r="G527" s="142">
        <f>PJ工種集計!Q1029</f>
        <v>0</v>
      </c>
    </row>
    <row r="528" spans="1:7">
      <c r="A528" s="66">
        <f t="shared" ref="A528:C528" si="695">A527</f>
        <v>13</v>
      </c>
      <c r="B528" s="66">
        <f t="shared" si="695"/>
        <v>0</v>
      </c>
      <c r="C528" s="66" t="str">
        <f t="shared" si="695"/>
        <v/>
      </c>
      <c r="D528" s="66">
        <f t="shared" ref="D528:F528" si="696">D485</f>
        <v>0</v>
      </c>
      <c r="E528" s="145" t="str">
        <f t="shared" si="696"/>
        <v>火曜</v>
      </c>
      <c r="F528" s="145">
        <f t="shared" si="696"/>
        <v>7</v>
      </c>
      <c r="G528" s="142">
        <f>PJ工種集計!R1029</f>
        <v>0</v>
      </c>
    </row>
    <row r="529" spans="1:7">
      <c r="A529" s="66">
        <f t="shared" ref="A529:C529" si="697">A528</f>
        <v>13</v>
      </c>
      <c r="B529" s="66">
        <f t="shared" si="697"/>
        <v>0</v>
      </c>
      <c r="C529" s="66" t="str">
        <f t="shared" si="697"/>
        <v/>
      </c>
      <c r="D529" s="66">
        <f t="shared" ref="D529:F529" si="698">D486</f>
        <v>0</v>
      </c>
      <c r="E529" s="145" t="str">
        <f t="shared" si="698"/>
        <v>水曜</v>
      </c>
      <c r="F529" s="145">
        <f t="shared" si="698"/>
        <v>8</v>
      </c>
      <c r="G529" s="142">
        <f>PJ工種集計!S1029</f>
        <v>0</v>
      </c>
    </row>
    <row r="530" spans="1:7">
      <c r="A530" s="66">
        <f t="shared" ref="A530:C530" si="699">A529</f>
        <v>13</v>
      </c>
      <c r="B530" s="66">
        <f t="shared" si="699"/>
        <v>0</v>
      </c>
      <c r="C530" s="66" t="str">
        <f t="shared" si="699"/>
        <v/>
      </c>
      <c r="D530" s="66">
        <f t="shared" ref="D530:F530" si="700">D487</f>
        <v>0</v>
      </c>
      <c r="E530" s="145" t="str">
        <f t="shared" si="700"/>
        <v>木曜</v>
      </c>
      <c r="F530" s="145">
        <f t="shared" si="700"/>
        <v>9</v>
      </c>
      <c r="G530" s="142">
        <f>PJ工種集計!T1029</f>
        <v>0</v>
      </c>
    </row>
    <row r="531" spans="1:7">
      <c r="A531" s="66">
        <f t="shared" ref="A531:C531" si="701">A530</f>
        <v>13</v>
      </c>
      <c r="B531" s="66">
        <f t="shared" si="701"/>
        <v>0</v>
      </c>
      <c r="C531" s="66" t="str">
        <f t="shared" si="701"/>
        <v/>
      </c>
      <c r="D531" s="66">
        <f t="shared" ref="D531:F531" si="702">D488</f>
        <v>0</v>
      </c>
      <c r="E531" s="145" t="str">
        <f t="shared" si="702"/>
        <v>金曜</v>
      </c>
      <c r="F531" s="145">
        <f t="shared" si="702"/>
        <v>10</v>
      </c>
      <c r="G531" s="142">
        <f>PJ工種集計!U1029</f>
        <v>0</v>
      </c>
    </row>
    <row r="532" spans="1:7">
      <c r="A532" s="66">
        <f t="shared" ref="A532:C532" si="703">A531</f>
        <v>13</v>
      </c>
      <c r="B532" s="66">
        <f t="shared" si="703"/>
        <v>0</v>
      </c>
      <c r="C532" s="66" t="str">
        <f t="shared" si="703"/>
        <v/>
      </c>
      <c r="D532" s="66">
        <f t="shared" ref="D532:F532" si="704">D489</f>
        <v>0</v>
      </c>
      <c r="E532" s="145" t="str">
        <f t="shared" si="704"/>
        <v>土曜</v>
      </c>
      <c r="F532" s="145">
        <f t="shared" si="704"/>
        <v>11</v>
      </c>
      <c r="G532" s="142">
        <f>PJ工種集計!V1029</f>
        <v>0</v>
      </c>
    </row>
    <row r="533" spans="1:7">
      <c r="A533" s="66">
        <f t="shared" ref="A533:C533" si="705">A532</f>
        <v>13</v>
      </c>
      <c r="B533" s="66">
        <f t="shared" si="705"/>
        <v>0</v>
      </c>
      <c r="C533" s="66" t="str">
        <f t="shared" si="705"/>
        <v/>
      </c>
      <c r="D533" s="66">
        <f t="shared" ref="D533:F533" si="706">D490</f>
        <v>0</v>
      </c>
      <c r="E533" s="145" t="str">
        <f t="shared" si="706"/>
        <v>日曜</v>
      </c>
      <c r="F533" s="145">
        <f t="shared" si="706"/>
        <v>12</v>
      </c>
      <c r="G533" s="142">
        <f>PJ工種集計!W1029</f>
        <v>0</v>
      </c>
    </row>
    <row r="534" spans="1:7">
      <c r="A534" s="66">
        <f t="shared" ref="A534:C534" si="707">A533</f>
        <v>13</v>
      </c>
      <c r="B534" s="66">
        <f t="shared" si="707"/>
        <v>0</v>
      </c>
      <c r="C534" s="66" t="str">
        <f t="shared" si="707"/>
        <v/>
      </c>
      <c r="D534" s="66" t="str">
        <f t="shared" ref="D534:F534" si="708">D491</f>
        <v>3週</v>
      </c>
      <c r="E534" s="145" t="str">
        <f t="shared" si="708"/>
        <v>月曜</v>
      </c>
      <c r="F534" s="145">
        <f t="shared" si="708"/>
        <v>13</v>
      </c>
      <c r="G534" s="142">
        <f>PJ工種集計!X1029</f>
        <v>0</v>
      </c>
    </row>
    <row r="535" spans="1:7">
      <c r="A535" s="66">
        <f t="shared" ref="A535:C535" si="709">A534</f>
        <v>13</v>
      </c>
      <c r="B535" s="66">
        <f t="shared" si="709"/>
        <v>0</v>
      </c>
      <c r="C535" s="66" t="str">
        <f t="shared" si="709"/>
        <v/>
      </c>
      <c r="D535" s="66">
        <f t="shared" ref="D535:F535" si="710">D492</f>
        <v>0</v>
      </c>
      <c r="E535" s="145" t="str">
        <f t="shared" si="710"/>
        <v>火曜</v>
      </c>
      <c r="F535" s="145">
        <f t="shared" si="710"/>
        <v>14</v>
      </c>
      <c r="G535" s="142">
        <f>PJ工種集計!Y1029</f>
        <v>0</v>
      </c>
    </row>
    <row r="536" spans="1:7">
      <c r="A536" s="66">
        <f t="shared" ref="A536:C536" si="711">A535</f>
        <v>13</v>
      </c>
      <c r="B536" s="66">
        <f t="shared" si="711"/>
        <v>0</v>
      </c>
      <c r="C536" s="66" t="str">
        <f t="shared" si="711"/>
        <v/>
      </c>
      <c r="D536" s="66">
        <f t="shared" ref="D536:F536" si="712">D493</f>
        <v>0</v>
      </c>
      <c r="E536" s="145" t="str">
        <f t="shared" si="712"/>
        <v>水曜</v>
      </c>
      <c r="F536" s="145">
        <f t="shared" si="712"/>
        <v>15</v>
      </c>
      <c r="G536" s="142">
        <f>PJ工種集計!Z1029</f>
        <v>0</v>
      </c>
    </row>
    <row r="537" spans="1:7">
      <c r="A537" s="66">
        <f t="shared" ref="A537:C537" si="713">A536</f>
        <v>13</v>
      </c>
      <c r="B537" s="66">
        <f t="shared" si="713"/>
        <v>0</v>
      </c>
      <c r="C537" s="66" t="str">
        <f t="shared" si="713"/>
        <v/>
      </c>
      <c r="D537" s="66">
        <f t="shared" ref="D537:F537" si="714">D494</f>
        <v>0</v>
      </c>
      <c r="E537" s="145" t="str">
        <f t="shared" si="714"/>
        <v>木曜</v>
      </c>
      <c r="F537" s="145">
        <f t="shared" si="714"/>
        <v>16</v>
      </c>
      <c r="G537" s="142">
        <f>PJ工種集計!AA1029</f>
        <v>0</v>
      </c>
    </row>
    <row r="538" spans="1:7">
      <c r="A538" s="66">
        <f t="shared" ref="A538:C538" si="715">A537</f>
        <v>13</v>
      </c>
      <c r="B538" s="66">
        <f t="shared" si="715"/>
        <v>0</v>
      </c>
      <c r="C538" s="66" t="str">
        <f t="shared" si="715"/>
        <v/>
      </c>
      <c r="D538" s="66">
        <f t="shared" ref="D538:F538" si="716">D495</f>
        <v>0</v>
      </c>
      <c r="E538" s="145" t="str">
        <f t="shared" si="716"/>
        <v>金曜</v>
      </c>
      <c r="F538" s="145">
        <f t="shared" si="716"/>
        <v>17</v>
      </c>
      <c r="G538" s="142">
        <f>PJ工種集計!AB1029</f>
        <v>0</v>
      </c>
    </row>
    <row r="539" spans="1:7">
      <c r="A539" s="66">
        <f t="shared" ref="A539:C539" si="717">A538</f>
        <v>13</v>
      </c>
      <c r="B539" s="66">
        <f t="shared" si="717"/>
        <v>0</v>
      </c>
      <c r="C539" s="66" t="str">
        <f t="shared" si="717"/>
        <v/>
      </c>
      <c r="D539" s="66">
        <f t="shared" ref="D539:F539" si="718">D496</f>
        <v>0</v>
      </c>
      <c r="E539" s="145" t="str">
        <f t="shared" si="718"/>
        <v>土曜</v>
      </c>
      <c r="F539" s="145">
        <f t="shared" si="718"/>
        <v>18</v>
      </c>
      <c r="G539" s="142">
        <f>PJ工種集計!AC1029</f>
        <v>0</v>
      </c>
    </row>
    <row r="540" spans="1:7">
      <c r="A540" s="66">
        <f t="shared" ref="A540:C540" si="719">A539</f>
        <v>13</v>
      </c>
      <c r="B540" s="66">
        <f t="shared" si="719"/>
        <v>0</v>
      </c>
      <c r="C540" s="66" t="str">
        <f t="shared" si="719"/>
        <v/>
      </c>
      <c r="D540" s="66">
        <f t="shared" ref="D540:F540" si="720">D497</f>
        <v>0</v>
      </c>
      <c r="E540" s="145" t="str">
        <f t="shared" si="720"/>
        <v>日曜</v>
      </c>
      <c r="F540" s="145">
        <f t="shared" si="720"/>
        <v>19</v>
      </c>
      <c r="G540" s="142">
        <f>PJ工種集計!AD1029</f>
        <v>0</v>
      </c>
    </row>
    <row r="541" spans="1:7">
      <c r="A541" s="66">
        <f t="shared" ref="A541:C541" si="721">A540</f>
        <v>13</v>
      </c>
      <c r="B541" s="66">
        <f t="shared" si="721"/>
        <v>0</v>
      </c>
      <c r="C541" s="66" t="str">
        <f t="shared" si="721"/>
        <v/>
      </c>
      <c r="D541" s="66" t="str">
        <f t="shared" ref="D541:F541" si="722">D498</f>
        <v>4週</v>
      </c>
      <c r="E541" s="145" t="str">
        <f t="shared" si="722"/>
        <v>月曜</v>
      </c>
      <c r="F541" s="145">
        <f t="shared" si="722"/>
        <v>20</v>
      </c>
      <c r="G541" s="142">
        <f>PJ工種集計!AE1029</f>
        <v>0</v>
      </c>
    </row>
    <row r="542" spans="1:7">
      <c r="A542" s="66">
        <f t="shared" ref="A542:C542" si="723">A541</f>
        <v>13</v>
      </c>
      <c r="B542" s="66">
        <f t="shared" si="723"/>
        <v>0</v>
      </c>
      <c r="C542" s="66" t="str">
        <f t="shared" si="723"/>
        <v/>
      </c>
      <c r="D542" s="66">
        <f t="shared" ref="D542:F542" si="724">D499</f>
        <v>0</v>
      </c>
      <c r="E542" s="145" t="str">
        <f t="shared" si="724"/>
        <v>火曜</v>
      </c>
      <c r="F542" s="145">
        <f t="shared" si="724"/>
        <v>21</v>
      </c>
      <c r="G542" s="142">
        <f>PJ工種集計!AF1029</f>
        <v>0</v>
      </c>
    </row>
    <row r="543" spans="1:7">
      <c r="A543" s="66">
        <f t="shared" ref="A543:C543" si="725">A542</f>
        <v>13</v>
      </c>
      <c r="B543" s="66">
        <f t="shared" si="725"/>
        <v>0</v>
      </c>
      <c r="C543" s="66" t="str">
        <f t="shared" si="725"/>
        <v/>
      </c>
      <c r="D543" s="66">
        <f t="shared" ref="D543:F543" si="726">D500</f>
        <v>0</v>
      </c>
      <c r="E543" s="145" t="str">
        <f t="shared" si="726"/>
        <v>水曜</v>
      </c>
      <c r="F543" s="145">
        <f t="shared" si="726"/>
        <v>22</v>
      </c>
      <c r="G543" s="142">
        <f>PJ工種集計!AG1029</f>
        <v>0</v>
      </c>
    </row>
    <row r="544" spans="1:7">
      <c r="A544" s="66">
        <f t="shared" ref="A544:C544" si="727">A543</f>
        <v>13</v>
      </c>
      <c r="B544" s="66">
        <f t="shared" si="727"/>
        <v>0</v>
      </c>
      <c r="C544" s="66" t="str">
        <f t="shared" si="727"/>
        <v/>
      </c>
      <c r="D544" s="66">
        <f t="shared" ref="D544:F544" si="728">D501</f>
        <v>0</v>
      </c>
      <c r="E544" s="145" t="str">
        <f t="shared" si="728"/>
        <v>木曜</v>
      </c>
      <c r="F544" s="145">
        <f t="shared" si="728"/>
        <v>23</v>
      </c>
      <c r="G544" s="142">
        <f>PJ工種集計!AH1029</f>
        <v>0</v>
      </c>
    </row>
    <row r="545" spans="1:7">
      <c r="A545" s="66">
        <f t="shared" ref="A545:C545" si="729">A544</f>
        <v>13</v>
      </c>
      <c r="B545" s="66">
        <f t="shared" si="729"/>
        <v>0</v>
      </c>
      <c r="C545" s="66" t="str">
        <f t="shared" si="729"/>
        <v/>
      </c>
      <c r="D545" s="66">
        <f t="shared" ref="D545:F545" si="730">D502</f>
        <v>0</v>
      </c>
      <c r="E545" s="145" t="str">
        <f t="shared" si="730"/>
        <v>金曜</v>
      </c>
      <c r="F545" s="145">
        <f t="shared" si="730"/>
        <v>24</v>
      </c>
      <c r="G545" s="142">
        <f>PJ工種集計!AI1029</f>
        <v>0</v>
      </c>
    </row>
    <row r="546" spans="1:7">
      <c r="A546" s="66">
        <f t="shared" ref="A546:C546" si="731">A545</f>
        <v>13</v>
      </c>
      <c r="B546" s="66">
        <f t="shared" si="731"/>
        <v>0</v>
      </c>
      <c r="C546" s="66" t="str">
        <f t="shared" si="731"/>
        <v/>
      </c>
      <c r="D546" s="66">
        <f t="shared" ref="D546:F546" si="732">D503</f>
        <v>0</v>
      </c>
      <c r="E546" s="145" t="str">
        <f t="shared" si="732"/>
        <v>土曜</v>
      </c>
      <c r="F546" s="145">
        <f t="shared" si="732"/>
        <v>25</v>
      </c>
      <c r="G546" s="142">
        <f>PJ工種集計!AJ1029</f>
        <v>0</v>
      </c>
    </row>
    <row r="547" spans="1:7">
      <c r="A547" s="66">
        <f t="shared" ref="A547:C547" si="733">A546</f>
        <v>13</v>
      </c>
      <c r="B547" s="66">
        <f t="shared" si="733"/>
        <v>0</v>
      </c>
      <c r="C547" s="66" t="str">
        <f t="shared" si="733"/>
        <v/>
      </c>
      <c r="D547" s="66">
        <f t="shared" ref="D547:F547" si="734">D504</f>
        <v>0</v>
      </c>
      <c r="E547" s="145" t="str">
        <f t="shared" si="734"/>
        <v>日曜</v>
      </c>
      <c r="F547" s="145">
        <f t="shared" si="734"/>
        <v>26</v>
      </c>
      <c r="G547" s="142">
        <f>PJ工種集計!AK1029</f>
        <v>0</v>
      </c>
    </row>
    <row r="548" spans="1:7">
      <c r="A548" s="66">
        <f t="shared" ref="A548:C548" si="735">A547</f>
        <v>13</v>
      </c>
      <c r="B548" s="66">
        <f t="shared" si="735"/>
        <v>0</v>
      </c>
      <c r="C548" s="66" t="str">
        <f t="shared" si="735"/>
        <v/>
      </c>
      <c r="D548" s="66" t="str">
        <f t="shared" ref="D548:F548" si="736">D505</f>
        <v>5週</v>
      </c>
      <c r="E548" s="145" t="str">
        <f t="shared" si="736"/>
        <v>月曜</v>
      </c>
      <c r="F548" s="145">
        <f t="shared" si="736"/>
        <v>27</v>
      </c>
      <c r="G548" s="142">
        <f>PJ工種集計!AL1029</f>
        <v>0</v>
      </c>
    </row>
    <row r="549" spans="1:7">
      <c r="A549" s="66">
        <f t="shared" ref="A549:C549" si="737">A548</f>
        <v>13</v>
      </c>
      <c r="B549" s="66">
        <f t="shared" si="737"/>
        <v>0</v>
      </c>
      <c r="C549" s="66" t="str">
        <f t="shared" si="737"/>
        <v/>
      </c>
      <c r="D549" s="66">
        <f t="shared" ref="D549:F549" si="738">D506</f>
        <v>0</v>
      </c>
      <c r="E549" s="145" t="str">
        <f t="shared" si="738"/>
        <v>火曜</v>
      </c>
      <c r="F549" s="145">
        <f t="shared" si="738"/>
        <v>28</v>
      </c>
      <c r="G549" s="142">
        <f>PJ工種集計!AM1029</f>
        <v>0</v>
      </c>
    </row>
    <row r="550" spans="1:7">
      <c r="A550" s="66">
        <f t="shared" ref="A550:C550" si="739">A549</f>
        <v>13</v>
      </c>
      <c r="B550" s="66">
        <f t="shared" si="739"/>
        <v>0</v>
      </c>
      <c r="C550" s="66" t="str">
        <f t="shared" si="739"/>
        <v/>
      </c>
      <c r="D550" s="66">
        <f t="shared" ref="D550:F550" si="740">D507</f>
        <v>0</v>
      </c>
      <c r="E550" s="145" t="str">
        <f t="shared" si="740"/>
        <v>水曜</v>
      </c>
      <c r="F550" s="145">
        <f t="shared" si="740"/>
        <v>29</v>
      </c>
      <c r="G550" s="142">
        <f>PJ工種集計!AN1029</f>
        <v>0</v>
      </c>
    </row>
    <row r="551" spans="1:7">
      <c r="A551" s="66">
        <f t="shared" ref="A551:C551" si="741">A550</f>
        <v>13</v>
      </c>
      <c r="B551" s="66">
        <f t="shared" si="741"/>
        <v>0</v>
      </c>
      <c r="C551" s="66" t="str">
        <f t="shared" si="741"/>
        <v/>
      </c>
      <c r="D551" s="66">
        <f t="shared" ref="D551:F551" si="742">D508</f>
        <v>0</v>
      </c>
      <c r="E551" s="145" t="str">
        <f t="shared" si="742"/>
        <v>木曜</v>
      </c>
      <c r="F551" s="145">
        <f t="shared" si="742"/>
        <v>30</v>
      </c>
      <c r="G551" s="142">
        <f>PJ工種集計!AO1029</f>
        <v>0</v>
      </c>
    </row>
    <row r="552" spans="1:7">
      <c r="A552" s="66">
        <f t="shared" ref="A552:C552" si="743">A551</f>
        <v>13</v>
      </c>
      <c r="B552" s="66">
        <f t="shared" si="743"/>
        <v>0</v>
      </c>
      <c r="C552" s="66" t="str">
        <f t="shared" si="743"/>
        <v/>
      </c>
      <c r="D552" s="66">
        <f t="shared" ref="D552:F552" si="744">D509</f>
        <v>0</v>
      </c>
      <c r="E552" s="145" t="str">
        <f t="shared" si="744"/>
        <v>金曜</v>
      </c>
      <c r="F552" s="145">
        <f t="shared" si="744"/>
        <v>31</v>
      </c>
      <c r="G552" s="142">
        <f>PJ工種集計!AP1029</f>
        <v>0</v>
      </c>
    </row>
    <row r="553" spans="1:7">
      <c r="A553" s="66">
        <f t="shared" ref="A553:C553" si="745">A552</f>
        <v>13</v>
      </c>
      <c r="B553" s="66">
        <f t="shared" si="745"/>
        <v>0</v>
      </c>
      <c r="C553" s="66" t="str">
        <f t="shared" si="745"/>
        <v/>
      </c>
      <c r="D553" s="66">
        <f t="shared" ref="D553:F553" si="746">D510</f>
        <v>0</v>
      </c>
      <c r="E553" s="145" t="str">
        <f t="shared" si="746"/>
        <v>土曜</v>
      </c>
      <c r="F553" s="145" t="str">
        <f t="shared" si="746"/>
        <v/>
      </c>
      <c r="G553" s="142">
        <f>PJ工種集計!AQ1029</f>
        <v>0</v>
      </c>
    </row>
    <row r="554" spans="1:7">
      <c r="A554" s="66">
        <f t="shared" ref="A554:C554" si="747">A553</f>
        <v>13</v>
      </c>
      <c r="B554" s="66">
        <f t="shared" si="747"/>
        <v>0</v>
      </c>
      <c r="C554" s="66" t="str">
        <f t="shared" si="747"/>
        <v/>
      </c>
      <c r="D554" s="66">
        <f t="shared" ref="D554:F554" si="748">D511</f>
        <v>0</v>
      </c>
      <c r="E554" s="145" t="str">
        <f t="shared" si="748"/>
        <v>日曜</v>
      </c>
      <c r="F554" s="145" t="str">
        <f t="shared" si="748"/>
        <v/>
      </c>
      <c r="G554" s="142">
        <f>PJ工種集計!AR1029</f>
        <v>0</v>
      </c>
    </row>
    <row r="555" spans="1:7">
      <c r="A555" s="66">
        <f t="shared" ref="A555:C555" si="749">A554</f>
        <v>13</v>
      </c>
      <c r="B555" s="66">
        <f t="shared" si="749"/>
        <v>0</v>
      </c>
      <c r="C555" s="66" t="str">
        <f t="shared" si="749"/>
        <v/>
      </c>
      <c r="D555" s="66" t="str">
        <f t="shared" ref="D555:F555" si="750">D512</f>
        <v>6週</v>
      </c>
      <c r="E555" s="145" t="str">
        <f t="shared" si="750"/>
        <v>月曜</v>
      </c>
      <c r="F555" s="145" t="str">
        <f t="shared" si="750"/>
        <v/>
      </c>
      <c r="G555" s="142">
        <f>PJ工種集計!AS1029</f>
        <v>0</v>
      </c>
    </row>
    <row r="556" spans="1:7">
      <c r="A556" s="66">
        <f t="shared" ref="A556:C556" si="751">A555</f>
        <v>13</v>
      </c>
      <c r="B556" s="66">
        <f t="shared" si="751"/>
        <v>0</v>
      </c>
      <c r="C556" s="66" t="str">
        <f t="shared" si="751"/>
        <v/>
      </c>
      <c r="D556" s="66">
        <f t="shared" ref="D556:F556" si="752">D513</f>
        <v>0</v>
      </c>
      <c r="E556" s="145" t="str">
        <f t="shared" si="752"/>
        <v>火曜</v>
      </c>
      <c r="F556" s="145" t="str">
        <f t="shared" si="752"/>
        <v/>
      </c>
      <c r="G556" s="142">
        <f>PJ工種集計!AT1029</f>
        <v>0</v>
      </c>
    </row>
    <row r="557" spans="1:7">
      <c r="A557" s="66">
        <f t="shared" ref="A557:C557" si="753">A556</f>
        <v>13</v>
      </c>
      <c r="B557" s="66">
        <f t="shared" si="753"/>
        <v>0</v>
      </c>
      <c r="C557" s="66" t="str">
        <f t="shared" si="753"/>
        <v/>
      </c>
      <c r="D557" s="66">
        <f t="shared" ref="D557:F557" si="754">D514</f>
        <v>0</v>
      </c>
      <c r="E557" s="145" t="str">
        <f t="shared" si="754"/>
        <v>水曜</v>
      </c>
      <c r="F557" s="145" t="str">
        <f t="shared" si="754"/>
        <v/>
      </c>
      <c r="G557" s="142">
        <f>PJ工種集計!AU1029</f>
        <v>0</v>
      </c>
    </row>
    <row r="558" spans="1:7">
      <c r="A558" s="66">
        <f t="shared" ref="A558:C558" si="755">A557</f>
        <v>13</v>
      </c>
      <c r="B558" s="66">
        <f t="shared" si="755"/>
        <v>0</v>
      </c>
      <c r="C558" s="66" t="str">
        <f t="shared" si="755"/>
        <v/>
      </c>
      <c r="D558" s="66">
        <f t="shared" ref="D558:F558" si="756">D515</f>
        <v>0</v>
      </c>
      <c r="E558" s="145" t="str">
        <f t="shared" si="756"/>
        <v>木曜</v>
      </c>
      <c r="F558" s="145" t="str">
        <f t="shared" si="756"/>
        <v/>
      </c>
      <c r="G558" s="142">
        <f>PJ工種集計!AV1029</f>
        <v>0</v>
      </c>
    </row>
    <row r="559" spans="1:7">
      <c r="A559" s="66">
        <f t="shared" ref="A559:C559" si="757">A558</f>
        <v>13</v>
      </c>
      <c r="B559" s="66">
        <f t="shared" si="757"/>
        <v>0</v>
      </c>
      <c r="C559" s="66" t="str">
        <f t="shared" si="757"/>
        <v/>
      </c>
      <c r="D559" s="66">
        <f t="shared" ref="D559:F559" si="758">D516</f>
        <v>0</v>
      </c>
      <c r="E559" s="145" t="str">
        <f t="shared" si="758"/>
        <v>金曜</v>
      </c>
      <c r="F559" s="145" t="str">
        <f t="shared" si="758"/>
        <v/>
      </c>
      <c r="G559" s="142">
        <f>PJ工種集計!AW1029</f>
        <v>0</v>
      </c>
    </row>
    <row r="560" spans="1:7">
      <c r="A560" s="66">
        <f t="shared" ref="A560:C560" si="759">A559</f>
        <v>13</v>
      </c>
      <c r="B560" s="66">
        <f t="shared" si="759"/>
        <v>0</v>
      </c>
      <c r="C560" s="66" t="str">
        <f t="shared" si="759"/>
        <v/>
      </c>
      <c r="D560" s="66">
        <f t="shared" ref="D560:F560" si="760">D517</f>
        <v>0</v>
      </c>
      <c r="E560" s="145" t="str">
        <f t="shared" si="760"/>
        <v>土曜</v>
      </c>
      <c r="F560" s="145" t="str">
        <f t="shared" si="760"/>
        <v/>
      </c>
      <c r="G560" s="142">
        <f>PJ工種集計!AX1029</f>
        <v>0</v>
      </c>
    </row>
    <row r="561" spans="1:7">
      <c r="A561" s="66">
        <f t="shared" ref="A561:C561" si="761">A560</f>
        <v>13</v>
      </c>
      <c r="B561" s="66">
        <f t="shared" si="761"/>
        <v>0</v>
      </c>
      <c r="C561" s="66" t="str">
        <f t="shared" si="761"/>
        <v/>
      </c>
      <c r="D561" s="66">
        <f t="shared" ref="D561:F561" si="762">D518</f>
        <v>0</v>
      </c>
      <c r="E561" s="145" t="str">
        <f t="shared" si="762"/>
        <v>日曜</v>
      </c>
      <c r="F561" s="145" t="str">
        <f t="shared" si="762"/>
        <v/>
      </c>
      <c r="G561" s="142">
        <f>PJ工種集計!AY1029</f>
        <v>0</v>
      </c>
    </row>
    <row r="563" spans="1:7">
      <c r="A563" s="66">
        <f>PJ工種集計!A1113</f>
        <v>14</v>
      </c>
      <c r="B563" s="66">
        <f>PJ工種集計!B1113</f>
        <v>0</v>
      </c>
      <c r="C563" s="66" t="str">
        <f>PJ工種集計!C1113</f>
        <v/>
      </c>
      <c r="D563" s="66" t="str">
        <f>D520</f>
        <v>１週</v>
      </c>
      <c r="E563" s="145" t="str">
        <f>E520</f>
        <v>月曜</v>
      </c>
      <c r="F563" s="145" t="str">
        <f>F520</f>
        <v/>
      </c>
      <c r="G563" s="142">
        <f>PJ工種集計!J1114</f>
        <v>0</v>
      </c>
    </row>
    <row r="564" spans="1:7">
      <c r="A564" s="66">
        <f t="shared" ref="A564:C564" si="763">A563</f>
        <v>14</v>
      </c>
      <c r="B564" s="66">
        <f t="shared" si="763"/>
        <v>0</v>
      </c>
      <c r="C564" s="66" t="str">
        <f t="shared" si="763"/>
        <v/>
      </c>
      <c r="D564" s="66">
        <f t="shared" ref="D564:F564" si="764">D521</f>
        <v>0</v>
      </c>
      <c r="E564" s="145" t="str">
        <f t="shared" si="764"/>
        <v>火曜</v>
      </c>
      <c r="F564" s="145" t="str">
        <f t="shared" si="764"/>
        <v/>
      </c>
      <c r="G564" s="142">
        <f>PJ工種集計!K1114</f>
        <v>0</v>
      </c>
    </row>
    <row r="565" spans="1:7">
      <c r="A565" s="66">
        <f t="shared" ref="A565:C565" si="765">A564</f>
        <v>14</v>
      </c>
      <c r="B565" s="66">
        <f t="shared" si="765"/>
        <v>0</v>
      </c>
      <c r="C565" s="66" t="str">
        <f t="shared" si="765"/>
        <v/>
      </c>
      <c r="D565" s="66">
        <f t="shared" ref="D565:F565" si="766">D522</f>
        <v>0</v>
      </c>
      <c r="E565" s="145" t="str">
        <f t="shared" si="766"/>
        <v>水曜</v>
      </c>
      <c r="F565" s="145">
        <f t="shared" si="766"/>
        <v>1</v>
      </c>
      <c r="G565" s="142">
        <f>PJ工種集計!L1114</f>
        <v>0</v>
      </c>
    </row>
    <row r="566" spans="1:7">
      <c r="A566" s="66">
        <f t="shared" ref="A566:C566" si="767">A565</f>
        <v>14</v>
      </c>
      <c r="B566" s="66">
        <f t="shared" si="767"/>
        <v>0</v>
      </c>
      <c r="C566" s="66" t="str">
        <f t="shared" si="767"/>
        <v/>
      </c>
      <c r="D566" s="66">
        <f t="shared" ref="D566:F566" si="768">D523</f>
        <v>0</v>
      </c>
      <c r="E566" s="145" t="str">
        <f t="shared" si="768"/>
        <v>木曜</v>
      </c>
      <c r="F566" s="145">
        <f t="shared" si="768"/>
        <v>2</v>
      </c>
      <c r="G566" s="142">
        <f>PJ工種集計!M1114</f>
        <v>0</v>
      </c>
    </row>
    <row r="567" spans="1:7">
      <c r="A567" s="66">
        <f t="shared" ref="A567:C567" si="769">A566</f>
        <v>14</v>
      </c>
      <c r="B567" s="66">
        <f t="shared" si="769"/>
        <v>0</v>
      </c>
      <c r="C567" s="66" t="str">
        <f t="shared" si="769"/>
        <v/>
      </c>
      <c r="D567" s="66">
        <f t="shared" ref="D567:F567" si="770">D524</f>
        <v>0</v>
      </c>
      <c r="E567" s="145" t="str">
        <f t="shared" si="770"/>
        <v>金曜</v>
      </c>
      <c r="F567" s="145">
        <f t="shared" si="770"/>
        <v>3</v>
      </c>
      <c r="G567" s="142">
        <f>PJ工種集計!N1114</f>
        <v>0</v>
      </c>
    </row>
    <row r="568" spans="1:7">
      <c r="A568" s="66">
        <f t="shared" ref="A568:C568" si="771">A567</f>
        <v>14</v>
      </c>
      <c r="B568" s="66">
        <f t="shared" si="771"/>
        <v>0</v>
      </c>
      <c r="C568" s="66" t="str">
        <f t="shared" si="771"/>
        <v/>
      </c>
      <c r="D568" s="66">
        <f t="shared" ref="D568:F568" si="772">D525</f>
        <v>0</v>
      </c>
      <c r="E568" s="145" t="str">
        <f t="shared" si="772"/>
        <v>土曜</v>
      </c>
      <c r="F568" s="145">
        <f t="shared" si="772"/>
        <v>4</v>
      </c>
      <c r="G568" s="142">
        <f>PJ工種集計!O1114</f>
        <v>0</v>
      </c>
    </row>
    <row r="569" spans="1:7">
      <c r="A569" s="66">
        <f t="shared" ref="A569:C569" si="773">A568</f>
        <v>14</v>
      </c>
      <c r="B569" s="66">
        <f t="shared" si="773"/>
        <v>0</v>
      </c>
      <c r="C569" s="66" t="str">
        <f t="shared" si="773"/>
        <v/>
      </c>
      <c r="D569" s="66">
        <f t="shared" ref="D569:F569" si="774">D526</f>
        <v>0</v>
      </c>
      <c r="E569" s="145" t="str">
        <f t="shared" si="774"/>
        <v>日曜</v>
      </c>
      <c r="F569" s="145">
        <f t="shared" si="774"/>
        <v>5</v>
      </c>
      <c r="G569" s="142">
        <f>PJ工種集計!P1114</f>
        <v>0</v>
      </c>
    </row>
    <row r="570" spans="1:7">
      <c r="A570" s="66">
        <f t="shared" ref="A570:C570" si="775">A569</f>
        <v>14</v>
      </c>
      <c r="B570" s="66">
        <f t="shared" si="775"/>
        <v>0</v>
      </c>
      <c r="C570" s="66" t="str">
        <f t="shared" si="775"/>
        <v/>
      </c>
      <c r="D570" s="66" t="str">
        <f t="shared" ref="D570:F570" si="776">D527</f>
        <v>2週</v>
      </c>
      <c r="E570" s="145" t="str">
        <f t="shared" si="776"/>
        <v>月曜</v>
      </c>
      <c r="F570" s="145">
        <f t="shared" si="776"/>
        <v>6</v>
      </c>
      <c r="G570" s="142">
        <f>PJ工種集計!Q1114</f>
        <v>0</v>
      </c>
    </row>
    <row r="571" spans="1:7">
      <c r="A571" s="66">
        <f t="shared" ref="A571:C571" si="777">A570</f>
        <v>14</v>
      </c>
      <c r="B571" s="66">
        <f t="shared" si="777"/>
        <v>0</v>
      </c>
      <c r="C571" s="66" t="str">
        <f t="shared" si="777"/>
        <v/>
      </c>
      <c r="D571" s="66">
        <f t="shared" ref="D571:F571" si="778">D528</f>
        <v>0</v>
      </c>
      <c r="E571" s="145" t="str">
        <f t="shared" si="778"/>
        <v>火曜</v>
      </c>
      <c r="F571" s="145">
        <f t="shared" si="778"/>
        <v>7</v>
      </c>
      <c r="G571" s="142">
        <f>PJ工種集計!R1114</f>
        <v>0</v>
      </c>
    </row>
    <row r="572" spans="1:7">
      <c r="A572" s="66">
        <f t="shared" ref="A572:C572" si="779">A571</f>
        <v>14</v>
      </c>
      <c r="B572" s="66">
        <f t="shared" si="779"/>
        <v>0</v>
      </c>
      <c r="C572" s="66" t="str">
        <f t="shared" si="779"/>
        <v/>
      </c>
      <c r="D572" s="66">
        <f t="shared" ref="D572:F572" si="780">D529</f>
        <v>0</v>
      </c>
      <c r="E572" s="145" t="str">
        <f t="shared" si="780"/>
        <v>水曜</v>
      </c>
      <c r="F572" s="145">
        <f t="shared" si="780"/>
        <v>8</v>
      </c>
      <c r="G572" s="142">
        <f>PJ工種集計!S1114</f>
        <v>0</v>
      </c>
    </row>
    <row r="573" spans="1:7">
      <c r="A573" s="66">
        <f t="shared" ref="A573:C573" si="781">A572</f>
        <v>14</v>
      </c>
      <c r="B573" s="66">
        <f t="shared" si="781"/>
        <v>0</v>
      </c>
      <c r="C573" s="66" t="str">
        <f t="shared" si="781"/>
        <v/>
      </c>
      <c r="D573" s="66">
        <f t="shared" ref="D573:F573" si="782">D530</f>
        <v>0</v>
      </c>
      <c r="E573" s="145" t="str">
        <f t="shared" si="782"/>
        <v>木曜</v>
      </c>
      <c r="F573" s="145">
        <f t="shared" si="782"/>
        <v>9</v>
      </c>
      <c r="G573" s="142">
        <f>PJ工種集計!T1114</f>
        <v>0</v>
      </c>
    </row>
    <row r="574" spans="1:7">
      <c r="A574" s="66">
        <f t="shared" ref="A574:C574" si="783">A573</f>
        <v>14</v>
      </c>
      <c r="B574" s="66">
        <f t="shared" si="783"/>
        <v>0</v>
      </c>
      <c r="C574" s="66" t="str">
        <f t="shared" si="783"/>
        <v/>
      </c>
      <c r="D574" s="66">
        <f t="shared" ref="D574:F574" si="784">D531</f>
        <v>0</v>
      </c>
      <c r="E574" s="145" t="str">
        <f t="shared" si="784"/>
        <v>金曜</v>
      </c>
      <c r="F574" s="145">
        <f t="shared" si="784"/>
        <v>10</v>
      </c>
      <c r="G574" s="142">
        <f>PJ工種集計!U1114</f>
        <v>0</v>
      </c>
    </row>
    <row r="575" spans="1:7">
      <c r="A575" s="66">
        <f t="shared" ref="A575:C575" si="785">A574</f>
        <v>14</v>
      </c>
      <c r="B575" s="66">
        <f t="shared" si="785"/>
        <v>0</v>
      </c>
      <c r="C575" s="66" t="str">
        <f t="shared" si="785"/>
        <v/>
      </c>
      <c r="D575" s="66">
        <f t="shared" ref="D575:F575" si="786">D532</f>
        <v>0</v>
      </c>
      <c r="E575" s="145" t="str">
        <f t="shared" si="786"/>
        <v>土曜</v>
      </c>
      <c r="F575" s="145">
        <f t="shared" si="786"/>
        <v>11</v>
      </c>
      <c r="G575" s="142">
        <f>PJ工種集計!V1114</f>
        <v>0</v>
      </c>
    </row>
    <row r="576" spans="1:7">
      <c r="A576" s="66">
        <f t="shared" ref="A576:C576" si="787">A575</f>
        <v>14</v>
      </c>
      <c r="B576" s="66">
        <f t="shared" si="787"/>
        <v>0</v>
      </c>
      <c r="C576" s="66" t="str">
        <f t="shared" si="787"/>
        <v/>
      </c>
      <c r="D576" s="66">
        <f t="shared" ref="D576:F576" si="788">D533</f>
        <v>0</v>
      </c>
      <c r="E576" s="145" t="str">
        <f t="shared" si="788"/>
        <v>日曜</v>
      </c>
      <c r="F576" s="145">
        <f t="shared" si="788"/>
        <v>12</v>
      </c>
      <c r="G576" s="142">
        <f>PJ工種集計!W1114</f>
        <v>0</v>
      </c>
    </row>
    <row r="577" spans="1:7">
      <c r="A577" s="66">
        <f t="shared" ref="A577:C577" si="789">A576</f>
        <v>14</v>
      </c>
      <c r="B577" s="66">
        <f t="shared" si="789"/>
        <v>0</v>
      </c>
      <c r="C577" s="66" t="str">
        <f t="shared" si="789"/>
        <v/>
      </c>
      <c r="D577" s="66" t="str">
        <f t="shared" ref="D577:F577" si="790">D534</f>
        <v>3週</v>
      </c>
      <c r="E577" s="145" t="str">
        <f t="shared" si="790"/>
        <v>月曜</v>
      </c>
      <c r="F577" s="145">
        <f t="shared" si="790"/>
        <v>13</v>
      </c>
      <c r="G577" s="142">
        <f>PJ工種集計!X1114</f>
        <v>0</v>
      </c>
    </row>
    <row r="578" spans="1:7">
      <c r="A578" s="66">
        <f t="shared" ref="A578:C578" si="791">A577</f>
        <v>14</v>
      </c>
      <c r="B578" s="66">
        <f t="shared" si="791"/>
        <v>0</v>
      </c>
      <c r="C578" s="66" t="str">
        <f t="shared" si="791"/>
        <v/>
      </c>
      <c r="D578" s="66">
        <f t="shared" ref="D578:F578" si="792">D535</f>
        <v>0</v>
      </c>
      <c r="E578" s="145" t="str">
        <f t="shared" si="792"/>
        <v>火曜</v>
      </c>
      <c r="F578" s="145">
        <f t="shared" si="792"/>
        <v>14</v>
      </c>
      <c r="G578" s="142">
        <f>PJ工種集計!Y1114</f>
        <v>0</v>
      </c>
    </row>
    <row r="579" spans="1:7">
      <c r="A579" s="66">
        <f t="shared" ref="A579:C579" si="793">A578</f>
        <v>14</v>
      </c>
      <c r="B579" s="66">
        <f t="shared" si="793"/>
        <v>0</v>
      </c>
      <c r="C579" s="66" t="str">
        <f t="shared" si="793"/>
        <v/>
      </c>
      <c r="D579" s="66">
        <f t="shared" ref="D579:F579" si="794">D536</f>
        <v>0</v>
      </c>
      <c r="E579" s="145" t="str">
        <f t="shared" si="794"/>
        <v>水曜</v>
      </c>
      <c r="F579" s="145">
        <f t="shared" si="794"/>
        <v>15</v>
      </c>
      <c r="G579" s="142">
        <f>PJ工種集計!Z1114</f>
        <v>0</v>
      </c>
    </row>
    <row r="580" spans="1:7">
      <c r="A580" s="66">
        <f t="shared" ref="A580:C580" si="795">A579</f>
        <v>14</v>
      </c>
      <c r="B580" s="66">
        <f t="shared" si="795"/>
        <v>0</v>
      </c>
      <c r="C580" s="66" t="str">
        <f t="shared" si="795"/>
        <v/>
      </c>
      <c r="D580" s="66">
        <f t="shared" ref="D580:F580" si="796">D537</f>
        <v>0</v>
      </c>
      <c r="E580" s="145" t="str">
        <f t="shared" si="796"/>
        <v>木曜</v>
      </c>
      <c r="F580" s="145">
        <f t="shared" si="796"/>
        <v>16</v>
      </c>
      <c r="G580" s="142">
        <f>PJ工種集計!AA1114</f>
        <v>0</v>
      </c>
    </row>
    <row r="581" spans="1:7">
      <c r="A581" s="66">
        <f t="shared" ref="A581:C581" si="797">A580</f>
        <v>14</v>
      </c>
      <c r="B581" s="66">
        <f t="shared" si="797"/>
        <v>0</v>
      </c>
      <c r="C581" s="66" t="str">
        <f t="shared" si="797"/>
        <v/>
      </c>
      <c r="D581" s="66">
        <f t="shared" ref="D581:F581" si="798">D538</f>
        <v>0</v>
      </c>
      <c r="E581" s="145" t="str">
        <f t="shared" si="798"/>
        <v>金曜</v>
      </c>
      <c r="F581" s="145">
        <f t="shared" si="798"/>
        <v>17</v>
      </c>
      <c r="G581" s="142">
        <f>PJ工種集計!AB1114</f>
        <v>0</v>
      </c>
    </row>
    <row r="582" spans="1:7">
      <c r="A582" s="66">
        <f t="shared" ref="A582:C582" si="799">A581</f>
        <v>14</v>
      </c>
      <c r="B582" s="66">
        <f t="shared" si="799"/>
        <v>0</v>
      </c>
      <c r="C582" s="66" t="str">
        <f t="shared" si="799"/>
        <v/>
      </c>
      <c r="D582" s="66">
        <f t="shared" ref="D582:F582" si="800">D539</f>
        <v>0</v>
      </c>
      <c r="E582" s="145" t="str">
        <f t="shared" si="800"/>
        <v>土曜</v>
      </c>
      <c r="F582" s="145">
        <f t="shared" si="800"/>
        <v>18</v>
      </c>
      <c r="G582" s="142">
        <f>PJ工種集計!AC1114</f>
        <v>0</v>
      </c>
    </row>
    <row r="583" spans="1:7">
      <c r="A583" s="66">
        <f t="shared" ref="A583:C583" si="801">A582</f>
        <v>14</v>
      </c>
      <c r="B583" s="66">
        <f t="shared" si="801"/>
        <v>0</v>
      </c>
      <c r="C583" s="66" t="str">
        <f t="shared" si="801"/>
        <v/>
      </c>
      <c r="D583" s="66">
        <f t="shared" ref="D583:F583" si="802">D540</f>
        <v>0</v>
      </c>
      <c r="E583" s="145" t="str">
        <f t="shared" si="802"/>
        <v>日曜</v>
      </c>
      <c r="F583" s="145">
        <f t="shared" si="802"/>
        <v>19</v>
      </c>
      <c r="G583" s="142">
        <f>PJ工種集計!AD1114</f>
        <v>0</v>
      </c>
    </row>
    <row r="584" spans="1:7">
      <c r="A584" s="66">
        <f t="shared" ref="A584:C584" si="803">A583</f>
        <v>14</v>
      </c>
      <c r="B584" s="66">
        <f t="shared" si="803"/>
        <v>0</v>
      </c>
      <c r="C584" s="66" t="str">
        <f t="shared" si="803"/>
        <v/>
      </c>
      <c r="D584" s="66" t="str">
        <f t="shared" ref="D584:F584" si="804">D541</f>
        <v>4週</v>
      </c>
      <c r="E584" s="145" t="str">
        <f t="shared" si="804"/>
        <v>月曜</v>
      </c>
      <c r="F584" s="145">
        <f t="shared" si="804"/>
        <v>20</v>
      </c>
      <c r="G584" s="142">
        <f>PJ工種集計!AE1114</f>
        <v>0</v>
      </c>
    </row>
    <row r="585" spans="1:7">
      <c r="A585" s="66">
        <f t="shared" ref="A585:C585" si="805">A584</f>
        <v>14</v>
      </c>
      <c r="B585" s="66">
        <f t="shared" si="805"/>
        <v>0</v>
      </c>
      <c r="C585" s="66" t="str">
        <f t="shared" si="805"/>
        <v/>
      </c>
      <c r="D585" s="66">
        <f t="shared" ref="D585:F585" si="806">D542</f>
        <v>0</v>
      </c>
      <c r="E585" s="145" t="str">
        <f t="shared" si="806"/>
        <v>火曜</v>
      </c>
      <c r="F585" s="145">
        <f t="shared" si="806"/>
        <v>21</v>
      </c>
      <c r="G585" s="142">
        <f>PJ工種集計!AF1114</f>
        <v>0</v>
      </c>
    </row>
    <row r="586" spans="1:7">
      <c r="A586" s="66">
        <f t="shared" ref="A586:C586" si="807">A585</f>
        <v>14</v>
      </c>
      <c r="B586" s="66">
        <f t="shared" si="807"/>
        <v>0</v>
      </c>
      <c r="C586" s="66" t="str">
        <f t="shared" si="807"/>
        <v/>
      </c>
      <c r="D586" s="66">
        <f t="shared" ref="D586:F586" si="808">D543</f>
        <v>0</v>
      </c>
      <c r="E586" s="145" t="str">
        <f t="shared" si="808"/>
        <v>水曜</v>
      </c>
      <c r="F586" s="145">
        <f t="shared" si="808"/>
        <v>22</v>
      </c>
      <c r="G586" s="142">
        <f>PJ工種集計!AG1114</f>
        <v>0</v>
      </c>
    </row>
    <row r="587" spans="1:7">
      <c r="A587" s="66">
        <f t="shared" ref="A587:C587" si="809">A586</f>
        <v>14</v>
      </c>
      <c r="B587" s="66">
        <f t="shared" si="809"/>
        <v>0</v>
      </c>
      <c r="C587" s="66" t="str">
        <f t="shared" si="809"/>
        <v/>
      </c>
      <c r="D587" s="66">
        <f t="shared" ref="D587:F587" si="810">D544</f>
        <v>0</v>
      </c>
      <c r="E587" s="145" t="str">
        <f t="shared" si="810"/>
        <v>木曜</v>
      </c>
      <c r="F587" s="145">
        <f t="shared" si="810"/>
        <v>23</v>
      </c>
      <c r="G587" s="142">
        <f>PJ工種集計!AH1114</f>
        <v>0</v>
      </c>
    </row>
    <row r="588" spans="1:7">
      <c r="A588" s="66">
        <f t="shared" ref="A588:C588" si="811">A587</f>
        <v>14</v>
      </c>
      <c r="B588" s="66">
        <f t="shared" si="811"/>
        <v>0</v>
      </c>
      <c r="C588" s="66" t="str">
        <f t="shared" si="811"/>
        <v/>
      </c>
      <c r="D588" s="66">
        <f t="shared" ref="D588:F588" si="812">D545</f>
        <v>0</v>
      </c>
      <c r="E588" s="145" t="str">
        <f t="shared" si="812"/>
        <v>金曜</v>
      </c>
      <c r="F588" s="145">
        <f t="shared" si="812"/>
        <v>24</v>
      </c>
      <c r="G588" s="142">
        <f>PJ工種集計!AI1114</f>
        <v>0</v>
      </c>
    </row>
    <row r="589" spans="1:7">
      <c r="A589" s="66">
        <f t="shared" ref="A589:C589" si="813">A588</f>
        <v>14</v>
      </c>
      <c r="B589" s="66">
        <f t="shared" si="813"/>
        <v>0</v>
      </c>
      <c r="C589" s="66" t="str">
        <f t="shared" si="813"/>
        <v/>
      </c>
      <c r="D589" s="66">
        <f t="shared" ref="D589:F589" si="814">D546</f>
        <v>0</v>
      </c>
      <c r="E589" s="145" t="str">
        <f t="shared" si="814"/>
        <v>土曜</v>
      </c>
      <c r="F589" s="145">
        <f t="shared" si="814"/>
        <v>25</v>
      </c>
      <c r="G589" s="142">
        <f>PJ工種集計!AJ1114</f>
        <v>0</v>
      </c>
    </row>
    <row r="590" spans="1:7">
      <c r="A590" s="66">
        <f t="shared" ref="A590:C590" si="815">A589</f>
        <v>14</v>
      </c>
      <c r="B590" s="66">
        <f t="shared" si="815"/>
        <v>0</v>
      </c>
      <c r="C590" s="66" t="str">
        <f t="shared" si="815"/>
        <v/>
      </c>
      <c r="D590" s="66">
        <f t="shared" ref="D590:F590" si="816">D547</f>
        <v>0</v>
      </c>
      <c r="E590" s="145" t="str">
        <f t="shared" si="816"/>
        <v>日曜</v>
      </c>
      <c r="F590" s="145">
        <f t="shared" si="816"/>
        <v>26</v>
      </c>
      <c r="G590" s="142">
        <f>PJ工種集計!AK1114</f>
        <v>0</v>
      </c>
    </row>
    <row r="591" spans="1:7">
      <c r="A591" s="66">
        <f t="shared" ref="A591:C591" si="817">A590</f>
        <v>14</v>
      </c>
      <c r="B591" s="66">
        <f t="shared" si="817"/>
        <v>0</v>
      </c>
      <c r="C591" s="66" t="str">
        <f t="shared" si="817"/>
        <v/>
      </c>
      <c r="D591" s="66" t="str">
        <f t="shared" ref="D591:F591" si="818">D548</f>
        <v>5週</v>
      </c>
      <c r="E591" s="145" t="str">
        <f t="shared" si="818"/>
        <v>月曜</v>
      </c>
      <c r="F591" s="145">
        <f t="shared" si="818"/>
        <v>27</v>
      </c>
      <c r="G591" s="142">
        <f>PJ工種集計!AL1114</f>
        <v>0</v>
      </c>
    </row>
    <row r="592" spans="1:7">
      <c r="A592" s="66">
        <f t="shared" ref="A592:C592" si="819">A591</f>
        <v>14</v>
      </c>
      <c r="B592" s="66">
        <f t="shared" si="819"/>
        <v>0</v>
      </c>
      <c r="C592" s="66" t="str">
        <f t="shared" si="819"/>
        <v/>
      </c>
      <c r="D592" s="66">
        <f t="shared" ref="D592:F592" si="820">D549</f>
        <v>0</v>
      </c>
      <c r="E592" s="145" t="str">
        <f t="shared" si="820"/>
        <v>火曜</v>
      </c>
      <c r="F592" s="145">
        <f t="shared" si="820"/>
        <v>28</v>
      </c>
      <c r="G592" s="142">
        <f>PJ工種集計!AM1114</f>
        <v>0</v>
      </c>
    </row>
    <row r="593" spans="1:7">
      <c r="A593" s="66">
        <f t="shared" ref="A593:C593" si="821">A592</f>
        <v>14</v>
      </c>
      <c r="B593" s="66">
        <f t="shared" si="821"/>
        <v>0</v>
      </c>
      <c r="C593" s="66" t="str">
        <f t="shared" si="821"/>
        <v/>
      </c>
      <c r="D593" s="66">
        <f t="shared" ref="D593:F593" si="822">D550</f>
        <v>0</v>
      </c>
      <c r="E593" s="145" t="str">
        <f t="shared" si="822"/>
        <v>水曜</v>
      </c>
      <c r="F593" s="145">
        <f t="shared" si="822"/>
        <v>29</v>
      </c>
      <c r="G593" s="142">
        <f>PJ工種集計!AN1114</f>
        <v>0</v>
      </c>
    </row>
    <row r="594" spans="1:7">
      <c r="A594" s="66">
        <f t="shared" ref="A594:C594" si="823">A593</f>
        <v>14</v>
      </c>
      <c r="B594" s="66">
        <f t="shared" si="823"/>
        <v>0</v>
      </c>
      <c r="C594" s="66" t="str">
        <f t="shared" si="823"/>
        <v/>
      </c>
      <c r="D594" s="66">
        <f t="shared" ref="D594:F594" si="824">D551</f>
        <v>0</v>
      </c>
      <c r="E594" s="145" t="str">
        <f t="shared" si="824"/>
        <v>木曜</v>
      </c>
      <c r="F594" s="145">
        <f t="shared" si="824"/>
        <v>30</v>
      </c>
      <c r="G594" s="142">
        <f>PJ工種集計!AO1114</f>
        <v>0</v>
      </c>
    </row>
    <row r="595" spans="1:7">
      <c r="A595" s="66">
        <f t="shared" ref="A595:C595" si="825">A594</f>
        <v>14</v>
      </c>
      <c r="B595" s="66">
        <f t="shared" si="825"/>
        <v>0</v>
      </c>
      <c r="C595" s="66" t="str">
        <f t="shared" si="825"/>
        <v/>
      </c>
      <c r="D595" s="66">
        <f t="shared" ref="D595:F595" si="826">D552</f>
        <v>0</v>
      </c>
      <c r="E595" s="145" t="str">
        <f t="shared" si="826"/>
        <v>金曜</v>
      </c>
      <c r="F595" s="145">
        <f t="shared" si="826"/>
        <v>31</v>
      </c>
      <c r="G595" s="142">
        <f>PJ工種集計!AP1114</f>
        <v>0</v>
      </c>
    </row>
    <row r="596" spans="1:7">
      <c r="A596" s="66">
        <f t="shared" ref="A596:C596" si="827">A595</f>
        <v>14</v>
      </c>
      <c r="B596" s="66">
        <f t="shared" si="827"/>
        <v>0</v>
      </c>
      <c r="C596" s="66" t="str">
        <f t="shared" si="827"/>
        <v/>
      </c>
      <c r="D596" s="66">
        <f t="shared" ref="D596:F596" si="828">D553</f>
        <v>0</v>
      </c>
      <c r="E596" s="145" t="str">
        <f t="shared" si="828"/>
        <v>土曜</v>
      </c>
      <c r="F596" s="145" t="str">
        <f t="shared" si="828"/>
        <v/>
      </c>
      <c r="G596" s="142">
        <f>PJ工種集計!AQ1114</f>
        <v>0</v>
      </c>
    </row>
    <row r="597" spans="1:7">
      <c r="A597" s="66">
        <f t="shared" ref="A597:C597" si="829">A596</f>
        <v>14</v>
      </c>
      <c r="B597" s="66">
        <f t="shared" si="829"/>
        <v>0</v>
      </c>
      <c r="C597" s="66" t="str">
        <f t="shared" si="829"/>
        <v/>
      </c>
      <c r="D597" s="66">
        <f t="shared" ref="D597:F597" si="830">D554</f>
        <v>0</v>
      </c>
      <c r="E597" s="145" t="str">
        <f t="shared" si="830"/>
        <v>日曜</v>
      </c>
      <c r="F597" s="145" t="str">
        <f t="shared" si="830"/>
        <v/>
      </c>
      <c r="G597" s="142">
        <f>PJ工種集計!AR1114</f>
        <v>0</v>
      </c>
    </row>
    <row r="598" spans="1:7">
      <c r="A598" s="66">
        <f t="shared" ref="A598:C598" si="831">A597</f>
        <v>14</v>
      </c>
      <c r="B598" s="66">
        <f t="shared" si="831"/>
        <v>0</v>
      </c>
      <c r="C598" s="66" t="str">
        <f t="shared" si="831"/>
        <v/>
      </c>
      <c r="D598" s="66" t="str">
        <f t="shared" ref="D598:F598" si="832">D555</f>
        <v>6週</v>
      </c>
      <c r="E598" s="145" t="str">
        <f t="shared" si="832"/>
        <v>月曜</v>
      </c>
      <c r="F598" s="145" t="str">
        <f t="shared" si="832"/>
        <v/>
      </c>
      <c r="G598" s="142">
        <f>PJ工種集計!AS1114</f>
        <v>0</v>
      </c>
    </row>
    <row r="599" spans="1:7">
      <c r="A599" s="66">
        <f t="shared" ref="A599:C599" si="833">A598</f>
        <v>14</v>
      </c>
      <c r="B599" s="66">
        <f t="shared" si="833"/>
        <v>0</v>
      </c>
      <c r="C599" s="66" t="str">
        <f t="shared" si="833"/>
        <v/>
      </c>
      <c r="D599" s="66">
        <f t="shared" ref="D599:F599" si="834">D556</f>
        <v>0</v>
      </c>
      <c r="E599" s="145" t="str">
        <f t="shared" si="834"/>
        <v>火曜</v>
      </c>
      <c r="F599" s="145" t="str">
        <f t="shared" si="834"/>
        <v/>
      </c>
      <c r="G599" s="142">
        <f>PJ工種集計!AT1114</f>
        <v>0</v>
      </c>
    </row>
    <row r="600" spans="1:7">
      <c r="A600" s="66">
        <f t="shared" ref="A600:C600" si="835">A599</f>
        <v>14</v>
      </c>
      <c r="B600" s="66">
        <f t="shared" si="835"/>
        <v>0</v>
      </c>
      <c r="C600" s="66" t="str">
        <f t="shared" si="835"/>
        <v/>
      </c>
      <c r="D600" s="66">
        <f t="shared" ref="D600:F600" si="836">D557</f>
        <v>0</v>
      </c>
      <c r="E600" s="145" t="str">
        <f t="shared" si="836"/>
        <v>水曜</v>
      </c>
      <c r="F600" s="145" t="str">
        <f t="shared" si="836"/>
        <v/>
      </c>
      <c r="G600" s="142">
        <f>PJ工種集計!AU1114</f>
        <v>0</v>
      </c>
    </row>
    <row r="601" spans="1:7">
      <c r="A601" s="66">
        <f t="shared" ref="A601:C601" si="837">A600</f>
        <v>14</v>
      </c>
      <c r="B601" s="66">
        <f t="shared" si="837"/>
        <v>0</v>
      </c>
      <c r="C601" s="66" t="str">
        <f t="shared" si="837"/>
        <v/>
      </c>
      <c r="D601" s="66">
        <f t="shared" ref="D601:F601" si="838">D558</f>
        <v>0</v>
      </c>
      <c r="E601" s="145" t="str">
        <f t="shared" si="838"/>
        <v>木曜</v>
      </c>
      <c r="F601" s="145" t="str">
        <f t="shared" si="838"/>
        <v/>
      </c>
      <c r="G601" s="142">
        <f>PJ工種集計!AV1114</f>
        <v>0</v>
      </c>
    </row>
    <row r="602" spans="1:7">
      <c r="A602" s="66">
        <f t="shared" ref="A602:C602" si="839">A601</f>
        <v>14</v>
      </c>
      <c r="B602" s="66">
        <f t="shared" si="839"/>
        <v>0</v>
      </c>
      <c r="C602" s="66" t="str">
        <f t="shared" si="839"/>
        <v/>
      </c>
      <c r="D602" s="66">
        <f t="shared" ref="D602:F602" si="840">D559</f>
        <v>0</v>
      </c>
      <c r="E602" s="145" t="str">
        <f t="shared" si="840"/>
        <v>金曜</v>
      </c>
      <c r="F602" s="145" t="str">
        <f t="shared" si="840"/>
        <v/>
      </c>
      <c r="G602" s="142">
        <f>PJ工種集計!AW1114</f>
        <v>0</v>
      </c>
    </row>
    <row r="603" spans="1:7">
      <c r="A603" s="66">
        <f t="shared" ref="A603:C603" si="841">A602</f>
        <v>14</v>
      </c>
      <c r="B603" s="66">
        <f t="shared" si="841"/>
        <v>0</v>
      </c>
      <c r="C603" s="66" t="str">
        <f t="shared" si="841"/>
        <v/>
      </c>
      <c r="D603" s="66">
        <f t="shared" ref="D603:F603" si="842">D560</f>
        <v>0</v>
      </c>
      <c r="E603" s="145" t="str">
        <f t="shared" si="842"/>
        <v>土曜</v>
      </c>
      <c r="F603" s="145" t="str">
        <f t="shared" si="842"/>
        <v/>
      </c>
      <c r="G603" s="142">
        <f>PJ工種集計!AX1114</f>
        <v>0</v>
      </c>
    </row>
    <row r="604" spans="1:7">
      <c r="A604" s="66">
        <f t="shared" ref="A604:C604" si="843">A603</f>
        <v>14</v>
      </c>
      <c r="B604" s="66">
        <f t="shared" si="843"/>
        <v>0</v>
      </c>
      <c r="C604" s="66" t="str">
        <f t="shared" si="843"/>
        <v/>
      </c>
      <c r="D604" s="66">
        <f t="shared" ref="D604:F604" si="844">D561</f>
        <v>0</v>
      </c>
      <c r="E604" s="145" t="str">
        <f t="shared" si="844"/>
        <v>日曜</v>
      </c>
      <c r="F604" s="145" t="str">
        <f t="shared" si="844"/>
        <v/>
      </c>
      <c r="G604" s="142">
        <f>PJ工種集計!AY1114</f>
        <v>0</v>
      </c>
    </row>
    <row r="606" spans="1:7">
      <c r="A606" s="66">
        <f>PJ工種集計!A1198</f>
        <v>15</v>
      </c>
      <c r="B606" s="66">
        <f>PJ工種集計!B1198</f>
        <v>0</v>
      </c>
      <c r="C606" s="66" t="str">
        <f>PJ工種集計!C1198</f>
        <v/>
      </c>
      <c r="D606" s="66" t="str">
        <f>D563</f>
        <v>１週</v>
      </c>
      <c r="E606" s="145" t="str">
        <f>E563</f>
        <v>月曜</v>
      </c>
      <c r="F606" s="145" t="str">
        <f>F563</f>
        <v/>
      </c>
      <c r="G606" s="142">
        <f>PJ工種集計!J1199</f>
        <v>0</v>
      </c>
    </row>
    <row r="607" spans="1:7">
      <c r="A607" s="66">
        <f t="shared" ref="A607:C607" si="845">A606</f>
        <v>15</v>
      </c>
      <c r="B607" s="66">
        <f t="shared" si="845"/>
        <v>0</v>
      </c>
      <c r="C607" s="66" t="str">
        <f t="shared" si="845"/>
        <v/>
      </c>
      <c r="D607" s="66">
        <f t="shared" ref="D607:F607" si="846">D564</f>
        <v>0</v>
      </c>
      <c r="E607" s="145" t="str">
        <f t="shared" si="846"/>
        <v>火曜</v>
      </c>
      <c r="F607" s="145" t="str">
        <f t="shared" si="846"/>
        <v/>
      </c>
      <c r="G607" s="142">
        <f>PJ工種集計!K1199</f>
        <v>0</v>
      </c>
    </row>
    <row r="608" spans="1:7">
      <c r="A608" s="66">
        <f t="shared" ref="A608:C608" si="847">A607</f>
        <v>15</v>
      </c>
      <c r="B608" s="66">
        <f t="shared" si="847"/>
        <v>0</v>
      </c>
      <c r="C608" s="66" t="str">
        <f t="shared" si="847"/>
        <v/>
      </c>
      <c r="D608" s="66">
        <f t="shared" ref="D608:F608" si="848">D565</f>
        <v>0</v>
      </c>
      <c r="E608" s="145" t="str">
        <f t="shared" si="848"/>
        <v>水曜</v>
      </c>
      <c r="F608" s="145">
        <f t="shared" si="848"/>
        <v>1</v>
      </c>
      <c r="G608" s="142">
        <f>PJ工種集計!L1199</f>
        <v>0</v>
      </c>
    </row>
    <row r="609" spans="1:7">
      <c r="A609" s="66">
        <f t="shared" ref="A609:C609" si="849">A608</f>
        <v>15</v>
      </c>
      <c r="B609" s="66">
        <f t="shared" si="849"/>
        <v>0</v>
      </c>
      <c r="C609" s="66" t="str">
        <f t="shared" si="849"/>
        <v/>
      </c>
      <c r="D609" s="66">
        <f t="shared" ref="D609:F609" si="850">D566</f>
        <v>0</v>
      </c>
      <c r="E609" s="145" t="str">
        <f t="shared" si="850"/>
        <v>木曜</v>
      </c>
      <c r="F609" s="145">
        <f t="shared" si="850"/>
        <v>2</v>
      </c>
      <c r="G609" s="142">
        <f>PJ工種集計!M1199</f>
        <v>0</v>
      </c>
    </row>
    <row r="610" spans="1:7">
      <c r="A610" s="66">
        <f t="shared" ref="A610:C610" si="851">A609</f>
        <v>15</v>
      </c>
      <c r="B610" s="66">
        <f t="shared" si="851"/>
        <v>0</v>
      </c>
      <c r="C610" s="66" t="str">
        <f t="shared" si="851"/>
        <v/>
      </c>
      <c r="D610" s="66">
        <f t="shared" ref="D610:F610" si="852">D567</f>
        <v>0</v>
      </c>
      <c r="E610" s="145" t="str">
        <f t="shared" si="852"/>
        <v>金曜</v>
      </c>
      <c r="F610" s="145">
        <f t="shared" si="852"/>
        <v>3</v>
      </c>
      <c r="G610" s="142">
        <f>PJ工種集計!N1199</f>
        <v>0</v>
      </c>
    </row>
    <row r="611" spans="1:7">
      <c r="A611" s="66">
        <f t="shared" ref="A611:C611" si="853">A610</f>
        <v>15</v>
      </c>
      <c r="B611" s="66">
        <f t="shared" si="853"/>
        <v>0</v>
      </c>
      <c r="C611" s="66" t="str">
        <f t="shared" si="853"/>
        <v/>
      </c>
      <c r="D611" s="66">
        <f t="shared" ref="D611:F611" si="854">D568</f>
        <v>0</v>
      </c>
      <c r="E611" s="145" t="str">
        <f t="shared" si="854"/>
        <v>土曜</v>
      </c>
      <c r="F611" s="145">
        <f t="shared" si="854"/>
        <v>4</v>
      </c>
      <c r="G611" s="142">
        <f>PJ工種集計!O1199</f>
        <v>0</v>
      </c>
    </row>
    <row r="612" spans="1:7">
      <c r="A612" s="66">
        <f t="shared" ref="A612:C612" si="855">A611</f>
        <v>15</v>
      </c>
      <c r="B612" s="66">
        <f t="shared" si="855"/>
        <v>0</v>
      </c>
      <c r="C612" s="66" t="str">
        <f t="shared" si="855"/>
        <v/>
      </c>
      <c r="D612" s="66">
        <f t="shared" ref="D612:F612" si="856">D569</f>
        <v>0</v>
      </c>
      <c r="E612" s="145" t="str">
        <f t="shared" si="856"/>
        <v>日曜</v>
      </c>
      <c r="F612" s="145">
        <f t="shared" si="856"/>
        <v>5</v>
      </c>
      <c r="G612" s="142">
        <f>PJ工種集計!P1199</f>
        <v>0</v>
      </c>
    </row>
    <row r="613" spans="1:7">
      <c r="A613" s="66">
        <f t="shared" ref="A613:C613" si="857">A612</f>
        <v>15</v>
      </c>
      <c r="B613" s="66">
        <f t="shared" si="857"/>
        <v>0</v>
      </c>
      <c r="C613" s="66" t="str">
        <f t="shared" si="857"/>
        <v/>
      </c>
      <c r="D613" s="66" t="str">
        <f t="shared" ref="D613:F613" si="858">D570</f>
        <v>2週</v>
      </c>
      <c r="E613" s="145" t="str">
        <f t="shared" si="858"/>
        <v>月曜</v>
      </c>
      <c r="F613" s="145">
        <f t="shared" si="858"/>
        <v>6</v>
      </c>
      <c r="G613" s="142">
        <f>PJ工種集計!Q1199</f>
        <v>0</v>
      </c>
    </row>
    <row r="614" spans="1:7">
      <c r="A614" s="66">
        <f t="shared" ref="A614:C614" si="859">A613</f>
        <v>15</v>
      </c>
      <c r="B614" s="66">
        <f t="shared" si="859"/>
        <v>0</v>
      </c>
      <c r="C614" s="66" t="str">
        <f t="shared" si="859"/>
        <v/>
      </c>
      <c r="D614" s="66">
        <f t="shared" ref="D614:F614" si="860">D571</f>
        <v>0</v>
      </c>
      <c r="E614" s="145" t="str">
        <f t="shared" si="860"/>
        <v>火曜</v>
      </c>
      <c r="F614" s="145">
        <f t="shared" si="860"/>
        <v>7</v>
      </c>
      <c r="G614" s="142">
        <f>PJ工種集計!R1199</f>
        <v>0</v>
      </c>
    </row>
    <row r="615" spans="1:7">
      <c r="A615" s="66">
        <f t="shared" ref="A615:C615" si="861">A614</f>
        <v>15</v>
      </c>
      <c r="B615" s="66">
        <f t="shared" si="861"/>
        <v>0</v>
      </c>
      <c r="C615" s="66" t="str">
        <f t="shared" si="861"/>
        <v/>
      </c>
      <c r="D615" s="66">
        <f t="shared" ref="D615:F615" si="862">D572</f>
        <v>0</v>
      </c>
      <c r="E615" s="145" t="str">
        <f t="shared" si="862"/>
        <v>水曜</v>
      </c>
      <c r="F615" s="145">
        <f t="shared" si="862"/>
        <v>8</v>
      </c>
      <c r="G615" s="142">
        <f>PJ工種集計!S1199</f>
        <v>0</v>
      </c>
    </row>
    <row r="616" spans="1:7">
      <c r="A616" s="66">
        <f t="shared" ref="A616:C616" si="863">A615</f>
        <v>15</v>
      </c>
      <c r="B616" s="66">
        <f t="shared" si="863"/>
        <v>0</v>
      </c>
      <c r="C616" s="66" t="str">
        <f t="shared" si="863"/>
        <v/>
      </c>
      <c r="D616" s="66">
        <f t="shared" ref="D616:F616" si="864">D573</f>
        <v>0</v>
      </c>
      <c r="E616" s="145" t="str">
        <f t="shared" si="864"/>
        <v>木曜</v>
      </c>
      <c r="F616" s="145">
        <f t="shared" si="864"/>
        <v>9</v>
      </c>
      <c r="G616" s="142">
        <f>PJ工種集計!T1199</f>
        <v>0</v>
      </c>
    </row>
    <row r="617" spans="1:7">
      <c r="A617" s="66">
        <f t="shared" ref="A617:C617" si="865">A616</f>
        <v>15</v>
      </c>
      <c r="B617" s="66">
        <f t="shared" si="865"/>
        <v>0</v>
      </c>
      <c r="C617" s="66" t="str">
        <f t="shared" si="865"/>
        <v/>
      </c>
      <c r="D617" s="66">
        <f t="shared" ref="D617:F617" si="866">D574</f>
        <v>0</v>
      </c>
      <c r="E617" s="145" t="str">
        <f t="shared" si="866"/>
        <v>金曜</v>
      </c>
      <c r="F617" s="145">
        <f t="shared" si="866"/>
        <v>10</v>
      </c>
      <c r="G617" s="142">
        <f>PJ工種集計!U1199</f>
        <v>0</v>
      </c>
    </row>
    <row r="618" spans="1:7">
      <c r="A618" s="66">
        <f t="shared" ref="A618:C618" si="867">A617</f>
        <v>15</v>
      </c>
      <c r="B618" s="66">
        <f t="shared" si="867"/>
        <v>0</v>
      </c>
      <c r="C618" s="66" t="str">
        <f t="shared" si="867"/>
        <v/>
      </c>
      <c r="D618" s="66">
        <f t="shared" ref="D618:F618" si="868">D575</f>
        <v>0</v>
      </c>
      <c r="E618" s="145" t="str">
        <f t="shared" si="868"/>
        <v>土曜</v>
      </c>
      <c r="F618" s="145">
        <f t="shared" si="868"/>
        <v>11</v>
      </c>
      <c r="G618" s="142">
        <f>PJ工種集計!V1199</f>
        <v>0</v>
      </c>
    </row>
    <row r="619" spans="1:7">
      <c r="A619" s="66">
        <f t="shared" ref="A619:C619" si="869">A618</f>
        <v>15</v>
      </c>
      <c r="B619" s="66">
        <f t="shared" si="869"/>
        <v>0</v>
      </c>
      <c r="C619" s="66" t="str">
        <f t="shared" si="869"/>
        <v/>
      </c>
      <c r="D619" s="66">
        <f t="shared" ref="D619:F619" si="870">D576</f>
        <v>0</v>
      </c>
      <c r="E619" s="145" t="str">
        <f t="shared" si="870"/>
        <v>日曜</v>
      </c>
      <c r="F619" s="145">
        <f t="shared" si="870"/>
        <v>12</v>
      </c>
      <c r="G619" s="142">
        <f>PJ工種集計!W1199</f>
        <v>0</v>
      </c>
    </row>
    <row r="620" spans="1:7">
      <c r="A620" s="66">
        <f t="shared" ref="A620:C620" si="871">A619</f>
        <v>15</v>
      </c>
      <c r="B620" s="66">
        <f t="shared" si="871"/>
        <v>0</v>
      </c>
      <c r="C620" s="66" t="str">
        <f t="shared" si="871"/>
        <v/>
      </c>
      <c r="D620" s="66" t="str">
        <f t="shared" ref="D620:F620" si="872">D577</f>
        <v>3週</v>
      </c>
      <c r="E620" s="145" t="str">
        <f t="shared" si="872"/>
        <v>月曜</v>
      </c>
      <c r="F620" s="145">
        <f t="shared" si="872"/>
        <v>13</v>
      </c>
      <c r="G620" s="142">
        <f>PJ工種集計!X1199</f>
        <v>0</v>
      </c>
    </row>
    <row r="621" spans="1:7">
      <c r="A621" s="66">
        <f t="shared" ref="A621:C621" si="873">A620</f>
        <v>15</v>
      </c>
      <c r="B621" s="66">
        <f t="shared" si="873"/>
        <v>0</v>
      </c>
      <c r="C621" s="66" t="str">
        <f t="shared" si="873"/>
        <v/>
      </c>
      <c r="D621" s="66">
        <f t="shared" ref="D621:F621" si="874">D578</f>
        <v>0</v>
      </c>
      <c r="E621" s="145" t="str">
        <f t="shared" si="874"/>
        <v>火曜</v>
      </c>
      <c r="F621" s="145">
        <f t="shared" si="874"/>
        <v>14</v>
      </c>
      <c r="G621" s="142">
        <f>PJ工種集計!Y1199</f>
        <v>0</v>
      </c>
    </row>
    <row r="622" spans="1:7">
      <c r="A622" s="66">
        <f t="shared" ref="A622:C622" si="875">A621</f>
        <v>15</v>
      </c>
      <c r="B622" s="66">
        <f t="shared" si="875"/>
        <v>0</v>
      </c>
      <c r="C622" s="66" t="str">
        <f t="shared" si="875"/>
        <v/>
      </c>
      <c r="D622" s="66">
        <f t="shared" ref="D622:F622" si="876">D579</f>
        <v>0</v>
      </c>
      <c r="E622" s="145" t="str">
        <f t="shared" si="876"/>
        <v>水曜</v>
      </c>
      <c r="F622" s="145">
        <f t="shared" si="876"/>
        <v>15</v>
      </c>
      <c r="G622" s="142">
        <f>PJ工種集計!Z1199</f>
        <v>0</v>
      </c>
    </row>
    <row r="623" spans="1:7">
      <c r="A623" s="66">
        <f t="shared" ref="A623:C623" si="877">A622</f>
        <v>15</v>
      </c>
      <c r="B623" s="66">
        <f t="shared" si="877"/>
        <v>0</v>
      </c>
      <c r="C623" s="66" t="str">
        <f t="shared" si="877"/>
        <v/>
      </c>
      <c r="D623" s="66">
        <f t="shared" ref="D623:F623" si="878">D580</f>
        <v>0</v>
      </c>
      <c r="E623" s="145" t="str">
        <f t="shared" si="878"/>
        <v>木曜</v>
      </c>
      <c r="F623" s="145">
        <f t="shared" si="878"/>
        <v>16</v>
      </c>
      <c r="G623" s="142">
        <f>PJ工種集計!AA1199</f>
        <v>0</v>
      </c>
    </row>
    <row r="624" spans="1:7">
      <c r="A624" s="66">
        <f t="shared" ref="A624:C624" si="879">A623</f>
        <v>15</v>
      </c>
      <c r="B624" s="66">
        <f t="shared" si="879"/>
        <v>0</v>
      </c>
      <c r="C624" s="66" t="str">
        <f t="shared" si="879"/>
        <v/>
      </c>
      <c r="D624" s="66">
        <f t="shared" ref="D624:F624" si="880">D581</f>
        <v>0</v>
      </c>
      <c r="E624" s="145" t="str">
        <f t="shared" si="880"/>
        <v>金曜</v>
      </c>
      <c r="F624" s="145">
        <f t="shared" si="880"/>
        <v>17</v>
      </c>
      <c r="G624" s="142">
        <f>PJ工種集計!AB1199</f>
        <v>0</v>
      </c>
    </row>
    <row r="625" spans="1:7">
      <c r="A625" s="66">
        <f t="shared" ref="A625:C625" si="881">A624</f>
        <v>15</v>
      </c>
      <c r="B625" s="66">
        <f t="shared" si="881"/>
        <v>0</v>
      </c>
      <c r="C625" s="66" t="str">
        <f t="shared" si="881"/>
        <v/>
      </c>
      <c r="D625" s="66">
        <f t="shared" ref="D625:F625" si="882">D582</f>
        <v>0</v>
      </c>
      <c r="E625" s="145" t="str">
        <f t="shared" si="882"/>
        <v>土曜</v>
      </c>
      <c r="F625" s="145">
        <f t="shared" si="882"/>
        <v>18</v>
      </c>
      <c r="G625" s="142">
        <f>PJ工種集計!AC1199</f>
        <v>0</v>
      </c>
    </row>
    <row r="626" spans="1:7">
      <c r="A626" s="66">
        <f t="shared" ref="A626:C626" si="883">A625</f>
        <v>15</v>
      </c>
      <c r="B626" s="66">
        <f t="shared" si="883"/>
        <v>0</v>
      </c>
      <c r="C626" s="66" t="str">
        <f t="shared" si="883"/>
        <v/>
      </c>
      <c r="D626" s="66">
        <f t="shared" ref="D626:F626" si="884">D583</f>
        <v>0</v>
      </c>
      <c r="E626" s="145" t="str">
        <f t="shared" si="884"/>
        <v>日曜</v>
      </c>
      <c r="F626" s="145">
        <f t="shared" si="884"/>
        <v>19</v>
      </c>
      <c r="G626" s="142">
        <f>PJ工種集計!AD1199</f>
        <v>0</v>
      </c>
    </row>
    <row r="627" spans="1:7">
      <c r="A627" s="66">
        <f t="shared" ref="A627:C627" si="885">A626</f>
        <v>15</v>
      </c>
      <c r="B627" s="66">
        <f t="shared" si="885"/>
        <v>0</v>
      </c>
      <c r="C627" s="66" t="str">
        <f t="shared" si="885"/>
        <v/>
      </c>
      <c r="D627" s="66" t="str">
        <f t="shared" ref="D627:F627" si="886">D584</f>
        <v>4週</v>
      </c>
      <c r="E627" s="145" t="str">
        <f t="shared" si="886"/>
        <v>月曜</v>
      </c>
      <c r="F627" s="145">
        <f t="shared" si="886"/>
        <v>20</v>
      </c>
      <c r="G627" s="142">
        <f>PJ工種集計!AE1199</f>
        <v>0</v>
      </c>
    </row>
    <row r="628" spans="1:7">
      <c r="A628" s="66">
        <f t="shared" ref="A628:C628" si="887">A627</f>
        <v>15</v>
      </c>
      <c r="B628" s="66">
        <f t="shared" si="887"/>
        <v>0</v>
      </c>
      <c r="C628" s="66" t="str">
        <f t="shared" si="887"/>
        <v/>
      </c>
      <c r="D628" s="66">
        <f t="shared" ref="D628:F628" si="888">D585</f>
        <v>0</v>
      </c>
      <c r="E628" s="145" t="str">
        <f t="shared" si="888"/>
        <v>火曜</v>
      </c>
      <c r="F628" s="145">
        <f t="shared" si="888"/>
        <v>21</v>
      </c>
      <c r="G628" s="142">
        <f>PJ工種集計!AF1199</f>
        <v>0</v>
      </c>
    </row>
    <row r="629" spans="1:7">
      <c r="A629" s="66">
        <f t="shared" ref="A629:C629" si="889">A628</f>
        <v>15</v>
      </c>
      <c r="B629" s="66">
        <f t="shared" si="889"/>
        <v>0</v>
      </c>
      <c r="C629" s="66" t="str">
        <f t="shared" si="889"/>
        <v/>
      </c>
      <c r="D629" s="66">
        <f t="shared" ref="D629:F629" si="890">D586</f>
        <v>0</v>
      </c>
      <c r="E629" s="145" t="str">
        <f t="shared" si="890"/>
        <v>水曜</v>
      </c>
      <c r="F629" s="145">
        <f t="shared" si="890"/>
        <v>22</v>
      </c>
      <c r="G629" s="142">
        <f>PJ工種集計!AG1199</f>
        <v>0</v>
      </c>
    </row>
    <row r="630" spans="1:7">
      <c r="A630" s="66">
        <f t="shared" ref="A630:C630" si="891">A629</f>
        <v>15</v>
      </c>
      <c r="B630" s="66">
        <f t="shared" si="891"/>
        <v>0</v>
      </c>
      <c r="C630" s="66" t="str">
        <f t="shared" si="891"/>
        <v/>
      </c>
      <c r="D630" s="66">
        <f t="shared" ref="D630:F630" si="892">D587</f>
        <v>0</v>
      </c>
      <c r="E630" s="145" t="str">
        <f t="shared" si="892"/>
        <v>木曜</v>
      </c>
      <c r="F630" s="145">
        <f t="shared" si="892"/>
        <v>23</v>
      </c>
      <c r="G630" s="142">
        <f>PJ工種集計!AH1199</f>
        <v>0</v>
      </c>
    </row>
    <row r="631" spans="1:7">
      <c r="A631" s="66">
        <f t="shared" ref="A631:C631" si="893">A630</f>
        <v>15</v>
      </c>
      <c r="B631" s="66">
        <f t="shared" si="893"/>
        <v>0</v>
      </c>
      <c r="C631" s="66" t="str">
        <f t="shared" si="893"/>
        <v/>
      </c>
      <c r="D631" s="66">
        <f t="shared" ref="D631:F631" si="894">D588</f>
        <v>0</v>
      </c>
      <c r="E631" s="145" t="str">
        <f t="shared" si="894"/>
        <v>金曜</v>
      </c>
      <c r="F631" s="145">
        <f t="shared" si="894"/>
        <v>24</v>
      </c>
      <c r="G631" s="142">
        <f>PJ工種集計!AI1199</f>
        <v>0</v>
      </c>
    </row>
    <row r="632" spans="1:7">
      <c r="A632" s="66">
        <f t="shared" ref="A632:C632" si="895">A631</f>
        <v>15</v>
      </c>
      <c r="B632" s="66">
        <f t="shared" si="895"/>
        <v>0</v>
      </c>
      <c r="C632" s="66" t="str">
        <f t="shared" si="895"/>
        <v/>
      </c>
      <c r="D632" s="66">
        <f t="shared" ref="D632:F632" si="896">D589</f>
        <v>0</v>
      </c>
      <c r="E632" s="145" t="str">
        <f t="shared" si="896"/>
        <v>土曜</v>
      </c>
      <c r="F632" s="145">
        <f t="shared" si="896"/>
        <v>25</v>
      </c>
      <c r="G632" s="142">
        <f>PJ工種集計!AJ1199</f>
        <v>0</v>
      </c>
    </row>
    <row r="633" spans="1:7">
      <c r="A633" s="66">
        <f t="shared" ref="A633:C633" si="897">A632</f>
        <v>15</v>
      </c>
      <c r="B633" s="66">
        <f t="shared" si="897"/>
        <v>0</v>
      </c>
      <c r="C633" s="66" t="str">
        <f t="shared" si="897"/>
        <v/>
      </c>
      <c r="D633" s="66">
        <f t="shared" ref="D633:F633" si="898">D590</f>
        <v>0</v>
      </c>
      <c r="E633" s="145" t="str">
        <f t="shared" si="898"/>
        <v>日曜</v>
      </c>
      <c r="F633" s="145">
        <f t="shared" si="898"/>
        <v>26</v>
      </c>
      <c r="G633" s="142">
        <f>PJ工種集計!AK1199</f>
        <v>0</v>
      </c>
    </row>
    <row r="634" spans="1:7">
      <c r="A634" s="66">
        <f t="shared" ref="A634:C634" si="899">A633</f>
        <v>15</v>
      </c>
      <c r="B634" s="66">
        <f t="shared" si="899"/>
        <v>0</v>
      </c>
      <c r="C634" s="66" t="str">
        <f t="shared" si="899"/>
        <v/>
      </c>
      <c r="D634" s="66" t="str">
        <f t="shared" ref="D634:F634" si="900">D591</f>
        <v>5週</v>
      </c>
      <c r="E634" s="145" t="str">
        <f t="shared" si="900"/>
        <v>月曜</v>
      </c>
      <c r="F634" s="145">
        <f t="shared" si="900"/>
        <v>27</v>
      </c>
      <c r="G634" s="142">
        <f>PJ工種集計!AL1199</f>
        <v>0</v>
      </c>
    </row>
    <row r="635" spans="1:7">
      <c r="A635" s="66">
        <f t="shared" ref="A635:C635" si="901">A634</f>
        <v>15</v>
      </c>
      <c r="B635" s="66">
        <f t="shared" si="901"/>
        <v>0</v>
      </c>
      <c r="C635" s="66" t="str">
        <f t="shared" si="901"/>
        <v/>
      </c>
      <c r="D635" s="66">
        <f t="shared" ref="D635:F635" si="902">D592</f>
        <v>0</v>
      </c>
      <c r="E635" s="145" t="str">
        <f t="shared" si="902"/>
        <v>火曜</v>
      </c>
      <c r="F635" s="145">
        <f t="shared" si="902"/>
        <v>28</v>
      </c>
      <c r="G635" s="142">
        <f>PJ工種集計!AM1199</f>
        <v>0</v>
      </c>
    </row>
    <row r="636" spans="1:7">
      <c r="A636" s="66">
        <f t="shared" ref="A636:C636" si="903">A635</f>
        <v>15</v>
      </c>
      <c r="B636" s="66">
        <f t="shared" si="903"/>
        <v>0</v>
      </c>
      <c r="C636" s="66" t="str">
        <f t="shared" si="903"/>
        <v/>
      </c>
      <c r="D636" s="66">
        <f t="shared" ref="D636:F636" si="904">D593</f>
        <v>0</v>
      </c>
      <c r="E636" s="145" t="str">
        <f t="shared" si="904"/>
        <v>水曜</v>
      </c>
      <c r="F636" s="145">
        <f t="shared" si="904"/>
        <v>29</v>
      </c>
      <c r="G636" s="142">
        <f>PJ工種集計!AN1199</f>
        <v>0</v>
      </c>
    </row>
    <row r="637" spans="1:7">
      <c r="A637" s="66">
        <f t="shared" ref="A637:C637" si="905">A636</f>
        <v>15</v>
      </c>
      <c r="B637" s="66">
        <f t="shared" si="905"/>
        <v>0</v>
      </c>
      <c r="C637" s="66" t="str">
        <f t="shared" si="905"/>
        <v/>
      </c>
      <c r="D637" s="66">
        <f t="shared" ref="D637:F637" si="906">D594</f>
        <v>0</v>
      </c>
      <c r="E637" s="145" t="str">
        <f t="shared" si="906"/>
        <v>木曜</v>
      </c>
      <c r="F637" s="145">
        <f t="shared" si="906"/>
        <v>30</v>
      </c>
      <c r="G637" s="142">
        <f>PJ工種集計!AO1199</f>
        <v>0</v>
      </c>
    </row>
    <row r="638" spans="1:7">
      <c r="A638" s="66">
        <f t="shared" ref="A638:C638" si="907">A637</f>
        <v>15</v>
      </c>
      <c r="B638" s="66">
        <f t="shared" si="907"/>
        <v>0</v>
      </c>
      <c r="C638" s="66" t="str">
        <f t="shared" si="907"/>
        <v/>
      </c>
      <c r="D638" s="66">
        <f t="shared" ref="D638:F638" si="908">D595</f>
        <v>0</v>
      </c>
      <c r="E638" s="145" t="str">
        <f t="shared" si="908"/>
        <v>金曜</v>
      </c>
      <c r="F638" s="145">
        <f t="shared" si="908"/>
        <v>31</v>
      </c>
      <c r="G638" s="142">
        <f>PJ工種集計!AP1199</f>
        <v>0</v>
      </c>
    </row>
    <row r="639" spans="1:7">
      <c r="A639" s="66">
        <f t="shared" ref="A639:C639" si="909">A638</f>
        <v>15</v>
      </c>
      <c r="B639" s="66">
        <f t="shared" si="909"/>
        <v>0</v>
      </c>
      <c r="C639" s="66" t="str">
        <f t="shared" si="909"/>
        <v/>
      </c>
      <c r="D639" s="66">
        <f t="shared" ref="D639:F639" si="910">D596</f>
        <v>0</v>
      </c>
      <c r="E639" s="145" t="str">
        <f t="shared" si="910"/>
        <v>土曜</v>
      </c>
      <c r="F639" s="145" t="str">
        <f t="shared" si="910"/>
        <v/>
      </c>
      <c r="G639" s="142">
        <f>PJ工種集計!AQ1199</f>
        <v>0</v>
      </c>
    </row>
    <row r="640" spans="1:7">
      <c r="A640" s="66">
        <f t="shared" ref="A640:C640" si="911">A639</f>
        <v>15</v>
      </c>
      <c r="B640" s="66">
        <f t="shared" si="911"/>
        <v>0</v>
      </c>
      <c r="C640" s="66" t="str">
        <f t="shared" si="911"/>
        <v/>
      </c>
      <c r="D640" s="66">
        <f t="shared" ref="D640:F640" si="912">D597</f>
        <v>0</v>
      </c>
      <c r="E640" s="145" t="str">
        <f t="shared" si="912"/>
        <v>日曜</v>
      </c>
      <c r="F640" s="145" t="str">
        <f t="shared" si="912"/>
        <v/>
      </c>
      <c r="G640" s="142">
        <f>PJ工種集計!AR1199</f>
        <v>0</v>
      </c>
    </row>
    <row r="641" spans="1:7">
      <c r="A641" s="66">
        <f t="shared" ref="A641:C641" si="913">A640</f>
        <v>15</v>
      </c>
      <c r="B641" s="66">
        <f t="shared" si="913"/>
        <v>0</v>
      </c>
      <c r="C641" s="66" t="str">
        <f t="shared" si="913"/>
        <v/>
      </c>
      <c r="D641" s="66" t="str">
        <f t="shared" ref="D641:F641" si="914">D598</f>
        <v>6週</v>
      </c>
      <c r="E641" s="145" t="str">
        <f t="shared" si="914"/>
        <v>月曜</v>
      </c>
      <c r="F641" s="145" t="str">
        <f t="shared" si="914"/>
        <v/>
      </c>
      <c r="G641" s="142">
        <f>PJ工種集計!AS1199</f>
        <v>0</v>
      </c>
    </row>
    <row r="642" spans="1:7">
      <c r="A642" s="66">
        <f t="shared" ref="A642:C642" si="915">A641</f>
        <v>15</v>
      </c>
      <c r="B642" s="66">
        <f t="shared" si="915"/>
        <v>0</v>
      </c>
      <c r="C642" s="66" t="str">
        <f t="shared" si="915"/>
        <v/>
      </c>
      <c r="D642" s="66">
        <f t="shared" ref="D642:F642" si="916">D599</f>
        <v>0</v>
      </c>
      <c r="E642" s="145" t="str">
        <f t="shared" si="916"/>
        <v>火曜</v>
      </c>
      <c r="F642" s="145" t="str">
        <f t="shared" si="916"/>
        <v/>
      </c>
      <c r="G642" s="142">
        <f>PJ工種集計!AT1199</f>
        <v>0</v>
      </c>
    </row>
    <row r="643" spans="1:7">
      <c r="A643" s="66">
        <f t="shared" ref="A643:C643" si="917">A642</f>
        <v>15</v>
      </c>
      <c r="B643" s="66">
        <f t="shared" si="917"/>
        <v>0</v>
      </c>
      <c r="C643" s="66" t="str">
        <f t="shared" si="917"/>
        <v/>
      </c>
      <c r="D643" s="66">
        <f t="shared" ref="D643:F643" si="918">D600</f>
        <v>0</v>
      </c>
      <c r="E643" s="145" t="str">
        <f t="shared" si="918"/>
        <v>水曜</v>
      </c>
      <c r="F643" s="145" t="str">
        <f t="shared" si="918"/>
        <v/>
      </c>
      <c r="G643" s="142">
        <f>PJ工種集計!AU1199</f>
        <v>0</v>
      </c>
    </row>
    <row r="644" spans="1:7">
      <c r="A644" s="66">
        <f t="shared" ref="A644:C644" si="919">A643</f>
        <v>15</v>
      </c>
      <c r="B644" s="66">
        <f t="shared" si="919"/>
        <v>0</v>
      </c>
      <c r="C644" s="66" t="str">
        <f t="shared" si="919"/>
        <v/>
      </c>
      <c r="D644" s="66">
        <f t="shared" ref="D644:F644" si="920">D601</f>
        <v>0</v>
      </c>
      <c r="E644" s="145" t="str">
        <f t="shared" si="920"/>
        <v>木曜</v>
      </c>
      <c r="F644" s="145" t="str">
        <f t="shared" si="920"/>
        <v/>
      </c>
      <c r="G644" s="142">
        <f>PJ工種集計!AV1199</f>
        <v>0</v>
      </c>
    </row>
    <row r="645" spans="1:7">
      <c r="A645" s="66">
        <f t="shared" ref="A645:C645" si="921">A644</f>
        <v>15</v>
      </c>
      <c r="B645" s="66">
        <f t="shared" si="921"/>
        <v>0</v>
      </c>
      <c r="C645" s="66" t="str">
        <f t="shared" si="921"/>
        <v/>
      </c>
      <c r="D645" s="66">
        <f t="shared" ref="D645:F645" si="922">D602</f>
        <v>0</v>
      </c>
      <c r="E645" s="145" t="str">
        <f t="shared" si="922"/>
        <v>金曜</v>
      </c>
      <c r="F645" s="145" t="str">
        <f t="shared" si="922"/>
        <v/>
      </c>
      <c r="G645" s="142">
        <f>PJ工種集計!AW1199</f>
        <v>0</v>
      </c>
    </row>
    <row r="646" spans="1:7">
      <c r="A646" s="66">
        <f t="shared" ref="A646:C646" si="923">A645</f>
        <v>15</v>
      </c>
      <c r="B646" s="66">
        <f t="shared" si="923"/>
        <v>0</v>
      </c>
      <c r="C646" s="66" t="str">
        <f t="shared" si="923"/>
        <v/>
      </c>
      <c r="D646" s="66">
        <f t="shared" ref="D646:F646" si="924">D603</f>
        <v>0</v>
      </c>
      <c r="E646" s="145" t="str">
        <f t="shared" si="924"/>
        <v>土曜</v>
      </c>
      <c r="F646" s="145" t="str">
        <f t="shared" si="924"/>
        <v/>
      </c>
      <c r="G646" s="142">
        <f>PJ工種集計!AX1199</f>
        <v>0</v>
      </c>
    </row>
    <row r="647" spans="1:7">
      <c r="A647" s="66">
        <f t="shared" ref="A647:C647" si="925">A646</f>
        <v>15</v>
      </c>
      <c r="B647" s="66">
        <f t="shared" si="925"/>
        <v>0</v>
      </c>
      <c r="C647" s="66" t="str">
        <f t="shared" si="925"/>
        <v/>
      </c>
      <c r="D647" s="66">
        <f t="shared" ref="D647:F647" si="926">D604</f>
        <v>0</v>
      </c>
      <c r="E647" s="145" t="str">
        <f t="shared" si="926"/>
        <v>日曜</v>
      </c>
      <c r="F647" s="145" t="str">
        <f t="shared" si="926"/>
        <v/>
      </c>
      <c r="G647" s="142">
        <f>PJ工種集計!AY1199</f>
        <v>0</v>
      </c>
    </row>
    <row r="649" spans="1:7">
      <c r="A649" s="66">
        <f>PJ工種集計!A1283</f>
        <v>16</v>
      </c>
      <c r="B649" s="66">
        <f>PJ工種集計!B1283</f>
        <v>0</v>
      </c>
      <c r="C649" s="66" t="str">
        <f>PJ工種集計!C1283</f>
        <v/>
      </c>
      <c r="D649" s="66" t="str">
        <f>D606</f>
        <v>１週</v>
      </c>
      <c r="E649" s="145" t="str">
        <f>E606</f>
        <v>月曜</v>
      </c>
      <c r="F649" s="145" t="str">
        <f>F606</f>
        <v/>
      </c>
      <c r="G649" s="142">
        <f>PJ工種集計!J1284</f>
        <v>0</v>
      </c>
    </row>
    <row r="650" spans="1:7">
      <c r="A650" s="66">
        <f t="shared" ref="A650:C650" si="927">A649</f>
        <v>16</v>
      </c>
      <c r="B650" s="66">
        <f t="shared" si="927"/>
        <v>0</v>
      </c>
      <c r="C650" s="66" t="str">
        <f t="shared" si="927"/>
        <v/>
      </c>
      <c r="D650" s="66">
        <f t="shared" ref="D650:F650" si="928">D607</f>
        <v>0</v>
      </c>
      <c r="E650" s="145" t="str">
        <f t="shared" si="928"/>
        <v>火曜</v>
      </c>
      <c r="F650" s="145" t="str">
        <f t="shared" si="928"/>
        <v/>
      </c>
      <c r="G650" s="142">
        <f>PJ工種集計!K1284</f>
        <v>0</v>
      </c>
    </row>
    <row r="651" spans="1:7">
      <c r="A651" s="66">
        <f t="shared" ref="A651:C651" si="929">A650</f>
        <v>16</v>
      </c>
      <c r="B651" s="66">
        <f t="shared" si="929"/>
        <v>0</v>
      </c>
      <c r="C651" s="66" t="str">
        <f t="shared" si="929"/>
        <v/>
      </c>
      <c r="D651" s="66">
        <f t="shared" ref="D651:F651" si="930">D608</f>
        <v>0</v>
      </c>
      <c r="E651" s="145" t="str">
        <f t="shared" si="930"/>
        <v>水曜</v>
      </c>
      <c r="F651" s="145">
        <f t="shared" si="930"/>
        <v>1</v>
      </c>
      <c r="G651" s="142">
        <f>PJ工種集計!L1284</f>
        <v>0</v>
      </c>
    </row>
    <row r="652" spans="1:7">
      <c r="A652" s="66">
        <f t="shared" ref="A652:C652" si="931">A651</f>
        <v>16</v>
      </c>
      <c r="B652" s="66">
        <f t="shared" si="931"/>
        <v>0</v>
      </c>
      <c r="C652" s="66" t="str">
        <f t="shared" si="931"/>
        <v/>
      </c>
      <c r="D652" s="66">
        <f t="shared" ref="D652:F652" si="932">D609</f>
        <v>0</v>
      </c>
      <c r="E652" s="145" t="str">
        <f t="shared" si="932"/>
        <v>木曜</v>
      </c>
      <c r="F652" s="145">
        <f t="shared" si="932"/>
        <v>2</v>
      </c>
      <c r="G652" s="142">
        <f>PJ工種集計!M1284</f>
        <v>0</v>
      </c>
    </row>
    <row r="653" spans="1:7">
      <c r="A653" s="66">
        <f t="shared" ref="A653:C653" si="933">A652</f>
        <v>16</v>
      </c>
      <c r="B653" s="66">
        <f t="shared" si="933"/>
        <v>0</v>
      </c>
      <c r="C653" s="66" t="str">
        <f t="shared" si="933"/>
        <v/>
      </c>
      <c r="D653" s="66">
        <f t="shared" ref="D653:F653" si="934">D610</f>
        <v>0</v>
      </c>
      <c r="E653" s="145" t="str">
        <f t="shared" si="934"/>
        <v>金曜</v>
      </c>
      <c r="F653" s="145">
        <f t="shared" si="934"/>
        <v>3</v>
      </c>
      <c r="G653" s="142">
        <f>PJ工種集計!N1284</f>
        <v>0</v>
      </c>
    </row>
    <row r="654" spans="1:7">
      <c r="A654" s="66">
        <f t="shared" ref="A654:C654" si="935">A653</f>
        <v>16</v>
      </c>
      <c r="B654" s="66">
        <f t="shared" si="935"/>
        <v>0</v>
      </c>
      <c r="C654" s="66" t="str">
        <f t="shared" si="935"/>
        <v/>
      </c>
      <c r="D654" s="66">
        <f t="shared" ref="D654:F654" si="936">D611</f>
        <v>0</v>
      </c>
      <c r="E654" s="145" t="str">
        <f t="shared" si="936"/>
        <v>土曜</v>
      </c>
      <c r="F654" s="145">
        <f t="shared" si="936"/>
        <v>4</v>
      </c>
      <c r="G654" s="142">
        <f>PJ工種集計!O1284</f>
        <v>0</v>
      </c>
    </row>
    <row r="655" spans="1:7">
      <c r="A655" s="66">
        <f t="shared" ref="A655:C655" si="937">A654</f>
        <v>16</v>
      </c>
      <c r="B655" s="66">
        <f t="shared" si="937"/>
        <v>0</v>
      </c>
      <c r="C655" s="66" t="str">
        <f t="shared" si="937"/>
        <v/>
      </c>
      <c r="D655" s="66">
        <f t="shared" ref="D655:F655" si="938">D612</f>
        <v>0</v>
      </c>
      <c r="E655" s="145" t="str">
        <f t="shared" si="938"/>
        <v>日曜</v>
      </c>
      <c r="F655" s="145">
        <f t="shared" si="938"/>
        <v>5</v>
      </c>
      <c r="G655" s="142">
        <f>PJ工種集計!P1284</f>
        <v>0</v>
      </c>
    </row>
    <row r="656" spans="1:7">
      <c r="A656" s="66">
        <f t="shared" ref="A656:C656" si="939">A655</f>
        <v>16</v>
      </c>
      <c r="B656" s="66">
        <f t="shared" si="939"/>
        <v>0</v>
      </c>
      <c r="C656" s="66" t="str">
        <f t="shared" si="939"/>
        <v/>
      </c>
      <c r="D656" s="66" t="str">
        <f t="shared" ref="D656:F656" si="940">D613</f>
        <v>2週</v>
      </c>
      <c r="E656" s="145" t="str">
        <f t="shared" si="940"/>
        <v>月曜</v>
      </c>
      <c r="F656" s="145">
        <f t="shared" si="940"/>
        <v>6</v>
      </c>
      <c r="G656" s="142">
        <f>PJ工種集計!Q1284</f>
        <v>0</v>
      </c>
    </row>
    <row r="657" spans="1:7">
      <c r="A657" s="66">
        <f t="shared" ref="A657:C657" si="941">A656</f>
        <v>16</v>
      </c>
      <c r="B657" s="66">
        <f t="shared" si="941"/>
        <v>0</v>
      </c>
      <c r="C657" s="66" t="str">
        <f t="shared" si="941"/>
        <v/>
      </c>
      <c r="D657" s="66">
        <f t="shared" ref="D657:F657" si="942">D614</f>
        <v>0</v>
      </c>
      <c r="E657" s="145" t="str">
        <f t="shared" si="942"/>
        <v>火曜</v>
      </c>
      <c r="F657" s="145">
        <f t="shared" si="942"/>
        <v>7</v>
      </c>
      <c r="G657" s="142">
        <f>PJ工種集計!R1284</f>
        <v>0</v>
      </c>
    </row>
    <row r="658" spans="1:7">
      <c r="A658" s="66">
        <f t="shared" ref="A658:C658" si="943">A657</f>
        <v>16</v>
      </c>
      <c r="B658" s="66">
        <f t="shared" si="943"/>
        <v>0</v>
      </c>
      <c r="C658" s="66" t="str">
        <f t="shared" si="943"/>
        <v/>
      </c>
      <c r="D658" s="66">
        <f t="shared" ref="D658:F658" si="944">D615</f>
        <v>0</v>
      </c>
      <c r="E658" s="145" t="str">
        <f t="shared" si="944"/>
        <v>水曜</v>
      </c>
      <c r="F658" s="145">
        <f t="shared" si="944"/>
        <v>8</v>
      </c>
      <c r="G658" s="142">
        <f>PJ工種集計!S1284</f>
        <v>0</v>
      </c>
    </row>
    <row r="659" spans="1:7">
      <c r="A659" s="66">
        <f t="shared" ref="A659:C659" si="945">A658</f>
        <v>16</v>
      </c>
      <c r="B659" s="66">
        <f t="shared" si="945"/>
        <v>0</v>
      </c>
      <c r="C659" s="66" t="str">
        <f t="shared" si="945"/>
        <v/>
      </c>
      <c r="D659" s="66">
        <f t="shared" ref="D659:F659" si="946">D616</f>
        <v>0</v>
      </c>
      <c r="E659" s="145" t="str">
        <f t="shared" si="946"/>
        <v>木曜</v>
      </c>
      <c r="F659" s="145">
        <f t="shared" si="946"/>
        <v>9</v>
      </c>
      <c r="G659" s="142">
        <f>PJ工種集計!T1284</f>
        <v>0</v>
      </c>
    </row>
    <row r="660" spans="1:7">
      <c r="A660" s="66">
        <f t="shared" ref="A660:C660" si="947">A659</f>
        <v>16</v>
      </c>
      <c r="B660" s="66">
        <f t="shared" si="947"/>
        <v>0</v>
      </c>
      <c r="C660" s="66" t="str">
        <f t="shared" si="947"/>
        <v/>
      </c>
      <c r="D660" s="66">
        <f t="shared" ref="D660:F660" si="948">D617</f>
        <v>0</v>
      </c>
      <c r="E660" s="145" t="str">
        <f t="shared" si="948"/>
        <v>金曜</v>
      </c>
      <c r="F660" s="145">
        <f t="shared" si="948"/>
        <v>10</v>
      </c>
      <c r="G660" s="142">
        <f>PJ工種集計!U1284</f>
        <v>0</v>
      </c>
    </row>
    <row r="661" spans="1:7">
      <c r="A661" s="66">
        <f t="shared" ref="A661:C661" si="949">A660</f>
        <v>16</v>
      </c>
      <c r="B661" s="66">
        <f t="shared" si="949"/>
        <v>0</v>
      </c>
      <c r="C661" s="66" t="str">
        <f t="shared" si="949"/>
        <v/>
      </c>
      <c r="D661" s="66">
        <f t="shared" ref="D661:F661" si="950">D618</f>
        <v>0</v>
      </c>
      <c r="E661" s="145" t="str">
        <f t="shared" si="950"/>
        <v>土曜</v>
      </c>
      <c r="F661" s="145">
        <f t="shared" si="950"/>
        <v>11</v>
      </c>
      <c r="G661" s="142">
        <f>PJ工種集計!V1284</f>
        <v>0</v>
      </c>
    </row>
    <row r="662" spans="1:7">
      <c r="A662" s="66">
        <f t="shared" ref="A662:C662" si="951">A661</f>
        <v>16</v>
      </c>
      <c r="B662" s="66">
        <f t="shared" si="951"/>
        <v>0</v>
      </c>
      <c r="C662" s="66" t="str">
        <f t="shared" si="951"/>
        <v/>
      </c>
      <c r="D662" s="66">
        <f t="shared" ref="D662:F662" si="952">D619</f>
        <v>0</v>
      </c>
      <c r="E662" s="145" t="str">
        <f t="shared" si="952"/>
        <v>日曜</v>
      </c>
      <c r="F662" s="145">
        <f t="shared" si="952"/>
        <v>12</v>
      </c>
      <c r="G662" s="142">
        <f>PJ工種集計!W1284</f>
        <v>0</v>
      </c>
    </row>
    <row r="663" spans="1:7">
      <c r="A663" s="66">
        <f t="shared" ref="A663:C663" si="953">A662</f>
        <v>16</v>
      </c>
      <c r="B663" s="66">
        <f t="shared" si="953"/>
        <v>0</v>
      </c>
      <c r="C663" s="66" t="str">
        <f t="shared" si="953"/>
        <v/>
      </c>
      <c r="D663" s="66" t="str">
        <f t="shared" ref="D663:F663" si="954">D620</f>
        <v>3週</v>
      </c>
      <c r="E663" s="145" t="str">
        <f t="shared" si="954"/>
        <v>月曜</v>
      </c>
      <c r="F663" s="145">
        <f t="shared" si="954"/>
        <v>13</v>
      </c>
      <c r="G663" s="142">
        <f>PJ工種集計!X1284</f>
        <v>0</v>
      </c>
    </row>
    <row r="664" spans="1:7">
      <c r="A664" s="66">
        <f t="shared" ref="A664:C664" si="955">A663</f>
        <v>16</v>
      </c>
      <c r="B664" s="66">
        <f t="shared" si="955"/>
        <v>0</v>
      </c>
      <c r="C664" s="66" t="str">
        <f t="shared" si="955"/>
        <v/>
      </c>
      <c r="D664" s="66">
        <f t="shared" ref="D664:F664" si="956">D621</f>
        <v>0</v>
      </c>
      <c r="E664" s="145" t="str">
        <f t="shared" si="956"/>
        <v>火曜</v>
      </c>
      <c r="F664" s="145">
        <f t="shared" si="956"/>
        <v>14</v>
      </c>
      <c r="G664" s="142">
        <f>PJ工種集計!Y1284</f>
        <v>0</v>
      </c>
    </row>
    <row r="665" spans="1:7">
      <c r="A665" s="66">
        <f t="shared" ref="A665:C665" si="957">A664</f>
        <v>16</v>
      </c>
      <c r="B665" s="66">
        <f t="shared" si="957"/>
        <v>0</v>
      </c>
      <c r="C665" s="66" t="str">
        <f t="shared" si="957"/>
        <v/>
      </c>
      <c r="D665" s="66">
        <f t="shared" ref="D665:F665" si="958">D622</f>
        <v>0</v>
      </c>
      <c r="E665" s="145" t="str">
        <f t="shared" si="958"/>
        <v>水曜</v>
      </c>
      <c r="F665" s="145">
        <f t="shared" si="958"/>
        <v>15</v>
      </c>
      <c r="G665" s="142">
        <f>PJ工種集計!Z1284</f>
        <v>0</v>
      </c>
    </row>
    <row r="666" spans="1:7">
      <c r="A666" s="66">
        <f t="shared" ref="A666:C666" si="959">A665</f>
        <v>16</v>
      </c>
      <c r="B666" s="66">
        <f t="shared" si="959"/>
        <v>0</v>
      </c>
      <c r="C666" s="66" t="str">
        <f t="shared" si="959"/>
        <v/>
      </c>
      <c r="D666" s="66">
        <f t="shared" ref="D666:F666" si="960">D623</f>
        <v>0</v>
      </c>
      <c r="E666" s="145" t="str">
        <f t="shared" si="960"/>
        <v>木曜</v>
      </c>
      <c r="F666" s="145">
        <f t="shared" si="960"/>
        <v>16</v>
      </c>
      <c r="G666" s="142">
        <f>PJ工種集計!AA1284</f>
        <v>0</v>
      </c>
    </row>
    <row r="667" spans="1:7">
      <c r="A667" s="66">
        <f t="shared" ref="A667:C667" si="961">A666</f>
        <v>16</v>
      </c>
      <c r="B667" s="66">
        <f t="shared" si="961"/>
        <v>0</v>
      </c>
      <c r="C667" s="66" t="str">
        <f t="shared" si="961"/>
        <v/>
      </c>
      <c r="D667" s="66">
        <f t="shared" ref="D667:F667" si="962">D624</f>
        <v>0</v>
      </c>
      <c r="E667" s="145" t="str">
        <f t="shared" si="962"/>
        <v>金曜</v>
      </c>
      <c r="F667" s="145">
        <f t="shared" si="962"/>
        <v>17</v>
      </c>
      <c r="G667" s="142">
        <f>PJ工種集計!AB1284</f>
        <v>0</v>
      </c>
    </row>
    <row r="668" spans="1:7">
      <c r="A668" s="66">
        <f t="shared" ref="A668:C668" si="963">A667</f>
        <v>16</v>
      </c>
      <c r="B668" s="66">
        <f t="shared" si="963"/>
        <v>0</v>
      </c>
      <c r="C668" s="66" t="str">
        <f t="shared" si="963"/>
        <v/>
      </c>
      <c r="D668" s="66">
        <f t="shared" ref="D668:F668" si="964">D625</f>
        <v>0</v>
      </c>
      <c r="E668" s="145" t="str">
        <f t="shared" si="964"/>
        <v>土曜</v>
      </c>
      <c r="F668" s="145">
        <f t="shared" si="964"/>
        <v>18</v>
      </c>
      <c r="G668" s="142">
        <f>PJ工種集計!AC1284</f>
        <v>0</v>
      </c>
    </row>
    <row r="669" spans="1:7">
      <c r="A669" s="66">
        <f t="shared" ref="A669:C669" si="965">A668</f>
        <v>16</v>
      </c>
      <c r="B669" s="66">
        <f t="shared" si="965"/>
        <v>0</v>
      </c>
      <c r="C669" s="66" t="str">
        <f t="shared" si="965"/>
        <v/>
      </c>
      <c r="D669" s="66">
        <f t="shared" ref="D669:F669" si="966">D626</f>
        <v>0</v>
      </c>
      <c r="E669" s="145" t="str">
        <f t="shared" si="966"/>
        <v>日曜</v>
      </c>
      <c r="F669" s="145">
        <f t="shared" si="966"/>
        <v>19</v>
      </c>
      <c r="G669" s="142">
        <f>PJ工種集計!AD1284</f>
        <v>0</v>
      </c>
    </row>
    <row r="670" spans="1:7">
      <c r="A670" s="66">
        <f t="shared" ref="A670:C670" si="967">A669</f>
        <v>16</v>
      </c>
      <c r="B670" s="66">
        <f t="shared" si="967"/>
        <v>0</v>
      </c>
      <c r="C670" s="66" t="str">
        <f t="shared" si="967"/>
        <v/>
      </c>
      <c r="D670" s="66" t="str">
        <f t="shared" ref="D670:F670" si="968">D627</f>
        <v>4週</v>
      </c>
      <c r="E670" s="145" t="str">
        <f t="shared" si="968"/>
        <v>月曜</v>
      </c>
      <c r="F670" s="145">
        <f t="shared" si="968"/>
        <v>20</v>
      </c>
      <c r="G670" s="142">
        <f>PJ工種集計!AE1284</f>
        <v>0</v>
      </c>
    </row>
    <row r="671" spans="1:7">
      <c r="A671" s="66">
        <f t="shared" ref="A671:C671" si="969">A670</f>
        <v>16</v>
      </c>
      <c r="B671" s="66">
        <f t="shared" si="969"/>
        <v>0</v>
      </c>
      <c r="C671" s="66" t="str">
        <f t="shared" si="969"/>
        <v/>
      </c>
      <c r="D671" s="66">
        <f t="shared" ref="D671:F671" si="970">D628</f>
        <v>0</v>
      </c>
      <c r="E671" s="145" t="str">
        <f t="shared" si="970"/>
        <v>火曜</v>
      </c>
      <c r="F671" s="145">
        <f t="shared" si="970"/>
        <v>21</v>
      </c>
      <c r="G671" s="142">
        <f>PJ工種集計!AF1284</f>
        <v>0</v>
      </c>
    </row>
    <row r="672" spans="1:7">
      <c r="A672" s="66">
        <f t="shared" ref="A672:C672" si="971">A671</f>
        <v>16</v>
      </c>
      <c r="B672" s="66">
        <f t="shared" si="971"/>
        <v>0</v>
      </c>
      <c r="C672" s="66" t="str">
        <f t="shared" si="971"/>
        <v/>
      </c>
      <c r="D672" s="66">
        <f t="shared" ref="D672:F672" si="972">D629</f>
        <v>0</v>
      </c>
      <c r="E672" s="145" t="str">
        <f t="shared" si="972"/>
        <v>水曜</v>
      </c>
      <c r="F672" s="145">
        <f t="shared" si="972"/>
        <v>22</v>
      </c>
      <c r="G672" s="142">
        <f>PJ工種集計!AG1284</f>
        <v>0</v>
      </c>
    </row>
    <row r="673" spans="1:7">
      <c r="A673" s="66">
        <f t="shared" ref="A673:C673" si="973">A672</f>
        <v>16</v>
      </c>
      <c r="B673" s="66">
        <f t="shared" si="973"/>
        <v>0</v>
      </c>
      <c r="C673" s="66" t="str">
        <f t="shared" si="973"/>
        <v/>
      </c>
      <c r="D673" s="66">
        <f t="shared" ref="D673:F673" si="974">D630</f>
        <v>0</v>
      </c>
      <c r="E673" s="145" t="str">
        <f t="shared" si="974"/>
        <v>木曜</v>
      </c>
      <c r="F673" s="145">
        <f t="shared" si="974"/>
        <v>23</v>
      </c>
      <c r="G673" s="142">
        <f>PJ工種集計!AH1284</f>
        <v>0</v>
      </c>
    </row>
    <row r="674" spans="1:7">
      <c r="A674" s="66">
        <f t="shared" ref="A674:C674" si="975">A673</f>
        <v>16</v>
      </c>
      <c r="B674" s="66">
        <f t="shared" si="975"/>
        <v>0</v>
      </c>
      <c r="C674" s="66" t="str">
        <f t="shared" si="975"/>
        <v/>
      </c>
      <c r="D674" s="66">
        <f t="shared" ref="D674:F674" si="976">D631</f>
        <v>0</v>
      </c>
      <c r="E674" s="145" t="str">
        <f t="shared" si="976"/>
        <v>金曜</v>
      </c>
      <c r="F674" s="145">
        <f t="shared" si="976"/>
        <v>24</v>
      </c>
      <c r="G674" s="142">
        <f>PJ工種集計!AI1284</f>
        <v>0</v>
      </c>
    </row>
    <row r="675" spans="1:7">
      <c r="A675" s="66">
        <f t="shared" ref="A675:C675" si="977">A674</f>
        <v>16</v>
      </c>
      <c r="B675" s="66">
        <f t="shared" si="977"/>
        <v>0</v>
      </c>
      <c r="C675" s="66" t="str">
        <f t="shared" si="977"/>
        <v/>
      </c>
      <c r="D675" s="66">
        <f t="shared" ref="D675:F675" si="978">D632</f>
        <v>0</v>
      </c>
      <c r="E675" s="145" t="str">
        <f t="shared" si="978"/>
        <v>土曜</v>
      </c>
      <c r="F675" s="145">
        <f t="shared" si="978"/>
        <v>25</v>
      </c>
      <c r="G675" s="142">
        <f>PJ工種集計!AJ1284</f>
        <v>0</v>
      </c>
    </row>
    <row r="676" spans="1:7">
      <c r="A676" s="66">
        <f t="shared" ref="A676:C676" si="979">A675</f>
        <v>16</v>
      </c>
      <c r="B676" s="66">
        <f t="shared" si="979"/>
        <v>0</v>
      </c>
      <c r="C676" s="66" t="str">
        <f t="shared" si="979"/>
        <v/>
      </c>
      <c r="D676" s="66">
        <f t="shared" ref="D676:F676" si="980">D633</f>
        <v>0</v>
      </c>
      <c r="E676" s="145" t="str">
        <f t="shared" si="980"/>
        <v>日曜</v>
      </c>
      <c r="F676" s="145">
        <f t="shared" si="980"/>
        <v>26</v>
      </c>
      <c r="G676" s="142">
        <f>PJ工種集計!AK1284</f>
        <v>0</v>
      </c>
    </row>
    <row r="677" spans="1:7">
      <c r="A677" s="66">
        <f t="shared" ref="A677:C677" si="981">A676</f>
        <v>16</v>
      </c>
      <c r="B677" s="66">
        <f t="shared" si="981"/>
        <v>0</v>
      </c>
      <c r="C677" s="66" t="str">
        <f t="shared" si="981"/>
        <v/>
      </c>
      <c r="D677" s="66" t="str">
        <f t="shared" ref="D677:F677" si="982">D634</f>
        <v>5週</v>
      </c>
      <c r="E677" s="145" t="str">
        <f t="shared" si="982"/>
        <v>月曜</v>
      </c>
      <c r="F677" s="145">
        <f t="shared" si="982"/>
        <v>27</v>
      </c>
      <c r="G677" s="142">
        <f>PJ工種集計!AL1284</f>
        <v>0</v>
      </c>
    </row>
    <row r="678" spans="1:7">
      <c r="A678" s="66">
        <f t="shared" ref="A678:C678" si="983">A677</f>
        <v>16</v>
      </c>
      <c r="B678" s="66">
        <f t="shared" si="983"/>
        <v>0</v>
      </c>
      <c r="C678" s="66" t="str">
        <f t="shared" si="983"/>
        <v/>
      </c>
      <c r="D678" s="66">
        <f t="shared" ref="D678:F678" si="984">D635</f>
        <v>0</v>
      </c>
      <c r="E678" s="145" t="str">
        <f t="shared" si="984"/>
        <v>火曜</v>
      </c>
      <c r="F678" s="145">
        <f t="shared" si="984"/>
        <v>28</v>
      </c>
      <c r="G678" s="142">
        <f>PJ工種集計!AM1284</f>
        <v>0</v>
      </c>
    </row>
    <row r="679" spans="1:7">
      <c r="A679" s="66">
        <f t="shared" ref="A679:C679" si="985">A678</f>
        <v>16</v>
      </c>
      <c r="B679" s="66">
        <f t="shared" si="985"/>
        <v>0</v>
      </c>
      <c r="C679" s="66" t="str">
        <f t="shared" si="985"/>
        <v/>
      </c>
      <c r="D679" s="66">
        <f t="shared" ref="D679:F679" si="986">D636</f>
        <v>0</v>
      </c>
      <c r="E679" s="145" t="str">
        <f t="shared" si="986"/>
        <v>水曜</v>
      </c>
      <c r="F679" s="145">
        <f t="shared" si="986"/>
        <v>29</v>
      </c>
      <c r="G679" s="142">
        <f>PJ工種集計!AN1284</f>
        <v>0</v>
      </c>
    </row>
    <row r="680" spans="1:7">
      <c r="A680" s="66">
        <f t="shared" ref="A680:C680" si="987">A679</f>
        <v>16</v>
      </c>
      <c r="B680" s="66">
        <f t="shared" si="987"/>
        <v>0</v>
      </c>
      <c r="C680" s="66" t="str">
        <f t="shared" si="987"/>
        <v/>
      </c>
      <c r="D680" s="66">
        <f t="shared" ref="D680:F680" si="988">D637</f>
        <v>0</v>
      </c>
      <c r="E680" s="145" t="str">
        <f t="shared" si="988"/>
        <v>木曜</v>
      </c>
      <c r="F680" s="145">
        <f t="shared" si="988"/>
        <v>30</v>
      </c>
      <c r="G680" s="142">
        <f>PJ工種集計!AO1284</f>
        <v>0</v>
      </c>
    </row>
    <row r="681" spans="1:7">
      <c r="A681" s="66">
        <f t="shared" ref="A681:C681" si="989">A680</f>
        <v>16</v>
      </c>
      <c r="B681" s="66">
        <f t="shared" si="989"/>
        <v>0</v>
      </c>
      <c r="C681" s="66" t="str">
        <f t="shared" si="989"/>
        <v/>
      </c>
      <c r="D681" s="66">
        <f t="shared" ref="D681:F681" si="990">D638</f>
        <v>0</v>
      </c>
      <c r="E681" s="145" t="str">
        <f t="shared" si="990"/>
        <v>金曜</v>
      </c>
      <c r="F681" s="145">
        <f t="shared" si="990"/>
        <v>31</v>
      </c>
      <c r="G681" s="142">
        <f>PJ工種集計!AP1284</f>
        <v>0</v>
      </c>
    </row>
    <row r="682" spans="1:7">
      <c r="A682" s="66">
        <f t="shared" ref="A682:C682" si="991">A681</f>
        <v>16</v>
      </c>
      <c r="B682" s="66">
        <f t="shared" si="991"/>
        <v>0</v>
      </c>
      <c r="C682" s="66" t="str">
        <f t="shared" si="991"/>
        <v/>
      </c>
      <c r="D682" s="66">
        <f t="shared" ref="D682:F682" si="992">D639</f>
        <v>0</v>
      </c>
      <c r="E682" s="145" t="str">
        <f t="shared" si="992"/>
        <v>土曜</v>
      </c>
      <c r="F682" s="145" t="str">
        <f t="shared" si="992"/>
        <v/>
      </c>
      <c r="G682" s="142">
        <f>PJ工種集計!AQ1284</f>
        <v>0</v>
      </c>
    </row>
    <row r="683" spans="1:7">
      <c r="A683" s="66">
        <f t="shared" ref="A683:C683" si="993">A682</f>
        <v>16</v>
      </c>
      <c r="B683" s="66">
        <f t="shared" si="993"/>
        <v>0</v>
      </c>
      <c r="C683" s="66" t="str">
        <f t="shared" si="993"/>
        <v/>
      </c>
      <c r="D683" s="66">
        <f t="shared" ref="D683:F683" si="994">D640</f>
        <v>0</v>
      </c>
      <c r="E683" s="145" t="str">
        <f t="shared" si="994"/>
        <v>日曜</v>
      </c>
      <c r="F683" s="145" t="str">
        <f t="shared" si="994"/>
        <v/>
      </c>
      <c r="G683" s="142">
        <f>PJ工種集計!AR1284</f>
        <v>0</v>
      </c>
    </row>
    <row r="684" spans="1:7">
      <c r="A684" s="66">
        <f t="shared" ref="A684:C684" si="995">A683</f>
        <v>16</v>
      </c>
      <c r="B684" s="66">
        <f t="shared" si="995"/>
        <v>0</v>
      </c>
      <c r="C684" s="66" t="str">
        <f t="shared" si="995"/>
        <v/>
      </c>
      <c r="D684" s="66" t="str">
        <f t="shared" ref="D684:F684" si="996">D641</f>
        <v>6週</v>
      </c>
      <c r="E684" s="145" t="str">
        <f t="shared" si="996"/>
        <v>月曜</v>
      </c>
      <c r="F684" s="145" t="str">
        <f t="shared" si="996"/>
        <v/>
      </c>
      <c r="G684" s="142">
        <f>PJ工種集計!AS1284</f>
        <v>0</v>
      </c>
    </row>
    <row r="685" spans="1:7">
      <c r="A685" s="66">
        <f t="shared" ref="A685:C685" si="997">A684</f>
        <v>16</v>
      </c>
      <c r="B685" s="66">
        <f t="shared" si="997"/>
        <v>0</v>
      </c>
      <c r="C685" s="66" t="str">
        <f t="shared" si="997"/>
        <v/>
      </c>
      <c r="D685" s="66">
        <f t="shared" ref="D685:F685" si="998">D642</f>
        <v>0</v>
      </c>
      <c r="E685" s="145" t="str">
        <f t="shared" si="998"/>
        <v>火曜</v>
      </c>
      <c r="F685" s="145" t="str">
        <f t="shared" si="998"/>
        <v/>
      </c>
      <c r="G685" s="142">
        <f>PJ工種集計!AT1284</f>
        <v>0</v>
      </c>
    </row>
    <row r="686" spans="1:7">
      <c r="A686" s="66">
        <f t="shared" ref="A686:C686" si="999">A685</f>
        <v>16</v>
      </c>
      <c r="B686" s="66">
        <f t="shared" si="999"/>
        <v>0</v>
      </c>
      <c r="C686" s="66" t="str">
        <f t="shared" si="999"/>
        <v/>
      </c>
      <c r="D686" s="66">
        <f t="shared" ref="D686:F686" si="1000">D643</f>
        <v>0</v>
      </c>
      <c r="E686" s="145" t="str">
        <f t="shared" si="1000"/>
        <v>水曜</v>
      </c>
      <c r="F686" s="145" t="str">
        <f t="shared" si="1000"/>
        <v/>
      </c>
      <c r="G686" s="142">
        <f>PJ工種集計!AU1284</f>
        <v>0</v>
      </c>
    </row>
    <row r="687" spans="1:7">
      <c r="A687" s="66">
        <f t="shared" ref="A687:C687" si="1001">A686</f>
        <v>16</v>
      </c>
      <c r="B687" s="66">
        <f t="shared" si="1001"/>
        <v>0</v>
      </c>
      <c r="C687" s="66" t="str">
        <f t="shared" si="1001"/>
        <v/>
      </c>
      <c r="D687" s="66">
        <f t="shared" ref="D687:F687" si="1002">D644</f>
        <v>0</v>
      </c>
      <c r="E687" s="145" t="str">
        <f t="shared" si="1002"/>
        <v>木曜</v>
      </c>
      <c r="F687" s="145" t="str">
        <f t="shared" si="1002"/>
        <v/>
      </c>
      <c r="G687" s="142">
        <f>PJ工種集計!AV1284</f>
        <v>0</v>
      </c>
    </row>
    <row r="688" spans="1:7">
      <c r="A688" s="66">
        <f t="shared" ref="A688:C688" si="1003">A687</f>
        <v>16</v>
      </c>
      <c r="B688" s="66">
        <f t="shared" si="1003"/>
        <v>0</v>
      </c>
      <c r="C688" s="66" t="str">
        <f t="shared" si="1003"/>
        <v/>
      </c>
      <c r="D688" s="66">
        <f t="shared" ref="D688:F688" si="1004">D645</f>
        <v>0</v>
      </c>
      <c r="E688" s="145" t="str">
        <f t="shared" si="1004"/>
        <v>金曜</v>
      </c>
      <c r="F688" s="145" t="str">
        <f t="shared" si="1004"/>
        <v/>
      </c>
      <c r="G688" s="142">
        <f>PJ工種集計!AW1284</f>
        <v>0</v>
      </c>
    </row>
    <row r="689" spans="1:7">
      <c r="A689" s="66">
        <f t="shared" ref="A689:C689" si="1005">A688</f>
        <v>16</v>
      </c>
      <c r="B689" s="66">
        <f t="shared" si="1005"/>
        <v>0</v>
      </c>
      <c r="C689" s="66" t="str">
        <f t="shared" si="1005"/>
        <v/>
      </c>
      <c r="D689" s="66">
        <f t="shared" ref="D689:F689" si="1006">D646</f>
        <v>0</v>
      </c>
      <c r="E689" s="145" t="str">
        <f t="shared" si="1006"/>
        <v>土曜</v>
      </c>
      <c r="F689" s="145" t="str">
        <f t="shared" si="1006"/>
        <v/>
      </c>
      <c r="G689" s="142">
        <f>PJ工種集計!AX1284</f>
        <v>0</v>
      </c>
    </row>
    <row r="690" spans="1:7">
      <c r="A690" s="66">
        <f t="shared" ref="A690:C690" si="1007">A689</f>
        <v>16</v>
      </c>
      <c r="B690" s="66">
        <f t="shared" si="1007"/>
        <v>0</v>
      </c>
      <c r="C690" s="66" t="str">
        <f t="shared" si="1007"/>
        <v/>
      </c>
      <c r="D690" s="66">
        <f t="shared" ref="D690:F690" si="1008">D647</f>
        <v>0</v>
      </c>
      <c r="E690" s="145" t="str">
        <f t="shared" si="1008"/>
        <v>日曜</v>
      </c>
      <c r="F690" s="145" t="str">
        <f t="shared" si="1008"/>
        <v/>
      </c>
      <c r="G690" s="142">
        <f>PJ工種集計!AY1284</f>
        <v>0</v>
      </c>
    </row>
    <row r="692" spans="1:7">
      <c r="A692" s="66">
        <f>PJ工種集計!A1368</f>
        <v>17</v>
      </c>
      <c r="B692" s="66">
        <f>PJ工種集計!B1368</f>
        <v>0</v>
      </c>
      <c r="C692" s="66" t="str">
        <f>PJ工種集計!C1368</f>
        <v/>
      </c>
      <c r="D692" s="66" t="str">
        <f>D649</f>
        <v>１週</v>
      </c>
      <c r="E692" s="145" t="str">
        <f>E649</f>
        <v>月曜</v>
      </c>
      <c r="F692" s="145" t="str">
        <f>F649</f>
        <v/>
      </c>
      <c r="G692" s="142">
        <f>PJ工種集計!J1369</f>
        <v>0</v>
      </c>
    </row>
    <row r="693" spans="1:7">
      <c r="A693" s="66">
        <f t="shared" ref="A693:C693" si="1009">A692</f>
        <v>17</v>
      </c>
      <c r="B693" s="66">
        <f t="shared" si="1009"/>
        <v>0</v>
      </c>
      <c r="C693" s="66" t="str">
        <f t="shared" si="1009"/>
        <v/>
      </c>
      <c r="D693" s="66">
        <f t="shared" ref="D693:F693" si="1010">D650</f>
        <v>0</v>
      </c>
      <c r="E693" s="145" t="str">
        <f t="shared" si="1010"/>
        <v>火曜</v>
      </c>
      <c r="F693" s="145" t="str">
        <f t="shared" si="1010"/>
        <v/>
      </c>
      <c r="G693" s="142">
        <f>PJ工種集計!K1369</f>
        <v>0</v>
      </c>
    </row>
    <row r="694" spans="1:7">
      <c r="A694" s="66">
        <f t="shared" ref="A694:C694" si="1011">A693</f>
        <v>17</v>
      </c>
      <c r="B694" s="66">
        <f t="shared" si="1011"/>
        <v>0</v>
      </c>
      <c r="C694" s="66" t="str">
        <f t="shared" si="1011"/>
        <v/>
      </c>
      <c r="D694" s="66">
        <f t="shared" ref="D694:F694" si="1012">D651</f>
        <v>0</v>
      </c>
      <c r="E694" s="145" t="str">
        <f t="shared" si="1012"/>
        <v>水曜</v>
      </c>
      <c r="F694" s="145">
        <f t="shared" si="1012"/>
        <v>1</v>
      </c>
      <c r="G694" s="142">
        <f>PJ工種集計!L1369</f>
        <v>0</v>
      </c>
    </row>
    <row r="695" spans="1:7">
      <c r="A695" s="66">
        <f t="shared" ref="A695:C695" si="1013">A694</f>
        <v>17</v>
      </c>
      <c r="B695" s="66">
        <f t="shared" si="1013"/>
        <v>0</v>
      </c>
      <c r="C695" s="66" t="str">
        <f t="shared" si="1013"/>
        <v/>
      </c>
      <c r="D695" s="66">
        <f t="shared" ref="D695:F695" si="1014">D652</f>
        <v>0</v>
      </c>
      <c r="E695" s="145" t="str">
        <f t="shared" si="1014"/>
        <v>木曜</v>
      </c>
      <c r="F695" s="145">
        <f t="shared" si="1014"/>
        <v>2</v>
      </c>
      <c r="G695" s="142">
        <f>PJ工種集計!M1369</f>
        <v>0</v>
      </c>
    </row>
    <row r="696" spans="1:7">
      <c r="A696" s="66">
        <f t="shared" ref="A696:C696" si="1015">A695</f>
        <v>17</v>
      </c>
      <c r="B696" s="66">
        <f t="shared" si="1015"/>
        <v>0</v>
      </c>
      <c r="C696" s="66" t="str">
        <f t="shared" si="1015"/>
        <v/>
      </c>
      <c r="D696" s="66">
        <f t="shared" ref="D696:F696" si="1016">D653</f>
        <v>0</v>
      </c>
      <c r="E696" s="145" t="str">
        <f t="shared" si="1016"/>
        <v>金曜</v>
      </c>
      <c r="F696" s="145">
        <f t="shared" si="1016"/>
        <v>3</v>
      </c>
      <c r="G696" s="142">
        <f>PJ工種集計!N1369</f>
        <v>0</v>
      </c>
    </row>
    <row r="697" spans="1:7">
      <c r="A697" s="66">
        <f t="shared" ref="A697:C697" si="1017">A696</f>
        <v>17</v>
      </c>
      <c r="B697" s="66">
        <f t="shared" si="1017"/>
        <v>0</v>
      </c>
      <c r="C697" s="66" t="str">
        <f t="shared" si="1017"/>
        <v/>
      </c>
      <c r="D697" s="66">
        <f t="shared" ref="D697:F697" si="1018">D654</f>
        <v>0</v>
      </c>
      <c r="E697" s="145" t="str">
        <f t="shared" si="1018"/>
        <v>土曜</v>
      </c>
      <c r="F697" s="145">
        <f t="shared" si="1018"/>
        <v>4</v>
      </c>
      <c r="G697" s="142">
        <f>PJ工種集計!O1369</f>
        <v>0</v>
      </c>
    </row>
    <row r="698" spans="1:7">
      <c r="A698" s="66">
        <f t="shared" ref="A698:C698" si="1019">A697</f>
        <v>17</v>
      </c>
      <c r="B698" s="66">
        <f t="shared" si="1019"/>
        <v>0</v>
      </c>
      <c r="C698" s="66" t="str">
        <f t="shared" si="1019"/>
        <v/>
      </c>
      <c r="D698" s="66">
        <f t="shared" ref="D698:F698" si="1020">D655</f>
        <v>0</v>
      </c>
      <c r="E698" s="145" t="str">
        <f t="shared" si="1020"/>
        <v>日曜</v>
      </c>
      <c r="F698" s="145">
        <f t="shared" si="1020"/>
        <v>5</v>
      </c>
      <c r="G698" s="142">
        <f>PJ工種集計!P1369</f>
        <v>0</v>
      </c>
    </row>
    <row r="699" spans="1:7">
      <c r="A699" s="66">
        <f t="shared" ref="A699:C699" si="1021">A698</f>
        <v>17</v>
      </c>
      <c r="B699" s="66">
        <f t="shared" si="1021"/>
        <v>0</v>
      </c>
      <c r="C699" s="66" t="str">
        <f t="shared" si="1021"/>
        <v/>
      </c>
      <c r="D699" s="66" t="str">
        <f t="shared" ref="D699:F699" si="1022">D656</f>
        <v>2週</v>
      </c>
      <c r="E699" s="145" t="str">
        <f t="shared" si="1022"/>
        <v>月曜</v>
      </c>
      <c r="F699" s="145">
        <f t="shared" si="1022"/>
        <v>6</v>
      </c>
      <c r="G699" s="142">
        <f>PJ工種集計!Q1369</f>
        <v>0</v>
      </c>
    </row>
    <row r="700" spans="1:7">
      <c r="A700" s="66">
        <f t="shared" ref="A700:C700" si="1023">A699</f>
        <v>17</v>
      </c>
      <c r="B700" s="66">
        <f t="shared" si="1023"/>
        <v>0</v>
      </c>
      <c r="C700" s="66" t="str">
        <f t="shared" si="1023"/>
        <v/>
      </c>
      <c r="D700" s="66">
        <f t="shared" ref="D700:F700" si="1024">D657</f>
        <v>0</v>
      </c>
      <c r="E700" s="145" t="str">
        <f t="shared" si="1024"/>
        <v>火曜</v>
      </c>
      <c r="F700" s="145">
        <f t="shared" si="1024"/>
        <v>7</v>
      </c>
      <c r="G700" s="142">
        <f>PJ工種集計!R1369</f>
        <v>0</v>
      </c>
    </row>
    <row r="701" spans="1:7">
      <c r="A701" s="66">
        <f t="shared" ref="A701:C701" si="1025">A700</f>
        <v>17</v>
      </c>
      <c r="B701" s="66">
        <f t="shared" si="1025"/>
        <v>0</v>
      </c>
      <c r="C701" s="66" t="str">
        <f t="shared" si="1025"/>
        <v/>
      </c>
      <c r="D701" s="66">
        <f t="shared" ref="D701:F701" si="1026">D658</f>
        <v>0</v>
      </c>
      <c r="E701" s="145" t="str">
        <f t="shared" si="1026"/>
        <v>水曜</v>
      </c>
      <c r="F701" s="145">
        <f t="shared" si="1026"/>
        <v>8</v>
      </c>
      <c r="G701" s="142">
        <f>PJ工種集計!S1369</f>
        <v>0</v>
      </c>
    </row>
    <row r="702" spans="1:7">
      <c r="A702" s="66">
        <f t="shared" ref="A702:C702" si="1027">A701</f>
        <v>17</v>
      </c>
      <c r="B702" s="66">
        <f t="shared" si="1027"/>
        <v>0</v>
      </c>
      <c r="C702" s="66" t="str">
        <f t="shared" si="1027"/>
        <v/>
      </c>
      <c r="D702" s="66">
        <f t="shared" ref="D702:F702" si="1028">D659</f>
        <v>0</v>
      </c>
      <c r="E702" s="145" t="str">
        <f t="shared" si="1028"/>
        <v>木曜</v>
      </c>
      <c r="F702" s="145">
        <f t="shared" si="1028"/>
        <v>9</v>
      </c>
      <c r="G702" s="142">
        <f>PJ工種集計!T1369</f>
        <v>0</v>
      </c>
    </row>
    <row r="703" spans="1:7">
      <c r="A703" s="66">
        <f t="shared" ref="A703:C703" si="1029">A702</f>
        <v>17</v>
      </c>
      <c r="B703" s="66">
        <f t="shared" si="1029"/>
        <v>0</v>
      </c>
      <c r="C703" s="66" t="str">
        <f t="shared" si="1029"/>
        <v/>
      </c>
      <c r="D703" s="66">
        <f t="shared" ref="D703:F703" si="1030">D660</f>
        <v>0</v>
      </c>
      <c r="E703" s="145" t="str">
        <f t="shared" si="1030"/>
        <v>金曜</v>
      </c>
      <c r="F703" s="145">
        <f t="shared" si="1030"/>
        <v>10</v>
      </c>
      <c r="G703" s="142">
        <f>PJ工種集計!U1369</f>
        <v>0</v>
      </c>
    </row>
    <row r="704" spans="1:7">
      <c r="A704" s="66">
        <f t="shared" ref="A704:C704" si="1031">A703</f>
        <v>17</v>
      </c>
      <c r="B704" s="66">
        <f t="shared" si="1031"/>
        <v>0</v>
      </c>
      <c r="C704" s="66" t="str">
        <f t="shared" si="1031"/>
        <v/>
      </c>
      <c r="D704" s="66">
        <f t="shared" ref="D704:F704" si="1032">D661</f>
        <v>0</v>
      </c>
      <c r="E704" s="145" t="str">
        <f t="shared" si="1032"/>
        <v>土曜</v>
      </c>
      <c r="F704" s="145">
        <f t="shared" si="1032"/>
        <v>11</v>
      </c>
      <c r="G704" s="142">
        <f>PJ工種集計!V1369</f>
        <v>0</v>
      </c>
    </row>
    <row r="705" spans="1:7">
      <c r="A705" s="66">
        <f t="shared" ref="A705:C705" si="1033">A704</f>
        <v>17</v>
      </c>
      <c r="B705" s="66">
        <f t="shared" si="1033"/>
        <v>0</v>
      </c>
      <c r="C705" s="66" t="str">
        <f t="shared" si="1033"/>
        <v/>
      </c>
      <c r="D705" s="66">
        <f t="shared" ref="D705:F705" si="1034">D662</f>
        <v>0</v>
      </c>
      <c r="E705" s="145" t="str">
        <f t="shared" si="1034"/>
        <v>日曜</v>
      </c>
      <c r="F705" s="145">
        <f t="shared" si="1034"/>
        <v>12</v>
      </c>
      <c r="G705" s="142">
        <f>PJ工種集計!W1369</f>
        <v>0</v>
      </c>
    </row>
    <row r="706" spans="1:7">
      <c r="A706" s="66">
        <f t="shared" ref="A706:C706" si="1035">A705</f>
        <v>17</v>
      </c>
      <c r="B706" s="66">
        <f t="shared" si="1035"/>
        <v>0</v>
      </c>
      <c r="C706" s="66" t="str">
        <f t="shared" si="1035"/>
        <v/>
      </c>
      <c r="D706" s="66" t="str">
        <f t="shared" ref="D706:F706" si="1036">D663</f>
        <v>3週</v>
      </c>
      <c r="E706" s="145" t="str">
        <f t="shared" si="1036"/>
        <v>月曜</v>
      </c>
      <c r="F706" s="145">
        <f t="shared" si="1036"/>
        <v>13</v>
      </c>
      <c r="G706" s="142">
        <f>PJ工種集計!X1369</f>
        <v>0</v>
      </c>
    </row>
    <row r="707" spans="1:7">
      <c r="A707" s="66">
        <f t="shared" ref="A707:C707" si="1037">A706</f>
        <v>17</v>
      </c>
      <c r="B707" s="66">
        <f t="shared" si="1037"/>
        <v>0</v>
      </c>
      <c r="C707" s="66" t="str">
        <f t="shared" si="1037"/>
        <v/>
      </c>
      <c r="D707" s="66">
        <f t="shared" ref="D707:F707" si="1038">D664</f>
        <v>0</v>
      </c>
      <c r="E707" s="145" t="str">
        <f t="shared" si="1038"/>
        <v>火曜</v>
      </c>
      <c r="F707" s="145">
        <f t="shared" si="1038"/>
        <v>14</v>
      </c>
      <c r="G707" s="142">
        <f>PJ工種集計!Y1369</f>
        <v>0</v>
      </c>
    </row>
    <row r="708" spans="1:7">
      <c r="A708" s="66">
        <f t="shared" ref="A708:C708" si="1039">A707</f>
        <v>17</v>
      </c>
      <c r="B708" s="66">
        <f t="shared" si="1039"/>
        <v>0</v>
      </c>
      <c r="C708" s="66" t="str">
        <f t="shared" si="1039"/>
        <v/>
      </c>
      <c r="D708" s="66">
        <f t="shared" ref="D708:F708" si="1040">D665</f>
        <v>0</v>
      </c>
      <c r="E708" s="145" t="str">
        <f t="shared" si="1040"/>
        <v>水曜</v>
      </c>
      <c r="F708" s="145">
        <f t="shared" si="1040"/>
        <v>15</v>
      </c>
      <c r="G708" s="142">
        <f>PJ工種集計!Z1369</f>
        <v>0</v>
      </c>
    </row>
    <row r="709" spans="1:7">
      <c r="A709" s="66">
        <f t="shared" ref="A709:C709" si="1041">A708</f>
        <v>17</v>
      </c>
      <c r="B709" s="66">
        <f t="shared" si="1041"/>
        <v>0</v>
      </c>
      <c r="C709" s="66" t="str">
        <f t="shared" si="1041"/>
        <v/>
      </c>
      <c r="D709" s="66">
        <f t="shared" ref="D709:F709" si="1042">D666</f>
        <v>0</v>
      </c>
      <c r="E709" s="145" t="str">
        <f t="shared" si="1042"/>
        <v>木曜</v>
      </c>
      <c r="F709" s="145">
        <f t="shared" si="1042"/>
        <v>16</v>
      </c>
      <c r="G709" s="142">
        <f>PJ工種集計!AA1369</f>
        <v>0</v>
      </c>
    </row>
    <row r="710" spans="1:7">
      <c r="A710" s="66">
        <f t="shared" ref="A710:C710" si="1043">A709</f>
        <v>17</v>
      </c>
      <c r="B710" s="66">
        <f t="shared" si="1043"/>
        <v>0</v>
      </c>
      <c r="C710" s="66" t="str">
        <f t="shared" si="1043"/>
        <v/>
      </c>
      <c r="D710" s="66">
        <f t="shared" ref="D710:F710" si="1044">D667</f>
        <v>0</v>
      </c>
      <c r="E710" s="145" t="str">
        <f t="shared" si="1044"/>
        <v>金曜</v>
      </c>
      <c r="F710" s="145">
        <f t="shared" si="1044"/>
        <v>17</v>
      </c>
      <c r="G710" s="142">
        <f>PJ工種集計!AB1369</f>
        <v>0</v>
      </c>
    </row>
    <row r="711" spans="1:7">
      <c r="A711" s="66">
        <f t="shared" ref="A711:C711" si="1045">A710</f>
        <v>17</v>
      </c>
      <c r="B711" s="66">
        <f t="shared" si="1045"/>
        <v>0</v>
      </c>
      <c r="C711" s="66" t="str">
        <f t="shared" si="1045"/>
        <v/>
      </c>
      <c r="D711" s="66">
        <f t="shared" ref="D711:F711" si="1046">D668</f>
        <v>0</v>
      </c>
      <c r="E711" s="145" t="str">
        <f t="shared" si="1046"/>
        <v>土曜</v>
      </c>
      <c r="F711" s="145">
        <f t="shared" si="1046"/>
        <v>18</v>
      </c>
      <c r="G711" s="142">
        <f>PJ工種集計!AC1369</f>
        <v>0</v>
      </c>
    </row>
    <row r="712" spans="1:7">
      <c r="A712" s="66">
        <f t="shared" ref="A712:C712" si="1047">A711</f>
        <v>17</v>
      </c>
      <c r="B712" s="66">
        <f t="shared" si="1047"/>
        <v>0</v>
      </c>
      <c r="C712" s="66" t="str">
        <f t="shared" si="1047"/>
        <v/>
      </c>
      <c r="D712" s="66">
        <f t="shared" ref="D712:F712" si="1048">D669</f>
        <v>0</v>
      </c>
      <c r="E712" s="145" t="str">
        <f t="shared" si="1048"/>
        <v>日曜</v>
      </c>
      <c r="F712" s="145">
        <f t="shared" si="1048"/>
        <v>19</v>
      </c>
      <c r="G712" s="142">
        <f>PJ工種集計!AD1369</f>
        <v>0</v>
      </c>
    </row>
    <row r="713" spans="1:7">
      <c r="A713" s="66">
        <f t="shared" ref="A713:C713" si="1049">A712</f>
        <v>17</v>
      </c>
      <c r="B713" s="66">
        <f t="shared" si="1049"/>
        <v>0</v>
      </c>
      <c r="C713" s="66" t="str">
        <f t="shared" si="1049"/>
        <v/>
      </c>
      <c r="D713" s="66" t="str">
        <f t="shared" ref="D713:F713" si="1050">D670</f>
        <v>4週</v>
      </c>
      <c r="E713" s="145" t="str">
        <f t="shared" si="1050"/>
        <v>月曜</v>
      </c>
      <c r="F713" s="145">
        <f t="shared" si="1050"/>
        <v>20</v>
      </c>
      <c r="G713" s="142">
        <f>PJ工種集計!AE1369</f>
        <v>0</v>
      </c>
    </row>
    <row r="714" spans="1:7">
      <c r="A714" s="66">
        <f t="shared" ref="A714:C714" si="1051">A713</f>
        <v>17</v>
      </c>
      <c r="B714" s="66">
        <f t="shared" si="1051"/>
        <v>0</v>
      </c>
      <c r="C714" s="66" t="str">
        <f t="shared" si="1051"/>
        <v/>
      </c>
      <c r="D714" s="66">
        <f t="shared" ref="D714:F714" si="1052">D671</f>
        <v>0</v>
      </c>
      <c r="E714" s="145" t="str">
        <f t="shared" si="1052"/>
        <v>火曜</v>
      </c>
      <c r="F714" s="145">
        <f t="shared" si="1052"/>
        <v>21</v>
      </c>
      <c r="G714" s="142">
        <f>PJ工種集計!AF1369</f>
        <v>0</v>
      </c>
    </row>
    <row r="715" spans="1:7">
      <c r="A715" s="66">
        <f t="shared" ref="A715:C715" si="1053">A714</f>
        <v>17</v>
      </c>
      <c r="B715" s="66">
        <f t="shared" si="1053"/>
        <v>0</v>
      </c>
      <c r="C715" s="66" t="str">
        <f t="shared" si="1053"/>
        <v/>
      </c>
      <c r="D715" s="66">
        <f t="shared" ref="D715:F715" si="1054">D672</f>
        <v>0</v>
      </c>
      <c r="E715" s="145" t="str">
        <f t="shared" si="1054"/>
        <v>水曜</v>
      </c>
      <c r="F715" s="145">
        <f t="shared" si="1054"/>
        <v>22</v>
      </c>
      <c r="G715" s="142">
        <f>PJ工種集計!AG1369</f>
        <v>0</v>
      </c>
    </row>
    <row r="716" spans="1:7">
      <c r="A716" s="66">
        <f t="shared" ref="A716:C716" si="1055">A715</f>
        <v>17</v>
      </c>
      <c r="B716" s="66">
        <f t="shared" si="1055"/>
        <v>0</v>
      </c>
      <c r="C716" s="66" t="str">
        <f t="shared" si="1055"/>
        <v/>
      </c>
      <c r="D716" s="66">
        <f t="shared" ref="D716:F716" si="1056">D673</f>
        <v>0</v>
      </c>
      <c r="E716" s="145" t="str">
        <f t="shared" si="1056"/>
        <v>木曜</v>
      </c>
      <c r="F716" s="145">
        <f t="shared" si="1056"/>
        <v>23</v>
      </c>
      <c r="G716" s="142">
        <f>PJ工種集計!AH1369</f>
        <v>0</v>
      </c>
    </row>
    <row r="717" spans="1:7">
      <c r="A717" s="66">
        <f t="shared" ref="A717:C717" si="1057">A716</f>
        <v>17</v>
      </c>
      <c r="B717" s="66">
        <f t="shared" si="1057"/>
        <v>0</v>
      </c>
      <c r="C717" s="66" t="str">
        <f t="shared" si="1057"/>
        <v/>
      </c>
      <c r="D717" s="66">
        <f t="shared" ref="D717:F717" si="1058">D674</f>
        <v>0</v>
      </c>
      <c r="E717" s="145" t="str">
        <f t="shared" si="1058"/>
        <v>金曜</v>
      </c>
      <c r="F717" s="145">
        <f t="shared" si="1058"/>
        <v>24</v>
      </c>
      <c r="G717" s="142">
        <f>PJ工種集計!AI1369</f>
        <v>0</v>
      </c>
    </row>
    <row r="718" spans="1:7">
      <c r="A718" s="66">
        <f t="shared" ref="A718:C718" si="1059">A717</f>
        <v>17</v>
      </c>
      <c r="B718" s="66">
        <f t="shared" si="1059"/>
        <v>0</v>
      </c>
      <c r="C718" s="66" t="str">
        <f t="shared" si="1059"/>
        <v/>
      </c>
      <c r="D718" s="66">
        <f t="shared" ref="D718:F718" si="1060">D675</f>
        <v>0</v>
      </c>
      <c r="E718" s="145" t="str">
        <f t="shared" si="1060"/>
        <v>土曜</v>
      </c>
      <c r="F718" s="145">
        <f t="shared" si="1060"/>
        <v>25</v>
      </c>
      <c r="G718" s="142">
        <f>PJ工種集計!AJ1369</f>
        <v>0</v>
      </c>
    </row>
    <row r="719" spans="1:7">
      <c r="A719" s="66">
        <f t="shared" ref="A719:C719" si="1061">A718</f>
        <v>17</v>
      </c>
      <c r="B719" s="66">
        <f t="shared" si="1061"/>
        <v>0</v>
      </c>
      <c r="C719" s="66" t="str">
        <f t="shared" si="1061"/>
        <v/>
      </c>
      <c r="D719" s="66">
        <f t="shared" ref="D719:F719" si="1062">D676</f>
        <v>0</v>
      </c>
      <c r="E719" s="145" t="str">
        <f t="shared" si="1062"/>
        <v>日曜</v>
      </c>
      <c r="F719" s="145">
        <f t="shared" si="1062"/>
        <v>26</v>
      </c>
      <c r="G719" s="142">
        <f>PJ工種集計!AK1369</f>
        <v>0</v>
      </c>
    </row>
    <row r="720" spans="1:7">
      <c r="A720" s="66">
        <f t="shared" ref="A720:C720" si="1063">A719</f>
        <v>17</v>
      </c>
      <c r="B720" s="66">
        <f t="shared" si="1063"/>
        <v>0</v>
      </c>
      <c r="C720" s="66" t="str">
        <f t="shared" si="1063"/>
        <v/>
      </c>
      <c r="D720" s="66" t="str">
        <f t="shared" ref="D720:F720" si="1064">D677</f>
        <v>5週</v>
      </c>
      <c r="E720" s="145" t="str">
        <f t="shared" si="1064"/>
        <v>月曜</v>
      </c>
      <c r="F720" s="145">
        <f t="shared" si="1064"/>
        <v>27</v>
      </c>
      <c r="G720" s="142">
        <f>PJ工種集計!AL1369</f>
        <v>0</v>
      </c>
    </row>
    <row r="721" spans="1:7">
      <c r="A721" s="66">
        <f t="shared" ref="A721:C721" si="1065">A720</f>
        <v>17</v>
      </c>
      <c r="B721" s="66">
        <f t="shared" si="1065"/>
        <v>0</v>
      </c>
      <c r="C721" s="66" t="str">
        <f t="shared" si="1065"/>
        <v/>
      </c>
      <c r="D721" s="66">
        <f t="shared" ref="D721:F721" si="1066">D678</f>
        <v>0</v>
      </c>
      <c r="E721" s="145" t="str">
        <f t="shared" si="1066"/>
        <v>火曜</v>
      </c>
      <c r="F721" s="145">
        <f t="shared" si="1066"/>
        <v>28</v>
      </c>
      <c r="G721" s="142">
        <f>PJ工種集計!AM1369</f>
        <v>0</v>
      </c>
    </row>
    <row r="722" spans="1:7">
      <c r="A722" s="66">
        <f t="shared" ref="A722:C722" si="1067">A721</f>
        <v>17</v>
      </c>
      <c r="B722" s="66">
        <f t="shared" si="1067"/>
        <v>0</v>
      </c>
      <c r="C722" s="66" t="str">
        <f t="shared" si="1067"/>
        <v/>
      </c>
      <c r="D722" s="66">
        <f t="shared" ref="D722:F722" si="1068">D679</f>
        <v>0</v>
      </c>
      <c r="E722" s="145" t="str">
        <f t="shared" si="1068"/>
        <v>水曜</v>
      </c>
      <c r="F722" s="145">
        <f t="shared" si="1068"/>
        <v>29</v>
      </c>
      <c r="G722" s="142">
        <f>PJ工種集計!AN1369</f>
        <v>0</v>
      </c>
    </row>
    <row r="723" spans="1:7">
      <c r="A723" s="66">
        <f t="shared" ref="A723:C723" si="1069">A722</f>
        <v>17</v>
      </c>
      <c r="B723" s="66">
        <f t="shared" si="1069"/>
        <v>0</v>
      </c>
      <c r="C723" s="66" t="str">
        <f t="shared" si="1069"/>
        <v/>
      </c>
      <c r="D723" s="66">
        <f t="shared" ref="D723:F723" si="1070">D680</f>
        <v>0</v>
      </c>
      <c r="E723" s="145" t="str">
        <f t="shared" si="1070"/>
        <v>木曜</v>
      </c>
      <c r="F723" s="145">
        <f t="shared" si="1070"/>
        <v>30</v>
      </c>
      <c r="G723" s="142">
        <f>PJ工種集計!AO1369</f>
        <v>0</v>
      </c>
    </row>
    <row r="724" spans="1:7">
      <c r="A724" s="66">
        <f t="shared" ref="A724:C724" si="1071">A723</f>
        <v>17</v>
      </c>
      <c r="B724" s="66">
        <f t="shared" si="1071"/>
        <v>0</v>
      </c>
      <c r="C724" s="66" t="str">
        <f t="shared" si="1071"/>
        <v/>
      </c>
      <c r="D724" s="66">
        <f t="shared" ref="D724:F724" si="1072">D681</f>
        <v>0</v>
      </c>
      <c r="E724" s="145" t="str">
        <f t="shared" si="1072"/>
        <v>金曜</v>
      </c>
      <c r="F724" s="145">
        <f t="shared" si="1072"/>
        <v>31</v>
      </c>
      <c r="G724" s="142">
        <f>PJ工種集計!AP1369</f>
        <v>0</v>
      </c>
    </row>
    <row r="725" spans="1:7">
      <c r="A725" s="66">
        <f t="shared" ref="A725:C725" si="1073">A724</f>
        <v>17</v>
      </c>
      <c r="B725" s="66">
        <f t="shared" si="1073"/>
        <v>0</v>
      </c>
      <c r="C725" s="66" t="str">
        <f t="shared" si="1073"/>
        <v/>
      </c>
      <c r="D725" s="66">
        <f t="shared" ref="D725:F725" si="1074">D682</f>
        <v>0</v>
      </c>
      <c r="E725" s="145" t="str">
        <f t="shared" si="1074"/>
        <v>土曜</v>
      </c>
      <c r="F725" s="145" t="str">
        <f t="shared" si="1074"/>
        <v/>
      </c>
      <c r="G725" s="142">
        <f>PJ工種集計!AQ1369</f>
        <v>0</v>
      </c>
    </row>
    <row r="726" spans="1:7">
      <c r="A726" s="66">
        <f t="shared" ref="A726:C726" si="1075">A725</f>
        <v>17</v>
      </c>
      <c r="B726" s="66">
        <f t="shared" si="1075"/>
        <v>0</v>
      </c>
      <c r="C726" s="66" t="str">
        <f t="shared" si="1075"/>
        <v/>
      </c>
      <c r="D726" s="66">
        <f t="shared" ref="D726:F726" si="1076">D683</f>
        <v>0</v>
      </c>
      <c r="E726" s="145" t="str">
        <f t="shared" si="1076"/>
        <v>日曜</v>
      </c>
      <c r="F726" s="145" t="str">
        <f t="shared" si="1076"/>
        <v/>
      </c>
      <c r="G726" s="142">
        <f>PJ工種集計!AR1369</f>
        <v>0</v>
      </c>
    </row>
    <row r="727" spans="1:7">
      <c r="A727" s="66">
        <f t="shared" ref="A727:C727" si="1077">A726</f>
        <v>17</v>
      </c>
      <c r="B727" s="66">
        <f t="shared" si="1077"/>
        <v>0</v>
      </c>
      <c r="C727" s="66" t="str">
        <f t="shared" si="1077"/>
        <v/>
      </c>
      <c r="D727" s="66" t="str">
        <f t="shared" ref="D727:F727" si="1078">D684</f>
        <v>6週</v>
      </c>
      <c r="E727" s="145" t="str">
        <f t="shared" si="1078"/>
        <v>月曜</v>
      </c>
      <c r="F727" s="145" t="str">
        <f t="shared" si="1078"/>
        <v/>
      </c>
      <c r="G727" s="142">
        <f>PJ工種集計!AS1369</f>
        <v>0</v>
      </c>
    </row>
    <row r="728" spans="1:7">
      <c r="A728" s="66">
        <f t="shared" ref="A728:C728" si="1079">A727</f>
        <v>17</v>
      </c>
      <c r="B728" s="66">
        <f t="shared" si="1079"/>
        <v>0</v>
      </c>
      <c r="C728" s="66" t="str">
        <f t="shared" si="1079"/>
        <v/>
      </c>
      <c r="D728" s="66">
        <f t="shared" ref="D728:F728" si="1080">D685</f>
        <v>0</v>
      </c>
      <c r="E728" s="145" t="str">
        <f t="shared" si="1080"/>
        <v>火曜</v>
      </c>
      <c r="F728" s="145" t="str">
        <f t="shared" si="1080"/>
        <v/>
      </c>
      <c r="G728" s="142">
        <f>PJ工種集計!AT1369</f>
        <v>0</v>
      </c>
    </row>
    <row r="729" spans="1:7">
      <c r="A729" s="66">
        <f t="shared" ref="A729:C729" si="1081">A728</f>
        <v>17</v>
      </c>
      <c r="B729" s="66">
        <f t="shared" si="1081"/>
        <v>0</v>
      </c>
      <c r="C729" s="66" t="str">
        <f t="shared" si="1081"/>
        <v/>
      </c>
      <c r="D729" s="66">
        <f t="shared" ref="D729:F729" si="1082">D686</f>
        <v>0</v>
      </c>
      <c r="E729" s="145" t="str">
        <f t="shared" si="1082"/>
        <v>水曜</v>
      </c>
      <c r="F729" s="145" t="str">
        <f t="shared" si="1082"/>
        <v/>
      </c>
      <c r="G729" s="142">
        <f>PJ工種集計!AU1369</f>
        <v>0</v>
      </c>
    </row>
    <row r="730" spans="1:7">
      <c r="A730" s="66">
        <f t="shared" ref="A730:C730" si="1083">A729</f>
        <v>17</v>
      </c>
      <c r="B730" s="66">
        <f t="shared" si="1083"/>
        <v>0</v>
      </c>
      <c r="C730" s="66" t="str">
        <f t="shared" si="1083"/>
        <v/>
      </c>
      <c r="D730" s="66">
        <f t="shared" ref="D730:F730" si="1084">D687</f>
        <v>0</v>
      </c>
      <c r="E730" s="145" t="str">
        <f t="shared" si="1084"/>
        <v>木曜</v>
      </c>
      <c r="F730" s="145" t="str">
        <f t="shared" si="1084"/>
        <v/>
      </c>
      <c r="G730" s="142">
        <f>PJ工種集計!AV1369</f>
        <v>0</v>
      </c>
    </row>
    <row r="731" spans="1:7">
      <c r="A731" s="66">
        <f t="shared" ref="A731:C731" si="1085">A730</f>
        <v>17</v>
      </c>
      <c r="B731" s="66">
        <f t="shared" si="1085"/>
        <v>0</v>
      </c>
      <c r="C731" s="66" t="str">
        <f t="shared" si="1085"/>
        <v/>
      </c>
      <c r="D731" s="66">
        <f t="shared" ref="D731:F731" si="1086">D688</f>
        <v>0</v>
      </c>
      <c r="E731" s="145" t="str">
        <f t="shared" si="1086"/>
        <v>金曜</v>
      </c>
      <c r="F731" s="145" t="str">
        <f t="shared" si="1086"/>
        <v/>
      </c>
      <c r="G731" s="142">
        <f>PJ工種集計!AW1369</f>
        <v>0</v>
      </c>
    </row>
    <row r="732" spans="1:7">
      <c r="A732" s="66">
        <f t="shared" ref="A732:C732" si="1087">A731</f>
        <v>17</v>
      </c>
      <c r="B732" s="66">
        <f t="shared" si="1087"/>
        <v>0</v>
      </c>
      <c r="C732" s="66" t="str">
        <f t="shared" si="1087"/>
        <v/>
      </c>
      <c r="D732" s="66">
        <f t="shared" ref="D732:F732" si="1088">D689</f>
        <v>0</v>
      </c>
      <c r="E732" s="145" t="str">
        <f t="shared" si="1088"/>
        <v>土曜</v>
      </c>
      <c r="F732" s="145" t="str">
        <f t="shared" si="1088"/>
        <v/>
      </c>
      <c r="G732" s="142">
        <f>PJ工種集計!AX1369</f>
        <v>0</v>
      </c>
    </row>
    <row r="733" spans="1:7">
      <c r="A733" s="66">
        <f t="shared" ref="A733:C733" si="1089">A732</f>
        <v>17</v>
      </c>
      <c r="B733" s="66">
        <f t="shared" si="1089"/>
        <v>0</v>
      </c>
      <c r="C733" s="66" t="str">
        <f t="shared" si="1089"/>
        <v/>
      </c>
      <c r="D733" s="66">
        <f t="shared" ref="D733:F733" si="1090">D690</f>
        <v>0</v>
      </c>
      <c r="E733" s="145" t="str">
        <f t="shared" si="1090"/>
        <v>日曜</v>
      </c>
      <c r="F733" s="145" t="str">
        <f t="shared" si="1090"/>
        <v/>
      </c>
      <c r="G733" s="142">
        <f>PJ工種集計!AY1369</f>
        <v>0</v>
      </c>
    </row>
    <row r="735" spans="1:7">
      <c r="A735" s="66">
        <f>PJ工種集計!A1453</f>
        <v>18</v>
      </c>
      <c r="B735" s="66">
        <f>PJ工種集計!B1453</f>
        <v>0</v>
      </c>
      <c r="C735" s="66" t="str">
        <f>PJ工種集計!C1453</f>
        <v/>
      </c>
      <c r="D735" s="66" t="str">
        <f>D692</f>
        <v>１週</v>
      </c>
      <c r="E735" s="145" t="str">
        <f>E692</f>
        <v>月曜</v>
      </c>
      <c r="F735" s="145" t="str">
        <f>F692</f>
        <v/>
      </c>
      <c r="G735" s="142">
        <f>PJ工種集計!J1454</f>
        <v>0</v>
      </c>
    </row>
    <row r="736" spans="1:7">
      <c r="A736" s="66">
        <f t="shared" ref="A736:C736" si="1091">A735</f>
        <v>18</v>
      </c>
      <c r="B736" s="66">
        <f t="shared" si="1091"/>
        <v>0</v>
      </c>
      <c r="C736" s="66" t="str">
        <f t="shared" si="1091"/>
        <v/>
      </c>
      <c r="D736" s="66">
        <f t="shared" ref="D736:F736" si="1092">D693</f>
        <v>0</v>
      </c>
      <c r="E736" s="145" t="str">
        <f t="shared" si="1092"/>
        <v>火曜</v>
      </c>
      <c r="F736" s="145" t="str">
        <f t="shared" si="1092"/>
        <v/>
      </c>
      <c r="G736" s="142">
        <f>PJ工種集計!K1454</f>
        <v>0</v>
      </c>
    </row>
    <row r="737" spans="1:7">
      <c r="A737" s="66">
        <f t="shared" ref="A737:C737" si="1093">A736</f>
        <v>18</v>
      </c>
      <c r="B737" s="66">
        <f t="shared" si="1093"/>
        <v>0</v>
      </c>
      <c r="C737" s="66" t="str">
        <f t="shared" si="1093"/>
        <v/>
      </c>
      <c r="D737" s="66">
        <f t="shared" ref="D737:F737" si="1094">D694</f>
        <v>0</v>
      </c>
      <c r="E737" s="145" t="str">
        <f t="shared" si="1094"/>
        <v>水曜</v>
      </c>
      <c r="F737" s="145">
        <f t="shared" si="1094"/>
        <v>1</v>
      </c>
      <c r="G737" s="142">
        <f>PJ工種集計!L1454</f>
        <v>0</v>
      </c>
    </row>
    <row r="738" spans="1:7">
      <c r="A738" s="66">
        <f t="shared" ref="A738:C738" si="1095">A737</f>
        <v>18</v>
      </c>
      <c r="B738" s="66">
        <f t="shared" si="1095"/>
        <v>0</v>
      </c>
      <c r="C738" s="66" t="str">
        <f t="shared" si="1095"/>
        <v/>
      </c>
      <c r="D738" s="66">
        <f t="shared" ref="D738:F738" si="1096">D695</f>
        <v>0</v>
      </c>
      <c r="E738" s="145" t="str">
        <f t="shared" si="1096"/>
        <v>木曜</v>
      </c>
      <c r="F738" s="145">
        <f t="shared" si="1096"/>
        <v>2</v>
      </c>
      <c r="G738" s="142">
        <f>PJ工種集計!M1454</f>
        <v>0</v>
      </c>
    </row>
    <row r="739" spans="1:7">
      <c r="A739" s="66">
        <f t="shared" ref="A739:C739" si="1097">A738</f>
        <v>18</v>
      </c>
      <c r="B739" s="66">
        <f t="shared" si="1097"/>
        <v>0</v>
      </c>
      <c r="C739" s="66" t="str">
        <f t="shared" si="1097"/>
        <v/>
      </c>
      <c r="D739" s="66">
        <f t="shared" ref="D739:F739" si="1098">D696</f>
        <v>0</v>
      </c>
      <c r="E739" s="145" t="str">
        <f t="shared" si="1098"/>
        <v>金曜</v>
      </c>
      <c r="F739" s="145">
        <f t="shared" si="1098"/>
        <v>3</v>
      </c>
      <c r="G739" s="142">
        <f>PJ工種集計!N1454</f>
        <v>0</v>
      </c>
    </row>
    <row r="740" spans="1:7">
      <c r="A740" s="66">
        <f t="shared" ref="A740:C740" si="1099">A739</f>
        <v>18</v>
      </c>
      <c r="B740" s="66">
        <f t="shared" si="1099"/>
        <v>0</v>
      </c>
      <c r="C740" s="66" t="str">
        <f t="shared" si="1099"/>
        <v/>
      </c>
      <c r="D740" s="66">
        <f t="shared" ref="D740:F740" si="1100">D697</f>
        <v>0</v>
      </c>
      <c r="E740" s="145" t="str">
        <f t="shared" si="1100"/>
        <v>土曜</v>
      </c>
      <c r="F740" s="145">
        <f t="shared" si="1100"/>
        <v>4</v>
      </c>
      <c r="G740" s="142">
        <f>PJ工種集計!O1454</f>
        <v>0</v>
      </c>
    </row>
    <row r="741" spans="1:7">
      <c r="A741" s="66">
        <f t="shared" ref="A741:C741" si="1101">A740</f>
        <v>18</v>
      </c>
      <c r="B741" s="66">
        <f t="shared" si="1101"/>
        <v>0</v>
      </c>
      <c r="C741" s="66" t="str">
        <f t="shared" si="1101"/>
        <v/>
      </c>
      <c r="D741" s="66">
        <f t="shared" ref="D741:F741" si="1102">D698</f>
        <v>0</v>
      </c>
      <c r="E741" s="145" t="str">
        <f t="shared" si="1102"/>
        <v>日曜</v>
      </c>
      <c r="F741" s="145">
        <f t="shared" si="1102"/>
        <v>5</v>
      </c>
      <c r="G741" s="142">
        <f>PJ工種集計!P1454</f>
        <v>0</v>
      </c>
    </row>
    <row r="742" spans="1:7">
      <c r="A742" s="66">
        <f t="shared" ref="A742:C742" si="1103">A741</f>
        <v>18</v>
      </c>
      <c r="B742" s="66">
        <f t="shared" si="1103"/>
        <v>0</v>
      </c>
      <c r="C742" s="66" t="str">
        <f t="shared" si="1103"/>
        <v/>
      </c>
      <c r="D742" s="66" t="str">
        <f t="shared" ref="D742:F742" si="1104">D699</f>
        <v>2週</v>
      </c>
      <c r="E742" s="145" t="str">
        <f t="shared" si="1104"/>
        <v>月曜</v>
      </c>
      <c r="F742" s="145">
        <f t="shared" si="1104"/>
        <v>6</v>
      </c>
      <c r="G742" s="142">
        <f>PJ工種集計!Q1454</f>
        <v>0</v>
      </c>
    </row>
    <row r="743" spans="1:7">
      <c r="A743" s="66">
        <f t="shared" ref="A743:C743" si="1105">A742</f>
        <v>18</v>
      </c>
      <c r="B743" s="66">
        <f t="shared" si="1105"/>
        <v>0</v>
      </c>
      <c r="C743" s="66" t="str">
        <f t="shared" si="1105"/>
        <v/>
      </c>
      <c r="D743" s="66">
        <f t="shared" ref="D743:F743" si="1106">D700</f>
        <v>0</v>
      </c>
      <c r="E743" s="145" t="str">
        <f t="shared" si="1106"/>
        <v>火曜</v>
      </c>
      <c r="F743" s="145">
        <f t="shared" si="1106"/>
        <v>7</v>
      </c>
      <c r="G743" s="142">
        <f>PJ工種集計!R1454</f>
        <v>0</v>
      </c>
    </row>
    <row r="744" spans="1:7">
      <c r="A744" s="66">
        <f t="shared" ref="A744:C744" si="1107">A743</f>
        <v>18</v>
      </c>
      <c r="B744" s="66">
        <f t="shared" si="1107"/>
        <v>0</v>
      </c>
      <c r="C744" s="66" t="str">
        <f t="shared" si="1107"/>
        <v/>
      </c>
      <c r="D744" s="66">
        <f t="shared" ref="D744:F744" si="1108">D701</f>
        <v>0</v>
      </c>
      <c r="E744" s="145" t="str">
        <f t="shared" si="1108"/>
        <v>水曜</v>
      </c>
      <c r="F744" s="145">
        <f t="shared" si="1108"/>
        <v>8</v>
      </c>
      <c r="G744" s="142">
        <f>PJ工種集計!S1454</f>
        <v>0</v>
      </c>
    </row>
    <row r="745" spans="1:7">
      <c r="A745" s="66">
        <f t="shared" ref="A745:C745" si="1109">A744</f>
        <v>18</v>
      </c>
      <c r="B745" s="66">
        <f t="shared" si="1109"/>
        <v>0</v>
      </c>
      <c r="C745" s="66" t="str">
        <f t="shared" si="1109"/>
        <v/>
      </c>
      <c r="D745" s="66">
        <f t="shared" ref="D745:F745" si="1110">D702</f>
        <v>0</v>
      </c>
      <c r="E745" s="145" t="str">
        <f t="shared" si="1110"/>
        <v>木曜</v>
      </c>
      <c r="F745" s="145">
        <f t="shared" si="1110"/>
        <v>9</v>
      </c>
      <c r="G745" s="142">
        <f>PJ工種集計!T1454</f>
        <v>0</v>
      </c>
    </row>
    <row r="746" spans="1:7">
      <c r="A746" s="66">
        <f t="shared" ref="A746:C746" si="1111">A745</f>
        <v>18</v>
      </c>
      <c r="B746" s="66">
        <f t="shared" si="1111"/>
        <v>0</v>
      </c>
      <c r="C746" s="66" t="str">
        <f t="shared" si="1111"/>
        <v/>
      </c>
      <c r="D746" s="66">
        <f t="shared" ref="D746:F746" si="1112">D703</f>
        <v>0</v>
      </c>
      <c r="E746" s="145" t="str">
        <f t="shared" si="1112"/>
        <v>金曜</v>
      </c>
      <c r="F746" s="145">
        <f t="shared" si="1112"/>
        <v>10</v>
      </c>
      <c r="G746" s="142">
        <f>PJ工種集計!U1454</f>
        <v>0</v>
      </c>
    </row>
    <row r="747" spans="1:7">
      <c r="A747" s="66">
        <f t="shared" ref="A747:C747" si="1113">A746</f>
        <v>18</v>
      </c>
      <c r="B747" s="66">
        <f t="shared" si="1113"/>
        <v>0</v>
      </c>
      <c r="C747" s="66" t="str">
        <f t="shared" si="1113"/>
        <v/>
      </c>
      <c r="D747" s="66">
        <f t="shared" ref="D747:F747" si="1114">D704</f>
        <v>0</v>
      </c>
      <c r="E747" s="145" t="str">
        <f t="shared" si="1114"/>
        <v>土曜</v>
      </c>
      <c r="F747" s="145">
        <f t="shared" si="1114"/>
        <v>11</v>
      </c>
      <c r="G747" s="142">
        <f>PJ工種集計!V1454</f>
        <v>0</v>
      </c>
    </row>
    <row r="748" spans="1:7">
      <c r="A748" s="66">
        <f t="shared" ref="A748:C748" si="1115">A747</f>
        <v>18</v>
      </c>
      <c r="B748" s="66">
        <f t="shared" si="1115"/>
        <v>0</v>
      </c>
      <c r="C748" s="66" t="str">
        <f t="shared" si="1115"/>
        <v/>
      </c>
      <c r="D748" s="66">
        <f t="shared" ref="D748:F748" si="1116">D705</f>
        <v>0</v>
      </c>
      <c r="E748" s="145" t="str">
        <f t="shared" si="1116"/>
        <v>日曜</v>
      </c>
      <c r="F748" s="145">
        <f t="shared" si="1116"/>
        <v>12</v>
      </c>
      <c r="G748" s="142">
        <f>PJ工種集計!W1454</f>
        <v>0</v>
      </c>
    </row>
    <row r="749" spans="1:7">
      <c r="A749" s="66">
        <f t="shared" ref="A749:C749" si="1117">A748</f>
        <v>18</v>
      </c>
      <c r="B749" s="66">
        <f t="shared" si="1117"/>
        <v>0</v>
      </c>
      <c r="C749" s="66" t="str">
        <f t="shared" si="1117"/>
        <v/>
      </c>
      <c r="D749" s="66" t="str">
        <f t="shared" ref="D749:F749" si="1118">D706</f>
        <v>3週</v>
      </c>
      <c r="E749" s="145" t="str">
        <f t="shared" si="1118"/>
        <v>月曜</v>
      </c>
      <c r="F749" s="145">
        <f t="shared" si="1118"/>
        <v>13</v>
      </c>
      <c r="G749" s="142">
        <f>PJ工種集計!X1454</f>
        <v>0</v>
      </c>
    </row>
    <row r="750" spans="1:7">
      <c r="A750" s="66">
        <f t="shared" ref="A750:C750" si="1119">A749</f>
        <v>18</v>
      </c>
      <c r="B750" s="66">
        <f t="shared" si="1119"/>
        <v>0</v>
      </c>
      <c r="C750" s="66" t="str">
        <f t="shared" si="1119"/>
        <v/>
      </c>
      <c r="D750" s="66">
        <f t="shared" ref="D750:F750" si="1120">D707</f>
        <v>0</v>
      </c>
      <c r="E750" s="145" t="str">
        <f t="shared" si="1120"/>
        <v>火曜</v>
      </c>
      <c r="F750" s="145">
        <f t="shared" si="1120"/>
        <v>14</v>
      </c>
      <c r="G750" s="142">
        <f>PJ工種集計!Y1454</f>
        <v>0</v>
      </c>
    </row>
    <row r="751" spans="1:7">
      <c r="A751" s="66">
        <f t="shared" ref="A751:C751" si="1121">A750</f>
        <v>18</v>
      </c>
      <c r="B751" s="66">
        <f t="shared" si="1121"/>
        <v>0</v>
      </c>
      <c r="C751" s="66" t="str">
        <f t="shared" si="1121"/>
        <v/>
      </c>
      <c r="D751" s="66">
        <f t="shared" ref="D751:F751" si="1122">D708</f>
        <v>0</v>
      </c>
      <c r="E751" s="145" t="str">
        <f t="shared" si="1122"/>
        <v>水曜</v>
      </c>
      <c r="F751" s="145">
        <f t="shared" si="1122"/>
        <v>15</v>
      </c>
      <c r="G751" s="142">
        <f>PJ工種集計!Z1454</f>
        <v>0</v>
      </c>
    </row>
    <row r="752" spans="1:7">
      <c r="A752" s="66">
        <f t="shared" ref="A752:C752" si="1123">A751</f>
        <v>18</v>
      </c>
      <c r="B752" s="66">
        <f t="shared" si="1123"/>
        <v>0</v>
      </c>
      <c r="C752" s="66" t="str">
        <f t="shared" si="1123"/>
        <v/>
      </c>
      <c r="D752" s="66">
        <f t="shared" ref="D752:F752" si="1124">D709</f>
        <v>0</v>
      </c>
      <c r="E752" s="145" t="str">
        <f t="shared" si="1124"/>
        <v>木曜</v>
      </c>
      <c r="F752" s="145">
        <f t="shared" si="1124"/>
        <v>16</v>
      </c>
      <c r="G752" s="142">
        <f>PJ工種集計!AA1454</f>
        <v>0</v>
      </c>
    </row>
    <row r="753" spans="1:7">
      <c r="A753" s="66">
        <f t="shared" ref="A753:C753" si="1125">A752</f>
        <v>18</v>
      </c>
      <c r="B753" s="66">
        <f t="shared" si="1125"/>
        <v>0</v>
      </c>
      <c r="C753" s="66" t="str">
        <f t="shared" si="1125"/>
        <v/>
      </c>
      <c r="D753" s="66">
        <f t="shared" ref="D753:F753" si="1126">D710</f>
        <v>0</v>
      </c>
      <c r="E753" s="145" t="str">
        <f t="shared" si="1126"/>
        <v>金曜</v>
      </c>
      <c r="F753" s="145">
        <f t="shared" si="1126"/>
        <v>17</v>
      </c>
      <c r="G753" s="142">
        <f>PJ工種集計!AB1454</f>
        <v>0</v>
      </c>
    </row>
    <row r="754" spans="1:7">
      <c r="A754" s="66">
        <f t="shared" ref="A754:C754" si="1127">A753</f>
        <v>18</v>
      </c>
      <c r="B754" s="66">
        <f t="shared" si="1127"/>
        <v>0</v>
      </c>
      <c r="C754" s="66" t="str">
        <f t="shared" si="1127"/>
        <v/>
      </c>
      <c r="D754" s="66">
        <f t="shared" ref="D754:F754" si="1128">D711</f>
        <v>0</v>
      </c>
      <c r="E754" s="145" t="str">
        <f t="shared" si="1128"/>
        <v>土曜</v>
      </c>
      <c r="F754" s="145">
        <f t="shared" si="1128"/>
        <v>18</v>
      </c>
      <c r="G754" s="142">
        <f>PJ工種集計!AC1454</f>
        <v>0</v>
      </c>
    </row>
    <row r="755" spans="1:7">
      <c r="A755" s="66">
        <f t="shared" ref="A755:C755" si="1129">A754</f>
        <v>18</v>
      </c>
      <c r="B755" s="66">
        <f t="shared" si="1129"/>
        <v>0</v>
      </c>
      <c r="C755" s="66" t="str">
        <f t="shared" si="1129"/>
        <v/>
      </c>
      <c r="D755" s="66">
        <f t="shared" ref="D755:F755" si="1130">D712</f>
        <v>0</v>
      </c>
      <c r="E755" s="145" t="str">
        <f t="shared" si="1130"/>
        <v>日曜</v>
      </c>
      <c r="F755" s="145">
        <f t="shared" si="1130"/>
        <v>19</v>
      </c>
      <c r="G755" s="142">
        <f>PJ工種集計!AD1454</f>
        <v>0</v>
      </c>
    </row>
    <row r="756" spans="1:7">
      <c r="A756" s="66">
        <f t="shared" ref="A756:C756" si="1131">A755</f>
        <v>18</v>
      </c>
      <c r="B756" s="66">
        <f t="shared" si="1131"/>
        <v>0</v>
      </c>
      <c r="C756" s="66" t="str">
        <f t="shared" si="1131"/>
        <v/>
      </c>
      <c r="D756" s="66" t="str">
        <f t="shared" ref="D756:F756" si="1132">D713</f>
        <v>4週</v>
      </c>
      <c r="E756" s="145" t="str">
        <f t="shared" si="1132"/>
        <v>月曜</v>
      </c>
      <c r="F756" s="145">
        <f t="shared" si="1132"/>
        <v>20</v>
      </c>
      <c r="G756" s="142">
        <f>PJ工種集計!AE1454</f>
        <v>0</v>
      </c>
    </row>
    <row r="757" spans="1:7">
      <c r="A757" s="66">
        <f t="shared" ref="A757:C757" si="1133">A756</f>
        <v>18</v>
      </c>
      <c r="B757" s="66">
        <f t="shared" si="1133"/>
        <v>0</v>
      </c>
      <c r="C757" s="66" t="str">
        <f t="shared" si="1133"/>
        <v/>
      </c>
      <c r="D757" s="66">
        <f t="shared" ref="D757:F757" si="1134">D714</f>
        <v>0</v>
      </c>
      <c r="E757" s="145" t="str">
        <f t="shared" si="1134"/>
        <v>火曜</v>
      </c>
      <c r="F757" s="145">
        <f t="shared" si="1134"/>
        <v>21</v>
      </c>
      <c r="G757" s="142">
        <f>PJ工種集計!AF1454</f>
        <v>0</v>
      </c>
    </row>
    <row r="758" spans="1:7">
      <c r="A758" s="66">
        <f t="shared" ref="A758:C758" si="1135">A757</f>
        <v>18</v>
      </c>
      <c r="B758" s="66">
        <f t="shared" si="1135"/>
        <v>0</v>
      </c>
      <c r="C758" s="66" t="str">
        <f t="shared" si="1135"/>
        <v/>
      </c>
      <c r="D758" s="66">
        <f t="shared" ref="D758:F758" si="1136">D715</f>
        <v>0</v>
      </c>
      <c r="E758" s="145" t="str">
        <f t="shared" si="1136"/>
        <v>水曜</v>
      </c>
      <c r="F758" s="145">
        <f t="shared" si="1136"/>
        <v>22</v>
      </c>
      <c r="G758" s="142">
        <f>PJ工種集計!AG1454</f>
        <v>0</v>
      </c>
    </row>
    <row r="759" spans="1:7">
      <c r="A759" s="66">
        <f t="shared" ref="A759:C759" si="1137">A758</f>
        <v>18</v>
      </c>
      <c r="B759" s="66">
        <f t="shared" si="1137"/>
        <v>0</v>
      </c>
      <c r="C759" s="66" t="str">
        <f t="shared" si="1137"/>
        <v/>
      </c>
      <c r="D759" s="66">
        <f t="shared" ref="D759:F759" si="1138">D716</f>
        <v>0</v>
      </c>
      <c r="E759" s="145" t="str">
        <f t="shared" si="1138"/>
        <v>木曜</v>
      </c>
      <c r="F759" s="145">
        <f t="shared" si="1138"/>
        <v>23</v>
      </c>
      <c r="G759" s="142">
        <f>PJ工種集計!AH1454</f>
        <v>0</v>
      </c>
    </row>
    <row r="760" spans="1:7">
      <c r="A760" s="66">
        <f t="shared" ref="A760:C760" si="1139">A759</f>
        <v>18</v>
      </c>
      <c r="B760" s="66">
        <f t="shared" si="1139"/>
        <v>0</v>
      </c>
      <c r="C760" s="66" t="str">
        <f t="shared" si="1139"/>
        <v/>
      </c>
      <c r="D760" s="66">
        <f t="shared" ref="D760:F760" si="1140">D717</f>
        <v>0</v>
      </c>
      <c r="E760" s="145" t="str">
        <f t="shared" si="1140"/>
        <v>金曜</v>
      </c>
      <c r="F760" s="145">
        <f t="shared" si="1140"/>
        <v>24</v>
      </c>
      <c r="G760" s="142">
        <f>PJ工種集計!AI1454</f>
        <v>0</v>
      </c>
    </row>
    <row r="761" spans="1:7">
      <c r="A761" s="66">
        <f t="shared" ref="A761:C761" si="1141">A760</f>
        <v>18</v>
      </c>
      <c r="B761" s="66">
        <f t="shared" si="1141"/>
        <v>0</v>
      </c>
      <c r="C761" s="66" t="str">
        <f t="shared" si="1141"/>
        <v/>
      </c>
      <c r="D761" s="66">
        <f t="shared" ref="D761:F761" si="1142">D718</f>
        <v>0</v>
      </c>
      <c r="E761" s="145" t="str">
        <f t="shared" si="1142"/>
        <v>土曜</v>
      </c>
      <c r="F761" s="145">
        <f t="shared" si="1142"/>
        <v>25</v>
      </c>
      <c r="G761" s="142">
        <f>PJ工種集計!AJ1454</f>
        <v>0</v>
      </c>
    </row>
    <row r="762" spans="1:7">
      <c r="A762" s="66">
        <f t="shared" ref="A762:C762" si="1143">A761</f>
        <v>18</v>
      </c>
      <c r="B762" s="66">
        <f t="shared" si="1143"/>
        <v>0</v>
      </c>
      <c r="C762" s="66" t="str">
        <f t="shared" si="1143"/>
        <v/>
      </c>
      <c r="D762" s="66">
        <f t="shared" ref="D762:F762" si="1144">D719</f>
        <v>0</v>
      </c>
      <c r="E762" s="145" t="str">
        <f t="shared" si="1144"/>
        <v>日曜</v>
      </c>
      <c r="F762" s="145">
        <f t="shared" si="1144"/>
        <v>26</v>
      </c>
      <c r="G762" s="142">
        <f>PJ工種集計!AK1454</f>
        <v>0</v>
      </c>
    </row>
    <row r="763" spans="1:7">
      <c r="A763" s="66">
        <f t="shared" ref="A763:C763" si="1145">A762</f>
        <v>18</v>
      </c>
      <c r="B763" s="66">
        <f t="shared" si="1145"/>
        <v>0</v>
      </c>
      <c r="C763" s="66" t="str">
        <f t="shared" si="1145"/>
        <v/>
      </c>
      <c r="D763" s="66" t="str">
        <f t="shared" ref="D763:F763" si="1146">D720</f>
        <v>5週</v>
      </c>
      <c r="E763" s="145" t="str">
        <f t="shared" si="1146"/>
        <v>月曜</v>
      </c>
      <c r="F763" s="145">
        <f t="shared" si="1146"/>
        <v>27</v>
      </c>
      <c r="G763" s="142">
        <f>PJ工種集計!AL1454</f>
        <v>0</v>
      </c>
    </row>
    <row r="764" spans="1:7">
      <c r="A764" s="66">
        <f t="shared" ref="A764:C764" si="1147">A763</f>
        <v>18</v>
      </c>
      <c r="B764" s="66">
        <f t="shared" si="1147"/>
        <v>0</v>
      </c>
      <c r="C764" s="66" t="str">
        <f t="shared" si="1147"/>
        <v/>
      </c>
      <c r="D764" s="66">
        <f t="shared" ref="D764:F764" si="1148">D721</f>
        <v>0</v>
      </c>
      <c r="E764" s="145" t="str">
        <f t="shared" si="1148"/>
        <v>火曜</v>
      </c>
      <c r="F764" s="145">
        <f t="shared" si="1148"/>
        <v>28</v>
      </c>
      <c r="G764" s="142">
        <f>PJ工種集計!AM1454</f>
        <v>0</v>
      </c>
    </row>
    <row r="765" spans="1:7">
      <c r="A765" s="66">
        <f t="shared" ref="A765:C765" si="1149">A764</f>
        <v>18</v>
      </c>
      <c r="B765" s="66">
        <f t="shared" si="1149"/>
        <v>0</v>
      </c>
      <c r="C765" s="66" t="str">
        <f t="shared" si="1149"/>
        <v/>
      </c>
      <c r="D765" s="66">
        <f t="shared" ref="D765:F765" si="1150">D722</f>
        <v>0</v>
      </c>
      <c r="E765" s="145" t="str">
        <f t="shared" si="1150"/>
        <v>水曜</v>
      </c>
      <c r="F765" s="145">
        <f t="shared" si="1150"/>
        <v>29</v>
      </c>
      <c r="G765" s="142">
        <f>PJ工種集計!AN1454</f>
        <v>0</v>
      </c>
    </row>
    <row r="766" spans="1:7">
      <c r="A766" s="66">
        <f t="shared" ref="A766:C766" si="1151">A765</f>
        <v>18</v>
      </c>
      <c r="B766" s="66">
        <f t="shared" si="1151"/>
        <v>0</v>
      </c>
      <c r="C766" s="66" t="str">
        <f t="shared" si="1151"/>
        <v/>
      </c>
      <c r="D766" s="66">
        <f t="shared" ref="D766:F766" si="1152">D723</f>
        <v>0</v>
      </c>
      <c r="E766" s="145" t="str">
        <f t="shared" si="1152"/>
        <v>木曜</v>
      </c>
      <c r="F766" s="145">
        <f t="shared" si="1152"/>
        <v>30</v>
      </c>
      <c r="G766" s="142">
        <f>PJ工種集計!AO1454</f>
        <v>0</v>
      </c>
    </row>
    <row r="767" spans="1:7">
      <c r="A767" s="66">
        <f t="shared" ref="A767:C767" si="1153">A766</f>
        <v>18</v>
      </c>
      <c r="B767" s="66">
        <f t="shared" si="1153"/>
        <v>0</v>
      </c>
      <c r="C767" s="66" t="str">
        <f t="shared" si="1153"/>
        <v/>
      </c>
      <c r="D767" s="66">
        <f t="shared" ref="D767:F767" si="1154">D724</f>
        <v>0</v>
      </c>
      <c r="E767" s="145" t="str">
        <f t="shared" si="1154"/>
        <v>金曜</v>
      </c>
      <c r="F767" s="145">
        <f t="shared" si="1154"/>
        <v>31</v>
      </c>
      <c r="G767" s="142">
        <f>PJ工種集計!AP1454</f>
        <v>0</v>
      </c>
    </row>
    <row r="768" spans="1:7">
      <c r="A768" s="66">
        <f t="shared" ref="A768:C768" si="1155">A767</f>
        <v>18</v>
      </c>
      <c r="B768" s="66">
        <f t="shared" si="1155"/>
        <v>0</v>
      </c>
      <c r="C768" s="66" t="str">
        <f t="shared" si="1155"/>
        <v/>
      </c>
      <c r="D768" s="66">
        <f t="shared" ref="D768:F768" si="1156">D725</f>
        <v>0</v>
      </c>
      <c r="E768" s="145" t="str">
        <f t="shared" si="1156"/>
        <v>土曜</v>
      </c>
      <c r="F768" s="145" t="str">
        <f t="shared" si="1156"/>
        <v/>
      </c>
      <c r="G768" s="142">
        <f>PJ工種集計!AQ1454</f>
        <v>0</v>
      </c>
    </row>
    <row r="769" spans="1:7">
      <c r="A769" s="66">
        <f t="shared" ref="A769:C769" si="1157">A768</f>
        <v>18</v>
      </c>
      <c r="B769" s="66">
        <f t="shared" si="1157"/>
        <v>0</v>
      </c>
      <c r="C769" s="66" t="str">
        <f t="shared" si="1157"/>
        <v/>
      </c>
      <c r="D769" s="66">
        <f t="shared" ref="D769:F769" si="1158">D726</f>
        <v>0</v>
      </c>
      <c r="E769" s="145" t="str">
        <f t="shared" si="1158"/>
        <v>日曜</v>
      </c>
      <c r="F769" s="145" t="str">
        <f t="shared" si="1158"/>
        <v/>
      </c>
      <c r="G769" s="142">
        <f>PJ工種集計!AR1454</f>
        <v>0</v>
      </c>
    </row>
    <row r="770" spans="1:7">
      <c r="A770" s="66">
        <f t="shared" ref="A770:C770" si="1159">A769</f>
        <v>18</v>
      </c>
      <c r="B770" s="66">
        <f t="shared" si="1159"/>
        <v>0</v>
      </c>
      <c r="C770" s="66" t="str">
        <f t="shared" si="1159"/>
        <v/>
      </c>
      <c r="D770" s="66" t="str">
        <f t="shared" ref="D770:F770" si="1160">D727</f>
        <v>6週</v>
      </c>
      <c r="E770" s="145" t="str">
        <f t="shared" si="1160"/>
        <v>月曜</v>
      </c>
      <c r="F770" s="145" t="str">
        <f t="shared" si="1160"/>
        <v/>
      </c>
      <c r="G770" s="142">
        <f>PJ工種集計!AS1454</f>
        <v>0</v>
      </c>
    </row>
    <row r="771" spans="1:7">
      <c r="A771" s="66">
        <f t="shared" ref="A771:C771" si="1161">A770</f>
        <v>18</v>
      </c>
      <c r="B771" s="66">
        <f t="shared" si="1161"/>
        <v>0</v>
      </c>
      <c r="C771" s="66" t="str">
        <f t="shared" si="1161"/>
        <v/>
      </c>
      <c r="D771" s="66">
        <f t="shared" ref="D771:F771" si="1162">D728</f>
        <v>0</v>
      </c>
      <c r="E771" s="145" t="str">
        <f t="shared" si="1162"/>
        <v>火曜</v>
      </c>
      <c r="F771" s="145" t="str">
        <f t="shared" si="1162"/>
        <v/>
      </c>
      <c r="G771" s="142">
        <f>PJ工種集計!AT1454</f>
        <v>0</v>
      </c>
    </row>
    <row r="772" spans="1:7">
      <c r="A772" s="66">
        <f t="shared" ref="A772:C772" si="1163">A771</f>
        <v>18</v>
      </c>
      <c r="B772" s="66">
        <f t="shared" si="1163"/>
        <v>0</v>
      </c>
      <c r="C772" s="66" t="str">
        <f t="shared" si="1163"/>
        <v/>
      </c>
      <c r="D772" s="66">
        <f t="shared" ref="D772:F772" si="1164">D729</f>
        <v>0</v>
      </c>
      <c r="E772" s="145" t="str">
        <f t="shared" si="1164"/>
        <v>水曜</v>
      </c>
      <c r="F772" s="145" t="str">
        <f t="shared" si="1164"/>
        <v/>
      </c>
      <c r="G772" s="142">
        <f>PJ工種集計!AU1454</f>
        <v>0</v>
      </c>
    </row>
    <row r="773" spans="1:7">
      <c r="A773" s="66">
        <f t="shared" ref="A773:C773" si="1165">A772</f>
        <v>18</v>
      </c>
      <c r="B773" s="66">
        <f t="shared" si="1165"/>
        <v>0</v>
      </c>
      <c r="C773" s="66" t="str">
        <f t="shared" si="1165"/>
        <v/>
      </c>
      <c r="D773" s="66">
        <f t="shared" ref="D773:F773" si="1166">D730</f>
        <v>0</v>
      </c>
      <c r="E773" s="145" t="str">
        <f t="shared" si="1166"/>
        <v>木曜</v>
      </c>
      <c r="F773" s="145" t="str">
        <f t="shared" si="1166"/>
        <v/>
      </c>
      <c r="G773" s="142">
        <f>PJ工種集計!AV1454</f>
        <v>0</v>
      </c>
    </row>
    <row r="774" spans="1:7">
      <c r="A774" s="66">
        <f t="shared" ref="A774:C774" si="1167">A773</f>
        <v>18</v>
      </c>
      <c r="B774" s="66">
        <f t="shared" si="1167"/>
        <v>0</v>
      </c>
      <c r="C774" s="66" t="str">
        <f t="shared" si="1167"/>
        <v/>
      </c>
      <c r="D774" s="66">
        <f t="shared" ref="D774:F774" si="1168">D731</f>
        <v>0</v>
      </c>
      <c r="E774" s="145" t="str">
        <f t="shared" si="1168"/>
        <v>金曜</v>
      </c>
      <c r="F774" s="145" t="str">
        <f t="shared" si="1168"/>
        <v/>
      </c>
      <c r="G774" s="142">
        <f>PJ工種集計!AW1454</f>
        <v>0</v>
      </c>
    </row>
    <row r="775" spans="1:7">
      <c r="A775" s="66">
        <f t="shared" ref="A775:C775" si="1169">A774</f>
        <v>18</v>
      </c>
      <c r="B775" s="66">
        <f t="shared" si="1169"/>
        <v>0</v>
      </c>
      <c r="C775" s="66" t="str">
        <f t="shared" si="1169"/>
        <v/>
      </c>
      <c r="D775" s="66">
        <f t="shared" ref="D775:F775" si="1170">D732</f>
        <v>0</v>
      </c>
      <c r="E775" s="145" t="str">
        <f t="shared" si="1170"/>
        <v>土曜</v>
      </c>
      <c r="F775" s="145" t="str">
        <f t="shared" si="1170"/>
        <v/>
      </c>
      <c r="G775" s="142">
        <f>PJ工種集計!AX1454</f>
        <v>0</v>
      </c>
    </row>
    <row r="776" spans="1:7">
      <c r="A776" s="66">
        <f t="shared" ref="A776:C776" si="1171">A775</f>
        <v>18</v>
      </c>
      <c r="B776" s="66">
        <f t="shared" si="1171"/>
        <v>0</v>
      </c>
      <c r="C776" s="66" t="str">
        <f t="shared" si="1171"/>
        <v/>
      </c>
      <c r="D776" s="66">
        <f t="shared" ref="D776:F776" si="1172">D733</f>
        <v>0</v>
      </c>
      <c r="E776" s="145" t="str">
        <f t="shared" si="1172"/>
        <v>日曜</v>
      </c>
      <c r="F776" s="145" t="str">
        <f t="shared" si="1172"/>
        <v/>
      </c>
      <c r="G776" s="142">
        <f>PJ工種集計!AY1454</f>
        <v>0</v>
      </c>
    </row>
    <row r="778" spans="1:7">
      <c r="A778" s="66">
        <f>PJ工種集計!A1538</f>
        <v>19</v>
      </c>
      <c r="B778" s="66">
        <f>PJ工種集計!B1538</f>
        <v>0</v>
      </c>
      <c r="C778" s="66" t="str">
        <f>PJ工種集計!C1538</f>
        <v/>
      </c>
      <c r="D778" s="66" t="str">
        <f>D735</f>
        <v>１週</v>
      </c>
      <c r="E778" s="145" t="str">
        <f>E735</f>
        <v>月曜</v>
      </c>
      <c r="F778" s="145" t="str">
        <f>F735</f>
        <v/>
      </c>
      <c r="G778" s="142">
        <f>PJ工種集計!J1539</f>
        <v>0</v>
      </c>
    </row>
    <row r="779" spans="1:7">
      <c r="A779" s="66">
        <f t="shared" ref="A779:C779" si="1173">A778</f>
        <v>19</v>
      </c>
      <c r="B779" s="66">
        <f t="shared" si="1173"/>
        <v>0</v>
      </c>
      <c r="C779" s="66" t="str">
        <f t="shared" si="1173"/>
        <v/>
      </c>
      <c r="D779" s="66">
        <f t="shared" ref="D779:F779" si="1174">D736</f>
        <v>0</v>
      </c>
      <c r="E779" s="145" t="str">
        <f t="shared" si="1174"/>
        <v>火曜</v>
      </c>
      <c r="F779" s="145" t="str">
        <f t="shared" si="1174"/>
        <v/>
      </c>
      <c r="G779" s="142">
        <f>PJ工種集計!K1539</f>
        <v>0</v>
      </c>
    </row>
    <row r="780" spans="1:7">
      <c r="A780" s="66">
        <f t="shared" ref="A780:C780" si="1175">A779</f>
        <v>19</v>
      </c>
      <c r="B780" s="66">
        <f t="shared" si="1175"/>
        <v>0</v>
      </c>
      <c r="C780" s="66" t="str">
        <f t="shared" si="1175"/>
        <v/>
      </c>
      <c r="D780" s="66">
        <f t="shared" ref="D780:F780" si="1176">D737</f>
        <v>0</v>
      </c>
      <c r="E780" s="145" t="str">
        <f t="shared" si="1176"/>
        <v>水曜</v>
      </c>
      <c r="F780" s="145">
        <f t="shared" si="1176"/>
        <v>1</v>
      </c>
      <c r="G780" s="142">
        <f>PJ工種集計!L1539</f>
        <v>0</v>
      </c>
    </row>
    <row r="781" spans="1:7">
      <c r="A781" s="66">
        <f t="shared" ref="A781:C781" si="1177">A780</f>
        <v>19</v>
      </c>
      <c r="B781" s="66">
        <f t="shared" si="1177"/>
        <v>0</v>
      </c>
      <c r="C781" s="66" t="str">
        <f t="shared" si="1177"/>
        <v/>
      </c>
      <c r="D781" s="66">
        <f t="shared" ref="D781:F781" si="1178">D738</f>
        <v>0</v>
      </c>
      <c r="E781" s="145" t="str">
        <f t="shared" si="1178"/>
        <v>木曜</v>
      </c>
      <c r="F781" s="145">
        <f t="shared" si="1178"/>
        <v>2</v>
      </c>
      <c r="G781" s="142">
        <f>PJ工種集計!M1539</f>
        <v>0</v>
      </c>
    </row>
    <row r="782" spans="1:7">
      <c r="A782" s="66">
        <f t="shared" ref="A782:C782" si="1179">A781</f>
        <v>19</v>
      </c>
      <c r="B782" s="66">
        <f t="shared" si="1179"/>
        <v>0</v>
      </c>
      <c r="C782" s="66" t="str">
        <f t="shared" si="1179"/>
        <v/>
      </c>
      <c r="D782" s="66">
        <f t="shared" ref="D782:F782" si="1180">D739</f>
        <v>0</v>
      </c>
      <c r="E782" s="145" t="str">
        <f t="shared" si="1180"/>
        <v>金曜</v>
      </c>
      <c r="F782" s="145">
        <f t="shared" si="1180"/>
        <v>3</v>
      </c>
      <c r="G782" s="142">
        <f>PJ工種集計!N1539</f>
        <v>0</v>
      </c>
    </row>
    <row r="783" spans="1:7">
      <c r="A783" s="66">
        <f t="shared" ref="A783:C783" si="1181">A782</f>
        <v>19</v>
      </c>
      <c r="B783" s="66">
        <f t="shared" si="1181"/>
        <v>0</v>
      </c>
      <c r="C783" s="66" t="str">
        <f t="shared" si="1181"/>
        <v/>
      </c>
      <c r="D783" s="66">
        <f t="shared" ref="D783:F783" si="1182">D740</f>
        <v>0</v>
      </c>
      <c r="E783" s="145" t="str">
        <f t="shared" si="1182"/>
        <v>土曜</v>
      </c>
      <c r="F783" s="145">
        <f t="shared" si="1182"/>
        <v>4</v>
      </c>
      <c r="G783" s="142">
        <f>PJ工種集計!O1539</f>
        <v>0</v>
      </c>
    </row>
    <row r="784" spans="1:7">
      <c r="A784" s="66">
        <f t="shared" ref="A784:C784" si="1183">A783</f>
        <v>19</v>
      </c>
      <c r="B784" s="66">
        <f t="shared" si="1183"/>
        <v>0</v>
      </c>
      <c r="C784" s="66" t="str">
        <f t="shared" si="1183"/>
        <v/>
      </c>
      <c r="D784" s="66">
        <f t="shared" ref="D784:F784" si="1184">D741</f>
        <v>0</v>
      </c>
      <c r="E784" s="145" t="str">
        <f t="shared" si="1184"/>
        <v>日曜</v>
      </c>
      <c r="F784" s="145">
        <f t="shared" si="1184"/>
        <v>5</v>
      </c>
      <c r="G784" s="142">
        <f>PJ工種集計!P1539</f>
        <v>0</v>
      </c>
    </row>
    <row r="785" spans="1:7">
      <c r="A785" s="66">
        <f t="shared" ref="A785:C785" si="1185">A784</f>
        <v>19</v>
      </c>
      <c r="B785" s="66">
        <f t="shared" si="1185"/>
        <v>0</v>
      </c>
      <c r="C785" s="66" t="str">
        <f t="shared" si="1185"/>
        <v/>
      </c>
      <c r="D785" s="66" t="str">
        <f t="shared" ref="D785:F785" si="1186">D742</f>
        <v>2週</v>
      </c>
      <c r="E785" s="145" t="str">
        <f t="shared" si="1186"/>
        <v>月曜</v>
      </c>
      <c r="F785" s="145">
        <f t="shared" si="1186"/>
        <v>6</v>
      </c>
      <c r="G785" s="142">
        <f>PJ工種集計!Q1539</f>
        <v>0</v>
      </c>
    </row>
    <row r="786" spans="1:7">
      <c r="A786" s="66">
        <f t="shared" ref="A786:C786" si="1187">A785</f>
        <v>19</v>
      </c>
      <c r="B786" s="66">
        <f t="shared" si="1187"/>
        <v>0</v>
      </c>
      <c r="C786" s="66" t="str">
        <f t="shared" si="1187"/>
        <v/>
      </c>
      <c r="D786" s="66">
        <f t="shared" ref="D786:F786" si="1188">D743</f>
        <v>0</v>
      </c>
      <c r="E786" s="145" t="str">
        <f t="shared" si="1188"/>
        <v>火曜</v>
      </c>
      <c r="F786" s="145">
        <f t="shared" si="1188"/>
        <v>7</v>
      </c>
      <c r="G786" s="142">
        <f>PJ工種集計!R1539</f>
        <v>0</v>
      </c>
    </row>
    <row r="787" spans="1:7">
      <c r="A787" s="66">
        <f t="shared" ref="A787:C787" si="1189">A786</f>
        <v>19</v>
      </c>
      <c r="B787" s="66">
        <f t="shared" si="1189"/>
        <v>0</v>
      </c>
      <c r="C787" s="66" t="str">
        <f t="shared" si="1189"/>
        <v/>
      </c>
      <c r="D787" s="66">
        <f t="shared" ref="D787:F787" si="1190">D744</f>
        <v>0</v>
      </c>
      <c r="E787" s="145" t="str">
        <f t="shared" si="1190"/>
        <v>水曜</v>
      </c>
      <c r="F787" s="145">
        <f t="shared" si="1190"/>
        <v>8</v>
      </c>
      <c r="G787" s="142">
        <f>PJ工種集計!S1539</f>
        <v>0</v>
      </c>
    </row>
    <row r="788" spans="1:7">
      <c r="A788" s="66">
        <f t="shared" ref="A788:C788" si="1191">A787</f>
        <v>19</v>
      </c>
      <c r="B788" s="66">
        <f t="shared" si="1191"/>
        <v>0</v>
      </c>
      <c r="C788" s="66" t="str">
        <f t="shared" si="1191"/>
        <v/>
      </c>
      <c r="D788" s="66">
        <f t="shared" ref="D788:F788" si="1192">D745</f>
        <v>0</v>
      </c>
      <c r="E788" s="145" t="str">
        <f t="shared" si="1192"/>
        <v>木曜</v>
      </c>
      <c r="F788" s="145">
        <f t="shared" si="1192"/>
        <v>9</v>
      </c>
      <c r="G788" s="142">
        <f>PJ工種集計!T1539</f>
        <v>0</v>
      </c>
    </row>
    <row r="789" spans="1:7">
      <c r="A789" s="66">
        <f t="shared" ref="A789:C789" si="1193">A788</f>
        <v>19</v>
      </c>
      <c r="B789" s="66">
        <f t="shared" si="1193"/>
        <v>0</v>
      </c>
      <c r="C789" s="66" t="str">
        <f t="shared" si="1193"/>
        <v/>
      </c>
      <c r="D789" s="66">
        <f t="shared" ref="D789:F789" si="1194">D746</f>
        <v>0</v>
      </c>
      <c r="E789" s="145" t="str">
        <f t="shared" si="1194"/>
        <v>金曜</v>
      </c>
      <c r="F789" s="145">
        <f t="shared" si="1194"/>
        <v>10</v>
      </c>
      <c r="G789" s="142">
        <f>PJ工種集計!U1539</f>
        <v>0</v>
      </c>
    </row>
    <row r="790" spans="1:7">
      <c r="A790" s="66">
        <f t="shared" ref="A790:C790" si="1195">A789</f>
        <v>19</v>
      </c>
      <c r="B790" s="66">
        <f t="shared" si="1195"/>
        <v>0</v>
      </c>
      <c r="C790" s="66" t="str">
        <f t="shared" si="1195"/>
        <v/>
      </c>
      <c r="D790" s="66">
        <f t="shared" ref="D790:F790" si="1196">D747</f>
        <v>0</v>
      </c>
      <c r="E790" s="145" t="str">
        <f t="shared" si="1196"/>
        <v>土曜</v>
      </c>
      <c r="F790" s="145">
        <f t="shared" si="1196"/>
        <v>11</v>
      </c>
      <c r="G790" s="142">
        <f>PJ工種集計!V1539</f>
        <v>0</v>
      </c>
    </row>
    <row r="791" spans="1:7">
      <c r="A791" s="66">
        <f t="shared" ref="A791:C791" si="1197">A790</f>
        <v>19</v>
      </c>
      <c r="B791" s="66">
        <f t="shared" si="1197"/>
        <v>0</v>
      </c>
      <c r="C791" s="66" t="str">
        <f t="shared" si="1197"/>
        <v/>
      </c>
      <c r="D791" s="66">
        <f t="shared" ref="D791:F791" si="1198">D748</f>
        <v>0</v>
      </c>
      <c r="E791" s="145" t="str">
        <f t="shared" si="1198"/>
        <v>日曜</v>
      </c>
      <c r="F791" s="145">
        <f t="shared" si="1198"/>
        <v>12</v>
      </c>
      <c r="G791" s="142">
        <f>PJ工種集計!W1539</f>
        <v>0</v>
      </c>
    </row>
    <row r="792" spans="1:7">
      <c r="A792" s="66">
        <f t="shared" ref="A792:C792" si="1199">A791</f>
        <v>19</v>
      </c>
      <c r="B792" s="66">
        <f t="shared" si="1199"/>
        <v>0</v>
      </c>
      <c r="C792" s="66" t="str">
        <f t="shared" si="1199"/>
        <v/>
      </c>
      <c r="D792" s="66" t="str">
        <f t="shared" ref="D792:F792" si="1200">D749</f>
        <v>3週</v>
      </c>
      <c r="E792" s="145" t="str">
        <f t="shared" si="1200"/>
        <v>月曜</v>
      </c>
      <c r="F792" s="145">
        <f t="shared" si="1200"/>
        <v>13</v>
      </c>
      <c r="G792" s="142">
        <f>PJ工種集計!X1539</f>
        <v>0</v>
      </c>
    </row>
    <row r="793" spans="1:7">
      <c r="A793" s="66">
        <f t="shared" ref="A793:C793" si="1201">A792</f>
        <v>19</v>
      </c>
      <c r="B793" s="66">
        <f t="shared" si="1201"/>
        <v>0</v>
      </c>
      <c r="C793" s="66" t="str">
        <f t="shared" si="1201"/>
        <v/>
      </c>
      <c r="D793" s="66">
        <f t="shared" ref="D793:F793" si="1202">D750</f>
        <v>0</v>
      </c>
      <c r="E793" s="145" t="str">
        <f t="shared" si="1202"/>
        <v>火曜</v>
      </c>
      <c r="F793" s="145">
        <f t="shared" si="1202"/>
        <v>14</v>
      </c>
      <c r="G793" s="142">
        <f>PJ工種集計!Y1539</f>
        <v>0</v>
      </c>
    </row>
    <row r="794" spans="1:7">
      <c r="A794" s="66">
        <f t="shared" ref="A794:C794" si="1203">A793</f>
        <v>19</v>
      </c>
      <c r="B794" s="66">
        <f t="shared" si="1203"/>
        <v>0</v>
      </c>
      <c r="C794" s="66" t="str">
        <f t="shared" si="1203"/>
        <v/>
      </c>
      <c r="D794" s="66">
        <f t="shared" ref="D794:F794" si="1204">D751</f>
        <v>0</v>
      </c>
      <c r="E794" s="145" t="str">
        <f t="shared" si="1204"/>
        <v>水曜</v>
      </c>
      <c r="F794" s="145">
        <f t="shared" si="1204"/>
        <v>15</v>
      </c>
      <c r="G794" s="142">
        <f>PJ工種集計!Z1539</f>
        <v>0</v>
      </c>
    </row>
    <row r="795" spans="1:7">
      <c r="A795" s="66">
        <f t="shared" ref="A795:C795" si="1205">A794</f>
        <v>19</v>
      </c>
      <c r="B795" s="66">
        <f t="shared" si="1205"/>
        <v>0</v>
      </c>
      <c r="C795" s="66" t="str">
        <f t="shared" si="1205"/>
        <v/>
      </c>
      <c r="D795" s="66">
        <f t="shared" ref="D795:F795" si="1206">D752</f>
        <v>0</v>
      </c>
      <c r="E795" s="145" t="str">
        <f t="shared" si="1206"/>
        <v>木曜</v>
      </c>
      <c r="F795" s="145">
        <f t="shared" si="1206"/>
        <v>16</v>
      </c>
      <c r="G795" s="142">
        <f>PJ工種集計!AA1539</f>
        <v>0</v>
      </c>
    </row>
    <row r="796" spans="1:7">
      <c r="A796" s="66">
        <f t="shared" ref="A796:C796" si="1207">A795</f>
        <v>19</v>
      </c>
      <c r="B796" s="66">
        <f t="shared" si="1207"/>
        <v>0</v>
      </c>
      <c r="C796" s="66" t="str">
        <f t="shared" si="1207"/>
        <v/>
      </c>
      <c r="D796" s="66">
        <f t="shared" ref="D796:F796" si="1208">D753</f>
        <v>0</v>
      </c>
      <c r="E796" s="145" t="str">
        <f t="shared" si="1208"/>
        <v>金曜</v>
      </c>
      <c r="F796" s="145">
        <f t="shared" si="1208"/>
        <v>17</v>
      </c>
      <c r="G796" s="142">
        <f>PJ工種集計!AB1539</f>
        <v>0</v>
      </c>
    </row>
    <row r="797" spans="1:7">
      <c r="A797" s="66">
        <f t="shared" ref="A797:C797" si="1209">A796</f>
        <v>19</v>
      </c>
      <c r="B797" s="66">
        <f t="shared" si="1209"/>
        <v>0</v>
      </c>
      <c r="C797" s="66" t="str">
        <f t="shared" si="1209"/>
        <v/>
      </c>
      <c r="D797" s="66">
        <f t="shared" ref="D797:F797" si="1210">D754</f>
        <v>0</v>
      </c>
      <c r="E797" s="145" t="str">
        <f t="shared" si="1210"/>
        <v>土曜</v>
      </c>
      <c r="F797" s="145">
        <f t="shared" si="1210"/>
        <v>18</v>
      </c>
      <c r="G797" s="142">
        <f>PJ工種集計!AC1539</f>
        <v>0</v>
      </c>
    </row>
    <row r="798" spans="1:7">
      <c r="A798" s="66">
        <f t="shared" ref="A798:C798" si="1211">A797</f>
        <v>19</v>
      </c>
      <c r="B798" s="66">
        <f t="shared" si="1211"/>
        <v>0</v>
      </c>
      <c r="C798" s="66" t="str">
        <f t="shared" si="1211"/>
        <v/>
      </c>
      <c r="D798" s="66">
        <f t="shared" ref="D798:F798" si="1212">D755</f>
        <v>0</v>
      </c>
      <c r="E798" s="145" t="str">
        <f t="shared" si="1212"/>
        <v>日曜</v>
      </c>
      <c r="F798" s="145">
        <f t="shared" si="1212"/>
        <v>19</v>
      </c>
      <c r="G798" s="142">
        <f>PJ工種集計!AD1539</f>
        <v>0</v>
      </c>
    </row>
    <row r="799" spans="1:7">
      <c r="A799" s="66">
        <f t="shared" ref="A799:C799" si="1213">A798</f>
        <v>19</v>
      </c>
      <c r="B799" s="66">
        <f t="shared" si="1213"/>
        <v>0</v>
      </c>
      <c r="C799" s="66" t="str">
        <f t="shared" si="1213"/>
        <v/>
      </c>
      <c r="D799" s="66" t="str">
        <f t="shared" ref="D799:F799" si="1214">D756</f>
        <v>4週</v>
      </c>
      <c r="E799" s="145" t="str">
        <f t="shared" si="1214"/>
        <v>月曜</v>
      </c>
      <c r="F799" s="145">
        <f t="shared" si="1214"/>
        <v>20</v>
      </c>
      <c r="G799" s="142">
        <f>PJ工種集計!AE1539</f>
        <v>0</v>
      </c>
    </row>
    <row r="800" spans="1:7">
      <c r="A800" s="66">
        <f t="shared" ref="A800:C800" si="1215">A799</f>
        <v>19</v>
      </c>
      <c r="B800" s="66">
        <f t="shared" si="1215"/>
        <v>0</v>
      </c>
      <c r="C800" s="66" t="str">
        <f t="shared" si="1215"/>
        <v/>
      </c>
      <c r="D800" s="66">
        <f t="shared" ref="D800:F800" si="1216">D757</f>
        <v>0</v>
      </c>
      <c r="E800" s="145" t="str">
        <f t="shared" si="1216"/>
        <v>火曜</v>
      </c>
      <c r="F800" s="145">
        <f t="shared" si="1216"/>
        <v>21</v>
      </c>
      <c r="G800" s="142">
        <f>PJ工種集計!AF1539</f>
        <v>0</v>
      </c>
    </row>
    <row r="801" spans="1:7">
      <c r="A801" s="66">
        <f t="shared" ref="A801:C801" si="1217">A800</f>
        <v>19</v>
      </c>
      <c r="B801" s="66">
        <f t="shared" si="1217"/>
        <v>0</v>
      </c>
      <c r="C801" s="66" t="str">
        <f t="shared" si="1217"/>
        <v/>
      </c>
      <c r="D801" s="66">
        <f t="shared" ref="D801:F801" si="1218">D758</f>
        <v>0</v>
      </c>
      <c r="E801" s="145" t="str">
        <f t="shared" si="1218"/>
        <v>水曜</v>
      </c>
      <c r="F801" s="145">
        <f t="shared" si="1218"/>
        <v>22</v>
      </c>
      <c r="G801" s="142">
        <f>PJ工種集計!AG1539</f>
        <v>0</v>
      </c>
    </row>
    <row r="802" spans="1:7">
      <c r="A802" s="66">
        <f t="shared" ref="A802:C802" si="1219">A801</f>
        <v>19</v>
      </c>
      <c r="B802" s="66">
        <f t="shared" si="1219"/>
        <v>0</v>
      </c>
      <c r="C802" s="66" t="str">
        <f t="shared" si="1219"/>
        <v/>
      </c>
      <c r="D802" s="66">
        <f t="shared" ref="D802:F802" si="1220">D759</f>
        <v>0</v>
      </c>
      <c r="E802" s="145" t="str">
        <f t="shared" si="1220"/>
        <v>木曜</v>
      </c>
      <c r="F802" s="145">
        <f t="shared" si="1220"/>
        <v>23</v>
      </c>
      <c r="G802" s="142">
        <f>PJ工種集計!AH1539</f>
        <v>0</v>
      </c>
    </row>
    <row r="803" spans="1:7">
      <c r="A803" s="66">
        <f t="shared" ref="A803:C803" si="1221">A802</f>
        <v>19</v>
      </c>
      <c r="B803" s="66">
        <f t="shared" si="1221"/>
        <v>0</v>
      </c>
      <c r="C803" s="66" t="str">
        <f t="shared" si="1221"/>
        <v/>
      </c>
      <c r="D803" s="66">
        <f t="shared" ref="D803:F803" si="1222">D760</f>
        <v>0</v>
      </c>
      <c r="E803" s="145" t="str">
        <f t="shared" si="1222"/>
        <v>金曜</v>
      </c>
      <c r="F803" s="145">
        <f t="shared" si="1222"/>
        <v>24</v>
      </c>
      <c r="G803" s="142">
        <f>PJ工種集計!AI1539</f>
        <v>0</v>
      </c>
    </row>
    <row r="804" spans="1:7">
      <c r="A804" s="66">
        <f t="shared" ref="A804:C804" si="1223">A803</f>
        <v>19</v>
      </c>
      <c r="B804" s="66">
        <f t="shared" si="1223"/>
        <v>0</v>
      </c>
      <c r="C804" s="66" t="str">
        <f t="shared" si="1223"/>
        <v/>
      </c>
      <c r="D804" s="66">
        <f t="shared" ref="D804:F804" si="1224">D761</f>
        <v>0</v>
      </c>
      <c r="E804" s="145" t="str">
        <f t="shared" si="1224"/>
        <v>土曜</v>
      </c>
      <c r="F804" s="145">
        <f t="shared" si="1224"/>
        <v>25</v>
      </c>
      <c r="G804" s="142">
        <f>PJ工種集計!AJ1539</f>
        <v>0</v>
      </c>
    </row>
    <row r="805" spans="1:7">
      <c r="A805" s="66">
        <f t="shared" ref="A805:C805" si="1225">A804</f>
        <v>19</v>
      </c>
      <c r="B805" s="66">
        <f t="shared" si="1225"/>
        <v>0</v>
      </c>
      <c r="C805" s="66" t="str">
        <f t="shared" si="1225"/>
        <v/>
      </c>
      <c r="D805" s="66">
        <f t="shared" ref="D805:F805" si="1226">D762</f>
        <v>0</v>
      </c>
      <c r="E805" s="145" t="str">
        <f t="shared" si="1226"/>
        <v>日曜</v>
      </c>
      <c r="F805" s="145">
        <f t="shared" si="1226"/>
        <v>26</v>
      </c>
      <c r="G805" s="142">
        <f>PJ工種集計!AK1539</f>
        <v>0</v>
      </c>
    </row>
    <row r="806" spans="1:7">
      <c r="A806" s="66">
        <f t="shared" ref="A806:C806" si="1227">A805</f>
        <v>19</v>
      </c>
      <c r="B806" s="66">
        <f t="shared" si="1227"/>
        <v>0</v>
      </c>
      <c r="C806" s="66" t="str">
        <f t="shared" si="1227"/>
        <v/>
      </c>
      <c r="D806" s="66" t="str">
        <f t="shared" ref="D806:F806" si="1228">D763</f>
        <v>5週</v>
      </c>
      <c r="E806" s="145" t="str">
        <f t="shared" si="1228"/>
        <v>月曜</v>
      </c>
      <c r="F806" s="145">
        <f t="shared" si="1228"/>
        <v>27</v>
      </c>
      <c r="G806" s="142">
        <f>PJ工種集計!AL1539</f>
        <v>0</v>
      </c>
    </row>
    <row r="807" spans="1:7">
      <c r="A807" s="66">
        <f t="shared" ref="A807:C807" si="1229">A806</f>
        <v>19</v>
      </c>
      <c r="B807" s="66">
        <f t="shared" si="1229"/>
        <v>0</v>
      </c>
      <c r="C807" s="66" t="str">
        <f t="shared" si="1229"/>
        <v/>
      </c>
      <c r="D807" s="66">
        <f t="shared" ref="D807:F807" si="1230">D764</f>
        <v>0</v>
      </c>
      <c r="E807" s="145" t="str">
        <f t="shared" si="1230"/>
        <v>火曜</v>
      </c>
      <c r="F807" s="145">
        <f t="shared" si="1230"/>
        <v>28</v>
      </c>
      <c r="G807" s="142">
        <f>PJ工種集計!AM1539</f>
        <v>0</v>
      </c>
    </row>
    <row r="808" spans="1:7">
      <c r="A808" s="66">
        <f t="shared" ref="A808:C808" si="1231">A807</f>
        <v>19</v>
      </c>
      <c r="B808" s="66">
        <f t="shared" si="1231"/>
        <v>0</v>
      </c>
      <c r="C808" s="66" t="str">
        <f t="shared" si="1231"/>
        <v/>
      </c>
      <c r="D808" s="66">
        <f t="shared" ref="D808:F808" si="1232">D765</f>
        <v>0</v>
      </c>
      <c r="E808" s="145" t="str">
        <f t="shared" si="1232"/>
        <v>水曜</v>
      </c>
      <c r="F808" s="145">
        <f t="shared" si="1232"/>
        <v>29</v>
      </c>
      <c r="G808" s="142">
        <f>PJ工種集計!AN1539</f>
        <v>0</v>
      </c>
    </row>
    <row r="809" spans="1:7">
      <c r="A809" s="66">
        <f t="shared" ref="A809:C809" si="1233">A808</f>
        <v>19</v>
      </c>
      <c r="B809" s="66">
        <f t="shared" si="1233"/>
        <v>0</v>
      </c>
      <c r="C809" s="66" t="str">
        <f t="shared" si="1233"/>
        <v/>
      </c>
      <c r="D809" s="66">
        <f t="shared" ref="D809:F809" si="1234">D766</f>
        <v>0</v>
      </c>
      <c r="E809" s="145" t="str">
        <f t="shared" si="1234"/>
        <v>木曜</v>
      </c>
      <c r="F809" s="145">
        <f t="shared" si="1234"/>
        <v>30</v>
      </c>
      <c r="G809" s="142">
        <f>PJ工種集計!AO1539</f>
        <v>0</v>
      </c>
    </row>
    <row r="810" spans="1:7">
      <c r="A810" s="66">
        <f t="shared" ref="A810:C810" si="1235">A809</f>
        <v>19</v>
      </c>
      <c r="B810" s="66">
        <f t="shared" si="1235"/>
        <v>0</v>
      </c>
      <c r="C810" s="66" t="str">
        <f t="shared" si="1235"/>
        <v/>
      </c>
      <c r="D810" s="66">
        <f t="shared" ref="D810:F810" si="1236">D767</f>
        <v>0</v>
      </c>
      <c r="E810" s="145" t="str">
        <f t="shared" si="1236"/>
        <v>金曜</v>
      </c>
      <c r="F810" s="145">
        <f t="shared" si="1236"/>
        <v>31</v>
      </c>
      <c r="G810" s="142">
        <f>PJ工種集計!AP1539</f>
        <v>0</v>
      </c>
    </row>
    <row r="811" spans="1:7">
      <c r="A811" s="66">
        <f t="shared" ref="A811:C811" si="1237">A810</f>
        <v>19</v>
      </c>
      <c r="B811" s="66">
        <f t="shared" si="1237"/>
        <v>0</v>
      </c>
      <c r="C811" s="66" t="str">
        <f t="shared" si="1237"/>
        <v/>
      </c>
      <c r="D811" s="66">
        <f t="shared" ref="D811:F811" si="1238">D768</f>
        <v>0</v>
      </c>
      <c r="E811" s="145" t="str">
        <f t="shared" si="1238"/>
        <v>土曜</v>
      </c>
      <c r="F811" s="145" t="str">
        <f t="shared" si="1238"/>
        <v/>
      </c>
      <c r="G811" s="142">
        <f>PJ工種集計!AQ1539</f>
        <v>0</v>
      </c>
    </row>
    <row r="812" spans="1:7">
      <c r="A812" s="66">
        <f t="shared" ref="A812:C812" si="1239">A811</f>
        <v>19</v>
      </c>
      <c r="B812" s="66">
        <f t="shared" si="1239"/>
        <v>0</v>
      </c>
      <c r="C812" s="66" t="str">
        <f t="shared" si="1239"/>
        <v/>
      </c>
      <c r="D812" s="66">
        <f t="shared" ref="D812:F812" si="1240">D769</f>
        <v>0</v>
      </c>
      <c r="E812" s="145" t="str">
        <f t="shared" si="1240"/>
        <v>日曜</v>
      </c>
      <c r="F812" s="145" t="str">
        <f t="shared" si="1240"/>
        <v/>
      </c>
      <c r="G812" s="142">
        <f>PJ工種集計!AR1539</f>
        <v>0</v>
      </c>
    </row>
    <row r="813" spans="1:7">
      <c r="A813" s="66">
        <f t="shared" ref="A813:C813" si="1241">A812</f>
        <v>19</v>
      </c>
      <c r="B813" s="66">
        <f t="shared" si="1241"/>
        <v>0</v>
      </c>
      <c r="C813" s="66" t="str">
        <f t="shared" si="1241"/>
        <v/>
      </c>
      <c r="D813" s="66" t="str">
        <f t="shared" ref="D813:F813" si="1242">D770</f>
        <v>6週</v>
      </c>
      <c r="E813" s="145" t="str">
        <f t="shared" si="1242"/>
        <v>月曜</v>
      </c>
      <c r="F813" s="145" t="str">
        <f t="shared" si="1242"/>
        <v/>
      </c>
      <c r="G813" s="142">
        <f>PJ工種集計!AS1539</f>
        <v>0</v>
      </c>
    </row>
    <row r="814" spans="1:7">
      <c r="A814" s="66">
        <f t="shared" ref="A814:C814" si="1243">A813</f>
        <v>19</v>
      </c>
      <c r="B814" s="66">
        <f t="shared" si="1243"/>
        <v>0</v>
      </c>
      <c r="C814" s="66" t="str">
        <f t="shared" si="1243"/>
        <v/>
      </c>
      <c r="D814" s="66">
        <f t="shared" ref="D814:F814" si="1244">D771</f>
        <v>0</v>
      </c>
      <c r="E814" s="145" t="str">
        <f t="shared" si="1244"/>
        <v>火曜</v>
      </c>
      <c r="F814" s="145" t="str">
        <f t="shared" si="1244"/>
        <v/>
      </c>
      <c r="G814" s="142">
        <f>PJ工種集計!AT1539</f>
        <v>0</v>
      </c>
    </row>
    <row r="815" spans="1:7">
      <c r="A815" s="66">
        <f t="shared" ref="A815:C815" si="1245">A814</f>
        <v>19</v>
      </c>
      <c r="B815" s="66">
        <f t="shared" si="1245"/>
        <v>0</v>
      </c>
      <c r="C815" s="66" t="str">
        <f t="shared" si="1245"/>
        <v/>
      </c>
      <c r="D815" s="66">
        <f t="shared" ref="D815:F815" si="1246">D772</f>
        <v>0</v>
      </c>
      <c r="E815" s="145" t="str">
        <f t="shared" si="1246"/>
        <v>水曜</v>
      </c>
      <c r="F815" s="145" t="str">
        <f t="shared" si="1246"/>
        <v/>
      </c>
      <c r="G815" s="142">
        <f>PJ工種集計!AU1539</f>
        <v>0</v>
      </c>
    </row>
    <row r="816" spans="1:7">
      <c r="A816" s="66">
        <f t="shared" ref="A816:C816" si="1247">A815</f>
        <v>19</v>
      </c>
      <c r="B816" s="66">
        <f t="shared" si="1247"/>
        <v>0</v>
      </c>
      <c r="C816" s="66" t="str">
        <f t="shared" si="1247"/>
        <v/>
      </c>
      <c r="D816" s="66">
        <f t="shared" ref="D816:F816" si="1248">D773</f>
        <v>0</v>
      </c>
      <c r="E816" s="145" t="str">
        <f t="shared" si="1248"/>
        <v>木曜</v>
      </c>
      <c r="F816" s="145" t="str">
        <f t="shared" si="1248"/>
        <v/>
      </c>
      <c r="G816" s="142">
        <f>PJ工種集計!AV1539</f>
        <v>0</v>
      </c>
    </row>
    <row r="817" spans="1:7">
      <c r="A817" s="66">
        <f t="shared" ref="A817:C817" si="1249">A816</f>
        <v>19</v>
      </c>
      <c r="B817" s="66">
        <f t="shared" si="1249"/>
        <v>0</v>
      </c>
      <c r="C817" s="66" t="str">
        <f t="shared" si="1249"/>
        <v/>
      </c>
      <c r="D817" s="66">
        <f t="shared" ref="D817:F817" si="1250">D774</f>
        <v>0</v>
      </c>
      <c r="E817" s="145" t="str">
        <f t="shared" si="1250"/>
        <v>金曜</v>
      </c>
      <c r="F817" s="145" t="str">
        <f t="shared" si="1250"/>
        <v/>
      </c>
      <c r="G817" s="142">
        <f>PJ工種集計!AW1539</f>
        <v>0</v>
      </c>
    </row>
    <row r="818" spans="1:7">
      <c r="A818" s="66">
        <f t="shared" ref="A818:C818" si="1251">A817</f>
        <v>19</v>
      </c>
      <c r="B818" s="66">
        <f t="shared" si="1251"/>
        <v>0</v>
      </c>
      <c r="C818" s="66" t="str">
        <f t="shared" si="1251"/>
        <v/>
      </c>
      <c r="D818" s="66">
        <f t="shared" ref="D818:F818" si="1252">D775</f>
        <v>0</v>
      </c>
      <c r="E818" s="145" t="str">
        <f t="shared" si="1252"/>
        <v>土曜</v>
      </c>
      <c r="F818" s="145" t="str">
        <f t="shared" si="1252"/>
        <v/>
      </c>
      <c r="G818" s="142">
        <f>PJ工種集計!AX1539</f>
        <v>0</v>
      </c>
    </row>
    <row r="819" spans="1:7">
      <c r="A819" s="66">
        <f t="shared" ref="A819:C819" si="1253">A818</f>
        <v>19</v>
      </c>
      <c r="B819" s="66">
        <f t="shared" si="1253"/>
        <v>0</v>
      </c>
      <c r="C819" s="66" t="str">
        <f t="shared" si="1253"/>
        <v/>
      </c>
      <c r="D819" s="66">
        <f t="shared" ref="D819:F819" si="1254">D776</f>
        <v>0</v>
      </c>
      <c r="E819" s="145" t="str">
        <f t="shared" si="1254"/>
        <v>日曜</v>
      </c>
      <c r="F819" s="145" t="str">
        <f t="shared" si="1254"/>
        <v/>
      </c>
      <c r="G819" s="142">
        <f>PJ工種集計!AY1539</f>
        <v>0</v>
      </c>
    </row>
    <row r="821" spans="1:7">
      <c r="A821" s="66">
        <f>PJ工種集計!A1623</f>
        <v>20</v>
      </c>
      <c r="B821" s="66">
        <f>PJ工種集計!B1623</f>
        <v>0</v>
      </c>
      <c r="C821" s="66" t="str">
        <f>PJ工種集計!C1623</f>
        <v/>
      </c>
      <c r="D821" s="66" t="str">
        <f>D778</f>
        <v>１週</v>
      </c>
      <c r="E821" s="145" t="str">
        <f>E778</f>
        <v>月曜</v>
      </c>
      <c r="F821" s="145" t="str">
        <f>F778</f>
        <v/>
      </c>
      <c r="G821" s="142">
        <f>PJ工種集計!J1624</f>
        <v>0</v>
      </c>
    </row>
    <row r="822" spans="1:7">
      <c r="A822" s="66">
        <f t="shared" ref="A822:C822" si="1255">A821</f>
        <v>20</v>
      </c>
      <c r="B822" s="66">
        <f t="shared" si="1255"/>
        <v>0</v>
      </c>
      <c r="C822" s="66" t="str">
        <f t="shared" si="1255"/>
        <v/>
      </c>
      <c r="D822" s="66">
        <f t="shared" ref="D822:F822" si="1256">D779</f>
        <v>0</v>
      </c>
      <c r="E822" s="145" t="str">
        <f t="shared" si="1256"/>
        <v>火曜</v>
      </c>
      <c r="F822" s="145" t="str">
        <f t="shared" si="1256"/>
        <v/>
      </c>
      <c r="G822" s="142">
        <f>PJ工種集計!K1624</f>
        <v>0</v>
      </c>
    </row>
    <row r="823" spans="1:7">
      <c r="A823" s="66">
        <f t="shared" ref="A823:C823" si="1257">A822</f>
        <v>20</v>
      </c>
      <c r="B823" s="66">
        <f t="shared" si="1257"/>
        <v>0</v>
      </c>
      <c r="C823" s="66" t="str">
        <f t="shared" si="1257"/>
        <v/>
      </c>
      <c r="D823" s="66">
        <f t="shared" ref="D823:F823" si="1258">D780</f>
        <v>0</v>
      </c>
      <c r="E823" s="145" t="str">
        <f t="shared" si="1258"/>
        <v>水曜</v>
      </c>
      <c r="F823" s="145">
        <f t="shared" si="1258"/>
        <v>1</v>
      </c>
      <c r="G823" s="142">
        <f>PJ工種集計!L1624</f>
        <v>0</v>
      </c>
    </row>
    <row r="824" spans="1:7">
      <c r="A824" s="66">
        <f t="shared" ref="A824:C824" si="1259">A823</f>
        <v>20</v>
      </c>
      <c r="B824" s="66">
        <f t="shared" si="1259"/>
        <v>0</v>
      </c>
      <c r="C824" s="66" t="str">
        <f t="shared" si="1259"/>
        <v/>
      </c>
      <c r="D824" s="66">
        <f t="shared" ref="D824:F824" si="1260">D781</f>
        <v>0</v>
      </c>
      <c r="E824" s="145" t="str">
        <f t="shared" si="1260"/>
        <v>木曜</v>
      </c>
      <c r="F824" s="145">
        <f t="shared" si="1260"/>
        <v>2</v>
      </c>
      <c r="G824" s="142">
        <f>PJ工種集計!M1624</f>
        <v>0</v>
      </c>
    </row>
    <row r="825" spans="1:7">
      <c r="A825" s="66">
        <f t="shared" ref="A825:C825" si="1261">A824</f>
        <v>20</v>
      </c>
      <c r="B825" s="66">
        <f t="shared" si="1261"/>
        <v>0</v>
      </c>
      <c r="C825" s="66" t="str">
        <f t="shared" si="1261"/>
        <v/>
      </c>
      <c r="D825" s="66">
        <f t="shared" ref="D825:F825" si="1262">D782</f>
        <v>0</v>
      </c>
      <c r="E825" s="145" t="str">
        <f t="shared" si="1262"/>
        <v>金曜</v>
      </c>
      <c r="F825" s="145">
        <f t="shared" si="1262"/>
        <v>3</v>
      </c>
      <c r="G825" s="142">
        <f>PJ工種集計!N1624</f>
        <v>0</v>
      </c>
    </row>
    <row r="826" spans="1:7">
      <c r="A826" s="66">
        <f t="shared" ref="A826:C826" si="1263">A825</f>
        <v>20</v>
      </c>
      <c r="B826" s="66">
        <f t="shared" si="1263"/>
        <v>0</v>
      </c>
      <c r="C826" s="66" t="str">
        <f t="shared" si="1263"/>
        <v/>
      </c>
      <c r="D826" s="66">
        <f t="shared" ref="D826:F826" si="1264">D783</f>
        <v>0</v>
      </c>
      <c r="E826" s="145" t="str">
        <f t="shared" si="1264"/>
        <v>土曜</v>
      </c>
      <c r="F826" s="145">
        <f t="shared" si="1264"/>
        <v>4</v>
      </c>
      <c r="G826" s="142">
        <f>PJ工種集計!O1624</f>
        <v>0</v>
      </c>
    </row>
    <row r="827" spans="1:7">
      <c r="A827" s="66">
        <f t="shared" ref="A827:C827" si="1265">A826</f>
        <v>20</v>
      </c>
      <c r="B827" s="66">
        <f t="shared" si="1265"/>
        <v>0</v>
      </c>
      <c r="C827" s="66" t="str">
        <f t="shared" si="1265"/>
        <v/>
      </c>
      <c r="D827" s="66">
        <f t="shared" ref="D827:F827" si="1266">D784</f>
        <v>0</v>
      </c>
      <c r="E827" s="145" t="str">
        <f t="shared" si="1266"/>
        <v>日曜</v>
      </c>
      <c r="F827" s="145">
        <f t="shared" si="1266"/>
        <v>5</v>
      </c>
      <c r="G827" s="142">
        <f>PJ工種集計!P1624</f>
        <v>0</v>
      </c>
    </row>
    <row r="828" spans="1:7">
      <c r="A828" s="66">
        <f t="shared" ref="A828:C828" si="1267">A827</f>
        <v>20</v>
      </c>
      <c r="B828" s="66">
        <f t="shared" si="1267"/>
        <v>0</v>
      </c>
      <c r="C828" s="66" t="str">
        <f t="shared" si="1267"/>
        <v/>
      </c>
      <c r="D828" s="66" t="str">
        <f t="shared" ref="D828:F828" si="1268">D785</f>
        <v>2週</v>
      </c>
      <c r="E828" s="145" t="str">
        <f t="shared" si="1268"/>
        <v>月曜</v>
      </c>
      <c r="F828" s="145">
        <f t="shared" si="1268"/>
        <v>6</v>
      </c>
      <c r="G828" s="142">
        <f>PJ工種集計!Q1624</f>
        <v>0</v>
      </c>
    </row>
    <row r="829" spans="1:7">
      <c r="A829" s="66">
        <f t="shared" ref="A829:C829" si="1269">A828</f>
        <v>20</v>
      </c>
      <c r="B829" s="66">
        <f t="shared" si="1269"/>
        <v>0</v>
      </c>
      <c r="C829" s="66" t="str">
        <f t="shared" si="1269"/>
        <v/>
      </c>
      <c r="D829" s="66">
        <f t="shared" ref="D829:F829" si="1270">D786</f>
        <v>0</v>
      </c>
      <c r="E829" s="145" t="str">
        <f t="shared" si="1270"/>
        <v>火曜</v>
      </c>
      <c r="F829" s="145">
        <f t="shared" si="1270"/>
        <v>7</v>
      </c>
      <c r="G829" s="142">
        <f>PJ工種集計!R1624</f>
        <v>0</v>
      </c>
    </row>
    <row r="830" spans="1:7">
      <c r="A830" s="66">
        <f t="shared" ref="A830:C830" si="1271">A829</f>
        <v>20</v>
      </c>
      <c r="B830" s="66">
        <f t="shared" si="1271"/>
        <v>0</v>
      </c>
      <c r="C830" s="66" t="str">
        <f t="shared" si="1271"/>
        <v/>
      </c>
      <c r="D830" s="66">
        <f t="shared" ref="D830:F830" si="1272">D787</f>
        <v>0</v>
      </c>
      <c r="E830" s="145" t="str">
        <f t="shared" si="1272"/>
        <v>水曜</v>
      </c>
      <c r="F830" s="145">
        <f t="shared" si="1272"/>
        <v>8</v>
      </c>
      <c r="G830" s="142">
        <f>PJ工種集計!S1624</f>
        <v>0</v>
      </c>
    </row>
    <row r="831" spans="1:7">
      <c r="A831" s="66">
        <f t="shared" ref="A831:C831" si="1273">A830</f>
        <v>20</v>
      </c>
      <c r="B831" s="66">
        <f t="shared" si="1273"/>
        <v>0</v>
      </c>
      <c r="C831" s="66" t="str">
        <f t="shared" si="1273"/>
        <v/>
      </c>
      <c r="D831" s="66">
        <f t="shared" ref="D831:F831" si="1274">D788</f>
        <v>0</v>
      </c>
      <c r="E831" s="145" t="str">
        <f t="shared" si="1274"/>
        <v>木曜</v>
      </c>
      <c r="F831" s="145">
        <f t="shared" si="1274"/>
        <v>9</v>
      </c>
      <c r="G831" s="142">
        <f>PJ工種集計!T1624</f>
        <v>0</v>
      </c>
    </row>
    <row r="832" spans="1:7">
      <c r="A832" s="66">
        <f t="shared" ref="A832:C832" si="1275">A831</f>
        <v>20</v>
      </c>
      <c r="B832" s="66">
        <f t="shared" si="1275"/>
        <v>0</v>
      </c>
      <c r="C832" s="66" t="str">
        <f t="shared" si="1275"/>
        <v/>
      </c>
      <c r="D832" s="66">
        <f t="shared" ref="D832:F832" si="1276">D789</f>
        <v>0</v>
      </c>
      <c r="E832" s="145" t="str">
        <f t="shared" si="1276"/>
        <v>金曜</v>
      </c>
      <c r="F832" s="145">
        <f t="shared" si="1276"/>
        <v>10</v>
      </c>
      <c r="G832" s="142">
        <f>PJ工種集計!U1624</f>
        <v>0</v>
      </c>
    </row>
    <row r="833" spans="1:7">
      <c r="A833" s="66">
        <f t="shared" ref="A833:C833" si="1277">A832</f>
        <v>20</v>
      </c>
      <c r="B833" s="66">
        <f t="shared" si="1277"/>
        <v>0</v>
      </c>
      <c r="C833" s="66" t="str">
        <f t="shared" si="1277"/>
        <v/>
      </c>
      <c r="D833" s="66">
        <f t="shared" ref="D833:F833" si="1278">D790</f>
        <v>0</v>
      </c>
      <c r="E833" s="145" t="str">
        <f t="shared" si="1278"/>
        <v>土曜</v>
      </c>
      <c r="F833" s="145">
        <f t="shared" si="1278"/>
        <v>11</v>
      </c>
      <c r="G833" s="142">
        <f>PJ工種集計!V1624</f>
        <v>0</v>
      </c>
    </row>
    <row r="834" spans="1:7">
      <c r="A834" s="66">
        <f t="shared" ref="A834:C834" si="1279">A833</f>
        <v>20</v>
      </c>
      <c r="B834" s="66">
        <f t="shared" si="1279"/>
        <v>0</v>
      </c>
      <c r="C834" s="66" t="str">
        <f t="shared" si="1279"/>
        <v/>
      </c>
      <c r="D834" s="66">
        <f t="shared" ref="D834:F834" si="1280">D791</f>
        <v>0</v>
      </c>
      <c r="E834" s="145" t="str">
        <f t="shared" si="1280"/>
        <v>日曜</v>
      </c>
      <c r="F834" s="145">
        <f t="shared" si="1280"/>
        <v>12</v>
      </c>
      <c r="G834" s="142">
        <f>PJ工種集計!W1624</f>
        <v>0</v>
      </c>
    </row>
    <row r="835" spans="1:7">
      <c r="A835" s="66">
        <f t="shared" ref="A835:C835" si="1281">A834</f>
        <v>20</v>
      </c>
      <c r="B835" s="66">
        <f t="shared" si="1281"/>
        <v>0</v>
      </c>
      <c r="C835" s="66" t="str">
        <f t="shared" si="1281"/>
        <v/>
      </c>
      <c r="D835" s="66" t="str">
        <f t="shared" ref="D835:F835" si="1282">D792</f>
        <v>3週</v>
      </c>
      <c r="E835" s="145" t="str">
        <f t="shared" si="1282"/>
        <v>月曜</v>
      </c>
      <c r="F835" s="145">
        <f t="shared" si="1282"/>
        <v>13</v>
      </c>
      <c r="G835" s="142">
        <f>PJ工種集計!X1624</f>
        <v>0</v>
      </c>
    </row>
    <row r="836" spans="1:7">
      <c r="A836" s="66">
        <f t="shared" ref="A836:C836" si="1283">A835</f>
        <v>20</v>
      </c>
      <c r="B836" s="66">
        <f t="shared" si="1283"/>
        <v>0</v>
      </c>
      <c r="C836" s="66" t="str">
        <f t="shared" si="1283"/>
        <v/>
      </c>
      <c r="D836" s="66">
        <f t="shared" ref="D836:F836" si="1284">D793</f>
        <v>0</v>
      </c>
      <c r="E836" s="145" t="str">
        <f t="shared" si="1284"/>
        <v>火曜</v>
      </c>
      <c r="F836" s="145">
        <f t="shared" si="1284"/>
        <v>14</v>
      </c>
      <c r="G836" s="142">
        <f>PJ工種集計!Y1624</f>
        <v>0</v>
      </c>
    </row>
    <row r="837" spans="1:7">
      <c r="A837" s="66">
        <f t="shared" ref="A837:C837" si="1285">A836</f>
        <v>20</v>
      </c>
      <c r="B837" s="66">
        <f t="shared" si="1285"/>
        <v>0</v>
      </c>
      <c r="C837" s="66" t="str">
        <f t="shared" si="1285"/>
        <v/>
      </c>
      <c r="D837" s="66">
        <f t="shared" ref="D837:F837" si="1286">D794</f>
        <v>0</v>
      </c>
      <c r="E837" s="145" t="str">
        <f t="shared" si="1286"/>
        <v>水曜</v>
      </c>
      <c r="F837" s="145">
        <f t="shared" si="1286"/>
        <v>15</v>
      </c>
      <c r="G837" s="142">
        <f>PJ工種集計!Z1624</f>
        <v>0</v>
      </c>
    </row>
    <row r="838" spans="1:7">
      <c r="A838" s="66">
        <f t="shared" ref="A838:C838" si="1287">A837</f>
        <v>20</v>
      </c>
      <c r="B838" s="66">
        <f t="shared" si="1287"/>
        <v>0</v>
      </c>
      <c r="C838" s="66" t="str">
        <f t="shared" si="1287"/>
        <v/>
      </c>
      <c r="D838" s="66">
        <f t="shared" ref="D838:F838" si="1288">D795</f>
        <v>0</v>
      </c>
      <c r="E838" s="145" t="str">
        <f t="shared" si="1288"/>
        <v>木曜</v>
      </c>
      <c r="F838" s="145">
        <f t="shared" si="1288"/>
        <v>16</v>
      </c>
      <c r="G838" s="142">
        <f>PJ工種集計!AA1624</f>
        <v>0</v>
      </c>
    </row>
    <row r="839" spans="1:7">
      <c r="A839" s="66">
        <f t="shared" ref="A839:C839" si="1289">A838</f>
        <v>20</v>
      </c>
      <c r="B839" s="66">
        <f t="shared" si="1289"/>
        <v>0</v>
      </c>
      <c r="C839" s="66" t="str">
        <f t="shared" si="1289"/>
        <v/>
      </c>
      <c r="D839" s="66">
        <f t="shared" ref="D839:F839" si="1290">D796</f>
        <v>0</v>
      </c>
      <c r="E839" s="145" t="str">
        <f t="shared" si="1290"/>
        <v>金曜</v>
      </c>
      <c r="F839" s="145">
        <f t="shared" si="1290"/>
        <v>17</v>
      </c>
      <c r="G839" s="142">
        <f>PJ工種集計!AB1624</f>
        <v>0</v>
      </c>
    </row>
    <row r="840" spans="1:7">
      <c r="A840" s="66">
        <f t="shared" ref="A840:C840" si="1291">A839</f>
        <v>20</v>
      </c>
      <c r="B840" s="66">
        <f t="shared" si="1291"/>
        <v>0</v>
      </c>
      <c r="C840" s="66" t="str">
        <f t="shared" si="1291"/>
        <v/>
      </c>
      <c r="D840" s="66">
        <f t="shared" ref="D840:F840" si="1292">D797</f>
        <v>0</v>
      </c>
      <c r="E840" s="145" t="str">
        <f t="shared" si="1292"/>
        <v>土曜</v>
      </c>
      <c r="F840" s="145">
        <f t="shared" si="1292"/>
        <v>18</v>
      </c>
      <c r="G840" s="142">
        <f>PJ工種集計!AC1624</f>
        <v>0</v>
      </c>
    </row>
    <row r="841" spans="1:7">
      <c r="A841" s="66">
        <f t="shared" ref="A841:C841" si="1293">A840</f>
        <v>20</v>
      </c>
      <c r="B841" s="66">
        <f t="shared" si="1293"/>
        <v>0</v>
      </c>
      <c r="C841" s="66" t="str">
        <f t="shared" si="1293"/>
        <v/>
      </c>
      <c r="D841" s="66">
        <f t="shared" ref="D841:F841" si="1294">D798</f>
        <v>0</v>
      </c>
      <c r="E841" s="145" t="str">
        <f t="shared" si="1294"/>
        <v>日曜</v>
      </c>
      <c r="F841" s="145">
        <f t="shared" si="1294"/>
        <v>19</v>
      </c>
      <c r="G841" s="142">
        <f>PJ工種集計!AD1624</f>
        <v>0</v>
      </c>
    </row>
    <row r="842" spans="1:7">
      <c r="A842" s="66">
        <f t="shared" ref="A842:C842" si="1295">A841</f>
        <v>20</v>
      </c>
      <c r="B842" s="66">
        <f t="shared" si="1295"/>
        <v>0</v>
      </c>
      <c r="C842" s="66" t="str">
        <f t="shared" si="1295"/>
        <v/>
      </c>
      <c r="D842" s="66" t="str">
        <f t="shared" ref="D842:F842" si="1296">D799</f>
        <v>4週</v>
      </c>
      <c r="E842" s="145" t="str">
        <f t="shared" si="1296"/>
        <v>月曜</v>
      </c>
      <c r="F842" s="145">
        <f t="shared" si="1296"/>
        <v>20</v>
      </c>
      <c r="G842" s="142">
        <f>PJ工種集計!AE1624</f>
        <v>0</v>
      </c>
    </row>
    <row r="843" spans="1:7">
      <c r="A843" s="66">
        <f t="shared" ref="A843:C843" si="1297">A842</f>
        <v>20</v>
      </c>
      <c r="B843" s="66">
        <f t="shared" si="1297"/>
        <v>0</v>
      </c>
      <c r="C843" s="66" t="str">
        <f t="shared" si="1297"/>
        <v/>
      </c>
      <c r="D843" s="66">
        <f t="shared" ref="D843:F843" si="1298">D800</f>
        <v>0</v>
      </c>
      <c r="E843" s="145" t="str">
        <f t="shared" si="1298"/>
        <v>火曜</v>
      </c>
      <c r="F843" s="145">
        <f t="shared" si="1298"/>
        <v>21</v>
      </c>
      <c r="G843" s="142">
        <f>PJ工種集計!AF1624</f>
        <v>0</v>
      </c>
    </row>
    <row r="844" spans="1:7">
      <c r="A844" s="66">
        <f t="shared" ref="A844:C844" si="1299">A843</f>
        <v>20</v>
      </c>
      <c r="B844" s="66">
        <f t="shared" si="1299"/>
        <v>0</v>
      </c>
      <c r="C844" s="66" t="str">
        <f t="shared" si="1299"/>
        <v/>
      </c>
      <c r="D844" s="66">
        <f t="shared" ref="D844:F844" si="1300">D801</f>
        <v>0</v>
      </c>
      <c r="E844" s="145" t="str">
        <f t="shared" si="1300"/>
        <v>水曜</v>
      </c>
      <c r="F844" s="145">
        <f t="shared" si="1300"/>
        <v>22</v>
      </c>
      <c r="G844" s="142">
        <f>PJ工種集計!AG1624</f>
        <v>0</v>
      </c>
    </row>
    <row r="845" spans="1:7">
      <c r="A845" s="66">
        <f t="shared" ref="A845:C845" si="1301">A844</f>
        <v>20</v>
      </c>
      <c r="B845" s="66">
        <f t="shared" si="1301"/>
        <v>0</v>
      </c>
      <c r="C845" s="66" t="str">
        <f t="shared" si="1301"/>
        <v/>
      </c>
      <c r="D845" s="66">
        <f t="shared" ref="D845:F845" si="1302">D802</f>
        <v>0</v>
      </c>
      <c r="E845" s="145" t="str">
        <f t="shared" si="1302"/>
        <v>木曜</v>
      </c>
      <c r="F845" s="145">
        <f t="shared" si="1302"/>
        <v>23</v>
      </c>
      <c r="G845" s="142">
        <f>PJ工種集計!AH1624</f>
        <v>0</v>
      </c>
    </row>
    <row r="846" spans="1:7">
      <c r="A846" s="66">
        <f t="shared" ref="A846:C846" si="1303">A845</f>
        <v>20</v>
      </c>
      <c r="B846" s="66">
        <f t="shared" si="1303"/>
        <v>0</v>
      </c>
      <c r="C846" s="66" t="str">
        <f t="shared" si="1303"/>
        <v/>
      </c>
      <c r="D846" s="66">
        <f t="shared" ref="D846:F846" si="1304">D803</f>
        <v>0</v>
      </c>
      <c r="E846" s="145" t="str">
        <f t="shared" si="1304"/>
        <v>金曜</v>
      </c>
      <c r="F846" s="145">
        <f t="shared" si="1304"/>
        <v>24</v>
      </c>
      <c r="G846" s="142">
        <f>PJ工種集計!AI1624</f>
        <v>0</v>
      </c>
    </row>
    <row r="847" spans="1:7">
      <c r="A847" s="66">
        <f t="shared" ref="A847:C847" si="1305">A846</f>
        <v>20</v>
      </c>
      <c r="B847" s="66">
        <f t="shared" si="1305"/>
        <v>0</v>
      </c>
      <c r="C847" s="66" t="str">
        <f t="shared" si="1305"/>
        <v/>
      </c>
      <c r="D847" s="66">
        <f t="shared" ref="D847:F847" si="1306">D804</f>
        <v>0</v>
      </c>
      <c r="E847" s="145" t="str">
        <f t="shared" si="1306"/>
        <v>土曜</v>
      </c>
      <c r="F847" s="145">
        <f t="shared" si="1306"/>
        <v>25</v>
      </c>
      <c r="G847" s="142">
        <f>PJ工種集計!AJ1624</f>
        <v>0</v>
      </c>
    </row>
    <row r="848" spans="1:7">
      <c r="A848" s="66">
        <f t="shared" ref="A848:C848" si="1307">A847</f>
        <v>20</v>
      </c>
      <c r="B848" s="66">
        <f t="shared" si="1307"/>
        <v>0</v>
      </c>
      <c r="C848" s="66" t="str">
        <f t="shared" si="1307"/>
        <v/>
      </c>
      <c r="D848" s="66">
        <f t="shared" ref="D848:F848" si="1308">D805</f>
        <v>0</v>
      </c>
      <c r="E848" s="145" t="str">
        <f t="shared" si="1308"/>
        <v>日曜</v>
      </c>
      <c r="F848" s="145">
        <f t="shared" si="1308"/>
        <v>26</v>
      </c>
      <c r="G848" s="142">
        <f>PJ工種集計!AK1624</f>
        <v>0</v>
      </c>
    </row>
    <row r="849" spans="1:7">
      <c r="A849" s="66">
        <f t="shared" ref="A849:C849" si="1309">A848</f>
        <v>20</v>
      </c>
      <c r="B849" s="66">
        <f t="shared" si="1309"/>
        <v>0</v>
      </c>
      <c r="C849" s="66" t="str">
        <f t="shared" si="1309"/>
        <v/>
      </c>
      <c r="D849" s="66" t="str">
        <f t="shared" ref="D849:F849" si="1310">D806</f>
        <v>5週</v>
      </c>
      <c r="E849" s="145" t="str">
        <f t="shared" si="1310"/>
        <v>月曜</v>
      </c>
      <c r="F849" s="145">
        <f t="shared" si="1310"/>
        <v>27</v>
      </c>
      <c r="G849" s="142">
        <f>PJ工種集計!AL1624</f>
        <v>0</v>
      </c>
    </row>
    <row r="850" spans="1:7">
      <c r="A850" s="66">
        <f t="shared" ref="A850:C850" si="1311">A849</f>
        <v>20</v>
      </c>
      <c r="B850" s="66">
        <f t="shared" si="1311"/>
        <v>0</v>
      </c>
      <c r="C850" s="66" t="str">
        <f t="shared" si="1311"/>
        <v/>
      </c>
      <c r="D850" s="66">
        <f t="shared" ref="D850:F850" si="1312">D807</f>
        <v>0</v>
      </c>
      <c r="E850" s="145" t="str">
        <f t="shared" si="1312"/>
        <v>火曜</v>
      </c>
      <c r="F850" s="145">
        <f t="shared" si="1312"/>
        <v>28</v>
      </c>
      <c r="G850" s="142">
        <f>PJ工種集計!AM1624</f>
        <v>0</v>
      </c>
    </row>
    <row r="851" spans="1:7">
      <c r="A851" s="66">
        <f t="shared" ref="A851:C851" si="1313">A850</f>
        <v>20</v>
      </c>
      <c r="B851" s="66">
        <f t="shared" si="1313"/>
        <v>0</v>
      </c>
      <c r="C851" s="66" t="str">
        <f t="shared" si="1313"/>
        <v/>
      </c>
      <c r="D851" s="66">
        <f t="shared" ref="D851:F851" si="1314">D808</f>
        <v>0</v>
      </c>
      <c r="E851" s="145" t="str">
        <f t="shared" si="1314"/>
        <v>水曜</v>
      </c>
      <c r="F851" s="145">
        <f t="shared" si="1314"/>
        <v>29</v>
      </c>
      <c r="G851" s="142">
        <f>PJ工種集計!AN1624</f>
        <v>0</v>
      </c>
    </row>
    <row r="852" spans="1:7">
      <c r="A852" s="66">
        <f t="shared" ref="A852:C852" si="1315">A851</f>
        <v>20</v>
      </c>
      <c r="B852" s="66">
        <f t="shared" si="1315"/>
        <v>0</v>
      </c>
      <c r="C852" s="66" t="str">
        <f t="shared" si="1315"/>
        <v/>
      </c>
      <c r="D852" s="66">
        <f t="shared" ref="D852:F852" si="1316">D809</f>
        <v>0</v>
      </c>
      <c r="E852" s="145" t="str">
        <f t="shared" si="1316"/>
        <v>木曜</v>
      </c>
      <c r="F852" s="145">
        <f t="shared" si="1316"/>
        <v>30</v>
      </c>
      <c r="G852" s="142">
        <f>PJ工種集計!AO1624</f>
        <v>0</v>
      </c>
    </row>
    <row r="853" spans="1:7">
      <c r="A853" s="66">
        <f t="shared" ref="A853:C853" si="1317">A852</f>
        <v>20</v>
      </c>
      <c r="B853" s="66">
        <f t="shared" si="1317"/>
        <v>0</v>
      </c>
      <c r="C853" s="66" t="str">
        <f t="shared" si="1317"/>
        <v/>
      </c>
      <c r="D853" s="66">
        <f t="shared" ref="D853:F853" si="1318">D810</f>
        <v>0</v>
      </c>
      <c r="E853" s="145" t="str">
        <f t="shared" si="1318"/>
        <v>金曜</v>
      </c>
      <c r="F853" s="145">
        <f t="shared" si="1318"/>
        <v>31</v>
      </c>
      <c r="G853" s="142">
        <f>PJ工種集計!AP1624</f>
        <v>0</v>
      </c>
    </row>
    <row r="854" spans="1:7">
      <c r="A854" s="66">
        <f t="shared" ref="A854:C854" si="1319">A853</f>
        <v>20</v>
      </c>
      <c r="B854" s="66">
        <f t="shared" si="1319"/>
        <v>0</v>
      </c>
      <c r="C854" s="66" t="str">
        <f t="shared" si="1319"/>
        <v/>
      </c>
      <c r="D854" s="66">
        <f t="shared" ref="D854:F854" si="1320">D811</f>
        <v>0</v>
      </c>
      <c r="E854" s="145" t="str">
        <f t="shared" si="1320"/>
        <v>土曜</v>
      </c>
      <c r="F854" s="145" t="str">
        <f t="shared" si="1320"/>
        <v/>
      </c>
      <c r="G854" s="142">
        <f>PJ工種集計!AQ1624</f>
        <v>0</v>
      </c>
    </row>
    <row r="855" spans="1:7">
      <c r="A855" s="66">
        <f t="shared" ref="A855:C855" si="1321">A854</f>
        <v>20</v>
      </c>
      <c r="B855" s="66">
        <f t="shared" si="1321"/>
        <v>0</v>
      </c>
      <c r="C855" s="66" t="str">
        <f t="shared" si="1321"/>
        <v/>
      </c>
      <c r="D855" s="66">
        <f t="shared" ref="D855:F855" si="1322">D812</f>
        <v>0</v>
      </c>
      <c r="E855" s="145" t="str">
        <f t="shared" si="1322"/>
        <v>日曜</v>
      </c>
      <c r="F855" s="145" t="str">
        <f t="shared" si="1322"/>
        <v/>
      </c>
      <c r="G855" s="142">
        <f>PJ工種集計!AR1624</f>
        <v>0</v>
      </c>
    </row>
    <row r="856" spans="1:7">
      <c r="A856" s="66">
        <f t="shared" ref="A856:C856" si="1323">A855</f>
        <v>20</v>
      </c>
      <c r="B856" s="66">
        <f t="shared" si="1323"/>
        <v>0</v>
      </c>
      <c r="C856" s="66" t="str">
        <f t="shared" si="1323"/>
        <v/>
      </c>
      <c r="D856" s="66" t="str">
        <f t="shared" ref="D856:F856" si="1324">D813</f>
        <v>6週</v>
      </c>
      <c r="E856" s="145" t="str">
        <f t="shared" si="1324"/>
        <v>月曜</v>
      </c>
      <c r="F856" s="145" t="str">
        <f t="shared" si="1324"/>
        <v/>
      </c>
      <c r="G856" s="142">
        <f>PJ工種集計!AS1624</f>
        <v>0</v>
      </c>
    </row>
    <row r="857" spans="1:7">
      <c r="A857" s="66">
        <f t="shared" ref="A857:C857" si="1325">A856</f>
        <v>20</v>
      </c>
      <c r="B857" s="66">
        <f t="shared" si="1325"/>
        <v>0</v>
      </c>
      <c r="C857" s="66" t="str">
        <f t="shared" si="1325"/>
        <v/>
      </c>
      <c r="D857" s="66">
        <f t="shared" ref="D857:F857" si="1326">D814</f>
        <v>0</v>
      </c>
      <c r="E857" s="145" t="str">
        <f t="shared" si="1326"/>
        <v>火曜</v>
      </c>
      <c r="F857" s="145" t="str">
        <f t="shared" si="1326"/>
        <v/>
      </c>
      <c r="G857" s="142">
        <f>PJ工種集計!AT1624</f>
        <v>0</v>
      </c>
    </row>
    <row r="858" spans="1:7">
      <c r="A858" s="66">
        <f t="shared" ref="A858:C858" si="1327">A857</f>
        <v>20</v>
      </c>
      <c r="B858" s="66">
        <f t="shared" si="1327"/>
        <v>0</v>
      </c>
      <c r="C858" s="66" t="str">
        <f t="shared" si="1327"/>
        <v/>
      </c>
      <c r="D858" s="66">
        <f t="shared" ref="D858:F858" si="1328">D815</f>
        <v>0</v>
      </c>
      <c r="E858" s="145" t="str">
        <f t="shared" si="1328"/>
        <v>水曜</v>
      </c>
      <c r="F858" s="145" t="str">
        <f t="shared" si="1328"/>
        <v/>
      </c>
      <c r="G858" s="142">
        <f>PJ工種集計!AU1624</f>
        <v>0</v>
      </c>
    </row>
    <row r="859" spans="1:7">
      <c r="A859" s="66">
        <f t="shared" ref="A859:C859" si="1329">A858</f>
        <v>20</v>
      </c>
      <c r="B859" s="66">
        <f t="shared" si="1329"/>
        <v>0</v>
      </c>
      <c r="C859" s="66" t="str">
        <f t="shared" si="1329"/>
        <v/>
      </c>
      <c r="D859" s="66">
        <f t="shared" ref="D859:F859" si="1330">D816</f>
        <v>0</v>
      </c>
      <c r="E859" s="145" t="str">
        <f t="shared" si="1330"/>
        <v>木曜</v>
      </c>
      <c r="F859" s="145" t="str">
        <f t="shared" si="1330"/>
        <v/>
      </c>
      <c r="G859" s="142">
        <f>PJ工種集計!AV1624</f>
        <v>0</v>
      </c>
    </row>
    <row r="860" spans="1:7">
      <c r="A860" s="66">
        <f t="shared" ref="A860:C860" si="1331">A859</f>
        <v>20</v>
      </c>
      <c r="B860" s="66">
        <f t="shared" si="1331"/>
        <v>0</v>
      </c>
      <c r="C860" s="66" t="str">
        <f t="shared" si="1331"/>
        <v/>
      </c>
      <c r="D860" s="66">
        <f t="shared" ref="D860:F860" si="1332">D817</f>
        <v>0</v>
      </c>
      <c r="E860" s="145" t="str">
        <f t="shared" si="1332"/>
        <v>金曜</v>
      </c>
      <c r="F860" s="145" t="str">
        <f t="shared" si="1332"/>
        <v/>
      </c>
      <c r="G860" s="142">
        <f>PJ工種集計!AW1624</f>
        <v>0</v>
      </c>
    </row>
    <row r="861" spans="1:7">
      <c r="A861" s="66">
        <f t="shared" ref="A861:C861" si="1333">A860</f>
        <v>20</v>
      </c>
      <c r="B861" s="66">
        <f t="shared" si="1333"/>
        <v>0</v>
      </c>
      <c r="C861" s="66" t="str">
        <f t="shared" si="1333"/>
        <v/>
      </c>
      <c r="D861" s="66">
        <f t="shared" ref="D861:F861" si="1334">D818</f>
        <v>0</v>
      </c>
      <c r="E861" s="145" t="str">
        <f t="shared" si="1334"/>
        <v>土曜</v>
      </c>
      <c r="F861" s="145" t="str">
        <f t="shared" si="1334"/>
        <v/>
      </c>
      <c r="G861" s="142">
        <f>PJ工種集計!AX1624</f>
        <v>0</v>
      </c>
    </row>
    <row r="862" spans="1:7">
      <c r="A862" s="66">
        <f t="shared" ref="A862:C862" si="1335">A861</f>
        <v>20</v>
      </c>
      <c r="B862" s="66">
        <f t="shared" si="1335"/>
        <v>0</v>
      </c>
      <c r="C862" s="66" t="str">
        <f t="shared" si="1335"/>
        <v/>
      </c>
      <c r="D862" s="66">
        <f t="shared" ref="D862:F862" si="1336">D819</f>
        <v>0</v>
      </c>
      <c r="E862" s="145" t="str">
        <f t="shared" si="1336"/>
        <v>日曜</v>
      </c>
      <c r="F862" s="145" t="str">
        <f t="shared" si="1336"/>
        <v/>
      </c>
      <c r="G862" s="142">
        <f>PJ工種集計!AY1624</f>
        <v>0</v>
      </c>
    </row>
  </sheetData>
  <sheetProtection algorithmName="SHA-512" hashValue="cCbQ+j9UBeeXGJRzEsdepAOOZqt/4gkkkwSxDOdzLUZ4el2YAsjDrkLSh0xLpLGdLMdux2qL16aM2aYj7u+r+g==" saltValue="wLoLCenakHwlfaahvvNe2g==" spinCount="100000" sheet="1" scenarios="1" autoFilter="0"/>
  <autoFilter ref="A3:G862" xr:uid="{00000000-0009-0000-0000-00000E000000}"/>
  <phoneticPr fontId="7"/>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C3"/>
  <sheetViews>
    <sheetView workbookViewId="0">
      <selection activeCell="C13" sqref="C13"/>
    </sheetView>
  </sheetViews>
  <sheetFormatPr defaultRowHeight="13.5"/>
  <cols>
    <col min="1" max="1" width="40.875" bestFit="1" customWidth="1"/>
    <col min="2" max="2" width="26.125" customWidth="1"/>
    <col min="3" max="3" width="61.125" bestFit="1" customWidth="1"/>
  </cols>
  <sheetData>
    <row r="1" spans="1:3">
      <c r="A1" t="s">
        <v>461</v>
      </c>
      <c r="C1" t="s">
        <v>462</v>
      </c>
    </row>
    <row r="2" spans="1:3">
      <c r="A2" t="s">
        <v>463</v>
      </c>
      <c r="C2" t="s">
        <v>464</v>
      </c>
    </row>
    <row r="3" spans="1:3">
      <c r="A3" t="s">
        <v>465</v>
      </c>
    </row>
  </sheetData>
  <phoneticPr fontId="7"/>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67C029AB2633E48996E081D11E6229C" ma:contentTypeVersion="9" ma:contentTypeDescription="新しいドキュメントを作成します。" ma:contentTypeScope="" ma:versionID="da872e24bc5f7d43422e58ceed729177">
  <xsd:schema xmlns:xsd="http://www.w3.org/2001/XMLSchema" xmlns:p="http://schemas.microsoft.com/office/2006/metadata/properties" xmlns:ns2="e77cd2c9-92cb-49b9-9dd3-da8cec111c55" targetNamespace="http://schemas.microsoft.com/office/2006/metadata/properties" ma:root="true" ma:fieldsID="5c1108afb6a66a23ba2fa4feffd089f7" ns2:_="">
    <xsd:import namespace="e77cd2c9-92cb-49b9-9dd3-da8cec111c55"/>
    <xsd:element name="properties">
      <xsd:complexType>
        <xsd:sequence>
          <xsd:element name="documentManagement">
            <xsd:complexType>
              <xsd:all>
                <xsd:element ref="ns2:_x5206__x985e_1" minOccurs="0"/>
                <xsd:element ref="ns2:_x5206__x985e_2" minOccurs="0"/>
                <xsd:element ref="ns2:_x66f8__x5f0f__x30fb__x898f__x5b9a__x306e__x6982__x8981_" minOccurs="0"/>
                <xsd:element ref="ns2:_x30bf__x30a4__x30c8__x30eb_2" minOccurs="0"/>
                <xsd:element ref="ns2:_x66f4__x65b0__x65e5_" minOccurs="0"/>
                <xsd:element ref="ns2:_x6240__x7ba1_" minOccurs="0"/>
                <xsd:element ref="ns2:_x30d3__x30e5__x30fc_" minOccurs="0"/>
                <xsd:element ref="ns2:_x524a__x9664_" minOccurs="0"/>
              </xsd:all>
            </xsd:complexType>
          </xsd:element>
        </xsd:sequence>
      </xsd:complexType>
    </xsd:element>
  </xsd:schema>
  <xsd:schema xmlns:xsd="http://www.w3.org/2001/XMLSchema" xmlns:dms="http://schemas.microsoft.com/office/2006/documentManagement/types" targetNamespace="e77cd2c9-92cb-49b9-9dd3-da8cec111c55" elementFormDefault="qualified">
    <xsd:import namespace="http://schemas.microsoft.com/office/2006/documentManagement/types"/>
    <xsd:element name="_x5206__x985e_1" ma:index="1" nillable="true" ma:displayName="分類1" ma:default="規定" ma:format="Dropdown" ma:internalName="_x5206__x985e_1">
      <xsd:simpleType>
        <xsd:restriction base="dms:Choice">
          <xsd:enumeration value="規定"/>
          <xsd:enumeration value="外注管理"/>
          <xsd:enumeration value="開発計画"/>
          <xsd:enumeration value="プロジェクト管理"/>
          <xsd:enumeration value="レビュー"/>
          <xsd:enumeration value="設計開発"/>
          <xsd:enumeration value="評価・リリース"/>
          <xsd:enumeration value="不具合"/>
          <xsd:enumeration value="StarTeam"/>
          <xsd:enumeration value="削除予定"/>
          <xsd:enumeration value="1.規定"/>
          <xsd:enumeration value="2.外注管理"/>
          <xsd:enumeration value="3.開発計画"/>
          <xsd:enumeration value="4.プロジェクト管理"/>
          <xsd:enumeration value="5.レビュー"/>
          <xsd:enumeration value="6.設計開発"/>
          <xsd:enumeration value="7.評価・リリース"/>
          <xsd:enumeration value="8.不具合"/>
        </xsd:restriction>
      </xsd:simpleType>
    </xsd:element>
    <xsd:element name="_x5206__x985e_2" ma:index="2" nillable="true" ma:displayName="分類2" ma:default="補助資料" ma:format="Dropdown" ma:internalName="_x5206__x985e_2">
      <xsd:simpleType>
        <xsd:restriction base="dms:Choice">
          <xsd:enumeration value="プロジェクトコード"/>
          <xsd:enumeration value="基本規定"/>
          <xsd:enumeration value="補助資料"/>
          <xsd:enumeration value="マニュアル"/>
          <xsd:enumeration value="契約"/>
          <xsd:enumeration value="発注"/>
          <xsd:enumeration value="管理"/>
          <xsd:enumeration value="検収"/>
          <xsd:enumeration value="企画書"/>
          <xsd:enumeration value="要件定義"/>
          <xsd:enumeration value="企画書チェック"/>
          <xsd:enumeration value="進捗管理"/>
          <xsd:enumeration value="変更"/>
          <xsd:enumeration value="完了"/>
          <xsd:enumeration value="完了チェック"/>
          <xsd:enumeration value="レビュー"/>
          <xsd:enumeration value="設計"/>
          <xsd:enumeration value="マニュアル作成"/>
          <xsd:enumeration value="評価"/>
          <xsd:enumeration value="評価マニュアル"/>
          <xsd:enumeration value="評価フォーマット"/>
          <xsd:enumeration value="評価ツール"/>
          <xsd:enumeration value="リリース"/>
          <xsd:enumeration value="マニュアル"/>
          <xsd:enumeration value="不具合速報"/>
          <xsd:enumeration value="不具合"/>
          <xsd:enumeration value="マニュアル"/>
          <xsd:enumeration value="企画書"/>
          <xsd:enumeration value="設計"/>
          <xsd:enumeration value="管理"/>
          <xsd:enumeration value="個別リリース"/>
          <xsd:enumeration value="JIRA"/>
        </xsd:restriction>
      </xsd:simpleType>
    </xsd:element>
    <xsd:element name="_x66f8__x5f0f__x30fb__x898f__x5b9a__x306e__x6982__x8981_" ma:index="4" nillable="true" ma:displayName="書式・規定の概要" ma:internalName="_x66f8__x5f0f__x30fb__x898f__x5b9a__x306e__x6982__x8981_">
      <xsd:simpleType>
        <xsd:restriction base="dms:Text">
          <xsd:maxLength value="255"/>
        </xsd:restriction>
      </xsd:simpleType>
    </xsd:element>
    <xsd:element name="_x30bf__x30a4__x30c8__x30eb_2" ma:index="11" nillable="true" ma:displayName="ファイル名" ma:format="Hyperlink" ma:internalName="_x30bf__x30a4__x30c8__x30eb_2">
      <xsd:complexType>
        <xsd:complexContent>
          <xsd:extension base="dms:URL">
            <xsd:sequence>
              <xsd:element name="Url" type="dms:ValidUrl" minOccurs="0" nillable="true"/>
              <xsd:element name="Description" type="xsd:string" nillable="true"/>
            </xsd:sequence>
          </xsd:extension>
        </xsd:complexContent>
      </xsd:complexType>
    </xsd:element>
    <xsd:element name="_x66f4__x65b0__x65e5_" ma:index="12" nillable="true" ma:displayName="運用開始日" ma:format="DateOnly" ma:internalName="_x66f4__x65b0__x65e5_">
      <xsd:simpleType>
        <xsd:restriction base="dms:DateTime"/>
      </xsd:simpleType>
    </xsd:element>
    <xsd:element name="_x6240__x7ba1_" ma:index="13" nillable="true" ma:displayName="所管" ma:default="品質管理G" ma:format="Dropdown" ma:internalName="_x6240__x7ba1_">
      <xsd:simpleType>
        <xsd:restriction base="dms:Choice">
          <xsd:enumeration value="品質管理G"/>
          <xsd:enumeration value="品質管理G（マニュアル）"/>
          <xsd:enumeration value="開発業務管理G"/>
          <xsd:enumeration value="開発業務管理G（業務）"/>
          <xsd:enumeration value="開発部門"/>
        </xsd:restriction>
      </xsd:simpleType>
    </xsd:element>
    <xsd:element name="_x30d3__x30e5__x30fc_" ma:index="14" nillable="true" ma:displayName="ビュー" ma:internalName="_x30d3__x30e5__x30fc_">
      <xsd:complexType>
        <xsd:complexContent>
          <xsd:extension base="dms:MultiChoice">
            <xsd:sequence>
              <xsd:element name="Value" maxOccurs="unbounded" minOccurs="0" nillable="true">
                <xsd:simpleType>
                  <xsd:restriction base="dms:Choice">
                    <xsd:enumeration value="PL用"/>
                    <xsd:enumeration value="マニュアル"/>
                  </xsd:restriction>
                </xsd:simpleType>
              </xsd:element>
            </xsd:sequence>
          </xsd:extension>
        </xsd:complexContent>
      </xsd:complexType>
    </xsd:element>
    <xsd:element name="_x524a__x9664_" ma:index="15" nillable="true" ma:displayName="削除" ma:default="0" ma:internalName="_x524a__x9664_">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コンテンツ タイプ" ma:readOnly="true"/>
        <xsd:element ref="dc:title" minOccurs="0" maxOccurs="1" ma:index="3"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_x66f8__x5f0f__x30fb__x898f__x5b9a__x306e__x6982__x8981_ xmlns="e77cd2c9-92cb-49b9-9dd3-da8cec111c55">PLが外注から受け取り、進捗管理するために使用する</_x66f8__x5f0f__x30fb__x898f__x5b9a__x306e__x6982__x8981_>
    <_x30bf__x30a4__x30c8__x30eb_2 xmlns="e77cd2c9-92cb-49b9-9dd3-da8cec111c55">
      <Url xsi:nil="true"/>
      <Description xsi:nil="true"/>
    </_x30bf__x30a4__x30c8__x30eb_2>
    <_x5206__x985e_2 xmlns="e77cd2c9-92cb-49b9-9dd3-da8cec111c55">管理</_x5206__x985e_2>
    <_x66f4__x65b0__x65e5_ xmlns="e77cd2c9-92cb-49b9-9dd3-da8cec111c55">2022-06-23T15:00:00+00:00</_x66f4__x65b0__x65e5_>
    <_x5206__x985e_1 xmlns="e77cd2c9-92cb-49b9-9dd3-da8cec111c55">2.外注管理</_x5206__x985e_1>
    <_x6240__x7ba1_ xmlns="e77cd2c9-92cb-49b9-9dd3-da8cec111c55">開発業務管理G（業務）</_x6240__x7ba1_>
    <_x30d3__x30e5__x30fc_ xmlns="e77cd2c9-92cb-49b9-9dd3-da8cec111c55">
      <Value>PL用</Value>
    </_x30d3__x30e5__x30fc_>
    <_x524a__x9664_ xmlns="e77cd2c9-92cb-49b9-9dd3-da8cec111c55">false</_x524a__x9664_>
  </documentManagement>
</p:properties>
</file>

<file path=customXml/itemProps1.xml><?xml version="1.0" encoding="utf-8"?>
<ds:datastoreItem xmlns:ds="http://schemas.openxmlformats.org/officeDocument/2006/customXml" ds:itemID="{C23C6293-D156-4E78-ACDA-4AF053BB95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7cd2c9-92cb-49b9-9dd3-da8cec111c5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22649D8-2118-481D-B2B6-B4B89C1FAE77}">
  <ds:schemaRefs>
    <ds:schemaRef ds:uri="http://schemas.microsoft.com/sharepoint/v3/contenttype/forms"/>
  </ds:schemaRefs>
</ds:datastoreItem>
</file>

<file path=customXml/itemProps3.xml><?xml version="1.0" encoding="utf-8"?>
<ds:datastoreItem xmlns:ds="http://schemas.openxmlformats.org/officeDocument/2006/customXml" ds:itemID="{33A39095-C482-467D-A09C-92EF4556FE9F}">
  <ds:schemaRefs>
    <ds:schemaRef ds:uri="http://schemas.microsoft.com/office/2006/metadata/properties"/>
    <ds:schemaRef ds:uri="e77cd2c9-92cb-49b9-9dd3-da8cec111c55"/>
  </ds:schemaRefs>
</ds:datastoreItem>
</file>

<file path=docMetadata/LabelInfo.xml><?xml version="1.0" encoding="utf-8"?>
<clbl:labelList xmlns:clbl="http://schemas.microsoft.com/office/2020/mipLabelMetadata">
  <clbl:label id="{f01e930a-b52e-42b1-b70f-a8882b5d043b}" enabled="0" method="" siteId="{f01e930a-b52e-42b1-b70f-a8882b5d043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17</vt:i4>
      </vt:variant>
    </vt:vector>
  </HeadingPairs>
  <TitlesOfParts>
    <vt:vector size="33" baseType="lpstr">
      <vt:lpstr>1週</vt:lpstr>
      <vt:lpstr>2週</vt:lpstr>
      <vt:lpstr>3週</vt:lpstr>
      <vt:lpstr>4週</vt:lpstr>
      <vt:lpstr>5週</vt:lpstr>
      <vt:lpstr>6週</vt:lpstr>
      <vt:lpstr>勤務報告書</vt:lpstr>
      <vt:lpstr>会社名</vt:lpstr>
      <vt:lpstr>氏名</vt:lpstr>
      <vt:lpstr>月間集計シート</vt:lpstr>
      <vt:lpstr>工種</vt:lpstr>
      <vt:lpstr>PJ</vt:lpstr>
      <vt:lpstr>月間集計サンプル</vt:lpstr>
      <vt:lpstr>PJ工種集計</vt:lpstr>
      <vt:lpstr>日別計縦型</vt:lpstr>
      <vt:lpstr>組織、事業所リスト</vt:lpstr>
      <vt:lpstr>FPTジャパン</vt:lpstr>
      <vt:lpstr>'1週'!Print_Area</vt:lpstr>
      <vt:lpstr>'2週'!Print_Area</vt:lpstr>
      <vt:lpstr>'3週'!Print_Area</vt:lpstr>
      <vt:lpstr>'4週'!Print_Area</vt:lpstr>
      <vt:lpstr>'5週'!Print_Area</vt:lpstr>
      <vt:lpstr>'6週'!Print_Area</vt:lpstr>
      <vt:lpstr>勤務報告書!Print_Area</vt:lpstr>
      <vt:lpstr>PJ!システムコード</vt:lpstr>
      <vt:lpstr>システムコード</vt:lpstr>
      <vt:lpstr>プロジェクトWORK</vt:lpstr>
      <vt:lpstr>PJ!プロジェクトコード</vt:lpstr>
      <vt:lpstr>プロジェクトコード</vt:lpstr>
      <vt:lpstr>会社名</vt:lpstr>
      <vt:lpstr>工種_間接</vt:lpstr>
      <vt:lpstr>工種_全部</vt:lpstr>
      <vt:lpstr>工種_通常</vt:lpstr>
    </vt:vector>
  </TitlesOfParts>
  <Manager/>
  <Company>MJS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週間進捗状況報告書</dc:title>
  <dc:subject/>
  <dc:creator>志牟田</dc:creator>
  <cp:keywords/>
  <dc:description/>
  <cp:lastModifiedBy>Viet Pham Hoang</cp:lastModifiedBy>
  <cp:revision/>
  <dcterms:created xsi:type="dcterms:W3CDTF">2002-01-12T09:45:42Z</dcterms:created>
  <dcterms:modified xsi:type="dcterms:W3CDTF">2026-08-13T10:37:41Z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XBookID">
    <vt:lpwstr>0</vt:lpwstr>
  </property>
  <property fmtid="{D5CDD505-2E9C-101B-9397-08002B2CF9AE}" pid="3" name="ContentTypeId">
    <vt:lpwstr>0x010100967C029AB2633E48996E081D11E6229C</vt:lpwstr>
  </property>
  <property fmtid="{D5CDD505-2E9C-101B-9397-08002B2CF9AE}" pid="4" name="Order">
    <vt:r8>1400</vt:r8>
  </property>
  <property fmtid="{D5CDD505-2E9C-101B-9397-08002B2CF9AE}" pid="5" name="PM表示">
    <vt:bool>true</vt:bool>
  </property>
  <property fmtid="{D5CDD505-2E9C-101B-9397-08002B2CF9AE}" pid="6" name="タイトル2">
    <vt:lpwstr>http://mjsmoss/sec/dep/form_pj/1-4-1_週間進捗状況報告書.xlsx週間進捗状況報告書http://mjsmoss/sec/dep/form_pj/1-4-1_週間進捗状況報告書.xlsx週間進捗状況報告書http://mjsmoss/sec/dep/form_pj/1-4-1_週間進捗状況報告書.xlsx週間進捗状況報告書http://mjsmoss/sec/dep/form_pj/1-4-1_週間進捗状況報告書.xlsx週間進捗状況報告書</vt:lpwstr>
  </property>
  <property fmtid="{D5CDD505-2E9C-101B-9397-08002B2CF9AE}" pid="7" name="分類1">
    <vt:lpwstr>外注管理</vt:lpwstr>
  </property>
  <property fmtid="{D5CDD505-2E9C-101B-9397-08002B2CF9AE}" pid="8" name="所管">
    <vt:lpwstr>開発業務管理G（業務）</vt:lpwstr>
  </property>
  <property fmtid="{D5CDD505-2E9C-101B-9397-08002B2CF9AE}" pid="9" name="分類2">
    <vt:lpwstr>管理</vt:lpwstr>
  </property>
  <property fmtid="{D5CDD505-2E9C-101B-9397-08002B2CF9AE}" pid="10" name="更新日">
    <vt:lpwstr>2021-04-11T15:00:00+00:00</vt:lpwstr>
  </property>
  <property fmtid="{D5CDD505-2E9C-101B-9397-08002B2CF9AE}" pid="11" name="書式・規定の概要">
    <vt:lpwstr>PLが外注から受け取り、進捗管理するために使用する</vt:lpwstr>
  </property>
</Properties>
</file>